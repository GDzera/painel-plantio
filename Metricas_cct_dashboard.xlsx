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ues dash HTML\Dashboard Plantio\painel-plantio\"/>
    </mc:Choice>
  </mc:AlternateContent>
  <xr:revisionPtr revIDLastSave="0" documentId="13_ncr:1_{5B59158A-0A32-45E4-ADB3-C97610C86EE1}" xr6:coauthVersionLast="47" xr6:coauthVersionMax="47" xr10:uidLastSave="{00000000-0000-0000-0000-000000000000}"/>
  <bookViews>
    <workbookView xWindow="-80" yWindow="-80" windowWidth="19360" windowHeight="10240" tabRatio="500" firstSheet="10" activeTab="12" xr2:uid="{00000000-000D-0000-FFFF-FFFF00000000}"/>
  </bookViews>
  <sheets>
    <sheet name="Dashboard" sheetId="1" r:id="rId1"/>
    <sheet name="KPI por frente" sheetId="2" r:id="rId2"/>
    <sheet name="Base de tempo" sheetId="3" r:id="rId3"/>
    <sheet name="Base cargas" sheetId="4" r:id="rId4"/>
    <sheet name="Base bordo" sheetId="5" r:id="rId5"/>
    <sheet name="Apoio_Tempo_Cargas" sheetId="6" state="hidden" r:id="rId6"/>
    <sheet name="Apoio_Bordo" sheetId="7" r:id="rId7"/>
    <sheet name="Apoio_Frota_Detalhe" sheetId="8" state="hidden" r:id="rId8"/>
    <sheet name="Apoio_KPI_Frente" sheetId="9" r:id="rId9"/>
    <sheet name="Apoio_Ciclo_Logistico" sheetId="10" r:id="rId10"/>
    <sheet name="Apoio_Vel_Frente" sheetId="11" r:id="rId11"/>
    <sheet name="Apoio_Bordo_CD" sheetId="14" r:id="rId12"/>
    <sheet name="Apoio_Corte_Frente" sheetId="15" r:id="rId13"/>
    <sheet name="Apoio_Metas_Transporte" sheetId="12" r:id="rId14"/>
    <sheet name="Base bordo CD" sheetId="13" r:id="rId15"/>
  </sheets>
  <definedNames>
    <definedName name="_xlnm._FilterDatabase" localSheetId="11" hidden="1">Apoio_Bordo_CD!$A$1:$V$1231</definedName>
    <definedName name="_xlnm._FilterDatabase" localSheetId="1" hidden="1">'KPI por frente'!$A$1:$J$34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5" l="1" a="1"/>
  <c r="B3" i="15" s="1"/>
  <c r="B4" i="15" a="1"/>
  <c r="B4" i="15" s="1"/>
  <c r="Q4" i="10"/>
  <c r="S4" i="10" s="1"/>
  <c r="S3" i="10"/>
  <c r="S5" i="10"/>
  <c r="S6" i="10"/>
  <c r="S7" i="10"/>
  <c r="S8" i="10"/>
  <c r="S9" i="10"/>
  <c r="R3" i="10"/>
  <c r="R4" i="10"/>
  <c r="R5" i="10"/>
  <c r="R6" i="10"/>
  <c r="R7" i="10"/>
  <c r="R8" i="10"/>
  <c r="R9" i="10"/>
  <c r="R2" i="10"/>
  <c r="Q9" i="10"/>
  <c r="Q3" i="10"/>
  <c r="Q5" i="10"/>
  <c r="Q6" i="10"/>
  <c r="Q7" i="10"/>
  <c r="Q8" i="10"/>
  <c r="Q2" i="10"/>
  <c r="M3" i="10"/>
  <c r="M4" i="10"/>
  <c r="M5" i="10"/>
  <c r="M6" i="10"/>
  <c r="M7" i="10"/>
  <c r="M8" i="10"/>
  <c r="M9" i="10"/>
  <c r="M2" i="10"/>
  <c r="L3" i="10"/>
  <c r="L4" i="10"/>
  <c r="L5" i="10"/>
  <c r="L6" i="10"/>
  <c r="L7" i="10"/>
  <c r="L8" i="10"/>
  <c r="L9" i="10"/>
  <c r="L2" i="10"/>
  <c r="K9" i="10"/>
  <c r="K8" i="10"/>
  <c r="K7" i="10"/>
  <c r="K6" i="10"/>
  <c r="K5" i="10"/>
  <c r="I9" i="10"/>
  <c r="I8" i="10"/>
  <c r="I7" i="10"/>
  <c r="I6" i="10"/>
  <c r="I5" i="10"/>
  <c r="F3" i="10"/>
  <c r="F4" i="10"/>
  <c r="F5" i="10"/>
  <c r="F6" i="10"/>
  <c r="F7" i="10"/>
  <c r="F8" i="10"/>
  <c r="F9" i="10"/>
  <c r="F2" i="10"/>
  <c r="D3" i="10"/>
  <c r="D4" i="10"/>
  <c r="D5" i="10"/>
  <c r="D6" i="10"/>
  <c r="D7" i="10"/>
  <c r="D8" i="10"/>
  <c r="D9" i="10"/>
  <c r="D2" i="10"/>
  <c r="D79" i="7"/>
  <c r="E79" i="7"/>
  <c r="F79" i="7"/>
  <c r="G79" i="7"/>
  <c r="H79" i="7"/>
  <c r="I79" i="7"/>
  <c r="J79" i="7"/>
  <c r="K79" i="7"/>
  <c r="L79" i="7"/>
  <c r="M79" i="7"/>
  <c r="N79" i="7"/>
  <c r="P79" i="7"/>
  <c r="O79" i="7" s="1"/>
  <c r="Q79" i="7"/>
  <c r="R79" i="7"/>
  <c r="S79" i="7" s="1"/>
  <c r="T79" i="7"/>
  <c r="U79" i="7"/>
  <c r="V79" i="7" s="1"/>
  <c r="W79" i="7"/>
  <c r="X79" i="7"/>
  <c r="Y79" i="7"/>
  <c r="D80" i="7"/>
  <c r="E80" i="7"/>
  <c r="F80" i="7"/>
  <c r="G80" i="7"/>
  <c r="H80" i="7"/>
  <c r="I80" i="7"/>
  <c r="J80" i="7"/>
  <c r="K80" i="7"/>
  <c r="L80" i="7"/>
  <c r="M80" i="7"/>
  <c r="N80" i="7"/>
  <c r="P80" i="7"/>
  <c r="O80" i="7" s="1"/>
  <c r="Q80" i="7"/>
  <c r="R80" i="7"/>
  <c r="S80" i="7"/>
  <c r="T80" i="7"/>
  <c r="U80" i="7"/>
  <c r="V80" i="7"/>
  <c r="W80" i="7"/>
  <c r="X80" i="7"/>
  <c r="Y80" i="7"/>
  <c r="D81" i="7"/>
  <c r="E81" i="7"/>
  <c r="F81" i="7"/>
  <c r="G81" i="7"/>
  <c r="H81" i="7"/>
  <c r="I81" i="7"/>
  <c r="J81" i="7"/>
  <c r="K81" i="7"/>
  <c r="L81" i="7"/>
  <c r="M81" i="7"/>
  <c r="N81" i="7"/>
  <c r="P81" i="7"/>
  <c r="O81" i="7" s="1"/>
  <c r="Q81" i="7"/>
  <c r="R81" i="7"/>
  <c r="S81" i="7" s="1"/>
  <c r="T81" i="7"/>
  <c r="U81" i="7"/>
  <c r="V81" i="7"/>
  <c r="W81" i="7"/>
  <c r="X81" i="7"/>
  <c r="Y81" i="7"/>
  <c r="D82" i="7"/>
  <c r="E82" i="7"/>
  <c r="F82" i="7"/>
  <c r="G82" i="7"/>
  <c r="H82" i="7"/>
  <c r="I82" i="7"/>
  <c r="J82" i="7"/>
  <c r="K82" i="7"/>
  <c r="L82" i="7"/>
  <c r="M82" i="7"/>
  <c r="N82" i="7"/>
  <c r="P82" i="7"/>
  <c r="O82" i="7" s="1"/>
  <c r="Q82" i="7"/>
  <c r="R82" i="7"/>
  <c r="S82" i="7" s="1"/>
  <c r="T82" i="7"/>
  <c r="U82" i="7"/>
  <c r="W82" i="7"/>
  <c r="X82" i="7"/>
  <c r="Y82" i="7"/>
  <c r="D83" i="7"/>
  <c r="E83" i="7"/>
  <c r="F83" i="7"/>
  <c r="G83" i="7"/>
  <c r="H83" i="7"/>
  <c r="I83" i="7"/>
  <c r="J83" i="7"/>
  <c r="K83" i="7"/>
  <c r="L83" i="7"/>
  <c r="M83" i="7"/>
  <c r="N83" i="7"/>
  <c r="P83" i="7"/>
  <c r="O83" i="7" s="1"/>
  <c r="Q83" i="7"/>
  <c r="R83" i="7"/>
  <c r="S83" i="7" s="1"/>
  <c r="T83" i="7"/>
  <c r="U83" i="7"/>
  <c r="W83" i="7"/>
  <c r="X83" i="7"/>
  <c r="Y83" i="7"/>
  <c r="D84" i="7"/>
  <c r="E84" i="7"/>
  <c r="F84" i="7"/>
  <c r="G84" i="7"/>
  <c r="H84" i="7"/>
  <c r="P5" i="10" s="1"/>
  <c r="I84" i="7"/>
  <c r="N5" i="10" s="1"/>
  <c r="J84" i="7"/>
  <c r="K84" i="7"/>
  <c r="O5" i="10" s="1"/>
  <c r="L84" i="7"/>
  <c r="M84" i="7"/>
  <c r="N84" i="7"/>
  <c r="P84" i="7"/>
  <c r="O84" i="7" s="1"/>
  <c r="Q84" i="7"/>
  <c r="H5" i="10" s="1"/>
  <c r="R84" i="7"/>
  <c r="S84" i="7" s="1"/>
  <c r="T84" i="7"/>
  <c r="J5" i="10" s="1"/>
  <c r="U84" i="7"/>
  <c r="W84" i="7"/>
  <c r="X84" i="7"/>
  <c r="Y84" i="7"/>
  <c r="D85" i="7"/>
  <c r="E85" i="7"/>
  <c r="F85" i="7"/>
  <c r="G85" i="7"/>
  <c r="H85" i="7"/>
  <c r="I85" i="7"/>
  <c r="J85" i="7"/>
  <c r="K85" i="7"/>
  <c r="L85" i="7"/>
  <c r="M85" i="7"/>
  <c r="N85" i="7"/>
  <c r="P85" i="7"/>
  <c r="O85" i="7" s="1"/>
  <c r="Q85" i="7"/>
  <c r="R85" i="7"/>
  <c r="S85" i="7" s="1"/>
  <c r="T85" i="7"/>
  <c r="U85" i="7"/>
  <c r="V85" i="7" s="1"/>
  <c r="W85" i="7"/>
  <c r="X85" i="7"/>
  <c r="Y85" i="7"/>
  <c r="D86" i="7"/>
  <c r="E86" i="7"/>
  <c r="F86" i="7"/>
  <c r="G86" i="7"/>
  <c r="H86" i="7"/>
  <c r="I86" i="7"/>
  <c r="J86" i="7"/>
  <c r="K86" i="7"/>
  <c r="L86" i="7"/>
  <c r="M86" i="7"/>
  <c r="N86" i="7"/>
  <c r="P86" i="7"/>
  <c r="O86" i="7" s="1"/>
  <c r="Q86" i="7"/>
  <c r="R86" i="7"/>
  <c r="S86" i="7" s="1"/>
  <c r="T86" i="7"/>
  <c r="U86" i="7"/>
  <c r="V86" i="7" s="1"/>
  <c r="W86" i="7"/>
  <c r="X86" i="7"/>
  <c r="Y86" i="7"/>
  <c r="D87" i="7"/>
  <c r="E87" i="7"/>
  <c r="F87" i="7"/>
  <c r="G87" i="7"/>
  <c r="H87" i="7"/>
  <c r="I87" i="7"/>
  <c r="J87" i="7"/>
  <c r="K87" i="7"/>
  <c r="L87" i="7"/>
  <c r="M87" i="7"/>
  <c r="N87" i="7"/>
  <c r="P87" i="7"/>
  <c r="O87" i="7" s="1"/>
  <c r="Q87" i="7"/>
  <c r="R87" i="7"/>
  <c r="S87" i="7" s="1"/>
  <c r="T87" i="7"/>
  <c r="U87" i="7"/>
  <c r="W87" i="7"/>
  <c r="X87" i="7"/>
  <c r="Y87" i="7"/>
  <c r="D88" i="7"/>
  <c r="E88" i="7"/>
  <c r="F88" i="7"/>
  <c r="G88" i="7"/>
  <c r="H88" i="7"/>
  <c r="I88" i="7"/>
  <c r="J88" i="7"/>
  <c r="K88" i="7"/>
  <c r="L88" i="7"/>
  <c r="M88" i="7"/>
  <c r="N88" i="7"/>
  <c r="P88" i="7"/>
  <c r="O88" i="7" s="1"/>
  <c r="Q88" i="7"/>
  <c r="R88" i="7"/>
  <c r="S88" i="7" s="1"/>
  <c r="T88" i="7"/>
  <c r="U88" i="7"/>
  <c r="W88" i="7"/>
  <c r="X88" i="7"/>
  <c r="Y88" i="7"/>
  <c r="D89" i="7"/>
  <c r="E89" i="7"/>
  <c r="F89" i="7"/>
  <c r="G89" i="7"/>
  <c r="H89" i="7"/>
  <c r="I89" i="7"/>
  <c r="J89" i="7"/>
  <c r="K89" i="7"/>
  <c r="L89" i="7"/>
  <c r="M89" i="7"/>
  <c r="N89" i="7"/>
  <c r="P89" i="7"/>
  <c r="O89" i="7" s="1"/>
  <c r="Q89" i="7"/>
  <c r="R89" i="7"/>
  <c r="S89" i="7" s="1"/>
  <c r="T89" i="7"/>
  <c r="U89" i="7"/>
  <c r="W89" i="7"/>
  <c r="X89" i="7"/>
  <c r="Y89" i="7"/>
  <c r="D90" i="7"/>
  <c r="E90" i="7"/>
  <c r="F90" i="7"/>
  <c r="G90" i="7"/>
  <c r="H90" i="7"/>
  <c r="I90" i="7"/>
  <c r="J90" i="7"/>
  <c r="K90" i="7"/>
  <c r="L90" i="7"/>
  <c r="M90" i="7"/>
  <c r="N90" i="7"/>
  <c r="P90" i="7"/>
  <c r="O90" i="7" s="1"/>
  <c r="Q90" i="7"/>
  <c r="R90" i="7"/>
  <c r="S90" i="7" s="1"/>
  <c r="T90" i="7"/>
  <c r="U90" i="7"/>
  <c r="W90" i="7"/>
  <c r="X90" i="7"/>
  <c r="Y90" i="7"/>
  <c r="D91" i="7"/>
  <c r="E91" i="7"/>
  <c r="F91" i="7"/>
  <c r="G91" i="7"/>
  <c r="H91" i="7"/>
  <c r="I91" i="7"/>
  <c r="J91" i="7"/>
  <c r="K91" i="7"/>
  <c r="L91" i="7"/>
  <c r="M91" i="7"/>
  <c r="N91" i="7"/>
  <c r="P91" i="7"/>
  <c r="O91" i="7" s="1"/>
  <c r="Q91" i="7"/>
  <c r="R91" i="7"/>
  <c r="T91" i="7"/>
  <c r="U91" i="7"/>
  <c r="W91" i="7"/>
  <c r="X91" i="7"/>
  <c r="Y91" i="7"/>
  <c r="D92" i="7"/>
  <c r="E92" i="7"/>
  <c r="F92" i="7"/>
  <c r="G92" i="7"/>
  <c r="H92" i="7"/>
  <c r="I92" i="7"/>
  <c r="J92" i="7"/>
  <c r="K92" i="7"/>
  <c r="L92" i="7"/>
  <c r="M92" i="7"/>
  <c r="N92" i="7"/>
  <c r="P92" i="7"/>
  <c r="O92" i="7" s="1"/>
  <c r="Q92" i="7"/>
  <c r="R92" i="7"/>
  <c r="S92" i="7" s="1"/>
  <c r="T92" i="7"/>
  <c r="U92" i="7"/>
  <c r="W92" i="7"/>
  <c r="X92" i="7"/>
  <c r="Y92" i="7"/>
  <c r="D93" i="7"/>
  <c r="E93" i="7"/>
  <c r="F93" i="7"/>
  <c r="G93" i="7"/>
  <c r="H93" i="7"/>
  <c r="I93" i="7"/>
  <c r="J93" i="7"/>
  <c r="K93" i="7"/>
  <c r="L93" i="7"/>
  <c r="M93" i="7"/>
  <c r="N93" i="7"/>
  <c r="P93" i="7"/>
  <c r="O93" i="7" s="1"/>
  <c r="Q93" i="7"/>
  <c r="R93" i="7"/>
  <c r="S93" i="7" s="1"/>
  <c r="T93" i="7"/>
  <c r="U93" i="7"/>
  <c r="W93" i="7"/>
  <c r="X93" i="7"/>
  <c r="Y93" i="7"/>
  <c r="D94" i="7"/>
  <c r="E94" i="7"/>
  <c r="F94" i="7"/>
  <c r="G94" i="7"/>
  <c r="H94" i="7"/>
  <c r="I94" i="7"/>
  <c r="J94" i="7"/>
  <c r="K94" i="7"/>
  <c r="L94" i="7"/>
  <c r="M94" i="7"/>
  <c r="N94" i="7"/>
  <c r="P94" i="7"/>
  <c r="O94" i="7" s="1"/>
  <c r="Q94" i="7"/>
  <c r="R94" i="7"/>
  <c r="S94" i="7" s="1"/>
  <c r="T94" i="7"/>
  <c r="U94" i="7"/>
  <c r="W94" i="7"/>
  <c r="X94" i="7"/>
  <c r="Y94" i="7"/>
  <c r="D95" i="7"/>
  <c r="E95" i="7"/>
  <c r="F95" i="7"/>
  <c r="G95" i="7"/>
  <c r="H95" i="7"/>
  <c r="I95" i="7"/>
  <c r="J95" i="7"/>
  <c r="K95" i="7"/>
  <c r="L95" i="7"/>
  <c r="M95" i="7"/>
  <c r="N95" i="7"/>
  <c r="P95" i="7"/>
  <c r="O95" i="7" s="1"/>
  <c r="Q95" i="7"/>
  <c r="R95" i="7"/>
  <c r="S95" i="7" s="1"/>
  <c r="T95" i="7"/>
  <c r="U95" i="7"/>
  <c r="W95" i="7"/>
  <c r="X95" i="7"/>
  <c r="Y95" i="7"/>
  <c r="D96" i="7"/>
  <c r="E96" i="7"/>
  <c r="F96" i="7"/>
  <c r="G96" i="7"/>
  <c r="H96" i="7"/>
  <c r="I96" i="7"/>
  <c r="J96" i="7"/>
  <c r="K96" i="7"/>
  <c r="L96" i="7"/>
  <c r="M96" i="7"/>
  <c r="N96" i="7"/>
  <c r="P96" i="7"/>
  <c r="O96" i="7" s="1"/>
  <c r="Q96" i="7"/>
  <c r="R96" i="7"/>
  <c r="S96" i="7" s="1"/>
  <c r="T96" i="7"/>
  <c r="U96" i="7"/>
  <c r="W96" i="7"/>
  <c r="X96" i="7"/>
  <c r="Y96" i="7"/>
  <c r="D97" i="7"/>
  <c r="E97" i="7"/>
  <c r="F97" i="7"/>
  <c r="G97" i="7"/>
  <c r="H97" i="7"/>
  <c r="I97" i="7"/>
  <c r="J97" i="7"/>
  <c r="K97" i="7"/>
  <c r="L97" i="7"/>
  <c r="M97" i="7"/>
  <c r="N97" i="7"/>
  <c r="P97" i="7"/>
  <c r="O97" i="7" s="1"/>
  <c r="Q97" i="7"/>
  <c r="R97" i="7"/>
  <c r="S97" i="7" s="1"/>
  <c r="T97" i="7"/>
  <c r="U97" i="7"/>
  <c r="W97" i="7"/>
  <c r="X97" i="7"/>
  <c r="Y97" i="7"/>
  <c r="D98" i="7"/>
  <c r="E98" i="7"/>
  <c r="F98" i="7"/>
  <c r="G98" i="7"/>
  <c r="H98" i="7"/>
  <c r="I98" i="7"/>
  <c r="J98" i="7"/>
  <c r="K98" i="7"/>
  <c r="L98" i="7"/>
  <c r="M98" i="7"/>
  <c r="N98" i="7"/>
  <c r="P98" i="7"/>
  <c r="O98" i="7" s="1"/>
  <c r="Q98" i="7"/>
  <c r="R98" i="7"/>
  <c r="S98" i="7" s="1"/>
  <c r="T98" i="7"/>
  <c r="U98" i="7"/>
  <c r="W98" i="7"/>
  <c r="X98" i="7"/>
  <c r="Y98" i="7"/>
  <c r="D99" i="7"/>
  <c r="E99" i="7"/>
  <c r="F99" i="7"/>
  <c r="G99" i="7"/>
  <c r="H99" i="7"/>
  <c r="I99" i="7"/>
  <c r="J99" i="7"/>
  <c r="K99" i="7"/>
  <c r="L99" i="7"/>
  <c r="M99" i="7"/>
  <c r="N99" i="7"/>
  <c r="P99" i="7"/>
  <c r="O99" i="7" s="1"/>
  <c r="Q99" i="7"/>
  <c r="R99" i="7"/>
  <c r="S99" i="7" s="1"/>
  <c r="T99" i="7"/>
  <c r="U99" i="7"/>
  <c r="V99" i="7" s="1"/>
  <c r="W99" i="7"/>
  <c r="X99" i="7"/>
  <c r="Y99" i="7"/>
  <c r="D100" i="7"/>
  <c r="E100" i="7"/>
  <c r="F100" i="7"/>
  <c r="G100" i="7"/>
  <c r="H100" i="7"/>
  <c r="I100" i="7"/>
  <c r="J100" i="7"/>
  <c r="K100" i="7"/>
  <c r="L100" i="7"/>
  <c r="M100" i="7"/>
  <c r="N100" i="7"/>
  <c r="P100" i="7"/>
  <c r="O100" i="7" s="1"/>
  <c r="Q100" i="7"/>
  <c r="R100" i="7"/>
  <c r="S100" i="7" s="1"/>
  <c r="T100" i="7"/>
  <c r="U100" i="7"/>
  <c r="W100" i="7"/>
  <c r="X100" i="7"/>
  <c r="Y100" i="7"/>
  <c r="D101" i="7"/>
  <c r="E101" i="7"/>
  <c r="F101" i="7"/>
  <c r="G101" i="7"/>
  <c r="H101" i="7"/>
  <c r="I101" i="7"/>
  <c r="J101" i="7"/>
  <c r="K101" i="7"/>
  <c r="L101" i="7"/>
  <c r="M101" i="7"/>
  <c r="N101" i="7"/>
  <c r="P101" i="7"/>
  <c r="Q101" i="7"/>
  <c r="R101" i="7"/>
  <c r="S101" i="7" s="1"/>
  <c r="T101" i="7"/>
  <c r="U101" i="7"/>
  <c r="W101" i="7"/>
  <c r="X101" i="7"/>
  <c r="Y101" i="7"/>
  <c r="D102" i="7"/>
  <c r="E102" i="7"/>
  <c r="F102" i="7"/>
  <c r="G102" i="7"/>
  <c r="H102" i="7"/>
  <c r="I102" i="7"/>
  <c r="J102" i="7"/>
  <c r="K102" i="7"/>
  <c r="L102" i="7"/>
  <c r="M102" i="7"/>
  <c r="N102" i="7"/>
  <c r="P102" i="7"/>
  <c r="Q102" i="7"/>
  <c r="R102" i="7"/>
  <c r="S102" i="7" s="1"/>
  <c r="T102" i="7"/>
  <c r="U102" i="7"/>
  <c r="W102" i="7"/>
  <c r="X102" i="7"/>
  <c r="Y102" i="7"/>
  <c r="D103" i="7"/>
  <c r="E103" i="7"/>
  <c r="F103" i="7"/>
  <c r="G103" i="7"/>
  <c r="H103" i="7"/>
  <c r="I103" i="7"/>
  <c r="J103" i="7"/>
  <c r="K103" i="7"/>
  <c r="L103" i="7"/>
  <c r="M103" i="7"/>
  <c r="N103" i="7"/>
  <c r="P103" i="7"/>
  <c r="Q103" i="7"/>
  <c r="R103" i="7"/>
  <c r="S103" i="7" s="1"/>
  <c r="T103" i="7"/>
  <c r="U103" i="7"/>
  <c r="W103" i="7"/>
  <c r="X103" i="7"/>
  <c r="Y103" i="7"/>
  <c r="D104" i="7"/>
  <c r="E104" i="7"/>
  <c r="F104" i="7"/>
  <c r="G104" i="7"/>
  <c r="H104" i="7"/>
  <c r="P7" i="10" s="1"/>
  <c r="I104" i="7"/>
  <c r="N7" i="10" s="1"/>
  <c r="J104" i="7"/>
  <c r="K104" i="7"/>
  <c r="O7" i="10" s="1"/>
  <c r="L104" i="7"/>
  <c r="M104" i="7"/>
  <c r="N104" i="7"/>
  <c r="P104" i="7"/>
  <c r="Q104" i="7"/>
  <c r="H7" i="10" s="1"/>
  <c r="R104" i="7"/>
  <c r="S104" i="7" s="1"/>
  <c r="T104" i="7"/>
  <c r="J7" i="10" s="1"/>
  <c r="U104" i="7"/>
  <c r="W104" i="7"/>
  <c r="X104" i="7"/>
  <c r="Y104" i="7"/>
  <c r="D105" i="7"/>
  <c r="E105" i="7"/>
  <c r="F105" i="7"/>
  <c r="G105" i="7"/>
  <c r="H105" i="7"/>
  <c r="I105" i="7"/>
  <c r="J105" i="7"/>
  <c r="K105" i="7"/>
  <c r="L105" i="7"/>
  <c r="M105" i="7"/>
  <c r="N105" i="7"/>
  <c r="P105" i="7"/>
  <c r="Q105" i="7"/>
  <c r="R105" i="7"/>
  <c r="S105" i="7" s="1"/>
  <c r="T105" i="7"/>
  <c r="U105" i="7"/>
  <c r="W105" i="7"/>
  <c r="X105" i="7"/>
  <c r="Y105" i="7"/>
  <c r="D106" i="7"/>
  <c r="E106" i="7"/>
  <c r="F106" i="7"/>
  <c r="G106" i="7"/>
  <c r="H106" i="7"/>
  <c r="I106" i="7"/>
  <c r="J106" i="7"/>
  <c r="K106" i="7"/>
  <c r="L106" i="7"/>
  <c r="M106" i="7"/>
  <c r="N106" i="7"/>
  <c r="P106" i="7"/>
  <c r="Q106" i="7"/>
  <c r="R106" i="7"/>
  <c r="S106" i="7" s="1"/>
  <c r="T106" i="7"/>
  <c r="U106" i="7"/>
  <c r="W106" i="7"/>
  <c r="X106" i="7"/>
  <c r="Y106" i="7"/>
  <c r="D107" i="7"/>
  <c r="E107" i="7"/>
  <c r="F107" i="7"/>
  <c r="G107" i="7"/>
  <c r="H107" i="7"/>
  <c r="I107" i="7"/>
  <c r="J107" i="7"/>
  <c r="K107" i="7"/>
  <c r="L107" i="7"/>
  <c r="M107" i="7"/>
  <c r="N107" i="7"/>
  <c r="P107" i="7"/>
  <c r="Q107" i="7"/>
  <c r="R107" i="7"/>
  <c r="S107" i="7" s="1"/>
  <c r="T107" i="7"/>
  <c r="U107" i="7"/>
  <c r="W107" i="7"/>
  <c r="X107" i="7"/>
  <c r="Y107" i="7"/>
  <c r="D108" i="7"/>
  <c r="E108" i="7"/>
  <c r="F108" i="7"/>
  <c r="G108" i="7"/>
  <c r="H108" i="7"/>
  <c r="I108" i="7"/>
  <c r="J108" i="7"/>
  <c r="K108" i="7"/>
  <c r="L108" i="7"/>
  <c r="M108" i="7"/>
  <c r="N108" i="7"/>
  <c r="P108" i="7"/>
  <c r="Q108" i="7"/>
  <c r="R108" i="7"/>
  <c r="S108" i="7" s="1"/>
  <c r="T108" i="7"/>
  <c r="U108" i="7"/>
  <c r="V108" i="7" s="1"/>
  <c r="W108" i="7"/>
  <c r="X108" i="7"/>
  <c r="Y108" i="7"/>
  <c r="D109" i="7"/>
  <c r="E109" i="7"/>
  <c r="F109" i="7"/>
  <c r="G109" i="7"/>
  <c r="H109" i="7"/>
  <c r="I109" i="7"/>
  <c r="J109" i="7"/>
  <c r="K109" i="7"/>
  <c r="L109" i="7"/>
  <c r="M109" i="7"/>
  <c r="N109" i="7"/>
  <c r="P109" i="7"/>
  <c r="Q109" i="7"/>
  <c r="R109" i="7"/>
  <c r="S109" i="7" s="1"/>
  <c r="T109" i="7"/>
  <c r="U109" i="7"/>
  <c r="W109" i="7"/>
  <c r="X109" i="7"/>
  <c r="Y109" i="7"/>
  <c r="D110" i="7"/>
  <c r="E110" i="7"/>
  <c r="F110" i="7"/>
  <c r="G110" i="7"/>
  <c r="H110" i="7"/>
  <c r="I110" i="7"/>
  <c r="J110" i="7"/>
  <c r="K110" i="7"/>
  <c r="L110" i="7"/>
  <c r="M110" i="7"/>
  <c r="N110" i="7"/>
  <c r="P110" i="7"/>
  <c r="Q110" i="7"/>
  <c r="R110" i="7"/>
  <c r="S110" i="7" s="1"/>
  <c r="T110" i="7"/>
  <c r="U110" i="7"/>
  <c r="W110" i="7"/>
  <c r="X110" i="7"/>
  <c r="Y110" i="7"/>
  <c r="D111" i="7"/>
  <c r="E111" i="7"/>
  <c r="F111" i="7"/>
  <c r="G111" i="7"/>
  <c r="H111" i="7"/>
  <c r="I111" i="7"/>
  <c r="J111" i="7"/>
  <c r="K111" i="7"/>
  <c r="L111" i="7"/>
  <c r="M111" i="7"/>
  <c r="N111" i="7"/>
  <c r="P111" i="7"/>
  <c r="Q111" i="7"/>
  <c r="R111" i="7"/>
  <c r="S111" i="7" s="1"/>
  <c r="T111" i="7"/>
  <c r="U111" i="7"/>
  <c r="W111" i="7"/>
  <c r="X111" i="7"/>
  <c r="Y111" i="7"/>
  <c r="D112" i="7"/>
  <c r="E112" i="7"/>
  <c r="F112" i="7"/>
  <c r="G112" i="7"/>
  <c r="H112" i="7"/>
  <c r="I112" i="7"/>
  <c r="J112" i="7"/>
  <c r="K112" i="7"/>
  <c r="L112" i="7"/>
  <c r="M112" i="7"/>
  <c r="N112" i="7"/>
  <c r="P112" i="7"/>
  <c r="Q112" i="7"/>
  <c r="R112" i="7"/>
  <c r="S112" i="7" s="1"/>
  <c r="T112" i="7"/>
  <c r="U112" i="7"/>
  <c r="W112" i="7"/>
  <c r="X112" i="7"/>
  <c r="Y112" i="7"/>
  <c r="D113" i="7"/>
  <c r="E113" i="7"/>
  <c r="F113" i="7"/>
  <c r="G113" i="7"/>
  <c r="H113" i="7"/>
  <c r="I113" i="7"/>
  <c r="J113" i="7"/>
  <c r="K113" i="7"/>
  <c r="L113" i="7"/>
  <c r="M113" i="7"/>
  <c r="N113" i="7"/>
  <c r="P113" i="7"/>
  <c r="Q113" i="7"/>
  <c r="R113" i="7"/>
  <c r="S113" i="7" s="1"/>
  <c r="T113" i="7"/>
  <c r="U113" i="7"/>
  <c r="W113" i="7"/>
  <c r="X113" i="7"/>
  <c r="Y113" i="7"/>
  <c r="D114" i="7"/>
  <c r="E114" i="7"/>
  <c r="F114" i="7"/>
  <c r="G114" i="7"/>
  <c r="H114" i="7"/>
  <c r="I114" i="7"/>
  <c r="J114" i="7"/>
  <c r="K114" i="7"/>
  <c r="L114" i="7"/>
  <c r="M114" i="7"/>
  <c r="N114" i="7"/>
  <c r="P114" i="7"/>
  <c r="Q114" i="7"/>
  <c r="R114" i="7"/>
  <c r="S114" i="7" s="1"/>
  <c r="T114" i="7"/>
  <c r="U114" i="7"/>
  <c r="W114" i="7"/>
  <c r="X114" i="7"/>
  <c r="Y114" i="7"/>
  <c r="D115" i="7"/>
  <c r="E115" i="7"/>
  <c r="F115" i="7"/>
  <c r="G115" i="7"/>
  <c r="H115" i="7"/>
  <c r="I115" i="7"/>
  <c r="J115" i="7"/>
  <c r="K115" i="7"/>
  <c r="L115" i="7"/>
  <c r="M115" i="7"/>
  <c r="N115" i="7"/>
  <c r="P115" i="7"/>
  <c r="Q115" i="7"/>
  <c r="R115" i="7"/>
  <c r="S115" i="7" s="1"/>
  <c r="T115" i="7"/>
  <c r="U115" i="7"/>
  <c r="W115" i="7"/>
  <c r="X115" i="7"/>
  <c r="Y115" i="7"/>
  <c r="D116" i="7"/>
  <c r="E116" i="7"/>
  <c r="F116" i="7"/>
  <c r="G116" i="7"/>
  <c r="H116" i="7"/>
  <c r="I116" i="7"/>
  <c r="J116" i="7"/>
  <c r="K116" i="7"/>
  <c r="L116" i="7"/>
  <c r="M116" i="7"/>
  <c r="N116" i="7"/>
  <c r="P116" i="7"/>
  <c r="Q116" i="7"/>
  <c r="S116" i="7" s="1"/>
  <c r="R116" i="7"/>
  <c r="T116" i="7"/>
  <c r="U116" i="7"/>
  <c r="W116" i="7"/>
  <c r="X116" i="7"/>
  <c r="Y116" i="7"/>
  <c r="D117" i="7"/>
  <c r="E117" i="7"/>
  <c r="F117" i="7"/>
  <c r="G117" i="7"/>
  <c r="H117" i="7"/>
  <c r="I117" i="7"/>
  <c r="J117" i="7"/>
  <c r="K117" i="7"/>
  <c r="L117" i="7"/>
  <c r="M117" i="7"/>
  <c r="N117" i="7"/>
  <c r="P117" i="7"/>
  <c r="Q117" i="7"/>
  <c r="R117" i="7"/>
  <c r="S117" i="7" s="1"/>
  <c r="T117" i="7"/>
  <c r="U117" i="7"/>
  <c r="W117" i="7"/>
  <c r="X117" i="7"/>
  <c r="Y117" i="7"/>
  <c r="D118" i="7"/>
  <c r="E118" i="7"/>
  <c r="F118" i="7"/>
  <c r="G118" i="7"/>
  <c r="H118" i="7"/>
  <c r="I118" i="7"/>
  <c r="J118" i="7"/>
  <c r="K118" i="7"/>
  <c r="L118" i="7"/>
  <c r="M118" i="7"/>
  <c r="N118" i="7"/>
  <c r="P118" i="7"/>
  <c r="Q118" i="7"/>
  <c r="R118" i="7"/>
  <c r="S118" i="7" s="1"/>
  <c r="T118" i="7"/>
  <c r="U118" i="7"/>
  <c r="W118" i="7"/>
  <c r="X118" i="7"/>
  <c r="Y118" i="7"/>
  <c r="D119" i="7"/>
  <c r="E119" i="7"/>
  <c r="F119" i="7"/>
  <c r="G119" i="7"/>
  <c r="H119" i="7"/>
  <c r="I119" i="7"/>
  <c r="J119" i="7"/>
  <c r="K119" i="7"/>
  <c r="L119" i="7"/>
  <c r="M119" i="7"/>
  <c r="N119" i="7"/>
  <c r="P119" i="7"/>
  <c r="Q119" i="7"/>
  <c r="R119" i="7"/>
  <c r="S119" i="7" s="1"/>
  <c r="T119" i="7"/>
  <c r="U119" i="7"/>
  <c r="W119" i="7"/>
  <c r="X119" i="7"/>
  <c r="Y119" i="7"/>
  <c r="D120" i="7"/>
  <c r="E120" i="7"/>
  <c r="F120" i="7"/>
  <c r="G120" i="7"/>
  <c r="H120" i="7"/>
  <c r="I120" i="7"/>
  <c r="J120" i="7"/>
  <c r="K120" i="7"/>
  <c r="L120" i="7"/>
  <c r="M120" i="7"/>
  <c r="N120" i="7"/>
  <c r="P120" i="7"/>
  <c r="Q120" i="7"/>
  <c r="R120" i="7"/>
  <c r="S120" i="7" s="1"/>
  <c r="T120" i="7"/>
  <c r="U120" i="7"/>
  <c r="W120" i="7"/>
  <c r="X120" i="7"/>
  <c r="Y120" i="7"/>
  <c r="D121" i="7"/>
  <c r="E121" i="7"/>
  <c r="F121" i="7"/>
  <c r="G121" i="7"/>
  <c r="H121" i="7"/>
  <c r="I121" i="7"/>
  <c r="J121" i="7"/>
  <c r="K121" i="7"/>
  <c r="L121" i="7"/>
  <c r="M121" i="7"/>
  <c r="N121" i="7"/>
  <c r="P121" i="7"/>
  <c r="Q121" i="7"/>
  <c r="R121" i="7"/>
  <c r="S121" i="7" s="1"/>
  <c r="T121" i="7"/>
  <c r="U121" i="7"/>
  <c r="W121" i="7"/>
  <c r="X121" i="7"/>
  <c r="Y121" i="7"/>
  <c r="D122" i="7"/>
  <c r="E122" i="7"/>
  <c r="F122" i="7"/>
  <c r="G122" i="7"/>
  <c r="H122" i="7"/>
  <c r="I122" i="7"/>
  <c r="J122" i="7"/>
  <c r="K122" i="7"/>
  <c r="L122" i="7"/>
  <c r="M122" i="7"/>
  <c r="N122" i="7"/>
  <c r="P122" i="7"/>
  <c r="Q122" i="7"/>
  <c r="R122" i="7"/>
  <c r="S122" i="7" s="1"/>
  <c r="T122" i="7"/>
  <c r="U122" i="7"/>
  <c r="W122" i="7"/>
  <c r="X122" i="7"/>
  <c r="Y122" i="7"/>
  <c r="D123" i="7"/>
  <c r="E123" i="7"/>
  <c r="F123" i="7"/>
  <c r="G123" i="7"/>
  <c r="H123" i="7"/>
  <c r="I123" i="7"/>
  <c r="J123" i="7"/>
  <c r="K123" i="7"/>
  <c r="L123" i="7"/>
  <c r="M123" i="7"/>
  <c r="N123" i="7"/>
  <c r="P123" i="7"/>
  <c r="Q123" i="7"/>
  <c r="R123" i="7"/>
  <c r="S123" i="7" s="1"/>
  <c r="T123" i="7"/>
  <c r="U123" i="7"/>
  <c r="W123" i="7"/>
  <c r="X123" i="7"/>
  <c r="Y123" i="7"/>
  <c r="D124" i="7"/>
  <c r="E124" i="7"/>
  <c r="F124" i="7"/>
  <c r="G124" i="7"/>
  <c r="H124" i="7"/>
  <c r="I124" i="7"/>
  <c r="J124" i="7"/>
  <c r="K124" i="7"/>
  <c r="L124" i="7"/>
  <c r="M124" i="7"/>
  <c r="N124" i="7"/>
  <c r="P124" i="7"/>
  <c r="Q124" i="7"/>
  <c r="R124" i="7"/>
  <c r="S124" i="7" s="1"/>
  <c r="T124" i="7"/>
  <c r="U124" i="7"/>
  <c r="W124" i="7"/>
  <c r="X124" i="7"/>
  <c r="Y124" i="7"/>
  <c r="D125" i="7"/>
  <c r="E125" i="7"/>
  <c r="F125" i="7"/>
  <c r="G125" i="7"/>
  <c r="H125" i="7"/>
  <c r="I125" i="7"/>
  <c r="J125" i="7"/>
  <c r="K125" i="7"/>
  <c r="L125" i="7"/>
  <c r="M125" i="7"/>
  <c r="N125" i="7"/>
  <c r="P125" i="7"/>
  <c r="Q125" i="7"/>
  <c r="R125" i="7"/>
  <c r="S125" i="7" s="1"/>
  <c r="T125" i="7"/>
  <c r="U125" i="7"/>
  <c r="W125" i="7"/>
  <c r="X125" i="7"/>
  <c r="Y125" i="7"/>
  <c r="D126" i="7"/>
  <c r="E126" i="7"/>
  <c r="F126" i="7"/>
  <c r="G126" i="7"/>
  <c r="H126" i="7"/>
  <c r="I126" i="7"/>
  <c r="J126" i="7"/>
  <c r="K126" i="7"/>
  <c r="L126" i="7"/>
  <c r="M126" i="7"/>
  <c r="N126" i="7"/>
  <c r="P126" i="7"/>
  <c r="Q126" i="7"/>
  <c r="R126" i="7"/>
  <c r="T126" i="7"/>
  <c r="U126" i="7"/>
  <c r="W126" i="7"/>
  <c r="X126" i="7"/>
  <c r="Y126" i="7"/>
  <c r="D127" i="7"/>
  <c r="E127" i="7"/>
  <c r="F127" i="7"/>
  <c r="G127" i="7"/>
  <c r="H127" i="7"/>
  <c r="I127" i="7"/>
  <c r="J127" i="7"/>
  <c r="K127" i="7"/>
  <c r="L127" i="7"/>
  <c r="M127" i="7"/>
  <c r="N127" i="7"/>
  <c r="P127" i="7"/>
  <c r="Q127" i="7"/>
  <c r="R127" i="7"/>
  <c r="T127" i="7"/>
  <c r="U127" i="7"/>
  <c r="W127" i="7"/>
  <c r="X127" i="7"/>
  <c r="Y127" i="7"/>
  <c r="D128" i="7"/>
  <c r="E128" i="7"/>
  <c r="F128" i="7"/>
  <c r="G128" i="7"/>
  <c r="H128" i="7"/>
  <c r="I128" i="7"/>
  <c r="J128" i="7"/>
  <c r="K128" i="7"/>
  <c r="L128" i="7"/>
  <c r="M128" i="7"/>
  <c r="N128" i="7"/>
  <c r="P128" i="7"/>
  <c r="Q128" i="7"/>
  <c r="R128" i="7"/>
  <c r="T128" i="7"/>
  <c r="U128" i="7"/>
  <c r="W128" i="7"/>
  <c r="X128" i="7"/>
  <c r="Y128" i="7"/>
  <c r="D129" i="7"/>
  <c r="E129" i="7"/>
  <c r="F129" i="7"/>
  <c r="G129" i="7"/>
  <c r="H129" i="7"/>
  <c r="I129" i="7"/>
  <c r="J129" i="7"/>
  <c r="K129" i="7"/>
  <c r="L129" i="7"/>
  <c r="M129" i="7"/>
  <c r="N129" i="7"/>
  <c r="P129" i="7"/>
  <c r="Q129" i="7"/>
  <c r="R129" i="7"/>
  <c r="T129" i="7"/>
  <c r="U129" i="7"/>
  <c r="W129" i="7"/>
  <c r="X129" i="7"/>
  <c r="Y129" i="7"/>
  <c r="D130" i="7"/>
  <c r="E130" i="7"/>
  <c r="F130" i="7"/>
  <c r="G130" i="7"/>
  <c r="H130" i="7"/>
  <c r="I130" i="7"/>
  <c r="J130" i="7"/>
  <c r="K130" i="7"/>
  <c r="L130" i="7"/>
  <c r="M130" i="7"/>
  <c r="N130" i="7"/>
  <c r="P130" i="7"/>
  <c r="Q130" i="7"/>
  <c r="R130" i="7"/>
  <c r="T130" i="7"/>
  <c r="U130" i="7"/>
  <c r="W130" i="7"/>
  <c r="X130" i="7"/>
  <c r="Y130" i="7"/>
  <c r="D131" i="7"/>
  <c r="E131" i="7"/>
  <c r="F131" i="7"/>
  <c r="G131" i="7"/>
  <c r="H131" i="7"/>
  <c r="P6" i="10" s="1"/>
  <c r="I131" i="7"/>
  <c r="N6" i="10" s="1"/>
  <c r="J131" i="7"/>
  <c r="K131" i="7"/>
  <c r="O6" i="10" s="1"/>
  <c r="L131" i="7"/>
  <c r="M131" i="7"/>
  <c r="N131" i="7"/>
  <c r="P131" i="7"/>
  <c r="Q131" i="7"/>
  <c r="H6" i="10" s="1"/>
  <c r="R131" i="7"/>
  <c r="T131" i="7"/>
  <c r="J6" i="10" s="1"/>
  <c r="U131" i="7"/>
  <c r="W131" i="7"/>
  <c r="X131" i="7"/>
  <c r="Y131" i="7"/>
  <c r="D132" i="7"/>
  <c r="E132" i="7"/>
  <c r="F132" i="7"/>
  <c r="G132" i="7"/>
  <c r="H132" i="7"/>
  <c r="I132" i="7"/>
  <c r="J132" i="7"/>
  <c r="K132" i="7"/>
  <c r="L132" i="7"/>
  <c r="M132" i="7"/>
  <c r="N132" i="7"/>
  <c r="P132" i="7"/>
  <c r="Q132" i="7"/>
  <c r="R132" i="7"/>
  <c r="S132" i="7" s="1"/>
  <c r="T132" i="7"/>
  <c r="U132" i="7"/>
  <c r="W132" i="7"/>
  <c r="X132" i="7"/>
  <c r="Y132" i="7"/>
  <c r="D133" i="7"/>
  <c r="E133" i="7"/>
  <c r="F133" i="7"/>
  <c r="G133" i="7"/>
  <c r="H133" i="7"/>
  <c r="I133" i="7"/>
  <c r="J133" i="7"/>
  <c r="K133" i="7"/>
  <c r="L133" i="7"/>
  <c r="M133" i="7"/>
  <c r="N133" i="7"/>
  <c r="P133" i="7"/>
  <c r="Q133" i="7"/>
  <c r="R133" i="7"/>
  <c r="T133" i="7"/>
  <c r="U133" i="7"/>
  <c r="W133" i="7"/>
  <c r="X133" i="7"/>
  <c r="Y133" i="7"/>
  <c r="D134" i="7"/>
  <c r="E134" i="7"/>
  <c r="F134" i="7"/>
  <c r="G134" i="7"/>
  <c r="H134" i="7"/>
  <c r="I134" i="7"/>
  <c r="J134" i="7"/>
  <c r="K134" i="7"/>
  <c r="L134" i="7"/>
  <c r="M134" i="7"/>
  <c r="N134" i="7"/>
  <c r="P134" i="7"/>
  <c r="Q134" i="7"/>
  <c r="R134" i="7"/>
  <c r="T134" i="7"/>
  <c r="U134" i="7"/>
  <c r="W134" i="7"/>
  <c r="X134" i="7"/>
  <c r="Y134" i="7"/>
  <c r="D135" i="7"/>
  <c r="E135" i="7"/>
  <c r="F135" i="7"/>
  <c r="G135" i="7"/>
  <c r="H135" i="7"/>
  <c r="I135" i="7"/>
  <c r="J135" i="7"/>
  <c r="K135" i="7"/>
  <c r="L135" i="7"/>
  <c r="M135" i="7"/>
  <c r="N135" i="7"/>
  <c r="P135" i="7"/>
  <c r="Q135" i="7"/>
  <c r="R135" i="7"/>
  <c r="T135" i="7"/>
  <c r="U135" i="7"/>
  <c r="W135" i="7"/>
  <c r="X135" i="7"/>
  <c r="Y135" i="7"/>
  <c r="D136" i="7"/>
  <c r="E136" i="7"/>
  <c r="F136" i="7"/>
  <c r="G136" i="7"/>
  <c r="H136" i="7"/>
  <c r="I136" i="7"/>
  <c r="J136" i="7"/>
  <c r="K136" i="7"/>
  <c r="L136" i="7"/>
  <c r="M136" i="7"/>
  <c r="N136" i="7"/>
  <c r="P136" i="7"/>
  <c r="Q136" i="7"/>
  <c r="R136" i="7"/>
  <c r="T136" i="7"/>
  <c r="U136" i="7"/>
  <c r="W136" i="7"/>
  <c r="X136" i="7"/>
  <c r="Y136" i="7"/>
  <c r="D137" i="7"/>
  <c r="E137" i="7"/>
  <c r="F137" i="7"/>
  <c r="G137" i="7"/>
  <c r="H137" i="7"/>
  <c r="I137" i="7"/>
  <c r="J137" i="7"/>
  <c r="K137" i="7"/>
  <c r="L137" i="7"/>
  <c r="M137" i="7"/>
  <c r="N137" i="7"/>
  <c r="P137" i="7"/>
  <c r="Q137" i="7"/>
  <c r="R137" i="7"/>
  <c r="T137" i="7"/>
  <c r="U137" i="7"/>
  <c r="W137" i="7"/>
  <c r="X137" i="7"/>
  <c r="Y137" i="7"/>
  <c r="D138" i="7"/>
  <c r="E138" i="7"/>
  <c r="F138" i="7"/>
  <c r="G138" i="7"/>
  <c r="H138" i="7"/>
  <c r="I138" i="7"/>
  <c r="J138" i="7"/>
  <c r="K138" i="7"/>
  <c r="L138" i="7"/>
  <c r="M138" i="7"/>
  <c r="N138" i="7"/>
  <c r="P138" i="7"/>
  <c r="Q138" i="7"/>
  <c r="R138" i="7"/>
  <c r="T138" i="7"/>
  <c r="U138" i="7"/>
  <c r="W138" i="7"/>
  <c r="X138" i="7"/>
  <c r="Y138" i="7"/>
  <c r="D139" i="7"/>
  <c r="E139" i="7"/>
  <c r="F139" i="7"/>
  <c r="G139" i="7"/>
  <c r="H139" i="7"/>
  <c r="I139" i="7"/>
  <c r="J139" i="7"/>
  <c r="K139" i="7"/>
  <c r="L139" i="7"/>
  <c r="M139" i="7"/>
  <c r="N139" i="7"/>
  <c r="P139" i="7"/>
  <c r="Q139" i="7"/>
  <c r="R139" i="7"/>
  <c r="T139" i="7"/>
  <c r="U139" i="7"/>
  <c r="W139" i="7"/>
  <c r="X139" i="7"/>
  <c r="Y139" i="7"/>
  <c r="D140" i="7"/>
  <c r="E140" i="7"/>
  <c r="F140" i="7"/>
  <c r="G140" i="7"/>
  <c r="H140" i="7"/>
  <c r="I140" i="7"/>
  <c r="J140" i="7"/>
  <c r="K140" i="7"/>
  <c r="L140" i="7"/>
  <c r="M140" i="7"/>
  <c r="N140" i="7"/>
  <c r="P140" i="7"/>
  <c r="Q140" i="7"/>
  <c r="R140" i="7"/>
  <c r="S140" i="7" s="1"/>
  <c r="T140" i="7"/>
  <c r="U140" i="7"/>
  <c r="W140" i="7"/>
  <c r="X140" i="7"/>
  <c r="Y140" i="7"/>
  <c r="D141" i="7"/>
  <c r="E141" i="7"/>
  <c r="F141" i="7"/>
  <c r="G141" i="7"/>
  <c r="H141" i="7"/>
  <c r="I141" i="7"/>
  <c r="J141" i="7"/>
  <c r="K141" i="7"/>
  <c r="L141" i="7"/>
  <c r="M141" i="7"/>
  <c r="N141" i="7"/>
  <c r="P141" i="7"/>
  <c r="Q141" i="7"/>
  <c r="R141" i="7"/>
  <c r="T141" i="7"/>
  <c r="U141" i="7"/>
  <c r="W141" i="7"/>
  <c r="X141" i="7"/>
  <c r="Y141" i="7"/>
  <c r="D142" i="7"/>
  <c r="E142" i="7"/>
  <c r="F142" i="7"/>
  <c r="G142" i="7"/>
  <c r="H142" i="7"/>
  <c r="I142" i="7"/>
  <c r="J142" i="7"/>
  <c r="K142" i="7"/>
  <c r="L142" i="7"/>
  <c r="M142" i="7"/>
  <c r="N142" i="7"/>
  <c r="P142" i="7"/>
  <c r="Q142" i="7"/>
  <c r="R142" i="7"/>
  <c r="T142" i="7"/>
  <c r="U142" i="7"/>
  <c r="W142" i="7"/>
  <c r="X142" i="7"/>
  <c r="Y142" i="7"/>
  <c r="D143" i="7"/>
  <c r="E143" i="7"/>
  <c r="F143" i="7"/>
  <c r="G143" i="7"/>
  <c r="H143" i="7"/>
  <c r="I143" i="7"/>
  <c r="J143" i="7"/>
  <c r="K143" i="7"/>
  <c r="L143" i="7"/>
  <c r="M143" i="7"/>
  <c r="N143" i="7"/>
  <c r="P143" i="7"/>
  <c r="Q143" i="7"/>
  <c r="R143" i="7"/>
  <c r="T143" i="7"/>
  <c r="U143" i="7"/>
  <c r="W143" i="7"/>
  <c r="X143" i="7"/>
  <c r="Y143" i="7"/>
  <c r="D144" i="7"/>
  <c r="E144" i="7"/>
  <c r="F144" i="7"/>
  <c r="G144" i="7"/>
  <c r="H144" i="7"/>
  <c r="I144" i="7"/>
  <c r="J144" i="7"/>
  <c r="K144" i="7"/>
  <c r="L144" i="7"/>
  <c r="M144" i="7"/>
  <c r="N144" i="7"/>
  <c r="P144" i="7"/>
  <c r="Q144" i="7"/>
  <c r="R144" i="7"/>
  <c r="T144" i="7"/>
  <c r="U144" i="7"/>
  <c r="W144" i="7"/>
  <c r="X144" i="7"/>
  <c r="Y144" i="7"/>
  <c r="D145" i="7"/>
  <c r="E145" i="7"/>
  <c r="F145" i="7"/>
  <c r="G145" i="7"/>
  <c r="H145" i="7"/>
  <c r="I145" i="7"/>
  <c r="J145" i="7"/>
  <c r="K145" i="7"/>
  <c r="L145" i="7"/>
  <c r="M145" i="7"/>
  <c r="N145" i="7"/>
  <c r="P145" i="7"/>
  <c r="Q145" i="7"/>
  <c r="R145" i="7"/>
  <c r="T145" i="7"/>
  <c r="U145" i="7"/>
  <c r="W145" i="7"/>
  <c r="X145" i="7"/>
  <c r="Y145" i="7"/>
  <c r="D146" i="7"/>
  <c r="E146" i="7"/>
  <c r="F146" i="7"/>
  <c r="G146" i="7"/>
  <c r="H146" i="7"/>
  <c r="I146" i="7"/>
  <c r="J146" i="7"/>
  <c r="K146" i="7"/>
  <c r="L146" i="7"/>
  <c r="M146" i="7"/>
  <c r="N146" i="7"/>
  <c r="P146" i="7"/>
  <c r="Q146" i="7"/>
  <c r="R146" i="7"/>
  <c r="S146" i="7" s="1"/>
  <c r="T146" i="7"/>
  <c r="U146" i="7"/>
  <c r="W146" i="7"/>
  <c r="X146" i="7"/>
  <c r="Y146" i="7"/>
  <c r="D147" i="7"/>
  <c r="E147" i="7"/>
  <c r="F147" i="7"/>
  <c r="G147" i="7"/>
  <c r="H147" i="7"/>
  <c r="I147" i="7"/>
  <c r="J147" i="7"/>
  <c r="K147" i="7"/>
  <c r="L147" i="7"/>
  <c r="M147" i="7"/>
  <c r="N147" i="7"/>
  <c r="P147" i="7"/>
  <c r="Q147" i="7"/>
  <c r="R147" i="7"/>
  <c r="S147" i="7" s="1"/>
  <c r="T147" i="7"/>
  <c r="U147" i="7"/>
  <c r="W147" i="7"/>
  <c r="X147" i="7"/>
  <c r="Y147" i="7"/>
  <c r="D148" i="7"/>
  <c r="E148" i="7"/>
  <c r="F148" i="7"/>
  <c r="G148" i="7"/>
  <c r="H148" i="7"/>
  <c r="I148" i="7"/>
  <c r="J148" i="7"/>
  <c r="K148" i="7"/>
  <c r="L148" i="7"/>
  <c r="M148" i="7"/>
  <c r="N148" i="7"/>
  <c r="P148" i="7"/>
  <c r="Q148" i="7"/>
  <c r="R148" i="7"/>
  <c r="T148" i="7"/>
  <c r="U148" i="7"/>
  <c r="W148" i="7"/>
  <c r="X148" i="7"/>
  <c r="Y148" i="7"/>
  <c r="D149" i="7"/>
  <c r="E149" i="7"/>
  <c r="F149" i="7"/>
  <c r="G149" i="7"/>
  <c r="H149" i="7"/>
  <c r="I149" i="7"/>
  <c r="J149" i="7"/>
  <c r="K149" i="7"/>
  <c r="L149" i="7"/>
  <c r="M149" i="7"/>
  <c r="N149" i="7"/>
  <c r="P149" i="7"/>
  <c r="Q149" i="7"/>
  <c r="R149" i="7"/>
  <c r="T149" i="7"/>
  <c r="U149" i="7"/>
  <c r="W149" i="7"/>
  <c r="X149" i="7"/>
  <c r="Y149" i="7"/>
  <c r="D150" i="7"/>
  <c r="E150" i="7"/>
  <c r="F150" i="7"/>
  <c r="G150" i="7"/>
  <c r="H150" i="7"/>
  <c r="I150" i="7"/>
  <c r="J150" i="7"/>
  <c r="K150" i="7"/>
  <c r="L150" i="7"/>
  <c r="M150" i="7"/>
  <c r="N150" i="7"/>
  <c r="P150" i="7"/>
  <c r="Q150" i="7"/>
  <c r="R150" i="7"/>
  <c r="T150" i="7"/>
  <c r="U150" i="7"/>
  <c r="W150" i="7"/>
  <c r="X150" i="7"/>
  <c r="Y150" i="7"/>
  <c r="D151" i="7"/>
  <c r="E151" i="7"/>
  <c r="F151" i="7"/>
  <c r="G151" i="7"/>
  <c r="H151" i="7"/>
  <c r="I151" i="7"/>
  <c r="J151" i="7"/>
  <c r="K151" i="7"/>
  <c r="L151" i="7"/>
  <c r="M151" i="7"/>
  <c r="N151" i="7"/>
  <c r="P151" i="7"/>
  <c r="Q151" i="7"/>
  <c r="R151" i="7"/>
  <c r="T151" i="7"/>
  <c r="U151" i="7"/>
  <c r="W151" i="7"/>
  <c r="X151" i="7"/>
  <c r="Y151" i="7"/>
  <c r="D152" i="7"/>
  <c r="E152" i="7"/>
  <c r="F152" i="7"/>
  <c r="G152" i="7"/>
  <c r="H152" i="7"/>
  <c r="I152" i="7"/>
  <c r="J152" i="7"/>
  <c r="K152" i="7"/>
  <c r="L152" i="7"/>
  <c r="M152" i="7"/>
  <c r="N152" i="7"/>
  <c r="P152" i="7"/>
  <c r="Q152" i="7"/>
  <c r="R152" i="7"/>
  <c r="T152" i="7"/>
  <c r="U152" i="7"/>
  <c r="W152" i="7"/>
  <c r="X152" i="7"/>
  <c r="Y152" i="7"/>
  <c r="D153" i="7"/>
  <c r="E153" i="7"/>
  <c r="F153" i="7"/>
  <c r="G153" i="7"/>
  <c r="H153" i="7"/>
  <c r="I153" i="7"/>
  <c r="J153" i="7"/>
  <c r="K153" i="7"/>
  <c r="L153" i="7"/>
  <c r="M153" i="7"/>
  <c r="N153" i="7"/>
  <c r="P153" i="7"/>
  <c r="Q153" i="7"/>
  <c r="R153" i="7"/>
  <c r="T153" i="7"/>
  <c r="U153" i="7"/>
  <c r="W153" i="7"/>
  <c r="X153" i="7"/>
  <c r="Y153" i="7"/>
  <c r="D154" i="7"/>
  <c r="E154" i="7"/>
  <c r="F154" i="7"/>
  <c r="G154" i="7"/>
  <c r="H154" i="7"/>
  <c r="I154" i="7"/>
  <c r="J154" i="7"/>
  <c r="K154" i="7"/>
  <c r="L154" i="7"/>
  <c r="M154" i="7"/>
  <c r="N154" i="7"/>
  <c r="P154" i="7"/>
  <c r="Q154" i="7"/>
  <c r="R154" i="7"/>
  <c r="T154" i="7"/>
  <c r="U154" i="7"/>
  <c r="W154" i="7"/>
  <c r="X154" i="7"/>
  <c r="Y154" i="7"/>
  <c r="D155" i="7"/>
  <c r="E155" i="7"/>
  <c r="F155" i="7"/>
  <c r="G155" i="7"/>
  <c r="H155" i="7"/>
  <c r="I155" i="7"/>
  <c r="J155" i="7"/>
  <c r="K155" i="7"/>
  <c r="L155" i="7"/>
  <c r="M155" i="7"/>
  <c r="N155" i="7"/>
  <c r="P155" i="7"/>
  <c r="Q155" i="7"/>
  <c r="R155" i="7"/>
  <c r="T155" i="7"/>
  <c r="U155" i="7"/>
  <c r="W155" i="7"/>
  <c r="X155" i="7"/>
  <c r="Y155" i="7"/>
  <c r="D156" i="7"/>
  <c r="E156" i="7"/>
  <c r="F156" i="7"/>
  <c r="G156" i="7"/>
  <c r="H156" i="7"/>
  <c r="I156" i="7"/>
  <c r="J156" i="7"/>
  <c r="K156" i="7"/>
  <c r="L156" i="7"/>
  <c r="M156" i="7"/>
  <c r="N156" i="7"/>
  <c r="P156" i="7"/>
  <c r="Q156" i="7"/>
  <c r="R156" i="7"/>
  <c r="T156" i="7"/>
  <c r="U156" i="7"/>
  <c r="W156" i="7"/>
  <c r="X156" i="7"/>
  <c r="Y156" i="7"/>
  <c r="D157" i="7"/>
  <c r="E157" i="7"/>
  <c r="F157" i="7"/>
  <c r="G157" i="7"/>
  <c r="H157" i="7"/>
  <c r="I157" i="7"/>
  <c r="J157" i="7"/>
  <c r="K157" i="7"/>
  <c r="L157" i="7"/>
  <c r="M157" i="7"/>
  <c r="N157" i="7"/>
  <c r="P157" i="7"/>
  <c r="Q157" i="7"/>
  <c r="R157" i="7"/>
  <c r="T157" i="7"/>
  <c r="U157" i="7"/>
  <c r="W157" i="7"/>
  <c r="X157" i="7"/>
  <c r="Y157" i="7"/>
  <c r="D158" i="7"/>
  <c r="E158" i="7"/>
  <c r="F158" i="7"/>
  <c r="G158" i="7"/>
  <c r="H158" i="7"/>
  <c r="I158" i="7"/>
  <c r="J158" i="7"/>
  <c r="K158" i="7"/>
  <c r="L158" i="7"/>
  <c r="M158" i="7"/>
  <c r="N158" i="7"/>
  <c r="P158" i="7"/>
  <c r="Q158" i="7"/>
  <c r="R158" i="7"/>
  <c r="T158" i="7"/>
  <c r="U158" i="7"/>
  <c r="W158" i="7"/>
  <c r="X158" i="7"/>
  <c r="Y158" i="7"/>
  <c r="D159" i="7"/>
  <c r="E159" i="7"/>
  <c r="F159" i="7"/>
  <c r="G159" i="7"/>
  <c r="H159" i="7"/>
  <c r="I159" i="7"/>
  <c r="J159" i="7"/>
  <c r="K159" i="7"/>
  <c r="L159" i="7"/>
  <c r="M159" i="7"/>
  <c r="N159" i="7"/>
  <c r="P159" i="7"/>
  <c r="Q159" i="7"/>
  <c r="R159" i="7"/>
  <c r="T159" i="7"/>
  <c r="U159" i="7"/>
  <c r="W159" i="7"/>
  <c r="X159" i="7"/>
  <c r="Y159" i="7"/>
  <c r="D160" i="7"/>
  <c r="E160" i="7"/>
  <c r="F160" i="7"/>
  <c r="G160" i="7"/>
  <c r="H160" i="7"/>
  <c r="I160" i="7"/>
  <c r="J160" i="7"/>
  <c r="K160" i="7"/>
  <c r="L160" i="7"/>
  <c r="M160" i="7"/>
  <c r="N160" i="7"/>
  <c r="P160" i="7"/>
  <c r="Q160" i="7"/>
  <c r="R160" i="7"/>
  <c r="S160" i="7" s="1"/>
  <c r="T160" i="7"/>
  <c r="U160" i="7"/>
  <c r="W160" i="7"/>
  <c r="X160" i="7"/>
  <c r="Y160" i="7"/>
  <c r="D161" i="7"/>
  <c r="E161" i="7"/>
  <c r="F161" i="7"/>
  <c r="G161" i="7"/>
  <c r="H161" i="7"/>
  <c r="I161" i="7"/>
  <c r="J161" i="7"/>
  <c r="K161" i="7"/>
  <c r="L161" i="7"/>
  <c r="M161" i="7"/>
  <c r="N161" i="7"/>
  <c r="P161" i="7"/>
  <c r="Q161" i="7"/>
  <c r="R161" i="7"/>
  <c r="T161" i="7"/>
  <c r="U161" i="7"/>
  <c r="W161" i="7"/>
  <c r="X161" i="7"/>
  <c r="Y161" i="7"/>
  <c r="D162" i="7"/>
  <c r="E162" i="7"/>
  <c r="F162" i="7"/>
  <c r="G162" i="7"/>
  <c r="H162" i="7"/>
  <c r="I162" i="7"/>
  <c r="J162" i="7"/>
  <c r="K162" i="7"/>
  <c r="L162" i="7"/>
  <c r="M162" i="7"/>
  <c r="N162" i="7"/>
  <c r="P162" i="7"/>
  <c r="Q162" i="7"/>
  <c r="R162" i="7"/>
  <c r="T162" i="7"/>
  <c r="U162" i="7"/>
  <c r="W162" i="7"/>
  <c r="X162" i="7"/>
  <c r="Y162" i="7"/>
  <c r="D163" i="7"/>
  <c r="E163" i="7"/>
  <c r="F163" i="7"/>
  <c r="G163" i="7"/>
  <c r="H163" i="7"/>
  <c r="I163" i="7"/>
  <c r="J163" i="7"/>
  <c r="K163" i="7"/>
  <c r="L163" i="7"/>
  <c r="M163" i="7"/>
  <c r="N163" i="7"/>
  <c r="P163" i="7"/>
  <c r="Q163" i="7"/>
  <c r="R163" i="7"/>
  <c r="T163" i="7"/>
  <c r="U163" i="7"/>
  <c r="W163" i="7"/>
  <c r="X163" i="7"/>
  <c r="Y163" i="7"/>
  <c r="D164" i="7"/>
  <c r="E164" i="7"/>
  <c r="F164" i="7"/>
  <c r="G164" i="7"/>
  <c r="H164" i="7"/>
  <c r="I164" i="7"/>
  <c r="J164" i="7"/>
  <c r="K164" i="7"/>
  <c r="L164" i="7"/>
  <c r="M164" i="7"/>
  <c r="N164" i="7"/>
  <c r="P164" i="7"/>
  <c r="Q164" i="7"/>
  <c r="R164" i="7"/>
  <c r="T164" i="7"/>
  <c r="U164" i="7"/>
  <c r="W164" i="7"/>
  <c r="X164" i="7"/>
  <c r="Y164" i="7"/>
  <c r="D165" i="7"/>
  <c r="E165" i="7"/>
  <c r="F165" i="7"/>
  <c r="G165" i="7"/>
  <c r="H165" i="7"/>
  <c r="I165" i="7"/>
  <c r="J165" i="7"/>
  <c r="K165" i="7"/>
  <c r="L165" i="7"/>
  <c r="M165" i="7"/>
  <c r="N165" i="7"/>
  <c r="P165" i="7"/>
  <c r="Q165" i="7"/>
  <c r="R165" i="7"/>
  <c r="T165" i="7"/>
  <c r="U165" i="7"/>
  <c r="W165" i="7"/>
  <c r="X165" i="7"/>
  <c r="Y165" i="7"/>
  <c r="D166" i="7"/>
  <c r="E166" i="7"/>
  <c r="F166" i="7"/>
  <c r="G166" i="7"/>
  <c r="H166" i="7"/>
  <c r="I166" i="7"/>
  <c r="J166" i="7"/>
  <c r="K166" i="7"/>
  <c r="L166" i="7"/>
  <c r="M166" i="7"/>
  <c r="N166" i="7"/>
  <c r="P166" i="7"/>
  <c r="Q166" i="7"/>
  <c r="R166" i="7"/>
  <c r="T166" i="7"/>
  <c r="U166" i="7"/>
  <c r="W166" i="7"/>
  <c r="X166" i="7"/>
  <c r="Y166" i="7"/>
  <c r="D167" i="7"/>
  <c r="E167" i="7"/>
  <c r="F167" i="7"/>
  <c r="G167" i="7"/>
  <c r="H167" i="7"/>
  <c r="I167" i="7"/>
  <c r="J167" i="7"/>
  <c r="K167" i="7"/>
  <c r="L167" i="7"/>
  <c r="M167" i="7"/>
  <c r="N167" i="7"/>
  <c r="P167" i="7"/>
  <c r="Q167" i="7"/>
  <c r="R167" i="7"/>
  <c r="T167" i="7"/>
  <c r="U167" i="7"/>
  <c r="W167" i="7"/>
  <c r="X167" i="7"/>
  <c r="Y167" i="7"/>
  <c r="D168" i="7"/>
  <c r="E168" i="7"/>
  <c r="F168" i="7"/>
  <c r="G168" i="7"/>
  <c r="H168" i="7"/>
  <c r="I168" i="7"/>
  <c r="J168" i="7"/>
  <c r="K168" i="7"/>
  <c r="L168" i="7"/>
  <c r="M168" i="7"/>
  <c r="N168" i="7"/>
  <c r="P168" i="7"/>
  <c r="Q168" i="7"/>
  <c r="R168" i="7"/>
  <c r="T168" i="7"/>
  <c r="U168" i="7"/>
  <c r="W168" i="7"/>
  <c r="X168" i="7"/>
  <c r="Y168" i="7"/>
  <c r="D169" i="7"/>
  <c r="E169" i="7"/>
  <c r="F169" i="7"/>
  <c r="G169" i="7"/>
  <c r="H169" i="7"/>
  <c r="I169" i="7"/>
  <c r="J169" i="7"/>
  <c r="K169" i="7"/>
  <c r="L169" i="7"/>
  <c r="M169" i="7"/>
  <c r="N169" i="7"/>
  <c r="P169" i="7"/>
  <c r="Q169" i="7"/>
  <c r="R169" i="7"/>
  <c r="S169" i="7" s="1"/>
  <c r="T169" i="7"/>
  <c r="U169" i="7"/>
  <c r="W169" i="7"/>
  <c r="X169" i="7"/>
  <c r="Y169" i="7"/>
  <c r="D170" i="7"/>
  <c r="E170" i="7"/>
  <c r="F170" i="7"/>
  <c r="G170" i="7"/>
  <c r="H170" i="7"/>
  <c r="I170" i="7"/>
  <c r="J170" i="7"/>
  <c r="K170" i="7"/>
  <c r="L170" i="7"/>
  <c r="M170" i="7"/>
  <c r="N170" i="7"/>
  <c r="P170" i="7"/>
  <c r="Q170" i="7"/>
  <c r="R170" i="7"/>
  <c r="S170" i="7" s="1"/>
  <c r="T170" i="7"/>
  <c r="U170" i="7"/>
  <c r="W170" i="7"/>
  <c r="X170" i="7"/>
  <c r="Y170" i="7"/>
  <c r="D171" i="7"/>
  <c r="E171" i="7"/>
  <c r="F171" i="7"/>
  <c r="G171" i="7"/>
  <c r="H171" i="7"/>
  <c r="I171" i="7"/>
  <c r="J171" i="7"/>
  <c r="K171" i="7"/>
  <c r="L171" i="7"/>
  <c r="M171" i="7"/>
  <c r="N171" i="7"/>
  <c r="P171" i="7"/>
  <c r="Q171" i="7"/>
  <c r="R171" i="7"/>
  <c r="S171" i="7" s="1"/>
  <c r="T171" i="7"/>
  <c r="U171" i="7"/>
  <c r="W171" i="7"/>
  <c r="X171" i="7"/>
  <c r="Y171" i="7"/>
  <c r="D172" i="7"/>
  <c r="E172" i="7"/>
  <c r="F172" i="7"/>
  <c r="G172" i="7"/>
  <c r="H172" i="7"/>
  <c r="I172" i="7"/>
  <c r="J172" i="7"/>
  <c r="K172" i="7"/>
  <c r="L172" i="7"/>
  <c r="M172" i="7"/>
  <c r="N172" i="7"/>
  <c r="P172" i="7"/>
  <c r="Q172" i="7"/>
  <c r="R172" i="7"/>
  <c r="S172" i="7" s="1"/>
  <c r="T172" i="7"/>
  <c r="U172" i="7"/>
  <c r="W172" i="7"/>
  <c r="X172" i="7"/>
  <c r="Y172" i="7"/>
  <c r="D173" i="7"/>
  <c r="E173" i="7"/>
  <c r="F173" i="7"/>
  <c r="G173" i="7"/>
  <c r="H173" i="7"/>
  <c r="I173" i="7"/>
  <c r="J173" i="7"/>
  <c r="K173" i="7"/>
  <c r="L173" i="7"/>
  <c r="M173" i="7"/>
  <c r="N173" i="7"/>
  <c r="P173" i="7"/>
  <c r="Q173" i="7"/>
  <c r="R173" i="7"/>
  <c r="S173" i="7" s="1"/>
  <c r="T173" i="7"/>
  <c r="U173" i="7"/>
  <c r="W173" i="7"/>
  <c r="X173" i="7"/>
  <c r="Y173" i="7"/>
  <c r="D174" i="7"/>
  <c r="E174" i="7"/>
  <c r="F174" i="7"/>
  <c r="G174" i="7"/>
  <c r="H174" i="7"/>
  <c r="I174" i="7"/>
  <c r="J174" i="7"/>
  <c r="K174" i="7"/>
  <c r="L174" i="7"/>
  <c r="M174" i="7"/>
  <c r="N174" i="7"/>
  <c r="P174" i="7"/>
  <c r="Q174" i="7"/>
  <c r="R174" i="7"/>
  <c r="S174" i="7" s="1"/>
  <c r="T174" i="7"/>
  <c r="U174" i="7"/>
  <c r="W174" i="7"/>
  <c r="X174" i="7"/>
  <c r="Y174" i="7"/>
  <c r="D175" i="7"/>
  <c r="E175" i="7"/>
  <c r="F175" i="7"/>
  <c r="G175" i="7"/>
  <c r="H175" i="7"/>
  <c r="I175" i="7"/>
  <c r="J175" i="7"/>
  <c r="K175" i="7"/>
  <c r="L175" i="7"/>
  <c r="M175" i="7"/>
  <c r="N175" i="7"/>
  <c r="P175" i="7"/>
  <c r="Q175" i="7"/>
  <c r="R175" i="7"/>
  <c r="S175" i="7" s="1"/>
  <c r="T175" i="7"/>
  <c r="U175" i="7"/>
  <c r="W175" i="7"/>
  <c r="X175" i="7"/>
  <c r="Y175" i="7"/>
  <c r="D176" i="7"/>
  <c r="E176" i="7"/>
  <c r="F176" i="7"/>
  <c r="G176" i="7"/>
  <c r="H176" i="7"/>
  <c r="I176" i="7"/>
  <c r="J176" i="7"/>
  <c r="K176" i="7"/>
  <c r="L176" i="7"/>
  <c r="M176" i="7"/>
  <c r="N176" i="7"/>
  <c r="P176" i="7"/>
  <c r="Q176" i="7"/>
  <c r="R176" i="7"/>
  <c r="S176" i="7" s="1"/>
  <c r="T176" i="7"/>
  <c r="U176" i="7"/>
  <c r="W176" i="7"/>
  <c r="X176" i="7"/>
  <c r="Y176" i="7"/>
  <c r="D177" i="7"/>
  <c r="E177" i="7"/>
  <c r="F177" i="7"/>
  <c r="G177" i="7"/>
  <c r="H177" i="7"/>
  <c r="I177" i="7"/>
  <c r="J177" i="7"/>
  <c r="K177" i="7"/>
  <c r="L177" i="7"/>
  <c r="M177" i="7"/>
  <c r="N177" i="7"/>
  <c r="P177" i="7"/>
  <c r="Q177" i="7"/>
  <c r="R177" i="7"/>
  <c r="T177" i="7"/>
  <c r="U177" i="7"/>
  <c r="W177" i="7"/>
  <c r="X177" i="7"/>
  <c r="Y177" i="7"/>
  <c r="D178" i="7"/>
  <c r="E178" i="7"/>
  <c r="F178" i="7"/>
  <c r="G178" i="7"/>
  <c r="H178" i="7"/>
  <c r="I178" i="7"/>
  <c r="J178" i="7"/>
  <c r="K178" i="7"/>
  <c r="L178" i="7"/>
  <c r="M178" i="7"/>
  <c r="N178" i="7"/>
  <c r="P178" i="7"/>
  <c r="Q178" i="7"/>
  <c r="R178" i="7"/>
  <c r="S178" i="7" s="1"/>
  <c r="T178" i="7"/>
  <c r="U178" i="7"/>
  <c r="W178" i="7"/>
  <c r="X178" i="7"/>
  <c r="Y178" i="7"/>
  <c r="D179" i="7"/>
  <c r="E179" i="7"/>
  <c r="F179" i="7"/>
  <c r="G179" i="7"/>
  <c r="H179" i="7"/>
  <c r="I179" i="7"/>
  <c r="J179" i="7"/>
  <c r="K179" i="7"/>
  <c r="L179" i="7"/>
  <c r="M179" i="7"/>
  <c r="N179" i="7"/>
  <c r="P179" i="7"/>
  <c r="Q179" i="7"/>
  <c r="R179" i="7"/>
  <c r="S179" i="7" s="1"/>
  <c r="T179" i="7"/>
  <c r="U179" i="7"/>
  <c r="W179" i="7"/>
  <c r="X179" i="7"/>
  <c r="Y179" i="7"/>
  <c r="D180" i="7"/>
  <c r="E180" i="7"/>
  <c r="F180" i="7"/>
  <c r="G180" i="7"/>
  <c r="H180" i="7"/>
  <c r="I180" i="7"/>
  <c r="J180" i="7"/>
  <c r="K180" i="7"/>
  <c r="L180" i="7"/>
  <c r="M180" i="7"/>
  <c r="N180" i="7"/>
  <c r="P180" i="7"/>
  <c r="Q180" i="7"/>
  <c r="R180" i="7"/>
  <c r="S180" i="7" s="1"/>
  <c r="T180" i="7"/>
  <c r="U180" i="7"/>
  <c r="W180" i="7"/>
  <c r="X180" i="7"/>
  <c r="Y180" i="7"/>
  <c r="D181" i="7"/>
  <c r="E181" i="7"/>
  <c r="F181" i="7"/>
  <c r="G181" i="7"/>
  <c r="H181" i="7"/>
  <c r="I181" i="7"/>
  <c r="J181" i="7"/>
  <c r="K181" i="7"/>
  <c r="L181" i="7"/>
  <c r="M181" i="7"/>
  <c r="N181" i="7"/>
  <c r="P181" i="7"/>
  <c r="Q181" i="7"/>
  <c r="R181" i="7"/>
  <c r="S181" i="7" s="1"/>
  <c r="T181" i="7"/>
  <c r="U181" i="7"/>
  <c r="W181" i="7"/>
  <c r="X181" i="7"/>
  <c r="Y181" i="7"/>
  <c r="D182" i="7"/>
  <c r="E182" i="7"/>
  <c r="F182" i="7"/>
  <c r="G182" i="7"/>
  <c r="H182" i="7"/>
  <c r="I182" i="7"/>
  <c r="J182" i="7"/>
  <c r="K182" i="7"/>
  <c r="L182" i="7"/>
  <c r="M182" i="7"/>
  <c r="N182" i="7"/>
  <c r="P182" i="7"/>
  <c r="Q182" i="7"/>
  <c r="R182" i="7"/>
  <c r="S182" i="7" s="1"/>
  <c r="T182" i="7"/>
  <c r="U182" i="7"/>
  <c r="W182" i="7"/>
  <c r="X182" i="7"/>
  <c r="Y182" i="7"/>
  <c r="D183" i="7"/>
  <c r="E183" i="7"/>
  <c r="F183" i="7"/>
  <c r="G183" i="7"/>
  <c r="H183" i="7"/>
  <c r="I183" i="7"/>
  <c r="J183" i="7"/>
  <c r="K183" i="7"/>
  <c r="L183" i="7"/>
  <c r="M183" i="7"/>
  <c r="N183" i="7"/>
  <c r="P183" i="7"/>
  <c r="Q183" i="7"/>
  <c r="R183" i="7"/>
  <c r="S183" i="7" s="1"/>
  <c r="T183" i="7"/>
  <c r="U183" i="7"/>
  <c r="V183" i="7" s="1"/>
  <c r="W183" i="7"/>
  <c r="X183" i="7"/>
  <c r="Y183" i="7"/>
  <c r="D184" i="7"/>
  <c r="E184" i="7"/>
  <c r="F184" i="7"/>
  <c r="G184" i="7"/>
  <c r="H184" i="7"/>
  <c r="I184" i="7"/>
  <c r="J184" i="7"/>
  <c r="K184" i="7"/>
  <c r="L184" i="7"/>
  <c r="M184" i="7"/>
  <c r="N184" i="7"/>
  <c r="P184" i="7"/>
  <c r="Q184" i="7"/>
  <c r="R184" i="7"/>
  <c r="S184" i="7" s="1"/>
  <c r="T184" i="7"/>
  <c r="U184" i="7"/>
  <c r="W184" i="7"/>
  <c r="X184" i="7"/>
  <c r="Y184" i="7"/>
  <c r="D185" i="7"/>
  <c r="E185" i="7"/>
  <c r="F185" i="7"/>
  <c r="G185" i="7"/>
  <c r="H185" i="7"/>
  <c r="I185" i="7"/>
  <c r="J185" i="7"/>
  <c r="K185" i="7"/>
  <c r="L185" i="7"/>
  <c r="M185" i="7"/>
  <c r="N185" i="7"/>
  <c r="P185" i="7"/>
  <c r="Q185" i="7"/>
  <c r="R185" i="7"/>
  <c r="S185" i="7" s="1"/>
  <c r="T185" i="7"/>
  <c r="U185" i="7"/>
  <c r="W185" i="7"/>
  <c r="X185" i="7"/>
  <c r="Y185" i="7"/>
  <c r="D186" i="7"/>
  <c r="E186" i="7"/>
  <c r="F186" i="7"/>
  <c r="G186" i="7"/>
  <c r="H186" i="7"/>
  <c r="I186" i="7"/>
  <c r="J186" i="7"/>
  <c r="K186" i="7"/>
  <c r="L186" i="7"/>
  <c r="M186" i="7"/>
  <c r="N186" i="7"/>
  <c r="P186" i="7"/>
  <c r="Q186" i="7"/>
  <c r="R186" i="7"/>
  <c r="S186" i="7" s="1"/>
  <c r="T186" i="7"/>
  <c r="U186" i="7"/>
  <c r="W186" i="7"/>
  <c r="X186" i="7"/>
  <c r="Y186" i="7"/>
  <c r="D187" i="7"/>
  <c r="E187" i="7"/>
  <c r="F187" i="7"/>
  <c r="G187" i="7"/>
  <c r="H187" i="7"/>
  <c r="I187" i="7"/>
  <c r="J187" i="7"/>
  <c r="K187" i="7"/>
  <c r="L187" i="7"/>
  <c r="M187" i="7"/>
  <c r="N187" i="7"/>
  <c r="P187" i="7"/>
  <c r="Q187" i="7"/>
  <c r="R187" i="7"/>
  <c r="S187" i="7" s="1"/>
  <c r="T187" i="7"/>
  <c r="U187" i="7"/>
  <c r="W187" i="7"/>
  <c r="X187" i="7"/>
  <c r="Y187" i="7"/>
  <c r="D188" i="7"/>
  <c r="E188" i="7"/>
  <c r="F188" i="7"/>
  <c r="G188" i="7"/>
  <c r="H188" i="7"/>
  <c r="I188" i="7"/>
  <c r="J188" i="7"/>
  <c r="K188" i="7"/>
  <c r="L188" i="7"/>
  <c r="M188" i="7"/>
  <c r="N188" i="7"/>
  <c r="P188" i="7"/>
  <c r="Q188" i="7"/>
  <c r="R188" i="7"/>
  <c r="S188" i="7" s="1"/>
  <c r="T188" i="7"/>
  <c r="U188" i="7"/>
  <c r="W188" i="7"/>
  <c r="X188" i="7"/>
  <c r="Y188" i="7"/>
  <c r="D189" i="7"/>
  <c r="E189" i="7"/>
  <c r="F189" i="7"/>
  <c r="G189" i="7"/>
  <c r="H189" i="7"/>
  <c r="I189" i="7"/>
  <c r="J189" i="7"/>
  <c r="K189" i="7"/>
  <c r="L189" i="7"/>
  <c r="M189" i="7"/>
  <c r="N189" i="7"/>
  <c r="P189" i="7"/>
  <c r="Q189" i="7"/>
  <c r="R189" i="7"/>
  <c r="S189" i="7" s="1"/>
  <c r="T189" i="7"/>
  <c r="U189" i="7"/>
  <c r="W189" i="7"/>
  <c r="X189" i="7"/>
  <c r="Y189" i="7"/>
  <c r="D190" i="7"/>
  <c r="E190" i="7"/>
  <c r="F190" i="7"/>
  <c r="G190" i="7"/>
  <c r="H190" i="7"/>
  <c r="I190" i="7"/>
  <c r="J190" i="7"/>
  <c r="K190" i="7"/>
  <c r="L190" i="7"/>
  <c r="M190" i="7"/>
  <c r="N190" i="7"/>
  <c r="P190" i="7"/>
  <c r="Q190" i="7"/>
  <c r="R190" i="7"/>
  <c r="T190" i="7"/>
  <c r="U190" i="7"/>
  <c r="W190" i="7"/>
  <c r="X190" i="7"/>
  <c r="Y190" i="7"/>
  <c r="D191" i="7"/>
  <c r="E191" i="7"/>
  <c r="F191" i="7"/>
  <c r="G191" i="7"/>
  <c r="H191" i="7"/>
  <c r="I191" i="7"/>
  <c r="J191" i="7"/>
  <c r="K191" i="7"/>
  <c r="L191" i="7"/>
  <c r="M191" i="7"/>
  <c r="N191" i="7"/>
  <c r="P191" i="7"/>
  <c r="Q191" i="7"/>
  <c r="R191" i="7"/>
  <c r="S191" i="7" s="1"/>
  <c r="T191" i="7"/>
  <c r="U191" i="7"/>
  <c r="W191" i="7"/>
  <c r="X191" i="7"/>
  <c r="Y191" i="7"/>
  <c r="D192" i="7"/>
  <c r="E192" i="7"/>
  <c r="F192" i="7"/>
  <c r="G192" i="7"/>
  <c r="H192" i="7"/>
  <c r="I192" i="7"/>
  <c r="J192" i="7"/>
  <c r="K192" i="7"/>
  <c r="L192" i="7"/>
  <c r="M192" i="7"/>
  <c r="N192" i="7"/>
  <c r="P192" i="7"/>
  <c r="Q192" i="7"/>
  <c r="R192" i="7"/>
  <c r="S192" i="7" s="1"/>
  <c r="T192" i="7"/>
  <c r="U192" i="7"/>
  <c r="W192" i="7"/>
  <c r="X192" i="7"/>
  <c r="Y192" i="7"/>
  <c r="D193" i="7"/>
  <c r="E193" i="7"/>
  <c r="F193" i="7"/>
  <c r="G193" i="7"/>
  <c r="H193" i="7"/>
  <c r="I193" i="7"/>
  <c r="J193" i="7"/>
  <c r="K193" i="7"/>
  <c r="L193" i="7"/>
  <c r="M193" i="7"/>
  <c r="N193" i="7"/>
  <c r="P193" i="7"/>
  <c r="Q193" i="7"/>
  <c r="R193" i="7"/>
  <c r="S193" i="7" s="1"/>
  <c r="T193" i="7"/>
  <c r="U193" i="7"/>
  <c r="W193" i="7"/>
  <c r="X193" i="7"/>
  <c r="Y193" i="7"/>
  <c r="D194" i="7"/>
  <c r="E194" i="7"/>
  <c r="F194" i="7"/>
  <c r="G194" i="7"/>
  <c r="H194" i="7"/>
  <c r="I194" i="7"/>
  <c r="J194" i="7"/>
  <c r="K194" i="7"/>
  <c r="L194" i="7"/>
  <c r="M194" i="7"/>
  <c r="N194" i="7"/>
  <c r="P194" i="7"/>
  <c r="Q194" i="7"/>
  <c r="R194" i="7"/>
  <c r="S194" i="7" s="1"/>
  <c r="T194" i="7"/>
  <c r="U194" i="7"/>
  <c r="W194" i="7"/>
  <c r="X194" i="7"/>
  <c r="Y194" i="7"/>
  <c r="D195" i="7"/>
  <c r="E195" i="7"/>
  <c r="F195" i="7"/>
  <c r="G195" i="7"/>
  <c r="H195" i="7"/>
  <c r="I195" i="7"/>
  <c r="J195" i="7"/>
  <c r="K195" i="7"/>
  <c r="L195" i="7"/>
  <c r="M195" i="7"/>
  <c r="N195" i="7"/>
  <c r="P195" i="7"/>
  <c r="Q195" i="7"/>
  <c r="R195" i="7"/>
  <c r="S195" i="7" s="1"/>
  <c r="T195" i="7"/>
  <c r="U195" i="7"/>
  <c r="W195" i="7"/>
  <c r="X195" i="7"/>
  <c r="Y195" i="7"/>
  <c r="D196" i="7"/>
  <c r="E196" i="7"/>
  <c r="F196" i="7"/>
  <c r="G196" i="7"/>
  <c r="H196" i="7"/>
  <c r="I196" i="7"/>
  <c r="J196" i="7"/>
  <c r="K196" i="7"/>
  <c r="L196" i="7"/>
  <c r="M196" i="7"/>
  <c r="N196" i="7"/>
  <c r="P196" i="7"/>
  <c r="Q196" i="7"/>
  <c r="R196" i="7"/>
  <c r="S196" i="7" s="1"/>
  <c r="T196" i="7"/>
  <c r="U196" i="7"/>
  <c r="V196" i="7" s="1"/>
  <c r="W196" i="7"/>
  <c r="X196" i="7"/>
  <c r="Y196" i="7"/>
  <c r="D197" i="7"/>
  <c r="E197" i="7"/>
  <c r="F197" i="7"/>
  <c r="G197" i="7"/>
  <c r="H197" i="7"/>
  <c r="I197" i="7"/>
  <c r="J197" i="7"/>
  <c r="K197" i="7"/>
  <c r="L197" i="7"/>
  <c r="M197" i="7"/>
  <c r="N197" i="7"/>
  <c r="P197" i="7"/>
  <c r="Q197" i="7"/>
  <c r="R197" i="7"/>
  <c r="S197" i="7" s="1"/>
  <c r="T197" i="7"/>
  <c r="U197" i="7"/>
  <c r="W197" i="7"/>
  <c r="X197" i="7"/>
  <c r="Y197" i="7"/>
  <c r="D198" i="7"/>
  <c r="E198" i="7"/>
  <c r="F198" i="7"/>
  <c r="G198" i="7"/>
  <c r="H198" i="7"/>
  <c r="I198" i="7"/>
  <c r="J198" i="7"/>
  <c r="K198" i="7"/>
  <c r="L198" i="7"/>
  <c r="M198" i="7"/>
  <c r="N198" i="7"/>
  <c r="P198" i="7"/>
  <c r="Q198" i="7"/>
  <c r="R198" i="7"/>
  <c r="S198" i="7" s="1"/>
  <c r="T198" i="7"/>
  <c r="U198" i="7"/>
  <c r="W198" i="7"/>
  <c r="X198" i="7"/>
  <c r="Y198" i="7"/>
  <c r="D199" i="7"/>
  <c r="E199" i="7"/>
  <c r="F199" i="7"/>
  <c r="G199" i="7"/>
  <c r="H199" i="7"/>
  <c r="I199" i="7"/>
  <c r="J199" i="7"/>
  <c r="K199" i="7"/>
  <c r="L199" i="7"/>
  <c r="M199" i="7"/>
  <c r="N199" i="7"/>
  <c r="P199" i="7"/>
  <c r="Q199" i="7"/>
  <c r="R199" i="7"/>
  <c r="S199" i="7" s="1"/>
  <c r="T199" i="7"/>
  <c r="U199" i="7"/>
  <c r="W199" i="7"/>
  <c r="X199" i="7"/>
  <c r="Y199" i="7"/>
  <c r="D200" i="7"/>
  <c r="E200" i="7"/>
  <c r="F200" i="7"/>
  <c r="G200" i="7"/>
  <c r="H200" i="7"/>
  <c r="I200" i="7"/>
  <c r="J200" i="7"/>
  <c r="K200" i="7"/>
  <c r="L200" i="7"/>
  <c r="M200" i="7"/>
  <c r="N200" i="7"/>
  <c r="P200" i="7"/>
  <c r="Q200" i="7"/>
  <c r="R200" i="7"/>
  <c r="S200" i="7" s="1"/>
  <c r="T200" i="7"/>
  <c r="V200" i="7" s="1"/>
  <c r="U200" i="7"/>
  <c r="W200" i="7"/>
  <c r="X200" i="7"/>
  <c r="Y200" i="7"/>
  <c r="D201" i="7"/>
  <c r="E201" i="7"/>
  <c r="F201" i="7"/>
  <c r="G201" i="7"/>
  <c r="H201" i="7"/>
  <c r="I201" i="7"/>
  <c r="J201" i="7"/>
  <c r="K201" i="7"/>
  <c r="L201" i="7"/>
  <c r="M201" i="7"/>
  <c r="N201" i="7"/>
  <c r="P201" i="7"/>
  <c r="Q201" i="7"/>
  <c r="R201" i="7"/>
  <c r="T201" i="7"/>
  <c r="U201" i="7"/>
  <c r="W201" i="7"/>
  <c r="X201" i="7"/>
  <c r="Y201" i="7"/>
  <c r="D202" i="7"/>
  <c r="E202" i="7"/>
  <c r="F202" i="7"/>
  <c r="G202" i="7"/>
  <c r="H202" i="7"/>
  <c r="I202" i="7"/>
  <c r="J202" i="7"/>
  <c r="K202" i="7"/>
  <c r="L202" i="7"/>
  <c r="M202" i="7"/>
  <c r="N202" i="7"/>
  <c r="P202" i="7"/>
  <c r="Q202" i="7"/>
  <c r="R202" i="7"/>
  <c r="S202" i="7" s="1"/>
  <c r="T202" i="7"/>
  <c r="U202" i="7"/>
  <c r="W202" i="7"/>
  <c r="X202" i="7"/>
  <c r="Y202" i="7"/>
  <c r="D203" i="7"/>
  <c r="E203" i="7"/>
  <c r="F203" i="7"/>
  <c r="G203" i="7"/>
  <c r="H203" i="7"/>
  <c r="I203" i="7"/>
  <c r="J203" i="7"/>
  <c r="K203" i="7"/>
  <c r="L203" i="7"/>
  <c r="M203" i="7"/>
  <c r="N203" i="7"/>
  <c r="P203" i="7"/>
  <c r="Q203" i="7"/>
  <c r="R203" i="7"/>
  <c r="T203" i="7"/>
  <c r="U203" i="7"/>
  <c r="W203" i="7"/>
  <c r="X203" i="7"/>
  <c r="Y203" i="7"/>
  <c r="D204" i="7"/>
  <c r="E204" i="7"/>
  <c r="F204" i="7"/>
  <c r="G204" i="7"/>
  <c r="H204" i="7"/>
  <c r="I204" i="7"/>
  <c r="J204" i="7"/>
  <c r="K204" i="7"/>
  <c r="L204" i="7"/>
  <c r="M204" i="7"/>
  <c r="N204" i="7"/>
  <c r="P204" i="7"/>
  <c r="Q204" i="7"/>
  <c r="R204" i="7"/>
  <c r="T204" i="7"/>
  <c r="U204" i="7"/>
  <c r="W204" i="7"/>
  <c r="X204" i="7"/>
  <c r="Y204" i="7"/>
  <c r="D205" i="7"/>
  <c r="E205" i="7"/>
  <c r="F205" i="7"/>
  <c r="G205" i="7"/>
  <c r="H205" i="7"/>
  <c r="I205" i="7"/>
  <c r="J205" i="7"/>
  <c r="K205" i="7"/>
  <c r="L205" i="7"/>
  <c r="M205" i="7"/>
  <c r="N205" i="7"/>
  <c r="P205" i="7"/>
  <c r="Q205" i="7"/>
  <c r="R205" i="7"/>
  <c r="S205" i="7" s="1"/>
  <c r="T205" i="7"/>
  <c r="U205" i="7"/>
  <c r="W205" i="7"/>
  <c r="X205" i="7"/>
  <c r="Y205" i="7"/>
  <c r="D206" i="7"/>
  <c r="E206" i="7"/>
  <c r="F206" i="7"/>
  <c r="G206" i="7"/>
  <c r="H206" i="7"/>
  <c r="I206" i="7"/>
  <c r="J206" i="7"/>
  <c r="K206" i="7"/>
  <c r="L206" i="7"/>
  <c r="M206" i="7"/>
  <c r="N206" i="7"/>
  <c r="P206" i="7"/>
  <c r="Q206" i="7"/>
  <c r="R206" i="7"/>
  <c r="S206" i="7" s="1"/>
  <c r="T206" i="7"/>
  <c r="U206" i="7"/>
  <c r="W206" i="7"/>
  <c r="X206" i="7"/>
  <c r="Y206" i="7"/>
  <c r="D207" i="7"/>
  <c r="E207" i="7"/>
  <c r="F207" i="7"/>
  <c r="G207" i="7"/>
  <c r="H207" i="7"/>
  <c r="I207" i="7"/>
  <c r="J207" i="7"/>
  <c r="K207" i="7"/>
  <c r="L207" i="7"/>
  <c r="M207" i="7"/>
  <c r="N207" i="7"/>
  <c r="P207" i="7"/>
  <c r="Q207" i="7"/>
  <c r="R207" i="7"/>
  <c r="S207" i="7" s="1"/>
  <c r="T207" i="7"/>
  <c r="U207" i="7"/>
  <c r="W207" i="7"/>
  <c r="X207" i="7"/>
  <c r="Y207" i="7"/>
  <c r="D208" i="7"/>
  <c r="E208" i="7"/>
  <c r="F208" i="7"/>
  <c r="G208" i="7"/>
  <c r="H208" i="7"/>
  <c r="I208" i="7"/>
  <c r="J208" i="7"/>
  <c r="K208" i="7"/>
  <c r="L208" i="7"/>
  <c r="M208" i="7"/>
  <c r="N208" i="7"/>
  <c r="P208" i="7"/>
  <c r="Q208" i="7"/>
  <c r="R208" i="7"/>
  <c r="S208" i="7" s="1"/>
  <c r="T208" i="7"/>
  <c r="U208" i="7"/>
  <c r="W208" i="7"/>
  <c r="X208" i="7"/>
  <c r="Y208" i="7"/>
  <c r="D209" i="7"/>
  <c r="E209" i="7"/>
  <c r="F209" i="7"/>
  <c r="G209" i="7"/>
  <c r="H209" i="7"/>
  <c r="I209" i="7"/>
  <c r="J209" i="7"/>
  <c r="K209" i="7"/>
  <c r="L209" i="7"/>
  <c r="M209" i="7"/>
  <c r="N209" i="7"/>
  <c r="P209" i="7"/>
  <c r="Q209" i="7"/>
  <c r="R209" i="7"/>
  <c r="T209" i="7"/>
  <c r="U209" i="7"/>
  <c r="W209" i="7"/>
  <c r="X209" i="7"/>
  <c r="Y209" i="7"/>
  <c r="D210" i="7"/>
  <c r="E210" i="7"/>
  <c r="F210" i="7"/>
  <c r="G210" i="7"/>
  <c r="H210" i="7"/>
  <c r="I210" i="7"/>
  <c r="J210" i="7"/>
  <c r="K210" i="7"/>
  <c r="L210" i="7"/>
  <c r="M210" i="7"/>
  <c r="N210" i="7"/>
  <c r="P210" i="7"/>
  <c r="Q210" i="7"/>
  <c r="R210" i="7"/>
  <c r="S210" i="7" s="1"/>
  <c r="T210" i="7"/>
  <c r="U210" i="7"/>
  <c r="W210" i="7"/>
  <c r="X210" i="7"/>
  <c r="Y210" i="7"/>
  <c r="D211" i="7"/>
  <c r="E211" i="7"/>
  <c r="F211" i="7"/>
  <c r="G211" i="7"/>
  <c r="H211" i="7"/>
  <c r="I211" i="7"/>
  <c r="J211" i="7"/>
  <c r="K211" i="7"/>
  <c r="L211" i="7"/>
  <c r="M211" i="7"/>
  <c r="N211" i="7"/>
  <c r="P211" i="7"/>
  <c r="Q211" i="7"/>
  <c r="R211" i="7"/>
  <c r="S211" i="7" s="1"/>
  <c r="T211" i="7"/>
  <c r="U211" i="7"/>
  <c r="W211" i="7"/>
  <c r="X211" i="7"/>
  <c r="Y211" i="7"/>
  <c r="D212" i="7"/>
  <c r="E212" i="7"/>
  <c r="F212" i="7"/>
  <c r="G212" i="7"/>
  <c r="H212" i="7"/>
  <c r="I212" i="7"/>
  <c r="J212" i="7"/>
  <c r="K212" i="7"/>
  <c r="L212" i="7"/>
  <c r="M212" i="7"/>
  <c r="N212" i="7"/>
  <c r="P212" i="7"/>
  <c r="Q212" i="7"/>
  <c r="R212" i="7"/>
  <c r="S212" i="7" s="1"/>
  <c r="T212" i="7"/>
  <c r="U212" i="7"/>
  <c r="W212" i="7"/>
  <c r="X212" i="7"/>
  <c r="Y212" i="7"/>
  <c r="D213" i="7"/>
  <c r="E213" i="7"/>
  <c r="F213" i="7"/>
  <c r="G213" i="7"/>
  <c r="H213" i="7"/>
  <c r="I213" i="7"/>
  <c r="J213" i="7"/>
  <c r="K213" i="7"/>
  <c r="L213" i="7"/>
  <c r="M213" i="7"/>
  <c r="N213" i="7"/>
  <c r="P213" i="7"/>
  <c r="Q213" i="7"/>
  <c r="R213" i="7"/>
  <c r="S213" i="7" s="1"/>
  <c r="T213" i="7"/>
  <c r="U213" i="7"/>
  <c r="W213" i="7"/>
  <c r="X213" i="7"/>
  <c r="Y213" i="7"/>
  <c r="D214" i="7"/>
  <c r="E214" i="7"/>
  <c r="F214" i="7"/>
  <c r="G214" i="7"/>
  <c r="H214" i="7"/>
  <c r="I214" i="7"/>
  <c r="J214" i="7"/>
  <c r="K214" i="7"/>
  <c r="L214" i="7"/>
  <c r="M214" i="7"/>
  <c r="N214" i="7"/>
  <c r="P214" i="7"/>
  <c r="Q214" i="7"/>
  <c r="R214" i="7"/>
  <c r="S214" i="7" s="1"/>
  <c r="T214" i="7"/>
  <c r="V214" i="7" s="1"/>
  <c r="U214" i="7"/>
  <c r="W214" i="7"/>
  <c r="X214" i="7"/>
  <c r="Y214" i="7"/>
  <c r="D215" i="7"/>
  <c r="E215" i="7"/>
  <c r="F215" i="7"/>
  <c r="G215" i="7"/>
  <c r="H215" i="7"/>
  <c r="I215" i="7"/>
  <c r="J215" i="7"/>
  <c r="K215" i="7"/>
  <c r="L215" i="7"/>
  <c r="M215" i="7"/>
  <c r="N215" i="7"/>
  <c r="P215" i="7"/>
  <c r="Q215" i="7"/>
  <c r="R215" i="7"/>
  <c r="S215" i="7" s="1"/>
  <c r="T215" i="7"/>
  <c r="U215" i="7"/>
  <c r="W215" i="7"/>
  <c r="X215" i="7"/>
  <c r="Y215" i="7"/>
  <c r="D216" i="7"/>
  <c r="E216" i="7"/>
  <c r="F216" i="7"/>
  <c r="G216" i="7"/>
  <c r="H216" i="7"/>
  <c r="I216" i="7"/>
  <c r="J216" i="7"/>
  <c r="K216" i="7"/>
  <c r="L216" i="7"/>
  <c r="M216" i="7"/>
  <c r="N216" i="7"/>
  <c r="P216" i="7"/>
  <c r="Q216" i="7"/>
  <c r="R216" i="7"/>
  <c r="S216" i="7" s="1"/>
  <c r="T216" i="7"/>
  <c r="U216" i="7"/>
  <c r="W216" i="7"/>
  <c r="X216" i="7"/>
  <c r="Y216" i="7"/>
  <c r="D217" i="7"/>
  <c r="E217" i="7"/>
  <c r="F217" i="7"/>
  <c r="G217" i="7"/>
  <c r="H217" i="7"/>
  <c r="I217" i="7"/>
  <c r="J217" i="7"/>
  <c r="K217" i="7"/>
  <c r="L217" i="7"/>
  <c r="M217" i="7"/>
  <c r="N217" i="7"/>
  <c r="P217" i="7"/>
  <c r="Q217" i="7"/>
  <c r="R217" i="7"/>
  <c r="S217" i="7" s="1"/>
  <c r="T217" i="7"/>
  <c r="U217" i="7"/>
  <c r="W217" i="7"/>
  <c r="X217" i="7"/>
  <c r="Y217" i="7"/>
  <c r="D218" i="7"/>
  <c r="E218" i="7"/>
  <c r="F218" i="7"/>
  <c r="G218" i="7"/>
  <c r="H218" i="7"/>
  <c r="I218" i="7"/>
  <c r="J218" i="7"/>
  <c r="K218" i="7"/>
  <c r="L218" i="7"/>
  <c r="M218" i="7"/>
  <c r="N218" i="7"/>
  <c r="P218" i="7"/>
  <c r="Q218" i="7"/>
  <c r="R218" i="7"/>
  <c r="S218" i="7" s="1"/>
  <c r="T218" i="7"/>
  <c r="U218" i="7"/>
  <c r="W218" i="7"/>
  <c r="X218" i="7"/>
  <c r="Y218" i="7"/>
  <c r="D219" i="7"/>
  <c r="E219" i="7"/>
  <c r="F219" i="7"/>
  <c r="G219" i="7"/>
  <c r="H219" i="7"/>
  <c r="I219" i="7"/>
  <c r="J219" i="7"/>
  <c r="K219" i="7"/>
  <c r="L219" i="7"/>
  <c r="M219" i="7"/>
  <c r="N219" i="7"/>
  <c r="P219" i="7"/>
  <c r="Q219" i="7"/>
  <c r="R219" i="7"/>
  <c r="S219" i="7" s="1"/>
  <c r="T219" i="7"/>
  <c r="U219" i="7"/>
  <c r="W219" i="7"/>
  <c r="X219" i="7"/>
  <c r="Y219" i="7"/>
  <c r="D220" i="7"/>
  <c r="E220" i="7"/>
  <c r="F220" i="7"/>
  <c r="G220" i="7"/>
  <c r="H220" i="7"/>
  <c r="I220" i="7"/>
  <c r="J220" i="7"/>
  <c r="K220" i="7"/>
  <c r="L220" i="7"/>
  <c r="M220" i="7"/>
  <c r="N220" i="7"/>
  <c r="P220" i="7"/>
  <c r="Q220" i="7"/>
  <c r="R220" i="7"/>
  <c r="T220" i="7"/>
  <c r="U220" i="7"/>
  <c r="W220" i="7"/>
  <c r="X220" i="7"/>
  <c r="Y220" i="7"/>
  <c r="D221" i="7"/>
  <c r="E221" i="7"/>
  <c r="F221" i="7"/>
  <c r="G221" i="7"/>
  <c r="H221" i="7"/>
  <c r="I221" i="7"/>
  <c r="J221" i="7"/>
  <c r="K221" i="7"/>
  <c r="L221" i="7"/>
  <c r="M221" i="7"/>
  <c r="N221" i="7"/>
  <c r="P221" i="7"/>
  <c r="Q221" i="7"/>
  <c r="R221" i="7"/>
  <c r="S221" i="7" s="1"/>
  <c r="T221" i="7"/>
  <c r="U221" i="7"/>
  <c r="V221" i="7" s="1"/>
  <c r="X221" i="7"/>
  <c r="D222" i="7"/>
  <c r="E222" i="7"/>
  <c r="F222" i="7"/>
  <c r="G222" i="7"/>
  <c r="H222" i="7"/>
  <c r="I222" i="7"/>
  <c r="J222" i="7"/>
  <c r="K222" i="7"/>
  <c r="L222" i="7"/>
  <c r="M222" i="7"/>
  <c r="N222" i="7"/>
  <c r="P222" i="7"/>
  <c r="Q222" i="7"/>
  <c r="R222" i="7"/>
  <c r="T222" i="7"/>
  <c r="U222" i="7"/>
  <c r="W222" i="7"/>
  <c r="X222" i="7"/>
  <c r="Y222" i="7"/>
  <c r="D223" i="7"/>
  <c r="E223" i="7"/>
  <c r="F223" i="7"/>
  <c r="G223" i="7"/>
  <c r="H223" i="7"/>
  <c r="I223" i="7"/>
  <c r="J223" i="7"/>
  <c r="K223" i="7"/>
  <c r="L223" i="7"/>
  <c r="M223" i="7"/>
  <c r="N223" i="7"/>
  <c r="P223" i="7"/>
  <c r="Q223" i="7"/>
  <c r="R223" i="7"/>
  <c r="S223" i="7" s="1"/>
  <c r="T223" i="7"/>
  <c r="U223" i="7"/>
  <c r="W223" i="7"/>
  <c r="X223" i="7"/>
  <c r="Y223" i="7"/>
  <c r="D224" i="7"/>
  <c r="E224" i="7"/>
  <c r="F224" i="7"/>
  <c r="G224" i="7"/>
  <c r="H224" i="7"/>
  <c r="I224" i="7"/>
  <c r="J224" i="7"/>
  <c r="K224" i="7"/>
  <c r="L224" i="7"/>
  <c r="M224" i="7"/>
  <c r="N224" i="7"/>
  <c r="P224" i="7"/>
  <c r="Q224" i="7"/>
  <c r="R224" i="7"/>
  <c r="S224" i="7" s="1"/>
  <c r="T224" i="7"/>
  <c r="U224" i="7"/>
  <c r="W224" i="7"/>
  <c r="X224" i="7"/>
  <c r="Y224" i="7"/>
  <c r="D225" i="7"/>
  <c r="E225" i="7"/>
  <c r="F225" i="7"/>
  <c r="G225" i="7"/>
  <c r="H225" i="7"/>
  <c r="I225" i="7"/>
  <c r="J225" i="7"/>
  <c r="K225" i="7"/>
  <c r="L225" i="7"/>
  <c r="M225" i="7"/>
  <c r="N225" i="7"/>
  <c r="P225" i="7"/>
  <c r="Q225" i="7"/>
  <c r="R225" i="7"/>
  <c r="S225" i="7" s="1"/>
  <c r="T225" i="7"/>
  <c r="U225" i="7"/>
  <c r="W225" i="7"/>
  <c r="X225" i="7"/>
  <c r="Y225" i="7"/>
  <c r="D226" i="7"/>
  <c r="E226" i="7"/>
  <c r="F226" i="7"/>
  <c r="G226" i="7"/>
  <c r="H226" i="7"/>
  <c r="I226" i="7"/>
  <c r="J226" i="7"/>
  <c r="K226" i="7"/>
  <c r="L226" i="7"/>
  <c r="M226" i="7"/>
  <c r="N226" i="7"/>
  <c r="P226" i="7"/>
  <c r="Q226" i="7"/>
  <c r="R226" i="7"/>
  <c r="S226" i="7" s="1"/>
  <c r="T226" i="7"/>
  <c r="U226" i="7"/>
  <c r="W226" i="7"/>
  <c r="X226" i="7"/>
  <c r="Y226" i="7"/>
  <c r="D227" i="7"/>
  <c r="E227" i="7"/>
  <c r="F227" i="7"/>
  <c r="G227" i="7"/>
  <c r="H227" i="7"/>
  <c r="I227" i="7"/>
  <c r="J227" i="7"/>
  <c r="K227" i="7"/>
  <c r="L227" i="7"/>
  <c r="M227" i="7"/>
  <c r="N227" i="7"/>
  <c r="P227" i="7"/>
  <c r="Q227" i="7"/>
  <c r="R227" i="7"/>
  <c r="S227" i="7" s="1"/>
  <c r="T227" i="7"/>
  <c r="U227" i="7"/>
  <c r="W227" i="7"/>
  <c r="X227" i="7"/>
  <c r="Y227" i="7"/>
  <c r="D228" i="7"/>
  <c r="E228" i="7"/>
  <c r="F228" i="7"/>
  <c r="G228" i="7"/>
  <c r="H228" i="7"/>
  <c r="I228" i="7"/>
  <c r="J228" i="7"/>
  <c r="K228" i="7"/>
  <c r="L228" i="7"/>
  <c r="M228" i="7"/>
  <c r="N228" i="7"/>
  <c r="P228" i="7"/>
  <c r="Q228" i="7"/>
  <c r="R228" i="7"/>
  <c r="S228" i="7" s="1"/>
  <c r="T228" i="7"/>
  <c r="U228" i="7"/>
  <c r="W228" i="7"/>
  <c r="X228" i="7"/>
  <c r="Y228" i="7"/>
  <c r="D229" i="7"/>
  <c r="E229" i="7"/>
  <c r="F229" i="7"/>
  <c r="G229" i="7"/>
  <c r="H229" i="7"/>
  <c r="I229" i="7"/>
  <c r="J229" i="7"/>
  <c r="K229" i="7"/>
  <c r="L229" i="7"/>
  <c r="M229" i="7"/>
  <c r="N229" i="7"/>
  <c r="P229" i="7"/>
  <c r="Q229" i="7"/>
  <c r="R229" i="7"/>
  <c r="S229" i="7" s="1"/>
  <c r="T229" i="7"/>
  <c r="U229" i="7"/>
  <c r="W229" i="7"/>
  <c r="X229" i="7"/>
  <c r="Y229" i="7"/>
  <c r="D230" i="7"/>
  <c r="E230" i="7"/>
  <c r="F230" i="7"/>
  <c r="G230" i="7"/>
  <c r="H230" i="7"/>
  <c r="I230" i="7"/>
  <c r="J230" i="7"/>
  <c r="K230" i="7"/>
  <c r="L230" i="7"/>
  <c r="M230" i="7"/>
  <c r="N230" i="7"/>
  <c r="P230" i="7"/>
  <c r="Q230" i="7"/>
  <c r="R230" i="7"/>
  <c r="S230" i="7" s="1"/>
  <c r="T230" i="7"/>
  <c r="U230" i="7"/>
  <c r="W230" i="7"/>
  <c r="X230" i="7"/>
  <c r="Y230" i="7"/>
  <c r="D231" i="7"/>
  <c r="E231" i="7"/>
  <c r="F231" i="7"/>
  <c r="G231" i="7"/>
  <c r="H231" i="7"/>
  <c r="I231" i="7"/>
  <c r="J231" i="7"/>
  <c r="K231" i="7"/>
  <c r="L231" i="7"/>
  <c r="M231" i="7"/>
  <c r="N231" i="7"/>
  <c r="P231" i="7"/>
  <c r="Q231" i="7"/>
  <c r="R231" i="7"/>
  <c r="S231" i="7" s="1"/>
  <c r="T231" i="7"/>
  <c r="U231" i="7"/>
  <c r="W231" i="7"/>
  <c r="X231" i="7"/>
  <c r="Y231" i="7"/>
  <c r="D232" i="7"/>
  <c r="E232" i="7"/>
  <c r="F232" i="7"/>
  <c r="G232" i="7"/>
  <c r="H232" i="7"/>
  <c r="I232" i="7"/>
  <c r="J232" i="7"/>
  <c r="K232" i="7"/>
  <c r="L232" i="7"/>
  <c r="M232" i="7"/>
  <c r="N232" i="7"/>
  <c r="P232" i="7"/>
  <c r="Q232" i="7"/>
  <c r="R232" i="7"/>
  <c r="S232" i="7" s="1"/>
  <c r="T232" i="7"/>
  <c r="U232" i="7"/>
  <c r="W232" i="7"/>
  <c r="X232" i="7"/>
  <c r="Y232" i="7"/>
  <c r="D233" i="7"/>
  <c r="E233" i="7"/>
  <c r="F233" i="7"/>
  <c r="G233" i="7"/>
  <c r="H233" i="7"/>
  <c r="I233" i="7"/>
  <c r="J233" i="7"/>
  <c r="K233" i="7"/>
  <c r="L233" i="7"/>
  <c r="M233" i="7"/>
  <c r="N233" i="7"/>
  <c r="P233" i="7"/>
  <c r="Q233" i="7"/>
  <c r="R233" i="7"/>
  <c r="S233" i="7" s="1"/>
  <c r="T233" i="7"/>
  <c r="U233" i="7"/>
  <c r="W233" i="7"/>
  <c r="X233" i="7"/>
  <c r="Y233" i="7"/>
  <c r="D234" i="7"/>
  <c r="E234" i="7"/>
  <c r="F234" i="7"/>
  <c r="G234" i="7"/>
  <c r="H234" i="7"/>
  <c r="I234" i="7"/>
  <c r="J234" i="7"/>
  <c r="K234" i="7"/>
  <c r="L234" i="7"/>
  <c r="M234" i="7"/>
  <c r="N234" i="7"/>
  <c r="P234" i="7"/>
  <c r="Q234" i="7"/>
  <c r="R234" i="7"/>
  <c r="S234" i="7" s="1"/>
  <c r="T234" i="7"/>
  <c r="U234" i="7"/>
  <c r="W234" i="7"/>
  <c r="X234" i="7"/>
  <c r="Y234" i="7"/>
  <c r="D235" i="7"/>
  <c r="E235" i="7"/>
  <c r="F235" i="7"/>
  <c r="G235" i="7"/>
  <c r="H235" i="7"/>
  <c r="I235" i="7"/>
  <c r="J235" i="7"/>
  <c r="K235" i="7"/>
  <c r="L235" i="7"/>
  <c r="M235" i="7"/>
  <c r="N235" i="7"/>
  <c r="P235" i="7"/>
  <c r="Q235" i="7"/>
  <c r="R235" i="7"/>
  <c r="S235" i="7" s="1"/>
  <c r="T235" i="7"/>
  <c r="U235" i="7"/>
  <c r="W235" i="7"/>
  <c r="X235" i="7"/>
  <c r="Y235" i="7"/>
  <c r="D236" i="7"/>
  <c r="E236" i="7"/>
  <c r="F236" i="7"/>
  <c r="G236" i="7"/>
  <c r="H236" i="7"/>
  <c r="I236" i="7"/>
  <c r="J236" i="7"/>
  <c r="K236" i="7"/>
  <c r="L236" i="7"/>
  <c r="M236" i="7"/>
  <c r="N236" i="7"/>
  <c r="P236" i="7"/>
  <c r="Q236" i="7"/>
  <c r="R236" i="7"/>
  <c r="S236" i="7" s="1"/>
  <c r="T236" i="7"/>
  <c r="U236" i="7"/>
  <c r="V236" i="7" s="1"/>
  <c r="W236" i="7"/>
  <c r="X236" i="7"/>
  <c r="Y236" i="7"/>
  <c r="D237" i="7"/>
  <c r="E237" i="7"/>
  <c r="F237" i="7"/>
  <c r="G237" i="7"/>
  <c r="H237" i="7"/>
  <c r="I237" i="7"/>
  <c r="J237" i="7"/>
  <c r="K237" i="7"/>
  <c r="L237" i="7"/>
  <c r="M237" i="7"/>
  <c r="N237" i="7"/>
  <c r="P237" i="7"/>
  <c r="Q237" i="7"/>
  <c r="R237" i="7"/>
  <c r="S237" i="7" s="1"/>
  <c r="T237" i="7"/>
  <c r="U237" i="7"/>
  <c r="V237" i="7" s="1"/>
  <c r="W237" i="7"/>
  <c r="X237" i="7"/>
  <c r="Y237" i="7"/>
  <c r="D238" i="7"/>
  <c r="E238" i="7"/>
  <c r="F238" i="7"/>
  <c r="G238" i="7"/>
  <c r="H238" i="7"/>
  <c r="I238" i="7"/>
  <c r="J238" i="7"/>
  <c r="K238" i="7"/>
  <c r="L238" i="7"/>
  <c r="M238" i="7"/>
  <c r="N238" i="7"/>
  <c r="P238" i="7"/>
  <c r="Q238" i="7"/>
  <c r="R238" i="7"/>
  <c r="S238" i="7" s="1"/>
  <c r="T238" i="7"/>
  <c r="U238" i="7"/>
  <c r="W238" i="7"/>
  <c r="X238" i="7"/>
  <c r="Y238" i="7"/>
  <c r="D239" i="7"/>
  <c r="E239" i="7"/>
  <c r="F239" i="7"/>
  <c r="G239" i="7"/>
  <c r="H239" i="7"/>
  <c r="I239" i="7"/>
  <c r="J239" i="7"/>
  <c r="K239" i="7"/>
  <c r="L239" i="7"/>
  <c r="M239" i="7"/>
  <c r="N239" i="7"/>
  <c r="P239" i="7"/>
  <c r="Q239" i="7"/>
  <c r="R239" i="7"/>
  <c r="S239" i="7" s="1"/>
  <c r="T239" i="7"/>
  <c r="U239" i="7"/>
  <c r="W239" i="7"/>
  <c r="X239" i="7"/>
  <c r="Y239" i="7"/>
  <c r="D240" i="7"/>
  <c r="E240" i="7"/>
  <c r="F240" i="7"/>
  <c r="G240" i="7"/>
  <c r="H240" i="7"/>
  <c r="I240" i="7"/>
  <c r="J240" i="7"/>
  <c r="K240" i="7"/>
  <c r="L240" i="7"/>
  <c r="M240" i="7"/>
  <c r="N240" i="7"/>
  <c r="P240" i="7"/>
  <c r="Q240" i="7"/>
  <c r="R240" i="7"/>
  <c r="S240" i="7" s="1"/>
  <c r="T240" i="7"/>
  <c r="U240" i="7"/>
  <c r="W240" i="7"/>
  <c r="X240" i="7"/>
  <c r="Y240" i="7"/>
  <c r="D241" i="7"/>
  <c r="E241" i="7"/>
  <c r="F241" i="7"/>
  <c r="G241" i="7"/>
  <c r="H241" i="7"/>
  <c r="I241" i="7"/>
  <c r="J241" i="7"/>
  <c r="K241" i="7"/>
  <c r="L241" i="7"/>
  <c r="M241" i="7"/>
  <c r="N241" i="7"/>
  <c r="P241" i="7"/>
  <c r="Q241" i="7"/>
  <c r="R241" i="7"/>
  <c r="S241" i="7" s="1"/>
  <c r="T241" i="7"/>
  <c r="U241" i="7"/>
  <c r="W241" i="7"/>
  <c r="X241" i="7"/>
  <c r="Y241" i="7"/>
  <c r="D242" i="7"/>
  <c r="E242" i="7"/>
  <c r="F242" i="7"/>
  <c r="G242" i="7"/>
  <c r="H242" i="7"/>
  <c r="I242" i="7"/>
  <c r="J242" i="7"/>
  <c r="K242" i="7"/>
  <c r="L242" i="7"/>
  <c r="M242" i="7"/>
  <c r="N242" i="7"/>
  <c r="P242" i="7"/>
  <c r="Q242" i="7"/>
  <c r="R242" i="7"/>
  <c r="S242" i="7" s="1"/>
  <c r="T242" i="7"/>
  <c r="U242" i="7"/>
  <c r="W242" i="7"/>
  <c r="X242" i="7"/>
  <c r="Y242" i="7"/>
  <c r="D243" i="7"/>
  <c r="E243" i="7"/>
  <c r="F243" i="7"/>
  <c r="G243" i="7"/>
  <c r="H243" i="7"/>
  <c r="I243" i="7"/>
  <c r="J243" i="7"/>
  <c r="K243" i="7"/>
  <c r="L243" i="7"/>
  <c r="M243" i="7"/>
  <c r="N243" i="7"/>
  <c r="P243" i="7"/>
  <c r="Q243" i="7"/>
  <c r="R243" i="7"/>
  <c r="T243" i="7"/>
  <c r="U243" i="7"/>
  <c r="W243" i="7"/>
  <c r="X243" i="7"/>
  <c r="Y243" i="7"/>
  <c r="D244" i="7"/>
  <c r="E244" i="7"/>
  <c r="F244" i="7"/>
  <c r="G244" i="7"/>
  <c r="H244" i="7"/>
  <c r="I244" i="7"/>
  <c r="J244" i="7"/>
  <c r="K244" i="7"/>
  <c r="L244" i="7"/>
  <c r="M244" i="7"/>
  <c r="N244" i="7"/>
  <c r="P244" i="7"/>
  <c r="Q244" i="7"/>
  <c r="R244" i="7"/>
  <c r="T244" i="7"/>
  <c r="U244" i="7"/>
  <c r="W244" i="7"/>
  <c r="X244" i="7"/>
  <c r="Y244" i="7"/>
  <c r="D245" i="7"/>
  <c r="E245" i="7"/>
  <c r="F245" i="7"/>
  <c r="G245" i="7"/>
  <c r="H245" i="7"/>
  <c r="I245" i="7"/>
  <c r="J245" i="7"/>
  <c r="K245" i="7"/>
  <c r="L245" i="7"/>
  <c r="M245" i="7"/>
  <c r="N245" i="7"/>
  <c r="P245" i="7"/>
  <c r="Q245" i="7"/>
  <c r="R245" i="7"/>
  <c r="T245" i="7"/>
  <c r="U245" i="7"/>
  <c r="W245" i="7"/>
  <c r="X245" i="7"/>
  <c r="Y245" i="7"/>
  <c r="D246" i="7"/>
  <c r="E246" i="7"/>
  <c r="F246" i="7"/>
  <c r="G246" i="7"/>
  <c r="H246" i="7"/>
  <c r="I246" i="7"/>
  <c r="J246" i="7"/>
  <c r="K246" i="7"/>
  <c r="L246" i="7"/>
  <c r="M246" i="7"/>
  <c r="N246" i="7"/>
  <c r="P246" i="7"/>
  <c r="Q246" i="7"/>
  <c r="R246" i="7"/>
  <c r="T246" i="7"/>
  <c r="U246" i="7"/>
  <c r="W246" i="7"/>
  <c r="X246" i="7"/>
  <c r="Y246" i="7"/>
  <c r="D247" i="7"/>
  <c r="E247" i="7"/>
  <c r="F247" i="7"/>
  <c r="G247" i="7"/>
  <c r="H247" i="7"/>
  <c r="I247" i="7"/>
  <c r="J247" i="7"/>
  <c r="K247" i="7"/>
  <c r="L247" i="7"/>
  <c r="M247" i="7"/>
  <c r="N247" i="7"/>
  <c r="P247" i="7"/>
  <c r="Q247" i="7"/>
  <c r="R247" i="7"/>
  <c r="T247" i="7"/>
  <c r="U247" i="7"/>
  <c r="W247" i="7"/>
  <c r="X247" i="7"/>
  <c r="Y247" i="7"/>
  <c r="D248" i="7"/>
  <c r="E248" i="7"/>
  <c r="F248" i="7"/>
  <c r="G248" i="7"/>
  <c r="H248" i="7"/>
  <c r="I248" i="7"/>
  <c r="J248" i="7"/>
  <c r="K248" i="7"/>
  <c r="L248" i="7"/>
  <c r="M248" i="7"/>
  <c r="N248" i="7"/>
  <c r="P248" i="7"/>
  <c r="Q248" i="7"/>
  <c r="R248" i="7"/>
  <c r="T248" i="7"/>
  <c r="U248" i="7"/>
  <c r="W248" i="7"/>
  <c r="X248" i="7"/>
  <c r="Y248" i="7"/>
  <c r="D249" i="7"/>
  <c r="E249" i="7"/>
  <c r="F249" i="7"/>
  <c r="G249" i="7"/>
  <c r="H249" i="7"/>
  <c r="I249" i="7"/>
  <c r="J249" i="7"/>
  <c r="K249" i="7"/>
  <c r="L249" i="7"/>
  <c r="M249" i="7"/>
  <c r="N249" i="7"/>
  <c r="P249" i="7"/>
  <c r="Q249" i="7"/>
  <c r="R249" i="7"/>
  <c r="T249" i="7"/>
  <c r="U249" i="7"/>
  <c r="W249" i="7"/>
  <c r="X249" i="7"/>
  <c r="Y249" i="7"/>
  <c r="D250" i="7"/>
  <c r="E250" i="7"/>
  <c r="F250" i="7"/>
  <c r="G250" i="7"/>
  <c r="H250" i="7"/>
  <c r="I250" i="7"/>
  <c r="J250" i="7"/>
  <c r="K250" i="7"/>
  <c r="L250" i="7"/>
  <c r="M250" i="7"/>
  <c r="N250" i="7"/>
  <c r="P250" i="7"/>
  <c r="Q250" i="7"/>
  <c r="R250" i="7"/>
  <c r="T250" i="7"/>
  <c r="U250" i="7"/>
  <c r="W250" i="7"/>
  <c r="X250" i="7"/>
  <c r="Y250" i="7"/>
  <c r="D251" i="7"/>
  <c r="E251" i="7"/>
  <c r="F251" i="7"/>
  <c r="G251" i="7"/>
  <c r="H251" i="7"/>
  <c r="I251" i="7"/>
  <c r="J251" i="7"/>
  <c r="K251" i="7"/>
  <c r="L251" i="7"/>
  <c r="M251" i="7"/>
  <c r="N251" i="7"/>
  <c r="P251" i="7"/>
  <c r="Q251" i="7"/>
  <c r="R251" i="7"/>
  <c r="T251" i="7"/>
  <c r="U251" i="7"/>
  <c r="W251" i="7"/>
  <c r="X251" i="7"/>
  <c r="Y251" i="7"/>
  <c r="D252" i="7"/>
  <c r="E252" i="7"/>
  <c r="F252" i="7"/>
  <c r="G252" i="7"/>
  <c r="H252" i="7"/>
  <c r="I252" i="7"/>
  <c r="J252" i="7"/>
  <c r="K252" i="7"/>
  <c r="L252" i="7"/>
  <c r="M252" i="7"/>
  <c r="N252" i="7"/>
  <c r="P252" i="7"/>
  <c r="Q252" i="7"/>
  <c r="R252" i="7"/>
  <c r="T252" i="7"/>
  <c r="U252" i="7"/>
  <c r="W252" i="7"/>
  <c r="X252" i="7"/>
  <c r="Y252" i="7"/>
  <c r="D253" i="7"/>
  <c r="E253" i="7"/>
  <c r="F253" i="7"/>
  <c r="G253" i="7"/>
  <c r="H253" i="7"/>
  <c r="I253" i="7"/>
  <c r="J253" i="7"/>
  <c r="K253" i="7"/>
  <c r="L253" i="7"/>
  <c r="M253" i="7"/>
  <c r="N253" i="7"/>
  <c r="P253" i="7"/>
  <c r="Q253" i="7"/>
  <c r="R253" i="7"/>
  <c r="T253" i="7"/>
  <c r="U253" i="7"/>
  <c r="W253" i="7"/>
  <c r="X253" i="7"/>
  <c r="Y253" i="7"/>
  <c r="D254" i="7"/>
  <c r="E254" i="7"/>
  <c r="F254" i="7"/>
  <c r="G254" i="7"/>
  <c r="H254" i="7"/>
  <c r="I254" i="7"/>
  <c r="J254" i="7"/>
  <c r="K254" i="7"/>
  <c r="L254" i="7"/>
  <c r="M254" i="7"/>
  <c r="N254" i="7"/>
  <c r="P254" i="7"/>
  <c r="Q254" i="7"/>
  <c r="R254" i="7"/>
  <c r="T254" i="7"/>
  <c r="U254" i="7"/>
  <c r="W254" i="7"/>
  <c r="X254" i="7"/>
  <c r="Y254" i="7"/>
  <c r="D255" i="7"/>
  <c r="E255" i="7"/>
  <c r="F255" i="7"/>
  <c r="G255" i="7"/>
  <c r="H255" i="7"/>
  <c r="I255" i="7"/>
  <c r="J255" i="7"/>
  <c r="K255" i="7"/>
  <c r="L255" i="7"/>
  <c r="M255" i="7"/>
  <c r="N255" i="7"/>
  <c r="P255" i="7"/>
  <c r="Q255" i="7"/>
  <c r="R255" i="7"/>
  <c r="T255" i="7"/>
  <c r="U255" i="7"/>
  <c r="W255" i="7"/>
  <c r="X255" i="7"/>
  <c r="Y255" i="7"/>
  <c r="D256" i="7"/>
  <c r="E256" i="7"/>
  <c r="F256" i="7"/>
  <c r="G256" i="7"/>
  <c r="H256" i="7"/>
  <c r="I256" i="7"/>
  <c r="J256" i="7"/>
  <c r="K256" i="7"/>
  <c r="L256" i="7"/>
  <c r="M256" i="7"/>
  <c r="N256" i="7"/>
  <c r="P256" i="7"/>
  <c r="Q256" i="7"/>
  <c r="R256" i="7"/>
  <c r="T256" i="7"/>
  <c r="U256" i="7"/>
  <c r="W256" i="7"/>
  <c r="X256" i="7"/>
  <c r="Y256" i="7"/>
  <c r="D257" i="7"/>
  <c r="E257" i="7"/>
  <c r="F257" i="7"/>
  <c r="G257" i="7"/>
  <c r="H257" i="7"/>
  <c r="I257" i="7"/>
  <c r="J257" i="7"/>
  <c r="K257" i="7"/>
  <c r="L257" i="7"/>
  <c r="M257" i="7"/>
  <c r="N257" i="7"/>
  <c r="P257" i="7"/>
  <c r="Q257" i="7"/>
  <c r="R257" i="7"/>
  <c r="T257" i="7"/>
  <c r="U257" i="7"/>
  <c r="W257" i="7"/>
  <c r="X257" i="7"/>
  <c r="Y257" i="7"/>
  <c r="D258" i="7"/>
  <c r="E258" i="7"/>
  <c r="F258" i="7"/>
  <c r="G258" i="7"/>
  <c r="H258" i="7"/>
  <c r="I258" i="7"/>
  <c r="J258" i="7"/>
  <c r="K258" i="7"/>
  <c r="L258" i="7"/>
  <c r="M258" i="7"/>
  <c r="N258" i="7"/>
  <c r="P258" i="7"/>
  <c r="Q258" i="7"/>
  <c r="R258" i="7"/>
  <c r="T258" i="7"/>
  <c r="U258" i="7"/>
  <c r="W258" i="7"/>
  <c r="X258" i="7"/>
  <c r="Y258" i="7"/>
  <c r="D259" i="7"/>
  <c r="E259" i="7"/>
  <c r="F259" i="7"/>
  <c r="G259" i="7"/>
  <c r="H259" i="7"/>
  <c r="I259" i="7"/>
  <c r="J259" i="7"/>
  <c r="K259" i="7"/>
  <c r="L259" i="7"/>
  <c r="M259" i="7"/>
  <c r="N259" i="7"/>
  <c r="P259" i="7"/>
  <c r="Q259" i="7"/>
  <c r="R259" i="7"/>
  <c r="T259" i="7"/>
  <c r="U259" i="7"/>
  <c r="W259" i="7"/>
  <c r="X259" i="7"/>
  <c r="Y259" i="7"/>
  <c r="D260" i="7"/>
  <c r="E260" i="7"/>
  <c r="F260" i="7"/>
  <c r="G260" i="7"/>
  <c r="H260" i="7"/>
  <c r="I260" i="7"/>
  <c r="J260" i="7"/>
  <c r="K260" i="7"/>
  <c r="L260" i="7"/>
  <c r="M260" i="7"/>
  <c r="N260" i="7"/>
  <c r="P260" i="7"/>
  <c r="Q260" i="7"/>
  <c r="R260" i="7"/>
  <c r="T260" i="7"/>
  <c r="U260" i="7"/>
  <c r="W260" i="7"/>
  <c r="X260" i="7"/>
  <c r="Y260" i="7"/>
  <c r="D261" i="7"/>
  <c r="E261" i="7"/>
  <c r="F261" i="7"/>
  <c r="G261" i="7"/>
  <c r="H261" i="7"/>
  <c r="I261" i="7"/>
  <c r="J261" i="7"/>
  <c r="K261" i="7"/>
  <c r="L261" i="7"/>
  <c r="M261" i="7"/>
  <c r="N261" i="7"/>
  <c r="P261" i="7"/>
  <c r="Q261" i="7"/>
  <c r="R261" i="7"/>
  <c r="T261" i="7"/>
  <c r="U261" i="7"/>
  <c r="W261" i="7"/>
  <c r="X261" i="7"/>
  <c r="Y261" i="7"/>
  <c r="D262" i="7"/>
  <c r="E262" i="7"/>
  <c r="F262" i="7"/>
  <c r="G262" i="7"/>
  <c r="H262" i="7"/>
  <c r="I262" i="7"/>
  <c r="J262" i="7"/>
  <c r="K262" i="7"/>
  <c r="L262" i="7"/>
  <c r="M262" i="7"/>
  <c r="N262" i="7"/>
  <c r="P262" i="7"/>
  <c r="Q262" i="7"/>
  <c r="R262" i="7"/>
  <c r="T262" i="7"/>
  <c r="U262" i="7"/>
  <c r="W262" i="7"/>
  <c r="X262" i="7"/>
  <c r="Y262" i="7"/>
  <c r="D263" i="7"/>
  <c r="E263" i="7"/>
  <c r="F263" i="7"/>
  <c r="G263" i="7"/>
  <c r="H263" i="7"/>
  <c r="I263" i="7"/>
  <c r="J263" i="7"/>
  <c r="K263" i="7"/>
  <c r="L263" i="7"/>
  <c r="M263" i="7"/>
  <c r="N263" i="7"/>
  <c r="P263" i="7"/>
  <c r="Q263" i="7"/>
  <c r="R263" i="7"/>
  <c r="T263" i="7"/>
  <c r="U263" i="7"/>
  <c r="W263" i="7"/>
  <c r="X263" i="7"/>
  <c r="Y263" i="7"/>
  <c r="D264" i="7"/>
  <c r="E264" i="7"/>
  <c r="F264" i="7"/>
  <c r="G264" i="7"/>
  <c r="H264" i="7"/>
  <c r="I264" i="7"/>
  <c r="J264" i="7"/>
  <c r="K264" i="7"/>
  <c r="L264" i="7"/>
  <c r="M264" i="7"/>
  <c r="N264" i="7"/>
  <c r="P264" i="7"/>
  <c r="Q264" i="7"/>
  <c r="R264" i="7"/>
  <c r="T264" i="7"/>
  <c r="U264" i="7"/>
  <c r="W264" i="7"/>
  <c r="X264" i="7"/>
  <c r="Y264" i="7"/>
  <c r="D265" i="7"/>
  <c r="E265" i="7"/>
  <c r="F265" i="7"/>
  <c r="G265" i="7"/>
  <c r="H265" i="7"/>
  <c r="I265" i="7"/>
  <c r="J265" i="7"/>
  <c r="K265" i="7"/>
  <c r="L265" i="7"/>
  <c r="M265" i="7"/>
  <c r="N265" i="7"/>
  <c r="P265" i="7"/>
  <c r="Q265" i="7"/>
  <c r="R265" i="7"/>
  <c r="T265" i="7"/>
  <c r="U265" i="7"/>
  <c r="W265" i="7"/>
  <c r="X265" i="7"/>
  <c r="Y265" i="7"/>
  <c r="D266" i="7"/>
  <c r="E266" i="7"/>
  <c r="F266" i="7"/>
  <c r="G266" i="7"/>
  <c r="H266" i="7"/>
  <c r="I266" i="7"/>
  <c r="J266" i="7"/>
  <c r="K266" i="7"/>
  <c r="L266" i="7"/>
  <c r="M266" i="7"/>
  <c r="N266" i="7"/>
  <c r="P266" i="7"/>
  <c r="Q266" i="7"/>
  <c r="R266" i="7"/>
  <c r="T266" i="7"/>
  <c r="U266" i="7"/>
  <c r="W266" i="7"/>
  <c r="X266" i="7"/>
  <c r="Y266" i="7"/>
  <c r="D267" i="7"/>
  <c r="E267" i="7"/>
  <c r="F267" i="7"/>
  <c r="G267" i="7"/>
  <c r="H267" i="7"/>
  <c r="I267" i="7"/>
  <c r="J267" i="7"/>
  <c r="K267" i="7"/>
  <c r="L267" i="7"/>
  <c r="M267" i="7"/>
  <c r="N267" i="7"/>
  <c r="P267" i="7"/>
  <c r="Q267" i="7"/>
  <c r="R267" i="7"/>
  <c r="T267" i="7"/>
  <c r="U267" i="7"/>
  <c r="W267" i="7"/>
  <c r="X267" i="7"/>
  <c r="Y267" i="7"/>
  <c r="D268" i="7"/>
  <c r="E268" i="7"/>
  <c r="F268" i="7"/>
  <c r="G268" i="7"/>
  <c r="H268" i="7"/>
  <c r="I268" i="7"/>
  <c r="J268" i="7"/>
  <c r="K268" i="7"/>
  <c r="L268" i="7"/>
  <c r="M268" i="7"/>
  <c r="N268" i="7"/>
  <c r="P268" i="7"/>
  <c r="Q268" i="7"/>
  <c r="R268" i="7"/>
  <c r="T268" i="7"/>
  <c r="U268" i="7"/>
  <c r="W268" i="7"/>
  <c r="X268" i="7"/>
  <c r="Y268" i="7"/>
  <c r="D269" i="7"/>
  <c r="E269" i="7"/>
  <c r="F269" i="7"/>
  <c r="G269" i="7"/>
  <c r="H269" i="7"/>
  <c r="I269" i="7"/>
  <c r="J269" i="7"/>
  <c r="K269" i="7"/>
  <c r="L269" i="7"/>
  <c r="M269" i="7"/>
  <c r="N269" i="7"/>
  <c r="P269" i="7"/>
  <c r="Q269" i="7"/>
  <c r="R269" i="7"/>
  <c r="T269" i="7"/>
  <c r="U269" i="7"/>
  <c r="W269" i="7"/>
  <c r="X269" i="7"/>
  <c r="Y269" i="7"/>
  <c r="D270" i="7"/>
  <c r="E270" i="7"/>
  <c r="F270" i="7"/>
  <c r="G270" i="7"/>
  <c r="H270" i="7"/>
  <c r="I270" i="7"/>
  <c r="J270" i="7"/>
  <c r="K270" i="7"/>
  <c r="L270" i="7"/>
  <c r="M270" i="7"/>
  <c r="N270" i="7"/>
  <c r="P270" i="7"/>
  <c r="Q270" i="7"/>
  <c r="R270" i="7"/>
  <c r="T270" i="7"/>
  <c r="U270" i="7"/>
  <c r="W270" i="7"/>
  <c r="X270" i="7"/>
  <c r="Y270" i="7"/>
  <c r="D271" i="7"/>
  <c r="E271" i="7"/>
  <c r="F271" i="7"/>
  <c r="G271" i="7"/>
  <c r="H271" i="7"/>
  <c r="I271" i="7"/>
  <c r="J271" i="7"/>
  <c r="K271" i="7"/>
  <c r="L271" i="7"/>
  <c r="M271" i="7"/>
  <c r="N271" i="7"/>
  <c r="P271" i="7"/>
  <c r="Q271" i="7"/>
  <c r="R271" i="7"/>
  <c r="T271" i="7"/>
  <c r="U271" i="7"/>
  <c r="W271" i="7"/>
  <c r="X271" i="7"/>
  <c r="Y271" i="7"/>
  <c r="D272" i="7"/>
  <c r="E272" i="7"/>
  <c r="F272" i="7"/>
  <c r="G272" i="7"/>
  <c r="H272" i="7"/>
  <c r="I272" i="7"/>
  <c r="J272" i="7"/>
  <c r="K272" i="7"/>
  <c r="L272" i="7"/>
  <c r="M272" i="7"/>
  <c r="N272" i="7"/>
  <c r="P272" i="7"/>
  <c r="Q272" i="7"/>
  <c r="R272" i="7"/>
  <c r="T272" i="7"/>
  <c r="U272" i="7"/>
  <c r="W272" i="7"/>
  <c r="X272" i="7"/>
  <c r="Y272" i="7"/>
  <c r="D273" i="7"/>
  <c r="E273" i="7"/>
  <c r="F273" i="7"/>
  <c r="G273" i="7"/>
  <c r="H273" i="7"/>
  <c r="I273" i="7"/>
  <c r="J273" i="7"/>
  <c r="K273" i="7"/>
  <c r="L273" i="7"/>
  <c r="M273" i="7"/>
  <c r="N273" i="7"/>
  <c r="P273" i="7"/>
  <c r="Q273" i="7"/>
  <c r="R273" i="7"/>
  <c r="T273" i="7"/>
  <c r="U273" i="7"/>
  <c r="W273" i="7"/>
  <c r="X273" i="7"/>
  <c r="Y273" i="7"/>
  <c r="D274" i="7"/>
  <c r="E274" i="7"/>
  <c r="F274" i="7"/>
  <c r="G274" i="7"/>
  <c r="H274" i="7"/>
  <c r="I274" i="7"/>
  <c r="J274" i="7"/>
  <c r="K274" i="7"/>
  <c r="L274" i="7"/>
  <c r="M274" i="7"/>
  <c r="N274" i="7"/>
  <c r="P274" i="7"/>
  <c r="Q274" i="7"/>
  <c r="R274" i="7"/>
  <c r="T274" i="7"/>
  <c r="U274" i="7"/>
  <c r="W274" i="7"/>
  <c r="X274" i="7"/>
  <c r="Y274" i="7"/>
  <c r="D275" i="7"/>
  <c r="E275" i="7"/>
  <c r="F275" i="7"/>
  <c r="G275" i="7"/>
  <c r="H275" i="7"/>
  <c r="I275" i="7"/>
  <c r="J275" i="7"/>
  <c r="K275" i="7"/>
  <c r="L275" i="7"/>
  <c r="M275" i="7"/>
  <c r="N275" i="7"/>
  <c r="P275" i="7"/>
  <c r="Q275" i="7"/>
  <c r="R275" i="7"/>
  <c r="T275" i="7"/>
  <c r="U275" i="7"/>
  <c r="W275" i="7"/>
  <c r="X275" i="7"/>
  <c r="Y275" i="7"/>
  <c r="D276" i="7"/>
  <c r="E276" i="7"/>
  <c r="F276" i="7"/>
  <c r="G276" i="7"/>
  <c r="H276" i="7"/>
  <c r="I276" i="7"/>
  <c r="J276" i="7"/>
  <c r="K276" i="7"/>
  <c r="L276" i="7"/>
  <c r="M276" i="7"/>
  <c r="N276" i="7"/>
  <c r="P276" i="7"/>
  <c r="Q276" i="7"/>
  <c r="R276" i="7"/>
  <c r="T276" i="7"/>
  <c r="U276" i="7"/>
  <c r="W276" i="7"/>
  <c r="X276" i="7"/>
  <c r="Y276" i="7"/>
  <c r="D277" i="7"/>
  <c r="E277" i="7"/>
  <c r="F277" i="7"/>
  <c r="G277" i="7"/>
  <c r="H277" i="7"/>
  <c r="I277" i="7"/>
  <c r="J277" i="7"/>
  <c r="K277" i="7"/>
  <c r="L277" i="7"/>
  <c r="M277" i="7"/>
  <c r="N277" i="7"/>
  <c r="P277" i="7"/>
  <c r="Q277" i="7"/>
  <c r="R277" i="7"/>
  <c r="T277" i="7"/>
  <c r="U277" i="7"/>
  <c r="W277" i="7"/>
  <c r="X277" i="7"/>
  <c r="Y277" i="7"/>
  <c r="D278" i="7"/>
  <c r="E278" i="7"/>
  <c r="F278" i="7"/>
  <c r="G278" i="7"/>
  <c r="H278" i="7"/>
  <c r="I278" i="7"/>
  <c r="J278" i="7"/>
  <c r="K278" i="7"/>
  <c r="L278" i="7"/>
  <c r="M278" i="7"/>
  <c r="N278" i="7"/>
  <c r="P278" i="7"/>
  <c r="Q278" i="7"/>
  <c r="R278" i="7"/>
  <c r="T278" i="7"/>
  <c r="U278" i="7"/>
  <c r="W278" i="7"/>
  <c r="X278" i="7"/>
  <c r="Y278" i="7"/>
  <c r="D279" i="7"/>
  <c r="E279" i="7"/>
  <c r="F279" i="7"/>
  <c r="G279" i="7"/>
  <c r="H279" i="7"/>
  <c r="I279" i="7"/>
  <c r="J279" i="7"/>
  <c r="K279" i="7"/>
  <c r="L279" i="7"/>
  <c r="M279" i="7"/>
  <c r="N279" i="7"/>
  <c r="P279" i="7"/>
  <c r="Q279" i="7"/>
  <c r="R279" i="7"/>
  <c r="S279" i="7" s="1"/>
  <c r="T279" i="7"/>
  <c r="U279" i="7"/>
  <c r="W279" i="7"/>
  <c r="X279" i="7"/>
  <c r="Y279" i="7"/>
  <c r="D280" i="7"/>
  <c r="E280" i="7"/>
  <c r="F280" i="7"/>
  <c r="G280" i="7"/>
  <c r="H280" i="7"/>
  <c r="I280" i="7"/>
  <c r="J280" i="7"/>
  <c r="K280" i="7"/>
  <c r="L280" i="7"/>
  <c r="M280" i="7"/>
  <c r="N280" i="7"/>
  <c r="P280" i="7"/>
  <c r="Q280" i="7"/>
  <c r="R280" i="7"/>
  <c r="T280" i="7"/>
  <c r="U280" i="7"/>
  <c r="W280" i="7"/>
  <c r="X280" i="7"/>
  <c r="Y280" i="7"/>
  <c r="D281" i="7"/>
  <c r="E281" i="7"/>
  <c r="F281" i="7"/>
  <c r="G281" i="7"/>
  <c r="H281" i="7"/>
  <c r="I281" i="7"/>
  <c r="J281" i="7"/>
  <c r="K281" i="7"/>
  <c r="L281" i="7"/>
  <c r="M281" i="7"/>
  <c r="N281" i="7"/>
  <c r="P281" i="7"/>
  <c r="Q281" i="7"/>
  <c r="R281" i="7"/>
  <c r="S281" i="7" s="1"/>
  <c r="T281" i="7"/>
  <c r="U281" i="7"/>
  <c r="W281" i="7"/>
  <c r="X281" i="7"/>
  <c r="Y281" i="7"/>
  <c r="D282" i="7"/>
  <c r="E282" i="7"/>
  <c r="F282" i="7"/>
  <c r="G282" i="7"/>
  <c r="H282" i="7"/>
  <c r="I282" i="7"/>
  <c r="J282" i="7"/>
  <c r="K282" i="7"/>
  <c r="L282" i="7"/>
  <c r="M282" i="7"/>
  <c r="N282" i="7"/>
  <c r="P282" i="7"/>
  <c r="Q282" i="7"/>
  <c r="R282" i="7"/>
  <c r="T282" i="7"/>
  <c r="U282" i="7"/>
  <c r="W282" i="7"/>
  <c r="X282" i="7"/>
  <c r="Y282" i="7"/>
  <c r="D283" i="7"/>
  <c r="E283" i="7"/>
  <c r="F283" i="7"/>
  <c r="G283" i="7"/>
  <c r="H283" i="7"/>
  <c r="I283" i="7"/>
  <c r="J283" i="7"/>
  <c r="K283" i="7"/>
  <c r="L283" i="7"/>
  <c r="M283" i="7"/>
  <c r="N283" i="7"/>
  <c r="P283" i="7"/>
  <c r="Q283" i="7"/>
  <c r="R283" i="7"/>
  <c r="T283" i="7"/>
  <c r="U283" i="7"/>
  <c r="W283" i="7"/>
  <c r="X283" i="7"/>
  <c r="Y283" i="7"/>
  <c r="D284" i="7"/>
  <c r="E284" i="7"/>
  <c r="F284" i="7"/>
  <c r="G284" i="7"/>
  <c r="H284" i="7"/>
  <c r="I284" i="7"/>
  <c r="J284" i="7"/>
  <c r="K284" i="7"/>
  <c r="L284" i="7"/>
  <c r="M284" i="7"/>
  <c r="N284" i="7"/>
  <c r="P284" i="7"/>
  <c r="Q284" i="7"/>
  <c r="R284" i="7"/>
  <c r="T284" i="7"/>
  <c r="U284" i="7"/>
  <c r="W284" i="7"/>
  <c r="X284" i="7"/>
  <c r="Y284" i="7"/>
  <c r="D285" i="7"/>
  <c r="E285" i="7"/>
  <c r="F285" i="7"/>
  <c r="G285" i="7"/>
  <c r="H285" i="7"/>
  <c r="I285" i="7"/>
  <c r="J285" i="7"/>
  <c r="K285" i="7"/>
  <c r="L285" i="7"/>
  <c r="M285" i="7"/>
  <c r="N285" i="7"/>
  <c r="P285" i="7"/>
  <c r="Q285" i="7"/>
  <c r="R285" i="7"/>
  <c r="T285" i="7"/>
  <c r="U285" i="7"/>
  <c r="W285" i="7"/>
  <c r="X285" i="7"/>
  <c r="Y285" i="7"/>
  <c r="D286" i="7"/>
  <c r="E286" i="7"/>
  <c r="F286" i="7"/>
  <c r="G286" i="7"/>
  <c r="H286" i="7"/>
  <c r="I286" i="7"/>
  <c r="J286" i="7"/>
  <c r="K286" i="7"/>
  <c r="L286" i="7"/>
  <c r="M286" i="7"/>
  <c r="N286" i="7"/>
  <c r="P286" i="7"/>
  <c r="Q286" i="7"/>
  <c r="R286" i="7"/>
  <c r="T286" i="7"/>
  <c r="U286" i="7"/>
  <c r="W286" i="7"/>
  <c r="X286" i="7"/>
  <c r="Y286" i="7"/>
  <c r="D287" i="7"/>
  <c r="E287" i="7"/>
  <c r="F287" i="7"/>
  <c r="G287" i="7"/>
  <c r="H287" i="7"/>
  <c r="I287" i="7"/>
  <c r="J287" i="7"/>
  <c r="K287" i="7"/>
  <c r="L287" i="7"/>
  <c r="M287" i="7"/>
  <c r="N287" i="7"/>
  <c r="P287" i="7"/>
  <c r="Q287" i="7"/>
  <c r="R287" i="7"/>
  <c r="T287" i="7"/>
  <c r="U287" i="7"/>
  <c r="W287" i="7"/>
  <c r="X287" i="7"/>
  <c r="Y287" i="7"/>
  <c r="D288" i="7"/>
  <c r="E288" i="7"/>
  <c r="F288" i="7"/>
  <c r="G288" i="7"/>
  <c r="H288" i="7"/>
  <c r="I288" i="7"/>
  <c r="J288" i="7"/>
  <c r="K288" i="7"/>
  <c r="L288" i="7"/>
  <c r="M288" i="7"/>
  <c r="N288" i="7"/>
  <c r="P288" i="7"/>
  <c r="Q288" i="7"/>
  <c r="R288" i="7"/>
  <c r="T288" i="7"/>
  <c r="U288" i="7"/>
  <c r="W288" i="7"/>
  <c r="X288" i="7"/>
  <c r="Y288" i="7"/>
  <c r="D289" i="7"/>
  <c r="E289" i="7"/>
  <c r="F289" i="7"/>
  <c r="G289" i="7"/>
  <c r="H289" i="7"/>
  <c r="I289" i="7"/>
  <c r="J289" i="7"/>
  <c r="K289" i="7"/>
  <c r="L289" i="7"/>
  <c r="M289" i="7"/>
  <c r="N289" i="7"/>
  <c r="P289" i="7"/>
  <c r="Q289" i="7"/>
  <c r="R289" i="7"/>
  <c r="T289" i="7"/>
  <c r="U289" i="7"/>
  <c r="W289" i="7"/>
  <c r="X289" i="7"/>
  <c r="Y289" i="7"/>
  <c r="D290" i="7"/>
  <c r="E290" i="7"/>
  <c r="F290" i="7"/>
  <c r="G290" i="7"/>
  <c r="H290" i="7"/>
  <c r="I290" i="7"/>
  <c r="J290" i="7"/>
  <c r="K290" i="7"/>
  <c r="L290" i="7"/>
  <c r="M290" i="7"/>
  <c r="N290" i="7"/>
  <c r="P290" i="7"/>
  <c r="Q290" i="7"/>
  <c r="R290" i="7"/>
  <c r="T290" i="7"/>
  <c r="U290" i="7"/>
  <c r="W290" i="7"/>
  <c r="X290" i="7"/>
  <c r="Y290" i="7"/>
  <c r="D291" i="7"/>
  <c r="E291" i="7"/>
  <c r="F291" i="7"/>
  <c r="G291" i="7"/>
  <c r="H291" i="7"/>
  <c r="I291" i="7"/>
  <c r="J291" i="7"/>
  <c r="K291" i="7"/>
  <c r="L291" i="7"/>
  <c r="M291" i="7"/>
  <c r="N291" i="7"/>
  <c r="P291" i="7"/>
  <c r="Q291" i="7"/>
  <c r="R291" i="7"/>
  <c r="T291" i="7"/>
  <c r="U291" i="7"/>
  <c r="W291" i="7"/>
  <c r="X291" i="7"/>
  <c r="Y291" i="7"/>
  <c r="D292" i="7"/>
  <c r="E292" i="7"/>
  <c r="F292" i="7"/>
  <c r="G292" i="7"/>
  <c r="H292" i="7"/>
  <c r="I292" i="7"/>
  <c r="J292" i="7"/>
  <c r="K292" i="7"/>
  <c r="L292" i="7"/>
  <c r="M292" i="7"/>
  <c r="N292" i="7"/>
  <c r="P292" i="7"/>
  <c r="Q292" i="7"/>
  <c r="R292" i="7"/>
  <c r="T292" i="7"/>
  <c r="U292" i="7"/>
  <c r="W292" i="7"/>
  <c r="X292" i="7"/>
  <c r="Y292" i="7"/>
  <c r="D293" i="7"/>
  <c r="E293" i="7"/>
  <c r="F293" i="7"/>
  <c r="G293" i="7"/>
  <c r="H293" i="7"/>
  <c r="I293" i="7"/>
  <c r="J293" i="7"/>
  <c r="K293" i="7"/>
  <c r="L293" i="7"/>
  <c r="M293" i="7"/>
  <c r="N293" i="7"/>
  <c r="P293" i="7"/>
  <c r="Q293" i="7"/>
  <c r="R293" i="7"/>
  <c r="T293" i="7"/>
  <c r="U293" i="7"/>
  <c r="W293" i="7"/>
  <c r="X293" i="7"/>
  <c r="Y293" i="7"/>
  <c r="D294" i="7"/>
  <c r="E294" i="7"/>
  <c r="F294" i="7"/>
  <c r="G294" i="7"/>
  <c r="H294" i="7"/>
  <c r="I294" i="7"/>
  <c r="J294" i="7"/>
  <c r="K294" i="7"/>
  <c r="L294" i="7"/>
  <c r="M294" i="7"/>
  <c r="N294" i="7"/>
  <c r="P294" i="7"/>
  <c r="Q294" i="7"/>
  <c r="R294" i="7"/>
  <c r="T294" i="7"/>
  <c r="U294" i="7"/>
  <c r="W294" i="7"/>
  <c r="X294" i="7"/>
  <c r="Y294" i="7"/>
  <c r="D295" i="7"/>
  <c r="E295" i="7"/>
  <c r="F295" i="7"/>
  <c r="G295" i="7"/>
  <c r="H295" i="7"/>
  <c r="I295" i="7"/>
  <c r="J295" i="7"/>
  <c r="K295" i="7"/>
  <c r="L295" i="7"/>
  <c r="M295" i="7"/>
  <c r="N295" i="7"/>
  <c r="P295" i="7"/>
  <c r="Q295" i="7"/>
  <c r="R295" i="7"/>
  <c r="T295" i="7"/>
  <c r="U295" i="7"/>
  <c r="W295" i="7"/>
  <c r="X295" i="7"/>
  <c r="Y295" i="7"/>
  <c r="D296" i="7"/>
  <c r="E296" i="7"/>
  <c r="F296" i="7"/>
  <c r="G296" i="7"/>
  <c r="H296" i="7"/>
  <c r="I296" i="7"/>
  <c r="J296" i="7"/>
  <c r="K296" i="7"/>
  <c r="L296" i="7"/>
  <c r="M296" i="7"/>
  <c r="N296" i="7"/>
  <c r="P296" i="7"/>
  <c r="Q296" i="7"/>
  <c r="R296" i="7"/>
  <c r="T296" i="7"/>
  <c r="U296" i="7"/>
  <c r="W296" i="7"/>
  <c r="X296" i="7"/>
  <c r="Y296" i="7"/>
  <c r="D297" i="7"/>
  <c r="E297" i="7"/>
  <c r="F297" i="7"/>
  <c r="G297" i="7"/>
  <c r="H297" i="7"/>
  <c r="I297" i="7"/>
  <c r="J297" i="7"/>
  <c r="K297" i="7"/>
  <c r="L297" i="7"/>
  <c r="M297" i="7"/>
  <c r="N297" i="7"/>
  <c r="P297" i="7"/>
  <c r="Q297" i="7"/>
  <c r="R297" i="7"/>
  <c r="T297" i="7"/>
  <c r="U297" i="7"/>
  <c r="W297" i="7"/>
  <c r="X297" i="7"/>
  <c r="Y297" i="7"/>
  <c r="D298" i="7"/>
  <c r="E298" i="7"/>
  <c r="F298" i="7"/>
  <c r="G298" i="7"/>
  <c r="H298" i="7"/>
  <c r="I298" i="7"/>
  <c r="J298" i="7"/>
  <c r="K298" i="7"/>
  <c r="L298" i="7"/>
  <c r="M298" i="7"/>
  <c r="N298" i="7"/>
  <c r="P298" i="7"/>
  <c r="Q298" i="7"/>
  <c r="R298" i="7"/>
  <c r="T298" i="7"/>
  <c r="U298" i="7"/>
  <c r="W298" i="7"/>
  <c r="X298" i="7"/>
  <c r="Y298" i="7"/>
  <c r="D299" i="7"/>
  <c r="E299" i="7"/>
  <c r="F299" i="7"/>
  <c r="G299" i="7"/>
  <c r="H299" i="7"/>
  <c r="I299" i="7"/>
  <c r="J299" i="7"/>
  <c r="K299" i="7"/>
  <c r="L299" i="7"/>
  <c r="M299" i="7"/>
  <c r="N299" i="7"/>
  <c r="P299" i="7"/>
  <c r="Q299" i="7"/>
  <c r="R299" i="7"/>
  <c r="T299" i="7"/>
  <c r="U299" i="7"/>
  <c r="W299" i="7"/>
  <c r="X299" i="7"/>
  <c r="Y299" i="7"/>
  <c r="D300" i="7"/>
  <c r="E300" i="7"/>
  <c r="F300" i="7"/>
  <c r="G300" i="7"/>
  <c r="H300" i="7"/>
  <c r="I300" i="7"/>
  <c r="J300" i="7"/>
  <c r="K300" i="7"/>
  <c r="L300" i="7"/>
  <c r="M300" i="7"/>
  <c r="N300" i="7"/>
  <c r="P300" i="7"/>
  <c r="Q300" i="7"/>
  <c r="R300" i="7"/>
  <c r="T300" i="7"/>
  <c r="U300" i="7"/>
  <c r="W300" i="7"/>
  <c r="X300" i="7"/>
  <c r="Y300" i="7"/>
  <c r="D301" i="7"/>
  <c r="E301" i="7"/>
  <c r="F301" i="7"/>
  <c r="G301" i="7"/>
  <c r="H301" i="7"/>
  <c r="I301" i="7"/>
  <c r="J301" i="7"/>
  <c r="K301" i="7"/>
  <c r="L301" i="7"/>
  <c r="M301" i="7"/>
  <c r="N301" i="7"/>
  <c r="P301" i="7"/>
  <c r="Q301" i="7"/>
  <c r="R301" i="7"/>
  <c r="T301" i="7"/>
  <c r="U301" i="7"/>
  <c r="W301" i="7"/>
  <c r="X301" i="7"/>
  <c r="Y301" i="7"/>
  <c r="D302" i="7"/>
  <c r="E302" i="7"/>
  <c r="F302" i="7"/>
  <c r="G302" i="7"/>
  <c r="H302" i="7"/>
  <c r="I302" i="7"/>
  <c r="J302" i="7"/>
  <c r="K302" i="7"/>
  <c r="L302" i="7"/>
  <c r="M302" i="7"/>
  <c r="N302" i="7"/>
  <c r="P302" i="7"/>
  <c r="Q302" i="7"/>
  <c r="R302" i="7"/>
  <c r="T302" i="7"/>
  <c r="U302" i="7"/>
  <c r="W302" i="7"/>
  <c r="X302" i="7"/>
  <c r="Y302" i="7"/>
  <c r="D303" i="7"/>
  <c r="E303" i="7"/>
  <c r="F303" i="7"/>
  <c r="G303" i="7"/>
  <c r="H303" i="7"/>
  <c r="I303" i="7"/>
  <c r="J303" i="7"/>
  <c r="K303" i="7"/>
  <c r="L303" i="7"/>
  <c r="M303" i="7"/>
  <c r="N303" i="7"/>
  <c r="P303" i="7"/>
  <c r="Q303" i="7"/>
  <c r="R303" i="7"/>
  <c r="T303" i="7"/>
  <c r="U303" i="7"/>
  <c r="W303" i="7"/>
  <c r="X303" i="7"/>
  <c r="Y303" i="7"/>
  <c r="D304" i="7"/>
  <c r="E304" i="7"/>
  <c r="F304" i="7"/>
  <c r="G304" i="7"/>
  <c r="H304" i="7"/>
  <c r="I304" i="7"/>
  <c r="J304" i="7"/>
  <c r="K304" i="7"/>
  <c r="L304" i="7"/>
  <c r="M304" i="7"/>
  <c r="N304" i="7"/>
  <c r="P304" i="7"/>
  <c r="Q304" i="7"/>
  <c r="R304" i="7"/>
  <c r="T304" i="7"/>
  <c r="U304" i="7"/>
  <c r="W304" i="7"/>
  <c r="X304" i="7"/>
  <c r="Y304" i="7"/>
  <c r="D305" i="7"/>
  <c r="E305" i="7"/>
  <c r="F305" i="7"/>
  <c r="G305" i="7"/>
  <c r="H305" i="7"/>
  <c r="I305" i="7"/>
  <c r="J305" i="7"/>
  <c r="K305" i="7"/>
  <c r="L305" i="7"/>
  <c r="M305" i="7"/>
  <c r="N305" i="7"/>
  <c r="P305" i="7"/>
  <c r="Q305" i="7"/>
  <c r="R305" i="7"/>
  <c r="T305" i="7"/>
  <c r="U305" i="7"/>
  <c r="W305" i="7"/>
  <c r="X305" i="7"/>
  <c r="Y305" i="7"/>
  <c r="D306" i="7"/>
  <c r="E306" i="7"/>
  <c r="F306" i="7"/>
  <c r="G306" i="7"/>
  <c r="H306" i="7"/>
  <c r="I306" i="7"/>
  <c r="J306" i="7"/>
  <c r="K306" i="7"/>
  <c r="L306" i="7"/>
  <c r="M306" i="7"/>
  <c r="N306" i="7"/>
  <c r="P306" i="7"/>
  <c r="Q306" i="7"/>
  <c r="R306" i="7"/>
  <c r="T306" i="7"/>
  <c r="U306" i="7"/>
  <c r="W306" i="7"/>
  <c r="X306" i="7"/>
  <c r="Y306" i="7"/>
  <c r="D307" i="7"/>
  <c r="E307" i="7"/>
  <c r="F307" i="7"/>
  <c r="G307" i="7"/>
  <c r="H307" i="7"/>
  <c r="I307" i="7"/>
  <c r="J307" i="7"/>
  <c r="K307" i="7"/>
  <c r="L307" i="7"/>
  <c r="M307" i="7"/>
  <c r="N307" i="7"/>
  <c r="P307" i="7"/>
  <c r="Q307" i="7"/>
  <c r="R307" i="7"/>
  <c r="T307" i="7"/>
  <c r="U307" i="7"/>
  <c r="W307" i="7"/>
  <c r="X307" i="7"/>
  <c r="Y307" i="7"/>
  <c r="D308" i="7"/>
  <c r="E308" i="7"/>
  <c r="F308" i="7"/>
  <c r="G308" i="7"/>
  <c r="H308" i="7"/>
  <c r="I308" i="7"/>
  <c r="J308" i="7"/>
  <c r="K308" i="7"/>
  <c r="L308" i="7"/>
  <c r="M308" i="7"/>
  <c r="N308" i="7"/>
  <c r="P308" i="7"/>
  <c r="Q308" i="7"/>
  <c r="R308" i="7"/>
  <c r="T308" i="7"/>
  <c r="U308" i="7"/>
  <c r="W308" i="7"/>
  <c r="X308" i="7"/>
  <c r="Y308" i="7"/>
  <c r="D309" i="7"/>
  <c r="E309" i="7"/>
  <c r="F309" i="7"/>
  <c r="G309" i="7"/>
  <c r="H309" i="7"/>
  <c r="I309" i="7"/>
  <c r="J309" i="7"/>
  <c r="K309" i="7"/>
  <c r="L309" i="7"/>
  <c r="M309" i="7"/>
  <c r="N309" i="7"/>
  <c r="P309" i="7"/>
  <c r="Q309" i="7"/>
  <c r="R309" i="7"/>
  <c r="T309" i="7"/>
  <c r="U309" i="7"/>
  <c r="W309" i="7"/>
  <c r="X309" i="7"/>
  <c r="Y309" i="7"/>
  <c r="D310" i="7"/>
  <c r="E310" i="7"/>
  <c r="F310" i="7"/>
  <c r="G310" i="7"/>
  <c r="H310" i="7"/>
  <c r="I310" i="7"/>
  <c r="J310" i="7"/>
  <c r="K310" i="7"/>
  <c r="L310" i="7"/>
  <c r="M310" i="7"/>
  <c r="N310" i="7"/>
  <c r="P310" i="7"/>
  <c r="Q310" i="7"/>
  <c r="R310" i="7"/>
  <c r="T310" i="7"/>
  <c r="U310" i="7"/>
  <c r="W310" i="7"/>
  <c r="X310" i="7"/>
  <c r="Y310" i="7"/>
  <c r="D311" i="7"/>
  <c r="E311" i="7"/>
  <c r="F311" i="7"/>
  <c r="G311" i="7"/>
  <c r="H311" i="7"/>
  <c r="I311" i="7"/>
  <c r="J311" i="7"/>
  <c r="K311" i="7"/>
  <c r="L311" i="7"/>
  <c r="M311" i="7"/>
  <c r="N311" i="7"/>
  <c r="P311" i="7"/>
  <c r="Q311" i="7"/>
  <c r="R311" i="7"/>
  <c r="T311" i="7"/>
  <c r="U311" i="7"/>
  <c r="W311" i="7"/>
  <c r="X311" i="7"/>
  <c r="Y311" i="7"/>
  <c r="D312" i="7"/>
  <c r="E312" i="7"/>
  <c r="F312" i="7"/>
  <c r="G312" i="7"/>
  <c r="H312" i="7"/>
  <c r="I312" i="7"/>
  <c r="J312" i="7"/>
  <c r="K312" i="7"/>
  <c r="L312" i="7"/>
  <c r="M312" i="7"/>
  <c r="N312" i="7"/>
  <c r="P312" i="7"/>
  <c r="Q312" i="7"/>
  <c r="R312" i="7"/>
  <c r="T312" i="7"/>
  <c r="U312" i="7"/>
  <c r="W312" i="7"/>
  <c r="X312" i="7"/>
  <c r="Y312" i="7"/>
  <c r="D313" i="7"/>
  <c r="E313" i="7"/>
  <c r="F313" i="7"/>
  <c r="G313" i="7"/>
  <c r="H313" i="7"/>
  <c r="I313" i="7"/>
  <c r="J313" i="7"/>
  <c r="K313" i="7"/>
  <c r="L313" i="7"/>
  <c r="M313" i="7"/>
  <c r="N313" i="7"/>
  <c r="P313" i="7"/>
  <c r="Q313" i="7"/>
  <c r="R313" i="7"/>
  <c r="T313" i="7"/>
  <c r="U313" i="7"/>
  <c r="W313" i="7"/>
  <c r="X313" i="7"/>
  <c r="Y313" i="7"/>
  <c r="D314" i="7"/>
  <c r="E314" i="7"/>
  <c r="F314" i="7"/>
  <c r="G314" i="7"/>
  <c r="H314" i="7"/>
  <c r="I314" i="7"/>
  <c r="J314" i="7"/>
  <c r="K314" i="7"/>
  <c r="L314" i="7"/>
  <c r="M314" i="7"/>
  <c r="N314" i="7"/>
  <c r="P314" i="7"/>
  <c r="Q314" i="7"/>
  <c r="R314" i="7"/>
  <c r="T314" i="7"/>
  <c r="U314" i="7"/>
  <c r="W314" i="7"/>
  <c r="X314" i="7"/>
  <c r="Y314" i="7"/>
  <c r="D315" i="7"/>
  <c r="E315" i="7"/>
  <c r="F315" i="7"/>
  <c r="G315" i="7"/>
  <c r="H315" i="7"/>
  <c r="I315" i="7"/>
  <c r="J315" i="7"/>
  <c r="K315" i="7"/>
  <c r="L315" i="7"/>
  <c r="M315" i="7"/>
  <c r="N315" i="7"/>
  <c r="P315" i="7"/>
  <c r="Q315" i="7"/>
  <c r="R315" i="7"/>
  <c r="T315" i="7"/>
  <c r="U315" i="7"/>
  <c r="W315" i="7"/>
  <c r="X315" i="7"/>
  <c r="Y315" i="7"/>
  <c r="D316" i="7"/>
  <c r="E316" i="7"/>
  <c r="F316" i="7"/>
  <c r="G316" i="7"/>
  <c r="H316" i="7"/>
  <c r="I316" i="7"/>
  <c r="J316" i="7"/>
  <c r="K316" i="7"/>
  <c r="L316" i="7"/>
  <c r="M316" i="7"/>
  <c r="N316" i="7"/>
  <c r="P316" i="7"/>
  <c r="Q316" i="7"/>
  <c r="R316" i="7"/>
  <c r="T316" i="7"/>
  <c r="U316" i="7"/>
  <c r="W316" i="7"/>
  <c r="X316" i="7"/>
  <c r="Y316" i="7"/>
  <c r="D317" i="7"/>
  <c r="E317" i="7"/>
  <c r="F317" i="7"/>
  <c r="G317" i="7"/>
  <c r="H317" i="7"/>
  <c r="I317" i="7"/>
  <c r="J317" i="7"/>
  <c r="K317" i="7"/>
  <c r="L317" i="7"/>
  <c r="M317" i="7"/>
  <c r="N317" i="7"/>
  <c r="P317" i="7"/>
  <c r="Q317" i="7"/>
  <c r="R317" i="7"/>
  <c r="T317" i="7"/>
  <c r="U317" i="7"/>
  <c r="W317" i="7"/>
  <c r="X317" i="7"/>
  <c r="Y317" i="7"/>
  <c r="D318" i="7"/>
  <c r="E318" i="7"/>
  <c r="F318" i="7"/>
  <c r="G318" i="7"/>
  <c r="H318" i="7"/>
  <c r="I318" i="7"/>
  <c r="J318" i="7"/>
  <c r="K318" i="7"/>
  <c r="L318" i="7"/>
  <c r="M318" i="7"/>
  <c r="N318" i="7"/>
  <c r="P318" i="7"/>
  <c r="Q318" i="7"/>
  <c r="R318" i="7"/>
  <c r="T318" i="7"/>
  <c r="U318" i="7"/>
  <c r="W318" i="7"/>
  <c r="X318" i="7"/>
  <c r="Y318" i="7"/>
  <c r="D319" i="7"/>
  <c r="E319" i="7"/>
  <c r="F319" i="7"/>
  <c r="G319" i="7"/>
  <c r="H319" i="7"/>
  <c r="I319" i="7"/>
  <c r="J319" i="7"/>
  <c r="K319" i="7"/>
  <c r="L319" i="7"/>
  <c r="M319" i="7"/>
  <c r="N319" i="7"/>
  <c r="P319" i="7"/>
  <c r="Q319" i="7"/>
  <c r="R319" i="7"/>
  <c r="T319" i="7"/>
  <c r="U319" i="7"/>
  <c r="W319" i="7"/>
  <c r="X319" i="7"/>
  <c r="Y319" i="7"/>
  <c r="D320" i="7"/>
  <c r="E320" i="7"/>
  <c r="F320" i="7"/>
  <c r="G320" i="7"/>
  <c r="H320" i="7"/>
  <c r="I320" i="7"/>
  <c r="J320" i="7"/>
  <c r="K320" i="7"/>
  <c r="L320" i="7"/>
  <c r="M320" i="7"/>
  <c r="N320" i="7"/>
  <c r="P320" i="7"/>
  <c r="Q320" i="7"/>
  <c r="R320" i="7"/>
  <c r="T320" i="7"/>
  <c r="U320" i="7"/>
  <c r="W320" i="7"/>
  <c r="X320" i="7"/>
  <c r="Y320" i="7"/>
  <c r="D321" i="7"/>
  <c r="E321" i="7"/>
  <c r="F321" i="7"/>
  <c r="G321" i="7"/>
  <c r="H321" i="7"/>
  <c r="I321" i="7"/>
  <c r="J321" i="7"/>
  <c r="K321" i="7"/>
  <c r="L321" i="7"/>
  <c r="M321" i="7"/>
  <c r="N321" i="7"/>
  <c r="P321" i="7"/>
  <c r="Q321" i="7"/>
  <c r="R321" i="7"/>
  <c r="T321" i="7"/>
  <c r="U321" i="7"/>
  <c r="W321" i="7"/>
  <c r="X321" i="7"/>
  <c r="Y321" i="7"/>
  <c r="D322" i="7"/>
  <c r="E322" i="7"/>
  <c r="F322" i="7"/>
  <c r="G322" i="7"/>
  <c r="H322" i="7"/>
  <c r="I322" i="7"/>
  <c r="J322" i="7"/>
  <c r="K322" i="7"/>
  <c r="L322" i="7"/>
  <c r="M322" i="7"/>
  <c r="N322" i="7"/>
  <c r="P322" i="7"/>
  <c r="Q322" i="7"/>
  <c r="R322" i="7"/>
  <c r="T322" i="7"/>
  <c r="U322" i="7"/>
  <c r="W322" i="7"/>
  <c r="X322" i="7"/>
  <c r="Y322" i="7"/>
  <c r="D323" i="7"/>
  <c r="E323" i="7"/>
  <c r="F323" i="7"/>
  <c r="G323" i="7"/>
  <c r="H323" i="7"/>
  <c r="I323" i="7"/>
  <c r="J323" i="7"/>
  <c r="K323" i="7"/>
  <c r="L323" i="7"/>
  <c r="M323" i="7"/>
  <c r="N323" i="7"/>
  <c r="P323" i="7"/>
  <c r="Q323" i="7"/>
  <c r="R323" i="7"/>
  <c r="S323" i="7" s="1"/>
  <c r="T323" i="7"/>
  <c r="U323" i="7"/>
  <c r="W323" i="7"/>
  <c r="X323" i="7"/>
  <c r="Y323" i="7"/>
  <c r="D324" i="7"/>
  <c r="E324" i="7"/>
  <c r="F324" i="7"/>
  <c r="G324" i="7"/>
  <c r="H324" i="7"/>
  <c r="I324" i="7"/>
  <c r="J324" i="7"/>
  <c r="K324" i="7"/>
  <c r="L324" i="7"/>
  <c r="M324" i="7"/>
  <c r="N324" i="7"/>
  <c r="P324" i="7"/>
  <c r="Q324" i="7"/>
  <c r="R324" i="7"/>
  <c r="T324" i="7"/>
  <c r="U324" i="7"/>
  <c r="W324" i="7"/>
  <c r="X324" i="7"/>
  <c r="Y324" i="7"/>
  <c r="D325" i="7"/>
  <c r="E325" i="7"/>
  <c r="F325" i="7"/>
  <c r="G325" i="7"/>
  <c r="H325" i="7"/>
  <c r="I325" i="7"/>
  <c r="J325" i="7"/>
  <c r="K325" i="7"/>
  <c r="L325" i="7"/>
  <c r="M325" i="7"/>
  <c r="N325" i="7"/>
  <c r="P325" i="7"/>
  <c r="Q325" i="7"/>
  <c r="R325" i="7"/>
  <c r="T325" i="7"/>
  <c r="U325" i="7"/>
  <c r="W325" i="7"/>
  <c r="X325" i="7"/>
  <c r="Y325" i="7"/>
  <c r="D326" i="7"/>
  <c r="E326" i="7"/>
  <c r="F326" i="7"/>
  <c r="G326" i="7"/>
  <c r="H326" i="7"/>
  <c r="I326" i="7"/>
  <c r="J326" i="7"/>
  <c r="K326" i="7"/>
  <c r="L326" i="7"/>
  <c r="M326" i="7"/>
  <c r="N326" i="7"/>
  <c r="P326" i="7"/>
  <c r="Q326" i="7"/>
  <c r="R326" i="7"/>
  <c r="T326" i="7"/>
  <c r="U326" i="7"/>
  <c r="W326" i="7"/>
  <c r="X326" i="7"/>
  <c r="Y326" i="7"/>
  <c r="D327" i="7"/>
  <c r="E327" i="7"/>
  <c r="F327" i="7"/>
  <c r="G327" i="7"/>
  <c r="H327" i="7"/>
  <c r="I327" i="7"/>
  <c r="J327" i="7"/>
  <c r="K327" i="7"/>
  <c r="L327" i="7"/>
  <c r="M327" i="7"/>
  <c r="N327" i="7"/>
  <c r="P327" i="7"/>
  <c r="Q327" i="7"/>
  <c r="R327" i="7"/>
  <c r="T327" i="7"/>
  <c r="U327" i="7"/>
  <c r="W327" i="7"/>
  <c r="X327" i="7"/>
  <c r="Y327" i="7"/>
  <c r="D328" i="7"/>
  <c r="E328" i="7"/>
  <c r="F328" i="7"/>
  <c r="G328" i="7"/>
  <c r="H328" i="7"/>
  <c r="I328" i="7"/>
  <c r="J328" i="7"/>
  <c r="K328" i="7"/>
  <c r="L328" i="7"/>
  <c r="M328" i="7"/>
  <c r="N328" i="7"/>
  <c r="P328" i="7"/>
  <c r="Q328" i="7"/>
  <c r="R328" i="7"/>
  <c r="T328" i="7"/>
  <c r="V328" i="7" s="1"/>
  <c r="U328" i="7"/>
  <c r="W328" i="7"/>
  <c r="X328" i="7"/>
  <c r="Y328" i="7"/>
  <c r="D329" i="7"/>
  <c r="E329" i="7"/>
  <c r="F329" i="7"/>
  <c r="G329" i="7"/>
  <c r="H329" i="7"/>
  <c r="I329" i="7"/>
  <c r="J329" i="7"/>
  <c r="K329" i="7"/>
  <c r="L329" i="7"/>
  <c r="M329" i="7"/>
  <c r="N329" i="7"/>
  <c r="P329" i="7"/>
  <c r="Q329" i="7"/>
  <c r="R329" i="7"/>
  <c r="T329" i="7"/>
  <c r="U329" i="7"/>
  <c r="W329" i="7"/>
  <c r="X329" i="7"/>
  <c r="Y329" i="7"/>
  <c r="D330" i="7"/>
  <c r="E330" i="7"/>
  <c r="F330" i="7"/>
  <c r="G330" i="7"/>
  <c r="H330" i="7"/>
  <c r="I330" i="7"/>
  <c r="J330" i="7"/>
  <c r="K330" i="7"/>
  <c r="L330" i="7"/>
  <c r="M330" i="7"/>
  <c r="N330" i="7"/>
  <c r="P330" i="7"/>
  <c r="Q330" i="7"/>
  <c r="R330" i="7"/>
  <c r="T330" i="7"/>
  <c r="U330" i="7"/>
  <c r="W330" i="7"/>
  <c r="X330" i="7"/>
  <c r="Y330" i="7"/>
  <c r="D331" i="7"/>
  <c r="E331" i="7"/>
  <c r="F331" i="7"/>
  <c r="G331" i="7"/>
  <c r="H331" i="7"/>
  <c r="I331" i="7"/>
  <c r="J331" i="7"/>
  <c r="K331" i="7"/>
  <c r="L331" i="7"/>
  <c r="M331" i="7"/>
  <c r="N331" i="7"/>
  <c r="P331" i="7"/>
  <c r="Q331" i="7"/>
  <c r="R331" i="7"/>
  <c r="T331" i="7"/>
  <c r="U331" i="7"/>
  <c r="W331" i="7"/>
  <c r="X331" i="7"/>
  <c r="Y331" i="7"/>
  <c r="D332" i="7"/>
  <c r="E332" i="7"/>
  <c r="F332" i="7"/>
  <c r="G332" i="7"/>
  <c r="H332" i="7"/>
  <c r="I332" i="7"/>
  <c r="J332" i="7"/>
  <c r="K332" i="7"/>
  <c r="L332" i="7"/>
  <c r="M332" i="7"/>
  <c r="N332" i="7"/>
  <c r="P332" i="7"/>
  <c r="Q332" i="7"/>
  <c r="R332" i="7"/>
  <c r="T332" i="7"/>
  <c r="U332" i="7"/>
  <c r="W332" i="7"/>
  <c r="X332" i="7"/>
  <c r="Y332" i="7"/>
  <c r="D333" i="7"/>
  <c r="E333" i="7"/>
  <c r="F333" i="7"/>
  <c r="G333" i="7"/>
  <c r="H333" i="7"/>
  <c r="I333" i="7"/>
  <c r="J333" i="7"/>
  <c r="K333" i="7"/>
  <c r="L333" i="7"/>
  <c r="M333" i="7"/>
  <c r="N333" i="7"/>
  <c r="P333" i="7"/>
  <c r="Q333" i="7"/>
  <c r="R333" i="7"/>
  <c r="T333" i="7"/>
  <c r="U333" i="7"/>
  <c r="W333" i="7"/>
  <c r="X333" i="7"/>
  <c r="Y333" i="7"/>
  <c r="D334" i="7"/>
  <c r="E334" i="7"/>
  <c r="F334" i="7"/>
  <c r="G334" i="7"/>
  <c r="H334" i="7"/>
  <c r="I334" i="7"/>
  <c r="J334" i="7"/>
  <c r="K334" i="7"/>
  <c r="L334" i="7"/>
  <c r="M334" i="7"/>
  <c r="N334" i="7"/>
  <c r="P334" i="7"/>
  <c r="Q334" i="7"/>
  <c r="R334" i="7"/>
  <c r="T334" i="7"/>
  <c r="U334" i="7"/>
  <c r="W334" i="7"/>
  <c r="X334" i="7"/>
  <c r="Y334" i="7"/>
  <c r="D335" i="7"/>
  <c r="E335" i="7"/>
  <c r="F335" i="7"/>
  <c r="G335" i="7"/>
  <c r="H335" i="7"/>
  <c r="I335" i="7"/>
  <c r="J335" i="7"/>
  <c r="K335" i="7"/>
  <c r="L335" i="7"/>
  <c r="M335" i="7"/>
  <c r="N335" i="7"/>
  <c r="P335" i="7"/>
  <c r="Q335" i="7"/>
  <c r="R335" i="7"/>
  <c r="T335" i="7"/>
  <c r="U335" i="7"/>
  <c r="W335" i="7"/>
  <c r="X335" i="7"/>
  <c r="Y335" i="7"/>
  <c r="D336" i="7"/>
  <c r="E336" i="7"/>
  <c r="F336" i="7"/>
  <c r="G336" i="7"/>
  <c r="H336" i="7"/>
  <c r="I336" i="7"/>
  <c r="J336" i="7"/>
  <c r="K336" i="7"/>
  <c r="L336" i="7"/>
  <c r="M336" i="7"/>
  <c r="N336" i="7"/>
  <c r="P336" i="7"/>
  <c r="Q336" i="7"/>
  <c r="R336" i="7"/>
  <c r="T336" i="7"/>
  <c r="U336" i="7"/>
  <c r="W336" i="7"/>
  <c r="X336" i="7"/>
  <c r="Y336" i="7"/>
  <c r="D337" i="7"/>
  <c r="E337" i="7"/>
  <c r="F337" i="7"/>
  <c r="G337" i="7"/>
  <c r="H337" i="7"/>
  <c r="I337" i="7"/>
  <c r="J337" i="7"/>
  <c r="K337" i="7"/>
  <c r="L337" i="7"/>
  <c r="M337" i="7"/>
  <c r="N337" i="7"/>
  <c r="P337" i="7"/>
  <c r="Q337" i="7"/>
  <c r="R337" i="7"/>
  <c r="S337" i="7" s="1"/>
  <c r="T337" i="7"/>
  <c r="U337" i="7"/>
  <c r="W337" i="7"/>
  <c r="X337" i="7"/>
  <c r="Y337" i="7"/>
  <c r="D338" i="7"/>
  <c r="E338" i="7"/>
  <c r="F338" i="7"/>
  <c r="G338" i="7"/>
  <c r="H338" i="7"/>
  <c r="I338" i="7"/>
  <c r="J338" i="7"/>
  <c r="K338" i="7"/>
  <c r="L338" i="7"/>
  <c r="M338" i="7"/>
  <c r="N338" i="7"/>
  <c r="P338" i="7"/>
  <c r="Q338" i="7"/>
  <c r="R338" i="7"/>
  <c r="S338" i="7" s="1"/>
  <c r="T338" i="7"/>
  <c r="U338" i="7"/>
  <c r="W338" i="7"/>
  <c r="X338" i="7"/>
  <c r="Y338" i="7"/>
  <c r="D339" i="7"/>
  <c r="E339" i="7"/>
  <c r="F339" i="7"/>
  <c r="G339" i="7"/>
  <c r="H339" i="7"/>
  <c r="I339" i="7"/>
  <c r="J339" i="7"/>
  <c r="K339" i="7"/>
  <c r="L339" i="7"/>
  <c r="M339" i="7"/>
  <c r="N339" i="7"/>
  <c r="P339" i="7"/>
  <c r="Q339" i="7"/>
  <c r="R339" i="7"/>
  <c r="S339" i="7" s="1"/>
  <c r="T339" i="7"/>
  <c r="U339" i="7"/>
  <c r="W339" i="7"/>
  <c r="X339" i="7"/>
  <c r="Y339" i="7"/>
  <c r="D340" i="7"/>
  <c r="E340" i="7"/>
  <c r="F340" i="7"/>
  <c r="G340" i="7"/>
  <c r="H340" i="7"/>
  <c r="I340" i="7"/>
  <c r="J340" i="7"/>
  <c r="K340" i="7"/>
  <c r="L340" i="7"/>
  <c r="M340" i="7"/>
  <c r="N340" i="7"/>
  <c r="P340" i="7"/>
  <c r="Q340" i="7"/>
  <c r="R340" i="7"/>
  <c r="S340" i="7" s="1"/>
  <c r="T340" i="7"/>
  <c r="U340" i="7"/>
  <c r="W340" i="7"/>
  <c r="X340" i="7"/>
  <c r="Y340" i="7"/>
  <c r="D341" i="7"/>
  <c r="E341" i="7"/>
  <c r="F341" i="7"/>
  <c r="G341" i="7"/>
  <c r="H341" i="7"/>
  <c r="I341" i="7"/>
  <c r="J341" i="7"/>
  <c r="K341" i="7"/>
  <c r="L341" i="7"/>
  <c r="M341" i="7"/>
  <c r="N341" i="7"/>
  <c r="P341" i="7"/>
  <c r="Q341" i="7"/>
  <c r="R341" i="7"/>
  <c r="S341" i="7" s="1"/>
  <c r="T341" i="7"/>
  <c r="U341" i="7"/>
  <c r="W341" i="7"/>
  <c r="X341" i="7"/>
  <c r="Y341" i="7"/>
  <c r="D342" i="7"/>
  <c r="E342" i="7"/>
  <c r="F342" i="7"/>
  <c r="G342" i="7"/>
  <c r="H342" i="7"/>
  <c r="I342" i="7"/>
  <c r="J342" i="7"/>
  <c r="K342" i="7"/>
  <c r="L342" i="7"/>
  <c r="M342" i="7"/>
  <c r="N342" i="7"/>
  <c r="P342" i="7"/>
  <c r="Q342" i="7"/>
  <c r="R342" i="7"/>
  <c r="S342" i="7" s="1"/>
  <c r="T342" i="7"/>
  <c r="U342" i="7"/>
  <c r="W342" i="7"/>
  <c r="X342" i="7"/>
  <c r="Y342" i="7"/>
  <c r="D343" i="7"/>
  <c r="E343" i="7"/>
  <c r="F343" i="7"/>
  <c r="G343" i="7"/>
  <c r="H343" i="7"/>
  <c r="I343" i="7"/>
  <c r="J343" i="7"/>
  <c r="K343" i="7"/>
  <c r="L343" i="7"/>
  <c r="M343" i="7"/>
  <c r="N343" i="7"/>
  <c r="P343" i="7"/>
  <c r="Q343" i="7"/>
  <c r="R343" i="7"/>
  <c r="S343" i="7" s="1"/>
  <c r="T343" i="7"/>
  <c r="U343" i="7"/>
  <c r="W343" i="7"/>
  <c r="X343" i="7"/>
  <c r="Y343" i="7"/>
  <c r="D344" i="7"/>
  <c r="E344" i="7"/>
  <c r="F344" i="7"/>
  <c r="G344" i="7"/>
  <c r="H344" i="7"/>
  <c r="I344" i="7"/>
  <c r="J344" i="7"/>
  <c r="K344" i="7"/>
  <c r="L344" i="7"/>
  <c r="M344" i="7"/>
  <c r="N344" i="7"/>
  <c r="P344" i="7"/>
  <c r="Q344" i="7"/>
  <c r="R344" i="7"/>
  <c r="S344" i="7" s="1"/>
  <c r="T344" i="7"/>
  <c r="U344" i="7"/>
  <c r="W344" i="7"/>
  <c r="X344" i="7"/>
  <c r="Y344" i="7"/>
  <c r="D345" i="7"/>
  <c r="E345" i="7"/>
  <c r="F345" i="7"/>
  <c r="G345" i="7"/>
  <c r="H345" i="7"/>
  <c r="I345" i="7"/>
  <c r="J345" i="7"/>
  <c r="K345" i="7"/>
  <c r="L345" i="7"/>
  <c r="M345" i="7"/>
  <c r="N345" i="7"/>
  <c r="P345" i="7"/>
  <c r="Q345" i="7"/>
  <c r="R345" i="7"/>
  <c r="S345" i="7" s="1"/>
  <c r="T345" i="7"/>
  <c r="U345" i="7"/>
  <c r="W345" i="7"/>
  <c r="X345" i="7"/>
  <c r="Y345" i="7"/>
  <c r="D346" i="7"/>
  <c r="E346" i="7"/>
  <c r="F346" i="7"/>
  <c r="G346" i="7"/>
  <c r="H346" i="7"/>
  <c r="I346" i="7"/>
  <c r="J346" i="7"/>
  <c r="K346" i="7"/>
  <c r="L346" i="7"/>
  <c r="M346" i="7"/>
  <c r="N346" i="7"/>
  <c r="P346" i="7"/>
  <c r="Q346" i="7"/>
  <c r="R346" i="7"/>
  <c r="S346" i="7" s="1"/>
  <c r="T346" i="7"/>
  <c r="U346" i="7"/>
  <c r="W346" i="7"/>
  <c r="X346" i="7"/>
  <c r="Y346" i="7"/>
  <c r="D347" i="7"/>
  <c r="E347" i="7"/>
  <c r="F347" i="7"/>
  <c r="G347" i="7"/>
  <c r="H347" i="7"/>
  <c r="I347" i="7"/>
  <c r="J347" i="7"/>
  <c r="K347" i="7"/>
  <c r="L347" i="7"/>
  <c r="M347" i="7"/>
  <c r="N347" i="7"/>
  <c r="P347" i="7"/>
  <c r="Q347" i="7"/>
  <c r="R347" i="7"/>
  <c r="S347" i="7" s="1"/>
  <c r="T347" i="7"/>
  <c r="U347" i="7"/>
  <c r="W347" i="7"/>
  <c r="X347" i="7"/>
  <c r="Y347" i="7"/>
  <c r="D348" i="7"/>
  <c r="E348" i="7"/>
  <c r="F348" i="7"/>
  <c r="G348" i="7"/>
  <c r="H348" i="7"/>
  <c r="I348" i="7"/>
  <c r="J348" i="7"/>
  <c r="K348" i="7"/>
  <c r="L348" i="7"/>
  <c r="M348" i="7"/>
  <c r="N348" i="7"/>
  <c r="P348" i="7"/>
  <c r="Q348" i="7"/>
  <c r="R348" i="7"/>
  <c r="S348" i="7" s="1"/>
  <c r="T348" i="7"/>
  <c r="U348" i="7"/>
  <c r="W348" i="7"/>
  <c r="X348" i="7"/>
  <c r="Y348" i="7"/>
  <c r="D349" i="7"/>
  <c r="E349" i="7"/>
  <c r="F349" i="7"/>
  <c r="G349" i="7"/>
  <c r="H349" i="7"/>
  <c r="I349" i="7"/>
  <c r="J349" i="7"/>
  <c r="K349" i="7"/>
  <c r="L349" i="7"/>
  <c r="M349" i="7"/>
  <c r="N349" i="7"/>
  <c r="P349" i="7"/>
  <c r="Q349" i="7"/>
  <c r="R349" i="7"/>
  <c r="S349" i="7" s="1"/>
  <c r="T349" i="7"/>
  <c r="U349" i="7"/>
  <c r="V349" i="7" s="1"/>
  <c r="W349" i="7"/>
  <c r="X349" i="7"/>
  <c r="Y349" i="7"/>
  <c r="D350" i="7"/>
  <c r="E350" i="7"/>
  <c r="F350" i="7"/>
  <c r="G350" i="7"/>
  <c r="H350" i="7"/>
  <c r="I350" i="7"/>
  <c r="J350" i="7"/>
  <c r="K350" i="7"/>
  <c r="L350" i="7"/>
  <c r="M350" i="7"/>
  <c r="N350" i="7"/>
  <c r="P350" i="7"/>
  <c r="Q350" i="7"/>
  <c r="R350" i="7"/>
  <c r="S350" i="7" s="1"/>
  <c r="T350" i="7"/>
  <c r="U350" i="7"/>
  <c r="W350" i="7"/>
  <c r="X350" i="7"/>
  <c r="Y350" i="7"/>
  <c r="D351" i="7"/>
  <c r="E351" i="7"/>
  <c r="F351" i="7"/>
  <c r="G351" i="7"/>
  <c r="H351" i="7"/>
  <c r="I351" i="7"/>
  <c r="J351" i="7"/>
  <c r="K351" i="7"/>
  <c r="L351" i="7"/>
  <c r="M351" i="7"/>
  <c r="N351" i="7"/>
  <c r="P351" i="7"/>
  <c r="Q351" i="7"/>
  <c r="R351" i="7"/>
  <c r="S351" i="7" s="1"/>
  <c r="T351" i="7"/>
  <c r="U351" i="7"/>
  <c r="W351" i="7"/>
  <c r="X351" i="7"/>
  <c r="Y351" i="7"/>
  <c r="D352" i="7"/>
  <c r="E352" i="7"/>
  <c r="F352" i="7"/>
  <c r="G352" i="7"/>
  <c r="H352" i="7"/>
  <c r="I352" i="7"/>
  <c r="J352" i="7"/>
  <c r="K352" i="7"/>
  <c r="L352" i="7"/>
  <c r="M352" i="7"/>
  <c r="N352" i="7"/>
  <c r="P352" i="7"/>
  <c r="Q352" i="7"/>
  <c r="R352" i="7"/>
  <c r="S352" i="7" s="1"/>
  <c r="T352" i="7"/>
  <c r="U352" i="7"/>
  <c r="W352" i="7"/>
  <c r="X352" i="7"/>
  <c r="Y352" i="7"/>
  <c r="D353" i="7"/>
  <c r="E353" i="7"/>
  <c r="F353" i="7"/>
  <c r="G353" i="7"/>
  <c r="H353" i="7"/>
  <c r="I353" i="7"/>
  <c r="J353" i="7"/>
  <c r="K353" i="7"/>
  <c r="L353" i="7"/>
  <c r="M353" i="7"/>
  <c r="N353" i="7"/>
  <c r="P353" i="7"/>
  <c r="Q353" i="7"/>
  <c r="R353" i="7"/>
  <c r="S353" i="7" s="1"/>
  <c r="T353" i="7"/>
  <c r="U353" i="7"/>
  <c r="W353" i="7"/>
  <c r="X353" i="7"/>
  <c r="Y353" i="7"/>
  <c r="D354" i="7"/>
  <c r="E354" i="7"/>
  <c r="F354" i="7"/>
  <c r="G354" i="7"/>
  <c r="H354" i="7"/>
  <c r="I354" i="7"/>
  <c r="J354" i="7"/>
  <c r="K354" i="7"/>
  <c r="L354" i="7"/>
  <c r="M354" i="7"/>
  <c r="N354" i="7"/>
  <c r="P354" i="7"/>
  <c r="Q354" i="7"/>
  <c r="R354" i="7"/>
  <c r="S354" i="7" s="1"/>
  <c r="T354" i="7"/>
  <c r="U354" i="7"/>
  <c r="W354" i="7"/>
  <c r="X354" i="7"/>
  <c r="Y354" i="7"/>
  <c r="D355" i="7"/>
  <c r="E355" i="7"/>
  <c r="F355" i="7"/>
  <c r="G355" i="7"/>
  <c r="H355" i="7"/>
  <c r="I355" i="7"/>
  <c r="J355" i="7"/>
  <c r="K355" i="7"/>
  <c r="L355" i="7"/>
  <c r="M355" i="7"/>
  <c r="N355" i="7"/>
  <c r="P355" i="7"/>
  <c r="Q355" i="7"/>
  <c r="R355" i="7"/>
  <c r="S355" i="7" s="1"/>
  <c r="T355" i="7"/>
  <c r="U355" i="7"/>
  <c r="W355" i="7"/>
  <c r="X355" i="7"/>
  <c r="Y355" i="7"/>
  <c r="D356" i="7"/>
  <c r="E356" i="7"/>
  <c r="F356" i="7"/>
  <c r="G356" i="7"/>
  <c r="H356" i="7"/>
  <c r="I356" i="7"/>
  <c r="J356" i="7"/>
  <c r="K356" i="7"/>
  <c r="L356" i="7"/>
  <c r="M356" i="7"/>
  <c r="N356" i="7"/>
  <c r="P356" i="7"/>
  <c r="Q356" i="7"/>
  <c r="R356" i="7"/>
  <c r="S356" i="7" s="1"/>
  <c r="T356" i="7"/>
  <c r="U356" i="7"/>
  <c r="W356" i="7"/>
  <c r="X356" i="7"/>
  <c r="Y356" i="7"/>
  <c r="D357" i="7"/>
  <c r="E357" i="7"/>
  <c r="F357" i="7"/>
  <c r="G357" i="7"/>
  <c r="H357" i="7"/>
  <c r="I357" i="7"/>
  <c r="J357" i="7"/>
  <c r="K357" i="7"/>
  <c r="L357" i="7"/>
  <c r="M357" i="7"/>
  <c r="N357" i="7"/>
  <c r="P357" i="7"/>
  <c r="Q357" i="7"/>
  <c r="R357" i="7"/>
  <c r="S357" i="7" s="1"/>
  <c r="T357" i="7"/>
  <c r="U357" i="7"/>
  <c r="W357" i="7"/>
  <c r="X357" i="7"/>
  <c r="Y357" i="7"/>
  <c r="D358" i="7"/>
  <c r="E358" i="7"/>
  <c r="F358" i="7"/>
  <c r="G358" i="7"/>
  <c r="H358" i="7"/>
  <c r="I358" i="7"/>
  <c r="J358" i="7"/>
  <c r="K358" i="7"/>
  <c r="L358" i="7"/>
  <c r="M358" i="7"/>
  <c r="N358" i="7"/>
  <c r="P358" i="7"/>
  <c r="Q358" i="7"/>
  <c r="R358" i="7"/>
  <c r="S358" i="7" s="1"/>
  <c r="T358" i="7"/>
  <c r="U358" i="7"/>
  <c r="W358" i="7"/>
  <c r="X358" i="7"/>
  <c r="Y358" i="7"/>
  <c r="D359" i="7"/>
  <c r="E359" i="7"/>
  <c r="F359" i="7"/>
  <c r="G359" i="7"/>
  <c r="H359" i="7"/>
  <c r="I359" i="7"/>
  <c r="J359" i="7"/>
  <c r="K359" i="7"/>
  <c r="L359" i="7"/>
  <c r="M359" i="7"/>
  <c r="N359" i="7"/>
  <c r="P359" i="7"/>
  <c r="Q359" i="7"/>
  <c r="R359" i="7"/>
  <c r="S359" i="7" s="1"/>
  <c r="T359" i="7"/>
  <c r="U359" i="7"/>
  <c r="W359" i="7"/>
  <c r="X359" i="7"/>
  <c r="Y359" i="7"/>
  <c r="D360" i="7"/>
  <c r="E360" i="7"/>
  <c r="F360" i="7"/>
  <c r="G360" i="7"/>
  <c r="H360" i="7"/>
  <c r="I360" i="7"/>
  <c r="J360" i="7"/>
  <c r="K360" i="7"/>
  <c r="L360" i="7"/>
  <c r="M360" i="7"/>
  <c r="N360" i="7"/>
  <c r="P360" i="7"/>
  <c r="Q360" i="7"/>
  <c r="R360" i="7"/>
  <c r="S360" i="7" s="1"/>
  <c r="T360" i="7"/>
  <c r="U360" i="7"/>
  <c r="W360" i="7"/>
  <c r="X360" i="7"/>
  <c r="Y360" i="7"/>
  <c r="D361" i="7"/>
  <c r="E361" i="7"/>
  <c r="F361" i="7"/>
  <c r="G361" i="7"/>
  <c r="H361" i="7"/>
  <c r="I361" i="7"/>
  <c r="J361" i="7"/>
  <c r="K361" i="7"/>
  <c r="L361" i="7"/>
  <c r="M361" i="7"/>
  <c r="N361" i="7"/>
  <c r="P361" i="7"/>
  <c r="Q361" i="7"/>
  <c r="R361" i="7"/>
  <c r="S361" i="7" s="1"/>
  <c r="T361" i="7"/>
  <c r="U361" i="7"/>
  <c r="W361" i="7"/>
  <c r="X361" i="7"/>
  <c r="Y361" i="7"/>
  <c r="D362" i="7"/>
  <c r="E362" i="7"/>
  <c r="F362" i="7"/>
  <c r="G362" i="7"/>
  <c r="H362" i="7"/>
  <c r="I362" i="7"/>
  <c r="J362" i="7"/>
  <c r="K362" i="7"/>
  <c r="L362" i="7"/>
  <c r="M362" i="7"/>
  <c r="N362" i="7"/>
  <c r="P362" i="7"/>
  <c r="Q362" i="7"/>
  <c r="R362" i="7"/>
  <c r="S362" i="7" s="1"/>
  <c r="T362" i="7"/>
  <c r="U362" i="7"/>
  <c r="W362" i="7"/>
  <c r="X362" i="7"/>
  <c r="Y362" i="7"/>
  <c r="D363" i="7"/>
  <c r="E363" i="7"/>
  <c r="F363" i="7"/>
  <c r="G363" i="7"/>
  <c r="H363" i="7"/>
  <c r="I363" i="7"/>
  <c r="J363" i="7"/>
  <c r="K363" i="7"/>
  <c r="L363" i="7"/>
  <c r="M363" i="7"/>
  <c r="N363" i="7"/>
  <c r="P363" i="7"/>
  <c r="Q363" i="7"/>
  <c r="R363" i="7"/>
  <c r="S363" i="7" s="1"/>
  <c r="T363" i="7"/>
  <c r="U363" i="7"/>
  <c r="W363" i="7"/>
  <c r="X363" i="7"/>
  <c r="Y363" i="7"/>
  <c r="D364" i="7"/>
  <c r="E364" i="7"/>
  <c r="F364" i="7"/>
  <c r="G364" i="7"/>
  <c r="H364" i="7"/>
  <c r="I364" i="7"/>
  <c r="J364" i="7"/>
  <c r="K364" i="7"/>
  <c r="L364" i="7"/>
  <c r="M364" i="7"/>
  <c r="N364" i="7"/>
  <c r="P364" i="7"/>
  <c r="Q364" i="7"/>
  <c r="R364" i="7"/>
  <c r="S364" i="7" s="1"/>
  <c r="T364" i="7"/>
  <c r="U364" i="7"/>
  <c r="V364" i="7" s="1"/>
  <c r="W364" i="7"/>
  <c r="X364" i="7"/>
  <c r="Y364" i="7"/>
  <c r="D365" i="7"/>
  <c r="E365" i="7"/>
  <c r="F365" i="7"/>
  <c r="G365" i="7"/>
  <c r="H365" i="7"/>
  <c r="I365" i="7"/>
  <c r="J365" i="7"/>
  <c r="K365" i="7"/>
  <c r="L365" i="7"/>
  <c r="M365" i="7"/>
  <c r="N365" i="7"/>
  <c r="P365" i="7"/>
  <c r="Q365" i="7"/>
  <c r="R365" i="7"/>
  <c r="S365" i="7" s="1"/>
  <c r="T365" i="7"/>
  <c r="U365" i="7"/>
  <c r="W365" i="7"/>
  <c r="X365" i="7"/>
  <c r="Y365" i="7"/>
  <c r="D366" i="7"/>
  <c r="E366" i="7"/>
  <c r="F366" i="7"/>
  <c r="G366" i="7"/>
  <c r="H366" i="7"/>
  <c r="I366" i="7"/>
  <c r="J366" i="7"/>
  <c r="K366" i="7"/>
  <c r="L366" i="7"/>
  <c r="M366" i="7"/>
  <c r="N366" i="7"/>
  <c r="P366" i="7"/>
  <c r="Q366" i="7"/>
  <c r="R366" i="7"/>
  <c r="T366" i="7"/>
  <c r="U366" i="7"/>
  <c r="W366" i="7"/>
  <c r="X366" i="7"/>
  <c r="Y366" i="7"/>
  <c r="D367" i="7"/>
  <c r="E367" i="7"/>
  <c r="F367" i="7"/>
  <c r="G367" i="7"/>
  <c r="H367" i="7"/>
  <c r="I367" i="7"/>
  <c r="J367" i="7"/>
  <c r="K367" i="7"/>
  <c r="L367" i="7"/>
  <c r="M367" i="7"/>
  <c r="N367" i="7"/>
  <c r="P367" i="7"/>
  <c r="Q367" i="7"/>
  <c r="R367" i="7"/>
  <c r="S367" i="7" s="1"/>
  <c r="T367" i="7"/>
  <c r="U367" i="7"/>
  <c r="W367" i="7"/>
  <c r="X367" i="7"/>
  <c r="Y367" i="7"/>
  <c r="D368" i="7"/>
  <c r="E368" i="7"/>
  <c r="F368" i="7"/>
  <c r="G368" i="7"/>
  <c r="H368" i="7"/>
  <c r="I368" i="7"/>
  <c r="J368" i="7"/>
  <c r="K368" i="7"/>
  <c r="L368" i="7"/>
  <c r="M368" i="7"/>
  <c r="N368" i="7"/>
  <c r="P368" i="7"/>
  <c r="Q368" i="7"/>
  <c r="R368" i="7"/>
  <c r="S368" i="7" s="1"/>
  <c r="T368" i="7"/>
  <c r="U368" i="7"/>
  <c r="W368" i="7"/>
  <c r="X368" i="7"/>
  <c r="Y368" i="7"/>
  <c r="D369" i="7"/>
  <c r="E369" i="7"/>
  <c r="F369" i="7"/>
  <c r="G369" i="7"/>
  <c r="H369" i="7"/>
  <c r="I369" i="7"/>
  <c r="J369" i="7"/>
  <c r="K369" i="7"/>
  <c r="L369" i="7"/>
  <c r="M369" i="7"/>
  <c r="N369" i="7"/>
  <c r="P369" i="7"/>
  <c r="Q369" i="7"/>
  <c r="R369" i="7"/>
  <c r="S369" i="7" s="1"/>
  <c r="T369" i="7"/>
  <c r="U369" i="7"/>
  <c r="W369" i="7"/>
  <c r="X369" i="7"/>
  <c r="Y369" i="7"/>
  <c r="D370" i="7"/>
  <c r="E370" i="7"/>
  <c r="F370" i="7"/>
  <c r="G370" i="7"/>
  <c r="H370" i="7"/>
  <c r="I370" i="7"/>
  <c r="J370" i="7"/>
  <c r="K370" i="7"/>
  <c r="L370" i="7"/>
  <c r="M370" i="7"/>
  <c r="N370" i="7"/>
  <c r="P370" i="7"/>
  <c r="Q370" i="7"/>
  <c r="R370" i="7"/>
  <c r="S370" i="7" s="1"/>
  <c r="T370" i="7"/>
  <c r="U370" i="7"/>
  <c r="W370" i="7"/>
  <c r="X370" i="7"/>
  <c r="Y370" i="7"/>
  <c r="D371" i="7"/>
  <c r="E371" i="7"/>
  <c r="F371" i="7"/>
  <c r="G371" i="7"/>
  <c r="H371" i="7"/>
  <c r="I371" i="7"/>
  <c r="J371" i="7"/>
  <c r="K371" i="7"/>
  <c r="L371" i="7"/>
  <c r="M371" i="7"/>
  <c r="N371" i="7"/>
  <c r="P371" i="7"/>
  <c r="Q371" i="7"/>
  <c r="R371" i="7"/>
  <c r="S371" i="7" s="1"/>
  <c r="T371" i="7"/>
  <c r="U371" i="7"/>
  <c r="W371" i="7"/>
  <c r="X371" i="7"/>
  <c r="Y371" i="7"/>
  <c r="D372" i="7"/>
  <c r="E372" i="7"/>
  <c r="F372" i="7"/>
  <c r="G372" i="7"/>
  <c r="H372" i="7"/>
  <c r="I372" i="7"/>
  <c r="J372" i="7"/>
  <c r="K372" i="7"/>
  <c r="L372" i="7"/>
  <c r="M372" i="7"/>
  <c r="N372" i="7"/>
  <c r="P372" i="7"/>
  <c r="Q372" i="7"/>
  <c r="R372" i="7"/>
  <c r="S372" i="7" s="1"/>
  <c r="T372" i="7"/>
  <c r="U372" i="7"/>
  <c r="W372" i="7"/>
  <c r="X372" i="7"/>
  <c r="Y372" i="7"/>
  <c r="D373" i="7"/>
  <c r="E373" i="7"/>
  <c r="F373" i="7"/>
  <c r="G373" i="7"/>
  <c r="H373" i="7"/>
  <c r="I373" i="7"/>
  <c r="J373" i="7"/>
  <c r="K373" i="7"/>
  <c r="L373" i="7"/>
  <c r="M373" i="7"/>
  <c r="N373" i="7"/>
  <c r="P373" i="7"/>
  <c r="Q373" i="7"/>
  <c r="R373" i="7"/>
  <c r="S373" i="7" s="1"/>
  <c r="T373" i="7"/>
  <c r="U373" i="7"/>
  <c r="W373" i="7"/>
  <c r="X373" i="7"/>
  <c r="Y373" i="7"/>
  <c r="D374" i="7"/>
  <c r="E374" i="7"/>
  <c r="F374" i="7"/>
  <c r="G374" i="7"/>
  <c r="H374" i="7"/>
  <c r="I374" i="7"/>
  <c r="J374" i="7"/>
  <c r="K374" i="7"/>
  <c r="L374" i="7"/>
  <c r="M374" i="7"/>
  <c r="N374" i="7"/>
  <c r="P374" i="7"/>
  <c r="Q374" i="7"/>
  <c r="R374" i="7"/>
  <c r="S374" i="7" s="1"/>
  <c r="T374" i="7"/>
  <c r="U374" i="7"/>
  <c r="W374" i="7"/>
  <c r="X374" i="7"/>
  <c r="Y374" i="7"/>
  <c r="D375" i="7"/>
  <c r="E375" i="7"/>
  <c r="F375" i="7"/>
  <c r="G375" i="7"/>
  <c r="H375" i="7"/>
  <c r="I375" i="7"/>
  <c r="J375" i="7"/>
  <c r="K375" i="7"/>
  <c r="L375" i="7"/>
  <c r="M375" i="7"/>
  <c r="N375" i="7"/>
  <c r="P375" i="7"/>
  <c r="Q375" i="7"/>
  <c r="R375" i="7"/>
  <c r="T375" i="7"/>
  <c r="U375" i="7"/>
  <c r="W375" i="7"/>
  <c r="X375" i="7"/>
  <c r="Y375" i="7"/>
  <c r="D376" i="7"/>
  <c r="E376" i="7"/>
  <c r="F376" i="7"/>
  <c r="G376" i="7"/>
  <c r="H376" i="7"/>
  <c r="I376" i="7"/>
  <c r="J376" i="7"/>
  <c r="K376" i="7"/>
  <c r="L376" i="7"/>
  <c r="M376" i="7"/>
  <c r="N376" i="7"/>
  <c r="P376" i="7"/>
  <c r="Q376" i="7"/>
  <c r="R376" i="7"/>
  <c r="S376" i="7" s="1"/>
  <c r="T376" i="7"/>
  <c r="U376" i="7"/>
  <c r="W376" i="7"/>
  <c r="X376" i="7"/>
  <c r="Y376" i="7"/>
  <c r="D377" i="7"/>
  <c r="E377" i="7"/>
  <c r="F377" i="7"/>
  <c r="G377" i="7"/>
  <c r="H377" i="7"/>
  <c r="I377" i="7"/>
  <c r="J377" i="7"/>
  <c r="K377" i="7"/>
  <c r="L377" i="7"/>
  <c r="M377" i="7"/>
  <c r="N377" i="7"/>
  <c r="P377" i="7"/>
  <c r="Q377" i="7"/>
  <c r="R377" i="7"/>
  <c r="S377" i="7" s="1"/>
  <c r="T377" i="7"/>
  <c r="U377" i="7"/>
  <c r="W377" i="7"/>
  <c r="X377" i="7"/>
  <c r="Y377" i="7"/>
  <c r="D378" i="7"/>
  <c r="E378" i="7"/>
  <c r="F378" i="7"/>
  <c r="G378" i="7"/>
  <c r="H378" i="7"/>
  <c r="I378" i="7"/>
  <c r="J378" i="7"/>
  <c r="K378" i="7"/>
  <c r="L378" i="7"/>
  <c r="M378" i="7"/>
  <c r="N378" i="7"/>
  <c r="P378" i="7"/>
  <c r="Q378" i="7"/>
  <c r="R378" i="7"/>
  <c r="S378" i="7" s="1"/>
  <c r="T378" i="7"/>
  <c r="U378" i="7"/>
  <c r="W378" i="7"/>
  <c r="X378" i="7"/>
  <c r="Y378" i="7"/>
  <c r="D379" i="7"/>
  <c r="E379" i="7"/>
  <c r="F379" i="7"/>
  <c r="G379" i="7"/>
  <c r="H379" i="7"/>
  <c r="I379" i="7"/>
  <c r="J379" i="7"/>
  <c r="K379" i="7"/>
  <c r="L379" i="7"/>
  <c r="M379" i="7"/>
  <c r="N379" i="7"/>
  <c r="P379" i="7"/>
  <c r="Q379" i="7"/>
  <c r="R379" i="7"/>
  <c r="S379" i="7" s="1"/>
  <c r="T379" i="7"/>
  <c r="U379" i="7"/>
  <c r="W379" i="7"/>
  <c r="X379" i="7"/>
  <c r="Y379" i="7"/>
  <c r="D380" i="7"/>
  <c r="E380" i="7"/>
  <c r="F380" i="7"/>
  <c r="G380" i="7"/>
  <c r="H380" i="7"/>
  <c r="I380" i="7"/>
  <c r="J380" i="7"/>
  <c r="K380" i="7"/>
  <c r="L380" i="7"/>
  <c r="M380" i="7"/>
  <c r="N380" i="7"/>
  <c r="P380" i="7"/>
  <c r="Q380" i="7"/>
  <c r="R380" i="7"/>
  <c r="S380" i="7" s="1"/>
  <c r="T380" i="7"/>
  <c r="U380" i="7"/>
  <c r="W380" i="7"/>
  <c r="X380" i="7"/>
  <c r="Y380" i="7"/>
  <c r="D381" i="7"/>
  <c r="E381" i="7"/>
  <c r="F381" i="7"/>
  <c r="G381" i="7"/>
  <c r="H381" i="7"/>
  <c r="I381" i="7"/>
  <c r="J381" i="7"/>
  <c r="K381" i="7"/>
  <c r="L381" i="7"/>
  <c r="M381" i="7"/>
  <c r="N381" i="7"/>
  <c r="P381" i="7"/>
  <c r="Q381" i="7"/>
  <c r="R381" i="7"/>
  <c r="T381" i="7"/>
  <c r="U381" i="7"/>
  <c r="W381" i="7"/>
  <c r="X381" i="7"/>
  <c r="Y381" i="7"/>
  <c r="D382" i="7"/>
  <c r="E382" i="7"/>
  <c r="F382" i="7"/>
  <c r="G382" i="7"/>
  <c r="H382" i="7"/>
  <c r="I382" i="7"/>
  <c r="J382" i="7"/>
  <c r="K382" i="7"/>
  <c r="L382" i="7"/>
  <c r="M382" i="7"/>
  <c r="N382" i="7"/>
  <c r="P382" i="7"/>
  <c r="Q382" i="7"/>
  <c r="R382" i="7"/>
  <c r="T382" i="7"/>
  <c r="V382" i="7" s="1"/>
  <c r="U382" i="7"/>
  <c r="D383" i="7"/>
  <c r="E383" i="7"/>
  <c r="F383" i="7"/>
  <c r="G383" i="7"/>
  <c r="H383" i="7"/>
  <c r="I383" i="7"/>
  <c r="J383" i="7"/>
  <c r="K383" i="7"/>
  <c r="L383" i="7"/>
  <c r="M383" i="7"/>
  <c r="N383" i="7"/>
  <c r="P383" i="7"/>
  <c r="Q383" i="7"/>
  <c r="R383" i="7"/>
  <c r="S383" i="7" s="1"/>
  <c r="T383" i="7"/>
  <c r="V383" i="7" s="1"/>
  <c r="U383" i="7"/>
  <c r="W383" i="7"/>
  <c r="X383" i="7"/>
  <c r="Y383" i="7"/>
  <c r="D384" i="7"/>
  <c r="E384" i="7"/>
  <c r="F384" i="7"/>
  <c r="G384" i="7"/>
  <c r="H384" i="7"/>
  <c r="I384" i="7"/>
  <c r="J384" i="7"/>
  <c r="K384" i="7"/>
  <c r="L384" i="7"/>
  <c r="M384" i="7"/>
  <c r="N384" i="7"/>
  <c r="P384" i="7"/>
  <c r="Q384" i="7"/>
  <c r="S384" i="7" s="1"/>
  <c r="R384" i="7"/>
  <c r="T384" i="7"/>
  <c r="V384" i="7" s="1"/>
  <c r="U384" i="7"/>
  <c r="W384" i="7"/>
  <c r="X384" i="7"/>
  <c r="Y384" i="7"/>
  <c r="D385" i="7"/>
  <c r="E385" i="7"/>
  <c r="F385" i="7"/>
  <c r="G385" i="7"/>
  <c r="H385" i="7"/>
  <c r="I385" i="7"/>
  <c r="J385" i="7"/>
  <c r="K385" i="7"/>
  <c r="L385" i="7"/>
  <c r="M385" i="7"/>
  <c r="N385" i="7"/>
  <c r="P385" i="7"/>
  <c r="Q385" i="7"/>
  <c r="R385" i="7"/>
  <c r="S385" i="7" s="1"/>
  <c r="T385" i="7"/>
  <c r="V385" i="7" s="1"/>
  <c r="U385" i="7"/>
  <c r="W385" i="7"/>
  <c r="X385" i="7"/>
  <c r="Y385" i="7"/>
  <c r="D386" i="7"/>
  <c r="E386" i="7"/>
  <c r="F386" i="7"/>
  <c r="G386" i="7"/>
  <c r="H386" i="7"/>
  <c r="I386" i="7"/>
  <c r="J386" i="7"/>
  <c r="K386" i="7"/>
  <c r="L386" i="7"/>
  <c r="M386" i="7"/>
  <c r="N386" i="7"/>
  <c r="P386" i="7"/>
  <c r="Q386" i="7"/>
  <c r="S386" i="7" s="1"/>
  <c r="R386" i="7"/>
  <c r="T386" i="7"/>
  <c r="V386" i="7" s="1"/>
  <c r="U386" i="7"/>
  <c r="W386" i="7"/>
  <c r="X386" i="7"/>
  <c r="Y386" i="7"/>
  <c r="D387" i="7"/>
  <c r="E387" i="7"/>
  <c r="F387" i="7"/>
  <c r="G387" i="7"/>
  <c r="H387" i="7"/>
  <c r="I387" i="7"/>
  <c r="J387" i="7"/>
  <c r="K387" i="7"/>
  <c r="L387" i="7"/>
  <c r="M387" i="7"/>
  <c r="N387" i="7"/>
  <c r="P387" i="7"/>
  <c r="Q387" i="7"/>
  <c r="S387" i="7" s="1"/>
  <c r="R387" i="7"/>
  <c r="T387" i="7"/>
  <c r="V387" i="7" s="1"/>
  <c r="U387" i="7"/>
  <c r="W387" i="7"/>
  <c r="X387" i="7"/>
  <c r="Y387" i="7"/>
  <c r="D388" i="7"/>
  <c r="E388" i="7"/>
  <c r="F388" i="7"/>
  <c r="G388" i="7"/>
  <c r="H388" i="7"/>
  <c r="I388" i="7"/>
  <c r="J388" i="7"/>
  <c r="K388" i="7"/>
  <c r="L388" i="7"/>
  <c r="M388" i="7"/>
  <c r="N388" i="7"/>
  <c r="P388" i="7"/>
  <c r="Q388" i="7"/>
  <c r="S388" i="7" s="1"/>
  <c r="R388" i="7"/>
  <c r="T388" i="7"/>
  <c r="V388" i="7" s="1"/>
  <c r="U388" i="7"/>
  <c r="W388" i="7"/>
  <c r="X388" i="7"/>
  <c r="Y388" i="7"/>
  <c r="D389" i="7"/>
  <c r="E389" i="7"/>
  <c r="F389" i="7"/>
  <c r="G389" i="7"/>
  <c r="H389" i="7"/>
  <c r="I389" i="7"/>
  <c r="J389" i="7"/>
  <c r="K389" i="7"/>
  <c r="L389" i="7"/>
  <c r="M389" i="7"/>
  <c r="N389" i="7"/>
  <c r="P389" i="7"/>
  <c r="Q389" i="7"/>
  <c r="R389" i="7"/>
  <c r="S389" i="7" s="1"/>
  <c r="T389" i="7"/>
  <c r="V389" i="7" s="1"/>
  <c r="U389" i="7"/>
  <c r="W389" i="7"/>
  <c r="X389" i="7"/>
  <c r="Y389" i="7"/>
  <c r="D390" i="7"/>
  <c r="E390" i="7"/>
  <c r="F390" i="7"/>
  <c r="G390" i="7"/>
  <c r="H390" i="7"/>
  <c r="I390" i="7"/>
  <c r="J390" i="7"/>
  <c r="K390" i="7"/>
  <c r="L390" i="7"/>
  <c r="M390" i="7"/>
  <c r="N390" i="7"/>
  <c r="P390" i="7"/>
  <c r="Q390" i="7"/>
  <c r="S390" i="7" s="1"/>
  <c r="R390" i="7"/>
  <c r="T390" i="7"/>
  <c r="V390" i="7" s="1"/>
  <c r="U390" i="7"/>
  <c r="W390" i="7"/>
  <c r="X390" i="7"/>
  <c r="Y390" i="7"/>
  <c r="D391" i="7"/>
  <c r="E391" i="7"/>
  <c r="F391" i="7"/>
  <c r="G391" i="7"/>
  <c r="H391" i="7"/>
  <c r="I391" i="7"/>
  <c r="J391" i="7"/>
  <c r="K391" i="7"/>
  <c r="L391" i="7"/>
  <c r="M391" i="7"/>
  <c r="N391" i="7"/>
  <c r="P391" i="7"/>
  <c r="Q391" i="7"/>
  <c r="S391" i="7" s="1"/>
  <c r="R391" i="7"/>
  <c r="T391" i="7"/>
  <c r="V391" i="7" s="1"/>
  <c r="U391" i="7"/>
  <c r="W391" i="7"/>
  <c r="X391" i="7"/>
  <c r="Y391" i="7"/>
  <c r="D392" i="7"/>
  <c r="E392" i="7"/>
  <c r="F392" i="7"/>
  <c r="G392" i="7"/>
  <c r="H392" i="7"/>
  <c r="I392" i="7"/>
  <c r="J392" i="7"/>
  <c r="K392" i="7"/>
  <c r="L392" i="7"/>
  <c r="M392" i="7"/>
  <c r="N392" i="7"/>
  <c r="P392" i="7"/>
  <c r="Q392" i="7"/>
  <c r="S392" i="7" s="1"/>
  <c r="R392" i="7"/>
  <c r="T392" i="7"/>
  <c r="V392" i="7" s="1"/>
  <c r="U392" i="7"/>
  <c r="W392" i="7"/>
  <c r="X392" i="7"/>
  <c r="Y392" i="7"/>
  <c r="D393" i="7"/>
  <c r="E393" i="7"/>
  <c r="F393" i="7"/>
  <c r="G393" i="7"/>
  <c r="H393" i="7"/>
  <c r="I393" i="7"/>
  <c r="J393" i="7"/>
  <c r="K393" i="7"/>
  <c r="L393" i="7"/>
  <c r="M393" i="7"/>
  <c r="N393" i="7"/>
  <c r="P393" i="7"/>
  <c r="Q393" i="7"/>
  <c r="S393" i="7" s="1"/>
  <c r="R393" i="7"/>
  <c r="T393" i="7"/>
  <c r="U393" i="7"/>
  <c r="V393" i="7" s="1"/>
  <c r="W393" i="7"/>
  <c r="X393" i="7"/>
  <c r="Y393" i="7"/>
  <c r="D394" i="7"/>
  <c r="E394" i="7"/>
  <c r="F394" i="7"/>
  <c r="G394" i="7"/>
  <c r="H394" i="7"/>
  <c r="I394" i="7"/>
  <c r="J394" i="7"/>
  <c r="K394" i="7"/>
  <c r="L394" i="7"/>
  <c r="M394" i="7"/>
  <c r="N394" i="7"/>
  <c r="P394" i="7"/>
  <c r="Q394" i="7"/>
  <c r="R394" i="7"/>
  <c r="S394" i="7" s="1"/>
  <c r="T394" i="7"/>
  <c r="V394" i="7" s="1"/>
  <c r="U394" i="7"/>
  <c r="W394" i="7"/>
  <c r="X394" i="7"/>
  <c r="Y394" i="7"/>
  <c r="D395" i="7"/>
  <c r="E395" i="7"/>
  <c r="F395" i="7"/>
  <c r="G395" i="7"/>
  <c r="H395" i="7"/>
  <c r="I395" i="7"/>
  <c r="J395" i="7"/>
  <c r="K395" i="7"/>
  <c r="L395" i="7"/>
  <c r="M395" i="7"/>
  <c r="N395" i="7"/>
  <c r="P395" i="7"/>
  <c r="Q395" i="7"/>
  <c r="S395" i="7" s="1"/>
  <c r="R395" i="7"/>
  <c r="T395" i="7"/>
  <c r="V395" i="7" s="1"/>
  <c r="U395" i="7"/>
  <c r="W395" i="7"/>
  <c r="X395" i="7"/>
  <c r="Y395" i="7"/>
  <c r="D396" i="7"/>
  <c r="E396" i="7"/>
  <c r="X396" i="7" s="1"/>
  <c r="F396" i="7"/>
  <c r="G396" i="7"/>
  <c r="H396" i="7"/>
  <c r="I396" i="7"/>
  <c r="J396" i="7"/>
  <c r="K396" i="7"/>
  <c r="L396" i="7"/>
  <c r="M396" i="7"/>
  <c r="N396" i="7"/>
  <c r="P396" i="7"/>
  <c r="Q396" i="7"/>
  <c r="R396" i="7"/>
  <c r="S396" i="7"/>
  <c r="T396" i="7"/>
  <c r="U396" i="7"/>
  <c r="V396" i="7"/>
  <c r="D397" i="7"/>
  <c r="E397" i="7"/>
  <c r="F397" i="7"/>
  <c r="G397" i="7"/>
  <c r="H397" i="7"/>
  <c r="I397" i="7"/>
  <c r="J397" i="7"/>
  <c r="K397" i="7"/>
  <c r="L397" i="7"/>
  <c r="M397" i="7"/>
  <c r="N397" i="7"/>
  <c r="P397" i="7"/>
  <c r="O397" i="7" s="1"/>
  <c r="Q397" i="7"/>
  <c r="R397" i="7"/>
  <c r="S397" i="7"/>
  <c r="T397" i="7"/>
  <c r="U397" i="7"/>
  <c r="V397" i="7"/>
  <c r="W397" i="7"/>
  <c r="X397" i="7"/>
  <c r="Y397" i="7"/>
  <c r="D398" i="7"/>
  <c r="E398" i="7"/>
  <c r="F398" i="7"/>
  <c r="G398" i="7"/>
  <c r="H398" i="7"/>
  <c r="I398" i="7"/>
  <c r="J398" i="7"/>
  <c r="K398" i="7"/>
  <c r="L398" i="7"/>
  <c r="M398" i="7"/>
  <c r="N398" i="7"/>
  <c r="P398" i="7"/>
  <c r="O398" i="7" s="1"/>
  <c r="Q398" i="7"/>
  <c r="R398" i="7"/>
  <c r="S398" i="7"/>
  <c r="T398" i="7"/>
  <c r="U398" i="7"/>
  <c r="V398" i="7"/>
  <c r="W398" i="7"/>
  <c r="X398" i="7"/>
  <c r="Y398" i="7"/>
  <c r="D399" i="7"/>
  <c r="E399" i="7"/>
  <c r="F399" i="7"/>
  <c r="G399" i="7"/>
  <c r="H399" i="7"/>
  <c r="I399" i="7"/>
  <c r="J399" i="7"/>
  <c r="K399" i="7"/>
  <c r="L399" i="7"/>
  <c r="M399" i="7"/>
  <c r="N399" i="7"/>
  <c r="P399" i="7"/>
  <c r="O399" i="7" s="1"/>
  <c r="Q399" i="7"/>
  <c r="R399" i="7"/>
  <c r="S399" i="7"/>
  <c r="T399" i="7"/>
  <c r="U399" i="7"/>
  <c r="V399" i="7"/>
  <c r="W399" i="7"/>
  <c r="X399" i="7"/>
  <c r="Y399" i="7"/>
  <c r="D400" i="7"/>
  <c r="E400" i="7"/>
  <c r="F400" i="7"/>
  <c r="G400" i="7"/>
  <c r="H400" i="7"/>
  <c r="I400" i="7"/>
  <c r="J400" i="7"/>
  <c r="K400" i="7"/>
  <c r="L400" i="7"/>
  <c r="M400" i="7"/>
  <c r="N400" i="7"/>
  <c r="P400" i="7"/>
  <c r="O400" i="7" s="1"/>
  <c r="Q400" i="7"/>
  <c r="R400" i="7"/>
  <c r="S400" i="7"/>
  <c r="T400" i="7"/>
  <c r="U400" i="7"/>
  <c r="V400" i="7"/>
  <c r="W400" i="7"/>
  <c r="X400" i="7"/>
  <c r="Y400" i="7"/>
  <c r="D401" i="7"/>
  <c r="E401" i="7"/>
  <c r="F401" i="7"/>
  <c r="G401" i="7"/>
  <c r="H401" i="7"/>
  <c r="I401" i="7"/>
  <c r="J401" i="7"/>
  <c r="K401" i="7"/>
  <c r="L401" i="7"/>
  <c r="M401" i="7"/>
  <c r="N401" i="7"/>
  <c r="P401" i="7"/>
  <c r="O401" i="7" s="1"/>
  <c r="Q401" i="7"/>
  <c r="R401" i="7"/>
  <c r="S401" i="7"/>
  <c r="T401" i="7"/>
  <c r="U401" i="7"/>
  <c r="V401" i="7"/>
  <c r="W401" i="7"/>
  <c r="X401" i="7"/>
  <c r="Y401" i="7"/>
  <c r="D402" i="7"/>
  <c r="E402" i="7"/>
  <c r="F402" i="7"/>
  <c r="G402" i="7"/>
  <c r="H402" i="7"/>
  <c r="I402" i="7"/>
  <c r="J402" i="7"/>
  <c r="K402" i="7"/>
  <c r="L402" i="7"/>
  <c r="M402" i="7"/>
  <c r="N402" i="7"/>
  <c r="P402" i="7"/>
  <c r="O402" i="7" s="1"/>
  <c r="Q402" i="7"/>
  <c r="R402" i="7"/>
  <c r="S402" i="7"/>
  <c r="T402" i="7"/>
  <c r="U402" i="7"/>
  <c r="V402" i="7"/>
  <c r="W402" i="7"/>
  <c r="X402" i="7"/>
  <c r="Y402" i="7"/>
  <c r="D403" i="7"/>
  <c r="E403" i="7"/>
  <c r="F403" i="7"/>
  <c r="G403" i="7"/>
  <c r="H403" i="7"/>
  <c r="I403" i="7"/>
  <c r="J403" i="7"/>
  <c r="K403" i="7"/>
  <c r="L403" i="7"/>
  <c r="M403" i="7"/>
  <c r="N403" i="7"/>
  <c r="P403" i="7"/>
  <c r="O403" i="7" s="1"/>
  <c r="Q403" i="7"/>
  <c r="R403" i="7"/>
  <c r="S403" i="7"/>
  <c r="T403" i="7"/>
  <c r="U403" i="7"/>
  <c r="V403" i="7"/>
  <c r="W403" i="7"/>
  <c r="X403" i="7"/>
  <c r="Y403" i="7"/>
  <c r="D404" i="7"/>
  <c r="E404" i="7"/>
  <c r="F404" i="7"/>
  <c r="G404" i="7"/>
  <c r="H404" i="7"/>
  <c r="I404" i="7"/>
  <c r="J404" i="7"/>
  <c r="K404" i="7"/>
  <c r="L404" i="7"/>
  <c r="M404" i="7"/>
  <c r="N404" i="7"/>
  <c r="P404" i="7"/>
  <c r="O404" i="7" s="1"/>
  <c r="Q404" i="7"/>
  <c r="R404" i="7"/>
  <c r="S404" i="7"/>
  <c r="T404" i="7"/>
  <c r="U404" i="7"/>
  <c r="V404" i="7"/>
  <c r="W404" i="7"/>
  <c r="X404" i="7"/>
  <c r="Y404" i="7"/>
  <c r="D405" i="7"/>
  <c r="E405" i="7"/>
  <c r="F405" i="7"/>
  <c r="G405" i="7"/>
  <c r="H405" i="7"/>
  <c r="I405" i="7"/>
  <c r="J405" i="7"/>
  <c r="K405" i="7"/>
  <c r="L405" i="7"/>
  <c r="M405" i="7"/>
  <c r="N405" i="7"/>
  <c r="P405" i="7"/>
  <c r="O405" i="7" s="1"/>
  <c r="Q405" i="7"/>
  <c r="R405" i="7"/>
  <c r="S405" i="7"/>
  <c r="T405" i="7"/>
  <c r="U405" i="7"/>
  <c r="V405" i="7"/>
  <c r="W405" i="7"/>
  <c r="X405" i="7"/>
  <c r="Y405" i="7"/>
  <c r="D406" i="7"/>
  <c r="E406" i="7"/>
  <c r="F406" i="7"/>
  <c r="G406" i="7"/>
  <c r="H406" i="7"/>
  <c r="I406" i="7"/>
  <c r="J406" i="7"/>
  <c r="K406" i="7"/>
  <c r="L406" i="7"/>
  <c r="M406" i="7"/>
  <c r="N406" i="7"/>
  <c r="P406" i="7"/>
  <c r="O406" i="7" s="1"/>
  <c r="Q406" i="7"/>
  <c r="R406" i="7"/>
  <c r="S406" i="7"/>
  <c r="T406" i="7"/>
  <c r="U406" i="7"/>
  <c r="V406" i="7"/>
  <c r="W406" i="7"/>
  <c r="X406" i="7"/>
  <c r="Y406" i="7"/>
  <c r="D407" i="7"/>
  <c r="E407" i="7"/>
  <c r="F407" i="7"/>
  <c r="G407" i="7"/>
  <c r="H407" i="7"/>
  <c r="I407" i="7"/>
  <c r="J407" i="7"/>
  <c r="K407" i="7"/>
  <c r="L407" i="7"/>
  <c r="M407" i="7"/>
  <c r="N407" i="7"/>
  <c r="P407" i="7"/>
  <c r="O407" i="7" s="1"/>
  <c r="Q407" i="7"/>
  <c r="R407" i="7"/>
  <c r="S407" i="7"/>
  <c r="T407" i="7"/>
  <c r="U407" i="7"/>
  <c r="V407" i="7"/>
  <c r="W407" i="7"/>
  <c r="X407" i="7"/>
  <c r="Y407" i="7"/>
  <c r="D408" i="7"/>
  <c r="E408" i="7"/>
  <c r="F408" i="7"/>
  <c r="G408" i="7"/>
  <c r="H408" i="7"/>
  <c r="I408" i="7"/>
  <c r="J408" i="7"/>
  <c r="K408" i="7"/>
  <c r="L408" i="7"/>
  <c r="M408" i="7"/>
  <c r="N408" i="7"/>
  <c r="P408" i="7"/>
  <c r="O408" i="7" s="1"/>
  <c r="Q408" i="7"/>
  <c r="R408" i="7"/>
  <c r="S408" i="7"/>
  <c r="T408" i="7"/>
  <c r="U408" i="7"/>
  <c r="V408" i="7"/>
  <c r="W408" i="7"/>
  <c r="X408" i="7"/>
  <c r="Y408" i="7"/>
  <c r="D409" i="7"/>
  <c r="E409" i="7"/>
  <c r="F409" i="7"/>
  <c r="G409" i="7"/>
  <c r="H409" i="7"/>
  <c r="I409" i="7"/>
  <c r="J409" i="7"/>
  <c r="K409" i="7"/>
  <c r="L409" i="7"/>
  <c r="M409" i="7"/>
  <c r="N409" i="7"/>
  <c r="P409" i="7"/>
  <c r="O409" i="7" s="1"/>
  <c r="Q409" i="7"/>
  <c r="R409" i="7"/>
  <c r="S409" i="7"/>
  <c r="T409" i="7"/>
  <c r="U409" i="7"/>
  <c r="V409" i="7"/>
  <c r="W409" i="7"/>
  <c r="X409" i="7"/>
  <c r="Y409" i="7"/>
  <c r="D410" i="7"/>
  <c r="E410" i="7"/>
  <c r="F410" i="7"/>
  <c r="G410" i="7"/>
  <c r="H410" i="7"/>
  <c r="I410" i="7"/>
  <c r="J410" i="7"/>
  <c r="K410" i="7"/>
  <c r="L410" i="7"/>
  <c r="M410" i="7"/>
  <c r="N410" i="7"/>
  <c r="P410" i="7"/>
  <c r="O410" i="7" s="1"/>
  <c r="Q410" i="7"/>
  <c r="R410" i="7"/>
  <c r="S410" i="7"/>
  <c r="T410" i="7"/>
  <c r="U410" i="7"/>
  <c r="V410" i="7"/>
  <c r="W410" i="7"/>
  <c r="X410" i="7"/>
  <c r="Y410" i="7"/>
  <c r="D411" i="7"/>
  <c r="E411" i="7"/>
  <c r="F411" i="7"/>
  <c r="G411" i="7"/>
  <c r="H411" i="7"/>
  <c r="I411" i="7"/>
  <c r="J411" i="7"/>
  <c r="K411" i="7"/>
  <c r="L411" i="7"/>
  <c r="M411" i="7"/>
  <c r="N411" i="7"/>
  <c r="P411" i="7"/>
  <c r="O411" i="7" s="1"/>
  <c r="Q411" i="7"/>
  <c r="R411" i="7"/>
  <c r="S411" i="7"/>
  <c r="T411" i="7"/>
  <c r="U411" i="7"/>
  <c r="V411" i="7"/>
  <c r="W411" i="7"/>
  <c r="X411" i="7"/>
  <c r="Y411" i="7"/>
  <c r="D412" i="7"/>
  <c r="E412" i="7"/>
  <c r="F412" i="7"/>
  <c r="G412" i="7"/>
  <c r="H412" i="7"/>
  <c r="I412" i="7"/>
  <c r="J412" i="7"/>
  <c r="K412" i="7"/>
  <c r="L412" i="7"/>
  <c r="M412" i="7"/>
  <c r="N412" i="7"/>
  <c r="P412" i="7"/>
  <c r="O412" i="7" s="1"/>
  <c r="Q412" i="7"/>
  <c r="R412" i="7"/>
  <c r="S412" i="7"/>
  <c r="T412" i="7"/>
  <c r="U412" i="7"/>
  <c r="V412" i="7"/>
  <c r="W412" i="7"/>
  <c r="X412" i="7"/>
  <c r="Y412" i="7"/>
  <c r="D413" i="7"/>
  <c r="E413" i="7"/>
  <c r="F413" i="7"/>
  <c r="G413" i="7"/>
  <c r="H413" i="7"/>
  <c r="I413" i="7"/>
  <c r="J413" i="7"/>
  <c r="K413" i="7"/>
  <c r="L413" i="7"/>
  <c r="M413" i="7"/>
  <c r="N413" i="7"/>
  <c r="P413" i="7"/>
  <c r="O413" i="7" s="1"/>
  <c r="Q413" i="7"/>
  <c r="R413" i="7"/>
  <c r="S413" i="7"/>
  <c r="T413" i="7"/>
  <c r="U413" i="7"/>
  <c r="V413" i="7"/>
  <c r="W413" i="7"/>
  <c r="X413" i="7"/>
  <c r="Y413" i="7"/>
  <c r="D414" i="7"/>
  <c r="E414" i="7"/>
  <c r="F414" i="7"/>
  <c r="G414" i="7"/>
  <c r="H414" i="7"/>
  <c r="I414" i="7"/>
  <c r="J414" i="7"/>
  <c r="K414" i="7"/>
  <c r="L414" i="7"/>
  <c r="M414" i="7"/>
  <c r="N414" i="7"/>
  <c r="P414" i="7"/>
  <c r="O414" i="7" s="1"/>
  <c r="Q414" i="7"/>
  <c r="R414" i="7"/>
  <c r="S414" i="7"/>
  <c r="T414" i="7"/>
  <c r="U414" i="7"/>
  <c r="V414" i="7"/>
  <c r="W414" i="7"/>
  <c r="X414" i="7"/>
  <c r="Y414" i="7"/>
  <c r="D415" i="7"/>
  <c r="E415" i="7"/>
  <c r="F415" i="7"/>
  <c r="G415" i="7"/>
  <c r="H415" i="7"/>
  <c r="I415" i="7"/>
  <c r="J415" i="7"/>
  <c r="K415" i="7"/>
  <c r="L415" i="7"/>
  <c r="M415" i="7"/>
  <c r="N415" i="7"/>
  <c r="P415" i="7"/>
  <c r="O415" i="7" s="1"/>
  <c r="Q415" i="7"/>
  <c r="R415" i="7"/>
  <c r="S415" i="7"/>
  <c r="T415" i="7"/>
  <c r="U415" i="7"/>
  <c r="V415" i="7"/>
  <c r="W415" i="7"/>
  <c r="X415" i="7"/>
  <c r="Y415" i="7"/>
  <c r="D416" i="7"/>
  <c r="E416" i="7"/>
  <c r="F416" i="7"/>
  <c r="G416" i="7"/>
  <c r="H416" i="7"/>
  <c r="I416" i="7"/>
  <c r="J416" i="7"/>
  <c r="K416" i="7"/>
  <c r="L416" i="7"/>
  <c r="M416" i="7"/>
  <c r="N416" i="7"/>
  <c r="P416" i="7"/>
  <c r="O416" i="7" s="1"/>
  <c r="Q416" i="7"/>
  <c r="R416" i="7"/>
  <c r="S416" i="7"/>
  <c r="T416" i="7"/>
  <c r="U416" i="7"/>
  <c r="V416" i="7"/>
  <c r="W416" i="7"/>
  <c r="X416" i="7"/>
  <c r="Y416" i="7"/>
  <c r="D417" i="7"/>
  <c r="E417" i="7"/>
  <c r="F417" i="7"/>
  <c r="G417" i="7"/>
  <c r="H417" i="7"/>
  <c r="I417" i="7"/>
  <c r="J417" i="7"/>
  <c r="K417" i="7"/>
  <c r="L417" i="7"/>
  <c r="M417" i="7"/>
  <c r="N417" i="7"/>
  <c r="P417" i="7"/>
  <c r="O417" i="7" s="1"/>
  <c r="Q417" i="7"/>
  <c r="R417" i="7"/>
  <c r="S417" i="7"/>
  <c r="T417" i="7"/>
  <c r="U417" i="7"/>
  <c r="V417" i="7"/>
  <c r="W417" i="7"/>
  <c r="X417" i="7"/>
  <c r="Y417" i="7"/>
  <c r="D418" i="7"/>
  <c r="E418" i="7"/>
  <c r="F418" i="7"/>
  <c r="G418" i="7"/>
  <c r="H418" i="7"/>
  <c r="I418" i="7"/>
  <c r="J418" i="7"/>
  <c r="K418" i="7"/>
  <c r="L418" i="7"/>
  <c r="M418" i="7"/>
  <c r="N418" i="7"/>
  <c r="P418" i="7"/>
  <c r="O418" i="7" s="1"/>
  <c r="Q418" i="7"/>
  <c r="R418" i="7"/>
  <c r="S418" i="7"/>
  <c r="T418" i="7"/>
  <c r="U418" i="7"/>
  <c r="V418" i="7"/>
  <c r="W418" i="7"/>
  <c r="X418" i="7"/>
  <c r="Y418" i="7"/>
  <c r="D419" i="7"/>
  <c r="E419" i="7"/>
  <c r="F419" i="7"/>
  <c r="G419" i="7"/>
  <c r="H419" i="7"/>
  <c r="I419" i="7"/>
  <c r="J419" i="7"/>
  <c r="K419" i="7"/>
  <c r="L419" i="7"/>
  <c r="M419" i="7"/>
  <c r="N419" i="7"/>
  <c r="P419" i="7"/>
  <c r="O419" i="7" s="1"/>
  <c r="Q419" i="7"/>
  <c r="R419" i="7"/>
  <c r="S419" i="7"/>
  <c r="T419" i="7"/>
  <c r="U419" i="7"/>
  <c r="V419" i="7"/>
  <c r="W419" i="7"/>
  <c r="X419" i="7"/>
  <c r="Y419" i="7"/>
  <c r="D420" i="7"/>
  <c r="E420" i="7"/>
  <c r="F420" i="7"/>
  <c r="G420" i="7"/>
  <c r="H420" i="7"/>
  <c r="I420" i="7"/>
  <c r="J420" i="7"/>
  <c r="K420" i="7"/>
  <c r="L420" i="7"/>
  <c r="M420" i="7"/>
  <c r="N420" i="7"/>
  <c r="P420" i="7"/>
  <c r="O420" i="7" s="1"/>
  <c r="Q420" i="7"/>
  <c r="R420" i="7"/>
  <c r="S420" i="7"/>
  <c r="T420" i="7"/>
  <c r="U420" i="7"/>
  <c r="V420" i="7"/>
  <c r="W420" i="7"/>
  <c r="X420" i="7"/>
  <c r="Y420" i="7"/>
  <c r="D421" i="7"/>
  <c r="E421" i="7"/>
  <c r="F421" i="7"/>
  <c r="G421" i="7"/>
  <c r="H421" i="7"/>
  <c r="I421" i="7"/>
  <c r="J421" i="7"/>
  <c r="K421" i="7"/>
  <c r="L421" i="7"/>
  <c r="M421" i="7"/>
  <c r="N421" i="7"/>
  <c r="P421" i="7"/>
  <c r="O421" i="7" s="1"/>
  <c r="Q421" i="7"/>
  <c r="R421" i="7"/>
  <c r="S421" i="7"/>
  <c r="T421" i="7"/>
  <c r="U421" i="7"/>
  <c r="V421" i="7"/>
  <c r="W421" i="7"/>
  <c r="X421" i="7"/>
  <c r="Y421" i="7"/>
  <c r="D422" i="7"/>
  <c r="E422" i="7"/>
  <c r="F422" i="7"/>
  <c r="G422" i="7"/>
  <c r="H422" i="7"/>
  <c r="I422" i="7"/>
  <c r="J422" i="7"/>
  <c r="K422" i="7"/>
  <c r="L422" i="7"/>
  <c r="M422" i="7"/>
  <c r="N422" i="7"/>
  <c r="P422" i="7"/>
  <c r="O422" i="7" s="1"/>
  <c r="Q422" i="7"/>
  <c r="R422" i="7"/>
  <c r="S422" i="7"/>
  <c r="T422" i="7"/>
  <c r="U422" i="7"/>
  <c r="V422" i="7"/>
  <c r="W422" i="7"/>
  <c r="X422" i="7"/>
  <c r="Y422" i="7"/>
  <c r="D423" i="7"/>
  <c r="E423" i="7"/>
  <c r="F423" i="7"/>
  <c r="G423" i="7"/>
  <c r="H423" i="7"/>
  <c r="I423" i="7"/>
  <c r="J423" i="7"/>
  <c r="K423" i="7"/>
  <c r="L423" i="7"/>
  <c r="M423" i="7"/>
  <c r="N423" i="7"/>
  <c r="P423" i="7"/>
  <c r="O423" i="7" s="1"/>
  <c r="Q423" i="7"/>
  <c r="R423" i="7"/>
  <c r="S423" i="7"/>
  <c r="T423" i="7"/>
  <c r="U423" i="7"/>
  <c r="V423" i="7"/>
  <c r="W423" i="7"/>
  <c r="X423" i="7"/>
  <c r="Y423" i="7"/>
  <c r="D424" i="7"/>
  <c r="E424" i="7"/>
  <c r="F424" i="7"/>
  <c r="G424" i="7"/>
  <c r="H424" i="7"/>
  <c r="I424" i="7"/>
  <c r="J424" i="7"/>
  <c r="K424" i="7"/>
  <c r="L424" i="7"/>
  <c r="M424" i="7"/>
  <c r="N424" i="7"/>
  <c r="P424" i="7"/>
  <c r="O424" i="7" s="1"/>
  <c r="Q424" i="7"/>
  <c r="R424" i="7"/>
  <c r="S424" i="7"/>
  <c r="T424" i="7"/>
  <c r="U424" i="7"/>
  <c r="V424" i="7"/>
  <c r="W424" i="7"/>
  <c r="X424" i="7"/>
  <c r="Y424" i="7"/>
  <c r="D425" i="7"/>
  <c r="E425" i="7"/>
  <c r="F425" i="7"/>
  <c r="G425" i="7"/>
  <c r="H425" i="7"/>
  <c r="I425" i="7"/>
  <c r="J425" i="7"/>
  <c r="K425" i="7"/>
  <c r="L425" i="7"/>
  <c r="M425" i="7"/>
  <c r="N425" i="7"/>
  <c r="P425" i="7"/>
  <c r="O425" i="7" s="1"/>
  <c r="Q425" i="7"/>
  <c r="R425" i="7"/>
  <c r="S425" i="7"/>
  <c r="T425" i="7"/>
  <c r="U425" i="7"/>
  <c r="V425" i="7"/>
  <c r="W425" i="7"/>
  <c r="X425" i="7"/>
  <c r="Y425" i="7"/>
  <c r="D426" i="7"/>
  <c r="E426" i="7"/>
  <c r="F426" i="7"/>
  <c r="G426" i="7"/>
  <c r="H426" i="7"/>
  <c r="I426" i="7"/>
  <c r="J426" i="7"/>
  <c r="K426" i="7"/>
  <c r="L426" i="7"/>
  <c r="M426" i="7"/>
  <c r="N426" i="7"/>
  <c r="P426" i="7"/>
  <c r="O426" i="7" s="1"/>
  <c r="Q426" i="7"/>
  <c r="R426" i="7"/>
  <c r="S426" i="7"/>
  <c r="T426" i="7"/>
  <c r="U426" i="7"/>
  <c r="V426" i="7"/>
  <c r="W426" i="7"/>
  <c r="X426" i="7"/>
  <c r="Y426" i="7"/>
  <c r="D427" i="7"/>
  <c r="E427" i="7"/>
  <c r="F427" i="7"/>
  <c r="G427" i="7"/>
  <c r="H427" i="7"/>
  <c r="I427" i="7"/>
  <c r="J427" i="7"/>
  <c r="K427" i="7"/>
  <c r="L427" i="7"/>
  <c r="M427" i="7"/>
  <c r="N427" i="7"/>
  <c r="P427" i="7"/>
  <c r="O427" i="7" s="1"/>
  <c r="Q427" i="7"/>
  <c r="R427" i="7"/>
  <c r="S427" i="7"/>
  <c r="T427" i="7"/>
  <c r="U427" i="7"/>
  <c r="V427" i="7"/>
  <c r="W427" i="7"/>
  <c r="X427" i="7"/>
  <c r="Y427" i="7"/>
  <c r="D428" i="7"/>
  <c r="E428" i="7"/>
  <c r="F428" i="7"/>
  <c r="G428" i="7"/>
  <c r="H428" i="7"/>
  <c r="I428" i="7"/>
  <c r="J428" i="7"/>
  <c r="K428" i="7"/>
  <c r="L428" i="7"/>
  <c r="M428" i="7"/>
  <c r="N428" i="7"/>
  <c r="P428" i="7"/>
  <c r="O428" i="7" s="1"/>
  <c r="Q428" i="7"/>
  <c r="R428" i="7"/>
  <c r="S428" i="7"/>
  <c r="T428" i="7"/>
  <c r="U428" i="7"/>
  <c r="V428" i="7"/>
  <c r="W428" i="7"/>
  <c r="X428" i="7"/>
  <c r="Y428" i="7"/>
  <c r="D429" i="7"/>
  <c r="E429" i="7"/>
  <c r="F429" i="7"/>
  <c r="G429" i="7"/>
  <c r="H429" i="7"/>
  <c r="I429" i="7"/>
  <c r="J429" i="7"/>
  <c r="K429" i="7"/>
  <c r="L429" i="7"/>
  <c r="M429" i="7"/>
  <c r="N429" i="7"/>
  <c r="P429" i="7"/>
  <c r="O429" i="7" s="1"/>
  <c r="Q429" i="7"/>
  <c r="R429" i="7"/>
  <c r="S429" i="7"/>
  <c r="T429" i="7"/>
  <c r="U429" i="7"/>
  <c r="V429" i="7"/>
  <c r="W429" i="7"/>
  <c r="X429" i="7"/>
  <c r="Y429" i="7"/>
  <c r="D430" i="7"/>
  <c r="E430" i="7"/>
  <c r="F430" i="7"/>
  <c r="G430" i="7"/>
  <c r="H430" i="7"/>
  <c r="I430" i="7"/>
  <c r="J430" i="7"/>
  <c r="K430" i="7"/>
  <c r="L430" i="7"/>
  <c r="M430" i="7"/>
  <c r="N430" i="7"/>
  <c r="P430" i="7"/>
  <c r="O430" i="7" s="1"/>
  <c r="Q430" i="7"/>
  <c r="R430" i="7"/>
  <c r="S430" i="7"/>
  <c r="T430" i="7"/>
  <c r="U430" i="7"/>
  <c r="V430" i="7"/>
  <c r="W430" i="7"/>
  <c r="X430" i="7"/>
  <c r="Y430" i="7"/>
  <c r="D431" i="7"/>
  <c r="E431" i="7"/>
  <c r="F431" i="7"/>
  <c r="G431" i="7"/>
  <c r="H431" i="7"/>
  <c r="I431" i="7"/>
  <c r="J431" i="7"/>
  <c r="K431" i="7"/>
  <c r="L431" i="7"/>
  <c r="M431" i="7"/>
  <c r="N431" i="7"/>
  <c r="P431" i="7"/>
  <c r="O431" i="7" s="1"/>
  <c r="Q431" i="7"/>
  <c r="R431" i="7"/>
  <c r="S431" i="7"/>
  <c r="T431" i="7"/>
  <c r="U431" i="7"/>
  <c r="V431" i="7"/>
  <c r="W431" i="7"/>
  <c r="X431" i="7"/>
  <c r="Y431" i="7"/>
  <c r="D432" i="7"/>
  <c r="E432" i="7"/>
  <c r="F432" i="7"/>
  <c r="G432" i="7"/>
  <c r="H432" i="7"/>
  <c r="I432" i="7"/>
  <c r="J432" i="7"/>
  <c r="K432" i="7"/>
  <c r="L432" i="7"/>
  <c r="M432" i="7"/>
  <c r="N432" i="7"/>
  <c r="P432" i="7"/>
  <c r="O432" i="7" s="1"/>
  <c r="Q432" i="7"/>
  <c r="R432" i="7"/>
  <c r="S432" i="7"/>
  <c r="T432" i="7"/>
  <c r="U432" i="7"/>
  <c r="V432" i="7"/>
  <c r="W432" i="7"/>
  <c r="X432" i="7"/>
  <c r="Y432" i="7"/>
  <c r="D433" i="7"/>
  <c r="E433" i="7"/>
  <c r="F433" i="7"/>
  <c r="G433" i="7"/>
  <c r="H433" i="7"/>
  <c r="I433" i="7"/>
  <c r="J433" i="7"/>
  <c r="K433" i="7"/>
  <c r="L433" i="7"/>
  <c r="M433" i="7"/>
  <c r="N433" i="7"/>
  <c r="P433" i="7"/>
  <c r="O433" i="7" s="1"/>
  <c r="Q433" i="7"/>
  <c r="R433" i="7"/>
  <c r="S433" i="7"/>
  <c r="T433" i="7"/>
  <c r="U433" i="7"/>
  <c r="V433" i="7"/>
  <c r="W433" i="7"/>
  <c r="X433" i="7"/>
  <c r="Y433" i="7"/>
  <c r="D434" i="7"/>
  <c r="E434" i="7"/>
  <c r="F434" i="7"/>
  <c r="G434" i="7"/>
  <c r="H434" i="7"/>
  <c r="I434" i="7"/>
  <c r="J434" i="7"/>
  <c r="K434" i="7"/>
  <c r="L434" i="7"/>
  <c r="M434" i="7"/>
  <c r="N434" i="7"/>
  <c r="P434" i="7"/>
  <c r="O434" i="7" s="1"/>
  <c r="Q434" i="7"/>
  <c r="R434" i="7"/>
  <c r="S434" i="7"/>
  <c r="T434" i="7"/>
  <c r="U434" i="7"/>
  <c r="V434" i="7"/>
  <c r="W434" i="7"/>
  <c r="X434" i="7"/>
  <c r="Y434" i="7"/>
  <c r="D435" i="7"/>
  <c r="E435" i="7"/>
  <c r="F435" i="7"/>
  <c r="G435" i="7"/>
  <c r="H435" i="7"/>
  <c r="I435" i="7"/>
  <c r="J435" i="7"/>
  <c r="K435" i="7"/>
  <c r="L435" i="7"/>
  <c r="M435" i="7"/>
  <c r="N435" i="7"/>
  <c r="P435" i="7"/>
  <c r="O435" i="7" s="1"/>
  <c r="Q435" i="7"/>
  <c r="R435" i="7"/>
  <c r="S435" i="7"/>
  <c r="T435" i="7"/>
  <c r="U435" i="7"/>
  <c r="V435" i="7"/>
  <c r="W435" i="7"/>
  <c r="X435" i="7"/>
  <c r="Y435" i="7"/>
  <c r="D436" i="7"/>
  <c r="E436" i="7"/>
  <c r="F436" i="7"/>
  <c r="G436" i="7"/>
  <c r="H436" i="7"/>
  <c r="I436" i="7"/>
  <c r="J436" i="7"/>
  <c r="K436" i="7"/>
  <c r="L436" i="7"/>
  <c r="M436" i="7"/>
  <c r="N436" i="7"/>
  <c r="P436" i="7"/>
  <c r="O436" i="7" s="1"/>
  <c r="Q436" i="7"/>
  <c r="R436" i="7"/>
  <c r="S436" i="7"/>
  <c r="T436" i="7"/>
  <c r="U436" i="7"/>
  <c r="V436" i="7"/>
  <c r="W436" i="7"/>
  <c r="X436" i="7"/>
  <c r="Y436" i="7"/>
  <c r="D437" i="7"/>
  <c r="E437" i="7"/>
  <c r="F437" i="7"/>
  <c r="G437" i="7"/>
  <c r="H437" i="7"/>
  <c r="I437" i="7"/>
  <c r="J437" i="7"/>
  <c r="K437" i="7"/>
  <c r="L437" i="7"/>
  <c r="M437" i="7"/>
  <c r="N437" i="7"/>
  <c r="P437" i="7"/>
  <c r="O437" i="7" s="1"/>
  <c r="Q437" i="7"/>
  <c r="R437" i="7"/>
  <c r="S437" i="7"/>
  <c r="T437" i="7"/>
  <c r="U437" i="7"/>
  <c r="V437" i="7"/>
  <c r="W437" i="7"/>
  <c r="X437" i="7"/>
  <c r="Y437" i="7"/>
  <c r="D438" i="7"/>
  <c r="E438" i="7"/>
  <c r="F438" i="7"/>
  <c r="G438" i="7"/>
  <c r="H438" i="7"/>
  <c r="I438" i="7"/>
  <c r="J438" i="7"/>
  <c r="K438" i="7"/>
  <c r="L438" i="7"/>
  <c r="M438" i="7"/>
  <c r="N438" i="7"/>
  <c r="P438" i="7"/>
  <c r="O438" i="7" s="1"/>
  <c r="Q438" i="7"/>
  <c r="R438" i="7"/>
  <c r="S438" i="7"/>
  <c r="T438" i="7"/>
  <c r="U438" i="7"/>
  <c r="V438" i="7"/>
  <c r="W438" i="7"/>
  <c r="X438" i="7"/>
  <c r="Y438" i="7"/>
  <c r="D439" i="7"/>
  <c r="E439" i="7"/>
  <c r="F439" i="7"/>
  <c r="G439" i="7"/>
  <c r="H439" i="7"/>
  <c r="I439" i="7"/>
  <c r="J439" i="7"/>
  <c r="K439" i="7"/>
  <c r="L439" i="7"/>
  <c r="M439" i="7"/>
  <c r="N439" i="7"/>
  <c r="P439" i="7"/>
  <c r="O439" i="7" s="1"/>
  <c r="Q439" i="7"/>
  <c r="R439" i="7"/>
  <c r="S439" i="7"/>
  <c r="T439" i="7"/>
  <c r="U439" i="7"/>
  <c r="V439" i="7"/>
  <c r="W439" i="7"/>
  <c r="X439" i="7"/>
  <c r="Y439" i="7"/>
  <c r="D440" i="7"/>
  <c r="E440" i="7"/>
  <c r="F440" i="7"/>
  <c r="G440" i="7"/>
  <c r="H440" i="7"/>
  <c r="I440" i="7"/>
  <c r="J440" i="7"/>
  <c r="K440" i="7"/>
  <c r="L440" i="7"/>
  <c r="M440" i="7"/>
  <c r="N440" i="7"/>
  <c r="P440" i="7"/>
  <c r="O440" i="7" s="1"/>
  <c r="Q440" i="7"/>
  <c r="R440" i="7"/>
  <c r="S440" i="7"/>
  <c r="T440" i="7"/>
  <c r="U440" i="7"/>
  <c r="V440" i="7"/>
  <c r="W440" i="7"/>
  <c r="X440" i="7"/>
  <c r="Y440" i="7"/>
  <c r="D441" i="7"/>
  <c r="E441" i="7"/>
  <c r="F441" i="7"/>
  <c r="G441" i="7"/>
  <c r="H441" i="7"/>
  <c r="I441" i="7"/>
  <c r="J441" i="7"/>
  <c r="K441" i="7"/>
  <c r="L441" i="7"/>
  <c r="M441" i="7"/>
  <c r="N441" i="7"/>
  <c r="P441" i="7"/>
  <c r="O441" i="7" s="1"/>
  <c r="Q441" i="7"/>
  <c r="R441" i="7"/>
  <c r="S441" i="7"/>
  <c r="T441" i="7"/>
  <c r="U441" i="7"/>
  <c r="V441" i="7"/>
  <c r="W441" i="7"/>
  <c r="X441" i="7"/>
  <c r="Y441" i="7"/>
  <c r="D442" i="7"/>
  <c r="E442" i="7"/>
  <c r="F442" i="7"/>
  <c r="G442" i="7"/>
  <c r="H442" i="7"/>
  <c r="I442" i="7"/>
  <c r="J442" i="7"/>
  <c r="K442" i="7"/>
  <c r="L442" i="7"/>
  <c r="M442" i="7"/>
  <c r="N442" i="7"/>
  <c r="P442" i="7"/>
  <c r="O442" i="7" s="1"/>
  <c r="Q442" i="7"/>
  <c r="R442" i="7"/>
  <c r="S442" i="7"/>
  <c r="T442" i="7"/>
  <c r="U442" i="7"/>
  <c r="V442" i="7"/>
  <c r="W442" i="7"/>
  <c r="X442" i="7"/>
  <c r="Y442" i="7"/>
  <c r="D443" i="7"/>
  <c r="E443" i="7"/>
  <c r="F443" i="7"/>
  <c r="G443" i="7"/>
  <c r="H443" i="7"/>
  <c r="I443" i="7"/>
  <c r="J443" i="7"/>
  <c r="K443" i="7"/>
  <c r="L443" i="7"/>
  <c r="M443" i="7"/>
  <c r="N443" i="7"/>
  <c r="P443" i="7"/>
  <c r="O443" i="7" s="1"/>
  <c r="Q443" i="7"/>
  <c r="R443" i="7"/>
  <c r="S443" i="7"/>
  <c r="T443" i="7"/>
  <c r="U443" i="7"/>
  <c r="V443" i="7"/>
  <c r="W443" i="7"/>
  <c r="X443" i="7"/>
  <c r="Y443" i="7"/>
  <c r="D444" i="7"/>
  <c r="E444" i="7"/>
  <c r="F444" i="7"/>
  <c r="G444" i="7"/>
  <c r="H444" i="7"/>
  <c r="I444" i="7"/>
  <c r="J444" i="7"/>
  <c r="K444" i="7"/>
  <c r="L444" i="7"/>
  <c r="M444" i="7"/>
  <c r="N444" i="7"/>
  <c r="P444" i="7"/>
  <c r="O444" i="7" s="1"/>
  <c r="Q444" i="7"/>
  <c r="R444" i="7"/>
  <c r="S444" i="7"/>
  <c r="T444" i="7"/>
  <c r="U444" i="7"/>
  <c r="V444" i="7"/>
  <c r="W444" i="7"/>
  <c r="X444" i="7"/>
  <c r="Y444" i="7"/>
  <c r="D445" i="7"/>
  <c r="E445" i="7"/>
  <c r="F445" i="7"/>
  <c r="G445" i="7"/>
  <c r="H445" i="7"/>
  <c r="I445" i="7"/>
  <c r="J445" i="7"/>
  <c r="K445" i="7"/>
  <c r="L445" i="7"/>
  <c r="M445" i="7"/>
  <c r="N445" i="7"/>
  <c r="P445" i="7"/>
  <c r="O445" i="7" s="1"/>
  <c r="Q445" i="7"/>
  <c r="R445" i="7"/>
  <c r="S445" i="7"/>
  <c r="T445" i="7"/>
  <c r="U445" i="7"/>
  <c r="V445" i="7"/>
  <c r="W445" i="7"/>
  <c r="X445" i="7"/>
  <c r="Y445" i="7"/>
  <c r="D446" i="7"/>
  <c r="E446" i="7"/>
  <c r="F446" i="7"/>
  <c r="G446" i="7"/>
  <c r="H446" i="7"/>
  <c r="I446" i="7"/>
  <c r="J446" i="7"/>
  <c r="K446" i="7"/>
  <c r="L446" i="7"/>
  <c r="M446" i="7"/>
  <c r="N446" i="7"/>
  <c r="P446" i="7"/>
  <c r="O446" i="7" s="1"/>
  <c r="Q446" i="7"/>
  <c r="R446" i="7"/>
  <c r="S446" i="7"/>
  <c r="T446" i="7"/>
  <c r="U446" i="7"/>
  <c r="V446" i="7"/>
  <c r="W446" i="7"/>
  <c r="X446" i="7"/>
  <c r="Y446" i="7"/>
  <c r="D447" i="7"/>
  <c r="E447" i="7"/>
  <c r="F447" i="7"/>
  <c r="G447" i="7"/>
  <c r="H447" i="7"/>
  <c r="I447" i="7"/>
  <c r="J447" i="7"/>
  <c r="K447" i="7"/>
  <c r="L447" i="7"/>
  <c r="M447" i="7"/>
  <c r="N447" i="7"/>
  <c r="P447" i="7"/>
  <c r="O447" i="7" s="1"/>
  <c r="Q447" i="7"/>
  <c r="R447" i="7"/>
  <c r="S447" i="7"/>
  <c r="T447" i="7"/>
  <c r="U447" i="7"/>
  <c r="V447" i="7"/>
  <c r="W447" i="7"/>
  <c r="X447" i="7"/>
  <c r="Y447" i="7"/>
  <c r="D448" i="7"/>
  <c r="E448" i="7"/>
  <c r="F448" i="7"/>
  <c r="G448" i="7"/>
  <c r="H448" i="7"/>
  <c r="I448" i="7"/>
  <c r="J448" i="7"/>
  <c r="K448" i="7"/>
  <c r="L448" i="7"/>
  <c r="M448" i="7"/>
  <c r="N448" i="7"/>
  <c r="P448" i="7"/>
  <c r="O448" i="7" s="1"/>
  <c r="Q448" i="7"/>
  <c r="R448" i="7"/>
  <c r="S448" i="7"/>
  <c r="T448" i="7"/>
  <c r="U448" i="7"/>
  <c r="V448" i="7"/>
  <c r="W448" i="7"/>
  <c r="X448" i="7"/>
  <c r="Y448" i="7"/>
  <c r="D449" i="7"/>
  <c r="E449" i="7"/>
  <c r="F449" i="7"/>
  <c r="G449" i="7"/>
  <c r="H449" i="7"/>
  <c r="I449" i="7"/>
  <c r="J449" i="7"/>
  <c r="K449" i="7"/>
  <c r="L449" i="7"/>
  <c r="M449" i="7"/>
  <c r="N449" i="7"/>
  <c r="P449" i="7"/>
  <c r="O449" i="7" s="1"/>
  <c r="Q449" i="7"/>
  <c r="R449" i="7"/>
  <c r="S449" i="7"/>
  <c r="T449" i="7"/>
  <c r="U449" i="7"/>
  <c r="V449" i="7" s="1"/>
  <c r="W449" i="7"/>
  <c r="X449" i="7"/>
  <c r="Y449" i="7"/>
  <c r="D450" i="7"/>
  <c r="E450" i="7"/>
  <c r="F450" i="7"/>
  <c r="G450" i="7"/>
  <c r="H450" i="7"/>
  <c r="I450" i="7"/>
  <c r="J450" i="7"/>
  <c r="K450" i="7"/>
  <c r="L450" i="7"/>
  <c r="M450" i="7"/>
  <c r="N450" i="7"/>
  <c r="P450" i="7"/>
  <c r="O450" i="7" s="1"/>
  <c r="Q450" i="7"/>
  <c r="R450" i="7"/>
  <c r="T450" i="7"/>
  <c r="U450" i="7"/>
  <c r="W450" i="7"/>
  <c r="X450" i="7"/>
  <c r="Y450" i="7"/>
  <c r="D451" i="7"/>
  <c r="E451" i="7"/>
  <c r="F451" i="7"/>
  <c r="G451" i="7"/>
  <c r="H451" i="7"/>
  <c r="I451" i="7"/>
  <c r="J451" i="7"/>
  <c r="K451" i="7"/>
  <c r="L451" i="7"/>
  <c r="M451" i="7"/>
  <c r="N451" i="7"/>
  <c r="P451" i="7"/>
  <c r="O451" i="7" s="1"/>
  <c r="Q451" i="7"/>
  <c r="R451" i="7"/>
  <c r="T451" i="7"/>
  <c r="U451" i="7"/>
  <c r="W451" i="7"/>
  <c r="X451" i="7"/>
  <c r="Y451" i="7"/>
  <c r="D452" i="7"/>
  <c r="E452" i="7"/>
  <c r="F452" i="7"/>
  <c r="G452" i="7"/>
  <c r="H452" i="7"/>
  <c r="I452" i="7"/>
  <c r="J452" i="7"/>
  <c r="K452" i="7"/>
  <c r="L452" i="7"/>
  <c r="M452" i="7"/>
  <c r="N452" i="7"/>
  <c r="P452" i="7"/>
  <c r="O452" i="7" s="1"/>
  <c r="Q452" i="7"/>
  <c r="R452" i="7"/>
  <c r="T452" i="7"/>
  <c r="U452" i="7"/>
  <c r="W452" i="7"/>
  <c r="X452" i="7"/>
  <c r="Y452" i="7"/>
  <c r="D453" i="7"/>
  <c r="E453" i="7"/>
  <c r="F453" i="7"/>
  <c r="G453" i="7"/>
  <c r="H453" i="7"/>
  <c r="I453" i="7"/>
  <c r="J453" i="7"/>
  <c r="K453" i="7"/>
  <c r="L453" i="7"/>
  <c r="M453" i="7"/>
  <c r="N453" i="7"/>
  <c r="P453" i="7"/>
  <c r="O453" i="7" s="1"/>
  <c r="Q453" i="7"/>
  <c r="R453" i="7"/>
  <c r="T453" i="7"/>
  <c r="U453" i="7"/>
  <c r="W453" i="7"/>
  <c r="X453" i="7"/>
  <c r="Y453" i="7"/>
  <c r="D454" i="7"/>
  <c r="E454" i="7"/>
  <c r="F454" i="7"/>
  <c r="G454" i="7"/>
  <c r="H454" i="7"/>
  <c r="I454" i="7"/>
  <c r="J454" i="7"/>
  <c r="K454" i="7"/>
  <c r="L454" i="7"/>
  <c r="M454" i="7"/>
  <c r="N454" i="7"/>
  <c r="P454" i="7"/>
  <c r="O454" i="7" s="1"/>
  <c r="Q454" i="7"/>
  <c r="R454" i="7"/>
  <c r="T454" i="7"/>
  <c r="U454" i="7"/>
  <c r="W454" i="7"/>
  <c r="X454" i="7"/>
  <c r="Y454" i="7"/>
  <c r="D455" i="7"/>
  <c r="E455" i="7"/>
  <c r="F455" i="7"/>
  <c r="G455" i="7"/>
  <c r="H455" i="7"/>
  <c r="I455" i="7"/>
  <c r="J455" i="7"/>
  <c r="K455" i="7"/>
  <c r="L455" i="7"/>
  <c r="M455" i="7"/>
  <c r="N455" i="7"/>
  <c r="P455" i="7"/>
  <c r="O455" i="7" s="1"/>
  <c r="Q455" i="7"/>
  <c r="R455" i="7"/>
  <c r="T455" i="7"/>
  <c r="U455" i="7"/>
  <c r="W455" i="7"/>
  <c r="X455" i="7"/>
  <c r="Y455" i="7"/>
  <c r="D456" i="7"/>
  <c r="E456" i="7"/>
  <c r="F456" i="7"/>
  <c r="G456" i="7"/>
  <c r="H456" i="7"/>
  <c r="I456" i="7"/>
  <c r="J456" i="7"/>
  <c r="K456" i="7"/>
  <c r="L456" i="7"/>
  <c r="M456" i="7"/>
  <c r="N456" i="7"/>
  <c r="P456" i="7"/>
  <c r="O456" i="7" s="1"/>
  <c r="Q456" i="7"/>
  <c r="R456" i="7"/>
  <c r="T456" i="7"/>
  <c r="U456" i="7"/>
  <c r="W456" i="7"/>
  <c r="X456" i="7"/>
  <c r="Y456" i="7"/>
  <c r="D457" i="7"/>
  <c r="E457" i="7"/>
  <c r="F457" i="7"/>
  <c r="G457" i="7"/>
  <c r="H457" i="7"/>
  <c r="I457" i="7"/>
  <c r="J457" i="7"/>
  <c r="K457" i="7"/>
  <c r="L457" i="7"/>
  <c r="M457" i="7"/>
  <c r="N457" i="7"/>
  <c r="P457" i="7"/>
  <c r="O457" i="7" s="1"/>
  <c r="Q457" i="7"/>
  <c r="R457" i="7"/>
  <c r="T457" i="7"/>
  <c r="U457" i="7"/>
  <c r="W457" i="7"/>
  <c r="X457" i="7"/>
  <c r="Y457" i="7"/>
  <c r="D458" i="7"/>
  <c r="E458" i="7"/>
  <c r="F458" i="7"/>
  <c r="G458" i="7"/>
  <c r="H458" i="7"/>
  <c r="I458" i="7"/>
  <c r="J458" i="7"/>
  <c r="K458" i="7"/>
  <c r="L458" i="7"/>
  <c r="M458" i="7"/>
  <c r="N458" i="7"/>
  <c r="P458" i="7"/>
  <c r="O458" i="7" s="1"/>
  <c r="Q458" i="7"/>
  <c r="R458" i="7"/>
  <c r="T458" i="7"/>
  <c r="U458" i="7"/>
  <c r="W458" i="7"/>
  <c r="X458" i="7"/>
  <c r="Y458" i="7"/>
  <c r="D459" i="7"/>
  <c r="E459" i="7"/>
  <c r="F459" i="7"/>
  <c r="G459" i="7"/>
  <c r="H459" i="7"/>
  <c r="I459" i="7"/>
  <c r="J459" i="7"/>
  <c r="K459" i="7"/>
  <c r="L459" i="7"/>
  <c r="M459" i="7"/>
  <c r="N459" i="7"/>
  <c r="P459" i="7"/>
  <c r="O459" i="7" s="1"/>
  <c r="Q459" i="7"/>
  <c r="R459" i="7"/>
  <c r="T459" i="7"/>
  <c r="U459" i="7"/>
  <c r="W459" i="7"/>
  <c r="X459" i="7"/>
  <c r="Y459" i="7"/>
  <c r="D460" i="7"/>
  <c r="E460" i="7"/>
  <c r="F460" i="7"/>
  <c r="G460" i="7"/>
  <c r="H460" i="7"/>
  <c r="I460" i="7"/>
  <c r="J460" i="7"/>
  <c r="K460" i="7"/>
  <c r="L460" i="7"/>
  <c r="M460" i="7"/>
  <c r="N460" i="7"/>
  <c r="P460" i="7"/>
  <c r="O460" i="7" s="1"/>
  <c r="Q460" i="7"/>
  <c r="R460" i="7"/>
  <c r="T460" i="7"/>
  <c r="U460" i="7"/>
  <c r="W460" i="7"/>
  <c r="X460" i="7"/>
  <c r="Y460" i="7"/>
  <c r="D461" i="7"/>
  <c r="E461" i="7"/>
  <c r="F461" i="7"/>
  <c r="G461" i="7"/>
  <c r="H461" i="7"/>
  <c r="I461" i="7"/>
  <c r="J461" i="7"/>
  <c r="K461" i="7"/>
  <c r="L461" i="7"/>
  <c r="M461" i="7"/>
  <c r="N461" i="7"/>
  <c r="P461" i="7"/>
  <c r="O461" i="7" s="1"/>
  <c r="Q461" i="7"/>
  <c r="R461" i="7"/>
  <c r="T461" i="7"/>
  <c r="U461" i="7"/>
  <c r="W461" i="7"/>
  <c r="X461" i="7"/>
  <c r="Y461" i="7"/>
  <c r="D462" i="7"/>
  <c r="E462" i="7"/>
  <c r="F462" i="7"/>
  <c r="G462" i="7"/>
  <c r="H462" i="7"/>
  <c r="I462" i="7"/>
  <c r="J462" i="7"/>
  <c r="K462" i="7"/>
  <c r="L462" i="7"/>
  <c r="M462" i="7"/>
  <c r="N462" i="7"/>
  <c r="P462" i="7"/>
  <c r="O462" i="7" s="1"/>
  <c r="Q462" i="7"/>
  <c r="R462" i="7"/>
  <c r="T462" i="7"/>
  <c r="U462" i="7"/>
  <c r="W462" i="7"/>
  <c r="X462" i="7"/>
  <c r="Y462" i="7"/>
  <c r="D463" i="7"/>
  <c r="E463" i="7"/>
  <c r="F463" i="7"/>
  <c r="G463" i="7"/>
  <c r="H463" i="7"/>
  <c r="I463" i="7"/>
  <c r="J463" i="7"/>
  <c r="K463" i="7"/>
  <c r="L463" i="7"/>
  <c r="M463" i="7"/>
  <c r="N463" i="7"/>
  <c r="P463" i="7"/>
  <c r="O463" i="7" s="1"/>
  <c r="Q463" i="7"/>
  <c r="R463" i="7"/>
  <c r="T463" i="7"/>
  <c r="U463" i="7"/>
  <c r="W463" i="7"/>
  <c r="X463" i="7"/>
  <c r="Y463" i="7"/>
  <c r="D464" i="7"/>
  <c r="E464" i="7"/>
  <c r="F464" i="7"/>
  <c r="G464" i="7"/>
  <c r="H464" i="7"/>
  <c r="I464" i="7"/>
  <c r="J464" i="7"/>
  <c r="K464" i="7"/>
  <c r="L464" i="7"/>
  <c r="M464" i="7"/>
  <c r="N464" i="7"/>
  <c r="P464" i="7"/>
  <c r="O464" i="7" s="1"/>
  <c r="Q464" i="7"/>
  <c r="R464" i="7"/>
  <c r="T464" i="7"/>
  <c r="U464" i="7"/>
  <c r="W464" i="7"/>
  <c r="X464" i="7"/>
  <c r="Y464" i="7"/>
  <c r="D465" i="7"/>
  <c r="E465" i="7"/>
  <c r="F465" i="7"/>
  <c r="G465" i="7"/>
  <c r="H465" i="7"/>
  <c r="I465" i="7"/>
  <c r="J465" i="7"/>
  <c r="K465" i="7"/>
  <c r="L465" i="7"/>
  <c r="M465" i="7"/>
  <c r="N465" i="7"/>
  <c r="P465" i="7"/>
  <c r="O465" i="7" s="1"/>
  <c r="Q465" i="7"/>
  <c r="R465" i="7"/>
  <c r="T465" i="7"/>
  <c r="U465" i="7"/>
  <c r="W465" i="7"/>
  <c r="X465" i="7"/>
  <c r="Y465" i="7"/>
  <c r="D466" i="7"/>
  <c r="E466" i="7"/>
  <c r="F466" i="7"/>
  <c r="G466" i="7"/>
  <c r="H466" i="7"/>
  <c r="I466" i="7"/>
  <c r="J466" i="7"/>
  <c r="K466" i="7"/>
  <c r="L466" i="7"/>
  <c r="M466" i="7"/>
  <c r="N466" i="7"/>
  <c r="P466" i="7"/>
  <c r="O466" i="7" s="1"/>
  <c r="Q466" i="7"/>
  <c r="R466" i="7"/>
  <c r="T466" i="7"/>
  <c r="U466" i="7"/>
  <c r="W466" i="7"/>
  <c r="X466" i="7"/>
  <c r="Y466" i="7"/>
  <c r="D467" i="7"/>
  <c r="E467" i="7"/>
  <c r="F467" i="7"/>
  <c r="G467" i="7"/>
  <c r="H467" i="7"/>
  <c r="I467" i="7"/>
  <c r="J467" i="7"/>
  <c r="K467" i="7"/>
  <c r="L467" i="7"/>
  <c r="M467" i="7"/>
  <c r="N467" i="7"/>
  <c r="P467" i="7"/>
  <c r="O467" i="7" s="1"/>
  <c r="Q467" i="7"/>
  <c r="R467" i="7"/>
  <c r="T467" i="7"/>
  <c r="U467" i="7"/>
  <c r="W467" i="7"/>
  <c r="X467" i="7"/>
  <c r="Y467" i="7"/>
  <c r="D468" i="7"/>
  <c r="E468" i="7"/>
  <c r="F468" i="7"/>
  <c r="G468" i="7"/>
  <c r="H468" i="7"/>
  <c r="I468" i="7"/>
  <c r="J468" i="7"/>
  <c r="K468" i="7"/>
  <c r="L468" i="7"/>
  <c r="M468" i="7"/>
  <c r="N468" i="7"/>
  <c r="P468" i="7"/>
  <c r="O468" i="7" s="1"/>
  <c r="Q468" i="7"/>
  <c r="R468" i="7"/>
  <c r="T468" i="7"/>
  <c r="U468" i="7"/>
  <c r="W468" i="7"/>
  <c r="X468" i="7"/>
  <c r="Y468" i="7"/>
  <c r="D469" i="7"/>
  <c r="E469" i="7"/>
  <c r="F469" i="7"/>
  <c r="G469" i="7"/>
  <c r="H469" i="7"/>
  <c r="I469" i="7"/>
  <c r="J469" i="7"/>
  <c r="K469" i="7"/>
  <c r="L469" i="7"/>
  <c r="M469" i="7"/>
  <c r="N469" i="7"/>
  <c r="P469" i="7"/>
  <c r="O469" i="7" s="1"/>
  <c r="Q469" i="7"/>
  <c r="R469" i="7"/>
  <c r="T469" i="7"/>
  <c r="U469" i="7"/>
  <c r="W469" i="7"/>
  <c r="X469" i="7"/>
  <c r="Y469" i="7"/>
  <c r="D470" i="7"/>
  <c r="E470" i="7"/>
  <c r="F470" i="7"/>
  <c r="G470" i="7"/>
  <c r="H470" i="7"/>
  <c r="I470" i="7"/>
  <c r="J470" i="7"/>
  <c r="K470" i="7"/>
  <c r="L470" i="7"/>
  <c r="M470" i="7"/>
  <c r="N470" i="7"/>
  <c r="P470" i="7"/>
  <c r="O470" i="7" s="1"/>
  <c r="Q470" i="7"/>
  <c r="R470" i="7"/>
  <c r="T470" i="7"/>
  <c r="U470" i="7"/>
  <c r="W470" i="7"/>
  <c r="X470" i="7"/>
  <c r="Y470" i="7"/>
  <c r="D471" i="7"/>
  <c r="E471" i="7"/>
  <c r="F471" i="7"/>
  <c r="G471" i="7"/>
  <c r="H471" i="7"/>
  <c r="I471" i="7"/>
  <c r="J471" i="7"/>
  <c r="K471" i="7"/>
  <c r="L471" i="7"/>
  <c r="M471" i="7"/>
  <c r="N471" i="7"/>
  <c r="P471" i="7"/>
  <c r="O471" i="7" s="1"/>
  <c r="Q471" i="7"/>
  <c r="R471" i="7"/>
  <c r="T471" i="7"/>
  <c r="U471" i="7"/>
  <c r="W471" i="7"/>
  <c r="X471" i="7"/>
  <c r="Y471" i="7"/>
  <c r="D472" i="7"/>
  <c r="E472" i="7"/>
  <c r="F472" i="7"/>
  <c r="G472" i="7"/>
  <c r="H472" i="7"/>
  <c r="I472" i="7"/>
  <c r="J472" i="7"/>
  <c r="K472" i="7"/>
  <c r="L472" i="7"/>
  <c r="M472" i="7"/>
  <c r="N472" i="7"/>
  <c r="P472" i="7"/>
  <c r="O472" i="7" s="1"/>
  <c r="Q472" i="7"/>
  <c r="R472" i="7"/>
  <c r="T472" i="7"/>
  <c r="U472" i="7"/>
  <c r="W472" i="7"/>
  <c r="X472" i="7"/>
  <c r="Y472" i="7"/>
  <c r="D473" i="7"/>
  <c r="E473" i="7"/>
  <c r="F473" i="7"/>
  <c r="G473" i="7"/>
  <c r="H473" i="7"/>
  <c r="I473" i="7"/>
  <c r="J473" i="7"/>
  <c r="K473" i="7"/>
  <c r="L473" i="7"/>
  <c r="M473" i="7"/>
  <c r="N473" i="7"/>
  <c r="P473" i="7"/>
  <c r="O473" i="7" s="1"/>
  <c r="Q473" i="7"/>
  <c r="R473" i="7"/>
  <c r="T473" i="7"/>
  <c r="U473" i="7"/>
  <c r="W473" i="7"/>
  <c r="X473" i="7"/>
  <c r="Y473" i="7"/>
  <c r="D474" i="7"/>
  <c r="E474" i="7"/>
  <c r="F474" i="7"/>
  <c r="G474" i="7"/>
  <c r="H474" i="7"/>
  <c r="I474" i="7"/>
  <c r="J474" i="7"/>
  <c r="K474" i="7"/>
  <c r="L474" i="7"/>
  <c r="M474" i="7"/>
  <c r="N474" i="7"/>
  <c r="P474" i="7"/>
  <c r="O474" i="7" s="1"/>
  <c r="Q474" i="7"/>
  <c r="R474" i="7"/>
  <c r="T474" i="7"/>
  <c r="U474" i="7"/>
  <c r="W474" i="7"/>
  <c r="X474" i="7"/>
  <c r="Y474" i="7"/>
  <c r="D475" i="7"/>
  <c r="E475" i="7"/>
  <c r="F475" i="7"/>
  <c r="G475" i="7"/>
  <c r="H475" i="7"/>
  <c r="I475" i="7"/>
  <c r="J475" i="7"/>
  <c r="K475" i="7"/>
  <c r="L475" i="7"/>
  <c r="M475" i="7"/>
  <c r="N475" i="7"/>
  <c r="P475" i="7"/>
  <c r="O475" i="7" s="1"/>
  <c r="Q475" i="7"/>
  <c r="R475" i="7"/>
  <c r="T475" i="7"/>
  <c r="U475" i="7"/>
  <c r="W475" i="7"/>
  <c r="X475" i="7"/>
  <c r="Y475" i="7"/>
  <c r="D476" i="7"/>
  <c r="E476" i="7"/>
  <c r="F476" i="7"/>
  <c r="G476" i="7"/>
  <c r="H476" i="7"/>
  <c r="I476" i="7"/>
  <c r="J476" i="7"/>
  <c r="K476" i="7"/>
  <c r="L476" i="7"/>
  <c r="M476" i="7"/>
  <c r="N476" i="7"/>
  <c r="P476" i="7"/>
  <c r="O476" i="7" s="1"/>
  <c r="Q476" i="7"/>
  <c r="R476" i="7"/>
  <c r="T476" i="7"/>
  <c r="U476" i="7"/>
  <c r="W476" i="7"/>
  <c r="X476" i="7"/>
  <c r="Y476" i="7"/>
  <c r="D477" i="7"/>
  <c r="E477" i="7"/>
  <c r="F477" i="7"/>
  <c r="G477" i="7"/>
  <c r="H477" i="7"/>
  <c r="I477" i="7"/>
  <c r="J477" i="7"/>
  <c r="K477" i="7"/>
  <c r="L477" i="7"/>
  <c r="M477" i="7"/>
  <c r="N477" i="7"/>
  <c r="P477" i="7"/>
  <c r="O477" i="7" s="1"/>
  <c r="Q477" i="7"/>
  <c r="R477" i="7"/>
  <c r="T477" i="7"/>
  <c r="U477" i="7"/>
  <c r="W477" i="7"/>
  <c r="X477" i="7"/>
  <c r="Y477" i="7"/>
  <c r="D478" i="7"/>
  <c r="E478" i="7"/>
  <c r="F478" i="7"/>
  <c r="G478" i="7"/>
  <c r="H478" i="7"/>
  <c r="I478" i="7"/>
  <c r="J478" i="7"/>
  <c r="K478" i="7"/>
  <c r="L478" i="7"/>
  <c r="M478" i="7"/>
  <c r="N478" i="7"/>
  <c r="P478" i="7"/>
  <c r="O478" i="7" s="1"/>
  <c r="Q478" i="7"/>
  <c r="R478" i="7"/>
  <c r="T478" i="7"/>
  <c r="U478" i="7"/>
  <c r="W478" i="7"/>
  <c r="X478" i="7"/>
  <c r="Y478" i="7"/>
  <c r="D479" i="7"/>
  <c r="E479" i="7"/>
  <c r="F479" i="7"/>
  <c r="G479" i="7"/>
  <c r="H479" i="7"/>
  <c r="I479" i="7"/>
  <c r="J479" i="7"/>
  <c r="K479" i="7"/>
  <c r="L479" i="7"/>
  <c r="M479" i="7"/>
  <c r="N479" i="7"/>
  <c r="P479" i="7"/>
  <c r="O479" i="7" s="1"/>
  <c r="Q479" i="7"/>
  <c r="R479" i="7"/>
  <c r="T479" i="7"/>
  <c r="U479" i="7"/>
  <c r="W479" i="7"/>
  <c r="X479" i="7"/>
  <c r="Y479" i="7"/>
  <c r="D480" i="7"/>
  <c r="E480" i="7"/>
  <c r="F480" i="7"/>
  <c r="G480" i="7"/>
  <c r="H480" i="7"/>
  <c r="I480" i="7"/>
  <c r="J480" i="7"/>
  <c r="K480" i="7"/>
  <c r="L480" i="7"/>
  <c r="M480" i="7"/>
  <c r="N480" i="7"/>
  <c r="P480" i="7"/>
  <c r="O480" i="7" s="1"/>
  <c r="Q480" i="7"/>
  <c r="R480" i="7"/>
  <c r="T480" i="7"/>
  <c r="U480" i="7"/>
  <c r="W480" i="7"/>
  <c r="X480" i="7"/>
  <c r="Y480" i="7"/>
  <c r="D481" i="7"/>
  <c r="E481" i="7"/>
  <c r="F481" i="7"/>
  <c r="G481" i="7"/>
  <c r="H481" i="7"/>
  <c r="I481" i="7"/>
  <c r="J481" i="7"/>
  <c r="K481" i="7"/>
  <c r="L481" i="7"/>
  <c r="M481" i="7"/>
  <c r="N481" i="7"/>
  <c r="P481" i="7"/>
  <c r="O481" i="7" s="1"/>
  <c r="Q481" i="7"/>
  <c r="R481" i="7"/>
  <c r="T481" i="7"/>
  <c r="U481" i="7"/>
  <c r="W481" i="7"/>
  <c r="X481" i="7"/>
  <c r="Y481" i="7"/>
  <c r="D482" i="7"/>
  <c r="E482" i="7"/>
  <c r="F482" i="7"/>
  <c r="G482" i="7"/>
  <c r="H482" i="7"/>
  <c r="I482" i="7"/>
  <c r="J482" i="7"/>
  <c r="K482" i="7"/>
  <c r="L482" i="7"/>
  <c r="M482" i="7"/>
  <c r="N482" i="7"/>
  <c r="P482" i="7"/>
  <c r="O482" i="7" s="1"/>
  <c r="Q482" i="7"/>
  <c r="R482" i="7"/>
  <c r="T482" i="7"/>
  <c r="U482" i="7"/>
  <c r="W482" i="7"/>
  <c r="X482" i="7"/>
  <c r="Y482" i="7"/>
  <c r="D483" i="7"/>
  <c r="E483" i="7"/>
  <c r="F483" i="7"/>
  <c r="G483" i="7"/>
  <c r="H483" i="7"/>
  <c r="I483" i="7"/>
  <c r="J483" i="7"/>
  <c r="K483" i="7"/>
  <c r="L483" i="7"/>
  <c r="M483" i="7"/>
  <c r="N483" i="7"/>
  <c r="P483" i="7"/>
  <c r="O483" i="7" s="1"/>
  <c r="Q483" i="7"/>
  <c r="R483" i="7"/>
  <c r="T483" i="7"/>
  <c r="U483" i="7"/>
  <c r="W483" i="7"/>
  <c r="X483" i="7"/>
  <c r="Y483" i="7"/>
  <c r="D484" i="7"/>
  <c r="E484" i="7"/>
  <c r="F484" i="7"/>
  <c r="G484" i="7"/>
  <c r="H484" i="7"/>
  <c r="I484" i="7"/>
  <c r="J484" i="7"/>
  <c r="K484" i="7"/>
  <c r="L484" i="7"/>
  <c r="M484" i="7"/>
  <c r="N484" i="7"/>
  <c r="P484" i="7"/>
  <c r="O484" i="7" s="1"/>
  <c r="Q484" i="7"/>
  <c r="R484" i="7"/>
  <c r="T484" i="7"/>
  <c r="U484" i="7"/>
  <c r="W484" i="7"/>
  <c r="X484" i="7"/>
  <c r="Y484" i="7"/>
  <c r="D485" i="7"/>
  <c r="E485" i="7"/>
  <c r="F485" i="7"/>
  <c r="G485" i="7"/>
  <c r="H485" i="7"/>
  <c r="I485" i="7"/>
  <c r="J485" i="7"/>
  <c r="K485" i="7"/>
  <c r="L485" i="7"/>
  <c r="M485" i="7"/>
  <c r="N485" i="7"/>
  <c r="P485" i="7"/>
  <c r="O485" i="7" s="1"/>
  <c r="Q485" i="7"/>
  <c r="R485" i="7"/>
  <c r="T485" i="7"/>
  <c r="U485" i="7"/>
  <c r="W485" i="7"/>
  <c r="X485" i="7"/>
  <c r="Y485" i="7"/>
  <c r="D486" i="7"/>
  <c r="E486" i="7"/>
  <c r="F486" i="7"/>
  <c r="G486" i="7"/>
  <c r="H486" i="7"/>
  <c r="I486" i="7"/>
  <c r="J486" i="7"/>
  <c r="K486" i="7"/>
  <c r="L486" i="7"/>
  <c r="M486" i="7"/>
  <c r="N486" i="7"/>
  <c r="P486" i="7"/>
  <c r="O486" i="7" s="1"/>
  <c r="Q486" i="7"/>
  <c r="R486" i="7"/>
  <c r="T486" i="7"/>
  <c r="U486" i="7"/>
  <c r="W486" i="7"/>
  <c r="X486" i="7"/>
  <c r="Y486" i="7"/>
  <c r="D487" i="7"/>
  <c r="E487" i="7"/>
  <c r="F487" i="7"/>
  <c r="G487" i="7"/>
  <c r="H487" i="7"/>
  <c r="I487" i="7"/>
  <c r="J487" i="7"/>
  <c r="K487" i="7"/>
  <c r="L487" i="7"/>
  <c r="M487" i="7"/>
  <c r="N487" i="7"/>
  <c r="P487" i="7"/>
  <c r="Q487" i="7"/>
  <c r="R487" i="7"/>
  <c r="T487" i="7"/>
  <c r="U487" i="7"/>
  <c r="W487" i="7"/>
  <c r="X487" i="7"/>
  <c r="Y487" i="7"/>
  <c r="D488" i="7"/>
  <c r="E488" i="7"/>
  <c r="F488" i="7"/>
  <c r="G488" i="7"/>
  <c r="H488" i="7"/>
  <c r="I488" i="7"/>
  <c r="J488" i="7"/>
  <c r="K488" i="7"/>
  <c r="L488" i="7"/>
  <c r="M488" i="7"/>
  <c r="N488" i="7"/>
  <c r="P488" i="7"/>
  <c r="Q488" i="7"/>
  <c r="R488" i="7"/>
  <c r="T488" i="7"/>
  <c r="U488" i="7"/>
  <c r="W488" i="7"/>
  <c r="X488" i="7"/>
  <c r="Y488" i="7"/>
  <c r="D489" i="7"/>
  <c r="E489" i="7"/>
  <c r="F489" i="7"/>
  <c r="G489" i="7"/>
  <c r="H489" i="7"/>
  <c r="I489" i="7"/>
  <c r="J489" i="7"/>
  <c r="K489" i="7"/>
  <c r="L489" i="7"/>
  <c r="M489" i="7"/>
  <c r="N489" i="7"/>
  <c r="P489" i="7"/>
  <c r="Q489" i="7"/>
  <c r="R489" i="7"/>
  <c r="T489" i="7"/>
  <c r="U489" i="7"/>
  <c r="D490" i="7"/>
  <c r="E490" i="7"/>
  <c r="F490" i="7"/>
  <c r="G490" i="7"/>
  <c r="H490" i="7"/>
  <c r="I490" i="7"/>
  <c r="J490" i="7"/>
  <c r="K490" i="7"/>
  <c r="L490" i="7"/>
  <c r="M490" i="7"/>
  <c r="N490" i="7"/>
  <c r="P490" i="7"/>
  <c r="Q490" i="7"/>
  <c r="R490" i="7"/>
  <c r="T490" i="7"/>
  <c r="U490" i="7"/>
  <c r="W490" i="7"/>
  <c r="X490" i="7"/>
  <c r="Y490" i="7"/>
  <c r="D491" i="7"/>
  <c r="E491" i="7"/>
  <c r="F491" i="7"/>
  <c r="G491" i="7"/>
  <c r="H491" i="7"/>
  <c r="I491" i="7"/>
  <c r="J491" i="7"/>
  <c r="K491" i="7"/>
  <c r="L491" i="7"/>
  <c r="M491" i="7"/>
  <c r="N491" i="7"/>
  <c r="P491" i="7"/>
  <c r="Q491" i="7"/>
  <c r="R491" i="7"/>
  <c r="T491" i="7"/>
  <c r="U491" i="7"/>
  <c r="W491" i="7"/>
  <c r="X491" i="7"/>
  <c r="Y491" i="7"/>
  <c r="D492" i="7"/>
  <c r="E492" i="7"/>
  <c r="F492" i="7"/>
  <c r="G492" i="7"/>
  <c r="H492" i="7"/>
  <c r="I492" i="7"/>
  <c r="J492" i="7"/>
  <c r="K492" i="7"/>
  <c r="L492" i="7"/>
  <c r="M492" i="7"/>
  <c r="N492" i="7"/>
  <c r="P492" i="7"/>
  <c r="Q492" i="7"/>
  <c r="R492" i="7"/>
  <c r="T492" i="7"/>
  <c r="U492" i="7"/>
  <c r="W492" i="7"/>
  <c r="X492" i="7"/>
  <c r="Y492" i="7"/>
  <c r="D493" i="7"/>
  <c r="E493" i="7"/>
  <c r="F493" i="7"/>
  <c r="G493" i="7"/>
  <c r="H493" i="7"/>
  <c r="I493" i="7"/>
  <c r="J493" i="7"/>
  <c r="K493" i="7"/>
  <c r="L493" i="7"/>
  <c r="M493" i="7"/>
  <c r="N493" i="7"/>
  <c r="P493" i="7"/>
  <c r="Q493" i="7"/>
  <c r="R493" i="7"/>
  <c r="T493" i="7"/>
  <c r="U493" i="7"/>
  <c r="W493" i="7"/>
  <c r="X493" i="7"/>
  <c r="Y493" i="7"/>
  <c r="D494" i="7"/>
  <c r="E494" i="7"/>
  <c r="F494" i="7"/>
  <c r="G494" i="7"/>
  <c r="H494" i="7"/>
  <c r="I494" i="7"/>
  <c r="J494" i="7"/>
  <c r="K494" i="7"/>
  <c r="L494" i="7"/>
  <c r="M494" i="7"/>
  <c r="N494" i="7"/>
  <c r="P494" i="7"/>
  <c r="Q494" i="7"/>
  <c r="R494" i="7"/>
  <c r="T494" i="7"/>
  <c r="U494" i="7"/>
  <c r="W494" i="7"/>
  <c r="X494" i="7"/>
  <c r="Y494" i="7"/>
  <c r="D495" i="7"/>
  <c r="E495" i="7"/>
  <c r="F495" i="7"/>
  <c r="G495" i="7"/>
  <c r="H495" i="7"/>
  <c r="I495" i="7"/>
  <c r="J495" i="7"/>
  <c r="K495" i="7"/>
  <c r="L495" i="7"/>
  <c r="M495" i="7"/>
  <c r="N495" i="7"/>
  <c r="P495" i="7"/>
  <c r="Q495" i="7"/>
  <c r="R495" i="7"/>
  <c r="T495" i="7"/>
  <c r="U495" i="7"/>
  <c r="W495" i="7"/>
  <c r="X495" i="7"/>
  <c r="Y495" i="7"/>
  <c r="D496" i="7"/>
  <c r="E496" i="7"/>
  <c r="F496" i="7"/>
  <c r="G496" i="7"/>
  <c r="H496" i="7"/>
  <c r="I496" i="7"/>
  <c r="J496" i="7"/>
  <c r="K496" i="7"/>
  <c r="L496" i="7"/>
  <c r="M496" i="7"/>
  <c r="N496" i="7"/>
  <c r="P496" i="7"/>
  <c r="Q496" i="7"/>
  <c r="R496" i="7"/>
  <c r="T496" i="7"/>
  <c r="U496" i="7"/>
  <c r="W496" i="7"/>
  <c r="X496" i="7"/>
  <c r="Y496" i="7"/>
  <c r="D497" i="7"/>
  <c r="E497" i="7"/>
  <c r="F497" i="7"/>
  <c r="G497" i="7"/>
  <c r="H497" i="7"/>
  <c r="I497" i="7"/>
  <c r="J497" i="7"/>
  <c r="K497" i="7"/>
  <c r="L497" i="7"/>
  <c r="M497" i="7"/>
  <c r="N497" i="7"/>
  <c r="P497" i="7"/>
  <c r="Q497" i="7"/>
  <c r="R497" i="7"/>
  <c r="T497" i="7"/>
  <c r="U497" i="7"/>
  <c r="W497" i="7"/>
  <c r="X497" i="7"/>
  <c r="Y497" i="7"/>
  <c r="D498" i="7"/>
  <c r="E498" i="7"/>
  <c r="F498" i="7"/>
  <c r="G498" i="7"/>
  <c r="H498" i="7"/>
  <c r="I498" i="7"/>
  <c r="J498" i="7"/>
  <c r="K498" i="7"/>
  <c r="L498" i="7"/>
  <c r="M498" i="7"/>
  <c r="N498" i="7"/>
  <c r="P498" i="7"/>
  <c r="Q498" i="7"/>
  <c r="R498" i="7"/>
  <c r="T498" i="7"/>
  <c r="U498" i="7"/>
  <c r="W498" i="7"/>
  <c r="X498" i="7"/>
  <c r="Y498" i="7"/>
  <c r="D499" i="7"/>
  <c r="E499" i="7"/>
  <c r="F499" i="7"/>
  <c r="G499" i="7"/>
  <c r="H499" i="7"/>
  <c r="I499" i="7"/>
  <c r="J499" i="7"/>
  <c r="K499" i="7"/>
  <c r="L499" i="7"/>
  <c r="M499" i="7"/>
  <c r="N499" i="7"/>
  <c r="P499" i="7"/>
  <c r="Q499" i="7"/>
  <c r="R499" i="7"/>
  <c r="T499" i="7"/>
  <c r="U499" i="7"/>
  <c r="W499" i="7"/>
  <c r="X499" i="7"/>
  <c r="Y499" i="7"/>
  <c r="D500" i="7"/>
  <c r="E500" i="7"/>
  <c r="F500" i="7"/>
  <c r="G500" i="7"/>
  <c r="H500" i="7"/>
  <c r="I500" i="7"/>
  <c r="J500" i="7"/>
  <c r="K500" i="7"/>
  <c r="L500" i="7"/>
  <c r="M500" i="7"/>
  <c r="N500" i="7"/>
  <c r="P500" i="7"/>
  <c r="Q500" i="7"/>
  <c r="R500" i="7"/>
  <c r="T500" i="7"/>
  <c r="U500" i="7"/>
  <c r="W500" i="7"/>
  <c r="X500" i="7"/>
  <c r="Y500" i="7"/>
  <c r="D501" i="7"/>
  <c r="E501" i="7"/>
  <c r="F501" i="7"/>
  <c r="G501" i="7"/>
  <c r="H501" i="7"/>
  <c r="I501" i="7"/>
  <c r="J501" i="7"/>
  <c r="K501" i="7"/>
  <c r="L501" i="7"/>
  <c r="M501" i="7"/>
  <c r="N501" i="7"/>
  <c r="P501" i="7"/>
  <c r="Q501" i="7"/>
  <c r="R501" i="7"/>
  <c r="T501" i="7"/>
  <c r="U501" i="7"/>
  <c r="X501" i="7"/>
  <c r="D502" i="7"/>
  <c r="E502" i="7"/>
  <c r="F502" i="7"/>
  <c r="G502" i="7"/>
  <c r="H502" i="7"/>
  <c r="I502" i="7"/>
  <c r="J502" i="7"/>
  <c r="K502" i="7"/>
  <c r="L502" i="7"/>
  <c r="M502" i="7"/>
  <c r="N502" i="7"/>
  <c r="P502" i="7"/>
  <c r="Q502" i="7"/>
  <c r="R502" i="7"/>
  <c r="T502" i="7"/>
  <c r="U502" i="7"/>
  <c r="W502" i="7"/>
  <c r="X502" i="7"/>
  <c r="Y502" i="7"/>
  <c r="D503" i="7"/>
  <c r="E503" i="7"/>
  <c r="F503" i="7"/>
  <c r="G503" i="7"/>
  <c r="H503" i="7"/>
  <c r="I503" i="7"/>
  <c r="J503" i="7"/>
  <c r="K503" i="7"/>
  <c r="L503" i="7"/>
  <c r="M503" i="7"/>
  <c r="N503" i="7"/>
  <c r="P503" i="7"/>
  <c r="Q503" i="7"/>
  <c r="R503" i="7"/>
  <c r="T503" i="7"/>
  <c r="U503" i="7"/>
  <c r="W503" i="7"/>
  <c r="X503" i="7"/>
  <c r="Y503" i="7"/>
  <c r="D504" i="7"/>
  <c r="E504" i="7"/>
  <c r="F504" i="7"/>
  <c r="G504" i="7"/>
  <c r="H504" i="7"/>
  <c r="I504" i="7"/>
  <c r="J504" i="7"/>
  <c r="K504" i="7"/>
  <c r="L504" i="7"/>
  <c r="M504" i="7"/>
  <c r="N504" i="7"/>
  <c r="P504" i="7"/>
  <c r="Q504" i="7"/>
  <c r="R504" i="7"/>
  <c r="T504" i="7"/>
  <c r="U504" i="7"/>
  <c r="V504" i="7" s="1"/>
  <c r="W504" i="7"/>
  <c r="X504" i="7"/>
  <c r="Y504" i="7"/>
  <c r="D505" i="7"/>
  <c r="E505" i="7"/>
  <c r="F505" i="7"/>
  <c r="G505" i="7"/>
  <c r="H505" i="7"/>
  <c r="I505" i="7"/>
  <c r="J505" i="7"/>
  <c r="K505" i="7"/>
  <c r="L505" i="7"/>
  <c r="M505" i="7"/>
  <c r="N505" i="7"/>
  <c r="P505" i="7"/>
  <c r="Q505" i="7"/>
  <c r="R505" i="7"/>
  <c r="T505" i="7"/>
  <c r="U505" i="7"/>
  <c r="W505" i="7"/>
  <c r="X505" i="7"/>
  <c r="Y505" i="7"/>
  <c r="D506" i="7"/>
  <c r="E506" i="7"/>
  <c r="F506" i="7"/>
  <c r="G506" i="7"/>
  <c r="H506" i="7"/>
  <c r="I506" i="7"/>
  <c r="J506" i="7"/>
  <c r="K506" i="7"/>
  <c r="L506" i="7"/>
  <c r="M506" i="7"/>
  <c r="N506" i="7"/>
  <c r="P506" i="7"/>
  <c r="Q506" i="7"/>
  <c r="R506" i="7"/>
  <c r="T506" i="7"/>
  <c r="U506" i="7"/>
  <c r="W506" i="7"/>
  <c r="X506" i="7"/>
  <c r="Y506" i="7"/>
  <c r="D507" i="7"/>
  <c r="E507" i="7"/>
  <c r="F507" i="7"/>
  <c r="G507" i="7"/>
  <c r="H507" i="7"/>
  <c r="I507" i="7"/>
  <c r="J507" i="7"/>
  <c r="K507" i="7"/>
  <c r="L507" i="7"/>
  <c r="M507" i="7"/>
  <c r="N507" i="7"/>
  <c r="P507" i="7"/>
  <c r="Q507" i="7"/>
  <c r="R507" i="7"/>
  <c r="T507" i="7"/>
  <c r="U507" i="7"/>
  <c r="W507" i="7"/>
  <c r="X507" i="7"/>
  <c r="Y507" i="7"/>
  <c r="D508" i="7"/>
  <c r="E508" i="7"/>
  <c r="F508" i="7"/>
  <c r="G508" i="7"/>
  <c r="H508" i="7"/>
  <c r="I508" i="7"/>
  <c r="J508" i="7"/>
  <c r="K508" i="7"/>
  <c r="L508" i="7"/>
  <c r="M508" i="7"/>
  <c r="N508" i="7"/>
  <c r="P508" i="7"/>
  <c r="Q508" i="7"/>
  <c r="R508" i="7"/>
  <c r="T508" i="7"/>
  <c r="U508" i="7"/>
  <c r="W508" i="7"/>
  <c r="X508" i="7"/>
  <c r="Y508" i="7"/>
  <c r="D509" i="7"/>
  <c r="E509" i="7"/>
  <c r="F509" i="7"/>
  <c r="G509" i="7"/>
  <c r="H509" i="7"/>
  <c r="I509" i="7"/>
  <c r="J509" i="7"/>
  <c r="K509" i="7"/>
  <c r="L509" i="7"/>
  <c r="M509" i="7"/>
  <c r="N509" i="7"/>
  <c r="P509" i="7"/>
  <c r="Q509" i="7"/>
  <c r="R509" i="7"/>
  <c r="T509" i="7"/>
  <c r="U509" i="7"/>
  <c r="W509" i="7"/>
  <c r="X509" i="7"/>
  <c r="Y509" i="7"/>
  <c r="D510" i="7"/>
  <c r="E510" i="7"/>
  <c r="F510" i="7"/>
  <c r="G510" i="7"/>
  <c r="H510" i="7"/>
  <c r="I510" i="7"/>
  <c r="J510" i="7"/>
  <c r="K510" i="7"/>
  <c r="L510" i="7"/>
  <c r="M510" i="7"/>
  <c r="N510" i="7"/>
  <c r="P510" i="7"/>
  <c r="Q510" i="7"/>
  <c r="R510" i="7"/>
  <c r="T510" i="7"/>
  <c r="V510" i="7" s="1"/>
  <c r="U510" i="7"/>
  <c r="W510" i="7"/>
  <c r="X510" i="7"/>
  <c r="Y510" i="7"/>
  <c r="D511" i="7"/>
  <c r="E511" i="7"/>
  <c r="F511" i="7"/>
  <c r="G511" i="7"/>
  <c r="H511" i="7"/>
  <c r="I511" i="7"/>
  <c r="J511" i="7"/>
  <c r="K511" i="7"/>
  <c r="L511" i="7"/>
  <c r="M511" i="7"/>
  <c r="N511" i="7"/>
  <c r="P511" i="7"/>
  <c r="Q511" i="7"/>
  <c r="R511" i="7"/>
  <c r="T511" i="7"/>
  <c r="U511" i="7"/>
  <c r="W511" i="7"/>
  <c r="X511" i="7"/>
  <c r="Y511" i="7"/>
  <c r="D512" i="7"/>
  <c r="E512" i="7"/>
  <c r="F512" i="7"/>
  <c r="G512" i="7"/>
  <c r="H512" i="7"/>
  <c r="I512" i="7"/>
  <c r="J512" i="7"/>
  <c r="K512" i="7"/>
  <c r="L512" i="7"/>
  <c r="M512" i="7"/>
  <c r="N512" i="7"/>
  <c r="P512" i="7"/>
  <c r="Q512" i="7"/>
  <c r="R512" i="7"/>
  <c r="T512" i="7"/>
  <c r="U512" i="7"/>
  <c r="W512" i="7"/>
  <c r="X512" i="7"/>
  <c r="Y512" i="7"/>
  <c r="D513" i="7"/>
  <c r="E513" i="7"/>
  <c r="F513" i="7"/>
  <c r="G513" i="7"/>
  <c r="H513" i="7"/>
  <c r="I513" i="7"/>
  <c r="J513" i="7"/>
  <c r="K513" i="7"/>
  <c r="L513" i="7"/>
  <c r="M513" i="7"/>
  <c r="N513" i="7"/>
  <c r="P513" i="7"/>
  <c r="Q513" i="7"/>
  <c r="R513" i="7"/>
  <c r="T513" i="7"/>
  <c r="U513" i="7"/>
  <c r="W513" i="7"/>
  <c r="X513" i="7"/>
  <c r="Y513" i="7"/>
  <c r="D514" i="7"/>
  <c r="E514" i="7"/>
  <c r="F514" i="7"/>
  <c r="G514" i="7"/>
  <c r="H514" i="7"/>
  <c r="I514" i="7"/>
  <c r="J514" i="7"/>
  <c r="K514" i="7"/>
  <c r="L514" i="7"/>
  <c r="M514" i="7"/>
  <c r="N514" i="7"/>
  <c r="P514" i="7"/>
  <c r="Q514" i="7"/>
  <c r="R514" i="7"/>
  <c r="T514" i="7"/>
  <c r="U514" i="7"/>
  <c r="W514" i="7"/>
  <c r="X514" i="7"/>
  <c r="Y514" i="7"/>
  <c r="D515" i="7"/>
  <c r="E515" i="7"/>
  <c r="F515" i="7"/>
  <c r="G515" i="7"/>
  <c r="H515" i="7"/>
  <c r="I515" i="7"/>
  <c r="J515" i="7"/>
  <c r="K515" i="7"/>
  <c r="L515" i="7"/>
  <c r="M515" i="7"/>
  <c r="N515" i="7"/>
  <c r="P515" i="7"/>
  <c r="Q515" i="7"/>
  <c r="R515" i="7"/>
  <c r="T515" i="7"/>
  <c r="U515" i="7"/>
  <c r="W515" i="7"/>
  <c r="X515" i="7"/>
  <c r="Y515" i="7"/>
  <c r="D516" i="7"/>
  <c r="E516" i="7"/>
  <c r="F516" i="7"/>
  <c r="G516" i="7"/>
  <c r="H516" i="7"/>
  <c r="I516" i="7"/>
  <c r="J516" i="7"/>
  <c r="K516" i="7"/>
  <c r="L516" i="7"/>
  <c r="M516" i="7"/>
  <c r="N516" i="7"/>
  <c r="P516" i="7"/>
  <c r="Q516" i="7"/>
  <c r="R516" i="7"/>
  <c r="T516" i="7"/>
  <c r="U516" i="7"/>
  <c r="W516" i="7"/>
  <c r="X516" i="7"/>
  <c r="Y516" i="7"/>
  <c r="D517" i="7"/>
  <c r="E517" i="7"/>
  <c r="F517" i="7"/>
  <c r="G517" i="7"/>
  <c r="H517" i="7"/>
  <c r="I517" i="7"/>
  <c r="J517" i="7"/>
  <c r="K517" i="7"/>
  <c r="L517" i="7"/>
  <c r="M517" i="7"/>
  <c r="N517" i="7"/>
  <c r="P517" i="7"/>
  <c r="Q517" i="7"/>
  <c r="R517" i="7"/>
  <c r="T517" i="7"/>
  <c r="U517" i="7"/>
  <c r="W517" i="7"/>
  <c r="X517" i="7"/>
  <c r="Y517" i="7"/>
  <c r="D518" i="7"/>
  <c r="E518" i="7"/>
  <c r="F518" i="7"/>
  <c r="G518" i="7"/>
  <c r="H518" i="7"/>
  <c r="I518" i="7"/>
  <c r="J518" i="7"/>
  <c r="K518" i="7"/>
  <c r="L518" i="7"/>
  <c r="M518" i="7"/>
  <c r="N518" i="7"/>
  <c r="P518" i="7"/>
  <c r="Q518" i="7"/>
  <c r="R518" i="7"/>
  <c r="T518" i="7"/>
  <c r="U518" i="7"/>
  <c r="W518" i="7"/>
  <c r="X518" i="7"/>
  <c r="Y518" i="7"/>
  <c r="D519" i="7"/>
  <c r="E519" i="7"/>
  <c r="F519" i="7"/>
  <c r="G519" i="7"/>
  <c r="H519" i="7"/>
  <c r="I519" i="7"/>
  <c r="J519" i="7"/>
  <c r="K519" i="7"/>
  <c r="L519" i="7"/>
  <c r="M519" i="7"/>
  <c r="N519" i="7"/>
  <c r="P519" i="7"/>
  <c r="Q519" i="7"/>
  <c r="R519" i="7"/>
  <c r="T519" i="7"/>
  <c r="U519" i="7"/>
  <c r="W519" i="7"/>
  <c r="X519" i="7"/>
  <c r="Y519" i="7"/>
  <c r="D520" i="7"/>
  <c r="E520" i="7"/>
  <c r="F520" i="7"/>
  <c r="G520" i="7"/>
  <c r="H520" i="7"/>
  <c r="I520" i="7"/>
  <c r="J520" i="7"/>
  <c r="K520" i="7"/>
  <c r="L520" i="7"/>
  <c r="M520" i="7"/>
  <c r="N520" i="7"/>
  <c r="P520" i="7"/>
  <c r="Q520" i="7"/>
  <c r="R520" i="7"/>
  <c r="T520" i="7"/>
  <c r="U520" i="7"/>
  <c r="W520" i="7"/>
  <c r="X520" i="7"/>
  <c r="Y520" i="7"/>
  <c r="D521" i="7"/>
  <c r="E521" i="7"/>
  <c r="F521" i="7"/>
  <c r="G521" i="7"/>
  <c r="H521" i="7"/>
  <c r="I521" i="7"/>
  <c r="J521" i="7"/>
  <c r="K521" i="7"/>
  <c r="L521" i="7"/>
  <c r="M521" i="7"/>
  <c r="N521" i="7"/>
  <c r="P521" i="7"/>
  <c r="Q521" i="7"/>
  <c r="R521" i="7"/>
  <c r="T521" i="7"/>
  <c r="U521" i="7"/>
  <c r="W521" i="7"/>
  <c r="X521" i="7"/>
  <c r="Y521" i="7"/>
  <c r="D522" i="7"/>
  <c r="E522" i="7"/>
  <c r="F522" i="7"/>
  <c r="G522" i="7"/>
  <c r="H522" i="7"/>
  <c r="I522" i="7"/>
  <c r="J522" i="7"/>
  <c r="K522" i="7"/>
  <c r="L522" i="7"/>
  <c r="M522" i="7"/>
  <c r="N522" i="7"/>
  <c r="P522" i="7"/>
  <c r="Q522" i="7"/>
  <c r="R522" i="7"/>
  <c r="T522" i="7"/>
  <c r="U522" i="7"/>
  <c r="W522" i="7"/>
  <c r="X522" i="7"/>
  <c r="Y522" i="7"/>
  <c r="D523" i="7"/>
  <c r="E523" i="7"/>
  <c r="F523" i="7"/>
  <c r="G523" i="7"/>
  <c r="H523" i="7"/>
  <c r="I523" i="7"/>
  <c r="J523" i="7"/>
  <c r="K523" i="7"/>
  <c r="L523" i="7"/>
  <c r="M523" i="7"/>
  <c r="N523" i="7"/>
  <c r="P523" i="7"/>
  <c r="Q523" i="7"/>
  <c r="R523" i="7"/>
  <c r="S523" i="7" s="1"/>
  <c r="T523" i="7"/>
  <c r="U523" i="7"/>
  <c r="W523" i="7"/>
  <c r="X523" i="7"/>
  <c r="Y523" i="7"/>
  <c r="D524" i="7"/>
  <c r="E524" i="7"/>
  <c r="F524" i="7"/>
  <c r="G524" i="7"/>
  <c r="H524" i="7"/>
  <c r="I524" i="7"/>
  <c r="J524" i="7"/>
  <c r="K524" i="7"/>
  <c r="L524" i="7"/>
  <c r="M524" i="7"/>
  <c r="N524" i="7"/>
  <c r="P524" i="7"/>
  <c r="Q524" i="7"/>
  <c r="R524" i="7"/>
  <c r="T524" i="7"/>
  <c r="U524" i="7"/>
  <c r="W524" i="7"/>
  <c r="X524" i="7"/>
  <c r="Y524" i="7"/>
  <c r="D525" i="7"/>
  <c r="E525" i="7"/>
  <c r="F525" i="7"/>
  <c r="G525" i="7"/>
  <c r="H525" i="7"/>
  <c r="I525" i="7"/>
  <c r="J525" i="7"/>
  <c r="K525" i="7"/>
  <c r="L525" i="7"/>
  <c r="M525" i="7"/>
  <c r="N525" i="7"/>
  <c r="P525" i="7"/>
  <c r="Q525" i="7"/>
  <c r="R525" i="7"/>
  <c r="T525" i="7"/>
  <c r="U525" i="7"/>
  <c r="W525" i="7"/>
  <c r="X525" i="7"/>
  <c r="Y525" i="7"/>
  <c r="D526" i="7"/>
  <c r="E526" i="7"/>
  <c r="F526" i="7"/>
  <c r="G526" i="7"/>
  <c r="H526" i="7"/>
  <c r="I526" i="7"/>
  <c r="J526" i="7"/>
  <c r="K526" i="7"/>
  <c r="L526" i="7"/>
  <c r="M526" i="7"/>
  <c r="N526" i="7"/>
  <c r="P526" i="7"/>
  <c r="Q526" i="7"/>
  <c r="R526" i="7"/>
  <c r="T526" i="7"/>
  <c r="U526" i="7"/>
  <c r="W526" i="7"/>
  <c r="X526" i="7"/>
  <c r="Y526" i="7"/>
  <c r="D527" i="7"/>
  <c r="E527" i="7"/>
  <c r="F527" i="7"/>
  <c r="G527" i="7"/>
  <c r="H527" i="7"/>
  <c r="I527" i="7"/>
  <c r="J527" i="7"/>
  <c r="K527" i="7"/>
  <c r="L527" i="7"/>
  <c r="M527" i="7"/>
  <c r="N527" i="7"/>
  <c r="P527" i="7"/>
  <c r="Q527" i="7"/>
  <c r="R527" i="7"/>
  <c r="T527" i="7"/>
  <c r="U527" i="7"/>
  <c r="W527" i="7"/>
  <c r="X527" i="7"/>
  <c r="Y527" i="7"/>
  <c r="D528" i="7"/>
  <c r="E528" i="7"/>
  <c r="F528" i="7"/>
  <c r="G528" i="7"/>
  <c r="H528" i="7"/>
  <c r="I528" i="7"/>
  <c r="J528" i="7"/>
  <c r="K528" i="7"/>
  <c r="L528" i="7"/>
  <c r="M528" i="7"/>
  <c r="N528" i="7"/>
  <c r="P528" i="7"/>
  <c r="Q528" i="7"/>
  <c r="R528" i="7"/>
  <c r="T528" i="7"/>
  <c r="U528" i="7"/>
  <c r="W528" i="7"/>
  <c r="X528" i="7"/>
  <c r="Y528" i="7"/>
  <c r="D529" i="7"/>
  <c r="E529" i="7"/>
  <c r="F529" i="7"/>
  <c r="G529" i="7"/>
  <c r="H529" i="7"/>
  <c r="I529" i="7"/>
  <c r="J529" i="7"/>
  <c r="K529" i="7"/>
  <c r="L529" i="7"/>
  <c r="M529" i="7"/>
  <c r="N529" i="7"/>
  <c r="P529" i="7"/>
  <c r="Q529" i="7"/>
  <c r="R529" i="7"/>
  <c r="T529" i="7"/>
  <c r="U529" i="7"/>
  <c r="W529" i="7"/>
  <c r="X529" i="7"/>
  <c r="Y529" i="7"/>
  <c r="D530" i="7"/>
  <c r="E530" i="7"/>
  <c r="F530" i="7"/>
  <c r="G530" i="7"/>
  <c r="H530" i="7"/>
  <c r="I530" i="7"/>
  <c r="J530" i="7"/>
  <c r="K530" i="7"/>
  <c r="L530" i="7"/>
  <c r="M530" i="7"/>
  <c r="N530" i="7"/>
  <c r="P530" i="7"/>
  <c r="Q530" i="7"/>
  <c r="R530" i="7"/>
  <c r="T530" i="7"/>
  <c r="U530" i="7"/>
  <c r="W530" i="7"/>
  <c r="X530" i="7"/>
  <c r="Y530" i="7"/>
  <c r="D531" i="7"/>
  <c r="E531" i="7"/>
  <c r="F531" i="7"/>
  <c r="G531" i="7"/>
  <c r="H531" i="7"/>
  <c r="I531" i="7"/>
  <c r="J531" i="7"/>
  <c r="K531" i="7"/>
  <c r="L531" i="7"/>
  <c r="M531" i="7"/>
  <c r="N531" i="7"/>
  <c r="P531" i="7"/>
  <c r="Q531" i="7"/>
  <c r="R531" i="7"/>
  <c r="T531" i="7"/>
  <c r="U531" i="7"/>
  <c r="W531" i="7"/>
  <c r="X531" i="7"/>
  <c r="Y531" i="7"/>
  <c r="D532" i="7"/>
  <c r="E532" i="7"/>
  <c r="F532" i="7"/>
  <c r="G532" i="7"/>
  <c r="H532" i="7"/>
  <c r="I532" i="7"/>
  <c r="J532" i="7"/>
  <c r="K532" i="7"/>
  <c r="L532" i="7"/>
  <c r="M532" i="7"/>
  <c r="N532" i="7"/>
  <c r="P532" i="7"/>
  <c r="Q532" i="7"/>
  <c r="R532" i="7"/>
  <c r="T532" i="7"/>
  <c r="U532" i="7"/>
  <c r="W532" i="7"/>
  <c r="X532" i="7"/>
  <c r="Y532" i="7"/>
  <c r="D533" i="7"/>
  <c r="E533" i="7"/>
  <c r="F533" i="7"/>
  <c r="G533" i="7"/>
  <c r="H533" i="7"/>
  <c r="I533" i="7"/>
  <c r="J533" i="7"/>
  <c r="K533" i="7"/>
  <c r="L533" i="7"/>
  <c r="M533" i="7"/>
  <c r="N533" i="7"/>
  <c r="P533" i="7"/>
  <c r="Q533" i="7"/>
  <c r="R533" i="7"/>
  <c r="T533" i="7"/>
  <c r="U533" i="7"/>
  <c r="W533" i="7"/>
  <c r="X533" i="7"/>
  <c r="Y533" i="7"/>
  <c r="D534" i="7"/>
  <c r="E534" i="7"/>
  <c r="F534" i="7"/>
  <c r="G534" i="7"/>
  <c r="H534" i="7"/>
  <c r="I534" i="7"/>
  <c r="J534" i="7"/>
  <c r="K534" i="7"/>
  <c r="L534" i="7"/>
  <c r="M534" i="7"/>
  <c r="N534" i="7"/>
  <c r="P534" i="7"/>
  <c r="Q534" i="7"/>
  <c r="R534" i="7"/>
  <c r="T534" i="7"/>
  <c r="U534" i="7"/>
  <c r="W534" i="7"/>
  <c r="X534" i="7"/>
  <c r="Y534" i="7"/>
  <c r="D535" i="7"/>
  <c r="E535" i="7"/>
  <c r="F535" i="7"/>
  <c r="G535" i="7"/>
  <c r="H535" i="7"/>
  <c r="I535" i="7"/>
  <c r="J535" i="7"/>
  <c r="K535" i="7"/>
  <c r="L535" i="7"/>
  <c r="M535" i="7"/>
  <c r="N535" i="7"/>
  <c r="P535" i="7"/>
  <c r="Q535" i="7"/>
  <c r="R535" i="7"/>
  <c r="T535" i="7"/>
  <c r="U535" i="7"/>
  <c r="W535" i="7"/>
  <c r="X535" i="7"/>
  <c r="Y535" i="7"/>
  <c r="D536" i="7"/>
  <c r="E536" i="7"/>
  <c r="F536" i="7"/>
  <c r="G536" i="7"/>
  <c r="H536" i="7"/>
  <c r="I536" i="7"/>
  <c r="J536" i="7"/>
  <c r="K536" i="7"/>
  <c r="L536" i="7"/>
  <c r="M536" i="7"/>
  <c r="N536" i="7"/>
  <c r="P536" i="7"/>
  <c r="Q536" i="7"/>
  <c r="R536" i="7"/>
  <c r="T536" i="7"/>
  <c r="U536" i="7"/>
  <c r="W536" i="7"/>
  <c r="X536" i="7"/>
  <c r="Y536" i="7"/>
  <c r="D537" i="7"/>
  <c r="E537" i="7"/>
  <c r="F537" i="7"/>
  <c r="G537" i="7"/>
  <c r="H537" i="7"/>
  <c r="I537" i="7"/>
  <c r="J537" i="7"/>
  <c r="K537" i="7"/>
  <c r="L537" i="7"/>
  <c r="M537" i="7"/>
  <c r="N537" i="7"/>
  <c r="P537" i="7"/>
  <c r="Q537" i="7"/>
  <c r="R537" i="7"/>
  <c r="T537" i="7"/>
  <c r="U537" i="7"/>
  <c r="W537" i="7"/>
  <c r="X537" i="7"/>
  <c r="Y537" i="7"/>
  <c r="D538" i="7"/>
  <c r="E538" i="7"/>
  <c r="F538" i="7"/>
  <c r="G538" i="7"/>
  <c r="H538" i="7"/>
  <c r="I538" i="7"/>
  <c r="J538" i="7"/>
  <c r="K538" i="7"/>
  <c r="L538" i="7"/>
  <c r="M538" i="7"/>
  <c r="N538" i="7"/>
  <c r="P538" i="7"/>
  <c r="Q538" i="7"/>
  <c r="R538" i="7"/>
  <c r="T538" i="7"/>
  <c r="U538" i="7"/>
  <c r="W538" i="7"/>
  <c r="X538" i="7"/>
  <c r="Y538" i="7"/>
  <c r="D539" i="7"/>
  <c r="E539" i="7"/>
  <c r="F539" i="7"/>
  <c r="G539" i="7"/>
  <c r="H539" i="7"/>
  <c r="I539" i="7"/>
  <c r="J539" i="7"/>
  <c r="K539" i="7"/>
  <c r="L539" i="7"/>
  <c r="M539" i="7"/>
  <c r="N539" i="7"/>
  <c r="P539" i="7"/>
  <c r="Q539" i="7"/>
  <c r="R539" i="7"/>
  <c r="T539" i="7"/>
  <c r="U539" i="7"/>
  <c r="W539" i="7"/>
  <c r="X539" i="7"/>
  <c r="Y539" i="7"/>
  <c r="D540" i="7"/>
  <c r="E540" i="7"/>
  <c r="F540" i="7"/>
  <c r="G540" i="7"/>
  <c r="H540" i="7"/>
  <c r="I540" i="7"/>
  <c r="J540" i="7"/>
  <c r="K540" i="7"/>
  <c r="L540" i="7"/>
  <c r="M540" i="7"/>
  <c r="N540" i="7"/>
  <c r="P540" i="7"/>
  <c r="Q540" i="7"/>
  <c r="R540" i="7"/>
  <c r="T540" i="7"/>
  <c r="U540" i="7"/>
  <c r="W540" i="7"/>
  <c r="X540" i="7"/>
  <c r="Y540" i="7"/>
  <c r="D541" i="7"/>
  <c r="E541" i="7"/>
  <c r="F541" i="7"/>
  <c r="G541" i="7"/>
  <c r="H541" i="7"/>
  <c r="I541" i="7"/>
  <c r="J541" i="7"/>
  <c r="K541" i="7"/>
  <c r="L541" i="7"/>
  <c r="M541" i="7"/>
  <c r="N541" i="7"/>
  <c r="P541" i="7"/>
  <c r="Q541" i="7"/>
  <c r="R541" i="7"/>
  <c r="T541" i="7"/>
  <c r="U541" i="7"/>
  <c r="W541" i="7"/>
  <c r="X541" i="7"/>
  <c r="Y541" i="7"/>
  <c r="D542" i="7"/>
  <c r="E542" i="7"/>
  <c r="F542" i="7"/>
  <c r="G542" i="7"/>
  <c r="H542" i="7"/>
  <c r="I542" i="7"/>
  <c r="J542" i="7"/>
  <c r="K542" i="7"/>
  <c r="L542" i="7"/>
  <c r="M542" i="7"/>
  <c r="N542" i="7"/>
  <c r="P542" i="7"/>
  <c r="Q542" i="7"/>
  <c r="R542" i="7"/>
  <c r="T542" i="7"/>
  <c r="U542" i="7"/>
  <c r="V542" i="7" s="1"/>
  <c r="W542" i="7"/>
  <c r="X542" i="7"/>
  <c r="Y542" i="7"/>
  <c r="D543" i="7"/>
  <c r="E543" i="7"/>
  <c r="F543" i="7"/>
  <c r="G543" i="7"/>
  <c r="H543" i="7"/>
  <c r="I543" i="7"/>
  <c r="J543" i="7"/>
  <c r="K543" i="7"/>
  <c r="L543" i="7"/>
  <c r="M543" i="7"/>
  <c r="N543" i="7"/>
  <c r="P543" i="7"/>
  <c r="Q543" i="7"/>
  <c r="R543" i="7"/>
  <c r="T543" i="7"/>
  <c r="U543" i="7"/>
  <c r="W543" i="7"/>
  <c r="X543" i="7"/>
  <c r="Y543" i="7"/>
  <c r="D544" i="7"/>
  <c r="E544" i="7"/>
  <c r="F544" i="7"/>
  <c r="G544" i="7"/>
  <c r="H544" i="7"/>
  <c r="I544" i="7"/>
  <c r="J544" i="7"/>
  <c r="K544" i="7"/>
  <c r="L544" i="7"/>
  <c r="M544" i="7"/>
  <c r="N544" i="7"/>
  <c r="P544" i="7"/>
  <c r="Q544" i="7"/>
  <c r="R544" i="7"/>
  <c r="T544" i="7"/>
  <c r="U544" i="7"/>
  <c r="W544" i="7"/>
  <c r="X544" i="7"/>
  <c r="Y544" i="7"/>
  <c r="D545" i="7"/>
  <c r="E545" i="7"/>
  <c r="F545" i="7"/>
  <c r="G545" i="7"/>
  <c r="H545" i="7"/>
  <c r="I545" i="7"/>
  <c r="J545" i="7"/>
  <c r="K545" i="7"/>
  <c r="L545" i="7"/>
  <c r="M545" i="7"/>
  <c r="N545" i="7"/>
  <c r="P545" i="7"/>
  <c r="Q545" i="7"/>
  <c r="R545" i="7"/>
  <c r="T545" i="7"/>
  <c r="U545" i="7"/>
  <c r="W545" i="7"/>
  <c r="X545" i="7"/>
  <c r="Y545" i="7"/>
  <c r="D546" i="7"/>
  <c r="E546" i="7"/>
  <c r="F546" i="7"/>
  <c r="G546" i="7"/>
  <c r="H546" i="7"/>
  <c r="I546" i="7"/>
  <c r="J546" i="7"/>
  <c r="K546" i="7"/>
  <c r="L546" i="7"/>
  <c r="M546" i="7"/>
  <c r="N546" i="7"/>
  <c r="P546" i="7"/>
  <c r="Q546" i="7"/>
  <c r="R546" i="7"/>
  <c r="T546" i="7"/>
  <c r="U546" i="7"/>
  <c r="W546" i="7"/>
  <c r="X546" i="7"/>
  <c r="Y546" i="7"/>
  <c r="D547" i="7"/>
  <c r="E547" i="7"/>
  <c r="F547" i="7"/>
  <c r="G547" i="7"/>
  <c r="H547" i="7"/>
  <c r="I547" i="7"/>
  <c r="J547" i="7"/>
  <c r="K547" i="7"/>
  <c r="L547" i="7"/>
  <c r="M547" i="7"/>
  <c r="N547" i="7"/>
  <c r="P547" i="7"/>
  <c r="Q547" i="7"/>
  <c r="R547" i="7"/>
  <c r="T547" i="7"/>
  <c r="U547" i="7"/>
  <c r="V547" i="7" s="1"/>
  <c r="W547" i="7"/>
  <c r="X547" i="7"/>
  <c r="Y547" i="7"/>
  <c r="D548" i="7"/>
  <c r="E548" i="7"/>
  <c r="F548" i="7"/>
  <c r="G548" i="7"/>
  <c r="H548" i="7"/>
  <c r="I548" i="7"/>
  <c r="J548" i="7"/>
  <c r="K548" i="7"/>
  <c r="L548" i="7"/>
  <c r="M548" i="7"/>
  <c r="N548" i="7"/>
  <c r="P548" i="7"/>
  <c r="Q548" i="7"/>
  <c r="R548" i="7"/>
  <c r="T548" i="7"/>
  <c r="U548" i="7"/>
  <c r="W548" i="7"/>
  <c r="X548" i="7"/>
  <c r="Y548" i="7"/>
  <c r="D549" i="7"/>
  <c r="E549" i="7"/>
  <c r="F549" i="7"/>
  <c r="G549" i="7"/>
  <c r="H549" i="7"/>
  <c r="I549" i="7"/>
  <c r="J549" i="7"/>
  <c r="K549" i="7"/>
  <c r="L549" i="7"/>
  <c r="M549" i="7"/>
  <c r="N549" i="7"/>
  <c r="P549" i="7"/>
  <c r="Q549" i="7"/>
  <c r="R549" i="7"/>
  <c r="T549" i="7"/>
  <c r="U549" i="7"/>
  <c r="W549" i="7"/>
  <c r="X549" i="7"/>
  <c r="Y549" i="7"/>
  <c r="D550" i="7"/>
  <c r="E550" i="7"/>
  <c r="F550" i="7"/>
  <c r="G550" i="7"/>
  <c r="H550" i="7"/>
  <c r="I550" i="7"/>
  <c r="J550" i="7"/>
  <c r="K550" i="7"/>
  <c r="L550" i="7"/>
  <c r="M550" i="7"/>
  <c r="N550" i="7"/>
  <c r="P550" i="7"/>
  <c r="Q550" i="7"/>
  <c r="R550" i="7"/>
  <c r="T550" i="7"/>
  <c r="U550" i="7"/>
  <c r="W550" i="7"/>
  <c r="X550" i="7"/>
  <c r="Y550" i="7"/>
  <c r="D551" i="7"/>
  <c r="E551" i="7"/>
  <c r="F551" i="7"/>
  <c r="G551" i="7"/>
  <c r="H551" i="7"/>
  <c r="I551" i="7"/>
  <c r="J551" i="7"/>
  <c r="K551" i="7"/>
  <c r="L551" i="7"/>
  <c r="M551" i="7"/>
  <c r="N551" i="7"/>
  <c r="P551" i="7"/>
  <c r="Q551" i="7"/>
  <c r="R551" i="7"/>
  <c r="T551" i="7"/>
  <c r="U551" i="7"/>
  <c r="W551" i="7"/>
  <c r="X551" i="7"/>
  <c r="Y551" i="7"/>
  <c r="D552" i="7"/>
  <c r="E552" i="7"/>
  <c r="F552" i="7"/>
  <c r="G552" i="7"/>
  <c r="H552" i="7"/>
  <c r="I552" i="7"/>
  <c r="J552" i="7"/>
  <c r="K552" i="7"/>
  <c r="L552" i="7"/>
  <c r="M552" i="7"/>
  <c r="N552" i="7"/>
  <c r="P552" i="7"/>
  <c r="Q552" i="7"/>
  <c r="R552" i="7"/>
  <c r="S552" i="7" s="1"/>
  <c r="T552" i="7"/>
  <c r="U552" i="7"/>
  <c r="W552" i="7"/>
  <c r="X552" i="7"/>
  <c r="Y552" i="7"/>
  <c r="D553" i="7"/>
  <c r="E553" i="7"/>
  <c r="F553" i="7"/>
  <c r="G553" i="7"/>
  <c r="H553" i="7"/>
  <c r="I553" i="7"/>
  <c r="J553" i="7"/>
  <c r="K553" i="7"/>
  <c r="L553" i="7"/>
  <c r="M553" i="7"/>
  <c r="N553" i="7"/>
  <c r="P553" i="7"/>
  <c r="Q553" i="7"/>
  <c r="R553" i="7"/>
  <c r="T553" i="7"/>
  <c r="U553" i="7"/>
  <c r="W553" i="7"/>
  <c r="X553" i="7"/>
  <c r="Y553" i="7"/>
  <c r="D554" i="7"/>
  <c r="E554" i="7"/>
  <c r="F554" i="7"/>
  <c r="G554" i="7"/>
  <c r="H554" i="7"/>
  <c r="I554" i="7"/>
  <c r="J554" i="7"/>
  <c r="K554" i="7"/>
  <c r="L554" i="7"/>
  <c r="M554" i="7"/>
  <c r="N554" i="7"/>
  <c r="P554" i="7"/>
  <c r="Q554" i="7"/>
  <c r="R554" i="7"/>
  <c r="T554" i="7"/>
  <c r="U554" i="7"/>
  <c r="W554" i="7"/>
  <c r="X554" i="7"/>
  <c r="Y554" i="7"/>
  <c r="D555" i="7"/>
  <c r="E555" i="7"/>
  <c r="F555" i="7"/>
  <c r="G555" i="7"/>
  <c r="H555" i="7"/>
  <c r="I555" i="7"/>
  <c r="J555" i="7"/>
  <c r="K555" i="7"/>
  <c r="L555" i="7"/>
  <c r="M555" i="7"/>
  <c r="N555" i="7"/>
  <c r="P555" i="7"/>
  <c r="Q555" i="7"/>
  <c r="R555" i="7"/>
  <c r="T555" i="7"/>
  <c r="U555" i="7"/>
  <c r="W555" i="7"/>
  <c r="X555" i="7"/>
  <c r="Y555" i="7"/>
  <c r="D556" i="7"/>
  <c r="E556" i="7"/>
  <c r="F556" i="7"/>
  <c r="G556" i="7"/>
  <c r="H556" i="7"/>
  <c r="I556" i="7"/>
  <c r="J556" i="7"/>
  <c r="K556" i="7"/>
  <c r="L556" i="7"/>
  <c r="M556" i="7"/>
  <c r="N556" i="7"/>
  <c r="P556" i="7"/>
  <c r="Q556" i="7"/>
  <c r="R556" i="7"/>
  <c r="T556" i="7"/>
  <c r="U556" i="7"/>
  <c r="W556" i="7"/>
  <c r="X556" i="7"/>
  <c r="Y556" i="7"/>
  <c r="D557" i="7"/>
  <c r="E557" i="7"/>
  <c r="F557" i="7"/>
  <c r="G557" i="7"/>
  <c r="H557" i="7"/>
  <c r="I557" i="7"/>
  <c r="J557" i="7"/>
  <c r="K557" i="7"/>
  <c r="L557" i="7"/>
  <c r="M557" i="7"/>
  <c r="N557" i="7"/>
  <c r="P557" i="7"/>
  <c r="Q557" i="7"/>
  <c r="R557" i="7"/>
  <c r="T557" i="7"/>
  <c r="U557" i="7"/>
  <c r="W557" i="7"/>
  <c r="X557" i="7"/>
  <c r="Y557" i="7"/>
  <c r="D558" i="7"/>
  <c r="E558" i="7"/>
  <c r="F558" i="7"/>
  <c r="G558" i="7"/>
  <c r="H558" i="7"/>
  <c r="I558" i="7"/>
  <c r="J558" i="7"/>
  <c r="K558" i="7"/>
  <c r="L558" i="7"/>
  <c r="M558" i="7"/>
  <c r="N558" i="7"/>
  <c r="P558" i="7"/>
  <c r="Q558" i="7"/>
  <c r="R558" i="7"/>
  <c r="T558" i="7"/>
  <c r="U558" i="7"/>
  <c r="W558" i="7"/>
  <c r="X558" i="7"/>
  <c r="Y558" i="7"/>
  <c r="D559" i="7"/>
  <c r="E559" i="7"/>
  <c r="F559" i="7"/>
  <c r="G559" i="7"/>
  <c r="H559" i="7"/>
  <c r="I559" i="7"/>
  <c r="J559" i="7"/>
  <c r="K559" i="7"/>
  <c r="L559" i="7"/>
  <c r="M559" i="7"/>
  <c r="N559" i="7"/>
  <c r="P559" i="7"/>
  <c r="Q559" i="7"/>
  <c r="R559" i="7"/>
  <c r="T559" i="7"/>
  <c r="U559" i="7"/>
  <c r="W559" i="7"/>
  <c r="X559" i="7"/>
  <c r="Y559" i="7"/>
  <c r="D560" i="7"/>
  <c r="E560" i="7"/>
  <c r="F560" i="7"/>
  <c r="G560" i="7"/>
  <c r="H560" i="7"/>
  <c r="I560" i="7"/>
  <c r="J560" i="7"/>
  <c r="K560" i="7"/>
  <c r="L560" i="7"/>
  <c r="M560" i="7"/>
  <c r="N560" i="7"/>
  <c r="P560" i="7"/>
  <c r="Q560" i="7"/>
  <c r="R560" i="7"/>
  <c r="T560" i="7"/>
  <c r="U560" i="7"/>
  <c r="W560" i="7"/>
  <c r="X560" i="7"/>
  <c r="Y560" i="7"/>
  <c r="D561" i="7"/>
  <c r="E561" i="7"/>
  <c r="F561" i="7"/>
  <c r="G561" i="7"/>
  <c r="H561" i="7"/>
  <c r="I561" i="7"/>
  <c r="J561" i="7"/>
  <c r="K561" i="7"/>
  <c r="L561" i="7"/>
  <c r="M561" i="7"/>
  <c r="N561" i="7"/>
  <c r="P561" i="7"/>
  <c r="Q561" i="7"/>
  <c r="R561" i="7"/>
  <c r="T561" i="7"/>
  <c r="U561" i="7"/>
  <c r="W561" i="7"/>
  <c r="X561" i="7"/>
  <c r="Y561" i="7"/>
  <c r="D562" i="7"/>
  <c r="E562" i="7"/>
  <c r="F562" i="7"/>
  <c r="G562" i="7"/>
  <c r="H562" i="7"/>
  <c r="I562" i="7"/>
  <c r="J562" i="7"/>
  <c r="K562" i="7"/>
  <c r="L562" i="7"/>
  <c r="M562" i="7"/>
  <c r="N562" i="7"/>
  <c r="P562" i="7"/>
  <c r="Q562" i="7"/>
  <c r="R562" i="7"/>
  <c r="T562" i="7"/>
  <c r="U562" i="7"/>
  <c r="W562" i="7"/>
  <c r="X562" i="7"/>
  <c r="Y562" i="7"/>
  <c r="D563" i="7"/>
  <c r="E563" i="7"/>
  <c r="F563" i="7"/>
  <c r="G563" i="7"/>
  <c r="H563" i="7"/>
  <c r="I563" i="7"/>
  <c r="J563" i="7"/>
  <c r="K563" i="7"/>
  <c r="L563" i="7"/>
  <c r="M563" i="7"/>
  <c r="N563" i="7"/>
  <c r="P563" i="7"/>
  <c r="Q563" i="7"/>
  <c r="R563" i="7"/>
  <c r="T563" i="7"/>
  <c r="U563" i="7"/>
  <c r="W563" i="7"/>
  <c r="X563" i="7"/>
  <c r="Y563" i="7"/>
  <c r="D564" i="7"/>
  <c r="E564" i="7"/>
  <c r="F564" i="7"/>
  <c r="G564" i="7"/>
  <c r="H564" i="7"/>
  <c r="I564" i="7"/>
  <c r="J564" i="7"/>
  <c r="K564" i="7"/>
  <c r="L564" i="7"/>
  <c r="M564" i="7"/>
  <c r="N564" i="7"/>
  <c r="P564" i="7"/>
  <c r="Q564" i="7"/>
  <c r="R564" i="7"/>
  <c r="T564" i="7"/>
  <c r="U564" i="7"/>
  <c r="W564" i="7"/>
  <c r="X564" i="7"/>
  <c r="Y564" i="7"/>
  <c r="D565" i="7"/>
  <c r="E565" i="7"/>
  <c r="F565" i="7"/>
  <c r="G565" i="7"/>
  <c r="H565" i="7"/>
  <c r="I565" i="7"/>
  <c r="J565" i="7"/>
  <c r="K565" i="7"/>
  <c r="L565" i="7"/>
  <c r="M565" i="7"/>
  <c r="N565" i="7"/>
  <c r="P565" i="7"/>
  <c r="Q565" i="7"/>
  <c r="R565" i="7"/>
  <c r="T565" i="7"/>
  <c r="U565" i="7"/>
  <c r="W565" i="7"/>
  <c r="X565" i="7"/>
  <c r="Y565" i="7"/>
  <c r="D566" i="7"/>
  <c r="E566" i="7"/>
  <c r="F566" i="7"/>
  <c r="G566" i="7"/>
  <c r="H566" i="7"/>
  <c r="I566" i="7"/>
  <c r="J566" i="7"/>
  <c r="K566" i="7"/>
  <c r="L566" i="7"/>
  <c r="M566" i="7"/>
  <c r="N566" i="7"/>
  <c r="P566" i="7"/>
  <c r="Q566" i="7"/>
  <c r="R566" i="7"/>
  <c r="T566" i="7"/>
  <c r="U566" i="7"/>
  <c r="W566" i="7"/>
  <c r="X566" i="7"/>
  <c r="Y566" i="7"/>
  <c r="D567" i="7"/>
  <c r="E567" i="7"/>
  <c r="F567" i="7"/>
  <c r="G567" i="7"/>
  <c r="H567" i="7"/>
  <c r="I567" i="7"/>
  <c r="J567" i="7"/>
  <c r="K567" i="7"/>
  <c r="L567" i="7"/>
  <c r="M567" i="7"/>
  <c r="N567" i="7"/>
  <c r="P567" i="7"/>
  <c r="Q567" i="7"/>
  <c r="R567" i="7"/>
  <c r="T567" i="7"/>
  <c r="U567" i="7"/>
  <c r="W567" i="7"/>
  <c r="X567" i="7"/>
  <c r="Y567" i="7"/>
  <c r="D568" i="7"/>
  <c r="E568" i="7"/>
  <c r="F568" i="7"/>
  <c r="G568" i="7"/>
  <c r="H568" i="7"/>
  <c r="I568" i="7"/>
  <c r="J568" i="7"/>
  <c r="K568" i="7"/>
  <c r="L568" i="7"/>
  <c r="M568" i="7"/>
  <c r="N568" i="7"/>
  <c r="P568" i="7"/>
  <c r="Q568" i="7"/>
  <c r="R568" i="7"/>
  <c r="T568" i="7"/>
  <c r="U568" i="7"/>
  <c r="W568" i="7"/>
  <c r="X568" i="7"/>
  <c r="Y568" i="7"/>
  <c r="D569" i="7"/>
  <c r="E569" i="7"/>
  <c r="F569" i="7"/>
  <c r="G569" i="7"/>
  <c r="H569" i="7"/>
  <c r="I569" i="7"/>
  <c r="J569" i="7"/>
  <c r="K569" i="7"/>
  <c r="L569" i="7"/>
  <c r="M569" i="7"/>
  <c r="N569" i="7"/>
  <c r="P569" i="7"/>
  <c r="Q569" i="7"/>
  <c r="R569" i="7"/>
  <c r="T569" i="7"/>
  <c r="U569" i="7"/>
  <c r="W569" i="7"/>
  <c r="X569" i="7"/>
  <c r="Y569" i="7"/>
  <c r="D570" i="7"/>
  <c r="E570" i="7"/>
  <c r="F570" i="7"/>
  <c r="G570" i="7"/>
  <c r="H570" i="7"/>
  <c r="I570" i="7"/>
  <c r="J570" i="7"/>
  <c r="K570" i="7"/>
  <c r="L570" i="7"/>
  <c r="M570" i="7"/>
  <c r="N570" i="7"/>
  <c r="P570" i="7"/>
  <c r="Q570" i="7"/>
  <c r="R570" i="7"/>
  <c r="T570" i="7"/>
  <c r="U570" i="7"/>
  <c r="W570" i="7"/>
  <c r="X570" i="7"/>
  <c r="Y570" i="7"/>
  <c r="D571" i="7"/>
  <c r="E571" i="7"/>
  <c r="F571" i="7"/>
  <c r="G571" i="7"/>
  <c r="H571" i="7"/>
  <c r="I571" i="7"/>
  <c r="J571" i="7"/>
  <c r="K571" i="7"/>
  <c r="L571" i="7"/>
  <c r="M571" i="7"/>
  <c r="N571" i="7"/>
  <c r="P571" i="7"/>
  <c r="Q571" i="7"/>
  <c r="R571" i="7"/>
  <c r="T571" i="7"/>
  <c r="U571" i="7"/>
  <c r="W571" i="7"/>
  <c r="X571" i="7"/>
  <c r="Y571" i="7"/>
  <c r="D572" i="7"/>
  <c r="E572" i="7"/>
  <c r="F572" i="7"/>
  <c r="G572" i="7"/>
  <c r="H572" i="7"/>
  <c r="I572" i="7"/>
  <c r="J572" i="7"/>
  <c r="K572" i="7"/>
  <c r="L572" i="7"/>
  <c r="M572" i="7"/>
  <c r="N572" i="7"/>
  <c r="P572" i="7"/>
  <c r="Q572" i="7"/>
  <c r="R572" i="7"/>
  <c r="T572" i="7"/>
  <c r="U572" i="7"/>
  <c r="W572" i="7"/>
  <c r="X572" i="7"/>
  <c r="Y572" i="7"/>
  <c r="D573" i="7"/>
  <c r="E573" i="7"/>
  <c r="F573" i="7"/>
  <c r="G573" i="7"/>
  <c r="H573" i="7"/>
  <c r="I573" i="7"/>
  <c r="J573" i="7"/>
  <c r="K573" i="7"/>
  <c r="L573" i="7"/>
  <c r="M573" i="7"/>
  <c r="N573" i="7"/>
  <c r="P573" i="7"/>
  <c r="Q573" i="7"/>
  <c r="R573" i="7"/>
  <c r="T573" i="7"/>
  <c r="U573" i="7"/>
  <c r="W573" i="7"/>
  <c r="X573" i="7"/>
  <c r="Y573" i="7"/>
  <c r="D574" i="7"/>
  <c r="E574" i="7"/>
  <c r="F574" i="7"/>
  <c r="G574" i="7"/>
  <c r="H574" i="7"/>
  <c r="I574" i="7"/>
  <c r="J574" i="7"/>
  <c r="K574" i="7"/>
  <c r="L574" i="7"/>
  <c r="M574" i="7"/>
  <c r="N574" i="7"/>
  <c r="P574" i="7"/>
  <c r="Q574" i="7"/>
  <c r="R574" i="7"/>
  <c r="T574" i="7"/>
  <c r="U574" i="7"/>
  <c r="W574" i="7"/>
  <c r="X574" i="7"/>
  <c r="Y574" i="7"/>
  <c r="D575" i="7"/>
  <c r="E575" i="7"/>
  <c r="F575" i="7"/>
  <c r="G575" i="7"/>
  <c r="H575" i="7"/>
  <c r="I575" i="7"/>
  <c r="J575" i="7"/>
  <c r="K575" i="7"/>
  <c r="L575" i="7"/>
  <c r="M575" i="7"/>
  <c r="N575" i="7"/>
  <c r="P575" i="7"/>
  <c r="Q575" i="7"/>
  <c r="R575" i="7"/>
  <c r="S575" i="7" s="1"/>
  <c r="T575" i="7"/>
  <c r="U575" i="7"/>
  <c r="W575" i="7"/>
  <c r="X575" i="7"/>
  <c r="Y575" i="7"/>
  <c r="D576" i="7"/>
  <c r="E576" i="7"/>
  <c r="F576" i="7"/>
  <c r="G576" i="7"/>
  <c r="H576" i="7"/>
  <c r="I576" i="7"/>
  <c r="J576" i="7"/>
  <c r="K576" i="7"/>
  <c r="L576" i="7"/>
  <c r="M576" i="7"/>
  <c r="N576" i="7"/>
  <c r="P576" i="7"/>
  <c r="Q576" i="7"/>
  <c r="R576" i="7"/>
  <c r="T576" i="7"/>
  <c r="U576" i="7"/>
  <c r="W576" i="7"/>
  <c r="X576" i="7"/>
  <c r="Y576" i="7"/>
  <c r="D577" i="7"/>
  <c r="E577" i="7"/>
  <c r="F577" i="7"/>
  <c r="G577" i="7"/>
  <c r="H577" i="7"/>
  <c r="I577" i="7"/>
  <c r="J577" i="7"/>
  <c r="K577" i="7"/>
  <c r="L577" i="7"/>
  <c r="M577" i="7"/>
  <c r="N577" i="7"/>
  <c r="P577" i="7"/>
  <c r="Q577" i="7"/>
  <c r="R577" i="7"/>
  <c r="T577" i="7"/>
  <c r="U577" i="7"/>
  <c r="W577" i="7"/>
  <c r="X577" i="7"/>
  <c r="Y577" i="7"/>
  <c r="D578" i="7"/>
  <c r="E578" i="7"/>
  <c r="F578" i="7"/>
  <c r="G578" i="7"/>
  <c r="H578" i="7"/>
  <c r="I578" i="7"/>
  <c r="J578" i="7"/>
  <c r="K578" i="7"/>
  <c r="L578" i="7"/>
  <c r="M578" i="7"/>
  <c r="N578" i="7"/>
  <c r="P578" i="7"/>
  <c r="Q578" i="7"/>
  <c r="R578" i="7"/>
  <c r="T578" i="7"/>
  <c r="U578" i="7"/>
  <c r="W578" i="7"/>
  <c r="X578" i="7"/>
  <c r="Y578" i="7"/>
  <c r="D579" i="7"/>
  <c r="E579" i="7"/>
  <c r="F579" i="7"/>
  <c r="G579" i="7"/>
  <c r="H579" i="7"/>
  <c r="I579" i="7"/>
  <c r="J579" i="7"/>
  <c r="K579" i="7"/>
  <c r="L579" i="7"/>
  <c r="M579" i="7"/>
  <c r="N579" i="7"/>
  <c r="P579" i="7"/>
  <c r="Q579" i="7"/>
  <c r="R579" i="7"/>
  <c r="T579" i="7"/>
  <c r="U579" i="7"/>
  <c r="W579" i="7"/>
  <c r="X579" i="7"/>
  <c r="Y579" i="7"/>
  <c r="D580" i="7"/>
  <c r="E580" i="7"/>
  <c r="F580" i="7"/>
  <c r="G580" i="7"/>
  <c r="H580" i="7"/>
  <c r="I580" i="7"/>
  <c r="J580" i="7"/>
  <c r="K580" i="7"/>
  <c r="L580" i="7"/>
  <c r="M580" i="7"/>
  <c r="N580" i="7"/>
  <c r="P580" i="7"/>
  <c r="Q580" i="7"/>
  <c r="R580" i="7"/>
  <c r="T580" i="7"/>
  <c r="U580" i="7"/>
  <c r="W580" i="7"/>
  <c r="X580" i="7"/>
  <c r="Y580" i="7"/>
  <c r="D581" i="7"/>
  <c r="E581" i="7"/>
  <c r="F581" i="7"/>
  <c r="G581" i="7"/>
  <c r="H581" i="7"/>
  <c r="I581" i="7"/>
  <c r="J581" i="7"/>
  <c r="K581" i="7"/>
  <c r="L581" i="7"/>
  <c r="M581" i="7"/>
  <c r="N581" i="7"/>
  <c r="P581" i="7"/>
  <c r="Q581" i="7"/>
  <c r="R581" i="7"/>
  <c r="T581" i="7"/>
  <c r="U581" i="7"/>
  <c r="W581" i="7"/>
  <c r="X581" i="7"/>
  <c r="Y581" i="7"/>
  <c r="D582" i="7"/>
  <c r="E582" i="7"/>
  <c r="F582" i="7"/>
  <c r="G582" i="7"/>
  <c r="H582" i="7"/>
  <c r="I582" i="7"/>
  <c r="J582" i="7"/>
  <c r="K582" i="7"/>
  <c r="L582" i="7"/>
  <c r="M582" i="7"/>
  <c r="N582" i="7"/>
  <c r="P582" i="7"/>
  <c r="Q582" i="7"/>
  <c r="R582" i="7"/>
  <c r="T582" i="7"/>
  <c r="U582" i="7"/>
  <c r="W582" i="7"/>
  <c r="X582" i="7"/>
  <c r="Y582" i="7"/>
  <c r="D583" i="7"/>
  <c r="E583" i="7"/>
  <c r="F583" i="7"/>
  <c r="G583" i="7"/>
  <c r="H583" i="7"/>
  <c r="I583" i="7"/>
  <c r="J583" i="7"/>
  <c r="K583" i="7"/>
  <c r="L583" i="7"/>
  <c r="M583" i="7"/>
  <c r="N583" i="7"/>
  <c r="P583" i="7"/>
  <c r="Q583" i="7"/>
  <c r="R583" i="7"/>
  <c r="T583" i="7"/>
  <c r="U583" i="7"/>
  <c r="W583" i="7"/>
  <c r="X583" i="7"/>
  <c r="Y583" i="7"/>
  <c r="D584" i="7"/>
  <c r="E584" i="7"/>
  <c r="F584" i="7"/>
  <c r="G584" i="7"/>
  <c r="H584" i="7"/>
  <c r="I584" i="7"/>
  <c r="J584" i="7"/>
  <c r="K584" i="7"/>
  <c r="L584" i="7"/>
  <c r="M584" i="7"/>
  <c r="N584" i="7"/>
  <c r="P584" i="7"/>
  <c r="Q584" i="7"/>
  <c r="R584" i="7"/>
  <c r="T584" i="7"/>
  <c r="U584" i="7"/>
  <c r="W584" i="7"/>
  <c r="X584" i="7"/>
  <c r="Y584" i="7"/>
  <c r="D585" i="7"/>
  <c r="E585" i="7"/>
  <c r="F585" i="7"/>
  <c r="G585" i="7"/>
  <c r="H585" i="7"/>
  <c r="I585" i="7"/>
  <c r="J585" i="7"/>
  <c r="K585" i="7"/>
  <c r="L585" i="7"/>
  <c r="M585" i="7"/>
  <c r="N585" i="7"/>
  <c r="P585" i="7"/>
  <c r="Q585" i="7"/>
  <c r="R585" i="7"/>
  <c r="S585" i="7" s="1"/>
  <c r="T585" i="7"/>
  <c r="U585" i="7"/>
  <c r="W585" i="7"/>
  <c r="X585" i="7"/>
  <c r="Y585" i="7"/>
  <c r="D586" i="7"/>
  <c r="E586" i="7"/>
  <c r="F586" i="7"/>
  <c r="G586" i="7"/>
  <c r="H586" i="7"/>
  <c r="I586" i="7"/>
  <c r="J586" i="7"/>
  <c r="K586" i="7"/>
  <c r="L586" i="7"/>
  <c r="M586" i="7"/>
  <c r="N586" i="7"/>
  <c r="P586" i="7"/>
  <c r="Q586" i="7"/>
  <c r="R586" i="7"/>
  <c r="T586" i="7"/>
  <c r="U586" i="7"/>
  <c r="W586" i="7"/>
  <c r="X586" i="7"/>
  <c r="Y586" i="7"/>
  <c r="D587" i="7"/>
  <c r="E587" i="7"/>
  <c r="F587" i="7"/>
  <c r="G587" i="7"/>
  <c r="H587" i="7"/>
  <c r="I587" i="7"/>
  <c r="J587" i="7"/>
  <c r="K587" i="7"/>
  <c r="L587" i="7"/>
  <c r="M587" i="7"/>
  <c r="N587" i="7"/>
  <c r="P587" i="7"/>
  <c r="Q587" i="7"/>
  <c r="R587" i="7"/>
  <c r="T587" i="7"/>
  <c r="U587" i="7"/>
  <c r="W587" i="7"/>
  <c r="X587" i="7"/>
  <c r="Y587" i="7"/>
  <c r="D588" i="7"/>
  <c r="E588" i="7"/>
  <c r="F588" i="7"/>
  <c r="G588" i="7"/>
  <c r="H588" i="7"/>
  <c r="I588" i="7"/>
  <c r="J588" i="7"/>
  <c r="K588" i="7"/>
  <c r="L588" i="7"/>
  <c r="M588" i="7"/>
  <c r="N588" i="7"/>
  <c r="P588" i="7"/>
  <c r="Q588" i="7"/>
  <c r="R588" i="7"/>
  <c r="T588" i="7"/>
  <c r="U588" i="7"/>
  <c r="W588" i="7"/>
  <c r="X588" i="7"/>
  <c r="Y588" i="7"/>
  <c r="D589" i="7"/>
  <c r="E589" i="7"/>
  <c r="F589" i="7"/>
  <c r="G589" i="7"/>
  <c r="H589" i="7"/>
  <c r="I589" i="7"/>
  <c r="J589" i="7"/>
  <c r="K589" i="7"/>
  <c r="L589" i="7"/>
  <c r="M589" i="7"/>
  <c r="N589" i="7"/>
  <c r="P589" i="7"/>
  <c r="Q589" i="7"/>
  <c r="R589" i="7"/>
  <c r="T589" i="7"/>
  <c r="U589" i="7"/>
  <c r="W589" i="7"/>
  <c r="X589" i="7"/>
  <c r="Y589" i="7"/>
  <c r="D590" i="7"/>
  <c r="E590" i="7"/>
  <c r="F590" i="7"/>
  <c r="G590" i="7"/>
  <c r="H590" i="7"/>
  <c r="I590" i="7"/>
  <c r="J590" i="7"/>
  <c r="K590" i="7"/>
  <c r="L590" i="7"/>
  <c r="M590" i="7"/>
  <c r="N590" i="7"/>
  <c r="P590" i="7"/>
  <c r="Q590" i="7"/>
  <c r="R590" i="7"/>
  <c r="T590" i="7"/>
  <c r="U590" i="7"/>
  <c r="W590" i="7"/>
  <c r="X590" i="7"/>
  <c r="Y590" i="7"/>
  <c r="D591" i="7"/>
  <c r="E591" i="7"/>
  <c r="F591" i="7"/>
  <c r="G591" i="7"/>
  <c r="H591" i="7"/>
  <c r="I591" i="7"/>
  <c r="J591" i="7"/>
  <c r="K591" i="7"/>
  <c r="L591" i="7"/>
  <c r="M591" i="7"/>
  <c r="N591" i="7"/>
  <c r="P591" i="7"/>
  <c r="Q591" i="7"/>
  <c r="R591" i="7"/>
  <c r="T591" i="7"/>
  <c r="U591" i="7"/>
  <c r="W591" i="7"/>
  <c r="X591" i="7"/>
  <c r="Y591" i="7"/>
  <c r="D592" i="7"/>
  <c r="E592" i="7"/>
  <c r="F592" i="7"/>
  <c r="G592" i="7"/>
  <c r="H592" i="7"/>
  <c r="I592" i="7"/>
  <c r="J592" i="7"/>
  <c r="K592" i="7"/>
  <c r="L592" i="7"/>
  <c r="M592" i="7"/>
  <c r="N592" i="7"/>
  <c r="P592" i="7"/>
  <c r="Q592" i="7"/>
  <c r="R592" i="7"/>
  <c r="S592" i="7" s="1"/>
  <c r="T592" i="7"/>
  <c r="U592" i="7"/>
  <c r="D593" i="7"/>
  <c r="E593" i="7"/>
  <c r="F593" i="7"/>
  <c r="G593" i="7"/>
  <c r="H593" i="7"/>
  <c r="I593" i="7"/>
  <c r="J593" i="7"/>
  <c r="K593" i="7"/>
  <c r="L593" i="7"/>
  <c r="M593" i="7"/>
  <c r="N593" i="7"/>
  <c r="P593" i="7"/>
  <c r="Q593" i="7"/>
  <c r="R593" i="7"/>
  <c r="T593" i="7"/>
  <c r="U593" i="7"/>
  <c r="W593" i="7"/>
  <c r="X593" i="7"/>
  <c r="Y593" i="7"/>
  <c r="D594" i="7"/>
  <c r="E594" i="7"/>
  <c r="F594" i="7"/>
  <c r="G594" i="7"/>
  <c r="H594" i="7"/>
  <c r="I594" i="7"/>
  <c r="J594" i="7"/>
  <c r="K594" i="7"/>
  <c r="L594" i="7"/>
  <c r="M594" i="7"/>
  <c r="N594" i="7"/>
  <c r="P594" i="7"/>
  <c r="Q594" i="7"/>
  <c r="R594" i="7"/>
  <c r="T594" i="7"/>
  <c r="U594" i="7"/>
  <c r="W594" i="7"/>
  <c r="X594" i="7"/>
  <c r="Y594" i="7"/>
  <c r="D595" i="7"/>
  <c r="E595" i="7"/>
  <c r="F595" i="7"/>
  <c r="G595" i="7"/>
  <c r="H595" i="7"/>
  <c r="I595" i="7"/>
  <c r="J595" i="7"/>
  <c r="K595" i="7"/>
  <c r="L595" i="7"/>
  <c r="M595" i="7"/>
  <c r="N595" i="7"/>
  <c r="P595" i="7"/>
  <c r="Q595" i="7"/>
  <c r="R595" i="7"/>
  <c r="T595" i="7"/>
  <c r="U595" i="7"/>
  <c r="W595" i="7"/>
  <c r="X595" i="7"/>
  <c r="Y595" i="7"/>
  <c r="D596" i="7"/>
  <c r="E596" i="7"/>
  <c r="F596" i="7"/>
  <c r="G596" i="7"/>
  <c r="H596" i="7"/>
  <c r="I596" i="7"/>
  <c r="J596" i="7"/>
  <c r="K596" i="7"/>
  <c r="L596" i="7"/>
  <c r="M596" i="7"/>
  <c r="N596" i="7"/>
  <c r="P596" i="7"/>
  <c r="Q596" i="7"/>
  <c r="R596" i="7"/>
  <c r="T596" i="7"/>
  <c r="U596" i="7"/>
  <c r="W596" i="7"/>
  <c r="X596" i="7"/>
  <c r="Y596" i="7"/>
  <c r="D597" i="7"/>
  <c r="E597" i="7"/>
  <c r="F597" i="7"/>
  <c r="G597" i="7"/>
  <c r="H597" i="7"/>
  <c r="I597" i="7"/>
  <c r="J597" i="7"/>
  <c r="K597" i="7"/>
  <c r="L597" i="7"/>
  <c r="M597" i="7"/>
  <c r="N597" i="7"/>
  <c r="P597" i="7"/>
  <c r="Q597" i="7"/>
  <c r="R597" i="7"/>
  <c r="T597" i="7"/>
  <c r="U597" i="7"/>
  <c r="W597" i="7"/>
  <c r="X597" i="7"/>
  <c r="Y597" i="7"/>
  <c r="D598" i="7"/>
  <c r="E598" i="7"/>
  <c r="F598" i="7"/>
  <c r="G598" i="7"/>
  <c r="H598" i="7"/>
  <c r="I598" i="7"/>
  <c r="J598" i="7"/>
  <c r="K598" i="7"/>
  <c r="L598" i="7"/>
  <c r="M598" i="7"/>
  <c r="N598" i="7"/>
  <c r="P598" i="7"/>
  <c r="Q598" i="7"/>
  <c r="R598" i="7"/>
  <c r="T598" i="7"/>
  <c r="U598" i="7"/>
  <c r="W598" i="7"/>
  <c r="X598" i="7"/>
  <c r="Y598" i="7"/>
  <c r="D599" i="7"/>
  <c r="E599" i="7"/>
  <c r="F599" i="7"/>
  <c r="G599" i="7"/>
  <c r="H599" i="7"/>
  <c r="I599" i="7"/>
  <c r="J599" i="7"/>
  <c r="K599" i="7"/>
  <c r="L599" i="7"/>
  <c r="M599" i="7"/>
  <c r="N599" i="7"/>
  <c r="P599" i="7"/>
  <c r="Q599" i="7"/>
  <c r="R599" i="7"/>
  <c r="T599" i="7"/>
  <c r="U599" i="7"/>
  <c r="V599" i="7" s="1"/>
  <c r="W599" i="7"/>
  <c r="X599" i="7"/>
  <c r="Y599" i="7"/>
  <c r="D600" i="7"/>
  <c r="E600" i="7"/>
  <c r="F600" i="7"/>
  <c r="G600" i="7"/>
  <c r="H600" i="7"/>
  <c r="I600" i="7"/>
  <c r="J600" i="7"/>
  <c r="K600" i="7"/>
  <c r="L600" i="7"/>
  <c r="M600" i="7"/>
  <c r="N600" i="7"/>
  <c r="P600" i="7"/>
  <c r="Q600" i="7"/>
  <c r="R600" i="7"/>
  <c r="T600" i="7"/>
  <c r="U600" i="7"/>
  <c r="W600" i="7"/>
  <c r="X600" i="7"/>
  <c r="Y600" i="7"/>
  <c r="D601" i="7"/>
  <c r="E601" i="7"/>
  <c r="F601" i="7"/>
  <c r="G601" i="7"/>
  <c r="H601" i="7"/>
  <c r="I601" i="7"/>
  <c r="J601" i="7"/>
  <c r="K601" i="7"/>
  <c r="L601" i="7"/>
  <c r="M601" i="7"/>
  <c r="N601" i="7"/>
  <c r="P601" i="7"/>
  <c r="Q601" i="7"/>
  <c r="R601" i="7"/>
  <c r="T601" i="7"/>
  <c r="U601" i="7"/>
  <c r="W601" i="7"/>
  <c r="X601" i="7"/>
  <c r="Y601" i="7"/>
  <c r="D602" i="7"/>
  <c r="E602" i="7"/>
  <c r="F602" i="7"/>
  <c r="G602" i="7"/>
  <c r="H602" i="7"/>
  <c r="I602" i="7"/>
  <c r="J602" i="7"/>
  <c r="K602" i="7"/>
  <c r="L602" i="7"/>
  <c r="M602" i="7"/>
  <c r="N602" i="7"/>
  <c r="P602" i="7"/>
  <c r="Q602" i="7"/>
  <c r="R602" i="7"/>
  <c r="T602" i="7"/>
  <c r="U602" i="7"/>
  <c r="W602" i="7"/>
  <c r="X602" i="7"/>
  <c r="Y602" i="7"/>
  <c r="D603" i="7"/>
  <c r="E603" i="7"/>
  <c r="F603" i="7"/>
  <c r="G603" i="7"/>
  <c r="H603" i="7"/>
  <c r="I603" i="7"/>
  <c r="J603" i="7"/>
  <c r="K603" i="7"/>
  <c r="L603" i="7"/>
  <c r="M603" i="7"/>
  <c r="N603" i="7"/>
  <c r="P603" i="7"/>
  <c r="Q603" i="7"/>
  <c r="R603" i="7"/>
  <c r="T603" i="7"/>
  <c r="U603" i="7"/>
  <c r="W603" i="7"/>
  <c r="X603" i="7"/>
  <c r="Y603" i="7"/>
  <c r="D604" i="7"/>
  <c r="E604" i="7"/>
  <c r="F604" i="7"/>
  <c r="G604" i="7"/>
  <c r="H604" i="7"/>
  <c r="I604" i="7"/>
  <c r="J604" i="7"/>
  <c r="K604" i="7"/>
  <c r="L604" i="7"/>
  <c r="M604" i="7"/>
  <c r="N604" i="7"/>
  <c r="P604" i="7"/>
  <c r="Q604" i="7"/>
  <c r="R604" i="7"/>
  <c r="T604" i="7"/>
  <c r="U604" i="7"/>
  <c r="W604" i="7"/>
  <c r="X604" i="7"/>
  <c r="Y604" i="7"/>
  <c r="D605" i="7"/>
  <c r="E605" i="7"/>
  <c r="F605" i="7"/>
  <c r="G605" i="7"/>
  <c r="H605" i="7"/>
  <c r="I605" i="7"/>
  <c r="J605" i="7"/>
  <c r="K605" i="7"/>
  <c r="L605" i="7"/>
  <c r="M605" i="7"/>
  <c r="N605" i="7"/>
  <c r="P605" i="7"/>
  <c r="Q605" i="7"/>
  <c r="R605" i="7"/>
  <c r="T605" i="7"/>
  <c r="V605" i="7" s="1"/>
  <c r="U605" i="7"/>
  <c r="W605" i="7"/>
  <c r="X605" i="7"/>
  <c r="Y605" i="7"/>
  <c r="D606" i="7"/>
  <c r="E606" i="7"/>
  <c r="F606" i="7"/>
  <c r="G606" i="7"/>
  <c r="H606" i="7"/>
  <c r="I606" i="7"/>
  <c r="J606" i="7"/>
  <c r="K606" i="7"/>
  <c r="L606" i="7"/>
  <c r="M606" i="7"/>
  <c r="N606" i="7"/>
  <c r="P606" i="7"/>
  <c r="Q606" i="7"/>
  <c r="R606" i="7"/>
  <c r="T606" i="7"/>
  <c r="U606" i="7"/>
  <c r="W606" i="7"/>
  <c r="X606" i="7"/>
  <c r="Y606" i="7"/>
  <c r="D607" i="7"/>
  <c r="E607" i="7"/>
  <c r="F607" i="7"/>
  <c r="G607" i="7"/>
  <c r="H607" i="7"/>
  <c r="I607" i="7"/>
  <c r="J607" i="7"/>
  <c r="K607" i="7"/>
  <c r="L607" i="7"/>
  <c r="M607" i="7"/>
  <c r="N607" i="7"/>
  <c r="P607" i="7"/>
  <c r="Q607" i="7"/>
  <c r="R607" i="7"/>
  <c r="T607" i="7"/>
  <c r="U607" i="7"/>
  <c r="W607" i="7"/>
  <c r="X607" i="7"/>
  <c r="Y607" i="7"/>
  <c r="D608" i="7"/>
  <c r="E608" i="7"/>
  <c r="F608" i="7"/>
  <c r="G608" i="7"/>
  <c r="H608" i="7"/>
  <c r="I608" i="7"/>
  <c r="J608" i="7"/>
  <c r="K608" i="7"/>
  <c r="L608" i="7"/>
  <c r="M608" i="7"/>
  <c r="N608" i="7"/>
  <c r="P608" i="7"/>
  <c r="Q608" i="7"/>
  <c r="R608" i="7"/>
  <c r="T608" i="7"/>
  <c r="U608" i="7"/>
  <c r="W608" i="7"/>
  <c r="X608" i="7"/>
  <c r="Y608" i="7"/>
  <c r="D609" i="7"/>
  <c r="E609" i="7"/>
  <c r="F609" i="7"/>
  <c r="G609" i="7"/>
  <c r="H609" i="7"/>
  <c r="I609" i="7"/>
  <c r="J609" i="7"/>
  <c r="K609" i="7"/>
  <c r="L609" i="7"/>
  <c r="M609" i="7"/>
  <c r="N609" i="7"/>
  <c r="P609" i="7"/>
  <c r="Q609" i="7"/>
  <c r="R609" i="7"/>
  <c r="T609" i="7"/>
  <c r="U609" i="7"/>
  <c r="W609" i="7"/>
  <c r="X609" i="7"/>
  <c r="Y609" i="7"/>
  <c r="D610" i="7"/>
  <c r="E610" i="7"/>
  <c r="F610" i="7"/>
  <c r="G610" i="7"/>
  <c r="H610" i="7"/>
  <c r="I610" i="7"/>
  <c r="J610" i="7"/>
  <c r="K610" i="7"/>
  <c r="L610" i="7"/>
  <c r="M610" i="7"/>
  <c r="N610" i="7"/>
  <c r="P610" i="7"/>
  <c r="Q610" i="7"/>
  <c r="R610" i="7"/>
  <c r="T610" i="7"/>
  <c r="U610" i="7"/>
  <c r="V610" i="7" s="1"/>
  <c r="W610" i="7"/>
  <c r="X610" i="7"/>
  <c r="Y610" i="7"/>
  <c r="D611" i="7"/>
  <c r="E611" i="7"/>
  <c r="F611" i="7"/>
  <c r="G611" i="7"/>
  <c r="H611" i="7"/>
  <c r="I611" i="7"/>
  <c r="J611" i="7"/>
  <c r="K611" i="7"/>
  <c r="L611" i="7"/>
  <c r="M611" i="7"/>
  <c r="N611" i="7"/>
  <c r="P611" i="7"/>
  <c r="Q611" i="7"/>
  <c r="R611" i="7"/>
  <c r="T611" i="7"/>
  <c r="U611" i="7"/>
  <c r="W611" i="7"/>
  <c r="X611" i="7"/>
  <c r="Y611" i="7"/>
  <c r="D612" i="7"/>
  <c r="E612" i="7"/>
  <c r="F612" i="7"/>
  <c r="G612" i="7"/>
  <c r="H612" i="7"/>
  <c r="I612" i="7"/>
  <c r="J612" i="7"/>
  <c r="K612" i="7"/>
  <c r="L612" i="7"/>
  <c r="M612" i="7"/>
  <c r="N612" i="7"/>
  <c r="P612" i="7"/>
  <c r="Q612" i="7"/>
  <c r="R612" i="7"/>
  <c r="T612" i="7"/>
  <c r="U612" i="7"/>
  <c r="W612" i="7"/>
  <c r="X612" i="7"/>
  <c r="Y612" i="7"/>
  <c r="D613" i="7"/>
  <c r="E613" i="7"/>
  <c r="F613" i="7"/>
  <c r="G613" i="7"/>
  <c r="H613" i="7"/>
  <c r="I613" i="7"/>
  <c r="J613" i="7"/>
  <c r="K613" i="7"/>
  <c r="L613" i="7"/>
  <c r="M613" i="7"/>
  <c r="N613" i="7"/>
  <c r="P613" i="7"/>
  <c r="Q613" i="7"/>
  <c r="R613" i="7"/>
  <c r="T613" i="7"/>
  <c r="U613" i="7"/>
  <c r="W613" i="7"/>
  <c r="X613" i="7"/>
  <c r="Y613" i="7"/>
  <c r="D614" i="7"/>
  <c r="E614" i="7"/>
  <c r="F614" i="7"/>
  <c r="G614" i="7"/>
  <c r="H614" i="7"/>
  <c r="I614" i="7"/>
  <c r="J614" i="7"/>
  <c r="K614" i="7"/>
  <c r="L614" i="7"/>
  <c r="M614" i="7"/>
  <c r="N614" i="7"/>
  <c r="P614" i="7"/>
  <c r="Q614" i="7"/>
  <c r="R614" i="7"/>
  <c r="T614" i="7"/>
  <c r="U614" i="7"/>
  <c r="W614" i="7"/>
  <c r="X614" i="7"/>
  <c r="Y614" i="7"/>
  <c r="D615" i="7"/>
  <c r="E615" i="7"/>
  <c r="F615" i="7"/>
  <c r="G615" i="7"/>
  <c r="H615" i="7"/>
  <c r="I615" i="7"/>
  <c r="J615" i="7"/>
  <c r="K615" i="7"/>
  <c r="L615" i="7"/>
  <c r="M615" i="7"/>
  <c r="N615" i="7"/>
  <c r="P615" i="7"/>
  <c r="Q615" i="7"/>
  <c r="R615" i="7"/>
  <c r="T615" i="7"/>
  <c r="U615" i="7"/>
  <c r="W615" i="7"/>
  <c r="X615" i="7"/>
  <c r="Y615" i="7"/>
  <c r="D616" i="7"/>
  <c r="E616" i="7"/>
  <c r="F616" i="7"/>
  <c r="G616" i="7"/>
  <c r="H616" i="7"/>
  <c r="I616" i="7"/>
  <c r="J616" i="7"/>
  <c r="K616" i="7"/>
  <c r="L616" i="7"/>
  <c r="M616" i="7"/>
  <c r="N616" i="7"/>
  <c r="P616" i="7"/>
  <c r="Q616" i="7"/>
  <c r="R616" i="7"/>
  <c r="T616" i="7"/>
  <c r="U616" i="7"/>
  <c r="W616" i="7"/>
  <c r="X616" i="7"/>
  <c r="Y616" i="7"/>
  <c r="D617" i="7"/>
  <c r="E617" i="7"/>
  <c r="F617" i="7"/>
  <c r="G617" i="7"/>
  <c r="H617" i="7"/>
  <c r="I617" i="7"/>
  <c r="J617" i="7"/>
  <c r="K617" i="7"/>
  <c r="L617" i="7"/>
  <c r="M617" i="7"/>
  <c r="N617" i="7"/>
  <c r="P617" i="7"/>
  <c r="Q617" i="7"/>
  <c r="R617" i="7"/>
  <c r="T617" i="7"/>
  <c r="U617" i="7"/>
  <c r="W617" i="7"/>
  <c r="X617" i="7"/>
  <c r="Y617" i="7"/>
  <c r="D618" i="7"/>
  <c r="E618" i="7"/>
  <c r="F618" i="7"/>
  <c r="G618" i="7"/>
  <c r="H618" i="7"/>
  <c r="I618" i="7"/>
  <c r="J618" i="7"/>
  <c r="K618" i="7"/>
  <c r="L618" i="7"/>
  <c r="M618" i="7"/>
  <c r="N618" i="7"/>
  <c r="P618" i="7"/>
  <c r="Q618" i="7"/>
  <c r="R618" i="7"/>
  <c r="T618" i="7"/>
  <c r="U618" i="7"/>
  <c r="W618" i="7"/>
  <c r="X618" i="7"/>
  <c r="Y618" i="7"/>
  <c r="D619" i="7"/>
  <c r="E619" i="7"/>
  <c r="F619" i="7"/>
  <c r="G619" i="7"/>
  <c r="H619" i="7"/>
  <c r="I619" i="7"/>
  <c r="J619" i="7"/>
  <c r="K619" i="7"/>
  <c r="L619" i="7"/>
  <c r="M619" i="7"/>
  <c r="N619" i="7"/>
  <c r="P619" i="7"/>
  <c r="Q619" i="7"/>
  <c r="R619" i="7"/>
  <c r="T619" i="7"/>
  <c r="U619" i="7"/>
  <c r="W619" i="7"/>
  <c r="X619" i="7"/>
  <c r="Y619" i="7"/>
  <c r="D620" i="7"/>
  <c r="E620" i="7"/>
  <c r="F620" i="7"/>
  <c r="G620" i="7"/>
  <c r="H620" i="7"/>
  <c r="I620" i="7"/>
  <c r="J620" i="7"/>
  <c r="K620" i="7"/>
  <c r="L620" i="7"/>
  <c r="M620" i="7"/>
  <c r="N620" i="7"/>
  <c r="P620" i="7"/>
  <c r="Q620" i="7"/>
  <c r="R620" i="7"/>
  <c r="T620" i="7"/>
  <c r="U620" i="7"/>
  <c r="W620" i="7"/>
  <c r="X620" i="7"/>
  <c r="Y620" i="7"/>
  <c r="D621" i="7"/>
  <c r="E621" i="7"/>
  <c r="F621" i="7"/>
  <c r="G621" i="7"/>
  <c r="H621" i="7"/>
  <c r="I621" i="7"/>
  <c r="J621" i="7"/>
  <c r="K621" i="7"/>
  <c r="L621" i="7"/>
  <c r="M621" i="7"/>
  <c r="N621" i="7"/>
  <c r="P621" i="7"/>
  <c r="Q621" i="7"/>
  <c r="R621" i="7"/>
  <c r="T621" i="7"/>
  <c r="U621" i="7"/>
  <c r="W621" i="7"/>
  <c r="X621" i="7"/>
  <c r="Y621" i="7"/>
  <c r="D622" i="7"/>
  <c r="E622" i="7"/>
  <c r="F622" i="7"/>
  <c r="G622" i="7"/>
  <c r="H622" i="7"/>
  <c r="I622" i="7"/>
  <c r="J622" i="7"/>
  <c r="K622" i="7"/>
  <c r="L622" i="7"/>
  <c r="M622" i="7"/>
  <c r="N622" i="7"/>
  <c r="P622" i="7"/>
  <c r="Q622" i="7"/>
  <c r="R622" i="7"/>
  <c r="T622" i="7"/>
  <c r="U622" i="7"/>
  <c r="W622" i="7"/>
  <c r="X622" i="7"/>
  <c r="Y622" i="7"/>
  <c r="D623" i="7"/>
  <c r="E623" i="7"/>
  <c r="F623" i="7"/>
  <c r="G623" i="7"/>
  <c r="H623" i="7"/>
  <c r="I623" i="7"/>
  <c r="J623" i="7"/>
  <c r="K623" i="7"/>
  <c r="L623" i="7"/>
  <c r="M623" i="7"/>
  <c r="N623" i="7"/>
  <c r="P623" i="7"/>
  <c r="Q623" i="7"/>
  <c r="R623" i="7"/>
  <c r="T623" i="7"/>
  <c r="U623" i="7"/>
  <c r="W623" i="7"/>
  <c r="X623" i="7"/>
  <c r="Y623" i="7"/>
  <c r="D624" i="7"/>
  <c r="E624" i="7"/>
  <c r="F624" i="7"/>
  <c r="G624" i="7"/>
  <c r="H624" i="7"/>
  <c r="I624" i="7"/>
  <c r="J624" i="7"/>
  <c r="K624" i="7"/>
  <c r="L624" i="7"/>
  <c r="M624" i="7"/>
  <c r="N624" i="7"/>
  <c r="P624" i="7"/>
  <c r="Q624" i="7"/>
  <c r="R624" i="7"/>
  <c r="T624" i="7"/>
  <c r="U624" i="7"/>
  <c r="W624" i="7"/>
  <c r="X624" i="7"/>
  <c r="Y624" i="7"/>
  <c r="D625" i="7"/>
  <c r="E625" i="7"/>
  <c r="F625" i="7"/>
  <c r="G625" i="7"/>
  <c r="H625" i="7"/>
  <c r="I625" i="7"/>
  <c r="J625" i="7"/>
  <c r="K625" i="7"/>
  <c r="L625" i="7"/>
  <c r="M625" i="7"/>
  <c r="N625" i="7"/>
  <c r="P625" i="7"/>
  <c r="Q625" i="7"/>
  <c r="R625" i="7"/>
  <c r="T625" i="7"/>
  <c r="U625" i="7"/>
  <c r="W625" i="7"/>
  <c r="X625" i="7"/>
  <c r="Y625" i="7"/>
  <c r="D626" i="7"/>
  <c r="E626" i="7"/>
  <c r="F626" i="7"/>
  <c r="G626" i="7"/>
  <c r="H626" i="7"/>
  <c r="I626" i="7"/>
  <c r="J626" i="7"/>
  <c r="K626" i="7"/>
  <c r="L626" i="7"/>
  <c r="M626" i="7"/>
  <c r="N626" i="7"/>
  <c r="P626" i="7"/>
  <c r="Q626" i="7"/>
  <c r="R626" i="7"/>
  <c r="T626" i="7"/>
  <c r="U626" i="7"/>
  <c r="W626" i="7"/>
  <c r="X626" i="7"/>
  <c r="Y626" i="7"/>
  <c r="D627" i="7"/>
  <c r="E627" i="7"/>
  <c r="F627" i="7"/>
  <c r="G627" i="7"/>
  <c r="H627" i="7"/>
  <c r="I627" i="7"/>
  <c r="J627" i="7"/>
  <c r="K627" i="7"/>
  <c r="L627" i="7"/>
  <c r="M627" i="7"/>
  <c r="N627" i="7"/>
  <c r="P627" i="7"/>
  <c r="Q627" i="7"/>
  <c r="R627" i="7"/>
  <c r="S627" i="7" s="1"/>
  <c r="T627" i="7"/>
  <c r="U627" i="7"/>
  <c r="W627" i="7"/>
  <c r="X627" i="7"/>
  <c r="Y627" i="7"/>
  <c r="D628" i="7"/>
  <c r="E628" i="7"/>
  <c r="F628" i="7"/>
  <c r="G628" i="7"/>
  <c r="H628" i="7"/>
  <c r="I628" i="7"/>
  <c r="J628" i="7"/>
  <c r="K628" i="7"/>
  <c r="L628" i="7"/>
  <c r="M628" i="7"/>
  <c r="N628" i="7"/>
  <c r="P628" i="7"/>
  <c r="Q628" i="7"/>
  <c r="R628" i="7"/>
  <c r="T628" i="7"/>
  <c r="U628" i="7"/>
  <c r="W628" i="7"/>
  <c r="X628" i="7"/>
  <c r="Y628" i="7"/>
  <c r="D629" i="7"/>
  <c r="E629" i="7"/>
  <c r="F629" i="7"/>
  <c r="G629" i="7"/>
  <c r="H629" i="7"/>
  <c r="I629" i="7"/>
  <c r="J629" i="7"/>
  <c r="K629" i="7"/>
  <c r="L629" i="7"/>
  <c r="M629" i="7"/>
  <c r="N629" i="7"/>
  <c r="P629" i="7"/>
  <c r="Q629" i="7"/>
  <c r="R629" i="7"/>
  <c r="T629" i="7"/>
  <c r="U629" i="7"/>
  <c r="W629" i="7"/>
  <c r="X629" i="7"/>
  <c r="Y629" i="7"/>
  <c r="D630" i="7"/>
  <c r="E630" i="7"/>
  <c r="F630" i="7"/>
  <c r="G630" i="7"/>
  <c r="H630" i="7"/>
  <c r="I630" i="7"/>
  <c r="J630" i="7"/>
  <c r="K630" i="7"/>
  <c r="L630" i="7"/>
  <c r="M630" i="7"/>
  <c r="N630" i="7"/>
  <c r="P630" i="7"/>
  <c r="Q630" i="7"/>
  <c r="R630" i="7"/>
  <c r="T630" i="7"/>
  <c r="U630" i="7"/>
  <c r="W630" i="7"/>
  <c r="X630" i="7"/>
  <c r="Y630" i="7"/>
  <c r="D631" i="7"/>
  <c r="E631" i="7"/>
  <c r="F631" i="7"/>
  <c r="G631" i="7"/>
  <c r="H631" i="7"/>
  <c r="I631" i="7"/>
  <c r="J631" i="7"/>
  <c r="K631" i="7"/>
  <c r="L631" i="7"/>
  <c r="M631" i="7"/>
  <c r="N631" i="7"/>
  <c r="P631" i="7"/>
  <c r="Q631" i="7"/>
  <c r="R631" i="7"/>
  <c r="T631" i="7"/>
  <c r="U631" i="7"/>
  <c r="W631" i="7"/>
  <c r="X631" i="7"/>
  <c r="Y631" i="7"/>
  <c r="D632" i="7"/>
  <c r="E632" i="7"/>
  <c r="F632" i="7"/>
  <c r="G632" i="7"/>
  <c r="H632" i="7"/>
  <c r="I632" i="7"/>
  <c r="J632" i="7"/>
  <c r="K632" i="7"/>
  <c r="L632" i="7"/>
  <c r="M632" i="7"/>
  <c r="N632" i="7"/>
  <c r="P632" i="7"/>
  <c r="Q632" i="7"/>
  <c r="R632" i="7"/>
  <c r="T632" i="7"/>
  <c r="U632" i="7"/>
  <c r="W632" i="7"/>
  <c r="X632" i="7"/>
  <c r="Y632" i="7"/>
  <c r="D633" i="7"/>
  <c r="E633" i="7"/>
  <c r="F633" i="7"/>
  <c r="G633" i="7"/>
  <c r="H633" i="7"/>
  <c r="I633" i="7"/>
  <c r="J633" i="7"/>
  <c r="K633" i="7"/>
  <c r="L633" i="7"/>
  <c r="M633" i="7"/>
  <c r="N633" i="7"/>
  <c r="P633" i="7"/>
  <c r="Q633" i="7"/>
  <c r="R633" i="7"/>
  <c r="T633" i="7"/>
  <c r="U633" i="7"/>
  <c r="W633" i="7"/>
  <c r="X633" i="7"/>
  <c r="Y633" i="7"/>
  <c r="D634" i="7"/>
  <c r="E634" i="7"/>
  <c r="F634" i="7"/>
  <c r="G634" i="7"/>
  <c r="H634" i="7"/>
  <c r="I634" i="7"/>
  <c r="J634" i="7"/>
  <c r="K634" i="7"/>
  <c r="L634" i="7"/>
  <c r="M634" i="7"/>
  <c r="N634" i="7"/>
  <c r="P634" i="7"/>
  <c r="Q634" i="7"/>
  <c r="R634" i="7"/>
  <c r="T634" i="7"/>
  <c r="U634" i="7"/>
  <c r="W634" i="7"/>
  <c r="X634" i="7"/>
  <c r="Y634" i="7"/>
  <c r="D635" i="7"/>
  <c r="E635" i="7"/>
  <c r="F635" i="7"/>
  <c r="G635" i="7"/>
  <c r="H635" i="7"/>
  <c r="I635" i="7"/>
  <c r="J635" i="7"/>
  <c r="K635" i="7"/>
  <c r="L635" i="7"/>
  <c r="M635" i="7"/>
  <c r="N635" i="7"/>
  <c r="P635" i="7"/>
  <c r="Q635" i="7"/>
  <c r="R635" i="7"/>
  <c r="T635" i="7"/>
  <c r="U635" i="7"/>
  <c r="W635" i="7"/>
  <c r="X635" i="7"/>
  <c r="Y635" i="7"/>
  <c r="D636" i="7"/>
  <c r="E636" i="7"/>
  <c r="F636" i="7"/>
  <c r="G636" i="7"/>
  <c r="H636" i="7"/>
  <c r="I636" i="7"/>
  <c r="J636" i="7"/>
  <c r="K636" i="7"/>
  <c r="L636" i="7"/>
  <c r="M636" i="7"/>
  <c r="N636" i="7"/>
  <c r="P636" i="7"/>
  <c r="Q636" i="7"/>
  <c r="R636" i="7"/>
  <c r="T636" i="7"/>
  <c r="U636" i="7"/>
  <c r="W636" i="7"/>
  <c r="X636" i="7"/>
  <c r="Y636" i="7"/>
  <c r="D637" i="7"/>
  <c r="E637" i="7"/>
  <c r="F637" i="7"/>
  <c r="G637" i="7"/>
  <c r="H637" i="7"/>
  <c r="I637" i="7"/>
  <c r="J637" i="7"/>
  <c r="K637" i="7"/>
  <c r="L637" i="7"/>
  <c r="M637" i="7"/>
  <c r="N637" i="7"/>
  <c r="P637" i="7"/>
  <c r="Q637" i="7"/>
  <c r="R637" i="7"/>
  <c r="T637" i="7"/>
  <c r="U637" i="7"/>
  <c r="W637" i="7"/>
  <c r="X637" i="7"/>
  <c r="Y637" i="7"/>
  <c r="D638" i="7"/>
  <c r="E638" i="7"/>
  <c r="F638" i="7"/>
  <c r="G638" i="7"/>
  <c r="H638" i="7"/>
  <c r="I638" i="7"/>
  <c r="J638" i="7"/>
  <c r="K638" i="7"/>
  <c r="L638" i="7"/>
  <c r="M638" i="7"/>
  <c r="N638" i="7"/>
  <c r="P638" i="7"/>
  <c r="Q638" i="7"/>
  <c r="R638" i="7"/>
  <c r="T638" i="7"/>
  <c r="U638" i="7"/>
  <c r="W638" i="7"/>
  <c r="X638" i="7"/>
  <c r="Y638" i="7"/>
  <c r="D639" i="7"/>
  <c r="E639" i="7"/>
  <c r="F639" i="7"/>
  <c r="G639" i="7"/>
  <c r="H639" i="7"/>
  <c r="I639" i="7"/>
  <c r="J639" i="7"/>
  <c r="K639" i="7"/>
  <c r="L639" i="7"/>
  <c r="M639" i="7"/>
  <c r="N639" i="7"/>
  <c r="P639" i="7"/>
  <c r="Q639" i="7"/>
  <c r="R639" i="7"/>
  <c r="T639" i="7"/>
  <c r="U639" i="7"/>
  <c r="W639" i="7"/>
  <c r="X639" i="7"/>
  <c r="Y639" i="7"/>
  <c r="D640" i="7"/>
  <c r="E640" i="7"/>
  <c r="F640" i="7"/>
  <c r="G640" i="7"/>
  <c r="H640" i="7"/>
  <c r="I640" i="7"/>
  <c r="J640" i="7"/>
  <c r="K640" i="7"/>
  <c r="L640" i="7"/>
  <c r="M640" i="7"/>
  <c r="N640" i="7"/>
  <c r="P640" i="7"/>
  <c r="Q640" i="7"/>
  <c r="R640" i="7"/>
  <c r="T640" i="7"/>
  <c r="U640" i="7"/>
  <c r="W640" i="7"/>
  <c r="X640" i="7"/>
  <c r="Y640" i="7"/>
  <c r="D641" i="7"/>
  <c r="E641" i="7"/>
  <c r="F641" i="7"/>
  <c r="G641" i="7"/>
  <c r="H641" i="7"/>
  <c r="I641" i="7"/>
  <c r="J641" i="7"/>
  <c r="K641" i="7"/>
  <c r="L641" i="7"/>
  <c r="M641" i="7"/>
  <c r="N641" i="7"/>
  <c r="P641" i="7"/>
  <c r="Q641" i="7"/>
  <c r="R641" i="7"/>
  <c r="T641" i="7"/>
  <c r="U641" i="7"/>
  <c r="W641" i="7"/>
  <c r="X641" i="7"/>
  <c r="Y641" i="7"/>
  <c r="D642" i="7"/>
  <c r="E642" i="7"/>
  <c r="F642" i="7"/>
  <c r="G642" i="7"/>
  <c r="H642" i="7"/>
  <c r="I642" i="7"/>
  <c r="J642" i="7"/>
  <c r="K642" i="7"/>
  <c r="L642" i="7"/>
  <c r="M642" i="7"/>
  <c r="N642" i="7"/>
  <c r="P642" i="7"/>
  <c r="Q642" i="7"/>
  <c r="R642" i="7"/>
  <c r="T642" i="7"/>
  <c r="U642" i="7"/>
  <c r="W642" i="7"/>
  <c r="X642" i="7"/>
  <c r="Y642" i="7"/>
  <c r="D643" i="7"/>
  <c r="E643" i="7"/>
  <c r="F643" i="7"/>
  <c r="G643" i="7"/>
  <c r="H643" i="7"/>
  <c r="I643" i="7"/>
  <c r="J643" i="7"/>
  <c r="K643" i="7"/>
  <c r="L643" i="7"/>
  <c r="M643" i="7"/>
  <c r="N643" i="7"/>
  <c r="P643" i="7"/>
  <c r="Q643" i="7"/>
  <c r="R643" i="7"/>
  <c r="T643" i="7"/>
  <c r="U643" i="7"/>
  <c r="W643" i="7"/>
  <c r="X643" i="7"/>
  <c r="Y643" i="7"/>
  <c r="D644" i="7"/>
  <c r="E644" i="7"/>
  <c r="F644" i="7"/>
  <c r="G644" i="7"/>
  <c r="H644" i="7"/>
  <c r="I644" i="7"/>
  <c r="J644" i="7"/>
  <c r="K644" i="7"/>
  <c r="L644" i="7"/>
  <c r="M644" i="7"/>
  <c r="N644" i="7"/>
  <c r="P644" i="7"/>
  <c r="Q644" i="7"/>
  <c r="R644" i="7"/>
  <c r="T644" i="7"/>
  <c r="U644" i="7"/>
  <c r="W644" i="7"/>
  <c r="X644" i="7"/>
  <c r="Y644" i="7"/>
  <c r="D645" i="7"/>
  <c r="E645" i="7"/>
  <c r="F645" i="7"/>
  <c r="G645" i="7"/>
  <c r="H645" i="7"/>
  <c r="I645" i="7"/>
  <c r="J645" i="7"/>
  <c r="K645" i="7"/>
  <c r="L645" i="7"/>
  <c r="M645" i="7"/>
  <c r="N645" i="7"/>
  <c r="P645" i="7"/>
  <c r="Q645" i="7"/>
  <c r="R645" i="7"/>
  <c r="T645" i="7"/>
  <c r="U645" i="7"/>
  <c r="W645" i="7"/>
  <c r="X645" i="7"/>
  <c r="Y645" i="7"/>
  <c r="D646" i="7"/>
  <c r="E646" i="7"/>
  <c r="F646" i="7"/>
  <c r="G646" i="7"/>
  <c r="H646" i="7"/>
  <c r="I646" i="7"/>
  <c r="J646" i="7"/>
  <c r="K646" i="7"/>
  <c r="L646" i="7"/>
  <c r="M646" i="7"/>
  <c r="N646" i="7"/>
  <c r="P646" i="7"/>
  <c r="Q646" i="7"/>
  <c r="R646" i="7"/>
  <c r="S646" i="7" s="1"/>
  <c r="T646" i="7"/>
  <c r="U646" i="7"/>
  <c r="W646" i="7"/>
  <c r="X646" i="7"/>
  <c r="Y646" i="7"/>
  <c r="D647" i="7"/>
  <c r="E647" i="7"/>
  <c r="F647" i="7"/>
  <c r="G647" i="7"/>
  <c r="H647" i="7"/>
  <c r="I647" i="7"/>
  <c r="J647" i="7"/>
  <c r="K647" i="7"/>
  <c r="L647" i="7"/>
  <c r="M647" i="7"/>
  <c r="N647" i="7"/>
  <c r="P647" i="7"/>
  <c r="Q647" i="7"/>
  <c r="R647" i="7"/>
  <c r="T647" i="7"/>
  <c r="U647" i="7"/>
  <c r="W647" i="7"/>
  <c r="X647" i="7"/>
  <c r="Y647" i="7"/>
  <c r="D648" i="7"/>
  <c r="E648" i="7"/>
  <c r="F648" i="7"/>
  <c r="G648" i="7"/>
  <c r="H648" i="7"/>
  <c r="I648" i="7"/>
  <c r="J648" i="7"/>
  <c r="K648" i="7"/>
  <c r="L648" i="7"/>
  <c r="M648" i="7"/>
  <c r="N648" i="7"/>
  <c r="P648" i="7"/>
  <c r="Q648" i="7"/>
  <c r="R648" i="7"/>
  <c r="T648" i="7"/>
  <c r="U648" i="7"/>
  <c r="W648" i="7"/>
  <c r="X648" i="7"/>
  <c r="Y648" i="7"/>
  <c r="D649" i="7"/>
  <c r="E649" i="7"/>
  <c r="F649" i="7"/>
  <c r="G649" i="7"/>
  <c r="H649" i="7"/>
  <c r="I649" i="7"/>
  <c r="J649" i="7"/>
  <c r="K649" i="7"/>
  <c r="L649" i="7"/>
  <c r="M649" i="7"/>
  <c r="N649" i="7"/>
  <c r="P649" i="7"/>
  <c r="Q649" i="7"/>
  <c r="R649" i="7"/>
  <c r="T649" i="7"/>
  <c r="U649" i="7"/>
  <c r="W649" i="7"/>
  <c r="X649" i="7"/>
  <c r="Y649" i="7"/>
  <c r="D650" i="7"/>
  <c r="E650" i="7"/>
  <c r="F650" i="7"/>
  <c r="G650" i="7"/>
  <c r="H650" i="7"/>
  <c r="I650" i="7"/>
  <c r="J650" i="7"/>
  <c r="K650" i="7"/>
  <c r="L650" i="7"/>
  <c r="M650" i="7"/>
  <c r="N650" i="7"/>
  <c r="P650" i="7"/>
  <c r="Q650" i="7"/>
  <c r="R650" i="7"/>
  <c r="T650" i="7"/>
  <c r="U650" i="7"/>
  <c r="W650" i="7"/>
  <c r="X650" i="7"/>
  <c r="Y650" i="7"/>
  <c r="D651" i="7"/>
  <c r="E651" i="7"/>
  <c r="F651" i="7"/>
  <c r="G651" i="7"/>
  <c r="H651" i="7"/>
  <c r="I651" i="7"/>
  <c r="J651" i="7"/>
  <c r="K651" i="7"/>
  <c r="L651" i="7"/>
  <c r="M651" i="7"/>
  <c r="N651" i="7"/>
  <c r="P651" i="7"/>
  <c r="Q651" i="7"/>
  <c r="R651" i="7"/>
  <c r="T651" i="7"/>
  <c r="U651" i="7"/>
  <c r="W651" i="7"/>
  <c r="X651" i="7"/>
  <c r="Y651" i="7"/>
  <c r="D652" i="7"/>
  <c r="E652" i="7"/>
  <c r="F652" i="7"/>
  <c r="G652" i="7"/>
  <c r="H652" i="7"/>
  <c r="I652" i="7"/>
  <c r="J652" i="7"/>
  <c r="K652" i="7"/>
  <c r="L652" i="7"/>
  <c r="M652" i="7"/>
  <c r="N652" i="7"/>
  <c r="P652" i="7"/>
  <c r="Q652" i="7"/>
  <c r="R652" i="7"/>
  <c r="T652" i="7"/>
  <c r="U652" i="7"/>
  <c r="W652" i="7"/>
  <c r="X652" i="7"/>
  <c r="Y652" i="7"/>
  <c r="D653" i="7"/>
  <c r="E653" i="7"/>
  <c r="F653" i="7"/>
  <c r="G653" i="7"/>
  <c r="H653" i="7"/>
  <c r="I653" i="7"/>
  <c r="J653" i="7"/>
  <c r="K653" i="7"/>
  <c r="L653" i="7"/>
  <c r="M653" i="7"/>
  <c r="N653" i="7"/>
  <c r="P653" i="7"/>
  <c r="Q653" i="7"/>
  <c r="R653" i="7"/>
  <c r="T653" i="7"/>
  <c r="U653" i="7"/>
  <c r="W653" i="7"/>
  <c r="D654" i="7"/>
  <c r="E654" i="7"/>
  <c r="F654" i="7"/>
  <c r="G654" i="7"/>
  <c r="H654" i="7"/>
  <c r="I654" i="7"/>
  <c r="J654" i="7"/>
  <c r="K654" i="7"/>
  <c r="L654" i="7"/>
  <c r="M654" i="7"/>
  <c r="N654" i="7"/>
  <c r="P654" i="7"/>
  <c r="Q654" i="7"/>
  <c r="R654" i="7"/>
  <c r="T654" i="7"/>
  <c r="U654" i="7"/>
  <c r="W654" i="7"/>
  <c r="X654" i="7"/>
  <c r="Y654" i="7"/>
  <c r="D655" i="7"/>
  <c r="E655" i="7"/>
  <c r="F655" i="7"/>
  <c r="G655" i="7"/>
  <c r="H655" i="7"/>
  <c r="I655" i="7"/>
  <c r="J655" i="7"/>
  <c r="K655" i="7"/>
  <c r="L655" i="7"/>
  <c r="M655" i="7"/>
  <c r="N655" i="7"/>
  <c r="P655" i="7"/>
  <c r="Q655" i="7"/>
  <c r="R655" i="7"/>
  <c r="T655" i="7"/>
  <c r="U655" i="7"/>
  <c r="W655" i="7"/>
  <c r="X655" i="7"/>
  <c r="Y655" i="7"/>
  <c r="D656" i="7"/>
  <c r="E656" i="7"/>
  <c r="F656" i="7"/>
  <c r="G656" i="7"/>
  <c r="H656" i="7"/>
  <c r="I656" i="7"/>
  <c r="J656" i="7"/>
  <c r="K656" i="7"/>
  <c r="L656" i="7"/>
  <c r="M656" i="7"/>
  <c r="N656" i="7"/>
  <c r="P656" i="7"/>
  <c r="Q656" i="7"/>
  <c r="R656" i="7"/>
  <c r="T656" i="7"/>
  <c r="U656" i="7"/>
  <c r="W656" i="7"/>
  <c r="X656" i="7"/>
  <c r="Y656" i="7"/>
  <c r="D657" i="7"/>
  <c r="E657" i="7"/>
  <c r="F657" i="7"/>
  <c r="G657" i="7"/>
  <c r="H657" i="7"/>
  <c r="I657" i="7"/>
  <c r="J657" i="7"/>
  <c r="K657" i="7"/>
  <c r="L657" i="7"/>
  <c r="M657" i="7"/>
  <c r="N657" i="7"/>
  <c r="P657" i="7"/>
  <c r="Q657" i="7"/>
  <c r="R657" i="7"/>
  <c r="T657" i="7"/>
  <c r="U657" i="7"/>
  <c r="W657" i="7"/>
  <c r="X657" i="7"/>
  <c r="Y657" i="7"/>
  <c r="D658" i="7"/>
  <c r="E658" i="7"/>
  <c r="F658" i="7"/>
  <c r="G658" i="7"/>
  <c r="H658" i="7"/>
  <c r="I658" i="7"/>
  <c r="J658" i="7"/>
  <c r="K658" i="7"/>
  <c r="L658" i="7"/>
  <c r="M658" i="7"/>
  <c r="N658" i="7"/>
  <c r="P658" i="7"/>
  <c r="Q658" i="7"/>
  <c r="R658" i="7"/>
  <c r="T658" i="7"/>
  <c r="U658" i="7"/>
  <c r="W658" i="7"/>
  <c r="X658" i="7"/>
  <c r="Y658" i="7"/>
  <c r="D659" i="7"/>
  <c r="E659" i="7"/>
  <c r="F659" i="7"/>
  <c r="G659" i="7"/>
  <c r="H659" i="7"/>
  <c r="I659" i="7"/>
  <c r="J659" i="7"/>
  <c r="K659" i="7"/>
  <c r="L659" i="7"/>
  <c r="M659" i="7"/>
  <c r="N659" i="7"/>
  <c r="P659" i="7"/>
  <c r="Q659" i="7"/>
  <c r="R659" i="7"/>
  <c r="T659" i="7"/>
  <c r="U659" i="7"/>
  <c r="W659" i="7"/>
  <c r="X659" i="7"/>
  <c r="Y659" i="7"/>
  <c r="D660" i="7"/>
  <c r="E660" i="7"/>
  <c r="F660" i="7"/>
  <c r="G660" i="7"/>
  <c r="H660" i="7"/>
  <c r="I660" i="7"/>
  <c r="J660" i="7"/>
  <c r="K660" i="7"/>
  <c r="L660" i="7"/>
  <c r="M660" i="7"/>
  <c r="N660" i="7"/>
  <c r="P660" i="7"/>
  <c r="Q660" i="7"/>
  <c r="R660" i="7"/>
  <c r="T660" i="7"/>
  <c r="U660" i="7"/>
  <c r="V660" i="7" s="1"/>
  <c r="W660" i="7"/>
  <c r="X660" i="7"/>
  <c r="Y660" i="7"/>
  <c r="D661" i="7"/>
  <c r="E661" i="7"/>
  <c r="F661" i="7"/>
  <c r="G661" i="7"/>
  <c r="H661" i="7"/>
  <c r="I661" i="7"/>
  <c r="J661" i="7"/>
  <c r="K661" i="7"/>
  <c r="L661" i="7"/>
  <c r="M661" i="7"/>
  <c r="N661" i="7"/>
  <c r="P661" i="7"/>
  <c r="Q661" i="7"/>
  <c r="R661" i="7"/>
  <c r="T661" i="7"/>
  <c r="U661" i="7"/>
  <c r="W661" i="7"/>
  <c r="X661" i="7"/>
  <c r="Y661" i="7"/>
  <c r="D662" i="7"/>
  <c r="E662" i="7"/>
  <c r="F662" i="7"/>
  <c r="G662" i="7"/>
  <c r="H662" i="7"/>
  <c r="I662" i="7"/>
  <c r="J662" i="7"/>
  <c r="K662" i="7"/>
  <c r="L662" i="7"/>
  <c r="M662" i="7"/>
  <c r="N662" i="7"/>
  <c r="P662" i="7"/>
  <c r="Q662" i="7"/>
  <c r="R662" i="7"/>
  <c r="T662" i="7"/>
  <c r="U662" i="7"/>
  <c r="W662" i="7"/>
  <c r="X662" i="7"/>
  <c r="Y662" i="7"/>
  <c r="D663" i="7"/>
  <c r="E663" i="7"/>
  <c r="F663" i="7"/>
  <c r="G663" i="7"/>
  <c r="H663" i="7"/>
  <c r="I663" i="7"/>
  <c r="J663" i="7"/>
  <c r="K663" i="7"/>
  <c r="L663" i="7"/>
  <c r="M663" i="7"/>
  <c r="N663" i="7"/>
  <c r="P663" i="7"/>
  <c r="Q663" i="7"/>
  <c r="R663" i="7"/>
  <c r="T663" i="7"/>
  <c r="U663" i="7"/>
  <c r="W663" i="7"/>
  <c r="X663" i="7"/>
  <c r="Y663" i="7"/>
  <c r="D664" i="7"/>
  <c r="E664" i="7"/>
  <c r="F664" i="7"/>
  <c r="G664" i="7"/>
  <c r="H664" i="7"/>
  <c r="I664" i="7"/>
  <c r="J664" i="7"/>
  <c r="K664" i="7"/>
  <c r="L664" i="7"/>
  <c r="M664" i="7"/>
  <c r="N664" i="7"/>
  <c r="P664" i="7"/>
  <c r="Q664" i="7"/>
  <c r="R664" i="7"/>
  <c r="T664" i="7"/>
  <c r="U664" i="7"/>
  <c r="W664" i="7"/>
  <c r="X664" i="7"/>
  <c r="Y664" i="7"/>
  <c r="D665" i="7"/>
  <c r="E665" i="7"/>
  <c r="F665" i="7"/>
  <c r="G665" i="7"/>
  <c r="H665" i="7"/>
  <c r="I665" i="7"/>
  <c r="J665" i="7"/>
  <c r="K665" i="7"/>
  <c r="L665" i="7"/>
  <c r="M665" i="7"/>
  <c r="N665" i="7"/>
  <c r="P665" i="7"/>
  <c r="Q665" i="7"/>
  <c r="R665" i="7"/>
  <c r="T665" i="7"/>
  <c r="U665" i="7"/>
  <c r="W665" i="7"/>
  <c r="X665" i="7"/>
  <c r="Y665" i="7"/>
  <c r="D666" i="7"/>
  <c r="E666" i="7"/>
  <c r="F666" i="7"/>
  <c r="G666" i="7"/>
  <c r="H666" i="7"/>
  <c r="I666" i="7"/>
  <c r="J666" i="7"/>
  <c r="K666" i="7"/>
  <c r="L666" i="7"/>
  <c r="M666" i="7"/>
  <c r="N666" i="7"/>
  <c r="P666" i="7"/>
  <c r="Q666" i="7"/>
  <c r="R666" i="7"/>
  <c r="T666" i="7"/>
  <c r="U666" i="7"/>
  <c r="W666" i="7"/>
  <c r="X666" i="7"/>
  <c r="Y666" i="7"/>
  <c r="D667" i="7"/>
  <c r="E667" i="7"/>
  <c r="F667" i="7"/>
  <c r="G667" i="7"/>
  <c r="H667" i="7"/>
  <c r="I667" i="7"/>
  <c r="J667" i="7"/>
  <c r="K667" i="7"/>
  <c r="L667" i="7"/>
  <c r="M667" i="7"/>
  <c r="N667" i="7"/>
  <c r="P667" i="7"/>
  <c r="Q667" i="7"/>
  <c r="R667" i="7"/>
  <c r="T667" i="7"/>
  <c r="U667" i="7"/>
  <c r="W667" i="7"/>
  <c r="X667" i="7"/>
  <c r="Y667" i="7"/>
  <c r="D668" i="7"/>
  <c r="E668" i="7"/>
  <c r="F668" i="7"/>
  <c r="G668" i="7"/>
  <c r="H668" i="7"/>
  <c r="I668" i="7"/>
  <c r="J668" i="7"/>
  <c r="K668" i="7"/>
  <c r="L668" i="7"/>
  <c r="M668" i="7"/>
  <c r="N668" i="7"/>
  <c r="P668" i="7"/>
  <c r="Q668" i="7"/>
  <c r="R668" i="7"/>
  <c r="T668" i="7"/>
  <c r="U668" i="7"/>
  <c r="W668" i="7"/>
  <c r="X668" i="7"/>
  <c r="Y668" i="7"/>
  <c r="D669" i="7"/>
  <c r="E669" i="7"/>
  <c r="F669" i="7"/>
  <c r="G669" i="7"/>
  <c r="H669" i="7"/>
  <c r="I669" i="7"/>
  <c r="J669" i="7"/>
  <c r="K669" i="7"/>
  <c r="L669" i="7"/>
  <c r="M669" i="7"/>
  <c r="N669" i="7"/>
  <c r="P669" i="7"/>
  <c r="Q669" i="7"/>
  <c r="R669" i="7"/>
  <c r="T669" i="7"/>
  <c r="U669" i="7"/>
  <c r="W669" i="7"/>
  <c r="X669" i="7"/>
  <c r="Y669" i="7"/>
  <c r="D670" i="7"/>
  <c r="E670" i="7"/>
  <c r="F670" i="7"/>
  <c r="G670" i="7"/>
  <c r="H670" i="7"/>
  <c r="I670" i="7"/>
  <c r="J670" i="7"/>
  <c r="K670" i="7"/>
  <c r="L670" i="7"/>
  <c r="M670" i="7"/>
  <c r="N670" i="7"/>
  <c r="P670" i="7"/>
  <c r="Q670" i="7"/>
  <c r="R670" i="7"/>
  <c r="T670" i="7"/>
  <c r="U670" i="7"/>
  <c r="W670" i="7"/>
  <c r="X670" i="7"/>
  <c r="Y670" i="7"/>
  <c r="D671" i="7"/>
  <c r="E671" i="7"/>
  <c r="F671" i="7"/>
  <c r="G671" i="7"/>
  <c r="H671" i="7"/>
  <c r="I671" i="7"/>
  <c r="J671" i="7"/>
  <c r="K671" i="7"/>
  <c r="L671" i="7"/>
  <c r="M671" i="7"/>
  <c r="N671" i="7"/>
  <c r="P671" i="7"/>
  <c r="Q671" i="7"/>
  <c r="R671" i="7"/>
  <c r="T671" i="7"/>
  <c r="U671" i="7"/>
  <c r="W671" i="7"/>
  <c r="X671" i="7"/>
  <c r="Y671" i="7"/>
  <c r="D672" i="7"/>
  <c r="E672" i="7"/>
  <c r="F672" i="7"/>
  <c r="G672" i="7"/>
  <c r="H672" i="7"/>
  <c r="I672" i="7"/>
  <c r="J672" i="7"/>
  <c r="K672" i="7"/>
  <c r="L672" i="7"/>
  <c r="M672" i="7"/>
  <c r="N672" i="7"/>
  <c r="P672" i="7"/>
  <c r="Q672" i="7"/>
  <c r="R672" i="7"/>
  <c r="T672" i="7"/>
  <c r="U672" i="7"/>
  <c r="W672" i="7"/>
  <c r="X672" i="7"/>
  <c r="Y672" i="7"/>
  <c r="D673" i="7"/>
  <c r="E673" i="7"/>
  <c r="F673" i="7"/>
  <c r="G673" i="7"/>
  <c r="H673" i="7"/>
  <c r="I673" i="7"/>
  <c r="J673" i="7"/>
  <c r="K673" i="7"/>
  <c r="L673" i="7"/>
  <c r="M673" i="7"/>
  <c r="N673" i="7"/>
  <c r="P673" i="7"/>
  <c r="Q673" i="7"/>
  <c r="R673" i="7"/>
  <c r="T673" i="7"/>
  <c r="U673" i="7"/>
  <c r="W673" i="7"/>
  <c r="X673" i="7"/>
  <c r="Y673" i="7"/>
  <c r="D674" i="7"/>
  <c r="E674" i="7"/>
  <c r="F674" i="7"/>
  <c r="G674" i="7"/>
  <c r="H674" i="7"/>
  <c r="I674" i="7"/>
  <c r="J674" i="7"/>
  <c r="K674" i="7"/>
  <c r="L674" i="7"/>
  <c r="M674" i="7"/>
  <c r="N674" i="7"/>
  <c r="P674" i="7"/>
  <c r="Q674" i="7"/>
  <c r="R674" i="7"/>
  <c r="T674" i="7"/>
  <c r="U674" i="7"/>
  <c r="W674" i="7"/>
  <c r="X674" i="7"/>
  <c r="Y674" i="7"/>
  <c r="D675" i="7"/>
  <c r="E675" i="7"/>
  <c r="F675" i="7"/>
  <c r="G675" i="7"/>
  <c r="H675" i="7"/>
  <c r="I675" i="7"/>
  <c r="J675" i="7"/>
  <c r="K675" i="7"/>
  <c r="L675" i="7"/>
  <c r="M675" i="7"/>
  <c r="N675" i="7"/>
  <c r="P675" i="7"/>
  <c r="Q675" i="7"/>
  <c r="R675" i="7"/>
  <c r="T675" i="7"/>
  <c r="U675" i="7"/>
  <c r="W675" i="7"/>
  <c r="X675" i="7"/>
  <c r="Y675" i="7"/>
  <c r="D676" i="7"/>
  <c r="E676" i="7"/>
  <c r="F676" i="7"/>
  <c r="G676" i="7"/>
  <c r="H676" i="7"/>
  <c r="I676" i="7"/>
  <c r="J676" i="7"/>
  <c r="K676" i="7"/>
  <c r="L676" i="7"/>
  <c r="M676" i="7"/>
  <c r="N676" i="7"/>
  <c r="P676" i="7"/>
  <c r="Q676" i="7"/>
  <c r="R676" i="7"/>
  <c r="T676" i="7"/>
  <c r="U676" i="7"/>
  <c r="W676" i="7"/>
  <c r="X676" i="7"/>
  <c r="Y676" i="7"/>
  <c r="D677" i="7"/>
  <c r="E677" i="7"/>
  <c r="F677" i="7"/>
  <c r="G677" i="7"/>
  <c r="H677" i="7"/>
  <c r="I677" i="7"/>
  <c r="J677" i="7"/>
  <c r="K677" i="7"/>
  <c r="L677" i="7"/>
  <c r="M677" i="7"/>
  <c r="N677" i="7"/>
  <c r="P677" i="7"/>
  <c r="Q677" i="7"/>
  <c r="R677" i="7"/>
  <c r="T677" i="7"/>
  <c r="U677" i="7"/>
  <c r="W677" i="7"/>
  <c r="X677" i="7"/>
  <c r="Y677" i="7"/>
  <c r="D678" i="7"/>
  <c r="E678" i="7"/>
  <c r="F678" i="7"/>
  <c r="G678" i="7"/>
  <c r="H678" i="7"/>
  <c r="I678" i="7"/>
  <c r="J678" i="7"/>
  <c r="K678" i="7"/>
  <c r="L678" i="7"/>
  <c r="M678" i="7"/>
  <c r="N678" i="7"/>
  <c r="P678" i="7"/>
  <c r="Q678" i="7"/>
  <c r="R678" i="7"/>
  <c r="T678" i="7"/>
  <c r="U678" i="7"/>
  <c r="W678" i="7"/>
  <c r="X678" i="7"/>
  <c r="Y678" i="7"/>
  <c r="D679" i="7"/>
  <c r="E679" i="7"/>
  <c r="F679" i="7"/>
  <c r="G679" i="7"/>
  <c r="H679" i="7"/>
  <c r="I679" i="7"/>
  <c r="J679" i="7"/>
  <c r="K679" i="7"/>
  <c r="L679" i="7"/>
  <c r="M679" i="7"/>
  <c r="N679" i="7"/>
  <c r="P679" i="7"/>
  <c r="Q679" i="7"/>
  <c r="R679" i="7"/>
  <c r="T679" i="7"/>
  <c r="U679" i="7"/>
  <c r="W679" i="7"/>
  <c r="X679" i="7"/>
  <c r="Y679" i="7"/>
  <c r="D680" i="7"/>
  <c r="E680" i="7"/>
  <c r="F680" i="7"/>
  <c r="G680" i="7"/>
  <c r="H680" i="7"/>
  <c r="I680" i="7"/>
  <c r="J680" i="7"/>
  <c r="K680" i="7"/>
  <c r="L680" i="7"/>
  <c r="M680" i="7"/>
  <c r="N680" i="7"/>
  <c r="P680" i="7"/>
  <c r="Q680" i="7"/>
  <c r="R680" i="7"/>
  <c r="T680" i="7"/>
  <c r="U680" i="7"/>
  <c r="W680" i="7"/>
  <c r="X680" i="7"/>
  <c r="Y680" i="7"/>
  <c r="D681" i="7"/>
  <c r="E681" i="7"/>
  <c r="F681" i="7"/>
  <c r="G681" i="7"/>
  <c r="H681" i="7"/>
  <c r="I681" i="7"/>
  <c r="J681" i="7"/>
  <c r="K681" i="7"/>
  <c r="L681" i="7"/>
  <c r="M681" i="7"/>
  <c r="N681" i="7"/>
  <c r="P681" i="7"/>
  <c r="Q681" i="7"/>
  <c r="R681" i="7"/>
  <c r="T681" i="7"/>
  <c r="U681" i="7"/>
  <c r="W681" i="7"/>
  <c r="X681" i="7"/>
  <c r="Y681" i="7"/>
  <c r="D682" i="7"/>
  <c r="E682" i="7"/>
  <c r="F682" i="7"/>
  <c r="G682" i="7"/>
  <c r="H682" i="7"/>
  <c r="I682" i="7"/>
  <c r="J682" i="7"/>
  <c r="K682" i="7"/>
  <c r="L682" i="7"/>
  <c r="M682" i="7"/>
  <c r="N682" i="7"/>
  <c r="P682" i="7"/>
  <c r="Q682" i="7"/>
  <c r="R682" i="7"/>
  <c r="T682" i="7"/>
  <c r="U682" i="7"/>
  <c r="W682" i="7"/>
  <c r="D683" i="7"/>
  <c r="E683" i="7"/>
  <c r="F683" i="7"/>
  <c r="G683" i="7"/>
  <c r="H683" i="7"/>
  <c r="I683" i="7"/>
  <c r="J683" i="7"/>
  <c r="K683" i="7"/>
  <c r="L683" i="7"/>
  <c r="M683" i="7"/>
  <c r="N683" i="7"/>
  <c r="P683" i="7"/>
  <c r="Q683" i="7"/>
  <c r="R683" i="7"/>
  <c r="T683" i="7"/>
  <c r="U683" i="7"/>
  <c r="W683" i="7"/>
  <c r="X683" i="7"/>
  <c r="Y683" i="7"/>
  <c r="D684" i="7"/>
  <c r="E684" i="7"/>
  <c r="F684" i="7"/>
  <c r="G684" i="7"/>
  <c r="H684" i="7"/>
  <c r="I684" i="7"/>
  <c r="J684" i="7"/>
  <c r="K684" i="7"/>
  <c r="L684" i="7"/>
  <c r="M684" i="7"/>
  <c r="N684" i="7"/>
  <c r="P684" i="7"/>
  <c r="Q684" i="7"/>
  <c r="R684" i="7"/>
  <c r="T684" i="7"/>
  <c r="U684" i="7"/>
  <c r="W684" i="7"/>
  <c r="X684" i="7"/>
  <c r="Y684" i="7"/>
  <c r="D685" i="7"/>
  <c r="E685" i="7"/>
  <c r="F685" i="7"/>
  <c r="G685" i="7"/>
  <c r="H685" i="7"/>
  <c r="I685" i="7"/>
  <c r="J685" i="7"/>
  <c r="K685" i="7"/>
  <c r="L685" i="7"/>
  <c r="M685" i="7"/>
  <c r="N685" i="7"/>
  <c r="P685" i="7"/>
  <c r="Q685" i="7"/>
  <c r="R685" i="7"/>
  <c r="T685" i="7"/>
  <c r="U685" i="7"/>
  <c r="W685" i="7"/>
  <c r="X685" i="7"/>
  <c r="Y685" i="7"/>
  <c r="D686" i="7"/>
  <c r="E686" i="7"/>
  <c r="F686" i="7"/>
  <c r="G686" i="7"/>
  <c r="H686" i="7"/>
  <c r="I686" i="7"/>
  <c r="J686" i="7"/>
  <c r="K686" i="7"/>
  <c r="L686" i="7"/>
  <c r="M686" i="7"/>
  <c r="N686" i="7"/>
  <c r="P686" i="7"/>
  <c r="Q686" i="7"/>
  <c r="S686" i="7" s="1"/>
  <c r="R686" i="7"/>
  <c r="T686" i="7"/>
  <c r="V686" i="7" s="1"/>
  <c r="U686" i="7"/>
  <c r="D687" i="7"/>
  <c r="E687" i="7"/>
  <c r="F687" i="7"/>
  <c r="G687" i="7"/>
  <c r="H687" i="7"/>
  <c r="I687" i="7"/>
  <c r="J687" i="7"/>
  <c r="K687" i="7"/>
  <c r="L687" i="7"/>
  <c r="M687" i="7"/>
  <c r="N687" i="7"/>
  <c r="P687" i="7"/>
  <c r="Q687" i="7"/>
  <c r="S687" i="7" s="1"/>
  <c r="R687" i="7"/>
  <c r="T687" i="7"/>
  <c r="V687" i="7" s="1"/>
  <c r="U687" i="7"/>
  <c r="W687" i="7"/>
  <c r="X687" i="7"/>
  <c r="Y687" i="7"/>
  <c r="D688" i="7"/>
  <c r="E688" i="7"/>
  <c r="F688" i="7"/>
  <c r="G688" i="7"/>
  <c r="H688" i="7"/>
  <c r="I688" i="7"/>
  <c r="J688" i="7"/>
  <c r="K688" i="7"/>
  <c r="L688" i="7"/>
  <c r="M688" i="7"/>
  <c r="N688" i="7"/>
  <c r="P688" i="7"/>
  <c r="Q688" i="7"/>
  <c r="S688" i="7" s="1"/>
  <c r="R688" i="7"/>
  <c r="T688" i="7"/>
  <c r="V688" i="7" s="1"/>
  <c r="U688" i="7"/>
  <c r="W688" i="7"/>
  <c r="X688" i="7"/>
  <c r="Y688" i="7"/>
  <c r="D689" i="7"/>
  <c r="E689" i="7"/>
  <c r="F689" i="7"/>
  <c r="G689" i="7"/>
  <c r="H689" i="7"/>
  <c r="I689" i="7"/>
  <c r="J689" i="7"/>
  <c r="K689" i="7"/>
  <c r="L689" i="7"/>
  <c r="M689" i="7"/>
  <c r="N689" i="7"/>
  <c r="P689" i="7"/>
  <c r="Q689" i="7"/>
  <c r="S689" i="7" s="1"/>
  <c r="R689" i="7"/>
  <c r="T689" i="7"/>
  <c r="V689" i="7" s="1"/>
  <c r="U689" i="7"/>
  <c r="W689" i="7"/>
  <c r="X689" i="7"/>
  <c r="Y689" i="7"/>
  <c r="D690" i="7"/>
  <c r="E690" i="7"/>
  <c r="F690" i="7"/>
  <c r="G690" i="7"/>
  <c r="H690" i="7"/>
  <c r="I690" i="7"/>
  <c r="J690" i="7"/>
  <c r="K690" i="7"/>
  <c r="L690" i="7"/>
  <c r="M690" i="7"/>
  <c r="N690" i="7"/>
  <c r="P690" i="7"/>
  <c r="Q690" i="7"/>
  <c r="S690" i="7" s="1"/>
  <c r="R690" i="7"/>
  <c r="T690" i="7"/>
  <c r="V690" i="7" s="1"/>
  <c r="U690" i="7"/>
  <c r="W690" i="7"/>
  <c r="X690" i="7"/>
  <c r="Y690" i="7"/>
  <c r="D691" i="7"/>
  <c r="E691" i="7"/>
  <c r="F691" i="7"/>
  <c r="G691" i="7"/>
  <c r="H691" i="7"/>
  <c r="I691" i="7"/>
  <c r="J691" i="7"/>
  <c r="K691" i="7"/>
  <c r="L691" i="7"/>
  <c r="M691" i="7"/>
  <c r="N691" i="7"/>
  <c r="P691" i="7"/>
  <c r="Q691" i="7"/>
  <c r="S691" i="7" s="1"/>
  <c r="R691" i="7"/>
  <c r="T691" i="7"/>
  <c r="V691" i="7" s="1"/>
  <c r="U691" i="7"/>
  <c r="W691" i="7"/>
  <c r="X691" i="7"/>
  <c r="Y691" i="7"/>
  <c r="D692" i="7"/>
  <c r="E692" i="7"/>
  <c r="F692" i="7"/>
  <c r="G692" i="7"/>
  <c r="H692" i="7"/>
  <c r="I692" i="7"/>
  <c r="J692" i="7"/>
  <c r="K692" i="7"/>
  <c r="L692" i="7"/>
  <c r="M692" i="7"/>
  <c r="N692" i="7"/>
  <c r="P692" i="7"/>
  <c r="Q692" i="7"/>
  <c r="S692" i="7" s="1"/>
  <c r="R692" i="7"/>
  <c r="T692" i="7"/>
  <c r="V692" i="7" s="1"/>
  <c r="U692" i="7"/>
  <c r="W692" i="7"/>
  <c r="X692" i="7"/>
  <c r="Y692" i="7"/>
  <c r="D693" i="7"/>
  <c r="E693" i="7"/>
  <c r="F693" i="7"/>
  <c r="G693" i="7"/>
  <c r="H693" i="7"/>
  <c r="I693" i="7"/>
  <c r="J693" i="7"/>
  <c r="K693" i="7"/>
  <c r="L693" i="7"/>
  <c r="M693" i="7"/>
  <c r="N693" i="7"/>
  <c r="P693" i="7"/>
  <c r="Q693" i="7"/>
  <c r="S693" i="7" s="1"/>
  <c r="R693" i="7"/>
  <c r="T693" i="7"/>
  <c r="V693" i="7" s="1"/>
  <c r="U693" i="7"/>
  <c r="W693" i="7"/>
  <c r="X693" i="7"/>
  <c r="Y693" i="7"/>
  <c r="D694" i="7"/>
  <c r="E694" i="7"/>
  <c r="F694" i="7"/>
  <c r="G694" i="7"/>
  <c r="H694" i="7"/>
  <c r="I694" i="7"/>
  <c r="J694" i="7"/>
  <c r="K694" i="7"/>
  <c r="L694" i="7"/>
  <c r="M694" i="7"/>
  <c r="N694" i="7"/>
  <c r="P694" i="7"/>
  <c r="Q694" i="7"/>
  <c r="S694" i="7" s="1"/>
  <c r="R694" i="7"/>
  <c r="T694" i="7"/>
  <c r="V694" i="7" s="1"/>
  <c r="U694" i="7"/>
  <c r="W694" i="7"/>
  <c r="X694" i="7"/>
  <c r="Y694" i="7"/>
  <c r="D695" i="7"/>
  <c r="E695" i="7"/>
  <c r="F695" i="7"/>
  <c r="G695" i="7"/>
  <c r="H695" i="7"/>
  <c r="I695" i="7"/>
  <c r="J695" i="7"/>
  <c r="K695" i="7"/>
  <c r="L695" i="7"/>
  <c r="M695" i="7"/>
  <c r="N695" i="7"/>
  <c r="P695" i="7"/>
  <c r="Q695" i="7"/>
  <c r="S695" i="7" s="1"/>
  <c r="R695" i="7"/>
  <c r="T695" i="7"/>
  <c r="V695" i="7" s="1"/>
  <c r="U695" i="7"/>
  <c r="W695" i="7"/>
  <c r="X695" i="7"/>
  <c r="Y695" i="7"/>
  <c r="D696" i="7"/>
  <c r="E696" i="7"/>
  <c r="F696" i="7"/>
  <c r="G696" i="7"/>
  <c r="H696" i="7"/>
  <c r="I696" i="7"/>
  <c r="J696" i="7"/>
  <c r="K696" i="7"/>
  <c r="L696" i="7"/>
  <c r="M696" i="7"/>
  <c r="N696" i="7"/>
  <c r="P696" i="7"/>
  <c r="Q696" i="7"/>
  <c r="S696" i="7" s="1"/>
  <c r="R696" i="7"/>
  <c r="T696" i="7"/>
  <c r="V696" i="7" s="1"/>
  <c r="U696" i="7"/>
  <c r="W696" i="7"/>
  <c r="X696" i="7"/>
  <c r="Y696" i="7"/>
  <c r="D697" i="7"/>
  <c r="E697" i="7"/>
  <c r="F697" i="7"/>
  <c r="G697" i="7"/>
  <c r="H697" i="7"/>
  <c r="I697" i="7"/>
  <c r="J697" i="7"/>
  <c r="K697" i="7"/>
  <c r="L697" i="7"/>
  <c r="M697" i="7"/>
  <c r="N697" i="7"/>
  <c r="P697" i="7"/>
  <c r="Q697" i="7"/>
  <c r="S697" i="7" s="1"/>
  <c r="R697" i="7"/>
  <c r="T697" i="7"/>
  <c r="V697" i="7" s="1"/>
  <c r="U697" i="7"/>
  <c r="W697" i="7"/>
  <c r="X697" i="7"/>
  <c r="Y697" i="7"/>
  <c r="D698" i="7"/>
  <c r="E698" i="7"/>
  <c r="F698" i="7"/>
  <c r="G698" i="7"/>
  <c r="H698" i="7"/>
  <c r="I698" i="7"/>
  <c r="J698" i="7"/>
  <c r="K698" i="7"/>
  <c r="L698" i="7"/>
  <c r="M698" i="7"/>
  <c r="N698" i="7"/>
  <c r="P698" i="7"/>
  <c r="Q698" i="7"/>
  <c r="S698" i="7" s="1"/>
  <c r="R698" i="7"/>
  <c r="T698" i="7"/>
  <c r="V698" i="7" s="1"/>
  <c r="U698" i="7"/>
  <c r="W698" i="7"/>
  <c r="X698" i="7"/>
  <c r="Y698" i="7"/>
  <c r="D699" i="7"/>
  <c r="E699" i="7"/>
  <c r="F699" i="7"/>
  <c r="G699" i="7"/>
  <c r="H699" i="7"/>
  <c r="I699" i="7"/>
  <c r="J699" i="7"/>
  <c r="K699" i="7"/>
  <c r="L699" i="7"/>
  <c r="M699" i="7"/>
  <c r="N699" i="7"/>
  <c r="P699" i="7"/>
  <c r="Q699" i="7"/>
  <c r="S699" i="7" s="1"/>
  <c r="R699" i="7"/>
  <c r="T699" i="7"/>
  <c r="V699" i="7" s="1"/>
  <c r="U699" i="7"/>
  <c r="W699" i="7"/>
  <c r="X699" i="7"/>
  <c r="Y699" i="7"/>
  <c r="D700" i="7"/>
  <c r="E700" i="7"/>
  <c r="F700" i="7"/>
  <c r="G700" i="7"/>
  <c r="H700" i="7"/>
  <c r="I700" i="7"/>
  <c r="J700" i="7"/>
  <c r="K700" i="7"/>
  <c r="L700" i="7"/>
  <c r="M700" i="7"/>
  <c r="N700" i="7"/>
  <c r="P700" i="7"/>
  <c r="Q700" i="7"/>
  <c r="S700" i="7" s="1"/>
  <c r="R700" i="7"/>
  <c r="T700" i="7"/>
  <c r="V700" i="7" s="1"/>
  <c r="U700" i="7"/>
  <c r="W700" i="7"/>
  <c r="X700" i="7"/>
  <c r="Y700" i="7"/>
  <c r="D701" i="7"/>
  <c r="E701" i="7"/>
  <c r="F701" i="7"/>
  <c r="G701" i="7"/>
  <c r="H701" i="7"/>
  <c r="I701" i="7"/>
  <c r="J701" i="7"/>
  <c r="K701" i="7"/>
  <c r="L701" i="7"/>
  <c r="M701" i="7"/>
  <c r="N701" i="7"/>
  <c r="P701" i="7"/>
  <c r="Q701" i="7"/>
  <c r="S701" i="7" s="1"/>
  <c r="R701" i="7"/>
  <c r="T701" i="7"/>
  <c r="V701" i="7" s="1"/>
  <c r="U701" i="7"/>
  <c r="W701" i="7"/>
  <c r="X701" i="7"/>
  <c r="Y701" i="7"/>
  <c r="D702" i="7"/>
  <c r="E702" i="7"/>
  <c r="F702" i="7"/>
  <c r="G702" i="7"/>
  <c r="H702" i="7"/>
  <c r="I702" i="7"/>
  <c r="J702" i="7"/>
  <c r="K702" i="7"/>
  <c r="L702" i="7"/>
  <c r="M702" i="7"/>
  <c r="N702" i="7"/>
  <c r="P702" i="7"/>
  <c r="Q702" i="7"/>
  <c r="S702" i="7" s="1"/>
  <c r="R702" i="7"/>
  <c r="T702" i="7"/>
  <c r="V702" i="7" s="1"/>
  <c r="U702" i="7"/>
  <c r="W702" i="7"/>
  <c r="X702" i="7"/>
  <c r="Y702" i="7"/>
  <c r="D703" i="7"/>
  <c r="E703" i="7"/>
  <c r="F703" i="7"/>
  <c r="G703" i="7"/>
  <c r="H703" i="7"/>
  <c r="I703" i="7"/>
  <c r="J703" i="7"/>
  <c r="K703" i="7"/>
  <c r="L703" i="7"/>
  <c r="M703" i="7"/>
  <c r="N703" i="7"/>
  <c r="P703" i="7"/>
  <c r="Q703" i="7"/>
  <c r="S703" i="7" s="1"/>
  <c r="R703" i="7"/>
  <c r="T703" i="7"/>
  <c r="V703" i="7" s="1"/>
  <c r="U703" i="7"/>
  <c r="W703" i="7"/>
  <c r="X703" i="7"/>
  <c r="Y703" i="7"/>
  <c r="D704" i="7"/>
  <c r="E704" i="7"/>
  <c r="F704" i="7"/>
  <c r="G704" i="7"/>
  <c r="H704" i="7"/>
  <c r="I704" i="7"/>
  <c r="J704" i="7"/>
  <c r="K704" i="7"/>
  <c r="L704" i="7"/>
  <c r="M704" i="7"/>
  <c r="N704" i="7"/>
  <c r="P704" i="7"/>
  <c r="Q704" i="7"/>
  <c r="S704" i="7" s="1"/>
  <c r="R704" i="7"/>
  <c r="T704" i="7"/>
  <c r="V704" i="7" s="1"/>
  <c r="U704" i="7"/>
  <c r="W704" i="7"/>
  <c r="X704" i="7"/>
  <c r="Y704" i="7"/>
  <c r="D705" i="7"/>
  <c r="E705" i="7"/>
  <c r="F705" i="7"/>
  <c r="G705" i="7"/>
  <c r="H705" i="7"/>
  <c r="I705" i="7"/>
  <c r="J705" i="7"/>
  <c r="K705" i="7"/>
  <c r="L705" i="7"/>
  <c r="M705" i="7"/>
  <c r="N705" i="7"/>
  <c r="P705" i="7"/>
  <c r="Q705" i="7"/>
  <c r="S705" i="7" s="1"/>
  <c r="R705" i="7"/>
  <c r="T705" i="7"/>
  <c r="V705" i="7" s="1"/>
  <c r="U705" i="7"/>
  <c r="W705" i="7"/>
  <c r="X705" i="7"/>
  <c r="Y705" i="7"/>
  <c r="D706" i="7"/>
  <c r="E706" i="7"/>
  <c r="F706" i="7"/>
  <c r="G706" i="7"/>
  <c r="H706" i="7"/>
  <c r="I706" i="7"/>
  <c r="J706" i="7"/>
  <c r="K706" i="7"/>
  <c r="L706" i="7"/>
  <c r="M706" i="7"/>
  <c r="N706" i="7"/>
  <c r="P706" i="7"/>
  <c r="Q706" i="7"/>
  <c r="S706" i="7" s="1"/>
  <c r="R706" i="7"/>
  <c r="T706" i="7"/>
  <c r="V706" i="7" s="1"/>
  <c r="U706" i="7"/>
  <c r="W706" i="7"/>
  <c r="X706" i="7"/>
  <c r="Y706" i="7"/>
  <c r="D707" i="7"/>
  <c r="E707" i="7"/>
  <c r="F707" i="7"/>
  <c r="G707" i="7"/>
  <c r="H707" i="7"/>
  <c r="I707" i="7"/>
  <c r="J707" i="7"/>
  <c r="K707" i="7"/>
  <c r="L707" i="7"/>
  <c r="M707" i="7"/>
  <c r="N707" i="7"/>
  <c r="P707" i="7"/>
  <c r="Q707" i="7"/>
  <c r="S707" i="7" s="1"/>
  <c r="R707" i="7"/>
  <c r="T707" i="7"/>
  <c r="V707" i="7" s="1"/>
  <c r="U707" i="7"/>
  <c r="W707" i="7"/>
  <c r="X707" i="7"/>
  <c r="Y707" i="7"/>
  <c r="D708" i="7"/>
  <c r="E708" i="7"/>
  <c r="F708" i="7"/>
  <c r="G708" i="7"/>
  <c r="H708" i="7"/>
  <c r="I708" i="7"/>
  <c r="J708" i="7"/>
  <c r="K708" i="7"/>
  <c r="L708" i="7"/>
  <c r="M708" i="7"/>
  <c r="N708" i="7"/>
  <c r="P708" i="7"/>
  <c r="Q708" i="7"/>
  <c r="S708" i="7" s="1"/>
  <c r="R708" i="7"/>
  <c r="T708" i="7"/>
  <c r="V708" i="7" s="1"/>
  <c r="U708" i="7"/>
  <c r="W708" i="7"/>
  <c r="X708" i="7"/>
  <c r="Y708" i="7"/>
  <c r="D709" i="7"/>
  <c r="E709" i="7"/>
  <c r="F709" i="7"/>
  <c r="G709" i="7"/>
  <c r="H709" i="7"/>
  <c r="I709" i="7"/>
  <c r="J709" i="7"/>
  <c r="K709" i="7"/>
  <c r="L709" i="7"/>
  <c r="M709" i="7"/>
  <c r="N709" i="7"/>
  <c r="P709" i="7"/>
  <c r="Q709" i="7"/>
  <c r="S709" i="7" s="1"/>
  <c r="R709" i="7"/>
  <c r="T709" i="7"/>
  <c r="V709" i="7" s="1"/>
  <c r="U709" i="7"/>
  <c r="W709" i="7"/>
  <c r="X709" i="7"/>
  <c r="Y709" i="7"/>
  <c r="D710" i="7"/>
  <c r="E710" i="7"/>
  <c r="F710" i="7"/>
  <c r="G710" i="7"/>
  <c r="H710" i="7"/>
  <c r="I710" i="7"/>
  <c r="J710" i="7"/>
  <c r="K710" i="7"/>
  <c r="L710" i="7"/>
  <c r="M710" i="7"/>
  <c r="N710" i="7"/>
  <c r="P710" i="7"/>
  <c r="Q710" i="7"/>
  <c r="S710" i="7" s="1"/>
  <c r="R710" i="7"/>
  <c r="T710" i="7"/>
  <c r="V710" i="7" s="1"/>
  <c r="U710" i="7"/>
  <c r="W710" i="7"/>
  <c r="X710" i="7"/>
  <c r="Y710" i="7"/>
  <c r="D711" i="7"/>
  <c r="E711" i="7"/>
  <c r="F711" i="7"/>
  <c r="G711" i="7"/>
  <c r="H711" i="7"/>
  <c r="I711" i="7"/>
  <c r="J711" i="7"/>
  <c r="K711" i="7"/>
  <c r="L711" i="7"/>
  <c r="M711" i="7"/>
  <c r="N711" i="7"/>
  <c r="P711" i="7"/>
  <c r="Q711" i="7"/>
  <c r="S711" i="7" s="1"/>
  <c r="R711" i="7"/>
  <c r="T711" i="7"/>
  <c r="V711" i="7" s="1"/>
  <c r="U711" i="7"/>
  <c r="W711" i="7"/>
  <c r="X711" i="7"/>
  <c r="Y711" i="7"/>
  <c r="D712" i="7"/>
  <c r="E712" i="7"/>
  <c r="F712" i="7"/>
  <c r="G712" i="7"/>
  <c r="H712" i="7"/>
  <c r="I712" i="7"/>
  <c r="J712" i="7"/>
  <c r="K712" i="7"/>
  <c r="L712" i="7"/>
  <c r="M712" i="7"/>
  <c r="N712" i="7"/>
  <c r="P712" i="7"/>
  <c r="Q712" i="7"/>
  <c r="S712" i="7" s="1"/>
  <c r="R712" i="7"/>
  <c r="T712" i="7"/>
  <c r="V712" i="7" s="1"/>
  <c r="U712" i="7"/>
  <c r="W712" i="7"/>
  <c r="X712" i="7"/>
  <c r="Y712" i="7"/>
  <c r="D713" i="7"/>
  <c r="E713" i="7"/>
  <c r="F713" i="7"/>
  <c r="G713" i="7"/>
  <c r="H713" i="7"/>
  <c r="I713" i="7"/>
  <c r="J713" i="7"/>
  <c r="K713" i="7"/>
  <c r="L713" i="7"/>
  <c r="M713" i="7"/>
  <c r="N713" i="7"/>
  <c r="P713" i="7"/>
  <c r="Q713" i="7"/>
  <c r="S713" i="7" s="1"/>
  <c r="R713" i="7"/>
  <c r="T713" i="7"/>
  <c r="V713" i="7" s="1"/>
  <c r="U713" i="7"/>
  <c r="W713" i="7"/>
  <c r="X713" i="7"/>
  <c r="Y713" i="7"/>
  <c r="D714" i="7"/>
  <c r="E714" i="7"/>
  <c r="F714" i="7"/>
  <c r="G714" i="7"/>
  <c r="H714" i="7"/>
  <c r="I714" i="7"/>
  <c r="J714" i="7"/>
  <c r="K714" i="7"/>
  <c r="L714" i="7"/>
  <c r="M714" i="7"/>
  <c r="N714" i="7"/>
  <c r="P714" i="7"/>
  <c r="Q714" i="7"/>
  <c r="S714" i="7" s="1"/>
  <c r="R714" i="7"/>
  <c r="T714" i="7"/>
  <c r="V714" i="7" s="1"/>
  <c r="U714" i="7"/>
  <c r="W714" i="7"/>
  <c r="X714" i="7"/>
  <c r="Y714" i="7"/>
  <c r="D715" i="7"/>
  <c r="E715" i="7"/>
  <c r="F715" i="7"/>
  <c r="G715" i="7"/>
  <c r="H715" i="7"/>
  <c r="I715" i="7"/>
  <c r="J715" i="7"/>
  <c r="K715" i="7"/>
  <c r="L715" i="7"/>
  <c r="M715" i="7"/>
  <c r="N715" i="7"/>
  <c r="P715" i="7"/>
  <c r="Q715" i="7"/>
  <c r="S715" i="7" s="1"/>
  <c r="R715" i="7"/>
  <c r="T715" i="7"/>
  <c r="V715" i="7" s="1"/>
  <c r="U715" i="7"/>
  <c r="W715" i="7"/>
  <c r="X715" i="7"/>
  <c r="Y715" i="7"/>
  <c r="D716" i="7"/>
  <c r="E716" i="7"/>
  <c r="F716" i="7"/>
  <c r="G716" i="7"/>
  <c r="H716" i="7"/>
  <c r="I716" i="7"/>
  <c r="J716" i="7"/>
  <c r="K716" i="7"/>
  <c r="L716" i="7"/>
  <c r="M716" i="7"/>
  <c r="N716" i="7"/>
  <c r="P716" i="7"/>
  <c r="Q716" i="7"/>
  <c r="S716" i="7" s="1"/>
  <c r="R716" i="7"/>
  <c r="T716" i="7"/>
  <c r="V716" i="7" s="1"/>
  <c r="U716" i="7"/>
  <c r="W716" i="7"/>
  <c r="X716" i="7"/>
  <c r="Y716" i="7"/>
  <c r="D717" i="7"/>
  <c r="E717" i="7"/>
  <c r="F717" i="7"/>
  <c r="G717" i="7"/>
  <c r="H717" i="7"/>
  <c r="I717" i="7"/>
  <c r="J717" i="7"/>
  <c r="K717" i="7"/>
  <c r="L717" i="7"/>
  <c r="M717" i="7"/>
  <c r="N717" i="7"/>
  <c r="P717" i="7"/>
  <c r="Q717" i="7"/>
  <c r="S717" i="7" s="1"/>
  <c r="R717" i="7"/>
  <c r="T717" i="7"/>
  <c r="V717" i="7" s="1"/>
  <c r="U717" i="7"/>
  <c r="W717" i="7"/>
  <c r="X717" i="7"/>
  <c r="Y717" i="7"/>
  <c r="D718" i="7"/>
  <c r="E718" i="7"/>
  <c r="F718" i="7"/>
  <c r="G718" i="7"/>
  <c r="H718" i="7"/>
  <c r="I718" i="7"/>
  <c r="J718" i="7"/>
  <c r="K718" i="7"/>
  <c r="L718" i="7"/>
  <c r="M718" i="7"/>
  <c r="N718" i="7"/>
  <c r="P718" i="7"/>
  <c r="O718" i="7" s="1"/>
  <c r="Q718" i="7"/>
  <c r="R718" i="7"/>
  <c r="S718" i="7"/>
  <c r="T718" i="7"/>
  <c r="U718" i="7"/>
  <c r="V718" i="7"/>
  <c r="W718" i="7"/>
  <c r="X718" i="7"/>
  <c r="Y718" i="7"/>
  <c r="D719" i="7"/>
  <c r="E719" i="7"/>
  <c r="F719" i="7"/>
  <c r="G719" i="7"/>
  <c r="H719" i="7"/>
  <c r="I719" i="7"/>
  <c r="J719" i="7"/>
  <c r="K719" i="7"/>
  <c r="L719" i="7"/>
  <c r="M719" i="7"/>
  <c r="N719" i="7"/>
  <c r="P719" i="7"/>
  <c r="O719" i="7" s="1"/>
  <c r="Q719" i="7"/>
  <c r="R719" i="7"/>
  <c r="S719" i="7"/>
  <c r="T719" i="7"/>
  <c r="U719" i="7"/>
  <c r="V719" i="7"/>
  <c r="W719" i="7"/>
  <c r="X719" i="7"/>
  <c r="Y719" i="7"/>
  <c r="D720" i="7"/>
  <c r="E720" i="7"/>
  <c r="F720" i="7"/>
  <c r="G720" i="7"/>
  <c r="H720" i="7"/>
  <c r="I720" i="7"/>
  <c r="J720" i="7"/>
  <c r="K720" i="7"/>
  <c r="L720" i="7"/>
  <c r="M720" i="7"/>
  <c r="N720" i="7"/>
  <c r="P720" i="7"/>
  <c r="O720" i="7" s="1"/>
  <c r="Q720" i="7"/>
  <c r="R720" i="7"/>
  <c r="S720" i="7"/>
  <c r="T720" i="7"/>
  <c r="U720" i="7"/>
  <c r="V720" i="7"/>
  <c r="W720" i="7"/>
  <c r="X720" i="7"/>
  <c r="Y720" i="7"/>
  <c r="D721" i="7"/>
  <c r="E721" i="7"/>
  <c r="F721" i="7"/>
  <c r="G721" i="7"/>
  <c r="H721" i="7"/>
  <c r="I721" i="7"/>
  <c r="J721" i="7"/>
  <c r="K721" i="7"/>
  <c r="L721" i="7"/>
  <c r="M721" i="7"/>
  <c r="N721" i="7"/>
  <c r="P721" i="7"/>
  <c r="O721" i="7" s="1"/>
  <c r="Q721" i="7"/>
  <c r="R721" i="7"/>
  <c r="S721" i="7"/>
  <c r="T721" i="7"/>
  <c r="U721" i="7"/>
  <c r="V721" i="7"/>
  <c r="W721" i="7"/>
  <c r="X721" i="7"/>
  <c r="Y721" i="7"/>
  <c r="D722" i="7"/>
  <c r="E722" i="7"/>
  <c r="F722" i="7"/>
  <c r="G722" i="7"/>
  <c r="H722" i="7"/>
  <c r="I722" i="7"/>
  <c r="J722" i="7"/>
  <c r="K722" i="7"/>
  <c r="L722" i="7"/>
  <c r="M722" i="7"/>
  <c r="N722" i="7"/>
  <c r="P722" i="7"/>
  <c r="O722" i="7" s="1"/>
  <c r="Q722" i="7"/>
  <c r="R722" i="7"/>
  <c r="S722" i="7"/>
  <c r="T722" i="7"/>
  <c r="U722" i="7"/>
  <c r="V722" i="7"/>
  <c r="W722" i="7"/>
  <c r="X722" i="7"/>
  <c r="Y722" i="7"/>
  <c r="D723" i="7"/>
  <c r="E723" i="7"/>
  <c r="F723" i="7"/>
  <c r="G723" i="7"/>
  <c r="H723" i="7"/>
  <c r="I723" i="7"/>
  <c r="J723" i="7"/>
  <c r="K723" i="7"/>
  <c r="L723" i="7"/>
  <c r="M723" i="7"/>
  <c r="N723" i="7"/>
  <c r="P723" i="7"/>
  <c r="O723" i="7" s="1"/>
  <c r="Q723" i="7"/>
  <c r="R723" i="7"/>
  <c r="S723" i="7"/>
  <c r="T723" i="7"/>
  <c r="U723" i="7"/>
  <c r="V723" i="7"/>
  <c r="W723" i="7"/>
  <c r="X723" i="7"/>
  <c r="Y723" i="7"/>
  <c r="D724" i="7"/>
  <c r="E724" i="7"/>
  <c r="F724" i="7"/>
  <c r="G724" i="7"/>
  <c r="H724" i="7"/>
  <c r="I724" i="7"/>
  <c r="J724" i="7"/>
  <c r="K724" i="7"/>
  <c r="L724" i="7"/>
  <c r="M724" i="7"/>
  <c r="N724" i="7"/>
  <c r="P724" i="7"/>
  <c r="O724" i="7" s="1"/>
  <c r="Q724" i="7"/>
  <c r="R724" i="7"/>
  <c r="S724" i="7"/>
  <c r="T724" i="7"/>
  <c r="U724" i="7"/>
  <c r="V724" i="7"/>
  <c r="W724" i="7"/>
  <c r="X724" i="7"/>
  <c r="Y724" i="7"/>
  <c r="D725" i="7"/>
  <c r="E725" i="7"/>
  <c r="F725" i="7"/>
  <c r="G725" i="7"/>
  <c r="H725" i="7"/>
  <c r="I725" i="7"/>
  <c r="J725" i="7"/>
  <c r="K725" i="7"/>
  <c r="L725" i="7"/>
  <c r="M725" i="7"/>
  <c r="N725" i="7"/>
  <c r="P725" i="7"/>
  <c r="O725" i="7" s="1"/>
  <c r="Q725" i="7"/>
  <c r="R725" i="7"/>
  <c r="S725" i="7"/>
  <c r="T725" i="7"/>
  <c r="U725" i="7"/>
  <c r="V725" i="7"/>
  <c r="W725" i="7"/>
  <c r="X725" i="7"/>
  <c r="Y725" i="7"/>
  <c r="D726" i="7"/>
  <c r="E726" i="7"/>
  <c r="F726" i="7"/>
  <c r="G726" i="7"/>
  <c r="H726" i="7"/>
  <c r="I726" i="7"/>
  <c r="J726" i="7"/>
  <c r="K726" i="7"/>
  <c r="L726" i="7"/>
  <c r="M726" i="7"/>
  <c r="N726" i="7"/>
  <c r="P726" i="7"/>
  <c r="O726" i="7" s="1"/>
  <c r="Q726" i="7"/>
  <c r="R726" i="7"/>
  <c r="S726" i="7"/>
  <c r="T726" i="7"/>
  <c r="U726" i="7"/>
  <c r="V726" i="7"/>
  <c r="W726" i="7"/>
  <c r="X726" i="7"/>
  <c r="Y726" i="7"/>
  <c r="D727" i="7"/>
  <c r="E727" i="7"/>
  <c r="F727" i="7"/>
  <c r="G727" i="7"/>
  <c r="H727" i="7"/>
  <c r="I727" i="7"/>
  <c r="J727" i="7"/>
  <c r="K727" i="7"/>
  <c r="L727" i="7"/>
  <c r="M727" i="7"/>
  <c r="N727" i="7"/>
  <c r="P727" i="7"/>
  <c r="O727" i="7" s="1"/>
  <c r="Q727" i="7"/>
  <c r="R727" i="7"/>
  <c r="S727" i="7"/>
  <c r="T727" i="7"/>
  <c r="U727" i="7"/>
  <c r="V727" i="7"/>
  <c r="W727" i="7"/>
  <c r="X727" i="7"/>
  <c r="Y727" i="7"/>
  <c r="D728" i="7"/>
  <c r="E728" i="7"/>
  <c r="F728" i="7"/>
  <c r="G728" i="7"/>
  <c r="H728" i="7"/>
  <c r="I728" i="7"/>
  <c r="J728" i="7"/>
  <c r="K728" i="7"/>
  <c r="L728" i="7"/>
  <c r="M728" i="7"/>
  <c r="N728" i="7"/>
  <c r="P728" i="7"/>
  <c r="O728" i="7" s="1"/>
  <c r="Q728" i="7"/>
  <c r="R728" i="7"/>
  <c r="S728" i="7"/>
  <c r="T728" i="7"/>
  <c r="U728" i="7"/>
  <c r="V728" i="7"/>
  <c r="W728" i="7"/>
  <c r="X728" i="7"/>
  <c r="Y728" i="7"/>
  <c r="D729" i="7"/>
  <c r="E729" i="7"/>
  <c r="F729" i="7"/>
  <c r="G729" i="7"/>
  <c r="H729" i="7"/>
  <c r="I729" i="7"/>
  <c r="J729" i="7"/>
  <c r="K729" i="7"/>
  <c r="L729" i="7"/>
  <c r="M729" i="7"/>
  <c r="N729" i="7"/>
  <c r="P729" i="7"/>
  <c r="O729" i="7" s="1"/>
  <c r="Q729" i="7"/>
  <c r="R729" i="7"/>
  <c r="S729" i="7"/>
  <c r="T729" i="7"/>
  <c r="U729" i="7"/>
  <c r="V729" i="7"/>
  <c r="W729" i="7"/>
  <c r="X729" i="7"/>
  <c r="Y729" i="7"/>
  <c r="D730" i="7"/>
  <c r="E730" i="7"/>
  <c r="F730" i="7"/>
  <c r="G730" i="7"/>
  <c r="H730" i="7"/>
  <c r="I730" i="7"/>
  <c r="J730" i="7"/>
  <c r="K730" i="7"/>
  <c r="L730" i="7"/>
  <c r="M730" i="7"/>
  <c r="N730" i="7"/>
  <c r="P730" i="7"/>
  <c r="O730" i="7" s="1"/>
  <c r="Q730" i="7"/>
  <c r="R730" i="7"/>
  <c r="S730" i="7"/>
  <c r="T730" i="7"/>
  <c r="U730" i="7"/>
  <c r="V730" i="7"/>
  <c r="W730" i="7"/>
  <c r="X730" i="7"/>
  <c r="Y730" i="7"/>
  <c r="D731" i="7"/>
  <c r="E731" i="7"/>
  <c r="F731" i="7"/>
  <c r="G731" i="7"/>
  <c r="H731" i="7"/>
  <c r="I731" i="7"/>
  <c r="J731" i="7"/>
  <c r="K731" i="7"/>
  <c r="L731" i="7"/>
  <c r="M731" i="7"/>
  <c r="N731" i="7"/>
  <c r="P731" i="7"/>
  <c r="O731" i="7" s="1"/>
  <c r="Q731" i="7"/>
  <c r="R731" i="7"/>
  <c r="S731" i="7"/>
  <c r="T731" i="7"/>
  <c r="U731" i="7"/>
  <c r="V731" i="7"/>
  <c r="W731" i="7"/>
  <c r="X731" i="7"/>
  <c r="Y731" i="7"/>
  <c r="D732" i="7"/>
  <c r="E732" i="7"/>
  <c r="F732" i="7"/>
  <c r="G732" i="7"/>
  <c r="H732" i="7"/>
  <c r="I732" i="7"/>
  <c r="J732" i="7"/>
  <c r="K732" i="7"/>
  <c r="L732" i="7"/>
  <c r="M732" i="7"/>
  <c r="N732" i="7"/>
  <c r="P732" i="7"/>
  <c r="O732" i="7" s="1"/>
  <c r="Q732" i="7"/>
  <c r="R732" i="7"/>
  <c r="S732" i="7"/>
  <c r="T732" i="7"/>
  <c r="U732" i="7"/>
  <c r="V732" i="7"/>
  <c r="W732" i="7"/>
  <c r="X732" i="7"/>
  <c r="Y732" i="7"/>
  <c r="D733" i="7"/>
  <c r="E733" i="7"/>
  <c r="F733" i="7"/>
  <c r="G733" i="7"/>
  <c r="H733" i="7"/>
  <c r="I733" i="7"/>
  <c r="J733" i="7"/>
  <c r="K733" i="7"/>
  <c r="L733" i="7"/>
  <c r="M733" i="7"/>
  <c r="N733" i="7"/>
  <c r="P733" i="7"/>
  <c r="O733" i="7" s="1"/>
  <c r="Q733" i="7"/>
  <c r="R733" i="7"/>
  <c r="S733" i="7"/>
  <c r="T733" i="7"/>
  <c r="U733" i="7"/>
  <c r="V733" i="7"/>
  <c r="W733" i="7"/>
  <c r="X733" i="7"/>
  <c r="Y733" i="7"/>
  <c r="D734" i="7"/>
  <c r="E734" i="7"/>
  <c r="F734" i="7"/>
  <c r="G734" i="7"/>
  <c r="H734" i="7"/>
  <c r="I734" i="7"/>
  <c r="J734" i="7"/>
  <c r="K734" i="7"/>
  <c r="L734" i="7"/>
  <c r="M734" i="7"/>
  <c r="N734" i="7"/>
  <c r="P734" i="7"/>
  <c r="O734" i="7" s="1"/>
  <c r="Q734" i="7"/>
  <c r="R734" i="7"/>
  <c r="S734" i="7"/>
  <c r="T734" i="7"/>
  <c r="U734" i="7"/>
  <c r="V734" i="7"/>
  <c r="W734" i="7"/>
  <c r="X734" i="7"/>
  <c r="Y734" i="7"/>
  <c r="D735" i="7"/>
  <c r="E735" i="7"/>
  <c r="F735" i="7"/>
  <c r="G735" i="7"/>
  <c r="H735" i="7"/>
  <c r="I735" i="7"/>
  <c r="J735" i="7"/>
  <c r="K735" i="7"/>
  <c r="L735" i="7"/>
  <c r="M735" i="7"/>
  <c r="N735" i="7"/>
  <c r="P735" i="7"/>
  <c r="O735" i="7" s="1"/>
  <c r="Q735" i="7"/>
  <c r="R735" i="7"/>
  <c r="S735" i="7"/>
  <c r="T735" i="7"/>
  <c r="U735" i="7"/>
  <c r="V735" i="7"/>
  <c r="W735" i="7"/>
  <c r="X735" i="7"/>
  <c r="Y735" i="7"/>
  <c r="D736" i="7"/>
  <c r="E736" i="7"/>
  <c r="F736" i="7"/>
  <c r="G736" i="7"/>
  <c r="H736" i="7"/>
  <c r="I736" i="7"/>
  <c r="J736" i="7"/>
  <c r="K736" i="7"/>
  <c r="L736" i="7"/>
  <c r="M736" i="7"/>
  <c r="N736" i="7"/>
  <c r="P736" i="7"/>
  <c r="O736" i="7" s="1"/>
  <c r="Q736" i="7"/>
  <c r="R736" i="7"/>
  <c r="S736" i="7"/>
  <c r="T736" i="7"/>
  <c r="U736" i="7"/>
  <c r="V736" i="7"/>
  <c r="W736" i="7"/>
  <c r="X736" i="7"/>
  <c r="Y736" i="7"/>
  <c r="D737" i="7"/>
  <c r="E737" i="7"/>
  <c r="F737" i="7"/>
  <c r="G737" i="7"/>
  <c r="H737" i="7"/>
  <c r="I737" i="7"/>
  <c r="J737" i="7"/>
  <c r="K737" i="7"/>
  <c r="L737" i="7"/>
  <c r="M737" i="7"/>
  <c r="N737" i="7"/>
  <c r="P737" i="7"/>
  <c r="O737" i="7" s="1"/>
  <c r="Q737" i="7"/>
  <c r="R737" i="7"/>
  <c r="S737" i="7"/>
  <c r="T737" i="7"/>
  <c r="U737" i="7"/>
  <c r="V737" i="7"/>
  <c r="W737" i="7"/>
  <c r="X737" i="7"/>
  <c r="Y737" i="7"/>
  <c r="D738" i="7"/>
  <c r="E738" i="7"/>
  <c r="F738" i="7"/>
  <c r="G738" i="7"/>
  <c r="H738" i="7"/>
  <c r="I738" i="7"/>
  <c r="J738" i="7"/>
  <c r="K738" i="7"/>
  <c r="L738" i="7"/>
  <c r="M738" i="7"/>
  <c r="N738" i="7"/>
  <c r="P738" i="7"/>
  <c r="O738" i="7" s="1"/>
  <c r="Q738" i="7"/>
  <c r="R738" i="7"/>
  <c r="S738" i="7"/>
  <c r="T738" i="7"/>
  <c r="U738" i="7"/>
  <c r="V738" i="7"/>
  <c r="W738" i="7"/>
  <c r="X738" i="7"/>
  <c r="Y738" i="7"/>
  <c r="D739" i="7"/>
  <c r="E739" i="7"/>
  <c r="F739" i="7"/>
  <c r="G739" i="7"/>
  <c r="H739" i="7"/>
  <c r="I739" i="7"/>
  <c r="J739" i="7"/>
  <c r="K739" i="7"/>
  <c r="L739" i="7"/>
  <c r="M739" i="7"/>
  <c r="N739" i="7"/>
  <c r="P739" i="7"/>
  <c r="O739" i="7" s="1"/>
  <c r="Q739" i="7"/>
  <c r="R739" i="7"/>
  <c r="S739" i="7"/>
  <c r="T739" i="7"/>
  <c r="U739" i="7"/>
  <c r="V739" i="7"/>
  <c r="W739" i="7"/>
  <c r="X739" i="7"/>
  <c r="Y739" i="7"/>
  <c r="D740" i="7"/>
  <c r="E740" i="7"/>
  <c r="F740" i="7"/>
  <c r="G740" i="7"/>
  <c r="H740" i="7"/>
  <c r="I740" i="7"/>
  <c r="J740" i="7"/>
  <c r="K740" i="7"/>
  <c r="L740" i="7"/>
  <c r="M740" i="7"/>
  <c r="N740" i="7"/>
  <c r="P740" i="7"/>
  <c r="O740" i="7" s="1"/>
  <c r="Q740" i="7"/>
  <c r="R740" i="7"/>
  <c r="S740" i="7"/>
  <c r="T740" i="7"/>
  <c r="U740" i="7"/>
  <c r="V740" i="7"/>
  <c r="W740" i="7"/>
  <c r="X740" i="7"/>
  <c r="Y740" i="7"/>
  <c r="D741" i="7"/>
  <c r="E741" i="7"/>
  <c r="F741" i="7"/>
  <c r="G741" i="7"/>
  <c r="H741" i="7"/>
  <c r="I741" i="7"/>
  <c r="J741" i="7"/>
  <c r="K741" i="7"/>
  <c r="L741" i="7"/>
  <c r="M741" i="7"/>
  <c r="N741" i="7"/>
  <c r="P741" i="7"/>
  <c r="O741" i="7" s="1"/>
  <c r="Q741" i="7"/>
  <c r="R741" i="7"/>
  <c r="S741" i="7"/>
  <c r="T741" i="7"/>
  <c r="U741" i="7"/>
  <c r="V741" i="7"/>
  <c r="W741" i="7"/>
  <c r="X741" i="7"/>
  <c r="Y741" i="7"/>
  <c r="D742" i="7"/>
  <c r="E742" i="7"/>
  <c r="F742" i="7"/>
  <c r="G742" i="7"/>
  <c r="H742" i="7"/>
  <c r="I742" i="7"/>
  <c r="J742" i="7"/>
  <c r="K742" i="7"/>
  <c r="L742" i="7"/>
  <c r="M742" i="7"/>
  <c r="N742" i="7"/>
  <c r="P742" i="7"/>
  <c r="O742" i="7" s="1"/>
  <c r="Q742" i="7"/>
  <c r="R742" i="7"/>
  <c r="S742" i="7"/>
  <c r="T742" i="7"/>
  <c r="U742" i="7"/>
  <c r="V742" i="7"/>
  <c r="W742" i="7"/>
  <c r="X742" i="7"/>
  <c r="Y742" i="7"/>
  <c r="D743" i="7"/>
  <c r="E743" i="7"/>
  <c r="F743" i="7"/>
  <c r="G743" i="7"/>
  <c r="H743" i="7"/>
  <c r="I743" i="7"/>
  <c r="J743" i="7"/>
  <c r="K743" i="7"/>
  <c r="L743" i="7"/>
  <c r="M743" i="7"/>
  <c r="N743" i="7"/>
  <c r="P743" i="7"/>
  <c r="O743" i="7" s="1"/>
  <c r="Q743" i="7"/>
  <c r="R743" i="7"/>
  <c r="S743" i="7"/>
  <c r="T743" i="7"/>
  <c r="U743" i="7"/>
  <c r="V743" i="7"/>
  <c r="W743" i="7"/>
  <c r="X743" i="7"/>
  <c r="Y743" i="7"/>
  <c r="D744" i="7"/>
  <c r="E744" i="7"/>
  <c r="F744" i="7"/>
  <c r="G744" i="7"/>
  <c r="H744" i="7"/>
  <c r="I744" i="7"/>
  <c r="J744" i="7"/>
  <c r="K744" i="7"/>
  <c r="L744" i="7"/>
  <c r="M744" i="7"/>
  <c r="N744" i="7"/>
  <c r="P744" i="7"/>
  <c r="O744" i="7" s="1"/>
  <c r="Q744" i="7"/>
  <c r="R744" i="7"/>
  <c r="S744" i="7"/>
  <c r="T744" i="7"/>
  <c r="U744" i="7"/>
  <c r="V744" i="7"/>
  <c r="W744" i="7"/>
  <c r="X744" i="7"/>
  <c r="Y744" i="7"/>
  <c r="D745" i="7"/>
  <c r="E745" i="7"/>
  <c r="F745" i="7"/>
  <c r="G745" i="7"/>
  <c r="H745" i="7"/>
  <c r="I745" i="7"/>
  <c r="J745" i="7"/>
  <c r="K745" i="7"/>
  <c r="L745" i="7"/>
  <c r="M745" i="7"/>
  <c r="N745" i="7"/>
  <c r="P745" i="7"/>
  <c r="O745" i="7" s="1"/>
  <c r="Q745" i="7"/>
  <c r="R745" i="7"/>
  <c r="S745" i="7"/>
  <c r="T745" i="7"/>
  <c r="U745" i="7"/>
  <c r="V745" i="7"/>
  <c r="W745" i="7"/>
  <c r="X745" i="7"/>
  <c r="Y745" i="7"/>
  <c r="D746" i="7"/>
  <c r="E746" i="7"/>
  <c r="F746" i="7"/>
  <c r="G746" i="7"/>
  <c r="H746" i="7"/>
  <c r="I746" i="7"/>
  <c r="J746" i="7"/>
  <c r="K746" i="7"/>
  <c r="L746" i="7"/>
  <c r="M746" i="7"/>
  <c r="N746" i="7"/>
  <c r="P746" i="7"/>
  <c r="O746" i="7" s="1"/>
  <c r="Q746" i="7"/>
  <c r="R746" i="7"/>
  <c r="S746" i="7"/>
  <c r="T746" i="7"/>
  <c r="U746" i="7"/>
  <c r="V746" i="7"/>
  <c r="W746" i="7"/>
  <c r="X746" i="7"/>
  <c r="Y746" i="7"/>
  <c r="D747" i="7"/>
  <c r="E747" i="7"/>
  <c r="F747" i="7"/>
  <c r="G747" i="7"/>
  <c r="H747" i="7"/>
  <c r="I747" i="7"/>
  <c r="J747" i="7"/>
  <c r="K747" i="7"/>
  <c r="L747" i="7"/>
  <c r="M747" i="7"/>
  <c r="N747" i="7"/>
  <c r="P747" i="7"/>
  <c r="O747" i="7" s="1"/>
  <c r="Q747" i="7"/>
  <c r="R747" i="7"/>
  <c r="S747" i="7"/>
  <c r="T747" i="7"/>
  <c r="U747" i="7"/>
  <c r="V747" i="7"/>
  <c r="W747" i="7"/>
  <c r="X747" i="7"/>
  <c r="Y747" i="7"/>
  <c r="D748" i="7"/>
  <c r="E748" i="7"/>
  <c r="F748" i="7"/>
  <c r="G748" i="7"/>
  <c r="H748" i="7"/>
  <c r="I748" i="7"/>
  <c r="J748" i="7"/>
  <c r="K748" i="7"/>
  <c r="L748" i="7"/>
  <c r="M748" i="7"/>
  <c r="N748" i="7"/>
  <c r="P748" i="7"/>
  <c r="O748" i="7" s="1"/>
  <c r="Q748" i="7"/>
  <c r="R748" i="7"/>
  <c r="S748" i="7"/>
  <c r="T748" i="7"/>
  <c r="U748" i="7"/>
  <c r="V748" i="7"/>
  <c r="W748" i="7"/>
  <c r="X748" i="7"/>
  <c r="Y748" i="7"/>
  <c r="D749" i="7"/>
  <c r="E749" i="7"/>
  <c r="F749" i="7"/>
  <c r="G749" i="7"/>
  <c r="H749" i="7"/>
  <c r="I749" i="7"/>
  <c r="J749" i="7"/>
  <c r="K749" i="7"/>
  <c r="L749" i="7"/>
  <c r="M749" i="7"/>
  <c r="N749" i="7"/>
  <c r="P749" i="7"/>
  <c r="O749" i="7" s="1"/>
  <c r="Q749" i="7"/>
  <c r="R749" i="7"/>
  <c r="S749" i="7"/>
  <c r="T749" i="7"/>
  <c r="U749" i="7"/>
  <c r="V749" i="7"/>
  <c r="W749" i="7"/>
  <c r="X749" i="7"/>
  <c r="Y749" i="7"/>
  <c r="D750" i="7"/>
  <c r="E750" i="7"/>
  <c r="F750" i="7"/>
  <c r="G750" i="7"/>
  <c r="H750" i="7"/>
  <c r="I750" i="7"/>
  <c r="J750" i="7"/>
  <c r="K750" i="7"/>
  <c r="L750" i="7"/>
  <c r="M750" i="7"/>
  <c r="N750" i="7"/>
  <c r="P750" i="7"/>
  <c r="O750" i="7" s="1"/>
  <c r="Q750" i="7"/>
  <c r="R750" i="7"/>
  <c r="S750" i="7"/>
  <c r="T750" i="7"/>
  <c r="U750" i="7"/>
  <c r="V750" i="7"/>
  <c r="W750" i="7"/>
  <c r="X750" i="7"/>
  <c r="Y750" i="7"/>
  <c r="D751" i="7"/>
  <c r="E751" i="7"/>
  <c r="F751" i="7"/>
  <c r="G751" i="7"/>
  <c r="H751" i="7"/>
  <c r="I751" i="7"/>
  <c r="J751" i="7"/>
  <c r="K751" i="7"/>
  <c r="L751" i="7"/>
  <c r="M751" i="7"/>
  <c r="N751" i="7"/>
  <c r="P751" i="7"/>
  <c r="O751" i="7" s="1"/>
  <c r="Q751" i="7"/>
  <c r="R751" i="7"/>
  <c r="S751" i="7"/>
  <c r="T751" i="7"/>
  <c r="U751" i="7"/>
  <c r="V751" i="7"/>
  <c r="W751" i="7"/>
  <c r="X751" i="7"/>
  <c r="Y751" i="7"/>
  <c r="D752" i="7"/>
  <c r="E752" i="7"/>
  <c r="F752" i="7"/>
  <c r="G752" i="7"/>
  <c r="H752" i="7"/>
  <c r="I752" i="7"/>
  <c r="J752" i="7"/>
  <c r="K752" i="7"/>
  <c r="L752" i="7"/>
  <c r="M752" i="7"/>
  <c r="N752" i="7"/>
  <c r="P752" i="7"/>
  <c r="O752" i="7" s="1"/>
  <c r="Q752" i="7"/>
  <c r="R752" i="7"/>
  <c r="S752" i="7"/>
  <c r="T752" i="7"/>
  <c r="U752" i="7"/>
  <c r="V752" i="7"/>
  <c r="W752" i="7"/>
  <c r="X752" i="7"/>
  <c r="Y752" i="7"/>
  <c r="D753" i="7"/>
  <c r="E753" i="7"/>
  <c r="F753" i="7"/>
  <c r="G753" i="7"/>
  <c r="H753" i="7"/>
  <c r="I753" i="7"/>
  <c r="J753" i="7"/>
  <c r="K753" i="7"/>
  <c r="L753" i="7"/>
  <c r="M753" i="7"/>
  <c r="N753" i="7"/>
  <c r="P753" i="7"/>
  <c r="O753" i="7" s="1"/>
  <c r="Q753" i="7"/>
  <c r="R753" i="7"/>
  <c r="S753" i="7"/>
  <c r="T753" i="7"/>
  <c r="U753" i="7"/>
  <c r="V753" i="7"/>
  <c r="W753" i="7"/>
  <c r="X753" i="7"/>
  <c r="Y753" i="7"/>
  <c r="D754" i="7"/>
  <c r="E754" i="7"/>
  <c r="F754" i="7"/>
  <c r="G754" i="7"/>
  <c r="H754" i="7"/>
  <c r="I754" i="7"/>
  <c r="J754" i="7"/>
  <c r="K754" i="7"/>
  <c r="L754" i="7"/>
  <c r="M754" i="7"/>
  <c r="N754" i="7"/>
  <c r="P754" i="7"/>
  <c r="O754" i="7" s="1"/>
  <c r="Q754" i="7"/>
  <c r="R754" i="7"/>
  <c r="S754" i="7"/>
  <c r="T754" i="7"/>
  <c r="U754" i="7"/>
  <c r="V754" i="7"/>
  <c r="W754" i="7"/>
  <c r="X754" i="7"/>
  <c r="Y754" i="7"/>
  <c r="D755" i="7"/>
  <c r="E755" i="7"/>
  <c r="F755" i="7"/>
  <c r="G755" i="7"/>
  <c r="H755" i="7"/>
  <c r="I755" i="7"/>
  <c r="J755" i="7"/>
  <c r="K755" i="7"/>
  <c r="L755" i="7"/>
  <c r="M755" i="7"/>
  <c r="N755" i="7"/>
  <c r="P755" i="7"/>
  <c r="O755" i="7" s="1"/>
  <c r="Q755" i="7"/>
  <c r="R755" i="7"/>
  <c r="S755" i="7"/>
  <c r="T755" i="7"/>
  <c r="U755" i="7"/>
  <c r="V755" i="7"/>
  <c r="W755" i="7"/>
  <c r="X755" i="7"/>
  <c r="Y755" i="7"/>
  <c r="D756" i="7"/>
  <c r="E756" i="7"/>
  <c r="F756" i="7"/>
  <c r="G756" i="7"/>
  <c r="H756" i="7"/>
  <c r="I756" i="7"/>
  <c r="J756" i="7"/>
  <c r="K756" i="7"/>
  <c r="L756" i="7"/>
  <c r="M756" i="7"/>
  <c r="N756" i="7"/>
  <c r="P756" i="7"/>
  <c r="O756" i="7" s="1"/>
  <c r="Q756" i="7"/>
  <c r="R756" i="7"/>
  <c r="S756" i="7"/>
  <c r="T756" i="7"/>
  <c r="U756" i="7"/>
  <c r="V756" i="7"/>
  <c r="W756" i="7"/>
  <c r="X756" i="7"/>
  <c r="Y756" i="7"/>
  <c r="D757" i="7"/>
  <c r="E757" i="7"/>
  <c r="F757" i="7"/>
  <c r="G757" i="7"/>
  <c r="H757" i="7"/>
  <c r="I757" i="7"/>
  <c r="J757" i="7"/>
  <c r="K757" i="7"/>
  <c r="L757" i="7"/>
  <c r="M757" i="7"/>
  <c r="N757" i="7"/>
  <c r="P757" i="7"/>
  <c r="O757" i="7" s="1"/>
  <c r="Q757" i="7"/>
  <c r="R757" i="7"/>
  <c r="S757" i="7"/>
  <c r="T757" i="7"/>
  <c r="U757" i="7"/>
  <c r="V757" i="7"/>
  <c r="W757" i="7"/>
  <c r="X757" i="7"/>
  <c r="Y757" i="7"/>
  <c r="D758" i="7"/>
  <c r="E758" i="7"/>
  <c r="F758" i="7"/>
  <c r="G758" i="7"/>
  <c r="H758" i="7"/>
  <c r="I758" i="7"/>
  <c r="J758" i="7"/>
  <c r="K758" i="7"/>
  <c r="L758" i="7"/>
  <c r="M758" i="7"/>
  <c r="N758" i="7"/>
  <c r="P758" i="7"/>
  <c r="O758" i="7" s="1"/>
  <c r="Q758" i="7"/>
  <c r="R758" i="7"/>
  <c r="S758" i="7"/>
  <c r="T758" i="7"/>
  <c r="U758" i="7"/>
  <c r="V758" i="7"/>
  <c r="W758" i="7"/>
  <c r="X758" i="7"/>
  <c r="Y758" i="7"/>
  <c r="D759" i="7"/>
  <c r="E759" i="7"/>
  <c r="F759" i="7"/>
  <c r="G759" i="7"/>
  <c r="H759" i="7"/>
  <c r="I759" i="7"/>
  <c r="J759" i="7"/>
  <c r="K759" i="7"/>
  <c r="L759" i="7"/>
  <c r="M759" i="7"/>
  <c r="N759" i="7"/>
  <c r="P759" i="7"/>
  <c r="O759" i="7" s="1"/>
  <c r="Q759" i="7"/>
  <c r="R759" i="7"/>
  <c r="S759" i="7"/>
  <c r="T759" i="7"/>
  <c r="U759" i="7"/>
  <c r="V759" i="7"/>
  <c r="W759" i="7"/>
  <c r="X759" i="7"/>
  <c r="Y759" i="7"/>
  <c r="D760" i="7"/>
  <c r="E760" i="7"/>
  <c r="F760" i="7"/>
  <c r="G760" i="7"/>
  <c r="H760" i="7"/>
  <c r="I760" i="7"/>
  <c r="J760" i="7"/>
  <c r="K760" i="7"/>
  <c r="L760" i="7"/>
  <c r="M760" i="7"/>
  <c r="N760" i="7"/>
  <c r="P760" i="7"/>
  <c r="O760" i="7" s="1"/>
  <c r="Q760" i="7"/>
  <c r="R760" i="7"/>
  <c r="S760" i="7"/>
  <c r="T760" i="7"/>
  <c r="U760" i="7"/>
  <c r="V760" i="7"/>
  <c r="W760" i="7"/>
  <c r="X760" i="7"/>
  <c r="Y760" i="7"/>
  <c r="D761" i="7"/>
  <c r="E761" i="7"/>
  <c r="F761" i="7"/>
  <c r="G761" i="7"/>
  <c r="H761" i="7"/>
  <c r="I761" i="7"/>
  <c r="J761" i="7"/>
  <c r="K761" i="7"/>
  <c r="L761" i="7"/>
  <c r="M761" i="7"/>
  <c r="N761" i="7"/>
  <c r="P761" i="7"/>
  <c r="O761" i="7" s="1"/>
  <c r="Q761" i="7"/>
  <c r="R761" i="7"/>
  <c r="S761" i="7"/>
  <c r="T761" i="7"/>
  <c r="U761" i="7"/>
  <c r="V761" i="7"/>
  <c r="W761" i="7"/>
  <c r="X761" i="7"/>
  <c r="Y761" i="7"/>
  <c r="D762" i="7"/>
  <c r="E762" i="7"/>
  <c r="F762" i="7"/>
  <c r="G762" i="7"/>
  <c r="H762" i="7"/>
  <c r="I762" i="7"/>
  <c r="J762" i="7"/>
  <c r="K762" i="7"/>
  <c r="L762" i="7"/>
  <c r="M762" i="7"/>
  <c r="N762" i="7"/>
  <c r="P762" i="7"/>
  <c r="O762" i="7" s="1"/>
  <c r="Q762" i="7"/>
  <c r="R762" i="7"/>
  <c r="S762" i="7"/>
  <c r="T762" i="7"/>
  <c r="U762" i="7"/>
  <c r="V762" i="7"/>
  <c r="W762" i="7"/>
  <c r="X762" i="7"/>
  <c r="Y762" i="7"/>
  <c r="D763" i="7"/>
  <c r="E763" i="7"/>
  <c r="F763" i="7"/>
  <c r="G763" i="7"/>
  <c r="H763" i="7"/>
  <c r="I763" i="7"/>
  <c r="J763" i="7"/>
  <c r="K763" i="7"/>
  <c r="L763" i="7"/>
  <c r="M763" i="7"/>
  <c r="N763" i="7"/>
  <c r="P763" i="7"/>
  <c r="O763" i="7" s="1"/>
  <c r="Q763" i="7"/>
  <c r="R763" i="7"/>
  <c r="S763" i="7"/>
  <c r="T763" i="7"/>
  <c r="U763" i="7"/>
  <c r="V763" i="7"/>
  <c r="W763" i="7"/>
  <c r="X763" i="7"/>
  <c r="Y763" i="7"/>
  <c r="D764" i="7"/>
  <c r="E764" i="7"/>
  <c r="F764" i="7"/>
  <c r="G764" i="7"/>
  <c r="H764" i="7"/>
  <c r="I764" i="7"/>
  <c r="J764" i="7"/>
  <c r="K764" i="7"/>
  <c r="L764" i="7"/>
  <c r="M764" i="7"/>
  <c r="N764" i="7"/>
  <c r="P764" i="7"/>
  <c r="O764" i="7" s="1"/>
  <c r="Q764" i="7"/>
  <c r="R764" i="7"/>
  <c r="S764" i="7"/>
  <c r="T764" i="7"/>
  <c r="U764" i="7"/>
  <c r="V764" i="7"/>
  <c r="W764" i="7"/>
  <c r="X764" i="7"/>
  <c r="Y764" i="7"/>
  <c r="D765" i="7"/>
  <c r="E765" i="7"/>
  <c r="F765" i="7"/>
  <c r="G765" i="7"/>
  <c r="H765" i="7"/>
  <c r="I765" i="7"/>
  <c r="J765" i="7"/>
  <c r="K765" i="7"/>
  <c r="L765" i="7"/>
  <c r="M765" i="7"/>
  <c r="N765" i="7"/>
  <c r="P765" i="7"/>
  <c r="O765" i="7" s="1"/>
  <c r="Q765" i="7"/>
  <c r="R765" i="7"/>
  <c r="S765" i="7"/>
  <c r="T765" i="7"/>
  <c r="U765" i="7"/>
  <c r="V765" i="7"/>
  <c r="W765" i="7"/>
  <c r="X765" i="7"/>
  <c r="Y765" i="7"/>
  <c r="D766" i="7"/>
  <c r="E766" i="7"/>
  <c r="F766" i="7"/>
  <c r="G766" i="7"/>
  <c r="H766" i="7"/>
  <c r="I766" i="7"/>
  <c r="J766" i="7"/>
  <c r="K766" i="7"/>
  <c r="L766" i="7"/>
  <c r="M766" i="7"/>
  <c r="N766" i="7"/>
  <c r="P766" i="7"/>
  <c r="O766" i="7" s="1"/>
  <c r="Q766" i="7"/>
  <c r="R766" i="7"/>
  <c r="S766" i="7"/>
  <c r="T766" i="7"/>
  <c r="U766" i="7"/>
  <c r="V766" i="7"/>
  <c r="W766" i="7"/>
  <c r="X766" i="7"/>
  <c r="Y766" i="7"/>
  <c r="D767" i="7"/>
  <c r="E767" i="7"/>
  <c r="F767" i="7"/>
  <c r="G767" i="7"/>
  <c r="H767" i="7"/>
  <c r="I767" i="7"/>
  <c r="J767" i="7"/>
  <c r="K767" i="7"/>
  <c r="L767" i="7"/>
  <c r="M767" i="7"/>
  <c r="N767" i="7"/>
  <c r="P767" i="7"/>
  <c r="O767" i="7" s="1"/>
  <c r="Q767" i="7"/>
  <c r="R767" i="7"/>
  <c r="S767" i="7"/>
  <c r="T767" i="7"/>
  <c r="U767" i="7"/>
  <c r="V767" i="7"/>
  <c r="W767" i="7"/>
  <c r="X767" i="7"/>
  <c r="Y767" i="7"/>
  <c r="D768" i="7"/>
  <c r="E768" i="7"/>
  <c r="F768" i="7"/>
  <c r="G768" i="7"/>
  <c r="H768" i="7"/>
  <c r="I768" i="7"/>
  <c r="J768" i="7"/>
  <c r="K768" i="7"/>
  <c r="L768" i="7"/>
  <c r="M768" i="7"/>
  <c r="N768" i="7"/>
  <c r="P768" i="7"/>
  <c r="O768" i="7" s="1"/>
  <c r="Q768" i="7"/>
  <c r="R768" i="7"/>
  <c r="S768" i="7"/>
  <c r="T768" i="7"/>
  <c r="U768" i="7"/>
  <c r="V768" i="7"/>
  <c r="W768" i="7"/>
  <c r="X768" i="7"/>
  <c r="Y768" i="7"/>
  <c r="D769" i="7"/>
  <c r="E769" i="7"/>
  <c r="F769" i="7"/>
  <c r="G769" i="7"/>
  <c r="H769" i="7"/>
  <c r="I769" i="7"/>
  <c r="J769" i="7"/>
  <c r="K769" i="7"/>
  <c r="L769" i="7"/>
  <c r="M769" i="7"/>
  <c r="N769" i="7"/>
  <c r="P769" i="7"/>
  <c r="O769" i="7" s="1"/>
  <c r="Q769" i="7"/>
  <c r="R769" i="7"/>
  <c r="S769" i="7"/>
  <c r="T769" i="7"/>
  <c r="U769" i="7"/>
  <c r="V769" i="7"/>
  <c r="W769" i="7"/>
  <c r="X769" i="7"/>
  <c r="Y769" i="7"/>
  <c r="D770" i="7"/>
  <c r="E770" i="7"/>
  <c r="F770" i="7"/>
  <c r="G770" i="7"/>
  <c r="H770" i="7"/>
  <c r="I770" i="7"/>
  <c r="J770" i="7"/>
  <c r="K770" i="7"/>
  <c r="L770" i="7"/>
  <c r="M770" i="7"/>
  <c r="N770" i="7"/>
  <c r="P770" i="7"/>
  <c r="O770" i="7" s="1"/>
  <c r="Q770" i="7"/>
  <c r="R770" i="7"/>
  <c r="S770" i="7"/>
  <c r="T770" i="7"/>
  <c r="U770" i="7"/>
  <c r="V770" i="7"/>
  <c r="W770" i="7"/>
  <c r="X770" i="7"/>
  <c r="Y770" i="7"/>
  <c r="D771" i="7"/>
  <c r="E771" i="7"/>
  <c r="F771" i="7"/>
  <c r="G771" i="7"/>
  <c r="H771" i="7"/>
  <c r="I771" i="7"/>
  <c r="J771" i="7"/>
  <c r="K771" i="7"/>
  <c r="L771" i="7"/>
  <c r="M771" i="7"/>
  <c r="N771" i="7"/>
  <c r="P771" i="7"/>
  <c r="O771" i="7" s="1"/>
  <c r="Q771" i="7"/>
  <c r="R771" i="7"/>
  <c r="S771" i="7"/>
  <c r="T771" i="7"/>
  <c r="U771" i="7"/>
  <c r="V771" i="7"/>
  <c r="W771" i="7"/>
  <c r="X771" i="7"/>
  <c r="Y771" i="7"/>
  <c r="D772" i="7"/>
  <c r="E772" i="7"/>
  <c r="F772" i="7"/>
  <c r="G772" i="7"/>
  <c r="H772" i="7"/>
  <c r="I772" i="7"/>
  <c r="J772" i="7"/>
  <c r="K772" i="7"/>
  <c r="L772" i="7"/>
  <c r="M772" i="7"/>
  <c r="N772" i="7"/>
  <c r="P772" i="7"/>
  <c r="O772" i="7" s="1"/>
  <c r="Q772" i="7"/>
  <c r="R772" i="7"/>
  <c r="S772" i="7"/>
  <c r="T772" i="7"/>
  <c r="U772" i="7"/>
  <c r="V772" i="7"/>
  <c r="W772" i="7"/>
  <c r="X772" i="7"/>
  <c r="Y772" i="7"/>
  <c r="D773" i="7"/>
  <c r="E773" i="7"/>
  <c r="F773" i="7"/>
  <c r="G773" i="7"/>
  <c r="H773" i="7"/>
  <c r="I773" i="7"/>
  <c r="J773" i="7"/>
  <c r="K773" i="7"/>
  <c r="L773" i="7"/>
  <c r="M773" i="7"/>
  <c r="N773" i="7"/>
  <c r="P773" i="7"/>
  <c r="O773" i="7" s="1"/>
  <c r="Q773" i="7"/>
  <c r="R773" i="7"/>
  <c r="S773" i="7"/>
  <c r="T773" i="7"/>
  <c r="U773" i="7"/>
  <c r="V773" i="7"/>
  <c r="W773" i="7"/>
  <c r="X773" i="7"/>
  <c r="Y773" i="7"/>
  <c r="D774" i="7"/>
  <c r="E774" i="7"/>
  <c r="F774" i="7"/>
  <c r="G774" i="7"/>
  <c r="H774" i="7"/>
  <c r="I774" i="7"/>
  <c r="J774" i="7"/>
  <c r="K774" i="7"/>
  <c r="L774" i="7"/>
  <c r="M774" i="7"/>
  <c r="N774" i="7"/>
  <c r="P774" i="7"/>
  <c r="O774" i="7" s="1"/>
  <c r="Q774" i="7"/>
  <c r="R774" i="7"/>
  <c r="S774" i="7"/>
  <c r="T774" i="7"/>
  <c r="U774" i="7"/>
  <c r="V774" i="7"/>
  <c r="W774" i="7"/>
  <c r="X774" i="7"/>
  <c r="Y774" i="7"/>
  <c r="D775" i="7"/>
  <c r="E775" i="7"/>
  <c r="F775" i="7"/>
  <c r="G775" i="7"/>
  <c r="H775" i="7"/>
  <c r="I775" i="7"/>
  <c r="J775" i="7"/>
  <c r="K775" i="7"/>
  <c r="L775" i="7"/>
  <c r="M775" i="7"/>
  <c r="N775" i="7"/>
  <c r="P775" i="7"/>
  <c r="O775" i="7" s="1"/>
  <c r="Q775" i="7"/>
  <c r="R775" i="7"/>
  <c r="S775" i="7"/>
  <c r="T775" i="7"/>
  <c r="U775" i="7"/>
  <c r="V775" i="7"/>
  <c r="W775" i="7"/>
  <c r="X775" i="7"/>
  <c r="Y775" i="7"/>
  <c r="D776" i="7"/>
  <c r="E776" i="7"/>
  <c r="F776" i="7"/>
  <c r="G776" i="7"/>
  <c r="H776" i="7"/>
  <c r="I776" i="7"/>
  <c r="J776" i="7"/>
  <c r="K776" i="7"/>
  <c r="L776" i="7"/>
  <c r="M776" i="7"/>
  <c r="N776" i="7"/>
  <c r="P776" i="7"/>
  <c r="O776" i="7" s="1"/>
  <c r="Q776" i="7"/>
  <c r="R776" i="7"/>
  <c r="S776" i="7"/>
  <c r="T776" i="7"/>
  <c r="U776" i="7"/>
  <c r="V776" i="7"/>
  <c r="W776" i="7"/>
  <c r="X776" i="7"/>
  <c r="Y776" i="7"/>
  <c r="D777" i="7"/>
  <c r="E777" i="7"/>
  <c r="F777" i="7"/>
  <c r="G777" i="7"/>
  <c r="H777" i="7"/>
  <c r="I777" i="7"/>
  <c r="J777" i="7"/>
  <c r="K777" i="7"/>
  <c r="L777" i="7"/>
  <c r="M777" i="7"/>
  <c r="N777" i="7"/>
  <c r="P777" i="7"/>
  <c r="O777" i="7" s="1"/>
  <c r="Q777" i="7"/>
  <c r="R777" i="7"/>
  <c r="S777" i="7"/>
  <c r="T777" i="7"/>
  <c r="U777" i="7"/>
  <c r="V777" i="7"/>
  <c r="W777" i="7"/>
  <c r="X777" i="7"/>
  <c r="Y777" i="7"/>
  <c r="D778" i="7"/>
  <c r="E778" i="7"/>
  <c r="F778" i="7"/>
  <c r="G778" i="7"/>
  <c r="H778" i="7"/>
  <c r="I778" i="7"/>
  <c r="J778" i="7"/>
  <c r="K778" i="7"/>
  <c r="L778" i="7"/>
  <c r="M778" i="7"/>
  <c r="N778" i="7"/>
  <c r="P778" i="7"/>
  <c r="O778" i="7" s="1"/>
  <c r="Q778" i="7"/>
  <c r="R778" i="7"/>
  <c r="S778" i="7"/>
  <c r="T778" i="7"/>
  <c r="U778" i="7"/>
  <c r="V778" i="7"/>
  <c r="W778" i="7"/>
  <c r="X778" i="7"/>
  <c r="Y778" i="7"/>
  <c r="D779" i="7"/>
  <c r="E779" i="7"/>
  <c r="F779" i="7"/>
  <c r="G779" i="7"/>
  <c r="H779" i="7"/>
  <c r="I779" i="7"/>
  <c r="J779" i="7"/>
  <c r="K779" i="7"/>
  <c r="L779" i="7"/>
  <c r="M779" i="7"/>
  <c r="N779" i="7"/>
  <c r="P779" i="7"/>
  <c r="O779" i="7" s="1"/>
  <c r="Q779" i="7"/>
  <c r="R779" i="7"/>
  <c r="S779" i="7"/>
  <c r="T779" i="7"/>
  <c r="U779" i="7"/>
  <c r="V779" i="7"/>
  <c r="W779" i="7"/>
  <c r="X779" i="7"/>
  <c r="Y779" i="7"/>
  <c r="D780" i="7"/>
  <c r="E780" i="7"/>
  <c r="F780" i="7"/>
  <c r="G780" i="7"/>
  <c r="H780" i="7"/>
  <c r="I780" i="7"/>
  <c r="J780" i="7"/>
  <c r="K780" i="7"/>
  <c r="L780" i="7"/>
  <c r="M780" i="7"/>
  <c r="N780" i="7"/>
  <c r="P780" i="7"/>
  <c r="O780" i="7" s="1"/>
  <c r="Q780" i="7"/>
  <c r="R780" i="7"/>
  <c r="S780" i="7"/>
  <c r="T780" i="7"/>
  <c r="U780" i="7"/>
  <c r="V780" i="7"/>
  <c r="W780" i="7"/>
  <c r="X780" i="7"/>
  <c r="Y780" i="7"/>
  <c r="D781" i="7"/>
  <c r="E781" i="7"/>
  <c r="F781" i="7"/>
  <c r="G781" i="7"/>
  <c r="H781" i="7"/>
  <c r="I781" i="7"/>
  <c r="J781" i="7"/>
  <c r="K781" i="7"/>
  <c r="L781" i="7"/>
  <c r="M781" i="7"/>
  <c r="N781" i="7"/>
  <c r="P781" i="7"/>
  <c r="O781" i="7" s="1"/>
  <c r="Q781" i="7"/>
  <c r="R781" i="7"/>
  <c r="S781" i="7"/>
  <c r="T781" i="7"/>
  <c r="U781" i="7"/>
  <c r="V781" i="7"/>
  <c r="W781" i="7"/>
  <c r="X781" i="7"/>
  <c r="Y781" i="7"/>
  <c r="D782" i="7"/>
  <c r="E782" i="7"/>
  <c r="F782" i="7"/>
  <c r="G782" i="7"/>
  <c r="H782" i="7"/>
  <c r="I782" i="7"/>
  <c r="J782" i="7"/>
  <c r="K782" i="7"/>
  <c r="L782" i="7"/>
  <c r="M782" i="7"/>
  <c r="N782" i="7"/>
  <c r="P782" i="7"/>
  <c r="O782" i="7" s="1"/>
  <c r="Q782" i="7"/>
  <c r="R782" i="7"/>
  <c r="S782" i="7"/>
  <c r="T782" i="7"/>
  <c r="U782" i="7"/>
  <c r="V782" i="7"/>
  <c r="W782" i="7"/>
  <c r="X782" i="7"/>
  <c r="Y782" i="7"/>
  <c r="D783" i="7"/>
  <c r="E783" i="7"/>
  <c r="F783" i="7"/>
  <c r="G783" i="7"/>
  <c r="H783" i="7"/>
  <c r="I783" i="7"/>
  <c r="J783" i="7"/>
  <c r="K783" i="7"/>
  <c r="L783" i="7"/>
  <c r="M783" i="7"/>
  <c r="N783" i="7"/>
  <c r="P783" i="7"/>
  <c r="O783" i="7" s="1"/>
  <c r="Q783" i="7"/>
  <c r="R783" i="7"/>
  <c r="S783" i="7"/>
  <c r="T783" i="7"/>
  <c r="U783" i="7"/>
  <c r="V783" i="7"/>
  <c r="W783" i="7"/>
  <c r="X783" i="7"/>
  <c r="Y783" i="7"/>
  <c r="D784" i="7"/>
  <c r="E784" i="7"/>
  <c r="F784" i="7"/>
  <c r="G784" i="7"/>
  <c r="H784" i="7"/>
  <c r="I784" i="7"/>
  <c r="J784" i="7"/>
  <c r="K784" i="7"/>
  <c r="L784" i="7"/>
  <c r="M784" i="7"/>
  <c r="N784" i="7"/>
  <c r="P784" i="7"/>
  <c r="O784" i="7" s="1"/>
  <c r="Q784" i="7"/>
  <c r="R784" i="7"/>
  <c r="S784" i="7"/>
  <c r="T784" i="7"/>
  <c r="U784" i="7"/>
  <c r="V784" i="7"/>
  <c r="W784" i="7"/>
  <c r="X784" i="7"/>
  <c r="Y784" i="7"/>
  <c r="D785" i="7"/>
  <c r="E785" i="7"/>
  <c r="F785" i="7"/>
  <c r="G785" i="7"/>
  <c r="H785" i="7"/>
  <c r="I785" i="7"/>
  <c r="J785" i="7"/>
  <c r="K785" i="7"/>
  <c r="L785" i="7"/>
  <c r="M785" i="7"/>
  <c r="N785" i="7"/>
  <c r="P785" i="7"/>
  <c r="O785" i="7" s="1"/>
  <c r="Q785" i="7"/>
  <c r="R785" i="7"/>
  <c r="S785" i="7"/>
  <c r="T785" i="7"/>
  <c r="U785" i="7"/>
  <c r="V785" i="7"/>
  <c r="W785" i="7"/>
  <c r="X785" i="7"/>
  <c r="Y785" i="7"/>
  <c r="D786" i="7"/>
  <c r="E786" i="7"/>
  <c r="F786" i="7"/>
  <c r="G786" i="7"/>
  <c r="H786" i="7"/>
  <c r="I786" i="7"/>
  <c r="J786" i="7"/>
  <c r="K786" i="7"/>
  <c r="L786" i="7"/>
  <c r="M786" i="7"/>
  <c r="N786" i="7"/>
  <c r="P786" i="7"/>
  <c r="O786" i="7" s="1"/>
  <c r="Q786" i="7"/>
  <c r="R786" i="7"/>
  <c r="S786" i="7"/>
  <c r="T786" i="7"/>
  <c r="U786" i="7"/>
  <c r="V786" i="7"/>
  <c r="W786" i="7"/>
  <c r="X786" i="7"/>
  <c r="Y786" i="7"/>
  <c r="D787" i="7"/>
  <c r="E787" i="7"/>
  <c r="F787" i="7"/>
  <c r="G787" i="7"/>
  <c r="H787" i="7"/>
  <c r="I787" i="7"/>
  <c r="J787" i="7"/>
  <c r="K787" i="7"/>
  <c r="L787" i="7"/>
  <c r="M787" i="7"/>
  <c r="N787" i="7"/>
  <c r="P787" i="7"/>
  <c r="O787" i="7" s="1"/>
  <c r="Q787" i="7"/>
  <c r="R787" i="7"/>
  <c r="S787" i="7"/>
  <c r="T787" i="7"/>
  <c r="U787" i="7"/>
  <c r="V787" i="7"/>
  <c r="W787" i="7"/>
  <c r="X787" i="7"/>
  <c r="Y787" i="7"/>
  <c r="D788" i="7"/>
  <c r="E788" i="7"/>
  <c r="F788" i="7"/>
  <c r="G788" i="7"/>
  <c r="H788" i="7"/>
  <c r="I788" i="7"/>
  <c r="J788" i="7"/>
  <c r="K788" i="7"/>
  <c r="L788" i="7"/>
  <c r="M788" i="7"/>
  <c r="N788" i="7"/>
  <c r="P788" i="7"/>
  <c r="O788" i="7" s="1"/>
  <c r="Q788" i="7"/>
  <c r="R788" i="7"/>
  <c r="S788" i="7"/>
  <c r="T788" i="7"/>
  <c r="U788" i="7"/>
  <c r="V788" i="7"/>
  <c r="W788" i="7"/>
  <c r="X788" i="7"/>
  <c r="Y788" i="7"/>
  <c r="D789" i="7"/>
  <c r="E789" i="7"/>
  <c r="F789" i="7"/>
  <c r="G789" i="7"/>
  <c r="H789" i="7"/>
  <c r="I789" i="7"/>
  <c r="J789" i="7"/>
  <c r="K789" i="7"/>
  <c r="L789" i="7"/>
  <c r="M789" i="7"/>
  <c r="N789" i="7"/>
  <c r="P789" i="7"/>
  <c r="O789" i="7" s="1"/>
  <c r="Q789" i="7"/>
  <c r="R789" i="7"/>
  <c r="S789" i="7"/>
  <c r="T789" i="7"/>
  <c r="U789" i="7"/>
  <c r="V789" i="7"/>
  <c r="W789" i="7"/>
  <c r="X789" i="7"/>
  <c r="Y789" i="7"/>
  <c r="D790" i="7"/>
  <c r="E790" i="7"/>
  <c r="F790" i="7"/>
  <c r="G790" i="7"/>
  <c r="H790" i="7"/>
  <c r="I790" i="7"/>
  <c r="J790" i="7"/>
  <c r="K790" i="7"/>
  <c r="L790" i="7"/>
  <c r="M790" i="7"/>
  <c r="N790" i="7"/>
  <c r="P790" i="7"/>
  <c r="O790" i="7" s="1"/>
  <c r="Q790" i="7"/>
  <c r="R790" i="7"/>
  <c r="S790" i="7"/>
  <c r="T790" i="7"/>
  <c r="U790" i="7"/>
  <c r="V790" i="7"/>
  <c r="W790" i="7"/>
  <c r="X790" i="7"/>
  <c r="Y790" i="7"/>
  <c r="D791" i="7"/>
  <c r="E791" i="7"/>
  <c r="F791" i="7"/>
  <c r="G791" i="7"/>
  <c r="H791" i="7"/>
  <c r="I791" i="7"/>
  <c r="J791" i="7"/>
  <c r="K791" i="7"/>
  <c r="L791" i="7"/>
  <c r="M791" i="7"/>
  <c r="N791" i="7"/>
  <c r="P791" i="7"/>
  <c r="O791" i="7" s="1"/>
  <c r="Q791" i="7"/>
  <c r="R791" i="7"/>
  <c r="S791" i="7"/>
  <c r="T791" i="7"/>
  <c r="U791" i="7"/>
  <c r="V791" i="7"/>
  <c r="W791" i="7"/>
  <c r="X791" i="7"/>
  <c r="Y791" i="7"/>
  <c r="D792" i="7"/>
  <c r="E792" i="7"/>
  <c r="F792" i="7"/>
  <c r="G792" i="7"/>
  <c r="H792" i="7"/>
  <c r="I792" i="7"/>
  <c r="J792" i="7"/>
  <c r="K792" i="7"/>
  <c r="L792" i="7"/>
  <c r="M792" i="7"/>
  <c r="N792" i="7"/>
  <c r="P792" i="7"/>
  <c r="O792" i="7" s="1"/>
  <c r="Q792" i="7"/>
  <c r="R792" i="7"/>
  <c r="S792" i="7"/>
  <c r="T792" i="7"/>
  <c r="U792" i="7"/>
  <c r="V792" i="7"/>
  <c r="W792" i="7"/>
  <c r="X792" i="7"/>
  <c r="Y792" i="7"/>
  <c r="D793" i="7"/>
  <c r="E793" i="7"/>
  <c r="F793" i="7"/>
  <c r="G793" i="7"/>
  <c r="H793" i="7"/>
  <c r="I793" i="7"/>
  <c r="J793" i="7"/>
  <c r="K793" i="7"/>
  <c r="L793" i="7"/>
  <c r="M793" i="7"/>
  <c r="N793" i="7"/>
  <c r="P793" i="7"/>
  <c r="O793" i="7" s="1"/>
  <c r="Q793" i="7"/>
  <c r="R793" i="7"/>
  <c r="S793" i="7"/>
  <c r="T793" i="7"/>
  <c r="U793" i="7"/>
  <c r="V793" i="7"/>
  <c r="W793" i="7"/>
  <c r="X793" i="7"/>
  <c r="Y793" i="7"/>
  <c r="D794" i="7"/>
  <c r="E794" i="7"/>
  <c r="F794" i="7"/>
  <c r="G794" i="7"/>
  <c r="H794" i="7"/>
  <c r="I794" i="7"/>
  <c r="J794" i="7"/>
  <c r="K794" i="7"/>
  <c r="L794" i="7"/>
  <c r="M794" i="7"/>
  <c r="N794" i="7"/>
  <c r="P794" i="7"/>
  <c r="O794" i="7" s="1"/>
  <c r="Q794" i="7"/>
  <c r="R794" i="7"/>
  <c r="T794" i="7"/>
  <c r="U794" i="7"/>
  <c r="W794" i="7"/>
  <c r="X794" i="7"/>
  <c r="Y794" i="7"/>
  <c r="D795" i="7"/>
  <c r="E795" i="7"/>
  <c r="F795" i="7"/>
  <c r="G795" i="7"/>
  <c r="H795" i="7"/>
  <c r="I795" i="7"/>
  <c r="J795" i="7"/>
  <c r="K795" i="7"/>
  <c r="L795" i="7"/>
  <c r="M795" i="7"/>
  <c r="N795" i="7"/>
  <c r="P795" i="7"/>
  <c r="O795" i="7" s="1"/>
  <c r="Q795" i="7"/>
  <c r="R795" i="7"/>
  <c r="T795" i="7"/>
  <c r="U795" i="7"/>
  <c r="W795" i="7"/>
  <c r="X795" i="7"/>
  <c r="Y795" i="7"/>
  <c r="D796" i="7"/>
  <c r="E796" i="7"/>
  <c r="F796" i="7"/>
  <c r="G796" i="7"/>
  <c r="H796" i="7"/>
  <c r="I796" i="7"/>
  <c r="J796" i="7"/>
  <c r="K796" i="7"/>
  <c r="L796" i="7"/>
  <c r="M796" i="7"/>
  <c r="N796" i="7"/>
  <c r="P796" i="7"/>
  <c r="O796" i="7" s="1"/>
  <c r="Q796" i="7"/>
  <c r="R796" i="7"/>
  <c r="T796" i="7"/>
  <c r="U796" i="7"/>
  <c r="W796" i="7"/>
  <c r="X796" i="7"/>
  <c r="Y796" i="7"/>
  <c r="D797" i="7"/>
  <c r="E797" i="7"/>
  <c r="F797" i="7"/>
  <c r="G797" i="7"/>
  <c r="H797" i="7"/>
  <c r="I797" i="7"/>
  <c r="J797" i="7"/>
  <c r="K797" i="7"/>
  <c r="L797" i="7"/>
  <c r="M797" i="7"/>
  <c r="N797" i="7"/>
  <c r="P797" i="7"/>
  <c r="O797" i="7" s="1"/>
  <c r="Q797" i="7"/>
  <c r="R797" i="7"/>
  <c r="T797" i="7"/>
  <c r="U797" i="7"/>
  <c r="W797" i="7"/>
  <c r="X797" i="7"/>
  <c r="Y797" i="7"/>
  <c r="D798" i="7"/>
  <c r="E798" i="7"/>
  <c r="F798" i="7"/>
  <c r="G798" i="7"/>
  <c r="H798" i="7"/>
  <c r="I798" i="7"/>
  <c r="J798" i="7"/>
  <c r="K798" i="7"/>
  <c r="L798" i="7"/>
  <c r="M798" i="7"/>
  <c r="N798" i="7"/>
  <c r="P798" i="7"/>
  <c r="O798" i="7" s="1"/>
  <c r="Q798" i="7"/>
  <c r="R798" i="7"/>
  <c r="T798" i="7"/>
  <c r="U798" i="7"/>
  <c r="W798" i="7"/>
  <c r="X798" i="7"/>
  <c r="Y798" i="7"/>
  <c r="D799" i="7"/>
  <c r="E799" i="7"/>
  <c r="F799" i="7"/>
  <c r="G799" i="7"/>
  <c r="H799" i="7"/>
  <c r="I799" i="7"/>
  <c r="J799" i="7"/>
  <c r="K799" i="7"/>
  <c r="L799" i="7"/>
  <c r="M799" i="7"/>
  <c r="N799" i="7"/>
  <c r="P799" i="7"/>
  <c r="O799" i="7" s="1"/>
  <c r="Q799" i="7"/>
  <c r="R799" i="7"/>
  <c r="T799" i="7"/>
  <c r="U799" i="7"/>
  <c r="W799" i="7"/>
  <c r="X799" i="7"/>
  <c r="Y799" i="7"/>
  <c r="D800" i="7"/>
  <c r="E800" i="7"/>
  <c r="F800" i="7"/>
  <c r="G800" i="7"/>
  <c r="H800" i="7"/>
  <c r="I800" i="7"/>
  <c r="J800" i="7"/>
  <c r="K800" i="7"/>
  <c r="L800" i="7"/>
  <c r="M800" i="7"/>
  <c r="N800" i="7"/>
  <c r="P800" i="7"/>
  <c r="O800" i="7" s="1"/>
  <c r="Q800" i="7"/>
  <c r="R800" i="7"/>
  <c r="T800" i="7"/>
  <c r="U800" i="7"/>
  <c r="W800" i="7"/>
  <c r="X800" i="7"/>
  <c r="Y800" i="7"/>
  <c r="D801" i="7"/>
  <c r="E801" i="7"/>
  <c r="F801" i="7"/>
  <c r="G801" i="7"/>
  <c r="H801" i="7"/>
  <c r="I801" i="7"/>
  <c r="J801" i="7"/>
  <c r="K801" i="7"/>
  <c r="L801" i="7"/>
  <c r="M801" i="7"/>
  <c r="N801" i="7"/>
  <c r="P801" i="7"/>
  <c r="O801" i="7" s="1"/>
  <c r="Q801" i="7"/>
  <c r="R801" i="7"/>
  <c r="T801" i="7"/>
  <c r="U801" i="7"/>
  <c r="W801" i="7"/>
  <c r="X801" i="7"/>
  <c r="Y801" i="7"/>
  <c r="D802" i="7"/>
  <c r="E802" i="7"/>
  <c r="F802" i="7"/>
  <c r="G802" i="7"/>
  <c r="H802" i="7"/>
  <c r="I802" i="7"/>
  <c r="J802" i="7"/>
  <c r="K802" i="7"/>
  <c r="L802" i="7"/>
  <c r="M802" i="7"/>
  <c r="N802" i="7"/>
  <c r="P802" i="7"/>
  <c r="O802" i="7" s="1"/>
  <c r="Q802" i="7"/>
  <c r="R802" i="7"/>
  <c r="T802" i="7"/>
  <c r="U802" i="7"/>
  <c r="W802" i="7"/>
  <c r="X802" i="7"/>
  <c r="Y802" i="7"/>
  <c r="D803" i="7"/>
  <c r="E803" i="7"/>
  <c r="F803" i="7"/>
  <c r="G803" i="7"/>
  <c r="H803" i="7"/>
  <c r="I803" i="7"/>
  <c r="J803" i="7"/>
  <c r="K803" i="7"/>
  <c r="L803" i="7"/>
  <c r="M803" i="7"/>
  <c r="N803" i="7"/>
  <c r="P803" i="7"/>
  <c r="O803" i="7" s="1"/>
  <c r="Q803" i="7"/>
  <c r="R803" i="7"/>
  <c r="T803" i="7"/>
  <c r="U803" i="7"/>
  <c r="W803" i="7"/>
  <c r="X803" i="7"/>
  <c r="Y803" i="7"/>
  <c r="D804" i="7"/>
  <c r="E804" i="7"/>
  <c r="F804" i="7"/>
  <c r="G804" i="7"/>
  <c r="H804" i="7"/>
  <c r="I804" i="7"/>
  <c r="J804" i="7"/>
  <c r="K804" i="7"/>
  <c r="L804" i="7"/>
  <c r="M804" i="7"/>
  <c r="N804" i="7"/>
  <c r="P804" i="7"/>
  <c r="O804" i="7" s="1"/>
  <c r="Q804" i="7"/>
  <c r="R804" i="7"/>
  <c r="T804" i="7"/>
  <c r="U804" i="7"/>
  <c r="W804" i="7"/>
  <c r="X804" i="7"/>
  <c r="Y804" i="7"/>
  <c r="D805" i="7"/>
  <c r="E805" i="7"/>
  <c r="F805" i="7"/>
  <c r="G805" i="7"/>
  <c r="H805" i="7"/>
  <c r="I805" i="7"/>
  <c r="J805" i="7"/>
  <c r="K805" i="7"/>
  <c r="L805" i="7"/>
  <c r="M805" i="7"/>
  <c r="N805" i="7"/>
  <c r="P805" i="7"/>
  <c r="Q805" i="7"/>
  <c r="R805" i="7"/>
  <c r="T805" i="7"/>
  <c r="U805" i="7"/>
  <c r="W805" i="7"/>
  <c r="X805" i="7"/>
  <c r="Y805" i="7"/>
  <c r="D806" i="7"/>
  <c r="E806" i="7"/>
  <c r="F806" i="7"/>
  <c r="G806" i="7"/>
  <c r="H806" i="7"/>
  <c r="I806" i="7"/>
  <c r="J806" i="7"/>
  <c r="K806" i="7"/>
  <c r="L806" i="7"/>
  <c r="M806" i="7"/>
  <c r="N806" i="7"/>
  <c r="P806" i="7"/>
  <c r="Q806" i="7"/>
  <c r="R806" i="7"/>
  <c r="T806" i="7"/>
  <c r="U806" i="7"/>
  <c r="W806" i="7"/>
  <c r="X806" i="7"/>
  <c r="Y806" i="7"/>
  <c r="D807" i="7"/>
  <c r="E807" i="7"/>
  <c r="F807" i="7"/>
  <c r="G807" i="7"/>
  <c r="H807" i="7"/>
  <c r="I807" i="7"/>
  <c r="J807" i="7"/>
  <c r="K807" i="7"/>
  <c r="L807" i="7"/>
  <c r="M807" i="7"/>
  <c r="N807" i="7"/>
  <c r="P807" i="7"/>
  <c r="Q807" i="7"/>
  <c r="R807" i="7"/>
  <c r="T807" i="7"/>
  <c r="U807" i="7"/>
  <c r="W807" i="7"/>
  <c r="X807" i="7"/>
  <c r="Y807" i="7"/>
  <c r="D808" i="7"/>
  <c r="E808" i="7"/>
  <c r="F808" i="7"/>
  <c r="G808" i="7"/>
  <c r="H808" i="7"/>
  <c r="I808" i="7"/>
  <c r="J808" i="7"/>
  <c r="K808" i="7"/>
  <c r="L808" i="7"/>
  <c r="M808" i="7"/>
  <c r="N808" i="7"/>
  <c r="P808" i="7"/>
  <c r="Q808" i="7"/>
  <c r="R808" i="7"/>
  <c r="T808" i="7"/>
  <c r="U808" i="7"/>
  <c r="W808" i="7"/>
  <c r="X808" i="7"/>
  <c r="Y808" i="7"/>
  <c r="D809" i="7"/>
  <c r="E809" i="7"/>
  <c r="F809" i="7"/>
  <c r="G809" i="7"/>
  <c r="H809" i="7"/>
  <c r="I809" i="7"/>
  <c r="J809" i="7"/>
  <c r="K809" i="7"/>
  <c r="L809" i="7"/>
  <c r="M809" i="7"/>
  <c r="N809" i="7"/>
  <c r="P809" i="7"/>
  <c r="Q809" i="7"/>
  <c r="R809" i="7"/>
  <c r="T809" i="7"/>
  <c r="U809" i="7"/>
  <c r="W809" i="7"/>
  <c r="X809" i="7"/>
  <c r="Y809" i="7"/>
  <c r="D810" i="7"/>
  <c r="E810" i="7"/>
  <c r="F810" i="7"/>
  <c r="G810" i="7"/>
  <c r="H810" i="7"/>
  <c r="I810" i="7"/>
  <c r="J810" i="7"/>
  <c r="K810" i="7"/>
  <c r="L810" i="7"/>
  <c r="M810" i="7"/>
  <c r="N810" i="7"/>
  <c r="P810" i="7"/>
  <c r="Q810" i="7"/>
  <c r="R810" i="7"/>
  <c r="T810" i="7"/>
  <c r="U810" i="7"/>
  <c r="W810" i="7"/>
  <c r="X810" i="7"/>
  <c r="Y810" i="7"/>
  <c r="D811" i="7"/>
  <c r="E811" i="7"/>
  <c r="F811" i="7"/>
  <c r="G811" i="7"/>
  <c r="H811" i="7"/>
  <c r="I811" i="7"/>
  <c r="J811" i="7"/>
  <c r="K811" i="7"/>
  <c r="L811" i="7"/>
  <c r="M811" i="7"/>
  <c r="N811" i="7"/>
  <c r="P811" i="7"/>
  <c r="Q811" i="7"/>
  <c r="R811" i="7"/>
  <c r="T811" i="7"/>
  <c r="U811" i="7"/>
  <c r="W811" i="7"/>
  <c r="X811" i="7"/>
  <c r="Y811" i="7"/>
  <c r="D812" i="7"/>
  <c r="E812" i="7"/>
  <c r="F812" i="7"/>
  <c r="G812" i="7"/>
  <c r="H812" i="7"/>
  <c r="I812" i="7"/>
  <c r="J812" i="7"/>
  <c r="K812" i="7"/>
  <c r="L812" i="7"/>
  <c r="M812" i="7"/>
  <c r="N812" i="7"/>
  <c r="P812" i="7"/>
  <c r="Q812" i="7"/>
  <c r="R812" i="7"/>
  <c r="T812" i="7"/>
  <c r="U812" i="7"/>
  <c r="W812" i="7"/>
  <c r="X812" i="7"/>
  <c r="Y812" i="7"/>
  <c r="D813" i="7"/>
  <c r="E813" i="7"/>
  <c r="F813" i="7"/>
  <c r="G813" i="7"/>
  <c r="H813" i="7"/>
  <c r="I813" i="7"/>
  <c r="J813" i="7"/>
  <c r="K813" i="7"/>
  <c r="L813" i="7"/>
  <c r="M813" i="7"/>
  <c r="N813" i="7"/>
  <c r="P813" i="7"/>
  <c r="Q813" i="7"/>
  <c r="R813" i="7"/>
  <c r="T813" i="7"/>
  <c r="U813" i="7"/>
  <c r="W813" i="7"/>
  <c r="X813" i="7"/>
  <c r="Y813" i="7"/>
  <c r="D814" i="7"/>
  <c r="E814" i="7"/>
  <c r="F814" i="7"/>
  <c r="G814" i="7"/>
  <c r="H814" i="7"/>
  <c r="I814" i="7"/>
  <c r="J814" i="7"/>
  <c r="K814" i="7"/>
  <c r="L814" i="7"/>
  <c r="M814" i="7"/>
  <c r="N814" i="7"/>
  <c r="P814" i="7"/>
  <c r="Q814" i="7"/>
  <c r="R814" i="7"/>
  <c r="T814" i="7"/>
  <c r="U814" i="7"/>
  <c r="W814" i="7"/>
  <c r="X814" i="7"/>
  <c r="Y814" i="7"/>
  <c r="D815" i="7"/>
  <c r="E815" i="7"/>
  <c r="F815" i="7"/>
  <c r="G815" i="7"/>
  <c r="H815" i="7"/>
  <c r="I815" i="7"/>
  <c r="J815" i="7"/>
  <c r="K815" i="7"/>
  <c r="L815" i="7"/>
  <c r="M815" i="7"/>
  <c r="N815" i="7"/>
  <c r="P815" i="7"/>
  <c r="Q815" i="7"/>
  <c r="R815" i="7"/>
  <c r="T815" i="7"/>
  <c r="U815" i="7"/>
  <c r="W815" i="7"/>
  <c r="X815" i="7"/>
  <c r="Y815" i="7"/>
  <c r="D816" i="7"/>
  <c r="E816" i="7"/>
  <c r="F816" i="7"/>
  <c r="G816" i="7"/>
  <c r="H816" i="7"/>
  <c r="I816" i="7"/>
  <c r="J816" i="7"/>
  <c r="K816" i="7"/>
  <c r="L816" i="7"/>
  <c r="M816" i="7"/>
  <c r="N816" i="7"/>
  <c r="P816" i="7"/>
  <c r="Q816" i="7"/>
  <c r="R816" i="7"/>
  <c r="T816" i="7"/>
  <c r="U816" i="7"/>
  <c r="W816" i="7"/>
  <c r="X816" i="7"/>
  <c r="Y816" i="7"/>
  <c r="D817" i="7"/>
  <c r="E817" i="7"/>
  <c r="F817" i="7"/>
  <c r="G817" i="7"/>
  <c r="H817" i="7"/>
  <c r="I817" i="7"/>
  <c r="J817" i="7"/>
  <c r="K817" i="7"/>
  <c r="L817" i="7"/>
  <c r="M817" i="7"/>
  <c r="N817" i="7"/>
  <c r="P817" i="7"/>
  <c r="Q817" i="7"/>
  <c r="R817" i="7"/>
  <c r="T817" i="7"/>
  <c r="U817" i="7"/>
  <c r="W817" i="7"/>
  <c r="X817" i="7"/>
  <c r="Y817" i="7"/>
  <c r="D818" i="7"/>
  <c r="E818" i="7"/>
  <c r="F818" i="7"/>
  <c r="G818" i="7"/>
  <c r="H818" i="7"/>
  <c r="I818" i="7"/>
  <c r="J818" i="7"/>
  <c r="K818" i="7"/>
  <c r="L818" i="7"/>
  <c r="M818" i="7"/>
  <c r="N818" i="7"/>
  <c r="P818" i="7"/>
  <c r="Q818" i="7"/>
  <c r="R818" i="7"/>
  <c r="T818" i="7"/>
  <c r="U818" i="7"/>
  <c r="W818" i="7"/>
  <c r="X818" i="7"/>
  <c r="Y818" i="7"/>
  <c r="D819" i="7"/>
  <c r="E819" i="7"/>
  <c r="F819" i="7"/>
  <c r="G819" i="7"/>
  <c r="H819" i="7"/>
  <c r="I819" i="7"/>
  <c r="J819" i="7"/>
  <c r="K819" i="7"/>
  <c r="L819" i="7"/>
  <c r="M819" i="7"/>
  <c r="N819" i="7"/>
  <c r="P819" i="7"/>
  <c r="Q819" i="7"/>
  <c r="R819" i="7"/>
  <c r="T819" i="7"/>
  <c r="U819" i="7"/>
  <c r="W819" i="7"/>
  <c r="X819" i="7"/>
  <c r="Y819" i="7"/>
  <c r="D820" i="7"/>
  <c r="E820" i="7"/>
  <c r="F820" i="7"/>
  <c r="G820" i="7"/>
  <c r="H820" i="7"/>
  <c r="I820" i="7"/>
  <c r="J820" i="7"/>
  <c r="K820" i="7"/>
  <c r="L820" i="7"/>
  <c r="M820" i="7"/>
  <c r="N820" i="7"/>
  <c r="P820" i="7"/>
  <c r="Q820" i="7"/>
  <c r="R820" i="7"/>
  <c r="T820" i="7"/>
  <c r="U820" i="7"/>
  <c r="W820" i="7"/>
  <c r="X820" i="7"/>
  <c r="Y820" i="7"/>
  <c r="D821" i="7"/>
  <c r="E821" i="7"/>
  <c r="F821" i="7"/>
  <c r="G821" i="7"/>
  <c r="H821" i="7"/>
  <c r="I821" i="7"/>
  <c r="J821" i="7"/>
  <c r="K821" i="7"/>
  <c r="L821" i="7"/>
  <c r="M821" i="7"/>
  <c r="N821" i="7"/>
  <c r="P821" i="7"/>
  <c r="Q821" i="7"/>
  <c r="R821" i="7"/>
  <c r="T821" i="7"/>
  <c r="U821" i="7"/>
  <c r="W821" i="7"/>
  <c r="X821" i="7"/>
  <c r="Y821" i="7"/>
  <c r="D822" i="7"/>
  <c r="E822" i="7"/>
  <c r="F822" i="7"/>
  <c r="G822" i="7"/>
  <c r="H822" i="7"/>
  <c r="I822" i="7"/>
  <c r="J822" i="7"/>
  <c r="K822" i="7"/>
  <c r="L822" i="7"/>
  <c r="M822" i="7"/>
  <c r="N822" i="7"/>
  <c r="P822" i="7"/>
  <c r="Q822" i="7"/>
  <c r="R822" i="7"/>
  <c r="T822" i="7"/>
  <c r="U822" i="7"/>
  <c r="W822" i="7"/>
  <c r="X822" i="7"/>
  <c r="Y822" i="7"/>
  <c r="D823" i="7"/>
  <c r="E823" i="7"/>
  <c r="F823" i="7"/>
  <c r="G823" i="7"/>
  <c r="H823" i="7"/>
  <c r="I823" i="7"/>
  <c r="J823" i="7"/>
  <c r="K823" i="7"/>
  <c r="L823" i="7"/>
  <c r="M823" i="7"/>
  <c r="N823" i="7"/>
  <c r="P823" i="7"/>
  <c r="Q823" i="7"/>
  <c r="R823" i="7"/>
  <c r="T823" i="7"/>
  <c r="U823" i="7"/>
  <c r="W823" i="7"/>
  <c r="X823" i="7"/>
  <c r="Y823" i="7"/>
  <c r="D824" i="7"/>
  <c r="E824" i="7"/>
  <c r="F824" i="7"/>
  <c r="G824" i="7"/>
  <c r="H824" i="7"/>
  <c r="I824" i="7"/>
  <c r="J824" i="7"/>
  <c r="K824" i="7"/>
  <c r="L824" i="7"/>
  <c r="M824" i="7"/>
  <c r="N824" i="7"/>
  <c r="P824" i="7"/>
  <c r="Q824" i="7"/>
  <c r="R824" i="7"/>
  <c r="T824" i="7"/>
  <c r="U824" i="7"/>
  <c r="W824" i="7"/>
  <c r="X824" i="7"/>
  <c r="Y824" i="7"/>
  <c r="D825" i="7"/>
  <c r="E825" i="7"/>
  <c r="F825" i="7"/>
  <c r="G825" i="7"/>
  <c r="H825" i="7"/>
  <c r="I825" i="7"/>
  <c r="J825" i="7"/>
  <c r="K825" i="7"/>
  <c r="L825" i="7"/>
  <c r="M825" i="7"/>
  <c r="N825" i="7"/>
  <c r="P825" i="7"/>
  <c r="Q825" i="7"/>
  <c r="R825" i="7"/>
  <c r="T825" i="7"/>
  <c r="U825" i="7"/>
  <c r="W825" i="7"/>
  <c r="X825" i="7"/>
  <c r="Y825" i="7"/>
  <c r="D826" i="7"/>
  <c r="E826" i="7"/>
  <c r="F826" i="7"/>
  <c r="G826" i="7"/>
  <c r="H826" i="7"/>
  <c r="I826" i="7"/>
  <c r="J826" i="7"/>
  <c r="K826" i="7"/>
  <c r="L826" i="7"/>
  <c r="M826" i="7"/>
  <c r="N826" i="7"/>
  <c r="P826" i="7"/>
  <c r="Q826" i="7"/>
  <c r="R826" i="7"/>
  <c r="T826" i="7"/>
  <c r="U826" i="7"/>
  <c r="W826" i="7"/>
  <c r="X826" i="7"/>
  <c r="Y826" i="7"/>
  <c r="D827" i="7"/>
  <c r="E827" i="7"/>
  <c r="F827" i="7"/>
  <c r="G827" i="7"/>
  <c r="H827" i="7"/>
  <c r="I827" i="7"/>
  <c r="J827" i="7"/>
  <c r="K827" i="7"/>
  <c r="L827" i="7"/>
  <c r="M827" i="7"/>
  <c r="N827" i="7"/>
  <c r="P827" i="7"/>
  <c r="Q827" i="7"/>
  <c r="R827" i="7"/>
  <c r="T827" i="7"/>
  <c r="U827" i="7"/>
  <c r="W827" i="7"/>
  <c r="X827" i="7"/>
  <c r="Y827" i="7"/>
  <c r="D828" i="7"/>
  <c r="E828" i="7"/>
  <c r="F828" i="7"/>
  <c r="G828" i="7"/>
  <c r="H828" i="7"/>
  <c r="I828" i="7"/>
  <c r="J828" i="7"/>
  <c r="K828" i="7"/>
  <c r="L828" i="7"/>
  <c r="M828" i="7"/>
  <c r="N828" i="7"/>
  <c r="P828" i="7"/>
  <c r="Q828" i="7"/>
  <c r="R828" i="7"/>
  <c r="T828" i="7"/>
  <c r="U828" i="7"/>
  <c r="W828" i="7"/>
  <c r="X828" i="7"/>
  <c r="Y828" i="7"/>
  <c r="D829" i="7"/>
  <c r="E829" i="7"/>
  <c r="F829" i="7"/>
  <c r="G829" i="7"/>
  <c r="H829" i="7"/>
  <c r="I829" i="7"/>
  <c r="J829" i="7"/>
  <c r="K829" i="7"/>
  <c r="L829" i="7"/>
  <c r="M829" i="7"/>
  <c r="N829" i="7"/>
  <c r="P829" i="7"/>
  <c r="Q829" i="7"/>
  <c r="R829" i="7"/>
  <c r="T829" i="7"/>
  <c r="U829" i="7"/>
  <c r="W829" i="7"/>
  <c r="X829" i="7"/>
  <c r="Y829" i="7"/>
  <c r="D830" i="7"/>
  <c r="E830" i="7"/>
  <c r="F830" i="7"/>
  <c r="G830" i="7"/>
  <c r="H830" i="7"/>
  <c r="I830" i="7"/>
  <c r="J830" i="7"/>
  <c r="K830" i="7"/>
  <c r="L830" i="7"/>
  <c r="M830" i="7"/>
  <c r="N830" i="7"/>
  <c r="P830" i="7"/>
  <c r="Q830" i="7"/>
  <c r="R830" i="7"/>
  <c r="T830" i="7"/>
  <c r="U830" i="7"/>
  <c r="W830" i="7"/>
  <c r="X830" i="7"/>
  <c r="Y830" i="7"/>
  <c r="D831" i="7"/>
  <c r="E831" i="7"/>
  <c r="F831" i="7"/>
  <c r="G831" i="7"/>
  <c r="H831" i="7"/>
  <c r="I831" i="7"/>
  <c r="J831" i="7"/>
  <c r="K831" i="7"/>
  <c r="L831" i="7"/>
  <c r="M831" i="7"/>
  <c r="N831" i="7"/>
  <c r="P831" i="7"/>
  <c r="Q831" i="7"/>
  <c r="R831" i="7"/>
  <c r="T831" i="7"/>
  <c r="U831" i="7"/>
  <c r="W831" i="7"/>
  <c r="X831" i="7"/>
  <c r="Y831" i="7"/>
  <c r="D832" i="7"/>
  <c r="E832" i="7"/>
  <c r="F832" i="7"/>
  <c r="G832" i="7"/>
  <c r="H832" i="7"/>
  <c r="I832" i="7"/>
  <c r="J832" i="7"/>
  <c r="K832" i="7"/>
  <c r="L832" i="7"/>
  <c r="M832" i="7"/>
  <c r="N832" i="7"/>
  <c r="P832" i="7"/>
  <c r="Q832" i="7"/>
  <c r="R832" i="7"/>
  <c r="T832" i="7"/>
  <c r="U832" i="7"/>
  <c r="W832" i="7"/>
  <c r="X832" i="7"/>
  <c r="Y832" i="7"/>
  <c r="D833" i="7"/>
  <c r="E833" i="7"/>
  <c r="F833" i="7"/>
  <c r="G833" i="7"/>
  <c r="H833" i="7"/>
  <c r="I833" i="7"/>
  <c r="J833" i="7"/>
  <c r="K833" i="7"/>
  <c r="L833" i="7"/>
  <c r="M833" i="7"/>
  <c r="N833" i="7"/>
  <c r="P833" i="7"/>
  <c r="Q833" i="7"/>
  <c r="R833" i="7"/>
  <c r="T833" i="7"/>
  <c r="U833" i="7"/>
  <c r="W833" i="7"/>
  <c r="X833" i="7"/>
  <c r="Y833" i="7"/>
  <c r="D834" i="7"/>
  <c r="E834" i="7"/>
  <c r="F834" i="7"/>
  <c r="G834" i="7"/>
  <c r="H834" i="7"/>
  <c r="I834" i="7"/>
  <c r="J834" i="7"/>
  <c r="K834" i="7"/>
  <c r="L834" i="7"/>
  <c r="M834" i="7"/>
  <c r="N834" i="7"/>
  <c r="P834" i="7"/>
  <c r="Q834" i="7"/>
  <c r="R834" i="7"/>
  <c r="T834" i="7"/>
  <c r="U834" i="7"/>
  <c r="W834" i="7"/>
  <c r="X834" i="7"/>
  <c r="Y834" i="7"/>
  <c r="D835" i="7"/>
  <c r="E835" i="7"/>
  <c r="F835" i="7"/>
  <c r="G835" i="7"/>
  <c r="H835" i="7"/>
  <c r="I835" i="7"/>
  <c r="J835" i="7"/>
  <c r="K835" i="7"/>
  <c r="L835" i="7"/>
  <c r="M835" i="7"/>
  <c r="N835" i="7"/>
  <c r="P835" i="7"/>
  <c r="Q835" i="7"/>
  <c r="R835" i="7"/>
  <c r="T835" i="7"/>
  <c r="U835" i="7"/>
  <c r="W835" i="7"/>
  <c r="X835" i="7"/>
  <c r="Y835" i="7"/>
  <c r="D836" i="7"/>
  <c r="E836" i="7"/>
  <c r="F836" i="7"/>
  <c r="G836" i="7"/>
  <c r="H836" i="7"/>
  <c r="I836" i="7"/>
  <c r="J836" i="7"/>
  <c r="K836" i="7"/>
  <c r="L836" i="7"/>
  <c r="M836" i="7"/>
  <c r="N836" i="7"/>
  <c r="P836" i="7"/>
  <c r="Q836" i="7"/>
  <c r="R836" i="7"/>
  <c r="T836" i="7"/>
  <c r="U836" i="7"/>
  <c r="W836" i="7"/>
  <c r="X836" i="7"/>
  <c r="Y836" i="7"/>
  <c r="D837" i="7"/>
  <c r="E837" i="7"/>
  <c r="F837" i="7"/>
  <c r="G837" i="7"/>
  <c r="H837" i="7"/>
  <c r="I837" i="7"/>
  <c r="J837" i="7"/>
  <c r="K837" i="7"/>
  <c r="L837" i="7"/>
  <c r="M837" i="7"/>
  <c r="N837" i="7"/>
  <c r="P837" i="7"/>
  <c r="Q837" i="7"/>
  <c r="R837" i="7"/>
  <c r="T837" i="7"/>
  <c r="U837" i="7"/>
  <c r="W837" i="7"/>
  <c r="X837" i="7"/>
  <c r="Y837" i="7"/>
  <c r="D838" i="7"/>
  <c r="E838" i="7"/>
  <c r="F838" i="7"/>
  <c r="G838" i="7"/>
  <c r="H838" i="7"/>
  <c r="I838" i="7"/>
  <c r="J838" i="7"/>
  <c r="K838" i="7"/>
  <c r="L838" i="7"/>
  <c r="M838" i="7"/>
  <c r="N838" i="7"/>
  <c r="P838" i="7"/>
  <c r="Q838" i="7"/>
  <c r="R838" i="7"/>
  <c r="T838" i="7"/>
  <c r="U838" i="7"/>
  <c r="W838" i="7"/>
  <c r="X838" i="7"/>
  <c r="Y838" i="7"/>
  <c r="D839" i="7"/>
  <c r="E839" i="7"/>
  <c r="F839" i="7"/>
  <c r="G839" i="7"/>
  <c r="H839" i="7"/>
  <c r="I839" i="7"/>
  <c r="J839" i="7"/>
  <c r="K839" i="7"/>
  <c r="L839" i="7"/>
  <c r="M839" i="7"/>
  <c r="N839" i="7"/>
  <c r="P839" i="7"/>
  <c r="Q839" i="7"/>
  <c r="R839" i="7"/>
  <c r="T839" i="7"/>
  <c r="U839" i="7"/>
  <c r="W839" i="7"/>
  <c r="X839" i="7"/>
  <c r="Y839" i="7"/>
  <c r="D840" i="7"/>
  <c r="E840" i="7"/>
  <c r="F840" i="7"/>
  <c r="G840" i="7"/>
  <c r="H840" i="7"/>
  <c r="I840" i="7"/>
  <c r="J840" i="7"/>
  <c r="K840" i="7"/>
  <c r="L840" i="7"/>
  <c r="M840" i="7"/>
  <c r="N840" i="7"/>
  <c r="P840" i="7"/>
  <c r="Q840" i="7"/>
  <c r="R840" i="7"/>
  <c r="T840" i="7"/>
  <c r="U840" i="7"/>
  <c r="W840" i="7"/>
  <c r="X840" i="7"/>
  <c r="Y840" i="7"/>
  <c r="D841" i="7"/>
  <c r="E841" i="7"/>
  <c r="F841" i="7"/>
  <c r="G841" i="7"/>
  <c r="H841" i="7"/>
  <c r="I841" i="7"/>
  <c r="J841" i="7"/>
  <c r="K841" i="7"/>
  <c r="L841" i="7"/>
  <c r="M841" i="7"/>
  <c r="N841" i="7"/>
  <c r="P841" i="7"/>
  <c r="Q841" i="7"/>
  <c r="R841" i="7"/>
  <c r="T841" i="7"/>
  <c r="U841" i="7"/>
  <c r="W841" i="7"/>
  <c r="X841" i="7"/>
  <c r="Y841" i="7"/>
  <c r="D842" i="7"/>
  <c r="E842" i="7"/>
  <c r="F842" i="7"/>
  <c r="G842" i="7"/>
  <c r="H842" i="7"/>
  <c r="I842" i="7"/>
  <c r="J842" i="7"/>
  <c r="K842" i="7"/>
  <c r="L842" i="7"/>
  <c r="M842" i="7"/>
  <c r="N842" i="7"/>
  <c r="P842" i="7"/>
  <c r="Q842" i="7"/>
  <c r="R842" i="7"/>
  <c r="T842" i="7"/>
  <c r="U842" i="7"/>
  <c r="W842" i="7"/>
  <c r="X842" i="7"/>
  <c r="Y842" i="7"/>
  <c r="D843" i="7"/>
  <c r="E843" i="7"/>
  <c r="F843" i="7"/>
  <c r="G843" i="7"/>
  <c r="H843" i="7"/>
  <c r="I843" i="7"/>
  <c r="J843" i="7"/>
  <c r="K843" i="7"/>
  <c r="L843" i="7"/>
  <c r="M843" i="7"/>
  <c r="N843" i="7"/>
  <c r="P843" i="7"/>
  <c r="Q843" i="7"/>
  <c r="R843" i="7"/>
  <c r="T843" i="7"/>
  <c r="U843" i="7"/>
  <c r="W843" i="7"/>
  <c r="X843" i="7"/>
  <c r="Y843" i="7"/>
  <c r="D844" i="7"/>
  <c r="E844" i="7"/>
  <c r="F844" i="7"/>
  <c r="G844" i="7"/>
  <c r="H844" i="7"/>
  <c r="I844" i="7"/>
  <c r="J844" i="7"/>
  <c r="K844" i="7"/>
  <c r="L844" i="7"/>
  <c r="M844" i="7"/>
  <c r="N844" i="7"/>
  <c r="P844" i="7"/>
  <c r="Q844" i="7"/>
  <c r="R844" i="7"/>
  <c r="T844" i="7"/>
  <c r="U844" i="7"/>
  <c r="W844" i="7"/>
  <c r="X844" i="7"/>
  <c r="Y844" i="7"/>
  <c r="D845" i="7"/>
  <c r="E845" i="7"/>
  <c r="F845" i="7"/>
  <c r="G845" i="7"/>
  <c r="H845" i="7"/>
  <c r="I845" i="7"/>
  <c r="J845" i="7"/>
  <c r="K845" i="7"/>
  <c r="L845" i="7"/>
  <c r="M845" i="7"/>
  <c r="N845" i="7"/>
  <c r="P845" i="7"/>
  <c r="Q845" i="7"/>
  <c r="R845" i="7"/>
  <c r="T845" i="7"/>
  <c r="U845" i="7"/>
  <c r="W845" i="7"/>
  <c r="X845" i="7"/>
  <c r="Y845" i="7"/>
  <c r="D846" i="7"/>
  <c r="E846" i="7"/>
  <c r="F846" i="7"/>
  <c r="G846" i="7"/>
  <c r="H846" i="7"/>
  <c r="I846" i="7"/>
  <c r="J846" i="7"/>
  <c r="K846" i="7"/>
  <c r="L846" i="7"/>
  <c r="M846" i="7"/>
  <c r="N846" i="7"/>
  <c r="P846" i="7"/>
  <c r="Q846" i="7"/>
  <c r="R846" i="7"/>
  <c r="S846" i="7" s="1"/>
  <c r="T846" i="7"/>
  <c r="U846" i="7"/>
  <c r="W846" i="7"/>
  <c r="X846" i="7"/>
  <c r="Y846" i="7"/>
  <c r="D847" i="7"/>
  <c r="E847" i="7"/>
  <c r="F847" i="7"/>
  <c r="G847" i="7"/>
  <c r="H847" i="7"/>
  <c r="I847" i="7"/>
  <c r="J847" i="7"/>
  <c r="K847" i="7"/>
  <c r="L847" i="7"/>
  <c r="M847" i="7"/>
  <c r="N847" i="7"/>
  <c r="P847" i="7"/>
  <c r="Q847" i="7"/>
  <c r="R847" i="7"/>
  <c r="T847" i="7"/>
  <c r="U847" i="7"/>
  <c r="V847" i="7" s="1"/>
  <c r="W847" i="7"/>
  <c r="X847" i="7"/>
  <c r="Y847" i="7"/>
  <c r="D848" i="7"/>
  <c r="E848" i="7"/>
  <c r="F848" i="7"/>
  <c r="G848" i="7"/>
  <c r="H848" i="7"/>
  <c r="I848" i="7"/>
  <c r="J848" i="7"/>
  <c r="K848" i="7"/>
  <c r="L848" i="7"/>
  <c r="M848" i="7"/>
  <c r="N848" i="7"/>
  <c r="P848" i="7"/>
  <c r="Q848" i="7"/>
  <c r="R848" i="7"/>
  <c r="T848" i="7"/>
  <c r="U848" i="7"/>
  <c r="W848" i="7"/>
  <c r="X848" i="7"/>
  <c r="Y848" i="7"/>
  <c r="D849" i="7"/>
  <c r="E849" i="7"/>
  <c r="F849" i="7"/>
  <c r="G849" i="7"/>
  <c r="H849" i="7"/>
  <c r="I849" i="7"/>
  <c r="J849" i="7"/>
  <c r="K849" i="7"/>
  <c r="L849" i="7"/>
  <c r="M849" i="7"/>
  <c r="N849" i="7"/>
  <c r="P849" i="7"/>
  <c r="Q849" i="7"/>
  <c r="R849" i="7"/>
  <c r="T849" i="7"/>
  <c r="U849" i="7"/>
  <c r="W849" i="7"/>
  <c r="X849" i="7"/>
  <c r="Y849" i="7"/>
  <c r="D850" i="7"/>
  <c r="E850" i="7"/>
  <c r="F850" i="7"/>
  <c r="G850" i="7"/>
  <c r="H850" i="7"/>
  <c r="I850" i="7"/>
  <c r="J850" i="7"/>
  <c r="K850" i="7"/>
  <c r="L850" i="7"/>
  <c r="M850" i="7"/>
  <c r="N850" i="7"/>
  <c r="P850" i="7"/>
  <c r="Q850" i="7"/>
  <c r="R850" i="7"/>
  <c r="T850" i="7"/>
  <c r="U850" i="7"/>
  <c r="W850" i="7"/>
  <c r="X850" i="7"/>
  <c r="Y850" i="7"/>
  <c r="D851" i="7"/>
  <c r="E851" i="7"/>
  <c r="F851" i="7"/>
  <c r="G851" i="7"/>
  <c r="H851" i="7"/>
  <c r="I851" i="7"/>
  <c r="J851" i="7"/>
  <c r="K851" i="7"/>
  <c r="L851" i="7"/>
  <c r="M851" i="7"/>
  <c r="N851" i="7"/>
  <c r="P851" i="7"/>
  <c r="Q851" i="7"/>
  <c r="R851" i="7"/>
  <c r="T851" i="7"/>
  <c r="U851" i="7"/>
  <c r="W851" i="7"/>
  <c r="X851" i="7"/>
  <c r="Y851" i="7"/>
  <c r="D852" i="7"/>
  <c r="E852" i="7"/>
  <c r="F852" i="7"/>
  <c r="G852" i="7"/>
  <c r="H852" i="7"/>
  <c r="I852" i="7"/>
  <c r="J852" i="7"/>
  <c r="K852" i="7"/>
  <c r="L852" i="7"/>
  <c r="M852" i="7"/>
  <c r="N852" i="7"/>
  <c r="P852" i="7"/>
  <c r="Q852" i="7"/>
  <c r="R852" i="7"/>
  <c r="T852" i="7"/>
  <c r="U852" i="7"/>
  <c r="W852" i="7"/>
  <c r="X852" i="7"/>
  <c r="Y852" i="7"/>
  <c r="D853" i="7"/>
  <c r="E853" i="7"/>
  <c r="F853" i="7"/>
  <c r="G853" i="7"/>
  <c r="H853" i="7"/>
  <c r="I853" i="7"/>
  <c r="J853" i="7"/>
  <c r="K853" i="7"/>
  <c r="L853" i="7"/>
  <c r="M853" i="7"/>
  <c r="N853" i="7"/>
  <c r="P853" i="7"/>
  <c r="Q853" i="7"/>
  <c r="R853" i="7"/>
  <c r="T853" i="7"/>
  <c r="U853" i="7"/>
  <c r="W853" i="7"/>
  <c r="X853" i="7"/>
  <c r="Y853" i="7"/>
  <c r="D854" i="7"/>
  <c r="E854" i="7"/>
  <c r="F854" i="7"/>
  <c r="G854" i="7"/>
  <c r="H854" i="7"/>
  <c r="I854" i="7"/>
  <c r="J854" i="7"/>
  <c r="K854" i="7"/>
  <c r="L854" i="7"/>
  <c r="M854" i="7"/>
  <c r="N854" i="7"/>
  <c r="P854" i="7"/>
  <c r="Q854" i="7"/>
  <c r="R854" i="7"/>
  <c r="T854" i="7"/>
  <c r="U854" i="7"/>
  <c r="W854" i="7"/>
  <c r="X854" i="7"/>
  <c r="Y854" i="7"/>
  <c r="D855" i="7"/>
  <c r="E855" i="7"/>
  <c r="F855" i="7"/>
  <c r="G855" i="7"/>
  <c r="H855" i="7"/>
  <c r="I855" i="7"/>
  <c r="J855" i="7"/>
  <c r="K855" i="7"/>
  <c r="L855" i="7"/>
  <c r="M855" i="7"/>
  <c r="N855" i="7"/>
  <c r="P855" i="7"/>
  <c r="Q855" i="7"/>
  <c r="R855" i="7"/>
  <c r="T855" i="7"/>
  <c r="U855" i="7"/>
  <c r="W855" i="7"/>
  <c r="X855" i="7"/>
  <c r="Y855" i="7"/>
  <c r="D856" i="7"/>
  <c r="E856" i="7"/>
  <c r="F856" i="7"/>
  <c r="G856" i="7"/>
  <c r="H856" i="7"/>
  <c r="I856" i="7"/>
  <c r="J856" i="7"/>
  <c r="K856" i="7"/>
  <c r="L856" i="7"/>
  <c r="M856" i="7"/>
  <c r="N856" i="7"/>
  <c r="P856" i="7"/>
  <c r="Q856" i="7"/>
  <c r="R856" i="7"/>
  <c r="T856" i="7"/>
  <c r="U856" i="7"/>
  <c r="W856" i="7"/>
  <c r="X856" i="7"/>
  <c r="Y856" i="7"/>
  <c r="D857" i="7"/>
  <c r="E857" i="7"/>
  <c r="F857" i="7"/>
  <c r="G857" i="7"/>
  <c r="H857" i="7"/>
  <c r="I857" i="7"/>
  <c r="J857" i="7"/>
  <c r="K857" i="7"/>
  <c r="L857" i="7"/>
  <c r="M857" i="7"/>
  <c r="N857" i="7"/>
  <c r="P857" i="7"/>
  <c r="Q857" i="7"/>
  <c r="R857" i="7"/>
  <c r="T857" i="7"/>
  <c r="U857" i="7"/>
  <c r="W857" i="7"/>
  <c r="X857" i="7"/>
  <c r="Y857" i="7"/>
  <c r="D858" i="7"/>
  <c r="E858" i="7"/>
  <c r="F858" i="7"/>
  <c r="G858" i="7"/>
  <c r="H858" i="7"/>
  <c r="I858" i="7"/>
  <c r="J858" i="7"/>
  <c r="K858" i="7"/>
  <c r="L858" i="7"/>
  <c r="M858" i="7"/>
  <c r="N858" i="7"/>
  <c r="P858" i="7"/>
  <c r="Q858" i="7"/>
  <c r="R858" i="7"/>
  <c r="T858" i="7"/>
  <c r="U858" i="7"/>
  <c r="W858" i="7"/>
  <c r="X858" i="7"/>
  <c r="Y858" i="7"/>
  <c r="D859" i="7"/>
  <c r="E859" i="7"/>
  <c r="F859" i="7"/>
  <c r="G859" i="7"/>
  <c r="H859" i="7"/>
  <c r="I859" i="7"/>
  <c r="J859" i="7"/>
  <c r="K859" i="7"/>
  <c r="L859" i="7"/>
  <c r="M859" i="7"/>
  <c r="N859" i="7"/>
  <c r="P859" i="7"/>
  <c r="Q859" i="7"/>
  <c r="R859" i="7"/>
  <c r="T859" i="7"/>
  <c r="U859" i="7"/>
  <c r="W859" i="7"/>
  <c r="X859" i="7"/>
  <c r="Y859" i="7"/>
  <c r="D860" i="7"/>
  <c r="E860" i="7"/>
  <c r="F860" i="7"/>
  <c r="G860" i="7"/>
  <c r="H860" i="7"/>
  <c r="I860" i="7"/>
  <c r="J860" i="7"/>
  <c r="K860" i="7"/>
  <c r="L860" i="7"/>
  <c r="M860" i="7"/>
  <c r="N860" i="7"/>
  <c r="P860" i="7"/>
  <c r="Q860" i="7"/>
  <c r="R860" i="7"/>
  <c r="T860" i="7"/>
  <c r="U860" i="7"/>
  <c r="W860" i="7"/>
  <c r="X860" i="7"/>
  <c r="Y860" i="7"/>
  <c r="D861" i="7"/>
  <c r="E861" i="7"/>
  <c r="F861" i="7"/>
  <c r="G861" i="7"/>
  <c r="H861" i="7"/>
  <c r="I861" i="7"/>
  <c r="J861" i="7"/>
  <c r="K861" i="7"/>
  <c r="L861" i="7"/>
  <c r="M861" i="7"/>
  <c r="N861" i="7"/>
  <c r="P861" i="7"/>
  <c r="Q861" i="7"/>
  <c r="R861" i="7"/>
  <c r="T861" i="7"/>
  <c r="U861" i="7"/>
  <c r="W861" i="7"/>
  <c r="D862" i="7"/>
  <c r="E862" i="7"/>
  <c r="F862" i="7"/>
  <c r="G862" i="7"/>
  <c r="H862" i="7"/>
  <c r="I862" i="7"/>
  <c r="J862" i="7"/>
  <c r="K862" i="7"/>
  <c r="L862" i="7"/>
  <c r="M862" i="7"/>
  <c r="N862" i="7"/>
  <c r="P862" i="7"/>
  <c r="Q862" i="7"/>
  <c r="R862" i="7"/>
  <c r="T862" i="7"/>
  <c r="U862" i="7"/>
  <c r="W862" i="7"/>
  <c r="X862" i="7"/>
  <c r="Y862" i="7"/>
  <c r="D863" i="7"/>
  <c r="E863" i="7"/>
  <c r="F863" i="7"/>
  <c r="G863" i="7"/>
  <c r="H863" i="7"/>
  <c r="I863" i="7"/>
  <c r="J863" i="7"/>
  <c r="K863" i="7"/>
  <c r="L863" i="7"/>
  <c r="M863" i="7"/>
  <c r="N863" i="7"/>
  <c r="P863" i="7"/>
  <c r="Q863" i="7"/>
  <c r="R863" i="7"/>
  <c r="T863" i="7"/>
  <c r="U863" i="7"/>
  <c r="V863" i="7" s="1"/>
  <c r="W863" i="7"/>
  <c r="X863" i="7"/>
  <c r="Y863" i="7"/>
  <c r="D864" i="7"/>
  <c r="E864" i="7"/>
  <c r="F864" i="7"/>
  <c r="G864" i="7"/>
  <c r="H864" i="7"/>
  <c r="I864" i="7"/>
  <c r="J864" i="7"/>
  <c r="K864" i="7"/>
  <c r="L864" i="7"/>
  <c r="M864" i="7"/>
  <c r="N864" i="7"/>
  <c r="P864" i="7"/>
  <c r="Q864" i="7"/>
  <c r="R864" i="7"/>
  <c r="T864" i="7"/>
  <c r="U864" i="7"/>
  <c r="W864" i="7"/>
  <c r="X864" i="7"/>
  <c r="Y864" i="7"/>
  <c r="D865" i="7"/>
  <c r="E865" i="7"/>
  <c r="F865" i="7"/>
  <c r="G865" i="7"/>
  <c r="H865" i="7"/>
  <c r="I865" i="7"/>
  <c r="J865" i="7"/>
  <c r="K865" i="7"/>
  <c r="L865" i="7"/>
  <c r="M865" i="7"/>
  <c r="N865" i="7"/>
  <c r="P865" i="7"/>
  <c r="Q865" i="7"/>
  <c r="R865" i="7"/>
  <c r="T865" i="7"/>
  <c r="U865" i="7"/>
  <c r="W865" i="7"/>
  <c r="X865" i="7"/>
  <c r="Y865" i="7"/>
  <c r="D866" i="7"/>
  <c r="E866" i="7"/>
  <c r="F866" i="7"/>
  <c r="G866" i="7"/>
  <c r="H866" i="7"/>
  <c r="I866" i="7"/>
  <c r="J866" i="7"/>
  <c r="K866" i="7"/>
  <c r="L866" i="7"/>
  <c r="M866" i="7"/>
  <c r="N866" i="7"/>
  <c r="P866" i="7"/>
  <c r="Q866" i="7"/>
  <c r="S866" i="7" s="1"/>
  <c r="R866" i="7"/>
  <c r="T866" i="7"/>
  <c r="U866" i="7"/>
  <c r="W866" i="7"/>
  <c r="X866" i="7"/>
  <c r="Y866" i="7"/>
  <c r="D867" i="7"/>
  <c r="E867" i="7"/>
  <c r="F867" i="7"/>
  <c r="G867" i="7"/>
  <c r="H867" i="7"/>
  <c r="I867" i="7"/>
  <c r="J867" i="7"/>
  <c r="K867" i="7"/>
  <c r="L867" i="7"/>
  <c r="M867" i="7"/>
  <c r="N867" i="7"/>
  <c r="P867" i="7"/>
  <c r="Q867" i="7"/>
  <c r="S867" i="7" s="1"/>
  <c r="R867" i="7"/>
  <c r="T867" i="7"/>
  <c r="U867" i="7"/>
  <c r="W867" i="7"/>
  <c r="X867" i="7"/>
  <c r="Y867" i="7"/>
  <c r="D868" i="7"/>
  <c r="E868" i="7"/>
  <c r="F868" i="7"/>
  <c r="G868" i="7"/>
  <c r="H868" i="7"/>
  <c r="I868" i="7"/>
  <c r="J868" i="7"/>
  <c r="K868" i="7"/>
  <c r="L868" i="7"/>
  <c r="M868" i="7"/>
  <c r="N868" i="7"/>
  <c r="P868" i="7"/>
  <c r="Q868" i="7"/>
  <c r="R868" i="7"/>
  <c r="T868" i="7"/>
  <c r="U868" i="7"/>
  <c r="W868" i="7"/>
  <c r="X868" i="7"/>
  <c r="Y868" i="7"/>
  <c r="D869" i="7"/>
  <c r="E869" i="7"/>
  <c r="F869" i="7"/>
  <c r="G869" i="7"/>
  <c r="H869" i="7"/>
  <c r="I869" i="7"/>
  <c r="J869" i="7"/>
  <c r="K869" i="7"/>
  <c r="L869" i="7"/>
  <c r="M869" i="7"/>
  <c r="N869" i="7"/>
  <c r="P869" i="7"/>
  <c r="Q869" i="7"/>
  <c r="R869" i="7"/>
  <c r="T869" i="7"/>
  <c r="U869" i="7"/>
  <c r="X869" i="7"/>
  <c r="D870" i="7"/>
  <c r="E870" i="7"/>
  <c r="F870" i="7"/>
  <c r="G870" i="7"/>
  <c r="H870" i="7"/>
  <c r="I870" i="7"/>
  <c r="J870" i="7"/>
  <c r="K870" i="7"/>
  <c r="L870" i="7"/>
  <c r="M870" i="7"/>
  <c r="N870" i="7"/>
  <c r="P870" i="7"/>
  <c r="Q870" i="7"/>
  <c r="R870" i="7"/>
  <c r="T870" i="7"/>
  <c r="U870" i="7"/>
  <c r="W870" i="7"/>
  <c r="X870" i="7"/>
  <c r="Y870" i="7"/>
  <c r="D871" i="7"/>
  <c r="E871" i="7"/>
  <c r="F871" i="7"/>
  <c r="G871" i="7"/>
  <c r="H871" i="7"/>
  <c r="I871" i="7"/>
  <c r="J871" i="7"/>
  <c r="K871" i="7"/>
  <c r="L871" i="7"/>
  <c r="M871" i="7"/>
  <c r="N871" i="7"/>
  <c r="P871" i="7"/>
  <c r="Q871" i="7"/>
  <c r="R871" i="7"/>
  <c r="T871" i="7"/>
  <c r="U871" i="7"/>
  <c r="W871" i="7"/>
  <c r="X871" i="7"/>
  <c r="Y871" i="7"/>
  <c r="D872" i="7"/>
  <c r="E872" i="7"/>
  <c r="F872" i="7"/>
  <c r="G872" i="7"/>
  <c r="H872" i="7"/>
  <c r="I872" i="7"/>
  <c r="J872" i="7"/>
  <c r="K872" i="7"/>
  <c r="L872" i="7"/>
  <c r="M872" i="7"/>
  <c r="N872" i="7"/>
  <c r="P872" i="7"/>
  <c r="Q872" i="7"/>
  <c r="R872" i="7"/>
  <c r="T872" i="7"/>
  <c r="U872" i="7"/>
  <c r="W872" i="7"/>
  <c r="X872" i="7"/>
  <c r="Y872" i="7"/>
  <c r="D873" i="7"/>
  <c r="E873" i="7"/>
  <c r="F873" i="7"/>
  <c r="G873" i="7"/>
  <c r="H873" i="7"/>
  <c r="I873" i="7"/>
  <c r="J873" i="7"/>
  <c r="K873" i="7"/>
  <c r="L873" i="7"/>
  <c r="M873" i="7"/>
  <c r="N873" i="7"/>
  <c r="P873" i="7"/>
  <c r="Q873" i="7"/>
  <c r="R873" i="7"/>
  <c r="S873" i="7" s="1"/>
  <c r="T873" i="7"/>
  <c r="U873" i="7"/>
  <c r="W873" i="7"/>
  <c r="X873" i="7"/>
  <c r="Y873" i="7"/>
  <c r="D874" i="7"/>
  <c r="E874" i="7"/>
  <c r="F874" i="7"/>
  <c r="G874" i="7"/>
  <c r="H874" i="7"/>
  <c r="I874" i="7"/>
  <c r="J874" i="7"/>
  <c r="K874" i="7"/>
  <c r="L874" i="7"/>
  <c r="M874" i="7"/>
  <c r="N874" i="7"/>
  <c r="P874" i="7"/>
  <c r="Q874" i="7"/>
  <c r="R874" i="7"/>
  <c r="T874" i="7"/>
  <c r="U874" i="7"/>
  <c r="W874" i="7"/>
  <c r="X874" i="7"/>
  <c r="Y874" i="7"/>
  <c r="D875" i="7"/>
  <c r="E875" i="7"/>
  <c r="F875" i="7"/>
  <c r="G875" i="7"/>
  <c r="H875" i="7"/>
  <c r="I875" i="7"/>
  <c r="J875" i="7"/>
  <c r="K875" i="7"/>
  <c r="L875" i="7"/>
  <c r="M875" i="7"/>
  <c r="N875" i="7"/>
  <c r="P875" i="7"/>
  <c r="Q875" i="7"/>
  <c r="R875" i="7"/>
  <c r="T875" i="7"/>
  <c r="U875" i="7"/>
  <c r="W875" i="7"/>
  <c r="X875" i="7"/>
  <c r="Y875" i="7"/>
  <c r="D876" i="7"/>
  <c r="E876" i="7"/>
  <c r="F876" i="7"/>
  <c r="G876" i="7"/>
  <c r="H876" i="7"/>
  <c r="I876" i="7"/>
  <c r="J876" i="7"/>
  <c r="K876" i="7"/>
  <c r="L876" i="7"/>
  <c r="M876" i="7"/>
  <c r="N876" i="7"/>
  <c r="P876" i="7"/>
  <c r="Q876" i="7"/>
  <c r="R876" i="7"/>
  <c r="T876" i="7"/>
  <c r="U876" i="7"/>
  <c r="W876" i="7"/>
  <c r="X876" i="7"/>
  <c r="Y876" i="7"/>
  <c r="D877" i="7"/>
  <c r="E877" i="7"/>
  <c r="F877" i="7"/>
  <c r="G877" i="7"/>
  <c r="H877" i="7"/>
  <c r="I877" i="7"/>
  <c r="J877" i="7"/>
  <c r="K877" i="7"/>
  <c r="L877" i="7"/>
  <c r="M877" i="7"/>
  <c r="N877" i="7"/>
  <c r="P877" i="7"/>
  <c r="Q877" i="7"/>
  <c r="R877" i="7"/>
  <c r="T877" i="7"/>
  <c r="U877" i="7"/>
  <c r="W877" i="7"/>
  <c r="X877" i="7"/>
  <c r="Y877" i="7"/>
  <c r="D878" i="7"/>
  <c r="E878" i="7"/>
  <c r="F878" i="7"/>
  <c r="G878" i="7"/>
  <c r="H878" i="7"/>
  <c r="I878" i="7"/>
  <c r="J878" i="7"/>
  <c r="K878" i="7"/>
  <c r="L878" i="7"/>
  <c r="M878" i="7"/>
  <c r="N878" i="7"/>
  <c r="P878" i="7"/>
  <c r="Q878" i="7"/>
  <c r="R878" i="7"/>
  <c r="T878" i="7"/>
  <c r="U878" i="7"/>
  <c r="W878" i="7"/>
  <c r="X878" i="7"/>
  <c r="Y878" i="7"/>
  <c r="D879" i="7"/>
  <c r="E879" i="7"/>
  <c r="F879" i="7"/>
  <c r="G879" i="7"/>
  <c r="H879" i="7"/>
  <c r="I879" i="7"/>
  <c r="J879" i="7"/>
  <c r="K879" i="7"/>
  <c r="L879" i="7"/>
  <c r="M879" i="7"/>
  <c r="N879" i="7"/>
  <c r="P879" i="7"/>
  <c r="Q879" i="7"/>
  <c r="R879" i="7"/>
  <c r="T879" i="7"/>
  <c r="U879" i="7"/>
  <c r="W879" i="7"/>
  <c r="X879" i="7"/>
  <c r="Y879" i="7"/>
  <c r="D880" i="7"/>
  <c r="E880" i="7"/>
  <c r="F880" i="7"/>
  <c r="G880" i="7"/>
  <c r="H880" i="7"/>
  <c r="I880" i="7"/>
  <c r="J880" i="7"/>
  <c r="K880" i="7"/>
  <c r="L880" i="7"/>
  <c r="M880" i="7"/>
  <c r="N880" i="7"/>
  <c r="P880" i="7"/>
  <c r="Q880" i="7"/>
  <c r="R880" i="7"/>
  <c r="T880" i="7"/>
  <c r="U880" i="7"/>
  <c r="W880" i="7"/>
  <c r="X880" i="7"/>
  <c r="Y880" i="7"/>
  <c r="D881" i="7"/>
  <c r="E881" i="7"/>
  <c r="F881" i="7"/>
  <c r="G881" i="7"/>
  <c r="H881" i="7"/>
  <c r="I881" i="7"/>
  <c r="J881" i="7"/>
  <c r="K881" i="7"/>
  <c r="L881" i="7"/>
  <c r="M881" i="7"/>
  <c r="N881" i="7"/>
  <c r="P881" i="7"/>
  <c r="Q881" i="7"/>
  <c r="R881" i="7"/>
  <c r="T881" i="7"/>
  <c r="U881" i="7"/>
  <c r="W881" i="7"/>
  <c r="X881" i="7"/>
  <c r="Y881" i="7"/>
  <c r="D882" i="7"/>
  <c r="E882" i="7"/>
  <c r="F882" i="7"/>
  <c r="G882" i="7"/>
  <c r="H882" i="7"/>
  <c r="I882" i="7"/>
  <c r="J882" i="7"/>
  <c r="K882" i="7"/>
  <c r="L882" i="7"/>
  <c r="M882" i="7"/>
  <c r="N882" i="7"/>
  <c r="P882" i="7"/>
  <c r="Q882" i="7"/>
  <c r="R882" i="7"/>
  <c r="T882" i="7"/>
  <c r="U882" i="7"/>
  <c r="W882" i="7"/>
  <c r="X882" i="7"/>
  <c r="Y882" i="7"/>
  <c r="D883" i="7"/>
  <c r="E883" i="7"/>
  <c r="F883" i="7"/>
  <c r="G883" i="7"/>
  <c r="H883" i="7"/>
  <c r="I883" i="7"/>
  <c r="J883" i="7"/>
  <c r="K883" i="7"/>
  <c r="L883" i="7"/>
  <c r="M883" i="7"/>
  <c r="N883" i="7"/>
  <c r="P883" i="7"/>
  <c r="Q883" i="7"/>
  <c r="S883" i="7" s="1"/>
  <c r="R883" i="7"/>
  <c r="T883" i="7"/>
  <c r="U883" i="7"/>
  <c r="W883" i="7"/>
  <c r="X883" i="7"/>
  <c r="Y883" i="7"/>
  <c r="D884" i="7"/>
  <c r="E884" i="7"/>
  <c r="F884" i="7"/>
  <c r="G884" i="7"/>
  <c r="H884" i="7"/>
  <c r="I884" i="7"/>
  <c r="J884" i="7"/>
  <c r="K884" i="7"/>
  <c r="L884" i="7"/>
  <c r="M884" i="7"/>
  <c r="N884" i="7"/>
  <c r="P884" i="7"/>
  <c r="Q884" i="7"/>
  <c r="R884" i="7"/>
  <c r="T884" i="7"/>
  <c r="U884" i="7"/>
  <c r="W884" i="7"/>
  <c r="X884" i="7"/>
  <c r="Y884" i="7"/>
  <c r="D885" i="7"/>
  <c r="E885" i="7"/>
  <c r="F885" i="7"/>
  <c r="G885" i="7"/>
  <c r="H885" i="7"/>
  <c r="I885" i="7"/>
  <c r="J885" i="7"/>
  <c r="K885" i="7"/>
  <c r="L885" i="7"/>
  <c r="M885" i="7"/>
  <c r="N885" i="7"/>
  <c r="P885" i="7"/>
  <c r="Q885" i="7"/>
  <c r="R885" i="7"/>
  <c r="T885" i="7"/>
  <c r="U885" i="7"/>
  <c r="W885" i="7"/>
  <c r="X885" i="7"/>
  <c r="Y885" i="7"/>
  <c r="D886" i="7"/>
  <c r="E886" i="7"/>
  <c r="F886" i="7"/>
  <c r="G886" i="7"/>
  <c r="H886" i="7"/>
  <c r="I886" i="7"/>
  <c r="J886" i="7"/>
  <c r="K886" i="7"/>
  <c r="L886" i="7"/>
  <c r="M886" i="7"/>
  <c r="N886" i="7"/>
  <c r="P886" i="7"/>
  <c r="Q886" i="7"/>
  <c r="R886" i="7"/>
  <c r="T886" i="7"/>
  <c r="U886" i="7"/>
  <c r="W886" i="7"/>
  <c r="X886" i="7"/>
  <c r="Y886" i="7"/>
  <c r="D887" i="7"/>
  <c r="E887" i="7"/>
  <c r="F887" i="7"/>
  <c r="G887" i="7"/>
  <c r="H887" i="7"/>
  <c r="I887" i="7"/>
  <c r="J887" i="7"/>
  <c r="K887" i="7"/>
  <c r="L887" i="7"/>
  <c r="M887" i="7"/>
  <c r="N887" i="7"/>
  <c r="P887" i="7"/>
  <c r="Q887" i="7"/>
  <c r="R887" i="7"/>
  <c r="T887" i="7"/>
  <c r="U887" i="7"/>
  <c r="W887" i="7"/>
  <c r="X887" i="7"/>
  <c r="Y887" i="7"/>
  <c r="D888" i="7"/>
  <c r="E888" i="7"/>
  <c r="F888" i="7"/>
  <c r="G888" i="7"/>
  <c r="H888" i="7"/>
  <c r="I888" i="7"/>
  <c r="J888" i="7"/>
  <c r="K888" i="7"/>
  <c r="L888" i="7"/>
  <c r="M888" i="7"/>
  <c r="N888" i="7"/>
  <c r="P888" i="7"/>
  <c r="Q888" i="7"/>
  <c r="R888" i="7"/>
  <c r="T888" i="7"/>
  <c r="U888" i="7"/>
  <c r="W888" i="7"/>
  <c r="X888" i="7"/>
  <c r="Y888" i="7"/>
  <c r="D889" i="7"/>
  <c r="E889" i="7"/>
  <c r="F889" i="7"/>
  <c r="G889" i="7"/>
  <c r="H889" i="7"/>
  <c r="I889" i="7"/>
  <c r="J889" i="7"/>
  <c r="K889" i="7"/>
  <c r="L889" i="7"/>
  <c r="M889" i="7"/>
  <c r="N889" i="7"/>
  <c r="P889" i="7"/>
  <c r="Q889" i="7"/>
  <c r="R889" i="7"/>
  <c r="T889" i="7"/>
  <c r="U889" i="7"/>
  <c r="W889" i="7"/>
  <c r="X889" i="7"/>
  <c r="Y889" i="7"/>
  <c r="D890" i="7"/>
  <c r="E890" i="7"/>
  <c r="F890" i="7"/>
  <c r="G890" i="7"/>
  <c r="H890" i="7"/>
  <c r="I890" i="7"/>
  <c r="J890" i="7"/>
  <c r="K890" i="7"/>
  <c r="L890" i="7"/>
  <c r="M890" i="7"/>
  <c r="N890" i="7"/>
  <c r="P890" i="7"/>
  <c r="Q890" i="7"/>
  <c r="R890" i="7"/>
  <c r="T890" i="7"/>
  <c r="U890" i="7"/>
  <c r="W890" i="7"/>
  <c r="X890" i="7"/>
  <c r="Y890" i="7"/>
  <c r="D891" i="7"/>
  <c r="E891" i="7"/>
  <c r="F891" i="7"/>
  <c r="G891" i="7"/>
  <c r="H891" i="7"/>
  <c r="I891" i="7"/>
  <c r="J891" i="7"/>
  <c r="K891" i="7"/>
  <c r="L891" i="7"/>
  <c r="M891" i="7"/>
  <c r="N891" i="7"/>
  <c r="P891" i="7"/>
  <c r="Q891" i="7"/>
  <c r="R891" i="7"/>
  <c r="T891" i="7"/>
  <c r="U891" i="7"/>
  <c r="W891" i="7"/>
  <c r="X891" i="7"/>
  <c r="Y891" i="7"/>
  <c r="D892" i="7"/>
  <c r="E892" i="7"/>
  <c r="F892" i="7"/>
  <c r="G892" i="7"/>
  <c r="H892" i="7"/>
  <c r="I892" i="7"/>
  <c r="J892" i="7"/>
  <c r="K892" i="7"/>
  <c r="L892" i="7"/>
  <c r="M892" i="7"/>
  <c r="N892" i="7"/>
  <c r="P892" i="7"/>
  <c r="Q892" i="7"/>
  <c r="R892" i="7"/>
  <c r="T892" i="7"/>
  <c r="U892" i="7"/>
  <c r="W892" i="7"/>
  <c r="X892" i="7"/>
  <c r="Y892" i="7"/>
  <c r="D893" i="7"/>
  <c r="E893" i="7"/>
  <c r="F893" i="7"/>
  <c r="G893" i="7"/>
  <c r="H893" i="7"/>
  <c r="I893" i="7"/>
  <c r="J893" i="7"/>
  <c r="K893" i="7"/>
  <c r="L893" i="7"/>
  <c r="M893" i="7"/>
  <c r="N893" i="7"/>
  <c r="P893" i="7"/>
  <c r="Q893" i="7"/>
  <c r="R893" i="7"/>
  <c r="T893" i="7"/>
  <c r="U893" i="7"/>
  <c r="W893" i="7"/>
  <c r="X893" i="7"/>
  <c r="Y893" i="7"/>
  <c r="D894" i="7"/>
  <c r="E894" i="7"/>
  <c r="F894" i="7"/>
  <c r="G894" i="7"/>
  <c r="H894" i="7"/>
  <c r="I894" i="7"/>
  <c r="J894" i="7"/>
  <c r="K894" i="7"/>
  <c r="L894" i="7"/>
  <c r="M894" i="7"/>
  <c r="N894" i="7"/>
  <c r="P894" i="7"/>
  <c r="Q894" i="7"/>
  <c r="R894" i="7"/>
  <c r="T894" i="7"/>
  <c r="U894" i="7"/>
  <c r="W894" i="7"/>
  <c r="X894" i="7"/>
  <c r="Y894" i="7"/>
  <c r="D895" i="7"/>
  <c r="E895" i="7"/>
  <c r="F895" i="7"/>
  <c r="G895" i="7"/>
  <c r="H895" i="7"/>
  <c r="I895" i="7"/>
  <c r="J895" i="7"/>
  <c r="K895" i="7"/>
  <c r="L895" i="7"/>
  <c r="M895" i="7"/>
  <c r="N895" i="7"/>
  <c r="P895" i="7"/>
  <c r="Q895" i="7"/>
  <c r="R895" i="7"/>
  <c r="T895" i="7"/>
  <c r="U895" i="7"/>
  <c r="W895" i="7"/>
  <c r="X895" i="7"/>
  <c r="Y895" i="7"/>
  <c r="D896" i="7"/>
  <c r="E896" i="7"/>
  <c r="F896" i="7"/>
  <c r="G896" i="7"/>
  <c r="H896" i="7"/>
  <c r="I896" i="7"/>
  <c r="J896" i="7"/>
  <c r="K896" i="7"/>
  <c r="L896" i="7"/>
  <c r="M896" i="7"/>
  <c r="N896" i="7"/>
  <c r="P896" i="7"/>
  <c r="Q896" i="7"/>
  <c r="R896" i="7"/>
  <c r="T896" i="7"/>
  <c r="U896" i="7"/>
  <c r="W896" i="7"/>
  <c r="X896" i="7"/>
  <c r="Y896" i="7"/>
  <c r="D897" i="7"/>
  <c r="E897" i="7"/>
  <c r="F897" i="7"/>
  <c r="G897" i="7"/>
  <c r="H897" i="7"/>
  <c r="I897" i="7"/>
  <c r="J897" i="7"/>
  <c r="K897" i="7"/>
  <c r="L897" i="7"/>
  <c r="M897" i="7"/>
  <c r="N897" i="7"/>
  <c r="P897" i="7"/>
  <c r="Q897" i="7"/>
  <c r="R897" i="7"/>
  <c r="T897" i="7"/>
  <c r="U897" i="7"/>
  <c r="W897" i="7"/>
  <c r="X897" i="7"/>
  <c r="Y897" i="7"/>
  <c r="D898" i="7"/>
  <c r="E898" i="7"/>
  <c r="F898" i="7"/>
  <c r="G898" i="7"/>
  <c r="H898" i="7"/>
  <c r="I898" i="7"/>
  <c r="J898" i="7"/>
  <c r="K898" i="7"/>
  <c r="L898" i="7"/>
  <c r="M898" i="7"/>
  <c r="N898" i="7"/>
  <c r="P898" i="7"/>
  <c r="Q898" i="7"/>
  <c r="R898" i="7"/>
  <c r="T898" i="7"/>
  <c r="U898" i="7"/>
  <c r="W898" i="7"/>
  <c r="X898" i="7"/>
  <c r="Y898" i="7"/>
  <c r="D899" i="7"/>
  <c r="E899" i="7"/>
  <c r="F899" i="7"/>
  <c r="G899" i="7"/>
  <c r="H899" i="7"/>
  <c r="I899" i="7"/>
  <c r="J899" i="7"/>
  <c r="K899" i="7"/>
  <c r="L899" i="7"/>
  <c r="M899" i="7"/>
  <c r="N899" i="7"/>
  <c r="P899" i="7"/>
  <c r="Q899" i="7"/>
  <c r="R899" i="7"/>
  <c r="T899" i="7"/>
  <c r="U899" i="7"/>
  <c r="W899" i="7"/>
  <c r="X899" i="7"/>
  <c r="Y899" i="7"/>
  <c r="D900" i="7"/>
  <c r="E900" i="7"/>
  <c r="F900" i="7"/>
  <c r="G900" i="7"/>
  <c r="H900" i="7"/>
  <c r="I900" i="7"/>
  <c r="J900" i="7"/>
  <c r="K900" i="7"/>
  <c r="L900" i="7"/>
  <c r="M900" i="7"/>
  <c r="N900" i="7"/>
  <c r="P900" i="7"/>
  <c r="Q900" i="7"/>
  <c r="R900" i="7"/>
  <c r="T900" i="7"/>
  <c r="U900" i="7"/>
  <c r="W900" i="7"/>
  <c r="X900" i="7"/>
  <c r="Y900" i="7"/>
  <c r="D901" i="7"/>
  <c r="E901" i="7"/>
  <c r="F901" i="7"/>
  <c r="G901" i="7"/>
  <c r="H901" i="7"/>
  <c r="I901" i="7"/>
  <c r="J901" i="7"/>
  <c r="K901" i="7"/>
  <c r="L901" i="7"/>
  <c r="M901" i="7"/>
  <c r="N901" i="7"/>
  <c r="P901" i="7"/>
  <c r="Q901" i="7"/>
  <c r="S901" i="7" s="1"/>
  <c r="R901" i="7"/>
  <c r="T901" i="7"/>
  <c r="U901" i="7"/>
  <c r="W901" i="7"/>
  <c r="X901" i="7"/>
  <c r="Y901" i="7"/>
  <c r="D902" i="7"/>
  <c r="E902" i="7"/>
  <c r="F902" i="7"/>
  <c r="G902" i="7"/>
  <c r="H902" i="7"/>
  <c r="I902" i="7"/>
  <c r="J902" i="7"/>
  <c r="K902" i="7"/>
  <c r="L902" i="7"/>
  <c r="M902" i="7"/>
  <c r="N902" i="7"/>
  <c r="P902" i="7"/>
  <c r="Q902" i="7"/>
  <c r="S902" i="7" s="1"/>
  <c r="R902" i="7"/>
  <c r="T902" i="7"/>
  <c r="U902" i="7"/>
  <c r="W902" i="7"/>
  <c r="X902" i="7"/>
  <c r="Y902" i="7"/>
  <c r="D903" i="7"/>
  <c r="E903" i="7"/>
  <c r="F903" i="7"/>
  <c r="G903" i="7"/>
  <c r="H903" i="7"/>
  <c r="I903" i="7"/>
  <c r="J903" i="7"/>
  <c r="K903" i="7"/>
  <c r="L903" i="7"/>
  <c r="M903" i="7"/>
  <c r="N903" i="7"/>
  <c r="P903" i="7"/>
  <c r="Q903" i="7"/>
  <c r="R903" i="7"/>
  <c r="T903" i="7"/>
  <c r="U903" i="7"/>
  <c r="W903" i="7"/>
  <c r="X903" i="7"/>
  <c r="Y903" i="7"/>
  <c r="D904" i="7"/>
  <c r="E904" i="7"/>
  <c r="F904" i="7"/>
  <c r="G904" i="7"/>
  <c r="H904" i="7"/>
  <c r="I904" i="7"/>
  <c r="J904" i="7"/>
  <c r="K904" i="7"/>
  <c r="L904" i="7"/>
  <c r="M904" i="7"/>
  <c r="N904" i="7"/>
  <c r="P904" i="7"/>
  <c r="Q904" i="7"/>
  <c r="R904" i="7"/>
  <c r="T904" i="7"/>
  <c r="U904" i="7"/>
  <c r="W904" i="7"/>
  <c r="X904" i="7"/>
  <c r="Y904" i="7"/>
  <c r="D905" i="7"/>
  <c r="E905" i="7"/>
  <c r="F905" i="7"/>
  <c r="G905" i="7"/>
  <c r="H905" i="7"/>
  <c r="I905" i="7"/>
  <c r="J905" i="7"/>
  <c r="K905" i="7"/>
  <c r="L905" i="7"/>
  <c r="M905" i="7"/>
  <c r="N905" i="7"/>
  <c r="P905" i="7"/>
  <c r="Q905" i="7"/>
  <c r="R905" i="7"/>
  <c r="T905" i="7"/>
  <c r="U905" i="7"/>
  <c r="W905" i="7"/>
  <c r="X905" i="7"/>
  <c r="Y905" i="7"/>
  <c r="D906" i="7"/>
  <c r="E906" i="7"/>
  <c r="F906" i="7"/>
  <c r="G906" i="7"/>
  <c r="H906" i="7"/>
  <c r="I906" i="7"/>
  <c r="J906" i="7"/>
  <c r="K906" i="7"/>
  <c r="L906" i="7"/>
  <c r="M906" i="7"/>
  <c r="N906" i="7"/>
  <c r="P906" i="7"/>
  <c r="Q906" i="7"/>
  <c r="R906" i="7"/>
  <c r="T906" i="7"/>
  <c r="U906" i="7"/>
  <c r="W906" i="7"/>
  <c r="X906" i="7"/>
  <c r="Y906" i="7"/>
  <c r="D907" i="7"/>
  <c r="E907" i="7"/>
  <c r="F907" i="7"/>
  <c r="G907" i="7"/>
  <c r="H907" i="7"/>
  <c r="I907" i="7"/>
  <c r="J907" i="7"/>
  <c r="K907" i="7"/>
  <c r="L907" i="7"/>
  <c r="M907" i="7"/>
  <c r="N907" i="7"/>
  <c r="P907" i="7"/>
  <c r="Q907" i="7"/>
  <c r="R907" i="7"/>
  <c r="T907" i="7"/>
  <c r="U907" i="7"/>
  <c r="W907" i="7"/>
  <c r="X907" i="7"/>
  <c r="Y907" i="7"/>
  <c r="D908" i="7"/>
  <c r="E908" i="7"/>
  <c r="F908" i="7"/>
  <c r="G908" i="7"/>
  <c r="H908" i="7"/>
  <c r="I908" i="7"/>
  <c r="J908" i="7"/>
  <c r="K908" i="7"/>
  <c r="L908" i="7"/>
  <c r="M908" i="7"/>
  <c r="N908" i="7"/>
  <c r="P908" i="7"/>
  <c r="Q908" i="7"/>
  <c r="R908" i="7"/>
  <c r="T908" i="7"/>
  <c r="U908" i="7"/>
  <c r="W908" i="7"/>
  <c r="X908" i="7"/>
  <c r="Y908" i="7"/>
  <c r="D909" i="7"/>
  <c r="E909" i="7"/>
  <c r="F909" i="7"/>
  <c r="G909" i="7"/>
  <c r="H909" i="7"/>
  <c r="I909" i="7"/>
  <c r="J909" i="7"/>
  <c r="K909" i="7"/>
  <c r="L909" i="7"/>
  <c r="M909" i="7"/>
  <c r="N909" i="7"/>
  <c r="P909" i="7"/>
  <c r="Q909" i="7"/>
  <c r="R909" i="7"/>
  <c r="T909" i="7"/>
  <c r="U909" i="7"/>
  <c r="W909" i="7"/>
  <c r="X909" i="7"/>
  <c r="Y909" i="7"/>
  <c r="D910" i="7"/>
  <c r="E910" i="7"/>
  <c r="F910" i="7"/>
  <c r="G910" i="7"/>
  <c r="H910" i="7"/>
  <c r="I910" i="7"/>
  <c r="J910" i="7"/>
  <c r="K910" i="7"/>
  <c r="L910" i="7"/>
  <c r="M910" i="7"/>
  <c r="N910" i="7"/>
  <c r="P910" i="7"/>
  <c r="Q910" i="7"/>
  <c r="R910" i="7"/>
  <c r="T910" i="7"/>
  <c r="U910" i="7"/>
  <c r="W910" i="7"/>
  <c r="X910" i="7"/>
  <c r="Y910" i="7"/>
  <c r="D911" i="7"/>
  <c r="E911" i="7"/>
  <c r="F911" i="7"/>
  <c r="G911" i="7"/>
  <c r="H911" i="7"/>
  <c r="I911" i="7"/>
  <c r="J911" i="7"/>
  <c r="K911" i="7"/>
  <c r="L911" i="7"/>
  <c r="M911" i="7"/>
  <c r="N911" i="7"/>
  <c r="P911" i="7"/>
  <c r="Q911" i="7"/>
  <c r="R911" i="7"/>
  <c r="T911" i="7"/>
  <c r="U911" i="7"/>
  <c r="W911" i="7"/>
  <c r="X911" i="7"/>
  <c r="Y911" i="7"/>
  <c r="D912" i="7"/>
  <c r="E912" i="7"/>
  <c r="F912" i="7"/>
  <c r="G912" i="7"/>
  <c r="H912" i="7"/>
  <c r="I912" i="7"/>
  <c r="J912" i="7"/>
  <c r="K912" i="7"/>
  <c r="L912" i="7"/>
  <c r="M912" i="7"/>
  <c r="N912" i="7"/>
  <c r="P912" i="7"/>
  <c r="Q912" i="7"/>
  <c r="R912" i="7"/>
  <c r="T912" i="7"/>
  <c r="U912" i="7"/>
  <c r="W912" i="7"/>
  <c r="X912" i="7"/>
  <c r="Y912" i="7"/>
  <c r="D913" i="7"/>
  <c r="E913" i="7"/>
  <c r="F913" i="7"/>
  <c r="G913" i="7"/>
  <c r="H913" i="7"/>
  <c r="I913" i="7"/>
  <c r="J913" i="7"/>
  <c r="K913" i="7"/>
  <c r="L913" i="7"/>
  <c r="M913" i="7"/>
  <c r="N913" i="7"/>
  <c r="P913" i="7"/>
  <c r="Q913" i="7"/>
  <c r="R913" i="7"/>
  <c r="T913" i="7"/>
  <c r="U913" i="7"/>
  <c r="W913" i="7"/>
  <c r="X913" i="7"/>
  <c r="Y913" i="7"/>
  <c r="D914" i="7"/>
  <c r="E914" i="7"/>
  <c r="F914" i="7"/>
  <c r="G914" i="7"/>
  <c r="H914" i="7"/>
  <c r="I914" i="7"/>
  <c r="J914" i="7"/>
  <c r="K914" i="7"/>
  <c r="L914" i="7"/>
  <c r="M914" i="7"/>
  <c r="N914" i="7"/>
  <c r="P914" i="7"/>
  <c r="Q914" i="7"/>
  <c r="R914" i="7"/>
  <c r="T914" i="7"/>
  <c r="U914" i="7"/>
  <c r="W914" i="7"/>
  <c r="X914" i="7"/>
  <c r="Y914" i="7"/>
  <c r="D915" i="7"/>
  <c r="E915" i="7"/>
  <c r="F915" i="7"/>
  <c r="G915" i="7"/>
  <c r="H915" i="7"/>
  <c r="I915" i="7"/>
  <c r="J915" i="7"/>
  <c r="K915" i="7"/>
  <c r="L915" i="7"/>
  <c r="M915" i="7"/>
  <c r="N915" i="7"/>
  <c r="P915" i="7"/>
  <c r="Q915" i="7"/>
  <c r="R915" i="7"/>
  <c r="T915" i="7"/>
  <c r="U915" i="7"/>
  <c r="W915" i="7"/>
  <c r="X915" i="7"/>
  <c r="Y915" i="7"/>
  <c r="D916" i="7"/>
  <c r="E916" i="7"/>
  <c r="F916" i="7"/>
  <c r="G916" i="7"/>
  <c r="H916" i="7"/>
  <c r="I916" i="7"/>
  <c r="J916" i="7"/>
  <c r="K916" i="7"/>
  <c r="L916" i="7"/>
  <c r="M916" i="7"/>
  <c r="N916" i="7"/>
  <c r="P916" i="7"/>
  <c r="Q916" i="7"/>
  <c r="R916" i="7"/>
  <c r="T916" i="7"/>
  <c r="U916" i="7"/>
  <c r="W916" i="7"/>
  <c r="X916" i="7"/>
  <c r="Y916" i="7"/>
  <c r="D917" i="7"/>
  <c r="E917" i="7"/>
  <c r="F917" i="7"/>
  <c r="G917" i="7"/>
  <c r="H917" i="7"/>
  <c r="I917" i="7"/>
  <c r="J917" i="7"/>
  <c r="K917" i="7"/>
  <c r="L917" i="7"/>
  <c r="M917" i="7"/>
  <c r="N917" i="7"/>
  <c r="P917" i="7"/>
  <c r="Q917" i="7"/>
  <c r="R917" i="7"/>
  <c r="T917" i="7"/>
  <c r="U917" i="7"/>
  <c r="W917" i="7"/>
  <c r="X917" i="7"/>
  <c r="Y917" i="7"/>
  <c r="D918" i="7"/>
  <c r="E918" i="7"/>
  <c r="F918" i="7"/>
  <c r="G918" i="7"/>
  <c r="H918" i="7"/>
  <c r="I918" i="7"/>
  <c r="J918" i="7"/>
  <c r="K918" i="7"/>
  <c r="L918" i="7"/>
  <c r="M918" i="7"/>
  <c r="N918" i="7"/>
  <c r="P918" i="7"/>
  <c r="Q918" i="7"/>
  <c r="R918" i="7"/>
  <c r="T918" i="7"/>
  <c r="U918" i="7"/>
  <c r="W918" i="7"/>
  <c r="X918" i="7"/>
  <c r="Y918" i="7"/>
  <c r="D919" i="7"/>
  <c r="E919" i="7"/>
  <c r="F919" i="7"/>
  <c r="G919" i="7"/>
  <c r="H919" i="7"/>
  <c r="I919" i="7"/>
  <c r="J919" i="7"/>
  <c r="K919" i="7"/>
  <c r="L919" i="7"/>
  <c r="M919" i="7"/>
  <c r="N919" i="7"/>
  <c r="P919" i="7"/>
  <c r="Q919" i="7"/>
  <c r="R919" i="7"/>
  <c r="T919" i="7"/>
  <c r="U919" i="7"/>
  <c r="W919" i="7"/>
  <c r="X919" i="7"/>
  <c r="Y919" i="7"/>
  <c r="D920" i="7"/>
  <c r="E920" i="7"/>
  <c r="F920" i="7"/>
  <c r="G920" i="7"/>
  <c r="H920" i="7"/>
  <c r="I920" i="7"/>
  <c r="J920" i="7"/>
  <c r="K920" i="7"/>
  <c r="L920" i="7"/>
  <c r="M920" i="7"/>
  <c r="N920" i="7"/>
  <c r="P920" i="7"/>
  <c r="Q920" i="7"/>
  <c r="R920" i="7"/>
  <c r="T920" i="7"/>
  <c r="U920" i="7"/>
  <c r="W920" i="7"/>
  <c r="X920" i="7"/>
  <c r="Y920" i="7"/>
  <c r="D921" i="7"/>
  <c r="E921" i="7"/>
  <c r="F921" i="7"/>
  <c r="G921" i="7"/>
  <c r="H921" i="7"/>
  <c r="I921" i="7"/>
  <c r="J921" i="7"/>
  <c r="K921" i="7"/>
  <c r="L921" i="7"/>
  <c r="M921" i="7"/>
  <c r="N921" i="7"/>
  <c r="P921" i="7"/>
  <c r="Q921" i="7"/>
  <c r="R921" i="7"/>
  <c r="T921" i="7"/>
  <c r="U921" i="7"/>
  <c r="W921" i="7"/>
  <c r="X921" i="7"/>
  <c r="Y921" i="7"/>
  <c r="D922" i="7"/>
  <c r="E922" i="7"/>
  <c r="F922" i="7"/>
  <c r="G922" i="7"/>
  <c r="H922" i="7"/>
  <c r="I922" i="7"/>
  <c r="J922" i="7"/>
  <c r="K922" i="7"/>
  <c r="L922" i="7"/>
  <c r="M922" i="7"/>
  <c r="N922" i="7"/>
  <c r="P922" i="7"/>
  <c r="Q922" i="7"/>
  <c r="R922" i="7"/>
  <c r="T922" i="7"/>
  <c r="U922" i="7"/>
  <c r="W922" i="7"/>
  <c r="X922" i="7"/>
  <c r="Y922" i="7"/>
  <c r="D923" i="7"/>
  <c r="E923" i="7"/>
  <c r="F923" i="7"/>
  <c r="G923" i="7"/>
  <c r="H923" i="7"/>
  <c r="I923" i="7"/>
  <c r="J923" i="7"/>
  <c r="K923" i="7"/>
  <c r="L923" i="7"/>
  <c r="M923" i="7"/>
  <c r="N923" i="7"/>
  <c r="P923" i="7"/>
  <c r="Q923" i="7"/>
  <c r="R923" i="7"/>
  <c r="T923" i="7"/>
  <c r="U923" i="7"/>
  <c r="W923" i="7"/>
  <c r="X923" i="7"/>
  <c r="Y923" i="7"/>
  <c r="D924" i="7"/>
  <c r="E924" i="7"/>
  <c r="F924" i="7"/>
  <c r="G924" i="7"/>
  <c r="H924" i="7"/>
  <c r="I924" i="7"/>
  <c r="J924" i="7"/>
  <c r="K924" i="7"/>
  <c r="L924" i="7"/>
  <c r="M924" i="7"/>
  <c r="N924" i="7"/>
  <c r="P924" i="7"/>
  <c r="Q924" i="7"/>
  <c r="R924" i="7"/>
  <c r="T924" i="7"/>
  <c r="U924" i="7"/>
  <c r="W924" i="7"/>
  <c r="X924" i="7"/>
  <c r="Y924" i="7"/>
  <c r="D925" i="7"/>
  <c r="E925" i="7"/>
  <c r="F925" i="7"/>
  <c r="G925" i="7"/>
  <c r="H925" i="7"/>
  <c r="I925" i="7"/>
  <c r="J925" i="7"/>
  <c r="K925" i="7"/>
  <c r="L925" i="7"/>
  <c r="M925" i="7"/>
  <c r="N925" i="7"/>
  <c r="P925" i="7"/>
  <c r="Q925" i="7"/>
  <c r="R925" i="7"/>
  <c r="T925" i="7"/>
  <c r="U925" i="7"/>
  <c r="W925" i="7"/>
  <c r="X925" i="7"/>
  <c r="Y925" i="7"/>
  <c r="D926" i="7"/>
  <c r="E926" i="7"/>
  <c r="F926" i="7"/>
  <c r="G926" i="7"/>
  <c r="H926" i="7"/>
  <c r="I926" i="7"/>
  <c r="J926" i="7"/>
  <c r="K926" i="7"/>
  <c r="L926" i="7"/>
  <c r="M926" i="7"/>
  <c r="N926" i="7"/>
  <c r="P926" i="7"/>
  <c r="Q926" i="7"/>
  <c r="R926" i="7"/>
  <c r="T926" i="7"/>
  <c r="U926" i="7"/>
  <c r="W926" i="7"/>
  <c r="X926" i="7"/>
  <c r="Y926" i="7"/>
  <c r="D927" i="7"/>
  <c r="E927" i="7"/>
  <c r="F927" i="7"/>
  <c r="G927" i="7"/>
  <c r="H927" i="7"/>
  <c r="I927" i="7"/>
  <c r="J927" i="7"/>
  <c r="K927" i="7"/>
  <c r="L927" i="7"/>
  <c r="M927" i="7"/>
  <c r="N927" i="7"/>
  <c r="P927" i="7"/>
  <c r="Q927" i="7"/>
  <c r="R927" i="7"/>
  <c r="T927" i="7"/>
  <c r="U927" i="7"/>
  <c r="W927" i="7"/>
  <c r="X927" i="7"/>
  <c r="Y927" i="7"/>
  <c r="D928" i="7"/>
  <c r="E928" i="7"/>
  <c r="F928" i="7"/>
  <c r="G928" i="7"/>
  <c r="H928" i="7"/>
  <c r="I928" i="7"/>
  <c r="J928" i="7"/>
  <c r="K928" i="7"/>
  <c r="L928" i="7"/>
  <c r="M928" i="7"/>
  <c r="N928" i="7"/>
  <c r="P928" i="7"/>
  <c r="Q928" i="7"/>
  <c r="R928" i="7"/>
  <c r="T928" i="7"/>
  <c r="U928" i="7"/>
  <c r="W928" i="7"/>
  <c r="X928" i="7"/>
  <c r="Y928" i="7"/>
  <c r="D929" i="7"/>
  <c r="E929" i="7"/>
  <c r="F929" i="7"/>
  <c r="G929" i="7"/>
  <c r="H929" i="7"/>
  <c r="I929" i="7"/>
  <c r="J929" i="7"/>
  <c r="K929" i="7"/>
  <c r="L929" i="7"/>
  <c r="M929" i="7"/>
  <c r="N929" i="7"/>
  <c r="P929" i="7"/>
  <c r="Q929" i="7"/>
  <c r="R929" i="7"/>
  <c r="T929" i="7"/>
  <c r="U929" i="7"/>
  <c r="W929" i="7"/>
  <c r="X929" i="7"/>
  <c r="Y929" i="7"/>
  <c r="D930" i="7"/>
  <c r="E930" i="7"/>
  <c r="F930" i="7"/>
  <c r="G930" i="7"/>
  <c r="H930" i="7"/>
  <c r="I930" i="7"/>
  <c r="J930" i="7"/>
  <c r="K930" i="7"/>
  <c r="L930" i="7"/>
  <c r="M930" i="7"/>
  <c r="N930" i="7"/>
  <c r="P930" i="7"/>
  <c r="Q930" i="7"/>
  <c r="R930" i="7"/>
  <c r="T930" i="7"/>
  <c r="U930" i="7"/>
  <c r="W930" i="7"/>
  <c r="X930" i="7"/>
  <c r="Y930" i="7"/>
  <c r="D931" i="7"/>
  <c r="E931" i="7"/>
  <c r="F931" i="7"/>
  <c r="G931" i="7"/>
  <c r="H931" i="7"/>
  <c r="I931" i="7"/>
  <c r="J931" i="7"/>
  <c r="K931" i="7"/>
  <c r="L931" i="7"/>
  <c r="M931" i="7"/>
  <c r="N931" i="7"/>
  <c r="P931" i="7"/>
  <c r="Q931" i="7"/>
  <c r="R931" i="7"/>
  <c r="T931" i="7"/>
  <c r="V931" i="7" s="1"/>
  <c r="U931" i="7"/>
  <c r="W931" i="7"/>
  <c r="X931" i="7"/>
  <c r="Y931" i="7"/>
  <c r="D932" i="7"/>
  <c r="E932" i="7"/>
  <c r="F932" i="7"/>
  <c r="G932" i="7"/>
  <c r="H932" i="7"/>
  <c r="I932" i="7"/>
  <c r="J932" i="7"/>
  <c r="K932" i="7"/>
  <c r="L932" i="7"/>
  <c r="M932" i="7"/>
  <c r="N932" i="7"/>
  <c r="P932" i="7"/>
  <c r="Q932" i="7"/>
  <c r="R932" i="7"/>
  <c r="T932" i="7"/>
  <c r="U932" i="7"/>
  <c r="W932" i="7"/>
  <c r="X932" i="7"/>
  <c r="Y932" i="7"/>
  <c r="D933" i="7"/>
  <c r="E933" i="7"/>
  <c r="F933" i="7"/>
  <c r="G933" i="7"/>
  <c r="H933" i="7"/>
  <c r="I933" i="7"/>
  <c r="J933" i="7"/>
  <c r="K933" i="7"/>
  <c r="L933" i="7"/>
  <c r="M933" i="7"/>
  <c r="N933" i="7"/>
  <c r="P933" i="7"/>
  <c r="Q933" i="7"/>
  <c r="R933" i="7"/>
  <c r="T933" i="7"/>
  <c r="U933" i="7"/>
  <c r="W933" i="7"/>
  <c r="X933" i="7"/>
  <c r="Y933" i="7"/>
  <c r="D934" i="7"/>
  <c r="E934" i="7"/>
  <c r="F934" i="7"/>
  <c r="G934" i="7"/>
  <c r="H934" i="7"/>
  <c r="I934" i="7"/>
  <c r="J934" i="7"/>
  <c r="K934" i="7"/>
  <c r="L934" i="7"/>
  <c r="M934" i="7"/>
  <c r="N934" i="7"/>
  <c r="P934" i="7"/>
  <c r="Q934" i="7"/>
  <c r="R934" i="7"/>
  <c r="T934" i="7"/>
  <c r="U934" i="7"/>
  <c r="W934" i="7"/>
  <c r="X934" i="7"/>
  <c r="Y934" i="7"/>
  <c r="D935" i="7"/>
  <c r="E935" i="7"/>
  <c r="F935" i="7"/>
  <c r="G935" i="7"/>
  <c r="H935" i="7"/>
  <c r="I935" i="7"/>
  <c r="J935" i="7"/>
  <c r="K935" i="7"/>
  <c r="L935" i="7"/>
  <c r="M935" i="7"/>
  <c r="N935" i="7"/>
  <c r="P935" i="7"/>
  <c r="Q935" i="7"/>
  <c r="R935" i="7"/>
  <c r="T935" i="7"/>
  <c r="U935" i="7"/>
  <c r="W935" i="7"/>
  <c r="X935" i="7"/>
  <c r="Y935" i="7"/>
  <c r="D936" i="7"/>
  <c r="E936" i="7"/>
  <c r="F936" i="7"/>
  <c r="G936" i="7"/>
  <c r="H936" i="7"/>
  <c r="I936" i="7"/>
  <c r="J936" i="7"/>
  <c r="K936" i="7"/>
  <c r="L936" i="7"/>
  <c r="M936" i="7"/>
  <c r="N936" i="7"/>
  <c r="P936" i="7"/>
  <c r="Q936" i="7"/>
  <c r="R936" i="7"/>
  <c r="T936" i="7"/>
  <c r="U936" i="7"/>
  <c r="W936" i="7"/>
  <c r="X936" i="7"/>
  <c r="Y936" i="7"/>
  <c r="D937" i="7"/>
  <c r="E937" i="7"/>
  <c r="F937" i="7"/>
  <c r="G937" i="7"/>
  <c r="H937" i="7"/>
  <c r="I937" i="7"/>
  <c r="J937" i="7"/>
  <c r="K937" i="7"/>
  <c r="L937" i="7"/>
  <c r="M937" i="7"/>
  <c r="N937" i="7"/>
  <c r="P937" i="7"/>
  <c r="Q937" i="7"/>
  <c r="R937" i="7"/>
  <c r="T937" i="7"/>
  <c r="U937" i="7"/>
  <c r="W937" i="7"/>
  <c r="X937" i="7"/>
  <c r="Y937" i="7"/>
  <c r="D938" i="7"/>
  <c r="E938" i="7"/>
  <c r="F938" i="7"/>
  <c r="G938" i="7"/>
  <c r="H938" i="7"/>
  <c r="I938" i="7"/>
  <c r="J938" i="7"/>
  <c r="K938" i="7"/>
  <c r="L938" i="7"/>
  <c r="M938" i="7"/>
  <c r="N938" i="7"/>
  <c r="P938" i="7"/>
  <c r="Q938" i="7"/>
  <c r="R938" i="7"/>
  <c r="T938" i="7"/>
  <c r="U938" i="7"/>
  <c r="W938" i="7"/>
  <c r="X938" i="7"/>
  <c r="Y938" i="7"/>
  <c r="D939" i="7"/>
  <c r="E939" i="7"/>
  <c r="F939" i="7"/>
  <c r="G939" i="7"/>
  <c r="H939" i="7"/>
  <c r="I939" i="7"/>
  <c r="J939" i="7"/>
  <c r="K939" i="7"/>
  <c r="L939" i="7"/>
  <c r="M939" i="7"/>
  <c r="N939" i="7"/>
  <c r="P939" i="7"/>
  <c r="Q939" i="7"/>
  <c r="S939" i="7" s="1"/>
  <c r="R939" i="7"/>
  <c r="T939" i="7"/>
  <c r="U939" i="7"/>
  <c r="W939" i="7"/>
  <c r="X939" i="7"/>
  <c r="Y939" i="7"/>
  <c r="D940" i="7"/>
  <c r="E940" i="7"/>
  <c r="F940" i="7"/>
  <c r="G940" i="7"/>
  <c r="H940" i="7"/>
  <c r="I940" i="7"/>
  <c r="J940" i="7"/>
  <c r="K940" i="7"/>
  <c r="L940" i="7"/>
  <c r="M940" i="7"/>
  <c r="N940" i="7"/>
  <c r="P940" i="7"/>
  <c r="Q940" i="7"/>
  <c r="R940" i="7"/>
  <c r="T940" i="7"/>
  <c r="U940" i="7"/>
  <c r="W940" i="7"/>
  <c r="X940" i="7"/>
  <c r="Y940" i="7"/>
  <c r="D941" i="7"/>
  <c r="E941" i="7"/>
  <c r="F941" i="7"/>
  <c r="G941" i="7"/>
  <c r="H941" i="7"/>
  <c r="I941" i="7"/>
  <c r="J941" i="7"/>
  <c r="K941" i="7"/>
  <c r="L941" i="7"/>
  <c r="M941" i="7"/>
  <c r="N941" i="7"/>
  <c r="P941" i="7"/>
  <c r="Q941" i="7"/>
  <c r="R941" i="7"/>
  <c r="T941" i="7"/>
  <c r="U941" i="7"/>
  <c r="W941" i="7"/>
  <c r="X941" i="7"/>
  <c r="Y941" i="7"/>
  <c r="D942" i="7"/>
  <c r="E942" i="7"/>
  <c r="F942" i="7"/>
  <c r="G942" i="7"/>
  <c r="H942" i="7"/>
  <c r="I942" i="7"/>
  <c r="J942" i="7"/>
  <c r="K942" i="7"/>
  <c r="L942" i="7"/>
  <c r="M942" i="7"/>
  <c r="N942" i="7"/>
  <c r="P942" i="7"/>
  <c r="Q942" i="7"/>
  <c r="R942" i="7"/>
  <c r="T942" i="7"/>
  <c r="V942" i="7" s="1"/>
  <c r="U942" i="7"/>
  <c r="W942" i="7"/>
  <c r="X942" i="7"/>
  <c r="Y942" i="7"/>
  <c r="D943" i="7"/>
  <c r="E943" i="7"/>
  <c r="F943" i="7"/>
  <c r="G943" i="7"/>
  <c r="H943" i="7"/>
  <c r="I943" i="7"/>
  <c r="J943" i="7"/>
  <c r="K943" i="7"/>
  <c r="L943" i="7"/>
  <c r="M943" i="7"/>
  <c r="N943" i="7"/>
  <c r="P943" i="7"/>
  <c r="Q943" i="7"/>
  <c r="R943" i="7"/>
  <c r="T943" i="7"/>
  <c r="U943" i="7"/>
  <c r="W943" i="7"/>
  <c r="X943" i="7"/>
  <c r="Y943" i="7"/>
  <c r="D944" i="7"/>
  <c r="E944" i="7"/>
  <c r="F944" i="7"/>
  <c r="G944" i="7"/>
  <c r="H944" i="7"/>
  <c r="I944" i="7"/>
  <c r="J944" i="7"/>
  <c r="K944" i="7"/>
  <c r="L944" i="7"/>
  <c r="M944" i="7"/>
  <c r="N944" i="7"/>
  <c r="P944" i="7"/>
  <c r="Q944" i="7"/>
  <c r="R944" i="7"/>
  <c r="T944" i="7"/>
  <c r="U944" i="7"/>
  <c r="W944" i="7"/>
  <c r="X944" i="7"/>
  <c r="Y944" i="7"/>
  <c r="D945" i="7"/>
  <c r="E945" i="7"/>
  <c r="F945" i="7"/>
  <c r="G945" i="7"/>
  <c r="H945" i="7"/>
  <c r="I945" i="7"/>
  <c r="J945" i="7"/>
  <c r="K945" i="7"/>
  <c r="L945" i="7"/>
  <c r="M945" i="7"/>
  <c r="N945" i="7"/>
  <c r="P945" i="7"/>
  <c r="Q945" i="7"/>
  <c r="R945" i="7"/>
  <c r="T945" i="7"/>
  <c r="U945" i="7"/>
  <c r="W945" i="7"/>
  <c r="X945" i="7"/>
  <c r="Y945" i="7"/>
  <c r="D946" i="7"/>
  <c r="E946" i="7"/>
  <c r="F946" i="7"/>
  <c r="G946" i="7"/>
  <c r="H946" i="7"/>
  <c r="I946" i="7"/>
  <c r="J946" i="7"/>
  <c r="K946" i="7"/>
  <c r="L946" i="7"/>
  <c r="M946" i="7"/>
  <c r="N946" i="7"/>
  <c r="P946" i="7"/>
  <c r="Q946" i="7"/>
  <c r="R946" i="7"/>
  <c r="T946" i="7"/>
  <c r="U946" i="7"/>
  <c r="W946" i="7"/>
  <c r="X946" i="7"/>
  <c r="Y946" i="7"/>
  <c r="D947" i="7"/>
  <c r="E947" i="7"/>
  <c r="F947" i="7"/>
  <c r="G947" i="7"/>
  <c r="H947" i="7"/>
  <c r="I947" i="7"/>
  <c r="J947" i="7"/>
  <c r="K947" i="7"/>
  <c r="L947" i="7"/>
  <c r="M947" i="7"/>
  <c r="N947" i="7"/>
  <c r="P947" i="7"/>
  <c r="Q947" i="7"/>
  <c r="R947" i="7"/>
  <c r="T947" i="7"/>
  <c r="U947" i="7"/>
  <c r="W947" i="7"/>
  <c r="X947" i="7"/>
  <c r="Y947" i="7"/>
  <c r="D948" i="7"/>
  <c r="E948" i="7"/>
  <c r="F948" i="7"/>
  <c r="G948" i="7"/>
  <c r="H948" i="7"/>
  <c r="I948" i="7"/>
  <c r="J948" i="7"/>
  <c r="K948" i="7"/>
  <c r="L948" i="7"/>
  <c r="M948" i="7"/>
  <c r="N948" i="7"/>
  <c r="P948" i="7"/>
  <c r="Q948" i="7"/>
  <c r="R948" i="7"/>
  <c r="T948" i="7"/>
  <c r="U948" i="7"/>
  <c r="W948" i="7"/>
  <c r="X948" i="7"/>
  <c r="Y948" i="7"/>
  <c r="D949" i="7"/>
  <c r="E949" i="7"/>
  <c r="F949" i="7"/>
  <c r="G949" i="7"/>
  <c r="H949" i="7"/>
  <c r="I949" i="7"/>
  <c r="J949" i="7"/>
  <c r="K949" i="7"/>
  <c r="L949" i="7"/>
  <c r="M949" i="7"/>
  <c r="N949" i="7"/>
  <c r="P949" i="7"/>
  <c r="Q949" i="7"/>
  <c r="R949" i="7"/>
  <c r="T949" i="7"/>
  <c r="U949" i="7"/>
  <c r="W949" i="7"/>
  <c r="X949" i="7"/>
  <c r="Y949" i="7"/>
  <c r="D950" i="7"/>
  <c r="E950" i="7"/>
  <c r="F950" i="7"/>
  <c r="G950" i="7"/>
  <c r="H950" i="7"/>
  <c r="I950" i="7"/>
  <c r="J950" i="7"/>
  <c r="K950" i="7"/>
  <c r="L950" i="7"/>
  <c r="M950" i="7"/>
  <c r="N950" i="7"/>
  <c r="P950" i="7"/>
  <c r="Q950" i="7"/>
  <c r="S950" i="7" s="1"/>
  <c r="R950" i="7"/>
  <c r="T950" i="7"/>
  <c r="U950" i="7"/>
  <c r="W950" i="7"/>
  <c r="X950" i="7"/>
  <c r="Y950" i="7"/>
  <c r="D951" i="7"/>
  <c r="E951" i="7"/>
  <c r="F951" i="7"/>
  <c r="G951" i="7"/>
  <c r="H951" i="7"/>
  <c r="I951" i="7"/>
  <c r="J951" i="7"/>
  <c r="K951" i="7"/>
  <c r="L951" i="7"/>
  <c r="M951" i="7"/>
  <c r="N951" i="7"/>
  <c r="P951" i="7"/>
  <c r="Q951" i="7"/>
  <c r="R951" i="7"/>
  <c r="T951" i="7"/>
  <c r="U951" i="7"/>
  <c r="W951" i="7"/>
  <c r="X951" i="7"/>
  <c r="Y951" i="7"/>
  <c r="D952" i="7"/>
  <c r="E952" i="7"/>
  <c r="F952" i="7"/>
  <c r="G952" i="7"/>
  <c r="H952" i="7"/>
  <c r="I952" i="7"/>
  <c r="J952" i="7"/>
  <c r="K952" i="7"/>
  <c r="L952" i="7"/>
  <c r="M952" i="7"/>
  <c r="N952" i="7"/>
  <c r="P952" i="7"/>
  <c r="Q952" i="7"/>
  <c r="R952" i="7"/>
  <c r="T952" i="7"/>
  <c r="U952" i="7"/>
  <c r="W952" i="7"/>
  <c r="X952" i="7"/>
  <c r="Y952" i="7"/>
  <c r="D953" i="7"/>
  <c r="E953" i="7"/>
  <c r="F953" i="7"/>
  <c r="G953" i="7"/>
  <c r="H953" i="7"/>
  <c r="I953" i="7"/>
  <c r="J953" i="7"/>
  <c r="K953" i="7"/>
  <c r="L953" i="7"/>
  <c r="M953" i="7"/>
  <c r="N953" i="7"/>
  <c r="P953" i="7"/>
  <c r="Q953" i="7"/>
  <c r="S953" i="7" s="1"/>
  <c r="R953" i="7"/>
  <c r="T953" i="7"/>
  <c r="U953" i="7"/>
  <c r="W953" i="7"/>
  <c r="X953" i="7"/>
  <c r="Y953" i="7"/>
  <c r="D954" i="7"/>
  <c r="E954" i="7"/>
  <c r="F954" i="7"/>
  <c r="G954" i="7"/>
  <c r="H954" i="7"/>
  <c r="I954" i="7"/>
  <c r="J954" i="7"/>
  <c r="K954" i="7"/>
  <c r="L954" i="7"/>
  <c r="M954" i="7"/>
  <c r="N954" i="7"/>
  <c r="P954" i="7"/>
  <c r="Q954" i="7"/>
  <c r="R954" i="7"/>
  <c r="T954" i="7"/>
  <c r="U954" i="7"/>
  <c r="W954" i="7"/>
  <c r="X954" i="7"/>
  <c r="Y954" i="7"/>
  <c r="D955" i="7"/>
  <c r="E955" i="7"/>
  <c r="F955" i="7"/>
  <c r="G955" i="7"/>
  <c r="H955" i="7"/>
  <c r="I955" i="7"/>
  <c r="J955" i="7"/>
  <c r="K955" i="7"/>
  <c r="L955" i="7"/>
  <c r="M955" i="7"/>
  <c r="N955" i="7"/>
  <c r="P955" i="7"/>
  <c r="Q955" i="7"/>
  <c r="R955" i="7"/>
  <c r="T955" i="7"/>
  <c r="U955" i="7"/>
  <c r="W955" i="7"/>
  <c r="X955" i="7"/>
  <c r="Y955" i="7"/>
  <c r="D956" i="7"/>
  <c r="E956" i="7"/>
  <c r="F956" i="7"/>
  <c r="G956" i="7"/>
  <c r="H956" i="7"/>
  <c r="I956" i="7"/>
  <c r="J956" i="7"/>
  <c r="K956" i="7"/>
  <c r="L956" i="7"/>
  <c r="M956" i="7"/>
  <c r="N956" i="7"/>
  <c r="P956" i="7"/>
  <c r="Q956" i="7"/>
  <c r="R956" i="7"/>
  <c r="T956" i="7"/>
  <c r="U956" i="7"/>
  <c r="W956" i="7"/>
  <c r="X956" i="7"/>
  <c r="Y956" i="7"/>
  <c r="D957" i="7"/>
  <c r="E957" i="7"/>
  <c r="F957" i="7"/>
  <c r="G957" i="7"/>
  <c r="H957" i="7"/>
  <c r="I957" i="7"/>
  <c r="J957" i="7"/>
  <c r="K957" i="7"/>
  <c r="L957" i="7"/>
  <c r="M957" i="7"/>
  <c r="N957" i="7"/>
  <c r="P957" i="7"/>
  <c r="Q957" i="7"/>
  <c r="R957" i="7"/>
  <c r="T957" i="7"/>
  <c r="U957" i="7"/>
  <c r="W957" i="7"/>
  <c r="X957" i="7"/>
  <c r="Y957" i="7"/>
  <c r="D958" i="7"/>
  <c r="E958" i="7"/>
  <c r="F958" i="7"/>
  <c r="G958" i="7"/>
  <c r="H958" i="7"/>
  <c r="I958" i="7"/>
  <c r="J958" i="7"/>
  <c r="K958" i="7"/>
  <c r="L958" i="7"/>
  <c r="M958" i="7"/>
  <c r="N958" i="7"/>
  <c r="P958" i="7"/>
  <c r="Q958" i="7"/>
  <c r="R958" i="7"/>
  <c r="T958" i="7"/>
  <c r="U958" i="7"/>
  <c r="W958" i="7"/>
  <c r="X958" i="7"/>
  <c r="Y958" i="7"/>
  <c r="D959" i="7"/>
  <c r="E959" i="7"/>
  <c r="F959" i="7"/>
  <c r="G959" i="7"/>
  <c r="H959" i="7"/>
  <c r="I959" i="7"/>
  <c r="J959" i="7"/>
  <c r="K959" i="7"/>
  <c r="L959" i="7"/>
  <c r="M959" i="7"/>
  <c r="N959" i="7"/>
  <c r="P959" i="7"/>
  <c r="Q959" i="7"/>
  <c r="R959" i="7"/>
  <c r="T959" i="7"/>
  <c r="U959" i="7"/>
  <c r="W959" i="7"/>
  <c r="X959" i="7"/>
  <c r="Y959" i="7"/>
  <c r="D960" i="7"/>
  <c r="E960" i="7"/>
  <c r="F960" i="7"/>
  <c r="G960" i="7"/>
  <c r="H960" i="7"/>
  <c r="I960" i="7"/>
  <c r="J960" i="7"/>
  <c r="K960" i="7"/>
  <c r="L960" i="7"/>
  <c r="M960" i="7"/>
  <c r="N960" i="7"/>
  <c r="P960" i="7"/>
  <c r="Q960" i="7"/>
  <c r="S960" i="7" s="1"/>
  <c r="R960" i="7"/>
  <c r="T960" i="7"/>
  <c r="U960" i="7"/>
  <c r="W960" i="7"/>
  <c r="X960" i="7"/>
  <c r="Y960" i="7"/>
  <c r="D961" i="7"/>
  <c r="E961" i="7"/>
  <c r="F961" i="7"/>
  <c r="G961" i="7"/>
  <c r="H961" i="7"/>
  <c r="I961" i="7"/>
  <c r="J961" i="7"/>
  <c r="K961" i="7"/>
  <c r="L961" i="7"/>
  <c r="M961" i="7"/>
  <c r="N961" i="7"/>
  <c r="P961" i="7"/>
  <c r="Q961" i="7"/>
  <c r="R961" i="7"/>
  <c r="T961" i="7"/>
  <c r="U961" i="7"/>
  <c r="W961" i="7"/>
  <c r="X961" i="7"/>
  <c r="Y961" i="7"/>
  <c r="D962" i="7"/>
  <c r="E962" i="7"/>
  <c r="F962" i="7"/>
  <c r="G962" i="7"/>
  <c r="H962" i="7"/>
  <c r="I962" i="7"/>
  <c r="J962" i="7"/>
  <c r="K962" i="7"/>
  <c r="L962" i="7"/>
  <c r="M962" i="7"/>
  <c r="N962" i="7"/>
  <c r="P962" i="7"/>
  <c r="Q962" i="7"/>
  <c r="R962" i="7"/>
  <c r="T962" i="7"/>
  <c r="U962" i="7"/>
  <c r="W962" i="7"/>
  <c r="X962" i="7"/>
  <c r="Y962" i="7"/>
  <c r="D963" i="7"/>
  <c r="E963" i="7"/>
  <c r="F963" i="7"/>
  <c r="G963" i="7"/>
  <c r="H963" i="7"/>
  <c r="I963" i="7"/>
  <c r="J963" i="7"/>
  <c r="K963" i="7"/>
  <c r="L963" i="7"/>
  <c r="M963" i="7"/>
  <c r="N963" i="7"/>
  <c r="P963" i="7"/>
  <c r="Q963" i="7"/>
  <c r="R963" i="7"/>
  <c r="T963" i="7"/>
  <c r="U963" i="7"/>
  <c r="W963" i="7"/>
  <c r="X963" i="7"/>
  <c r="Y963" i="7"/>
  <c r="D964" i="7"/>
  <c r="E964" i="7"/>
  <c r="F964" i="7"/>
  <c r="G964" i="7"/>
  <c r="H964" i="7"/>
  <c r="I964" i="7"/>
  <c r="J964" i="7"/>
  <c r="K964" i="7"/>
  <c r="L964" i="7"/>
  <c r="M964" i="7"/>
  <c r="N964" i="7"/>
  <c r="P964" i="7"/>
  <c r="Q964" i="7"/>
  <c r="R964" i="7"/>
  <c r="T964" i="7"/>
  <c r="U964" i="7"/>
  <c r="W964" i="7"/>
  <c r="X964" i="7"/>
  <c r="Y964" i="7"/>
  <c r="D965" i="7"/>
  <c r="E965" i="7"/>
  <c r="F965" i="7"/>
  <c r="G965" i="7"/>
  <c r="H965" i="7"/>
  <c r="I965" i="7"/>
  <c r="J965" i="7"/>
  <c r="K965" i="7"/>
  <c r="L965" i="7"/>
  <c r="M965" i="7"/>
  <c r="N965" i="7"/>
  <c r="P965" i="7"/>
  <c r="Q965" i="7"/>
  <c r="S965" i="7" s="1"/>
  <c r="R965" i="7"/>
  <c r="T965" i="7"/>
  <c r="U965" i="7"/>
  <c r="W965" i="7"/>
  <c r="X965" i="7"/>
  <c r="Y965" i="7"/>
  <c r="D966" i="7"/>
  <c r="E966" i="7"/>
  <c r="F966" i="7"/>
  <c r="G966" i="7"/>
  <c r="H966" i="7"/>
  <c r="I966" i="7"/>
  <c r="J966" i="7"/>
  <c r="K966" i="7"/>
  <c r="L966" i="7"/>
  <c r="M966" i="7"/>
  <c r="N966" i="7"/>
  <c r="P966" i="7"/>
  <c r="Q966" i="7"/>
  <c r="R966" i="7"/>
  <c r="T966" i="7"/>
  <c r="U966" i="7"/>
  <c r="W966" i="7"/>
  <c r="X966" i="7"/>
  <c r="Y966" i="7"/>
  <c r="D967" i="7"/>
  <c r="E967" i="7"/>
  <c r="F967" i="7"/>
  <c r="G967" i="7"/>
  <c r="H967" i="7"/>
  <c r="I967" i="7"/>
  <c r="J967" i="7"/>
  <c r="K967" i="7"/>
  <c r="L967" i="7"/>
  <c r="M967" i="7"/>
  <c r="N967" i="7"/>
  <c r="P967" i="7"/>
  <c r="Q967" i="7"/>
  <c r="R967" i="7"/>
  <c r="T967" i="7"/>
  <c r="U967" i="7"/>
  <c r="W967" i="7"/>
  <c r="X967" i="7"/>
  <c r="Y967" i="7"/>
  <c r="D968" i="7"/>
  <c r="E968" i="7"/>
  <c r="F968" i="7"/>
  <c r="G968" i="7"/>
  <c r="H968" i="7"/>
  <c r="I968" i="7"/>
  <c r="J968" i="7"/>
  <c r="K968" i="7"/>
  <c r="L968" i="7"/>
  <c r="M968" i="7"/>
  <c r="N968" i="7"/>
  <c r="P968" i="7"/>
  <c r="Q968" i="7"/>
  <c r="R968" i="7"/>
  <c r="T968" i="7"/>
  <c r="U968" i="7"/>
  <c r="W968" i="7"/>
  <c r="X968" i="7"/>
  <c r="Y968" i="7"/>
  <c r="D969" i="7"/>
  <c r="E969" i="7"/>
  <c r="F969" i="7"/>
  <c r="G969" i="7"/>
  <c r="H969" i="7"/>
  <c r="I969" i="7"/>
  <c r="J969" i="7"/>
  <c r="K969" i="7"/>
  <c r="L969" i="7"/>
  <c r="M969" i="7"/>
  <c r="N969" i="7"/>
  <c r="P969" i="7"/>
  <c r="Q969" i="7"/>
  <c r="R969" i="7"/>
  <c r="T969" i="7"/>
  <c r="U969" i="7"/>
  <c r="W969" i="7"/>
  <c r="X969" i="7"/>
  <c r="Y969" i="7"/>
  <c r="D970" i="7"/>
  <c r="E970" i="7"/>
  <c r="F970" i="7"/>
  <c r="G970" i="7"/>
  <c r="H970" i="7"/>
  <c r="I970" i="7"/>
  <c r="J970" i="7"/>
  <c r="K970" i="7"/>
  <c r="L970" i="7"/>
  <c r="M970" i="7"/>
  <c r="N970" i="7"/>
  <c r="P970" i="7"/>
  <c r="Q970" i="7"/>
  <c r="R970" i="7"/>
  <c r="T970" i="7"/>
  <c r="U970" i="7"/>
  <c r="W970" i="7"/>
  <c r="X970" i="7"/>
  <c r="Y970" i="7"/>
  <c r="D971" i="7"/>
  <c r="E971" i="7"/>
  <c r="F971" i="7"/>
  <c r="G971" i="7"/>
  <c r="H971" i="7"/>
  <c r="I971" i="7"/>
  <c r="J971" i="7"/>
  <c r="K971" i="7"/>
  <c r="L971" i="7"/>
  <c r="M971" i="7"/>
  <c r="N971" i="7"/>
  <c r="P971" i="7"/>
  <c r="Q971" i="7"/>
  <c r="R971" i="7"/>
  <c r="T971" i="7"/>
  <c r="V971" i="7" s="1"/>
  <c r="U971" i="7"/>
  <c r="W971" i="7"/>
  <c r="X971" i="7"/>
  <c r="Y971" i="7"/>
  <c r="D972" i="7"/>
  <c r="E972" i="7"/>
  <c r="F972" i="7"/>
  <c r="G972" i="7"/>
  <c r="H972" i="7"/>
  <c r="I972" i="7"/>
  <c r="J972" i="7"/>
  <c r="K972" i="7"/>
  <c r="L972" i="7"/>
  <c r="M972" i="7"/>
  <c r="N972" i="7"/>
  <c r="P972" i="7"/>
  <c r="Q972" i="7"/>
  <c r="R972" i="7"/>
  <c r="T972" i="7"/>
  <c r="U972" i="7"/>
  <c r="W972" i="7"/>
  <c r="X972" i="7"/>
  <c r="Y972" i="7"/>
  <c r="D973" i="7"/>
  <c r="E973" i="7"/>
  <c r="F973" i="7"/>
  <c r="G973" i="7"/>
  <c r="H973" i="7"/>
  <c r="I973" i="7"/>
  <c r="J973" i="7"/>
  <c r="K973" i="7"/>
  <c r="L973" i="7"/>
  <c r="M973" i="7"/>
  <c r="N973" i="7"/>
  <c r="P973" i="7"/>
  <c r="Q973" i="7"/>
  <c r="R973" i="7"/>
  <c r="T973" i="7"/>
  <c r="U973" i="7"/>
  <c r="W973" i="7"/>
  <c r="X973" i="7"/>
  <c r="Y973" i="7"/>
  <c r="D974" i="7"/>
  <c r="E974" i="7"/>
  <c r="F974" i="7"/>
  <c r="G974" i="7"/>
  <c r="H974" i="7"/>
  <c r="I974" i="7"/>
  <c r="J974" i="7"/>
  <c r="K974" i="7"/>
  <c r="L974" i="7"/>
  <c r="M974" i="7"/>
  <c r="N974" i="7"/>
  <c r="P974" i="7"/>
  <c r="Q974" i="7"/>
  <c r="R974" i="7"/>
  <c r="T974" i="7"/>
  <c r="U974" i="7"/>
  <c r="W974" i="7"/>
  <c r="X974" i="7"/>
  <c r="Y974" i="7"/>
  <c r="D975" i="7"/>
  <c r="E975" i="7"/>
  <c r="F975" i="7"/>
  <c r="G975" i="7"/>
  <c r="H975" i="7"/>
  <c r="I975" i="7"/>
  <c r="J975" i="7"/>
  <c r="K975" i="7"/>
  <c r="L975" i="7"/>
  <c r="M975" i="7"/>
  <c r="N975" i="7"/>
  <c r="P975" i="7"/>
  <c r="Q975" i="7"/>
  <c r="R975" i="7"/>
  <c r="T975" i="7"/>
  <c r="U975" i="7"/>
  <c r="W975" i="7"/>
  <c r="X975" i="7"/>
  <c r="Y975" i="7"/>
  <c r="D976" i="7"/>
  <c r="E976" i="7"/>
  <c r="F976" i="7"/>
  <c r="G976" i="7"/>
  <c r="H976" i="7"/>
  <c r="I976" i="7"/>
  <c r="J976" i="7"/>
  <c r="K976" i="7"/>
  <c r="L976" i="7"/>
  <c r="M976" i="7"/>
  <c r="N976" i="7"/>
  <c r="P976" i="7"/>
  <c r="Q976" i="7"/>
  <c r="R976" i="7"/>
  <c r="T976" i="7"/>
  <c r="V976" i="7" s="1"/>
  <c r="U976" i="7"/>
  <c r="W976" i="7"/>
  <c r="X976" i="7"/>
  <c r="Y976" i="7"/>
  <c r="D977" i="7"/>
  <c r="E977" i="7"/>
  <c r="F977" i="7"/>
  <c r="G977" i="7"/>
  <c r="H977" i="7"/>
  <c r="I977" i="7"/>
  <c r="J977" i="7"/>
  <c r="K977" i="7"/>
  <c r="L977" i="7"/>
  <c r="M977" i="7"/>
  <c r="N977" i="7"/>
  <c r="P977" i="7"/>
  <c r="Q977" i="7"/>
  <c r="S977" i="7" s="1"/>
  <c r="R977" i="7"/>
  <c r="T977" i="7"/>
  <c r="U977" i="7"/>
  <c r="W977" i="7"/>
  <c r="X977" i="7"/>
  <c r="Y977" i="7"/>
  <c r="D978" i="7"/>
  <c r="E978" i="7"/>
  <c r="F978" i="7"/>
  <c r="G978" i="7"/>
  <c r="H978" i="7"/>
  <c r="I978" i="7"/>
  <c r="J978" i="7"/>
  <c r="K978" i="7"/>
  <c r="L978" i="7"/>
  <c r="M978" i="7"/>
  <c r="N978" i="7"/>
  <c r="P978" i="7"/>
  <c r="Q978" i="7"/>
  <c r="R978" i="7"/>
  <c r="T978" i="7"/>
  <c r="U978" i="7"/>
  <c r="W978" i="7"/>
  <c r="X978" i="7"/>
  <c r="Y978" i="7"/>
  <c r="D979" i="7"/>
  <c r="E979" i="7"/>
  <c r="F979" i="7"/>
  <c r="G979" i="7"/>
  <c r="H979" i="7"/>
  <c r="I979" i="7"/>
  <c r="J979" i="7"/>
  <c r="K979" i="7"/>
  <c r="L979" i="7"/>
  <c r="M979" i="7"/>
  <c r="N979" i="7"/>
  <c r="P979" i="7"/>
  <c r="Q979" i="7"/>
  <c r="R979" i="7"/>
  <c r="T979" i="7"/>
  <c r="V979" i="7" s="1"/>
  <c r="U979" i="7"/>
  <c r="W979" i="7"/>
  <c r="X979" i="7"/>
  <c r="Y979" i="7"/>
  <c r="D980" i="7"/>
  <c r="E980" i="7"/>
  <c r="F980" i="7"/>
  <c r="G980" i="7"/>
  <c r="H980" i="7"/>
  <c r="I980" i="7"/>
  <c r="J980" i="7"/>
  <c r="K980" i="7"/>
  <c r="L980" i="7"/>
  <c r="M980" i="7"/>
  <c r="N980" i="7"/>
  <c r="P980" i="7"/>
  <c r="Q980" i="7"/>
  <c r="S980" i="7" s="1"/>
  <c r="R980" i="7"/>
  <c r="T980" i="7"/>
  <c r="U980" i="7"/>
  <c r="W980" i="7"/>
  <c r="X980" i="7"/>
  <c r="Y980" i="7"/>
  <c r="D981" i="7"/>
  <c r="E981" i="7"/>
  <c r="F981" i="7"/>
  <c r="G981" i="7"/>
  <c r="H981" i="7"/>
  <c r="I981" i="7"/>
  <c r="J981" i="7"/>
  <c r="K981" i="7"/>
  <c r="L981" i="7"/>
  <c r="M981" i="7"/>
  <c r="N981" i="7"/>
  <c r="P981" i="7"/>
  <c r="Q981" i="7"/>
  <c r="R981" i="7"/>
  <c r="T981" i="7"/>
  <c r="U981" i="7"/>
  <c r="W981" i="7"/>
  <c r="X981" i="7"/>
  <c r="Y981" i="7"/>
  <c r="D982" i="7"/>
  <c r="E982" i="7"/>
  <c r="F982" i="7"/>
  <c r="G982" i="7"/>
  <c r="H982" i="7"/>
  <c r="I982" i="7"/>
  <c r="J982" i="7"/>
  <c r="K982" i="7"/>
  <c r="L982" i="7"/>
  <c r="M982" i="7"/>
  <c r="N982" i="7"/>
  <c r="P982" i="7"/>
  <c r="Q982" i="7"/>
  <c r="R982" i="7"/>
  <c r="T982" i="7"/>
  <c r="U982" i="7"/>
  <c r="W982" i="7"/>
  <c r="X982" i="7"/>
  <c r="Y982" i="7"/>
  <c r="D983" i="7"/>
  <c r="E983" i="7"/>
  <c r="F983" i="7"/>
  <c r="G983" i="7"/>
  <c r="H983" i="7"/>
  <c r="I983" i="7"/>
  <c r="J983" i="7"/>
  <c r="K983" i="7"/>
  <c r="L983" i="7"/>
  <c r="M983" i="7"/>
  <c r="N983" i="7"/>
  <c r="P983" i="7"/>
  <c r="Q983" i="7"/>
  <c r="R983" i="7"/>
  <c r="T983" i="7"/>
  <c r="U983" i="7"/>
  <c r="W983" i="7"/>
  <c r="X983" i="7"/>
  <c r="Y983" i="7"/>
  <c r="D984" i="7"/>
  <c r="E984" i="7"/>
  <c r="F984" i="7"/>
  <c r="G984" i="7"/>
  <c r="H984" i="7"/>
  <c r="I984" i="7"/>
  <c r="J984" i="7"/>
  <c r="K984" i="7"/>
  <c r="L984" i="7"/>
  <c r="M984" i="7"/>
  <c r="N984" i="7"/>
  <c r="P984" i="7"/>
  <c r="Q984" i="7"/>
  <c r="R984" i="7"/>
  <c r="T984" i="7"/>
  <c r="V984" i="7" s="1"/>
  <c r="U984" i="7"/>
  <c r="W984" i="7"/>
  <c r="X984" i="7"/>
  <c r="Y984" i="7"/>
  <c r="D985" i="7"/>
  <c r="E985" i="7"/>
  <c r="F985" i="7"/>
  <c r="G985" i="7"/>
  <c r="H985" i="7"/>
  <c r="I985" i="7"/>
  <c r="J985" i="7"/>
  <c r="K985" i="7"/>
  <c r="L985" i="7"/>
  <c r="M985" i="7"/>
  <c r="N985" i="7"/>
  <c r="P985" i="7"/>
  <c r="Q985" i="7"/>
  <c r="S985" i="7" s="1"/>
  <c r="R985" i="7"/>
  <c r="T985" i="7"/>
  <c r="U985" i="7"/>
  <c r="W985" i="7"/>
  <c r="X985" i="7"/>
  <c r="Y985" i="7"/>
  <c r="D986" i="7"/>
  <c r="E986" i="7"/>
  <c r="F986" i="7"/>
  <c r="G986" i="7"/>
  <c r="H986" i="7"/>
  <c r="I986" i="7"/>
  <c r="J986" i="7"/>
  <c r="K986" i="7"/>
  <c r="L986" i="7"/>
  <c r="M986" i="7"/>
  <c r="N986" i="7"/>
  <c r="P986" i="7"/>
  <c r="Q986" i="7"/>
  <c r="R986" i="7"/>
  <c r="T986" i="7"/>
  <c r="U986" i="7"/>
  <c r="W986" i="7"/>
  <c r="X986" i="7"/>
  <c r="Y986" i="7"/>
  <c r="D987" i="7"/>
  <c r="E987" i="7"/>
  <c r="F987" i="7"/>
  <c r="G987" i="7"/>
  <c r="H987" i="7"/>
  <c r="I987" i="7"/>
  <c r="J987" i="7"/>
  <c r="K987" i="7"/>
  <c r="L987" i="7"/>
  <c r="M987" i="7"/>
  <c r="N987" i="7"/>
  <c r="P987" i="7"/>
  <c r="Q987" i="7"/>
  <c r="R987" i="7"/>
  <c r="T987" i="7"/>
  <c r="V987" i="7" s="1"/>
  <c r="U987" i="7"/>
  <c r="W987" i="7"/>
  <c r="X987" i="7"/>
  <c r="Y987" i="7"/>
  <c r="D988" i="7"/>
  <c r="E988" i="7"/>
  <c r="F988" i="7"/>
  <c r="G988" i="7"/>
  <c r="H988" i="7"/>
  <c r="I988" i="7"/>
  <c r="J988" i="7"/>
  <c r="K988" i="7"/>
  <c r="L988" i="7"/>
  <c r="M988" i="7"/>
  <c r="N988" i="7"/>
  <c r="P988" i="7"/>
  <c r="Q988" i="7"/>
  <c r="S988" i="7" s="1"/>
  <c r="R988" i="7"/>
  <c r="T988" i="7"/>
  <c r="U988" i="7"/>
  <c r="W988" i="7"/>
  <c r="X988" i="7"/>
  <c r="Y988" i="7"/>
  <c r="D989" i="7"/>
  <c r="E989" i="7"/>
  <c r="F989" i="7"/>
  <c r="G989" i="7"/>
  <c r="H989" i="7"/>
  <c r="I989" i="7"/>
  <c r="J989" i="7"/>
  <c r="K989" i="7"/>
  <c r="L989" i="7"/>
  <c r="M989" i="7"/>
  <c r="N989" i="7"/>
  <c r="P989" i="7"/>
  <c r="Q989" i="7"/>
  <c r="R989" i="7"/>
  <c r="T989" i="7"/>
  <c r="U989" i="7"/>
  <c r="W989" i="7"/>
  <c r="X989" i="7"/>
  <c r="Y989" i="7"/>
  <c r="D990" i="7"/>
  <c r="E990" i="7"/>
  <c r="F990" i="7"/>
  <c r="G990" i="7"/>
  <c r="H990" i="7"/>
  <c r="I990" i="7"/>
  <c r="J990" i="7"/>
  <c r="K990" i="7"/>
  <c r="L990" i="7"/>
  <c r="M990" i="7"/>
  <c r="N990" i="7"/>
  <c r="P990" i="7"/>
  <c r="Q990" i="7"/>
  <c r="S990" i="7" s="1"/>
  <c r="R990" i="7"/>
  <c r="T990" i="7"/>
  <c r="V990" i="7" s="1"/>
  <c r="U990" i="7"/>
  <c r="D991" i="7"/>
  <c r="E991" i="7"/>
  <c r="F991" i="7"/>
  <c r="G991" i="7"/>
  <c r="H991" i="7"/>
  <c r="I991" i="7"/>
  <c r="J991" i="7"/>
  <c r="K991" i="7"/>
  <c r="L991" i="7"/>
  <c r="M991" i="7"/>
  <c r="N991" i="7"/>
  <c r="P991" i="7"/>
  <c r="Q991" i="7"/>
  <c r="S991" i="7" s="1"/>
  <c r="R991" i="7"/>
  <c r="T991" i="7"/>
  <c r="V991" i="7" s="1"/>
  <c r="U991" i="7"/>
  <c r="W991" i="7"/>
  <c r="X991" i="7"/>
  <c r="Y991" i="7"/>
  <c r="D992" i="7"/>
  <c r="E992" i="7"/>
  <c r="F992" i="7"/>
  <c r="G992" i="7"/>
  <c r="H992" i="7"/>
  <c r="I992" i="7"/>
  <c r="J992" i="7"/>
  <c r="K992" i="7"/>
  <c r="L992" i="7"/>
  <c r="M992" i="7"/>
  <c r="N992" i="7"/>
  <c r="P992" i="7"/>
  <c r="Q992" i="7"/>
  <c r="S992" i="7" s="1"/>
  <c r="R992" i="7"/>
  <c r="T992" i="7"/>
  <c r="V992" i="7" s="1"/>
  <c r="U992" i="7"/>
  <c r="W992" i="7"/>
  <c r="X992" i="7"/>
  <c r="Y992" i="7"/>
  <c r="D993" i="7"/>
  <c r="E993" i="7"/>
  <c r="F993" i="7"/>
  <c r="G993" i="7"/>
  <c r="H993" i="7"/>
  <c r="I993" i="7"/>
  <c r="J993" i="7"/>
  <c r="K993" i="7"/>
  <c r="L993" i="7"/>
  <c r="M993" i="7"/>
  <c r="N993" i="7"/>
  <c r="P993" i="7"/>
  <c r="Q993" i="7"/>
  <c r="S993" i="7" s="1"/>
  <c r="R993" i="7"/>
  <c r="T993" i="7"/>
  <c r="V993" i="7" s="1"/>
  <c r="U993" i="7"/>
  <c r="W993" i="7"/>
  <c r="X993" i="7"/>
  <c r="Y993" i="7"/>
  <c r="D994" i="7"/>
  <c r="E994" i="7"/>
  <c r="F994" i="7"/>
  <c r="G994" i="7"/>
  <c r="H994" i="7"/>
  <c r="I994" i="7"/>
  <c r="J994" i="7"/>
  <c r="K994" i="7"/>
  <c r="L994" i="7"/>
  <c r="M994" i="7"/>
  <c r="N994" i="7"/>
  <c r="P994" i="7"/>
  <c r="Q994" i="7"/>
  <c r="S994" i="7" s="1"/>
  <c r="R994" i="7"/>
  <c r="T994" i="7"/>
  <c r="V994" i="7" s="1"/>
  <c r="U994" i="7"/>
  <c r="W994" i="7"/>
  <c r="X994" i="7"/>
  <c r="Y994" i="7"/>
  <c r="D995" i="7"/>
  <c r="E995" i="7"/>
  <c r="F995" i="7"/>
  <c r="G995" i="7"/>
  <c r="H995" i="7"/>
  <c r="I995" i="7"/>
  <c r="J995" i="7"/>
  <c r="K995" i="7"/>
  <c r="L995" i="7"/>
  <c r="M995" i="7"/>
  <c r="N995" i="7"/>
  <c r="P995" i="7"/>
  <c r="Q995" i="7"/>
  <c r="S995" i="7" s="1"/>
  <c r="R995" i="7"/>
  <c r="T995" i="7"/>
  <c r="V995" i="7" s="1"/>
  <c r="U995" i="7"/>
  <c r="W995" i="7"/>
  <c r="X995" i="7"/>
  <c r="Y995" i="7"/>
  <c r="D996" i="7"/>
  <c r="E996" i="7"/>
  <c r="F996" i="7"/>
  <c r="G996" i="7"/>
  <c r="H996" i="7"/>
  <c r="I996" i="7"/>
  <c r="J996" i="7"/>
  <c r="K996" i="7"/>
  <c r="L996" i="7"/>
  <c r="M996" i="7"/>
  <c r="N996" i="7"/>
  <c r="P996" i="7"/>
  <c r="Q996" i="7"/>
  <c r="S996" i="7" s="1"/>
  <c r="R996" i="7"/>
  <c r="T996" i="7"/>
  <c r="V996" i="7" s="1"/>
  <c r="U996" i="7"/>
  <c r="W996" i="7"/>
  <c r="X996" i="7"/>
  <c r="Y996" i="7"/>
  <c r="D997" i="7"/>
  <c r="E997" i="7"/>
  <c r="F997" i="7"/>
  <c r="G997" i="7"/>
  <c r="H997" i="7"/>
  <c r="I997" i="7"/>
  <c r="J997" i="7"/>
  <c r="K997" i="7"/>
  <c r="L997" i="7"/>
  <c r="M997" i="7"/>
  <c r="N997" i="7"/>
  <c r="P997" i="7"/>
  <c r="Q997" i="7"/>
  <c r="S997" i="7" s="1"/>
  <c r="R997" i="7"/>
  <c r="T997" i="7"/>
  <c r="V997" i="7" s="1"/>
  <c r="U997" i="7"/>
  <c r="W997" i="7"/>
  <c r="X997" i="7"/>
  <c r="Y997" i="7"/>
  <c r="D998" i="7"/>
  <c r="E998" i="7"/>
  <c r="F998" i="7"/>
  <c r="G998" i="7"/>
  <c r="H998" i="7"/>
  <c r="I998" i="7"/>
  <c r="J998" i="7"/>
  <c r="K998" i="7"/>
  <c r="L998" i="7"/>
  <c r="M998" i="7"/>
  <c r="N998" i="7"/>
  <c r="P998" i="7"/>
  <c r="Q998" i="7"/>
  <c r="S998" i="7" s="1"/>
  <c r="R998" i="7"/>
  <c r="T998" i="7"/>
  <c r="V998" i="7" s="1"/>
  <c r="U998" i="7"/>
  <c r="W998" i="7"/>
  <c r="X998" i="7"/>
  <c r="Y998" i="7"/>
  <c r="D999" i="7"/>
  <c r="E999" i="7"/>
  <c r="F999" i="7"/>
  <c r="G999" i="7"/>
  <c r="H999" i="7"/>
  <c r="I999" i="7"/>
  <c r="J999" i="7"/>
  <c r="K999" i="7"/>
  <c r="L999" i="7"/>
  <c r="M999" i="7"/>
  <c r="N999" i="7"/>
  <c r="P999" i="7"/>
  <c r="Q999" i="7"/>
  <c r="S999" i="7" s="1"/>
  <c r="R999" i="7"/>
  <c r="T999" i="7"/>
  <c r="V999" i="7" s="1"/>
  <c r="U999" i="7"/>
  <c r="W999" i="7"/>
  <c r="X999" i="7"/>
  <c r="Y999" i="7"/>
  <c r="D1000" i="7"/>
  <c r="E1000" i="7"/>
  <c r="F1000" i="7"/>
  <c r="G1000" i="7"/>
  <c r="H1000" i="7"/>
  <c r="I1000" i="7"/>
  <c r="J1000" i="7"/>
  <c r="K1000" i="7"/>
  <c r="L1000" i="7"/>
  <c r="M1000" i="7"/>
  <c r="N1000" i="7"/>
  <c r="P1000" i="7"/>
  <c r="Q1000" i="7"/>
  <c r="S1000" i="7" s="1"/>
  <c r="R1000" i="7"/>
  <c r="T1000" i="7"/>
  <c r="V1000" i="7" s="1"/>
  <c r="U1000" i="7"/>
  <c r="W1000" i="7"/>
  <c r="X1000" i="7"/>
  <c r="Y1000" i="7"/>
  <c r="D1001" i="7"/>
  <c r="E1001" i="7"/>
  <c r="F1001" i="7"/>
  <c r="G1001" i="7"/>
  <c r="H1001" i="7"/>
  <c r="I1001" i="7"/>
  <c r="J1001" i="7"/>
  <c r="K1001" i="7"/>
  <c r="L1001" i="7"/>
  <c r="M1001" i="7"/>
  <c r="N1001" i="7"/>
  <c r="P1001" i="7"/>
  <c r="Q1001" i="7"/>
  <c r="S1001" i="7" s="1"/>
  <c r="R1001" i="7"/>
  <c r="T1001" i="7"/>
  <c r="V1001" i="7" s="1"/>
  <c r="U1001" i="7"/>
  <c r="W1001" i="7"/>
  <c r="X1001" i="7"/>
  <c r="Y1001" i="7"/>
  <c r="D1002" i="7"/>
  <c r="E1002" i="7"/>
  <c r="F1002" i="7"/>
  <c r="G1002" i="7"/>
  <c r="H1002" i="7"/>
  <c r="I1002" i="7"/>
  <c r="J1002" i="7"/>
  <c r="K1002" i="7"/>
  <c r="L1002" i="7"/>
  <c r="M1002" i="7"/>
  <c r="N1002" i="7"/>
  <c r="P1002" i="7"/>
  <c r="Q1002" i="7"/>
  <c r="S1002" i="7" s="1"/>
  <c r="R1002" i="7"/>
  <c r="T1002" i="7"/>
  <c r="V1002" i="7" s="1"/>
  <c r="U1002" i="7"/>
  <c r="W1002" i="7"/>
  <c r="X1002" i="7"/>
  <c r="Y1002" i="7"/>
  <c r="D1003" i="7"/>
  <c r="E1003" i="7"/>
  <c r="F1003" i="7"/>
  <c r="G1003" i="7"/>
  <c r="H1003" i="7"/>
  <c r="I1003" i="7"/>
  <c r="J1003" i="7"/>
  <c r="K1003" i="7"/>
  <c r="L1003" i="7"/>
  <c r="M1003" i="7"/>
  <c r="N1003" i="7"/>
  <c r="P1003" i="7"/>
  <c r="Q1003" i="7"/>
  <c r="S1003" i="7" s="1"/>
  <c r="R1003" i="7"/>
  <c r="T1003" i="7"/>
  <c r="V1003" i="7" s="1"/>
  <c r="U1003" i="7"/>
  <c r="W1003" i="7"/>
  <c r="X1003" i="7"/>
  <c r="Y1003" i="7"/>
  <c r="D1004" i="7"/>
  <c r="E1004" i="7"/>
  <c r="F1004" i="7"/>
  <c r="G1004" i="7"/>
  <c r="H1004" i="7"/>
  <c r="I1004" i="7"/>
  <c r="J1004" i="7"/>
  <c r="K1004" i="7"/>
  <c r="L1004" i="7"/>
  <c r="M1004" i="7"/>
  <c r="N1004" i="7"/>
  <c r="P1004" i="7"/>
  <c r="Q1004" i="7"/>
  <c r="S1004" i="7" s="1"/>
  <c r="R1004" i="7"/>
  <c r="T1004" i="7"/>
  <c r="V1004" i="7" s="1"/>
  <c r="U1004" i="7"/>
  <c r="W1004" i="7"/>
  <c r="X1004" i="7"/>
  <c r="Y1004" i="7"/>
  <c r="D1005" i="7"/>
  <c r="E1005" i="7"/>
  <c r="F1005" i="7"/>
  <c r="G1005" i="7"/>
  <c r="H1005" i="7"/>
  <c r="I1005" i="7"/>
  <c r="J1005" i="7"/>
  <c r="K1005" i="7"/>
  <c r="L1005" i="7"/>
  <c r="M1005" i="7"/>
  <c r="N1005" i="7"/>
  <c r="P1005" i="7"/>
  <c r="Q1005" i="7"/>
  <c r="S1005" i="7" s="1"/>
  <c r="R1005" i="7"/>
  <c r="T1005" i="7"/>
  <c r="V1005" i="7" s="1"/>
  <c r="U1005" i="7"/>
  <c r="W1005" i="7"/>
  <c r="X1005" i="7"/>
  <c r="Y1005" i="7"/>
  <c r="D1006" i="7"/>
  <c r="E1006" i="7"/>
  <c r="F1006" i="7"/>
  <c r="G1006" i="7"/>
  <c r="H1006" i="7"/>
  <c r="I1006" i="7"/>
  <c r="J1006" i="7"/>
  <c r="K1006" i="7"/>
  <c r="L1006" i="7"/>
  <c r="M1006" i="7"/>
  <c r="N1006" i="7"/>
  <c r="P1006" i="7"/>
  <c r="Q1006" i="7"/>
  <c r="S1006" i="7" s="1"/>
  <c r="R1006" i="7"/>
  <c r="T1006" i="7"/>
  <c r="V1006" i="7" s="1"/>
  <c r="U1006" i="7"/>
  <c r="W1006" i="7"/>
  <c r="X1006" i="7"/>
  <c r="Y1006" i="7"/>
  <c r="D1007" i="7"/>
  <c r="E1007" i="7"/>
  <c r="F1007" i="7"/>
  <c r="G1007" i="7"/>
  <c r="H1007" i="7"/>
  <c r="I1007" i="7"/>
  <c r="J1007" i="7"/>
  <c r="K1007" i="7"/>
  <c r="L1007" i="7"/>
  <c r="M1007" i="7"/>
  <c r="N1007" i="7"/>
  <c r="P1007" i="7"/>
  <c r="Q1007" i="7"/>
  <c r="S1007" i="7" s="1"/>
  <c r="R1007" i="7"/>
  <c r="T1007" i="7"/>
  <c r="V1007" i="7" s="1"/>
  <c r="U1007" i="7"/>
  <c r="W1007" i="7"/>
  <c r="X1007" i="7"/>
  <c r="Y1007" i="7"/>
  <c r="D1008" i="7"/>
  <c r="E1008" i="7"/>
  <c r="F1008" i="7"/>
  <c r="G1008" i="7"/>
  <c r="H1008" i="7"/>
  <c r="I1008" i="7"/>
  <c r="J1008" i="7"/>
  <c r="K1008" i="7"/>
  <c r="L1008" i="7"/>
  <c r="M1008" i="7"/>
  <c r="N1008" i="7"/>
  <c r="P1008" i="7"/>
  <c r="Q1008" i="7"/>
  <c r="S1008" i="7" s="1"/>
  <c r="R1008" i="7"/>
  <c r="T1008" i="7"/>
  <c r="V1008" i="7" s="1"/>
  <c r="U1008" i="7"/>
  <c r="W1008" i="7"/>
  <c r="X1008" i="7"/>
  <c r="Y1008" i="7"/>
  <c r="D1009" i="7"/>
  <c r="E1009" i="7"/>
  <c r="F1009" i="7"/>
  <c r="G1009" i="7"/>
  <c r="H1009" i="7"/>
  <c r="I1009" i="7"/>
  <c r="J1009" i="7"/>
  <c r="K1009" i="7"/>
  <c r="L1009" i="7"/>
  <c r="M1009" i="7"/>
  <c r="N1009" i="7"/>
  <c r="P1009" i="7"/>
  <c r="Q1009" i="7"/>
  <c r="S1009" i="7" s="1"/>
  <c r="R1009" i="7"/>
  <c r="T1009" i="7"/>
  <c r="V1009" i="7" s="1"/>
  <c r="U1009" i="7"/>
  <c r="W1009" i="7"/>
  <c r="X1009" i="7"/>
  <c r="Y1009" i="7"/>
  <c r="D1010" i="7"/>
  <c r="E1010" i="7"/>
  <c r="F1010" i="7"/>
  <c r="G1010" i="7"/>
  <c r="H1010" i="7"/>
  <c r="I1010" i="7"/>
  <c r="J1010" i="7"/>
  <c r="K1010" i="7"/>
  <c r="L1010" i="7"/>
  <c r="M1010" i="7"/>
  <c r="N1010" i="7"/>
  <c r="P1010" i="7"/>
  <c r="Q1010" i="7"/>
  <c r="S1010" i="7" s="1"/>
  <c r="R1010" i="7"/>
  <c r="T1010" i="7"/>
  <c r="V1010" i="7" s="1"/>
  <c r="U1010" i="7"/>
  <c r="W1010" i="7"/>
  <c r="X1010" i="7"/>
  <c r="Y1010" i="7"/>
  <c r="D1011" i="7"/>
  <c r="E1011" i="7"/>
  <c r="F1011" i="7"/>
  <c r="G1011" i="7"/>
  <c r="H1011" i="7"/>
  <c r="I1011" i="7"/>
  <c r="J1011" i="7"/>
  <c r="K1011" i="7"/>
  <c r="L1011" i="7"/>
  <c r="M1011" i="7"/>
  <c r="N1011" i="7"/>
  <c r="P1011" i="7"/>
  <c r="Q1011" i="7"/>
  <c r="S1011" i="7" s="1"/>
  <c r="R1011" i="7"/>
  <c r="T1011" i="7"/>
  <c r="V1011" i="7" s="1"/>
  <c r="U1011" i="7"/>
  <c r="W1011" i="7"/>
  <c r="X1011" i="7"/>
  <c r="Y1011" i="7"/>
  <c r="D1012" i="7"/>
  <c r="E1012" i="7"/>
  <c r="F1012" i="7"/>
  <c r="G1012" i="7"/>
  <c r="H1012" i="7"/>
  <c r="I1012" i="7"/>
  <c r="J1012" i="7"/>
  <c r="K1012" i="7"/>
  <c r="L1012" i="7"/>
  <c r="M1012" i="7"/>
  <c r="N1012" i="7"/>
  <c r="P1012" i="7"/>
  <c r="Q1012" i="7"/>
  <c r="S1012" i="7" s="1"/>
  <c r="R1012" i="7"/>
  <c r="T1012" i="7"/>
  <c r="V1012" i="7" s="1"/>
  <c r="U1012" i="7"/>
  <c r="W1012" i="7"/>
  <c r="X1012" i="7"/>
  <c r="Y1012" i="7"/>
  <c r="D1013" i="7"/>
  <c r="E1013" i="7"/>
  <c r="F1013" i="7"/>
  <c r="G1013" i="7"/>
  <c r="H1013" i="7"/>
  <c r="I1013" i="7"/>
  <c r="J1013" i="7"/>
  <c r="K1013" i="7"/>
  <c r="L1013" i="7"/>
  <c r="M1013" i="7"/>
  <c r="N1013" i="7"/>
  <c r="P1013" i="7"/>
  <c r="Q1013" i="7"/>
  <c r="S1013" i="7" s="1"/>
  <c r="R1013" i="7"/>
  <c r="T1013" i="7"/>
  <c r="V1013" i="7" s="1"/>
  <c r="U1013" i="7"/>
  <c r="W1013" i="7"/>
  <c r="X1013" i="7"/>
  <c r="Y1013" i="7"/>
  <c r="D1014" i="7"/>
  <c r="E1014" i="7"/>
  <c r="F1014" i="7"/>
  <c r="G1014" i="7"/>
  <c r="H1014" i="7"/>
  <c r="I1014" i="7"/>
  <c r="J1014" i="7"/>
  <c r="K1014" i="7"/>
  <c r="L1014" i="7"/>
  <c r="M1014" i="7"/>
  <c r="N1014" i="7"/>
  <c r="P1014" i="7"/>
  <c r="Q1014" i="7"/>
  <c r="S1014" i="7" s="1"/>
  <c r="R1014" i="7"/>
  <c r="T1014" i="7"/>
  <c r="V1014" i="7" s="1"/>
  <c r="U1014" i="7"/>
  <c r="W1014" i="7"/>
  <c r="X1014" i="7"/>
  <c r="Y1014" i="7"/>
  <c r="D1015" i="7"/>
  <c r="E1015" i="7"/>
  <c r="F1015" i="7"/>
  <c r="G1015" i="7"/>
  <c r="H1015" i="7"/>
  <c r="I1015" i="7"/>
  <c r="J1015" i="7"/>
  <c r="K1015" i="7"/>
  <c r="L1015" i="7"/>
  <c r="M1015" i="7"/>
  <c r="N1015" i="7"/>
  <c r="P1015" i="7"/>
  <c r="Q1015" i="7"/>
  <c r="S1015" i="7" s="1"/>
  <c r="R1015" i="7"/>
  <c r="T1015" i="7"/>
  <c r="V1015" i="7" s="1"/>
  <c r="U1015" i="7"/>
  <c r="W1015" i="7"/>
  <c r="X1015" i="7"/>
  <c r="Y1015" i="7"/>
  <c r="D1016" i="7"/>
  <c r="E1016" i="7"/>
  <c r="F1016" i="7"/>
  <c r="G1016" i="7"/>
  <c r="H1016" i="7"/>
  <c r="I1016" i="7"/>
  <c r="J1016" i="7"/>
  <c r="K1016" i="7"/>
  <c r="L1016" i="7"/>
  <c r="M1016" i="7"/>
  <c r="N1016" i="7"/>
  <c r="P1016" i="7"/>
  <c r="Q1016" i="7"/>
  <c r="S1016" i="7" s="1"/>
  <c r="R1016" i="7"/>
  <c r="T1016" i="7"/>
  <c r="V1016" i="7" s="1"/>
  <c r="U1016" i="7"/>
  <c r="W1016" i="7"/>
  <c r="X1016" i="7"/>
  <c r="Y1016" i="7"/>
  <c r="D1017" i="7"/>
  <c r="E1017" i="7"/>
  <c r="F1017" i="7"/>
  <c r="G1017" i="7"/>
  <c r="H1017" i="7"/>
  <c r="I1017" i="7"/>
  <c r="J1017" i="7"/>
  <c r="K1017" i="7"/>
  <c r="L1017" i="7"/>
  <c r="M1017" i="7"/>
  <c r="N1017" i="7"/>
  <c r="P1017" i="7"/>
  <c r="Q1017" i="7"/>
  <c r="S1017" i="7" s="1"/>
  <c r="R1017" i="7"/>
  <c r="T1017" i="7"/>
  <c r="V1017" i="7" s="1"/>
  <c r="U1017" i="7"/>
  <c r="W1017" i="7"/>
  <c r="X1017" i="7"/>
  <c r="Y1017" i="7"/>
  <c r="D1018" i="7"/>
  <c r="E1018" i="7"/>
  <c r="F1018" i="7"/>
  <c r="G1018" i="7"/>
  <c r="H1018" i="7"/>
  <c r="I1018" i="7"/>
  <c r="J1018" i="7"/>
  <c r="K1018" i="7"/>
  <c r="L1018" i="7"/>
  <c r="M1018" i="7"/>
  <c r="N1018" i="7"/>
  <c r="P1018" i="7"/>
  <c r="Q1018" i="7"/>
  <c r="S1018" i="7" s="1"/>
  <c r="R1018" i="7"/>
  <c r="T1018" i="7"/>
  <c r="V1018" i="7" s="1"/>
  <c r="U1018" i="7"/>
  <c r="W1018" i="7"/>
  <c r="X1018" i="7"/>
  <c r="Y1018" i="7"/>
  <c r="D1019" i="7"/>
  <c r="E1019" i="7"/>
  <c r="F1019" i="7"/>
  <c r="G1019" i="7"/>
  <c r="H1019" i="7"/>
  <c r="I1019" i="7"/>
  <c r="J1019" i="7"/>
  <c r="K1019" i="7"/>
  <c r="L1019" i="7"/>
  <c r="M1019" i="7"/>
  <c r="N1019" i="7"/>
  <c r="P1019" i="7"/>
  <c r="Q1019" i="7"/>
  <c r="S1019" i="7" s="1"/>
  <c r="R1019" i="7"/>
  <c r="T1019" i="7"/>
  <c r="V1019" i="7" s="1"/>
  <c r="U1019" i="7"/>
  <c r="W1019" i="7"/>
  <c r="X1019" i="7"/>
  <c r="Y1019" i="7"/>
  <c r="D1020" i="7"/>
  <c r="E1020" i="7"/>
  <c r="F1020" i="7"/>
  <c r="G1020" i="7"/>
  <c r="H1020" i="7"/>
  <c r="I1020" i="7"/>
  <c r="J1020" i="7"/>
  <c r="K1020" i="7"/>
  <c r="L1020" i="7"/>
  <c r="M1020" i="7"/>
  <c r="N1020" i="7"/>
  <c r="P1020" i="7"/>
  <c r="Q1020" i="7"/>
  <c r="S1020" i="7" s="1"/>
  <c r="R1020" i="7"/>
  <c r="T1020" i="7"/>
  <c r="V1020" i="7" s="1"/>
  <c r="U1020" i="7"/>
  <c r="W1020" i="7"/>
  <c r="X1020" i="7"/>
  <c r="Y1020" i="7"/>
  <c r="D1021" i="7"/>
  <c r="E1021" i="7"/>
  <c r="F1021" i="7"/>
  <c r="G1021" i="7"/>
  <c r="H1021" i="7"/>
  <c r="I1021" i="7"/>
  <c r="J1021" i="7"/>
  <c r="K1021" i="7"/>
  <c r="L1021" i="7"/>
  <c r="M1021" i="7"/>
  <c r="N1021" i="7"/>
  <c r="P1021" i="7"/>
  <c r="Q1021" i="7"/>
  <c r="S1021" i="7" s="1"/>
  <c r="R1021" i="7"/>
  <c r="T1021" i="7"/>
  <c r="V1021" i="7" s="1"/>
  <c r="U1021" i="7"/>
  <c r="W1021" i="7"/>
  <c r="X1021" i="7"/>
  <c r="Y1021" i="7"/>
  <c r="D1022" i="7"/>
  <c r="E1022" i="7"/>
  <c r="F1022" i="7"/>
  <c r="G1022" i="7"/>
  <c r="H1022" i="7"/>
  <c r="I1022" i="7"/>
  <c r="J1022" i="7"/>
  <c r="K1022" i="7"/>
  <c r="L1022" i="7"/>
  <c r="M1022" i="7"/>
  <c r="N1022" i="7"/>
  <c r="P1022" i="7"/>
  <c r="Q1022" i="7"/>
  <c r="S1022" i="7" s="1"/>
  <c r="R1022" i="7"/>
  <c r="T1022" i="7"/>
  <c r="V1022" i="7" s="1"/>
  <c r="U1022" i="7"/>
  <c r="W1022" i="7"/>
  <c r="X1022" i="7"/>
  <c r="Y1022" i="7"/>
  <c r="D1023" i="7"/>
  <c r="E1023" i="7"/>
  <c r="F1023" i="7"/>
  <c r="G1023" i="7"/>
  <c r="H1023" i="7"/>
  <c r="I1023" i="7"/>
  <c r="J1023" i="7"/>
  <c r="K1023" i="7"/>
  <c r="L1023" i="7"/>
  <c r="M1023" i="7"/>
  <c r="N1023" i="7"/>
  <c r="P1023" i="7"/>
  <c r="Q1023" i="7"/>
  <c r="S1023" i="7" s="1"/>
  <c r="R1023" i="7"/>
  <c r="T1023" i="7"/>
  <c r="V1023" i="7" s="1"/>
  <c r="U1023" i="7"/>
  <c r="W1023" i="7"/>
  <c r="X1023" i="7"/>
  <c r="Y1023" i="7"/>
  <c r="D1024" i="7"/>
  <c r="E1024" i="7"/>
  <c r="F1024" i="7"/>
  <c r="G1024" i="7"/>
  <c r="H1024" i="7"/>
  <c r="I1024" i="7"/>
  <c r="J1024" i="7"/>
  <c r="K1024" i="7"/>
  <c r="L1024" i="7"/>
  <c r="M1024" i="7"/>
  <c r="N1024" i="7"/>
  <c r="P1024" i="7"/>
  <c r="Q1024" i="7"/>
  <c r="S1024" i="7" s="1"/>
  <c r="R1024" i="7"/>
  <c r="T1024" i="7"/>
  <c r="V1024" i="7" s="1"/>
  <c r="U1024" i="7"/>
  <c r="W1024" i="7"/>
  <c r="X1024" i="7"/>
  <c r="Y1024" i="7"/>
  <c r="D1025" i="7"/>
  <c r="E1025" i="7"/>
  <c r="F1025" i="7"/>
  <c r="G1025" i="7"/>
  <c r="H1025" i="7"/>
  <c r="I1025" i="7"/>
  <c r="J1025" i="7"/>
  <c r="K1025" i="7"/>
  <c r="L1025" i="7"/>
  <c r="M1025" i="7"/>
  <c r="N1025" i="7"/>
  <c r="P1025" i="7"/>
  <c r="Q1025" i="7"/>
  <c r="S1025" i="7" s="1"/>
  <c r="R1025" i="7"/>
  <c r="T1025" i="7"/>
  <c r="V1025" i="7" s="1"/>
  <c r="U1025" i="7"/>
  <c r="W1025" i="7"/>
  <c r="X1025" i="7"/>
  <c r="Y1025" i="7"/>
  <c r="D1026" i="7"/>
  <c r="E1026" i="7"/>
  <c r="F1026" i="7"/>
  <c r="G1026" i="7"/>
  <c r="H1026" i="7"/>
  <c r="I1026" i="7"/>
  <c r="J1026" i="7"/>
  <c r="K1026" i="7"/>
  <c r="L1026" i="7"/>
  <c r="M1026" i="7"/>
  <c r="N1026" i="7"/>
  <c r="P1026" i="7"/>
  <c r="Q1026" i="7"/>
  <c r="S1026" i="7" s="1"/>
  <c r="R1026" i="7"/>
  <c r="T1026" i="7"/>
  <c r="V1026" i="7" s="1"/>
  <c r="U1026" i="7"/>
  <c r="W1026" i="7"/>
  <c r="X1026" i="7"/>
  <c r="Y1026" i="7"/>
  <c r="D1027" i="7"/>
  <c r="E1027" i="7"/>
  <c r="F1027" i="7"/>
  <c r="G1027" i="7"/>
  <c r="H1027" i="7"/>
  <c r="I1027" i="7"/>
  <c r="J1027" i="7"/>
  <c r="K1027" i="7"/>
  <c r="L1027" i="7"/>
  <c r="M1027" i="7"/>
  <c r="N1027" i="7"/>
  <c r="P1027" i="7"/>
  <c r="Q1027" i="7"/>
  <c r="S1027" i="7" s="1"/>
  <c r="R1027" i="7"/>
  <c r="T1027" i="7"/>
  <c r="V1027" i="7" s="1"/>
  <c r="U1027" i="7"/>
  <c r="W1027" i="7"/>
  <c r="X1027" i="7"/>
  <c r="Y1027" i="7"/>
  <c r="D1028" i="7"/>
  <c r="E1028" i="7"/>
  <c r="F1028" i="7"/>
  <c r="G1028" i="7"/>
  <c r="H1028" i="7"/>
  <c r="I1028" i="7"/>
  <c r="J1028" i="7"/>
  <c r="K1028" i="7"/>
  <c r="L1028" i="7"/>
  <c r="M1028" i="7"/>
  <c r="N1028" i="7"/>
  <c r="P1028" i="7"/>
  <c r="Q1028" i="7"/>
  <c r="S1028" i="7" s="1"/>
  <c r="R1028" i="7"/>
  <c r="T1028" i="7"/>
  <c r="V1028" i="7" s="1"/>
  <c r="U1028" i="7"/>
  <c r="W1028" i="7"/>
  <c r="X1028" i="7"/>
  <c r="Y1028" i="7"/>
  <c r="D1029" i="7"/>
  <c r="E1029" i="7"/>
  <c r="F1029" i="7"/>
  <c r="G1029" i="7"/>
  <c r="H1029" i="7"/>
  <c r="I1029" i="7"/>
  <c r="J1029" i="7"/>
  <c r="K1029" i="7"/>
  <c r="L1029" i="7"/>
  <c r="M1029" i="7"/>
  <c r="N1029" i="7"/>
  <c r="P1029" i="7"/>
  <c r="Q1029" i="7"/>
  <c r="S1029" i="7" s="1"/>
  <c r="R1029" i="7"/>
  <c r="T1029" i="7"/>
  <c r="V1029" i="7" s="1"/>
  <c r="U1029" i="7"/>
  <c r="W1029" i="7"/>
  <c r="X1029" i="7"/>
  <c r="Y1029" i="7"/>
  <c r="D1030" i="7"/>
  <c r="E1030" i="7"/>
  <c r="F1030" i="7"/>
  <c r="G1030" i="7"/>
  <c r="H1030" i="7"/>
  <c r="I1030" i="7"/>
  <c r="J1030" i="7"/>
  <c r="K1030" i="7"/>
  <c r="L1030" i="7"/>
  <c r="M1030" i="7"/>
  <c r="N1030" i="7"/>
  <c r="P1030" i="7"/>
  <c r="Q1030" i="7"/>
  <c r="S1030" i="7" s="1"/>
  <c r="R1030" i="7"/>
  <c r="T1030" i="7"/>
  <c r="V1030" i="7" s="1"/>
  <c r="U1030" i="7"/>
  <c r="W1030" i="7"/>
  <c r="X1030" i="7"/>
  <c r="Y1030" i="7"/>
  <c r="D1031" i="7"/>
  <c r="E1031" i="7"/>
  <c r="F1031" i="7"/>
  <c r="G1031" i="7"/>
  <c r="H1031" i="7"/>
  <c r="I1031" i="7"/>
  <c r="J1031" i="7"/>
  <c r="K1031" i="7"/>
  <c r="L1031" i="7"/>
  <c r="M1031" i="7"/>
  <c r="N1031" i="7"/>
  <c r="P1031" i="7"/>
  <c r="Q1031" i="7"/>
  <c r="S1031" i="7" s="1"/>
  <c r="R1031" i="7"/>
  <c r="T1031" i="7"/>
  <c r="V1031" i="7" s="1"/>
  <c r="U1031" i="7"/>
  <c r="W1031" i="7"/>
  <c r="X1031" i="7"/>
  <c r="Y1031" i="7"/>
  <c r="D1032" i="7"/>
  <c r="E1032" i="7"/>
  <c r="X1032" i="7" s="1"/>
  <c r="F1032" i="7"/>
  <c r="G1032" i="7"/>
  <c r="H1032" i="7"/>
  <c r="I1032" i="7"/>
  <c r="J1032" i="7"/>
  <c r="K1032" i="7"/>
  <c r="L1032" i="7"/>
  <c r="M1032" i="7"/>
  <c r="N1032" i="7"/>
  <c r="P1032" i="7"/>
  <c r="Q1032" i="7"/>
  <c r="S1032" i="7" s="1"/>
  <c r="R1032" i="7"/>
  <c r="T1032" i="7"/>
  <c r="U1032" i="7"/>
  <c r="V1032" i="7"/>
  <c r="D1033" i="7"/>
  <c r="E1033" i="7"/>
  <c r="F1033" i="7"/>
  <c r="G1033" i="7"/>
  <c r="H1033" i="7"/>
  <c r="I1033" i="7"/>
  <c r="J1033" i="7"/>
  <c r="K1033" i="7"/>
  <c r="L1033" i="7"/>
  <c r="M1033" i="7"/>
  <c r="N1033" i="7"/>
  <c r="P1033" i="7"/>
  <c r="O1033" i="7" s="1"/>
  <c r="Q1033" i="7"/>
  <c r="R1033" i="7"/>
  <c r="S1033" i="7"/>
  <c r="T1033" i="7"/>
  <c r="U1033" i="7"/>
  <c r="V1033" i="7"/>
  <c r="W1033" i="7"/>
  <c r="X1033" i="7"/>
  <c r="Y1033" i="7"/>
  <c r="D1034" i="7"/>
  <c r="E1034" i="7"/>
  <c r="F1034" i="7"/>
  <c r="G1034" i="7"/>
  <c r="H1034" i="7"/>
  <c r="I1034" i="7"/>
  <c r="J1034" i="7"/>
  <c r="K1034" i="7"/>
  <c r="L1034" i="7"/>
  <c r="M1034" i="7"/>
  <c r="N1034" i="7"/>
  <c r="P1034" i="7"/>
  <c r="O1034" i="7" s="1"/>
  <c r="Q1034" i="7"/>
  <c r="R1034" i="7"/>
  <c r="S1034" i="7"/>
  <c r="T1034" i="7"/>
  <c r="U1034" i="7"/>
  <c r="V1034" i="7"/>
  <c r="W1034" i="7"/>
  <c r="X1034" i="7"/>
  <c r="Y1034" i="7"/>
  <c r="D1035" i="7"/>
  <c r="E1035" i="7"/>
  <c r="F1035" i="7"/>
  <c r="G1035" i="7"/>
  <c r="H1035" i="7"/>
  <c r="I1035" i="7"/>
  <c r="J1035" i="7"/>
  <c r="K1035" i="7"/>
  <c r="L1035" i="7"/>
  <c r="M1035" i="7"/>
  <c r="N1035" i="7"/>
  <c r="P1035" i="7"/>
  <c r="O1035" i="7" s="1"/>
  <c r="Q1035" i="7"/>
  <c r="R1035" i="7"/>
  <c r="S1035" i="7"/>
  <c r="T1035" i="7"/>
  <c r="U1035" i="7"/>
  <c r="V1035" i="7"/>
  <c r="W1035" i="7"/>
  <c r="X1035" i="7"/>
  <c r="Y1035" i="7"/>
  <c r="D1036" i="7"/>
  <c r="E1036" i="7"/>
  <c r="F1036" i="7"/>
  <c r="G1036" i="7"/>
  <c r="H1036" i="7"/>
  <c r="I1036" i="7"/>
  <c r="J1036" i="7"/>
  <c r="K1036" i="7"/>
  <c r="L1036" i="7"/>
  <c r="M1036" i="7"/>
  <c r="N1036" i="7"/>
  <c r="P1036" i="7"/>
  <c r="O1036" i="7" s="1"/>
  <c r="Q1036" i="7"/>
  <c r="R1036" i="7"/>
  <c r="S1036" i="7"/>
  <c r="T1036" i="7"/>
  <c r="U1036" i="7"/>
  <c r="V1036" i="7"/>
  <c r="W1036" i="7"/>
  <c r="X1036" i="7"/>
  <c r="Y1036" i="7"/>
  <c r="D1037" i="7"/>
  <c r="E1037" i="7"/>
  <c r="F1037" i="7"/>
  <c r="G1037" i="7"/>
  <c r="H1037" i="7"/>
  <c r="I1037" i="7"/>
  <c r="J1037" i="7"/>
  <c r="K1037" i="7"/>
  <c r="L1037" i="7"/>
  <c r="M1037" i="7"/>
  <c r="N1037" i="7"/>
  <c r="P1037" i="7"/>
  <c r="O1037" i="7" s="1"/>
  <c r="Q1037" i="7"/>
  <c r="R1037" i="7"/>
  <c r="S1037" i="7"/>
  <c r="T1037" i="7"/>
  <c r="U1037" i="7"/>
  <c r="V1037" i="7"/>
  <c r="W1037" i="7"/>
  <c r="X1037" i="7"/>
  <c r="Y1037" i="7"/>
  <c r="D1038" i="7"/>
  <c r="E1038" i="7"/>
  <c r="F1038" i="7"/>
  <c r="G1038" i="7"/>
  <c r="H1038" i="7"/>
  <c r="I1038" i="7"/>
  <c r="J1038" i="7"/>
  <c r="K1038" i="7"/>
  <c r="L1038" i="7"/>
  <c r="M1038" i="7"/>
  <c r="N1038" i="7"/>
  <c r="P1038" i="7"/>
  <c r="O1038" i="7" s="1"/>
  <c r="Q1038" i="7"/>
  <c r="R1038" i="7"/>
  <c r="S1038" i="7"/>
  <c r="T1038" i="7"/>
  <c r="U1038" i="7"/>
  <c r="V1038" i="7"/>
  <c r="W1038" i="7"/>
  <c r="X1038" i="7"/>
  <c r="Y1038" i="7"/>
  <c r="D1039" i="7"/>
  <c r="E1039" i="7"/>
  <c r="F1039" i="7"/>
  <c r="G1039" i="7"/>
  <c r="H1039" i="7"/>
  <c r="I1039" i="7"/>
  <c r="J1039" i="7"/>
  <c r="K1039" i="7"/>
  <c r="L1039" i="7"/>
  <c r="M1039" i="7"/>
  <c r="N1039" i="7"/>
  <c r="P1039" i="7"/>
  <c r="O1039" i="7" s="1"/>
  <c r="Q1039" i="7"/>
  <c r="R1039" i="7"/>
  <c r="S1039" i="7"/>
  <c r="T1039" i="7"/>
  <c r="U1039" i="7"/>
  <c r="V1039" i="7"/>
  <c r="W1039" i="7"/>
  <c r="X1039" i="7"/>
  <c r="Y1039" i="7"/>
  <c r="D1040" i="7"/>
  <c r="E1040" i="7"/>
  <c r="F1040" i="7"/>
  <c r="G1040" i="7"/>
  <c r="H1040" i="7"/>
  <c r="I1040" i="7"/>
  <c r="J1040" i="7"/>
  <c r="K1040" i="7"/>
  <c r="L1040" i="7"/>
  <c r="M1040" i="7"/>
  <c r="N1040" i="7"/>
  <c r="P1040" i="7"/>
  <c r="O1040" i="7" s="1"/>
  <c r="Q1040" i="7"/>
  <c r="R1040" i="7"/>
  <c r="S1040" i="7"/>
  <c r="T1040" i="7"/>
  <c r="U1040" i="7"/>
  <c r="V1040" i="7"/>
  <c r="W1040" i="7"/>
  <c r="X1040" i="7"/>
  <c r="Y1040" i="7"/>
  <c r="D1041" i="7"/>
  <c r="E1041" i="7"/>
  <c r="F1041" i="7"/>
  <c r="G1041" i="7"/>
  <c r="H1041" i="7"/>
  <c r="I1041" i="7"/>
  <c r="J1041" i="7"/>
  <c r="K1041" i="7"/>
  <c r="L1041" i="7"/>
  <c r="M1041" i="7"/>
  <c r="N1041" i="7"/>
  <c r="P1041" i="7"/>
  <c r="O1041" i="7" s="1"/>
  <c r="Q1041" i="7"/>
  <c r="R1041" i="7"/>
  <c r="S1041" i="7"/>
  <c r="T1041" i="7"/>
  <c r="U1041" i="7"/>
  <c r="V1041" i="7"/>
  <c r="W1041" i="7"/>
  <c r="X1041" i="7"/>
  <c r="Y1041" i="7"/>
  <c r="D1042" i="7"/>
  <c r="E1042" i="7"/>
  <c r="F1042" i="7"/>
  <c r="G1042" i="7"/>
  <c r="H1042" i="7"/>
  <c r="I1042" i="7"/>
  <c r="J1042" i="7"/>
  <c r="K1042" i="7"/>
  <c r="L1042" i="7"/>
  <c r="M1042" i="7"/>
  <c r="N1042" i="7"/>
  <c r="P1042" i="7"/>
  <c r="O1042" i="7" s="1"/>
  <c r="Q1042" i="7"/>
  <c r="R1042" i="7"/>
  <c r="S1042" i="7"/>
  <c r="T1042" i="7"/>
  <c r="U1042" i="7"/>
  <c r="V1042" i="7"/>
  <c r="W1042" i="7"/>
  <c r="X1042" i="7"/>
  <c r="Y1042" i="7"/>
  <c r="D1043" i="7"/>
  <c r="E1043" i="7"/>
  <c r="F1043" i="7"/>
  <c r="G1043" i="7"/>
  <c r="H1043" i="7"/>
  <c r="I1043" i="7"/>
  <c r="J1043" i="7"/>
  <c r="K1043" i="7"/>
  <c r="L1043" i="7"/>
  <c r="M1043" i="7"/>
  <c r="N1043" i="7"/>
  <c r="P1043" i="7"/>
  <c r="O1043" i="7" s="1"/>
  <c r="Q1043" i="7"/>
  <c r="R1043" i="7"/>
  <c r="S1043" i="7"/>
  <c r="T1043" i="7"/>
  <c r="U1043" i="7"/>
  <c r="V1043" i="7"/>
  <c r="W1043" i="7"/>
  <c r="X1043" i="7"/>
  <c r="Y1043" i="7"/>
  <c r="D1044" i="7"/>
  <c r="E1044" i="7"/>
  <c r="F1044" i="7"/>
  <c r="G1044" i="7"/>
  <c r="H1044" i="7"/>
  <c r="I1044" i="7"/>
  <c r="J1044" i="7"/>
  <c r="K1044" i="7"/>
  <c r="L1044" i="7"/>
  <c r="M1044" i="7"/>
  <c r="N1044" i="7"/>
  <c r="P1044" i="7"/>
  <c r="O1044" i="7" s="1"/>
  <c r="Q1044" i="7"/>
  <c r="R1044" i="7"/>
  <c r="S1044" i="7"/>
  <c r="T1044" i="7"/>
  <c r="U1044" i="7"/>
  <c r="V1044" i="7"/>
  <c r="W1044" i="7"/>
  <c r="X1044" i="7"/>
  <c r="Y1044" i="7"/>
  <c r="D1045" i="7"/>
  <c r="E1045" i="7"/>
  <c r="F1045" i="7"/>
  <c r="G1045" i="7"/>
  <c r="H1045" i="7"/>
  <c r="I1045" i="7"/>
  <c r="J1045" i="7"/>
  <c r="K1045" i="7"/>
  <c r="L1045" i="7"/>
  <c r="M1045" i="7"/>
  <c r="N1045" i="7"/>
  <c r="P1045" i="7"/>
  <c r="O1045" i="7" s="1"/>
  <c r="Q1045" i="7"/>
  <c r="R1045" i="7"/>
  <c r="S1045" i="7"/>
  <c r="T1045" i="7"/>
  <c r="U1045" i="7"/>
  <c r="V1045" i="7"/>
  <c r="W1045" i="7"/>
  <c r="X1045" i="7"/>
  <c r="Y1045" i="7"/>
  <c r="D1046" i="7"/>
  <c r="E1046" i="7"/>
  <c r="F1046" i="7"/>
  <c r="G1046" i="7"/>
  <c r="H1046" i="7"/>
  <c r="I1046" i="7"/>
  <c r="J1046" i="7"/>
  <c r="K1046" i="7"/>
  <c r="L1046" i="7"/>
  <c r="M1046" i="7"/>
  <c r="N1046" i="7"/>
  <c r="P1046" i="7"/>
  <c r="O1046" i="7" s="1"/>
  <c r="Q1046" i="7"/>
  <c r="R1046" i="7"/>
  <c r="S1046" i="7"/>
  <c r="T1046" i="7"/>
  <c r="U1046" i="7"/>
  <c r="V1046" i="7"/>
  <c r="W1046" i="7"/>
  <c r="X1046" i="7"/>
  <c r="Y1046" i="7"/>
  <c r="D1047" i="7"/>
  <c r="E1047" i="7"/>
  <c r="F1047" i="7"/>
  <c r="G1047" i="7"/>
  <c r="H1047" i="7"/>
  <c r="I1047" i="7"/>
  <c r="J1047" i="7"/>
  <c r="K1047" i="7"/>
  <c r="L1047" i="7"/>
  <c r="M1047" i="7"/>
  <c r="N1047" i="7"/>
  <c r="P1047" i="7"/>
  <c r="O1047" i="7" s="1"/>
  <c r="Q1047" i="7"/>
  <c r="R1047" i="7"/>
  <c r="S1047" i="7"/>
  <c r="T1047" i="7"/>
  <c r="U1047" i="7"/>
  <c r="V1047" i="7"/>
  <c r="W1047" i="7"/>
  <c r="X1047" i="7"/>
  <c r="Y1047" i="7"/>
  <c r="D1048" i="7"/>
  <c r="E1048" i="7"/>
  <c r="F1048" i="7"/>
  <c r="G1048" i="7"/>
  <c r="H1048" i="7"/>
  <c r="I1048" i="7"/>
  <c r="J1048" i="7"/>
  <c r="K1048" i="7"/>
  <c r="L1048" i="7"/>
  <c r="M1048" i="7"/>
  <c r="N1048" i="7"/>
  <c r="P1048" i="7"/>
  <c r="O1048" i="7" s="1"/>
  <c r="Q1048" i="7"/>
  <c r="R1048" i="7"/>
  <c r="S1048" i="7"/>
  <c r="T1048" i="7"/>
  <c r="U1048" i="7"/>
  <c r="V1048" i="7"/>
  <c r="W1048" i="7"/>
  <c r="X1048" i="7"/>
  <c r="Y1048" i="7"/>
  <c r="D1049" i="7"/>
  <c r="E1049" i="7"/>
  <c r="F1049" i="7"/>
  <c r="G1049" i="7"/>
  <c r="H1049" i="7"/>
  <c r="I1049" i="7"/>
  <c r="J1049" i="7"/>
  <c r="K1049" i="7"/>
  <c r="L1049" i="7"/>
  <c r="M1049" i="7"/>
  <c r="N1049" i="7"/>
  <c r="P1049" i="7"/>
  <c r="O1049" i="7" s="1"/>
  <c r="Q1049" i="7"/>
  <c r="R1049" i="7"/>
  <c r="S1049" i="7"/>
  <c r="T1049" i="7"/>
  <c r="U1049" i="7"/>
  <c r="V1049" i="7"/>
  <c r="W1049" i="7"/>
  <c r="X1049" i="7"/>
  <c r="Y1049" i="7"/>
  <c r="D1050" i="7"/>
  <c r="E1050" i="7"/>
  <c r="F1050" i="7"/>
  <c r="G1050" i="7"/>
  <c r="H1050" i="7"/>
  <c r="I1050" i="7"/>
  <c r="J1050" i="7"/>
  <c r="K1050" i="7"/>
  <c r="L1050" i="7"/>
  <c r="M1050" i="7"/>
  <c r="N1050" i="7"/>
  <c r="P1050" i="7"/>
  <c r="O1050" i="7" s="1"/>
  <c r="Q1050" i="7"/>
  <c r="R1050" i="7"/>
  <c r="S1050" i="7"/>
  <c r="T1050" i="7"/>
  <c r="U1050" i="7"/>
  <c r="V1050" i="7"/>
  <c r="W1050" i="7"/>
  <c r="X1050" i="7"/>
  <c r="Y1050" i="7"/>
  <c r="D1051" i="7"/>
  <c r="E1051" i="7"/>
  <c r="F1051" i="7"/>
  <c r="G1051" i="7"/>
  <c r="H1051" i="7"/>
  <c r="I1051" i="7"/>
  <c r="J1051" i="7"/>
  <c r="K1051" i="7"/>
  <c r="L1051" i="7"/>
  <c r="M1051" i="7"/>
  <c r="N1051" i="7"/>
  <c r="P1051" i="7"/>
  <c r="O1051" i="7" s="1"/>
  <c r="Q1051" i="7"/>
  <c r="R1051" i="7"/>
  <c r="S1051" i="7"/>
  <c r="T1051" i="7"/>
  <c r="U1051" i="7"/>
  <c r="V1051" i="7"/>
  <c r="W1051" i="7"/>
  <c r="X1051" i="7"/>
  <c r="Y1051" i="7"/>
  <c r="D1052" i="7"/>
  <c r="E1052" i="7"/>
  <c r="F1052" i="7"/>
  <c r="G1052" i="7"/>
  <c r="H1052" i="7"/>
  <c r="I1052" i="7"/>
  <c r="J1052" i="7"/>
  <c r="K1052" i="7"/>
  <c r="L1052" i="7"/>
  <c r="M1052" i="7"/>
  <c r="N1052" i="7"/>
  <c r="P1052" i="7"/>
  <c r="O1052" i="7" s="1"/>
  <c r="Q1052" i="7"/>
  <c r="R1052" i="7"/>
  <c r="S1052" i="7"/>
  <c r="T1052" i="7"/>
  <c r="U1052" i="7"/>
  <c r="V1052" i="7"/>
  <c r="W1052" i="7"/>
  <c r="X1052" i="7"/>
  <c r="Y1052" i="7"/>
  <c r="D1053" i="7"/>
  <c r="E1053" i="7"/>
  <c r="F1053" i="7"/>
  <c r="G1053" i="7"/>
  <c r="H1053" i="7"/>
  <c r="I1053" i="7"/>
  <c r="J1053" i="7"/>
  <c r="K1053" i="7"/>
  <c r="L1053" i="7"/>
  <c r="M1053" i="7"/>
  <c r="N1053" i="7"/>
  <c r="P1053" i="7"/>
  <c r="O1053" i="7" s="1"/>
  <c r="Q1053" i="7"/>
  <c r="R1053" i="7"/>
  <c r="S1053" i="7"/>
  <c r="T1053" i="7"/>
  <c r="U1053" i="7"/>
  <c r="V1053" i="7"/>
  <c r="W1053" i="7"/>
  <c r="X1053" i="7"/>
  <c r="Y1053" i="7"/>
  <c r="D1054" i="7"/>
  <c r="E1054" i="7"/>
  <c r="F1054" i="7"/>
  <c r="G1054" i="7"/>
  <c r="H1054" i="7"/>
  <c r="I1054" i="7"/>
  <c r="J1054" i="7"/>
  <c r="K1054" i="7"/>
  <c r="L1054" i="7"/>
  <c r="M1054" i="7"/>
  <c r="N1054" i="7"/>
  <c r="P1054" i="7"/>
  <c r="O1054" i="7" s="1"/>
  <c r="Q1054" i="7"/>
  <c r="R1054" i="7"/>
  <c r="S1054" i="7"/>
  <c r="T1054" i="7"/>
  <c r="U1054" i="7"/>
  <c r="V1054" i="7"/>
  <c r="W1054" i="7"/>
  <c r="X1054" i="7"/>
  <c r="Y1054" i="7"/>
  <c r="D1055" i="7"/>
  <c r="E1055" i="7"/>
  <c r="F1055" i="7"/>
  <c r="G1055" i="7"/>
  <c r="H1055" i="7"/>
  <c r="I1055" i="7"/>
  <c r="J1055" i="7"/>
  <c r="K1055" i="7"/>
  <c r="L1055" i="7"/>
  <c r="M1055" i="7"/>
  <c r="N1055" i="7"/>
  <c r="P1055" i="7"/>
  <c r="O1055" i="7" s="1"/>
  <c r="Q1055" i="7"/>
  <c r="R1055" i="7"/>
  <c r="S1055" i="7"/>
  <c r="T1055" i="7"/>
  <c r="U1055" i="7"/>
  <c r="V1055" i="7"/>
  <c r="W1055" i="7"/>
  <c r="X1055" i="7"/>
  <c r="Y1055" i="7"/>
  <c r="D1056" i="7"/>
  <c r="E1056" i="7"/>
  <c r="F1056" i="7"/>
  <c r="G1056" i="7"/>
  <c r="H1056" i="7"/>
  <c r="I1056" i="7"/>
  <c r="J1056" i="7"/>
  <c r="K1056" i="7"/>
  <c r="L1056" i="7"/>
  <c r="M1056" i="7"/>
  <c r="N1056" i="7"/>
  <c r="P1056" i="7"/>
  <c r="O1056" i="7" s="1"/>
  <c r="Q1056" i="7"/>
  <c r="R1056" i="7"/>
  <c r="S1056" i="7"/>
  <c r="T1056" i="7"/>
  <c r="U1056" i="7"/>
  <c r="V1056" i="7"/>
  <c r="W1056" i="7"/>
  <c r="X1056" i="7"/>
  <c r="Y1056" i="7"/>
  <c r="D1057" i="7"/>
  <c r="E1057" i="7"/>
  <c r="F1057" i="7"/>
  <c r="G1057" i="7"/>
  <c r="H1057" i="7"/>
  <c r="I1057" i="7"/>
  <c r="J1057" i="7"/>
  <c r="K1057" i="7"/>
  <c r="L1057" i="7"/>
  <c r="M1057" i="7"/>
  <c r="N1057" i="7"/>
  <c r="P1057" i="7"/>
  <c r="O1057" i="7" s="1"/>
  <c r="Q1057" i="7"/>
  <c r="R1057" i="7"/>
  <c r="S1057" i="7"/>
  <c r="T1057" i="7"/>
  <c r="U1057" i="7"/>
  <c r="V1057" i="7"/>
  <c r="W1057" i="7"/>
  <c r="X1057" i="7"/>
  <c r="Y1057" i="7"/>
  <c r="D1058" i="7"/>
  <c r="E1058" i="7"/>
  <c r="F1058" i="7"/>
  <c r="G1058" i="7"/>
  <c r="H1058" i="7"/>
  <c r="I1058" i="7"/>
  <c r="J1058" i="7"/>
  <c r="K1058" i="7"/>
  <c r="L1058" i="7"/>
  <c r="M1058" i="7"/>
  <c r="N1058" i="7"/>
  <c r="P1058" i="7"/>
  <c r="O1058" i="7" s="1"/>
  <c r="Q1058" i="7"/>
  <c r="R1058" i="7"/>
  <c r="S1058" i="7"/>
  <c r="T1058" i="7"/>
  <c r="U1058" i="7"/>
  <c r="V1058" i="7"/>
  <c r="W1058" i="7"/>
  <c r="X1058" i="7"/>
  <c r="Y1058" i="7"/>
  <c r="D1059" i="7"/>
  <c r="E1059" i="7"/>
  <c r="F1059" i="7"/>
  <c r="G1059" i="7"/>
  <c r="H1059" i="7"/>
  <c r="I1059" i="7"/>
  <c r="J1059" i="7"/>
  <c r="K1059" i="7"/>
  <c r="L1059" i="7"/>
  <c r="M1059" i="7"/>
  <c r="N1059" i="7"/>
  <c r="P1059" i="7"/>
  <c r="O1059" i="7" s="1"/>
  <c r="Q1059" i="7"/>
  <c r="R1059" i="7"/>
  <c r="S1059" i="7"/>
  <c r="T1059" i="7"/>
  <c r="U1059" i="7"/>
  <c r="V1059" i="7"/>
  <c r="W1059" i="7"/>
  <c r="X1059" i="7"/>
  <c r="Y1059" i="7"/>
  <c r="D1060" i="7"/>
  <c r="E1060" i="7"/>
  <c r="F1060" i="7"/>
  <c r="G1060" i="7"/>
  <c r="H1060" i="7"/>
  <c r="I1060" i="7"/>
  <c r="J1060" i="7"/>
  <c r="K1060" i="7"/>
  <c r="L1060" i="7"/>
  <c r="M1060" i="7"/>
  <c r="N1060" i="7"/>
  <c r="P1060" i="7"/>
  <c r="O1060" i="7" s="1"/>
  <c r="Q1060" i="7"/>
  <c r="R1060" i="7"/>
  <c r="S1060" i="7"/>
  <c r="T1060" i="7"/>
  <c r="U1060" i="7"/>
  <c r="V1060" i="7"/>
  <c r="W1060" i="7"/>
  <c r="X1060" i="7"/>
  <c r="Y1060" i="7"/>
  <c r="D1061" i="7"/>
  <c r="E1061" i="7"/>
  <c r="F1061" i="7"/>
  <c r="G1061" i="7"/>
  <c r="H1061" i="7"/>
  <c r="I1061" i="7"/>
  <c r="J1061" i="7"/>
  <c r="K1061" i="7"/>
  <c r="L1061" i="7"/>
  <c r="M1061" i="7"/>
  <c r="N1061" i="7"/>
  <c r="P1061" i="7"/>
  <c r="O1061" i="7" s="1"/>
  <c r="Q1061" i="7"/>
  <c r="R1061" i="7"/>
  <c r="S1061" i="7"/>
  <c r="T1061" i="7"/>
  <c r="U1061" i="7"/>
  <c r="V1061" i="7"/>
  <c r="W1061" i="7"/>
  <c r="X1061" i="7"/>
  <c r="Y1061" i="7"/>
  <c r="D1062" i="7"/>
  <c r="E1062" i="7"/>
  <c r="F1062" i="7"/>
  <c r="G1062" i="7"/>
  <c r="H1062" i="7"/>
  <c r="I1062" i="7"/>
  <c r="J1062" i="7"/>
  <c r="K1062" i="7"/>
  <c r="L1062" i="7"/>
  <c r="M1062" i="7"/>
  <c r="N1062" i="7"/>
  <c r="P1062" i="7"/>
  <c r="O1062" i="7" s="1"/>
  <c r="Q1062" i="7"/>
  <c r="R1062" i="7"/>
  <c r="S1062" i="7"/>
  <c r="T1062" i="7"/>
  <c r="U1062" i="7"/>
  <c r="V1062" i="7"/>
  <c r="W1062" i="7"/>
  <c r="X1062" i="7"/>
  <c r="Y1062" i="7"/>
  <c r="D1063" i="7"/>
  <c r="E1063" i="7"/>
  <c r="F1063" i="7"/>
  <c r="G1063" i="7"/>
  <c r="H1063" i="7"/>
  <c r="I1063" i="7"/>
  <c r="J1063" i="7"/>
  <c r="K1063" i="7"/>
  <c r="L1063" i="7"/>
  <c r="M1063" i="7"/>
  <c r="N1063" i="7"/>
  <c r="P1063" i="7"/>
  <c r="O1063" i="7" s="1"/>
  <c r="Q1063" i="7"/>
  <c r="R1063" i="7"/>
  <c r="S1063" i="7"/>
  <c r="T1063" i="7"/>
  <c r="U1063" i="7"/>
  <c r="V1063" i="7"/>
  <c r="W1063" i="7"/>
  <c r="X1063" i="7"/>
  <c r="Y1063" i="7"/>
  <c r="D1064" i="7"/>
  <c r="E1064" i="7"/>
  <c r="F1064" i="7"/>
  <c r="G1064" i="7"/>
  <c r="H1064" i="7"/>
  <c r="I1064" i="7"/>
  <c r="J1064" i="7"/>
  <c r="K1064" i="7"/>
  <c r="L1064" i="7"/>
  <c r="M1064" i="7"/>
  <c r="N1064" i="7"/>
  <c r="P1064" i="7"/>
  <c r="O1064" i="7" s="1"/>
  <c r="Q1064" i="7"/>
  <c r="R1064" i="7"/>
  <c r="S1064" i="7"/>
  <c r="T1064" i="7"/>
  <c r="U1064" i="7"/>
  <c r="V1064" i="7"/>
  <c r="W1064" i="7"/>
  <c r="X1064" i="7"/>
  <c r="Y1064" i="7"/>
  <c r="D1065" i="7"/>
  <c r="E1065" i="7"/>
  <c r="F1065" i="7"/>
  <c r="G1065" i="7"/>
  <c r="H1065" i="7"/>
  <c r="I1065" i="7"/>
  <c r="J1065" i="7"/>
  <c r="K1065" i="7"/>
  <c r="L1065" i="7"/>
  <c r="M1065" i="7"/>
  <c r="N1065" i="7"/>
  <c r="P1065" i="7"/>
  <c r="O1065" i="7" s="1"/>
  <c r="Q1065" i="7"/>
  <c r="R1065" i="7"/>
  <c r="S1065" i="7"/>
  <c r="T1065" i="7"/>
  <c r="U1065" i="7"/>
  <c r="V1065" i="7"/>
  <c r="W1065" i="7"/>
  <c r="X1065" i="7"/>
  <c r="Y1065" i="7"/>
  <c r="D1066" i="7"/>
  <c r="E1066" i="7"/>
  <c r="F1066" i="7"/>
  <c r="G1066" i="7"/>
  <c r="H1066" i="7"/>
  <c r="I1066" i="7"/>
  <c r="J1066" i="7"/>
  <c r="K1066" i="7"/>
  <c r="L1066" i="7"/>
  <c r="M1066" i="7"/>
  <c r="N1066" i="7"/>
  <c r="P1066" i="7"/>
  <c r="O1066" i="7" s="1"/>
  <c r="Q1066" i="7"/>
  <c r="R1066" i="7"/>
  <c r="S1066" i="7"/>
  <c r="T1066" i="7"/>
  <c r="U1066" i="7"/>
  <c r="V1066" i="7"/>
  <c r="W1066" i="7"/>
  <c r="X1066" i="7"/>
  <c r="Y1066" i="7"/>
  <c r="D1067" i="7"/>
  <c r="E1067" i="7"/>
  <c r="F1067" i="7"/>
  <c r="G1067" i="7"/>
  <c r="H1067" i="7"/>
  <c r="I1067" i="7"/>
  <c r="J1067" i="7"/>
  <c r="K1067" i="7"/>
  <c r="L1067" i="7"/>
  <c r="M1067" i="7"/>
  <c r="N1067" i="7"/>
  <c r="P1067" i="7"/>
  <c r="O1067" i="7" s="1"/>
  <c r="Q1067" i="7"/>
  <c r="R1067" i="7"/>
  <c r="S1067" i="7"/>
  <c r="T1067" i="7"/>
  <c r="U1067" i="7"/>
  <c r="V1067" i="7"/>
  <c r="W1067" i="7"/>
  <c r="X1067" i="7"/>
  <c r="Y1067" i="7"/>
  <c r="D1068" i="7"/>
  <c r="E1068" i="7"/>
  <c r="F1068" i="7"/>
  <c r="G1068" i="7"/>
  <c r="H1068" i="7"/>
  <c r="I1068" i="7"/>
  <c r="J1068" i="7"/>
  <c r="K1068" i="7"/>
  <c r="L1068" i="7"/>
  <c r="M1068" i="7"/>
  <c r="N1068" i="7"/>
  <c r="P1068" i="7"/>
  <c r="O1068" i="7" s="1"/>
  <c r="Q1068" i="7"/>
  <c r="R1068" i="7"/>
  <c r="S1068" i="7"/>
  <c r="T1068" i="7"/>
  <c r="U1068" i="7"/>
  <c r="V1068" i="7"/>
  <c r="W1068" i="7"/>
  <c r="X1068" i="7"/>
  <c r="Y1068" i="7"/>
  <c r="D1069" i="7"/>
  <c r="E1069" i="7"/>
  <c r="F1069" i="7"/>
  <c r="G1069" i="7"/>
  <c r="H1069" i="7"/>
  <c r="I1069" i="7"/>
  <c r="J1069" i="7"/>
  <c r="K1069" i="7"/>
  <c r="L1069" i="7"/>
  <c r="M1069" i="7"/>
  <c r="N1069" i="7"/>
  <c r="P1069" i="7"/>
  <c r="O1069" i="7" s="1"/>
  <c r="Q1069" i="7"/>
  <c r="R1069" i="7"/>
  <c r="S1069" i="7"/>
  <c r="T1069" i="7"/>
  <c r="U1069" i="7"/>
  <c r="V1069" i="7"/>
  <c r="W1069" i="7"/>
  <c r="X1069" i="7"/>
  <c r="Y1069" i="7"/>
  <c r="D1070" i="7"/>
  <c r="E1070" i="7"/>
  <c r="F1070" i="7"/>
  <c r="G1070" i="7"/>
  <c r="H1070" i="7"/>
  <c r="I1070" i="7"/>
  <c r="J1070" i="7"/>
  <c r="K1070" i="7"/>
  <c r="L1070" i="7"/>
  <c r="M1070" i="7"/>
  <c r="N1070" i="7"/>
  <c r="P1070" i="7"/>
  <c r="O1070" i="7" s="1"/>
  <c r="Q1070" i="7"/>
  <c r="R1070" i="7"/>
  <c r="S1070" i="7"/>
  <c r="T1070" i="7"/>
  <c r="U1070" i="7"/>
  <c r="V1070" i="7"/>
  <c r="W1070" i="7"/>
  <c r="X1070" i="7"/>
  <c r="Y1070" i="7"/>
  <c r="D1071" i="7"/>
  <c r="E1071" i="7"/>
  <c r="F1071" i="7"/>
  <c r="G1071" i="7"/>
  <c r="H1071" i="7"/>
  <c r="I1071" i="7"/>
  <c r="J1071" i="7"/>
  <c r="K1071" i="7"/>
  <c r="L1071" i="7"/>
  <c r="M1071" i="7"/>
  <c r="N1071" i="7"/>
  <c r="P1071" i="7"/>
  <c r="O1071" i="7" s="1"/>
  <c r="Q1071" i="7"/>
  <c r="R1071" i="7"/>
  <c r="S1071" i="7"/>
  <c r="T1071" i="7"/>
  <c r="U1071" i="7"/>
  <c r="V1071" i="7"/>
  <c r="W1071" i="7"/>
  <c r="X1071" i="7"/>
  <c r="Y1071" i="7"/>
  <c r="D1072" i="7"/>
  <c r="E1072" i="7"/>
  <c r="F1072" i="7"/>
  <c r="G1072" i="7"/>
  <c r="H1072" i="7"/>
  <c r="I1072" i="7"/>
  <c r="J1072" i="7"/>
  <c r="K1072" i="7"/>
  <c r="L1072" i="7"/>
  <c r="M1072" i="7"/>
  <c r="N1072" i="7"/>
  <c r="P1072" i="7"/>
  <c r="O1072" i="7" s="1"/>
  <c r="Q1072" i="7"/>
  <c r="R1072" i="7"/>
  <c r="S1072" i="7"/>
  <c r="T1072" i="7"/>
  <c r="U1072" i="7"/>
  <c r="V1072" i="7"/>
  <c r="W1072" i="7"/>
  <c r="X1072" i="7"/>
  <c r="Y1072" i="7"/>
  <c r="D1073" i="7"/>
  <c r="E1073" i="7"/>
  <c r="F1073" i="7"/>
  <c r="G1073" i="7"/>
  <c r="H1073" i="7"/>
  <c r="I1073" i="7"/>
  <c r="J1073" i="7"/>
  <c r="K1073" i="7"/>
  <c r="L1073" i="7"/>
  <c r="M1073" i="7"/>
  <c r="N1073" i="7"/>
  <c r="P1073" i="7"/>
  <c r="O1073" i="7" s="1"/>
  <c r="Q1073" i="7"/>
  <c r="R1073" i="7"/>
  <c r="S1073" i="7"/>
  <c r="T1073" i="7"/>
  <c r="U1073" i="7"/>
  <c r="V1073" i="7"/>
  <c r="W1073" i="7"/>
  <c r="X1073" i="7"/>
  <c r="Y1073" i="7"/>
  <c r="D1074" i="7"/>
  <c r="E1074" i="7"/>
  <c r="F1074" i="7"/>
  <c r="G1074" i="7"/>
  <c r="H1074" i="7"/>
  <c r="I1074" i="7"/>
  <c r="J1074" i="7"/>
  <c r="K1074" i="7"/>
  <c r="L1074" i="7"/>
  <c r="M1074" i="7"/>
  <c r="N1074" i="7"/>
  <c r="P1074" i="7"/>
  <c r="O1074" i="7" s="1"/>
  <c r="Q1074" i="7"/>
  <c r="R1074" i="7"/>
  <c r="S1074" i="7"/>
  <c r="T1074" i="7"/>
  <c r="U1074" i="7"/>
  <c r="V1074" i="7"/>
  <c r="W1074" i="7"/>
  <c r="X1074" i="7"/>
  <c r="Y1074" i="7"/>
  <c r="D1075" i="7"/>
  <c r="E1075" i="7"/>
  <c r="F1075" i="7"/>
  <c r="G1075" i="7"/>
  <c r="H1075" i="7"/>
  <c r="I1075" i="7"/>
  <c r="J1075" i="7"/>
  <c r="K1075" i="7"/>
  <c r="L1075" i="7"/>
  <c r="M1075" i="7"/>
  <c r="N1075" i="7"/>
  <c r="P1075" i="7"/>
  <c r="O1075" i="7" s="1"/>
  <c r="Q1075" i="7"/>
  <c r="R1075" i="7"/>
  <c r="S1075" i="7"/>
  <c r="T1075" i="7"/>
  <c r="U1075" i="7"/>
  <c r="V1075" i="7"/>
  <c r="W1075" i="7"/>
  <c r="X1075" i="7"/>
  <c r="Y1075" i="7"/>
  <c r="D1076" i="7"/>
  <c r="E1076" i="7"/>
  <c r="F1076" i="7"/>
  <c r="G1076" i="7"/>
  <c r="H1076" i="7"/>
  <c r="I1076" i="7"/>
  <c r="J1076" i="7"/>
  <c r="K1076" i="7"/>
  <c r="L1076" i="7"/>
  <c r="M1076" i="7"/>
  <c r="N1076" i="7"/>
  <c r="P1076" i="7"/>
  <c r="O1076" i="7" s="1"/>
  <c r="Q1076" i="7"/>
  <c r="R1076" i="7"/>
  <c r="S1076" i="7"/>
  <c r="T1076" i="7"/>
  <c r="U1076" i="7"/>
  <c r="V1076" i="7"/>
  <c r="W1076" i="7"/>
  <c r="X1076" i="7"/>
  <c r="Y1076" i="7"/>
  <c r="D1077" i="7"/>
  <c r="E1077" i="7"/>
  <c r="F1077" i="7"/>
  <c r="G1077" i="7"/>
  <c r="H1077" i="7"/>
  <c r="I1077" i="7"/>
  <c r="J1077" i="7"/>
  <c r="K1077" i="7"/>
  <c r="L1077" i="7"/>
  <c r="M1077" i="7"/>
  <c r="N1077" i="7"/>
  <c r="P1077" i="7"/>
  <c r="O1077" i="7" s="1"/>
  <c r="Q1077" i="7"/>
  <c r="R1077" i="7"/>
  <c r="S1077" i="7"/>
  <c r="T1077" i="7"/>
  <c r="U1077" i="7"/>
  <c r="V1077" i="7"/>
  <c r="W1077" i="7"/>
  <c r="X1077" i="7"/>
  <c r="Y1077" i="7"/>
  <c r="D1078" i="7"/>
  <c r="E1078" i="7"/>
  <c r="F1078" i="7"/>
  <c r="G1078" i="7"/>
  <c r="H1078" i="7"/>
  <c r="I1078" i="7"/>
  <c r="J1078" i="7"/>
  <c r="K1078" i="7"/>
  <c r="L1078" i="7"/>
  <c r="M1078" i="7"/>
  <c r="N1078" i="7"/>
  <c r="P1078" i="7"/>
  <c r="O1078" i="7" s="1"/>
  <c r="Q1078" i="7"/>
  <c r="R1078" i="7"/>
  <c r="S1078" i="7"/>
  <c r="T1078" i="7"/>
  <c r="U1078" i="7"/>
  <c r="V1078" i="7"/>
  <c r="W1078" i="7"/>
  <c r="X1078" i="7"/>
  <c r="Y1078" i="7"/>
  <c r="D1079" i="7"/>
  <c r="E1079" i="7"/>
  <c r="F1079" i="7"/>
  <c r="G1079" i="7"/>
  <c r="H1079" i="7"/>
  <c r="I1079" i="7"/>
  <c r="J1079" i="7"/>
  <c r="K1079" i="7"/>
  <c r="L1079" i="7"/>
  <c r="M1079" i="7"/>
  <c r="N1079" i="7"/>
  <c r="P1079" i="7"/>
  <c r="O1079" i="7" s="1"/>
  <c r="Q1079" i="7"/>
  <c r="R1079" i="7"/>
  <c r="S1079" i="7"/>
  <c r="T1079" i="7"/>
  <c r="U1079" i="7"/>
  <c r="V1079" i="7"/>
  <c r="W1079" i="7"/>
  <c r="X1079" i="7"/>
  <c r="Y1079" i="7"/>
  <c r="D1080" i="7"/>
  <c r="E1080" i="7"/>
  <c r="F1080" i="7"/>
  <c r="G1080" i="7"/>
  <c r="H1080" i="7"/>
  <c r="I1080" i="7"/>
  <c r="J1080" i="7"/>
  <c r="K1080" i="7"/>
  <c r="L1080" i="7"/>
  <c r="M1080" i="7"/>
  <c r="N1080" i="7"/>
  <c r="P1080" i="7"/>
  <c r="O1080" i="7" s="1"/>
  <c r="Q1080" i="7"/>
  <c r="R1080" i="7"/>
  <c r="S1080" i="7"/>
  <c r="T1080" i="7"/>
  <c r="U1080" i="7"/>
  <c r="V1080" i="7"/>
  <c r="W1080" i="7"/>
  <c r="X1080" i="7"/>
  <c r="Y1080" i="7"/>
  <c r="D1081" i="7"/>
  <c r="E1081" i="7"/>
  <c r="F1081" i="7"/>
  <c r="G1081" i="7"/>
  <c r="H1081" i="7"/>
  <c r="I1081" i="7"/>
  <c r="J1081" i="7"/>
  <c r="K1081" i="7"/>
  <c r="L1081" i="7"/>
  <c r="M1081" i="7"/>
  <c r="N1081" i="7"/>
  <c r="P1081" i="7"/>
  <c r="O1081" i="7" s="1"/>
  <c r="Q1081" i="7"/>
  <c r="R1081" i="7"/>
  <c r="S1081" i="7"/>
  <c r="T1081" i="7"/>
  <c r="U1081" i="7"/>
  <c r="V1081" i="7"/>
  <c r="W1081" i="7"/>
  <c r="X1081" i="7"/>
  <c r="Y1081" i="7"/>
  <c r="D1082" i="7"/>
  <c r="E1082" i="7"/>
  <c r="F1082" i="7"/>
  <c r="G1082" i="7"/>
  <c r="H1082" i="7"/>
  <c r="I1082" i="7"/>
  <c r="J1082" i="7"/>
  <c r="K1082" i="7"/>
  <c r="L1082" i="7"/>
  <c r="M1082" i="7"/>
  <c r="N1082" i="7"/>
  <c r="P1082" i="7"/>
  <c r="O1082" i="7" s="1"/>
  <c r="Q1082" i="7"/>
  <c r="R1082" i="7"/>
  <c r="S1082" i="7"/>
  <c r="T1082" i="7"/>
  <c r="U1082" i="7"/>
  <c r="V1082" i="7"/>
  <c r="W1082" i="7"/>
  <c r="X1082" i="7"/>
  <c r="Y1082" i="7"/>
  <c r="D1083" i="7"/>
  <c r="E1083" i="7"/>
  <c r="F1083" i="7"/>
  <c r="G1083" i="7"/>
  <c r="H1083" i="7"/>
  <c r="I1083" i="7"/>
  <c r="J1083" i="7"/>
  <c r="K1083" i="7"/>
  <c r="L1083" i="7"/>
  <c r="M1083" i="7"/>
  <c r="N1083" i="7"/>
  <c r="P1083" i="7"/>
  <c r="O1083" i="7" s="1"/>
  <c r="Q1083" i="7"/>
  <c r="R1083" i="7"/>
  <c r="S1083" i="7"/>
  <c r="T1083" i="7"/>
  <c r="U1083" i="7"/>
  <c r="V1083" i="7"/>
  <c r="W1083" i="7"/>
  <c r="X1083" i="7"/>
  <c r="Y1083" i="7"/>
  <c r="D1084" i="7"/>
  <c r="E1084" i="7"/>
  <c r="F1084" i="7"/>
  <c r="G1084" i="7"/>
  <c r="H1084" i="7"/>
  <c r="I1084" i="7"/>
  <c r="J1084" i="7"/>
  <c r="K1084" i="7"/>
  <c r="L1084" i="7"/>
  <c r="M1084" i="7"/>
  <c r="N1084" i="7"/>
  <c r="P1084" i="7"/>
  <c r="O1084" i="7" s="1"/>
  <c r="Q1084" i="7"/>
  <c r="R1084" i="7"/>
  <c r="S1084" i="7"/>
  <c r="T1084" i="7"/>
  <c r="U1084" i="7"/>
  <c r="V1084" i="7"/>
  <c r="W1084" i="7"/>
  <c r="X1084" i="7"/>
  <c r="Y1084" i="7"/>
  <c r="D1085" i="7"/>
  <c r="E1085" i="7"/>
  <c r="F1085" i="7"/>
  <c r="G1085" i="7"/>
  <c r="H1085" i="7"/>
  <c r="I1085" i="7"/>
  <c r="J1085" i="7"/>
  <c r="K1085" i="7"/>
  <c r="L1085" i="7"/>
  <c r="M1085" i="7"/>
  <c r="N1085" i="7"/>
  <c r="P1085" i="7"/>
  <c r="O1085" i="7" s="1"/>
  <c r="Q1085" i="7"/>
  <c r="R1085" i="7"/>
  <c r="S1085" i="7"/>
  <c r="T1085" i="7"/>
  <c r="U1085" i="7"/>
  <c r="V1085" i="7"/>
  <c r="W1085" i="7"/>
  <c r="X1085" i="7"/>
  <c r="Y1085" i="7"/>
  <c r="D1086" i="7"/>
  <c r="E1086" i="7"/>
  <c r="F1086" i="7"/>
  <c r="G1086" i="7"/>
  <c r="H1086" i="7"/>
  <c r="I1086" i="7"/>
  <c r="J1086" i="7"/>
  <c r="K1086" i="7"/>
  <c r="L1086" i="7"/>
  <c r="M1086" i="7"/>
  <c r="N1086" i="7"/>
  <c r="P1086" i="7"/>
  <c r="O1086" i="7" s="1"/>
  <c r="Q1086" i="7"/>
  <c r="R1086" i="7"/>
  <c r="S1086" i="7"/>
  <c r="T1086" i="7"/>
  <c r="U1086" i="7"/>
  <c r="V1086" i="7"/>
  <c r="W1086" i="7"/>
  <c r="X1086" i="7"/>
  <c r="Y1086" i="7"/>
  <c r="D1087" i="7"/>
  <c r="E1087" i="7"/>
  <c r="F1087" i="7"/>
  <c r="G1087" i="7"/>
  <c r="H1087" i="7"/>
  <c r="I1087" i="7"/>
  <c r="J1087" i="7"/>
  <c r="K1087" i="7"/>
  <c r="L1087" i="7"/>
  <c r="M1087" i="7"/>
  <c r="N1087" i="7"/>
  <c r="P1087" i="7"/>
  <c r="O1087" i="7" s="1"/>
  <c r="Q1087" i="7"/>
  <c r="R1087" i="7"/>
  <c r="S1087" i="7"/>
  <c r="T1087" i="7"/>
  <c r="U1087" i="7"/>
  <c r="V1087" i="7"/>
  <c r="W1087" i="7"/>
  <c r="X1087" i="7"/>
  <c r="Y1087" i="7"/>
  <c r="D1088" i="7"/>
  <c r="E1088" i="7"/>
  <c r="F1088" i="7"/>
  <c r="G1088" i="7"/>
  <c r="H1088" i="7"/>
  <c r="I1088" i="7"/>
  <c r="J1088" i="7"/>
  <c r="K1088" i="7"/>
  <c r="L1088" i="7"/>
  <c r="M1088" i="7"/>
  <c r="N1088" i="7"/>
  <c r="P1088" i="7"/>
  <c r="O1088" i="7" s="1"/>
  <c r="Q1088" i="7"/>
  <c r="R1088" i="7"/>
  <c r="S1088" i="7"/>
  <c r="T1088" i="7"/>
  <c r="U1088" i="7"/>
  <c r="V1088" i="7"/>
  <c r="W1088" i="7"/>
  <c r="X1088" i="7"/>
  <c r="Y1088" i="7"/>
  <c r="D1089" i="7"/>
  <c r="E1089" i="7"/>
  <c r="F1089" i="7"/>
  <c r="G1089" i="7"/>
  <c r="H1089" i="7"/>
  <c r="I1089" i="7"/>
  <c r="J1089" i="7"/>
  <c r="K1089" i="7"/>
  <c r="L1089" i="7"/>
  <c r="M1089" i="7"/>
  <c r="N1089" i="7"/>
  <c r="P1089" i="7"/>
  <c r="O1089" i="7" s="1"/>
  <c r="Q1089" i="7"/>
  <c r="R1089" i="7"/>
  <c r="S1089" i="7"/>
  <c r="T1089" i="7"/>
  <c r="U1089" i="7"/>
  <c r="V1089" i="7"/>
  <c r="W1089" i="7"/>
  <c r="X1089" i="7"/>
  <c r="Y1089" i="7"/>
  <c r="D1090" i="7"/>
  <c r="E1090" i="7"/>
  <c r="F1090" i="7"/>
  <c r="G1090" i="7"/>
  <c r="H1090" i="7"/>
  <c r="I1090" i="7"/>
  <c r="J1090" i="7"/>
  <c r="K1090" i="7"/>
  <c r="L1090" i="7"/>
  <c r="M1090" i="7"/>
  <c r="N1090" i="7"/>
  <c r="P1090" i="7"/>
  <c r="O1090" i="7" s="1"/>
  <c r="Q1090" i="7"/>
  <c r="R1090" i="7"/>
  <c r="S1090" i="7"/>
  <c r="T1090" i="7"/>
  <c r="U1090" i="7"/>
  <c r="V1090" i="7"/>
  <c r="W1090" i="7"/>
  <c r="X1090" i="7"/>
  <c r="Y1090" i="7"/>
  <c r="D1091" i="7"/>
  <c r="E1091" i="7"/>
  <c r="F1091" i="7"/>
  <c r="G1091" i="7"/>
  <c r="H1091" i="7"/>
  <c r="I1091" i="7"/>
  <c r="J1091" i="7"/>
  <c r="K1091" i="7"/>
  <c r="L1091" i="7"/>
  <c r="M1091" i="7"/>
  <c r="N1091" i="7"/>
  <c r="P1091" i="7"/>
  <c r="O1091" i="7" s="1"/>
  <c r="Q1091" i="7"/>
  <c r="R1091" i="7"/>
  <c r="S1091" i="7"/>
  <c r="T1091" i="7"/>
  <c r="U1091" i="7"/>
  <c r="V1091" i="7"/>
  <c r="W1091" i="7"/>
  <c r="X1091" i="7"/>
  <c r="Y1091" i="7"/>
  <c r="D1092" i="7"/>
  <c r="E1092" i="7"/>
  <c r="F1092" i="7"/>
  <c r="G1092" i="7"/>
  <c r="H1092" i="7"/>
  <c r="I1092" i="7"/>
  <c r="J1092" i="7"/>
  <c r="K1092" i="7"/>
  <c r="L1092" i="7"/>
  <c r="M1092" i="7"/>
  <c r="N1092" i="7"/>
  <c r="P1092" i="7"/>
  <c r="O1092" i="7" s="1"/>
  <c r="Q1092" i="7"/>
  <c r="R1092" i="7"/>
  <c r="S1092" i="7"/>
  <c r="T1092" i="7"/>
  <c r="U1092" i="7"/>
  <c r="V1092" i="7"/>
  <c r="W1092" i="7"/>
  <c r="X1092" i="7"/>
  <c r="Y1092" i="7"/>
  <c r="D1093" i="7"/>
  <c r="E1093" i="7"/>
  <c r="F1093" i="7"/>
  <c r="G1093" i="7"/>
  <c r="H1093" i="7"/>
  <c r="I1093" i="7"/>
  <c r="J1093" i="7"/>
  <c r="K1093" i="7"/>
  <c r="L1093" i="7"/>
  <c r="M1093" i="7"/>
  <c r="N1093" i="7"/>
  <c r="P1093" i="7"/>
  <c r="O1093" i="7" s="1"/>
  <c r="Q1093" i="7"/>
  <c r="R1093" i="7"/>
  <c r="S1093" i="7"/>
  <c r="T1093" i="7"/>
  <c r="U1093" i="7"/>
  <c r="V1093" i="7"/>
  <c r="W1093" i="7"/>
  <c r="X1093" i="7"/>
  <c r="Y1093" i="7"/>
  <c r="D1094" i="7"/>
  <c r="E1094" i="7"/>
  <c r="F1094" i="7"/>
  <c r="G1094" i="7"/>
  <c r="H1094" i="7"/>
  <c r="I1094" i="7"/>
  <c r="J1094" i="7"/>
  <c r="K1094" i="7"/>
  <c r="L1094" i="7"/>
  <c r="M1094" i="7"/>
  <c r="N1094" i="7"/>
  <c r="P1094" i="7"/>
  <c r="O1094" i="7" s="1"/>
  <c r="Q1094" i="7"/>
  <c r="R1094" i="7"/>
  <c r="S1094" i="7"/>
  <c r="T1094" i="7"/>
  <c r="U1094" i="7"/>
  <c r="V1094" i="7"/>
  <c r="W1094" i="7"/>
  <c r="X1094" i="7"/>
  <c r="Y1094" i="7"/>
  <c r="D1095" i="7"/>
  <c r="E1095" i="7"/>
  <c r="F1095" i="7"/>
  <c r="G1095" i="7"/>
  <c r="H1095" i="7"/>
  <c r="I1095" i="7"/>
  <c r="J1095" i="7"/>
  <c r="K1095" i="7"/>
  <c r="L1095" i="7"/>
  <c r="M1095" i="7"/>
  <c r="N1095" i="7"/>
  <c r="P1095" i="7"/>
  <c r="O1095" i="7" s="1"/>
  <c r="Q1095" i="7"/>
  <c r="R1095" i="7"/>
  <c r="S1095" i="7"/>
  <c r="T1095" i="7"/>
  <c r="U1095" i="7"/>
  <c r="V1095" i="7"/>
  <c r="W1095" i="7"/>
  <c r="X1095" i="7"/>
  <c r="Y1095" i="7"/>
  <c r="D1096" i="7"/>
  <c r="E1096" i="7"/>
  <c r="F1096" i="7"/>
  <c r="G1096" i="7"/>
  <c r="H1096" i="7"/>
  <c r="I1096" i="7"/>
  <c r="J1096" i="7"/>
  <c r="K1096" i="7"/>
  <c r="L1096" i="7"/>
  <c r="M1096" i="7"/>
  <c r="N1096" i="7"/>
  <c r="P1096" i="7"/>
  <c r="O1096" i="7" s="1"/>
  <c r="Q1096" i="7"/>
  <c r="R1096" i="7"/>
  <c r="S1096" i="7"/>
  <c r="T1096" i="7"/>
  <c r="U1096" i="7"/>
  <c r="V1096" i="7"/>
  <c r="W1096" i="7"/>
  <c r="X1096" i="7"/>
  <c r="Y1096" i="7"/>
  <c r="D1097" i="7"/>
  <c r="E1097" i="7"/>
  <c r="F1097" i="7"/>
  <c r="G1097" i="7"/>
  <c r="H1097" i="7"/>
  <c r="I1097" i="7"/>
  <c r="J1097" i="7"/>
  <c r="K1097" i="7"/>
  <c r="L1097" i="7"/>
  <c r="M1097" i="7"/>
  <c r="N1097" i="7"/>
  <c r="P1097" i="7"/>
  <c r="O1097" i="7" s="1"/>
  <c r="Q1097" i="7"/>
  <c r="R1097" i="7"/>
  <c r="S1097" i="7"/>
  <c r="T1097" i="7"/>
  <c r="U1097" i="7"/>
  <c r="V1097" i="7"/>
  <c r="W1097" i="7"/>
  <c r="X1097" i="7"/>
  <c r="Y1097" i="7"/>
  <c r="D1098" i="7"/>
  <c r="E1098" i="7"/>
  <c r="F1098" i="7"/>
  <c r="G1098" i="7"/>
  <c r="H1098" i="7"/>
  <c r="I1098" i="7"/>
  <c r="J1098" i="7"/>
  <c r="K1098" i="7"/>
  <c r="L1098" i="7"/>
  <c r="M1098" i="7"/>
  <c r="N1098" i="7"/>
  <c r="P1098" i="7"/>
  <c r="O1098" i="7" s="1"/>
  <c r="Q1098" i="7"/>
  <c r="R1098" i="7"/>
  <c r="S1098" i="7"/>
  <c r="T1098" i="7"/>
  <c r="U1098" i="7"/>
  <c r="V1098" i="7"/>
  <c r="W1098" i="7"/>
  <c r="X1098" i="7"/>
  <c r="Y1098" i="7"/>
  <c r="D1099" i="7"/>
  <c r="E1099" i="7"/>
  <c r="F1099" i="7"/>
  <c r="G1099" i="7"/>
  <c r="H1099" i="7"/>
  <c r="I1099" i="7"/>
  <c r="J1099" i="7"/>
  <c r="K1099" i="7"/>
  <c r="L1099" i="7"/>
  <c r="M1099" i="7"/>
  <c r="N1099" i="7"/>
  <c r="P1099" i="7"/>
  <c r="O1099" i="7" s="1"/>
  <c r="Q1099" i="7"/>
  <c r="R1099" i="7"/>
  <c r="S1099" i="7"/>
  <c r="T1099" i="7"/>
  <c r="U1099" i="7"/>
  <c r="V1099" i="7"/>
  <c r="W1099" i="7"/>
  <c r="X1099" i="7"/>
  <c r="Y1099" i="7"/>
  <c r="D1100" i="7"/>
  <c r="E1100" i="7"/>
  <c r="F1100" i="7"/>
  <c r="G1100" i="7"/>
  <c r="H1100" i="7"/>
  <c r="I1100" i="7"/>
  <c r="J1100" i="7"/>
  <c r="K1100" i="7"/>
  <c r="L1100" i="7"/>
  <c r="M1100" i="7"/>
  <c r="N1100" i="7"/>
  <c r="P1100" i="7"/>
  <c r="O1100" i="7" s="1"/>
  <c r="Q1100" i="7"/>
  <c r="R1100" i="7"/>
  <c r="S1100" i="7"/>
  <c r="T1100" i="7"/>
  <c r="U1100" i="7"/>
  <c r="V1100" i="7"/>
  <c r="W1100" i="7"/>
  <c r="X1100" i="7"/>
  <c r="Y1100" i="7"/>
  <c r="D1101" i="7"/>
  <c r="E1101" i="7"/>
  <c r="F1101" i="7"/>
  <c r="G1101" i="7"/>
  <c r="H1101" i="7"/>
  <c r="I1101" i="7"/>
  <c r="J1101" i="7"/>
  <c r="K1101" i="7"/>
  <c r="L1101" i="7"/>
  <c r="M1101" i="7"/>
  <c r="N1101" i="7"/>
  <c r="P1101" i="7"/>
  <c r="O1101" i="7" s="1"/>
  <c r="Q1101" i="7"/>
  <c r="R1101" i="7"/>
  <c r="S1101" i="7"/>
  <c r="T1101" i="7"/>
  <c r="U1101" i="7"/>
  <c r="V1101" i="7"/>
  <c r="W1101" i="7"/>
  <c r="X1101" i="7"/>
  <c r="Y1101" i="7"/>
  <c r="D1102" i="7"/>
  <c r="E1102" i="7"/>
  <c r="F1102" i="7"/>
  <c r="G1102" i="7"/>
  <c r="H1102" i="7"/>
  <c r="I1102" i="7"/>
  <c r="J1102" i="7"/>
  <c r="K1102" i="7"/>
  <c r="L1102" i="7"/>
  <c r="M1102" i="7"/>
  <c r="N1102" i="7"/>
  <c r="P1102" i="7"/>
  <c r="O1102" i="7" s="1"/>
  <c r="Q1102" i="7"/>
  <c r="R1102" i="7"/>
  <c r="S1102" i="7"/>
  <c r="T1102" i="7"/>
  <c r="U1102" i="7"/>
  <c r="V1102" i="7"/>
  <c r="W1102" i="7"/>
  <c r="X1102" i="7"/>
  <c r="Y1102" i="7"/>
  <c r="D1103" i="7"/>
  <c r="E1103" i="7"/>
  <c r="F1103" i="7"/>
  <c r="G1103" i="7"/>
  <c r="H1103" i="7"/>
  <c r="I1103" i="7"/>
  <c r="J1103" i="7"/>
  <c r="K1103" i="7"/>
  <c r="L1103" i="7"/>
  <c r="M1103" i="7"/>
  <c r="N1103" i="7"/>
  <c r="P1103" i="7"/>
  <c r="O1103" i="7" s="1"/>
  <c r="Q1103" i="7"/>
  <c r="R1103" i="7"/>
  <c r="S1103" i="7"/>
  <c r="T1103" i="7"/>
  <c r="U1103" i="7"/>
  <c r="V1103" i="7"/>
  <c r="W1103" i="7"/>
  <c r="X1103" i="7"/>
  <c r="Y1103" i="7"/>
  <c r="D1104" i="7"/>
  <c r="E1104" i="7"/>
  <c r="F1104" i="7"/>
  <c r="G1104" i="7"/>
  <c r="H1104" i="7"/>
  <c r="I1104" i="7"/>
  <c r="J1104" i="7"/>
  <c r="K1104" i="7"/>
  <c r="L1104" i="7"/>
  <c r="M1104" i="7"/>
  <c r="N1104" i="7"/>
  <c r="P1104" i="7"/>
  <c r="O1104" i="7" s="1"/>
  <c r="Q1104" i="7"/>
  <c r="R1104" i="7"/>
  <c r="S1104" i="7"/>
  <c r="T1104" i="7"/>
  <c r="U1104" i="7"/>
  <c r="V1104" i="7"/>
  <c r="W1104" i="7"/>
  <c r="X1104" i="7"/>
  <c r="Y1104" i="7"/>
  <c r="D1105" i="7"/>
  <c r="E1105" i="7"/>
  <c r="F1105" i="7"/>
  <c r="G1105" i="7"/>
  <c r="H1105" i="7"/>
  <c r="I1105" i="7"/>
  <c r="J1105" i="7"/>
  <c r="K1105" i="7"/>
  <c r="L1105" i="7"/>
  <c r="M1105" i="7"/>
  <c r="N1105" i="7"/>
  <c r="P1105" i="7"/>
  <c r="O1105" i="7" s="1"/>
  <c r="Q1105" i="7"/>
  <c r="R1105" i="7"/>
  <c r="S1105" i="7"/>
  <c r="T1105" i="7"/>
  <c r="U1105" i="7"/>
  <c r="V1105" i="7"/>
  <c r="W1105" i="7"/>
  <c r="X1105" i="7"/>
  <c r="Y1105" i="7"/>
  <c r="D1106" i="7"/>
  <c r="E1106" i="7"/>
  <c r="F1106" i="7"/>
  <c r="G1106" i="7"/>
  <c r="H1106" i="7"/>
  <c r="I1106" i="7"/>
  <c r="J1106" i="7"/>
  <c r="K1106" i="7"/>
  <c r="L1106" i="7"/>
  <c r="M1106" i="7"/>
  <c r="N1106" i="7"/>
  <c r="P1106" i="7"/>
  <c r="O1106" i="7" s="1"/>
  <c r="Q1106" i="7"/>
  <c r="R1106" i="7"/>
  <c r="S1106" i="7"/>
  <c r="T1106" i="7"/>
  <c r="U1106" i="7"/>
  <c r="V1106" i="7"/>
  <c r="W1106" i="7"/>
  <c r="X1106" i="7"/>
  <c r="Y1106" i="7"/>
  <c r="D1107" i="7"/>
  <c r="E1107" i="7"/>
  <c r="F1107" i="7"/>
  <c r="G1107" i="7"/>
  <c r="H1107" i="7"/>
  <c r="I1107" i="7"/>
  <c r="J1107" i="7"/>
  <c r="K1107" i="7"/>
  <c r="L1107" i="7"/>
  <c r="M1107" i="7"/>
  <c r="N1107" i="7"/>
  <c r="P1107" i="7"/>
  <c r="O1107" i="7" s="1"/>
  <c r="Q1107" i="7"/>
  <c r="R1107" i="7"/>
  <c r="S1107" i="7"/>
  <c r="T1107" i="7"/>
  <c r="U1107" i="7"/>
  <c r="V1107" i="7"/>
  <c r="W1107" i="7"/>
  <c r="X1107" i="7"/>
  <c r="Y1107" i="7"/>
  <c r="D1108" i="7"/>
  <c r="E1108" i="7"/>
  <c r="F1108" i="7"/>
  <c r="G1108" i="7"/>
  <c r="H1108" i="7"/>
  <c r="I1108" i="7"/>
  <c r="J1108" i="7"/>
  <c r="K1108" i="7"/>
  <c r="L1108" i="7"/>
  <c r="M1108" i="7"/>
  <c r="N1108" i="7"/>
  <c r="P1108" i="7"/>
  <c r="O1108" i="7" s="1"/>
  <c r="Q1108" i="7"/>
  <c r="R1108" i="7"/>
  <c r="S1108" i="7"/>
  <c r="T1108" i="7"/>
  <c r="U1108" i="7"/>
  <c r="V1108" i="7"/>
  <c r="W1108" i="7"/>
  <c r="X1108" i="7"/>
  <c r="Y1108" i="7"/>
  <c r="D1109" i="7"/>
  <c r="E1109" i="7"/>
  <c r="F1109" i="7"/>
  <c r="G1109" i="7"/>
  <c r="H1109" i="7"/>
  <c r="I1109" i="7"/>
  <c r="J1109" i="7"/>
  <c r="K1109" i="7"/>
  <c r="L1109" i="7"/>
  <c r="M1109" i="7"/>
  <c r="N1109" i="7"/>
  <c r="P1109" i="7"/>
  <c r="O1109" i="7" s="1"/>
  <c r="Q1109" i="7"/>
  <c r="R1109" i="7"/>
  <c r="S1109" i="7"/>
  <c r="T1109" i="7"/>
  <c r="U1109" i="7"/>
  <c r="V1109" i="7"/>
  <c r="W1109" i="7"/>
  <c r="X1109" i="7"/>
  <c r="Y1109" i="7"/>
  <c r="D1110" i="7"/>
  <c r="E1110" i="7"/>
  <c r="F1110" i="7"/>
  <c r="G1110" i="7"/>
  <c r="H1110" i="7"/>
  <c r="I1110" i="7"/>
  <c r="J1110" i="7"/>
  <c r="K1110" i="7"/>
  <c r="L1110" i="7"/>
  <c r="M1110" i="7"/>
  <c r="N1110" i="7"/>
  <c r="P1110" i="7"/>
  <c r="O1110" i="7" s="1"/>
  <c r="Q1110" i="7"/>
  <c r="R1110" i="7"/>
  <c r="S1110" i="7"/>
  <c r="T1110" i="7"/>
  <c r="U1110" i="7"/>
  <c r="V1110" i="7"/>
  <c r="W1110" i="7"/>
  <c r="X1110" i="7"/>
  <c r="Y1110" i="7"/>
  <c r="D1111" i="7"/>
  <c r="E1111" i="7"/>
  <c r="F1111" i="7"/>
  <c r="G1111" i="7"/>
  <c r="H1111" i="7"/>
  <c r="I1111" i="7"/>
  <c r="J1111" i="7"/>
  <c r="K1111" i="7"/>
  <c r="L1111" i="7"/>
  <c r="M1111" i="7"/>
  <c r="N1111" i="7"/>
  <c r="P1111" i="7"/>
  <c r="O1111" i="7" s="1"/>
  <c r="Q1111" i="7"/>
  <c r="R1111" i="7"/>
  <c r="S1111" i="7"/>
  <c r="T1111" i="7"/>
  <c r="U1111" i="7"/>
  <c r="V1111" i="7"/>
  <c r="W1111" i="7"/>
  <c r="X1111" i="7"/>
  <c r="Y1111" i="7"/>
  <c r="D1112" i="7"/>
  <c r="E1112" i="7"/>
  <c r="F1112" i="7"/>
  <c r="G1112" i="7"/>
  <c r="H1112" i="7"/>
  <c r="I1112" i="7"/>
  <c r="J1112" i="7"/>
  <c r="K1112" i="7"/>
  <c r="L1112" i="7"/>
  <c r="M1112" i="7"/>
  <c r="N1112" i="7"/>
  <c r="P1112" i="7"/>
  <c r="O1112" i="7" s="1"/>
  <c r="Q1112" i="7"/>
  <c r="R1112" i="7"/>
  <c r="S1112" i="7"/>
  <c r="T1112" i="7"/>
  <c r="U1112" i="7"/>
  <c r="V1112" i="7"/>
  <c r="W1112" i="7"/>
  <c r="X1112" i="7"/>
  <c r="Y1112" i="7"/>
  <c r="D1113" i="7"/>
  <c r="E1113" i="7"/>
  <c r="F1113" i="7"/>
  <c r="G1113" i="7"/>
  <c r="H1113" i="7"/>
  <c r="I1113" i="7"/>
  <c r="J1113" i="7"/>
  <c r="K1113" i="7"/>
  <c r="L1113" i="7"/>
  <c r="M1113" i="7"/>
  <c r="N1113" i="7"/>
  <c r="P1113" i="7"/>
  <c r="O1113" i="7" s="1"/>
  <c r="Q1113" i="7"/>
  <c r="R1113" i="7"/>
  <c r="S1113" i="7"/>
  <c r="T1113" i="7"/>
  <c r="U1113" i="7"/>
  <c r="V1113" i="7"/>
  <c r="W1113" i="7"/>
  <c r="X1113" i="7"/>
  <c r="Y1113" i="7"/>
  <c r="D1114" i="7"/>
  <c r="E1114" i="7"/>
  <c r="F1114" i="7"/>
  <c r="G1114" i="7"/>
  <c r="H1114" i="7"/>
  <c r="I1114" i="7"/>
  <c r="J1114" i="7"/>
  <c r="K1114" i="7"/>
  <c r="L1114" i="7"/>
  <c r="M1114" i="7"/>
  <c r="N1114" i="7"/>
  <c r="P1114" i="7"/>
  <c r="O1114" i="7" s="1"/>
  <c r="Q1114" i="7"/>
  <c r="R1114" i="7"/>
  <c r="S1114" i="7"/>
  <c r="T1114" i="7"/>
  <c r="U1114" i="7"/>
  <c r="V1114" i="7"/>
  <c r="W1114" i="7"/>
  <c r="X1114" i="7"/>
  <c r="Y1114" i="7"/>
  <c r="D1115" i="7"/>
  <c r="E1115" i="7"/>
  <c r="F1115" i="7"/>
  <c r="G1115" i="7"/>
  <c r="H1115" i="7"/>
  <c r="I1115" i="7"/>
  <c r="J1115" i="7"/>
  <c r="K1115" i="7"/>
  <c r="L1115" i="7"/>
  <c r="M1115" i="7"/>
  <c r="N1115" i="7"/>
  <c r="P1115" i="7"/>
  <c r="O1115" i="7" s="1"/>
  <c r="Q1115" i="7"/>
  <c r="R1115" i="7"/>
  <c r="S1115" i="7"/>
  <c r="T1115" i="7"/>
  <c r="U1115" i="7"/>
  <c r="V1115" i="7"/>
  <c r="W1115" i="7"/>
  <c r="X1115" i="7"/>
  <c r="Y1115" i="7"/>
  <c r="D1116" i="7"/>
  <c r="E1116" i="7"/>
  <c r="F1116" i="7"/>
  <c r="G1116" i="7"/>
  <c r="H1116" i="7"/>
  <c r="I1116" i="7"/>
  <c r="J1116" i="7"/>
  <c r="K1116" i="7"/>
  <c r="L1116" i="7"/>
  <c r="M1116" i="7"/>
  <c r="N1116" i="7"/>
  <c r="P1116" i="7"/>
  <c r="O1116" i="7" s="1"/>
  <c r="Q1116" i="7"/>
  <c r="R1116" i="7"/>
  <c r="S1116" i="7"/>
  <c r="T1116" i="7"/>
  <c r="U1116" i="7"/>
  <c r="V1116" i="7"/>
  <c r="W1116" i="7"/>
  <c r="X1116" i="7"/>
  <c r="Y1116" i="7"/>
  <c r="D1117" i="7"/>
  <c r="E1117" i="7"/>
  <c r="F1117" i="7"/>
  <c r="G1117" i="7"/>
  <c r="H1117" i="7"/>
  <c r="I1117" i="7"/>
  <c r="J1117" i="7"/>
  <c r="K1117" i="7"/>
  <c r="L1117" i="7"/>
  <c r="M1117" i="7"/>
  <c r="N1117" i="7"/>
  <c r="P1117" i="7"/>
  <c r="O1117" i="7" s="1"/>
  <c r="Q1117" i="7"/>
  <c r="R1117" i="7"/>
  <c r="S1117" i="7"/>
  <c r="T1117" i="7"/>
  <c r="U1117" i="7"/>
  <c r="V1117" i="7"/>
  <c r="W1117" i="7"/>
  <c r="X1117" i="7"/>
  <c r="Y1117" i="7"/>
  <c r="D1118" i="7"/>
  <c r="E1118" i="7"/>
  <c r="F1118" i="7"/>
  <c r="G1118" i="7"/>
  <c r="H1118" i="7"/>
  <c r="I1118" i="7"/>
  <c r="J1118" i="7"/>
  <c r="K1118" i="7"/>
  <c r="L1118" i="7"/>
  <c r="M1118" i="7"/>
  <c r="N1118" i="7"/>
  <c r="P1118" i="7"/>
  <c r="O1118" i="7" s="1"/>
  <c r="Q1118" i="7"/>
  <c r="R1118" i="7"/>
  <c r="S1118" i="7"/>
  <c r="T1118" i="7"/>
  <c r="U1118" i="7"/>
  <c r="V1118" i="7"/>
  <c r="W1118" i="7"/>
  <c r="X1118" i="7"/>
  <c r="Y1118" i="7"/>
  <c r="D1119" i="7"/>
  <c r="E1119" i="7"/>
  <c r="F1119" i="7"/>
  <c r="G1119" i="7"/>
  <c r="H1119" i="7"/>
  <c r="I1119" i="7"/>
  <c r="J1119" i="7"/>
  <c r="K1119" i="7"/>
  <c r="L1119" i="7"/>
  <c r="M1119" i="7"/>
  <c r="N1119" i="7"/>
  <c r="P1119" i="7"/>
  <c r="O1119" i="7" s="1"/>
  <c r="Q1119" i="7"/>
  <c r="R1119" i="7"/>
  <c r="S1119" i="7"/>
  <c r="T1119" i="7"/>
  <c r="U1119" i="7"/>
  <c r="V1119" i="7"/>
  <c r="W1119" i="7"/>
  <c r="X1119" i="7"/>
  <c r="Y1119" i="7"/>
  <c r="D1120" i="7"/>
  <c r="E1120" i="7"/>
  <c r="F1120" i="7"/>
  <c r="G1120" i="7"/>
  <c r="H1120" i="7"/>
  <c r="I1120" i="7"/>
  <c r="J1120" i="7"/>
  <c r="K1120" i="7"/>
  <c r="L1120" i="7"/>
  <c r="M1120" i="7"/>
  <c r="N1120" i="7"/>
  <c r="P1120" i="7"/>
  <c r="O1120" i="7" s="1"/>
  <c r="Q1120" i="7"/>
  <c r="R1120" i="7"/>
  <c r="S1120" i="7"/>
  <c r="T1120" i="7"/>
  <c r="U1120" i="7"/>
  <c r="V1120" i="7"/>
  <c r="W1120" i="7"/>
  <c r="X1120" i="7"/>
  <c r="Y1120" i="7"/>
  <c r="D1121" i="7"/>
  <c r="E1121" i="7"/>
  <c r="F1121" i="7"/>
  <c r="G1121" i="7"/>
  <c r="H1121" i="7"/>
  <c r="I1121" i="7"/>
  <c r="J1121" i="7"/>
  <c r="K1121" i="7"/>
  <c r="L1121" i="7"/>
  <c r="M1121" i="7"/>
  <c r="N1121" i="7"/>
  <c r="P1121" i="7"/>
  <c r="O1121" i="7" s="1"/>
  <c r="Q1121" i="7"/>
  <c r="R1121" i="7"/>
  <c r="S1121" i="7"/>
  <c r="T1121" i="7"/>
  <c r="U1121" i="7"/>
  <c r="V1121" i="7"/>
  <c r="W1121" i="7"/>
  <c r="X1121" i="7"/>
  <c r="Y1121" i="7"/>
  <c r="D1122" i="7"/>
  <c r="E1122" i="7"/>
  <c r="F1122" i="7"/>
  <c r="G1122" i="7"/>
  <c r="H1122" i="7"/>
  <c r="I1122" i="7"/>
  <c r="J1122" i="7"/>
  <c r="K1122" i="7"/>
  <c r="L1122" i="7"/>
  <c r="M1122" i="7"/>
  <c r="N1122" i="7"/>
  <c r="P1122" i="7"/>
  <c r="O1122" i="7" s="1"/>
  <c r="Q1122" i="7"/>
  <c r="R1122" i="7"/>
  <c r="S1122" i="7"/>
  <c r="T1122" i="7"/>
  <c r="U1122" i="7"/>
  <c r="V1122" i="7"/>
  <c r="W1122" i="7"/>
  <c r="X1122" i="7"/>
  <c r="Y1122" i="7"/>
  <c r="D1123" i="7"/>
  <c r="E1123" i="7"/>
  <c r="F1123" i="7"/>
  <c r="G1123" i="7"/>
  <c r="H1123" i="7"/>
  <c r="I1123" i="7"/>
  <c r="J1123" i="7"/>
  <c r="K1123" i="7"/>
  <c r="L1123" i="7"/>
  <c r="M1123" i="7"/>
  <c r="N1123" i="7"/>
  <c r="P1123" i="7"/>
  <c r="O1123" i="7" s="1"/>
  <c r="Q1123" i="7"/>
  <c r="R1123" i="7"/>
  <c r="S1123" i="7"/>
  <c r="T1123" i="7"/>
  <c r="U1123" i="7"/>
  <c r="V1123" i="7"/>
  <c r="W1123" i="7"/>
  <c r="X1123" i="7"/>
  <c r="Y1123" i="7"/>
  <c r="D1124" i="7"/>
  <c r="E1124" i="7"/>
  <c r="F1124" i="7"/>
  <c r="G1124" i="7"/>
  <c r="H1124" i="7"/>
  <c r="I1124" i="7"/>
  <c r="J1124" i="7"/>
  <c r="K1124" i="7"/>
  <c r="L1124" i="7"/>
  <c r="M1124" i="7"/>
  <c r="N1124" i="7"/>
  <c r="P1124" i="7"/>
  <c r="O1124" i="7" s="1"/>
  <c r="Q1124" i="7"/>
  <c r="R1124" i="7"/>
  <c r="S1124" i="7"/>
  <c r="T1124" i="7"/>
  <c r="U1124" i="7"/>
  <c r="V1124" i="7"/>
  <c r="W1124" i="7"/>
  <c r="X1124" i="7"/>
  <c r="Y1124" i="7"/>
  <c r="D1125" i="7"/>
  <c r="E1125" i="7"/>
  <c r="F1125" i="7"/>
  <c r="G1125" i="7"/>
  <c r="H1125" i="7"/>
  <c r="I1125" i="7"/>
  <c r="J1125" i="7"/>
  <c r="K1125" i="7"/>
  <c r="L1125" i="7"/>
  <c r="M1125" i="7"/>
  <c r="N1125" i="7"/>
  <c r="P1125" i="7"/>
  <c r="O1125" i="7" s="1"/>
  <c r="Q1125" i="7"/>
  <c r="R1125" i="7"/>
  <c r="S1125" i="7"/>
  <c r="T1125" i="7"/>
  <c r="U1125" i="7"/>
  <c r="V1125" i="7"/>
  <c r="W1125" i="7"/>
  <c r="X1125" i="7"/>
  <c r="Y1125" i="7"/>
  <c r="D1126" i="7"/>
  <c r="E1126" i="7"/>
  <c r="F1126" i="7"/>
  <c r="G1126" i="7"/>
  <c r="H1126" i="7"/>
  <c r="I1126" i="7"/>
  <c r="J1126" i="7"/>
  <c r="K1126" i="7"/>
  <c r="L1126" i="7"/>
  <c r="M1126" i="7"/>
  <c r="N1126" i="7"/>
  <c r="P1126" i="7"/>
  <c r="O1126" i="7" s="1"/>
  <c r="Q1126" i="7"/>
  <c r="R1126" i="7"/>
  <c r="S1126" i="7"/>
  <c r="T1126" i="7"/>
  <c r="U1126" i="7"/>
  <c r="V1126" i="7"/>
  <c r="W1126" i="7"/>
  <c r="X1126" i="7"/>
  <c r="Y1126" i="7"/>
  <c r="D1127" i="7"/>
  <c r="E1127" i="7"/>
  <c r="F1127" i="7"/>
  <c r="G1127" i="7"/>
  <c r="H1127" i="7"/>
  <c r="I1127" i="7"/>
  <c r="J1127" i="7"/>
  <c r="K1127" i="7"/>
  <c r="L1127" i="7"/>
  <c r="M1127" i="7"/>
  <c r="N1127" i="7"/>
  <c r="P1127" i="7"/>
  <c r="O1127" i="7" s="1"/>
  <c r="Q1127" i="7"/>
  <c r="R1127" i="7"/>
  <c r="S1127" i="7"/>
  <c r="T1127" i="7"/>
  <c r="U1127" i="7"/>
  <c r="V1127" i="7"/>
  <c r="W1127" i="7"/>
  <c r="X1127" i="7"/>
  <c r="Y1127" i="7"/>
  <c r="D1128" i="7"/>
  <c r="E1128" i="7"/>
  <c r="F1128" i="7"/>
  <c r="G1128" i="7"/>
  <c r="H1128" i="7"/>
  <c r="I1128" i="7"/>
  <c r="J1128" i="7"/>
  <c r="K1128" i="7"/>
  <c r="L1128" i="7"/>
  <c r="M1128" i="7"/>
  <c r="N1128" i="7"/>
  <c r="P1128" i="7"/>
  <c r="O1128" i="7" s="1"/>
  <c r="Q1128" i="7"/>
  <c r="R1128" i="7"/>
  <c r="S1128" i="7"/>
  <c r="T1128" i="7"/>
  <c r="U1128" i="7"/>
  <c r="V1128" i="7"/>
  <c r="W1128" i="7"/>
  <c r="X1128" i="7"/>
  <c r="Y1128" i="7"/>
  <c r="D1129" i="7"/>
  <c r="E1129" i="7"/>
  <c r="F1129" i="7"/>
  <c r="G1129" i="7"/>
  <c r="H1129" i="7"/>
  <c r="I1129" i="7"/>
  <c r="J1129" i="7"/>
  <c r="K1129" i="7"/>
  <c r="L1129" i="7"/>
  <c r="M1129" i="7"/>
  <c r="N1129" i="7"/>
  <c r="P1129" i="7"/>
  <c r="O1129" i="7" s="1"/>
  <c r="Q1129" i="7"/>
  <c r="R1129" i="7"/>
  <c r="S1129" i="7"/>
  <c r="T1129" i="7"/>
  <c r="U1129" i="7"/>
  <c r="V1129" i="7"/>
  <c r="W1129" i="7"/>
  <c r="X1129" i="7"/>
  <c r="Y1129" i="7"/>
  <c r="D1130" i="7"/>
  <c r="E1130" i="7"/>
  <c r="F1130" i="7"/>
  <c r="G1130" i="7"/>
  <c r="H1130" i="7"/>
  <c r="I1130" i="7"/>
  <c r="J1130" i="7"/>
  <c r="K1130" i="7"/>
  <c r="L1130" i="7"/>
  <c r="M1130" i="7"/>
  <c r="N1130" i="7"/>
  <c r="P1130" i="7"/>
  <c r="O1130" i="7" s="1"/>
  <c r="Q1130" i="7"/>
  <c r="R1130" i="7"/>
  <c r="S1130" i="7"/>
  <c r="T1130" i="7"/>
  <c r="U1130" i="7"/>
  <c r="V1130" i="7"/>
  <c r="W1130" i="7"/>
  <c r="X1130" i="7"/>
  <c r="Y1130" i="7"/>
  <c r="D1131" i="7"/>
  <c r="E1131" i="7"/>
  <c r="F1131" i="7"/>
  <c r="G1131" i="7"/>
  <c r="H1131" i="7"/>
  <c r="I1131" i="7"/>
  <c r="J1131" i="7"/>
  <c r="K1131" i="7"/>
  <c r="L1131" i="7"/>
  <c r="M1131" i="7"/>
  <c r="N1131" i="7"/>
  <c r="P1131" i="7"/>
  <c r="O1131" i="7" s="1"/>
  <c r="Q1131" i="7"/>
  <c r="R1131" i="7"/>
  <c r="S1131" i="7"/>
  <c r="T1131" i="7"/>
  <c r="U1131" i="7"/>
  <c r="V1131" i="7"/>
  <c r="W1131" i="7"/>
  <c r="X1131" i="7"/>
  <c r="Y1131" i="7"/>
  <c r="D1132" i="7"/>
  <c r="E1132" i="7"/>
  <c r="F1132" i="7"/>
  <c r="G1132" i="7"/>
  <c r="H1132" i="7"/>
  <c r="I1132" i="7"/>
  <c r="J1132" i="7"/>
  <c r="K1132" i="7"/>
  <c r="L1132" i="7"/>
  <c r="M1132" i="7"/>
  <c r="N1132" i="7"/>
  <c r="P1132" i="7"/>
  <c r="O1132" i="7" s="1"/>
  <c r="Q1132" i="7"/>
  <c r="R1132" i="7"/>
  <c r="S1132" i="7"/>
  <c r="T1132" i="7"/>
  <c r="U1132" i="7"/>
  <c r="V1132" i="7"/>
  <c r="W1132" i="7"/>
  <c r="X1132" i="7"/>
  <c r="Y1132" i="7"/>
  <c r="D1133" i="7"/>
  <c r="E1133" i="7"/>
  <c r="F1133" i="7"/>
  <c r="G1133" i="7"/>
  <c r="H1133" i="7"/>
  <c r="I1133" i="7"/>
  <c r="J1133" i="7"/>
  <c r="K1133" i="7"/>
  <c r="L1133" i="7"/>
  <c r="M1133" i="7"/>
  <c r="N1133" i="7"/>
  <c r="P1133" i="7"/>
  <c r="O1133" i="7" s="1"/>
  <c r="Q1133" i="7"/>
  <c r="R1133" i="7"/>
  <c r="S1133" i="7"/>
  <c r="T1133" i="7"/>
  <c r="U1133" i="7"/>
  <c r="V1133" i="7"/>
  <c r="W1133" i="7"/>
  <c r="X1133" i="7"/>
  <c r="Y1133" i="7"/>
  <c r="D1134" i="7"/>
  <c r="E1134" i="7"/>
  <c r="F1134" i="7"/>
  <c r="G1134" i="7"/>
  <c r="H1134" i="7"/>
  <c r="I1134" i="7"/>
  <c r="J1134" i="7"/>
  <c r="K1134" i="7"/>
  <c r="L1134" i="7"/>
  <c r="M1134" i="7"/>
  <c r="N1134" i="7"/>
  <c r="P1134" i="7"/>
  <c r="O1134" i="7" s="1"/>
  <c r="Q1134" i="7"/>
  <c r="R1134" i="7"/>
  <c r="S1134" i="7"/>
  <c r="T1134" i="7"/>
  <c r="U1134" i="7"/>
  <c r="V1134" i="7"/>
  <c r="W1134" i="7"/>
  <c r="X1134" i="7"/>
  <c r="Y1134" i="7"/>
  <c r="D1135" i="7"/>
  <c r="E1135" i="7"/>
  <c r="F1135" i="7"/>
  <c r="G1135" i="7"/>
  <c r="H1135" i="7"/>
  <c r="I1135" i="7"/>
  <c r="J1135" i="7"/>
  <c r="K1135" i="7"/>
  <c r="L1135" i="7"/>
  <c r="M1135" i="7"/>
  <c r="N1135" i="7"/>
  <c r="P1135" i="7"/>
  <c r="O1135" i="7" s="1"/>
  <c r="Q1135" i="7"/>
  <c r="R1135" i="7"/>
  <c r="S1135" i="7"/>
  <c r="T1135" i="7"/>
  <c r="U1135" i="7"/>
  <c r="V1135" i="7"/>
  <c r="W1135" i="7"/>
  <c r="X1135" i="7"/>
  <c r="Y1135" i="7"/>
  <c r="D1136" i="7"/>
  <c r="E1136" i="7"/>
  <c r="F1136" i="7"/>
  <c r="G1136" i="7"/>
  <c r="H1136" i="7"/>
  <c r="I1136" i="7"/>
  <c r="J1136" i="7"/>
  <c r="K1136" i="7"/>
  <c r="L1136" i="7"/>
  <c r="M1136" i="7"/>
  <c r="N1136" i="7"/>
  <c r="P1136" i="7"/>
  <c r="O1136" i="7" s="1"/>
  <c r="Q1136" i="7"/>
  <c r="R1136" i="7"/>
  <c r="S1136" i="7"/>
  <c r="T1136" i="7"/>
  <c r="U1136" i="7"/>
  <c r="V1136" i="7"/>
  <c r="W1136" i="7"/>
  <c r="X1136" i="7"/>
  <c r="Y1136" i="7"/>
  <c r="D1137" i="7"/>
  <c r="E1137" i="7"/>
  <c r="F1137" i="7"/>
  <c r="G1137" i="7"/>
  <c r="H1137" i="7"/>
  <c r="I1137" i="7"/>
  <c r="J1137" i="7"/>
  <c r="K1137" i="7"/>
  <c r="L1137" i="7"/>
  <c r="M1137" i="7"/>
  <c r="N1137" i="7"/>
  <c r="P1137" i="7"/>
  <c r="O1137" i="7" s="1"/>
  <c r="Q1137" i="7"/>
  <c r="R1137" i="7"/>
  <c r="S1137" i="7"/>
  <c r="T1137" i="7"/>
  <c r="U1137" i="7"/>
  <c r="V1137" i="7"/>
  <c r="W1137" i="7"/>
  <c r="X1137" i="7"/>
  <c r="Y1137" i="7"/>
  <c r="D1138" i="7"/>
  <c r="E1138" i="7"/>
  <c r="F1138" i="7"/>
  <c r="G1138" i="7"/>
  <c r="H1138" i="7"/>
  <c r="I1138" i="7"/>
  <c r="J1138" i="7"/>
  <c r="K1138" i="7"/>
  <c r="L1138" i="7"/>
  <c r="M1138" i="7"/>
  <c r="N1138" i="7"/>
  <c r="P1138" i="7"/>
  <c r="O1138" i="7" s="1"/>
  <c r="Q1138" i="7"/>
  <c r="R1138" i="7"/>
  <c r="S1138" i="7"/>
  <c r="T1138" i="7"/>
  <c r="U1138" i="7"/>
  <c r="V1138" i="7"/>
  <c r="W1138" i="7"/>
  <c r="X1138" i="7"/>
  <c r="Y1138" i="7"/>
  <c r="D1139" i="7"/>
  <c r="E1139" i="7"/>
  <c r="F1139" i="7"/>
  <c r="G1139" i="7"/>
  <c r="H1139" i="7"/>
  <c r="I1139" i="7"/>
  <c r="J1139" i="7"/>
  <c r="K1139" i="7"/>
  <c r="L1139" i="7"/>
  <c r="M1139" i="7"/>
  <c r="N1139" i="7"/>
  <c r="P1139" i="7"/>
  <c r="O1139" i="7" s="1"/>
  <c r="Q1139" i="7"/>
  <c r="R1139" i="7"/>
  <c r="S1139" i="7"/>
  <c r="T1139" i="7"/>
  <c r="U1139" i="7"/>
  <c r="V1139" i="7"/>
  <c r="W1139" i="7"/>
  <c r="X1139" i="7"/>
  <c r="Y1139" i="7"/>
  <c r="D1140" i="7"/>
  <c r="E1140" i="7"/>
  <c r="F1140" i="7"/>
  <c r="G1140" i="7"/>
  <c r="H1140" i="7"/>
  <c r="I1140" i="7"/>
  <c r="J1140" i="7"/>
  <c r="K1140" i="7"/>
  <c r="L1140" i="7"/>
  <c r="M1140" i="7"/>
  <c r="N1140" i="7"/>
  <c r="P1140" i="7"/>
  <c r="O1140" i="7" s="1"/>
  <c r="Q1140" i="7"/>
  <c r="R1140" i="7"/>
  <c r="S1140" i="7"/>
  <c r="T1140" i="7"/>
  <c r="U1140" i="7"/>
  <c r="V1140" i="7"/>
  <c r="W1140" i="7"/>
  <c r="X1140" i="7"/>
  <c r="Y1140" i="7"/>
  <c r="D1141" i="7"/>
  <c r="E1141" i="7"/>
  <c r="F1141" i="7"/>
  <c r="G1141" i="7"/>
  <c r="H1141" i="7"/>
  <c r="I1141" i="7"/>
  <c r="J1141" i="7"/>
  <c r="K1141" i="7"/>
  <c r="L1141" i="7"/>
  <c r="M1141" i="7"/>
  <c r="N1141" i="7"/>
  <c r="P1141" i="7"/>
  <c r="O1141" i="7" s="1"/>
  <c r="Q1141" i="7"/>
  <c r="R1141" i="7"/>
  <c r="S1141" i="7"/>
  <c r="T1141" i="7"/>
  <c r="U1141" i="7"/>
  <c r="V1141" i="7"/>
  <c r="W1141" i="7"/>
  <c r="X1141" i="7"/>
  <c r="Y1141" i="7"/>
  <c r="D1142" i="7"/>
  <c r="E1142" i="7"/>
  <c r="F1142" i="7"/>
  <c r="G1142" i="7"/>
  <c r="H1142" i="7"/>
  <c r="I1142" i="7"/>
  <c r="J1142" i="7"/>
  <c r="K1142" i="7"/>
  <c r="L1142" i="7"/>
  <c r="M1142" i="7"/>
  <c r="N1142" i="7"/>
  <c r="P1142" i="7"/>
  <c r="O1142" i="7" s="1"/>
  <c r="Q1142" i="7"/>
  <c r="R1142" i="7"/>
  <c r="S1142" i="7"/>
  <c r="T1142" i="7"/>
  <c r="U1142" i="7"/>
  <c r="V1142" i="7"/>
  <c r="W1142" i="7"/>
  <c r="X1142" i="7"/>
  <c r="Y1142" i="7"/>
  <c r="D1143" i="7"/>
  <c r="E1143" i="7"/>
  <c r="F1143" i="7"/>
  <c r="G1143" i="7"/>
  <c r="H1143" i="7"/>
  <c r="I1143" i="7"/>
  <c r="J1143" i="7"/>
  <c r="K1143" i="7"/>
  <c r="L1143" i="7"/>
  <c r="M1143" i="7"/>
  <c r="N1143" i="7"/>
  <c r="P1143" i="7"/>
  <c r="O1143" i="7" s="1"/>
  <c r="Q1143" i="7"/>
  <c r="R1143" i="7"/>
  <c r="S1143" i="7"/>
  <c r="T1143" i="7"/>
  <c r="U1143" i="7"/>
  <c r="V1143" i="7"/>
  <c r="W1143" i="7"/>
  <c r="X1143" i="7"/>
  <c r="Y1143" i="7"/>
  <c r="D1144" i="7"/>
  <c r="E1144" i="7"/>
  <c r="F1144" i="7"/>
  <c r="G1144" i="7"/>
  <c r="H1144" i="7"/>
  <c r="I1144" i="7"/>
  <c r="J1144" i="7"/>
  <c r="K1144" i="7"/>
  <c r="L1144" i="7"/>
  <c r="M1144" i="7"/>
  <c r="N1144" i="7"/>
  <c r="P1144" i="7"/>
  <c r="O1144" i="7" s="1"/>
  <c r="Q1144" i="7"/>
  <c r="R1144" i="7"/>
  <c r="S1144" i="7"/>
  <c r="T1144" i="7"/>
  <c r="U1144" i="7"/>
  <c r="V1144" i="7"/>
  <c r="W1144" i="7"/>
  <c r="X1144" i="7"/>
  <c r="Y1144" i="7"/>
  <c r="D1145" i="7"/>
  <c r="E1145" i="7"/>
  <c r="F1145" i="7"/>
  <c r="G1145" i="7"/>
  <c r="H1145" i="7"/>
  <c r="I1145" i="7"/>
  <c r="J1145" i="7"/>
  <c r="K1145" i="7"/>
  <c r="L1145" i="7"/>
  <c r="M1145" i="7"/>
  <c r="N1145" i="7"/>
  <c r="P1145" i="7"/>
  <c r="O1145" i="7" s="1"/>
  <c r="Q1145" i="7"/>
  <c r="R1145" i="7"/>
  <c r="S1145" i="7"/>
  <c r="T1145" i="7"/>
  <c r="U1145" i="7"/>
  <c r="V1145" i="7"/>
  <c r="W1145" i="7"/>
  <c r="X1145" i="7"/>
  <c r="Y1145" i="7"/>
  <c r="D1146" i="7"/>
  <c r="E1146" i="7"/>
  <c r="F1146" i="7"/>
  <c r="G1146" i="7"/>
  <c r="H1146" i="7"/>
  <c r="I1146" i="7"/>
  <c r="J1146" i="7"/>
  <c r="K1146" i="7"/>
  <c r="L1146" i="7"/>
  <c r="M1146" i="7"/>
  <c r="N1146" i="7"/>
  <c r="P1146" i="7"/>
  <c r="O1146" i="7" s="1"/>
  <c r="Q1146" i="7"/>
  <c r="R1146" i="7"/>
  <c r="S1146" i="7"/>
  <c r="T1146" i="7"/>
  <c r="U1146" i="7"/>
  <c r="V1146" i="7"/>
  <c r="W1146" i="7"/>
  <c r="X1146" i="7"/>
  <c r="Y1146" i="7"/>
  <c r="D1147" i="7"/>
  <c r="E1147" i="7"/>
  <c r="F1147" i="7"/>
  <c r="G1147" i="7"/>
  <c r="H1147" i="7"/>
  <c r="I1147" i="7"/>
  <c r="J1147" i="7"/>
  <c r="K1147" i="7"/>
  <c r="L1147" i="7"/>
  <c r="M1147" i="7"/>
  <c r="N1147" i="7"/>
  <c r="P1147" i="7"/>
  <c r="O1147" i="7" s="1"/>
  <c r="Q1147" i="7"/>
  <c r="R1147" i="7"/>
  <c r="S1147" i="7"/>
  <c r="T1147" i="7"/>
  <c r="U1147" i="7"/>
  <c r="V1147" i="7"/>
  <c r="W1147" i="7"/>
  <c r="X1147" i="7"/>
  <c r="Y1147" i="7"/>
  <c r="D1148" i="7"/>
  <c r="E1148" i="7"/>
  <c r="F1148" i="7"/>
  <c r="G1148" i="7"/>
  <c r="H1148" i="7"/>
  <c r="I1148" i="7"/>
  <c r="J1148" i="7"/>
  <c r="K1148" i="7"/>
  <c r="L1148" i="7"/>
  <c r="M1148" i="7"/>
  <c r="N1148" i="7"/>
  <c r="P1148" i="7"/>
  <c r="O1148" i="7" s="1"/>
  <c r="Q1148" i="7"/>
  <c r="R1148" i="7"/>
  <c r="S1148" i="7"/>
  <c r="T1148" i="7"/>
  <c r="U1148" i="7"/>
  <c r="V1148" i="7"/>
  <c r="W1148" i="7"/>
  <c r="X1148" i="7"/>
  <c r="Y1148" i="7"/>
  <c r="D1149" i="7"/>
  <c r="E1149" i="7"/>
  <c r="F1149" i="7"/>
  <c r="G1149" i="7"/>
  <c r="H1149" i="7"/>
  <c r="I1149" i="7"/>
  <c r="J1149" i="7"/>
  <c r="K1149" i="7"/>
  <c r="L1149" i="7"/>
  <c r="M1149" i="7"/>
  <c r="N1149" i="7"/>
  <c r="P1149" i="7"/>
  <c r="O1149" i="7" s="1"/>
  <c r="Q1149" i="7"/>
  <c r="R1149" i="7"/>
  <c r="S1149" i="7"/>
  <c r="T1149" i="7"/>
  <c r="U1149" i="7"/>
  <c r="V1149" i="7"/>
  <c r="W1149" i="7"/>
  <c r="X1149" i="7"/>
  <c r="Y1149" i="7"/>
  <c r="D1150" i="7"/>
  <c r="E1150" i="7"/>
  <c r="F1150" i="7"/>
  <c r="G1150" i="7"/>
  <c r="H1150" i="7"/>
  <c r="I1150" i="7"/>
  <c r="J1150" i="7"/>
  <c r="K1150" i="7"/>
  <c r="L1150" i="7"/>
  <c r="M1150" i="7"/>
  <c r="N1150" i="7"/>
  <c r="P1150" i="7"/>
  <c r="O1150" i="7" s="1"/>
  <c r="Q1150" i="7"/>
  <c r="R1150" i="7"/>
  <c r="S1150" i="7"/>
  <c r="T1150" i="7"/>
  <c r="U1150" i="7"/>
  <c r="V1150" i="7"/>
  <c r="W1150" i="7"/>
  <c r="X1150" i="7"/>
  <c r="Y1150" i="7"/>
  <c r="D1151" i="7"/>
  <c r="E1151" i="7"/>
  <c r="F1151" i="7"/>
  <c r="G1151" i="7"/>
  <c r="H1151" i="7"/>
  <c r="I1151" i="7"/>
  <c r="J1151" i="7"/>
  <c r="K1151" i="7"/>
  <c r="L1151" i="7"/>
  <c r="M1151" i="7"/>
  <c r="N1151" i="7"/>
  <c r="P1151" i="7"/>
  <c r="O1151" i="7" s="1"/>
  <c r="Q1151" i="7"/>
  <c r="R1151" i="7"/>
  <c r="S1151" i="7"/>
  <c r="T1151" i="7"/>
  <c r="U1151" i="7"/>
  <c r="V1151" i="7"/>
  <c r="W1151" i="7"/>
  <c r="X1151" i="7"/>
  <c r="Y1151" i="7"/>
  <c r="D1152" i="7"/>
  <c r="E1152" i="7"/>
  <c r="F1152" i="7"/>
  <c r="G1152" i="7"/>
  <c r="H1152" i="7"/>
  <c r="I1152" i="7"/>
  <c r="J1152" i="7"/>
  <c r="K1152" i="7"/>
  <c r="L1152" i="7"/>
  <c r="M1152" i="7"/>
  <c r="N1152" i="7"/>
  <c r="P1152" i="7"/>
  <c r="O1152" i="7" s="1"/>
  <c r="Q1152" i="7"/>
  <c r="R1152" i="7"/>
  <c r="S1152" i="7"/>
  <c r="T1152" i="7"/>
  <c r="U1152" i="7"/>
  <c r="V1152" i="7"/>
  <c r="W1152" i="7"/>
  <c r="X1152" i="7"/>
  <c r="Y1152" i="7"/>
  <c r="D1153" i="7"/>
  <c r="E1153" i="7"/>
  <c r="F1153" i="7"/>
  <c r="G1153" i="7"/>
  <c r="H1153" i="7"/>
  <c r="I1153" i="7"/>
  <c r="J1153" i="7"/>
  <c r="K1153" i="7"/>
  <c r="L1153" i="7"/>
  <c r="M1153" i="7"/>
  <c r="N1153" i="7"/>
  <c r="P1153" i="7"/>
  <c r="O1153" i="7" s="1"/>
  <c r="Q1153" i="7"/>
  <c r="R1153" i="7"/>
  <c r="S1153" i="7"/>
  <c r="T1153" i="7"/>
  <c r="U1153" i="7"/>
  <c r="V1153" i="7"/>
  <c r="W1153" i="7"/>
  <c r="X1153" i="7"/>
  <c r="Y1153" i="7"/>
  <c r="D1154" i="7"/>
  <c r="E1154" i="7"/>
  <c r="F1154" i="7"/>
  <c r="G1154" i="7"/>
  <c r="H1154" i="7"/>
  <c r="I1154" i="7"/>
  <c r="J1154" i="7"/>
  <c r="K1154" i="7"/>
  <c r="L1154" i="7"/>
  <c r="M1154" i="7"/>
  <c r="N1154" i="7"/>
  <c r="P1154" i="7"/>
  <c r="O1154" i="7" s="1"/>
  <c r="Q1154" i="7"/>
  <c r="R1154" i="7"/>
  <c r="S1154" i="7"/>
  <c r="T1154" i="7"/>
  <c r="U1154" i="7"/>
  <c r="V1154" i="7"/>
  <c r="W1154" i="7"/>
  <c r="X1154" i="7"/>
  <c r="Y1154" i="7"/>
  <c r="D1155" i="7"/>
  <c r="E1155" i="7"/>
  <c r="F1155" i="7"/>
  <c r="G1155" i="7"/>
  <c r="H1155" i="7"/>
  <c r="I1155" i="7"/>
  <c r="J1155" i="7"/>
  <c r="K1155" i="7"/>
  <c r="L1155" i="7"/>
  <c r="M1155" i="7"/>
  <c r="N1155" i="7"/>
  <c r="P1155" i="7"/>
  <c r="O1155" i="7" s="1"/>
  <c r="Q1155" i="7"/>
  <c r="R1155" i="7"/>
  <c r="S1155" i="7"/>
  <c r="T1155" i="7"/>
  <c r="U1155" i="7"/>
  <c r="V1155" i="7"/>
  <c r="W1155" i="7"/>
  <c r="X1155" i="7"/>
  <c r="Y1155" i="7"/>
  <c r="D1156" i="7"/>
  <c r="E1156" i="7"/>
  <c r="F1156" i="7"/>
  <c r="G1156" i="7"/>
  <c r="H1156" i="7"/>
  <c r="I1156" i="7"/>
  <c r="J1156" i="7"/>
  <c r="K1156" i="7"/>
  <c r="L1156" i="7"/>
  <c r="M1156" i="7"/>
  <c r="N1156" i="7"/>
  <c r="P1156" i="7"/>
  <c r="O1156" i="7" s="1"/>
  <c r="Q1156" i="7"/>
  <c r="R1156" i="7"/>
  <c r="S1156" i="7"/>
  <c r="T1156" i="7"/>
  <c r="U1156" i="7"/>
  <c r="V1156" i="7"/>
  <c r="W1156" i="7"/>
  <c r="X1156" i="7"/>
  <c r="Y1156" i="7"/>
  <c r="D1157" i="7"/>
  <c r="E1157" i="7"/>
  <c r="F1157" i="7"/>
  <c r="G1157" i="7"/>
  <c r="H1157" i="7"/>
  <c r="I1157" i="7"/>
  <c r="J1157" i="7"/>
  <c r="K1157" i="7"/>
  <c r="L1157" i="7"/>
  <c r="M1157" i="7"/>
  <c r="N1157" i="7"/>
  <c r="P1157" i="7"/>
  <c r="O1157" i="7" s="1"/>
  <c r="Q1157" i="7"/>
  <c r="R1157" i="7"/>
  <c r="S1157" i="7"/>
  <c r="T1157" i="7"/>
  <c r="U1157" i="7"/>
  <c r="V1157" i="7"/>
  <c r="W1157" i="7"/>
  <c r="X1157" i="7"/>
  <c r="Y1157" i="7"/>
  <c r="D1158" i="7"/>
  <c r="E1158" i="7"/>
  <c r="F1158" i="7"/>
  <c r="G1158" i="7"/>
  <c r="H1158" i="7"/>
  <c r="I1158" i="7"/>
  <c r="J1158" i="7"/>
  <c r="K1158" i="7"/>
  <c r="L1158" i="7"/>
  <c r="M1158" i="7"/>
  <c r="N1158" i="7"/>
  <c r="P1158" i="7"/>
  <c r="O1158" i="7" s="1"/>
  <c r="Q1158" i="7"/>
  <c r="R1158" i="7"/>
  <c r="S1158" i="7"/>
  <c r="T1158" i="7"/>
  <c r="U1158" i="7"/>
  <c r="V1158" i="7"/>
  <c r="W1158" i="7"/>
  <c r="X1158" i="7"/>
  <c r="Y1158" i="7"/>
  <c r="D1159" i="7"/>
  <c r="E1159" i="7"/>
  <c r="F1159" i="7"/>
  <c r="G1159" i="7"/>
  <c r="H1159" i="7"/>
  <c r="I1159" i="7"/>
  <c r="J1159" i="7"/>
  <c r="K1159" i="7"/>
  <c r="L1159" i="7"/>
  <c r="M1159" i="7"/>
  <c r="N1159" i="7"/>
  <c r="P1159" i="7"/>
  <c r="O1159" i="7" s="1"/>
  <c r="Q1159" i="7"/>
  <c r="R1159" i="7"/>
  <c r="S1159" i="7"/>
  <c r="T1159" i="7"/>
  <c r="U1159" i="7"/>
  <c r="V1159" i="7"/>
  <c r="W1159" i="7"/>
  <c r="X1159" i="7"/>
  <c r="Y1159" i="7"/>
  <c r="D1160" i="7"/>
  <c r="E1160" i="7"/>
  <c r="F1160" i="7"/>
  <c r="G1160" i="7"/>
  <c r="H1160" i="7"/>
  <c r="I1160" i="7"/>
  <c r="J1160" i="7"/>
  <c r="K1160" i="7"/>
  <c r="L1160" i="7"/>
  <c r="M1160" i="7"/>
  <c r="N1160" i="7"/>
  <c r="P1160" i="7"/>
  <c r="O1160" i="7" s="1"/>
  <c r="Q1160" i="7"/>
  <c r="R1160" i="7"/>
  <c r="S1160" i="7"/>
  <c r="T1160" i="7"/>
  <c r="U1160" i="7"/>
  <c r="V1160" i="7"/>
  <c r="W1160" i="7"/>
  <c r="X1160" i="7"/>
  <c r="Y1160" i="7"/>
  <c r="D1161" i="7"/>
  <c r="E1161" i="7"/>
  <c r="F1161" i="7"/>
  <c r="G1161" i="7"/>
  <c r="H1161" i="7"/>
  <c r="I1161" i="7"/>
  <c r="J1161" i="7"/>
  <c r="K1161" i="7"/>
  <c r="L1161" i="7"/>
  <c r="M1161" i="7"/>
  <c r="N1161" i="7"/>
  <c r="P1161" i="7"/>
  <c r="O1161" i="7" s="1"/>
  <c r="Q1161" i="7"/>
  <c r="R1161" i="7"/>
  <c r="S1161" i="7"/>
  <c r="T1161" i="7"/>
  <c r="U1161" i="7"/>
  <c r="V1161" i="7"/>
  <c r="W1161" i="7"/>
  <c r="X1161" i="7"/>
  <c r="Y1161" i="7"/>
  <c r="D1162" i="7"/>
  <c r="E1162" i="7"/>
  <c r="F1162" i="7"/>
  <c r="G1162" i="7"/>
  <c r="H1162" i="7"/>
  <c r="I1162" i="7"/>
  <c r="J1162" i="7"/>
  <c r="K1162" i="7"/>
  <c r="L1162" i="7"/>
  <c r="M1162" i="7"/>
  <c r="N1162" i="7"/>
  <c r="P1162" i="7"/>
  <c r="O1162" i="7" s="1"/>
  <c r="Q1162" i="7"/>
  <c r="R1162" i="7"/>
  <c r="S1162" i="7"/>
  <c r="T1162" i="7"/>
  <c r="U1162" i="7"/>
  <c r="V1162" i="7"/>
  <c r="W1162" i="7"/>
  <c r="X1162" i="7"/>
  <c r="Y1162" i="7"/>
  <c r="D1163" i="7"/>
  <c r="E1163" i="7"/>
  <c r="F1163" i="7"/>
  <c r="G1163" i="7"/>
  <c r="H1163" i="7"/>
  <c r="I1163" i="7"/>
  <c r="J1163" i="7"/>
  <c r="K1163" i="7"/>
  <c r="L1163" i="7"/>
  <c r="M1163" i="7"/>
  <c r="N1163" i="7"/>
  <c r="P1163" i="7"/>
  <c r="O1163" i="7" s="1"/>
  <c r="Q1163" i="7"/>
  <c r="R1163" i="7"/>
  <c r="S1163" i="7"/>
  <c r="T1163" i="7"/>
  <c r="U1163" i="7"/>
  <c r="V1163" i="7"/>
  <c r="W1163" i="7"/>
  <c r="X1163" i="7"/>
  <c r="Y1163" i="7"/>
  <c r="D1164" i="7"/>
  <c r="E1164" i="7"/>
  <c r="F1164" i="7"/>
  <c r="G1164" i="7"/>
  <c r="H1164" i="7"/>
  <c r="I1164" i="7"/>
  <c r="J1164" i="7"/>
  <c r="K1164" i="7"/>
  <c r="L1164" i="7"/>
  <c r="M1164" i="7"/>
  <c r="N1164" i="7"/>
  <c r="P1164" i="7"/>
  <c r="O1164" i="7" s="1"/>
  <c r="Q1164" i="7"/>
  <c r="R1164" i="7"/>
  <c r="S1164" i="7"/>
  <c r="T1164" i="7"/>
  <c r="U1164" i="7"/>
  <c r="V1164" i="7"/>
  <c r="W1164" i="7"/>
  <c r="X1164" i="7"/>
  <c r="Y1164" i="7"/>
  <c r="D1165" i="7"/>
  <c r="E1165" i="7"/>
  <c r="F1165" i="7"/>
  <c r="G1165" i="7"/>
  <c r="H1165" i="7"/>
  <c r="I1165" i="7"/>
  <c r="J1165" i="7"/>
  <c r="K1165" i="7"/>
  <c r="L1165" i="7"/>
  <c r="M1165" i="7"/>
  <c r="N1165" i="7"/>
  <c r="P1165" i="7"/>
  <c r="O1165" i="7" s="1"/>
  <c r="Q1165" i="7"/>
  <c r="R1165" i="7"/>
  <c r="S1165" i="7"/>
  <c r="T1165" i="7"/>
  <c r="U1165" i="7"/>
  <c r="V1165" i="7"/>
  <c r="W1165" i="7"/>
  <c r="X1165" i="7"/>
  <c r="Y1165" i="7"/>
  <c r="D1166" i="7"/>
  <c r="E1166" i="7"/>
  <c r="F1166" i="7"/>
  <c r="G1166" i="7"/>
  <c r="H1166" i="7"/>
  <c r="I1166" i="7"/>
  <c r="J1166" i="7"/>
  <c r="K1166" i="7"/>
  <c r="L1166" i="7"/>
  <c r="M1166" i="7"/>
  <c r="N1166" i="7"/>
  <c r="P1166" i="7"/>
  <c r="O1166" i="7" s="1"/>
  <c r="Q1166" i="7"/>
  <c r="R1166" i="7"/>
  <c r="S1166" i="7"/>
  <c r="T1166" i="7"/>
  <c r="U1166" i="7"/>
  <c r="V1166" i="7"/>
  <c r="W1166" i="7"/>
  <c r="X1166" i="7"/>
  <c r="Y1166" i="7"/>
  <c r="D1167" i="7"/>
  <c r="E1167" i="7"/>
  <c r="F1167" i="7"/>
  <c r="G1167" i="7"/>
  <c r="H1167" i="7"/>
  <c r="I1167" i="7"/>
  <c r="J1167" i="7"/>
  <c r="K1167" i="7"/>
  <c r="L1167" i="7"/>
  <c r="M1167" i="7"/>
  <c r="N1167" i="7"/>
  <c r="P1167" i="7"/>
  <c r="O1167" i="7" s="1"/>
  <c r="Q1167" i="7"/>
  <c r="R1167" i="7"/>
  <c r="S1167" i="7"/>
  <c r="T1167" i="7"/>
  <c r="U1167" i="7"/>
  <c r="V1167" i="7"/>
  <c r="W1167" i="7"/>
  <c r="X1167" i="7"/>
  <c r="Y1167" i="7"/>
  <c r="D1168" i="7"/>
  <c r="E1168" i="7"/>
  <c r="F1168" i="7"/>
  <c r="G1168" i="7"/>
  <c r="H1168" i="7"/>
  <c r="I1168" i="7"/>
  <c r="J1168" i="7"/>
  <c r="K1168" i="7"/>
  <c r="L1168" i="7"/>
  <c r="M1168" i="7"/>
  <c r="N1168" i="7"/>
  <c r="P1168" i="7"/>
  <c r="O1168" i="7" s="1"/>
  <c r="Q1168" i="7"/>
  <c r="R1168" i="7"/>
  <c r="S1168" i="7"/>
  <c r="T1168" i="7"/>
  <c r="U1168" i="7"/>
  <c r="V1168" i="7"/>
  <c r="W1168" i="7"/>
  <c r="X1168" i="7"/>
  <c r="Y1168" i="7"/>
  <c r="D1169" i="7"/>
  <c r="E1169" i="7"/>
  <c r="F1169" i="7"/>
  <c r="G1169" i="7"/>
  <c r="H1169" i="7"/>
  <c r="I1169" i="7"/>
  <c r="J1169" i="7"/>
  <c r="K1169" i="7"/>
  <c r="L1169" i="7"/>
  <c r="M1169" i="7"/>
  <c r="N1169" i="7"/>
  <c r="P1169" i="7"/>
  <c r="O1169" i="7" s="1"/>
  <c r="Q1169" i="7"/>
  <c r="R1169" i="7"/>
  <c r="S1169" i="7"/>
  <c r="T1169" i="7"/>
  <c r="U1169" i="7"/>
  <c r="V1169" i="7"/>
  <c r="W1169" i="7"/>
  <c r="X1169" i="7"/>
  <c r="Y1169" i="7"/>
  <c r="D1170" i="7"/>
  <c r="E1170" i="7"/>
  <c r="F1170" i="7"/>
  <c r="G1170" i="7"/>
  <c r="H1170" i="7"/>
  <c r="I1170" i="7"/>
  <c r="J1170" i="7"/>
  <c r="K1170" i="7"/>
  <c r="L1170" i="7"/>
  <c r="M1170" i="7"/>
  <c r="N1170" i="7"/>
  <c r="P1170" i="7"/>
  <c r="O1170" i="7" s="1"/>
  <c r="Q1170" i="7"/>
  <c r="R1170" i="7"/>
  <c r="S1170" i="7"/>
  <c r="T1170" i="7"/>
  <c r="U1170" i="7"/>
  <c r="V1170" i="7"/>
  <c r="W1170" i="7"/>
  <c r="X1170" i="7"/>
  <c r="Y1170" i="7"/>
  <c r="D1171" i="7"/>
  <c r="E1171" i="7"/>
  <c r="F1171" i="7"/>
  <c r="G1171" i="7"/>
  <c r="H1171" i="7"/>
  <c r="I1171" i="7"/>
  <c r="J1171" i="7"/>
  <c r="K1171" i="7"/>
  <c r="L1171" i="7"/>
  <c r="M1171" i="7"/>
  <c r="N1171" i="7"/>
  <c r="P1171" i="7"/>
  <c r="O1171" i="7" s="1"/>
  <c r="Q1171" i="7"/>
  <c r="R1171" i="7"/>
  <c r="S1171" i="7"/>
  <c r="T1171" i="7"/>
  <c r="U1171" i="7"/>
  <c r="V1171" i="7"/>
  <c r="W1171" i="7"/>
  <c r="X1171" i="7"/>
  <c r="Y1171" i="7"/>
  <c r="D1172" i="7"/>
  <c r="E1172" i="7"/>
  <c r="F1172" i="7"/>
  <c r="G1172" i="7"/>
  <c r="H1172" i="7"/>
  <c r="I1172" i="7"/>
  <c r="J1172" i="7"/>
  <c r="K1172" i="7"/>
  <c r="L1172" i="7"/>
  <c r="M1172" i="7"/>
  <c r="N1172" i="7"/>
  <c r="P1172" i="7"/>
  <c r="O1172" i="7" s="1"/>
  <c r="Q1172" i="7"/>
  <c r="R1172" i="7"/>
  <c r="S1172" i="7"/>
  <c r="T1172" i="7"/>
  <c r="U1172" i="7"/>
  <c r="V1172" i="7"/>
  <c r="W1172" i="7"/>
  <c r="X1172" i="7"/>
  <c r="Y1172" i="7"/>
  <c r="D1173" i="7"/>
  <c r="E1173" i="7"/>
  <c r="F1173" i="7"/>
  <c r="G1173" i="7"/>
  <c r="H1173" i="7"/>
  <c r="I1173" i="7"/>
  <c r="J1173" i="7"/>
  <c r="K1173" i="7"/>
  <c r="L1173" i="7"/>
  <c r="M1173" i="7"/>
  <c r="N1173" i="7"/>
  <c r="P1173" i="7"/>
  <c r="O1173" i="7" s="1"/>
  <c r="Q1173" i="7"/>
  <c r="R1173" i="7"/>
  <c r="S1173" i="7"/>
  <c r="T1173" i="7"/>
  <c r="U1173" i="7"/>
  <c r="V1173" i="7"/>
  <c r="W1173" i="7"/>
  <c r="X1173" i="7"/>
  <c r="Y1173" i="7"/>
  <c r="D1174" i="7"/>
  <c r="E1174" i="7"/>
  <c r="F1174" i="7"/>
  <c r="G1174" i="7"/>
  <c r="H1174" i="7"/>
  <c r="I1174" i="7"/>
  <c r="J1174" i="7"/>
  <c r="K1174" i="7"/>
  <c r="L1174" i="7"/>
  <c r="M1174" i="7"/>
  <c r="N1174" i="7"/>
  <c r="P1174" i="7"/>
  <c r="O1174" i="7" s="1"/>
  <c r="Q1174" i="7"/>
  <c r="R1174" i="7"/>
  <c r="S1174" i="7"/>
  <c r="T1174" i="7"/>
  <c r="U1174" i="7"/>
  <c r="V1174" i="7"/>
  <c r="W1174" i="7"/>
  <c r="X1174" i="7"/>
  <c r="Y1174" i="7"/>
  <c r="D1175" i="7"/>
  <c r="E1175" i="7"/>
  <c r="F1175" i="7"/>
  <c r="G1175" i="7"/>
  <c r="H1175" i="7"/>
  <c r="I1175" i="7"/>
  <c r="J1175" i="7"/>
  <c r="K1175" i="7"/>
  <c r="L1175" i="7"/>
  <c r="M1175" i="7"/>
  <c r="N1175" i="7"/>
  <c r="P1175" i="7"/>
  <c r="O1175" i="7" s="1"/>
  <c r="Q1175" i="7"/>
  <c r="R1175" i="7"/>
  <c r="T1175" i="7"/>
  <c r="U1175" i="7"/>
  <c r="W1175" i="7"/>
  <c r="X1175" i="7"/>
  <c r="Y1175" i="7"/>
  <c r="D1176" i="7"/>
  <c r="E1176" i="7"/>
  <c r="F1176" i="7"/>
  <c r="G1176" i="7"/>
  <c r="H1176" i="7"/>
  <c r="I1176" i="7"/>
  <c r="J1176" i="7"/>
  <c r="K1176" i="7"/>
  <c r="L1176" i="7"/>
  <c r="M1176" i="7"/>
  <c r="N1176" i="7"/>
  <c r="P1176" i="7"/>
  <c r="Q1176" i="7"/>
  <c r="R1176" i="7"/>
  <c r="T1176" i="7"/>
  <c r="U1176" i="7"/>
  <c r="D1177" i="7"/>
  <c r="E1177" i="7"/>
  <c r="F1177" i="7"/>
  <c r="G1177" i="7"/>
  <c r="H1177" i="7"/>
  <c r="I1177" i="7"/>
  <c r="J1177" i="7"/>
  <c r="K1177" i="7"/>
  <c r="L1177" i="7"/>
  <c r="M1177" i="7"/>
  <c r="N1177" i="7"/>
  <c r="P1177" i="7"/>
  <c r="Q1177" i="7"/>
  <c r="R1177" i="7"/>
  <c r="T1177" i="7"/>
  <c r="U1177" i="7"/>
  <c r="W1177" i="7"/>
  <c r="X1177" i="7"/>
  <c r="Y1177" i="7"/>
  <c r="D1178" i="7"/>
  <c r="E1178" i="7"/>
  <c r="F1178" i="7"/>
  <c r="G1178" i="7"/>
  <c r="H1178" i="7"/>
  <c r="I1178" i="7"/>
  <c r="J1178" i="7"/>
  <c r="K1178" i="7"/>
  <c r="L1178" i="7"/>
  <c r="M1178" i="7"/>
  <c r="N1178" i="7"/>
  <c r="P1178" i="7"/>
  <c r="Q1178" i="7"/>
  <c r="R1178" i="7"/>
  <c r="T1178" i="7"/>
  <c r="U1178" i="7"/>
  <c r="D1179" i="7"/>
  <c r="E1179" i="7"/>
  <c r="F1179" i="7"/>
  <c r="G1179" i="7"/>
  <c r="H1179" i="7"/>
  <c r="I1179" i="7"/>
  <c r="J1179" i="7"/>
  <c r="K1179" i="7"/>
  <c r="L1179" i="7"/>
  <c r="M1179" i="7"/>
  <c r="N1179" i="7"/>
  <c r="P1179" i="7"/>
  <c r="Q1179" i="7"/>
  <c r="R1179" i="7"/>
  <c r="T1179" i="7"/>
  <c r="U1179" i="7"/>
  <c r="W1179" i="7"/>
  <c r="X1179" i="7"/>
  <c r="Y1179" i="7"/>
  <c r="D1180" i="7"/>
  <c r="E1180" i="7"/>
  <c r="F1180" i="7"/>
  <c r="G1180" i="7"/>
  <c r="H1180" i="7"/>
  <c r="I1180" i="7"/>
  <c r="J1180" i="7"/>
  <c r="K1180" i="7"/>
  <c r="L1180" i="7"/>
  <c r="M1180" i="7"/>
  <c r="N1180" i="7"/>
  <c r="P1180" i="7"/>
  <c r="Q1180" i="7"/>
  <c r="R1180" i="7"/>
  <c r="T1180" i="7"/>
  <c r="U1180" i="7"/>
  <c r="W1180" i="7"/>
  <c r="X1180" i="7"/>
  <c r="Y1180" i="7"/>
  <c r="D1181" i="7"/>
  <c r="E1181" i="7"/>
  <c r="F1181" i="7"/>
  <c r="G1181" i="7"/>
  <c r="H1181" i="7"/>
  <c r="I1181" i="7"/>
  <c r="J1181" i="7"/>
  <c r="K1181" i="7"/>
  <c r="L1181" i="7"/>
  <c r="M1181" i="7"/>
  <c r="N1181" i="7"/>
  <c r="P1181" i="7"/>
  <c r="Q1181" i="7"/>
  <c r="R1181" i="7"/>
  <c r="T1181" i="7"/>
  <c r="U1181" i="7"/>
  <c r="W1181" i="7"/>
  <c r="X1181" i="7"/>
  <c r="Y1181" i="7"/>
  <c r="D1182" i="7"/>
  <c r="E1182" i="7"/>
  <c r="F1182" i="7"/>
  <c r="G1182" i="7"/>
  <c r="H1182" i="7"/>
  <c r="I1182" i="7"/>
  <c r="J1182" i="7"/>
  <c r="K1182" i="7"/>
  <c r="L1182" i="7"/>
  <c r="M1182" i="7"/>
  <c r="N1182" i="7"/>
  <c r="P1182" i="7"/>
  <c r="Q1182" i="7"/>
  <c r="R1182" i="7"/>
  <c r="T1182" i="7"/>
  <c r="U1182" i="7"/>
  <c r="W1182" i="7"/>
  <c r="X1182" i="7"/>
  <c r="Y1182" i="7"/>
  <c r="D1183" i="7"/>
  <c r="E1183" i="7"/>
  <c r="F1183" i="7"/>
  <c r="G1183" i="7"/>
  <c r="H1183" i="7"/>
  <c r="I1183" i="7"/>
  <c r="J1183" i="7"/>
  <c r="K1183" i="7"/>
  <c r="L1183" i="7"/>
  <c r="M1183" i="7"/>
  <c r="N1183" i="7"/>
  <c r="P1183" i="7"/>
  <c r="Q1183" i="7"/>
  <c r="R1183" i="7"/>
  <c r="T1183" i="7"/>
  <c r="U1183" i="7"/>
  <c r="W1183" i="7"/>
  <c r="X1183" i="7"/>
  <c r="Y1183" i="7"/>
  <c r="D1184" i="7"/>
  <c r="E1184" i="7"/>
  <c r="F1184" i="7"/>
  <c r="G1184" i="7"/>
  <c r="H1184" i="7"/>
  <c r="I1184" i="7"/>
  <c r="J1184" i="7"/>
  <c r="K1184" i="7"/>
  <c r="L1184" i="7"/>
  <c r="M1184" i="7"/>
  <c r="N1184" i="7"/>
  <c r="P1184" i="7"/>
  <c r="Q1184" i="7"/>
  <c r="R1184" i="7"/>
  <c r="T1184" i="7"/>
  <c r="U1184" i="7"/>
  <c r="W1184" i="7"/>
  <c r="X1184" i="7"/>
  <c r="Y1184" i="7"/>
  <c r="D1185" i="7"/>
  <c r="E1185" i="7"/>
  <c r="F1185" i="7"/>
  <c r="G1185" i="7"/>
  <c r="H1185" i="7"/>
  <c r="I1185" i="7"/>
  <c r="J1185" i="7"/>
  <c r="K1185" i="7"/>
  <c r="L1185" i="7"/>
  <c r="M1185" i="7"/>
  <c r="N1185" i="7"/>
  <c r="P1185" i="7"/>
  <c r="Q1185" i="7"/>
  <c r="R1185" i="7"/>
  <c r="T1185" i="7"/>
  <c r="U1185" i="7"/>
  <c r="W1185" i="7"/>
  <c r="X1185" i="7"/>
  <c r="Y1185" i="7"/>
  <c r="D1186" i="7"/>
  <c r="E1186" i="7"/>
  <c r="F1186" i="7"/>
  <c r="G1186" i="7"/>
  <c r="H1186" i="7"/>
  <c r="I1186" i="7"/>
  <c r="J1186" i="7"/>
  <c r="K1186" i="7"/>
  <c r="L1186" i="7"/>
  <c r="M1186" i="7"/>
  <c r="N1186" i="7"/>
  <c r="P1186" i="7"/>
  <c r="Q1186" i="7"/>
  <c r="R1186" i="7"/>
  <c r="T1186" i="7"/>
  <c r="U1186" i="7"/>
  <c r="W1186" i="7"/>
  <c r="X1186" i="7"/>
  <c r="Y1186" i="7"/>
  <c r="D1187" i="7"/>
  <c r="E1187" i="7"/>
  <c r="F1187" i="7"/>
  <c r="G1187" i="7"/>
  <c r="H1187" i="7"/>
  <c r="I1187" i="7"/>
  <c r="J1187" i="7"/>
  <c r="K1187" i="7"/>
  <c r="L1187" i="7"/>
  <c r="M1187" i="7"/>
  <c r="N1187" i="7"/>
  <c r="P1187" i="7"/>
  <c r="Q1187" i="7"/>
  <c r="R1187" i="7"/>
  <c r="T1187" i="7"/>
  <c r="U1187" i="7"/>
  <c r="W1187" i="7"/>
  <c r="X1187" i="7"/>
  <c r="Y1187" i="7"/>
  <c r="D1188" i="7"/>
  <c r="E1188" i="7"/>
  <c r="F1188" i="7"/>
  <c r="G1188" i="7"/>
  <c r="H1188" i="7"/>
  <c r="I1188" i="7"/>
  <c r="J1188" i="7"/>
  <c r="K1188" i="7"/>
  <c r="L1188" i="7"/>
  <c r="M1188" i="7"/>
  <c r="N1188" i="7"/>
  <c r="P1188" i="7"/>
  <c r="Q1188" i="7"/>
  <c r="R1188" i="7"/>
  <c r="T1188" i="7"/>
  <c r="U1188" i="7"/>
  <c r="W1188" i="7"/>
  <c r="X1188" i="7"/>
  <c r="Y1188" i="7"/>
  <c r="D1189" i="7"/>
  <c r="E1189" i="7"/>
  <c r="F1189" i="7"/>
  <c r="G1189" i="7"/>
  <c r="H1189" i="7"/>
  <c r="I1189" i="7"/>
  <c r="J1189" i="7"/>
  <c r="K1189" i="7"/>
  <c r="L1189" i="7"/>
  <c r="M1189" i="7"/>
  <c r="N1189" i="7"/>
  <c r="P1189" i="7"/>
  <c r="Q1189" i="7"/>
  <c r="R1189" i="7"/>
  <c r="T1189" i="7"/>
  <c r="U1189" i="7"/>
  <c r="W1189" i="7"/>
  <c r="X1189" i="7"/>
  <c r="Y1189" i="7"/>
  <c r="D1190" i="7"/>
  <c r="E1190" i="7"/>
  <c r="F1190" i="7"/>
  <c r="G1190" i="7"/>
  <c r="H1190" i="7"/>
  <c r="I1190" i="7"/>
  <c r="J1190" i="7"/>
  <c r="K1190" i="7"/>
  <c r="L1190" i="7"/>
  <c r="M1190" i="7"/>
  <c r="N1190" i="7"/>
  <c r="P1190" i="7"/>
  <c r="Q1190" i="7"/>
  <c r="R1190" i="7"/>
  <c r="T1190" i="7"/>
  <c r="U1190" i="7"/>
  <c r="W1190" i="7"/>
  <c r="X1190" i="7"/>
  <c r="Y1190" i="7"/>
  <c r="D1191" i="7"/>
  <c r="E1191" i="7"/>
  <c r="F1191" i="7"/>
  <c r="G1191" i="7"/>
  <c r="H1191" i="7"/>
  <c r="I1191" i="7"/>
  <c r="J1191" i="7"/>
  <c r="K1191" i="7"/>
  <c r="L1191" i="7"/>
  <c r="M1191" i="7"/>
  <c r="N1191" i="7"/>
  <c r="P1191" i="7"/>
  <c r="Q1191" i="7"/>
  <c r="R1191" i="7"/>
  <c r="T1191" i="7"/>
  <c r="U1191" i="7"/>
  <c r="W1191" i="7"/>
  <c r="X1191" i="7"/>
  <c r="Y1191" i="7"/>
  <c r="D1192" i="7"/>
  <c r="E1192" i="7"/>
  <c r="F1192" i="7"/>
  <c r="G1192" i="7"/>
  <c r="H1192" i="7"/>
  <c r="I1192" i="7"/>
  <c r="J1192" i="7"/>
  <c r="K1192" i="7"/>
  <c r="L1192" i="7"/>
  <c r="M1192" i="7"/>
  <c r="N1192" i="7"/>
  <c r="P1192" i="7"/>
  <c r="Q1192" i="7"/>
  <c r="R1192" i="7"/>
  <c r="T1192" i="7"/>
  <c r="U1192" i="7"/>
  <c r="W1192" i="7"/>
  <c r="X1192" i="7"/>
  <c r="Y1192" i="7"/>
  <c r="D1193" i="7"/>
  <c r="E1193" i="7"/>
  <c r="F1193" i="7"/>
  <c r="G1193" i="7"/>
  <c r="H1193" i="7"/>
  <c r="I1193" i="7"/>
  <c r="J1193" i="7"/>
  <c r="K1193" i="7"/>
  <c r="L1193" i="7"/>
  <c r="M1193" i="7"/>
  <c r="N1193" i="7"/>
  <c r="P1193" i="7"/>
  <c r="Q1193" i="7"/>
  <c r="R1193" i="7"/>
  <c r="T1193" i="7"/>
  <c r="U1193" i="7"/>
  <c r="W1193" i="7"/>
  <c r="X1193" i="7"/>
  <c r="Y1193" i="7"/>
  <c r="D1194" i="7"/>
  <c r="E1194" i="7"/>
  <c r="F1194" i="7"/>
  <c r="G1194" i="7"/>
  <c r="H1194" i="7"/>
  <c r="I1194" i="7"/>
  <c r="J1194" i="7"/>
  <c r="K1194" i="7"/>
  <c r="L1194" i="7"/>
  <c r="M1194" i="7"/>
  <c r="N1194" i="7"/>
  <c r="P1194" i="7"/>
  <c r="Q1194" i="7"/>
  <c r="R1194" i="7"/>
  <c r="T1194" i="7"/>
  <c r="U1194" i="7"/>
  <c r="W1194" i="7"/>
  <c r="X1194" i="7"/>
  <c r="Y1194" i="7"/>
  <c r="D1195" i="7"/>
  <c r="E1195" i="7"/>
  <c r="F1195" i="7"/>
  <c r="G1195" i="7"/>
  <c r="H1195" i="7"/>
  <c r="I1195" i="7"/>
  <c r="J1195" i="7"/>
  <c r="K1195" i="7"/>
  <c r="L1195" i="7"/>
  <c r="M1195" i="7"/>
  <c r="N1195" i="7"/>
  <c r="P1195" i="7"/>
  <c r="Q1195" i="7"/>
  <c r="R1195" i="7"/>
  <c r="T1195" i="7"/>
  <c r="U1195" i="7"/>
  <c r="W1195" i="7"/>
  <c r="X1195" i="7"/>
  <c r="Y1195" i="7"/>
  <c r="D1196" i="7"/>
  <c r="E1196" i="7"/>
  <c r="F1196" i="7"/>
  <c r="G1196" i="7"/>
  <c r="H1196" i="7"/>
  <c r="I1196" i="7"/>
  <c r="J1196" i="7"/>
  <c r="K1196" i="7"/>
  <c r="L1196" i="7"/>
  <c r="M1196" i="7"/>
  <c r="N1196" i="7"/>
  <c r="P1196" i="7"/>
  <c r="Q1196" i="7"/>
  <c r="R1196" i="7"/>
  <c r="T1196" i="7"/>
  <c r="U1196" i="7"/>
  <c r="W1196" i="7"/>
  <c r="X1196" i="7"/>
  <c r="Y1196" i="7"/>
  <c r="D1197" i="7"/>
  <c r="E1197" i="7"/>
  <c r="F1197" i="7"/>
  <c r="G1197" i="7"/>
  <c r="H1197" i="7"/>
  <c r="I1197" i="7"/>
  <c r="J1197" i="7"/>
  <c r="K1197" i="7"/>
  <c r="L1197" i="7"/>
  <c r="M1197" i="7"/>
  <c r="N1197" i="7"/>
  <c r="P1197" i="7"/>
  <c r="Q1197" i="7"/>
  <c r="R1197" i="7"/>
  <c r="T1197" i="7"/>
  <c r="U1197" i="7"/>
  <c r="W1197" i="7"/>
  <c r="X1197" i="7"/>
  <c r="Y1197" i="7"/>
  <c r="D1198" i="7"/>
  <c r="E1198" i="7"/>
  <c r="F1198" i="7"/>
  <c r="G1198" i="7"/>
  <c r="H1198" i="7"/>
  <c r="I1198" i="7"/>
  <c r="J1198" i="7"/>
  <c r="K1198" i="7"/>
  <c r="L1198" i="7"/>
  <c r="M1198" i="7"/>
  <c r="N1198" i="7"/>
  <c r="P1198" i="7"/>
  <c r="Q1198" i="7"/>
  <c r="R1198" i="7"/>
  <c r="T1198" i="7"/>
  <c r="U1198" i="7"/>
  <c r="W1198" i="7"/>
  <c r="X1198" i="7"/>
  <c r="Y1198" i="7"/>
  <c r="D1199" i="7"/>
  <c r="E1199" i="7"/>
  <c r="F1199" i="7"/>
  <c r="G1199" i="7"/>
  <c r="H1199" i="7"/>
  <c r="I1199" i="7"/>
  <c r="J1199" i="7"/>
  <c r="K1199" i="7"/>
  <c r="L1199" i="7"/>
  <c r="M1199" i="7"/>
  <c r="N1199" i="7"/>
  <c r="P1199" i="7"/>
  <c r="Q1199" i="7"/>
  <c r="R1199" i="7"/>
  <c r="T1199" i="7"/>
  <c r="U1199" i="7"/>
  <c r="W1199" i="7"/>
  <c r="X1199" i="7"/>
  <c r="Y1199" i="7"/>
  <c r="D1200" i="7"/>
  <c r="E1200" i="7"/>
  <c r="F1200" i="7"/>
  <c r="G1200" i="7"/>
  <c r="H1200" i="7"/>
  <c r="I1200" i="7"/>
  <c r="J1200" i="7"/>
  <c r="K1200" i="7"/>
  <c r="L1200" i="7"/>
  <c r="M1200" i="7"/>
  <c r="N1200" i="7"/>
  <c r="P1200" i="7"/>
  <c r="Q1200" i="7"/>
  <c r="R1200" i="7"/>
  <c r="T1200" i="7"/>
  <c r="U1200" i="7"/>
  <c r="W1200" i="7"/>
  <c r="X1200" i="7"/>
  <c r="Y1200" i="7"/>
  <c r="D1201" i="7"/>
  <c r="E1201" i="7"/>
  <c r="F1201" i="7"/>
  <c r="G1201" i="7"/>
  <c r="H1201" i="7"/>
  <c r="I1201" i="7"/>
  <c r="J1201" i="7"/>
  <c r="K1201" i="7"/>
  <c r="L1201" i="7"/>
  <c r="M1201" i="7"/>
  <c r="N1201" i="7"/>
  <c r="P1201" i="7"/>
  <c r="Q1201" i="7"/>
  <c r="R1201" i="7"/>
  <c r="T1201" i="7"/>
  <c r="U1201" i="7"/>
  <c r="W1201" i="7"/>
  <c r="X1201" i="7"/>
  <c r="Y1201" i="7"/>
  <c r="D1202" i="7"/>
  <c r="E1202" i="7"/>
  <c r="F1202" i="7"/>
  <c r="G1202" i="7"/>
  <c r="H1202" i="7"/>
  <c r="I1202" i="7"/>
  <c r="J1202" i="7"/>
  <c r="K1202" i="7"/>
  <c r="L1202" i="7"/>
  <c r="M1202" i="7"/>
  <c r="N1202" i="7"/>
  <c r="P1202" i="7"/>
  <c r="Q1202" i="7"/>
  <c r="R1202" i="7"/>
  <c r="T1202" i="7"/>
  <c r="U1202" i="7"/>
  <c r="W1202" i="7"/>
  <c r="X1202" i="7"/>
  <c r="Y1202" i="7"/>
  <c r="D1203" i="7"/>
  <c r="E1203" i="7"/>
  <c r="F1203" i="7"/>
  <c r="G1203" i="7"/>
  <c r="H1203" i="7"/>
  <c r="I1203" i="7"/>
  <c r="J1203" i="7"/>
  <c r="K1203" i="7"/>
  <c r="L1203" i="7"/>
  <c r="M1203" i="7"/>
  <c r="N1203" i="7"/>
  <c r="P1203" i="7"/>
  <c r="Q1203" i="7"/>
  <c r="R1203" i="7"/>
  <c r="T1203" i="7"/>
  <c r="U1203" i="7"/>
  <c r="W1203" i="7"/>
  <c r="X1203" i="7"/>
  <c r="Y1203" i="7"/>
  <c r="D1204" i="7"/>
  <c r="E1204" i="7"/>
  <c r="F1204" i="7"/>
  <c r="G1204" i="7"/>
  <c r="H1204" i="7"/>
  <c r="I1204" i="7"/>
  <c r="J1204" i="7"/>
  <c r="K1204" i="7"/>
  <c r="L1204" i="7"/>
  <c r="M1204" i="7"/>
  <c r="N1204" i="7"/>
  <c r="P1204" i="7"/>
  <c r="Q1204" i="7"/>
  <c r="R1204" i="7"/>
  <c r="T1204" i="7"/>
  <c r="U1204" i="7"/>
  <c r="W1204" i="7"/>
  <c r="X1204" i="7"/>
  <c r="Y1204" i="7"/>
  <c r="D1205" i="7"/>
  <c r="E1205" i="7"/>
  <c r="F1205" i="7"/>
  <c r="G1205" i="7"/>
  <c r="H1205" i="7"/>
  <c r="I1205" i="7"/>
  <c r="J1205" i="7"/>
  <c r="K1205" i="7"/>
  <c r="L1205" i="7"/>
  <c r="M1205" i="7"/>
  <c r="N1205" i="7"/>
  <c r="P1205" i="7"/>
  <c r="Q1205" i="7"/>
  <c r="R1205" i="7"/>
  <c r="T1205" i="7"/>
  <c r="U1205" i="7"/>
  <c r="W1205" i="7"/>
  <c r="X1205" i="7"/>
  <c r="Y1205" i="7"/>
  <c r="D1206" i="7"/>
  <c r="E1206" i="7"/>
  <c r="F1206" i="7"/>
  <c r="G1206" i="7"/>
  <c r="H1206" i="7"/>
  <c r="I1206" i="7"/>
  <c r="J1206" i="7"/>
  <c r="K1206" i="7"/>
  <c r="L1206" i="7"/>
  <c r="M1206" i="7"/>
  <c r="N1206" i="7"/>
  <c r="P1206" i="7"/>
  <c r="Q1206" i="7"/>
  <c r="R1206" i="7"/>
  <c r="T1206" i="7"/>
  <c r="U1206" i="7"/>
  <c r="Y1206" i="7"/>
  <c r="D1207" i="7"/>
  <c r="E1207" i="7"/>
  <c r="F1207" i="7"/>
  <c r="G1207" i="7"/>
  <c r="H1207" i="7"/>
  <c r="I1207" i="7"/>
  <c r="J1207" i="7"/>
  <c r="K1207" i="7"/>
  <c r="L1207" i="7"/>
  <c r="M1207" i="7"/>
  <c r="N1207" i="7"/>
  <c r="P1207" i="7"/>
  <c r="Q1207" i="7"/>
  <c r="R1207" i="7"/>
  <c r="T1207" i="7"/>
  <c r="U1207" i="7"/>
  <c r="W1207" i="7"/>
  <c r="X1207" i="7"/>
  <c r="Y1207" i="7"/>
  <c r="D1208" i="7"/>
  <c r="E1208" i="7"/>
  <c r="F1208" i="7"/>
  <c r="G1208" i="7"/>
  <c r="H1208" i="7"/>
  <c r="I1208" i="7"/>
  <c r="J1208" i="7"/>
  <c r="K1208" i="7"/>
  <c r="L1208" i="7"/>
  <c r="M1208" i="7"/>
  <c r="N1208" i="7"/>
  <c r="P1208" i="7"/>
  <c r="Q1208" i="7"/>
  <c r="R1208" i="7"/>
  <c r="T1208" i="7"/>
  <c r="V1208" i="7" s="1"/>
  <c r="U1208" i="7"/>
  <c r="W1208" i="7"/>
  <c r="X1208" i="7"/>
  <c r="Y1208" i="7"/>
  <c r="D1209" i="7"/>
  <c r="E1209" i="7"/>
  <c r="F1209" i="7"/>
  <c r="G1209" i="7"/>
  <c r="H1209" i="7"/>
  <c r="I1209" i="7"/>
  <c r="J1209" i="7"/>
  <c r="K1209" i="7"/>
  <c r="L1209" i="7"/>
  <c r="M1209" i="7"/>
  <c r="N1209" i="7"/>
  <c r="P1209" i="7"/>
  <c r="Q1209" i="7"/>
  <c r="R1209" i="7"/>
  <c r="T1209" i="7"/>
  <c r="U1209" i="7"/>
  <c r="W1209" i="7"/>
  <c r="X1209" i="7"/>
  <c r="Y1209" i="7"/>
  <c r="D1210" i="7"/>
  <c r="E1210" i="7"/>
  <c r="F1210" i="7"/>
  <c r="G1210" i="7"/>
  <c r="H1210" i="7"/>
  <c r="I1210" i="7"/>
  <c r="J1210" i="7"/>
  <c r="K1210" i="7"/>
  <c r="L1210" i="7"/>
  <c r="M1210" i="7"/>
  <c r="N1210" i="7"/>
  <c r="P1210" i="7"/>
  <c r="Q1210" i="7"/>
  <c r="R1210" i="7"/>
  <c r="T1210" i="7"/>
  <c r="V1210" i="7" s="1"/>
  <c r="U1210" i="7"/>
  <c r="W1210" i="7"/>
  <c r="X1210" i="7"/>
  <c r="Y1210" i="7"/>
  <c r="D1211" i="7"/>
  <c r="E1211" i="7"/>
  <c r="F1211" i="7"/>
  <c r="G1211" i="7"/>
  <c r="H1211" i="7"/>
  <c r="I1211" i="7"/>
  <c r="J1211" i="7"/>
  <c r="K1211" i="7"/>
  <c r="L1211" i="7"/>
  <c r="M1211" i="7"/>
  <c r="N1211" i="7"/>
  <c r="P1211" i="7"/>
  <c r="Q1211" i="7"/>
  <c r="R1211" i="7"/>
  <c r="T1211" i="7"/>
  <c r="U1211" i="7"/>
  <c r="W1211" i="7"/>
  <c r="X1211" i="7"/>
  <c r="Y1211" i="7"/>
  <c r="D1212" i="7"/>
  <c r="E1212" i="7"/>
  <c r="F1212" i="7"/>
  <c r="G1212" i="7"/>
  <c r="H1212" i="7"/>
  <c r="I1212" i="7"/>
  <c r="J1212" i="7"/>
  <c r="K1212" i="7"/>
  <c r="L1212" i="7"/>
  <c r="M1212" i="7"/>
  <c r="N1212" i="7"/>
  <c r="P1212" i="7"/>
  <c r="Q1212" i="7"/>
  <c r="R1212" i="7"/>
  <c r="T1212" i="7"/>
  <c r="U1212" i="7"/>
  <c r="W1212" i="7"/>
  <c r="X1212" i="7"/>
  <c r="Y1212" i="7"/>
  <c r="D1213" i="7"/>
  <c r="E1213" i="7"/>
  <c r="F1213" i="7"/>
  <c r="G1213" i="7"/>
  <c r="H1213" i="7"/>
  <c r="I1213" i="7"/>
  <c r="J1213" i="7"/>
  <c r="K1213" i="7"/>
  <c r="L1213" i="7"/>
  <c r="M1213" i="7"/>
  <c r="N1213" i="7"/>
  <c r="P1213" i="7"/>
  <c r="Q1213" i="7"/>
  <c r="R1213" i="7"/>
  <c r="T1213" i="7"/>
  <c r="U1213" i="7"/>
  <c r="W1213" i="7"/>
  <c r="X1213" i="7"/>
  <c r="Y1213" i="7"/>
  <c r="D1214" i="7"/>
  <c r="E1214" i="7"/>
  <c r="F1214" i="7"/>
  <c r="G1214" i="7"/>
  <c r="H1214" i="7"/>
  <c r="I1214" i="7"/>
  <c r="J1214" i="7"/>
  <c r="K1214" i="7"/>
  <c r="L1214" i="7"/>
  <c r="M1214" i="7"/>
  <c r="N1214" i="7"/>
  <c r="P1214" i="7"/>
  <c r="Q1214" i="7"/>
  <c r="R1214" i="7"/>
  <c r="T1214" i="7"/>
  <c r="V1214" i="7" s="1"/>
  <c r="U1214" i="7"/>
  <c r="W1214" i="7"/>
  <c r="X1214" i="7"/>
  <c r="Y1214" i="7"/>
  <c r="D1215" i="7"/>
  <c r="E1215" i="7"/>
  <c r="F1215" i="7"/>
  <c r="G1215" i="7"/>
  <c r="H1215" i="7"/>
  <c r="I1215" i="7"/>
  <c r="J1215" i="7"/>
  <c r="K1215" i="7"/>
  <c r="L1215" i="7"/>
  <c r="M1215" i="7"/>
  <c r="N1215" i="7"/>
  <c r="P1215" i="7"/>
  <c r="Q1215" i="7"/>
  <c r="R1215" i="7"/>
  <c r="T1215" i="7"/>
  <c r="U1215" i="7"/>
  <c r="W1215" i="7"/>
  <c r="X1215" i="7"/>
  <c r="Y1215" i="7"/>
  <c r="D1216" i="7"/>
  <c r="E1216" i="7"/>
  <c r="F1216" i="7"/>
  <c r="G1216" i="7"/>
  <c r="H1216" i="7"/>
  <c r="I1216" i="7"/>
  <c r="J1216" i="7"/>
  <c r="K1216" i="7"/>
  <c r="L1216" i="7"/>
  <c r="M1216" i="7"/>
  <c r="N1216" i="7"/>
  <c r="P1216" i="7"/>
  <c r="Q1216" i="7"/>
  <c r="R1216" i="7"/>
  <c r="T1216" i="7"/>
  <c r="U1216" i="7"/>
  <c r="W1216" i="7"/>
  <c r="X1216" i="7"/>
  <c r="Y1216" i="7"/>
  <c r="D1217" i="7"/>
  <c r="E1217" i="7"/>
  <c r="F1217" i="7"/>
  <c r="G1217" i="7"/>
  <c r="H1217" i="7"/>
  <c r="I1217" i="7"/>
  <c r="J1217" i="7"/>
  <c r="K1217" i="7"/>
  <c r="L1217" i="7"/>
  <c r="M1217" i="7"/>
  <c r="N1217" i="7"/>
  <c r="P1217" i="7"/>
  <c r="Q1217" i="7"/>
  <c r="R1217" i="7"/>
  <c r="T1217" i="7"/>
  <c r="U1217" i="7"/>
  <c r="W1217" i="7"/>
  <c r="X1217" i="7"/>
  <c r="Y1217" i="7"/>
  <c r="D1218" i="7"/>
  <c r="E1218" i="7"/>
  <c r="F1218" i="7"/>
  <c r="G1218" i="7"/>
  <c r="H1218" i="7"/>
  <c r="I1218" i="7"/>
  <c r="J1218" i="7"/>
  <c r="K1218" i="7"/>
  <c r="L1218" i="7"/>
  <c r="M1218" i="7"/>
  <c r="N1218" i="7"/>
  <c r="P1218" i="7"/>
  <c r="Q1218" i="7"/>
  <c r="R1218" i="7"/>
  <c r="T1218" i="7"/>
  <c r="U1218" i="7"/>
  <c r="W1218" i="7"/>
  <c r="X1218" i="7"/>
  <c r="Y1218" i="7"/>
  <c r="D1219" i="7"/>
  <c r="E1219" i="7"/>
  <c r="F1219" i="7"/>
  <c r="G1219" i="7"/>
  <c r="H1219" i="7"/>
  <c r="I1219" i="7"/>
  <c r="J1219" i="7"/>
  <c r="K1219" i="7"/>
  <c r="L1219" i="7"/>
  <c r="M1219" i="7"/>
  <c r="N1219" i="7"/>
  <c r="P1219" i="7"/>
  <c r="Q1219" i="7"/>
  <c r="R1219" i="7"/>
  <c r="T1219" i="7"/>
  <c r="U1219" i="7"/>
  <c r="W1219" i="7"/>
  <c r="X1219" i="7"/>
  <c r="Y1219" i="7"/>
  <c r="D1220" i="7"/>
  <c r="E1220" i="7"/>
  <c r="F1220" i="7"/>
  <c r="G1220" i="7"/>
  <c r="H1220" i="7"/>
  <c r="I1220" i="7"/>
  <c r="J1220" i="7"/>
  <c r="K1220" i="7"/>
  <c r="L1220" i="7"/>
  <c r="M1220" i="7"/>
  <c r="N1220" i="7"/>
  <c r="P1220" i="7"/>
  <c r="Q1220" i="7"/>
  <c r="R1220" i="7"/>
  <c r="T1220" i="7"/>
  <c r="V1220" i="7" s="1"/>
  <c r="U1220" i="7"/>
  <c r="W1220" i="7"/>
  <c r="X1220" i="7"/>
  <c r="Y1220" i="7"/>
  <c r="D1221" i="7"/>
  <c r="E1221" i="7"/>
  <c r="F1221" i="7"/>
  <c r="G1221" i="7"/>
  <c r="H1221" i="7"/>
  <c r="I1221" i="7"/>
  <c r="J1221" i="7"/>
  <c r="K1221" i="7"/>
  <c r="L1221" i="7"/>
  <c r="M1221" i="7"/>
  <c r="N1221" i="7"/>
  <c r="P1221" i="7"/>
  <c r="Q1221" i="7"/>
  <c r="R1221" i="7"/>
  <c r="T1221" i="7"/>
  <c r="U1221" i="7"/>
  <c r="W1221" i="7"/>
  <c r="X1221" i="7"/>
  <c r="Y1221" i="7"/>
  <c r="D1222" i="7"/>
  <c r="E1222" i="7"/>
  <c r="F1222" i="7"/>
  <c r="G1222" i="7"/>
  <c r="H1222" i="7"/>
  <c r="I1222" i="7"/>
  <c r="J1222" i="7"/>
  <c r="K1222" i="7"/>
  <c r="L1222" i="7"/>
  <c r="M1222" i="7"/>
  <c r="N1222" i="7"/>
  <c r="P1222" i="7"/>
  <c r="Q1222" i="7"/>
  <c r="R1222" i="7"/>
  <c r="T1222" i="7"/>
  <c r="U1222" i="7"/>
  <c r="W1222" i="7"/>
  <c r="X1222" i="7"/>
  <c r="Y1222" i="7"/>
  <c r="D1223" i="7"/>
  <c r="E1223" i="7"/>
  <c r="F1223" i="7"/>
  <c r="G1223" i="7"/>
  <c r="H1223" i="7"/>
  <c r="I1223" i="7"/>
  <c r="J1223" i="7"/>
  <c r="K1223" i="7"/>
  <c r="L1223" i="7"/>
  <c r="M1223" i="7"/>
  <c r="N1223" i="7"/>
  <c r="P1223" i="7"/>
  <c r="Q1223" i="7"/>
  <c r="R1223" i="7"/>
  <c r="T1223" i="7"/>
  <c r="U1223" i="7"/>
  <c r="W1223" i="7"/>
  <c r="X1223" i="7"/>
  <c r="Y1223" i="7"/>
  <c r="D1224" i="7"/>
  <c r="E1224" i="7"/>
  <c r="F1224" i="7"/>
  <c r="G1224" i="7"/>
  <c r="H1224" i="7"/>
  <c r="I1224" i="7"/>
  <c r="J1224" i="7"/>
  <c r="K1224" i="7"/>
  <c r="L1224" i="7"/>
  <c r="M1224" i="7"/>
  <c r="N1224" i="7"/>
  <c r="P1224" i="7"/>
  <c r="Q1224" i="7"/>
  <c r="R1224" i="7"/>
  <c r="T1224" i="7"/>
  <c r="V1224" i="7" s="1"/>
  <c r="U1224" i="7"/>
  <c r="W1224" i="7"/>
  <c r="X1224" i="7"/>
  <c r="Y1224" i="7"/>
  <c r="D1225" i="7"/>
  <c r="E1225" i="7"/>
  <c r="F1225" i="7"/>
  <c r="G1225" i="7"/>
  <c r="H1225" i="7"/>
  <c r="I1225" i="7"/>
  <c r="J1225" i="7"/>
  <c r="K1225" i="7"/>
  <c r="L1225" i="7"/>
  <c r="M1225" i="7"/>
  <c r="N1225" i="7"/>
  <c r="P1225" i="7"/>
  <c r="Q1225" i="7"/>
  <c r="S1225" i="7" s="1"/>
  <c r="R1225" i="7"/>
  <c r="T1225" i="7"/>
  <c r="U1225" i="7"/>
  <c r="W1225" i="7"/>
  <c r="X1225" i="7"/>
  <c r="Y1225" i="7"/>
  <c r="D1226" i="7"/>
  <c r="E1226" i="7"/>
  <c r="F1226" i="7"/>
  <c r="G1226" i="7"/>
  <c r="H1226" i="7"/>
  <c r="I1226" i="7"/>
  <c r="J1226" i="7"/>
  <c r="K1226" i="7"/>
  <c r="L1226" i="7"/>
  <c r="M1226" i="7"/>
  <c r="N1226" i="7"/>
  <c r="P1226" i="7"/>
  <c r="Q1226" i="7"/>
  <c r="R1226" i="7"/>
  <c r="T1226" i="7"/>
  <c r="V1226" i="7" s="1"/>
  <c r="U1226" i="7"/>
  <c r="W1226" i="7"/>
  <c r="X1226" i="7"/>
  <c r="Y1226" i="7"/>
  <c r="D1227" i="7"/>
  <c r="E1227" i="7"/>
  <c r="F1227" i="7"/>
  <c r="G1227" i="7"/>
  <c r="H1227" i="7"/>
  <c r="I1227" i="7"/>
  <c r="J1227" i="7"/>
  <c r="K1227" i="7"/>
  <c r="L1227" i="7"/>
  <c r="M1227" i="7"/>
  <c r="N1227" i="7"/>
  <c r="P1227" i="7"/>
  <c r="Q1227" i="7"/>
  <c r="S1227" i="7" s="1"/>
  <c r="R1227" i="7"/>
  <c r="T1227" i="7"/>
  <c r="U1227" i="7"/>
  <c r="W1227" i="7"/>
  <c r="X1227" i="7"/>
  <c r="Y1227" i="7"/>
  <c r="D1228" i="7"/>
  <c r="E1228" i="7"/>
  <c r="F1228" i="7"/>
  <c r="G1228" i="7"/>
  <c r="H1228" i="7"/>
  <c r="I1228" i="7"/>
  <c r="J1228" i="7"/>
  <c r="K1228" i="7"/>
  <c r="L1228" i="7"/>
  <c r="M1228" i="7"/>
  <c r="N1228" i="7"/>
  <c r="P1228" i="7"/>
  <c r="Q1228" i="7"/>
  <c r="R1228" i="7"/>
  <c r="T1228" i="7"/>
  <c r="U1228" i="7"/>
  <c r="W1228" i="7"/>
  <c r="X1228" i="7"/>
  <c r="Y1228" i="7"/>
  <c r="D1229" i="7"/>
  <c r="E1229" i="7"/>
  <c r="F1229" i="7"/>
  <c r="G1229" i="7"/>
  <c r="H1229" i="7"/>
  <c r="I1229" i="7"/>
  <c r="J1229" i="7"/>
  <c r="K1229" i="7"/>
  <c r="L1229" i="7"/>
  <c r="M1229" i="7"/>
  <c r="N1229" i="7"/>
  <c r="P1229" i="7"/>
  <c r="Q1229" i="7"/>
  <c r="R1229" i="7"/>
  <c r="T1229" i="7"/>
  <c r="U1229" i="7"/>
  <c r="W1229" i="7"/>
  <c r="X1229" i="7"/>
  <c r="Y1229" i="7"/>
  <c r="D1230" i="7"/>
  <c r="E1230" i="7"/>
  <c r="F1230" i="7"/>
  <c r="G1230" i="7"/>
  <c r="H1230" i="7"/>
  <c r="I1230" i="7"/>
  <c r="J1230" i="7"/>
  <c r="K1230" i="7"/>
  <c r="L1230" i="7"/>
  <c r="M1230" i="7"/>
  <c r="N1230" i="7"/>
  <c r="P1230" i="7"/>
  <c r="Q1230" i="7"/>
  <c r="R1230" i="7"/>
  <c r="T1230" i="7"/>
  <c r="U1230" i="7"/>
  <c r="W1230" i="7"/>
  <c r="X1230" i="7"/>
  <c r="Y1230" i="7"/>
  <c r="D1231" i="7"/>
  <c r="E1231" i="7"/>
  <c r="F1231" i="7"/>
  <c r="G1231" i="7"/>
  <c r="H1231" i="7"/>
  <c r="I1231" i="7"/>
  <c r="J1231" i="7"/>
  <c r="K1231" i="7"/>
  <c r="L1231" i="7"/>
  <c r="M1231" i="7"/>
  <c r="N1231" i="7"/>
  <c r="P1231" i="7"/>
  <c r="Q1231" i="7"/>
  <c r="R1231" i="7"/>
  <c r="T1231" i="7"/>
  <c r="U1231" i="7"/>
  <c r="W1231" i="7"/>
  <c r="X1231" i="7"/>
  <c r="Y1231" i="7"/>
  <c r="D1232" i="7"/>
  <c r="E1232" i="7"/>
  <c r="F1232" i="7"/>
  <c r="G1232" i="7"/>
  <c r="H1232" i="7"/>
  <c r="I1232" i="7"/>
  <c r="J1232" i="7"/>
  <c r="K1232" i="7"/>
  <c r="L1232" i="7"/>
  <c r="M1232" i="7"/>
  <c r="N1232" i="7"/>
  <c r="P1232" i="7"/>
  <c r="Q1232" i="7"/>
  <c r="R1232" i="7"/>
  <c r="T1232" i="7"/>
  <c r="U1232" i="7"/>
  <c r="W1232" i="7"/>
  <c r="X1232" i="7"/>
  <c r="Y1232" i="7"/>
  <c r="D1233" i="7"/>
  <c r="E1233" i="7"/>
  <c r="F1233" i="7"/>
  <c r="G1233" i="7"/>
  <c r="H1233" i="7"/>
  <c r="I1233" i="7"/>
  <c r="J1233" i="7"/>
  <c r="K1233" i="7"/>
  <c r="L1233" i="7"/>
  <c r="M1233" i="7"/>
  <c r="N1233" i="7"/>
  <c r="P1233" i="7"/>
  <c r="Q1233" i="7"/>
  <c r="R1233" i="7"/>
  <c r="T1233" i="7"/>
  <c r="U1233" i="7"/>
  <c r="W1233" i="7"/>
  <c r="X1233" i="7"/>
  <c r="Y1233" i="7"/>
  <c r="D1234" i="7"/>
  <c r="E1234" i="7"/>
  <c r="F1234" i="7"/>
  <c r="G1234" i="7"/>
  <c r="H1234" i="7"/>
  <c r="I1234" i="7"/>
  <c r="J1234" i="7"/>
  <c r="K1234" i="7"/>
  <c r="L1234" i="7"/>
  <c r="M1234" i="7"/>
  <c r="N1234" i="7"/>
  <c r="P1234" i="7"/>
  <c r="Q1234" i="7"/>
  <c r="R1234" i="7"/>
  <c r="T1234" i="7"/>
  <c r="U1234" i="7"/>
  <c r="W1234" i="7"/>
  <c r="X1234" i="7"/>
  <c r="Y1234" i="7"/>
  <c r="D1235" i="7"/>
  <c r="E1235" i="7"/>
  <c r="F1235" i="7"/>
  <c r="G1235" i="7"/>
  <c r="H1235" i="7"/>
  <c r="I1235" i="7"/>
  <c r="J1235" i="7"/>
  <c r="K1235" i="7"/>
  <c r="L1235" i="7"/>
  <c r="M1235" i="7"/>
  <c r="N1235" i="7"/>
  <c r="P1235" i="7"/>
  <c r="Q1235" i="7"/>
  <c r="R1235" i="7"/>
  <c r="T1235" i="7"/>
  <c r="U1235" i="7"/>
  <c r="W1235" i="7"/>
  <c r="X1235" i="7"/>
  <c r="Y1235" i="7"/>
  <c r="D1236" i="7"/>
  <c r="E1236" i="7"/>
  <c r="F1236" i="7"/>
  <c r="G1236" i="7"/>
  <c r="H1236" i="7"/>
  <c r="I1236" i="7"/>
  <c r="J1236" i="7"/>
  <c r="K1236" i="7"/>
  <c r="L1236" i="7"/>
  <c r="M1236" i="7"/>
  <c r="N1236" i="7"/>
  <c r="P1236" i="7"/>
  <c r="Q1236" i="7"/>
  <c r="R1236" i="7"/>
  <c r="T1236" i="7"/>
  <c r="V1236" i="7" s="1"/>
  <c r="U1236" i="7"/>
  <c r="W1236" i="7"/>
  <c r="X1236" i="7"/>
  <c r="Y1236" i="7"/>
  <c r="D1237" i="7"/>
  <c r="E1237" i="7"/>
  <c r="F1237" i="7"/>
  <c r="G1237" i="7"/>
  <c r="H1237" i="7"/>
  <c r="I1237" i="7"/>
  <c r="J1237" i="7"/>
  <c r="K1237" i="7"/>
  <c r="L1237" i="7"/>
  <c r="M1237" i="7"/>
  <c r="N1237" i="7"/>
  <c r="P1237" i="7"/>
  <c r="Q1237" i="7"/>
  <c r="R1237" i="7"/>
  <c r="T1237" i="7"/>
  <c r="U1237" i="7"/>
  <c r="W1237" i="7"/>
  <c r="X1237" i="7"/>
  <c r="Y1237" i="7"/>
  <c r="D1238" i="7"/>
  <c r="E1238" i="7"/>
  <c r="F1238" i="7"/>
  <c r="G1238" i="7"/>
  <c r="H1238" i="7"/>
  <c r="I1238" i="7"/>
  <c r="J1238" i="7"/>
  <c r="K1238" i="7"/>
  <c r="L1238" i="7"/>
  <c r="M1238" i="7"/>
  <c r="N1238" i="7"/>
  <c r="P1238" i="7"/>
  <c r="Q1238" i="7"/>
  <c r="R1238" i="7"/>
  <c r="T1238" i="7"/>
  <c r="U1238" i="7"/>
  <c r="W1238" i="7"/>
  <c r="X1238" i="7"/>
  <c r="Y1238" i="7"/>
  <c r="D1239" i="7"/>
  <c r="E1239" i="7"/>
  <c r="F1239" i="7"/>
  <c r="G1239" i="7"/>
  <c r="H1239" i="7"/>
  <c r="I1239" i="7"/>
  <c r="J1239" i="7"/>
  <c r="K1239" i="7"/>
  <c r="L1239" i="7"/>
  <c r="M1239" i="7"/>
  <c r="N1239" i="7"/>
  <c r="P1239" i="7"/>
  <c r="Q1239" i="7"/>
  <c r="R1239" i="7"/>
  <c r="T1239" i="7"/>
  <c r="U1239" i="7"/>
  <c r="W1239" i="7"/>
  <c r="X1239" i="7"/>
  <c r="Y1239" i="7"/>
  <c r="D1240" i="7"/>
  <c r="E1240" i="7"/>
  <c r="F1240" i="7"/>
  <c r="G1240" i="7"/>
  <c r="H1240" i="7"/>
  <c r="I1240" i="7"/>
  <c r="J1240" i="7"/>
  <c r="K1240" i="7"/>
  <c r="L1240" i="7"/>
  <c r="M1240" i="7"/>
  <c r="N1240" i="7"/>
  <c r="P1240" i="7"/>
  <c r="Q1240" i="7"/>
  <c r="R1240" i="7"/>
  <c r="T1240" i="7"/>
  <c r="V1240" i="7" s="1"/>
  <c r="U1240" i="7"/>
  <c r="W1240" i="7"/>
  <c r="X1240" i="7"/>
  <c r="Y1240" i="7"/>
  <c r="D1241" i="7"/>
  <c r="E1241" i="7"/>
  <c r="F1241" i="7"/>
  <c r="G1241" i="7"/>
  <c r="H1241" i="7"/>
  <c r="I1241" i="7"/>
  <c r="J1241" i="7"/>
  <c r="K1241" i="7"/>
  <c r="L1241" i="7"/>
  <c r="M1241" i="7"/>
  <c r="N1241" i="7"/>
  <c r="P1241" i="7"/>
  <c r="Q1241" i="7"/>
  <c r="R1241" i="7"/>
  <c r="T1241" i="7"/>
  <c r="U1241" i="7"/>
  <c r="W1241" i="7"/>
  <c r="X1241" i="7"/>
  <c r="Y1241" i="7"/>
  <c r="D1242" i="7"/>
  <c r="E1242" i="7"/>
  <c r="F1242" i="7"/>
  <c r="G1242" i="7"/>
  <c r="H1242" i="7"/>
  <c r="I1242" i="7"/>
  <c r="J1242" i="7"/>
  <c r="K1242" i="7"/>
  <c r="L1242" i="7"/>
  <c r="M1242" i="7"/>
  <c r="N1242" i="7"/>
  <c r="P1242" i="7"/>
  <c r="Q1242" i="7"/>
  <c r="R1242" i="7"/>
  <c r="T1242" i="7"/>
  <c r="U1242" i="7"/>
  <c r="W1242" i="7"/>
  <c r="X1242" i="7"/>
  <c r="Y1242" i="7"/>
  <c r="D1243" i="7"/>
  <c r="E1243" i="7"/>
  <c r="F1243" i="7"/>
  <c r="G1243" i="7"/>
  <c r="H1243" i="7"/>
  <c r="I1243" i="7"/>
  <c r="J1243" i="7"/>
  <c r="K1243" i="7"/>
  <c r="L1243" i="7"/>
  <c r="M1243" i="7"/>
  <c r="N1243" i="7"/>
  <c r="P1243" i="7"/>
  <c r="Q1243" i="7"/>
  <c r="R1243" i="7"/>
  <c r="T1243" i="7"/>
  <c r="U1243" i="7"/>
  <c r="W1243" i="7"/>
  <c r="X1243" i="7"/>
  <c r="Y1243" i="7"/>
  <c r="D1244" i="7"/>
  <c r="E1244" i="7"/>
  <c r="F1244" i="7"/>
  <c r="G1244" i="7"/>
  <c r="H1244" i="7"/>
  <c r="I1244" i="7"/>
  <c r="J1244" i="7"/>
  <c r="K1244" i="7"/>
  <c r="L1244" i="7"/>
  <c r="M1244" i="7"/>
  <c r="N1244" i="7"/>
  <c r="P1244" i="7"/>
  <c r="Q1244" i="7"/>
  <c r="R1244" i="7"/>
  <c r="T1244" i="7"/>
  <c r="U1244" i="7"/>
  <c r="W1244" i="7"/>
  <c r="X1244" i="7"/>
  <c r="Y1244" i="7"/>
  <c r="D1245" i="7"/>
  <c r="E1245" i="7"/>
  <c r="F1245" i="7"/>
  <c r="G1245" i="7"/>
  <c r="H1245" i="7"/>
  <c r="I1245" i="7"/>
  <c r="J1245" i="7"/>
  <c r="K1245" i="7"/>
  <c r="L1245" i="7"/>
  <c r="M1245" i="7"/>
  <c r="N1245" i="7"/>
  <c r="P1245" i="7"/>
  <c r="Q1245" i="7"/>
  <c r="R1245" i="7"/>
  <c r="T1245" i="7"/>
  <c r="U1245" i="7"/>
  <c r="W1245" i="7"/>
  <c r="X1245" i="7"/>
  <c r="Y1245" i="7"/>
  <c r="D1246" i="7"/>
  <c r="E1246" i="7"/>
  <c r="F1246" i="7"/>
  <c r="G1246" i="7"/>
  <c r="H1246" i="7"/>
  <c r="I1246" i="7"/>
  <c r="J1246" i="7"/>
  <c r="K1246" i="7"/>
  <c r="L1246" i="7"/>
  <c r="M1246" i="7"/>
  <c r="N1246" i="7"/>
  <c r="P1246" i="7"/>
  <c r="Q1246" i="7"/>
  <c r="R1246" i="7"/>
  <c r="T1246" i="7"/>
  <c r="U1246" i="7"/>
  <c r="W1246" i="7"/>
  <c r="X1246" i="7"/>
  <c r="Y1246" i="7"/>
  <c r="D1247" i="7"/>
  <c r="E1247" i="7"/>
  <c r="F1247" i="7"/>
  <c r="G1247" i="7"/>
  <c r="H1247" i="7"/>
  <c r="I1247" i="7"/>
  <c r="J1247" i="7"/>
  <c r="K1247" i="7"/>
  <c r="L1247" i="7"/>
  <c r="M1247" i="7"/>
  <c r="N1247" i="7"/>
  <c r="P1247" i="7"/>
  <c r="Q1247" i="7"/>
  <c r="R1247" i="7"/>
  <c r="T1247" i="7"/>
  <c r="U1247" i="7"/>
  <c r="W1247" i="7"/>
  <c r="X1247" i="7"/>
  <c r="Y1247" i="7"/>
  <c r="D1248" i="7"/>
  <c r="E1248" i="7"/>
  <c r="F1248" i="7"/>
  <c r="G1248" i="7"/>
  <c r="H1248" i="7"/>
  <c r="I1248" i="7"/>
  <c r="J1248" i="7"/>
  <c r="K1248" i="7"/>
  <c r="L1248" i="7"/>
  <c r="M1248" i="7"/>
  <c r="N1248" i="7"/>
  <c r="P1248" i="7"/>
  <c r="Q1248" i="7"/>
  <c r="R1248" i="7"/>
  <c r="T1248" i="7"/>
  <c r="U1248" i="7"/>
  <c r="W1248" i="7"/>
  <c r="X1248" i="7"/>
  <c r="Y1248" i="7"/>
  <c r="D1249" i="7"/>
  <c r="E1249" i="7"/>
  <c r="F1249" i="7"/>
  <c r="G1249" i="7"/>
  <c r="H1249" i="7"/>
  <c r="I1249" i="7"/>
  <c r="J1249" i="7"/>
  <c r="K1249" i="7"/>
  <c r="L1249" i="7"/>
  <c r="M1249" i="7"/>
  <c r="N1249" i="7"/>
  <c r="P1249" i="7"/>
  <c r="Q1249" i="7"/>
  <c r="R1249" i="7"/>
  <c r="T1249" i="7"/>
  <c r="U1249" i="7"/>
  <c r="W1249" i="7"/>
  <c r="X1249" i="7"/>
  <c r="Y1249" i="7"/>
  <c r="D1250" i="7"/>
  <c r="E1250" i="7"/>
  <c r="F1250" i="7"/>
  <c r="G1250" i="7"/>
  <c r="H1250" i="7"/>
  <c r="I1250" i="7"/>
  <c r="J1250" i="7"/>
  <c r="K1250" i="7"/>
  <c r="L1250" i="7"/>
  <c r="M1250" i="7"/>
  <c r="N1250" i="7"/>
  <c r="P1250" i="7"/>
  <c r="Q1250" i="7"/>
  <c r="R1250" i="7"/>
  <c r="T1250" i="7"/>
  <c r="V1250" i="7" s="1"/>
  <c r="U1250" i="7"/>
  <c r="W1250" i="7"/>
  <c r="X1250" i="7"/>
  <c r="Y1250" i="7"/>
  <c r="D1251" i="7"/>
  <c r="E1251" i="7"/>
  <c r="F1251" i="7"/>
  <c r="G1251" i="7"/>
  <c r="H1251" i="7"/>
  <c r="I1251" i="7"/>
  <c r="J1251" i="7"/>
  <c r="K1251" i="7"/>
  <c r="L1251" i="7"/>
  <c r="M1251" i="7"/>
  <c r="N1251" i="7"/>
  <c r="P1251" i="7"/>
  <c r="Q1251" i="7"/>
  <c r="R1251" i="7"/>
  <c r="T1251" i="7"/>
  <c r="U1251" i="7"/>
  <c r="W1251" i="7"/>
  <c r="X1251" i="7"/>
  <c r="Y1251" i="7"/>
  <c r="D1252" i="7"/>
  <c r="E1252" i="7"/>
  <c r="F1252" i="7"/>
  <c r="G1252" i="7"/>
  <c r="H1252" i="7"/>
  <c r="I1252" i="7"/>
  <c r="J1252" i="7"/>
  <c r="K1252" i="7"/>
  <c r="L1252" i="7"/>
  <c r="M1252" i="7"/>
  <c r="N1252" i="7"/>
  <c r="P1252" i="7"/>
  <c r="Q1252" i="7"/>
  <c r="R1252" i="7"/>
  <c r="T1252" i="7"/>
  <c r="U1252" i="7"/>
  <c r="W1252" i="7"/>
  <c r="X1252" i="7"/>
  <c r="Y1252" i="7"/>
  <c r="D1253" i="7"/>
  <c r="E1253" i="7"/>
  <c r="F1253" i="7"/>
  <c r="G1253" i="7"/>
  <c r="H1253" i="7"/>
  <c r="I1253" i="7"/>
  <c r="J1253" i="7"/>
  <c r="K1253" i="7"/>
  <c r="L1253" i="7"/>
  <c r="M1253" i="7"/>
  <c r="N1253" i="7"/>
  <c r="P1253" i="7"/>
  <c r="Q1253" i="7"/>
  <c r="R1253" i="7"/>
  <c r="T1253" i="7"/>
  <c r="U1253" i="7"/>
  <c r="W1253" i="7"/>
  <c r="X1253" i="7"/>
  <c r="Y1253" i="7"/>
  <c r="D1254" i="7"/>
  <c r="E1254" i="7"/>
  <c r="F1254" i="7"/>
  <c r="G1254" i="7"/>
  <c r="H1254" i="7"/>
  <c r="I1254" i="7"/>
  <c r="J1254" i="7"/>
  <c r="K1254" i="7"/>
  <c r="L1254" i="7"/>
  <c r="M1254" i="7"/>
  <c r="N1254" i="7"/>
  <c r="P1254" i="7"/>
  <c r="Q1254" i="7"/>
  <c r="R1254" i="7"/>
  <c r="T1254" i="7"/>
  <c r="U1254" i="7"/>
  <c r="W1254" i="7"/>
  <c r="X1254" i="7"/>
  <c r="Y1254" i="7"/>
  <c r="D1255" i="7"/>
  <c r="E1255" i="7"/>
  <c r="F1255" i="7"/>
  <c r="G1255" i="7"/>
  <c r="H1255" i="7"/>
  <c r="I1255" i="7"/>
  <c r="J1255" i="7"/>
  <c r="K1255" i="7"/>
  <c r="L1255" i="7"/>
  <c r="M1255" i="7"/>
  <c r="N1255" i="7"/>
  <c r="P1255" i="7"/>
  <c r="Q1255" i="7"/>
  <c r="R1255" i="7"/>
  <c r="T1255" i="7"/>
  <c r="U1255" i="7"/>
  <c r="W1255" i="7"/>
  <c r="X1255" i="7"/>
  <c r="Y1255" i="7"/>
  <c r="D1256" i="7"/>
  <c r="E1256" i="7"/>
  <c r="F1256" i="7"/>
  <c r="G1256" i="7"/>
  <c r="H1256" i="7"/>
  <c r="I1256" i="7"/>
  <c r="J1256" i="7"/>
  <c r="K1256" i="7"/>
  <c r="L1256" i="7"/>
  <c r="M1256" i="7"/>
  <c r="N1256" i="7"/>
  <c r="P1256" i="7"/>
  <c r="Q1256" i="7"/>
  <c r="R1256" i="7"/>
  <c r="T1256" i="7"/>
  <c r="U1256" i="7"/>
  <c r="W1256" i="7"/>
  <c r="X1256" i="7"/>
  <c r="Y1256" i="7"/>
  <c r="D1257" i="7"/>
  <c r="E1257" i="7"/>
  <c r="F1257" i="7"/>
  <c r="G1257" i="7"/>
  <c r="H1257" i="7"/>
  <c r="I1257" i="7"/>
  <c r="J1257" i="7"/>
  <c r="K1257" i="7"/>
  <c r="L1257" i="7"/>
  <c r="M1257" i="7"/>
  <c r="N1257" i="7"/>
  <c r="P1257" i="7"/>
  <c r="Q1257" i="7"/>
  <c r="R1257" i="7"/>
  <c r="T1257" i="7"/>
  <c r="U1257" i="7"/>
  <c r="D1258" i="7"/>
  <c r="E1258" i="7"/>
  <c r="F1258" i="7"/>
  <c r="G1258" i="7"/>
  <c r="H1258" i="7"/>
  <c r="I1258" i="7"/>
  <c r="J1258" i="7"/>
  <c r="K1258" i="7"/>
  <c r="L1258" i="7"/>
  <c r="M1258" i="7"/>
  <c r="N1258" i="7"/>
  <c r="P1258" i="7"/>
  <c r="Q1258" i="7"/>
  <c r="R1258" i="7"/>
  <c r="T1258" i="7"/>
  <c r="U1258" i="7"/>
  <c r="W1258" i="7"/>
  <c r="X1258" i="7"/>
  <c r="Y1258" i="7"/>
  <c r="D1259" i="7"/>
  <c r="E1259" i="7"/>
  <c r="F1259" i="7"/>
  <c r="G1259" i="7"/>
  <c r="H1259" i="7"/>
  <c r="I1259" i="7"/>
  <c r="J1259" i="7"/>
  <c r="K1259" i="7"/>
  <c r="L1259" i="7"/>
  <c r="M1259" i="7"/>
  <c r="N1259" i="7"/>
  <c r="P1259" i="7"/>
  <c r="Q1259" i="7"/>
  <c r="R1259" i="7"/>
  <c r="T1259" i="7"/>
  <c r="U1259" i="7"/>
  <c r="W1259" i="7"/>
  <c r="X1259" i="7"/>
  <c r="Y1259" i="7"/>
  <c r="D1260" i="7"/>
  <c r="E1260" i="7"/>
  <c r="F1260" i="7"/>
  <c r="G1260" i="7"/>
  <c r="H1260" i="7"/>
  <c r="I1260" i="7"/>
  <c r="J1260" i="7"/>
  <c r="K1260" i="7"/>
  <c r="L1260" i="7"/>
  <c r="M1260" i="7"/>
  <c r="N1260" i="7"/>
  <c r="P1260" i="7"/>
  <c r="Q1260" i="7"/>
  <c r="R1260" i="7"/>
  <c r="T1260" i="7"/>
  <c r="U1260" i="7"/>
  <c r="W1260" i="7"/>
  <c r="X1260" i="7"/>
  <c r="Y1260" i="7"/>
  <c r="D1261" i="7"/>
  <c r="E1261" i="7"/>
  <c r="F1261" i="7"/>
  <c r="G1261" i="7"/>
  <c r="H1261" i="7"/>
  <c r="I1261" i="7"/>
  <c r="J1261" i="7"/>
  <c r="K1261" i="7"/>
  <c r="L1261" i="7"/>
  <c r="M1261" i="7"/>
  <c r="N1261" i="7"/>
  <c r="P1261" i="7"/>
  <c r="Q1261" i="7"/>
  <c r="R1261" i="7"/>
  <c r="T1261" i="7"/>
  <c r="U1261" i="7"/>
  <c r="W1261" i="7"/>
  <c r="X1261" i="7"/>
  <c r="Y1261" i="7"/>
  <c r="D1262" i="7"/>
  <c r="E1262" i="7"/>
  <c r="F1262" i="7"/>
  <c r="G1262" i="7"/>
  <c r="H1262" i="7"/>
  <c r="I1262" i="7"/>
  <c r="J1262" i="7"/>
  <c r="K1262" i="7"/>
  <c r="L1262" i="7"/>
  <c r="M1262" i="7"/>
  <c r="N1262" i="7"/>
  <c r="P1262" i="7"/>
  <c r="Q1262" i="7"/>
  <c r="R1262" i="7"/>
  <c r="T1262" i="7"/>
  <c r="U1262" i="7"/>
  <c r="W1262" i="7"/>
  <c r="X1262" i="7"/>
  <c r="Y1262" i="7"/>
  <c r="D1263" i="7"/>
  <c r="E1263" i="7"/>
  <c r="F1263" i="7"/>
  <c r="G1263" i="7"/>
  <c r="H1263" i="7"/>
  <c r="I1263" i="7"/>
  <c r="J1263" i="7"/>
  <c r="K1263" i="7"/>
  <c r="L1263" i="7"/>
  <c r="M1263" i="7"/>
  <c r="N1263" i="7"/>
  <c r="P1263" i="7"/>
  <c r="Q1263" i="7"/>
  <c r="R1263" i="7"/>
  <c r="T1263" i="7"/>
  <c r="U1263" i="7"/>
  <c r="W1263" i="7"/>
  <c r="X1263" i="7"/>
  <c r="Y1263" i="7"/>
  <c r="D1264" i="7"/>
  <c r="E1264" i="7"/>
  <c r="F1264" i="7"/>
  <c r="G1264" i="7"/>
  <c r="H1264" i="7"/>
  <c r="I1264" i="7"/>
  <c r="J1264" i="7"/>
  <c r="K1264" i="7"/>
  <c r="L1264" i="7"/>
  <c r="M1264" i="7"/>
  <c r="N1264" i="7"/>
  <c r="P1264" i="7"/>
  <c r="Q1264" i="7"/>
  <c r="R1264" i="7"/>
  <c r="T1264" i="7"/>
  <c r="V1264" i="7" s="1"/>
  <c r="U1264" i="7"/>
  <c r="W1264" i="7"/>
  <c r="X1264" i="7"/>
  <c r="Y1264" i="7"/>
  <c r="D1265" i="7"/>
  <c r="E1265" i="7"/>
  <c r="F1265" i="7"/>
  <c r="G1265" i="7"/>
  <c r="H1265" i="7"/>
  <c r="I1265" i="7"/>
  <c r="J1265" i="7"/>
  <c r="K1265" i="7"/>
  <c r="L1265" i="7"/>
  <c r="M1265" i="7"/>
  <c r="N1265" i="7"/>
  <c r="P1265" i="7"/>
  <c r="Q1265" i="7"/>
  <c r="R1265" i="7"/>
  <c r="T1265" i="7"/>
  <c r="U1265" i="7"/>
  <c r="W1265" i="7"/>
  <c r="X1265" i="7"/>
  <c r="Y1265" i="7"/>
  <c r="D1266" i="7"/>
  <c r="E1266" i="7"/>
  <c r="F1266" i="7"/>
  <c r="G1266" i="7"/>
  <c r="H1266" i="7"/>
  <c r="I1266" i="7"/>
  <c r="J1266" i="7"/>
  <c r="K1266" i="7"/>
  <c r="L1266" i="7"/>
  <c r="M1266" i="7"/>
  <c r="N1266" i="7"/>
  <c r="P1266" i="7"/>
  <c r="Q1266" i="7"/>
  <c r="R1266" i="7"/>
  <c r="T1266" i="7"/>
  <c r="U1266" i="7"/>
  <c r="W1266" i="7"/>
  <c r="X1266" i="7"/>
  <c r="Y1266" i="7"/>
  <c r="D1267" i="7"/>
  <c r="E1267" i="7"/>
  <c r="F1267" i="7"/>
  <c r="G1267" i="7"/>
  <c r="H1267" i="7"/>
  <c r="I1267" i="7"/>
  <c r="J1267" i="7"/>
  <c r="K1267" i="7"/>
  <c r="L1267" i="7"/>
  <c r="M1267" i="7"/>
  <c r="N1267" i="7"/>
  <c r="P1267" i="7"/>
  <c r="Q1267" i="7"/>
  <c r="R1267" i="7"/>
  <c r="T1267" i="7"/>
  <c r="U1267" i="7"/>
  <c r="W1267" i="7"/>
  <c r="X1267" i="7"/>
  <c r="Y1267" i="7"/>
  <c r="D1268" i="7"/>
  <c r="E1268" i="7"/>
  <c r="F1268" i="7"/>
  <c r="G1268" i="7"/>
  <c r="H1268" i="7"/>
  <c r="I1268" i="7"/>
  <c r="J1268" i="7"/>
  <c r="K1268" i="7"/>
  <c r="L1268" i="7"/>
  <c r="M1268" i="7"/>
  <c r="N1268" i="7"/>
  <c r="P1268" i="7"/>
  <c r="Q1268" i="7"/>
  <c r="R1268" i="7"/>
  <c r="T1268" i="7"/>
  <c r="U1268" i="7"/>
  <c r="W1268" i="7"/>
  <c r="X1268" i="7"/>
  <c r="Y1268" i="7"/>
  <c r="D1269" i="7"/>
  <c r="E1269" i="7"/>
  <c r="F1269" i="7"/>
  <c r="G1269" i="7"/>
  <c r="H1269" i="7"/>
  <c r="I1269" i="7"/>
  <c r="J1269" i="7"/>
  <c r="K1269" i="7"/>
  <c r="L1269" i="7"/>
  <c r="M1269" i="7"/>
  <c r="N1269" i="7"/>
  <c r="P1269" i="7"/>
  <c r="Q1269" i="7"/>
  <c r="R1269" i="7"/>
  <c r="T1269" i="7"/>
  <c r="U1269" i="7"/>
  <c r="W1269" i="7"/>
  <c r="X1269" i="7"/>
  <c r="Y1269" i="7"/>
  <c r="D1270" i="7"/>
  <c r="E1270" i="7"/>
  <c r="F1270" i="7"/>
  <c r="G1270" i="7"/>
  <c r="H1270" i="7"/>
  <c r="I1270" i="7"/>
  <c r="J1270" i="7"/>
  <c r="K1270" i="7"/>
  <c r="L1270" i="7"/>
  <c r="M1270" i="7"/>
  <c r="N1270" i="7"/>
  <c r="P1270" i="7"/>
  <c r="Q1270" i="7"/>
  <c r="R1270" i="7"/>
  <c r="T1270" i="7"/>
  <c r="V1270" i="7" s="1"/>
  <c r="U1270" i="7"/>
  <c r="W1270" i="7"/>
  <c r="X1270" i="7"/>
  <c r="Y1270" i="7"/>
  <c r="D1271" i="7"/>
  <c r="E1271" i="7"/>
  <c r="F1271" i="7"/>
  <c r="G1271" i="7"/>
  <c r="H1271" i="7"/>
  <c r="I1271" i="7"/>
  <c r="J1271" i="7"/>
  <c r="K1271" i="7"/>
  <c r="L1271" i="7"/>
  <c r="M1271" i="7"/>
  <c r="N1271" i="7"/>
  <c r="P1271" i="7"/>
  <c r="Q1271" i="7"/>
  <c r="R1271" i="7"/>
  <c r="T1271" i="7"/>
  <c r="U1271" i="7"/>
  <c r="W1271" i="7"/>
  <c r="X1271" i="7"/>
  <c r="Y1271" i="7"/>
  <c r="D1272" i="7"/>
  <c r="E1272" i="7"/>
  <c r="F1272" i="7"/>
  <c r="G1272" i="7"/>
  <c r="H1272" i="7"/>
  <c r="I1272" i="7"/>
  <c r="J1272" i="7"/>
  <c r="K1272" i="7"/>
  <c r="L1272" i="7"/>
  <c r="M1272" i="7"/>
  <c r="N1272" i="7"/>
  <c r="P1272" i="7"/>
  <c r="Q1272" i="7"/>
  <c r="R1272" i="7"/>
  <c r="S1272" i="7" s="1"/>
  <c r="T1272" i="7"/>
  <c r="U1272" i="7"/>
  <c r="W1272" i="7"/>
  <c r="X1272" i="7"/>
  <c r="Y1272" i="7"/>
  <c r="D1273" i="7"/>
  <c r="E1273" i="7"/>
  <c r="F1273" i="7"/>
  <c r="G1273" i="7"/>
  <c r="H1273" i="7"/>
  <c r="I1273" i="7"/>
  <c r="J1273" i="7"/>
  <c r="K1273" i="7"/>
  <c r="L1273" i="7"/>
  <c r="M1273" i="7"/>
  <c r="N1273" i="7"/>
  <c r="P1273" i="7"/>
  <c r="Q1273" i="7"/>
  <c r="R1273" i="7"/>
  <c r="T1273" i="7"/>
  <c r="U1273" i="7"/>
  <c r="W1273" i="7"/>
  <c r="X1273" i="7"/>
  <c r="Y1273" i="7"/>
  <c r="D1274" i="7"/>
  <c r="E1274" i="7"/>
  <c r="F1274" i="7"/>
  <c r="G1274" i="7"/>
  <c r="H1274" i="7"/>
  <c r="I1274" i="7"/>
  <c r="J1274" i="7"/>
  <c r="K1274" i="7"/>
  <c r="L1274" i="7"/>
  <c r="M1274" i="7"/>
  <c r="N1274" i="7"/>
  <c r="P1274" i="7"/>
  <c r="Q1274" i="7"/>
  <c r="R1274" i="7"/>
  <c r="T1274" i="7"/>
  <c r="V1274" i="7" s="1"/>
  <c r="U1274" i="7"/>
  <c r="W1274" i="7"/>
  <c r="X1274" i="7"/>
  <c r="Y1274" i="7"/>
  <c r="D1275" i="7"/>
  <c r="E1275" i="7"/>
  <c r="F1275" i="7"/>
  <c r="G1275" i="7"/>
  <c r="H1275" i="7"/>
  <c r="I1275" i="7"/>
  <c r="J1275" i="7"/>
  <c r="K1275" i="7"/>
  <c r="L1275" i="7"/>
  <c r="M1275" i="7"/>
  <c r="N1275" i="7"/>
  <c r="P1275" i="7"/>
  <c r="Q1275" i="7"/>
  <c r="R1275" i="7"/>
  <c r="T1275" i="7"/>
  <c r="U1275" i="7"/>
  <c r="W1275" i="7"/>
  <c r="X1275" i="7"/>
  <c r="Y1275" i="7"/>
  <c r="D1276" i="7"/>
  <c r="E1276" i="7"/>
  <c r="F1276" i="7"/>
  <c r="G1276" i="7"/>
  <c r="H1276" i="7"/>
  <c r="I1276" i="7"/>
  <c r="J1276" i="7"/>
  <c r="K1276" i="7"/>
  <c r="L1276" i="7"/>
  <c r="M1276" i="7"/>
  <c r="N1276" i="7"/>
  <c r="P1276" i="7"/>
  <c r="Q1276" i="7"/>
  <c r="R1276" i="7"/>
  <c r="T1276" i="7"/>
  <c r="U1276" i="7"/>
  <c r="W1276" i="7"/>
  <c r="X1276" i="7"/>
  <c r="Y1276" i="7"/>
  <c r="D1277" i="7"/>
  <c r="E1277" i="7"/>
  <c r="F1277" i="7"/>
  <c r="G1277" i="7"/>
  <c r="H1277" i="7"/>
  <c r="I1277" i="7"/>
  <c r="J1277" i="7"/>
  <c r="K1277" i="7"/>
  <c r="L1277" i="7"/>
  <c r="M1277" i="7"/>
  <c r="N1277" i="7"/>
  <c r="P1277" i="7"/>
  <c r="Q1277" i="7"/>
  <c r="R1277" i="7"/>
  <c r="T1277" i="7"/>
  <c r="U1277" i="7"/>
  <c r="W1277" i="7"/>
  <c r="X1277" i="7"/>
  <c r="Y1277" i="7"/>
  <c r="D1278" i="7"/>
  <c r="E1278" i="7"/>
  <c r="F1278" i="7"/>
  <c r="G1278" i="7"/>
  <c r="H1278" i="7"/>
  <c r="I1278" i="7"/>
  <c r="J1278" i="7"/>
  <c r="K1278" i="7"/>
  <c r="L1278" i="7"/>
  <c r="M1278" i="7"/>
  <c r="N1278" i="7"/>
  <c r="P1278" i="7"/>
  <c r="Q1278" i="7"/>
  <c r="R1278" i="7"/>
  <c r="T1278" i="7"/>
  <c r="V1278" i="7" s="1"/>
  <c r="U1278" i="7"/>
  <c r="W1278" i="7"/>
  <c r="X1278" i="7"/>
  <c r="Y1278" i="7"/>
  <c r="D1279" i="7"/>
  <c r="E1279" i="7"/>
  <c r="F1279" i="7"/>
  <c r="G1279" i="7"/>
  <c r="H1279" i="7"/>
  <c r="I1279" i="7"/>
  <c r="J1279" i="7"/>
  <c r="K1279" i="7"/>
  <c r="L1279" i="7"/>
  <c r="M1279" i="7"/>
  <c r="N1279" i="7"/>
  <c r="P1279" i="7"/>
  <c r="Q1279" i="7"/>
  <c r="R1279" i="7"/>
  <c r="T1279" i="7"/>
  <c r="U1279" i="7"/>
  <c r="W1279" i="7"/>
  <c r="X1279" i="7"/>
  <c r="Y1279" i="7"/>
  <c r="D1280" i="7"/>
  <c r="E1280" i="7"/>
  <c r="F1280" i="7"/>
  <c r="G1280" i="7"/>
  <c r="H1280" i="7"/>
  <c r="I1280" i="7"/>
  <c r="J1280" i="7"/>
  <c r="K1280" i="7"/>
  <c r="L1280" i="7"/>
  <c r="M1280" i="7"/>
  <c r="N1280" i="7"/>
  <c r="P1280" i="7"/>
  <c r="Q1280" i="7"/>
  <c r="R1280" i="7"/>
  <c r="T1280" i="7"/>
  <c r="V1280" i="7" s="1"/>
  <c r="U1280" i="7"/>
  <c r="W1280" i="7"/>
  <c r="X1280" i="7"/>
  <c r="Y1280" i="7"/>
  <c r="D1281" i="7"/>
  <c r="E1281" i="7"/>
  <c r="F1281" i="7"/>
  <c r="G1281" i="7"/>
  <c r="H1281" i="7"/>
  <c r="I1281" i="7"/>
  <c r="J1281" i="7"/>
  <c r="K1281" i="7"/>
  <c r="L1281" i="7"/>
  <c r="M1281" i="7"/>
  <c r="N1281" i="7"/>
  <c r="P1281" i="7"/>
  <c r="Q1281" i="7"/>
  <c r="R1281" i="7"/>
  <c r="T1281" i="7"/>
  <c r="U1281" i="7"/>
  <c r="W1281" i="7"/>
  <c r="X1281" i="7"/>
  <c r="Y1281" i="7"/>
  <c r="D1282" i="7"/>
  <c r="E1282" i="7"/>
  <c r="F1282" i="7"/>
  <c r="G1282" i="7"/>
  <c r="H1282" i="7"/>
  <c r="I1282" i="7"/>
  <c r="J1282" i="7"/>
  <c r="K1282" i="7"/>
  <c r="L1282" i="7"/>
  <c r="M1282" i="7"/>
  <c r="N1282" i="7"/>
  <c r="P1282" i="7"/>
  <c r="Q1282" i="7"/>
  <c r="R1282" i="7"/>
  <c r="T1282" i="7"/>
  <c r="U1282" i="7"/>
  <c r="W1282" i="7"/>
  <c r="X1282" i="7"/>
  <c r="Y1282" i="7"/>
  <c r="D1283" i="7"/>
  <c r="E1283" i="7"/>
  <c r="F1283" i="7"/>
  <c r="G1283" i="7"/>
  <c r="H1283" i="7"/>
  <c r="I1283" i="7"/>
  <c r="J1283" i="7"/>
  <c r="K1283" i="7"/>
  <c r="L1283" i="7"/>
  <c r="M1283" i="7"/>
  <c r="N1283" i="7"/>
  <c r="P1283" i="7"/>
  <c r="Q1283" i="7"/>
  <c r="R1283" i="7"/>
  <c r="T1283" i="7"/>
  <c r="U1283" i="7"/>
  <c r="W1283" i="7"/>
  <c r="X1283" i="7"/>
  <c r="Y1283" i="7"/>
  <c r="D1284" i="7"/>
  <c r="E1284" i="7"/>
  <c r="F1284" i="7"/>
  <c r="G1284" i="7"/>
  <c r="H1284" i="7"/>
  <c r="I1284" i="7"/>
  <c r="J1284" i="7"/>
  <c r="K1284" i="7"/>
  <c r="L1284" i="7"/>
  <c r="M1284" i="7"/>
  <c r="N1284" i="7"/>
  <c r="P1284" i="7"/>
  <c r="Q1284" i="7"/>
  <c r="R1284" i="7"/>
  <c r="T1284" i="7"/>
  <c r="V1284" i="7" s="1"/>
  <c r="U1284" i="7"/>
  <c r="W1284" i="7"/>
  <c r="X1284" i="7"/>
  <c r="Y1284" i="7"/>
  <c r="D1285" i="7"/>
  <c r="E1285" i="7"/>
  <c r="F1285" i="7"/>
  <c r="G1285" i="7"/>
  <c r="H1285" i="7"/>
  <c r="I1285" i="7"/>
  <c r="J1285" i="7"/>
  <c r="K1285" i="7"/>
  <c r="L1285" i="7"/>
  <c r="M1285" i="7"/>
  <c r="N1285" i="7"/>
  <c r="P1285" i="7"/>
  <c r="Q1285" i="7"/>
  <c r="R1285" i="7"/>
  <c r="T1285" i="7"/>
  <c r="U1285" i="7"/>
  <c r="W1285" i="7"/>
  <c r="X1285" i="7"/>
  <c r="Y1285" i="7"/>
  <c r="D1286" i="7"/>
  <c r="E1286" i="7"/>
  <c r="F1286" i="7"/>
  <c r="G1286" i="7"/>
  <c r="H1286" i="7"/>
  <c r="I1286" i="7"/>
  <c r="J1286" i="7"/>
  <c r="K1286" i="7"/>
  <c r="L1286" i="7"/>
  <c r="M1286" i="7"/>
  <c r="N1286" i="7"/>
  <c r="P1286" i="7"/>
  <c r="Q1286" i="7"/>
  <c r="R1286" i="7"/>
  <c r="T1286" i="7"/>
  <c r="V1286" i="7" s="1"/>
  <c r="U1286" i="7"/>
  <c r="W1286" i="7"/>
  <c r="X1286" i="7"/>
  <c r="Y1286" i="7"/>
  <c r="D1287" i="7"/>
  <c r="E1287" i="7"/>
  <c r="F1287" i="7"/>
  <c r="G1287" i="7"/>
  <c r="H1287" i="7"/>
  <c r="I1287" i="7"/>
  <c r="J1287" i="7"/>
  <c r="K1287" i="7"/>
  <c r="L1287" i="7"/>
  <c r="M1287" i="7"/>
  <c r="N1287" i="7"/>
  <c r="P1287" i="7"/>
  <c r="Q1287" i="7"/>
  <c r="R1287" i="7"/>
  <c r="T1287" i="7"/>
  <c r="U1287" i="7"/>
  <c r="W1287" i="7"/>
  <c r="X1287" i="7"/>
  <c r="Y1287" i="7"/>
  <c r="D1288" i="7"/>
  <c r="E1288" i="7"/>
  <c r="F1288" i="7"/>
  <c r="G1288" i="7"/>
  <c r="H1288" i="7"/>
  <c r="I1288" i="7"/>
  <c r="J1288" i="7"/>
  <c r="K1288" i="7"/>
  <c r="L1288" i="7"/>
  <c r="M1288" i="7"/>
  <c r="N1288" i="7"/>
  <c r="P1288" i="7"/>
  <c r="Q1288" i="7"/>
  <c r="R1288" i="7"/>
  <c r="T1288" i="7"/>
  <c r="V1288" i="7" s="1"/>
  <c r="U1288" i="7"/>
  <c r="W1288" i="7"/>
  <c r="X1288" i="7"/>
  <c r="Y1288" i="7"/>
  <c r="D1289" i="7"/>
  <c r="E1289" i="7"/>
  <c r="F1289" i="7"/>
  <c r="G1289" i="7"/>
  <c r="H1289" i="7"/>
  <c r="I1289" i="7"/>
  <c r="J1289" i="7"/>
  <c r="K1289" i="7"/>
  <c r="L1289" i="7"/>
  <c r="M1289" i="7"/>
  <c r="N1289" i="7"/>
  <c r="P1289" i="7"/>
  <c r="Q1289" i="7"/>
  <c r="R1289" i="7"/>
  <c r="T1289" i="7"/>
  <c r="U1289" i="7"/>
  <c r="W1289" i="7"/>
  <c r="X1289" i="7"/>
  <c r="Y1289" i="7"/>
  <c r="D1290" i="7"/>
  <c r="E1290" i="7"/>
  <c r="F1290" i="7"/>
  <c r="G1290" i="7"/>
  <c r="H1290" i="7"/>
  <c r="I1290" i="7"/>
  <c r="J1290" i="7"/>
  <c r="K1290" i="7"/>
  <c r="L1290" i="7"/>
  <c r="M1290" i="7"/>
  <c r="N1290" i="7"/>
  <c r="P1290" i="7"/>
  <c r="Q1290" i="7"/>
  <c r="R1290" i="7"/>
  <c r="T1290" i="7"/>
  <c r="V1290" i="7" s="1"/>
  <c r="U1290" i="7"/>
  <c r="W1290" i="7"/>
  <c r="X1290" i="7"/>
  <c r="Y1290" i="7"/>
  <c r="D1291" i="7"/>
  <c r="E1291" i="7"/>
  <c r="F1291" i="7"/>
  <c r="G1291" i="7"/>
  <c r="H1291" i="7"/>
  <c r="I1291" i="7"/>
  <c r="J1291" i="7"/>
  <c r="K1291" i="7"/>
  <c r="L1291" i="7"/>
  <c r="M1291" i="7"/>
  <c r="N1291" i="7"/>
  <c r="P1291" i="7"/>
  <c r="Q1291" i="7"/>
  <c r="R1291" i="7"/>
  <c r="T1291" i="7"/>
  <c r="U1291" i="7"/>
  <c r="W1291" i="7"/>
  <c r="X1291" i="7"/>
  <c r="Y1291" i="7"/>
  <c r="D1292" i="7"/>
  <c r="E1292" i="7"/>
  <c r="F1292" i="7"/>
  <c r="G1292" i="7"/>
  <c r="H1292" i="7"/>
  <c r="I1292" i="7"/>
  <c r="J1292" i="7"/>
  <c r="K1292" i="7"/>
  <c r="L1292" i="7"/>
  <c r="M1292" i="7"/>
  <c r="N1292" i="7"/>
  <c r="P1292" i="7"/>
  <c r="Q1292" i="7"/>
  <c r="R1292" i="7"/>
  <c r="T1292" i="7"/>
  <c r="V1292" i="7" s="1"/>
  <c r="U1292" i="7"/>
  <c r="W1292" i="7"/>
  <c r="X1292" i="7"/>
  <c r="Y1292" i="7"/>
  <c r="D1293" i="7"/>
  <c r="E1293" i="7"/>
  <c r="F1293" i="7"/>
  <c r="G1293" i="7"/>
  <c r="H1293" i="7"/>
  <c r="I1293" i="7"/>
  <c r="J1293" i="7"/>
  <c r="K1293" i="7"/>
  <c r="L1293" i="7"/>
  <c r="M1293" i="7"/>
  <c r="N1293" i="7"/>
  <c r="P1293" i="7"/>
  <c r="Q1293" i="7"/>
  <c r="R1293" i="7"/>
  <c r="T1293" i="7"/>
  <c r="V1293" i="7" s="1"/>
  <c r="U1293" i="7"/>
  <c r="D1294" i="7"/>
  <c r="E1294" i="7"/>
  <c r="F1294" i="7"/>
  <c r="G1294" i="7"/>
  <c r="H1294" i="7"/>
  <c r="I1294" i="7"/>
  <c r="J1294" i="7"/>
  <c r="K1294" i="7"/>
  <c r="L1294" i="7"/>
  <c r="M1294" i="7"/>
  <c r="N1294" i="7"/>
  <c r="P1294" i="7"/>
  <c r="Q1294" i="7"/>
  <c r="S1294" i="7" s="1"/>
  <c r="R1294" i="7"/>
  <c r="T1294" i="7"/>
  <c r="V1294" i="7" s="1"/>
  <c r="U1294" i="7"/>
  <c r="W1294" i="7"/>
  <c r="X1294" i="7"/>
  <c r="Y1294" i="7"/>
  <c r="D1295" i="7"/>
  <c r="E1295" i="7"/>
  <c r="F1295" i="7"/>
  <c r="G1295" i="7"/>
  <c r="H1295" i="7"/>
  <c r="I1295" i="7"/>
  <c r="J1295" i="7"/>
  <c r="K1295" i="7"/>
  <c r="L1295" i="7"/>
  <c r="M1295" i="7"/>
  <c r="N1295" i="7"/>
  <c r="P1295" i="7"/>
  <c r="Q1295" i="7"/>
  <c r="S1295" i="7" s="1"/>
  <c r="R1295" i="7"/>
  <c r="T1295" i="7"/>
  <c r="V1295" i="7" s="1"/>
  <c r="U1295" i="7"/>
  <c r="W1295" i="7"/>
  <c r="X1295" i="7"/>
  <c r="Y1295" i="7"/>
  <c r="D1296" i="7"/>
  <c r="E1296" i="7"/>
  <c r="F1296" i="7"/>
  <c r="G1296" i="7"/>
  <c r="H1296" i="7"/>
  <c r="I1296" i="7"/>
  <c r="J1296" i="7"/>
  <c r="K1296" i="7"/>
  <c r="L1296" i="7"/>
  <c r="M1296" i="7"/>
  <c r="N1296" i="7"/>
  <c r="P1296" i="7"/>
  <c r="Q1296" i="7"/>
  <c r="S1296" i="7" s="1"/>
  <c r="R1296" i="7"/>
  <c r="T1296" i="7"/>
  <c r="V1296" i="7" s="1"/>
  <c r="U1296" i="7"/>
  <c r="W1296" i="7"/>
  <c r="X1296" i="7"/>
  <c r="Y1296" i="7"/>
  <c r="D1297" i="7"/>
  <c r="E1297" i="7"/>
  <c r="F1297" i="7"/>
  <c r="G1297" i="7"/>
  <c r="H1297" i="7"/>
  <c r="I1297" i="7"/>
  <c r="J1297" i="7"/>
  <c r="K1297" i="7"/>
  <c r="L1297" i="7"/>
  <c r="M1297" i="7"/>
  <c r="N1297" i="7"/>
  <c r="P1297" i="7"/>
  <c r="Q1297" i="7"/>
  <c r="S1297" i="7" s="1"/>
  <c r="R1297" i="7"/>
  <c r="T1297" i="7"/>
  <c r="V1297" i="7" s="1"/>
  <c r="U1297" i="7"/>
  <c r="W1297" i="7"/>
  <c r="X1297" i="7"/>
  <c r="Y1297" i="7"/>
  <c r="D1298" i="7"/>
  <c r="E1298" i="7"/>
  <c r="F1298" i="7"/>
  <c r="G1298" i="7"/>
  <c r="H1298" i="7"/>
  <c r="I1298" i="7"/>
  <c r="J1298" i="7"/>
  <c r="K1298" i="7"/>
  <c r="L1298" i="7"/>
  <c r="M1298" i="7"/>
  <c r="N1298" i="7"/>
  <c r="P1298" i="7"/>
  <c r="Q1298" i="7"/>
  <c r="S1298" i="7" s="1"/>
  <c r="R1298" i="7"/>
  <c r="T1298" i="7"/>
  <c r="V1298" i="7" s="1"/>
  <c r="U1298" i="7"/>
  <c r="W1298" i="7"/>
  <c r="X1298" i="7"/>
  <c r="Y1298" i="7"/>
  <c r="D1299" i="7"/>
  <c r="E1299" i="7"/>
  <c r="F1299" i="7"/>
  <c r="G1299" i="7"/>
  <c r="H1299" i="7"/>
  <c r="I1299" i="7"/>
  <c r="J1299" i="7"/>
  <c r="K1299" i="7"/>
  <c r="L1299" i="7"/>
  <c r="M1299" i="7"/>
  <c r="N1299" i="7"/>
  <c r="P1299" i="7"/>
  <c r="Q1299" i="7"/>
  <c r="S1299" i="7" s="1"/>
  <c r="R1299" i="7"/>
  <c r="T1299" i="7"/>
  <c r="V1299" i="7" s="1"/>
  <c r="U1299" i="7"/>
  <c r="W1299" i="7"/>
  <c r="X1299" i="7"/>
  <c r="Y1299" i="7"/>
  <c r="D1300" i="7"/>
  <c r="E1300" i="7"/>
  <c r="F1300" i="7"/>
  <c r="G1300" i="7"/>
  <c r="H1300" i="7"/>
  <c r="I1300" i="7"/>
  <c r="J1300" i="7"/>
  <c r="K1300" i="7"/>
  <c r="L1300" i="7"/>
  <c r="M1300" i="7"/>
  <c r="N1300" i="7"/>
  <c r="P1300" i="7"/>
  <c r="Q1300" i="7"/>
  <c r="S1300" i="7" s="1"/>
  <c r="R1300" i="7"/>
  <c r="T1300" i="7"/>
  <c r="V1300" i="7" s="1"/>
  <c r="U1300" i="7"/>
  <c r="W1300" i="7"/>
  <c r="X1300" i="7"/>
  <c r="Y1300" i="7"/>
  <c r="D1301" i="7"/>
  <c r="E1301" i="7"/>
  <c r="F1301" i="7"/>
  <c r="G1301" i="7"/>
  <c r="H1301" i="7"/>
  <c r="I1301" i="7"/>
  <c r="J1301" i="7"/>
  <c r="K1301" i="7"/>
  <c r="L1301" i="7"/>
  <c r="M1301" i="7"/>
  <c r="N1301" i="7"/>
  <c r="P1301" i="7"/>
  <c r="Q1301" i="7"/>
  <c r="S1301" i="7" s="1"/>
  <c r="R1301" i="7"/>
  <c r="T1301" i="7"/>
  <c r="V1301" i="7" s="1"/>
  <c r="U1301" i="7"/>
  <c r="W1301" i="7"/>
  <c r="X1301" i="7"/>
  <c r="Y1301" i="7"/>
  <c r="D1302" i="7"/>
  <c r="E1302" i="7"/>
  <c r="F1302" i="7"/>
  <c r="G1302" i="7"/>
  <c r="H1302" i="7"/>
  <c r="I1302" i="7"/>
  <c r="J1302" i="7"/>
  <c r="K1302" i="7"/>
  <c r="L1302" i="7"/>
  <c r="M1302" i="7"/>
  <c r="N1302" i="7"/>
  <c r="P1302" i="7"/>
  <c r="Q1302" i="7"/>
  <c r="S1302" i="7" s="1"/>
  <c r="R1302" i="7"/>
  <c r="T1302" i="7"/>
  <c r="V1302" i="7" s="1"/>
  <c r="U1302" i="7"/>
  <c r="W1302" i="7"/>
  <c r="X1302" i="7"/>
  <c r="Y1302" i="7"/>
  <c r="D1303" i="7"/>
  <c r="E1303" i="7"/>
  <c r="F1303" i="7"/>
  <c r="G1303" i="7"/>
  <c r="H1303" i="7"/>
  <c r="I1303" i="7"/>
  <c r="J1303" i="7"/>
  <c r="K1303" i="7"/>
  <c r="L1303" i="7"/>
  <c r="M1303" i="7"/>
  <c r="N1303" i="7"/>
  <c r="P1303" i="7"/>
  <c r="Q1303" i="7"/>
  <c r="S1303" i="7" s="1"/>
  <c r="R1303" i="7"/>
  <c r="T1303" i="7"/>
  <c r="V1303" i="7" s="1"/>
  <c r="U1303" i="7"/>
  <c r="W1303" i="7"/>
  <c r="X1303" i="7"/>
  <c r="Y1303" i="7"/>
  <c r="D1304" i="7"/>
  <c r="E1304" i="7"/>
  <c r="F1304" i="7"/>
  <c r="G1304" i="7"/>
  <c r="H1304" i="7"/>
  <c r="I1304" i="7"/>
  <c r="J1304" i="7"/>
  <c r="K1304" i="7"/>
  <c r="L1304" i="7"/>
  <c r="M1304" i="7"/>
  <c r="N1304" i="7"/>
  <c r="P1304" i="7"/>
  <c r="Q1304" i="7"/>
  <c r="S1304" i="7" s="1"/>
  <c r="R1304" i="7"/>
  <c r="T1304" i="7"/>
  <c r="V1304" i="7" s="1"/>
  <c r="U1304" i="7"/>
  <c r="W1304" i="7"/>
  <c r="X1304" i="7"/>
  <c r="Y1304" i="7"/>
  <c r="D1305" i="7"/>
  <c r="E1305" i="7"/>
  <c r="F1305" i="7"/>
  <c r="G1305" i="7"/>
  <c r="H1305" i="7"/>
  <c r="I1305" i="7"/>
  <c r="J1305" i="7"/>
  <c r="K1305" i="7"/>
  <c r="L1305" i="7"/>
  <c r="M1305" i="7"/>
  <c r="N1305" i="7"/>
  <c r="P1305" i="7"/>
  <c r="Q1305" i="7"/>
  <c r="S1305" i="7" s="1"/>
  <c r="R1305" i="7"/>
  <c r="T1305" i="7"/>
  <c r="V1305" i="7" s="1"/>
  <c r="U1305" i="7"/>
  <c r="W1305" i="7"/>
  <c r="X1305" i="7"/>
  <c r="Y1305" i="7"/>
  <c r="D1306" i="7"/>
  <c r="E1306" i="7"/>
  <c r="F1306" i="7"/>
  <c r="G1306" i="7"/>
  <c r="H1306" i="7"/>
  <c r="I1306" i="7"/>
  <c r="J1306" i="7"/>
  <c r="K1306" i="7"/>
  <c r="L1306" i="7"/>
  <c r="M1306" i="7"/>
  <c r="N1306" i="7"/>
  <c r="P1306" i="7"/>
  <c r="Q1306" i="7"/>
  <c r="S1306" i="7" s="1"/>
  <c r="R1306" i="7"/>
  <c r="T1306" i="7"/>
  <c r="V1306" i="7" s="1"/>
  <c r="U1306" i="7"/>
  <c r="W1306" i="7"/>
  <c r="X1306" i="7"/>
  <c r="Y1306" i="7"/>
  <c r="D1307" i="7"/>
  <c r="E1307" i="7"/>
  <c r="F1307" i="7"/>
  <c r="G1307" i="7"/>
  <c r="H1307" i="7"/>
  <c r="I1307" i="7"/>
  <c r="J1307" i="7"/>
  <c r="K1307" i="7"/>
  <c r="L1307" i="7"/>
  <c r="M1307" i="7"/>
  <c r="N1307" i="7"/>
  <c r="P1307" i="7"/>
  <c r="Q1307" i="7"/>
  <c r="S1307" i="7" s="1"/>
  <c r="R1307" i="7"/>
  <c r="T1307" i="7"/>
  <c r="V1307" i="7" s="1"/>
  <c r="U1307" i="7"/>
  <c r="W1307" i="7"/>
  <c r="X1307" i="7"/>
  <c r="Y1307" i="7"/>
  <c r="D1308" i="7"/>
  <c r="E1308" i="7"/>
  <c r="F1308" i="7"/>
  <c r="G1308" i="7"/>
  <c r="H1308" i="7"/>
  <c r="I1308" i="7"/>
  <c r="J1308" i="7"/>
  <c r="K1308" i="7"/>
  <c r="L1308" i="7"/>
  <c r="M1308" i="7"/>
  <c r="N1308" i="7"/>
  <c r="P1308" i="7"/>
  <c r="Q1308" i="7"/>
  <c r="S1308" i="7" s="1"/>
  <c r="R1308" i="7"/>
  <c r="T1308" i="7"/>
  <c r="V1308" i="7" s="1"/>
  <c r="U1308" i="7"/>
  <c r="W1308" i="7"/>
  <c r="X1308" i="7"/>
  <c r="Y1308" i="7"/>
  <c r="D1309" i="7"/>
  <c r="E1309" i="7"/>
  <c r="F1309" i="7"/>
  <c r="G1309" i="7"/>
  <c r="H1309" i="7"/>
  <c r="I1309" i="7"/>
  <c r="J1309" i="7"/>
  <c r="K1309" i="7"/>
  <c r="L1309" i="7"/>
  <c r="M1309" i="7"/>
  <c r="N1309" i="7"/>
  <c r="P1309" i="7"/>
  <c r="Q1309" i="7"/>
  <c r="S1309" i="7" s="1"/>
  <c r="R1309" i="7"/>
  <c r="T1309" i="7"/>
  <c r="V1309" i="7" s="1"/>
  <c r="U1309" i="7"/>
  <c r="W1309" i="7"/>
  <c r="X1309" i="7"/>
  <c r="Y1309" i="7"/>
  <c r="D1310" i="7"/>
  <c r="E1310" i="7"/>
  <c r="F1310" i="7"/>
  <c r="G1310" i="7"/>
  <c r="H1310" i="7"/>
  <c r="I1310" i="7"/>
  <c r="J1310" i="7"/>
  <c r="K1310" i="7"/>
  <c r="L1310" i="7"/>
  <c r="M1310" i="7"/>
  <c r="N1310" i="7"/>
  <c r="P1310" i="7"/>
  <c r="Q1310" i="7"/>
  <c r="S1310" i="7" s="1"/>
  <c r="R1310" i="7"/>
  <c r="T1310" i="7"/>
  <c r="V1310" i="7" s="1"/>
  <c r="U1310" i="7"/>
  <c r="W1310" i="7"/>
  <c r="X1310" i="7"/>
  <c r="Y1310" i="7"/>
  <c r="D1311" i="7"/>
  <c r="E1311" i="7"/>
  <c r="F1311" i="7"/>
  <c r="G1311" i="7"/>
  <c r="H1311" i="7"/>
  <c r="I1311" i="7"/>
  <c r="J1311" i="7"/>
  <c r="K1311" i="7"/>
  <c r="L1311" i="7"/>
  <c r="M1311" i="7"/>
  <c r="N1311" i="7"/>
  <c r="P1311" i="7"/>
  <c r="Q1311" i="7"/>
  <c r="S1311" i="7" s="1"/>
  <c r="R1311" i="7"/>
  <c r="T1311" i="7"/>
  <c r="V1311" i="7" s="1"/>
  <c r="U1311" i="7"/>
  <c r="W1311" i="7"/>
  <c r="X1311" i="7"/>
  <c r="Y1311" i="7"/>
  <c r="D1312" i="7"/>
  <c r="E1312" i="7"/>
  <c r="F1312" i="7"/>
  <c r="G1312" i="7"/>
  <c r="H1312" i="7"/>
  <c r="I1312" i="7"/>
  <c r="J1312" i="7"/>
  <c r="K1312" i="7"/>
  <c r="L1312" i="7"/>
  <c r="M1312" i="7"/>
  <c r="N1312" i="7"/>
  <c r="P1312" i="7"/>
  <c r="Q1312" i="7"/>
  <c r="S1312" i="7" s="1"/>
  <c r="R1312" i="7"/>
  <c r="T1312" i="7"/>
  <c r="V1312" i="7" s="1"/>
  <c r="U1312" i="7"/>
  <c r="W1312" i="7"/>
  <c r="X1312" i="7"/>
  <c r="Y1312" i="7"/>
  <c r="D1313" i="7"/>
  <c r="E1313" i="7"/>
  <c r="F1313" i="7"/>
  <c r="G1313" i="7"/>
  <c r="H1313" i="7"/>
  <c r="I1313" i="7"/>
  <c r="J1313" i="7"/>
  <c r="K1313" i="7"/>
  <c r="L1313" i="7"/>
  <c r="M1313" i="7"/>
  <c r="N1313" i="7"/>
  <c r="P1313" i="7"/>
  <c r="Q1313" i="7"/>
  <c r="S1313" i="7" s="1"/>
  <c r="R1313" i="7"/>
  <c r="T1313" i="7"/>
  <c r="V1313" i="7" s="1"/>
  <c r="U1313" i="7"/>
  <c r="W1313" i="7"/>
  <c r="X1313" i="7"/>
  <c r="Y1313" i="7"/>
  <c r="D1314" i="7"/>
  <c r="E1314" i="7"/>
  <c r="F1314" i="7"/>
  <c r="G1314" i="7"/>
  <c r="H1314" i="7"/>
  <c r="I1314" i="7"/>
  <c r="J1314" i="7"/>
  <c r="K1314" i="7"/>
  <c r="L1314" i="7"/>
  <c r="M1314" i="7"/>
  <c r="N1314" i="7"/>
  <c r="P1314" i="7"/>
  <c r="Q1314" i="7"/>
  <c r="S1314" i="7" s="1"/>
  <c r="R1314" i="7"/>
  <c r="T1314" i="7"/>
  <c r="V1314" i="7" s="1"/>
  <c r="U1314" i="7"/>
  <c r="W1314" i="7"/>
  <c r="X1314" i="7"/>
  <c r="Y1314" i="7"/>
  <c r="D1315" i="7"/>
  <c r="E1315" i="7"/>
  <c r="F1315" i="7"/>
  <c r="G1315" i="7"/>
  <c r="H1315" i="7"/>
  <c r="I1315" i="7"/>
  <c r="J1315" i="7"/>
  <c r="K1315" i="7"/>
  <c r="L1315" i="7"/>
  <c r="M1315" i="7"/>
  <c r="N1315" i="7"/>
  <c r="P1315" i="7"/>
  <c r="Q1315" i="7"/>
  <c r="S1315" i="7" s="1"/>
  <c r="R1315" i="7"/>
  <c r="T1315" i="7"/>
  <c r="V1315" i="7" s="1"/>
  <c r="U1315" i="7"/>
  <c r="W1315" i="7"/>
  <c r="X1315" i="7"/>
  <c r="Y1315" i="7"/>
  <c r="D1316" i="7"/>
  <c r="E1316" i="7"/>
  <c r="F1316" i="7"/>
  <c r="G1316" i="7"/>
  <c r="H1316" i="7"/>
  <c r="I1316" i="7"/>
  <c r="J1316" i="7"/>
  <c r="K1316" i="7"/>
  <c r="L1316" i="7"/>
  <c r="M1316" i="7"/>
  <c r="N1316" i="7"/>
  <c r="P1316" i="7"/>
  <c r="Q1316" i="7"/>
  <c r="S1316" i="7" s="1"/>
  <c r="R1316" i="7"/>
  <c r="T1316" i="7"/>
  <c r="V1316" i="7" s="1"/>
  <c r="U1316" i="7"/>
  <c r="W1316" i="7"/>
  <c r="X1316" i="7"/>
  <c r="Y1316" i="7"/>
  <c r="D1317" i="7"/>
  <c r="E1317" i="7"/>
  <c r="F1317" i="7"/>
  <c r="G1317" i="7"/>
  <c r="H1317" i="7"/>
  <c r="I1317" i="7"/>
  <c r="J1317" i="7"/>
  <c r="K1317" i="7"/>
  <c r="L1317" i="7"/>
  <c r="M1317" i="7"/>
  <c r="N1317" i="7"/>
  <c r="P1317" i="7"/>
  <c r="Q1317" i="7"/>
  <c r="S1317" i="7" s="1"/>
  <c r="R1317" i="7"/>
  <c r="T1317" i="7"/>
  <c r="V1317" i="7" s="1"/>
  <c r="U1317" i="7"/>
  <c r="W1317" i="7"/>
  <c r="X1317" i="7"/>
  <c r="Y1317" i="7"/>
  <c r="D1318" i="7"/>
  <c r="E1318" i="7"/>
  <c r="F1318" i="7"/>
  <c r="G1318" i="7"/>
  <c r="H1318" i="7"/>
  <c r="I1318" i="7"/>
  <c r="J1318" i="7"/>
  <c r="K1318" i="7"/>
  <c r="L1318" i="7"/>
  <c r="M1318" i="7"/>
  <c r="N1318" i="7"/>
  <c r="P1318" i="7"/>
  <c r="Q1318" i="7"/>
  <c r="S1318" i="7" s="1"/>
  <c r="R1318" i="7"/>
  <c r="T1318" i="7"/>
  <c r="V1318" i="7" s="1"/>
  <c r="U1318" i="7"/>
  <c r="W1318" i="7"/>
  <c r="X1318" i="7"/>
  <c r="Y1318" i="7"/>
  <c r="D1319" i="7"/>
  <c r="E1319" i="7"/>
  <c r="F1319" i="7"/>
  <c r="G1319" i="7"/>
  <c r="H1319" i="7"/>
  <c r="I1319" i="7"/>
  <c r="J1319" i="7"/>
  <c r="K1319" i="7"/>
  <c r="L1319" i="7"/>
  <c r="M1319" i="7"/>
  <c r="N1319" i="7"/>
  <c r="P1319" i="7"/>
  <c r="Q1319" i="7"/>
  <c r="S1319" i="7" s="1"/>
  <c r="R1319" i="7"/>
  <c r="T1319" i="7"/>
  <c r="V1319" i="7" s="1"/>
  <c r="U1319" i="7"/>
  <c r="W1319" i="7"/>
  <c r="X1319" i="7"/>
  <c r="Y1319" i="7"/>
  <c r="D1320" i="7"/>
  <c r="E1320" i="7"/>
  <c r="F1320" i="7"/>
  <c r="G1320" i="7"/>
  <c r="H1320" i="7"/>
  <c r="I1320" i="7"/>
  <c r="J1320" i="7"/>
  <c r="K1320" i="7"/>
  <c r="L1320" i="7"/>
  <c r="M1320" i="7"/>
  <c r="N1320" i="7"/>
  <c r="P1320" i="7"/>
  <c r="Q1320" i="7"/>
  <c r="S1320" i="7" s="1"/>
  <c r="R1320" i="7"/>
  <c r="T1320" i="7"/>
  <c r="V1320" i="7" s="1"/>
  <c r="U1320" i="7"/>
  <c r="W1320" i="7"/>
  <c r="X1320" i="7"/>
  <c r="Y1320" i="7"/>
  <c r="D1321" i="7"/>
  <c r="E1321" i="7"/>
  <c r="F1321" i="7"/>
  <c r="G1321" i="7"/>
  <c r="H1321" i="7"/>
  <c r="I1321" i="7"/>
  <c r="J1321" i="7"/>
  <c r="K1321" i="7"/>
  <c r="L1321" i="7"/>
  <c r="M1321" i="7"/>
  <c r="N1321" i="7"/>
  <c r="P1321" i="7"/>
  <c r="Q1321" i="7"/>
  <c r="S1321" i="7" s="1"/>
  <c r="R1321" i="7"/>
  <c r="T1321" i="7"/>
  <c r="V1321" i="7" s="1"/>
  <c r="U1321" i="7"/>
  <c r="W1321" i="7"/>
  <c r="X1321" i="7"/>
  <c r="Y1321" i="7"/>
  <c r="D1322" i="7"/>
  <c r="E1322" i="7"/>
  <c r="F1322" i="7"/>
  <c r="G1322" i="7"/>
  <c r="H1322" i="7"/>
  <c r="I1322" i="7"/>
  <c r="J1322" i="7"/>
  <c r="K1322" i="7"/>
  <c r="L1322" i="7"/>
  <c r="M1322" i="7"/>
  <c r="N1322" i="7"/>
  <c r="P1322" i="7"/>
  <c r="Q1322" i="7"/>
  <c r="S1322" i="7" s="1"/>
  <c r="R1322" i="7"/>
  <c r="T1322" i="7"/>
  <c r="V1322" i="7" s="1"/>
  <c r="U1322" i="7"/>
  <c r="W1322" i="7"/>
  <c r="X1322" i="7"/>
  <c r="Y1322" i="7"/>
  <c r="D1323" i="7"/>
  <c r="E1323" i="7"/>
  <c r="F1323" i="7"/>
  <c r="G1323" i="7"/>
  <c r="H1323" i="7"/>
  <c r="I1323" i="7"/>
  <c r="J1323" i="7"/>
  <c r="K1323" i="7"/>
  <c r="L1323" i="7"/>
  <c r="M1323" i="7"/>
  <c r="N1323" i="7"/>
  <c r="P1323" i="7"/>
  <c r="Q1323" i="7"/>
  <c r="S1323" i="7" s="1"/>
  <c r="R1323" i="7"/>
  <c r="T1323" i="7"/>
  <c r="V1323" i="7" s="1"/>
  <c r="U1323" i="7"/>
  <c r="W1323" i="7"/>
  <c r="X1323" i="7"/>
  <c r="Y1323" i="7"/>
  <c r="D1324" i="7"/>
  <c r="E1324" i="7"/>
  <c r="F1324" i="7"/>
  <c r="G1324" i="7"/>
  <c r="H1324" i="7"/>
  <c r="I1324" i="7"/>
  <c r="J1324" i="7"/>
  <c r="K1324" i="7"/>
  <c r="L1324" i="7"/>
  <c r="M1324" i="7"/>
  <c r="N1324" i="7"/>
  <c r="P1324" i="7"/>
  <c r="Q1324" i="7"/>
  <c r="S1324" i="7" s="1"/>
  <c r="R1324" i="7"/>
  <c r="T1324" i="7"/>
  <c r="V1324" i="7" s="1"/>
  <c r="U1324" i="7"/>
  <c r="W1324" i="7"/>
  <c r="X1324" i="7"/>
  <c r="Y1324" i="7"/>
  <c r="D1325" i="7"/>
  <c r="E1325" i="7"/>
  <c r="F1325" i="7"/>
  <c r="G1325" i="7"/>
  <c r="H1325" i="7"/>
  <c r="I1325" i="7"/>
  <c r="J1325" i="7"/>
  <c r="K1325" i="7"/>
  <c r="L1325" i="7"/>
  <c r="M1325" i="7"/>
  <c r="N1325" i="7"/>
  <c r="P1325" i="7"/>
  <c r="Q1325" i="7"/>
  <c r="S1325" i="7" s="1"/>
  <c r="R1325" i="7"/>
  <c r="T1325" i="7"/>
  <c r="V1325" i="7" s="1"/>
  <c r="U1325" i="7"/>
  <c r="W1325" i="7"/>
  <c r="X1325" i="7"/>
  <c r="Y1325" i="7"/>
  <c r="D1326" i="7"/>
  <c r="E1326" i="7"/>
  <c r="F1326" i="7"/>
  <c r="G1326" i="7"/>
  <c r="H1326" i="7"/>
  <c r="I1326" i="7"/>
  <c r="J1326" i="7"/>
  <c r="K1326" i="7"/>
  <c r="L1326" i="7"/>
  <c r="M1326" i="7"/>
  <c r="N1326" i="7"/>
  <c r="P1326" i="7"/>
  <c r="Q1326" i="7"/>
  <c r="S1326" i="7" s="1"/>
  <c r="R1326" i="7"/>
  <c r="T1326" i="7"/>
  <c r="V1326" i="7" s="1"/>
  <c r="U1326" i="7"/>
  <c r="W1326" i="7"/>
  <c r="X1326" i="7"/>
  <c r="Y1326" i="7"/>
  <c r="D1327" i="7"/>
  <c r="E1327" i="7"/>
  <c r="F1327" i="7"/>
  <c r="G1327" i="7"/>
  <c r="H1327" i="7"/>
  <c r="I1327" i="7"/>
  <c r="J1327" i="7"/>
  <c r="K1327" i="7"/>
  <c r="L1327" i="7"/>
  <c r="M1327" i="7"/>
  <c r="N1327" i="7"/>
  <c r="P1327" i="7"/>
  <c r="Q1327" i="7"/>
  <c r="S1327" i="7" s="1"/>
  <c r="R1327" i="7"/>
  <c r="T1327" i="7"/>
  <c r="V1327" i="7" s="1"/>
  <c r="U1327" i="7"/>
  <c r="W1327" i="7"/>
  <c r="X1327" i="7"/>
  <c r="Y1327" i="7"/>
  <c r="D1328" i="7"/>
  <c r="E1328" i="7"/>
  <c r="F1328" i="7"/>
  <c r="G1328" i="7"/>
  <c r="H1328" i="7"/>
  <c r="I1328" i="7"/>
  <c r="J1328" i="7"/>
  <c r="K1328" i="7"/>
  <c r="L1328" i="7"/>
  <c r="M1328" i="7"/>
  <c r="N1328" i="7"/>
  <c r="P1328" i="7"/>
  <c r="Q1328" i="7"/>
  <c r="S1328" i="7" s="1"/>
  <c r="R1328" i="7"/>
  <c r="T1328" i="7"/>
  <c r="V1328" i="7" s="1"/>
  <c r="U1328" i="7"/>
  <c r="W1328" i="7"/>
  <c r="X1328" i="7"/>
  <c r="Y1328" i="7"/>
  <c r="D1329" i="7"/>
  <c r="E1329" i="7"/>
  <c r="F1329" i="7"/>
  <c r="G1329" i="7"/>
  <c r="H1329" i="7"/>
  <c r="I1329" i="7"/>
  <c r="J1329" i="7"/>
  <c r="K1329" i="7"/>
  <c r="L1329" i="7"/>
  <c r="M1329" i="7"/>
  <c r="N1329" i="7"/>
  <c r="P1329" i="7"/>
  <c r="Q1329" i="7"/>
  <c r="S1329" i="7" s="1"/>
  <c r="R1329" i="7"/>
  <c r="T1329" i="7"/>
  <c r="V1329" i="7" s="1"/>
  <c r="U1329" i="7"/>
  <c r="W1329" i="7"/>
  <c r="X1329" i="7"/>
  <c r="Y1329" i="7"/>
  <c r="D1330" i="7"/>
  <c r="E1330" i="7"/>
  <c r="F1330" i="7"/>
  <c r="G1330" i="7"/>
  <c r="H1330" i="7"/>
  <c r="I1330" i="7"/>
  <c r="J1330" i="7"/>
  <c r="K1330" i="7"/>
  <c r="L1330" i="7"/>
  <c r="M1330" i="7"/>
  <c r="N1330" i="7"/>
  <c r="P1330" i="7"/>
  <c r="Q1330" i="7"/>
  <c r="S1330" i="7" s="1"/>
  <c r="R1330" i="7"/>
  <c r="T1330" i="7"/>
  <c r="V1330" i="7" s="1"/>
  <c r="U1330" i="7"/>
  <c r="W1330" i="7"/>
  <c r="X1330" i="7"/>
  <c r="Y1330" i="7"/>
  <c r="D1331" i="7"/>
  <c r="E1331" i="7"/>
  <c r="F1331" i="7"/>
  <c r="G1331" i="7"/>
  <c r="H1331" i="7"/>
  <c r="I1331" i="7"/>
  <c r="J1331" i="7"/>
  <c r="K1331" i="7"/>
  <c r="L1331" i="7"/>
  <c r="M1331" i="7"/>
  <c r="N1331" i="7"/>
  <c r="P1331" i="7"/>
  <c r="Q1331" i="7"/>
  <c r="S1331" i="7" s="1"/>
  <c r="R1331" i="7"/>
  <c r="T1331" i="7"/>
  <c r="V1331" i="7" s="1"/>
  <c r="U1331" i="7"/>
  <c r="W1331" i="7"/>
  <c r="X1331" i="7"/>
  <c r="Y1331" i="7"/>
  <c r="D1332" i="7"/>
  <c r="E1332" i="7"/>
  <c r="F1332" i="7"/>
  <c r="G1332" i="7"/>
  <c r="H1332" i="7"/>
  <c r="I1332" i="7"/>
  <c r="J1332" i="7"/>
  <c r="K1332" i="7"/>
  <c r="L1332" i="7"/>
  <c r="M1332" i="7"/>
  <c r="N1332" i="7"/>
  <c r="P1332" i="7"/>
  <c r="Q1332" i="7"/>
  <c r="S1332" i="7" s="1"/>
  <c r="R1332" i="7"/>
  <c r="T1332" i="7"/>
  <c r="V1332" i="7" s="1"/>
  <c r="U1332" i="7"/>
  <c r="W1332" i="7"/>
  <c r="X1332" i="7"/>
  <c r="Y1332" i="7"/>
  <c r="D1333" i="7"/>
  <c r="E1333" i="7"/>
  <c r="F1333" i="7"/>
  <c r="G1333" i="7"/>
  <c r="H1333" i="7"/>
  <c r="I1333" i="7"/>
  <c r="J1333" i="7"/>
  <c r="K1333" i="7"/>
  <c r="L1333" i="7"/>
  <c r="M1333" i="7"/>
  <c r="N1333" i="7"/>
  <c r="P1333" i="7"/>
  <c r="Q1333" i="7"/>
  <c r="S1333" i="7" s="1"/>
  <c r="R1333" i="7"/>
  <c r="T1333" i="7"/>
  <c r="V1333" i="7" s="1"/>
  <c r="U1333" i="7"/>
  <c r="W1333" i="7"/>
  <c r="X1333" i="7"/>
  <c r="Y1333" i="7"/>
  <c r="D1334" i="7"/>
  <c r="E1334" i="7"/>
  <c r="F1334" i="7"/>
  <c r="G1334" i="7"/>
  <c r="H1334" i="7"/>
  <c r="I1334" i="7"/>
  <c r="J1334" i="7"/>
  <c r="K1334" i="7"/>
  <c r="L1334" i="7"/>
  <c r="M1334" i="7"/>
  <c r="N1334" i="7"/>
  <c r="P1334" i="7"/>
  <c r="Q1334" i="7"/>
  <c r="S1334" i="7" s="1"/>
  <c r="R1334" i="7"/>
  <c r="T1334" i="7"/>
  <c r="V1334" i="7" s="1"/>
  <c r="U1334" i="7"/>
  <c r="W1334" i="7"/>
  <c r="X1334" i="7"/>
  <c r="Y1334" i="7"/>
  <c r="D1335" i="7"/>
  <c r="E1335" i="7"/>
  <c r="F1335" i="7"/>
  <c r="G1335" i="7"/>
  <c r="H1335" i="7"/>
  <c r="I1335" i="7"/>
  <c r="J1335" i="7"/>
  <c r="K1335" i="7"/>
  <c r="L1335" i="7"/>
  <c r="M1335" i="7"/>
  <c r="N1335" i="7"/>
  <c r="P1335" i="7"/>
  <c r="Q1335" i="7"/>
  <c r="S1335" i="7" s="1"/>
  <c r="R1335" i="7"/>
  <c r="T1335" i="7"/>
  <c r="V1335" i="7" s="1"/>
  <c r="U1335" i="7"/>
  <c r="W1335" i="7"/>
  <c r="X1335" i="7"/>
  <c r="Y1335" i="7"/>
  <c r="D1336" i="7"/>
  <c r="E1336" i="7"/>
  <c r="F1336" i="7"/>
  <c r="G1336" i="7"/>
  <c r="H1336" i="7"/>
  <c r="I1336" i="7"/>
  <c r="J1336" i="7"/>
  <c r="K1336" i="7"/>
  <c r="L1336" i="7"/>
  <c r="M1336" i="7"/>
  <c r="N1336" i="7"/>
  <c r="P1336" i="7"/>
  <c r="Q1336" i="7"/>
  <c r="S1336" i="7" s="1"/>
  <c r="R1336" i="7"/>
  <c r="T1336" i="7"/>
  <c r="V1336" i="7" s="1"/>
  <c r="U1336" i="7"/>
  <c r="W1336" i="7"/>
  <c r="X1336" i="7"/>
  <c r="Y1336" i="7"/>
  <c r="D1337" i="7"/>
  <c r="E1337" i="7"/>
  <c r="X1337" i="7" s="1"/>
  <c r="F1337" i="7"/>
  <c r="G1337" i="7"/>
  <c r="H1337" i="7"/>
  <c r="I1337" i="7"/>
  <c r="J1337" i="7"/>
  <c r="K1337" i="7"/>
  <c r="L1337" i="7"/>
  <c r="M1337" i="7"/>
  <c r="N1337" i="7"/>
  <c r="P1337" i="7"/>
  <c r="Q1337" i="7"/>
  <c r="S1337" i="7" s="1"/>
  <c r="R1337" i="7"/>
  <c r="T1337" i="7"/>
  <c r="V1337" i="7" s="1"/>
  <c r="U1337" i="7"/>
  <c r="D1338" i="7"/>
  <c r="E1338" i="7"/>
  <c r="F1338" i="7"/>
  <c r="G1338" i="7"/>
  <c r="H1338" i="7"/>
  <c r="I1338" i="7"/>
  <c r="J1338" i="7"/>
  <c r="K1338" i="7"/>
  <c r="L1338" i="7"/>
  <c r="M1338" i="7"/>
  <c r="N1338" i="7"/>
  <c r="P1338" i="7"/>
  <c r="O1338" i="7" s="1"/>
  <c r="Q1338" i="7"/>
  <c r="R1338" i="7"/>
  <c r="S1338" i="7"/>
  <c r="T1338" i="7"/>
  <c r="U1338" i="7"/>
  <c r="V1338" i="7"/>
  <c r="W1338" i="7"/>
  <c r="X1338" i="7"/>
  <c r="Y1338" i="7"/>
  <c r="D1339" i="7"/>
  <c r="E1339" i="7"/>
  <c r="F1339" i="7"/>
  <c r="G1339" i="7"/>
  <c r="H1339" i="7"/>
  <c r="I1339" i="7"/>
  <c r="J1339" i="7"/>
  <c r="K1339" i="7"/>
  <c r="L1339" i="7"/>
  <c r="M1339" i="7"/>
  <c r="N1339" i="7"/>
  <c r="P1339" i="7"/>
  <c r="O1339" i="7" s="1"/>
  <c r="Q1339" i="7"/>
  <c r="R1339" i="7"/>
  <c r="S1339" i="7"/>
  <c r="T1339" i="7"/>
  <c r="U1339" i="7"/>
  <c r="V1339" i="7"/>
  <c r="W1339" i="7"/>
  <c r="X1339" i="7"/>
  <c r="Y1339" i="7"/>
  <c r="D1340" i="7"/>
  <c r="E1340" i="7"/>
  <c r="F1340" i="7"/>
  <c r="G1340" i="7"/>
  <c r="H1340" i="7"/>
  <c r="I1340" i="7"/>
  <c r="J1340" i="7"/>
  <c r="K1340" i="7"/>
  <c r="L1340" i="7"/>
  <c r="M1340" i="7"/>
  <c r="N1340" i="7"/>
  <c r="P1340" i="7"/>
  <c r="O1340" i="7" s="1"/>
  <c r="Q1340" i="7"/>
  <c r="R1340" i="7"/>
  <c r="S1340" i="7"/>
  <c r="T1340" i="7"/>
  <c r="U1340" i="7"/>
  <c r="V1340" i="7"/>
  <c r="W1340" i="7"/>
  <c r="X1340" i="7"/>
  <c r="Y1340" i="7"/>
  <c r="D1341" i="7"/>
  <c r="E1341" i="7"/>
  <c r="F1341" i="7"/>
  <c r="G1341" i="7"/>
  <c r="H1341" i="7"/>
  <c r="I1341" i="7"/>
  <c r="J1341" i="7"/>
  <c r="K1341" i="7"/>
  <c r="L1341" i="7"/>
  <c r="M1341" i="7"/>
  <c r="N1341" i="7"/>
  <c r="P1341" i="7"/>
  <c r="O1341" i="7" s="1"/>
  <c r="Q1341" i="7"/>
  <c r="R1341" i="7"/>
  <c r="S1341" i="7"/>
  <c r="T1341" i="7"/>
  <c r="U1341" i="7"/>
  <c r="V1341" i="7"/>
  <c r="W1341" i="7"/>
  <c r="X1341" i="7"/>
  <c r="Y1341" i="7"/>
  <c r="D1342" i="7"/>
  <c r="E1342" i="7"/>
  <c r="F1342" i="7"/>
  <c r="G1342" i="7"/>
  <c r="H1342" i="7"/>
  <c r="I1342" i="7"/>
  <c r="J1342" i="7"/>
  <c r="K1342" i="7"/>
  <c r="L1342" i="7"/>
  <c r="M1342" i="7"/>
  <c r="N1342" i="7"/>
  <c r="P1342" i="7"/>
  <c r="O1342" i="7" s="1"/>
  <c r="Q1342" i="7"/>
  <c r="R1342" i="7"/>
  <c r="S1342" i="7"/>
  <c r="T1342" i="7"/>
  <c r="U1342" i="7"/>
  <c r="V1342" i="7"/>
  <c r="W1342" i="7"/>
  <c r="X1342" i="7"/>
  <c r="Y1342" i="7"/>
  <c r="D1343" i="7"/>
  <c r="E1343" i="7"/>
  <c r="F1343" i="7"/>
  <c r="G1343" i="7"/>
  <c r="H1343" i="7"/>
  <c r="I1343" i="7"/>
  <c r="J1343" i="7"/>
  <c r="K1343" i="7"/>
  <c r="L1343" i="7"/>
  <c r="M1343" i="7"/>
  <c r="N1343" i="7"/>
  <c r="P1343" i="7"/>
  <c r="O1343" i="7" s="1"/>
  <c r="Q1343" i="7"/>
  <c r="R1343" i="7"/>
  <c r="S1343" i="7"/>
  <c r="T1343" i="7"/>
  <c r="U1343" i="7"/>
  <c r="V1343" i="7"/>
  <c r="W1343" i="7"/>
  <c r="X1343" i="7"/>
  <c r="Y1343" i="7"/>
  <c r="D1344" i="7"/>
  <c r="E1344" i="7"/>
  <c r="F1344" i="7"/>
  <c r="G1344" i="7"/>
  <c r="H1344" i="7"/>
  <c r="I1344" i="7"/>
  <c r="J1344" i="7"/>
  <c r="K1344" i="7"/>
  <c r="L1344" i="7"/>
  <c r="M1344" i="7"/>
  <c r="N1344" i="7"/>
  <c r="P1344" i="7"/>
  <c r="O1344" i="7" s="1"/>
  <c r="Q1344" i="7"/>
  <c r="R1344" i="7"/>
  <c r="S1344" i="7"/>
  <c r="T1344" i="7"/>
  <c r="U1344" i="7"/>
  <c r="V1344" i="7"/>
  <c r="W1344" i="7"/>
  <c r="X1344" i="7"/>
  <c r="Y1344" i="7"/>
  <c r="D1345" i="7"/>
  <c r="E1345" i="7"/>
  <c r="F1345" i="7"/>
  <c r="G1345" i="7"/>
  <c r="H1345" i="7"/>
  <c r="I1345" i="7"/>
  <c r="J1345" i="7"/>
  <c r="K1345" i="7"/>
  <c r="L1345" i="7"/>
  <c r="M1345" i="7"/>
  <c r="N1345" i="7"/>
  <c r="P1345" i="7"/>
  <c r="O1345" i="7" s="1"/>
  <c r="Q1345" i="7"/>
  <c r="R1345" i="7"/>
  <c r="S1345" i="7"/>
  <c r="T1345" i="7"/>
  <c r="U1345" i="7"/>
  <c r="V1345" i="7"/>
  <c r="W1345" i="7"/>
  <c r="X1345" i="7"/>
  <c r="Y1345" i="7"/>
  <c r="D1346" i="7"/>
  <c r="E1346" i="7"/>
  <c r="F1346" i="7"/>
  <c r="G1346" i="7"/>
  <c r="H1346" i="7"/>
  <c r="I1346" i="7"/>
  <c r="J1346" i="7"/>
  <c r="K1346" i="7"/>
  <c r="L1346" i="7"/>
  <c r="M1346" i="7"/>
  <c r="N1346" i="7"/>
  <c r="P1346" i="7"/>
  <c r="O1346" i="7" s="1"/>
  <c r="Q1346" i="7"/>
  <c r="R1346" i="7"/>
  <c r="S1346" i="7"/>
  <c r="T1346" i="7"/>
  <c r="U1346" i="7"/>
  <c r="V1346" i="7"/>
  <c r="W1346" i="7"/>
  <c r="X1346" i="7"/>
  <c r="Y1346" i="7"/>
  <c r="D1347" i="7"/>
  <c r="E1347" i="7"/>
  <c r="F1347" i="7"/>
  <c r="G1347" i="7"/>
  <c r="H1347" i="7"/>
  <c r="I1347" i="7"/>
  <c r="J1347" i="7"/>
  <c r="K1347" i="7"/>
  <c r="L1347" i="7"/>
  <c r="M1347" i="7"/>
  <c r="N1347" i="7"/>
  <c r="P1347" i="7"/>
  <c r="O1347" i="7" s="1"/>
  <c r="Q1347" i="7"/>
  <c r="R1347" i="7"/>
  <c r="S1347" i="7"/>
  <c r="T1347" i="7"/>
  <c r="U1347" i="7"/>
  <c r="V1347" i="7"/>
  <c r="W1347" i="7"/>
  <c r="X1347" i="7"/>
  <c r="Y1347" i="7"/>
  <c r="D1348" i="7"/>
  <c r="E1348" i="7"/>
  <c r="F1348" i="7"/>
  <c r="G1348" i="7"/>
  <c r="H1348" i="7"/>
  <c r="I1348" i="7"/>
  <c r="J1348" i="7"/>
  <c r="K1348" i="7"/>
  <c r="L1348" i="7"/>
  <c r="M1348" i="7"/>
  <c r="N1348" i="7"/>
  <c r="P1348" i="7"/>
  <c r="O1348" i="7" s="1"/>
  <c r="Q1348" i="7"/>
  <c r="R1348" i="7"/>
  <c r="S1348" i="7"/>
  <c r="T1348" i="7"/>
  <c r="U1348" i="7"/>
  <c r="V1348" i="7"/>
  <c r="W1348" i="7"/>
  <c r="X1348" i="7"/>
  <c r="Y1348" i="7"/>
  <c r="D1349" i="7"/>
  <c r="E1349" i="7"/>
  <c r="F1349" i="7"/>
  <c r="G1349" i="7"/>
  <c r="H1349" i="7"/>
  <c r="I1349" i="7"/>
  <c r="J1349" i="7"/>
  <c r="K1349" i="7"/>
  <c r="L1349" i="7"/>
  <c r="M1349" i="7"/>
  <c r="N1349" i="7"/>
  <c r="P1349" i="7"/>
  <c r="O1349" i="7" s="1"/>
  <c r="Q1349" i="7"/>
  <c r="R1349" i="7"/>
  <c r="S1349" i="7"/>
  <c r="T1349" i="7"/>
  <c r="U1349" i="7"/>
  <c r="V1349" i="7"/>
  <c r="W1349" i="7"/>
  <c r="X1349" i="7"/>
  <c r="Y1349" i="7"/>
  <c r="D1350" i="7"/>
  <c r="E1350" i="7"/>
  <c r="F1350" i="7"/>
  <c r="G1350" i="7"/>
  <c r="H1350" i="7"/>
  <c r="I1350" i="7"/>
  <c r="J1350" i="7"/>
  <c r="K1350" i="7"/>
  <c r="L1350" i="7"/>
  <c r="M1350" i="7"/>
  <c r="N1350" i="7"/>
  <c r="P1350" i="7"/>
  <c r="O1350" i="7" s="1"/>
  <c r="Q1350" i="7"/>
  <c r="R1350" i="7"/>
  <c r="S1350" i="7"/>
  <c r="T1350" i="7"/>
  <c r="U1350" i="7"/>
  <c r="V1350" i="7"/>
  <c r="W1350" i="7"/>
  <c r="X1350" i="7"/>
  <c r="Y1350" i="7"/>
  <c r="D1351" i="7"/>
  <c r="E1351" i="7"/>
  <c r="F1351" i="7"/>
  <c r="G1351" i="7"/>
  <c r="H1351" i="7"/>
  <c r="I1351" i="7"/>
  <c r="J1351" i="7"/>
  <c r="K1351" i="7"/>
  <c r="L1351" i="7"/>
  <c r="M1351" i="7"/>
  <c r="N1351" i="7"/>
  <c r="P1351" i="7"/>
  <c r="O1351" i="7" s="1"/>
  <c r="Q1351" i="7"/>
  <c r="R1351" i="7"/>
  <c r="S1351" i="7"/>
  <c r="T1351" i="7"/>
  <c r="U1351" i="7"/>
  <c r="V1351" i="7"/>
  <c r="W1351" i="7"/>
  <c r="X1351" i="7"/>
  <c r="Y1351" i="7"/>
  <c r="D1352" i="7"/>
  <c r="E1352" i="7"/>
  <c r="F1352" i="7"/>
  <c r="G1352" i="7"/>
  <c r="H1352" i="7"/>
  <c r="I1352" i="7"/>
  <c r="J1352" i="7"/>
  <c r="K1352" i="7"/>
  <c r="L1352" i="7"/>
  <c r="M1352" i="7"/>
  <c r="N1352" i="7"/>
  <c r="P1352" i="7"/>
  <c r="O1352" i="7" s="1"/>
  <c r="Q1352" i="7"/>
  <c r="R1352" i="7"/>
  <c r="S1352" i="7"/>
  <c r="T1352" i="7"/>
  <c r="U1352" i="7"/>
  <c r="V1352" i="7"/>
  <c r="W1352" i="7"/>
  <c r="X1352" i="7"/>
  <c r="Y1352" i="7"/>
  <c r="D1353" i="7"/>
  <c r="E1353" i="7"/>
  <c r="F1353" i="7"/>
  <c r="G1353" i="7"/>
  <c r="H1353" i="7"/>
  <c r="I1353" i="7"/>
  <c r="J1353" i="7"/>
  <c r="K1353" i="7"/>
  <c r="L1353" i="7"/>
  <c r="M1353" i="7"/>
  <c r="N1353" i="7"/>
  <c r="P1353" i="7"/>
  <c r="O1353" i="7" s="1"/>
  <c r="Q1353" i="7"/>
  <c r="R1353" i="7"/>
  <c r="S1353" i="7"/>
  <c r="T1353" i="7"/>
  <c r="U1353" i="7"/>
  <c r="V1353" i="7"/>
  <c r="W1353" i="7"/>
  <c r="X1353" i="7"/>
  <c r="Y1353" i="7"/>
  <c r="D1354" i="7"/>
  <c r="E1354" i="7"/>
  <c r="F1354" i="7"/>
  <c r="G1354" i="7"/>
  <c r="H1354" i="7"/>
  <c r="I1354" i="7"/>
  <c r="J1354" i="7"/>
  <c r="K1354" i="7"/>
  <c r="L1354" i="7"/>
  <c r="M1354" i="7"/>
  <c r="N1354" i="7"/>
  <c r="P1354" i="7"/>
  <c r="O1354" i="7" s="1"/>
  <c r="Q1354" i="7"/>
  <c r="R1354" i="7"/>
  <c r="S1354" i="7"/>
  <c r="T1354" i="7"/>
  <c r="U1354" i="7"/>
  <c r="V1354" i="7"/>
  <c r="W1354" i="7"/>
  <c r="X1354" i="7"/>
  <c r="Y1354" i="7"/>
  <c r="D1355" i="7"/>
  <c r="E1355" i="7"/>
  <c r="F1355" i="7"/>
  <c r="G1355" i="7"/>
  <c r="H1355" i="7"/>
  <c r="I1355" i="7"/>
  <c r="J1355" i="7"/>
  <c r="K1355" i="7"/>
  <c r="L1355" i="7"/>
  <c r="M1355" i="7"/>
  <c r="N1355" i="7"/>
  <c r="P1355" i="7"/>
  <c r="O1355" i="7" s="1"/>
  <c r="Q1355" i="7"/>
  <c r="R1355" i="7"/>
  <c r="S1355" i="7"/>
  <c r="T1355" i="7"/>
  <c r="U1355" i="7"/>
  <c r="V1355" i="7"/>
  <c r="W1355" i="7"/>
  <c r="X1355" i="7"/>
  <c r="Y1355" i="7"/>
  <c r="D1356" i="7"/>
  <c r="E1356" i="7"/>
  <c r="F1356" i="7"/>
  <c r="G1356" i="7"/>
  <c r="H1356" i="7"/>
  <c r="I1356" i="7"/>
  <c r="J1356" i="7"/>
  <c r="K1356" i="7"/>
  <c r="L1356" i="7"/>
  <c r="M1356" i="7"/>
  <c r="N1356" i="7"/>
  <c r="P1356" i="7"/>
  <c r="O1356" i="7" s="1"/>
  <c r="Q1356" i="7"/>
  <c r="R1356" i="7"/>
  <c r="S1356" i="7"/>
  <c r="T1356" i="7"/>
  <c r="U1356" i="7"/>
  <c r="V1356" i="7"/>
  <c r="W1356" i="7"/>
  <c r="X1356" i="7"/>
  <c r="Y1356" i="7"/>
  <c r="D1357" i="7"/>
  <c r="E1357" i="7"/>
  <c r="F1357" i="7"/>
  <c r="G1357" i="7"/>
  <c r="H1357" i="7"/>
  <c r="I1357" i="7"/>
  <c r="J1357" i="7"/>
  <c r="K1357" i="7"/>
  <c r="L1357" i="7"/>
  <c r="M1357" i="7"/>
  <c r="N1357" i="7"/>
  <c r="P1357" i="7"/>
  <c r="O1357" i="7" s="1"/>
  <c r="Q1357" i="7"/>
  <c r="R1357" i="7"/>
  <c r="S1357" i="7"/>
  <c r="T1357" i="7"/>
  <c r="U1357" i="7"/>
  <c r="V1357" i="7"/>
  <c r="W1357" i="7"/>
  <c r="X1357" i="7"/>
  <c r="Y1357" i="7"/>
  <c r="D1358" i="7"/>
  <c r="E1358" i="7"/>
  <c r="F1358" i="7"/>
  <c r="G1358" i="7"/>
  <c r="H1358" i="7"/>
  <c r="I1358" i="7"/>
  <c r="J1358" i="7"/>
  <c r="K1358" i="7"/>
  <c r="L1358" i="7"/>
  <c r="M1358" i="7"/>
  <c r="N1358" i="7"/>
  <c r="P1358" i="7"/>
  <c r="O1358" i="7" s="1"/>
  <c r="Q1358" i="7"/>
  <c r="R1358" i="7"/>
  <c r="S1358" i="7"/>
  <c r="T1358" i="7"/>
  <c r="U1358" i="7"/>
  <c r="V1358" i="7"/>
  <c r="W1358" i="7"/>
  <c r="X1358" i="7"/>
  <c r="Y1358" i="7"/>
  <c r="D1359" i="7"/>
  <c r="E1359" i="7"/>
  <c r="F1359" i="7"/>
  <c r="G1359" i="7"/>
  <c r="H1359" i="7"/>
  <c r="I1359" i="7"/>
  <c r="J1359" i="7"/>
  <c r="K1359" i="7"/>
  <c r="L1359" i="7"/>
  <c r="M1359" i="7"/>
  <c r="N1359" i="7"/>
  <c r="P1359" i="7"/>
  <c r="O1359" i="7" s="1"/>
  <c r="Q1359" i="7"/>
  <c r="R1359" i="7"/>
  <c r="S1359" i="7"/>
  <c r="T1359" i="7"/>
  <c r="U1359" i="7"/>
  <c r="V1359" i="7"/>
  <c r="W1359" i="7"/>
  <c r="X1359" i="7"/>
  <c r="Y1359" i="7"/>
  <c r="D1360" i="7"/>
  <c r="E1360" i="7"/>
  <c r="F1360" i="7"/>
  <c r="G1360" i="7"/>
  <c r="H1360" i="7"/>
  <c r="I1360" i="7"/>
  <c r="J1360" i="7"/>
  <c r="K1360" i="7"/>
  <c r="L1360" i="7"/>
  <c r="M1360" i="7"/>
  <c r="N1360" i="7"/>
  <c r="P1360" i="7"/>
  <c r="O1360" i="7" s="1"/>
  <c r="Q1360" i="7"/>
  <c r="R1360" i="7"/>
  <c r="S1360" i="7"/>
  <c r="T1360" i="7"/>
  <c r="U1360" i="7"/>
  <c r="V1360" i="7"/>
  <c r="W1360" i="7"/>
  <c r="X1360" i="7"/>
  <c r="Y1360" i="7"/>
  <c r="D1361" i="7"/>
  <c r="E1361" i="7"/>
  <c r="F1361" i="7"/>
  <c r="G1361" i="7"/>
  <c r="H1361" i="7"/>
  <c r="I1361" i="7"/>
  <c r="J1361" i="7"/>
  <c r="K1361" i="7"/>
  <c r="L1361" i="7"/>
  <c r="M1361" i="7"/>
  <c r="N1361" i="7"/>
  <c r="P1361" i="7"/>
  <c r="O1361" i="7" s="1"/>
  <c r="Q1361" i="7"/>
  <c r="R1361" i="7"/>
  <c r="S1361" i="7"/>
  <c r="T1361" i="7"/>
  <c r="U1361" i="7"/>
  <c r="V1361" i="7"/>
  <c r="W1361" i="7"/>
  <c r="X1361" i="7"/>
  <c r="Y1361" i="7"/>
  <c r="D1362" i="7"/>
  <c r="E1362" i="7"/>
  <c r="F1362" i="7"/>
  <c r="G1362" i="7"/>
  <c r="H1362" i="7"/>
  <c r="I1362" i="7"/>
  <c r="J1362" i="7"/>
  <c r="K1362" i="7"/>
  <c r="L1362" i="7"/>
  <c r="M1362" i="7"/>
  <c r="N1362" i="7"/>
  <c r="P1362" i="7"/>
  <c r="O1362" i="7" s="1"/>
  <c r="Q1362" i="7"/>
  <c r="R1362" i="7"/>
  <c r="S1362" i="7"/>
  <c r="T1362" i="7"/>
  <c r="U1362" i="7"/>
  <c r="V1362" i="7"/>
  <c r="W1362" i="7"/>
  <c r="X1362" i="7"/>
  <c r="Y1362" i="7"/>
  <c r="D1363" i="7"/>
  <c r="E1363" i="7"/>
  <c r="F1363" i="7"/>
  <c r="G1363" i="7"/>
  <c r="H1363" i="7"/>
  <c r="I1363" i="7"/>
  <c r="J1363" i="7"/>
  <c r="K1363" i="7"/>
  <c r="L1363" i="7"/>
  <c r="M1363" i="7"/>
  <c r="N1363" i="7"/>
  <c r="P1363" i="7"/>
  <c r="O1363" i="7" s="1"/>
  <c r="Q1363" i="7"/>
  <c r="R1363" i="7"/>
  <c r="S1363" i="7"/>
  <c r="T1363" i="7"/>
  <c r="U1363" i="7"/>
  <c r="V1363" i="7"/>
  <c r="W1363" i="7"/>
  <c r="X1363" i="7"/>
  <c r="Y1363" i="7"/>
  <c r="D1364" i="7"/>
  <c r="E1364" i="7"/>
  <c r="F1364" i="7"/>
  <c r="G1364" i="7"/>
  <c r="H1364" i="7"/>
  <c r="I1364" i="7"/>
  <c r="J1364" i="7"/>
  <c r="K1364" i="7"/>
  <c r="L1364" i="7"/>
  <c r="M1364" i="7"/>
  <c r="N1364" i="7"/>
  <c r="P1364" i="7"/>
  <c r="O1364" i="7" s="1"/>
  <c r="Q1364" i="7"/>
  <c r="R1364" i="7"/>
  <c r="S1364" i="7"/>
  <c r="T1364" i="7"/>
  <c r="U1364" i="7"/>
  <c r="V1364" i="7"/>
  <c r="W1364" i="7"/>
  <c r="X1364" i="7"/>
  <c r="Y1364" i="7"/>
  <c r="D1365" i="7"/>
  <c r="E1365" i="7"/>
  <c r="F1365" i="7"/>
  <c r="G1365" i="7"/>
  <c r="H1365" i="7"/>
  <c r="I1365" i="7"/>
  <c r="J1365" i="7"/>
  <c r="K1365" i="7"/>
  <c r="L1365" i="7"/>
  <c r="M1365" i="7"/>
  <c r="N1365" i="7"/>
  <c r="P1365" i="7"/>
  <c r="O1365" i="7" s="1"/>
  <c r="Q1365" i="7"/>
  <c r="R1365" i="7"/>
  <c r="S1365" i="7"/>
  <c r="T1365" i="7"/>
  <c r="U1365" i="7"/>
  <c r="V1365" i="7"/>
  <c r="W1365" i="7"/>
  <c r="X1365" i="7"/>
  <c r="Y1365" i="7"/>
  <c r="D1366" i="7"/>
  <c r="E1366" i="7"/>
  <c r="F1366" i="7"/>
  <c r="G1366" i="7"/>
  <c r="H1366" i="7"/>
  <c r="I1366" i="7"/>
  <c r="J1366" i="7"/>
  <c r="K1366" i="7"/>
  <c r="L1366" i="7"/>
  <c r="M1366" i="7"/>
  <c r="N1366" i="7"/>
  <c r="P1366" i="7"/>
  <c r="O1366" i="7" s="1"/>
  <c r="Q1366" i="7"/>
  <c r="R1366" i="7"/>
  <c r="S1366" i="7"/>
  <c r="T1366" i="7"/>
  <c r="U1366" i="7"/>
  <c r="V1366" i="7"/>
  <c r="W1366" i="7"/>
  <c r="X1366" i="7"/>
  <c r="Y1366" i="7"/>
  <c r="D1367" i="7"/>
  <c r="E1367" i="7"/>
  <c r="F1367" i="7"/>
  <c r="G1367" i="7"/>
  <c r="H1367" i="7"/>
  <c r="I1367" i="7"/>
  <c r="J1367" i="7"/>
  <c r="K1367" i="7"/>
  <c r="L1367" i="7"/>
  <c r="M1367" i="7"/>
  <c r="N1367" i="7"/>
  <c r="P1367" i="7"/>
  <c r="O1367" i="7" s="1"/>
  <c r="Q1367" i="7"/>
  <c r="R1367" i="7"/>
  <c r="S1367" i="7"/>
  <c r="T1367" i="7"/>
  <c r="U1367" i="7"/>
  <c r="V1367" i="7"/>
  <c r="W1367" i="7"/>
  <c r="X1367" i="7"/>
  <c r="Y1367" i="7"/>
  <c r="D1368" i="7"/>
  <c r="E1368" i="7"/>
  <c r="F1368" i="7"/>
  <c r="G1368" i="7"/>
  <c r="H1368" i="7"/>
  <c r="I1368" i="7"/>
  <c r="J1368" i="7"/>
  <c r="K1368" i="7"/>
  <c r="L1368" i="7"/>
  <c r="M1368" i="7"/>
  <c r="N1368" i="7"/>
  <c r="P1368" i="7"/>
  <c r="O1368" i="7" s="1"/>
  <c r="Q1368" i="7"/>
  <c r="R1368" i="7"/>
  <c r="S1368" i="7"/>
  <c r="T1368" i="7"/>
  <c r="U1368" i="7"/>
  <c r="V1368" i="7"/>
  <c r="W1368" i="7"/>
  <c r="X1368" i="7"/>
  <c r="Y1368" i="7"/>
  <c r="D1369" i="7"/>
  <c r="E1369" i="7"/>
  <c r="F1369" i="7"/>
  <c r="G1369" i="7"/>
  <c r="H1369" i="7"/>
  <c r="I1369" i="7"/>
  <c r="J1369" i="7"/>
  <c r="K1369" i="7"/>
  <c r="L1369" i="7"/>
  <c r="M1369" i="7"/>
  <c r="N1369" i="7"/>
  <c r="P1369" i="7"/>
  <c r="O1369" i="7" s="1"/>
  <c r="Q1369" i="7"/>
  <c r="R1369" i="7"/>
  <c r="S1369" i="7"/>
  <c r="T1369" i="7"/>
  <c r="U1369" i="7"/>
  <c r="V1369" i="7"/>
  <c r="W1369" i="7"/>
  <c r="X1369" i="7"/>
  <c r="Y1369" i="7"/>
  <c r="D1370" i="7"/>
  <c r="E1370" i="7"/>
  <c r="F1370" i="7"/>
  <c r="G1370" i="7"/>
  <c r="H1370" i="7"/>
  <c r="I1370" i="7"/>
  <c r="J1370" i="7"/>
  <c r="K1370" i="7"/>
  <c r="L1370" i="7"/>
  <c r="M1370" i="7"/>
  <c r="N1370" i="7"/>
  <c r="P1370" i="7"/>
  <c r="O1370" i="7" s="1"/>
  <c r="Q1370" i="7"/>
  <c r="R1370" i="7"/>
  <c r="S1370" i="7"/>
  <c r="T1370" i="7"/>
  <c r="U1370" i="7"/>
  <c r="V1370" i="7"/>
  <c r="W1370" i="7"/>
  <c r="X1370" i="7"/>
  <c r="Y1370" i="7"/>
  <c r="D1371" i="7"/>
  <c r="E1371" i="7"/>
  <c r="F1371" i="7"/>
  <c r="G1371" i="7"/>
  <c r="H1371" i="7"/>
  <c r="I1371" i="7"/>
  <c r="J1371" i="7"/>
  <c r="K1371" i="7"/>
  <c r="L1371" i="7"/>
  <c r="M1371" i="7"/>
  <c r="N1371" i="7"/>
  <c r="P1371" i="7"/>
  <c r="O1371" i="7" s="1"/>
  <c r="Q1371" i="7"/>
  <c r="R1371" i="7"/>
  <c r="S1371" i="7"/>
  <c r="T1371" i="7"/>
  <c r="U1371" i="7"/>
  <c r="V1371" i="7"/>
  <c r="W1371" i="7"/>
  <c r="X1371" i="7"/>
  <c r="Y1371" i="7"/>
  <c r="D1372" i="7"/>
  <c r="E1372" i="7"/>
  <c r="F1372" i="7"/>
  <c r="G1372" i="7"/>
  <c r="H1372" i="7"/>
  <c r="I1372" i="7"/>
  <c r="J1372" i="7"/>
  <c r="K1372" i="7"/>
  <c r="L1372" i="7"/>
  <c r="M1372" i="7"/>
  <c r="N1372" i="7"/>
  <c r="P1372" i="7"/>
  <c r="O1372" i="7" s="1"/>
  <c r="Q1372" i="7"/>
  <c r="R1372" i="7"/>
  <c r="S1372" i="7"/>
  <c r="T1372" i="7"/>
  <c r="U1372" i="7"/>
  <c r="V1372" i="7"/>
  <c r="W1372" i="7"/>
  <c r="X1372" i="7"/>
  <c r="Y1372" i="7"/>
  <c r="D1373" i="7"/>
  <c r="E1373" i="7"/>
  <c r="F1373" i="7"/>
  <c r="G1373" i="7"/>
  <c r="H1373" i="7"/>
  <c r="I1373" i="7"/>
  <c r="J1373" i="7"/>
  <c r="K1373" i="7"/>
  <c r="L1373" i="7"/>
  <c r="M1373" i="7"/>
  <c r="N1373" i="7"/>
  <c r="P1373" i="7"/>
  <c r="O1373" i="7" s="1"/>
  <c r="Q1373" i="7"/>
  <c r="R1373" i="7"/>
  <c r="S1373" i="7"/>
  <c r="T1373" i="7"/>
  <c r="U1373" i="7"/>
  <c r="V1373" i="7"/>
  <c r="W1373" i="7"/>
  <c r="X1373" i="7"/>
  <c r="Y1373" i="7"/>
  <c r="D1374" i="7"/>
  <c r="E1374" i="7"/>
  <c r="F1374" i="7"/>
  <c r="G1374" i="7"/>
  <c r="H1374" i="7"/>
  <c r="I1374" i="7"/>
  <c r="J1374" i="7"/>
  <c r="K1374" i="7"/>
  <c r="L1374" i="7"/>
  <c r="M1374" i="7"/>
  <c r="N1374" i="7"/>
  <c r="P1374" i="7"/>
  <c r="O1374" i="7" s="1"/>
  <c r="Q1374" i="7"/>
  <c r="R1374" i="7"/>
  <c r="S1374" i="7"/>
  <c r="T1374" i="7"/>
  <c r="U1374" i="7"/>
  <c r="V1374" i="7"/>
  <c r="W1374" i="7"/>
  <c r="X1374" i="7"/>
  <c r="Y1374" i="7"/>
  <c r="D1375" i="7"/>
  <c r="E1375" i="7"/>
  <c r="F1375" i="7"/>
  <c r="G1375" i="7"/>
  <c r="H1375" i="7"/>
  <c r="I1375" i="7"/>
  <c r="J1375" i="7"/>
  <c r="K1375" i="7"/>
  <c r="L1375" i="7"/>
  <c r="M1375" i="7"/>
  <c r="N1375" i="7"/>
  <c r="P1375" i="7"/>
  <c r="O1375" i="7" s="1"/>
  <c r="Q1375" i="7"/>
  <c r="R1375" i="7"/>
  <c r="S1375" i="7"/>
  <c r="T1375" i="7"/>
  <c r="U1375" i="7"/>
  <c r="V1375" i="7"/>
  <c r="W1375" i="7"/>
  <c r="X1375" i="7"/>
  <c r="Y1375" i="7"/>
  <c r="D1376" i="7"/>
  <c r="E1376" i="7"/>
  <c r="F1376" i="7"/>
  <c r="G1376" i="7"/>
  <c r="H1376" i="7"/>
  <c r="I1376" i="7"/>
  <c r="J1376" i="7"/>
  <c r="K1376" i="7"/>
  <c r="L1376" i="7"/>
  <c r="M1376" i="7"/>
  <c r="N1376" i="7"/>
  <c r="P1376" i="7"/>
  <c r="O1376" i="7" s="1"/>
  <c r="Q1376" i="7"/>
  <c r="R1376" i="7"/>
  <c r="S1376" i="7"/>
  <c r="T1376" i="7"/>
  <c r="U1376" i="7"/>
  <c r="V1376" i="7"/>
  <c r="W1376" i="7"/>
  <c r="X1376" i="7"/>
  <c r="Y1376" i="7"/>
  <c r="D1377" i="7"/>
  <c r="E1377" i="7"/>
  <c r="F1377" i="7"/>
  <c r="G1377" i="7"/>
  <c r="H1377" i="7"/>
  <c r="I1377" i="7"/>
  <c r="J1377" i="7"/>
  <c r="K1377" i="7"/>
  <c r="L1377" i="7"/>
  <c r="M1377" i="7"/>
  <c r="N1377" i="7"/>
  <c r="P1377" i="7"/>
  <c r="O1377" i="7" s="1"/>
  <c r="Q1377" i="7"/>
  <c r="R1377" i="7"/>
  <c r="S1377" i="7"/>
  <c r="T1377" i="7"/>
  <c r="U1377" i="7"/>
  <c r="V1377" i="7"/>
  <c r="W1377" i="7"/>
  <c r="X1377" i="7"/>
  <c r="Y1377" i="7"/>
  <c r="D1378" i="7"/>
  <c r="E1378" i="7"/>
  <c r="F1378" i="7"/>
  <c r="G1378" i="7"/>
  <c r="H1378" i="7"/>
  <c r="I1378" i="7"/>
  <c r="J1378" i="7"/>
  <c r="K1378" i="7"/>
  <c r="L1378" i="7"/>
  <c r="M1378" i="7"/>
  <c r="N1378" i="7"/>
  <c r="P1378" i="7"/>
  <c r="O1378" i="7" s="1"/>
  <c r="Q1378" i="7"/>
  <c r="R1378" i="7"/>
  <c r="S1378" i="7"/>
  <c r="T1378" i="7"/>
  <c r="U1378" i="7"/>
  <c r="V1378" i="7"/>
  <c r="W1378" i="7"/>
  <c r="X1378" i="7"/>
  <c r="Y1378" i="7"/>
  <c r="D1379" i="7"/>
  <c r="E1379" i="7"/>
  <c r="F1379" i="7"/>
  <c r="G1379" i="7"/>
  <c r="H1379" i="7"/>
  <c r="I1379" i="7"/>
  <c r="J1379" i="7"/>
  <c r="K1379" i="7"/>
  <c r="L1379" i="7"/>
  <c r="M1379" i="7"/>
  <c r="N1379" i="7"/>
  <c r="P1379" i="7"/>
  <c r="O1379" i="7" s="1"/>
  <c r="Q1379" i="7"/>
  <c r="R1379" i="7"/>
  <c r="S1379" i="7"/>
  <c r="T1379" i="7"/>
  <c r="U1379" i="7"/>
  <c r="V1379" i="7"/>
  <c r="W1379" i="7"/>
  <c r="X1379" i="7"/>
  <c r="Y1379" i="7"/>
  <c r="D1380" i="7"/>
  <c r="E1380" i="7"/>
  <c r="F1380" i="7"/>
  <c r="G1380" i="7"/>
  <c r="H1380" i="7"/>
  <c r="I1380" i="7"/>
  <c r="J1380" i="7"/>
  <c r="K1380" i="7"/>
  <c r="L1380" i="7"/>
  <c r="M1380" i="7"/>
  <c r="N1380" i="7"/>
  <c r="P1380" i="7"/>
  <c r="O1380" i="7" s="1"/>
  <c r="Q1380" i="7"/>
  <c r="R1380" i="7"/>
  <c r="S1380" i="7"/>
  <c r="T1380" i="7"/>
  <c r="U1380" i="7"/>
  <c r="V1380" i="7"/>
  <c r="W1380" i="7"/>
  <c r="X1380" i="7"/>
  <c r="Y1380" i="7"/>
  <c r="D1381" i="7"/>
  <c r="E1381" i="7"/>
  <c r="F1381" i="7"/>
  <c r="G1381" i="7"/>
  <c r="H1381" i="7"/>
  <c r="I1381" i="7"/>
  <c r="J1381" i="7"/>
  <c r="K1381" i="7"/>
  <c r="L1381" i="7"/>
  <c r="M1381" i="7"/>
  <c r="N1381" i="7"/>
  <c r="P1381" i="7"/>
  <c r="O1381" i="7" s="1"/>
  <c r="Q1381" i="7"/>
  <c r="R1381" i="7"/>
  <c r="S1381" i="7"/>
  <c r="T1381" i="7"/>
  <c r="U1381" i="7"/>
  <c r="V1381" i="7"/>
  <c r="W1381" i="7"/>
  <c r="X1381" i="7"/>
  <c r="Y1381" i="7"/>
  <c r="D1382" i="7"/>
  <c r="E1382" i="7"/>
  <c r="F1382" i="7"/>
  <c r="G1382" i="7"/>
  <c r="H1382" i="7"/>
  <c r="I1382" i="7"/>
  <c r="J1382" i="7"/>
  <c r="K1382" i="7"/>
  <c r="L1382" i="7"/>
  <c r="M1382" i="7"/>
  <c r="N1382" i="7"/>
  <c r="P1382" i="7"/>
  <c r="O1382" i="7" s="1"/>
  <c r="Q1382" i="7"/>
  <c r="R1382" i="7"/>
  <c r="S1382" i="7"/>
  <c r="T1382" i="7"/>
  <c r="U1382" i="7"/>
  <c r="V1382" i="7"/>
  <c r="W1382" i="7"/>
  <c r="X1382" i="7"/>
  <c r="Y1382" i="7"/>
  <c r="D1383" i="7"/>
  <c r="E1383" i="7"/>
  <c r="F1383" i="7"/>
  <c r="G1383" i="7"/>
  <c r="H1383" i="7"/>
  <c r="I1383" i="7"/>
  <c r="J1383" i="7"/>
  <c r="K1383" i="7"/>
  <c r="L1383" i="7"/>
  <c r="M1383" i="7"/>
  <c r="N1383" i="7"/>
  <c r="P1383" i="7"/>
  <c r="O1383" i="7" s="1"/>
  <c r="Q1383" i="7"/>
  <c r="R1383" i="7"/>
  <c r="S1383" i="7"/>
  <c r="T1383" i="7"/>
  <c r="U1383" i="7"/>
  <c r="V1383" i="7"/>
  <c r="W1383" i="7"/>
  <c r="X1383" i="7"/>
  <c r="Y1383" i="7"/>
  <c r="D1384" i="7"/>
  <c r="E1384" i="7"/>
  <c r="F1384" i="7"/>
  <c r="G1384" i="7"/>
  <c r="H1384" i="7"/>
  <c r="I1384" i="7"/>
  <c r="J1384" i="7"/>
  <c r="K1384" i="7"/>
  <c r="L1384" i="7"/>
  <c r="M1384" i="7"/>
  <c r="N1384" i="7"/>
  <c r="P1384" i="7"/>
  <c r="O1384" i="7" s="1"/>
  <c r="Q1384" i="7"/>
  <c r="R1384" i="7"/>
  <c r="S1384" i="7"/>
  <c r="T1384" i="7"/>
  <c r="U1384" i="7"/>
  <c r="V1384" i="7"/>
  <c r="W1384" i="7"/>
  <c r="X1384" i="7"/>
  <c r="Y1384" i="7"/>
  <c r="D1385" i="7"/>
  <c r="E1385" i="7"/>
  <c r="F1385" i="7"/>
  <c r="G1385" i="7"/>
  <c r="H1385" i="7"/>
  <c r="I1385" i="7"/>
  <c r="J1385" i="7"/>
  <c r="K1385" i="7"/>
  <c r="L1385" i="7"/>
  <c r="M1385" i="7"/>
  <c r="N1385" i="7"/>
  <c r="P1385" i="7"/>
  <c r="O1385" i="7" s="1"/>
  <c r="Q1385" i="7"/>
  <c r="R1385" i="7"/>
  <c r="S1385" i="7"/>
  <c r="T1385" i="7"/>
  <c r="U1385" i="7"/>
  <c r="V1385" i="7"/>
  <c r="W1385" i="7"/>
  <c r="X1385" i="7"/>
  <c r="Y1385" i="7"/>
  <c r="D1386" i="7"/>
  <c r="E1386" i="7"/>
  <c r="F1386" i="7"/>
  <c r="G1386" i="7"/>
  <c r="H1386" i="7"/>
  <c r="I1386" i="7"/>
  <c r="J1386" i="7"/>
  <c r="K1386" i="7"/>
  <c r="L1386" i="7"/>
  <c r="M1386" i="7"/>
  <c r="N1386" i="7"/>
  <c r="P1386" i="7"/>
  <c r="O1386" i="7" s="1"/>
  <c r="Q1386" i="7"/>
  <c r="R1386" i="7"/>
  <c r="S1386" i="7"/>
  <c r="T1386" i="7"/>
  <c r="U1386" i="7"/>
  <c r="V1386" i="7"/>
  <c r="W1386" i="7"/>
  <c r="X1386" i="7"/>
  <c r="Y1386" i="7"/>
  <c r="D1387" i="7"/>
  <c r="E1387" i="7"/>
  <c r="F1387" i="7"/>
  <c r="G1387" i="7"/>
  <c r="H1387" i="7"/>
  <c r="I1387" i="7"/>
  <c r="J1387" i="7"/>
  <c r="K1387" i="7"/>
  <c r="L1387" i="7"/>
  <c r="M1387" i="7"/>
  <c r="N1387" i="7"/>
  <c r="P1387" i="7"/>
  <c r="O1387" i="7" s="1"/>
  <c r="Q1387" i="7"/>
  <c r="R1387" i="7"/>
  <c r="S1387" i="7"/>
  <c r="T1387" i="7"/>
  <c r="U1387" i="7"/>
  <c r="V1387" i="7"/>
  <c r="W1387" i="7"/>
  <c r="X1387" i="7"/>
  <c r="Y1387" i="7"/>
  <c r="D1388" i="7"/>
  <c r="E1388" i="7"/>
  <c r="F1388" i="7"/>
  <c r="G1388" i="7"/>
  <c r="H1388" i="7"/>
  <c r="I1388" i="7"/>
  <c r="J1388" i="7"/>
  <c r="K1388" i="7"/>
  <c r="L1388" i="7"/>
  <c r="M1388" i="7"/>
  <c r="N1388" i="7"/>
  <c r="P1388" i="7"/>
  <c r="O1388" i="7" s="1"/>
  <c r="Q1388" i="7"/>
  <c r="R1388" i="7"/>
  <c r="S1388" i="7"/>
  <c r="T1388" i="7"/>
  <c r="U1388" i="7"/>
  <c r="V1388" i="7"/>
  <c r="W1388" i="7"/>
  <c r="X1388" i="7"/>
  <c r="Y1388" i="7"/>
  <c r="D1389" i="7"/>
  <c r="E1389" i="7"/>
  <c r="F1389" i="7"/>
  <c r="G1389" i="7"/>
  <c r="H1389" i="7"/>
  <c r="I1389" i="7"/>
  <c r="J1389" i="7"/>
  <c r="K1389" i="7"/>
  <c r="L1389" i="7"/>
  <c r="M1389" i="7"/>
  <c r="N1389" i="7"/>
  <c r="P1389" i="7"/>
  <c r="O1389" i="7" s="1"/>
  <c r="Q1389" i="7"/>
  <c r="R1389" i="7"/>
  <c r="S1389" i="7"/>
  <c r="T1389" i="7"/>
  <c r="U1389" i="7"/>
  <c r="V1389" i="7"/>
  <c r="W1389" i="7"/>
  <c r="X1389" i="7"/>
  <c r="Y1389" i="7"/>
  <c r="D1390" i="7"/>
  <c r="E1390" i="7"/>
  <c r="F1390" i="7"/>
  <c r="G1390" i="7"/>
  <c r="H1390" i="7"/>
  <c r="I1390" i="7"/>
  <c r="J1390" i="7"/>
  <c r="K1390" i="7"/>
  <c r="L1390" i="7"/>
  <c r="M1390" i="7"/>
  <c r="N1390" i="7"/>
  <c r="P1390" i="7"/>
  <c r="O1390" i="7" s="1"/>
  <c r="Q1390" i="7"/>
  <c r="R1390" i="7"/>
  <c r="S1390" i="7"/>
  <c r="T1390" i="7"/>
  <c r="U1390" i="7"/>
  <c r="V1390" i="7"/>
  <c r="W1390" i="7"/>
  <c r="X1390" i="7"/>
  <c r="Y1390" i="7"/>
  <c r="D1391" i="7"/>
  <c r="E1391" i="7"/>
  <c r="F1391" i="7"/>
  <c r="G1391" i="7"/>
  <c r="H1391" i="7"/>
  <c r="I1391" i="7"/>
  <c r="J1391" i="7"/>
  <c r="K1391" i="7"/>
  <c r="L1391" i="7"/>
  <c r="M1391" i="7"/>
  <c r="N1391" i="7"/>
  <c r="P1391" i="7"/>
  <c r="O1391" i="7" s="1"/>
  <c r="Q1391" i="7"/>
  <c r="R1391" i="7"/>
  <c r="S1391" i="7"/>
  <c r="T1391" i="7"/>
  <c r="U1391" i="7"/>
  <c r="V1391" i="7"/>
  <c r="W1391" i="7"/>
  <c r="X1391" i="7"/>
  <c r="Y1391" i="7"/>
  <c r="D1392" i="7"/>
  <c r="E1392" i="7"/>
  <c r="F1392" i="7"/>
  <c r="G1392" i="7"/>
  <c r="H1392" i="7"/>
  <c r="I1392" i="7"/>
  <c r="J1392" i="7"/>
  <c r="K1392" i="7"/>
  <c r="L1392" i="7"/>
  <c r="M1392" i="7"/>
  <c r="N1392" i="7"/>
  <c r="P1392" i="7"/>
  <c r="O1392" i="7" s="1"/>
  <c r="Q1392" i="7"/>
  <c r="R1392" i="7"/>
  <c r="S1392" i="7"/>
  <c r="T1392" i="7"/>
  <c r="U1392" i="7"/>
  <c r="V1392" i="7"/>
  <c r="W1392" i="7"/>
  <c r="X1392" i="7"/>
  <c r="Y1392" i="7"/>
  <c r="D1393" i="7"/>
  <c r="E1393" i="7"/>
  <c r="F1393" i="7"/>
  <c r="G1393" i="7"/>
  <c r="H1393" i="7"/>
  <c r="I1393" i="7"/>
  <c r="J1393" i="7"/>
  <c r="K1393" i="7"/>
  <c r="L1393" i="7"/>
  <c r="M1393" i="7"/>
  <c r="N1393" i="7"/>
  <c r="P1393" i="7"/>
  <c r="O1393" i="7" s="1"/>
  <c r="Q1393" i="7"/>
  <c r="R1393" i="7"/>
  <c r="S1393" i="7"/>
  <c r="T1393" i="7"/>
  <c r="U1393" i="7"/>
  <c r="V1393" i="7"/>
  <c r="W1393" i="7"/>
  <c r="X1393" i="7"/>
  <c r="Y1393" i="7"/>
  <c r="D1394" i="7"/>
  <c r="E1394" i="7"/>
  <c r="F1394" i="7"/>
  <c r="G1394" i="7"/>
  <c r="H1394" i="7"/>
  <c r="I1394" i="7"/>
  <c r="J1394" i="7"/>
  <c r="K1394" i="7"/>
  <c r="L1394" i="7"/>
  <c r="M1394" i="7"/>
  <c r="N1394" i="7"/>
  <c r="P1394" i="7"/>
  <c r="O1394" i="7" s="1"/>
  <c r="Q1394" i="7"/>
  <c r="R1394" i="7"/>
  <c r="S1394" i="7"/>
  <c r="T1394" i="7"/>
  <c r="U1394" i="7"/>
  <c r="V1394" i="7"/>
  <c r="W1394" i="7"/>
  <c r="X1394" i="7"/>
  <c r="Y1394" i="7"/>
  <c r="D1395" i="7"/>
  <c r="E1395" i="7"/>
  <c r="F1395" i="7"/>
  <c r="G1395" i="7"/>
  <c r="H1395" i="7"/>
  <c r="I1395" i="7"/>
  <c r="J1395" i="7"/>
  <c r="K1395" i="7"/>
  <c r="L1395" i="7"/>
  <c r="M1395" i="7"/>
  <c r="N1395" i="7"/>
  <c r="P1395" i="7"/>
  <c r="O1395" i="7" s="1"/>
  <c r="Q1395" i="7"/>
  <c r="R1395" i="7"/>
  <c r="S1395" i="7"/>
  <c r="T1395" i="7"/>
  <c r="U1395" i="7"/>
  <c r="V1395" i="7"/>
  <c r="W1395" i="7"/>
  <c r="X1395" i="7"/>
  <c r="Y1395" i="7"/>
  <c r="D1396" i="7"/>
  <c r="E1396" i="7"/>
  <c r="F1396" i="7"/>
  <c r="G1396" i="7"/>
  <c r="H1396" i="7"/>
  <c r="I1396" i="7"/>
  <c r="J1396" i="7"/>
  <c r="K1396" i="7"/>
  <c r="L1396" i="7"/>
  <c r="M1396" i="7"/>
  <c r="N1396" i="7"/>
  <c r="P1396" i="7"/>
  <c r="O1396" i="7" s="1"/>
  <c r="Q1396" i="7"/>
  <c r="R1396" i="7"/>
  <c r="S1396" i="7"/>
  <c r="T1396" i="7"/>
  <c r="U1396" i="7"/>
  <c r="V1396" i="7"/>
  <c r="W1396" i="7"/>
  <c r="X1396" i="7"/>
  <c r="Y1396" i="7"/>
  <c r="D1397" i="7"/>
  <c r="E1397" i="7"/>
  <c r="F1397" i="7"/>
  <c r="G1397" i="7"/>
  <c r="H1397" i="7"/>
  <c r="I1397" i="7"/>
  <c r="J1397" i="7"/>
  <c r="K1397" i="7"/>
  <c r="L1397" i="7"/>
  <c r="M1397" i="7"/>
  <c r="N1397" i="7"/>
  <c r="P1397" i="7"/>
  <c r="O1397" i="7" s="1"/>
  <c r="Q1397" i="7"/>
  <c r="R1397" i="7"/>
  <c r="S1397" i="7"/>
  <c r="T1397" i="7"/>
  <c r="U1397" i="7"/>
  <c r="V1397" i="7"/>
  <c r="W1397" i="7"/>
  <c r="X1397" i="7"/>
  <c r="Y1397" i="7"/>
  <c r="D1398" i="7"/>
  <c r="E1398" i="7"/>
  <c r="F1398" i="7"/>
  <c r="G1398" i="7"/>
  <c r="H1398" i="7"/>
  <c r="I1398" i="7"/>
  <c r="J1398" i="7"/>
  <c r="K1398" i="7"/>
  <c r="L1398" i="7"/>
  <c r="M1398" i="7"/>
  <c r="N1398" i="7"/>
  <c r="P1398" i="7"/>
  <c r="O1398" i="7" s="1"/>
  <c r="Q1398" i="7"/>
  <c r="R1398" i="7"/>
  <c r="S1398" i="7"/>
  <c r="T1398" i="7"/>
  <c r="U1398" i="7"/>
  <c r="V1398" i="7"/>
  <c r="W1398" i="7"/>
  <c r="X1398" i="7"/>
  <c r="Y1398" i="7"/>
  <c r="D1399" i="7"/>
  <c r="E1399" i="7"/>
  <c r="F1399" i="7"/>
  <c r="G1399" i="7"/>
  <c r="H1399" i="7"/>
  <c r="I1399" i="7"/>
  <c r="J1399" i="7"/>
  <c r="K1399" i="7"/>
  <c r="L1399" i="7"/>
  <c r="M1399" i="7"/>
  <c r="N1399" i="7"/>
  <c r="P1399" i="7"/>
  <c r="O1399" i="7" s="1"/>
  <c r="Q1399" i="7"/>
  <c r="R1399" i="7"/>
  <c r="S1399" i="7"/>
  <c r="T1399" i="7"/>
  <c r="U1399" i="7"/>
  <c r="V1399" i="7"/>
  <c r="W1399" i="7"/>
  <c r="X1399" i="7"/>
  <c r="Y1399" i="7"/>
  <c r="D1400" i="7"/>
  <c r="E1400" i="7"/>
  <c r="F1400" i="7"/>
  <c r="G1400" i="7"/>
  <c r="H1400" i="7"/>
  <c r="I1400" i="7"/>
  <c r="J1400" i="7"/>
  <c r="K1400" i="7"/>
  <c r="L1400" i="7"/>
  <c r="M1400" i="7"/>
  <c r="N1400" i="7"/>
  <c r="P1400" i="7"/>
  <c r="O1400" i="7" s="1"/>
  <c r="Q1400" i="7"/>
  <c r="R1400" i="7"/>
  <c r="S1400" i="7"/>
  <c r="T1400" i="7"/>
  <c r="U1400" i="7"/>
  <c r="V1400" i="7"/>
  <c r="W1400" i="7"/>
  <c r="X1400" i="7"/>
  <c r="Y1400" i="7"/>
  <c r="D1401" i="7"/>
  <c r="E1401" i="7"/>
  <c r="F1401" i="7"/>
  <c r="G1401" i="7"/>
  <c r="H1401" i="7"/>
  <c r="I1401" i="7"/>
  <c r="J1401" i="7"/>
  <c r="K1401" i="7"/>
  <c r="L1401" i="7"/>
  <c r="M1401" i="7"/>
  <c r="N1401" i="7"/>
  <c r="P1401" i="7"/>
  <c r="O1401" i="7" s="1"/>
  <c r="Q1401" i="7"/>
  <c r="R1401" i="7"/>
  <c r="S1401" i="7"/>
  <c r="T1401" i="7"/>
  <c r="U1401" i="7"/>
  <c r="V1401" i="7"/>
  <c r="W1401" i="7"/>
  <c r="X1401" i="7"/>
  <c r="Y1401" i="7"/>
  <c r="D1402" i="7"/>
  <c r="E1402" i="7"/>
  <c r="F1402" i="7"/>
  <c r="G1402" i="7"/>
  <c r="H1402" i="7"/>
  <c r="I1402" i="7"/>
  <c r="J1402" i="7"/>
  <c r="K1402" i="7"/>
  <c r="L1402" i="7"/>
  <c r="M1402" i="7"/>
  <c r="N1402" i="7"/>
  <c r="P1402" i="7"/>
  <c r="O1402" i="7" s="1"/>
  <c r="Q1402" i="7"/>
  <c r="R1402" i="7"/>
  <c r="S1402" i="7"/>
  <c r="T1402" i="7"/>
  <c r="U1402" i="7"/>
  <c r="V1402" i="7"/>
  <c r="W1402" i="7"/>
  <c r="X1402" i="7"/>
  <c r="Y1402" i="7"/>
  <c r="D1403" i="7"/>
  <c r="E1403" i="7"/>
  <c r="F1403" i="7"/>
  <c r="G1403" i="7"/>
  <c r="H1403" i="7"/>
  <c r="I1403" i="7"/>
  <c r="J1403" i="7"/>
  <c r="K1403" i="7"/>
  <c r="L1403" i="7"/>
  <c r="M1403" i="7"/>
  <c r="N1403" i="7"/>
  <c r="P1403" i="7"/>
  <c r="O1403" i="7" s="1"/>
  <c r="Q1403" i="7"/>
  <c r="R1403" i="7"/>
  <c r="S1403" i="7"/>
  <c r="T1403" i="7"/>
  <c r="U1403" i="7"/>
  <c r="V1403" i="7"/>
  <c r="W1403" i="7"/>
  <c r="X1403" i="7"/>
  <c r="Y1403" i="7"/>
  <c r="D1404" i="7"/>
  <c r="E1404" i="7"/>
  <c r="F1404" i="7"/>
  <c r="G1404" i="7"/>
  <c r="H1404" i="7"/>
  <c r="I1404" i="7"/>
  <c r="J1404" i="7"/>
  <c r="K1404" i="7"/>
  <c r="L1404" i="7"/>
  <c r="M1404" i="7"/>
  <c r="N1404" i="7"/>
  <c r="P1404" i="7"/>
  <c r="O1404" i="7" s="1"/>
  <c r="Q1404" i="7"/>
  <c r="R1404" i="7"/>
  <c r="S1404" i="7"/>
  <c r="T1404" i="7"/>
  <c r="U1404" i="7"/>
  <c r="V1404" i="7"/>
  <c r="W1404" i="7"/>
  <c r="X1404" i="7"/>
  <c r="Y1404" i="7"/>
  <c r="D1405" i="7"/>
  <c r="E1405" i="7"/>
  <c r="F1405" i="7"/>
  <c r="G1405" i="7"/>
  <c r="H1405" i="7"/>
  <c r="I1405" i="7"/>
  <c r="J1405" i="7"/>
  <c r="K1405" i="7"/>
  <c r="L1405" i="7"/>
  <c r="M1405" i="7"/>
  <c r="N1405" i="7"/>
  <c r="P1405" i="7"/>
  <c r="O1405" i="7" s="1"/>
  <c r="Q1405" i="7"/>
  <c r="R1405" i="7"/>
  <c r="S1405" i="7"/>
  <c r="T1405" i="7"/>
  <c r="U1405" i="7"/>
  <c r="V1405" i="7"/>
  <c r="W1405" i="7"/>
  <c r="X1405" i="7"/>
  <c r="Y1405" i="7"/>
  <c r="D1406" i="7"/>
  <c r="E1406" i="7"/>
  <c r="F1406" i="7"/>
  <c r="G1406" i="7"/>
  <c r="H1406" i="7"/>
  <c r="I1406" i="7"/>
  <c r="J1406" i="7"/>
  <c r="K1406" i="7"/>
  <c r="L1406" i="7"/>
  <c r="M1406" i="7"/>
  <c r="N1406" i="7"/>
  <c r="P1406" i="7"/>
  <c r="O1406" i="7" s="1"/>
  <c r="Q1406" i="7"/>
  <c r="R1406" i="7"/>
  <c r="S1406" i="7"/>
  <c r="T1406" i="7"/>
  <c r="U1406" i="7"/>
  <c r="V1406" i="7"/>
  <c r="W1406" i="7"/>
  <c r="X1406" i="7"/>
  <c r="Y1406" i="7"/>
  <c r="D1407" i="7"/>
  <c r="E1407" i="7"/>
  <c r="F1407" i="7"/>
  <c r="G1407" i="7"/>
  <c r="H1407" i="7"/>
  <c r="I1407" i="7"/>
  <c r="J1407" i="7"/>
  <c r="K1407" i="7"/>
  <c r="L1407" i="7"/>
  <c r="M1407" i="7"/>
  <c r="N1407" i="7"/>
  <c r="P1407" i="7"/>
  <c r="O1407" i="7" s="1"/>
  <c r="Q1407" i="7"/>
  <c r="R1407" i="7"/>
  <c r="S1407" i="7"/>
  <c r="T1407" i="7"/>
  <c r="U1407" i="7"/>
  <c r="V1407" i="7"/>
  <c r="W1407" i="7"/>
  <c r="X1407" i="7"/>
  <c r="Y1407" i="7"/>
  <c r="D1408" i="7"/>
  <c r="E1408" i="7"/>
  <c r="F1408" i="7"/>
  <c r="G1408" i="7"/>
  <c r="H1408" i="7"/>
  <c r="I1408" i="7"/>
  <c r="J1408" i="7"/>
  <c r="K1408" i="7"/>
  <c r="L1408" i="7"/>
  <c r="M1408" i="7"/>
  <c r="N1408" i="7"/>
  <c r="P1408" i="7"/>
  <c r="O1408" i="7" s="1"/>
  <c r="Q1408" i="7"/>
  <c r="R1408" i="7"/>
  <c r="S1408" i="7"/>
  <c r="T1408" i="7"/>
  <c r="U1408" i="7"/>
  <c r="V1408" i="7"/>
  <c r="W1408" i="7"/>
  <c r="X1408" i="7"/>
  <c r="Y1408" i="7"/>
  <c r="D1409" i="7"/>
  <c r="E1409" i="7"/>
  <c r="F1409" i="7"/>
  <c r="G1409" i="7"/>
  <c r="H1409" i="7"/>
  <c r="I1409" i="7"/>
  <c r="J1409" i="7"/>
  <c r="K1409" i="7"/>
  <c r="L1409" i="7"/>
  <c r="M1409" i="7"/>
  <c r="N1409" i="7"/>
  <c r="P1409" i="7"/>
  <c r="O1409" i="7" s="1"/>
  <c r="Q1409" i="7"/>
  <c r="R1409" i="7"/>
  <c r="S1409" i="7"/>
  <c r="T1409" i="7"/>
  <c r="U1409" i="7"/>
  <c r="V1409" i="7"/>
  <c r="W1409" i="7"/>
  <c r="X1409" i="7"/>
  <c r="Y1409" i="7"/>
  <c r="D1410" i="7"/>
  <c r="E1410" i="7"/>
  <c r="F1410" i="7"/>
  <c r="G1410" i="7"/>
  <c r="H1410" i="7"/>
  <c r="I1410" i="7"/>
  <c r="J1410" i="7"/>
  <c r="K1410" i="7"/>
  <c r="L1410" i="7"/>
  <c r="M1410" i="7"/>
  <c r="N1410" i="7"/>
  <c r="P1410" i="7"/>
  <c r="O1410" i="7" s="1"/>
  <c r="Q1410" i="7"/>
  <c r="R1410" i="7"/>
  <c r="S1410" i="7"/>
  <c r="T1410" i="7"/>
  <c r="U1410" i="7"/>
  <c r="V1410" i="7"/>
  <c r="W1410" i="7"/>
  <c r="X1410" i="7"/>
  <c r="Y1410" i="7"/>
  <c r="D1411" i="7"/>
  <c r="E1411" i="7"/>
  <c r="F1411" i="7"/>
  <c r="G1411" i="7"/>
  <c r="H1411" i="7"/>
  <c r="I1411" i="7"/>
  <c r="J1411" i="7"/>
  <c r="K1411" i="7"/>
  <c r="L1411" i="7"/>
  <c r="M1411" i="7"/>
  <c r="N1411" i="7"/>
  <c r="P1411" i="7"/>
  <c r="O1411" i="7" s="1"/>
  <c r="Q1411" i="7"/>
  <c r="R1411" i="7"/>
  <c r="S1411" i="7"/>
  <c r="T1411" i="7"/>
  <c r="U1411" i="7"/>
  <c r="V1411" i="7"/>
  <c r="W1411" i="7"/>
  <c r="X1411" i="7"/>
  <c r="Y1411" i="7"/>
  <c r="D1412" i="7"/>
  <c r="E1412" i="7"/>
  <c r="F1412" i="7"/>
  <c r="G1412" i="7"/>
  <c r="H1412" i="7"/>
  <c r="I1412" i="7"/>
  <c r="J1412" i="7"/>
  <c r="K1412" i="7"/>
  <c r="L1412" i="7"/>
  <c r="M1412" i="7"/>
  <c r="N1412" i="7"/>
  <c r="P1412" i="7"/>
  <c r="O1412" i="7" s="1"/>
  <c r="Q1412" i="7"/>
  <c r="R1412" i="7"/>
  <c r="S1412" i="7"/>
  <c r="T1412" i="7"/>
  <c r="U1412" i="7"/>
  <c r="V1412" i="7"/>
  <c r="W1412" i="7"/>
  <c r="X1412" i="7"/>
  <c r="Y1412" i="7"/>
  <c r="D1413" i="7"/>
  <c r="E1413" i="7"/>
  <c r="F1413" i="7"/>
  <c r="G1413" i="7"/>
  <c r="H1413" i="7"/>
  <c r="I1413" i="7"/>
  <c r="J1413" i="7"/>
  <c r="K1413" i="7"/>
  <c r="L1413" i="7"/>
  <c r="M1413" i="7"/>
  <c r="N1413" i="7"/>
  <c r="P1413" i="7"/>
  <c r="O1413" i="7" s="1"/>
  <c r="Q1413" i="7"/>
  <c r="R1413" i="7"/>
  <c r="S1413" i="7"/>
  <c r="T1413" i="7"/>
  <c r="U1413" i="7"/>
  <c r="V1413" i="7"/>
  <c r="W1413" i="7"/>
  <c r="X1413" i="7"/>
  <c r="Y1413" i="7"/>
  <c r="D1414" i="7"/>
  <c r="E1414" i="7"/>
  <c r="F1414" i="7"/>
  <c r="G1414" i="7"/>
  <c r="H1414" i="7"/>
  <c r="I1414" i="7"/>
  <c r="J1414" i="7"/>
  <c r="K1414" i="7"/>
  <c r="L1414" i="7"/>
  <c r="M1414" i="7"/>
  <c r="N1414" i="7"/>
  <c r="P1414" i="7"/>
  <c r="O1414" i="7" s="1"/>
  <c r="Q1414" i="7"/>
  <c r="R1414" i="7"/>
  <c r="S1414" i="7"/>
  <c r="T1414" i="7"/>
  <c r="U1414" i="7"/>
  <c r="V1414" i="7"/>
  <c r="W1414" i="7"/>
  <c r="X1414" i="7"/>
  <c r="Y1414" i="7"/>
  <c r="D1415" i="7"/>
  <c r="E1415" i="7"/>
  <c r="F1415" i="7"/>
  <c r="G1415" i="7"/>
  <c r="H1415" i="7"/>
  <c r="I1415" i="7"/>
  <c r="J1415" i="7"/>
  <c r="K1415" i="7"/>
  <c r="L1415" i="7"/>
  <c r="M1415" i="7"/>
  <c r="N1415" i="7"/>
  <c r="P1415" i="7"/>
  <c r="O1415" i="7" s="1"/>
  <c r="Q1415" i="7"/>
  <c r="R1415" i="7"/>
  <c r="S1415" i="7"/>
  <c r="T1415" i="7"/>
  <c r="U1415" i="7"/>
  <c r="V1415" i="7"/>
  <c r="W1415" i="7"/>
  <c r="X1415" i="7"/>
  <c r="Y1415" i="7"/>
  <c r="D1416" i="7"/>
  <c r="E1416" i="7"/>
  <c r="F1416" i="7"/>
  <c r="G1416" i="7"/>
  <c r="H1416" i="7"/>
  <c r="I1416" i="7"/>
  <c r="J1416" i="7"/>
  <c r="K1416" i="7"/>
  <c r="L1416" i="7"/>
  <c r="M1416" i="7"/>
  <c r="N1416" i="7"/>
  <c r="P1416" i="7"/>
  <c r="O1416" i="7" s="1"/>
  <c r="Q1416" i="7"/>
  <c r="R1416" i="7"/>
  <c r="S1416" i="7"/>
  <c r="T1416" i="7"/>
  <c r="U1416" i="7"/>
  <c r="V1416" i="7"/>
  <c r="W1416" i="7"/>
  <c r="X1416" i="7"/>
  <c r="Y1416" i="7"/>
  <c r="D1417" i="7"/>
  <c r="E1417" i="7"/>
  <c r="F1417" i="7"/>
  <c r="G1417" i="7"/>
  <c r="H1417" i="7"/>
  <c r="I1417" i="7"/>
  <c r="J1417" i="7"/>
  <c r="K1417" i="7"/>
  <c r="L1417" i="7"/>
  <c r="M1417" i="7"/>
  <c r="N1417" i="7"/>
  <c r="P1417" i="7"/>
  <c r="O1417" i="7" s="1"/>
  <c r="Q1417" i="7"/>
  <c r="R1417" i="7"/>
  <c r="S1417" i="7"/>
  <c r="T1417" i="7"/>
  <c r="U1417" i="7"/>
  <c r="V1417" i="7"/>
  <c r="W1417" i="7"/>
  <c r="X1417" i="7"/>
  <c r="Y1417" i="7"/>
  <c r="D1418" i="7"/>
  <c r="E1418" i="7"/>
  <c r="F1418" i="7"/>
  <c r="G1418" i="7"/>
  <c r="H1418" i="7"/>
  <c r="I1418" i="7"/>
  <c r="J1418" i="7"/>
  <c r="K1418" i="7"/>
  <c r="L1418" i="7"/>
  <c r="M1418" i="7"/>
  <c r="N1418" i="7"/>
  <c r="P1418" i="7"/>
  <c r="O1418" i="7" s="1"/>
  <c r="Q1418" i="7"/>
  <c r="R1418" i="7"/>
  <c r="S1418" i="7"/>
  <c r="T1418" i="7"/>
  <c r="U1418" i="7"/>
  <c r="V1418" i="7"/>
  <c r="W1418" i="7"/>
  <c r="X1418" i="7"/>
  <c r="Y1418" i="7"/>
  <c r="D1419" i="7"/>
  <c r="E1419" i="7"/>
  <c r="F1419" i="7"/>
  <c r="G1419" i="7"/>
  <c r="H1419" i="7"/>
  <c r="I1419" i="7"/>
  <c r="J1419" i="7"/>
  <c r="K1419" i="7"/>
  <c r="L1419" i="7"/>
  <c r="M1419" i="7"/>
  <c r="N1419" i="7"/>
  <c r="P1419" i="7"/>
  <c r="O1419" i="7" s="1"/>
  <c r="Q1419" i="7"/>
  <c r="R1419" i="7"/>
  <c r="S1419" i="7"/>
  <c r="T1419" i="7"/>
  <c r="U1419" i="7"/>
  <c r="V1419" i="7"/>
  <c r="W1419" i="7"/>
  <c r="X1419" i="7"/>
  <c r="Y1419" i="7"/>
  <c r="D1420" i="7"/>
  <c r="E1420" i="7"/>
  <c r="F1420" i="7"/>
  <c r="G1420" i="7"/>
  <c r="H1420" i="7"/>
  <c r="I1420" i="7"/>
  <c r="J1420" i="7"/>
  <c r="K1420" i="7"/>
  <c r="L1420" i="7"/>
  <c r="M1420" i="7"/>
  <c r="N1420" i="7"/>
  <c r="P1420" i="7"/>
  <c r="O1420" i="7" s="1"/>
  <c r="Q1420" i="7"/>
  <c r="R1420" i="7"/>
  <c r="S1420" i="7"/>
  <c r="T1420" i="7"/>
  <c r="U1420" i="7"/>
  <c r="V1420" i="7"/>
  <c r="W1420" i="7"/>
  <c r="X1420" i="7"/>
  <c r="Y1420" i="7"/>
  <c r="D1421" i="7"/>
  <c r="E1421" i="7"/>
  <c r="F1421" i="7"/>
  <c r="G1421" i="7"/>
  <c r="H1421" i="7"/>
  <c r="I1421" i="7"/>
  <c r="J1421" i="7"/>
  <c r="K1421" i="7"/>
  <c r="L1421" i="7"/>
  <c r="M1421" i="7"/>
  <c r="N1421" i="7"/>
  <c r="P1421" i="7"/>
  <c r="O1421" i="7" s="1"/>
  <c r="Q1421" i="7"/>
  <c r="R1421" i="7"/>
  <c r="S1421" i="7"/>
  <c r="T1421" i="7"/>
  <c r="U1421" i="7"/>
  <c r="V1421" i="7"/>
  <c r="W1421" i="7"/>
  <c r="X1421" i="7"/>
  <c r="Y1421" i="7"/>
  <c r="D1422" i="7"/>
  <c r="E1422" i="7"/>
  <c r="F1422" i="7"/>
  <c r="G1422" i="7"/>
  <c r="H1422" i="7"/>
  <c r="I1422" i="7"/>
  <c r="J1422" i="7"/>
  <c r="K1422" i="7"/>
  <c r="L1422" i="7"/>
  <c r="M1422" i="7"/>
  <c r="N1422" i="7"/>
  <c r="P1422" i="7"/>
  <c r="O1422" i="7" s="1"/>
  <c r="Q1422" i="7"/>
  <c r="R1422" i="7"/>
  <c r="S1422" i="7"/>
  <c r="T1422" i="7"/>
  <c r="U1422" i="7"/>
  <c r="V1422" i="7"/>
  <c r="W1422" i="7"/>
  <c r="X1422" i="7"/>
  <c r="Y1422" i="7"/>
  <c r="D1423" i="7"/>
  <c r="E1423" i="7"/>
  <c r="F1423" i="7"/>
  <c r="G1423" i="7"/>
  <c r="H1423" i="7"/>
  <c r="I1423" i="7"/>
  <c r="J1423" i="7"/>
  <c r="K1423" i="7"/>
  <c r="L1423" i="7"/>
  <c r="M1423" i="7"/>
  <c r="N1423" i="7"/>
  <c r="P1423" i="7"/>
  <c r="O1423" i="7" s="1"/>
  <c r="Q1423" i="7"/>
  <c r="R1423" i="7"/>
  <c r="S1423" i="7"/>
  <c r="T1423" i="7"/>
  <c r="U1423" i="7"/>
  <c r="V1423" i="7"/>
  <c r="W1423" i="7"/>
  <c r="X1423" i="7"/>
  <c r="Y1423" i="7"/>
  <c r="D1424" i="7"/>
  <c r="E1424" i="7"/>
  <c r="F1424" i="7"/>
  <c r="G1424" i="7"/>
  <c r="H1424" i="7"/>
  <c r="I1424" i="7"/>
  <c r="J1424" i="7"/>
  <c r="K1424" i="7"/>
  <c r="L1424" i="7"/>
  <c r="M1424" i="7"/>
  <c r="N1424" i="7"/>
  <c r="P1424" i="7"/>
  <c r="O1424" i="7" s="1"/>
  <c r="Q1424" i="7"/>
  <c r="R1424" i="7"/>
  <c r="S1424" i="7"/>
  <c r="T1424" i="7"/>
  <c r="U1424" i="7"/>
  <c r="V1424" i="7"/>
  <c r="W1424" i="7"/>
  <c r="X1424" i="7"/>
  <c r="Y1424" i="7"/>
  <c r="D1425" i="7"/>
  <c r="E1425" i="7"/>
  <c r="F1425" i="7"/>
  <c r="G1425" i="7"/>
  <c r="H1425" i="7"/>
  <c r="I1425" i="7"/>
  <c r="J1425" i="7"/>
  <c r="K1425" i="7"/>
  <c r="L1425" i="7"/>
  <c r="M1425" i="7"/>
  <c r="N1425" i="7"/>
  <c r="P1425" i="7"/>
  <c r="O1425" i="7" s="1"/>
  <c r="Q1425" i="7"/>
  <c r="R1425" i="7"/>
  <c r="S1425" i="7"/>
  <c r="T1425" i="7"/>
  <c r="U1425" i="7"/>
  <c r="V1425" i="7"/>
  <c r="W1425" i="7"/>
  <c r="X1425" i="7"/>
  <c r="Y1425" i="7"/>
  <c r="D1426" i="7"/>
  <c r="E1426" i="7"/>
  <c r="F1426" i="7"/>
  <c r="G1426" i="7"/>
  <c r="H1426" i="7"/>
  <c r="I1426" i="7"/>
  <c r="J1426" i="7"/>
  <c r="K1426" i="7"/>
  <c r="L1426" i="7"/>
  <c r="M1426" i="7"/>
  <c r="N1426" i="7"/>
  <c r="P1426" i="7"/>
  <c r="O1426" i="7" s="1"/>
  <c r="Q1426" i="7"/>
  <c r="R1426" i="7"/>
  <c r="S1426" i="7"/>
  <c r="T1426" i="7"/>
  <c r="U1426" i="7"/>
  <c r="V1426" i="7"/>
  <c r="W1426" i="7"/>
  <c r="X1426" i="7"/>
  <c r="Y1426" i="7"/>
  <c r="D1427" i="7"/>
  <c r="E1427" i="7"/>
  <c r="F1427" i="7"/>
  <c r="G1427" i="7"/>
  <c r="H1427" i="7"/>
  <c r="I1427" i="7"/>
  <c r="J1427" i="7"/>
  <c r="K1427" i="7"/>
  <c r="L1427" i="7"/>
  <c r="M1427" i="7"/>
  <c r="N1427" i="7"/>
  <c r="P1427" i="7"/>
  <c r="O1427" i="7" s="1"/>
  <c r="Q1427" i="7"/>
  <c r="R1427" i="7"/>
  <c r="S1427" i="7"/>
  <c r="T1427" i="7"/>
  <c r="U1427" i="7"/>
  <c r="V1427" i="7"/>
  <c r="W1427" i="7"/>
  <c r="X1427" i="7"/>
  <c r="Y1427" i="7"/>
  <c r="D1428" i="7"/>
  <c r="E1428" i="7"/>
  <c r="F1428" i="7"/>
  <c r="G1428" i="7"/>
  <c r="H1428" i="7"/>
  <c r="I1428" i="7"/>
  <c r="J1428" i="7"/>
  <c r="K1428" i="7"/>
  <c r="L1428" i="7"/>
  <c r="M1428" i="7"/>
  <c r="N1428" i="7"/>
  <c r="P1428" i="7"/>
  <c r="O1428" i="7" s="1"/>
  <c r="Q1428" i="7"/>
  <c r="R1428" i="7"/>
  <c r="S1428" i="7"/>
  <c r="T1428" i="7"/>
  <c r="U1428" i="7"/>
  <c r="V1428" i="7"/>
  <c r="W1428" i="7"/>
  <c r="X1428" i="7"/>
  <c r="Y1428" i="7"/>
  <c r="D1429" i="7"/>
  <c r="E1429" i="7"/>
  <c r="F1429" i="7"/>
  <c r="G1429" i="7"/>
  <c r="H1429" i="7"/>
  <c r="I1429" i="7"/>
  <c r="J1429" i="7"/>
  <c r="K1429" i="7"/>
  <c r="L1429" i="7"/>
  <c r="M1429" i="7"/>
  <c r="N1429" i="7"/>
  <c r="P1429" i="7"/>
  <c r="O1429" i="7" s="1"/>
  <c r="Q1429" i="7"/>
  <c r="R1429" i="7"/>
  <c r="S1429" i="7"/>
  <c r="T1429" i="7"/>
  <c r="U1429" i="7"/>
  <c r="V1429" i="7"/>
  <c r="W1429" i="7"/>
  <c r="X1429" i="7"/>
  <c r="Y1429" i="7"/>
  <c r="D1430" i="7"/>
  <c r="E1430" i="7"/>
  <c r="F1430" i="7"/>
  <c r="G1430" i="7"/>
  <c r="H1430" i="7"/>
  <c r="I1430" i="7"/>
  <c r="J1430" i="7"/>
  <c r="K1430" i="7"/>
  <c r="L1430" i="7"/>
  <c r="M1430" i="7"/>
  <c r="N1430" i="7"/>
  <c r="P1430" i="7"/>
  <c r="O1430" i="7" s="1"/>
  <c r="Q1430" i="7"/>
  <c r="R1430" i="7"/>
  <c r="S1430" i="7"/>
  <c r="T1430" i="7"/>
  <c r="U1430" i="7"/>
  <c r="V1430" i="7"/>
  <c r="W1430" i="7"/>
  <c r="X1430" i="7"/>
  <c r="Y1430" i="7"/>
  <c r="D1431" i="7"/>
  <c r="E1431" i="7"/>
  <c r="F1431" i="7"/>
  <c r="G1431" i="7"/>
  <c r="H1431" i="7"/>
  <c r="I1431" i="7"/>
  <c r="J1431" i="7"/>
  <c r="K1431" i="7"/>
  <c r="L1431" i="7"/>
  <c r="M1431" i="7"/>
  <c r="N1431" i="7"/>
  <c r="P1431" i="7"/>
  <c r="O1431" i="7" s="1"/>
  <c r="Q1431" i="7"/>
  <c r="R1431" i="7"/>
  <c r="S1431" i="7"/>
  <c r="T1431" i="7"/>
  <c r="U1431" i="7"/>
  <c r="V1431" i="7"/>
  <c r="W1431" i="7"/>
  <c r="X1431" i="7"/>
  <c r="Y1431" i="7"/>
  <c r="D1432" i="7"/>
  <c r="E1432" i="7"/>
  <c r="F1432" i="7"/>
  <c r="G1432" i="7"/>
  <c r="H1432" i="7"/>
  <c r="I1432" i="7"/>
  <c r="J1432" i="7"/>
  <c r="K1432" i="7"/>
  <c r="L1432" i="7"/>
  <c r="M1432" i="7"/>
  <c r="N1432" i="7"/>
  <c r="P1432" i="7"/>
  <c r="O1432" i="7" s="1"/>
  <c r="Q1432" i="7"/>
  <c r="R1432" i="7"/>
  <c r="S1432" i="7"/>
  <c r="T1432" i="7"/>
  <c r="U1432" i="7"/>
  <c r="V1432" i="7"/>
  <c r="W1432" i="7"/>
  <c r="X1432" i="7"/>
  <c r="Y1432" i="7"/>
  <c r="D1433" i="7"/>
  <c r="E1433" i="7"/>
  <c r="F1433" i="7"/>
  <c r="G1433" i="7"/>
  <c r="H1433" i="7"/>
  <c r="I1433" i="7"/>
  <c r="J1433" i="7"/>
  <c r="K1433" i="7"/>
  <c r="L1433" i="7"/>
  <c r="M1433" i="7"/>
  <c r="N1433" i="7"/>
  <c r="P1433" i="7"/>
  <c r="O1433" i="7" s="1"/>
  <c r="Q1433" i="7"/>
  <c r="R1433" i="7"/>
  <c r="S1433" i="7"/>
  <c r="T1433" i="7"/>
  <c r="U1433" i="7"/>
  <c r="V1433" i="7"/>
  <c r="W1433" i="7"/>
  <c r="X1433" i="7"/>
  <c r="Y1433" i="7"/>
  <c r="D1434" i="7"/>
  <c r="E1434" i="7"/>
  <c r="F1434" i="7"/>
  <c r="G1434" i="7"/>
  <c r="H1434" i="7"/>
  <c r="I1434" i="7"/>
  <c r="J1434" i="7"/>
  <c r="K1434" i="7"/>
  <c r="L1434" i="7"/>
  <c r="M1434" i="7"/>
  <c r="N1434" i="7"/>
  <c r="P1434" i="7"/>
  <c r="O1434" i="7" s="1"/>
  <c r="Q1434" i="7"/>
  <c r="R1434" i="7"/>
  <c r="S1434" i="7"/>
  <c r="T1434" i="7"/>
  <c r="U1434" i="7"/>
  <c r="V1434" i="7"/>
  <c r="W1434" i="7"/>
  <c r="X1434" i="7"/>
  <c r="Y1434" i="7"/>
  <c r="D1435" i="7"/>
  <c r="E1435" i="7"/>
  <c r="F1435" i="7"/>
  <c r="G1435" i="7"/>
  <c r="H1435" i="7"/>
  <c r="I1435" i="7"/>
  <c r="J1435" i="7"/>
  <c r="K1435" i="7"/>
  <c r="L1435" i="7"/>
  <c r="M1435" i="7"/>
  <c r="N1435" i="7"/>
  <c r="P1435" i="7"/>
  <c r="O1435" i="7" s="1"/>
  <c r="Q1435" i="7"/>
  <c r="R1435" i="7"/>
  <c r="S1435" i="7"/>
  <c r="T1435" i="7"/>
  <c r="U1435" i="7"/>
  <c r="V1435" i="7"/>
  <c r="W1435" i="7"/>
  <c r="X1435" i="7"/>
  <c r="Y1435" i="7"/>
  <c r="D1436" i="7"/>
  <c r="E1436" i="7"/>
  <c r="F1436" i="7"/>
  <c r="G1436" i="7"/>
  <c r="H1436" i="7"/>
  <c r="I1436" i="7"/>
  <c r="J1436" i="7"/>
  <c r="K1436" i="7"/>
  <c r="L1436" i="7"/>
  <c r="M1436" i="7"/>
  <c r="N1436" i="7"/>
  <c r="P1436" i="7"/>
  <c r="O1436" i="7" s="1"/>
  <c r="Q1436" i="7"/>
  <c r="R1436" i="7"/>
  <c r="S1436" i="7"/>
  <c r="T1436" i="7"/>
  <c r="U1436" i="7"/>
  <c r="V1436" i="7"/>
  <c r="W1436" i="7"/>
  <c r="X1436" i="7"/>
  <c r="Y1436" i="7"/>
  <c r="F62" i="14"/>
  <c r="G62" i="14"/>
  <c r="H62" i="14"/>
  <c r="I62" i="14"/>
  <c r="J62" i="14"/>
  <c r="K62" i="14"/>
  <c r="L62" i="14"/>
  <c r="M62" i="14"/>
  <c r="N62" i="14"/>
  <c r="P62" i="14"/>
  <c r="Q62" i="14"/>
  <c r="R62" i="14"/>
  <c r="S62" i="14" s="1"/>
  <c r="F63" i="14"/>
  <c r="G63" i="14"/>
  <c r="H63" i="14"/>
  <c r="I63" i="14"/>
  <c r="J63" i="14"/>
  <c r="K63" i="14"/>
  <c r="L63" i="14"/>
  <c r="M63" i="14"/>
  <c r="N63" i="14"/>
  <c r="P63" i="14"/>
  <c r="Q63" i="14"/>
  <c r="R63" i="14"/>
  <c r="S63" i="14" s="1"/>
  <c r="U63" i="14"/>
  <c r="F64" i="14"/>
  <c r="G64" i="14"/>
  <c r="H64" i="14"/>
  <c r="I64" i="14"/>
  <c r="J64" i="14"/>
  <c r="K64" i="14"/>
  <c r="L64" i="14"/>
  <c r="M64" i="14"/>
  <c r="N64" i="14"/>
  <c r="P64" i="14"/>
  <c r="Q64" i="14"/>
  <c r="R64" i="14"/>
  <c r="S64" i="14" s="1"/>
  <c r="U64" i="14"/>
  <c r="F65" i="14"/>
  <c r="G65" i="14"/>
  <c r="H65" i="14"/>
  <c r="I65" i="14"/>
  <c r="J65" i="14"/>
  <c r="K65" i="14"/>
  <c r="L65" i="14"/>
  <c r="M65" i="14"/>
  <c r="N65" i="14"/>
  <c r="P65" i="14"/>
  <c r="Q65" i="14"/>
  <c r="R65" i="14"/>
  <c r="S65" i="14" s="1"/>
  <c r="U65" i="14"/>
  <c r="F66" i="14"/>
  <c r="G66" i="14"/>
  <c r="H66" i="14"/>
  <c r="I66" i="14"/>
  <c r="J66" i="14"/>
  <c r="K66" i="14"/>
  <c r="L66" i="14"/>
  <c r="M66" i="14"/>
  <c r="N66" i="14"/>
  <c r="P66" i="14"/>
  <c r="Q66" i="14"/>
  <c r="R66" i="14"/>
  <c r="S66" i="14" s="1"/>
  <c r="U66" i="14"/>
  <c r="F67" i="14"/>
  <c r="G67" i="14"/>
  <c r="H67" i="14"/>
  <c r="I67" i="14"/>
  <c r="J67" i="14"/>
  <c r="K67" i="14"/>
  <c r="L67" i="14"/>
  <c r="M67" i="14"/>
  <c r="N67" i="14"/>
  <c r="P67" i="14"/>
  <c r="Q67" i="14"/>
  <c r="R67" i="14"/>
  <c r="S67" i="14" s="1"/>
  <c r="U67" i="14"/>
  <c r="F68" i="14"/>
  <c r="G68" i="14"/>
  <c r="H68" i="14"/>
  <c r="I68" i="14"/>
  <c r="J68" i="14"/>
  <c r="K68" i="14"/>
  <c r="L68" i="14"/>
  <c r="M68" i="14"/>
  <c r="N68" i="14"/>
  <c r="P68" i="14"/>
  <c r="Q68" i="14"/>
  <c r="R68" i="14"/>
  <c r="S68" i="14" s="1"/>
  <c r="U68" i="14"/>
  <c r="F69" i="14"/>
  <c r="G69" i="14"/>
  <c r="H69" i="14"/>
  <c r="I69" i="14"/>
  <c r="J69" i="14"/>
  <c r="K69" i="14"/>
  <c r="L69" i="14"/>
  <c r="M69" i="14"/>
  <c r="N69" i="14"/>
  <c r="P69" i="14"/>
  <c r="Q69" i="14"/>
  <c r="R69" i="14"/>
  <c r="S69" i="14" s="1"/>
  <c r="U69" i="14"/>
  <c r="F70" i="14"/>
  <c r="G70" i="14"/>
  <c r="H70" i="14"/>
  <c r="I70" i="14"/>
  <c r="J70" i="14"/>
  <c r="K70" i="14"/>
  <c r="L70" i="14"/>
  <c r="M70" i="14"/>
  <c r="N70" i="14"/>
  <c r="P70" i="14"/>
  <c r="Q70" i="14"/>
  <c r="R70" i="14"/>
  <c r="S70" i="14" s="1"/>
  <c r="U70" i="14"/>
  <c r="F71" i="14"/>
  <c r="G71" i="14"/>
  <c r="H71" i="14"/>
  <c r="I71" i="14"/>
  <c r="J71" i="14"/>
  <c r="K71" i="14"/>
  <c r="L71" i="14"/>
  <c r="M71" i="14"/>
  <c r="N71" i="14"/>
  <c r="P71" i="14"/>
  <c r="Q71" i="14"/>
  <c r="R71" i="14"/>
  <c r="S71" i="14" s="1"/>
  <c r="U71" i="14"/>
  <c r="F72" i="14"/>
  <c r="G72" i="14"/>
  <c r="H72" i="14"/>
  <c r="I72" i="14"/>
  <c r="J72" i="14"/>
  <c r="K72" i="14"/>
  <c r="L72" i="14"/>
  <c r="M72" i="14"/>
  <c r="N72" i="14"/>
  <c r="P72" i="14"/>
  <c r="Q72" i="14"/>
  <c r="R72" i="14"/>
  <c r="S72" i="14" s="1"/>
  <c r="U72" i="14"/>
  <c r="F73" i="14"/>
  <c r="G73" i="14"/>
  <c r="H73" i="14"/>
  <c r="I73" i="14"/>
  <c r="J73" i="14"/>
  <c r="K73" i="14"/>
  <c r="L73" i="14"/>
  <c r="M73" i="14"/>
  <c r="N73" i="14"/>
  <c r="P73" i="14"/>
  <c r="Q73" i="14"/>
  <c r="R73" i="14"/>
  <c r="S73" i="14" s="1"/>
  <c r="U73" i="14"/>
  <c r="F74" i="14"/>
  <c r="G74" i="14"/>
  <c r="H74" i="14"/>
  <c r="I74" i="14"/>
  <c r="J74" i="14"/>
  <c r="K74" i="14"/>
  <c r="L74" i="14"/>
  <c r="M74" i="14"/>
  <c r="N74" i="14"/>
  <c r="P74" i="14"/>
  <c r="Q74" i="14"/>
  <c r="R74" i="14"/>
  <c r="S74" i="14" s="1"/>
  <c r="U74" i="14"/>
  <c r="F75" i="14"/>
  <c r="G75" i="14"/>
  <c r="H75" i="14"/>
  <c r="I75" i="14"/>
  <c r="J75" i="14"/>
  <c r="K75" i="14"/>
  <c r="L75" i="14"/>
  <c r="M75" i="14"/>
  <c r="N75" i="14"/>
  <c r="P75" i="14"/>
  <c r="Q75" i="14"/>
  <c r="R75" i="14"/>
  <c r="S75" i="14" s="1"/>
  <c r="U75" i="14"/>
  <c r="F76" i="14"/>
  <c r="G76" i="14"/>
  <c r="H76" i="14"/>
  <c r="I76" i="14"/>
  <c r="J76" i="14"/>
  <c r="K76" i="14"/>
  <c r="L76" i="14"/>
  <c r="M76" i="14"/>
  <c r="N76" i="14"/>
  <c r="P76" i="14"/>
  <c r="Q76" i="14"/>
  <c r="R76" i="14"/>
  <c r="S76" i="14" s="1"/>
  <c r="U76" i="14"/>
  <c r="F77" i="14"/>
  <c r="G77" i="14"/>
  <c r="H77" i="14"/>
  <c r="I77" i="14"/>
  <c r="J77" i="14"/>
  <c r="K77" i="14"/>
  <c r="L77" i="14"/>
  <c r="M77" i="14"/>
  <c r="N77" i="14"/>
  <c r="P77" i="14"/>
  <c r="Q77" i="14"/>
  <c r="R77" i="14"/>
  <c r="S77" i="14" s="1"/>
  <c r="U77" i="14"/>
  <c r="F78" i="14"/>
  <c r="G78" i="14"/>
  <c r="H78" i="14"/>
  <c r="I78" i="14"/>
  <c r="J78" i="14"/>
  <c r="K78" i="14"/>
  <c r="L78" i="14"/>
  <c r="M78" i="14"/>
  <c r="N78" i="14"/>
  <c r="P78" i="14"/>
  <c r="Q78" i="14"/>
  <c r="R78" i="14"/>
  <c r="S78" i="14" s="1"/>
  <c r="U78" i="14"/>
  <c r="F79" i="14"/>
  <c r="G79" i="14"/>
  <c r="H79" i="14"/>
  <c r="I79" i="14"/>
  <c r="J79" i="14"/>
  <c r="K79" i="14"/>
  <c r="L79" i="14"/>
  <c r="M79" i="14"/>
  <c r="N79" i="14"/>
  <c r="P79" i="14"/>
  <c r="Q79" i="14"/>
  <c r="R79" i="14"/>
  <c r="U79" i="14"/>
  <c r="F80" i="14"/>
  <c r="G80" i="14"/>
  <c r="H80" i="14"/>
  <c r="I80" i="14"/>
  <c r="J80" i="14"/>
  <c r="K80" i="14"/>
  <c r="L80" i="14"/>
  <c r="M80" i="14"/>
  <c r="N80" i="14"/>
  <c r="P80" i="14"/>
  <c r="Q80" i="14"/>
  <c r="R80" i="14"/>
  <c r="S80" i="14" s="1"/>
  <c r="U80" i="14"/>
  <c r="F81" i="14"/>
  <c r="G81" i="14"/>
  <c r="H81" i="14"/>
  <c r="I81" i="14"/>
  <c r="J81" i="14"/>
  <c r="K81" i="14"/>
  <c r="L81" i="14"/>
  <c r="M81" i="14"/>
  <c r="N81" i="14"/>
  <c r="P81" i="14"/>
  <c r="Q81" i="14"/>
  <c r="R81" i="14"/>
  <c r="S81" i="14" s="1"/>
  <c r="U81" i="14"/>
  <c r="F82" i="14"/>
  <c r="G82" i="14"/>
  <c r="H82" i="14"/>
  <c r="I82" i="14"/>
  <c r="J82" i="14"/>
  <c r="K82" i="14"/>
  <c r="L82" i="14"/>
  <c r="M82" i="14"/>
  <c r="N82" i="14"/>
  <c r="P82" i="14"/>
  <c r="Q82" i="14"/>
  <c r="R82" i="14"/>
  <c r="S82" i="14" s="1"/>
  <c r="U82" i="14"/>
  <c r="F83" i="14"/>
  <c r="G83" i="14"/>
  <c r="H83" i="14"/>
  <c r="I83" i="14"/>
  <c r="J83" i="14"/>
  <c r="K83" i="14"/>
  <c r="L83" i="14"/>
  <c r="M83" i="14"/>
  <c r="N83" i="14"/>
  <c r="P83" i="14"/>
  <c r="Q83" i="14"/>
  <c r="R83" i="14"/>
  <c r="S83" i="14" s="1"/>
  <c r="U83" i="14"/>
  <c r="F84" i="14"/>
  <c r="G84" i="14"/>
  <c r="H84" i="14"/>
  <c r="I84" i="14"/>
  <c r="J84" i="14"/>
  <c r="K84" i="14"/>
  <c r="L84" i="14"/>
  <c r="M84" i="14"/>
  <c r="N84" i="14"/>
  <c r="P84" i="14"/>
  <c r="Q84" i="14"/>
  <c r="R84" i="14"/>
  <c r="S84" i="14" s="1"/>
  <c r="U84" i="14"/>
  <c r="F85" i="14"/>
  <c r="G85" i="14"/>
  <c r="H85" i="14"/>
  <c r="I85" i="14"/>
  <c r="J85" i="14"/>
  <c r="K85" i="14"/>
  <c r="L85" i="14"/>
  <c r="M85" i="14"/>
  <c r="N85" i="14"/>
  <c r="P85" i="14"/>
  <c r="Q85" i="14"/>
  <c r="R85" i="14"/>
  <c r="S85" i="14" s="1"/>
  <c r="U85" i="14"/>
  <c r="F86" i="14"/>
  <c r="G86" i="14"/>
  <c r="H86" i="14"/>
  <c r="I86" i="14"/>
  <c r="J86" i="14"/>
  <c r="K86" i="14"/>
  <c r="L86" i="14"/>
  <c r="M86" i="14"/>
  <c r="N86" i="14"/>
  <c r="P86" i="14"/>
  <c r="Q86" i="14"/>
  <c r="R86" i="14"/>
  <c r="S86" i="14" s="1"/>
  <c r="U86" i="14"/>
  <c r="F87" i="14"/>
  <c r="G87" i="14"/>
  <c r="H87" i="14"/>
  <c r="I87" i="14"/>
  <c r="J87" i="14"/>
  <c r="K87" i="14"/>
  <c r="L87" i="14"/>
  <c r="M87" i="14"/>
  <c r="N87" i="14"/>
  <c r="P87" i="14"/>
  <c r="Q87" i="14"/>
  <c r="R87" i="14"/>
  <c r="S87" i="14" s="1"/>
  <c r="U87" i="14"/>
  <c r="F88" i="14"/>
  <c r="G88" i="14"/>
  <c r="H88" i="14"/>
  <c r="I88" i="14"/>
  <c r="J88" i="14"/>
  <c r="K88" i="14"/>
  <c r="L88" i="14"/>
  <c r="M88" i="14"/>
  <c r="N88" i="14"/>
  <c r="P88" i="14"/>
  <c r="Q88" i="14"/>
  <c r="R88" i="14"/>
  <c r="S88" i="14" s="1"/>
  <c r="U88" i="14"/>
  <c r="F89" i="14"/>
  <c r="G89" i="14"/>
  <c r="H89" i="14"/>
  <c r="I89" i="14"/>
  <c r="J89" i="14"/>
  <c r="K89" i="14"/>
  <c r="L89" i="14"/>
  <c r="M89" i="14"/>
  <c r="N89" i="14"/>
  <c r="P89" i="14"/>
  <c r="Q89" i="14"/>
  <c r="R89" i="14"/>
  <c r="S89" i="14" s="1"/>
  <c r="U89" i="14"/>
  <c r="F90" i="14"/>
  <c r="G90" i="14"/>
  <c r="H90" i="14"/>
  <c r="I90" i="14"/>
  <c r="J90" i="14"/>
  <c r="K90" i="14"/>
  <c r="L90" i="14"/>
  <c r="M90" i="14"/>
  <c r="N90" i="14"/>
  <c r="P90" i="14"/>
  <c r="Q90" i="14"/>
  <c r="R90" i="14"/>
  <c r="U90" i="14"/>
  <c r="F91" i="14"/>
  <c r="G91" i="14"/>
  <c r="H91" i="14"/>
  <c r="I91" i="14"/>
  <c r="J91" i="14"/>
  <c r="K91" i="14"/>
  <c r="L91" i="14"/>
  <c r="M91" i="14"/>
  <c r="N91" i="14"/>
  <c r="P91" i="14"/>
  <c r="Q91" i="14"/>
  <c r="R91" i="14"/>
  <c r="S91" i="14" s="1"/>
  <c r="U91" i="14"/>
  <c r="F92" i="14"/>
  <c r="G92" i="14"/>
  <c r="H92" i="14"/>
  <c r="I92" i="14"/>
  <c r="J92" i="14"/>
  <c r="K92" i="14"/>
  <c r="L92" i="14"/>
  <c r="M92" i="14"/>
  <c r="N92" i="14"/>
  <c r="P92" i="14"/>
  <c r="Q92" i="14"/>
  <c r="R92" i="14"/>
  <c r="S92" i="14" s="1"/>
  <c r="U92" i="14"/>
  <c r="F93" i="14"/>
  <c r="G93" i="14"/>
  <c r="H93" i="14"/>
  <c r="I93" i="14"/>
  <c r="J93" i="14"/>
  <c r="K93" i="14"/>
  <c r="L93" i="14"/>
  <c r="M93" i="14"/>
  <c r="N93" i="14"/>
  <c r="P93" i="14"/>
  <c r="Q93" i="14"/>
  <c r="R93" i="14"/>
  <c r="S93" i="14" s="1"/>
  <c r="U93" i="14"/>
  <c r="F94" i="14"/>
  <c r="G94" i="14"/>
  <c r="H94" i="14"/>
  <c r="I94" i="14"/>
  <c r="J94" i="14"/>
  <c r="K94" i="14"/>
  <c r="L94" i="14"/>
  <c r="M94" i="14"/>
  <c r="N94" i="14"/>
  <c r="P94" i="14"/>
  <c r="Q94" i="14"/>
  <c r="R94" i="14"/>
  <c r="S94" i="14" s="1"/>
  <c r="U94" i="14"/>
  <c r="F95" i="14"/>
  <c r="G95" i="14"/>
  <c r="H95" i="14"/>
  <c r="I95" i="14"/>
  <c r="J95" i="14"/>
  <c r="K95" i="14"/>
  <c r="L95" i="14"/>
  <c r="M95" i="14"/>
  <c r="N95" i="14"/>
  <c r="P95" i="14"/>
  <c r="Q95" i="14"/>
  <c r="R95" i="14"/>
  <c r="S95" i="14" s="1"/>
  <c r="U95" i="14"/>
  <c r="F96" i="14"/>
  <c r="G96" i="14"/>
  <c r="H96" i="14"/>
  <c r="I96" i="14"/>
  <c r="J96" i="14"/>
  <c r="K96" i="14"/>
  <c r="L96" i="14"/>
  <c r="M96" i="14"/>
  <c r="N96" i="14"/>
  <c r="P96" i="14"/>
  <c r="Q96" i="14"/>
  <c r="R96" i="14"/>
  <c r="U96" i="14"/>
  <c r="F97" i="14"/>
  <c r="G97" i="14"/>
  <c r="H97" i="14"/>
  <c r="I97" i="14"/>
  <c r="J97" i="14"/>
  <c r="K97" i="14"/>
  <c r="L97" i="14"/>
  <c r="M97" i="14"/>
  <c r="N97" i="14"/>
  <c r="P97" i="14"/>
  <c r="Q97" i="14"/>
  <c r="R97" i="14"/>
  <c r="S97" i="14" s="1"/>
  <c r="U97" i="14"/>
  <c r="F98" i="14"/>
  <c r="G98" i="14"/>
  <c r="H98" i="14"/>
  <c r="I98" i="14"/>
  <c r="J98" i="14"/>
  <c r="K98" i="14"/>
  <c r="L98" i="14"/>
  <c r="M98" i="14"/>
  <c r="N98" i="14"/>
  <c r="P98" i="14"/>
  <c r="Q98" i="14"/>
  <c r="R98" i="14"/>
  <c r="S98" i="14" s="1"/>
  <c r="U98" i="14"/>
  <c r="F99" i="14"/>
  <c r="G99" i="14"/>
  <c r="H99" i="14"/>
  <c r="I99" i="14"/>
  <c r="J99" i="14"/>
  <c r="K99" i="14"/>
  <c r="L99" i="14"/>
  <c r="M99" i="14"/>
  <c r="N99" i="14"/>
  <c r="P99" i="14"/>
  <c r="Q99" i="14"/>
  <c r="R99" i="14"/>
  <c r="S99" i="14" s="1"/>
  <c r="U99" i="14"/>
  <c r="F100" i="14"/>
  <c r="G100" i="14"/>
  <c r="H100" i="14"/>
  <c r="I100" i="14"/>
  <c r="J100" i="14"/>
  <c r="K100" i="14"/>
  <c r="L100" i="14"/>
  <c r="M100" i="14"/>
  <c r="N100" i="14"/>
  <c r="P100" i="14"/>
  <c r="Q100" i="14"/>
  <c r="R100" i="14"/>
  <c r="S100" i="14" s="1"/>
  <c r="U100" i="14"/>
  <c r="F101" i="14"/>
  <c r="G101" i="14"/>
  <c r="H101" i="14"/>
  <c r="I101" i="14"/>
  <c r="J101" i="14"/>
  <c r="K101" i="14"/>
  <c r="L101" i="14"/>
  <c r="M101" i="14"/>
  <c r="N101" i="14"/>
  <c r="P101" i="14"/>
  <c r="Q101" i="14"/>
  <c r="R101" i="14"/>
  <c r="S101" i="14" s="1"/>
  <c r="U101" i="14"/>
  <c r="F102" i="14"/>
  <c r="G102" i="14"/>
  <c r="H102" i="14"/>
  <c r="I102" i="14"/>
  <c r="J102" i="14"/>
  <c r="K102" i="14"/>
  <c r="L102" i="14"/>
  <c r="M102" i="14"/>
  <c r="N102" i="14"/>
  <c r="P102" i="14"/>
  <c r="Q102" i="14"/>
  <c r="R102" i="14"/>
  <c r="U102" i="14"/>
  <c r="F103" i="14"/>
  <c r="G103" i="14"/>
  <c r="H103" i="14"/>
  <c r="I103" i="14"/>
  <c r="J103" i="14"/>
  <c r="K103" i="14"/>
  <c r="L103" i="14"/>
  <c r="M103" i="14"/>
  <c r="N103" i="14"/>
  <c r="P103" i="14"/>
  <c r="Q103" i="14"/>
  <c r="R103" i="14"/>
  <c r="S103" i="14" s="1"/>
  <c r="U103" i="14"/>
  <c r="F104" i="14"/>
  <c r="G104" i="14"/>
  <c r="H104" i="14"/>
  <c r="I104" i="14"/>
  <c r="J104" i="14"/>
  <c r="K104" i="14"/>
  <c r="L104" i="14"/>
  <c r="M104" i="14"/>
  <c r="N104" i="14"/>
  <c r="P104" i="14"/>
  <c r="Q104" i="14"/>
  <c r="R104" i="14"/>
  <c r="S104" i="14" s="1"/>
  <c r="U104" i="14"/>
  <c r="F105" i="14"/>
  <c r="G105" i="14"/>
  <c r="H105" i="14"/>
  <c r="I105" i="14"/>
  <c r="J105" i="14"/>
  <c r="K105" i="14"/>
  <c r="L105" i="14"/>
  <c r="M105" i="14"/>
  <c r="N105" i="14"/>
  <c r="P105" i="14"/>
  <c r="Q105" i="14"/>
  <c r="R105" i="14"/>
  <c r="S105" i="14" s="1"/>
  <c r="U105" i="14"/>
  <c r="F106" i="14"/>
  <c r="G106" i="14"/>
  <c r="H106" i="14"/>
  <c r="I106" i="14"/>
  <c r="J106" i="14"/>
  <c r="K106" i="14"/>
  <c r="L106" i="14"/>
  <c r="M106" i="14"/>
  <c r="N106" i="14"/>
  <c r="P106" i="14"/>
  <c r="Q106" i="14"/>
  <c r="R106" i="14"/>
  <c r="S106" i="14" s="1"/>
  <c r="U106" i="14"/>
  <c r="F107" i="14"/>
  <c r="G107" i="14"/>
  <c r="H107" i="14"/>
  <c r="I107" i="14"/>
  <c r="J107" i="14"/>
  <c r="K107" i="14"/>
  <c r="L107" i="14"/>
  <c r="M107" i="14"/>
  <c r="N107" i="14"/>
  <c r="P107" i="14"/>
  <c r="Q107" i="14"/>
  <c r="R107" i="14"/>
  <c r="S107" i="14" s="1"/>
  <c r="U107" i="14"/>
  <c r="F108" i="14"/>
  <c r="G108" i="14"/>
  <c r="H108" i="14"/>
  <c r="I108" i="14"/>
  <c r="J108" i="14"/>
  <c r="K108" i="14"/>
  <c r="L108" i="14"/>
  <c r="M108" i="14"/>
  <c r="N108" i="14"/>
  <c r="P108" i="14"/>
  <c r="Q108" i="14"/>
  <c r="R108" i="14"/>
  <c r="S108" i="14" s="1"/>
  <c r="U108" i="14"/>
  <c r="F109" i="14"/>
  <c r="G109" i="14"/>
  <c r="H109" i="14"/>
  <c r="I109" i="14"/>
  <c r="J109" i="14"/>
  <c r="K109" i="14"/>
  <c r="L109" i="14"/>
  <c r="M109" i="14"/>
  <c r="N109" i="14"/>
  <c r="P109" i="14"/>
  <c r="Q109" i="14"/>
  <c r="R109" i="14"/>
  <c r="S109" i="14" s="1"/>
  <c r="U109" i="14"/>
  <c r="F110" i="14"/>
  <c r="G110" i="14"/>
  <c r="H110" i="14"/>
  <c r="I110" i="14"/>
  <c r="J110" i="14"/>
  <c r="K110" i="14"/>
  <c r="L110" i="14"/>
  <c r="M110" i="14"/>
  <c r="N110" i="14"/>
  <c r="P110" i="14"/>
  <c r="Q110" i="14"/>
  <c r="R110" i="14"/>
  <c r="S110" i="14" s="1"/>
  <c r="U110" i="14"/>
  <c r="F111" i="14"/>
  <c r="G111" i="14"/>
  <c r="H111" i="14"/>
  <c r="I111" i="14"/>
  <c r="J111" i="14"/>
  <c r="K111" i="14"/>
  <c r="L111" i="14"/>
  <c r="M111" i="14"/>
  <c r="N111" i="14"/>
  <c r="P111" i="14"/>
  <c r="Q111" i="14"/>
  <c r="R111" i="14"/>
  <c r="S111" i="14" s="1"/>
  <c r="U111" i="14"/>
  <c r="F112" i="14"/>
  <c r="G112" i="14"/>
  <c r="H112" i="14"/>
  <c r="I112" i="14"/>
  <c r="J112" i="14"/>
  <c r="K112" i="14"/>
  <c r="L112" i="14"/>
  <c r="M112" i="14"/>
  <c r="N112" i="14"/>
  <c r="P112" i="14"/>
  <c r="Q112" i="14"/>
  <c r="R112" i="14"/>
  <c r="S112" i="14" s="1"/>
  <c r="U112" i="14"/>
  <c r="F113" i="14"/>
  <c r="G113" i="14"/>
  <c r="H113" i="14"/>
  <c r="I113" i="14"/>
  <c r="J113" i="14"/>
  <c r="K113" i="14"/>
  <c r="L113" i="14"/>
  <c r="M113" i="14"/>
  <c r="N113" i="14"/>
  <c r="P113" i="14"/>
  <c r="Q113" i="14"/>
  <c r="R113" i="14"/>
  <c r="S113" i="14" s="1"/>
  <c r="U113" i="14"/>
  <c r="F114" i="14"/>
  <c r="G114" i="14"/>
  <c r="H114" i="14"/>
  <c r="I114" i="14"/>
  <c r="J114" i="14"/>
  <c r="K114" i="14"/>
  <c r="L114" i="14"/>
  <c r="M114" i="14"/>
  <c r="N114" i="14"/>
  <c r="P114" i="14"/>
  <c r="Q114" i="14"/>
  <c r="R114" i="14"/>
  <c r="S114" i="14" s="1"/>
  <c r="U114" i="14"/>
  <c r="F115" i="14"/>
  <c r="G115" i="14"/>
  <c r="H115" i="14"/>
  <c r="I115" i="14"/>
  <c r="J115" i="14"/>
  <c r="K115" i="14"/>
  <c r="L115" i="14"/>
  <c r="M115" i="14"/>
  <c r="N115" i="14"/>
  <c r="P115" i="14"/>
  <c r="Q115" i="14"/>
  <c r="R115" i="14"/>
  <c r="S115" i="14" s="1"/>
  <c r="U115" i="14"/>
  <c r="F116" i="14"/>
  <c r="G116" i="14"/>
  <c r="H116" i="14"/>
  <c r="I116" i="14"/>
  <c r="J116" i="14"/>
  <c r="K116" i="14"/>
  <c r="L116" i="14"/>
  <c r="M116" i="14"/>
  <c r="N116" i="14"/>
  <c r="P116" i="14"/>
  <c r="Q116" i="14"/>
  <c r="R116" i="14"/>
  <c r="S116" i="14" s="1"/>
  <c r="U116" i="14"/>
  <c r="F117" i="14"/>
  <c r="G117" i="14"/>
  <c r="H117" i="14"/>
  <c r="I117" i="14"/>
  <c r="J117" i="14"/>
  <c r="K117" i="14"/>
  <c r="L117" i="14"/>
  <c r="M117" i="14"/>
  <c r="N117" i="14"/>
  <c r="P117" i="14"/>
  <c r="Q117" i="14"/>
  <c r="R117" i="14"/>
  <c r="S117" i="14" s="1"/>
  <c r="U117" i="14"/>
  <c r="F118" i="14"/>
  <c r="G118" i="14"/>
  <c r="H118" i="14"/>
  <c r="I118" i="14"/>
  <c r="J118" i="14"/>
  <c r="K118" i="14"/>
  <c r="L118" i="14"/>
  <c r="M118" i="14"/>
  <c r="N118" i="14"/>
  <c r="P118" i="14"/>
  <c r="Q118" i="14"/>
  <c r="R118" i="14"/>
  <c r="S118" i="14" s="1"/>
  <c r="U118" i="14"/>
  <c r="F119" i="14"/>
  <c r="G119" i="14"/>
  <c r="H119" i="14"/>
  <c r="I119" i="14"/>
  <c r="J119" i="14"/>
  <c r="K119" i="14"/>
  <c r="L119" i="14"/>
  <c r="M119" i="14"/>
  <c r="N119" i="14"/>
  <c r="P119" i="14"/>
  <c r="Q119" i="14"/>
  <c r="R119" i="14"/>
  <c r="S119" i="14" s="1"/>
  <c r="U119" i="14"/>
  <c r="F120" i="14"/>
  <c r="G120" i="14"/>
  <c r="H120" i="14"/>
  <c r="I120" i="14"/>
  <c r="J120" i="14"/>
  <c r="K120" i="14"/>
  <c r="L120" i="14"/>
  <c r="M120" i="14"/>
  <c r="N120" i="14"/>
  <c r="P120" i="14"/>
  <c r="Q120" i="14"/>
  <c r="R120" i="14"/>
  <c r="S120" i="14" s="1"/>
  <c r="U120" i="14"/>
  <c r="F121" i="14"/>
  <c r="G121" i="14"/>
  <c r="H121" i="14"/>
  <c r="I121" i="14"/>
  <c r="J121" i="14"/>
  <c r="K121" i="14"/>
  <c r="L121" i="14"/>
  <c r="M121" i="14"/>
  <c r="N121" i="14"/>
  <c r="P121" i="14"/>
  <c r="Q121" i="14"/>
  <c r="R121" i="14"/>
  <c r="S121" i="14" s="1"/>
  <c r="U121" i="14"/>
  <c r="F122" i="14"/>
  <c r="G122" i="14"/>
  <c r="H122" i="14"/>
  <c r="I122" i="14"/>
  <c r="J122" i="14"/>
  <c r="K122" i="14"/>
  <c r="L122" i="14"/>
  <c r="M122" i="14"/>
  <c r="N122" i="14"/>
  <c r="P122" i="14"/>
  <c r="Q122" i="14"/>
  <c r="R122" i="14"/>
  <c r="U122" i="14"/>
  <c r="F123" i="14"/>
  <c r="G123" i="14"/>
  <c r="H123" i="14"/>
  <c r="I123" i="14"/>
  <c r="J123" i="14"/>
  <c r="K123" i="14"/>
  <c r="L123" i="14"/>
  <c r="M123" i="14"/>
  <c r="N123" i="14"/>
  <c r="P123" i="14"/>
  <c r="Q123" i="14"/>
  <c r="R123" i="14"/>
  <c r="S123" i="14" s="1"/>
  <c r="U123" i="14"/>
  <c r="F124" i="14"/>
  <c r="G124" i="14"/>
  <c r="H124" i="14"/>
  <c r="I124" i="14"/>
  <c r="J124" i="14"/>
  <c r="K124" i="14"/>
  <c r="L124" i="14"/>
  <c r="M124" i="14"/>
  <c r="N124" i="14"/>
  <c r="P124" i="14"/>
  <c r="Q124" i="14"/>
  <c r="R124" i="14"/>
  <c r="S124" i="14" s="1"/>
  <c r="U124" i="14"/>
  <c r="F125" i="14"/>
  <c r="G125" i="14"/>
  <c r="H125" i="14"/>
  <c r="I125" i="14"/>
  <c r="J125" i="14"/>
  <c r="K125" i="14"/>
  <c r="L125" i="14"/>
  <c r="M125" i="14"/>
  <c r="N125" i="14"/>
  <c r="P125" i="14"/>
  <c r="Q125" i="14"/>
  <c r="R125" i="14"/>
  <c r="U125" i="14"/>
  <c r="F126" i="14"/>
  <c r="G126" i="14"/>
  <c r="H126" i="14"/>
  <c r="I126" i="14"/>
  <c r="J126" i="14"/>
  <c r="K126" i="14"/>
  <c r="L126" i="14"/>
  <c r="M126" i="14"/>
  <c r="N126" i="14"/>
  <c r="P126" i="14"/>
  <c r="Q126" i="14"/>
  <c r="R126" i="14"/>
  <c r="S126" i="14" s="1"/>
  <c r="U126" i="14"/>
  <c r="F127" i="14"/>
  <c r="G127" i="14"/>
  <c r="H127" i="14"/>
  <c r="I127" i="14"/>
  <c r="J127" i="14"/>
  <c r="K127" i="14"/>
  <c r="L127" i="14"/>
  <c r="M127" i="14"/>
  <c r="N127" i="14"/>
  <c r="P127" i="14"/>
  <c r="Q127" i="14"/>
  <c r="R127" i="14"/>
  <c r="S127" i="14" s="1"/>
  <c r="U127" i="14"/>
  <c r="F128" i="14"/>
  <c r="G128" i="14"/>
  <c r="H128" i="14"/>
  <c r="I128" i="14"/>
  <c r="J128" i="14"/>
  <c r="K128" i="14"/>
  <c r="L128" i="14"/>
  <c r="M128" i="14"/>
  <c r="N128" i="14"/>
  <c r="P128" i="14"/>
  <c r="Q128" i="14"/>
  <c r="R128" i="14"/>
  <c r="S128" i="14" s="1"/>
  <c r="U128" i="14"/>
  <c r="F129" i="14"/>
  <c r="G129" i="14"/>
  <c r="H129" i="14"/>
  <c r="I129" i="14"/>
  <c r="J129" i="14"/>
  <c r="K129" i="14"/>
  <c r="L129" i="14"/>
  <c r="M129" i="14"/>
  <c r="N129" i="14"/>
  <c r="P129" i="14"/>
  <c r="Q129" i="14"/>
  <c r="R129" i="14"/>
  <c r="S129" i="14" s="1"/>
  <c r="U129" i="14"/>
  <c r="F130" i="14"/>
  <c r="G130" i="14"/>
  <c r="H130" i="14"/>
  <c r="I130" i="14"/>
  <c r="J130" i="14"/>
  <c r="K130" i="14"/>
  <c r="L130" i="14"/>
  <c r="M130" i="14"/>
  <c r="N130" i="14"/>
  <c r="P130" i="14"/>
  <c r="Q130" i="14"/>
  <c r="R130" i="14"/>
  <c r="S130" i="14" s="1"/>
  <c r="U130" i="14"/>
  <c r="F131" i="14"/>
  <c r="G131" i="14"/>
  <c r="H131" i="14"/>
  <c r="I131" i="14"/>
  <c r="J131" i="14"/>
  <c r="K131" i="14"/>
  <c r="L131" i="14"/>
  <c r="M131" i="14"/>
  <c r="N131" i="14"/>
  <c r="P131" i="14"/>
  <c r="Q131" i="14"/>
  <c r="R131" i="14"/>
  <c r="S131" i="14" s="1"/>
  <c r="U131" i="14"/>
  <c r="F132" i="14"/>
  <c r="G132" i="14"/>
  <c r="H132" i="14"/>
  <c r="I132" i="14"/>
  <c r="J132" i="14"/>
  <c r="K132" i="14"/>
  <c r="L132" i="14"/>
  <c r="M132" i="14"/>
  <c r="N132" i="14"/>
  <c r="P132" i="14"/>
  <c r="Q132" i="14"/>
  <c r="R132" i="14"/>
  <c r="S132" i="14" s="1"/>
  <c r="U132" i="14"/>
  <c r="F133" i="14"/>
  <c r="G133" i="14"/>
  <c r="H133" i="14"/>
  <c r="I133" i="14"/>
  <c r="J133" i="14"/>
  <c r="K133" i="14"/>
  <c r="L133" i="14"/>
  <c r="M133" i="14"/>
  <c r="N133" i="14"/>
  <c r="P133" i="14"/>
  <c r="Q133" i="14"/>
  <c r="R133" i="14"/>
  <c r="S133" i="14" s="1"/>
  <c r="U133" i="14"/>
  <c r="F134" i="14"/>
  <c r="G134" i="14"/>
  <c r="H134" i="14"/>
  <c r="I134" i="14"/>
  <c r="J134" i="14"/>
  <c r="K134" i="14"/>
  <c r="L134" i="14"/>
  <c r="M134" i="14"/>
  <c r="N134" i="14"/>
  <c r="P134" i="14"/>
  <c r="Q134" i="14"/>
  <c r="R134" i="14"/>
  <c r="S134" i="14" s="1"/>
  <c r="U134" i="14"/>
  <c r="F135" i="14"/>
  <c r="G135" i="14"/>
  <c r="H135" i="14"/>
  <c r="I135" i="14"/>
  <c r="J135" i="14"/>
  <c r="K135" i="14"/>
  <c r="L135" i="14"/>
  <c r="M135" i="14"/>
  <c r="N135" i="14"/>
  <c r="P135" i="14"/>
  <c r="Q135" i="14"/>
  <c r="R135" i="14"/>
  <c r="S135" i="14" s="1"/>
  <c r="U135" i="14"/>
  <c r="F136" i="14"/>
  <c r="G136" i="14"/>
  <c r="H136" i="14"/>
  <c r="I136" i="14"/>
  <c r="J136" i="14"/>
  <c r="K136" i="14"/>
  <c r="L136" i="14"/>
  <c r="M136" i="14"/>
  <c r="N136" i="14"/>
  <c r="P136" i="14"/>
  <c r="Q136" i="14"/>
  <c r="R136" i="14"/>
  <c r="S136" i="14" s="1"/>
  <c r="U136" i="14"/>
  <c r="F137" i="14"/>
  <c r="G137" i="14"/>
  <c r="H137" i="14"/>
  <c r="I137" i="14"/>
  <c r="J137" i="14"/>
  <c r="K137" i="14"/>
  <c r="L137" i="14"/>
  <c r="M137" i="14"/>
  <c r="N137" i="14"/>
  <c r="P137" i="14"/>
  <c r="Q137" i="14"/>
  <c r="R137" i="14"/>
  <c r="S137" i="14" s="1"/>
  <c r="U137" i="14"/>
  <c r="F138" i="14"/>
  <c r="G138" i="14"/>
  <c r="H138" i="14"/>
  <c r="I138" i="14"/>
  <c r="J138" i="14"/>
  <c r="K138" i="14"/>
  <c r="L138" i="14"/>
  <c r="M138" i="14"/>
  <c r="N138" i="14"/>
  <c r="P138" i="14"/>
  <c r="Q138" i="14"/>
  <c r="R138" i="14"/>
  <c r="S138" i="14" s="1"/>
  <c r="U138" i="14"/>
  <c r="F139" i="14"/>
  <c r="U139" i="14" s="1"/>
  <c r="G139" i="14"/>
  <c r="H139" i="14"/>
  <c r="I139" i="14"/>
  <c r="J139" i="14"/>
  <c r="K139" i="14"/>
  <c r="L139" i="14"/>
  <c r="M139" i="14"/>
  <c r="N139" i="14"/>
  <c r="P139" i="14"/>
  <c r="Q139" i="14"/>
  <c r="R139" i="14"/>
  <c r="S139" i="14" s="1"/>
  <c r="F140" i="14"/>
  <c r="G140" i="14"/>
  <c r="H140" i="14"/>
  <c r="I140" i="14"/>
  <c r="J140" i="14"/>
  <c r="K140" i="14"/>
  <c r="L140" i="14"/>
  <c r="M140" i="14"/>
  <c r="N140" i="14"/>
  <c r="P140" i="14"/>
  <c r="Q140" i="14"/>
  <c r="R140" i="14"/>
  <c r="S140" i="14" s="1"/>
  <c r="U140" i="14"/>
  <c r="F141" i="14"/>
  <c r="G141" i="14"/>
  <c r="H141" i="14"/>
  <c r="I141" i="14"/>
  <c r="J141" i="14"/>
  <c r="K141" i="14"/>
  <c r="L141" i="14"/>
  <c r="M141" i="14"/>
  <c r="N141" i="14"/>
  <c r="P141" i="14"/>
  <c r="Q141" i="14"/>
  <c r="R141" i="14"/>
  <c r="S141" i="14" s="1"/>
  <c r="U141" i="14"/>
  <c r="F142" i="14"/>
  <c r="G142" i="14"/>
  <c r="H142" i="14"/>
  <c r="I142" i="14"/>
  <c r="J142" i="14"/>
  <c r="K142" i="14"/>
  <c r="L142" i="14"/>
  <c r="M142" i="14"/>
  <c r="N142" i="14"/>
  <c r="P142" i="14"/>
  <c r="Q142" i="14"/>
  <c r="R142" i="14"/>
  <c r="U142" i="14"/>
  <c r="F143" i="14"/>
  <c r="G143" i="14"/>
  <c r="H143" i="14"/>
  <c r="I143" i="14"/>
  <c r="J143" i="14"/>
  <c r="K143" i="14"/>
  <c r="L143" i="14"/>
  <c r="M143" i="14"/>
  <c r="N143" i="14"/>
  <c r="P143" i="14"/>
  <c r="Q143" i="14"/>
  <c r="R143" i="14"/>
  <c r="S143" i="14" s="1"/>
  <c r="U143" i="14"/>
  <c r="F144" i="14"/>
  <c r="G144" i="14"/>
  <c r="H144" i="14"/>
  <c r="I144" i="14"/>
  <c r="J144" i="14"/>
  <c r="K144" i="14"/>
  <c r="L144" i="14"/>
  <c r="M144" i="14"/>
  <c r="N144" i="14"/>
  <c r="P144" i="14"/>
  <c r="Q144" i="14"/>
  <c r="R144" i="14"/>
  <c r="S144" i="14" s="1"/>
  <c r="U144" i="14"/>
  <c r="F145" i="14"/>
  <c r="G145" i="14"/>
  <c r="H145" i="14"/>
  <c r="I145" i="14"/>
  <c r="J145" i="14"/>
  <c r="K145" i="14"/>
  <c r="L145" i="14"/>
  <c r="M145" i="14"/>
  <c r="N145" i="14"/>
  <c r="P145" i="14"/>
  <c r="Q145" i="14"/>
  <c r="R145" i="14"/>
  <c r="S145" i="14" s="1"/>
  <c r="U145" i="14"/>
  <c r="F146" i="14"/>
  <c r="G146" i="14"/>
  <c r="H146" i="14"/>
  <c r="I146" i="14"/>
  <c r="J146" i="14"/>
  <c r="K146" i="14"/>
  <c r="L146" i="14"/>
  <c r="M146" i="14"/>
  <c r="N146" i="14"/>
  <c r="P146" i="14"/>
  <c r="Q146" i="14"/>
  <c r="R146" i="14"/>
  <c r="S146" i="14" s="1"/>
  <c r="U146" i="14"/>
  <c r="F147" i="14"/>
  <c r="G147" i="14"/>
  <c r="H147" i="14"/>
  <c r="I147" i="14"/>
  <c r="J147" i="14"/>
  <c r="K147" i="14"/>
  <c r="L147" i="14"/>
  <c r="M147" i="14"/>
  <c r="N147" i="14"/>
  <c r="P147" i="14"/>
  <c r="Q147" i="14"/>
  <c r="R147" i="14"/>
  <c r="S147" i="14" s="1"/>
  <c r="U147" i="14"/>
  <c r="F148" i="14"/>
  <c r="G148" i="14"/>
  <c r="H148" i="14"/>
  <c r="I148" i="14"/>
  <c r="J148" i="14"/>
  <c r="K148" i="14"/>
  <c r="L148" i="14"/>
  <c r="M148" i="14"/>
  <c r="N148" i="14"/>
  <c r="P148" i="14"/>
  <c r="Q148" i="14"/>
  <c r="R148" i="14"/>
  <c r="S148" i="14" s="1"/>
  <c r="U148" i="14"/>
  <c r="F149" i="14"/>
  <c r="G149" i="14"/>
  <c r="H149" i="14"/>
  <c r="I149" i="14"/>
  <c r="J149" i="14"/>
  <c r="K149" i="14"/>
  <c r="L149" i="14"/>
  <c r="M149" i="14"/>
  <c r="N149" i="14"/>
  <c r="P149" i="14"/>
  <c r="Q149" i="14"/>
  <c r="R149" i="14"/>
  <c r="U149" i="14"/>
  <c r="F150" i="14"/>
  <c r="G150" i="14"/>
  <c r="H150" i="14"/>
  <c r="I150" i="14"/>
  <c r="J150" i="14"/>
  <c r="K150" i="14"/>
  <c r="L150" i="14"/>
  <c r="M150" i="14"/>
  <c r="N150" i="14"/>
  <c r="P150" i="14"/>
  <c r="Q150" i="14"/>
  <c r="R150" i="14"/>
  <c r="S150" i="14" s="1"/>
  <c r="U150" i="14"/>
  <c r="F151" i="14"/>
  <c r="G151" i="14"/>
  <c r="H151" i="14"/>
  <c r="I151" i="14"/>
  <c r="J151" i="14"/>
  <c r="K151" i="14"/>
  <c r="L151" i="14"/>
  <c r="M151" i="14"/>
  <c r="N151" i="14"/>
  <c r="P151" i="14"/>
  <c r="Q151" i="14"/>
  <c r="R151" i="14"/>
  <c r="S151" i="14" s="1"/>
  <c r="U151" i="14"/>
  <c r="F152" i="14"/>
  <c r="G152" i="14"/>
  <c r="H152" i="14"/>
  <c r="I152" i="14"/>
  <c r="J152" i="14"/>
  <c r="K152" i="14"/>
  <c r="L152" i="14"/>
  <c r="M152" i="14"/>
  <c r="N152" i="14"/>
  <c r="P152" i="14"/>
  <c r="Q152" i="14"/>
  <c r="R152" i="14"/>
  <c r="S152" i="14" s="1"/>
  <c r="U152" i="14"/>
  <c r="F153" i="14"/>
  <c r="G153" i="14"/>
  <c r="H153" i="14"/>
  <c r="I153" i="14"/>
  <c r="J153" i="14"/>
  <c r="K153" i="14"/>
  <c r="L153" i="14"/>
  <c r="M153" i="14"/>
  <c r="N153" i="14"/>
  <c r="P153" i="14"/>
  <c r="Q153" i="14"/>
  <c r="R153" i="14"/>
  <c r="S153" i="14" s="1"/>
  <c r="U153" i="14"/>
  <c r="F154" i="14"/>
  <c r="G154" i="14"/>
  <c r="H154" i="14"/>
  <c r="I154" i="14"/>
  <c r="J154" i="14"/>
  <c r="K154" i="14"/>
  <c r="L154" i="14"/>
  <c r="M154" i="14"/>
  <c r="N154" i="14"/>
  <c r="P154" i="14"/>
  <c r="Q154" i="14"/>
  <c r="R154" i="14"/>
  <c r="S154" i="14" s="1"/>
  <c r="U154" i="14"/>
  <c r="F155" i="14"/>
  <c r="G155" i="14"/>
  <c r="H155" i="14"/>
  <c r="I155" i="14"/>
  <c r="J155" i="14"/>
  <c r="K155" i="14"/>
  <c r="L155" i="14"/>
  <c r="M155" i="14"/>
  <c r="N155" i="14"/>
  <c r="P155" i="14"/>
  <c r="Q155" i="14"/>
  <c r="R155" i="14"/>
  <c r="S155" i="14" s="1"/>
  <c r="U155" i="14"/>
  <c r="F156" i="14"/>
  <c r="G156" i="14"/>
  <c r="H156" i="14"/>
  <c r="I156" i="14"/>
  <c r="J156" i="14"/>
  <c r="K156" i="14"/>
  <c r="L156" i="14"/>
  <c r="M156" i="14"/>
  <c r="N156" i="14"/>
  <c r="P156" i="14"/>
  <c r="Q156" i="14"/>
  <c r="R156" i="14"/>
  <c r="U156" i="14"/>
  <c r="F157" i="14"/>
  <c r="G157" i="14"/>
  <c r="H157" i="14"/>
  <c r="I157" i="14"/>
  <c r="J157" i="14"/>
  <c r="K157" i="14"/>
  <c r="L157" i="14"/>
  <c r="M157" i="14"/>
  <c r="N157" i="14"/>
  <c r="P157" i="14"/>
  <c r="Q157" i="14"/>
  <c r="R157" i="14"/>
  <c r="S157" i="14" s="1"/>
  <c r="U157" i="14"/>
  <c r="F158" i="14"/>
  <c r="G158" i="14"/>
  <c r="H158" i="14"/>
  <c r="I158" i="14"/>
  <c r="J158" i="14"/>
  <c r="K158" i="14"/>
  <c r="L158" i="14"/>
  <c r="M158" i="14"/>
  <c r="N158" i="14"/>
  <c r="P158" i="14"/>
  <c r="Q158" i="14"/>
  <c r="R158" i="14"/>
  <c r="S158" i="14" s="1"/>
  <c r="U158" i="14"/>
  <c r="F159" i="14"/>
  <c r="G159" i="14"/>
  <c r="H159" i="14"/>
  <c r="I159" i="14"/>
  <c r="J159" i="14"/>
  <c r="K159" i="14"/>
  <c r="L159" i="14"/>
  <c r="M159" i="14"/>
  <c r="N159" i="14"/>
  <c r="P159" i="14"/>
  <c r="Q159" i="14"/>
  <c r="R159" i="14"/>
  <c r="S159" i="14" s="1"/>
  <c r="U159" i="14"/>
  <c r="F160" i="14"/>
  <c r="G160" i="14"/>
  <c r="H160" i="14"/>
  <c r="I160" i="14"/>
  <c r="J160" i="14"/>
  <c r="K160" i="14"/>
  <c r="L160" i="14"/>
  <c r="M160" i="14"/>
  <c r="N160" i="14"/>
  <c r="P160" i="14"/>
  <c r="Q160" i="14"/>
  <c r="R160" i="14"/>
  <c r="S160" i="14" s="1"/>
  <c r="U160" i="14"/>
  <c r="F161" i="14"/>
  <c r="G161" i="14"/>
  <c r="H161" i="14"/>
  <c r="I161" i="14"/>
  <c r="J161" i="14"/>
  <c r="K161" i="14"/>
  <c r="L161" i="14"/>
  <c r="M161" i="14"/>
  <c r="N161" i="14"/>
  <c r="P161" i="14"/>
  <c r="Q161" i="14"/>
  <c r="R161" i="14"/>
  <c r="U161" i="14"/>
  <c r="F162" i="14"/>
  <c r="G162" i="14"/>
  <c r="H162" i="14"/>
  <c r="I162" i="14"/>
  <c r="J162" i="14"/>
  <c r="K162" i="14"/>
  <c r="L162" i="14"/>
  <c r="M162" i="14"/>
  <c r="N162" i="14"/>
  <c r="P162" i="14"/>
  <c r="Q162" i="14"/>
  <c r="R162" i="14"/>
  <c r="S162" i="14" s="1"/>
  <c r="U162" i="14"/>
  <c r="F163" i="14"/>
  <c r="G163" i="14"/>
  <c r="H163" i="14"/>
  <c r="I163" i="14"/>
  <c r="J163" i="14"/>
  <c r="K163" i="14"/>
  <c r="L163" i="14"/>
  <c r="M163" i="14"/>
  <c r="N163" i="14"/>
  <c r="P163" i="14"/>
  <c r="Q163" i="14"/>
  <c r="R163" i="14"/>
  <c r="U163" i="14"/>
  <c r="F164" i="14"/>
  <c r="G164" i="14"/>
  <c r="H164" i="14"/>
  <c r="I164" i="14"/>
  <c r="J164" i="14"/>
  <c r="K164" i="14"/>
  <c r="L164" i="14"/>
  <c r="M164" i="14"/>
  <c r="N164" i="14"/>
  <c r="P164" i="14"/>
  <c r="Q164" i="14"/>
  <c r="R164" i="14"/>
  <c r="S164" i="14" s="1"/>
  <c r="U164" i="14"/>
  <c r="F165" i="14"/>
  <c r="G165" i="14"/>
  <c r="H165" i="14"/>
  <c r="I165" i="14"/>
  <c r="J165" i="14"/>
  <c r="K165" i="14"/>
  <c r="L165" i="14"/>
  <c r="M165" i="14"/>
  <c r="N165" i="14"/>
  <c r="P165" i="14"/>
  <c r="Q165" i="14"/>
  <c r="R165" i="14"/>
  <c r="S165" i="14" s="1"/>
  <c r="U165" i="14"/>
  <c r="F166" i="14"/>
  <c r="G166" i="14"/>
  <c r="H166" i="14"/>
  <c r="I166" i="14"/>
  <c r="J166" i="14"/>
  <c r="K166" i="14"/>
  <c r="L166" i="14"/>
  <c r="M166" i="14"/>
  <c r="N166" i="14"/>
  <c r="P166" i="14"/>
  <c r="Q166" i="14"/>
  <c r="R166" i="14"/>
  <c r="S166" i="14" s="1"/>
  <c r="U166" i="14"/>
  <c r="F167" i="14"/>
  <c r="G167" i="14"/>
  <c r="H167" i="14"/>
  <c r="I167" i="14"/>
  <c r="J167" i="14"/>
  <c r="K167" i="14"/>
  <c r="L167" i="14"/>
  <c r="M167" i="14"/>
  <c r="N167" i="14"/>
  <c r="P167" i="14"/>
  <c r="Q167" i="14"/>
  <c r="R167" i="14"/>
  <c r="U167" i="14"/>
  <c r="F168" i="14"/>
  <c r="G168" i="14"/>
  <c r="H168" i="14"/>
  <c r="I168" i="14"/>
  <c r="J168" i="14"/>
  <c r="K168" i="14"/>
  <c r="L168" i="14"/>
  <c r="M168" i="14"/>
  <c r="N168" i="14"/>
  <c r="P168" i="14"/>
  <c r="Q168" i="14"/>
  <c r="R168" i="14"/>
  <c r="U168" i="14"/>
  <c r="F169" i="14"/>
  <c r="G169" i="14"/>
  <c r="H169" i="14"/>
  <c r="I169" i="14"/>
  <c r="J169" i="14"/>
  <c r="K169" i="14"/>
  <c r="L169" i="14"/>
  <c r="M169" i="14"/>
  <c r="N169" i="14"/>
  <c r="P169" i="14"/>
  <c r="Q169" i="14"/>
  <c r="R169" i="14"/>
  <c r="S169" i="14" s="1"/>
  <c r="U169" i="14"/>
  <c r="F170" i="14"/>
  <c r="G170" i="14"/>
  <c r="H170" i="14"/>
  <c r="I170" i="14"/>
  <c r="J170" i="14"/>
  <c r="K170" i="14"/>
  <c r="L170" i="14"/>
  <c r="M170" i="14"/>
  <c r="N170" i="14"/>
  <c r="P170" i="14"/>
  <c r="Q170" i="14"/>
  <c r="R170" i="14"/>
  <c r="S170" i="14" s="1"/>
  <c r="U170" i="14"/>
  <c r="F171" i="14"/>
  <c r="G171" i="14"/>
  <c r="H171" i="14"/>
  <c r="I171" i="14"/>
  <c r="J171" i="14"/>
  <c r="K171" i="14"/>
  <c r="L171" i="14"/>
  <c r="M171" i="14"/>
  <c r="N171" i="14"/>
  <c r="P171" i="14"/>
  <c r="Q171" i="14"/>
  <c r="R171" i="14"/>
  <c r="S171" i="14" s="1"/>
  <c r="U171" i="14"/>
  <c r="F172" i="14"/>
  <c r="G172" i="14"/>
  <c r="H172" i="14"/>
  <c r="I172" i="14"/>
  <c r="J172" i="14"/>
  <c r="K172" i="14"/>
  <c r="L172" i="14"/>
  <c r="M172" i="14"/>
  <c r="N172" i="14"/>
  <c r="P172" i="14"/>
  <c r="Q172" i="14"/>
  <c r="R172" i="14"/>
  <c r="S172" i="14" s="1"/>
  <c r="U172" i="14"/>
  <c r="F173" i="14"/>
  <c r="G173" i="14"/>
  <c r="H173" i="14"/>
  <c r="I173" i="14"/>
  <c r="J173" i="14"/>
  <c r="K173" i="14"/>
  <c r="L173" i="14"/>
  <c r="M173" i="14"/>
  <c r="N173" i="14"/>
  <c r="P173" i="14"/>
  <c r="Q173" i="14"/>
  <c r="R173" i="14"/>
  <c r="S173" i="14" s="1"/>
  <c r="U173" i="14"/>
  <c r="F174" i="14"/>
  <c r="G174" i="14"/>
  <c r="H174" i="14"/>
  <c r="I174" i="14"/>
  <c r="J174" i="14"/>
  <c r="K174" i="14"/>
  <c r="L174" i="14"/>
  <c r="M174" i="14"/>
  <c r="N174" i="14"/>
  <c r="P174" i="14"/>
  <c r="Q174" i="14"/>
  <c r="R174" i="14"/>
  <c r="S174" i="14" s="1"/>
  <c r="U174" i="14"/>
  <c r="F175" i="14"/>
  <c r="G175" i="14"/>
  <c r="H175" i="14"/>
  <c r="I175" i="14"/>
  <c r="J175" i="14"/>
  <c r="K175" i="14"/>
  <c r="L175" i="14"/>
  <c r="M175" i="14"/>
  <c r="N175" i="14"/>
  <c r="P175" i="14"/>
  <c r="Q175" i="14"/>
  <c r="R175" i="14"/>
  <c r="S175" i="14" s="1"/>
  <c r="U175" i="14"/>
  <c r="F176" i="14"/>
  <c r="G176" i="14"/>
  <c r="H176" i="14"/>
  <c r="I176" i="14"/>
  <c r="J176" i="14"/>
  <c r="K176" i="14"/>
  <c r="L176" i="14"/>
  <c r="M176" i="14"/>
  <c r="N176" i="14"/>
  <c r="P176" i="14"/>
  <c r="Q176" i="14"/>
  <c r="R176" i="14"/>
  <c r="S176" i="14" s="1"/>
  <c r="U176" i="14"/>
  <c r="F177" i="14"/>
  <c r="G177" i="14"/>
  <c r="H177" i="14"/>
  <c r="I177" i="14"/>
  <c r="J177" i="14"/>
  <c r="K177" i="14"/>
  <c r="L177" i="14"/>
  <c r="M177" i="14"/>
  <c r="N177" i="14"/>
  <c r="P177" i="14"/>
  <c r="Q177" i="14"/>
  <c r="R177" i="14"/>
  <c r="S177" i="14" s="1"/>
  <c r="U177" i="14"/>
  <c r="F178" i="14"/>
  <c r="G178" i="14"/>
  <c r="H178" i="14"/>
  <c r="I178" i="14"/>
  <c r="J178" i="14"/>
  <c r="K178" i="14"/>
  <c r="L178" i="14"/>
  <c r="M178" i="14"/>
  <c r="N178" i="14"/>
  <c r="P178" i="14"/>
  <c r="Q178" i="14"/>
  <c r="R178" i="14"/>
  <c r="S178" i="14" s="1"/>
  <c r="U178" i="14"/>
  <c r="F179" i="14"/>
  <c r="G179" i="14"/>
  <c r="H179" i="14"/>
  <c r="I179" i="14"/>
  <c r="J179" i="14"/>
  <c r="K179" i="14"/>
  <c r="L179" i="14"/>
  <c r="M179" i="14"/>
  <c r="N179" i="14"/>
  <c r="P179" i="14"/>
  <c r="Q179" i="14"/>
  <c r="R179" i="14"/>
  <c r="S179" i="14" s="1"/>
  <c r="U179" i="14"/>
  <c r="F180" i="14"/>
  <c r="G180" i="14"/>
  <c r="H180" i="14"/>
  <c r="I180" i="14"/>
  <c r="J180" i="14"/>
  <c r="K180" i="14"/>
  <c r="L180" i="14"/>
  <c r="M180" i="14"/>
  <c r="N180" i="14"/>
  <c r="P180" i="14"/>
  <c r="Q180" i="14"/>
  <c r="R180" i="14"/>
  <c r="S180" i="14" s="1"/>
  <c r="U180" i="14"/>
  <c r="F181" i="14"/>
  <c r="G181" i="14"/>
  <c r="H181" i="14"/>
  <c r="I181" i="14"/>
  <c r="J181" i="14"/>
  <c r="K181" i="14"/>
  <c r="L181" i="14"/>
  <c r="M181" i="14"/>
  <c r="N181" i="14"/>
  <c r="P181" i="14"/>
  <c r="Q181" i="14"/>
  <c r="R181" i="14"/>
  <c r="S181" i="14" s="1"/>
  <c r="U181" i="14"/>
  <c r="F182" i="14"/>
  <c r="G182" i="14"/>
  <c r="H182" i="14"/>
  <c r="I182" i="14"/>
  <c r="J182" i="14"/>
  <c r="K182" i="14"/>
  <c r="L182" i="14"/>
  <c r="M182" i="14"/>
  <c r="N182" i="14"/>
  <c r="P182" i="14"/>
  <c r="Q182" i="14"/>
  <c r="R182" i="14"/>
  <c r="S182" i="14" s="1"/>
  <c r="U182" i="14"/>
  <c r="F183" i="14"/>
  <c r="G183" i="14"/>
  <c r="H183" i="14"/>
  <c r="I183" i="14"/>
  <c r="J183" i="14"/>
  <c r="K183" i="14"/>
  <c r="L183" i="14"/>
  <c r="M183" i="14"/>
  <c r="N183" i="14"/>
  <c r="P183" i="14"/>
  <c r="Q183" i="14"/>
  <c r="R183" i="14"/>
  <c r="S183" i="14" s="1"/>
  <c r="U183" i="14"/>
  <c r="F184" i="14"/>
  <c r="G184" i="14"/>
  <c r="H184" i="14"/>
  <c r="I184" i="14"/>
  <c r="J184" i="14"/>
  <c r="K184" i="14"/>
  <c r="L184" i="14"/>
  <c r="M184" i="14"/>
  <c r="N184" i="14"/>
  <c r="P184" i="14"/>
  <c r="Q184" i="14"/>
  <c r="R184" i="14"/>
  <c r="S184" i="14" s="1"/>
  <c r="U184" i="14"/>
  <c r="F185" i="14"/>
  <c r="G185" i="14"/>
  <c r="H185" i="14"/>
  <c r="I185" i="14"/>
  <c r="J185" i="14"/>
  <c r="K185" i="14"/>
  <c r="L185" i="14"/>
  <c r="M185" i="14"/>
  <c r="N185" i="14"/>
  <c r="P185" i="14"/>
  <c r="Q185" i="14"/>
  <c r="R185" i="14"/>
  <c r="S185" i="14" s="1"/>
  <c r="U185" i="14"/>
  <c r="F186" i="14"/>
  <c r="G186" i="14"/>
  <c r="H186" i="14"/>
  <c r="I186" i="14"/>
  <c r="J186" i="14"/>
  <c r="K186" i="14"/>
  <c r="L186" i="14"/>
  <c r="M186" i="14"/>
  <c r="N186" i="14"/>
  <c r="P186" i="14"/>
  <c r="Q186" i="14"/>
  <c r="R186" i="14"/>
  <c r="S186" i="14" s="1"/>
  <c r="U186" i="14"/>
  <c r="F187" i="14"/>
  <c r="G187" i="14"/>
  <c r="H187" i="14"/>
  <c r="I187" i="14"/>
  <c r="J187" i="14"/>
  <c r="K187" i="14"/>
  <c r="L187" i="14"/>
  <c r="M187" i="14"/>
  <c r="N187" i="14"/>
  <c r="P187" i="14"/>
  <c r="Q187" i="14"/>
  <c r="R187" i="14"/>
  <c r="S187" i="14" s="1"/>
  <c r="U187" i="14"/>
  <c r="F188" i="14"/>
  <c r="G188" i="14"/>
  <c r="H188" i="14"/>
  <c r="I188" i="14"/>
  <c r="J188" i="14"/>
  <c r="K188" i="14"/>
  <c r="L188" i="14"/>
  <c r="M188" i="14"/>
  <c r="N188" i="14"/>
  <c r="P188" i="14"/>
  <c r="Q188" i="14"/>
  <c r="R188" i="14"/>
  <c r="S188" i="14" s="1"/>
  <c r="U188" i="14"/>
  <c r="F189" i="14"/>
  <c r="G189" i="14"/>
  <c r="H189" i="14"/>
  <c r="I189" i="14"/>
  <c r="J189" i="14"/>
  <c r="K189" i="14"/>
  <c r="L189" i="14"/>
  <c r="M189" i="14"/>
  <c r="N189" i="14"/>
  <c r="P189" i="14"/>
  <c r="Q189" i="14"/>
  <c r="R189" i="14"/>
  <c r="S189" i="14" s="1"/>
  <c r="U189" i="14"/>
  <c r="F190" i="14"/>
  <c r="G190" i="14"/>
  <c r="H190" i="14"/>
  <c r="I190" i="14"/>
  <c r="J190" i="14"/>
  <c r="K190" i="14"/>
  <c r="L190" i="14"/>
  <c r="M190" i="14"/>
  <c r="N190" i="14"/>
  <c r="P190" i="14"/>
  <c r="Q190" i="14"/>
  <c r="R190" i="14"/>
  <c r="S190" i="14" s="1"/>
  <c r="U190" i="14"/>
  <c r="F191" i="14"/>
  <c r="G191" i="14"/>
  <c r="H191" i="14"/>
  <c r="I191" i="14"/>
  <c r="J191" i="14"/>
  <c r="K191" i="14"/>
  <c r="L191" i="14"/>
  <c r="M191" i="14"/>
  <c r="N191" i="14"/>
  <c r="P191" i="14"/>
  <c r="Q191" i="14"/>
  <c r="R191" i="14"/>
  <c r="S191" i="14" s="1"/>
  <c r="U191" i="14"/>
  <c r="F192" i="14"/>
  <c r="G192" i="14"/>
  <c r="H192" i="14"/>
  <c r="I192" i="14"/>
  <c r="J192" i="14"/>
  <c r="K192" i="14"/>
  <c r="L192" i="14"/>
  <c r="M192" i="14"/>
  <c r="N192" i="14"/>
  <c r="P192" i="14"/>
  <c r="Q192" i="14"/>
  <c r="R192" i="14"/>
  <c r="U192" i="14"/>
  <c r="F193" i="14"/>
  <c r="G193" i="14"/>
  <c r="H193" i="14"/>
  <c r="I193" i="14"/>
  <c r="J193" i="14"/>
  <c r="K193" i="14"/>
  <c r="L193" i="14"/>
  <c r="M193" i="14"/>
  <c r="N193" i="14"/>
  <c r="P193" i="14"/>
  <c r="Q193" i="14"/>
  <c r="R193" i="14"/>
  <c r="S193" i="14" s="1"/>
  <c r="U193" i="14"/>
  <c r="F194" i="14"/>
  <c r="G194" i="14"/>
  <c r="H194" i="14"/>
  <c r="I194" i="14"/>
  <c r="J194" i="14"/>
  <c r="K194" i="14"/>
  <c r="L194" i="14"/>
  <c r="M194" i="14"/>
  <c r="N194" i="14"/>
  <c r="P194" i="14"/>
  <c r="Q194" i="14"/>
  <c r="R194" i="14"/>
  <c r="S194" i="14" s="1"/>
  <c r="U194" i="14"/>
  <c r="F195" i="14"/>
  <c r="G195" i="14"/>
  <c r="H195" i="14"/>
  <c r="I195" i="14"/>
  <c r="J195" i="14"/>
  <c r="K195" i="14"/>
  <c r="L195" i="14"/>
  <c r="M195" i="14"/>
  <c r="N195" i="14"/>
  <c r="P195" i="14"/>
  <c r="Q195" i="14"/>
  <c r="R195" i="14"/>
  <c r="S195" i="14" s="1"/>
  <c r="U195" i="14"/>
  <c r="F196" i="14"/>
  <c r="G196" i="14"/>
  <c r="H196" i="14"/>
  <c r="I196" i="14"/>
  <c r="J196" i="14"/>
  <c r="K196" i="14"/>
  <c r="L196" i="14"/>
  <c r="M196" i="14"/>
  <c r="N196" i="14"/>
  <c r="P196" i="14"/>
  <c r="Q196" i="14"/>
  <c r="R196" i="14"/>
  <c r="S196" i="14" s="1"/>
  <c r="U196" i="14"/>
  <c r="F197" i="14"/>
  <c r="G197" i="14"/>
  <c r="H197" i="14"/>
  <c r="I197" i="14"/>
  <c r="J197" i="14"/>
  <c r="K197" i="14"/>
  <c r="L197" i="14"/>
  <c r="M197" i="14"/>
  <c r="N197" i="14"/>
  <c r="P197" i="14"/>
  <c r="Q197" i="14"/>
  <c r="R197" i="14"/>
  <c r="S197" i="14" s="1"/>
  <c r="U197" i="14"/>
  <c r="F198" i="14"/>
  <c r="G198" i="14"/>
  <c r="H198" i="14"/>
  <c r="I198" i="14"/>
  <c r="J198" i="14"/>
  <c r="K198" i="14"/>
  <c r="L198" i="14"/>
  <c r="M198" i="14"/>
  <c r="N198" i="14"/>
  <c r="P198" i="14"/>
  <c r="Q198" i="14"/>
  <c r="R198" i="14"/>
  <c r="S198" i="14" s="1"/>
  <c r="U198" i="14"/>
  <c r="F199" i="14"/>
  <c r="G199" i="14"/>
  <c r="H199" i="14"/>
  <c r="I199" i="14"/>
  <c r="J199" i="14"/>
  <c r="K199" i="14"/>
  <c r="L199" i="14"/>
  <c r="M199" i="14"/>
  <c r="N199" i="14"/>
  <c r="P199" i="14"/>
  <c r="Q199" i="14"/>
  <c r="R199" i="14"/>
  <c r="S199" i="14" s="1"/>
  <c r="U199" i="14"/>
  <c r="F200" i="14"/>
  <c r="G200" i="14"/>
  <c r="H200" i="14"/>
  <c r="I200" i="14"/>
  <c r="J200" i="14"/>
  <c r="K200" i="14"/>
  <c r="L200" i="14"/>
  <c r="M200" i="14"/>
  <c r="N200" i="14"/>
  <c r="P200" i="14"/>
  <c r="Q200" i="14"/>
  <c r="R200" i="14"/>
  <c r="S200" i="14" s="1"/>
  <c r="U200" i="14"/>
  <c r="F201" i="14"/>
  <c r="G201" i="14"/>
  <c r="H201" i="14"/>
  <c r="I201" i="14"/>
  <c r="J201" i="14"/>
  <c r="K201" i="14"/>
  <c r="L201" i="14"/>
  <c r="M201" i="14"/>
  <c r="N201" i="14"/>
  <c r="P201" i="14"/>
  <c r="Q201" i="14"/>
  <c r="R201" i="14"/>
  <c r="S201" i="14" s="1"/>
  <c r="U201" i="14"/>
  <c r="F202" i="14"/>
  <c r="G202" i="14"/>
  <c r="H202" i="14"/>
  <c r="I202" i="14"/>
  <c r="J202" i="14"/>
  <c r="K202" i="14"/>
  <c r="L202" i="14"/>
  <c r="M202" i="14"/>
  <c r="N202" i="14"/>
  <c r="P202" i="14"/>
  <c r="Q202" i="14"/>
  <c r="R202" i="14"/>
  <c r="S202" i="14" s="1"/>
  <c r="U202" i="14"/>
  <c r="F203" i="14"/>
  <c r="G203" i="14"/>
  <c r="H203" i="14"/>
  <c r="I203" i="14"/>
  <c r="J203" i="14"/>
  <c r="K203" i="14"/>
  <c r="L203" i="14"/>
  <c r="M203" i="14"/>
  <c r="N203" i="14"/>
  <c r="P203" i="14"/>
  <c r="Q203" i="14"/>
  <c r="R203" i="14"/>
  <c r="S203" i="14" s="1"/>
  <c r="U203" i="14"/>
  <c r="F204" i="14"/>
  <c r="G204" i="14"/>
  <c r="H204" i="14"/>
  <c r="I204" i="14"/>
  <c r="J204" i="14"/>
  <c r="K204" i="14"/>
  <c r="L204" i="14"/>
  <c r="M204" i="14"/>
  <c r="N204" i="14"/>
  <c r="P204" i="14"/>
  <c r="Q204" i="14"/>
  <c r="R204" i="14"/>
  <c r="U204" i="14"/>
  <c r="F205" i="14"/>
  <c r="G205" i="14"/>
  <c r="H205" i="14"/>
  <c r="I205" i="14"/>
  <c r="J205" i="14"/>
  <c r="K205" i="14"/>
  <c r="L205" i="14"/>
  <c r="M205" i="14"/>
  <c r="N205" i="14"/>
  <c r="P205" i="14"/>
  <c r="Q205" i="14"/>
  <c r="R205" i="14"/>
  <c r="S205" i="14" s="1"/>
  <c r="U205" i="14"/>
  <c r="F206" i="14"/>
  <c r="G206" i="14"/>
  <c r="H206" i="14"/>
  <c r="I206" i="14"/>
  <c r="J206" i="14"/>
  <c r="K206" i="14"/>
  <c r="L206" i="14"/>
  <c r="M206" i="14"/>
  <c r="N206" i="14"/>
  <c r="P206" i="14"/>
  <c r="Q206" i="14"/>
  <c r="R206" i="14"/>
  <c r="S206" i="14" s="1"/>
  <c r="U206" i="14"/>
  <c r="F207" i="14"/>
  <c r="G207" i="14"/>
  <c r="H207" i="14"/>
  <c r="I207" i="14"/>
  <c r="J207" i="14"/>
  <c r="K207" i="14"/>
  <c r="L207" i="14"/>
  <c r="M207" i="14"/>
  <c r="N207" i="14"/>
  <c r="P207" i="14"/>
  <c r="Q207" i="14"/>
  <c r="R207" i="14"/>
  <c r="S207" i="14" s="1"/>
  <c r="U207" i="14"/>
  <c r="F208" i="14"/>
  <c r="G208" i="14"/>
  <c r="H208" i="14"/>
  <c r="I208" i="14"/>
  <c r="J208" i="14"/>
  <c r="K208" i="14"/>
  <c r="L208" i="14"/>
  <c r="M208" i="14"/>
  <c r="N208" i="14"/>
  <c r="P208" i="14"/>
  <c r="Q208" i="14"/>
  <c r="R208" i="14"/>
  <c r="S208" i="14" s="1"/>
  <c r="U208" i="14"/>
  <c r="F209" i="14"/>
  <c r="G209" i="14"/>
  <c r="H209" i="14"/>
  <c r="I209" i="14"/>
  <c r="J209" i="14"/>
  <c r="K209" i="14"/>
  <c r="L209" i="14"/>
  <c r="M209" i="14"/>
  <c r="N209" i="14"/>
  <c r="P209" i="14"/>
  <c r="Q209" i="14"/>
  <c r="R209" i="14"/>
  <c r="S209" i="14" s="1"/>
  <c r="U209" i="14"/>
  <c r="F210" i="14"/>
  <c r="G210" i="14"/>
  <c r="H210" i="14"/>
  <c r="I210" i="14"/>
  <c r="J210" i="14"/>
  <c r="K210" i="14"/>
  <c r="L210" i="14"/>
  <c r="M210" i="14"/>
  <c r="N210" i="14"/>
  <c r="P210" i="14"/>
  <c r="Q210" i="14"/>
  <c r="R210" i="14"/>
  <c r="S210" i="14" s="1"/>
  <c r="U210" i="14"/>
  <c r="F211" i="14"/>
  <c r="G211" i="14"/>
  <c r="H211" i="14"/>
  <c r="I211" i="14"/>
  <c r="J211" i="14"/>
  <c r="K211" i="14"/>
  <c r="L211" i="14"/>
  <c r="M211" i="14"/>
  <c r="N211" i="14"/>
  <c r="P211" i="14"/>
  <c r="Q211" i="14"/>
  <c r="R211" i="14"/>
  <c r="S211" i="14" s="1"/>
  <c r="U211" i="14"/>
  <c r="F212" i="14"/>
  <c r="G212" i="14"/>
  <c r="H212" i="14"/>
  <c r="I212" i="14"/>
  <c r="J212" i="14"/>
  <c r="K212" i="14"/>
  <c r="L212" i="14"/>
  <c r="M212" i="14"/>
  <c r="N212" i="14"/>
  <c r="P212" i="14"/>
  <c r="Q212" i="14"/>
  <c r="R212" i="14"/>
  <c r="S212" i="14" s="1"/>
  <c r="U212" i="14"/>
  <c r="F213" i="14"/>
  <c r="G213" i="14"/>
  <c r="H213" i="14"/>
  <c r="I213" i="14"/>
  <c r="J213" i="14"/>
  <c r="K213" i="14"/>
  <c r="L213" i="14"/>
  <c r="M213" i="14"/>
  <c r="N213" i="14"/>
  <c r="P213" i="14"/>
  <c r="Q213" i="14"/>
  <c r="R213" i="14"/>
  <c r="S213" i="14" s="1"/>
  <c r="U213" i="14"/>
  <c r="F214" i="14"/>
  <c r="G214" i="14"/>
  <c r="H214" i="14"/>
  <c r="I214" i="14"/>
  <c r="J214" i="14"/>
  <c r="K214" i="14"/>
  <c r="L214" i="14"/>
  <c r="M214" i="14"/>
  <c r="N214" i="14"/>
  <c r="P214" i="14"/>
  <c r="Q214" i="14"/>
  <c r="R214" i="14"/>
  <c r="S214" i="14" s="1"/>
  <c r="U214" i="14"/>
  <c r="F215" i="14"/>
  <c r="G215" i="14"/>
  <c r="H215" i="14"/>
  <c r="I215" i="14"/>
  <c r="J215" i="14"/>
  <c r="K215" i="14"/>
  <c r="L215" i="14"/>
  <c r="M215" i="14"/>
  <c r="N215" i="14"/>
  <c r="P215" i="14"/>
  <c r="Q215" i="14"/>
  <c r="R215" i="14"/>
  <c r="S215" i="14" s="1"/>
  <c r="U215" i="14"/>
  <c r="F216" i="14"/>
  <c r="G216" i="14"/>
  <c r="H216" i="14"/>
  <c r="I216" i="14"/>
  <c r="J216" i="14"/>
  <c r="K216" i="14"/>
  <c r="L216" i="14"/>
  <c r="M216" i="14"/>
  <c r="N216" i="14"/>
  <c r="P216" i="14"/>
  <c r="Q216" i="14"/>
  <c r="R216" i="14"/>
  <c r="S216" i="14" s="1"/>
  <c r="U216" i="14"/>
  <c r="F217" i="14"/>
  <c r="G217" i="14"/>
  <c r="H217" i="14"/>
  <c r="I217" i="14"/>
  <c r="J217" i="14"/>
  <c r="K217" i="14"/>
  <c r="L217" i="14"/>
  <c r="M217" i="14"/>
  <c r="N217" i="14"/>
  <c r="P217" i="14"/>
  <c r="Q217" i="14"/>
  <c r="R217" i="14"/>
  <c r="U217" i="14"/>
  <c r="F218" i="14"/>
  <c r="G218" i="14"/>
  <c r="H218" i="14"/>
  <c r="I218" i="14"/>
  <c r="J218" i="14"/>
  <c r="K218" i="14"/>
  <c r="L218" i="14"/>
  <c r="M218" i="14"/>
  <c r="N218" i="14"/>
  <c r="P218" i="14"/>
  <c r="Q218" i="14"/>
  <c r="R218" i="14"/>
  <c r="S218" i="14" s="1"/>
  <c r="U218" i="14"/>
  <c r="F219" i="14"/>
  <c r="G219" i="14"/>
  <c r="H219" i="14"/>
  <c r="I219" i="14"/>
  <c r="J219" i="14"/>
  <c r="K219" i="14"/>
  <c r="L219" i="14"/>
  <c r="M219" i="14"/>
  <c r="N219" i="14"/>
  <c r="P219" i="14"/>
  <c r="Q219" i="14"/>
  <c r="R219" i="14"/>
  <c r="S219" i="14" s="1"/>
  <c r="U219" i="14"/>
  <c r="F220" i="14"/>
  <c r="G220" i="14"/>
  <c r="H220" i="14"/>
  <c r="I220" i="14"/>
  <c r="J220" i="14"/>
  <c r="K220" i="14"/>
  <c r="L220" i="14"/>
  <c r="M220" i="14"/>
  <c r="N220" i="14"/>
  <c r="P220" i="14"/>
  <c r="Q220" i="14"/>
  <c r="R220" i="14"/>
  <c r="S220" i="14" s="1"/>
  <c r="U220" i="14"/>
  <c r="F221" i="14"/>
  <c r="G221" i="14"/>
  <c r="H221" i="14"/>
  <c r="I221" i="14"/>
  <c r="J221" i="14"/>
  <c r="K221" i="14"/>
  <c r="L221" i="14"/>
  <c r="M221" i="14"/>
  <c r="N221" i="14"/>
  <c r="P221" i="14"/>
  <c r="Q221" i="14"/>
  <c r="R221" i="14"/>
  <c r="S221" i="14" s="1"/>
  <c r="U221" i="14"/>
  <c r="F222" i="14"/>
  <c r="G222" i="14"/>
  <c r="H222" i="14"/>
  <c r="I222" i="14"/>
  <c r="J222" i="14"/>
  <c r="K222" i="14"/>
  <c r="L222" i="14"/>
  <c r="M222" i="14"/>
  <c r="N222" i="14"/>
  <c r="P222" i="14"/>
  <c r="Q222" i="14"/>
  <c r="R222" i="14"/>
  <c r="S222" i="14" s="1"/>
  <c r="U222" i="14"/>
  <c r="F223" i="14"/>
  <c r="G223" i="14"/>
  <c r="H223" i="14"/>
  <c r="I223" i="14"/>
  <c r="J223" i="14"/>
  <c r="K223" i="14"/>
  <c r="L223" i="14"/>
  <c r="M223" i="14"/>
  <c r="N223" i="14"/>
  <c r="P223" i="14"/>
  <c r="Q223" i="14"/>
  <c r="R223" i="14"/>
  <c r="S223" i="14" s="1"/>
  <c r="U223" i="14"/>
  <c r="F224" i="14"/>
  <c r="G224" i="14"/>
  <c r="H224" i="14"/>
  <c r="I224" i="14"/>
  <c r="J224" i="14"/>
  <c r="K224" i="14"/>
  <c r="L224" i="14"/>
  <c r="M224" i="14"/>
  <c r="N224" i="14"/>
  <c r="P224" i="14"/>
  <c r="Q224" i="14"/>
  <c r="R224" i="14"/>
  <c r="S224" i="14" s="1"/>
  <c r="U224" i="14"/>
  <c r="F225" i="14"/>
  <c r="G225" i="14"/>
  <c r="H225" i="14"/>
  <c r="I225" i="14"/>
  <c r="J225" i="14"/>
  <c r="K225" i="14"/>
  <c r="L225" i="14"/>
  <c r="M225" i="14"/>
  <c r="N225" i="14"/>
  <c r="P225" i="14"/>
  <c r="Q225" i="14"/>
  <c r="R225" i="14"/>
  <c r="S225" i="14" s="1"/>
  <c r="U225" i="14"/>
  <c r="F226" i="14"/>
  <c r="G226" i="14"/>
  <c r="H226" i="14"/>
  <c r="I226" i="14"/>
  <c r="J226" i="14"/>
  <c r="K226" i="14"/>
  <c r="L226" i="14"/>
  <c r="M226" i="14"/>
  <c r="N226" i="14"/>
  <c r="P226" i="14"/>
  <c r="Q226" i="14"/>
  <c r="R226" i="14"/>
  <c r="S226" i="14" s="1"/>
  <c r="U226" i="14"/>
  <c r="F227" i="14"/>
  <c r="G227" i="14"/>
  <c r="H227" i="14"/>
  <c r="I227" i="14"/>
  <c r="J227" i="14"/>
  <c r="K227" i="14"/>
  <c r="L227" i="14"/>
  <c r="M227" i="14"/>
  <c r="N227" i="14"/>
  <c r="P227" i="14"/>
  <c r="Q227" i="14"/>
  <c r="R227" i="14"/>
  <c r="S227" i="14" s="1"/>
  <c r="U227" i="14"/>
  <c r="F228" i="14"/>
  <c r="G228" i="14"/>
  <c r="H228" i="14"/>
  <c r="I228" i="14"/>
  <c r="J228" i="14"/>
  <c r="K228" i="14"/>
  <c r="L228" i="14"/>
  <c r="M228" i="14"/>
  <c r="N228" i="14"/>
  <c r="P228" i="14"/>
  <c r="Q228" i="14"/>
  <c r="R228" i="14"/>
  <c r="S228" i="14" s="1"/>
  <c r="U228" i="14"/>
  <c r="F229" i="14"/>
  <c r="G229" i="14"/>
  <c r="H229" i="14"/>
  <c r="I229" i="14"/>
  <c r="J229" i="14"/>
  <c r="K229" i="14"/>
  <c r="L229" i="14"/>
  <c r="M229" i="14"/>
  <c r="N229" i="14"/>
  <c r="P229" i="14"/>
  <c r="Q229" i="14"/>
  <c r="R229" i="14"/>
  <c r="S229" i="14" s="1"/>
  <c r="U229" i="14"/>
  <c r="F230" i="14"/>
  <c r="G230" i="14"/>
  <c r="H230" i="14"/>
  <c r="I230" i="14"/>
  <c r="J230" i="14"/>
  <c r="K230" i="14"/>
  <c r="L230" i="14"/>
  <c r="M230" i="14"/>
  <c r="N230" i="14"/>
  <c r="P230" i="14"/>
  <c r="Q230" i="14"/>
  <c r="R230" i="14"/>
  <c r="S230" i="14" s="1"/>
  <c r="U230" i="14"/>
  <c r="F231" i="14"/>
  <c r="G231" i="14"/>
  <c r="H231" i="14"/>
  <c r="I231" i="14"/>
  <c r="J231" i="14"/>
  <c r="K231" i="14"/>
  <c r="L231" i="14"/>
  <c r="M231" i="14"/>
  <c r="N231" i="14"/>
  <c r="P231" i="14"/>
  <c r="Q231" i="14"/>
  <c r="R231" i="14"/>
  <c r="S231" i="14" s="1"/>
  <c r="U231" i="14"/>
  <c r="F232" i="14"/>
  <c r="G232" i="14"/>
  <c r="H232" i="14"/>
  <c r="I232" i="14"/>
  <c r="J232" i="14"/>
  <c r="K232" i="14"/>
  <c r="L232" i="14"/>
  <c r="M232" i="14"/>
  <c r="N232" i="14"/>
  <c r="P232" i="14"/>
  <c r="Q232" i="14"/>
  <c r="R232" i="14"/>
  <c r="S232" i="14" s="1"/>
  <c r="U232" i="14"/>
  <c r="F233" i="14"/>
  <c r="G233" i="14"/>
  <c r="H233" i="14"/>
  <c r="I233" i="14"/>
  <c r="J233" i="14"/>
  <c r="K233" i="14"/>
  <c r="L233" i="14"/>
  <c r="M233" i="14"/>
  <c r="N233" i="14"/>
  <c r="P233" i="14"/>
  <c r="Q233" i="14"/>
  <c r="R233" i="14"/>
  <c r="S233" i="14" s="1"/>
  <c r="U233" i="14"/>
  <c r="F234" i="14"/>
  <c r="G234" i="14"/>
  <c r="H234" i="14"/>
  <c r="I234" i="14"/>
  <c r="J234" i="14"/>
  <c r="K234" i="14"/>
  <c r="L234" i="14"/>
  <c r="M234" i="14"/>
  <c r="N234" i="14"/>
  <c r="P234" i="14"/>
  <c r="Q234" i="14"/>
  <c r="R234" i="14"/>
  <c r="S234" i="14" s="1"/>
  <c r="U234" i="14"/>
  <c r="F235" i="14"/>
  <c r="G235" i="14"/>
  <c r="H235" i="14"/>
  <c r="I235" i="14"/>
  <c r="J235" i="14"/>
  <c r="K235" i="14"/>
  <c r="L235" i="14"/>
  <c r="M235" i="14"/>
  <c r="N235" i="14"/>
  <c r="P235" i="14"/>
  <c r="Q235" i="14"/>
  <c r="R235" i="14"/>
  <c r="S235" i="14" s="1"/>
  <c r="U235" i="14"/>
  <c r="F236" i="14"/>
  <c r="G236" i="14"/>
  <c r="H236" i="14"/>
  <c r="I236" i="14"/>
  <c r="J236" i="14"/>
  <c r="K236" i="14"/>
  <c r="L236" i="14"/>
  <c r="M236" i="14"/>
  <c r="N236" i="14"/>
  <c r="P236" i="14"/>
  <c r="Q236" i="14"/>
  <c r="R236" i="14"/>
  <c r="S236" i="14" s="1"/>
  <c r="U236" i="14"/>
  <c r="F237" i="14"/>
  <c r="G237" i="14"/>
  <c r="H237" i="14"/>
  <c r="I237" i="14"/>
  <c r="J237" i="14"/>
  <c r="K237" i="14"/>
  <c r="L237" i="14"/>
  <c r="M237" i="14"/>
  <c r="N237" i="14"/>
  <c r="P237" i="14"/>
  <c r="Q237" i="14"/>
  <c r="R237" i="14"/>
  <c r="S237" i="14" s="1"/>
  <c r="U237" i="14"/>
  <c r="F238" i="14"/>
  <c r="G238" i="14"/>
  <c r="H238" i="14"/>
  <c r="I238" i="14"/>
  <c r="J238" i="14"/>
  <c r="K238" i="14"/>
  <c r="L238" i="14"/>
  <c r="M238" i="14"/>
  <c r="N238" i="14"/>
  <c r="P238" i="14"/>
  <c r="Q238" i="14"/>
  <c r="R238" i="14"/>
  <c r="S238" i="14" s="1"/>
  <c r="U238" i="14"/>
  <c r="F239" i="14"/>
  <c r="G239" i="14"/>
  <c r="H239" i="14"/>
  <c r="I239" i="14"/>
  <c r="J239" i="14"/>
  <c r="K239" i="14"/>
  <c r="L239" i="14"/>
  <c r="M239" i="14"/>
  <c r="N239" i="14"/>
  <c r="P239" i="14"/>
  <c r="Q239" i="14"/>
  <c r="R239" i="14"/>
  <c r="S239" i="14" s="1"/>
  <c r="U239" i="14"/>
  <c r="F240" i="14"/>
  <c r="G240" i="14"/>
  <c r="H240" i="14"/>
  <c r="I240" i="14"/>
  <c r="J240" i="14"/>
  <c r="K240" i="14"/>
  <c r="L240" i="14"/>
  <c r="M240" i="14"/>
  <c r="N240" i="14"/>
  <c r="P240" i="14"/>
  <c r="Q240" i="14"/>
  <c r="R240" i="14"/>
  <c r="S240" i="14" s="1"/>
  <c r="U240" i="14"/>
  <c r="F241" i="14"/>
  <c r="G241" i="14"/>
  <c r="H241" i="14"/>
  <c r="I241" i="14"/>
  <c r="J241" i="14"/>
  <c r="K241" i="14"/>
  <c r="L241" i="14"/>
  <c r="M241" i="14"/>
  <c r="N241" i="14"/>
  <c r="P241" i="14"/>
  <c r="Q241" i="14"/>
  <c r="R241" i="14"/>
  <c r="S241" i="14" s="1"/>
  <c r="U241" i="14"/>
  <c r="F242" i="14"/>
  <c r="G242" i="14"/>
  <c r="H242" i="14"/>
  <c r="I242" i="14"/>
  <c r="J242" i="14"/>
  <c r="K242" i="14"/>
  <c r="L242" i="14"/>
  <c r="M242" i="14"/>
  <c r="N242" i="14"/>
  <c r="P242" i="14"/>
  <c r="Q242" i="14"/>
  <c r="R242" i="14"/>
  <c r="S242" i="14" s="1"/>
  <c r="U242" i="14"/>
  <c r="F243" i="14"/>
  <c r="G243" i="14"/>
  <c r="H243" i="14"/>
  <c r="I243" i="14"/>
  <c r="J243" i="14"/>
  <c r="K243" i="14"/>
  <c r="L243" i="14"/>
  <c r="M243" i="14"/>
  <c r="N243" i="14"/>
  <c r="P243" i="14"/>
  <c r="Q243" i="14"/>
  <c r="R243" i="14"/>
  <c r="S243" i="14" s="1"/>
  <c r="U243" i="14"/>
  <c r="F244" i="14"/>
  <c r="G244" i="14"/>
  <c r="H244" i="14"/>
  <c r="I244" i="14"/>
  <c r="J244" i="14"/>
  <c r="K244" i="14"/>
  <c r="L244" i="14"/>
  <c r="M244" i="14"/>
  <c r="N244" i="14"/>
  <c r="P244" i="14"/>
  <c r="Q244" i="14"/>
  <c r="R244" i="14"/>
  <c r="S244" i="14" s="1"/>
  <c r="U244" i="14"/>
  <c r="F245" i="14"/>
  <c r="G245" i="14"/>
  <c r="H245" i="14"/>
  <c r="I245" i="14"/>
  <c r="J245" i="14"/>
  <c r="K245" i="14"/>
  <c r="L245" i="14"/>
  <c r="M245" i="14"/>
  <c r="N245" i="14"/>
  <c r="P245" i="14"/>
  <c r="Q245" i="14"/>
  <c r="R245" i="14"/>
  <c r="S245" i="14" s="1"/>
  <c r="U245" i="14"/>
  <c r="F246" i="14"/>
  <c r="G246" i="14"/>
  <c r="H246" i="14"/>
  <c r="I246" i="14"/>
  <c r="J246" i="14"/>
  <c r="K246" i="14"/>
  <c r="L246" i="14"/>
  <c r="M246" i="14"/>
  <c r="N246" i="14"/>
  <c r="P246" i="14"/>
  <c r="Q246" i="14"/>
  <c r="R246" i="14"/>
  <c r="S246" i="14" s="1"/>
  <c r="U246" i="14"/>
  <c r="F247" i="14"/>
  <c r="G247" i="14"/>
  <c r="H247" i="14"/>
  <c r="I247" i="14"/>
  <c r="J247" i="14"/>
  <c r="K247" i="14"/>
  <c r="L247" i="14"/>
  <c r="M247" i="14"/>
  <c r="N247" i="14"/>
  <c r="P247" i="14"/>
  <c r="Q247" i="14"/>
  <c r="R247" i="14"/>
  <c r="S247" i="14" s="1"/>
  <c r="U247" i="14"/>
  <c r="F248" i="14"/>
  <c r="G248" i="14"/>
  <c r="H248" i="14"/>
  <c r="I248" i="14"/>
  <c r="J248" i="14"/>
  <c r="K248" i="14"/>
  <c r="L248" i="14"/>
  <c r="M248" i="14"/>
  <c r="N248" i="14"/>
  <c r="P248" i="14"/>
  <c r="Q248" i="14"/>
  <c r="R248" i="14"/>
  <c r="S248" i="14" s="1"/>
  <c r="U248" i="14"/>
  <c r="F249" i="14"/>
  <c r="G249" i="14"/>
  <c r="H249" i="14"/>
  <c r="I249" i="14"/>
  <c r="J249" i="14"/>
  <c r="K249" i="14"/>
  <c r="L249" i="14"/>
  <c r="M249" i="14"/>
  <c r="N249" i="14"/>
  <c r="P249" i="14"/>
  <c r="Q249" i="14"/>
  <c r="R249" i="14"/>
  <c r="S249" i="14" s="1"/>
  <c r="F250" i="14"/>
  <c r="G250" i="14"/>
  <c r="H250" i="14"/>
  <c r="I250" i="14"/>
  <c r="J250" i="14"/>
  <c r="K250" i="14"/>
  <c r="L250" i="14"/>
  <c r="M250" i="14"/>
  <c r="N250" i="14"/>
  <c r="P250" i="14"/>
  <c r="Q250" i="14"/>
  <c r="R250" i="14"/>
  <c r="S250" i="14" s="1"/>
  <c r="U250" i="14"/>
  <c r="F251" i="14"/>
  <c r="G251" i="14"/>
  <c r="H251" i="14"/>
  <c r="I251" i="14"/>
  <c r="J251" i="14"/>
  <c r="K251" i="14"/>
  <c r="L251" i="14"/>
  <c r="M251" i="14"/>
  <c r="N251" i="14"/>
  <c r="P251" i="14"/>
  <c r="Q251" i="14"/>
  <c r="R251" i="14"/>
  <c r="S251" i="14" s="1"/>
  <c r="U251" i="14"/>
  <c r="F252" i="14"/>
  <c r="G252" i="14"/>
  <c r="H252" i="14"/>
  <c r="I252" i="14"/>
  <c r="J252" i="14"/>
  <c r="K252" i="14"/>
  <c r="L252" i="14"/>
  <c r="M252" i="14"/>
  <c r="N252" i="14"/>
  <c r="P252" i="14"/>
  <c r="Q252" i="14"/>
  <c r="R252" i="14"/>
  <c r="S252" i="14" s="1"/>
  <c r="U252" i="14"/>
  <c r="F253" i="14"/>
  <c r="G253" i="14"/>
  <c r="H253" i="14"/>
  <c r="I253" i="14"/>
  <c r="J253" i="14"/>
  <c r="K253" i="14"/>
  <c r="L253" i="14"/>
  <c r="M253" i="14"/>
  <c r="N253" i="14"/>
  <c r="P253" i="14"/>
  <c r="Q253" i="14"/>
  <c r="R253" i="14"/>
  <c r="S253" i="14" s="1"/>
  <c r="U253" i="14"/>
  <c r="F254" i="14"/>
  <c r="G254" i="14"/>
  <c r="H254" i="14"/>
  <c r="I254" i="14"/>
  <c r="J254" i="14"/>
  <c r="K254" i="14"/>
  <c r="L254" i="14"/>
  <c r="M254" i="14"/>
  <c r="N254" i="14"/>
  <c r="P254" i="14"/>
  <c r="Q254" i="14"/>
  <c r="R254" i="14"/>
  <c r="S254" i="14" s="1"/>
  <c r="U254" i="14"/>
  <c r="F255" i="14"/>
  <c r="G255" i="14"/>
  <c r="H255" i="14"/>
  <c r="I255" i="14"/>
  <c r="J255" i="14"/>
  <c r="K255" i="14"/>
  <c r="L255" i="14"/>
  <c r="M255" i="14"/>
  <c r="N255" i="14"/>
  <c r="P255" i="14"/>
  <c r="Q255" i="14"/>
  <c r="R255" i="14"/>
  <c r="S255" i="14" s="1"/>
  <c r="U255" i="14"/>
  <c r="F256" i="14"/>
  <c r="G256" i="14"/>
  <c r="H256" i="14"/>
  <c r="I256" i="14"/>
  <c r="J256" i="14"/>
  <c r="K256" i="14"/>
  <c r="L256" i="14"/>
  <c r="M256" i="14"/>
  <c r="N256" i="14"/>
  <c r="P256" i="14"/>
  <c r="Q256" i="14"/>
  <c r="R256" i="14"/>
  <c r="S256" i="14" s="1"/>
  <c r="U256" i="14"/>
  <c r="F257" i="14"/>
  <c r="G257" i="14"/>
  <c r="H257" i="14"/>
  <c r="I257" i="14"/>
  <c r="J257" i="14"/>
  <c r="K257" i="14"/>
  <c r="L257" i="14"/>
  <c r="M257" i="14"/>
  <c r="N257" i="14"/>
  <c r="P257" i="14"/>
  <c r="Q257" i="14"/>
  <c r="R257" i="14"/>
  <c r="S257" i="14" s="1"/>
  <c r="U257" i="14"/>
  <c r="F258" i="14"/>
  <c r="G258" i="14"/>
  <c r="H258" i="14"/>
  <c r="I258" i="14"/>
  <c r="J258" i="14"/>
  <c r="K258" i="14"/>
  <c r="L258" i="14"/>
  <c r="M258" i="14"/>
  <c r="N258" i="14"/>
  <c r="P258" i="14"/>
  <c r="Q258" i="14"/>
  <c r="R258" i="14"/>
  <c r="S258" i="14" s="1"/>
  <c r="U258" i="14"/>
  <c r="F259" i="14"/>
  <c r="G259" i="14"/>
  <c r="H259" i="14"/>
  <c r="I259" i="14"/>
  <c r="J259" i="14"/>
  <c r="K259" i="14"/>
  <c r="L259" i="14"/>
  <c r="M259" i="14"/>
  <c r="N259" i="14"/>
  <c r="P259" i="14"/>
  <c r="Q259" i="14"/>
  <c r="R259" i="14"/>
  <c r="S259" i="14" s="1"/>
  <c r="U259" i="14"/>
  <c r="F260" i="14"/>
  <c r="G260" i="14"/>
  <c r="H260" i="14"/>
  <c r="I260" i="14"/>
  <c r="J260" i="14"/>
  <c r="K260" i="14"/>
  <c r="L260" i="14"/>
  <c r="M260" i="14"/>
  <c r="N260" i="14"/>
  <c r="P260" i="14"/>
  <c r="Q260" i="14"/>
  <c r="R260" i="14"/>
  <c r="S260" i="14" s="1"/>
  <c r="U260" i="14"/>
  <c r="F261" i="14"/>
  <c r="G261" i="14"/>
  <c r="H261" i="14"/>
  <c r="I261" i="14"/>
  <c r="J261" i="14"/>
  <c r="K261" i="14"/>
  <c r="L261" i="14"/>
  <c r="M261" i="14"/>
  <c r="N261" i="14"/>
  <c r="P261" i="14"/>
  <c r="Q261" i="14"/>
  <c r="R261" i="14"/>
  <c r="S261" i="14" s="1"/>
  <c r="U261" i="14"/>
  <c r="F262" i="14"/>
  <c r="G262" i="14"/>
  <c r="H262" i="14"/>
  <c r="I262" i="14"/>
  <c r="J262" i="14"/>
  <c r="K262" i="14"/>
  <c r="L262" i="14"/>
  <c r="M262" i="14"/>
  <c r="N262" i="14"/>
  <c r="P262" i="14"/>
  <c r="Q262" i="14"/>
  <c r="R262" i="14"/>
  <c r="S262" i="14" s="1"/>
  <c r="U262" i="14"/>
  <c r="F263" i="14"/>
  <c r="G263" i="14"/>
  <c r="H263" i="14"/>
  <c r="I263" i="14"/>
  <c r="J263" i="14"/>
  <c r="K263" i="14"/>
  <c r="L263" i="14"/>
  <c r="M263" i="14"/>
  <c r="N263" i="14"/>
  <c r="P263" i="14"/>
  <c r="Q263" i="14"/>
  <c r="R263" i="14"/>
  <c r="S263" i="14" s="1"/>
  <c r="U263" i="14"/>
  <c r="F264" i="14"/>
  <c r="G264" i="14"/>
  <c r="H264" i="14"/>
  <c r="I264" i="14"/>
  <c r="J264" i="14"/>
  <c r="K264" i="14"/>
  <c r="L264" i="14"/>
  <c r="M264" i="14"/>
  <c r="N264" i="14"/>
  <c r="P264" i="14"/>
  <c r="Q264" i="14"/>
  <c r="R264" i="14"/>
  <c r="S264" i="14" s="1"/>
  <c r="U264" i="14"/>
  <c r="F265" i="14"/>
  <c r="G265" i="14"/>
  <c r="H265" i="14"/>
  <c r="I265" i="14"/>
  <c r="J265" i="14"/>
  <c r="K265" i="14"/>
  <c r="L265" i="14"/>
  <c r="M265" i="14"/>
  <c r="N265" i="14"/>
  <c r="P265" i="14"/>
  <c r="Q265" i="14"/>
  <c r="R265" i="14"/>
  <c r="S265" i="14" s="1"/>
  <c r="U265" i="14"/>
  <c r="F266" i="14"/>
  <c r="G266" i="14"/>
  <c r="H266" i="14"/>
  <c r="I266" i="14"/>
  <c r="J266" i="14"/>
  <c r="K266" i="14"/>
  <c r="L266" i="14"/>
  <c r="M266" i="14"/>
  <c r="N266" i="14"/>
  <c r="P266" i="14"/>
  <c r="Q266" i="14"/>
  <c r="R266" i="14"/>
  <c r="S266" i="14" s="1"/>
  <c r="U266" i="14"/>
  <c r="F267" i="14"/>
  <c r="G267" i="14"/>
  <c r="H267" i="14"/>
  <c r="I267" i="14"/>
  <c r="J267" i="14"/>
  <c r="K267" i="14"/>
  <c r="L267" i="14"/>
  <c r="M267" i="14"/>
  <c r="N267" i="14"/>
  <c r="P267" i="14"/>
  <c r="Q267" i="14"/>
  <c r="R267" i="14"/>
  <c r="S267" i="14" s="1"/>
  <c r="U267" i="14"/>
  <c r="F268" i="14"/>
  <c r="G268" i="14"/>
  <c r="H268" i="14"/>
  <c r="I268" i="14"/>
  <c r="J268" i="14"/>
  <c r="K268" i="14"/>
  <c r="L268" i="14"/>
  <c r="M268" i="14"/>
  <c r="N268" i="14"/>
  <c r="P268" i="14"/>
  <c r="Q268" i="14"/>
  <c r="R268" i="14"/>
  <c r="S268" i="14" s="1"/>
  <c r="U268" i="14"/>
  <c r="F269" i="14"/>
  <c r="U269" i="14" s="1"/>
  <c r="G269" i="14"/>
  <c r="H269" i="14"/>
  <c r="I269" i="14"/>
  <c r="J269" i="14"/>
  <c r="K269" i="14"/>
  <c r="L269" i="14"/>
  <c r="M269" i="14"/>
  <c r="N269" i="14"/>
  <c r="P269" i="14"/>
  <c r="Q269" i="14"/>
  <c r="R269" i="14"/>
  <c r="S269" i="14" s="1"/>
  <c r="F270" i="14"/>
  <c r="G270" i="14"/>
  <c r="H270" i="14"/>
  <c r="I270" i="14"/>
  <c r="J270" i="14"/>
  <c r="K270" i="14"/>
  <c r="L270" i="14"/>
  <c r="M270" i="14"/>
  <c r="N270" i="14"/>
  <c r="P270" i="14"/>
  <c r="Q270" i="14"/>
  <c r="R270" i="14"/>
  <c r="S270" i="14" s="1"/>
  <c r="U270" i="14"/>
  <c r="F271" i="14"/>
  <c r="G271" i="14"/>
  <c r="H271" i="14"/>
  <c r="I271" i="14"/>
  <c r="J271" i="14"/>
  <c r="K271" i="14"/>
  <c r="L271" i="14"/>
  <c r="M271" i="14"/>
  <c r="N271" i="14"/>
  <c r="P271" i="14"/>
  <c r="Q271" i="14"/>
  <c r="R271" i="14"/>
  <c r="S271" i="14" s="1"/>
  <c r="U271" i="14"/>
  <c r="F272" i="14"/>
  <c r="G272" i="14"/>
  <c r="H272" i="14"/>
  <c r="I272" i="14"/>
  <c r="J272" i="14"/>
  <c r="K272" i="14"/>
  <c r="L272" i="14"/>
  <c r="M272" i="14"/>
  <c r="N272" i="14"/>
  <c r="P272" i="14"/>
  <c r="Q272" i="14"/>
  <c r="R272" i="14"/>
  <c r="U272" i="14"/>
  <c r="F273" i="14"/>
  <c r="G273" i="14"/>
  <c r="H273" i="14"/>
  <c r="I273" i="14"/>
  <c r="J273" i="14"/>
  <c r="K273" i="14"/>
  <c r="L273" i="14"/>
  <c r="M273" i="14"/>
  <c r="N273" i="14"/>
  <c r="P273" i="14"/>
  <c r="Q273" i="14"/>
  <c r="R273" i="14"/>
  <c r="S273" i="14" s="1"/>
  <c r="U273" i="14"/>
  <c r="F274" i="14"/>
  <c r="G274" i="14"/>
  <c r="H274" i="14"/>
  <c r="I274" i="14"/>
  <c r="J274" i="14"/>
  <c r="K274" i="14"/>
  <c r="L274" i="14"/>
  <c r="M274" i="14"/>
  <c r="N274" i="14"/>
  <c r="P274" i="14"/>
  <c r="Q274" i="14"/>
  <c r="R274" i="14"/>
  <c r="S274" i="14" s="1"/>
  <c r="U274" i="14"/>
  <c r="F275" i="14"/>
  <c r="G275" i="14"/>
  <c r="H275" i="14"/>
  <c r="I275" i="14"/>
  <c r="J275" i="14"/>
  <c r="K275" i="14"/>
  <c r="L275" i="14"/>
  <c r="M275" i="14"/>
  <c r="N275" i="14"/>
  <c r="P275" i="14"/>
  <c r="Q275" i="14"/>
  <c r="R275" i="14"/>
  <c r="U275" i="14"/>
  <c r="F276" i="14"/>
  <c r="G276" i="14"/>
  <c r="H276" i="14"/>
  <c r="I276" i="14"/>
  <c r="J276" i="14"/>
  <c r="K276" i="14"/>
  <c r="L276" i="14"/>
  <c r="M276" i="14"/>
  <c r="N276" i="14"/>
  <c r="P276" i="14"/>
  <c r="Q276" i="14"/>
  <c r="R276" i="14"/>
  <c r="S276" i="14" s="1"/>
  <c r="U276" i="14"/>
  <c r="F277" i="14"/>
  <c r="G277" i="14"/>
  <c r="H277" i="14"/>
  <c r="I277" i="14"/>
  <c r="J277" i="14"/>
  <c r="K277" i="14"/>
  <c r="L277" i="14"/>
  <c r="M277" i="14"/>
  <c r="N277" i="14"/>
  <c r="P277" i="14"/>
  <c r="Q277" i="14"/>
  <c r="R277" i="14"/>
  <c r="S277" i="14" s="1"/>
  <c r="U277" i="14"/>
  <c r="F278" i="14"/>
  <c r="G278" i="14"/>
  <c r="H278" i="14"/>
  <c r="I278" i="14"/>
  <c r="J278" i="14"/>
  <c r="K278" i="14"/>
  <c r="L278" i="14"/>
  <c r="M278" i="14"/>
  <c r="N278" i="14"/>
  <c r="P278" i="14"/>
  <c r="Q278" i="14"/>
  <c r="R278" i="14"/>
  <c r="S278" i="14" s="1"/>
  <c r="U278" i="14"/>
  <c r="F279" i="14"/>
  <c r="G279" i="14"/>
  <c r="H279" i="14"/>
  <c r="I279" i="14"/>
  <c r="J279" i="14"/>
  <c r="K279" i="14"/>
  <c r="L279" i="14"/>
  <c r="M279" i="14"/>
  <c r="N279" i="14"/>
  <c r="P279" i="14"/>
  <c r="Q279" i="14"/>
  <c r="R279" i="14"/>
  <c r="S279" i="14" s="1"/>
  <c r="U279" i="14"/>
  <c r="F280" i="14"/>
  <c r="G280" i="14"/>
  <c r="H280" i="14"/>
  <c r="I280" i="14"/>
  <c r="J280" i="14"/>
  <c r="K280" i="14"/>
  <c r="L280" i="14"/>
  <c r="M280" i="14"/>
  <c r="N280" i="14"/>
  <c r="P280" i="14"/>
  <c r="Q280" i="14"/>
  <c r="R280" i="14"/>
  <c r="S280" i="14" s="1"/>
  <c r="U280" i="14"/>
  <c r="F281" i="14"/>
  <c r="G281" i="14"/>
  <c r="H281" i="14"/>
  <c r="I281" i="14"/>
  <c r="J281" i="14"/>
  <c r="K281" i="14"/>
  <c r="L281" i="14"/>
  <c r="M281" i="14"/>
  <c r="N281" i="14"/>
  <c r="P281" i="14"/>
  <c r="Q281" i="14"/>
  <c r="R281" i="14"/>
  <c r="S281" i="14" s="1"/>
  <c r="U281" i="14"/>
  <c r="F282" i="14"/>
  <c r="G282" i="14"/>
  <c r="H282" i="14"/>
  <c r="I282" i="14"/>
  <c r="J282" i="14"/>
  <c r="K282" i="14"/>
  <c r="L282" i="14"/>
  <c r="M282" i="14"/>
  <c r="N282" i="14"/>
  <c r="P282" i="14"/>
  <c r="Q282" i="14"/>
  <c r="R282" i="14"/>
  <c r="S282" i="14" s="1"/>
  <c r="U282" i="14"/>
  <c r="F283" i="14"/>
  <c r="G283" i="14"/>
  <c r="H283" i="14"/>
  <c r="I283" i="14"/>
  <c r="J283" i="14"/>
  <c r="K283" i="14"/>
  <c r="L283" i="14"/>
  <c r="M283" i="14"/>
  <c r="N283" i="14"/>
  <c r="P283" i="14"/>
  <c r="Q283" i="14"/>
  <c r="R283" i="14"/>
  <c r="S283" i="14" s="1"/>
  <c r="U283" i="14"/>
  <c r="F284" i="14"/>
  <c r="G284" i="14"/>
  <c r="H284" i="14"/>
  <c r="I284" i="14"/>
  <c r="J284" i="14"/>
  <c r="K284" i="14"/>
  <c r="L284" i="14"/>
  <c r="M284" i="14"/>
  <c r="N284" i="14"/>
  <c r="P284" i="14"/>
  <c r="Q284" i="14"/>
  <c r="R284" i="14"/>
  <c r="S284" i="14" s="1"/>
  <c r="U284" i="14"/>
  <c r="F285" i="14"/>
  <c r="G285" i="14"/>
  <c r="H285" i="14"/>
  <c r="I285" i="14"/>
  <c r="J285" i="14"/>
  <c r="K285" i="14"/>
  <c r="L285" i="14"/>
  <c r="M285" i="14"/>
  <c r="N285" i="14"/>
  <c r="P285" i="14"/>
  <c r="Q285" i="14"/>
  <c r="R285" i="14"/>
  <c r="S285" i="14" s="1"/>
  <c r="F286" i="14"/>
  <c r="G286" i="14"/>
  <c r="H286" i="14"/>
  <c r="I286" i="14"/>
  <c r="J286" i="14"/>
  <c r="K286" i="14"/>
  <c r="L286" i="14"/>
  <c r="M286" i="14"/>
  <c r="N286" i="14"/>
  <c r="P286" i="14"/>
  <c r="Q286" i="14"/>
  <c r="R286" i="14"/>
  <c r="S286" i="14" s="1"/>
  <c r="U286" i="14"/>
  <c r="F287" i="14"/>
  <c r="G287" i="14"/>
  <c r="H287" i="14"/>
  <c r="I287" i="14"/>
  <c r="J287" i="14"/>
  <c r="K287" i="14"/>
  <c r="L287" i="14"/>
  <c r="M287" i="14"/>
  <c r="N287" i="14"/>
  <c r="P287" i="14"/>
  <c r="Q287" i="14"/>
  <c r="R287" i="14"/>
  <c r="S287" i="14" s="1"/>
  <c r="U287" i="14"/>
  <c r="F288" i="14"/>
  <c r="G288" i="14"/>
  <c r="H288" i="14"/>
  <c r="I288" i="14"/>
  <c r="J288" i="14"/>
  <c r="K288" i="14"/>
  <c r="L288" i="14"/>
  <c r="M288" i="14"/>
  <c r="N288" i="14"/>
  <c r="P288" i="14"/>
  <c r="Q288" i="14"/>
  <c r="R288" i="14"/>
  <c r="S288" i="14" s="1"/>
  <c r="U288" i="14"/>
  <c r="F289" i="14"/>
  <c r="G289" i="14"/>
  <c r="H289" i="14"/>
  <c r="I289" i="14"/>
  <c r="J289" i="14"/>
  <c r="K289" i="14"/>
  <c r="L289" i="14"/>
  <c r="M289" i="14"/>
  <c r="N289" i="14"/>
  <c r="P289" i="14"/>
  <c r="Q289" i="14"/>
  <c r="R289" i="14"/>
  <c r="U289" i="14"/>
  <c r="F290" i="14"/>
  <c r="G290" i="14"/>
  <c r="H290" i="14"/>
  <c r="I290" i="14"/>
  <c r="J290" i="14"/>
  <c r="K290" i="14"/>
  <c r="L290" i="14"/>
  <c r="M290" i="14"/>
  <c r="N290" i="14"/>
  <c r="P290" i="14"/>
  <c r="Q290" i="14"/>
  <c r="R290" i="14"/>
  <c r="S290" i="14" s="1"/>
  <c r="U290" i="14"/>
  <c r="F291" i="14"/>
  <c r="G291" i="14"/>
  <c r="H291" i="14"/>
  <c r="I291" i="14"/>
  <c r="J291" i="14"/>
  <c r="K291" i="14"/>
  <c r="L291" i="14"/>
  <c r="M291" i="14"/>
  <c r="N291" i="14"/>
  <c r="P291" i="14"/>
  <c r="Q291" i="14"/>
  <c r="R291" i="14"/>
  <c r="S291" i="14" s="1"/>
  <c r="U291" i="14"/>
  <c r="F292" i="14"/>
  <c r="G292" i="14"/>
  <c r="H292" i="14"/>
  <c r="I292" i="14"/>
  <c r="J292" i="14"/>
  <c r="K292" i="14"/>
  <c r="L292" i="14"/>
  <c r="M292" i="14"/>
  <c r="N292" i="14"/>
  <c r="P292" i="14"/>
  <c r="Q292" i="14"/>
  <c r="R292" i="14"/>
  <c r="S292" i="14" s="1"/>
  <c r="U292" i="14"/>
  <c r="F293" i="14"/>
  <c r="G293" i="14"/>
  <c r="H293" i="14"/>
  <c r="I293" i="14"/>
  <c r="J293" i="14"/>
  <c r="K293" i="14"/>
  <c r="L293" i="14"/>
  <c r="M293" i="14"/>
  <c r="N293" i="14"/>
  <c r="P293" i="14"/>
  <c r="Q293" i="14"/>
  <c r="R293" i="14"/>
  <c r="S293" i="14" s="1"/>
  <c r="U293" i="14"/>
  <c r="F294" i="14"/>
  <c r="G294" i="14"/>
  <c r="H294" i="14"/>
  <c r="I294" i="14"/>
  <c r="J294" i="14"/>
  <c r="K294" i="14"/>
  <c r="L294" i="14"/>
  <c r="M294" i="14"/>
  <c r="N294" i="14"/>
  <c r="P294" i="14"/>
  <c r="Q294" i="14"/>
  <c r="R294" i="14"/>
  <c r="S294" i="14" s="1"/>
  <c r="U294" i="14"/>
  <c r="F295" i="14"/>
  <c r="G295" i="14"/>
  <c r="H295" i="14"/>
  <c r="I295" i="14"/>
  <c r="J295" i="14"/>
  <c r="K295" i="14"/>
  <c r="L295" i="14"/>
  <c r="M295" i="14"/>
  <c r="N295" i="14"/>
  <c r="P295" i="14"/>
  <c r="Q295" i="14"/>
  <c r="R295" i="14"/>
  <c r="S295" i="14" s="1"/>
  <c r="U295" i="14"/>
  <c r="F296" i="14"/>
  <c r="G296" i="14"/>
  <c r="H296" i="14"/>
  <c r="I296" i="14"/>
  <c r="J296" i="14"/>
  <c r="K296" i="14"/>
  <c r="L296" i="14"/>
  <c r="M296" i="14"/>
  <c r="N296" i="14"/>
  <c r="P296" i="14"/>
  <c r="Q296" i="14"/>
  <c r="R296" i="14"/>
  <c r="S296" i="14" s="1"/>
  <c r="U296" i="14"/>
  <c r="F297" i="14"/>
  <c r="G297" i="14"/>
  <c r="H297" i="14"/>
  <c r="I297" i="14"/>
  <c r="J297" i="14"/>
  <c r="K297" i="14"/>
  <c r="L297" i="14"/>
  <c r="M297" i="14"/>
  <c r="N297" i="14"/>
  <c r="P297" i="14"/>
  <c r="Q297" i="14"/>
  <c r="R297" i="14"/>
  <c r="S297" i="14" s="1"/>
  <c r="U297" i="14"/>
  <c r="F298" i="14"/>
  <c r="G298" i="14"/>
  <c r="H298" i="14"/>
  <c r="I298" i="14"/>
  <c r="J298" i="14"/>
  <c r="K298" i="14"/>
  <c r="L298" i="14"/>
  <c r="M298" i="14"/>
  <c r="N298" i="14"/>
  <c r="P298" i="14"/>
  <c r="Q298" i="14"/>
  <c r="R298" i="14"/>
  <c r="S298" i="14" s="1"/>
  <c r="U298" i="14"/>
  <c r="F299" i="14"/>
  <c r="G299" i="14"/>
  <c r="H299" i="14"/>
  <c r="I299" i="14"/>
  <c r="J299" i="14"/>
  <c r="K299" i="14"/>
  <c r="L299" i="14"/>
  <c r="M299" i="14"/>
  <c r="N299" i="14"/>
  <c r="P299" i="14"/>
  <c r="Q299" i="14"/>
  <c r="R299" i="14"/>
  <c r="S299" i="14" s="1"/>
  <c r="U299" i="14"/>
  <c r="F300" i="14"/>
  <c r="G300" i="14"/>
  <c r="H300" i="14"/>
  <c r="I300" i="14"/>
  <c r="J300" i="14"/>
  <c r="K300" i="14"/>
  <c r="L300" i="14"/>
  <c r="M300" i="14"/>
  <c r="N300" i="14"/>
  <c r="P300" i="14"/>
  <c r="Q300" i="14"/>
  <c r="R300" i="14"/>
  <c r="S300" i="14" s="1"/>
  <c r="U300" i="14"/>
  <c r="F301" i="14"/>
  <c r="G301" i="14"/>
  <c r="H301" i="14"/>
  <c r="I301" i="14"/>
  <c r="J301" i="14"/>
  <c r="K301" i="14"/>
  <c r="L301" i="14"/>
  <c r="M301" i="14"/>
  <c r="N301" i="14"/>
  <c r="P301" i="14"/>
  <c r="Q301" i="14"/>
  <c r="R301" i="14"/>
  <c r="U301" i="14"/>
  <c r="F302" i="14"/>
  <c r="G302" i="14"/>
  <c r="H302" i="14"/>
  <c r="I302" i="14"/>
  <c r="J302" i="14"/>
  <c r="K302" i="14"/>
  <c r="L302" i="14"/>
  <c r="M302" i="14"/>
  <c r="N302" i="14"/>
  <c r="P302" i="14"/>
  <c r="Q302" i="14"/>
  <c r="R302" i="14"/>
  <c r="S302" i="14" s="1"/>
  <c r="U302" i="14"/>
  <c r="F303" i="14"/>
  <c r="G303" i="14"/>
  <c r="H303" i="14"/>
  <c r="I303" i="14"/>
  <c r="J303" i="14"/>
  <c r="K303" i="14"/>
  <c r="L303" i="14"/>
  <c r="M303" i="14"/>
  <c r="N303" i="14"/>
  <c r="P303" i="14"/>
  <c r="Q303" i="14"/>
  <c r="R303" i="14"/>
  <c r="S303" i="14" s="1"/>
  <c r="U303" i="14"/>
  <c r="F304" i="14"/>
  <c r="G304" i="14"/>
  <c r="H304" i="14"/>
  <c r="I304" i="14"/>
  <c r="J304" i="14"/>
  <c r="K304" i="14"/>
  <c r="L304" i="14"/>
  <c r="M304" i="14"/>
  <c r="N304" i="14"/>
  <c r="P304" i="14"/>
  <c r="Q304" i="14"/>
  <c r="R304" i="14"/>
  <c r="S304" i="14" s="1"/>
  <c r="U304" i="14"/>
  <c r="F305" i="14"/>
  <c r="G305" i="14"/>
  <c r="H305" i="14"/>
  <c r="I305" i="14"/>
  <c r="J305" i="14"/>
  <c r="K305" i="14"/>
  <c r="L305" i="14"/>
  <c r="M305" i="14"/>
  <c r="N305" i="14"/>
  <c r="P305" i="14"/>
  <c r="Q305" i="14"/>
  <c r="R305" i="14"/>
  <c r="S305" i="14" s="1"/>
  <c r="U305" i="14"/>
  <c r="F306" i="14"/>
  <c r="G306" i="14"/>
  <c r="H306" i="14"/>
  <c r="I306" i="14"/>
  <c r="J306" i="14"/>
  <c r="K306" i="14"/>
  <c r="L306" i="14"/>
  <c r="M306" i="14"/>
  <c r="N306" i="14"/>
  <c r="P306" i="14"/>
  <c r="Q306" i="14"/>
  <c r="R306" i="14"/>
  <c r="S306" i="14" s="1"/>
  <c r="U306" i="14"/>
  <c r="F307" i="14"/>
  <c r="G307" i="14"/>
  <c r="H307" i="14"/>
  <c r="I307" i="14"/>
  <c r="J307" i="14"/>
  <c r="K307" i="14"/>
  <c r="L307" i="14"/>
  <c r="M307" i="14"/>
  <c r="N307" i="14"/>
  <c r="P307" i="14"/>
  <c r="Q307" i="14"/>
  <c r="R307" i="14"/>
  <c r="S307" i="14" s="1"/>
  <c r="U307" i="14"/>
  <c r="F308" i="14"/>
  <c r="G308" i="14"/>
  <c r="H308" i="14"/>
  <c r="I308" i="14"/>
  <c r="J308" i="14"/>
  <c r="K308" i="14"/>
  <c r="L308" i="14"/>
  <c r="M308" i="14"/>
  <c r="N308" i="14"/>
  <c r="P308" i="14"/>
  <c r="Q308" i="14"/>
  <c r="R308" i="14"/>
  <c r="S308" i="14" s="1"/>
  <c r="U308" i="14"/>
  <c r="F309" i="14"/>
  <c r="G309" i="14"/>
  <c r="H309" i="14"/>
  <c r="I309" i="14"/>
  <c r="J309" i="14"/>
  <c r="K309" i="14"/>
  <c r="L309" i="14"/>
  <c r="M309" i="14"/>
  <c r="N309" i="14"/>
  <c r="P309" i="14"/>
  <c r="Q309" i="14"/>
  <c r="R309" i="14"/>
  <c r="S309" i="14" s="1"/>
  <c r="U309" i="14"/>
  <c r="F310" i="14"/>
  <c r="G310" i="14"/>
  <c r="H310" i="14"/>
  <c r="I310" i="14"/>
  <c r="J310" i="14"/>
  <c r="K310" i="14"/>
  <c r="L310" i="14"/>
  <c r="M310" i="14"/>
  <c r="N310" i="14"/>
  <c r="P310" i="14"/>
  <c r="Q310" i="14"/>
  <c r="R310" i="14"/>
  <c r="S310" i="14" s="1"/>
  <c r="U310" i="14"/>
  <c r="F311" i="14"/>
  <c r="G311" i="14"/>
  <c r="H311" i="14"/>
  <c r="I311" i="14"/>
  <c r="J311" i="14"/>
  <c r="K311" i="14"/>
  <c r="L311" i="14"/>
  <c r="M311" i="14"/>
  <c r="N311" i="14"/>
  <c r="P311" i="14"/>
  <c r="Q311" i="14"/>
  <c r="R311" i="14"/>
  <c r="S311" i="14" s="1"/>
  <c r="U311" i="14"/>
  <c r="F312" i="14"/>
  <c r="G312" i="14"/>
  <c r="H312" i="14"/>
  <c r="I312" i="14"/>
  <c r="J312" i="14"/>
  <c r="K312" i="14"/>
  <c r="L312" i="14"/>
  <c r="M312" i="14"/>
  <c r="N312" i="14"/>
  <c r="P312" i="14"/>
  <c r="Q312" i="14"/>
  <c r="R312" i="14"/>
  <c r="S312" i="14" s="1"/>
  <c r="U312" i="14"/>
  <c r="F313" i="14"/>
  <c r="G313" i="14"/>
  <c r="H313" i="14"/>
  <c r="I313" i="14"/>
  <c r="J313" i="14"/>
  <c r="K313" i="14"/>
  <c r="L313" i="14"/>
  <c r="M313" i="14"/>
  <c r="N313" i="14"/>
  <c r="P313" i="14"/>
  <c r="Q313" i="14"/>
  <c r="R313" i="14"/>
  <c r="S313" i="14" s="1"/>
  <c r="U313" i="14"/>
  <c r="F314" i="14"/>
  <c r="G314" i="14"/>
  <c r="H314" i="14"/>
  <c r="I314" i="14"/>
  <c r="J314" i="14"/>
  <c r="K314" i="14"/>
  <c r="L314" i="14"/>
  <c r="M314" i="14"/>
  <c r="N314" i="14"/>
  <c r="P314" i="14"/>
  <c r="Q314" i="14"/>
  <c r="R314" i="14"/>
  <c r="S314" i="14" s="1"/>
  <c r="U314" i="14"/>
  <c r="F315" i="14"/>
  <c r="G315" i="14"/>
  <c r="H315" i="14"/>
  <c r="I315" i="14"/>
  <c r="J315" i="14"/>
  <c r="K315" i="14"/>
  <c r="L315" i="14"/>
  <c r="M315" i="14"/>
  <c r="N315" i="14"/>
  <c r="P315" i="14"/>
  <c r="Q315" i="14"/>
  <c r="R315" i="14"/>
  <c r="S315" i="14" s="1"/>
  <c r="U315" i="14"/>
  <c r="F316" i="14"/>
  <c r="G316" i="14"/>
  <c r="H316" i="14"/>
  <c r="I316" i="14"/>
  <c r="J316" i="14"/>
  <c r="K316" i="14"/>
  <c r="L316" i="14"/>
  <c r="M316" i="14"/>
  <c r="N316" i="14"/>
  <c r="P316" i="14"/>
  <c r="Q316" i="14"/>
  <c r="R316" i="14"/>
  <c r="S316" i="14" s="1"/>
  <c r="U316" i="14"/>
  <c r="F317" i="14"/>
  <c r="G317" i="14"/>
  <c r="H317" i="14"/>
  <c r="I317" i="14"/>
  <c r="J317" i="14"/>
  <c r="K317" i="14"/>
  <c r="L317" i="14"/>
  <c r="M317" i="14"/>
  <c r="N317" i="14"/>
  <c r="P317" i="14"/>
  <c r="Q317" i="14"/>
  <c r="R317" i="14"/>
  <c r="S317" i="14" s="1"/>
  <c r="U317" i="14"/>
  <c r="F318" i="14"/>
  <c r="G318" i="14"/>
  <c r="H318" i="14"/>
  <c r="I318" i="14"/>
  <c r="J318" i="14"/>
  <c r="K318" i="14"/>
  <c r="L318" i="14"/>
  <c r="M318" i="14"/>
  <c r="N318" i="14"/>
  <c r="P318" i="14"/>
  <c r="Q318" i="14"/>
  <c r="R318" i="14"/>
  <c r="S318" i="14" s="1"/>
  <c r="U318" i="14"/>
  <c r="F319" i="14"/>
  <c r="G319" i="14"/>
  <c r="H319" i="14"/>
  <c r="I319" i="14"/>
  <c r="J319" i="14"/>
  <c r="K319" i="14"/>
  <c r="L319" i="14"/>
  <c r="M319" i="14"/>
  <c r="N319" i="14"/>
  <c r="P319" i="14"/>
  <c r="Q319" i="14"/>
  <c r="R319" i="14"/>
  <c r="S319" i="14" s="1"/>
  <c r="U319" i="14"/>
  <c r="F320" i="14"/>
  <c r="G320" i="14"/>
  <c r="H320" i="14"/>
  <c r="I320" i="14"/>
  <c r="J320" i="14"/>
  <c r="K320" i="14"/>
  <c r="L320" i="14"/>
  <c r="M320" i="14"/>
  <c r="N320" i="14"/>
  <c r="P320" i="14"/>
  <c r="Q320" i="14"/>
  <c r="R320" i="14"/>
  <c r="S320" i="14" s="1"/>
  <c r="U320" i="14"/>
  <c r="F321" i="14"/>
  <c r="G321" i="14"/>
  <c r="H321" i="14"/>
  <c r="I321" i="14"/>
  <c r="J321" i="14"/>
  <c r="K321" i="14"/>
  <c r="L321" i="14"/>
  <c r="M321" i="14"/>
  <c r="N321" i="14"/>
  <c r="P321" i="14"/>
  <c r="Q321" i="14"/>
  <c r="R321" i="14"/>
  <c r="S321" i="14" s="1"/>
  <c r="U321" i="14"/>
  <c r="F322" i="14"/>
  <c r="G322" i="14"/>
  <c r="H322" i="14"/>
  <c r="I322" i="14"/>
  <c r="J322" i="14"/>
  <c r="K322" i="14"/>
  <c r="L322" i="14"/>
  <c r="M322" i="14"/>
  <c r="N322" i="14"/>
  <c r="P322" i="14"/>
  <c r="Q322" i="14"/>
  <c r="R322" i="14"/>
  <c r="S322" i="14" s="1"/>
  <c r="F323" i="14"/>
  <c r="G323" i="14"/>
  <c r="H323" i="14"/>
  <c r="I323" i="14"/>
  <c r="J323" i="14"/>
  <c r="K323" i="14"/>
  <c r="L323" i="14"/>
  <c r="M323" i="14"/>
  <c r="N323" i="14"/>
  <c r="P323" i="14"/>
  <c r="Q323" i="14"/>
  <c r="R323" i="14"/>
  <c r="S323" i="14" s="1"/>
  <c r="U323" i="14"/>
  <c r="F324" i="14"/>
  <c r="G324" i="14"/>
  <c r="H324" i="14"/>
  <c r="I324" i="14"/>
  <c r="J324" i="14"/>
  <c r="K324" i="14"/>
  <c r="L324" i="14"/>
  <c r="M324" i="14"/>
  <c r="N324" i="14"/>
  <c r="P324" i="14"/>
  <c r="Q324" i="14"/>
  <c r="R324" i="14"/>
  <c r="S324" i="14" s="1"/>
  <c r="U324" i="14"/>
  <c r="F325" i="14"/>
  <c r="G325" i="14"/>
  <c r="H325" i="14"/>
  <c r="I325" i="14"/>
  <c r="J325" i="14"/>
  <c r="K325" i="14"/>
  <c r="L325" i="14"/>
  <c r="M325" i="14"/>
  <c r="N325" i="14"/>
  <c r="P325" i="14"/>
  <c r="Q325" i="14"/>
  <c r="R325" i="14"/>
  <c r="S325" i="14" s="1"/>
  <c r="U325" i="14"/>
  <c r="F326" i="14"/>
  <c r="G326" i="14"/>
  <c r="H326" i="14"/>
  <c r="I326" i="14"/>
  <c r="J326" i="14"/>
  <c r="K326" i="14"/>
  <c r="L326" i="14"/>
  <c r="M326" i="14"/>
  <c r="N326" i="14"/>
  <c r="P326" i="14"/>
  <c r="Q326" i="14"/>
  <c r="R326" i="14"/>
  <c r="S326" i="14" s="1"/>
  <c r="U326" i="14"/>
  <c r="F327" i="14"/>
  <c r="G327" i="14"/>
  <c r="H327" i="14"/>
  <c r="I327" i="14"/>
  <c r="J327" i="14"/>
  <c r="K327" i="14"/>
  <c r="L327" i="14"/>
  <c r="M327" i="14"/>
  <c r="N327" i="14"/>
  <c r="P327" i="14"/>
  <c r="Q327" i="14"/>
  <c r="R327" i="14"/>
  <c r="S327" i="14" s="1"/>
  <c r="U327" i="14"/>
  <c r="F328" i="14"/>
  <c r="G328" i="14"/>
  <c r="H328" i="14"/>
  <c r="I328" i="14"/>
  <c r="J328" i="14"/>
  <c r="K328" i="14"/>
  <c r="L328" i="14"/>
  <c r="M328" i="14"/>
  <c r="N328" i="14"/>
  <c r="P328" i="14"/>
  <c r="Q328" i="14"/>
  <c r="R328" i="14"/>
  <c r="S328" i="14" s="1"/>
  <c r="U328" i="14"/>
  <c r="F329" i="14"/>
  <c r="G329" i="14"/>
  <c r="H329" i="14"/>
  <c r="I329" i="14"/>
  <c r="J329" i="14"/>
  <c r="K329" i="14"/>
  <c r="L329" i="14"/>
  <c r="M329" i="14"/>
  <c r="N329" i="14"/>
  <c r="P329" i="14"/>
  <c r="Q329" i="14"/>
  <c r="R329" i="14"/>
  <c r="S329" i="14" s="1"/>
  <c r="U329" i="14"/>
  <c r="F330" i="14"/>
  <c r="G330" i="14"/>
  <c r="H330" i="14"/>
  <c r="I330" i="14"/>
  <c r="J330" i="14"/>
  <c r="K330" i="14"/>
  <c r="L330" i="14"/>
  <c r="M330" i="14"/>
  <c r="N330" i="14"/>
  <c r="P330" i="14"/>
  <c r="Q330" i="14"/>
  <c r="R330" i="14"/>
  <c r="S330" i="14" s="1"/>
  <c r="U330" i="14"/>
  <c r="F331" i="14"/>
  <c r="G331" i="14"/>
  <c r="H331" i="14"/>
  <c r="I331" i="14"/>
  <c r="J331" i="14"/>
  <c r="K331" i="14"/>
  <c r="L331" i="14"/>
  <c r="M331" i="14"/>
  <c r="N331" i="14"/>
  <c r="P331" i="14"/>
  <c r="Q331" i="14"/>
  <c r="R331" i="14"/>
  <c r="S331" i="14" s="1"/>
  <c r="U331" i="14"/>
  <c r="F332" i="14"/>
  <c r="G332" i="14"/>
  <c r="H332" i="14"/>
  <c r="I332" i="14"/>
  <c r="J332" i="14"/>
  <c r="K332" i="14"/>
  <c r="L332" i="14"/>
  <c r="M332" i="14"/>
  <c r="N332" i="14"/>
  <c r="P332" i="14"/>
  <c r="Q332" i="14"/>
  <c r="R332" i="14"/>
  <c r="S332" i="14" s="1"/>
  <c r="U332" i="14"/>
  <c r="F333" i="14"/>
  <c r="G333" i="14"/>
  <c r="H333" i="14"/>
  <c r="I333" i="14"/>
  <c r="J333" i="14"/>
  <c r="K333" i="14"/>
  <c r="L333" i="14"/>
  <c r="M333" i="14"/>
  <c r="N333" i="14"/>
  <c r="P333" i="14"/>
  <c r="Q333" i="14"/>
  <c r="R333" i="14"/>
  <c r="S333" i="14" s="1"/>
  <c r="U333" i="14"/>
  <c r="F334" i="14"/>
  <c r="G334" i="14"/>
  <c r="H334" i="14"/>
  <c r="I334" i="14"/>
  <c r="J334" i="14"/>
  <c r="K334" i="14"/>
  <c r="L334" i="14"/>
  <c r="M334" i="14"/>
  <c r="N334" i="14"/>
  <c r="P334" i="14"/>
  <c r="Q334" i="14"/>
  <c r="R334" i="14"/>
  <c r="S334" i="14" s="1"/>
  <c r="U334" i="14"/>
  <c r="F335" i="14"/>
  <c r="G335" i="14"/>
  <c r="H335" i="14"/>
  <c r="I335" i="14"/>
  <c r="J335" i="14"/>
  <c r="K335" i="14"/>
  <c r="L335" i="14"/>
  <c r="M335" i="14"/>
  <c r="N335" i="14"/>
  <c r="P335" i="14"/>
  <c r="Q335" i="14"/>
  <c r="R335" i="14"/>
  <c r="U335" i="14"/>
  <c r="F336" i="14"/>
  <c r="G336" i="14"/>
  <c r="H336" i="14"/>
  <c r="I336" i="14"/>
  <c r="J336" i="14"/>
  <c r="K336" i="14"/>
  <c r="L336" i="14"/>
  <c r="M336" i="14"/>
  <c r="N336" i="14"/>
  <c r="P336" i="14"/>
  <c r="Q336" i="14"/>
  <c r="R336" i="14"/>
  <c r="S336" i="14" s="1"/>
  <c r="U336" i="14"/>
  <c r="F337" i="14"/>
  <c r="G337" i="14"/>
  <c r="H337" i="14"/>
  <c r="I337" i="14"/>
  <c r="J337" i="14"/>
  <c r="K337" i="14"/>
  <c r="L337" i="14"/>
  <c r="M337" i="14"/>
  <c r="N337" i="14"/>
  <c r="P337" i="14"/>
  <c r="Q337" i="14"/>
  <c r="R337" i="14"/>
  <c r="S337" i="14" s="1"/>
  <c r="U337" i="14"/>
  <c r="F338" i="14"/>
  <c r="G338" i="14"/>
  <c r="H338" i="14"/>
  <c r="I338" i="14"/>
  <c r="J338" i="14"/>
  <c r="K338" i="14"/>
  <c r="L338" i="14"/>
  <c r="M338" i="14"/>
  <c r="N338" i="14"/>
  <c r="P338" i="14"/>
  <c r="Q338" i="14"/>
  <c r="R338" i="14"/>
  <c r="S338" i="14" s="1"/>
  <c r="U338" i="14"/>
  <c r="F339" i="14"/>
  <c r="G339" i="14"/>
  <c r="H339" i="14"/>
  <c r="I339" i="14"/>
  <c r="J339" i="14"/>
  <c r="K339" i="14"/>
  <c r="L339" i="14"/>
  <c r="M339" i="14"/>
  <c r="N339" i="14"/>
  <c r="P339" i="14"/>
  <c r="Q339" i="14"/>
  <c r="R339" i="14"/>
  <c r="S339" i="14" s="1"/>
  <c r="U339" i="14"/>
  <c r="F340" i="14"/>
  <c r="G340" i="14"/>
  <c r="H340" i="14"/>
  <c r="I340" i="14"/>
  <c r="J340" i="14"/>
  <c r="K340" i="14"/>
  <c r="L340" i="14"/>
  <c r="M340" i="14"/>
  <c r="N340" i="14"/>
  <c r="P340" i="14"/>
  <c r="Q340" i="14"/>
  <c r="R340" i="14"/>
  <c r="S340" i="14" s="1"/>
  <c r="U340" i="14"/>
  <c r="F341" i="14"/>
  <c r="G341" i="14"/>
  <c r="H341" i="14"/>
  <c r="I341" i="14"/>
  <c r="J341" i="14"/>
  <c r="K341" i="14"/>
  <c r="L341" i="14"/>
  <c r="M341" i="14"/>
  <c r="N341" i="14"/>
  <c r="P341" i="14"/>
  <c r="Q341" i="14"/>
  <c r="R341" i="14"/>
  <c r="F342" i="14"/>
  <c r="G342" i="14"/>
  <c r="H342" i="14"/>
  <c r="I342" i="14"/>
  <c r="J342" i="14"/>
  <c r="K342" i="14"/>
  <c r="L342" i="14"/>
  <c r="M342" i="14"/>
  <c r="N342" i="14"/>
  <c r="P342" i="14"/>
  <c r="Q342" i="14"/>
  <c r="R342" i="14"/>
  <c r="S342" i="14" s="1"/>
  <c r="U342" i="14"/>
  <c r="F343" i="14"/>
  <c r="G343" i="14"/>
  <c r="H343" i="14"/>
  <c r="I343" i="14"/>
  <c r="J343" i="14"/>
  <c r="K343" i="14"/>
  <c r="L343" i="14"/>
  <c r="M343" i="14"/>
  <c r="N343" i="14"/>
  <c r="P343" i="14"/>
  <c r="Q343" i="14"/>
  <c r="R343" i="14"/>
  <c r="S343" i="14" s="1"/>
  <c r="U343" i="14"/>
  <c r="F344" i="14"/>
  <c r="G344" i="14"/>
  <c r="H344" i="14"/>
  <c r="I344" i="14"/>
  <c r="J344" i="14"/>
  <c r="K344" i="14"/>
  <c r="L344" i="14"/>
  <c r="M344" i="14"/>
  <c r="N344" i="14"/>
  <c r="P344" i="14"/>
  <c r="Q344" i="14"/>
  <c r="R344" i="14"/>
  <c r="S344" i="14" s="1"/>
  <c r="U344" i="14"/>
  <c r="F345" i="14"/>
  <c r="G345" i="14"/>
  <c r="H345" i="14"/>
  <c r="I345" i="14"/>
  <c r="J345" i="14"/>
  <c r="K345" i="14"/>
  <c r="L345" i="14"/>
  <c r="M345" i="14"/>
  <c r="N345" i="14"/>
  <c r="P345" i="14"/>
  <c r="Q345" i="14"/>
  <c r="R345" i="14"/>
  <c r="U345" i="14"/>
  <c r="F346" i="14"/>
  <c r="G346" i="14"/>
  <c r="H346" i="14"/>
  <c r="I346" i="14"/>
  <c r="J346" i="14"/>
  <c r="K346" i="14"/>
  <c r="L346" i="14"/>
  <c r="M346" i="14"/>
  <c r="N346" i="14"/>
  <c r="P346" i="14"/>
  <c r="Q346" i="14"/>
  <c r="R346" i="14"/>
  <c r="S346" i="14" s="1"/>
  <c r="U346" i="14"/>
  <c r="F347" i="14"/>
  <c r="G347" i="14"/>
  <c r="H347" i="14"/>
  <c r="I347" i="14"/>
  <c r="J347" i="14"/>
  <c r="K347" i="14"/>
  <c r="L347" i="14"/>
  <c r="M347" i="14"/>
  <c r="N347" i="14"/>
  <c r="P347" i="14"/>
  <c r="Q347" i="14"/>
  <c r="R347" i="14"/>
  <c r="S347" i="14" s="1"/>
  <c r="U347" i="14"/>
  <c r="F348" i="14"/>
  <c r="G348" i="14"/>
  <c r="H348" i="14"/>
  <c r="I348" i="14"/>
  <c r="J348" i="14"/>
  <c r="K348" i="14"/>
  <c r="L348" i="14"/>
  <c r="M348" i="14"/>
  <c r="N348" i="14"/>
  <c r="P348" i="14"/>
  <c r="Q348" i="14"/>
  <c r="R348" i="14"/>
  <c r="U348" i="14"/>
  <c r="F349" i="14"/>
  <c r="G349" i="14"/>
  <c r="H349" i="14"/>
  <c r="I349" i="14"/>
  <c r="J349" i="14"/>
  <c r="K349" i="14"/>
  <c r="L349" i="14"/>
  <c r="M349" i="14"/>
  <c r="N349" i="14"/>
  <c r="P349" i="14"/>
  <c r="Q349" i="14"/>
  <c r="R349" i="14"/>
  <c r="S349" i="14" s="1"/>
  <c r="U349" i="14"/>
  <c r="F350" i="14"/>
  <c r="G350" i="14"/>
  <c r="H350" i="14"/>
  <c r="I350" i="14"/>
  <c r="J350" i="14"/>
  <c r="K350" i="14"/>
  <c r="L350" i="14"/>
  <c r="M350" i="14"/>
  <c r="N350" i="14"/>
  <c r="P350" i="14"/>
  <c r="Q350" i="14"/>
  <c r="R350" i="14"/>
  <c r="S350" i="14" s="1"/>
  <c r="U350" i="14"/>
  <c r="F351" i="14"/>
  <c r="G351" i="14"/>
  <c r="H351" i="14"/>
  <c r="I351" i="14"/>
  <c r="J351" i="14"/>
  <c r="K351" i="14"/>
  <c r="L351" i="14"/>
  <c r="M351" i="14"/>
  <c r="N351" i="14"/>
  <c r="P351" i="14"/>
  <c r="Q351" i="14"/>
  <c r="R351" i="14"/>
  <c r="S351" i="14" s="1"/>
  <c r="U351" i="14"/>
  <c r="F352" i="14"/>
  <c r="G352" i="14"/>
  <c r="H352" i="14"/>
  <c r="I352" i="14"/>
  <c r="J352" i="14"/>
  <c r="K352" i="14"/>
  <c r="L352" i="14"/>
  <c r="M352" i="14"/>
  <c r="N352" i="14"/>
  <c r="P352" i="14"/>
  <c r="Q352" i="14"/>
  <c r="R352" i="14"/>
  <c r="S352" i="14" s="1"/>
  <c r="U352" i="14"/>
  <c r="F353" i="14"/>
  <c r="G353" i="14"/>
  <c r="H353" i="14"/>
  <c r="I353" i="14"/>
  <c r="J353" i="14"/>
  <c r="K353" i="14"/>
  <c r="L353" i="14"/>
  <c r="M353" i="14"/>
  <c r="N353" i="14"/>
  <c r="P353" i="14"/>
  <c r="Q353" i="14"/>
  <c r="R353" i="14"/>
  <c r="S353" i="14" s="1"/>
  <c r="U353" i="14"/>
  <c r="F354" i="14"/>
  <c r="G354" i="14"/>
  <c r="H354" i="14"/>
  <c r="I354" i="14"/>
  <c r="J354" i="14"/>
  <c r="K354" i="14"/>
  <c r="L354" i="14"/>
  <c r="M354" i="14"/>
  <c r="N354" i="14"/>
  <c r="P354" i="14"/>
  <c r="Q354" i="14"/>
  <c r="R354" i="14"/>
  <c r="S354" i="14" s="1"/>
  <c r="U354" i="14"/>
  <c r="F355" i="14"/>
  <c r="G355" i="14"/>
  <c r="H355" i="14"/>
  <c r="I355" i="14"/>
  <c r="J355" i="14"/>
  <c r="K355" i="14"/>
  <c r="L355" i="14"/>
  <c r="M355" i="14"/>
  <c r="N355" i="14"/>
  <c r="P355" i="14"/>
  <c r="Q355" i="14"/>
  <c r="R355" i="14"/>
  <c r="S355" i="14" s="1"/>
  <c r="U355" i="14"/>
  <c r="F356" i="14"/>
  <c r="G356" i="14"/>
  <c r="H356" i="14"/>
  <c r="I356" i="14"/>
  <c r="J356" i="14"/>
  <c r="K356" i="14"/>
  <c r="L356" i="14"/>
  <c r="M356" i="14"/>
  <c r="N356" i="14"/>
  <c r="P356" i="14"/>
  <c r="Q356" i="14"/>
  <c r="R356" i="14"/>
  <c r="S356" i="14" s="1"/>
  <c r="U356" i="14"/>
  <c r="F357" i="14"/>
  <c r="G357" i="14"/>
  <c r="H357" i="14"/>
  <c r="I357" i="14"/>
  <c r="J357" i="14"/>
  <c r="K357" i="14"/>
  <c r="L357" i="14"/>
  <c r="M357" i="14"/>
  <c r="N357" i="14"/>
  <c r="P357" i="14"/>
  <c r="Q357" i="14"/>
  <c r="R357" i="14"/>
  <c r="S357" i="14" s="1"/>
  <c r="U357" i="14"/>
  <c r="F358" i="14"/>
  <c r="G358" i="14"/>
  <c r="H358" i="14"/>
  <c r="I358" i="14"/>
  <c r="J358" i="14"/>
  <c r="K358" i="14"/>
  <c r="L358" i="14"/>
  <c r="M358" i="14"/>
  <c r="N358" i="14"/>
  <c r="P358" i="14"/>
  <c r="Q358" i="14"/>
  <c r="R358" i="14"/>
  <c r="S358" i="14" s="1"/>
  <c r="U358" i="14"/>
  <c r="F359" i="14"/>
  <c r="G359" i="14"/>
  <c r="H359" i="14"/>
  <c r="I359" i="14"/>
  <c r="J359" i="14"/>
  <c r="K359" i="14"/>
  <c r="L359" i="14"/>
  <c r="M359" i="14"/>
  <c r="N359" i="14"/>
  <c r="P359" i="14"/>
  <c r="Q359" i="14"/>
  <c r="R359" i="14"/>
  <c r="S359" i="14" s="1"/>
  <c r="U359" i="14"/>
  <c r="F360" i="14"/>
  <c r="G360" i="14"/>
  <c r="H360" i="14"/>
  <c r="I360" i="14"/>
  <c r="J360" i="14"/>
  <c r="K360" i="14"/>
  <c r="L360" i="14"/>
  <c r="M360" i="14"/>
  <c r="N360" i="14"/>
  <c r="P360" i="14"/>
  <c r="Q360" i="14"/>
  <c r="R360" i="14"/>
  <c r="U360" i="14"/>
  <c r="F361" i="14"/>
  <c r="G361" i="14"/>
  <c r="H361" i="14"/>
  <c r="I361" i="14"/>
  <c r="J361" i="14"/>
  <c r="K361" i="14"/>
  <c r="L361" i="14"/>
  <c r="M361" i="14"/>
  <c r="N361" i="14"/>
  <c r="P361" i="14"/>
  <c r="Q361" i="14"/>
  <c r="R361" i="14"/>
  <c r="S361" i="14" s="1"/>
  <c r="U361" i="14"/>
  <c r="F362" i="14"/>
  <c r="G362" i="14"/>
  <c r="H362" i="14"/>
  <c r="I362" i="14"/>
  <c r="J362" i="14"/>
  <c r="K362" i="14"/>
  <c r="L362" i="14"/>
  <c r="M362" i="14"/>
  <c r="N362" i="14"/>
  <c r="P362" i="14"/>
  <c r="Q362" i="14"/>
  <c r="R362" i="14"/>
  <c r="S362" i="14" s="1"/>
  <c r="U362" i="14"/>
  <c r="F363" i="14"/>
  <c r="G363" i="14"/>
  <c r="H363" i="14"/>
  <c r="I363" i="14"/>
  <c r="J363" i="14"/>
  <c r="K363" i="14"/>
  <c r="L363" i="14"/>
  <c r="M363" i="14"/>
  <c r="N363" i="14"/>
  <c r="P363" i="14"/>
  <c r="Q363" i="14"/>
  <c r="R363" i="14"/>
  <c r="S363" i="14" s="1"/>
  <c r="U363" i="14"/>
  <c r="F364" i="14"/>
  <c r="G364" i="14"/>
  <c r="H364" i="14"/>
  <c r="I364" i="14"/>
  <c r="J364" i="14"/>
  <c r="K364" i="14"/>
  <c r="L364" i="14"/>
  <c r="M364" i="14"/>
  <c r="N364" i="14"/>
  <c r="P364" i="14"/>
  <c r="Q364" i="14"/>
  <c r="R364" i="14"/>
  <c r="S364" i="14" s="1"/>
  <c r="U364" i="14"/>
  <c r="F365" i="14"/>
  <c r="G365" i="14"/>
  <c r="H365" i="14"/>
  <c r="I365" i="14"/>
  <c r="J365" i="14"/>
  <c r="K365" i="14"/>
  <c r="L365" i="14"/>
  <c r="M365" i="14"/>
  <c r="N365" i="14"/>
  <c r="P365" i="14"/>
  <c r="Q365" i="14"/>
  <c r="R365" i="14"/>
  <c r="S365" i="14" s="1"/>
  <c r="U365" i="14"/>
  <c r="F366" i="14"/>
  <c r="G366" i="14"/>
  <c r="H366" i="14"/>
  <c r="I366" i="14"/>
  <c r="J366" i="14"/>
  <c r="K366" i="14"/>
  <c r="L366" i="14"/>
  <c r="M366" i="14"/>
  <c r="N366" i="14"/>
  <c r="P366" i="14"/>
  <c r="Q366" i="14"/>
  <c r="R366" i="14"/>
  <c r="S366" i="14" s="1"/>
  <c r="U366" i="14"/>
  <c r="F367" i="14"/>
  <c r="G367" i="14"/>
  <c r="H367" i="14"/>
  <c r="I367" i="14"/>
  <c r="J367" i="14"/>
  <c r="K367" i="14"/>
  <c r="L367" i="14"/>
  <c r="M367" i="14"/>
  <c r="N367" i="14"/>
  <c r="P367" i="14"/>
  <c r="Q367" i="14"/>
  <c r="R367" i="14"/>
  <c r="S367" i="14" s="1"/>
  <c r="U367" i="14"/>
  <c r="F368" i="14"/>
  <c r="G368" i="14"/>
  <c r="H368" i="14"/>
  <c r="I368" i="14"/>
  <c r="J368" i="14"/>
  <c r="K368" i="14"/>
  <c r="L368" i="14"/>
  <c r="M368" i="14"/>
  <c r="N368" i="14"/>
  <c r="P368" i="14"/>
  <c r="Q368" i="14"/>
  <c r="R368" i="14"/>
  <c r="S368" i="14" s="1"/>
  <c r="U368" i="14"/>
  <c r="F369" i="14"/>
  <c r="G369" i="14"/>
  <c r="H369" i="14"/>
  <c r="I369" i="14"/>
  <c r="J369" i="14"/>
  <c r="K369" i="14"/>
  <c r="L369" i="14"/>
  <c r="M369" i="14"/>
  <c r="N369" i="14"/>
  <c r="P369" i="14"/>
  <c r="Q369" i="14"/>
  <c r="R369" i="14"/>
  <c r="S369" i="14" s="1"/>
  <c r="U369" i="14"/>
  <c r="F370" i="14"/>
  <c r="G370" i="14"/>
  <c r="H370" i="14"/>
  <c r="I370" i="14"/>
  <c r="J370" i="14"/>
  <c r="K370" i="14"/>
  <c r="L370" i="14"/>
  <c r="M370" i="14"/>
  <c r="N370" i="14"/>
  <c r="P370" i="14"/>
  <c r="Q370" i="14"/>
  <c r="R370" i="14"/>
  <c r="S370" i="14" s="1"/>
  <c r="U370" i="14"/>
  <c r="F371" i="14"/>
  <c r="G371" i="14"/>
  <c r="H371" i="14"/>
  <c r="I371" i="14"/>
  <c r="J371" i="14"/>
  <c r="K371" i="14"/>
  <c r="L371" i="14"/>
  <c r="M371" i="14"/>
  <c r="N371" i="14"/>
  <c r="P371" i="14"/>
  <c r="Q371" i="14"/>
  <c r="R371" i="14"/>
  <c r="S371" i="14" s="1"/>
  <c r="U371" i="14"/>
  <c r="F372" i="14"/>
  <c r="G372" i="14"/>
  <c r="H372" i="14"/>
  <c r="I372" i="14"/>
  <c r="J372" i="14"/>
  <c r="K372" i="14"/>
  <c r="L372" i="14"/>
  <c r="M372" i="14"/>
  <c r="N372" i="14"/>
  <c r="P372" i="14"/>
  <c r="Q372" i="14"/>
  <c r="R372" i="14"/>
  <c r="S372" i="14" s="1"/>
  <c r="U372" i="14"/>
  <c r="F373" i="14"/>
  <c r="G373" i="14"/>
  <c r="H373" i="14"/>
  <c r="I373" i="14"/>
  <c r="J373" i="14"/>
  <c r="K373" i="14"/>
  <c r="L373" i="14"/>
  <c r="M373" i="14"/>
  <c r="N373" i="14"/>
  <c r="P373" i="14"/>
  <c r="Q373" i="14"/>
  <c r="R373" i="14"/>
  <c r="U373" i="14"/>
  <c r="F374" i="14"/>
  <c r="G374" i="14"/>
  <c r="H374" i="14"/>
  <c r="I374" i="14"/>
  <c r="J374" i="14"/>
  <c r="K374" i="14"/>
  <c r="L374" i="14"/>
  <c r="M374" i="14"/>
  <c r="N374" i="14"/>
  <c r="P374" i="14"/>
  <c r="Q374" i="14"/>
  <c r="R374" i="14"/>
  <c r="S374" i="14" s="1"/>
  <c r="U374" i="14"/>
  <c r="F375" i="14"/>
  <c r="G375" i="14"/>
  <c r="H375" i="14"/>
  <c r="I375" i="14"/>
  <c r="J375" i="14"/>
  <c r="K375" i="14"/>
  <c r="L375" i="14"/>
  <c r="M375" i="14"/>
  <c r="N375" i="14"/>
  <c r="P375" i="14"/>
  <c r="Q375" i="14"/>
  <c r="R375" i="14"/>
  <c r="S375" i="14" s="1"/>
  <c r="U375" i="14"/>
  <c r="F376" i="14"/>
  <c r="G376" i="14"/>
  <c r="H376" i="14"/>
  <c r="I376" i="14"/>
  <c r="J376" i="14"/>
  <c r="K376" i="14"/>
  <c r="L376" i="14"/>
  <c r="M376" i="14"/>
  <c r="N376" i="14"/>
  <c r="P376" i="14"/>
  <c r="Q376" i="14"/>
  <c r="R376" i="14"/>
  <c r="S376" i="14" s="1"/>
  <c r="U376" i="14"/>
  <c r="F377" i="14"/>
  <c r="G377" i="14"/>
  <c r="H377" i="14"/>
  <c r="I377" i="14"/>
  <c r="J377" i="14"/>
  <c r="K377" i="14"/>
  <c r="L377" i="14"/>
  <c r="M377" i="14"/>
  <c r="N377" i="14"/>
  <c r="P377" i="14"/>
  <c r="Q377" i="14"/>
  <c r="R377" i="14"/>
  <c r="U377" i="14"/>
  <c r="F378" i="14"/>
  <c r="G378" i="14"/>
  <c r="H378" i="14"/>
  <c r="I378" i="14"/>
  <c r="J378" i="14"/>
  <c r="K378" i="14"/>
  <c r="L378" i="14"/>
  <c r="M378" i="14"/>
  <c r="N378" i="14"/>
  <c r="P378" i="14"/>
  <c r="Q378" i="14"/>
  <c r="R378" i="14"/>
  <c r="S378" i="14" s="1"/>
  <c r="U378" i="14"/>
  <c r="F379" i="14"/>
  <c r="G379" i="14"/>
  <c r="H379" i="14"/>
  <c r="I379" i="14"/>
  <c r="J379" i="14"/>
  <c r="K379" i="14"/>
  <c r="L379" i="14"/>
  <c r="M379" i="14"/>
  <c r="N379" i="14"/>
  <c r="P379" i="14"/>
  <c r="Q379" i="14"/>
  <c r="R379" i="14"/>
  <c r="S379" i="14" s="1"/>
  <c r="U379" i="14"/>
  <c r="F380" i="14"/>
  <c r="G380" i="14"/>
  <c r="H380" i="14"/>
  <c r="I380" i="14"/>
  <c r="J380" i="14"/>
  <c r="K380" i="14"/>
  <c r="L380" i="14"/>
  <c r="M380" i="14"/>
  <c r="N380" i="14"/>
  <c r="P380" i="14"/>
  <c r="Q380" i="14"/>
  <c r="R380" i="14"/>
  <c r="S380" i="14" s="1"/>
  <c r="U380" i="14"/>
  <c r="F381" i="14"/>
  <c r="G381" i="14"/>
  <c r="H381" i="14"/>
  <c r="I381" i="14"/>
  <c r="J381" i="14"/>
  <c r="K381" i="14"/>
  <c r="L381" i="14"/>
  <c r="M381" i="14"/>
  <c r="N381" i="14"/>
  <c r="P381" i="14"/>
  <c r="Q381" i="14"/>
  <c r="R381" i="14"/>
  <c r="S381" i="14" s="1"/>
  <c r="U381" i="14"/>
  <c r="F382" i="14"/>
  <c r="G382" i="14"/>
  <c r="H382" i="14"/>
  <c r="I382" i="14"/>
  <c r="J382" i="14"/>
  <c r="K382" i="14"/>
  <c r="L382" i="14"/>
  <c r="M382" i="14"/>
  <c r="N382" i="14"/>
  <c r="P382" i="14"/>
  <c r="Q382" i="14"/>
  <c r="R382" i="14"/>
  <c r="U382" i="14"/>
  <c r="F383" i="14"/>
  <c r="G383" i="14"/>
  <c r="H383" i="14"/>
  <c r="I383" i="14"/>
  <c r="J383" i="14"/>
  <c r="K383" i="14"/>
  <c r="L383" i="14"/>
  <c r="M383" i="14"/>
  <c r="N383" i="14"/>
  <c r="P383" i="14"/>
  <c r="Q383" i="14"/>
  <c r="R383" i="14"/>
  <c r="S383" i="14" s="1"/>
  <c r="U383" i="14"/>
  <c r="F384" i="14"/>
  <c r="G384" i="14"/>
  <c r="H384" i="14"/>
  <c r="I384" i="14"/>
  <c r="J384" i="14"/>
  <c r="K384" i="14"/>
  <c r="L384" i="14"/>
  <c r="M384" i="14"/>
  <c r="N384" i="14"/>
  <c r="P384" i="14"/>
  <c r="Q384" i="14"/>
  <c r="R384" i="14"/>
  <c r="S384" i="14" s="1"/>
  <c r="F385" i="14"/>
  <c r="G385" i="14"/>
  <c r="H385" i="14"/>
  <c r="I385" i="14"/>
  <c r="J385" i="14"/>
  <c r="K385" i="14"/>
  <c r="L385" i="14"/>
  <c r="M385" i="14"/>
  <c r="N385" i="14"/>
  <c r="P385" i="14"/>
  <c r="Q385" i="14"/>
  <c r="R385" i="14"/>
  <c r="S385" i="14" s="1"/>
  <c r="U385" i="14"/>
  <c r="F386" i="14"/>
  <c r="G386" i="14"/>
  <c r="H386" i="14"/>
  <c r="I386" i="14"/>
  <c r="J386" i="14"/>
  <c r="K386" i="14"/>
  <c r="L386" i="14"/>
  <c r="M386" i="14"/>
  <c r="N386" i="14"/>
  <c r="P386" i="14"/>
  <c r="Q386" i="14"/>
  <c r="R386" i="14"/>
  <c r="S386" i="14" s="1"/>
  <c r="U386" i="14"/>
  <c r="F387" i="14"/>
  <c r="G387" i="14"/>
  <c r="H387" i="14"/>
  <c r="I387" i="14"/>
  <c r="J387" i="14"/>
  <c r="K387" i="14"/>
  <c r="L387" i="14"/>
  <c r="M387" i="14"/>
  <c r="N387" i="14"/>
  <c r="P387" i="14"/>
  <c r="Q387" i="14"/>
  <c r="R387" i="14"/>
  <c r="S387" i="14" s="1"/>
  <c r="U387" i="14"/>
  <c r="F388" i="14"/>
  <c r="G388" i="14"/>
  <c r="H388" i="14"/>
  <c r="I388" i="14"/>
  <c r="J388" i="14"/>
  <c r="K388" i="14"/>
  <c r="L388" i="14"/>
  <c r="M388" i="14"/>
  <c r="N388" i="14"/>
  <c r="P388" i="14"/>
  <c r="Q388" i="14"/>
  <c r="R388" i="14"/>
  <c r="S388" i="14" s="1"/>
  <c r="U388" i="14"/>
  <c r="F389" i="14"/>
  <c r="G389" i="14"/>
  <c r="H389" i="14"/>
  <c r="I389" i="14"/>
  <c r="J389" i="14"/>
  <c r="K389" i="14"/>
  <c r="L389" i="14"/>
  <c r="M389" i="14"/>
  <c r="N389" i="14"/>
  <c r="P389" i="14"/>
  <c r="Q389" i="14"/>
  <c r="R389" i="14"/>
  <c r="S389" i="14" s="1"/>
  <c r="U389" i="14"/>
  <c r="F390" i="14"/>
  <c r="G390" i="14"/>
  <c r="H390" i="14"/>
  <c r="I390" i="14"/>
  <c r="J390" i="14"/>
  <c r="K390" i="14"/>
  <c r="L390" i="14"/>
  <c r="M390" i="14"/>
  <c r="N390" i="14"/>
  <c r="P390" i="14"/>
  <c r="Q390" i="14"/>
  <c r="R390" i="14"/>
  <c r="S390" i="14" s="1"/>
  <c r="U390" i="14"/>
  <c r="F391" i="14"/>
  <c r="G391" i="14"/>
  <c r="H391" i="14"/>
  <c r="I391" i="14"/>
  <c r="J391" i="14"/>
  <c r="K391" i="14"/>
  <c r="L391" i="14"/>
  <c r="M391" i="14"/>
  <c r="N391" i="14"/>
  <c r="P391" i="14"/>
  <c r="Q391" i="14"/>
  <c r="R391" i="14"/>
  <c r="S391" i="14" s="1"/>
  <c r="U391" i="14"/>
  <c r="F392" i="14"/>
  <c r="G392" i="14"/>
  <c r="H392" i="14"/>
  <c r="I392" i="14"/>
  <c r="J392" i="14"/>
  <c r="K392" i="14"/>
  <c r="L392" i="14"/>
  <c r="M392" i="14"/>
  <c r="N392" i="14"/>
  <c r="P392" i="14"/>
  <c r="Q392" i="14"/>
  <c r="R392" i="14"/>
  <c r="S392" i="14" s="1"/>
  <c r="U392" i="14"/>
  <c r="F393" i="14"/>
  <c r="G393" i="14"/>
  <c r="H393" i="14"/>
  <c r="I393" i="14"/>
  <c r="J393" i="14"/>
  <c r="K393" i="14"/>
  <c r="L393" i="14"/>
  <c r="M393" i="14"/>
  <c r="N393" i="14"/>
  <c r="P393" i="14"/>
  <c r="Q393" i="14"/>
  <c r="R393" i="14"/>
  <c r="S393" i="14" s="1"/>
  <c r="U393" i="14"/>
  <c r="F394" i="14"/>
  <c r="G394" i="14"/>
  <c r="H394" i="14"/>
  <c r="I394" i="14"/>
  <c r="J394" i="14"/>
  <c r="K394" i="14"/>
  <c r="L394" i="14"/>
  <c r="M394" i="14"/>
  <c r="N394" i="14"/>
  <c r="P394" i="14"/>
  <c r="Q394" i="14"/>
  <c r="R394" i="14"/>
  <c r="S394" i="14" s="1"/>
  <c r="U394" i="14"/>
  <c r="F395" i="14"/>
  <c r="G395" i="14"/>
  <c r="H395" i="14"/>
  <c r="I395" i="14"/>
  <c r="J395" i="14"/>
  <c r="K395" i="14"/>
  <c r="L395" i="14"/>
  <c r="M395" i="14"/>
  <c r="N395" i="14"/>
  <c r="P395" i="14"/>
  <c r="Q395" i="14"/>
  <c r="R395" i="14"/>
  <c r="S395" i="14" s="1"/>
  <c r="U395" i="14"/>
  <c r="F396" i="14"/>
  <c r="G396" i="14"/>
  <c r="H396" i="14"/>
  <c r="I396" i="14"/>
  <c r="J396" i="14"/>
  <c r="K396" i="14"/>
  <c r="L396" i="14"/>
  <c r="M396" i="14"/>
  <c r="N396" i="14"/>
  <c r="P396" i="14"/>
  <c r="Q396" i="14"/>
  <c r="R396" i="14"/>
  <c r="S396" i="14" s="1"/>
  <c r="U396" i="14"/>
  <c r="F397" i="14"/>
  <c r="G397" i="14"/>
  <c r="H397" i="14"/>
  <c r="I397" i="14"/>
  <c r="J397" i="14"/>
  <c r="K397" i="14"/>
  <c r="L397" i="14"/>
  <c r="M397" i="14"/>
  <c r="N397" i="14"/>
  <c r="P397" i="14"/>
  <c r="Q397" i="14"/>
  <c r="R397" i="14"/>
  <c r="S397" i="14" s="1"/>
  <c r="U397" i="14"/>
  <c r="F398" i="14"/>
  <c r="G398" i="14"/>
  <c r="H398" i="14"/>
  <c r="I398" i="14"/>
  <c r="J398" i="14"/>
  <c r="K398" i="14"/>
  <c r="L398" i="14"/>
  <c r="M398" i="14"/>
  <c r="N398" i="14"/>
  <c r="P398" i="14"/>
  <c r="Q398" i="14"/>
  <c r="R398" i="14"/>
  <c r="S398" i="14" s="1"/>
  <c r="U398" i="14"/>
  <c r="F399" i="14"/>
  <c r="G399" i="14"/>
  <c r="H399" i="14"/>
  <c r="I399" i="14"/>
  <c r="J399" i="14"/>
  <c r="K399" i="14"/>
  <c r="L399" i="14"/>
  <c r="M399" i="14"/>
  <c r="N399" i="14"/>
  <c r="P399" i="14"/>
  <c r="Q399" i="14"/>
  <c r="R399" i="14"/>
  <c r="S399" i="14" s="1"/>
  <c r="U399" i="14"/>
  <c r="F400" i="14"/>
  <c r="G400" i="14"/>
  <c r="H400" i="14"/>
  <c r="I400" i="14"/>
  <c r="J400" i="14"/>
  <c r="K400" i="14"/>
  <c r="L400" i="14"/>
  <c r="M400" i="14"/>
  <c r="N400" i="14"/>
  <c r="P400" i="14"/>
  <c r="Q400" i="14"/>
  <c r="R400" i="14"/>
  <c r="S400" i="14" s="1"/>
  <c r="U400" i="14"/>
  <c r="F401" i="14"/>
  <c r="G401" i="14"/>
  <c r="H401" i="14"/>
  <c r="I401" i="14"/>
  <c r="J401" i="14"/>
  <c r="K401" i="14"/>
  <c r="L401" i="14"/>
  <c r="M401" i="14"/>
  <c r="N401" i="14"/>
  <c r="P401" i="14"/>
  <c r="Q401" i="14"/>
  <c r="R401" i="14"/>
  <c r="S401" i="14" s="1"/>
  <c r="U401" i="14"/>
  <c r="F402" i="14"/>
  <c r="G402" i="14"/>
  <c r="H402" i="14"/>
  <c r="I402" i="14"/>
  <c r="J402" i="14"/>
  <c r="K402" i="14"/>
  <c r="L402" i="14"/>
  <c r="M402" i="14"/>
  <c r="N402" i="14"/>
  <c r="P402" i="14"/>
  <c r="Q402" i="14"/>
  <c r="R402" i="14"/>
  <c r="S402" i="14" s="1"/>
  <c r="U402" i="14"/>
  <c r="F403" i="14"/>
  <c r="G403" i="14"/>
  <c r="H403" i="14"/>
  <c r="I403" i="14"/>
  <c r="J403" i="14"/>
  <c r="K403" i="14"/>
  <c r="L403" i="14"/>
  <c r="M403" i="14"/>
  <c r="N403" i="14"/>
  <c r="P403" i="14"/>
  <c r="Q403" i="14"/>
  <c r="R403" i="14"/>
  <c r="S403" i="14" s="1"/>
  <c r="U403" i="14"/>
  <c r="F404" i="14"/>
  <c r="G404" i="14"/>
  <c r="H404" i="14"/>
  <c r="I404" i="14"/>
  <c r="J404" i="14"/>
  <c r="K404" i="14"/>
  <c r="L404" i="14"/>
  <c r="M404" i="14"/>
  <c r="N404" i="14"/>
  <c r="P404" i="14"/>
  <c r="Q404" i="14"/>
  <c r="R404" i="14"/>
  <c r="S404" i="14" s="1"/>
  <c r="U404" i="14"/>
  <c r="F405" i="14"/>
  <c r="G405" i="14"/>
  <c r="H405" i="14"/>
  <c r="I405" i="14"/>
  <c r="J405" i="14"/>
  <c r="K405" i="14"/>
  <c r="L405" i="14"/>
  <c r="M405" i="14"/>
  <c r="N405" i="14"/>
  <c r="P405" i="14"/>
  <c r="Q405" i="14"/>
  <c r="R405" i="14"/>
  <c r="S405" i="14" s="1"/>
  <c r="U405" i="14"/>
  <c r="F406" i="14"/>
  <c r="G406" i="14"/>
  <c r="H406" i="14"/>
  <c r="I406" i="14"/>
  <c r="J406" i="14"/>
  <c r="K406" i="14"/>
  <c r="L406" i="14"/>
  <c r="M406" i="14"/>
  <c r="N406" i="14"/>
  <c r="P406" i="14"/>
  <c r="Q406" i="14"/>
  <c r="R406" i="14"/>
  <c r="S406" i="14" s="1"/>
  <c r="U406" i="14"/>
  <c r="F407" i="14"/>
  <c r="G407" i="14"/>
  <c r="H407" i="14"/>
  <c r="I407" i="14"/>
  <c r="J407" i="14"/>
  <c r="K407" i="14"/>
  <c r="L407" i="14"/>
  <c r="M407" i="14"/>
  <c r="N407" i="14"/>
  <c r="P407" i="14"/>
  <c r="Q407" i="14"/>
  <c r="R407" i="14"/>
  <c r="S407" i="14" s="1"/>
  <c r="U407" i="14"/>
  <c r="F408" i="14"/>
  <c r="G408" i="14"/>
  <c r="H408" i="14"/>
  <c r="I408" i="14"/>
  <c r="J408" i="14"/>
  <c r="K408" i="14"/>
  <c r="L408" i="14"/>
  <c r="M408" i="14"/>
  <c r="N408" i="14"/>
  <c r="P408" i="14"/>
  <c r="Q408" i="14"/>
  <c r="R408" i="14"/>
  <c r="S408" i="14" s="1"/>
  <c r="U408" i="14"/>
  <c r="F409" i="14"/>
  <c r="G409" i="14"/>
  <c r="H409" i="14"/>
  <c r="I409" i="14"/>
  <c r="J409" i="14"/>
  <c r="K409" i="14"/>
  <c r="L409" i="14"/>
  <c r="M409" i="14"/>
  <c r="N409" i="14"/>
  <c r="P409" i="14"/>
  <c r="Q409" i="14"/>
  <c r="R409" i="14"/>
  <c r="S409" i="14" s="1"/>
  <c r="U409" i="14"/>
  <c r="F410" i="14"/>
  <c r="G410" i="14"/>
  <c r="H410" i="14"/>
  <c r="I410" i="14"/>
  <c r="J410" i="14"/>
  <c r="K410" i="14"/>
  <c r="L410" i="14"/>
  <c r="M410" i="14"/>
  <c r="N410" i="14"/>
  <c r="P410" i="14"/>
  <c r="Q410" i="14"/>
  <c r="R410" i="14"/>
  <c r="S410" i="14" s="1"/>
  <c r="U410" i="14"/>
  <c r="F411" i="14"/>
  <c r="G411" i="14"/>
  <c r="H411" i="14"/>
  <c r="I411" i="14"/>
  <c r="J411" i="14"/>
  <c r="K411" i="14"/>
  <c r="L411" i="14"/>
  <c r="M411" i="14"/>
  <c r="N411" i="14"/>
  <c r="P411" i="14"/>
  <c r="Q411" i="14"/>
  <c r="R411" i="14"/>
  <c r="S411" i="14" s="1"/>
  <c r="U411" i="14"/>
  <c r="F412" i="14"/>
  <c r="G412" i="14"/>
  <c r="H412" i="14"/>
  <c r="I412" i="14"/>
  <c r="J412" i="14"/>
  <c r="K412" i="14"/>
  <c r="L412" i="14"/>
  <c r="M412" i="14"/>
  <c r="N412" i="14"/>
  <c r="P412" i="14"/>
  <c r="Q412" i="14"/>
  <c r="R412" i="14"/>
  <c r="U412" i="14"/>
  <c r="F413" i="14"/>
  <c r="G413" i="14"/>
  <c r="H413" i="14"/>
  <c r="I413" i="14"/>
  <c r="J413" i="14"/>
  <c r="K413" i="14"/>
  <c r="L413" i="14"/>
  <c r="M413" i="14"/>
  <c r="N413" i="14"/>
  <c r="P413" i="14"/>
  <c r="Q413" i="14"/>
  <c r="R413" i="14"/>
  <c r="S413" i="14" s="1"/>
  <c r="U413" i="14"/>
  <c r="F414" i="14"/>
  <c r="G414" i="14"/>
  <c r="H414" i="14"/>
  <c r="I414" i="14"/>
  <c r="J414" i="14"/>
  <c r="K414" i="14"/>
  <c r="L414" i="14"/>
  <c r="M414" i="14"/>
  <c r="N414" i="14"/>
  <c r="P414" i="14"/>
  <c r="Q414" i="14"/>
  <c r="R414" i="14"/>
  <c r="S414" i="14" s="1"/>
  <c r="U414" i="14"/>
  <c r="F415" i="14"/>
  <c r="G415" i="14"/>
  <c r="H415" i="14"/>
  <c r="I415" i="14"/>
  <c r="J415" i="14"/>
  <c r="K415" i="14"/>
  <c r="L415" i="14"/>
  <c r="M415" i="14"/>
  <c r="N415" i="14"/>
  <c r="P415" i="14"/>
  <c r="Q415" i="14"/>
  <c r="R415" i="14"/>
  <c r="S415" i="14" s="1"/>
  <c r="U415" i="14"/>
  <c r="F416" i="14"/>
  <c r="G416" i="14"/>
  <c r="H416" i="14"/>
  <c r="I416" i="14"/>
  <c r="J416" i="14"/>
  <c r="K416" i="14"/>
  <c r="L416" i="14"/>
  <c r="M416" i="14"/>
  <c r="N416" i="14"/>
  <c r="P416" i="14"/>
  <c r="Q416" i="14"/>
  <c r="R416" i="14"/>
  <c r="S416" i="14" s="1"/>
  <c r="U416" i="14"/>
  <c r="F417" i="14"/>
  <c r="G417" i="14"/>
  <c r="H417" i="14"/>
  <c r="I417" i="14"/>
  <c r="J417" i="14"/>
  <c r="K417" i="14"/>
  <c r="L417" i="14"/>
  <c r="M417" i="14"/>
  <c r="N417" i="14"/>
  <c r="P417" i="14"/>
  <c r="Q417" i="14"/>
  <c r="R417" i="14"/>
  <c r="S417" i="14" s="1"/>
  <c r="U417" i="14"/>
  <c r="F418" i="14"/>
  <c r="G418" i="14"/>
  <c r="H418" i="14"/>
  <c r="I418" i="14"/>
  <c r="J418" i="14"/>
  <c r="K418" i="14"/>
  <c r="L418" i="14"/>
  <c r="M418" i="14"/>
  <c r="N418" i="14"/>
  <c r="P418" i="14"/>
  <c r="Q418" i="14"/>
  <c r="R418" i="14"/>
  <c r="S418" i="14" s="1"/>
  <c r="T418" i="14"/>
  <c r="U418" i="14"/>
  <c r="V418" i="14"/>
  <c r="F419" i="14"/>
  <c r="G419" i="14"/>
  <c r="H419" i="14"/>
  <c r="I419" i="14"/>
  <c r="J419" i="14"/>
  <c r="K419" i="14"/>
  <c r="L419" i="14"/>
  <c r="M419" i="14"/>
  <c r="N419" i="14"/>
  <c r="P419" i="14"/>
  <c r="Q419" i="14"/>
  <c r="R419" i="14"/>
  <c r="S419" i="14" s="1"/>
  <c r="T419" i="14"/>
  <c r="U419" i="14"/>
  <c r="V419" i="14"/>
  <c r="F420" i="14"/>
  <c r="G420" i="14"/>
  <c r="H420" i="14"/>
  <c r="I420" i="14"/>
  <c r="J420" i="14"/>
  <c r="K420" i="14"/>
  <c r="L420" i="14"/>
  <c r="M420" i="14"/>
  <c r="N420" i="14"/>
  <c r="P420" i="14"/>
  <c r="Q420" i="14"/>
  <c r="R420" i="14"/>
  <c r="S420" i="14" s="1"/>
  <c r="T420" i="14"/>
  <c r="U420" i="14"/>
  <c r="V420" i="14"/>
  <c r="F421" i="14"/>
  <c r="G421" i="14"/>
  <c r="H421" i="14"/>
  <c r="I421" i="14"/>
  <c r="J421" i="14"/>
  <c r="K421" i="14"/>
  <c r="L421" i="14"/>
  <c r="M421" i="14"/>
  <c r="N421" i="14"/>
  <c r="P421" i="14"/>
  <c r="Q421" i="14"/>
  <c r="R421" i="14"/>
  <c r="S421" i="14" s="1"/>
  <c r="T421" i="14"/>
  <c r="U421" i="14"/>
  <c r="V421" i="14"/>
  <c r="F422" i="14"/>
  <c r="G422" i="14"/>
  <c r="H422" i="14"/>
  <c r="I422" i="14"/>
  <c r="J422" i="14"/>
  <c r="K422" i="14"/>
  <c r="L422" i="14"/>
  <c r="M422" i="14"/>
  <c r="N422" i="14"/>
  <c r="P422" i="14"/>
  <c r="Q422" i="14"/>
  <c r="R422" i="14"/>
  <c r="S422" i="14" s="1"/>
  <c r="T422" i="14"/>
  <c r="U422" i="14"/>
  <c r="V422" i="14"/>
  <c r="F423" i="14"/>
  <c r="G423" i="14"/>
  <c r="H423" i="14"/>
  <c r="I423" i="14"/>
  <c r="J423" i="14"/>
  <c r="K423" i="14"/>
  <c r="L423" i="14"/>
  <c r="M423" i="14"/>
  <c r="N423" i="14"/>
  <c r="P423" i="14"/>
  <c r="Q423" i="14"/>
  <c r="R423" i="14"/>
  <c r="S423" i="14" s="1"/>
  <c r="T423" i="14"/>
  <c r="U423" i="14"/>
  <c r="V423" i="14"/>
  <c r="F424" i="14"/>
  <c r="G424" i="14"/>
  <c r="H424" i="14"/>
  <c r="I424" i="14"/>
  <c r="J424" i="14"/>
  <c r="K424" i="14"/>
  <c r="L424" i="14"/>
  <c r="M424" i="14"/>
  <c r="N424" i="14"/>
  <c r="P424" i="14"/>
  <c r="Q424" i="14"/>
  <c r="R424" i="14"/>
  <c r="T424" i="14"/>
  <c r="U424" i="14"/>
  <c r="V424" i="14"/>
  <c r="F425" i="14"/>
  <c r="G425" i="14"/>
  <c r="H425" i="14"/>
  <c r="I425" i="14"/>
  <c r="J425" i="14"/>
  <c r="K425" i="14"/>
  <c r="L425" i="14"/>
  <c r="M425" i="14"/>
  <c r="N425" i="14"/>
  <c r="P425" i="14"/>
  <c r="Q425" i="14"/>
  <c r="R425" i="14"/>
  <c r="S425" i="14" s="1"/>
  <c r="T425" i="14"/>
  <c r="U425" i="14"/>
  <c r="V425" i="14"/>
  <c r="F426" i="14"/>
  <c r="G426" i="14"/>
  <c r="H426" i="14"/>
  <c r="I426" i="14"/>
  <c r="J426" i="14"/>
  <c r="K426" i="14"/>
  <c r="L426" i="14"/>
  <c r="M426" i="14"/>
  <c r="N426" i="14"/>
  <c r="P426" i="14"/>
  <c r="Q426" i="14"/>
  <c r="R426" i="14"/>
  <c r="S426" i="14" s="1"/>
  <c r="T426" i="14"/>
  <c r="U426" i="14"/>
  <c r="V426" i="14"/>
  <c r="F427" i="14"/>
  <c r="G427" i="14"/>
  <c r="H427" i="14"/>
  <c r="I427" i="14"/>
  <c r="J427" i="14"/>
  <c r="K427" i="14"/>
  <c r="L427" i="14"/>
  <c r="M427" i="14"/>
  <c r="N427" i="14"/>
  <c r="P427" i="14"/>
  <c r="Q427" i="14"/>
  <c r="R427" i="14"/>
  <c r="S427" i="14" s="1"/>
  <c r="T427" i="14"/>
  <c r="U427" i="14"/>
  <c r="V427" i="14"/>
  <c r="F428" i="14"/>
  <c r="G428" i="14"/>
  <c r="H428" i="14"/>
  <c r="I428" i="14"/>
  <c r="J428" i="14"/>
  <c r="K428" i="14"/>
  <c r="L428" i="14"/>
  <c r="M428" i="14"/>
  <c r="N428" i="14"/>
  <c r="P428" i="14"/>
  <c r="Q428" i="14"/>
  <c r="R428" i="14"/>
  <c r="S428" i="14" s="1"/>
  <c r="T428" i="14"/>
  <c r="U428" i="14"/>
  <c r="V428" i="14"/>
  <c r="F429" i="14"/>
  <c r="G429" i="14"/>
  <c r="H429" i="14"/>
  <c r="I429" i="14"/>
  <c r="J429" i="14"/>
  <c r="K429" i="14"/>
  <c r="L429" i="14"/>
  <c r="M429" i="14"/>
  <c r="N429" i="14"/>
  <c r="P429" i="14"/>
  <c r="Q429" i="14"/>
  <c r="R429" i="14"/>
  <c r="S429" i="14" s="1"/>
  <c r="T429" i="14"/>
  <c r="U429" i="14"/>
  <c r="V429" i="14"/>
  <c r="F430" i="14"/>
  <c r="G430" i="14"/>
  <c r="H430" i="14"/>
  <c r="I430" i="14"/>
  <c r="J430" i="14"/>
  <c r="K430" i="14"/>
  <c r="L430" i="14"/>
  <c r="M430" i="14"/>
  <c r="N430" i="14"/>
  <c r="P430" i="14"/>
  <c r="Q430" i="14"/>
  <c r="R430" i="14"/>
  <c r="S430" i="14" s="1"/>
  <c r="T430" i="14"/>
  <c r="U430" i="14"/>
  <c r="V430" i="14"/>
  <c r="F431" i="14"/>
  <c r="G431" i="14"/>
  <c r="H431" i="14"/>
  <c r="I431" i="14"/>
  <c r="J431" i="14"/>
  <c r="K431" i="14"/>
  <c r="L431" i="14"/>
  <c r="M431" i="14"/>
  <c r="N431" i="14"/>
  <c r="P431" i="14"/>
  <c r="Q431" i="14"/>
  <c r="R431" i="14"/>
  <c r="S431" i="14" s="1"/>
  <c r="T431" i="14"/>
  <c r="U431" i="14"/>
  <c r="V431" i="14"/>
  <c r="F432" i="14"/>
  <c r="G432" i="14"/>
  <c r="H432" i="14"/>
  <c r="I432" i="14"/>
  <c r="J432" i="14"/>
  <c r="K432" i="14"/>
  <c r="L432" i="14"/>
  <c r="M432" i="14"/>
  <c r="N432" i="14"/>
  <c r="P432" i="14"/>
  <c r="Q432" i="14"/>
  <c r="R432" i="14"/>
  <c r="S432" i="14" s="1"/>
  <c r="T432" i="14"/>
  <c r="U432" i="14"/>
  <c r="V432" i="14"/>
  <c r="F433" i="14"/>
  <c r="G433" i="14"/>
  <c r="H433" i="14"/>
  <c r="I433" i="14"/>
  <c r="J433" i="14"/>
  <c r="K433" i="14"/>
  <c r="L433" i="14"/>
  <c r="M433" i="14"/>
  <c r="N433" i="14"/>
  <c r="P433" i="14"/>
  <c r="Q433" i="14"/>
  <c r="R433" i="14"/>
  <c r="S433" i="14" s="1"/>
  <c r="F434" i="14"/>
  <c r="G434" i="14"/>
  <c r="H434" i="14"/>
  <c r="I434" i="14"/>
  <c r="J434" i="14"/>
  <c r="K434" i="14"/>
  <c r="L434" i="14"/>
  <c r="M434" i="14"/>
  <c r="N434" i="14"/>
  <c r="P434" i="14"/>
  <c r="Q434" i="14"/>
  <c r="R434" i="14"/>
  <c r="S434" i="14" s="1"/>
  <c r="T434" i="14"/>
  <c r="U434" i="14"/>
  <c r="V434" i="14"/>
  <c r="F435" i="14"/>
  <c r="G435" i="14"/>
  <c r="H435" i="14"/>
  <c r="I435" i="14"/>
  <c r="J435" i="14"/>
  <c r="K435" i="14"/>
  <c r="L435" i="14"/>
  <c r="M435" i="14"/>
  <c r="N435" i="14"/>
  <c r="P435" i="14"/>
  <c r="Q435" i="14"/>
  <c r="R435" i="14"/>
  <c r="S435" i="14" s="1"/>
  <c r="T435" i="14"/>
  <c r="U435" i="14"/>
  <c r="V435" i="14"/>
  <c r="F436" i="14"/>
  <c r="G436" i="14"/>
  <c r="H436" i="14"/>
  <c r="I436" i="14"/>
  <c r="J436" i="14"/>
  <c r="K436" i="14"/>
  <c r="L436" i="14"/>
  <c r="M436" i="14"/>
  <c r="N436" i="14"/>
  <c r="P436" i="14"/>
  <c r="Q436" i="14"/>
  <c r="R436" i="14"/>
  <c r="S436" i="14" s="1"/>
  <c r="T436" i="14"/>
  <c r="U436" i="14"/>
  <c r="V436" i="14"/>
  <c r="F437" i="14"/>
  <c r="G437" i="14"/>
  <c r="H437" i="14"/>
  <c r="I437" i="14"/>
  <c r="J437" i="14"/>
  <c r="K437" i="14"/>
  <c r="L437" i="14"/>
  <c r="M437" i="14"/>
  <c r="N437" i="14"/>
  <c r="P437" i="14"/>
  <c r="Q437" i="14"/>
  <c r="R437" i="14"/>
  <c r="S437" i="14" s="1"/>
  <c r="T437" i="14"/>
  <c r="U437" i="14"/>
  <c r="V437" i="14"/>
  <c r="F438" i="14"/>
  <c r="G438" i="14"/>
  <c r="H438" i="14"/>
  <c r="I438" i="14"/>
  <c r="J438" i="14"/>
  <c r="K438" i="14"/>
  <c r="L438" i="14"/>
  <c r="M438" i="14"/>
  <c r="N438" i="14"/>
  <c r="P438" i="14"/>
  <c r="Q438" i="14"/>
  <c r="R438" i="14"/>
  <c r="S438" i="14" s="1"/>
  <c r="U438" i="14"/>
  <c r="F439" i="14"/>
  <c r="G439" i="14"/>
  <c r="H439" i="14"/>
  <c r="I439" i="14"/>
  <c r="J439" i="14"/>
  <c r="K439" i="14"/>
  <c r="L439" i="14"/>
  <c r="M439" i="14"/>
  <c r="N439" i="14"/>
  <c r="P439" i="14"/>
  <c r="Q439" i="14"/>
  <c r="R439" i="14"/>
  <c r="S439" i="14" s="1"/>
  <c r="U439" i="14"/>
  <c r="F440" i="14"/>
  <c r="G440" i="14"/>
  <c r="H440" i="14"/>
  <c r="I440" i="14"/>
  <c r="J440" i="14"/>
  <c r="K440" i="14"/>
  <c r="L440" i="14"/>
  <c r="M440" i="14"/>
  <c r="N440" i="14"/>
  <c r="P440" i="14"/>
  <c r="Q440" i="14"/>
  <c r="R440" i="14"/>
  <c r="S440" i="14" s="1"/>
  <c r="U440" i="14"/>
  <c r="F441" i="14"/>
  <c r="G441" i="14"/>
  <c r="H441" i="14"/>
  <c r="I441" i="14"/>
  <c r="J441" i="14"/>
  <c r="K441" i="14"/>
  <c r="L441" i="14"/>
  <c r="M441" i="14"/>
  <c r="N441" i="14"/>
  <c r="P441" i="14"/>
  <c r="Q441" i="14"/>
  <c r="R441" i="14"/>
  <c r="S441" i="14" s="1"/>
  <c r="F442" i="14"/>
  <c r="G442" i="14"/>
  <c r="H442" i="14"/>
  <c r="I442" i="14"/>
  <c r="J442" i="14"/>
  <c r="K442" i="14"/>
  <c r="L442" i="14"/>
  <c r="M442" i="14"/>
  <c r="N442" i="14"/>
  <c r="P442" i="14"/>
  <c r="Q442" i="14"/>
  <c r="R442" i="14"/>
  <c r="U442" i="14"/>
  <c r="F443" i="14"/>
  <c r="G443" i="14"/>
  <c r="H443" i="14"/>
  <c r="I443" i="14"/>
  <c r="J443" i="14"/>
  <c r="K443" i="14"/>
  <c r="L443" i="14"/>
  <c r="M443" i="14"/>
  <c r="N443" i="14"/>
  <c r="P443" i="14"/>
  <c r="Q443" i="14"/>
  <c r="R443" i="14"/>
  <c r="U443" i="14"/>
  <c r="F444" i="14"/>
  <c r="G444" i="14"/>
  <c r="H444" i="14"/>
  <c r="I444" i="14"/>
  <c r="J444" i="14"/>
  <c r="K444" i="14"/>
  <c r="L444" i="14"/>
  <c r="M444" i="14"/>
  <c r="N444" i="14"/>
  <c r="P444" i="14"/>
  <c r="Q444" i="14"/>
  <c r="R444" i="14"/>
  <c r="U444" i="14"/>
  <c r="F445" i="14"/>
  <c r="G445" i="14"/>
  <c r="H445" i="14"/>
  <c r="I445" i="14"/>
  <c r="J445" i="14"/>
  <c r="K445" i="14"/>
  <c r="L445" i="14"/>
  <c r="M445" i="14"/>
  <c r="N445" i="14"/>
  <c r="P445" i="14"/>
  <c r="Q445" i="14"/>
  <c r="R445" i="14"/>
  <c r="U445" i="14"/>
  <c r="F446" i="14"/>
  <c r="G446" i="14"/>
  <c r="H446" i="14"/>
  <c r="I446" i="14"/>
  <c r="J446" i="14"/>
  <c r="K446" i="14"/>
  <c r="L446" i="14"/>
  <c r="M446" i="14"/>
  <c r="N446" i="14"/>
  <c r="P446" i="14"/>
  <c r="Q446" i="14"/>
  <c r="R446" i="14"/>
  <c r="U446" i="14"/>
  <c r="F447" i="14"/>
  <c r="G447" i="14"/>
  <c r="H447" i="14"/>
  <c r="I447" i="14"/>
  <c r="J447" i="14"/>
  <c r="K447" i="14"/>
  <c r="L447" i="14"/>
  <c r="M447" i="14"/>
  <c r="N447" i="14"/>
  <c r="P447" i="14"/>
  <c r="Q447" i="14"/>
  <c r="R447" i="14"/>
  <c r="U447" i="14"/>
  <c r="F448" i="14"/>
  <c r="G448" i="14"/>
  <c r="H448" i="14"/>
  <c r="I448" i="14"/>
  <c r="J448" i="14"/>
  <c r="K448" i="14"/>
  <c r="L448" i="14"/>
  <c r="M448" i="14"/>
  <c r="N448" i="14"/>
  <c r="P448" i="14"/>
  <c r="Q448" i="14"/>
  <c r="R448" i="14"/>
  <c r="U448" i="14"/>
  <c r="F449" i="14"/>
  <c r="G449" i="14"/>
  <c r="H449" i="14"/>
  <c r="I449" i="14"/>
  <c r="J449" i="14"/>
  <c r="K449" i="14"/>
  <c r="L449" i="14"/>
  <c r="M449" i="14"/>
  <c r="N449" i="14"/>
  <c r="P449" i="14"/>
  <c r="Q449" i="14"/>
  <c r="R449" i="14"/>
  <c r="U449" i="14"/>
  <c r="F450" i="14"/>
  <c r="G450" i="14"/>
  <c r="H450" i="14"/>
  <c r="I450" i="14"/>
  <c r="J450" i="14"/>
  <c r="K450" i="14"/>
  <c r="L450" i="14"/>
  <c r="M450" i="14"/>
  <c r="N450" i="14"/>
  <c r="P450" i="14"/>
  <c r="Q450" i="14"/>
  <c r="R450" i="14"/>
  <c r="U450" i="14"/>
  <c r="F451" i="14"/>
  <c r="G451" i="14"/>
  <c r="H451" i="14"/>
  <c r="I451" i="14"/>
  <c r="J451" i="14"/>
  <c r="K451" i="14"/>
  <c r="L451" i="14"/>
  <c r="M451" i="14"/>
  <c r="N451" i="14"/>
  <c r="P451" i="14"/>
  <c r="Q451" i="14"/>
  <c r="R451" i="14"/>
  <c r="U451" i="14"/>
  <c r="F452" i="14"/>
  <c r="G452" i="14"/>
  <c r="H452" i="14"/>
  <c r="I452" i="14"/>
  <c r="J452" i="14"/>
  <c r="K452" i="14"/>
  <c r="L452" i="14"/>
  <c r="M452" i="14"/>
  <c r="N452" i="14"/>
  <c r="P452" i="14"/>
  <c r="Q452" i="14"/>
  <c r="R452" i="14"/>
  <c r="U452" i="14"/>
  <c r="F453" i="14"/>
  <c r="G453" i="14"/>
  <c r="H453" i="14"/>
  <c r="I453" i="14"/>
  <c r="J453" i="14"/>
  <c r="K453" i="14"/>
  <c r="L453" i="14"/>
  <c r="M453" i="14"/>
  <c r="N453" i="14"/>
  <c r="P453" i="14"/>
  <c r="Q453" i="14"/>
  <c r="R453" i="14"/>
  <c r="U453" i="14"/>
  <c r="F454" i="14"/>
  <c r="G454" i="14"/>
  <c r="H454" i="14"/>
  <c r="I454" i="14"/>
  <c r="J454" i="14"/>
  <c r="K454" i="14"/>
  <c r="L454" i="14"/>
  <c r="M454" i="14"/>
  <c r="N454" i="14"/>
  <c r="P454" i="14"/>
  <c r="Q454" i="14"/>
  <c r="R454" i="14"/>
  <c r="U454" i="14"/>
  <c r="F455" i="14"/>
  <c r="G455" i="14"/>
  <c r="H455" i="14"/>
  <c r="I455" i="14"/>
  <c r="J455" i="14"/>
  <c r="K455" i="14"/>
  <c r="L455" i="14"/>
  <c r="M455" i="14"/>
  <c r="N455" i="14"/>
  <c r="P455" i="14"/>
  <c r="Q455" i="14"/>
  <c r="R455" i="14"/>
  <c r="U455" i="14"/>
  <c r="F456" i="14"/>
  <c r="G456" i="14"/>
  <c r="H456" i="14"/>
  <c r="I456" i="14"/>
  <c r="J456" i="14"/>
  <c r="K456" i="14"/>
  <c r="L456" i="14"/>
  <c r="M456" i="14"/>
  <c r="N456" i="14"/>
  <c r="P456" i="14"/>
  <c r="Q456" i="14"/>
  <c r="R456" i="14"/>
  <c r="U456" i="14"/>
  <c r="F457" i="14"/>
  <c r="G457" i="14"/>
  <c r="H457" i="14"/>
  <c r="I457" i="14"/>
  <c r="J457" i="14"/>
  <c r="K457" i="14"/>
  <c r="L457" i="14"/>
  <c r="M457" i="14"/>
  <c r="N457" i="14"/>
  <c r="P457" i="14"/>
  <c r="Q457" i="14"/>
  <c r="R457" i="14"/>
  <c r="U457" i="14"/>
  <c r="F458" i="14"/>
  <c r="G458" i="14"/>
  <c r="H458" i="14"/>
  <c r="I458" i="14"/>
  <c r="J458" i="14"/>
  <c r="K458" i="14"/>
  <c r="L458" i="14"/>
  <c r="M458" i="14"/>
  <c r="N458" i="14"/>
  <c r="P458" i="14"/>
  <c r="Q458" i="14"/>
  <c r="R458" i="14"/>
  <c r="U458" i="14"/>
  <c r="F459" i="14"/>
  <c r="G459" i="14"/>
  <c r="H459" i="14"/>
  <c r="I459" i="14"/>
  <c r="J459" i="14"/>
  <c r="K459" i="14"/>
  <c r="L459" i="14"/>
  <c r="M459" i="14"/>
  <c r="N459" i="14"/>
  <c r="P459" i="14"/>
  <c r="Q459" i="14"/>
  <c r="R459" i="14"/>
  <c r="U459" i="14"/>
  <c r="F460" i="14"/>
  <c r="G460" i="14"/>
  <c r="H460" i="14"/>
  <c r="I460" i="14"/>
  <c r="J460" i="14"/>
  <c r="K460" i="14"/>
  <c r="L460" i="14"/>
  <c r="M460" i="14"/>
  <c r="N460" i="14"/>
  <c r="P460" i="14"/>
  <c r="Q460" i="14"/>
  <c r="R460" i="14"/>
  <c r="U460" i="14"/>
  <c r="F461" i="14"/>
  <c r="G461" i="14"/>
  <c r="H461" i="14"/>
  <c r="I461" i="14"/>
  <c r="J461" i="14"/>
  <c r="K461" i="14"/>
  <c r="L461" i="14"/>
  <c r="M461" i="14"/>
  <c r="N461" i="14"/>
  <c r="P461" i="14"/>
  <c r="Q461" i="14"/>
  <c r="R461" i="14"/>
  <c r="U461" i="14"/>
  <c r="F462" i="14"/>
  <c r="G462" i="14"/>
  <c r="H462" i="14"/>
  <c r="I462" i="14"/>
  <c r="J462" i="14"/>
  <c r="K462" i="14"/>
  <c r="L462" i="14"/>
  <c r="M462" i="14"/>
  <c r="N462" i="14"/>
  <c r="P462" i="14"/>
  <c r="Q462" i="14"/>
  <c r="R462" i="14"/>
  <c r="U462" i="14"/>
  <c r="F463" i="14"/>
  <c r="G463" i="14"/>
  <c r="H463" i="14"/>
  <c r="I463" i="14"/>
  <c r="J463" i="14"/>
  <c r="K463" i="14"/>
  <c r="L463" i="14"/>
  <c r="M463" i="14"/>
  <c r="N463" i="14"/>
  <c r="P463" i="14"/>
  <c r="Q463" i="14"/>
  <c r="R463" i="14"/>
  <c r="U463" i="14"/>
  <c r="F464" i="14"/>
  <c r="G464" i="14"/>
  <c r="H464" i="14"/>
  <c r="I464" i="14"/>
  <c r="J464" i="14"/>
  <c r="K464" i="14"/>
  <c r="L464" i="14"/>
  <c r="M464" i="14"/>
  <c r="N464" i="14"/>
  <c r="P464" i="14"/>
  <c r="Q464" i="14"/>
  <c r="R464" i="14"/>
  <c r="U464" i="14"/>
  <c r="F465" i="14"/>
  <c r="G465" i="14"/>
  <c r="H465" i="14"/>
  <c r="I465" i="14"/>
  <c r="J465" i="14"/>
  <c r="K465" i="14"/>
  <c r="L465" i="14"/>
  <c r="M465" i="14"/>
  <c r="N465" i="14"/>
  <c r="P465" i="14"/>
  <c r="Q465" i="14"/>
  <c r="R465" i="14"/>
  <c r="U465" i="14"/>
  <c r="F466" i="14"/>
  <c r="G466" i="14"/>
  <c r="H466" i="14"/>
  <c r="I466" i="14"/>
  <c r="J466" i="14"/>
  <c r="K466" i="14"/>
  <c r="L466" i="14"/>
  <c r="M466" i="14"/>
  <c r="N466" i="14"/>
  <c r="P466" i="14"/>
  <c r="Q466" i="14"/>
  <c r="R466" i="14"/>
  <c r="U466" i="14"/>
  <c r="F467" i="14"/>
  <c r="G467" i="14"/>
  <c r="H467" i="14"/>
  <c r="I467" i="14"/>
  <c r="J467" i="14"/>
  <c r="K467" i="14"/>
  <c r="L467" i="14"/>
  <c r="M467" i="14"/>
  <c r="N467" i="14"/>
  <c r="P467" i="14"/>
  <c r="Q467" i="14"/>
  <c r="R467" i="14"/>
  <c r="U467" i="14"/>
  <c r="F468" i="14"/>
  <c r="G468" i="14"/>
  <c r="H468" i="14"/>
  <c r="I468" i="14"/>
  <c r="J468" i="14"/>
  <c r="K468" i="14"/>
  <c r="L468" i="14"/>
  <c r="M468" i="14"/>
  <c r="N468" i="14"/>
  <c r="P468" i="14"/>
  <c r="Q468" i="14"/>
  <c r="R468" i="14"/>
  <c r="S468" i="14" s="1"/>
  <c r="U468" i="14"/>
  <c r="F469" i="14"/>
  <c r="G469" i="14"/>
  <c r="H469" i="14"/>
  <c r="I469" i="14"/>
  <c r="J469" i="14"/>
  <c r="K469" i="14"/>
  <c r="L469" i="14"/>
  <c r="M469" i="14"/>
  <c r="N469" i="14"/>
  <c r="P469" i="14"/>
  <c r="Q469" i="14"/>
  <c r="R469" i="14"/>
  <c r="U469" i="14"/>
  <c r="F470" i="14"/>
  <c r="G470" i="14"/>
  <c r="H470" i="14"/>
  <c r="I470" i="14"/>
  <c r="J470" i="14"/>
  <c r="K470" i="14"/>
  <c r="L470" i="14"/>
  <c r="M470" i="14"/>
  <c r="N470" i="14"/>
  <c r="P470" i="14"/>
  <c r="Q470" i="14"/>
  <c r="R470" i="14"/>
  <c r="U470" i="14"/>
  <c r="F471" i="14"/>
  <c r="G471" i="14"/>
  <c r="H471" i="14"/>
  <c r="I471" i="14"/>
  <c r="J471" i="14"/>
  <c r="K471" i="14"/>
  <c r="L471" i="14"/>
  <c r="M471" i="14"/>
  <c r="N471" i="14"/>
  <c r="P471" i="14"/>
  <c r="Q471" i="14"/>
  <c r="R471" i="14"/>
  <c r="U471" i="14"/>
  <c r="F472" i="14"/>
  <c r="G472" i="14"/>
  <c r="H472" i="14"/>
  <c r="I472" i="14"/>
  <c r="J472" i="14"/>
  <c r="K472" i="14"/>
  <c r="L472" i="14"/>
  <c r="M472" i="14"/>
  <c r="N472" i="14"/>
  <c r="P472" i="14"/>
  <c r="Q472" i="14"/>
  <c r="R472" i="14"/>
  <c r="U472" i="14"/>
  <c r="F473" i="14"/>
  <c r="G473" i="14"/>
  <c r="H473" i="14"/>
  <c r="I473" i="14"/>
  <c r="J473" i="14"/>
  <c r="K473" i="14"/>
  <c r="L473" i="14"/>
  <c r="M473" i="14"/>
  <c r="N473" i="14"/>
  <c r="P473" i="14"/>
  <c r="Q473" i="14"/>
  <c r="R473" i="14"/>
  <c r="U473" i="14"/>
  <c r="F474" i="14"/>
  <c r="G474" i="14"/>
  <c r="H474" i="14"/>
  <c r="I474" i="14"/>
  <c r="J474" i="14"/>
  <c r="K474" i="14"/>
  <c r="L474" i="14"/>
  <c r="M474" i="14"/>
  <c r="N474" i="14"/>
  <c r="P474" i="14"/>
  <c r="Q474" i="14"/>
  <c r="R474" i="14"/>
  <c r="U474" i="14"/>
  <c r="F475" i="14"/>
  <c r="G475" i="14"/>
  <c r="H475" i="14"/>
  <c r="I475" i="14"/>
  <c r="J475" i="14"/>
  <c r="K475" i="14"/>
  <c r="L475" i="14"/>
  <c r="M475" i="14"/>
  <c r="N475" i="14"/>
  <c r="P475" i="14"/>
  <c r="Q475" i="14"/>
  <c r="R475" i="14"/>
  <c r="U475" i="14"/>
  <c r="F476" i="14"/>
  <c r="G476" i="14"/>
  <c r="H476" i="14"/>
  <c r="I476" i="14"/>
  <c r="J476" i="14"/>
  <c r="K476" i="14"/>
  <c r="L476" i="14"/>
  <c r="M476" i="14"/>
  <c r="N476" i="14"/>
  <c r="P476" i="14"/>
  <c r="Q476" i="14"/>
  <c r="R476" i="14"/>
  <c r="U476" i="14"/>
  <c r="F477" i="14"/>
  <c r="G477" i="14"/>
  <c r="H477" i="14"/>
  <c r="I477" i="14"/>
  <c r="J477" i="14"/>
  <c r="K477" i="14"/>
  <c r="L477" i="14"/>
  <c r="M477" i="14"/>
  <c r="N477" i="14"/>
  <c r="P477" i="14"/>
  <c r="Q477" i="14"/>
  <c r="R477" i="14"/>
  <c r="U477" i="14"/>
  <c r="F478" i="14"/>
  <c r="G478" i="14"/>
  <c r="H478" i="14"/>
  <c r="I478" i="14"/>
  <c r="J478" i="14"/>
  <c r="K478" i="14"/>
  <c r="L478" i="14"/>
  <c r="M478" i="14"/>
  <c r="N478" i="14"/>
  <c r="P478" i="14"/>
  <c r="Q478" i="14"/>
  <c r="R478" i="14"/>
  <c r="U478" i="14"/>
  <c r="F479" i="14"/>
  <c r="G479" i="14"/>
  <c r="H479" i="14"/>
  <c r="I479" i="14"/>
  <c r="J479" i="14"/>
  <c r="K479" i="14"/>
  <c r="L479" i="14"/>
  <c r="M479" i="14"/>
  <c r="N479" i="14"/>
  <c r="P479" i="14"/>
  <c r="Q479" i="14"/>
  <c r="R479" i="14"/>
  <c r="U479" i="14"/>
  <c r="F480" i="14"/>
  <c r="G480" i="14"/>
  <c r="H480" i="14"/>
  <c r="I480" i="14"/>
  <c r="J480" i="14"/>
  <c r="K480" i="14"/>
  <c r="L480" i="14"/>
  <c r="M480" i="14"/>
  <c r="N480" i="14"/>
  <c r="P480" i="14"/>
  <c r="Q480" i="14"/>
  <c r="R480" i="14"/>
  <c r="U480" i="14"/>
  <c r="F481" i="14"/>
  <c r="G481" i="14"/>
  <c r="H481" i="14"/>
  <c r="I481" i="14"/>
  <c r="J481" i="14"/>
  <c r="K481" i="14"/>
  <c r="L481" i="14"/>
  <c r="M481" i="14"/>
  <c r="N481" i="14"/>
  <c r="P481" i="14"/>
  <c r="Q481" i="14"/>
  <c r="R481" i="14"/>
  <c r="U481" i="14"/>
  <c r="F482" i="14"/>
  <c r="G482" i="14"/>
  <c r="H482" i="14"/>
  <c r="I482" i="14"/>
  <c r="J482" i="14"/>
  <c r="K482" i="14"/>
  <c r="L482" i="14"/>
  <c r="M482" i="14"/>
  <c r="N482" i="14"/>
  <c r="P482" i="14"/>
  <c r="Q482" i="14"/>
  <c r="R482" i="14"/>
  <c r="U482" i="14"/>
  <c r="F483" i="14"/>
  <c r="G483" i="14"/>
  <c r="H483" i="14"/>
  <c r="I483" i="14"/>
  <c r="J483" i="14"/>
  <c r="K483" i="14"/>
  <c r="L483" i="14"/>
  <c r="M483" i="14"/>
  <c r="N483" i="14"/>
  <c r="P483" i="14"/>
  <c r="Q483" i="14"/>
  <c r="R483" i="14"/>
  <c r="U483" i="14"/>
  <c r="F484" i="14"/>
  <c r="G484" i="14"/>
  <c r="H484" i="14"/>
  <c r="I484" i="14"/>
  <c r="J484" i="14"/>
  <c r="K484" i="14"/>
  <c r="L484" i="14"/>
  <c r="M484" i="14"/>
  <c r="N484" i="14"/>
  <c r="P484" i="14"/>
  <c r="Q484" i="14"/>
  <c r="R484" i="14"/>
  <c r="U484" i="14"/>
  <c r="F485" i="14"/>
  <c r="G485" i="14"/>
  <c r="H485" i="14"/>
  <c r="I485" i="14"/>
  <c r="J485" i="14"/>
  <c r="K485" i="14"/>
  <c r="L485" i="14"/>
  <c r="M485" i="14"/>
  <c r="N485" i="14"/>
  <c r="P485" i="14"/>
  <c r="Q485" i="14"/>
  <c r="R485" i="14"/>
  <c r="U485" i="14"/>
  <c r="F486" i="14"/>
  <c r="G486" i="14"/>
  <c r="H486" i="14"/>
  <c r="I486" i="14"/>
  <c r="J486" i="14"/>
  <c r="K486" i="14"/>
  <c r="L486" i="14"/>
  <c r="M486" i="14"/>
  <c r="N486" i="14"/>
  <c r="P486" i="14"/>
  <c r="Q486" i="14"/>
  <c r="R486" i="14"/>
  <c r="U486" i="14"/>
  <c r="F487" i="14"/>
  <c r="G487" i="14"/>
  <c r="H487" i="14"/>
  <c r="I487" i="14"/>
  <c r="J487" i="14"/>
  <c r="K487" i="14"/>
  <c r="L487" i="14"/>
  <c r="M487" i="14"/>
  <c r="N487" i="14"/>
  <c r="P487" i="14"/>
  <c r="Q487" i="14"/>
  <c r="R487" i="14"/>
  <c r="U487" i="14"/>
  <c r="F488" i="14"/>
  <c r="G488" i="14"/>
  <c r="H488" i="14"/>
  <c r="I488" i="14"/>
  <c r="J488" i="14"/>
  <c r="K488" i="14"/>
  <c r="L488" i="14"/>
  <c r="M488" i="14"/>
  <c r="N488" i="14"/>
  <c r="P488" i="14"/>
  <c r="Q488" i="14"/>
  <c r="R488" i="14"/>
  <c r="U488" i="14"/>
  <c r="F489" i="14"/>
  <c r="G489" i="14"/>
  <c r="H489" i="14"/>
  <c r="I489" i="14"/>
  <c r="J489" i="14"/>
  <c r="K489" i="14"/>
  <c r="L489" i="14"/>
  <c r="M489" i="14"/>
  <c r="N489" i="14"/>
  <c r="P489" i="14"/>
  <c r="Q489" i="14"/>
  <c r="R489" i="14"/>
  <c r="U489" i="14"/>
  <c r="F490" i="14"/>
  <c r="G490" i="14"/>
  <c r="H490" i="14"/>
  <c r="I490" i="14"/>
  <c r="J490" i="14"/>
  <c r="K490" i="14"/>
  <c r="L490" i="14"/>
  <c r="M490" i="14"/>
  <c r="N490" i="14"/>
  <c r="P490" i="14"/>
  <c r="Q490" i="14"/>
  <c r="R490" i="14"/>
  <c r="U490" i="14"/>
  <c r="F491" i="14"/>
  <c r="G491" i="14"/>
  <c r="H491" i="14"/>
  <c r="I491" i="14"/>
  <c r="J491" i="14"/>
  <c r="K491" i="14"/>
  <c r="L491" i="14"/>
  <c r="M491" i="14"/>
  <c r="N491" i="14"/>
  <c r="P491" i="14"/>
  <c r="Q491" i="14"/>
  <c r="R491" i="14"/>
  <c r="U491" i="14"/>
  <c r="F492" i="14"/>
  <c r="G492" i="14"/>
  <c r="H492" i="14"/>
  <c r="I492" i="14"/>
  <c r="J492" i="14"/>
  <c r="K492" i="14"/>
  <c r="L492" i="14"/>
  <c r="M492" i="14"/>
  <c r="N492" i="14"/>
  <c r="P492" i="14"/>
  <c r="Q492" i="14"/>
  <c r="R492" i="14"/>
  <c r="U492" i="14"/>
  <c r="F493" i="14"/>
  <c r="G493" i="14"/>
  <c r="H493" i="14"/>
  <c r="I493" i="14"/>
  <c r="J493" i="14"/>
  <c r="K493" i="14"/>
  <c r="L493" i="14"/>
  <c r="M493" i="14"/>
  <c r="N493" i="14"/>
  <c r="P493" i="14"/>
  <c r="Q493" i="14"/>
  <c r="R493" i="14"/>
  <c r="U493" i="14"/>
  <c r="F494" i="14"/>
  <c r="G494" i="14"/>
  <c r="H494" i="14"/>
  <c r="I494" i="14"/>
  <c r="J494" i="14"/>
  <c r="K494" i="14"/>
  <c r="L494" i="14"/>
  <c r="M494" i="14"/>
  <c r="N494" i="14"/>
  <c r="P494" i="14"/>
  <c r="Q494" i="14"/>
  <c r="R494" i="14"/>
  <c r="U494" i="14"/>
  <c r="F495" i="14"/>
  <c r="G495" i="14"/>
  <c r="H495" i="14"/>
  <c r="I495" i="14"/>
  <c r="J495" i="14"/>
  <c r="K495" i="14"/>
  <c r="L495" i="14"/>
  <c r="M495" i="14"/>
  <c r="N495" i="14"/>
  <c r="P495" i="14"/>
  <c r="Q495" i="14"/>
  <c r="R495" i="14"/>
  <c r="U495" i="14"/>
  <c r="F496" i="14"/>
  <c r="G496" i="14"/>
  <c r="H496" i="14"/>
  <c r="I496" i="14"/>
  <c r="J496" i="14"/>
  <c r="K496" i="14"/>
  <c r="L496" i="14"/>
  <c r="M496" i="14"/>
  <c r="N496" i="14"/>
  <c r="P496" i="14"/>
  <c r="U496" i="14" s="1"/>
  <c r="Q496" i="14"/>
  <c r="R496" i="14"/>
  <c r="F497" i="14"/>
  <c r="G497" i="14"/>
  <c r="H497" i="14"/>
  <c r="I497" i="14"/>
  <c r="J497" i="14"/>
  <c r="K497" i="14"/>
  <c r="L497" i="14"/>
  <c r="M497" i="14"/>
  <c r="N497" i="14"/>
  <c r="P497" i="14"/>
  <c r="Q497" i="14"/>
  <c r="R497" i="14"/>
  <c r="U497" i="14"/>
  <c r="F498" i="14"/>
  <c r="G498" i="14"/>
  <c r="H498" i="14"/>
  <c r="I498" i="14"/>
  <c r="J498" i="14"/>
  <c r="K498" i="14"/>
  <c r="L498" i="14"/>
  <c r="M498" i="14"/>
  <c r="N498" i="14"/>
  <c r="P498" i="14"/>
  <c r="Q498" i="14"/>
  <c r="R498" i="14"/>
  <c r="U498" i="14"/>
  <c r="F499" i="14"/>
  <c r="G499" i="14"/>
  <c r="H499" i="14"/>
  <c r="I499" i="14"/>
  <c r="J499" i="14"/>
  <c r="K499" i="14"/>
  <c r="L499" i="14"/>
  <c r="M499" i="14"/>
  <c r="N499" i="14"/>
  <c r="P499" i="14"/>
  <c r="Q499" i="14"/>
  <c r="R499" i="14"/>
  <c r="U499" i="14"/>
  <c r="F500" i="14"/>
  <c r="G500" i="14"/>
  <c r="H500" i="14"/>
  <c r="I500" i="14"/>
  <c r="J500" i="14"/>
  <c r="K500" i="14"/>
  <c r="L500" i="14"/>
  <c r="M500" i="14"/>
  <c r="N500" i="14"/>
  <c r="P500" i="14"/>
  <c r="Q500" i="14"/>
  <c r="R500" i="14"/>
  <c r="T500" i="14"/>
  <c r="U500" i="14"/>
  <c r="V500" i="14"/>
  <c r="F501" i="14"/>
  <c r="G501" i="14"/>
  <c r="H501" i="14"/>
  <c r="I501" i="14"/>
  <c r="J501" i="14"/>
  <c r="K501" i="14"/>
  <c r="L501" i="14"/>
  <c r="M501" i="14"/>
  <c r="N501" i="14"/>
  <c r="P501" i="14"/>
  <c r="Q501" i="14"/>
  <c r="R501" i="14"/>
  <c r="S501" i="14" s="1"/>
  <c r="T501" i="14"/>
  <c r="U501" i="14"/>
  <c r="V501" i="14"/>
  <c r="F502" i="14"/>
  <c r="G502" i="14"/>
  <c r="H502" i="14"/>
  <c r="I502" i="14"/>
  <c r="J502" i="14"/>
  <c r="K502" i="14"/>
  <c r="L502" i="14"/>
  <c r="M502" i="14"/>
  <c r="N502" i="14"/>
  <c r="P502" i="14"/>
  <c r="Q502" i="14"/>
  <c r="R502" i="14"/>
  <c r="T502" i="14"/>
  <c r="U502" i="14"/>
  <c r="V502" i="14"/>
  <c r="F503" i="14"/>
  <c r="G503" i="14"/>
  <c r="H503" i="14"/>
  <c r="I503" i="14"/>
  <c r="J503" i="14"/>
  <c r="K503" i="14"/>
  <c r="L503" i="14"/>
  <c r="M503" i="14"/>
  <c r="N503" i="14"/>
  <c r="P503" i="14"/>
  <c r="Q503" i="14"/>
  <c r="R503" i="14"/>
  <c r="T503" i="14"/>
  <c r="U503" i="14"/>
  <c r="V503" i="14"/>
  <c r="F504" i="14"/>
  <c r="G504" i="14"/>
  <c r="H504" i="14"/>
  <c r="I504" i="14"/>
  <c r="J504" i="14"/>
  <c r="K504" i="14"/>
  <c r="L504" i="14"/>
  <c r="M504" i="14"/>
  <c r="N504" i="14"/>
  <c r="P504" i="14"/>
  <c r="Q504" i="14"/>
  <c r="R504" i="14"/>
  <c r="T504" i="14"/>
  <c r="U504" i="14"/>
  <c r="V504" i="14"/>
  <c r="F505" i="14"/>
  <c r="G505" i="14"/>
  <c r="H505" i="14"/>
  <c r="I505" i="14"/>
  <c r="J505" i="14"/>
  <c r="K505" i="14"/>
  <c r="L505" i="14"/>
  <c r="M505" i="14"/>
  <c r="N505" i="14"/>
  <c r="P505" i="14"/>
  <c r="Q505" i="14"/>
  <c r="R505" i="14"/>
  <c r="T505" i="14"/>
  <c r="U505" i="14"/>
  <c r="V505" i="14"/>
  <c r="F506" i="14"/>
  <c r="G506" i="14"/>
  <c r="H506" i="14"/>
  <c r="I506" i="14"/>
  <c r="J506" i="14"/>
  <c r="K506" i="14"/>
  <c r="L506" i="14"/>
  <c r="M506" i="14"/>
  <c r="N506" i="14"/>
  <c r="P506" i="14"/>
  <c r="Q506" i="14"/>
  <c r="R506" i="14"/>
  <c r="T506" i="14"/>
  <c r="U506" i="14"/>
  <c r="V506" i="14"/>
  <c r="F507" i="14"/>
  <c r="G507" i="14"/>
  <c r="H507" i="14"/>
  <c r="I507" i="14"/>
  <c r="J507" i="14"/>
  <c r="K507" i="14"/>
  <c r="L507" i="14"/>
  <c r="M507" i="14"/>
  <c r="N507" i="14"/>
  <c r="P507" i="14"/>
  <c r="Q507" i="14"/>
  <c r="R507" i="14"/>
  <c r="T507" i="14"/>
  <c r="U507" i="14"/>
  <c r="V507" i="14"/>
  <c r="F508" i="14"/>
  <c r="G508" i="14"/>
  <c r="H508" i="14"/>
  <c r="I508" i="14"/>
  <c r="J508" i="14"/>
  <c r="K508" i="14"/>
  <c r="L508" i="14"/>
  <c r="M508" i="14"/>
  <c r="N508" i="14"/>
  <c r="P508" i="14"/>
  <c r="Q508" i="14"/>
  <c r="R508" i="14"/>
  <c r="T508" i="14"/>
  <c r="U508" i="14"/>
  <c r="V508" i="14"/>
  <c r="F509" i="14"/>
  <c r="G509" i="14"/>
  <c r="H509" i="14"/>
  <c r="I509" i="14"/>
  <c r="J509" i="14"/>
  <c r="K509" i="14"/>
  <c r="L509" i="14"/>
  <c r="M509" i="14"/>
  <c r="N509" i="14"/>
  <c r="P509" i="14"/>
  <c r="Q509" i="14"/>
  <c r="R509" i="14"/>
  <c r="T509" i="14"/>
  <c r="U509" i="14"/>
  <c r="V509" i="14"/>
  <c r="F510" i="14"/>
  <c r="G510" i="14"/>
  <c r="H510" i="14"/>
  <c r="I510" i="14"/>
  <c r="J510" i="14"/>
  <c r="K510" i="14"/>
  <c r="L510" i="14"/>
  <c r="M510" i="14"/>
  <c r="N510" i="14"/>
  <c r="P510" i="14"/>
  <c r="Q510" i="14"/>
  <c r="R510" i="14"/>
  <c r="T510" i="14"/>
  <c r="U510" i="14"/>
  <c r="V510" i="14"/>
  <c r="F511" i="14"/>
  <c r="G511" i="14"/>
  <c r="H511" i="14"/>
  <c r="I511" i="14"/>
  <c r="J511" i="14"/>
  <c r="K511" i="14"/>
  <c r="L511" i="14"/>
  <c r="M511" i="14"/>
  <c r="N511" i="14"/>
  <c r="P511" i="14"/>
  <c r="Q511" i="14"/>
  <c r="R511" i="14"/>
  <c r="T511" i="14"/>
  <c r="U511" i="14"/>
  <c r="V511" i="14"/>
  <c r="F512" i="14"/>
  <c r="G512" i="14"/>
  <c r="H512" i="14"/>
  <c r="I512" i="14"/>
  <c r="J512" i="14"/>
  <c r="K512" i="14"/>
  <c r="L512" i="14"/>
  <c r="M512" i="14"/>
  <c r="N512" i="14"/>
  <c r="P512" i="14"/>
  <c r="Q512" i="14"/>
  <c r="R512" i="14"/>
  <c r="T512" i="14"/>
  <c r="U512" i="14"/>
  <c r="V512" i="14"/>
  <c r="F513" i="14"/>
  <c r="G513" i="14"/>
  <c r="H513" i="14"/>
  <c r="I513" i="14"/>
  <c r="J513" i="14"/>
  <c r="K513" i="14"/>
  <c r="L513" i="14"/>
  <c r="M513" i="14"/>
  <c r="N513" i="14"/>
  <c r="P513" i="14"/>
  <c r="Q513" i="14"/>
  <c r="R513" i="14"/>
  <c r="T513" i="14"/>
  <c r="U513" i="14"/>
  <c r="V513" i="14"/>
  <c r="F514" i="14"/>
  <c r="G514" i="14"/>
  <c r="H514" i="14"/>
  <c r="I514" i="14"/>
  <c r="J514" i="14"/>
  <c r="K514" i="14"/>
  <c r="L514" i="14"/>
  <c r="M514" i="14"/>
  <c r="N514" i="14"/>
  <c r="P514" i="14"/>
  <c r="Q514" i="14"/>
  <c r="R514" i="14"/>
  <c r="T514" i="14"/>
  <c r="U514" i="14"/>
  <c r="V514" i="14"/>
  <c r="F515" i="14"/>
  <c r="G515" i="14"/>
  <c r="H515" i="14"/>
  <c r="I515" i="14"/>
  <c r="J515" i="14"/>
  <c r="K515" i="14"/>
  <c r="L515" i="14"/>
  <c r="M515" i="14"/>
  <c r="N515" i="14"/>
  <c r="P515" i="14"/>
  <c r="Q515" i="14"/>
  <c r="R515" i="14"/>
  <c r="T515" i="14"/>
  <c r="U515" i="14"/>
  <c r="V515" i="14"/>
  <c r="F516" i="14"/>
  <c r="G516" i="14"/>
  <c r="H516" i="14"/>
  <c r="I516" i="14"/>
  <c r="J516" i="14"/>
  <c r="K516" i="14"/>
  <c r="L516" i="14"/>
  <c r="M516" i="14"/>
  <c r="N516" i="14"/>
  <c r="P516" i="14"/>
  <c r="Q516" i="14"/>
  <c r="R516" i="14"/>
  <c r="T516" i="14"/>
  <c r="U516" i="14"/>
  <c r="V516" i="14"/>
  <c r="F517" i="14"/>
  <c r="G517" i="14"/>
  <c r="H517" i="14"/>
  <c r="I517" i="14"/>
  <c r="J517" i="14"/>
  <c r="K517" i="14"/>
  <c r="L517" i="14"/>
  <c r="M517" i="14"/>
  <c r="N517" i="14"/>
  <c r="P517" i="14"/>
  <c r="Q517" i="14"/>
  <c r="R517" i="14"/>
  <c r="T517" i="14"/>
  <c r="U517" i="14"/>
  <c r="V517" i="14"/>
  <c r="F518" i="14"/>
  <c r="G518" i="14"/>
  <c r="H518" i="14"/>
  <c r="I518" i="14"/>
  <c r="J518" i="14"/>
  <c r="K518" i="14"/>
  <c r="L518" i="14"/>
  <c r="M518" i="14"/>
  <c r="N518" i="14"/>
  <c r="P518" i="14"/>
  <c r="Q518" i="14"/>
  <c r="R518" i="14"/>
  <c r="T518" i="14"/>
  <c r="U518" i="14"/>
  <c r="V518" i="14"/>
  <c r="F519" i="14"/>
  <c r="G519" i="14"/>
  <c r="H519" i="14"/>
  <c r="I519" i="14"/>
  <c r="J519" i="14"/>
  <c r="K519" i="14"/>
  <c r="L519" i="14"/>
  <c r="M519" i="14"/>
  <c r="N519" i="14"/>
  <c r="P519" i="14"/>
  <c r="Q519" i="14"/>
  <c r="R519" i="14"/>
  <c r="T519" i="14"/>
  <c r="U519" i="14"/>
  <c r="V519" i="14"/>
  <c r="F520" i="14"/>
  <c r="G520" i="14"/>
  <c r="H520" i="14"/>
  <c r="I520" i="14"/>
  <c r="J520" i="14"/>
  <c r="K520" i="14"/>
  <c r="L520" i="14"/>
  <c r="M520" i="14"/>
  <c r="N520" i="14"/>
  <c r="P520" i="14"/>
  <c r="Q520" i="14"/>
  <c r="R520" i="14"/>
  <c r="T520" i="14"/>
  <c r="U520" i="14"/>
  <c r="V520" i="14"/>
  <c r="F521" i="14"/>
  <c r="G521" i="14"/>
  <c r="H521" i="14"/>
  <c r="I521" i="14"/>
  <c r="J521" i="14"/>
  <c r="K521" i="14"/>
  <c r="L521" i="14"/>
  <c r="M521" i="14"/>
  <c r="N521" i="14"/>
  <c r="P521" i="14"/>
  <c r="Q521" i="14"/>
  <c r="R521" i="14"/>
  <c r="T521" i="14"/>
  <c r="U521" i="14"/>
  <c r="V521" i="14"/>
  <c r="F522" i="14"/>
  <c r="G522" i="14"/>
  <c r="H522" i="14"/>
  <c r="I522" i="14"/>
  <c r="J522" i="14"/>
  <c r="K522" i="14"/>
  <c r="L522" i="14"/>
  <c r="M522" i="14"/>
  <c r="N522" i="14"/>
  <c r="P522" i="14"/>
  <c r="Q522" i="14"/>
  <c r="R522" i="14"/>
  <c r="T522" i="14"/>
  <c r="U522" i="14"/>
  <c r="V522" i="14"/>
  <c r="F523" i="14"/>
  <c r="G523" i="14"/>
  <c r="H523" i="14"/>
  <c r="I523" i="14"/>
  <c r="J523" i="14"/>
  <c r="K523" i="14"/>
  <c r="L523" i="14"/>
  <c r="M523" i="14"/>
  <c r="N523" i="14"/>
  <c r="P523" i="14"/>
  <c r="Q523" i="14"/>
  <c r="R523" i="14"/>
  <c r="T523" i="14"/>
  <c r="U523" i="14"/>
  <c r="V523" i="14"/>
  <c r="F524" i="14"/>
  <c r="G524" i="14"/>
  <c r="H524" i="14"/>
  <c r="I524" i="14"/>
  <c r="J524" i="14"/>
  <c r="K524" i="14"/>
  <c r="L524" i="14"/>
  <c r="M524" i="14"/>
  <c r="N524" i="14"/>
  <c r="P524" i="14"/>
  <c r="Q524" i="14"/>
  <c r="R524" i="14"/>
  <c r="T524" i="14"/>
  <c r="U524" i="14"/>
  <c r="V524" i="14"/>
  <c r="F525" i="14"/>
  <c r="G525" i="14"/>
  <c r="H525" i="14"/>
  <c r="I525" i="14"/>
  <c r="J525" i="14"/>
  <c r="K525" i="14"/>
  <c r="L525" i="14"/>
  <c r="M525" i="14"/>
  <c r="N525" i="14"/>
  <c r="P525" i="14"/>
  <c r="Q525" i="14"/>
  <c r="R525" i="14"/>
  <c r="T525" i="14"/>
  <c r="U525" i="14"/>
  <c r="V525" i="14"/>
  <c r="F526" i="14"/>
  <c r="G526" i="14"/>
  <c r="H526" i="14"/>
  <c r="I526" i="14"/>
  <c r="J526" i="14"/>
  <c r="K526" i="14"/>
  <c r="L526" i="14"/>
  <c r="M526" i="14"/>
  <c r="N526" i="14"/>
  <c r="P526" i="14"/>
  <c r="Q526" i="14"/>
  <c r="R526" i="14"/>
  <c r="T526" i="14"/>
  <c r="U526" i="14"/>
  <c r="V526" i="14"/>
  <c r="F527" i="14"/>
  <c r="G527" i="14"/>
  <c r="H527" i="14"/>
  <c r="I527" i="14"/>
  <c r="J527" i="14"/>
  <c r="K527" i="14"/>
  <c r="L527" i="14"/>
  <c r="M527" i="14"/>
  <c r="N527" i="14"/>
  <c r="P527" i="14"/>
  <c r="Q527" i="14"/>
  <c r="R527" i="14"/>
  <c r="T527" i="14"/>
  <c r="U527" i="14"/>
  <c r="V527" i="14"/>
  <c r="F528" i="14"/>
  <c r="G528" i="14"/>
  <c r="H528" i="14"/>
  <c r="I528" i="14"/>
  <c r="J528" i="14"/>
  <c r="K528" i="14"/>
  <c r="L528" i="14"/>
  <c r="M528" i="14"/>
  <c r="N528" i="14"/>
  <c r="P528" i="14"/>
  <c r="Q528" i="14"/>
  <c r="R528" i="14"/>
  <c r="T528" i="14"/>
  <c r="U528" i="14"/>
  <c r="V528" i="14"/>
  <c r="F529" i="14"/>
  <c r="G529" i="14"/>
  <c r="H529" i="14"/>
  <c r="I529" i="14"/>
  <c r="J529" i="14"/>
  <c r="K529" i="14"/>
  <c r="L529" i="14"/>
  <c r="M529" i="14"/>
  <c r="N529" i="14"/>
  <c r="P529" i="14"/>
  <c r="Q529" i="14"/>
  <c r="R529" i="14"/>
  <c r="T529" i="14"/>
  <c r="U529" i="14"/>
  <c r="V529" i="14"/>
  <c r="F530" i="14"/>
  <c r="G530" i="14"/>
  <c r="H530" i="14"/>
  <c r="I530" i="14"/>
  <c r="J530" i="14"/>
  <c r="K530" i="14"/>
  <c r="L530" i="14"/>
  <c r="M530" i="14"/>
  <c r="N530" i="14"/>
  <c r="P530" i="14"/>
  <c r="Q530" i="14"/>
  <c r="R530" i="14"/>
  <c r="T530" i="14"/>
  <c r="U530" i="14"/>
  <c r="V530" i="14"/>
  <c r="F531" i="14"/>
  <c r="G531" i="14"/>
  <c r="H531" i="14"/>
  <c r="I531" i="14"/>
  <c r="J531" i="14"/>
  <c r="K531" i="14"/>
  <c r="L531" i="14"/>
  <c r="M531" i="14"/>
  <c r="N531" i="14"/>
  <c r="P531" i="14"/>
  <c r="Q531" i="14"/>
  <c r="R531" i="14"/>
  <c r="T531" i="14"/>
  <c r="U531" i="14"/>
  <c r="V531" i="14"/>
  <c r="F532" i="14"/>
  <c r="G532" i="14"/>
  <c r="H532" i="14"/>
  <c r="I532" i="14"/>
  <c r="J532" i="14"/>
  <c r="K532" i="14"/>
  <c r="L532" i="14"/>
  <c r="M532" i="14"/>
  <c r="N532" i="14"/>
  <c r="P532" i="14"/>
  <c r="Q532" i="14"/>
  <c r="R532" i="14"/>
  <c r="T532" i="14"/>
  <c r="U532" i="14"/>
  <c r="V532" i="14"/>
  <c r="F533" i="14"/>
  <c r="G533" i="14"/>
  <c r="H533" i="14"/>
  <c r="I533" i="14"/>
  <c r="J533" i="14"/>
  <c r="K533" i="14"/>
  <c r="L533" i="14"/>
  <c r="M533" i="14"/>
  <c r="N533" i="14"/>
  <c r="P533" i="14"/>
  <c r="Q533" i="14"/>
  <c r="R533" i="14"/>
  <c r="T533" i="14"/>
  <c r="U533" i="14"/>
  <c r="V533" i="14"/>
  <c r="F534" i="14"/>
  <c r="G534" i="14"/>
  <c r="H534" i="14"/>
  <c r="I534" i="14"/>
  <c r="J534" i="14"/>
  <c r="K534" i="14"/>
  <c r="L534" i="14"/>
  <c r="M534" i="14"/>
  <c r="N534" i="14"/>
  <c r="P534" i="14"/>
  <c r="Q534" i="14"/>
  <c r="R534" i="14"/>
  <c r="T534" i="14"/>
  <c r="U534" i="14"/>
  <c r="V534" i="14"/>
  <c r="F535" i="14"/>
  <c r="G535" i="14"/>
  <c r="H535" i="14"/>
  <c r="I535" i="14"/>
  <c r="J535" i="14"/>
  <c r="K535" i="14"/>
  <c r="L535" i="14"/>
  <c r="M535" i="14"/>
  <c r="N535" i="14"/>
  <c r="P535" i="14"/>
  <c r="Q535" i="14"/>
  <c r="R535" i="14"/>
  <c r="T535" i="14"/>
  <c r="U535" i="14"/>
  <c r="V535" i="14"/>
  <c r="F536" i="14"/>
  <c r="G536" i="14"/>
  <c r="H536" i="14"/>
  <c r="I536" i="14"/>
  <c r="J536" i="14"/>
  <c r="K536" i="14"/>
  <c r="L536" i="14"/>
  <c r="M536" i="14"/>
  <c r="N536" i="14"/>
  <c r="P536" i="14"/>
  <c r="Q536" i="14"/>
  <c r="R536" i="14"/>
  <c r="T536" i="14"/>
  <c r="U536" i="14"/>
  <c r="V536" i="14"/>
  <c r="F537" i="14"/>
  <c r="G537" i="14"/>
  <c r="H537" i="14"/>
  <c r="I537" i="14"/>
  <c r="J537" i="14"/>
  <c r="K537" i="14"/>
  <c r="L537" i="14"/>
  <c r="M537" i="14"/>
  <c r="N537" i="14"/>
  <c r="P537" i="14"/>
  <c r="Q537" i="14"/>
  <c r="R537" i="14"/>
  <c r="T537" i="14"/>
  <c r="U537" i="14"/>
  <c r="V537" i="14"/>
  <c r="F538" i="14"/>
  <c r="G538" i="14"/>
  <c r="H538" i="14"/>
  <c r="I538" i="14"/>
  <c r="J538" i="14"/>
  <c r="K538" i="14"/>
  <c r="L538" i="14"/>
  <c r="M538" i="14"/>
  <c r="N538" i="14"/>
  <c r="P538" i="14"/>
  <c r="Q538" i="14"/>
  <c r="R538" i="14"/>
  <c r="T538" i="14"/>
  <c r="U538" i="14"/>
  <c r="V538" i="14"/>
  <c r="F539" i="14"/>
  <c r="G539" i="14"/>
  <c r="H539" i="14"/>
  <c r="I539" i="14"/>
  <c r="J539" i="14"/>
  <c r="K539" i="14"/>
  <c r="L539" i="14"/>
  <c r="M539" i="14"/>
  <c r="N539" i="14"/>
  <c r="P539" i="14"/>
  <c r="Q539" i="14"/>
  <c r="R539" i="14"/>
  <c r="T539" i="14"/>
  <c r="U539" i="14"/>
  <c r="V539" i="14"/>
  <c r="F540" i="14"/>
  <c r="G540" i="14"/>
  <c r="H540" i="14"/>
  <c r="I540" i="14"/>
  <c r="J540" i="14"/>
  <c r="K540" i="14"/>
  <c r="L540" i="14"/>
  <c r="M540" i="14"/>
  <c r="N540" i="14"/>
  <c r="P540" i="14"/>
  <c r="Q540" i="14"/>
  <c r="R540" i="14"/>
  <c r="T540" i="14"/>
  <c r="U540" i="14"/>
  <c r="V540" i="14"/>
  <c r="F541" i="14"/>
  <c r="G541" i="14"/>
  <c r="H541" i="14"/>
  <c r="I541" i="14"/>
  <c r="J541" i="14"/>
  <c r="K541" i="14"/>
  <c r="L541" i="14"/>
  <c r="M541" i="14"/>
  <c r="N541" i="14"/>
  <c r="P541" i="14"/>
  <c r="Q541" i="14"/>
  <c r="R541" i="14"/>
  <c r="T541" i="14"/>
  <c r="U541" i="14"/>
  <c r="V541" i="14"/>
  <c r="F542" i="14"/>
  <c r="G542" i="14"/>
  <c r="H542" i="14"/>
  <c r="I542" i="14"/>
  <c r="J542" i="14"/>
  <c r="K542" i="14"/>
  <c r="L542" i="14"/>
  <c r="M542" i="14"/>
  <c r="N542" i="14"/>
  <c r="P542" i="14"/>
  <c r="Q542" i="14"/>
  <c r="R542" i="14"/>
  <c r="T542" i="14"/>
  <c r="U542" i="14"/>
  <c r="V542" i="14"/>
  <c r="F543" i="14"/>
  <c r="G543" i="14"/>
  <c r="H543" i="14"/>
  <c r="I543" i="14"/>
  <c r="J543" i="14"/>
  <c r="K543" i="14"/>
  <c r="L543" i="14"/>
  <c r="M543" i="14"/>
  <c r="N543" i="14"/>
  <c r="P543" i="14"/>
  <c r="Q543" i="14"/>
  <c r="R543" i="14"/>
  <c r="S543" i="14" s="1"/>
  <c r="T543" i="14"/>
  <c r="U543" i="14"/>
  <c r="V543" i="14"/>
  <c r="F544" i="14"/>
  <c r="G544" i="14"/>
  <c r="H544" i="14"/>
  <c r="I544" i="14"/>
  <c r="J544" i="14"/>
  <c r="K544" i="14"/>
  <c r="L544" i="14"/>
  <c r="M544" i="14"/>
  <c r="N544" i="14"/>
  <c r="P544" i="14"/>
  <c r="Q544" i="14"/>
  <c r="R544" i="14"/>
  <c r="S544" i="14" s="1"/>
  <c r="T544" i="14"/>
  <c r="U544" i="14"/>
  <c r="V544" i="14"/>
  <c r="F545" i="14"/>
  <c r="G545" i="14"/>
  <c r="H545" i="14"/>
  <c r="I545" i="14"/>
  <c r="J545" i="14"/>
  <c r="K545" i="14"/>
  <c r="L545" i="14"/>
  <c r="M545" i="14"/>
  <c r="N545" i="14"/>
  <c r="P545" i="14"/>
  <c r="Q545" i="14"/>
  <c r="R545" i="14"/>
  <c r="S545" i="14" s="1"/>
  <c r="T545" i="14"/>
  <c r="U545" i="14"/>
  <c r="V545" i="14"/>
  <c r="F546" i="14"/>
  <c r="G546" i="14"/>
  <c r="H546" i="14"/>
  <c r="I546" i="14"/>
  <c r="J546" i="14"/>
  <c r="K546" i="14"/>
  <c r="L546" i="14"/>
  <c r="M546" i="14"/>
  <c r="N546" i="14"/>
  <c r="P546" i="14"/>
  <c r="Q546" i="14"/>
  <c r="R546" i="14"/>
  <c r="S546" i="14" s="1"/>
  <c r="T546" i="14"/>
  <c r="U546" i="14"/>
  <c r="V546" i="14"/>
  <c r="F547" i="14"/>
  <c r="G547" i="14"/>
  <c r="H547" i="14"/>
  <c r="I547" i="14"/>
  <c r="J547" i="14"/>
  <c r="K547" i="14"/>
  <c r="L547" i="14"/>
  <c r="M547" i="14"/>
  <c r="N547" i="14"/>
  <c r="P547" i="14"/>
  <c r="Q547" i="14"/>
  <c r="R547" i="14"/>
  <c r="S547" i="14" s="1"/>
  <c r="T547" i="14"/>
  <c r="U547" i="14"/>
  <c r="V547" i="14"/>
  <c r="F548" i="14"/>
  <c r="G548" i="14"/>
  <c r="H548" i="14"/>
  <c r="I548" i="14"/>
  <c r="J548" i="14"/>
  <c r="K548" i="14"/>
  <c r="L548" i="14"/>
  <c r="M548" i="14"/>
  <c r="N548" i="14"/>
  <c r="P548" i="14"/>
  <c r="Q548" i="14"/>
  <c r="R548" i="14"/>
  <c r="S548" i="14" s="1"/>
  <c r="T548" i="14"/>
  <c r="U548" i="14"/>
  <c r="V548" i="14"/>
  <c r="F549" i="14"/>
  <c r="G549" i="14"/>
  <c r="H549" i="14"/>
  <c r="I549" i="14"/>
  <c r="J549" i="14"/>
  <c r="K549" i="14"/>
  <c r="L549" i="14"/>
  <c r="M549" i="14"/>
  <c r="N549" i="14"/>
  <c r="P549" i="14"/>
  <c r="Q549" i="14"/>
  <c r="R549" i="14"/>
  <c r="S549" i="14" s="1"/>
  <c r="T549" i="14"/>
  <c r="U549" i="14"/>
  <c r="V549" i="14"/>
  <c r="F550" i="14"/>
  <c r="G550" i="14"/>
  <c r="H550" i="14"/>
  <c r="I550" i="14"/>
  <c r="J550" i="14"/>
  <c r="K550" i="14"/>
  <c r="L550" i="14"/>
  <c r="M550" i="14"/>
  <c r="N550" i="14"/>
  <c r="P550" i="14"/>
  <c r="Q550" i="14"/>
  <c r="R550" i="14"/>
  <c r="S550" i="14" s="1"/>
  <c r="T550" i="14"/>
  <c r="U550" i="14"/>
  <c r="V550" i="14"/>
  <c r="F551" i="14"/>
  <c r="G551" i="14"/>
  <c r="H551" i="14"/>
  <c r="I551" i="14"/>
  <c r="J551" i="14"/>
  <c r="K551" i="14"/>
  <c r="L551" i="14"/>
  <c r="M551" i="14"/>
  <c r="N551" i="14"/>
  <c r="P551" i="14"/>
  <c r="Q551" i="14"/>
  <c r="R551" i="14"/>
  <c r="S551" i="14" s="1"/>
  <c r="T551" i="14"/>
  <c r="U551" i="14"/>
  <c r="V551" i="14"/>
  <c r="F552" i="14"/>
  <c r="G552" i="14"/>
  <c r="H552" i="14"/>
  <c r="I552" i="14"/>
  <c r="J552" i="14"/>
  <c r="K552" i="14"/>
  <c r="L552" i="14"/>
  <c r="M552" i="14"/>
  <c r="N552" i="14"/>
  <c r="P552" i="14"/>
  <c r="Q552" i="14"/>
  <c r="R552" i="14"/>
  <c r="S552" i="14" s="1"/>
  <c r="T552" i="14"/>
  <c r="U552" i="14"/>
  <c r="V552" i="14"/>
  <c r="F553" i="14"/>
  <c r="G553" i="14"/>
  <c r="H553" i="14"/>
  <c r="I553" i="14"/>
  <c r="J553" i="14"/>
  <c r="K553" i="14"/>
  <c r="L553" i="14"/>
  <c r="M553" i="14"/>
  <c r="N553" i="14"/>
  <c r="P553" i="14"/>
  <c r="Q553" i="14"/>
  <c r="R553" i="14"/>
  <c r="S553" i="14" s="1"/>
  <c r="T553" i="14"/>
  <c r="U553" i="14"/>
  <c r="V553" i="14"/>
  <c r="F554" i="14"/>
  <c r="G554" i="14"/>
  <c r="H554" i="14"/>
  <c r="I554" i="14"/>
  <c r="J554" i="14"/>
  <c r="K554" i="14"/>
  <c r="L554" i="14"/>
  <c r="M554" i="14"/>
  <c r="N554" i="14"/>
  <c r="P554" i="14"/>
  <c r="Q554" i="14"/>
  <c r="R554" i="14"/>
  <c r="S554" i="14" s="1"/>
  <c r="T554" i="14"/>
  <c r="U554" i="14"/>
  <c r="V554" i="14"/>
  <c r="F555" i="14"/>
  <c r="G555" i="14"/>
  <c r="H555" i="14"/>
  <c r="I555" i="14"/>
  <c r="J555" i="14"/>
  <c r="K555" i="14"/>
  <c r="L555" i="14"/>
  <c r="M555" i="14"/>
  <c r="N555" i="14"/>
  <c r="P555" i="14"/>
  <c r="Q555" i="14"/>
  <c r="R555" i="14"/>
  <c r="S555" i="14" s="1"/>
  <c r="T555" i="14"/>
  <c r="U555" i="14"/>
  <c r="V555" i="14"/>
  <c r="F556" i="14"/>
  <c r="G556" i="14"/>
  <c r="H556" i="14"/>
  <c r="I556" i="14"/>
  <c r="J556" i="14"/>
  <c r="K556" i="14"/>
  <c r="L556" i="14"/>
  <c r="M556" i="14"/>
  <c r="N556" i="14"/>
  <c r="P556" i="14"/>
  <c r="Q556" i="14"/>
  <c r="R556" i="14"/>
  <c r="S556" i="14" s="1"/>
  <c r="T556" i="14"/>
  <c r="U556" i="14"/>
  <c r="V556" i="14"/>
  <c r="F557" i="14"/>
  <c r="G557" i="14"/>
  <c r="H557" i="14"/>
  <c r="I557" i="14"/>
  <c r="J557" i="14"/>
  <c r="K557" i="14"/>
  <c r="L557" i="14"/>
  <c r="M557" i="14"/>
  <c r="N557" i="14"/>
  <c r="P557" i="14"/>
  <c r="Q557" i="14"/>
  <c r="R557" i="14"/>
  <c r="S557" i="14" s="1"/>
  <c r="T557" i="14"/>
  <c r="U557" i="14"/>
  <c r="V557" i="14"/>
  <c r="F558" i="14"/>
  <c r="G558" i="14"/>
  <c r="H558" i="14"/>
  <c r="I558" i="14"/>
  <c r="J558" i="14"/>
  <c r="K558" i="14"/>
  <c r="L558" i="14"/>
  <c r="M558" i="14"/>
  <c r="N558" i="14"/>
  <c r="P558" i="14"/>
  <c r="Q558" i="14"/>
  <c r="R558" i="14"/>
  <c r="S558" i="14" s="1"/>
  <c r="T558" i="14"/>
  <c r="U558" i="14"/>
  <c r="V558" i="14"/>
  <c r="F559" i="14"/>
  <c r="G559" i="14"/>
  <c r="H559" i="14"/>
  <c r="I559" i="14"/>
  <c r="J559" i="14"/>
  <c r="K559" i="14"/>
  <c r="L559" i="14"/>
  <c r="M559" i="14"/>
  <c r="N559" i="14"/>
  <c r="P559" i="14"/>
  <c r="Q559" i="14"/>
  <c r="R559" i="14"/>
  <c r="T559" i="14"/>
  <c r="U559" i="14"/>
  <c r="V559" i="14"/>
  <c r="F560" i="14"/>
  <c r="G560" i="14"/>
  <c r="H560" i="14"/>
  <c r="I560" i="14"/>
  <c r="J560" i="14"/>
  <c r="K560" i="14"/>
  <c r="L560" i="14"/>
  <c r="M560" i="14"/>
  <c r="N560" i="14"/>
  <c r="P560" i="14"/>
  <c r="Q560" i="14"/>
  <c r="R560" i="14"/>
  <c r="S560" i="14" s="1"/>
  <c r="T560" i="14"/>
  <c r="U560" i="14"/>
  <c r="V560" i="14"/>
  <c r="F561" i="14"/>
  <c r="G561" i="14"/>
  <c r="H561" i="14"/>
  <c r="I561" i="14"/>
  <c r="J561" i="14"/>
  <c r="K561" i="14"/>
  <c r="L561" i="14"/>
  <c r="M561" i="14"/>
  <c r="N561" i="14"/>
  <c r="P561" i="14"/>
  <c r="Q561" i="14"/>
  <c r="R561" i="14"/>
  <c r="S561" i="14" s="1"/>
  <c r="T561" i="14"/>
  <c r="U561" i="14"/>
  <c r="V561" i="14"/>
  <c r="F562" i="14"/>
  <c r="G562" i="14"/>
  <c r="H562" i="14"/>
  <c r="I562" i="14"/>
  <c r="J562" i="14"/>
  <c r="K562" i="14"/>
  <c r="L562" i="14"/>
  <c r="M562" i="14"/>
  <c r="N562" i="14"/>
  <c r="P562" i="14"/>
  <c r="Q562" i="14"/>
  <c r="R562" i="14"/>
  <c r="S562" i="14" s="1"/>
  <c r="T562" i="14"/>
  <c r="U562" i="14"/>
  <c r="V562" i="14"/>
  <c r="F563" i="14"/>
  <c r="G563" i="14"/>
  <c r="H563" i="14"/>
  <c r="I563" i="14"/>
  <c r="J563" i="14"/>
  <c r="K563" i="14"/>
  <c r="L563" i="14"/>
  <c r="M563" i="14"/>
  <c r="N563" i="14"/>
  <c r="P563" i="14"/>
  <c r="Q563" i="14"/>
  <c r="R563" i="14"/>
  <c r="S563" i="14" s="1"/>
  <c r="T563" i="14"/>
  <c r="U563" i="14"/>
  <c r="V563" i="14"/>
  <c r="F564" i="14"/>
  <c r="G564" i="14"/>
  <c r="H564" i="14"/>
  <c r="I564" i="14"/>
  <c r="J564" i="14"/>
  <c r="K564" i="14"/>
  <c r="L564" i="14"/>
  <c r="M564" i="14"/>
  <c r="N564" i="14"/>
  <c r="P564" i="14"/>
  <c r="Q564" i="14"/>
  <c r="R564" i="14"/>
  <c r="S564" i="14" s="1"/>
  <c r="T564" i="14"/>
  <c r="U564" i="14"/>
  <c r="V564" i="14"/>
  <c r="F565" i="14"/>
  <c r="G565" i="14"/>
  <c r="H565" i="14"/>
  <c r="I565" i="14"/>
  <c r="J565" i="14"/>
  <c r="K565" i="14"/>
  <c r="L565" i="14"/>
  <c r="M565" i="14"/>
  <c r="N565" i="14"/>
  <c r="P565" i="14"/>
  <c r="Q565" i="14"/>
  <c r="R565" i="14"/>
  <c r="S565" i="14" s="1"/>
  <c r="T565" i="14"/>
  <c r="U565" i="14"/>
  <c r="V565" i="14"/>
  <c r="F566" i="14"/>
  <c r="G566" i="14"/>
  <c r="H566" i="14"/>
  <c r="I566" i="14"/>
  <c r="J566" i="14"/>
  <c r="K566" i="14"/>
  <c r="L566" i="14"/>
  <c r="M566" i="14"/>
  <c r="N566" i="14"/>
  <c r="P566" i="14"/>
  <c r="Q566" i="14"/>
  <c r="R566" i="14"/>
  <c r="S566" i="14" s="1"/>
  <c r="T566" i="14"/>
  <c r="U566" i="14"/>
  <c r="V566" i="14"/>
  <c r="F567" i="14"/>
  <c r="G567" i="14"/>
  <c r="H567" i="14"/>
  <c r="I567" i="14"/>
  <c r="J567" i="14"/>
  <c r="K567" i="14"/>
  <c r="L567" i="14"/>
  <c r="M567" i="14"/>
  <c r="N567" i="14"/>
  <c r="P567" i="14"/>
  <c r="Q567" i="14"/>
  <c r="R567" i="14"/>
  <c r="S567" i="14" s="1"/>
  <c r="T567" i="14"/>
  <c r="U567" i="14"/>
  <c r="V567" i="14"/>
  <c r="F568" i="14"/>
  <c r="G568" i="14"/>
  <c r="H568" i="14"/>
  <c r="I568" i="14"/>
  <c r="J568" i="14"/>
  <c r="K568" i="14"/>
  <c r="L568" i="14"/>
  <c r="M568" i="14"/>
  <c r="N568" i="14"/>
  <c r="P568" i="14"/>
  <c r="Q568" i="14"/>
  <c r="R568" i="14"/>
  <c r="S568" i="14" s="1"/>
  <c r="T568" i="14"/>
  <c r="U568" i="14"/>
  <c r="V568" i="14"/>
  <c r="F569" i="14"/>
  <c r="G569" i="14"/>
  <c r="H569" i="14"/>
  <c r="I569" i="14"/>
  <c r="J569" i="14"/>
  <c r="K569" i="14"/>
  <c r="L569" i="14"/>
  <c r="M569" i="14"/>
  <c r="N569" i="14"/>
  <c r="P569" i="14"/>
  <c r="Q569" i="14"/>
  <c r="R569" i="14"/>
  <c r="S569" i="14" s="1"/>
  <c r="T569" i="14"/>
  <c r="U569" i="14"/>
  <c r="V569" i="14"/>
  <c r="F570" i="14"/>
  <c r="G570" i="14"/>
  <c r="H570" i="14"/>
  <c r="I570" i="14"/>
  <c r="J570" i="14"/>
  <c r="K570" i="14"/>
  <c r="L570" i="14"/>
  <c r="M570" i="14"/>
  <c r="N570" i="14"/>
  <c r="P570" i="14"/>
  <c r="Q570" i="14"/>
  <c r="R570" i="14"/>
  <c r="S570" i="14" s="1"/>
  <c r="T570" i="14"/>
  <c r="U570" i="14"/>
  <c r="V570" i="14"/>
  <c r="F571" i="14"/>
  <c r="G571" i="14"/>
  <c r="H571" i="14"/>
  <c r="I571" i="14"/>
  <c r="J571" i="14"/>
  <c r="K571" i="14"/>
  <c r="L571" i="14"/>
  <c r="M571" i="14"/>
  <c r="N571" i="14"/>
  <c r="P571" i="14"/>
  <c r="Q571" i="14"/>
  <c r="R571" i="14"/>
  <c r="S571" i="14" s="1"/>
  <c r="T571" i="14"/>
  <c r="U571" i="14"/>
  <c r="V571" i="14"/>
  <c r="F572" i="14"/>
  <c r="G572" i="14"/>
  <c r="H572" i="14"/>
  <c r="I572" i="14"/>
  <c r="J572" i="14"/>
  <c r="K572" i="14"/>
  <c r="L572" i="14"/>
  <c r="M572" i="14"/>
  <c r="N572" i="14"/>
  <c r="P572" i="14"/>
  <c r="Q572" i="14"/>
  <c r="R572" i="14"/>
  <c r="T572" i="14"/>
  <c r="U572" i="14"/>
  <c r="V572" i="14"/>
  <c r="F573" i="14"/>
  <c r="G573" i="14"/>
  <c r="H573" i="14"/>
  <c r="I573" i="14"/>
  <c r="J573" i="14"/>
  <c r="K573" i="14"/>
  <c r="L573" i="14"/>
  <c r="M573" i="14"/>
  <c r="N573" i="14"/>
  <c r="P573" i="14"/>
  <c r="Q573" i="14"/>
  <c r="R573" i="14"/>
  <c r="S573" i="14" s="1"/>
  <c r="T573" i="14"/>
  <c r="U573" i="14"/>
  <c r="V573" i="14"/>
  <c r="F574" i="14"/>
  <c r="G574" i="14"/>
  <c r="H574" i="14"/>
  <c r="I574" i="14"/>
  <c r="J574" i="14"/>
  <c r="K574" i="14"/>
  <c r="L574" i="14"/>
  <c r="M574" i="14"/>
  <c r="N574" i="14"/>
  <c r="P574" i="14"/>
  <c r="Q574" i="14"/>
  <c r="R574" i="14"/>
  <c r="S574" i="14" s="1"/>
  <c r="T574" i="14"/>
  <c r="U574" i="14"/>
  <c r="V574" i="14"/>
  <c r="F575" i="14"/>
  <c r="G575" i="14"/>
  <c r="H575" i="14"/>
  <c r="I575" i="14"/>
  <c r="J575" i="14"/>
  <c r="K575" i="14"/>
  <c r="L575" i="14"/>
  <c r="M575" i="14"/>
  <c r="N575" i="14"/>
  <c r="P575" i="14"/>
  <c r="Q575" i="14"/>
  <c r="R575" i="14"/>
  <c r="S575" i="14" s="1"/>
  <c r="T575" i="14"/>
  <c r="U575" i="14"/>
  <c r="V575" i="14"/>
  <c r="F576" i="14"/>
  <c r="G576" i="14"/>
  <c r="H576" i="14"/>
  <c r="I576" i="14"/>
  <c r="J576" i="14"/>
  <c r="K576" i="14"/>
  <c r="L576" i="14"/>
  <c r="M576" i="14"/>
  <c r="N576" i="14"/>
  <c r="P576" i="14"/>
  <c r="Q576" i="14"/>
  <c r="R576" i="14"/>
  <c r="S576" i="14" s="1"/>
  <c r="T576" i="14"/>
  <c r="U576" i="14"/>
  <c r="V576" i="14"/>
  <c r="F577" i="14"/>
  <c r="G577" i="14"/>
  <c r="H577" i="14"/>
  <c r="I577" i="14"/>
  <c r="J577" i="14"/>
  <c r="K577" i="14"/>
  <c r="L577" i="14"/>
  <c r="M577" i="14"/>
  <c r="N577" i="14"/>
  <c r="P577" i="14"/>
  <c r="Q577" i="14"/>
  <c r="R577" i="14"/>
  <c r="S577" i="14" s="1"/>
  <c r="T577" i="14"/>
  <c r="U577" i="14"/>
  <c r="V577" i="14"/>
  <c r="F578" i="14"/>
  <c r="G578" i="14"/>
  <c r="H578" i="14"/>
  <c r="I578" i="14"/>
  <c r="J578" i="14"/>
  <c r="K578" i="14"/>
  <c r="L578" i="14"/>
  <c r="M578" i="14"/>
  <c r="N578" i="14"/>
  <c r="P578" i="14"/>
  <c r="Q578" i="14"/>
  <c r="R578" i="14"/>
  <c r="S578" i="14" s="1"/>
  <c r="T578" i="14"/>
  <c r="U578" i="14"/>
  <c r="V578" i="14"/>
  <c r="F579" i="14"/>
  <c r="G579" i="14"/>
  <c r="H579" i="14"/>
  <c r="I579" i="14"/>
  <c r="J579" i="14"/>
  <c r="K579" i="14"/>
  <c r="L579" i="14"/>
  <c r="M579" i="14"/>
  <c r="N579" i="14"/>
  <c r="P579" i="14"/>
  <c r="Q579" i="14"/>
  <c r="R579" i="14"/>
  <c r="S579" i="14" s="1"/>
  <c r="T579" i="14"/>
  <c r="U579" i="14"/>
  <c r="V579" i="14"/>
  <c r="F580" i="14"/>
  <c r="G580" i="14"/>
  <c r="H580" i="14"/>
  <c r="I580" i="14"/>
  <c r="J580" i="14"/>
  <c r="K580" i="14"/>
  <c r="L580" i="14"/>
  <c r="M580" i="14"/>
  <c r="N580" i="14"/>
  <c r="P580" i="14"/>
  <c r="Q580" i="14"/>
  <c r="R580" i="14"/>
  <c r="S580" i="14" s="1"/>
  <c r="T580" i="14"/>
  <c r="U580" i="14"/>
  <c r="V580" i="14"/>
  <c r="F581" i="14"/>
  <c r="G581" i="14"/>
  <c r="H581" i="14"/>
  <c r="I581" i="14"/>
  <c r="J581" i="14"/>
  <c r="K581" i="14"/>
  <c r="L581" i="14"/>
  <c r="M581" i="14"/>
  <c r="N581" i="14"/>
  <c r="P581" i="14"/>
  <c r="Q581" i="14"/>
  <c r="R581" i="14"/>
  <c r="S581" i="14" s="1"/>
  <c r="T581" i="14"/>
  <c r="U581" i="14"/>
  <c r="V581" i="14"/>
  <c r="F582" i="14"/>
  <c r="G582" i="14"/>
  <c r="H582" i="14"/>
  <c r="I582" i="14"/>
  <c r="J582" i="14"/>
  <c r="K582" i="14"/>
  <c r="L582" i="14"/>
  <c r="M582" i="14"/>
  <c r="N582" i="14"/>
  <c r="P582" i="14"/>
  <c r="Q582" i="14"/>
  <c r="R582" i="14"/>
  <c r="S582" i="14" s="1"/>
  <c r="T582" i="14"/>
  <c r="U582" i="14"/>
  <c r="V582" i="14"/>
  <c r="F583" i="14"/>
  <c r="G583" i="14"/>
  <c r="H583" i="14"/>
  <c r="I583" i="14"/>
  <c r="J583" i="14"/>
  <c r="K583" i="14"/>
  <c r="L583" i="14"/>
  <c r="M583" i="14"/>
  <c r="N583" i="14"/>
  <c r="P583" i="14"/>
  <c r="Q583" i="14"/>
  <c r="R583" i="14"/>
  <c r="S583" i="14" s="1"/>
  <c r="T583" i="14"/>
  <c r="U583" i="14"/>
  <c r="V583" i="14"/>
  <c r="F584" i="14"/>
  <c r="G584" i="14"/>
  <c r="H584" i="14"/>
  <c r="I584" i="14"/>
  <c r="J584" i="14"/>
  <c r="K584" i="14"/>
  <c r="L584" i="14"/>
  <c r="M584" i="14"/>
  <c r="N584" i="14"/>
  <c r="P584" i="14"/>
  <c r="Q584" i="14"/>
  <c r="R584" i="14"/>
  <c r="S584" i="14" s="1"/>
  <c r="T584" i="14"/>
  <c r="U584" i="14"/>
  <c r="V584" i="14"/>
  <c r="F585" i="14"/>
  <c r="G585" i="14"/>
  <c r="H585" i="14"/>
  <c r="I585" i="14"/>
  <c r="J585" i="14"/>
  <c r="K585" i="14"/>
  <c r="L585" i="14"/>
  <c r="M585" i="14"/>
  <c r="N585" i="14"/>
  <c r="P585" i="14"/>
  <c r="Q585" i="14"/>
  <c r="R585" i="14"/>
  <c r="S585" i="14" s="1"/>
  <c r="T585" i="14"/>
  <c r="U585" i="14"/>
  <c r="V585" i="14"/>
  <c r="F586" i="14"/>
  <c r="G586" i="14"/>
  <c r="H586" i="14"/>
  <c r="I586" i="14"/>
  <c r="J586" i="14"/>
  <c r="K586" i="14"/>
  <c r="L586" i="14"/>
  <c r="M586" i="14"/>
  <c r="N586" i="14"/>
  <c r="P586" i="14"/>
  <c r="Q586" i="14"/>
  <c r="R586" i="14"/>
  <c r="S586" i="14" s="1"/>
  <c r="T586" i="14"/>
  <c r="U586" i="14"/>
  <c r="V586" i="14"/>
  <c r="F587" i="14"/>
  <c r="G587" i="14"/>
  <c r="H587" i="14"/>
  <c r="I587" i="14"/>
  <c r="J587" i="14"/>
  <c r="K587" i="14"/>
  <c r="L587" i="14"/>
  <c r="M587" i="14"/>
  <c r="N587" i="14"/>
  <c r="P587" i="14"/>
  <c r="Q587" i="14"/>
  <c r="R587" i="14"/>
  <c r="S587" i="14" s="1"/>
  <c r="T587" i="14"/>
  <c r="U587" i="14"/>
  <c r="V587" i="14"/>
  <c r="F588" i="14"/>
  <c r="G588" i="14"/>
  <c r="H588" i="14"/>
  <c r="I588" i="14"/>
  <c r="J588" i="14"/>
  <c r="K588" i="14"/>
  <c r="L588" i="14"/>
  <c r="M588" i="14"/>
  <c r="N588" i="14"/>
  <c r="P588" i="14"/>
  <c r="Q588" i="14"/>
  <c r="R588" i="14"/>
  <c r="S588" i="14" s="1"/>
  <c r="T588" i="14"/>
  <c r="U588" i="14"/>
  <c r="V588" i="14"/>
  <c r="F589" i="14"/>
  <c r="G589" i="14"/>
  <c r="H589" i="14"/>
  <c r="I589" i="14"/>
  <c r="J589" i="14"/>
  <c r="K589" i="14"/>
  <c r="L589" i="14"/>
  <c r="M589" i="14"/>
  <c r="N589" i="14"/>
  <c r="P589" i="14"/>
  <c r="Q589" i="14"/>
  <c r="R589" i="14"/>
  <c r="S589" i="14" s="1"/>
  <c r="T589" i="14"/>
  <c r="U589" i="14"/>
  <c r="V589" i="14"/>
  <c r="F590" i="14"/>
  <c r="G590" i="14"/>
  <c r="H590" i="14"/>
  <c r="I590" i="14"/>
  <c r="J590" i="14"/>
  <c r="K590" i="14"/>
  <c r="L590" i="14"/>
  <c r="M590" i="14"/>
  <c r="N590" i="14"/>
  <c r="P590" i="14"/>
  <c r="Q590" i="14"/>
  <c r="R590" i="14"/>
  <c r="S590" i="14" s="1"/>
  <c r="T590" i="14"/>
  <c r="U590" i="14"/>
  <c r="V590" i="14"/>
  <c r="F591" i="14"/>
  <c r="G591" i="14"/>
  <c r="H591" i="14"/>
  <c r="I591" i="14"/>
  <c r="J591" i="14"/>
  <c r="K591" i="14"/>
  <c r="L591" i="14"/>
  <c r="M591" i="14"/>
  <c r="N591" i="14"/>
  <c r="P591" i="14"/>
  <c r="Q591" i="14"/>
  <c r="R591" i="14"/>
  <c r="S591" i="14" s="1"/>
  <c r="T591" i="14"/>
  <c r="U591" i="14"/>
  <c r="V591" i="14"/>
  <c r="F592" i="14"/>
  <c r="G592" i="14"/>
  <c r="H592" i="14"/>
  <c r="I592" i="14"/>
  <c r="J592" i="14"/>
  <c r="K592" i="14"/>
  <c r="L592" i="14"/>
  <c r="M592" i="14"/>
  <c r="N592" i="14"/>
  <c r="P592" i="14"/>
  <c r="Q592" i="14"/>
  <c r="R592" i="14"/>
  <c r="S592" i="14" s="1"/>
  <c r="T592" i="14"/>
  <c r="U592" i="14"/>
  <c r="V592" i="14"/>
  <c r="F593" i="14"/>
  <c r="G593" i="14"/>
  <c r="H593" i="14"/>
  <c r="I593" i="14"/>
  <c r="J593" i="14"/>
  <c r="K593" i="14"/>
  <c r="L593" i="14"/>
  <c r="M593" i="14"/>
  <c r="N593" i="14"/>
  <c r="P593" i="14"/>
  <c r="Q593" i="14"/>
  <c r="R593" i="14"/>
  <c r="S593" i="14" s="1"/>
  <c r="T593" i="14"/>
  <c r="U593" i="14"/>
  <c r="V593" i="14"/>
  <c r="F594" i="14"/>
  <c r="G594" i="14"/>
  <c r="H594" i="14"/>
  <c r="I594" i="14"/>
  <c r="J594" i="14"/>
  <c r="K594" i="14"/>
  <c r="L594" i="14"/>
  <c r="M594" i="14"/>
  <c r="N594" i="14"/>
  <c r="P594" i="14"/>
  <c r="Q594" i="14"/>
  <c r="R594" i="14"/>
  <c r="S594" i="14" s="1"/>
  <c r="T594" i="14"/>
  <c r="U594" i="14"/>
  <c r="V594" i="14"/>
  <c r="F595" i="14"/>
  <c r="G595" i="14"/>
  <c r="H595" i="14"/>
  <c r="I595" i="14"/>
  <c r="J595" i="14"/>
  <c r="K595" i="14"/>
  <c r="L595" i="14"/>
  <c r="M595" i="14"/>
  <c r="N595" i="14"/>
  <c r="P595" i="14"/>
  <c r="Q595" i="14"/>
  <c r="R595" i="14"/>
  <c r="S595" i="14" s="1"/>
  <c r="T595" i="14"/>
  <c r="U595" i="14"/>
  <c r="V595" i="14"/>
  <c r="F596" i="14"/>
  <c r="G596" i="14"/>
  <c r="H596" i="14"/>
  <c r="I596" i="14"/>
  <c r="J596" i="14"/>
  <c r="K596" i="14"/>
  <c r="L596" i="14"/>
  <c r="M596" i="14"/>
  <c r="N596" i="14"/>
  <c r="P596" i="14"/>
  <c r="Q596" i="14"/>
  <c r="R596" i="14"/>
  <c r="S596" i="14" s="1"/>
  <c r="T596" i="14"/>
  <c r="U596" i="14"/>
  <c r="V596" i="14"/>
  <c r="F597" i="14"/>
  <c r="G597" i="14"/>
  <c r="H597" i="14"/>
  <c r="I597" i="14"/>
  <c r="J597" i="14"/>
  <c r="K597" i="14"/>
  <c r="L597" i="14"/>
  <c r="M597" i="14"/>
  <c r="N597" i="14"/>
  <c r="P597" i="14"/>
  <c r="Q597" i="14"/>
  <c r="R597" i="14"/>
  <c r="S597" i="14" s="1"/>
  <c r="T597" i="14"/>
  <c r="U597" i="14"/>
  <c r="V597" i="14"/>
  <c r="F598" i="14"/>
  <c r="G598" i="14"/>
  <c r="H598" i="14"/>
  <c r="I598" i="14"/>
  <c r="J598" i="14"/>
  <c r="K598" i="14"/>
  <c r="L598" i="14"/>
  <c r="M598" i="14"/>
  <c r="N598" i="14"/>
  <c r="P598" i="14"/>
  <c r="Q598" i="14"/>
  <c r="R598" i="14"/>
  <c r="S598" i="14" s="1"/>
  <c r="T598" i="14"/>
  <c r="U598" i="14"/>
  <c r="V598" i="14"/>
  <c r="F599" i="14"/>
  <c r="G599" i="14"/>
  <c r="H599" i="14"/>
  <c r="I599" i="14"/>
  <c r="J599" i="14"/>
  <c r="K599" i="14"/>
  <c r="L599" i="14"/>
  <c r="M599" i="14"/>
  <c r="N599" i="14"/>
  <c r="P599" i="14"/>
  <c r="Q599" i="14"/>
  <c r="R599" i="14"/>
  <c r="S599" i="14" s="1"/>
  <c r="T599" i="14"/>
  <c r="U599" i="14"/>
  <c r="V599" i="14"/>
  <c r="F600" i="14"/>
  <c r="G600" i="14"/>
  <c r="H600" i="14"/>
  <c r="I600" i="14"/>
  <c r="J600" i="14"/>
  <c r="K600" i="14"/>
  <c r="L600" i="14"/>
  <c r="M600" i="14"/>
  <c r="N600" i="14"/>
  <c r="P600" i="14"/>
  <c r="Q600" i="14"/>
  <c r="R600" i="14"/>
  <c r="S600" i="14" s="1"/>
  <c r="T600" i="14"/>
  <c r="U600" i="14"/>
  <c r="V600" i="14"/>
  <c r="F601" i="14"/>
  <c r="G601" i="14"/>
  <c r="H601" i="14"/>
  <c r="I601" i="14"/>
  <c r="J601" i="14"/>
  <c r="K601" i="14"/>
  <c r="L601" i="14"/>
  <c r="M601" i="14"/>
  <c r="N601" i="14"/>
  <c r="P601" i="14"/>
  <c r="Q601" i="14"/>
  <c r="R601" i="14"/>
  <c r="S601" i="14" s="1"/>
  <c r="T601" i="14"/>
  <c r="U601" i="14"/>
  <c r="V601" i="14"/>
  <c r="F602" i="14"/>
  <c r="G602" i="14"/>
  <c r="H602" i="14"/>
  <c r="I602" i="14"/>
  <c r="J602" i="14"/>
  <c r="K602" i="14"/>
  <c r="L602" i="14"/>
  <c r="M602" i="14"/>
  <c r="N602" i="14"/>
  <c r="P602" i="14"/>
  <c r="Q602" i="14"/>
  <c r="R602" i="14"/>
  <c r="S602" i="14" s="1"/>
  <c r="T602" i="14"/>
  <c r="U602" i="14"/>
  <c r="V602" i="14"/>
  <c r="F603" i="14"/>
  <c r="G603" i="14"/>
  <c r="H603" i="14"/>
  <c r="I603" i="14"/>
  <c r="J603" i="14"/>
  <c r="K603" i="14"/>
  <c r="L603" i="14"/>
  <c r="M603" i="14"/>
  <c r="N603" i="14"/>
  <c r="P603" i="14"/>
  <c r="Q603" i="14"/>
  <c r="R603" i="14"/>
  <c r="T603" i="14"/>
  <c r="U603" i="14"/>
  <c r="V603" i="14"/>
  <c r="F604" i="14"/>
  <c r="G604" i="14"/>
  <c r="H604" i="14"/>
  <c r="I604" i="14"/>
  <c r="J604" i="14"/>
  <c r="K604" i="14"/>
  <c r="L604" i="14"/>
  <c r="M604" i="14"/>
  <c r="N604" i="14"/>
  <c r="P604" i="14"/>
  <c r="Q604" i="14"/>
  <c r="R604" i="14"/>
  <c r="S604" i="14" s="1"/>
  <c r="T604" i="14"/>
  <c r="U604" i="14"/>
  <c r="V604" i="14"/>
  <c r="F605" i="14"/>
  <c r="G605" i="14"/>
  <c r="H605" i="14"/>
  <c r="I605" i="14"/>
  <c r="J605" i="14"/>
  <c r="K605" i="14"/>
  <c r="L605" i="14"/>
  <c r="M605" i="14"/>
  <c r="N605" i="14"/>
  <c r="P605" i="14"/>
  <c r="Q605" i="14"/>
  <c r="R605" i="14"/>
  <c r="S605" i="14" s="1"/>
  <c r="T605" i="14"/>
  <c r="U605" i="14"/>
  <c r="V605" i="14"/>
  <c r="F606" i="14"/>
  <c r="G606" i="14"/>
  <c r="H606" i="14"/>
  <c r="I606" i="14"/>
  <c r="J606" i="14"/>
  <c r="K606" i="14"/>
  <c r="L606" i="14"/>
  <c r="M606" i="14"/>
  <c r="N606" i="14"/>
  <c r="P606" i="14"/>
  <c r="Q606" i="14"/>
  <c r="R606" i="14"/>
  <c r="S606" i="14" s="1"/>
  <c r="T606" i="14"/>
  <c r="U606" i="14"/>
  <c r="V606" i="14"/>
  <c r="F607" i="14"/>
  <c r="G607" i="14"/>
  <c r="H607" i="14"/>
  <c r="I607" i="14"/>
  <c r="J607" i="14"/>
  <c r="K607" i="14"/>
  <c r="L607" i="14"/>
  <c r="M607" i="14"/>
  <c r="N607" i="14"/>
  <c r="P607" i="14"/>
  <c r="Q607" i="14"/>
  <c r="R607" i="14"/>
  <c r="S607" i="14" s="1"/>
  <c r="T607" i="14"/>
  <c r="U607" i="14"/>
  <c r="V607" i="14"/>
  <c r="F608" i="14"/>
  <c r="G608" i="14"/>
  <c r="H608" i="14"/>
  <c r="I608" i="14"/>
  <c r="J608" i="14"/>
  <c r="K608" i="14"/>
  <c r="L608" i="14"/>
  <c r="M608" i="14"/>
  <c r="N608" i="14"/>
  <c r="P608" i="14"/>
  <c r="Q608" i="14"/>
  <c r="R608" i="14"/>
  <c r="S608" i="14" s="1"/>
  <c r="T608" i="14"/>
  <c r="U608" i="14"/>
  <c r="V608" i="14"/>
  <c r="F609" i="14"/>
  <c r="G609" i="14"/>
  <c r="H609" i="14"/>
  <c r="I609" i="14"/>
  <c r="J609" i="14"/>
  <c r="K609" i="14"/>
  <c r="L609" i="14"/>
  <c r="M609" i="14"/>
  <c r="N609" i="14"/>
  <c r="P609" i="14"/>
  <c r="Q609" i="14"/>
  <c r="R609" i="14"/>
  <c r="S609" i="14" s="1"/>
  <c r="T609" i="14"/>
  <c r="U609" i="14"/>
  <c r="V609" i="14"/>
  <c r="F610" i="14"/>
  <c r="G610" i="14"/>
  <c r="H610" i="14"/>
  <c r="I610" i="14"/>
  <c r="J610" i="14"/>
  <c r="K610" i="14"/>
  <c r="L610" i="14"/>
  <c r="M610" i="14"/>
  <c r="N610" i="14"/>
  <c r="P610" i="14"/>
  <c r="Q610" i="14"/>
  <c r="R610" i="14"/>
  <c r="S610" i="14" s="1"/>
  <c r="T610" i="14"/>
  <c r="U610" i="14"/>
  <c r="V610" i="14"/>
  <c r="F611" i="14"/>
  <c r="G611" i="14"/>
  <c r="H611" i="14"/>
  <c r="I611" i="14"/>
  <c r="J611" i="14"/>
  <c r="K611" i="14"/>
  <c r="L611" i="14"/>
  <c r="M611" i="14"/>
  <c r="N611" i="14"/>
  <c r="P611" i="14"/>
  <c r="Q611" i="14"/>
  <c r="R611" i="14"/>
  <c r="S611" i="14" s="1"/>
  <c r="T611" i="14"/>
  <c r="U611" i="14"/>
  <c r="V611" i="14"/>
  <c r="F612" i="14"/>
  <c r="G612" i="14"/>
  <c r="H612" i="14"/>
  <c r="I612" i="14"/>
  <c r="J612" i="14"/>
  <c r="K612" i="14"/>
  <c r="L612" i="14"/>
  <c r="M612" i="14"/>
  <c r="N612" i="14"/>
  <c r="P612" i="14"/>
  <c r="Q612" i="14"/>
  <c r="R612" i="14"/>
  <c r="T612" i="14"/>
  <c r="U612" i="14"/>
  <c r="V612" i="14"/>
  <c r="F613" i="14"/>
  <c r="G613" i="14"/>
  <c r="H613" i="14"/>
  <c r="I613" i="14"/>
  <c r="J613" i="14"/>
  <c r="K613" i="14"/>
  <c r="L613" i="14"/>
  <c r="M613" i="14"/>
  <c r="N613" i="14"/>
  <c r="P613" i="14"/>
  <c r="Q613" i="14"/>
  <c r="R613" i="14"/>
  <c r="S613" i="14" s="1"/>
  <c r="T613" i="14"/>
  <c r="U613" i="14"/>
  <c r="V613" i="14"/>
  <c r="F614" i="14"/>
  <c r="G614" i="14"/>
  <c r="H614" i="14"/>
  <c r="I614" i="14"/>
  <c r="J614" i="14"/>
  <c r="K614" i="14"/>
  <c r="L614" i="14"/>
  <c r="M614" i="14"/>
  <c r="N614" i="14"/>
  <c r="P614" i="14"/>
  <c r="Q614" i="14"/>
  <c r="R614" i="14"/>
  <c r="S614" i="14" s="1"/>
  <c r="T614" i="14"/>
  <c r="U614" i="14"/>
  <c r="V614" i="14"/>
  <c r="F615" i="14"/>
  <c r="G615" i="14"/>
  <c r="H615" i="14"/>
  <c r="I615" i="14"/>
  <c r="J615" i="14"/>
  <c r="K615" i="14"/>
  <c r="L615" i="14"/>
  <c r="M615" i="14"/>
  <c r="N615" i="14"/>
  <c r="P615" i="14"/>
  <c r="Q615" i="14"/>
  <c r="R615" i="14"/>
  <c r="S615" i="14" s="1"/>
  <c r="T615" i="14"/>
  <c r="U615" i="14"/>
  <c r="V615" i="14"/>
  <c r="F616" i="14"/>
  <c r="G616" i="14"/>
  <c r="H616" i="14"/>
  <c r="I616" i="14"/>
  <c r="J616" i="14"/>
  <c r="K616" i="14"/>
  <c r="L616" i="14"/>
  <c r="M616" i="14"/>
  <c r="N616" i="14"/>
  <c r="P616" i="14"/>
  <c r="Q616" i="14"/>
  <c r="R616" i="14"/>
  <c r="S616" i="14" s="1"/>
  <c r="T616" i="14"/>
  <c r="U616" i="14"/>
  <c r="V616" i="14"/>
  <c r="F617" i="14"/>
  <c r="G617" i="14"/>
  <c r="H617" i="14"/>
  <c r="I617" i="14"/>
  <c r="J617" i="14"/>
  <c r="K617" i="14"/>
  <c r="L617" i="14"/>
  <c r="M617" i="14"/>
  <c r="N617" i="14"/>
  <c r="P617" i="14"/>
  <c r="Q617" i="14"/>
  <c r="R617" i="14"/>
  <c r="S617" i="14" s="1"/>
  <c r="T617" i="14"/>
  <c r="U617" i="14"/>
  <c r="V617" i="14"/>
  <c r="F618" i="14"/>
  <c r="G618" i="14"/>
  <c r="H618" i="14"/>
  <c r="I618" i="14"/>
  <c r="J618" i="14"/>
  <c r="K618" i="14"/>
  <c r="L618" i="14"/>
  <c r="M618" i="14"/>
  <c r="N618" i="14"/>
  <c r="P618" i="14"/>
  <c r="Q618" i="14"/>
  <c r="R618" i="14"/>
  <c r="S618" i="14" s="1"/>
  <c r="T618" i="14"/>
  <c r="U618" i="14"/>
  <c r="V618" i="14"/>
  <c r="F619" i="14"/>
  <c r="G619" i="14"/>
  <c r="H619" i="14"/>
  <c r="I619" i="14"/>
  <c r="J619" i="14"/>
  <c r="K619" i="14"/>
  <c r="L619" i="14"/>
  <c r="M619" i="14"/>
  <c r="N619" i="14"/>
  <c r="P619" i="14"/>
  <c r="Q619" i="14"/>
  <c r="R619" i="14"/>
  <c r="S619" i="14" s="1"/>
  <c r="T619" i="14"/>
  <c r="U619" i="14"/>
  <c r="V619" i="14"/>
  <c r="F620" i="14"/>
  <c r="G620" i="14"/>
  <c r="H620" i="14"/>
  <c r="I620" i="14"/>
  <c r="J620" i="14"/>
  <c r="K620" i="14"/>
  <c r="L620" i="14"/>
  <c r="M620" i="14"/>
  <c r="N620" i="14"/>
  <c r="P620" i="14"/>
  <c r="Q620" i="14"/>
  <c r="R620" i="14"/>
  <c r="S620" i="14" s="1"/>
  <c r="T620" i="14"/>
  <c r="U620" i="14"/>
  <c r="V620" i="14"/>
  <c r="F621" i="14"/>
  <c r="G621" i="14"/>
  <c r="H621" i="14"/>
  <c r="I621" i="14"/>
  <c r="J621" i="14"/>
  <c r="K621" i="14"/>
  <c r="L621" i="14"/>
  <c r="M621" i="14"/>
  <c r="N621" i="14"/>
  <c r="P621" i="14"/>
  <c r="Q621" i="14"/>
  <c r="R621" i="14"/>
  <c r="S621" i="14" s="1"/>
  <c r="T621" i="14"/>
  <c r="U621" i="14"/>
  <c r="V621" i="14"/>
  <c r="F622" i="14"/>
  <c r="G622" i="14"/>
  <c r="H622" i="14"/>
  <c r="I622" i="14"/>
  <c r="J622" i="14"/>
  <c r="K622" i="14"/>
  <c r="L622" i="14"/>
  <c r="M622" i="14"/>
  <c r="N622" i="14"/>
  <c r="P622" i="14"/>
  <c r="Q622" i="14"/>
  <c r="R622" i="14"/>
  <c r="S622" i="14" s="1"/>
  <c r="T622" i="14"/>
  <c r="U622" i="14"/>
  <c r="V622" i="14"/>
  <c r="F623" i="14"/>
  <c r="G623" i="14"/>
  <c r="H623" i="14"/>
  <c r="I623" i="14"/>
  <c r="J623" i="14"/>
  <c r="K623" i="14"/>
  <c r="L623" i="14"/>
  <c r="M623" i="14"/>
  <c r="N623" i="14"/>
  <c r="P623" i="14"/>
  <c r="Q623" i="14"/>
  <c r="R623" i="14"/>
  <c r="S623" i="14" s="1"/>
  <c r="T623" i="14"/>
  <c r="U623" i="14"/>
  <c r="V623" i="14"/>
  <c r="F624" i="14"/>
  <c r="G624" i="14"/>
  <c r="H624" i="14"/>
  <c r="I624" i="14"/>
  <c r="J624" i="14"/>
  <c r="K624" i="14"/>
  <c r="L624" i="14"/>
  <c r="M624" i="14"/>
  <c r="N624" i="14"/>
  <c r="P624" i="14"/>
  <c r="Q624" i="14"/>
  <c r="R624" i="14"/>
  <c r="S624" i="14" s="1"/>
  <c r="T624" i="14"/>
  <c r="U624" i="14"/>
  <c r="V624" i="14"/>
  <c r="F625" i="14"/>
  <c r="G625" i="14"/>
  <c r="H625" i="14"/>
  <c r="I625" i="14"/>
  <c r="J625" i="14"/>
  <c r="K625" i="14"/>
  <c r="L625" i="14"/>
  <c r="M625" i="14"/>
  <c r="N625" i="14"/>
  <c r="P625" i="14"/>
  <c r="Q625" i="14"/>
  <c r="R625" i="14"/>
  <c r="S625" i="14" s="1"/>
  <c r="F626" i="14"/>
  <c r="G626" i="14"/>
  <c r="H626" i="14"/>
  <c r="I626" i="14"/>
  <c r="J626" i="14"/>
  <c r="K626" i="14"/>
  <c r="L626" i="14"/>
  <c r="M626" i="14"/>
  <c r="N626" i="14"/>
  <c r="P626" i="14"/>
  <c r="Q626" i="14"/>
  <c r="R626" i="14"/>
  <c r="S626" i="14" s="1"/>
  <c r="U626" i="14"/>
  <c r="F627" i="14"/>
  <c r="G627" i="14"/>
  <c r="H627" i="14"/>
  <c r="I627" i="14"/>
  <c r="J627" i="14"/>
  <c r="K627" i="14"/>
  <c r="L627" i="14"/>
  <c r="M627" i="14"/>
  <c r="N627" i="14"/>
  <c r="P627" i="14"/>
  <c r="Q627" i="14"/>
  <c r="R627" i="14"/>
  <c r="S627" i="14" s="1"/>
  <c r="U627" i="14"/>
  <c r="F628" i="14"/>
  <c r="G628" i="14"/>
  <c r="H628" i="14"/>
  <c r="I628" i="14"/>
  <c r="J628" i="14"/>
  <c r="K628" i="14"/>
  <c r="L628" i="14"/>
  <c r="M628" i="14"/>
  <c r="N628" i="14"/>
  <c r="P628" i="14"/>
  <c r="Q628" i="14"/>
  <c r="R628" i="14"/>
  <c r="S628" i="14" s="1"/>
  <c r="U628" i="14"/>
  <c r="F629" i="14"/>
  <c r="G629" i="14"/>
  <c r="H629" i="14"/>
  <c r="I629" i="14"/>
  <c r="J629" i="14"/>
  <c r="K629" i="14"/>
  <c r="L629" i="14"/>
  <c r="M629" i="14"/>
  <c r="N629" i="14"/>
  <c r="P629" i="14"/>
  <c r="Q629" i="14"/>
  <c r="R629" i="14"/>
  <c r="U629" i="14"/>
  <c r="F630" i="14"/>
  <c r="G630" i="14"/>
  <c r="H630" i="14"/>
  <c r="I630" i="14"/>
  <c r="J630" i="14"/>
  <c r="K630" i="14"/>
  <c r="L630" i="14"/>
  <c r="M630" i="14"/>
  <c r="N630" i="14"/>
  <c r="P630" i="14"/>
  <c r="Q630" i="14"/>
  <c r="R630" i="14"/>
  <c r="U630" i="14"/>
  <c r="F631" i="14"/>
  <c r="G631" i="14"/>
  <c r="H631" i="14"/>
  <c r="I631" i="14"/>
  <c r="J631" i="14"/>
  <c r="K631" i="14"/>
  <c r="L631" i="14"/>
  <c r="M631" i="14"/>
  <c r="N631" i="14"/>
  <c r="P631" i="14"/>
  <c r="Q631" i="14"/>
  <c r="R631" i="14"/>
  <c r="S631" i="14" s="1"/>
  <c r="F632" i="14"/>
  <c r="G632" i="14"/>
  <c r="H632" i="14"/>
  <c r="I632" i="14"/>
  <c r="J632" i="14"/>
  <c r="K632" i="14"/>
  <c r="L632" i="14"/>
  <c r="M632" i="14"/>
  <c r="N632" i="14"/>
  <c r="P632" i="14"/>
  <c r="Q632" i="14"/>
  <c r="R632" i="14"/>
  <c r="S632" i="14" s="1"/>
  <c r="U632" i="14"/>
  <c r="F633" i="14"/>
  <c r="G633" i="14"/>
  <c r="H633" i="14"/>
  <c r="I633" i="14"/>
  <c r="J633" i="14"/>
  <c r="K633" i="14"/>
  <c r="L633" i="14"/>
  <c r="M633" i="14"/>
  <c r="N633" i="14"/>
  <c r="P633" i="14"/>
  <c r="Q633" i="14"/>
  <c r="R633" i="14"/>
  <c r="S633" i="14" s="1"/>
  <c r="U633" i="14"/>
  <c r="F634" i="14"/>
  <c r="G634" i="14"/>
  <c r="H634" i="14"/>
  <c r="I634" i="14"/>
  <c r="J634" i="14"/>
  <c r="K634" i="14"/>
  <c r="L634" i="14"/>
  <c r="M634" i="14"/>
  <c r="N634" i="14"/>
  <c r="P634" i="14"/>
  <c r="Q634" i="14"/>
  <c r="R634" i="14"/>
  <c r="S634" i="14" s="1"/>
  <c r="U634" i="14"/>
  <c r="F635" i="14"/>
  <c r="G635" i="14"/>
  <c r="H635" i="14"/>
  <c r="I635" i="14"/>
  <c r="J635" i="14"/>
  <c r="K635" i="14"/>
  <c r="L635" i="14"/>
  <c r="M635" i="14"/>
  <c r="N635" i="14"/>
  <c r="P635" i="14"/>
  <c r="Q635" i="14"/>
  <c r="R635" i="14"/>
  <c r="S635" i="14" s="1"/>
  <c r="U635" i="14"/>
  <c r="F636" i="14"/>
  <c r="G636" i="14"/>
  <c r="H636" i="14"/>
  <c r="I636" i="14"/>
  <c r="J636" i="14"/>
  <c r="K636" i="14"/>
  <c r="L636" i="14"/>
  <c r="M636" i="14"/>
  <c r="N636" i="14"/>
  <c r="P636" i="14"/>
  <c r="Q636" i="14"/>
  <c r="R636" i="14"/>
  <c r="S636" i="14" s="1"/>
  <c r="U636" i="14"/>
  <c r="F637" i="14"/>
  <c r="G637" i="14"/>
  <c r="H637" i="14"/>
  <c r="I637" i="14"/>
  <c r="J637" i="14"/>
  <c r="K637" i="14"/>
  <c r="L637" i="14"/>
  <c r="M637" i="14"/>
  <c r="N637" i="14"/>
  <c r="P637" i="14"/>
  <c r="Q637" i="14"/>
  <c r="R637" i="14"/>
  <c r="S637" i="14" s="1"/>
  <c r="U637" i="14"/>
  <c r="F638" i="14"/>
  <c r="G638" i="14"/>
  <c r="H638" i="14"/>
  <c r="I638" i="14"/>
  <c r="J638" i="14"/>
  <c r="K638" i="14"/>
  <c r="L638" i="14"/>
  <c r="M638" i="14"/>
  <c r="N638" i="14"/>
  <c r="P638" i="14"/>
  <c r="Q638" i="14"/>
  <c r="R638" i="14"/>
  <c r="S638" i="14" s="1"/>
  <c r="U638" i="14"/>
  <c r="F639" i="14"/>
  <c r="G639" i="14"/>
  <c r="H639" i="14"/>
  <c r="I639" i="14"/>
  <c r="J639" i="14"/>
  <c r="K639" i="14"/>
  <c r="L639" i="14"/>
  <c r="M639" i="14"/>
  <c r="N639" i="14"/>
  <c r="P639" i="14"/>
  <c r="Q639" i="14"/>
  <c r="R639" i="14"/>
  <c r="S639" i="14" s="1"/>
  <c r="U639" i="14"/>
  <c r="F640" i="14"/>
  <c r="G640" i="14"/>
  <c r="H640" i="14"/>
  <c r="I640" i="14"/>
  <c r="J640" i="14"/>
  <c r="K640" i="14"/>
  <c r="L640" i="14"/>
  <c r="M640" i="14"/>
  <c r="N640" i="14"/>
  <c r="P640" i="14"/>
  <c r="Q640" i="14"/>
  <c r="R640" i="14"/>
  <c r="S640" i="14" s="1"/>
  <c r="U640" i="14"/>
  <c r="F641" i="14"/>
  <c r="G641" i="14"/>
  <c r="H641" i="14"/>
  <c r="I641" i="14"/>
  <c r="J641" i="14"/>
  <c r="K641" i="14"/>
  <c r="L641" i="14"/>
  <c r="M641" i="14"/>
  <c r="N641" i="14"/>
  <c r="P641" i="14"/>
  <c r="Q641" i="14"/>
  <c r="R641" i="14"/>
  <c r="S641" i="14" s="1"/>
  <c r="U641" i="14"/>
  <c r="F642" i="14"/>
  <c r="G642" i="14"/>
  <c r="H642" i="14"/>
  <c r="I642" i="14"/>
  <c r="J642" i="14"/>
  <c r="K642" i="14"/>
  <c r="L642" i="14"/>
  <c r="M642" i="14"/>
  <c r="N642" i="14"/>
  <c r="P642" i="14"/>
  <c r="Q642" i="14"/>
  <c r="R642" i="14"/>
  <c r="S642" i="14" s="1"/>
  <c r="U642" i="14"/>
  <c r="F643" i="14"/>
  <c r="G643" i="14"/>
  <c r="H643" i="14"/>
  <c r="I643" i="14"/>
  <c r="J643" i="14"/>
  <c r="K643" i="14"/>
  <c r="L643" i="14"/>
  <c r="M643" i="14"/>
  <c r="N643" i="14"/>
  <c r="P643" i="14"/>
  <c r="Q643" i="14"/>
  <c r="R643" i="14"/>
  <c r="S643" i="14" s="1"/>
  <c r="U643" i="14"/>
  <c r="F644" i="14"/>
  <c r="G644" i="14"/>
  <c r="H644" i="14"/>
  <c r="I644" i="14"/>
  <c r="J644" i="14"/>
  <c r="K644" i="14"/>
  <c r="L644" i="14"/>
  <c r="M644" i="14"/>
  <c r="N644" i="14"/>
  <c r="P644" i="14"/>
  <c r="Q644" i="14"/>
  <c r="R644" i="14"/>
  <c r="S644" i="14" s="1"/>
  <c r="U644" i="14"/>
  <c r="F645" i="14"/>
  <c r="G645" i="14"/>
  <c r="H645" i="14"/>
  <c r="I645" i="14"/>
  <c r="J645" i="14"/>
  <c r="K645" i="14"/>
  <c r="L645" i="14"/>
  <c r="M645" i="14"/>
  <c r="N645" i="14"/>
  <c r="P645" i="14"/>
  <c r="Q645" i="14"/>
  <c r="R645" i="14"/>
  <c r="S645" i="14" s="1"/>
  <c r="U645" i="14"/>
  <c r="F646" i="14"/>
  <c r="G646" i="14"/>
  <c r="H646" i="14"/>
  <c r="I646" i="14"/>
  <c r="J646" i="14"/>
  <c r="K646" i="14"/>
  <c r="L646" i="14"/>
  <c r="M646" i="14"/>
  <c r="N646" i="14"/>
  <c r="P646" i="14"/>
  <c r="Q646" i="14"/>
  <c r="R646" i="14"/>
  <c r="S646" i="14" s="1"/>
  <c r="U646" i="14"/>
  <c r="F647" i="14"/>
  <c r="G647" i="14"/>
  <c r="H647" i="14"/>
  <c r="I647" i="14"/>
  <c r="J647" i="14"/>
  <c r="K647" i="14"/>
  <c r="L647" i="14"/>
  <c r="M647" i="14"/>
  <c r="N647" i="14"/>
  <c r="P647" i="14"/>
  <c r="Q647" i="14"/>
  <c r="R647" i="14"/>
  <c r="S647" i="14" s="1"/>
  <c r="U647" i="14"/>
  <c r="F648" i="14"/>
  <c r="G648" i="14"/>
  <c r="H648" i="14"/>
  <c r="I648" i="14"/>
  <c r="J648" i="14"/>
  <c r="K648" i="14"/>
  <c r="L648" i="14"/>
  <c r="M648" i="14"/>
  <c r="N648" i="14"/>
  <c r="P648" i="14"/>
  <c r="Q648" i="14"/>
  <c r="R648" i="14"/>
  <c r="S648" i="14" s="1"/>
  <c r="U648" i="14"/>
  <c r="F649" i="14"/>
  <c r="G649" i="14"/>
  <c r="H649" i="14"/>
  <c r="I649" i="14"/>
  <c r="J649" i="14"/>
  <c r="K649" i="14"/>
  <c r="L649" i="14"/>
  <c r="M649" i="14"/>
  <c r="N649" i="14"/>
  <c r="P649" i="14"/>
  <c r="Q649" i="14"/>
  <c r="R649" i="14"/>
  <c r="S649" i="14" s="1"/>
  <c r="U649" i="14"/>
  <c r="F650" i="14"/>
  <c r="G650" i="14"/>
  <c r="H650" i="14"/>
  <c r="I650" i="14"/>
  <c r="J650" i="14"/>
  <c r="K650" i="14"/>
  <c r="L650" i="14"/>
  <c r="M650" i="14"/>
  <c r="N650" i="14"/>
  <c r="P650" i="14"/>
  <c r="Q650" i="14"/>
  <c r="R650" i="14"/>
  <c r="S650" i="14" s="1"/>
  <c r="U650" i="14"/>
  <c r="F651" i="14"/>
  <c r="G651" i="14"/>
  <c r="H651" i="14"/>
  <c r="I651" i="14"/>
  <c r="J651" i="14"/>
  <c r="K651" i="14"/>
  <c r="L651" i="14"/>
  <c r="M651" i="14"/>
  <c r="N651" i="14"/>
  <c r="P651" i="14"/>
  <c r="Q651" i="14"/>
  <c r="R651" i="14"/>
  <c r="S651" i="14" s="1"/>
  <c r="F652" i="14"/>
  <c r="G652" i="14"/>
  <c r="H652" i="14"/>
  <c r="I652" i="14"/>
  <c r="J652" i="14"/>
  <c r="K652" i="14"/>
  <c r="L652" i="14"/>
  <c r="M652" i="14"/>
  <c r="N652" i="14"/>
  <c r="P652" i="14"/>
  <c r="Q652" i="14"/>
  <c r="R652" i="14"/>
  <c r="S652" i="14" s="1"/>
  <c r="U652" i="14"/>
  <c r="F653" i="14"/>
  <c r="G653" i="14"/>
  <c r="H653" i="14"/>
  <c r="I653" i="14"/>
  <c r="J653" i="14"/>
  <c r="K653" i="14"/>
  <c r="L653" i="14"/>
  <c r="M653" i="14"/>
  <c r="N653" i="14"/>
  <c r="P653" i="14"/>
  <c r="Q653" i="14"/>
  <c r="R653" i="14"/>
  <c r="S653" i="14" s="1"/>
  <c r="U653" i="14"/>
  <c r="F654" i="14"/>
  <c r="G654" i="14"/>
  <c r="H654" i="14"/>
  <c r="I654" i="14"/>
  <c r="J654" i="14"/>
  <c r="K654" i="14"/>
  <c r="L654" i="14"/>
  <c r="M654" i="14"/>
  <c r="N654" i="14"/>
  <c r="P654" i="14"/>
  <c r="Q654" i="14"/>
  <c r="R654" i="14"/>
  <c r="S654" i="14" s="1"/>
  <c r="U654" i="14"/>
  <c r="F655" i="14"/>
  <c r="G655" i="14"/>
  <c r="H655" i="14"/>
  <c r="I655" i="14"/>
  <c r="J655" i="14"/>
  <c r="K655" i="14"/>
  <c r="L655" i="14"/>
  <c r="M655" i="14"/>
  <c r="N655" i="14"/>
  <c r="P655" i="14"/>
  <c r="Q655" i="14"/>
  <c r="R655" i="14"/>
  <c r="S655" i="14" s="1"/>
  <c r="U655" i="14"/>
  <c r="F656" i="14"/>
  <c r="G656" i="14"/>
  <c r="H656" i="14"/>
  <c r="I656" i="14"/>
  <c r="J656" i="14"/>
  <c r="K656" i="14"/>
  <c r="L656" i="14"/>
  <c r="M656" i="14"/>
  <c r="N656" i="14"/>
  <c r="P656" i="14"/>
  <c r="Q656" i="14"/>
  <c r="R656" i="14"/>
  <c r="S656" i="14" s="1"/>
  <c r="U656" i="14"/>
  <c r="F657" i="14"/>
  <c r="G657" i="14"/>
  <c r="H657" i="14"/>
  <c r="I657" i="14"/>
  <c r="J657" i="14"/>
  <c r="K657" i="14"/>
  <c r="L657" i="14"/>
  <c r="M657" i="14"/>
  <c r="N657" i="14"/>
  <c r="P657" i="14"/>
  <c r="Q657" i="14"/>
  <c r="R657" i="14"/>
  <c r="S657" i="14" s="1"/>
  <c r="U657" i="14"/>
  <c r="F658" i="14"/>
  <c r="G658" i="14"/>
  <c r="H658" i="14"/>
  <c r="I658" i="14"/>
  <c r="J658" i="14"/>
  <c r="K658" i="14"/>
  <c r="L658" i="14"/>
  <c r="M658" i="14"/>
  <c r="N658" i="14"/>
  <c r="P658" i="14"/>
  <c r="Q658" i="14"/>
  <c r="R658" i="14"/>
  <c r="S658" i="14" s="1"/>
  <c r="U658" i="14"/>
  <c r="F659" i="14"/>
  <c r="G659" i="14"/>
  <c r="H659" i="14"/>
  <c r="I659" i="14"/>
  <c r="J659" i="14"/>
  <c r="K659" i="14"/>
  <c r="L659" i="14"/>
  <c r="M659" i="14"/>
  <c r="N659" i="14"/>
  <c r="P659" i="14"/>
  <c r="Q659" i="14"/>
  <c r="R659" i="14"/>
  <c r="S659" i="14" s="1"/>
  <c r="U659" i="14"/>
  <c r="F660" i="14"/>
  <c r="G660" i="14"/>
  <c r="H660" i="14"/>
  <c r="I660" i="14"/>
  <c r="J660" i="14"/>
  <c r="K660" i="14"/>
  <c r="L660" i="14"/>
  <c r="M660" i="14"/>
  <c r="N660" i="14"/>
  <c r="P660" i="14"/>
  <c r="Q660" i="14"/>
  <c r="R660" i="14"/>
  <c r="S660" i="14" s="1"/>
  <c r="U660" i="14"/>
  <c r="F661" i="14"/>
  <c r="G661" i="14"/>
  <c r="H661" i="14"/>
  <c r="I661" i="14"/>
  <c r="J661" i="14"/>
  <c r="K661" i="14"/>
  <c r="L661" i="14"/>
  <c r="M661" i="14"/>
  <c r="N661" i="14"/>
  <c r="P661" i="14"/>
  <c r="Q661" i="14"/>
  <c r="R661" i="14"/>
  <c r="S661" i="14" s="1"/>
  <c r="U661" i="14"/>
  <c r="F662" i="14"/>
  <c r="G662" i="14"/>
  <c r="H662" i="14"/>
  <c r="I662" i="14"/>
  <c r="J662" i="14"/>
  <c r="K662" i="14"/>
  <c r="L662" i="14"/>
  <c r="M662" i="14"/>
  <c r="N662" i="14"/>
  <c r="P662" i="14"/>
  <c r="Q662" i="14"/>
  <c r="R662" i="14"/>
  <c r="S662" i="14" s="1"/>
  <c r="U662" i="14"/>
  <c r="F663" i="14"/>
  <c r="G663" i="14"/>
  <c r="H663" i="14"/>
  <c r="I663" i="14"/>
  <c r="J663" i="14"/>
  <c r="K663" i="14"/>
  <c r="L663" i="14"/>
  <c r="M663" i="14"/>
  <c r="N663" i="14"/>
  <c r="P663" i="14"/>
  <c r="Q663" i="14"/>
  <c r="R663" i="14"/>
  <c r="S663" i="14" s="1"/>
  <c r="U663" i="14"/>
  <c r="F664" i="14"/>
  <c r="G664" i="14"/>
  <c r="H664" i="14"/>
  <c r="I664" i="14"/>
  <c r="J664" i="14"/>
  <c r="K664" i="14"/>
  <c r="L664" i="14"/>
  <c r="M664" i="14"/>
  <c r="N664" i="14"/>
  <c r="P664" i="14"/>
  <c r="Q664" i="14"/>
  <c r="R664" i="14"/>
  <c r="S664" i="14" s="1"/>
  <c r="U664" i="14"/>
  <c r="F665" i="14"/>
  <c r="G665" i="14"/>
  <c r="H665" i="14"/>
  <c r="I665" i="14"/>
  <c r="J665" i="14"/>
  <c r="K665" i="14"/>
  <c r="L665" i="14"/>
  <c r="M665" i="14"/>
  <c r="N665" i="14"/>
  <c r="P665" i="14"/>
  <c r="Q665" i="14"/>
  <c r="R665" i="14"/>
  <c r="S665" i="14" s="1"/>
  <c r="U665" i="14"/>
  <c r="F666" i="14"/>
  <c r="G666" i="14"/>
  <c r="H666" i="14"/>
  <c r="I666" i="14"/>
  <c r="J666" i="14"/>
  <c r="K666" i="14"/>
  <c r="L666" i="14"/>
  <c r="M666" i="14"/>
  <c r="N666" i="14"/>
  <c r="P666" i="14"/>
  <c r="Q666" i="14"/>
  <c r="R666" i="14"/>
  <c r="S666" i="14" s="1"/>
  <c r="U666" i="14"/>
  <c r="F667" i="14"/>
  <c r="G667" i="14"/>
  <c r="H667" i="14"/>
  <c r="I667" i="14"/>
  <c r="J667" i="14"/>
  <c r="K667" i="14"/>
  <c r="L667" i="14"/>
  <c r="M667" i="14"/>
  <c r="N667" i="14"/>
  <c r="P667" i="14"/>
  <c r="Q667" i="14"/>
  <c r="R667" i="14"/>
  <c r="S667" i="14" s="1"/>
  <c r="U667" i="14"/>
  <c r="F668" i="14"/>
  <c r="G668" i="14"/>
  <c r="H668" i="14"/>
  <c r="I668" i="14"/>
  <c r="J668" i="14"/>
  <c r="K668" i="14"/>
  <c r="L668" i="14"/>
  <c r="M668" i="14"/>
  <c r="N668" i="14"/>
  <c r="P668" i="14"/>
  <c r="Q668" i="14"/>
  <c r="R668" i="14"/>
  <c r="S668" i="14" s="1"/>
  <c r="U668" i="14"/>
  <c r="F669" i="14"/>
  <c r="G669" i="14"/>
  <c r="H669" i="14"/>
  <c r="I669" i="14"/>
  <c r="J669" i="14"/>
  <c r="K669" i="14"/>
  <c r="L669" i="14"/>
  <c r="M669" i="14"/>
  <c r="N669" i="14"/>
  <c r="P669" i="14"/>
  <c r="Q669" i="14"/>
  <c r="R669" i="14"/>
  <c r="S669" i="14" s="1"/>
  <c r="U669" i="14"/>
  <c r="F670" i="14"/>
  <c r="G670" i="14"/>
  <c r="H670" i="14"/>
  <c r="I670" i="14"/>
  <c r="J670" i="14"/>
  <c r="K670" i="14"/>
  <c r="L670" i="14"/>
  <c r="M670" i="14"/>
  <c r="N670" i="14"/>
  <c r="P670" i="14"/>
  <c r="Q670" i="14"/>
  <c r="R670" i="14"/>
  <c r="S670" i="14" s="1"/>
  <c r="U670" i="14"/>
  <c r="F671" i="14"/>
  <c r="G671" i="14"/>
  <c r="H671" i="14"/>
  <c r="I671" i="14"/>
  <c r="J671" i="14"/>
  <c r="K671" i="14"/>
  <c r="L671" i="14"/>
  <c r="M671" i="14"/>
  <c r="N671" i="14"/>
  <c r="P671" i="14"/>
  <c r="Q671" i="14"/>
  <c r="R671" i="14"/>
  <c r="S671" i="14" s="1"/>
  <c r="U671" i="14"/>
  <c r="F672" i="14"/>
  <c r="G672" i="14"/>
  <c r="H672" i="14"/>
  <c r="I672" i="14"/>
  <c r="J672" i="14"/>
  <c r="K672" i="14"/>
  <c r="L672" i="14"/>
  <c r="M672" i="14"/>
  <c r="N672" i="14"/>
  <c r="P672" i="14"/>
  <c r="Q672" i="14"/>
  <c r="R672" i="14"/>
  <c r="S672" i="14" s="1"/>
  <c r="U672" i="14"/>
  <c r="F673" i="14"/>
  <c r="G673" i="14"/>
  <c r="H673" i="14"/>
  <c r="I673" i="14"/>
  <c r="J673" i="14"/>
  <c r="K673" i="14"/>
  <c r="L673" i="14"/>
  <c r="M673" i="14"/>
  <c r="N673" i="14"/>
  <c r="P673" i="14"/>
  <c r="Q673" i="14"/>
  <c r="R673" i="14"/>
  <c r="S673" i="14" s="1"/>
  <c r="U673" i="14"/>
  <c r="F674" i="14"/>
  <c r="G674" i="14"/>
  <c r="H674" i="14"/>
  <c r="I674" i="14"/>
  <c r="J674" i="14"/>
  <c r="K674" i="14"/>
  <c r="L674" i="14"/>
  <c r="M674" i="14"/>
  <c r="N674" i="14"/>
  <c r="P674" i="14"/>
  <c r="Q674" i="14"/>
  <c r="R674" i="14"/>
  <c r="S674" i="14" s="1"/>
  <c r="U674" i="14"/>
  <c r="F675" i="14"/>
  <c r="G675" i="14"/>
  <c r="H675" i="14"/>
  <c r="I675" i="14"/>
  <c r="J675" i="14"/>
  <c r="K675" i="14"/>
  <c r="L675" i="14"/>
  <c r="M675" i="14"/>
  <c r="N675" i="14"/>
  <c r="P675" i="14"/>
  <c r="Q675" i="14"/>
  <c r="R675" i="14"/>
  <c r="S675" i="14" s="1"/>
  <c r="U675" i="14"/>
  <c r="F676" i="14"/>
  <c r="G676" i="14"/>
  <c r="H676" i="14"/>
  <c r="I676" i="14"/>
  <c r="J676" i="14"/>
  <c r="K676" i="14"/>
  <c r="L676" i="14"/>
  <c r="M676" i="14"/>
  <c r="N676" i="14"/>
  <c r="P676" i="14"/>
  <c r="Q676" i="14"/>
  <c r="R676" i="14"/>
  <c r="S676" i="14" s="1"/>
  <c r="U676" i="14"/>
  <c r="F677" i="14"/>
  <c r="G677" i="14"/>
  <c r="H677" i="14"/>
  <c r="I677" i="14"/>
  <c r="J677" i="14"/>
  <c r="K677" i="14"/>
  <c r="L677" i="14"/>
  <c r="M677" i="14"/>
  <c r="N677" i="14"/>
  <c r="P677" i="14"/>
  <c r="Q677" i="14"/>
  <c r="R677" i="14"/>
  <c r="S677" i="14" s="1"/>
  <c r="U677" i="14"/>
  <c r="F678" i="14"/>
  <c r="G678" i="14"/>
  <c r="H678" i="14"/>
  <c r="I678" i="14"/>
  <c r="J678" i="14"/>
  <c r="K678" i="14"/>
  <c r="L678" i="14"/>
  <c r="M678" i="14"/>
  <c r="N678" i="14"/>
  <c r="P678" i="14"/>
  <c r="Q678" i="14"/>
  <c r="R678" i="14"/>
  <c r="S678" i="14" s="1"/>
  <c r="U678" i="14"/>
  <c r="F679" i="14"/>
  <c r="G679" i="14"/>
  <c r="H679" i="14"/>
  <c r="I679" i="14"/>
  <c r="J679" i="14"/>
  <c r="K679" i="14"/>
  <c r="L679" i="14"/>
  <c r="M679" i="14"/>
  <c r="N679" i="14"/>
  <c r="P679" i="14"/>
  <c r="Q679" i="14"/>
  <c r="R679" i="14"/>
  <c r="S679" i="14" s="1"/>
  <c r="U679" i="14"/>
  <c r="F680" i="14"/>
  <c r="G680" i="14"/>
  <c r="H680" i="14"/>
  <c r="I680" i="14"/>
  <c r="J680" i="14"/>
  <c r="K680" i="14"/>
  <c r="L680" i="14"/>
  <c r="M680" i="14"/>
  <c r="N680" i="14"/>
  <c r="P680" i="14"/>
  <c r="Q680" i="14"/>
  <c r="R680" i="14"/>
  <c r="S680" i="14" s="1"/>
  <c r="U680" i="14"/>
  <c r="F681" i="14"/>
  <c r="G681" i="14"/>
  <c r="H681" i="14"/>
  <c r="I681" i="14"/>
  <c r="J681" i="14"/>
  <c r="K681" i="14"/>
  <c r="L681" i="14"/>
  <c r="M681" i="14"/>
  <c r="N681" i="14"/>
  <c r="P681" i="14"/>
  <c r="Q681" i="14"/>
  <c r="R681" i="14"/>
  <c r="S681" i="14" s="1"/>
  <c r="U681" i="14"/>
  <c r="F682" i="14"/>
  <c r="G682" i="14"/>
  <c r="H682" i="14"/>
  <c r="I682" i="14"/>
  <c r="J682" i="14"/>
  <c r="K682" i="14"/>
  <c r="L682" i="14"/>
  <c r="M682" i="14"/>
  <c r="N682" i="14"/>
  <c r="P682" i="14"/>
  <c r="Q682" i="14"/>
  <c r="R682" i="14"/>
  <c r="S682" i="14" s="1"/>
  <c r="U682" i="14"/>
  <c r="F683" i="14"/>
  <c r="G683" i="14"/>
  <c r="H683" i="14"/>
  <c r="I683" i="14"/>
  <c r="J683" i="14"/>
  <c r="K683" i="14"/>
  <c r="L683" i="14"/>
  <c r="M683" i="14"/>
  <c r="N683" i="14"/>
  <c r="P683" i="14"/>
  <c r="Q683" i="14"/>
  <c r="R683" i="14"/>
  <c r="S683" i="14" s="1"/>
  <c r="U683" i="14"/>
  <c r="F684" i="14"/>
  <c r="G684" i="14"/>
  <c r="H684" i="14"/>
  <c r="I684" i="14"/>
  <c r="J684" i="14"/>
  <c r="K684" i="14"/>
  <c r="L684" i="14"/>
  <c r="M684" i="14"/>
  <c r="N684" i="14"/>
  <c r="P684" i="14"/>
  <c r="Q684" i="14"/>
  <c r="R684" i="14"/>
  <c r="S684" i="14" s="1"/>
  <c r="U684" i="14"/>
  <c r="F685" i="14"/>
  <c r="G685" i="14"/>
  <c r="H685" i="14"/>
  <c r="I685" i="14"/>
  <c r="J685" i="14"/>
  <c r="K685" i="14"/>
  <c r="L685" i="14"/>
  <c r="M685" i="14"/>
  <c r="N685" i="14"/>
  <c r="P685" i="14"/>
  <c r="Q685" i="14"/>
  <c r="R685" i="14"/>
  <c r="S685" i="14" s="1"/>
  <c r="U685" i="14"/>
  <c r="F686" i="14"/>
  <c r="G686" i="14"/>
  <c r="H686" i="14"/>
  <c r="I686" i="14"/>
  <c r="J686" i="14"/>
  <c r="K686" i="14"/>
  <c r="L686" i="14"/>
  <c r="M686" i="14"/>
  <c r="N686" i="14"/>
  <c r="P686" i="14"/>
  <c r="Q686" i="14"/>
  <c r="R686" i="14"/>
  <c r="U686" i="14"/>
  <c r="F687" i="14"/>
  <c r="U687" i="14" s="1"/>
  <c r="G687" i="14"/>
  <c r="H687" i="14"/>
  <c r="I687" i="14"/>
  <c r="J687" i="14"/>
  <c r="K687" i="14"/>
  <c r="L687" i="14"/>
  <c r="M687" i="14"/>
  <c r="N687" i="14"/>
  <c r="P687" i="14"/>
  <c r="Q687" i="14"/>
  <c r="R687" i="14"/>
  <c r="F688" i="14"/>
  <c r="G688" i="14"/>
  <c r="H688" i="14"/>
  <c r="I688" i="14"/>
  <c r="J688" i="14"/>
  <c r="K688" i="14"/>
  <c r="L688" i="14"/>
  <c r="M688" i="14"/>
  <c r="N688" i="14"/>
  <c r="P688" i="14"/>
  <c r="Q688" i="14"/>
  <c r="R688" i="14"/>
  <c r="U688" i="14"/>
  <c r="F689" i="14"/>
  <c r="G689" i="14"/>
  <c r="H689" i="14"/>
  <c r="I689" i="14"/>
  <c r="J689" i="14"/>
  <c r="K689" i="14"/>
  <c r="L689" i="14"/>
  <c r="M689" i="14"/>
  <c r="N689" i="14"/>
  <c r="P689" i="14"/>
  <c r="Q689" i="14"/>
  <c r="R689" i="14"/>
  <c r="U689" i="14"/>
  <c r="F690" i="14"/>
  <c r="G690" i="14"/>
  <c r="H690" i="14"/>
  <c r="I690" i="14"/>
  <c r="J690" i="14"/>
  <c r="K690" i="14"/>
  <c r="L690" i="14"/>
  <c r="M690" i="14"/>
  <c r="N690" i="14"/>
  <c r="P690" i="14"/>
  <c r="Q690" i="14"/>
  <c r="R690" i="14"/>
  <c r="U690" i="14"/>
  <c r="F691" i="14"/>
  <c r="G691" i="14"/>
  <c r="H691" i="14"/>
  <c r="I691" i="14"/>
  <c r="J691" i="14"/>
  <c r="K691" i="14"/>
  <c r="L691" i="14"/>
  <c r="M691" i="14"/>
  <c r="N691" i="14"/>
  <c r="P691" i="14"/>
  <c r="Q691" i="14"/>
  <c r="R691" i="14"/>
  <c r="U691" i="14"/>
  <c r="F692" i="14"/>
  <c r="G692" i="14"/>
  <c r="H692" i="14"/>
  <c r="I692" i="14"/>
  <c r="J692" i="14"/>
  <c r="K692" i="14"/>
  <c r="L692" i="14"/>
  <c r="M692" i="14"/>
  <c r="N692" i="14"/>
  <c r="P692" i="14"/>
  <c r="Q692" i="14"/>
  <c r="R692" i="14"/>
  <c r="U692" i="14"/>
  <c r="F693" i="14"/>
  <c r="G693" i="14"/>
  <c r="H693" i="14"/>
  <c r="I693" i="14"/>
  <c r="J693" i="14"/>
  <c r="K693" i="14"/>
  <c r="L693" i="14"/>
  <c r="M693" i="14"/>
  <c r="N693" i="14"/>
  <c r="P693" i="14"/>
  <c r="Q693" i="14"/>
  <c r="R693" i="14"/>
  <c r="U693" i="14"/>
  <c r="F694" i="14"/>
  <c r="G694" i="14"/>
  <c r="H694" i="14"/>
  <c r="I694" i="14"/>
  <c r="J694" i="14"/>
  <c r="K694" i="14"/>
  <c r="L694" i="14"/>
  <c r="M694" i="14"/>
  <c r="N694" i="14"/>
  <c r="P694" i="14"/>
  <c r="Q694" i="14"/>
  <c r="R694" i="14"/>
  <c r="U694" i="14"/>
  <c r="F695" i="14"/>
  <c r="G695" i="14"/>
  <c r="H695" i="14"/>
  <c r="I695" i="14"/>
  <c r="J695" i="14"/>
  <c r="K695" i="14"/>
  <c r="L695" i="14"/>
  <c r="M695" i="14"/>
  <c r="N695" i="14"/>
  <c r="P695" i="14"/>
  <c r="Q695" i="14"/>
  <c r="R695" i="14"/>
  <c r="U695" i="14"/>
  <c r="F696" i="14"/>
  <c r="G696" i="14"/>
  <c r="H696" i="14"/>
  <c r="I696" i="14"/>
  <c r="J696" i="14"/>
  <c r="K696" i="14"/>
  <c r="L696" i="14"/>
  <c r="M696" i="14"/>
  <c r="N696" i="14"/>
  <c r="P696" i="14"/>
  <c r="Q696" i="14"/>
  <c r="R696" i="14"/>
  <c r="U696" i="14"/>
  <c r="F697" i="14"/>
  <c r="G697" i="14"/>
  <c r="H697" i="14"/>
  <c r="I697" i="14"/>
  <c r="J697" i="14"/>
  <c r="K697" i="14"/>
  <c r="L697" i="14"/>
  <c r="M697" i="14"/>
  <c r="N697" i="14"/>
  <c r="P697" i="14"/>
  <c r="Q697" i="14"/>
  <c r="R697" i="14"/>
  <c r="U697" i="14"/>
  <c r="F698" i="14"/>
  <c r="G698" i="14"/>
  <c r="H698" i="14"/>
  <c r="I698" i="14"/>
  <c r="J698" i="14"/>
  <c r="K698" i="14"/>
  <c r="L698" i="14"/>
  <c r="M698" i="14"/>
  <c r="N698" i="14"/>
  <c r="P698" i="14"/>
  <c r="Q698" i="14"/>
  <c r="R698" i="14"/>
  <c r="U698" i="14"/>
  <c r="F699" i="14"/>
  <c r="G699" i="14"/>
  <c r="H699" i="14"/>
  <c r="I699" i="14"/>
  <c r="J699" i="14"/>
  <c r="K699" i="14"/>
  <c r="L699" i="14"/>
  <c r="M699" i="14"/>
  <c r="N699" i="14"/>
  <c r="P699" i="14"/>
  <c r="Q699" i="14"/>
  <c r="R699" i="14"/>
  <c r="U699" i="14"/>
  <c r="F700" i="14"/>
  <c r="G700" i="14"/>
  <c r="H700" i="14"/>
  <c r="I700" i="14"/>
  <c r="J700" i="14"/>
  <c r="K700" i="14"/>
  <c r="L700" i="14"/>
  <c r="M700" i="14"/>
  <c r="N700" i="14"/>
  <c r="P700" i="14"/>
  <c r="Q700" i="14"/>
  <c r="R700" i="14"/>
  <c r="U700" i="14"/>
  <c r="F701" i="14"/>
  <c r="G701" i="14"/>
  <c r="H701" i="14"/>
  <c r="I701" i="14"/>
  <c r="J701" i="14"/>
  <c r="K701" i="14"/>
  <c r="L701" i="14"/>
  <c r="M701" i="14"/>
  <c r="N701" i="14"/>
  <c r="P701" i="14"/>
  <c r="Q701" i="14"/>
  <c r="R701" i="14"/>
  <c r="U701" i="14"/>
  <c r="F702" i="14"/>
  <c r="G702" i="14"/>
  <c r="H702" i="14"/>
  <c r="I702" i="14"/>
  <c r="J702" i="14"/>
  <c r="K702" i="14"/>
  <c r="L702" i="14"/>
  <c r="M702" i="14"/>
  <c r="N702" i="14"/>
  <c r="P702" i="14"/>
  <c r="Q702" i="14"/>
  <c r="R702" i="14"/>
  <c r="U702" i="14"/>
  <c r="F703" i="14"/>
  <c r="G703" i="14"/>
  <c r="H703" i="14"/>
  <c r="I703" i="14"/>
  <c r="J703" i="14"/>
  <c r="K703" i="14"/>
  <c r="L703" i="14"/>
  <c r="M703" i="14"/>
  <c r="N703" i="14"/>
  <c r="P703" i="14"/>
  <c r="Q703" i="14"/>
  <c r="R703" i="14"/>
  <c r="U703" i="14"/>
  <c r="F704" i="14"/>
  <c r="G704" i="14"/>
  <c r="H704" i="14"/>
  <c r="I704" i="14"/>
  <c r="J704" i="14"/>
  <c r="K704" i="14"/>
  <c r="L704" i="14"/>
  <c r="M704" i="14"/>
  <c r="N704" i="14"/>
  <c r="P704" i="14"/>
  <c r="Q704" i="14"/>
  <c r="R704" i="14"/>
  <c r="U704" i="14"/>
  <c r="F705" i="14"/>
  <c r="G705" i="14"/>
  <c r="H705" i="14"/>
  <c r="I705" i="14"/>
  <c r="J705" i="14"/>
  <c r="K705" i="14"/>
  <c r="L705" i="14"/>
  <c r="M705" i="14"/>
  <c r="N705" i="14"/>
  <c r="P705" i="14"/>
  <c r="Q705" i="14"/>
  <c r="R705" i="14"/>
  <c r="U705" i="14"/>
  <c r="F706" i="14"/>
  <c r="G706" i="14"/>
  <c r="H706" i="14"/>
  <c r="I706" i="14"/>
  <c r="J706" i="14"/>
  <c r="K706" i="14"/>
  <c r="L706" i="14"/>
  <c r="M706" i="14"/>
  <c r="N706" i="14"/>
  <c r="P706" i="14"/>
  <c r="Q706" i="14"/>
  <c r="R706" i="14"/>
  <c r="U706" i="14"/>
  <c r="F707" i="14"/>
  <c r="G707" i="14"/>
  <c r="H707" i="14"/>
  <c r="I707" i="14"/>
  <c r="J707" i="14"/>
  <c r="K707" i="14"/>
  <c r="L707" i="14"/>
  <c r="M707" i="14"/>
  <c r="N707" i="14"/>
  <c r="P707" i="14"/>
  <c r="Q707" i="14"/>
  <c r="R707" i="14"/>
  <c r="F708" i="14"/>
  <c r="G708" i="14"/>
  <c r="H708" i="14"/>
  <c r="I708" i="14"/>
  <c r="J708" i="14"/>
  <c r="K708" i="14"/>
  <c r="L708" i="14"/>
  <c r="M708" i="14"/>
  <c r="N708" i="14"/>
  <c r="P708" i="14"/>
  <c r="Q708" i="14"/>
  <c r="R708" i="14"/>
  <c r="U708" i="14"/>
  <c r="F709" i="14"/>
  <c r="G709" i="14"/>
  <c r="H709" i="14"/>
  <c r="I709" i="14"/>
  <c r="J709" i="14"/>
  <c r="K709" i="14"/>
  <c r="L709" i="14"/>
  <c r="M709" i="14"/>
  <c r="N709" i="14"/>
  <c r="P709" i="14"/>
  <c r="Q709" i="14"/>
  <c r="R709" i="14"/>
  <c r="U709" i="14"/>
  <c r="F710" i="14"/>
  <c r="G710" i="14"/>
  <c r="H710" i="14"/>
  <c r="I710" i="14"/>
  <c r="J710" i="14"/>
  <c r="K710" i="14"/>
  <c r="L710" i="14"/>
  <c r="M710" i="14"/>
  <c r="N710" i="14"/>
  <c r="P710" i="14"/>
  <c r="Q710" i="14"/>
  <c r="R710" i="14"/>
  <c r="U710" i="14"/>
  <c r="F711" i="14"/>
  <c r="G711" i="14"/>
  <c r="H711" i="14"/>
  <c r="I711" i="14"/>
  <c r="J711" i="14"/>
  <c r="K711" i="14"/>
  <c r="L711" i="14"/>
  <c r="M711" i="14"/>
  <c r="N711" i="14"/>
  <c r="P711" i="14"/>
  <c r="Q711" i="14"/>
  <c r="R711" i="14"/>
  <c r="U711" i="14"/>
  <c r="F712" i="14"/>
  <c r="G712" i="14"/>
  <c r="H712" i="14"/>
  <c r="I712" i="14"/>
  <c r="J712" i="14"/>
  <c r="K712" i="14"/>
  <c r="L712" i="14"/>
  <c r="M712" i="14"/>
  <c r="N712" i="14"/>
  <c r="P712" i="14"/>
  <c r="Q712" i="14"/>
  <c r="R712" i="14"/>
  <c r="U712" i="14"/>
  <c r="F713" i="14"/>
  <c r="G713" i="14"/>
  <c r="H713" i="14"/>
  <c r="I713" i="14"/>
  <c r="J713" i="14"/>
  <c r="K713" i="14"/>
  <c r="L713" i="14"/>
  <c r="M713" i="14"/>
  <c r="N713" i="14"/>
  <c r="P713" i="14"/>
  <c r="Q713" i="14"/>
  <c r="R713" i="14"/>
  <c r="U713" i="14"/>
  <c r="F714" i="14"/>
  <c r="G714" i="14"/>
  <c r="H714" i="14"/>
  <c r="I714" i="14"/>
  <c r="J714" i="14"/>
  <c r="K714" i="14"/>
  <c r="L714" i="14"/>
  <c r="M714" i="14"/>
  <c r="N714" i="14"/>
  <c r="P714" i="14"/>
  <c r="Q714" i="14"/>
  <c r="R714" i="14"/>
  <c r="U714" i="14"/>
  <c r="F715" i="14"/>
  <c r="G715" i="14"/>
  <c r="H715" i="14"/>
  <c r="I715" i="14"/>
  <c r="J715" i="14"/>
  <c r="K715" i="14"/>
  <c r="L715" i="14"/>
  <c r="M715" i="14"/>
  <c r="N715" i="14"/>
  <c r="P715" i="14"/>
  <c r="Q715" i="14"/>
  <c r="R715" i="14"/>
  <c r="U715" i="14"/>
  <c r="F716" i="14"/>
  <c r="G716" i="14"/>
  <c r="H716" i="14"/>
  <c r="I716" i="14"/>
  <c r="J716" i="14"/>
  <c r="K716" i="14"/>
  <c r="L716" i="14"/>
  <c r="M716" i="14"/>
  <c r="N716" i="14"/>
  <c r="P716" i="14"/>
  <c r="Q716" i="14"/>
  <c r="R716" i="14"/>
  <c r="U716" i="14"/>
  <c r="F717" i="14"/>
  <c r="G717" i="14"/>
  <c r="H717" i="14"/>
  <c r="I717" i="14"/>
  <c r="J717" i="14"/>
  <c r="K717" i="14"/>
  <c r="L717" i="14"/>
  <c r="M717" i="14"/>
  <c r="N717" i="14"/>
  <c r="P717" i="14"/>
  <c r="Q717" i="14"/>
  <c r="R717" i="14"/>
  <c r="U717" i="14"/>
  <c r="F718" i="14"/>
  <c r="G718" i="14"/>
  <c r="H718" i="14"/>
  <c r="I718" i="14"/>
  <c r="J718" i="14"/>
  <c r="K718" i="14"/>
  <c r="L718" i="14"/>
  <c r="M718" i="14"/>
  <c r="N718" i="14"/>
  <c r="P718" i="14"/>
  <c r="Q718" i="14"/>
  <c r="R718" i="14"/>
  <c r="U718" i="14"/>
  <c r="F719" i="14"/>
  <c r="G719" i="14"/>
  <c r="H719" i="14"/>
  <c r="I719" i="14"/>
  <c r="J719" i="14"/>
  <c r="K719" i="14"/>
  <c r="L719" i="14"/>
  <c r="M719" i="14"/>
  <c r="N719" i="14"/>
  <c r="P719" i="14"/>
  <c r="Q719" i="14"/>
  <c r="R719" i="14"/>
  <c r="U719" i="14"/>
  <c r="F720" i="14"/>
  <c r="G720" i="14"/>
  <c r="H720" i="14"/>
  <c r="I720" i="14"/>
  <c r="J720" i="14"/>
  <c r="K720" i="14"/>
  <c r="L720" i="14"/>
  <c r="M720" i="14"/>
  <c r="N720" i="14"/>
  <c r="P720" i="14"/>
  <c r="Q720" i="14"/>
  <c r="R720" i="14"/>
  <c r="U720" i="14"/>
  <c r="F721" i="14"/>
  <c r="G721" i="14"/>
  <c r="H721" i="14"/>
  <c r="I721" i="14"/>
  <c r="J721" i="14"/>
  <c r="K721" i="14"/>
  <c r="L721" i="14"/>
  <c r="M721" i="14"/>
  <c r="N721" i="14"/>
  <c r="P721" i="14"/>
  <c r="Q721" i="14"/>
  <c r="R721" i="14"/>
  <c r="U721" i="14"/>
  <c r="F722" i="14"/>
  <c r="G722" i="14"/>
  <c r="H722" i="14"/>
  <c r="I722" i="14"/>
  <c r="J722" i="14"/>
  <c r="K722" i="14"/>
  <c r="L722" i="14"/>
  <c r="M722" i="14"/>
  <c r="N722" i="14"/>
  <c r="P722" i="14"/>
  <c r="Q722" i="14"/>
  <c r="R722" i="14"/>
  <c r="U722" i="14"/>
  <c r="F723" i="14"/>
  <c r="G723" i="14"/>
  <c r="H723" i="14"/>
  <c r="I723" i="14"/>
  <c r="J723" i="14"/>
  <c r="K723" i="14"/>
  <c r="L723" i="14"/>
  <c r="M723" i="14"/>
  <c r="N723" i="14"/>
  <c r="P723" i="14"/>
  <c r="Q723" i="14"/>
  <c r="R723" i="14"/>
  <c r="U723" i="14"/>
  <c r="F724" i="14"/>
  <c r="G724" i="14"/>
  <c r="H724" i="14"/>
  <c r="I724" i="14"/>
  <c r="J724" i="14"/>
  <c r="K724" i="14"/>
  <c r="L724" i="14"/>
  <c r="M724" i="14"/>
  <c r="N724" i="14"/>
  <c r="P724" i="14"/>
  <c r="Q724" i="14"/>
  <c r="R724" i="14"/>
  <c r="U724" i="14"/>
  <c r="F725" i="14"/>
  <c r="G725" i="14"/>
  <c r="H725" i="14"/>
  <c r="I725" i="14"/>
  <c r="J725" i="14"/>
  <c r="K725" i="14"/>
  <c r="L725" i="14"/>
  <c r="M725" i="14"/>
  <c r="N725" i="14"/>
  <c r="P725" i="14"/>
  <c r="Q725" i="14"/>
  <c r="R725" i="14"/>
  <c r="U725" i="14"/>
  <c r="F726" i="14"/>
  <c r="G726" i="14"/>
  <c r="H726" i="14"/>
  <c r="I726" i="14"/>
  <c r="J726" i="14"/>
  <c r="K726" i="14"/>
  <c r="L726" i="14"/>
  <c r="M726" i="14"/>
  <c r="N726" i="14"/>
  <c r="P726" i="14"/>
  <c r="Q726" i="14"/>
  <c r="R726" i="14"/>
  <c r="U726" i="14"/>
  <c r="F727" i="14"/>
  <c r="G727" i="14"/>
  <c r="H727" i="14"/>
  <c r="I727" i="14"/>
  <c r="J727" i="14"/>
  <c r="K727" i="14"/>
  <c r="L727" i="14"/>
  <c r="M727" i="14"/>
  <c r="N727" i="14"/>
  <c r="P727" i="14"/>
  <c r="Q727" i="14"/>
  <c r="R727" i="14"/>
  <c r="U727" i="14"/>
  <c r="F728" i="14"/>
  <c r="G728" i="14"/>
  <c r="H728" i="14"/>
  <c r="I728" i="14"/>
  <c r="J728" i="14"/>
  <c r="K728" i="14"/>
  <c r="L728" i="14"/>
  <c r="M728" i="14"/>
  <c r="N728" i="14"/>
  <c r="P728" i="14"/>
  <c r="Q728" i="14"/>
  <c r="R728" i="14"/>
  <c r="U728" i="14"/>
  <c r="F729" i="14"/>
  <c r="G729" i="14"/>
  <c r="H729" i="14"/>
  <c r="I729" i="14"/>
  <c r="J729" i="14"/>
  <c r="K729" i="14"/>
  <c r="L729" i="14"/>
  <c r="M729" i="14"/>
  <c r="N729" i="14"/>
  <c r="P729" i="14"/>
  <c r="Q729" i="14"/>
  <c r="R729" i="14"/>
  <c r="U729" i="14"/>
  <c r="F730" i="14"/>
  <c r="G730" i="14"/>
  <c r="H730" i="14"/>
  <c r="I730" i="14"/>
  <c r="J730" i="14"/>
  <c r="K730" i="14"/>
  <c r="L730" i="14"/>
  <c r="M730" i="14"/>
  <c r="N730" i="14"/>
  <c r="P730" i="14"/>
  <c r="Q730" i="14"/>
  <c r="R730" i="14"/>
  <c r="U730" i="14"/>
  <c r="F731" i="14"/>
  <c r="G731" i="14"/>
  <c r="H731" i="14"/>
  <c r="I731" i="14"/>
  <c r="J731" i="14"/>
  <c r="K731" i="14"/>
  <c r="L731" i="14"/>
  <c r="M731" i="14"/>
  <c r="N731" i="14"/>
  <c r="P731" i="14"/>
  <c r="Q731" i="14"/>
  <c r="R731" i="14"/>
  <c r="U731" i="14"/>
  <c r="F732" i="14"/>
  <c r="G732" i="14"/>
  <c r="H732" i="14"/>
  <c r="I732" i="14"/>
  <c r="J732" i="14"/>
  <c r="K732" i="14"/>
  <c r="L732" i="14"/>
  <c r="M732" i="14"/>
  <c r="N732" i="14"/>
  <c r="P732" i="14"/>
  <c r="Q732" i="14"/>
  <c r="R732" i="14"/>
  <c r="U732" i="14"/>
  <c r="F733" i="14"/>
  <c r="G733" i="14"/>
  <c r="H733" i="14"/>
  <c r="I733" i="14"/>
  <c r="J733" i="14"/>
  <c r="K733" i="14"/>
  <c r="L733" i="14"/>
  <c r="M733" i="14"/>
  <c r="N733" i="14"/>
  <c r="P733" i="14"/>
  <c r="Q733" i="14"/>
  <c r="R733" i="14"/>
  <c r="U733" i="14"/>
  <c r="F734" i="14"/>
  <c r="G734" i="14"/>
  <c r="H734" i="14"/>
  <c r="I734" i="14"/>
  <c r="J734" i="14"/>
  <c r="K734" i="14"/>
  <c r="L734" i="14"/>
  <c r="M734" i="14"/>
  <c r="N734" i="14"/>
  <c r="P734" i="14"/>
  <c r="Q734" i="14"/>
  <c r="R734" i="14"/>
  <c r="U734" i="14"/>
  <c r="F735" i="14"/>
  <c r="G735" i="14"/>
  <c r="H735" i="14"/>
  <c r="I735" i="14"/>
  <c r="J735" i="14"/>
  <c r="K735" i="14"/>
  <c r="L735" i="14"/>
  <c r="M735" i="14"/>
  <c r="N735" i="14"/>
  <c r="P735" i="14"/>
  <c r="Q735" i="14"/>
  <c r="R735" i="14"/>
  <c r="U735" i="14"/>
  <c r="F736" i="14"/>
  <c r="G736" i="14"/>
  <c r="H736" i="14"/>
  <c r="I736" i="14"/>
  <c r="J736" i="14"/>
  <c r="K736" i="14"/>
  <c r="L736" i="14"/>
  <c r="M736" i="14"/>
  <c r="N736" i="14"/>
  <c r="P736" i="14"/>
  <c r="Q736" i="14"/>
  <c r="R736" i="14"/>
  <c r="U736" i="14"/>
  <c r="F737" i="14"/>
  <c r="G737" i="14"/>
  <c r="H737" i="14"/>
  <c r="I737" i="14"/>
  <c r="J737" i="14"/>
  <c r="K737" i="14"/>
  <c r="L737" i="14"/>
  <c r="M737" i="14"/>
  <c r="N737" i="14"/>
  <c r="P737" i="14"/>
  <c r="Q737" i="14"/>
  <c r="R737" i="14"/>
  <c r="U737" i="14"/>
  <c r="F738" i="14"/>
  <c r="G738" i="14"/>
  <c r="H738" i="14"/>
  <c r="I738" i="14"/>
  <c r="J738" i="14"/>
  <c r="K738" i="14"/>
  <c r="L738" i="14"/>
  <c r="M738" i="14"/>
  <c r="N738" i="14"/>
  <c r="P738" i="14"/>
  <c r="Q738" i="14"/>
  <c r="R738" i="14"/>
  <c r="F739" i="14"/>
  <c r="G739" i="14"/>
  <c r="H739" i="14"/>
  <c r="I739" i="14"/>
  <c r="J739" i="14"/>
  <c r="K739" i="14"/>
  <c r="L739" i="14"/>
  <c r="M739" i="14"/>
  <c r="N739" i="14"/>
  <c r="P739" i="14"/>
  <c r="Q739" i="14"/>
  <c r="R739" i="14"/>
  <c r="U739" i="14"/>
  <c r="F740" i="14"/>
  <c r="G740" i="14"/>
  <c r="H740" i="14"/>
  <c r="I740" i="14"/>
  <c r="J740" i="14"/>
  <c r="K740" i="14"/>
  <c r="L740" i="14"/>
  <c r="M740" i="14"/>
  <c r="N740" i="14"/>
  <c r="P740" i="14"/>
  <c r="Q740" i="14"/>
  <c r="R740" i="14"/>
  <c r="U740" i="14"/>
  <c r="F741" i="14"/>
  <c r="G741" i="14"/>
  <c r="H741" i="14"/>
  <c r="I741" i="14"/>
  <c r="J741" i="14"/>
  <c r="K741" i="14"/>
  <c r="L741" i="14"/>
  <c r="M741" i="14"/>
  <c r="N741" i="14"/>
  <c r="P741" i="14"/>
  <c r="Q741" i="14"/>
  <c r="R741" i="14"/>
  <c r="U741" i="14"/>
  <c r="F742" i="14"/>
  <c r="G742" i="14"/>
  <c r="H742" i="14"/>
  <c r="I742" i="14"/>
  <c r="J742" i="14"/>
  <c r="K742" i="14"/>
  <c r="L742" i="14"/>
  <c r="M742" i="14"/>
  <c r="N742" i="14"/>
  <c r="P742" i="14"/>
  <c r="Q742" i="14"/>
  <c r="R742" i="14"/>
  <c r="U742" i="14"/>
  <c r="F743" i="14"/>
  <c r="G743" i="14"/>
  <c r="H743" i="14"/>
  <c r="I743" i="14"/>
  <c r="J743" i="14"/>
  <c r="K743" i="14"/>
  <c r="L743" i="14"/>
  <c r="M743" i="14"/>
  <c r="N743" i="14"/>
  <c r="P743" i="14"/>
  <c r="Q743" i="14"/>
  <c r="R743" i="14"/>
  <c r="U743" i="14"/>
  <c r="F744" i="14"/>
  <c r="G744" i="14"/>
  <c r="H744" i="14"/>
  <c r="I744" i="14"/>
  <c r="J744" i="14"/>
  <c r="K744" i="14"/>
  <c r="L744" i="14"/>
  <c r="M744" i="14"/>
  <c r="N744" i="14"/>
  <c r="P744" i="14"/>
  <c r="Q744" i="14"/>
  <c r="R744" i="14"/>
  <c r="U744" i="14"/>
  <c r="F745" i="14"/>
  <c r="G745" i="14"/>
  <c r="H745" i="14"/>
  <c r="I745" i="14"/>
  <c r="J745" i="14"/>
  <c r="K745" i="14"/>
  <c r="L745" i="14"/>
  <c r="M745" i="14"/>
  <c r="N745" i="14"/>
  <c r="P745" i="14"/>
  <c r="Q745" i="14"/>
  <c r="R745" i="14"/>
  <c r="U745" i="14"/>
  <c r="F746" i="14"/>
  <c r="G746" i="14"/>
  <c r="H746" i="14"/>
  <c r="I746" i="14"/>
  <c r="J746" i="14"/>
  <c r="K746" i="14"/>
  <c r="L746" i="14"/>
  <c r="M746" i="14"/>
  <c r="N746" i="14"/>
  <c r="P746" i="14"/>
  <c r="Q746" i="14"/>
  <c r="R746" i="14"/>
  <c r="U746" i="14"/>
  <c r="F747" i="14"/>
  <c r="G747" i="14"/>
  <c r="H747" i="14"/>
  <c r="I747" i="14"/>
  <c r="J747" i="14"/>
  <c r="K747" i="14"/>
  <c r="L747" i="14"/>
  <c r="M747" i="14"/>
  <c r="N747" i="14"/>
  <c r="P747" i="14"/>
  <c r="Q747" i="14"/>
  <c r="R747" i="14"/>
  <c r="U747" i="14"/>
  <c r="F748" i="14"/>
  <c r="G748" i="14"/>
  <c r="H748" i="14"/>
  <c r="I748" i="14"/>
  <c r="J748" i="14"/>
  <c r="K748" i="14"/>
  <c r="L748" i="14"/>
  <c r="M748" i="14"/>
  <c r="N748" i="14"/>
  <c r="P748" i="14"/>
  <c r="Q748" i="14"/>
  <c r="R748" i="14"/>
  <c r="S748" i="14" s="1"/>
  <c r="U748" i="14"/>
  <c r="F749" i="14"/>
  <c r="G749" i="14"/>
  <c r="H749" i="14"/>
  <c r="I749" i="14"/>
  <c r="J749" i="14"/>
  <c r="K749" i="14"/>
  <c r="L749" i="14"/>
  <c r="M749" i="14"/>
  <c r="N749" i="14"/>
  <c r="P749" i="14"/>
  <c r="Q749" i="14"/>
  <c r="R749" i="14"/>
  <c r="U749" i="14"/>
  <c r="F750" i="14"/>
  <c r="G750" i="14"/>
  <c r="H750" i="14"/>
  <c r="I750" i="14"/>
  <c r="J750" i="14"/>
  <c r="K750" i="14"/>
  <c r="L750" i="14"/>
  <c r="M750" i="14"/>
  <c r="N750" i="14"/>
  <c r="P750" i="14"/>
  <c r="Q750" i="14"/>
  <c r="R750" i="14"/>
  <c r="U750" i="14"/>
  <c r="F751" i="14"/>
  <c r="G751" i="14"/>
  <c r="H751" i="14"/>
  <c r="I751" i="14"/>
  <c r="J751" i="14"/>
  <c r="K751" i="14"/>
  <c r="L751" i="14"/>
  <c r="M751" i="14"/>
  <c r="N751" i="14"/>
  <c r="P751" i="14"/>
  <c r="Q751" i="14"/>
  <c r="R751" i="14"/>
  <c r="U751" i="14"/>
  <c r="F752" i="14"/>
  <c r="G752" i="14"/>
  <c r="H752" i="14"/>
  <c r="I752" i="14"/>
  <c r="J752" i="14"/>
  <c r="K752" i="14"/>
  <c r="L752" i="14"/>
  <c r="M752" i="14"/>
  <c r="N752" i="14"/>
  <c r="P752" i="14"/>
  <c r="Q752" i="14"/>
  <c r="R752" i="14"/>
  <c r="U752" i="14"/>
  <c r="F753" i="14"/>
  <c r="G753" i="14"/>
  <c r="H753" i="14"/>
  <c r="I753" i="14"/>
  <c r="J753" i="14"/>
  <c r="K753" i="14"/>
  <c r="L753" i="14"/>
  <c r="M753" i="14"/>
  <c r="N753" i="14"/>
  <c r="P753" i="14"/>
  <c r="Q753" i="14"/>
  <c r="R753" i="14"/>
  <c r="U753" i="14"/>
  <c r="F754" i="14"/>
  <c r="G754" i="14"/>
  <c r="H754" i="14"/>
  <c r="I754" i="14"/>
  <c r="J754" i="14"/>
  <c r="K754" i="14"/>
  <c r="L754" i="14"/>
  <c r="M754" i="14"/>
  <c r="N754" i="14"/>
  <c r="P754" i="14"/>
  <c r="Q754" i="14"/>
  <c r="R754" i="14"/>
  <c r="U754" i="14"/>
  <c r="F755" i="14"/>
  <c r="G755" i="14"/>
  <c r="H755" i="14"/>
  <c r="I755" i="14"/>
  <c r="J755" i="14"/>
  <c r="K755" i="14"/>
  <c r="L755" i="14"/>
  <c r="M755" i="14"/>
  <c r="N755" i="14"/>
  <c r="P755" i="14"/>
  <c r="Q755" i="14"/>
  <c r="R755" i="14"/>
  <c r="U755" i="14"/>
  <c r="F756" i="14"/>
  <c r="G756" i="14"/>
  <c r="H756" i="14"/>
  <c r="I756" i="14"/>
  <c r="J756" i="14"/>
  <c r="K756" i="14"/>
  <c r="L756" i="14"/>
  <c r="M756" i="14"/>
  <c r="N756" i="14"/>
  <c r="P756" i="14"/>
  <c r="Q756" i="14"/>
  <c r="R756" i="14"/>
  <c r="U756" i="14"/>
  <c r="F757" i="14"/>
  <c r="G757" i="14"/>
  <c r="H757" i="14"/>
  <c r="I757" i="14"/>
  <c r="J757" i="14"/>
  <c r="K757" i="14"/>
  <c r="L757" i="14"/>
  <c r="M757" i="14"/>
  <c r="N757" i="14"/>
  <c r="P757" i="14"/>
  <c r="Q757" i="14"/>
  <c r="R757" i="14"/>
  <c r="S757" i="14"/>
  <c r="F758" i="14"/>
  <c r="G758" i="14"/>
  <c r="H758" i="14"/>
  <c r="I758" i="14"/>
  <c r="J758" i="14"/>
  <c r="K758" i="14"/>
  <c r="L758" i="14"/>
  <c r="M758" i="14"/>
  <c r="N758" i="14"/>
  <c r="P758" i="14"/>
  <c r="Q758" i="14"/>
  <c r="R758" i="14"/>
  <c r="S758" i="14"/>
  <c r="U758" i="14"/>
  <c r="F759" i="14"/>
  <c r="G759" i="14"/>
  <c r="H759" i="14"/>
  <c r="I759" i="14"/>
  <c r="J759" i="14"/>
  <c r="K759" i="14"/>
  <c r="L759" i="14"/>
  <c r="M759" i="14"/>
  <c r="N759" i="14"/>
  <c r="P759" i="14"/>
  <c r="Q759" i="14"/>
  <c r="R759" i="14"/>
  <c r="U759" i="14"/>
  <c r="F760" i="14"/>
  <c r="G760" i="14"/>
  <c r="H760" i="14"/>
  <c r="I760" i="14"/>
  <c r="J760" i="14"/>
  <c r="K760" i="14"/>
  <c r="L760" i="14"/>
  <c r="M760" i="14"/>
  <c r="N760" i="14"/>
  <c r="P760" i="14"/>
  <c r="Q760" i="14"/>
  <c r="R760" i="14"/>
  <c r="U760" i="14"/>
  <c r="F761" i="14"/>
  <c r="G761" i="14"/>
  <c r="H761" i="14"/>
  <c r="I761" i="14"/>
  <c r="J761" i="14"/>
  <c r="K761" i="14"/>
  <c r="L761" i="14"/>
  <c r="M761" i="14"/>
  <c r="N761" i="14"/>
  <c r="P761" i="14"/>
  <c r="Q761" i="14"/>
  <c r="R761" i="14"/>
  <c r="U761" i="14"/>
  <c r="F762" i="14"/>
  <c r="G762" i="14"/>
  <c r="H762" i="14"/>
  <c r="I762" i="14"/>
  <c r="J762" i="14"/>
  <c r="K762" i="14"/>
  <c r="L762" i="14"/>
  <c r="M762" i="14"/>
  <c r="N762" i="14"/>
  <c r="P762" i="14"/>
  <c r="Q762" i="14"/>
  <c r="R762" i="14"/>
  <c r="U762" i="14"/>
  <c r="F763" i="14"/>
  <c r="G763" i="14"/>
  <c r="H763" i="14"/>
  <c r="I763" i="14"/>
  <c r="J763" i="14"/>
  <c r="K763" i="14"/>
  <c r="L763" i="14"/>
  <c r="M763" i="14"/>
  <c r="N763" i="14"/>
  <c r="P763" i="14"/>
  <c r="Q763" i="14"/>
  <c r="R763" i="14"/>
  <c r="U763" i="14"/>
  <c r="F764" i="14"/>
  <c r="G764" i="14"/>
  <c r="H764" i="14"/>
  <c r="I764" i="14"/>
  <c r="J764" i="14"/>
  <c r="K764" i="14"/>
  <c r="L764" i="14"/>
  <c r="M764" i="14"/>
  <c r="N764" i="14"/>
  <c r="P764" i="14"/>
  <c r="Q764" i="14"/>
  <c r="R764" i="14"/>
  <c r="U764" i="14"/>
  <c r="F765" i="14"/>
  <c r="G765" i="14"/>
  <c r="H765" i="14"/>
  <c r="I765" i="14"/>
  <c r="J765" i="14"/>
  <c r="K765" i="14"/>
  <c r="L765" i="14"/>
  <c r="M765" i="14"/>
  <c r="N765" i="14"/>
  <c r="P765" i="14"/>
  <c r="Q765" i="14"/>
  <c r="R765" i="14"/>
  <c r="U765" i="14"/>
  <c r="F766" i="14"/>
  <c r="G766" i="14"/>
  <c r="H766" i="14"/>
  <c r="I766" i="14"/>
  <c r="J766" i="14"/>
  <c r="K766" i="14"/>
  <c r="L766" i="14"/>
  <c r="M766" i="14"/>
  <c r="N766" i="14"/>
  <c r="P766" i="14"/>
  <c r="Q766" i="14"/>
  <c r="R766" i="14"/>
  <c r="U766" i="14"/>
  <c r="F767" i="14"/>
  <c r="G767" i="14"/>
  <c r="H767" i="14"/>
  <c r="I767" i="14"/>
  <c r="J767" i="14"/>
  <c r="K767" i="14"/>
  <c r="L767" i="14"/>
  <c r="M767" i="14"/>
  <c r="N767" i="14"/>
  <c r="P767" i="14"/>
  <c r="Q767" i="14"/>
  <c r="R767" i="14"/>
  <c r="U767" i="14"/>
  <c r="F768" i="14"/>
  <c r="G768" i="14"/>
  <c r="H768" i="14"/>
  <c r="I768" i="14"/>
  <c r="J768" i="14"/>
  <c r="K768" i="14"/>
  <c r="L768" i="14"/>
  <c r="M768" i="14"/>
  <c r="N768" i="14"/>
  <c r="P768" i="14"/>
  <c r="Q768" i="14"/>
  <c r="R768" i="14"/>
  <c r="U768" i="14"/>
  <c r="F769" i="14"/>
  <c r="G769" i="14"/>
  <c r="H769" i="14"/>
  <c r="I769" i="14"/>
  <c r="J769" i="14"/>
  <c r="K769" i="14"/>
  <c r="L769" i="14"/>
  <c r="M769" i="14"/>
  <c r="N769" i="14"/>
  <c r="P769" i="14"/>
  <c r="Q769" i="14"/>
  <c r="R769" i="14"/>
  <c r="U769" i="14"/>
  <c r="F770" i="14"/>
  <c r="G770" i="14"/>
  <c r="H770" i="14"/>
  <c r="I770" i="14"/>
  <c r="J770" i="14"/>
  <c r="K770" i="14"/>
  <c r="L770" i="14"/>
  <c r="M770" i="14"/>
  <c r="N770" i="14"/>
  <c r="P770" i="14"/>
  <c r="Q770" i="14"/>
  <c r="R770" i="14"/>
  <c r="U770" i="14"/>
  <c r="F771" i="14"/>
  <c r="G771" i="14"/>
  <c r="H771" i="14"/>
  <c r="I771" i="14"/>
  <c r="J771" i="14"/>
  <c r="K771" i="14"/>
  <c r="L771" i="14"/>
  <c r="M771" i="14"/>
  <c r="N771" i="14"/>
  <c r="P771" i="14"/>
  <c r="Q771" i="14"/>
  <c r="R771" i="14"/>
  <c r="U771" i="14"/>
  <c r="F772" i="14"/>
  <c r="G772" i="14"/>
  <c r="H772" i="14"/>
  <c r="I772" i="14"/>
  <c r="J772" i="14"/>
  <c r="K772" i="14"/>
  <c r="L772" i="14"/>
  <c r="M772" i="14"/>
  <c r="N772" i="14"/>
  <c r="P772" i="14"/>
  <c r="Q772" i="14"/>
  <c r="R772" i="14"/>
  <c r="U772" i="14"/>
  <c r="F773" i="14"/>
  <c r="G773" i="14"/>
  <c r="H773" i="14"/>
  <c r="I773" i="14"/>
  <c r="J773" i="14"/>
  <c r="K773" i="14"/>
  <c r="L773" i="14"/>
  <c r="M773" i="14"/>
  <c r="N773" i="14"/>
  <c r="P773" i="14"/>
  <c r="Q773" i="14"/>
  <c r="R773" i="14"/>
  <c r="U773" i="14"/>
  <c r="F774" i="14"/>
  <c r="G774" i="14"/>
  <c r="H774" i="14"/>
  <c r="I774" i="14"/>
  <c r="J774" i="14"/>
  <c r="K774" i="14"/>
  <c r="L774" i="14"/>
  <c r="M774" i="14"/>
  <c r="N774" i="14"/>
  <c r="P774" i="14"/>
  <c r="Q774" i="14"/>
  <c r="R774" i="14"/>
  <c r="U774" i="14"/>
  <c r="F775" i="14"/>
  <c r="G775" i="14"/>
  <c r="H775" i="14"/>
  <c r="I775" i="14"/>
  <c r="J775" i="14"/>
  <c r="K775" i="14"/>
  <c r="L775" i="14"/>
  <c r="M775" i="14"/>
  <c r="N775" i="14"/>
  <c r="P775" i="14"/>
  <c r="Q775" i="14"/>
  <c r="R775" i="14"/>
  <c r="U775" i="14"/>
  <c r="F776" i="14"/>
  <c r="G776" i="14"/>
  <c r="H776" i="14"/>
  <c r="I776" i="14"/>
  <c r="J776" i="14"/>
  <c r="K776" i="14"/>
  <c r="L776" i="14"/>
  <c r="M776" i="14"/>
  <c r="N776" i="14"/>
  <c r="P776" i="14"/>
  <c r="Q776" i="14"/>
  <c r="R776" i="14"/>
  <c r="U776" i="14"/>
  <c r="F777" i="14"/>
  <c r="G777" i="14"/>
  <c r="H777" i="14"/>
  <c r="I777" i="14"/>
  <c r="J777" i="14"/>
  <c r="K777" i="14"/>
  <c r="L777" i="14"/>
  <c r="M777" i="14"/>
  <c r="N777" i="14"/>
  <c r="P777" i="14"/>
  <c r="Q777" i="14"/>
  <c r="R777" i="14"/>
  <c r="U777" i="14"/>
  <c r="F778" i="14"/>
  <c r="G778" i="14"/>
  <c r="H778" i="14"/>
  <c r="I778" i="14"/>
  <c r="J778" i="14"/>
  <c r="K778" i="14"/>
  <c r="L778" i="14"/>
  <c r="M778" i="14"/>
  <c r="N778" i="14"/>
  <c r="P778" i="14"/>
  <c r="Q778" i="14"/>
  <c r="R778" i="14"/>
  <c r="U778" i="14"/>
  <c r="F779" i="14"/>
  <c r="G779" i="14"/>
  <c r="H779" i="14"/>
  <c r="I779" i="14"/>
  <c r="J779" i="14"/>
  <c r="K779" i="14"/>
  <c r="L779" i="14"/>
  <c r="M779" i="14"/>
  <c r="N779" i="14"/>
  <c r="P779" i="14"/>
  <c r="Q779" i="14"/>
  <c r="R779" i="14"/>
  <c r="U779" i="14"/>
  <c r="F780" i="14"/>
  <c r="G780" i="14"/>
  <c r="H780" i="14"/>
  <c r="I780" i="14"/>
  <c r="J780" i="14"/>
  <c r="K780" i="14"/>
  <c r="L780" i="14"/>
  <c r="M780" i="14"/>
  <c r="N780" i="14"/>
  <c r="P780" i="14"/>
  <c r="Q780" i="14"/>
  <c r="R780" i="14"/>
  <c r="U780" i="14"/>
  <c r="F781" i="14"/>
  <c r="G781" i="14"/>
  <c r="H781" i="14"/>
  <c r="I781" i="14"/>
  <c r="J781" i="14"/>
  <c r="K781" i="14"/>
  <c r="L781" i="14"/>
  <c r="M781" i="14"/>
  <c r="N781" i="14"/>
  <c r="P781" i="14"/>
  <c r="Q781" i="14"/>
  <c r="R781" i="14"/>
  <c r="U781" i="14"/>
  <c r="F782" i="14"/>
  <c r="G782" i="14"/>
  <c r="H782" i="14"/>
  <c r="I782" i="14"/>
  <c r="J782" i="14"/>
  <c r="K782" i="14"/>
  <c r="L782" i="14"/>
  <c r="M782" i="14"/>
  <c r="N782" i="14"/>
  <c r="P782" i="14"/>
  <c r="Q782" i="14"/>
  <c r="R782" i="14"/>
  <c r="U782" i="14"/>
  <c r="F783" i="14"/>
  <c r="G783" i="14"/>
  <c r="H783" i="14"/>
  <c r="I783" i="14"/>
  <c r="J783" i="14"/>
  <c r="K783" i="14"/>
  <c r="L783" i="14"/>
  <c r="M783" i="14"/>
  <c r="N783" i="14"/>
  <c r="P783" i="14"/>
  <c r="Q783" i="14"/>
  <c r="R783" i="14"/>
  <c r="U783" i="14"/>
  <c r="F784" i="14"/>
  <c r="G784" i="14"/>
  <c r="H784" i="14"/>
  <c r="I784" i="14"/>
  <c r="J784" i="14"/>
  <c r="K784" i="14"/>
  <c r="L784" i="14"/>
  <c r="M784" i="14"/>
  <c r="N784" i="14"/>
  <c r="P784" i="14"/>
  <c r="Q784" i="14"/>
  <c r="R784" i="14"/>
  <c r="U784" i="14"/>
  <c r="F785" i="14"/>
  <c r="G785" i="14"/>
  <c r="H785" i="14"/>
  <c r="I785" i="14"/>
  <c r="J785" i="14"/>
  <c r="K785" i="14"/>
  <c r="L785" i="14"/>
  <c r="M785" i="14"/>
  <c r="N785" i="14"/>
  <c r="P785" i="14"/>
  <c r="Q785" i="14"/>
  <c r="R785" i="14"/>
  <c r="U785" i="14"/>
  <c r="F786" i="14"/>
  <c r="G786" i="14"/>
  <c r="H786" i="14"/>
  <c r="I786" i="14"/>
  <c r="J786" i="14"/>
  <c r="K786" i="14"/>
  <c r="L786" i="14"/>
  <c r="M786" i="14"/>
  <c r="N786" i="14"/>
  <c r="P786" i="14"/>
  <c r="U786" i="14" s="1"/>
  <c r="Q786" i="14"/>
  <c r="R786" i="14"/>
  <c r="F787" i="14"/>
  <c r="G787" i="14"/>
  <c r="H787" i="14"/>
  <c r="I787" i="14"/>
  <c r="J787" i="14"/>
  <c r="K787" i="14"/>
  <c r="L787" i="14"/>
  <c r="M787" i="14"/>
  <c r="N787" i="14"/>
  <c r="P787" i="14"/>
  <c r="U787" i="14" s="1"/>
  <c r="Q787" i="14"/>
  <c r="R787" i="14"/>
  <c r="F788" i="14"/>
  <c r="G788" i="14"/>
  <c r="H788" i="14"/>
  <c r="I788" i="14"/>
  <c r="J788" i="14"/>
  <c r="K788" i="14"/>
  <c r="L788" i="14"/>
  <c r="M788" i="14"/>
  <c r="N788" i="14"/>
  <c r="P788" i="14"/>
  <c r="U788" i="14" s="1"/>
  <c r="Q788" i="14"/>
  <c r="R788" i="14"/>
  <c r="F789" i="14"/>
  <c r="G789" i="14"/>
  <c r="H789" i="14"/>
  <c r="I789" i="14"/>
  <c r="J789" i="14"/>
  <c r="K789" i="14"/>
  <c r="L789" i="14"/>
  <c r="M789" i="14"/>
  <c r="N789" i="14"/>
  <c r="P789" i="14"/>
  <c r="U789" i="14" s="1"/>
  <c r="Q789" i="14"/>
  <c r="R789" i="14"/>
  <c r="F790" i="14"/>
  <c r="G790" i="14"/>
  <c r="H790" i="14"/>
  <c r="I790" i="14"/>
  <c r="J790" i="14"/>
  <c r="K790" i="14"/>
  <c r="L790" i="14"/>
  <c r="M790" i="14"/>
  <c r="N790" i="14"/>
  <c r="P790" i="14"/>
  <c r="U790" i="14" s="1"/>
  <c r="Q790" i="14"/>
  <c r="R790" i="14"/>
  <c r="F791" i="14"/>
  <c r="G791" i="14"/>
  <c r="H791" i="14"/>
  <c r="I791" i="14"/>
  <c r="J791" i="14"/>
  <c r="K791" i="14"/>
  <c r="L791" i="14"/>
  <c r="M791" i="14"/>
  <c r="N791" i="14"/>
  <c r="P791" i="14"/>
  <c r="U791" i="14" s="1"/>
  <c r="Q791" i="14"/>
  <c r="R791" i="14"/>
  <c r="S791" i="14" s="1"/>
  <c r="F792" i="14"/>
  <c r="G792" i="14"/>
  <c r="H792" i="14"/>
  <c r="I792" i="14"/>
  <c r="J792" i="14"/>
  <c r="K792" i="14"/>
  <c r="L792" i="14"/>
  <c r="M792" i="14"/>
  <c r="N792" i="14"/>
  <c r="P792" i="14"/>
  <c r="U792" i="14" s="1"/>
  <c r="Q792" i="14"/>
  <c r="R792" i="14"/>
  <c r="F793" i="14"/>
  <c r="G793" i="14"/>
  <c r="H793" i="14"/>
  <c r="I793" i="14"/>
  <c r="J793" i="14"/>
  <c r="K793" i="14"/>
  <c r="L793" i="14"/>
  <c r="M793" i="14"/>
  <c r="N793" i="14"/>
  <c r="P793" i="14"/>
  <c r="U793" i="14" s="1"/>
  <c r="Q793" i="14"/>
  <c r="R793" i="14"/>
  <c r="F794" i="14"/>
  <c r="G794" i="14"/>
  <c r="H794" i="14"/>
  <c r="I794" i="14"/>
  <c r="J794" i="14"/>
  <c r="K794" i="14"/>
  <c r="L794" i="14"/>
  <c r="M794" i="14"/>
  <c r="N794" i="14"/>
  <c r="P794" i="14"/>
  <c r="Q794" i="14"/>
  <c r="R794" i="14"/>
  <c r="F795" i="14"/>
  <c r="G795" i="14"/>
  <c r="H795" i="14"/>
  <c r="I795" i="14"/>
  <c r="J795" i="14"/>
  <c r="K795" i="14"/>
  <c r="L795" i="14"/>
  <c r="M795" i="14"/>
  <c r="N795" i="14"/>
  <c r="P795" i="14"/>
  <c r="Q795" i="14"/>
  <c r="R795" i="14"/>
  <c r="F796" i="14"/>
  <c r="G796" i="14"/>
  <c r="H796" i="14"/>
  <c r="I796" i="14"/>
  <c r="J796" i="14"/>
  <c r="K796" i="14"/>
  <c r="L796" i="14"/>
  <c r="M796" i="14"/>
  <c r="N796" i="14"/>
  <c r="P796" i="14"/>
  <c r="Q796" i="14"/>
  <c r="R796" i="14"/>
  <c r="F797" i="14"/>
  <c r="G797" i="14"/>
  <c r="H797" i="14"/>
  <c r="I797" i="14"/>
  <c r="J797" i="14"/>
  <c r="K797" i="14"/>
  <c r="L797" i="14"/>
  <c r="M797" i="14"/>
  <c r="N797" i="14"/>
  <c r="P797" i="14"/>
  <c r="Q797" i="14"/>
  <c r="R797" i="14"/>
  <c r="F798" i="14"/>
  <c r="G798" i="14"/>
  <c r="H798" i="14"/>
  <c r="I798" i="14"/>
  <c r="J798" i="14"/>
  <c r="K798" i="14"/>
  <c r="L798" i="14"/>
  <c r="M798" i="14"/>
  <c r="N798" i="14"/>
  <c r="P798" i="14"/>
  <c r="Q798" i="14"/>
  <c r="R798" i="14"/>
  <c r="F799" i="14"/>
  <c r="G799" i="14"/>
  <c r="H799" i="14"/>
  <c r="I799" i="14"/>
  <c r="J799" i="14"/>
  <c r="K799" i="14"/>
  <c r="L799" i="14"/>
  <c r="M799" i="14"/>
  <c r="N799" i="14"/>
  <c r="P799" i="14"/>
  <c r="Q799" i="14"/>
  <c r="R799" i="14"/>
  <c r="F800" i="14"/>
  <c r="G800" i="14"/>
  <c r="H800" i="14"/>
  <c r="I800" i="14"/>
  <c r="J800" i="14"/>
  <c r="K800" i="14"/>
  <c r="L800" i="14"/>
  <c r="M800" i="14"/>
  <c r="N800" i="14"/>
  <c r="P800" i="14"/>
  <c r="Q800" i="14"/>
  <c r="R800" i="14"/>
  <c r="F801" i="14"/>
  <c r="G801" i="14"/>
  <c r="H801" i="14"/>
  <c r="I801" i="14"/>
  <c r="J801" i="14"/>
  <c r="K801" i="14"/>
  <c r="L801" i="14"/>
  <c r="M801" i="14"/>
  <c r="N801" i="14"/>
  <c r="P801" i="14"/>
  <c r="Q801" i="14"/>
  <c r="R801" i="14"/>
  <c r="F802" i="14"/>
  <c r="G802" i="14"/>
  <c r="H802" i="14"/>
  <c r="I802" i="14"/>
  <c r="J802" i="14"/>
  <c r="K802" i="14"/>
  <c r="L802" i="14"/>
  <c r="M802" i="14"/>
  <c r="N802" i="14"/>
  <c r="P802" i="14"/>
  <c r="Q802" i="14"/>
  <c r="R802" i="14"/>
  <c r="F803" i="14"/>
  <c r="G803" i="14"/>
  <c r="H803" i="14"/>
  <c r="I803" i="14"/>
  <c r="J803" i="14"/>
  <c r="K803" i="14"/>
  <c r="L803" i="14"/>
  <c r="M803" i="14"/>
  <c r="N803" i="14"/>
  <c r="P803" i="14"/>
  <c r="Q803" i="14"/>
  <c r="R803" i="14"/>
  <c r="F804" i="14"/>
  <c r="G804" i="14"/>
  <c r="H804" i="14"/>
  <c r="I804" i="14"/>
  <c r="J804" i="14"/>
  <c r="K804" i="14"/>
  <c r="L804" i="14"/>
  <c r="M804" i="14"/>
  <c r="N804" i="14"/>
  <c r="P804" i="14"/>
  <c r="Q804" i="14"/>
  <c r="R804" i="14"/>
  <c r="F805" i="14"/>
  <c r="G805" i="14"/>
  <c r="H805" i="14"/>
  <c r="I805" i="14"/>
  <c r="J805" i="14"/>
  <c r="K805" i="14"/>
  <c r="L805" i="14"/>
  <c r="M805" i="14"/>
  <c r="N805" i="14"/>
  <c r="P805" i="14"/>
  <c r="Q805" i="14"/>
  <c r="R805" i="14"/>
  <c r="F806" i="14"/>
  <c r="G806" i="14"/>
  <c r="H806" i="14"/>
  <c r="I806" i="14"/>
  <c r="J806" i="14"/>
  <c r="K806" i="14"/>
  <c r="L806" i="14"/>
  <c r="M806" i="14"/>
  <c r="N806" i="14"/>
  <c r="P806" i="14"/>
  <c r="U806" i="14" s="1"/>
  <c r="Q806" i="14"/>
  <c r="R806" i="14"/>
  <c r="F807" i="14"/>
  <c r="G807" i="14"/>
  <c r="H807" i="14"/>
  <c r="I807" i="14"/>
  <c r="J807" i="14"/>
  <c r="K807" i="14"/>
  <c r="L807" i="14"/>
  <c r="M807" i="14"/>
  <c r="N807" i="14"/>
  <c r="P807" i="14"/>
  <c r="Q807" i="14"/>
  <c r="R807" i="14"/>
  <c r="S807" i="14" s="1"/>
  <c r="F808" i="14"/>
  <c r="G808" i="14"/>
  <c r="H808" i="14"/>
  <c r="I808" i="14"/>
  <c r="J808" i="14"/>
  <c r="K808" i="14"/>
  <c r="L808" i="14"/>
  <c r="M808" i="14"/>
  <c r="N808" i="14"/>
  <c r="P808" i="14"/>
  <c r="Q808" i="14"/>
  <c r="R808" i="14"/>
  <c r="S808" i="14" s="1"/>
  <c r="F809" i="14"/>
  <c r="G809" i="14"/>
  <c r="H809" i="14"/>
  <c r="I809" i="14"/>
  <c r="J809" i="14"/>
  <c r="K809" i="14"/>
  <c r="L809" i="14"/>
  <c r="M809" i="14"/>
  <c r="N809" i="14"/>
  <c r="P809" i="14"/>
  <c r="Q809" i="14"/>
  <c r="R809" i="14"/>
  <c r="F810" i="14"/>
  <c r="G810" i="14"/>
  <c r="H810" i="14"/>
  <c r="I810" i="14"/>
  <c r="J810" i="14"/>
  <c r="K810" i="14"/>
  <c r="L810" i="14"/>
  <c r="M810" i="14"/>
  <c r="N810" i="14"/>
  <c r="P810" i="14"/>
  <c r="Q810" i="14"/>
  <c r="R810" i="14"/>
  <c r="F811" i="14"/>
  <c r="G811" i="14"/>
  <c r="H811" i="14"/>
  <c r="I811" i="14"/>
  <c r="J811" i="14"/>
  <c r="K811" i="14"/>
  <c r="L811" i="14"/>
  <c r="M811" i="14"/>
  <c r="N811" i="14"/>
  <c r="P811" i="14"/>
  <c r="Q811" i="14"/>
  <c r="R811" i="14"/>
  <c r="F812" i="14"/>
  <c r="G812" i="14"/>
  <c r="H812" i="14"/>
  <c r="I812" i="14"/>
  <c r="J812" i="14"/>
  <c r="K812" i="14"/>
  <c r="L812" i="14"/>
  <c r="M812" i="14"/>
  <c r="N812" i="14"/>
  <c r="P812" i="14"/>
  <c r="Q812" i="14"/>
  <c r="R812" i="14"/>
  <c r="F813" i="14"/>
  <c r="G813" i="14"/>
  <c r="H813" i="14"/>
  <c r="I813" i="14"/>
  <c r="J813" i="14"/>
  <c r="K813" i="14"/>
  <c r="L813" i="14"/>
  <c r="M813" i="14"/>
  <c r="N813" i="14"/>
  <c r="P813" i="14"/>
  <c r="Q813" i="14"/>
  <c r="R813" i="14"/>
  <c r="F814" i="14"/>
  <c r="G814" i="14"/>
  <c r="H814" i="14"/>
  <c r="I814" i="14"/>
  <c r="J814" i="14"/>
  <c r="K814" i="14"/>
  <c r="L814" i="14"/>
  <c r="M814" i="14"/>
  <c r="N814" i="14"/>
  <c r="P814" i="14"/>
  <c r="U814" i="14" s="1"/>
  <c r="Q814" i="14"/>
  <c r="R814" i="14"/>
  <c r="F815" i="14"/>
  <c r="G815" i="14"/>
  <c r="H815" i="14"/>
  <c r="I815" i="14"/>
  <c r="J815" i="14"/>
  <c r="K815" i="14"/>
  <c r="L815" i="14"/>
  <c r="M815" i="14"/>
  <c r="N815" i="14"/>
  <c r="P815" i="14"/>
  <c r="U815" i="14" s="1"/>
  <c r="Q815" i="14"/>
  <c r="R815" i="14"/>
  <c r="F816" i="14"/>
  <c r="G816" i="14"/>
  <c r="H816" i="14"/>
  <c r="I816" i="14"/>
  <c r="J816" i="14"/>
  <c r="K816" i="14"/>
  <c r="L816" i="14"/>
  <c r="M816" i="14"/>
  <c r="N816" i="14"/>
  <c r="P816" i="14"/>
  <c r="U816" i="14" s="1"/>
  <c r="Q816" i="14"/>
  <c r="R816" i="14"/>
  <c r="F817" i="14"/>
  <c r="G817" i="14"/>
  <c r="H817" i="14"/>
  <c r="I817" i="14"/>
  <c r="J817" i="14"/>
  <c r="K817" i="14"/>
  <c r="L817" i="14"/>
  <c r="M817" i="14"/>
  <c r="N817" i="14"/>
  <c r="P817" i="14"/>
  <c r="U817" i="14" s="1"/>
  <c r="Q817" i="14"/>
  <c r="R817" i="14"/>
  <c r="F818" i="14"/>
  <c r="G818" i="14"/>
  <c r="H818" i="14"/>
  <c r="I818" i="14"/>
  <c r="J818" i="14"/>
  <c r="K818" i="14"/>
  <c r="L818" i="14"/>
  <c r="M818" i="14"/>
  <c r="N818" i="14"/>
  <c r="P818" i="14"/>
  <c r="U818" i="14" s="1"/>
  <c r="Q818" i="14"/>
  <c r="R818" i="14"/>
  <c r="F819" i="14"/>
  <c r="G819" i="14"/>
  <c r="H819" i="14"/>
  <c r="I819" i="14"/>
  <c r="J819" i="14"/>
  <c r="K819" i="14"/>
  <c r="L819" i="14"/>
  <c r="M819" i="14"/>
  <c r="N819" i="14"/>
  <c r="P819" i="14"/>
  <c r="U819" i="14" s="1"/>
  <c r="Q819" i="14"/>
  <c r="R819" i="14"/>
  <c r="F820" i="14"/>
  <c r="G820" i="14"/>
  <c r="H820" i="14"/>
  <c r="I820" i="14"/>
  <c r="J820" i="14"/>
  <c r="K820" i="14"/>
  <c r="L820" i="14"/>
  <c r="M820" i="14"/>
  <c r="N820" i="14"/>
  <c r="P820" i="14"/>
  <c r="U820" i="14" s="1"/>
  <c r="Q820" i="14"/>
  <c r="R820" i="14"/>
  <c r="F821" i="14"/>
  <c r="G821" i="14"/>
  <c r="H821" i="14"/>
  <c r="I821" i="14"/>
  <c r="J821" i="14"/>
  <c r="K821" i="14"/>
  <c r="L821" i="14"/>
  <c r="M821" i="14"/>
  <c r="N821" i="14"/>
  <c r="P821" i="14"/>
  <c r="Q821" i="14"/>
  <c r="R821" i="14"/>
  <c r="F822" i="14"/>
  <c r="G822" i="14"/>
  <c r="H822" i="14"/>
  <c r="I822" i="14"/>
  <c r="J822" i="14"/>
  <c r="K822" i="14"/>
  <c r="L822" i="14"/>
  <c r="M822" i="14"/>
  <c r="N822" i="14"/>
  <c r="P822" i="14"/>
  <c r="U822" i="14" s="1"/>
  <c r="Q822" i="14"/>
  <c r="R822" i="14"/>
  <c r="F823" i="14"/>
  <c r="G823" i="14"/>
  <c r="H823" i="14"/>
  <c r="I823" i="14"/>
  <c r="J823" i="14"/>
  <c r="K823" i="14"/>
  <c r="L823" i="14"/>
  <c r="M823" i="14"/>
  <c r="N823" i="14"/>
  <c r="P823" i="14"/>
  <c r="U823" i="14" s="1"/>
  <c r="Q823" i="14"/>
  <c r="R823" i="14"/>
  <c r="F824" i="14"/>
  <c r="G824" i="14"/>
  <c r="H824" i="14"/>
  <c r="I824" i="14"/>
  <c r="J824" i="14"/>
  <c r="K824" i="14"/>
  <c r="L824" i="14"/>
  <c r="M824" i="14"/>
  <c r="N824" i="14"/>
  <c r="P824" i="14"/>
  <c r="U824" i="14" s="1"/>
  <c r="Q824" i="14"/>
  <c r="R824" i="14"/>
  <c r="F825" i="14"/>
  <c r="G825" i="14"/>
  <c r="H825" i="14"/>
  <c r="I825" i="14"/>
  <c r="J825" i="14"/>
  <c r="K825" i="14"/>
  <c r="L825" i="14"/>
  <c r="M825" i="14"/>
  <c r="N825" i="14"/>
  <c r="P825" i="14"/>
  <c r="U825" i="14" s="1"/>
  <c r="Q825" i="14"/>
  <c r="R825" i="14"/>
  <c r="F826" i="14"/>
  <c r="G826" i="14"/>
  <c r="H826" i="14"/>
  <c r="I826" i="14"/>
  <c r="J826" i="14"/>
  <c r="K826" i="14"/>
  <c r="L826" i="14"/>
  <c r="M826" i="14"/>
  <c r="N826" i="14"/>
  <c r="P826" i="14"/>
  <c r="U826" i="14" s="1"/>
  <c r="Q826" i="14"/>
  <c r="R826" i="14"/>
  <c r="F827" i="14"/>
  <c r="G827" i="14"/>
  <c r="H827" i="14"/>
  <c r="I827" i="14"/>
  <c r="J827" i="14"/>
  <c r="K827" i="14"/>
  <c r="L827" i="14"/>
  <c r="M827" i="14"/>
  <c r="N827" i="14"/>
  <c r="P827" i="14"/>
  <c r="U827" i="14" s="1"/>
  <c r="Q827" i="14"/>
  <c r="R827" i="14"/>
  <c r="F828" i="14"/>
  <c r="G828" i="14"/>
  <c r="H828" i="14"/>
  <c r="I828" i="14"/>
  <c r="J828" i="14"/>
  <c r="K828" i="14"/>
  <c r="L828" i="14"/>
  <c r="M828" i="14"/>
  <c r="N828" i="14"/>
  <c r="P828" i="14"/>
  <c r="U828" i="14" s="1"/>
  <c r="Q828" i="14"/>
  <c r="R828" i="14"/>
  <c r="F829" i="14"/>
  <c r="G829" i="14"/>
  <c r="H829" i="14"/>
  <c r="I829" i="14"/>
  <c r="J829" i="14"/>
  <c r="K829" i="14"/>
  <c r="L829" i="14"/>
  <c r="M829" i="14"/>
  <c r="N829" i="14"/>
  <c r="P829" i="14"/>
  <c r="U829" i="14" s="1"/>
  <c r="Q829" i="14"/>
  <c r="R829" i="14"/>
  <c r="F830" i="14"/>
  <c r="G830" i="14"/>
  <c r="H830" i="14"/>
  <c r="I830" i="14"/>
  <c r="J830" i="14"/>
  <c r="K830" i="14"/>
  <c r="L830" i="14"/>
  <c r="M830" i="14"/>
  <c r="N830" i="14"/>
  <c r="P830" i="14"/>
  <c r="U830" i="14" s="1"/>
  <c r="Q830" i="14"/>
  <c r="R830" i="14"/>
  <c r="F831" i="14"/>
  <c r="G831" i="14"/>
  <c r="H831" i="14"/>
  <c r="I831" i="14"/>
  <c r="J831" i="14"/>
  <c r="K831" i="14"/>
  <c r="L831" i="14"/>
  <c r="M831" i="14"/>
  <c r="N831" i="14"/>
  <c r="P831" i="14"/>
  <c r="U831" i="14" s="1"/>
  <c r="Q831" i="14"/>
  <c r="R831" i="14"/>
  <c r="F832" i="14"/>
  <c r="G832" i="14"/>
  <c r="H832" i="14"/>
  <c r="I832" i="14"/>
  <c r="J832" i="14"/>
  <c r="K832" i="14"/>
  <c r="L832" i="14"/>
  <c r="M832" i="14"/>
  <c r="N832" i="14"/>
  <c r="P832" i="14"/>
  <c r="U832" i="14" s="1"/>
  <c r="Q832" i="14"/>
  <c r="R832" i="14"/>
  <c r="F833" i="14"/>
  <c r="G833" i="14"/>
  <c r="H833" i="14"/>
  <c r="I833" i="14"/>
  <c r="J833" i="14"/>
  <c r="K833" i="14"/>
  <c r="L833" i="14"/>
  <c r="M833" i="14"/>
  <c r="N833" i="14"/>
  <c r="P833" i="14"/>
  <c r="U833" i="14" s="1"/>
  <c r="Q833" i="14"/>
  <c r="R833" i="14"/>
  <c r="F834" i="14"/>
  <c r="G834" i="14"/>
  <c r="H834" i="14"/>
  <c r="I834" i="14"/>
  <c r="J834" i="14"/>
  <c r="K834" i="14"/>
  <c r="L834" i="14"/>
  <c r="M834" i="14"/>
  <c r="N834" i="14"/>
  <c r="P834" i="14"/>
  <c r="U834" i="14" s="1"/>
  <c r="Q834" i="14"/>
  <c r="S834" i="14" s="1"/>
  <c r="R834" i="14"/>
  <c r="F835" i="14"/>
  <c r="G835" i="14"/>
  <c r="H835" i="14"/>
  <c r="I835" i="14"/>
  <c r="J835" i="14"/>
  <c r="K835" i="14"/>
  <c r="L835" i="14"/>
  <c r="M835" i="14"/>
  <c r="N835" i="14"/>
  <c r="P835" i="14"/>
  <c r="U835" i="14" s="1"/>
  <c r="Q835" i="14"/>
  <c r="R835" i="14"/>
  <c r="F836" i="14"/>
  <c r="G836" i="14"/>
  <c r="H836" i="14"/>
  <c r="I836" i="14"/>
  <c r="J836" i="14"/>
  <c r="K836" i="14"/>
  <c r="L836" i="14"/>
  <c r="M836" i="14"/>
  <c r="N836" i="14"/>
  <c r="P836" i="14"/>
  <c r="U836" i="14" s="1"/>
  <c r="Q836" i="14"/>
  <c r="R836" i="14"/>
  <c r="F837" i="14"/>
  <c r="G837" i="14"/>
  <c r="H837" i="14"/>
  <c r="I837" i="14"/>
  <c r="J837" i="14"/>
  <c r="K837" i="14"/>
  <c r="L837" i="14"/>
  <c r="M837" i="14"/>
  <c r="N837" i="14"/>
  <c r="P837" i="14"/>
  <c r="U837" i="14" s="1"/>
  <c r="Q837" i="14"/>
  <c r="R837" i="14"/>
  <c r="F838" i="14"/>
  <c r="G838" i="14"/>
  <c r="H838" i="14"/>
  <c r="I838" i="14"/>
  <c r="J838" i="14"/>
  <c r="K838" i="14"/>
  <c r="L838" i="14"/>
  <c r="M838" i="14"/>
  <c r="N838" i="14"/>
  <c r="P838" i="14"/>
  <c r="U838" i="14" s="1"/>
  <c r="Q838" i="14"/>
  <c r="R838" i="14"/>
  <c r="F839" i="14"/>
  <c r="G839" i="14"/>
  <c r="H839" i="14"/>
  <c r="I839" i="14"/>
  <c r="J839" i="14"/>
  <c r="K839" i="14"/>
  <c r="L839" i="14"/>
  <c r="M839" i="14"/>
  <c r="N839" i="14"/>
  <c r="P839" i="14"/>
  <c r="U839" i="14" s="1"/>
  <c r="Q839" i="14"/>
  <c r="R839" i="14"/>
  <c r="F840" i="14"/>
  <c r="G840" i="14"/>
  <c r="H840" i="14"/>
  <c r="I840" i="14"/>
  <c r="J840" i="14"/>
  <c r="K840" i="14"/>
  <c r="L840" i="14"/>
  <c r="M840" i="14"/>
  <c r="N840" i="14"/>
  <c r="P840" i="14"/>
  <c r="U840" i="14" s="1"/>
  <c r="Q840" i="14"/>
  <c r="R840" i="14"/>
  <c r="F841" i="14"/>
  <c r="G841" i="14"/>
  <c r="H841" i="14"/>
  <c r="I841" i="14"/>
  <c r="J841" i="14"/>
  <c r="K841" i="14"/>
  <c r="L841" i="14"/>
  <c r="M841" i="14"/>
  <c r="N841" i="14"/>
  <c r="P841" i="14"/>
  <c r="U841" i="14" s="1"/>
  <c r="Q841" i="14"/>
  <c r="R841" i="14"/>
  <c r="F842" i="14"/>
  <c r="G842" i="14"/>
  <c r="H842" i="14"/>
  <c r="I842" i="14"/>
  <c r="J842" i="14"/>
  <c r="K842" i="14"/>
  <c r="L842" i="14"/>
  <c r="M842" i="14"/>
  <c r="N842" i="14"/>
  <c r="P842" i="14"/>
  <c r="U842" i="14" s="1"/>
  <c r="Q842" i="14"/>
  <c r="R842" i="14"/>
  <c r="F843" i="14"/>
  <c r="G843" i="14"/>
  <c r="H843" i="14"/>
  <c r="I843" i="14"/>
  <c r="J843" i="14"/>
  <c r="K843" i="14"/>
  <c r="L843" i="14"/>
  <c r="M843" i="14"/>
  <c r="N843" i="14"/>
  <c r="P843" i="14"/>
  <c r="U843" i="14" s="1"/>
  <c r="Q843" i="14"/>
  <c r="R843" i="14"/>
  <c r="F844" i="14"/>
  <c r="G844" i="14"/>
  <c r="H844" i="14"/>
  <c r="I844" i="14"/>
  <c r="J844" i="14"/>
  <c r="K844" i="14"/>
  <c r="L844" i="14"/>
  <c r="M844" i="14"/>
  <c r="N844" i="14"/>
  <c r="P844" i="14"/>
  <c r="U844" i="14" s="1"/>
  <c r="Q844" i="14"/>
  <c r="S844" i="14" s="1"/>
  <c r="R844" i="14"/>
  <c r="F845" i="14"/>
  <c r="G845" i="14"/>
  <c r="H845" i="14"/>
  <c r="I845" i="14"/>
  <c r="J845" i="14"/>
  <c r="K845" i="14"/>
  <c r="L845" i="14"/>
  <c r="M845" i="14"/>
  <c r="N845" i="14"/>
  <c r="P845" i="14"/>
  <c r="U845" i="14" s="1"/>
  <c r="Q845" i="14"/>
  <c r="R845" i="14"/>
  <c r="F846" i="14"/>
  <c r="G846" i="14"/>
  <c r="H846" i="14"/>
  <c r="I846" i="14"/>
  <c r="J846" i="14"/>
  <c r="K846" i="14"/>
  <c r="L846" i="14"/>
  <c r="M846" i="14"/>
  <c r="N846" i="14"/>
  <c r="P846" i="14"/>
  <c r="U846" i="14" s="1"/>
  <c r="Q846" i="14"/>
  <c r="S846" i="14" s="1"/>
  <c r="R846" i="14"/>
  <c r="F847" i="14"/>
  <c r="G847" i="14"/>
  <c r="H847" i="14"/>
  <c r="I847" i="14"/>
  <c r="J847" i="14"/>
  <c r="K847" i="14"/>
  <c r="L847" i="14"/>
  <c r="M847" i="14"/>
  <c r="N847" i="14"/>
  <c r="P847" i="14"/>
  <c r="U847" i="14" s="1"/>
  <c r="Q847" i="14"/>
  <c r="R847" i="14"/>
  <c r="F848" i="14"/>
  <c r="G848" i="14"/>
  <c r="H848" i="14"/>
  <c r="I848" i="14"/>
  <c r="J848" i="14"/>
  <c r="K848" i="14"/>
  <c r="L848" i="14"/>
  <c r="M848" i="14"/>
  <c r="N848" i="14"/>
  <c r="P848" i="14"/>
  <c r="U848" i="14" s="1"/>
  <c r="Q848" i="14"/>
  <c r="R848" i="14"/>
  <c r="F849" i="14"/>
  <c r="G849" i="14"/>
  <c r="H849" i="14"/>
  <c r="I849" i="14"/>
  <c r="J849" i="14"/>
  <c r="K849" i="14"/>
  <c r="L849" i="14"/>
  <c r="M849" i="14"/>
  <c r="N849" i="14"/>
  <c r="P849" i="14"/>
  <c r="U849" i="14" s="1"/>
  <c r="Q849" i="14"/>
  <c r="R849" i="14"/>
  <c r="F850" i="14"/>
  <c r="G850" i="14"/>
  <c r="H850" i="14"/>
  <c r="I850" i="14"/>
  <c r="J850" i="14"/>
  <c r="K850" i="14"/>
  <c r="L850" i="14"/>
  <c r="M850" i="14"/>
  <c r="N850" i="14"/>
  <c r="P850" i="14"/>
  <c r="U850" i="14" s="1"/>
  <c r="Q850" i="14"/>
  <c r="S850" i="14" s="1"/>
  <c r="R850" i="14"/>
  <c r="F851" i="14"/>
  <c r="G851" i="14"/>
  <c r="H851" i="14"/>
  <c r="I851" i="14"/>
  <c r="J851" i="14"/>
  <c r="K851" i="14"/>
  <c r="L851" i="14"/>
  <c r="M851" i="14"/>
  <c r="N851" i="14"/>
  <c r="P851" i="14"/>
  <c r="U851" i="14" s="1"/>
  <c r="Q851" i="14"/>
  <c r="R851" i="14"/>
  <c r="F852" i="14"/>
  <c r="G852" i="14"/>
  <c r="H852" i="14"/>
  <c r="I852" i="14"/>
  <c r="J852" i="14"/>
  <c r="K852" i="14"/>
  <c r="L852" i="14"/>
  <c r="M852" i="14"/>
  <c r="N852" i="14"/>
  <c r="P852" i="14"/>
  <c r="U852" i="14" s="1"/>
  <c r="Q852" i="14"/>
  <c r="R852" i="14"/>
  <c r="F853" i="14"/>
  <c r="G853" i="14"/>
  <c r="H853" i="14"/>
  <c r="I853" i="14"/>
  <c r="J853" i="14"/>
  <c r="K853" i="14"/>
  <c r="L853" i="14"/>
  <c r="M853" i="14"/>
  <c r="N853" i="14"/>
  <c r="P853" i="14"/>
  <c r="U853" i="14" s="1"/>
  <c r="Q853" i="14"/>
  <c r="R853" i="14"/>
  <c r="F854" i="14"/>
  <c r="G854" i="14"/>
  <c r="H854" i="14"/>
  <c r="I854" i="14"/>
  <c r="J854" i="14"/>
  <c r="K854" i="14"/>
  <c r="L854" i="14"/>
  <c r="M854" i="14"/>
  <c r="N854" i="14"/>
  <c r="P854" i="14"/>
  <c r="U854" i="14" s="1"/>
  <c r="Q854" i="14"/>
  <c r="R854" i="14"/>
  <c r="F855" i="14"/>
  <c r="G855" i="14"/>
  <c r="H855" i="14"/>
  <c r="I855" i="14"/>
  <c r="J855" i="14"/>
  <c r="K855" i="14"/>
  <c r="L855" i="14"/>
  <c r="M855" i="14"/>
  <c r="N855" i="14"/>
  <c r="P855" i="14"/>
  <c r="U855" i="14" s="1"/>
  <c r="Q855" i="14"/>
  <c r="R855" i="14"/>
  <c r="F856" i="14"/>
  <c r="G856" i="14"/>
  <c r="H856" i="14"/>
  <c r="I856" i="14"/>
  <c r="J856" i="14"/>
  <c r="K856" i="14"/>
  <c r="L856" i="14"/>
  <c r="M856" i="14"/>
  <c r="N856" i="14"/>
  <c r="P856" i="14"/>
  <c r="U856" i="14" s="1"/>
  <c r="Q856" i="14"/>
  <c r="R856" i="14"/>
  <c r="F857" i="14"/>
  <c r="G857" i="14"/>
  <c r="H857" i="14"/>
  <c r="I857" i="14"/>
  <c r="J857" i="14"/>
  <c r="K857" i="14"/>
  <c r="L857" i="14"/>
  <c r="M857" i="14"/>
  <c r="N857" i="14"/>
  <c r="P857" i="14"/>
  <c r="U857" i="14" s="1"/>
  <c r="Q857" i="14"/>
  <c r="R857" i="14"/>
  <c r="F858" i="14"/>
  <c r="G858" i="14"/>
  <c r="H858" i="14"/>
  <c r="I858" i="14"/>
  <c r="J858" i="14"/>
  <c r="K858" i="14"/>
  <c r="L858" i="14"/>
  <c r="M858" i="14"/>
  <c r="N858" i="14"/>
  <c r="P858" i="14"/>
  <c r="U858" i="14" s="1"/>
  <c r="Q858" i="14"/>
  <c r="R858" i="14"/>
  <c r="F859" i="14"/>
  <c r="G859" i="14"/>
  <c r="H859" i="14"/>
  <c r="I859" i="14"/>
  <c r="J859" i="14"/>
  <c r="K859" i="14"/>
  <c r="L859" i="14"/>
  <c r="M859" i="14"/>
  <c r="N859" i="14"/>
  <c r="P859" i="14"/>
  <c r="U859" i="14" s="1"/>
  <c r="Q859" i="14"/>
  <c r="S859" i="14" s="1"/>
  <c r="R859" i="14"/>
  <c r="F860" i="14"/>
  <c r="G860" i="14"/>
  <c r="H860" i="14"/>
  <c r="I860" i="14"/>
  <c r="J860" i="14"/>
  <c r="K860" i="14"/>
  <c r="L860" i="14"/>
  <c r="M860" i="14"/>
  <c r="N860" i="14"/>
  <c r="P860" i="14"/>
  <c r="U860" i="14" s="1"/>
  <c r="Q860" i="14"/>
  <c r="R860" i="14"/>
  <c r="F861" i="14"/>
  <c r="G861" i="14"/>
  <c r="H861" i="14"/>
  <c r="I861" i="14"/>
  <c r="J861" i="14"/>
  <c r="K861" i="14"/>
  <c r="L861" i="14"/>
  <c r="M861" i="14"/>
  <c r="N861" i="14"/>
  <c r="P861" i="14"/>
  <c r="U861" i="14" s="1"/>
  <c r="Q861" i="14"/>
  <c r="S861" i="14" s="1"/>
  <c r="R861" i="14"/>
  <c r="F862" i="14"/>
  <c r="G862" i="14"/>
  <c r="H862" i="14"/>
  <c r="I862" i="14"/>
  <c r="J862" i="14"/>
  <c r="K862" i="14"/>
  <c r="L862" i="14"/>
  <c r="M862" i="14"/>
  <c r="N862" i="14"/>
  <c r="P862" i="14"/>
  <c r="U862" i="14" s="1"/>
  <c r="Q862" i="14"/>
  <c r="S862" i="14" s="1"/>
  <c r="R862" i="14"/>
  <c r="F863" i="14"/>
  <c r="G863" i="14"/>
  <c r="H863" i="14"/>
  <c r="I863" i="14"/>
  <c r="J863" i="14"/>
  <c r="K863" i="14"/>
  <c r="L863" i="14"/>
  <c r="M863" i="14"/>
  <c r="N863" i="14"/>
  <c r="P863" i="14"/>
  <c r="U863" i="14" s="1"/>
  <c r="Q863" i="14"/>
  <c r="R863" i="14"/>
  <c r="F864" i="14"/>
  <c r="G864" i="14"/>
  <c r="H864" i="14"/>
  <c r="I864" i="14"/>
  <c r="J864" i="14"/>
  <c r="K864" i="14"/>
  <c r="L864" i="14"/>
  <c r="M864" i="14"/>
  <c r="N864" i="14"/>
  <c r="P864" i="14"/>
  <c r="U864" i="14" s="1"/>
  <c r="Q864" i="14"/>
  <c r="R864" i="14"/>
  <c r="S864" i="14" s="1"/>
  <c r="F865" i="14"/>
  <c r="G865" i="14"/>
  <c r="H865" i="14"/>
  <c r="I865" i="14"/>
  <c r="J865" i="14"/>
  <c r="K865" i="14"/>
  <c r="L865" i="14"/>
  <c r="M865" i="14"/>
  <c r="N865" i="14"/>
  <c r="P865" i="14"/>
  <c r="U865" i="14" s="1"/>
  <c r="Q865" i="14"/>
  <c r="R865" i="14"/>
  <c r="F866" i="14"/>
  <c r="G866" i="14"/>
  <c r="H866" i="14"/>
  <c r="I866" i="14"/>
  <c r="J866" i="14"/>
  <c r="K866" i="14"/>
  <c r="L866" i="14"/>
  <c r="M866" i="14"/>
  <c r="N866" i="14"/>
  <c r="P866" i="14"/>
  <c r="U866" i="14" s="1"/>
  <c r="Q866" i="14"/>
  <c r="R866" i="14"/>
  <c r="F867" i="14"/>
  <c r="G867" i="14"/>
  <c r="H867" i="14"/>
  <c r="I867" i="14"/>
  <c r="J867" i="14"/>
  <c r="K867" i="14"/>
  <c r="L867" i="14"/>
  <c r="M867" i="14"/>
  <c r="N867" i="14"/>
  <c r="P867" i="14"/>
  <c r="U867" i="14" s="1"/>
  <c r="Q867" i="14"/>
  <c r="R867" i="14"/>
  <c r="F868" i="14"/>
  <c r="G868" i="14"/>
  <c r="H868" i="14"/>
  <c r="I868" i="14"/>
  <c r="J868" i="14"/>
  <c r="K868" i="14"/>
  <c r="L868" i="14"/>
  <c r="M868" i="14"/>
  <c r="N868" i="14"/>
  <c r="P868" i="14"/>
  <c r="U868" i="14" s="1"/>
  <c r="Q868" i="14"/>
  <c r="R868" i="14"/>
  <c r="F869" i="14"/>
  <c r="G869" i="14"/>
  <c r="H869" i="14"/>
  <c r="I869" i="14"/>
  <c r="J869" i="14"/>
  <c r="K869" i="14"/>
  <c r="L869" i="14"/>
  <c r="M869" i="14"/>
  <c r="N869" i="14"/>
  <c r="P869" i="14"/>
  <c r="U869" i="14" s="1"/>
  <c r="Q869" i="14"/>
  <c r="R869" i="14"/>
  <c r="F870" i="14"/>
  <c r="G870" i="14"/>
  <c r="H870" i="14"/>
  <c r="I870" i="14"/>
  <c r="J870" i="14"/>
  <c r="K870" i="14"/>
  <c r="L870" i="14"/>
  <c r="M870" i="14"/>
  <c r="N870" i="14"/>
  <c r="P870" i="14"/>
  <c r="U870" i="14" s="1"/>
  <c r="Q870" i="14"/>
  <c r="R870" i="14"/>
  <c r="F871" i="14"/>
  <c r="G871" i="14"/>
  <c r="H871" i="14"/>
  <c r="I871" i="14"/>
  <c r="J871" i="14"/>
  <c r="K871" i="14"/>
  <c r="L871" i="14"/>
  <c r="M871" i="14"/>
  <c r="N871" i="14"/>
  <c r="P871" i="14"/>
  <c r="U871" i="14" s="1"/>
  <c r="Q871" i="14"/>
  <c r="R871" i="14"/>
  <c r="F872" i="14"/>
  <c r="G872" i="14"/>
  <c r="H872" i="14"/>
  <c r="I872" i="14"/>
  <c r="J872" i="14"/>
  <c r="K872" i="14"/>
  <c r="L872" i="14"/>
  <c r="M872" i="14"/>
  <c r="N872" i="14"/>
  <c r="P872" i="14"/>
  <c r="U872" i="14" s="1"/>
  <c r="Q872" i="14"/>
  <c r="R872" i="14"/>
  <c r="F873" i="14"/>
  <c r="G873" i="14"/>
  <c r="H873" i="14"/>
  <c r="I873" i="14"/>
  <c r="J873" i="14"/>
  <c r="K873" i="14"/>
  <c r="L873" i="14"/>
  <c r="M873" i="14"/>
  <c r="N873" i="14"/>
  <c r="P873" i="14"/>
  <c r="U873" i="14" s="1"/>
  <c r="Q873" i="14"/>
  <c r="R873" i="14"/>
  <c r="F874" i="14"/>
  <c r="G874" i="14"/>
  <c r="H874" i="14"/>
  <c r="I874" i="14"/>
  <c r="J874" i="14"/>
  <c r="K874" i="14"/>
  <c r="L874" i="14"/>
  <c r="M874" i="14"/>
  <c r="N874" i="14"/>
  <c r="P874" i="14"/>
  <c r="U874" i="14" s="1"/>
  <c r="Q874" i="14"/>
  <c r="R874" i="14"/>
  <c r="F875" i="14"/>
  <c r="G875" i="14"/>
  <c r="H875" i="14"/>
  <c r="I875" i="14"/>
  <c r="J875" i="14"/>
  <c r="K875" i="14"/>
  <c r="L875" i="14"/>
  <c r="M875" i="14"/>
  <c r="N875" i="14"/>
  <c r="P875" i="14"/>
  <c r="U875" i="14" s="1"/>
  <c r="Q875" i="14"/>
  <c r="R875" i="14"/>
  <c r="F876" i="14"/>
  <c r="G876" i="14"/>
  <c r="H876" i="14"/>
  <c r="I876" i="14"/>
  <c r="J876" i="14"/>
  <c r="K876" i="14"/>
  <c r="L876" i="14"/>
  <c r="M876" i="14"/>
  <c r="N876" i="14"/>
  <c r="P876" i="14"/>
  <c r="U876" i="14" s="1"/>
  <c r="Q876" i="14"/>
  <c r="R876" i="14"/>
  <c r="F877" i="14"/>
  <c r="G877" i="14"/>
  <c r="H877" i="14"/>
  <c r="I877" i="14"/>
  <c r="J877" i="14"/>
  <c r="K877" i="14"/>
  <c r="L877" i="14"/>
  <c r="M877" i="14"/>
  <c r="N877" i="14"/>
  <c r="P877" i="14"/>
  <c r="U877" i="14" s="1"/>
  <c r="Q877" i="14"/>
  <c r="R877" i="14"/>
  <c r="F878" i="14"/>
  <c r="G878" i="14"/>
  <c r="H878" i="14"/>
  <c r="I878" i="14"/>
  <c r="J878" i="14"/>
  <c r="K878" i="14"/>
  <c r="L878" i="14"/>
  <c r="M878" i="14"/>
  <c r="N878" i="14"/>
  <c r="P878" i="14"/>
  <c r="U878" i="14" s="1"/>
  <c r="Q878" i="14"/>
  <c r="R878" i="14"/>
  <c r="F879" i="14"/>
  <c r="G879" i="14"/>
  <c r="H879" i="14"/>
  <c r="I879" i="14"/>
  <c r="J879" i="14"/>
  <c r="K879" i="14"/>
  <c r="L879" i="14"/>
  <c r="M879" i="14"/>
  <c r="N879" i="14"/>
  <c r="P879" i="14"/>
  <c r="U879" i="14" s="1"/>
  <c r="Q879" i="14"/>
  <c r="R879" i="14"/>
  <c r="F880" i="14"/>
  <c r="G880" i="14"/>
  <c r="H880" i="14"/>
  <c r="I880" i="14"/>
  <c r="J880" i="14"/>
  <c r="K880" i="14"/>
  <c r="L880" i="14"/>
  <c r="M880" i="14"/>
  <c r="N880" i="14"/>
  <c r="P880" i="14"/>
  <c r="U880" i="14" s="1"/>
  <c r="Q880" i="14"/>
  <c r="R880" i="14"/>
  <c r="F881" i="14"/>
  <c r="G881" i="14"/>
  <c r="H881" i="14"/>
  <c r="I881" i="14"/>
  <c r="J881" i="14"/>
  <c r="K881" i="14"/>
  <c r="L881" i="14"/>
  <c r="M881" i="14"/>
  <c r="N881" i="14"/>
  <c r="P881" i="14"/>
  <c r="U881" i="14" s="1"/>
  <c r="Q881" i="14"/>
  <c r="R881" i="14"/>
  <c r="F882" i="14"/>
  <c r="G882" i="14"/>
  <c r="H882" i="14"/>
  <c r="I882" i="14"/>
  <c r="J882" i="14"/>
  <c r="K882" i="14"/>
  <c r="L882" i="14"/>
  <c r="M882" i="14"/>
  <c r="N882" i="14"/>
  <c r="P882" i="14"/>
  <c r="U882" i="14" s="1"/>
  <c r="Q882" i="14"/>
  <c r="R882" i="14"/>
  <c r="F883" i="14"/>
  <c r="G883" i="14"/>
  <c r="H883" i="14"/>
  <c r="I883" i="14"/>
  <c r="J883" i="14"/>
  <c r="K883" i="14"/>
  <c r="L883" i="14"/>
  <c r="M883" i="14"/>
  <c r="N883" i="14"/>
  <c r="P883" i="14"/>
  <c r="U883" i="14" s="1"/>
  <c r="Q883" i="14"/>
  <c r="R883" i="14"/>
  <c r="F884" i="14"/>
  <c r="G884" i="14"/>
  <c r="H884" i="14"/>
  <c r="I884" i="14"/>
  <c r="J884" i="14"/>
  <c r="K884" i="14"/>
  <c r="L884" i="14"/>
  <c r="M884" i="14"/>
  <c r="N884" i="14"/>
  <c r="P884" i="14"/>
  <c r="U884" i="14" s="1"/>
  <c r="Q884" i="14"/>
  <c r="R884" i="14"/>
  <c r="F885" i="14"/>
  <c r="G885" i="14"/>
  <c r="H885" i="14"/>
  <c r="I885" i="14"/>
  <c r="J885" i="14"/>
  <c r="K885" i="14"/>
  <c r="L885" i="14"/>
  <c r="M885" i="14"/>
  <c r="N885" i="14"/>
  <c r="P885" i="14"/>
  <c r="U885" i="14" s="1"/>
  <c r="Q885" i="14"/>
  <c r="R885" i="14"/>
  <c r="F886" i="14"/>
  <c r="G886" i="14"/>
  <c r="H886" i="14"/>
  <c r="I886" i="14"/>
  <c r="J886" i="14"/>
  <c r="K886" i="14"/>
  <c r="L886" i="14"/>
  <c r="M886" i="14"/>
  <c r="N886" i="14"/>
  <c r="P886" i="14"/>
  <c r="U886" i="14" s="1"/>
  <c r="Q886" i="14"/>
  <c r="R886" i="14"/>
  <c r="F887" i="14"/>
  <c r="G887" i="14"/>
  <c r="H887" i="14"/>
  <c r="I887" i="14"/>
  <c r="J887" i="14"/>
  <c r="K887" i="14"/>
  <c r="L887" i="14"/>
  <c r="M887" i="14"/>
  <c r="N887" i="14"/>
  <c r="P887" i="14"/>
  <c r="U887" i="14" s="1"/>
  <c r="Q887" i="14"/>
  <c r="R887" i="14"/>
  <c r="F888" i="14"/>
  <c r="G888" i="14"/>
  <c r="H888" i="14"/>
  <c r="I888" i="14"/>
  <c r="J888" i="14"/>
  <c r="K888" i="14"/>
  <c r="L888" i="14"/>
  <c r="M888" i="14"/>
  <c r="N888" i="14"/>
  <c r="P888" i="14"/>
  <c r="U888" i="14" s="1"/>
  <c r="Q888" i="14"/>
  <c r="R888" i="14"/>
  <c r="F889" i="14"/>
  <c r="G889" i="14"/>
  <c r="H889" i="14"/>
  <c r="I889" i="14"/>
  <c r="J889" i="14"/>
  <c r="K889" i="14"/>
  <c r="L889" i="14"/>
  <c r="M889" i="14"/>
  <c r="N889" i="14"/>
  <c r="P889" i="14"/>
  <c r="U889" i="14" s="1"/>
  <c r="Q889" i="14"/>
  <c r="R889" i="14"/>
  <c r="F890" i="14"/>
  <c r="G890" i="14"/>
  <c r="H890" i="14"/>
  <c r="I890" i="14"/>
  <c r="J890" i="14"/>
  <c r="K890" i="14"/>
  <c r="L890" i="14"/>
  <c r="M890" i="14"/>
  <c r="N890" i="14"/>
  <c r="P890" i="14"/>
  <c r="U890" i="14" s="1"/>
  <c r="Q890" i="14"/>
  <c r="R890" i="14"/>
  <c r="F891" i="14"/>
  <c r="G891" i="14"/>
  <c r="H891" i="14"/>
  <c r="I891" i="14"/>
  <c r="J891" i="14"/>
  <c r="K891" i="14"/>
  <c r="L891" i="14"/>
  <c r="M891" i="14"/>
  <c r="N891" i="14"/>
  <c r="P891" i="14"/>
  <c r="U891" i="14" s="1"/>
  <c r="Q891" i="14"/>
  <c r="R891" i="14"/>
  <c r="F892" i="14"/>
  <c r="G892" i="14"/>
  <c r="H892" i="14"/>
  <c r="I892" i="14"/>
  <c r="J892" i="14"/>
  <c r="K892" i="14"/>
  <c r="L892" i="14"/>
  <c r="M892" i="14"/>
  <c r="N892" i="14"/>
  <c r="P892" i="14"/>
  <c r="U892" i="14" s="1"/>
  <c r="Q892" i="14"/>
  <c r="R892" i="14"/>
  <c r="F893" i="14"/>
  <c r="G893" i="14"/>
  <c r="H893" i="14"/>
  <c r="I893" i="14"/>
  <c r="J893" i="14"/>
  <c r="K893" i="14"/>
  <c r="L893" i="14"/>
  <c r="M893" i="14"/>
  <c r="N893" i="14"/>
  <c r="P893" i="14"/>
  <c r="U893" i="14" s="1"/>
  <c r="Q893" i="14"/>
  <c r="R893" i="14"/>
  <c r="F894" i="14"/>
  <c r="G894" i="14"/>
  <c r="H894" i="14"/>
  <c r="I894" i="14"/>
  <c r="J894" i="14"/>
  <c r="K894" i="14"/>
  <c r="L894" i="14"/>
  <c r="M894" i="14"/>
  <c r="N894" i="14"/>
  <c r="P894" i="14"/>
  <c r="U894" i="14" s="1"/>
  <c r="Q894" i="14"/>
  <c r="R894" i="14"/>
  <c r="F895" i="14"/>
  <c r="G895" i="14"/>
  <c r="H895" i="14"/>
  <c r="I895" i="14"/>
  <c r="J895" i="14"/>
  <c r="K895" i="14"/>
  <c r="L895" i="14"/>
  <c r="M895" i="14"/>
  <c r="N895" i="14"/>
  <c r="P895" i="14"/>
  <c r="U895" i="14" s="1"/>
  <c r="Q895" i="14"/>
  <c r="R895" i="14"/>
  <c r="F896" i="14"/>
  <c r="G896" i="14"/>
  <c r="H896" i="14"/>
  <c r="I896" i="14"/>
  <c r="J896" i="14"/>
  <c r="K896" i="14"/>
  <c r="L896" i="14"/>
  <c r="M896" i="14"/>
  <c r="N896" i="14"/>
  <c r="P896" i="14"/>
  <c r="U896" i="14" s="1"/>
  <c r="Q896" i="14"/>
  <c r="R896" i="14"/>
  <c r="F897" i="14"/>
  <c r="G897" i="14"/>
  <c r="H897" i="14"/>
  <c r="I897" i="14"/>
  <c r="J897" i="14"/>
  <c r="K897" i="14"/>
  <c r="L897" i="14"/>
  <c r="M897" i="14"/>
  <c r="N897" i="14"/>
  <c r="P897" i="14"/>
  <c r="U897" i="14" s="1"/>
  <c r="Q897" i="14"/>
  <c r="R897" i="14"/>
  <c r="F898" i="14"/>
  <c r="G898" i="14"/>
  <c r="H898" i="14"/>
  <c r="I898" i="14"/>
  <c r="J898" i="14"/>
  <c r="K898" i="14"/>
  <c r="L898" i="14"/>
  <c r="M898" i="14"/>
  <c r="N898" i="14"/>
  <c r="P898" i="14"/>
  <c r="U898" i="14" s="1"/>
  <c r="Q898" i="14"/>
  <c r="R898" i="14"/>
  <c r="F899" i="14"/>
  <c r="G899" i="14"/>
  <c r="H899" i="14"/>
  <c r="I899" i="14"/>
  <c r="J899" i="14"/>
  <c r="K899" i="14"/>
  <c r="L899" i="14"/>
  <c r="M899" i="14"/>
  <c r="N899" i="14"/>
  <c r="P899" i="14"/>
  <c r="U899" i="14" s="1"/>
  <c r="Q899" i="14"/>
  <c r="R899" i="14"/>
  <c r="F900" i="14"/>
  <c r="G900" i="14"/>
  <c r="H900" i="14"/>
  <c r="I900" i="14"/>
  <c r="J900" i="14"/>
  <c r="K900" i="14"/>
  <c r="L900" i="14"/>
  <c r="M900" i="14"/>
  <c r="N900" i="14"/>
  <c r="P900" i="14"/>
  <c r="U900" i="14" s="1"/>
  <c r="Q900" i="14"/>
  <c r="R900" i="14"/>
  <c r="F901" i="14"/>
  <c r="G901" i="14"/>
  <c r="H901" i="14"/>
  <c r="I901" i="14"/>
  <c r="J901" i="14"/>
  <c r="K901" i="14"/>
  <c r="L901" i="14"/>
  <c r="M901" i="14"/>
  <c r="N901" i="14"/>
  <c r="P901" i="14"/>
  <c r="U901" i="14" s="1"/>
  <c r="Q901" i="14"/>
  <c r="R901" i="14"/>
  <c r="F902" i="14"/>
  <c r="G902" i="14"/>
  <c r="H902" i="14"/>
  <c r="I902" i="14"/>
  <c r="J902" i="14"/>
  <c r="K902" i="14"/>
  <c r="L902" i="14"/>
  <c r="M902" i="14"/>
  <c r="N902" i="14"/>
  <c r="P902" i="14"/>
  <c r="U902" i="14" s="1"/>
  <c r="Q902" i="14"/>
  <c r="R902" i="14"/>
  <c r="F903" i="14"/>
  <c r="G903" i="14"/>
  <c r="H903" i="14"/>
  <c r="I903" i="14"/>
  <c r="J903" i="14"/>
  <c r="K903" i="14"/>
  <c r="L903" i="14"/>
  <c r="M903" i="14"/>
  <c r="N903" i="14"/>
  <c r="P903" i="14"/>
  <c r="U903" i="14" s="1"/>
  <c r="Q903" i="14"/>
  <c r="R903" i="14"/>
  <c r="F904" i="14"/>
  <c r="G904" i="14"/>
  <c r="H904" i="14"/>
  <c r="I904" i="14"/>
  <c r="J904" i="14"/>
  <c r="K904" i="14"/>
  <c r="L904" i="14"/>
  <c r="M904" i="14"/>
  <c r="N904" i="14"/>
  <c r="P904" i="14"/>
  <c r="U904" i="14" s="1"/>
  <c r="Q904" i="14"/>
  <c r="R904" i="14"/>
  <c r="F905" i="14"/>
  <c r="G905" i="14"/>
  <c r="H905" i="14"/>
  <c r="I905" i="14"/>
  <c r="J905" i="14"/>
  <c r="K905" i="14"/>
  <c r="L905" i="14"/>
  <c r="M905" i="14"/>
  <c r="N905" i="14"/>
  <c r="P905" i="14"/>
  <c r="U905" i="14" s="1"/>
  <c r="Q905" i="14"/>
  <c r="R905" i="14"/>
  <c r="F906" i="14"/>
  <c r="G906" i="14"/>
  <c r="H906" i="14"/>
  <c r="I906" i="14"/>
  <c r="J906" i="14"/>
  <c r="K906" i="14"/>
  <c r="L906" i="14"/>
  <c r="M906" i="14"/>
  <c r="N906" i="14"/>
  <c r="P906" i="14"/>
  <c r="U906" i="14" s="1"/>
  <c r="Q906" i="14"/>
  <c r="R906" i="14"/>
  <c r="F907" i="14"/>
  <c r="G907" i="14"/>
  <c r="H907" i="14"/>
  <c r="I907" i="14"/>
  <c r="J907" i="14"/>
  <c r="K907" i="14"/>
  <c r="L907" i="14"/>
  <c r="M907" i="14"/>
  <c r="N907" i="14"/>
  <c r="P907" i="14"/>
  <c r="U907" i="14" s="1"/>
  <c r="Q907" i="14"/>
  <c r="S907" i="14" s="1"/>
  <c r="R907" i="14"/>
  <c r="F908" i="14"/>
  <c r="G908" i="14"/>
  <c r="H908" i="14"/>
  <c r="I908" i="14"/>
  <c r="J908" i="14"/>
  <c r="K908" i="14"/>
  <c r="L908" i="14"/>
  <c r="M908" i="14"/>
  <c r="N908" i="14"/>
  <c r="P908" i="14"/>
  <c r="U908" i="14" s="1"/>
  <c r="Q908" i="14"/>
  <c r="R908" i="14"/>
  <c r="F909" i="14"/>
  <c r="G909" i="14"/>
  <c r="H909" i="14"/>
  <c r="I909" i="14"/>
  <c r="J909" i="14"/>
  <c r="K909" i="14"/>
  <c r="L909" i="14"/>
  <c r="M909" i="14"/>
  <c r="N909" i="14"/>
  <c r="P909" i="14"/>
  <c r="Q909" i="14"/>
  <c r="R909" i="14"/>
  <c r="F910" i="14"/>
  <c r="G910" i="14"/>
  <c r="H910" i="14"/>
  <c r="I910" i="14"/>
  <c r="J910" i="14"/>
  <c r="K910" i="14"/>
  <c r="L910" i="14"/>
  <c r="M910" i="14"/>
  <c r="N910" i="14"/>
  <c r="P910" i="14"/>
  <c r="U910" i="14" s="1"/>
  <c r="Q910" i="14"/>
  <c r="R910" i="14"/>
  <c r="F911" i="14"/>
  <c r="G911" i="14"/>
  <c r="H911" i="14"/>
  <c r="I911" i="14"/>
  <c r="J911" i="14"/>
  <c r="K911" i="14"/>
  <c r="L911" i="14"/>
  <c r="M911" i="14"/>
  <c r="N911" i="14"/>
  <c r="P911" i="14"/>
  <c r="U911" i="14" s="1"/>
  <c r="Q911" i="14"/>
  <c r="S911" i="14" s="1"/>
  <c r="R911" i="14"/>
  <c r="F912" i="14"/>
  <c r="G912" i="14"/>
  <c r="H912" i="14"/>
  <c r="I912" i="14"/>
  <c r="J912" i="14"/>
  <c r="K912" i="14"/>
  <c r="L912" i="14"/>
  <c r="M912" i="14"/>
  <c r="N912" i="14"/>
  <c r="P912" i="14"/>
  <c r="U912" i="14" s="1"/>
  <c r="Q912" i="14"/>
  <c r="R912" i="14"/>
  <c r="F913" i="14"/>
  <c r="G913" i="14"/>
  <c r="H913" i="14"/>
  <c r="I913" i="14"/>
  <c r="J913" i="14"/>
  <c r="K913" i="14"/>
  <c r="L913" i="14"/>
  <c r="M913" i="14"/>
  <c r="N913" i="14"/>
  <c r="P913" i="14"/>
  <c r="U913" i="14" s="1"/>
  <c r="Q913" i="14"/>
  <c r="S913" i="14" s="1"/>
  <c r="R913" i="14"/>
  <c r="F914" i="14"/>
  <c r="G914" i="14"/>
  <c r="H914" i="14"/>
  <c r="I914" i="14"/>
  <c r="J914" i="14"/>
  <c r="K914" i="14"/>
  <c r="L914" i="14"/>
  <c r="M914" i="14"/>
  <c r="N914" i="14"/>
  <c r="P914" i="14"/>
  <c r="U914" i="14" s="1"/>
  <c r="Q914" i="14"/>
  <c r="R914" i="14"/>
  <c r="F915" i="14"/>
  <c r="G915" i="14"/>
  <c r="H915" i="14"/>
  <c r="I915" i="14"/>
  <c r="J915" i="14"/>
  <c r="K915" i="14"/>
  <c r="L915" i="14"/>
  <c r="M915" i="14"/>
  <c r="N915" i="14"/>
  <c r="P915" i="14"/>
  <c r="U915" i="14" s="1"/>
  <c r="Q915" i="14"/>
  <c r="R915" i="14"/>
  <c r="F916" i="14"/>
  <c r="G916" i="14"/>
  <c r="H916" i="14"/>
  <c r="I916" i="14"/>
  <c r="J916" i="14"/>
  <c r="K916" i="14"/>
  <c r="L916" i="14"/>
  <c r="M916" i="14"/>
  <c r="N916" i="14"/>
  <c r="P916" i="14"/>
  <c r="U916" i="14" s="1"/>
  <c r="Q916" i="14"/>
  <c r="R916" i="14"/>
  <c r="F917" i="14"/>
  <c r="G917" i="14"/>
  <c r="H917" i="14"/>
  <c r="I917" i="14"/>
  <c r="J917" i="14"/>
  <c r="K917" i="14"/>
  <c r="L917" i="14"/>
  <c r="M917" i="14"/>
  <c r="N917" i="14"/>
  <c r="P917" i="14"/>
  <c r="U917" i="14" s="1"/>
  <c r="Q917" i="14"/>
  <c r="S917" i="14" s="1"/>
  <c r="R917" i="14"/>
  <c r="F918" i="14"/>
  <c r="G918" i="14"/>
  <c r="H918" i="14"/>
  <c r="I918" i="14"/>
  <c r="J918" i="14"/>
  <c r="K918" i="14"/>
  <c r="L918" i="14"/>
  <c r="M918" i="14"/>
  <c r="N918" i="14"/>
  <c r="P918" i="14"/>
  <c r="U918" i="14" s="1"/>
  <c r="Q918" i="14"/>
  <c r="R918" i="14"/>
  <c r="F919" i="14"/>
  <c r="G919" i="14"/>
  <c r="H919" i="14"/>
  <c r="I919" i="14"/>
  <c r="J919" i="14"/>
  <c r="K919" i="14"/>
  <c r="L919" i="14"/>
  <c r="M919" i="14"/>
  <c r="N919" i="14"/>
  <c r="P919" i="14"/>
  <c r="U919" i="14" s="1"/>
  <c r="Q919" i="14"/>
  <c r="R919" i="14"/>
  <c r="F920" i="14"/>
  <c r="G920" i="14"/>
  <c r="H920" i="14"/>
  <c r="I920" i="14"/>
  <c r="J920" i="14"/>
  <c r="K920" i="14"/>
  <c r="L920" i="14"/>
  <c r="M920" i="14"/>
  <c r="N920" i="14"/>
  <c r="P920" i="14"/>
  <c r="U920" i="14" s="1"/>
  <c r="Q920" i="14"/>
  <c r="R920" i="14"/>
  <c r="F921" i="14"/>
  <c r="G921" i="14"/>
  <c r="H921" i="14"/>
  <c r="I921" i="14"/>
  <c r="J921" i="14"/>
  <c r="K921" i="14"/>
  <c r="L921" i="14"/>
  <c r="M921" i="14"/>
  <c r="N921" i="14"/>
  <c r="P921" i="14"/>
  <c r="U921" i="14" s="1"/>
  <c r="Q921" i="14"/>
  <c r="R921" i="14"/>
  <c r="F922" i="14"/>
  <c r="G922" i="14"/>
  <c r="H922" i="14"/>
  <c r="I922" i="14"/>
  <c r="J922" i="14"/>
  <c r="K922" i="14"/>
  <c r="L922" i="14"/>
  <c r="M922" i="14"/>
  <c r="N922" i="14"/>
  <c r="P922" i="14"/>
  <c r="U922" i="14" s="1"/>
  <c r="Q922" i="14"/>
  <c r="R922" i="14"/>
  <c r="F923" i="14"/>
  <c r="G923" i="14"/>
  <c r="H923" i="14"/>
  <c r="I923" i="14"/>
  <c r="J923" i="14"/>
  <c r="K923" i="14"/>
  <c r="L923" i="14"/>
  <c r="M923" i="14"/>
  <c r="N923" i="14"/>
  <c r="P923" i="14"/>
  <c r="Q923" i="14"/>
  <c r="R923" i="14"/>
  <c r="F924" i="14"/>
  <c r="G924" i="14"/>
  <c r="H924" i="14"/>
  <c r="I924" i="14"/>
  <c r="J924" i="14"/>
  <c r="K924" i="14"/>
  <c r="L924" i="14"/>
  <c r="M924" i="14"/>
  <c r="N924" i="14"/>
  <c r="P924" i="14"/>
  <c r="Q924" i="14"/>
  <c r="R924" i="14"/>
  <c r="F925" i="14"/>
  <c r="G925" i="14"/>
  <c r="H925" i="14"/>
  <c r="I925" i="14"/>
  <c r="J925" i="14"/>
  <c r="K925" i="14"/>
  <c r="L925" i="14"/>
  <c r="M925" i="14"/>
  <c r="N925" i="14"/>
  <c r="P925" i="14"/>
  <c r="Q925" i="14"/>
  <c r="R925" i="14"/>
  <c r="F926" i="14"/>
  <c r="G926" i="14"/>
  <c r="H926" i="14"/>
  <c r="I926" i="14"/>
  <c r="J926" i="14"/>
  <c r="K926" i="14"/>
  <c r="L926" i="14"/>
  <c r="M926" i="14"/>
  <c r="N926" i="14"/>
  <c r="P926" i="14"/>
  <c r="Q926" i="14"/>
  <c r="R926" i="14"/>
  <c r="F927" i="14"/>
  <c r="G927" i="14"/>
  <c r="H927" i="14"/>
  <c r="I927" i="14"/>
  <c r="J927" i="14"/>
  <c r="K927" i="14"/>
  <c r="L927" i="14"/>
  <c r="M927" i="14"/>
  <c r="N927" i="14"/>
  <c r="P927" i="14"/>
  <c r="Q927" i="14"/>
  <c r="R927" i="14"/>
  <c r="F928" i="14"/>
  <c r="G928" i="14"/>
  <c r="H928" i="14"/>
  <c r="I928" i="14"/>
  <c r="J928" i="14"/>
  <c r="K928" i="14"/>
  <c r="L928" i="14"/>
  <c r="M928" i="14"/>
  <c r="N928" i="14"/>
  <c r="P928" i="14"/>
  <c r="V928" i="14" s="1"/>
  <c r="Q928" i="14"/>
  <c r="R928" i="14"/>
  <c r="F929" i="14"/>
  <c r="G929" i="14"/>
  <c r="H929" i="14"/>
  <c r="I929" i="14"/>
  <c r="J929" i="14"/>
  <c r="K929" i="14"/>
  <c r="L929" i="14"/>
  <c r="M929" i="14"/>
  <c r="N929" i="14"/>
  <c r="P929" i="14"/>
  <c r="Q929" i="14"/>
  <c r="R929" i="14"/>
  <c r="F930" i="14"/>
  <c r="G930" i="14"/>
  <c r="H930" i="14"/>
  <c r="I930" i="14"/>
  <c r="J930" i="14"/>
  <c r="K930" i="14"/>
  <c r="L930" i="14"/>
  <c r="M930" i="14"/>
  <c r="N930" i="14"/>
  <c r="P930" i="14"/>
  <c r="V930" i="14" s="1"/>
  <c r="Q930" i="14"/>
  <c r="R930" i="14"/>
  <c r="F931" i="14"/>
  <c r="G931" i="14"/>
  <c r="H931" i="14"/>
  <c r="I931" i="14"/>
  <c r="J931" i="14"/>
  <c r="K931" i="14"/>
  <c r="L931" i="14"/>
  <c r="M931" i="14"/>
  <c r="N931" i="14"/>
  <c r="P931" i="14"/>
  <c r="Q931" i="14"/>
  <c r="R931" i="14"/>
  <c r="F932" i="14"/>
  <c r="G932" i="14"/>
  <c r="H932" i="14"/>
  <c r="I932" i="14"/>
  <c r="J932" i="14"/>
  <c r="K932" i="14"/>
  <c r="L932" i="14"/>
  <c r="M932" i="14"/>
  <c r="N932" i="14"/>
  <c r="P932" i="14"/>
  <c r="Q932" i="14"/>
  <c r="R932" i="14"/>
  <c r="F933" i="14"/>
  <c r="G933" i="14"/>
  <c r="H933" i="14"/>
  <c r="I933" i="14"/>
  <c r="J933" i="14"/>
  <c r="K933" i="14"/>
  <c r="L933" i="14"/>
  <c r="M933" i="14"/>
  <c r="N933" i="14"/>
  <c r="P933" i="14"/>
  <c r="Q933" i="14"/>
  <c r="R933" i="14"/>
  <c r="F934" i="14"/>
  <c r="G934" i="14"/>
  <c r="H934" i="14"/>
  <c r="I934" i="14"/>
  <c r="J934" i="14"/>
  <c r="K934" i="14"/>
  <c r="L934" i="14"/>
  <c r="M934" i="14"/>
  <c r="N934" i="14"/>
  <c r="P934" i="14"/>
  <c r="Q934" i="14"/>
  <c r="R934" i="14"/>
  <c r="F935" i="14"/>
  <c r="G935" i="14"/>
  <c r="H935" i="14"/>
  <c r="I935" i="14"/>
  <c r="J935" i="14"/>
  <c r="K935" i="14"/>
  <c r="L935" i="14"/>
  <c r="M935" i="14"/>
  <c r="N935" i="14"/>
  <c r="P935" i="14"/>
  <c r="Q935" i="14"/>
  <c r="R935" i="14"/>
  <c r="S935" i="14" s="1"/>
  <c r="F936" i="14"/>
  <c r="G936" i="14"/>
  <c r="H936" i="14"/>
  <c r="I936" i="14"/>
  <c r="J936" i="14"/>
  <c r="K936" i="14"/>
  <c r="L936" i="14"/>
  <c r="M936" i="14"/>
  <c r="N936" i="14"/>
  <c r="P936" i="14"/>
  <c r="Q936" i="14"/>
  <c r="R936" i="14"/>
  <c r="F937" i="14"/>
  <c r="G937" i="14"/>
  <c r="H937" i="14"/>
  <c r="I937" i="14"/>
  <c r="J937" i="14"/>
  <c r="K937" i="14"/>
  <c r="L937" i="14"/>
  <c r="M937" i="14"/>
  <c r="N937" i="14"/>
  <c r="P937" i="14"/>
  <c r="Q937" i="14"/>
  <c r="R937" i="14"/>
  <c r="F938" i="14"/>
  <c r="G938" i="14"/>
  <c r="H938" i="14"/>
  <c r="I938" i="14"/>
  <c r="J938" i="14"/>
  <c r="K938" i="14"/>
  <c r="L938" i="14"/>
  <c r="M938" i="14"/>
  <c r="N938" i="14"/>
  <c r="P938" i="14"/>
  <c r="Q938" i="14"/>
  <c r="R938" i="14"/>
  <c r="F939" i="14"/>
  <c r="G939" i="14"/>
  <c r="H939" i="14"/>
  <c r="I939" i="14"/>
  <c r="J939" i="14"/>
  <c r="K939" i="14"/>
  <c r="L939" i="14"/>
  <c r="M939" i="14"/>
  <c r="N939" i="14"/>
  <c r="P939" i="14"/>
  <c r="Q939" i="14"/>
  <c r="R939" i="14"/>
  <c r="F940" i="14"/>
  <c r="G940" i="14"/>
  <c r="H940" i="14"/>
  <c r="I940" i="14"/>
  <c r="J940" i="14"/>
  <c r="K940" i="14"/>
  <c r="L940" i="14"/>
  <c r="M940" i="14"/>
  <c r="N940" i="14"/>
  <c r="P940" i="14"/>
  <c r="Q940" i="14"/>
  <c r="R940" i="14"/>
  <c r="F941" i="14"/>
  <c r="G941" i="14"/>
  <c r="H941" i="14"/>
  <c r="I941" i="14"/>
  <c r="J941" i="14"/>
  <c r="K941" i="14"/>
  <c r="L941" i="14"/>
  <c r="M941" i="14"/>
  <c r="N941" i="14"/>
  <c r="P941" i="14"/>
  <c r="Q941" i="14"/>
  <c r="R941" i="14"/>
  <c r="F942" i="14"/>
  <c r="G942" i="14"/>
  <c r="H942" i="14"/>
  <c r="I942" i="14"/>
  <c r="J942" i="14"/>
  <c r="K942" i="14"/>
  <c r="L942" i="14"/>
  <c r="M942" i="14"/>
  <c r="N942" i="14"/>
  <c r="P942" i="14"/>
  <c r="Q942" i="14"/>
  <c r="R942" i="14"/>
  <c r="F943" i="14"/>
  <c r="G943" i="14"/>
  <c r="H943" i="14"/>
  <c r="I943" i="14"/>
  <c r="J943" i="14"/>
  <c r="K943" i="14"/>
  <c r="L943" i="14"/>
  <c r="M943" i="14"/>
  <c r="N943" i="14"/>
  <c r="P943" i="14"/>
  <c r="Q943" i="14"/>
  <c r="R943" i="14"/>
  <c r="F944" i="14"/>
  <c r="G944" i="14"/>
  <c r="H944" i="14"/>
  <c r="I944" i="14"/>
  <c r="J944" i="14"/>
  <c r="K944" i="14"/>
  <c r="L944" i="14"/>
  <c r="M944" i="14"/>
  <c r="N944" i="14"/>
  <c r="P944" i="14"/>
  <c r="Q944" i="14"/>
  <c r="R944" i="14"/>
  <c r="F945" i="14"/>
  <c r="G945" i="14"/>
  <c r="H945" i="14"/>
  <c r="I945" i="14"/>
  <c r="J945" i="14"/>
  <c r="K945" i="14"/>
  <c r="L945" i="14"/>
  <c r="M945" i="14"/>
  <c r="N945" i="14"/>
  <c r="P945" i="14"/>
  <c r="Q945" i="14"/>
  <c r="R945" i="14"/>
  <c r="F946" i="14"/>
  <c r="G946" i="14"/>
  <c r="H946" i="14"/>
  <c r="I946" i="14"/>
  <c r="J946" i="14"/>
  <c r="K946" i="14"/>
  <c r="L946" i="14"/>
  <c r="M946" i="14"/>
  <c r="N946" i="14"/>
  <c r="P946" i="14"/>
  <c r="Q946" i="14"/>
  <c r="R946" i="14"/>
  <c r="F947" i="14"/>
  <c r="G947" i="14"/>
  <c r="H947" i="14"/>
  <c r="I947" i="14"/>
  <c r="J947" i="14"/>
  <c r="K947" i="14"/>
  <c r="L947" i="14"/>
  <c r="M947" i="14"/>
  <c r="N947" i="14"/>
  <c r="P947" i="14"/>
  <c r="V947" i="14" s="1"/>
  <c r="Q947" i="14"/>
  <c r="R947" i="14"/>
  <c r="F948" i="14"/>
  <c r="G948" i="14"/>
  <c r="H948" i="14"/>
  <c r="I948" i="14"/>
  <c r="J948" i="14"/>
  <c r="K948" i="14"/>
  <c r="L948" i="14"/>
  <c r="M948" i="14"/>
  <c r="N948" i="14"/>
  <c r="P948" i="14"/>
  <c r="Q948" i="14"/>
  <c r="R948" i="14"/>
  <c r="F949" i="14"/>
  <c r="G949" i="14"/>
  <c r="H949" i="14"/>
  <c r="I949" i="14"/>
  <c r="J949" i="14"/>
  <c r="K949" i="14"/>
  <c r="L949" i="14"/>
  <c r="M949" i="14"/>
  <c r="N949" i="14"/>
  <c r="P949" i="14"/>
  <c r="Q949" i="14"/>
  <c r="R949" i="14"/>
  <c r="F950" i="14"/>
  <c r="G950" i="14"/>
  <c r="H950" i="14"/>
  <c r="I950" i="14"/>
  <c r="J950" i="14"/>
  <c r="K950" i="14"/>
  <c r="L950" i="14"/>
  <c r="M950" i="14"/>
  <c r="N950" i="14"/>
  <c r="P950" i="14"/>
  <c r="Q950" i="14"/>
  <c r="R950" i="14"/>
  <c r="F951" i="14"/>
  <c r="G951" i="14"/>
  <c r="H951" i="14"/>
  <c r="I951" i="14"/>
  <c r="J951" i="14"/>
  <c r="K951" i="14"/>
  <c r="L951" i="14"/>
  <c r="M951" i="14"/>
  <c r="N951" i="14"/>
  <c r="P951" i="14"/>
  <c r="Q951" i="14"/>
  <c r="R951" i="14"/>
  <c r="F952" i="14"/>
  <c r="G952" i="14"/>
  <c r="H952" i="14"/>
  <c r="I952" i="14"/>
  <c r="J952" i="14"/>
  <c r="K952" i="14"/>
  <c r="L952" i="14"/>
  <c r="M952" i="14"/>
  <c r="N952" i="14"/>
  <c r="P952" i="14"/>
  <c r="Q952" i="14"/>
  <c r="R952" i="14"/>
  <c r="F953" i="14"/>
  <c r="G953" i="14"/>
  <c r="H953" i="14"/>
  <c r="I953" i="14"/>
  <c r="J953" i="14"/>
  <c r="K953" i="14"/>
  <c r="L953" i="14"/>
  <c r="M953" i="14"/>
  <c r="N953" i="14"/>
  <c r="P953" i="14"/>
  <c r="Q953" i="14"/>
  <c r="R953" i="14"/>
  <c r="F954" i="14"/>
  <c r="G954" i="14"/>
  <c r="H954" i="14"/>
  <c r="I954" i="14"/>
  <c r="J954" i="14"/>
  <c r="K954" i="14"/>
  <c r="L954" i="14"/>
  <c r="M954" i="14"/>
  <c r="N954" i="14"/>
  <c r="P954" i="14"/>
  <c r="Q954" i="14"/>
  <c r="R954" i="14"/>
  <c r="F955" i="14"/>
  <c r="G955" i="14"/>
  <c r="H955" i="14"/>
  <c r="I955" i="14"/>
  <c r="J955" i="14"/>
  <c r="K955" i="14"/>
  <c r="L955" i="14"/>
  <c r="M955" i="14"/>
  <c r="N955" i="14"/>
  <c r="P955" i="14"/>
  <c r="Q955" i="14"/>
  <c r="R955" i="14"/>
  <c r="F956" i="14"/>
  <c r="G956" i="14"/>
  <c r="H956" i="14"/>
  <c r="I956" i="14"/>
  <c r="J956" i="14"/>
  <c r="K956" i="14"/>
  <c r="L956" i="14"/>
  <c r="M956" i="14"/>
  <c r="N956" i="14"/>
  <c r="P956" i="14"/>
  <c r="Q956" i="14"/>
  <c r="R956" i="14"/>
  <c r="F957" i="14"/>
  <c r="G957" i="14"/>
  <c r="H957" i="14"/>
  <c r="I957" i="14"/>
  <c r="J957" i="14"/>
  <c r="K957" i="14"/>
  <c r="L957" i="14"/>
  <c r="M957" i="14"/>
  <c r="N957" i="14"/>
  <c r="P957" i="14"/>
  <c r="Q957" i="14"/>
  <c r="R957" i="14"/>
  <c r="S957" i="14" s="1"/>
  <c r="F958" i="14"/>
  <c r="G958" i="14"/>
  <c r="H958" i="14"/>
  <c r="I958" i="14"/>
  <c r="J958" i="14"/>
  <c r="K958" i="14"/>
  <c r="L958" i="14"/>
  <c r="M958" i="14"/>
  <c r="N958" i="14"/>
  <c r="P958" i="14"/>
  <c r="Q958" i="14"/>
  <c r="R958" i="14"/>
  <c r="F959" i="14"/>
  <c r="G959" i="14"/>
  <c r="H959" i="14"/>
  <c r="I959" i="14"/>
  <c r="J959" i="14"/>
  <c r="K959" i="14"/>
  <c r="L959" i="14"/>
  <c r="M959" i="14"/>
  <c r="N959" i="14"/>
  <c r="P959" i="14"/>
  <c r="Q959" i="14"/>
  <c r="R959" i="14"/>
  <c r="F960" i="14"/>
  <c r="G960" i="14"/>
  <c r="H960" i="14"/>
  <c r="I960" i="14"/>
  <c r="J960" i="14"/>
  <c r="K960" i="14"/>
  <c r="L960" i="14"/>
  <c r="M960" i="14"/>
  <c r="N960" i="14"/>
  <c r="P960" i="14"/>
  <c r="Q960" i="14"/>
  <c r="R960" i="14"/>
  <c r="F961" i="14"/>
  <c r="G961" i="14"/>
  <c r="H961" i="14"/>
  <c r="I961" i="14"/>
  <c r="J961" i="14"/>
  <c r="K961" i="14"/>
  <c r="L961" i="14"/>
  <c r="M961" i="14"/>
  <c r="N961" i="14"/>
  <c r="P961" i="14"/>
  <c r="Q961" i="14"/>
  <c r="R961" i="14"/>
  <c r="F962" i="14"/>
  <c r="G962" i="14"/>
  <c r="H962" i="14"/>
  <c r="I962" i="14"/>
  <c r="J962" i="14"/>
  <c r="K962" i="14"/>
  <c r="L962" i="14"/>
  <c r="M962" i="14"/>
  <c r="N962" i="14"/>
  <c r="P962" i="14"/>
  <c r="Q962" i="14"/>
  <c r="R962" i="14"/>
  <c r="F963" i="14"/>
  <c r="G963" i="14"/>
  <c r="H963" i="14"/>
  <c r="I963" i="14"/>
  <c r="J963" i="14"/>
  <c r="K963" i="14"/>
  <c r="L963" i="14"/>
  <c r="M963" i="14"/>
  <c r="N963" i="14"/>
  <c r="P963" i="14"/>
  <c r="Q963" i="14"/>
  <c r="R963" i="14"/>
  <c r="F964" i="14"/>
  <c r="G964" i="14"/>
  <c r="H964" i="14"/>
  <c r="I964" i="14"/>
  <c r="J964" i="14"/>
  <c r="K964" i="14"/>
  <c r="L964" i="14"/>
  <c r="M964" i="14"/>
  <c r="N964" i="14"/>
  <c r="P964" i="14"/>
  <c r="Q964" i="14"/>
  <c r="R964" i="14"/>
  <c r="F965" i="14"/>
  <c r="G965" i="14"/>
  <c r="H965" i="14"/>
  <c r="I965" i="14"/>
  <c r="J965" i="14"/>
  <c r="K965" i="14"/>
  <c r="L965" i="14"/>
  <c r="M965" i="14"/>
  <c r="N965" i="14"/>
  <c r="P965" i="14"/>
  <c r="Q965" i="14"/>
  <c r="R965" i="14"/>
  <c r="F966" i="14"/>
  <c r="G966" i="14"/>
  <c r="H966" i="14"/>
  <c r="I966" i="14"/>
  <c r="J966" i="14"/>
  <c r="K966" i="14"/>
  <c r="L966" i="14"/>
  <c r="M966" i="14"/>
  <c r="N966" i="14"/>
  <c r="P966" i="14"/>
  <c r="Q966" i="14"/>
  <c r="R966" i="14"/>
  <c r="F967" i="14"/>
  <c r="G967" i="14"/>
  <c r="H967" i="14"/>
  <c r="I967" i="14"/>
  <c r="J967" i="14"/>
  <c r="K967" i="14"/>
  <c r="L967" i="14"/>
  <c r="M967" i="14"/>
  <c r="N967" i="14"/>
  <c r="P967" i="14"/>
  <c r="Q967" i="14"/>
  <c r="R967" i="14"/>
  <c r="F968" i="14"/>
  <c r="G968" i="14"/>
  <c r="H968" i="14"/>
  <c r="I968" i="14"/>
  <c r="J968" i="14"/>
  <c r="K968" i="14"/>
  <c r="L968" i="14"/>
  <c r="M968" i="14"/>
  <c r="N968" i="14"/>
  <c r="P968" i="14"/>
  <c r="Q968" i="14"/>
  <c r="R968" i="14"/>
  <c r="F969" i="14"/>
  <c r="G969" i="14"/>
  <c r="H969" i="14"/>
  <c r="I969" i="14"/>
  <c r="J969" i="14"/>
  <c r="K969" i="14"/>
  <c r="L969" i="14"/>
  <c r="M969" i="14"/>
  <c r="N969" i="14"/>
  <c r="P969" i="14"/>
  <c r="Q969" i="14"/>
  <c r="R969" i="14"/>
  <c r="F970" i="14"/>
  <c r="G970" i="14"/>
  <c r="H970" i="14"/>
  <c r="I970" i="14"/>
  <c r="J970" i="14"/>
  <c r="K970" i="14"/>
  <c r="L970" i="14"/>
  <c r="M970" i="14"/>
  <c r="N970" i="14"/>
  <c r="P970" i="14"/>
  <c r="Q970" i="14"/>
  <c r="R970" i="14"/>
  <c r="F971" i="14"/>
  <c r="G971" i="14"/>
  <c r="H971" i="14"/>
  <c r="I971" i="14"/>
  <c r="J971" i="14"/>
  <c r="K971" i="14"/>
  <c r="L971" i="14"/>
  <c r="M971" i="14"/>
  <c r="N971" i="14"/>
  <c r="P971" i="14"/>
  <c r="Q971" i="14"/>
  <c r="R971" i="14"/>
  <c r="F972" i="14"/>
  <c r="G972" i="14"/>
  <c r="H972" i="14"/>
  <c r="I972" i="14"/>
  <c r="J972" i="14"/>
  <c r="K972" i="14"/>
  <c r="L972" i="14"/>
  <c r="M972" i="14"/>
  <c r="N972" i="14"/>
  <c r="P972" i="14"/>
  <c r="Q972" i="14"/>
  <c r="R972" i="14"/>
  <c r="F973" i="14"/>
  <c r="G973" i="14"/>
  <c r="H973" i="14"/>
  <c r="I973" i="14"/>
  <c r="J973" i="14"/>
  <c r="K973" i="14"/>
  <c r="L973" i="14"/>
  <c r="M973" i="14"/>
  <c r="N973" i="14"/>
  <c r="P973" i="14"/>
  <c r="Q973" i="14"/>
  <c r="R973" i="14"/>
  <c r="F974" i="14"/>
  <c r="G974" i="14"/>
  <c r="H974" i="14"/>
  <c r="I974" i="14"/>
  <c r="J974" i="14"/>
  <c r="K974" i="14"/>
  <c r="L974" i="14"/>
  <c r="M974" i="14"/>
  <c r="N974" i="14"/>
  <c r="P974" i="14"/>
  <c r="Q974" i="14"/>
  <c r="R974" i="14"/>
  <c r="F975" i="14"/>
  <c r="G975" i="14"/>
  <c r="H975" i="14"/>
  <c r="I975" i="14"/>
  <c r="J975" i="14"/>
  <c r="K975" i="14"/>
  <c r="L975" i="14"/>
  <c r="M975" i="14"/>
  <c r="N975" i="14"/>
  <c r="P975" i="14"/>
  <c r="Q975" i="14"/>
  <c r="R975" i="14"/>
  <c r="F976" i="14"/>
  <c r="G976" i="14"/>
  <c r="H976" i="14"/>
  <c r="I976" i="14"/>
  <c r="J976" i="14"/>
  <c r="K976" i="14"/>
  <c r="L976" i="14"/>
  <c r="M976" i="14"/>
  <c r="N976" i="14"/>
  <c r="P976" i="14"/>
  <c r="Q976" i="14"/>
  <c r="R976" i="14"/>
  <c r="F977" i="14"/>
  <c r="G977" i="14"/>
  <c r="H977" i="14"/>
  <c r="I977" i="14"/>
  <c r="J977" i="14"/>
  <c r="K977" i="14"/>
  <c r="L977" i="14"/>
  <c r="M977" i="14"/>
  <c r="N977" i="14"/>
  <c r="P977" i="14"/>
  <c r="Q977" i="14"/>
  <c r="R977" i="14"/>
  <c r="F978" i="14"/>
  <c r="G978" i="14"/>
  <c r="H978" i="14"/>
  <c r="I978" i="14"/>
  <c r="J978" i="14"/>
  <c r="K978" i="14"/>
  <c r="L978" i="14"/>
  <c r="M978" i="14"/>
  <c r="N978" i="14"/>
  <c r="P978" i="14"/>
  <c r="Q978" i="14"/>
  <c r="R978" i="14"/>
  <c r="F979" i="14"/>
  <c r="G979" i="14"/>
  <c r="H979" i="14"/>
  <c r="I979" i="14"/>
  <c r="J979" i="14"/>
  <c r="K979" i="14"/>
  <c r="L979" i="14"/>
  <c r="M979" i="14"/>
  <c r="N979" i="14"/>
  <c r="P979" i="14"/>
  <c r="Q979" i="14"/>
  <c r="R979" i="14"/>
  <c r="F980" i="14"/>
  <c r="G980" i="14"/>
  <c r="H980" i="14"/>
  <c r="I980" i="14"/>
  <c r="J980" i="14"/>
  <c r="K980" i="14"/>
  <c r="L980" i="14"/>
  <c r="M980" i="14"/>
  <c r="N980" i="14"/>
  <c r="P980" i="14"/>
  <c r="Q980" i="14"/>
  <c r="R980" i="14"/>
  <c r="T980" i="14"/>
  <c r="U980" i="14"/>
  <c r="V980" i="14"/>
  <c r="F981" i="14"/>
  <c r="G981" i="14"/>
  <c r="H981" i="14"/>
  <c r="I981" i="14"/>
  <c r="J981" i="14"/>
  <c r="K981" i="14"/>
  <c r="L981" i="14"/>
  <c r="M981" i="14"/>
  <c r="N981" i="14"/>
  <c r="P981" i="14"/>
  <c r="Q981" i="14"/>
  <c r="R981" i="14"/>
  <c r="F982" i="14"/>
  <c r="G982" i="14"/>
  <c r="H982" i="14"/>
  <c r="I982" i="14"/>
  <c r="J982" i="14"/>
  <c r="K982" i="14"/>
  <c r="L982" i="14"/>
  <c r="M982" i="14"/>
  <c r="N982" i="14"/>
  <c r="P982" i="14"/>
  <c r="Q982" i="14"/>
  <c r="R982" i="14"/>
  <c r="F983" i="14"/>
  <c r="G983" i="14"/>
  <c r="H983" i="14"/>
  <c r="I983" i="14"/>
  <c r="J983" i="14"/>
  <c r="K983" i="14"/>
  <c r="L983" i="14"/>
  <c r="M983" i="14"/>
  <c r="N983" i="14"/>
  <c r="P983" i="14"/>
  <c r="Q983" i="14"/>
  <c r="R983" i="14"/>
  <c r="F984" i="14"/>
  <c r="G984" i="14"/>
  <c r="H984" i="14"/>
  <c r="I984" i="14"/>
  <c r="J984" i="14"/>
  <c r="K984" i="14"/>
  <c r="L984" i="14"/>
  <c r="M984" i="14"/>
  <c r="N984" i="14"/>
  <c r="P984" i="14"/>
  <c r="Q984" i="14"/>
  <c r="R984" i="14"/>
  <c r="F985" i="14"/>
  <c r="G985" i="14"/>
  <c r="H985" i="14"/>
  <c r="I985" i="14"/>
  <c r="J985" i="14"/>
  <c r="K985" i="14"/>
  <c r="L985" i="14"/>
  <c r="M985" i="14"/>
  <c r="N985" i="14"/>
  <c r="P985" i="14"/>
  <c r="Q985" i="14"/>
  <c r="R985" i="14"/>
  <c r="F986" i="14"/>
  <c r="G986" i="14"/>
  <c r="H986" i="14"/>
  <c r="I986" i="14"/>
  <c r="J986" i="14"/>
  <c r="K986" i="14"/>
  <c r="L986" i="14"/>
  <c r="M986" i="14"/>
  <c r="N986" i="14"/>
  <c r="P986" i="14"/>
  <c r="Q986" i="14"/>
  <c r="R986" i="14"/>
  <c r="F987" i="14"/>
  <c r="G987" i="14"/>
  <c r="H987" i="14"/>
  <c r="I987" i="14"/>
  <c r="J987" i="14"/>
  <c r="K987" i="14"/>
  <c r="L987" i="14"/>
  <c r="M987" i="14"/>
  <c r="N987" i="14"/>
  <c r="P987" i="14"/>
  <c r="Q987" i="14"/>
  <c r="R987" i="14"/>
  <c r="F988" i="14"/>
  <c r="G988" i="14"/>
  <c r="H988" i="14"/>
  <c r="I988" i="14"/>
  <c r="J988" i="14"/>
  <c r="K988" i="14"/>
  <c r="L988" i="14"/>
  <c r="M988" i="14"/>
  <c r="N988" i="14"/>
  <c r="P988" i="14"/>
  <c r="Q988" i="14"/>
  <c r="R988" i="14"/>
  <c r="F989" i="14"/>
  <c r="G989" i="14"/>
  <c r="H989" i="14"/>
  <c r="I989" i="14"/>
  <c r="J989" i="14"/>
  <c r="K989" i="14"/>
  <c r="L989" i="14"/>
  <c r="M989" i="14"/>
  <c r="N989" i="14"/>
  <c r="P989" i="14"/>
  <c r="Q989" i="14"/>
  <c r="R989" i="14"/>
  <c r="F990" i="14"/>
  <c r="G990" i="14"/>
  <c r="H990" i="14"/>
  <c r="I990" i="14"/>
  <c r="J990" i="14"/>
  <c r="K990" i="14"/>
  <c r="L990" i="14"/>
  <c r="M990" i="14"/>
  <c r="N990" i="14"/>
  <c r="P990" i="14"/>
  <c r="Q990" i="14"/>
  <c r="R990" i="14"/>
  <c r="F991" i="14"/>
  <c r="G991" i="14"/>
  <c r="H991" i="14"/>
  <c r="I991" i="14"/>
  <c r="J991" i="14"/>
  <c r="K991" i="14"/>
  <c r="L991" i="14"/>
  <c r="M991" i="14"/>
  <c r="N991" i="14"/>
  <c r="P991" i="14"/>
  <c r="Q991" i="14"/>
  <c r="R991" i="14"/>
  <c r="F992" i="14"/>
  <c r="G992" i="14"/>
  <c r="H992" i="14"/>
  <c r="I992" i="14"/>
  <c r="J992" i="14"/>
  <c r="K992" i="14"/>
  <c r="L992" i="14"/>
  <c r="M992" i="14"/>
  <c r="N992" i="14"/>
  <c r="P992" i="14"/>
  <c r="Q992" i="14"/>
  <c r="S992" i="14" s="1"/>
  <c r="R992" i="14"/>
  <c r="F993" i="14"/>
  <c r="G993" i="14"/>
  <c r="H993" i="14"/>
  <c r="I993" i="14"/>
  <c r="J993" i="14"/>
  <c r="K993" i="14"/>
  <c r="L993" i="14"/>
  <c r="M993" i="14"/>
  <c r="N993" i="14"/>
  <c r="P993" i="14"/>
  <c r="Q993" i="14"/>
  <c r="R993" i="14"/>
  <c r="F994" i="14"/>
  <c r="G994" i="14"/>
  <c r="H994" i="14"/>
  <c r="I994" i="14"/>
  <c r="J994" i="14"/>
  <c r="K994" i="14"/>
  <c r="L994" i="14"/>
  <c r="M994" i="14"/>
  <c r="N994" i="14"/>
  <c r="P994" i="14"/>
  <c r="Q994" i="14"/>
  <c r="R994" i="14"/>
  <c r="F995" i="14"/>
  <c r="G995" i="14"/>
  <c r="H995" i="14"/>
  <c r="I995" i="14"/>
  <c r="J995" i="14"/>
  <c r="K995" i="14"/>
  <c r="L995" i="14"/>
  <c r="M995" i="14"/>
  <c r="N995" i="14"/>
  <c r="P995" i="14"/>
  <c r="Q995" i="14"/>
  <c r="R995" i="14"/>
  <c r="F996" i="14"/>
  <c r="G996" i="14"/>
  <c r="H996" i="14"/>
  <c r="I996" i="14"/>
  <c r="J996" i="14"/>
  <c r="K996" i="14"/>
  <c r="L996" i="14"/>
  <c r="M996" i="14"/>
  <c r="N996" i="14"/>
  <c r="P996" i="14"/>
  <c r="Q996" i="14"/>
  <c r="R996" i="14"/>
  <c r="F997" i="14"/>
  <c r="G997" i="14"/>
  <c r="H997" i="14"/>
  <c r="I997" i="14"/>
  <c r="J997" i="14"/>
  <c r="K997" i="14"/>
  <c r="L997" i="14"/>
  <c r="M997" i="14"/>
  <c r="N997" i="14"/>
  <c r="P997" i="14"/>
  <c r="Q997" i="14"/>
  <c r="R997" i="14"/>
  <c r="F998" i="14"/>
  <c r="G998" i="14"/>
  <c r="H998" i="14"/>
  <c r="I998" i="14"/>
  <c r="J998" i="14"/>
  <c r="K998" i="14"/>
  <c r="L998" i="14"/>
  <c r="M998" i="14"/>
  <c r="N998" i="14"/>
  <c r="P998" i="14"/>
  <c r="Q998" i="14"/>
  <c r="R998" i="14"/>
  <c r="F999" i="14"/>
  <c r="G999" i="14"/>
  <c r="H999" i="14"/>
  <c r="I999" i="14"/>
  <c r="J999" i="14"/>
  <c r="K999" i="14"/>
  <c r="L999" i="14"/>
  <c r="M999" i="14"/>
  <c r="N999" i="14"/>
  <c r="P999" i="14"/>
  <c r="Q999" i="14"/>
  <c r="R999" i="14"/>
  <c r="F1000" i="14"/>
  <c r="G1000" i="14"/>
  <c r="H1000" i="14"/>
  <c r="I1000" i="14"/>
  <c r="J1000" i="14"/>
  <c r="K1000" i="14"/>
  <c r="L1000" i="14"/>
  <c r="M1000" i="14"/>
  <c r="N1000" i="14"/>
  <c r="P1000" i="14"/>
  <c r="Q1000" i="14"/>
  <c r="R1000" i="14"/>
  <c r="F1001" i="14"/>
  <c r="G1001" i="14"/>
  <c r="H1001" i="14"/>
  <c r="I1001" i="14"/>
  <c r="J1001" i="14"/>
  <c r="K1001" i="14"/>
  <c r="L1001" i="14"/>
  <c r="M1001" i="14"/>
  <c r="N1001" i="14"/>
  <c r="P1001" i="14"/>
  <c r="Q1001" i="14"/>
  <c r="R1001" i="14"/>
  <c r="F1002" i="14"/>
  <c r="G1002" i="14"/>
  <c r="H1002" i="14"/>
  <c r="I1002" i="14"/>
  <c r="J1002" i="14"/>
  <c r="K1002" i="14"/>
  <c r="L1002" i="14"/>
  <c r="M1002" i="14"/>
  <c r="N1002" i="14"/>
  <c r="P1002" i="14"/>
  <c r="Q1002" i="14"/>
  <c r="R1002" i="14"/>
  <c r="F1003" i="14"/>
  <c r="G1003" i="14"/>
  <c r="H1003" i="14"/>
  <c r="I1003" i="14"/>
  <c r="J1003" i="14"/>
  <c r="K1003" i="14"/>
  <c r="L1003" i="14"/>
  <c r="M1003" i="14"/>
  <c r="N1003" i="14"/>
  <c r="P1003" i="14"/>
  <c r="Q1003" i="14"/>
  <c r="R1003" i="14"/>
  <c r="F1004" i="14"/>
  <c r="G1004" i="14"/>
  <c r="H1004" i="14"/>
  <c r="I1004" i="14"/>
  <c r="J1004" i="14"/>
  <c r="K1004" i="14"/>
  <c r="L1004" i="14"/>
  <c r="M1004" i="14"/>
  <c r="N1004" i="14"/>
  <c r="P1004" i="14"/>
  <c r="Q1004" i="14"/>
  <c r="R1004" i="14"/>
  <c r="F1005" i="14"/>
  <c r="G1005" i="14"/>
  <c r="H1005" i="14"/>
  <c r="I1005" i="14"/>
  <c r="J1005" i="14"/>
  <c r="K1005" i="14"/>
  <c r="L1005" i="14"/>
  <c r="M1005" i="14"/>
  <c r="N1005" i="14"/>
  <c r="P1005" i="14"/>
  <c r="Q1005" i="14"/>
  <c r="R1005" i="14"/>
  <c r="F1006" i="14"/>
  <c r="G1006" i="14"/>
  <c r="H1006" i="14"/>
  <c r="I1006" i="14"/>
  <c r="J1006" i="14"/>
  <c r="K1006" i="14"/>
  <c r="L1006" i="14"/>
  <c r="M1006" i="14"/>
  <c r="N1006" i="14"/>
  <c r="P1006" i="14"/>
  <c r="Q1006" i="14"/>
  <c r="R1006" i="14"/>
  <c r="F1007" i="14"/>
  <c r="G1007" i="14"/>
  <c r="H1007" i="14"/>
  <c r="I1007" i="14"/>
  <c r="J1007" i="14"/>
  <c r="K1007" i="14"/>
  <c r="L1007" i="14"/>
  <c r="M1007" i="14"/>
  <c r="N1007" i="14"/>
  <c r="P1007" i="14"/>
  <c r="Q1007" i="14"/>
  <c r="R1007" i="14"/>
  <c r="F1008" i="14"/>
  <c r="G1008" i="14"/>
  <c r="H1008" i="14"/>
  <c r="I1008" i="14"/>
  <c r="J1008" i="14"/>
  <c r="K1008" i="14"/>
  <c r="L1008" i="14"/>
  <c r="M1008" i="14"/>
  <c r="N1008" i="14"/>
  <c r="P1008" i="14"/>
  <c r="Q1008" i="14"/>
  <c r="R1008" i="14"/>
  <c r="F1009" i="14"/>
  <c r="G1009" i="14"/>
  <c r="H1009" i="14"/>
  <c r="I1009" i="14"/>
  <c r="J1009" i="14"/>
  <c r="K1009" i="14"/>
  <c r="L1009" i="14"/>
  <c r="M1009" i="14"/>
  <c r="N1009" i="14"/>
  <c r="P1009" i="14"/>
  <c r="Q1009" i="14"/>
  <c r="R1009" i="14"/>
  <c r="F1010" i="14"/>
  <c r="G1010" i="14"/>
  <c r="H1010" i="14"/>
  <c r="I1010" i="14"/>
  <c r="J1010" i="14"/>
  <c r="K1010" i="14"/>
  <c r="L1010" i="14"/>
  <c r="M1010" i="14"/>
  <c r="N1010" i="14"/>
  <c r="P1010" i="14"/>
  <c r="Q1010" i="14"/>
  <c r="R1010" i="14"/>
  <c r="F1011" i="14"/>
  <c r="G1011" i="14"/>
  <c r="H1011" i="14"/>
  <c r="I1011" i="14"/>
  <c r="J1011" i="14"/>
  <c r="K1011" i="14"/>
  <c r="L1011" i="14"/>
  <c r="M1011" i="14"/>
  <c r="N1011" i="14"/>
  <c r="P1011" i="14"/>
  <c r="Q1011" i="14"/>
  <c r="R1011" i="14"/>
  <c r="F1012" i="14"/>
  <c r="G1012" i="14"/>
  <c r="H1012" i="14"/>
  <c r="I1012" i="14"/>
  <c r="J1012" i="14"/>
  <c r="K1012" i="14"/>
  <c r="L1012" i="14"/>
  <c r="M1012" i="14"/>
  <c r="N1012" i="14"/>
  <c r="P1012" i="14"/>
  <c r="U1012" i="14" s="1"/>
  <c r="Q1012" i="14"/>
  <c r="R1012" i="14"/>
  <c r="F1013" i="14"/>
  <c r="G1013" i="14"/>
  <c r="H1013" i="14"/>
  <c r="I1013" i="14"/>
  <c r="J1013" i="14"/>
  <c r="K1013" i="14"/>
  <c r="L1013" i="14"/>
  <c r="M1013" i="14"/>
  <c r="N1013" i="14"/>
  <c r="P1013" i="14"/>
  <c r="U1013" i="14" s="1"/>
  <c r="Q1013" i="14"/>
  <c r="R1013" i="14"/>
  <c r="F1014" i="14"/>
  <c r="G1014" i="14"/>
  <c r="H1014" i="14"/>
  <c r="I1014" i="14"/>
  <c r="J1014" i="14"/>
  <c r="K1014" i="14"/>
  <c r="L1014" i="14"/>
  <c r="M1014" i="14"/>
  <c r="N1014" i="14"/>
  <c r="P1014" i="14"/>
  <c r="U1014" i="14" s="1"/>
  <c r="Q1014" i="14"/>
  <c r="R1014" i="14"/>
  <c r="F1015" i="14"/>
  <c r="G1015" i="14"/>
  <c r="H1015" i="14"/>
  <c r="I1015" i="14"/>
  <c r="J1015" i="14"/>
  <c r="K1015" i="14"/>
  <c r="L1015" i="14"/>
  <c r="M1015" i="14"/>
  <c r="N1015" i="14"/>
  <c r="P1015" i="14"/>
  <c r="U1015" i="14" s="1"/>
  <c r="Q1015" i="14"/>
  <c r="R1015" i="14"/>
  <c r="F1016" i="14"/>
  <c r="G1016" i="14"/>
  <c r="H1016" i="14"/>
  <c r="I1016" i="14"/>
  <c r="J1016" i="14"/>
  <c r="K1016" i="14"/>
  <c r="L1016" i="14"/>
  <c r="M1016" i="14"/>
  <c r="N1016" i="14"/>
  <c r="P1016" i="14"/>
  <c r="Q1016" i="14"/>
  <c r="R1016" i="14"/>
  <c r="F1017" i="14"/>
  <c r="G1017" i="14"/>
  <c r="H1017" i="14"/>
  <c r="I1017" i="14"/>
  <c r="J1017" i="14"/>
  <c r="K1017" i="14"/>
  <c r="L1017" i="14"/>
  <c r="M1017" i="14"/>
  <c r="N1017" i="14"/>
  <c r="P1017" i="14"/>
  <c r="U1017" i="14" s="1"/>
  <c r="Q1017" i="14"/>
  <c r="R1017" i="14"/>
  <c r="S1017" i="14" s="1"/>
  <c r="F1018" i="14"/>
  <c r="G1018" i="14"/>
  <c r="H1018" i="14"/>
  <c r="I1018" i="14"/>
  <c r="J1018" i="14"/>
  <c r="K1018" i="14"/>
  <c r="L1018" i="14"/>
  <c r="M1018" i="14"/>
  <c r="N1018" i="14"/>
  <c r="P1018" i="14"/>
  <c r="U1018" i="14" s="1"/>
  <c r="Q1018" i="14"/>
  <c r="R1018" i="14"/>
  <c r="F1019" i="14"/>
  <c r="G1019" i="14"/>
  <c r="H1019" i="14"/>
  <c r="I1019" i="14"/>
  <c r="J1019" i="14"/>
  <c r="K1019" i="14"/>
  <c r="L1019" i="14"/>
  <c r="M1019" i="14"/>
  <c r="N1019" i="14"/>
  <c r="P1019" i="14"/>
  <c r="U1019" i="14" s="1"/>
  <c r="Q1019" i="14"/>
  <c r="R1019" i="14"/>
  <c r="F1020" i="14"/>
  <c r="G1020" i="14"/>
  <c r="H1020" i="14"/>
  <c r="I1020" i="14"/>
  <c r="J1020" i="14"/>
  <c r="K1020" i="14"/>
  <c r="L1020" i="14"/>
  <c r="M1020" i="14"/>
  <c r="N1020" i="14"/>
  <c r="P1020" i="14"/>
  <c r="U1020" i="14" s="1"/>
  <c r="Q1020" i="14"/>
  <c r="R1020" i="14"/>
  <c r="F1021" i="14"/>
  <c r="G1021" i="14"/>
  <c r="H1021" i="14"/>
  <c r="I1021" i="14"/>
  <c r="J1021" i="14"/>
  <c r="K1021" i="14"/>
  <c r="L1021" i="14"/>
  <c r="M1021" i="14"/>
  <c r="N1021" i="14"/>
  <c r="P1021" i="14"/>
  <c r="U1021" i="14" s="1"/>
  <c r="Q1021" i="14"/>
  <c r="R1021" i="14"/>
  <c r="F1022" i="14"/>
  <c r="G1022" i="14"/>
  <c r="H1022" i="14"/>
  <c r="I1022" i="14"/>
  <c r="J1022" i="14"/>
  <c r="K1022" i="14"/>
  <c r="L1022" i="14"/>
  <c r="M1022" i="14"/>
  <c r="N1022" i="14"/>
  <c r="P1022" i="14"/>
  <c r="U1022" i="14" s="1"/>
  <c r="Q1022" i="14"/>
  <c r="R1022" i="14"/>
  <c r="F1023" i="14"/>
  <c r="G1023" i="14"/>
  <c r="H1023" i="14"/>
  <c r="I1023" i="14"/>
  <c r="J1023" i="14"/>
  <c r="K1023" i="14"/>
  <c r="L1023" i="14"/>
  <c r="M1023" i="14"/>
  <c r="N1023" i="14"/>
  <c r="P1023" i="14"/>
  <c r="Q1023" i="14"/>
  <c r="R1023" i="14"/>
  <c r="F1024" i="14"/>
  <c r="G1024" i="14"/>
  <c r="H1024" i="14"/>
  <c r="I1024" i="14"/>
  <c r="J1024" i="14"/>
  <c r="K1024" i="14"/>
  <c r="L1024" i="14"/>
  <c r="M1024" i="14"/>
  <c r="N1024" i="14"/>
  <c r="P1024" i="14"/>
  <c r="U1024" i="14" s="1"/>
  <c r="Q1024" i="14"/>
  <c r="R1024" i="14"/>
  <c r="F1025" i="14"/>
  <c r="G1025" i="14"/>
  <c r="H1025" i="14"/>
  <c r="I1025" i="14"/>
  <c r="J1025" i="14"/>
  <c r="K1025" i="14"/>
  <c r="L1025" i="14"/>
  <c r="M1025" i="14"/>
  <c r="N1025" i="14"/>
  <c r="P1025" i="14"/>
  <c r="U1025" i="14" s="1"/>
  <c r="Q1025" i="14"/>
  <c r="R1025" i="14"/>
  <c r="F1026" i="14"/>
  <c r="G1026" i="14"/>
  <c r="H1026" i="14"/>
  <c r="I1026" i="14"/>
  <c r="J1026" i="14"/>
  <c r="K1026" i="14"/>
  <c r="L1026" i="14"/>
  <c r="M1026" i="14"/>
  <c r="N1026" i="14"/>
  <c r="P1026" i="14"/>
  <c r="U1026" i="14" s="1"/>
  <c r="Q1026" i="14"/>
  <c r="R1026" i="14"/>
  <c r="F1027" i="14"/>
  <c r="G1027" i="14"/>
  <c r="H1027" i="14"/>
  <c r="I1027" i="14"/>
  <c r="J1027" i="14"/>
  <c r="K1027" i="14"/>
  <c r="L1027" i="14"/>
  <c r="M1027" i="14"/>
  <c r="N1027" i="14"/>
  <c r="P1027" i="14"/>
  <c r="U1027" i="14" s="1"/>
  <c r="Q1027" i="14"/>
  <c r="R1027" i="14"/>
  <c r="F1028" i="14"/>
  <c r="G1028" i="14"/>
  <c r="H1028" i="14"/>
  <c r="I1028" i="14"/>
  <c r="J1028" i="14"/>
  <c r="K1028" i="14"/>
  <c r="L1028" i="14"/>
  <c r="M1028" i="14"/>
  <c r="N1028" i="14"/>
  <c r="P1028" i="14"/>
  <c r="U1028" i="14" s="1"/>
  <c r="Q1028" i="14"/>
  <c r="R1028" i="14"/>
  <c r="F1029" i="14"/>
  <c r="G1029" i="14"/>
  <c r="H1029" i="14"/>
  <c r="I1029" i="14"/>
  <c r="J1029" i="14"/>
  <c r="K1029" i="14"/>
  <c r="L1029" i="14"/>
  <c r="M1029" i="14"/>
  <c r="N1029" i="14"/>
  <c r="P1029" i="14"/>
  <c r="U1029" i="14" s="1"/>
  <c r="Q1029" i="14"/>
  <c r="R1029" i="14"/>
  <c r="F1030" i="14"/>
  <c r="G1030" i="14"/>
  <c r="H1030" i="14"/>
  <c r="I1030" i="14"/>
  <c r="J1030" i="14"/>
  <c r="K1030" i="14"/>
  <c r="L1030" i="14"/>
  <c r="M1030" i="14"/>
  <c r="N1030" i="14"/>
  <c r="P1030" i="14"/>
  <c r="U1030" i="14" s="1"/>
  <c r="Q1030" i="14"/>
  <c r="R1030" i="14"/>
  <c r="F1031" i="14"/>
  <c r="G1031" i="14"/>
  <c r="H1031" i="14"/>
  <c r="I1031" i="14"/>
  <c r="J1031" i="14"/>
  <c r="K1031" i="14"/>
  <c r="L1031" i="14"/>
  <c r="M1031" i="14"/>
  <c r="N1031" i="14"/>
  <c r="P1031" i="14"/>
  <c r="U1031" i="14" s="1"/>
  <c r="Q1031" i="14"/>
  <c r="R1031" i="14"/>
  <c r="F1032" i="14"/>
  <c r="G1032" i="14"/>
  <c r="H1032" i="14"/>
  <c r="I1032" i="14"/>
  <c r="J1032" i="14"/>
  <c r="K1032" i="14"/>
  <c r="L1032" i="14"/>
  <c r="M1032" i="14"/>
  <c r="N1032" i="14"/>
  <c r="P1032" i="14"/>
  <c r="U1032" i="14" s="1"/>
  <c r="Q1032" i="14"/>
  <c r="R1032" i="14"/>
  <c r="F1033" i="14"/>
  <c r="G1033" i="14"/>
  <c r="H1033" i="14"/>
  <c r="I1033" i="14"/>
  <c r="J1033" i="14"/>
  <c r="K1033" i="14"/>
  <c r="L1033" i="14"/>
  <c r="M1033" i="14"/>
  <c r="N1033" i="14"/>
  <c r="P1033" i="14"/>
  <c r="U1033" i="14" s="1"/>
  <c r="Q1033" i="14"/>
  <c r="R1033" i="14"/>
  <c r="F1034" i="14"/>
  <c r="G1034" i="14"/>
  <c r="H1034" i="14"/>
  <c r="I1034" i="14"/>
  <c r="J1034" i="14"/>
  <c r="K1034" i="14"/>
  <c r="L1034" i="14"/>
  <c r="M1034" i="14"/>
  <c r="N1034" i="14"/>
  <c r="P1034" i="14"/>
  <c r="U1034" i="14" s="1"/>
  <c r="Q1034" i="14"/>
  <c r="R1034" i="14"/>
  <c r="F1035" i="14"/>
  <c r="G1035" i="14"/>
  <c r="H1035" i="14"/>
  <c r="I1035" i="14"/>
  <c r="J1035" i="14"/>
  <c r="K1035" i="14"/>
  <c r="L1035" i="14"/>
  <c r="M1035" i="14"/>
  <c r="N1035" i="14"/>
  <c r="P1035" i="14"/>
  <c r="U1035" i="14" s="1"/>
  <c r="Q1035" i="14"/>
  <c r="R1035" i="14"/>
  <c r="F1036" i="14"/>
  <c r="G1036" i="14"/>
  <c r="H1036" i="14"/>
  <c r="I1036" i="14"/>
  <c r="J1036" i="14"/>
  <c r="K1036" i="14"/>
  <c r="L1036" i="14"/>
  <c r="M1036" i="14"/>
  <c r="N1036" i="14"/>
  <c r="P1036" i="14"/>
  <c r="U1036" i="14" s="1"/>
  <c r="Q1036" i="14"/>
  <c r="S1036" i="14" s="1"/>
  <c r="R1036" i="14"/>
  <c r="F1037" i="14"/>
  <c r="G1037" i="14"/>
  <c r="H1037" i="14"/>
  <c r="I1037" i="14"/>
  <c r="J1037" i="14"/>
  <c r="K1037" i="14"/>
  <c r="L1037" i="14"/>
  <c r="M1037" i="14"/>
  <c r="N1037" i="14"/>
  <c r="P1037" i="14"/>
  <c r="U1037" i="14" s="1"/>
  <c r="Q1037" i="14"/>
  <c r="R1037" i="14"/>
  <c r="F1038" i="14"/>
  <c r="G1038" i="14"/>
  <c r="H1038" i="14"/>
  <c r="I1038" i="14"/>
  <c r="J1038" i="14"/>
  <c r="K1038" i="14"/>
  <c r="L1038" i="14"/>
  <c r="M1038" i="14"/>
  <c r="N1038" i="14"/>
  <c r="P1038" i="14"/>
  <c r="U1038" i="14" s="1"/>
  <c r="Q1038" i="14"/>
  <c r="R1038" i="14"/>
  <c r="F1039" i="14"/>
  <c r="G1039" i="14"/>
  <c r="H1039" i="14"/>
  <c r="I1039" i="14"/>
  <c r="J1039" i="14"/>
  <c r="K1039" i="14"/>
  <c r="L1039" i="14"/>
  <c r="M1039" i="14"/>
  <c r="N1039" i="14"/>
  <c r="P1039" i="14"/>
  <c r="U1039" i="14" s="1"/>
  <c r="Q1039" i="14"/>
  <c r="R1039" i="14"/>
  <c r="F1040" i="14"/>
  <c r="G1040" i="14"/>
  <c r="H1040" i="14"/>
  <c r="I1040" i="14"/>
  <c r="J1040" i="14"/>
  <c r="K1040" i="14"/>
  <c r="L1040" i="14"/>
  <c r="M1040" i="14"/>
  <c r="N1040" i="14"/>
  <c r="P1040" i="14"/>
  <c r="U1040" i="14" s="1"/>
  <c r="Q1040" i="14"/>
  <c r="R1040" i="14"/>
  <c r="F1041" i="14"/>
  <c r="G1041" i="14"/>
  <c r="H1041" i="14"/>
  <c r="I1041" i="14"/>
  <c r="J1041" i="14"/>
  <c r="K1041" i="14"/>
  <c r="L1041" i="14"/>
  <c r="M1041" i="14"/>
  <c r="N1041" i="14"/>
  <c r="P1041" i="14"/>
  <c r="U1041" i="14" s="1"/>
  <c r="Q1041" i="14"/>
  <c r="R1041" i="14"/>
  <c r="F1042" i="14"/>
  <c r="G1042" i="14"/>
  <c r="H1042" i="14"/>
  <c r="I1042" i="14"/>
  <c r="J1042" i="14"/>
  <c r="K1042" i="14"/>
  <c r="L1042" i="14"/>
  <c r="M1042" i="14"/>
  <c r="N1042" i="14"/>
  <c r="P1042" i="14"/>
  <c r="U1042" i="14" s="1"/>
  <c r="Q1042" i="14"/>
  <c r="R1042" i="14"/>
  <c r="F1043" i="14"/>
  <c r="G1043" i="14"/>
  <c r="H1043" i="14"/>
  <c r="I1043" i="14"/>
  <c r="J1043" i="14"/>
  <c r="K1043" i="14"/>
  <c r="L1043" i="14"/>
  <c r="M1043" i="14"/>
  <c r="N1043" i="14"/>
  <c r="P1043" i="14"/>
  <c r="U1043" i="14" s="1"/>
  <c r="Q1043" i="14"/>
  <c r="R1043" i="14"/>
  <c r="F1044" i="14"/>
  <c r="G1044" i="14"/>
  <c r="H1044" i="14"/>
  <c r="I1044" i="14"/>
  <c r="J1044" i="14"/>
  <c r="K1044" i="14"/>
  <c r="L1044" i="14"/>
  <c r="M1044" i="14"/>
  <c r="N1044" i="14"/>
  <c r="P1044" i="14"/>
  <c r="U1044" i="14" s="1"/>
  <c r="Q1044" i="14"/>
  <c r="R1044" i="14"/>
  <c r="F1045" i="14"/>
  <c r="G1045" i="14"/>
  <c r="H1045" i="14"/>
  <c r="I1045" i="14"/>
  <c r="J1045" i="14"/>
  <c r="K1045" i="14"/>
  <c r="L1045" i="14"/>
  <c r="M1045" i="14"/>
  <c r="N1045" i="14"/>
  <c r="P1045" i="14"/>
  <c r="U1045" i="14" s="1"/>
  <c r="Q1045" i="14"/>
  <c r="R1045" i="14"/>
  <c r="F1046" i="14"/>
  <c r="G1046" i="14"/>
  <c r="H1046" i="14"/>
  <c r="I1046" i="14"/>
  <c r="J1046" i="14"/>
  <c r="K1046" i="14"/>
  <c r="L1046" i="14"/>
  <c r="M1046" i="14"/>
  <c r="N1046" i="14"/>
  <c r="P1046" i="14"/>
  <c r="U1046" i="14" s="1"/>
  <c r="Q1046" i="14"/>
  <c r="R1046" i="14"/>
  <c r="F1047" i="14"/>
  <c r="G1047" i="14"/>
  <c r="H1047" i="14"/>
  <c r="I1047" i="14"/>
  <c r="J1047" i="14"/>
  <c r="K1047" i="14"/>
  <c r="L1047" i="14"/>
  <c r="M1047" i="14"/>
  <c r="N1047" i="14"/>
  <c r="P1047" i="14"/>
  <c r="U1047" i="14" s="1"/>
  <c r="Q1047" i="14"/>
  <c r="R1047" i="14"/>
  <c r="F1048" i="14"/>
  <c r="G1048" i="14"/>
  <c r="H1048" i="14"/>
  <c r="I1048" i="14"/>
  <c r="J1048" i="14"/>
  <c r="K1048" i="14"/>
  <c r="L1048" i="14"/>
  <c r="M1048" i="14"/>
  <c r="N1048" i="14"/>
  <c r="P1048" i="14"/>
  <c r="U1048" i="14" s="1"/>
  <c r="Q1048" i="14"/>
  <c r="R1048" i="14"/>
  <c r="F1049" i="14"/>
  <c r="G1049" i="14"/>
  <c r="H1049" i="14"/>
  <c r="I1049" i="14"/>
  <c r="J1049" i="14"/>
  <c r="K1049" i="14"/>
  <c r="L1049" i="14"/>
  <c r="M1049" i="14"/>
  <c r="N1049" i="14"/>
  <c r="P1049" i="14"/>
  <c r="U1049" i="14" s="1"/>
  <c r="Q1049" i="14"/>
  <c r="R1049" i="14"/>
  <c r="F1050" i="14"/>
  <c r="G1050" i="14"/>
  <c r="H1050" i="14"/>
  <c r="I1050" i="14"/>
  <c r="J1050" i="14"/>
  <c r="K1050" i="14"/>
  <c r="L1050" i="14"/>
  <c r="M1050" i="14"/>
  <c r="N1050" i="14"/>
  <c r="P1050" i="14"/>
  <c r="U1050" i="14" s="1"/>
  <c r="Q1050" i="14"/>
  <c r="R1050" i="14"/>
  <c r="F1051" i="14"/>
  <c r="G1051" i="14"/>
  <c r="H1051" i="14"/>
  <c r="I1051" i="14"/>
  <c r="J1051" i="14"/>
  <c r="K1051" i="14"/>
  <c r="L1051" i="14"/>
  <c r="M1051" i="14"/>
  <c r="N1051" i="14"/>
  <c r="P1051" i="14"/>
  <c r="U1051" i="14" s="1"/>
  <c r="Q1051" i="14"/>
  <c r="R1051" i="14"/>
  <c r="F1052" i="14"/>
  <c r="G1052" i="14"/>
  <c r="H1052" i="14"/>
  <c r="I1052" i="14"/>
  <c r="J1052" i="14"/>
  <c r="K1052" i="14"/>
  <c r="L1052" i="14"/>
  <c r="M1052" i="14"/>
  <c r="N1052" i="14"/>
  <c r="P1052" i="14"/>
  <c r="U1052" i="14" s="1"/>
  <c r="Q1052" i="14"/>
  <c r="R1052" i="14"/>
  <c r="F1053" i="14"/>
  <c r="G1053" i="14"/>
  <c r="H1053" i="14"/>
  <c r="I1053" i="14"/>
  <c r="J1053" i="14"/>
  <c r="K1053" i="14"/>
  <c r="L1053" i="14"/>
  <c r="M1053" i="14"/>
  <c r="N1053" i="14"/>
  <c r="P1053" i="14"/>
  <c r="U1053" i="14" s="1"/>
  <c r="Q1053" i="14"/>
  <c r="R1053" i="14"/>
  <c r="F1054" i="14"/>
  <c r="G1054" i="14"/>
  <c r="H1054" i="14"/>
  <c r="I1054" i="14"/>
  <c r="J1054" i="14"/>
  <c r="K1054" i="14"/>
  <c r="L1054" i="14"/>
  <c r="M1054" i="14"/>
  <c r="N1054" i="14"/>
  <c r="P1054" i="14"/>
  <c r="U1054" i="14" s="1"/>
  <c r="Q1054" i="14"/>
  <c r="R1054" i="14"/>
  <c r="F1055" i="14"/>
  <c r="G1055" i="14"/>
  <c r="H1055" i="14"/>
  <c r="I1055" i="14"/>
  <c r="J1055" i="14"/>
  <c r="K1055" i="14"/>
  <c r="L1055" i="14"/>
  <c r="M1055" i="14"/>
  <c r="N1055" i="14"/>
  <c r="P1055" i="14"/>
  <c r="U1055" i="14" s="1"/>
  <c r="Q1055" i="14"/>
  <c r="R1055" i="14"/>
  <c r="F1056" i="14"/>
  <c r="G1056" i="14"/>
  <c r="H1056" i="14"/>
  <c r="I1056" i="14"/>
  <c r="J1056" i="14"/>
  <c r="K1056" i="14"/>
  <c r="L1056" i="14"/>
  <c r="M1056" i="14"/>
  <c r="N1056" i="14"/>
  <c r="P1056" i="14"/>
  <c r="U1056" i="14" s="1"/>
  <c r="Q1056" i="14"/>
  <c r="S1056" i="14" s="1"/>
  <c r="R1056" i="14"/>
  <c r="F1057" i="14"/>
  <c r="G1057" i="14"/>
  <c r="H1057" i="14"/>
  <c r="I1057" i="14"/>
  <c r="J1057" i="14"/>
  <c r="K1057" i="14"/>
  <c r="L1057" i="14"/>
  <c r="M1057" i="14"/>
  <c r="N1057" i="14"/>
  <c r="P1057" i="14"/>
  <c r="U1057" i="14" s="1"/>
  <c r="Q1057" i="14"/>
  <c r="R1057" i="14"/>
  <c r="F1058" i="14"/>
  <c r="G1058" i="14"/>
  <c r="H1058" i="14"/>
  <c r="I1058" i="14"/>
  <c r="J1058" i="14"/>
  <c r="K1058" i="14"/>
  <c r="L1058" i="14"/>
  <c r="M1058" i="14"/>
  <c r="N1058" i="14"/>
  <c r="P1058" i="14"/>
  <c r="U1058" i="14" s="1"/>
  <c r="Q1058" i="14"/>
  <c r="R1058" i="14"/>
  <c r="F1059" i="14"/>
  <c r="G1059" i="14"/>
  <c r="H1059" i="14"/>
  <c r="I1059" i="14"/>
  <c r="J1059" i="14"/>
  <c r="K1059" i="14"/>
  <c r="L1059" i="14"/>
  <c r="M1059" i="14"/>
  <c r="N1059" i="14"/>
  <c r="P1059" i="14"/>
  <c r="U1059" i="14" s="1"/>
  <c r="Q1059" i="14"/>
  <c r="R1059" i="14"/>
  <c r="F1060" i="14"/>
  <c r="G1060" i="14"/>
  <c r="H1060" i="14"/>
  <c r="I1060" i="14"/>
  <c r="J1060" i="14"/>
  <c r="K1060" i="14"/>
  <c r="L1060" i="14"/>
  <c r="M1060" i="14"/>
  <c r="N1060" i="14"/>
  <c r="P1060" i="14"/>
  <c r="U1060" i="14" s="1"/>
  <c r="Q1060" i="14"/>
  <c r="R1060" i="14"/>
  <c r="F1061" i="14"/>
  <c r="G1061" i="14"/>
  <c r="H1061" i="14"/>
  <c r="I1061" i="14"/>
  <c r="J1061" i="14"/>
  <c r="K1061" i="14"/>
  <c r="L1061" i="14"/>
  <c r="M1061" i="14"/>
  <c r="N1061" i="14"/>
  <c r="P1061" i="14"/>
  <c r="U1061" i="14" s="1"/>
  <c r="Q1061" i="14"/>
  <c r="R1061" i="14"/>
  <c r="F1062" i="14"/>
  <c r="G1062" i="14"/>
  <c r="H1062" i="14"/>
  <c r="I1062" i="14"/>
  <c r="J1062" i="14"/>
  <c r="K1062" i="14"/>
  <c r="L1062" i="14"/>
  <c r="M1062" i="14"/>
  <c r="N1062" i="14"/>
  <c r="P1062" i="14"/>
  <c r="U1062" i="14" s="1"/>
  <c r="Q1062" i="14"/>
  <c r="R1062" i="14"/>
  <c r="F1063" i="14"/>
  <c r="G1063" i="14"/>
  <c r="H1063" i="14"/>
  <c r="I1063" i="14"/>
  <c r="J1063" i="14"/>
  <c r="K1063" i="14"/>
  <c r="L1063" i="14"/>
  <c r="M1063" i="14"/>
  <c r="N1063" i="14"/>
  <c r="P1063" i="14"/>
  <c r="U1063" i="14" s="1"/>
  <c r="Q1063" i="14"/>
  <c r="R1063" i="14"/>
  <c r="F1064" i="14"/>
  <c r="G1064" i="14"/>
  <c r="H1064" i="14"/>
  <c r="I1064" i="14"/>
  <c r="J1064" i="14"/>
  <c r="K1064" i="14"/>
  <c r="L1064" i="14"/>
  <c r="M1064" i="14"/>
  <c r="N1064" i="14"/>
  <c r="P1064" i="14"/>
  <c r="U1064" i="14" s="1"/>
  <c r="Q1064" i="14"/>
  <c r="R1064" i="14"/>
  <c r="F1065" i="14"/>
  <c r="G1065" i="14"/>
  <c r="H1065" i="14"/>
  <c r="I1065" i="14"/>
  <c r="J1065" i="14"/>
  <c r="K1065" i="14"/>
  <c r="L1065" i="14"/>
  <c r="M1065" i="14"/>
  <c r="N1065" i="14"/>
  <c r="P1065" i="14"/>
  <c r="U1065" i="14" s="1"/>
  <c r="Q1065" i="14"/>
  <c r="R1065" i="14"/>
  <c r="F1066" i="14"/>
  <c r="G1066" i="14"/>
  <c r="H1066" i="14"/>
  <c r="I1066" i="14"/>
  <c r="J1066" i="14"/>
  <c r="K1066" i="14"/>
  <c r="L1066" i="14"/>
  <c r="M1066" i="14"/>
  <c r="N1066" i="14"/>
  <c r="P1066" i="14"/>
  <c r="U1066" i="14" s="1"/>
  <c r="Q1066" i="14"/>
  <c r="R1066" i="14"/>
  <c r="F1067" i="14"/>
  <c r="G1067" i="14"/>
  <c r="H1067" i="14"/>
  <c r="I1067" i="14"/>
  <c r="J1067" i="14"/>
  <c r="K1067" i="14"/>
  <c r="L1067" i="14"/>
  <c r="M1067" i="14"/>
  <c r="N1067" i="14"/>
  <c r="P1067" i="14"/>
  <c r="U1067" i="14" s="1"/>
  <c r="Q1067" i="14"/>
  <c r="R1067" i="14"/>
  <c r="F1068" i="14"/>
  <c r="G1068" i="14"/>
  <c r="H1068" i="14"/>
  <c r="I1068" i="14"/>
  <c r="J1068" i="14"/>
  <c r="K1068" i="14"/>
  <c r="L1068" i="14"/>
  <c r="M1068" i="14"/>
  <c r="N1068" i="14"/>
  <c r="P1068" i="14"/>
  <c r="U1068" i="14" s="1"/>
  <c r="Q1068" i="14"/>
  <c r="R1068" i="14"/>
  <c r="F1069" i="14"/>
  <c r="G1069" i="14"/>
  <c r="H1069" i="14"/>
  <c r="I1069" i="14"/>
  <c r="J1069" i="14"/>
  <c r="K1069" i="14"/>
  <c r="L1069" i="14"/>
  <c r="M1069" i="14"/>
  <c r="N1069" i="14"/>
  <c r="P1069" i="14"/>
  <c r="U1069" i="14" s="1"/>
  <c r="Q1069" i="14"/>
  <c r="R1069" i="14"/>
  <c r="F1070" i="14"/>
  <c r="G1070" i="14"/>
  <c r="H1070" i="14"/>
  <c r="I1070" i="14"/>
  <c r="J1070" i="14"/>
  <c r="K1070" i="14"/>
  <c r="L1070" i="14"/>
  <c r="M1070" i="14"/>
  <c r="N1070" i="14"/>
  <c r="P1070" i="14"/>
  <c r="U1070" i="14" s="1"/>
  <c r="Q1070" i="14"/>
  <c r="R1070" i="14"/>
  <c r="F1071" i="14"/>
  <c r="G1071" i="14"/>
  <c r="H1071" i="14"/>
  <c r="I1071" i="14"/>
  <c r="J1071" i="14"/>
  <c r="K1071" i="14"/>
  <c r="L1071" i="14"/>
  <c r="M1071" i="14"/>
  <c r="N1071" i="14"/>
  <c r="P1071" i="14"/>
  <c r="U1071" i="14" s="1"/>
  <c r="Q1071" i="14"/>
  <c r="R1071" i="14"/>
  <c r="F1072" i="14"/>
  <c r="G1072" i="14"/>
  <c r="H1072" i="14"/>
  <c r="I1072" i="14"/>
  <c r="J1072" i="14"/>
  <c r="K1072" i="14"/>
  <c r="L1072" i="14"/>
  <c r="M1072" i="14"/>
  <c r="N1072" i="14"/>
  <c r="P1072" i="14"/>
  <c r="U1072" i="14" s="1"/>
  <c r="Q1072" i="14"/>
  <c r="R1072" i="14"/>
  <c r="F1073" i="14"/>
  <c r="G1073" i="14"/>
  <c r="H1073" i="14"/>
  <c r="I1073" i="14"/>
  <c r="J1073" i="14"/>
  <c r="K1073" i="14"/>
  <c r="L1073" i="14"/>
  <c r="M1073" i="14"/>
  <c r="N1073" i="14"/>
  <c r="P1073" i="14"/>
  <c r="U1073" i="14" s="1"/>
  <c r="Q1073" i="14"/>
  <c r="R1073" i="14"/>
  <c r="F1074" i="14"/>
  <c r="G1074" i="14"/>
  <c r="H1074" i="14"/>
  <c r="I1074" i="14"/>
  <c r="J1074" i="14"/>
  <c r="K1074" i="14"/>
  <c r="L1074" i="14"/>
  <c r="M1074" i="14"/>
  <c r="N1074" i="14"/>
  <c r="P1074" i="14"/>
  <c r="U1074" i="14" s="1"/>
  <c r="Q1074" i="14"/>
  <c r="R1074" i="14"/>
  <c r="F1075" i="14"/>
  <c r="G1075" i="14"/>
  <c r="H1075" i="14"/>
  <c r="I1075" i="14"/>
  <c r="J1075" i="14"/>
  <c r="K1075" i="14"/>
  <c r="L1075" i="14"/>
  <c r="M1075" i="14"/>
  <c r="N1075" i="14"/>
  <c r="P1075" i="14"/>
  <c r="U1075" i="14" s="1"/>
  <c r="Q1075" i="14"/>
  <c r="R1075" i="14"/>
  <c r="F1076" i="14"/>
  <c r="G1076" i="14"/>
  <c r="H1076" i="14"/>
  <c r="I1076" i="14"/>
  <c r="J1076" i="14"/>
  <c r="K1076" i="14"/>
  <c r="L1076" i="14"/>
  <c r="M1076" i="14"/>
  <c r="N1076" i="14"/>
  <c r="P1076" i="14"/>
  <c r="U1076" i="14" s="1"/>
  <c r="Q1076" i="14"/>
  <c r="R1076" i="14"/>
  <c r="F1077" i="14"/>
  <c r="G1077" i="14"/>
  <c r="H1077" i="14"/>
  <c r="I1077" i="14"/>
  <c r="J1077" i="14"/>
  <c r="K1077" i="14"/>
  <c r="L1077" i="14"/>
  <c r="M1077" i="14"/>
  <c r="N1077" i="14"/>
  <c r="P1077" i="14"/>
  <c r="U1077" i="14" s="1"/>
  <c r="Q1077" i="14"/>
  <c r="R1077" i="14"/>
  <c r="F1078" i="14"/>
  <c r="G1078" i="14"/>
  <c r="H1078" i="14"/>
  <c r="I1078" i="14"/>
  <c r="J1078" i="14"/>
  <c r="K1078" i="14"/>
  <c r="L1078" i="14"/>
  <c r="M1078" i="14"/>
  <c r="N1078" i="14"/>
  <c r="P1078" i="14"/>
  <c r="U1078" i="14" s="1"/>
  <c r="Q1078" i="14"/>
  <c r="R1078" i="14"/>
  <c r="F1079" i="14"/>
  <c r="G1079" i="14"/>
  <c r="H1079" i="14"/>
  <c r="I1079" i="14"/>
  <c r="J1079" i="14"/>
  <c r="K1079" i="14"/>
  <c r="L1079" i="14"/>
  <c r="M1079" i="14"/>
  <c r="N1079" i="14"/>
  <c r="P1079" i="14"/>
  <c r="U1079" i="14" s="1"/>
  <c r="Q1079" i="14"/>
  <c r="S1079" i="14" s="1"/>
  <c r="R1079" i="14"/>
  <c r="F1080" i="14"/>
  <c r="G1080" i="14"/>
  <c r="H1080" i="14"/>
  <c r="I1080" i="14"/>
  <c r="J1080" i="14"/>
  <c r="K1080" i="14"/>
  <c r="L1080" i="14"/>
  <c r="M1080" i="14"/>
  <c r="N1080" i="14"/>
  <c r="P1080" i="14"/>
  <c r="U1080" i="14" s="1"/>
  <c r="Q1080" i="14"/>
  <c r="R1080" i="14"/>
  <c r="F1081" i="14"/>
  <c r="G1081" i="14"/>
  <c r="H1081" i="14"/>
  <c r="I1081" i="14"/>
  <c r="J1081" i="14"/>
  <c r="K1081" i="14"/>
  <c r="L1081" i="14"/>
  <c r="M1081" i="14"/>
  <c r="N1081" i="14"/>
  <c r="P1081" i="14"/>
  <c r="U1081" i="14" s="1"/>
  <c r="Q1081" i="14"/>
  <c r="R1081" i="14"/>
  <c r="F1082" i="14"/>
  <c r="G1082" i="14"/>
  <c r="H1082" i="14"/>
  <c r="I1082" i="14"/>
  <c r="J1082" i="14"/>
  <c r="K1082" i="14"/>
  <c r="L1082" i="14"/>
  <c r="M1082" i="14"/>
  <c r="N1082" i="14"/>
  <c r="P1082" i="14"/>
  <c r="U1082" i="14" s="1"/>
  <c r="Q1082" i="14"/>
  <c r="R1082" i="14"/>
  <c r="F1083" i="14"/>
  <c r="G1083" i="14"/>
  <c r="H1083" i="14"/>
  <c r="I1083" i="14"/>
  <c r="J1083" i="14"/>
  <c r="K1083" i="14"/>
  <c r="L1083" i="14"/>
  <c r="M1083" i="14"/>
  <c r="N1083" i="14"/>
  <c r="P1083" i="14"/>
  <c r="U1083" i="14" s="1"/>
  <c r="Q1083" i="14"/>
  <c r="R1083" i="14"/>
  <c r="F1084" i="14"/>
  <c r="G1084" i="14"/>
  <c r="H1084" i="14"/>
  <c r="I1084" i="14"/>
  <c r="J1084" i="14"/>
  <c r="K1084" i="14"/>
  <c r="L1084" i="14"/>
  <c r="M1084" i="14"/>
  <c r="N1084" i="14"/>
  <c r="P1084" i="14"/>
  <c r="U1084" i="14" s="1"/>
  <c r="Q1084" i="14"/>
  <c r="R1084" i="14"/>
  <c r="F1085" i="14"/>
  <c r="G1085" i="14"/>
  <c r="H1085" i="14"/>
  <c r="I1085" i="14"/>
  <c r="J1085" i="14"/>
  <c r="K1085" i="14"/>
  <c r="L1085" i="14"/>
  <c r="M1085" i="14"/>
  <c r="N1085" i="14"/>
  <c r="P1085" i="14"/>
  <c r="U1085" i="14" s="1"/>
  <c r="Q1085" i="14"/>
  <c r="R1085" i="14"/>
  <c r="F1086" i="14"/>
  <c r="G1086" i="14"/>
  <c r="H1086" i="14"/>
  <c r="I1086" i="14"/>
  <c r="J1086" i="14"/>
  <c r="K1086" i="14"/>
  <c r="L1086" i="14"/>
  <c r="M1086" i="14"/>
  <c r="N1086" i="14"/>
  <c r="P1086" i="14"/>
  <c r="U1086" i="14" s="1"/>
  <c r="Q1086" i="14"/>
  <c r="R1086" i="14"/>
  <c r="F1087" i="14"/>
  <c r="G1087" i="14"/>
  <c r="H1087" i="14"/>
  <c r="I1087" i="14"/>
  <c r="J1087" i="14"/>
  <c r="K1087" i="14"/>
  <c r="L1087" i="14"/>
  <c r="M1087" i="14"/>
  <c r="N1087" i="14"/>
  <c r="P1087" i="14"/>
  <c r="U1087" i="14" s="1"/>
  <c r="Q1087" i="14"/>
  <c r="R1087" i="14"/>
  <c r="F1088" i="14"/>
  <c r="G1088" i="14"/>
  <c r="H1088" i="14"/>
  <c r="I1088" i="14"/>
  <c r="J1088" i="14"/>
  <c r="K1088" i="14"/>
  <c r="L1088" i="14"/>
  <c r="M1088" i="14"/>
  <c r="N1088" i="14"/>
  <c r="P1088" i="14"/>
  <c r="U1088" i="14" s="1"/>
  <c r="Q1088" i="14"/>
  <c r="R1088" i="14"/>
  <c r="F1089" i="14"/>
  <c r="G1089" i="14"/>
  <c r="H1089" i="14"/>
  <c r="I1089" i="14"/>
  <c r="J1089" i="14"/>
  <c r="K1089" i="14"/>
  <c r="L1089" i="14"/>
  <c r="M1089" i="14"/>
  <c r="N1089" i="14"/>
  <c r="P1089" i="14"/>
  <c r="U1089" i="14" s="1"/>
  <c r="Q1089" i="14"/>
  <c r="R1089" i="14"/>
  <c r="F1090" i="14"/>
  <c r="G1090" i="14"/>
  <c r="H1090" i="14"/>
  <c r="I1090" i="14"/>
  <c r="J1090" i="14"/>
  <c r="K1090" i="14"/>
  <c r="L1090" i="14"/>
  <c r="M1090" i="14"/>
  <c r="N1090" i="14"/>
  <c r="P1090" i="14"/>
  <c r="U1090" i="14" s="1"/>
  <c r="Q1090" i="14"/>
  <c r="R1090" i="14"/>
  <c r="F1091" i="14"/>
  <c r="G1091" i="14"/>
  <c r="H1091" i="14"/>
  <c r="I1091" i="14"/>
  <c r="J1091" i="14"/>
  <c r="K1091" i="14"/>
  <c r="L1091" i="14"/>
  <c r="M1091" i="14"/>
  <c r="N1091" i="14"/>
  <c r="P1091" i="14"/>
  <c r="U1091" i="14" s="1"/>
  <c r="Q1091" i="14"/>
  <c r="R1091" i="14"/>
  <c r="F1092" i="14"/>
  <c r="G1092" i="14"/>
  <c r="H1092" i="14"/>
  <c r="I1092" i="14"/>
  <c r="J1092" i="14"/>
  <c r="K1092" i="14"/>
  <c r="L1092" i="14"/>
  <c r="M1092" i="14"/>
  <c r="N1092" i="14"/>
  <c r="P1092" i="14"/>
  <c r="U1092" i="14" s="1"/>
  <c r="Q1092" i="14"/>
  <c r="R1092" i="14"/>
  <c r="F1093" i="14"/>
  <c r="G1093" i="14"/>
  <c r="H1093" i="14"/>
  <c r="I1093" i="14"/>
  <c r="J1093" i="14"/>
  <c r="K1093" i="14"/>
  <c r="L1093" i="14"/>
  <c r="M1093" i="14"/>
  <c r="N1093" i="14"/>
  <c r="P1093" i="14"/>
  <c r="U1093" i="14" s="1"/>
  <c r="Q1093" i="14"/>
  <c r="R1093" i="14"/>
  <c r="F1094" i="14"/>
  <c r="G1094" i="14"/>
  <c r="H1094" i="14"/>
  <c r="I1094" i="14"/>
  <c r="J1094" i="14"/>
  <c r="K1094" i="14"/>
  <c r="L1094" i="14"/>
  <c r="M1094" i="14"/>
  <c r="N1094" i="14"/>
  <c r="P1094" i="14"/>
  <c r="U1094" i="14" s="1"/>
  <c r="Q1094" i="14"/>
  <c r="R1094" i="14"/>
  <c r="F1095" i="14"/>
  <c r="G1095" i="14"/>
  <c r="H1095" i="14"/>
  <c r="I1095" i="14"/>
  <c r="J1095" i="14"/>
  <c r="K1095" i="14"/>
  <c r="L1095" i="14"/>
  <c r="M1095" i="14"/>
  <c r="N1095" i="14"/>
  <c r="P1095" i="14"/>
  <c r="U1095" i="14" s="1"/>
  <c r="Q1095" i="14"/>
  <c r="R1095" i="14"/>
  <c r="F1096" i="14"/>
  <c r="G1096" i="14"/>
  <c r="H1096" i="14"/>
  <c r="I1096" i="14"/>
  <c r="J1096" i="14"/>
  <c r="K1096" i="14"/>
  <c r="L1096" i="14"/>
  <c r="M1096" i="14"/>
  <c r="N1096" i="14"/>
  <c r="P1096" i="14"/>
  <c r="U1096" i="14" s="1"/>
  <c r="Q1096" i="14"/>
  <c r="R1096" i="14"/>
  <c r="F1097" i="14"/>
  <c r="G1097" i="14"/>
  <c r="H1097" i="14"/>
  <c r="I1097" i="14"/>
  <c r="J1097" i="14"/>
  <c r="K1097" i="14"/>
  <c r="L1097" i="14"/>
  <c r="M1097" i="14"/>
  <c r="N1097" i="14"/>
  <c r="P1097" i="14"/>
  <c r="U1097" i="14" s="1"/>
  <c r="Q1097" i="14"/>
  <c r="R1097" i="14"/>
  <c r="F1098" i="14"/>
  <c r="G1098" i="14"/>
  <c r="H1098" i="14"/>
  <c r="I1098" i="14"/>
  <c r="J1098" i="14"/>
  <c r="K1098" i="14"/>
  <c r="L1098" i="14"/>
  <c r="M1098" i="14"/>
  <c r="N1098" i="14"/>
  <c r="P1098" i="14"/>
  <c r="U1098" i="14" s="1"/>
  <c r="Q1098" i="14"/>
  <c r="R1098" i="14"/>
  <c r="F1099" i="14"/>
  <c r="G1099" i="14"/>
  <c r="H1099" i="14"/>
  <c r="I1099" i="14"/>
  <c r="J1099" i="14"/>
  <c r="K1099" i="14"/>
  <c r="L1099" i="14"/>
  <c r="M1099" i="14"/>
  <c r="N1099" i="14"/>
  <c r="P1099" i="14"/>
  <c r="U1099" i="14" s="1"/>
  <c r="Q1099" i="14"/>
  <c r="R1099" i="14"/>
  <c r="F1100" i="14"/>
  <c r="G1100" i="14"/>
  <c r="H1100" i="14"/>
  <c r="I1100" i="14"/>
  <c r="J1100" i="14"/>
  <c r="K1100" i="14"/>
  <c r="L1100" i="14"/>
  <c r="M1100" i="14"/>
  <c r="N1100" i="14"/>
  <c r="P1100" i="14"/>
  <c r="Q1100" i="14"/>
  <c r="R1100" i="14"/>
  <c r="F1101" i="14"/>
  <c r="G1101" i="14"/>
  <c r="H1101" i="14"/>
  <c r="I1101" i="14"/>
  <c r="J1101" i="14"/>
  <c r="K1101" i="14"/>
  <c r="L1101" i="14"/>
  <c r="M1101" i="14"/>
  <c r="N1101" i="14"/>
  <c r="P1101" i="14"/>
  <c r="Q1101" i="14"/>
  <c r="R1101" i="14"/>
  <c r="F1102" i="14"/>
  <c r="G1102" i="14"/>
  <c r="H1102" i="14"/>
  <c r="I1102" i="14"/>
  <c r="J1102" i="14"/>
  <c r="K1102" i="14"/>
  <c r="L1102" i="14"/>
  <c r="M1102" i="14"/>
  <c r="N1102" i="14"/>
  <c r="P1102" i="14"/>
  <c r="Q1102" i="14"/>
  <c r="R1102" i="14"/>
  <c r="F1103" i="14"/>
  <c r="G1103" i="14"/>
  <c r="H1103" i="14"/>
  <c r="I1103" i="14"/>
  <c r="J1103" i="14"/>
  <c r="K1103" i="14"/>
  <c r="L1103" i="14"/>
  <c r="M1103" i="14"/>
  <c r="N1103" i="14"/>
  <c r="P1103" i="14"/>
  <c r="Q1103" i="14"/>
  <c r="R1103" i="14"/>
  <c r="F1104" i="14"/>
  <c r="G1104" i="14"/>
  <c r="H1104" i="14"/>
  <c r="I1104" i="14"/>
  <c r="J1104" i="14"/>
  <c r="K1104" i="14"/>
  <c r="L1104" i="14"/>
  <c r="M1104" i="14"/>
  <c r="N1104" i="14"/>
  <c r="P1104" i="14"/>
  <c r="Q1104" i="14"/>
  <c r="R1104" i="14"/>
  <c r="F1105" i="14"/>
  <c r="G1105" i="14"/>
  <c r="H1105" i="14"/>
  <c r="I1105" i="14"/>
  <c r="J1105" i="14"/>
  <c r="K1105" i="14"/>
  <c r="L1105" i="14"/>
  <c r="M1105" i="14"/>
  <c r="N1105" i="14"/>
  <c r="P1105" i="14"/>
  <c r="Q1105" i="14"/>
  <c r="R1105" i="14"/>
  <c r="F1106" i="14"/>
  <c r="G1106" i="14"/>
  <c r="H1106" i="14"/>
  <c r="I1106" i="14"/>
  <c r="J1106" i="14"/>
  <c r="K1106" i="14"/>
  <c r="L1106" i="14"/>
  <c r="M1106" i="14"/>
  <c r="N1106" i="14"/>
  <c r="P1106" i="14"/>
  <c r="Q1106" i="14"/>
  <c r="R1106" i="14"/>
  <c r="F1107" i="14"/>
  <c r="G1107" i="14"/>
  <c r="H1107" i="14"/>
  <c r="I1107" i="14"/>
  <c r="J1107" i="14"/>
  <c r="K1107" i="14"/>
  <c r="L1107" i="14"/>
  <c r="M1107" i="14"/>
  <c r="N1107" i="14"/>
  <c r="P1107" i="14"/>
  <c r="Q1107" i="14"/>
  <c r="R1107" i="14"/>
  <c r="F1108" i="14"/>
  <c r="G1108" i="14"/>
  <c r="H1108" i="14"/>
  <c r="I1108" i="14"/>
  <c r="J1108" i="14"/>
  <c r="K1108" i="14"/>
  <c r="L1108" i="14"/>
  <c r="M1108" i="14"/>
  <c r="N1108" i="14"/>
  <c r="P1108" i="14"/>
  <c r="Q1108" i="14"/>
  <c r="R1108" i="14"/>
  <c r="F1109" i="14"/>
  <c r="G1109" i="14"/>
  <c r="H1109" i="14"/>
  <c r="I1109" i="14"/>
  <c r="J1109" i="14"/>
  <c r="K1109" i="14"/>
  <c r="L1109" i="14"/>
  <c r="M1109" i="14"/>
  <c r="N1109" i="14"/>
  <c r="P1109" i="14"/>
  <c r="Q1109" i="14"/>
  <c r="R1109" i="14"/>
  <c r="F1110" i="14"/>
  <c r="G1110" i="14"/>
  <c r="H1110" i="14"/>
  <c r="I1110" i="14"/>
  <c r="J1110" i="14"/>
  <c r="K1110" i="14"/>
  <c r="L1110" i="14"/>
  <c r="M1110" i="14"/>
  <c r="N1110" i="14"/>
  <c r="P1110" i="14"/>
  <c r="Q1110" i="14"/>
  <c r="R1110" i="14"/>
  <c r="F1111" i="14"/>
  <c r="G1111" i="14"/>
  <c r="H1111" i="14"/>
  <c r="I1111" i="14"/>
  <c r="J1111" i="14"/>
  <c r="K1111" i="14"/>
  <c r="L1111" i="14"/>
  <c r="M1111" i="14"/>
  <c r="N1111" i="14"/>
  <c r="P1111" i="14"/>
  <c r="Q1111" i="14"/>
  <c r="R1111" i="14"/>
  <c r="F1112" i="14"/>
  <c r="G1112" i="14"/>
  <c r="H1112" i="14"/>
  <c r="I1112" i="14"/>
  <c r="J1112" i="14"/>
  <c r="K1112" i="14"/>
  <c r="L1112" i="14"/>
  <c r="M1112" i="14"/>
  <c r="N1112" i="14"/>
  <c r="P1112" i="14"/>
  <c r="Q1112" i="14"/>
  <c r="R1112" i="14"/>
  <c r="F1113" i="14"/>
  <c r="G1113" i="14"/>
  <c r="H1113" i="14"/>
  <c r="I1113" i="14"/>
  <c r="J1113" i="14"/>
  <c r="K1113" i="14"/>
  <c r="L1113" i="14"/>
  <c r="M1113" i="14"/>
  <c r="N1113" i="14"/>
  <c r="P1113" i="14"/>
  <c r="Q1113" i="14"/>
  <c r="R1113" i="14"/>
  <c r="F1114" i="14"/>
  <c r="G1114" i="14"/>
  <c r="H1114" i="14"/>
  <c r="I1114" i="14"/>
  <c r="J1114" i="14"/>
  <c r="K1114" i="14"/>
  <c r="L1114" i="14"/>
  <c r="M1114" i="14"/>
  <c r="N1114" i="14"/>
  <c r="P1114" i="14"/>
  <c r="Q1114" i="14"/>
  <c r="R1114" i="14"/>
  <c r="F1115" i="14"/>
  <c r="G1115" i="14"/>
  <c r="H1115" i="14"/>
  <c r="I1115" i="14"/>
  <c r="J1115" i="14"/>
  <c r="K1115" i="14"/>
  <c r="L1115" i="14"/>
  <c r="M1115" i="14"/>
  <c r="N1115" i="14"/>
  <c r="P1115" i="14"/>
  <c r="Q1115" i="14"/>
  <c r="R1115" i="14"/>
  <c r="F1116" i="14"/>
  <c r="G1116" i="14"/>
  <c r="H1116" i="14"/>
  <c r="I1116" i="14"/>
  <c r="J1116" i="14"/>
  <c r="K1116" i="14"/>
  <c r="L1116" i="14"/>
  <c r="M1116" i="14"/>
  <c r="N1116" i="14"/>
  <c r="P1116" i="14"/>
  <c r="Q1116" i="14"/>
  <c r="R1116" i="14"/>
  <c r="F1117" i="14"/>
  <c r="G1117" i="14"/>
  <c r="H1117" i="14"/>
  <c r="I1117" i="14"/>
  <c r="J1117" i="14"/>
  <c r="K1117" i="14"/>
  <c r="L1117" i="14"/>
  <c r="M1117" i="14"/>
  <c r="N1117" i="14"/>
  <c r="P1117" i="14"/>
  <c r="Q1117" i="14"/>
  <c r="R1117" i="14"/>
  <c r="F1118" i="14"/>
  <c r="G1118" i="14"/>
  <c r="H1118" i="14"/>
  <c r="I1118" i="14"/>
  <c r="J1118" i="14"/>
  <c r="K1118" i="14"/>
  <c r="L1118" i="14"/>
  <c r="M1118" i="14"/>
  <c r="N1118" i="14"/>
  <c r="P1118" i="14"/>
  <c r="Q1118" i="14"/>
  <c r="R1118" i="14"/>
  <c r="F1119" i="14"/>
  <c r="G1119" i="14"/>
  <c r="H1119" i="14"/>
  <c r="I1119" i="14"/>
  <c r="J1119" i="14"/>
  <c r="K1119" i="14"/>
  <c r="L1119" i="14"/>
  <c r="M1119" i="14"/>
  <c r="N1119" i="14"/>
  <c r="P1119" i="14"/>
  <c r="Q1119" i="14"/>
  <c r="R1119" i="14"/>
  <c r="F1120" i="14"/>
  <c r="G1120" i="14"/>
  <c r="H1120" i="14"/>
  <c r="I1120" i="14"/>
  <c r="J1120" i="14"/>
  <c r="K1120" i="14"/>
  <c r="L1120" i="14"/>
  <c r="M1120" i="14"/>
  <c r="N1120" i="14"/>
  <c r="P1120" i="14"/>
  <c r="Q1120" i="14"/>
  <c r="R1120" i="14"/>
  <c r="F1121" i="14"/>
  <c r="G1121" i="14"/>
  <c r="H1121" i="14"/>
  <c r="I1121" i="14"/>
  <c r="J1121" i="14"/>
  <c r="K1121" i="14"/>
  <c r="L1121" i="14"/>
  <c r="M1121" i="14"/>
  <c r="N1121" i="14"/>
  <c r="P1121" i="14"/>
  <c r="Q1121" i="14"/>
  <c r="R1121" i="14"/>
  <c r="F1122" i="14"/>
  <c r="G1122" i="14"/>
  <c r="H1122" i="14"/>
  <c r="I1122" i="14"/>
  <c r="J1122" i="14"/>
  <c r="K1122" i="14"/>
  <c r="L1122" i="14"/>
  <c r="M1122" i="14"/>
  <c r="N1122" i="14"/>
  <c r="P1122" i="14"/>
  <c r="Q1122" i="14"/>
  <c r="R1122" i="14"/>
  <c r="F1123" i="14"/>
  <c r="G1123" i="14"/>
  <c r="H1123" i="14"/>
  <c r="I1123" i="14"/>
  <c r="J1123" i="14"/>
  <c r="K1123" i="14"/>
  <c r="L1123" i="14"/>
  <c r="M1123" i="14"/>
  <c r="N1123" i="14"/>
  <c r="P1123" i="14"/>
  <c r="Q1123" i="14"/>
  <c r="R1123" i="14"/>
  <c r="F1124" i="14"/>
  <c r="G1124" i="14"/>
  <c r="H1124" i="14"/>
  <c r="I1124" i="14"/>
  <c r="J1124" i="14"/>
  <c r="K1124" i="14"/>
  <c r="L1124" i="14"/>
  <c r="M1124" i="14"/>
  <c r="N1124" i="14"/>
  <c r="P1124" i="14"/>
  <c r="Q1124" i="14"/>
  <c r="R1124" i="14"/>
  <c r="F1125" i="14"/>
  <c r="G1125" i="14"/>
  <c r="H1125" i="14"/>
  <c r="I1125" i="14"/>
  <c r="J1125" i="14"/>
  <c r="K1125" i="14"/>
  <c r="L1125" i="14"/>
  <c r="M1125" i="14"/>
  <c r="N1125" i="14"/>
  <c r="P1125" i="14"/>
  <c r="Q1125" i="14"/>
  <c r="R1125" i="14"/>
  <c r="F1126" i="14"/>
  <c r="G1126" i="14"/>
  <c r="H1126" i="14"/>
  <c r="I1126" i="14"/>
  <c r="J1126" i="14"/>
  <c r="K1126" i="14"/>
  <c r="L1126" i="14"/>
  <c r="M1126" i="14"/>
  <c r="N1126" i="14"/>
  <c r="P1126" i="14"/>
  <c r="Q1126" i="14"/>
  <c r="R1126" i="14"/>
  <c r="F1127" i="14"/>
  <c r="G1127" i="14"/>
  <c r="H1127" i="14"/>
  <c r="I1127" i="14"/>
  <c r="J1127" i="14"/>
  <c r="K1127" i="14"/>
  <c r="L1127" i="14"/>
  <c r="M1127" i="14"/>
  <c r="N1127" i="14"/>
  <c r="P1127" i="14"/>
  <c r="Q1127" i="14"/>
  <c r="R1127" i="14"/>
  <c r="F1128" i="14"/>
  <c r="G1128" i="14"/>
  <c r="H1128" i="14"/>
  <c r="I1128" i="14"/>
  <c r="J1128" i="14"/>
  <c r="K1128" i="14"/>
  <c r="L1128" i="14"/>
  <c r="M1128" i="14"/>
  <c r="N1128" i="14"/>
  <c r="P1128" i="14"/>
  <c r="Q1128" i="14"/>
  <c r="R1128" i="14"/>
  <c r="F1129" i="14"/>
  <c r="G1129" i="14"/>
  <c r="H1129" i="14"/>
  <c r="I1129" i="14"/>
  <c r="J1129" i="14"/>
  <c r="K1129" i="14"/>
  <c r="L1129" i="14"/>
  <c r="M1129" i="14"/>
  <c r="N1129" i="14"/>
  <c r="P1129" i="14"/>
  <c r="Q1129" i="14"/>
  <c r="R1129" i="14"/>
  <c r="F1130" i="14"/>
  <c r="G1130" i="14"/>
  <c r="H1130" i="14"/>
  <c r="I1130" i="14"/>
  <c r="J1130" i="14"/>
  <c r="K1130" i="14"/>
  <c r="L1130" i="14"/>
  <c r="M1130" i="14"/>
  <c r="N1130" i="14"/>
  <c r="P1130" i="14"/>
  <c r="Q1130" i="14"/>
  <c r="R1130" i="14"/>
  <c r="F1131" i="14"/>
  <c r="G1131" i="14"/>
  <c r="H1131" i="14"/>
  <c r="I1131" i="14"/>
  <c r="J1131" i="14"/>
  <c r="K1131" i="14"/>
  <c r="L1131" i="14"/>
  <c r="M1131" i="14"/>
  <c r="N1131" i="14"/>
  <c r="P1131" i="14"/>
  <c r="Q1131" i="14"/>
  <c r="R1131" i="14"/>
  <c r="F1132" i="14"/>
  <c r="G1132" i="14"/>
  <c r="H1132" i="14"/>
  <c r="I1132" i="14"/>
  <c r="J1132" i="14"/>
  <c r="K1132" i="14"/>
  <c r="L1132" i="14"/>
  <c r="M1132" i="14"/>
  <c r="N1132" i="14"/>
  <c r="P1132" i="14"/>
  <c r="Q1132" i="14"/>
  <c r="R1132" i="14"/>
  <c r="F1133" i="14"/>
  <c r="G1133" i="14"/>
  <c r="H1133" i="14"/>
  <c r="I1133" i="14"/>
  <c r="J1133" i="14"/>
  <c r="K1133" i="14"/>
  <c r="L1133" i="14"/>
  <c r="M1133" i="14"/>
  <c r="N1133" i="14"/>
  <c r="P1133" i="14"/>
  <c r="Q1133" i="14"/>
  <c r="R1133" i="14"/>
  <c r="F1134" i="14"/>
  <c r="G1134" i="14"/>
  <c r="H1134" i="14"/>
  <c r="I1134" i="14"/>
  <c r="J1134" i="14"/>
  <c r="K1134" i="14"/>
  <c r="L1134" i="14"/>
  <c r="M1134" i="14"/>
  <c r="N1134" i="14"/>
  <c r="P1134" i="14"/>
  <c r="Q1134" i="14"/>
  <c r="R1134" i="14"/>
  <c r="F1135" i="14"/>
  <c r="G1135" i="14"/>
  <c r="H1135" i="14"/>
  <c r="I1135" i="14"/>
  <c r="J1135" i="14"/>
  <c r="K1135" i="14"/>
  <c r="L1135" i="14"/>
  <c r="M1135" i="14"/>
  <c r="N1135" i="14"/>
  <c r="P1135" i="14"/>
  <c r="Q1135" i="14"/>
  <c r="R1135" i="14"/>
  <c r="F1136" i="14"/>
  <c r="G1136" i="14"/>
  <c r="H1136" i="14"/>
  <c r="I1136" i="14"/>
  <c r="J1136" i="14"/>
  <c r="K1136" i="14"/>
  <c r="L1136" i="14"/>
  <c r="M1136" i="14"/>
  <c r="N1136" i="14"/>
  <c r="P1136" i="14"/>
  <c r="Q1136" i="14"/>
  <c r="R1136" i="14"/>
  <c r="F1137" i="14"/>
  <c r="G1137" i="14"/>
  <c r="H1137" i="14"/>
  <c r="I1137" i="14"/>
  <c r="J1137" i="14"/>
  <c r="K1137" i="14"/>
  <c r="L1137" i="14"/>
  <c r="M1137" i="14"/>
  <c r="N1137" i="14"/>
  <c r="P1137" i="14"/>
  <c r="Q1137" i="14"/>
  <c r="R1137" i="14"/>
  <c r="F1138" i="14"/>
  <c r="G1138" i="14"/>
  <c r="H1138" i="14"/>
  <c r="I1138" i="14"/>
  <c r="J1138" i="14"/>
  <c r="K1138" i="14"/>
  <c r="L1138" i="14"/>
  <c r="M1138" i="14"/>
  <c r="N1138" i="14"/>
  <c r="P1138" i="14"/>
  <c r="Q1138" i="14"/>
  <c r="R1138" i="14"/>
  <c r="F1139" i="14"/>
  <c r="G1139" i="14"/>
  <c r="H1139" i="14"/>
  <c r="I1139" i="14"/>
  <c r="J1139" i="14"/>
  <c r="K1139" i="14"/>
  <c r="L1139" i="14"/>
  <c r="M1139" i="14"/>
  <c r="N1139" i="14"/>
  <c r="P1139" i="14"/>
  <c r="Q1139" i="14"/>
  <c r="R1139" i="14"/>
  <c r="F1140" i="14"/>
  <c r="G1140" i="14"/>
  <c r="H1140" i="14"/>
  <c r="I1140" i="14"/>
  <c r="J1140" i="14"/>
  <c r="K1140" i="14"/>
  <c r="L1140" i="14"/>
  <c r="M1140" i="14"/>
  <c r="N1140" i="14"/>
  <c r="P1140" i="14"/>
  <c r="Q1140" i="14"/>
  <c r="R1140" i="14"/>
  <c r="F1141" i="14"/>
  <c r="G1141" i="14"/>
  <c r="H1141" i="14"/>
  <c r="I1141" i="14"/>
  <c r="J1141" i="14"/>
  <c r="K1141" i="14"/>
  <c r="L1141" i="14"/>
  <c r="M1141" i="14"/>
  <c r="N1141" i="14"/>
  <c r="P1141" i="14"/>
  <c r="Q1141" i="14"/>
  <c r="R1141" i="14"/>
  <c r="F1142" i="14"/>
  <c r="G1142" i="14"/>
  <c r="H1142" i="14"/>
  <c r="I1142" i="14"/>
  <c r="J1142" i="14"/>
  <c r="K1142" i="14"/>
  <c r="L1142" i="14"/>
  <c r="M1142" i="14"/>
  <c r="N1142" i="14"/>
  <c r="P1142" i="14"/>
  <c r="Q1142" i="14"/>
  <c r="R1142" i="14"/>
  <c r="F1143" i="14"/>
  <c r="G1143" i="14"/>
  <c r="H1143" i="14"/>
  <c r="I1143" i="14"/>
  <c r="J1143" i="14"/>
  <c r="K1143" i="14"/>
  <c r="L1143" i="14"/>
  <c r="M1143" i="14"/>
  <c r="N1143" i="14"/>
  <c r="P1143" i="14"/>
  <c r="Q1143" i="14"/>
  <c r="R1143" i="14"/>
  <c r="F1144" i="14"/>
  <c r="G1144" i="14"/>
  <c r="H1144" i="14"/>
  <c r="I1144" i="14"/>
  <c r="J1144" i="14"/>
  <c r="K1144" i="14"/>
  <c r="L1144" i="14"/>
  <c r="M1144" i="14"/>
  <c r="N1144" i="14"/>
  <c r="P1144" i="14"/>
  <c r="Q1144" i="14"/>
  <c r="R1144" i="14"/>
  <c r="F1145" i="14"/>
  <c r="G1145" i="14"/>
  <c r="H1145" i="14"/>
  <c r="I1145" i="14"/>
  <c r="J1145" i="14"/>
  <c r="K1145" i="14"/>
  <c r="L1145" i="14"/>
  <c r="M1145" i="14"/>
  <c r="N1145" i="14"/>
  <c r="P1145" i="14"/>
  <c r="Q1145" i="14"/>
  <c r="R1145" i="14"/>
  <c r="F1146" i="14"/>
  <c r="G1146" i="14"/>
  <c r="H1146" i="14"/>
  <c r="I1146" i="14"/>
  <c r="J1146" i="14"/>
  <c r="K1146" i="14"/>
  <c r="L1146" i="14"/>
  <c r="M1146" i="14"/>
  <c r="N1146" i="14"/>
  <c r="P1146" i="14"/>
  <c r="Q1146" i="14"/>
  <c r="R1146" i="14"/>
  <c r="F1147" i="14"/>
  <c r="G1147" i="14"/>
  <c r="H1147" i="14"/>
  <c r="I1147" i="14"/>
  <c r="J1147" i="14"/>
  <c r="K1147" i="14"/>
  <c r="L1147" i="14"/>
  <c r="M1147" i="14"/>
  <c r="N1147" i="14"/>
  <c r="P1147" i="14"/>
  <c r="Q1147" i="14"/>
  <c r="R1147" i="14"/>
  <c r="F1148" i="14"/>
  <c r="G1148" i="14"/>
  <c r="H1148" i="14"/>
  <c r="I1148" i="14"/>
  <c r="J1148" i="14"/>
  <c r="K1148" i="14"/>
  <c r="L1148" i="14"/>
  <c r="M1148" i="14"/>
  <c r="N1148" i="14"/>
  <c r="P1148" i="14"/>
  <c r="Q1148" i="14"/>
  <c r="R1148" i="14"/>
  <c r="F1149" i="14"/>
  <c r="G1149" i="14"/>
  <c r="H1149" i="14"/>
  <c r="I1149" i="14"/>
  <c r="J1149" i="14"/>
  <c r="K1149" i="14"/>
  <c r="L1149" i="14"/>
  <c r="M1149" i="14"/>
  <c r="N1149" i="14"/>
  <c r="P1149" i="14"/>
  <c r="Q1149" i="14"/>
  <c r="R1149" i="14"/>
  <c r="F1150" i="14"/>
  <c r="G1150" i="14"/>
  <c r="H1150" i="14"/>
  <c r="I1150" i="14"/>
  <c r="J1150" i="14"/>
  <c r="K1150" i="14"/>
  <c r="L1150" i="14"/>
  <c r="M1150" i="14"/>
  <c r="N1150" i="14"/>
  <c r="P1150" i="14"/>
  <c r="Q1150" i="14"/>
  <c r="R1150" i="14"/>
  <c r="F1151" i="14"/>
  <c r="G1151" i="14"/>
  <c r="H1151" i="14"/>
  <c r="I1151" i="14"/>
  <c r="J1151" i="14"/>
  <c r="K1151" i="14"/>
  <c r="L1151" i="14"/>
  <c r="M1151" i="14"/>
  <c r="N1151" i="14"/>
  <c r="P1151" i="14"/>
  <c r="Q1151" i="14"/>
  <c r="R1151" i="14"/>
  <c r="F1152" i="14"/>
  <c r="G1152" i="14"/>
  <c r="H1152" i="14"/>
  <c r="I1152" i="14"/>
  <c r="J1152" i="14"/>
  <c r="K1152" i="14"/>
  <c r="L1152" i="14"/>
  <c r="M1152" i="14"/>
  <c r="N1152" i="14"/>
  <c r="P1152" i="14"/>
  <c r="Q1152" i="14"/>
  <c r="R1152" i="14"/>
  <c r="F1153" i="14"/>
  <c r="G1153" i="14"/>
  <c r="H1153" i="14"/>
  <c r="I1153" i="14"/>
  <c r="J1153" i="14"/>
  <c r="K1153" i="14"/>
  <c r="L1153" i="14"/>
  <c r="M1153" i="14"/>
  <c r="N1153" i="14"/>
  <c r="P1153" i="14"/>
  <c r="Q1153" i="14"/>
  <c r="R1153" i="14"/>
  <c r="F1154" i="14"/>
  <c r="G1154" i="14"/>
  <c r="H1154" i="14"/>
  <c r="I1154" i="14"/>
  <c r="J1154" i="14"/>
  <c r="K1154" i="14"/>
  <c r="L1154" i="14"/>
  <c r="M1154" i="14"/>
  <c r="N1154" i="14"/>
  <c r="P1154" i="14"/>
  <c r="Q1154" i="14"/>
  <c r="R1154" i="14"/>
  <c r="F1155" i="14"/>
  <c r="G1155" i="14"/>
  <c r="H1155" i="14"/>
  <c r="I1155" i="14"/>
  <c r="J1155" i="14"/>
  <c r="K1155" i="14"/>
  <c r="L1155" i="14"/>
  <c r="M1155" i="14"/>
  <c r="N1155" i="14"/>
  <c r="P1155" i="14"/>
  <c r="Q1155" i="14"/>
  <c r="R1155" i="14"/>
  <c r="F1156" i="14"/>
  <c r="G1156" i="14"/>
  <c r="H1156" i="14"/>
  <c r="I1156" i="14"/>
  <c r="J1156" i="14"/>
  <c r="K1156" i="14"/>
  <c r="L1156" i="14"/>
  <c r="M1156" i="14"/>
  <c r="N1156" i="14"/>
  <c r="P1156" i="14"/>
  <c r="Q1156" i="14"/>
  <c r="R1156" i="14"/>
  <c r="F1157" i="14"/>
  <c r="G1157" i="14"/>
  <c r="H1157" i="14"/>
  <c r="I1157" i="14"/>
  <c r="J1157" i="14"/>
  <c r="K1157" i="14"/>
  <c r="L1157" i="14"/>
  <c r="M1157" i="14"/>
  <c r="N1157" i="14"/>
  <c r="P1157" i="14"/>
  <c r="Q1157" i="14"/>
  <c r="R1157" i="14"/>
  <c r="F1158" i="14"/>
  <c r="G1158" i="14"/>
  <c r="H1158" i="14"/>
  <c r="I1158" i="14"/>
  <c r="J1158" i="14"/>
  <c r="K1158" i="14"/>
  <c r="L1158" i="14"/>
  <c r="M1158" i="14"/>
  <c r="N1158" i="14"/>
  <c r="P1158" i="14"/>
  <c r="Q1158" i="14"/>
  <c r="R1158" i="14"/>
  <c r="F1159" i="14"/>
  <c r="G1159" i="14"/>
  <c r="H1159" i="14"/>
  <c r="I1159" i="14"/>
  <c r="J1159" i="14"/>
  <c r="K1159" i="14"/>
  <c r="L1159" i="14"/>
  <c r="M1159" i="14"/>
  <c r="N1159" i="14"/>
  <c r="P1159" i="14"/>
  <c r="Q1159" i="14"/>
  <c r="R1159" i="14"/>
  <c r="F1160" i="14"/>
  <c r="G1160" i="14"/>
  <c r="H1160" i="14"/>
  <c r="I1160" i="14"/>
  <c r="J1160" i="14"/>
  <c r="K1160" i="14"/>
  <c r="L1160" i="14"/>
  <c r="M1160" i="14"/>
  <c r="N1160" i="14"/>
  <c r="P1160" i="14"/>
  <c r="Q1160" i="14"/>
  <c r="R1160" i="14"/>
  <c r="F1161" i="14"/>
  <c r="G1161" i="14"/>
  <c r="H1161" i="14"/>
  <c r="I1161" i="14"/>
  <c r="J1161" i="14"/>
  <c r="K1161" i="14"/>
  <c r="L1161" i="14"/>
  <c r="M1161" i="14"/>
  <c r="N1161" i="14"/>
  <c r="P1161" i="14"/>
  <c r="Q1161" i="14"/>
  <c r="R1161" i="14"/>
  <c r="F1162" i="14"/>
  <c r="G1162" i="14"/>
  <c r="H1162" i="14"/>
  <c r="I1162" i="14"/>
  <c r="J1162" i="14"/>
  <c r="K1162" i="14"/>
  <c r="L1162" i="14"/>
  <c r="M1162" i="14"/>
  <c r="N1162" i="14"/>
  <c r="P1162" i="14"/>
  <c r="Q1162" i="14"/>
  <c r="R1162" i="14"/>
  <c r="F1163" i="14"/>
  <c r="G1163" i="14"/>
  <c r="H1163" i="14"/>
  <c r="I1163" i="14"/>
  <c r="J1163" i="14"/>
  <c r="K1163" i="14"/>
  <c r="L1163" i="14"/>
  <c r="M1163" i="14"/>
  <c r="N1163" i="14"/>
  <c r="P1163" i="14"/>
  <c r="Q1163" i="14"/>
  <c r="R1163" i="14"/>
  <c r="F1164" i="14"/>
  <c r="G1164" i="14"/>
  <c r="H1164" i="14"/>
  <c r="I1164" i="14"/>
  <c r="J1164" i="14"/>
  <c r="K1164" i="14"/>
  <c r="L1164" i="14"/>
  <c r="M1164" i="14"/>
  <c r="N1164" i="14"/>
  <c r="P1164" i="14"/>
  <c r="Q1164" i="14"/>
  <c r="R1164" i="14"/>
  <c r="F1165" i="14"/>
  <c r="G1165" i="14"/>
  <c r="H1165" i="14"/>
  <c r="I1165" i="14"/>
  <c r="J1165" i="14"/>
  <c r="K1165" i="14"/>
  <c r="L1165" i="14"/>
  <c r="M1165" i="14"/>
  <c r="N1165" i="14"/>
  <c r="P1165" i="14"/>
  <c r="Q1165" i="14"/>
  <c r="R1165" i="14"/>
  <c r="F1166" i="14"/>
  <c r="G1166" i="14"/>
  <c r="H1166" i="14"/>
  <c r="I1166" i="14"/>
  <c r="J1166" i="14"/>
  <c r="K1166" i="14"/>
  <c r="L1166" i="14"/>
  <c r="M1166" i="14"/>
  <c r="N1166" i="14"/>
  <c r="P1166" i="14"/>
  <c r="Q1166" i="14"/>
  <c r="R1166" i="14"/>
  <c r="F1167" i="14"/>
  <c r="G1167" i="14"/>
  <c r="H1167" i="14"/>
  <c r="I1167" i="14"/>
  <c r="J1167" i="14"/>
  <c r="K1167" i="14"/>
  <c r="L1167" i="14"/>
  <c r="M1167" i="14"/>
  <c r="N1167" i="14"/>
  <c r="P1167" i="14"/>
  <c r="Q1167" i="14"/>
  <c r="R1167" i="14"/>
  <c r="F1168" i="14"/>
  <c r="G1168" i="14"/>
  <c r="H1168" i="14"/>
  <c r="I1168" i="14"/>
  <c r="J1168" i="14"/>
  <c r="K1168" i="14"/>
  <c r="L1168" i="14"/>
  <c r="M1168" i="14"/>
  <c r="N1168" i="14"/>
  <c r="P1168" i="14"/>
  <c r="Q1168" i="14"/>
  <c r="R1168" i="14"/>
  <c r="F1169" i="14"/>
  <c r="G1169" i="14"/>
  <c r="H1169" i="14"/>
  <c r="I1169" i="14"/>
  <c r="J1169" i="14"/>
  <c r="K1169" i="14"/>
  <c r="L1169" i="14"/>
  <c r="M1169" i="14"/>
  <c r="N1169" i="14"/>
  <c r="P1169" i="14"/>
  <c r="Q1169" i="14"/>
  <c r="R1169" i="14"/>
  <c r="F1170" i="14"/>
  <c r="G1170" i="14"/>
  <c r="H1170" i="14"/>
  <c r="I1170" i="14"/>
  <c r="J1170" i="14"/>
  <c r="K1170" i="14"/>
  <c r="L1170" i="14"/>
  <c r="M1170" i="14"/>
  <c r="N1170" i="14"/>
  <c r="P1170" i="14"/>
  <c r="Q1170" i="14"/>
  <c r="R1170" i="14"/>
  <c r="F1171" i="14"/>
  <c r="G1171" i="14"/>
  <c r="H1171" i="14"/>
  <c r="I1171" i="14"/>
  <c r="J1171" i="14"/>
  <c r="K1171" i="14"/>
  <c r="L1171" i="14"/>
  <c r="M1171" i="14"/>
  <c r="N1171" i="14"/>
  <c r="P1171" i="14"/>
  <c r="Q1171" i="14"/>
  <c r="R1171" i="14"/>
  <c r="F1172" i="14"/>
  <c r="G1172" i="14"/>
  <c r="H1172" i="14"/>
  <c r="I1172" i="14"/>
  <c r="J1172" i="14"/>
  <c r="K1172" i="14"/>
  <c r="L1172" i="14"/>
  <c r="M1172" i="14"/>
  <c r="N1172" i="14"/>
  <c r="P1172" i="14"/>
  <c r="Q1172" i="14"/>
  <c r="R1172" i="14"/>
  <c r="F1173" i="14"/>
  <c r="G1173" i="14"/>
  <c r="H1173" i="14"/>
  <c r="I1173" i="14"/>
  <c r="J1173" i="14"/>
  <c r="K1173" i="14"/>
  <c r="L1173" i="14"/>
  <c r="M1173" i="14"/>
  <c r="N1173" i="14"/>
  <c r="P1173" i="14"/>
  <c r="Q1173" i="14"/>
  <c r="R1173" i="14"/>
  <c r="F1174" i="14"/>
  <c r="G1174" i="14"/>
  <c r="H1174" i="14"/>
  <c r="I1174" i="14"/>
  <c r="J1174" i="14"/>
  <c r="K1174" i="14"/>
  <c r="L1174" i="14"/>
  <c r="M1174" i="14"/>
  <c r="N1174" i="14"/>
  <c r="P1174" i="14"/>
  <c r="Q1174" i="14"/>
  <c r="R1174" i="14"/>
  <c r="F1175" i="14"/>
  <c r="G1175" i="14"/>
  <c r="H1175" i="14"/>
  <c r="I1175" i="14"/>
  <c r="J1175" i="14"/>
  <c r="K1175" i="14"/>
  <c r="L1175" i="14"/>
  <c r="M1175" i="14"/>
  <c r="N1175" i="14"/>
  <c r="P1175" i="14"/>
  <c r="Q1175" i="14"/>
  <c r="R1175" i="14"/>
  <c r="F1176" i="14"/>
  <c r="G1176" i="14"/>
  <c r="H1176" i="14"/>
  <c r="I1176" i="14"/>
  <c r="J1176" i="14"/>
  <c r="K1176" i="14"/>
  <c r="L1176" i="14"/>
  <c r="M1176" i="14"/>
  <c r="N1176" i="14"/>
  <c r="P1176" i="14"/>
  <c r="Q1176" i="14"/>
  <c r="R1176" i="14"/>
  <c r="F1177" i="14"/>
  <c r="G1177" i="14"/>
  <c r="H1177" i="14"/>
  <c r="I1177" i="14"/>
  <c r="J1177" i="14"/>
  <c r="K1177" i="14"/>
  <c r="L1177" i="14"/>
  <c r="M1177" i="14"/>
  <c r="N1177" i="14"/>
  <c r="P1177" i="14"/>
  <c r="Q1177" i="14"/>
  <c r="R1177" i="14"/>
  <c r="F1178" i="14"/>
  <c r="G1178" i="14"/>
  <c r="H1178" i="14"/>
  <c r="I1178" i="14"/>
  <c r="J1178" i="14"/>
  <c r="K1178" i="14"/>
  <c r="L1178" i="14"/>
  <c r="M1178" i="14"/>
  <c r="N1178" i="14"/>
  <c r="P1178" i="14"/>
  <c r="Q1178" i="14"/>
  <c r="R1178" i="14"/>
  <c r="F1179" i="14"/>
  <c r="G1179" i="14"/>
  <c r="H1179" i="14"/>
  <c r="I1179" i="14"/>
  <c r="J1179" i="14"/>
  <c r="K1179" i="14"/>
  <c r="L1179" i="14"/>
  <c r="M1179" i="14"/>
  <c r="N1179" i="14"/>
  <c r="P1179" i="14"/>
  <c r="Q1179" i="14"/>
  <c r="R1179" i="14"/>
  <c r="F1180" i="14"/>
  <c r="G1180" i="14"/>
  <c r="H1180" i="14"/>
  <c r="I1180" i="14"/>
  <c r="J1180" i="14"/>
  <c r="K1180" i="14"/>
  <c r="L1180" i="14"/>
  <c r="M1180" i="14"/>
  <c r="N1180" i="14"/>
  <c r="P1180" i="14"/>
  <c r="Q1180" i="14"/>
  <c r="R1180" i="14"/>
  <c r="F1181" i="14"/>
  <c r="G1181" i="14"/>
  <c r="H1181" i="14"/>
  <c r="I1181" i="14"/>
  <c r="J1181" i="14"/>
  <c r="K1181" i="14"/>
  <c r="L1181" i="14"/>
  <c r="M1181" i="14"/>
  <c r="N1181" i="14"/>
  <c r="P1181" i="14"/>
  <c r="Q1181" i="14"/>
  <c r="R1181" i="14"/>
  <c r="F1182" i="14"/>
  <c r="G1182" i="14"/>
  <c r="H1182" i="14"/>
  <c r="I1182" i="14"/>
  <c r="J1182" i="14"/>
  <c r="K1182" i="14"/>
  <c r="L1182" i="14"/>
  <c r="M1182" i="14"/>
  <c r="N1182" i="14"/>
  <c r="P1182" i="14"/>
  <c r="Q1182" i="14"/>
  <c r="R1182" i="14"/>
  <c r="F1183" i="14"/>
  <c r="G1183" i="14"/>
  <c r="H1183" i="14"/>
  <c r="I1183" i="14"/>
  <c r="J1183" i="14"/>
  <c r="K1183" i="14"/>
  <c r="L1183" i="14"/>
  <c r="M1183" i="14"/>
  <c r="N1183" i="14"/>
  <c r="P1183" i="14"/>
  <c r="Q1183" i="14"/>
  <c r="R1183" i="14"/>
  <c r="F1184" i="14"/>
  <c r="G1184" i="14"/>
  <c r="H1184" i="14"/>
  <c r="I1184" i="14"/>
  <c r="J1184" i="14"/>
  <c r="K1184" i="14"/>
  <c r="L1184" i="14"/>
  <c r="M1184" i="14"/>
  <c r="N1184" i="14"/>
  <c r="P1184" i="14"/>
  <c r="Q1184" i="14"/>
  <c r="R1184" i="14"/>
  <c r="F1185" i="14"/>
  <c r="G1185" i="14"/>
  <c r="H1185" i="14"/>
  <c r="I1185" i="14"/>
  <c r="J1185" i="14"/>
  <c r="K1185" i="14"/>
  <c r="L1185" i="14"/>
  <c r="M1185" i="14"/>
  <c r="N1185" i="14"/>
  <c r="P1185" i="14"/>
  <c r="Q1185" i="14"/>
  <c r="R1185" i="14"/>
  <c r="F1186" i="14"/>
  <c r="G1186" i="14"/>
  <c r="H1186" i="14"/>
  <c r="I1186" i="14"/>
  <c r="J1186" i="14"/>
  <c r="K1186" i="14"/>
  <c r="L1186" i="14"/>
  <c r="M1186" i="14"/>
  <c r="N1186" i="14"/>
  <c r="P1186" i="14"/>
  <c r="Q1186" i="14"/>
  <c r="R1186" i="14"/>
  <c r="F1187" i="14"/>
  <c r="G1187" i="14"/>
  <c r="H1187" i="14"/>
  <c r="I1187" i="14"/>
  <c r="J1187" i="14"/>
  <c r="K1187" i="14"/>
  <c r="L1187" i="14"/>
  <c r="M1187" i="14"/>
  <c r="N1187" i="14"/>
  <c r="P1187" i="14"/>
  <c r="Q1187" i="14"/>
  <c r="R1187" i="14"/>
  <c r="F1188" i="14"/>
  <c r="G1188" i="14"/>
  <c r="H1188" i="14"/>
  <c r="I1188" i="14"/>
  <c r="J1188" i="14"/>
  <c r="K1188" i="14"/>
  <c r="L1188" i="14"/>
  <c r="M1188" i="14"/>
  <c r="N1188" i="14"/>
  <c r="P1188" i="14"/>
  <c r="Q1188" i="14"/>
  <c r="R1188" i="14"/>
  <c r="F1189" i="14"/>
  <c r="G1189" i="14"/>
  <c r="H1189" i="14"/>
  <c r="I1189" i="14"/>
  <c r="J1189" i="14"/>
  <c r="K1189" i="14"/>
  <c r="L1189" i="14"/>
  <c r="M1189" i="14"/>
  <c r="N1189" i="14"/>
  <c r="P1189" i="14"/>
  <c r="Q1189" i="14"/>
  <c r="R1189" i="14"/>
  <c r="F1190" i="14"/>
  <c r="G1190" i="14"/>
  <c r="H1190" i="14"/>
  <c r="I1190" i="14"/>
  <c r="J1190" i="14"/>
  <c r="K1190" i="14"/>
  <c r="L1190" i="14"/>
  <c r="M1190" i="14"/>
  <c r="N1190" i="14"/>
  <c r="P1190" i="14"/>
  <c r="Q1190" i="14"/>
  <c r="R1190" i="14"/>
  <c r="F1191" i="14"/>
  <c r="G1191" i="14"/>
  <c r="H1191" i="14"/>
  <c r="I1191" i="14"/>
  <c r="J1191" i="14"/>
  <c r="K1191" i="14"/>
  <c r="L1191" i="14"/>
  <c r="M1191" i="14"/>
  <c r="N1191" i="14"/>
  <c r="P1191" i="14"/>
  <c r="Q1191" i="14"/>
  <c r="R1191" i="14"/>
  <c r="F1192" i="14"/>
  <c r="G1192" i="14"/>
  <c r="H1192" i="14"/>
  <c r="I1192" i="14"/>
  <c r="J1192" i="14"/>
  <c r="K1192" i="14"/>
  <c r="L1192" i="14"/>
  <c r="M1192" i="14"/>
  <c r="N1192" i="14"/>
  <c r="P1192" i="14"/>
  <c r="Q1192" i="14"/>
  <c r="R1192" i="14"/>
  <c r="F1193" i="14"/>
  <c r="G1193" i="14"/>
  <c r="H1193" i="14"/>
  <c r="I1193" i="14"/>
  <c r="J1193" i="14"/>
  <c r="K1193" i="14"/>
  <c r="L1193" i="14"/>
  <c r="M1193" i="14"/>
  <c r="N1193" i="14"/>
  <c r="P1193" i="14"/>
  <c r="Q1193" i="14"/>
  <c r="R1193" i="14"/>
  <c r="F1194" i="14"/>
  <c r="G1194" i="14"/>
  <c r="H1194" i="14"/>
  <c r="I1194" i="14"/>
  <c r="J1194" i="14"/>
  <c r="K1194" i="14"/>
  <c r="L1194" i="14"/>
  <c r="M1194" i="14"/>
  <c r="N1194" i="14"/>
  <c r="P1194" i="14"/>
  <c r="Q1194" i="14"/>
  <c r="R1194" i="14"/>
  <c r="F1195" i="14"/>
  <c r="G1195" i="14"/>
  <c r="H1195" i="14"/>
  <c r="I1195" i="14"/>
  <c r="J1195" i="14"/>
  <c r="K1195" i="14"/>
  <c r="L1195" i="14"/>
  <c r="M1195" i="14"/>
  <c r="N1195" i="14"/>
  <c r="P1195" i="14"/>
  <c r="Q1195" i="14"/>
  <c r="R1195" i="14"/>
  <c r="F1196" i="14"/>
  <c r="G1196" i="14"/>
  <c r="H1196" i="14"/>
  <c r="I1196" i="14"/>
  <c r="J1196" i="14"/>
  <c r="K1196" i="14"/>
  <c r="L1196" i="14"/>
  <c r="M1196" i="14"/>
  <c r="N1196" i="14"/>
  <c r="P1196" i="14"/>
  <c r="Q1196" i="14"/>
  <c r="R1196" i="14"/>
  <c r="F1197" i="14"/>
  <c r="G1197" i="14"/>
  <c r="H1197" i="14"/>
  <c r="I1197" i="14"/>
  <c r="J1197" i="14"/>
  <c r="K1197" i="14"/>
  <c r="L1197" i="14"/>
  <c r="M1197" i="14"/>
  <c r="N1197" i="14"/>
  <c r="P1197" i="14"/>
  <c r="Q1197" i="14"/>
  <c r="R1197" i="14"/>
  <c r="F1198" i="14"/>
  <c r="G1198" i="14"/>
  <c r="H1198" i="14"/>
  <c r="I1198" i="14"/>
  <c r="J1198" i="14"/>
  <c r="K1198" i="14"/>
  <c r="L1198" i="14"/>
  <c r="M1198" i="14"/>
  <c r="N1198" i="14"/>
  <c r="P1198" i="14"/>
  <c r="Q1198" i="14"/>
  <c r="R1198" i="14"/>
  <c r="F1199" i="14"/>
  <c r="G1199" i="14"/>
  <c r="H1199" i="14"/>
  <c r="I1199" i="14"/>
  <c r="J1199" i="14"/>
  <c r="K1199" i="14"/>
  <c r="L1199" i="14"/>
  <c r="M1199" i="14"/>
  <c r="N1199" i="14"/>
  <c r="P1199" i="14"/>
  <c r="Q1199" i="14"/>
  <c r="R1199" i="14"/>
  <c r="F1200" i="14"/>
  <c r="G1200" i="14"/>
  <c r="H1200" i="14"/>
  <c r="I1200" i="14"/>
  <c r="J1200" i="14"/>
  <c r="K1200" i="14"/>
  <c r="L1200" i="14"/>
  <c r="M1200" i="14"/>
  <c r="N1200" i="14"/>
  <c r="P1200" i="14"/>
  <c r="Q1200" i="14"/>
  <c r="R1200" i="14"/>
  <c r="F1201" i="14"/>
  <c r="G1201" i="14"/>
  <c r="H1201" i="14"/>
  <c r="I1201" i="14"/>
  <c r="J1201" i="14"/>
  <c r="K1201" i="14"/>
  <c r="L1201" i="14"/>
  <c r="M1201" i="14"/>
  <c r="N1201" i="14"/>
  <c r="P1201" i="14"/>
  <c r="Q1201" i="14"/>
  <c r="R1201" i="14"/>
  <c r="F1202" i="14"/>
  <c r="G1202" i="14"/>
  <c r="H1202" i="14"/>
  <c r="I1202" i="14"/>
  <c r="J1202" i="14"/>
  <c r="K1202" i="14"/>
  <c r="L1202" i="14"/>
  <c r="M1202" i="14"/>
  <c r="N1202" i="14"/>
  <c r="P1202" i="14"/>
  <c r="Q1202" i="14"/>
  <c r="R1202" i="14"/>
  <c r="F1203" i="14"/>
  <c r="G1203" i="14"/>
  <c r="H1203" i="14"/>
  <c r="I1203" i="14"/>
  <c r="J1203" i="14"/>
  <c r="K1203" i="14"/>
  <c r="L1203" i="14"/>
  <c r="M1203" i="14"/>
  <c r="N1203" i="14"/>
  <c r="P1203" i="14"/>
  <c r="Q1203" i="14"/>
  <c r="R1203" i="14"/>
  <c r="F1204" i="14"/>
  <c r="G1204" i="14"/>
  <c r="H1204" i="14"/>
  <c r="I1204" i="14"/>
  <c r="J1204" i="14"/>
  <c r="K1204" i="14"/>
  <c r="L1204" i="14"/>
  <c r="M1204" i="14"/>
  <c r="N1204" i="14"/>
  <c r="P1204" i="14"/>
  <c r="Q1204" i="14"/>
  <c r="R1204" i="14"/>
  <c r="F1205" i="14"/>
  <c r="G1205" i="14"/>
  <c r="H1205" i="14"/>
  <c r="I1205" i="14"/>
  <c r="J1205" i="14"/>
  <c r="K1205" i="14"/>
  <c r="L1205" i="14"/>
  <c r="M1205" i="14"/>
  <c r="N1205" i="14"/>
  <c r="P1205" i="14"/>
  <c r="Q1205" i="14"/>
  <c r="R1205" i="14"/>
  <c r="F1206" i="14"/>
  <c r="G1206" i="14"/>
  <c r="H1206" i="14"/>
  <c r="I1206" i="14"/>
  <c r="J1206" i="14"/>
  <c r="K1206" i="14"/>
  <c r="L1206" i="14"/>
  <c r="M1206" i="14"/>
  <c r="N1206" i="14"/>
  <c r="P1206" i="14"/>
  <c r="Q1206" i="14"/>
  <c r="R1206" i="14"/>
  <c r="S1206" i="14"/>
  <c r="F1207" i="14"/>
  <c r="G1207" i="14"/>
  <c r="H1207" i="14"/>
  <c r="I1207" i="14"/>
  <c r="J1207" i="14"/>
  <c r="K1207" i="14"/>
  <c r="L1207" i="14"/>
  <c r="M1207" i="14"/>
  <c r="N1207" i="14"/>
  <c r="P1207" i="14"/>
  <c r="Q1207" i="14"/>
  <c r="R1207" i="14"/>
  <c r="S1207" i="14"/>
  <c r="U1207" i="14"/>
  <c r="F1208" i="14"/>
  <c r="G1208" i="14"/>
  <c r="H1208" i="14"/>
  <c r="I1208" i="14"/>
  <c r="J1208" i="14"/>
  <c r="K1208" i="14"/>
  <c r="L1208" i="14"/>
  <c r="M1208" i="14"/>
  <c r="N1208" i="14"/>
  <c r="P1208" i="14"/>
  <c r="Q1208" i="14"/>
  <c r="R1208" i="14"/>
  <c r="S1208" i="14"/>
  <c r="U1208" i="14"/>
  <c r="F1209" i="14"/>
  <c r="G1209" i="14"/>
  <c r="H1209" i="14"/>
  <c r="I1209" i="14"/>
  <c r="J1209" i="14"/>
  <c r="K1209" i="14"/>
  <c r="L1209" i="14"/>
  <c r="M1209" i="14"/>
  <c r="N1209" i="14"/>
  <c r="P1209" i="14"/>
  <c r="Q1209" i="14"/>
  <c r="R1209" i="14"/>
  <c r="S1209" i="14"/>
  <c r="U1209" i="14"/>
  <c r="F1210" i="14"/>
  <c r="G1210" i="14"/>
  <c r="H1210" i="14"/>
  <c r="I1210" i="14"/>
  <c r="J1210" i="14"/>
  <c r="K1210" i="14"/>
  <c r="L1210" i="14"/>
  <c r="M1210" i="14"/>
  <c r="N1210" i="14"/>
  <c r="P1210" i="14"/>
  <c r="Q1210" i="14"/>
  <c r="R1210" i="14"/>
  <c r="S1210" i="14"/>
  <c r="U1210" i="14"/>
  <c r="F1211" i="14"/>
  <c r="G1211" i="14"/>
  <c r="H1211" i="14"/>
  <c r="I1211" i="14"/>
  <c r="J1211" i="14"/>
  <c r="K1211" i="14"/>
  <c r="L1211" i="14"/>
  <c r="M1211" i="14"/>
  <c r="N1211" i="14"/>
  <c r="P1211" i="14"/>
  <c r="Q1211" i="14"/>
  <c r="R1211" i="14"/>
  <c r="S1211" i="14"/>
  <c r="U1211" i="14"/>
  <c r="F1212" i="14"/>
  <c r="G1212" i="14"/>
  <c r="H1212" i="14"/>
  <c r="I1212" i="14"/>
  <c r="J1212" i="14"/>
  <c r="K1212" i="14"/>
  <c r="L1212" i="14"/>
  <c r="M1212" i="14"/>
  <c r="N1212" i="14"/>
  <c r="P1212" i="14"/>
  <c r="Q1212" i="14"/>
  <c r="R1212" i="14"/>
  <c r="S1212" i="14"/>
  <c r="U1212" i="14"/>
  <c r="F1213" i="14"/>
  <c r="G1213" i="14"/>
  <c r="H1213" i="14"/>
  <c r="I1213" i="14"/>
  <c r="J1213" i="14"/>
  <c r="K1213" i="14"/>
  <c r="L1213" i="14"/>
  <c r="M1213" i="14"/>
  <c r="N1213" i="14"/>
  <c r="P1213" i="14"/>
  <c r="Q1213" i="14"/>
  <c r="R1213" i="14"/>
  <c r="S1213" i="14"/>
  <c r="U1213" i="14"/>
  <c r="F1214" i="14"/>
  <c r="G1214" i="14"/>
  <c r="H1214" i="14"/>
  <c r="I1214" i="14"/>
  <c r="J1214" i="14"/>
  <c r="K1214" i="14"/>
  <c r="L1214" i="14"/>
  <c r="M1214" i="14"/>
  <c r="N1214" i="14"/>
  <c r="P1214" i="14"/>
  <c r="Q1214" i="14"/>
  <c r="R1214" i="14"/>
  <c r="S1214" i="14"/>
  <c r="U1214" i="14"/>
  <c r="F1215" i="14"/>
  <c r="G1215" i="14"/>
  <c r="H1215" i="14"/>
  <c r="I1215" i="14"/>
  <c r="J1215" i="14"/>
  <c r="K1215" i="14"/>
  <c r="L1215" i="14"/>
  <c r="M1215" i="14"/>
  <c r="N1215" i="14"/>
  <c r="P1215" i="14"/>
  <c r="Q1215" i="14"/>
  <c r="R1215" i="14"/>
  <c r="S1215" i="14"/>
  <c r="U1215" i="14"/>
  <c r="F1216" i="14"/>
  <c r="G1216" i="14"/>
  <c r="H1216" i="14"/>
  <c r="I1216" i="14"/>
  <c r="J1216" i="14"/>
  <c r="K1216" i="14"/>
  <c r="L1216" i="14"/>
  <c r="M1216" i="14"/>
  <c r="N1216" i="14"/>
  <c r="P1216" i="14"/>
  <c r="Q1216" i="14"/>
  <c r="R1216" i="14"/>
  <c r="S1216" i="14"/>
  <c r="U1216" i="14"/>
  <c r="F1217" i="14"/>
  <c r="G1217" i="14"/>
  <c r="H1217" i="14"/>
  <c r="I1217" i="14"/>
  <c r="J1217" i="14"/>
  <c r="K1217" i="14"/>
  <c r="L1217" i="14"/>
  <c r="M1217" i="14"/>
  <c r="N1217" i="14"/>
  <c r="P1217" i="14"/>
  <c r="Q1217" i="14"/>
  <c r="R1217" i="14"/>
  <c r="S1217" i="14"/>
  <c r="U1217" i="14"/>
  <c r="F1218" i="14"/>
  <c r="G1218" i="14"/>
  <c r="H1218" i="14"/>
  <c r="I1218" i="14"/>
  <c r="J1218" i="14"/>
  <c r="K1218" i="14"/>
  <c r="L1218" i="14"/>
  <c r="M1218" i="14"/>
  <c r="N1218" i="14"/>
  <c r="P1218" i="14"/>
  <c r="Q1218" i="14"/>
  <c r="R1218" i="14"/>
  <c r="S1218" i="14"/>
  <c r="U1218" i="14"/>
  <c r="F1219" i="14"/>
  <c r="G1219" i="14"/>
  <c r="H1219" i="14"/>
  <c r="I1219" i="14"/>
  <c r="J1219" i="14"/>
  <c r="K1219" i="14"/>
  <c r="L1219" i="14"/>
  <c r="M1219" i="14"/>
  <c r="N1219" i="14"/>
  <c r="P1219" i="14"/>
  <c r="Q1219" i="14"/>
  <c r="R1219" i="14"/>
  <c r="S1219" i="14"/>
  <c r="U1219" i="14"/>
  <c r="F1220" i="14"/>
  <c r="G1220" i="14"/>
  <c r="H1220" i="14"/>
  <c r="I1220" i="14"/>
  <c r="J1220" i="14"/>
  <c r="K1220" i="14"/>
  <c r="L1220" i="14"/>
  <c r="M1220" i="14"/>
  <c r="N1220" i="14"/>
  <c r="P1220" i="14"/>
  <c r="Q1220" i="14"/>
  <c r="R1220" i="14"/>
  <c r="S1220" i="14"/>
  <c r="U1220" i="14"/>
  <c r="F1221" i="14"/>
  <c r="G1221" i="14"/>
  <c r="H1221" i="14"/>
  <c r="I1221" i="14"/>
  <c r="J1221" i="14"/>
  <c r="K1221" i="14"/>
  <c r="L1221" i="14"/>
  <c r="M1221" i="14"/>
  <c r="N1221" i="14"/>
  <c r="P1221" i="14"/>
  <c r="Q1221" i="14"/>
  <c r="R1221" i="14"/>
  <c r="S1221" i="14"/>
  <c r="U1221" i="14"/>
  <c r="F1222" i="14"/>
  <c r="G1222" i="14"/>
  <c r="H1222" i="14"/>
  <c r="I1222" i="14"/>
  <c r="J1222" i="14"/>
  <c r="K1222" i="14"/>
  <c r="L1222" i="14"/>
  <c r="M1222" i="14"/>
  <c r="N1222" i="14"/>
  <c r="P1222" i="14"/>
  <c r="Q1222" i="14"/>
  <c r="R1222" i="14"/>
  <c r="S1222" i="14"/>
  <c r="U1222" i="14"/>
  <c r="F1223" i="14"/>
  <c r="G1223" i="14"/>
  <c r="H1223" i="14"/>
  <c r="I1223" i="14"/>
  <c r="J1223" i="14"/>
  <c r="K1223" i="14"/>
  <c r="L1223" i="14"/>
  <c r="M1223" i="14"/>
  <c r="N1223" i="14"/>
  <c r="P1223" i="14"/>
  <c r="Q1223" i="14"/>
  <c r="R1223" i="14"/>
  <c r="S1223" i="14"/>
  <c r="U1223" i="14"/>
  <c r="F1224" i="14"/>
  <c r="G1224" i="14"/>
  <c r="H1224" i="14"/>
  <c r="I1224" i="14"/>
  <c r="J1224" i="14"/>
  <c r="K1224" i="14"/>
  <c r="L1224" i="14"/>
  <c r="M1224" i="14"/>
  <c r="N1224" i="14"/>
  <c r="P1224" i="14"/>
  <c r="Q1224" i="14"/>
  <c r="R1224" i="14"/>
  <c r="S1224" i="14"/>
  <c r="U1224" i="14"/>
  <c r="F1225" i="14"/>
  <c r="G1225" i="14"/>
  <c r="H1225" i="14"/>
  <c r="I1225" i="14"/>
  <c r="J1225" i="14"/>
  <c r="K1225" i="14"/>
  <c r="L1225" i="14"/>
  <c r="M1225" i="14"/>
  <c r="N1225" i="14"/>
  <c r="P1225" i="14"/>
  <c r="Q1225" i="14"/>
  <c r="R1225" i="14"/>
  <c r="S1225" i="14"/>
  <c r="U1225" i="14"/>
  <c r="F1226" i="14"/>
  <c r="G1226" i="14"/>
  <c r="H1226" i="14"/>
  <c r="I1226" i="14"/>
  <c r="J1226" i="14"/>
  <c r="K1226" i="14"/>
  <c r="L1226" i="14"/>
  <c r="M1226" i="14"/>
  <c r="N1226" i="14"/>
  <c r="P1226" i="14"/>
  <c r="Q1226" i="14"/>
  <c r="R1226" i="14"/>
  <c r="S1226" i="14"/>
  <c r="U1226" i="14"/>
  <c r="F1227" i="14"/>
  <c r="G1227" i="14"/>
  <c r="H1227" i="14"/>
  <c r="I1227" i="14"/>
  <c r="J1227" i="14"/>
  <c r="K1227" i="14"/>
  <c r="L1227" i="14"/>
  <c r="M1227" i="14"/>
  <c r="N1227" i="14"/>
  <c r="P1227" i="14"/>
  <c r="Q1227" i="14"/>
  <c r="R1227" i="14"/>
  <c r="S1227" i="14"/>
  <c r="U1227" i="14"/>
  <c r="F1228" i="14"/>
  <c r="G1228" i="14"/>
  <c r="H1228" i="14"/>
  <c r="I1228" i="14"/>
  <c r="J1228" i="14"/>
  <c r="K1228" i="14"/>
  <c r="L1228" i="14"/>
  <c r="M1228" i="14"/>
  <c r="N1228" i="14"/>
  <c r="P1228" i="14"/>
  <c r="Q1228" i="14"/>
  <c r="R1228" i="14"/>
  <c r="S1228" i="14"/>
  <c r="U1228" i="14"/>
  <c r="F1229" i="14"/>
  <c r="G1229" i="14"/>
  <c r="H1229" i="14"/>
  <c r="I1229" i="14"/>
  <c r="J1229" i="14"/>
  <c r="K1229" i="14"/>
  <c r="L1229" i="14"/>
  <c r="M1229" i="14"/>
  <c r="N1229" i="14"/>
  <c r="P1229" i="14"/>
  <c r="Q1229" i="14"/>
  <c r="R1229" i="14"/>
  <c r="S1229" i="14"/>
  <c r="U1229" i="14"/>
  <c r="F1230" i="14"/>
  <c r="G1230" i="14"/>
  <c r="H1230" i="14"/>
  <c r="I1230" i="14"/>
  <c r="J1230" i="14"/>
  <c r="K1230" i="14"/>
  <c r="L1230" i="14"/>
  <c r="M1230" i="14"/>
  <c r="N1230" i="14"/>
  <c r="P1230" i="14"/>
  <c r="Q1230" i="14"/>
  <c r="R1230" i="14"/>
  <c r="S1230" i="14"/>
  <c r="U1230" i="14"/>
  <c r="F1231" i="14"/>
  <c r="G1231" i="14"/>
  <c r="H1231" i="14"/>
  <c r="I1231" i="14"/>
  <c r="J1231" i="14"/>
  <c r="K1231" i="14"/>
  <c r="L1231" i="14"/>
  <c r="M1231" i="14"/>
  <c r="N1231" i="14"/>
  <c r="P1231" i="14"/>
  <c r="Q1231" i="14"/>
  <c r="R1231" i="14"/>
  <c r="S1231" i="14"/>
  <c r="U1231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V388" i="14" s="1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62" i="14"/>
  <c r="G9" i="10"/>
  <c r="G8" i="10"/>
  <c r="G7" i="10"/>
  <c r="G6" i="10"/>
  <c r="G5" i="10"/>
  <c r="E9" i="10"/>
  <c r="E8" i="10"/>
  <c r="E7" i="10"/>
  <c r="E6" i="10"/>
  <c r="E5" i="10"/>
  <c r="C9" i="10"/>
  <c r="C8" i="10"/>
  <c r="C7" i="10"/>
  <c r="C6" i="10"/>
  <c r="C5" i="10"/>
  <c r="B9" i="10"/>
  <c r="B5" i="10"/>
  <c r="B6" i="10"/>
  <c r="B7" i="10"/>
  <c r="B8" i="10"/>
  <c r="U4" i="15"/>
  <c r="T4" i="15"/>
  <c r="S4" i="15"/>
  <c r="R4" i="15"/>
  <c r="Q4" i="15"/>
  <c r="P4" i="15"/>
  <c r="U3" i="15"/>
  <c r="T3" i="15"/>
  <c r="S3" i="15"/>
  <c r="R3" i="15"/>
  <c r="Q3" i="15"/>
  <c r="P3" i="15"/>
  <c r="U2" i="15"/>
  <c r="T2" i="15"/>
  <c r="S2" i="15"/>
  <c r="R2" i="15"/>
  <c r="Q2" i="15"/>
  <c r="P2" i="15"/>
  <c r="R61" i="14"/>
  <c r="Q61" i="14"/>
  <c r="P61" i="14"/>
  <c r="N61" i="14"/>
  <c r="M61" i="14"/>
  <c r="L61" i="14"/>
  <c r="K61" i="14"/>
  <c r="J61" i="14"/>
  <c r="I61" i="14"/>
  <c r="H61" i="14"/>
  <c r="G61" i="14"/>
  <c r="F61" i="14"/>
  <c r="U61" i="14" s="1"/>
  <c r="E61" i="14"/>
  <c r="R60" i="14"/>
  <c r="Q60" i="14"/>
  <c r="S60" i="14" s="1"/>
  <c r="P60" i="14"/>
  <c r="N60" i="14"/>
  <c r="M60" i="14"/>
  <c r="L60" i="14"/>
  <c r="K60" i="14"/>
  <c r="J60" i="14"/>
  <c r="I60" i="14"/>
  <c r="H60" i="14"/>
  <c r="G60" i="14"/>
  <c r="F60" i="14"/>
  <c r="U60" i="14" s="1"/>
  <c r="E60" i="14"/>
  <c r="R59" i="14"/>
  <c r="Q59" i="14"/>
  <c r="S59" i="14" s="1"/>
  <c r="P59" i="14"/>
  <c r="N59" i="14"/>
  <c r="M59" i="14"/>
  <c r="L59" i="14"/>
  <c r="K59" i="14"/>
  <c r="J59" i="14"/>
  <c r="I59" i="14"/>
  <c r="H59" i="14"/>
  <c r="G59" i="14"/>
  <c r="F59" i="14"/>
  <c r="U59" i="14" s="1"/>
  <c r="E59" i="14"/>
  <c r="R58" i="14"/>
  <c r="Q58" i="14"/>
  <c r="S58" i="14" s="1"/>
  <c r="P58" i="14"/>
  <c r="N58" i="14"/>
  <c r="M58" i="14"/>
  <c r="L58" i="14"/>
  <c r="K58" i="14"/>
  <c r="J58" i="14"/>
  <c r="I58" i="14"/>
  <c r="H58" i="14"/>
  <c r="G58" i="14"/>
  <c r="F58" i="14"/>
  <c r="U58" i="14" s="1"/>
  <c r="E58" i="14"/>
  <c r="R57" i="14"/>
  <c r="Q57" i="14"/>
  <c r="P57" i="14"/>
  <c r="N57" i="14"/>
  <c r="M57" i="14"/>
  <c r="L57" i="14"/>
  <c r="K57" i="14"/>
  <c r="J57" i="14"/>
  <c r="I57" i="14"/>
  <c r="H57" i="14"/>
  <c r="G57" i="14"/>
  <c r="F57" i="14"/>
  <c r="U57" i="14" s="1"/>
  <c r="E57" i="14"/>
  <c r="R56" i="14"/>
  <c r="Q56" i="14"/>
  <c r="S56" i="14" s="1"/>
  <c r="P56" i="14"/>
  <c r="N56" i="14"/>
  <c r="M56" i="14"/>
  <c r="L56" i="14"/>
  <c r="K56" i="14"/>
  <c r="J56" i="14"/>
  <c r="I56" i="14"/>
  <c r="H56" i="14"/>
  <c r="G56" i="14"/>
  <c r="F56" i="14"/>
  <c r="U56" i="14" s="1"/>
  <c r="E56" i="14"/>
  <c r="R55" i="14"/>
  <c r="Q55" i="14"/>
  <c r="S55" i="14" s="1"/>
  <c r="P55" i="14"/>
  <c r="N55" i="14"/>
  <c r="M55" i="14"/>
  <c r="L55" i="14"/>
  <c r="K55" i="14"/>
  <c r="J55" i="14"/>
  <c r="I55" i="14"/>
  <c r="H55" i="14"/>
  <c r="G55" i="14"/>
  <c r="F55" i="14"/>
  <c r="U55" i="14" s="1"/>
  <c r="E55" i="14"/>
  <c r="R54" i="14"/>
  <c r="Q54" i="14"/>
  <c r="P54" i="14"/>
  <c r="N54" i="14"/>
  <c r="M54" i="14"/>
  <c r="L54" i="14"/>
  <c r="K54" i="14"/>
  <c r="J54" i="14"/>
  <c r="I54" i="14"/>
  <c r="H54" i="14"/>
  <c r="G54" i="14"/>
  <c r="F54" i="14"/>
  <c r="U54" i="14" s="1"/>
  <c r="E54" i="14"/>
  <c r="R53" i="14"/>
  <c r="Q53" i="14"/>
  <c r="P53" i="14"/>
  <c r="N53" i="14"/>
  <c r="M53" i="14"/>
  <c r="L53" i="14"/>
  <c r="K53" i="14"/>
  <c r="J53" i="14"/>
  <c r="I53" i="14"/>
  <c r="H53" i="14"/>
  <c r="G53" i="14"/>
  <c r="F53" i="14"/>
  <c r="U53" i="14" s="1"/>
  <c r="E53" i="14"/>
  <c r="R52" i="14"/>
  <c r="Q52" i="14"/>
  <c r="P52" i="14"/>
  <c r="N52" i="14"/>
  <c r="M52" i="14"/>
  <c r="L52" i="14"/>
  <c r="K52" i="14"/>
  <c r="J52" i="14"/>
  <c r="I52" i="14"/>
  <c r="H52" i="14"/>
  <c r="G52" i="14"/>
  <c r="F52" i="14"/>
  <c r="U52" i="14" s="1"/>
  <c r="E52" i="14"/>
  <c r="R51" i="14"/>
  <c r="Q51" i="14"/>
  <c r="P51" i="14"/>
  <c r="N51" i="14"/>
  <c r="M51" i="14"/>
  <c r="L51" i="14"/>
  <c r="K51" i="14"/>
  <c r="J51" i="14"/>
  <c r="I51" i="14"/>
  <c r="H51" i="14"/>
  <c r="G51" i="14"/>
  <c r="F51" i="14"/>
  <c r="U51" i="14" s="1"/>
  <c r="E51" i="14"/>
  <c r="R50" i="14"/>
  <c r="Q50" i="14"/>
  <c r="S50" i="14" s="1"/>
  <c r="P50" i="14"/>
  <c r="N50" i="14"/>
  <c r="M50" i="14"/>
  <c r="L50" i="14"/>
  <c r="K50" i="14"/>
  <c r="J50" i="14"/>
  <c r="I50" i="14"/>
  <c r="H50" i="14"/>
  <c r="G50" i="14"/>
  <c r="F50" i="14"/>
  <c r="U50" i="14" s="1"/>
  <c r="E50" i="14"/>
  <c r="R49" i="14"/>
  <c r="Q49" i="14"/>
  <c r="S49" i="14" s="1"/>
  <c r="P49" i="14"/>
  <c r="N49" i="14"/>
  <c r="M49" i="14"/>
  <c r="L49" i="14"/>
  <c r="K49" i="14"/>
  <c r="J49" i="14"/>
  <c r="I49" i="14"/>
  <c r="H49" i="14"/>
  <c r="G49" i="14"/>
  <c r="F49" i="14"/>
  <c r="U49" i="14" s="1"/>
  <c r="E49" i="14"/>
  <c r="R48" i="14"/>
  <c r="Q48" i="14"/>
  <c r="P48" i="14"/>
  <c r="N48" i="14"/>
  <c r="M48" i="14"/>
  <c r="L48" i="14"/>
  <c r="K48" i="14"/>
  <c r="J48" i="14"/>
  <c r="I48" i="14"/>
  <c r="H48" i="14"/>
  <c r="G48" i="14"/>
  <c r="F48" i="14"/>
  <c r="U48" i="14" s="1"/>
  <c r="E48" i="14"/>
  <c r="R47" i="14"/>
  <c r="Q47" i="14"/>
  <c r="P47" i="14"/>
  <c r="N47" i="14"/>
  <c r="M47" i="14"/>
  <c r="L47" i="14"/>
  <c r="K47" i="14"/>
  <c r="J47" i="14"/>
  <c r="I47" i="14"/>
  <c r="H47" i="14"/>
  <c r="G47" i="14"/>
  <c r="F47" i="14"/>
  <c r="U47" i="14" s="1"/>
  <c r="E47" i="14"/>
  <c r="R46" i="14"/>
  <c r="Q46" i="14"/>
  <c r="S46" i="14" s="1"/>
  <c r="P46" i="14"/>
  <c r="N46" i="14"/>
  <c r="M46" i="14"/>
  <c r="L46" i="14"/>
  <c r="K46" i="14"/>
  <c r="J46" i="14"/>
  <c r="I46" i="14"/>
  <c r="H46" i="14"/>
  <c r="G46" i="14"/>
  <c r="F46" i="14"/>
  <c r="U46" i="14" s="1"/>
  <c r="E46" i="14"/>
  <c r="R45" i="14"/>
  <c r="Q45" i="14"/>
  <c r="P45" i="14"/>
  <c r="N45" i="14"/>
  <c r="M45" i="14"/>
  <c r="L45" i="14"/>
  <c r="K45" i="14"/>
  <c r="J45" i="14"/>
  <c r="I45" i="14"/>
  <c r="H45" i="14"/>
  <c r="G45" i="14"/>
  <c r="F45" i="14"/>
  <c r="U45" i="14" s="1"/>
  <c r="E45" i="14"/>
  <c r="R44" i="14"/>
  <c r="Q44" i="14"/>
  <c r="S44" i="14" s="1"/>
  <c r="P44" i="14"/>
  <c r="N44" i="14"/>
  <c r="M44" i="14"/>
  <c r="L44" i="14"/>
  <c r="K44" i="14"/>
  <c r="J44" i="14"/>
  <c r="I44" i="14"/>
  <c r="H44" i="14"/>
  <c r="G44" i="14"/>
  <c r="F44" i="14"/>
  <c r="U44" i="14" s="1"/>
  <c r="E44" i="14"/>
  <c r="R43" i="14"/>
  <c r="Q43" i="14"/>
  <c r="S43" i="14" s="1"/>
  <c r="P43" i="14"/>
  <c r="N43" i="14"/>
  <c r="M43" i="14"/>
  <c r="L43" i="14"/>
  <c r="K43" i="14"/>
  <c r="J43" i="14"/>
  <c r="I43" i="14"/>
  <c r="H43" i="14"/>
  <c r="G43" i="14"/>
  <c r="F43" i="14"/>
  <c r="U43" i="14" s="1"/>
  <c r="E43" i="14"/>
  <c r="R42" i="14"/>
  <c r="Q42" i="14"/>
  <c r="P42" i="14"/>
  <c r="N42" i="14"/>
  <c r="M42" i="14"/>
  <c r="L42" i="14"/>
  <c r="K42" i="14"/>
  <c r="J42" i="14"/>
  <c r="I42" i="14"/>
  <c r="H42" i="14"/>
  <c r="G42" i="14"/>
  <c r="F42" i="14"/>
  <c r="U42" i="14" s="1"/>
  <c r="E42" i="14"/>
  <c r="R41" i="14"/>
  <c r="Q41" i="14"/>
  <c r="P41" i="14"/>
  <c r="N41" i="14"/>
  <c r="M41" i="14"/>
  <c r="L41" i="14"/>
  <c r="K41" i="14"/>
  <c r="J41" i="14"/>
  <c r="I41" i="14"/>
  <c r="H41" i="14"/>
  <c r="G41" i="14"/>
  <c r="F41" i="14"/>
  <c r="E41" i="14"/>
  <c r="R40" i="14"/>
  <c r="Q40" i="14"/>
  <c r="S40" i="14" s="1"/>
  <c r="P40" i="14"/>
  <c r="N40" i="14"/>
  <c r="M40" i="14"/>
  <c r="L40" i="14"/>
  <c r="K40" i="14"/>
  <c r="J40" i="14"/>
  <c r="I40" i="14"/>
  <c r="H40" i="14"/>
  <c r="G40" i="14"/>
  <c r="F40" i="14"/>
  <c r="U40" i="14" s="1"/>
  <c r="E40" i="14"/>
  <c r="R39" i="14"/>
  <c r="Q39" i="14"/>
  <c r="P39" i="14"/>
  <c r="N39" i="14"/>
  <c r="M39" i="14"/>
  <c r="L39" i="14"/>
  <c r="K39" i="14"/>
  <c r="J39" i="14"/>
  <c r="I39" i="14"/>
  <c r="H39" i="14"/>
  <c r="G39" i="14"/>
  <c r="F39" i="14"/>
  <c r="U39" i="14" s="1"/>
  <c r="E39" i="14"/>
  <c r="R38" i="14"/>
  <c r="Q38" i="14"/>
  <c r="P38" i="14"/>
  <c r="N38" i="14"/>
  <c r="M38" i="14"/>
  <c r="L38" i="14"/>
  <c r="K38" i="14"/>
  <c r="J38" i="14"/>
  <c r="I38" i="14"/>
  <c r="H38" i="14"/>
  <c r="G38" i="14"/>
  <c r="F38" i="14"/>
  <c r="U38" i="14" s="1"/>
  <c r="E38" i="14"/>
  <c r="R37" i="14"/>
  <c r="Q37" i="14"/>
  <c r="P37" i="14"/>
  <c r="N37" i="14"/>
  <c r="M37" i="14"/>
  <c r="L37" i="14"/>
  <c r="K37" i="14"/>
  <c r="J37" i="14"/>
  <c r="I37" i="14"/>
  <c r="H37" i="14"/>
  <c r="G37" i="14"/>
  <c r="F37" i="14"/>
  <c r="U37" i="14" s="1"/>
  <c r="E37" i="14"/>
  <c r="R36" i="14"/>
  <c r="Q36" i="14"/>
  <c r="S36" i="14" s="1"/>
  <c r="P36" i="14"/>
  <c r="N36" i="14"/>
  <c r="M36" i="14"/>
  <c r="L36" i="14"/>
  <c r="K36" i="14"/>
  <c r="J36" i="14"/>
  <c r="I36" i="14"/>
  <c r="H36" i="14"/>
  <c r="G36" i="14"/>
  <c r="F36" i="14"/>
  <c r="U36" i="14" s="1"/>
  <c r="E36" i="14"/>
  <c r="R35" i="14"/>
  <c r="Q35" i="14"/>
  <c r="S35" i="14" s="1"/>
  <c r="P35" i="14"/>
  <c r="N35" i="14"/>
  <c r="M35" i="14"/>
  <c r="L35" i="14"/>
  <c r="K35" i="14"/>
  <c r="J35" i="14"/>
  <c r="I35" i="14"/>
  <c r="H35" i="14"/>
  <c r="G35" i="14"/>
  <c r="F35" i="14"/>
  <c r="E35" i="14"/>
  <c r="R34" i="14"/>
  <c r="Q34" i="14"/>
  <c r="P34" i="14"/>
  <c r="N34" i="14"/>
  <c r="M34" i="14"/>
  <c r="L34" i="14"/>
  <c r="K34" i="14"/>
  <c r="J34" i="14"/>
  <c r="I34" i="14"/>
  <c r="H34" i="14"/>
  <c r="G34" i="14"/>
  <c r="F34" i="14"/>
  <c r="U34" i="14" s="1"/>
  <c r="E34" i="14"/>
  <c r="R33" i="14"/>
  <c r="Q33" i="14"/>
  <c r="P33" i="14"/>
  <c r="N33" i="14"/>
  <c r="M33" i="14"/>
  <c r="L33" i="14"/>
  <c r="K33" i="14"/>
  <c r="J33" i="14"/>
  <c r="I33" i="14"/>
  <c r="H33" i="14"/>
  <c r="G33" i="14"/>
  <c r="F33" i="14"/>
  <c r="E33" i="14"/>
  <c r="R32" i="14"/>
  <c r="Q32" i="14"/>
  <c r="S32" i="14" s="1"/>
  <c r="P32" i="14"/>
  <c r="N32" i="14"/>
  <c r="M32" i="14"/>
  <c r="L32" i="14"/>
  <c r="K32" i="14"/>
  <c r="J32" i="14"/>
  <c r="I32" i="14"/>
  <c r="H32" i="14"/>
  <c r="G32" i="14"/>
  <c r="F32" i="14"/>
  <c r="U32" i="14" s="1"/>
  <c r="E32" i="14"/>
  <c r="R31" i="14"/>
  <c r="Q31" i="14"/>
  <c r="S31" i="14" s="1"/>
  <c r="P31" i="14"/>
  <c r="N31" i="14"/>
  <c r="M31" i="14"/>
  <c r="L31" i="14"/>
  <c r="K31" i="14"/>
  <c r="J31" i="14"/>
  <c r="I31" i="14"/>
  <c r="H31" i="14"/>
  <c r="G31" i="14"/>
  <c r="F31" i="14"/>
  <c r="U31" i="14" s="1"/>
  <c r="E31" i="14"/>
  <c r="R30" i="14"/>
  <c r="Q30" i="14"/>
  <c r="S30" i="14" s="1"/>
  <c r="P30" i="14"/>
  <c r="N30" i="14"/>
  <c r="M30" i="14"/>
  <c r="L30" i="14"/>
  <c r="K30" i="14"/>
  <c r="J30" i="14"/>
  <c r="I30" i="14"/>
  <c r="H30" i="14"/>
  <c r="G30" i="14"/>
  <c r="F30" i="14"/>
  <c r="U30" i="14" s="1"/>
  <c r="E30" i="14"/>
  <c r="R29" i="14"/>
  <c r="Q29" i="14"/>
  <c r="P29" i="14"/>
  <c r="N29" i="14"/>
  <c r="M29" i="14"/>
  <c r="L29" i="14"/>
  <c r="K29" i="14"/>
  <c r="J29" i="14"/>
  <c r="I29" i="14"/>
  <c r="H29" i="14"/>
  <c r="G29" i="14"/>
  <c r="F29" i="14"/>
  <c r="U29" i="14" s="1"/>
  <c r="E29" i="14"/>
  <c r="R28" i="14"/>
  <c r="Q28" i="14"/>
  <c r="S28" i="14" s="1"/>
  <c r="P28" i="14"/>
  <c r="N28" i="14"/>
  <c r="M28" i="14"/>
  <c r="L28" i="14"/>
  <c r="K28" i="14"/>
  <c r="J28" i="14"/>
  <c r="I28" i="14"/>
  <c r="H28" i="14"/>
  <c r="G28" i="14"/>
  <c r="F28" i="14"/>
  <c r="U28" i="14" s="1"/>
  <c r="E28" i="14"/>
  <c r="R27" i="14"/>
  <c r="Q27" i="14"/>
  <c r="P27" i="14"/>
  <c r="N27" i="14"/>
  <c r="M27" i="14"/>
  <c r="L27" i="14"/>
  <c r="K27" i="14"/>
  <c r="J27" i="14"/>
  <c r="I27" i="14"/>
  <c r="H27" i="14"/>
  <c r="G27" i="14"/>
  <c r="F27" i="14"/>
  <c r="U27" i="14" s="1"/>
  <c r="E27" i="14"/>
  <c r="R26" i="14"/>
  <c r="Q26" i="14"/>
  <c r="P26" i="14"/>
  <c r="N26" i="14"/>
  <c r="M26" i="14"/>
  <c r="L26" i="14"/>
  <c r="K26" i="14"/>
  <c r="J26" i="14"/>
  <c r="I26" i="14"/>
  <c r="H26" i="14"/>
  <c r="G26" i="14"/>
  <c r="F26" i="14"/>
  <c r="U26" i="14" s="1"/>
  <c r="E26" i="14"/>
  <c r="R25" i="14"/>
  <c r="Q25" i="14"/>
  <c r="P25" i="14"/>
  <c r="N25" i="14"/>
  <c r="M25" i="14"/>
  <c r="L25" i="14"/>
  <c r="K25" i="14"/>
  <c r="J25" i="14"/>
  <c r="I25" i="14"/>
  <c r="H25" i="14"/>
  <c r="G25" i="14"/>
  <c r="F25" i="14"/>
  <c r="U25" i="14" s="1"/>
  <c r="E25" i="14"/>
  <c r="R24" i="14"/>
  <c r="Q24" i="14"/>
  <c r="P24" i="14"/>
  <c r="N24" i="14"/>
  <c r="M24" i="14"/>
  <c r="L24" i="14"/>
  <c r="K24" i="14"/>
  <c r="J24" i="14"/>
  <c r="I24" i="14"/>
  <c r="H24" i="14"/>
  <c r="G24" i="14"/>
  <c r="F24" i="14"/>
  <c r="U24" i="14" s="1"/>
  <c r="E24" i="14"/>
  <c r="R23" i="14"/>
  <c r="Q23" i="14"/>
  <c r="P23" i="14"/>
  <c r="N23" i="14"/>
  <c r="M23" i="14"/>
  <c r="L23" i="14"/>
  <c r="K23" i="14"/>
  <c r="J23" i="14"/>
  <c r="I23" i="14"/>
  <c r="H23" i="14"/>
  <c r="G23" i="14"/>
  <c r="F23" i="14"/>
  <c r="E23" i="14"/>
  <c r="R22" i="14"/>
  <c r="Q22" i="14"/>
  <c r="S22" i="14" s="1"/>
  <c r="P22" i="14"/>
  <c r="N22" i="14"/>
  <c r="M22" i="14"/>
  <c r="L22" i="14"/>
  <c r="K22" i="14"/>
  <c r="J22" i="14"/>
  <c r="I22" i="14"/>
  <c r="H22" i="14"/>
  <c r="G22" i="14"/>
  <c r="F22" i="14"/>
  <c r="U22" i="14" s="1"/>
  <c r="E22" i="14"/>
  <c r="R21" i="14"/>
  <c r="Q21" i="14"/>
  <c r="S21" i="14" s="1"/>
  <c r="P21" i="14"/>
  <c r="N21" i="14"/>
  <c r="M21" i="14"/>
  <c r="L21" i="14"/>
  <c r="K21" i="14"/>
  <c r="J21" i="14"/>
  <c r="I21" i="14"/>
  <c r="H21" i="14"/>
  <c r="G21" i="14"/>
  <c r="F21" i="14"/>
  <c r="U21" i="14" s="1"/>
  <c r="E21" i="14"/>
  <c r="R20" i="14"/>
  <c r="Q20" i="14"/>
  <c r="P20" i="14"/>
  <c r="N20" i="14"/>
  <c r="M20" i="14"/>
  <c r="L20" i="14"/>
  <c r="K20" i="14"/>
  <c r="J20" i="14"/>
  <c r="I20" i="14"/>
  <c r="H20" i="14"/>
  <c r="G20" i="14"/>
  <c r="F20" i="14"/>
  <c r="U20" i="14" s="1"/>
  <c r="E20" i="14"/>
  <c r="R19" i="14"/>
  <c r="Q19" i="14"/>
  <c r="S19" i="14" s="1"/>
  <c r="P19" i="14"/>
  <c r="N19" i="14"/>
  <c r="M19" i="14"/>
  <c r="L19" i="14"/>
  <c r="K19" i="14"/>
  <c r="J19" i="14"/>
  <c r="I19" i="14"/>
  <c r="H19" i="14"/>
  <c r="G19" i="14"/>
  <c r="F19" i="14"/>
  <c r="U19" i="14" s="1"/>
  <c r="E19" i="14"/>
  <c r="R18" i="14"/>
  <c r="Q18" i="14"/>
  <c r="S18" i="14" s="1"/>
  <c r="P18" i="14"/>
  <c r="N18" i="14"/>
  <c r="M18" i="14"/>
  <c r="L18" i="14"/>
  <c r="K18" i="14"/>
  <c r="J18" i="14"/>
  <c r="I18" i="14"/>
  <c r="H18" i="14"/>
  <c r="G18" i="14"/>
  <c r="F18" i="14"/>
  <c r="U18" i="14" s="1"/>
  <c r="E18" i="14"/>
  <c r="R17" i="14"/>
  <c r="Q17" i="14"/>
  <c r="S17" i="14" s="1"/>
  <c r="P17" i="14"/>
  <c r="N17" i="14"/>
  <c r="M17" i="14"/>
  <c r="L17" i="14"/>
  <c r="K17" i="14"/>
  <c r="J17" i="14"/>
  <c r="I17" i="14"/>
  <c r="H17" i="14"/>
  <c r="G17" i="14"/>
  <c r="F17" i="14"/>
  <c r="U17" i="14" s="1"/>
  <c r="E17" i="14"/>
  <c r="R16" i="14"/>
  <c r="Q16" i="14"/>
  <c r="P16" i="14"/>
  <c r="N16" i="14"/>
  <c r="M16" i="14"/>
  <c r="L16" i="14"/>
  <c r="K16" i="14"/>
  <c r="J16" i="14"/>
  <c r="I16" i="14"/>
  <c r="H16" i="14"/>
  <c r="G16" i="14"/>
  <c r="F16" i="14"/>
  <c r="E16" i="14"/>
  <c r="R15" i="14"/>
  <c r="Q15" i="14"/>
  <c r="S15" i="14" s="1"/>
  <c r="P15" i="14"/>
  <c r="N15" i="14"/>
  <c r="M15" i="14"/>
  <c r="L15" i="14"/>
  <c r="K15" i="14"/>
  <c r="J15" i="14"/>
  <c r="I15" i="14"/>
  <c r="H15" i="14"/>
  <c r="G15" i="14"/>
  <c r="F15" i="14"/>
  <c r="U15" i="14" s="1"/>
  <c r="E15" i="14"/>
  <c r="R14" i="14"/>
  <c r="Q14" i="14"/>
  <c r="S14" i="14" s="1"/>
  <c r="P14" i="14"/>
  <c r="N14" i="14"/>
  <c r="M14" i="14"/>
  <c r="L14" i="14"/>
  <c r="K14" i="14"/>
  <c r="J14" i="14"/>
  <c r="I14" i="14"/>
  <c r="H14" i="14"/>
  <c r="G14" i="14"/>
  <c r="F14" i="14"/>
  <c r="U14" i="14" s="1"/>
  <c r="E14" i="14"/>
  <c r="R13" i="14"/>
  <c r="Q13" i="14"/>
  <c r="P13" i="14"/>
  <c r="N13" i="14"/>
  <c r="M13" i="14"/>
  <c r="L13" i="14"/>
  <c r="K13" i="14"/>
  <c r="J13" i="14"/>
  <c r="I13" i="14"/>
  <c r="H13" i="14"/>
  <c r="G13" i="14"/>
  <c r="F13" i="14"/>
  <c r="U13" i="14" s="1"/>
  <c r="E13" i="14"/>
  <c r="R12" i="14"/>
  <c r="Q12" i="14"/>
  <c r="P12" i="14"/>
  <c r="N12" i="14"/>
  <c r="M12" i="14"/>
  <c r="L12" i="14"/>
  <c r="K12" i="14"/>
  <c r="J12" i="14"/>
  <c r="I12" i="14"/>
  <c r="H12" i="14"/>
  <c r="G12" i="14"/>
  <c r="F12" i="14"/>
  <c r="U12" i="14" s="1"/>
  <c r="E12" i="14"/>
  <c r="R11" i="14"/>
  <c r="Q11" i="14"/>
  <c r="P11" i="14"/>
  <c r="N11" i="14"/>
  <c r="M11" i="14"/>
  <c r="L11" i="14"/>
  <c r="K11" i="14"/>
  <c r="J11" i="14"/>
  <c r="I11" i="14"/>
  <c r="H11" i="14"/>
  <c r="G11" i="14"/>
  <c r="F11" i="14"/>
  <c r="U11" i="14" s="1"/>
  <c r="E11" i="14"/>
  <c r="R10" i="14"/>
  <c r="Q10" i="14"/>
  <c r="S10" i="14" s="1"/>
  <c r="P10" i="14"/>
  <c r="N10" i="14"/>
  <c r="M10" i="14"/>
  <c r="L10" i="14"/>
  <c r="K10" i="14"/>
  <c r="J10" i="14"/>
  <c r="I10" i="14"/>
  <c r="H10" i="14"/>
  <c r="G10" i="14"/>
  <c r="F10" i="14"/>
  <c r="U10" i="14" s="1"/>
  <c r="E10" i="14"/>
  <c r="R9" i="14"/>
  <c r="Q9" i="14"/>
  <c r="S9" i="14" s="1"/>
  <c r="P9" i="14"/>
  <c r="N9" i="14"/>
  <c r="M9" i="14"/>
  <c r="L9" i="14"/>
  <c r="K9" i="14"/>
  <c r="J9" i="14"/>
  <c r="I9" i="14"/>
  <c r="H9" i="14"/>
  <c r="G9" i="14"/>
  <c r="F9" i="14"/>
  <c r="U9" i="14" s="1"/>
  <c r="E9" i="14"/>
  <c r="R8" i="14"/>
  <c r="Q8" i="14"/>
  <c r="S8" i="14" s="1"/>
  <c r="P8" i="14"/>
  <c r="N8" i="14"/>
  <c r="M8" i="14"/>
  <c r="L8" i="14"/>
  <c r="K8" i="14"/>
  <c r="J8" i="14"/>
  <c r="I8" i="14"/>
  <c r="H8" i="14"/>
  <c r="G8" i="14"/>
  <c r="F8" i="14"/>
  <c r="U8" i="14" s="1"/>
  <c r="E8" i="14"/>
  <c r="R7" i="14"/>
  <c r="Q7" i="14"/>
  <c r="S7" i="14" s="1"/>
  <c r="P7" i="14"/>
  <c r="N7" i="14"/>
  <c r="M7" i="14"/>
  <c r="L7" i="14"/>
  <c r="K7" i="14"/>
  <c r="J7" i="14"/>
  <c r="I7" i="14"/>
  <c r="H7" i="14"/>
  <c r="G7" i="14"/>
  <c r="F7" i="14"/>
  <c r="U7" i="14" s="1"/>
  <c r="E7" i="14"/>
  <c r="R6" i="14"/>
  <c r="Q6" i="14"/>
  <c r="S6" i="14" s="1"/>
  <c r="P6" i="14"/>
  <c r="N6" i="14"/>
  <c r="M6" i="14"/>
  <c r="L6" i="14"/>
  <c r="K6" i="14"/>
  <c r="J6" i="14"/>
  <c r="I6" i="14"/>
  <c r="H6" i="14"/>
  <c r="G6" i="14"/>
  <c r="F6" i="14"/>
  <c r="U6" i="14" s="1"/>
  <c r="E6" i="14"/>
  <c r="R5" i="14"/>
  <c r="Q5" i="14"/>
  <c r="S5" i="14" s="1"/>
  <c r="P5" i="14"/>
  <c r="N5" i="14"/>
  <c r="M5" i="14"/>
  <c r="L5" i="14"/>
  <c r="K5" i="14"/>
  <c r="J5" i="14"/>
  <c r="I5" i="14"/>
  <c r="H5" i="14"/>
  <c r="G5" i="14"/>
  <c r="F5" i="14"/>
  <c r="E5" i="14"/>
  <c r="R4" i="14"/>
  <c r="Q4" i="14"/>
  <c r="P4" i="14"/>
  <c r="N4" i="14"/>
  <c r="M4" i="14"/>
  <c r="L4" i="14"/>
  <c r="K4" i="14"/>
  <c r="J4" i="14"/>
  <c r="I4" i="14"/>
  <c r="H4" i="14"/>
  <c r="G4" i="14"/>
  <c r="F4" i="14"/>
  <c r="E4" i="14"/>
  <c r="R3" i="14"/>
  <c r="Q3" i="14"/>
  <c r="P3" i="14"/>
  <c r="N3" i="14"/>
  <c r="M3" i="14"/>
  <c r="L3" i="14"/>
  <c r="K3" i="14"/>
  <c r="J3" i="14"/>
  <c r="I3" i="14"/>
  <c r="H3" i="14"/>
  <c r="G3" i="14"/>
  <c r="F3" i="14"/>
  <c r="E3" i="14"/>
  <c r="R2" i="14"/>
  <c r="Q2" i="14"/>
  <c r="P2" i="14"/>
  <c r="N2" i="14"/>
  <c r="M2" i="14"/>
  <c r="L2" i="14"/>
  <c r="K2" i="14"/>
  <c r="J2" i="14"/>
  <c r="I2" i="14"/>
  <c r="H2" i="14"/>
  <c r="G2" i="14"/>
  <c r="F2" i="14"/>
  <c r="E2" i="14"/>
  <c r="M4" i="11"/>
  <c r="K4" i="11"/>
  <c r="I4" i="11"/>
  <c r="G4" i="11"/>
  <c r="E4" i="11"/>
  <c r="D4" i="11"/>
  <c r="M3" i="11"/>
  <c r="K3" i="11"/>
  <c r="I3" i="11"/>
  <c r="G3" i="11"/>
  <c r="E3" i="11"/>
  <c r="D3" i="11"/>
  <c r="M2" i="11"/>
  <c r="K2" i="11"/>
  <c r="I2" i="11"/>
  <c r="G2" i="11"/>
  <c r="E2" i="11"/>
  <c r="D2" i="11"/>
  <c r="K4" i="10"/>
  <c r="I4" i="10"/>
  <c r="G4" i="10"/>
  <c r="E4" i="10"/>
  <c r="C4" i="10"/>
  <c r="K3" i="10"/>
  <c r="I3" i="10"/>
  <c r="G3" i="10"/>
  <c r="E3" i="10"/>
  <c r="C3" i="10"/>
  <c r="K2" i="10"/>
  <c r="K11" i="10" s="1"/>
  <c r="I2" i="10"/>
  <c r="I11" i="10" s="1"/>
  <c r="G2" i="10"/>
  <c r="G11" i="10" s="1"/>
  <c r="E2" i="10"/>
  <c r="E11" i="10" s="1"/>
  <c r="C2" i="10"/>
  <c r="C11" i="10" s="1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V21" i="8"/>
  <c r="U21" i="8"/>
  <c r="T21" i="8"/>
  <c r="S21" i="8"/>
  <c r="R21" i="8"/>
  <c r="Q21" i="8"/>
  <c r="P21" i="8"/>
  <c r="V20" i="8"/>
  <c r="U20" i="8"/>
  <c r="T20" i="8"/>
  <c r="S20" i="8"/>
  <c r="R20" i="8"/>
  <c r="Q20" i="8"/>
  <c r="P20" i="8"/>
  <c r="V19" i="8"/>
  <c r="U19" i="8"/>
  <c r="T19" i="8"/>
  <c r="S19" i="8"/>
  <c r="R19" i="8"/>
  <c r="Q19" i="8"/>
  <c r="P19" i="8"/>
  <c r="V18" i="8"/>
  <c r="U18" i="8"/>
  <c r="T18" i="8"/>
  <c r="S18" i="8"/>
  <c r="R18" i="8"/>
  <c r="Q18" i="8"/>
  <c r="P18" i="8"/>
  <c r="V17" i="8"/>
  <c r="U17" i="8"/>
  <c r="T17" i="8"/>
  <c r="S17" i="8"/>
  <c r="R17" i="8"/>
  <c r="Q17" i="8"/>
  <c r="P17" i="8"/>
  <c r="V16" i="8"/>
  <c r="U16" i="8"/>
  <c r="T16" i="8"/>
  <c r="S16" i="8"/>
  <c r="R16" i="8"/>
  <c r="Q16" i="8"/>
  <c r="P16" i="8"/>
  <c r="V15" i="8"/>
  <c r="U15" i="8"/>
  <c r="T15" i="8"/>
  <c r="S15" i="8"/>
  <c r="R15" i="8"/>
  <c r="Q15" i="8"/>
  <c r="P15" i="8"/>
  <c r="V14" i="8"/>
  <c r="U14" i="8"/>
  <c r="T14" i="8"/>
  <c r="S14" i="8"/>
  <c r="R14" i="8"/>
  <c r="Q14" i="8"/>
  <c r="P14" i="8"/>
  <c r="V13" i="8"/>
  <c r="U13" i="8"/>
  <c r="T13" i="8"/>
  <c r="S13" i="8"/>
  <c r="R13" i="8"/>
  <c r="Q13" i="8"/>
  <c r="P13" i="8"/>
  <c r="V12" i="8"/>
  <c r="U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V7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4" i="8"/>
  <c r="U4" i="8"/>
  <c r="T4" i="8"/>
  <c r="S4" i="8"/>
  <c r="R4" i="8"/>
  <c r="Q4" i="8"/>
  <c r="P4" i="8"/>
  <c r="V3" i="8"/>
  <c r="U3" i="8"/>
  <c r="T3" i="8"/>
  <c r="S3" i="8"/>
  <c r="R3" i="8"/>
  <c r="Q3" i="8"/>
  <c r="P3" i="8"/>
  <c r="V2" i="8"/>
  <c r="U2" i="8"/>
  <c r="T2" i="8"/>
  <c r="S2" i="8"/>
  <c r="R2" i="8"/>
  <c r="Q2" i="8"/>
  <c r="P2" i="8"/>
  <c r="U78" i="7"/>
  <c r="T78" i="7"/>
  <c r="V78" i="7" s="1"/>
  <c r="R78" i="7"/>
  <c r="Q78" i="7"/>
  <c r="P78" i="7"/>
  <c r="N78" i="7"/>
  <c r="M78" i="7"/>
  <c r="L78" i="7"/>
  <c r="K78" i="7"/>
  <c r="J78" i="7"/>
  <c r="I78" i="7"/>
  <c r="H78" i="7"/>
  <c r="G78" i="7"/>
  <c r="F78" i="7"/>
  <c r="E78" i="7"/>
  <c r="X78" i="7" s="1"/>
  <c r="D78" i="7"/>
  <c r="U77" i="7"/>
  <c r="T77" i="7"/>
  <c r="V77" i="7" s="1"/>
  <c r="R77" i="7"/>
  <c r="Q77" i="7"/>
  <c r="S77" i="7" s="1"/>
  <c r="P77" i="7"/>
  <c r="N77" i="7"/>
  <c r="M77" i="7"/>
  <c r="L77" i="7"/>
  <c r="K77" i="7"/>
  <c r="J77" i="7"/>
  <c r="I77" i="7"/>
  <c r="H77" i="7"/>
  <c r="G77" i="7"/>
  <c r="F77" i="7"/>
  <c r="E77" i="7"/>
  <c r="D77" i="7"/>
  <c r="U76" i="7"/>
  <c r="T76" i="7"/>
  <c r="V76" i="7" s="1"/>
  <c r="R76" i="7"/>
  <c r="Q76" i="7"/>
  <c r="S76" i="7" s="1"/>
  <c r="P76" i="7"/>
  <c r="N76" i="7"/>
  <c r="M76" i="7"/>
  <c r="L76" i="7"/>
  <c r="K76" i="7"/>
  <c r="J76" i="7"/>
  <c r="I76" i="7"/>
  <c r="H76" i="7"/>
  <c r="G76" i="7"/>
  <c r="F76" i="7"/>
  <c r="E76" i="7"/>
  <c r="X76" i="7" s="1"/>
  <c r="D76" i="7"/>
  <c r="U75" i="7"/>
  <c r="T75" i="7"/>
  <c r="V75" i="7" s="1"/>
  <c r="R75" i="7"/>
  <c r="Q75" i="7"/>
  <c r="S75" i="7" s="1"/>
  <c r="P75" i="7"/>
  <c r="N75" i="7"/>
  <c r="M75" i="7"/>
  <c r="L75" i="7"/>
  <c r="K75" i="7"/>
  <c r="J75" i="7"/>
  <c r="I75" i="7"/>
  <c r="H75" i="7"/>
  <c r="G75" i="7"/>
  <c r="F75" i="7"/>
  <c r="E75" i="7"/>
  <c r="X75" i="7" s="1"/>
  <c r="D75" i="7"/>
  <c r="U74" i="7"/>
  <c r="T74" i="7"/>
  <c r="V74" i="7" s="1"/>
  <c r="R74" i="7"/>
  <c r="Q74" i="7"/>
  <c r="S74" i="7" s="1"/>
  <c r="P74" i="7"/>
  <c r="N74" i="7"/>
  <c r="M74" i="7"/>
  <c r="L74" i="7"/>
  <c r="K74" i="7"/>
  <c r="J74" i="7"/>
  <c r="I74" i="7"/>
  <c r="H74" i="7"/>
  <c r="G74" i="7"/>
  <c r="F74" i="7"/>
  <c r="E74" i="7"/>
  <c r="X74" i="7" s="1"/>
  <c r="D74" i="7"/>
  <c r="U73" i="7"/>
  <c r="T73" i="7"/>
  <c r="V73" i="7" s="1"/>
  <c r="R73" i="7"/>
  <c r="Q73" i="7"/>
  <c r="P73" i="7"/>
  <c r="N73" i="7"/>
  <c r="M73" i="7"/>
  <c r="L73" i="7"/>
  <c r="K73" i="7"/>
  <c r="J73" i="7"/>
  <c r="I73" i="7"/>
  <c r="H73" i="7"/>
  <c r="G73" i="7"/>
  <c r="F73" i="7"/>
  <c r="E73" i="7"/>
  <c r="X73" i="7" s="1"/>
  <c r="D73" i="7"/>
  <c r="U72" i="7"/>
  <c r="T72" i="7"/>
  <c r="V72" i="7" s="1"/>
  <c r="R72" i="7"/>
  <c r="Q72" i="7"/>
  <c r="S72" i="7" s="1"/>
  <c r="P72" i="7"/>
  <c r="N72" i="7"/>
  <c r="M72" i="7"/>
  <c r="L72" i="7"/>
  <c r="K72" i="7"/>
  <c r="J72" i="7"/>
  <c r="I72" i="7"/>
  <c r="H72" i="7"/>
  <c r="G72" i="7"/>
  <c r="F72" i="7"/>
  <c r="E72" i="7"/>
  <c r="X72" i="7" s="1"/>
  <c r="D72" i="7"/>
  <c r="U71" i="7"/>
  <c r="T71" i="7"/>
  <c r="V71" i="7" s="1"/>
  <c r="R71" i="7"/>
  <c r="Q71" i="7"/>
  <c r="S71" i="7" s="1"/>
  <c r="P71" i="7"/>
  <c r="N71" i="7"/>
  <c r="M71" i="7"/>
  <c r="L71" i="7"/>
  <c r="K71" i="7"/>
  <c r="J71" i="7"/>
  <c r="I71" i="7"/>
  <c r="H71" i="7"/>
  <c r="G71" i="7"/>
  <c r="F71" i="7"/>
  <c r="E71" i="7"/>
  <c r="X71" i="7" s="1"/>
  <c r="D71" i="7"/>
  <c r="U70" i="7"/>
  <c r="T70" i="7"/>
  <c r="V70" i="7" s="1"/>
  <c r="R70" i="7"/>
  <c r="Q70" i="7"/>
  <c r="S70" i="7" s="1"/>
  <c r="P70" i="7"/>
  <c r="N70" i="7"/>
  <c r="M70" i="7"/>
  <c r="L70" i="7"/>
  <c r="K70" i="7"/>
  <c r="J70" i="7"/>
  <c r="I70" i="7"/>
  <c r="H70" i="7"/>
  <c r="G70" i="7"/>
  <c r="F70" i="7"/>
  <c r="E70" i="7"/>
  <c r="X70" i="7" s="1"/>
  <c r="D70" i="7"/>
  <c r="U69" i="7"/>
  <c r="T69" i="7"/>
  <c r="V69" i="7" s="1"/>
  <c r="R69" i="7"/>
  <c r="Q69" i="7"/>
  <c r="S69" i="7" s="1"/>
  <c r="P69" i="7"/>
  <c r="N69" i="7"/>
  <c r="M69" i="7"/>
  <c r="L69" i="7"/>
  <c r="K69" i="7"/>
  <c r="J69" i="7"/>
  <c r="I69" i="7"/>
  <c r="H69" i="7"/>
  <c r="G69" i="7"/>
  <c r="F69" i="7"/>
  <c r="E69" i="7"/>
  <c r="X69" i="7" s="1"/>
  <c r="D69" i="7"/>
  <c r="U68" i="7"/>
  <c r="T68" i="7"/>
  <c r="V68" i="7" s="1"/>
  <c r="R68" i="7"/>
  <c r="Q68" i="7"/>
  <c r="S68" i="7" s="1"/>
  <c r="P68" i="7"/>
  <c r="N68" i="7"/>
  <c r="M68" i="7"/>
  <c r="L68" i="7"/>
  <c r="K68" i="7"/>
  <c r="J68" i="7"/>
  <c r="I68" i="7"/>
  <c r="H68" i="7"/>
  <c r="G68" i="7"/>
  <c r="F68" i="7"/>
  <c r="E68" i="7"/>
  <c r="X68" i="7" s="1"/>
  <c r="D68" i="7"/>
  <c r="U67" i="7"/>
  <c r="T67" i="7"/>
  <c r="V67" i="7" s="1"/>
  <c r="R67" i="7"/>
  <c r="Q67" i="7"/>
  <c r="S67" i="7" s="1"/>
  <c r="P67" i="7"/>
  <c r="N67" i="7"/>
  <c r="M67" i="7"/>
  <c r="L67" i="7"/>
  <c r="K67" i="7"/>
  <c r="J67" i="7"/>
  <c r="I67" i="7"/>
  <c r="H67" i="7"/>
  <c r="G67" i="7"/>
  <c r="F67" i="7"/>
  <c r="E67" i="7"/>
  <c r="X67" i="7" s="1"/>
  <c r="D67" i="7"/>
  <c r="U66" i="7"/>
  <c r="T66" i="7"/>
  <c r="V66" i="7" s="1"/>
  <c r="R66" i="7"/>
  <c r="Q66" i="7"/>
  <c r="S66" i="7" s="1"/>
  <c r="P66" i="7"/>
  <c r="N66" i="7"/>
  <c r="M66" i="7"/>
  <c r="L66" i="7"/>
  <c r="K66" i="7"/>
  <c r="J66" i="7"/>
  <c r="I66" i="7"/>
  <c r="H66" i="7"/>
  <c r="G66" i="7"/>
  <c r="F66" i="7"/>
  <c r="E66" i="7"/>
  <c r="X66" i="7" s="1"/>
  <c r="D66" i="7"/>
  <c r="U65" i="7"/>
  <c r="T65" i="7"/>
  <c r="V65" i="7" s="1"/>
  <c r="R65" i="7"/>
  <c r="Q65" i="7"/>
  <c r="S65" i="7" s="1"/>
  <c r="P65" i="7"/>
  <c r="N65" i="7"/>
  <c r="M65" i="7"/>
  <c r="L65" i="7"/>
  <c r="K65" i="7"/>
  <c r="J65" i="7"/>
  <c r="I65" i="7"/>
  <c r="H65" i="7"/>
  <c r="G65" i="7"/>
  <c r="F65" i="7"/>
  <c r="E65" i="7"/>
  <c r="X65" i="7" s="1"/>
  <c r="D65" i="7"/>
  <c r="U64" i="7"/>
  <c r="T64" i="7"/>
  <c r="V64" i="7" s="1"/>
  <c r="R64" i="7"/>
  <c r="Q64" i="7"/>
  <c r="S64" i="7" s="1"/>
  <c r="P64" i="7"/>
  <c r="N64" i="7"/>
  <c r="M64" i="7"/>
  <c r="L64" i="7"/>
  <c r="K64" i="7"/>
  <c r="J64" i="7"/>
  <c r="I64" i="7"/>
  <c r="H64" i="7"/>
  <c r="G64" i="7"/>
  <c r="F64" i="7"/>
  <c r="E64" i="7"/>
  <c r="X64" i="7" s="1"/>
  <c r="D64" i="7"/>
  <c r="U63" i="7"/>
  <c r="T63" i="7"/>
  <c r="V63" i="7" s="1"/>
  <c r="R63" i="7"/>
  <c r="Q63" i="7"/>
  <c r="S63" i="7" s="1"/>
  <c r="P63" i="7"/>
  <c r="N63" i="7"/>
  <c r="M63" i="7"/>
  <c r="L63" i="7"/>
  <c r="K63" i="7"/>
  <c r="J63" i="7"/>
  <c r="I63" i="7"/>
  <c r="H63" i="7"/>
  <c r="G63" i="7"/>
  <c r="F63" i="7"/>
  <c r="E63" i="7"/>
  <c r="D63" i="7"/>
  <c r="U62" i="7"/>
  <c r="T62" i="7"/>
  <c r="R62" i="7"/>
  <c r="Q62" i="7"/>
  <c r="H4" i="10" s="1"/>
  <c r="P62" i="7"/>
  <c r="N62" i="7"/>
  <c r="M62" i="7"/>
  <c r="L62" i="7"/>
  <c r="K62" i="7"/>
  <c r="O4" i="10" s="1"/>
  <c r="J62" i="7"/>
  <c r="I62" i="7"/>
  <c r="N4" i="10" s="1"/>
  <c r="H62" i="7"/>
  <c r="P4" i="10" s="1"/>
  <c r="G62" i="7"/>
  <c r="F62" i="7"/>
  <c r="E62" i="7"/>
  <c r="X62" i="7" s="1"/>
  <c r="D62" i="7"/>
  <c r="U61" i="7"/>
  <c r="T61" i="7"/>
  <c r="R61" i="7"/>
  <c r="Q61" i="7"/>
  <c r="S61" i="7" s="1"/>
  <c r="P61" i="7"/>
  <c r="N61" i="7"/>
  <c r="M61" i="7"/>
  <c r="L61" i="7"/>
  <c r="K61" i="7"/>
  <c r="J61" i="7"/>
  <c r="I61" i="7"/>
  <c r="H61" i="7"/>
  <c r="G61" i="7"/>
  <c r="F61" i="7"/>
  <c r="E61" i="7"/>
  <c r="X61" i="7" s="1"/>
  <c r="D61" i="7"/>
  <c r="U60" i="7"/>
  <c r="T60" i="7"/>
  <c r="V60" i="7" s="1"/>
  <c r="R60" i="7"/>
  <c r="Q60" i="7"/>
  <c r="P60" i="7"/>
  <c r="N60" i="7"/>
  <c r="M60" i="7"/>
  <c r="L60" i="7"/>
  <c r="K60" i="7"/>
  <c r="J60" i="7"/>
  <c r="I60" i="7"/>
  <c r="H60" i="7"/>
  <c r="G60" i="7"/>
  <c r="F60" i="7"/>
  <c r="E60" i="7"/>
  <c r="X60" i="7" s="1"/>
  <c r="D60" i="7"/>
  <c r="U59" i="7"/>
  <c r="T59" i="7"/>
  <c r="R59" i="7"/>
  <c r="Q59" i="7"/>
  <c r="P59" i="7"/>
  <c r="N59" i="7"/>
  <c r="M59" i="7"/>
  <c r="L59" i="7"/>
  <c r="K59" i="7"/>
  <c r="J59" i="7"/>
  <c r="I59" i="7"/>
  <c r="H59" i="7"/>
  <c r="G59" i="7"/>
  <c r="F59" i="7"/>
  <c r="E59" i="7"/>
  <c r="X59" i="7" s="1"/>
  <c r="D59" i="7"/>
  <c r="U58" i="7"/>
  <c r="T58" i="7"/>
  <c r="V58" i="7" s="1"/>
  <c r="R58" i="7"/>
  <c r="Q58" i="7"/>
  <c r="S58" i="7" s="1"/>
  <c r="P58" i="7"/>
  <c r="N58" i="7"/>
  <c r="M58" i="7"/>
  <c r="L58" i="7"/>
  <c r="K58" i="7"/>
  <c r="J58" i="7"/>
  <c r="I58" i="7"/>
  <c r="H58" i="7"/>
  <c r="G58" i="7"/>
  <c r="F58" i="7"/>
  <c r="E58" i="7"/>
  <c r="X58" i="7" s="1"/>
  <c r="D58" i="7"/>
  <c r="U57" i="7"/>
  <c r="T57" i="7"/>
  <c r="V57" i="7" s="1"/>
  <c r="R57" i="7"/>
  <c r="Q57" i="7"/>
  <c r="S57" i="7" s="1"/>
  <c r="P57" i="7"/>
  <c r="N57" i="7"/>
  <c r="M57" i="7"/>
  <c r="L57" i="7"/>
  <c r="K57" i="7"/>
  <c r="J57" i="7"/>
  <c r="I57" i="7"/>
  <c r="H57" i="7"/>
  <c r="G57" i="7"/>
  <c r="F57" i="7"/>
  <c r="E57" i="7"/>
  <c r="X57" i="7" s="1"/>
  <c r="D57" i="7"/>
  <c r="U56" i="7"/>
  <c r="T56" i="7"/>
  <c r="V56" i="7" s="1"/>
  <c r="R56" i="7"/>
  <c r="Q56" i="7"/>
  <c r="P56" i="7"/>
  <c r="N56" i="7"/>
  <c r="M56" i="7"/>
  <c r="L56" i="7"/>
  <c r="K56" i="7"/>
  <c r="J56" i="7"/>
  <c r="I56" i="7"/>
  <c r="H56" i="7"/>
  <c r="G56" i="7"/>
  <c r="F56" i="7"/>
  <c r="E56" i="7"/>
  <c r="X56" i="7" s="1"/>
  <c r="D56" i="7"/>
  <c r="U55" i="7"/>
  <c r="T55" i="7"/>
  <c r="V55" i="7" s="1"/>
  <c r="R55" i="7"/>
  <c r="Q55" i="7"/>
  <c r="S55" i="7" s="1"/>
  <c r="P55" i="7"/>
  <c r="N55" i="7"/>
  <c r="M55" i="7"/>
  <c r="L55" i="7"/>
  <c r="K55" i="7"/>
  <c r="J55" i="7"/>
  <c r="I55" i="7"/>
  <c r="H55" i="7"/>
  <c r="G55" i="7"/>
  <c r="F55" i="7"/>
  <c r="E55" i="7"/>
  <c r="X55" i="7" s="1"/>
  <c r="D55" i="7"/>
  <c r="U54" i="7"/>
  <c r="T54" i="7"/>
  <c r="V54" i="7" s="1"/>
  <c r="R54" i="7"/>
  <c r="Q54" i="7"/>
  <c r="S54" i="7" s="1"/>
  <c r="P54" i="7"/>
  <c r="N54" i="7"/>
  <c r="M54" i="7"/>
  <c r="L54" i="7"/>
  <c r="K54" i="7"/>
  <c r="J54" i="7"/>
  <c r="I54" i="7"/>
  <c r="H54" i="7"/>
  <c r="G54" i="7"/>
  <c r="F54" i="7"/>
  <c r="E54" i="7"/>
  <c r="X54" i="7" s="1"/>
  <c r="D54" i="7"/>
  <c r="U53" i="7"/>
  <c r="T53" i="7"/>
  <c r="V53" i="7" s="1"/>
  <c r="R53" i="7"/>
  <c r="Q53" i="7"/>
  <c r="S53" i="7" s="1"/>
  <c r="P53" i="7"/>
  <c r="N53" i="7"/>
  <c r="M53" i="7"/>
  <c r="L53" i="7"/>
  <c r="K53" i="7"/>
  <c r="J53" i="7"/>
  <c r="I53" i="7"/>
  <c r="H53" i="7"/>
  <c r="G53" i="7"/>
  <c r="F53" i="7"/>
  <c r="E53" i="7"/>
  <c r="X53" i="7" s="1"/>
  <c r="D53" i="7"/>
  <c r="U52" i="7"/>
  <c r="T52" i="7"/>
  <c r="V52" i="7" s="1"/>
  <c r="R52" i="7"/>
  <c r="Q52" i="7"/>
  <c r="S52" i="7" s="1"/>
  <c r="P52" i="7"/>
  <c r="N52" i="7"/>
  <c r="M52" i="7"/>
  <c r="L52" i="7"/>
  <c r="K52" i="7"/>
  <c r="J52" i="7"/>
  <c r="I52" i="7"/>
  <c r="H52" i="7"/>
  <c r="G52" i="7"/>
  <c r="F52" i="7"/>
  <c r="E52" i="7"/>
  <c r="X52" i="7" s="1"/>
  <c r="D52" i="7"/>
  <c r="U51" i="7"/>
  <c r="T51" i="7"/>
  <c r="V51" i="7" s="1"/>
  <c r="R51" i="7"/>
  <c r="Q51" i="7"/>
  <c r="S51" i="7" s="1"/>
  <c r="P51" i="7"/>
  <c r="N51" i="7"/>
  <c r="M51" i="7"/>
  <c r="L51" i="7"/>
  <c r="K51" i="7"/>
  <c r="J51" i="7"/>
  <c r="I51" i="7"/>
  <c r="H51" i="7"/>
  <c r="G51" i="7"/>
  <c r="F51" i="7"/>
  <c r="E51" i="7"/>
  <c r="X51" i="7" s="1"/>
  <c r="D51" i="7"/>
  <c r="U50" i="7"/>
  <c r="T50" i="7"/>
  <c r="V50" i="7" s="1"/>
  <c r="R50" i="7"/>
  <c r="Q50" i="7"/>
  <c r="P50" i="7"/>
  <c r="N50" i="7"/>
  <c r="M50" i="7"/>
  <c r="L50" i="7"/>
  <c r="K50" i="7"/>
  <c r="J50" i="7"/>
  <c r="I50" i="7"/>
  <c r="H50" i="7"/>
  <c r="G50" i="7"/>
  <c r="F50" i="7"/>
  <c r="E50" i="7"/>
  <c r="X50" i="7" s="1"/>
  <c r="D50" i="7"/>
  <c r="U49" i="7"/>
  <c r="T49" i="7"/>
  <c r="V49" i="7" s="1"/>
  <c r="R49" i="7"/>
  <c r="Q49" i="7"/>
  <c r="S49" i="7" s="1"/>
  <c r="P49" i="7"/>
  <c r="N49" i="7"/>
  <c r="M49" i="7"/>
  <c r="L49" i="7"/>
  <c r="K49" i="7"/>
  <c r="J49" i="7"/>
  <c r="I49" i="7"/>
  <c r="H49" i="7"/>
  <c r="G49" i="7"/>
  <c r="F49" i="7"/>
  <c r="E49" i="7"/>
  <c r="X49" i="7" s="1"/>
  <c r="D49" i="7"/>
  <c r="U48" i="7"/>
  <c r="T48" i="7"/>
  <c r="R48" i="7"/>
  <c r="Q48" i="7"/>
  <c r="S48" i="7" s="1"/>
  <c r="P48" i="7"/>
  <c r="N48" i="7"/>
  <c r="M48" i="7"/>
  <c r="L48" i="7"/>
  <c r="K48" i="7"/>
  <c r="J48" i="7"/>
  <c r="I48" i="7"/>
  <c r="H48" i="7"/>
  <c r="G48" i="7"/>
  <c r="F48" i="7"/>
  <c r="E48" i="7"/>
  <c r="X48" i="7" s="1"/>
  <c r="D48" i="7"/>
  <c r="U47" i="7"/>
  <c r="T47" i="7"/>
  <c r="V47" i="7" s="1"/>
  <c r="R47" i="7"/>
  <c r="Q47" i="7"/>
  <c r="S47" i="7" s="1"/>
  <c r="P47" i="7"/>
  <c r="N47" i="7"/>
  <c r="M47" i="7"/>
  <c r="L47" i="7"/>
  <c r="K47" i="7"/>
  <c r="J47" i="7"/>
  <c r="I47" i="7"/>
  <c r="H47" i="7"/>
  <c r="G47" i="7"/>
  <c r="F47" i="7"/>
  <c r="E47" i="7"/>
  <c r="X47" i="7" s="1"/>
  <c r="D47" i="7"/>
  <c r="U46" i="7"/>
  <c r="T46" i="7"/>
  <c r="R46" i="7"/>
  <c r="Q46" i="7"/>
  <c r="S46" i="7" s="1"/>
  <c r="P46" i="7"/>
  <c r="N46" i="7"/>
  <c r="M46" i="7"/>
  <c r="L46" i="7"/>
  <c r="K46" i="7"/>
  <c r="J46" i="7"/>
  <c r="I46" i="7"/>
  <c r="H46" i="7"/>
  <c r="G46" i="7"/>
  <c r="F46" i="7"/>
  <c r="E46" i="7"/>
  <c r="X46" i="7" s="1"/>
  <c r="D46" i="7"/>
  <c r="U45" i="7"/>
  <c r="T45" i="7"/>
  <c r="V45" i="7" s="1"/>
  <c r="R45" i="7"/>
  <c r="Q45" i="7"/>
  <c r="S45" i="7" s="1"/>
  <c r="P45" i="7"/>
  <c r="N45" i="7"/>
  <c r="M45" i="7"/>
  <c r="L45" i="7"/>
  <c r="K45" i="7"/>
  <c r="J45" i="7"/>
  <c r="I45" i="7"/>
  <c r="H45" i="7"/>
  <c r="G45" i="7"/>
  <c r="F45" i="7"/>
  <c r="E45" i="7"/>
  <c r="X45" i="7" s="1"/>
  <c r="D45" i="7"/>
  <c r="U44" i="7"/>
  <c r="T44" i="7"/>
  <c r="V44" i="7" s="1"/>
  <c r="R44" i="7"/>
  <c r="Q44" i="7"/>
  <c r="S44" i="7" s="1"/>
  <c r="P44" i="7"/>
  <c r="N44" i="7"/>
  <c r="M44" i="7"/>
  <c r="L44" i="7"/>
  <c r="K44" i="7"/>
  <c r="J44" i="7"/>
  <c r="I44" i="7"/>
  <c r="H44" i="7"/>
  <c r="G44" i="7"/>
  <c r="F44" i="7"/>
  <c r="E44" i="7"/>
  <c r="X44" i="7" s="1"/>
  <c r="D44" i="7"/>
  <c r="U43" i="7"/>
  <c r="T43" i="7"/>
  <c r="V43" i="7" s="1"/>
  <c r="R43" i="7"/>
  <c r="Q43" i="7"/>
  <c r="S43" i="7" s="1"/>
  <c r="P43" i="7"/>
  <c r="N43" i="7"/>
  <c r="M43" i="7"/>
  <c r="L43" i="7"/>
  <c r="K43" i="7"/>
  <c r="J43" i="7"/>
  <c r="I43" i="7"/>
  <c r="H43" i="7"/>
  <c r="G43" i="7"/>
  <c r="F43" i="7"/>
  <c r="E43" i="7"/>
  <c r="X43" i="7" s="1"/>
  <c r="D43" i="7"/>
  <c r="U42" i="7"/>
  <c r="T42" i="7"/>
  <c r="V42" i="7" s="1"/>
  <c r="R42" i="7"/>
  <c r="Q42" i="7"/>
  <c r="S42" i="7" s="1"/>
  <c r="P42" i="7"/>
  <c r="N42" i="7"/>
  <c r="M42" i="7"/>
  <c r="L42" i="7"/>
  <c r="K42" i="7"/>
  <c r="J42" i="7"/>
  <c r="I42" i="7"/>
  <c r="H42" i="7"/>
  <c r="G42" i="7"/>
  <c r="F42" i="7"/>
  <c r="E42" i="7"/>
  <c r="X42" i="7" s="1"/>
  <c r="D42" i="7"/>
  <c r="U41" i="7"/>
  <c r="T41" i="7"/>
  <c r="V41" i="7" s="1"/>
  <c r="R41" i="7"/>
  <c r="Q41" i="7"/>
  <c r="S41" i="7" s="1"/>
  <c r="P41" i="7"/>
  <c r="N41" i="7"/>
  <c r="M41" i="7"/>
  <c r="L41" i="7"/>
  <c r="K41" i="7"/>
  <c r="J41" i="7"/>
  <c r="I41" i="7"/>
  <c r="H41" i="7"/>
  <c r="G41" i="7"/>
  <c r="F41" i="7"/>
  <c r="E41" i="7"/>
  <c r="X41" i="7" s="1"/>
  <c r="D41" i="7"/>
  <c r="U40" i="7"/>
  <c r="T40" i="7"/>
  <c r="V40" i="7" s="1"/>
  <c r="R40" i="7"/>
  <c r="Q40" i="7"/>
  <c r="S40" i="7" s="1"/>
  <c r="P40" i="7"/>
  <c r="N40" i="7"/>
  <c r="M40" i="7"/>
  <c r="L40" i="7"/>
  <c r="K40" i="7"/>
  <c r="J40" i="7"/>
  <c r="I40" i="7"/>
  <c r="H40" i="7"/>
  <c r="G40" i="7"/>
  <c r="F40" i="7"/>
  <c r="E40" i="7"/>
  <c r="X40" i="7" s="1"/>
  <c r="D40" i="7"/>
  <c r="U39" i="7"/>
  <c r="T39" i="7"/>
  <c r="R39" i="7"/>
  <c r="Q39" i="7"/>
  <c r="P39" i="7"/>
  <c r="N39" i="7"/>
  <c r="M39" i="7"/>
  <c r="L39" i="7"/>
  <c r="K39" i="7"/>
  <c r="J39" i="7"/>
  <c r="I39" i="7"/>
  <c r="H39" i="7"/>
  <c r="G39" i="7"/>
  <c r="F39" i="7"/>
  <c r="E39" i="7"/>
  <c r="X39" i="7" s="1"/>
  <c r="D39" i="7"/>
  <c r="U38" i="7"/>
  <c r="T38" i="7"/>
  <c r="V38" i="7" s="1"/>
  <c r="R38" i="7"/>
  <c r="Q38" i="7"/>
  <c r="S38" i="7" s="1"/>
  <c r="P38" i="7"/>
  <c r="N38" i="7"/>
  <c r="M38" i="7"/>
  <c r="L38" i="7"/>
  <c r="K38" i="7"/>
  <c r="J38" i="7"/>
  <c r="I38" i="7"/>
  <c r="H38" i="7"/>
  <c r="G38" i="7"/>
  <c r="F38" i="7"/>
  <c r="E38" i="7"/>
  <c r="X38" i="7" s="1"/>
  <c r="D38" i="7"/>
  <c r="U37" i="7"/>
  <c r="T37" i="7"/>
  <c r="V37" i="7" s="1"/>
  <c r="R37" i="7"/>
  <c r="Q37" i="7"/>
  <c r="S37" i="7" s="1"/>
  <c r="P37" i="7"/>
  <c r="N37" i="7"/>
  <c r="M37" i="7"/>
  <c r="L37" i="7"/>
  <c r="K37" i="7"/>
  <c r="J37" i="7"/>
  <c r="I37" i="7"/>
  <c r="H37" i="7"/>
  <c r="G37" i="7"/>
  <c r="F37" i="7"/>
  <c r="E37" i="7"/>
  <c r="X37" i="7" s="1"/>
  <c r="D37" i="7"/>
  <c r="U36" i="7"/>
  <c r="T36" i="7"/>
  <c r="R36" i="7"/>
  <c r="Q36" i="7"/>
  <c r="S36" i="7" s="1"/>
  <c r="P36" i="7"/>
  <c r="N36" i="7"/>
  <c r="M36" i="7"/>
  <c r="L36" i="7"/>
  <c r="K36" i="7"/>
  <c r="J36" i="7"/>
  <c r="I36" i="7"/>
  <c r="H36" i="7"/>
  <c r="G36" i="7"/>
  <c r="F36" i="7"/>
  <c r="E36" i="7"/>
  <c r="X36" i="7" s="1"/>
  <c r="D36" i="7"/>
  <c r="U35" i="7"/>
  <c r="T35" i="7"/>
  <c r="V35" i="7" s="1"/>
  <c r="R35" i="7"/>
  <c r="Q35" i="7"/>
  <c r="S35" i="7" s="1"/>
  <c r="P35" i="7"/>
  <c r="N35" i="7"/>
  <c r="M35" i="7"/>
  <c r="L35" i="7"/>
  <c r="K35" i="7"/>
  <c r="J35" i="7"/>
  <c r="I35" i="7"/>
  <c r="H35" i="7"/>
  <c r="G35" i="7"/>
  <c r="F35" i="7"/>
  <c r="E35" i="7"/>
  <c r="X35" i="7" s="1"/>
  <c r="D35" i="7"/>
  <c r="U34" i="7"/>
  <c r="T34" i="7"/>
  <c r="R34" i="7"/>
  <c r="Q34" i="7"/>
  <c r="S34" i="7" s="1"/>
  <c r="P34" i="7"/>
  <c r="N34" i="7"/>
  <c r="M34" i="7"/>
  <c r="L34" i="7"/>
  <c r="K34" i="7"/>
  <c r="J34" i="7"/>
  <c r="I34" i="7"/>
  <c r="H34" i="7"/>
  <c r="G34" i="7"/>
  <c r="F34" i="7"/>
  <c r="E34" i="7"/>
  <c r="X34" i="7" s="1"/>
  <c r="D34" i="7"/>
  <c r="U33" i="7"/>
  <c r="T33" i="7"/>
  <c r="V33" i="7" s="1"/>
  <c r="R33" i="7"/>
  <c r="Q33" i="7"/>
  <c r="S33" i="7" s="1"/>
  <c r="P33" i="7"/>
  <c r="N33" i="7"/>
  <c r="M33" i="7"/>
  <c r="L33" i="7"/>
  <c r="K33" i="7"/>
  <c r="J33" i="7"/>
  <c r="I33" i="7"/>
  <c r="H33" i="7"/>
  <c r="G33" i="7"/>
  <c r="F33" i="7"/>
  <c r="E33" i="7"/>
  <c r="X33" i="7" s="1"/>
  <c r="D33" i="7"/>
  <c r="U32" i="7"/>
  <c r="T32" i="7"/>
  <c r="V32" i="7" s="1"/>
  <c r="R32" i="7"/>
  <c r="Q32" i="7"/>
  <c r="S32" i="7" s="1"/>
  <c r="P32" i="7"/>
  <c r="N32" i="7"/>
  <c r="M32" i="7"/>
  <c r="L32" i="7"/>
  <c r="K32" i="7"/>
  <c r="J32" i="7"/>
  <c r="I32" i="7"/>
  <c r="H32" i="7"/>
  <c r="G32" i="7"/>
  <c r="F32" i="7"/>
  <c r="E32" i="7"/>
  <c r="X32" i="7" s="1"/>
  <c r="D32" i="7"/>
  <c r="U31" i="7"/>
  <c r="T31" i="7"/>
  <c r="V31" i="7" s="1"/>
  <c r="R31" i="7"/>
  <c r="Q31" i="7"/>
  <c r="S31" i="7" s="1"/>
  <c r="P31" i="7"/>
  <c r="N31" i="7"/>
  <c r="M31" i="7"/>
  <c r="L31" i="7"/>
  <c r="K31" i="7"/>
  <c r="J31" i="7"/>
  <c r="I31" i="7"/>
  <c r="H31" i="7"/>
  <c r="G31" i="7"/>
  <c r="F31" i="7"/>
  <c r="E31" i="7"/>
  <c r="X31" i="7" s="1"/>
  <c r="D31" i="7"/>
  <c r="U30" i="7"/>
  <c r="T30" i="7"/>
  <c r="R30" i="7"/>
  <c r="Q30" i="7"/>
  <c r="S30" i="7" s="1"/>
  <c r="P30" i="7"/>
  <c r="N30" i="7"/>
  <c r="M30" i="7"/>
  <c r="L30" i="7"/>
  <c r="K30" i="7"/>
  <c r="J30" i="7"/>
  <c r="I30" i="7"/>
  <c r="H30" i="7"/>
  <c r="G30" i="7"/>
  <c r="F30" i="7"/>
  <c r="E30" i="7"/>
  <c r="X30" i="7" s="1"/>
  <c r="D30" i="7"/>
  <c r="U29" i="7"/>
  <c r="T29" i="7"/>
  <c r="V29" i="7" s="1"/>
  <c r="R29" i="7"/>
  <c r="Q29" i="7"/>
  <c r="S29" i="7" s="1"/>
  <c r="P29" i="7"/>
  <c r="N29" i="7"/>
  <c r="M29" i="7"/>
  <c r="L29" i="7"/>
  <c r="K29" i="7"/>
  <c r="J29" i="7"/>
  <c r="I29" i="7"/>
  <c r="H29" i="7"/>
  <c r="G29" i="7"/>
  <c r="F29" i="7"/>
  <c r="E29" i="7"/>
  <c r="X29" i="7" s="1"/>
  <c r="D29" i="7"/>
  <c r="U28" i="7"/>
  <c r="T28" i="7"/>
  <c r="V28" i="7" s="1"/>
  <c r="R28" i="7"/>
  <c r="Q28" i="7"/>
  <c r="S28" i="7" s="1"/>
  <c r="P28" i="7"/>
  <c r="N28" i="7"/>
  <c r="M28" i="7"/>
  <c r="L28" i="7"/>
  <c r="K28" i="7"/>
  <c r="J28" i="7"/>
  <c r="I28" i="7"/>
  <c r="H28" i="7"/>
  <c r="G28" i="7"/>
  <c r="F28" i="7"/>
  <c r="E28" i="7"/>
  <c r="X28" i="7" s="1"/>
  <c r="D28" i="7"/>
  <c r="U27" i="7"/>
  <c r="T27" i="7"/>
  <c r="R27" i="7"/>
  <c r="Q27" i="7"/>
  <c r="S27" i="7" s="1"/>
  <c r="P27" i="7"/>
  <c r="N27" i="7"/>
  <c r="M27" i="7"/>
  <c r="L27" i="7"/>
  <c r="K27" i="7"/>
  <c r="J27" i="7"/>
  <c r="I27" i="7"/>
  <c r="H27" i="7"/>
  <c r="G27" i="7"/>
  <c r="F27" i="7"/>
  <c r="E27" i="7"/>
  <c r="X27" i="7" s="1"/>
  <c r="D27" i="7"/>
  <c r="U26" i="7"/>
  <c r="T26" i="7"/>
  <c r="J8" i="10" s="1"/>
  <c r="R26" i="7"/>
  <c r="Q26" i="7"/>
  <c r="H8" i="10" s="1"/>
  <c r="P26" i="7"/>
  <c r="N26" i="7"/>
  <c r="M26" i="7"/>
  <c r="L26" i="7"/>
  <c r="K26" i="7"/>
  <c r="O8" i="10" s="1"/>
  <c r="J26" i="7"/>
  <c r="I26" i="7"/>
  <c r="N8" i="10" s="1"/>
  <c r="H26" i="7"/>
  <c r="P8" i="10" s="1"/>
  <c r="G26" i="7"/>
  <c r="F26" i="7"/>
  <c r="E26" i="7"/>
  <c r="X26" i="7" s="1"/>
  <c r="D26" i="7"/>
  <c r="U25" i="7"/>
  <c r="T25" i="7"/>
  <c r="V25" i="7" s="1"/>
  <c r="R25" i="7"/>
  <c r="Q25" i="7"/>
  <c r="S25" i="7" s="1"/>
  <c r="P25" i="7"/>
  <c r="N25" i="7"/>
  <c r="M25" i="7"/>
  <c r="L25" i="7"/>
  <c r="K25" i="7"/>
  <c r="J25" i="7"/>
  <c r="I25" i="7"/>
  <c r="H25" i="7"/>
  <c r="G25" i="7"/>
  <c r="F25" i="7"/>
  <c r="E25" i="7"/>
  <c r="X25" i="7" s="1"/>
  <c r="D25" i="7"/>
  <c r="U24" i="7"/>
  <c r="T24" i="7"/>
  <c r="R24" i="7"/>
  <c r="Q24" i="7"/>
  <c r="P24" i="7"/>
  <c r="N24" i="7"/>
  <c r="M24" i="7"/>
  <c r="L24" i="7"/>
  <c r="K24" i="7"/>
  <c r="J24" i="7"/>
  <c r="I24" i="7"/>
  <c r="H24" i="7"/>
  <c r="G24" i="7"/>
  <c r="F24" i="7"/>
  <c r="E24" i="7"/>
  <c r="X24" i="7" s="1"/>
  <c r="D24" i="7"/>
  <c r="U23" i="7"/>
  <c r="T23" i="7"/>
  <c r="V23" i="7" s="1"/>
  <c r="R23" i="7"/>
  <c r="Q23" i="7"/>
  <c r="S23" i="7" s="1"/>
  <c r="P23" i="7"/>
  <c r="N23" i="7"/>
  <c r="M23" i="7"/>
  <c r="L23" i="7"/>
  <c r="K23" i="7"/>
  <c r="J23" i="7"/>
  <c r="I23" i="7"/>
  <c r="H23" i="7"/>
  <c r="G23" i="7"/>
  <c r="F23" i="7"/>
  <c r="E23" i="7"/>
  <c r="X23" i="7" s="1"/>
  <c r="D23" i="7"/>
  <c r="U22" i="7"/>
  <c r="T22" i="7"/>
  <c r="V22" i="7" s="1"/>
  <c r="R22" i="7"/>
  <c r="Q22" i="7"/>
  <c r="S22" i="7" s="1"/>
  <c r="P22" i="7"/>
  <c r="N22" i="7"/>
  <c r="M22" i="7"/>
  <c r="L22" i="7"/>
  <c r="K22" i="7"/>
  <c r="J22" i="7"/>
  <c r="I22" i="7"/>
  <c r="H22" i="7"/>
  <c r="G22" i="7"/>
  <c r="F22" i="7"/>
  <c r="E22" i="7"/>
  <c r="X22" i="7" s="1"/>
  <c r="D22" i="7"/>
  <c r="U21" i="7"/>
  <c r="T21" i="7"/>
  <c r="R21" i="7"/>
  <c r="Q21" i="7"/>
  <c r="P21" i="7"/>
  <c r="N21" i="7"/>
  <c r="M21" i="7"/>
  <c r="L21" i="7"/>
  <c r="K21" i="7"/>
  <c r="J21" i="7"/>
  <c r="I21" i="7"/>
  <c r="H21" i="7"/>
  <c r="G21" i="7"/>
  <c r="F21" i="7"/>
  <c r="E21" i="7"/>
  <c r="X21" i="7" s="1"/>
  <c r="D21" i="7"/>
  <c r="U20" i="7"/>
  <c r="T20" i="7"/>
  <c r="V20" i="7" s="1"/>
  <c r="R20" i="7"/>
  <c r="Q20" i="7"/>
  <c r="S20" i="7" s="1"/>
  <c r="P20" i="7"/>
  <c r="N20" i="7"/>
  <c r="M20" i="7"/>
  <c r="L20" i="7"/>
  <c r="K20" i="7"/>
  <c r="J20" i="7"/>
  <c r="I20" i="7"/>
  <c r="H20" i="7"/>
  <c r="G20" i="7"/>
  <c r="F20" i="7"/>
  <c r="E20" i="7"/>
  <c r="X20" i="7" s="1"/>
  <c r="D20" i="7"/>
  <c r="U19" i="7"/>
  <c r="T19" i="7"/>
  <c r="R19" i="7"/>
  <c r="Q19" i="7"/>
  <c r="P19" i="7"/>
  <c r="N19" i="7"/>
  <c r="M19" i="7"/>
  <c r="L19" i="7"/>
  <c r="K19" i="7"/>
  <c r="J19" i="7"/>
  <c r="I19" i="7"/>
  <c r="H19" i="7"/>
  <c r="G19" i="7"/>
  <c r="F19" i="7"/>
  <c r="E19" i="7"/>
  <c r="X19" i="7" s="1"/>
  <c r="D19" i="7"/>
  <c r="U18" i="7"/>
  <c r="T18" i="7"/>
  <c r="R18" i="7"/>
  <c r="Q18" i="7"/>
  <c r="P18" i="7"/>
  <c r="N18" i="7"/>
  <c r="L21" i="8" s="1"/>
  <c r="M18" i="7"/>
  <c r="L18" i="7"/>
  <c r="K18" i="7"/>
  <c r="J21" i="8" s="1"/>
  <c r="J18" i="7"/>
  <c r="I18" i="7"/>
  <c r="M21" i="8" s="1"/>
  <c r="H18" i="7"/>
  <c r="K21" i="8" s="1"/>
  <c r="G18" i="7"/>
  <c r="F18" i="7"/>
  <c r="E18" i="7"/>
  <c r="X18" i="7" s="1"/>
  <c r="D18" i="7"/>
  <c r="U17" i="7"/>
  <c r="T17" i="7"/>
  <c r="R17" i="7"/>
  <c r="Q17" i="7"/>
  <c r="P17" i="7"/>
  <c r="N17" i="7"/>
  <c r="L20" i="8" s="1"/>
  <c r="M17" i="7"/>
  <c r="L17" i="7"/>
  <c r="K17" i="7"/>
  <c r="J17" i="7"/>
  <c r="I17" i="7"/>
  <c r="M20" i="8" s="1"/>
  <c r="H17" i="7"/>
  <c r="K20" i="8" s="1"/>
  <c r="G17" i="7"/>
  <c r="F17" i="7"/>
  <c r="E17" i="7"/>
  <c r="X17" i="7" s="1"/>
  <c r="D17" i="7"/>
  <c r="U16" i="7"/>
  <c r="T16" i="7"/>
  <c r="R16" i="7"/>
  <c r="Q16" i="7"/>
  <c r="P16" i="7"/>
  <c r="N16" i="7"/>
  <c r="L19" i="8" s="1"/>
  <c r="M16" i="7"/>
  <c r="L16" i="7"/>
  <c r="K16" i="7"/>
  <c r="J16" i="7"/>
  <c r="I16" i="7"/>
  <c r="M19" i="8" s="1"/>
  <c r="H16" i="7"/>
  <c r="K19" i="8" s="1"/>
  <c r="G16" i="7"/>
  <c r="F16" i="7"/>
  <c r="E16" i="7"/>
  <c r="X16" i="7" s="1"/>
  <c r="D16" i="7"/>
  <c r="U15" i="7"/>
  <c r="T15" i="7"/>
  <c r="R15" i="7"/>
  <c r="Q15" i="7"/>
  <c r="P15" i="7"/>
  <c r="N15" i="7"/>
  <c r="M15" i="7"/>
  <c r="L15" i="7"/>
  <c r="K15" i="7"/>
  <c r="J15" i="7"/>
  <c r="I15" i="7"/>
  <c r="H15" i="7"/>
  <c r="G15" i="7"/>
  <c r="F15" i="7"/>
  <c r="E15" i="7"/>
  <c r="X15" i="7" s="1"/>
  <c r="D15" i="7"/>
  <c r="U14" i="7"/>
  <c r="T14" i="7"/>
  <c r="R14" i="7"/>
  <c r="Q14" i="7"/>
  <c r="P14" i="7"/>
  <c r="N14" i="7"/>
  <c r="M14" i="7"/>
  <c r="L14" i="7"/>
  <c r="K14" i="7"/>
  <c r="J14" i="7"/>
  <c r="I14" i="7"/>
  <c r="H14" i="7"/>
  <c r="G14" i="7"/>
  <c r="F14" i="7"/>
  <c r="E14" i="7"/>
  <c r="X14" i="7" s="1"/>
  <c r="D14" i="7"/>
  <c r="U13" i="7"/>
  <c r="T13" i="7"/>
  <c r="J3" i="10" s="1"/>
  <c r="R13" i="7"/>
  <c r="Q13" i="7"/>
  <c r="H3" i="10" s="1"/>
  <c r="P13" i="7"/>
  <c r="N13" i="7"/>
  <c r="M13" i="7"/>
  <c r="L13" i="7"/>
  <c r="K13" i="7"/>
  <c r="J13" i="7"/>
  <c r="I13" i="7"/>
  <c r="H13" i="7"/>
  <c r="G13" i="7"/>
  <c r="F13" i="7"/>
  <c r="E13" i="7"/>
  <c r="X13" i="7" s="1"/>
  <c r="D13" i="7"/>
  <c r="U12" i="7"/>
  <c r="T12" i="7"/>
  <c r="R12" i="7"/>
  <c r="Q12" i="7"/>
  <c r="P12" i="7"/>
  <c r="N12" i="7"/>
  <c r="L15" i="8" s="1"/>
  <c r="M12" i="7"/>
  <c r="L12" i="7"/>
  <c r="K12" i="7"/>
  <c r="J15" i="8" s="1"/>
  <c r="J12" i="7"/>
  <c r="I12" i="7"/>
  <c r="M15" i="8" s="1"/>
  <c r="H12" i="7"/>
  <c r="K15" i="8" s="1"/>
  <c r="G12" i="7"/>
  <c r="F12" i="7"/>
  <c r="E12" i="7"/>
  <c r="X12" i="7" s="1"/>
  <c r="D12" i="7"/>
  <c r="U11" i="7"/>
  <c r="T11" i="7"/>
  <c r="R11" i="7"/>
  <c r="Q11" i="7"/>
  <c r="P11" i="7"/>
  <c r="N11" i="7"/>
  <c r="L14" i="8" s="1"/>
  <c r="M11" i="7"/>
  <c r="L11" i="7"/>
  <c r="K11" i="7"/>
  <c r="J11" i="7"/>
  <c r="I11" i="7"/>
  <c r="M14" i="8" s="1"/>
  <c r="H11" i="7"/>
  <c r="K14" i="8" s="1"/>
  <c r="G11" i="7"/>
  <c r="F11" i="7"/>
  <c r="E11" i="7"/>
  <c r="X11" i="7" s="1"/>
  <c r="D11" i="7"/>
  <c r="U10" i="7"/>
  <c r="T10" i="7"/>
  <c r="R10" i="7"/>
  <c r="Q10" i="7"/>
  <c r="P10" i="7"/>
  <c r="N10" i="7"/>
  <c r="L13" i="8" s="1"/>
  <c r="M10" i="7"/>
  <c r="L10" i="7"/>
  <c r="K10" i="7"/>
  <c r="J10" i="7"/>
  <c r="I10" i="7"/>
  <c r="M13" i="8" s="1"/>
  <c r="H10" i="7"/>
  <c r="K13" i="8" s="1"/>
  <c r="G10" i="7"/>
  <c r="F10" i="7"/>
  <c r="E10" i="7"/>
  <c r="X10" i="7" s="1"/>
  <c r="D10" i="7"/>
  <c r="U9" i="7"/>
  <c r="T9" i="7"/>
  <c r="R9" i="7"/>
  <c r="Q9" i="7"/>
  <c r="P9" i="7"/>
  <c r="N9" i="7"/>
  <c r="L12" i="8" s="1"/>
  <c r="M9" i="7"/>
  <c r="L9" i="7"/>
  <c r="K9" i="7"/>
  <c r="J9" i="7"/>
  <c r="I9" i="7"/>
  <c r="M12" i="8" s="1"/>
  <c r="H9" i="7"/>
  <c r="K12" i="8" s="1"/>
  <c r="G9" i="7"/>
  <c r="F9" i="7"/>
  <c r="E9" i="7"/>
  <c r="X9" i="7" s="1"/>
  <c r="D9" i="7"/>
  <c r="U8" i="7"/>
  <c r="T8" i="7"/>
  <c r="R8" i="7"/>
  <c r="Q8" i="7"/>
  <c r="P8" i="7"/>
  <c r="N8" i="7"/>
  <c r="M8" i="7"/>
  <c r="L8" i="7"/>
  <c r="K8" i="7"/>
  <c r="J8" i="7"/>
  <c r="I8" i="7"/>
  <c r="H8" i="7"/>
  <c r="G8" i="7"/>
  <c r="F8" i="7"/>
  <c r="E8" i="7"/>
  <c r="X8" i="7" s="1"/>
  <c r="D8" i="7"/>
  <c r="U7" i="7"/>
  <c r="T7" i="7"/>
  <c r="R7" i="7"/>
  <c r="Q7" i="7"/>
  <c r="P7" i="7"/>
  <c r="N7" i="7"/>
  <c r="L10" i="8" s="1"/>
  <c r="M7" i="7"/>
  <c r="L7" i="7"/>
  <c r="K7" i="7"/>
  <c r="J7" i="7"/>
  <c r="I7" i="7"/>
  <c r="M10" i="8" s="1"/>
  <c r="H7" i="7"/>
  <c r="K10" i="8" s="1"/>
  <c r="G7" i="7"/>
  <c r="F7" i="7"/>
  <c r="E7" i="7"/>
  <c r="X7" i="7" s="1"/>
  <c r="D7" i="7"/>
  <c r="U6" i="7"/>
  <c r="T6" i="7"/>
  <c r="R6" i="7"/>
  <c r="Q6" i="7"/>
  <c r="P6" i="7"/>
  <c r="N6" i="7"/>
  <c r="M6" i="7"/>
  <c r="L6" i="7"/>
  <c r="K6" i="7"/>
  <c r="J6" i="7"/>
  <c r="I6" i="7"/>
  <c r="H6" i="7"/>
  <c r="G6" i="7"/>
  <c r="F6" i="7"/>
  <c r="E6" i="7"/>
  <c r="X6" i="7" s="1"/>
  <c r="D6" i="7"/>
  <c r="U5" i="7"/>
  <c r="T5" i="7"/>
  <c r="R5" i="7"/>
  <c r="Q5" i="7"/>
  <c r="P5" i="7"/>
  <c r="N5" i="7"/>
  <c r="L6" i="8" s="1"/>
  <c r="M5" i="7"/>
  <c r="L5" i="7"/>
  <c r="K5" i="7"/>
  <c r="J5" i="7"/>
  <c r="I5" i="7"/>
  <c r="M6" i="8" s="1"/>
  <c r="H5" i="7"/>
  <c r="K6" i="8" s="1"/>
  <c r="G5" i="7"/>
  <c r="F5" i="7"/>
  <c r="E5" i="7"/>
  <c r="X5" i="7" s="1"/>
  <c r="D5" i="7"/>
  <c r="U4" i="7"/>
  <c r="T4" i="7"/>
  <c r="R4" i="7"/>
  <c r="Q4" i="7"/>
  <c r="P4" i="7"/>
  <c r="N4" i="7"/>
  <c r="L5" i="8" s="1"/>
  <c r="M4" i="7"/>
  <c r="L4" i="7"/>
  <c r="K4" i="7"/>
  <c r="J4" i="7"/>
  <c r="I4" i="7"/>
  <c r="M5" i="8" s="1"/>
  <c r="H4" i="7"/>
  <c r="K5" i="8" s="1"/>
  <c r="G4" i="7"/>
  <c r="F4" i="7"/>
  <c r="E4" i="7"/>
  <c r="X4" i="7" s="1"/>
  <c r="D4" i="7"/>
  <c r="U3" i="7"/>
  <c r="T3" i="7"/>
  <c r="J2" i="10" s="1"/>
  <c r="R3" i="7"/>
  <c r="Q3" i="7"/>
  <c r="H2" i="10" s="1"/>
  <c r="P3" i="7"/>
  <c r="N3" i="7"/>
  <c r="M3" i="7"/>
  <c r="L3" i="7"/>
  <c r="K3" i="7"/>
  <c r="O2" i="10" s="1"/>
  <c r="J3" i="7"/>
  <c r="I3" i="7"/>
  <c r="H3" i="7"/>
  <c r="G3" i="7"/>
  <c r="F3" i="7"/>
  <c r="E3" i="7"/>
  <c r="D3" i="7"/>
  <c r="U2" i="7"/>
  <c r="T2" i="7"/>
  <c r="J9" i="10" s="1"/>
  <c r="R2" i="7"/>
  <c r="Q2" i="7"/>
  <c r="H9" i="10" s="1"/>
  <c r="P2" i="7"/>
  <c r="N2" i="7"/>
  <c r="M2" i="7"/>
  <c r="L2" i="7"/>
  <c r="K2" i="7"/>
  <c r="O9" i="10" s="1"/>
  <c r="J2" i="7"/>
  <c r="I2" i="7"/>
  <c r="N9" i="10" s="1"/>
  <c r="H2" i="7"/>
  <c r="P9" i="10" s="1"/>
  <c r="G2" i="7"/>
  <c r="F2" i="7"/>
  <c r="E2" i="7"/>
  <c r="X2" i="7" s="1"/>
  <c r="D2" i="7"/>
  <c r="R49" i="6"/>
  <c r="Q49" i="6"/>
  <c r="P49" i="6"/>
  <c r="O49" i="6"/>
  <c r="N49" i="6"/>
  <c r="I49" i="6"/>
  <c r="M49" i="6" s="1"/>
  <c r="H49" i="6"/>
  <c r="G49" i="6"/>
  <c r="K49" i="6" s="1"/>
  <c r="F49" i="6"/>
  <c r="J49" i="6" s="1"/>
  <c r="E49" i="6"/>
  <c r="D49" i="6"/>
  <c r="C49" i="6"/>
  <c r="B49" i="6"/>
  <c r="A49" i="6"/>
  <c r="R48" i="6"/>
  <c r="Q48" i="6"/>
  <c r="P48" i="6"/>
  <c r="O48" i="6"/>
  <c r="N48" i="6"/>
  <c r="I48" i="6"/>
  <c r="M48" i="6" s="1"/>
  <c r="H48" i="6"/>
  <c r="G48" i="6"/>
  <c r="K48" i="6" s="1"/>
  <c r="F48" i="6"/>
  <c r="E48" i="6"/>
  <c r="D48" i="6"/>
  <c r="C48" i="6"/>
  <c r="B48" i="6"/>
  <c r="A48" i="6"/>
  <c r="R47" i="6"/>
  <c r="Q47" i="6"/>
  <c r="P47" i="6"/>
  <c r="O47" i="6"/>
  <c r="N47" i="6"/>
  <c r="I47" i="6"/>
  <c r="M47" i="6" s="1"/>
  <c r="H47" i="6"/>
  <c r="L47" i="6" s="1"/>
  <c r="G47" i="6"/>
  <c r="K47" i="6" s="1"/>
  <c r="F47" i="6"/>
  <c r="E47" i="6"/>
  <c r="D47" i="6"/>
  <c r="C47" i="6"/>
  <c r="B47" i="6"/>
  <c r="A47" i="6"/>
  <c r="R46" i="6"/>
  <c r="Q46" i="6"/>
  <c r="P46" i="6"/>
  <c r="O46" i="6"/>
  <c r="N46" i="6"/>
  <c r="I46" i="6"/>
  <c r="M46" i="6" s="1"/>
  <c r="H46" i="6"/>
  <c r="L46" i="6" s="1"/>
  <c r="G46" i="6"/>
  <c r="K46" i="6" s="1"/>
  <c r="F46" i="6"/>
  <c r="J46" i="6" s="1"/>
  <c r="E46" i="6"/>
  <c r="D46" i="6"/>
  <c r="C46" i="6"/>
  <c r="B46" i="6"/>
  <c r="A46" i="6"/>
  <c r="R45" i="6"/>
  <c r="Q45" i="6"/>
  <c r="P45" i="6"/>
  <c r="O45" i="6"/>
  <c r="N45" i="6"/>
  <c r="I45" i="6"/>
  <c r="M45" i="6" s="1"/>
  <c r="H45" i="6"/>
  <c r="L45" i="6" s="1"/>
  <c r="G45" i="6"/>
  <c r="K45" i="6" s="1"/>
  <c r="F45" i="6"/>
  <c r="E45" i="6"/>
  <c r="D45" i="6"/>
  <c r="C45" i="6"/>
  <c r="B45" i="6"/>
  <c r="A45" i="6"/>
  <c r="R44" i="6"/>
  <c r="Q44" i="6"/>
  <c r="P44" i="6"/>
  <c r="O44" i="6"/>
  <c r="N44" i="6"/>
  <c r="I44" i="6"/>
  <c r="M44" i="6" s="1"/>
  <c r="H44" i="6"/>
  <c r="L44" i="6" s="1"/>
  <c r="G44" i="6"/>
  <c r="K44" i="6" s="1"/>
  <c r="F44" i="6"/>
  <c r="E44" i="6"/>
  <c r="D44" i="6"/>
  <c r="C44" i="6"/>
  <c r="B44" i="6"/>
  <c r="A44" i="6"/>
  <c r="R43" i="6"/>
  <c r="Q43" i="6"/>
  <c r="P43" i="6"/>
  <c r="O43" i="6"/>
  <c r="N43" i="6"/>
  <c r="I43" i="6"/>
  <c r="H43" i="6"/>
  <c r="L43" i="6" s="1"/>
  <c r="G43" i="6"/>
  <c r="K43" i="6" s="1"/>
  <c r="F43" i="6"/>
  <c r="J43" i="6" s="1"/>
  <c r="E43" i="6"/>
  <c r="D43" i="6"/>
  <c r="C43" i="6"/>
  <c r="B43" i="6"/>
  <c r="A43" i="6"/>
  <c r="R42" i="6"/>
  <c r="Q42" i="6"/>
  <c r="P42" i="6"/>
  <c r="O42" i="6"/>
  <c r="N42" i="6"/>
  <c r="I42" i="6"/>
  <c r="H42" i="6"/>
  <c r="L42" i="6" s="1"/>
  <c r="G42" i="6"/>
  <c r="K42" i="6" s="1"/>
  <c r="F42" i="6"/>
  <c r="J42" i="6" s="1"/>
  <c r="E42" i="6"/>
  <c r="D42" i="6"/>
  <c r="C42" i="6"/>
  <c r="B42" i="6"/>
  <c r="A42" i="6"/>
  <c r="R41" i="6"/>
  <c r="Q41" i="6"/>
  <c r="P41" i="6"/>
  <c r="O41" i="6"/>
  <c r="N41" i="6"/>
  <c r="I41" i="6"/>
  <c r="M41" i="6" s="1"/>
  <c r="H41" i="6"/>
  <c r="L41" i="6" s="1"/>
  <c r="G41" i="6"/>
  <c r="K41" i="6" s="1"/>
  <c r="F41" i="6"/>
  <c r="J41" i="6" s="1"/>
  <c r="E41" i="6"/>
  <c r="D41" i="6"/>
  <c r="C41" i="6"/>
  <c r="B41" i="6"/>
  <c r="A41" i="6"/>
  <c r="R40" i="6"/>
  <c r="Q40" i="6"/>
  <c r="P40" i="6"/>
  <c r="O40" i="6"/>
  <c r="N40" i="6"/>
  <c r="I40" i="6"/>
  <c r="M40" i="6" s="1"/>
  <c r="H40" i="6"/>
  <c r="G40" i="6"/>
  <c r="K40" i="6" s="1"/>
  <c r="F40" i="6"/>
  <c r="J40" i="6" s="1"/>
  <c r="E40" i="6"/>
  <c r="D40" i="6"/>
  <c r="C40" i="6"/>
  <c r="B40" i="6"/>
  <c r="A40" i="6"/>
  <c r="R39" i="6"/>
  <c r="Q39" i="6"/>
  <c r="P39" i="6"/>
  <c r="O39" i="6"/>
  <c r="N39" i="6"/>
  <c r="I39" i="6"/>
  <c r="M39" i="6" s="1"/>
  <c r="H39" i="6"/>
  <c r="L39" i="6" s="1"/>
  <c r="G39" i="6"/>
  <c r="K39" i="6" s="1"/>
  <c r="F39" i="6"/>
  <c r="J39" i="6" s="1"/>
  <c r="E39" i="6"/>
  <c r="D39" i="6"/>
  <c r="C39" i="6"/>
  <c r="B39" i="6"/>
  <c r="A39" i="6"/>
  <c r="R38" i="6"/>
  <c r="Q38" i="6"/>
  <c r="P38" i="6"/>
  <c r="O38" i="6"/>
  <c r="N38" i="6"/>
  <c r="I38" i="6"/>
  <c r="M38" i="6" s="1"/>
  <c r="H38" i="6"/>
  <c r="L38" i="6" s="1"/>
  <c r="G38" i="6"/>
  <c r="K38" i="6" s="1"/>
  <c r="F38" i="6"/>
  <c r="J38" i="6" s="1"/>
  <c r="E38" i="6"/>
  <c r="D38" i="6"/>
  <c r="C38" i="6"/>
  <c r="B38" i="6"/>
  <c r="A38" i="6"/>
  <c r="R37" i="6"/>
  <c r="Q37" i="6"/>
  <c r="P37" i="6"/>
  <c r="O37" i="6"/>
  <c r="N37" i="6"/>
  <c r="I37" i="6"/>
  <c r="M37" i="6" s="1"/>
  <c r="H37" i="6"/>
  <c r="L37" i="6" s="1"/>
  <c r="G37" i="6"/>
  <c r="K37" i="6" s="1"/>
  <c r="F37" i="6"/>
  <c r="J37" i="6" s="1"/>
  <c r="E37" i="6"/>
  <c r="D37" i="6"/>
  <c r="C37" i="6"/>
  <c r="B37" i="6"/>
  <c r="A37" i="6"/>
  <c r="R36" i="6"/>
  <c r="Q36" i="6"/>
  <c r="P36" i="6"/>
  <c r="O36" i="6"/>
  <c r="N36" i="6"/>
  <c r="I36" i="6"/>
  <c r="M36" i="6" s="1"/>
  <c r="H36" i="6"/>
  <c r="G36" i="6"/>
  <c r="K36" i="6" s="1"/>
  <c r="F36" i="6"/>
  <c r="J36" i="6" s="1"/>
  <c r="E36" i="6"/>
  <c r="D36" i="6"/>
  <c r="C36" i="6"/>
  <c r="B36" i="6"/>
  <c r="A36" i="6"/>
  <c r="R35" i="6"/>
  <c r="Q35" i="6"/>
  <c r="P35" i="6"/>
  <c r="O35" i="6"/>
  <c r="N35" i="6"/>
  <c r="I35" i="6"/>
  <c r="M35" i="6" s="1"/>
  <c r="H35" i="6"/>
  <c r="L35" i="6" s="1"/>
  <c r="G35" i="6"/>
  <c r="K35" i="6" s="1"/>
  <c r="F35" i="6"/>
  <c r="J35" i="6" s="1"/>
  <c r="E35" i="6"/>
  <c r="D35" i="6"/>
  <c r="C35" i="6"/>
  <c r="B35" i="6"/>
  <c r="A35" i="6"/>
  <c r="R34" i="6"/>
  <c r="Q34" i="6"/>
  <c r="P34" i="6"/>
  <c r="O34" i="6"/>
  <c r="N34" i="6"/>
  <c r="I34" i="6"/>
  <c r="M34" i="6" s="1"/>
  <c r="H34" i="6"/>
  <c r="L34" i="6" s="1"/>
  <c r="G34" i="6"/>
  <c r="K34" i="6" s="1"/>
  <c r="F34" i="6"/>
  <c r="J34" i="6" s="1"/>
  <c r="E34" i="6"/>
  <c r="D34" i="6"/>
  <c r="C34" i="6"/>
  <c r="B34" i="6"/>
  <c r="A34" i="6"/>
  <c r="R33" i="6"/>
  <c r="Q33" i="6"/>
  <c r="P33" i="6"/>
  <c r="O33" i="6"/>
  <c r="N33" i="6"/>
  <c r="I33" i="6"/>
  <c r="M33" i="6" s="1"/>
  <c r="H33" i="6"/>
  <c r="L33" i="6" s="1"/>
  <c r="G33" i="6"/>
  <c r="K33" i="6" s="1"/>
  <c r="F33" i="6"/>
  <c r="J33" i="6" s="1"/>
  <c r="E33" i="6"/>
  <c r="D33" i="6"/>
  <c r="C33" i="6"/>
  <c r="B33" i="6"/>
  <c r="A33" i="6"/>
  <c r="R32" i="6"/>
  <c r="Q32" i="6"/>
  <c r="P32" i="6"/>
  <c r="O32" i="6"/>
  <c r="N32" i="6"/>
  <c r="I32" i="6"/>
  <c r="M32" i="6" s="1"/>
  <c r="H32" i="6"/>
  <c r="L32" i="6" s="1"/>
  <c r="G32" i="6"/>
  <c r="K32" i="6" s="1"/>
  <c r="F32" i="6"/>
  <c r="J32" i="6" s="1"/>
  <c r="E32" i="6"/>
  <c r="D32" i="6"/>
  <c r="C32" i="6"/>
  <c r="B32" i="6"/>
  <c r="A32" i="6"/>
  <c r="R31" i="6"/>
  <c r="Q31" i="6"/>
  <c r="P31" i="6"/>
  <c r="O31" i="6"/>
  <c r="N31" i="6"/>
  <c r="I31" i="6"/>
  <c r="M31" i="6" s="1"/>
  <c r="H31" i="6"/>
  <c r="L31" i="6" s="1"/>
  <c r="G31" i="6"/>
  <c r="K31" i="6" s="1"/>
  <c r="F31" i="6"/>
  <c r="J31" i="6" s="1"/>
  <c r="E31" i="6"/>
  <c r="D31" i="6"/>
  <c r="C31" i="6"/>
  <c r="B31" i="6"/>
  <c r="A31" i="6"/>
  <c r="R30" i="6"/>
  <c r="Q30" i="6"/>
  <c r="P30" i="6"/>
  <c r="O30" i="6"/>
  <c r="N30" i="6"/>
  <c r="I30" i="6"/>
  <c r="M30" i="6" s="1"/>
  <c r="H30" i="6"/>
  <c r="L30" i="6" s="1"/>
  <c r="G30" i="6"/>
  <c r="K30" i="6" s="1"/>
  <c r="F30" i="6"/>
  <c r="J30" i="6" s="1"/>
  <c r="E30" i="6"/>
  <c r="D30" i="6"/>
  <c r="C30" i="6"/>
  <c r="B30" i="6"/>
  <c r="A30" i="6"/>
  <c r="R29" i="6"/>
  <c r="Q29" i="6"/>
  <c r="P29" i="6"/>
  <c r="O29" i="6"/>
  <c r="N29" i="6"/>
  <c r="I29" i="6"/>
  <c r="M29" i="6" s="1"/>
  <c r="H29" i="6"/>
  <c r="G29" i="6"/>
  <c r="K29" i="6" s="1"/>
  <c r="F29" i="6"/>
  <c r="J29" i="6" s="1"/>
  <c r="E29" i="6"/>
  <c r="D29" i="6"/>
  <c r="C29" i="6"/>
  <c r="B29" i="6"/>
  <c r="A29" i="6"/>
  <c r="R28" i="6"/>
  <c r="Q28" i="6"/>
  <c r="P28" i="6"/>
  <c r="O28" i="6"/>
  <c r="N28" i="6"/>
  <c r="I28" i="6"/>
  <c r="M28" i="6" s="1"/>
  <c r="H28" i="6"/>
  <c r="L28" i="6" s="1"/>
  <c r="G28" i="6"/>
  <c r="F28" i="6"/>
  <c r="J28" i="6" s="1"/>
  <c r="E28" i="6"/>
  <c r="D28" i="6"/>
  <c r="C28" i="6"/>
  <c r="B28" i="6"/>
  <c r="A28" i="6"/>
  <c r="R27" i="6"/>
  <c r="Q27" i="6"/>
  <c r="P27" i="6"/>
  <c r="O27" i="6"/>
  <c r="N27" i="6"/>
  <c r="I27" i="6"/>
  <c r="M27" i="6" s="1"/>
  <c r="H27" i="6"/>
  <c r="L27" i="6" s="1"/>
  <c r="G27" i="6"/>
  <c r="K27" i="6" s="1"/>
  <c r="F27" i="6"/>
  <c r="J27" i="6" s="1"/>
  <c r="E27" i="6"/>
  <c r="D27" i="6"/>
  <c r="C27" i="6"/>
  <c r="B27" i="6"/>
  <c r="A27" i="6"/>
  <c r="R26" i="6"/>
  <c r="Q26" i="6"/>
  <c r="P26" i="6"/>
  <c r="O26" i="6"/>
  <c r="N26" i="6"/>
  <c r="I26" i="6"/>
  <c r="H26" i="6"/>
  <c r="L26" i="6" s="1"/>
  <c r="G26" i="6"/>
  <c r="K26" i="6" s="1"/>
  <c r="F26" i="6"/>
  <c r="J26" i="6" s="1"/>
  <c r="E26" i="6"/>
  <c r="D26" i="6"/>
  <c r="C26" i="6"/>
  <c r="B26" i="6"/>
  <c r="A26" i="6"/>
  <c r="R25" i="6"/>
  <c r="Q25" i="6"/>
  <c r="P25" i="6"/>
  <c r="O25" i="6"/>
  <c r="N25" i="6"/>
  <c r="I25" i="6"/>
  <c r="M25" i="6" s="1"/>
  <c r="H25" i="6"/>
  <c r="L25" i="6" s="1"/>
  <c r="G25" i="6"/>
  <c r="K25" i="6" s="1"/>
  <c r="F25" i="6"/>
  <c r="J25" i="6" s="1"/>
  <c r="E25" i="6"/>
  <c r="D25" i="6"/>
  <c r="C25" i="6"/>
  <c r="B25" i="6"/>
  <c r="A25" i="6"/>
  <c r="R24" i="6"/>
  <c r="Q24" i="6"/>
  <c r="P24" i="6"/>
  <c r="O24" i="6"/>
  <c r="N24" i="6"/>
  <c r="I24" i="6"/>
  <c r="H24" i="6"/>
  <c r="G24" i="6"/>
  <c r="F24" i="6"/>
  <c r="E24" i="6"/>
  <c r="D24" i="6"/>
  <c r="C24" i="6"/>
  <c r="B24" i="6"/>
  <c r="A24" i="6"/>
  <c r="R23" i="6"/>
  <c r="Q23" i="6"/>
  <c r="P23" i="6"/>
  <c r="O23" i="6"/>
  <c r="N23" i="6"/>
  <c r="I23" i="6"/>
  <c r="H23" i="6"/>
  <c r="G23" i="6"/>
  <c r="F23" i="6"/>
  <c r="E23" i="6"/>
  <c r="D23" i="6"/>
  <c r="C23" i="6"/>
  <c r="B23" i="6"/>
  <c r="A23" i="6"/>
  <c r="R22" i="6"/>
  <c r="Q22" i="6"/>
  <c r="P22" i="6"/>
  <c r="O22" i="6"/>
  <c r="N22" i="6"/>
  <c r="I22" i="6"/>
  <c r="H22" i="6"/>
  <c r="G22" i="6"/>
  <c r="F22" i="6"/>
  <c r="E22" i="6"/>
  <c r="D22" i="6"/>
  <c r="C22" i="6"/>
  <c r="B22" i="6"/>
  <c r="A22" i="6"/>
  <c r="R21" i="6"/>
  <c r="Q21" i="6"/>
  <c r="P21" i="6"/>
  <c r="O21" i="6"/>
  <c r="N21" i="6"/>
  <c r="I21" i="6"/>
  <c r="H21" i="6"/>
  <c r="G21" i="6"/>
  <c r="F21" i="6"/>
  <c r="E21" i="6"/>
  <c r="D21" i="6"/>
  <c r="C21" i="6"/>
  <c r="B21" i="6"/>
  <c r="A21" i="6"/>
  <c r="R20" i="6"/>
  <c r="Q20" i="6"/>
  <c r="P20" i="6"/>
  <c r="O20" i="6"/>
  <c r="N20" i="6"/>
  <c r="I20" i="6"/>
  <c r="H20" i="6"/>
  <c r="G20" i="6"/>
  <c r="F20" i="6"/>
  <c r="E20" i="6"/>
  <c r="D20" i="6"/>
  <c r="C20" i="6"/>
  <c r="B20" i="6"/>
  <c r="A20" i="6"/>
  <c r="R19" i="6"/>
  <c r="Q19" i="6"/>
  <c r="P19" i="6"/>
  <c r="O19" i="6"/>
  <c r="N19" i="6"/>
  <c r="I19" i="6"/>
  <c r="H19" i="6"/>
  <c r="G19" i="6"/>
  <c r="F19" i="6"/>
  <c r="E19" i="6"/>
  <c r="D19" i="6"/>
  <c r="C19" i="6"/>
  <c r="B19" i="6"/>
  <c r="A19" i="6"/>
  <c r="R18" i="6"/>
  <c r="Q18" i="6"/>
  <c r="P18" i="6"/>
  <c r="O18" i="6"/>
  <c r="N18" i="6"/>
  <c r="I18" i="6"/>
  <c r="H18" i="6"/>
  <c r="G18" i="6"/>
  <c r="F18" i="6"/>
  <c r="E18" i="6"/>
  <c r="D18" i="6"/>
  <c r="C18" i="6"/>
  <c r="B18" i="6"/>
  <c r="A18" i="6"/>
  <c r="R17" i="6"/>
  <c r="Q17" i="6"/>
  <c r="P17" i="6"/>
  <c r="O17" i="6"/>
  <c r="N17" i="6"/>
  <c r="I17" i="6"/>
  <c r="M17" i="6" s="1"/>
  <c r="H17" i="6"/>
  <c r="L17" i="6" s="1"/>
  <c r="G17" i="6"/>
  <c r="K17" i="6" s="1"/>
  <c r="F17" i="6"/>
  <c r="J17" i="6" s="1"/>
  <c r="E17" i="6"/>
  <c r="D17" i="6"/>
  <c r="C17" i="6"/>
  <c r="B17" i="6"/>
  <c r="A17" i="6"/>
  <c r="R16" i="6"/>
  <c r="Q16" i="6"/>
  <c r="P16" i="6"/>
  <c r="O16" i="6"/>
  <c r="N16" i="6"/>
  <c r="I16" i="6"/>
  <c r="M16" i="6" s="1"/>
  <c r="H16" i="6"/>
  <c r="L16" i="6" s="1"/>
  <c r="G16" i="6"/>
  <c r="K16" i="6" s="1"/>
  <c r="F16" i="6"/>
  <c r="J16" i="6" s="1"/>
  <c r="E16" i="6"/>
  <c r="D16" i="6"/>
  <c r="C16" i="6"/>
  <c r="B16" i="6"/>
  <c r="A16" i="6"/>
  <c r="R15" i="6"/>
  <c r="Q15" i="6"/>
  <c r="P15" i="6"/>
  <c r="O15" i="6"/>
  <c r="N15" i="6"/>
  <c r="I15" i="6"/>
  <c r="M15" i="6" s="1"/>
  <c r="H15" i="6"/>
  <c r="G15" i="6"/>
  <c r="K15" i="6" s="1"/>
  <c r="F15" i="6"/>
  <c r="J15" i="6" s="1"/>
  <c r="E15" i="6"/>
  <c r="D15" i="6"/>
  <c r="C15" i="6"/>
  <c r="B15" i="6"/>
  <c r="A15" i="6"/>
  <c r="R14" i="6"/>
  <c r="Q14" i="6"/>
  <c r="P14" i="6"/>
  <c r="O14" i="6"/>
  <c r="N14" i="6"/>
  <c r="I14" i="6"/>
  <c r="M14" i="6" s="1"/>
  <c r="H14" i="6"/>
  <c r="L14" i="6" s="1"/>
  <c r="G14" i="6"/>
  <c r="K14" i="6" s="1"/>
  <c r="F14" i="6"/>
  <c r="J14" i="6" s="1"/>
  <c r="E14" i="6"/>
  <c r="D14" i="6"/>
  <c r="C14" i="6"/>
  <c r="B14" i="6"/>
  <c r="A14" i="6"/>
  <c r="R13" i="6"/>
  <c r="Q13" i="6"/>
  <c r="P13" i="6"/>
  <c r="O13" i="6"/>
  <c r="N13" i="6"/>
  <c r="I13" i="6"/>
  <c r="M13" i="6" s="1"/>
  <c r="H13" i="6"/>
  <c r="L13" i="6" s="1"/>
  <c r="G13" i="6"/>
  <c r="K13" i="6" s="1"/>
  <c r="F13" i="6"/>
  <c r="J13" i="6" s="1"/>
  <c r="E13" i="6"/>
  <c r="D13" i="6"/>
  <c r="C13" i="6"/>
  <c r="B13" i="6"/>
  <c r="A13" i="6"/>
  <c r="R12" i="6"/>
  <c r="Q12" i="6"/>
  <c r="P12" i="6"/>
  <c r="O12" i="6"/>
  <c r="N12" i="6"/>
  <c r="I12" i="6"/>
  <c r="M12" i="6" s="1"/>
  <c r="H12" i="6"/>
  <c r="L12" i="6" s="1"/>
  <c r="G12" i="6"/>
  <c r="K12" i="6" s="1"/>
  <c r="F12" i="6"/>
  <c r="J12" i="6" s="1"/>
  <c r="E12" i="6"/>
  <c r="D12" i="6"/>
  <c r="C12" i="6"/>
  <c r="B12" i="6"/>
  <c r="A12" i="6"/>
  <c r="R11" i="6"/>
  <c r="Q11" i="6"/>
  <c r="P11" i="6"/>
  <c r="O11" i="6"/>
  <c r="N11" i="6"/>
  <c r="I11" i="6"/>
  <c r="M11" i="6" s="1"/>
  <c r="H11" i="6"/>
  <c r="G11" i="6"/>
  <c r="K11" i="6" s="1"/>
  <c r="F11" i="6"/>
  <c r="J11" i="6" s="1"/>
  <c r="E11" i="6"/>
  <c r="D11" i="6"/>
  <c r="C11" i="6"/>
  <c r="B11" i="6"/>
  <c r="A11" i="6"/>
  <c r="R10" i="6"/>
  <c r="Q10" i="6"/>
  <c r="P10" i="6"/>
  <c r="O10" i="6"/>
  <c r="N10" i="6"/>
  <c r="I10" i="6"/>
  <c r="H10" i="6"/>
  <c r="L10" i="6" s="1"/>
  <c r="G10" i="6"/>
  <c r="K10" i="6" s="1"/>
  <c r="F10" i="6"/>
  <c r="J10" i="6" s="1"/>
  <c r="E10" i="6"/>
  <c r="D10" i="6"/>
  <c r="C10" i="6"/>
  <c r="B10" i="6"/>
  <c r="A10" i="6"/>
  <c r="R9" i="6"/>
  <c r="Q9" i="6"/>
  <c r="P9" i="6"/>
  <c r="O9" i="6"/>
  <c r="N9" i="6"/>
  <c r="I9" i="6"/>
  <c r="M9" i="6" s="1"/>
  <c r="H9" i="6"/>
  <c r="L9" i="6" s="1"/>
  <c r="G9" i="6"/>
  <c r="K9" i="6" s="1"/>
  <c r="F9" i="6"/>
  <c r="E9" i="6"/>
  <c r="D9" i="6"/>
  <c r="C9" i="6"/>
  <c r="B9" i="6"/>
  <c r="A9" i="6"/>
  <c r="R8" i="6"/>
  <c r="Q8" i="6"/>
  <c r="P8" i="6"/>
  <c r="O8" i="6"/>
  <c r="N8" i="6"/>
  <c r="I8" i="6"/>
  <c r="M8" i="6" s="1"/>
  <c r="H8" i="6"/>
  <c r="L8" i="6" s="1"/>
  <c r="G8" i="6"/>
  <c r="K8" i="6" s="1"/>
  <c r="F8" i="6"/>
  <c r="J8" i="6" s="1"/>
  <c r="E8" i="6"/>
  <c r="D8" i="6"/>
  <c r="C8" i="6"/>
  <c r="B8" i="6"/>
  <c r="A8" i="6"/>
  <c r="R7" i="6"/>
  <c r="Q7" i="6"/>
  <c r="P7" i="6"/>
  <c r="O7" i="6"/>
  <c r="N7" i="6"/>
  <c r="I7" i="6"/>
  <c r="M7" i="6" s="1"/>
  <c r="H7" i="6"/>
  <c r="L7" i="6" s="1"/>
  <c r="G7" i="6"/>
  <c r="F7" i="6"/>
  <c r="J7" i="6" s="1"/>
  <c r="E7" i="6"/>
  <c r="D7" i="6"/>
  <c r="C7" i="6"/>
  <c r="B7" i="6"/>
  <c r="A7" i="6"/>
  <c r="R6" i="6"/>
  <c r="Q6" i="6"/>
  <c r="P6" i="6"/>
  <c r="O6" i="6"/>
  <c r="N6" i="6"/>
  <c r="I6" i="6"/>
  <c r="M6" i="6" s="1"/>
  <c r="H6" i="6"/>
  <c r="L6" i="6" s="1"/>
  <c r="G6" i="6"/>
  <c r="K6" i="6" s="1"/>
  <c r="F6" i="6"/>
  <c r="J6" i="6" s="1"/>
  <c r="E6" i="6"/>
  <c r="D6" i="6"/>
  <c r="C6" i="6"/>
  <c r="B6" i="6"/>
  <c r="A6" i="6"/>
  <c r="R5" i="6"/>
  <c r="Q5" i="6"/>
  <c r="P5" i="6"/>
  <c r="O5" i="6"/>
  <c r="N5" i="6"/>
  <c r="I5" i="6"/>
  <c r="M5" i="6" s="1"/>
  <c r="H5" i="6"/>
  <c r="L5" i="6" s="1"/>
  <c r="G5" i="6"/>
  <c r="K5" i="6" s="1"/>
  <c r="F5" i="6"/>
  <c r="J5" i="6" s="1"/>
  <c r="E5" i="6"/>
  <c r="D5" i="6"/>
  <c r="C5" i="6"/>
  <c r="B5" i="6"/>
  <c r="A5" i="6"/>
  <c r="R4" i="6"/>
  <c r="Q4" i="6"/>
  <c r="P4" i="6"/>
  <c r="O4" i="6"/>
  <c r="N4" i="6"/>
  <c r="I4" i="6"/>
  <c r="M4" i="6" s="1"/>
  <c r="H4" i="6"/>
  <c r="L4" i="6" s="1"/>
  <c r="G4" i="6"/>
  <c r="K4" i="6" s="1"/>
  <c r="F4" i="6"/>
  <c r="E4" i="6"/>
  <c r="D4" i="6"/>
  <c r="C4" i="6"/>
  <c r="B4" i="6"/>
  <c r="A4" i="6"/>
  <c r="R3" i="6"/>
  <c r="Q3" i="6"/>
  <c r="P3" i="6"/>
  <c r="O3" i="6"/>
  <c r="N3" i="6"/>
  <c r="I3" i="6"/>
  <c r="M3" i="6" s="1"/>
  <c r="H3" i="6"/>
  <c r="L3" i="6" s="1"/>
  <c r="G3" i="6"/>
  <c r="K3" i="6" s="1"/>
  <c r="F3" i="6"/>
  <c r="E3" i="6"/>
  <c r="D3" i="6"/>
  <c r="C3" i="6"/>
  <c r="B3" i="6"/>
  <c r="A3" i="6"/>
  <c r="R2" i="6"/>
  <c r="Q2" i="6"/>
  <c r="P2" i="6"/>
  <c r="O2" i="6"/>
  <c r="N2" i="6"/>
  <c r="I2" i="6"/>
  <c r="M2" i="6" s="1"/>
  <c r="H2" i="6"/>
  <c r="L2" i="6" s="1"/>
  <c r="G2" i="6"/>
  <c r="K2" i="6" s="1"/>
  <c r="F2" i="6"/>
  <c r="J2" i="6" s="1"/>
  <c r="E2" i="6"/>
  <c r="D2" i="6"/>
  <c r="C2" i="6"/>
  <c r="B2" i="6"/>
  <c r="A2" i="6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2" i="1"/>
  <c r="B2" i="1"/>
  <c r="O2" i="2"/>
  <c r="S826" i="14" l="1"/>
  <c r="S827" i="14"/>
  <c r="S831" i="14"/>
  <c r="S836" i="14"/>
  <c r="S839" i="14"/>
  <c r="S841" i="14"/>
  <c r="S849" i="14"/>
  <c r="S857" i="14"/>
  <c r="S936" i="14"/>
  <c r="S980" i="14"/>
  <c r="S1030" i="14"/>
  <c r="U23" i="14"/>
  <c r="S13" i="14"/>
  <c r="S360" i="14"/>
  <c r="S382" i="14"/>
  <c r="S835" i="14"/>
  <c r="S845" i="14"/>
  <c r="S852" i="14"/>
  <c r="S853" i="14"/>
  <c r="S855" i="14"/>
  <c r="S926" i="14"/>
  <c r="S956" i="14"/>
  <c r="S1086" i="14"/>
  <c r="S629" i="14"/>
  <c r="S630" i="14"/>
  <c r="S832" i="14"/>
  <c r="S837" i="14"/>
  <c r="S840" i="14"/>
  <c r="S856" i="14"/>
  <c r="S858" i="14"/>
  <c r="S970" i="14"/>
  <c r="S1018" i="14"/>
  <c r="S1034" i="14"/>
  <c r="S1090" i="14"/>
  <c r="S90" i="14"/>
  <c r="T388" i="14"/>
  <c r="S830" i="14"/>
  <c r="S838" i="14"/>
  <c r="S843" i="14"/>
  <c r="S851" i="14"/>
  <c r="S946" i="14"/>
  <c r="S1025" i="14"/>
  <c r="S1119" i="14"/>
  <c r="U285" i="14"/>
  <c r="S822" i="14"/>
  <c r="S823" i="14"/>
  <c r="S829" i="14"/>
  <c r="S833" i="14"/>
  <c r="S842" i="14"/>
  <c r="S847" i="14"/>
  <c r="S848" i="14"/>
  <c r="S863" i="14"/>
  <c r="S870" i="14"/>
  <c r="S976" i="14"/>
  <c r="S1046" i="14"/>
  <c r="S1109" i="14"/>
  <c r="S1125" i="14"/>
  <c r="S1135" i="14"/>
  <c r="S24" i="14"/>
  <c r="U707" i="14"/>
  <c r="S824" i="14"/>
  <c r="S825" i="14"/>
  <c r="S828" i="14"/>
  <c r="S854" i="14"/>
  <c r="S860" i="14"/>
  <c r="S932" i="14"/>
  <c r="S984" i="14"/>
  <c r="S1050" i="14"/>
  <c r="S1097" i="14"/>
  <c r="S53" i="14"/>
  <c r="S51" i="14"/>
  <c r="B2" i="15" a="1"/>
  <c r="B2" i="15" s="1"/>
  <c r="D4" i="15"/>
  <c r="C2" i="15"/>
  <c r="D2" i="15"/>
  <c r="C4" i="15"/>
  <c r="C3" i="15"/>
  <c r="T960" i="14"/>
  <c r="U960" i="14"/>
  <c r="V960" i="14"/>
  <c r="V961" i="14"/>
  <c r="U961" i="14"/>
  <c r="T961" i="14"/>
  <c r="V242" i="14"/>
  <c r="T242" i="14"/>
  <c r="V243" i="14"/>
  <c r="T243" i="14"/>
  <c r="V244" i="14"/>
  <c r="T244" i="14"/>
  <c r="V245" i="14"/>
  <c r="T245" i="14"/>
  <c r="T246" i="14"/>
  <c r="V246" i="14"/>
  <c r="T247" i="14"/>
  <c r="V247" i="14"/>
  <c r="V248" i="14"/>
  <c r="T248" i="14"/>
  <c r="V383" i="14"/>
  <c r="T383" i="14"/>
  <c r="T385" i="14"/>
  <c r="V385" i="14"/>
  <c r="T386" i="14"/>
  <c r="V386" i="14"/>
  <c r="V387" i="14"/>
  <c r="T387" i="14"/>
  <c r="T389" i="14"/>
  <c r="V389" i="14"/>
  <c r="V390" i="14"/>
  <c r="T390" i="14"/>
  <c r="T391" i="14"/>
  <c r="V391" i="14"/>
  <c r="T392" i="14"/>
  <c r="V392" i="14"/>
  <c r="V393" i="14"/>
  <c r="T393" i="14"/>
  <c r="T394" i="14"/>
  <c r="V394" i="14"/>
  <c r="T395" i="14"/>
  <c r="V395" i="14"/>
  <c r="V396" i="14"/>
  <c r="T396" i="14"/>
  <c r="T397" i="14"/>
  <c r="V397" i="14"/>
  <c r="T398" i="14"/>
  <c r="V398" i="14"/>
  <c r="T399" i="14"/>
  <c r="V399" i="14"/>
  <c r="T400" i="14"/>
  <c r="V400" i="14"/>
  <c r="T401" i="14"/>
  <c r="V401" i="14"/>
  <c r="V402" i="14"/>
  <c r="T402" i="14"/>
  <c r="T403" i="14"/>
  <c r="V403" i="14"/>
  <c r="T404" i="14"/>
  <c r="V404" i="14"/>
  <c r="V405" i="14"/>
  <c r="T405" i="14"/>
  <c r="V406" i="14"/>
  <c r="T406" i="14"/>
  <c r="V407" i="14"/>
  <c r="T407" i="14"/>
  <c r="V408" i="14"/>
  <c r="T408" i="14"/>
  <c r="V409" i="14"/>
  <c r="T409" i="14"/>
  <c r="V410" i="14"/>
  <c r="T410" i="14"/>
  <c r="T411" i="14"/>
  <c r="V411" i="14"/>
  <c r="T412" i="14"/>
  <c r="V412" i="14"/>
  <c r="T413" i="14"/>
  <c r="V413" i="14"/>
  <c r="T414" i="14"/>
  <c r="V414" i="14"/>
  <c r="T415" i="14"/>
  <c r="V415" i="14"/>
  <c r="T416" i="14"/>
  <c r="V416" i="14"/>
  <c r="T417" i="14"/>
  <c r="V417" i="14"/>
  <c r="T718" i="14"/>
  <c r="V718" i="14"/>
  <c r="T719" i="14"/>
  <c r="V719" i="14"/>
  <c r="T720" i="14"/>
  <c r="V720" i="14"/>
  <c r="T721" i="14"/>
  <c r="V721" i="14"/>
  <c r="T722" i="14"/>
  <c r="V722" i="14"/>
  <c r="T723" i="14"/>
  <c r="V723" i="14"/>
  <c r="T724" i="14"/>
  <c r="V724" i="14"/>
  <c r="T725" i="14"/>
  <c r="V725" i="14"/>
  <c r="T726" i="14"/>
  <c r="V726" i="14"/>
  <c r="T727" i="14"/>
  <c r="V727" i="14"/>
  <c r="T728" i="14"/>
  <c r="V728" i="14"/>
  <c r="T729" i="14"/>
  <c r="V729" i="14"/>
  <c r="T730" i="14"/>
  <c r="V730" i="14"/>
  <c r="T731" i="14"/>
  <c r="V731" i="14"/>
  <c r="T732" i="14"/>
  <c r="V732" i="14"/>
  <c r="T733" i="14"/>
  <c r="V733" i="14"/>
  <c r="V734" i="14"/>
  <c r="T734" i="14"/>
  <c r="T735" i="14"/>
  <c r="V735" i="14"/>
  <c r="T736" i="14"/>
  <c r="V736" i="14"/>
  <c r="T737" i="14"/>
  <c r="V737" i="14"/>
  <c r="S163" i="14"/>
  <c r="S517" i="14"/>
  <c r="S521" i="14"/>
  <c r="S524" i="14"/>
  <c r="S902" i="14"/>
  <c r="S905" i="14"/>
  <c r="S1031" i="14"/>
  <c r="S1094" i="14"/>
  <c r="S1105" i="14"/>
  <c r="S1138" i="14"/>
  <c r="S38" i="14"/>
  <c r="S168" i="14"/>
  <c r="S272" i="14"/>
  <c r="S502" i="14"/>
  <c r="S505" i="14"/>
  <c r="S612" i="14"/>
  <c r="S688" i="14"/>
  <c r="S868" i="14"/>
  <c r="S1061" i="14"/>
  <c r="S122" i="14"/>
  <c r="S142" i="14"/>
  <c r="S204" i="14"/>
  <c r="S449" i="14"/>
  <c r="S514" i="14"/>
  <c r="S527" i="14"/>
  <c r="U651" i="14"/>
  <c r="S942" i="14"/>
  <c r="S950" i="14"/>
  <c r="S1015" i="14"/>
  <c r="U1023" i="14"/>
  <c r="S1027" i="14"/>
  <c r="S1071" i="14"/>
  <c r="S1083" i="14"/>
  <c r="S1087" i="14"/>
  <c r="S1110" i="14"/>
  <c r="S156" i="14"/>
  <c r="S192" i="14"/>
  <c r="S469" i="14"/>
  <c r="S603" i="14"/>
  <c r="S891" i="14"/>
  <c r="S898" i="14"/>
  <c r="S904" i="14"/>
  <c r="S908" i="14"/>
  <c r="S966" i="14"/>
  <c r="S974" i="14"/>
  <c r="S988" i="14"/>
  <c r="S1053" i="14"/>
  <c r="S1075" i="14"/>
  <c r="S1139" i="14"/>
  <c r="S34" i="14"/>
  <c r="U322" i="14"/>
  <c r="S377" i="14"/>
  <c r="S910" i="14"/>
  <c r="S928" i="14"/>
  <c r="S1069" i="14"/>
  <c r="S1116" i="14"/>
  <c r="S720" i="14"/>
  <c r="U738" i="14"/>
  <c r="S941" i="14"/>
  <c r="S1041" i="14"/>
  <c r="S1108" i="14"/>
  <c r="S1188" i="14"/>
  <c r="T958" i="14"/>
  <c r="U958" i="14"/>
  <c r="V958" i="14"/>
  <c r="V959" i="14"/>
  <c r="U959" i="14"/>
  <c r="T959" i="14"/>
  <c r="T180" i="14"/>
  <c r="V180" i="14"/>
  <c r="V181" i="14"/>
  <c r="T181" i="14"/>
  <c r="T182" i="14"/>
  <c r="V182" i="14"/>
  <c r="V183" i="14"/>
  <c r="T183" i="14"/>
  <c r="T184" i="14"/>
  <c r="V184" i="14"/>
  <c r="T185" i="14"/>
  <c r="V185" i="14"/>
  <c r="T186" i="14"/>
  <c r="V186" i="14"/>
  <c r="T187" i="14"/>
  <c r="V187" i="14"/>
  <c r="T188" i="14"/>
  <c r="V188" i="14"/>
  <c r="T189" i="14"/>
  <c r="V189" i="14"/>
  <c r="T190" i="14"/>
  <c r="V190" i="14"/>
  <c r="V191" i="14"/>
  <c r="T191" i="14"/>
  <c r="T192" i="14"/>
  <c r="V192" i="14"/>
  <c r="T193" i="14"/>
  <c r="V193" i="14"/>
  <c r="V194" i="14"/>
  <c r="T194" i="14"/>
  <c r="V195" i="14"/>
  <c r="T195" i="14"/>
  <c r="T196" i="14"/>
  <c r="V196" i="14"/>
  <c r="T197" i="14"/>
  <c r="V197" i="14"/>
  <c r="V198" i="14"/>
  <c r="T198" i="14"/>
  <c r="V199" i="14"/>
  <c r="T199" i="14"/>
  <c r="T200" i="14"/>
  <c r="V200" i="14"/>
  <c r="V201" i="14"/>
  <c r="T201" i="14"/>
  <c r="V202" i="14"/>
  <c r="T202" i="14"/>
  <c r="T203" i="14"/>
  <c r="V203" i="14"/>
  <c r="V204" i="14"/>
  <c r="T204" i="14"/>
  <c r="T205" i="14"/>
  <c r="V205" i="14"/>
  <c r="T206" i="14"/>
  <c r="V206" i="14"/>
  <c r="V207" i="14"/>
  <c r="T207" i="14"/>
  <c r="T208" i="14"/>
  <c r="V208" i="14"/>
  <c r="T209" i="14"/>
  <c r="V209" i="14"/>
  <c r="V210" i="14"/>
  <c r="T210" i="14"/>
  <c r="V211" i="14"/>
  <c r="T211" i="14"/>
  <c r="V212" i="14"/>
  <c r="T212" i="14"/>
  <c r="V213" i="14"/>
  <c r="T213" i="14"/>
  <c r="T214" i="14"/>
  <c r="V214" i="14"/>
  <c r="T215" i="14"/>
  <c r="V215" i="14"/>
  <c r="V216" i="14"/>
  <c r="T216" i="14"/>
  <c r="V217" i="14"/>
  <c r="T217" i="14"/>
  <c r="T218" i="14"/>
  <c r="V218" i="14"/>
  <c r="V219" i="14"/>
  <c r="T219" i="14"/>
  <c r="T220" i="14"/>
  <c r="V220" i="14"/>
  <c r="V221" i="14"/>
  <c r="T221" i="14"/>
  <c r="V222" i="14"/>
  <c r="T222" i="14"/>
  <c r="V223" i="14"/>
  <c r="T223" i="14"/>
  <c r="T224" i="14"/>
  <c r="V224" i="14"/>
  <c r="V225" i="14"/>
  <c r="T225" i="14"/>
  <c r="V226" i="14"/>
  <c r="T226" i="14"/>
  <c r="V227" i="14"/>
  <c r="T227" i="14"/>
  <c r="V228" i="14"/>
  <c r="T228" i="14"/>
  <c r="V229" i="14"/>
  <c r="T229" i="14"/>
  <c r="T230" i="14"/>
  <c r="V230" i="14"/>
  <c r="T231" i="14"/>
  <c r="V231" i="14"/>
  <c r="T232" i="14"/>
  <c r="V232" i="14"/>
  <c r="T233" i="14"/>
  <c r="V233" i="14"/>
  <c r="V234" i="14"/>
  <c r="T234" i="14"/>
  <c r="T235" i="14"/>
  <c r="V235" i="14"/>
  <c r="T236" i="14"/>
  <c r="V236" i="14"/>
  <c r="V237" i="14"/>
  <c r="T237" i="14"/>
  <c r="V238" i="14"/>
  <c r="T238" i="14"/>
  <c r="T239" i="14"/>
  <c r="V239" i="14"/>
  <c r="T240" i="14"/>
  <c r="V240" i="14"/>
  <c r="T241" i="14"/>
  <c r="V241" i="14"/>
  <c r="V313" i="14"/>
  <c r="T313" i="14"/>
  <c r="V314" i="14"/>
  <c r="T314" i="14"/>
  <c r="T315" i="14"/>
  <c r="V315" i="14"/>
  <c r="V316" i="14"/>
  <c r="T316" i="14"/>
  <c r="V317" i="14"/>
  <c r="T317" i="14"/>
  <c r="T318" i="14"/>
  <c r="V318" i="14"/>
  <c r="V319" i="14"/>
  <c r="T319" i="14"/>
  <c r="V320" i="14"/>
  <c r="T320" i="14"/>
  <c r="V321" i="14"/>
  <c r="T321" i="14"/>
  <c r="T707" i="14"/>
  <c r="V707" i="14"/>
  <c r="T708" i="14"/>
  <c r="V708" i="14"/>
  <c r="T709" i="14"/>
  <c r="V709" i="14"/>
  <c r="V710" i="14"/>
  <c r="T710" i="14"/>
  <c r="T711" i="14"/>
  <c r="V711" i="14"/>
  <c r="T712" i="14"/>
  <c r="V712" i="14"/>
  <c r="V713" i="14"/>
  <c r="T713" i="14"/>
  <c r="V714" i="14"/>
  <c r="T714" i="14"/>
  <c r="T715" i="14"/>
  <c r="V715" i="14"/>
  <c r="T716" i="14"/>
  <c r="V716" i="14"/>
  <c r="T717" i="14"/>
  <c r="V717" i="14"/>
  <c r="S301" i="14"/>
  <c r="S412" i="14"/>
  <c r="S454" i="14"/>
  <c r="S460" i="14"/>
  <c r="S465" i="14"/>
  <c r="S475" i="14"/>
  <c r="S479" i="14"/>
  <c r="S482" i="14"/>
  <c r="S487" i="14"/>
  <c r="S491" i="14"/>
  <c r="S495" i="14"/>
  <c r="S498" i="14"/>
  <c r="S507" i="14"/>
  <c r="S508" i="14"/>
  <c r="S510" i="14"/>
  <c r="S513" i="14"/>
  <c r="S520" i="14"/>
  <c r="S526" i="14"/>
  <c r="S532" i="14"/>
  <c r="S535" i="14"/>
  <c r="S539" i="14"/>
  <c r="S540" i="14"/>
  <c r="S687" i="14"/>
  <c r="S691" i="14"/>
  <c r="S694" i="14"/>
  <c r="S702" i="14"/>
  <c r="S707" i="14"/>
  <c r="S711" i="14"/>
  <c r="S723" i="14"/>
  <c r="S727" i="14"/>
  <c r="S731" i="14"/>
  <c r="S734" i="14"/>
  <c r="S865" i="14"/>
  <c r="S882" i="14"/>
  <c r="S883" i="14"/>
  <c r="S887" i="14"/>
  <c r="S888" i="14"/>
  <c r="S893" i="14"/>
  <c r="S896" i="14"/>
  <c r="S900" i="14"/>
  <c r="S918" i="14"/>
  <c r="S925" i="14"/>
  <c r="S930" i="14"/>
  <c r="S934" i="14"/>
  <c r="S938" i="14"/>
  <c r="S943" i="14"/>
  <c r="S945" i="14"/>
  <c r="S949" i="14"/>
  <c r="S953" i="14"/>
  <c r="S962" i="14"/>
  <c r="S963" i="14"/>
  <c r="S977" i="14"/>
  <c r="S985" i="14"/>
  <c r="S1022" i="14"/>
  <c r="S1080" i="14"/>
  <c r="S1088" i="14"/>
  <c r="S1095" i="14"/>
  <c r="S1101" i="14"/>
  <c r="S1111" i="14"/>
  <c r="S1112" i="14"/>
  <c r="S1118" i="14"/>
  <c r="S1128" i="14"/>
  <c r="S1129" i="14"/>
  <c r="S79" i="14"/>
  <c r="S96" i="14"/>
  <c r="S102" i="14"/>
  <c r="S149" i="14"/>
  <c r="S217" i="14"/>
  <c r="S289" i="14"/>
  <c r="S442" i="14"/>
  <c r="S445" i="14"/>
  <c r="S452" i="14"/>
  <c r="S456" i="14"/>
  <c r="S462" i="14"/>
  <c r="S467" i="14"/>
  <c r="S474" i="14"/>
  <c r="S476" i="14"/>
  <c r="S480" i="14"/>
  <c r="S484" i="14"/>
  <c r="S486" i="14"/>
  <c r="S492" i="14"/>
  <c r="S496" i="14"/>
  <c r="S503" i="14"/>
  <c r="S509" i="14"/>
  <c r="S511" i="14"/>
  <c r="S525" i="14"/>
  <c r="S529" i="14"/>
  <c r="S531" i="14"/>
  <c r="S534" i="14"/>
  <c r="S537" i="14"/>
  <c r="S541" i="14"/>
  <c r="S697" i="14"/>
  <c r="S699" i="14"/>
  <c r="S705" i="14"/>
  <c r="S709" i="14"/>
  <c r="S712" i="14"/>
  <c r="S714" i="14"/>
  <c r="S715" i="14"/>
  <c r="S724" i="14"/>
  <c r="S729" i="14"/>
  <c r="S732" i="14"/>
  <c r="S736" i="14"/>
  <c r="S874" i="14"/>
  <c r="S875" i="14"/>
  <c r="S876" i="14"/>
  <c r="S886" i="14"/>
  <c r="S894" i="14"/>
  <c r="S906" i="14"/>
  <c r="U909" i="14"/>
  <c r="S916" i="14"/>
  <c r="S924" i="14"/>
  <c r="S929" i="14"/>
  <c r="S951" i="14"/>
  <c r="S958" i="14"/>
  <c r="S959" i="14"/>
  <c r="S981" i="14"/>
  <c r="U1016" i="14"/>
  <c r="S1019" i="14"/>
  <c r="S1020" i="14"/>
  <c r="S1023" i="14"/>
  <c r="S1024" i="14"/>
  <c r="S1029" i="14"/>
  <c r="S1040" i="14"/>
  <c r="S1049" i="14"/>
  <c r="S1052" i="14"/>
  <c r="S1064" i="14"/>
  <c r="S1067" i="14"/>
  <c r="S1070" i="14"/>
  <c r="S1115" i="14"/>
  <c r="S1117" i="14"/>
  <c r="S1131" i="14"/>
  <c r="S1136" i="14"/>
  <c r="S1184" i="14"/>
  <c r="S275" i="14"/>
  <c r="S446" i="14"/>
  <c r="S450" i="14"/>
  <c r="S453" i="14"/>
  <c r="S459" i="14"/>
  <c r="S464" i="14"/>
  <c r="S470" i="14"/>
  <c r="S481" i="14"/>
  <c r="S485" i="14"/>
  <c r="S489" i="14"/>
  <c r="S493" i="14"/>
  <c r="S500" i="14"/>
  <c r="S506" i="14"/>
  <c r="S512" i="14"/>
  <c r="S516" i="14"/>
  <c r="S518" i="14"/>
  <c r="S522" i="14"/>
  <c r="S528" i="14"/>
  <c r="S690" i="14"/>
  <c r="S698" i="14"/>
  <c r="S701" i="14"/>
  <c r="S704" i="14"/>
  <c r="S708" i="14"/>
  <c r="S717" i="14"/>
  <c r="S726" i="14"/>
  <c r="S730" i="14"/>
  <c r="S735" i="14"/>
  <c r="S873" i="14"/>
  <c r="S879" i="14"/>
  <c r="S903" i="14"/>
  <c r="S912" i="14"/>
  <c r="S920" i="14"/>
  <c r="S933" i="14"/>
  <c r="S939" i="14"/>
  <c r="S955" i="14"/>
  <c r="S971" i="14"/>
  <c r="S993" i="14"/>
  <c r="S1016" i="14"/>
  <c r="S1032" i="14"/>
  <c r="S1037" i="14"/>
  <c r="S1043" i="14"/>
  <c r="S1045" i="14"/>
  <c r="S1058" i="14"/>
  <c r="S1063" i="14"/>
  <c r="S1072" i="14"/>
  <c r="S1093" i="14"/>
  <c r="S1103" i="14"/>
  <c r="S1106" i="14"/>
  <c r="S1126" i="14"/>
  <c r="S1127" i="14"/>
  <c r="S1140" i="14"/>
  <c r="S125" i="14"/>
  <c r="S443" i="14"/>
  <c r="S447" i="14"/>
  <c r="S448" i="14"/>
  <c r="S455" i="14"/>
  <c r="S457" i="14"/>
  <c r="S461" i="14"/>
  <c r="S463" i="14"/>
  <c r="S466" i="14"/>
  <c r="S473" i="14"/>
  <c r="S477" i="14"/>
  <c r="S483" i="14"/>
  <c r="S490" i="14"/>
  <c r="S494" i="14"/>
  <c r="S499" i="14"/>
  <c r="S504" i="14"/>
  <c r="S523" i="14"/>
  <c r="S530" i="14"/>
  <c r="S533" i="14"/>
  <c r="S536" i="14"/>
  <c r="S686" i="14"/>
  <c r="S689" i="14"/>
  <c r="S692" i="14"/>
  <c r="S695" i="14"/>
  <c r="S718" i="14"/>
  <c r="S719" i="14"/>
  <c r="S725" i="14"/>
  <c r="S869" i="14"/>
  <c r="S890" i="14"/>
  <c r="S892" i="14"/>
  <c r="S921" i="14"/>
  <c r="S922" i="14"/>
  <c r="S927" i="14"/>
  <c r="S940" i="14"/>
  <c r="S954" i="14"/>
  <c r="S964" i="14"/>
  <c r="S972" i="14"/>
  <c r="S979" i="14"/>
  <c r="S983" i="14"/>
  <c r="S987" i="14"/>
  <c r="S991" i="14"/>
  <c r="S1013" i="14"/>
  <c r="S1021" i="14"/>
  <c r="S1028" i="14"/>
  <c r="S1039" i="14"/>
  <c r="S1048" i="14"/>
  <c r="S1054" i="14"/>
  <c r="S1062" i="14"/>
  <c r="S1068" i="14"/>
  <c r="S1073" i="14"/>
  <c r="S1081" i="14"/>
  <c r="S1085" i="14"/>
  <c r="S1089" i="14"/>
  <c r="S1099" i="14"/>
  <c r="S1107" i="14"/>
  <c r="S1114" i="14"/>
  <c r="S1123" i="14"/>
  <c r="S1130" i="14"/>
  <c r="S1134" i="14"/>
  <c r="S1194" i="14"/>
  <c r="S335" i="14"/>
  <c r="S444" i="14"/>
  <c r="S451" i="14"/>
  <c r="S458" i="14"/>
  <c r="S471" i="14"/>
  <c r="S472" i="14"/>
  <c r="S478" i="14"/>
  <c r="S488" i="14"/>
  <c r="S497" i="14"/>
  <c r="S515" i="14"/>
  <c r="S519" i="14"/>
  <c r="S538" i="14"/>
  <c r="S572" i="14"/>
  <c r="S693" i="14"/>
  <c r="S696" i="14"/>
  <c r="S700" i="14"/>
  <c r="S703" i="14"/>
  <c r="S706" i="14"/>
  <c r="S710" i="14"/>
  <c r="S713" i="14"/>
  <c r="S716" i="14"/>
  <c r="S721" i="14"/>
  <c r="S722" i="14"/>
  <c r="S728" i="14"/>
  <c r="S733" i="14"/>
  <c r="S737" i="14"/>
  <c r="S867" i="14"/>
  <c r="S871" i="14"/>
  <c r="S872" i="14"/>
  <c r="S880" i="14"/>
  <c r="S895" i="14"/>
  <c r="S899" i="14"/>
  <c r="S909" i="14"/>
  <c r="S914" i="14"/>
  <c r="S915" i="14"/>
  <c r="S923" i="14"/>
  <c r="S937" i="14"/>
  <c r="S960" i="14"/>
  <c r="S967" i="14"/>
  <c r="S975" i="14"/>
  <c r="S989" i="14"/>
  <c r="S1012" i="14"/>
  <c r="S1033" i="14"/>
  <c r="S1044" i="14"/>
  <c r="S1055" i="14"/>
  <c r="S1057" i="14"/>
  <c r="S1060" i="14"/>
  <c r="S1065" i="14"/>
  <c r="S1076" i="14"/>
  <c r="S1077" i="14"/>
  <c r="S1084" i="14"/>
  <c r="S1091" i="14"/>
  <c r="S1098" i="14"/>
  <c r="S1102" i="14"/>
  <c r="S1104" i="14"/>
  <c r="S1120" i="14"/>
  <c r="S1124" i="14"/>
  <c r="S1132" i="14"/>
  <c r="S738" i="14"/>
  <c r="S739" i="14"/>
  <c r="S740" i="14"/>
  <c r="S741" i="14"/>
  <c r="S742" i="14"/>
  <c r="S743" i="14"/>
  <c r="S744" i="14"/>
  <c r="S745" i="14"/>
  <c r="S746" i="14"/>
  <c r="S747" i="14"/>
  <c r="S749" i="14"/>
  <c r="S750" i="14"/>
  <c r="S751" i="14"/>
  <c r="S752" i="14"/>
  <c r="S753" i="14"/>
  <c r="S754" i="14"/>
  <c r="S755" i="14"/>
  <c r="S756" i="14"/>
  <c r="U757" i="14"/>
  <c r="S866" i="14"/>
  <c r="S877" i="14"/>
  <c r="S878" i="14"/>
  <c r="S881" i="14"/>
  <c r="S884" i="14"/>
  <c r="S885" i="14"/>
  <c r="S889" i="14"/>
  <c r="S897" i="14"/>
  <c r="S901" i="14"/>
  <c r="S919" i="14"/>
  <c r="S931" i="14"/>
  <c r="S944" i="14"/>
  <c r="S947" i="14"/>
  <c r="S948" i="14"/>
  <c r="S952" i="14"/>
  <c r="S961" i="14"/>
  <c r="S965" i="14"/>
  <c r="S968" i="14"/>
  <c r="S969" i="14"/>
  <c r="S973" i="14"/>
  <c r="S978" i="14"/>
  <c r="S982" i="14"/>
  <c r="S986" i="14"/>
  <c r="S990" i="14"/>
  <c r="S994" i="14"/>
  <c r="S1014" i="14"/>
  <c r="S1026" i="14"/>
  <c r="S1035" i="14"/>
  <c r="S1038" i="14"/>
  <c r="S1042" i="14"/>
  <c r="S1047" i="14"/>
  <c r="S1051" i="14"/>
  <c r="S1059" i="14"/>
  <c r="S1066" i="14"/>
  <c r="S1074" i="14"/>
  <c r="S1078" i="14"/>
  <c r="S1082" i="14"/>
  <c r="S1092" i="14"/>
  <c r="S1096" i="14"/>
  <c r="S1100" i="14"/>
  <c r="S1113" i="14"/>
  <c r="S1121" i="14"/>
  <c r="S1122" i="14"/>
  <c r="S1133" i="14"/>
  <c r="S1137" i="14"/>
  <c r="V364" i="14"/>
  <c r="F3" i="15"/>
  <c r="K3" i="15"/>
  <c r="I4" i="15"/>
  <c r="H3" i="15"/>
  <c r="G2" i="15"/>
  <c r="J3" i="15"/>
  <c r="E4" i="15"/>
  <c r="H2" i="15"/>
  <c r="L4" i="15"/>
  <c r="L2" i="15"/>
  <c r="E2" i="15"/>
  <c r="L3" i="15"/>
  <c r="F4" i="15"/>
  <c r="J4" i="15"/>
  <c r="H4" i="15"/>
  <c r="J2" i="15"/>
  <c r="F2" i="15"/>
  <c r="G3" i="15"/>
  <c r="I3" i="15"/>
  <c r="K4" i="15"/>
  <c r="K2" i="15"/>
  <c r="I2" i="15"/>
  <c r="G4" i="15"/>
  <c r="E3" i="15"/>
  <c r="D3" i="15"/>
  <c r="T929" i="14"/>
  <c r="U929" i="14"/>
  <c r="V929" i="14"/>
  <c r="V935" i="14"/>
  <c r="T935" i="14"/>
  <c r="U935" i="14"/>
  <c r="V957" i="14"/>
  <c r="U957" i="14"/>
  <c r="T957" i="14"/>
  <c r="V962" i="14"/>
  <c r="T962" i="14"/>
  <c r="U962" i="14"/>
  <c r="T963" i="14"/>
  <c r="U963" i="14"/>
  <c r="V963" i="14"/>
  <c r="V964" i="14"/>
  <c r="U964" i="14"/>
  <c r="T964" i="14"/>
  <c r="V965" i="14"/>
  <c r="U965" i="14"/>
  <c r="T965" i="14"/>
  <c r="U966" i="14"/>
  <c r="V966" i="14"/>
  <c r="T966" i="14"/>
  <c r="U967" i="14"/>
  <c r="V967" i="14"/>
  <c r="T967" i="14"/>
  <c r="T968" i="14"/>
  <c r="U968" i="14"/>
  <c r="V968" i="14"/>
  <c r="U969" i="14"/>
  <c r="T969" i="14"/>
  <c r="V969" i="14"/>
  <c r="T970" i="14"/>
  <c r="U970" i="14"/>
  <c r="V970" i="14"/>
  <c r="V971" i="14"/>
  <c r="U971" i="14"/>
  <c r="T971" i="14"/>
  <c r="V972" i="14"/>
  <c r="U972" i="14"/>
  <c r="T972" i="14"/>
  <c r="T973" i="14"/>
  <c r="V973" i="14"/>
  <c r="U973" i="14"/>
  <c r="T974" i="14"/>
  <c r="V974" i="14"/>
  <c r="U974" i="14"/>
  <c r="V975" i="14"/>
  <c r="U975" i="14"/>
  <c r="T975" i="14"/>
  <c r="T976" i="14"/>
  <c r="U976" i="14"/>
  <c r="V976" i="14"/>
  <c r="T977" i="14"/>
  <c r="U977" i="14"/>
  <c r="V977" i="14"/>
  <c r="V978" i="14"/>
  <c r="U978" i="14"/>
  <c r="T978" i="14"/>
  <c r="T992" i="14"/>
  <c r="U992" i="14"/>
  <c r="V992" i="14"/>
  <c r="T1110" i="14"/>
  <c r="U1110" i="14"/>
  <c r="V1110" i="14"/>
  <c r="T1115" i="14"/>
  <c r="V1115" i="14"/>
  <c r="U1115" i="14"/>
  <c r="V1135" i="14"/>
  <c r="U1135" i="14"/>
  <c r="T1135" i="14"/>
  <c r="V322" i="14"/>
  <c r="T322" i="14"/>
  <c r="V323" i="14"/>
  <c r="T323" i="14"/>
  <c r="V324" i="14"/>
  <c r="T324" i="14"/>
  <c r="V325" i="14"/>
  <c r="T325" i="14"/>
  <c r="V326" i="14"/>
  <c r="T326" i="14"/>
  <c r="V327" i="14"/>
  <c r="T327" i="14"/>
  <c r="V328" i="14"/>
  <c r="T328" i="14"/>
  <c r="T329" i="14"/>
  <c r="V329" i="14"/>
  <c r="V330" i="14"/>
  <c r="T330" i="14"/>
  <c r="V331" i="14"/>
  <c r="T331" i="14"/>
  <c r="V332" i="14"/>
  <c r="T332" i="14"/>
  <c r="T333" i="14"/>
  <c r="V333" i="14"/>
  <c r="V334" i="14"/>
  <c r="T334" i="14"/>
  <c r="V335" i="14"/>
  <c r="T335" i="14"/>
  <c r="V336" i="14"/>
  <c r="T336" i="14"/>
  <c r="T337" i="14"/>
  <c r="V337" i="14"/>
  <c r="T338" i="14"/>
  <c r="V338" i="14"/>
  <c r="T339" i="14"/>
  <c r="V339" i="14"/>
  <c r="T340" i="14"/>
  <c r="V340" i="14"/>
  <c r="T342" i="14"/>
  <c r="V342" i="14"/>
  <c r="T343" i="14"/>
  <c r="V343" i="14"/>
  <c r="T344" i="14"/>
  <c r="V344" i="14"/>
  <c r="V345" i="14"/>
  <c r="T345" i="14"/>
  <c r="V346" i="14"/>
  <c r="T346" i="14"/>
  <c r="T738" i="14"/>
  <c r="V738" i="14"/>
  <c r="V739" i="14"/>
  <c r="T739" i="14"/>
  <c r="T740" i="14"/>
  <c r="V740" i="14"/>
  <c r="T741" i="14"/>
  <c r="V741" i="14"/>
  <c r="T742" i="14"/>
  <c r="V742" i="14"/>
  <c r="T743" i="14"/>
  <c r="V743" i="14"/>
  <c r="T744" i="14"/>
  <c r="V744" i="14"/>
  <c r="T745" i="14"/>
  <c r="V745" i="14"/>
  <c r="T746" i="14"/>
  <c r="V746" i="14"/>
  <c r="T747" i="14"/>
  <c r="V747" i="14"/>
  <c r="V748" i="14"/>
  <c r="T748" i="14"/>
  <c r="V749" i="14"/>
  <c r="T749" i="14"/>
  <c r="V750" i="14"/>
  <c r="T750" i="14"/>
  <c r="V751" i="14"/>
  <c r="T751" i="14"/>
  <c r="V752" i="14"/>
  <c r="T752" i="14"/>
  <c r="V753" i="14"/>
  <c r="T753" i="14"/>
  <c r="V754" i="14"/>
  <c r="T754" i="14"/>
  <c r="T755" i="14"/>
  <c r="V755" i="14"/>
  <c r="T756" i="14"/>
  <c r="V756" i="14"/>
  <c r="O98" i="14"/>
  <c r="O100" i="14"/>
  <c r="O196" i="14"/>
  <c r="O327" i="14"/>
  <c r="O335" i="14"/>
  <c r="O336" i="14"/>
  <c r="O338" i="14"/>
  <c r="O339" i="14"/>
  <c r="O344" i="14"/>
  <c r="O501" i="14"/>
  <c r="O507" i="14"/>
  <c r="O517" i="14"/>
  <c r="O521" i="14"/>
  <c r="O531" i="14"/>
  <c r="O533" i="14"/>
  <c r="O541" i="14"/>
  <c r="S542" i="14"/>
  <c r="O715" i="14"/>
  <c r="O718" i="14"/>
  <c r="O722" i="14"/>
  <c r="O727" i="14"/>
  <c r="O732" i="14"/>
  <c r="O738" i="14"/>
  <c r="O750" i="14"/>
  <c r="O754" i="14"/>
  <c r="O926" i="14"/>
  <c r="O940" i="14"/>
  <c r="O941" i="14"/>
  <c r="O943" i="14"/>
  <c r="O945" i="14"/>
  <c r="O962" i="14"/>
  <c r="O966" i="14"/>
  <c r="O974" i="14"/>
  <c r="O979" i="14"/>
  <c r="O990" i="14"/>
  <c r="O1108" i="14"/>
  <c r="O1110" i="14"/>
  <c r="O1119" i="14"/>
  <c r="O1125" i="14"/>
  <c r="O1127" i="14"/>
  <c r="O1134" i="14"/>
  <c r="O1136" i="14"/>
  <c r="O99" i="14"/>
  <c r="O203" i="14"/>
  <c r="O319" i="14"/>
  <c r="O321" i="14"/>
  <c r="O324" i="14"/>
  <c r="O325" i="14"/>
  <c r="O329" i="14"/>
  <c r="O333" i="14"/>
  <c r="O337" i="14"/>
  <c r="O343" i="14"/>
  <c r="O502" i="14"/>
  <c r="O506" i="14"/>
  <c r="O519" i="14"/>
  <c r="O526" i="14"/>
  <c r="O536" i="14"/>
  <c r="O713" i="14"/>
  <c r="O726" i="14"/>
  <c r="O734" i="14"/>
  <c r="O735" i="14"/>
  <c r="O736" i="14"/>
  <c r="O740" i="14"/>
  <c r="O741" i="14"/>
  <c r="O745" i="14"/>
  <c r="O752" i="14"/>
  <c r="O928" i="14"/>
  <c r="O935" i="14"/>
  <c r="O938" i="14"/>
  <c r="O948" i="14"/>
  <c r="O954" i="14"/>
  <c r="O987" i="14"/>
  <c r="O992" i="14"/>
  <c r="O1112" i="14"/>
  <c r="O1113" i="14"/>
  <c r="O1118" i="14"/>
  <c r="O1123" i="14"/>
  <c r="S1181" i="14"/>
  <c r="O97" i="14"/>
  <c r="O102" i="14"/>
  <c r="S167" i="14"/>
  <c r="U249" i="14"/>
  <c r="O313" i="14"/>
  <c r="O316" i="14"/>
  <c r="O323" i="14"/>
  <c r="O326" i="14"/>
  <c r="O330" i="14"/>
  <c r="O332" i="14"/>
  <c r="O340" i="14"/>
  <c r="O342" i="14"/>
  <c r="O345" i="14"/>
  <c r="O346" i="14"/>
  <c r="S424" i="14"/>
  <c r="O504" i="14"/>
  <c r="O508" i="14"/>
  <c r="O511" i="14"/>
  <c r="O518" i="14"/>
  <c r="O520" i="14"/>
  <c r="O527" i="14"/>
  <c r="O532" i="14"/>
  <c r="O537" i="14"/>
  <c r="O540" i="14"/>
  <c r="O707" i="14"/>
  <c r="O708" i="14"/>
  <c r="O709" i="14"/>
  <c r="O724" i="14"/>
  <c r="O733" i="14"/>
  <c r="O737" i="14"/>
  <c r="O739" i="14"/>
  <c r="O746" i="14"/>
  <c r="O749" i="14"/>
  <c r="O925" i="14"/>
  <c r="O930" i="14"/>
  <c r="O934" i="14"/>
  <c r="O949" i="14"/>
  <c r="O952" i="14"/>
  <c r="O956" i="14"/>
  <c r="O958" i="14"/>
  <c r="O960" i="14"/>
  <c r="O965" i="14"/>
  <c r="O967" i="14"/>
  <c r="O971" i="14"/>
  <c r="O972" i="14"/>
  <c r="O976" i="14"/>
  <c r="O977" i="14"/>
  <c r="O980" i="14"/>
  <c r="O982" i="14"/>
  <c r="O988" i="14"/>
  <c r="O993" i="14"/>
  <c r="O1100" i="14"/>
  <c r="O1107" i="14"/>
  <c r="O1117" i="14"/>
  <c r="O1126" i="14"/>
  <c r="O1137" i="14"/>
  <c r="O1139" i="14"/>
  <c r="S1178" i="14"/>
  <c r="S1190" i="14"/>
  <c r="O96" i="14"/>
  <c r="O101" i="14"/>
  <c r="S161" i="14"/>
  <c r="O314" i="14"/>
  <c r="O315" i="14"/>
  <c r="O317" i="14"/>
  <c r="O318" i="14"/>
  <c r="O320" i="14"/>
  <c r="O322" i="14"/>
  <c r="O328" i="14"/>
  <c r="O331" i="14"/>
  <c r="O334" i="14"/>
  <c r="O505" i="14"/>
  <c r="O509" i="14"/>
  <c r="O514" i="14"/>
  <c r="O515" i="14"/>
  <c r="O516" i="14"/>
  <c r="O522" i="14"/>
  <c r="O530" i="14"/>
  <c r="O535" i="14"/>
  <c r="O538" i="14"/>
  <c r="O539" i="14"/>
  <c r="U625" i="14"/>
  <c r="O710" i="14"/>
  <c r="O711" i="14"/>
  <c r="O714" i="14"/>
  <c r="O723" i="14"/>
  <c r="O728" i="14"/>
  <c r="O731" i="14"/>
  <c r="O742" i="14"/>
  <c r="O743" i="14"/>
  <c r="O747" i="14"/>
  <c r="O748" i="14"/>
  <c r="O753" i="14"/>
  <c r="O756" i="14"/>
  <c r="O931" i="14"/>
  <c r="O933" i="14"/>
  <c r="O942" i="14"/>
  <c r="O944" i="14"/>
  <c r="O957" i="14"/>
  <c r="O963" i="14"/>
  <c r="O983" i="14"/>
  <c r="O984" i="14"/>
  <c r="O989" i="14"/>
  <c r="O1102" i="14"/>
  <c r="O1106" i="14"/>
  <c r="O1111" i="14"/>
  <c r="O1115" i="14"/>
  <c r="O1120" i="14"/>
  <c r="O1124" i="14"/>
  <c r="O1128" i="14"/>
  <c r="O1131" i="14"/>
  <c r="O1135" i="14"/>
  <c r="O1140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5" i="14"/>
  <c r="O366" i="14"/>
  <c r="O367" i="14"/>
  <c r="O368" i="14"/>
  <c r="O369" i="14"/>
  <c r="O370" i="14"/>
  <c r="O371" i="14"/>
  <c r="O372" i="14"/>
  <c r="O373" i="14"/>
  <c r="O503" i="14"/>
  <c r="O510" i="14"/>
  <c r="O512" i="14"/>
  <c r="O513" i="14"/>
  <c r="O523" i="14"/>
  <c r="O524" i="14"/>
  <c r="O525" i="14"/>
  <c r="O528" i="14"/>
  <c r="O529" i="14"/>
  <c r="O534" i="14"/>
  <c r="O712" i="14"/>
  <c r="O716" i="14"/>
  <c r="O717" i="14"/>
  <c r="O719" i="14"/>
  <c r="O720" i="14"/>
  <c r="O721" i="14"/>
  <c r="O725" i="14"/>
  <c r="O729" i="14"/>
  <c r="O730" i="14"/>
  <c r="O744" i="14"/>
  <c r="O751" i="14"/>
  <c r="O755" i="14"/>
  <c r="O923" i="14"/>
  <c r="O924" i="14"/>
  <c r="O927" i="14"/>
  <c r="O937" i="14"/>
  <c r="O946" i="14"/>
  <c r="O950" i="14"/>
  <c r="O955" i="14"/>
  <c r="O959" i="14"/>
  <c r="O961" i="14"/>
  <c r="O964" i="14"/>
  <c r="O975" i="14"/>
  <c r="O978" i="14"/>
  <c r="O981" i="14"/>
  <c r="O994" i="14"/>
  <c r="O1101" i="14"/>
  <c r="O1103" i="14"/>
  <c r="O1109" i="14"/>
  <c r="O1114" i="14"/>
  <c r="O1116" i="14"/>
  <c r="O1121" i="14"/>
  <c r="O1129" i="14"/>
  <c r="O1133" i="14"/>
  <c r="O1138" i="14"/>
  <c r="S1193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S797" i="14"/>
  <c r="S798" i="14"/>
  <c r="S801" i="14"/>
  <c r="S802" i="14"/>
  <c r="S805" i="14"/>
  <c r="S806" i="14"/>
  <c r="S811" i="14"/>
  <c r="S812" i="14"/>
  <c r="U813" i="14"/>
  <c r="O929" i="14"/>
  <c r="O932" i="14"/>
  <c r="O936" i="14"/>
  <c r="O939" i="14"/>
  <c r="O947" i="14"/>
  <c r="O951" i="14"/>
  <c r="O953" i="14"/>
  <c r="O968" i="14"/>
  <c r="O969" i="14"/>
  <c r="O970" i="14"/>
  <c r="O973" i="14"/>
  <c r="O985" i="14"/>
  <c r="O986" i="14"/>
  <c r="O991" i="14"/>
  <c r="O995" i="14"/>
  <c r="O1104" i="14"/>
  <c r="O1105" i="14"/>
  <c r="O1122" i="14"/>
  <c r="O1130" i="14"/>
  <c r="O1132" i="14"/>
  <c r="S1191" i="14"/>
  <c r="S1197" i="14"/>
  <c r="S1199" i="14"/>
  <c r="S1200" i="14"/>
  <c r="S1201" i="14"/>
  <c r="S1202" i="14"/>
  <c r="S1203" i="14"/>
  <c r="S1204" i="14"/>
  <c r="S1205" i="14"/>
  <c r="U1206" i="14"/>
  <c r="T251" i="14"/>
  <c r="T441" i="14"/>
  <c r="T433" i="14"/>
  <c r="V433" i="14"/>
  <c r="U433" i="14"/>
  <c r="T923" i="14"/>
  <c r="U923" i="14"/>
  <c r="V923" i="14"/>
  <c r="U924" i="14"/>
  <c r="V924" i="14"/>
  <c r="T924" i="14"/>
  <c r="V925" i="14"/>
  <c r="U925" i="14"/>
  <c r="T925" i="14"/>
  <c r="T926" i="14"/>
  <c r="V926" i="14"/>
  <c r="U926" i="14"/>
  <c r="V927" i="14"/>
  <c r="T927" i="14"/>
  <c r="U927" i="14"/>
  <c r="U928" i="14"/>
  <c r="T928" i="14"/>
  <c r="T930" i="14"/>
  <c r="U930" i="14"/>
  <c r="T931" i="14"/>
  <c r="U931" i="14"/>
  <c r="V931" i="14"/>
  <c r="V932" i="14"/>
  <c r="U932" i="14"/>
  <c r="T932" i="14"/>
  <c r="U933" i="14"/>
  <c r="T933" i="14"/>
  <c r="V933" i="14"/>
  <c r="V934" i="14"/>
  <c r="U934" i="14"/>
  <c r="T934" i="14"/>
  <c r="V936" i="14"/>
  <c r="U936" i="14"/>
  <c r="T936" i="14"/>
  <c r="T937" i="14"/>
  <c r="U937" i="14"/>
  <c r="V937" i="14"/>
  <c r="T938" i="14"/>
  <c r="U938" i="14"/>
  <c r="V938" i="14"/>
  <c r="U939" i="14"/>
  <c r="T939" i="14"/>
  <c r="V939" i="14"/>
  <c r="U940" i="14"/>
  <c r="V940" i="14"/>
  <c r="T940" i="14"/>
  <c r="T941" i="14"/>
  <c r="U941" i="14"/>
  <c r="V941" i="14"/>
  <c r="U942" i="14"/>
  <c r="T942" i="14"/>
  <c r="V942" i="14"/>
  <c r="V943" i="14"/>
  <c r="U943" i="14"/>
  <c r="T943" i="14"/>
  <c r="U944" i="14"/>
  <c r="V944" i="14"/>
  <c r="T944" i="14"/>
  <c r="T945" i="14"/>
  <c r="V945" i="14"/>
  <c r="U945" i="14"/>
  <c r="V946" i="14"/>
  <c r="T946" i="14"/>
  <c r="U946" i="14"/>
  <c r="T947" i="14"/>
  <c r="U947" i="14"/>
  <c r="T948" i="14"/>
  <c r="U948" i="14"/>
  <c r="V948" i="14"/>
  <c r="V949" i="14"/>
  <c r="U949" i="14"/>
  <c r="T949" i="14"/>
  <c r="V950" i="14"/>
  <c r="U950" i="14"/>
  <c r="T950" i="14"/>
  <c r="T951" i="14"/>
  <c r="V951" i="14"/>
  <c r="U951" i="14"/>
  <c r="U952" i="14"/>
  <c r="T952" i="14"/>
  <c r="V952" i="14"/>
  <c r="V953" i="14"/>
  <c r="U953" i="14"/>
  <c r="T953" i="14"/>
  <c r="V954" i="14"/>
  <c r="T954" i="14"/>
  <c r="U954" i="14"/>
  <c r="U955" i="14"/>
  <c r="T955" i="14"/>
  <c r="V955" i="14"/>
  <c r="V956" i="14"/>
  <c r="U956" i="14"/>
  <c r="T956" i="14"/>
  <c r="T979" i="14"/>
  <c r="U979" i="14"/>
  <c r="V979" i="14"/>
  <c r="T981" i="14"/>
  <c r="U981" i="14"/>
  <c r="V981" i="14"/>
  <c r="T982" i="14"/>
  <c r="V982" i="14"/>
  <c r="U982" i="14"/>
  <c r="V983" i="14"/>
  <c r="U983" i="14"/>
  <c r="T983" i="14"/>
  <c r="T984" i="14"/>
  <c r="V984" i="14"/>
  <c r="U984" i="14"/>
  <c r="T985" i="14"/>
  <c r="U985" i="14"/>
  <c r="V985" i="14"/>
  <c r="T986" i="14"/>
  <c r="U986" i="14"/>
  <c r="V986" i="14"/>
  <c r="V987" i="14"/>
  <c r="U987" i="14"/>
  <c r="T987" i="14"/>
  <c r="T988" i="14"/>
  <c r="V988" i="14"/>
  <c r="U988" i="14"/>
  <c r="U989" i="14"/>
  <c r="T989" i="14"/>
  <c r="V989" i="14"/>
  <c r="U990" i="14"/>
  <c r="T990" i="14"/>
  <c r="V990" i="14"/>
  <c r="V991" i="14"/>
  <c r="T991" i="14"/>
  <c r="U991" i="14"/>
  <c r="V993" i="14"/>
  <c r="U993" i="14"/>
  <c r="T993" i="14"/>
  <c r="U994" i="14"/>
  <c r="T994" i="14"/>
  <c r="V994" i="14"/>
  <c r="V995" i="14"/>
  <c r="U995" i="14"/>
  <c r="T995" i="14"/>
  <c r="T1100" i="14"/>
  <c r="V1100" i="14"/>
  <c r="U1100" i="14"/>
  <c r="V1101" i="14"/>
  <c r="U1101" i="14"/>
  <c r="T1101" i="14"/>
  <c r="V1102" i="14"/>
  <c r="U1102" i="14"/>
  <c r="T1102" i="14"/>
  <c r="V1103" i="14"/>
  <c r="U1103" i="14"/>
  <c r="T1103" i="14"/>
  <c r="V1104" i="14"/>
  <c r="T1104" i="14"/>
  <c r="U1104" i="14"/>
  <c r="U1105" i="14"/>
  <c r="T1105" i="14"/>
  <c r="V1105" i="14"/>
  <c r="V1106" i="14"/>
  <c r="U1106" i="14"/>
  <c r="T1106" i="14"/>
  <c r="T1107" i="14"/>
  <c r="U1107" i="14"/>
  <c r="V1107" i="14"/>
  <c r="V1108" i="14"/>
  <c r="U1108" i="14"/>
  <c r="T1108" i="14"/>
  <c r="U1109" i="14"/>
  <c r="V1109" i="14"/>
  <c r="T1109" i="14"/>
  <c r="U1111" i="14"/>
  <c r="T1111" i="14"/>
  <c r="V1111" i="14"/>
  <c r="V1112" i="14"/>
  <c r="T1112" i="14"/>
  <c r="U1112" i="14"/>
  <c r="T1113" i="14"/>
  <c r="V1113" i="14"/>
  <c r="U1113" i="14"/>
  <c r="U1114" i="14"/>
  <c r="V1114" i="14"/>
  <c r="T1114" i="14"/>
  <c r="V1116" i="14"/>
  <c r="T1116" i="14"/>
  <c r="U1116" i="14"/>
  <c r="T1117" i="14"/>
  <c r="U1117" i="14"/>
  <c r="V1117" i="14"/>
  <c r="V1118" i="14"/>
  <c r="T1118" i="14"/>
  <c r="U1118" i="14"/>
  <c r="T1119" i="14"/>
  <c r="U1119" i="14"/>
  <c r="V1119" i="14"/>
  <c r="T1120" i="14"/>
  <c r="U1120" i="14"/>
  <c r="V1120" i="14"/>
  <c r="U1121" i="14"/>
  <c r="V1121" i="14"/>
  <c r="T1121" i="14"/>
  <c r="T1122" i="14"/>
  <c r="V1122" i="14"/>
  <c r="U1122" i="14"/>
  <c r="U1123" i="14"/>
  <c r="V1123" i="14"/>
  <c r="T1123" i="14"/>
  <c r="U1124" i="14"/>
  <c r="T1124" i="14"/>
  <c r="V1124" i="14"/>
  <c r="T1125" i="14"/>
  <c r="U1125" i="14"/>
  <c r="V1125" i="14"/>
  <c r="U1126" i="14"/>
  <c r="T1126" i="14"/>
  <c r="V1126" i="14"/>
  <c r="T1127" i="14"/>
  <c r="U1127" i="14"/>
  <c r="V1127" i="14"/>
  <c r="V1128" i="14"/>
  <c r="T1128" i="14"/>
  <c r="U1128" i="14"/>
  <c r="T1129" i="14"/>
  <c r="U1129" i="14"/>
  <c r="V1129" i="14"/>
  <c r="T1130" i="14"/>
  <c r="U1130" i="14"/>
  <c r="V1130" i="14"/>
  <c r="U1131" i="14"/>
  <c r="V1131" i="14"/>
  <c r="T1131" i="14"/>
  <c r="V1132" i="14"/>
  <c r="U1132" i="14"/>
  <c r="T1132" i="14"/>
  <c r="V1133" i="14"/>
  <c r="U1133" i="14"/>
  <c r="T1133" i="14"/>
  <c r="U1134" i="14"/>
  <c r="V1134" i="14"/>
  <c r="T1134" i="14"/>
  <c r="T1136" i="14"/>
  <c r="U1136" i="14"/>
  <c r="V1136" i="14"/>
  <c r="V1137" i="14"/>
  <c r="T1137" i="14"/>
  <c r="U1137" i="14"/>
  <c r="V1138" i="14"/>
  <c r="U1138" i="14"/>
  <c r="T1138" i="14"/>
  <c r="U1139" i="14"/>
  <c r="T1139" i="14"/>
  <c r="V1139" i="14"/>
  <c r="T1140" i="14"/>
  <c r="V1140" i="14"/>
  <c r="U1140" i="14"/>
  <c r="T96" i="14"/>
  <c r="V96" i="14"/>
  <c r="V97" i="14"/>
  <c r="T97" i="14"/>
  <c r="V98" i="14"/>
  <c r="T98" i="14"/>
  <c r="T99" i="14"/>
  <c r="V99" i="14"/>
  <c r="V100" i="14"/>
  <c r="T100" i="14"/>
  <c r="V101" i="14"/>
  <c r="T101" i="14"/>
  <c r="T102" i="14"/>
  <c r="V102" i="14"/>
  <c r="T103" i="14"/>
  <c r="V103" i="14"/>
  <c r="V104" i="14"/>
  <c r="T104" i="14"/>
  <c r="V105" i="14"/>
  <c r="T105" i="14"/>
  <c r="V106" i="14"/>
  <c r="T106" i="14"/>
  <c r="T107" i="14"/>
  <c r="V107" i="14"/>
  <c r="T108" i="14"/>
  <c r="V108" i="14"/>
  <c r="V109" i="14"/>
  <c r="T109" i="14"/>
  <c r="V110" i="14"/>
  <c r="T110" i="14"/>
  <c r="T111" i="14"/>
  <c r="V111" i="14"/>
  <c r="V112" i="14"/>
  <c r="T112" i="14"/>
  <c r="T113" i="14"/>
  <c r="V113" i="14"/>
  <c r="T114" i="14"/>
  <c r="V114" i="14"/>
  <c r="T115" i="14"/>
  <c r="V115" i="14"/>
  <c r="V116" i="14"/>
  <c r="T116" i="14"/>
  <c r="T117" i="14"/>
  <c r="V117" i="14"/>
  <c r="T118" i="14"/>
  <c r="V118" i="14"/>
  <c r="T119" i="14"/>
  <c r="V119" i="14"/>
  <c r="V120" i="14"/>
  <c r="T120" i="14"/>
  <c r="T121" i="14"/>
  <c r="V121" i="14"/>
  <c r="T122" i="14"/>
  <c r="V122" i="14"/>
  <c r="T123" i="14"/>
  <c r="V123" i="14"/>
  <c r="T124" i="14"/>
  <c r="V124" i="14"/>
  <c r="V125" i="14"/>
  <c r="T125" i="14"/>
  <c r="T126" i="14"/>
  <c r="V126" i="14"/>
  <c r="V127" i="14"/>
  <c r="T127" i="14"/>
  <c r="T128" i="14"/>
  <c r="V128" i="14"/>
  <c r="V129" i="14"/>
  <c r="T129" i="14"/>
  <c r="T130" i="14"/>
  <c r="V130" i="14"/>
  <c r="V131" i="14"/>
  <c r="T131" i="14"/>
  <c r="V132" i="14"/>
  <c r="T132" i="14"/>
  <c r="V133" i="14"/>
  <c r="T133" i="14"/>
  <c r="V134" i="14"/>
  <c r="T134" i="14"/>
  <c r="T135" i="14"/>
  <c r="V135" i="14"/>
  <c r="T136" i="14"/>
  <c r="V136" i="14"/>
  <c r="T137" i="14"/>
  <c r="V137" i="14"/>
  <c r="T138" i="14"/>
  <c r="V138" i="14"/>
  <c r="V139" i="14"/>
  <c r="T139" i="14"/>
  <c r="T140" i="14"/>
  <c r="V140" i="14"/>
  <c r="V141" i="14"/>
  <c r="T141" i="14"/>
  <c r="T142" i="14"/>
  <c r="V142" i="14"/>
  <c r="V143" i="14"/>
  <c r="T143" i="14"/>
  <c r="T144" i="14"/>
  <c r="V144" i="14"/>
  <c r="V145" i="14"/>
  <c r="T145" i="14"/>
  <c r="V146" i="14"/>
  <c r="T146" i="14"/>
  <c r="V147" i="14"/>
  <c r="T147" i="14"/>
  <c r="V148" i="14"/>
  <c r="T148" i="14"/>
  <c r="T149" i="14"/>
  <c r="V149" i="14"/>
  <c r="T150" i="14"/>
  <c r="V150" i="14"/>
  <c r="T151" i="14"/>
  <c r="V151" i="14"/>
  <c r="V152" i="14"/>
  <c r="T152" i="14"/>
  <c r="V153" i="14"/>
  <c r="T153" i="14"/>
  <c r="T154" i="14"/>
  <c r="V154" i="14"/>
  <c r="T155" i="14"/>
  <c r="V155" i="14"/>
  <c r="V156" i="14"/>
  <c r="T156" i="14"/>
  <c r="V157" i="14"/>
  <c r="T157" i="14"/>
  <c r="T158" i="14"/>
  <c r="V158" i="14"/>
  <c r="T159" i="14"/>
  <c r="V159" i="14"/>
  <c r="V160" i="14"/>
  <c r="T160" i="14"/>
  <c r="V161" i="14"/>
  <c r="T161" i="14"/>
  <c r="V162" i="14"/>
  <c r="T162" i="14"/>
  <c r="V163" i="14"/>
  <c r="T163" i="14"/>
  <c r="V164" i="14"/>
  <c r="T164" i="14"/>
  <c r="T165" i="14"/>
  <c r="V165" i="14"/>
  <c r="T166" i="14"/>
  <c r="V166" i="14"/>
  <c r="V167" i="14"/>
  <c r="T167" i="14"/>
  <c r="T168" i="14"/>
  <c r="V168" i="14"/>
  <c r="T169" i="14"/>
  <c r="V169" i="14"/>
  <c r="T170" i="14"/>
  <c r="V170" i="14"/>
  <c r="T171" i="14"/>
  <c r="V171" i="14"/>
  <c r="V172" i="14"/>
  <c r="T172" i="14"/>
  <c r="T173" i="14"/>
  <c r="V173" i="14"/>
  <c r="V174" i="14"/>
  <c r="T174" i="14"/>
  <c r="T175" i="14"/>
  <c r="V175" i="14"/>
  <c r="T176" i="14"/>
  <c r="V176" i="14"/>
  <c r="V177" i="14"/>
  <c r="T177" i="14"/>
  <c r="V178" i="14"/>
  <c r="T178" i="14"/>
  <c r="T179" i="14"/>
  <c r="V179" i="14"/>
  <c r="V347" i="14"/>
  <c r="T347" i="14"/>
  <c r="V348" i="14"/>
  <c r="T348" i="14"/>
  <c r="V349" i="14"/>
  <c r="T349" i="14"/>
  <c r="V350" i="14"/>
  <c r="T350" i="14"/>
  <c r="T351" i="14"/>
  <c r="V351" i="14"/>
  <c r="T352" i="14"/>
  <c r="V352" i="14"/>
  <c r="T353" i="14"/>
  <c r="V353" i="14"/>
  <c r="T354" i="14"/>
  <c r="V354" i="14"/>
  <c r="T355" i="14"/>
  <c r="V355" i="14"/>
  <c r="V356" i="14"/>
  <c r="T356" i="14"/>
  <c r="V357" i="14"/>
  <c r="T357" i="14"/>
  <c r="V358" i="14"/>
  <c r="T358" i="14"/>
  <c r="T359" i="14"/>
  <c r="V359" i="14"/>
  <c r="T360" i="14"/>
  <c r="V360" i="14"/>
  <c r="T361" i="14"/>
  <c r="V361" i="14"/>
  <c r="V362" i="14"/>
  <c r="T362" i="14"/>
  <c r="T363" i="14"/>
  <c r="V363" i="14"/>
  <c r="T365" i="14"/>
  <c r="V365" i="14"/>
  <c r="V366" i="14"/>
  <c r="T366" i="14"/>
  <c r="T367" i="14"/>
  <c r="V367" i="14"/>
  <c r="T368" i="14"/>
  <c r="V368" i="14"/>
  <c r="V369" i="14"/>
  <c r="T369" i="14"/>
  <c r="V370" i="14"/>
  <c r="T370" i="14"/>
  <c r="V371" i="14"/>
  <c r="T371" i="14"/>
  <c r="V372" i="14"/>
  <c r="T372" i="14"/>
  <c r="V373" i="14"/>
  <c r="T373" i="14"/>
  <c r="V374" i="14"/>
  <c r="T374" i="14"/>
  <c r="V375" i="14"/>
  <c r="T375" i="14"/>
  <c r="V376" i="14"/>
  <c r="T376" i="14"/>
  <c r="V377" i="14"/>
  <c r="T377" i="14"/>
  <c r="V378" i="14"/>
  <c r="T378" i="14"/>
  <c r="V379" i="14"/>
  <c r="T379" i="14"/>
  <c r="T380" i="14"/>
  <c r="V380" i="14"/>
  <c r="V381" i="14"/>
  <c r="T381" i="14"/>
  <c r="T382" i="14"/>
  <c r="V382" i="14"/>
  <c r="V757" i="14"/>
  <c r="T757" i="14"/>
  <c r="T758" i="14"/>
  <c r="V758" i="14"/>
  <c r="T759" i="14"/>
  <c r="V759" i="14"/>
  <c r="T760" i="14"/>
  <c r="V760" i="14"/>
  <c r="T761" i="14"/>
  <c r="V761" i="14"/>
  <c r="T762" i="14"/>
  <c r="V762" i="14"/>
  <c r="T763" i="14"/>
  <c r="V763" i="14"/>
  <c r="V764" i="14"/>
  <c r="T764" i="14"/>
  <c r="T765" i="14"/>
  <c r="V765" i="14"/>
  <c r="T766" i="14"/>
  <c r="V766" i="14"/>
  <c r="V767" i="14"/>
  <c r="T767" i="14"/>
  <c r="V768" i="14"/>
  <c r="T768" i="14"/>
  <c r="V769" i="14"/>
  <c r="T769" i="14"/>
  <c r="V770" i="14"/>
  <c r="T770" i="14"/>
  <c r="V771" i="14"/>
  <c r="T771" i="14"/>
  <c r="V772" i="14"/>
  <c r="T772" i="14"/>
  <c r="V773" i="14"/>
  <c r="T773" i="14"/>
  <c r="V774" i="14"/>
  <c r="T774" i="14"/>
  <c r="V775" i="14"/>
  <c r="T775" i="14"/>
  <c r="T776" i="14"/>
  <c r="V776" i="14"/>
  <c r="T777" i="14"/>
  <c r="V777" i="14"/>
  <c r="V778" i="14"/>
  <c r="T778" i="14"/>
  <c r="V779" i="14"/>
  <c r="T779" i="14"/>
  <c r="V780" i="14"/>
  <c r="T780" i="14"/>
  <c r="T781" i="14"/>
  <c r="V781" i="14"/>
  <c r="V782" i="14"/>
  <c r="T782" i="14"/>
  <c r="V783" i="14"/>
  <c r="T783" i="14"/>
  <c r="T784" i="14"/>
  <c r="V784" i="14"/>
  <c r="V785" i="14"/>
  <c r="T785" i="14"/>
  <c r="V786" i="14"/>
  <c r="T786" i="14"/>
  <c r="V787" i="14"/>
  <c r="T787" i="14"/>
  <c r="V788" i="14"/>
  <c r="T788" i="14"/>
  <c r="T789" i="14"/>
  <c r="V789" i="14"/>
  <c r="T790" i="14"/>
  <c r="V790" i="14"/>
  <c r="T791" i="14"/>
  <c r="V791" i="14"/>
  <c r="T792" i="14"/>
  <c r="V792" i="14"/>
  <c r="T793" i="14"/>
  <c r="V793" i="14"/>
  <c r="T806" i="14"/>
  <c r="V806" i="14"/>
  <c r="O105" i="7"/>
  <c r="O117" i="7"/>
  <c r="O118" i="7"/>
  <c r="V139" i="7"/>
  <c r="V173" i="7"/>
  <c r="S190" i="7"/>
  <c r="V202" i="7"/>
  <c r="V203" i="7"/>
  <c r="O204" i="7"/>
  <c r="V205" i="7"/>
  <c r="V216" i="7"/>
  <c r="O234" i="7"/>
  <c r="V251" i="7"/>
  <c r="V297" i="7"/>
  <c r="O298" i="7"/>
  <c r="V340" i="7"/>
  <c r="V371" i="7"/>
  <c r="O385" i="7"/>
  <c r="O390" i="7"/>
  <c r="V509" i="7"/>
  <c r="S515" i="7"/>
  <c r="V576" i="7"/>
  <c r="S618" i="7"/>
  <c r="V621" i="7"/>
  <c r="O687" i="7"/>
  <c r="O692" i="7"/>
  <c r="O695" i="7"/>
  <c r="O697" i="7"/>
  <c r="O702" i="7"/>
  <c r="O706" i="7"/>
  <c r="O713" i="7"/>
  <c r="O715" i="7"/>
  <c r="S869" i="7"/>
  <c r="S888" i="7"/>
  <c r="S919" i="7"/>
  <c r="V955" i="7"/>
  <c r="V959" i="7"/>
  <c r="O1003" i="7"/>
  <c r="O1016" i="7"/>
  <c r="O1018" i="7"/>
  <c r="O1023" i="7"/>
  <c r="S1265" i="7"/>
  <c r="V1282" i="7"/>
  <c r="O1294" i="7"/>
  <c r="O1296" i="7"/>
  <c r="O1298" i="7"/>
  <c r="O1299" i="7"/>
  <c r="O1303" i="7"/>
  <c r="O1306" i="7"/>
  <c r="O1310" i="7"/>
  <c r="O1314" i="7"/>
  <c r="O1316" i="7"/>
  <c r="O1319" i="7"/>
  <c r="O1326" i="7"/>
  <c r="O1329" i="7"/>
  <c r="O1333" i="7"/>
  <c r="O396" i="7"/>
  <c r="V497" i="7"/>
  <c r="V559" i="7"/>
  <c r="S576" i="7"/>
  <c r="S597" i="7"/>
  <c r="S606" i="7"/>
  <c r="V640" i="7"/>
  <c r="V641" i="7"/>
  <c r="O691" i="7"/>
  <c r="O708" i="7"/>
  <c r="S860" i="7"/>
  <c r="V874" i="7"/>
  <c r="S926" i="7"/>
  <c r="V938" i="7"/>
  <c r="V941" i="7"/>
  <c r="S943" i="7"/>
  <c r="S968" i="7"/>
  <c r="O993" i="7"/>
  <c r="O996" i="7"/>
  <c r="O1000" i="7"/>
  <c r="O1002" i="7"/>
  <c r="O1004" i="7"/>
  <c r="O1009" i="7"/>
  <c r="O1013" i="7"/>
  <c r="O1015" i="7"/>
  <c r="O1022" i="7"/>
  <c r="O1027" i="7"/>
  <c r="O1029" i="7"/>
  <c r="O1032" i="7"/>
  <c r="S1223" i="7"/>
  <c r="S1271" i="7"/>
  <c r="S1275" i="7"/>
  <c r="S1285" i="7"/>
  <c r="S1287" i="7"/>
  <c r="S1289" i="7"/>
  <c r="S1293" i="7"/>
  <c r="S806" i="7"/>
  <c r="V827" i="7"/>
  <c r="V828" i="7"/>
  <c r="V829" i="7"/>
  <c r="V830" i="7"/>
  <c r="V831" i="7"/>
  <c r="V832" i="7"/>
  <c r="V837" i="7"/>
  <c r="S839" i="7"/>
  <c r="V841" i="7"/>
  <c r="S843" i="7"/>
  <c r="V846" i="7"/>
  <c r="S847" i="7"/>
  <c r="S851" i="7"/>
  <c r="V853" i="7"/>
  <c r="S854" i="7"/>
  <c r="V854" i="7"/>
  <c r="S855" i="7"/>
  <c r="V858" i="7"/>
  <c r="S882" i="7"/>
  <c r="V888" i="7"/>
  <c r="V900" i="7"/>
  <c r="S974" i="7"/>
  <c r="S976" i="7"/>
  <c r="X990" i="7"/>
  <c r="O998" i="7"/>
  <c r="O1008" i="7"/>
  <c r="O1011" i="7"/>
  <c r="O1020" i="7"/>
  <c r="S1206" i="7"/>
  <c r="V1216" i="7"/>
  <c r="V1241" i="7"/>
  <c r="V1243" i="7"/>
  <c r="S1258" i="7"/>
  <c r="S1264" i="7"/>
  <c r="S1176" i="7"/>
  <c r="V1178" i="7"/>
  <c r="S1181" i="7"/>
  <c r="V1182" i="7"/>
  <c r="S1184" i="7"/>
  <c r="V1185" i="7"/>
  <c r="S1186" i="7"/>
  <c r="V1187" i="7"/>
  <c r="S1188" i="7"/>
  <c r="V1189" i="7"/>
  <c r="S1191" i="7"/>
  <c r="V1191" i="7"/>
  <c r="V1193" i="7"/>
  <c r="S1194" i="7"/>
  <c r="S1198" i="7"/>
  <c r="V1200" i="7"/>
  <c r="S1202" i="7"/>
  <c r="V1202" i="7"/>
  <c r="S1204" i="7"/>
  <c r="S1211" i="7"/>
  <c r="S1219" i="7"/>
  <c r="S1221" i="7"/>
  <c r="V1268" i="7"/>
  <c r="V1272" i="7"/>
  <c r="V1276" i="7"/>
  <c r="O1295" i="7"/>
  <c r="O1297" i="7"/>
  <c r="O1308" i="7"/>
  <c r="O1312" i="7"/>
  <c r="O1315" i="7"/>
  <c r="O1317" i="7"/>
  <c r="O1320" i="7"/>
  <c r="O1325" i="7"/>
  <c r="O1327" i="7"/>
  <c r="O1332" i="7"/>
  <c r="O1335" i="7"/>
  <c r="V381" i="7"/>
  <c r="O384" i="7"/>
  <c r="O389" i="7"/>
  <c r="O394" i="7"/>
  <c r="S526" i="7"/>
  <c r="O560" i="7"/>
  <c r="V609" i="7"/>
  <c r="S659" i="7"/>
  <c r="X686" i="7"/>
  <c r="O689" i="7"/>
  <c r="O690" i="7"/>
  <c r="O693" i="7"/>
  <c r="O696" i="7"/>
  <c r="O699" i="7"/>
  <c r="O705" i="7"/>
  <c r="O709" i="7"/>
  <c r="S859" i="7"/>
  <c r="V884" i="7"/>
  <c r="S894" i="7"/>
  <c r="S900" i="7"/>
  <c r="S905" i="7"/>
  <c r="S909" i="7"/>
  <c r="V948" i="7"/>
  <c r="S956" i="7"/>
  <c r="O994" i="7"/>
  <c r="O1006" i="7"/>
  <c r="O1025" i="7"/>
  <c r="O1028" i="7"/>
  <c r="O1031" i="7"/>
  <c r="S1213" i="7"/>
  <c r="V1255" i="7"/>
  <c r="V1266" i="7"/>
  <c r="S1267" i="7"/>
  <c r="S1273" i="7"/>
  <c r="S1277" i="7"/>
  <c r="O102" i="7"/>
  <c r="O104" i="7"/>
  <c r="O106" i="7"/>
  <c r="O107" i="7"/>
  <c r="O108" i="7"/>
  <c r="O112" i="7"/>
  <c r="O124" i="7"/>
  <c r="S134" i="7"/>
  <c r="S161" i="7"/>
  <c r="S177" i="7"/>
  <c r="S201" i="7"/>
  <c r="V264" i="7"/>
  <c r="S277" i="7"/>
  <c r="S321" i="7"/>
  <c r="X382" i="7"/>
  <c r="O383" i="7"/>
  <c r="O577" i="7"/>
  <c r="S610" i="7"/>
  <c r="V635" i="7"/>
  <c r="O701" i="7"/>
  <c r="O703" i="7"/>
  <c r="O707" i="7"/>
  <c r="O710" i="7"/>
  <c r="O711" i="7"/>
  <c r="O714" i="7"/>
  <c r="O717" i="7"/>
  <c r="V877" i="7"/>
  <c r="S878" i="7"/>
  <c r="S881" i="7"/>
  <c r="S898" i="7"/>
  <c r="V909" i="7"/>
  <c r="S913" i="7"/>
  <c r="V924" i="7"/>
  <c r="S930" i="7"/>
  <c r="S946" i="7"/>
  <c r="S969" i="7"/>
  <c r="S973" i="7"/>
  <c r="S981" i="7"/>
  <c r="O997" i="7"/>
  <c r="O1012" i="7"/>
  <c r="O1017" i="7"/>
  <c r="O1019" i="7"/>
  <c r="O1021" i="7"/>
  <c r="V1222" i="7"/>
  <c r="V1229" i="7"/>
  <c r="V1237" i="7"/>
  <c r="V1238" i="7"/>
  <c r="V1239" i="7"/>
  <c r="O1300" i="7"/>
  <c r="O1302" i="7"/>
  <c r="O1305" i="7"/>
  <c r="O1307" i="7"/>
  <c r="O1309" i="7"/>
  <c r="O1313" i="7"/>
  <c r="O1318" i="7"/>
  <c r="O1321" i="7"/>
  <c r="O1323" i="7"/>
  <c r="O1330" i="7"/>
  <c r="O1334" i="7"/>
  <c r="O1337" i="7"/>
  <c r="O109" i="7"/>
  <c r="O110" i="7"/>
  <c r="O111" i="7"/>
  <c r="O113" i="7"/>
  <c r="O114" i="7"/>
  <c r="O115" i="7"/>
  <c r="O119" i="7"/>
  <c r="S138" i="7"/>
  <c r="O181" i="7"/>
  <c r="V211" i="7"/>
  <c r="O224" i="7"/>
  <c r="O278" i="7"/>
  <c r="V295" i="7"/>
  <c r="S331" i="7"/>
  <c r="V348" i="7"/>
  <c r="O386" i="7"/>
  <c r="O387" i="7"/>
  <c r="O391" i="7"/>
  <c r="V506" i="7"/>
  <c r="O547" i="7"/>
  <c r="S562" i="7"/>
  <c r="S669" i="7"/>
  <c r="O694" i="7"/>
  <c r="O698" i="7"/>
  <c r="O704" i="7"/>
  <c r="O712" i="7"/>
  <c r="O716" i="7"/>
  <c r="V865" i="7"/>
  <c r="V897" i="7"/>
  <c r="S925" i="7"/>
  <c r="V929" i="7"/>
  <c r="V937" i="7"/>
  <c r="S938" i="7"/>
  <c r="S942" i="7"/>
  <c r="V967" i="7"/>
  <c r="O992" i="7"/>
  <c r="O995" i="7"/>
  <c r="O1005" i="7"/>
  <c r="O1007" i="7"/>
  <c r="O1010" i="7"/>
  <c r="O1026" i="7"/>
  <c r="O1030" i="7"/>
  <c r="V1228" i="7"/>
  <c r="V1242" i="7"/>
  <c r="O1301" i="7"/>
  <c r="O1304" i="7"/>
  <c r="O1311" i="7"/>
  <c r="O1322" i="7"/>
  <c r="O1324" i="7"/>
  <c r="O1328" i="7"/>
  <c r="O1331" i="7"/>
  <c r="O1336" i="7"/>
  <c r="V100" i="7"/>
  <c r="O101" i="7"/>
  <c r="O103" i="7"/>
  <c r="O116" i="7"/>
  <c r="V142" i="7"/>
  <c r="V164" i="7"/>
  <c r="V166" i="7"/>
  <c r="V172" i="7"/>
  <c r="S203" i="7"/>
  <c r="S204" i="7"/>
  <c r="V206" i="7"/>
  <c r="S209" i="7"/>
  <c r="V215" i="7"/>
  <c r="V228" i="7"/>
  <c r="V229" i="7"/>
  <c r="V247" i="7"/>
  <c r="V252" i="7"/>
  <c r="V257" i="7"/>
  <c r="V271" i="7"/>
  <c r="V296" i="7"/>
  <c r="V303" i="7"/>
  <c r="V314" i="7"/>
  <c r="V315" i="7"/>
  <c r="V358" i="7"/>
  <c r="O359" i="7"/>
  <c r="O360" i="7"/>
  <c r="V370" i="7"/>
  <c r="S375" i="7"/>
  <c r="O388" i="7"/>
  <c r="O392" i="7"/>
  <c r="O393" i="7"/>
  <c r="O395" i="7"/>
  <c r="V530" i="7"/>
  <c r="V552" i="7"/>
  <c r="V662" i="7"/>
  <c r="O688" i="7"/>
  <c r="O700" i="7"/>
  <c r="V866" i="7"/>
  <c r="S906" i="7"/>
  <c r="V913" i="7"/>
  <c r="S935" i="7"/>
  <c r="O991" i="7"/>
  <c r="O999" i="7"/>
  <c r="O1001" i="7"/>
  <c r="O1014" i="7"/>
  <c r="O1024" i="7"/>
  <c r="S1209" i="7"/>
  <c r="S1215" i="7"/>
  <c r="S1217" i="7"/>
  <c r="V1244" i="7"/>
  <c r="V1248" i="7"/>
  <c r="V1253" i="7"/>
  <c r="V1262" i="7"/>
  <c r="S1269" i="7"/>
  <c r="S1279" i="7"/>
  <c r="S1281" i="7"/>
  <c r="S1283" i="7"/>
  <c r="S1291" i="7"/>
  <c r="W396" i="7"/>
  <c r="Y396" i="7"/>
  <c r="W1032" i="7"/>
  <c r="Y1032" i="7"/>
  <c r="W1206" i="7"/>
  <c r="X1206" i="7"/>
  <c r="W1337" i="7"/>
  <c r="Y1337" i="7"/>
  <c r="V62" i="7"/>
  <c r="J4" i="10"/>
  <c r="J11" i="10" s="1"/>
  <c r="L16" i="8"/>
  <c r="J16" i="8"/>
  <c r="O3" i="10"/>
  <c r="M16" i="8"/>
  <c r="N3" i="10"/>
  <c r="K16" i="8"/>
  <c r="P3" i="10"/>
  <c r="L3" i="8"/>
  <c r="M3" i="8"/>
  <c r="N2" i="10"/>
  <c r="K3" i="8"/>
  <c r="P2" i="10"/>
  <c r="V82" i="7"/>
  <c r="V83" i="7"/>
  <c r="V84" i="7"/>
  <c r="V87" i="7"/>
  <c r="V88" i="7"/>
  <c r="V89" i="7"/>
  <c r="V90" i="7"/>
  <c r="S91" i="7"/>
  <c r="V91" i="7"/>
  <c r="V92" i="7"/>
  <c r="V93" i="7"/>
  <c r="V94" i="7"/>
  <c r="V95" i="7"/>
  <c r="V96" i="7"/>
  <c r="V97" i="7"/>
  <c r="V98" i="7"/>
  <c r="V101" i="7"/>
  <c r="V102" i="7"/>
  <c r="V103" i="7"/>
  <c r="V104" i="7"/>
  <c r="V105" i="7"/>
  <c r="V106" i="7"/>
  <c r="V107" i="7"/>
  <c r="V109" i="7"/>
  <c r="V110" i="7"/>
  <c r="V111" i="7"/>
  <c r="V112" i="7"/>
  <c r="V113" i="7"/>
  <c r="V114" i="7"/>
  <c r="V115" i="7"/>
  <c r="V116" i="7"/>
  <c r="V117" i="7"/>
  <c r="V118" i="7"/>
  <c r="V119" i="7"/>
  <c r="O120" i="7"/>
  <c r="V121" i="7"/>
  <c r="V122" i="7"/>
  <c r="V123" i="7"/>
  <c r="V124" i="7"/>
  <c r="V125" i="7"/>
  <c r="O127" i="7"/>
  <c r="O128" i="7"/>
  <c r="V128" i="7"/>
  <c r="O129" i="7"/>
  <c r="S129" i="7"/>
  <c r="V129" i="7"/>
  <c r="O133" i="7"/>
  <c r="O134" i="7"/>
  <c r="S135" i="7"/>
  <c r="V135" i="7"/>
  <c r="O136" i="7"/>
  <c r="O137" i="7"/>
  <c r="O139" i="7"/>
  <c r="S139" i="7"/>
  <c r="O140" i="7"/>
  <c r="S141" i="7"/>
  <c r="V141" i="7"/>
  <c r="S142" i="7"/>
  <c r="O143" i="7"/>
  <c r="O144" i="7"/>
  <c r="V146" i="7"/>
  <c r="V147" i="7"/>
  <c r="O148" i="7"/>
  <c r="S149" i="7"/>
  <c r="V149" i="7"/>
  <c r="S150" i="7"/>
  <c r="V150" i="7"/>
  <c r="O154" i="7"/>
  <c r="O155" i="7"/>
  <c r="O156" i="7"/>
  <c r="O157" i="7"/>
  <c r="O158" i="7"/>
  <c r="O162" i="7"/>
  <c r="O163" i="7"/>
  <c r="O164" i="7"/>
  <c r="V165" i="7"/>
  <c r="S166" i="7"/>
  <c r="O174" i="7"/>
  <c r="V174" i="7"/>
  <c r="O175" i="7"/>
  <c r="V175" i="7"/>
  <c r="V189" i="7"/>
  <c r="O190" i="7"/>
  <c r="V194" i="7"/>
  <c r="O195" i="7"/>
  <c r="O196" i="7"/>
  <c r="O197" i="7"/>
  <c r="V197" i="7"/>
  <c r="O198" i="7"/>
  <c r="V198" i="7"/>
  <c r="O199" i="7"/>
  <c r="V204" i="7"/>
  <c r="O205" i="7"/>
  <c r="O210" i="7"/>
  <c r="V210" i="7"/>
  <c r="O211" i="7"/>
  <c r="S222" i="7"/>
  <c r="V226" i="7"/>
  <c r="O227" i="7"/>
  <c r="V227" i="7"/>
  <c r="V230" i="7"/>
  <c r="S243" i="7"/>
  <c r="S244" i="7"/>
  <c r="S250" i="7"/>
  <c r="O251" i="7"/>
  <c r="S254" i="7"/>
  <c r="O255" i="7"/>
  <c r="V258" i="7"/>
  <c r="S259" i="7"/>
  <c r="O262" i="7"/>
  <c r="S264" i="7"/>
  <c r="O268" i="7"/>
  <c r="S269" i="7"/>
  <c r="O270" i="7"/>
  <c r="S272" i="7"/>
  <c r="O273" i="7"/>
  <c r="V273" i="7"/>
  <c r="O274" i="7"/>
  <c r="V274" i="7"/>
  <c r="O275" i="7"/>
  <c r="V275" i="7"/>
  <c r="O276" i="7"/>
  <c r="V277" i="7"/>
  <c r="V278" i="7"/>
  <c r="V279" i="7"/>
  <c r="S280" i="7"/>
  <c r="V280" i="7"/>
  <c r="V281" i="7"/>
  <c r="O282" i="7"/>
  <c r="O285" i="7"/>
  <c r="V285" i="7"/>
  <c r="O286" i="7"/>
  <c r="V286" i="7"/>
  <c r="V291" i="7"/>
  <c r="O292" i="7"/>
  <c r="V292" i="7"/>
  <c r="O293" i="7"/>
  <c r="V293" i="7"/>
  <c r="O294" i="7"/>
  <c r="V294" i="7"/>
  <c r="S295" i="7"/>
  <c r="V300" i="7"/>
  <c r="O301" i="7"/>
  <c r="V301" i="7"/>
  <c r="S302" i="7"/>
  <c r="S303" i="7"/>
  <c r="S304" i="7"/>
  <c r="O305" i="7"/>
  <c r="V305" i="7"/>
  <c r="S306" i="7"/>
  <c r="S307" i="7"/>
  <c r="S308" i="7"/>
  <c r="S310" i="7"/>
  <c r="O311" i="7"/>
  <c r="V311" i="7"/>
  <c r="O312" i="7"/>
  <c r="V312" i="7"/>
  <c r="S314" i="7"/>
  <c r="S317" i="7"/>
  <c r="S318" i="7"/>
  <c r="O324" i="7"/>
  <c r="V324" i="7"/>
  <c r="O325" i="7"/>
  <c r="V325" i="7"/>
  <c r="S326" i="7"/>
  <c r="S327" i="7"/>
  <c r="O332" i="7"/>
  <c r="V332" i="7"/>
  <c r="S335" i="7"/>
  <c r="V335" i="7"/>
  <c r="S336" i="7"/>
  <c r="V336" i="7"/>
  <c r="O337" i="7"/>
  <c r="V346" i="7"/>
  <c r="V347" i="7"/>
  <c r="O348" i="7"/>
  <c r="O349" i="7"/>
  <c r="O350" i="7"/>
  <c r="V350" i="7"/>
  <c r="O351" i="7"/>
  <c r="V351" i="7"/>
  <c r="O352" i="7"/>
  <c r="V352" i="7"/>
  <c r="O354" i="7"/>
  <c r="V354" i="7"/>
  <c r="O355" i="7"/>
  <c r="V355" i="7"/>
  <c r="V356" i="7"/>
  <c r="O357" i="7"/>
  <c r="V357" i="7"/>
  <c r="O358" i="7"/>
  <c r="V359" i="7"/>
  <c r="V360" i="7"/>
  <c r="O361" i="7"/>
  <c r="V361" i="7"/>
  <c r="O362" i="7"/>
  <c r="V362" i="7"/>
  <c r="O363" i="7"/>
  <c r="V363" i="7"/>
  <c r="O370" i="7"/>
  <c r="V374" i="7"/>
  <c r="S381" i="7"/>
  <c r="S489" i="7"/>
  <c r="V489" i="7"/>
  <c r="S496" i="7"/>
  <c r="O500" i="7"/>
  <c r="V500" i="7"/>
  <c r="O501" i="7"/>
  <c r="V501" i="7"/>
  <c r="S502" i="7"/>
  <c r="S503" i="7"/>
  <c r="S504" i="7"/>
  <c r="O507" i="7"/>
  <c r="V507" i="7"/>
  <c r="O508" i="7"/>
  <c r="V508" i="7"/>
  <c r="O509" i="7"/>
  <c r="O510" i="7"/>
  <c r="O511" i="7"/>
  <c r="S512" i="7"/>
  <c r="S516" i="7"/>
  <c r="V516" i="7"/>
  <c r="V517" i="7"/>
  <c r="O519" i="7"/>
  <c r="V519" i="7"/>
  <c r="O520" i="7"/>
  <c r="V520" i="7"/>
  <c r="S521" i="7"/>
  <c r="O524" i="7"/>
  <c r="V524" i="7"/>
  <c r="O525" i="7"/>
  <c r="S527" i="7"/>
  <c r="S530" i="7"/>
  <c r="V532" i="7"/>
  <c r="O533" i="7"/>
  <c r="V533" i="7"/>
  <c r="V535" i="7"/>
  <c r="O536" i="7"/>
  <c r="S539" i="7"/>
  <c r="O540" i="7"/>
  <c r="V540" i="7"/>
  <c r="O541" i="7"/>
  <c r="V541" i="7"/>
  <c r="O542" i="7"/>
  <c r="O543" i="7"/>
  <c r="S544" i="7"/>
  <c r="S545" i="7"/>
  <c r="S546" i="7"/>
  <c r="S549" i="7"/>
  <c r="V549" i="7"/>
  <c r="O550" i="7"/>
  <c r="S551" i="7"/>
  <c r="O552" i="7"/>
  <c r="O553" i="7"/>
  <c r="V553" i="7"/>
  <c r="S554" i="7"/>
  <c r="S555" i="7"/>
  <c r="O556" i="7"/>
  <c r="V556" i="7"/>
  <c r="O557" i="7"/>
  <c r="S561" i="7"/>
  <c r="S567" i="7"/>
  <c r="S568" i="7"/>
  <c r="S569" i="7"/>
  <c r="S572" i="7"/>
  <c r="V575" i="7"/>
  <c r="O576" i="7"/>
  <c r="S577" i="7"/>
  <c r="S581" i="7"/>
  <c r="S582" i="7"/>
  <c r="S583" i="7"/>
  <c r="S584" i="7"/>
  <c r="S586" i="7"/>
  <c r="S587" i="7"/>
  <c r="S588" i="7"/>
  <c r="O589" i="7"/>
  <c r="O591" i="7"/>
  <c r="O597" i="7"/>
  <c r="V597" i="7"/>
  <c r="V598" i="7"/>
  <c r="O606" i="7"/>
  <c r="V606" i="7"/>
  <c r="S607" i="7"/>
  <c r="O610" i="7"/>
  <c r="S611" i="7"/>
  <c r="S613" i="7"/>
  <c r="O618" i="7"/>
  <c r="V618" i="7"/>
  <c r="O621" i="7"/>
  <c r="O626" i="7"/>
  <c r="O628" i="7"/>
  <c r="V628" i="7"/>
  <c r="O629" i="7"/>
  <c r="V629" i="7"/>
  <c r="S630" i="7"/>
  <c r="S633" i="7"/>
  <c r="S634" i="7"/>
  <c r="O638" i="7"/>
  <c r="V638" i="7"/>
  <c r="S639" i="7"/>
  <c r="S643" i="7"/>
  <c r="O647" i="7"/>
  <c r="V647" i="7"/>
  <c r="S648" i="7"/>
  <c r="O653" i="7"/>
  <c r="V653" i="7"/>
  <c r="O657" i="7"/>
  <c r="V657" i="7"/>
  <c r="S658" i="7"/>
  <c r="O660" i="7"/>
  <c r="S661" i="7"/>
  <c r="O667" i="7"/>
  <c r="V667" i="7"/>
  <c r="O668" i="7"/>
  <c r="V668" i="7"/>
  <c r="O669" i="7"/>
  <c r="V669" i="7"/>
  <c r="O670" i="7"/>
  <c r="V670" i="7"/>
  <c r="O671" i="7"/>
  <c r="V671" i="7"/>
  <c r="O673" i="7"/>
  <c r="V673" i="7"/>
  <c r="S674" i="7"/>
  <c r="S676" i="7"/>
  <c r="S677" i="7"/>
  <c r="S678" i="7"/>
  <c r="V678" i="7"/>
  <c r="O683" i="7"/>
  <c r="V683" i="7"/>
  <c r="O684" i="7"/>
  <c r="V684" i="7"/>
  <c r="O685" i="7"/>
  <c r="V811" i="7"/>
  <c r="V812" i="7"/>
  <c r="V817" i="7"/>
  <c r="V818" i="7"/>
  <c r="V820" i="7"/>
  <c r="V838" i="7"/>
  <c r="V839" i="7"/>
  <c r="O840" i="7"/>
  <c r="S845" i="7"/>
  <c r="O849" i="7"/>
  <c r="V849" i="7"/>
  <c r="S853" i="7"/>
  <c r="O855" i="7"/>
  <c r="V855" i="7"/>
  <c r="O863" i="7"/>
  <c r="O865" i="7"/>
  <c r="O868" i="7"/>
  <c r="V868" i="7"/>
  <c r="O871" i="7"/>
  <c r="S872" i="7"/>
  <c r="S874" i="7"/>
  <c r="S875" i="7"/>
  <c r="V880" i="7"/>
  <c r="O882" i="7"/>
  <c r="S884" i="7"/>
  <c r="O885" i="7"/>
  <c r="V885" i="7"/>
  <c r="S895" i="7"/>
  <c r="O899" i="7"/>
  <c r="V899" i="7"/>
  <c r="S903" i="7"/>
  <c r="S908" i="7"/>
  <c r="S910" i="7"/>
  <c r="O915" i="7"/>
  <c r="V915" i="7"/>
  <c r="S923" i="7"/>
  <c r="O927" i="7"/>
  <c r="V927" i="7"/>
  <c r="O929" i="7"/>
  <c r="O933" i="7"/>
  <c r="V933" i="7"/>
  <c r="O935" i="7"/>
  <c r="V935" i="7"/>
  <c r="O937" i="7"/>
  <c r="S941" i="7"/>
  <c r="S944" i="7"/>
  <c r="O953" i="7"/>
  <c r="V953" i="7"/>
  <c r="O955" i="7"/>
  <c r="O960" i="7"/>
  <c r="V960" i="7"/>
  <c r="O962" i="7"/>
  <c r="V962" i="7"/>
  <c r="S963" i="7"/>
  <c r="S970" i="7"/>
  <c r="V972" i="7"/>
  <c r="O977" i="7"/>
  <c r="V977" i="7"/>
  <c r="S978" i="7"/>
  <c r="V982" i="7"/>
  <c r="S983" i="7"/>
  <c r="O1178" i="7"/>
  <c r="O1182" i="7"/>
  <c r="O1184" i="7"/>
  <c r="V1184" i="7"/>
  <c r="V1186" i="7"/>
  <c r="O1189" i="7"/>
  <c r="O1191" i="7"/>
  <c r="O1195" i="7"/>
  <c r="O1196" i="7"/>
  <c r="S1201" i="7"/>
  <c r="S1205" i="7"/>
  <c r="S1229" i="7"/>
  <c r="S1231" i="7"/>
  <c r="S1233" i="7"/>
  <c r="S1235" i="7"/>
  <c r="S1237" i="7"/>
  <c r="S1240" i="7"/>
  <c r="S1242" i="7"/>
  <c r="S1244" i="7"/>
  <c r="S1247" i="7"/>
  <c r="S1249" i="7"/>
  <c r="S1255" i="7"/>
  <c r="S1257" i="7"/>
  <c r="O1261" i="7"/>
  <c r="O1265" i="7"/>
  <c r="O1267" i="7"/>
  <c r="O1269" i="7"/>
  <c r="O1271" i="7"/>
  <c r="O1273" i="7"/>
  <c r="O1275" i="7"/>
  <c r="O1277" i="7"/>
  <c r="O1279" i="7"/>
  <c r="O1281" i="7"/>
  <c r="O1283" i="7"/>
  <c r="S1286" i="7"/>
  <c r="S1288" i="7"/>
  <c r="S1290" i="7"/>
  <c r="X1293" i="7"/>
  <c r="O382" i="7"/>
  <c r="S382" i="7"/>
  <c r="S450" i="7"/>
  <c r="V450" i="7"/>
  <c r="S451" i="7"/>
  <c r="V451" i="7"/>
  <c r="S452" i="7"/>
  <c r="V452" i="7"/>
  <c r="S453" i="7"/>
  <c r="V453" i="7"/>
  <c r="S454" i="7"/>
  <c r="V454" i="7"/>
  <c r="S455" i="7"/>
  <c r="V455" i="7"/>
  <c r="S456" i="7"/>
  <c r="V456" i="7"/>
  <c r="S457" i="7"/>
  <c r="V457" i="7"/>
  <c r="S458" i="7"/>
  <c r="V458" i="7"/>
  <c r="S459" i="7"/>
  <c r="V459" i="7"/>
  <c r="S460" i="7"/>
  <c r="V460" i="7"/>
  <c r="S461" i="7"/>
  <c r="V461" i="7"/>
  <c r="S462" i="7"/>
  <c r="V462" i="7"/>
  <c r="S463" i="7"/>
  <c r="V463" i="7"/>
  <c r="S464" i="7"/>
  <c r="V464" i="7"/>
  <c r="S465" i="7"/>
  <c r="V465" i="7"/>
  <c r="S466" i="7"/>
  <c r="V466" i="7"/>
  <c r="S467" i="7"/>
  <c r="V467" i="7"/>
  <c r="S468" i="7"/>
  <c r="V468" i="7"/>
  <c r="S469" i="7"/>
  <c r="V469" i="7"/>
  <c r="S470" i="7"/>
  <c r="V470" i="7"/>
  <c r="S471" i="7"/>
  <c r="V471" i="7"/>
  <c r="S472" i="7"/>
  <c r="V472" i="7"/>
  <c r="S473" i="7"/>
  <c r="V473" i="7"/>
  <c r="S474" i="7"/>
  <c r="V474" i="7"/>
  <c r="S475" i="7"/>
  <c r="V475" i="7"/>
  <c r="S476" i="7"/>
  <c r="V476" i="7"/>
  <c r="S477" i="7"/>
  <c r="V477" i="7"/>
  <c r="S478" i="7"/>
  <c r="V478" i="7"/>
  <c r="S479" i="7"/>
  <c r="V479" i="7"/>
  <c r="S480" i="7"/>
  <c r="V480" i="7"/>
  <c r="S481" i="7"/>
  <c r="V481" i="7"/>
  <c r="S482" i="7"/>
  <c r="V482" i="7"/>
  <c r="S483" i="7"/>
  <c r="V483" i="7"/>
  <c r="S484" i="7"/>
  <c r="V484" i="7"/>
  <c r="S485" i="7"/>
  <c r="V485" i="7"/>
  <c r="V486" i="7"/>
  <c r="O488" i="7"/>
  <c r="V488" i="7"/>
  <c r="O489" i="7"/>
  <c r="O490" i="7"/>
  <c r="V490" i="7"/>
  <c r="S491" i="7"/>
  <c r="S492" i="7"/>
  <c r="O494" i="7"/>
  <c r="V494" i="7"/>
  <c r="O495" i="7"/>
  <c r="V495" i="7"/>
  <c r="O496" i="7"/>
  <c r="V496" i="7"/>
  <c r="S499" i="7"/>
  <c r="S505" i="7"/>
  <c r="S507" i="7"/>
  <c r="V515" i="7"/>
  <c r="O518" i="7"/>
  <c r="V518" i="7"/>
  <c r="O521" i="7"/>
  <c r="V521" i="7"/>
  <c r="O522" i="7"/>
  <c r="V522" i="7"/>
  <c r="S525" i="7"/>
  <c r="V525" i="7"/>
  <c r="O526" i="7"/>
  <c r="V526" i="7"/>
  <c r="O527" i="7"/>
  <c r="V527" i="7"/>
  <c r="O528" i="7"/>
  <c r="V528" i="7"/>
  <c r="S529" i="7"/>
  <c r="O530" i="7"/>
  <c r="O531" i="7"/>
  <c r="S532" i="7"/>
  <c r="S533" i="7"/>
  <c r="O534" i="7"/>
  <c r="V534" i="7"/>
  <c r="O535" i="7"/>
  <c r="V536" i="7"/>
  <c r="O537" i="7"/>
  <c r="V537" i="7"/>
  <c r="V543" i="7"/>
  <c r="V544" i="7"/>
  <c r="O545" i="7"/>
  <c r="V545" i="7"/>
  <c r="S547" i="7"/>
  <c r="S550" i="7"/>
  <c r="S553" i="7"/>
  <c r="O554" i="7"/>
  <c r="V554" i="7"/>
  <c r="O555" i="7"/>
  <c r="S557" i="7"/>
  <c r="V557" i="7"/>
  <c r="O558" i="7"/>
  <c r="V558" i="7"/>
  <c r="O559" i="7"/>
  <c r="V560" i="7"/>
  <c r="O561" i="7"/>
  <c r="V561" i="7"/>
  <c r="O562" i="7"/>
  <c r="V562" i="7"/>
  <c r="O563" i="7"/>
  <c r="V563" i="7"/>
  <c r="O564" i="7"/>
  <c r="V565" i="7"/>
  <c r="O566" i="7"/>
  <c r="V566" i="7"/>
  <c r="O567" i="7"/>
  <c r="V567" i="7"/>
  <c r="O568" i="7"/>
  <c r="S570" i="7"/>
  <c r="S571" i="7"/>
  <c r="S573" i="7"/>
  <c r="O574" i="7"/>
  <c r="V574" i="7"/>
  <c r="O575" i="7"/>
  <c r="V589" i="7"/>
  <c r="O590" i="7"/>
  <c r="V592" i="7"/>
  <c r="O593" i="7"/>
  <c r="V593" i="7"/>
  <c r="O594" i="7"/>
  <c r="V594" i="7"/>
  <c r="S595" i="7"/>
  <c r="O599" i="7"/>
  <c r="O601" i="7"/>
  <c r="V601" i="7"/>
  <c r="S602" i="7"/>
  <c r="O605" i="7"/>
  <c r="S608" i="7"/>
  <c r="S614" i="7"/>
  <c r="S615" i="7"/>
  <c r="O619" i="7"/>
  <c r="V619" i="7"/>
  <c r="S620" i="7"/>
  <c r="V622" i="7"/>
  <c r="S624" i="7"/>
  <c r="O627" i="7"/>
  <c r="V627" i="7"/>
  <c r="O630" i="7"/>
  <c r="O632" i="7"/>
  <c r="V632" i="7"/>
  <c r="O634" i="7"/>
  <c r="V634" i="7"/>
  <c r="O635" i="7"/>
  <c r="O639" i="7"/>
  <c r="V639" i="7"/>
  <c r="O640" i="7"/>
  <c r="S642" i="7"/>
  <c r="S645" i="7"/>
  <c r="S647" i="7"/>
  <c r="O650" i="7"/>
  <c r="O655" i="7"/>
  <c r="V655" i="7"/>
  <c r="O658" i="7"/>
  <c r="V658" i="7"/>
  <c r="O663" i="7"/>
  <c r="V663" i="7"/>
  <c r="S664" i="7"/>
  <c r="S667" i="7"/>
  <c r="S671" i="7"/>
  <c r="S672" i="7"/>
  <c r="S673" i="7"/>
  <c r="V675" i="7"/>
  <c r="O678" i="7"/>
  <c r="S679" i="7"/>
  <c r="S683" i="7"/>
  <c r="V685" i="7"/>
  <c r="O805" i="7"/>
  <c r="V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V825" i="7"/>
  <c r="S830" i="7"/>
  <c r="S831" i="7"/>
  <c r="S832" i="7"/>
  <c r="S833" i="7"/>
  <c r="S834" i="7"/>
  <c r="O835" i="7"/>
  <c r="V835" i="7"/>
  <c r="V836" i="7"/>
  <c r="O843" i="7"/>
  <c r="V843" i="7"/>
  <c r="S844" i="7"/>
  <c r="S848" i="7"/>
  <c r="S849" i="7"/>
  <c r="S850" i="7"/>
  <c r="S852" i="7"/>
  <c r="O854" i="7"/>
  <c r="O858" i="7"/>
  <c r="S858" i="7"/>
  <c r="O861" i="7"/>
  <c r="V861" i="7"/>
  <c r="V862" i="7"/>
  <c r="S870" i="7"/>
  <c r="S871" i="7"/>
  <c r="O876" i="7"/>
  <c r="O883" i="7"/>
  <c r="V883" i="7"/>
  <c r="O884" i="7"/>
  <c r="S885" i="7"/>
  <c r="S886" i="7"/>
  <c r="O888" i="7"/>
  <c r="O892" i="7"/>
  <c r="S893" i="7"/>
  <c r="S897" i="7"/>
  <c r="O903" i="7"/>
  <c r="O905" i="7"/>
  <c r="V905" i="7"/>
  <c r="S907" i="7"/>
  <c r="O910" i="7"/>
  <c r="V910" i="7"/>
  <c r="S911" i="7"/>
  <c r="O917" i="7"/>
  <c r="V917" i="7"/>
  <c r="S920" i="7"/>
  <c r="S922" i="7"/>
  <c r="V923" i="7"/>
  <c r="S924" i="7"/>
  <c r="V928" i="7"/>
  <c r="S929" i="7"/>
  <c r="O932" i="7"/>
  <c r="S934" i="7"/>
  <c r="S937" i="7"/>
  <c r="O945" i="7"/>
  <c r="V945" i="7"/>
  <c r="O947" i="7"/>
  <c r="V947" i="7"/>
  <c r="O956" i="7"/>
  <c r="V956" i="7"/>
  <c r="V957" i="7"/>
  <c r="O959" i="7"/>
  <c r="S966" i="7"/>
  <c r="O970" i="7"/>
  <c r="V970" i="7"/>
  <c r="O972" i="7"/>
  <c r="O976" i="7"/>
  <c r="S982" i="7"/>
  <c r="S989" i="7"/>
  <c r="V1176" i="7"/>
  <c r="O1181" i="7"/>
  <c r="V1183" i="7"/>
  <c r="S1185" i="7"/>
  <c r="S1189" i="7"/>
  <c r="V1195" i="7"/>
  <c r="V1196" i="7"/>
  <c r="O1198" i="7"/>
  <c r="V1198" i="7"/>
  <c r="S1200" i="7"/>
  <c r="O1210" i="7"/>
  <c r="O1213" i="7"/>
  <c r="S1220" i="7"/>
  <c r="S1226" i="7"/>
  <c r="O1233" i="7"/>
  <c r="O1235" i="7"/>
  <c r="O1246" i="7"/>
  <c r="O1248" i="7"/>
  <c r="O1251" i="7"/>
  <c r="O1253" i="7"/>
  <c r="V1254" i="7"/>
  <c r="O1260" i="7"/>
  <c r="O1262" i="7"/>
  <c r="S1282" i="7"/>
  <c r="O1285" i="7"/>
  <c r="O1287" i="7"/>
  <c r="O1289" i="7"/>
  <c r="O686" i="7"/>
  <c r="S794" i="7"/>
  <c r="V794" i="7"/>
  <c r="S795" i="7"/>
  <c r="V795" i="7"/>
  <c r="S796" i="7"/>
  <c r="V796" i="7"/>
  <c r="S797" i="7"/>
  <c r="V797" i="7"/>
  <c r="S798" i="7"/>
  <c r="V798" i="7"/>
  <c r="S799" i="7"/>
  <c r="V799" i="7"/>
  <c r="S800" i="7"/>
  <c r="V800" i="7"/>
  <c r="S801" i="7"/>
  <c r="V801" i="7"/>
  <c r="S802" i="7"/>
  <c r="V802" i="7"/>
  <c r="S803" i="7"/>
  <c r="V803" i="7"/>
  <c r="S804" i="7"/>
  <c r="V804" i="7"/>
  <c r="V805" i="7"/>
  <c r="V806" i="7"/>
  <c r="V808" i="7"/>
  <c r="V809" i="7"/>
  <c r="V813" i="7"/>
  <c r="V814" i="7"/>
  <c r="V815" i="7"/>
  <c r="V816" i="7"/>
  <c r="S826" i="7"/>
  <c r="S827" i="7"/>
  <c r="S828" i="7"/>
  <c r="O831" i="7"/>
  <c r="O833" i="7"/>
  <c r="V833" i="7"/>
  <c r="V834" i="7"/>
  <c r="O837" i="7"/>
  <c r="S840" i="7"/>
  <c r="V842" i="7"/>
  <c r="O844" i="7"/>
  <c r="V844" i="7"/>
  <c r="O846" i="7"/>
  <c r="V848" i="7"/>
  <c r="O851" i="7"/>
  <c r="S856" i="7"/>
  <c r="S864" i="7"/>
  <c r="O870" i="7"/>
  <c r="O872" i="7"/>
  <c r="O873" i="7"/>
  <c r="O874" i="7"/>
  <c r="V879" i="7"/>
  <c r="O887" i="7"/>
  <c r="V887" i="7"/>
  <c r="O889" i="7"/>
  <c r="V889" i="7"/>
  <c r="O890" i="7"/>
  <c r="V890" i="7"/>
  <c r="V891" i="7"/>
  <c r="V892" i="7"/>
  <c r="O895" i="7"/>
  <c r="V896" i="7"/>
  <c r="O898" i="7"/>
  <c r="V898" i="7"/>
  <c r="O900" i="7"/>
  <c r="O908" i="7"/>
  <c r="V908" i="7"/>
  <c r="O911" i="7"/>
  <c r="V911" i="7"/>
  <c r="O913" i="7"/>
  <c r="O916" i="7"/>
  <c r="V916" i="7"/>
  <c r="O918" i="7"/>
  <c r="O921" i="7"/>
  <c r="V921" i="7"/>
  <c r="O923" i="7"/>
  <c r="S927" i="7"/>
  <c r="S931" i="7"/>
  <c r="V932" i="7"/>
  <c r="O934" i="7"/>
  <c r="V934" i="7"/>
  <c r="O939" i="7"/>
  <c r="V939" i="7"/>
  <c r="O941" i="7"/>
  <c r="O946" i="7"/>
  <c r="V946" i="7"/>
  <c r="O948" i="7"/>
  <c r="S949" i="7"/>
  <c r="S951" i="7"/>
  <c r="O966" i="7"/>
  <c r="V966" i="7"/>
  <c r="O968" i="7"/>
  <c r="V968" i="7"/>
  <c r="S979" i="7"/>
  <c r="V980" i="7"/>
  <c r="S986" i="7"/>
  <c r="V1177" i="7"/>
  <c r="O1180" i="7"/>
  <c r="V1180" i="7"/>
  <c r="S1192" i="7"/>
  <c r="O1208" i="7"/>
  <c r="S1210" i="7"/>
  <c r="S1212" i="7"/>
  <c r="S1216" i="7"/>
  <c r="S1218" i="7"/>
  <c r="S1222" i="7"/>
  <c r="V1231" i="7"/>
  <c r="V1232" i="7"/>
  <c r="V1234" i="7"/>
  <c r="V1235" i="7"/>
  <c r="O1240" i="7"/>
  <c r="O1242" i="7"/>
  <c r="O1244" i="7"/>
  <c r="O1245" i="7"/>
  <c r="V1251" i="7"/>
  <c r="O1254" i="7"/>
  <c r="V1257" i="7"/>
  <c r="V1259" i="7"/>
  <c r="V1263" i="7"/>
  <c r="O1266" i="7"/>
  <c r="O1268" i="7"/>
  <c r="O1270" i="7"/>
  <c r="O1272" i="7"/>
  <c r="O1274" i="7"/>
  <c r="O1276" i="7"/>
  <c r="O1278" i="7"/>
  <c r="O1280" i="7"/>
  <c r="O1282" i="7"/>
  <c r="O1284" i="7"/>
  <c r="O1286" i="7"/>
  <c r="O1288" i="7"/>
  <c r="O1290" i="7"/>
  <c r="O1292" i="7"/>
  <c r="O990" i="7"/>
  <c r="S1175" i="7"/>
  <c r="V1175" i="7"/>
  <c r="V1179" i="7"/>
  <c r="V1181" i="7"/>
  <c r="O1183" i="7"/>
  <c r="O1188" i="7"/>
  <c r="O1190" i="7"/>
  <c r="O1192" i="7"/>
  <c r="V1194" i="7"/>
  <c r="S1196" i="7"/>
  <c r="S1199" i="7"/>
  <c r="V1207" i="7"/>
  <c r="V1209" i="7"/>
  <c r="O1212" i="7"/>
  <c r="O1215" i="7"/>
  <c r="O1217" i="7"/>
  <c r="O1219" i="7"/>
  <c r="S1224" i="7"/>
  <c r="S1228" i="7"/>
  <c r="O1230" i="7"/>
  <c r="O1232" i="7"/>
  <c r="O1234" i="7"/>
  <c r="O1236" i="7"/>
  <c r="O1238" i="7"/>
  <c r="O1243" i="7"/>
  <c r="O1247" i="7"/>
  <c r="V1249" i="7"/>
  <c r="O1250" i="7"/>
  <c r="O1252" i="7"/>
  <c r="O1256" i="7"/>
  <c r="V1258" i="7"/>
  <c r="S1260" i="7"/>
  <c r="S590" i="7"/>
  <c r="V591" i="7"/>
  <c r="S593" i="7"/>
  <c r="O596" i="7"/>
  <c r="V596" i="7"/>
  <c r="O600" i="7"/>
  <c r="V600" i="7"/>
  <c r="S601" i="7"/>
  <c r="O603" i="7"/>
  <c r="V603" i="7"/>
  <c r="S604" i="7"/>
  <c r="O607" i="7"/>
  <c r="V607" i="7"/>
  <c r="O608" i="7"/>
  <c r="V608" i="7"/>
  <c r="O609" i="7"/>
  <c r="O615" i="7"/>
  <c r="V615" i="7"/>
  <c r="S616" i="7"/>
  <c r="O622" i="7"/>
  <c r="S623" i="7"/>
  <c r="V626" i="7"/>
  <c r="S628" i="7"/>
  <c r="V630" i="7"/>
  <c r="O631" i="7"/>
  <c r="O633" i="7"/>
  <c r="V633" i="7"/>
  <c r="S635" i="7"/>
  <c r="S636" i="7"/>
  <c r="S640" i="7"/>
  <c r="O642" i="7"/>
  <c r="V642" i="7"/>
  <c r="V644" i="7"/>
  <c r="O645" i="7"/>
  <c r="V645" i="7"/>
  <c r="O648" i="7"/>
  <c r="V648" i="7"/>
  <c r="O649" i="7"/>
  <c r="V649" i="7"/>
  <c r="O826" i="7"/>
  <c r="O827" i="7"/>
  <c r="S829" i="7"/>
  <c r="O834" i="7"/>
  <c r="S835" i="7"/>
  <c r="S836" i="7"/>
  <c r="S837" i="7"/>
  <c r="S838" i="7"/>
  <c r="O845" i="7"/>
  <c r="V845" i="7"/>
  <c r="O856" i="7"/>
  <c r="V856" i="7"/>
  <c r="S857" i="7"/>
  <c r="S865" i="7"/>
  <c r="O869" i="7"/>
  <c r="V869" i="7"/>
  <c r="V875" i="7"/>
  <c r="V876" i="7"/>
  <c r="O877" i="7"/>
  <c r="O878" i="7"/>
  <c r="O879" i="7"/>
  <c r="O880" i="7"/>
  <c r="V882" i="7"/>
  <c r="O897" i="7"/>
  <c r="O901" i="7"/>
  <c r="V901" i="7"/>
  <c r="O914" i="7"/>
  <c r="V914" i="7"/>
  <c r="S917" i="7"/>
  <c r="V918" i="7"/>
  <c r="O920" i="7"/>
  <c r="V920" i="7"/>
  <c r="S921" i="7"/>
  <c r="O931" i="7"/>
  <c r="O938" i="7"/>
  <c r="O943" i="7"/>
  <c r="V943" i="7"/>
  <c r="S948" i="7"/>
  <c r="V949" i="7"/>
  <c r="O951" i="7"/>
  <c r="S955" i="7"/>
  <c r="S958" i="7"/>
  <c r="O965" i="7"/>
  <c r="V965" i="7"/>
  <c r="O967" i="7"/>
  <c r="S971" i="7"/>
  <c r="O974" i="7"/>
  <c r="V974" i="7"/>
  <c r="S975" i="7"/>
  <c r="O981" i="7"/>
  <c r="V981" i="7"/>
  <c r="O983" i="7"/>
  <c r="V983" i="7"/>
  <c r="S984" i="7"/>
  <c r="O988" i="7"/>
  <c r="V988" i="7"/>
  <c r="S1187" i="7"/>
  <c r="O1200" i="7"/>
  <c r="V1201" i="7"/>
  <c r="O1202" i="7"/>
  <c r="O1205" i="7"/>
  <c r="O1207" i="7"/>
  <c r="V1211" i="7"/>
  <c r="V1212" i="7"/>
  <c r="V1213" i="7"/>
  <c r="V1217" i="7"/>
  <c r="O1220" i="7"/>
  <c r="O1222" i="7"/>
  <c r="O1224" i="7"/>
  <c r="O1226" i="7"/>
  <c r="O1228" i="7"/>
  <c r="S1238" i="7"/>
  <c r="S1241" i="7"/>
  <c r="S1251" i="7"/>
  <c r="S1253" i="7"/>
  <c r="S1256" i="7"/>
  <c r="S1259" i="7"/>
  <c r="S1262" i="7"/>
  <c r="S78" i="7"/>
  <c r="V34" i="7"/>
  <c r="O165" i="7"/>
  <c r="S168" i="7"/>
  <c r="V170" i="7"/>
  <c r="O172" i="7"/>
  <c r="O173" i="7"/>
  <c r="O176" i="7"/>
  <c r="V176" i="7"/>
  <c r="O177" i="7"/>
  <c r="V177" i="7"/>
  <c r="O178" i="7"/>
  <c r="V178" i="7"/>
  <c r="O179" i="7"/>
  <c r="V179" i="7"/>
  <c r="O180" i="7"/>
  <c r="V180" i="7"/>
  <c r="O185" i="7"/>
  <c r="V186" i="7"/>
  <c r="O187" i="7"/>
  <c r="V187" i="7"/>
  <c r="O188" i="7"/>
  <c r="V199" i="7"/>
  <c r="O200" i="7"/>
  <c r="O201" i="7"/>
  <c r="V201" i="7"/>
  <c r="O202" i="7"/>
  <c r="O206" i="7"/>
  <c r="O208" i="7"/>
  <c r="V208" i="7"/>
  <c r="V209" i="7"/>
  <c r="V212" i="7"/>
  <c r="V213" i="7"/>
  <c r="O218" i="7"/>
  <c r="V218" i="7"/>
  <c r="S220" i="7"/>
  <c r="V225" i="7"/>
  <c r="O228" i="7"/>
  <c r="V241" i="7"/>
  <c r="O245" i="7"/>
  <c r="O246" i="7"/>
  <c r="S247" i="7"/>
  <c r="O248" i="7"/>
  <c r="V248" i="7"/>
  <c r="S249" i="7"/>
  <c r="V250" i="7"/>
  <c r="S251" i="7"/>
  <c r="S252" i="7"/>
  <c r="S253" i="7"/>
  <c r="V253" i="7"/>
  <c r="O254" i="7"/>
  <c r="O256" i="7"/>
  <c r="V256" i="7"/>
  <c r="S257" i="7"/>
  <c r="S258" i="7"/>
  <c r="O260" i="7"/>
  <c r="S262" i="7"/>
  <c r="S265" i="7"/>
  <c r="S266" i="7"/>
  <c r="O267" i="7"/>
  <c r="O269" i="7"/>
  <c r="V269" i="7"/>
  <c r="V270" i="7"/>
  <c r="S271" i="7"/>
  <c r="O272" i="7"/>
  <c r="V272" i="7"/>
  <c r="S273" i="7"/>
  <c r="S274" i="7"/>
  <c r="S276" i="7"/>
  <c r="O279" i="7"/>
  <c r="O280" i="7"/>
  <c r="S282" i="7"/>
  <c r="V282" i="7"/>
  <c r="O283" i="7"/>
  <c r="V283" i="7"/>
  <c r="V289" i="7"/>
  <c r="S293" i="7"/>
  <c r="O296" i="7"/>
  <c r="O297" i="7"/>
  <c r="S299" i="7"/>
  <c r="S300" i="7"/>
  <c r="S301" i="7"/>
  <c r="V307" i="7"/>
  <c r="V308" i="7"/>
  <c r="V309" i="7"/>
  <c r="S313" i="7"/>
  <c r="V313" i="7"/>
  <c r="O314" i="7"/>
  <c r="S315" i="7"/>
  <c r="O316" i="7"/>
  <c r="V318" i="7"/>
  <c r="O319" i="7"/>
  <c r="O320" i="7"/>
  <c r="V320" i="7"/>
  <c r="V321" i="7"/>
  <c r="V322" i="7"/>
  <c r="O323" i="7"/>
  <c r="V327" i="7"/>
  <c r="O329" i="7"/>
  <c r="V329" i="7"/>
  <c r="O331" i="7"/>
  <c r="V331" i="7"/>
  <c r="V337" i="7"/>
  <c r="O338" i="7"/>
  <c r="O339" i="7"/>
  <c r="O340" i="7"/>
  <c r="V344" i="7"/>
  <c r="V345" i="7"/>
  <c r="O347" i="7"/>
  <c r="V353" i="7"/>
  <c r="O364" i="7"/>
  <c r="V365" i="7"/>
  <c r="V366" i="7"/>
  <c r="O369" i="7"/>
  <c r="O372" i="7"/>
  <c r="V372" i="7"/>
  <c r="O373" i="7"/>
  <c r="V373" i="7"/>
  <c r="O374" i="7"/>
  <c r="O375" i="7"/>
  <c r="V377" i="7"/>
  <c r="O379" i="7"/>
  <c r="V379" i="7"/>
  <c r="O380" i="7"/>
  <c r="O381" i="7"/>
  <c r="S487" i="7"/>
  <c r="O491" i="7"/>
  <c r="V491" i="7"/>
  <c r="S497" i="7"/>
  <c r="S498" i="7"/>
  <c r="O505" i="7"/>
  <c r="V505" i="7"/>
  <c r="S506" i="7"/>
  <c r="S509" i="7"/>
  <c r="S510" i="7"/>
  <c r="S511" i="7"/>
  <c r="V511" i="7"/>
  <c r="O512" i="7"/>
  <c r="V512" i="7"/>
  <c r="S513" i="7"/>
  <c r="S518" i="7"/>
  <c r="S520" i="7"/>
  <c r="O523" i="7"/>
  <c r="V523" i="7"/>
  <c r="S524" i="7"/>
  <c r="S531" i="7"/>
  <c r="S534" i="7"/>
  <c r="S538" i="7"/>
  <c r="S541" i="7"/>
  <c r="S542" i="7"/>
  <c r="S543" i="7"/>
  <c r="O546" i="7"/>
  <c r="V546" i="7"/>
  <c r="S548" i="7"/>
  <c r="O549" i="7"/>
  <c r="V550" i="7"/>
  <c r="O551" i="7"/>
  <c r="V551" i="7"/>
  <c r="S556" i="7"/>
  <c r="S558" i="7"/>
  <c r="S559" i="7"/>
  <c r="S563" i="7"/>
  <c r="S564" i="7"/>
  <c r="S565" i="7"/>
  <c r="S566" i="7"/>
  <c r="V572" i="7"/>
  <c r="O573" i="7"/>
  <c r="V573" i="7"/>
  <c r="S574" i="7"/>
  <c r="S578" i="7"/>
  <c r="S579" i="7"/>
  <c r="S580" i="7"/>
  <c r="O586" i="7"/>
  <c r="V586" i="7"/>
  <c r="O587" i="7"/>
  <c r="V587" i="7"/>
  <c r="O588" i="7"/>
  <c r="V588" i="7"/>
  <c r="S589" i="7"/>
  <c r="V590" i="7"/>
  <c r="S591" i="7"/>
  <c r="O595" i="7"/>
  <c r="V595" i="7"/>
  <c r="S596" i="7"/>
  <c r="O598" i="7"/>
  <c r="S599" i="7"/>
  <c r="O602" i="7"/>
  <c r="V602" i="7"/>
  <c r="O604" i="7"/>
  <c r="V604" i="7"/>
  <c r="S605" i="7"/>
  <c r="O611" i="7"/>
  <c r="V611" i="7"/>
  <c r="S612" i="7"/>
  <c r="O617" i="7"/>
  <c r="S619" i="7"/>
  <c r="S625" i="7"/>
  <c r="S629" i="7"/>
  <c r="V631" i="7"/>
  <c r="S632" i="7"/>
  <c r="O636" i="7"/>
  <c r="V636" i="7"/>
  <c r="S637" i="7"/>
  <c r="O641" i="7"/>
  <c r="O643" i="7"/>
  <c r="V643" i="7"/>
  <c r="O644" i="7"/>
  <c r="O646" i="7"/>
  <c r="V646" i="7"/>
  <c r="S650" i="7"/>
  <c r="V650" i="7"/>
  <c r="S651" i="7"/>
  <c r="O654" i="7"/>
  <c r="V654" i="7"/>
  <c r="O656" i="7"/>
  <c r="V656" i="7"/>
  <c r="S657" i="7"/>
  <c r="V659" i="7"/>
  <c r="O661" i="7"/>
  <c r="V661" i="7"/>
  <c r="O662" i="7"/>
  <c r="S663" i="7"/>
  <c r="O666" i="7"/>
  <c r="V666" i="7"/>
  <c r="S670" i="7"/>
  <c r="S675" i="7"/>
  <c r="O676" i="7"/>
  <c r="V676" i="7"/>
  <c r="O677" i="7"/>
  <c r="V677" i="7"/>
  <c r="O680" i="7"/>
  <c r="V680" i="7"/>
  <c r="S681" i="7"/>
  <c r="S813" i="7"/>
  <c r="S814" i="7"/>
  <c r="S815" i="7"/>
  <c r="S816" i="7"/>
  <c r="S817" i="7"/>
  <c r="S818" i="7"/>
  <c r="V819" i="7"/>
  <c r="V821" i="7"/>
  <c r="V822" i="7"/>
  <c r="V823" i="7"/>
  <c r="V824" i="7"/>
  <c r="S825" i="7"/>
  <c r="V826" i="7"/>
  <c r="O838" i="7"/>
  <c r="O839" i="7"/>
  <c r="O841" i="7"/>
  <c r="V857" i="7"/>
  <c r="S861" i="7"/>
  <c r="S863" i="7"/>
  <c r="S868" i="7"/>
  <c r="V870" i="7"/>
  <c r="V871" i="7"/>
  <c r="V872" i="7"/>
  <c r="V873" i="7"/>
  <c r="O886" i="7"/>
  <c r="V886" i="7"/>
  <c r="S887" i="7"/>
  <c r="S889" i="7"/>
  <c r="S890" i="7"/>
  <c r="O894" i="7"/>
  <c r="O896" i="7"/>
  <c r="S899" i="7"/>
  <c r="V903" i="7"/>
  <c r="S904" i="7"/>
  <c r="S912" i="7"/>
  <c r="S915" i="7"/>
  <c r="O926" i="7"/>
  <c r="V926" i="7"/>
  <c r="O928" i="7"/>
  <c r="S940" i="7"/>
  <c r="S947" i="7"/>
  <c r="O950" i="7"/>
  <c r="V950" i="7"/>
  <c r="O952" i="7"/>
  <c r="V952" i="7"/>
  <c r="O957" i="7"/>
  <c r="S957" i="7"/>
  <c r="O961" i="7"/>
  <c r="V961" i="7"/>
  <c r="O963" i="7"/>
  <c r="S967" i="7"/>
  <c r="O973" i="7"/>
  <c r="V973" i="7"/>
  <c r="O975" i="7"/>
  <c r="V975" i="7"/>
  <c r="V978" i="7"/>
  <c r="O980" i="7"/>
  <c r="O985" i="7"/>
  <c r="V985" i="7"/>
  <c r="O987" i="7"/>
  <c r="O1177" i="7"/>
  <c r="S1178" i="7"/>
  <c r="S1179" i="7"/>
  <c r="S1182" i="7"/>
  <c r="S1183" i="7"/>
  <c r="O1185" i="7"/>
  <c r="O1187" i="7"/>
  <c r="V1188" i="7"/>
  <c r="V1190" i="7"/>
  <c r="V1192" i="7"/>
  <c r="O1193" i="7"/>
  <c r="O1194" i="7"/>
  <c r="O1197" i="7"/>
  <c r="V1197" i="7"/>
  <c r="S1203" i="7"/>
  <c r="S1207" i="7"/>
  <c r="S1230" i="7"/>
  <c r="S1232" i="7"/>
  <c r="S1234" i="7"/>
  <c r="S1236" i="7"/>
  <c r="S1239" i="7"/>
  <c r="S1245" i="7"/>
  <c r="S1248" i="7"/>
  <c r="S1250" i="7"/>
  <c r="O1263" i="7"/>
  <c r="S1284" i="7"/>
  <c r="S1292" i="7"/>
  <c r="V120" i="7"/>
  <c r="O121" i="7"/>
  <c r="O122" i="7"/>
  <c r="O123" i="7"/>
  <c r="O126" i="7"/>
  <c r="S128" i="7"/>
  <c r="O130" i="7"/>
  <c r="S130" i="7"/>
  <c r="V130" i="7"/>
  <c r="O131" i="7"/>
  <c r="V132" i="7"/>
  <c r="S133" i="7"/>
  <c r="V133" i="7"/>
  <c r="V134" i="7"/>
  <c r="O138" i="7"/>
  <c r="V138" i="7"/>
  <c r="O141" i="7"/>
  <c r="O142" i="7"/>
  <c r="S143" i="7"/>
  <c r="V143" i="7"/>
  <c r="S144" i="7"/>
  <c r="V144" i="7"/>
  <c r="S145" i="7"/>
  <c r="V145" i="7"/>
  <c r="O147" i="7"/>
  <c r="V148" i="7"/>
  <c r="O152" i="7"/>
  <c r="O153" i="7"/>
  <c r="S153" i="7"/>
  <c r="V153" i="7"/>
  <c r="O159" i="7"/>
  <c r="O160" i="7"/>
  <c r="O161" i="7"/>
  <c r="V161" i="7"/>
  <c r="S162" i="7"/>
  <c r="V162" i="7"/>
  <c r="S163" i="7"/>
  <c r="V163" i="7"/>
  <c r="S164" i="7"/>
  <c r="O166" i="7"/>
  <c r="S167" i="7"/>
  <c r="O171" i="7"/>
  <c r="V171" i="7"/>
  <c r="V184" i="7"/>
  <c r="V185" i="7"/>
  <c r="O186" i="7"/>
  <c r="V188" i="7"/>
  <c r="O203" i="7"/>
  <c r="O207" i="7"/>
  <c r="V207" i="7"/>
  <c r="O209" i="7"/>
  <c r="O213" i="7"/>
  <c r="O214" i="7"/>
  <c r="O215" i="7"/>
  <c r="O216" i="7"/>
  <c r="O222" i="7"/>
  <c r="V222" i="7"/>
  <c r="O223" i="7"/>
  <c r="O225" i="7"/>
  <c r="O229" i="7"/>
  <c r="O230" i="7"/>
  <c r="O233" i="7"/>
  <c r="V233" i="7"/>
  <c r="O242" i="7"/>
  <c r="V242" i="7"/>
  <c r="O243" i="7"/>
  <c r="V243" i="7"/>
  <c r="O244" i="7"/>
  <c r="V244" i="7"/>
  <c r="V245" i="7"/>
  <c r="V246" i="7"/>
  <c r="S248" i="7"/>
  <c r="O249" i="7"/>
  <c r="O252" i="7"/>
  <c r="O253" i="7"/>
  <c r="V254" i="7"/>
  <c r="S255" i="7"/>
  <c r="O257" i="7"/>
  <c r="O259" i="7"/>
  <c r="V259" i="7"/>
  <c r="S260" i="7"/>
  <c r="O261" i="7"/>
  <c r="V261" i="7"/>
  <c r="S263" i="7"/>
  <c r="O264" i="7"/>
  <c r="O265" i="7"/>
  <c r="S270" i="7"/>
  <c r="S275" i="7"/>
  <c r="S283" i="7"/>
  <c r="O284" i="7"/>
  <c r="V284" i="7"/>
  <c r="S287" i="7"/>
  <c r="O288" i="7"/>
  <c r="V288" i="7"/>
  <c r="O289" i="7"/>
  <c r="S290" i="7"/>
  <c r="V290" i="7"/>
  <c r="S291" i="7"/>
  <c r="S292" i="7"/>
  <c r="O295" i="7"/>
  <c r="S296" i="7"/>
  <c r="S297" i="7"/>
  <c r="S298" i="7"/>
  <c r="O302" i="7"/>
  <c r="V302" i="7"/>
  <c r="O303" i="7"/>
  <c r="O304" i="7"/>
  <c r="V304" i="7"/>
  <c r="V306" i="7"/>
  <c r="O307" i="7"/>
  <c r="O308" i="7"/>
  <c r="O309" i="7"/>
  <c r="S311" i="7"/>
  <c r="O315" i="7"/>
  <c r="S316" i="7"/>
  <c r="V316" i="7"/>
  <c r="O317" i="7"/>
  <c r="V317" i="7"/>
  <c r="O318" i="7"/>
  <c r="V319" i="7"/>
  <c r="O322" i="7"/>
  <c r="V323" i="7"/>
  <c r="S328" i="7"/>
  <c r="S329" i="7"/>
  <c r="S330" i="7"/>
  <c r="S333" i="7"/>
  <c r="S334" i="7"/>
  <c r="V334" i="7"/>
  <c r="V338" i="7"/>
  <c r="O341" i="7"/>
  <c r="V341" i="7"/>
  <c r="V342" i="7"/>
  <c r="O343" i="7"/>
  <c r="O345" i="7"/>
  <c r="O346" i="7"/>
  <c r="O365" i="7"/>
  <c r="O366" i="7"/>
  <c r="S366" i="7"/>
  <c r="V369" i="7"/>
  <c r="O371" i="7"/>
  <c r="V375" i="7"/>
  <c r="O376" i="7"/>
  <c r="V376" i="7"/>
  <c r="O377" i="7"/>
  <c r="V380" i="7"/>
  <c r="S486" i="7"/>
  <c r="O492" i="7"/>
  <c r="V492" i="7"/>
  <c r="S493" i="7"/>
  <c r="O497" i="7"/>
  <c r="O506" i="7"/>
  <c r="S508" i="7"/>
  <c r="O514" i="7"/>
  <c r="V514" i="7"/>
  <c r="O515" i="7"/>
  <c r="O517" i="7"/>
  <c r="S652" i="7"/>
  <c r="S655" i="7"/>
  <c r="S656" i="7"/>
  <c r="S662" i="7"/>
  <c r="O665" i="7"/>
  <c r="V665" i="7"/>
  <c r="O672" i="7"/>
  <c r="V672" i="7"/>
  <c r="O674" i="7"/>
  <c r="V674" i="7"/>
  <c r="O675" i="7"/>
  <c r="O681" i="7"/>
  <c r="V681" i="7"/>
  <c r="O682" i="7"/>
  <c r="V682" i="7"/>
  <c r="S685" i="7"/>
  <c r="S807" i="7"/>
  <c r="S808" i="7"/>
  <c r="S809" i="7"/>
  <c r="S810" i="7"/>
  <c r="S811" i="7"/>
  <c r="S812" i="7"/>
  <c r="O828" i="7"/>
  <c r="O829" i="7"/>
  <c r="O830" i="7"/>
  <c r="O832" i="7"/>
  <c r="O836" i="7"/>
  <c r="O842" i="7"/>
  <c r="S842" i="7"/>
  <c r="O847" i="7"/>
  <c r="O852" i="7"/>
  <c r="V852" i="7"/>
  <c r="O857" i="7"/>
  <c r="O860" i="7"/>
  <c r="V860" i="7"/>
  <c r="O862" i="7"/>
  <c r="S862" i="7"/>
  <c r="O867" i="7"/>
  <c r="V867" i="7"/>
  <c r="S876" i="7"/>
  <c r="O881" i="7"/>
  <c r="V881" i="7"/>
  <c r="O891" i="7"/>
  <c r="S892" i="7"/>
  <c r="V894" i="7"/>
  <c r="O902" i="7"/>
  <c r="V902" i="7"/>
  <c r="O904" i="7"/>
  <c r="V904" i="7"/>
  <c r="O907" i="7"/>
  <c r="V907" i="7"/>
  <c r="O909" i="7"/>
  <c r="O912" i="7"/>
  <c r="V912" i="7"/>
  <c r="S916" i="7"/>
  <c r="S918" i="7"/>
  <c r="O922" i="7"/>
  <c r="V922" i="7"/>
  <c r="O924" i="7"/>
  <c r="S928" i="7"/>
  <c r="S932" i="7"/>
  <c r="S936" i="7"/>
  <c r="O942" i="7"/>
  <c r="S954" i="7"/>
  <c r="O964" i="7"/>
  <c r="V964" i="7"/>
  <c r="O969" i="7"/>
  <c r="V969" i="7"/>
  <c r="O971" i="7"/>
  <c r="O979" i="7"/>
  <c r="O984" i="7"/>
  <c r="O989" i="7"/>
  <c r="V989" i="7"/>
  <c r="S1177" i="7"/>
  <c r="O1179" i="7"/>
  <c r="S1190" i="7"/>
  <c r="S1195" i="7"/>
  <c r="S1197" i="7"/>
  <c r="O1201" i="7"/>
  <c r="O1203" i="7"/>
  <c r="V1203" i="7"/>
  <c r="V1204" i="7"/>
  <c r="V1205" i="7"/>
  <c r="V1206" i="7"/>
  <c r="S1208" i="7"/>
  <c r="S1214" i="7"/>
  <c r="O1221" i="7"/>
  <c r="O1223" i="7"/>
  <c r="O1225" i="7"/>
  <c r="O1227" i="7"/>
  <c r="O1229" i="7"/>
  <c r="V1230" i="7"/>
  <c r="V1233" i="7"/>
  <c r="O1237" i="7"/>
  <c r="O1239" i="7"/>
  <c r="O1241" i="7"/>
  <c r="V1245" i="7"/>
  <c r="V1246" i="7"/>
  <c r="V1247" i="7"/>
  <c r="O1249" i="7"/>
  <c r="V1252" i="7"/>
  <c r="O1255" i="7"/>
  <c r="V1256" i="7"/>
  <c r="O1259" i="7"/>
  <c r="V1261" i="7"/>
  <c r="O1264" i="7"/>
  <c r="V1265" i="7"/>
  <c r="V1267" i="7"/>
  <c r="V1269" i="7"/>
  <c r="V1271" i="7"/>
  <c r="V1273" i="7"/>
  <c r="V1275" i="7"/>
  <c r="V1277" i="7"/>
  <c r="V1279" i="7"/>
  <c r="V1281" i="7"/>
  <c r="V1283" i="7"/>
  <c r="V1285" i="7"/>
  <c r="V1287" i="7"/>
  <c r="V1289" i="7"/>
  <c r="V1291" i="7"/>
  <c r="V36" i="7"/>
  <c r="O125" i="7"/>
  <c r="S126" i="7"/>
  <c r="V126" i="7"/>
  <c r="S127" i="7"/>
  <c r="V127" i="7"/>
  <c r="S131" i="7"/>
  <c r="V131" i="7"/>
  <c r="O132" i="7"/>
  <c r="O135" i="7"/>
  <c r="S136" i="7"/>
  <c r="V136" i="7"/>
  <c r="S137" i="7"/>
  <c r="V137" i="7"/>
  <c r="V140" i="7"/>
  <c r="O145" i="7"/>
  <c r="O146" i="7"/>
  <c r="S148" i="7"/>
  <c r="O149" i="7"/>
  <c r="O150" i="7"/>
  <c r="O151" i="7"/>
  <c r="S151" i="7"/>
  <c r="V151" i="7"/>
  <c r="S152" i="7"/>
  <c r="V152" i="7"/>
  <c r="S154" i="7"/>
  <c r="V154" i="7"/>
  <c r="S155" i="7"/>
  <c r="V155" i="7"/>
  <c r="S156" i="7"/>
  <c r="V156" i="7"/>
  <c r="S157" i="7"/>
  <c r="V157" i="7"/>
  <c r="S158" i="7"/>
  <c r="V158" i="7"/>
  <c r="S159" i="7"/>
  <c r="V159" i="7"/>
  <c r="V160" i="7"/>
  <c r="S165" i="7"/>
  <c r="O167" i="7"/>
  <c r="V167" i="7"/>
  <c r="O168" i="7"/>
  <c r="V168" i="7"/>
  <c r="O169" i="7"/>
  <c r="V169" i="7"/>
  <c r="O170" i="7"/>
  <c r="V181" i="7"/>
  <c r="O182" i="7"/>
  <c r="V182" i="7"/>
  <c r="O183" i="7"/>
  <c r="O184" i="7"/>
  <c r="O189" i="7"/>
  <c r="V190" i="7"/>
  <c r="O191" i="7"/>
  <c r="V191" i="7"/>
  <c r="O192" i="7"/>
  <c r="V192" i="7"/>
  <c r="O193" i="7"/>
  <c r="V193" i="7"/>
  <c r="O194" i="7"/>
  <c r="V195" i="7"/>
  <c r="O212" i="7"/>
  <c r="O217" i="7"/>
  <c r="V217" i="7"/>
  <c r="O219" i="7"/>
  <c r="V219" i="7"/>
  <c r="O220" i="7"/>
  <c r="V220" i="7"/>
  <c r="O221" i="7"/>
  <c r="V223" i="7"/>
  <c r="V224" i="7"/>
  <c r="O226" i="7"/>
  <c r="O231" i="7"/>
  <c r="V231" i="7"/>
  <c r="O232" i="7"/>
  <c r="V232" i="7"/>
  <c r="V234" i="7"/>
  <c r="O235" i="7"/>
  <c r="V235" i="7"/>
  <c r="O236" i="7"/>
  <c r="O237" i="7"/>
  <c r="O238" i="7"/>
  <c r="V238" i="7"/>
  <c r="O239" i="7"/>
  <c r="V239" i="7"/>
  <c r="O240" i="7"/>
  <c r="V240" i="7"/>
  <c r="O241" i="7"/>
  <c r="S245" i="7"/>
  <c r="S246" i="7"/>
  <c r="O247" i="7"/>
  <c r="V249" i="7"/>
  <c r="O250" i="7"/>
  <c r="V255" i="7"/>
  <c r="S256" i="7"/>
  <c r="O258" i="7"/>
  <c r="V260" i="7"/>
  <c r="S261" i="7"/>
  <c r="V262" i="7"/>
  <c r="O263" i="7"/>
  <c r="V263" i="7"/>
  <c r="V265" i="7"/>
  <c r="O266" i="7"/>
  <c r="V266" i="7"/>
  <c r="S267" i="7"/>
  <c r="V267" i="7"/>
  <c r="S268" i="7"/>
  <c r="V268" i="7"/>
  <c r="O271" i="7"/>
  <c r="V276" i="7"/>
  <c r="O277" i="7"/>
  <c r="S278" i="7"/>
  <c r="O281" i="7"/>
  <c r="S284" i="7"/>
  <c r="S285" i="7"/>
  <c r="S286" i="7"/>
  <c r="O287" i="7"/>
  <c r="V287" i="7"/>
  <c r="S288" i="7"/>
  <c r="S289" i="7"/>
  <c r="O290" i="7"/>
  <c r="O291" i="7"/>
  <c r="S294" i="7"/>
  <c r="V298" i="7"/>
  <c r="O299" i="7"/>
  <c r="V299" i="7"/>
  <c r="O300" i="7"/>
  <c r="S305" i="7"/>
  <c r="O306" i="7"/>
  <c r="S309" i="7"/>
  <c r="O310" i="7"/>
  <c r="V310" i="7"/>
  <c r="S312" i="7"/>
  <c r="O313" i="7"/>
  <c r="S319" i="7"/>
  <c r="S320" i="7"/>
  <c r="O321" i="7"/>
  <c r="S322" i="7"/>
  <c r="S324" i="7"/>
  <c r="S325" i="7"/>
  <c r="O326" i="7"/>
  <c r="V326" i="7"/>
  <c r="O327" i="7"/>
  <c r="O328" i="7"/>
  <c r="O330" i="7"/>
  <c r="V330" i="7"/>
  <c r="S332" i="7"/>
  <c r="O333" i="7"/>
  <c r="V333" i="7"/>
  <c r="O334" i="7"/>
  <c r="O335" i="7"/>
  <c r="O336" i="7"/>
  <c r="V339" i="7"/>
  <c r="O342" i="7"/>
  <c r="V343" i="7"/>
  <c r="O344" i="7"/>
  <c r="O353" i="7"/>
  <c r="O356" i="7"/>
  <c r="O367" i="7"/>
  <c r="V367" i="7"/>
  <c r="O368" i="7"/>
  <c r="V368" i="7"/>
  <c r="O378" i="7"/>
  <c r="V378" i="7"/>
  <c r="O487" i="7"/>
  <c r="V487" i="7"/>
  <c r="S488" i="7"/>
  <c r="S490" i="7"/>
  <c r="O493" i="7"/>
  <c r="V493" i="7"/>
  <c r="S494" i="7"/>
  <c r="S495" i="7"/>
  <c r="O498" i="7"/>
  <c r="V498" i="7"/>
  <c r="O499" i="7"/>
  <c r="V499" i="7"/>
  <c r="S500" i="7"/>
  <c r="S501" i="7"/>
  <c r="O502" i="7"/>
  <c r="V502" i="7"/>
  <c r="O503" i="7"/>
  <c r="V503" i="7"/>
  <c r="O504" i="7"/>
  <c r="O513" i="7"/>
  <c r="V513" i="7"/>
  <c r="S514" i="7"/>
  <c r="O516" i="7"/>
  <c r="S517" i="7"/>
  <c r="S519" i="7"/>
  <c r="S522" i="7"/>
  <c r="S528" i="7"/>
  <c r="O529" i="7"/>
  <c r="V529" i="7"/>
  <c r="V531" i="7"/>
  <c r="O532" i="7"/>
  <c r="S535" i="7"/>
  <c r="S536" i="7"/>
  <c r="S537" i="7"/>
  <c r="O538" i="7"/>
  <c r="V538" i="7"/>
  <c r="O539" i="7"/>
  <c r="V539" i="7"/>
  <c r="S540" i="7"/>
  <c r="O544" i="7"/>
  <c r="O548" i="7"/>
  <c r="V548" i="7"/>
  <c r="V555" i="7"/>
  <c r="S560" i="7"/>
  <c r="V564" i="7"/>
  <c r="O565" i="7"/>
  <c r="V568" i="7"/>
  <c r="O569" i="7"/>
  <c r="V569" i="7"/>
  <c r="O570" i="7"/>
  <c r="V570" i="7"/>
  <c r="O571" i="7"/>
  <c r="V571" i="7"/>
  <c r="O572" i="7"/>
  <c r="V577" i="7"/>
  <c r="O578" i="7"/>
  <c r="V578" i="7"/>
  <c r="O579" i="7"/>
  <c r="V579" i="7"/>
  <c r="O580" i="7"/>
  <c r="V580" i="7"/>
  <c r="O581" i="7"/>
  <c r="V581" i="7"/>
  <c r="O582" i="7"/>
  <c r="V582" i="7"/>
  <c r="O583" i="7"/>
  <c r="V583" i="7"/>
  <c r="O584" i="7"/>
  <c r="V584" i="7"/>
  <c r="O585" i="7"/>
  <c r="V585" i="7"/>
  <c r="S594" i="7"/>
  <c r="S598" i="7"/>
  <c r="S600" i="7"/>
  <c r="S603" i="7"/>
  <c r="S609" i="7"/>
  <c r="O612" i="7"/>
  <c r="V612" i="7"/>
  <c r="O613" i="7"/>
  <c r="V613" i="7"/>
  <c r="O614" i="7"/>
  <c r="V614" i="7"/>
  <c r="O616" i="7"/>
  <c r="V616" i="7"/>
  <c r="S617" i="7"/>
  <c r="V617" i="7"/>
  <c r="O620" i="7"/>
  <c r="V620" i="7"/>
  <c r="S621" i="7"/>
  <c r="S622" i="7"/>
  <c r="O623" i="7"/>
  <c r="V623" i="7"/>
  <c r="O624" i="7"/>
  <c r="V624" i="7"/>
  <c r="O625" i="7"/>
  <c r="V625" i="7"/>
  <c r="S626" i="7"/>
  <c r="S631" i="7"/>
  <c r="O637" i="7"/>
  <c r="V637" i="7"/>
  <c r="S638" i="7"/>
  <c r="S641" i="7"/>
  <c r="S644" i="7"/>
  <c r="S649" i="7"/>
  <c r="O651" i="7"/>
  <c r="V651" i="7"/>
  <c r="O652" i="7"/>
  <c r="V652" i="7"/>
  <c r="S653" i="7"/>
  <c r="S654" i="7"/>
  <c r="O659" i="7"/>
  <c r="S660" i="7"/>
  <c r="O664" i="7"/>
  <c r="V664" i="7"/>
  <c r="S665" i="7"/>
  <c r="S666" i="7"/>
  <c r="S668" i="7"/>
  <c r="O679" i="7"/>
  <c r="V679" i="7"/>
  <c r="S680" i="7"/>
  <c r="S682" i="7"/>
  <c r="S684" i="7"/>
  <c r="S805" i="7"/>
  <c r="O806" i="7"/>
  <c r="O807" i="7"/>
  <c r="V810" i="7"/>
  <c r="S819" i="7"/>
  <c r="S820" i="7"/>
  <c r="S821" i="7"/>
  <c r="S822" i="7"/>
  <c r="S823" i="7"/>
  <c r="S824" i="7"/>
  <c r="V840" i="7"/>
  <c r="S841" i="7"/>
  <c r="O848" i="7"/>
  <c r="O850" i="7"/>
  <c r="V850" i="7"/>
  <c r="V851" i="7"/>
  <c r="O853" i="7"/>
  <c r="O859" i="7"/>
  <c r="V859" i="7"/>
  <c r="O864" i="7"/>
  <c r="V864" i="7"/>
  <c r="O866" i="7"/>
  <c r="O875" i="7"/>
  <c r="S877" i="7"/>
  <c r="V878" i="7"/>
  <c r="S879" i="7"/>
  <c r="S880" i="7"/>
  <c r="S891" i="7"/>
  <c r="O893" i="7"/>
  <c r="V893" i="7"/>
  <c r="V895" i="7"/>
  <c r="S896" i="7"/>
  <c r="O906" i="7"/>
  <c r="V906" i="7"/>
  <c r="S914" i="7"/>
  <c r="O919" i="7"/>
  <c r="V919" i="7"/>
  <c r="O925" i="7"/>
  <c r="V925" i="7"/>
  <c r="O930" i="7"/>
  <c r="V930" i="7"/>
  <c r="S933" i="7"/>
  <c r="O936" i="7"/>
  <c r="V936" i="7"/>
  <c r="O940" i="7"/>
  <c r="V940" i="7"/>
  <c r="O944" i="7"/>
  <c r="V944" i="7"/>
  <c r="S945" i="7"/>
  <c r="O949" i="7"/>
  <c r="V951" i="7"/>
  <c r="S952" i="7"/>
  <c r="O954" i="7"/>
  <c r="V954" i="7"/>
  <c r="O958" i="7"/>
  <c r="V958" i="7"/>
  <c r="S959" i="7"/>
  <c r="S961" i="7"/>
  <c r="S962" i="7"/>
  <c r="V963" i="7"/>
  <c r="S964" i="7"/>
  <c r="S972" i="7"/>
  <c r="O978" i="7"/>
  <c r="O982" i="7"/>
  <c r="O986" i="7"/>
  <c r="V986" i="7"/>
  <c r="S987" i="7"/>
  <c r="S1180" i="7"/>
  <c r="O1186" i="7"/>
  <c r="S1193" i="7"/>
  <c r="O1199" i="7"/>
  <c r="V1199" i="7"/>
  <c r="O1204" i="7"/>
  <c r="O1206" i="7"/>
  <c r="O1209" i="7"/>
  <c r="O1211" i="7"/>
  <c r="O1214" i="7"/>
  <c r="V1215" i="7"/>
  <c r="O1216" i="7"/>
  <c r="O1218" i="7"/>
  <c r="V1218" i="7"/>
  <c r="V1219" i="7"/>
  <c r="V1221" i="7"/>
  <c r="V1223" i="7"/>
  <c r="V1225" i="7"/>
  <c r="V1227" i="7"/>
  <c r="O1231" i="7"/>
  <c r="S1243" i="7"/>
  <c r="S1246" i="7"/>
  <c r="S1252" i="7"/>
  <c r="S1254" i="7"/>
  <c r="O1258" i="7"/>
  <c r="V1260" i="7"/>
  <c r="S1261" i="7"/>
  <c r="S1263" i="7"/>
  <c r="S1266" i="7"/>
  <c r="S1268" i="7"/>
  <c r="S1270" i="7"/>
  <c r="S1274" i="7"/>
  <c r="S1276" i="7"/>
  <c r="S1278" i="7"/>
  <c r="S1280" i="7"/>
  <c r="O1291" i="7"/>
  <c r="O1293" i="7"/>
  <c r="W489" i="7"/>
  <c r="X489" i="7"/>
  <c r="Y489" i="7"/>
  <c r="W501" i="7"/>
  <c r="Y501" i="7"/>
  <c r="X682" i="7"/>
  <c r="Y682" i="7"/>
  <c r="W869" i="7"/>
  <c r="Y869" i="7"/>
  <c r="W990" i="7"/>
  <c r="Y990" i="7"/>
  <c r="O1176" i="7"/>
  <c r="W1176" i="7"/>
  <c r="X1176" i="7"/>
  <c r="Y1176" i="7"/>
  <c r="W1178" i="7"/>
  <c r="X1178" i="7"/>
  <c r="Y1178" i="7"/>
  <c r="O1257" i="7"/>
  <c r="W1257" i="7"/>
  <c r="Y1257" i="7"/>
  <c r="X1257" i="7"/>
  <c r="S62" i="7"/>
  <c r="W221" i="7"/>
  <c r="Y221" i="7"/>
  <c r="W382" i="7"/>
  <c r="Y382" i="7"/>
  <c r="W592" i="7"/>
  <c r="X592" i="7"/>
  <c r="O592" i="7"/>
  <c r="Y592" i="7"/>
  <c r="X653" i="7"/>
  <c r="Y653" i="7"/>
  <c r="W686" i="7"/>
  <c r="Y686" i="7"/>
  <c r="Y861" i="7"/>
  <c r="X861" i="7"/>
  <c r="Y1293" i="7"/>
  <c r="W1293" i="7"/>
  <c r="V48" i="7"/>
  <c r="X77" i="7"/>
  <c r="S50" i="7"/>
  <c r="V46" i="7"/>
  <c r="S56" i="7"/>
  <c r="V30" i="7"/>
  <c r="M11" i="8"/>
  <c r="X63" i="7"/>
  <c r="J9" i="8"/>
  <c r="L18" i="8"/>
  <c r="L17" i="8"/>
  <c r="L11" i="8"/>
  <c r="K11" i="8"/>
  <c r="L8" i="8"/>
  <c r="K8" i="8"/>
  <c r="V61" i="7"/>
  <c r="S60" i="7"/>
  <c r="V27" i="7"/>
  <c r="K9" i="8"/>
  <c r="M18" i="8"/>
  <c r="M17" i="8"/>
  <c r="M9" i="8"/>
  <c r="L9" i="8"/>
  <c r="K18" i="8"/>
  <c r="K17" i="8"/>
  <c r="M8" i="8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103" i="14"/>
  <c r="O104" i="14"/>
  <c r="O106" i="14"/>
  <c r="O107" i="14"/>
  <c r="O111" i="14"/>
  <c r="O112" i="14"/>
  <c r="O116" i="14"/>
  <c r="O117" i="14"/>
  <c r="O118" i="14"/>
  <c r="O121" i="14"/>
  <c r="O124" i="14"/>
  <c r="O126" i="14"/>
  <c r="O128" i="14"/>
  <c r="O129" i="14"/>
  <c r="O131" i="14"/>
  <c r="O132" i="14"/>
  <c r="O133" i="14"/>
  <c r="O134" i="14"/>
  <c r="O136" i="14"/>
  <c r="O137" i="14"/>
  <c r="O139" i="14"/>
  <c r="O141" i="14"/>
  <c r="O142" i="14"/>
  <c r="O148" i="14"/>
  <c r="O150" i="14"/>
  <c r="O151" i="14"/>
  <c r="O152" i="14"/>
  <c r="O153" i="14"/>
  <c r="O154" i="14"/>
  <c r="O155" i="14"/>
  <c r="O157" i="14"/>
  <c r="O162" i="14"/>
  <c r="O164" i="14"/>
  <c r="O165" i="14"/>
  <c r="O167" i="14"/>
  <c r="O168" i="14"/>
  <c r="O170" i="14"/>
  <c r="O172" i="14"/>
  <c r="O174" i="14"/>
  <c r="O175" i="14"/>
  <c r="O176" i="14"/>
  <c r="O178" i="14"/>
  <c r="O180" i="14"/>
  <c r="O181" i="14"/>
  <c r="O183" i="14"/>
  <c r="O186" i="14"/>
  <c r="O187" i="14"/>
  <c r="O190" i="14"/>
  <c r="O193" i="14"/>
  <c r="O200" i="14"/>
  <c r="O202" i="14"/>
  <c r="O204" i="14"/>
  <c r="O206" i="14"/>
  <c r="O207" i="14"/>
  <c r="O209" i="14"/>
  <c r="O210" i="14"/>
  <c r="O213" i="14"/>
  <c r="O214" i="14"/>
  <c r="O216" i="14"/>
  <c r="O217" i="14"/>
  <c r="O218" i="14"/>
  <c r="O219" i="14"/>
  <c r="O221" i="14"/>
  <c r="O225" i="14"/>
  <c r="O226" i="14"/>
  <c r="O227" i="14"/>
  <c r="O228" i="14"/>
  <c r="O229" i="14"/>
  <c r="O230" i="14"/>
  <c r="O231" i="14"/>
  <c r="O233" i="14"/>
  <c r="O234" i="14"/>
  <c r="O237" i="14"/>
  <c r="O238" i="14"/>
  <c r="O241" i="14"/>
  <c r="O242" i="14"/>
  <c r="O243" i="14"/>
  <c r="O244" i="14"/>
  <c r="O245" i="14"/>
  <c r="O246" i="14"/>
  <c r="O247" i="14"/>
  <c r="O248" i="14"/>
  <c r="O249" i="14"/>
  <c r="O375" i="14"/>
  <c r="O378" i="14"/>
  <c r="O383" i="14"/>
  <c r="O387" i="14"/>
  <c r="O389" i="14"/>
  <c r="O391" i="14"/>
  <c r="O396" i="14"/>
  <c r="O397" i="14"/>
  <c r="O398" i="14"/>
  <c r="O399" i="14"/>
  <c r="O403" i="14"/>
  <c r="O407" i="14"/>
  <c r="O411" i="14"/>
  <c r="O414" i="14"/>
  <c r="O416" i="14"/>
  <c r="O418" i="14"/>
  <c r="O424" i="14"/>
  <c r="O425" i="14"/>
  <c r="O428" i="14"/>
  <c r="O429" i="14"/>
  <c r="O436" i="14"/>
  <c r="O437" i="14"/>
  <c r="O543" i="14"/>
  <c r="O544" i="14"/>
  <c r="O548" i="14"/>
  <c r="O550" i="14"/>
  <c r="O552" i="14"/>
  <c r="O554" i="14"/>
  <c r="O559" i="14"/>
  <c r="O563" i="14"/>
  <c r="O568" i="14"/>
  <c r="O573" i="14"/>
  <c r="O577" i="14"/>
  <c r="O581" i="14"/>
  <c r="O585" i="14"/>
  <c r="O591" i="14"/>
  <c r="O595" i="14"/>
  <c r="O600" i="14"/>
  <c r="O604" i="14"/>
  <c r="O612" i="14"/>
  <c r="O616" i="14"/>
  <c r="O618" i="14"/>
  <c r="O621" i="14"/>
  <c r="O783" i="14"/>
  <c r="S784" i="14"/>
  <c r="O786" i="14"/>
  <c r="S787" i="14"/>
  <c r="O790" i="14"/>
  <c r="O794" i="14"/>
  <c r="O799" i="14"/>
  <c r="O805" i="14"/>
  <c r="O808" i="14"/>
  <c r="O810" i="14"/>
  <c r="S1183" i="14"/>
  <c r="O250" i="14"/>
  <c r="V251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S341" i="14"/>
  <c r="S345" i="14"/>
  <c r="S348" i="14"/>
  <c r="S373" i="14"/>
  <c r="O374" i="14"/>
  <c r="O377" i="14"/>
  <c r="O380" i="14"/>
  <c r="O382" i="14"/>
  <c r="O385" i="14"/>
  <c r="O388" i="14"/>
  <c r="O392" i="14"/>
  <c r="O395" i="14"/>
  <c r="O400" i="14"/>
  <c r="O402" i="14"/>
  <c r="O404" i="14"/>
  <c r="O405" i="14"/>
  <c r="O406" i="14"/>
  <c r="O408" i="14"/>
  <c r="O412" i="14"/>
  <c r="O413" i="14"/>
  <c r="O420" i="14"/>
  <c r="O423" i="14"/>
  <c r="O430" i="14"/>
  <c r="O569" i="14"/>
  <c r="O570" i="14"/>
  <c r="O575" i="14"/>
  <c r="O578" i="14"/>
  <c r="O583" i="14"/>
  <c r="O587" i="14"/>
  <c r="O590" i="14"/>
  <c r="O593" i="14"/>
  <c r="O598" i="14"/>
  <c r="O601" i="14"/>
  <c r="O606" i="14"/>
  <c r="O610" i="14"/>
  <c r="O614" i="14"/>
  <c r="O617" i="14"/>
  <c r="O619" i="14"/>
  <c r="O622" i="14"/>
  <c r="O624" i="14"/>
  <c r="O782" i="14"/>
  <c r="S783" i="14"/>
  <c r="O785" i="14"/>
  <c r="S786" i="14"/>
  <c r="S793" i="14"/>
  <c r="O796" i="14"/>
  <c r="O803" i="14"/>
  <c r="O1204" i="14"/>
  <c r="O438" i="14"/>
  <c r="O439" i="14"/>
  <c r="O440" i="14"/>
  <c r="U441" i="14"/>
  <c r="V441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45" i="14"/>
  <c r="O553" i="14"/>
  <c r="O557" i="14"/>
  <c r="S559" i="14"/>
  <c r="O562" i="14"/>
  <c r="O565" i="14"/>
  <c r="O571" i="14"/>
  <c r="O574" i="14"/>
  <c r="O579" i="14"/>
  <c r="O582" i="14"/>
  <c r="O586" i="14"/>
  <c r="O588" i="14"/>
  <c r="O589" i="14"/>
  <c r="O594" i="14"/>
  <c r="O597" i="14"/>
  <c r="O602" i="14"/>
  <c r="O605" i="14"/>
  <c r="O609" i="14"/>
  <c r="O613" i="14"/>
  <c r="O625" i="14"/>
  <c r="O788" i="14"/>
  <c r="S789" i="14"/>
  <c r="S792" i="14"/>
  <c r="S795" i="14"/>
  <c r="O797" i="14"/>
  <c r="S803" i="14"/>
  <c r="O804" i="14"/>
  <c r="O809" i="14"/>
  <c r="O626" i="14"/>
  <c r="O627" i="14"/>
  <c r="O628" i="14"/>
  <c r="O629" i="14"/>
  <c r="O630" i="14"/>
  <c r="U631" i="14"/>
  <c r="V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S759" i="14"/>
  <c r="S760" i="14"/>
  <c r="S761" i="14"/>
  <c r="S762" i="14"/>
  <c r="S763" i="14"/>
  <c r="S764" i="14"/>
  <c r="S765" i="14"/>
  <c r="S766" i="14"/>
  <c r="S767" i="14"/>
  <c r="S768" i="14"/>
  <c r="S769" i="14"/>
  <c r="S770" i="14"/>
  <c r="S771" i="14"/>
  <c r="S772" i="14"/>
  <c r="S773" i="14"/>
  <c r="S774" i="14"/>
  <c r="S775" i="14"/>
  <c r="S776" i="14"/>
  <c r="S777" i="14"/>
  <c r="S778" i="14"/>
  <c r="S779" i="14"/>
  <c r="S780" i="14"/>
  <c r="S781" i="14"/>
  <c r="S782" i="14"/>
  <c r="O784" i="14"/>
  <c r="S785" i="14"/>
  <c r="O789" i="14"/>
  <c r="S790" i="14"/>
  <c r="S796" i="14"/>
  <c r="O798" i="14"/>
  <c r="O802" i="14"/>
  <c r="S809" i="14"/>
  <c r="S810" i="14"/>
  <c r="O811" i="14"/>
  <c r="O1203" i="14"/>
  <c r="O813" i="14"/>
  <c r="S813" i="14"/>
  <c r="O814" i="14"/>
  <c r="S814" i="14"/>
  <c r="O815" i="14"/>
  <c r="S815" i="14"/>
  <c r="O816" i="14"/>
  <c r="S816" i="14"/>
  <c r="O817" i="14"/>
  <c r="S817" i="14"/>
  <c r="O818" i="14"/>
  <c r="S818" i="14"/>
  <c r="O819" i="14"/>
  <c r="S819" i="14"/>
  <c r="O820" i="14"/>
  <c r="S820" i="14"/>
  <c r="U821" i="14"/>
  <c r="V821" i="14"/>
  <c r="S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S995" i="14"/>
  <c r="S996" i="14"/>
  <c r="S997" i="14"/>
  <c r="S998" i="14"/>
  <c r="S999" i="14"/>
  <c r="S1000" i="14"/>
  <c r="S1001" i="14"/>
  <c r="S1165" i="14"/>
  <c r="S1166" i="14"/>
  <c r="S1167" i="14"/>
  <c r="S1172" i="14"/>
  <c r="S1174" i="14"/>
  <c r="S1176" i="14"/>
  <c r="S1180" i="14"/>
  <c r="S1196" i="14"/>
  <c r="S1002" i="14"/>
  <c r="S1003" i="14"/>
  <c r="S1004" i="14"/>
  <c r="S1005" i="14"/>
  <c r="S1006" i="14"/>
  <c r="S1007" i="14"/>
  <c r="S1008" i="14"/>
  <c r="S1009" i="14"/>
  <c r="S1010" i="14"/>
  <c r="U1011" i="14"/>
  <c r="V1011" i="14"/>
  <c r="S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S1141" i="14"/>
  <c r="S1142" i="14"/>
  <c r="S1143" i="14"/>
  <c r="S1144" i="14"/>
  <c r="S1145" i="14"/>
  <c r="S1146" i="14"/>
  <c r="S1147" i="14"/>
  <c r="S1148" i="14"/>
  <c r="S1149" i="14"/>
  <c r="S1150" i="14"/>
  <c r="S1151" i="14"/>
  <c r="S1152" i="14"/>
  <c r="S1153" i="14"/>
  <c r="S1154" i="14"/>
  <c r="S1155" i="14"/>
  <c r="S1156" i="14"/>
  <c r="S1157" i="14"/>
  <c r="S1158" i="14"/>
  <c r="S1159" i="14"/>
  <c r="S1160" i="14"/>
  <c r="S1161" i="14"/>
  <c r="S1162" i="14"/>
  <c r="S1163" i="14"/>
  <c r="S1164" i="14"/>
  <c r="S1168" i="14"/>
  <c r="S1169" i="14"/>
  <c r="S1170" i="14"/>
  <c r="S1171" i="14"/>
  <c r="S1173" i="14"/>
  <c r="S1175" i="14"/>
  <c r="S1177" i="14"/>
  <c r="S1179" i="14"/>
  <c r="S1182" i="14"/>
  <c r="S1185" i="14"/>
  <c r="S1186" i="14"/>
  <c r="S1187" i="14"/>
  <c r="S1192" i="14"/>
  <c r="V1201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435" i="14"/>
  <c r="O546" i="14"/>
  <c r="O551" i="14"/>
  <c r="O555" i="14"/>
  <c r="O558" i="14"/>
  <c r="O561" i="14"/>
  <c r="O566" i="14"/>
  <c r="S800" i="14"/>
  <c r="O801" i="14"/>
  <c r="O806" i="14"/>
  <c r="O812" i="14"/>
  <c r="S1189" i="14"/>
  <c r="S1195" i="14"/>
  <c r="O1202" i="14"/>
  <c r="U41" i="14"/>
  <c r="O105" i="14"/>
  <c r="O108" i="14"/>
  <c r="O109" i="14"/>
  <c r="O110" i="14"/>
  <c r="O113" i="14"/>
  <c r="O114" i="14"/>
  <c r="O115" i="14"/>
  <c r="O119" i="14"/>
  <c r="O120" i="14"/>
  <c r="O122" i="14"/>
  <c r="O123" i="14"/>
  <c r="O125" i="14"/>
  <c r="O127" i="14"/>
  <c r="O130" i="14"/>
  <c r="O135" i="14"/>
  <c r="O138" i="14"/>
  <c r="O140" i="14"/>
  <c r="O143" i="14"/>
  <c r="O144" i="14"/>
  <c r="O145" i="14"/>
  <c r="O146" i="14"/>
  <c r="O147" i="14"/>
  <c r="O149" i="14"/>
  <c r="O156" i="14"/>
  <c r="O158" i="14"/>
  <c r="O159" i="14"/>
  <c r="O160" i="14"/>
  <c r="O161" i="14"/>
  <c r="O163" i="14"/>
  <c r="O166" i="14"/>
  <c r="O169" i="14"/>
  <c r="O171" i="14"/>
  <c r="O173" i="14"/>
  <c r="O177" i="14"/>
  <c r="O179" i="14"/>
  <c r="O182" i="14"/>
  <c r="O184" i="14"/>
  <c r="O185" i="14"/>
  <c r="O188" i="14"/>
  <c r="O189" i="14"/>
  <c r="O191" i="14"/>
  <c r="O192" i="14"/>
  <c r="O194" i="14"/>
  <c r="O195" i="14"/>
  <c r="O197" i="14"/>
  <c r="O198" i="14"/>
  <c r="O199" i="14"/>
  <c r="O201" i="14"/>
  <c r="O205" i="14"/>
  <c r="O208" i="14"/>
  <c r="O211" i="14"/>
  <c r="O212" i="14"/>
  <c r="O215" i="14"/>
  <c r="O220" i="14"/>
  <c r="O222" i="14"/>
  <c r="O223" i="14"/>
  <c r="O224" i="14"/>
  <c r="O232" i="14"/>
  <c r="O235" i="14"/>
  <c r="O236" i="14"/>
  <c r="O239" i="14"/>
  <c r="O240" i="14"/>
  <c r="O376" i="14"/>
  <c r="O379" i="14"/>
  <c r="O381" i="14"/>
  <c r="O386" i="14"/>
  <c r="O390" i="14"/>
  <c r="O393" i="14"/>
  <c r="O394" i="14"/>
  <c r="O401" i="14"/>
  <c r="O409" i="14"/>
  <c r="O410" i="14"/>
  <c r="O415" i="14"/>
  <c r="O417" i="14"/>
  <c r="O419" i="14"/>
  <c r="O421" i="14"/>
  <c r="O422" i="14"/>
  <c r="O426" i="14"/>
  <c r="O427" i="14"/>
  <c r="O431" i="14"/>
  <c r="O432" i="14"/>
  <c r="O433" i="14"/>
  <c r="O434" i="14"/>
  <c r="O542" i="14"/>
  <c r="O547" i="14"/>
  <c r="O549" i="14"/>
  <c r="O556" i="14"/>
  <c r="O560" i="14"/>
  <c r="O564" i="14"/>
  <c r="O567" i="14"/>
  <c r="O572" i="14"/>
  <c r="O576" i="14"/>
  <c r="O580" i="14"/>
  <c r="O584" i="14"/>
  <c r="O592" i="14"/>
  <c r="O596" i="14"/>
  <c r="O599" i="14"/>
  <c r="O603" i="14"/>
  <c r="O607" i="14"/>
  <c r="O608" i="14"/>
  <c r="O611" i="14"/>
  <c r="O615" i="14"/>
  <c r="O620" i="14"/>
  <c r="O623" i="14"/>
  <c r="O787" i="14"/>
  <c r="S788" i="14"/>
  <c r="O791" i="14"/>
  <c r="O792" i="14"/>
  <c r="O793" i="14"/>
  <c r="S794" i="14"/>
  <c r="O795" i="14"/>
  <c r="S799" i="14"/>
  <c r="O800" i="14"/>
  <c r="S804" i="14"/>
  <c r="O807" i="14"/>
  <c r="S1198" i="14"/>
  <c r="U1201" i="14"/>
  <c r="O1205" i="14"/>
  <c r="T794" i="14"/>
  <c r="V794" i="14"/>
  <c r="U794" i="14"/>
  <c r="V795" i="14"/>
  <c r="T795" i="14"/>
  <c r="U795" i="14"/>
  <c r="T796" i="14"/>
  <c r="V796" i="14"/>
  <c r="U796" i="14"/>
  <c r="V797" i="14"/>
  <c r="T797" i="14"/>
  <c r="U797" i="14"/>
  <c r="V798" i="14"/>
  <c r="U798" i="14"/>
  <c r="T798" i="14"/>
  <c r="V799" i="14"/>
  <c r="U799" i="14"/>
  <c r="T799" i="14"/>
  <c r="V800" i="14"/>
  <c r="T800" i="14"/>
  <c r="U800" i="14"/>
  <c r="V801" i="14"/>
  <c r="U801" i="14"/>
  <c r="T801" i="14"/>
  <c r="T802" i="14"/>
  <c r="U802" i="14"/>
  <c r="V802" i="14"/>
  <c r="T803" i="14"/>
  <c r="U803" i="14"/>
  <c r="V803" i="14"/>
  <c r="U804" i="14"/>
  <c r="T804" i="14"/>
  <c r="V804" i="14"/>
  <c r="T805" i="14"/>
  <c r="U805" i="14"/>
  <c r="V805" i="14"/>
  <c r="V807" i="14"/>
  <c r="T807" i="14"/>
  <c r="U807" i="14"/>
  <c r="T808" i="14"/>
  <c r="U808" i="14"/>
  <c r="V808" i="14"/>
  <c r="T809" i="14"/>
  <c r="U809" i="14"/>
  <c r="V809" i="14"/>
  <c r="V810" i="14"/>
  <c r="U810" i="14"/>
  <c r="T810" i="14"/>
  <c r="V811" i="14"/>
  <c r="U811" i="14"/>
  <c r="T811" i="14"/>
  <c r="U812" i="14"/>
  <c r="V812" i="14"/>
  <c r="T812" i="14"/>
  <c r="V1202" i="14"/>
  <c r="T1202" i="14"/>
  <c r="U1202" i="14"/>
  <c r="V1203" i="14"/>
  <c r="U1203" i="14"/>
  <c r="T1203" i="14"/>
  <c r="T1204" i="14"/>
  <c r="V1204" i="14"/>
  <c r="U1204" i="14"/>
  <c r="T1205" i="14"/>
  <c r="U1205" i="14"/>
  <c r="V1205" i="14"/>
  <c r="V63" i="14"/>
  <c r="T63" i="14"/>
  <c r="T64" i="14"/>
  <c r="V64" i="14"/>
  <c r="T65" i="14"/>
  <c r="V65" i="14"/>
  <c r="T66" i="14"/>
  <c r="V66" i="14"/>
  <c r="T67" i="14"/>
  <c r="V67" i="14"/>
  <c r="T68" i="14"/>
  <c r="V68" i="14"/>
  <c r="T69" i="14"/>
  <c r="V69" i="14"/>
  <c r="T70" i="14"/>
  <c r="V70" i="14"/>
  <c r="T71" i="14"/>
  <c r="V71" i="14"/>
  <c r="T72" i="14"/>
  <c r="V72" i="14"/>
  <c r="T73" i="14"/>
  <c r="V73" i="14"/>
  <c r="T74" i="14"/>
  <c r="V74" i="14"/>
  <c r="T75" i="14"/>
  <c r="V75" i="14"/>
  <c r="T76" i="14"/>
  <c r="V76" i="14"/>
  <c r="T77" i="14"/>
  <c r="V77" i="14"/>
  <c r="T78" i="14"/>
  <c r="V78" i="14"/>
  <c r="T79" i="14"/>
  <c r="V79" i="14"/>
  <c r="T80" i="14"/>
  <c r="V80" i="14"/>
  <c r="T81" i="14"/>
  <c r="V81" i="14"/>
  <c r="T82" i="14"/>
  <c r="V82" i="14"/>
  <c r="T83" i="14"/>
  <c r="V83" i="14"/>
  <c r="T84" i="14"/>
  <c r="V84" i="14"/>
  <c r="T85" i="14"/>
  <c r="V85" i="14"/>
  <c r="T86" i="14"/>
  <c r="V86" i="14"/>
  <c r="T87" i="14"/>
  <c r="V87" i="14"/>
  <c r="T88" i="14"/>
  <c r="V88" i="14"/>
  <c r="T89" i="14"/>
  <c r="V89" i="14"/>
  <c r="T90" i="14"/>
  <c r="V90" i="14"/>
  <c r="T91" i="14"/>
  <c r="V91" i="14"/>
  <c r="T92" i="14"/>
  <c r="V92" i="14"/>
  <c r="T93" i="14"/>
  <c r="V93" i="14"/>
  <c r="T94" i="14"/>
  <c r="V94" i="14"/>
  <c r="T95" i="14"/>
  <c r="V95" i="14"/>
  <c r="T249" i="14"/>
  <c r="V249" i="14"/>
  <c r="T250" i="14"/>
  <c r="V250" i="14"/>
  <c r="T252" i="14"/>
  <c r="V252" i="14"/>
  <c r="T253" i="14"/>
  <c r="V253" i="14"/>
  <c r="T254" i="14"/>
  <c r="V254" i="14"/>
  <c r="T255" i="14"/>
  <c r="V255" i="14"/>
  <c r="T256" i="14"/>
  <c r="V256" i="14"/>
  <c r="T257" i="14"/>
  <c r="V257" i="14"/>
  <c r="T258" i="14"/>
  <c r="V258" i="14"/>
  <c r="T259" i="14"/>
  <c r="V259" i="14"/>
  <c r="T260" i="14"/>
  <c r="V260" i="14"/>
  <c r="T261" i="14"/>
  <c r="V261" i="14"/>
  <c r="T262" i="14"/>
  <c r="V262" i="14"/>
  <c r="T263" i="14"/>
  <c r="V263" i="14"/>
  <c r="T264" i="14"/>
  <c r="V264" i="14"/>
  <c r="T265" i="14"/>
  <c r="V265" i="14"/>
  <c r="T266" i="14"/>
  <c r="V266" i="14"/>
  <c r="T267" i="14"/>
  <c r="V267" i="14"/>
  <c r="T268" i="14"/>
  <c r="V268" i="14"/>
  <c r="T269" i="14"/>
  <c r="V269" i="14"/>
  <c r="T270" i="14"/>
  <c r="V270" i="14"/>
  <c r="T271" i="14"/>
  <c r="V271" i="14"/>
  <c r="T272" i="14"/>
  <c r="V272" i="14"/>
  <c r="T273" i="14"/>
  <c r="V273" i="14"/>
  <c r="T274" i="14"/>
  <c r="V274" i="14"/>
  <c r="T275" i="14"/>
  <c r="V275" i="14"/>
  <c r="T276" i="14"/>
  <c r="V276" i="14"/>
  <c r="T277" i="14"/>
  <c r="V277" i="14"/>
  <c r="T278" i="14"/>
  <c r="V278" i="14"/>
  <c r="T279" i="14"/>
  <c r="V279" i="14"/>
  <c r="T280" i="14"/>
  <c r="V280" i="14"/>
  <c r="T281" i="14"/>
  <c r="V281" i="14"/>
  <c r="T282" i="14"/>
  <c r="V282" i="14"/>
  <c r="T283" i="14"/>
  <c r="V283" i="14"/>
  <c r="T284" i="14"/>
  <c r="V284" i="14"/>
  <c r="T285" i="14"/>
  <c r="V285" i="14"/>
  <c r="T286" i="14"/>
  <c r="V286" i="14"/>
  <c r="T287" i="14"/>
  <c r="V287" i="14"/>
  <c r="T288" i="14"/>
  <c r="V288" i="14"/>
  <c r="T289" i="14"/>
  <c r="V289" i="14"/>
  <c r="T290" i="14"/>
  <c r="V290" i="14"/>
  <c r="T291" i="14"/>
  <c r="V291" i="14"/>
  <c r="T292" i="14"/>
  <c r="V292" i="14"/>
  <c r="T293" i="14"/>
  <c r="V293" i="14"/>
  <c r="T294" i="14"/>
  <c r="V294" i="14"/>
  <c r="T295" i="14"/>
  <c r="V295" i="14"/>
  <c r="T296" i="14"/>
  <c r="V296" i="14"/>
  <c r="T297" i="14"/>
  <c r="V297" i="14"/>
  <c r="T298" i="14"/>
  <c r="V298" i="14"/>
  <c r="T299" i="14"/>
  <c r="V299" i="14"/>
  <c r="T300" i="14"/>
  <c r="V300" i="14"/>
  <c r="T301" i="14"/>
  <c r="V301" i="14"/>
  <c r="T302" i="14"/>
  <c r="V302" i="14"/>
  <c r="T303" i="14"/>
  <c r="V303" i="14"/>
  <c r="T304" i="14"/>
  <c r="V304" i="14"/>
  <c r="T305" i="14"/>
  <c r="V305" i="14"/>
  <c r="T306" i="14"/>
  <c r="V306" i="14"/>
  <c r="T307" i="14"/>
  <c r="V307" i="14"/>
  <c r="T308" i="14"/>
  <c r="V308" i="14"/>
  <c r="T309" i="14"/>
  <c r="V309" i="14"/>
  <c r="T310" i="14"/>
  <c r="V310" i="14"/>
  <c r="T311" i="14"/>
  <c r="V311" i="14"/>
  <c r="V312" i="14"/>
  <c r="T312" i="14"/>
  <c r="T438" i="14"/>
  <c r="V438" i="14"/>
  <c r="T439" i="14"/>
  <c r="V439" i="14"/>
  <c r="T440" i="14"/>
  <c r="V440" i="14"/>
  <c r="T442" i="14"/>
  <c r="V442" i="14"/>
  <c r="T443" i="14"/>
  <c r="V443" i="14"/>
  <c r="T444" i="14"/>
  <c r="V444" i="14"/>
  <c r="V445" i="14"/>
  <c r="T445" i="14"/>
  <c r="T446" i="14"/>
  <c r="V446" i="14"/>
  <c r="T447" i="14"/>
  <c r="V447" i="14"/>
  <c r="T448" i="14"/>
  <c r="V448" i="14"/>
  <c r="T449" i="14"/>
  <c r="V449" i="14"/>
  <c r="T450" i="14"/>
  <c r="V450" i="14"/>
  <c r="T451" i="14"/>
  <c r="V451" i="14"/>
  <c r="T452" i="14"/>
  <c r="V452" i="14"/>
  <c r="T453" i="14"/>
  <c r="V453" i="14"/>
  <c r="T454" i="14"/>
  <c r="V454" i="14"/>
  <c r="T455" i="14"/>
  <c r="V455" i="14"/>
  <c r="T456" i="14"/>
  <c r="V456" i="14"/>
  <c r="T457" i="14"/>
  <c r="V457" i="14"/>
  <c r="T458" i="14"/>
  <c r="V458" i="14"/>
  <c r="T459" i="14"/>
  <c r="V459" i="14"/>
  <c r="T460" i="14"/>
  <c r="V460" i="14"/>
  <c r="T461" i="14"/>
  <c r="V461" i="14"/>
  <c r="T462" i="14"/>
  <c r="V462" i="14"/>
  <c r="T463" i="14"/>
  <c r="V463" i="14"/>
  <c r="V464" i="14"/>
  <c r="T464" i="14"/>
  <c r="V465" i="14"/>
  <c r="T465" i="14"/>
  <c r="T466" i="14"/>
  <c r="V466" i="14"/>
  <c r="T467" i="14"/>
  <c r="V467" i="14"/>
  <c r="T468" i="14"/>
  <c r="V468" i="14"/>
  <c r="T469" i="14"/>
  <c r="V469" i="14"/>
  <c r="V470" i="14"/>
  <c r="T470" i="14"/>
  <c r="V471" i="14"/>
  <c r="T471" i="14"/>
  <c r="V472" i="14"/>
  <c r="T472" i="14"/>
  <c r="V473" i="14"/>
  <c r="T473" i="14"/>
  <c r="V474" i="14"/>
  <c r="T474" i="14"/>
  <c r="V475" i="14"/>
  <c r="T475" i="14"/>
  <c r="V476" i="14"/>
  <c r="T476" i="14"/>
  <c r="V477" i="14"/>
  <c r="T477" i="14"/>
  <c r="V478" i="14"/>
  <c r="T478" i="14"/>
  <c r="V479" i="14"/>
  <c r="T479" i="14"/>
  <c r="V480" i="14"/>
  <c r="T480" i="14"/>
  <c r="V481" i="14"/>
  <c r="T481" i="14"/>
  <c r="V482" i="14"/>
  <c r="T482" i="14"/>
  <c r="V483" i="14"/>
  <c r="T483" i="14"/>
  <c r="V484" i="14"/>
  <c r="T484" i="14"/>
  <c r="V485" i="14"/>
  <c r="T485" i="14"/>
  <c r="V486" i="14"/>
  <c r="T486" i="14"/>
  <c r="T487" i="14"/>
  <c r="V487" i="14"/>
  <c r="T488" i="14"/>
  <c r="V488" i="14"/>
  <c r="V489" i="14"/>
  <c r="T489" i="14"/>
  <c r="V490" i="14"/>
  <c r="T490" i="14"/>
  <c r="V491" i="14"/>
  <c r="T491" i="14"/>
  <c r="V492" i="14"/>
  <c r="T492" i="14"/>
  <c r="T493" i="14"/>
  <c r="V493" i="14"/>
  <c r="V494" i="14"/>
  <c r="T494" i="14"/>
  <c r="V495" i="14"/>
  <c r="T495" i="14"/>
  <c r="V496" i="14"/>
  <c r="T496" i="14"/>
  <c r="V497" i="14"/>
  <c r="T497" i="14"/>
  <c r="T498" i="14"/>
  <c r="V498" i="14"/>
  <c r="T499" i="14"/>
  <c r="V499" i="14"/>
  <c r="T625" i="14"/>
  <c r="V625" i="14"/>
  <c r="T626" i="14"/>
  <c r="V626" i="14"/>
  <c r="T627" i="14"/>
  <c r="V627" i="14"/>
  <c r="T628" i="14"/>
  <c r="V628" i="14"/>
  <c r="T629" i="14"/>
  <c r="V629" i="14"/>
  <c r="T630" i="14"/>
  <c r="V630" i="14"/>
  <c r="T632" i="14"/>
  <c r="V632" i="14"/>
  <c r="V633" i="14"/>
  <c r="T633" i="14"/>
  <c r="T634" i="14"/>
  <c r="V634" i="14"/>
  <c r="T635" i="14"/>
  <c r="V635" i="14"/>
  <c r="T636" i="14"/>
  <c r="V636" i="14"/>
  <c r="V637" i="14"/>
  <c r="T637" i="14"/>
  <c r="T638" i="14"/>
  <c r="V638" i="14"/>
  <c r="T639" i="14"/>
  <c r="V639" i="14"/>
  <c r="V640" i="14"/>
  <c r="T640" i="14"/>
  <c r="V641" i="14"/>
  <c r="T641" i="14"/>
  <c r="V642" i="14"/>
  <c r="T642" i="14"/>
  <c r="T643" i="14"/>
  <c r="V643" i="14"/>
  <c r="T644" i="14"/>
  <c r="V644" i="14"/>
  <c r="T645" i="14"/>
  <c r="V645" i="14"/>
  <c r="T646" i="14"/>
  <c r="V646" i="14"/>
  <c r="T647" i="14"/>
  <c r="V647" i="14"/>
  <c r="T648" i="14"/>
  <c r="V648" i="14"/>
  <c r="V649" i="14"/>
  <c r="T649" i="14"/>
  <c r="V650" i="14"/>
  <c r="T650" i="14"/>
  <c r="V651" i="14"/>
  <c r="T651" i="14"/>
  <c r="V652" i="14"/>
  <c r="T652" i="14"/>
  <c r="V653" i="14"/>
  <c r="T653" i="14"/>
  <c r="V654" i="14"/>
  <c r="T654" i="14"/>
  <c r="V655" i="14"/>
  <c r="T655" i="14"/>
  <c r="T656" i="14"/>
  <c r="V656" i="14"/>
  <c r="V657" i="14"/>
  <c r="T657" i="14"/>
  <c r="T658" i="14"/>
  <c r="V658" i="14"/>
  <c r="T659" i="14"/>
  <c r="V659" i="14"/>
  <c r="T660" i="14"/>
  <c r="V660" i="14"/>
  <c r="T661" i="14"/>
  <c r="V661" i="14"/>
  <c r="T662" i="14"/>
  <c r="V662" i="14"/>
  <c r="T663" i="14"/>
  <c r="V663" i="14"/>
  <c r="V664" i="14"/>
  <c r="T664" i="14"/>
  <c r="V665" i="14"/>
  <c r="T665" i="14"/>
  <c r="T666" i="14"/>
  <c r="V666" i="14"/>
  <c r="T667" i="14"/>
  <c r="V667" i="14"/>
  <c r="V668" i="14"/>
  <c r="T668" i="14"/>
  <c r="T669" i="14"/>
  <c r="V669" i="14"/>
  <c r="T670" i="14"/>
  <c r="V670" i="14"/>
  <c r="T671" i="14"/>
  <c r="V671" i="14"/>
  <c r="T672" i="14"/>
  <c r="V672" i="14"/>
  <c r="T673" i="14"/>
  <c r="V673" i="14"/>
  <c r="T674" i="14"/>
  <c r="V674" i="14"/>
  <c r="T675" i="14"/>
  <c r="V675" i="14"/>
  <c r="T676" i="14"/>
  <c r="V676" i="14"/>
  <c r="T677" i="14"/>
  <c r="V677" i="14"/>
  <c r="T678" i="14"/>
  <c r="V678" i="14"/>
  <c r="T679" i="14"/>
  <c r="V679" i="14"/>
  <c r="T680" i="14"/>
  <c r="V680" i="14"/>
  <c r="T681" i="14"/>
  <c r="V681" i="14"/>
  <c r="T682" i="14"/>
  <c r="V682" i="14"/>
  <c r="T683" i="14"/>
  <c r="V683" i="14"/>
  <c r="V684" i="14"/>
  <c r="T684" i="14"/>
  <c r="V685" i="14"/>
  <c r="T685" i="14"/>
  <c r="T686" i="14"/>
  <c r="V686" i="14"/>
  <c r="T687" i="14"/>
  <c r="V687" i="14"/>
  <c r="T688" i="14"/>
  <c r="V688" i="14"/>
  <c r="T689" i="14"/>
  <c r="V689" i="14"/>
  <c r="V690" i="14"/>
  <c r="T690" i="14"/>
  <c r="T691" i="14"/>
  <c r="V691" i="14"/>
  <c r="T692" i="14"/>
  <c r="V692" i="14"/>
  <c r="T693" i="14"/>
  <c r="V693" i="14"/>
  <c r="T694" i="14"/>
  <c r="V694" i="14"/>
  <c r="V695" i="14"/>
  <c r="T695" i="14"/>
  <c r="V696" i="14"/>
  <c r="T696" i="14"/>
  <c r="T697" i="14"/>
  <c r="V697" i="14"/>
  <c r="T698" i="14"/>
  <c r="V698" i="14"/>
  <c r="T699" i="14"/>
  <c r="V699" i="14"/>
  <c r="T700" i="14"/>
  <c r="V700" i="14"/>
  <c r="T701" i="14"/>
  <c r="V701" i="14"/>
  <c r="T702" i="14"/>
  <c r="V702" i="14"/>
  <c r="T703" i="14"/>
  <c r="V703" i="14"/>
  <c r="T704" i="14"/>
  <c r="V704" i="14"/>
  <c r="T705" i="14"/>
  <c r="V705" i="14"/>
  <c r="V706" i="14"/>
  <c r="T706" i="14"/>
  <c r="V813" i="14"/>
  <c r="T813" i="14"/>
  <c r="T814" i="14"/>
  <c r="V814" i="14"/>
  <c r="V815" i="14"/>
  <c r="T815" i="14"/>
  <c r="V816" i="14"/>
  <c r="T816" i="14"/>
  <c r="T817" i="14"/>
  <c r="V817" i="14"/>
  <c r="T818" i="14"/>
  <c r="V818" i="14"/>
  <c r="V819" i="14"/>
  <c r="T819" i="14"/>
  <c r="V820" i="14"/>
  <c r="T820" i="14"/>
  <c r="T822" i="14"/>
  <c r="V822" i="14"/>
  <c r="T823" i="14"/>
  <c r="V823" i="14"/>
  <c r="T824" i="14"/>
  <c r="V824" i="14"/>
  <c r="V825" i="14"/>
  <c r="T825" i="14"/>
  <c r="V826" i="14"/>
  <c r="T826" i="14"/>
  <c r="V827" i="14"/>
  <c r="T827" i="14"/>
  <c r="V828" i="14"/>
  <c r="T828" i="14"/>
  <c r="T829" i="14"/>
  <c r="V829" i="14"/>
  <c r="T830" i="14"/>
  <c r="V830" i="14"/>
  <c r="V831" i="14"/>
  <c r="T831" i="14"/>
  <c r="T832" i="14"/>
  <c r="V832" i="14"/>
  <c r="T833" i="14"/>
  <c r="V833" i="14"/>
  <c r="V834" i="14"/>
  <c r="T834" i="14"/>
  <c r="V835" i="14"/>
  <c r="T835" i="14"/>
  <c r="V836" i="14"/>
  <c r="T836" i="14"/>
  <c r="V837" i="14"/>
  <c r="T837" i="14"/>
  <c r="T838" i="14"/>
  <c r="V838" i="14"/>
  <c r="V839" i="14"/>
  <c r="T839" i="14"/>
  <c r="V840" i="14"/>
  <c r="T840" i="14"/>
  <c r="V841" i="14"/>
  <c r="T841" i="14"/>
  <c r="V842" i="14"/>
  <c r="T842" i="14"/>
  <c r="V843" i="14"/>
  <c r="T843" i="14"/>
  <c r="V844" i="14"/>
  <c r="T844" i="14"/>
  <c r="V845" i="14"/>
  <c r="T845" i="14"/>
  <c r="V846" i="14"/>
  <c r="T846" i="14"/>
  <c r="V847" i="14"/>
  <c r="T847" i="14"/>
  <c r="V848" i="14"/>
  <c r="T848" i="14"/>
  <c r="V849" i="14"/>
  <c r="T849" i="14"/>
  <c r="T850" i="14"/>
  <c r="V850" i="14"/>
  <c r="T851" i="14"/>
  <c r="V851" i="14"/>
  <c r="T852" i="14"/>
  <c r="V852" i="14"/>
  <c r="T853" i="14"/>
  <c r="V853" i="14"/>
  <c r="T854" i="14"/>
  <c r="V854" i="14"/>
  <c r="T855" i="14"/>
  <c r="V855" i="14"/>
  <c r="T856" i="14"/>
  <c r="V856" i="14"/>
  <c r="T857" i="14"/>
  <c r="V857" i="14"/>
  <c r="T858" i="14"/>
  <c r="V858" i="14"/>
  <c r="T859" i="14"/>
  <c r="V859" i="14"/>
  <c r="T860" i="14"/>
  <c r="V860" i="14"/>
  <c r="T861" i="14"/>
  <c r="V861" i="14"/>
  <c r="T862" i="14"/>
  <c r="V862" i="14"/>
  <c r="T863" i="14"/>
  <c r="V863" i="14"/>
  <c r="T864" i="14"/>
  <c r="V864" i="14"/>
  <c r="T865" i="14"/>
  <c r="V865" i="14"/>
  <c r="T866" i="14"/>
  <c r="V866" i="14"/>
  <c r="T867" i="14"/>
  <c r="V867" i="14"/>
  <c r="T868" i="14"/>
  <c r="V868" i="14"/>
  <c r="T869" i="14"/>
  <c r="V869" i="14"/>
  <c r="T870" i="14"/>
  <c r="V870" i="14"/>
  <c r="T871" i="14"/>
  <c r="V871" i="14"/>
  <c r="T872" i="14"/>
  <c r="V872" i="14"/>
  <c r="T873" i="14"/>
  <c r="V873" i="14"/>
  <c r="T874" i="14"/>
  <c r="V874" i="14"/>
  <c r="T875" i="14"/>
  <c r="V875" i="14"/>
  <c r="T876" i="14"/>
  <c r="V876" i="14"/>
  <c r="T877" i="14"/>
  <c r="V877" i="14"/>
  <c r="T878" i="14"/>
  <c r="V878" i="14"/>
  <c r="T879" i="14"/>
  <c r="V879" i="14"/>
  <c r="V880" i="14"/>
  <c r="T880" i="14"/>
  <c r="V881" i="14"/>
  <c r="T881" i="14"/>
  <c r="V882" i="14"/>
  <c r="T882" i="14"/>
  <c r="T883" i="14"/>
  <c r="V883" i="14"/>
  <c r="V884" i="14"/>
  <c r="T884" i="14"/>
  <c r="V885" i="14"/>
  <c r="T885" i="14"/>
  <c r="V886" i="14"/>
  <c r="T886" i="14"/>
  <c r="T887" i="14"/>
  <c r="V887" i="14"/>
  <c r="V888" i="14"/>
  <c r="T888" i="14"/>
  <c r="V889" i="14"/>
  <c r="T889" i="14"/>
  <c r="V890" i="14"/>
  <c r="T890" i="14"/>
  <c r="T891" i="14"/>
  <c r="V891" i="14"/>
  <c r="T892" i="14"/>
  <c r="V892" i="14"/>
  <c r="T893" i="14"/>
  <c r="V893" i="14"/>
  <c r="T894" i="14"/>
  <c r="V894" i="14"/>
  <c r="T895" i="14"/>
  <c r="V895" i="14"/>
  <c r="T896" i="14"/>
  <c r="V896" i="14"/>
  <c r="T897" i="14"/>
  <c r="V897" i="14"/>
  <c r="V898" i="14"/>
  <c r="T898" i="14"/>
  <c r="V899" i="14"/>
  <c r="T899" i="14"/>
  <c r="V900" i="14"/>
  <c r="T900" i="14"/>
  <c r="T901" i="14"/>
  <c r="V901" i="14"/>
  <c r="T902" i="14"/>
  <c r="V902" i="14"/>
  <c r="T903" i="14"/>
  <c r="V903" i="14"/>
  <c r="V904" i="14"/>
  <c r="T904" i="14"/>
  <c r="T905" i="14"/>
  <c r="V905" i="14"/>
  <c r="T906" i="14"/>
  <c r="V906" i="14"/>
  <c r="T907" i="14"/>
  <c r="V907" i="14"/>
  <c r="V908" i="14"/>
  <c r="T908" i="14"/>
  <c r="T909" i="14"/>
  <c r="V909" i="14"/>
  <c r="T910" i="14"/>
  <c r="V910" i="14"/>
  <c r="T911" i="14"/>
  <c r="V911" i="14"/>
  <c r="T912" i="14"/>
  <c r="V912" i="14"/>
  <c r="T913" i="14"/>
  <c r="V913" i="14"/>
  <c r="T914" i="14"/>
  <c r="V914" i="14"/>
  <c r="V915" i="14"/>
  <c r="T915" i="14"/>
  <c r="V916" i="14"/>
  <c r="T916" i="14"/>
  <c r="T917" i="14"/>
  <c r="V917" i="14"/>
  <c r="V918" i="14"/>
  <c r="T918" i="14"/>
  <c r="T919" i="14"/>
  <c r="V919" i="14"/>
  <c r="T920" i="14"/>
  <c r="V920" i="14"/>
  <c r="V921" i="14"/>
  <c r="T921" i="14"/>
  <c r="V922" i="14"/>
  <c r="T922" i="14"/>
  <c r="V1012" i="14"/>
  <c r="T1012" i="14"/>
  <c r="V1013" i="14"/>
  <c r="T1013" i="14"/>
  <c r="V1014" i="14"/>
  <c r="T1014" i="14"/>
  <c r="V1015" i="14"/>
  <c r="T1015" i="14"/>
  <c r="V1016" i="14"/>
  <c r="T1016" i="14"/>
  <c r="T1017" i="14"/>
  <c r="V1017" i="14"/>
  <c r="T1018" i="14"/>
  <c r="V1018" i="14"/>
  <c r="T1019" i="14"/>
  <c r="V1019" i="14"/>
  <c r="T1020" i="14"/>
  <c r="V1020" i="14"/>
  <c r="T1021" i="14"/>
  <c r="V1021" i="14"/>
  <c r="T1022" i="14"/>
  <c r="V1022" i="14"/>
  <c r="V1023" i="14"/>
  <c r="T1023" i="14"/>
  <c r="T1024" i="14"/>
  <c r="V1024" i="14"/>
  <c r="T1025" i="14"/>
  <c r="V1025" i="14"/>
  <c r="V1026" i="14"/>
  <c r="T1026" i="14"/>
  <c r="T1027" i="14"/>
  <c r="V1027" i="14"/>
  <c r="T1028" i="14"/>
  <c r="V1028" i="14"/>
  <c r="T1029" i="14"/>
  <c r="V1029" i="14"/>
  <c r="T1030" i="14"/>
  <c r="V1030" i="14"/>
  <c r="T1031" i="14"/>
  <c r="V1031" i="14"/>
  <c r="V1032" i="14"/>
  <c r="T1032" i="14"/>
  <c r="T1033" i="14"/>
  <c r="V1033" i="14"/>
  <c r="T1034" i="14"/>
  <c r="V1034" i="14"/>
  <c r="T1035" i="14"/>
  <c r="V1035" i="14"/>
  <c r="V1036" i="14"/>
  <c r="T1036" i="14"/>
  <c r="V1037" i="14"/>
  <c r="T1037" i="14"/>
  <c r="V1038" i="14"/>
  <c r="T1038" i="14"/>
  <c r="V1039" i="14"/>
  <c r="T1039" i="14"/>
  <c r="T1040" i="14"/>
  <c r="V1040" i="14"/>
  <c r="T1041" i="14"/>
  <c r="V1041" i="14"/>
  <c r="V1042" i="14"/>
  <c r="T1042" i="14"/>
  <c r="T1043" i="14"/>
  <c r="V1043" i="14"/>
  <c r="T1044" i="14"/>
  <c r="V1044" i="14"/>
  <c r="V1045" i="14"/>
  <c r="T1045" i="14"/>
  <c r="V1046" i="14"/>
  <c r="T1046" i="14"/>
  <c r="T1047" i="14"/>
  <c r="V1047" i="14"/>
  <c r="T1048" i="14"/>
  <c r="V1048" i="14"/>
  <c r="T1049" i="14"/>
  <c r="V1049" i="14"/>
  <c r="V1050" i="14"/>
  <c r="T1050" i="14"/>
  <c r="V1051" i="14"/>
  <c r="T1051" i="14"/>
  <c r="T1052" i="14"/>
  <c r="V1052" i="14"/>
  <c r="T1053" i="14"/>
  <c r="V1053" i="14"/>
  <c r="T1054" i="14"/>
  <c r="V1054" i="14"/>
  <c r="T1055" i="14"/>
  <c r="V1055" i="14"/>
  <c r="V1056" i="14"/>
  <c r="T1056" i="14"/>
  <c r="V1057" i="14"/>
  <c r="T1057" i="14"/>
  <c r="V1058" i="14"/>
  <c r="T1058" i="14"/>
  <c r="T1059" i="14"/>
  <c r="V1059" i="14"/>
  <c r="V1060" i="14"/>
  <c r="T1060" i="14"/>
  <c r="V1061" i="14"/>
  <c r="T1061" i="14"/>
  <c r="V1062" i="14"/>
  <c r="T1062" i="14"/>
  <c r="V1063" i="14"/>
  <c r="T1063" i="14"/>
  <c r="V1064" i="14"/>
  <c r="T1064" i="14"/>
  <c r="T1065" i="14"/>
  <c r="V1065" i="14"/>
  <c r="T1066" i="14"/>
  <c r="V1066" i="14"/>
  <c r="T1067" i="14"/>
  <c r="V1067" i="14"/>
  <c r="T1068" i="14"/>
  <c r="V1068" i="14"/>
  <c r="T1069" i="14"/>
  <c r="V1069" i="14"/>
  <c r="T1070" i="14"/>
  <c r="V1070" i="14"/>
  <c r="T1071" i="14"/>
  <c r="V1071" i="14"/>
  <c r="T1072" i="14"/>
  <c r="V1072" i="14"/>
  <c r="T1073" i="14"/>
  <c r="V1073" i="14"/>
  <c r="T1074" i="14"/>
  <c r="V1074" i="14"/>
  <c r="T1075" i="14"/>
  <c r="V1075" i="14"/>
  <c r="T1076" i="14"/>
  <c r="V1076" i="14"/>
  <c r="T1077" i="14"/>
  <c r="V1077" i="14"/>
  <c r="T1078" i="14"/>
  <c r="V1078" i="14"/>
  <c r="T1079" i="14"/>
  <c r="V1079" i="14"/>
  <c r="T1080" i="14"/>
  <c r="V1080" i="14"/>
  <c r="T1081" i="14"/>
  <c r="V1081" i="14"/>
  <c r="T1082" i="14"/>
  <c r="V1082" i="14"/>
  <c r="T1083" i="14"/>
  <c r="V1083" i="14"/>
  <c r="V1084" i="14"/>
  <c r="T1084" i="14"/>
  <c r="T1085" i="14"/>
  <c r="V1085" i="14"/>
  <c r="V1086" i="14"/>
  <c r="T1086" i="14"/>
  <c r="T1087" i="14"/>
  <c r="V1087" i="14"/>
  <c r="T1088" i="14"/>
  <c r="V1088" i="14"/>
  <c r="V1089" i="14"/>
  <c r="T1089" i="14"/>
  <c r="V1090" i="14"/>
  <c r="T1090" i="14"/>
  <c r="V1091" i="14"/>
  <c r="T1091" i="14"/>
  <c r="V1092" i="14"/>
  <c r="T1092" i="14"/>
  <c r="V1093" i="14"/>
  <c r="T1093" i="14"/>
  <c r="V1094" i="14"/>
  <c r="T1094" i="14"/>
  <c r="V1095" i="14"/>
  <c r="T1095" i="14"/>
  <c r="V1096" i="14"/>
  <c r="T1096" i="14"/>
  <c r="V1097" i="14"/>
  <c r="T1097" i="14"/>
  <c r="V1098" i="14"/>
  <c r="T1098" i="14"/>
  <c r="V1099" i="14"/>
  <c r="T1099" i="14"/>
  <c r="V1206" i="14"/>
  <c r="T1206" i="14"/>
  <c r="V1207" i="14"/>
  <c r="T1207" i="14"/>
  <c r="T1208" i="14"/>
  <c r="V1208" i="14"/>
  <c r="T1209" i="14"/>
  <c r="V1209" i="14"/>
  <c r="T1210" i="14"/>
  <c r="V1210" i="14"/>
  <c r="V1211" i="14"/>
  <c r="T1211" i="14"/>
  <c r="T1212" i="14"/>
  <c r="V1212" i="14"/>
  <c r="T1213" i="14"/>
  <c r="V1213" i="14"/>
  <c r="V1214" i="14"/>
  <c r="T1214" i="14"/>
  <c r="T1215" i="14"/>
  <c r="V1215" i="14"/>
  <c r="T1216" i="14"/>
  <c r="V1216" i="14"/>
  <c r="V1217" i="14"/>
  <c r="T1217" i="14"/>
  <c r="V1218" i="14"/>
  <c r="T1218" i="14"/>
  <c r="V1219" i="14"/>
  <c r="T1219" i="14"/>
  <c r="T1220" i="14"/>
  <c r="V1220" i="14"/>
  <c r="T1221" i="14"/>
  <c r="V1221" i="14"/>
  <c r="T1222" i="14"/>
  <c r="V1222" i="14"/>
  <c r="T1223" i="14"/>
  <c r="V1223" i="14"/>
  <c r="T1224" i="14"/>
  <c r="V1224" i="14"/>
  <c r="V1225" i="14"/>
  <c r="T1225" i="14"/>
  <c r="T1226" i="14"/>
  <c r="V1226" i="14"/>
  <c r="T1227" i="14"/>
  <c r="V1227" i="14"/>
  <c r="V1228" i="14"/>
  <c r="T1228" i="14"/>
  <c r="V1229" i="14"/>
  <c r="T1229" i="14"/>
  <c r="V1230" i="14"/>
  <c r="T1230" i="14"/>
  <c r="T1231" i="14"/>
  <c r="V1231" i="14"/>
  <c r="O62" i="14"/>
  <c r="T62" i="14"/>
  <c r="U62" i="14"/>
  <c r="V62" i="14"/>
  <c r="T341" i="14"/>
  <c r="U341" i="14"/>
  <c r="V341" i="14"/>
  <c r="O341" i="14"/>
  <c r="O364" i="14"/>
  <c r="T364" i="14"/>
  <c r="O384" i="14"/>
  <c r="V384" i="14"/>
  <c r="U384" i="14"/>
  <c r="T384" i="14"/>
  <c r="O631" i="14"/>
  <c r="T631" i="14"/>
  <c r="O821" i="14"/>
  <c r="T821" i="14"/>
  <c r="U996" i="14"/>
  <c r="O996" i="14"/>
  <c r="T996" i="14"/>
  <c r="V996" i="14"/>
  <c r="T997" i="14"/>
  <c r="U997" i="14"/>
  <c r="O997" i="14"/>
  <c r="V997" i="14"/>
  <c r="O998" i="14"/>
  <c r="U998" i="14"/>
  <c r="V998" i="14"/>
  <c r="T998" i="14"/>
  <c r="V999" i="14"/>
  <c r="U999" i="14"/>
  <c r="T999" i="14"/>
  <c r="O999" i="14"/>
  <c r="T1000" i="14"/>
  <c r="O1000" i="14"/>
  <c r="U1000" i="14"/>
  <c r="V1000" i="14"/>
  <c r="V1001" i="14"/>
  <c r="O1001" i="14"/>
  <c r="U1001" i="14"/>
  <c r="T1001" i="14"/>
  <c r="V1002" i="14"/>
  <c r="T1002" i="14"/>
  <c r="U1002" i="14"/>
  <c r="O1002" i="14"/>
  <c r="O1003" i="14"/>
  <c r="V1003" i="14"/>
  <c r="U1003" i="14"/>
  <c r="T1003" i="14"/>
  <c r="T1004" i="14"/>
  <c r="U1004" i="14"/>
  <c r="V1004" i="14"/>
  <c r="O1004" i="14"/>
  <c r="V1005" i="14"/>
  <c r="U1005" i="14"/>
  <c r="T1005" i="14"/>
  <c r="O1005" i="14"/>
  <c r="V1006" i="14"/>
  <c r="O1006" i="14"/>
  <c r="T1006" i="14"/>
  <c r="U1006" i="14"/>
  <c r="V1007" i="14"/>
  <c r="O1007" i="14"/>
  <c r="U1007" i="14"/>
  <c r="T1007" i="14"/>
  <c r="V1008" i="14"/>
  <c r="T1008" i="14"/>
  <c r="O1008" i="14"/>
  <c r="U1008" i="14"/>
  <c r="V1009" i="14"/>
  <c r="T1009" i="14"/>
  <c r="O1009" i="14"/>
  <c r="U1009" i="14"/>
  <c r="O1010" i="14"/>
  <c r="T1010" i="14"/>
  <c r="U1010" i="14"/>
  <c r="V1010" i="14"/>
  <c r="T1011" i="14"/>
  <c r="O1011" i="14"/>
  <c r="U1141" i="14"/>
  <c r="T1141" i="14"/>
  <c r="V1141" i="14"/>
  <c r="O1141" i="14"/>
  <c r="O1142" i="14"/>
  <c r="U1142" i="14"/>
  <c r="V1142" i="14"/>
  <c r="T1142" i="14"/>
  <c r="O1143" i="14"/>
  <c r="T1143" i="14"/>
  <c r="V1143" i="14"/>
  <c r="U1143" i="14"/>
  <c r="V1144" i="14"/>
  <c r="O1144" i="14"/>
  <c r="U1144" i="14"/>
  <c r="T1144" i="14"/>
  <c r="U1145" i="14"/>
  <c r="V1145" i="14"/>
  <c r="O1145" i="14"/>
  <c r="T1145" i="14"/>
  <c r="O1146" i="14"/>
  <c r="U1146" i="14"/>
  <c r="V1146" i="14"/>
  <c r="T1146" i="14"/>
  <c r="O1147" i="14"/>
  <c r="T1147" i="14"/>
  <c r="V1147" i="14"/>
  <c r="U1147" i="14"/>
  <c r="T1148" i="14"/>
  <c r="U1148" i="14"/>
  <c r="V1148" i="14"/>
  <c r="O1148" i="14"/>
  <c r="O1149" i="14"/>
  <c r="T1149" i="14"/>
  <c r="U1149" i="14"/>
  <c r="V1149" i="14"/>
  <c r="T1150" i="14"/>
  <c r="U1150" i="14"/>
  <c r="V1150" i="14"/>
  <c r="O1150" i="14"/>
  <c r="O1151" i="14"/>
  <c r="V1151" i="14"/>
  <c r="T1151" i="14"/>
  <c r="U1151" i="14"/>
  <c r="O1152" i="14"/>
  <c r="T1152" i="14"/>
  <c r="V1152" i="14"/>
  <c r="U1152" i="14"/>
  <c r="T1153" i="14"/>
  <c r="U1153" i="14"/>
  <c r="V1153" i="14"/>
  <c r="O1153" i="14"/>
  <c r="O1154" i="14"/>
  <c r="V1154" i="14"/>
  <c r="U1154" i="14"/>
  <c r="T1154" i="14"/>
  <c r="T1155" i="14"/>
  <c r="U1155" i="14"/>
  <c r="V1155" i="14"/>
  <c r="O1155" i="14"/>
  <c r="O1156" i="14"/>
  <c r="U1156" i="14"/>
  <c r="V1156" i="14"/>
  <c r="T1156" i="14"/>
  <c r="O1157" i="14"/>
  <c r="V1157" i="14"/>
  <c r="T1157" i="14"/>
  <c r="U1157" i="14"/>
  <c r="U1158" i="14"/>
  <c r="O1158" i="14"/>
  <c r="V1158" i="14"/>
  <c r="T1158" i="14"/>
  <c r="T1159" i="14"/>
  <c r="O1159" i="14"/>
  <c r="V1159" i="14"/>
  <c r="U1159" i="14"/>
  <c r="V1160" i="14"/>
  <c r="U1160" i="14"/>
  <c r="T1160" i="14"/>
  <c r="O1160" i="14"/>
  <c r="V1161" i="14"/>
  <c r="O1161" i="14"/>
  <c r="U1161" i="14"/>
  <c r="T1161" i="14"/>
  <c r="V1162" i="14"/>
  <c r="T1162" i="14"/>
  <c r="O1162" i="14"/>
  <c r="U1162" i="14"/>
  <c r="O1163" i="14"/>
  <c r="V1163" i="14"/>
  <c r="U1163" i="14"/>
  <c r="T1163" i="14"/>
  <c r="T1164" i="14"/>
  <c r="V1164" i="14"/>
  <c r="U1164" i="14"/>
  <c r="O1164" i="14"/>
  <c r="V1165" i="14"/>
  <c r="T1165" i="14"/>
  <c r="O1165" i="14"/>
  <c r="U1165" i="14"/>
  <c r="T1166" i="14"/>
  <c r="O1166" i="14"/>
  <c r="V1166" i="14"/>
  <c r="U1166" i="14"/>
  <c r="T1167" i="14"/>
  <c r="V1167" i="14"/>
  <c r="O1167" i="14"/>
  <c r="U1167" i="14"/>
  <c r="V1168" i="14"/>
  <c r="T1168" i="14"/>
  <c r="U1168" i="14"/>
  <c r="O1168" i="14"/>
  <c r="O1169" i="14"/>
  <c r="U1169" i="14"/>
  <c r="V1169" i="14"/>
  <c r="T1169" i="14"/>
  <c r="O1170" i="14"/>
  <c r="T1170" i="14"/>
  <c r="U1170" i="14"/>
  <c r="V1170" i="14"/>
  <c r="O1171" i="14"/>
  <c r="V1171" i="14"/>
  <c r="U1171" i="14"/>
  <c r="T1171" i="14"/>
  <c r="T1172" i="14"/>
  <c r="O1172" i="14"/>
  <c r="U1172" i="14"/>
  <c r="V1172" i="14"/>
  <c r="V1173" i="14"/>
  <c r="T1173" i="14"/>
  <c r="O1173" i="14"/>
  <c r="U1173" i="14"/>
  <c r="T1174" i="14"/>
  <c r="V1174" i="14"/>
  <c r="U1174" i="14"/>
  <c r="O1174" i="14"/>
  <c r="U1175" i="14"/>
  <c r="T1175" i="14"/>
  <c r="V1175" i="14"/>
  <c r="O1175" i="14"/>
  <c r="O1176" i="14"/>
  <c r="V1176" i="14"/>
  <c r="U1176" i="14"/>
  <c r="T1176" i="14"/>
  <c r="V1177" i="14"/>
  <c r="O1177" i="14"/>
  <c r="T1177" i="14"/>
  <c r="U1177" i="14"/>
  <c r="T1178" i="14"/>
  <c r="U1178" i="14"/>
  <c r="O1178" i="14"/>
  <c r="V1178" i="14"/>
  <c r="T1179" i="14"/>
  <c r="U1179" i="14"/>
  <c r="V1179" i="14"/>
  <c r="O1179" i="14"/>
  <c r="U1180" i="14"/>
  <c r="O1180" i="14"/>
  <c r="V1180" i="14"/>
  <c r="T1180" i="14"/>
  <c r="V1181" i="14"/>
  <c r="T1181" i="14"/>
  <c r="O1181" i="14"/>
  <c r="U1181" i="14"/>
  <c r="U1182" i="14"/>
  <c r="O1182" i="14"/>
  <c r="T1182" i="14"/>
  <c r="V1182" i="14"/>
  <c r="V1183" i="14"/>
  <c r="T1183" i="14"/>
  <c r="U1183" i="14"/>
  <c r="O1183" i="14"/>
  <c r="O1184" i="14"/>
  <c r="U1184" i="14"/>
  <c r="V1184" i="14"/>
  <c r="T1184" i="14"/>
  <c r="O1185" i="14"/>
  <c r="V1185" i="14"/>
  <c r="U1185" i="14"/>
  <c r="T1185" i="14"/>
  <c r="V1186" i="14"/>
  <c r="T1186" i="14"/>
  <c r="O1186" i="14"/>
  <c r="U1186" i="14"/>
  <c r="V1187" i="14"/>
  <c r="O1187" i="14"/>
  <c r="U1187" i="14"/>
  <c r="T1187" i="14"/>
  <c r="U1188" i="14"/>
  <c r="T1188" i="14"/>
  <c r="V1188" i="14"/>
  <c r="O1188" i="14"/>
  <c r="V1189" i="14"/>
  <c r="O1189" i="14"/>
  <c r="T1189" i="14"/>
  <c r="U1189" i="14"/>
  <c r="V1190" i="14"/>
  <c r="O1190" i="14"/>
  <c r="T1190" i="14"/>
  <c r="U1190" i="14"/>
  <c r="U1191" i="14"/>
  <c r="V1191" i="14"/>
  <c r="T1191" i="14"/>
  <c r="O1191" i="14"/>
  <c r="O1192" i="14"/>
  <c r="V1192" i="14"/>
  <c r="U1192" i="14"/>
  <c r="T1192" i="14"/>
  <c r="O1193" i="14"/>
  <c r="U1193" i="14"/>
  <c r="T1193" i="14"/>
  <c r="V1193" i="14"/>
  <c r="V1194" i="14"/>
  <c r="O1194" i="14"/>
  <c r="T1194" i="14"/>
  <c r="U1194" i="14"/>
  <c r="U1195" i="14"/>
  <c r="T1195" i="14"/>
  <c r="V1195" i="14"/>
  <c r="O1195" i="14"/>
  <c r="T1196" i="14"/>
  <c r="U1196" i="14"/>
  <c r="V1196" i="14"/>
  <c r="O1196" i="14"/>
  <c r="O1197" i="14"/>
  <c r="U1197" i="14"/>
  <c r="V1197" i="14"/>
  <c r="T1197" i="14"/>
  <c r="U1198" i="14"/>
  <c r="V1198" i="14"/>
  <c r="O1198" i="14"/>
  <c r="T1198" i="14"/>
  <c r="O1199" i="14"/>
  <c r="V1199" i="14"/>
  <c r="T1199" i="14"/>
  <c r="U1199" i="14"/>
  <c r="O1200" i="14"/>
  <c r="T1200" i="14"/>
  <c r="U1200" i="14"/>
  <c r="V1200" i="14"/>
  <c r="T1201" i="14"/>
  <c r="O1201" i="14"/>
  <c r="S39" i="14"/>
  <c r="S25" i="14"/>
  <c r="S11" i="14"/>
  <c r="U16" i="14"/>
  <c r="S47" i="14"/>
  <c r="S20" i="14"/>
  <c r="S57" i="14"/>
  <c r="S37" i="14"/>
  <c r="U35" i="14"/>
  <c r="S23" i="14"/>
  <c r="S45" i="14"/>
  <c r="U5" i="14"/>
  <c r="S52" i="14"/>
  <c r="S12" i="14"/>
  <c r="S16" i="14"/>
  <c r="S61" i="14"/>
  <c r="S54" i="14"/>
  <c r="S33" i="14"/>
  <c r="U33" i="14"/>
  <c r="S41" i="14"/>
  <c r="S27" i="14"/>
  <c r="M26" i="6"/>
  <c r="J9" i="6"/>
  <c r="F12" i="8" s="1"/>
  <c r="L48" i="6"/>
  <c r="J47" i="6"/>
  <c r="M43" i="6"/>
  <c r="L15" i="6"/>
  <c r="L11" i="6"/>
  <c r="M10" i="6"/>
  <c r="J4" i="6"/>
  <c r="F17" i="8" s="1"/>
  <c r="J44" i="6"/>
  <c r="F5" i="8" s="1"/>
  <c r="L40" i="6"/>
  <c r="J3" i="6"/>
  <c r="F6" i="8" s="1"/>
  <c r="J48" i="6"/>
  <c r="L49" i="6"/>
  <c r="J45" i="6"/>
  <c r="F20" i="8" s="1"/>
  <c r="K7" i="6"/>
  <c r="M42" i="6"/>
  <c r="L36" i="6"/>
  <c r="L29" i="6"/>
  <c r="K28" i="6"/>
  <c r="G6" i="8" s="1"/>
  <c r="AA6" i="8" s="1"/>
  <c r="M24" i="6"/>
  <c r="L24" i="6"/>
  <c r="K24" i="6"/>
  <c r="J24" i="6"/>
  <c r="M23" i="6"/>
  <c r="L23" i="6"/>
  <c r="K23" i="6"/>
  <c r="J23" i="6"/>
  <c r="M22" i="6"/>
  <c r="L22" i="6"/>
  <c r="K22" i="6"/>
  <c r="G7" i="8" s="1"/>
  <c r="AA7" i="8" s="1"/>
  <c r="J22" i="6"/>
  <c r="F7" i="8" s="1"/>
  <c r="M21" i="6"/>
  <c r="L21" i="6"/>
  <c r="K21" i="6"/>
  <c r="G8" i="8" s="1"/>
  <c r="AA8" i="8" s="1"/>
  <c r="J21" i="6"/>
  <c r="F8" i="8" s="1"/>
  <c r="M20" i="6"/>
  <c r="L20" i="6"/>
  <c r="K20" i="6"/>
  <c r="G11" i="8" s="1"/>
  <c r="AA11" i="8" s="1"/>
  <c r="J20" i="6"/>
  <c r="F11" i="8" s="1"/>
  <c r="M19" i="6"/>
  <c r="L19" i="6"/>
  <c r="K19" i="6"/>
  <c r="G13" i="8" s="1"/>
  <c r="AA13" i="8" s="1"/>
  <c r="J19" i="6"/>
  <c r="F13" i="8" s="1"/>
  <c r="M18" i="6"/>
  <c r="L18" i="6"/>
  <c r="K18" i="6"/>
  <c r="J18" i="6"/>
  <c r="F14" i="8" s="1"/>
  <c r="O75" i="7"/>
  <c r="O37" i="7"/>
  <c r="O34" i="7"/>
  <c r="O28" i="7"/>
  <c r="O73" i="7"/>
  <c r="O71" i="7"/>
  <c r="O70" i="7"/>
  <c r="O69" i="7"/>
  <c r="O67" i="7"/>
  <c r="O66" i="7"/>
  <c r="O63" i="7"/>
  <c r="O61" i="7"/>
  <c r="O40" i="7"/>
  <c r="O30" i="7"/>
  <c r="J19" i="8"/>
  <c r="O58" i="7"/>
  <c r="O55" i="7"/>
  <c r="O53" i="7"/>
  <c r="O43" i="7"/>
  <c r="O42" i="7"/>
  <c r="O36" i="7"/>
  <c r="J20" i="8"/>
  <c r="J13" i="8"/>
  <c r="J12" i="8"/>
  <c r="J10" i="8"/>
  <c r="O52" i="7"/>
  <c r="O50" i="7"/>
  <c r="O49" i="7"/>
  <c r="O48" i="7"/>
  <c r="O38" i="7"/>
  <c r="O32" i="7"/>
  <c r="O27" i="7"/>
  <c r="J18" i="8"/>
  <c r="O47" i="7"/>
  <c r="O46" i="7"/>
  <c r="O45" i="7"/>
  <c r="O44" i="7"/>
  <c r="O35" i="7"/>
  <c r="O31" i="7"/>
  <c r="O25" i="7"/>
  <c r="J17" i="8"/>
  <c r="J6" i="8"/>
  <c r="J3" i="8"/>
  <c r="L7" i="8"/>
  <c r="J7" i="8"/>
  <c r="M7" i="8"/>
  <c r="K7" i="8"/>
  <c r="O23" i="7"/>
  <c r="O22" i="7"/>
  <c r="L4" i="8"/>
  <c r="J4" i="8"/>
  <c r="M4" i="8"/>
  <c r="K4" i="8"/>
  <c r="O20" i="7"/>
  <c r="J14" i="8"/>
  <c r="J8" i="8"/>
  <c r="X3" i="7"/>
  <c r="L2" i="8"/>
  <c r="J2" i="8"/>
  <c r="M2" i="8"/>
  <c r="K2" i="8"/>
  <c r="O72" i="7"/>
  <c r="O54" i="7"/>
  <c r="O51" i="7"/>
  <c r="J11" i="8"/>
  <c r="J5" i="8"/>
  <c r="O78" i="7"/>
  <c r="O77" i="7"/>
  <c r="O76" i="7"/>
  <c r="O74" i="7"/>
  <c r="S73" i="7"/>
  <c r="O68" i="7"/>
  <c r="O65" i="7"/>
  <c r="O64" i="7"/>
  <c r="O62" i="7"/>
  <c r="O60" i="7"/>
  <c r="O57" i="7"/>
  <c r="O56" i="7"/>
  <c r="O41" i="7"/>
  <c r="O33" i="7"/>
  <c r="O29" i="7"/>
  <c r="O50" i="14"/>
  <c r="O49" i="14"/>
  <c r="O44" i="14"/>
  <c r="O29" i="14"/>
  <c r="O27" i="14"/>
  <c r="O26" i="14"/>
  <c r="O13" i="14"/>
  <c r="O11" i="14"/>
  <c r="O5" i="14"/>
  <c r="O56" i="14"/>
  <c r="O55" i="14"/>
  <c r="O40" i="14"/>
  <c r="O36" i="14"/>
  <c r="O19" i="14"/>
  <c r="O18" i="14"/>
  <c r="O59" i="14"/>
  <c r="O57" i="14"/>
  <c r="O52" i="14"/>
  <c r="O48" i="14"/>
  <c r="O46" i="14"/>
  <c r="S42" i="14"/>
  <c r="O41" i="14"/>
  <c r="O34" i="14"/>
  <c r="O30" i="14"/>
  <c r="O28" i="14"/>
  <c r="O25" i="14"/>
  <c r="O15" i="14"/>
  <c r="O61" i="14"/>
  <c r="O45" i="14"/>
  <c r="O43" i="14"/>
  <c r="O24" i="14"/>
  <c r="O21" i="14"/>
  <c r="O20" i="14"/>
  <c r="O9" i="14"/>
  <c r="O6" i="14"/>
  <c r="O37" i="14"/>
  <c r="O33" i="14"/>
  <c r="O16" i="14"/>
  <c r="O12" i="14"/>
  <c r="O60" i="14"/>
  <c r="O58" i="14"/>
  <c r="O54" i="14"/>
  <c r="O47" i="14"/>
  <c r="O42" i="14"/>
  <c r="O35" i="14"/>
  <c r="O32" i="14"/>
  <c r="O22" i="14"/>
  <c r="O17" i="14"/>
  <c r="O7" i="14"/>
  <c r="O53" i="14"/>
  <c r="O51" i="14"/>
  <c r="S48" i="14"/>
  <c r="O39" i="14"/>
  <c r="O38" i="14"/>
  <c r="O31" i="14"/>
  <c r="S29" i="14"/>
  <c r="S26" i="14"/>
  <c r="O23" i="14"/>
  <c r="O14" i="14"/>
  <c r="O10" i="14"/>
  <c r="O8" i="14"/>
  <c r="F19" i="1"/>
  <c r="E19" i="1"/>
  <c r="T61" i="14"/>
  <c r="V61" i="14"/>
  <c r="T60" i="14"/>
  <c r="V60" i="14"/>
  <c r="V59" i="14"/>
  <c r="T59" i="14"/>
  <c r="V58" i="14"/>
  <c r="T58" i="14"/>
  <c r="T57" i="14"/>
  <c r="V57" i="14"/>
  <c r="V56" i="14"/>
  <c r="T56" i="14"/>
  <c r="T55" i="14"/>
  <c r="V55" i="14"/>
  <c r="V54" i="14"/>
  <c r="T54" i="14"/>
  <c r="V53" i="14"/>
  <c r="T53" i="14"/>
  <c r="T52" i="14"/>
  <c r="V52" i="14"/>
  <c r="T51" i="14"/>
  <c r="V51" i="14"/>
  <c r="V50" i="14"/>
  <c r="T50" i="14"/>
  <c r="V49" i="14"/>
  <c r="T49" i="14"/>
  <c r="T48" i="14"/>
  <c r="V48" i="14"/>
  <c r="V47" i="14"/>
  <c r="T47" i="14"/>
  <c r="T46" i="14"/>
  <c r="V46" i="14"/>
  <c r="T45" i="14"/>
  <c r="V45" i="14"/>
  <c r="V44" i="14"/>
  <c r="T44" i="14"/>
  <c r="V43" i="14"/>
  <c r="T43" i="14"/>
  <c r="V42" i="14"/>
  <c r="T42" i="14"/>
  <c r="T41" i="14"/>
  <c r="V41" i="14"/>
  <c r="V40" i="14"/>
  <c r="T40" i="14"/>
  <c r="T39" i="14"/>
  <c r="V39" i="14"/>
  <c r="T38" i="14"/>
  <c r="V38" i="14"/>
  <c r="T37" i="14"/>
  <c r="V37" i="14"/>
  <c r="T36" i="14"/>
  <c r="V36" i="14"/>
  <c r="V35" i="14"/>
  <c r="T35" i="14"/>
  <c r="T34" i="14"/>
  <c r="V34" i="14"/>
  <c r="T33" i="14"/>
  <c r="V33" i="14"/>
  <c r="V32" i="14"/>
  <c r="T32" i="14"/>
  <c r="T31" i="14"/>
  <c r="V31" i="14"/>
  <c r="V30" i="14"/>
  <c r="T30" i="14"/>
  <c r="V29" i="14"/>
  <c r="T29" i="14"/>
  <c r="T28" i="14"/>
  <c r="V28" i="14"/>
  <c r="V27" i="14"/>
  <c r="T27" i="14"/>
  <c r="T26" i="14"/>
  <c r="V26" i="14"/>
  <c r="T25" i="14"/>
  <c r="V25" i="14"/>
  <c r="T24" i="14"/>
  <c r="V24" i="14"/>
  <c r="V23" i="14"/>
  <c r="T23" i="14"/>
  <c r="V22" i="14"/>
  <c r="T22" i="14"/>
  <c r="V21" i="14"/>
  <c r="T21" i="14"/>
  <c r="V20" i="14"/>
  <c r="T20" i="14"/>
  <c r="T19" i="14"/>
  <c r="V19" i="14"/>
  <c r="T18" i="14"/>
  <c r="V18" i="14"/>
  <c r="T17" i="14"/>
  <c r="V17" i="14"/>
  <c r="V16" i="14"/>
  <c r="T16" i="14"/>
  <c r="V15" i="14"/>
  <c r="T15" i="14"/>
  <c r="V14" i="14"/>
  <c r="T14" i="14"/>
  <c r="V13" i="14"/>
  <c r="T13" i="14"/>
  <c r="V12" i="14"/>
  <c r="T12" i="14"/>
  <c r="V11" i="14"/>
  <c r="T11" i="14"/>
  <c r="T10" i="14"/>
  <c r="V10" i="14"/>
  <c r="V9" i="14"/>
  <c r="T9" i="14"/>
  <c r="T8" i="14"/>
  <c r="V8" i="14"/>
  <c r="V7" i="14"/>
  <c r="T7" i="14"/>
  <c r="V6" i="14"/>
  <c r="T6" i="14"/>
  <c r="T5" i="14"/>
  <c r="V5" i="14"/>
  <c r="S4" i="14"/>
  <c r="O4" i="14"/>
  <c r="U4" i="14"/>
  <c r="V4" i="14"/>
  <c r="T4" i="14"/>
  <c r="S3" i="14"/>
  <c r="O3" i="14"/>
  <c r="U3" i="14"/>
  <c r="V3" i="14"/>
  <c r="T3" i="14"/>
  <c r="S2" i="14"/>
  <c r="O2" i="14"/>
  <c r="U2" i="14"/>
  <c r="T2" i="14"/>
  <c r="V2" i="14"/>
  <c r="E61" i="9"/>
  <c r="H61" i="9"/>
  <c r="H60" i="9"/>
  <c r="E60" i="9"/>
  <c r="E59" i="9"/>
  <c r="H59" i="9"/>
  <c r="E58" i="9"/>
  <c r="H58" i="9"/>
  <c r="E57" i="9"/>
  <c r="H57" i="9"/>
  <c r="E56" i="9"/>
  <c r="H56" i="9"/>
  <c r="E55" i="9"/>
  <c r="H55" i="9"/>
  <c r="E54" i="9"/>
  <c r="H54" i="9"/>
  <c r="E53" i="9"/>
  <c r="H53" i="9"/>
  <c r="E52" i="9"/>
  <c r="H52" i="9"/>
  <c r="H51" i="9"/>
  <c r="E51" i="9"/>
  <c r="E50" i="9"/>
  <c r="H50" i="9"/>
  <c r="E49" i="9"/>
  <c r="H49" i="9"/>
  <c r="H48" i="9"/>
  <c r="E48" i="9"/>
  <c r="H47" i="9"/>
  <c r="E47" i="9"/>
  <c r="H46" i="9"/>
  <c r="E46" i="9"/>
  <c r="E45" i="9"/>
  <c r="H45" i="9"/>
  <c r="E44" i="9"/>
  <c r="H44" i="9"/>
  <c r="E43" i="9"/>
  <c r="H43" i="9"/>
  <c r="E42" i="9"/>
  <c r="H42" i="9"/>
  <c r="H41" i="9"/>
  <c r="E41" i="9"/>
  <c r="H40" i="9"/>
  <c r="E40" i="9"/>
  <c r="H39" i="9"/>
  <c r="E39" i="9"/>
  <c r="H38" i="9"/>
  <c r="E38" i="9"/>
  <c r="E37" i="9"/>
  <c r="H37" i="9"/>
  <c r="H36" i="9"/>
  <c r="E36" i="9"/>
  <c r="E35" i="9"/>
  <c r="H35" i="9"/>
  <c r="E34" i="9"/>
  <c r="H34" i="9"/>
  <c r="E33" i="9"/>
  <c r="H33" i="9"/>
  <c r="E31" i="9"/>
  <c r="H31" i="9"/>
  <c r="E30" i="9"/>
  <c r="H30" i="9"/>
  <c r="E29" i="9"/>
  <c r="H29" i="9"/>
  <c r="H28" i="9"/>
  <c r="E28" i="9"/>
  <c r="H27" i="9"/>
  <c r="E27" i="9"/>
  <c r="H26" i="9"/>
  <c r="E26" i="9"/>
  <c r="H25" i="9"/>
  <c r="E25" i="9"/>
  <c r="H24" i="9"/>
  <c r="E24" i="9"/>
  <c r="E23" i="9"/>
  <c r="H23" i="9"/>
  <c r="H22" i="9"/>
  <c r="E22" i="9"/>
  <c r="H21" i="9"/>
  <c r="E21" i="9"/>
  <c r="E20" i="9"/>
  <c r="H20" i="9"/>
  <c r="E19" i="9"/>
  <c r="H19" i="9"/>
  <c r="E18" i="9"/>
  <c r="H18" i="9"/>
  <c r="H16" i="9"/>
  <c r="E16" i="9"/>
  <c r="E15" i="9"/>
  <c r="H15" i="9"/>
  <c r="H14" i="9"/>
  <c r="E14" i="9"/>
  <c r="H13" i="9"/>
  <c r="E13" i="9"/>
  <c r="H12" i="9"/>
  <c r="E12" i="9"/>
  <c r="E11" i="9"/>
  <c r="H11" i="9"/>
  <c r="E10" i="9"/>
  <c r="H10" i="9"/>
  <c r="E9" i="9"/>
  <c r="H9" i="9"/>
  <c r="E8" i="9"/>
  <c r="H8" i="9"/>
  <c r="E7" i="9"/>
  <c r="H7" i="9"/>
  <c r="H6" i="9"/>
  <c r="E6" i="9"/>
  <c r="E5" i="9"/>
  <c r="H5" i="9"/>
  <c r="E4" i="9"/>
  <c r="H4" i="9"/>
  <c r="E3" i="9"/>
  <c r="H3" i="9"/>
  <c r="Y78" i="7"/>
  <c r="W78" i="7"/>
  <c r="W77" i="7"/>
  <c r="Y77" i="7"/>
  <c r="Y76" i="7"/>
  <c r="W76" i="7"/>
  <c r="Y75" i="7"/>
  <c r="W75" i="7"/>
  <c r="W74" i="7"/>
  <c r="Y74" i="7"/>
  <c r="W73" i="7"/>
  <c r="Y73" i="7"/>
  <c r="W72" i="7"/>
  <c r="Y72" i="7"/>
  <c r="Y71" i="7"/>
  <c r="W71" i="7"/>
  <c r="Y70" i="7"/>
  <c r="W70" i="7"/>
  <c r="W69" i="7"/>
  <c r="Y69" i="7"/>
  <c r="W68" i="7"/>
  <c r="Y68" i="7"/>
  <c r="W67" i="7"/>
  <c r="Y67" i="7"/>
  <c r="W66" i="7"/>
  <c r="Y66" i="7"/>
  <c r="Y65" i="7"/>
  <c r="W65" i="7"/>
  <c r="Y64" i="7"/>
  <c r="W64" i="7"/>
  <c r="Y63" i="7"/>
  <c r="W63" i="7"/>
  <c r="Y62" i="7"/>
  <c r="W62" i="7"/>
  <c r="Y61" i="7"/>
  <c r="W61" i="7"/>
  <c r="W60" i="7"/>
  <c r="Y60" i="7"/>
  <c r="V59" i="7"/>
  <c r="S59" i="7"/>
  <c r="O59" i="7"/>
  <c r="W59" i="7"/>
  <c r="Y59" i="7"/>
  <c r="Y58" i="7"/>
  <c r="W58" i="7"/>
  <c r="Y57" i="7"/>
  <c r="W57" i="7"/>
  <c r="W56" i="7"/>
  <c r="Y56" i="7"/>
  <c r="Y55" i="7"/>
  <c r="W55" i="7"/>
  <c r="W54" i="7"/>
  <c r="Y54" i="7"/>
  <c r="W53" i="7"/>
  <c r="Y53" i="7"/>
  <c r="W52" i="7"/>
  <c r="Y52" i="7"/>
  <c r="Y51" i="7"/>
  <c r="W51" i="7"/>
  <c r="W50" i="7"/>
  <c r="Y50" i="7"/>
  <c r="W49" i="7"/>
  <c r="Y49" i="7"/>
  <c r="W48" i="7"/>
  <c r="Y48" i="7"/>
  <c r="Y47" i="7"/>
  <c r="W47" i="7"/>
  <c r="Y46" i="7"/>
  <c r="W46" i="7"/>
  <c r="Y45" i="7"/>
  <c r="W45" i="7"/>
  <c r="Y44" i="7"/>
  <c r="W44" i="7"/>
  <c r="W43" i="7"/>
  <c r="Y43" i="7"/>
  <c r="W42" i="7"/>
  <c r="Y42" i="7"/>
  <c r="Y41" i="7"/>
  <c r="W41" i="7"/>
  <c r="W40" i="7"/>
  <c r="Y40" i="7"/>
  <c r="V39" i="7"/>
  <c r="S39" i="7"/>
  <c r="O39" i="7"/>
  <c r="Y39" i="7"/>
  <c r="W39" i="7"/>
  <c r="W38" i="7"/>
  <c r="Y38" i="7"/>
  <c r="W37" i="7"/>
  <c r="Y37" i="7"/>
  <c r="W36" i="7"/>
  <c r="Y36" i="7"/>
  <c r="Y35" i="7"/>
  <c r="W35" i="7"/>
  <c r="W34" i="7"/>
  <c r="Y34" i="7"/>
  <c r="Y33" i="7"/>
  <c r="W33" i="7"/>
  <c r="W32" i="7"/>
  <c r="Y32" i="7"/>
  <c r="Y31" i="7"/>
  <c r="W31" i="7"/>
  <c r="Y30" i="7"/>
  <c r="W30" i="7"/>
  <c r="W29" i="7"/>
  <c r="Y29" i="7"/>
  <c r="W28" i="7"/>
  <c r="Y28" i="7"/>
  <c r="Y27" i="7"/>
  <c r="W27" i="7"/>
  <c r="V26" i="7"/>
  <c r="E9" i="8"/>
  <c r="X9" i="8" s="1"/>
  <c r="D9" i="8"/>
  <c r="W9" i="8" s="1"/>
  <c r="S26" i="7"/>
  <c r="O26" i="7"/>
  <c r="N9" i="8"/>
  <c r="Y26" i="7"/>
  <c r="W26" i="7"/>
  <c r="Y25" i="7"/>
  <c r="W25" i="7"/>
  <c r="V24" i="7"/>
  <c r="E7" i="8"/>
  <c r="X7" i="8" s="1"/>
  <c r="D7" i="8"/>
  <c r="W7" i="8" s="1"/>
  <c r="S24" i="7"/>
  <c r="N7" i="8"/>
  <c r="O24" i="7"/>
  <c r="Y24" i="7"/>
  <c r="W24" i="7"/>
  <c r="Y23" i="7"/>
  <c r="W23" i="7"/>
  <c r="W22" i="7"/>
  <c r="Y22" i="7"/>
  <c r="E4" i="8"/>
  <c r="X4" i="8" s="1"/>
  <c r="V21" i="7"/>
  <c r="D4" i="8"/>
  <c r="W4" i="8" s="1"/>
  <c r="S21" i="7"/>
  <c r="N4" i="8"/>
  <c r="O21" i="7"/>
  <c r="W21" i="7"/>
  <c r="Y21" i="7"/>
  <c r="Y20" i="7"/>
  <c r="W20" i="7"/>
  <c r="V19" i="7"/>
  <c r="S19" i="7"/>
  <c r="O19" i="7"/>
  <c r="Y19" i="7"/>
  <c r="W19" i="7"/>
  <c r="V18" i="7"/>
  <c r="E21" i="8"/>
  <c r="X21" i="8" s="1"/>
  <c r="D21" i="8"/>
  <c r="W21" i="8" s="1"/>
  <c r="S18" i="7"/>
  <c r="N21" i="8"/>
  <c r="O21" i="8" s="1"/>
  <c r="AB21" i="8" s="1"/>
  <c r="O18" i="7"/>
  <c r="W18" i="7"/>
  <c r="Y18" i="7"/>
  <c r="E20" i="8"/>
  <c r="X20" i="8" s="1"/>
  <c r="V17" i="7"/>
  <c r="S17" i="7"/>
  <c r="D20" i="8"/>
  <c r="W20" i="8" s="1"/>
  <c r="N20" i="8"/>
  <c r="O20" i="8" s="1"/>
  <c r="AB20" i="8" s="1"/>
  <c r="O17" i="7"/>
  <c r="W17" i="7"/>
  <c r="Y17" i="7"/>
  <c r="E19" i="8"/>
  <c r="X19" i="8" s="1"/>
  <c r="V16" i="7"/>
  <c r="S16" i="7"/>
  <c r="D19" i="8"/>
  <c r="W19" i="8" s="1"/>
  <c r="N19" i="8"/>
  <c r="O16" i="7"/>
  <c r="W16" i="7"/>
  <c r="Y16" i="7"/>
  <c r="V15" i="7"/>
  <c r="E18" i="8"/>
  <c r="X18" i="8" s="1"/>
  <c r="S15" i="7"/>
  <c r="D18" i="8"/>
  <c r="W18" i="8" s="1"/>
  <c r="O15" i="7"/>
  <c r="N18" i="8"/>
  <c r="Y15" i="7"/>
  <c r="W15" i="7"/>
  <c r="V14" i="7"/>
  <c r="E17" i="8"/>
  <c r="X17" i="8" s="1"/>
  <c r="D17" i="8"/>
  <c r="W17" i="8" s="1"/>
  <c r="S14" i="7"/>
  <c r="N17" i="8"/>
  <c r="O14" i="7"/>
  <c r="W14" i="7"/>
  <c r="Y14" i="7"/>
  <c r="V13" i="7"/>
  <c r="E16" i="8"/>
  <c r="X16" i="8" s="1"/>
  <c r="S13" i="7"/>
  <c r="D16" i="8"/>
  <c r="W16" i="8" s="1"/>
  <c r="N16" i="8"/>
  <c r="O16" i="8" s="1"/>
  <c r="AB16" i="8" s="1"/>
  <c r="O13" i="7"/>
  <c r="Y13" i="7"/>
  <c r="W13" i="7"/>
  <c r="V12" i="7"/>
  <c r="E15" i="8"/>
  <c r="X15" i="8" s="1"/>
  <c r="S12" i="7"/>
  <c r="D15" i="8"/>
  <c r="W15" i="8" s="1"/>
  <c r="O12" i="7"/>
  <c r="N15" i="8"/>
  <c r="O15" i="8" s="1"/>
  <c r="AB15" i="8" s="1"/>
  <c r="W12" i="7"/>
  <c r="Y12" i="7"/>
  <c r="E14" i="8"/>
  <c r="X14" i="8" s="1"/>
  <c r="V11" i="7"/>
  <c r="D14" i="8"/>
  <c r="W14" i="8" s="1"/>
  <c r="S11" i="7"/>
  <c r="N14" i="8"/>
  <c r="O11" i="7"/>
  <c r="Y11" i="7"/>
  <c r="W11" i="7"/>
  <c r="E13" i="8"/>
  <c r="X13" i="8" s="1"/>
  <c r="V10" i="7"/>
  <c r="S10" i="7"/>
  <c r="D13" i="8"/>
  <c r="W13" i="8" s="1"/>
  <c r="N13" i="8"/>
  <c r="O13" i="8" s="1"/>
  <c r="AB13" i="8" s="1"/>
  <c r="O10" i="7"/>
  <c r="W10" i="7"/>
  <c r="Y10" i="7"/>
  <c r="V9" i="7"/>
  <c r="E12" i="8"/>
  <c r="X12" i="8" s="1"/>
  <c r="S9" i="7"/>
  <c r="D12" i="8"/>
  <c r="W12" i="8" s="1"/>
  <c r="N12" i="8"/>
  <c r="O12" i="8" s="1"/>
  <c r="AB12" i="8" s="1"/>
  <c r="O9" i="7"/>
  <c r="Y9" i="7"/>
  <c r="W9" i="7"/>
  <c r="E11" i="8"/>
  <c r="X11" i="8" s="1"/>
  <c r="V8" i="7"/>
  <c r="D11" i="8"/>
  <c r="W11" i="8" s="1"/>
  <c r="S8" i="7"/>
  <c r="N11" i="8"/>
  <c r="O8" i="7"/>
  <c r="Y8" i="7"/>
  <c r="W8" i="7"/>
  <c r="E10" i="8"/>
  <c r="X10" i="8" s="1"/>
  <c r="V7" i="7"/>
  <c r="S7" i="7"/>
  <c r="D10" i="8"/>
  <c r="W10" i="8" s="1"/>
  <c r="N10" i="8"/>
  <c r="O7" i="7"/>
  <c r="W7" i="7"/>
  <c r="Y7" i="7"/>
  <c r="V6" i="7"/>
  <c r="E8" i="8"/>
  <c r="X8" i="8" s="1"/>
  <c r="S6" i="7"/>
  <c r="D8" i="8"/>
  <c r="W8" i="8" s="1"/>
  <c r="N8" i="8"/>
  <c r="O6" i="7"/>
  <c r="Y6" i="7"/>
  <c r="W6" i="7"/>
  <c r="V5" i="7"/>
  <c r="E6" i="8"/>
  <c r="X6" i="8" s="1"/>
  <c r="D6" i="8"/>
  <c r="W6" i="8" s="1"/>
  <c r="S5" i="7"/>
  <c r="N6" i="8"/>
  <c r="O6" i="8" s="1"/>
  <c r="AB6" i="8" s="1"/>
  <c r="O5" i="7"/>
  <c r="W5" i="7"/>
  <c r="Y5" i="7"/>
  <c r="V4" i="7"/>
  <c r="E5" i="8"/>
  <c r="X5" i="8" s="1"/>
  <c r="D5" i="8"/>
  <c r="W5" i="8" s="1"/>
  <c r="S4" i="7"/>
  <c r="N5" i="8"/>
  <c r="O4" i="7"/>
  <c r="W4" i="7"/>
  <c r="Y4" i="7"/>
  <c r="E3" i="8"/>
  <c r="X3" i="8" s="1"/>
  <c r="V3" i="7"/>
  <c r="D3" i="8"/>
  <c r="W3" i="8" s="1"/>
  <c r="S3" i="7"/>
  <c r="N3" i="8"/>
  <c r="O3" i="8" s="1"/>
  <c r="AB3" i="8" s="1"/>
  <c r="O3" i="7"/>
  <c r="Y3" i="7"/>
  <c r="W3" i="7"/>
  <c r="E2" i="8"/>
  <c r="X2" i="8" s="1"/>
  <c r="V2" i="7"/>
  <c r="D2" i="8"/>
  <c r="W2" i="8" s="1"/>
  <c r="S2" i="7"/>
  <c r="O2" i="7"/>
  <c r="N2" i="8"/>
  <c r="O2" i="8" s="1"/>
  <c r="AB2" i="8" s="1"/>
  <c r="Y2" i="7"/>
  <c r="W2" i="7"/>
  <c r="V49" i="6"/>
  <c r="T49" i="6"/>
  <c r="S49" i="6"/>
  <c r="U49" i="6" s="1"/>
  <c r="T48" i="6"/>
  <c r="S48" i="6"/>
  <c r="U48" i="6" s="1"/>
  <c r="V48" i="6"/>
  <c r="W48" i="6" s="1"/>
  <c r="V47" i="6"/>
  <c r="T47" i="6"/>
  <c r="S47" i="6"/>
  <c r="V46" i="6"/>
  <c r="S46" i="6"/>
  <c r="T46" i="6"/>
  <c r="V45" i="6"/>
  <c r="S45" i="6"/>
  <c r="T45" i="6"/>
  <c r="T44" i="6"/>
  <c r="V44" i="6"/>
  <c r="S44" i="6"/>
  <c r="U44" i="6" s="1"/>
  <c r="T43" i="6"/>
  <c r="V43" i="6"/>
  <c r="S43" i="6"/>
  <c r="U43" i="6" s="1"/>
  <c r="V42" i="6"/>
  <c r="S42" i="6"/>
  <c r="T42" i="6"/>
  <c r="T41" i="6"/>
  <c r="S41" i="6"/>
  <c r="V41" i="6"/>
  <c r="W41" i="6" s="1"/>
  <c r="V40" i="6"/>
  <c r="S40" i="6"/>
  <c r="T40" i="6"/>
  <c r="S39" i="6"/>
  <c r="T39" i="6"/>
  <c r="V39" i="6"/>
  <c r="W39" i="6" s="1"/>
  <c r="S38" i="6"/>
  <c r="U38" i="6" s="1"/>
  <c r="T38" i="6"/>
  <c r="V38" i="6"/>
  <c r="W38" i="6" s="1"/>
  <c r="T37" i="6"/>
  <c r="S37" i="6"/>
  <c r="U37" i="6" s="1"/>
  <c r="V37" i="6"/>
  <c r="W37" i="6" s="1"/>
  <c r="T36" i="6"/>
  <c r="V36" i="6"/>
  <c r="S36" i="6"/>
  <c r="U36" i="6" s="1"/>
  <c r="V35" i="6"/>
  <c r="T35" i="6"/>
  <c r="S35" i="6"/>
  <c r="U35" i="6" s="1"/>
  <c r="V34" i="6"/>
  <c r="S34" i="6"/>
  <c r="T34" i="6"/>
  <c r="V33" i="6"/>
  <c r="T33" i="6"/>
  <c r="S33" i="6"/>
  <c r="T32" i="6"/>
  <c r="V32" i="6"/>
  <c r="S32" i="6"/>
  <c r="V31" i="6"/>
  <c r="S31" i="6"/>
  <c r="T31" i="6"/>
  <c r="V30" i="6"/>
  <c r="T30" i="6"/>
  <c r="S30" i="6"/>
  <c r="T29" i="6"/>
  <c r="V29" i="6"/>
  <c r="S29" i="6"/>
  <c r="U29" i="6" s="1"/>
  <c r="V28" i="6"/>
  <c r="S28" i="6"/>
  <c r="T28" i="6"/>
  <c r="V27" i="6"/>
  <c r="T27" i="6"/>
  <c r="S27" i="6"/>
  <c r="U27" i="6" s="1"/>
  <c r="T26" i="6"/>
  <c r="V26" i="6"/>
  <c r="S26" i="6"/>
  <c r="U26" i="6" s="1"/>
  <c r="T25" i="6"/>
  <c r="V25" i="6"/>
  <c r="S25" i="6"/>
  <c r="U25" i="6" s="1"/>
  <c r="S24" i="6"/>
  <c r="V24" i="6"/>
  <c r="W24" i="6" s="1"/>
  <c r="T24" i="6"/>
  <c r="T23" i="6"/>
  <c r="S23" i="6"/>
  <c r="U23" i="6" s="1"/>
  <c r="V23" i="6"/>
  <c r="V22" i="6"/>
  <c r="T22" i="6"/>
  <c r="S22" i="6"/>
  <c r="U22" i="6" s="1"/>
  <c r="V21" i="6"/>
  <c r="T21" i="6"/>
  <c r="S21" i="6"/>
  <c r="U21" i="6" s="1"/>
  <c r="S20" i="6"/>
  <c r="T20" i="6"/>
  <c r="V20" i="6"/>
  <c r="W20" i="6" s="1"/>
  <c r="S19" i="6"/>
  <c r="T19" i="6"/>
  <c r="V19" i="6"/>
  <c r="W19" i="6" s="1"/>
  <c r="S18" i="6"/>
  <c r="V18" i="6"/>
  <c r="W18" i="6" s="1"/>
  <c r="T18" i="6"/>
  <c r="S17" i="6"/>
  <c r="V17" i="6"/>
  <c r="W17" i="6" s="1"/>
  <c r="T17" i="6"/>
  <c r="S16" i="6"/>
  <c r="T16" i="6"/>
  <c r="V16" i="6"/>
  <c r="W16" i="6" s="1"/>
  <c r="T15" i="6"/>
  <c r="V15" i="6"/>
  <c r="S15" i="6"/>
  <c r="U15" i="6" s="1"/>
  <c r="T14" i="6"/>
  <c r="V14" i="6"/>
  <c r="S14" i="6"/>
  <c r="U14" i="6" s="1"/>
  <c r="S13" i="6"/>
  <c r="T13" i="6"/>
  <c r="V13" i="6"/>
  <c r="W13" i="6" s="1"/>
  <c r="T12" i="6"/>
  <c r="V12" i="6"/>
  <c r="S12" i="6"/>
  <c r="U12" i="6" s="1"/>
  <c r="S11" i="6"/>
  <c r="V11" i="6"/>
  <c r="W11" i="6" s="1"/>
  <c r="T11" i="6"/>
  <c r="S10" i="6"/>
  <c r="T10" i="6"/>
  <c r="V10" i="6"/>
  <c r="W10" i="6" s="1"/>
  <c r="T9" i="6"/>
  <c r="S9" i="6"/>
  <c r="U9" i="6" s="1"/>
  <c r="V9" i="6"/>
  <c r="W9" i="6" s="1"/>
  <c r="V8" i="6"/>
  <c r="T8" i="6"/>
  <c r="S8" i="6"/>
  <c r="U8" i="6" s="1"/>
  <c r="S7" i="6"/>
  <c r="V7" i="6"/>
  <c r="W7" i="6" s="1"/>
  <c r="T7" i="6"/>
  <c r="S6" i="6"/>
  <c r="V6" i="6"/>
  <c r="W6" i="6" s="1"/>
  <c r="T6" i="6"/>
  <c r="V5" i="6"/>
  <c r="S5" i="6"/>
  <c r="T5" i="6"/>
  <c r="V4" i="6"/>
  <c r="S4" i="6"/>
  <c r="T4" i="6"/>
  <c r="S3" i="6"/>
  <c r="T3" i="6"/>
  <c r="V3" i="6"/>
  <c r="W3" i="6" s="1"/>
  <c r="B4" i="10"/>
  <c r="B2" i="10"/>
  <c r="B3" i="10"/>
  <c r="B17" i="8"/>
  <c r="F15" i="8"/>
  <c r="C18" i="8"/>
  <c r="B18" i="8"/>
  <c r="F2" i="8"/>
  <c r="G17" i="8"/>
  <c r="AA17" i="8" s="1"/>
  <c r="C15" i="8"/>
  <c r="G16" i="8"/>
  <c r="AA16" i="8" s="1"/>
  <c r="G12" i="8"/>
  <c r="AA12" i="8" s="1"/>
  <c r="C11" i="8"/>
  <c r="G15" i="8"/>
  <c r="AA15" i="8" s="1"/>
  <c r="B15" i="8"/>
  <c r="C14" i="8"/>
  <c r="B13" i="8"/>
  <c r="B9" i="8"/>
  <c r="B11" i="8"/>
  <c r="B5" i="8"/>
  <c r="C10" i="8"/>
  <c r="C2" i="8"/>
  <c r="G9" i="8"/>
  <c r="AA9" i="8" s="1"/>
  <c r="C9" i="8"/>
  <c r="C12" i="8"/>
  <c r="C8" i="8"/>
  <c r="B7" i="8"/>
  <c r="B14" i="8"/>
  <c r="G5" i="8"/>
  <c r="AA5" i="8" s="1"/>
  <c r="C4" i="8"/>
  <c r="F18" i="8"/>
  <c r="C3" i="8"/>
  <c r="B19" i="8"/>
  <c r="G19" i="8"/>
  <c r="AA19" i="8" s="1"/>
  <c r="F3" i="8"/>
  <c r="C20" i="8"/>
  <c r="B21" i="8"/>
  <c r="F4" i="8"/>
  <c r="F21" i="8"/>
  <c r="T2" i="6"/>
  <c r="B6" i="8"/>
  <c r="V2" i="6"/>
  <c r="C7" i="8"/>
  <c r="C17" i="8"/>
  <c r="G20" i="8"/>
  <c r="AA20" i="8" s="1"/>
  <c r="B2" i="8"/>
  <c r="I15" i="8"/>
  <c r="Z15" i="8" s="1"/>
  <c r="B3" i="8"/>
  <c r="G3" i="8"/>
  <c r="AA3" i="8" s="1"/>
  <c r="S2" i="6"/>
  <c r="U2" i="6" s="1"/>
  <c r="C6" i="8"/>
  <c r="B8" i="8"/>
  <c r="B12" i="8"/>
  <c r="H15" i="8"/>
  <c r="Y15" i="8" s="1"/>
  <c r="B16" i="8"/>
  <c r="C16" i="8"/>
  <c r="F16" i="8"/>
  <c r="G18" i="8"/>
  <c r="AA18" i="8" s="1"/>
  <c r="C19" i="8"/>
  <c r="F19" i="8"/>
  <c r="B20" i="8"/>
  <c r="C21" i="8"/>
  <c r="G21" i="8"/>
  <c r="AA21" i="8" s="1"/>
  <c r="C13" i="8"/>
  <c r="G2" i="8"/>
  <c r="AA2" i="8" s="1"/>
  <c r="B4" i="8"/>
  <c r="G4" i="8"/>
  <c r="AA4" i="8" s="1"/>
  <c r="C5" i="8"/>
  <c r="F9" i="8"/>
  <c r="B10" i="8"/>
  <c r="F10" i="8"/>
  <c r="E18" i="1"/>
  <c r="F18" i="1"/>
  <c r="F17" i="1"/>
  <c r="E17" i="1"/>
  <c r="E16" i="1"/>
  <c r="F16" i="1"/>
  <c r="E15" i="1"/>
  <c r="F15" i="1"/>
  <c r="F14" i="1"/>
  <c r="E14" i="1"/>
  <c r="F13" i="1"/>
  <c r="E13" i="1"/>
  <c r="E12" i="1"/>
  <c r="F12" i="1"/>
  <c r="E11" i="1"/>
  <c r="F11" i="1"/>
  <c r="E10" i="1"/>
  <c r="F10" i="1"/>
  <c r="E9" i="1"/>
  <c r="F9" i="1"/>
  <c r="E8" i="1"/>
  <c r="F8" i="1"/>
  <c r="F7" i="1"/>
  <c r="E7" i="1"/>
  <c r="F6" i="1"/>
  <c r="E6" i="1"/>
  <c r="F5" i="1"/>
  <c r="E5" i="1"/>
  <c r="H2" i="1"/>
  <c r="F2" i="1"/>
  <c r="C2" i="9"/>
  <c r="C17" i="9"/>
  <c r="O3" i="2"/>
  <c r="C32" i="9"/>
  <c r="P11" i="10" l="1"/>
  <c r="Q11" i="10"/>
  <c r="O18" i="8"/>
  <c r="AB18" i="8" s="1"/>
  <c r="O17" i="8"/>
  <c r="AB17" i="8" s="1"/>
  <c r="O19" i="8"/>
  <c r="AB19" i="8" s="1"/>
  <c r="O9" i="8"/>
  <c r="AB9" i="8" s="1"/>
  <c r="N4" i="15"/>
  <c r="N2" i="15"/>
  <c r="W23" i="6"/>
  <c r="U41" i="6"/>
  <c r="U32" i="6"/>
  <c r="U40" i="6"/>
  <c r="G10" i="8"/>
  <c r="AA10" i="8" s="1"/>
  <c r="G14" i="8"/>
  <c r="M11" i="10"/>
  <c r="O11" i="10"/>
  <c r="O4" i="8"/>
  <c r="AB4" i="8" s="1"/>
  <c r="O7" i="8"/>
  <c r="AB7" i="8" s="1"/>
  <c r="O11" i="8"/>
  <c r="AB11" i="8" s="1"/>
  <c r="H11" i="10"/>
  <c r="R11" i="10"/>
  <c r="O14" i="8"/>
  <c r="AB14" i="8" s="1"/>
  <c r="O10" i="8"/>
  <c r="AB10" i="8" s="1"/>
  <c r="O8" i="8"/>
  <c r="AB8" i="8" s="1"/>
  <c r="O5" i="8"/>
  <c r="AB5" i="8" s="1"/>
  <c r="S2" i="10"/>
  <c r="N11" i="10"/>
  <c r="U33" i="6"/>
  <c r="U30" i="6"/>
  <c r="U46" i="6"/>
  <c r="I21" i="8" s="1"/>
  <c r="Z21" i="8" s="1"/>
  <c r="U47" i="6"/>
  <c r="W44" i="6"/>
  <c r="M3" i="15"/>
  <c r="O3" i="15"/>
  <c r="M4" i="15"/>
  <c r="O4" i="15"/>
  <c r="M2" i="15"/>
  <c r="O2" i="15"/>
  <c r="C2" i="11"/>
  <c r="B3" i="11"/>
  <c r="L3" i="11"/>
  <c r="H2" i="11"/>
  <c r="C3" i="11"/>
  <c r="B2" i="11"/>
  <c r="L2" i="11"/>
  <c r="C4" i="11"/>
  <c r="B4" i="11"/>
  <c r="H4" i="11"/>
  <c r="L4" i="11"/>
  <c r="E32" i="9"/>
  <c r="H32" i="9"/>
  <c r="W35" i="6"/>
  <c r="U24" i="6"/>
  <c r="I20" i="8" s="1"/>
  <c r="Z20" i="8" s="1"/>
  <c r="U16" i="6"/>
  <c r="I16" i="8" s="1"/>
  <c r="Z16" i="8" s="1"/>
  <c r="W8" i="6"/>
  <c r="H12" i="8" s="1"/>
  <c r="Y12" i="8" s="1"/>
  <c r="W47" i="6"/>
  <c r="U45" i="6"/>
  <c r="W32" i="6"/>
  <c r="W21" i="6"/>
  <c r="U13" i="6"/>
  <c r="W5" i="6"/>
  <c r="H9" i="8" s="1"/>
  <c r="Y9" i="8" s="1"/>
  <c r="W30" i="6"/>
  <c r="W25" i="6"/>
  <c r="W22" i="6"/>
  <c r="U3" i="6"/>
  <c r="N3" i="15"/>
  <c r="W43" i="6"/>
  <c r="W40" i="6"/>
  <c r="W27" i="6"/>
  <c r="U19" i="6"/>
  <c r="W14" i="6"/>
  <c r="H8" i="8" s="1"/>
  <c r="Y8" i="8" s="1"/>
  <c r="U11" i="6"/>
  <c r="I2" i="8" s="1"/>
  <c r="U6" i="6"/>
  <c r="I10" i="8" s="1"/>
  <c r="Z10" i="8" s="1"/>
  <c r="W2" i="6"/>
  <c r="W45" i="6"/>
  <c r="W42" i="6"/>
  <c r="W34" i="6"/>
  <c r="W29" i="6"/>
  <c r="U18" i="6"/>
  <c r="U10" i="6"/>
  <c r="U5" i="6"/>
  <c r="I9" i="8" s="1"/>
  <c r="Z9" i="8" s="1"/>
  <c r="U42" i="6"/>
  <c r="I3" i="8" s="1"/>
  <c r="U39" i="6"/>
  <c r="U34" i="6"/>
  <c r="W31" i="6"/>
  <c r="H5" i="8" s="1"/>
  <c r="Y5" i="8" s="1"/>
  <c r="W26" i="6"/>
  <c r="U7" i="6"/>
  <c r="W49" i="6"/>
  <c r="W46" i="6"/>
  <c r="H21" i="8" s="1"/>
  <c r="Y21" i="8" s="1"/>
  <c r="U31" i="6"/>
  <c r="W28" i="6"/>
  <c r="H7" i="8" s="1"/>
  <c r="Y7" i="8" s="1"/>
  <c r="U20" i="6"/>
  <c r="I11" i="8" s="1"/>
  <c r="Z11" i="8" s="1"/>
  <c r="W15" i="6"/>
  <c r="W4" i="6"/>
  <c r="B11" i="10"/>
  <c r="W36" i="6"/>
  <c r="W33" i="6"/>
  <c r="U28" i="6"/>
  <c r="U17" i="6"/>
  <c r="W12" i="6"/>
  <c r="U4" i="6"/>
  <c r="E2" i="9"/>
  <c r="H2" i="9"/>
  <c r="H17" i="9"/>
  <c r="E17" i="9"/>
  <c r="L11" i="10" l="1"/>
  <c r="H14" i="8"/>
  <c r="Y14" i="8" s="1"/>
  <c r="H20" i="8"/>
  <c r="Y20" i="8" s="1"/>
  <c r="H11" i="8"/>
  <c r="Y11" i="8" s="1"/>
  <c r="H10" i="8"/>
  <c r="Y10" i="8" s="1"/>
  <c r="I19" i="8"/>
  <c r="Z19" i="8" s="1"/>
  <c r="AA14" i="8"/>
  <c r="H3" i="11"/>
  <c r="I6" i="8"/>
  <c r="I13" i="8"/>
  <c r="Z13" i="8" s="1"/>
  <c r="H19" i="8"/>
  <c r="Y19" i="8" s="1"/>
  <c r="H17" i="8"/>
  <c r="Y17" i="8" s="1"/>
  <c r="I7" i="8"/>
  <c r="Z7" i="8" s="1"/>
  <c r="I12" i="8"/>
  <c r="Z12" i="8" s="1"/>
  <c r="S11" i="10"/>
  <c r="I18" i="8"/>
  <c r="Z18" i="8" s="1"/>
  <c r="H4" i="8"/>
  <c r="Y4" i="8" s="1"/>
  <c r="I14" i="8"/>
  <c r="Z14" i="8" s="1"/>
  <c r="I17" i="8"/>
  <c r="H13" i="8"/>
  <c r="Y13" i="8" s="1"/>
  <c r="H6" i="8"/>
  <c r="I5" i="8"/>
  <c r="H16" i="8"/>
  <c r="Y16" i="8" s="1"/>
  <c r="H2" i="8"/>
  <c r="H3" i="8"/>
  <c r="I4" i="8"/>
  <c r="H18" i="8"/>
  <c r="Y18" i="8" s="1"/>
  <c r="I8" i="8"/>
  <c r="Z8" i="8" s="1"/>
  <c r="Z6" i="8"/>
  <c r="Z2" i="8"/>
  <c r="Z3" i="8"/>
  <c r="D11" i="10" l="1"/>
  <c r="Z17" i="8"/>
  <c r="F3" i="11"/>
  <c r="J3" i="11"/>
  <c r="Y6" i="8"/>
  <c r="J2" i="11"/>
  <c r="Y2" i="8"/>
  <c r="J4" i="11"/>
  <c r="Y3" i="8"/>
  <c r="F11" i="10"/>
  <c r="Z5" i="8"/>
  <c r="F4" i="11"/>
  <c r="Z4" i="8"/>
  <c r="F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<sst xmlns="http://schemas.openxmlformats.org/spreadsheetml/2006/main" count="26561" uniqueCount="456">
  <si>
    <t>DASHBOARD CCT - ÁRVORE DE DECISÃO TCD</t>
  </si>
  <si>
    <t>META TCD:</t>
  </si>
  <si>
    <t>REAL TCD:</t>
  </si>
  <si>
    <t>% ATING:</t>
  </si>
  <si>
    <t>BATEU?</t>
  </si>
  <si>
    <t>INDICADOR</t>
  </si>
  <si>
    <t>ÁREA</t>
  </si>
  <si>
    <t>META TOTAL</t>
  </si>
  <si>
    <t>REAL TOTAL</t>
  </si>
  <si>
    <t>% ATING</t>
  </si>
  <si>
    <t>STATUS</t>
  </si>
  <si>
    <t>Moagem [ton]</t>
  </si>
  <si>
    <t>TCD</t>
  </si>
  <si>
    <t>Densidade [ton/viag]</t>
  </si>
  <si>
    <t>Transporte</t>
  </si>
  <si>
    <t>Prod. Colhedora [ton/maq/dia]</t>
  </si>
  <si>
    <t>Corte</t>
  </si>
  <si>
    <t>Vel. Colheita [km/h]</t>
  </si>
  <si>
    <t>Manobra [%]</t>
  </si>
  <si>
    <t>NSO [%]</t>
  </si>
  <si>
    <t>Disp. Colhedora [%]</t>
  </si>
  <si>
    <t>NS Transbordo [%]</t>
  </si>
  <si>
    <t>Carregamento</t>
  </si>
  <si>
    <t>Vel. Transb. Vazio [km/h]</t>
  </si>
  <si>
    <t>Vel. Transb. Carreg. [km/h]</t>
  </si>
  <si>
    <t>Disp. Transbordo [%]</t>
  </si>
  <si>
    <t>T2 [min]</t>
  </si>
  <si>
    <t>NS Caminhão [%]</t>
  </si>
  <si>
    <t>Raio [km]</t>
  </si>
  <si>
    <t>Imp. Vegetal [%]</t>
  </si>
  <si>
    <t>Horas de Corte Efetivo [h/maq]</t>
  </si>
  <si>
    <t>Frente</t>
  </si>
  <si>
    <t>352</t>
  </si>
  <si>
    <t>353</t>
  </si>
  <si>
    <t>Total</t>
  </si>
  <si>
    <t>Responsabildade</t>
  </si>
  <si>
    <t>Aproveitamento ind</t>
  </si>
  <si>
    <t>Meta dia</t>
  </si>
  <si>
    <t>Indicador</t>
  </si>
  <si>
    <t>Meta</t>
  </si>
  <si>
    <t>Real</t>
  </si>
  <si>
    <t>Resp</t>
  </si>
  <si>
    <t>Meta corrigida</t>
  </si>
  <si>
    <t>Meta corrigida por CD</t>
  </si>
  <si>
    <t>Moagem Frente [ton]</t>
  </si>
  <si>
    <t>-</t>
  </si>
  <si>
    <t>Projeção Dia [ton]</t>
  </si>
  <si>
    <t>Realizado ult. 3h (Moagem) [ton]</t>
  </si>
  <si>
    <t>corte</t>
  </si>
  <si>
    <t>Horas de Corte Corrida [h/maq]</t>
  </si>
  <si>
    <t>Chuva/Solo úmido [h/maq]</t>
  </si>
  <si>
    <t>Tempo Indeterminado [h/maq]</t>
  </si>
  <si>
    <t>RTK Colhedora [%]</t>
  </si>
  <si>
    <t>RTK Transbordo [%]</t>
  </si>
  <si>
    <t>ATR [kg/ton]</t>
  </si>
  <si>
    <t>Fibra [%]</t>
  </si>
  <si>
    <t>Fibra [ton/carga]</t>
  </si>
  <si>
    <t>Hrs Efetivo [h]</t>
  </si>
  <si>
    <t>Hrs Despontador [h]</t>
  </si>
  <si>
    <t>Despontador [%]</t>
  </si>
  <si>
    <t>Extrator Primário [RPM]</t>
  </si>
  <si>
    <t>INSTANCIA</t>
  </si>
  <si>
    <t>DATA CONSIDERADA</t>
  </si>
  <si>
    <t>EQUIPAMENTO</t>
  </si>
  <si>
    <t>FRENTE</t>
  </si>
  <si>
    <t>FAZENDA</t>
  </si>
  <si>
    <t>PARTIDA_USINA</t>
  </si>
  <si>
    <t>CHEGADA LAVOURA</t>
  </si>
  <si>
    <t>SAIDA LAVOURA</t>
  </si>
  <si>
    <t>CHEGADA PATIO</t>
  </si>
  <si>
    <t>FIM CICLO</t>
  </si>
  <si>
    <t>t1</t>
  </si>
  <si>
    <t>t2</t>
  </si>
  <si>
    <t>t3</t>
  </si>
  <si>
    <t>t4</t>
  </si>
  <si>
    <t>Max T2</t>
  </si>
  <si>
    <t>Considerar T2</t>
  </si>
  <si>
    <t>Max T4</t>
  </si>
  <si>
    <t>Considerar T4</t>
  </si>
  <si>
    <t>OPL</t>
  </si>
  <si>
    <t>IPA</t>
  </si>
  <si>
    <t>8013468</t>
  </si>
  <si>
    <t>19817</t>
  </si>
  <si>
    <t>RITMO</t>
  </si>
  <si>
    <t>8013482</t>
  </si>
  <si>
    <t>8013484</t>
  </si>
  <si>
    <t>8013472</t>
  </si>
  <si>
    <t>19461</t>
  </si>
  <si>
    <t>8013473</t>
  </si>
  <si>
    <t>Sim</t>
  </si>
  <si>
    <t>8013462</t>
  </si>
  <si>
    <t>351</t>
  </si>
  <si>
    <t>9126</t>
  </si>
  <si>
    <t>8013475</t>
  </si>
  <si>
    <t>19679</t>
  </si>
  <si>
    <t>8013470</t>
  </si>
  <si>
    <t>8013460</t>
  </si>
  <si>
    <t>8013481</t>
  </si>
  <si>
    <t>8013478</t>
  </si>
  <si>
    <t>8013476</t>
  </si>
  <si>
    <t>8013474</t>
  </si>
  <si>
    <t>8013469</t>
  </si>
  <si>
    <t>8013463</t>
  </si>
  <si>
    <t>8013485</t>
  </si>
  <si>
    <t>8013461</t>
  </si>
  <si>
    <t>354</t>
  </si>
  <si>
    <t>8013483</t>
  </si>
  <si>
    <t>8013465</t>
  </si>
  <si>
    <t>9139</t>
  </si>
  <si>
    <t>8013486</t>
  </si>
  <si>
    <t>UNIDADE</t>
  </si>
  <si>
    <t>UNIDADE CADASTRO</t>
  </si>
  <si>
    <t>DT_MOVIMENTO</t>
  </si>
  <si>
    <t>HR_GUARITA</t>
  </si>
  <si>
    <t>CD_UNID_IND</t>
  </si>
  <si>
    <t>CD_FREN_TRAN</t>
  </si>
  <si>
    <t>CD_EQUIPAMENTO</t>
  </si>
  <si>
    <t>QT_LIQUIDO</t>
  </si>
  <si>
    <t>QT_BRUTO</t>
  </si>
  <si>
    <t>QTD CARGAS</t>
  </si>
  <si>
    <t>POND_DIST</t>
  </si>
  <si>
    <t>PROPRIEDADE</t>
  </si>
  <si>
    <t>TIPO</t>
  </si>
  <si>
    <t>61</t>
  </si>
  <si>
    <t>RITMO LOGISTICA S/A</t>
  </si>
  <si>
    <t>Cana Propria</t>
  </si>
  <si>
    <t>8013477</t>
  </si>
  <si>
    <t>DESC_UNIDADE</t>
  </si>
  <si>
    <t>DESC_GRUPO_EQUIPAMENTO</t>
  </si>
  <si>
    <t>CD_OPERACAO</t>
  </si>
  <si>
    <t>DESC_OPERAC</t>
  </si>
  <si>
    <t>TEMPO OPERAÇÃO</t>
  </si>
  <si>
    <t>VEL_POND</t>
  </si>
  <si>
    <t>HR_OPERACIONAIS_VEL</t>
  </si>
  <si>
    <t>MOTOR_LIGADO</t>
  </si>
  <si>
    <t>TRANSPORTADORA</t>
  </si>
  <si>
    <t>IPAUSSU</t>
  </si>
  <si>
    <t>IPA-LN-000</t>
  </si>
  <si>
    <t>895</t>
  </si>
  <si>
    <t>DESLOCAMENTO VAZIO</t>
  </si>
  <si>
    <t>881</t>
  </si>
  <si>
    <t>DESLOCAMENTO CARREGADO</t>
  </si>
  <si>
    <t>833</t>
  </si>
  <si>
    <t>DESLOCAMENTO</t>
  </si>
  <si>
    <t>254</t>
  </si>
  <si>
    <t>MANUTENCAO EXTERNA  CONCESSIONARIA</t>
  </si>
  <si>
    <t>894</t>
  </si>
  <si>
    <t>MANOBRA CARRETAS-PATIO</t>
  </si>
  <si>
    <t>891</t>
  </si>
  <si>
    <t>TROCA CARRETAS - BV CAMPO</t>
  </si>
  <si>
    <t>882</t>
  </si>
  <si>
    <t>PÁTIO EXTERNO</t>
  </si>
  <si>
    <t>886</t>
  </si>
  <si>
    <t>AGUARDANDO TRANSBORDO</t>
  </si>
  <si>
    <t>893</t>
  </si>
  <si>
    <t>PÁTIO INTERNO</t>
  </si>
  <si>
    <t>888</t>
  </si>
  <si>
    <t>BALANÇA - SAÍDA</t>
  </si>
  <si>
    <t>889</t>
  </si>
  <si>
    <t>BALANÇA - ENTRADA</t>
  </si>
  <si>
    <t>206</t>
  </si>
  <si>
    <t>AGUARD.SEQUENCIA TRABALHO</t>
  </si>
  <si>
    <t>1109</t>
  </si>
  <si>
    <t>MAN PREVENTIVA - MECANICA</t>
  </si>
  <si>
    <t>1068</t>
  </si>
  <si>
    <t>ENLONAMENTO</t>
  </si>
  <si>
    <t>1069</t>
  </si>
  <si>
    <t>AGUARDANDO PROGRAMACAO</t>
  </si>
  <si>
    <t>201</t>
  </si>
  <si>
    <t>ABASTECIMENTO</t>
  </si>
  <si>
    <t>208</t>
  </si>
  <si>
    <t>PARADA POR CONDICOES CLIMATICAS</t>
  </si>
  <si>
    <t>264</t>
  </si>
  <si>
    <t>CHECK LIST</t>
  </si>
  <si>
    <t>275</t>
  </si>
  <si>
    <t>PARADA OPERACIONAL</t>
  </si>
  <si>
    <t>779</t>
  </si>
  <si>
    <t>CARREGAMENTO</t>
  </si>
  <si>
    <t>834</t>
  </si>
  <si>
    <t>SEM APONTAMENTO</t>
  </si>
  <si>
    <t>1067</t>
  </si>
  <si>
    <t>RESTRIÇÃO NO TRAJETO</t>
  </si>
  <si>
    <t>218</t>
  </si>
  <si>
    <t>TROCA DE TURNO - CHECKLIST</t>
  </si>
  <si>
    <t>213</t>
  </si>
  <si>
    <t>PATIO - RESERVA</t>
  </si>
  <si>
    <t>890</t>
  </si>
  <si>
    <t>TROCA CARRETAS - BV PAT.EXT</t>
  </si>
  <si>
    <t>1063</t>
  </si>
  <si>
    <t>AGUARDANDO MANUTENCAO</t>
  </si>
  <si>
    <t>212</t>
  </si>
  <si>
    <t>FALTA DE MOTORIST/OPERAD.</t>
  </si>
  <si>
    <t>844</t>
  </si>
  <si>
    <t>MANUTENCAO - T O</t>
  </si>
  <si>
    <t>884</t>
  </si>
  <si>
    <t>DESLOC. APOS-DESCAR. HILO</t>
  </si>
  <si>
    <t>892</t>
  </si>
  <si>
    <t>SONDA</t>
  </si>
  <si>
    <t>896</t>
  </si>
  <si>
    <t>DESCARREGAMENTO HILO</t>
  </si>
  <si>
    <t>227</t>
  </si>
  <si>
    <t>LIMITAÇÃO INDÚSTRIA</t>
  </si>
  <si>
    <t>1108</t>
  </si>
  <si>
    <t>MAN CORRETIVA - MECANICA</t>
  </si>
  <si>
    <t>1112</t>
  </si>
  <si>
    <t>MANUTENCAO BORRACHARIA</t>
  </si>
  <si>
    <t>800</t>
  </si>
  <si>
    <t>COMBATE A INCENDIO</t>
  </si>
  <si>
    <t>1400</t>
  </si>
  <si>
    <t>MANUTENCAO TELEMETRIA</t>
  </si>
  <si>
    <t>211</t>
  </si>
  <si>
    <t>FALTA DE COMBUSTIVEL</t>
  </si>
  <si>
    <t>835</t>
  </si>
  <si>
    <t>TEMPO INDETERMINADO</t>
  </si>
  <si>
    <t>8013480</t>
  </si>
  <si>
    <t>DATA</t>
  </si>
  <si>
    <t>CHEGADA_LAVOURA</t>
  </si>
  <si>
    <t>SAIDA_LAVOURA</t>
  </si>
  <si>
    <t>CHEGADA_PATIO</t>
  </si>
  <si>
    <t>FIM_CICLO</t>
  </si>
  <si>
    <t>t1 (min)</t>
  </si>
  <si>
    <t>t2 (min)</t>
  </si>
  <si>
    <t>t3 (min)</t>
  </si>
  <si>
    <t>t4 (min)</t>
  </si>
  <si>
    <t>QT_LIQUIDO (kg)</t>
  </si>
  <si>
    <t>QTD_CARGAS</t>
  </si>
  <si>
    <t>DENSIDADE (ton/viag)</t>
  </si>
  <si>
    <t>RAIO (km)</t>
  </si>
  <si>
    <t>DESLOC. VAZIO (h)</t>
  </si>
  <si>
    <t>DESLOC. CARREGADO (h)</t>
  </si>
  <si>
    <t>DESLOC. OUTROS (h)</t>
  </si>
  <si>
    <t>CARREGAMENTO (h)</t>
  </si>
  <si>
    <t>AGUARD. TRANSBORDO (h)</t>
  </si>
  <si>
    <t>PÁTIO INT+EXT+RES (h)</t>
  </si>
  <si>
    <t>BALANÇA (h)</t>
  </si>
  <si>
    <t>MANUT PREV+CORR (h)</t>
  </si>
  <si>
    <t>MANUT OUTROS (h)</t>
  </si>
  <si>
    <t>AG. MANUTENCAO (h)</t>
  </si>
  <si>
    <t>SEM APONTAMENTO (h)</t>
  </si>
  <si>
    <t>OUTROS (h)</t>
  </si>
  <si>
    <t>TOTAL HORAS (h)</t>
  </si>
  <si>
    <t>VEL_POND VAZIO</t>
  </si>
  <si>
    <t>HR_OP VAZIO</t>
  </si>
  <si>
    <t>VEL MÉDIA VAZIO (km/h)</t>
  </si>
  <si>
    <t>VEL_POND CARREG</t>
  </si>
  <si>
    <t>HR_OP CARREG</t>
  </si>
  <si>
    <t>VEL MÉDIA CARREG (km/h)</t>
  </si>
  <si>
    <t>% DESLOC VAZIO</t>
  </si>
  <si>
    <t>% DESLOC CARREG</t>
  </si>
  <si>
    <t>% OFENSORES</t>
  </si>
  <si>
    <t>Nº VIAGENS</t>
  </si>
  <si>
    <t>VEL MÉD VAZIO (km/h)</t>
  </si>
  <si>
    <t>VEL MÉD CARREG (km/h)</t>
  </si>
  <si>
    <t>t1 MÉD (min)</t>
  </si>
  <si>
    <t>t2 MÉD (min)</t>
  </si>
  <si>
    <t>RAIO MÉD (km)</t>
  </si>
  <si>
    <t>DENSIDADE MÉD (ton/viag)</t>
  </si>
  <si>
    <t>TOTAL MANUT (h)</t>
  </si>
  <si>
    <t>TOTAL AG.TRANSB (h)</t>
  </si>
  <si>
    <t>TOTAL S/APONT (h)</t>
  </si>
  <si>
    <t>TOTAL PÁTIO (h)</t>
  </si>
  <si>
    <t>META VEL VAZIO</t>
  </si>
  <si>
    <t>META VEL CARREG</t>
  </si>
  <si>
    <t>META RAIO</t>
  </si>
  <si>
    <t>META DENSIDADE</t>
  </si>
  <si>
    <t>META T2</t>
  </si>
  <si>
    <t>META T4</t>
  </si>
  <si>
    <t>META % OFENS</t>
  </si>
  <si>
    <t>STATUS VEL VAZIO</t>
  </si>
  <si>
    <t>STATUS VEL CARREG</t>
  </si>
  <si>
    <t>STATUS RAIO</t>
  </si>
  <si>
    <t>STATUS DENSIDADE</t>
  </si>
  <si>
    <t>STATUS T2</t>
  </si>
  <si>
    <t>STATUS % OFENS</t>
  </si>
  <si>
    <t>% Ating.</t>
  </si>
  <si>
    <t>Área CCT</t>
  </si>
  <si>
    <t>Menor Melhor?</t>
  </si>
  <si>
    <t>Status</t>
  </si>
  <si>
    <t>NÃO</t>
  </si>
  <si>
    <t>SIM</t>
  </si>
  <si>
    <t>RAIO META</t>
  </si>
  <si>
    <t>RAIO REAL</t>
  </si>
  <si>
    <t>DENS. META</t>
  </si>
  <si>
    <t>DENS. REAL</t>
  </si>
  <si>
    <t>VEL VAZIO META</t>
  </si>
  <si>
    <t>VEL VAZIO REAL</t>
  </si>
  <si>
    <t>VEL CARREG META</t>
  </si>
  <si>
    <t>VEL CARREG REAL</t>
  </si>
  <si>
    <t>T2 META</t>
  </si>
  <si>
    <t>T2 REAL</t>
  </si>
  <si>
    <t>T4 REAL</t>
  </si>
  <si>
    <t>PATIO REAL (h)</t>
  </si>
  <si>
    <t>MANUT REAL (h)</t>
  </si>
  <si>
    <t>AG.TRANSB REAL (h)</t>
  </si>
  <si>
    <t>S/APONT REAL (h)</t>
  </si>
  <si>
    <t>TOTAL</t>
  </si>
  <si>
    <t>DENSIDADE REAL</t>
  </si>
  <si>
    <t>DENSIDADE META</t>
  </si>
  <si>
    <t>VOLUME (ton)</t>
  </si>
  <si>
    <t>Raio Meta</t>
  </si>
  <si>
    <t>Densidade Meta</t>
  </si>
  <si>
    <t>Vel. Vazio Meta</t>
  </si>
  <si>
    <t>Vel. Carreg. Meta</t>
  </si>
  <si>
    <t>T2 Meta/min</t>
  </si>
  <si>
    <t>T4 Meta/min</t>
  </si>
  <si>
    <t>Meta Ofensores (%)</t>
  </si>
  <si>
    <t>Data</t>
  </si>
  <si>
    <t>Unidade</t>
  </si>
  <si>
    <t>CD_OPERADOR</t>
  </si>
  <si>
    <t>Frota</t>
  </si>
  <si>
    <t>CD_FAZENDA</t>
  </si>
  <si>
    <t>CD_ZONA</t>
  </si>
  <si>
    <t>CD_TALHAO</t>
  </si>
  <si>
    <t>FG_TP_EQUIPAMENTO</t>
  </si>
  <si>
    <t>DESC_TP_EQUIPAMENTO</t>
  </si>
  <si>
    <t>Cód. Operação</t>
  </si>
  <si>
    <t>CB (h)</t>
  </si>
  <si>
    <t>CB (s)</t>
  </si>
  <si>
    <t>Velocidade Média (Km/h)</t>
  </si>
  <si>
    <t>809995</t>
  </si>
  <si>
    <t>49584</t>
  </si>
  <si>
    <t>IPA-MO-351</t>
  </si>
  <si>
    <t>0</t>
  </si>
  <si>
    <t>1</t>
  </si>
  <si>
    <t>COLHEDORA</t>
  </si>
  <si>
    <t>129</t>
  </si>
  <si>
    <t>11</t>
  </si>
  <si>
    <t>3</t>
  </si>
  <si>
    <t>9146</t>
  </si>
  <si>
    <t>158</t>
  </si>
  <si>
    <t>10</t>
  </si>
  <si>
    <t>7</t>
  </si>
  <si>
    <t>9008</t>
  </si>
  <si>
    <t>22</t>
  </si>
  <si>
    <t>5</t>
  </si>
  <si>
    <t>809999</t>
  </si>
  <si>
    <t>49587</t>
  </si>
  <si>
    <t>IPA-MO-353</t>
  </si>
  <si>
    <t>9484</t>
  </si>
  <si>
    <t>243</t>
  </si>
  <si>
    <t>317</t>
  </si>
  <si>
    <t>859</t>
  </si>
  <si>
    <t>AGUARDANDO MANOBRA DE TRANSBORDO</t>
  </si>
  <si>
    <t>9</t>
  </si>
  <si>
    <t>323759</t>
  </si>
  <si>
    <t>117</t>
  </si>
  <si>
    <t>CORTE DE CANA MECANIZADO</t>
  </si>
  <si>
    <t>9999</t>
  </si>
  <si>
    <t>228</t>
  </si>
  <si>
    <t>LIMPEZA - LAVAGEM</t>
  </si>
  <si>
    <t>832</t>
  </si>
  <si>
    <t>MANOBRA</t>
  </si>
  <si>
    <t>94124</t>
  </si>
  <si>
    <t>298414</t>
  </si>
  <si>
    <t>391841</t>
  </si>
  <si>
    <t>297946</t>
  </si>
  <si>
    <t>292</t>
  </si>
  <si>
    <t>1401</t>
  </si>
  <si>
    <t>AGUARDANDO MANUTENCAO TO</t>
  </si>
  <si>
    <t>415038</t>
  </si>
  <si>
    <t>413931</t>
  </si>
  <si>
    <t>8</t>
  </si>
  <si>
    <t>391838</t>
  </si>
  <si>
    <t>49588</t>
  </si>
  <si>
    <t>IPA-MO-352</t>
  </si>
  <si>
    <t>412</t>
  </si>
  <si>
    <t>6</t>
  </si>
  <si>
    <t>391736</t>
  </si>
  <si>
    <t>410</t>
  </si>
  <si>
    <t>4</t>
  </si>
  <si>
    <t>21573</t>
  </si>
  <si>
    <t>2</t>
  </si>
  <si>
    <t>21508</t>
  </si>
  <si>
    <t>237</t>
  </si>
  <si>
    <t>FALTA DE CAMINHÃO</t>
  </si>
  <si>
    <t>236</t>
  </si>
  <si>
    <t>FALTA DE TRANSBORDO</t>
  </si>
  <si>
    <t>170240</t>
  </si>
  <si>
    <t>49589</t>
  </si>
  <si>
    <t>21278</t>
  </si>
  <si>
    <t>145</t>
  </si>
  <si>
    <t>300064</t>
  </si>
  <si>
    <t>323744</t>
  </si>
  <si>
    <t>694</t>
  </si>
  <si>
    <t>MUDANCA DE AREA</t>
  </si>
  <si>
    <t>49590</t>
  </si>
  <si>
    <t>22951</t>
  </si>
  <si>
    <t>21131</t>
  </si>
  <si>
    <t>215673</t>
  </si>
  <si>
    <t>215649</t>
  </si>
  <si>
    <t>21086</t>
  </si>
  <si>
    <t>49591</t>
  </si>
  <si>
    <t>18</t>
  </si>
  <si>
    <t>440</t>
  </si>
  <si>
    <t>24</t>
  </si>
  <si>
    <t>441</t>
  </si>
  <si>
    <t>49592</t>
  </si>
  <si>
    <t>391848</t>
  </si>
  <si>
    <t>391725</t>
  </si>
  <si>
    <t>49593</t>
  </si>
  <si>
    <t>49595</t>
  </si>
  <si>
    <t>413596</t>
  </si>
  <si>
    <t>391840</t>
  </si>
  <si>
    <t>285715</t>
  </si>
  <si>
    <t>245</t>
  </si>
  <si>
    <t>TROCA DE FAQUINHA</t>
  </si>
  <si>
    <t>49596</t>
  </si>
  <si>
    <t>215681</t>
  </si>
  <si>
    <t>323739</t>
  </si>
  <si>
    <t>217</t>
  </si>
  <si>
    <t>REFEIÇÃO</t>
  </si>
  <si>
    <t>FROTA</t>
  </si>
  <si>
    <t>FRENTE_RAW</t>
  </si>
  <si>
    <t>FRENTE_NUM</t>
  </si>
  <si>
    <t>CORTE (h)</t>
  </si>
  <si>
    <t>MANOBRA (h)</t>
  </si>
  <si>
    <t>DESLOCAMENTO (h)</t>
  </si>
  <si>
    <t>AG. TRANSBORDO (h)</t>
  </si>
  <si>
    <t>CHUVA/CLIMA (h)</t>
  </si>
  <si>
    <t>LIMITAÇÃO IND. (h)</t>
  </si>
  <si>
    <t>MANUTENÇÃO (h)</t>
  </si>
  <si>
    <t>PÁTIO (h)</t>
  </si>
  <si>
    <t>SEM APONT. (h)</t>
  </si>
  <si>
    <t>FALTA EQUIP (h)</t>
  </si>
  <si>
    <t>VEL_POND CORTE</t>
  </si>
  <si>
    <t>HR_OP CORTE</t>
  </si>
  <si>
    <t>VEL MÉD CORTE (km/h)</t>
  </si>
  <si>
    <t>% CORTE</t>
  </si>
  <si>
    <t>% MANOBRA</t>
  </si>
  <si>
    <t>Nº COLHEDORAS</t>
  </si>
  <si>
    <t>TOTAL CORTE (h)</t>
  </si>
  <si>
    <t>TOTAL MANOBRA (h)</t>
  </si>
  <si>
    <t>TOTAL DESLOC (h)</t>
  </si>
  <si>
    <t>TOTAL CHUVA (h)</t>
  </si>
  <si>
    <t>TOTAL LIMIT.IND (h)</t>
  </si>
  <si>
    <t>TOTAL SEM APONT (h)</t>
  </si>
  <si>
    <t>HRS CORTE EFETIVO META</t>
  </si>
  <si>
    <t>HRS CORTE EFETIVO REAL</t>
  </si>
  <si>
    <t>ATR REAL</t>
  </si>
  <si>
    <t>CHUVA REAL [h/maq]</t>
  </si>
  <si>
    <t>MANOBRA META (%)</t>
  </si>
  <si>
    <t>MANOBRA REAL (%)</t>
  </si>
  <si>
    <t>8013467</t>
  </si>
  <si>
    <t>9143</t>
  </si>
  <si>
    <t>166</t>
  </si>
  <si>
    <t>150</t>
  </si>
  <si>
    <t>17</t>
  </si>
  <si>
    <t>9162</t>
  </si>
  <si>
    <t>171</t>
  </si>
  <si>
    <t>110764</t>
  </si>
  <si>
    <t>197963</t>
  </si>
  <si>
    <t>273637</t>
  </si>
  <si>
    <t>323754</t>
  </si>
  <si>
    <t>21503</t>
  </si>
  <si>
    <t>Limitação Indústria [h/maq]</t>
  </si>
  <si>
    <t>Imp. Mineral [kg/ton]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</si>
</sst>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"/>
    <numFmt numFmtId="166" formatCode="m/d/yyyy"/>
    <numFmt numFmtId="167" formatCode="m/d/yyyy\ h:mm:ss\ AM/PM"/>
    <numFmt numFmtId="168" formatCode="dd/mm/yyyy\ hh:mm:ss"/>
    <numFmt numFmtId="169" formatCode="yyyy\-mm\-dd\ h:mm:ss"/>
    <numFmt numFmtId="170" formatCode="#,##0.0"/>
    <numFmt numFmtId="171" formatCode="0.0%;\-0.0%;0.0%"/>
  </numFmts>
  <fonts count="12" x14ac:knownFonts="1">
    <font>
      <sz val="11"/>
      <color theme="1"/>
      <name val="Aptos Narrow"/>
      <family val="2"/>
      <charset val="1"/>
    </font>
    <font>
      <b/>
      <sz val="16"/>
      <color rgb="FFFFFFF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0"/>
      <color rgb="FFFFFFFF"/>
      <name val="Arial"/>
      <family val="2"/>
    </font>
    <font>
      <b/>
      <sz val="11"/>
      <name val="Aptos Narrow"/>
      <family val="2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843D"/>
        <bgColor rgb="FF008000"/>
      </patternFill>
    </fill>
    <fill>
      <patternFill patternType="solid">
        <fgColor rgb="FFD6E4F0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00B050"/>
        <bgColor rgb="FF00843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3" fontId="3" fillId="0" borderId="0" xfId="0" applyNumberFormat="1" applyFont="1"/>
    <xf numFmtId="4" fontId="3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2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7" fillId="0" borderId="0" xfId="0" applyFont="1"/>
    <xf numFmtId="9" fontId="8" fillId="0" borderId="0" xfId="0" applyNumberFormat="1" applyFont="1"/>
    <xf numFmtId="165" fontId="6" fillId="0" borderId="0" xfId="0" applyNumberFormat="1" applyFont="1"/>
    <xf numFmtId="0" fontId="0" fillId="0" borderId="2" xfId="0" applyBorder="1"/>
    <xf numFmtId="0" fontId="6" fillId="0" borderId="2" xfId="0" applyFon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9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0" fontId="9" fillId="5" borderId="1" xfId="0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0" fontId="0" fillId="6" borderId="2" xfId="0" applyFill="1" applyBorder="1" applyAlignment="1">
      <alignment horizontal="center"/>
    </xf>
    <xf numFmtId="170" fontId="10" fillId="6" borderId="0" xfId="0" applyNumberFormat="1" applyFont="1" applyFill="1"/>
    <xf numFmtId="0" fontId="10" fillId="6" borderId="0" xfId="0" applyFont="1" applyFill="1"/>
    <xf numFmtId="171" fontId="10" fillId="6" borderId="0" xfId="0" applyNumberFormat="1" applyFont="1" applyFill="1"/>
    <xf numFmtId="2" fontId="3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top"/>
    </xf>
    <xf numFmtId="0" fontId="11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14" fontId="9" fillId="4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43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zoomScaleNormal="100" workbookViewId="0">
      <selection activeCell="I6" sqref="I6"/>
    </sheetView>
  </sheetViews>
  <sheetFormatPr defaultColWidth="8.54296875" defaultRowHeight="14.5" x14ac:dyDescent="0.35"/>
  <cols>
    <col min="1" max="1" width="32" customWidth="1"/>
    <col min="2" max="4" width="16" customWidth="1"/>
    <col min="5" max="6" width="14" customWidth="1"/>
    <col min="7" max="8" width="10" customWidth="1"/>
  </cols>
  <sheetData>
    <row r="1" spans="1:10" ht="39.75" customHeight="1" x14ac:dyDescent="0.4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" customHeight="1" x14ac:dyDescent="0.35">
      <c r="A2" s="1" t="s">
        <v>1</v>
      </c>
      <c r="B2" s="2">
        <f>'KPI por frente'!H3</f>
        <v>10091.25</v>
      </c>
      <c r="C2" s="1" t="s">
        <v>2</v>
      </c>
      <c r="D2" s="3">
        <f>'KPI por frente'!I3</f>
        <v>5557.74</v>
      </c>
      <c r="E2" s="1" t="s">
        <v>3</v>
      </c>
      <c r="F2" s="4">
        <f>IFERROR(D2/B2,0)</f>
        <v>0.55074842066146412</v>
      </c>
      <c r="G2" s="1" t="s">
        <v>4</v>
      </c>
      <c r="H2" s="5" t="str">
        <f>IF(D2&gt;=B2,"SIM","NÃO")</f>
        <v>NÃO</v>
      </c>
    </row>
    <row r="4" spans="1:10" ht="15" customHeight="1" x14ac:dyDescent="0.3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spans="1:10" ht="15" customHeight="1" x14ac:dyDescent="0.35">
      <c r="A5" s="7" t="s">
        <v>11</v>
      </c>
      <c r="B5" s="7" t="s">
        <v>12</v>
      </c>
      <c r="C5" s="8">
        <f>'KPI por frente'!H3</f>
        <v>10091.25</v>
      </c>
      <c r="D5" s="8">
        <f>'KPI por frente'!I3</f>
        <v>5557.74</v>
      </c>
      <c r="E5" s="9">
        <f t="shared" ref="E5:E19" si="0">IFERROR(D5/C5,0)</f>
        <v>0.55074842066146412</v>
      </c>
      <c r="F5" s="10" t="str">
        <f>IF(D5&gt;=C5,"OK","OFENSOR")</f>
        <v>OFENSOR</v>
      </c>
    </row>
    <row r="6" spans="1:10" ht="15" customHeight="1" x14ac:dyDescent="0.35">
      <c r="A6" s="7" t="s">
        <v>13</v>
      </c>
      <c r="B6" s="7" t="s">
        <v>14</v>
      </c>
      <c r="C6" s="8">
        <f>'KPI por frente'!H7</f>
        <v>33.5</v>
      </c>
      <c r="D6" s="8">
        <f>'KPI por frente'!I7</f>
        <v>34.120508196721303</v>
      </c>
      <c r="E6" s="9">
        <f t="shared" si="0"/>
        <v>1.0185226327379493</v>
      </c>
      <c r="F6" s="10" t="str">
        <f>IF(D6&gt;=C6,"OK","OFENSOR")</f>
        <v>OK</v>
      </c>
    </row>
    <row r="7" spans="1:10" ht="15" customHeight="1" x14ac:dyDescent="0.35">
      <c r="A7" s="7" t="s">
        <v>15</v>
      </c>
      <c r="B7" s="7" t="s">
        <v>16</v>
      </c>
      <c r="C7" s="8">
        <f>'KPI por frente'!H8</f>
        <v>756.77335356846561</v>
      </c>
      <c r="D7" s="8">
        <f>'KPI por frente'!I8</f>
        <v>783.04318770991108</v>
      </c>
      <c r="E7" s="9">
        <f t="shared" si="0"/>
        <v>1.0347129480941335</v>
      </c>
      <c r="F7" s="10" t="str">
        <f>IF(D7&gt;=C7,"OK","OFENSOR")</f>
        <v>OK</v>
      </c>
    </row>
    <row r="8" spans="1:10" ht="15" customHeight="1" x14ac:dyDescent="0.35">
      <c r="A8" s="7" t="s">
        <v>17</v>
      </c>
      <c r="B8" s="7" t="s">
        <v>16</v>
      </c>
      <c r="C8" s="8">
        <f>'KPI por frente'!H11</f>
        <v>3.9798845269189425</v>
      </c>
      <c r="D8" s="8">
        <f>'KPI por frente'!I11</f>
        <v>4.7187303628647221</v>
      </c>
      <c r="E8" s="9">
        <f t="shared" si="0"/>
        <v>1.1856450434550077</v>
      </c>
      <c r="F8" s="10" t="str">
        <f>IF(D8&gt;=C8,"OK","OFENSOR")</f>
        <v>OK</v>
      </c>
    </row>
    <row r="9" spans="1:10" ht="15" customHeight="1" x14ac:dyDescent="0.35">
      <c r="A9" s="7" t="s">
        <v>18</v>
      </c>
      <c r="B9" s="7" t="s">
        <v>16</v>
      </c>
      <c r="C9" s="8">
        <f>'KPI por frente'!H12</f>
        <v>16.735340899092037</v>
      </c>
      <c r="D9" s="8">
        <f>'KPI por frente'!I12</f>
        <v>22.216801917272242</v>
      </c>
      <c r="E9" s="9">
        <f t="shared" si="0"/>
        <v>1.3275380556172356</v>
      </c>
      <c r="F9" s="10" t="str">
        <f>IF(D9&lt;=C9,"OK","OFENSOR")</f>
        <v>OFENSOR</v>
      </c>
    </row>
    <row r="10" spans="1:10" ht="15" customHeight="1" x14ac:dyDescent="0.35">
      <c r="A10" s="7" t="s">
        <v>19</v>
      </c>
      <c r="B10" s="7" t="s">
        <v>16</v>
      </c>
      <c r="C10" s="8">
        <f>'KPI por frente'!H13</f>
        <v>82.150383141762447</v>
      </c>
      <c r="D10" s="8">
        <f>'KPI por frente'!I13</f>
        <v>86.643993392772131</v>
      </c>
      <c r="E10" s="9">
        <f t="shared" si="0"/>
        <v>1.0546998088037558</v>
      </c>
      <c r="F10" s="10" t="str">
        <f t="shared" ref="F10:F15" si="1">IF(D10&gt;=C10,"OK","OFENSOR")</f>
        <v>OK</v>
      </c>
    </row>
    <row r="11" spans="1:10" ht="15" customHeight="1" x14ac:dyDescent="0.35">
      <c r="A11" s="7" t="s">
        <v>20</v>
      </c>
      <c r="B11" s="7" t="s">
        <v>16</v>
      </c>
      <c r="C11" s="8">
        <f>'KPI por frente'!H14</f>
        <v>87.000000476837158</v>
      </c>
      <c r="D11" s="8">
        <f>'KPI por frente'!I14</f>
        <v>87.549679268672051</v>
      </c>
      <c r="E11" s="9">
        <f t="shared" si="0"/>
        <v>1.0063181469979559</v>
      </c>
      <c r="F11" s="10" t="str">
        <f t="shared" si="1"/>
        <v>OK</v>
      </c>
    </row>
    <row r="12" spans="1:10" ht="15" customHeight="1" x14ac:dyDescent="0.35">
      <c r="A12" s="7" t="s">
        <v>21</v>
      </c>
      <c r="B12" s="7" t="s">
        <v>22</v>
      </c>
      <c r="C12" s="8">
        <f>'KPI por frente'!H18</f>
        <v>87</v>
      </c>
      <c r="D12" s="8">
        <f>'KPI por frente'!I18</f>
        <v>91.597468583139957</v>
      </c>
      <c r="E12" s="9">
        <f t="shared" si="0"/>
        <v>1.0528444664728731</v>
      </c>
      <c r="F12" s="10" t="str">
        <f t="shared" si="1"/>
        <v>OK</v>
      </c>
    </row>
    <row r="13" spans="1:10" ht="15" customHeight="1" x14ac:dyDescent="0.35">
      <c r="A13" s="7" t="s">
        <v>23</v>
      </c>
      <c r="B13" s="7" t="s">
        <v>22</v>
      </c>
      <c r="C13" s="8">
        <f>'KPI por frente'!H19</f>
        <v>97.000000000000014</v>
      </c>
      <c r="D13" s="8">
        <f>'KPI por frente'!I19</f>
        <v>91.466564969921762</v>
      </c>
      <c r="E13" s="9">
        <f t="shared" si="0"/>
        <v>0.94295427804043042</v>
      </c>
      <c r="F13" s="10" t="str">
        <f t="shared" si="1"/>
        <v>OFENSOR</v>
      </c>
    </row>
    <row r="14" spans="1:10" ht="15" customHeight="1" x14ac:dyDescent="0.35">
      <c r="A14" s="7" t="s">
        <v>24</v>
      </c>
      <c r="B14" s="7" t="s">
        <v>22</v>
      </c>
      <c r="C14" s="8">
        <f>'KPI por frente'!H20</f>
        <v>12.201244649176331</v>
      </c>
      <c r="D14" s="8">
        <f>'KPI por frente'!I20</f>
        <v>13.810615288326261</v>
      </c>
      <c r="E14" s="9">
        <f t="shared" si="0"/>
        <v>1.1319021694445388</v>
      </c>
      <c r="F14" s="10" t="str">
        <f t="shared" si="1"/>
        <v>OK</v>
      </c>
    </row>
    <row r="15" spans="1:10" ht="15" customHeight="1" x14ac:dyDescent="0.35">
      <c r="A15" s="7" t="s">
        <v>25</v>
      </c>
      <c r="B15" s="7" t="s">
        <v>22</v>
      </c>
      <c r="C15" s="8">
        <f>'KPI por frente'!H21</f>
        <v>11.237142196929923</v>
      </c>
      <c r="D15" s="8">
        <f>'KPI por frente'!I21</f>
        <v>11.080269514902907</v>
      </c>
      <c r="E15" s="9">
        <f t="shared" si="0"/>
        <v>0.98603980627121768</v>
      </c>
      <c r="F15" s="10" t="str">
        <f t="shared" si="1"/>
        <v>OFENSOR</v>
      </c>
    </row>
    <row r="16" spans="1:10" ht="15" customHeight="1" x14ac:dyDescent="0.35">
      <c r="A16" s="7" t="s">
        <v>26</v>
      </c>
      <c r="B16" s="7" t="s">
        <v>22</v>
      </c>
      <c r="C16" s="8">
        <f>'KPI por frente'!H24</f>
        <v>97.000000000000014</v>
      </c>
      <c r="D16" s="8">
        <f>'KPI por frente'!I24</f>
        <v>99.939610748136559</v>
      </c>
      <c r="E16" s="9">
        <f t="shared" si="0"/>
        <v>1.0303052654447067</v>
      </c>
      <c r="F16" s="10" t="str">
        <f>IF(D16&lt;=C16,"OK","OFENSOR")</f>
        <v>OFENSOR</v>
      </c>
    </row>
    <row r="17" spans="1:6" ht="15" customHeight="1" x14ac:dyDescent="0.35">
      <c r="A17" s="7" t="s">
        <v>27</v>
      </c>
      <c r="B17" s="7" t="s">
        <v>14</v>
      </c>
      <c r="C17" s="8">
        <f>'KPI por frente'!H23</f>
        <v>75</v>
      </c>
      <c r="D17" s="8">
        <f>'KPI por frente'!I23</f>
        <v>84.023283822154966</v>
      </c>
      <c r="E17" s="9">
        <f t="shared" si="0"/>
        <v>1.1203104509620663</v>
      </c>
      <c r="F17" s="10" t="str">
        <f>IF(D17&gt;=C17,"OK","OFENSOR")</f>
        <v>OK</v>
      </c>
    </row>
    <row r="18" spans="1:6" ht="15" customHeight="1" x14ac:dyDescent="0.35">
      <c r="A18" s="7" t="s">
        <v>28</v>
      </c>
      <c r="B18" s="7" t="s">
        <v>14</v>
      </c>
      <c r="C18" s="8">
        <f>'KPI por frente'!H25</f>
        <v>26.999999999999996</v>
      </c>
      <c r="D18" s="8">
        <f>'KPI por frente'!I25</f>
        <v>42.371527777777779</v>
      </c>
      <c r="E18" s="9">
        <f t="shared" si="0"/>
        <v>1.5693158436213994</v>
      </c>
      <c r="F18" s="10" t="str">
        <f>IF(D18&lt;=C18,"OK","OFENSOR")</f>
        <v>OFENSOR</v>
      </c>
    </row>
    <row r="19" spans="1:6" ht="15" customHeight="1" x14ac:dyDescent="0.35">
      <c r="A19" s="7" t="s">
        <v>29</v>
      </c>
      <c r="B19" s="7" t="s">
        <v>16</v>
      </c>
      <c r="C19" s="8">
        <f>'KPI por frente'!H26</f>
        <v>29.418586730957031</v>
      </c>
      <c r="D19" s="8">
        <f>'KPI por frente'!I26</f>
        <v>41.403306053087348</v>
      </c>
      <c r="E19" s="9">
        <f t="shared" si="0"/>
        <v>1.4073859642454836</v>
      </c>
      <c r="F19" s="10" t="str">
        <f>IF(D19&lt;=C19,"OK","OFENSOR")</f>
        <v>OFENSOR</v>
      </c>
    </row>
    <row r="20" spans="1:6" x14ac:dyDescent="0.35">
      <c r="A20" s="7" t="s">
        <v>30</v>
      </c>
    </row>
  </sheetData>
  <mergeCells count="1">
    <mergeCell ref="A1:J1"/>
  </mergeCells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topLeftCell="A13" zoomScale="70" zoomScaleNormal="70" workbookViewId="0">
      <selection activeCell="J32" sqref="J32"/>
    </sheetView>
  </sheetViews>
  <sheetFormatPr defaultColWidth="8.54296875" defaultRowHeight="14.5" x14ac:dyDescent="0.35"/>
  <cols>
    <col min="1" max="1" width="27" customWidth="1"/>
    <col min="2" max="2" width="6.36328125" customWidth="1"/>
    <col min="3" max="3" width="7.36328125" customWidth="1"/>
    <col min="4" max="4" width="6.36328125" customWidth="1"/>
    <col min="5" max="5" width="5.36328125" customWidth="1"/>
    <col min="6" max="6" width="6.36328125" customWidth="1"/>
    <col min="7" max="7" width="5.36328125" customWidth="1"/>
    <col min="8" max="8" width="7" customWidth="1"/>
    <col min="9" max="9" width="6.36328125" customWidth="1"/>
    <col min="10" max="11" width="14.7265625" customWidth="1"/>
    <col min="12" max="12" width="16.54296875" customWidth="1"/>
    <col min="13" max="13" width="6.36328125" customWidth="1"/>
    <col min="14" max="14" width="18.453125" customWidth="1"/>
    <col min="15" max="15" width="6.81640625" customWidth="1"/>
  </cols>
  <sheetData>
    <row r="1" spans="1:15" ht="14.25" customHeight="1" x14ac:dyDescent="0.35">
      <c r="A1" s="11" t="s">
        <v>31</v>
      </c>
      <c r="B1" s="48">
        <v>351</v>
      </c>
      <c r="C1" s="48"/>
      <c r="D1" s="48" t="s">
        <v>32</v>
      </c>
      <c r="E1" s="48"/>
      <c r="F1" s="48" t="s">
        <v>33</v>
      </c>
      <c r="G1" s="48"/>
      <c r="H1" s="49" t="s">
        <v>34</v>
      </c>
      <c r="I1" s="49"/>
      <c r="J1" t="s">
        <v>35</v>
      </c>
      <c r="L1" s="12" t="s">
        <v>36</v>
      </c>
      <c r="M1" s="13">
        <v>1</v>
      </c>
      <c r="N1" s="12" t="s">
        <v>37</v>
      </c>
      <c r="O1" s="14">
        <v>8400</v>
      </c>
    </row>
    <row r="2" spans="1:15" ht="14.25" customHeight="1" x14ac:dyDescent="0.35">
      <c r="A2" s="15" t="s">
        <v>38</v>
      </c>
      <c r="B2" s="15" t="s">
        <v>39</v>
      </c>
      <c r="C2" s="15" t="s">
        <v>40</v>
      </c>
      <c r="D2" s="15" t="s">
        <v>39</v>
      </c>
      <c r="E2" s="15" t="s">
        <v>40</v>
      </c>
      <c r="F2" s="15" t="s">
        <v>39</v>
      </c>
      <c r="G2" s="15" t="s">
        <v>40</v>
      </c>
      <c r="H2" s="16" t="s">
        <v>39</v>
      </c>
      <c r="I2" s="16" t="s">
        <v>40</v>
      </c>
      <c r="J2" t="s">
        <v>41</v>
      </c>
      <c r="N2" s="12" t="s">
        <v>42</v>
      </c>
      <c r="O2">
        <f>O1*M1</f>
        <v>8400</v>
      </c>
    </row>
    <row r="3" spans="1:15" ht="14.25" customHeight="1" x14ac:dyDescent="0.35">
      <c r="A3" s="17" t="s">
        <v>11</v>
      </c>
      <c r="B3" s="18">
        <v>2240</v>
      </c>
      <c r="C3" s="18">
        <v>1337.08</v>
      </c>
      <c r="D3" s="18">
        <v>3792.5</v>
      </c>
      <c r="E3" s="18">
        <v>870.24</v>
      </c>
      <c r="F3" s="18">
        <v>4058.75</v>
      </c>
      <c r="G3" s="18">
        <v>3350.42</v>
      </c>
      <c r="H3" s="18">
        <v>10091.25</v>
      </c>
      <c r="I3" s="14">
        <v>5557.74</v>
      </c>
      <c r="J3" s="12" t="s">
        <v>12</v>
      </c>
      <c r="K3" s="12"/>
      <c r="N3" t="s">
        <v>43</v>
      </c>
      <c r="O3">
        <f>O2/9</f>
        <v>933.33333333333337</v>
      </c>
    </row>
    <row r="4" spans="1:15" ht="14.25" customHeight="1" x14ac:dyDescent="0.35">
      <c r="A4" s="17" t="s">
        <v>44</v>
      </c>
      <c r="B4" s="18">
        <v>2240</v>
      </c>
      <c r="C4" s="18">
        <v>1337.08</v>
      </c>
      <c r="D4" s="18">
        <v>3792.5</v>
      </c>
      <c r="E4" s="18">
        <v>870.24</v>
      </c>
      <c r="F4" s="18">
        <v>4058.75</v>
      </c>
      <c r="G4" s="18">
        <v>3350.42</v>
      </c>
      <c r="H4" s="14">
        <v>10091.25</v>
      </c>
      <c r="I4" s="14">
        <v>5557.74</v>
      </c>
      <c r="J4" s="12" t="s">
        <v>45</v>
      </c>
      <c r="K4" s="12"/>
    </row>
    <row r="5" spans="1:15" ht="14.25" customHeight="1" x14ac:dyDescent="0.35">
      <c r="A5" s="17" t="s">
        <v>46</v>
      </c>
      <c r="B5" s="18">
        <v>3584</v>
      </c>
      <c r="C5" s="18">
        <v>2582.5</v>
      </c>
      <c r="D5" s="18">
        <v>6068</v>
      </c>
      <c r="E5" s="18">
        <v>1434.54</v>
      </c>
      <c r="F5" s="18">
        <v>6494</v>
      </c>
      <c r="G5" s="18">
        <v>5590.9400000000005</v>
      </c>
      <c r="H5" s="14">
        <v>16146</v>
      </c>
      <c r="I5" s="14">
        <v>9607.98</v>
      </c>
      <c r="J5" s="12" t="s">
        <v>45</v>
      </c>
      <c r="K5" s="12"/>
    </row>
    <row r="6" spans="1:15" ht="14.25" customHeight="1" x14ac:dyDescent="0.35">
      <c r="A6" s="17" t="s">
        <v>47</v>
      </c>
      <c r="B6" s="18">
        <v>149.33333333333334</v>
      </c>
      <c r="C6" s="18">
        <v>59.793333333333329</v>
      </c>
      <c r="D6" s="18">
        <v>252.83333333333334</v>
      </c>
      <c r="E6" s="18">
        <v>21.2</v>
      </c>
      <c r="F6" s="18">
        <v>270.58333333333331</v>
      </c>
      <c r="G6" s="18">
        <v>154.17333333333332</v>
      </c>
      <c r="H6" s="14">
        <v>672.75</v>
      </c>
      <c r="I6" s="14">
        <v>235.16666666666666</v>
      </c>
      <c r="J6" s="12" t="s">
        <v>45</v>
      </c>
      <c r="K6" s="12"/>
    </row>
    <row r="7" spans="1:15" ht="14.25" customHeight="1" x14ac:dyDescent="0.35">
      <c r="A7" s="17" t="s">
        <v>13</v>
      </c>
      <c r="B7" s="18">
        <v>33.5</v>
      </c>
      <c r="C7" s="18">
        <v>30.192095238095238</v>
      </c>
      <c r="D7" s="18">
        <v>33.5</v>
      </c>
      <c r="E7" s="18">
        <v>31.178181818181816</v>
      </c>
      <c r="F7" s="18">
        <v>33.5</v>
      </c>
      <c r="G7" s="18">
        <v>37.268000000000001</v>
      </c>
      <c r="H7" s="14">
        <v>33.5</v>
      </c>
      <c r="I7" s="14">
        <v>34.120508196721303</v>
      </c>
      <c r="J7" s="12" t="s">
        <v>14</v>
      </c>
      <c r="K7" s="12"/>
    </row>
    <row r="8" spans="1:15" ht="14.25" customHeight="1" x14ac:dyDescent="0.35">
      <c r="A8" s="17" t="s">
        <v>15</v>
      </c>
      <c r="B8" s="18">
        <v>856.85892062356857</v>
      </c>
      <c r="C8" s="18">
        <v>603.72821614950351</v>
      </c>
      <c r="D8" s="18">
        <v>445.39274943305861</v>
      </c>
      <c r="E8" s="18">
        <v>309.85994915700792</v>
      </c>
      <c r="F8" s="18">
        <v>1018.1111741763209</v>
      </c>
      <c r="G8" s="18">
        <v>1640.6800235217688</v>
      </c>
      <c r="H8" s="14">
        <v>756.77335356846561</v>
      </c>
      <c r="I8" s="14">
        <v>783.04318770991108</v>
      </c>
      <c r="J8" s="12" t="s">
        <v>48</v>
      </c>
      <c r="K8" s="12"/>
    </row>
    <row r="9" spans="1:15" ht="14.25" customHeight="1" x14ac:dyDescent="0.35">
      <c r="A9" s="17" t="s">
        <v>30</v>
      </c>
      <c r="B9" s="18">
        <v>14.03808504162053</v>
      </c>
      <c r="C9" s="18">
        <v>14.760780358017549</v>
      </c>
      <c r="D9" s="18">
        <v>16.654491424560547</v>
      </c>
      <c r="E9" s="18">
        <v>8.1100528305823438</v>
      </c>
      <c r="F9" s="18">
        <v>16.654491424560547</v>
      </c>
      <c r="G9" s="18">
        <v>13.064074453294474</v>
      </c>
      <c r="H9" s="14">
        <v>15.958040978921488</v>
      </c>
      <c r="I9" s="14">
        <v>11.771108417068341</v>
      </c>
      <c r="J9" s="12" t="s">
        <v>48</v>
      </c>
      <c r="K9" s="12"/>
    </row>
    <row r="10" spans="1:15" ht="14.25" customHeight="1" x14ac:dyDescent="0.35">
      <c r="A10" s="17" t="s">
        <v>49</v>
      </c>
      <c r="B10" s="18">
        <v>14.03808504162053</v>
      </c>
      <c r="C10" s="18">
        <v>9.182906884825309</v>
      </c>
      <c r="D10" s="18">
        <v>16.654491424560547</v>
      </c>
      <c r="E10" s="18">
        <v>6.4826374337931432</v>
      </c>
      <c r="F10" s="18">
        <v>16.654491424560547</v>
      </c>
      <c r="G10" s="18">
        <v>9.1371338187315114</v>
      </c>
      <c r="H10" s="14">
        <v>15.958040978921488</v>
      </c>
      <c r="I10" s="14">
        <v>8.2411322570074894</v>
      </c>
      <c r="J10" s="12" t="s">
        <v>45</v>
      </c>
      <c r="K10" s="12"/>
    </row>
    <row r="11" spans="1:15" ht="14.25" customHeight="1" x14ac:dyDescent="0.35">
      <c r="A11" s="17" t="s">
        <v>17</v>
      </c>
      <c r="B11" s="18">
        <v>3.3518452643115135</v>
      </c>
      <c r="C11" s="18">
        <v>5.0084354071054316</v>
      </c>
      <c r="D11" s="18">
        <v>4.3352230476592792</v>
      </c>
      <c r="E11" s="18">
        <v>4.2401550356604307</v>
      </c>
      <c r="F11" s="18">
        <v>4.1755569749185648</v>
      </c>
      <c r="G11" s="18">
        <v>4.7051183207538756</v>
      </c>
      <c r="H11" s="14">
        <v>3.9798845269189425</v>
      </c>
      <c r="I11" s="14">
        <v>4.7187303628647221</v>
      </c>
      <c r="J11" s="12" t="s">
        <v>16</v>
      </c>
      <c r="K11" s="12"/>
    </row>
    <row r="12" spans="1:15" ht="14.25" customHeight="1" x14ac:dyDescent="0.35">
      <c r="A12" s="17" t="s">
        <v>18</v>
      </c>
      <c r="B12" s="18">
        <v>16.735340899092034</v>
      </c>
      <c r="C12" s="18">
        <v>20.078521115884033</v>
      </c>
      <c r="D12" s="18">
        <v>16.735340899092037</v>
      </c>
      <c r="E12" s="18">
        <v>30.348902264143963</v>
      </c>
      <c r="F12" s="18">
        <v>16.735340899092034</v>
      </c>
      <c r="G12" s="18">
        <v>16.978185800632879</v>
      </c>
      <c r="H12" s="14">
        <v>16.735340899092037</v>
      </c>
      <c r="I12" s="14">
        <v>22.216801917272242</v>
      </c>
      <c r="J12" s="12" t="s">
        <v>16</v>
      </c>
      <c r="K12" s="12"/>
    </row>
    <row r="13" spans="1:15" ht="14.25" customHeight="1" x14ac:dyDescent="0.35">
      <c r="A13" s="17" t="s">
        <v>19</v>
      </c>
      <c r="B13" s="18">
        <v>82.150383141762447</v>
      </c>
      <c r="C13" s="18">
        <v>93.432669192474108</v>
      </c>
      <c r="D13" s="18">
        <v>82.150383141762447</v>
      </c>
      <c r="E13" s="18">
        <v>75.753134771831938</v>
      </c>
      <c r="F13" s="18">
        <v>82.150383141762447</v>
      </c>
      <c r="G13" s="18">
        <v>86.151483160667624</v>
      </c>
      <c r="H13" s="14">
        <v>82.150383141762447</v>
      </c>
      <c r="I13" s="14">
        <v>86.643993392772131</v>
      </c>
      <c r="J13" s="12" t="s">
        <v>16</v>
      </c>
      <c r="K13" s="12"/>
    </row>
    <row r="14" spans="1:15" ht="14.25" customHeight="1" x14ac:dyDescent="0.35">
      <c r="A14" s="17" t="s">
        <v>20</v>
      </c>
      <c r="B14" s="18">
        <v>87.000000476837158</v>
      </c>
      <c r="C14" s="18">
        <v>100</v>
      </c>
      <c r="D14" s="18">
        <v>87.000000476837158</v>
      </c>
      <c r="E14" s="18">
        <v>74.312219590924073</v>
      </c>
      <c r="F14" s="18">
        <v>87.000000476837158</v>
      </c>
      <c r="G14" s="18">
        <v>85.769868743154447</v>
      </c>
      <c r="H14" s="14">
        <v>87.000000476837158</v>
      </c>
      <c r="I14" s="14">
        <v>87.549679268672051</v>
      </c>
      <c r="J14" s="12" t="s">
        <v>16</v>
      </c>
      <c r="K14" s="12"/>
    </row>
    <row r="15" spans="1:15" ht="14.25" customHeight="1" x14ac:dyDescent="0.35">
      <c r="A15" s="17" t="s">
        <v>454</v>
      </c>
      <c r="B15" s="18"/>
      <c r="C15" s="18">
        <v>0.40298768744272817</v>
      </c>
      <c r="D15" s="18"/>
      <c r="E15" s="18">
        <v>3.0794444444444444</v>
      </c>
      <c r="F15" s="18"/>
      <c r="G15" s="18">
        <v>1.6489620626420822</v>
      </c>
      <c r="H15" s="14"/>
      <c r="I15" s="14">
        <v>1.4366687889228129</v>
      </c>
      <c r="J15" s="12" t="s">
        <v>45</v>
      </c>
      <c r="K15" s="12"/>
    </row>
    <row r="16" spans="1:15" ht="14.25" customHeight="1" x14ac:dyDescent="0.35">
      <c r="A16" s="17" t="s">
        <v>50</v>
      </c>
      <c r="B16" s="18"/>
      <c r="C16" s="18">
        <v>14.185486111111102</v>
      </c>
      <c r="D16" s="18"/>
      <c r="E16" s="18">
        <v>5.4910185185185183</v>
      </c>
      <c r="F16" s="18"/>
      <c r="G16" s="18">
        <v>8.5299999999999994</v>
      </c>
      <c r="H16" s="14"/>
      <c r="I16" s="14">
        <v>9.4021682098765407</v>
      </c>
      <c r="J16" s="12" t="s">
        <v>45</v>
      </c>
      <c r="K16" s="12"/>
    </row>
    <row r="17" spans="1:11" ht="14.25" customHeight="1" x14ac:dyDescent="0.35">
      <c r="A17" s="17" t="s">
        <v>51</v>
      </c>
      <c r="B17" s="18"/>
      <c r="C17" s="18">
        <v>7.483450963208714E-2</v>
      </c>
      <c r="D17" s="18"/>
      <c r="E17" s="18">
        <v>0.27687925615505493</v>
      </c>
      <c r="F17" s="18"/>
      <c r="G17" s="18">
        <v>0.55133054724455677</v>
      </c>
      <c r="H17" s="14"/>
      <c r="I17" s="14"/>
      <c r="J17" s="12" t="s">
        <v>45</v>
      </c>
      <c r="K17" s="12"/>
    </row>
    <row r="18" spans="1:11" ht="14.25" customHeight="1" x14ac:dyDescent="0.35">
      <c r="A18" s="17" t="s">
        <v>52</v>
      </c>
      <c r="B18" s="18">
        <v>87</v>
      </c>
      <c r="C18" s="18">
        <v>91.248686719795515</v>
      </c>
      <c r="D18" s="18">
        <v>87</v>
      </c>
      <c r="E18" s="18">
        <v>86.274112267544396</v>
      </c>
      <c r="F18" s="18">
        <v>87</v>
      </c>
      <c r="G18" s="18">
        <v>97.077879264249205</v>
      </c>
      <c r="H18" s="14">
        <v>87</v>
      </c>
      <c r="I18" s="14">
        <v>91.597468583139957</v>
      </c>
      <c r="J18" s="12" t="s">
        <v>22</v>
      </c>
      <c r="K18" s="12"/>
    </row>
    <row r="19" spans="1:11" ht="14.25" customHeight="1" x14ac:dyDescent="0.35">
      <c r="A19" s="17" t="s">
        <v>21</v>
      </c>
      <c r="B19" s="18">
        <v>97</v>
      </c>
      <c r="C19" s="18">
        <v>88.077330456225056</v>
      </c>
      <c r="D19" s="18">
        <v>97</v>
      </c>
      <c r="E19" s="18">
        <v>98.383872853156547</v>
      </c>
      <c r="F19" s="18">
        <v>97</v>
      </c>
      <c r="G19" s="18">
        <v>92.654747213626337</v>
      </c>
      <c r="H19" s="14">
        <v>97.000000000000014</v>
      </c>
      <c r="I19" s="14">
        <v>91.466564969921762</v>
      </c>
      <c r="J19" s="12" t="s">
        <v>22</v>
      </c>
      <c r="K19" s="12"/>
    </row>
    <row r="20" spans="1:11" ht="14.25" customHeight="1" x14ac:dyDescent="0.35">
      <c r="A20" s="17" t="s">
        <v>23</v>
      </c>
      <c r="B20" s="18">
        <v>12.20124464917633</v>
      </c>
      <c r="C20" s="18">
        <v>13.766193825079281</v>
      </c>
      <c r="D20" s="18">
        <v>12.201244649176328</v>
      </c>
      <c r="E20" s="18">
        <v>11.425060737613121</v>
      </c>
      <c r="F20" s="18">
        <v>12.201244649176328</v>
      </c>
      <c r="G20" s="18">
        <v>15.501775775526657</v>
      </c>
      <c r="H20" s="14">
        <v>12.201244649176331</v>
      </c>
      <c r="I20" s="14">
        <v>13.810615288326261</v>
      </c>
      <c r="J20" s="12" t="s">
        <v>22</v>
      </c>
      <c r="K20" s="12"/>
    </row>
    <row r="21" spans="1:11" ht="14.25" customHeight="1" x14ac:dyDescent="0.35">
      <c r="A21" s="17" t="s">
        <v>24</v>
      </c>
      <c r="B21" s="18">
        <v>11.237142196929923</v>
      </c>
      <c r="C21" s="18">
        <v>12.290502343170573</v>
      </c>
      <c r="D21" s="18">
        <v>11.237142196929927</v>
      </c>
      <c r="E21" s="18">
        <v>9.2084675437091263</v>
      </c>
      <c r="F21" s="18">
        <v>11.237142196929923</v>
      </c>
      <c r="G21" s="18">
        <v>11.986980821093157</v>
      </c>
      <c r="H21" s="14">
        <v>11.237142196929923</v>
      </c>
      <c r="I21" s="14">
        <v>11.080269514902907</v>
      </c>
      <c r="J21" s="12" t="s">
        <v>22</v>
      </c>
      <c r="K21" s="12"/>
    </row>
    <row r="22" spans="1:11" ht="14.25" customHeight="1" x14ac:dyDescent="0.35">
      <c r="A22" s="17" t="s">
        <v>25</v>
      </c>
      <c r="B22" s="18">
        <v>87.999999523162842</v>
      </c>
      <c r="C22" s="18">
        <v>88.716577540106954</v>
      </c>
      <c r="D22" s="18">
        <v>87.999999523162842</v>
      </c>
      <c r="E22" s="18">
        <v>99.276483223983746</v>
      </c>
      <c r="F22" s="18">
        <v>87.999999523162842</v>
      </c>
      <c r="G22" s="18">
        <v>85.650383718021203</v>
      </c>
      <c r="H22" s="14">
        <v>87.999999523162842</v>
      </c>
      <c r="I22" s="14">
        <v>91.697492750729708</v>
      </c>
      <c r="J22" s="12" t="s">
        <v>45</v>
      </c>
      <c r="K22" s="12"/>
    </row>
    <row r="23" spans="1:11" ht="14.25" customHeight="1" x14ac:dyDescent="0.35">
      <c r="A23" s="17" t="s">
        <v>53</v>
      </c>
      <c r="B23" s="18">
        <v>75</v>
      </c>
      <c r="C23" s="18">
        <v>80.678922173272056</v>
      </c>
      <c r="D23" s="18">
        <v>75</v>
      </c>
      <c r="E23" s="18">
        <v>75.293392509764814</v>
      </c>
      <c r="F23" s="18">
        <v>75</v>
      </c>
      <c r="G23" s="18">
        <v>91.964674991805367</v>
      </c>
      <c r="H23" s="14">
        <v>75</v>
      </c>
      <c r="I23" s="14">
        <v>84.023283822154966</v>
      </c>
      <c r="J23" s="12" t="s">
        <v>14</v>
      </c>
      <c r="K23" s="12"/>
    </row>
    <row r="24" spans="1:11" ht="14.25" customHeight="1" x14ac:dyDescent="0.35">
      <c r="A24" s="17" t="s">
        <v>27</v>
      </c>
      <c r="B24" s="18">
        <v>97</v>
      </c>
      <c r="C24" s="18">
        <v>99.868789363191041</v>
      </c>
      <c r="D24" s="18">
        <v>97</v>
      </c>
      <c r="E24" s="18">
        <v>100</v>
      </c>
      <c r="F24" s="18">
        <v>97</v>
      </c>
      <c r="G24" s="18">
        <v>100</v>
      </c>
      <c r="H24" s="14">
        <v>97.000000000000014</v>
      </c>
      <c r="I24" s="14">
        <v>99.939610748136559</v>
      </c>
      <c r="J24" s="12" t="s">
        <v>22</v>
      </c>
      <c r="K24" s="12"/>
    </row>
    <row r="25" spans="1:11" ht="14.25" customHeight="1" x14ac:dyDescent="0.35">
      <c r="A25" s="17" t="s">
        <v>26</v>
      </c>
      <c r="B25" s="18">
        <v>26.999999999999996</v>
      </c>
      <c r="C25" s="18">
        <v>47.932499999999997</v>
      </c>
      <c r="D25" s="18">
        <v>26.999999999999996</v>
      </c>
      <c r="E25" s="18">
        <v>41.790277777777774</v>
      </c>
      <c r="F25" s="18">
        <v>26.999999999999996</v>
      </c>
      <c r="G25" s="18">
        <v>38.952777777777776</v>
      </c>
      <c r="H25" s="14">
        <v>26.999999999999996</v>
      </c>
      <c r="I25" s="14">
        <v>42.371527777777779</v>
      </c>
      <c r="J25" s="12" t="s">
        <v>14</v>
      </c>
      <c r="K25" s="12"/>
    </row>
    <row r="26" spans="1:11" ht="14.25" customHeight="1" x14ac:dyDescent="0.35">
      <c r="A26" s="17" t="s">
        <v>28</v>
      </c>
      <c r="B26" s="18">
        <v>29.418586730957031</v>
      </c>
      <c r="C26" s="18">
        <v>14.891055817081373</v>
      </c>
      <c r="D26" s="18">
        <v>29.418586730957031</v>
      </c>
      <c r="E26" s="18">
        <v>58.362828744832441</v>
      </c>
      <c r="F26" s="18">
        <v>29.418586730957031</v>
      </c>
      <c r="G26" s="18">
        <v>48.960410665314683</v>
      </c>
      <c r="H26" s="14">
        <v>29.418586730957031</v>
      </c>
      <c r="I26" s="14">
        <v>41.403306053087348</v>
      </c>
      <c r="J26" s="12" t="s">
        <v>16</v>
      </c>
      <c r="K26" s="12"/>
    </row>
    <row r="27" spans="1:11" ht="14.25" customHeight="1" x14ac:dyDescent="0.35">
      <c r="A27" s="17" t="s">
        <v>29</v>
      </c>
      <c r="B27" s="18"/>
      <c r="C27" s="18">
        <v>11.67</v>
      </c>
      <c r="D27" s="18"/>
      <c r="E27" s="18"/>
      <c r="F27" s="18"/>
      <c r="G27" s="18">
        <v>9.43</v>
      </c>
      <c r="H27" s="14"/>
      <c r="I27" s="14">
        <v>10.437093677136195</v>
      </c>
      <c r="J27" s="12" t="s">
        <v>16</v>
      </c>
      <c r="K27" s="12"/>
    </row>
    <row r="28" spans="1:11" ht="14.25" customHeight="1" x14ac:dyDescent="0.35">
      <c r="A28" s="17" t="s">
        <v>54</v>
      </c>
      <c r="B28" s="18">
        <v>7.2763698347068253</v>
      </c>
      <c r="C28" s="18">
        <v>91.550061583610898</v>
      </c>
      <c r="D28" s="18">
        <v>52.003903787772352</v>
      </c>
      <c r="E28" s="18">
        <v>66.847557665517868</v>
      </c>
      <c r="F28" s="18">
        <v>121.18989467417299</v>
      </c>
      <c r="G28" s="18">
        <v>127.17402755119366</v>
      </c>
      <c r="H28" s="14">
        <v>78.192582861624388</v>
      </c>
      <c r="I28" s="14">
        <v>108.14911425175703</v>
      </c>
      <c r="J28" s="12" t="s">
        <v>45</v>
      </c>
      <c r="K28" s="12"/>
    </row>
    <row r="29" spans="1:11" ht="14.25" customHeight="1" x14ac:dyDescent="0.35">
      <c r="A29" s="17" t="s">
        <v>55</v>
      </c>
      <c r="B29" s="18"/>
      <c r="C29" s="18">
        <v>13.308721999751207</v>
      </c>
      <c r="D29" s="18"/>
      <c r="E29" s="18">
        <v>11.609873977284986</v>
      </c>
      <c r="F29" s="18"/>
      <c r="G29" s="18">
        <v>13.668717708507682</v>
      </c>
      <c r="H29" s="14"/>
      <c r="I29" s="14">
        <v>13.247642237688837</v>
      </c>
      <c r="J29" s="12" t="s">
        <v>45</v>
      </c>
      <c r="K29" s="12"/>
    </row>
    <row r="30" spans="1:11" ht="14.25" customHeight="1" x14ac:dyDescent="0.35">
      <c r="A30" s="17" t="s">
        <v>56</v>
      </c>
      <c r="B30" s="18"/>
      <c r="C30" s="18">
        <v>4.0169387055357664</v>
      </c>
      <c r="D30" s="18"/>
      <c r="E30" s="18">
        <v>3.6186279234566658</v>
      </c>
      <c r="F30" s="18"/>
      <c r="G30" s="18">
        <v>5.094381520067035</v>
      </c>
      <c r="H30" s="14"/>
      <c r="I30" s="14">
        <v>4.519639378159912</v>
      </c>
      <c r="J30" s="12" t="s">
        <v>45</v>
      </c>
      <c r="K30" s="12"/>
    </row>
    <row r="31" spans="1:11" ht="14.25" customHeight="1" x14ac:dyDescent="0.35">
      <c r="A31" s="17" t="s">
        <v>455</v>
      </c>
      <c r="B31" s="18"/>
      <c r="C31" s="18">
        <v>4.6100000000000003</v>
      </c>
      <c r="D31" s="18"/>
      <c r="E31" s="18">
        <v>2.3199999999999998</v>
      </c>
      <c r="F31" s="18"/>
      <c r="G31" s="18">
        <v>36.669999999999995</v>
      </c>
      <c r="H31" s="14"/>
      <c r="I31" s="14">
        <v>25.119374468452261</v>
      </c>
      <c r="J31" s="12" t="s">
        <v>16</v>
      </c>
      <c r="K31" s="12"/>
    </row>
    <row r="32" spans="1:11" ht="14.25" customHeight="1" x14ac:dyDescent="0.35">
      <c r="A32" s="17" t="s">
        <v>57</v>
      </c>
      <c r="B32" s="18"/>
      <c r="C32" s="18">
        <v>28.369999999999997</v>
      </c>
      <c r="D32" s="18"/>
      <c r="E32" s="18">
        <v>17.215</v>
      </c>
      <c r="F32" s="18"/>
      <c r="G32" s="18">
        <v>20.405000000000001</v>
      </c>
      <c r="H32" s="14"/>
      <c r="I32" s="14">
        <v>40.804999999999993</v>
      </c>
      <c r="J32" s="12" t="s">
        <v>45</v>
      </c>
      <c r="K32" s="12"/>
    </row>
    <row r="33" spans="1:11" ht="14.25" customHeight="1" x14ac:dyDescent="0.35">
      <c r="A33" s="17" t="s">
        <v>58</v>
      </c>
      <c r="B33" s="18"/>
      <c r="C33" s="18">
        <v>24.825000000000003</v>
      </c>
      <c r="D33" s="18"/>
      <c r="E33" s="18">
        <v>15.17</v>
      </c>
      <c r="F33" s="18"/>
      <c r="G33" s="18">
        <v>18.04</v>
      </c>
      <c r="H33" s="14"/>
      <c r="I33" s="14">
        <v>58.034999999999997</v>
      </c>
      <c r="J33" s="12" t="s">
        <v>45</v>
      </c>
      <c r="K33" s="12"/>
    </row>
    <row r="34" spans="1:11" ht="14.25" customHeight="1" x14ac:dyDescent="0.35">
      <c r="A34" s="17" t="s">
        <v>59</v>
      </c>
      <c r="C34">
        <v>87.29869545659021</v>
      </c>
      <c r="E34">
        <v>88.119668502321559</v>
      </c>
      <c r="G34">
        <v>88.727497945262982</v>
      </c>
      <c r="I34">
        <v>87.91891101192121</v>
      </c>
    </row>
    <row r="35" spans="1:11" x14ac:dyDescent="0.35">
      <c r="A35" t="s">
        <v>60</v>
      </c>
      <c r="C35">
        <v>691.76650622703403</v>
      </c>
      <c r="E35">
        <v>706.54635457833933</v>
      </c>
      <c r="G35">
        <v>757.92702279342723</v>
      </c>
      <c r="I35">
        <v>715.94700190466506</v>
      </c>
    </row>
  </sheetData>
  <autoFilter ref="A1:J34" xr:uid="{00000000-0009-0000-0000-000001000000}">
    <filterColumn colId="0" hiddenButton="1"/>
    <filterColumn colId="1" hiddenButton="1"/>
    <filterColumn colId="2" hiddenButton="1"/>
    <filterColumn colId="3" hiddenButton="1"/>
  </autoFilter>
  <mergeCells count="4">
    <mergeCell ref="B1:C1"/>
    <mergeCell ref="D1:E1"/>
    <mergeCell ref="F1:G1"/>
    <mergeCell ref="H1:I1"/>
  </mergeCells>
  <pageMargins left="0.51180555555555596" right="0.51180555555555596" top="0.78749999999999998" bottom="0.78749999999999998" header="0.511811023622047" footer="0.31527777777777799"/>
  <pageSetup paperSize="9" orientation="portrait" horizontalDpi="300" verticalDpi="300"/>
  <headerFooter>
    <oddFooter>&amp;L&amp;"Aptos,Regular"&amp;10 _x005F_x000d_# Interno_x005F_x000d_# Interno_x000D_x000D_&amp;1#&amp;"Aptos"&amp;10&amp;K000000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3"/>
  <sheetViews>
    <sheetView topLeftCell="A100" zoomScaleNormal="100" workbookViewId="0">
      <selection activeCell="E115" sqref="E115"/>
    </sheetView>
  </sheetViews>
  <sheetFormatPr defaultColWidth="8.54296875" defaultRowHeight="14.5" x14ac:dyDescent="0.35"/>
  <cols>
    <col min="1" max="1" width="9.6328125" customWidth="1"/>
    <col min="2" max="2" width="17.90625" customWidth="1"/>
    <col min="3" max="3" width="13.1796875" customWidth="1"/>
    <col min="4" max="4" width="7.08984375" customWidth="1"/>
    <col min="5" max="5" width="8.453125" customWidth="1"/>
    <col min="6" max="10" width="18.6328125" customWidth="1"/>
    <col min="11" max="13" width="11.81640625" customWidth="1"/>
    <col min="14" max="14" width="12.453125" customWidth="1"/>
    <col min="15" max="15" width="6.36328125" customWidth="1"/>
    <col min="16" max="16" width="12" customWidth="1"/>
    <col min="17" max="17" width="6.36328125" customWidth="1"/>
    <col min="18" max="18" width="12" customWidth="1"/>
    <col min="19" max="19" width="6.08984375" customWidth="1"/>
  </cols>
  <sheetData>
    <row r="1" spans="1:19" x14ac:dyDescent="0.35">
      <c r="A1" s="15" t="s">
        <v>61</v>
      </c>
      <c r="B1" s="15" t="s">
        <v>62</v>
      </c>
      <c r="C1" s="15" t="s">
        <v>63</v>
      </c>
      <c r="D1" s="15" t="s">
        <v>64</v>
      </c>
      <c r="E1" s="15" t="s">
        <v>65</v>
      </c>
      <c r="F1" s="15" t="s">
        <v>66</v>
      </c>
      <c r="G1" s="15" t="s">
        <v>67</v>
      </c>
      <c r="H1" s="15" t="s">
        <v>68</v>
      </c>
      <c r="I1" s="15" t="s">
        <v>69</v>
      </c>
      <c r="J1" s="15" t="s">
        <v>70</v>
      </c>
      <c r="K1" s="15" t="s">
        <v>71</v>
      </c>
      <c r="L1" s="15" t="s">
        <v>72</v>
      </c>
      <c r="M1" s="15" t="s">
        <v>73</v>
      </c>
      <c r="N1" s="15" t="s">
        <v>74</v>
      </c>
      <c r="O1" s="15" t="s">
        <v>75</v>
      </c>
      <c r="P1" s="15" t="s">
        <v>76</v>
      </c>
      <c r="Q1" s="15" t="s">
        <v>77</v>
      </c>
      <c r="R1" s="15" t="s">
        <v>78</v>
      </c>
      <c r="S1" s="15" t="s">
        <v>79</v>
      </c>
    </row>
    <row r="2" spans="1:19" x14ac:dyDescent="0.35">
      <c r="A2" t="s">
        <v>80</v>
      </c>
      <c r="B2" s="46">
        <v>46121</v>
      </c>
      <c r="C2" t="s">
        <v>98</v>
      </c>
      <c r="D2" t="s">
        <v>32</v>
      </c>
      <c r="E2" t="s">
        <v>82</v>
      </c>
      <c r="F2" s="20">
        <v>46118.692384259259</v>
      </c>
      <c r="G2" s="20">
        <v>46121.638958333337</v>
      </c>
      <c r="H2" s="20">
        <v>46123.450289351851</v>
      </c>
      <c r="I2" s="20">
        <v>46123.872847222221</v>
      </c>
      <c r="J2" s="20">
        <v>46123.918506944443</v>
      </c>
      <c r="K2">
        <v>4243.0666666666666</v>
      </c>
      <c r="L2">
        <v>2608.3166666666666</v>
      </c>
      <c r="M2">
        <v>608.48333333333335</v>
      </c>
      <c r="N2">
        <v>65.75</v>
      </c>
      <c r="O2" s="21">
        <v>90</v>
      </c>
      <c r="Q2" s="21">
        <v>105</v>
      </c>
      <c r="R2" t="s">
        <v>89</v>
      </c>
      <c r="S2" t="s">
        <v>83</v>
      </c>
    </row>
    <row r="3" spans="1:19" x14ac:dyDescent="0.35">
      <c r="A3" t="s">
        <v>80</v>
      </c>
      <c r="B3" s="46">
        <v>46117</v>
      </c>
      <c r="C3" t="s">
        <v>81</v>
      </c>
      <c r="D3" t="s">
        <v>32</v>
      </c>
      <c r="E3" t="s">
        <v>82</v>
      </c>
      <c r="F3" s="20">
        <v>46117.923298611109</v>
      </c>
      <c r="G3" s="20">
        <v>46117.982951388891</v>
      </c>
      <c r="H3" s="20">
        <v>46118.49659722222</v>
      </c>
      <c r="I3" s="20">
        <v>46118.588078703702</v>
      </c>
      <c r="J3" s="20">
        <v>46119.780057870368</v>
      </c>
      <c r="K3">
        <v>85.9</v>
      </c>
      <c r="L3">
        <v>739.65</v>
      </c>
      <c r="M3">
        <v>131.73333333333332</v>
      </c>
      <c r="N3">
        <v>1716.45</v>
      </c>
      <c r="O3" s="21">
        <v>90</v>
      </c>
      <c r="Q3" s="21">
        <v>105</v>
      </c>
      <c r="S3" t="s">
        <v>83</v>
      </c>
    </row>
    <row r="4" spans="1:19" x14ac:dyDescent="0.35">
      <c r="A4" t="s">
        <v>80</v>
      </c>
      <c r="B4" s="46">
        <v>46117</v>
      </c>
      <c r="C4" t="s">
        <v>84</v>
      </c>
      <c r="D4" t="s">
        <v>32</v>
      </c>
      <c r="E4" t="s">
        <v>82</v>
      </c>
      <c r="F4" s="20">
        <v>46117.788622685184</v>
      </c>
      <c r="G4" s="20">
        <v>46117.847245370373</v>
      </c>
      <c r="H4" s="20">
        <v>46118.300034722219</v>
      </c>
      <c r="I4" s="20">
        <v>46118.69159722222</v>
      </c>
      <c r="J4" s="20">
        <v>46123.851759259262</v>
      </c>
      <c r="K4">
        <v>84.416666666666671</v>
      </c>
      <c r="L4">
        <v>652.01666666666665</v>
      </c>
      <c r="M4">
        <v>563.85</v>
      </c>
      <c r="N4">
        <v>7430.6333333333332</v>
      </c>
      <c r="O4" s="21">
        <v>90</v>
      </c>
      <c r="Q4" s="21">
        <v>105</v>
      </c>
      <c r="S4" t="s">
        <v>83</v>
      </c>
    </row>
    <row r="5" spans="1:19" x14ac:dyDescent="0.35">
      <c r="A5" t="s">
        <v>80</v>
      </c>
      <c r="B5" s="46">
        <v>46117</v>
      </c>
      <c r="C5" t="s">
        <v>85</v>
      </c>
      <c r="D5" t="s">
        <v>32</v>
      </c>
      <c r="E5" t="s">
        <v>82</v>
      </c>
      <c r="F5" s="20">
        <v>46117.744780092595</v>
      </c>
      <c r="G5" s="20">
        <v>46117.801134259258</v>
      </c>
      <c r="H5" s="20">
        <v>46118.192337962966</v>
      </c>
      <c r="I5" s="20">
        <v>46118.402754629627</v>
      </c>
      <c r="J5" s="20">
        <v>46119.944826388892</v>
      </c>
      <c r="K5">
        <v>81.150000000000006</v>
      </c>
      <c r="L5">
        <v>563.33333333333337</v>
      </c>
      <c r="M5">
        <v>303</v>
      </c>
      <c r="N5">
        <v>2220.5833333333335</v>
      </c>
      <c r="O5" s="21">
        <v>90</v>
      </c>
      <c r="Q5" s="21">
        <v>105</v>
      </c>
      <c r="S5" t="s">
        <v>83</v>
      </c>
    </row>
    <row r="6" spans="1:19" x14ac:dyDescent="0.35">
      <c r="A6" t="s">
        <v>80</v>
      </c>
      <c r="B6" s="46">
        <v>46117</v>
      </c>
      <c r="C6" t="s">
        <v>86</v>
      </c>
      <c r="D6" t="s">
        <v>33</v>
      </c>
      <c r="E6" t="s">
        <v>87</v>
      </c>
      <c r="F6" s="20">
        <v>46117.902268518519</v>
      </c>
      <c r="G6" s="20">
        <v>46117.971539351849</v>
      </c>
      <c r="H6" s="20">
        <v>46118.231724537036</v>
      </c>
      <c r="I6" s="20">
        <v>46118.324421296296</v>
      </c>
      <c r="J6" s="20">
        <v>46118.541828703703</v>
      </c>
      <c r="K6">
        <v>99.75</v>
      </c>
      <c r="L6">
        <v>374.66666666666669</v>
      </c>
      <c r="M6">
        <v>133.48333333333332</v>
      </c>
      <c r="N6">
        <v>313.06666666666666</v>
      </c>
      <c r="O6" s="21">
        <v>90</v>
      </c>
      <c r="Q6" s="21">
        <v>105</v>
      </c>
      <c r="S6" t="s">
        <v>83</v>
      </c>
    </row>
    <row r="7" spans="1:19" x14ac:dyDescent="0.35">
      <c r="A7" t="s">
        <v>80</v>
      </c>
      <c r="B7" s="46">
        <v>46117</v>
      </c>
      <c r="C7" t="s">
        <v>88</v>
      </c>
      <c r="D7" t="s">
        <v>32</v>
      </c>
      <c r="E7" t="s">
        <v>82</v>
      </c>
      <c r="F7" s="20">
        <v>46117.732164351852</v>
      </c>
      <c r="G7" s="20">
        <v>46117.800486111111</v>
      </c>
      <c r="H7" s="20">
        <v>46118.010717592595</v>
      </c>
      <c r="I7" s="20">
        <v>46118.201018518521</v>
      </c>
      <c r="J7" s="20">
        <v>46118.245613425926</v>
      </c>
      <c r="K7">
        <v>98.38333333333334</v>
      </c>
      <c r="L7">
        <v>302.73333333333335</v>
      </c>
      <c r="M7">
        <v>274.03333333333336</v>
      </c>
      <c r="N7">
        <v>64.216666666666669</v>
      </c>
      <c r="O7" s="21">
        <v>90</v>
      </c>
      <c r="Q7" s="21">
        <v>105</v>
      </c>
      <c r="R7" t="s">
        <v>89</v>
      </c>
      <c r="S7" t="s">
        <v>83</v>
      </c>
    </row>
    <row r="8" spans="1:19" x14ac:dyDescent="0.35">
      <c r="A8" t="s">
        <v>80</v>
      </c>
      <c r="B8" s="46">
        <v>46117</v>
      </c>
      <c r="C8" t="s">
        <v>90</v>
      </c>
      <c r="D8" t="s">
        <v>91</v>
      </c>
      <c r="E8" t="s">
        <v>92</v>
      </c>
      <c r="F8" s="20">
        <v>46117.67255787037</v>
      </c>
      <c r="G8" s="20">
        <v>46117.708668981482</v>
      </c>
      <c r="H8" s="20">
        <v>46117.848761574074</v>
      </c>
      <c r="I8" s="20">
        <v>46117.862511574072</v>
      </c>
      <c r="J8" s="20">
        <v>46117.862986111111</v>
      </c>
      <c r="K8">
        <v>52</v>
      </c>
      <c r="L8">
        <v>201.73333333333332</v>
      </c>
      <c r="M8">
        <v>19.8</v>
      </c>
      <c r="N8">
        <v>0.68333333333333335</v>
      </c>
      <c r="O8" s="21">
        <v>90</v>
      </c>
      <c r="Q8" s="21">
        <v>105</v>
      </c>
      <c r="S8" t="s">
        <v>83</v>
      </c>
    </row>
    <row r="9" spans="1:19" x14ac:dyDescent="0.35">
      <c r="A9" t="s">
        <v>80</v>
      </c>
      <c r="B9" s="46">
        <v>46117</v>
      </c>
      <c r="C9" t="s">
        <v>93</v>
      </c>
      <c r="D9" t="s">
        <v>91</v>
      </c>
      <c r="E9" t="s">
        <v>94</v>
      </c>
      <c r="F9" s="20">
        <v>46117.800416666665</v>
      </c>
      <c r="G9" s="20">
        <v>46117.844282407408</v>
      </c>
      <c r="H9" s="20">
        <v>46117.982824074075</v>
      </c>
      <c r="I9" s="20">
        <v>46118.013553240744</v>
      </c>
      <c r="J9" s="20">
        <v>46118.172048611108</v>
      </c>
      <c r="K9">
        <v>63.166666666666664</v>
      </c>
      <c r="L9">
        <v>199.5</v>
      </c>
      <c r="M9">
        <v>44.25</v>
      </c>
      <c r="N9">
        <v>228.23333333333332</v>
      </c>
      <c r="O9" s="21">
        <v>90</v>
      </c>
      <c r="Q9" s="21">
        <v>105</v>
      </c>
      <c r="S9" t="s">
        <v>83</v>
      </c>
    </row>
    <row r="10" spans="1:19" x14ac:dyDescent="0.35">
      <c r="A10" t="s">
        <v>80</v>
      </c>
      <c r="B10" s="46">
        <v>46124</v>
      </c>
      <c r="C10" t="s">
        <v>90</v>
      </c>
      <c r="D10" t="s">
        <v>32</v>
      </c>
      <c r="E10" t="s">
        <v>82</v>
      </c>
      <c r="F10" s="20">
        <v>46124.630844907406</v>
      </c>
      <c r="G10" s="20">
        <v>46124.679479166669</v>
      </c>
      <c r="H10" s="20">
        <v>46124.811180555553</v>
      </c>
      <c r="I10" s="20">
        <v>46124.822083333333</v>
      </c>
      <c r="J10" s="20">
        <v>46124.957754629628</v>
      </c>
      <c r="K10">
        <v>70.033333333333331</v>
      </c>
      <c r="L10">
        <v>189.65</v>
      </c>
      <c r="M10">
        <v>15.7</v>
      </c>
      <c r="N10">
        <v>195.36666666666667</v>
      </c>
      <c r="O10" s="21">
        <v>90</v>
      </c>
      <c r="Q10" s="21">
        <v>105</v>
      </c>
      <c r="S10" t="s">
        <v>83</v>
      </c>
    </row>
    <row r="11" spans="1:19" x14ac:dyDescent="0.35">
      <c r="A11" t="s">
        <v>80</v>
      </c>
      <c r="B11" s="46">
        <v>46119</v>
      </c>
      <c r="C11" t="s">
        <v>95</v>
      </c>
      <c r="D11" t="s">
        <v>33</v>
      </c>
      <c r="E11" t="s">
        <v>87</v>
      </c>
      <c r="F11" s="20">
        <v>46119.793090277781</v>
      </c>
      <c r="G11" s="20">
        <v>46119.850428240738</v>
      </c>
      <c r="H11" s="20">
        <v>46119.971412037034</v>
      </c>
      <c r="I11" s="20">
        <v>46120.042083333334</v>
      </c>
      <c r="J11" s="20">
        <v>46123.693935185183</v>
      </c>
      <c r="K11">
        <v>82.566666666666663</v>
      </c>
      <c r="L11">
        <v>174.21666666666667</v>
      </c>
      <c r="M11">
        <v>101.76666666666667</v>
      </c>
      <c r="N11">
        <v>5258.666666666667</v>
      </c>
      <c r="O11" s="21">
        <v>90</v>
      </c>
      <c r="Q11" s="21">
        <v>105</v>
      </c>
      <c r="S11" t="s">
        <v>83</v>
      </c>
    </row>
    <row r="12" spans="1:19" x14ac:dyDescent="0.35">
      <c r="A12" t="s">
        <v>80</v>
      </c>
      <c r="B12" s="46">
        <v>46123</v>
      </c>
      <c r="C12" t="s">
        <v>81</v>
      </c>
      <c r="D12" t="s">
        <v>91</v>
      </c>
      <c r="E12" t="s">
        <v>443</v>
      </c>
      <c r="F12" s="20">
        <v>46123.891365740739</v>
      </c>
      <c r="G12" s="20">
        <v>46123.907696759263</v>
      </c>
      <c r="H12" s="20">
        <v>46124.015092592592</v>
      </c>
      <c r="I12" s="20">
        <v>46124.036747685182</v>
      </c>
      <c r="J12" s="20">
        <v>46124.380995370368</v>
      </c>
      <c r="K12">
        <v>23.516666666666666</v>
      </c>
      <c r="L12">
        <v>154.65</v>
      </c>
      <c r="M12">
        <v>31.183333333333334</v>
      </c>
      <c r="N12">
        <v>495.71666666666664</v>
      </c>
      <c r="O12" s="21">
        <v>90</v>
      </c>
      <c r="Q12" s="21">
        <v>105</v>
      </c>
      <c r="S12" t="s">
        <v>83</v>
      </c>
    </row>
    <row r="13" spans="1:19" x14ac:dyDescent="0.35">
      <c r="A13" t="s">
        <v>80</v>
      </c>
      <c r="B13" s="46">
        <v>46123</v>
      </c>
      <c r="C13" t="s">
        <v>88</v>
      </c>
      <c r="D13" t="s">
        <v>91</v>
      </c>
      <c r="E13" t="s">
        <v>443</v>
      </c>
      <c r="F13" s="20">
        <v>46123.815625000003</v>
      </c>
      <c r="G13" s="20">
        <v>46123.833020833335</v>
      </c>
      <c r="H13" s="20">
        <v>46123.939884259256</v>
      </c>
      <c r="I13" s="20">
        <v>46123.973101851851</v>
      </c>
      <c r="J13" s="20">
        <v>46124.331076388888</v>
      </c>
      <c r="K13">
        <v>25.05</v>
      </c>
      <c r="L13">
        <v>153.88333333333333</v>
      </c>
      <c r="M13">
        <v>47.833333333333336</v>
      </c>
      <c r="N13">
        <v>515.48333333333335</v>
      </c>
      <c r="O13" s="21">
        <v>90</v>
      </c>
      <c r="Q13" s="21">
        <v>105</v>
      </c>
      <c r="S13" t="s">
        <v>83</v>
      </c>
    </row>
    <row r="14" spans="1:19" x14ac:dyDescent="0.35">
      <c r="A14" t="s">
        <v>80</v>
      </c>
      <c r="B14" s="46">
        <v>46117</v>
      </c>
      <c r="C14" t="s">
        <v>95</v>
      </c>
      <c r="D14" t="s">
        <v>33</v>
      </c>
      <c r="E14" t="s">
        <v>87</v>
      </c>
      <c r="F14" s="20">
        <v>46117.919606481482</v>
      </c>
      <c r="G14" s="20">
        <v>46117.977361111109</v>
      </c>
      <c r="H14" s="20">
        <v>46118.076006944444</v>
      </c>
      <c r="I14" s="20">
        <v>46118.162858796299</v>
      </c>
      <c r="J14" s="20">
        <v>46118.369699074072</v>
      </c>
      <c r="K14">
        <v>83.166666666666671</v>
      </c>
      <c r="L14">
        <v>142.05000000000001</v>
      </c>
      <c r="M14">
        <v>125.06666666666666</v>
      </c>
      <c r="N14">
        <v>297.85000000000002</v>
      </c>
      <c r="O14" s="21">
        <v>90</v>
      </c>
      <c r="Q14" s="21">
        <v>105</v>
      </c>
      <c r="S14" t="s">
        <v>83</v>
      </c>
    </row>
    <row r="15" spans="1:19" x14ac:dyDescent="0.35">
      <c r="A15" t="s">
        <v>80</v>
      </c>
      <c r="B15" s="46">
        <v>46117</v>
      </c>
      <c r="C15" t="s">
        <v>96</v>
      </c>
      <c r="D15" t="s">
        <v>91</v>
      </c>
      <c r="E15" t="s">
        <v>94</v>
      </c>
      <c r="F15" s="20">
        <v>46117.59516203704</v>
      </c>
      <c r="G15" s="20">
        <v>46117.623495370368</v>
      </c>
      <c r="H15" s="20">
        <v>46117.712893518517</v>
      </c>
      <c r="I15" s="20">
        <v>46117.740324074075</v>
      </c>
      <c r="J15" s="20">
        <v>46117.740590277775</v>
      </c>
      <c r="K15">
        <v>40.799999999999997</v>
      </c>
      <c r="L15">
        <v>128.73333333333332</v>
      </c>
      <c r="M15">
        <v>39.5</v>
      </c>
      <c r="N15">
        <v>0.38333333333333336</v>
      </c>
      <c r="O15" s="21">
        <v>90</v>
      </c>
      <c r="Q15" s="21">
        <v>105</v>
      </c>
      <c r="S15" t="s">
        <v>83</v>
      </c>
    </row>
    <row r="16" spans="1:19" x14ac:dyDescent="0.35">
      <c r="A16" t="s">
        <v>80</v>
      </c>
      <c r="B16" s="46">
        <v>46119</v>
      </c>
      <c r="C16" t="s">
        <v>97</v>
      </c>
      <c r="D16" t="s">
        <v>33</v>
      </c>
      <c r="E16" t="s">
        <v>87</v>
      </c>
      <c r="F16" s="20">
        <v>46119.889456018522</v>
      </c>
      <c r="G16" s="20">
        <v>46119.947210648148</v>
      </c>
      <c r="H16" s="20">
        <v>46120.033599537041</v>
      </c>
      <c r="I16" s="20">
        <v>46120.404027777775</v>
      </c>
      <c r="J16" s="20">
        <v>46123.756689814814</v>
      </c>
      <c r="K16">
        <v>83.166666666666671</v>
      </c>
      <c r="L16">
        <v>124.4</v>
      </c>
      <c r="M16">
        <v>533.41666666666663</v>
      </c>
      <c r="N16">
        <v>4827.833333333333</v>
      </c>
      <c r="O16" s="21">
        <v>90</v>
      </c>
      <c r="Q16" s="21">
        <v>105</v>
      </c>
      <c r="S16" t="s">
        <v>83</v>
      </c>
    </row>
    <row r="17" spans="1:19" x14ac:dyDescent="0.35">
      <c r="A17" t="s">
        <v>80</v>
      </c>
      <c r="B17" s="46">
        <v>46124</v>
      </c>
      <c r="C17" t="s">
        <v>93</v>
      </c>
      <c r="D17" t="s">
        <v>91</v>
      </c>
      <c r="E17" t="s">
        <v>443</v>
      </c>
      <c r="F17" s="20">
        <v>46124.711851851855</v>
      </c>
      <c r="G17" s="20">
        <v>46124.733113425929</v>
      </c>
      <c r="H17" s="20">
        <v>46124.817210648151</v>
      </c>
      <c r="I17" s="20">
        <v>46124.861620370371</v>
      </c>
      <c r="J17" s="20">
        <v>46125.04146990741</v>
      </c>
      <c r="K17">
        <v>30.616666666666667</v>
      </c>
      <c r="L17">
        <v>121.1</v>
      </c>
      <c r="M17">
        <v>63.95</v>
      </c>
      <c r="N17">
        <v>258.98333333333335</v>
      </c>
      <c r="O17" s="21">
        <v>90</v>
      </c>
      <c r="Q17" s="21">
        <v>105</v>
      </c>
      <c r="S17" t="s">
        <v>83</v>
      </c>
    </row>
    <row r="18" spans="1:19" x14ac:dyDescent="0.35">
      <c r="A18" t="s">
        <v>80</v>
      </c>
      <c r="B18" s="46">
        <v>46118</v>
      </c>
      <c r="C18" t="s">
        <v>98</v>
      </c>
      <c r="D18" t="s">
        <v>33</v>
      </c>
      <c r="E18" t="s">
        <v>87</v>
      </c>
      <c r="F18" s="20">
        <v>46117.983726851853</v>
      </c>
      <c r="G18" s="20">
        <v>46118.035787037035</v>
      </c>
      <c r="H18" s="20">
        <v>46118.113946759258</v>
      </c>
      <c r="I18" s="20">
        <v>46118.201921296299</v>
      </c>
      <c r="J18" s="20">
        <v>46118.691689814812</v>
      </c>
      <c r="K18">
        <v>74.966666666666669</v>
      </c>
      <c r="L18">
        <v>112.55</v>
      </c>
      <c r="M18">
        <v>126.68333333333334</v>
      </c>
      <c r="N18">
        <v>705.26666666666665</v>
      </c>
      <c r="O18" s="21">
        <v>90</v>
      </c>
      <c r="Q18" s="21">
        <v>105</v>
      </c>
      <c r="S18" t="s">
        <v>83</v>
      </c>
    </row>
    <row r="19" spans="1:19" x14ac:dyDescent="0.35">
      <c r="A19" t="s">
        <v>80</v>
      </c>
      <c r="B19" s="46">
        <v>46118</v>
      </c>
      <c r="C19" t="s">
        <v>99</v>
      </c>
      <c r="D19" t="s">
        <v>91</v>
      </c>
      <c r="E19" t="s">
        <v>94</v>
      </c>
      <c r="F19" s="20">
        <v>46118.404733796298</v>
      </c>
      <c r="G19" s="20">
        <v>46118.430706018517</v>
      </c>
      <c r="H19" s="20">
        <v>46118.50409722222</v>
      </c>
      <c r="I19" s="20">
        <v>46118.532337962963</v>
      </c>
      <c r="J19" s="20">
        <v>46119.846412037034</v>
      </c>
      <c r="K19">
        <v>37.4</v>
      </c>
      <c r="L19">
        <v>105.68333333333334</v>
      </c>
      <c r="M19">
        <v>40.666666666666664</v>
      </c>
      <c r="N19">
        <v>1892.2666666666667</v>
      </c>
      <c r="O19" s="21">
        <v>90</v>
      </c>
      <c r="Q19" s="21">
        <v>105</v>
      </c>
      <c r="S19" t="s">
        <v>83</v>
      </c>
    </row>
    <row r="20" spans="1:19" x14ac:dyDescent="0.35">
      <c r="A20" t="s">
        <v>80</v>
      </c>
      <c r="B20" s="46">
        <v>46118</v>
      </c>
      <c r="C20" t="s">
        <v>100</v>
      </c>
      <c r="D20" t="s">
        <v>91</v>
      </c>
      <c r="E20" t="s">
        <v>94</v>
      </c>
      <c r="F20" s="20">
        <v>46118.36078703704</v>
      </c>
      <c r="G20" s="20">
        <v>46118.387743055559</v>
      </c>
      <c r="H20" s="20">
        <v>46118.457615740743</v>
      </c>
      <c r="I20" s="20">
        <v>46118.490648148145</v>
      </c>
      <c r="J20" s="20">
        <v>46119.748425925929</v>
      </c>
      <c r="K20">
        <v>38.81666666666667</v>
      </c>
      <c r="L20">
        <v>100.61666666666666</v>
      </c>
      <c r="M20">
        <v>47.56666666666667</v>
      </c>
      <c r="N20">
        <v>1811.2</v>
      </c>
      <c r="O20" s="21">
        <v>90</v>
      </c>
      <c r="Q20" s="21">
        <v>105</v>
      </c>
      <c r="S20" t="s">
        <v>83</v>
      </c>
    </row>
    <row r="21" spans="1:19" x14ac:dyDescent="0.35">
      <c r="A21" t="s">
        <v>80</v>
      </c>
      <c r="B21" s="46">
        <v>46117</v>
      </c>
      <c r="C21" t="s">
        <v>95</v>
      </c>
      <c r="D21" t="s">
        <v>33</v>
      </c>
      <c r="E21" t="s">
        <v>87</v>
      </c>
      <c r="F21" s="20">
        <v>46117.531215277777</v>
      </c>
      <c r="G21" s="20">
        <v>46117.652662037035</v>
      </c>
      <c r="H21" s="20">
        <v>46117.722083333334</v>
      </c>
      <c r="I21" s="20">
        <v>46117.918900462966</v>
      </c>
      <c r="J21" s="20">
        <v>46117.918912037036</v>
      </c>
      <c r="K21">
        <v>174.88333333333333</v>
      </c>
      <c r="L21">
        <v>99.966666666666669</v>
      </c>
      <c r="M21">
        <v>283.41666666666669</v>
      </c>
      <c r="N21">
        <v>1.6666666666666666E-2</v>
      </c>
      <c r="O21" s="21">
        <v>90</v>
      </c>
      <c r="Q21" s="21">
        <v>105</v>
      </c>
      <c r="S21" t="s">
        <v>83</v>
      </c>
    </row>
    <row r="22" spans="1:19" x14ac:dyDescent="0.35">
      <c r="A22" t="s">
        <v>80</v>
      </c>
      <c r="B22" s="46">
        <v>46118</v>
      </c>
      <c r="C22" t="s">
        <v>101</v>
      </c>
      <c r="D22" t="s">
        <v>33</v>
      </c>
      <c r="E22" t="s">
        <v>87</v>
      </c>
      <c r="F22" s="20">
        <v>46118.371377314812</v>
      </c>
      <c r="G22" s="20">
        <v>46118.414293981485</v>
      </c>
      <c r="H22" s="20">
        <v>46118.480925925927</v>
      </c>
      <c r="I22" s="20">
        <v>46118.555879629632</v>
      </c>
      <c r="J22" s="20">
        <v>46123.487650462965</v>
      </c>
      <c r="K22">
        <v>61.8</v>
      </c>
      <c r="L22">
        <v>95.95</v>
      </c>
      <c r="M22">
        <v>107.93333333333334</v>
      </c>
      <c r="N22">
        <v>7101.75</v>
      </c>
      <c r="O22" s="21">
        <v>90</v>
      </c>
      <c r="Q22" s="21">
        <v>105</v>
      </c>
      <c r="S22" t="s">
        <v>83</v>
      </c>
    </row>
    <row r="23" spans="1:19" x14ac:dyDescent="0.35">
      <c r="A23" t="s">
        <v>80</v>
      </c>
      <c r="B23" s="46">
        <v>46124</v>
      </c>
      <c r="C23" t="s">
        <v>101</v>
      </c>
      <c r="D23" t="s">
        <v>91</v>
      </c>
      <c r="E23" t="s">
        <v>443</v>
      </c>
      <c r="F23" s="20">
        <v>46124.457337962966</v>
      </c>
      <c r="G23" s="20">
        <v>46124.480428240742</v>
      </c>
      <c r="H23" s="20">
        <v>46124.543877314813</v>
      </c>
      <c r="I23" s="20">
        <v>46124.582812499997</v>
      </c>
      <c r="J23" s="20">
        <v>46124.708067129628</v>
      </c>
      <c r="K23">
        <v>33.25</v>
      </c>
      <c r="L23">
        <v>91.36666666666666</v>
      </c>
      <c r="M23">
        <v>56.06666666666667</v>
      </c>
      <c r="N23">
        <v>180.36666666666667</v>
      </c>
      <c r="O23" s="21">
        <v>90</v>
      </c>
      <c r="Q23" s="21">
        <v>105</v>
      </c>
      <c r="S23" t="s">
        <v>83</v>
      </c>
    </row>
    <row r="24" spans="1:19" x14ac:dyDescent="0.35">
      <c r="A24" t="s">
        <v>80</v>
      </c>
      <c r="B24" s="46">
        <v>46124</v>
      </c>
      <c r="C24" t="s">
        <v>95</v>
      </c>
      <c r="D24" t="s">
        <v>32</v>
      </c>
      <c r="E24" t="s">
        <v>82</v>
      </c>
      <c r="F24" s="20">
        <v>46124.877002314817</v>
      </c>
      <c r="G24" s="20">
        <v>46124.946018518516</v>
      </c>
      <c r="H24" s="20">
        <v>46125.008067129631</v>
      </c>
      <c r="I24" s="20">
        <v>46125.083749999998</v>
      </c>
      <c r="J24" s="20"/>
      <c r="K24">
        <v>99.38333333333334</v>
      </c>
      <c r="L24">
        <v>89.35</v>
      </c>
      <c r="M24">
        <v>108.98333333333333</v>
      </c>
      <c r="O24" s="21">
        <v>90</v>
      </c>
      <c r="P24" t="s">
        <v>89</v>
      </c>
      <c r="Q24" s="21">
        <v>105</v>
      </c>
      <c r="S24" t="s">
        <v>83</v>
      </c>
    </row>
    <row r="25" spans="1:19" x14ac:dyDescent="0.35">
      <c r="A25" t="s">
        <v>80</v>
      </c>
      <c r="B25" s="46">
        <v>46124</v>
      </c>
      <c r="C25" t="s">
        <v>81</v>
      </c>
      <c r="D25" t="s">
        <v>91</v>
      </c>
      <c r="E25" t="s">
        <v>443</v>
      </c>
      <c r="F25" s="20">
        <v>46124.786180555559</v>
      </c>
      <c r="G25" s="20">
        <v>46124.807199074072</v>
      </c>
      <c r="H25" s="20">
        <v>46124.866076388891</v>
      </c>
      <c r="I25" s="20">
        <v>46124.940324074072</v>
      </c>
      <c r="J25" s="20">
        <v>46125.054282407407</v>
      </c>
      <c r="K25">
        <v>30.266666666666666</v>
      </c>
      <c r="L25">
        <v>84.783333333333331</v>
      </c>
      <c r="M25">
        <v>106.91666666666667</v>
      </c>
      <c r="N25">
        <v>164.1</v>
      </c>
      <c r="O25" s="21">
        <v>90</v>
      </c>
      <c r="P25" t="s">
        <v>89</v>
      </c>
      <c r="Q25" s="21">
        <v>105</v>
      </c>
      <c r="S25" t="s">
        <v>83</v>
      </c>
    </row>
    <row r="26" spans="1:19" x14ac:dyDescent="0.35">
      <c r="A26" t="s">
        <v>80</v>
      </c>
      <c r="B26" s="46">
        <v>46120</v>
      </c>
      <c r="C26" t="s">
        <v>85</v>
      </c>
      <c r="D26" t="s">
        <v>33</v>
      </c>
      <c r="E26" t="s">
        <v>87</v>
      </c>
      <c r="F26" s="20">
        <v>46119.945520833331</v>
      </c>
      <c r="G26" s="20">
        <v>46120.001030092593</v>
      </c>
      <c r="H26" s="20">
        <v>46120.057291666664</v>
      </c>
      <c r="I26" s="20">
        <v>46122.144178240742</v>
      </c>
      <c r="J26" s="20">
        <v>46123.719953703701</v>
      </c>
      <c r="K26">
        <v>79.933333333333337</v>
      </c>
      <c r="L26">
        <v>81.016666666666666</v>
      </c>
      <c r="M26">
        <v>3005.1166666666668</v>
      </c>
      <c r="N26">
        <v>2269.1166666666668</v>
      </c>
      <c r="O26" s="21">
        <v>90</v>
      </c>
      <c r="P26" t="s">
        <v>89</v>
      </c>
      <c r="Q26" s="21">
        <v>105</v>
      </c>
      <c r="S26" t="s">
        <v>83</v>
      </c>
    </row>
    <row r="27" spans="1:19" x14ac:dyDescent="0.35">
      <c r="A27" t="s">
        <v>80</v>
      </c>
      <c r="B27" s="46">
        <v>46124</v>
      </c>
      <c r="C27" t="s">
        <v>98</v>
      </c>
      <c r="D27" t="s">
        <v>91</v>
      </c>
      <c r="E27" t="s">
        <v>443</v>
      </c>
      <c r="F27" s="20">
        <v>46124.846516203703</v>
      </c>
      <c r="G27" s="20">
        <v>46124.86347222222</v>
      </c>
      <c r="H27" s="20">
        <v>46124.916967592595</v>
      </c>
      <c r="I27" s="20">
        <v>46124.946458333332</v>
      </c>
      <c r="J27" s="20">
        <v>46125.067430555559</v>
      </c>
      <c r="K27">
        <v>24.416666666666668</v>
      </c>
      <c r="L27">
        <v>77.033333333333331</v>
      </c>
      <c r="M27">
        <v>42.466666666666669</v>
      </c>
      <c r="N27">
        <v>174.2</v>
      </c>
      <c r="O27" s="21">
        <v>90</v>
      </c>
      <c r="P27" t="s">
        <v>89</v>
      </c>
      <c r="Q27" s="21">
        <v>105</v>
      </c>
      <c r="S27" t="s">
        <v>83</v>
      </c>
    </row>
    <row r="28" spans="1:19" x14ac:dyDescent="0.35">
      <c r="A28" t="s">
        <v>80</v>
      </c>
      <c r="B28" s="46">
        <v>46117</v>
      </c>
      <c r="C28" t="s">
        <v>81</v>
      </c>
      <c r="D28" t="s">
        <v>91</v>
      </c>
      <c r="E28" t="s">
        <v>94</v>
      </c>
      <c r="F28" s="20">
        <v>46117.642627314817</v>
      </c>
      <c r="G28" s="20">
        <v>46117.676550925928</v>
      </c>
      <c r="H28" s="20">
        <v>46117.729270833333</v>
      </c>
      <c r="I28" s="20">
        <v>46117.92287037037</v>
      </c>
      <c r="J28" s="20">
        <v>46117.92260416667</v>
      </c>
      <c r="K28">
        <v>48.85</v>
      </c>
      <c r="L28">
        <v>75.916666666666671</v>
      </c>
      <c r="M28">
        <v>278.78333333333336</v>
      </c>
      <c r="N28">
        <v>-0.38333333333333336</v>
      </c>
      <c r="O28" s="21">
        <v>90</v>
      </c>
      <c r="P28" t="s">
        <v>89</v>
      </c>
      <c r="Q28" s="21">
        <v>105</v>
      </c>
      <c r="S28" t="s">
        <v>83</v>
      </c>
    </row>
    <row r="29" spans="1:19" x14ac:dyDescent="0.35">
      <c r="A29" t="s">
        <v>80</v>
      </c>
      <c r="B29" s="46">
        <v>46118</v>
      </c>
      <c r="C29" t="s">
        <v>90</v>
      </c>
      <c r="D29" t="s">
        <v>33</v>
      </c>
      <c r="E29" t="s">
        <v>87</v>
      </c>
      <c r="F29" s="20">
        <v>46118.142997685187</v>
      </c>
      <c r="G29" s="20">
        <v>46118.202592592592</v>
      </c>
      <c r="H29" s="20">
        <v>46118.252962962964</v>
      </c>
      <c r="I29" s="20">
        <v>46118.326111111113</v>
      </c>
      <c r="J29" s="20">
        <v>46118.73636574074</v>
      </c>
      <c r="K29">
        <v>85.816666666666663</v>
      </c>
      <c r="L29">
        <v>72.533333333333331</v>
      </c>
      <c r="M29">
        <v>105.33333333333333</v>
      </c>
      <c r="N29">
        <v>590.76666666666665</v>
      </c>
      <c r="O29" s="21">
        <v>90</v>
      </c>
      <c r="P29" t="s">
        <v>89</v>
      </c>
      <c r="Q29" s="21">
        <v>105</v>
      </c>
      <c r="S29" t="s">
        <v>83</v>
      </c>
    </row>
    <row r="30" spans="1:19" x14ac:dyDescent="0.35">
      <c r="A30" t="s">
        <v>80</v>
      </c>
      <c r="B30" s="46">
        <v>46124</v>
      </c>
      <c r="C30" t="s">
        <v>126</v>
      </c>
      <c r="D30" t="s">
        <v>33</v>
      </c>
      <c r="E30" t="s">
        <v>87</v>
      </c>
      <c r="F30" s="20">
        <v>46124.848819444444</v>
      </c>
      <c r="G30" s="20">
        <v>46124.902465277781</v>
      </c>
      <c r="H30" s="20">
        <v>46124.951608796298</v>
      </c>
      <c r="I30" s="20">
        <v>46125.052291666667</v>
      </c>
      <c r="J30" s="20"/>
      <c r="K30">
        <v>77.25</v>
      </c>
      <c r="L30">
        <v>70.766666666666666</v>
      </c>
      <c r="M30">
        <v>144.98333333333332</v>
      </c>
      <c r="O30" s="21">
        <v>90</v>
      </c>
      <c r="P30" t="s">
        <v>89</v>
      </c>
      <c r="Q30" s="21">
        <v>105</v>
      </c>
      <c r="S30" t="s">
        <v>83</v>
      </c>
    </row>
    <row r="31" spans="1:19" x14ac:dyDescent="0.35">
      <c r="A31" t="s">
        <v>80</v>
      </c>
      <c r="B31" s="46">
        <v>46124</v>
      </c>
      <c r="C31" t="s">
        <v>100</v>
      </c>
      <c r="D31" t="s">
        <v>33</v>
      </c>
      <c r="E31" t="s">
        <v>87</v>
      </c>
      <c r="F31" s="20">
        <v>46124.821157407408</v>
      </c>
      <c r="G31" s="20">
        <v>46124.875277777777</v>
      </c>
      <c r="H31" s="20">
        <v>46124.9218287037</v>
      </c>
      <c r="I31" s="20">
        <v>46125.024351851855</v>
      </c>
      <c r="J31" s="20">
        <v>46125.076516203706</v>
      </c>
      <c r="K31">
        <v>77.933333333333337</v>
      </c>
      <c r="L31">
        <v>67.033333333333331</v>
      </c>
      <c r="M31">
        <v>147.63333333333333</v>
      </c>
      <c r="N31">
        <v>75.11666666666666</v>
      </c>
      <c r="O31" s="21">
        <v>90</v>
      </c>
      <c r="P31" t="s">
        <v>89</v>
      </c>
      <c r="Q31" s="21">
        <v>105</v>
      </c>
      <c r="R31" t="s">
        <v>89</v>
      </c>
      <c r="S31" t="s">
        <v>83</v>
      </c>
    </row>
    <row r="32" spans="1:19" x14ac:dyDescent="0.35">
      <c r="A32" t="s">
        <v>80</v>
      </c>
      <c r="B32" s="46">
        <v>46124</v>
      </c>
      <c r="C32" t="s">
        <v>95</v>
      </c>
      <c r="D32" t="s">
        <v>32</v>
      </c>
      <c r="E32" t="s">
        <v>82</v>
      </c>
      <c r="F32" s="20">
        <v>46124.561099537037</v>
      </c>
      <c r="G32" s="20">
        <v>46124.611261574071</v>
      </c>
      <c r="H32" s="20">
        <v>46124.654930555553</v>
      </c>
      <c r="I32" s="20">
        <v>46124.714722222219</v>
      </c>
      <c r="J32" s="20">
        <v>46124.876307870371</v>
      </c>
      <c r="K32">
        <v>72.233333333333334</v>
      </c>
      <c r="L32">
        <v>62.883333333333333</v>
      </c>
      <c r="M32">
        <v>86.1</v>
      </c>
      <c r="N32">
        <v>232.68333333333334</v>
      </c>
      <c r="O32" s="21">
        <v>90</v>
      </c>
      <c r="P32" t="s">
        <v>89</v>
      </c>
      <c r="Q32" s="21">
        <v>105</v>
      </c>
      <c r="S32" t="s">
        <v>83</v>
      </c>
    </row>
    <row r="33" spans="1:19" x14ac:dyDescent="0.35">
      <c r="A33" t="s">
        <v>80</v>
      </c>
      <c r="B33" s="46">
        <v>46124</v>
      </c>
      <c r="C33" t="s">
        <v>102</v>
      </c>
      <c r="D33" t="s">
        <v>33</v>
      </c>
      <c r="E33" t="s">
        <v>87</v>
      </c>
      <c r="F33" s="20">
        <v>46124.612118055556</v>
      </c>
      <c r="G33" s="20">
        <v>46124.663217592592</v>
      </c>
      <c r="H33" s="20">
        <v>46124.702881944446</v>
      </c>
      <c r="I33" s="20">
        <v>46124.780127314814</v>
      </c>
      <c r="J33" s="20">
        <v>46124.936400462961</v>
      </c>
      <c r="K33">
        <v>73.583333333333329</v>
      </c>
      <c r="L33">
        <v>57.116666666666667</v>
      </c>
      <c r="M33">
        <v>111.23333333333333</v>
      </c>
      <c r="N33">
        <v>225.03333333333333</v>
      </c>
      <c r="O33" s="21">
        <v>90</v>
      </c>
      <c r="P33" t="s">
        <v>89</v>
      </c>
      <c r="Q33" s="21">
        <v>105</v>
      </c>
      <c r="S33" t="s">
        <v>83</v>
      </c>
    </row>
    <row r="34" spans="1:19" x14ac:dyDescent="0.35">
      <c r="A34" t="s">
        <v>80</v>
      </c>
      <c r="B34" s="46">
        <v>46124</v>
      </c>
      <c r="C34" t="s">
        <v>106</v>
      </c>
      <c r="D34" t="s">
        <v>33</v>
      </c>
      <c r="E34" t="s">
        <v>87</v>
      </c>
      <c r="F34" s="20">
        <v>46124.747129629628</v>
      </c>
      <c r="G34" s="20">
        <v>46124.800798611112</v>
      </c>
      <c r="H34" s="20">
        <v>46124.836793981478</v>
      </c>
      <c r="I34" s="20">
        <v>46124.928912037038</v>
      </c>
      <c r="J34" s="20">
        <v>46125.035428240742</v>
      </c>
      <c r="K34">
        <v>77.283333333333331</v>
      </c>
      <c r="L34">
        <v>51.833333333333336</v>
      </c>
      <c r="M34">
        <v>132.65</v>
      </c>
      <c r="N34">
        <v>153.38333333333333</v>
      </c>
      <c r="O34" s="21">
        <v>90</v>
      </c>
      <c r="P34" t="s">
        <v>89</v>
      </c>
      <c r="Q34" s="21">
        <v>105</v>
      </c>
      <c r="S34" t="s">
        <v>83</v>
      </c>
    </row>
    <row r="35" spans="1:19" x14ac:dyDescent="0.35">
      <c r="A35" t="s">
        <v>80</v>
      </c>
      <c r="B35" s="46">
        <v>46118</v>
      </c>
      <c r="C35" t="s">
        <v>102</v>
      </c>
      <c r="D35" t="s">
        <v>33</v>
      </c>
      <c r="E35" t="s">
        <v>87</v>
      </c>
      <c r="F35" s="20">
        <v>46118.365300925929</v>
      </c>
      <c r="G35" s="20">
        <v>46118.41233796296</v>
      </c>
      <c r="H35" s="20">
        <v>46118.44767361111</v>
      </c>
      <c r="I35" s="20">
        <v>46118.547048611108</v>
      </c>
      <c r="J35" s="20">
        <v>46118.819062499999</v>
      </c>
      <c r="K35">
        <v>67.733333333333334</v>
      </c>
      <c r="L35">
        <v>50.883333333333333</v>
      </c>
      <c r="M35">
        <v>143.1</v>
      </c>
      <c r="N35">
        <v>391.7</v>
      </c>
      <c r="O35" s="21">
        <v>90</v>
      </c>
      <c r="P35" t="s">
        <v>89</v>
      </c>
      <c r="Q35" s="21">
        <v>105</v>
      </c>
      <c r="S35" t="s">
        <v>83</v>
      </c>
    </row>
    <row r="36" spans="1:19" x14ac:dyDescent="0.35">
      <c r="A36" t="s">
        <v>80</v>
      </c>
      <c r="B36" s="46">
        <v>46117</v>
      </c>
      <c r="C36" t="s">
        <v>90</v>
      </c>
      <c r="D36" t="s">
        <v>33</v>
      </c>
      <c r="E36" t="s">
        <v>87</v>
      </c>
      <c r="F36" s="20">
        <v>46117.863680555558</v>
      </c>
      <c r="G36" s="20">
        <v>46117.923125000001</v>
      </c>
      <c r="H36" s="20">
        <v>46117.957743055558</v>
      </c>
      <c r="I36" s="20">
        <v>46118.041747685187</v>
      </c>
      <c r="J36" s="20">
        <v>46118.14230324074</v>
      </c>
      <c r="K36">
        <v>85.6</v>
      </c>
      <c r="L36">
        <v>49.85</v>
      </c>
      <c r="M36">
        <v>120.96666666666667</v>
      </c>
      <c r="N36">
        <v>144.80000000000001</v>
      </c>
      <c r="O36" s="21">
        <v>90</v>
      </c>
      <c r="P36" t="s">
        <v>89</v>
      </c>
      <c r="Q36" s="21">
        <v>105</v>
      </c>
      <c r="S36" t="s">
        <v>83</v>
      </c>
    </row>
    <row r="37" spans="1:19" x14ac:dyDescent="0.35">
      <c r="A37" t="s">
        <v>80</v>
      </c>
      <c r="B37" s="46">
        <v>46124</v>
      </c>
      <c r="C37" t="s">
        <v>85</v>
      </c>
      <c r="D37" t="s">
        <v>33</v>
      </c>
      <c r="E37" t="s">
        <v>87</v>
      </c>
      <c r="F37" s="20">
        <v>46124.703182870369</v>
      </c>
      <c r="G37" s="20">
        <v>46124.758703703701</v>
      </c>
      <c r="H37" s="20">
        <v>46124.793229166666</v>
      </c>
      <c r="I37" s="20">
        <v>46124.880277777775</v>
      </c>
      <c r="J37" s="20">
        <v>46125.080405092594</v>
      </c>
      <c r="K37">
        <v>79.95</v>
      </c>
      <c r="L37">
        <v>49.716666666666669</v>
      </c>
      <c r="M37">
        <v>125.35</v>
      </c>
      <c r="N37">
        <v>288.18333333333334</v>
      </c>
      <c r="O37" s="21">
        <v>90</v>
      </c>
      <c r="P37" t="s">
        <v>89</v>
      </c>
      <c r="Q37" s="21">
        <v>105</v>
      </c>
      <c r="S37" t="s">
        <v>83</v>
      </c>
    </row>
    <row r="38" spans="1:19" x14ac:dyDescent="0.35">
      <c r="A38" t="s">
        <v>80</v>
      </c>
      <c r="B38" s="46">
        <v>46118</v>
      </c>
      <c r="C38" t="s">
        <v>93</v>
      </c>
      <c r="D38" t="s">
        <v>33</v>
      </c>
      <c r="E38" t="s">
        <v>87</v>
      </c>
      <c r="F38" s="20">
        <v>46118.172743055555</v>
      </c>
      <c r="G38" s="20">
        <v>46118.228680555556</v>
      </c>
      <c r="H38" s="20">
        <v>46118.26289351852</v>
      </c>
      <c r="I38" s="20">
        <v>46118.884108796294</v>
      </c>
      <c r="J38" s="20">
        <v>46119.571111111109</v>
      </c>
      <c r="K38">
        <v>80.55</v>
      </c>
      <c r="L38">
        <v>49.266666666666666</v>
      </c>
      <c r="M38">
        <v>894.55</v>
      </c>
      <c r="N38">
        <v>989.2833333333333</v>
      </c>
      <c r="O38" s="21">
        <v>90</v>
      </c>
      <c r="P38" t="s">
        <v>89</v>
      </c>
      <c r="Q38" s="21">
        <v>105</v>
      </c>
      <c r="S38" t="s">
        <v>83</v>
      </c>
    </row>
    <row r="39" spans="1:19" x14ac:dyDescent="0.35">
      <c r="A39" t="s">
        <v>80</v>
      </c>
      <c r="B39" s="46">
        <v>46124</v>
      </c>
      <c r="C39" t="s">
        <v>442</v>
      </c>
      <c r="D39" t="s">
        <v>33</v>
      </c>
      <c r="E39" t="s">
        <v>87</v>
      </c>
      <c r="F39" s="20">
        <v>46124.668958333335</v>
      </c>
      <c r="G39" s="20">
        <v>46124.725092592591</v>
      </c>
      <c r="H39" s="20">
        <v>46124.759108796294</v>
      </c>
      <c r="I39" s="20">
        <v>46124.851006944446</v>
      </c>
      <c r="J39" s="20">
        <v>46124.998101851852</v>
      </c>
      <c r="K39">
        <v>80.833333333333329</v>
      </c>
      <c r="L39">
        <v>48.983333333333334</v>
      </c>
      <c r="M39">
        <v>132.33333333333334</v>
      </c>
      <c r="N39">
        <v>211.81666666666666</v>
      </c>
      <c r="O39" s="21">
        <v>90</v>
      </c>
      <c r="P39" t="s">
        <v>89</v>
      </c>
      <c r="Q39" s="21">
        <v>105</v>
      </c>
      <c r="S39" t="s">
        <v>83</v>
      </c>
    </row>
    <row r="40" spans="1:19" x14ac:dyDescent="0.35">
      <c r="A40" t="s">
        <v>80</v>
      </c>
      <c r="B40" s="46">
        <v>46124</v>
      </c>
      <c r="C40" t="s">
        <v>84</v>
      </c>
      <c r="D40" t="s">
        <v>33</v>
      </c>
      <c r="E40" t="s">
        <v>87</v>
      </c>
      <c r="F40" s="20">
        <v>46124.787569444445</v>
      </c>
      <c r="G40" s="20">
        <v>46124.861666666664</v>
      </c>
      <c r="H40" s="20">
        <v>46124.894918981481</v>
      </c>
      <c r="I40" s="20">
        <v>46125.099861111114</v>
      </c>
      <c r="J40" s="20"/>
      <c r="K40">
        <v>106.7</v>
      </c>
      <c r="L40">
        <v>47.883333333333333</v>
      </c>
      <c r="M40">
        <v>295.11666666666667</v>
      </c>
      <c r="O40" s="21">
        <v>90</v>
      </c>
      <c r="P40" t="s">
        <v>89</v>
      </c>
      <c r="Q40" s="21">
        <v>105</v>
      </c>
      <c r="S40" t="s">
        <v>83</v>
      </c>
    </row>
    <row r="41" spans="1:19" x14ac:dyDescent="0.35">
      <c r="A41" t="s">
        <v>80</v>
      </c>
      <c r="B41" s="46">
        <v>46124</v>
      </c>
      <c r="C41" t="s">
        <v>86</v>
      </c>
      <c r="D41" t="s">
        <v>33</v>
      </c>
      <c r="E41" t="s">
        <v>87</v>
      </c>
      <c r="F41" s="20">
        <v>46124.645624999997</v>
      </c>
      <c r="G41" s="20">
        <v>46124.694548611114</v>
      </c>
      <c r="H41" s="20">
        <v>46124.727407407408</v>
      </c>
      <c r="I41" s="20">
        <v>46124.897569444445</v>
      </c>
      <c r="J41" s="20">
        <v>46125.005127314813</v>
      </c>
      <c r="K41">
        <v>70.45</v>
      </c>
      <c r="L41">
        <v>47.31666666666667</v>
      </c>
      <c r="M41">
        <v>245.03333333333333</v>
      </c>
      <c r="N41">
        <v>154.88333333333333</v>
      </c>
      <c r="O41" s="21">
        <v>90</v>
      </c>
      <c r="P41" t="s">
        <v>89</v>
      </c>
      <c r="Q41" s="21">
        <v>105</v>
      </c>
      <c r="S41" t="s">
        <v>83</v>
      </c>
    </row>
    <row r="42" spans="1:19" x14ac:dyDescent="0.35">
      <c r="A42" t="s">
        <v>80</v>
      </c>
      <c r="B42" s="46">
        <v>46123</v>
      </c>
      <c r="C42" t="s">
        <v>107</v>
      </c>
      <c r="D42" t="s">
        <v>33</v>
      </c>
      <c r="E42" t="s">
        <v>87</v>
      </c>
      <c r="F42" s="20">
        <v>46123.766446759262</v>
      </c>
      <c r="G42" s="20">
        <v>46123.817037037035</v>
      </c>
      <c r="H42" s="20">
        <v>46123.849178240744</v>
      </c>
      <c r="I42" s="20">
        <v>46123.93822916667</v>
      </c>
      <c r="J42" s="20">
        <v>46124.452673611115</v>
      </c>
      <c r="K42">
        <v>72.849999999999994</v>
      </c>
      <c r="L42">
        <v>46.283333333333331</v>
      </c>
      <c r="M42">
        <v>128.23333333333332</v>
      </c>
      <c r="N42">
        <v>740.8</v>
      </c>
      <c r="O42" s="21">
        <v>90</v>
      </c>
      <c r="P42" t="s">
        <v>89</v>
      </c>
      <c r="Q42" s="21">
        <v>105</v>
      </c>
      <c r="S42" t="s">
        <v>83</v>
      </c>
    </row>
    <row r="43" spans="1:19" x14ac:dyDescent="0.35">
      <c r="A43" t="s">
        <v>80</v>
      </c>
      <c r="B43" s="46">
        <v>46123</v>
      </c>
      <c r="C43" t="s">
        <v>99</v>
      </c>
      <c r="D43" t="s">
        <v>33</v>
      </c>
      <c r="E43" t="s">
        <v>87</v>
      </c>
      <c r="F43" s="20">
        <v>46123.740497685183</v>
      </c>
      <c r="G43" s="20">
        <v>46123.798750000002</v>
      </c>
      <c r="H43" s="20">
        <v>46123.828460648147</v>
      </c>
      <c r="I43" s="20">
        <v>46123.916944444441</v>
      </c>
      <c r="J43" s="20">
        <v>46124.659710648149</v>
      </c>
      <c r="K43">
        <v>83.88333333333334</v>
      </c>
      <c r="L43">
        <v>42.783333333333331</v>
      </c>
      <c r="M43">
        <v>127.41666666666667</v>
      </c>
      <c r="N43">
        <v>1069.5833333333333</v>
      </c>
      <c r="O43" s="21">
        <v>90</v>
      </c>
      <c r="P43" t="s">
        <v>89</v>
      </c>
      <c r="Q43" s="21">
        <v>105</v>
      </c>
      <c r="S43" t="s">
        <v>83</v>
      </c>
    </row>
    <row r="44" spans="1:19" x14ac:dyDescent="0.35">
      <c r="A44" t="s">
        <v>80</v>
      </c>
      <c r="B44" s="46">
        <v>46124</v>
      </c>
      <c r="C44" t="s">
        <v>107</v>
      </c>
      <c r="D44" t="s">
        <v>32</v>
      </c>
      <c r="E44" t="s">
        <v>82</v>
      </c>
      <c r="F44" s="20">
        <v>46124.453368055554</v>
      </c>
      <c r="G44" s="20">
        <v>46124.514525462961</v>
      </c>
      <c r="H44" s="20">
        <v>46124.544027777774</v>
      </c>
      <c r="I44" s="20">
        <v>46124.679756944446</v>
      </c>
      <c r="J44" s="20">
        <v>46124.724606481483</v>
      </c>
      <c r="K44">
        <v>88.066666666666663</v>
      </c>
      <c r="L44">
        <v>42.483333333333334</v>
      </c>
      <c r="M44">
        <v>195.45</v>
      </c>
      <c r="N44">
        <v>64.583333333333329</v>
      </c>
      <c r="O44" s="21">
        <v>90</v>
      </c>
      <c r="P44" t="s">
        <v>89</v>
      </c>
      <c r="Q44" s="21">
        <v>105</v>
      </c>
      <c r="R44" t="s">
        <v>89</v>
      </c>
      <c r="S44" t="s">
        <v>83</v>
      </c>
    </row>
    <row r="45" spans="1:19" x14ac:dyDescent="0.35">
      <c r="A45" t="s">
        <v>80</v>
      </c>
      <c r="B45" s="46">
        <v>46123</v>
      </c>
      <c r="C45" t="s">
        <v>103</v>
      </c>
      <c r="D45" t="s">
        <v>33</v>
      </c>
      <c r="E45" t="s">
        <v>87</v>
      </c>
      <c r="F45" s="20">
        <v>46123.719733796293</v>
      </c>
      <c r="G45" s="20">
        <v>46123.775196759256</v>
      </c>
      <c r="H45" s="20">
        <v>46123.803368055553</v>
      </c>
      <c r="I45" s="20">
        <v>46123.886747685188</v>
      </c>
      <c r="J45" s="20">
        <v>46124.355624999997</v>
      </c>
      <c r="K45">
        <v>79.86666666666666</v>
      </c>
      <c r="L45">
        <v>40.56666666666667</v>
      </c>
      <c r="M45">
        <v>120.06666666666666</v>
      </c>
      <c r="N45">
        <v>675.18333333333328</v>
      </c>
      <c r="O45" s="21">
        <v>90</v>
      </c>
      <c r="P45" t="s">
        <v>89</v>
      </c>
      <c r="Q45" s="21">
        <v>105</v>
      </c>
      <c r="S45" t="s">
        <v>83</v>
      </c>
    </row>
    <row r="46" spans="1:19" x14ac:dyDescent="0.35">
      <c r="A46" t="s">
        <v>80</v>
      </c>
      <c r="B46" s="46">
        <v>46124</v>
      </c>
      <c r="C46" t="s">
        <v>109</v>
      </c>
      <c r="D46" t="s">
        <v>33</v>
      </c>
      <c r="E46" t="s">
        <v>87</v>
      </c>
      <c r="F46" s="20">
        <v>46124.922210648147</v>
      </c>
      <c r="G46" s="20">
        <v>46124.978576388887</v>
      </c>
      <c r="H46" s="20">
        <v>46125.006666666668</v>
      </c>
      <c r="I46" s="20">
        <v>46125.128692129627</v>
      </c>
      <c r="J46" s="20"/>
      <c r="K46">
        <v>81.166666666666671</v>
      </c>
      <c r="L46">
        <v>40.450000000000003</v>
      </c>
      <c r="M46">
        <v>175.71666666666667</v>
      </c>
      <c r="O46" s="21">
        <v>90</v>
      </c>
      <c r="P46" t="s">
        <v>89</v>
      </c>
      <c r="Q46" s="21">
        <v>105</v>
      </c>
      <c r="S46" t="s">
        <v>83</v>
      </c>
    </row>
    <row r="47" spans="1:19" x14ac:dyDescent="0.35">
      <c r="A47" t="s">
        <v>80</v>
      </c>
      <c r="B47" s="46">
        <v>46124</v>
      </c>
      <c r="C47" t="s">
        <v>88</v>
      </c>
      <c r="D47" t="s">
        <v>91</v>
      </c>
      <c r="E47" t="s">
        <v>443</v>
      </c>
      <c r="F47" s="20">
        <v>46124.567824074074</v>
      </c>
      <c r="G47" s="20">
        <v>46124.583124999997</v>
      </c>
      <c r="H47" s="20">
        <v>46124.609444444446</v>
      </c>
      <c r="I47" s="20">
        <v>46124.636944444443</v>
      </c>
      <c r="J47" s="20">
        <v>46124.772592592592</v>
      </c>
      <c r="K47">
        <v>22.033333333333335</v>
      </c>
      <c r="L47">
        <v>37.9</v>
      </c>
      <c r="M47">
        <v>39.6</v>
      </c>
      <c r="N47">
        <v>195.33333333333334</v>
      </c>
      <c r="O47" s="21">
        <v>90</v>
      </c>
      <c r="P47" t="s">
        <v>89</v>
      </c>
      <c r="Q47" s="21">
        <v>105</v>
      </c>
      <c r="S47" t="s">
        <v>83</v>
      </c>
    </row>
    <row r="48" spans="1:19" x14ac:dyDescent="0.35">
      <c r="A48" t="s">
        <v>80</v>
      </c>
      <c r="B48" s="46">
        <v>46124</v>
      </c>
      <c r="C48" t="s">
        <v>101</v>
      </c>
      <c r="D48" t="s">
        <v>91</v>
      </c>
      <c r="E48" t="s">
        <v>443</v>
      </c>
      <c r="F48" s="20">
        <v>46124.708761574075</v>
      </c>
      <c r="G48" s="20">
        <v>46124.728495370371</v>
      </c>
      <c r="H48" s="20">
        <v>46124.754594907405</v>
      </c>
      <c r="I48" s="20">
        <v>46124.781365740739</v>
      </c>
      <c r="J48" s="20">
        <v>46124.8827662037</v>
      </c>
      <c r="K48">
        <v>28.416666666666668</v>
      </c>
      <c r="L48">
        <v>37.583333333333336</v>
      </c>
      <c r="M48">
        <v>38.549999999999997</v>
      </c>
      <c r="N48">
        <v>146.01666666666668</v>
      </c>
      <c r="O48" s="21">
        <v>90</v>
      </c>
      <c r="P48" t="s">
        <v>89</v>
      </c>
      <c r="Q48" s="21">
        <v>105</v>
      </c>
      <c r="S48" t="s">
        <v>83</v>
      </c>
    </row>
    <row r="49" spans="1:19" x14ac:dyDescent="0.35">
      <c r="A49" t="s">
        <v>80</v>
      </c>
      <c r="B49" s="46">
        <v>46123</v>
      </c>
      <c r="C49" t="s">
        <v>96</v>
      </c>
      <c r="D49" t="s">
        <v>32</v>
      </c>
      <c r="E49" t="s">
        <v>82</v>
      </c>
      <c r="F49" s="20">
        <v>46123.570289351854</v>
      </c>
      <c r="G49" s="20">
        <v>46123.640717592592</v>
      </c>
      <c r="H49" s="20">
        <v>46123.665613425925</v>
      </c>
      <c r="I49" s="20">
        <v>46123.901782407411</v>
      </c>
      <c r="J49" s="20">
        <v>46124.363819444443</v>
      </c>
      <c r="K49">
        <v>101.41666666666667</v>
      </c>
      <c r="L49">
        <v>35.85</v>
      </c>
      <c r="M49">
        <v>340.08333333333331</v>
      </c>
      <c r="N49">
        <v>665.33333333333337</v>
      </c>
      <c r="O49" s="21">
        <v>90</v>
      </c>
      <c r="P49" t="s">
        <v>89</v>
      </c>
      <c r="Q49" s="21">
        <v>105</v>
      </c>
      <c r="S49" t="s">
        <v>83</v>
      </c>
    </row>
    <row r="50" spans="1:19" x14ac:dyDescent="0.35">
      <c r="A50" t="s">
        <v>80</v>
      </c>
      <c r="B50" s="46">
        <v>46123</v>
      </c>
      <c r="C50" t="s">
        <v>88</v>
      </c>
      <c r="D50" t="s">
        <v>33</v>
      </c>
      <c r="E50" t="s">
        <v>87</v>
      </c>
      <c r="F50" s="20">
        <v>46123.523009259261</v>
      </c>
      <c r="G50" s="20">
        <v>46123.577233796299</v>
      </c>
      <c r="H50" s="20">
        <v>46123.601736111108</v>
      </c>
      <c r="I50" s="20">
        <v>46123.765474537038</v>
      </c>
      <c r="J50" s="20">
        <v>46123.814930555556</v>
      </c>
      <c r="K50">
        <v>78.083333333333329</v>
      </c>
      <c r="L50">
        <v>35.283333333333331</v>
      </c>
      <c r="M50">
        <v>235.78333333333333</v>
      </c>
      <c r="N50">
        <v>71.216666666666669</v>
      </c>
      <c r="O50" s="21">
        <v>90</v>
      </c>
      <c r="P50" t="s">
        <v>89</v>
      </c>
      <c r="Q50" s="21">
        <v>105</v>
      </c>
      <c r="R50" t="s">
        <v>89</v>
      </c>
      <c r="S50" t="s">
        <v>83</v>
      </c>
    </row>
    <row r="51" spans="1:19" x14ac:dyDescent="0.35">
      <c r="A51" t="s">
        <v>80</v>
      </c>
      <c r="B51" s="46">
        <v>46118</v>
      </c>
      <c r="C51" t="s">
        <v>103</v>
      </c>
      <c r="D51" t="s">
        <v>91</v>
      </c>
      <c r="E51" t="s">
        <v>94</v>
      </c>
      <c r="F51" s="20">
        <v>46118.110856481479</v>
      </c>
      <c r="G51" s="20">
        <v>46118.149930555555</v>
      </c>
      <c r="H51" s="20">
        <v>46118.174259259256</v>
      </c>
      <c r="I51" s="20">
        <v>46118.199502314812</v>
      </c>
      <c r="J51" s="20">
        <v>46119.679027777776</v>
      </c>
      <c r="K51">
        <v>56.266666666666666</v>
      </c>
      <c r="L51">
        <v>35.033333333333331</v>
      </c>
      <c r="M51">
        <v>36.35</v>
      </c>
      <c r="N51">
        <v>2130.5166666666669</v>
      </c>
      <c r="O51" s="21">
        <v>90</v>
      </c>
      <c r="P51" t="s">
        <v>89</v>
      </c>
      <c r="Q51" s="21">
        <v>105</v>
      </c>
      <c r="S51" t="s">
        <v>83</v>
      </c>
    </row>
    <row r="52" spans="1:19" x14ac:dyDescent="0.35">
      <c r="A52" t="s">
        <v>80</v>
      </c>
      <c r="B52" s="46">
        <v>46123</v>
      </c>
      <c r="C52" t="s">
        <v>98</v>
      </c>
      <c r="D52" t="s">
        <v>33</v>
      </c>
      <c r="E52" t="s">
        <v>87</v>
      </c>
      <c r="F52" s="20">
        <v>46123.91920138889</v>
      </c>
      <c r="G52" s="20">
        <v>46123.980671296296</v>
      </c>
      <c r="H52" s="20">
        <v>46124.004664351851</v>
      </c>
      <c r="I52" s="20">
        <v>46124.108726851853</v>
      </c>
      <c r="J52" s="20">
        <v>46124.439641203702</v>
      </c>
      <c r="K52">
        <v>88.516666666666666</v>
      </c>
      <c r="L52">
        <v>34.549999999999997</v>
      </c>
      <c r="M52">
        <v>149.85</v>
      </c>
      <c r="N52">
        <v>476.51666666666665</v>
      </c>
      <c r="O52" s="21">
        <v>90</v>
      </c>
      <c r="P52" t="s">
        <v>89</v>
      </c>
      <c r="Q52" s="21">
        <v>105</v>
      </c>
      <c r="S52" t="s">
        <v>83</v>
      </c>
    </row>
    <row r="53" spans="1:19" x14ac:dyDescent="0.35">
      <c r="A53" t="s">
        <v>80</v>
      </c>
      <c r="B53" s="46">
        <v>46124</v>
      </c>
      <c r="C53" t="s">
        <v>104</v>
      </c>
      <c r="D53" t="s">
        <v>33</v>
      </c>
      <c r="E53" t="s">
        <v>87</v>
      </c>
      <c r="F53" s="20">
        <v>46124.885208333333</v>
      </c>
      <c r="G53" s="20">
        <v>46124.95108796296</v>
      </c>
      <c r="H53" s="20">
        <v>46124.974224537036</v>
      </c>
      <c r="I53" s="20">
        <v>46125.054270833331</v>
      </c>
      <c r="J53" s="20"/>
      <c r="K53">
        <v>94.86666666666666</v>
      </c>
      <c r="L53">
        <v>33.31666666666667</v>
      </c>
      <c r="M53">
        <v>115.26666666666667</v>
      </c>
      <c r="O53" s="21">
        <v>90</v>
      </c>
      <c r="P53" t="s">
        <v>89</v>
      </c>
      <c r="Q53" s="21">
        <v>105</v>
      </c>
      <c r="S53" t="s">
        <v>83</v>
      </c>
    </row>
    <row r="54" spans="1:19" x14ac:dyDescent="0.35">
      <c r="A54" t="s">
        <v>80</v>
      </c>
      <c r="B54" s="46">
        <v>46118</v>
      </c>
      <c r="C54" t="s">
        <v>102</v>
      </c>
      <c r="D54" t="s">
        <v>33</v>
      </c>
      <c r="E54" t="s">
        <v>87</v>
      </c>
      <c r="F54" s="20">
        <v>46118.819756944446</v>
      </c>
      <c r="G54" s="20">
        <v>46118.880162037036</v>
      </c>
      <c r="H54" s="20">
        <v>46118.902361111112</v>
      </c>
      <c r="I54" s="20">
        <v>46118.99690972222</v>
      </c>
      <c r="J54" s="20">
        <v>46124.61142361111</v>
      </c>
      <c r="K54">
        <v>86.983333333333334</v>
      </c>
      <c r="L54">
        <v>31.966666666666665</v>
      </c>
      <c r="M54">
        <v>136.15</v>
      </c>
      <c r="N54">
        <v>8084.9</v>
      </c>
      <c r="O54" s="21">
        <v>90</v>
      </c>
      <c r="P54" t="s">
        <v>89</v>
      </c>
      <c r="Q54" s="21">
        <v>105</v>
      </c>
      <c r="S54" t="s">
        <v>83</v>
      </c>
    </row>
    <row r="55" spans="1:19" x14ac:dyDescent="0.35">
      <c r="A55" t="s">
        <v>80</v>
      </c>
      <c r="B55" s="46">
        <v>46124</v>
      </c>
      <c r="C55" t="s">
        <v>103</v>
      </c>
      <c r="D55" t="s">
        <v>91</v>
      </c>
      <c r="E55" t="s">
        <v>443</v>
      </c>
      <c r="F55" s="20">
        <v>46124.356319444443</v>
      </c>
      <c r="G55" s="20">
        <v>46124.358483796299</v>
      </c>
      <c r="H55" s="20">
        <v>46124.380567129629</v>
      </c>
      <c r="I55" s="20">
        <v>46124.414004629631</v>
      </c>
      <c r="J55" s="20"/>
      <c r="K55">
        <v>3.1166666666666667</v>
      </c>
      <c r="L55">
        <v>31.8</v>
      </c>
      <c r="M55">
        <v>48.15</v>
      </c>
      <c r="O55" s="21">
        <v>90</v>
      </c>
      <c r="P55" t="s">
        <v>89</v>
      </c>
      <c r="Q55" s="21">
        <v>105</v>
      </c>
      <c r="S55" t="s">
        <v>83</v>
      </c>
    </row>
    <row r="56" spans="1:19" x14ac:dyDescent="0.35">
      <c r="A56" t="s">
        <v>80</v>
      </c>
      <c r="B56" s="46">
        <v>46124</v>
      </c>
      <c r="C56" t="s">
        <v>104</v>
      </c>
      <c r="D56" t="s">
        <v>91</v>
      </c>
      <c r="E56" t="s">
        <v>443</v>
      </c>
      <c r="F56" s="20">
        <v>46124.420543981483</v>
      </c>
      <c r="G56" s="20">
        <v>46124.439444444448</v>
      </c>
      <c r="H56" s="20">
        <v>46124.460960648146</v>
      </c>
      <c r="I56" s="20">
        <v>46124.498344907406</v>
      </c>
      <c r="J56" s="20">
        <v>46124.884513888886</v>
      </c>
      <c r="K56">
        <v>27.216666666666665</v>
      </c>
      <c r="L56">
        <v>30.983333333333334</v>
      </c>
      <c r="M56">
        <v>53.833333333333336</v>
      </c>
      <c r="N56">
        <v>556.08333333333337</v>
      </c>
      <c r="O56" s="21">
        <v>90</v>
      </c>
      <c r="P56" t="s">
        <v>89</v>
      </c>
      <c r="Q56" s="21">
        <v>105</v>
      </c>
      <c r="S56" t="s">
        <v>83</v>
      </c>
    </row>
    <row r="57" spans="1:19" x14ac:dyDescent="0.35">
      <c r="A57" t="s">
        <v>80</v>
      </c>
      <c r="B57" s="46">
        <v>46124</v>
      </c>
      <c r="C57" t="s">
        <v>96</v>
      </c>
      <c r="D57" t="s">
        <v>33</v>
      </c>
      <c r="E57" t="s">
        <v>87</v>
      </c>
      <c r="F57" s="20">
        <v>46124.686874999999</v>
      </c>
      <c r="G57" s="20">
        <v>46124.736516203702</v>
      </c>
      <c r="H57" s="20">
        <v>46124.757789351854</v>
      </c>
      <c r="I57" s="20">
        <v>46124.853761574072</v>
      </c>
      <c r="J57" s="20">
        <v>46125.026273148149</v>
      </c>
      <c r="K57">
        <v>71.483333333333334</v>
      </c>
      <c r="L57">
        <v>30.633333333333333</v>
      </c>
      <c r="M57">
        <v>138.19999999999999</v>
      </c>
      <c r="N57">
        <v>248.41666666666666</v>
      </c>
      <c r="O57" s="21">
        <v>90</v>
      </c>
      <c r="P57" t="s">
        <v>89</v>
      </c>
      <c r="Q57" s="21">
        <v>105</v>
      </c>
      <c r="S57" t="s">
        <v>83</v>
      </c>
    </row>
    <row r="58" spans="1:19" x14ac:dyDescent="0.35">
      <c r="A58" t="s">
        <v>80</v>
      </c>
      <c r="B58" s="46">
        <v>46123</v>
      </c>
      <c r="C58" t="s">
        <v>95</v>
      </c>
      <c r="D58" t="s">
        <v>33</v>
      </c>
      <c r="E58" t="s">
        <v>87</v>
      </c>
      <c r="F58" s="20">
        <v>46123.69462962963</v>
      </c>
      <c r="G58" s="20">
        <v>46123.752789351849</v>
      </c>
      <c r="H58" s="20">
        <v>46123.773912037039</v>
      </c>
      <c r="I58" s="20">
        <v>46123.863275462965</v>
      </c>
      <c r="J58" s="20">
        <v>46123.909571759257</v>
      </c>
      <c r="K58">
        <v>83.75</v>
      </c>
      <c r="L58">
        <v>30.416666666666668</v>
      </c>
      <c r="M58">
        <v>128.68333333333334</v>
      </c>
      <c r="N58">
        <v>66.666666666666671</v>
      </c>
      <c r="O58" s="21">
        <v>90</v>
      </c>
      <c r="P58" t="s">
        <v>89</v>
      </c>
      <c r="Q58" s="21">
        <v>105</v>
      </c>
      <c r="R58" t="s">
        <v>89</v>
      </c>
      <c r="S58" t="s">
        <v>83</v>
      </c>
    </row>
    <row r="59" spans="1:19" x14ac:dyDescent="0.35">
      <c r="A59" t="s">
        <v>80</v>
      </c>
      <c r="B59" s="46">
        <v>46124</v>
      </c>
      <c r="C59" t="s">
        <v>81</v>
      </c>
      <c r="D59" t="s">
        <v>32</v>
      </c>
      <c r="E59" t="s">
        <v>82</v>
      </c>
      <c r="F59" s="20">
        <v>46124.381689814814</v>
      </c>
      <c r="G59" s="20">
        <v>46124.440034722225</v>
      </c>
      <c r="H59" s="20">
        <v>46124.460833333331</v>
      </c>
      <c r="I59" s="20">
        <v>46124.552847222221</v>
      </c>
      <c r="J59" s="20">
        <v>46124.667500000003</v>
      </c>
      <c r="K59">
        <v>84.016666666666666</v>
      </c>
      <c r="L59">
        <v>29.95</v>
      </c>
      <c r="M59">
        <v>132.5</v>
      </c>
      <c r="N59">
        <v>165.1</v>
      </c>
      <c r="O59" s="21">
        <v>90</v>
      </c>
      <c r="P59" t="s">
        <v>89</v>
      </c>
      <c r="Q59" s="21">
        <v>105</v>
      </c>
      <c r="S59" t="s">
        <v>83</v>
      </c>
    </row>
    <row r="60" spans="1:19" x14ac:dyDescent="0.35">
      <c r="A60" t="s">
        <v>80</v>
      </c>
      <c r="B60" s="46">
        <v>46123</v>
      </c>
      <c r="C60" t="s">
        <v>86</v>
      </c>
      <c r="D60" t="s">
        <v>33</v>
      </c>
      <c r="E60" t="s">
        <v>87</v>
      </c>
      <c r="F60" s="20">
        <v>46123.463148148148</v>
      </c>
      <c r="G60" s="20">
        <v>46123.516967592594</v>
      </c>
      <c r="H60" s="20">
        <v>46123.537673611114</v>
      </c>
      <c r="I60" s="20">
        <v>46123.761770833335</v>
      </c>
      <c r="J60" s="20">
        <v>46123.767465277779</v>
      </c>
      <c r="K60">
        <v>77.5</v>
      </c>
      <c r="L60">
        <v>29.816666666666666</v>
      </c>
      <c r="M60">
        <v>322.7</v>
      </c>
      <c r="N60">
        <v>8.1999999999999993</v>
      </c>
      <c r="O60" s="21">
        <v>90</v>
      </c>
      <c r="P60" t="s">
        <v>89</v>
      </c>
      <c r="Q60" s="21">
        <v>105</v>
      </c>
      <c r="R60" t="s">
        <v>89</v>
      </c>
      <c r="S60" t="s">
        <v>83</v>
      </c>
    </row>
    <row r="61" spans="1:19" x14ac:dyDescent="0.35">
      <c r="A61" t="s">
        <v>80</v>
      </c>
      <c r="B61" s="46">
        <v>46123</v>
      </c>
      <c r="C61" t="s">
        <v>101</v>
      </c>
      <c r="D61" t="s">
        <v>33</v>
      </c>
      <c r="E61" t="s">
        <v>87</v>
      </c>
      <c r="F61" s="20">
        <v>46123.488344907404</v>
      </c>
      <c r="G61" s="20">
        <v>46123.538576388892</v>
      </c>
      <c r="H61" s="20">
        <v>46123.559120370373</v>
      </c>
      <c r="I61" s="20">
        <v>46123.755266203705</v>
      </c>
      <c r="J61" s="20">
        <v>46123.801319444443</v>
      </c>
      <c r="K61">
        <v>72.333333333333329</v>
      </c>
      <c r="L61">
        <v>29.583333333333332</v>
      </c>
      <c r="M61">
        <v>282.45</v>
      </c>
      <c r="N61">
        <v>66.316666666666663</v>
      </c>
      <c r="O61" s="21">
        <v>90</v>
      </c>
      <c r="P61" t="s">
        <v>89</v>
      </c>
      <c r="Q61" s="21">
        <v>105</v>
      </c>
      <c r="R61" t="s">
        <v>89</v>
      </c>
      <c r="S61" t="s">
        <v>83</v>
      </c>
    </row>
    <row r="62" spans="1:19" x14ac:dyDescent="0.35">
      <c r="A62" t="s">
        <v>80</v>
      </c>
      <c r="B62" s="46">
        <v>46119</v>
      </c>
      <c r="C62" t="s">
        <v>104</v>
      </c>
      <c r="D62" t="s">
        <v>33</v>
      </c>
      <c r="E62" t="s">
        <v>87</v>
      </c>
      <c r="F62" s="20">
        <v>46119.60324074074</v>
      </c>
      <c r="G62" s="20">
        <v>46119.662465277775</v>
      </c>
      <c r="H62" s="20">
        <v>46119.682349537034</v>
      </c>
      <c r="I62" s="20">
        <v>46119.766377314816</v>
      </c>
      <c r="J62" s="20">
        <v>46124.124016203707</v>
      </c>
      <c r="K62">
        <v>85.283333333333331</v>
      </c>
      <c r="L62">
        <v>28.633333333333333</v>
      </c>
      <c r="M62">
        <v>121</v>
      </c>
      <c r="N62">
        <v>6275</v>
      </c>
      <c r="O62" s="21">
        <v>90</v>
      </c>
      <c r="P62" t="s">
        <v>89</v>
      </c>
      <c r="Q62" s="21">
        <v>105</v>
      </c>
      <c r="S62" t="s">
        <v>83</v>
      </c>
    </row>
    <row r="63" spans="1:19" x14ac:dyDescent="0.35">
      <c r="A63" t="s">
        <v>80</v>
      </c>
      <c r="B63" s="46">
        <v>46123</v>
      </c>
      <c r="C63" t="s">
        <v>106</v>
      </c>
      <c r="D63" t="s">
        <v>91</v>
      </c>
      <c r="E63" t="s">
        <v>443</v>
      </c>
      <c r="F63" s="20">
        <v>46123.794745370367</v>
      </c>
      <c r="G63" s="20">
        <v>46123.810671296298</v>
      </c>
      <c r="H63" s="20">
        <v>46123.830150462964</v>
      </c>
      <c r="I63" s="20">
        <v>46123.852939814817</v>
      </c>
      <c r="J63" s="20">
        <v>46123.884791666664</v>
      </c>
      <c r="K63">
        <v>22.933333333333334</v>
      </c>
      <c r="L63">
        <v>28.05</v>
      </c>
      <c r="M63">
        <v>32.81666666666667</v>
      </c>
      <c r="N63">
        <v>45.866666666666667</v>
      </c>
      <c r="O63" s="21">
        <v>90</v>
      </c>
      <c r="P63" t="s">
        <v>89</v>
      </c>
      <c r="Q63" s="21">
        <v>105</v>
      </c>
      <c r="R63" t="s">
        <v>89</v>
      </c>
      <c r="S63" t="s">
        <v>83</v>
      </c>
    </row>
    <row r="64" spans="1:19" x14ac:dyDescent="0.35">
      <c r="A64" t="s">
        <v>80</v>
      </c>
      <c r="B64" s="46">
        <v>46118</v>
      </c>
      <c r="C64" t="s">
        <v>104</v>
      </c>
      <c r="D64" t="s">
        <v>33</v>
      </c>
      <c r="E64" t="s">
        <v>87</v>
      </c>
      <c r="F64" s="20">
        <v>46118.738634259258</v>
      </c>
      <c r="G64" s="20">
        <v>46118.802164351851</v>
      </c>
      <c r="H64" s="20">
        <v>46118.821400462963</v>
      </c>
      <c r="I64" s="20">
        <v>46118.925451388888</v>
      </c>
      <c r="J64" s="20">
        <v>46119.602546296293</v>
      </c>
      <c r="K64">
        <v>91.483333333333334</v>
      </c>
      <c r="L64">
        <v>27.7</v>
      </c>
      <c r="M64">
        <v>149.83333333333334</v>
      </c>
      <c r="N64">
        <v>975.01666666666665</v>
      </c>
      <c r="O64" s="21">
        <v>90</v>
      </c>
      <c r="P64" t="s">
        <v>89</v>
      </c>
      <c r="Q64" s="21">
        <v>105</v>
      </c>
      <c r="S64" t="s">
        <v>83</v>
      </c>
    </row>
    <row r="65" spans="1:19" x14ac:dyDescent="0.35">
      <c r="A65" t="s">
        <v>80</v>
      </c>
      <c r="B65" s="46">
        <v>46117</v>
      </c>
      <c r="C65" t="s">
        <v>101</v>
      </c>
      <c r="D65" t="s">
        <v>105</v>
      </c>
      <c r="E65" t="s">
        <v>94</v>
      </c>
      <c r="F65" s="20">
        <v>46117.408958333333</v>
      </c>
      <c r="G65" s="20">
        <v>46117.440659722219</v>
      </c>
      <c r="H65" s="20">
        <v>46117.458807870367</v>
      </c>
      <c r="I65" s="20">
        <v>46117.506539351853</v>
      </c>
      <c r="J65" s="20">
        <v>46117.701203703706</v>
      </c>
      <c r="K65">
        <v>45.65</v>
      </c>
      <c r="L65">
        <v>26.133333333333333</v>
      </c>
      <c r="M65">
        <v>68.733333333333334</v>
      </c>
      <c r="N65">
        <v>280.31666666666666</v>
      </c>
      <c r="O65" s="21">
        <v>90</v>
      </c>
      <c r="P65" t="s">
        <v>89</v>
      </c>
      <c r="Q65" s="21">
        <v>105</v>
      </c>
      <c r="S65" t="s">
        <v>83</v>
      </c>
    </row>
    <row r="66" spans="1:19" x14ac:dyDescent="0.35">
      <c r="A66" t="s">
        <v>80</v>
      </c>
      <c r="B66" s="46">
        <v>46123</v>
      </c>
      <c r="C66" t="s">
        <v>81</v>
      </c>
      <c r="D66" t="s">
        <v>33</v>
      </c>
      <c r="E66" t="s">
        <v>87</v>
      </c>
      <c r="F66" s="20">
        <v>46123.600752314815</v>
      </c>
      <c r="G66" s="20">
        <v>46123.649444444447</v>
      </c>
      <c r="H66" s="20">
        <v>46123.667453703703</v>
      </c>
      <c r="I66" s="20">
        <v>46123.890590277777</v>
      </c>
      <c r="J66" s="20">
        <v>46123.8906712963</v>
      </c>
      <c r="K66">
        <v>70.11666666666666</v>
      </c>
      <c r="L66">
        <v>25.933333333333334</v>
      </c>
      <c r="M66">
        <v>321.31666666666666</v>
      </c>
      <c r="N66">
        <v>0.11666666666666667</v>
      </c>
      <c r="O66" s="21">
        <v>90</v>
      </c>
      <c r="P66" t="s">
        <v>89</v>
      </c>
      <c r="Q66" s="21">
        <v>105</v>
      </c>
      <c r="S66" t="s">
        <v>83</v>
      </c>
    </row>
    <row r="67" spans="1:19" x14ac:dyDescent="0.35">
      <c r="A67" t="s">
        <v>80</v>
      </c>
      <c r="B67" s="46">
        <v>46119</v>
      </c>
      <c r="C67" t="s">
        <v>100</v>
      </c>
      <c r="D67" t="s">
        <v>33</v>
      </c>
      <c r="E67" t="s">
        <v>87</v>
      </c>
      <c r="F67" s="20">
        <v>46119.749120370368</v>
      </c>
      <c r="G67" s="20">
        <v>46119.804432870369</v>
      </c>
      <c r="H67" s="20">
        <v>46119.822395833333</v>
      </c>
      <c r="I67" s="20">
        <v>46119.929861111108</v>
      </c>
      <c r="J67" s="20">
        <v>46124.239675925928</v>
      </c>
      <c r="K67">
        <v>79.650000000000006</v>
      </c>
      <c r="L67">
        <v>25.866666666666667</v>
      </c>
      <c r="M67">
        <v>154.75</v>
      </c>
      <c r="N67">
        <v>6206.1333333333332</v>
      </c>
      <c r="O67" s="21">
        <v>90</v>
      </c>
      <c r="P67" t="s">
        <v>89</v>
      </c>
      <c r="Q67" s="21">
        <v>105</v>
      </c>
      <c r="S67" t="s">
        <v>83</v>
      </c>
    </row>
    <row r="68" spans="1:19" x14ac:dyDescent="0.35">
      <c r="A68" t="s">
        <v>80</v>
      </c>
      <c r="B68" s="46">
        <v>46118</v>
      </c>
      <c r="C68" t="s">
        <v>106</v>
      </c>
      <c r="D68" t="s">
        <v>91</v>
      </c>
      <c r="E68" t="s">
        <v>94</v>
      </c>
      <c r="F68" s="20">
        <v>46118.150208333333</v>
      </c>
      <c r="G68" s="20">
        <v>46118.178483796299</v>
      </c>
      <c r="H68" s="20">
        <v>46118.195960648147</v>
      </c>
      <c r="I68" s="20">
        <v>46118.23170138889</v>
      </c>
      <c r="J68" s="20">
        <v>46118.721909722219</v>
      </c>
      <c r="K68">
        <v>40.716666666666669</v>
      </c>
      <c r="L68">
        <v>25.166666666666668</v>
      </c>
      <c r="M68">
        <v>51.466666666666669</v>
      </c>
      <c r="N68">
        <v>705.9</v>
      </c>
      <c r="O68" s="21">
        <v>90</v>
      </c>
      <c r="P68" t="s">
        <v>89</v>
      </c>
      <c r="Q68" s="21">
        <v>105</v>
      </c>
      <c r="S68" t="s">
        <v>83</v>
      </c>
    </row>
    <row r="69" spans="1:19" x14ac:dyDescent="0.35">
      <c r="A69" t="s">
        <v>80</v>
      </c>
      <c r="B69" s="46">
        <v>46123</v>
      </c>
      <c r="C69" t="s">
        <v>85</v>
      </c>
      <c r="D69" t="s">
        <v>33</v>
      </c>
      <c r="E69" t="s">
        <v>87</v>
      </c>
      <c r="F69" s="20">
        <v>46123.720648148148</v>
      </c>
      <c r="G69" s="20">
        <v>46123.770601851851</v>
      </c>
      <c r="H69" s="20">
        <v>46123.787916666668</v>
      </c>
      <c r="I69" s="20">
        <v>46123.88212962963</v>
      </c>
      <c r="J69" s="20">
        <v>46124.702488425923</v>
      </c>
      <c r="K69">
        <v>71.933333333333337</v>
      </c>
      <c r="L69">
        <v>24.933333333333334</v>
      </c>
      <c r="M69">
        <v>135.66666666666666</v>
      </c>
      <c r="N69">
        <v>1181.3166666666666</v>
      </c>
      <c r="O69" s="21">
        <v>90</v>
      </c>
      <c r="P69" t="s">
        <v>89</v>
      </c>
      <c r="Q69" s="21">
        <v>105</v>
      </c>
      <c r="S69" t="s">
        <v>83</v>
      </c>
    </row>
    <row r="70" spans="1:19" x14ac:dyDescent="0.35">
      <c r="A70" t="s">
        <v>80</v>
      </c>
      <c r="B70" s="46">
        <v>46124</v>
      </c>
      <c r="C70" t="s">
        <v>99</v>
      </c>
      <c r="D70" t="s">
        <v>32</v>
      </c>
      <c r="E70" t="s">
        <v>82</v>
      </c>
      <c r="F70" s="20">
        <v>46124.786747685182</v>
      </c>
      <c r="G70" s="20">
        <v>46124.845023148147</v>
      </c>
      <c r="H70" s="20">
        <v>46124.862245370372</v>
      </c>
      <c r="I70" s="20">
        <v>46125.033067129632</v>
      </c>
      <c r="J70" s="20"/>
      <c r="K70">
        <v>83.916666666666671</v>
      </c>
      <c r="L70">
        <v>24.8</v>
      </c>
      <c r="M70">
        <v>245.98333333333332</v>
      </c>
      <c r="O70" s="21">
        <v>90</v>
      </c>
      <c r="P70" t="s">
        <v>89</v>
      </c>
      <c r="Q70" s="21">
        <v>105</v>
      </c>
      <c r="S70" t="s">
        <v>83</v>
      </c>
    </row>
    <row r="71" spans="1:19" x14ac:dyDescent="0.35">
      <c r="A71" t="s">
        <v>80</v>
      </c>
      <c r="B71" s="46">
        <v>46123</v>
      </c>
      <c r="C71" t="s">
        <v>84</v>
      </c>
      <c r="D71" t="s">
        <v>33</v>
      </c>
      <c r="E71" t="s">
        <v>87</v>
      </c>
      <c r="F71" s="20">
        <v>46123.852453703701</v>
      </c>
      <c r="G71" s="20">
        <v>46123.910324074073</v>
      </c>
      <c r="H71" s="20">
        <v>46123.927361111113</v>
      </c>
      <c r="I71" s="20">
        <v>46124.03329861111</v>
      </c>
      <c r="J71" s="20">
        <v>46124.565370370372</v>
      </c>
      <c r="K71">
        <v>83.333333333333329</v>
      </c>
      <c r="L71">
        <v>24.533333333333335</v>
      </c>
      <c r="M71">
        <v>152.55000000000001</v>
      </c>
      <c r="N71">
        <v>766.18333333333328</v>
      </c>
      <c r="O71" s="21">
        <v>90</v>
      </c>
      <c r="P71" t="s">
        <v>89</v>
      </c>
      <c r="Q71" s="21">
        <v>105</v>
      </c>
      <c r="S71" t="s">
        <v>83</v>
      </c>
    </row>
    <row r="72" spans="1:19" x14ac:dyDescent="0.35">
      <c r="A72" t="s">
        <v>80</v>
      </c>
      <c r="B72" s="46">
        <v>46124</v>
      </c>
      <c r="C72" t="s">
        <v>88</v>
      </c>
      <c r="D72" t="s">
        <v>33</v>
      </c>
      <c r="E72" t="s">
        <v>87</v>
      </c>
      <c r="F72" s="20">
        <v>46124.773287037038</v>
      </c>
      <c r="G72" s="20">
        <v>46124.830138888887</v>
      </c>
      <c r="H72" s="20">
        <v>46124.846932870372</v>
      </c>
      <c r="I72" s="20">
        <v>46124.94804398148</v>
      </c>
      <c r="J72" s="20">
        <v>46125.060902777775</v>
      </c>
      <c r="K72">
        <v>81.86666666666666</v>
      </c>
      <c r="L72">
        <v>24.183333333333334</v>
      </c>
      <c r="M72">
        <v>145.6</v>
      </c>
      <c r="N72">
        <v>162.51666666666668</v>
      </c>
      <c r="O72" s="21">
        <v>90</v>
      </c>
      <c r="P72" t="s">
        <v>89</v>
      </c>
      <c r="Q72" s="21">
        <v>105</v>
      </c>
      <c r="S72" t="s">
        <v>83</v>
      </c>
    </row>
    <row r="73" spans="1:19" x14ac:dyDescent="0.35">
      <c r="A73" t="s">
        <v>80</v>
      </c>
      <c r="B73" s="46">
        <v>46119</v>
      </c>
      <c r="C73" t="s">
        <v>107</v>
      </c>
      <c r="D73" t="s">
        <v>33</v>
      </c>
      <c r="E73" t="s">
        <v>87</v>
      </c>
      <c r="F73" s="20">
        <v>46119.779849537037</v>
      </c>
      <c r="G73" s="20">
        <v>46119.833923611113</v>
      </c>
      <c r="H73" s="20">
        <v>46119.850162037037</v>
      </c>
      <c r="I73" s="20">
        <v>46119.952164351853</v>
      </c>
      <c r="J73" s="20">
        <v>46123.676099537035</v>
      </c>
      <c r="K73">
        <v>77.86666666666666</v>
      </c>
      <c r="L73">
        <v>23.383333333333333</v>
      </c>
      <c r="M73">
        <v>146.88333333333333</v>
      </c>
      <c r="N73">
        <v>5362.4666666666662</v>
      </c>
      <c r="O73" s="21">
        <v>90</v>
      </c>
      <c r="P73" t="s">
        <v>89</v>
      </c>
      <c r="Q73" s="21">
        <v>105</v>
      </c>
      <c r="S73" t="s">
        <v>83</v>
      </c>
    </row>
    <row r="74" spans="1:19" x14ac:dyDescent="0.35">
      <c r="A74" t="s">
        <v>80</v>
      </c>
      <c r="B74" s="46">
        <v>46124</v>
      </c>
      <c r="C74" t="s">
        <v>104</v>
      </c>
      <c r="D74" t="s">
        <v>91</v>
      </c>
      <c r="E74" t="s">
        <v>443</v>
      </c>
      <c r="F74" s="20">
        <v>46124.124710648146</v>
      </c>
      <c r="G74" s="20">
        <v>46124.147557870368</v>
      </c>
      <c r="H74" s="20">
        <v>46124.163530092592</v>
      </c>
      <c r="I74" s="20">
        <v>46124.191712962966</v>
      </c>
      <c r="J74" s="20">
        <v>46124.419849537036</v>
      </c>
      <c r="K74">
        <v>32.9</v>
      </c>
      <c r="L74">
        <v>23</v>
      </c>
      <c r="M74">
        <v>40.583333333333336</v>
      </c>
      <c r="N74">
        <v>328.51666666666665</v>
      </c>
      <c r="O74" s="21">
        <v>90</v>
      </c>
      <c r="P74" t="s">
        <v>89</v>
      </c>
      <c r="Q74" s="21">
        <v>105</v>
      </c>
      <c r="S74" t="s">
        <v>83</v>
      </c>
    </row>
    <row r="75" spans="1:19" x14ac:dyDescent="0.35">
      <c r="A75" t="s">
        <v>80</v>
      </c>
      <c r="B75" s="46">
        <v>46124</v>
      </c>
      <c r="C75" t="s">
        <v>106</v>
      </c>
      <c r="D75" t="s">
        <v>33</v>
      </c>
      <c r="E75" t="s">
        <v>87</v>
      </c>
      <c r="F75" s="20">
        <v>46124.410462962966</v>
      </c>
      <c r="G75" s="20">
        <v>46124.46638888889</v>
      </c>
      <c r="H75" s="20">
        <v>46124.482303240744</v>
      </c>
      <c r="I75" s="20">
        <v>46124.595995370371</v>
      </c>
      <c r="J75" s="20">
        <v>46124.746435185189</v>
      </c>
      <c r="K75">
        <v>80.533333333333331</v>
      </c>
      <c r="L75">
        <v>22.916666666666668</v>
      </c>
      <c r="M75">
        <v>163.71666666666667</v>
      </c>
      <c r="N75">
        <v>216.63333333333333</v>
      </c>
      <c r="O75" s="21">
        <v>90</v>
      </c>
      <c r="P75" t="s">
        <v>89</v>
      </c>
      <c r="Q75" s="21">
        <v>105</v>
      </c>
      <c r="S75" t="s">
        <v>83</v>
      </c>
    </row>
    <row r="76" spans="1:19" x14ac:dyDescent="0.35">
      <c r="A76" t="s">
        <v>80</v>
      </c>
      <c r="B76" s="46">
        <v>46117</v>
      </c>
      <c r="C76" t="s">
        <v>104</v>
      </c>
      <c r="D76" t="s">
        <v>32</v>
      </c>
      <c r="E76" t="s">
        <v>82</v>
      </c>
      <c r="F76" s="20">
        <v>46117.6175</v>
      </c>
      <c r="G76" s="20">
        <v>46117.799525462964</v>
      </c>
      <c r="H76" s="20">
        <v>46117.81527777778</v>
      </c>
      <c r="I76" s="20">
        <v>46118.079571759263</v>
      </c>
      <c r="J76" s="20">
        <v>46118.737939814811</v>
      </c>
      <c r="K76">
        <v>262.11666666666667</v>
      </c>
      <c r="L76">
        <v>22.683333333333334</v>
      </c>
      <c r="M76">
        <v>380.58333333333331</v>
      </c>
      <c r="N76">
        <v>948.05</v>
      </c>
      <c r="O76" s="21">
        <v>90</v>
      </c>
      <c r="P76" t="s">
        <v>89</v>
      </c>
      <c r="Q76" s="21">
        <v>105</v>
      </c>
      <c r="S76" t="s">
        <v>83</v>
      </c>
    </row>
    <row r="77" spans="1:19" x14ac:dyDescent="0.35">
      <c r="A77" t="s">
        <v>80</v>
      </c>
      <c r="B77" s="46">
        <v>46124</v>
      </c>
      <c r="C77" t="s">
        <v>81</v>
      </c>
      <c r="D77" t="s">
        <v>91</v>
      </c>
      <c r="E77" t="s">
        <v>443</v>
      </c>
      <c r="F77" s="20">
        <v>46124.668194444443</v>
      </c>
      <c r="G77" s="20">
        <v>46124.684849537036</v>
      </c>
      <c r="H77" s="20">
        <v>46124.700486111113</v>
      </c>
      <c r="I77" s="20">
        <v>46124.727268518516</v>
      </c>
      <c r="J77" s="20">
        <v>46124.785486111112</v>
      </c>
      <c r="K77">
        <v>23.983333333333334</v>
      </c>
      <c r="L77">
        <v>22.516666666666666</v>
      </c>
      <c r="M77">
        <v>38.56666666666667</v>
      </c>
      <c r="N77">
        <v>83.833333333333329</v>
      </c>
      <c r="O77" s="21">
        <v>90</v>
      </c>
      <c r="P77" t="s">
        <v>89</v>
      </c>
      <c r="Q77" s="21">
        <v>105</v>
      </c>
      <c r="R77" t="s">
        <v>89</v>
      </c>
      <c r="S77" t="s">
        <v>83</v>
      </c>
    </row>
    <row r="78" spans="1:19" x14ac:dyDescent="0.35">
      <c r="A78" t="s">
        <v>80</v>
      </c>
      <c r="B78" s="46">
        <v>46124</v>
      </c>
      <c r="C78" t="s">
        <v>97</v>
      </c>
      <c r="D78" t="s">
        <v>32</v>
      </c>
      <c r="E78" t="s">
        <v>82</v>
      </c>
      <c r="F78" s="20">
        <v>46124.710474537038</v>
      </c>
      <c r="G78" s="20">
        <v>46124.781215277777</v>
      </c>
      <c r="H78" s="20">
        <v>46124.796585648146</v>
      </c>
      <c r="I78" s="20">
        <v>46124.924340277779</v>
      </c>
      <c r="J78" s="20"/>
      <c r="K78">
        <v>101.86666666666666</v>
      </c>
      <c r="L78">
        <v>22.133333333333333</v>
      </c>
      <c r="M78">
        <v>183.96666666666667</v>
      </c>
      <c r="O78" s="21">
        <v>90</v>
      </c>
      <c r="P78" t="s">
        <v>89</v>
      </c>
      <c r="Q78" s="21">
        <v>105</v>
      </c>
      <c r="S78" t="s">
        <v>83</v>
      </c>
    </row>
    <row r="79" spans="1:19" x14ac:dyDescent="0.35">
      <c r="A79" t="s">
        <v>80</v>
      </c>
      <c r="B79" s="46">
        <v>46123</v>
      </c>
      <c r="C79" t="s">
        <v>97</v>
      </c>
      <c r="D79" t="s">
        <v>91</v>
      </c>
      <c r="E79" t="s">
        <v>443</v>
      </c>
      <c r="F79" s="20">
        <v>46123.757384259261</v>
      </c>
      <c r="G79" s="20">
        <v>46123.776331018518</v>
      </c>
      <c r="H79" s="20">
        <v>46123.791678240741</v>
      </c>
      <c r="I79" s="20">
        <v>46123.818194444444</v>
      </c>
      <c r="J79" s="20">
        <v>46124.709780092591</v>
      </c>
      <c r="K79">
        <v>27.283333333333335</v>
      </c>
      <c r="L79">
        <v>22.1</v>
      </c>
      <c r="M79">
        <v>38.18333333333333</v>
      </c>
      <c r="N79">
        <v>1283.8833333333334</v>
      </c>
      <c r="O79" s="21">
        <v>90</v>
      </c>
      <c r="P79" t="s">
        <v>89</v>
      </c>
      <c r="Q79" s="21">
        <v>105</v>
      </c>
      <c r="S79" t="s">
        <v>83</v>
      </c>
    </row>
    <row r="80" spans="1:19" x14ac:dyDescent="0.35">
      <c r="A80" t="s">
        <v>80</v>
      </c>
      <c r="B80" s="46">
        <v>46117</v>
      </c>
      <c r="C80" t="s">
        <v>102</v>
      </c>
      <c r="D80" t="s">
        <v>32</v>
      </c>
      <c r="E80" t="s">
        <v>82</v>
      </c>
      <c r="F80" s="20">
        <v>46117.700879629629</v>
      </c>
      <c r="G80" s="20">
        <v>46117.800682870373</v>
      </c>
      <c r="H80" s="20">
        <v>46117.815555555557</v>
      </c>
      <c r="I80" s="20">
        <v>46118.07849537037</v>
      </c>
      <c r="J80" s="20">
        <v>46118.364606481482</v>
      </c>
      <c r="K80">
        <v>143.71666666666667</v>
      </c>
      <c r="L80">
        <v>21.416666666666668</v>
      </c>
      <c r="M80">
        <v>378.63333333333333</v>
      </c>
      <c r="N80">
        <v>412</v>
      </c>
      <c r="O80" s="21">
        <v>90</v>
      </c>
      <c r="P80" t="s">
        <v>89</v>
      </c>
      <c r="Q80" s="21">
        <v>105</v>
      </c>
      <c r="S80" t="s">
        <v>83</v>
      </c>
    </row>
    <row r="81" spans="1:19" x14ac:dyDescent="0.35">
      <c r="A81" t="s">
        <v>80</v>
      </c>
      <c r="B81" s="46">
        <v>46117</v>
      </c>
      <c r="C81" t="s">
        <v>90</v>
      </c>
      <c r="D81" t="s">
        <v>91</v>
      </c>
      <c r="E81" t="s">
        <v>94</v>
      </c>
      <c r="F81" s="20">
        <v>46117.465289351851</v>
      </c>
      <c r="G81" s="20">
        <v>46117.487604166665</v>
      </c>
      <c r="H81" s="20">
        <v>46117.502453703702</v>
      </c>
      <c r="I81" s="20">
        <v>46117.556446759256</v>
      </c>
      <c r="J81" s="20">
        <v>46117.671863425923</v>
      </c>
      <c r="K81">
        <v>32.133333333333333</v>
      </c>
      <c r="L81">
        <v>21.383333333333333</v>
      </c>
      <c r="M81">
        <v>77.75</v>
      </c>
      <c r="N81">
        <v>166.2</v>
      </c>
      <c r="O81" s="21">
        <v>90</v>
      </c>
      <c r="P81" t="s">
        <v>89</v>
      </c>
      <c r="Q81" s="21">
        <v>105</v>
      </c>
      <c r="S81" t="s">
        <v>83</v>
      </c>
    </row>
    <row r="82" spans="1:19" x14ac:dyDescent="0.35">
      <c r="A82" t="s">
        <v>80</v>
      </c>
      <c r="B82" s="46">
        <v>46123</v>
      </c>
      <c r="C82" t="s">
        <v>95</v>
      </c>
      <c r="D82" t="s">
        <v>33</v>
      </c>
      <c r="E82" t="s">
        <v>87</v>
      </c>
      <c r="F82" s="20">
        <v>46123.910266203704</v>
      </c>
      <c r="G82" s="20">
        <v>46123.967569444445</v>
      </c>
      <c r="H82" s="20">
        <v>46123.982349537036</v>
      </c>
      <c r="I82" s="20">
        <v>46124.070775462962</v>
      </c>
      <c r="J82" s="20">
        <v>46124.397847222222</v>
      </c>
      <c r="K82">
        <v>82.516666666666666</v>
      </c>
      <c r="L82">
        <v>21.283333333333335</v>
      </c>
      <c r="M82">
        <v>127.33333333333333</v>
      </c>
      <c r="N82">
        <v>470.98333333333335</v>
      </c>
      <c r="O82" s="21">
        <v>90</v>
      </c>
      <c r="P82" t="s">
        <v>89</v>
      </c>
      <c r="Q82" s="21">
        <v>105</v>
      </c>
      <c r="S82" t="s">
        <v>83</v>
      </c>
    </row>
    <row r="83" spans="1:19" x14ac:dyDescent="0.35">
      <c r="A83" t="s">
        <v>80</v>
      </c>
      <c r="B83" s="46">
        <v>46123</v>
      </c>
      <c r="C83" t="s">
        <v>106</v>
      </c>
      <c r="D83" t="s">
        <v>32</v>
      </c>
      <c r="E83" t="s">
        <v>82</v>
      </c>
      <c r="F83" s="20">
        <v>46123.88548611111</v>
      </c>
      <c r="G83" s="20">
        <v>46123.946828703702</v>
      </c>
      <c r="H83" s="20">
        <v>46123.961562500001</v>
      </c>
      <c r="I83" s="20">
        <v>46124.097604166665</v>
      </c>
      <c r="J83" s="20">
        <v>46124.409768518519</v>
      </c>
      <c r="K83">
        <v>88.333333333333329</v>
      </c>
      <c r="L83">
        <v>21.216666666666665</v>
      </c>
      <c r="M83">
        <v>195.9</v>
      </c>
      <c r="N83">
        <v>449.51666666666665</v>
      </c>
      <c r="O83" s="21">
        <v>90</v>
      </c>
      <c r="P83" t="s">
        <v>89</v>
      </c>
      <c r="Q83" s="21">
        <v>105</v>
      </c>
      <c r="S83" t="s">
        <v>83</v>
      </c>
    </row>
    <row r="84" spans="1:19" x14ac:dyDescent="0.35">
      <c r="A84" t="s">
        <v>80</v>
      </c>
      <c r="B84" s="46">
        <v>46118</v>
      </c>
      <c r="C84" t="s">
        <v>96</v>
      </c>
      <c r="D84" t="s">
        <v>91</v>
      </c>
      <c r="E84" t="s">
        <v>94</v>
      </c>
      <c r="F84" s="20">
        <v>46118.045578703706</v>
      </c>
      <c r="G84" s="20">
        <v>46118.071134259262</v>
      </c>
      <c r="H84" s="20">
        <v>46118.085844907408</v>
      </c>
      <c r="I84" s="20">
        <v>46118.121018518519</v>
      </c>
      <c r="J84" s="20">
        <v>46123.569594907407</v>
      </c>
      <c r="K84">
        <v>36.799999999999997</v>
      </c>
      <c r="L84">
        <v>21.183333333333334</v>
      </c>
      <c r="M84">
        <v>50.65</v>
      </c>
      <c r="N84">
        <v>7845.95</v>
      </c>
      <c r="O84" s="21">
        <v>90</v>
      </c>
      <c r="P84" t="s">
        <v>89</v>
      </c>
      <c r="Q84" s="21">
        <v>105</v>
      </c>
      <c r="S84" t="s">
        <v>83</v>
      </c>
    </row>
    <row r="85" spans="1:19" x14ac:dyDescent="0.35">
      <c r="A85" t="s">
        <v>80</v>
      </c>
      <c r="B85" s="46">
        <v>46118</v>
      </c>
      <c r="C85" t="s">
        <v>88</v>
      </c>
      <c r="D85" t="s">
        <v>33</v>
      </c>
      <c r="E85" t="s">
        <v>87</v>
      </c>
      <c r="F85" s="20">
        <v>46118.782453703701</v>
      </c>
      <c r="G85" s="20">
        <v>46118.840891203705</v>
      </c>
      <c r="H85" s="20">
        <v>46118.855312500003</v>
      </c>
      <c r="I85" s="20">
        <v>46119.411712962959</v>
      </c>
      <c r="J85" s="20">
        <v>46123.522314814814</v>
      </c>
      <c r="K85">
        <v>84.15</v>
      </c>
      <c r="L85">
        <v>20.766666666666666</v>
      </c>
      <c r="M85">
        <v>801.2166666666667</v>
      </c>
      <c r="N85">
        <v>5919.2666666666664</v>
      </c>
      <c r="O85" s="21">
        <v>90</v>
      </c>
      <c r="P85" t="s">
        <v>89</v>
      </c>
      <c r="Q85" s="21">
        <v>105</v>
      </c>
      <c r="S85" t="s">
        <v>83</v>
      </c>
    </row>
    <row r="86" spans="1:19" x14ac:dyDescent="0.35">
      <c r="A86" t="s">
        <v>80</v>
      </c>
      <c r="B86" s="46">
        <v>46118</v>
      </c>
      <c r="C86" t="s">
        <v>86</v>
      </c>
      <c r="D86" t="s">
        <v>91</v>
      </c>
      <c r="E86" t="s">
        <v>108</v>
      </c>
      <c r="F86" s="20">
        <v>46118.542523148149</v>
      </c>
      <c r="G86" s="20">
        <v>46118.608958333331</v>
      </c>
      <c r="H86" s="20">
        <v>46118.623136574075</v>
      </c>
      <c r="I86" s="20">
        <v>46118.644907407404</v>
      </c>
      <c r="J86" s="20">
        <v>46123.462453703702</v>
      </c>
      <c r="K86">
        <v>95.666666666666671</v>
      </c>
      <c r="L86">
        <v>20.416666666666668</v>
      </c>
      <c r="M86">
        <v>31.35</v>
      </c>
      <c r="N86">
        <v>6937.2666666666664</v>
      </c>
      <c r="O86" s="21">
        <v>90</v>
      </c>
      <c r="P86" t="s">
        <v>89</v>
      </c>
      <c r="Q86" s="21">
        <v>105</v>
      </c>
      <c r="S86" t="s">
        <v>83</v>
      </c>
    </row>
    <row r="87" spans="1:19" x14ac:dyDescent="0.35">
      <c r="A87" t="s">
        <v>80</v>
      </c>
      <c r="B87" s="46">
        <v>46124</v>
      </c>
      <c r="C87" t="s">
        <v>95</v>
      </c>
      <c r="D87" t="s">
        <v>91</v>
      </c>
      <c r="E87" t="s">
        <v>443</v>
      </c>
      <c r="F87" s="20">
        <v>46124.398541666669</v>
      </c>
      <c r="G87" s="20">
        <v>46124.41741898148</v>
      </c>
      <c r="H87" s="20">
        <v>46124.431446759256</v>
      </c>
      <c r="I87" s="20">
        <v>46124.460925925923</v>
      </c>
      <c r="J87" s="20">
        <v>46124.56040509259</v>
      </c>
      <c r="K87">
        <v>27.183333333333334</v>
      </c>
      <c r="L87">
        <v>20.2</v>
      </c>
      <c r="M87">
        <v>42.45</v>
      </c>
      <c r="N87">
        <v>143.25</v>
      </c>
      <c r="O87" s="21">
        <v>90</v>
      </c>
      <c r="P87" t="s">
        <v>89</v>
      </c>
      <c r="Q87" s="21">
        <v>105</v>
      </c>
      <c r="S87" t="s">
        <v>83</v>
      </c>
    </row>
    <row r="88" spans="1:19" x14ac:dyDescent="0.35">
      <c r="A88" t="s">
        <v>80</v>
      </c>
      <c r="B88" s="46">
        <v>46124</v>
      </c>
      <c r="C88" t="s">
        <v>102</v>
      </c>
      <c r="D88" t="s">
        <v>91</v>
      </c>
      <c r="E88" t="s">
        <v>443</v>
      </c>
      <c r="F88" s="20">
        <v>46124.937094907407</v>
      </c>
      <c r="G88" s="20">
        <v>46124.956759259258</v>
      </c>
      <c r="H88" s="20">
        <v>46124.970717592594</v>
      </c>
      <c r="I88" s="20">
        <v>46124.997187499997</v>
      </c>
      <c r="J88" s="20">
        <v>46125.063240740739</v>
      </c>
      <c r="K88">
        <v>28.316666666666666</v>
      </c>
      <c r="L88">
        <v>20.100000000000001</v>
      </c>
      <c r="M88">
        <v>38.116666666666667</v>
      </c>
      <c r="N88">
        <v>95.11666666666666</v>
      </c>
      <c r="O88" s="21">
        <v>90</v>
      </c>
      <c r="P88" t="s">
        <v>89</v>
      </c>
      <c r="Q88" s="21">
        <v>105</v>
      </c>
      <c r="R88" t="s">
        <v>89</v>
      </c>
      <c r="S88" t="s">
        <v>83</v>
      </c>
    </row>
    <row r="89" spans="1:19" x14ac:dyDescent="0.35">
      <c r="A89" t="s">
        <v>80</v>
      </c>
      <c r="B89" s="46">
        <v>46118</v>
      </c>
      <c r="C89" t="s">
        <v>109</v>
      </c>
      <c r="D89" t="s">
        <v>33</v>
      </c>
      <c r="E89" t="s">
        <v>87</v>
      </c>
      <c r="F89" s="20">
        <v>46118.687905092593</v>
      </c>
      <c r="G89" s="20">
        <v>46118.720405092594</v>
      </c>
      <c r="H89" s="20">
        <v>46118.734293981484</v>
      </c>
      <c r="I89" s="20">
        <v>46118.811412037037</v>
      </c>
      <c r="J89" s="20">
        <v>46124.921516203707</v>
      </c>
      <c r="K89">
        <v>46.8</v>
      </c>
      <c r="L89">
        <v>20</v>
      </c>
      <c r="M89">
        <v>111.05</v>
      </c>
      <c r="N89">
        <v>8798.5499999999993</v>
      </c>
      <c r="O89" s="21">
        <v>90</v>
      </c>
      <c r="P89" t="s">
        <v>89</v>
      </c>
      <c r="Q89" s="21">
        <v>105</v>
      </c>
      <c r="S89" t="s">
        <v>83</v>
      </c>
    </row>
    <row r="90" spans="1:19" x14ac:dyDescent="0.35">
      <c r="A90" t="s">
        <v>80</v>
      </c>
      <c r="B90" s="46">
        <v>46124</v>
      </c>
      <c r="C90" t="s">
        <v>100</v>
      </c>
      <c r="D90" t="s">
        <v>33</v>
      </c>
      <c r="E90" t="s">
        <v>87</v>
      </c>
      <c r="F90" s="20">
        <v>46124.240370370368</v>
      </c>
      <c r="G90" s="20">
        <v>46124.305671296293</v>
      </c>
      <c r="H90" s="20">
        <v>46124.319479166668</v>
      </c>
      <c r="I90" s="20">
        <v>46124.420601851853</v>
      </c>
      <c r="J90" s="20">
        <v>46124.601979166669</v>
      </c>
      <c r="K90">
        <v>94.033333333333331</v>
      </c>
      <c r="L90">
        <v>19.883333333333333</v>
      </c>
      <c r="M90">
        <v>145.61666666666667</v>
      </c>
      <c r="N90">
        <v>261.18333333333334</v>
      </c>
      <c r="O90" s="21">
        <v>90</v>
      </c>
      <c r="P90" t="s">
        <v>89</v>
      </c>
      <c r="Q90" s="21">
        <v>105</v>
      </c>
      <c r="S90" t="s">
        <v>83</v>
      </c>
    </row>
    <row r="91" spans="1:19" x14ac:dyDescent="0.35">
      <c r="A91" t="s">
        <v>80</v>
      </c>
      <c r="B91" s="46">
        <v>46123</v>
      </c>
      <c r="C91" t="s">
        <v>101</v>
      </c>
      <c r="D91" t="s">
        <v>91</v>
      </c>
      <c r="E91" t="s">
        <v>443</v>
      </c>
      <c r="F91" s="20">
        <v>46123.80201388889</v>
      </c>
      <c r="G91" s="20">
        <v>46123.818912037037</v>
      </c>
      <c r="H91" s="20">
        <v>46123.832638888889</v>
      </c>
      <c r="I91" s="20">
        <v>46123.843333333331</v>
      </c>
      <c r="J91" s="20">
        <v>46124.456643518519</v>
      </c>
      <c r="K91">
        <v>24.333333333333332</v>
      </c>
      <c r="L91">
        <v>19.766666666666666</v>
      </c>
      <c r="M91">
        <v>15.4</v>
      </c>
      <c r="N91">
        <v>883.16666666666663</v>
      </c>
      <c r="O91" s="21">
        <v>90</v>
      </c>
      <c r="P91" t="s">
        <v>89</v>
      </c>
      <c r="Q91" s="21">
        <v>105</v>
      </c>
      <c r="S91" t="s">
        <v>83</v>
      </c>
    </row>
    <row r="92" spans="1:19" x14ac:dyDescent="0.35">
      <c r="A92" t="s">
        <v>80</v>
      </c>
      <c r="B92" s="46">
        <v>46118</v>
      </c>
      <c r="C92" t="s">
        <v>95</v>
      </c>
      <c r="D92" t="s">
        <v>33</v>
      </c>
      <c r="E92" t="s">
        <v>87</v>
      </c>
      <c r="F92" s="20">
        <v>46118.370393518519</v>
      </c>
      <c r="G92" s="20">
        <v>46118.40730324074</v>
      </c>
      <c r="H92" s="20">
        <v>46118.420856481483</v>
      </c>
      <c r="I92" s="20">
        <v>46118.49527777778</v>
      </c>
      <c r="J92" s="20">
        <v>46119.792395833334</v>
      </c>
      <c r="K92">
        <v>53.15</v>
      </c>
      <c r="L92">
        <v>19.516666666666666</v>
      </c>
      <c r="M92">
        <v>107.16666666666667</v>
      </c>
      <c r="N92">
        <v>1867.85</v>
      </c>
      <c r="O92" s="21">
        <v>90</v>
      </c>
      <c r="P92" t="s">
        <v>89</v>
      </c>
      <c r="Q92" s="21">
        <v>105</v>
      </c>
      <c r="S92" t="s">
        <v>83</v>
      </c>
    </row>
    <row r="93" spans="1:19" x14ac:dyDescent="0.35">
      <c r="A93" t="s">
        <v>80</v>
      </c>
      <c r="B93" s="46">
        <v>46124</v>
      </c>
      <c r="C93" t="s">
        <v>88</v>
      </c>
      <c r="D93" t="s">
        <v>33</v>
      </c>
      <c r="E93" t="s">
        <v>87</v>
      </c>
      <c r="F93" s="20">
        <v>46124.331770833334</v>
      </c>
      <c r="G93" s="20">
        <v>46124.374293981484</v>
      </c>
      <c r="H93" s="20">
        <v>46124.387824074074</v>
      </c>
      <c r="I93" s="20">
        <v>46124.474293981482</v>
      </c>
      <c r="J93" s="20">
        <v>46124.567129629628</v>
      </c>
      <c r="K93">
        <v>61.233333333333334</v>
      </c>
      <c r="L93">
        <v>19.483333333333334</v>
      </c>
      <c r="M93">
        <v>124.51666666666667</v>
      </c>
      <c r="N93">
        <v>133.68333333333334</v>
      </c>
      <c r="O93" s="21">
        <v>90</v>
      </c>
      <c r="P93" t="s">
        <v>89</v>
      </c>
      <c r="Q93" s="21">
        <v>105</v>
      </c>
      <c r="S93" t="s">
        <v>83</v>
      </c>
    </row>
    <row r="94" spans="1:19" x14ac:dyDescent="0.35">
      <c r="A94" t="s">
        <v>80</v>
      </c>
      <c r="B94" s="46">
        <v>46118</v>
      </c>
      <c r="C94" t="s">
        <v>90</v>
      </c>
      <c r="D94" t="s">
        <v>33</v>
      </c>
      <c r="E94" t="s">
        <v>87</v>
      </c>
      <c r="F94" s="20">
        <v>46118.737060185187</v>
      </c>
      <c r="G94" s="20">
        <v>46118.795497685183</v>
      </c>
      <c r="H94" s="20">
        <v>46118.808854166666</v>
      </c>
      <c r="I94" s="20">
        <v>46119.410821759258</v>
      </c>
      <c r="J94" s="20">
        <v>46123.704375000001</v>
      </c>
      <c r="K94">
        <v>84.15</v>
      </c>
      <c r="L94">
        <v>19.233333333333334</v>
      </c>
      <c r="M94">
        <v>866.83333333333337</v>
      </c>
      <c r="N94">
        <v>6182.7166666666662</v>
      </c>
      <c r="O94" s="21">
        <v>90</v>
      </c>
      <c r="P94" t="s">
        <v>89</v>
      </c>
      <c r="Q94" s="21">
        <v>105</v>
      </c>
      <c r="S94" t="s">
        <v>83</v>
      </c>
    </row>
    <row r="95" spans="1:19" x14ac:dyDescent="0.35">
      <c r="A95" t="s">
        <v>80</v>
      </c>
      <c r="B95" s="46">
        <v>46124</v>
      </c>
      <c r="C95" t="s">
        <v>86</v>
      </c>
      <c r="D95" t="s">
        <v>32</v>
      </c>
      <c r="E95" t="s">
        <v>82</v>
      </c>
      <c r="F95" s="20">
        <v>46124.351122685184</v>
      </c>
      <c r="G95" s="20">
        <v>46124.412245370368</v>
      </c>
      <c r="H95" s="20">
        <v>46124.425023148149</v>
      </c>
      <c r="I95" s="20">
        <v>46124.531759259262</v>
      </c>
      <c r="J95" s="20">
        <v>46124.644930555558</v>
      </c>
      <c r="K95">
        <v>88.016666666666666</v>
      </c>
      <c r="L95">
        <v>18.399999999999999</v>
      </c>
      <c r="M95">
        <v>153.69999999999999</v>
      </c>
      <c r="N95">
        <v>162.96666666666667</v>
      </c>
      <c r="O95" s="21">
        <v>90</v>
      </c>
      <c r="P95" t="s">
        <v>89</v>
      </c>
      <c r="Q95" s="21">
        <v>105</v>
      </c>
      <c r="S95" t="s">
        <v>83</v>
      </c>
    </row>
    <row r="96" spans="1:19" x14ac:dyDescent="0.35">
      <c r="A96" t="s">
        <v>80</v>
      </c>
      <c r="B96" s="46">
        <v>46118</v>
      </c>
      <c r="C96" t="s">
        <v>101</v>
      </c>
      <c r="D96" t="s">
        <v>91</v>
      </c>
      <c r="E96" t="s">
        <v>94</v>
      </c>
      <c r="F96" s="20">
        <v>46118.022465277776</v>
      </c>
      <c r="G96" s="20">
        <v>46118.0471875</v>
      </c>
      <c r="H96" s="20">
        <v>46118.05976851852</v>
      </c>
      <c r="I96" s="20">
        <v>46118.202685185184</v>
      </c>
      <c r="J96" s="20">
        <v>46118.370682870373</v>
      </c>
      <c r="K96">
        <v>35.6</v>
      </c>
      <c r="L96">
        <v>18.116666666666667</v>
      </c>
      <c r="M96">
        <v>205.8</v>
      </c>
      <c r="N96">
        <v>241.91666666666666</v>
      </c>
      <c r="O96" s="21">
        <v>90</v>
      </c>
      <c r="P96" t="s">
        <v>89</v>
      </c>
      <c r="Q96" s="21">
        <v>105</v>
      </c>
      <c r="S96" t="s">
        <v>83</v>
      </c>
    </row>
    <row r="97" spans="1:19" x14ac:dyDescent="0.35">
      <c r="A97" t="s">
        <v>80</v>
      </c>
      <c r="B97" s="46">
        <v>46124</v>
      </c>
      <c r="C97" t="s">
        <v>96</v>
      </c>
      <c r="D97" t="s">
        <v>33</v>
      </c>
      <c r="E97" t="s">
        <v>87</v>
      </c>
      <c r="F97" s="20">
        <v>46124.36451388889</v>
      </c>
      <c r="G97" s="20">
        <v>46124.437847222223</v>
      </c>
      <c r="H97" s="20">
        <v>46124.450277777774</v>
      </c>
      <c r="I97" s="20">
        <v>46124.569641203707</v>
      </c>
      <c r="J97" s="20">
        <v>46124.686180555553</v>
      </c>
      <c r="K97">
        <v>105.6</v>
      </c>
      <c r="L97">
        <v>17.899999999999999</v>
      </c>
      <c r="M97">
        <v>171.88333333333333</v>
      </c>
      <c r="N97">
        <v>167.81666666666666</v>
      </c>
      <c r="O97" s="21">
        <v>90</v>
      </c>
      <c r="P97" t="s">
        <v>89</v>
      </c>
      <c r="Q97" s="21">
        <v>105</v>
      </c>
      <c r="S97" t="s">
        <v>83</v>
      </c>
    </row>
    <row r="98" spans="1:19" x14ac:dyDescent="0.35">
      <c r="A98" t="s">
        <v>80</v>
      </c>
      <c r="B98" s="46">
        <v>46124</v>
      </c>
      <c r="C98" t="s">
        <v>100</v>
      </c>
      <c r="D98" t="s">
        <v>33</v>
      </c>
      <c r="E98" t="s">
        <v>87</v>
      </c>
      <c r="F98" s="20">
        <v>46124.602673611109</v>
      </c>
      <c r="G98" s="20">
        <v>46124.655486111114</v>
      </c>
      <c r="H98" s="20">
        <v>46124.667129629626</v>
      </c>
      <c r="I98" s="20">
        <v>46124.751631944448</v>
      </c>
      <c r="J98" s="20">
        <v>46124.820462962962</v>
      </c>
      <c r="K98">
        <v>76.05</v>
      </c>
      <c r="L98">
        <v>16.766666666666666</v>
      </c>
      <c r="M98">
        <v>121.68333333333334</v>
      </c>
      <c r="N98">
        <v>99.11666666666666</v>
      </c>
      <c r="O98" s="21">
        <v>90</v>
      </c>
      <c r="P98" t="s">
        <v>89</v>
      </c>
      <c r="Q98" s="21">
        <v>105</v>
      </c>
      <c r="R98" t="s">
        <v>89</v>
      </c>
      <c r="S98" t="s">
        <v>83</v>
      </c>
    </row>
    <row r="99" spans="1:19" x14ac:dyDescent="0.35">
      <c r="A99" t="s">
        <v>80</v>
      </c>
      <c r="B99" s="46">
        <v>46124</v>
      </c>
      <c r="C99" t="s">
        <v>98</v>
      </c>
      <c r="D99" t="s">
        <v>33</v>
      </c>
      <c r="E99" t="s">
        <v>87</v>
      </c>
      <c r="F99" s="20">
        <v>46124.440335648149</v>
      </c>
      <c r="G99" s="20">
        <v>46124.498090277775</v>
      </c>
      <c r="H99" s="20">
        <v>46124.509606481479</v>
      </c>
      <c r="I99" s="20">
        <v>46124.734467592592</v>
      </c>
      <c r="J99" s="20">
        <v>46124.845821759256</v>
      </c>
      <c r="K99">
        <v>83.166666666666671</v>
      </c>
      <c r="L99">
        <v>16.583333333333332</v>
      </c>
      <c r="M99">
        <v>323.8</v>
      </c>
      <c r="N99">
        <v>160.35</v>
      </c>
      <c r="O99" s="21">
        <v>90</v>
      </c>
      <c r="P99" t="s">
        <v>89</v>
      </c>
      <c r="Q99" s="21">
        <v>105</v>
      </c>
      <c r="S99" t="s">
        <v>83</v>
      </c>
    </row>
    <row r="100" spans="1:19" x14ac:dyDescent="0.35">
      <c r="A100" t="s">
        <v>80</v>
      </c>
      <c r="B100" s="46">
        <v>46123</v>
      </c>
      <c r="C100" t="s">
        <v>106</v>
      </c>
      <c r="D100" t="s">
        <v>91</v>
      </c>
      <c r="E100" t="s">
        <v>443</v>
      </c>
      <c r="F100" s="20">
        <v>46123.672650462962</v>
      </c>
      <c r="G100" s="20">
        <v>46123.69939814815</v>
      </c>
      <c r="H100" s="20">
        <v>46123.710069444445</v>
      </c>
      <c r="I100" s="20">
        <v>46123.793796296297</v>
      </c>
      <c r="J100" s="20">
        <v>46123.794050925928</v>
      </c>
      <c r="K100">
        <v>38.516666666666666</v>
      </c>
      <c r="L100">
        <v>15.366666666666667</v>
      </c>
      <c r="M100">
        <v>120.56666666666666</v>
      </c>
      <c r="N100">
        <v>0.36666666666666664</v>
      </c>
      <c r="O100" s="21">
        <v>90</v>
      </c>
      <c r="P100" t="s">
        <v>89</v>
      </c>
      <c r="Q100" s="21">
        <v>105</v>
      </c>
      <c r="S100" t="s">
        <v>83</v>
      </c>
    </row>
    <row r="101" spans="1:19" x14ac:dyDescent="0.35">
      <c r="A101" t="s">
        <v>80</v>
      </c>
      <c r="B101" s="46">
        <v>46117</v>
      </c>
      <c r="C101" t="s">
        <v>104</v>
      </c>
      <c r="D101" t="s">
        <v>32</v>
      </c>
      <c r="E101" t="s">
        <v>82</v>
      </c>
      <c r="F101" s="20">
        <v>46117.387974537036</v>
      </c>
      <c r="G101" s="20">
        <v>46117.439328703702</v>
      </c>
      <c r="H101" s="20">
        <v>46117.449942129628</v>
      </c>
      <c r="I101" s="20">
        <v>46117.615567129629</v>
      </c>
      <c r="J101" s="20">
        <v>46117.616805555554</v>
      </c>
      <c r="K101">
        <v>73.95</v>
      </c>
      <c r="L101">
        <v>15.283333333333333</v>
      </c>
      <c r="M101">
        <v>238.5</v>
      </c>
      <c r="N101">
        <v>1.7833333333333334</v>
      </c>
      <c r="O101" s="21">
        <v>90</v>
      </c>
      <c r="P101" t="s">
        <v>89</v>
      </c>
      <c r="Q101" s="21">
        <v>105</v>
      </c>
      <c r="S101" t="s">
        <v>83</v>
      </c>
    </row>
    <row r="102" spans="1:19" x14ac:dyDescent="0.35">
      <c r="A102" t="s">
        <v>80</v>
      </c>
      <c r="B102" s="46">
        <v>46117</v>
      </c>
      <c r="C102" t="s">
        <v>100</v>
      </c>
      <c r="D102" t="s">
        <v>91</v>
      </c>
      <c r="E102" t="s">
        <v>92</v>
      </c>
      <c r="F102" s="20">
        <v>46117.513379629629</v>
      </c>
      <c r="G102" s="20">
        <v>46117.540925925925</v>
      </c>
      <c r="H102" s="20">
        <v>46117.551435185182</v>
      </c>
      <c r="I102" s="20">
        <v>46117.616678240738</v>
      </c>
      <c r="J102" s="20">
        <v>46118.360092592593</v>
      </c>
      <c r="K102">
        <v>39.666666666666664</v>
      </c>
      <c r="L102">
        <v>15.133333333333333</v>
      </c>
      <c r="M102">
        <v>93.95</v>
      </c>
      <c r="N102">
        <v>1070.5166666666667</v>
      </c>
      <c r="O102" s="21">
        <v>90</v>
      </c>
      <c r="P102" t="s">
        <v>89</v>
      </c>
      <c r="Q102" s="21">
        <v>105</v>
      </c>
      <c r="S102" t="s">
        <v>83</v>
      </c>
    </row>
    <row r="103" spans="1:19" x14ac:dyDescent="0.35">
      <c r="A103" t="s">
        <v>80</v>
      </c>
      <c r="B103" s="46">
        <v>46124</v>
      </c>
      <c r="C103" t="s">
        <v>84</v>
      </c>
      <c r="D103" t="s">
        <v>33</v>
      </c>
      <c r="E103" t="s">
        <v>87</v>
      </c>
      <c r="F103" s="20">
        <v>46124.566064814811</v>
      </c>
      <c r="G103" s="20">
        <v>46124.621712962966</v>
      </c>
      <c r="H103" s="20">
        <v>46124.630509259259</v>
      </c>
      <c r="I103" s="20">
        <v>46124.754189814812</v>
      </c>
      <c r="J103" s="20">
        <v>46124.786874999998</v>
      </c>
      <c r="K103">
        <v>80.13333333333334</v>
      </c>
      <c r="L103">
        <v>12.666666666666666</v>
      </c>
      <c r="M103">
        <v>178.1</v>
      </c>
      <c r="N103">
        <v>47.06666666666667</v>
      </c>
      <c r="O103" s="21">
        <v>90</v>
      </c>
      <c r="P103" t="s">
        <v>89</v>
      </c>
      <c r="Q103" s="21">
        <v>105</v>
      </c>
      <c r="R103" t="s">
        <v>89</v>
      </c>
      <c r="S103" t="s">
        <v>83</v>
      </c>
    </row>
    <row r="104" spans="1:19" x14ac:dyDescent="0.35">
      <c r="A104" t="s">
        <v>80</v>
      </c>
      <c r="B104" s="46">
        <v>46124</v>
      </c>
      <c r="C104" t="s">
        <v>126</v>
      </c>
      <c r="D104" t="s">
        <v>33</v>
      </c>
      <c r="E104" t="s">
        <v>87</v>
      </c>
      <c r="F104" s="20">
        <v>46124.495196759257</v>
      </c>
      <c r="G104" s="20">
        <v>46124.558854166666</v>
      </c>
      <c r="H104" s="20">
        <v>46124.567511574074</v>
      </c>
      <c r="I104" s="20">
        <v>46124.690613425926</v>
      </c>
      <c r="J104" s="20">
        <v>46124.848124999997</v>
      </c>
      <c r="K104">
        <v>91.666666666666671</v>
      </c>
      <c r="L104">
        <v>12.466666666666667</v>
      </c>
      <c r="M104">
        <v>177.26666666666668</v>
      </c>
      <c r="N104">
        <v>226.81666666666666</v>
      </c>
      <c r="O104" s="21">
        <v>90</v>
      </c>
      <c r="P104" t="s">
        <v>89</v>
      </c>
      <c r="Q104" s="21">
        <v>105</v>
      </c>
      <c r="S104" t="s">
        <v>83</v>
      </c>
    </row>
    <row r="105" spans="1:19" x14ac:dyDescent="0.35">
      <c r="A105" t="s">
        <v>80</v>
      </c>
      <c r="B105" s="46">
        <v>46123</v>
      </c>
      <c r="C105" t="s">
        <v>86</v>
      </c>
      <c r="D105" t="s">
        <v>33</v>
      </c>
      <c r="E105" t="s">
        <v>87</v>
      </c>
      <c r="F105" s="20">
        <v>46123.828425925924</v>
      </c>
      <c r="G105" s="20">
        <v>46123.901192129626</v>
      </c>
      <c r="H105" s="20">
        <v>46123.908993055556</v>
      </c>
      <c r="I105" s="20">
        <v>46124.010358796295</v>
      </c>
      <c r="J105" s="20">
        <v>46124.350428240738</v>
      </c>
      <c r="K105">
        <v>104.78333333333333</v>
      </c>
      <c r="L105">
        <v>11.233333333333333</v>
      </c>
      <c r="M105">
        <v>145.96666666666667</v>
      </c>
      <c r="N105">
        <v>489.7</v>
      </c>
      <c r="O105" s="21">
        <v>90</v>
      </c>
      <c r="P105" t="s">
        <v>89</v>
      </c>
      <c r="Q105" s="21">
        <v>105</v>
      </c>
      <c r="S105" t="s">
        <v>83</v>
      </c>
    </row>
    <row r="106" spans="1:19" x14ac:dyDescent="0.35">
      <c r="A106" t="s">
        <v>80</v>
      </c>
      <c r="B106" s="46">
        <v>46117</v>
      </c>
      <c r="C106" t="s">
        <v>99</v>
      </c>
      <c r="D106" t="s">
        <v>33</v>
      </c>
      <c r="E106" t="s">
        <v>87</v>
      </c>
      <c r="F106" s="20">
        <v>46117.790486111109</v>
      </c>
      <c r="G106" s="20">
        <v>46117.844305555554</v>
      </c>
      <c r="H106" s="20">
        <v>46117.851203703707</v>
      </c>
      <c r="I106" s="20">
        <v>46117.960821759261</v>
      </c>
      <c r="J106" s="20">
        <v>46118.404039351852</v>
      </c>
      <c r="K106">
        <v>77.5</v>
      </c>
      <c r="L106">
        <v>9.9333333333333336</v>
      </c>
      <c r="M106">
        <v>157.85</v>
      </c>
      <c r="N106">
        <v>638.23333333333335</v>
      </c>
      <c r="O106" s="21">
        <v>90</v>
      </c>
      <c r="P106" t="s">
        <v>89</v>
      </c>
      <c r="Q106" s="21">
        <v>105</v>
      </c>
      <c r="S106" t="s">
        <v>83</v>
      </c>
    </row>
    <row r="107" spans="1:19" x14ac:dyDescent="0.35">
      <c r="A107" t="s">
        <v>80</v>
      </c>
      <c r="B107" s="46">
        <v>46117</v>
      </c>
      <c r="C107" t="s">
        <v>96</v>
      </c>
      <c r="D107" t="s">
        <v>32</v>
      </c>
      <c r="E107" t="s">
        <v>82</v>
      </c>
      <c r="F107" s="20">
        <v>46117.387719907405</v>
      </c>
      <c r="G107" s="20">
        <v>46117.446099537039</v>
      </c>
      <c r="H107" s="20">
        <v>46117.449513888889</v>
      </c>
      <c r="I107" s="20">
        <v>46117.593738425923</v>
      </c>
      <c r="J107" s="20">
        <v>46117.594467592593</v>
      </c>
      <c r="K107">
        <v>84.066666666666663</v>
      </c>
      <c r="L107">
        <v>4.916666666666667</v>
      </c>
      <c r="M107">
        <v>207.68333333333334</v>
      </c>
      <c r="N107">
        <v>1.05</v>
      </c>
      <c r="O107" s="21">
        <v>90</v>
      </c>
      <c r="Q107" s="21">
        <v>105</v>
      </c>
      <c r="S107" t="s">
        <v>83</v>
      </c>
    </row>
    <row r="108" spans="1:19" x14ac:dyDescent="0.35">
      <c r="A108" t="s">
        <v>80</v>
      </c>
      <c r="B108" s="46">
        <v>46120</v>
      </c>
      <c r="C108" t="s">
        <v>106</v>
      </c>
      <c r="D108" t="s">
        <v>91</v>
      </c>
      <c r="E108" t="s">
        <v>108</v>
      </c>
      <c r="F108" s="20">
        <v>46118.722604166665</v>
      </c>
      <c r="G108" s="20">
        <v>46120.050416666665</v>
      </c>
      <c r="H108" s="20">
        <v>46120.052627314813</v>
      </c>
      <c r="I108" s="20">
        <v>46120.403252314813</v>
      </c>
      <c r="J108" s="20">
        <v>46123.671956018516</v>
      </c>
      <c r="K108">
        <v>1912.05</v>
      </c>
      <c r="L108">
        <v>3.1833333333333331</v>
      </c>
      <c r="M108">
        <v>504.9</v>
      </c>
      <c r="N108">
        <v>4706.9333333333334</v>
      </c>
      <c r="O108" s="21">
        <v>90</v>
      </c>
      <c r="Q108" s="21">
        <v>105</v>
      </c>
      <c r="S108" t="s">
        <v>83</v>
      </c>
    </row>
    <row r="109" spans="1:19" x14ac:dyDescent="0.35">
      <c r="A109" t="s">
        <v>80</v>
      </c>
      <c r="B109" s="46">
        <v>46117</v>
      </c>
      <c r="C109" t="s">
        <v>101</v>
      </c>
      <c r="D109" t="s">
        <v>91</v>
      </c>
      <c r="E109" t="s">
        <v>94</v>
      </c>
      <c r="F109" s="20">
        <v>46117.701898148145</v>
      </c>
      <c r="G109" s="20">
        <v>46117.728541666664</v>
      </c>
      <c r="H109" s="20">
        <v>46117.729571759257</v>
      </c>
      <c r="I109" s="20">
        <v>46117.903854166667</v>
      </c>
      <c r="J109" s="20">
        <v>46118.021770833337</v>
      </c>
      <c r="K109">
        <v>38.366666666666667</v>
      </c>
      <c r="L109">
        <v>1.4833333333333334</v>
      </c>
      <c r="M109">
        <v>250.96666666666667</v>
      </c>
      <c r="N109">
        <v>169.8</v>
      </c>
      <c r="O109" s="21">
        <v>90</v>
      </c>
      <c r="Q109" s="21">
        <v>105</v>
      </c>
      <c r="S109" t="s">
        <v>83</v>
      </c>
    </row>
    <row r="110" spans="1:19" x14ac:dyDescent="0.35">
      <c r="A110" t="s">
        <v>80</v>
      </c>
      <c r="B110" s="46">
        <v>46119</v>
      </c>
      <c r="C110" t="s">
        <v>103</v>
      </c>
      <c r="D110" t="s">
        <v>33</v>
      </c>
      <c r="E110" t="s">
        <v>87</v>
      </c>
      <c r="F110" s="20">
        <v>46119.679722222223</v>
      </c>
      <c r="G110" s="20">
        <v>46119.679861111108</v>
      </c>
      <c r="H110" s="20">
        <v>46119.680555555555</v>
      </c>
      <c r="I110" s="20">
        <v>46119.767175925925</v>
      </c>
      <c r="J110" s="20">
        <v>46123.719039351854</v>
      </c>
      <c r="K110">
        <v>0.2</v>
      </c>
      <c r="L110">
        <v>1</v>
      </c>
      <c r="M110">
        <v>124.73333333333333</v>
      </c>
      <c r="N110">
        <v>5690.6833333333334</v>
      </c>
      <c r="O110" s="21">
        <v>90</v>
      </c>
      <c r="Q110" s="21">
        <v>105</v>
      </c>
      <c r="S110" t="s">
        <v>83</v>
      </c>
    </row>
    <row r="111" spans="1:19" x14ac:dyDescent="0.35">
      <c r="A111" t="s">
        <v>80</v>
      </c>
      <c r="B111" s="46">
        <v>46117</v>
      </c>
      <c r="C111" t="s">
        <v>97</v>
      </c>
      <c r="D111" t="s">
        <v>33</v>
      </c>
      <c r="E111" t="s">
        <v>87</v>
      </c>
      <c r="F111" s="20">
        <v>46117.828414351854</v>
      </c>
      <c r="G111" s="20">
        <v>46117.906307870369</v>
      </c>
      <c r="H111" s="20"/>
      <c r="I111" s="20">
        <v>46117.995000000003</v>
      </c>
      <c r="J111" s="20">
        <v>46119.888761574075</v>
      </c>
      <c r="K111">
        <v>112.16666666666667</v>
      </c>
      <c r="N111">
        <v>2727.0166666666669</v>
      </c>
      <c r="O111" s="21">
        <v>90</v>
      </c>
      <c r="Q111" s="21">
        <v>105</v>
      </c>
      <c r="S111" t="s">
        <v>83</v>
      </c>
    </row>
    <row r="112" spans="1:19" x14ac:dyDescent="0.35">
      <c r="A112" t="s">
        <v>80</v>
      </c>
      <c r="B112" s="46">
        <v>46117</v>
      </c>
      <c r="C112" t="s">
        <v>103</v>
      </c>
      <c r="D112" t="s">
        <v>33</v>
      </c>
      <c r="E112" t="s">
        <v>87</v>
      </c>
      <c r="F112" s="20">
        <v>46117.452719907407</v>
      </c>
      <c r="G112" s="20">
        <v>46117.667719907404</v>
      </c>
      <c r="H112" s="20"/>
      <c r="I112" s="20">
        <v>46118.110439814816</v>
      </c>
      <c r="J112" s="20">
        <v>46118.110162037039</v>
      </c>
      <c r="K112">
        <v>309.60000000000002</v>
      </c>
      <c r="N112">
        <v>-0.4</v>
      </c>
      <c r="O112" s="21">
        <v>90</v>
      </c>
      <c r="Q112" s="21">
        <v>105</v>
      </c>
      <c r="S112" t="s">
        <v>83</v>
      </c>
    </row>
    <row r="113" spans="1:19" x14ac:dyDescent="0.35">
      <c r="A113" t="s">
        <v>80</v>
      </c>
      <c r="B113" s="46">
        <v>46119</v>
      </c>
      <c r="C113" t="s">
        <v>81</v>
      </c>
      <c r="D113" t="s">
        <v>33</v>
      </c>
      <c r="E113" t="s">
        <v>87</v>
      </c>
      <c r="F113" s="20">
        <v>46119.780752314815</v>
      </c>
      <c r="G113" s="20">
        <v>46119.834756944445</v>
      </c>
      <c r="H113" s="20"/>
      <c r="I113" s="20">
        <v>46119.847430555557</v>
      </c>
      <c r="J113" s="20">
        <v>46123.600057870368</v>
      </c>
      <c r="K113">
        <v>77.766666666666666</v>
      </c>
      <c r="N113">
        <v>5403.7833333333338</v>
      </c>
      <c r="O113" s="21">
        <v>90</v>
      </c>
      <c r="Q113" s="21">
        <v>105</v>
      </c>
      <c r="S113" t="s">
        <v>83</v>
      </c>
    </row>
  </sheetData>
  <pageMargins left="0.51180555555555596" right="0.51180555555555596" top="0.78749999999999998" bottom="0.78749999999999998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7"/>
  <sheetViews>
    <sheetView zoomScaleNormal="100" workbookViewId="0">
      <selection activeCell="D71" sqref="D71"/>
    </sheetView>
  </sheetViews>
  <sheetFormatPr defaultColWidth="8.54296875" defaultRowHeight="14.5" x14ac:dyDescent="0.35"/>
  <cols>
    <col min="1" max="1" width="8.453125" customWidth="1"/>
    <col min="2" max="2" width="18.08984375" customWidth="1"/>
    <col min="3" max="3" width="14.26953125" customWidth="1"/>
    <col min="4" max="4" width="17.7265625" customWidth="1"/>
    <col min="5" max="5" width="12.26953125" customWidth="1"/>
    <col min="6" max="6" width="13.81640625" customWidth="1"/>
    <col min="7" max="7" width="16.54296875" customWidth="1"/>
    <col min="8" max="8" width="11" customWidth="1"/>
    <col min="9" max="9" width="9.6328125" customWidth="1"/>
    <col min="10" max="10" width="11.54296875" customWidth="1"/>
    <col min="11" max="11" width="10.26953125" customWidth="1"/>
    <col min="12" max="12" width="18.453125" customWidth="1"/>
    <col min="13" max="13" width="6.08984375" customWidth="1"/>
    <col min="14" max="14" width="11.26953125" customWidth="1"/>
  </cols>
  <sheetData>
    <row r="1" spans="1:14" ht="14.25" customHeight="1" x14ac:dyDescent="0.35">
      <c r="A1" s="15" t="s">
        <v>110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115</v>
      </c>
      <c r="G1" s="15" t="s">
        <v>116</v>
      </c>
      <c r="H1" s="15" t="s">
        <v>117</v>
      </c>
      <c r="I1" s="15" t="s">
        <v>118</v>
      </c>
      <c r="J1" s="15" t="s">
        <v>119</v>
      </c>
      <c r="K1" s="15" t="s">
        <v>120</v>
      </c>
      <c r="L1" s="15" t="s">
        <v>121</v>
      </c>
      <c r="M1" s="15" t="s">
        <v>79</v>
      </c>
      <c r="N1" s="15" t="s">
        <v>122</v>
      </c>
    </row>
    <row r="2" spans="1:14" ht="14.25" customHeight="1" x14ac:dyDescent="0.35">
      <c r="A2" t="s">
        <v>80</v>
      </c>
      <c r="B2" t="s">
        <v>80</v>
      </c>
      <c r="C2" s="19">
        <v>46124</v>
      </c>
      <c r="D2" s="22">
        <v>46123.83803240741</v>
      </c>
      <c r="E2" t="s">
        <v>123</v>
      </c>
      <c r="F2" t="s">
        <v>33</v>
      </c>
      <c r="G2" t="s">
        <v>81</v>
      </c>
      <c r="H2" s="21">
        <v>79380</v>
      </c>
      <c r="I2" s="21">
        <v>114040</v>
      </c>
      <c r="J2" s="21">
        <v>2</v>
      </c>
      <c r="K2">
        <v>3889620</v>
      </c>
      <c r="L2" t="s">
        <v>124</v>
      </c>
      <c r="M2" t="s">
        <v>83</v>
      </c>
      <c r="N2" t="s">
        <v>125</v>
      </c>
    </row>
    <row r="3" spans="1:14" ht="14.25" customHeight="1" x14ac:dyDescent="0.35">
      <c r="A3" t="s">
        <v>80</v>
      </c>
      <c r="B3" t="s">
        <v>80</v>
      </c>
      <c r="C3" s="19">
        <v>46124</v>
      </c>
      <c r="D3" s="22">
        <v>46123.862476851849</v>
      </c>
      <c r="E3" t="s">
        <v>123</v>
      </c>
      <c r="F3" t="s">
        <v>33</v>
      </c>
      <c r="G3" t="s">
        <v>95</v>
      </c>
      <c r="H3" s="21">
        <v>78840</v>
      </c>
      <c r="I3" s="21">
        <v>113580</v>
      </c>
      <c r="J3" s="21">
        <v>2</v>
      </c>
      <c r="K3">
        <v>3863160</v>
      </c>
      <c r="L3" t="s">
        <v>124</v>
      </c>
      <c r="M3" t="s">
        <v>83</v>
      </c>
      <c r="N3" t="s">
        <v>125</v>
      </c>
    </row>
    <row r="4" spans="1:14" ht="14.25" customHeight="1" x14ac:dyDescent="0.35">
      <c r="A4" t="s">
        <v>80</v>
      </c>
      <c r="B4" t="s">
        <v>80</v>
      </c>
      <c r="C4" s="19">
        <v>46124</v>
      </c>
      <c r="D4" s="22">
        <v>46123.759456018517</v>
      </c>
      <c r="E4" t="s">
        <v>123</v>
      </c>
      <c r="F4" t="s">
        <v>33</v>
      </c>
      <c r="G4" t="s">
        <v>101</v>
      </c>
      <c r="H4" s="21">
        <v>77860</v>
      </c>
      <c r="I4" s="21">
        <v>112500</v>
      </c>
      <c r="J4" s="21">
        <v>2</v>
      </c>
      <c r="K4">
        <v>3815140</v>
      </c>
      <c r="L4" t="s">
        <v>124</v>
      </c>
      <c r="M4" t="s">
        <v>83</v>
      </c>
      <c r="N4" t="s">
        <v>125</v>
      </c>
    </row>
    <row r="5" spans="1:14" ht="14.25" customHeight="1" x14ac:dyDescent="0.35">
      <c r="A5" t="s">
        <v>80</v>
      </c>
      <c r="B5" t="s">
        <v>80</v>
      </c>
      <c r="C5" s="19">
        <v>46119</v>
      </c>
      <c r="D5" s="22">
        <v>46118.995868055557</v>
      </c>
      <c r="E5" t="s">
        <v>123</v>
      </c>
      <c r="F5" t="s">
        <v>33</v>
      </c>
      <c r="G5" t="s">
        <v>102</v>
      </c>
      <c r="H5" s="21">
        <v>76020</v>
      </c>
      <c r="I5" s="21">
        <v>110620</v>
      </c>
      <c r="J5" s="21">
        <v>2</v>
      </c>
      <c r="K5">
        <v>3801000</v>
      </c>
      <c r="L5" t="s">
        <v>124</v>
      </c>
      <c r="M5" t="s">
        <v>83</v>
      </c>
      <c r="N5" t="s">
        <v>125</v>
      </c>
    </row>
    <row r="6" spans="1:14" ht="14.25" customHeight="1" x14ac:dyDescent="0.35">
      <c r="A6" t="s">
        <v>80</v>
      </c>
      <c r="B6" t="s">
        <v>80</v>
      </c>
      <c r="C6" s="19">
        <v>46119</v>
      </c>
      <c r="D6" s="22">
        <v>46119.764317129629</v>
      </c>
      <c r="E6" t="s">
        <v>123</v>
      </c>
      <c r="F6" t="s">
        <v>33</v>
      </c>
      <c r="G6" t="s">
        <v>103</v>
      </c>
      <c r="H6" s="21">
        <v>76760</v>
      </c>
      <c r="I6" s="21">
        <v>111800</v>
      </c>
      <c r="J6" s="21">
        <v>2</v>
      </c>
      <c r="K6">
        <v>3761240</v>
      </c>
      <c r="L6" t="s">
        <v>124</v>
      </c>
      <c r="M6" t="s">
        <v>83</v>
      </c>
      <c r="N6" t="s">
        <v>125</v>
      </c>
    </row>
    <row r="7" spans="1:14" ht="14.25" customHeight="1" x14ac:dyDescent="0.35">
      <c r="A7" t="s">
        <v>80</v>
      </c>
      <c r="B7" t="s">
        <v>80</v>
      </c>
      <c r="C7" s="19">
        <v>46119</v>
      </c>
      <c r="D7" s="22">
        <v>46119.760185185187</v>
      </c>
      <c r="E7" t="s">
        <v>123</v>
      </c>
      <c r="F7" t="s">
        <v>33</v>
      </c>
      <c r="G7" t="s">
        <v>104</v>
      </c>
      <c r="H7" s="21">
        <v>76700</v>
      </c>
      <c r="I7" s="21">
        <v>112820</v>
      </c>
      <c r="J7" s="21">
        <v>2</v>
      </c>
      <c r="K7">
        <v>3758300</v>
      </c>
      <c r="L7" t="s">
        <v>124</v>
      </c>
      <c r="M7" t="s">
        <v>83</v>
      </c>
      <c r="N7" t="s">
        <v>125</v>
      </c>
    </row>
    <row r="8" spans="1:14" ht="14.25" customHeight="1" x14ac:dyDescent="0.35">
      <c r="A8" t="s">
        <v>80</v>
      </c>
      <c r="B8" t="s">
        <v>80</v>
      </c>
      <c r="C8" s="19">
        <v>46124</v>
      </c>
      <c r="D8" s="22">
        <v>46123.885740740741</v>
      </c>
      <c r="E8" t="s">
        <v>123</v>
      </c>
      <c r="F8" t="s">
        <v>33</v>
      </c>
      <c r="G8" t="s">
        <v>103</v>
      </c>
      <c r="H8" s="21">
        <v>76660</v>
      </c>
      <c r="I8" s="21">
        <v>113720</v>
      </c>
      <c r="J8" s="21">
        <v>2</v>
      </c>
      <c r="K8">
        <v>3756340</v>
      </c>
      <c r="L8" t="s">
        <v>124</v>
      </c>
      <c r="M8" t="s">
        <v>83</v>
      </c>
      <c r="N8" t="s">
        <v>125</v>
      </c>
    </row>
    <row r="9" spans="1:14" ht="14.25" customHeight="1" x14ac:dyDescent="0.35">
      <c r="A9" t="s">
        <v>80</v>
      </c>
      <c r="B9" t="s">
        <v>80</v>
      </c>
      <c r="C9" s="19">
        <v>46124</v>
      </c>
      <c r="D9" s="22">
        <v>46119.959814814814</v>
      </c>
      <c r="E9" t="s">
        <v>123</v>
      </c>
      <c r="F9" t="s">
        <v>33</v>
      </c>
      <c r="G9" t="s">
        <v>107</v>
      </c>
      <c r="H9" s="21">
        <v>77620</v>
      </c>
      <c r="I9" s="21">
        <v>112620</v>
      </c>
      <c r="J9" s="21">
        <v>2</v>
      </c>
      <c r="K9">
        <v>3749046</v>
      </c>
      <c r="L9" t="s">
        <v>124</v>
      </c>
      <c r="M9" t="s">
        <v>83</v>
      </c>
      <c r="N9" t="s">
        <v>125</v>
      </c>
    </row>
    <row r="10" spans="1:14" ht="14.25" customHeight="1" x14ac:dyDescent="0.35">
      <c r="A10" t="s">
        <v>80</v>
      </c>
      <c r="B10" t="s">
        <v>80</v>
      </c>
      <c r="C10" s="19">
        <v>46119</v>
      </c>
      <c r="D10" s="22">
        <v>46118.323611111111</v>
      </c>
      <c r="E10" t="s">
        <v>123</v>
      </c>
      <c r="F10" t="s">
        <v>33</v>
      </c>
      <c r="G10" t="s">
        <v>86</v>
      </c>
      <c r="H10" s="21">
        <v>74880</v>
      </c>
      <c r="I10" s="21">
        <v>110080</v>
      </c>
      <c r="J10" s="21">
        <v>2</v>
      </c>
      <c r="K10">
        <v>3744000</v>
      </c>
      <c r="L10" t="s">
        <v>124</v>
      </c>
      <c r="M10" t="s">
        <v>83</v>
      </c>
      <c r="N10" t="s">
        <v>125</v>
      </c>
    </row>
    <row r="11" spans="1:14" ht="14.25" customHeight="1" x14ac:dyDescent="0.35">
      <c r="A11" t="s">
        <v>80</v>
      </c>
      <c r="B11" t="s">
        <v>80</v>
      </c>
      <c r="C11" s="19">
        <v>46124</v>
      </c>
      <c r="D11" s="22">
        <v>46123.760462962964</v>
      </c>
      <c r="E11" t="s">
        <v>123</v>
      </c>
      <c r="F11" t="s">
        <v>33</v>
      </c>
      <c r="G11" t="s">
        <v>86</v>
      </c>
      <c r="H11" s="21">
        <v>76040</v>
      </c>
      <c r="I11" s="21">
        <v>110160</v>
      </c>
      <c r="J11" s="21">
        <v>2</v>
      </c>
      <c r="K11">
        <v>3725960</v>
      </c>
      <c r="L11" t="s">
        <v>124</v>
      </c>
      <c r="M11" t="s">
        <v>83</v>
      </c>
      <c r="N11" t="s">
        <v>125</v>
      </c>
    </row>
    <row r="12" spans="1:14" ht="14.25" customHeight="1" x14ac:dyDescent="0.35">
      <c r="A12" t="s">
        <v>80</v>
      </c>
      <c r="B12" t="s">
        <v>80</v>
      </c>
      <c r="C12" s="19">
        <v>46124</v>
      </c>
      <c r="D12" s="22">
        <v>46123.98033564815</v>
      </c>
      <c r="E12" t="s">
        <v>123</v>
      </c>
      <c r="F12" t="s">
        <v>33</v>
      </c>
      <c r="G12" t="s">
        <v>107</v>
      </c>
      <c r="H12" s="21">
        <v>75760</v>
      </c>
      <c r="I12" s="21">
        <v>110460</v>
      </c>
      <c r="J12" s="21">
        <v>2</v>
      </c>
      <c r="K12">
        <v>3712240</v>
      </c>
      <c r="L12" t="s">
        <v>124</v>
      </c>
      <c r="M12" t="s">
        <v>83</v>
      </c>
      <c r="N12" t="s">
        <v>125</v>
      </c>
    </row>
    <row r="13" spans="1:14" ht="14.25" customHeight="1" x14ac:dyDescent="0.35">
      <c r="A13" t="s">
        <v>80</v>
      </c>
      <c r="B13" t="s">
        <v>80</v>
      </c>
      <c r="C13" s="19">
        <v>46119</v>
      </c>
      <c r="D13" s="22">
        <v>46119.796643518515</v>
      </c>
      <c r="E13" t="s">
        <v>123</v>
      </c>
      <c r="F13" t="s">
        <v>33</v>
      </c>
      <c r="G13" t="s">
        <v>126</v>
      </c>
      <c r="H13" s="21">
        <v>75500</v>
      </c>
      <c r="I13" s="21">
        <v>110320</v>
      </c>
      <c r="J13" s="21">
        <v>2</v>
      </c>
      <c r="K13">
        <v>3699500</v>
      </c>
      <c r="L13" t="s">
        <v>124</v>
      </c>
      <c r="M13" t="s">
        <v>83</v>
      </c>
      <c r="N13" t="s">
        <v>125</v>
      </c>
    </row>
    <row r="14" spans="1:14" ht="14.25" customHeight="1" x14ac:dyDescent="0.35">
      <c r="A14" t="s">
        <v>80</v>
      </c>
      <c r="B14" t="s">
        <v>80</v>
      </c>
      <c r="C14" s="19">
        <v>46124</v>
      </c>
      <c r="D14" s="22">
        <v>46120.133067129631</v>
      </c>
      <c r="E14" t="s">
        <v>123</v>
      </c>
      <c r="F14" t="s">
        <v>33</v>
      </c>
      <c r="G14" t="s">
        <v>97</v>
      </c>
      <c r="H14" s="21">
        <v>75900</v>
      </c>
      <c r="I14" s="21">
        <v>110560</v>
      </c>
      <c r="J14" s="21">
        <v>2</v>
      </c>
      <c r="K14">
        <v>3665970</v>
      </c>
      <c r="L14" t="s">
        <v>124</v>
      </c>
      <c r="M14" t="s">
        <v>83</v>
      </c>
      <c r="N14" t="s">
        <v>125</v>
      </c>
    </row>
    <row r="15" spans="1:14" ht="14.25" customHeight="1" x14ac:dyDescent="0.35">
      <c r="A15" t="s">
        <v>80</v>
      </c>
      <c r="B15" t="s">
        <v>80</v>
      </c>
      <c r="C15" s="19">
        <v>46118</v>
      </c>
      <c r="D15" s="22">
        <v>46118.072210648148</v>
      </c>
      <c r="E15" t="s">
        <v>123</v>
      </c>
      <c r="F15" t="s">
        <v>32</v>
      </c>
      <c r="G15" t="s">
        <v>104</v>
      </c>
      <c r="H15" s="21">
        <v>63360</v>
      </c>
      <c r="I15" s="21">
        <v>97720</v>
      </c>
      <c r="J15" s="21">
        <v>2</v>
      </c>
      <c r="K15">
        <v>3611520</v>
      </c>
      <c r="L15" t="s">
        <v>124</v>
      </c>
      <c r="M15" t="s">
        <v>83</v>
      </c>
      <c r="N15" t="s">
        <v>125</v>
      </c>
    </row>
    <row r="16" spans="1:14" ht="14.25" customHeight="1" x14ac:dyDescent="0.35">
      <c r="A16" t="s">
        <v>80</v>
      </c>
      <c r="B16" t="s">
        <v>80</v>
      </c>
      <c r="C16" s="19">
        <v>46124</v>
      </c>
      <c r="D16" s="22">
        <v>46123.873379629629</v>
      </c>
      <c r="E16" t="s">
        <v>123</v>
      </c>
      <c r="F16" t="s">
        <v>33</v>
      </c>
      <c r="G16" t="s">
        <v>85</v>
      </c>
      <c r="H16" s="21">
        <v>73300</v>
      </c>
      <c r="I16" s="21">
        <v>108080</v>
      </c>
      <c r="J16" s="21">
        <v>2</v>
      </c>
      <c r="K16">
        <v>3591700</v>
      </c>
      <c r="L16" t="s">
        <v>124</v>
      </c>
      <c r="M16" t="s">
        <v>83</v>
      </c>
      <c r="N16" t="s">
        <v>125</v>
      </c>
    </row>
    <row r="17" spans="1:14" ht="14.25" customHeight="1" x14ac:dyDescent="0.35">
      <c r="A17" t="s">
        <v>80</v>
      </c>
      <c r="B17" t="s">
        <v>80</v>
      </c>
      <c r="C17" s="19">
        <v>46124</v>
      </c>
      <c r="D17" s="22">
        <v>46123.766469907408</v>
      </c>
      <c r="E17" t="s">
        <v>123</v>
      </c>
      <c r="F17" t="s">
        <v>33</v>
      </c>
      <c r="G17" t="s">
        <v>88</v>
      </c>
      <c r="H17" s="21">
        <v>73220</v>
      </c>
      <c r="I17" s="21">
        <v>110940</v>
      </c>
      <c r="J17" s="21">
        <v>2</v>
      </c>
      <c r="K17">
        <v>3587780</v>
      </c>
      <c r="L17" t="s">
        <v>124</v>
      </c>
      <c r="M17" t="s">
        <v>83</v>
      </c>
      <c r="N17" t="s">
        <v>125</v>
      </c>
    </row>
    <row r="18" spans="1:14" ht="14.25" customHeight="1" x14ac:dyDescent="0.35">
      <c r="A18" t="s">
        <v>80</v>
      </c>
      <c r="B18" t="s">
        <v>80</v>
      </c>
      <c r="C18" s="19">
        <v>46118</v>
      </c>
      <c r="D18" s="22">
        <v>46118.5546875</v>
      </c>
      <c r="E18" t="s">
        <v>123</v>
      </c>
      <c r="F18" t="s">
        <v>33</v>
      </c>
      <c r="G18" t="s">
        <v>101</v>
      </c>
      <c r="H18" s="21">
        <v>71700</v>
      </c>
      <c r="I18" s="21">
        <v>107040</v>
      </c>
      <c r="J18" s="21">
        <v>2</v>
      </c>
      <c r="K18">
        <v>3585000</v>
      </c>
      <c r="L18" t="s">
        <v>124</v>
      </c>
      <c r="M18" t="s">
        <v>83</v>
      </c>
      <c r="N18" t="s">
        <v>125</v>
      </c>
    </row>
    <row r="19" spans="1:14" ht="14.25" customHeight="1" x14ac:dyDescent="0.35">
      <c r="A19" t="s">
        <v>80</v>
      </c>
      <c r="B19" t="s">
        <v>80</v>
      </c>
      <c r="C19" s="19">
        <v>46119</v>
      </c>
      <c r="D19" s="22">
        <v>46118.077777777777</v>
      </c>
      <c r="E19" t="s">
        <v>123</v>
      </c>
      <c r="F19" t="s">
        <v>32</v>
      </c>
      <c r="G19" t="s">
        <v>102</v>
      </c>
      <c r="H19" s="21">
        <v>62760</v>
      </c>
      <c r="I19" s="21">
        <v>98040</v>
      </c>
      <c r="J19" s="21">
        <v>2</v>
      </c>
      <c r="K19">
        <v>3577320</v>
      </c>
      <c r="L19" t="s">
        <v>124</v>
      </c>
      <c r="M19" t="s">
        <v>83</v>
      </c>
      <c r="N19" t="s">
        <v>125</v>
      </c>
    </row>
    <row r="20" spans="1:14" ht="14.25" customHeight="1" x14ac:dyDescent="0.35">
      <c r="A20" t="s">
        <v>80</v>
      </c>
      <c r="B20" t="s">
        <v>80</v>
      </c>
      <c r="C20" s="19">
        <v>46124</v>
      </c>
      <c r="D20" s="22">
        <v>46120.068518518521</v>
      </c>
      <c r="E20" t="s">
        <v>123</v>
      </c>
      <c r="F20" t="s">
        <v>33</v>
      </c>
      <c r="G20" t="s">
        <v>99</v>
      </c>
      <c r="H20" s="21">
        <v>73960</v>
      </c>
      <c r="I20" s="21">
        <v>108380</v>
      </c>
      <c r="J20" s="21">
        <v>2</v>
      </c>
      <c r="K20">
        <v>3572268</v>
      </c>
      <c r="L20" t="s">
        <v>124</v>
      </c>
      <c r="M20" t="s">
        <v>83</v>
      </c>
      <c r="N20" t="s">
        <v>125</v>
      </c>
    </row>
    <row r="21" spans="1:14" ht="14.25" customHeight="1" x14ac:dyDescent="0.35">
      <c r="A21" t="s">
        <v>80</v>
      </c>
      <c r="B21" t="s">
        <v>80</v>
      </c>
      <c r="C21" s="19">
        <v>46124</v>
      </c>
      <c r="D21" s="22">
        <v>46123.869212962964</v>
      </c>
      <c r="E21" t="s">
        <v>123</v>
      </c>
      <c r="F21" t="s">
        <v>32</v>
      </c>
      <c r="G21" t="s">
        <v>98</v>
      </c>
      <c r="H21" s="21">
        <v>62640</v>
      </c>
      <c r="I21" s="21">
        <v>97560</v>
      </c>
      <c r="J21" s="21">
        <v>2</v>
      </c>
      <c r="K21">
        <v>3570480</v>
      </c>
      <c r="L21" t="s">
        <v>124</v>
      </c>
      <c r="M21" t="s">
        <v>83</v>
      </c>
      <c r="N21" t="s">
        <v>125</v>
      </c>
    </row>
    <row r="22" spans="1:14" ht="14.25" customHeight="1" x14ac:dyDescent="0.35">
      <c r="A22" t="s">
        <v>80</v>
      </c>
      <c r="B22" t="s">
        <v>80</v>
      </c>
      <c r="C22" s="19">
        <v>46124</v>
      </c>
      <c r="D22" s="22">
        <v>46122.142777777779</v>
      </c>
      <c r="E22" t="s">
        <v>123</v>
      </c>
      <c r="F22" t="s">
        <v>33</v>
      </c>
      <c r="G22" t="s">
        <v>85</v>
      </c>
      <c r="H22" s="21">
        <v>72460</v>
      </c>
      <c r="I22" s="21">
        <v>107160</v>
      </c>
      <c r="J22" s="21">
        <v>2</v>
      </c>
      <c r="K22">
        <v>3550540</v>
      </c>
      <c r="L22" t="s">
        <v>124</v>
      </c>
      <c r="M22" t="s">
        <v>83</v>
      </c>
      <c r="N22" t="s">
        <v>125</v>
      </c>
    </row>
    <row r="23" spans="1:14" ht="14.25" customHeight="1" x14ac:dyDescent="0.35">
      <c r="A23" t="s">
        <v>80</v>
      </c>
      <c r="B23" t="s">
        <v>80</v>
      </c>
      <c r="C23" s="19">
        <v>46124</v>
      </c>
      <c r="D23" s="22">
        <v>46120.008032407408</v>
      </c>
      <c r="E23" t="s">
        <v>123</v>
      </c>
      <c r="F23" t="s">
        <v>33</v>
      </c>
      <c r="G23" t="s">
        <v>81</v>
      </c>
      <c r="H23" s="21">
        <v>73380</v>
      </c>
      <c r="I23" s="21">
        <v>108320</v>
      </c>
      <c r="J23" s="21">
        <v>2</v>
      </c>
      <c r="K23">
        <v>3544254</v>
      </c>
      <c r="L23" t="s">
        <v>124</v>
      </c>
      <c r="M23" t="s">
        <v>83</v>
      </c>
      <c r="N23" t="s">
        <v>125</v>
      </c>
    </row>
    <row r="24" spans="1:14" ht="14.25" customHeight="1" x14ac:dyDescent="0.35">
      <c r="A24" t="s">
        <v>80</v>
      </c>
      <c r="B24" t="s">
        <v>80</v>
      </c>
      <c r="C24" s="19">
        <v>46124</v>
      </c>
      <c r="D24" s="22">
        <v>46123.886087962965</v>
      </c>
      <c r="E24" t="s">
        <v>123</v>
      </c>
      <c r="F24" t="s">
        <v>32</v>
      </c>
      <c r="G24" t="s">
        <v>90</v>
      </c>
      <c r="H24" s="21">
        <v>62020</v>
      </c>
      <c r="I24" s="21">
        <v>98440</v>
      </c>
      <c r="J24" s="21">
        <v>2</v>
      </c>
      <c r="K24">
        <v>3535140</v>
      </c>
      <c r="L24" t="s">
        <v>124</v>
      </c>
      <c r="M24" t="s">
        <v>83</v>
      </c>
      <c r="N24" t="s">
        <v>125</v>
      </c>
    </row>
    <row r="25" spans="1:14" ht="14.25" customHeight="1" x14ac:dyDescent="0.35">
      <c r="A25" t="s">
        <v>80</v>
      </c>
      <c r="B25" t="s">
        <v>80</v>
      </c>
      <c r="C25" s="19">
        <v>46118</v>
      </c>
      <c r="D25" s="22">
        <v>46118.199583333335</v>
      </c>
      <c r="E25" t="s">
        <v>123</v>
      </c>
      <c r="F25" t="s">
        <v>32</v>
      </c>
      <c r="G25" t="s">
        <v>88</v>
      </c>
      <c r="H25" s="21">
        <v>61600</v>
      </c>
      <c r="I25" s="21">
        <v>96140</v>
      </c>
      <c r="J25" s="21">
        <v>2</v>
      </c>
      <c r="K25">
        <v>3511200</v>
      </c>
      <c r="L25" t="s">
        <v>124</v>
      </c>
      <c r="M25" t="s">
        <v>83</v>
      </c>
      <c r="N25" t="s">
        <v>125</v>
      </c>
    </row>
    <row r="26" spans="1:14" ht="14.25" customHeight="1" x14ac:dyDescent="0.35">
      <c r="A26" t="s">
        <v>80</v>
      </c>
      <c r="B26" t="s">
        <v>80</v>
      </c>
      <c r="C26" s="19">
        <v>46124</v>
      </c>
      <c r="D26" s="22">
        <v>46119.929108796299</v>
      </c>
      <c r="E26" t="s">
        <v>123</v>
      </c>
      <c r="F26" t="s">
        <v>33</v>
      </c>
      <c r="G26" t="s">
        <v>100</v>
      </c>
      <c r="H26" s="21">
        <v>72520</v>
      </c>
      <c r="I26" s="21">
        <v>112380</v>
      </c>
      <c r="J26" s="21">
        <v>2</v>
      </c>
      <c r="K26">
        <v>3502716</v>
      </c>
      <c r="L26" t="s">
        <v>124</v>
      </c>
      <c r="M26" t="s">
        <v>83</v>
      </c>
      <c r="N26" t="s">
        <v>125</v>
      </c>
    </row>
    <row r="27" spans="1:14" ht="14.25" customHeight="1" x14ac:dyDescent="0.35">
      <c r="A27" t="s">
        <v>80</v>
      </c>
      <c r="B27" t="s">
        <v>80</v>
      </c>
      <c r="C27" s="19">
        <v>46118</v>
      </c>
      <c r="D27" s="22">
        <v>46118.493194444447</v>
      </c>
      <c r="E27" t="s">
        <v>123</v>
      </c>
      <c r="F27" t="s">
        <v>33</v>
      </c>
      <c r="G27" t="s">
        <v>95</v>
      </c>
      <c r="H27" s="21">
        <v>69500</v>
      </c>
      <c r="I27" s="21">
        <v>104980</v>
      </c>
      <c r="J27" s="21">
        <v>2</v>
      </c>
      <c r="K27">
        <v>3475000</v>
      </c>
      <c r="L27" t="s">
        <v>124</v>
      </c>
      <c r="M27" t="s">
        <v>83</v>
      </c>
      <c r="N27" t="s">
        <v>125</v>
      </c>
    </row>
    <row r="28" spans="1:14" ht="14.25" customHeight="1" x14ac:dyDescent="0.35">
      <c r="A28" t="s">
        <v>80</v>
      </c>
      <c r="B28" t="s">
        <v>80</v>
      </c>
      <c r="C28" s="19">
        <v>46118</v>
      </c>
      <c r="D28" s="22">
        <v>46118.200208333335</v>
      </c>
      <c r="E28" t="s">
        <v>123</v>
      </c>
      <c r="F28" t="s">
        <v>33</v>
      </c>
      <c r="G28" t="s">
        <v>98</v>
      </c>
      <c r="H28" s="21">
        <v>69060</v>
      </c>
      <c r="I28" s="21">
        <v>106120</v>
      </c>
      <c r="J28" s="21">
        <v>2</v>
      </c>
      <c r="K28">
        <v>3453000</v>
      </c>
      <c r="L28" t="s">
        <v>124</v>
      </c>
      <c r="M28" t="s">
        <v>83</v>
      </c>
      <c r="N28" t="s">
        <v>125</v>
      </c>
    </row>
    <row r="29" spans="1:14" ht="14.25" customHeight="1" x14ac:dyDescent="0.35">
      <c r="A29" t="s">
        <v>80</v>
      </c>
      <c r="B29" t="s">
        <v>80</v>
      </c>
      <c r="C29" s="19">
        <v>46118</v>
      </c>
      <c r="D29" s="22">
        <v>46118.325937499998</v>
      </c>
      <c r="E29" t="s">
        <v>123</v>
      </c>
      <c r="F29" t="s">
        <v>33</v>
      </c>
      <c r="G29" t="s">
        <v>90</v>
      </c>
      <c r="H29" s="21">
        <v>68080</v>
      </c>
      <c r="I29" s="21">
        <v>103160</v>
      </c>
      <c r="J29" s="21">
        <v>2</v>
      </c>
      <c r="K29">
        <v>3404000</v>
      </c>
      <c r="L29" t="s">
        <v>124</v>
      </c>
      <c r="M29" t="s">
        <v>83</v>
      </c>
      <c r="N29" t="s">
        <v>125</v>
      </c>
    </row>
    <row r="30" spans="1:14" ht="14.25" customHeight="1" x14ac:dyDescent="0.35">
      <c r="A30" t="s">
        <v>80</v>
      </c>
      <c r="B30" t="s">
        <v>80</v>
      </c>
      <c r="C30" s="19">
        <v>46118</v>
      </c>
      <c r="D30" s="22">
        <v>46118.534583333334</v>
      </c>
      <c r="E30" t="s">
        <v>123</v>
      </c>
      <c r="F30" t="s">
        <v>33</v>
      </c>
      <c r="G30" t="s">
        <v>102</v>
      </c>
      <c r="H30" s="21">
        <v>67140</v>
      </c>
      <c r="I30" s="21">
        <v>107160</v>
      </c>
      <c r="J30" s="21">
        <v>2</v>
      </c>
      <c r="K30">
        <v>3357000</v>
      </c>
      <c r="L30" t="s">
        <v>124</v>
      </c>
      <c r="M30" t="s">
        <v>83</v>
      </c>
      <c r="N30" t="s">
        <v>125</v>
      </c>
    </row>
    <row r="31" spans="1:14" ht="14.25" customHeight="1" x14ac:dyDescent="0.35">
      <c r="A31" t="s">
        <v>80</v>
      </c>
      <c r="B31" t="s">
        <v>80</v>
      </c>
      <c r="C31" s="19">
        <v>46118</v>
      </c>
      <c r="D31" s="22">
        <v>46118.588159722225</v>
      </c>
      <c r="E31" t="s">
        <v>123</v>
      </c>
      <c r="F31" t="s">
        <v>32</v>
      </c>
      <c r="G31" t="s">
        <v>81</v>
      </c>
      <c r="H31" s="21">
        <v>58760</v>
      </c>
      <c r="I31" s="21">
        <v>93280</v>
      </c>
      <c r="J31" s="21">
        <v>2</v>
      </c>
      <c r="K31">
        <v>3349320</v>
      </c>
      <c r="L31" t="s">
        <v>124</v>
      </c>
      <c r="M31" t="s">
        <v>83</v>
      </c>
      <c r="N31" t="s">
        <v>125</v>
      </c>
    </row>
    <row r="32" spans="1:14" ht="14.25" customHeight="1" x14ac:dyDescent="0.35">
      <c r="A32" t="s">
        <v>80</v>
      </c>
      <c r="B32" t="s">
        <v>80</v>
      </c>
      <c r="C32" s="19">
        <v>46119</v>
      </c>
      <c r="D32" s="22">
        <v>46117.899722222224</v>
      </c>
      <c r="E32" t="s">
        <v>123</v>
      </c>
      <c r="F32" t="s">
        <v>33</v>
      </c>
      <c r="G32" t="s">
        <v>126</v>
      </c>
      <c r="H32" s="21">
        <v>66640</v>
      </c>
      <c r="I32" s="21">
        <v>109680</v>
      </c>
      <c r="J32" s="21">
        <v>2</v>
      </c>
      <c r="K32">
        <v>3332000</v>
      </c>
      <c r="L32" t="s">
        <v>124</v>
      </c>
      <c r="M32" t="s">
        <v>83</v>
      </c>
      <c r="N32" t="s">
        <v>125</v>
      </c>
    </row>
    <row r="33" spans="1:14" ht="14.25" customHeight="1" x14ac:dyDescent="0.35">
      <c r="A33" t="s">
        <v>80</v>
      </c>
      <c r="B33" t="s">
        <v>80</v>
      </c>
      <c r="C33" s="19">
        <v>46119</v>
      </c>
      <c r="D33" s="22">
        <v>46117.979479166665</v>
      </c>
      <c r="E33" t="s">
        <v>123</v>
      </c>
      <c r="F33" t="s">
        <v>33</v>
      </c>
      <c r="G33" t="s">
        <v>99</v>
      </c>
      <c r="H33" s="21">
        <v>66560</v>
      </c>
      <c r="I33" s="21">
        <v>109780</v>
      </c>
      <c r="J33" s="21">
        <v>2</v>
      </c>
      <c r="K33">
        <v>3328000</v>
      </c>
      <c r="L33" t="s">
        <v>124</v>
      </c>
      <c r="M33" t="s">
        <v>83</v>
      </c>
      <c r="N33" t="s">
        <v>125</v>
      </c>
    </row>
    <row r="34" spans="1:14" ht="14.25" customHeight="1" x14ac:dyDescent="0.35">
      <c r="A34" t="s">
        <v>80</v>
      </c>
      <c r="B34" t="s">
        <v>80</v>
      </c>
      <c r="C34" s="19">
        <v>46124</v>
      </c>
      <c r="D34" s="22">
        <v>46120.040393518517</v>
      </c>
      <c r="E34" t="s">
        <v>123</v>
      </c>
      <c r="F34" t="s">
        <v>33</v>
      </c>
      <c r="G34" t="s">
        <v>95</v>
      </c>
      <c r="H34" s="21">
        <v>68720</v>
      </c>
      <c r="I34" s="21">
        <v>103800</v>
      </c>
      <c r="J34" s="21">
        <v>2</v>
      </c>
      <c r="K34">
        <v>3319176</v>
      </c>
      <c r="L34" t="s">
        <v>124</v>
      </c>
      <c r="M34" t="s">
        <v>83</v>
      </c>
      <c r="N34" t="s">
        <v>125</v>
      </c>
    </row>
    <row r="35" spans="1:14" ht="14.25" customHeight="1" x14ac:dyDescent="0.35">
      <c r="A35" t="s">
        <v>80</v>
      </c>
      <c r="B35" t="s">
        <v>80</v>
      </c>
      <c r="C35" s="19">
        <v>46118</v>
      </c>
      <c r="D35" s="22">
        <v>46118.810208333336</v>
      </c>
      <c r="E35" t="s">
        <v>123</v>
      </c>
      <c r="F35" t="s">
        <v>33</v>
      </c>
      <c r="G35" t="s">
        <v>109</v>
      </c>
      <c r="H35" s="21">
        <v>65820</v>
      </c>
      <c r="I35" s="21">
        <v>108260</v>
      </c>
      <c r="J35" s="21">
        <v>2</v>
      </c>
      <c r="K35">
        <v>3291000</v>
      </c>
      <c r="L35" t="s">
        <v>124</v>
      </c>
      <c r="M35" t="s">
        <v>83</v>
      </c>
      <c r="N35" t="s">
        <v>125</v>
      </c>
    </row>
    <row r="36" spans="1:14" ht="14.25" customHeight="1" x14ac:dyDescent="0.35">
      <c r="A36" t="s">
        <v>80</v>
      </c>
      <c r="B36" t="s">
        <v>80</v>
      </c>
      <c r="C36" s="19">
        <v>46118</v>
      </c>
      <c r="D36" s="22">
        <v>46118.428923611114</v>
      </c>
      <c r="E36" t="s">
        <v>123</v>
      </c>
      <c r="F36" t="s">
        <v>32</v>
      </c>
      <c r="G36" t="s">
        <v>84</v>
      </c>
      <c r="H36" s="21">
        <v>57540</v>
      </c>
      <c r="I36" s="21">
        <v>92120</v>
      </c>
      <c r="J36" s="21">
        <v>2</v>
      </c>
      <c r="K36">
        <v>3279780</v>
      </c>
      <c r="L36" t="s">
        <v>124</v>
      </c>
      <c r="M36" t="s">
        <v>83</v>
      </c>
      <c r="N36" t="s">
        <v>125</v>
      </c>
    </row>
    <row r="37" spans="1:14" x14ac:dyDescent="0.35">
      <c r="A37" t="s">
        <v>80</v>
      </c>
      <c r="B37" t="s">
        <v>80</v>
      </c>
      <c r="C37">
        <v>46119</v>
      </c>
      <c r="D37">
        <v>46118.041250000002</v>
      </c>
      <c r="E37" t="s">
        <v>123</v>
      </c>
      <c r="F37" t="s">
        <v>33</v>
      </c>
      <c r="G37" t="s">
        <v>90</v>
      </c>
      <c r="H37">
        <v>65300</v>
      </c>
      <c r="I37">
        <v>107460</v>
      </c>
      <c r="J37">
        <v>2</v>
      </c>
      <c r="K37">
        <v>3265000</v>
      </c>
      <c r="L37" t="s">
        <v>124</v>
      </c>
      <c r="M37" t="s">
        <v>83</v>
      </c>
      <c r="N37" t="s">
        <v>125</v>
      </c>
    </row>
    <row r="38" spans="1:14" x14ac:dyDescent="0.35">
      <c r="A38" t="s">
        <v>80</v>
      </c>
      <c r="B38" t="s">
        <v>80</v>
      </c>
      <c r="C38">
        <v>46124</v>
      </c>
      <c r="D38">
        <v>46123.901435185187</v>
      </c>
      <c r="E38" t="s">
        <v>123</v>
      </c>
      <c r="F38" t="s">
        <v>32</v>
      </c>
      <c r="G38" t="s">
        <v>96</v>
      </c>
      <c r="H38">
        <v>57120</v>
      </c>
      <c r="I38">
        <v>94980</v>
      </c>
      <c r="J38">
        <v>2</v>
      </c>
      <c r="K38">
        <v>3255840</v>
      </c>
      <c r="L38" t="s">
        <v>124</v>
      </c>
      <c r="M38" t="s">
        <v>83</v>
      </c>
      <c r="N38" t="s">
        <v>125</v>
      </c>
    </row>
    <row r="39" spans="1:14" x14ac:dyDescent="0.35">
      <c r="A39" t="s">
        <v>80</v>
      </c>
      <c r="B39" t="s">
        <v>80</v>
      </c>
      <c r="C39">
        <v>46124</v>
      </c>
      <c r="D39">
        <v>46123.613229166665</v>
      </c>
      <c r="E39" t="s">
        <v>123</v>
      </c>
      <c r="F39" t="s">
        <v>33</v>
      </c>
      <c r="G39" t="s">
        <v>103</v>
      </c>
      <c r="H39">
        <v>66180</v>
      </c>
      <c r="I39">
        <v>100580</v>
      </c>
      <c r="J39">
        <v>2</v>
      </c>
      <c r="K39">
        <v>3242820</v>
      </c>
      <c r="L39" t="s">
        <v>124</v>
      </c>
      <c r="M39" t="s">
        <v>83</v>
      </c>
      <c r="N39" t="s">
        <v>125</v>
      </c>
    </row>
    <row r="40" spans="1:14" x14ac:dyDescent="0.35">
      <c r="A40" t="s">
        <v>80</v>
      </c>
      <c r="B40" t="s">
        <v>80</v>
      </c>
      <c r="C40">
        <v>46118</v>
      </c>
      <c r="D40">
        <v>46118.402013888888</v>
      </c>
      <c r="E40" t="s">
        <v>123</v>
      </c>
      <c r="F40" t="s">
        <v>32</v>
      </c>
      <c r="G40" t="s">
        <v>85</v>
      </c>
      <c r="H40">
        <v>55980</v>
      </c>
      <c r="I40">
        <v>93520</v>
      </c>
      <c r="J40">
        <v>2</v>
      </c>
      <c r="K40">
        <v>3190860</v>
      </c>
      <c r="L40" t="s">
        <v>124</v>
      </c>
      <c r="M40" t="s">
        <v>83</v>
      </c>
      <c r="N40" t="s">
        <v>125</v>
      </c>
    </row>
    <row r="41" spans="1:14" x14ac:dyDescent="0.35">
      <c r="A41" t="s">
        <v>80</v>
      </c>
      <c r="B41" t="s">
        <v>80</v>
      </c>
      <c r="C41">
        <v>46124</v>
      </c>
      <c r="D41">
        <v>46117.667604166665</v>
      </c>
      <c r="E41" t="s">
        <v>123</v>
      </c>
      <c r="F41" t="s">
        <v>33</v>
      </c>
      <c r="G41" t="s">
        <v>103</v>
      </c>
      <c r="H41">
        <v>63760</v>
      </c>
      <c r="I41">
        <v>98500</v>
      </c>
      <c r="J41">
        <v>2</v>
      </c>
      <c r="K41">
        <v>3188000</v>
      </c>
      <c r="L41" t="s">
        <v>124</v>
      </c>
      <c r="M41" t="s">
        <v>83</v>
      </c>
      <c r="N41" t="s">
        <v>125</v>
      </c>
    </row>
    <row r="42" spans="1:14" x14ac:dyDescent="0.35">
      <c r="A42" t="s">
        <v>80</v>
      </c>
      <c r="B42" t="s">
        <v>80</v>
      </c>
      <c r="C42">
        <v>46119</v>
      </c>
      <c r="D42">
        <v>46119.048055555555</v>
      </c>
      <c r="E42" t="s">
        <v>123</v>
      </c>
      <c r="F42" t="s">
        <v>33</v>
      </c>
      <c r="G42" t="s">
        <v>90</v>
      </c>
      <c r="H42">
        <v>63180</v>
      </c>
      <c r="I42">
        <v>103600</v>
      </c>
      <c r="J42">
        <v>2</v>
      </c>
      <c r="K42">
        <v>3159000</v>
      </c>
      <c r="L42" t="s">
        <v>124</v>
      </c>
      <c r="M42" t="s">
        <v>83</v>
      </c>
      <c r="N42" t="s">
        <v>125</v>
      </c>
    </row>
    <row r="43" spans="1:14" x14ac:dyDescent="0.35">
      <c r="A43" t="s">
        <v>80</v>
      </c>
      <c r="B43" t="s">
        <v>80</v>
      </c>
      <c r="C43">
        <v>46124</v>
      </c>
      <c r="D43">
        <v>46123.887881944444</v>
      </c>
      <c r="E43" t="s">
        <v>123</v>
      </c>
      <c r="F43" t="s">
        <v>32</v>
      </c>
      <c r="G43" t="s">
        <v>442</v>
      </c>
      <c r="H43">
        <v>54780</v>
      </c>
      <c r="I43">
        <v>97660</v>
      </c>
      <c r="J43">
        <v>2</v>
      </c>
      <c r="K43">
        <v>3122460</v>
      </c>
      <c r="L43" t="s">
        <v>124</v>
      </c>
      <c r="M43" t="s">
        <v>83</v>
      </c>
      <c r="N43" t="s">
        <v>125</v>
      </c>
    </row>
    <row r="44" spans="1:14" x14ac:dyDescent="0.35">
      <c r="A44" t="s">
        <v>80</v>
      </c>
      <c r="B44" t="s">
        <v>80</v>
      </c>
      <c r="C44">
        <v>46119</v>
      </c>
      <c r="D44">
        <v>46118.945729166669</v>
      </c>
      <c r="E44" t="s">
        <v>123</v>
      </c>
      <c r="F44" t="s">
        <v>33</v>
      </c>
      <c r="G44" t="s">
        <v>88</v>
      </c>
      <c r="H44">
        <v>59420</v>
      </c>
      <c r="I44">
        <v>101640</v>
      </c>
      <c r="J44">
        <v>2</v>
      </c>
      <c r="K44">
        <v>2971000</v>
      </c>
      <c r="L44" t="s">
        <v>124</v>
      </c>
      <c r="M44" t="s">
        <v>83</v>
      </c>
      <c r="N44" t="s">
        <v>125</v>
      </c>
    </row>
    <row r="45" spans="1:14" x14ac:dyDescent="0.35">
      <c r="A45" t="s">
        <v>80</v>
      </c>
      <c r="B45" t="s">
        <v>80</v>
      </c>
      <c r="C45">
        <v>46119</v>
      </c>
      <c r="D45">
        <v>46118.16170138889</v>
      </c>
      <c r="E45" t="s">
        <v>123</v>
      </c>
      <c r="F45" t="s">
        <v>33</v>
      </c>
      <c r="G45" t="s">
        <v>95</v>
      </c>
      <c r="H45">
        <v>57960</v>
      </c>
      <c r="I45">
        <v>103900</v>
      </c>
      <c r="J45">
        <v>2</v>
      </c>
      <c r="K45">
        <v>2898000</v>
      </c>
      <c r="L45" t="s">
        <v>124</v>
      </c>
      <c r="M45" t="s">
        <v>83</v>
      </c>
      <c r="N45" t="s">
        <v>125</v>
      </c>
    </row>
    <row r="46" spans="1:14" x14ac:dyDescent="0.35">
      <c r="A46" t="s">
        <v>80</v>
      </c>
      <c r="B46" t="s">
        <v>80</v>
      </c>
      <c r="C46">
        <v>46124</v>
      </c>
      <c r="D46">
        <v>46118.903749999998</v>
      </c>
      <c r="E46" t="s">
        <v>123</v>
      </c>
      <c r="F46" t="s">
        <v>33</v>
      </c>
      <c r="G46" t="s">
        <v>104</v>
      </c>
      <c r="H46">
        <v>59860</v>
      </c>
      <c r="I46">
        <v>107200</v>
      </c>
      <c r="J46">
        <v>2</v>
      </c>
      <c r="K46">
        <v>2885252</v>
      </c>
      <c r="L46" t="s">
        <v>124</v>
      </c>
      <c r="M46" t="s">
        <v>83</v>
      </c>
      <c r="N46" t="s">
        <v>125</v>
      </c>
    </row>
    <row r="47" spans="1:14" x14ac:dyDescent="0.35">
      <c r="A47" t="s">
        <v>80</v>
      </c>
      <c r="B47" t="s">
        <v>80</v>
      </c>
      <c r="C47">
        <v>46119</v>
      </c>
      <c r="D47">
        <v>46117.816134259258</v>
      </c>
      <c r="E47" t="s">
        <v>123</v>
      </c>
      <c r="F47" t="s">
        <v>33</v>
      </c>
      <c r="G47" t="s">
        <v>95</v>
      </c>
      <c r="H47">
        <v>56700</v>
      </c>
      <c r="I47">
        <v>110240</v>
      </c>
      <c r="J47">
        <v>2</v>
      </c>
      <c r="K47">
        <v>2835000</v>
      </c>
      <c r="L47" t="s">
        <v>124</v>
      </c>
      <c r="M47" t="s">
        <v>83</v>
      </c>
      <c r="N47" t="s">
        <v>125</v>
      </c>
    </row>
    <row r="48" spans="1:14" x14ac:dyDescent="0.35">
      <c r="A48" t="s">
        <v>80</v>
      </c>
      <c r="B48" t="s">
        <v>80</v>
      </c>
      <c r="C48">
        <v>46119</v>
      </c>
      <c r="D48">
        <v>46118.34951388889</v>
      </c>
      <c r="E48" t="s">
        <v>123</v>
      </c>
      <c r="F48" t="s">
        <v>33</v>
      </c>
      <c r="G48" t="s">
        <v>93</v>
      </c>
      <c r="H48">
        <v>50140</v>
      </c>
      <c r="I48">
        <v>105800</v>
      </c>
      <c r="J48">
        <v>2</v>
      </c>
      <c r="K48">
        <v>2507000</v>
      </c>
      <c r="L48" t="s">
        <v>124</v>
      </c>
      <c r="M48" t="s">
        <v>83</v>
      </c>
      <c r="N48" t="s">
        <v>125</v>
      </c>
    </row>
    <row r="49" spans="1:14" x14ac:dyDescent="0.35">
      <c r="A49" t="s">
        <v>80</v>
      </c>
      <c r="B49" t="s">
        <v>80</v>
      </c>
      <c r="C49">
        <v>46124</v>
      </c>
      <c r="D49">
        <v>46117.994270833333</v>
      </c>
      <c r="E49" t="s">
        <v>123</v>
      </c>
      <c r="F49" t="s">
        <v>33</v>
      </c>
      <c r="G49" t="s">
        <v>97</v>
      </c>
      <c r="H49">
        <v>48700</v>
      </c>
      <c r="I49">
        <v>104080</v>
      </c>
      <c r="J49">
        <v>2</v>
      </c>
      <c r="K49">
        <v>2435000</v>
      </c>
      <c r="L49" t="s">
        <v>124</v>
      </c>
      <c r="M49" t="s">
        <v>83</v>
      </c>
      <c r="N49" t="s">
        <v>125</v>
      </c>
    </row>
    <row r="50" spans="1:14" x14ac:dyDescent="0.35">
      <c r="A50" t="s">
        <v>80</v>
      </c>
      <c r="B50" t="s">
        <v>80</v>
      </c>
      <c r="C50">
        <v>46119</v>
      </c>
      <c r="D50">
        <v>46117.642777777779</v>
      </c>
      <c r="E50" t="s">
        <v>123</v>
      </c>
      <c r="F50" t="s">
        <v>91</v>
      </c>
      <c r="G50" t="s">
        <v>101</v>
      </c>
      <c r="H50">
        <v>67320</v>
      </c>
      <c r="I50">
        <v>102260</v>
      </c>
      <c r="J50">
        <v>2</v>
      </c>
      <c r="K50">
        <v>1279080</v>
      </c>
      <c r="L50" t="s">
        <v>124</v>
      </c>
      <c r="M50" t="s">
        <v>83</v>
      </c>
      <c r="N50" t="s">
        <v>125</v>
      </c>
    </row>
    <row r="51" spans="1:14" x14ac:dyDescent="0.35">
      <c r="A51" t="s">
        <v>80</v>
      </c>
      <c r="B51" t="s">
        <v>80</v>
      </c>
      <c r="C51">
        <v>46119</v>
      </c>
      <c r="D51">
        <v>46117.68644675926</v>
      </c>
      <c r="E51" t="s">
        <v>123</v>
      </c>
      <c r="F51" t="s">
        <v>91</v>
      </c>
      <c r="G51" t="s">
        <v>101</v>
      </c>
      <c r="H51">
        <v>63120</v>
      </c>
      <c r="I51">
        <v>104180</v>
      </c>
      <c r="J51">
        <v>2</v>
      </c>
      <c r="K51">
        <v>1199280</v>
      </c>
      <c r="L51" t="s">
        <v>124</v>
      </c>
      <c r="M51" t="s">
        <v>83</v>
      </c>
      <c r="N51" t="s">
        <v>125</v>
      </c>
    </row>
    <row r="52" spans="1:14" x14ac:dyDescent="0.35">
      <c r="A52" t="s">
        <v>80</v>
      </c>
      <c r="B52" t="s">
        <v>80</v>
      </c>
      <c r="C52">
        <v>46118</v>
      </c>
      <c r="D52">
        <v>46118.557662037034</v>
      </c>
      <c r="E52" t="s">
        <v>123</v>
      </c>
      <c r="F52" t="s">
        <v>91</v>
      </c>
      <c r="G52" t="s">
        <v>99</v>
      </c>
      <c r="H52">
        <v>61780</v>
      </c>
      <c r="I52">
        <v>96300</v>
      </c>
      <c r="J52">
        <v>2</v>
      </c>
      <c r="K52">
        <v>1173820</v>
      </c>
      <c r="L52" t="s">
        <v>124</v>
      </c>
      <c r="M52" t="s">
        <v>83</v>
      </c>
      <c r="N52" t="s">
        <v>125</v>
      </c>
    </row>
    <row r="53" spans="1:14" x14ac:dyDescent="0.35">
      <c r="A53" t="s">
        <v>80</v>
      </c>
      <c r="B53" t="s">
        <v>80</v>
      </c>
      <c r="C53">
        <v>46118</v>
      </c>
      <c r="D53">
        <v>46118.496446759258</v>
      </c>
      <c r="E53" t="s">
        <v>123</v>
      </c>
      <c r="F53" t="s">
        <v>91</v>
      </c>
      <c r="G53" t="s">
        <v>100</v>
      </c>
      <c r="H53">
        <v>60240</v>
      </c>
      <c r="I53">
        <v>99180</v>
      </c>
      <c r="J53">
        <v>2</v>
      </c>
      <c r="K53">
        <v>1144560</v>
      </c>
      <c r="L53" t="s">
        <v>124</v>
      </c>
      <c r="M53" t="s">
        <v>83</v>
      </c>
      <c r="N53" t="s">
        <v>125</v>
      </c>
    </row>
    <row r="54" spans="1:14" x14ac:dyDescent="0.35">
      <c r="A54" t="s">
        <v>80</v>
      </c>
      <c r="B54" t="s">
        <v>80</v>
      </c>
      <c r="C54">
        <v>46119</v>
      </c>
      <c r="D54">
        <v>46117.766585648147</v>
      </c>
      <c r="E54" t="s">
        <v>123</v>
      </c>
      <c r="F54" t="s">
        <v>91</v>
      </c>
      <c r="G54" t="s">
        <v>81</v>
      </c>
      <c r="H54">
        <v>59460</v>
      </c>
      <c r="I54">
        <v>94240</v>
      </c>
      <c r="J54">
        <v>2</v>
      </c>
      <c r="K54">
        <v>1129740</v>
      </c>
      <c r="L54" t="s">
        <v>124</v>
      </c>
      <c r="M54" t="s">
        <v>83</v>
      </c>
      <c r="N54" t="s">
        <v>125</v>
      </c>
    </row>
    <row r="55" spans="1:14" x14ac:dyDescent="0.35">
      <c r="A55" t="s">
        <v>80</v>
      </c>
      <c r="B55" t="s">
        <v>80</v>
      </c>
      <c r="C55">
        <v>46119</v>
      </c>
      <c r="D55">
        <v>46118.200590277775</v>
      </c>
      <c r="E55" t="s">
        <v>123</v>
      </c>
      <c r="F55" t="s">
        <v>91</v>
      </c>
      <c r="G55" t="s">
        <v>101</v>
      </c>
      <c r="H55">
        <v>58340</v>
      </c>
      <c r="I55">
        <v>97960</v>
      </c>
      <c r="J55">
        <v>2</v>
      </c>
      <c r="K55">
        <v>1108460</v>
      </c>
      <c r="L55" t="s">
        <v>124</v>
      </c>
      <c r="M55" t="s">
        <v>83</v>
      </c>
      <c r="N55" t="s">
        <v>125</v>
      </c>
    </row>
    <row r="56" spans="1:14" x14ac:dyDescent="0.35">
      <c r="A56" t="s">
        <v>80</v>
      </c>
      <c r="B56" t="s">
        <v>80</v>
      </c>
      <c r="C56">
        <v>46119</v>
      </c>
      <c r="D56">
        <v>46117.908506944441</v>
      </c>
      <c r="E56" t="s">
        <v>123</v>
      </c>
      <c r="F56" t="s">
        <v>91</v>
      </c>
      <c r="G56" t="s">
        <v>101</v>
      </c>
      <c r="H56">
        <v>57340</v>
      </c>
      <c r="I56">
        <v>92300</v>
      </c>
      <c r="J56">
        <v>2</v>
      </c>
      <c r="K56">
        <v>1089460</v>
      </c>
      <c r="L56" t="s">
        <v>124</v>
      </c>
      <c r="M56" t="s">
        <v>83</v>
      </c>
      <c r="N56" t="s">
        <v>125</v>
      </c>
    </row>
    <row r="57" spans="1:14" x14ac:dyDescent="0.35">
      <c r="A57" t="s">
        <v>80</v>
      </c>
      <c r="B57" t="s">
        <v>80</v>
      </c>
      <c r="C57">
        <v>46119</v>
      </c>
      <c r="D57">
        <v>46117.643553240741</v>
      </c>
      <c r="E57" t="s">
        <v>123</v>
      </c>
      <c r="F57" t="s">
        <v>91</v>
      </c>
      <c r="G57" t="s">
        <v>126</v>
      </c>
      <c r="H57">
        <v>53940</v>
      </c>
      <c r="I57">
        <v>102460</v>
      </c>
      <c r="J57">
        <v>2</v>
      </c>
      <c r="K57">
        <v>1024860</v>
      </c>
      <c r="L57" t="s">
        <v>124</v>
      </c>
      <c r="M57" t="s">
        <v>83</v>
      </c>
      <c r="N57" t="s">
        <v>125</v>
      </c>
    </row>
    <row r="58" spans="1:14" x14ac:dyDescent="0.35">
      <c r="A58" t="s">
        <v>80</v>
      </c>
      <c r="B58" t="s">
        <v>80</v>
      </c>
      <c r="C58">
        <v>46118</v>
      </c>
      <c r="D58">
        <v>46118.420358796298</v>
      </c>
      <c r="E58" t="s">
        <v>123</v>
      </c>
      <c r="F58" t="s">
        <v>91</v>
      </c>
      <c r="G58" t="s">
        <v>104</v>
      </c>
      <c r="H58">
        <v>53900</v>
      </c>
      <c r="I58">
        <v>99460</v>
      </c>
      <c r="J58">
        <v>2</v>
      </c>
      <c r="K58">
        <v>1024100</v>
      </c>
      <c r="L58" t="s">
        <v>124</v>
      </c>
      <c r="M58" t="s">
        <v>83</v>
      </c>
      <c r="N58" t="s">
        <v>125</v>
      </c>
    </row>
    <row r="59" spans="1:14" x14ac:dyDescent="0.35">
      <c r="A59" t="s">
        <v>80</v>
      </c>
      <c r="B59" t="s">
        <v>80</v>
      </c>
      <c r="C59">
        <v>46124</v>
      </c>
      <c r="D59">
        <v>46123.852129629631</v>
      </c>
      <c r="E59" t="s">
        <v>123</v>
      </c>
      <c r="F59" t="s">
        <v>91</v>
      </c>
      <c r="G59" t="s">
        <v>106</v>
      </c>
      <c r="H59">
        <v>64520</v>
      </c>
      <c r="I59">
        <v>99180</v>
      </c>
      <c r="J59">
        <v>2</v>
      </c>
      <c r="K59">
        <v>967800</v>
      </c>
      <c r="L59" t="s">
        <v>124</v>
      </c>
      <c r="M59" t="s">
        <v>83</v>
      </c>
      <c r="N59" t="s">
        <v>125</v>
      </c>
    </row>
    <row r="60" spans="1:14" x14ac:dyDescent="0.35">
      <c r="A60" t="s">
        <v>80</v>
      </c>
      <c r="B60" t="s">
        <v>80</v>
      </c>
      <c r="C60">
        <v>46119</v>
      </c>
      <c r="D60">
        <v>46118.039664351854</v>
      </c>
      <c r="E60" t="s">
        <v>123</v>
      </c>
      <c r="F60" t="s">
        <v>91</v>
      </c>
      <c r="G60" t="s">
        <v>93</v>
      </c>
      <c r="H60">
        <v>49700</v>
      </c>
      <c r="I60">
        <v>92840</v>
      </c>
      <c r="J60">
        <v>2</v>
      </c>
      <c r="K60">
        <v>944300</v>
      </c>
      <c r="L60" t="s">
        <v>124</v>
      </c>
      <c r="M60" t="s">
        <v>83</v>
      </c>
      <c r="N60" t="s">
        <v>125</v>
      </c>
    </row>
    <row r="61" spans="1:14" x14ac:dyDescent="0.35">
      <c r="A61" t="s">
        <v>80</v>
      </c>
      <c r="B61" t="s">
        <v>80</v>
      </c>
      <c r="C61">
        <v>46118</v>
      </c>
      <c r="D61">
        <v>46118.41002314815</v>
      </c>
      <c r="E61" t="s">
        <v>123</v>
      </c>
      <c r="F61" t="s">
        <v>91</v>
      </c>
      <c r="G61" t="s">
        <v>96</v>
      </c>
      <c r="H61">
        <v>48740</v>
      </c>
      <c r="I61">
        <v>95040</v>
      </c>
      <c r="J61">
        <v>2</v>
      </c>
      <c r="K61">
        <v>926060</v>
      </c>
      <c r="L61" t="s">
        <v>124</v>
      </c>
      <c r="M61" t="s">
        <v>83</v>
      </c>
      <c r="N61" t="s">
        <v>125</v>
      </c>
    </row>
    <row r="62" spans="1:14" x14ac:dyDescent="0.35">
      <c r="A62" t="s">
        <v>80</v>
      </c>
      <c r="B62" t="s">
        <v>80</v>
      </c>
      <c r="C62">
        <v>46124</v>
      </c>
      <c r="D62">
        <v>46118.148993055554</v>
      </c>
      <c r="E62" t="s">
        <v>123</v>
      </c>
      <c r="F62" t="s">
        <v>91</v>
      </c>
      <c r="G62" t="s">
        <v>96</v>
      </c>
      <c r="H62">
        <v>47700</v>
      </c>
      <c r="I62">
        <v>88700</v>
      </c>
      <c r="J62">
        <v>2</v>
      </c>
      <c r="K62">
        <v>906300</v>
      </c>
      <c r="L62" t="s">
        <v>124</v>
      </c>
      <c r="M62" t="s">
        <v>83</v>
      </c>
      <c r="N62" t="s">
        <v>125</v>
      </c>
    </row>
    <row r="63" spans="1:14" x14ac:dyDescent="0.35">
      <c r="A63" t="s">
        <v>80</v>
      </c>
      <c r="B63" t="s">
        <v>80</v>
      </c>
      <c r="C63">
        <v>46124</v>
      </c>
      <c r="D63">
        <v>46123.832442129627</v>
      </c>
      <c r="E63" t="s">
        <v>123</v>
      </c>
      <c r="F63" t="s">
        <v>91</v>
      </c>
      <c r="G63" t="s">
        <v>97</v>
      </c>
      <c r="H63">
        <v>57420</v>
      </c>
      <c r="I63">
        <v>96420</v>
      </c>
      <c r="J63">
        <v>2</v>
      </c>
      <c r="K63">
        <v>861300</v>
      </c>
      <c r="L63" t="s">
        <v>124</v>
      </c>
      <c r="M63" t="s">
        <v>83</v>
      </c>
      <c r="N63" t="s">
        <v>125</v>
      </c>
    </row>
    <row r="64" spans="1:14" x14ac:dyDescent="0.35">
      <c r="A64" t="s">
        <v>80</v>
      </c>
      <c r="B64" t="s">
        <v>80</v>
      </c>
      <c r="C64">
        <v>46118</v>
      </c>
      <c r="D64">
        <v>46118.246157407404</v>
      </c>
      <c r="E64" t="s">
        <v>123</v>
      </c>
      <c r="F64" t="s">
        <v>91</v>
      </c>
      <c r="G64" t="s">
        <v>106</v>
      </c>
      <c r="H64">
        <v>43220</v>
      </c>
      <c r="I64">
        <v>86140</v>
      </c>
      <c r="J64">
        <v>2</v>
      </c>
      <c r="K64">
        <v>821180</v>
      </c>
      <c r="L64" t="s">
        <v>124</v>
      </c>
      <c r="M64" t="s">
        <v>83</v>
      </c>
      <c r="N64" t="s">
        <v>125</v>
      </c>
    </row>
    <row r="65" spans="1:14" x14ac:dyDescent="0.35">
      <c r="A65" t="s">
        <v>80</v>
      </c>
      <c r="B65" t="s">
        <v>80</v>
      </c>
      <c r="C65">
        <v>46118</v>
      </c>
      <c r="D65">
        <v>46118.198368055557</v>
      </c>
      <c r="E65" t="s">
        <v>123</v>
      </c>
      <c r="F65" t="s">
        <v>91</v>
      </c>
      <c r="G65" t="s">
        <v>103</v>
      </c>
      <c r="H65">
        <v>42100</v>
      </c>
      <c r="I65">
        <v>87860</v>
      </c>
      <c r="J65">
        <v>2</v>
      </c>
      <c r="K65">
        <v>799900</v>
      </c>
      <c r="L65" t="s">
        <v>124</v>
      </c>
      <c r="M65" t="s">
        <v>83</v>
      </c>
      <c r="N65" t="s">
        <v>125</v>
      </c>
    </row>
    <row r="66" spans="1:14" x14ac:dyDescent="0.35">
      <c r="A66" t="s">
        <v>80</v>
      </c>
      <c r="B66" t="s">
        <v>80</v>
      </c>
      <c r="C66">
        <v>46118</v>
      </c>
      <c r="D66">
        <v>46118.695</v>
      </c>
      <c r="E66" t="s">
        <v>123</v>
      </c>
      <c r="F66" t="s">
        <v>91</v>
      </c>
      <c r="G66" t="s">
        <v>86</v>
      </c>
      <c r="H66">
        <v>70900</v>
      </c>
      <c r="I66">
        <v>105560</v>
      </c>
      <c r="J66">
        <v>2</v>
      </c>
      <c r="K66">
        <v>638100</v>
      </c>
      <c r="L66" t="s">
        <v>124</v>
      </c>
      <c r="M66" t="s">
        <v>83</v>
      </c>
      <c r="N66" t="s">
        <v>125</v>
      </c>
    </row>
    <row r="67" spans="1:14" x14ac:dyDescent="0.35">
      <c r="A67" t="s">
        <v>80</v>
      </c>
      <c r="B67" t="s">
        <v>80</v>
      </c>
      <c r="C67">
        <v>46124</v>
      </c>
      <c r="D67">
        <v>46123.542754629627</v>
      </c>
      <c r="E67" t="s">
        <v>123</v>
      </c>
      <c r="F67" t="s">
        <v>91</v>
      </c>
      <c r="G67" t="s">
        <v>90</v>
      </c>
      <c r="H67">
        <v>65280</v>
      </c>
      <c r="I67">
        <v>99700</v>
      </c>
      <c r="J67">
        <v>2</v>
      </c>
      <c r="K67">
        <v>587520</v>
      </c>
      <c r="L67" t="s">
        <v>124</v>
      </c>
      <c r="M67" t="s">
        <v>83</v>
      </c>
      <c r="N67" t="s">
        <v>125</v>
      </c>
    </row>
  </sheetData>
  <pageMargins left="0.51180555555555596" right="0.51180555555555596" top="0.78749999999999998" bottom="0.78749999999999998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36"/>
  <sheetViews>
    <sheetView topLeftCell="A1401" zoomScaleNormal="100" workbookViewId="0">
      <selection activeCell="B2" sqref="B2:B1436"/>
    </sheetView>
  </sheetViews>
  <sheetFormatPr defaultColWidth="8.54296875" defaultRowHeight="14.5" x14ac:dyDescent="0.35"/>
  <cols>
    <col min="1" max="1" width="13.90625" customWidth="1"/>
    <col min="2" max="2" width="14.26953125" customWidth="1"/>
    <col min="3" max="3" width="16.54296875" customWidth="1"/>
    <col min="4" max="4" width="25.7265625" customWidth="1"/>
    <col min="5" max="5" width="13.6328125" customWidth="1"/>
    <col min="6" max="6" width="36.81640625" customWidth="1"/>
    <col min="7" max="7" width="16.453125" customWidth="1"/>
    <col min="8" max="8" width="9.81640625" customWidth="1"/>
    <col min="9" max="9" width="20.54296875" customWidth="1"/>
    <col min="10" max="10" width="14.26953125" customWidth="1"/>
    <col min="11" max="11" width="18.453125" customWidth="1"/>
  </cols>
  <sheetData>
    <row r="1" spans="1:11" ht="14.25" customHeight="1" x14ac:dyDescent="0.35">
      <c r="A1" s="15" t="s">
        <v>127</v>
      </c>
      <c r="B1" s="15" t="s">
        <v>112</v>
      </c>
      <c r="C1" s="15" t="s">
        <v>116</v>
      </c>
      <c r="D1" s="15" t="s">
        <v>128</v>
      </c>
      <c r="E1" s="15" t="s">
        <v>129</v>
      </c>
      <c r="F1" s="15" t="s">
        <v>130</v>
      </c>
      <c r="G1" s="15" t="s">
        <v>131</v>
      </c>
      <c r="H1" s="15" t="s">
        <v>132</v>
      </c>
      <c r="I1" s="15" t="s">
        <v>133</v>
      </c>
      <c r="J1" s="15" t="s">
        <v>134</v>
      </c>
      <c r="K1" s="15" t="s">
        <v>135</v>
      </c>
    </row>
    <row r="2" spans="1:11" ht="14.25" customHeight="1" x14ac:dyDescent="0.35">
      <c r="A2" t="s">
        <v>136</v>
      </c>
      <c r="B2" s="46">
        <v>46124</v>
      </c>
      <c r="C2" t="s">
        <v>95</v>
      </c>
      <c r="D2" t="s">
        <v>137</v>
      </c>
      <c r="E2" t="s">
        <v>140</v>
      </c>
      <c r="F2" t="s">
        <v>141</v>
      </c>
      <c r="G2">
        <v>6.3111111111111109</v>
      </c>
      <c r="H2">
        <v>649243.22</v>
      </c>
      <c r="I2">
        <v>22720</v>
      </c>
      <c r="J2">
        <v>22720</v>
      </c>
      <c r="K2" t="s">
        <v>124</v>
      </c>
    </row>
    <row r="3" spans="1:11" ht="14.25" customHeight="1" x14ac:dyDescent="0.35">
      <c r="A3" t="s">
        <v>136</v>
      </c>
      <c r="B3" s="46">
        <v>46117</v>
      </c>
      <c r="C3" t="s">
        <v>104</v>
      </c>
      <c r="D3" t="s">
        <v>137</v>
      </c>
      <c r="E3" t="s">
        <v>138</v>
      </c>
      <c r="F3" t="s">
        <v>139</v>
      </c>
      <c r="G3">
        <v>4.035277777777778</v>
      </c>
      <c r="H3">
        <v>619414.3600000001</v>
      </c>
      <c r="I3">
        <v>14527</v>
      </c>
      <c r="J3">
        <v>14527</v>
      </c>
      <c r="K3" t="s">
        <v>124</v>
      </c>
    </row>
    <row r="4" spans="1:11" ht="14.25" customHeight="1" x14ac:dyDescent="0.35">
      <c r="A4" t="s">
        <v>136</v>
      </c>
      <c r="B4" s="46">
        <v>46117</v>
      </c>
      <c r="C4" t="s">
        <v>96</v>
      </c>
      <c r="D4" t="s">
        <v>137</v>
      </c>
      <c r="E4" t="s">
        <v>138</v>
      </c>
      <c r="F4" t="s">
        <v>139</v>
      </c>
      <c r="G4">
        <v>5.2069444444444448</v>
      </c>
      <c r="H4">
        <v>595925.09</v>
      </c>
      <c r="I4">
        <v>18745</v>
      </c>
      <c r="J4">
        <v>18745</v>
      </c>
      <c r="K4" t="s">
        <v>124</v>
      </c>
    </row>
    <row r="5" spans="1:11" ht="14.25" customHeight="1" x14ac:dyDescent="0.35">
      <c r="A5" t="s">
        <v>136</v>
      </c>
      <c r="B5" s="46">
        <v>46117</v>
      </c>
      <c r="C5" t="s">
        <v>95</v>
      </c>
      <c r="D5" t="s">
        <v>137</v>
      </c>
      <c r="E5" t="s">
        <v>138</v>
      </c>
      <c r="F5" t="s">
        <v>139</v>
      </c>
      <c r="G5">
        <v>5.2283333333333335</v>
      </c>
      <c r="H5">
        <v>586699.78999999992</v>
      </c>
      <c r="I5">
        <v>18822</v>
      </c>
      <c r="J5">
        <v>18822</v>
      </c>
      <c r="K5" t="s">
        <v>124</v>
      </c>
    </row>
    <row r="6" spans="1:11" ht="14.25" customHeight="1" x14ac:dyDescent="0.35">
      <c r="A6" t="s">
        <v>136</v>
      </c>
      <c r="B6" s="46">
        <v>46124</v>
      </c>
      <c r="C6" t="s">
        <v>100</v>
      </c>
      <c r="D6" t="s">
        <v>137</v>
      </c>
      <c r="E6" t="s">
        <v>138</v>
      </c>
      <c r="F6" t="s">
        <v>139</v>
      </c>
      <c r="G6">
        <v>4.3047222222222219</v>
      </c>
      <c r="H6">
        <v>535356.59</v>
      </c>
      <c r="I6">
        <v>15497</v>
      </c>
      <c r="J6">
        <v>15497</v>
      </c>
      <c r="K6" t="s">
        <v>124</v>
      </c>
    </row>
    <row r="7" spans="1:11" ht="14.25" customHeight="1" x14ac:dyDescent="0.35">
      <c r="A7" t="s">
        <v>136</v>
      </c>
      <c r="B7" s="46">
        <v>46124</v>
      </c>
      <c r="C7" t="s">
        <v>106</v>
      </c>
      <c r="D7" t="s">
        <v>137</v>
      </c>
      <c r="E7" t="s">
        <v>140</v>
      </c>
      <c r="F7" t="s">
        <v>141</v>
      </c>
      <c r="G7">
        <v>5.7730555555555556</v>
      </c>
      <c r="H7">
        <v>519150.98000000004</v>
      </c>
      <c r="I7">
        <v>20783</v>
      </c>
      <c r="J7">
        <v>20783</v>
      </c>
      <c r="K7" t="s">
        <v>124</v>
      </c>
    </row>
    <row r="8" spans="1:11" ht="14.25" customHeight="1" x14ac:dyDescent="0.35">
      <c r="A8" t="s">
        <v>136</v>
      </c>
      <c r="B8" s="46">
        <v>46124</v>
      </c>
      <c r="C8" t="s">
        <v>100</v>
      </c>
      <c r="D8" t="s">
        <v>137</v>
      </c>
      <c r="E8" t="s">
        <v>140</v>
      </c>
      <c r="F8" t="s">
        <v>141</v>
      </c>
      <c r="G8">
        <v>5.5750000000000002</v>
      </c>
      <c r="H8">
        <v>488002.63</v>
      </c>
      <c r="I8">
        <v>20070</v>
      </c>
      <c r="J8">
        <v>20070</v>
      </c>
      <c r="K8" t="s">
        <v>124</v>
      </c>
    </row>
    <row r="9" spans="1:11" ht="14.25" customHeight="1" x14ac:dyDescent="0.35">
      <c r="A9" t="s">
        <v>136</v>
      </c>
      <c r="B9" s="46">
        <v>46124</v>
      </c>
      <c r="C9" t="s">
        <v>88</v>
      </c>
      <c r="D9" t="s">
        <v>137</v>
      </c>
      <c r="E9" t="s">
        <v>138</v>
      </c>
      <c r="F9" t="s">
        <v>139</v>
      </c>
      <c r="G9">
        <v>3.3650000000000002</v>
      </c>
      <c r="H9">
        <v>427465.79</v>
      </c>
      <c r="I9">
        <v>12114</v>
      </c>
      <c r="J9">
        <v>12114</v>
      </c>
      <c r="K9" t="s">
        <v>124</v>
      </c>
    </row>
    <row r="10" spans="1:11" ht="14.25" customHeight="1" x14ac:dyDescent="0.35">
      <c r="A10" t="s">
        <v>136</v>
      </c>
      <c r="B10" s="46">
        <v>46124</v>
      </c>
      <c r="C10" t="s">
        <v>107</v>
      </c>
      <c r="D10" t="s">
        <v>137</v>
      </c>
      <c r="E10" t="s">
        <v>140</v>
      </c>
      <c r="F10" t="s">
        <v>141</v>
      </c>
      <c r="G10">
        <v>5.5052777777777777</v>
      </c>
      <c r="H10">
        <v>426423.94999999995</v>
      </c>
      <c r="I10">
        <v>19819</v>
      </c>
      <c r="J10">
        <v>19819</v>
      </c>
      <c r="K10" t="s">
        <v>124</v>
      </c>
    </row>
    <row r="11" spans="1:11" ht="14.25" customHeight="1" x14ac:dyDescent="0.35">
      <c r="A11" t="s">
        <v>136</v>
      </c>
      <c r="B11" s="46">
        <v>46124</v>
      </c>
      <c r="C11" t="s">
        <v>84</v>
      </c>
      <c r="D11" t="s">
        <v>137</v>
      </c>
      <c r="E11" t="s">
        <v>140</v>
      </c>
      <c r="F11" t="s">
        <v>141</v>
      </c>
      <c r="G11">
        <v>4.7358333333333329</v>
      </c>
      <c r="H11">
        <v>421365.02999999997</v>
      </c>
      <c r="I11">
        <v>17049</v>
      </c>
      <c r="J11">
        <v>17049</v>
      </c>
      <c r="K11" t="s">
        <v>124</v>
      </c>
    </row>
    <row r="12" spans="1:11" ht="14.25" customHeight="1" x14ac:dyDescent="0.35">
      <c r="A12" t="s">
        <v>136</v>
      </c>
      <c r="B12" s="46">
        <v>46124</v>
      </c>
      <c r="C12" t="s">
        <v>86</v>
      </c>
      <c r="D12" t="s">
        <v>137</v>
      </c>
      <c r="E12" t="s">
        <v>138</v>
      </c>
      <c r="F12" t="s">
        <v>139</v>
      </c>
      <c r="G12">
        <v>3.0741666666666667</v>
      </c>
      <c r="H12">
        <v>415361.29000000004</v>
      </c>
      <c r="I12">
        <v>11067</v>
      </c>
      <c r="J12">
        <v>11067</v>
      </c>
      <c r="K12" t="s">
        <v>124</v>
      </c>
    </row>
    <row r="13" spans="1:11" ht="14.25" customHeight="1" x14ac:dyDescent="0.35">
      <c r="A13" t="s">
        <v>136</v>
      </c>
      <c r="B13" s="46">
        <v>46118</v>
      </c>
      <c r="C13" t="s">
        <v>104</v>
      </c>
      <c r="D13" t="s">
        <v>137</v>
      </c>
      <c r="E13" t="s">
        <v>140</v>
      </c>
      <c r="F13" t="s">
        <v>141</v>
      </c>
      <c r="G13">
        <v>3.9649999999999999</v>
      </c>
      <c r="H13">
        <v>411676.06999999995</v>
      </c>
      <c r="I13">
        <v>14242</v>
      </c>
      <c r="J13">
        <v>14274</v>
      </c>
      <c r="K13" t="s">
        <v>124</v>
      </c>
    </row>
    <row r="14" spans="1:11" ht="14.25" customHeight="1" x14ac:dyDescent="0.35">
      <c r="A14" t="s">
        <v>136</v>
      </c>
      <c r="B14" s="46">
        <v>46124</v>
      </c>
      <c r="C14" t="s">
        <v>90</v>
      </c>
      <c r="D14" t="s">
        <v>137</v>
      </c>
      <c r="E14" t="s">
        <v>138</v>
      </c>
      <c r="F14" t="s">
        <v>139</v>
      </c>
      <c r="G14">
        <v>2.6541666666666668</v>
      </c>
      <c r="H14">
        <v>401876.54000000004</v>
      </c>
      <c r="I14">
        <v>9555</v>
      </c>
      <c r="J14">
        <v>9555</v>
      </c>
      <c r="K14" t="s">
        <v>124</v>
      </c>
    </row>
    <row r="15" spans="1:11" ht="14.25" customHeight="1" x14ac:dyDescent="0.35">
      <c r="A15" t="s">
        <v>136</v>
      </c>
      <c r="B15" s="46">
        <v>46124</v>
      </c>
      <c r="C15" t="s">
        <v>98</v>
      </c>
      <c r="D15" t="s">
        <v>137</v>
      </c>
      <c r="E15" t="s">
        <v>140</v>
      </c>
      <c r="F15" t="s">
        <v>141</v>
      </c>
      <c r="G15">
        <v>4.5216666666666665</v>
      </c>
      <c r="H15">
        <v>396489.03</v>
      </c>
      <c r="I15">
        <v>16278</v>
      </c>
      <c r="J15">
        <v>16278</v>
      </c>
      <c r="K15" t="s">
        <v>124</v>
      </c>
    </row>
    <row r="16" spans="1:11" ht="14.25" customHeight="1" x14ac:dyDescent="0.35">
      <c r="A16" t="s">
        <v>136</v>
      </c>
      <c r="B16" s="46">
        <v>46117</v>
      </c>
      <c r="C16" t="s">
        <v>96</v>
      </c>
      <c r="D16" t="s">
        <v>137</v>
      </c>
      <c r="E16" t="s">
        <v>142</v>
      </c>
      <c r="F16" t="s">
        <v>143</v>
      </c>
      <c r="G16">
        <v>3.0825</v>
      </c>
      <c r="H16">
        <v>396093.69</v>
      </c>
      <c r="I16">
        <v>10254</v>
      </c>
      <c r="J16">
        <v>10330</v>
      </c>
      <c r="K16" t="s">
        <v>124</v>
      </c>
    </row>
    <row r="17" spans="1:11" ht="14.25" customHeight="1" x14ac:dyDescent="0.35">
      <c r="A17" t="s">
        <v>136</v>
      </c>
      <c r="B17" s="46">
        <v>46124</v>
      </c>
      <c r="C17" t="s">
        <v>86</v>
      </c>
      <c r="D17" t="s">
        <v>137</v>
      </c>
      <c r="E17" t="s">
        <v>140</v>
      </c>
      <c r="F17" t="s">
        <v>141</v>
      </c>
      <c r="G17">
        <v>4.4763888888888888</v>
      </c>
      <c r="H17">
        <v>393703.57999999996</v>
      </c>
      <c r="I17">
        <v>16115</v>
      </c>
      <c r="J17">
        <v>16115</v>
      </c>
      <c r="K17" t="s">
        <v>124</v>
      </c>
    </row>
    <row r="18" spans="1:11" ht="14.25" customHeight="1" x14ac:dyDescent="0.35">
      <c r="A18" t="s">
        <v>136</v>
      </c>
      <c r="B18" s="46">
        <v>46124</v>
      </c>
      <c r="C18" t="s">
        <v>88</v>
      </c>
      <c r="D18" t="s">
        <v>137</v>
      </c>
      <c r="E18" t="s">
        <v>140</v>
      </c>
      <c r="F18" t="s">
        <v>141</v>
      </c>
      <c r="G18">
        <v>4.0566666666666666</v>
      </c>
      <c r="H18">
        <v>388337.10000000003</v>
      </c>
      <c r="I18">
        <v>14604</v>
      </c>
      <c r="J18">
        <v>14604</v>
      </c>
      <c r="K18" t="s">
        <v>124</v>
      </c>
    </row>
    <row r="19" spans="1:11" ht="14.25" customHeight="1" x14ac:dyDescent="0.35">
      <c r="A19" t="s">
        <v>136</v>
      </c>
      <c r="B19" s="46">
        <v>46124</v>
      </c>
      <c r="C19" t="s">
        <v>107</v>
      </c>
      <c r="D19" t="s">
        <v>137</v>
      </c>
      <c r="E19" t="s">
        <v>138</v>
      </c>
      <c r="F19" t="s">
        <v>139</v>
      </c>
      <c r="G19">
        <v>2.6761111111111111</v>
      </c>
      <c r="H19">
        <v>384446.33</v>
      </c>
      <c r="I19">
        <v>9634</v>
      </c>
      <c r="J19">
        <v>9634</v>
      </c>
      <c r="K19" t="s">
        <v>124</v>
      </c>
    </row>
    <row r="20" spans="1:11" ht="14.25" customHeight="1" x14ac:dyDescent="0.35">
      <c r="A20" t="s">
        <v>136</v>
      </c>
      <c r="B20" s="46">
        <v>46118</v>
      </c>
      <c r="C20" t="s">
        <v>88</v>
      </c>
      <c r="D20" t="s">
        <v>137</v>
      </c>
      <c r="E20" t="s">
        <v>140</v>
      </c>
      <c r="F20" t="s">
        <v>141</v>
      </c>
      <c r="G20">
        <v>3.9169444444444443</v>
      </c>
      <c r="H20">
        <v>380848.11</v>
      </c>
      <c r="I20">
        <v>14101</v>
      </c>
      <c r="J20">
        <v>14101</v>
      </c>
      <c r="K20" t="s">
        <v>124</v>
      </c>
    </row>
    <row r="21" spans="1:11" ht="14.25" customHeight="1" x14ac:dyDescent="0.35">
      <c r="A21" t="s">
        <v>136</v>
      </c>
      <c r="B21" s="46">
        <v>46124</v>
      </c>
      <c r="C21" t="s">
        <v>84</v>
      </c>
      <c r="D21" t="s">
        <v>137</v>
      </c>
      <c r="E21" t="s">
        <v>138</v>
      </c>
      <c r="F21" t="s">
        <v>139</v>
      </c>
      <c r="G21">
        <v>3.1158333333333332</v>
      </c>
      <c r="H21">
        <v>368512.23</v>
      </c>
      <c r="I21">
        <v>11217</v>
      </c>
      <c r="J21">
        <v>11217</v>
      </c>
      <c r="K21" t="s">
        <v>124</v>
      </c>
    </row>
    <row r="22" spans="1:11" ht="14.25" customHeight="1" x14ac:dyDescent="0.35">
      <c r="A22" t="s">
        <v>136</v>
      </c>
      <c r="B22" s="46">
        <v>46118</v>
      </c>
      <c r="C22" t="s">
        <v>90</v>
      </c>
      <c r="D22" t="s">
        <v>137</v>
      </c>
      <c r="E22" t="s">
        <v>138</v>
      </c>
      <c r="F22" t="s">
        <v>139</v>
      </c>
      <c r="G22">
        <v>2.9716666666666667</v>
      </c>
      <c r="H22">
        <v>362928.54000000004</v>
      </c>
      <c r="I22">
        <v>10698</v>
      </c>
      <c r="J22">
        <v>10698</v>
      </c>
      <c r="K22" t="s">
        <v>124</v>
      </c>
    </row>
    <row r="23" spans="1:11" ht="14.25" customHeight="1" x14ac:dyDescent="0.35">
      <c r="A23" t="s">
        <v>136</v>
      </c>
      <c r="B23" s="46">
        <v>46124</v>
      </c>
      <c r="C23" t="s">
        <v>96</v>
      </c>
      <c r="D23" t="s">
        <v>137</v>
      </c>
      <c r="E23" t="s">
        <v>138</v>
      </c>
      <c r="F23" t="s">
        <v>139</v>
      </c>
      <c r="G23">
        <v>3.2269444444444444</v>
      </c>
      <c r="H23">
        <v>360275.76</v>
      </c>
      <c r="I23">
        <v>11617</v>
      </c>
      <c r="J23">
        <v>11617</v>
      </c>
      <c r="K23" t="s">
        <v>124</v>
      </c>
    </row>
    <row r="24" spans="1:11" ht="14.25" customHeight="1" x14ac:dyDescent="0.35">
      <c r="A24" t="s">
        <v>136</v>
      </c>
      <c r="B24" s="46">
        <v>46124</v>
      </c>
      <c r="C24" t="s">
        <v>106</v>
      </c>
      <c r="D24" t="s">
        <v>137</v>
      </c>
      <c r="E24" t="s">
        <v>138</v>
      </c>
      <c r="F24" t="s">
        <v>139</v>
      </c>
      <c r="G24">
        <v>3.0661111111111112</v>
      </c>
      <c r="H24">
        <v>357738.43000000005</v>
      </c>
      <c r="I24">
        <v>11038</v>
      </c>
      <c r="J24">
        <v>11038</v>
      </c>
      <c r="K24" t="s">
        <v>124</v>
      </c>
    </row>
    <row r="25" spans="1:11" ht="14.25" customHeight="1" x14ac:dyDescent="0.35">
      <c r="A25" t="s">
        <v>136</v>
      </c>
      <c r="B25" s="46">
        <v>46124</v>
      </c>
      <c r="C25" t="s">
        <v>96</v>
      </c>
      <c r="D25" t="s">
        <v>137</v>
      </c>
      <c r="E25" t="s">
        <v>140</v>
      </c>
      <c r="F25" t="s">
        <v>141</v>
      </c>
      <c r="G25">
        <v>4.5991666666666671</v>
      </c>
      <c r="H25">
        <v>354323.07999999996</v>
      </c>
      <c r="I25">
        <v>16557</v>
      </c>
      <c r="J25">
        <v>16557</v>
      </c>
      <c r="K25" t="s">
        <v>124</v>
      </c>
    </row>
    <row r="26" spans="1:11" ht="14.25" customHeight="1" x14ac:dyDescent="0.35">
      <c r="A26" t="s">
        <v>136</v>
      </c>
      <c r="B26" s="46">
        <v>46123</v>
      </c>
      <c r="C26" t="s">
        <v>106</v>
      </c>
      <c r="D26" t="s">
        <v>137</v>
      </c>
      <c r="E26" t="s">
        <v>138</v>
      </c>
      <c r="F26" t="s">
        <v>139</v>
      </c>
      <c r="G26">
        <v>2.875</v>
      </c>
      <c r="H26">
        <v>352932.77</v>
      </c>
      <c r="I26">
        <v>10350</v>
      </c>
      <c r="J26">
        <v>10350</v>
      </c>
      <c r="K26" t="s">
        <v>124</v>
      </c>
    </row>
    <row r="27" spans="1:11" ht="14.25" customHeight="1" x14ac:dyDescent="0.35">
      <c r="A27" t="s">
        <v>136</v>
      </c>
      <c r="B27" s="46">
        <v>46123</v>
      </c>
      <c r="C27" t="s">
        <v>86</v>
      </c>
      <c r="D27" t="s">
        <v>137</v>
      </c>
      <c r="E27" t="s">
        <v>140</v>
      </c>
      <c r="F27" t="s">
        <v>141</v>
      </c>
      <c r="G27">
        <v>4.025555555555556</v>
      </c>
      <c r="H27">
        <v>344294.46</v>
      </c>
      <c r="I27">
        <v>14479</v>
      </c>
      <c r="J27">
        <v>14492</v>
      </c>
      <c r="K27" t="s">
        <v>124</v>
      </c>
    </row>
    <row r="28" spans="1:11" ht="14.25" customHeight="1" x14ac:dyDescent="0.35">
      <c r="A28" t="s">
        <v>136</v>
      </c>
      <c r="B28" s="46">
        <v>46118</v>
      </c>
      <c r="C28" t="s">
        <v>90</v>
      </c>
      <c r="D28" t="s">
        <v>137</v>
      </c>
      <c r="E28" t="s">
        <v>140</v>
      </c>
      <c r="F28" t="s">
        <v>141</v>
      </c>
      <c r="G28">
        <v>3.6794444444444445</v>
      </c>
      <c r="H28">
        <v>342744.39</v>
      </c>
      <c r="I28">
        <v>13234</v>
      </c>
      <c r="J28">
        <v>13246</v>
      </c>
      <c r="K28" t="s">
        <v>124</v>
      </c>
    </row>
    <row r="29" spans="1:11" ht="14.25" customHeight="1" x14ac:dyDescent="0.35">
      <c r="A29" t="s">
        <v>136</v>
      </c>
      <c r="B29" s="46">
        <v>46124</v>
      </c>
      <c r="C29" t="s">
        <v>81</v>
      </c>
      <c r="D29" t="s">
        <v>137</v>
      </c>
      <c r="E29" t="s">
        <v>140</v>
      </c>
      <c r="F29" t="s">
        <v>141</v>
      </c>
      <c r="G29">
        <v>3.8097222222222222</v>
      </c>
      <c r="H29">
        <v>341587.70999999996</v>
      </c>
      <c r="I29">
        <v>13715</v>
      </c>
      <c r="J29">
        <v>13715</v>
      </c>
      <c r="K29" t="s">
        <v>124</v>
      </c>
    </row>
    <row r="30" spans="1:11" ht="14.25" customHeight="1" x14ac:dyDescent="0.35">
      <c r="A30" t="s">
        <v>136</v>
      </c>
      <c r="B30" s="46">
        <v>46123</v>
      </c>
      <c r="C30" t="s">
        <v>86</v>
      </c>
      <c r="D30" t="s">
        <v>137</v>
      </c>
      <c r="E30" t="s">
        <v>138</v>
      </c>
      <c r="F30" t="s">
        <v>139</v>
      </c>
      <c r="G30">
        <v>2.9125000000000001</v>
      </c>
      <c r="H30">
        <v>341096.53</v>
      </c>
      <c r="I30">
        <v>10485</v>
      </c>
      <c r="J30">
        <v>10485</v>
      </c>
      <c r="K30" t="s">
        <v>124</v>
      </c>
    </row>
    <row r="31" spans="1:11" ht="14.25" customHeight="1" x14ac:dyDescent="0.35">
      <c r="A31" t="s">
        <v>136</v>
      </c>
      <c r="B31" s="46">
        <v>46118</v>
      </c>
      <c r="C31" t="s">
        <v>95</v>
      </c>
      <c r="D31" t="s">
        <v>137</v>
      </c>
      <c r="E31" t="s">
        <v>140</v>
      </c>
      <c r="F31" t="s">
        <v>141</v>
      </c>
      <c r="G31">
        <v>3.5305555555555554</v>
      </c>
      <c r="H31">
        <v>332481.22999999992</v>
      </c>
      <c r="I31">
        <v>12710</v>
      </c>
      <c r="J31">
        <v>12710</v>
      </c>
      <c r="K31" t="s">
        <v>124</v>
      </c>
    </row>
    <row r="32" spans="1:11" ht="14.25" customHeight="1" x14ac:dyDescent="0.35">
      <c r="A32" t="s">
        <v>136</v>
      </c>
      <c r="B32" s="46">
        <v>46117</v>
      </c>
      <c r="C32" t="s">
        <v>98</v>
      </c>
      <c r="D32" t="s">
        <v>137</v>
      </c>
      <c r="E32" t="s">
        <v>138</v>
      </c>
      <c r="F32" t="s">
        <v>139</v>
      </c>
      <c r="G32">
        <v>3.3080555555555557</v>
      </c>
      <c r="H32">
        <v>327757.84999999998</v>
      </c>
      <c r="I32">
        <v>11909</v>
      </c>
      <c r="J32">
        <v>11909</v>
      </c>
      <c r="K32" t="s">
        <v>124</v>
      </c>
    </row>
    <row r="33" spans="1:11" ht="14.25" customHeight="1" x14ac:dyDescent="0.35">
      <c r="A33" t="s">
        <v>136</v>
      </c>
      <c r="B33" s="46">
        <v>46124</v>
      </c>
      <c r="C33" t="s">
        <v>81</v>
      </c>
      <c r="D33" t="s">
        <v>137</v>
      </c>
      <c r="E33" t="s">
        <v>138</v>
      </c>
      <c r="F33" t="s">
        <v>139</v>
      </c>
      <c r="G33">
        <v>2.4347222222222222</v>
      </c>
      <c r="H33">
        <v>322127.41000000003</v>
      </c>
      <c r="I33">
        <v>8765</v>
      </c>
      <c r="J33">
        <v>8765</v>
      </c>
      <c r="K33" t="s">
        <v>124</v>
      </c>
    </row>
    <row r="34" spans="1:11" ht="14.25" customHeight="1" x14ac:dyDescent="0.35">
      <c r="A34" t="s">
        <v>136</v>
      </c>
      <c r="B34" s="46">
        <v>46118</v>
      </c>
      <c r="C34" t="s">
        <v>98</v>
      </c>
      <c r="D34" t="s">
        <v>137</v>
      </c>
      <c r="E34" t="s">
        <v>138</v>
      </c>
      <c r="F34" t="s">
        <v>139</v>
      </c>
      <c r="G34">
        <v>2.2297222222222222</v>
      </c>
      <c r="H34">
        <v>290634.14</v>
      </c>
      <c r="I34">
        <v>8027</v>
      </c>
      <c r="J34">
        <v>8027</v>
      </c>
      <c r="K34" t="s">
        <v>124</v>
      </c>
    </row>
    <row r="35" spans="1:11" ht="14.25" customHeight="1" x14ac:dyDescent="0.35">
      <c r="A35" t="s">
        <v>136</v>
      </c>
      <c r="B35" s="46">
        <v>46124</v>
      </c>
      <c r="C35" t="s">
        <v>95</v>
      </c>
      <c r="D35" t="s">
        <v>137</v>
      </c>
      <c r="E35" t="s">
        <v>138</v>
      </c>
      <c r="F35" t="s">
        <v>139</v>
      </c>
      <c r="G35">
        <v>2.2769444444444447</v>
      </c>
      <c r="H35">
        <v>282969.98000000004</v>
      </c>
      <c r="I35">
        <v>8186</v>
      </c>
      <c r="J35">
        <v>8197</v>
      </c>
      <c r="K35" t="s">
        <v>124</v>
      </c>
    </row>
    <row r="36" spans="1:11" ht="14.25" customHeight="1" x14ac:dyDescent="0.35">
      <c r="A36" t="s">
        <v>136</v>
      </c>
      <c r="B36" s="46">
        <v>46124</v>
      </c>
      <c r="C36" t="s">
        <v>104</v>
      </c>
      <c r="D36" t="s">
        <v>137</v>
      </c>
      <c r="E36" t="s">
        <v>138</v>
      </c>
      <c r="F36" t="s">
        <v>139</v>
      </c>
      <c r="G36">
        <v>2.7680555555555557</v>
      </c>
      <c r="H36">
        <v>281004.56</v>
      </c>
      <c r="I36">
        <v>9965</v>
      </c>
      <c r="J36">
        <v>9965</v>
      </c>
      <c r="K36" t="s">
        <v>124</v>
      </c>
    </row>
    <row r="37" spans="1:11" ht="14.25" customHeight="1" x14ac:dyDescent="0.35">
      <c r="A37" t="s">
        <v>136</v>
      </c>
      <c r="B37" s="46">
        <v>46124</v>
      </c>
      <c r="C37" t="s">
        <v>101</v>
      </c>
      <c r="D37" t="s">
        <v>137</v>
      </c>
      <c r="E37" t="s">
        <v>138</v>
      </c>
      <c r="F37" t="s">
        <v>139</v>
      </c>
      <c r="G37">
        <v>2.4083333333333332</v>
      </c>
      <c r="H37">
        <v>279312.71000000002</v>
      </c>
      <c r="I37">
        <v>8670</v>
      </c>
      <c r="J37">
        <v>8670</v>
      </c>
      <c r="K37" t="s">
        <v>124</v>
      </c>
    </row>
    <row r="38" spans="1:11" ht="14.25" customHeight="1" x14ac:dyDescent="0.35">
      <c r="A38" t="s">
        <v>136</v>
      </c>
      <c r="B38" s="46">
        <v>46123</v>
      </c>
      <c r="C38" t="s">
        <v>107</v>
      </c>
      <c r="D38" t="s">
        <v>137</v>
      </c>
      <c r="E38" t="s">
        <v>138</v>
      </c>
      <c r="F38" t="s">
        <v>139</v>
      </c>
      <c r="G38">
        <v>2.3111111111111109</v>
      </c>
      <c r="H38">
        <v>278148.95</v>
      </c>
      <c r="I38">
        <v>8320</v>
      </c>
      <c r="J38">
        <v>8320</v>
      </c>
      <c r="K38" t="s">
        <v>124</v>
      </c>
    </row>
    <row r="39" spans="1:11" ht="14.25" customHeight="1" x14ac:dyDescent="0.35">
      <c r="A39" t="s">
        <v>136</v>
      </c>
      <c r="B39" s="46">
        <v>46124</v>
      </c>
      <c r="C39" t="s">
        <v>99</v>
      </c>
      <c r="D39" t="s">
        <v>137</v>
      </c>
      <c r="E39" t="s">
        <v>138</v>
      </c>
      <c r="F39" t="s">
        <v>139</v>
      </c>
      <c r="G39">
        <v>2.296388888888889</v>
      </c>
      <c r="H39">
        <v>272442.8</v>
      </c>
      <c r="I39">
        <v>8267</v>
      </c>
      <c r="J39">
        <v>8267</v>
      </c>
      <c r="K39" t="s">
        <v>124</v>
      </c>
    </row>
    <row r="40" spans="1:11" ht="14.25" customHeight="1" x14ac:dyDescent="0.35">
      <c r="A40" t="s">
        <v>136</v>
      </c>
      <c r="B40" s="46">
        <v>46117</v>
      </c>
      <c r="C40" t="s">
        <v>84</v>
      </c>
      <c r="D40" t="s">
        <v>137</v>
      </c>
      <c r="E40" t="s">
        <v>138</v>
      </c>
      <c r="F40" t="s">
        <v>139</v>
      </c>
      <c r="G40">
        <v>1.7844444444444445</v>
      </c>
      <c r="H40">
        <v>267139.11</v>
      </c>
      <c r="I40">
        <v>6424</v>
      </c>
      <c r="J40">
        <v>6424</v>
      </c>
      <c r="K40" t="s">
        <v>124</v>
      </c>
    </row>
    <row r="41" spans="1:11" ht="14.25" customHeight="1" x14ac:dyDescent="0.35">
      <c r="A41" t="s">
        <v>136</v>
      </c>
      <c r="B41" s="46">
        <v>46123</v>
      </c>
      <c r="C41" t="s">
        <v>98</v>
      </c>
      <c r="D41" t="s">
        <v>137</v>
      </c>
      <c r="E41" t="s">
        <v>138</v>
      </c>
      <c r="F41" t="s">
        <v>139</v>
      </c>
      <c r="G41">
        <v>2.4488888888888889</v>
      </c>
      <c r="H41">
        <v>265991.25</v>
      </c>
      <c r="I41">
        <v>8816</v>
      </c>
      <c r="J41">
        <v>8816</v>
      </c>
      <c r="K41" t="s">
        <v>124</v>
      </c>
    </row>
    <row r="42" spans="1:11" ht="14.25" customHeight="1" x14ac:dyDescent="0.35">
      <c r="A42" t="s">
        <v>136</v>
      </c>
      <c r="B42" s="46">
        <v>46123</v>
      </c>
      <c r="C42" t="s">
        <v>88</v>
      </c>
      <c r="D42" t="s">
        <v>137</v>
      </c>
      <c r="E42" t="s">
        <v>138</v>
      </c>
      <c r="F42" t="s">
        <v>139</v>
      </c>
      <c r="G42">
        <v>2.2419444444444445</v>
      </c>
      <c r="H42">
        <v>253000.22999999998</v>
      </c>
      <c r="I42">
        <v>8071</v>
      </c>
      <c r="J42">
        <v>8071</v>
      </c>
      <c r="K42" t="s">
        <v>124</v>
      </c>
    </row>
    <row r="43" spans="1:11" ht="14.25" customHeight="1" x14ac:dyDescent="0.35">
      <c r="A43" t="s">
        <v>136</v>
      </c>
      <c r="B43" s="46">
        <v>46117</v>
      </c>
      <c r="C43" t="s">
        <v>85</v>
      </c>
      <c r="D43" t="s">
        <v>137</v>
      </c>
      <c r="E43" t="s">
        <v>138</v>
      </c>
      <c r="F43" t="s">
        <v>139</v>
      </c>
      <c r="G43">
        <v>1.8608333333333333</v>
      </c>
      <c r="H43">
        <v>251172.82</v>
      </c>
      <c r="I43">
        <v>6699</v>
      </c>
      <c r="J43">
        <v>6699</v>
      </c>
      <c r="K43" t="s">
        <v>124</v>
      </c>
    </row>
    <row r="44" spans="1:11" ht="14.25" customHeight="1" x14ac:dyDescent="0.35">
      <c r="A44" t="s">
        <v>136</v>
      </c>
      <c r="B44" s="46">
        <v>46123</v>
      </c>
      <c r="C44" t="s">
        <v>98</v>
      </c>
      <c r="D44" t="s">
        <v>137</v>
      </c>
      <c r="E44" t="s">
        <v>140</v>
      </c>
      <c r="F44" t="s">
        <v>141</v>
      </c>
      <c r="G44">
        <v>2.4197222222222221</v>
      </c>
      <c r="H44">
        <v>247310.05000000002</v>
      </c>
      <c r="I44">
        <v>8705</v>
      </c>
      <c r="J44">
        <v>8711</v>
      </c>
      <c r="K44" t="s">
        <v>124</v>
      </c>
    </row>
    <row r="45" spans="1:11" ht="14.25" customHeight="1" x14ac:dyDescent="0.35">
      <c r="A45" t="s">
        <v>136</v>
      </c>
      <c r="B45" s="46">
        <v>46123</v>
      </c>
      <c r="C45" t="s">
        <v>90</v>
      </c>
      <c r="D45" t="s">
        <v>137</v>
      </c>
      <c r="E45" t="s">
        <v>140</v>
      </c>
      <c r="F45" t="s">
        <v>141</v>
      </c>
      <c r="G45">
        <v>2.9533333333333331</v>
      </c>
      <c r="H45">
        <v>244097.37999999998</v>
      </c>
      <c r="I45">
        <v>10632</v>
      </c>
      <c r="J45">
        <v>10632</v>
      </c>
      <c r="K45" t="s">
        <v>124</v>
      </c>
    </row>
    <row r="46" spans="1:11" ht="14.25" customHeight="1" x14ac:dyDescent="0.35">
      <c r="A46" t="s">
        <v>136</v>
      </c>
      <c r="B46" s="46">
        <v>46123</v>
      </c>
      <c r="C46" t="s">
        <v>96</v>
      </c>
      <c r="D46" t="s">
        <v>137</v>
      </c>
      <c r="E46" t="s">
        <v>138</v>
      </c>
      <c r="F46" t="s">
        <v>139</v>
      </c>
      <c r="G46">
        <v>1.8969444444444445</v>
      </c>
      <c r="H46">
        <v>236918.97</v>
      </c>
      <c r="I46">
        <v>6829</v>
      </c>
      <c r="J46">
        <v>6829</v>
      </c>
      <c r="K46" t="s">
        <v>124</v>
      </c>
    </row>
    <row r="47" spans="1:11" ht="14.25" customHeight="1" x14ac:dyDescent="0.35">
      <c r="A47" t="s">
        <v>136</v>
      </c>
      <c r="B47" s="46">
        <v>46118</v>
      </c>
      <c r="C47" t="s">
        <v>101</v>
      </c>
      <c r="D47" t="s">
        <v>137</v>
      </c>
      <c r="E47" t="s">
        <v>140</v>
      </c>
      <c r="F47" t="s">
        <v>141</v>
      </c>
      <c r="G47">
        <v>2.4455555555555555</v>
      </c>
      <c r="H47">
        <v>235509.89</v>
      </c>
      <c r="I47">
        <v>8804</v>
      </c>
      <c r="J47">
        <v>8804</v>
      </c>
      <c r="K47" t="s">
        <v>124</v>
      </c>
    </row>
    <row r="48" spans="1:11" ht="14.25" customHeight="1" x14ac:dyDescent="0.35">
      <c r="A48" t="s">
        <v>136</v>
      </c>
      <c r="B48" s="46">
        <v>46117</v>
      </c>
      <c r="C48" t="s">
        <v>99</v>
      </c>
      <c r="D48" t="s">
        <v>137</v>
      </c>
      <c r="E48" t="s">
        <v>138</v>
      </c>
      <c r="F48" t="s">
        <v>139</v>
      </c>
      <c r="G48">
        <v>1.9241666666666666</v>
      </c>
      <c r="H48">
        <v>234348.68000000002</v>
      </c>
      <c r="I48">
        <v>6927</v>
      </c>
      <c r="J48">
        <v>6927</v>
      </c>
      <c r="K48" t="s">
        <v>124</v>
      </c>
    </row>
    <row r="49" spans="1:11" ht="14.25" customHeight="1" x14ac:dyDescent="0.35">
      <c r="A49" t="s">
        <v>136</v>
      </c>
      <c r="B49" s="46">
        <v>46124</v>
      </c>
      <c r="C49" t="s">
        <v>98</v>
      </c>
      <c r="D49" t="s">
        <v>137</v>
      </c>
      <c r="E49" t="s">
        <v>138</v>
      </c>
      <c r="F49" t="s">
        <v>139</v>
      </c>
      <c r="G49">
        <v>2.069722222222222</v>
      </c>
      <c r="H49">
        <v>230432.85</v>
      </c>
      <c r="I49">
        <v>7451</v>
      </c>
      <c r="J49">
        <v>7451</v>
      </c>
      <c r="K49" t="s">
        <v>124</v>
      </c>
    </row>
    <row r="50" spans="1:11" ht="14.25" customHeight="1" x14ac:dyDescent="0.35">
      <c r="A50" t="s">
        <v>136</v>
      </c>
      <c r="B50" s="46">
        <v>46117</v>
      </c>
      <c r="C50" t="s">
        <v>97</v>
      </c>
      <c r="D50" t="s">
        <v>137</v>
      </c>
      <c r="E50" t="s">
        <v>138</v>
      </c>
      <c r="F50" t="s">
        <v>139</v>
      </c>
      <c r="G50">
        <v>2.3438888888888889</v>
      </c>
      <c r="H50">
        <v>230189.18</v>
      </c>
      <c r="I50">
        <v>8438</v>
      </c>
      <c r="J50">
        <v>8438</v>
      </c>
      <c r="K50" t="s">
        <v>124</v>
      </c>
    </row>
    <row r="51" spans="1:11" ht="14.25" customHeight="1" x14ac:dyDescent="0.35">
      <c r="A51" t="s">
        <v>136</v>
      </c>
      <c r="B51" s="46">
        <v>46123</v>
      </c>
      <c r="C51" t="s">
        <v>88</v>
      </c>
      <c r="D51" t="s">
        <v>137</v>
      </c>
      <c r="E51" t="s">
        <v>140</v>
      </c>
      <c r="F51" t="s">
        <v>141</v>
      </c>
      <c r="G51">
        <v>2.7183333333333333</v>
      </c>
      <c r="H51">
        <v>222192.59000000003</v>
      </c>
      <c r="I51">
        <v>9786</v>
      </c>
      <c r="J51">
        <v>9786</v>
      </c>
      <c r="K51" t="s">
        <v>124</v>
      </c>
    </row>
    <row r="52" spans="1:11" ht="14.25" customHeight="1" x14ac:dyDescent="0.35">
      <c r="A52" t="s">
        <v>136</v>
      </c>
      <c r="B52" s="46">
        <v>46118</v>
      </c>
      <c r="C52" t="s">
        <v>84</v>
      </c>
      <c r="D52" t="s">
        <v>137</v>
      </c>
      <c r="E52" t="s">
        <v>140</v>
      </c>
      <c r="F52" t="s">
        <v>141</v>
      </c>
      <c r="G52">
        <v>2.5222222222222221</v>
      </c>
      <c r="H52">
        <v>221650.07</v>
      </c>
      <c r="I52">
        <v>9080</v>
      </c>
      <c r="J52">
        <v>9080</v>
      </c>
      <c r="K52" t="s">
        <v>124</v>
      </c>
    </row>
    <row r="53" spans="1:11" ht="14.25" customHeight="1" x14ac:dyDescent="0.35">
      <c r="A53" t="s">
        <v>136</v>
      </c>
      <c r="B53" s="46">
        <v>46123</v>
      </c>
      <c r="C53" t="s">
        <v>81</v>
      </c>
      <c r="D53" t="s">
        <v>137</v>
      </c>
      <c r="E53" t="s">
        <v>138</v>
      </c>
      <c r="F53" t="s">
        <v>139</v>
      </c>
      <c r="G53">
        <v>1.9583333333333333</v>
      </c>
      <c r="H53">
        <v>221588.27</v>
      </c>
      <c r="I53">
        <v>7050</v>
      </c>
      <c r="J53">
        <v>7050</v>
      </c>
      <c r="K53" t="s">
        <v>124</v>
      </c>
    </row>
    <row r="54" spans="1:11" ht="14.25" customHeight="1" x14ac:dyDescent="0.35">
      <c r="A54" t="s">
        <v>136</v>
      </c>
      <c r="B54" s="46">
        <v>46124</v>
      </c>
      <c r="C54" t="s">
        <v>97</v>
      </c>
      <c r="D54" t="s">
        <v>137</v>
      </c>
      <c r="E54" t="s">
        <v>140</v>
      </c>
      <c r="F54" t="s">
        <v>141</v>
      </c>
      <c r="G54">
        <v>2.4669444444444446</v>
      </c>
      <c r="H54">
        <v>221432.38999999998</v>
      </c>
      <c r="I54">
        <v>8881</v>
      </c>
      <c r="J54">
        <v>8881</v>
      </c>
      <c r="K54" t="s">
        <v>124</v>
      </c>
    </row>
    <row r="55" spans="1:11" ht="14.25" customHeight="1" x14ac:dyDescent="0.35">
      <c r="A55" t="s">
        <v>136</v>
      </c>
      <c r="B55" s="46">
        <v>46117</v>
      </c>
      <c r="C55" t="s">
        <v>88</v>
      </c>
      <c r="D55" t="s">
        <v>137</v>
      </c>
      <c r="E55" t="s">
        <v>138</v>
      </c>
      <c r="F55" t="s">
        <v>139</v>
      </c>
      <c r="G55">
        <v>1.3711111111111112</v>
      </c>
      <c r="H55">
        <v>219779.48</v>
      </c>
      <c r="I55">
        <v>4936</v>
      </c>
      <c r="J55">
        <v>4936</v>
      </c>
      <c r="K55" t="s">
        <v>124</v>
      </c>
    </row>
    <row r="56" spans="1:11" ht="14.25" customHeight="1" x14ac:dyDescent="0.35">
      <c r="A56" t="s">
        <v>136</v>
      </c>
      <c r="B56" s="46">
        <v>46124</v>
      </c>
      <c r="C56" t="s">
        <v>85</v>
      </c>
      <c r="D56" t="s">
        <v>137</v>
      </c>
      <c r="E56" t="s">
        <v>138</v>
      </c>
      <c r="F56" t="s">
        <v>139</v>
      </c>
      <c r="G56">
        <v>2.078611111111111</v>
      </c>
      <c r="H56">
        <v>217205.70999999996</v>
      </c>
      <c r="I56">
        <v>7483</v>
      </c>
      <c r="J56">
        <v>7483</v>
      </c>
      <c r="K56" t="s">
        <v>124</v>
      </c>
    </row>
    <row r="57" spans="1:11" ht="14.25" customHeight="1" x14ac:dyDescent="0.35">
      <c r="A57" t="s">
        <v>136</v>
      </c>
      <c r="B57" s="46">
        <v>46124</v>
      </c>
      <c r="C57" t="s">
        <v>97</v>
      </c>
      <c r="D57" t="s">
        <v>137</v>
      </c>
      <c r="E57" t="s">
        <v>138</v>
      </c>
      <c r="F57" t="s">
        <v>139</v>
      </c>
      <c r="G57">
        <v>1.6861111111111111</v>
      </c>
      <c r="H57">
        <v>216936.43</v>
      </c>
      <c r="I57">
        <v>6070</v>
      </c>
      <c r="J57">
        <v>6070</v>
      </c>
      <c r="K57" t="s">
        <v>124</v>
      </c>
    </row>
    <row r="58" spans="1:11" ht="14.25" customHeight="1" x14ac:dyDescent="0.35">
      <c r="A58" t="s">
        <v>136</v>
      </c>
      <c r="B58" s="46">
        <v>46124</v>
      </c>
      <c r="C58" t="s">
        <v>99</v>
      </c>
      <c r="D58" t="s">
        <v>137</v>
      </c>
      <c r="E58" t="s">
        <v>140</v>
      </c>
      <c r="F58" t="s">
        <v>141</v>
      </c>
      <c r="G58">
        <v>2.1016666666666666</v>
      </c>
      <c r="H58">
        <v>216680.51</v>
      </c>
      <c r="I58">
        <v>7566</v>
      </c>
      <c r="J58">
        <v>7566</v>
      </c>
      <c r="K58" t="s">
        <v>124</v>
      </c>
    </row>
    <row r="59" spans="1:11" ht="14.25" customHeight="1" x14ac:dyDescent="0.35">
      <c r="A59" t="s">
        <v>136</v>
      </c>
      <c r="B59" s="46">
        <v>46123</v>
      </c>
      <c r="C59" t="s">
        <v>101</v>
      </c>
      <c r="D59" t="s">
        <v>137</v>
      </c>
      <c r="E59" t="s">
        <v>140</v>
      </c>
      <c r="F59" t="s">
        <v>141</v>
      </c>
      <c r="G59">
        <v>2.6211111111111109</v>
      </c>
      <c r="H59">
        <v>215978.22</v>
      </c>
      <c r="I59">
        <v>9408</v>
      </c>
      <c r="J59">
        <v>9436</v>
      </c>
      <c r="K59" t="s">
        <v>124</v>
      </c>
    </row>
    <row r="60" spans="1:11" ht="14.25" customHeight="1" x14ac:dyDescent="0.35">
      <c r="A60" t="s">
        <v>136</v>
      </c>
      <c r="B60" s="46">
        <v>46118</v>
      </c>
      <c r="C60" t="s">
        <v>85</v>
      </c>
      <c r="D60" t="s">
        <v>137</v>
      </c>
      <c r="E60" t="s">
        <v>140</v>
      </c>
      <c r="F60" t="s">
        <v>141</v>
      </c>
      <c r="G60">
        <v>3.3405555555555555</v>
      </c>
      <c r="H60">
        <v>214024.57</v>
      </c>
      <c r="I60">
        <v>12026</v>
      </c>
      <c r="J60">
        <v>12026</v>
      </c>
      <c r="K60" t="s">
        <v>124</v>
      </c>
    </row>
    <row r="61" spans="1:11" ht="14.25" customHeight="1" x14ac:dyDescent="0.35">
      <c r="A61" t="s">
        <v>136</v>
      </c>
      <c r="B61" s="46">
        <v>46118</v>
      </c>
      <c r="C61" t="s">
        <v>81</v>
      </c>
      <c r="D61" t="s">
        <v>137</v>
      </c>
      <c r="E61" t="s">
        <v>140</v>
      </c>
      <c r="F61" t="s">
        <v>141</v>
      </c>
      <c r="G61">
        <v>1.9422222222222223</v>
      </c>
      <c r="H61">
        <v>213859.12</v>
      </c>
      <c r="I61">
        <v>6992</v>
      </c>
      <c r="J61">
        <v>6992</v>
      </c>
      <c r="K61" t="s">
        <v>124</v>
      </c>
    </row>
    <row r="62" spans="1:11" ht="14.25" customHeight="1" x14ac:dyDescent="0.35">
      <c r="A62" t="s">
        <v>136</v>
      </c>
      <c r="B62" s="46">
        <v>46119</v>
      </c>
      <c r="C62" t="s">
        <v>103</v>
      </c>
      <c r="D62" t="s">
        <v>137</v>
      </c>
      <c r="E62" t="s">
        <v>138</v>
      </c>
      <c r="F62" t="s">
        <v>139</v>
      </c>
      <c r="G62">
        <v>2.2908333333333335</v>
      </c>
      <c r="H62">
        <v>213698.84</v>
      </c>
      <c r="I62">
        <v>8247</v>
      </c>
      <c r="J62">
        <v>8247</v>
      </c>
      <c r="K62" t="s">
        <v>124</v>
      </c>
    </row>
    <row r="63" spans="1:11" ht="14.25" customHeight="1" x14ac:dyDescent="0.35">
      <c r="A63" t="s">
        <v>136</v>
      </c>
      <c r="B63" s="46">
        <v>46123</v>
      </c>
      <c r="C63" t="s">
        <v>101</v>
      </c>
      <c r="D63" t="s">
        <v>137</v>
      </c>
      <c r="E63" t="s">
        <v>138</v>
      </c>
      <c r="F63" t="s">
        <v>139</v>
      </c>
      <c r="G63">
        <v>1.6805555555555556</v>
      </c>
      <c r="H63">
        <v>213585.12</v>
      </c>
      <c r="I63">
        <v>6050</v>
      </c>
      <c r="J63">
        <v>6050</v>
      </c>
      <c r="K63" t="s">
        <v>124</v>
      </c>
    </row>
    <row r="64" spans="1:11" ht="14.25" customHeight="1" x14ac:dyDescent="0.35">
      <c r="A64" t="s">
        <v>136</v>
      </c>
      <c r="B64" s="46">
        <v>46123</v>
      </c>
      <c r="C64" t="s">
        <v>90</v>
      </c>
      <c r="D64" t="s">
        <v>137</v>
      </c>
      <c r="E64" t="s">
        <v>146</v>
      </c>
      <c r="F64" t="s">
        <v>147</v>
      </c>
      <c r="G64">
        <v>2.9594444444444443</v>
      </c>
      <c r="H64">
        <v>212125.24</v>
      </c>
      <c r="I64">
        <v>4800</v>
      </c>
      <c r="J64">
        <v>4824</v>
      </c>
      <c r="K64" t="s">
        <v>124</v>
      </c>
    </row>
    <row r="65" spans="1:11" ht="14.25" customHeight="1" x14ac:dyDescent="0.35">
      <c r="A65" t="s">
        <v>136</v>
      </c>
      <c r="B65" s="46">
        <v>46123</v>
      </c>
      <c r="C65" t="s">
        <v>95</v>
      </c>
      <c r="D65" t="s">
        <v>137</v>
      </c>
      <c r="E65" t="s">
        <v>140</v>
      </c>
      <c r="F65" t="s">
        <v>141</v>
      </c>
      <c r="G65">
        <v>2.7725</v>
      </c>
      <c r="H65">
        <v>211588.94</v>
      </c>
      <c r="I65">
        <v>9967</v>
      </c>
      <c r="J65">
        <v>9981</v>
      </c>
      <c r="K65" t="s">
        <v>124</v>
      </c>
    </row>
    <row r="66" spans="1:11" ht="14.25" customHeight="1" x14ac:dyDescent="0.35">
      <c r="A66" t="s">
        <v>136</v>
      </c>
      <c r="B66" s="46">
        <v>46123</v>
      </c>
      <c r="C66" t="s">
        <v>96</v>
      </c>
      <c r="D66" t="s">
        <v>137</v>
      </c>
      <c r="E66" t="s">
        <v>140</v>
      </c>
      <c r="F66" t="s">
        <v>141</v>
      </c>
      <c r="G66">
        <v>2.5080555555555555</v>
      </c>
      <c r="H66">
        <v>208531.69</v>
      </c>
      <c r="I66">
        <v>8999</v>
      </c>
      <c r="J66">
        <v>9029</v>
      </c>
      <c r="K66" t="s">
        <v>124</v>
      </c>
    </row>
    <row r="67" spans="1:11" ht="14.25" customHeight="1" x14ac:dyDescent="0.35">
      <c r="A67" t="s">
        <v>136</v>
      </c>
      <c r="B67" s="46">
        <v>46118</v>
      </c>
      <c r="C67" t="s">
        <v>86</v>
      </c>
      <c r="D67" t="s">
        <v>137</v>
      </c>
      <c r="E67" t="s">
        <v>140</v>
      </c>
      <c r="F67" t="s">
        <v>141</v>
      </c>
      <c r="G67">
        <v>2.4983333333333335</v>
      </c>
      <c r="H67">
        <v>206109.95</v>
      </c>
      <c r="I67">
        <v>8677</v>
      </c>
      <c r="J67">
        <v>8994</v>
      </c>
      <c r="K67" t="s">
        <v>124</v>
      </c>
    </row>
    <row r="68" spans="1:11" ht="14.25" customHeight="1" x14ac:dyDescent="0.35">
      <c r="A68" t="s">
        <v>136</v>
      </c>
      <c r="B68" s="46">
        <v>46123</v>
      </c>
      <c r="C68" t="s">
        <v>103</v>
      </c>
      <c r="D68" t="s">
        <v>137</v>
      </c>
      <c r="E68" t="s">
        <v>138</v>
      </c>
      <c r="F68" t="s">
        <v>139</v>
      </c>
      <c r="G68">
        <v>1.8255555555555556</v>
      </c>
      <c r="H68">
        <v>203208.90000000002</v>
      </c>
      <c r="I68">
        <v>6572</v>
      </c>
      <c r="J68">
        <v>6572</v>
      </c>
      <c r="K68" t="s">
        <v>124</v>
      </c>
    </row>
    <row r="69" spans="1:11" ht="14.25" customHeight="1" x14ac:dyDescent="0.35">
      <c r="A69" t="s">
        <v>136</v>
      </c>
      <c r="B69" s="46">
        <v>46123</v>
      </c>
      <c r="C69" t="s">
        <v>103</v>
      </c>
      <c r="D69" t="s">
        <v>137</v>
      </c>
      <c r="E69" t="s">
        <v>140</v>
      </c>
      <c r="F69" t="s">
        <v>141</v>
      </c>
      <c r="G69">
        <v>2.5369444444444444</v>
      </c>
      <c r="H69">
        <v>202982.89</v>
      </c>
      <c r="I69">
        <v>9133</v>
      </c>
      <c r="J69">
        <v>9133</v>
      </c>
      <c r="K69" t="s">
        <v>124</v>
      </c>
    </row>
    <row r="70" spans="1:11" ht="14.25" customHeight="1" x14ac:dyDescent="0.35">
      <c r="A70" t="s">
        <v>136</v>
      </c>
      <c r="B70" s="46">
        <v>46117</v>
      </c>
      <c r="C70" t="s">
        <v>103</v>
      </c>
      <c r="D70" t="s">
        <v>137</v>
      </c>
      <c r="E70" t="s">
        <v>138</v>
      </c>
      <c r="F70" t="s">
        <v>139</v>
      </c>
      <c r="G70">
        <v>1.9294444444444445</v>
      </c>
      <c r="H70">
        <v>200216.06000000003</v>
      </c>
      <c r="I70">
        <v>6946</v>
      </c>
      <c r="J70">
        <v>6946</v>
      </c>
      <c r="K70" t="s">
        <v>124</v>
      </c>
    </row>
    <row r="71" spans="1:11" ht="14.25" customHeight="1" x14ac:dyDescent="0.35">
      <c r="A71" t="s">
        <v>136</v>
      </c>
      <c r="B71" s="46">
        <v>46124</v>
      </c>
      <c r="C71" t="s">
        <v>90</v>
      </c>
      <c r="D71" t="s">
        <v>137</v>
      </c>
      <c r="E71" t="s">
        <v>140</v>
      </c>
      <c r="F71" t="s">
        <v>141</v>
      </c>
      <c r="G71">
        <v>2.0155555555555558</v>
      </c>
      <c r="H71">
        <v>198098.78999999998</v>
      </c>
      <c r="I71">
        <v>7256</v>
      </c>
      <c r="J71">
        <v>7256</v>
      </c>
      <c r="K71" t="s">
        <v>124</v>
      </c>
    </row>
    <row r="72" spans="1:11" ht="14.25" customHeight="1" x14ac:dyDescent="0.35">
      <c r="A72" t="s">
        <v>136</v>
      </c>
      <c r="B72" s="46">
        <v>46118</v>
      </c>
      <c r="C72" t="s">
        <v>95</v>
      </c>
      <c r="D72" t="s">
        <v>137</v>
      </c>
      <c r="E72" t="s">
        <v>138</v>
      </c>
      <c r="F72" t="s">
        <v>139</v>
      </c>
      <c r="G72">
        <v>1.7397222222222222</v>
      </c>
      <c r="H72">
        <v>195041.98</v>
      </c>
      <c r="I72">
        <v>6263</v>
      </c>
      <c r="J72">
        <v>6263</v>
      </c>
      <c r="K72" t="s">
        <v>124</v>
      </c>
    </row>
    <row r="73" spans="1:11" ht="14.25" customHeight="1" x14ac:dyDescent="0.35">
      <c r="A73" t="s">
        <v>136</v>
      </c>
      <c r="B73" s="46">
        <v>46118</v>
      </c>
      <c r="C73" t="s">
        <v>88</v>
      </c>
      <c r="D73" t="s">
        <v>137</v>
      </c>
      <c r="E73" t="s">
        <v>138</v>
      </c>
      <c r="F73" t="s">
        <v>139</v>
      </c>
      <c r="G73">
        <v>1.5997222222222223</v>
      </c>
      <c r="H73">
        <v>187793.3</v>
      </c>
      <c r="I73">
        <v>5759</v>
      </c>
      <c r="J73">
        <v>5759</v>
      </c>
      <c r="K73" t="s">
        <v>124</v>
      </c>
    </row>
    <row r="74" spans="1:11" ht="14.25" customHeight="1" x14ac:dyDescent="0.35">
      <c r="A74" t="s">
        <v>136</v>
      </c>
      <c r="B74" s="46">
        <v>46118</v>
      </c>
      <c r="C74" t="s">
        <v>104</v>
      </c>
      <c r="D74" t="s">
        <v>137</v>
      </c>
      <c r="E74" t="s">
        <v>138</v>
      </c>
      <c r="F74" t="s">
        <v>139</v>
      </c>
      <c r="G74">
        <v>1.6119444444444444</v>
      </c>
      <c r="H74">
        <v>187022.74</v>
      </c>
      <c r="I74">
        <v>5803</v>
      </c>
      <c r="J74">
        <v>5803</v>
      </c>
      <c r="K74" t="s">
        <v>124</v>
      </c>
    </row>
    <row r="75" spans="1:11" ht="14.25" customHeight="1" x14ac:dyDescent="0.35">
      <c r="A75" t="s">
        <v>136</v>
      </c>
      <c r="B75" s="46">
        <v>46123</v>
      </c>
      <c r="C75" t="s">
        <v>85</v>
      </c>
      <c r="D75" t="s">
        <v>137</v>
      </c>
      <c r="E75" t="s">
        <v>140</v>
      </c>
      <c r="F75" t="s">
        <v>141</v>
      </c>
      <c r="G75">
        <v>2.0469444444444442</v>
      </c>
      <c r="H75">
        <v>184357.02</v>
      </c>
      <c r="I75">
        <v>7369</v>
      </c>
      <c r="J75">
        <v>7369</v>
      </c>
      <c r="K75" t="s">
        <v>124</v>
      </c>
    </row>
    <row r="76" spans="1:11" ht="14.25" customHeight="1" x14ac:dyDescent="0.35">
      <c r="A76" t="s">
        <v>136</v>
      </c>
      <c r="B76" s="46">
        <v>46117</v>
      </c>
      <c r="C76" t="s">
        <v>81</v>
      </c>
      <c r="D76" t="s">
        <v>137</v>
      </c>
      <c r="E76" t="s">
        <v>140</v>
      </c>
      <c r="F76" t="s">
        <v>141</v>
      </c>
      <c r="G76">
        <v>1.6383333333333334</v>
      </c>
      <c r="H76">
        <v>183503.40999999997</v>
      </c>
      <c r="I76">
        <v>5898</v>
      </c>
      <c r="J76">
        <v>5898</v>
      </c>
      <c r="K76" t="s">
        <v>124</v>
      </c>
    </row>
    <row r="77" spans="1:11" ht="14.25" customHeight="1" x14ac:dyDescent="0.35">
      <c r="A77" t="s">
        <v>136</v>
      </c>
      <c r="B77" s="46">
        <v>46118</v>
      </c>
      <c r="C77" t="s">
        <v>101</v>
      </c>
      <c r="D77" t="s">
        <v>137</v>
      </c>
      <c r="E77" t="s">
        <v>138</v>
      </c>
      <c r="F77" t="s">
        <v>139</v>
      </c>
      <c r="G77">
        <v>2.1594444444444445</v>
      </c>
      <c r="H77">
        <v>182003.76000000004</v>
      </c>
      <c r="I77">
        <v>7774</v>
      </c>
      <c r="J77">
        <v>7774</v>
      </c>
      <c r="K77" t="s">
        <v>124</v>
      </c>
    </row>
    <row r="78" spans="1:11" ht="14.25" customHeight="1" x14ac:dyDescent="0.35">
      <c r="A78" t="s">
        <v>136</v>
      </c>
      <c r="B78" s="46">
        <v>46124</v>
      </c>
      <c r="C78" t="s">
        <v>109</v>
      </c>
      <c r="D78" t="s">
        <v>137</v>
      </c>
      <c r="E78" t="s">
        <v>138</v>
      </c>
      <c r="F78" t="s">
        <v>139</v>
      </c>
      <c r="G78">
        <v>1.6141666666666667</v>
      </c>
      <c r="H78">
        <v>181720.6</v>
      </c>
      <c r="I78">
        <v>5811</v>
      </c>
      <c r="J78">
        <v>5811</v>
      </c>
      <c r="K78" t="s">
        <v>124</v>
      </c>
    </row>
    <row r="79" spans="1:11" ht="14.25" customHeight="1" x14ac:dyDescent="0.35">
      <c r="A79" t="s">
        <v>136</v>
      </c>
      <c r="B79" s="46">
        <v>46119</v>
      </c>
      <c r="C79" t="s">
        <v>100</v>
      </c>
      <c r="D79" t="s">
        <v>137</v>
      </c>
      <c r="E79" t="s">
        <v>140</v>
      </c>
      <c r="F79" t="s">
        <v>141</v>
      </c>
      <c r="G79">
        <v>2.1927777777777777</v>
      </c>
      <c r="H79">
        <v>181456.72999999998</v>
      </c>
      <c r="I79">
        <v>7894</v>
      </c>
      <c r="J79">
        <v>7894</v>
      </c>
      <c r="K79" t="s">
        <v>124</v>
      </c>
    </row>
    <row r="80" spans="1:11" ht="14.25" customHeight="1" x14ac:dyDescent="0.35">
      <c r="A80" t="s">
        <v>136</v>
      </c>
      <c r="B80" s="46">
        <v>46119</v>
      </c>
      <c r="C80" t="s">
        <v>99</v>
      </c>
      <c r="D80" t="s">
        <v>137</v>
      </c>
      <c r="E80" t="s">
        <v>138</v>
      </c>
      <c r="F80" t="s">
        <v>139</v>
      </c>
      <c r="G80">
        <v>1.5263888888888888</v>
      </c>
      <c r="H80">
        <v>181446.87000000002</v>
      </c>
      <c r="I80">
        <v>5495</v>
      </c>
      <c r="J80">
        <v>5495</v>
      </c>
      <c r="K80" t="s">
        <v>124</v>
      </c>
    </row>
    <row r="81" spans="1:11" ht="14.25" customHeight="1" x14ac:dyDescent="0.35">
      <c r="A81" t="s">
        <v>136</v>
      </c>
      <c r="B81" s="46">
        <v>46119</v>
      </c>
      <c r="C81" t="s">
        <v>97</v>
      </c>
      <c r="D81" t="s">
        <v>137</v>
      </c>
      <c r="E81" t="s">
        <v>138</v>
      </c>
      <c r="F81" t="s">
        <v>139</v>
      </c>
      <c r="G81">
        <v>1.5449999999999999</v>
      </c>
      <c r="H81">
        <v>180874.72000000003</v>
      </c>
      <c r="I81">
        <v>5562</v>
      </c>
      <c r="J81">
        <v>5562</v>
      </c>
      <c r="K81" t="s">
        <v>124</v>
      </c>
    </row>
    <row r="82" spans="1:11" ht="14.25" customHeight="1" x14ac:dyDescent="0.35">
      <c r="A82" t="s">
        <v>136</v>
      </c>
      <c r="B82" s="46">
        <v>46119</v>
      </c>
      <c r="C82" t="s">
        <v>81</v>
      </c>
      <c r="D82" t="s">
        <v>137</v>
      </c>
      <c r="E82" t="s">
        <v>138</v>
      </c>
      <c r="F82" t="s">
        <v>139</v>
      </c>
      <c r="G82">
        <v>1.4213888888888888</v>
      </c>
      <c r="H82">
        <v>179137.35</v>
      </c>
      <c r="I82">
        <v>5117</v>
      </c>
      <c r="J82">
        <v>5117</v>
      </c>
      <c r="K82" t="s">
        <v>124</v>
      </c>
    </row>
    <row r="83" spans="1:11" ht="14.25" customHeight="1" x14ac:dyDescent="0.35">
      <c r="A83" t="s">
        <v>136</v>
      </c>
      <c r="B83" s="46">
        <v>46123</v>
      </c>
      <c r="C83" t="s">
        <v>99</v>
      </c>
      <c r="D83" t="s">
        <v>137</v>
      </c>
      <c r="E83" t="s">
        <v>140</v>
      </c>
      <c r="F83" t="s">
        <v>141</v>
      </c>
      <c r="G83">
        <v>1.9111111111111112</v>
      </c>
      <c r="H83">
        <v>178464.26</v>
      </c>
      <c r="I83">
        <v>6880</v>
      </c>
      <c r="J83">
        <v>6880</v>
      </c>
      <c r="K83" t="s">
        <v>124</v>
      </c>
    </row>
    <row r="84" spans="1:11" ht="14.25" customHeight="1" x14ac:dyDescent="0.35">
      <c r="A84" t="s">
        <v>136</v>
      </c>
      <c r="B84" s="46">
        <v>46120</v>
      </c>
      <c r="C84" t="s">
        <v>97</v>
      </c>
      <c r="D84" t="s">
        <v>137</v>
      </c>
      <c r="E84" t="s">
        <v>140</v>
      </c>
      <c r="F84" t="s">
        <v>141</v>
      </c>
      <c r="G84">
        <v>2.0550000000000002</v>
      </c>
      <c r="H84">
        <v>178228.94999999998</v>
      </c>
      <c r="I84">
        <v>7398</v>
      </c>
      <c r="J84">
        <v>7398</v>
      </c>
      <c r="K84" t="s">
        <v>124</v>
      </c>
    </row>
    <row r="85" spans="1:11" ht="14.25" customHeight="1" x14ac:dyDescent="0.35">
      <c r="A85" t="s">
        <v>136</v>
      </c>
      <c r="B85" s="46">
        <v>46119</v>
      </c>
      <c r="C85" t="s">
        <v>95</v>
      </c>
      <c r="D85" t="s">
        <v>137</v>
      </c>
      <c r="E85" t="s">
        <v>138</v>
      </c>
      <c r="F85" t="s">
        <v>139</v>
      </c>
      <c r="G85">
        <v>1.5986111111111112</v>
      </c>
      <c r="H85">
        <v>177776.33999999997</v>
      </c>
      <c r="I85">
        <v>5755</v>
      </c>
      <c r="J85">
        <v>5755</v>
      </c>
      <c r="K85" t="s">
        <v>124</v>
      </c>
    </row>
    <row r="86" spans="1:11" ht="14.25" customHeight="1" x14ac:dyDescent="0.35">
      <c r="A86" t="s">
        <v>136</v>
      </c>
      <c r="B86" s="46">
        <v>46123</v>
      </c>
      <c r="C86" t="s">
        <v>107</v>
      </c>
      <c r="D86" t="s">
        <v>137</v>
      </c>
      <c r="E86" t="s">
        <v>140</v>
      </c>
      <c r="F86" t="s">
        <v>141</v>
      </c>
      <c r="G86">
        <v>1.8591666666666666</v>
      </c>
      <c r="H86">
        <v>177737.80000000002</v>
      </c>
      <c r="I86">
        <v>6683</v>
      </c>
      <c r="J86">
        <v>6693</v>
      </c>
      <c r="K86" t="s">
        <v>124</v>
      </c>
    </row>
    <row r="87" spans="1:11" ht="14.25" customHeight="1" x14ac:dyDescent="0.35">
      <c r="A87" t="s">
        <v>136</v>
      </c>
      <c r="B87" s="46">
        <v>46123</v>
      </c>
      <c r="C87" t="s">
        <v>81</v>
      </c>
      <c r="D87" t="s">
        <v>137</v>
      </c>
      <c r="E87" t="s">
        <v>140</v>
      </c>
      <c r="F87" t="s">
        <v>141</v>
      </c>
      <c r="G87">
        <v>2.1616666666666666</v>
      </c>
      <c r="H87">
        <v>177589.6</v>
      </c>
      <c r="I87">
        <v>7782</v>
      </c>
      <c r="J87">
        <v>7782</v>
      </c>
      <c r="K87" t="s">
        <v>124</v>
      </c>
    </row>
    <row r="88" spans="1:11" ht="14.25" customHeight="1" x14ac:dyDescent="0.35">
      <c r="A88" t="s">
        <v>136</v>
      </c>
      <c r="B88" s="46">
        <v>46119</v>
      </c>
      <c r="C88" t="s">
        <v>104</v>
      </c>
      <c r="D88" t="s">
        <v>137</v>
      </c>
      <c r="E88" t="s">
        <v>138</v>
      </c>
      <c r="F88" t="s">
        <v>139</v>
      </c>
      <c r="G88">
        <v>1.4069444444444446</v>
      </c>
      <c r="H88">
        <v>177546.48</v>
      </c>
      <c r="I88">
        <v>5065</v>
      </c>
      <c r="J88">
        <v>5065</v>
      </c>
      <c r="K88" t="s">
        <v>124</v>
      </c>
    </row>
    <row r="89" spans="1:11" ht="14.25" customHeight="1" x14ac:dyDescent="0.35">
      <c r="A89" t="s">
        <v>136</v>
      </c>
      <c r="B89" s="46">
        <v>46117</v>
      </c>
      <c r="C89" t="s">
        <v>86</v>
      </c>
      <c r="D89" t="s">
        <v>137</v>
      </c>
      <c r="E89" t="s">
        <v>138</v>
      </c>
      <c r="F89" t="s">
        <v>139</v>
      </c>
      <c r="G89">
        <v>1.5952777777777778</v>
      </c>
      <c r="H89">
        <v>176836.76</v>
      </c>
      <c r="I89">
        <v>5743</v>
      </c>
      <c r="J89">
        <v>5743</v>
      </c>
      <c r="K89" t="s">
        <v>124</v>
      </c>
    </row>
    <row r="90" spans="1:11" ht="14.25" customHeight="1" x14ac:dyDescent="0.35">
      <c r="A90" t="s">
        <v>136</v>
      </c>
      <c r="B90" s="46">
        <v>46123</v>
      </c>
      <c r="C90" t="s">
        <v>84</v>
      </c>
      <c r="D90" t="s">
        <v>137</v>
      </c>
      <c r="E90" t="s">
        <v>138</v>
      </c>
      <c r="F90" t="s">
        <v>139</v>
      </c>
      <c r="G90">
        <v>1.418611111111111</v>
      </c>
      <c r="H90">
        <v>176641.12</v>
      </c>
      <c r="I90">
        <v>5107</v>
      </c>
      <c r="J90">
        <v>5107</v>
      </c>
      <c r="K90" t="s">
        <v>124</v>
      </c>
    </row>
    <row r="91" spans="1:11" ht="14.25" customHeight="1" x14ac:dyDescent="0.35">
      <c r="A91" t="s">
        <v>136</v>
      </c>
      <c r="B91" s="46">
        <v>46119</v>
      </c>
      <c r="C91" t="s">
        <v>100</v>
      </c>
      <c r="D91" t="s">
        <v>137</v>
      </c>
      <c r="E91" t="s">
        <v>138</v>
      </c>
      <c r="F91" t="s">
        <v>139</v>
      </c>
      <c r="G91">
        <v>1.3672222222222221</v>
      </c>
      <c r="H91">
        <v>176172.38</v>
      </c>
      <c r="I91">
        <v>4922</v>
      </c>
      <c r="J91">
        <v>4922</v>
      </c>
      <c r="K91" t="s">
        <v>124</v>
      </c>
    </row>
    <row r="92" spans="1:11" ht="14.25" customHeight="1" x14ac:dyDescent="0.35">
      <c r="A92" t="s">
        <v>136</v>
      </c>
      <c r="B92" s="46">
        <v>46124</v>
      </c>
      <c r="C92" t="s">
        <v>85</v>
      </c>
      <c r="D92" t="s">
        <v>137</v>
      </c>
      <c r="E92" t="s">
        <v>140</v>
      </c>
      <c r="F92" t="s">
        <v>141</v>
      </c>
      <c r="G92">
        <v>2.0197222222222222</v>
      </c>
      <c r="H92">
        <v>176129.33000000002</v>
      </c>
      <c r="I92">
        <v>7271</v>
      </c>
      <c r="J92">
        <v>7271</v>
      </c>
      <c r="K92" t="s">
        <v>124</v>
      </c>
    </row>
    <row r="93" spans="1:11" ht="14.25" customHeight="1" x14ac:dyDescent="0.35">
      <c r="A93" t="s">
        <v>136</v>
      </c>
      <c r="B93" s="46">
        <v>46123</v>
      </c>
      <c r="C93" t="s">
        <v>99</v>
      </c>
      <c r="D93" t="s">
        <v>137</v>
      </c>
      <c r="E93" t="s">
        <v>138</v>
      </c>
      <c r="F93" t="s">
        <v>139</v>
      </c>
      <c r="G93">
        <v>1.3552777777777778</v>
      </c>
      <c r="H93">
        <v>175902.06</v>
      </c>
      <c r="I93">
        <v>4879</v>
      </c>
      <c r="J93">
        <v>4879</v>
      </c>
      <c r="K93" t="s">
        <v>124</v>
      </c>
    </row>
    <row r="94" spans="1:11" ht="14.25" customHeight="1" x14ac:dyDescent="0.35">
      <c r="A94" t="s">
        <v>136</v>
      </c>
      <c r="B94" s="46">
        <v>46123</v>
      </c>
      <c r="C94" t="s">
        <v>95</v>
      </c>
      <c r="D94" t="s">
        <v>137</v>
      </c>
      <c r="E94" t="s">
        <v>138</v>
      </c>
      <c r="F94" t="s">
        <v>139</v>
      </c>
      <c r="G94">
        <v>1.4894444444444443</v>
      </c>
      <c r="H94">
        <v>174958.3</v>
      </c>
      <c r="I94">
        <v>5362</v>
      </c>
      <c r="J94">
        <v>5362</v>
      </c>
      <c r="K94" t="s">
        <v>124</v>
      </c>
    </row>
    <row r="95" spans="1:11" ht="14.25" customHeight="1" x14ac:dyDescent="0.35">
      <c r="A95" t="s">
        <v>136</v>
      </c>
      <c r="B95" s="46">
        <v>46119</v>
      </c>
      <c r="C95" t="s">
        <v>85</v>
      </c>
      <c r="D95" t="s">
        <v>137</v>
      </c>
      <c r="E95" t="s">
        <v>138</v>
      </c>
      <c r="F95" t="s">
        <v>139</v>
      </c>
      <c r="G95">
        <v>1.3769444444444445</v>
      </c>
      <c r="H95">
        <v>174540.98</v>
      </c>
      <c r="I95">
        <v>4957</v>
      </c>
      <c r="J95">
        <v>4957</v>
      </c>
      <c r="K95" t="s">
        <v>124</v>
      </c>
    </row>
    <row r="96" spans="1:11" ht="14.25" customHeight="1" x14ac:dyDescent="0.35">
      <c r="A96" t="s">
        <v>136</v>
      </c>
      <c r="B96" s="46">
        <v>46123</v>
      </c>
      <c r="C96" t="s">
        <v>85</v>
      </c>
      <c r="D96" t="s">
        <v>137</v>
      </c>
      <c r="E96" t="s">
        <v>138</v>
      </c>
      <c r="F96" t="s">
        <v>139</v>
      </c>
      <c r="G96">
        <v>1.3186111111111112</v>
      </c>
      <c r="H96">
        <v>173939.91999999998</v>
      </c>
      <c r="I96">
        <v>4747</v>
      </c>
      <c r="J96">
        <v>4747</v>
      </c>
      <c r="K96" t="s">
        <v>124</v>
      </c>
    </row>
    <row r="97" spans="1:11" ht="14.25" customHeight="1" x14ac:dyDescent="0.35">
      <c r="A97" t="s">
        <v>136</v>
      </c>
      <c r="B97" s="46">
        <v>46118</v>
      </c>
      <c r="C97" t="s">
        <v>93</v>
      </c>
      <c r="D97" t="s">
        <v>137</v>
      </c>
      <c r="E97" t="s">
        <v>138</v>
      </c>
      <c r="F97" t="s">
        <v>139</v>
      </c>
      <c r="G97">
        <v>1.6019444444444444</v>
      </c>
      <c r="H97">
        <v>173822.73</v>
      </c>
      <c r="I97">
        <v>5767</v>
      </c>
      <c r="J97">
        <v>5767</v>
      </c>
      <c r="K97" t="s">
        <v>124</v>
      </c>
    </row>
    <row r="98" spans="1:11" ht="14.25" customHeight="1" x14ac:dyDescent="0.35">
      <c r="A98" t="s">
        <v>136</v>
      </c>
      <c r="B98" s="46">
        <v>46119</v>
      </c>
      <c r="C98" t="s">
        <v>107</v>
      </c>
      <c r="D98" t="s">
        <v>137</v>
      </c>
      <c r="E98" t="s">
        <v>138</v>
      </c>
      <c r="F98" t="s">
        <v>139</v>
      </c>
      <c r="G98">
        <v>1.5244444444444445</v>
      </c>
      <c r="H98">
        <v>173737.47</v>
      </c>
      <c r="I98">
        <v>5488</v>
      </c>
      <c r="J98">
        <v>5488</v>
      </c>
      <c r="K98" t="s">
        <v>124</v>
      </c>
    </row>
    <row r="99" spans="1:11" ht="14.25" customHeight="1" x14ac:dyDescent="0.35">
      <c r="A99" t="s">
        <v>136</v>
      </c>
      <c r="B99" s="46">
        <v>46119</v>
      </c>
      <c r="C99" t="s">
        <v>104</v>
      </c>
      <c r="D99" t="s">
        <v>137</v>
      </c>
      <c r="E99" t="s">
        <v>140</v>
      </c>
      <c r="F99" t="s">
        <v>141</v>
      </c>
      <c r="G99">
        <v>1.8011111111111111</v>
      </c>
      <c r="H99">
        <v>173551.50000000003</v>
      </c>
      <c r="I99">
        <v>6484</v>
      </c>
      <c r="J99">
        <v>6484</v>
      </c>
      <c r="K99" t="s">
        <v>124</v>
      </c>
    </row>
    <row r="100" spans="1:11" ht="14.25" customHeight="1" x14ac:dyDescent="0.35">
      <c r="A100" t="s">
        <v>136</v>
      </c>
      <c r="B100" s="46">
        <v>46118</v>
      </c>
      <c r="C100" t="s">
        <v>93</v>
      </c>
      <c r="D100" t="s">
        <v>137</v>
      </c>
      <c r="E100" t="s">
        <v>140</v>
      </c>
      <c r="F100" t="s">
        <v>141</v>
      </c>
      <c r="G100">
        <v>2.0350000000000001</v>
      </c>
      <c r="H100">
        <v>172046.47</v>
      </c>
      <c r="I100">
        <v>7326</v>
      </c>
      <c r="J100">
        <v>7326</v>
      </c>
      <c r="K100" t="s">
        <v>124</v>
      </c>
    </row>
    <row r="101" spans="1:11" ht="14.25" customHeight="1" x14ac:dyDescent="0.35">
      <c r="A101" t="s">
        <v>136</v>
      </c>
      <c r="B101" s="46">
        <v>46119</v>
      </c>
      <c r="C101" t="s">
        <v>103</v>
      </c>
      <c r="D101" t="s">
        <v>137</v>
      </c>
      <c r="E101" t="s">
        <v>140</v>
      </c>
      <c r="F101" t="s">
        <v>141</v>
      </c>
      <c r="G101">
        <v>1.8202777777777779</v>
      </c>
      <c r="H101">
        <v>171355.69999999998</v>
      </c>
      <c r="I101">
        <v>6497</v>
      </c>
      <c r="J101">
        <v>6553</v>
      </c>
      <c r="K101" t="s">
        <v>124</v>
      </c>
    </row>
    <row r="102" spans="1:11" ht="14.25" customHeight="1" x14ac:dyDescent="0.35">
      <c r="A102" t="s">
        <v>136</v>
      </c>
      <c r="B102" s="46">
        <v>46117</v>
      </c>
      <c r="C102" t="s">
        <v>90</v>
      </c>
      <c r="D102" t="s">
        <v>137</v>
      </c>
      <c r="E102" t="s">
        <v>140</v>
      </c>
      <c r="F102" t="s">
        <v>141</v>
      </c>
      <c r="G102">
        <v>1.7716666666666667</v>
      </c>
      <c r="H102">
        <v>170850.02000000002</v>
      </c>
      <c r="I102">
        <v>6378</v>
      </c>
      <c r="J102">
        <v>6378</v>
      </c>
      <c r="K102" t="s">
        <v>124</v>
      </c>
    </row>
    <row r="103" spans="1:11" ht="14.25" customHeight="1" x14ac:dyDescent="0.35">
      <c r="A103" t="s">
        <v>136</v>
      </c>
      <c r="B103" s="46">
        <v>46119</v>
      </c>
      <c r="C103" t="s">
        <v>81</v>
      </c>
      <c r="D103" t="s">
        <v>137</v>
      </c>
      <c r="E103" t="s">
        <v>140</v>
      </c>
      <c r="F103" t="s">
        <v>141</v>
      </c>
      <c r="G103">
        <v>1.9991666666666668</v>
      </c>
      <c r="H103">
        <v>170577.91</v>
      </c>
      <c r="I103">
        <v>7197</v>
      </c>
      <c r="J103">
        <v>7197</v>
      </c>
      <c r="K103" t="s">
        <v>124</v>
      </c>
    </row>
    <row r="104" spans="1:11" ht="14.25" customHeight="1" x14ac:dyDescent="0.35">
      <c r="A104" t="s">
        <v>136</v>
      </c>
      <c r="B104" s="46">
        <v>46122</v>
      </c>
      <c r="C104" t="s">
        <v>85</v>
      </c>
      <c r="D104" t="s">
        <v>137</v>
      </c>
      <c r="E104" t="s">
        <v>140</v>
      </c>
      <c r="F104" t="s">
        <v>141</v>
      </c>
      <c r="G104">
        <v>1.8913888888888888</v>
      </c>
      <c r="H104">
        <v>169799.59</v>
      </c>
      <c r="I104">
        <v>6809</v>
      </c>
      <c r="J104">
        <v>6809</v>
      </c>
      <c r="K104" t="s">
        <v>124</v>
      </c>
    </row>
    <row r="105" spans="1:11" ht="14.25" customHeight="1" x14ac:dyDescent="0.35">
      <c r="A105" t="s">
        <v>136</v>
      </c>
      <c r="B105" s="46">
        <v>46123</v>
      </c>
      <c r="C105" t="s">
        <v>95</v>
      </c>
      <c r="D105" t="s">
        <v>137</v>
      </c>
      <c r="E105" t="s">
        <v>142</v>
      </c>
      <c r="F105" t="s">
        <v>143</v>
      </c>
      <c r="G105">
        <v>1.1813888888888888</v>
      </c>
      <c r="H105">
        <v>169784.24999999997</v>
      </c>
      <c r="I105">
        <v>4253</v>
      </c>
      <c r="J105">
        <v>4253</v>
      </c>
      <c r="K105" t="s">
        <v>124</v>
      </c>
    </row>
    <row r="106" spans="1:11" ht="14.25" customHeight="1" x14ac:dyDescent="0.35">
      <c r="A106" t="s">
        <v>136</v>
      </c>
      <c r="B106" s="46">
        <v>46117</v>
      </c>
      <c r="C106" t="s">
        <v>97</v>
      </c>
      <c r="D106" t="s">
        <v>137</v>
      </c>
      <c r="E106" t="s">
        <v>140</v>
      </c>
      <c r="F106" t="s">
        <v>141</v>
      </c>
      <c r="G106">
        <v>1.878611111111111</v>
      </c>
      <c r="H106">
        <v>169494.41999999998</v>
      </c>
      <c r="I106">
        <v>6763</v>
      </c>
      <c r="J106">
        <v>6763</v>
      </c>
      <c r="K106" t="s">
        <v>124</v>
      </c>
    </row>
    <row r="107" spans="1:11" ht="14.25" customHeight="1" x14ac:dyDescent="0.35">
      <c r="A107" t="s">
        <v>136</v>
      </c>
      <c r="B107" s="46">
        <v>46117</v>
      </c>
      <c r="C107" t="s">
        <v>103</v>
      </c>
      <c r="D107" t="s">
        <v>137</v>
      </c>
      <c r="E107" t="s">
        <v>140</v>
      </c>
      <c r="F107" t="s">
        <v>141</v>
      </c>
      <c r="G107">
        <v>1.6919444444444445</v>
      </c>
      <c r="H107">
        <v>167185.25</v>
      </c>
      <c r="I107">
        <v>6091</v>
      </c>
      <c r="J107">
        <v>6091</v>
      </c>
      <c r="K107" t="s">
        <v>124</v>
      </c>
    </row>
    <row r="108" spans="1:11" ht="14.25" customHeight="1" x14ac:dyDescent="0.35">
      <c r="A108" t="s">
        <v>136</v>
      </c>
      <c r="B108" s="46">
        <v>46117</v>
      </c>
      <c r="C108" t="s">
        <v>95</v>
      </c>
      <c r="D108" t="s">
        <v>137</v>
      </c>
      <c r="E108" t="s">
        <v>140</v>
      </c>
      <c r="F108" t="s">
        <v>141</v>
      </c>
      <c r="G108">
        <v>1.9622222222222223</v>
      </c>
      <c r="H108">
        <v>166963.32</v>
      </c>
      <c r="I108">
        <v>7064</v>
      </c>
      <c r="J108">
        <v>7064</v>
      </c>
      <c r="K108" t="s">
        <v>124</v>
      </c>
    </row>
    <row r="109" spans="1:11" ht="14.25" customHeight="1" x14ac:dyDescent="0.35">
      <c r="A109" t="s">
        <v>136</v>
      </c>
      <c r="B109" s="46">
        <v>46118</v>
      </c>
      <c r="C109" t="s">
        <v>109</v>
      </c>
      <c r="D109" t="s">
        <v>137</v>
      </c>
      <c r="E109" t="s">
        <v>140</v>
      </c>
      <c r="F109" t="s">
        <v>141</v>
      </c>
      <c r="G109">
        <v>1.7558333333333334</v>
      </c>
      <c r="H109">
        <v>166427.58000000002</v>
      </c>
      <c r="I109">
        <v>6321</v>
      </c>
      <c r="J109">
        <v>6321</v>
      </c>
      <c r="K109" t="s">
        <v>124</v>
      </c>
    </row>
    <row r="110" spans="1:11" ht="14.25" customHeight="1" x14ac:dyDescent="0.35">
      <c r="A110" t="s">
        <v>136</v>
      </c>
      <c r="B110" s="46">
        <v>46118</v>
      </c>
      <c r="C110" t="s">
        <v>98</v>
      </c>
      <c r="D110" t="s">
        <v>137</v>
      </c>
      <c r="E110" t="s">
        <v>140</v>
      </c>
      <c r="F110" t="s">
        <v>141</v>
      </c>
      <c r="G110">
        <v>1.9061111111111111</v>
      </c>
      <c r="H110">
        <v>165552.33000000002</v>
      </c>
      <c r="I110">
        <v>6862</v>
      </c>
      <c r="J110">
        <v>6862</v>
      </c>
      <c r="K110" t="s">
        <v>124</v>
      </c>
    </row>
    <row r="111" spans="1:11" ht="14.25" customHeight="1" x14ac:dyDescent="0.35">
      <c r="A111" t="s">
        <v>136</v>
      </c>
      <c r="B111" s="46">
        <v>46118</v>
      </c>
      <c r="C111" t="s">
        <v>106</v>
      </c>
      <c r="D111" t="s">
        <v>137</v>
      </c>
      <c r="E111" t="s">
        <v>138</v>
      </c>
      <c r="F111" t="s">
        <v>139</v>
      </c>
      <c r="G111">
        <v>2.4136111111111109</v>
      </c>
      <c r="H111">
        <v>164736.31</v>
      </c>
      <c r="I111">
        <v>8689</v>
      </c>
      <c r="J111">
        <v>8689</v>
      </c>
      <c r="K111" t="s">
        <v>124</v>
      </c>
    </row>
    <row r="112" spans="1:11" ht="14.25" customHeight="1" x14ac:dyDescent="0.35">
      <c r="A112" t="s">
        <v>136</v>
      </c>
      <c r="B112" s="46">
        <v>46117</v>
      </c>
      <c r="C112" t="s">
        <v>81</v>
      </c>
      <c r="D112" t="s">
        <v>137</v>
      </c>
      <c r="E112" t="s">
        <v>138</v>
      </c>
      <c r="F112" t="s">
        <v>139</v>
      </c>
      <c r="G112">
        <v>1.7458333333333333</v>
      </c>
      <c r="H112">
        <v>150540.29999999999</v>
      </c>
      <c r="I112">
        <v>6285</v>
      </c>
      <c r="J112">
        <v>6285</v>
      </c>
      <c r="K112" t="s">
        <v>124</v>
      </c>
    </row>
    <row r="113" spans="1:11" ht="14.25" customHeight="1" x14ac:dyDescent="0.35">
      <c r="A113" t="s">
        <v>136</v>
      </c>
      <c r="B113" s="46">
        <v>46120</v>
      </c>
      <c r="C113" t="s">
        <v>99</v>
      </c>
      <c r="D113" t="s">
        <v>137</v>
      </c>
      <c r="E113" t="s">
        <v>140</v>
      </c>
      <c r="F113" t="s">
        <v>141</v>
      </c>
      <c r="G113">
        <v>1.5577777777777777</v>
      </c>
      <c r="H113">
        <v>147812.13999999998</v>
      </c>
      <c r="I113">
        <v>5608</v>
      </c>
      <c r="J113">
        <v>5608</v>
      </c>
      <c r="K113" t="s">
        <v>124</v>
      </c>
    </row>
    <row r="114" spans="1:11" ht="14.25" customHeight="1" x14ac:dyDescent="0.35">
      <c r="A114" t="s">
        <v>136</v>
      </c>
      <c r="B114" s="46">
        <v>46117</v>
      </c>
      <c r="C114" t="s">
        <v>93</v>
      </c>
      <c r="D114" t="s">
        <v>137</v>
      </c>
      <c r="E114" t="s">
        <v>138</v>
      </c>
      <c r="F114" t="s">
        <v>139</v>
      </c>
      <c r="G114">
        <v>1.4697222222222222</v>
      </c>
      <c r="H114">
        <v>139140.03999999998</v>
      </c>
      <c r="I114">
        <v>5291</v>
      </c>
      <c r="J114">
        <v>5291</v>
      </c>
      <c r="K114" t="s">
        <v>124</v>
      </c>
    </row>
    <row r="115" spans="1:11" ht="14.25" customHeight="1" x14ac:dyDescent="0.35">
      <c r="A115" t="s">
        <v>136</v>
      </c>
      <c r="B115" s="46">
        <v>46118</v>
      </c>
      <c r="C115" t="s">
        <v>96</v>
      </c>
      <c r="D115" t="s">
        <v>137</v>
      </c>
      <c r="E115" t="s">
        <v>140</v>
      </c>
      <c r="F115" t="s">
        <v>141</v>
      </c>
      <c r="G115">
        <v>1.5738888888888889</v>
      </c>
      <c r="H115">
        <v>136256.08000000002</v>
      </c>
      <c r="I115">
        <v>5660</v>
      </c>
      <c r="J115">
        <v>5666</v>
      </c>
      <c r="K115" t="s">
        <v>124</v>
      </c>
    </row>
    <row r="116" spans="1:11" ht="14.25" customHeight="1" x14ac:dyDescent="0.35">
      <c r="A116" t="s">
        <v>136</v>
      </c>
      <c r="B116" s="46">
        <v>46119</v>
      </c>
      <c r="C116" t="s">
        <v>107</v>
      </c>
      <c r="D116" t="s">
        <v>137</v>
      </c>
      <c r="E116" t="s">
        <v>140</v>
      </c>
      <c r="F116" t="s">
        <v>141</v>
      </c>
      <c r="G116">
        <v>1.4430555555555555</v>
      </c>
      <c r="H116">
        <v>130358.20999999999</v>
      </c>
      <c r="I116">
        <v>5195</v>
      </c>
      <c r="J116">
        <v>5195</v>
      </c>
      <c r="K116" t="s">
        <v>124</v>
      </c>
    </row>
    <row r="117" spans="1:11" ht="14.25" customHeight="1" x14ac:dyDescent="0.35">
      <c r="A117" t="s">
        <v>136</v>
      </c>
      <c r="B117" s="46">
        <v>46117</v>
      </c>
      <c r="C117" t="s">
        <v>98</v>
      </c>
      <c r="D117" t="s">
        <v>137</v>
      </c>
      <c r="E117" t="s">
        <v>142</v>
      </c>
      <c r="F117" t="s">
        <v>143</v>
      </c>
      <c r="G117">
        <v>0.71666666666666667</v>
      </c>
      <c r="H117">
        <v>129037.41</v>
      </c>
      <c r="I117">
        <v>2535</v>
      </c>
      <c r="J117">
        <v>2535</v>
      </c>
      <c r="K117" t="s">
        <v>124</v>
      </c>
    </row>
    <row r="118" spans="1:11" ht="14.25" customHeight="1" x14ac:dyDescent="0.35">
      <c r="A118" t="s">
        <v>136</v>
      </c>
      <c r="B118" s="46">
        <v>46124</v>
      </c>
      <c r="C118" t="s">
        <v>104</v>
      </c>
      <c r="D118" t="s">
        <v>137</v>
      </c>
      <c r="E118" t="s">
        <v>140</v>
      </c>
      <c r="F118" t="s">
        <v>141</v>
      </c>
      <c r="G118">
        <v>1.8997222222222223</v>
      </c>
      <c r="H118">
        <v>117740.31000000001</v>
      </c>
      <c r="I118">
        <v>6839</v>
      </c>
      <c r="J118">
        <v>6839</v>
      </c>
      <c r="K118" t="s">
        <v>124</v>
      </c>
    </row>
    <row r="119" spans="1:11" ht="14.25" customHeight="1" x14ac:dyDescent="0.35">
      <c r="A119" t="s">
        <v>136</v>
      </c>
      <c r="B119" s="46">
        <v>46118</v>
      </c>
      <c r="C119" t="s">
        <v>86</v>
      </c>
      <c r="D119" t="s">
        <v>137</v>
      </c>
      <c r="E119" t="s">
        <v>138</v>
      </c>
      <c r="F119" t="s">
        <v>139</v>
      </c>
      <c r="G119">
        <v>1.75</v>
      </c>
      <c r="H119">
        <v>117213.39</v>
      </c>
      <c r="I119">
        <v>6300</v>
      </c>
      <c r="J119">
        <v>6300</v>
      </c>
      <c r="K119" t="s">
        <v>124</v>
      </c>
    </row>
    <row r="120" spans="1:11" ht="14.25" customHeight="1" x14ac:dyDescent="0.35">
      <c r="A120" t="s">
        <v>136</v>
      </c>
      <c r="B120" s="46">
        <v>46118</v>
      </c>
      <c r="C120" t="s">
        <v>109</v>
      </c>
      <c r="D120" t="s">
        <v>137</v>
      </c>
      <c r="E120" t="s">
        <v>142</v>
      </c>
      <c r="F120" t="s">
        <v>143</v>
      </c>
      <c r="G120">
        <v>6.0436111111111108</v>
      </c>
      <c r="H120">
        <v>115475.69</v>
      </c>
      <c r="I120">
        <v>2705</v>
      </c>
      <c r="J120">
        <v>3034</v>
      </c>
      <c r="K120" t="s">
        <v>124</v>
      </c>
    </row>
    <row r="121" spans="1:11" ht="14.25" customHeight="1" x14ac:dyDescent="0.35">
      <c r="A121" t="s">
        <v>136</v>
      </c>
      <c r="B121" s="46">
        <v>46123</v>
      </c>
      <c r="C121" t="s">
        <v>84</v>
      </c>
      <c r="D121" t="s">
        <v>137</v>
      </c>
      <c r="E121" t="s">
        <v>140</v>
      </c>
      <c r="F121" t="s">
        <v>141</v>
      </c>
      <c r="G121">
        <v>1.481111111111111</v>
      </c>
      <c r="H121">
        <v>111130.40000000001</v>
      </c>
      <c r="I121">
        <v>5332</v>
      </c>
      <c r="J121">
        <v>5332</v>
      </c>
      <c r="K121" t="s">
        <v>124</v>
      </c>
    </row>
    <row r="122" spans="1:11" ht="14.25" customHeight="1" x14ac:dyDescent="0.35">
      <c r="A122" t="s">
        <v>136</v>
      </c>
      <c r="B122" s="46">
        <v>46117</v>
      </c>
      <c r="C122" t="s">
        <v>100</v>
      </c>
      <c r="D122" t="s">
        <v>137</v>
      </c>
      <c r="E122" t="s">
        <v>138</v>
      </c>
      <c r="F122" t="s">
        <v>139</v>
      </c>
      <c r="G122">
        <v>0.8372222222222222</v>
      </c>
      <c r="H122">
        <v>105617.31</v>
      </c>
      <c r="I122">
        <v>3014</v>
      </c>
      <c r="J122">
        <v>3014</v>
      </c>
      <c r="K122" t="s">
        <v>124</v>
      </c>
    </row>
    <row r="123" spans="1:11" ht="14.25" customHeight="1" x14ac:dyDescent="0.35">
      <c r="A123" t="s">
        <v>136</v>
      </c>
      <c r="B123" s="46">
        <v>46117</v>
      </c>
      <c r="C123" t="s">
        <v>81</v>
      </c>
      <c r="D123" t="s">
        <v>137</v>
      </c>
      <c r="E123" t="s">
        <v>144</v>
      </c>
      <c r="F123" t="s">
        <v>145</v>
      </c>
      <c r="G123">
        <v>8.4913888888888884</v>
      </c>
      <c r="H123">
        <v>103602.66999999998</v>
      </c>
      <c r="I123">
        <v>2822</v>
      </c>
      <c r="J123">
        <v>4070</v>
      </c>
      <c r="K123" t="s">
        <v>124</v>
      </c>
    </row>
    <row r="124" spans="1:11" ht="14.25" customHeight="1" x14ac:dyDescent="0.35">
      <c r="A124" t="s">
        <v>136</v>
      </c>
      <c r="B124" s="46">
        <v>46118</v>
      </c>
      <c r="C124" t="s">
        <v>96</v>
      </c>
      <c r="D124" t="s">
        <v>137</v>
      </c>
      <c r="E124" t="s">
        <v>138</v>
      </c>
      <c r="F124" t="s">
        <v>139</v>
      </c>
      <c r="G124">
        <v>1.5016666666666667</v>
      </c>
      <c r="H124">
        <v>102676.29</v>
      </c>
      <c r="I124">
        <v>5406</v>
      </c>
      <c r="J124">
        <v>5406</v>
      </c>
      <c r="K124" t="s">
        <v>124</v>
      </c>
    </row>
    <row r="125" spans="1:11" ht="14.25" customHeight="1" x14ac:dyDescent="0.35">
      <c r="A125" t="s">
        <v>136</v>
      </c>
      <c r="B125" s="46">
        <v>46119</v>
      </c>
      <c r="C125" t="s">
        <v>90</v>
      </c>
      <c r="D125" t="s">
        <v>137</v>
      </c>
      <c r="E125" t="s">
        <v>140</v>
      </c>
      <c r="F125" t="s">
        <v>141</v>
      </c>
      <c r="G125">
        <v>1.1399999999999999</v>
      </c>
      <c r="H125">
        <v>100320.48</v>
      </c>
      <c r="I125">
        <v>4104</v>
      </c>
      <c r="J125">
        <v>4104</v>
      </c>
      <c r="K125" t="s">
        <v>124</v>
      </c>
    </row>
    <row r="126" spans="1:11" ht="14.25" customHeight="1" x14ac:dyDescent="0.35">
      <c r="A126" t="s">
        <v>136</v>
      </c>
      <c r="B126" s="46">
        <v>46117</v>
      </c>
      <c r="C126" t="s">
        <v>90</v>
      </c>
      <c r="D126" t="s">
        <v>137</v>
      </c>
      <c r="E126" t="s">
        <v>138</v>
      </c>
      <c r="F126" t="s">
        <v>139</v>
      </c>
      <c r="G126">
        <v>1.3697222222222223</v>
      </c>
      <c r="H126">
        <v>96755.57</v>
      </c>
      <c r="I126">
        <v>4931</v>
      </c>
      <c r="J126">
        <v>4931</v>
      </c>
      <c r="K126" t="s">
        <v>124</v>
      </c>
    </row>
    <row r="127" spans="1:11" ht="14.25" customHeight="1" x14ac:dyDescent="0.35">
      <c r="A127" t="s">
        <v>136</v>
      </c>
      <c r="B127" s="46">
        <v>46119</v>
      </c>
      <c r="C127" t="s">
        <v>95</v>
      </c>
      <c r="D127" t="s">
        <v>137</v>
      </c>
      <c r="E127" t="s">
        <v>140</v>
      </c>
      <c r="F127" t="s">
        <v>141</v>
      </c>
      <c r="G127">
        <v>1.4394444444444445</v>
      </c>
      <c r="H127">
        <v>96305.44</v>
      </c>
      <c r="I127">
        <v>5182</v>
      </c>
      <c r="J127">
        <v>5182</v>
      </c>
      <c r="K127" t="s">
        <v>124</v>
      </c>
    </row>
    <row r="128" spans="1:11" ht="14.25" customHeight="1" x14ac:dyDescent="0.35">
      <c r="A128" t="s">
        <v>136</v>
      </c>
      <c r="B128" s="46">
        <v>46118</v>
      </c>
      <c r="C128" t="s">
        <v>101</v>
      </c>
      <c r="D128" t="s">
        <v>137</v>
      </c>
      <c r="E128" t="s">
        <v>142</v>
      </c>
      <c r="F128" t="s">
        <v>143</v>
      </c>
      <c r="G128">
        <v>0.63083333333333336</v>
      </c>
      <c r="H128">
        <v>95523.41</v>
      </c>
      <c r="I128">
        <v>2267</v>
      </c>
      <c r="J128">
        <v>2267</v>
      </c>
      <c r="K128" t="s">
        <v>124</v>
      </c>
    </row>
    <row r="129" spans="1:11" ht="14.25" customHeight="1" x14ac:dyDescent="0.35">
      <c r="A129" t="s">
        <v>136</v>
      </c>
      <c r="B129" s="46">
        <v>46117</v>
      </c>
      <c r="C129" t="s">
        <v>109</v>
      </c>
      <c r="D129" t="s">
        <v>137</v>
      </c>
      <c r="E129" t="s">
        <v>138</v>
      </c>
      <c r="F129" t="s">
        <v>139</v>
      </c>
      <c r="G129">
        <v>0.89027777777777772</v>
      </c>
      <c r="H129">
        <v>94654.959999999992</v>
      </c>
      <c r="I129">
        <v>3205</v>
      </c>
      <c r="J129">
        <v>3205</v>
      </c>
      <c r="K129" t="s">
        <v>124</v>
      </c>
    </row>
    <row r="130" spans="1:11" ht="14.25" customHeight="1" x14ac:dyDescent="0.35">
      <c r="A130" t="s">
        <v>136</v>
      </c>
      <c r="B130" s="46">
        <v>46117</v>
      </c>
      <c r="C130" t="s">
        <v>101</v>
      </c>
      <c r="D130" t="s">
        <v>137</v>
      </c>
      <c r="E130" t="s">
        <v>138</v>
      </c>
      <c r="F130" t="s">
        <v>139</v>
      </c>
      <c r="G130">
        <v>0.81472222222222224</v>
      </c>
      <c r="H130">
        <v>93170.91</v>
      </c>
      <c r="I130">
        <v>2933</v>
      </c>
      <c r="J130">
        <v>2933</v>
      </c>
      <c r="K130" t="s">
        <v>124</v>
      </c>
    </row>
    <row r="131" spans="1:11" ht="14.25" customHeight="1" x14ac:dyDescent="0.35">
      <c r="A131" t="s">
        <v>136</v>
      </c>
      <c r="B131" s="46">
        <v>46121</v>
      </c>
      <c r="C131" t="s">
        <v>103</v>
      </c>
      <c r="D131" t="s">
        <v>137</v>
      </c>
      <c r="E131" t="s">
        <v>142</v>
      </c>
      <c r="F131" t="s">
        <v>143</v>
      </c>
      <c r="G131">
        <v>0.89222222222222225</v>
      </c>
      <c r="H131">
        <v>92789.15</v>
      </c>
      <c r="I131">
        <v>2710</v>
      </c>
      <c r="J131">
        <v>2754</v>
      </c>
      <c r="K131" t="s">
        <v>124</v>
      </c>
    </row>
    <row r="132" spans="1:11" ht="14.25" customHeight="1" x14ac:dyDescent="0.35">
      <c r="A132" t="s">
        <v>136</v>
      </c>
      <c r="B132" s="46">
        <v>46118</v>
      </c>
      <c r="C132" t="s">
        <v>109</v>
      </c>
      <c r="D132" t="s">
        <v>137</v>
      </c>
      <c r="E132" t="s">
        <v>138</v>
      </c>
      <c r="F132" t="s">
        <v>139</v>
      </c>
      <c r="G132">
        <v>0.90972222222222221</v>
      </c>
      <c r="H132">
        <v>86336.93</v>
      </c>
      <c r="I132">
        <v>3275</v>
      </c>
      <c r="J132">
        <v>3275</v>
      </c>
      <c r="K132" t="s">
        <v>124</v>
      </c>
    </row>
    <row r="133" spans="1:11" ht="14.25" customHeight="1" x14ac:dyDescent="0.35">
      <c r="A133" t="s">
        <v>136</v>
      </c>
      <c r="B133" s="46">
        <v>46117</v>
      </c>
      <c r="C133" t="s">
        <v>90</v>
      </c>
      <c r="D133" t="s">
        <v>137</v>
      </c>
      <c r="E133" t="s">
        <v>142</v>
      </c>
      <c r="F133" t="s">
        <v>143</v>
      </c>
      <c r="G133">
        <v>1.0772222222222223</v>
      </c>
      <c r="H133">
        <v>82765.399999999994</v>
      </c>
      <c r="I133">
        <v>3082</v>
      </c>
      <c r="J133">
        <v>3214</v>
      </c>
      <c r="K133" t="s">
        <v>124</v>
      </c>
    </row>
    <row r="134" spans="1:11" ht="14.25" customHeight="1" x14ac:dyDescent="0.35">
      <c r="A134" t="s">
        <v>136</v>
      </c>
      <c r="B134" s="46">
        <v>46118</v>
      </c>
      <c r="C134" t="s">
        <v>104</v>
      </c>
      <c r="D134" t="s">
        <v>137</v>
      </c>
      <c r="E134" t="s">
        <v>142</v>
      </c>
      <c r="F134" t="s">
        <v>143</v>
      </c>
      <c r="G134">
        <v>0.61416666666666664</v>
      </c>
      <c r="H134">
        <v>82654.17</v>
      </c>
      <c r="I134">
        <v>2193</v>
      </c>
      <c r="J134">
        <v>2193</v>
      </c>
      <c r="K134" t="s">
        <v>124</v>
      </c>
    </row>
    <row r="135" spans="1:11" ht="14.25" customHeight="1" x14ac:dyDescent="0.35">
      <c r="A135" t="s">
        <v>136</v>
      </c>
      <c r="B135" s="46">
        <v>46117</v>
      </c>
      <c r="C135" t="s">
        <v>90</v>
      </c>
      <c r="D135" t="s">
        <v>137</v>
      </c>
      <c r="E135" t="s">
        <v>144</v>
      </c>
      <c r="F135" t="s">
        <v>145</v>
      </c>
      <c r="G135">
        <v>4.0702777777777781</v>
      </c>
      <c r="H135">
        <v>82553.020000000019</v>
      </c>
      <c r="I135">
        <v>2186</v>
      </c>
      <c r="J135">
        <v>2968</v>
      </c>
      <c r="K135" t="s">
        <v>124</v>
      </c>
    </row>
    <row r="136" spans="1:11" ht="14.25" customHeight="1" x14ac:dyDescent="0.35">
      <c r="A136" t="s">
        <v>136</v>
      </c>
      <c r="B136" s="46">
        <v>46124</v>
      </c>
      <c r="C136" t="s">
        <v>101</v>
      </c>
      <c r="D136" t="s">
        <v>137</v>
      </c>
      <c r="E136" t="s">
        <v>140</v>
      </c>
      <c r="F136" t="s">
        <v>141</v>
      </c>
      <c r="G136">
        <v>1.3047222222222221</v>
      </c>
      <c r="H136">
        <v>82241.990000000005</v>
      </c>
      <c r="I136">
        <v>4697</v>
      </c>
      <c r="J136">
        <v>4697</v>
      </c>
      <c r="K136" t="s">
        <v>124</v>
      </c>
    </row>
    <row r="137" spans="1:11" ht="14.25" customHeight="1" x14ac:dyDescent="0.35">
      <c r="A137" t="s">
        <v>136</v>
      </c>
      <c r="B137" s="46">
        <v>46120</v>
      </c>
      <c r="C137" t="s">
        <v>95</v>
      </c>
      <c r="D137" t="s">
        <v>137</v>
      </c>
      <c r="E137" t="s">
        <v>140</v>
      </c>
      <c r="F137" t="s">
        <v>141</v>
      </c>
      <c r="G137">
        <v>0.90500000000000003</v>
      </c>
      <c r="H137">
        <v>81971.28</v>
      </c>
      <c r="I137">
        <v>3258</v>
      </c>
      <c r="J137">
        <v>3258</v>
      </c>
      <c r="K137" t="s">
        <v>124</v>
      </c>
    </row>
    <row r="138" spans="1:11" ht="14.25" customHeight="1" x14ac:dyDescent="0.35">
      <c r="A138" t="s">
        <v>136</v>
      </c>
      <c r="B138" s="46">
        <v>46118</v>
      </c>
      <c r="C138" t="s">
        <v>96</v>
      </c>
      <c r="D138" t="s">
        <v>137</v>
      </c>
      <c r="E138" t="s">
        <v>142</v>
      </c>
      <c r="F138" t="s">
        <v>143</v>
      </c>
      <c r="G138">
        <v>0.6744444444444444</v>
      </c>
      <c r="H138">
        <v>80069.31</v>
      </c>
      <c r="I138">
        <v>2411</v>
      </c>
      <c r="J138">
        <v>2411</v>
      </c>
      <c r="K138" t="s">
        <v>124</v>
      </c>
    </row>
    <row r="139" spans="1:11" ht="14.25" customHeight="1" x14ac:dyDescent="0.35">
      <c r="A139" t="s">
        <v>136</v>
      </c>
      <c r="B139" s="46">
        <v>46117</v>
      </c>
      <c r="C139" t="s">
        <v>104</v>
      </c>
      <c r="D139" t="s">
        <v>137</v>
      </c>
      <c r="E139" t="s">
        <v>142</v>
      </c>
      <c r="F139" t="s">
        <v>143</v>
      </c>
      <c r="G139">
        <v>0.7155555555555555</v>
      </c>
      <c r="H139">
        <v>76487.16</v>
      </c>
      <c r="I139">
        <v>2551</v>
      </c>
      <c r="J139">
        <v>2551</v>
      </c>
      <c r="K139" t="s">
        <v>124</v>
      </c>
    </row>
    <row r="140" spans="1:11" ht="14.25" customHeight="1" x14ac:dyDescent="0.35">
      <c r="A140" t="s">
        <v>136</v>
      </c>
      <c r="B140" s="46">
        <v>46123</v>
      </c>
      <c r="C140" t="s">
        <v>106</v>
      </c>
      <c r="D140" t="s">
        <v>137</v>
      </c>
      <c r="E140" t="s">
        <v>140</v>
      </c>
      <c r="F140" t="s">
        <v>141</v>
      </c>
      <c r="G140">
        <v>1.3638888888888889</v>
      </c>
      <c r="H140">
        <v>73870.23000000001</v>
      </c>
      <c r="I140">
        <v>4910</v>
      </c>
      <c r="J140">
        <v>4910</v>
      </c>
      <c r="K140" t="s">
        <v>124</v>
      </c>
    </row>
    <row r="141" spans="1:11" ht="14.25" customHeight="1" x14ac:dyDescent="0.35">
      <c r="A141" t="s">
        <v>136</v>
      </c>
      <c r="B141" s="46">
        <v>46120</v>
      </c>
      <c r="C141" t="s">
        <v>86</v>
      </c>
      <c r="D141" t="s">
        <v>137</v>
      </c>
      <c r="E141" t="s">
        <v>138</v>
      </c>
      <c r="F141" t="s">
        <v>139</v>
      </c>
      <c r="G141">
        <v>0.57944444444444443</v>
      </c>
      <c r="H141">
        <v>71647.22</v>
      </c>
      <c r="I141">
        <v>2086</v>
      </c>
      <c r="J141">
        <v>2086</v>
      </c>
      <c r="K141" t="s">
        <v>124</v>
      </c>
    </row>
    <row r="142" spans="1:11" ht="14.25" customHeight="1" x14ac:dyDescent="0.35">
      <c r="A142" t="s">
        <v>136</v>
      </c>
      <c r="B142" s="46">
        <v>46118</v>
      </c>
      <c r="C142" t="s">
        <v>100</v>
      </c>
      <c r="D142" t="s">
        <v>137</v>
      </c>
      <c r="E142" t="s">
        <v>138</v>
      </c>
      <c r="F142" t="s">
        <v>139</v>
      </c>
      <c r="G142">
        <v>0.72111111111111115</v>
      </c>
      <c r="H142">
        <v>70252.17</v>
      </c>
      <c r="I142">
        <v>2596</v>
      </c>
      <c r="J142">
        <v>2596</v>
      </c>
      <c r="K142" t="s">
        <v>124</v>
      </c>
    </row>
    <row r="143" spans="1:11" ht="14.25" customHeight="1" x14ac:dyDescent="0.35">
      <c r="A143" t="s">
        <v>136</v>
      </c>
      <c r="B143" s="46">
        <v>46118</v>
      </c>
      <c r="C143" t="s">
        <v>99</v>
      </c>
      <c r="D143" t="s">
        <v>137</v>
      </c>
      <c r="E143" t="s">
        <v>138</v>
      </c>
      <c r="F143" t="s">
        <v>139</v>
      </c>
      <c r="G143">
        <v>0.76361111111111113</v>
      </c>
      <c r="H143">
        <v>69562.86</v>
      </c>
      <c r="I143">
        <v>2749</v>
      </c>
      <c r="J143">
        <v>2749</v>
      </c>
      <c r="K143" t="s">
        <v>124</v>
      </c>
    </row>
    <row r="144" spans="1:11" ht="14.25" customHeight="1" x14ac:dyDescent="0.35">
      <c r="A144" t="s">
        <v>136</v>
      </c>
      <c r="B144" s="46">
        <v>46118</v>
      </c>
      <c r="C144" t="s">
        <v>100</v>
      </c>
      <c r="D144" t="s">
        <v>137</v>
      </c>
      <c r="E144" t="s">
        <v>140</v>
      </c>
      <c r="F144" t="s">
        <v>141</v>
      </c>
      <c r="G144">
        <v>0.97972222222222227</v>
      </c>
      <c r="H144">
        <v>68679.02</v>
      </c>
      <c r="I144">
        <v>3527</v>
      </c>
      <c r="J144">
        <v>3527</v>
      </c>
      <c r="K144" t="s">
        <v>124</v>
      </c>
    </row>
    <row r="145" spans="1:11" ht="14.25" customHeight="1" x14ac:dyDescent="0.35">
      <c r="A145" t="s">
        <v>136</v>
      </c>
      <c r="B145" s="46">
        <v>46117</v>
      </c>
      <c r="C145" t="s">
        <v>101</v>
      </c>
      <c r="D145" t="s">
        <v>137</v>
      </c>
      <c r="E145" t="s">
        <v>140</v>
      </c>
      <c r="F145" t="s">
        <v>141</v>
      </c>
      <c r="G145">
        <v>0.8913888888888889</v>
      </c>
      <c r="H145">
        <v>68258.340000000011</v>
      </c>
      <c r="I145">
        <v>3204</v>
      </c>
      <c r="J145">
        <v>3209</v>
      </c>
      <c r="K145" t="s">
        <v>124</v>
      </c>
    </row>
    <row r="146" spans="1:11" ht="14.25" customHeight="1" x14ac:dyDescent="0.35">
      <c r="A146" t="s">
        <v>136</v>
      </c>
      <c r="B146" s="46">
        <v>46118</v>
      </c>
      <c r="C146" t="s">
        <v>103</v>
      </c>
      <c r="D146" t="s">
        <v>137</v>
      </c>
      <c r="E146" t="s">
        <v>138</v>
      </c>
      <c r="F146" t="s">
        <v>139</v>
      </c>
      <c r="G146">
        <v>0.89111111111111108</v>
      </c>
      <c r="H146">
        <v>68224.05</v>
      </c>
      <c r="I146">
        <v>3208</v>
      </c>
      <c r="J146">
        <v>3208</v>
      </c>
      <c r="K146" t="s">
        <v>124</v>
      </c>
    </row>
    <row r="147" spans="1:11" ht="14.25" customHeight="1" x14ac:dyDescent="0.35">
      <c r="A147" t="s">
        <v>136</v>
      </c>
      <c r="B147" s="46">
        <v>46118</v>
      </c>
      <c r="C147" t="s">
        <v>103</v>
      </c>
      <c r="D147" t="s">
        <v>137</v>
      </c>
      <c r="E147" t="s">
        <v>140</v>
      </c>
      <c r="F147" t="s">
        <v>141</v>
      </c>
      <c r="G147">
        <v>0.77444444444444449</v>
      </c>
      <c r="H147">
        <v>68053.69</v>
      </c>
      <c r="I147">
        <v>2788</v>
      </c>
      <c r="J147">
        <v>2788</v>
      </c>
      <c r="K147" t="s">
        <v>124</v>
      </c>
    </row>
    <row r="148" spans="1:11" ht="14.25" customHeight="1" x14ac:dyDescent="0.35">
      <c r="A148" t="s">
        <v>136</v>
      </c>
      <c r="B148" s="46">
        <v>46118</v>
      </c>
      <c r="C148" t="s">
        <v>97</v>
      </c>
      <c r="D148" t="s">
        <v>137</v>
      </c>
      <c r="E148" t="s">
        <v>138</v>
      </c>
      <c r="F148" t="s">
        <v>139</v>
      </c>
      <c r="G148">
        <v>0.8288888888888889</v>
      </c>
      <c r="H148">
        <v>65601.72</v>
      </c>
      <c r="I148">
        <v>2984</v>
      </c>
      <c r="J148">
        <v>2984</v>
      </c>
      <c r="K148" t="s">
        <v>124</v>
      </c>
    </row>
    <row r="149" spans="1:11" ht="14.25" customHeight="1" x14ac:dyDescent="0.35">
      <c r="A149" t="s">
        <v>136</v>
      </c>
      <c r="B149" s="46">
        <v>46118</v>
      </c>
      <c r="C149" t="s">
        <v>106</v>
      </c>
      <c r="D149" t="s">
        <v>137</v>
      </c>
      <c r="E149" t="s">
        <v>140</v>
      </c>
      <c r="F149" t="s">
        <v>141</v>
      </c>
      <c r="G149">
        <v>0.74972222222222218</v>
      </c>
      <c r="H149">
        <v>65187.479999999996</v>
      </c>
      <c r="I149">
        <v>2699</v>
      </c>
      <c r="J149">
        <v>2699</v>
      </c>
      <c r="K149" t="s">
        <v>124</v>
      </c>
    </row>
    <row r="150" spans="1:11" ht="14.25" customHeight="1" x14ac:dyDescent="0.35">
      <c r="A150" t="s">
        <v>136</v>
      </c>
      <c r="B150" s="46">
        <v>46118</v>
      </c>
      <c r="C150" t="s">
        <v>99</v>
      </c>
      <c r="D150" t="s">
        <v>137</v>
      </c>
      <c r="E150" t="s">
        <v>140</v>
      </c>
      <c r="F150" t="s">
        <v>141</v>
      </c>
      <c r="G150">
        <v>0.6594444444444445</v>
      </c>
      <c r="H150">
        <v>60370.82</v>
      </c>
      <c r="I150">
        <v>2374</v>
      </c>
      <c r="J150">
        <v>2374</v>
      </c>
      <c r="K150" t="s">
        <v>124</v>
      </c>
    </row>
    <row r="151" spans="1:11" ht="14.25" customHeight="1" x14ac:dyDescent="0.35">
      <c r="A151" t="s">
        <v>136</v>
      </c>
      <c r="B151" s="46">
        <v>46124</v>
      </c>
      <c r="C151" t="s">
        <v>103</v>
      </c>
      <c r="D151" t="s">
        <v>137</v>
      </c>
      <c r="E151" t="s">
        <v>138</v>
      </c>
      <c r="F151" t="s">
        <v>139</v>
      </c>
      <c r="G151">
        <v>1.7575000000000001</v>
      </c>
      <c r="H151">
        <v>57117.96</v>
      </c>
      <c r="I151">
        <v>2727</v>
      </c>
      <c r="J151">
        <v>6327</v>
      </c>
      <c r="K151" t="s">
        <v>124</v>
      </c>
    </row>
    <row r="152" spans="1:11" ht="14.25" customHeight="1" x14ac:dyDescent="0.35">
      <c r="A152" t="s">
        <v>136</v>
      </c>
      <c r="B152" s="46">
        <v>46124</v>
      </c>
      <c r="C152" t="s">
        <v>93</v>
      </c>
      <c r="D152" t="s">
        <v>137</v>
      </c>
      <c r="E152" t="s">
        <v>138</v>
      </c>
      <c r="F152" t="s">
        <v>139</v>
      </c>
      <c r="G152">
        <v>0.7005555555555556</v>
      </c>
      <c r="H152">
        <v>56346.78</v>
      </c>
      <c r="I152">
        <v>2522</v>
      </c>
      <c r="J152">
        <v>2522</v>
      </c>
      <c r="K152" t="s">
        <v>124</v>
      </c>
    </row>
    <row r="153" spans="1:11" ht="14.25" customHeight="1" x14ac:dyDescent="0.35">
      <c r="A153" t="s">
        <v>136</v>
      </c>
      <c r="B153" s="46">
        <v>46117</v>
      </c>
      <c r="C153" t="s">
        <v>96</v>
      </c>
      <c r="D153" t="s">
        <v>137</v>
      </c>
      <c r="E153" t="s">
        <v>140</v>
      </c>
      <c r="F153" t="s">
        <v>141</v>
      </c>
      <c r="G153">
        <v>0.55944444444444441</v>
      </c>
      <c r="H153">
        <v>52858.36</v>
      </c>
      <c r="I153">
        <v>2014</v>
      </c>
      <c r="J153">
        <v>2014</v>
      </c>
      <c r="K153" t="s">
        <v>124</v>
      </c>
    </row>
    <row r="154" spans="1:11" ht="14.25" customHeight="1" x14ac:dyDescent="0.35">
      <c r="A154" t="s">
        <v>136</v>
      </c>
      <c r="B154" s="46">
        <v>46123</v>
      </c>
      <c r="C154" t="s">
        <v>97</v>
      </c>
      <c r="D154" t="s">
        <v>137</v>
      </c>
      <c r="E154" t="s">
        <v>138</v>
      </c>
      <c r="F154" t="s">
        <v>139</v>
      </c>
      <c r="G154">
        <v>0.49583333333333335</v>
      </c>
      <c r="H154">
        <v>49686.55</v>
      </c>
      <c r="I154">
        <v>1785</v>
      </c>
      <c r="J154">
        <v>1785</v>
      </c>
      <c r="K154" t="s">
        <v>124</v>
      </c>
    </row>
    <row r="155" spans="1:11" ht="14.25" customHeight="1" x14ac:dyDescent="0.35">
      <c r="A155" t="s">
        <v>136</v>
      </c>
      <c r="B155" s="46">
        <v>46117</v>
      </c>
      <c r="C155" t="s">
        <v>107</v>
      </c>
      <c r="D155" t="s">
        <v>137</v>
      </c>
      <c r="E155" t="s">
        <v>138</v>
      </c>
      <c r="F155" t="s">
        <v>139</v>
      </c>
      <c r="G155">
        <v>0.56916666666666671</v>
      </c>
      <c r="H155">
        <v>48513.33</v>
      </c>
      <c r="I155">
        <v>2049</v>
      </c>
      <c r="J155">
        <v>2049</v>
      </c>
      <c r="K155" t="s">
        <v>124</v>
      </c>
    </row>
    <row r="156" spans="1:11" ht="14.25" customHeight="1" x14ac:dyDescent="0.35">
      <c r="A156" t="s">
        <v>136</v>
      </c>
      <c r="B156" s="46">
        <v>46122</v>
      </c>
      <c r="C156" t="s">
        <v>86</v>
      </c>
      <c r="D156" t="s">
        <v>137</v>
      </c>
      <c r="E156" t="s">
        <v>138</v>
      </c>
      <c r="F156" t="s">
        <v>139</v>
      </c>
      <c r="G156">
        <v>0.36361111111111111</v>
      </c>
      <c r="H156">
        <v>44111.770000000004</v>
      </c>
      <c r="I156">
        <v>1309</v>
      </c>
      <c r="J156">
        <v>1309</v>
      </c>
      <c r="K156" t="s">
        <v>124</v>
      </c>
    </row>
    <row r="157" spans="1:11" ht="14.25" customHeight="1" x14ac:dyDescent="0.35">
      <c r="A157" t="s">
        <v>136</v>
      </c>
      <c r="B157" s="46">
        <v>46117</v>
      </c>
      <c r="C157" t="s">
        <v>106</v>
      </c>
      <c r="D157" t="s">
        <v>137</v>
      </c>
      <c r="E157" t="s">
        <v>138</v>
      </c>
      <c r="F157" t="s">
        <v>139</v>
      </c>
      <c r="G157">
        <v>0.3947222222222222</v>
      </c>
      <c r="H157">
        <v>41838.400000000001</v>
      </c>
      <c r="I157">
        <v>1421</v>
      </c>
      <c r="J157">
        <v>1421</v>
      </c>
      <c r="K157" t="s">
        <v>124</v>
      </c>
    </row>
    <row r="158" spans="1:11" ht="14.25" customHeight="1" x14ac:dyDescent="0.35">
      <c r="A158" t="s">
        <v>136</v>
      </c>
      <c r="B158" s="46">
        <v>46124</v>
      </c>
      <c r="C158" t="s">
        <v>93</v>
      </c>
      <c r="D158" t="s">
        <v>137</v>
      </c>
      <c r="E158" t="s">
        <v>140</v>
      </c>
      <c r="F158" t="s">
        <v>141</v>
      </c>
      <c r="G158">
        <v>0.60333333333333339</v>
      </c>
      <c r="H158">
        <v>41086.33</v>
      </c>
      <c r="I158">
        <v>2172</v>
      </c>
      <c r="J158">
        <v>2172</v>
      </c>
      <c r="K158" t="s">
        <v>124</v>
      </c>
    </row>
    <row r="159" spans="1:11" ht="14.25" customHeight="1" x14ac:dyDescent="0.35">
      <c r="A159" t="s">
        <v>136</v>
      </c>
      <c r="B159" s="46">
        <v>46124</v>
      </c>
      <c r="C159" t="s">
        <v>103</v>
      </c>
      <c r="D159" t="s">
        <v>137</v>
      </c>
      <c r="E159" t="s">
        <v>140</v>
      </c>
      <c r="F159" t="s">
        <v>141</v>
      </c>
      <c r="G159">
        <v>0.59722222222222221</v>
      </c>
      <c r="H159">
        <v>40859.899999999994</v>
      </c>
      <c r="I159">
        <v>2150</v>
      </c>
      <c r="J159">
        <v>2150</v>
      </c>
      <c r="K159" t="s">
        <v>124</v>
      </c>
    </row>
    <row r="160" spans="1:11" ht="14.25" customHeight="1" x14ac:dyDescent="0.35">
      <c r="A160" t="s">
        <v>136</v>
      </c>
      <c r="B160" s="46">
        <v>46123</v>
      </c>
      <c r="C160" t="s">
        <v>97</v>
      </c>
      <c r="D160" t="s">
        <v>137</v>
      </c>
      <c r="E160" t="s">
        <v>140</v>
      </c>
      <c r="F160" t="s">
        <v>141</v>
      </c>
      <c r="G160">
        <v>0.5872222222222222</v>
      </c>
      <c r="H160">
        <v>40544.140000000007</v>
      </c>
      <c r="I160">
        <v>2114</v>
      </c>
      <c r="J160">
        <v>2114</v>
      </c>
      <c r="K160" t="s">
        <v>124</v>
      </c>
    </row>
    <row r="161" spans="1:11" ht="14.25" customHeight="1" x14ac:dyDescent="0.35">
      <c r="A161" t="s">
        <v>136</v>
      </c>
      <c r="B161" s="46">
        <v>46120</v>
      </c>
      <c r="C161" t="s">
        <v>106</v>
      </c>
      <c r="D161" t="s">
        <v>137</v>
      </c>
      <c r="E161" t="s">
        <v>138</v>
      </c>
      <c r="F161" t="s">
        <v>139</v>
      </c>
      <c r="G161">
        <v>0.56499999999999995</v>
      </c>
      <c r="H161">
        <v>40171.5</v>
      </c>
      <c r="I161">
        <v>2034</v>
      </c>
      <c r="J161">
        <v>2034</v>
      </c>
      <c r="K161" t="s">
        <v>124</v>
      </c>
    </row>
    <row r="162" spans="1:11" ht="14.25" customHeight="1" x14ac:dyDescent="0.35">
      <c r="A162" t="s">
        <v>136</v>
      </c>
      <c r="B162" s="46">
        <v>46117</v>
      </c>
      <c r="C162" t="s">
        <v>104</v>
      </c>
      <c r="D162" t="s">
        <v>137</v>
      </c>
      <c r="E162" t="s">
        <v>140</v>
      </c>
      <c r="F162" t="s">
        <v>141</v>
      </c>
      <c r="G162">
        <v>0.74527777777777782</v>
      </c>
      <c r="H162">
        <v>37451.120000000003</v>
      </c>
      <c r="I162">
        <v>2683</v>
      </c>
      <c r="J162">
        <v>2683</v>
      </c>
      <c r="K162" t="s">
        <v>124</v>
      </c>
    </row>
    <row r="163" spans="1:11" ht="14.25" customHeight="1" x14ac:dyDescent="0.35">
      <c r="A163" t="s">
        <v>136</v>
      </c>
      <c r="B163" s="46">
        <v>46117</v>
      </c>
      <c r="C163" t="s">
        <v>81</v>
      </c>
      <c r="D163" t="s">
        <v>137</v>
      </c>
      <c r="E163" t="s">
        <v>146</v>
      </c>
      <c r="F163" t="s">
        <v>147</v>
      </c>
      <c r="G163">
        <v>0.73916666666666664</v>
      </c>
      <c r="H163">
        <v>35303.399999999994</v>
      </c>
      <c r="I163">
        <v>1507</v>
      </c>
      <c r="J163">
        <v>1587</v>
      </c>
      <c r="K163" t="s">
        <v>124</v>
      </c>
    </row>
    <row r="164" spans="1:11" ht="14.25" customHeight="1" x14ac:dyDescent="0.35">
      <c r="A164" t="s">
        <v>136</v>
      </c>
      <c r="B164" s="46">
        <v>46119</v>
      </c>
      <c r="C164" t="s">
        <v>99</v>
      </c>
      <c r="D164" t="s">
        <v>137</v>
      </c>
      <c r="E164" t="s">
        <v>140</v>
      </c>
      <c r="F164" t="s">
        <v>141</v>
      </c>
      <c r="G164">
        <v>0.64083333333333337</v>
      </c>
      <c r="H164">
        <v>34581.93</v>
      </c>
      <c r="I164">
        <v>2307</v>
      </c>
      <c r="J164">
        <v>2307</v>
      </c>
      <c r="K164" t="s">
        <v>124</v>
      </c>
    </row>
    <row r="165" spans="1:11" ht="14.25" customHeight="1" x14ac:dyDescent="0.35">
      <c r="A165" t="s">
        <v>136</v>
      </c>
      <c r="B165" s="46">
        <v>46120</v>
      </c>
      <c r="C165" t="s">
        <v>101</v>
      </c>
      <c r="D165" t="s">
        <v>137</v>
      </c>
      <c r="E165" t="s">
        <v>138</v>
      </c>
      <c r="F165" t="s">
        <v>139</v>
      </c>
      <c r="G165">
        <v>0.32111111111111112</v>
      </c>
      <c r="H165">
        <v>33211.879999999997</v>
      </c>
      <c r="I165">
        <v>1156</v>
      </c>
      <c r="J165">
        <v>1156</v>
      </c>
      <c r="K165" t="s">
        <v>124</v>
      </c>
    </row>
    <row r="166" spans="1:11" ht="14.25" customHeight="1" x14ac:dyDescent="0.35">
      <c r="A166" t="s">
        <v>136</v>
      </c>
      <c r="B166" s="46">
        <v>46118</v>
      </c>
      <c r="C166" t="s">
        <v>81</v>
      </c>
      <c r="D166" t="s">
        <v>137</v>
      </c>
      <c r="E166" t="s">
        <v>138</v>
      </c>
      <c r="F166" t="s">
        <v>139</v>
      </c>
      <c r="G166">
        <v>0.6841666666666667</v>
      </c>
      <c r="H166">
        <v>33045.270000000004</v>
      </c>
      <c r="I166">
        <v>2463</v>
      </c>
      <c r="J166">
        <v>2463</v>
      </c>
      <c r="K166" t="s">
        <v>124</v>
      </c>
    </row>
    <row r="167" spans="1:11" ht="14.25" customHeight="1" x14ac:dyDescent="0.35">
      <c r="A167" t="s">
        <v>136</v>
      </c>
      <c r="B167" s="46">
        <v>46118</v>
      </c>
      <c r="C167" t="s">
        <v>93</v>
      </c>
      <c r="D167" t="s">
        <v>137</v>
      </c>
      <c r="E167" t="s">
        <v>142</v>
      </c>
      <c r="F167" t="s">
        <v>143</v>
      </c>
      <c r="G167">
        <v>1.1069444444444445</v>
      </c>
      <c r="H167">
        <v>32695.9</v>
      </c>
      <c r="I167">
        <v>1843</v>
      </c>
      <c r="J167">
        <v>2098</v>
      </c>
      <c r="K167" t="s">
        <v>124</v>
      </c>
    </row>
    <row r="168" spans="1:11" ht="14.25" customHeight="1" x14ac:dyDescent="0.35">
      <c r="A168" t="s">
        <v>136</v>
      </c>
      <c r="B168" s="46">
        <v>46118</v>
      </c>
      <c r="C168" t="s">
        <v>86</v>
      </c>
      <c r="D168" t="s">
        <v>137</v>
      </c>
      <c r="E168" t="s">
        <v>142</v>
      </c>
      <c r="F168" t="s">
        <v>143</v>
      </c>
      <c r="G168">
        <v>1.1605555555555556</v>
      </c>
      <c r="H168">
        <v>32189.35</v>
      </c>
      <c r="I168">
        <v>1239</v>
      </c>
      <c r="J168">
        <v>1693</v>
      </c>
      <c r="K168" t="s">
        <v>124</v>
      </c>
    </row>
    <row r="169" spans="1:11" ht="14.25" customHeight="1" x14ac:dyDescent="0.35">
      <c r="A169" t="s">
        <v>136</v>
      </c>
      <c r="B169" s="46">
        <v>46117</v>
      </c>
      <c r="C169" t="s">
        <v>100</v>
      </c>
      <c r="D169" t="s">
        <v>137</v>
      </c>
      <c r="E169" t="s">
        <v>142</v>
      </c>
      <c r="F169" t="s">
        <v>143</v>
      </c>
      <c r="G169">
        <v>3.8191666666666668</v>
      </c>
      <c r="H169">
        <v>30458</v>
      </c>
      <c r="I169">
        <v>752</v>
      </c>
      <c r="J169">
        <v>848</v>
      </c>
      <c r="K169" t="s">
        <v>124</v>
      </c>
    </row>
    <row r="170" spans="1:11" ht="14.25" customHeight="1" x14ac:dyDescent="0.35">
      <c r="A170" t="s">
        <v>136</v>
      </c>
      <c r="B170" s="46">
        <v>46117</v>
      </c>
      <c r="C170" t="s">
        <v>101</v>
      </c>
      <c r="D170" t="s">
        <v>137</v>
      </c>
      <c r="E170" t="s">
        <v>142</v>
      </c>
      <c r="F170" t="s">
        <v>143</v>
      </c>
      <c r="G170">
        <v>0.54305555555555551</v>
      </c>
      <c r="H170">
        <v>30213.72</v>
      </c>
      <c r="I170">
        <v>1659</v>
      </c>
      <c r="J170">
        <v>1887</v>
      </c>
      <c r="K170" t="s">
        <v>124</v>
      </c>
    </row>
    <row r="171" spans="1:11" ht="14.25" customHeight="1" x14ac:dyDescent="0.35">
      <c r="A171" t="s">
        <v>136</v>
      </c>
      <c r="B171" s="46">
        <v>46118</v>
      </c>
      <c r="C171" t="s">
        <v>103</v>
      </c>
      <c r="D171" t="s">
        <v>137</v>
      </c>
      <c r="E171" t="s">
        <v>142</v>
      </c>
      <c r="F171" t="s">
        <v>143</v>
      </c>
      <c r="G171">
        <v>1.0216666666666667</v>
      </c>
      <c r="H171">
        <v>29902.960000000003</v>
      </c>
      <c r="I171">
        <v>1697</v>
      </c>
      <c r="J171">
        <v>1879</v>
      </c>
      <c r="K171" t="s">
        <v>124</v>
      </c>
    </row>
    <row r="172" spans="1:11" ht="14.25" customHeight="1" x14ac:dyDescent="0.35">
      <c r="A172" t="s">
        <v>136</v>
      </c>
      <c r="B172" s="46">
        <v>46124</v>
      </c>
      <c r="C172" t="s">
        <v>99</v>
      </c>
      <c r="D172" t="s">
        <v>137</v>
      </c>
      <c r="E172" t="s">
        <v>154</v>
      </c>
      <c r="F172" t="s">
        <v>155</v>
      </c>
      <c r="G172">
        <v>2.8163888888888891</v>
      </c>
      <c r="H172">
        <v>29152.75</v>
      </c>
      <c r="I172">
        <v>3942</v>
      </c>
      <c r="J172">
        <v>5004</v>
      </c>
      <c r="K172" t="s">
        <v>124</v>
      </c>
    </row>
    <row r="173" spans="1:11" ht="14.25" customHeight="1" x14ac:dyDescent="0.35">
      <c r="A173" t="s">
        <v>136</v>
      </c>
      <c r="B173" s="46">
        <v>46124</v>
      </c>
      <c r="C173" t="s">
        <v>88</v>
      </c>
      <c r="D173" t="s">
        <v>137</v>
      </c>
      <c r="E173" t="s">
        <v>154</v>
      </c>
      <c r="F173" t="s">
        <v>155</v>
      </c>
      <c r="G173">
        <v>2.8802777777777777</v>
      </c>
      <c r="H173">
        <v>28512.769999999997</v>
      </c>
      <c r="I173">
        <v>3633</v>
      </c>
      <c r="J173">
        <v>4177</v>
      </c>
      <c r="K173" t="s">
        <v>124</v>
      </c>
    </row>
    <row r="174" spans="1:11" ht="14.25" customHeight="1" x14ac:dyDescent="0.35">
      <c r="A174" t="s">
        <v>136</v>
      </c>
      <c r="B174" s="46">
        <v>46118</v>
      </c>
      <c r="C174" t="s">
        <v>90</v>
      </c>
      <c r="D174" t="s">
        <v>137</v>
      </c>
      <c r="E174" t="s">
        <v>142</v>
      </c>
      <c r="F174" t="s">
        <v>143</v>
      </c>
      <c r="G174">
        <v>0.29694444444444446</v>
      </c>
      <c r="H174">
        <v>26687.539999999997</v>
      </c>
      <c r="I174">
        <v>1034</v>
      </c>
      <c r="J174">
        <v>1034</v>
      </c>
      <c r="K174" t="s">
        <v>124</v>
      </c>
    </row>
    <row r="175" spans="1:11" ht="14.25" customHeight="1" x14ac:dyDescent="0.35">
      <c r="A175" t="s">
        <v>136</v>
      </c>
      <c r="B175" s="46">
        <v>46119</v>
      </c>
      <c r="C175" t="s">
        <v>93</v>
      </c>
      <c r="D175" t="s">
        <v>137</v>
      </c>
      <c r="E175" t="s">
        <v>138</v>
      </c>
      <c r="F175" t="s">
        <v>139</v>
      </c>
      <c r="G175">
        <v>0.33277777777777778</v>
      </c>
      <c r="H175">
        <v>26042.560000000001</v>
      </c>
      <c r="I175">
        <v>1198</v>
      </c>
      <c r="J175">
        <v>1198</v>
      </c>
      <c r="K175" t="s">
        <v>124</v>
      </c>
    </row>
    <row r="176" spans="1:11" ht="14.25" customHeight="1" x14ac:dyDescent="0.35">
      <c r="A176" t="s">
        <v>136</v>
      </c>
      <c r="B176" s="46">
        <v>46117</v>
      </c>
      <c r="C176" t="s">
        <v>98</v>
      </c>
      <c r="D176" t="s">
        <v>137</v>
      </c>
      <c r="E176" t="s">
        <v>140</v>
      </c>
      <c r="F176" t="s">
        <v>141</v>
      </c>
      <c r="G176">
        <v>0.25666666666666665</v>
      </c>
      <c r="H176">
        <v>25650.240000000002</v>
      </c>
      <c r="I176">
        <v>924</v>
      </c>
      <c r="J176">
        <v>924</v>
      </c>
      <c r="K176" t="s">
        <v>124</v>
      </c>
    </row>
    <row r="177" spans="1:11" ht="14.25" customHeight="1" x14ac:dyDescent="0.35">
      <c r="A177" t="s">
        <v>136</v>
      </c>
      <c r="B177" s="46">
        <v>46117</v>
      </c>
      <c r="C177" t="s">
        <v>109</v>
      </c>
      <c r="D177" t="s">
        <v>137</v>
      </c>
      <c r="E177" t="s">
        <v>142</v>
      </c>
      <c r="F177" t="s">
        <v>143</v>
      </c>
      <c r="G177">
        <v>0.19472222222222221</v>
      </c>
      <c r="H177">
        <v>25058.16</v>
      </c>
      <c r="I177">
        <v>648</v>
      </c>
      <c r="J177">
        <v>648</v>
      </c>
      <c r="K177" t="s">
        <v>124</v>
      </c>
    </row>
    <row r="178" spans="1:11" ht="14.25" customHeight="1" x14ac:dyDescent="0.35">
      <c r="A178" t="s">
        <v>136</v>
      </c>
      <c r="B178" s="46">
        <v>46124</v>
      </c>
      <c r="C178" t="s">
        <v>90</v>
      </c>
      <c r="D178" t="s">
        <v>137</v>
      </c>
      <c r="E178" t="s">
        <v>154</v>
      </c>
      <c r="F178" t="s">
        <v>155</v>
      </c>
      <c r="G178">
        <v>5.1930555555555555</v>
      </c>
      <c r="H178">
        <v>24945.390000000003</v>
      </c>
      <c r="I178">
        <v>2518</v>
      </c>
      <c r="J178">
        <v>3617</v>
      </c>
      <c r="K178" t="s">
        <v>124</v>
      </c>
    </row>
    <row r="179" spans="1:11" ht="14.25" customHeight="1" x14ac:dyDescent="0.35">
      <c r="A179" t="s">
        <v>136</v>
      </c>
      <c r="B179" s="46">
        <v>46124</v>
      </c>
      <c r="C179" t="s">
        <v>85</v>
      </c>
      <c r="D179" t="s">
        <v>137</v>
      </c>
      <c r="E179" t="s">
        <v>142</v>
      </c>
      <c r="F179" t="s">
        <v>143</v>
      </c>
      <c r="G179">
        <v>0.28999999999999998</v>
      </c>
      <c r="H179">
        <v>23657.200000000001</v>
      </c>
      <c r="I179">
        <v>980</v>
      </c>
      <c r="J179">
        <v>980</v>
      </c>
      <c r="K179" t="s">
        <v>124</v>
      </c>
    </row>
    <row r="180" spans="1:11" ht="14.25" customHeight="1" x14ac:dyDescent="0.35">
      <c r="A180" t="s">
        <v>136</v>
      </c>
      <c r="B180" s="46">
        <v>46124</v>
      </c>
      <c r="C180" t="s">
        <v>95</v>
      </c>
      <c r="D180" t="s">
        <v>137</v>
      </c>
      <c r="E180" t="s">
        <v>154</v>
      </c>
      <c r="F180" t="s">
        <v>155</v>
      </c>
      <c r="G180">
        <v>2.3174999999999999</v>
      </c>
      <c r="H180">
        <v>23504.69</v>
      </c>
      <c r="I180">
        <v>2575</v>
      </c>
      <c r="J180">
        <v>2796</v>
      </c>
      <c r="K180" t="s">
        <v>124</v>
      </c>
    </row>
    <row r="181" spans="1:11" ht="14.25" customHeight="1" x14ac:dyDescent="0.35">
      <c r="A181" t="s">
        <v>136</v>
      </c>
      <c r="B181" s="46">
        <v>46123</v>
      </c>
      <c r="C181" t="s">
        <v>103</v>
      </c>
      <c r="D181" t="s">
        <v>137</v>
      </c>
      <c r="E181" t="s">
        <v>142</v>
      </c>
      <c r="F181" t="s">
        <v>143</v>
      </c>
      <c r="G181">
        <v>0.6694444444444444</v>
      </c>
      <c r="H181">
        <v>23234.55</v>
      </c>
      <c r="I181">
        <v>1613</v>
      </c>
      <c r="J181">
        <v>1613</v>
      </c>
      <c r="K181" t="s">
        <v>124</v>
      </c>
    </row>
    <row r="182" spans="1:11" ht="14.25" customHeight="1" x14ac:dyDescent="0.35">
      <c r="A182" t="s">
        <v>136</v>
      </c>
      <c r="B182" s="46">
        <v>46117</v>
      </c>
      <c r="C182" t="s">
        <v>93</v>
      </c>
      <c r="D182" t="s">
        <v>137</v>
      </c>
      <c r="E182" t="s">
        <v>142</v>
      </c>
      <c r="F182" t="s">
        <v>143</v>
      </c>
      <c r="G182">
        <v>0.17444444444444446</v>
      </c>
      <c r="H182">
        <v>22231.200000000001</v>
      </c>
      <c r="I182">
        <v>628</v>
      </c>
      <c r="J182">
        <v>628</v>
      </c>
      <c r="K182" t="s">
        <v>124</v>
      </c>
    </row>
    <row r="183" spans="1:11" ht="14.25" customHeight="1" x14ac:dyDescent="0.35">
      <c r="A183" t="s">
        <v>136</v>
      </c>
      <c r="B183" s="46">
        <v>46123</v>
      </c>
      <c r="C183" t="s">
        <v>90</v>
      </c>
      <c r="D183" t="s">
        <v>137</v>
      </c>
      <c r="E183" t="s">
        <v>142</v>
      </c>
      <c r="F183" t="s">
        <v>143</v>
      </c>
      <c r="G183">
        <v>0.32861111111111113</v>
      </c>
      <c r="H183">
        <v>22164.240000000002</v>
      </c>
      <c r="I183">
        <v>1169</v>
      </c>
      <c r="J183">
        <v>1169</v>
      </c>
      <c r="K183" t="s">
        <v>124</v>
      </c>
    </row>
    <row r="184" spans="1:11" ht="14.25" customHeight="1" x14ac:dyDescent="0.35">
      <c r="A184" t="s">
        <v>136</v>
      </c>
      <c r="B184" s="46">
        <v>46120</v>
      </c>
      <c r="C184" t="s">
        <v>106</v>
      </c>
      <c r="D184" t="s">
        <v>137</v>
      </c>
      <c r="E184" t="s">
        <v>142</v>
      </c>
      <c r="F184" t="s">
        <v>143</v>
      </c>
      <c r="G184">
        <v>0.22194444444444444</v>
      </c>
      <c r="H184">
        <v>21953.91</v>
      </c>
      <c r="I184">
        <v>781</v>
      </c>
      <c r="J184">
        <v>781</v>
      </c>
      <c r="K184" t="s">
        <v>124</v>
      </c>
    </row>
    <row r="185" spans="1:11" ht="14.25" customHeight="1" x14ac:dyDescent="0.35">
      <c r="A185" t="s">
        <v>136</v>
      </c>
      <c r="B185" s="46">
        <v>46124</v>
      </c>
      <c r="C185" t="s">
        <v>81</v>
      </c>
      <c r="D185" t="s">
        <v>137</v>
      </c>
      <c r="E185" t="s">
        <v>154</v>
      </c>
      <c r="F185" t="s">
        <v>155</v>
      </c>
      <c r="G185">
        <v>4.0475000000000003</v>
      </c>
      <c r="H185">
        <v>21586.659999999996</v>
      </c>
      <c r="I185">
        <v>2580</v>
      </c>
      <c r="J185">
        <v>2988</v>
      </c>
      <c r="K185" t="s">
        <v>124</v>
      </c>
    </row>
    <row r="186" spans="1:11" ht="14.25" customHeight="1" x14ac:dyDescent="0.35">
      <c r="A186" t="s">
        <v>136</v>
      </c>
      <c r="B186" s="46">
        <v>46117</v>
      </c>
      <c r="C186" t="s">
        <v>81</v>
      </c>
      <c r="D186" t="s">
        <v>137</v>
      </c>
      <c r="E186" t="s">
        <v>142</v>
      </c>
      <c r="F186" t="s">
        <v>143</v>
      </c>
      <c r="G186">
        <v>5.6772222222222224</v>
      </c>
      <c r="H186">
        <v>21238</v>
      </c>
      <c r="I186">
        <v>700</v>
      </c>
      <c r="J186">
        <v>740</v>
      </c>
      <c r="K186" t="s">
        <v>124</v>
      </c>
    </row>
    <row r="187" spans="1:11" ht="14.25" customHeight="1" x14ac:dyDescent="0.35">
      <c r="A187" t="s">
        <v>136</v>
      </c>
      <c r="B187" s="46">
        <v>46124</v>
      </c>
      <c r="C187" t="s">
        <v>106</v>
      </c>
      <c r="D187" t="s">
        <v>137</v>
      </c>
      <c r="E187" t="s">
        <v>154</v>
      </c>
      <c r="F187" t="s">
        <v>155</v>
      </c>
      <c r="G187">
        <v>4.0577777777777779</v>
      </c>
      <c r="H187">
        <v>20407.75</v>
      </c>
      <c r="I187">
        <v>3006</v>
      </c>
      <c r="J187">
        <v>3687</v>
      </c>
      <c r="K187" t="s">
        <v>124</v>
      </c>
    </row>
    <row r="188" spans="1:11" ht="14.25" customHeight="1" x14ac:dyDescent="0.35">
      <c r="A188" t="s">
        <v>136</v>
      </c>
      <c r="B188" s="46">
        <v>46124</v>
      </c>
      <c r="C188" t="s">
        <v>104</v>
      </c>
      <c r="D188" t="s">
        <v>137</v>
      </c>
      <c r="E188" t="s">
        <v>154</v>
      </c>
      <c r="F188" t="s">
        <v>155</v>
      </c>
      <c r="G188">
        <v>3.1825000000000001</v>
      </c>
      <c r="H188">
        <v>19888.219999999998</v>
      </c>
      <c r="I188">
        <v>2338</v>
      </c>
      <c r="J188">
        <v>2625</v>
      </c>
      <c r="K188" t="s">
        <v>124</v>
      </c>
    </row>
    <row r="189" spans="1:11" ht="14.25" customHeight="1" x14ac:dyDescent="0.35">
      <c r="A189" t="s">
        <v>136</v>
      </c>
      <c r="B189" s="46">
        <v>46124</v>
      </c>
      <c r="C189" t="s">
        <v>96</v>
      </c>
      <c r="D189" t="s">
        <v>137</v>
      </c>
      <c r="E189" t="s">
        <v>154</v>
      </c>
      <c r="F189" t="s">
        <v>155</v>
      </c>
      <c r="G189">
        <v>2.4541666666666666</v>
      </c>
      <c r="H189">
        <v>19036.259999999998</v>
      </c>
      <c r="I189">
        <v>2208</v>
      </c>
      <c r="J189">
        <v>2687</v>
      </c>
      <c r="K189" t="s">
        <v>124</v>
      </c>
    </row>
    <row r="190" spans="1:11" ht="14.25" customHeight="1" x14ac:dyDescent="0.35">
      <c r="A190" t="s">
        <v>136</v>
      </c>
      <c r="B190" s="46">
        <v>46117</v>
      </c>
      <c r="C190" t="s">
        <v>96</v>
      </c>
      <c r="D190" t="s">
        <v>137</v>
      </c>
      <c r="E190" t="s">
        <v>148</v>
      </c>
      <c r="F190" t="s">
        <v>149</v>
      </c>
      <c r="G190">
        <v>0.27055555555555555</v>
      </c>
      <c r="H190">
        <v>18904.09</v>
      </c>
      <c r="I190">
        <v>932</v>
      </c>
      <c r="J190">
        <v>974</v>
      </c>
      <c r="K190" t="s">
        <v>124</v>
      </c>
    </row>
    <row r="191" spans="1:11" ht="14.25" customHeight="1" x14ac:dyDescent="0.35">
      <c r="A191" t="s">
        <v>136</v>
      </c>
      <c r="B191" s="46">
        <v>46121</v>
      </c>
      <c r="C191" t="s">
        <v>98</v>
      </c>
      <c r="D191" t="s">
        <v>137</v>
      </c>
      <c r="E191" t="s">
        <v>138</v>
      </c>
      <c r="F191" t="s">
        <v>139</v>
      </c>
      <c r="G191">
        <v>0.20416666666666666</v>
      </c>
      <c r="H191">
        <v>17840.349999999999</v>
      </c>
      <c r="I191">
        <v>735</v>
      </c>
      <c r="J191">
        <v>735</v>
      </c>
      <c r="K191" t="s">
        <v>124</v>
      </c>
    </row>
    <row r="192" spans="1:11" ht="14.25" customHeight="1" x14ac:dyDescent="0.35">
      <c r="A192" t="s">
        <v>136</v>
      </c>
      <c r="B192" s="46">
        <v>46124</v>
      </c>
      <c r="C192" t="s">
        <v>106</v>
      </c>
      <c r="D192" t="s">
        <v>137</v>
      </c>
      <c r="E192" t="s">
        <v>152</v>
      </c>
      <c r="F192" t="s">
        <v>153</v>
      </c>
      <c r="G192">
        <v>0.55083333333333329</v>
      </c>
      <c r="H192">
        <v>17473.04</v>
      </c>
      <c r="I192">
        <v>1204</v>
      </c>
      <c r="J192">
        <v>1319</v>
      </c>
      <c r="K192" t="s">
        <v>124</v>
      </c>
    </row>
    <row r="193" spans="1:11" ht="14.25" customHeight="1" x14ac:dyDescent="0.35">
      <c r="A193" t="s">
        <v>136</v>
      </c>
      <c r="B193" s="46">
        <v>46124</v>
      </c>
      <c r="C193" t="s">
        <v>101</v>
      </c>
      <c r="D193" t="s">
        <v>137</v>
      </c>
      <c r="E193" t="s">
        <v>154</v>
      </c>
      <c r="F193" t="s">
        <v>155</v>
      </c>
      <c r="G193">
        <v>4.1866666666666665</v>
      </c>
      <c r="H193">
        <v>17050.43</v>
      </c>
      <c r="I193">
        <v>2346</v>
      </c>
      <c r="J193">
        <v>2903</v>
      </c>
      <c r="K193" t="s">
        <v>124</v>
      </c>
    </row>
    <row r="194" spans="1:11" ht="14.25" customHeight="1" x14ac:dyDescent="0.35">
      <c r="A194" t="s">
        <v>136</v>
      </c>
      <c r="B194" s="46">
        <v>46124</v>
      </c>
      <c r="C194" t="s">
        <v>100</v>
      </c>
      <c r="D194" t="s">
        <v>137</v>
      </c>
      <c r="E194" t="s">
        <v>154</v>
      </c>
      <c r="F194" t="s">
        <v>155</v>
      </c>
      <c r="G194">
        <v>1.2119444444444445</v>
      </c>
      <c r="H194">
        <v>16898.370000000003</v>
      </c>
      <c r="I194">
        <v>1977</v>
      </c>
      <c r="J194">
        <v>2487</v>
      </c>
      <c r="K194" t="s">
        <v>124</v>
      </c>
    </row>
    <row r="195" spans="1:11" ht="14.25" customHeight="1" x14ac:dyDescent="0.35">
      <c r="A195" t="s">
        <v>136</v>
      </c>
      <c r="B195" s="46">
        <v>46124</v>
      </c>
      <c r="C195" t="s">
        <v>103</v>
      </c>
      <c r="D195" t="s">
        <v>137</v>
      </c>
      <c r="E195" t="s">
        <v>154</v>
      </c>
      <c r="F195" t="s">
        <v>155</v>
      </c>
      <c r="G195">
        <v>3.7141666666666668</v>
      </c>
      <c r="H195">
        <v>16506.259999999998</v>
      </c>
      <c r="I195">
        <v>2389</v>
      </c>
      <c r="J195">
        <v>2781</v>
      </c>
      <c r="K195" t="s">
        <v>124</v>
      </c>
    </row>
    <row r="196" spans="1:11" ht="14.25" customHeight="1" x14ac:dyDescent="0.35">
      <c r="A196" t="s">
        <v>136</v>
      </c>
      <c r="B196" s="46">
        <v>46117</v>
      </c>
      <c r="C196" t="s">
        <v>85</v>
      </c>
      <c r="D196" t="s">
        <v>137</v>
      </c>
      <c r="E196" t="s">
        <v>142</v>
      </c>
      <c r="F196" t="s">
        <v>143</v>
      </c>
      <c r="G196">
        <v>0.1438888888888889</v>
      </c>
      <c r="H196">
        <v>15286.35</v>
      </c>
      <c r="I196">
        <v>505</v>
      </c>
      <c r="J196">
        <v>505</v>
      </c>
      <c r="K196" t="s">
        <v>124</v>
      </c>
    </row>
    <row r="197" spans="1:11" ht="14.25" customHeight="1" x14ac:dyDescent="0.35">
      <c r="A197" t="s">
        <v>136</v>
      </c>
      <c r="B197" s="46">
        <v>46119</v>
      </c>
      <c r="C197" t="s">
        <v>86</v>
      </c>
      <c r="D197" t="s">
        <v>137</v>
      </c>
      <c r="E197" t="s">
        <v>138</v>
      </c>
      <c r="F197" t="s">
        <v>139</v>
      </c>
      <c r="G197">
        <v>0.42138888888888887</v>
      </c>
      <c r="H197">
        <v>15178.23</v>
      </c>
      <c r="I197">
        <v>1517</v>
      </c>
      <c r="J197">
        <v>1517</v>
      </c>
      <c r="K197" t="s">
        <v>124</v>
      </c>
    </row>
    <row r="198" spans="1:11" ht="14.25" customHeight="1" x14ac:dyDescent="0.35">
      <c r="A198" t="s">
        <v>136</v>
      </c>
      <c r="B198" s="46">
        <v>46118</v>
      </c>
      <c r="C198" t="s">
        <v>109</v>
      </c>
      <c r="D198" t="s">
        <v>137</v>
      </c>
      <c r="E198" t="s">
        <v>150</v>
      </c>
      <c r="F198" t="s">
        <v>151</v>
      </c>
      <c r="G198">
        <v>1.5663888888888888</v>
      </c>
      <c r="H198">
        <v>14639.34</v>
      </c>
      <c r="I198">
        <v>1797</v>
      </c>
      <c r="J198">
        <v>1959</v>
      </c>
      <c r="K198" t="s">
        <v>124</v>
      </c>
    </row>
    <row r="199" spans="1:11" ht="14.25" customHeight="1" x14ac:dyDescent="0.35">
      <c r="A199" t="s">
        <v>136</v>
      </c>
      <c r="B199" s="46">
        <v>46120</v>
      </c>
      <c r="C199" t="s">
        <v>81</v>
      </c>
      <c r="D199" t="s">
        <v>137</v>
      </c>
      <c r="E199" t="s">
        <v>140</v>
      </c>
      <c r="F199" t="s">
        <v>141</v>
      </c>
      <c r="G199">
        <v>0.18833333333333332</v>
      </c>
      <c r="H199">
        <v>13892.22</v>
      </c>
      <c r="I199">
        <v>678</v>
      </c>
      <c r="J199">
        <v>678</v>
      </c>
      <c r="K199" t="s">
        <v>124</v>
      </c>
    </row>
    <row r="200" spans="1:11" ht="14.25" customHeight="1" x14ac:dyDescent="0.35">
      <c r="A200" t="s">
        <v>136</v>
      </c>
      <c r="B200" s="46">
        <v>46124</v>
      </c>
      <c r="C200" t="s">
        <v>85</v>
      </c>
      <c r="D200" t="s">
        <v>137</v>
      </c>
      <c r="E200" t="s">
        <v>154</v>
      </c>
      <c r="F200" t="s">
        <v>155</v>
      </c>
      <c r="G200">
        <v>8.8530555555555548</v>
      </c>
      <c r="H200">
        <v>12718.15</v>
      </c>
      <c r="I200">
        <v>1777</v>
      </c>
      <c r="J200">
        <v>2492</v>
      </c>
      <c r="K200" t="s">
        <v>124</v>
      </c>
    </row>
    <row r="201" spans="1:11" ht="14.25" customHeight="1" x14ac:dyDescent="0.35">
      <c r="A201" t="s">
        <v>136</v>
      </c>
      <c r="B201" s="46">
        <v>46124</v>
      </c>
      <c r="C201" t="s">
        <v>98</v>
      </c>
      <c r="D201" t="s">
        <v>137</v>
      </c>
      <c r="E201" t="s">
        <v>154</v>
      </c>
      <c r="F201" t="s">
        <v>155</v>
      </c>
      <c r="G201">
        <v>1.2238888888888888</v>
      </c>
      <c r="H201">
        <v>12686.460000000001</v>
      </c>
      <c r="I201">
        <v>1459</v>
      </c>
      <c r="J201">
        <v>1826</v>
      </c>
      <c r="K201" t="s">
        <v>124</v>
      </c>
    </row>
    <row r="202" spans="1:11" ht="14.25" customHeight="1" x14ac:dyDescent="0.35">
      <c r="A202" t="s">
        <v>136</v>
      </c>
      <c r="B202" s="46">
        <v>46124</v>
      </c>
      <c r="C202" t="s">
        <v>88</v>
      </c>
      <c r="D202" t="s">
        <v>137</v>
      </c>
      <c r="E202" t="s">
        <v>150</v>
      </c>
      <c r="F202" t="s">
        <v>151</v>
      </c>
      <c r="G202">
        <v>1.2227777777777777</v>
      </c>
      <c r="H202">
        <v>12643.55</v>
      </c>
      <c r="I202">
        <v>1688</v>
      </c>
      <c r="J202">
        <v>1784</v>
      </c>
      <c r="K202" t="s">
        <v>124</v>
      </c>
    </row>
    <row r="203" spans="1:11" ht="14.25" customHeight="1" x14ac:dyDescent="0.35">
      <c r="A203" t="s">
        <v>136</v>
      </c>
      <c r="B203" s="46">
        <v>46117</v>
      </c>
      <c r="C203" t="s">
        <v>93</v>
      </c>
      <c r="D203" t="s">
        <v>137</v>
      </c>
      <c r="E203" t="s">
        <v>152</v>
      </c>
      <c r="F203" t="s">
        <v>153</v>
      </c>
      <c r="G203">
        <v>3.2597222222222224</v>
      </c>
      <c r="H203">
        <v>12494.94</v>
      </c>
      <c r="I203">
        <v>1243</v>
      </c>
      <c r="J203">
        <v>1805</v>
      </c>
      <c r="K203" t="s">
        <v>124</v>
      </c>
    </row>
    <row r="204" spans="1:11" ht="14.25" customHeight="1" x14ac:dyDescent="0.35">
      <c r="A204" t="s">
        <v>136</v>
      </c>
      <c r="B204" s="46">
        <v>46119</v>
      </c>
      <c r="C204" t="s">
        <v>90</v>
      </c>
      <c r="D204" t="s">
        <v>137</v>
      </c>
      <c r="E204" t="s">
        <v>138</v>
      </c>
      <c r="F204" t="s">
        <v>139</v>
      </c>
      <c r="G204">
        <v>0.22444444444444445</v>
      </c>
      <c r="H204">
        <v>12426.57</v>
      </c>
      <c r="I204">
        <v>808</v>
      </c>
      <c r="J204">
        <v>808</v>
      </c>
      <c r="K204" t="s">
        <v>124</v>
      </c>
    </row>
    <row r="205" spans="1:11" ht="14.25" customHeight="1" x14ac:dyDescent="0.35">
      <c r="A205" t="s">
        <v>136</v>
      </c>
      <c r="B205" s="46">
        <v>46124</v>
      </c>
      <c r="C205" t="s">
        <v>86</v>
      </c>
      <c r="D205" t="s">
        <v>137</v>
      </c>
      <c r="E205" t="s">
        <v>154</v>
      </c>
      <c r="F205" t="s">
        <v>155</v>
      </c>
      <c r="G205">
        <v>2.8525</v>
      </c>
      <c r="H205">
        <v>12280.999999999998</v>
      </c>
      <c r="I205">
        <v>1481</v>
      </c>
      <c r="J205">
        <v>1750</v>
      </c>
      <c r="K205" t="s">
        <v>124</v>
      </c>
    </row>
    <row r="206" spans="1:11" ht="14.25" customHeight="1" x14ac:dyDescent="0.35">
      <c r="A206" t="s">
        <v>136</v>
      </c>
      <c r="B206" s="46">
        <v>46124</v>
      </c>
      <c r="C206" t="s">
        <v>86</v>
      </c>
      <c r="D206" t="s">
        <v>137</v>
      </c>
      <c r="E206" t="s">
        <v>150</v>
      </c>
      <c r="F206" t="s">
        <v>151</v>
      </c>
      <c r="G206">
        <v>1.2377777777777779</v>
      </c>
      <c r="H206">
        <v>12230.05</v>
      </c>
      <c r="I206">
        <v>1381</v>
      </c>
      <c r="J206">
        <v>1522</v>
      </c>
      <c r="K206" t="s">
        <v>124</v>
      </c>
    </row>
    <row r="207" spans="1:11" ht="14.25" customHeight="1" x14ac:dyDescent="0.35">
      <c r="A207" t="s">
        <v>136</v>
      </c>
      <c r="B207" s="46">
        <v>46124</v>
      </c>
      <c r="C207" t="s">
        <v>84</v>
      </c>
      <c r="D207" t="s">
        <v>137</v>
      </c>
      <c r="E207" t="s">
        <v>154</v>
      </c>
      <c r="F207" t="s">
        <v>155</v>
      </c>
      <c r="G207">
        <v>1.9658333333333333</v>
      </c>
      <c r="H207">
        <v>12169.079999999998</v>
      </c>
      <c r="I207">
        <v>1768</v>
      </c>
      <c r="J207">
        <v>2086</v>
      </c>
      <c r="K207" t="s">
        <v>124</v>
      </c>
    </row>
    <row r="208" spans="1:11" ht="14.25" customHeight="1" x14ac:dyDescent="0.35">
      <c r="A208" t="s">
        <v>136</v>
      </c>
      <c r="B208" s="46">
        <v>46117</v>
      </c>
      <c r="C208" t="s">
        <v>104</v>
      </c>
      <c r="D208" t="s">
        <v>137</v>
      </c>
      <c r="E208" t="s">
        <v>144</v>
      </c>
      <c r="F208" t="s">
        <v>145</v>
      </c>
      <c r="G208">
        <v>8.9302777777777784</v>
      </c>
      <c r="H208">
        <v>11665.84</v>
      </c>
      <c r="I208">
        <v>699</v>
      </c>
      <c r="J208">
        <v>1036</v>
      </c>
      <c r="K208" t="s">
        <v>124</v>
      </c>
    </row>
    <row r="209" spans="1:11" ht="14.25" customHeight="1" x14ac:dyDescent="0.35">
      <c r="A209" t="s">
        <v>136</v>
      </c>
      <c r="B209" s="46">
        <v>46124</v>
      </c>
      <c r="C209" t="s">
        <v>81</v>
      </c>
      <c r="D209" t="s">
        <v>137</v>
      </c>
      <c r="E209" t="s">
        <v>150</v>
      </c>
      <c r="F209" t="s">
        <v>151</v>
      </c>
      <c r="G209">
        <v>1.3808333333333334</v>
      </c>
      <c r="H209">
        <v>11624.31</v>
      </c>
      <c r="I209">
        <v>1562</v>
      </c>
      <c r="J209">
        <v>2010</v>
      </c>
      <c r="K209" t="s">
        <v>124</v>
      </c>
    </row>
    <row r="210" spans="1:11" ht="14.25" customHeight="1" x14ac:dyDescent="0.35">
      <c r="A210" t="s">
        <v>136</v>
      </c>
      <c r="B210" s="46">
        <v>46124</v>
      </c>
      <c r="C210" t="s">
        <v>97</v>
      </c>
      <c r="D210" t="s">
        <v>137</v>
      </c>
      <c r="E210" t="s">
        <v>154</v>
      </c>
      <c r="F210" t="s">
        <v>155</v>
      </c>
      <c r="G210">
        <v>1.181111111111111</v>
      </c>
      <c r="H210">
        <v>11265.98</v>
      </c>
      <c r="I210">
        <v>1652</v>
      </c>
      <c r="J210">
        <v>1810</v>
      </c>
      <c r="K210" t="s">
        <v>124</v>
      </c>
    </row>
    <row r="211" spans="1:11" ht="14.25" customHeight="1" x14ac:dyDescent="0.35">
      <c r="A211" t="s">
        <v>136</v>
      </c>
      <c r="B211" s="46">
        <v>46117</v>
      </c>
      <c r="C211" t="s">
        <v>96</v>
      </c>
      <c r="D211" t="s">
        <v>137</v>
      </c>
      <c r="E211" t="s">
        <v>152</v>
      </c>
      <c r="F211" t="s">
        <v>153</v>
      </c>
      <c r="G211">
        <v>1.0013888888888889</v>
      </c>
      <c r="H211">
        <v>11055.960000000001</v>
      </c>
      <c r="I211">
        <v>994</v>
      </c>
      <c r="J211">
        <v>1410</v>
      </c>
      <c r="K211" t="s">
        <v>124</v>
      </c>
    </row>
    <row r="212" spans="1:11" ht="14.25" customHeight="1" x14ac:dyDescent="0.35">
      <c r="A212" t="s">
        <v>136</v>
      </c>
      <c r="B212" s="46">
        <v>46119</v>
      </c>
      <c r="C212" t="s">
        <v>101</v>
      </c>
      <c r="D212" t="s">
        <v>137</v>
      </c>
      <c r="E212" t="s">
        <v>154</v>
      </c>
      <c r="F212" t="s">
        <v>155</v>
      </c>
      <c r="G212">
        <v>9.1219444444444449</v>
      </c>
      <c r="H212">
        <v>11029.99</v>
      </c>
      <c r="I212">
        <v>1466</v>
      </c>
      <c r="J212">
        <v>2118</v>
      </c>
      <c r="K212" t="s">
        <v>124</v>
      </c>
    </row>
    <row r="213" spans="1:11" ht="14.25" customHeight="1" x14ac:dyDescent="0.35">
      <c r="A213" t="s">
        <v>136</v>
      </c>
      <c r="B213" s="46">
        <v>46118</v>
      </c>
      <c r="C213" t="s">
        <v>100</v>
      </c>
      <c r="D213" t="s">
        <v>137</v>
      </c>
      <c r="E213" t="s">
        <v>144</v>
      </c>
      <c r="F213" t="s">
        <v>145</v>
      </c>
      <c r="G213">
        <v>8.77</v>
      </c>
      <c r="H213">
        <v>10716.61</v>
      </c>
      <c r="I213">
        <v>1555</v>
      </c>
      <c r="J213">
        <v>2366</v>
      </c>
      <c r="K213" t="s">
        <v>124</v>
      </c>
    </row>
    <row r="214" spans="1:11" ht="14.25" customHeight="1" x14ac:dyDescent="0.35">
      <c r="A214" t="s">
        <v>136</v>
      </c>
      <c r="B214" s="46">
        <v>46124</v>
      </c>
      <c r="C214" t="s">
        <v>107</v>
      </c>
      <c r="D214" t="s">
        <v>137</v>
      </c>
      <c r="E214" t="s">
        <v>154</v>
      </c>
      <c r="F214" t="s">
        <v>155</v>
      </c>
      <c r="G214">
        <v>2.5047222222222221</v>
      </c>
      <c r="H214">
        <v>10262.210000000001</v>
      </c>
      <c r="I214">
        <v>1359</v>
      </c>
      <c r="J214">
        <v>1776</v>
      </c>
      <c r="K214" t="s">
        <v>124</v>
      </c>
    </row>
    <row r="215" spans="1:11" ht="14.25" customHeight="1" x14ac:dyDescent="0.35">
      <c r="A215" t="s">
        <v>136</v>
      </c>
      <c r="B215" s="46">
        <v>46123</v>
      </c>
      <c r="C215" t="s">
        <v>106</v>
      </c>
      <c r="D215" t="s">
        <v>137</v>
      </c>
      <c r="E215" t="s">
        <v>152</v>
      </c>
      <c r="F215" t="s">
        <v>153</v>
      </c>
      <c r="G215">
        <v>0.54722222222222228</v>
      </c>
      <c r="H215">
        <v>10259.02</v>
      </c>
      <c r="I215">
        <v>711</v>
      </c>
      <c r="J215">
        <v>865</v>
      </c>
      <c r="K215" t="s">
        <v>124</v>
      </c>
    </row>
    <row r="216" spans="1:11" ht="14.25" customHeight="1" x14ac:dyDescent="0.35">
      <c r="A216" t="s">
        <v>136</v>
      </c>
      <c r="B216" s="46">
        <v>46119</v>
      </c>
      <c r="C216" t="s">
        <v>86</v>
      </c>
      <c r="D216" t="s">
        <v>137</v>
      </c>
      <c r="E216" t="s">
        <v>154</v>
      </c>
      <c r="F216" t="s">
        <v>155</v>
      </c>
      <c r="G216">
        <v>2.0766666666666667</v>
      </c>
      <c r="H216">
        <v>9963.9</v>
      </c>
      <c r="I216">
        <v>1079</v>
      </c>
      <c r="J216">
        <v>1444</v>
      </c>
      <c r="K216" t="s">
        <v>124</v>
      </c>
    </row>
    <row r="217" spans="1:11" ht="14.25" customHeight="1" x14ac:dyDescent="0.35">
      <c r="A217" t="s">
        <v>136</v>
      </c>
      <c r="B217" s="46">
        <v>46119</v>
      </c>
      <c r="C217" t="s">
        <v>90</v>
      </c>
      <c r="D217" t="s">
        <v>137</v>
      </c>
      <c r="E217" t="s">
        <v>154</v>
      </c>
      <c r="F217" t="s">
        <v>155</v>
      </c>
      <c r="G217">
        <v>1.4519444444444445</v>
      </c>
      <c r="H217">
        <v>9056.98</v>
      </c>
      <c r="I217">
        <v>940</v>
      </c>
      <c r="J217">
        <v>1055</v>
      </c>
      <c r="K217" t="s">
        <v>124</v>
      </c>
    </row>
    <row r="218" spans="1:11" ht="14.25" customHeight="1" x14ac:dyDescent="0.35">
      <c r="A218" t="s">
        <v>136</v>
      </c>
      <c r="B218" s="46">
        <v>46118</v>
      </c>
      <c r="C218" t="s">
        <v>95</v>
      </c>
      <c r="D218" t="s">
        <v>137</v>
      </c>
      <c r="E218" t="s">
        <v>154</v>
      </c>
      <c r="F218" t="s">
        <v>155</v>
      </c>
      <c r="G218">
        <v>3.9602777777777778</v>
      </c>
      <c r="H218">
        <v>8956.2199999999993</v>
      </c>
      <c r="I218">
        <v>1500</v>
      </c>
      <c r="J218">
        <v>2311</v>
      </c>
      <c r="K218" t="s">
        <v>124</v>
      </c>
    </row>
    <row r="219" spans="1:11" ht="14.25" customHeight="1" x14ac:dyDescent="0.35">
      <c r="A219" t="s">
        <v>136</v>
      </c>
      <c r="B219" s="46">
        <v>46124</v>
      </c>
      <c r="C219" t="s">
        <v>106</v>
      </c>
      <c r="D219" t="s">
        <v>137</v>
      </c>
      <c r="E219" t="s">
        <v>150</v>
      </c>
      <c r="F219" t="s">
        <v>151</v>
      </c>
      <c r="G219">
        <v>2.0213888888888887</v>
      </c>
      <c r="H219">
        <v>8953.16</v>
      </c>
      <c r="I219">
        <v>1330</v>
      </c>
      <c r="J219">
        <v>1961</v>
      </c>
      <c r="K219" t="s">
        <v>124</v>
      </c>
    </row>
    <row r="220" spans="1:11" ht="14.25" customHeight="1" x14ac:dyDescent="0.35">
      <c r="A220" t="s">
        <v>136</v>
      </c>
      <c r="B220" s="46">
        <v>46124</v>
      </c>
      <c r="C220" t="s">
        <v>93</v>
      </c>
      <c r="D220" t="s">
        <v>137</v>
      </c>
      <c r="E220" t="s">
        <v>154</v>
      </c>
      <c r="F220" t="s">
        <v>155</v>
      </c>
      <c r="G220">
        <v>4.5625</v>
      </c>
      <c r="H220">
        <v>8839.23</v>
      </c>
      <c r="I220">
        <v>1317</v>
      </c>
      <c r="J220">
        <v>1757</v>
      </c>
      <c r="K220" t="s">
        <v>124</v>
      </c>
    </row>
    <row r="221" spans="1:11" ht="14.25" customHeight="1" x14ac:dyDescent="0.35">
      <c r="A221" t="s">
        <v>136</v>
      </c>
      <c r="B221" s="46">
        <v>46118</v>
      </c>
      <c r="C221" t="s">
        <v>88</v>
      </c>
      <c r="D221" t="s">
        <v>137</v>
      </c>
      <c r="E221" t="s">
        <v>154</v>
      </c>
      <c r="F221" t="s">
        <v>155</v>
      </c>
      <c r="G221">
        <v>7.9275000000000002</v>
      </c>
      <c r="H221">
        <v>8769.31</v>
      </c>
      <c r="I221">
        <v>1590</v>
      </c>
      <c r="J221">
        <v>2963</v>
      </c>
      <c r="K221" t="s">
        <v>124</v>
      </c>
    </row>
    <row r="222" spans="1:11" ht="14.25" customHeight="1" x14ac:dyDescent="0.35">
      <c r="A222" t="s">
        <v>136</v>
      </c>
      <c r="B222" s="46">
        <v>46118</v>
      </c>
      <c r="C222" t="s">
        <v>100</v>
      </c>
      <c r="D222" t="s">
        <v>137</v>
      </c>
      <c r="E222" t="s">
        <v>154</v>
      </c>
      <c r="F222" t="s">
        <v>155</v>
      </c>
      <c r="G222">
        <v>7.4433333333333334</v>
      </c>
      <c r="H222">
        <v>8757.18</v>
      </c>
      <c r="I222">
        <v>1152</v>
      </c>
      <c r="J222">
        <v>1461</v>
      </c>
      <c r="K222" t="s">
        <v>124</v>
      </c>
    </row>
    <row r="223" spans="1:11" ht="14.25" customHeight="1" x14ac:dyDescent="0.35">
      <c r="A223" t="s">
        <v>136</v>
      </c>
      <c r="B223" s="46">
        <v>46122</v>
      </c>
      <c r="C223" t="s">
        <v>90</v>
      </c>
      <c r="D223" t="s">
        <v>137</v>
      </c>
      <c r="E223" t="s">
        <v>138</v>
      </c>
      <c r="F223" t="s">
        <v>139</v>
      </c>
      <c r="G223">
        <v>0.12916666666666668</v>
      </c>
      <c r="H223">
        <v>8718.75</v>
      </c>
      <c r="I223">
        <v>465</v>
      </c>
      <c r="J223">
        <v>465</v>
      </c>
      <c r="K223" t="s">
        <v>124</v>
      </c>
    </row>
    <row r="224" spans="1:11" ht="14.25" customHeight="1" x14ac:dyDescent="0.35">
      <c r="A224" t="s">
        <v>136</v>
      </c>
      <c r="B224" s="46">
        <v>46118</v>
      </c>
      <c r="C224" t="s">
        <v>106</v>
      </c>
      <c r="D224" t="s">
        <v>137</v>
      </c>
      <c r="E224" t="s">
        <v>154</v>
      </c>
      <c r="F224" t="s">
        <v>155</v>
      </c>
      <c r="G224">
        <v>9.5038888888888895</v>
      </c>
      <c r="H224">
        <v>8555.2000000000007</v>
      </c>
      <c r="I224">
        <v>1238</v>
      </c>
      <c r="J224">
        <v>2062</v>
      </c>
      <c r="K224" t="s">
        <v>124</v>
      </c>
    </row>
    <row r="225" spans="1:11" ht="14.25" customHeight="1" x14ac:dyDescent="0.35">
      <c r="A225" t="s">
        <v>136</v>
      </c>
      <c r="B225" s="46">
        <v>46118</v>
      </c>
      <c r="C225" t="s">
        <v>81</v>
      </c>
      <c r="D225" t="s">
        <v>137</v>
      </c>
      <c r="E225" t="s">
        <v>152</v>
      </c>
      <c r="F225" t="s">
        <v>153</v>
      </c>
      <c r="G225">
        <v>7.9522222222222219</v>
      </c>
      <c r="H225">
        <v>8493.2000000000007</v>
      </c>
      <c r="I225">
        <v>646</v>
      </c>
      <c r="J225">
        <v>1102</v>
      </c>
      <c r="K225" t="s">
        <v>124</v>
      </c>
    </row>
    <row r="226" spans="1:11" ht="14.25" customHeight="1" x14ac:dyDescent="0.35">
      <c r="A226" t="s">
        <v>136</v>
      </c>
      <c r="B226" s="46">
        <v>46118</v>
      </c>
      <c r="C226" t="s">
        <v>93</v>
      </c>
      <c r="D226" t="s">
        <v>137</v>
      </c>
      <c r="E226" t="s">
        <v>152</v>
      </c>
      <c r="F226" t="s">
        <v>153</v>
      </c>
      <c r="G226">
        <v>0.62972222222222218</v>
      </c>
      <c r="H226">
        <v>8421.1200000000008</v>
      </c>
      <c r="I226">
        <v>774</v>
      </c>
      <c r="J226">
        <v>807</v>
      </c>
      <c r="K226" t="s">
        <v>124</v>
      </c>
    </row>
    <row r="227" spans="1:11" ht="14.25" customHeight="1" x14ac:dyDescent="0.35">
      <c r="A227" t="s">
        <v>136</v>
      </c>
      <c r="B227" s="46">
        <v>46124</v>
      </c>
      <c r="C227" t="s">
        <v>101</v>
      </c>
      <c r="D227" t="s">
        <v>137</v>
      </c>
      <c r="E227" t="s">
        <v>150</v>
      </c>
      <c r="F227" t="s">
        <v>151</v>
      </c>
      <c r="G227">
        <v>2.8005555555555555</v>
      </c>
      <c r="H227">
        <v>8353.489999999998</v>
      </c>
      <c r="I227">
        <v>1320</v>
      </c>
      <c r="J227">
        <v>1855</v>
      </c>
      <c r="K227" t="s">
        <v>124</v>
      </c>
    </row>
    <row r="228" spans="1:11" ht="14.25" customHeight="1" x14ac:dyDescent="0.35">
      <c r="A228" t="s">
        <v>136</v>
      </c>
      <c r="B228" s="46">
        <v>46124</v>
      </c>
      <c r="C228" t="s">
        <v>109</v>
      </c>
      <c r="D228" t="s">
        <v>137</v>
      </c>
      <c r="E228" t="s">
        <v>154</v>
      </c>
      <c r="F228" t="s">
        <v>155</v>
      </c>
      <c r="G228">
        <v>4.8263888888888893</v>
      </c>
      <c r="H228">
        <v>8215.91</v>
      </c>
      <c r="I228">
        <v>783</v>
      </c>
      <c r="J228">
        <v>1054</v>
      </c>
      <c r="K228" t="s">
        <v>124</v>
      </c>
    </row>
    <row r="229" spans="1:11" ht="14.25" customHeight="1" x14ac:dyDescent="0.35">
      <c r="A229" t="s">
        <v>136</v>
      </c>
      <c r="B229" s="46">
        <v>46119</v>
      </c>
      <c r="C229" t="s">
        <v>101</v>
      </c>
      <c r="D229" t="s">
        <v>137</v>
      </c>
      <c r="E229" t="s">
        <v>138</v>
      </c>
      <c r="F229" t="s">
        <v>139</v>
      </c>
      <c r="G229">
        <v>0.25611111111111112</v>
      </c>
      <c r="H229">
        <v>8165.6500000000015</v>
      </c>
      <c r="I229">
        <v>922</v>
      </c>
      <c r="J229">
        <v>922</v>
      </c>
      <c r="K229" t="s">
        <v>124</v>
      </c>
    </row>
    <row r="230" spans="1:11" ht="14.25" customHeight="1" x14ac:dyDescent="0.35">
      <c r="A230" t="s">
        <v>136</v>
      </c>
      <c r="B230" s="46">
        <v>46124</v>
      </c>
      <c r="C230" t="s">
        <v>95</v>
      </c>
      <c r="D230" t="s">
        <v>137</v>
      </c>
      <c r="E230" t="s">
        <v>150</v>
      </c>
      <c r="F230" t="s">
        <v>151</v>
      </c>
      <c r="G230">
        <v>0.83</v>
      </c>
      <c r="H230">
        <v>8107.65</v>
      </c>
      <c r="I230">
        <v>1191</v>
      </c>
      <c r="J230">
        <v>1432</v>
      </c>
      <c r="K230" t="s">
        <v>124</v>
      </c>
    </row>
    <row r="231" spans="1:11" ht="14.25" customHeight="1" x14ac:dyDescent="0.35">
      <c r="A231" t="s">
        <v>136</v>
      </c>
      <c r="B231" s="46">
        <v>46124</v>
      </c>
      <c r="C231" t="s">
        <v>84</v>
      </c>
      <c r="D231" t="s">
        <v>137</v>
      </c>
      <c r="E231" t="s">
        <v>150</v>
      </c>
      <c r="F231" t="s">
        <v>151</v>
      </c>
      <c r="G231">
        <v>1.3619444444444444</v>
      </c>
      <c r="H231">
        <v>8071.41</v>
      </c>
      <c r="I231">
        <v>1174</v>
      </c>
      <c r="J231">
        <v>1399</v>
      </c>
      <c r="K231" t="s">
        <v>124</v>
      </c>
    </row>
    <row r="232" spans="1:11" ht="14.25" customHeight="1" x14ac:dyDescent="0.35">
      <c r="A232" t="s">
        <v>136</v>
      </c>
      <c r="B232" s="46">
        <v>46117</v>
      </c>
      <c r="C232" t="s">
        <v>90</v>
      </c>
      <c r="D232" t="s">
        <v>137</v>
      </c>
      <c r="E232" t="s">
        <v>152</v>
      </c>
      <c r="F232" t="s">
        <v>153</v>
      </c>
      <c r="G232">
        <v>0.98277777777777775</v>
      </c>
      <c r="H232">
        <v>8024.3599999999988</v>
      </c>
      <c r="I232">
        <v>631</v>
      </c>
      <c r="J232">
        <v>809</v>
      </c>
      <c r="K232" t="s">
        <v>124</v>
      </c>
    </row>
    <row r="233" spans="1:11" ht="14.25" customHeight="1" x14ac:dyDescent="0.35">
      <c r="A233" t="s">
        <v>136</v>
      </c>
      <c r="B233" s="46">
        <v>46118</v>
      </c>
      <c r="C233" t="s">
        <v>85</v>
      </c>
      <c r="D233" t="s">
        <v>137</v>
      </c>
      <c r="E233" t="s">
        <v>154</v>
      </c>
      <c r="F233" t="s">
        <v>155</v>
      </c>
      <c r="G233">
        <v>4.4355555555555553</v>
      </c>
      <c r="H233">
        <v>7954.97</v>
      </c>
      <c r="I233">
        <v>968</v>
      </c>
      <c r="J233">
        <v>1144</v>
      </c>
      <c r="K233" t="s">
        <v>124</v>
      </c>
    </row>
    <row r="234" spans="1:11" ht="14.25" customHeight="1" x14ac:dyDescent="0.35">
      <c r="A234" t="s">
        <v>136</v>
      </c>
      <c r="B234" s="46">
        <v>46119</v>
      </c>
      <c r="C234" t="s">
        <v>109</v>
      </c>
      <c r="D234" t="s">
        <v>137</v>
      </c>
      <c r="E234" t="s">
        <v>138</v>
      </c>
      <c r="F234" t="s">
        <v>139</v>
      </c>
      <c r="G234">
        <v>0.33</v>
      </c>
      <c r="H234">
        <v>7895.41</v>
      </c>
      <c r="I234">
        <v>1188</v>
      </c>
      <c r="J234">
        <v>1188</v>
      </c>
      <c r="K234" t="s">
        <v>124</v>
      </c>
    </row>
    <row r="235" spans="1:11" ht="14.25" customHeight="1" x14ac:dyDescent="0.35">
      <c r="A235" t="s">
        <v>136</v>
      </c>
      <c r="B235" s="46">
        <v>46119</v>
      </c>
      <c r="C235" t="s">
        <v>104</v>
      </c>
      <c r="D235" t="s">
        <v>137</v>
      </c>
      <c r="E235" t="s">
        <v>154</v>
      </c>
      <c r="F235" t="s">
        <v>155</v>
      </c>
      <c r="G235">
        <v>7.5797222222222222</v>
      </c>
      <c r="H235">
        <v>7840.18</v>
      </c>
      <c r="I235">
        <v>931</v>
      </c>
      <c r="J235">
        <v>1359</v>
      </c>
      <c r="K235" t="s">
        <v>124</v>
      </c>
    </row>
    <row r="236" spans="1:11" ht="14.25" customHeight="1" x14ac:dyDescent="0.35">
      <c r="A236" t="s">
        <v>136</v>
      </c>
      <c r="B236" s="46">
        <v>46117</v>
      </c>
      <c r="C236" t="s">
        <v>106</v>
      </c>
      <c r="D236" t="s">
        <v>137</v>
      </c>
      <c r="E236" t="s">
        <v>144</v>
      </c>
      <c r="F236" t="s">
        <v>145</v>
      </c>
      <c r="G236">
        <v>22.371944444444445</v>
      </c>
      <c r="H236">
        <v>7762.4599999999991</v>
      </c>
      <c r="I236">
        <v>470</v>
      </c>
      <c r="J236">
        <v>2412</v>
      </c>
      <c r="K236" t="s">
        <v>124</v>
      </c>
    </row>
    <row r="237" spans="1:11" ht="14.25" customHeight="1" x14ac:dyDescent="0.35">
      <c r="A237" t="s">
        <v>136</v>
      </c>
      <c r="B237" s="46">
        <v>46117</v>
      </c>
      <c r="C237" t="s">
        <v>95</v>
      </c>
      <c r="D237" t="s">
        <v>137</v>
      </c>
      <c r="E237" t="s">
        <v>152</v>
      </c>
      <c r="F237" t="s">
        <v>153</v>
      </c>
      <c r="G237">
        <v>0.22305555555555556</v>
      </c>
      <c r="H237">
        <v>7725.5899999999992</v>
      </c>
      <c r="I237">
        <v>557</v>
      </c>
      <c r="J237">
        <v>789</v>
      </c>
      <c r="K237" t="s">
        <v>124</v>
      </c>
    </row>
    <row r="238" spans="1:11" ht="14.25" customHeight="1" x14ac:dyDescent="0.35">
      <c r="A238" t="s">
        <v>136</v>
      </c>
      <c r="B238" s="46">
        <v>46124</v>
      </c>
      <c r="C238" t="s">
        <v>96</v>
      </c>
      <c r="D238" t="s">
        <v>137</v>
      </c>
      <c r="E238" t="s">
        <v>150</v>
      </c>
      <c r="F238" t="s">
        <v>151</v>
      </c>
      <c r="G238">
        <v>6.3463888888888889</v>
      </c>
      <c r="H238">
        <v>7648.9</v>
      </c>
      <c r="I238">
        <v>870</v>
      </c>
      <c r="J238">
        <v>1509</v>
      </c>
      <c r="K238" t="s">
        <v>124</v>
      </c>
    </row>
    <row r="239" spans="1:11" ht="14.25" customHeight="1" x14ac:dyDescent="0.35">
      <c r="A239" t="s">
        <v>136</v>
      </c>
      <c r="B239" s="46">
        <v>46118</v>
      </c>
      <c r="C239" t="s">
        <v>98</v>
      </c>
      <c r="D239" t="s">
        <v>137</v>
      </c>
      <c r="E239" t="s">
        <v>152</v>
      </c>
      <c r="F239" t="s">
        <v>153</v>
      </c>
      <c r="G239">
        <v>0.90749999999999997</v>
      </c>
      <c r="H239">
        <v>7524.05</v>
      </c>
      <c r="I239">
        <v>453</v>
      </c>
      <c r="J239">
        <v>604</v>
      </c>
      <c r="K239" t="s">
        <v>124</v>
      </c>
    </row>
    <row r="240" spans="1:11" ht="14.25" customHeight="1" x14ac:dyDescent="0.35">
      <c r="A240" t="s">
        <v>136</v>
      </c>
      <c r="B240" s="46">
        <v>46124</v>
      </c>
      <c r="C240" t="s">
        <v>90</v>
      </c>
      <c r="D240" t="s">
        <v>137</v>
      </c>
      <c r="E240" t="s">
        <v>152</v>
      </c>
      <c r="F240" t="s">
        <v>153</v>
      </c>
      <c r="G240">
        <v>0.33611111111111114</v>
      </c>
      <c r="H240">
        <v>7388.94</v>
      </c>
      <c r="I240">
        <v>427</v>
      </c>
      <c r="J240">
        <v>465</v>
      </c>
      <c r="K240" t="s">
        <v>124</v>
      </c>
    </row>
    <row r="241" spans="1:11" ht="14.25" customHeight="1" x14ac:dyDescent="0.35">
      <c r="A241" t="s">
        <v>136</v>
      </c>
      <c r="B241" s="46">
        <v>46117</v>
      </c>
      <c r="C241" t="s">
        <v>100</v>
      </c>
      <c r="D241" t="s">
        <v>137</v>
      </c>
      <c r="E241" t="s">
        <v>148</v>
      </c>
      <c r="F241" t="s">
        <v>149</v>
      </c>
      <c r="G241">
        <v>4.6388888888888889E-2</v>
      </c>
      <c r="H241">
        <v>7378.06</v>
      </c>
      <c r="I241">
        <v>167</v>
      </c>
      <c r="J241">
        <v>167</v>
      </c>
      <c r="K241" t="s">
        <v>124</v>
      </c>
    </row>
    <row r="242" spans="1:11" ht="14.25" customHeight="1" x14ac:dyDescent="0.35">
      <c r="A242" t="s">
        <v>136</v>
      </c>
      <c r="B242" s="46">
        <v>46118</v>
      </c>
      <c r="C242" t="s">
        <v>99</v>
      </c>
      <c r="D242" t="s">
        <v>137</v>
      </c>
      <c r="E242" t="s">
        <v>154</v>
      </c>
      <c r="F242" t="s">
        <v>155</v>
      </c>
      <c r="G242">
        <v>3.3644444444444446</v>
      </c>
      <c r="H242">
        <v>7332</v>
      </c>
      <c r="I242">
        <v>842</v>
      </c>
      <c r="J242">
        <v>1152</v>
      </c>
      <c r="K242" t="s">
        <v>124</v>
      </c>
    </row>
    <row r="243" spans="1:11" ht="14.25" customHeight="1" x14ac:dyDescent="0.35">
      <c r="A243" t="s">
        <v>136</v>
      </c>
      <c r="B243" s="46">
        <v>46117</v>
      </c>
      <c r="C243" t="s">
        <v>99</v>
      </c>
      <c r="D243" t="s">
        <v>137</v>
      </c>
      <c r="E243" t="s">
        <v>152</v>
      </c>
      <c r="F243" t="s">
        <v>153</v>
      </c>
      <c r="G243">
        <v>0.16555555555555557</v>
      </c>
      <c r="H243">
        <v>7213.95</v>
      </c>
      <c r="I243">
        <v>369</v>
      </c>
      <c r="J243">
        <v>596</v>
      </c>
      <c r="K243" t="s">
        <v>124</v>
      </c>
    </row>
    <row r="244" spans="1:11" ht="14.25" customHeight="1" x14ac:dyDescent="0.35">
      <c r="A244" t="s">
        <v>136</v>
      </c>
      <c r="B244" s="46">
        <v>46119</v>
      </c>
      <c r="C244" t="s">
        <v>84</v>
      </c>
      <c r="D244" t="s">
        <v>137</v>
      </c>
      <c r="E244" t="s">
        <v>154</v>
      </c>
      <c r="F244" t="s">
        <v>155</v>
      </c>
      <c r="G244">
        <v>0.68638888888888894</v>
      </c>
      <c r="H244">
        <v>7204.5399999999991</v>
      </c>
      <c r="I244">
        <v>1044</v>
      </c>
      <c r="J244">
        <v>1114</v>
      </c>
      <c r="K244" t="s">
        <v>124</v>
      </c>
    </row>
    <row r="245" spans="1:11" ht="14.25" customHeight="1" x14ac:dyDescent="0.35">
      <c r="A245" t="s">
        <v>136</v>
      </c>
      <c r="B245" s="46">
        <v>46118</v>
      </c>
      <c r="C245" t="s">
        <v>84</v>
      </c>
      <c r="D245" t="s">
        <v>137</v>
      </c>
      <c r="E245" t="s">
        <v>138</v>
      </c>
      <c r="F245" t="s">
        <v>139</v>
      </c>
      <c r="G245">
        <v>0.37861111111111112</v>
      </c>
      <c r="H245">
        <v>7195.82</v>
      </c>
      <c r="I245">
        <v>1363</v>
      </c>
      <c r="J245">
        <v>1363</v>
      </c>
      <c r="K245" t="s">
        <v>124</v>
      </c>
    </row>
    <row r="246" spans="1:11" ht="14.25" customHeight="1" x14ac:dyDescent="0.35">
      <c r="A246" t="s">
        <v>136</v>
      </c>
      <c r="B246" s="46">
        <v>46118</v>
      </c>
      <c r="C246" t="s">
        <v>84</v>
      </c>
      <c r="D246" t="s">
        <v>137</v>
      </c>
      <c r="E246" t="s">
        <v>154</v>
      </c>
      <c r="F246" t="s">
        <v>155</v>
      </c>
      <c r="G246">
        <v>2.8030555555555554</v>
      </c>
      <c r="H246">
        <v>7184.3099999999986</v>
      </c>
      <c r="I246">
        <v>974</v>
      </c>
      <c r="J246">
        <v>1057</v>
      </c>
      <c r="K246" t="s">
        <v>124</v>
      </c>
    </row>
    <row r="247" spans="1:11" ht="14.25" customHeight="1" x14ac:dyDescent="0.35">
      <c r="A247" t="s">
        <v>136</v>
      </c>
      <c r="B247" s="46">
        <v>46124</v>
      </c>
      <c r="C247" t="s">
        <v>98</v>
      </c>
      <c r="D247" t="s">
        <v>137</v>
      </c>
      <c r="E247" t="s">
        <v>150</v>
      </c>
      <c r="F247" t="s">
        <v>151</v>
      </c>
      <c r="G247">
        <v>1.7072222222222222</v>
      </c>
      <c r="H247">
        <v>6973.16</v>
      </c>
      <c r="I247">
        <v>850</v>
      </c>
      <c r="J247">
        <v>912</v>
      </c>
      <c r="K247" t="s">
        <v>124</v>
      </c>
    </row>
    <row r="248" spans="1:11" ht="14.25" customHeight="1" x14ac:dyDescent="0.35">
      <c r="A248" t="s">
        <v>136</v>
      </c>
      <c r="B248" s="46">
        <v>46118</v>
      </c>
      <c r="C248" t="s">
        <v>88</v>
      </c>
      <c r="D248" t="s">
        <v>137</v>
      </c>
      <c r="E248" t="s">
        <v>150</v>
      </c>
      <c r="F248" t="s">
        <v>151</v>
      </c>
      <c r="G248">
        <v>2.4761111111111109</v>
      </c>
      <c r="H248">
        <v>6798.2199999999993</v>
      </c>
      <c r="I248">
        <v>1348</v>
      </c>
      <c r="J248">
        <v>1509</v>
      </c>
      <c r="K248" t="s">
        <v>124</v>
      </c>
    </row>
    <row r="249" spans="1:11" ht="14.25" customHeight="1" x14ac:dyDescent="0.35">
      <c r="A249" t="s">
        <v>136</v>
      </c>
      <c r="B249" s="46">
        <v>46118</v>
      </c>
      <c r="C249" t="s">
        <v>81</v>
      </c>
      <c r="D249" t="s">
        <v>137</v>
      </c>
      <c r="E249" t="s">
        <v>154</v>
      </c>
      <c r="F249" t="s">
        <v>155</v>
      </c>
      <c r="G249">
        <v>2.8680555555555554</v>
      </c>
      <c r="H249">
        <v>6736.9</v>
      </c>
      <c r="I249">
        <v>1035</v>
      </c>
      <c r="J249">
        <v>1414</v>
      </c>
      <c r="K249" t="s">
        <v>124</v>
      </c>
    </row>
    <row r="250" spans="1:11" ht="14.25" customHeight="1" x14ac:dyDescent="0.35">
      <c r="A250" t="s">
        <v>136</v>
      </c>
      <c r="B250" s="46">
        <v>46118</v>
      </c>
      <c r="C250" t="s">
        <v>101</v>
      </c>
      <c r="D250" t="s">
        <v>137</v>
      </c>
      <c r="E250" t="s">
        <v>154</v>
      </c>
      <c r="F250" t="s">
        <v>155</v>
      </c>
      <c r="G250">
        <v>3.1444444444444444</v>
      </c>
      <c r="H250">
        <v>6691.8600000000006</v>
      </c>
      <c r="I250">
        <v>1103</v>
      </c>
      <c r="J250">
        <v>1327</v>
      </c>
      <c r="K250" t="s">
        <v>124</v>
      </c>
    </row>
    <row r="251" spans="1:11" ht="14.25" customHeight="1" x14ac:dyDescent="0.35">
      <c r="A251" t="s">
        <v>136</v>
      </c>
      <c r="B251" s="46">
        <v>46123</v>
      </c>
      <c r="C251" t="s">
        <v>103</v>
      </c>
      <c r="D251" t="s">
        <v>137</v>
      </c>
      <c r="E251" t="s">
        <v>150</v>
      </c>
      <c r="F251" t="s">
        <v>151</v>
      </c>
      <c r="G251">
        <v>2.7591666666666668</v>
      </c>
      <c r="H251">
        <v>6682.2899999999991</v>
      </c>
      <c r="I251">
        <v>957</v>
      </c>
      <c r="J251">
        <v>1193</v>
      </c>
      <c r="K251" t="s">
        <v>124</v>
      </c>
    </row>
    <row r="252" spans="1:11" ht="14.25" customHeight="1" x14ac:dyDescent="0.35">
      <c r="A252" t="s">
        <v>136</v>
      </c>
      <c r="B252" s="46">
        <v>46118</v>
      </c>
      <c r="C252" t="s">
        <v>106</v>
      </c>
      <c r="D252" t="s">
        <v>137</v>
      </c>
      <c r="E252" t="s">
        <v>146</v>
      </c>
      <c r="F252" t="s">
        <v>147</v>
      </c>
      <c r="G252">
        <v>2.0550000000000002</v>
      </c>
      <c r="H252">
        <v>6603.2900000000009</v>
      </c>
      <c r="I252">
        <v>1146</v>
      </c>
      <c r="J252">
        <v>1619</v>
      </c>
      <c r="K252" t="s">
        <v>124</v>
      </c>
    </row>
    <row r="253" spans="1:11" ht="14.25" customHeight="1" x14ac:dyDescent="0.35">
      <c r="A253" t="s">
        <v>136</v>
      </c>
      <c r="B253" s="46">
        <v>46123</v>
      </c>
      <c r="C253" t="s">
        <v>103</v>
      </c>
      <c r="D253" t="s">
        <v>137</v>
      </c>
      <c r="E253" t="s">
        <v>148</v>
      </c>
      <c r="F253" t="s">
        <v>149</v>
      </c>
      <c r="G253">
        <v>9.194444444444444E-2</v>
      </c>
      <c r="H253">
        <v>6533.94</v>
      </c>
      <c r="I253">
        <v>331</v>
      </c>
      <c r="J253">
        <v>331</v>
      </c>
      <c r="K253" t="s">
        <v>124</v>
      </c>
    </row>
    <row r="254" spans="1:11" ht="14.25" customHeight="1" x14ac:dyDescent="0.35">
      <c r="A254" t="s">
        <v>136</v>
      </c>
      <c r="B254" s="46">
        <v>46118</v>
      </c>
      <c r="C254" t="s">
        <v>103</v>
      </c>
      <c r="D254" t="s">
        <v>137</v>
      </c>
      <c r="E254" t="s">
        <v>154</v>
      </c>
      <c r="F254" t="s">
        <v>155</v>
      </c>
      <c r="G254">
        <v>8.205277777777777</v>
      </c>
      <c r="H254">
        <v>6516.8600000000006</v>
      </c>
      <c r="I254">
        <v>827</v>
      </c>
      <c r="J254">
        <v>1546</v>
      </c>
      <c r="K254" t="s">
        <v>124</v>
      </c>
    </row>
    <row r="255" spans="1:11" ht="14.25" customHeight="1" x14ac:dyDescent="0.35">
      <c r="A255" t="s">
        <v>136</v>
      </c>
      <c r="B255" s="46">
        <v>46118</v>
      </c>
      <c r="C255" t="s">
        <v>101</v>
      </c>
      <c r="D255" t="s">
        <v>137</v>
      </c>
      <c r="E255" t="s">
        <v>150</v>
      </c>
      <c r="F255" t="s">
        <v>151</v>
      </c>
      <c r="G255">
        <v>2.6838888888888888</v>
      </c>
      <c r="H255">
        <v>6100.51</v>
      </c>
      <c r="I255">
        <v>1073</v>
      </c>
      <c r="J255">
        <v>1409</v>
      </c>
      <c r="K255" t="s">
        <v>124</v>
      </c>
    </row>
    <row r="256" spans="1:11" ht="14.25" customHeight="1" x14ac:dyDescent="0.35">
      <c r="A256" t="s">
        <v>136</v>
      </c>
      <c r="B256" s="46">
        <v>46117</v>
      </c>
      <c r="C256" t="s">
        <v>100</v>
      </c>
      <c r="D256" t="s">
        <v>137</v>
      </c>
      <c r="E256" t="s">
        <v>152</v>
      </c>
      <c r="F256" t="s">
        <v>153</v>
      </c>
      <c r="G256">
        <v>0.20972222222222223</v>
      </c>
      <c r="H256">
        <v>6044.76</v>
      </c>
      <c r="I256">
        <v>348</v>
      </c>
      <c r="J256">
        <v>450</v>
      </c>
      <c r="K256" t="s">
        <v>124</v>
      </c>
    </row>
    <row r="257" spans="1:11" ht="14.25" customHeight="1" x14ac:dyDescent="0.35">
      <c r="A257" t="s">
        <v>136</v>
      </c>
      <c r="B257" s="46">
        <v>46117</v>
      </c>
      <c r="C257" t="s">
        <v>85</v>
      </c>
      <c r="D257" t="s">
        <v>137</v>
      </c>
      <c r="E257" t="s">
        <v>144</v>
      </c>
      <c r="F257" t="s">
        <v>145</v>
      </c>
      <c r="G257">
        <v>8.6052777777777774</v>
      </c>
      <c r="H257">
        <v>5916.34</v>
      </c>
      <c r="I257">
        <v>252</v>
      </c>
      <c r="J257">
        <v>1192</v>
      </c>
      <c r="K257" t="s">
        <v>124</v>
      </c>
    </row>
    <row r="258" spans="1:11" ht="14.25" customHeight="1" x14ac:dyDescent="0.35">
      <c r="A258" t="s">
        <v>136</v>
      </c>
      <c r="B258" s="46">
        <v>46119</v>
      </c>
      <c r="C258" t="s">
        <v>103</v>
      </c>
      <c r="D258" t="s">
        <v>137</v>
      </c>
      <c r="E258" t="s">
        <v>154</v>
      </c>
      <c r="F258" t="s">
        <v>155</v>
      </c>
      <c r="G258">
        <v>0.51555555555555554</v>
      </c>
      <c r="H258">
        <v>5905.5500000000011</v>
      </c>
      <c r="I258">
        <v>832</v>
      </c>
      <c r="J258">
        <v>934</v>
      </c>
      <c r="K258" t="s">
        <v>124</v>
      </c>
    </row>
    <row r="259" spans="1:11" ht="14.25" customHeight="1" x14ac:dyDescent="0.35">
      <c r="A259" t="s">
        <v>136</v>
      </c>
      <c r="B259" s="46">
        <v>46117</v>
      </c>
      <c r="C259" t="s">
        <v>98</v>
      </c>
      <c r="D259" t="s">
        <v>137</v>
      </c>
      <c r="E259" t="s">
        <v>148</v>
      </c>
      <c r="F259" t="s">
        <v>149</v>
      </c>
      <c r="G259">
        <v>7.4444444444444438E-2</v>
      </c>
      <c r="H259">
        <v>5869.2</v>
      </c>
      <c r="I259">
        <v>268</v>
      </c>
      <c r="J259">
        <v>268</v>
      </c>
      <c r="K259" t="s">
        <v>124</v>
      </c>
    </row>
    <row r="260" spans="1:11" ht="14.25" customHeight="1" x14ac:dyDescent="0.35">
      <c r="A260" t="s">
        <v>136</v>
      </c>
      <c r="B260" s="46">
        <v>46118</v>
      </c>
      <c r="C260" t="s">
        <v>104</v>
      </c>
      <c r="D260" t="s">
        <v>137</v>
      </c>
      <c r="E260" t="s">
        <v>150</v>
      </c>
      <c r="F260" t="s">
        <v>151</v>
      </c>
      <c r="G260">
        <v>2.6788888888888889</v>
      </c>
      <c r="H260">
        <v>5859.89</v>
      </c>
      <c r="I260">
        <v>1088</v>
      </c>
      <c r="J260">
        <v>1426</v>
      </c>
      <c r="K260" t="s">
        <v>124</v>
      </c>
    </row>
    <row r="261" spans="1:11" ht="14.25" customHeight="1" x14ac:dyDescent="0.35">
      <c r="A261" t="s">
        <v>136</v>
      </c>
      <c r="B261" s="46">
        <v>46124</v>
      </c>
      <c r="C261" t="s">
        <v>100</v>
      </c>
      <c r="D261" t="s">
        <v>137</v>
      </c>
      <c r="E261" t="s">
        <v>150</v>
      </c>
      <c r="F261" t="s">
        <v>151</v>
      </c>
      <c r="G261">
        <v>0.55000000000000004</v>
      </c>
      <c r="H261">
        <v>5825.8200000000006</v>
      </c>
      <c r="I261">
        <v>922</v>
      </c>
      <c r="J261">
        <v>1080</v>
      </c>
      <c r="K261" t="s">
        <v>124</v>
      </c>
    </row>
    <row r="262" spans="1:11" ht="14.25" customHeight="1" x14ac:dyDescent="0.35">
      <c r="A262" t="s">
        <v>136</v>
      </c>
      <c r="B262" s="46">
        <v>46119</v>
      </c>
      <c r="C262" t="s">
        <v>109</v>
      </c>
      <c r="D262" t="s">
        <v>137</v>
      </c>
      <c r="E262" t="s">
        <v>154</v>
      </c>
      <c r="F262" t="s">
        <v>155</v>
      </c>
      <c r="G262">
        <v>12.123888888888889</v>
      </c>
      <c r="H262">
        <v>5822.32</v>
      </c>
      <c r="I262">
        <v>984</v>
      </c>
      <c r="J262">
        <v>2558</v>
      </c>
      <c r="K262" t="s">
        <v>124</v>
      </c>
    </row>
    <row r="263" spans="1:11" ht="14.25" customHeight="1" x14ac:dyDescent="0.35">
      <c r="A263" t="s">
        <v>136</v>
      </c>
      <c r="B263" s="46">
        <v>46119</v>
      </c>
      <c r="C263" t="s">
        <v>88</v>
      </c>
      <c r="D263" t="s">
        <v>137</v>
      </c>
      <c r="E263" t="s">
        <v>154</v>
      </c>
      <c r="F263" t="s">
        <v>155</v>
      </c>
      <c r="G263">
        <v>0.40666666666666668</v>
      </c>
      <c r="H263">
        <v>5677.38</v>
      </c>
      <c r="I263">
        <v>786</v>
      </c>
      <c r="J263">
        <v>828</v>
      </c>
      <c r="K263" t="s">
        <v>124</v>
      </c>
    </row>
    <row r="264" spans="1:11" ht="14.25" customHeight="1" x14ac:dyDescent="0.35">
      <c r="A264" t="s">
        <v>136</v>
      </c>
      <c r="B264" s="46">
        <v>46118</v>
      </c>
      <c r="C264" t="s">
        <v>109</v>
      </c>
      <c r="D264" t="s">
        <v>137</v>
      </c>
      <c r="E264" t="s">
        <v>144</v>
      </c>
      <c r="F264" t="s">
        <v>145</v>
      </c>
      <c r="G264">
        <v>9.4491666666666667</v>
      </c>
      <c r="H264">
        <v>5629.67</v>
      </c>
      <c r="I264">
        <v>220</v>
      </c>
      <c r="J264">
        <v>579</v>
      </c>
      <c r="K264" t="s">
        <v>124</v>
      </c>
    </row>
    <row r="265" spans="1:11" ht="14.25" customHeight="1" x14ac:dyDescent="0.35">
      <c r="A265" t="s">
        <v>136</v>
      </c>
      <c r="B265" s="46">
        <v>46118</v>
      </c>
      <c r="C265" t="s">
        <v>96</v>
      </c>
      <c r="D265" t="s">
        <v>137</v>
      </c>
      <c r="E265" t="s">
        <v>150</v>
      </c>
      <c r="F265" t="s">
        <v>151</v>
      </c>
      <c r="G265">
        <v>4.6266666666666669</v>
      </c>
      <c r="H265">
        <v>5627.8499999999995</v>
      </c>
      <c r="I265">
        <v>995</v>
      </c>
      <c r="J265">
        <v>1727</v>
      </c>
      <c r="K265" t="s">
        <v>124</v>
      </c>
    </row>
    <row r="266" spans="1:11" ht="14.25" customHeight="1" x14ac:dyDescent="0.35">
      <c r="A266" t="s">
        <v>136</v>
      </c>
      <c r="B266" s="46">
        <v>46117</v>
      </c>
      <c r="C266" t="s">
        <v>109</v>
      </c>
      <c r="D266" t="s">
        <v>137</v>
      </c>
      <c r="E266" t="s">
        <v>148</v>
      </c>
      <c r="F266" t="s">
        <v>149</v>
      </c>
      <c r="G266">
        <v>4.611111111111111E-2</v>
      </c>
      <c r="H266">
        <v>5563.75</v>
      </c>
      <c r="I266">
        <v>125</v>
      </c>
      <c r="J266">
        <v>166</v>
      </c>
      <c r="K266" t="s">
        <v>124</v>
      </c>
    </row>
    <row r="267" spans="1:11" ht="14.25" customHeight="1" x14ac:dyDescent="0.35">
      <c r="A267" t="s">
        <v>136</v>
      </c>
      <c r="B267" s="46">
        <v>46124</v>
      </c>
      <c r="C267" t="s">
        <v>85</v>
      </c>
      <c r="D267" t="s">
        <v>137</v>
      </c>
      <c r="E267" t="s">
        <v>144</v>
      </c>
      <c r="F267" t="s">
        <v>145</v>
      </c>
      <c r="G267">
        <v>0.28944444444444445</v>
      </c>
      <c r="H267">
        <v>5528.4800000000005</v>
      </c>
      <c r="I267">
        <v>217</v>
      </c>
      <c r="J267">
        <v>269</v>
      </c>
      <c r="K267" t="s">
        <v>124</v>
      </c>
    </row>
    <row r="268" spans="1:11" ht="14.25" customHeight="1" x14ac:dyDescent="0.35">
      <c r="A268" t="s">
        <v>136</v>
      </c>
      <c r="B268" s="46">
        <v>46118</v>
      </c>
      <c r="C268" t="s">
        <v>104</v>
      </c>
      <c r="D268" t="s">
        <v>137</v>
      </c>
      <c r="E268" t="s">
        <v>154</v>
      </c>
      <c r="F268" t="s">
        <v>155</v>
      </c>
      <c r="G268">
        <v>10.89861111111111</v>
      </c>
      <c r="H268">
        <v>5515.46</v>
      </c>
      <c r="I268">
        <v>779</v>
      </c>
      <c r="J268">
        <v>1087</v>
      </c>
      <c r="K268" t="s">
        <v>124</v>
      </c>
    </row>
    <row r="269" spans="1:11" ht="14.25" customHeight="1" x14ac:dyDescent="0.35">
      <c r="A269" t="s">
        <v>136</v>
      </c>
      <c r="B269" s="46">
        <v>46117</v>
      </c>
      <c r="C269" t="s">
        <v>93</v>
      </c>
      <c r="D269" t="s">
        <v>137</v>
      </c>
      <c r="E269" t="s">
        <v>148</v>
      </c>
      <c r="F269" t="s">
        <v>149</v>
      </c>
      <c r="G269">
        <v>6.7222222222222225E-2</v>
      </c>
      <c r="H269">
        <v>5512.76</v>
      </c>
      <c r="I269">
        <v>242</v>
      </c>
      <c r="J269">
        <v>242</v>
      </c>
      <c r="K269" t="s">
        <v>124</v>
      </c>
    </row>
    <row r="270" spans="1:11" ht="14.25" customHeight="1" x14ac:dyDescent="0.35">
      <c r="A270" t="s">
        <v>136</v>
      </c>
      <c r="B270" s="46">
        <v>46120</v>
      </c>
      <c r="C270" t="s">
        <v>106</v>
      </c>
      <c r="D270" t="s">
        <v>137</v>
      </c>
      <c r="E270" t="s">
        <v>144</v>
      </c>
      <c r="F270" t="s">
        <v>145</v>
      </c>
      <c r="G270">
        <v>0.40805555555555556</v>
      </c>
      <c r="H270">
        <v>5470.24</v>
      </c>
      <c r="I270">
        <v>191</v>
      </c>
      <c r="J270">
        <v>242</v>
      </c>
      <c r="K270" t="s">
        <v>124</v>
      </c>
    </row>
    <row r="271" spans="1:11" ht="14.25" customHeight="1" x14ac:dyDescent="0.35">
      <c r="A271" t="s">
        <v>136</v>
      </c>
      <c r="B271" s="46">
        <v>46123</v>
      </c>
      <c r="C271" t="s">
        <v>86</v>
      </c>
      <c r="D271" t="s">
        <v>137</v>
      </c>
      <c r="E271" t="s">
        <v>150</v>
      </c>
      <c r="F271" t="s">
        <v>151</v>
      </c>
      <c r="G271">
        <v>1.0555555555555556</v>
      </c>
      <c r="H271">
        <v>5462.5600000000013</v>
      </c>
      <c r="I271">
        <v>652</v>
      </c>
      <c r="J271">
        <v>760</v>
      </c>
      <c r="K271" t="s">
        <v>124</v>
      </c>
    </row>
    <row r="272" spans="1:11" ht="14.25" customHeight="1" x14ac:dyDescent="0.35">
      <c r="A272" t="s">
        <v>136</v>
      </c>
      <c r="B272" s="46">
        <v>46117</v>
      </c>
      <c r="C272" t="s">
        <v>104</v>
      </c>
      <c r="D272" t="s">
        <v>137</v>
      </c>
      <c r="E272" t="s">
        <v>148</v>
      </c>
      <c r="F272" t="s">
        <v>149</v>
      </c>
      <c r="G272">
        <v>6.9722222222222227E-2</v>
      </c>
      <c r="H272">
        <v>5461.76</v>
      </c>
      <c r="I272">
        <v>251</v>
      </c>
      <c r="J272">
        <v>251</v>
      </c>
      <c r="K272" t="s">
        <v>124</v>
      </c>
    </row>
    <row r="273" spans="1:11" ht="14.25" customHeight="1" x14ac:dyDescent="0.35">
      <c r="A273" t="s">
        <v>136</v>
      </c>
      <c r="B273" s="46">
        <v>46123</v>
      </c>
      <c r="C273" t="s">
        <v>90</v>
      </c>
      <c r="D273" t="s">
        <v>137</v>
      </c>
      <c r="E273" t="s">
        <v>150</v>
      </c>
      <c r="F273" t="s">
        <v>151</v>
      </c>
      <c r="G273">
        <v>2.277222222222222</v>
      </c>
      <c r="H273">
        <v>5448.9</v>
      </c>
      <c r="I273">
        <v>915</v>
      </c>
      <c r="J273">
        <v>1438</v>
      </c>
      <c r="K273" t="s">
        <v>124</v>
      </c>
    </row>
    <row r="274" spans="1:11" ht="14.25" customHeight="1" x14ac:dyDescent="0.35">
      <c r="A274" t="s">
        <v>136</v>
      </c>
      <c r="B274" s="46">
        <v>46121</v>
      </c>
      <c r="C274" t="s">
        <v>103</v>
      </c>
      <c r="D274" t="s">
        <v>137</v>
      </c>
      <c r="E274" t="s">
        <v>140</v>
      </c>
      <c r="F274" t="s">
        <v>141</v>
      </c>
      <c r="G274">
        <v>7.3888888888888893E-2</v>
      </c>
      <c r="H274">
        <v>5423.74</v>
      </c>
      <c r="I274">
        <v>266</v>
      </c>
      <c r="J274">
        <v>266</v>
      </c>
      <c r="K274" t="s">
        <v>124</v>
      </c>
    </row>
    <row r="275" spans="1:11" ht="14.25" customHeight="1" x14ac:dyDescent="0.35">
      <c r="A275" t="s">
        <v>136</v>
      </c>
      <c r="B275" s="46">
        <v>46117</v>
      </c>
      <c r="C275" t="s">
        <v>90</v>
      </c>
      <c r="D275" t="s">
        <v>137</v>
      </c>
      <c r="E275" t="s">
        <v>148</v>
      </c>
      <c r="F275" t="s">
        <v>149</v>
      </c>
      <c r="G275">
        <v>0.10277777777777777</v>
      </c>
      <c r="H275">
        <v>5306.0199999999995</v>
      </c>
      <c r="I275">
        <v>359</v>
      </c>
      <c r="J275">
        <v>370</v>
      </c>
      <c r="K275" t="s">
        <v>124</v>
      </c>
    </row>
    <row r="276" spans="1:11" ht="14.25" customHeight="1" x14ac:dyDescent="0.35">
      <c r="A276" t="s">
        <v>136</v>
      </c>
      <c r="B276" s="46">
        <v>46118</v>
      </c>
      <c r="C276" t="s">
        <v>96</v>
      </c>
      <c r="D276" t="s">
        <v>137</v>
      </c>
      <c r="E276" t="s">
        <v>154</v>
      </c>
      <c r="F276" t="s">
        <v>155</v>
      </c>
      <c r="G276">
        <v>10.607222222222223</v>
      </c>
      <c r="H276">
        <v>5300.56</v>
      </c>
      <c r="I276">
        <v>666</v>
      </c>
      <c r="J276">
        <v>954</v>
      </c>
      <c r="K276" t="s">
        <v>124</v>
      </c>
    </row>
    <row r="277" spans="1:11" ht="14.25" customHeight="1" x14ac:dyDescent="0.35">
      <c r="A277" t="s">
        <v>136</v>
      </c>
      <c r="B277" s="46">
        <v>46118</v>
      </c>
      <c r="C277" t="s">
        <v>90</v>
      </c>
      <c r="D277" t="s">
        <v>137</v>
      </c>
      <c r="E277" t="s">
        <v>154</v>
      </c>
      <c r="F277" t="s">
        <v>155</v>
      </c>
      <c r="G277">
        <v>8.8358333333333334</v>
      </c>
      <c r="H277">
        <v>5281.76</v>
      </c>
      <c r="I277">
        <v>655</v>
      </c>
      <c r="J277">
        <v>1312</v>
      </c>
      <c r="K277" t="s">
        <v>124</v>
      </c>
    </row>
    <row r="278" spans="1:11" ht="14.25" customHeight="1" x14ac:dyDescent="0.35">
      <c r="A278" t="s">
        <v>136</v>
      </c>
      <c r="B278" s="46">
        <v>46119</v>
      </c>
      <c r="C278" t="s">
        <v>97</v>
      </c>
      <c r="D278" t="s">
        <v>137</v>
      </c>
      <c r="E278" t="s">
        <v>152</v>
      </c>
      <c r="F278" t="s">
        <v>153</v>
      </c>
      <c r="G278">
        <v>0.85944444444444446</v>
      </c>
      <c r="H278">
        <v>5267.33</v>
      </c>
      <c r="I278">
        <v>431</v>
      </c>
      <c r="J278">
        <v>473</v>
      </c>
      <c r="K278" t="s">
        <v>124</v>
      </c>
    </row>
    <row r="279" spans="1:11" ht="14.25" customHeight="1" x14ac:dyDescent="0.35">
      <c r="A279" t="s">
        <v>136</v>
      </c>
      <c r="B279" s="46">
        <v>46119</v>
      </c>
      <c r="C279" t="s">
        <v>100</v>
      </c>
      <c r="D279" t="s">
        <v>137</v>
      </c>
      <c r="E279" t="s">
        <v>154</v>
      </c>
      <c r="F279" t="s">
        <v>155</v>
      </c>
      <c r="G279">
        <v>18.590555555555557</v>
      </c>
      <c r="H279">
        <v>5172.3099999999995</v>
      </c>
      <c r="I279">
        <v>561</v>
      </c>
      <c r="J279">
        <v>1170</v>
      </c>
      <c r="K279" t="s">
        <v>124</v>
      </c>
    </row>
    <row r="280" spans="1:11" ht="14.25" customHeight="1" x14ac:dyDescent="0.35">
      <c r="A280" t="s">
        <v>136</v>
      </c>
      <c r="B280" s="46">
        <v>46120</v>
      </c>
      <c r="C280" t="s">
        <v>85</v>
      </c>
      <c r="D280" t="s">
        <v>137</v>
      </c>
      <c r="E280" t="s">
        <v>140</v>
      </c>
      <c r="F280" t="s">
        <v>141</v>
      </c>
      <c r="G280">
        <v>0.14916666666666667</v>
      </c>
      <c r="H280">
        <v>5157.47</v>
      </c>
      <c r="I280">
        <v>537</v>
      </c>
      <c r="J280">
        <v>537</v>
      </c>
      <c r="K280" t="s">
        <v>124</v>
      </c>
    </row>
    <row r="281" spans="1:11" ht="14.25" customHeight="1" x14ac:dyDescent="0.35">
      <c r="A281" t="s">
        <v>136</v>
      </c>
      <c r="B281" s="46">
        <v>46120</v>
      </c>
      <c r="C281" t="s">
        <v>90</v>
      </c>
      <c r="D281" t="s">
        <v>137</v>
      </c>
      <c r="E281" t="s">
        <v>138</v>
      </c>
      <c r="F281" t="s">
        <v>139</v>
      </c>
      <c r="G281">
        <v>0.12333333333333334</v>
      </c>
      <c r="H281">
        <v>5128.2000000000007</v>
      </c>
      <c r="I281">
        <v>444</v>
      </c>
      <c r="J281">
        <v>444</v>
      </c>
      <c r="K281" t="s">
        <v>124</v>
      </c>
    </row>
    <row r="282" spans="1:11" ht="14.25" customHeight="1" x14ac:dyDescent="0.35">
      <c r="A282" t="s">
        <v>136</v>
      </c>
      <c r="B282" s="46">
        <v>46119</v>
      </c>
      <c r="C282" t="s">
        <v>103</v>
      </c>
      <c r="D282" t="s">
        <v>137</v>
      </c>
      <c r="E282" t="s">
        <v>146</v>
      </c>
      <c r="F282" t="s">
        <v>147</v>
      </c>
      <c r="G282">
        <v>0.56111111111111112</v>
      </c>
      <c r="H282">
        <v>5092.88</v>
      </c>
      <c r="I282">
        <v>1079</v>
      </c>
      <c r="J282">
        <v>1258</v>
      </c>
      <c r="K282" t="s">
        <v>124</v>
      </c>
    </row>
    <row r="283" spans="1:11" ht="14.25" customHeight="1" x14ac:dyDescent="0.35">
      <c r="A283" t="s">
        <v>136</v>
      </c>
      <c r="B283" s="46">
        <v>46124</v>
      </c>
      <c r="C283" t="s">
        <v>104</v>
      </c>
      <c r="D283" t="s">
        <v>137</v>
      </c>
      <c r="E283" t="s">
        <v>150</v>
      </c>
      <c r="F283" t="s">
        <v>151</v>
      </c>
      <c r="G283">
        <v>0.98111111111111116</v>
      </c>
      <c r="H283">
        <v>5029.1499999999996</v>
      </c>
      <c r="I283">
        <v>774</v>
      </c>
      <c r="J283">
        <v>899</v>
      </c>
      <c r="K283" t="s">
        <v>124</v>
      </c>
    </row>
    <row r="284" spans="1:11" ht="14.25" customHeight="1" x14ac:dyDescent="0.35">
      <c r="A284" t="s">
        <v>136</v>
      </c>
      <c r="B284" s="46">
        <v>46118</v>
      </c>
      <c r="C284" t="s">
        <v>85</v>
      </c>
      <c r="D284" t="s">
        <v>137</v>
      </c>
      <c r="E284" t="s">
        <v>138</v>
      </c>
      <c r="F284" t="s">
        <v>139</v>
      </c>
      <c r="G284">
        <v>0.14777777777777779</v>
      </c>
      <c r="H284">
        <v>4979.08</v>
      </c>
      <c r="I284">
        <v>532</v>
      </c>
      <c r="J284">
        <v>532</v>
      </c>
      <c r="K284" t="s">
        <v>124</v>
      </c>
    </row>
    <row r="285" spans="1:11" ht="14.25" customHeight="1" x14ac:dyDescent="0.35">
      <c r="A285" t="s">
        <v>136</v>
      </c>
      <c r="B285" s="46">
        <v>46124</v>
      </c>
      <c r="C285" t="s">
        <v>99</v>
      </c>
      <c r="D285" t="s">
        <v>137</v>
      </c>
      <c r="E285" t="s">
        <v>150</v>
      </c>
      <c r="F285" t="s">
        <v>151</v>
      </c>
      <c r="G285">
        <v>1.611388888888889</v>
      </c>
      <c r="H285">
        <v>4937.8799999999992</v>
      </c>
      <c r="I285">
        <v>735</v>
      </c>
      <c r="J285">
        <v>868</v>
      </c>
      <c r="K285" t="s">
        <v>124</v>
      </c>
    </row>
    <row r="286" spans="1:11" ht="14.25" customHeight="1" x14ac:dyDescent="0.35">
      <c r="A286" t="s">
        <v>136</v>
      </c>
      <c r="B286" s="46">
        <v>46119</v>
      </c>
      <c r="C286" t="s">
        <v>104</v>
      </c>
      <c r="D286" t="s">
        <v>137</v>
      </c>
      <c r="E286" t="s">
        <v>150</v>
      </c>
      <c r="F286" t="s">
        <v>151</v>
      </c>
      <c r="G286">
        <v>0.58833333333333337</v>
      </c>
      <c r="H286">
        <v>4914.4399999999996</v>
      </c>
      <c r="I286">
        <v>763</v>
      </c>
      <c r="J286">
        <v>844</v>
      </c>
      <c r="K286" t="s">
        <v>124</v>
      </c>
    </row>
    <row r="287" spans="1:11" ht="14.25" customHeight="1" x14ac:dyDescent="0.35">
      <c r="A287" t="s">
        <v>136</v>
      </c>
      <c r="B287" s="46">
        <v>46124</v>
      </c>
      <c r="C287" t="s">
        <v>107</v>
      </c>
      <c r="D287" t="s">
        <v>137</v>
      </c>
      <c r="E287" t="s">
        <v>152</v>
      </c>
      <c r="F287" t="s">
        <v>153</v>
      </c>
      <c r="G287">
        <v>0.45055555555555554</v>
      </c>
      <c r="H287">
        <v>4732.9799999999996</v>
      </c>
      <c r="I287">
        <v>354</v>
      </c>
      <c r="J287">
        <v>416</v>
      </c>
      <c r="K287" t="s">
        <v>124</v>
      </c>
    </row>
    <row r="288" spans="1:11" ht="14.25" customHeight="1" x14ac:dyDescent="0.35">
      <c r="A288" t="s">
        <v>136</v>
      </c>
      <c r="B288" s="46">
        <v>46118</v>
      </c>
      <c r="C288" t="s">
        <v>95</v>
      </c>
      <c r="D288" t="s">
        <v>137</v>
      </c>
      <c r="E288" t="s">
        <v>150</v>
      </c>
      <c r="F288" t="s">
        <v>151</v>
      </c>
      <c r="G288">
        <v>3.4680555555555554</v>
      </c>
      <c r="H288">
        <v>4678.91</v>
      </c>
      <c r="I288">
        <v>929</v>
      </c>
      <c r="J288">
        <v>1447</v>
      </c>
      <c r="K288" t="s">
        <v>124</v>
      </c>
    </row>
    <row r="289" spans="1:11" ht="14.25" customHeight="1" x14ac:dyDescent="0.35">
      <c r="A289" t="s">
        <v>136</v>
      </c>
      <c r="B289" s="46">
        <v>46118</v>
      </c>
      <c r="C289" t="s">
        <v>93</v>
      </c>
      <c r="D289" t="s">
        <v>137</v>
      </c>
      <c r="E289" t="s">
        <v>150</v>
      </c>
      <c r="F289" t="s">
        <v>151</v>
      </c>
      <c r="G289">
        <v>13.171111111111111</v>
      </c>
      <c r="H289">
        <v>4606.8999999999996</v>
      </c>
      <c r="I289">
        <v>1120</v>
      </c>
      <c r="J289">
        <v>1395</v>
      </c>
      <c r="K289" t="s">
        <v>124</v>
      </c>
    </row>
    <row r="290" spans="1:11" ht="14.25" customHeight="1" x14ac:dyDescent="0.35">
      <c r="A290" t="s">
        <v>136</v>
      </c>
      <c r="B290" s="46">
        <v>46119</v>
      </c>
      <c r="C290" t="s">
        <v>93</v>
      </c>
      <c r="D290" t="s">
        <v>137</v>
      </c>
      <c r="E290" t="s">
        <v>154</v>
      </c>
      <c r="F290" t="s">
        <v>155</v>
      </c>
      <c r="G290">
        <v>19.261111111111113</v>
      </c>
      <c r="H290">
        <v>4579.08</v>
      </c>
      <c r="I290">
        <v>665</v>
      </c>
      <c r="J290">
        <v>1624</v>
      </c>
      <c r="K290" t="s">
        <v>124</v>
      </c>
    </row>
    <row r="291" spans="1:11" ht="14.25" customHeight="1" x14ac:dyDescent="0.35">
      <c r="A291" t="s">
        <v>136</v>
      </c>
      <c r="B291" s="46">
        <v>46119</v>
      </c>
      <c r="C291" t="s">
        <v>81</v>
      </c>
      <c r="D291" t="s">
        <v>137</v>
      </c>
      <c r="E291" t="s">
        <v>154</v>
      </c>
      <c r="F291" t="s">
        <v>155</v>
      </c>
      <c r="G291">
        <v>0.58444444444444443</v>
      </c>
      <c r="H291">
        <v>4562.6000000000004</v>
      </c>
      <c r="I291">
        <v>635</v>
      </c>
      <c r="J291">
        <v>704</v>
      </c>
      <c r="K291" t="s">
        <v>124</v>
      </c>
    </row>
    <row r="292" spans="1:11" ht="14.25" customHeight="1" x14ac:dyDescent="0.35">
      <c r="A292" t="s">
        <v>136</v>
      </c>
      <c r="B292" s="46">
        <v>46119</v>
      </c>
      <c r="C292" t="s">
        <v>85</v>
      </c>
      <c r="D292" t="s">
        <v>137</v>
      </c>
      <c r="E292" t="s">
        <v>154</v>
      </c>
      <c r="F292" t="s">
        <v>155</v>
      </c>
      <c r="G292">
        <v>1.4436111111111112</v>
      </c>
      <c r="H292">
        <v>4543.9799999999996</v>
      </c>
      <c r="I292">
        <v>686</v>
      </c>
      <c r="J292">
        <v>825</v>
      </c>
      <c r="K292" t="s">
        <v>124</v>
      </c>
    </row>
    <row r="293" spans="1:11" ht="14.25" customHeight="1" x14ac:dyDescent="0.35">
      <c r="A293" t="s">
        <v>136</v>
      </c>
      <c r="B293" s="46">
        <v>46119</v>
      </c>
      <c r="C293" t="s">
        <v>96</v>
      </c>
      <c r="D293" t="s">
        <v>137</v>
      </c>
      <c r="E293" t="s">
        <v>154</v>
      </c>
      <c r="F293" t="s">
        <v>155</v>
      </c>
      <c r="G293">
        <v>20.85638888888889</v>
      </c>
      <c r="H293">
        <v>4526.0600000000004</v>
      </c>
      <c r="I293">
        <v>601</v>
      </c>
      <c r="J293">
        <v>1126</v>
      </c>
      <c r="K293" t="s">
        <v>124</v>
      </c>
    </row>
    <row r="294" spans="1:11" ht="14.25" customHeight="1" x14ac:dyDescent="0.35">
      <c r="A294" t="s">
        <v>136</v>
      </c>
      <c r="B294" s="46">
        <v>46118</v>
      </c>
      <c r="C294" t="s">
        <v>90</v>
      </c>
      <c r="D294" t="s">
        <v>137</v>
      </c>
      <c r="E294" t="s">
        <v>150</v>
      </c>
      <c r="F294" t="s">
        <v>151</v>
      </c>
      <c r="G294">
        <v>0.74833333333333329</v>
      </c>
      <c r="H294">
        <v>4524.63</v>
      </c>
      <c r="I294">
        <v>736</v>
      </c>
      <c r="J294">
        <v>822</v>
      </c>
      <c r="K294" t="s">
        <v>124</v>
      </c>
    </row>
    <row r="295" spans="1:11" ht="14.25" customHeight="1" x14ac:dyDescent="0.35">
      <c r="A295" t="s">
        <v>136</v>
      </c>
      <c r="B295" s="46">
        <v>46118</v>
      </c>
      <c r="C295" t="s">
        <v>86</v>
      </c>
      <c r="D295" t="s">
        <v>137</v>
      </c>
      <c r="E295" t="s">
        <v>150</v>
      </c>
      <c r="F295" t="s">
        <v>151</v>
      </c>
      <c r="G295">
        <v>3.6244444444444444</v>
      </c>
      <c r="H295">
        <v>4482.99</v>
      </c>
      <c r="I295">
        <v>575</v>
      </c>
      <c r="J295">
        <v>963</v>
      </c>
      <c r="K295" t="s">
        <v>124</v>
      </c>
    </row>
    <row r="296" spans="1:11" ht="14.25" customHeight="1" x14ac:dyDescent="0.35">
      <c r="A296" t="s">
        <v>136</v>
      </c>
      <c r="B296" s="46">
        <v>46123</v>
      </c>
      <c r="C296" t="s">
        <v>106</v>
      </c>
      <c r="D296" t="s">
        <v>137</v>
      </c>
      <c r="E296" t="s">
        <v>142</v>
      </c>
      <c r="F296" t="s">
        <v>143</v>
      </c>
      <c r="G296">
        <v>0.20861111111111111</v>
      </c>
      <c r="H296">
        <v>4302.72</v>
      </c>
      <c r="I296">
        <v>747</v>
      </c>
      <c r="J296">
        <v>747</v>
      </c>
      <c r="K296" t="s">
        <v>124</v>
      </c>
    </row>
    <row r="297" spans="1:11" ht="14.25" customHeight="1" x14ac:dyDescent="0.35">
      <c r="A297" t="s">
        <v>136</v>
      </c>
      <c r="B297" s="46">
        <v>46124</v>
      </c>
      <c r="C297" t="s">
        <v>81</v>
      </c>
      <c r="D297" t="s">
        <v>137</v>
      </c>
      <c r="E297" t="s">
        <v>152</v>
      </c>
      <c r="F297" t="s">
        <v>153</v>
      </c>
      <c r="G297">
        <v>0.71027777777777779</v>
      </c>
      <c r="H297">
        <v>4221.5300000000007</v>
      </c>
      <c r="I297">
        <v>398</v>
      </c>
      <c r="J297">
        <v>525</v>
      </c>
      <c r="K297" t="s">
        <v>124</v>
      </c>
    </row>
    <row r="298" spans="1:11" ht="14.25" customHeight="1" x14ac:dyDescent="0.35">
      <c r="A298" t="s">
        <v>136</v>
      </c>
      <c r="B298" s="46">
        <v>46124</v>
      </c>
      <c r="C298" t="s">
        <v>85</v>
      </c>
      <c r="D298" t="s">
        <v>137</v>
      </c>
      <c r="E298" t="s">
        <v>150</v>
      </c>
      <c r="F298" t="s">
        <v>151</v>
      </c>
      <c r="G298">
        <v>1.2594444444444444</v>
      </c>
      <c r="H298">
        <v>4161.66</v>
      </c>
      <c r="I298">
        <v>694</v>
      </c>
      <c r="J298">
        <v>889</v>
      </c>
      <c r="K298" t="s">
        <v>124</v>
      </c>
    </row>
    <row r="299" spans="1:11" ht="14.25" customHeight="1" x14ac:dyDescent="0.35">
      <c r="A299" t="s">
        <v>136</v>
      </c>
      <c r="B299" s="46">
        <v>46124</v>
      </c>
      <c r="C299" t="s">
        <v>90</v>
      </c>
      <c r="D299" t="s">
        <v>137</v>
      </c>
      <c r="E299" t="s">
        <v>150</v>
      </c>
      <c r="F299" t="s">
        <v>151</v>
      </c>
      <c r="G299">
        <v>4.9366666666666665</v>
      </c>
      <c r="H299">
        <v>4155.05</v>
      </c>
      <c r="I299">
        <v>521</v>
      </c>
      <c r="J299">
        <v>578</v>
      </c>
      <c r="K299" t="s">
        <v>124</v>
      </c>
    </row>
    <row r="300" spans="1:11" ht="14.25" customHeight="1" x14ac:dyDescent="0.35">
      <c r="A300" t="s">
        <v>136</v>
      </c>
      <c r="B300" s="46">
        <v>46118</v>
      </c>
      <c r="C300" t="s">
        <v>100</v>
      </c>
      <c r="D300" t="s">
        <v>137</v>
      </c>
      <c r="E300" t="s">
        <v>150</v>
      </c>
      <c r="F300" t="s">
        <v>151</v>
      </c>
      <c r="G300">
        <v>0.84833333333333338</v>
      </c>
      <c r="H300">
        <v>4070.99</v>
      </c>
      <c r="I300">
        <v>609</v>
      </c>
      <c r="J300">
        <v>787</v>
      </c>
      <c r="K300" t="s">
        <v>124</v>
      </c>
    </row>
    <row r="301" spans="1:11" ht="14.25" customHeight="1" x14ac:dyDescent="0.35">
      <c r="A301" t="s">
        <v>136</v>
      </c>
      <c r="B301" s="46">
        <v>46124</v>
      </c>
      <c r="C301" t="s">
        <v>97</v>
      </c>
      <c r="D301" t="s">
        <v>137</v>
      </c>
      <c r="E301" t="s">
        <v>150</v>
      </c>
      <c r="F301" t="s">
        <v>151</v>
      </c>
      <c r="G301">
        <v>13.093055555555555</v>
      </c>
      <c r="H301">
        <v>4059.4199999999996</v>
      </c>
      <c r="I301">
        <v>702</v>
      </c>
      <c r="J301">
        <v>1020</v>
      </c>
      <c r="K301" t="s">
        <v>124</v>
      </c>
    </row>
    <row r="302" spans="1:11" ht="14.25" customHeight="1" x14ac:dyDescent="0.35">
      <c r="A302" t="s">
        <v>136</v>
      </c>
      <c r="B302" s="46">
        <v>46119</v>
      </c>
      <c r="C302" t="s">
        <v>84</v>
      </c>
      <c r="D302" t="s">
        <v>137</v>
      </c>
      <c r="E302" t="s">
        <v>138</v>
      </c>
      <c r="F302" t="s">
        <v>139</v>
      </c>
      <c r="G302">
        <v>0.10249999999999999</v>
      </c>
      <c r="H302">
        <v>4022.1</v>
      </c>
      <c r="I302">
        <v>369</v>
      </c>
      <c r="J302">
        <v>369</v>
      </c>
      <c r="K302" t="s">
        <v>124</v>
      </c>
    </row>
    <row r="303" spans="1:11" ht="14.25" customHeight="1" x14ac:dyDescent="0.35">
      <c r="A303" t="s">
        <v>136</v>
      </c>
      <c r="B303" s="46">
        <v>46124</v>
      </c>
      <c r="C303" t="s">
        <v>93</v>
      </c>
      <c r="D303" t="s">
        <v>137</v>
      </c>
      <c r="E303" t="s">
        <v>150</v>
      </c>
      <c r="F303" t="s">
        <v>151</v>
      </c>
      <c r="G303">
        <v>0.34944444444444445</v>
      </c>
      <c r="H303">
        <v>3932.7799999999997</v>
      </c>
      <c r="I303">
        <v>538</v>
      </c>
      <c r="J303">
        <v>588</v>
      </c>
      <c r="K303" t="s">
        <v>124</v>
      </c>
    </row>
    <row r="304" spans="1:11" ht="14.25" customHeight="1" x14ac:dyDescent="0.35">
      <c r="A304" t="s">
        <v>136</v>
      </c>
      <c r="B304" s="46">
        <v>46119</v>
      </c>
      <c r="C304" t="s">
        <v>100</v>
      </c>
      <c r="D304" t="s">
        <v>137</v>
      </c>
      <c r="E304" t="s">
        <v>150</v>
      </c>
      <c r="F304" t="s">
        <v>151</v>
      </c>
      <c r="G304">
        <v>0.63861111111111113</v>
      </c>
      <c r="H304">
        <v>3906.5</v>
      </c>
      <c r="I304">
        <v>650</v>
      </c>
      <c r="J304">
        <v>686</v>
      </c>
      <c r="K304" t="s">
        <v>124</v>
      </c>
    </row>
    <row r="305" spans="1:11" ht="14.25" customHeight="1" x14ac:dyDescent="0.35">
      <c r="A305" t="s">
        <v>136</v>
      </c>
      <c r="B305" s="46">
        <v>46119</v>
      </c>
      <c r="C305" t="s">
        <v>107</v>
      </c>
      <c r="D305" t="s">
        <v>137</v>
      </c>
      <c r="E305" t="s">
        <v>152</v>
      </c>
      <c r="F305" t="s">
        <v>153</v>
      </c>
      <c r="G305">
        <v>1.4722222222222223</v>
      </c>
      <c r="H305">
        <v>3874.1</v>
      </c>
      <c r="I305">
        <v>543</v>
      </c>
      <c r="J305">
        <v>734</v>
      </c>
      <c r="K305" t="s">
        <v>124</v>
      </c>
    </row>
    <row r="306" spans="1:11" ht="14.25" customHeight="1" x14ac:dyDescent="0.35">
      <c r="A306" t="s">
        <v>136</v>
      </c>
      <c r="B306" s="46">
        <v>46117</v>
      </c>
      <c r="C306" t="s">
        <v>103</v>
      </c>
      <c r="D306" t="s">
        <v>137</v>
      </c>
      <c r="E306" t="s">
        <v>150</v>
      </c>
      <c r="F306" t="s">
        <v>151</v>
      </c>
      <c r="G306">
        <v>0.93222222222222217</v>
      </c>
      <c r="H306">
        <v>3837.7799999999997</v>
      </c>
      <c r="I306">
        <v>621</v>
      </c>
      <c r="J306">
        <v>922</v>
      </c>
      <c r="K306" t="s">
        <v>124</v>
      </c>
    </row>
    <row r="307" spans="1:11" ht="14.25" customHeight="1" x14ac:dyDescent="0.35">
      <c r="A307" t="s">
        <v>136</v>
      </c>
      <c r="B307" s="46">
        <v>46118</v>
      </c>
      <c r="C307" t="s">
        <v>98</v>
      </c>
      <c r="D307" t="s">
        <v>137</v>
      </c>
      <c r="E307" t="s">
        <v>154</v>
      </c>
      <c r="F307" t="s">
        <v>155</v>
      </c>
      <c r="G307">
        <v>3.7524999999999999</v>
      </c>
      <c r="H307">
        <v>3676.34</v>
      </c>
      <c r="I307">
        <v>442</v>
      </c>
      <c r="J307">
        <v>736</v>
      </c>
      <c r="K307" t="s">
        <v>124</v>
      </c>
    </row>
    <row r="308" spans="1:11" ht="14.25" customHeight="1" x14ac:dyDescent="0.35">
      <c r="A308" t="s">
        <v>136</v>
      </c>
      <c r="B308" s="46">
        <v>46118</v>
      </c>
      <c r="C308" t="s">
        <v>86</v>
      </c>
      <c r="D308" t="s">
        <v>137</v>
      </c>
      <c r="E308" t="s">
        <v>154</v>
      </c>
      <c r="F308" t="s">
        <v>155</v>
      </c>
      <c r="G308">
        <v>2.535277777777778</v>
      </c>
      <c r="H308">
        <v>3667.1199999999994</v>
      </c>
      <c r="I308">
        <v>397</v>
      </c>
      <c r="J308">
        <v>877</v>
      </c>
      <c r="K308" t="s">
        <v>124</v>
      </c>
    </row>
    <row r="309" spans="1:11" ht="14.25" customHeight="1" x14ac:dyDescent="0.35">
      <c r="A309" t="s">
        <v>136</v>
      </c>
      <c r="B309" s="46">
        <v>46117</v>
      </c>
      <c r="C309" t="s">
        <v>86</v>
      </c>
      <c r="D309" t="s">
        <v>137</v>
      </c>
      <c r="E309" t="s">
        <v>142</v>
      </c>
      <c r="F309" t="s">
        <v>143</v>
      </c>
      <c r="G309">
        <v>6.8641666666666667</v>
      </c>
      <c r="H309">
        <v>3656.83</v>
      </c>
      <c r="I309">
        <v>816</v>
      </c>
      <c r="J309">
        <v>3293</v>
      </c>
      <c r="K309" t="s">
        <v>124</v>
      </c>
    </row>
    <row r="310" spans="1:11" ht="14.25" customHeight="1" x14ac:dyDescent="0.35">
      <c r="A310" t="s">
        <v>136</v>
      </c>
      <c r="B310" s="46">
        <v>46123</v>
      </c>
      <c r="C310" t="s">
        <v>81</v>
      </c>
      <c r="D310" t="s">
        <v>137</v>
      </c>
      <c r="E310" t="s">
        <v>150</v>
      </c>
      <c r="F310" t="s">
        <v>151</v>
      </c>
      <c r="G310">
        <v>0.73305555555555557</v>
      </c>
      <c r="H310">
        <v>3627.1800000000003</v>
      </c>
      <c r="I310">
        <v>580</v>
      </c>
      <c r="J310">
        <v>648</v>
      </c>
      <c r="K310" t="s">
        <v>124</v>
      </c>
    </row>
    <row r="311" spans="1:11" ht="14.25" customHeight="1" x14ac:dyDescent="0.35">
      <c r="A311" t="s">
        <v>136</v>
      </c>
      <c r="B311" s="46">
        <v>46119</v>
      </c>
      <c r="C311" t="s">
        <v>97</v>
      </c>
      <c r="D311" t="s">
        <v>137</v>
      </c>
      <c r="E311" t="s">
        <v>154</v>
      </c>
      <c r="F311" t="s">
        <v>155</v>
      </c>
      <c r="G311">
        <v>19.031666666666666</v>
      </c>
      <c r="H311">
        <v>3610.9700000000003</v>
      </c>
      <c r="I311">
        <v>475</v>
      </c>
      <c r="J311">
        <v>1553</v>
      </c>
      <c r="K311" t="s">
        <v>124</v>
      </c>
    </row>
    <row r="312" spans="1:11" ht="14.25" customHeight="1" x14ac:dyDescent="0.35">
      <c r="A312" t="s">
        <v>136</v>
      </c>
      <c r="B312" s="46">
        <v>46119</v>
      </c>
      <c r="C312" t="s">
        <v>96</v>
      </c>
      <c r="D312" t="s">
        <v>137</v>
      </c>
      <c r="E312" t="s">
        <v>146</v>
      </c>
      <c r="F312" t="s">
        <v>147</v>
      </c>
      <c r="G312">
        <v>0.41499999999999998</v>
      </c>
      <c r="H312">
        <v>3557.4</v>
      </c>
      <c r="I312">
        <v>605</v>
      </c>
      <c r="J312">
        <v>644</v>
      </c>
      <c r="K312" t="s">
        <v>124</v>
      </c>
    </row>
    <row r="313" spans="1:11" ht="14.25" customHeight="1" x14ac:dyDescent="0.35">
      <c r="A313" t="s">
        <v>136</v>
      </c>
      <c r="B313" s="46">
        <v>46123</v>
      </c>
      <c r="C313" t="s">
        <v>85</v>
      </c>
      <c r="D313" t="s">
        <v>137</v>
      </c>
      <c r="E313" t="s">
        <v>150</v>
      </c>
      <c r="F313" t="s">
        <v>151</v>
      </c>
      <c r="G313">
        <v>1.5391666666666666</v>
      </c>
      <c r="H313">
        <v>3538.13</v>
      </c>
      <c r="I313">
        <v>617</v>
      </c>
      <c r="J313">
        <v>728</v>
      </c>
      <c r="K313" t="s">
        <v>124</v>
      </c>
    </row>
    <row r="314" spans="1:11" ht="14.25" customHeight="1" x14ac:dyDescent="0.35">
      <c r="A314" t="s">
        <v>136</v>
      </c>
      <c r="B314" s="46">
        <v>46118</v>
      </c>
      <c r="C314" t="s">
        <v>85</v>
      </c>
      <c r="D314" t="s">
        <v>137</v>
      </c>
      <c r="E314" t="s">
        <v>150</v>
      </c>
      <c r="F314" t="s">
        <v>151</v>
      </c>
      <c r="G314">
        <v>1.0049999999999999</v>
      </c>
      <c r="H314">
        <v>3512.16</v>
      </c>
      <c r="I314">
        <v>608</v>
      </c>
      <c r="J314">
        <v>608</v>
      </c>
      <c r="K314" t="s">
        <v>124</v>
      </c>
    </row>
    <row r="315" spans="1:11" ht="14.25" customHeight="1" x14ac:dyDescent="0.35">
      <c r="A315" t="s">
        <v>136</v>
      </c>
      <c r="B315" s="46">
        <v>46124</v>
      </c>
      <c r="C315" t="s">
        <v>99</v>
      </c>
      <c r="D315" t="s">
        <v>137</v>
      </c>
      <c r="E315" t="s">
        <v>146</v>
      </c>
      <c r="F315" t="s">
        <v>147</v>
      </c>
      <c r="G315">
        <v>0.63055555555555554</v>
      </c>
      <c r="H315">
        <v>3455.56</v>
      </c>
      <c r="I315">
        <v>635</v>
      </c>
      <c r="J315">
        <v>822</v>
      </c>
      <c r="K315" t="s">
        <v>124</v>
      </c>
    </row>
    <row r="316" spans="1:11" ht="14.25" customHeight="1" x14ac:dyDescent="0.35">
      <c r="A316" t="s">
        <v>136</v>
      </c>
      <c r="B316" s="46">
        <v>46117</v>
      </c>
      <c r="C316" t="s">
        <v>96</v>
      </c>
      <c r="D316" t="s">
        <v>137</v>
      </c>
      <c r="E316" t="s">
        <v>144</v>
      </c>
      <c r="F316" t="s">
        <v>145</v>
      </c>
      <c r="G316">
        <v>10.766111111111112</v>
      </c>
      <c r="H316">
        <v>3410.1000000000004</v>
      </c>
      <c r="I316">
        <v>590</v>
      </c>
      <c r="J316">
        <v>2710</v>
      </c>
      <c r="K316" t="s">
        <v>124</v>
      </c>
    </row>
    <row r="317" spans="1:11" ht="14.25" customHeight="1" x14ac:dyDescent="0.35">
      <c r="A317" t="s">
        <v>136</v>
      </c>
      <c r="B317" s="46">
        <v>46123</v>
      </c>
      <c r="C317" t="s">
        <v>96</v>
      </c>
      <c r="D317" t="s">
        <v>137</v>
      </c>
      <c r="E317" t="s">
        <v>148</v>
      </c>
      <c r="F317" t="s">
        <v>149</v>
      </c>
      <c r="G317">
        <v>0.26416666666666666</v>
      </c>
      <c r="H317">
        <v>3326.34</v>
      </c>
      <c r="I317">
        <v>523</v>
      </c>
      <c r="J317">
        <v>591</v>
      </c>
      <c r="K317" t="s">
        <v>124</v>
      </c>
    </row>
    <row r="318" spans="1:11" ht="14.25" customHeight="1" x14ac:dyDescent="0.35">
      <c r="A318" t="s">
        <v>136</v>
      </c>
      <c r="B318" s="46">
        <v>46124</v>
      </c>
      <c r="C318" t="s">
        <v>90</v>
      </c>
      <c r="D318" t="s">
        <v>137</v>
      </c>
      <c r="E318" t="s">
        <v>146</v>
      </c>
      <c r="F318" t="s">
        <v>147</v>
      </c>
      <c r="G318">
        <v>0.32222222222222224</v>
      </c>
      <c r="H318">
        <v>3304.32</v>
      </c>
      <c r="I318">
        <v>404</v>
      </c>
      <c r="J318">
        <v>739</v>
      </c>
      <c r="K318" t="s">
        <v>124</v>
      </c>
    </row>
    <row r="319" spans="1:11" ht="14.25" customHeight="1" x14ac:dyDescent="0.35">
      <c r="A319" t="s">
        <v>136</v>
      </c>
      <c r="B319" s="46">
        <v>46118</v>
      </c>
      <c r="C319" t="s">
        <v>84</v>
      </c>
      <c r="D319" t="s">
        <v>137</v>
      </c>
      <c r="E319" t="s">
        <v>150</v>
      </c>
      <c r="F319" t="s">
        <v>151</v>
      </c>
      <c r="G319">
        <v>0.13222222222222221</v>
      </c>
      <c r="H319">
        <v>3264.34</v>
      </c>
      <c r="I319">
        <v>431</v>
      </c>
      <c r="J319">
        <v>431</v>
      </c>
      <c r="K319" t="s">
        <v>124</v>
      </c>
    </row>
    <row r="320" spans="1:11" ht="14.25" customHeight="1" x14ac:dyDescent="0.35">
      <c r="A320" t="s">
        <v>136</v>
      </c>
      <c r="B320" s="46">
        <v>46123</v>
      </c>
      <c r="C320" t="s">
        <v>81</v>
      </c>
      <c r="D320" t="s">
        <v>137</v>
      </c>
      <c r="E320" t="s">
        <v>146</v>
      </c>
      <c r="F320" t="s">
        <v>147</v>
      </c>
      <c r="G320">
        <v>3.242777777777778</v>
      </c>
      <c r="H320">
        <v>3242.77</v>
      </c>
      <c r="I320">
        <v>529</v>
      </c>
      <c r="J320">
        <v>1106</v>
      </c>
      <c r="K320" t="s">
        <v>124</v>
      </c>
    </row>
    <row r="321" spans="1:11" ht="14.25" customHeight="1" x14ac:dyDescent="0.35">
      <c r="A321" t="s">
        <v>136</v>
      </c>
      <c r="B321" s="46">
        <v>46117</v>
      </c>
      <c r="C321" t="s">
        <v>95</v>
      </c>
      <c r="D321" t="s">
        <v>137</v>
      </c>
      <c r="E321" t="s">
        <v>150</v>
      </c>
      <c r="F321" t="s">
        <v>151</v>
      </c>
      <c r="G321">
        <v>0.64583333333333337</v>
      </c>
      <c r="H321">
        <v>3229.33</v>
      </c>
      <c r="I321">
        <v>628</v>
      </c>
      <c r="J321">
        <v>750</v>
      </c>
      <c r="K321" t="s">
        <v>124</v>
      </c>
    </row>
    <row r="322" spans="1:11" ht="14.25" customHeight="1" x14ac:dyDescent="0.35">
      <c r="A322" t="s">
        <v>136</v>
      </c>
      <c r="B322" s="46">
        <v>46118</v>
      </c>
      <c r="C322" t="s">
        <v>99</v>
      </c>
      <c r="D322" t="s">
        <v>137</v>
      </c>
      <c r="E322" t="s">
        <v>150</v>
      </c>
      <c r="F322" t="s">
        <v>151</v>
      </c>
      <c r="G322">
        <v>1.8466666666666667</v>
      </c>
      <c r="H322">
        <v>3205.48</v>
      </c>
      <c r="I322">
        <v>501</v>
      </c>
      <c r="J322">
        <v>838</v>
      </c>
      <c r="K322" t="s">
        <v>124</v>
      </c>
    </row>
    <row r="323" spans="1:11" ht="14.25" customHeight="1" x14ac:dyDescent="0.35">
      <c r="A323" t="s">
        <v>136</v>
      </c>
      <c r="B323" s="46">
        <v>46119</v>
      </c>
      <c r="C323" t="s">
        <v>99</v>
      </c>
      <c r="D323" t="s">
        <v>137</v>
      </c>
      <c r="E323" t="s">
        <v>154</v>
      </c>
      <c r="F323" t="s">
        <v>155</v>
      </c>
      <c r="G323">
        <v>9.7777777777777783E-2</v>
      </c>
      <c r="H323">
        <v>3146.9</v>
      </c>
      <c r="I323">
        <v>352</v>
      </c>
      <c r="J323">
        <v>352</v>
      </c>
      <c r="K323" t="s">
        <v>124</v>
      </c>
    </row>
    <row r="324" spans="1:11" ht="14.25" customHeight="1" x14ac:dyDescent="0.35">
      <c r="A324" t="s">
        <v>136</v>
      </c>
      <c r="B324" s="46">
        <v>46117</v>
      </c>
      <c r="C324" t="s">
        <v>81</v>
      </c>
      <c r="D324" t="s">
        <v>137</v>
      </c>
      <c r="E324" t="s">
        <v>150</v>
      </c>
      <c r="F324" t="s">
        <v>151</v>
      </c>
      <c r="G324">
        <v>0.2088888888888889</v>
      </c>
      <c r="H324">
        <v>3072.2400000000002</v>
      </c>
      <c r="I324">
        <v>502</v>
      </c>
      <c r="J324">
        <v>502</v>
      </c>
      <c r="K324" t="s">
        <v>124</v>
      </c>
    </row>
    <row r="325" spans="1:11" ht="14.25" customHeight="1" x14ac:dyDescent="0.35">
      <c r="A325" t="s">
        <v>136</v>
      </c>
      <c r="B325" s="46">
        <v>46118</v>
      </c>
      <c r="C325" t="s">
        <v>103</v>
      </c>
      <c r="D325" t="s">
        <v>137</v>
      </c>
      <c r="E325" t="s">
        <v>150</v>
      </c>
      <c r="F325" t="s">
        <v>151</v>
      </c>
      <c r="G325">
        <v>2.4452777777777777</v>
      </c>
      <c r="H325">
        <v>3044.4399999999996</v>
      </c>
      <c r="I325">
        <v>709</v>
      </c>
      <c r="J325">
        <v>855</v>
      </c>
      <c r="K325" t="s">
        <v>124</v>
      </c>
    </row>
    <row r="326" spans="1:11" ht="14.25" customHeight="1" x14ac:dyDescent="0.35">
      <c r="A326" t="s">
        <v>136</v>
      </c>
      <c r="B326" s="46">
        <v>46119</v>
      </c>
      <c r="C326" t="s">
        <v>95</v>
      </c>
      <c r="D326" t="s">
        <v>137</v>
      </c>
      <c r="E326" t="s">
        <v>154</v>
      </c>
      <c r="F326" t="s">
        <v>155</v>
      </c>
      <c r="G326">
        <v>9.555555555555556E-2</v>
      </c>
      <c r="H326">
        <v>3027.2000000000003</v>
      </c>
      <c r="I326">
        <v>344</v>
      </c>
      <c r="J326">
        <v>344</v>
      </c>
      <c r="K326" t="s">
        <v>124</v>
      </c>
    </row>
    <row r="327" spans="1:11" ht="14.25" customHeight="1" x14ac:dyDescent="0.35">
      <c r="A327" t="s">
        <v>136</v>
      </c>
      <c r="B327" s="46">
        <v>46117</v>
      </c>
      <c r="C327" t="s">
        <v>100</v>
      </c>
      <c r="D327" t="s">
        <v>137</v>
      </c>
      <c r="E327" t="s">
        <v>144</v>
      </c>
      <c r="F327" t="s">
        <v>145</v>
      </c>
      <c r="G327">
        <v>17.169722222222223</v>
      </c>
      <c r="H327">
        <v>2995.34</v>
      </c>
      <c r="I327">
        <v>596</v>
      </c>
      <c r="J327">
        <v>4058</v>
      </c>
      <c r="K327" t="s">
        <v>124</v>
      </c>
    </row>
    <row r="328" spans="1:11" ht="14.25" customHeight="1" x14ac:dyDescent="0.35">
      <c r="A328" t="s">
        <v>136</v>
      </c>
      <c r="B328" s="46">
        <v>46118</v>
      </c>
      <c r="C328" t="s">
        <v>99</v>
      </c>
      <c r="D328" t="s">
        <v>137</v>
      </c>
      <c r="E328" t="s">
        <v>152</v>
      </c>
      <c r="F328" t="s">
        <v>153</v>
      </c>
      <c r="G328">
        <v>1.1111111111111112</v>
      </c>
      <c r="H328">
        <v>2950.36</v>
      </c>
      <c r="I328">
        <v>287</v>
      </c>
      <c r="J328">
        <v>337</v>
      </c>
      <c r="K328" t="s">
        <v>124</v>
      </c>
    </row>
    <row r="329" spans="1:11" ht="14.25" customHeight="1" x14ac:dyDescent="0.35">
      <c r="A329" t="s">
        <v>136</v>
      </c>
      <c r="B329" s="46">
        <v>46117</v>
      </c>
      <c r="C329" t="s">
        <v>101</v>
      </c>
      <c r="D329" t="s">
        <v>137</v>
      </c>
      <c r="E329" t="s">
        <v>148</v>
      </c>
      <c r="F329" t="s">
        <v>149</v>
      </c>
      <c r="G329">
        <v>0.10972222222222222</v>
      </c>
      <c r="H329">
        <v>2889.59</v>
      </c>
      <c r="I329">
        <v>395</v>
      </c>
      <c r="J329">
        <v>395</v>
      </c>
      <c r="K329" t="s">
        <v>124</v>
      </c>
    </row>
    <row r="330" spans="1:11" ht="14.25" customHeight="1" x14ac:dyDescent="0.35">
      <c r="A330" t="s">
        <v>136</v>
      </c>
      <c r="B330" s="46">
        <v>46120</v>
      </c>
      <c r="C330" t="s">
        <v>97</v>
      </c>
      <c r="D330" t="s">
        <v>137</v>
      </c>
      <c r="E330" t="s">
        <v>150</v>
      </c>
      <c r="F330" t="s">
        <v>151</v>
      </c>
      <c r="G330">
        <v>0.18194444444444444</v>
      </c>
      <c r="H330">
        <v>2887.62</v>
      </c>
      <c r="I330">
        <v>447</v>
      </c>
      <c r="J330">
        <v>557</v>
      </c>
      <c r="K330" t="s">
        <v>124</v>
      </c>
    </row>
    <row r="331" spans="1:11" ht="14.25" customHeight="1" x14ac:dyDescent="0.35">
      <c r="A331" t="s">
        <v>136</v>
      </c>
      <c r="B331" s="46">
        <v>46117</v>
      </c>
      <c r="C331" t="s">
        <v>96</v>
      </c>
      <c r="D331" t="s">
        <v>137</v>
      </c>
      <c r="E331" t="s">
        <v>150</v>
      </c>
      <c r="F331" t="s">
        <v>151</v>
      </c>
      <c r="G331">
        <v>0.54972222222222222</v>
      </c>
      <c r="H331">
        <v>2855.0800000000004</v>
      </c>
      <c r="I331">
        <v>521</v>
      </c>
      <c r="J331">
        <v>581</v>
      </c>
      <c r="K331" t="s">
        <v>124</v>
      </c>
    </row>
    <row r="332" spans="1:11" ht="14.25" customHeight="1" x14ac:dyDescent="0.35">
      <c r="A332" t="s">
        <v>136</v>
      </c>
      <c r="B332" s="46">
        <v>46123</v>
      </c>
      <c r="C332" t="s">
        <v>98</v>
      </c>
      <c r="D332" t="s">
        <v>137</v>
      </c>
      <c r="E332" t="s">
        <v>150</v>
      </c>
      <c r="F332" t="s">
        <v>151</v>
      </c>
      <c r="G332">
        <v>0.60305555555555557</v>
      </c>
      <c r="H332">
        <v>2757.38</v>
      </c>
      <c r="I332">
        <v>338</v>
      </c>
      <c r="J332">
        <v>457</v>
      </c>
      <c r="K332" t="s">
        <v>124</v>
      </c>
    </row>
    <row r="333" spans="1:11" ht="14.25" customHeight="1" x14ac:dyDescent="0.35">
      <c r="A333" t="s">
        <v>136</v>
      </c>
      <c r="B333" s="46">
        <v>46116</v>
      </c>
      <c r="C333" t="s">
        <v>109</v>
      </c>
      <c r="D333" t="s">
        <v>137</v>
      </c>
      <c r="E333" t="s">
        <v>138</v>
      </c>
      <c r="F333" t="s">
        <v>139</v>
      </c>
      <c r="G333">
        <v>0.19138888888888889</v>
      </c>
      <c r="H333">
        <v>2742.22</v>
      </c>
      <c r="I333">
        <v>689</v>
      </c>
      <c r="J333">
        <v>689</v>
      </c>
      <c r="K333" t="s">
        <v>124</v>
      </c>
    </row>
    <row r="334" spans="1:11" ht="14.25" customHeight="1" x14ac:dyDescent="0.35">
      <c r="A334" t="s">
        <v>136</v>
      </c>
      <c r="B334" s="46">
        <v>46119</v>
      </c>
      <c r="C334" t="s">
        <v>90</v>
      </c>
      <c r="D334" t="s">
        <v>137</v>
      </c>
      <c r="E334" t="s">
        <v>150</v>
      </c>
      <c r="F334" t="s">
        <v>151</v>
      </c>
      <c r="G334">
        <v>17.55</v>
      </c>
      <c r="H334">
        <v>2692.89</v>
      </c>
      <c r="I334">
        <v>462</v>
      </c>
      <c r="J334">
        <v>1153</v>
      </c>
      <c r="K334" t="s">
        <v>124</v>
      </c>
    </row>
    <row r="335" spans="1:11" ht="14.25" customHeight="1" x14ac:dyDescent="0.35">
      <c r="A335" t="s">
        <v>136</v>
      </c>
      <c r="B335" s="46">
        <v>46124</v>
      </c>
      <c r="C335" t="s">
        <v>103</v>
      </c>
      <c r="D335" t="s">
        <v>137</v>
      </c>
      <c r="E335" t="s">
        <v>150</v>
      </c>
      <c r="F335" t="s">
        <v>151</v>
      </c>
      <c r="G335">
        <v>0.25222222222222224</v>
      </c>
      <c r="H335">
        <v>2688.9399999999996</v>
      </c>
      <c r="I335">
        <v>330</v>
      </c>
      <c r="J335">
        <v>389</v>
      </c>
      <c r="K335" t="s">
        <v>124</v>
      </c>
    </row>
    <row r="336" spans="1:11" ht="14.25" customHeight="1" x14ac:dyDescent="0.35">
      <c r="A336" t="s">
        <v>136</v>
      </c>
      <c r="B336" s="46">
        <v>46117</v>
      </c>
      <c r="C336" t="s">
        <v>101</v>
      </c>
      <c r="D336" t="s">
        <v>137</v>
      </c>
      <c r="E336" t="s">
        <v>150</v>
      </c>
      <c r="F336" t="s">
        <v>151</v>
      </c>
      <c r="G336">
        <v>2.3947222222222222</v>
      </c>
      <c r="H336">
        <v>2662.71</v>
      </c>
      <c r="I336">
        <v>351</v>
      </c>
      <c r="J336">
        <v>677</v>
      </c>
      <c r="K336" t="s">
        <v>124</v>
      </c>
    </row>
    <row r="337" spans="1:11" ht="14.25" customHeight="1" x14ac:dyDescent="0.35">
      <c r="A337" t="s">
        <v>136</v>
      </c>
      <c r="B337" s="46">
        <v>46118</v>
      </c>
      <c r="C337" t="s">
        <v>81</v>
      </c>
      <c r="D337" t="s">
        <v>137</v>
      </c>
      <c r="E337" t="s">
        <v>150</v>
      </c>
      <c r="F337" t="s">
        <v>151</v>
      </c>
      <c r="G337">
        <v>0.41694444444444445</v>
      </c>
      <c r="H337">
        <v>2605.6999999999998</v>
      </c>
      <c r="I337">
        <v>355</v>
      </c>
      <c r="J337">
        <v>481</v>
      </c>
      <c r="K337" t="s">
        <v>124</v>
      </c>
    </row>
    <row r="338" spans="1:11" ht="14.25" customHeight="1" x14ac:dyDescent="0.35">
      <c r="A338" t="s">
        <v>136</v>
      </c>
      <c r="B338" s="46">
        <v>46124</v>
      </c>
      <c r="C338" t="s">
        <v>109</v>
      </c>
      <c r="D338" t="s">
        <v>137</v>
      </c>
      <c r="E338" t="s">
        <v>140</v>
      </c>
      <c r="F338" t="s">
        <v>141</v>
      </c>
      <c r="G338">
        <v>9.7500000000000003E-2</v>
      </c>
      <c r="H338">
        <v>2571.7599999999998</v>
      </c>
      <c r="I338">
        <v>332</v>
      </c>
      <c r="J338">
        <v>351</v>
      </c>
      <c r="K338" t="s">
        <v>124</v>
      </c>
    </row>
    <row r="339" spans="1:11" ht="14.25" customHeight="1" x14ac:dyDescent="0.35">
      <c r="A339" t="s">
        <v>136</v>
      </c>
      <c r="B339" s="46">
        <v>46121</v>
      </c>
      <c r="C339" t="s">
        <v>106</v>
      </c>
      <c r="D339" t="s">
        <v>137</v>
      </c>
      <c r="E339" t="s">
        <v>142</v>
      </c>
      <c r="F339" t="s">
        <v>143</v>
      </c>
      <c r="G339">
        <v>0.12111111111111111</v>
      </c>
      <c r="H339">
        <v>2409.5700000000002</v>
      </c>
      <c r="I339">
        <v>369</v>
      </c>
      <c r="J339">
        <v>369</v>
      </c>
      <c r="K339" t="s">
        <v>124</v>
      </c>
    </row>
    <row r="340" spans="1:11" ht="14.25" customHeight="1" x14ac:dyDescent="0.35">
      <c r="A340" t="s">
        <v>136</v>
      </c>
      <c r="B340" s="46">
        <v>46122</v>
      </c>
      <c r="C340" t="s">
        <v>106</v>
      </c>
      <c r="D340" t="s">
        <v>137</v>
      </c>
      <c r="E340" t="s">
        <v>142</v>
      </c>
      <c r="F340" t="s">
        <v>143</v>
      </c>
      <c r="G340">
        <v>7.208333333333333</v>
      </c>
      <c r="H340">
        <v>2262.96</v>
      </c>
      <c r="I340">
        <v>504</v>
      </c>
      <c r="J340">
        <v>905</v>
      </c>
      <c r="K340" t="s">
        <v>124</v>
      </c>
    </row>
    <row r="341" spans="1:11" ht="14.25" customHeight="1" x14ac:dyDescent="0.35">
      <c r="A341" t="s">
        <v>136</v>
      </c>
      <c r="B341" s="46">
        <v>46119</v>
      </c>
      <c r="C341" t="s">
        <v>88</v>
      </c>
      <c r="D341" t="s">
        <v>137</v>
      </c>
      <c r="E341" t="s">
        <v>138</v>
      </c>
      <c r="F341" t="s">
        <v>139</v>
      </c>
      <c r="G341">
        <v>9.0277777777777776E-2</v>
      </c>
      <c r="H341">
        <v>2236.9</v>
      </c>
      <c r="I341">
        <v>325</v>
      </c>
      <c r="J341">
        <v>325</v>
      </c>
      <c r="K341" t="s">
        <v>124</v>
      </c>
    </row>
    <row r="342" spans="1:11" ht="14.25" customHeight="1" x14ac:dyDescent="0.35">
      <c r="A342" t="s">
        <v>136</v>
      </c>
      <c r="B342" s="46">
        <v>46117</v>
      </c>
      <c r="C342" t="s">
        <v>101</v>
      </c>
      <c r="D342" t="s">
        <v>137</v>
      </c>
      <c r="E342" t="s">
        <v>144</v>
      </c>
      <c r="F342" t="s">
        <v>145</v>
      </c>
      <c r="G342">
        <v>3.4688888888888889</v>
      </c>
      <c r="H342">
        <v>2234.54</v>
      </c>
      <c r="I342">
        <v>436</v>
      </c>
      <c r="J342">
        <v>2027</v>
      </c>
      <c r="K342" t="s">
        <v>124</v>
      </c>
    </row>
    <row r="343" spans="1:11" ht="14.25" customHeight="1" x14ac:dyDescent="0.35">
      <c r="A343" t="s">
        <v>136</v>
      </c>
      <c r="B343" s="46">
        <v>46123</v>
      </c>
      <c r="C343" t="s">
        <v>106</v>
      </c>
      <c r="D343" t="s">
        <v>137</v>
      </c>
      <c r="E343" t="s">
        <v>150</v>
      </c>
      <c r="F343" t="s">
        <v>151</v>
      </c>
      <c r="G343">
        <v>0.5708333333333333</v>
      </c>
      <c r="H343">
        <v>2224.3200000000002</v>
      </c>
      <c r="I343">
        <v>345</v>
      </c>
      <c r="J343">
        <v>391</v>
      </c>
      <c r="K343" t="s">
        <v>124</v>
      </c>
    </row>
    <row r="344" spans="1:11" ht="14.25" customHeight="1" x14ac:dyDescent="0.35">
      <c r="A344" t="s">
        <v>136</v>
      </c>
      <c r="B344" s="46">
        <v>46123</v>
      </c>
      <c r="C344" t="s">
        <v>101</v>
      </c>
      <c r="D344" t="s">
        <v>137</v>
      </c>
      <c r="E344" t="s">
        <v>150</v>
      </c>
      <c r="F344" t="s">
        <v>151</v>
      </c>
      <c r="G344">
        <v>0.80083333333333329</v>
      </c>
      <c r="H344">
        <v>2169.42</v>
      </c>
      <c r="I344">
        <v>346</v>
      </c>
      <c r="J344">
        <v>890</v>
      </c>
      <c r="K344" t="s">
        <v>124</v>
      </c>
    </row>
    <row r="345" spans="1:11" ht="14.25" customHeight="1" x14ac:dyDescent="0.35">
      <c r="A345" t="s">
        <v>136</v>
      </c>
      <c r="B345" s="46">
        <v>46122</v>
      </c>
      <c r="C345" t="s">
        <v>96</v>
      </c>
      <c r="D345" t="s">
        <v>137</v>
      </c>
      <c r="E345" t="s">
        <v>138</v>
      </c>
      <c r="F345" t="s">
        <v>139</v>
      </c>
      <c r="G345">
        <v>8.2777777777777783E-2</v>
      </c>
      <c r="H345">
        <v>2154.54</v>
      </c>
      <c r="I345">
        <v>298</v>
      </c>
      <c r="J345">
        <v>298</v>
      </c>
      <c r="K345" t="s">
        <v>124</v>
      </c>
    </row>
    <row r="346" spans="1:11" ht="14.25" customHeight="1" x14ac:dyDescent="0.35">
      <c r="A346" t="s">
        <v>136</v>
      </c>
      <c r="B346" s="46">
        <v>46123</v>
      </c>
      <c r="C346" t="s">
        <v>99</v>
      </c>
      <c r="D346" t="s">
        <v>137</v>
      </c>
      <c r="E346" t="s">
        <v>152</v>
      </c>
      <c r="F346" t="s">
        <v>153</v>
      </c>
      <c r="G346">
        <v>0.59861111111111109</v>
      </c>
      <c r="H346">
        <v>2122.7999999999997</v>
      </c>
      <c r="I346">
        <v>348</v>
      </c>
      <c r="J346">
        <v>567</v>
      </c>
      <c r="K346" t="s">
        <v>124</v>
      </c>
    </row>
    <row r="347" spans="1:11" ht="14.25" customHeight="1" x14ac:dyDescent="0.35">
      <c r="A347" t="s">
        <v>136</v>
      </c>
      <c r="B347" s="46">
        <v>46122</v>
      </c>
      <c r="C347" t="s">
        <v>88</v>
      </c>
      <c r="D347" t="s">
        <v>137</v>
      </c>
      <c r="E347" t="s">
        <v>138</v>
      </c>
      <c r="F347" t="s">
        <v>139</v>
      </c>
      <c r="G347">
        <v>7.9444444444444443E-2</v>
      </c>
      <c r="H347">
        <v>2113.54</v>
      </c>
      <c r="I347">
        <v>286</v>
      </c>
      <c r="J347">
        <v>286</v>
      </c>
      <c r="K347" t="s">
        <v>124</v>
      </c>
    </row>
    <row r="348" spans="1:11" ht="14.25" customHeight="1" x14ac:dyDescent="0.35">
      <c r="A348" t="s">
        <v>136</v>
      </c>
      <c r="B348" s="46">
        <v>46119</v>
      </c>
      <c r="C348" t="s">
        <v>103</v>
      </c>
      <c r="D348" t="s">
        <v>137</v>
      </c>
      <c r="E348" t="s">
        <v>150</v>
      </c>
      <c r="F348" t="s">
        <v>151</v>
      </c>
      <c r="G348">
        <v>0.91472222222222221</v>
      </c>
      <c r="H348">
        <v>2113.08</v>
      </c>
      <c r="I348">
        <v>366</v>
      </c>
      <c r="J348">
        <v>738</v>
      </c>
      <c r="K348" t="s">
        <v>124</v>
      </c>
    </row>
    <row r="349" spans="1:11" ht="14.25" customHeight="1" x14ac:dyDescent="0.35">
      <c r="A349" t="s">
        <v>136</v>
      </c>
      <c r="B349" s="46">
        <v>46124</v>
      </c>
      <c r="C349" t="s">
        <v>93</v>
      </c>
      <c r="D349" t="s">
        <v>137</v>
      </c>
      <c r="E349" t="s">
        <v>146</v>
      </c>
      <c r="F349" t="s">
        <v>147</v>
      </c>
      <c r="G349">
        <v>0.87333333333333329</v>
      </c>
      <c r="H349">
        <v>2104</v>
      </c>
      <c r="I349">
        <v>263</v>
      </c>
      <c r="J349">
        <v>570</v>
      </c>
      <c r="K349" t="s">
        <v>124</v>
      </c>
    </row>
    <row r="350" spans="1:11" ht="14.25" customHeight="1" x14ac:dyDescent="0.35">
      <c r="A350" t="s">
        <v>136</v>
      </c>
      <c r="B350" s="46">
        <v>46120</v>
      </c>
      <c r="C350" t="s">
        <v>99</v>
      </c>
      <c r="D350" t="s">
        <v>137</v>
      </c>
      <c r="E350" t="s">
        <v>150</v>
      </c>
      <c r="F350" t="s">
        <v>151</v>
      </c>
      <c r="G350">
        <v>0.27555555555555555</v>
      </c>
      <c r="H350">
        <v>2052.61</v>
      </c>
      <c r="I350">
        <v>497</v>
      </c>
      <c r="J350">
        <v>497</v>
      </c>
      <c r="K350" t="s">
        <v>124</v>
      </c>
    </row>
    <row r="351" spans="1:11" ht="14.25" customHeight="1" x14ac:dyDescent="0.35">
      <c r="A351" t="s">
        <v>136</v>
      </c>
      <c r="B351" s="46">
        <v>46123</v>
      </c>
      <c r="C351" t="s">
        <v>96</v>
      </c>
      <c r="D351" t="s">
        <v>137</v>
      </c>
      <c r="E351" t="s">
        <v>150</v>
      </c>
      <c r="F351" t="s">
        <v>151</v>
      </c>
      <c r="G351">
        <v>2.3761111111111113</v>
      </c>
      <c r="H351">
        <v>2051.98</v>
      </c>
      <c r="I351">
        <v>359</v>
      </c>
      <c r="J351">
        <v>620</v>
      </c>
      <c r="K351" t="s">
        <v>124</v>
      </c>
    </row>
    <row r="352" spans="1:11" ht="14.25" customHeight="1" x14ac:dyDescent="0.35">
      <c r="A352" t="s">
        <v>136</v>
      </c>
      <c r="B352" s="46">
        <v>46118</v>
      </c>
      <c r="C352" t="s">
        <v>98</v>
      </c>
      <c r="D352" t="s">
        <v>137</v>
      </c>
      <c r="E352" t="s">
        <v>150</v>
      </c>
      <c r="F352" t="s">
        <v>151</v>
      </c>
      <c r="G352">
        <v>0.12166666666666667</v>
      </c>
      <c r="H352">
        <v>2027.08</v>
      </c>
      <c r="I352">
        <v>374</v>
      </c>
      <c r="J352">
        <v>374</v>
      </c>
      <c r="K352" t="s">
        <v>124</v>
      </c>
    </row>
    <row r="353" spans="1:11" ht="14.25" customHeight="1" x14ac:dyDescent="0.35">
      <c r="A353" t="s">
        <v>136</v>
      </c>
      <c r="B353" s="46">
        <v>46118</v>
      </c>
      <c r="C353" t="s">
        <v>97</v>
      </c>
      <c r="D353" t="s">
        <v>137</v>
      </c>
      <c r="E353" t="s">
        <v>154</v>
      </c>
      <c r="F353" t="s">
        <v>155</v>
      </c>
      <c r="G353">
        <v>2.5347222222222223</v>
      </c>
      <c r="H353">
        <v>2014.2</v>
      </c>
      <c r="I353">
        <v>270</v>
      </c>
      <c r="J353">
        <v>270</v>
      </c>
      <c r="K353" t="s">
        <v>124</v>
      </c>
    </row>
    <row r="354" spans="1:11" ht="14.25" customHeight="1" x14ac:dyDescent="0.35">
      <c r="A354" t="s">
        <v>136</v>
      </c>
      <c r="B354" s="46">
        <v>46119</v>
      </c>
      <c r="C354" t="s">
        <v>104</v>
      </c>
      <c r="D354" t="s">
        <v>137</v>
      </c>
      <c r="E354" t="s">
        <v>146</v>
      </c>
      <c r="F354" t="s">
        <v>147</v>
      </c>
      <c r="G354">
        <v>0.6694444444444444</v>
      </c>
      <c r="H354">
        <v>1991.2099999999998</v>
      </c>
      <c r="I354">
        <v>289</v>
      </c>
      <c r="J354">
        <v>677</v>
      </c>
      <c r="K354" t="s">
        <v>124</v>
      </c>
    </row>
    <row r="355" spans="1:11" ht="14.25" customHeight="1" x14ac:dyDescent="0.35">
      <c r="A355" t="s">
        <v>136</v>
      </c>
      <c r="B355" s="46">
        <v>46118</v>
      </c>
      <c r="C355" t="s">
        <v>100</v>
      </c>
      <c r="D355" t="s">
        <v>137</v>
      </c>
      <c r="E355" t="s">
        <v>146</v>
      </c>
      <c r="F355" t="s">
        <v>147</v>
      </c>
      <c r="G355">
        <v>0.15583333333333332</v>
      </c>
      <c r="H355">
        <v>1933.5800000000002</v>
      </c>
      <c r="I355">
        <v>517</v>
      </c>
      <c r="J355">
        <v>517</v>
      </c>
      <c r="K355" t="s">
        <v>124</v>
      </c>
    </row>
    <row r="356" spans="1:11" ht="14.25" customHeight="1" x14ac:dyDescent="0.35">
      <c r="A356" t="s">
        <v>136</v>
      </c>
      <c r="B356" s="46">
        <v>46118</v>
      </c>
      <c r="C356" t="s">
        <v>81</v>
      </c>
      <c r="D356" t="s">
        <v>137</v>
      </c>
      <c r="E356" t="s">
        <v>146</v>
      </c>
      <c r="F356" t="s">
        <v>147</v>
      </c>
      <c r="G356">
        <v>0.38388888888888889</v>
      </c>
      <c r="H356">
        <v>1916.97</v>
      </c>
      <c r="I356">
        <v>407</v>
      </c>
      <c r="J356">
        <v>407</v>
      </c>
      <c r="K356" t="s">
        <v>124</v>
      </c>
    </row>
    <row r="357" spans="1:11" ht="14.25" customHeight="1" x14ac:dyDescent="0.35">
      <c r="A357" t="s">
        <v>136</v>
      </c>
      <c r="B357" s="46">
        <v>46123</v>
      </c>
      <c r="C357" t="s">
        <v>85</v>
      </c>
      <c r="D357" t="s">
        <v>137</v>
      </c>
      <c r="E357" t="s">
        <v>154</v>
      </c>
      <c r="F357" t="s">
        <v>155</v>
      </c>
      <c r="G357">
        <v>1.2224999999999999</v>
      </c>
      <c r="H357">
        <v>1896.6200000000001</v>
      </c>
      <c r="I357">
        <v>233</v>
      </c>
      <c r="J357">
        <v>233</v>
      </c>
      <c r="K357" t="s">
        <v>124</v>
      </c>
    </row>
    <row r="358" spans="1:11" ht="14.25" customHeight="1" x14ac:dyDescent="0.35">
      <c r="A358" t="s">
        <v>136</v>
      </c>
      <c r="B358" s="46">
        <v>46118</v>
      </c>
      <c r="C358" t="s">
        <v>97</v>
      </c>
      <c r="D358" t="s">
        <v>137</v>
      </c>
      <c r="E358" t="s">
        <v>150</v>
      </c>
      <c r="F358" t="s">
        <v>151</v>
      </c>
      <c r="G358">
        <v>0.27611111111111108</v>
      </c>
      <c r="H358">
        <v>1870.3</v>
      </c>
      <c r="I358">
        <v>471</v>
      </c>
      <c r="J358">
        <v>471</v>
      </c>
      <c r="K358" t="s">
        <v>124</v>
      </c>
    </row>
    <row r="359" spans="1:11" ht="14.25" customHeight="1" x14ac:dyDescent="0.35">
      <c r="A359" t="s">
        <v>136</v>
      </c>
      <c r="B359" s="46">
        <v>46124</v>
      </c>
      <c r="C359" t="s">
        <v>104</v>
      </c>
      <c r="D359" t="s">
        <v>137</v>
      </c>
      <c r="E359" t="s">
        <v>146</v>
      </c>
      <c r="F359" t="s">
        <v>147</v>
      </c>
      <c r="G359">
        <v>0.23333333333333334</v>
      </c>
      <c r="H359">
        <v>1827.54</v>
      </c>
      <c r="I359">
        <v>286</v>
      </c>
      <c r="J359">
        <v>522</v>
      </c>
      <c r="K359" t="s">
        <v>124</v>
      </c>
    </row>
    <row r="360" spans="1:11" ht="14.25" customHeight="1" x14ac:dyDescent="0.35">
      <c r="A360" t="s">
        <v>136</v>
      </c>
      <c r="B360" s="46">
        <v>46119</v>
      </c>
      <c r="C360" t="s">
        <v>100</v>
      </c>
      <c r="D360" t="s">
        <v>137</v>
      </c>
      <c r="E360" t="s">
        <v>152</v>
      </c>
      <c r="F360" t="s">
        <v>153</v>
      </c>
      <c r="G360">
        <v>0.30111111111111111</v>
      </c>
      <c r="H360">
        <v>1811.3400000000001</v>
      </c>
      <c r="I360">
        <v>522</v>
      </c>
      <c r="J360">
        <v>549</v>
      </c>
      <c r="K360" t="s">
        <v>124</v>
      </c>
    </row>
    <row r="361" spans="1:11" ht="14.25" customHeight="1" x14ac:dyDescent="0.35">
      <c r="A361" t="s">
        <v>136</v>
      </c>
      <c r="B361" s="46">
        <v>46119</v>
      </c>
      <c r="C361" t="s">
        <v>96</v>
      </c>
      <c r="D361" t="s">
        <v>137</v>
      </c>
      <c r="E361" t="s">
        <v>138</v>
      </c>
      <c r="F361" t="s">
        <v>139</v>
      </c>
      <c r="G361">
        <v>7.5555555555555556E-2</v>
      </c>
      <c r="H361">
        <v>1805.94</v>
      </c>
      <c r="I361">
        <v>272</v>
      </c>
      <c r="J361">
        <v>272</v>
      </c>
      <c r="K361" t="s">
        <v>124</v>
      </c>
    </row>
    <row r="362" spans="1:11" ht="14.25" customHeight="1" x14ac:dyDescent="0.35">
      <c r="A362" t="s">
        <v>136</v>
      </c>
      <c r="B362" s="46">
        <v>46123</v>
      </c>
      <c r="C362" t="s">
        <v>95</v>
      </c>
      <c r="D362" t="s">
        <v>137</v>
      </c>
      <c r="E362" t="s">
        <v>150</v>
      </c>
      <c r="F362" t="s">
        <v>151</v>
      </c>
      <c r="G362">
        <v>0.56472222222222224</v>
      </c>
      <c r="H362">
        <v>1789.34</v>
      </c>
      <c r="I362">
        <v>298</v>
      </c>
      <c r="J362">
        <v>532</v>
      </c>
      <c r="K362" t="s">
        <v>124</v>
      </c>
    </row>
    <row r="363" spans="1:11" ht="14.25" customHeight="1" x14ac:dyDescent="0.35">
      <c r="A363" t="s">
        <v>136</v>
      </c>
      <c r="B363" s="46">
        <v>46120</v>
      </c>
      <c r="C363" t="s">
        <v>85</v>
      </c>
      <c r="D363" t="s">
        <v>137</v>
      </c>
      <c r="E363" t="s">
        <v>138</v>
      </c>
      <c r="F363" t="s">
        <v>139</v>
      </c>
      <c r="G363">
        <v>2.2777777777777779E-2</v>
      </c>
      <c r="H363">
        <v>1785.96</v>
      </c>
      <c r="I363">
        <v>82</v>
      </c>
      <c r="J363">
        <v>82</v>
      </c>
      <c r="K363" t="s">
        <v>124</v>
      </c>
    </row>
    <row r="364" spans="1:11" ht="14.25" customHeight="1" x14ac:dyDescent="0.35">
      <c r="A364" t="s">
        <v>136</v>
      </c>
      <c r="B364" s="46">
        <v>46118</v>
      </c>
      <c r="C364" t="s">
        <v>93</v>
      </c>
      <c r="D364" t="s">
        <v>137</v>
      </c>
      <c r="E364" t="s">
        <v>154</v>
      </c>
      <c r="F364" t="s">
        <v>155</v>
      </c>
      <c r="G364">
        <v>2.2822222222222224</v>
      </c>
      <c r="H364">
        <v>1762.52</v>
      </c>
      <c r="I364">
        <v>278</v>
      </c>
      <c r="J364">
        <v>289</v>
      </c>
      <c r="K364" t="s">
        <v>124</v>
      </c>
    </row>
    <row r="365" spans="1:11" ht="14.25" customHeight="1" x14ac:dyDescent="0.35">
      <c r="A365" t="s">
        <v>136</v>
      </c>
      <c r="B365" s="46">
        <v>46117</v>
      </c>
      <c r="C365" t="s">
        <v>97</v>
      </c>
      <c r="D365" t="s">
        <v>137</v>
      </c>
      <c r="E365" t="s">
        <v>150</v>
      </c>
      <c r="F365" t="s">
        <v>151</v>
      </c>
      <c r="G365">
        <v>0.14222222222222222</v>
      </c>
      <c r="H365">
        <v>1740.96</v>
      </c>
      <c r="I365">
        <v>432</v>
      </c>
      <c r="J365">
        <v>472</v>
      </c>
      <c r="K365" t="s">
        <v>124</v>
      </c>
    </row>
    <row r="366" spans="1:11" ht="14.25" customHeight="1" x14ac:dyDescent="0.35">
      <c r="A366" t="s">
        <v>136</v>
      </c>
      <c r="B366" s="46">
        <v>46118</v>
      </c>
      <c r="C366" t="s">
        <v>109</v>
      </c>
      <c r="D366" t="s">
        <v>137</v>
      </c>
      <c r="E366" t="s">
        <v>146</v>
      </c>
      <c r="F366" t="s">
        <v>147</v>
      </c>
      <c r="G366">
        <v>0.44555555555555554</v>
      </c>
      <c r="H366">
        <v>1737.3100000000002</v>
      </c>
      <c r="I366">
        <v>362</v>
      </c>
      <c r="J366">
        <v>745</v>
      </c>
      <c r="K366" t="s">
        <v>124</v>
      </c>
    </row>
    <row r="367" spans="1:11" ht="14.25" customHeight="1" x14ac:dyDescent="0.35">
      <c r="A367" t="s">
        <v>136</v>
      </c>
      <c r="B367" s="46">
        <v>46123</v>
      </c>
      <c r="C367" t="s">
        <v>88</v>
      </c>
      <c r="D367" t="s">
        <v>137</v>
      </c>
      <c r="E367" t="s">
        <v>150</v>
      </c>
      <c r="F367" t="s">
        <v>151</v>
      </c>
      <c r="G367">
        <v>0.63833333333333331</v>
      </c>
      <c r="H367">
        <v>1733.4</v>
      </c>
      <c r="I367">
        <v>321</v>
      </c>
      <c r="J367">
        <v>650</v>
      </c>
      <c r="K367" t="s">
        <v>124</v>
      </c>
    </row>
    <row r="368" spans="1:11" ht="14.25" customHeight="1" x14ac:dyDescent="0.35">
      <c r="A368" t="s">
        <v>136</v>
      </c>
      <c r="B368" s="46">
        <v>46118</v>
      </c>
      <c r="C368" t="s">
        <v>106</v>
      </c>
      <c r="D368" t="s">
        <v>137</v>
      </c>
      <c r="E368" t="s">
        <v>150</v>
      </c>
      <c r="F368" t="s">
        <v>151</v>
      </c>
      <c r="G368">
        <v>0.15722222222222224</v>
      </c>
      <c r="H368">
        <v>1708.42</v>
      </c>
      <c r="I368">
        <v>380</v>
      </c>
      <c r="J368">
        <v>380</v>
      </c>
      <c r="K368" t="s">
        <v>124</v>
      </c>
    </row>
    <row r="369" spans="1:11" ht="14.25" customHeight="1" x14ac:dyDescent="0.35">
      <c r="A369" t="s">
        <v>136</v>
      </c>
      <c r="B369" s="46">
        <v>46119</v>
      </c>
      <c r="C369" t="s">
        <v>109</v>
      </c>
      <c r="D369" t="s">
        <v>137</v>
      </c>
      <c r="E369" t="s">
        <v>152</v>
      </c>
      <c r="F369" t="s">
        <v>153</v>
      </c>
      <c r="G369">
        <v>8.666666666666667E-2</v>
      </c>
      <c r="H369">
        <v>1704.1399999999999</v>
      </c>
      <c r="I369">
        <v>278</v>
      </c>
      <c r="J369">
        <v>312</v>
      </c>
      <c r="K369" t="s">
        <v>124</v>
      </c>
    </row>
    <row r="370" spans="1:11" ht="14.25" customHeight="1" x14ac:dyDescent="0.35">
      <c r="A370" t="s">
        <v>136</v>
      </c>
      <c r="B370" s="46">
        <v>46124</v>
      </c>
      <c r="C370" t="s">
        <v>84</v>
      </c>
      <c r="D370" t="s">
        <v>137</v>
      </c>
      <c r="E370" t="s">
        <v>152</v>
      </c>
      <c r="F370" t="s">
        <v>153</v>
      </c>
      <c r="G370">
        <v>0.68361111111111106</v>
      </c>
      <c r="H370">
        <v>1671.4099999999999</v>
      </c>
      <c r="I370">
        <v>299</v>
      </c>
      <c r="J370">
        <v>448</v>
      </c>
      <c r="K370" t="s">
        <v>124</v>
      </c>
    </row>
    <row r="371" spans="1:11" ht="14.25" customHeight="1" x14ac:dyDescent="0.35">
      <c r="A371" t="s">
        <v>136</v>
      </c>
      <c r="B371" s="46">
        <v>46124</v>
      </c>
      <c r="C371" t="s">
        <v>86</v>
      </c>
      <c r="D371" t="s">
        <v>137</v>
      </c>
      <c r="E371" t="s">
        <v>152</v>
      </c>
      <c r="F371" t="s">
        <v>153</v>
      </c>
      <c r="G371">
        <v>0.55777777777777782</v>
      </c>
      <c r="H371">
        <v>1590.3</v>
      </c>
      <c r="I371">
        <v>279</v>
      </c>
      <c r="J371">
        <v>387</v>
      </c>
      <c r="K371" t="s">
        <v>124</v>
      </c>
    </row>
    <row r="372" spans="1:11" ht="14.25" customHeight="1" x14ac:dyDescent="0.35">
      <c r="A372" t="s">
        <v>136</v>
      </c>
      <c r="B372" s="46">
        <v>46118</v>
      </c>
      <c r="C372" t="s">
        <v>84</v>
      </c>
      <c r="D372" t="s">
        <v>137</v>
      </c>
      <c r="E372" t="s">
        <v>146</v>
      </c>
      <c r="F372" t="s">
        <v>147</v>
      </c>
      <c r="G372">
        <v>0.13083333333333333</v>
      </c>
      <c r="H372">
        <v>1564.1399999999999</v>
      </c>
      <c r="I372">
        <v>262</v>
      </c>
      <c r="J372">
        <v>361</v>
      </c>
      <c r="K372" t="s">
        <v>124</v>
      </c>
    </row>
    <row r="373" spans="1:11" ht="14.25" customHeight="1" x14ac:dyDescent="0.35">
      <c r="A373" t="s">
        <v>136</v>
      </c>
      <c r="B373" s="46">
        <v>46124</v>
      </c>
      <c r="C373" t="s">
        <v>103</v>
      </c>
      <c r="D373" t="s">
        <v>137</v>
      </c>
      <c r="E373" t="s">
        <v>146</v>
      </c>
      <c r="F373" t="s">
        <v>147</v>
      </c>
      <c r="G373">
        <v>0.2036111111111111</v>
      </c>
      <c r="H373">
        <v>1559.96</v>
      </c>
      <c r="I373">
        <v>236</v>
      </c>
      <c r="J373">
        <v>355</v>
      </c>
      <c r="K373" t="s">
        <v>124</v>
      </c>
    </row>
    <row r="374" spans="1:11" ht="14.25" customHeight="1" x14ac:dyDescent="0.35">
      <c r="A374" t="s">
        <v>136</v>
      </c>
      <c r="B374" s="46">
        <v>46118</v>
      </c>
      <c r="C374" t="s">
        <v>95</v>
      </c>
      <c r="D374" t="s">
        <v>137</v>
      </c>
      <c r="E374" t="s">
        <v>146</v>
      </c>
      <c r="F374" t="s">
        <v>147</v>
      </c>
      <c r="G374">
        <v>0.40972222222222221</v>
      </c>
      <c r="H374">
        <v>1559.3000000000002</v>
      </c>
      <c r="I374">
        <v>310</v>
      </c>
      <c r="J374">
        <v>392</v>
      </c>
      <c r="K374" t="s">
        <v>124</v>
      </c>
    </row>
    <row r="375" spans="1:11" ht="14.25" customHeight="1" x14ac:dyDescent="0.35">
      <c r="A375" t="s">
        <v>136</v>
      </c>
      <c r="B375" s="46">
        <v>46118</v>
      </c>
      <c r="C375" t="s">
        <v>101</v>
      </c>
      <c r="D375" t="s">
        <v>137</v>
      </c>
      <c r="E375" t="s">
        <v>146</v>
      </c>
      <c r="F375" t="s">
        <v>147</v>
      </c>
      <c r="G375">
        <v>0.17527777777777778</v>
      </c>
      <c r="H375">
        <v>1539.24</v>
      </c>
      <c r="I375">
        <v>381</v>
      </c>
      <c r="J375">
        <v>574</v>
      </c>
      <c r="K375" t="s">
        <v>124</v>
      </c>
    </row>
    <row r="376" spans="1:11" ht="14.25" customHeight="1" x14ac:dyDescent="0.35">
      <c r="A376" t="s">
        <v>136</v>
      </c>
      <c r="B376" s="46">
        <v>46124</v>
      </c>
      <c r="C376" t="s">
        <v>88</v>
      </c>
      <c r="D376" t="s">
        <v>137</v>
      </c>
      <c r="E376" t="s">
        <v>156</v>
      </c>
      <c r="F376" t="s">
        <v>157</v>
      </c>
      <c r="G376">
        <v>9.194444444444444E-2</v>
      </c>
      <c r="H376">
        <v>1522.6100000000001</v>
      </c>
      <c r="I376">
        <v>331</v>
      </c>
      <c r="J376">
        <v>331</v>
      </c>
      <c r="K376" t="s">
        <v>124</v>
      </c>
    </row>
    <row r="377" spans="1:11" ht="14.25" customHeight="1" x14ac:dyDescent="0.35">
      <c r="A377" t="s">
        <v>136</v>
      </c>
      <c r="B377" s="46">
        <v>46119</v>
      </c>
      <c r="C377" t="s">
        <v>88</v>
      </c>
      <c r="D377" t="s">
        <v>137</v>
      </c>
      <c r="E377" t="s">
        <v>150</v>
      </c>
      <c r="F377" t="s">
        <v>151</v>
      </c>
      <c r="G377">
        <v>20.688333333333333</v>
      </c>
      <c r="H377">
        <v>1502.5200000000002</v>
      </c>
      <c r="I377">
        <v>352</v>
      </c>
      <c r="J377">
        <v>671</v>
      </c>
      <c r="K377" t="s">
        <v>124</v>
      </c>
    </row>
    <row r="378" spans="1:11" ht="14.25" customHeight="1" x14ac:dyDescent="0.35">
      <c r="A378" t="s">
        <v>136</v>
      </c>
      <c r="B378" s="46">
        <v>46124</v>
      </c>
      <c r="C378" t="s">
        <v>103</v>
      </c>
      <c r="D378" t="s">
        <v>137</v>
      </c>
      <c r="E378" t="s">
        <v>152</v>
      </c>
      <c r="F378" t="s">
        <v>153</v>
      </c>
      <c r="G378">
        <v>0.35833333333333334</v>
      </c>
      <c r="H378">
        <v>1481.5300000000002</v>
      </c>
      <c r="I378">
        <v>261</v>
      </c>
      <c r="J378">
        <v>343</v>
      </c>
      <c r="K378" t="s">
        <v>124</v>
      </c>
    </row>
    <row r="379" spans="1:11" ht="14.25" customHeight="1" x14ac:dyDescent="0.35">
      <c r="A379" t="s">
        <v>136</v>
      </c>
      <c r="B379" s="46">
        <v>46120</v>
      </c>
      <c r="C379" t="s">
        <v>95</v>
      </c>
      <c r="D379" t="s">
        <v>137</v>
      </c>
      <c r="E379" t="s">
        <v>150</v>
      </c>
      <c r="F379" t="s">
        <v>151</v>
      </c>
      <c r="G379">
        <v>3.3147222222222221</v>
      </c>
      <c r="H379">
        <v>1479.68</v>
      </c>
      <c r="I379">
        <v>512</v>
      </c>
      <c r="J379">
        <v>617</v>
      </c>
      <c r="K379" t="s">
        <v>124</v>
      </c>
    </row>
    <row r="380" spans="1:11" ht="14.25" customHeight="1" x14ac:dyDescent="0.35">
      <c r="A380" t="s">
        <v>136</v>
      </c>
      <c r="B380" s="46">
        <v>46118</v>
      </c>
      <c r="C380" t="s">
        <v>106</v>
      </c>
      <c r="D380" t="s">
        <v>137</v>
      </c>
      <c r="E380" t="s">
        <v>152</v>
      </c>
      <c r="F380" t="s">
        <v>153</v>
      </c>
      <c r="G380">
        <v>0.18666666666666668</v>
      </c>
      <c r="H380">
        <v>1447.1000000000001</v>
      </c>
      <c r="I380">
        <v>290</v>
      </c>
      <c r="J380">
        <v>374</v>
      </c>
      <c r="K380" t="s">
        <v>124</v>
      </c>
    </row>
    <row r="381" spans="1:11" ht="14.25" customHeight="1" x14ac:dyDescent="0.35">
      <c r="A381" t="s">
        <v>136</v>
      </c>
      <c r="B381" s="46">
        <v>46118</v>
      </c>
      <c r="C381" t="s">
        <v>85</v>
      </c>
      <c r="D381" t="s">
        <v>137</v>
      </c>
      <c r="E381" t="s">
        <v>146</v>
      </c>
      <c r="F381" t="s">
        <v>147</v>
      </c>
      <c r="G381">
        <v>0.6086111111111111</v>
      </c>
      <c r="H381">
        <v>1439.75</v>
      </c>
      <c r="I381">
        <v>325</v>
      </c>
      <c r="J381">
        <v>796</v>
      </c>
      <c r="K381" t="s">
        <v>124</v>
      </c>
    </row>
    <row r="382" spans="1:11" ht="14.25" customHeight="1" x14ac:dyDescent="0.35">
      <c r="A382" t="s">
        <v>136</v>
      </c>
      <c r="B382" s="46">
        <v>46120</v>
      </c>
      <c r="C382" t="s">
        <v>81</v>
      </c>
      <c r="D382" t="s">
        <v>137</v>
      </c>
      <c r="E382" t="s">
        <v>150</v>
      </c>
      <c r="F382" t="s">
        <v>151</v>
      </c>
      <c r="G382">
        <v>2.0605555555555557</v>
      </c>
      <c r="H382">
        <v>1391.48</v>
      </c>
      <c r="I382">
        <v>303</v>
      </c>
      <c r="J382">
        <v>490</v>
      </c>
      <c r="K382" t="s">
        <v>124</v>
      </c>
    </row>
    <row r="383" spans="1:11" ht="14.25" customHeight="1" x14ac:dyDescent="0.35">
      <c r="A383" t="s">
        <v>136</v>
      </c>
      <c r="B383" s="46">
        <v>46119</v>
      </c>
      <c r="C383" t="s">
        <v>101</v>
      </c>
      <c r="D383" t="s">
        <v>137</v>
      </c>
      <c r="E383" t="s">
        <v>146</v>
      </c>
      <c r="F383" t="s">
        <v>147</v>
      </c>
      <c r="G383">
        <v>8.0555555555555561E-2</v>
      </c>
      <c r="H383">
        <v>1382.78</v>
      </c>
      <c r="I383">
        <v>166</v>
      </c>
      <c r="J383">
        <v>287</v>
      </c>
      <c r="K383" t="s">
        <v>124</v>
      </c>
    </row>
    <row r="384" spans="1:11" ht="14.25" customHeight="1" x14ac:dyDescent="0.35">
      <c r="A384" t="s">
        <v>136</v>
      </c>
      <c r="B384" s="46">
        <v>46124</v>
      </c>
      <c r="C384" t="s">
        <v>104</v>
      </c>
      <c r="D384" t="s">
        <v>137</v>
      </c>
      <c r="E384" t="s">
        <v>152</v>
      </c>
      <c r="F384" t="s">
        <v>153</v>
      </c>
      <c r="G384">
        <v>0.61305555555555558</v>
      </c>
      <c r="H384">
        <v>1365.8899999999999</v>
      </c>
      <c r="I384">
        <v>321</v>
      </c>
      <c r="J384">
        <v>543</v>
      </c>
      <c r="K384" t="s">
        <v>124</v>
      </c>
    </row>
    <row r="385" spans="1:11" ht="14.25" customHeight="1" x14ac:dyDescent="0.35">
      <c r="A385" t="s">
        <v>136</v>
      </c>
      <c r="B385" s="46">
        <v>46118</v>
      </c>
      <c r="C385" t="s">
        <v>109</v>
      </c>
      <c r="D385" t="s">
        <v>137</v>
      </c>
      <c r="E385" t="s">
        <v>154</v>
      </c>
      <c r="F385" t="s">
        <v>155</v>
      </c>
      <c r="G385">
        <v>1.7786111111111111</v>
      </c>
      <c r="H385">
        <v>1364.1299999999999</v>
      </c>
      <c r="I385">
        <v>207</v>
      </c>
      <c r="J385">
        <v>218</v>
      </c>
      <c r="K385" t="s">
        <v>124</v>
      </c>
    </row>
    <row r="386" spans="1:11" ht="14.25" customHeight="1" x14ac:dyDescent="0.35">
      <c r="A386" t="s">
        <v>136</v>
      </c>
      <c r="B386" s="46">
        <v>46124</v>
      </c>
      <c r="C386" t="s">
        <v>88</v>
      </c>
      <c r="D386" t="s">
        <v>137</v>
      </c>
      <c r="E386" t="s">
        <v>152</v>
      </c>
      <c r="F386" t="s">
        <v>153</v>
      </c>
      <c r="G386">
        <v>0.39333333333333331</v>
      </c>
      <c r="H386">
        <v>1341.42</v>
      </c>
      <c r="I386">
        <v>230</v>
      </c>
      <c r="J386">
        <v>410</v>
      </c>
      <c r="K386" t="s">
        <v>124</v>
      </c>
    </row>
    <row r="387" spans="1:11" ht="14.25" customHeight="1" x14ac:dyDescent="0.35">
      <c r="A387" t="s">
        <v>136</v>
      </c>
      <c r="B387" s="46">
        <v>46124</v>
      </c>
      <c r="C387" t="s">
        <v>88</v>
      </c>
      <c r="D387" t="s">
        <v>137</v>
      </c>
      <c r="E387" t="s">
        <v>146</v>
      </c>
      <c r="F387" t="s">
        <v>147</v>
      </c>
      <c r="G387">
        <v>7.1388888888888891E-2</v>
      </c>
      <c r="H387">
        <v>1336.1</v>
      </c>
      <c r="I387">
        <v>155</v>
      </c>
      <c r="J387">
        <v>252</v>
      </c>
      <c r="K387" t="s">
        <v>124</v>
      </c>
    </row>
    <row r="388" spans="1:11" ht="14.25" customHeight="1" x14ac:dyDescent="0.35">
      <c r="A388" t="s">
        <v>136</v>
      </c>
      <c r="B388" s="46">
        <v>46119</v>
      </c>
      <c r="C388" t="s">
        <v>109</v>
      </c>
      <c r="D388" t="s">
        <v>137</v>
      </c>
      <c r="E388" t="s">
        <v>146</v>
      </c>
      <c r="F388" t="s">
        <v>147</v>
      </c>
      <c r="G388">
        <v>6.3611111111111104E-2</v>
      </c>
      <c r="H388">
        <v>1332.84</v>
      </c>
      <c r="I388">
        <v>174</v>
      </c>
      <c r="J388">
        <v>229</v>
      </c>
      <c r="K388" t="s">
        <v>124</v>
      </c>
    </row>
    <row r="389" spans="1:11" ht="14.25" customHeight="1" x14ac:dyDescent="0.35">
      <c r="A389" t="s">
        <v>136</v>
      </c>
      <c r="B389" s="46">
        <v>46123</v>
      </c>
      <c r="C389" t="s">
        <v>97</v>
      </c>
      <c r="D389" t="s">
        <v>137</v>
      </c>
      <c r="E389" t="s">
        <v>150</v>
      </c>
      <c r="F389" t="s">
        <v>151</v>
      </c>
      <c r="G389">
        <v>2.4105555555555553</v>
      </c>
      <c r="H389">
        <v>1331.75</v>
      </c>
      <c r="I389">
        <v>302</v>
      </c>
      <c r="J389">
        <v>302</v>
      </c>
      <c r="K389" t="s">
        <v>124</v>
      </c>
    </row>
    <row r="390" spans="1:11" ht="14.25" customHeight="1" x14ac:dyDescent="0.35">
      <c r="A390" t="s">
        <v>136</v>
      </c>
      <c r="B390" s="46">
        <v>46124</v>
      </c>
      <c r="C390" t="s">
        <v>106</v>
      </c>
      <c r="D390" t="s">
        <v>137</v>
      </c>
      <c r="E390" t="s">
        <v>146</v>
      </c>
      <c r="F390" t="s">
        <v>147</v>
      </c>
      <c r="G390">
        <v>8.1944444444444445E-2</v>
      </c>
      <c r="H390">
        <v>1257.68</v>
      </c>
      <c r="I390">
        <v>158</v>
      </c>
      <c r="J390">
        <v>198</v>
      </c>
      <c r="K390" t="s">
        <v>124</v>
      </c>
    </row>
    <row r="391" spans="1:11" ht="14.25" customHeight="1" x14ac:dyDescent="0.35">
      <c r="A391" t="s">
        <v>136</v>
      </c>
      <c r="B391" s="46">
        <v>46118</v>
      </c>
      <c r="C391" t="s">
        <v>99</v>
      </c>
      <c r="D391" t="s">
        <v>137</v>
      </c>
      <c r="E391" t="s">
        <v>146</v>
      </c>
      <c r="F391" t="s">
        <v>147</v>
      </c>
      <c r="G391">
        <v>0.48277777777777775</v>
      </c>
      <c r="H391">
        <v>1232.57</v>
      </c>
      <c r="I391">
        <v>233</v>
      </c>
      <c r="J391">
        <v>334</v>
      </c>
      <c r="K391" t="s">
        <v>124</v>
      </c>
    </row>
    <row r="392" spans="1:11" ht="14.25" customHeight="1" x14ac:dyDescent="0.35">
      <c r="A392" t="s">
        <v>136</v>
      </c>
      <c r="B392" s="46">
        <v>46124</v>
      </c>
      <c r="C392" t="s">
        <v>109</v>
      </c>
      <c r="D392" t="s">
        <v>137</v>
      </c>
      <c r="E392" t="s">
        <v>150</v>
      </c>
      <c r="F392" t="s">
        <v>151</v>
      </c>
      <c r="G392">
        <v>4.1388888888888892E-2</v>
      </c>
      <c r="H392">
        <v>1230.74</v>
      </c>
      <c r="I392">
        <v>149</v>
      </c>
      <c r="J392">
        <v>149</v>
      </c>
      <c r="K392" t="s">
        <v>124</v>
      </c>
    </row>
    <row r="393" spans="1:11" ht="14.25" customHeight="1" x14ac:dyDescent="0.35">
      <c r="A393" t="s">
        <v>136</v>
      </c>
      <c r="B393" s="46">
        <v>46124</v>
      </c>
      <c r="C393" t="s">
        <v>95</v>
      </c>
      <c r="D393" t="s">
        <v>137</v>
      </c>
      <c r="E393" t="s">
        <v>146</v>
      </c>
      <c r="F393" t="s">
        <v>147</v>
      </c>
      <c r="G393">
        <v>5.4166666666666669E-2</v>
      </c>
      <c r="H393">
        <v>1218</v>
      </c>
      <c r="I393">
        <v>174</v>
      </c>
      <c r="J393">
        <v>195</v>
      </c>
      <c r="K393" t="s">
        <v>124</v>
      </c>
    </row>
    <row r="394" spans="1:11" ht="14.25" customHeight="1" x14ac:dyDescent="0.35">
      <c r="A394" t="s">
        <v>136</v>
      </c>
      <c r="B394" s="46">
        <v>46118</v>
      </c>
      <c r="C394" t="s">
        <v>86</v>
      </c>
      <c r="D394" t="s">
        <v>137</v>
      </c>
      <c r="E394" t="s">
        <v>146</v>
      </c>
      <c r="F394" t="s">
        <v>147</v>
      </c>
      <c r="G394">
        <v>0.11444444444444445</v>
      </c>
      <c r="H394">
        <v>1210.9100000000001</v>
      </c>
      <c r="I394">
        <v>289</v>
      </c>
      <c r="J394">
        <v>390</v>
      </c>
      <c r="K394" t="s">
        <v>124</v>
      </c>
    </row>
    <row r="395" spans="1:11" ht="14.25" customHeight="1" x14ac:dyDescent="0.35">
      <c r="A395" t="s">
        <v>136</v>
      </c>
      <c r="B395" s="46">
        <v>46122</v>
      </c>
      <c r="C395" t="s">
        <v>85</v>
      </c>
      <c r="D395" t="s">
        <v>137</v>
      </c>
      <c r="E395" t="s">
        <v>150</v>
      </c>
      <c r="F395" t="s">
        <v>151</v>
      </c>
      <c r="G395">
        <v>0.15055555555555555</v>
      </c>
      <c r="H395">
        <v>1168.1500000000001</v>
      </c>
      <c r="I395">
        <v>305</v>
      </c>
      <c r="J395">
        <v>305</v>
      </c>
      <c r="K395" t="s">
        <v>124</v>
      </c>
    </row>
    <row r="396" spans="1:11" ht="14.25" customHeight="1" x14ac:dyDescent="0.35">
      <c r="A396" t="s">
        <v>136</v>
      </c>
      <c r="B396" s="46">
        <v>46123</v>
      </c>
      <c r="C396" t="s">
        <v>103</v>
      </c>
      <c r="D396" t="s">
        <v>137</v>
      </c>
      <c r="E396" t="s">
        <v>152</v>
      </c>
      <c r="F396" t="s">
        <v>153</v>
      </c>
      <c r="G396">
        <v>0.45916666666666667</v>
      </c>
      <c r="H396">
        <v>1111.3699999999999</v>
      </c>
      <c r="I396">
        <v>257</v>
      </c>
      <c r="J396">
        <v>298</v>
      </c>
      <c r="K396" t="s">
        <v>124</v>
      </c>
    </row>
    <row r="397" spans="1:11" ht="14.25" customHeight="1" x14ac:dyDescent="0.35">
      <c r="A397" t="s">
        <v>136</v>
      </c>
      <c r="B397" s="46">
        <v>46118</v>
      </c>
      <c r="C397" t="s">
        <v>90</v>
      </c>
      <c r="D397" t="s">
        <v>137</v>
      </c>
      <c r="E397" t="s">
        <v>148</v>
      </c>
      <c r="F397" t="s">
        <v>149</v>
      </c>
      <c r="G397">
        <v>0.24416666666666667</v>
      </c>
      <c r="H397">
        <v>1097.7</v>
      </c>
      <c r="I397">
        <v>304</v>
      </c>
      <c r="J397">
        <v>304</v>
      </c>
      <c r="K397" t="s">
        <v>124</v>
      </c>
    </row>
    <row r="398" spans="1:11" ht="14.25" customHeight="1" x14ac:dyDescent="0.35">
      <c r="A398" t="s">
        <v>136</v>
      </c>
      <c r="B398" s="46">
        <v>46124</v>
      </c>
      <c r="C398" t="s">
        <v>96</v>
      </c>
      <c r="D398" t="s">
        <v>137</v>
      </c>
      <c r="E398" t="s">
        <v>156</v>
      </c>
      <c r="F398" t="s">
        <v>157</v>
      </c>
      <c r="G398">
        <v>5.7500000000000002E-2</v>
      </c>
      <c r="H398">
        <v>1093.26</v>
      </c>
      <c r="I398">
        <v>207</v>
      </c>
      <c r="J398">
        <v>207</v>
      </c>
      <c r="K398" t="s">
        <v>124</v>
      </c>
    </row>
    <row r="399" spans="1:11" ht="14.25" customHeight="1" x14ac:dyDescent="0.35">
      <c r="A399" t="s">
        <v>136</v>
      </c>
      <c r="B399" s="46">
        <v>46124</v>
      </c>
      <c r="C399" t="s">
        <v>88</v>
      </c>
      <c r="D399" t="s">
        <v>137</v>
      </c>
      <c r="E399" t="s">
        <v>158</v>
      </c>
      <c r="F399" t="s">
        <v>159</v>
      </c>
      <c r="G399">
        <v>0.18055555555555555</v>
      </c>
      <c r="H399">
        <v>1069.99</v>
      </c>
      <c r="I399">
        <v>350</v>
      </c>
      <c r="J399">
        <v>369</v>
      </c>
      <c r="K399" t="s">
        <v>124</v>
      </c>
    </row>
    <row r="400" spans="1:11" ht="14.25" customHeight="1" x14ac:dyDescent="0.35">
      <c r="A400" t="s">
        <v>136</v>
      </c>
      <c r="B400" s="46">
        <v>46124</v>
      </c>
      <c r="C400" t="s">
        <v>81</v>
      </c>
      <c r="D400" t="s">
        <v>137</v>
      </c>
      <c r="E400" t="s">
        <v>156</v>
      </c>
      <c r="F400" t="s">
        <v>157</v>
      </c>
      <c r="G400">
        <v>4.3055555555555555E-2</v>
      </c>
      <c r="H400">
        <v>1046.1600000000001</v>
      </c>
      <c r="I400">
        <v>155</v>
      </c>
      <c r="J400">
        <v>155</v>
      </c>
      <c r="K400" t="s">
        <v>124</v>
      </c>
    </row>
    <row r="401" spans="1:11" ht="14.25" customHeight="1" x14ac:dyDescent="0.35">
      <c r="A401" t="s">
        <v>136</v>
      </c>
      <c r="B401" s="46">
        <v>46117</v>
      </c>
      <c r="C401" t="s">
        <v>104</v>
      </c>
      <c r="D401" t="s">
        <v>137</v>
      </c>
      <c r="E401" t="s">
        <v>152</v>
      </c>
      <c r="F401" t="s">
        <v>153</v>
      </c>
      <c r="G401">
        <v>0.22416666666666665</v>
      </c>
      <c r="H401">
        <v>1029.04</v>
      </c>
      <c r="I401">
        <v>188</v>
      </c>
      <c r="J401">
        <v>264</v>
      </c>
      <c r="K401" t="s">
        <v>124</v>
      </c>
    </row>
    <row r="402" spans="1:11" ht="14.25" customHeight="1" x14ac:dyDescent="0.35">
      <c r="A402" t="s">
        <v>136</v>
      </c>
      <c r="B402" s="46">
        <v>46123</v>
      </c>
      <c r="C402" t="s">
        <v>101</v>
      </c>
      <c r="D402" t="s">
        <v>137</v>
      </c>
      <c r="E402" t="s">
        <v>152</v>
      </c>
      <c r="F402" t="s">
        <v>153</v>
      </c>
      <c r="G402">
        <v>0.38972222222222225</v>
      </c>
      <c r="H402">
        <v>1009.5800000000002</v>
      </c>
      <c r="I402">
        <v>236</v>
      </c>
      <c r="J402">
        <v>324</v>
      </c>
      <c r="K402" t="s">
        <v>124</v>
      </c>
    </row>
    <row r="403" spans="1:11" ht="14.25" customHeight="1" x14ac:dyDescent="0.35">
      <c r="A403" t="s">
        <v>136</v>
      </c>
      <c r="B403" s="46">
        <v>46119</v>
      </c>
      <c r="C403" t="s">
        <v>93</v>
      </c>
      <c r="D403" t="s">
        <v>137</v>
      </c>
      <c r="E403" t="s">
        <v>156</v>
      </c>
      <c r="F403" t="s">
        <v>157</v>
      </c>
      <c r="G403">
        <v>4.3333333333333335E-2</v>
      </c>
      <c r="H403">
        <v>998.40000000000009</v>
      </c>
      <c r="I403">
        <v>156</v>
      </c>
      <c r="J403">
        <v>156</v>
      </c>
      <c r="K403" t="s">
        <v>124</v>
      </c>
    </row>
    <row r="404" spans="1:11" ht="14.25" customHeight="1" x14ac:dyDescent="0.35">
      <c r="A404" t="s">
        <v>136</v>
      </c>
      <c r="B404" s="46">
        <v>46116</v>
      </c>
      <c r="C404" t="s">
        <v>85</v>
      </c>
      <c r="D404" t="s">
        <v>137</v>
      </c>
      <c r="E404" t="s">
        <v>144</v>
      </c>
      <c r="F404" t="s">
        <v>145</v>
      </c>
      <c r="G404">
        <v>5.3997222222222225</v>
      </c>
      <c r="H404">
        <v>993.87000000000012</v>
      </c>
      <c r="I404">
        <v>409</v>
      </c>
      <c r="J404">
        <v>597</v>
      </c>
      <c r="K404" t="s">
        <v>124</v>
      </c>
    </row>
    <row r="405" spans="1:11" ht="14.25" customHeight="1" x14ac:dyDescent="0.35">
      <c r="A405" t="s">
        <v>136</v>
      </c>
      <c r="B405" s="46">
        <v>46124</v>
      </c>
      <c r="C405" t="s">
        <v>98</v>
      </c>
      <c r="D405" t="s">
        <v>137</v>
      </c>
      <c r="E405" t="s">
        <v>156</v>
      </c>
      <c r="F405" t="s">
        <v>157</v>
      </c>
      <c r="G405">
        <v>5.0833333333333335E-2</v>
      </c>
      <c r="H405">
        <v>985.34</v>
      </c>
      <c r="I405">
        <v>183</v>
      </c>
      <c r="J405">
        <v>183</v>
      </c>
      <c r="K405" t="s">
        <v>124</v>
      </c>
    </row>
    <row r="406" spans="1:11" ht="14.25" customHeight="1" x14ac:dyDescent="0.35">
      <c r="A406" t="s">
        <v>136</v>
      </c>
      <c r="B406" s="46">
        <v>46124</v>
      </c>
      <c r="C406" t="s">
        <v>85</v>
      </c>
      <c r="D406" t="s">
        <v>137</v>
      </c>
      <c r="E406" t="s">
        <v>156</v>
      </c>
      <c r="F406" t="s">
        <v>157</v>
      </c>
      <c r="G406">
        <v>6.0555555555555557E-2</v>
      </c>
      <c r="H406">
        <v>970.07999999999993</v>
      </c>
      <c r="I406">
        <v>218</v>
      </c>
      <c r="J406">
        <v>218</v>
      </c>
      <c r="K406" t="s">
        <v>124</v>
      </c>
    </row>
    <row r="407" spans="1:11" ht="14.25" customHeight="1" x14ac:dyDescent="0.35">
      <c r="A407" t="s">
        <v>136</v>
      </c>
      <c r="B407" s="46">
        <v>46119</v>
      </c>
      <c r="C407" t="s">
        <v>86</v>
      </c>
      <c r="D407" t="s">
        <v>137</v>
      </c>
      <c r="E407" t="s">
        <v>146</v>
      </c>
      <c r="F407" t="s">
        <v>147</v>
      </c>
      <c r="G407">
        <v>4.8055555555555553E-2</v>
      </c>
      <c r="H407">
        <v>965.34</v>
      </c>
      <c r="I407">
        <v>173</v>
      </c>
      <c r="J407">
        <v>173</v>
      </c>
      <c r="K407" t="s">
        <v>124</v>
      </c>
    </row>
    <row r="408" spans="1:11" ht="14.25" customHeight="1" x14ac:dyDescent="0.35">
      <c r="A408" t="s">
        <v>136</v>
      </c>
      <c r="B408" s="46">
        <v>46117</v>
      </c>
      <c r="C408" t="s">
        <v>85</v>
      </c>
      <c r="D408" t="s">
        <v>137</v>
      </c>
      <c r="E408" t="s">
        <v>152</v>
      </c>
      <c r="F408" t="s">
        <v>153</v>
      </c>
      <c r="G408">
        <v>0.39111111111111113</v>
      </c>
      <c r="H408">
        <v>945.05000000000007</v>
      </c>
      <c r="I408">
        <v>205</v>
      </c>
      <c r="J408">
        <v>344</v>
      </c>
      <c r="K408" t="s">
        <v>124</v>
      </c>
    </row>
    <row r="409" spans="1:11" ht="14.25" customHeight="1" x14ac:dyDescent="0.35">
      <c r="A409" t="s">
        <v>136</v>
      </c>
      <c r="B409" s="46">
        <v>46123</v>
      </c>
      <c r="C409" t="s">
        <v>93</v>
      </c>
      <c r="D409" t="s">
        <v>137</v>
      </c>
      <c r="E409" t="s">
        <v>150</v>
      </c>
      <c r="F409" t="s">
        <v>151</v>
      </c>
      <c r="G409">
        <v>2.75E-2</v>
      </c>
      <c r="H409">
        <v>940.5</v>
      </c>
      <c r="I409">
        <v>99</v>
      </c>
      <c r="J409">
        <v>99</v>
      </c>
      <c r="K409" t="s">
        <v>124</v>
      </c>
    </row>
    <row r="410" spans="1:11" ht="14.25" customHeight="1" x14ac:dyDescent="0.35">
      <c r="A410" t="s">
        <v>136</v>
      </c>
      <c r="B410" s="46">
        <v>46117</v>
      </c>
      <c r="C410" t="s">
        <v>88</v>
      </c>
      <c r="D410" t="s">
        <v>137</v>
      </c>
      <c r="E410" t="s">
        <v>152</v>
      </c>
      <c r="F410" t="s">
        <v>153</v>
      </c>
      <c r="G410">
        <v>0.88972222222222219</v>
      </c>
      <c r="H410">
        <v>903</v>
      </c>
      <c r="I410">
        <v>215</v>
      </c>
      <c r="J410">
        <v>310</v>
      </c>
      <c r="K410" t="s">
        <v>124</v>
      </c>
    </row>
    <row r="411" spans="1:11" ht="14.25" customHeight="1" x14ac:dyDescent="0.35">
      <c r="A411" t="s">
        <v>136</v>
      </c>
      <c r="B411" s="46">
        <v>46124</v>
      </c>
      <c r="C411" t="s">
        <v>96</v>
      </c>
      <c r="D411" t="s">
        <v>137</v>
      </c>
      <c r="E411" t="s">
        <v>158</v>
      </c>
      <c r="F411" t="s">
        <v>159</v>
      </c>
      <c r="G411">
        <v>6.4722222222222223E-2</v>
      </c>
      <c r="H411">
        <v>901.25</v>
      </c>
      <c r="I411">
        <v>233</v>
      </c>
      <c r="J411">
        <v>233</v>
      </c>
      <c r="K411" t="s">
        <v>124</v>
      </c>
    </row>
    <row r="412" spans="1:11" ht="14.25" customHeight="1" x14ac:dyDescent="0.35">
      <c r="A412" t="s">
        <v>136</v>
      </c>
      <c r="B412" s="46">
        <v>46124</v>
      </c>
      <c r="C412" t="s">
        <v>95</v>
      </c>
      <c r="D412" t="s">
        <v>137</v>
      </c>
      <c r="E412" t="s">
        <v>156</v>
      </c>
      <c r="F412" t="s">
        <v>157</v>
      </c>
      <c r="G412">
        <v>5.8888888888888886E-2</v>
      </c>
      <c r="H412">
        <v>894.53</v>
      </c>
      <c r="I412">
        <v>212</v>
      </c>
      <c r="J412">
        <v>212</v>
      </c>
      <c r="K412" t="s">
        <v>124</v>
      </c>
    </row>
    <row r="413" spans="1:11" ht="14.25" customHeight="1" x14ac:dyDescent="0.35">
      <c r="A413" t="s">
        <v>136</v>
      </c>
      <c r="B413" s="46">
        <v>46123</v>
      </c>
      <c r="C413" t="s">
        <v>98</v>
      </c>
      <c r="D413" t="s">
        <v>137</v>
      </c>
      <c r="E413" t="s">
        <v>148</v>
      </c>
      <c r="F413" t="s">
        <v>149</v>
      </c>
      <c r="G413">
        <v>0.14583333333333334</v>
      </c>
      <c r="H413">
        <v>887.81</v>
      </c>
      <c r="I413">
        <v>209</v>
      </c>
      <c r="J413">
        <v>281</v>
      </c>
      <c r="K413" t="s">
        <v>124</v>
      </c>
    </row>
    <row r="414" spans="1:11" ht="14.25" customHeight="1" x14ac:dyDescent="0.35">
      <c r="A414" t="s">
        <v>136</v>
      </c>
      <c r="B414" s="46">
        <v>46123</v>
      </c>
      <c r="C414" t="s">
        <v>90</v>
      </c>
      <c r="D414" t="s">
        <v>137</v>
      </c>
      <c r="E414" t="s">
        <v>138</v>
      </c>
      <c r="F414" t="s">
        <v>139</v>
      </c>
      <c r="G414">
        <v>2.4444444444444446E-2</v>
      </c>
      <c r="H414">
        <v>880</v>
      </c>
      <c r="I414">
        <v>88</v>
      </c>
      <c r="J414">
        <v>88</v>
      </c>
      <c r="K414" t="s">
        <v>124</v>
      </c>
    </row>
    <row r="415" spans="1:11" ht="14.25" customHeight="1" x14ac:dyDescent="0.35">
      <c r="A415" t="s">
        <v>136</v>
      </c>
      <c r="B415" s="46">
        <v>46124</v>
      </c>
      <c r="C415" t="s">
        <v>100</v>
      </c>
      <c r="D415" t="s">
        <v>137</v>
      </c>
      <c r="E415" t="s">
        <v>156</v>
      </c>
      <c r="F415" t="s">
        <v>157</v>
      </c>
      <c r="G415">
        <v>4.6944444444444441E-2</v>
      </c>
      <c r="H415">
        <v>872.4</v>
      </c>
      <c r="I415">
        <v>169</v>
      </c>
      <c r="J415">
        <v>169</v>
      </c>
      <c r="K415" t="s">
        <v>124</v>
      </c>
    </row>
    <row r="416" spans="1:11" ht="14.25" customHeight="1" x14ac:dyDescent="0.35">
      <c r="A416" t="s">
        <v>136</v>
      </c>
      <c r="B416" s="46">
        <v>46124</v>
      </c>
      <c r="C416" t="s">
        <v>81</v>
      </c>
      <c r="D416" t="s">
        <v>137</v>
      </c>
      <c r="E416" t="s">
        <v>158</v>
      </c>
      <c r="F416" t="s">
        <v>159</v>
      </c>
      <c r="G416">
        <v>0.37472222222222223</v>
      </c>
      <c r="H416">
        <v>857.22</v>
      </c>
      <c r="I416">
        <v>319</v>
      </c>
      <c r="J416">
        <v>364</v>
      </c>
      <c r="K416" t="s">
        <v>124</v>
      </c>
    </row>
    <row r="417" spans="1:11" ht="14.25" customHeight="1" x14ac:dyDescent="0.35">
      <c r="A417" t="s">
        <v>136</v>
      </c>
      <c r="B417" s="46">
        <v>46119</v>
      </c>
      <c r="C417" t="s">
        <v>81</v>
      </c>
      <c r="D417" t="s">
        <v>137</v>
      </c>
      <c r="E417" t="s">
        <v>152</v>
      </c>
      <c r="F417" t="s">
        <v>153</v>
      </c>
      <c r="G417">
        <v>0.63555555555555554</v>
      </c>
      <c r="H417">
        <v>855.25</v>
      </c>
      <c r="I417">
        <v>149</v>
      </c>
      <c r="J417">
        <v>278</v>
      </c>
      <c r="K417" t="s">
        <v>124</v>
      </c>
    </row>
    <row r="418" spans="1:11" ht="14.25" customHeight="1" x14ac:dyDescent="0.35">
      <c r="A418" t="s">
        <v>136</v>
      </c>
      <c r="B418" s="46">
        <v>46124</v>
      </c>
      <c r="C418" t="s">
        <v>90</v>
      </c>
      <c r="D418" t="s">
        <v>137</v>
      </c>
      <c r="E418" t="s">
        <v>156</v>
      </c>
      <c r="F418" t="s">
        <v>157</v>
      </c>
      <c r="G418">
        <v>5.8888888888888886E-2</v>
      </c>
      <c r="H418">
        <v>847.81000000000006</v>
      </c>
      <c r="I418">
        <v>212</v>
      </c>
      <c r="J418">
        <v>212</v>
      </c>
      <c r="K418" t="s">
        <v>124</v>
      </c>
    </row>
    <row r="419" spans="1:11" ht="14.25" customHeight="1" x14ac:dyDescent="0.35">
      <c r="A419" t="s">
        <v>136</v>
      </c>
      <c r="B419" s="46">
        <v>46118</v>
      </c>
      <c r="C419" t="s">
        <v>93</v>
      </c>
      <c r="D419" t="s">
        <v>137</v>
      </c>
      <c r="E419" t="s">
        <v>146</v>
      </c>
      <c r="F419" t="s">
        <v>147</v>
      </c>
      <c r="G419">
        <v>0.56083333333333329</v>
      </c>
      <c r="H419">
        <v>817.48</v>
      </c>
      <c r="I419">
        <v>191</v>
      </c>
      <c r="J419">
        <v>356</v>
      </c>
      <c r="K419" t="s">
        <v>124</v>
      </c>
    </row>
    <row r="420" spans="1:11" ht="14.25" customHeight="1" x14ac:dyDescent="0.35">
      <c r="A420" t="s">
        <v>136</v>
      </c>
      <c r="B420" s="46">
        <v>46124</v>
      </c>
      <c r="C420" t="s">
        <v>99</v>
      </c>
      <c r="D420" t="s">
        <v>137</v>
      </c>
      <c r="E420" t="s">
        <v>152</v>
      </c>
      <c r="F420" t="s">
        <v>153</v>
      </c>
      <c r="G420">
        <v>0.23694444444444446</v>
      </c>
      <c r="H420">
        <v>812.7</v>
      </c>
      <c r="I420">
        <v>158</v>
      </c>
      <c r="J420">
        <v>431</v>
      </c>
      <c r="K420" t="s">
        <v>124</v>
      </c>
    </row>
    <row r="421" spans="1:11" ht="14.25" customHeight="1" x14ac:dyDescent="0.35">
      <c r="A421" t="s">
        <v>136</v>
      </c>
      <c r="B421" s="46">
        <v>46124</v>
      </c>
      <c r="C421" t="s">
        <v>84</v>
      </c>
      <c r="D421" t="s">
        <v>137</v>
      </c>
      <c r="E421" t="s">
        <v>158</v>
      </c>
      <c r="F421" t="s">
        <v>159</v>
      </c>
      <c r="G421">
        <v>0.1111111111111111</v>
      </c>
      <c r="H421">
        <v>789.06999999999994</v>
      </c>
      <c r="I421">
        <v>316</v>
      </c>
      <c r="J421">
        <v>330</v>
      </c>
      <c r="K421" t="s">
        <v>124</v>
      </c>
    </row>
    <row r="422" spans="1:11" ht="14.25" customHeight="1" x14ac:dyDescent="0.35">
      <c r="A422" t="s">
        <v>136</v>
      </c>
      <c r="B422" s="46">
        <v>46117</v>
      </c>
      <c r="C422" t="s">
        <v>106</v>
      </c>
      <c r="D422" t="s">
        <v>137</v>
      </c>
      <c r="E422" t="s">
        <v>140</v>
      </c>
      <c r="F422" t="s">
        <v>141</v>
      </c>
      <c r="G422">
        <v>2.7777777777777776E-2</v>
      </c>
      <c r="H422">
        <v>785.48</v>
      </c>
      <c r="I422">
        <v>100</v>
      </c>
      <c r="J422">
        <v>100</v>
      </c>
      <c r="K422" t="s">
        <v>124</v>
      </c>
    </row>
    <row r="423" spans="1:11" ht="14.25" customHeight="1" x14ac:dyDescent="0.35">
      <c r="A423" t="s">
        <v>136</v>
      </c>
      <c r="B423" s="46">
        <v>46123</v>
      </c>
      <c r="C423" t="s">
        <v>88</v>
      </c>
      <c r="D423" t="s">
        <v>137</v>
      </c>
      <c r="E423" t="s">
        <v>152</v>
      </c>
      <c r="F423" t="s">
        <v>153</v>
      </c>
      <c r="G423">
        <v>1.3844444444444444</v>
      </c>
      <c r="H423">
        <v>764.5</v>
      </c>
      <c r="I423">
        <v>233</v>
      </c>
      <c r="J423">
        <v>872</v>
      </c>
      <c r="K423" t="s">
        <v>124</v>
      </c>
    </row>
    <row r="424" spans="1:11" ht="14.25" customHeight="1" x14ac:dyDescent="0.35">
      <c r="A424" t="s">
        <v>136</v>
      </c>
      <c r="B424" s="46">
        <v>46123</v>
      </c>
      <c r="C424" t="s">
        <v>85</v>
      </c>
      <c r="D424" t="s">
        <v>137</v>
      </c>
      <c r="E424" t="s">
        <v>152</v>
      </c>
      <c r="F424" t="s">
        <v>153</v>
      </c>
      <c r="G424">
        <v>0.2688888888888889</v>
      </c>
      <c r="H424">
        <v>762.81000000000006</v>
      </c>
      <c r="I424">
        <v>141</v>
      </c>
      <c r="J424">
        <v>227</v>
      </c>
      <c r="K424" t="s">
        <v>124</v>
      </c>
    </row>
    <row r="425" spans="1:11" ht="14.25" customHeight="1" x14ac:dyDescent="0.35">
      <c r="A425" t="s">
        <v>136</v>
      </c>
      <c r="B425" s="46">
        <v>46123</v>
      </c>
      <c r="C425" t="s">
        <v>107</v>
      </c>
      <c r="D425" t="s">
        <v>137</v>
      </c>
      <c r="E425" t="s">
        <v>152</v>
      </c>
      <c r="F425" t="s">
        <v>153</v>
      </c>
      <c r="G425">
        <v>0.3552777777777778</v>
      </c>
      <c r="H425">
        <v>754.28</v>
      </c>
      <c r="I425">
        <v>109</v>
      </c>
      <c r="J425">
        <v>173</v>
      </c>
      <c r="K425" t="s">
        <v>124</v>
      </c>
    </row>
    <row r="426" spans="1:11" ht="14.25" customHeight="1" x14ac:dyDescent="0.35">
      <c r="A426" t="s">
        <v>136</v>
      </c>
      <c r="B426" s="46">
        <v>46124</v>
      </c>
      <c r="C426" t="s">
        <v>99</v>
      </c>
      <c r="D426" t="s">
        <v>137</v>
      </c>
      <c r="E426" t="s">
        <v>158</v>
      </c>
      <c r="F426" t="s">
        <v>159</v>
      </c>
      <c r="G426">
        <v>0.20833333333333334</v>
      </c>
      <c r="H426">
        <v>748.83</v>
      </c>
      <c r="I426">
        <v>252</v>
      </c>
      <c r="J426">
        <v>307</v>
      </c>
      <c r="K426" t="s">
        <v>124</v>
      </c>
    </row>
    <row r="427" spans="1:11" ht="14.25" customHeight="1" x14ac:dyDescent="0.35">
      <c r="A427" t="s">
        <v>136</v>
      </c>
      <c r="B427" s="46">
        <v>46123</v>
      </c>
      <c r="C427" t="s">
        <v>86</v>
      </c>
      <c r="D427" t="s">
        <v>137</v>
      </c>
      <c r="E427" t="s">
        <v>148</v>
      </c>
      <c r="F427" t="s">
        <v>149</v>
      </c>
      <c r="G427">
        <v>3.2222222222222222E-2</v>
      </c>
      <c r="H427">
        <v>745.5</v>
      </c>
      <c r="I427">
        <v>105</v>
      </c>
      <c r="J427">
        <v>116</v>
      </c>
      <c r="K427" t="s">
        <v>124</v>
      </c>
    </row>
    <row r="428" spans="1:11" ht="14.25" customHeight="1" x14ac:dyDescent="0.35">
      <c r="A428" t="s">
        <v>136</v>
      </c>
      <c r="B428" s="46">
        <v>46124</v>
      </c>
      <c r="C428" t="s">
        <v>98</v>
      </c>
      <c r="D428" t="s">
        <v>137</v>
      </c>
      <c r="E428" t="s">
        <v>158</v>
      </c>
      <c r="F428" t="s">
        <v>159</v>
      </c>
      <c r="G428">
        <v>4.4999999999999998E-2</v>
      </c>
      <c r="H428">
        <v>728.48</v>
      </c>
      <c r="I428">
        <v>162</v>
      </c>
      <c r="J428">
        <v>162</v>
      </c>
      <c r="K428" t="s">
        <v>124</v>
      </c>
    </row>
    <row r="429" spans="1:11" ht="14.25" customHeight="1" x14ac:dyDescent="0.35">
      <c r="A429" t="s">
        <v>136</v>
      </c>
      <c r="B429" s="46">
        <v>46124</v>
      </c>
      <c r="C429" t="s">
        <v>90</v>
      </c>
      <c r="D429" t="s">
        <v>137</v>
      </c>
      <c r="E429" t="s">
        <v>158</v>
      </c>
      <c r="F429" t="s">
        <v>159</v>
      </c>
      <c r="G429">
        <v>9.2499999999999999E-2</v>
      </c>
      <c r="H429">
        <v>726.95</v>
      </c>
      <c r="I429">
        <v>209</v>
      </c>
      <c r="J429">
        <v>253</v>
      </c>
      <c r="K429" t="s">
        <v>124</v>
      </c>
    </row>
    <row r="430" spans="1:11" ht="14.25" customHeight="1" x14ac:dyDescent="0.35">
      <c r="A430" t="s">
        <v>136</v>
      </c>
      <c r="B430" s="46">
        <v>46124</v>
      </c>
      <c r="C430" t="s">
        <v>106</v>
      </c>
      <c r="D430" t="s">
        <v>137</v>
      </c>
      <c r="E430" t="s">
        <v>158</v>
      </c>
      <c r="F430" t="s">
        <v>159</v>
      </c>
      <c r="G430">
        <v>0.12111111111111111</v>
      </c>
      <c r="H430">
        <v>712.32999999999993</v>
      </c>
      <c r="I430">
        <v>253</v>
      </c>
      <c r="J430">
        <v>304</v>
      </c>
      <c r="K430" t="s">
        <v>124</v>
      </c>
    </row>
    <row r="431" spans="1:11" ht="14.25" customHeight="1" x14ac:dyDescent="0.35">
      <c r="A431" t="s">
        <v>136</v>
      </c>
      <c r="B431" s="46">
        <v>46124</v>
      </c>
      <c r="C431" t="s">
        <v>95</v>
      </c>
      <c r="D431" t="s">
        <v>137</v>
      </c>
      <c r="E431" t="s">
        <v>158</v>
      </c>
      <c r="F431" t="s">
        <v>159</v>
      </c>
      <c r="G431">
        <v>0.15833333333333333</v>
      </c>
      <c r="H431">
        <v>685.71</v>
      </c>
      <c r="I431">
        <v>232</v>
      </c>
      <c r="J431">
        <v>255</v>
      </c>
      <c r="K431" t="s">
        <v>124</v>
      </c>
    </row>
    <row r="432" spans="1:11" ht="14.25" customHeight="1" x14ac:dyDescent="0.35">
      <c r="A432" t="s">
        <v>136</v>
      </c>
      <c r="B432" s="46">
        <v>46124</v>
      </c>
      <c r="C432" t="s">
        <v>93</v>
      </c>
      <c r="D432" t="s">
        <v>137</v>
      </c>
      <c r="E432" t="s">
        <v>158</v>
      </c>
      <c r="F432" t="s">
        <v>159</v>
      </c>
      <c r="G432">
        <v>6.6666666666666666E-2</v>
      </c>
      <c r="H432">
        <v>663.80000000000007</v>
      </c>
      <c r="I432">
        <v>240</v>
      </c>
      <c r="J432">
        <v>240</v>
      </c>
      <c r="K432" t="s">
        <v>124</v>
      </c>
    </row>
    <row r="433" spans="1:11" ht="14.25" customHeight="1" x14ac:dyDescent="0.35">
      <c r="A433" t="s">
        <v>136</v>
      </c>
      <c r="B433" s="46">
        <v>46124</v>
      </c>
      <c r="C433" t="s">
        <v>85</v>
      </c>
      <c r="D433" t="s">
        <v>137</v>
      </c>
      <c r="E433" t="s">
        <v>158</v>
      </c>
      <c r="F433" t="s">
        <v>159</v>
      </c>
      <c r="G433">
        <v>7.6111111111111115E-2</v>
      </c>
      <c r="H433">
        <v>645.36</v>
      </c>
      <c r="I433">
        <v>274</v>
      </c>
      <c r="J433">
        <v>274</v>
      </c>
      <c r="K433" t="s">
        <v>124</v>
      </c>
    </row>
    <row r="434" spans="1:11" ht="14.25" customHeight="1" x14ac:dyDescent="0.35">
      <c r="A434" t="s">
        <v>136</v>
      </c>
      <c r="B434" s="46">
        <v>46118</v>
      </c>
      <c r="C434" t="s">
        <v>103</v>
      </c>
      <c r="D434" t="s">
        <v>137</v>
      </c>
      <c r="E434" t="s">
        <v>152</v>
      </c>
      <c r="F434" t="s">
        <v>153</v>
      </c>
      <c r="G434">
        <v>0.33083333333333331</v>
      </c>
      <c r="H434">
        <v>628.32000000000005</v>
      </c>
      <c r="I434">
        <v>204</v>
      </c>
      <c r="J434">
        <v>235</v>
      </c>
      <c r="K434" t="s">
        <v>124</v>
      </c>
    </row>
    <row r="435" spans="1:11" ht="14.25" customHeight="1" x14ac:dyDescent="0.35">
      <c r="A435" t="s">
        <v>136</v>
      </c>
      <c r="B435" s="46">
        <v>46116</v>
      </c>
      <c r="C435" t="s">
        <v>96</v>
      </c>
      <c r="D435" t="s">
        <v>137</v>
      </c>
      <c r="E435" t="s">
        <v>138</v>
      </c>
      <c r="F435" t="s">
        <v>139</v>
      </c>
      <c r="G435">
        <v>2.9722222222222223E-2</v>
      </c>
      <c r="H435">
        <v>601.34</v>
      </c>
      <c r="I435">
        <v>107</v>
      </c>
      <c r="J435">
        <v>107</v>
      </c>
      <c r="K435" t="s">
        <v>124</v>
      </c>
    </row>
    <row r="436" spans="1:11" ht="14.25" customHeight="1" x14ac:dyDescent="0.35">
      <c r="A436" t="s">
        <v>136</v>
      </c>
      <c r="B436" s="46">
        <v>46119</v>
      </c>
      <c r="C436" t="s">
        <v>88</v>
      </c>
      <c r="D436" t="s">
        <v>137</v>
      </c>
      <c r="E436" t="s">
        <v>158</v>
      </c>
      <c r="F436" t="s">
        <v>159</v>
      </c>
      <c r="G436">
        <v>7.0555555555555552E-2</v>
      </c>
      <c r="H436">
        <v>595.19999999999993</v>
      </c>
      <c r="I436">
        <v>248</v>
      </c>
      <c r="J436">
        <v>254</v>
      </c>
      <c r="K436" t="s">
        <v>124</v>
      </c>
    </row>
    <row r="437" spans="1:11" ht="14.25" customHeight="1" x14ac:dyDescent="0.35">
      <c r="A437" t="s">
        <v>136</v>
      </c>
      <c r="B437" s="46">
        <v>46118</v>
      </c>
      <c r="C437" t="s">
        <v>100</v>
      </c>
      <c r="D437" t="s">
        <v>137</v>
      </c>
      <c r="E437" t="s">
        <v>158</v>
      </c>
      <c r="F437" t="s">
        <v>159</v>
      </c>
      <c r="G437">
        <v>5.7222222222222223E-2</v>
      </c>
      <c r="H437">
        <v>591.45999999999992</v>
      </c>
      <c r="I437">
        <v>206</v>
      </c>
      <c r="J437">
        <v>206</v>
      </c>
      <c r="K437" t="s">
        <v>124</v>
      </c>
    </row>
    <row r="438" spans="1:11" ht="14.25" customHeight="1" x14ac:dyDescent="0.35">
      <c r="A438" t="s">
        <v>136</v>
      </c>
      <c r="B438" s="46">
        <v>46123</v>
      </c>
      <c r="C438" t="s">
        <v>95</v>
      </c>
      <c r="D438" t="s">
        <v>137</v>
      </c>
      <c r="E438" t="s">
        <v>148</v>
      </c>
      <c r="F438" t="s">
        <v>149</v>
      </c>
      <c r="G438">
        <v>4.6666666666666669E-2</v>
      </c>
      <c r="H438">
        <v>588.61</v>
      </c>
      <c r="I438">
        <v>168</v>
      </c>
      <c r="J438">
        <v>168</v>
      </c>
      <c r="K438" t="s">
        <v>124</v>
      </c>
    </row>
    <row r="439" spans="1:11" ht="14.25" customHeight="1" x14ac:dyDescent="0.35">
      <c r="A439" t="s">
        <v>136</v>
      </c>
      <c r="B439" s="46">
        <v>46124</v>
      </c>
      <c r="C439" t="s">
        <v>98</v>
      </c>
      <c r="D439" t="s">
        <v>137</v>
      </c>
      <c r="E439" t="s">
        <v>152</v>
      </c>
      <c r="F439" t="s">
        <v>153</v>
      </c>
      <c r="G439">
        <v>0.42222222222222222</v>
      </c>
      <c r="H439">
        <v>587</v>
      </c>
      <c r="I439">
        <v>100</v>
      </c>
      <c r="J439">
        <v>122</v>
      </c>
      <c r="K439" t="s">
        <v>124</v>
      </c>
    </row>
    <row r="440" spans="1:11" ht="14.25" customHeight="1" x14ac:dyDescent="0.35">
      <c r="A440" t="s">
        <v>136</v>
      </c>
      <c r="B440" s="46">
        <v>46124</v>
      </c>
      <c r="C440" t="s">
        <v>97</v>
      </c>
      <c r="D440" t="s">
        <v>137</v>
      </c>
      <c r="E440" t="s">
        <v>158</v>
      </c>
      <c r="F440" t="s">
        <v>159</v>
      </c>
      <c r="G440">
        <v>6.8611111111111109E-2</v>
      </c>
      <c r="H440">
        <v>582.59999999999991</v>
      </c>
      <c r="I440">
        <v>247</v>
      </c>
      <c r="J440">
        <v>247</v>
      </c>
      <c r="K440" t="s">
        <v>124</v>
      </c>
    </row>
    <row r="441" spans="1:11" ht="14.25" customHeight="1" x14ac:dyDescent="0.35">
      <c r="A441" t="s">
        <v>136</v>
      </c>
      <c r="B441" s="46">
        <v>46118</v>
      </c>
      <c r="C441" t="s">
        <v>101</v>
      </c>
      <c r="D441" t="s">
        <v>137</v>
      </c>
      <c r="E441" t="s">
        <v>158</v>
      </c>
      <c r="F441" t="s">
        <v>159</v>
      </c>
      <c r="G441">
        <v>5.7500000000000002E-2</v>
      </c>
      <c r="H441">
        <v>581.22</v>
      </c>
      <c r="I441">
        <v>207</v>
      </c>
      <c r="J441">
        <v>207</v>
      </c>
      <c r="K441" t="s">
        <v>124</v>
      </c>
    </row>
    <row r="442" spans="1:11" ht="14.25" customHeight="1" x14ac:dyDescent="0.35">
      <c r="A442" t="s">
        <v>136</v>
      </c>
      <c r="B442" s="46">
        <v>46118</v>
      </c>
      <c r="C442" t="s">
        <v>84</v>
      </c>
      <c r="D442" t="s">
        <v>137</v>
      </c>
      <c r="E442" t="s">
        <v>152</v>
      </c>
      <c r="F442" t="s">
        <v>153</v>
      </c>
      <c r="G442">
        <v>5.0149999999999997</v>
      </c>
      <c r="H442">
        <v>581.22</v>
      </c>
      <c r="I442">
        <v>166</v>
      </c>
      <c r="J442">
        <v>1221</v>
      </c>
      <c r="K442" t="s">
        <v>124</v>
      </c>
    </row>
    <row r="443" spans="1:11" ht="14.25" customHeight="1" x14ac:dyDescent="0.35">
      <c r="A443" t="s">
        <v>136</v>
      </c>
      <c r="B443" s="46">
        <v>46124</v>
      </c>
      <c r="C443" t="s">
        <v>86</v>
      </c>
      <c r="D443" t="s">
        <v>137</v>
      </c>
      <c r="E443" t="s">
        <v>156</v>
      </c>
      <c r="F443" t="s">
        <v>157</v>
      </c>
      <c r="G443">
        <v>2.1944444444444444E-2</v>
      </c>
      <c r="H443">
        <v>572.78</v>
      </c>
      <c r="I443">
        <v>79</v>
      </c>
      <c r="J443">
        <v>79</v>
      </c>
      <c r="K443" t="s">
        <v>124</v>
      </c>
    </row>
    <row r="444" spans="1:11" ht="14.25" customHeight="1" x14ac:dyDescent="0.35">
      <c r="A444" t="s">
        <v>136</v>
      </c>
      <c r="B444" s="46">
        <v>46117</v>
      </c>
      <c r="C444" t="s">
        <v>88</v>
      </c>
      <c r="D444" t="s">
        <v>137</v>
      </c>
      <c r="E444" t="s">
        <v>144</v>
      </c>
      <c r="F444" t="s">
        <v>145</v>
      </c>
      <c r="G444">
        <v>17.566666666666666</v>
      </c>
      <c r="H444">
        <v>557.14</v>
      </c>
      <c r="I444">
        <v>136</v>
      </c>
      <c r="J444">
        <v>1134</v>
      </c>
      <c r="K444" t="s">
        <v>124</v>
      </c>
    </row>
    <row r="445" spans="1:11" ht="14.25" customHeight="1" x14ac:dyDescent="0.35">
      <c r="A445" t="s">
        <v>136</v>
      </c>
      <c r="B445" s="46">
        <v>46124</v>
      </c>
      <c r="C445" t="s">
        <v>101</v>
      </c>
      <c r="D445" t="s">
        <v>137</v>
      </c>
      <c r="E445" t="s">
        <v>156</v>
      </c>
      <c r="F445" t="s">
        <v>157</v>
      </c>
      <c r="G445">
        <v>3.6111111111111108E-2</v>
      </c>
      <c r="H445">
        <v>540.34999999999991</v>
      </c>
      <c r="I445">
        <v>130</v>
      </c>
      <c r="J445">
        <v>130</v>
      </c>
      <c r="K445" t="s">
        <v>124</v>
      </c>
    </row>
    <row r="446" spans="1:11" ht="14.25" customHeight="1" x14ac:dyDescent="0.35">
      <c r="A446" t="s">
        <v>136</v>
      </c>
      <c r="B446" s="46">
        <v>46119</v>
      </c>
      <c r="C446" t="s">
        <v>104</v>
      </c>
      <c r="D446" t="s">
        <v>137</v>
      </c>
      <c r="E446" t="s">
        <v>158</v>
      </c>
      <c r="F446" t="s">
        <v>159</v>
      </c>
      <c r="G446">
        <v>0.14027777777777778</v>
      </c>
      <c r="H446">
        <v>537.06999999999994</v>
      </c>
      <c r="I446">
        <v>187</v>
      </c>
      <c r="J446">
        <v>215</v>
      </c>
      <c r="K446" t="s">
        <v>124</v>
      </c>
    </row>
    <row r="447" spans="1:11" ht="14.25" customHeight="1" x14ac:dyDescent="0.35">
      <c r="A447" t="s">
        <v>136</v>
      </c>
      <c r="B447" s="46">
        <v>46118</v>
      </c>
      <c r="C447" t="s">
        <v>95</v>
      </c>
      <c r="D447" t="s">
        <v>137</v>
      </c>
      <c r="E447" t="s">
        <v>158</v>
      </c>
      <c r="F447" t="s">
        <v>159</v>
      </c>
      <c r="G447">
        <v>5.7500000000000002E-2</v>
      </c>
      <c r="H447">
        <v>535.85</v>
      </c>
      <c r="I447">
        <v>207</v>
      </c>
      <c r="J447">
        <v>207</v>
      </c>
      <c r="K447" t="s">
        <v>124</v>
      </c>
    </row>
    <row r="448" spans="1:11" ht="14.25" customHeight="1" x14ac:dyDescent="0.35">
      <c r="A448" t="s">
        <v>136</v>
      </c>
      <c r="B448" s="46">
        <v>46119</v>
      </c>
      <c r="C448" t="s">
        <v>104</v>
      </c>
      <c r="D448" t="s">
        <v>137</v>
      </c>
      <c r="E448" t="s">
        <v>152</v>
      </c>
      <c r="F448" t="s">
        <v>153</v>
      </c>
      <c r="G448">
        <v>0.2011111111111111</v>
      </c>
      <c r="H448">
        <v>530.37</v>
      </c>
      <c r="I448">
        <v>71</v>
      </c>
      <c r="J448">
        <v>112</v>
      </c>
      <c r="K448" t="s">
        <v>124</v>
      </c>
    </row>
    <row r="449" spans="1:11" ht="14.25" customHeight="1" x14ac:dyDescent="0.35">
      <c r="A449" t="s">
        <v>136</v>
      </c>
      <c r="B449" s="46">
        <v>46124</v>
      </c>
      <c r="C449" t="s">
        <v>93</v>
      </c>
      <c r="D449" t="s">
        <v>137</v>
      </c>
      <c r="E449" t="s">
        <v>152</v>
      </c>
      <c r="F449" t="s">
        <v>153</v>
      </c>
      <c r="G449">
        <v>0.57722222222222219</v>
      </c>
      <c r="H449">
        <v>524.16</v>
      </c>
      <c r="I449">
        <v>96</v>
      </c>
      <c r="J449">
        <v>182</v>
      </c>
      <c r="K449" t="s">
        <v>124</v>
      </c>
    </row>
    <row r="450" spans="1:11" ht="14.25" customHeight="1" x14ac:dyDescent="0.35">
      <c r="A450" t="s">
        <v>136</v>
      </c>
      <c r="B450" s="46">
        <v>46117</v>
      </c>
      <c r="C450" t="s">
        <v>106</v>
      </c>
      <c r="D450" t="s">
        <v>137</v>
      </c>
      <c r="E450" t="s">
        <v>148</v>
      </c>
      <c r="F450" t="s">
        <v>149</v>
      </c>
      <c r="G450">
        <v>4.2222222222222223E-2</v>
      </c>
      <c r="H450">
        <v>521.36</v>
      </c>
      <c r="I450">
        <v>152</v>
      </c>
      <c r="J450">
        <v>152</v>
      </c>
      <c r="K450" t="s">
        <v>124</v>
      </c>
    </row>
    <row r="451" spans="1:11" ht="14.25" customHeight="1" x14ac:dyDescent="0.35">
      <c r="A451" t="s">
        <v>136</v>
      </c>
      <c r="B451" s="46">
        <v>46123</v>
      </c>
      <c r="C451" t="s">
        <v>81</v>
      </c>
      <c r="D451" t="s">
        <v>137</v>
      </c>
      <c r="E451" t="s">
        <v>152</v>
      </c>
      <c r="F451" t="s">
        <v>153</v>
      </c>
      <c r="G451">
        <v>0.82333333333333336</v>
      </c>
      <c r="H451">
        <v>506.09999999999991</v>
      </c>
      <c r="I451">
        <v>130</v>
      </c>
      <c r="J451">
        <v>182</v>
      </c>
      <c r="K451" t="s">
        <v>124</v>
      </c>
    </row>
    <row r="452" spans="1:11" ht="14.25" customHeight="1" x14ac:dyDescent="0.35">
      <c r="A452" t="s">
        <v>136</v>
      </c>
      <c r="B452" s="46">
        <v>46118</v>
      </c>
      <c r="C452" t="s">
        <v>88</v>
      </c>
      <c r="D452" t="s">
        <v>137</v>
      </c>
      <c r="E452" t="s">
        <v>158</v>
      </c>
      <c r="F452" t="s">
        <v>159</v>
      </c>
      <c r="G452">
        <v>4.8055555555555553E-2</v>
      </c>
      <c r="H452">
        <v>503.43</v>
      </c>
      <c r="I452">
        <v>173</v>
      </c>
      <c r="J452">
        <v>173</v>
      </c>
      <c r="K452" t="s">
        <v>124</v>
      </c>
    </row>
    <row r="453" spans="1:11" ht="14.25" customHeight="1" x14ac:dyDescent="0.35">
      <c r="A453" t="s">
        <v>136</v>
      </c>
      <c r="B453" s="46">
        <v>46118</v>
      </c>
      <c r="C453" t="s">
        <v>97</v>
      </c>
      <c r="D453" t="s">
        <v>137</v>
      </c>
      <c r="E453" t="s">
        <v>140</v>
      </c>
      <c r="F453" t="s">
        <v>141</v>
      </c>
      <c r="G453">
        <v>4.8333333333333332E-2</v>
      </c>
      <c r="H453">
        <v>501.05</v>
      </c>
      <c r="I453">
        <v>174</v>
      </c>
      <c r="J453">
        <v>174</v>
      </c>
      <c r="K453" t="s">
        <v>124</v>
      </c>
    </row>
    <row r="454" spans="1:11" ht="14.25" customHeight="1" x14ac:dyDescent="0.35">
      <c r="A454" t="s">
        <v>136</v>
      </c>
      <c r="B454" s="46">
        <v>46119</v>
      </c>
      <c r="C454" t="s">
        <v>99</v>
      </c>
      <c r="D454" t="s">
        <v>137</v>
      </c>
      <c r="E454" t="s">
        <v>152</v>
      </c>
      <c r="F454" t="s">
        <v>153</v>
      </c>
      <c r="G454">
        <v>0.96361111111111108</v>
      </c>
      <c r="H454">
        <v>500.5</v>
      </c>
      <c r="I454">
        <v>130</v>
      </c>
      <c r="J454">
        <v>315</v>
      </c>
      <c r="K454" t="s">
        <v>124</v>
      </c>
    </row>
    <row r="455" spans="1:11" ht="14.25" customHeight="1" x14ac:dyDescent="0.35">
      <c r="A455" t="s">
        <v>136</v>
      </c>
      <c r="B455" s="46">
        <v>46119</v>
      </c>
      <c r="C455" t="s">
        <v>90</v>
      </c>
      <c r="D455" t="s">
        <v>137</v>
      </c>
      <c r="E455" t="s">
        <v>158</v>
      </c>
      <c r="F455" t="s">
        <v>159</v>
      </c>
      <c r="G455">
        <v>4.6666666666666669E-2</v>
      </c>
      <c r="H455">
        <v>492.24</v>
      </c>
      <c r="I455">
        <v>168</v>
      </c>
      <c r="J455">
        <v>168</v>
      </c>
      <c r="K455" t="s">
        <v>124</v>
      </c>
    </row>
    <row r="456" spans="1:11" ht="14.25" customHeight="1" x14ac:dyDescent="0.35">
      <c r="A456" t="s">
        <v>136</v>
      </c>
      <c r="B456" s="46">
        <v>46124</v>
      </c>
      <c r="C456" t="s">
        <v>100</v>
      </c>
      <c r="D456" t="s">
        <v>137</v>
      </c>
      <c r="E456" t="s">
        <v>158</v>
      </c>
      <c r="F456" t="s">
        <v>159</v>
      </c>
      <c r="G456">
        <v>0.05</v>
      </c>
      <c r="H456">
        <v>491.68999999999994</v>
      </c>
      <c r="I456">
        <v>180</v>
      </c>
      <c r="J456">
        <v>180</v>
      </c>
      <c r="K456" t="s">
        <v>124</v>
      </c>
    </row>
    <row r="457" spans="1:11" ht="14.25" customHeight="1" x14ac:dyDescent="0.35">
      <c r="A457" t="s">
        <v>136</v>
      </c>
      <c r="B457" s="46">
        <v>46124</v>
      </c>
      <c r="C457" t="s">
        <v>106</v>
      </c>
      <c r="D457" t="s">
        <v>137</v>
      </c>
      <c r="E457" t="s">
        <v>156</v>
      </c>
      <c r="F457" t="s">
        <v>157</v>
      </c>
      <c r="G457">
        <v>5.5833333333333332E-2</v>
      </c>
      <c r="H457">
        <v>478.83</v>
      </c>
      <c r="I457">
        <v>201</v>
      </c>
      <c r="J457">
        <v>201</v>
      </c>
      <c r="K457" t="s">
        <v>124</v>
      </c>
    </row>
    <row r="458" spans="1:11" ht="14.25" customHeight="1" x14ac:dyDescent="0.35">
      <c r="A458" t="s">
        <v>136</v>
      </c>
      <c r="B458" s="46">
        <v>46124</v>
      </c>
      <c r="C458" t="s">
        <v>100</v>
      </c>
      <c r="D458" t="s">
        <v>137</v>
      </c>
      <c r="E458" t="s">
        <v>152</v>
      </c>
      <c r="F458" t="s">
        <v>153</v>
      </c>
      <c r="G458">
        <v>0.92527777777777775</v>
      </c>
      <c r="H458">
        <v>465.15999999999997</v>
      </c>
      <c r="I458">
        <v>116</v>
      </c>
      <c r="J458">
        <v>760</v>
      </c>
      <c r="K458" t="s">
        <v>124</v>
      </c>
    </row>
    <row r="459" spans="1:11" ht="14.25" customHeight="1" x14ac:dyDescent="0.35">
      <c r="A459" t="s">
        <v>136</v>
      </c>
      <c r="B459" s="46">
        <v>46124</v>
      </c>
      <c r="C459" t="s">
        <v>95</v>
      </c>
      <c r="D459" t="s">
        <v>137</v>
      </c>
      <c r="E459" t="s">
        <v>152</v>
      </c>
      <c r="F459" t="s">
        <v>153</v>
      </c>
      <c r="G459">
        <v>0.24416666666666667</v>
      </c>
      <c r="H459">
        <v>461.71999999999997</v>
      </c>
      <c r="I459">
        <v>119</v>
      </c>
      <c r="J459">
        <v>129</v>
      </c>
      <c r="K459" t="s">
        <v>124</v>
      </c>
    </row>
    <row r="460" spans="1:11" ht="14.25" customHeight="1" x14ac:dyDescent="0.35">
      <c r="A460" t="s">
        <v>136</v>
      </c>
      <c r="B460" s="46">
        <v>46116</v>
      </c>
      <c r="C460" t="s">
        <v>107</v>
      </c>
      <c r="D460" t="s">
        <v>137</v>
      </c>
      <c r="E460" t="s">
        <v>138</v>
      </c>
      <c r="F460" t="s">
        <v>139</v>
      </c>
      <c r="G460">
        <v>4.0833333333333333E-2</v>
      </c>
      <c r="H460">
        <v>435.12</v>
      </c>
      <c r="I460">
        <v>147</v>
      </c>
      <c r="J460">
        <v>147</v>
      </c>
      <c r="K460" t="s">
        <v>124</v>
      </c>
    </row>
    <row r="461" spans="1:11" ht="14.25" customHeight="1" x14ac:dyDescent="0.35">
      <c r="A461" t="s">
        <v>136</v>
      </c>
      <c r="B461" s="46">
        <v>46123</v>
      </c>
      <c r="C461" t="s">
        <v>88</v>
      </c>
      <c r="D461" t="s">
        <v>137</v>
      </c>
      <c r="E461" t="s">
        <v>148</v>
      </c>
      <c r="F461" t="s">
        <v>149</v>
      </c>
      <c r="G461">
        <v>2.3055555555555555E-2</v>
      </c>
      <c r="H461">
        <v>427.68</v>
      </c>
      <c r="I461">
        <v>72</v>
      </c>
      <c r="J461">
        <v>83</v>
      </c>
      <c r="K461" t="s">
        <v>124</v>
      </c>
    </row>
    <row r="462" spans="1:11" ht="14.25" customHeight="1" x14ac:dyDescent="0.35">
      <c r="A462" t="s">
        <v>136</v>
      </c>
      <c r="B462" s="46">
        <v>46124</v>
      </c>
      <c r="C462" t="s">
        <v>85</v>
      </c>
      <c r="D462" t="s">
        <v>137</v>
      </c>
      <c r="E462" t="s">
        <v>152</v>
      </c>
      <c r="F462" t="s">
        <v>153</v>
      </c>
      <c r="G462">
        <v>0.16944444444444445</v>
      </c>
      <c r="H462">
        <v>424.87999999999994</v>
      </c>
      <c r="I462">
        <v>94</v>
      </c>
      <c r="J462">
        <v>197</v>
      </c>
      <c r="K462" t="s">
        <v>124</v>
      </c>
    </row>
    <row r="463" spans="1:11" ht="14.25" customHeight="1" x14ac:dyDescent="0.35">
      <c r="A463" t="s">
        <v>136</v>
      </c>
      <c r="B463" s="46">
        <v>46118</v>
      </c>
      <c r="C463" t="s">
        <v>81</v>
      </c>
      <c r="D463" t="s">
        <v>137</v>
      </c>
      <c r="E463" t="s">
        <v>158</v>
      </c>
      <c r="F463" t="s">
        <v>159</v>
      </c>
      <c r="G463">
        <v>0.10777777777777778</v>
      </c>
      <c r="H463">
        <v>423</v>
      </c>
      <c r="I463">
        <v>153</v>
      </c>
      <c r="J463">
        <v>206</v>
      </c>
      <c r="K463" t="s">
        <v>124</v>
      </c>
    </row>
    <row r="464" spans="1:11" ht="14.25" customHeight="1" x14ac:dyDescent="0.35">
      <c r="A464" t="s">
        <v>136</v>
      </c>
      <c r="B464" s="46">
        <v>46117</v>
      </c>
      <c r="C464" t="s">
        <v>86</v>
      </c>
      <c r="D464" t="s">
        <v>137</v>
      </c>
      <c r="E464" t="s">
        <v>152</v>
      </c>
      <c r="F464" t="s">
        <v>153</v>
      </c>
      <c r="G464">
        <v>0.26416666666666666</v>
      </c>
      <c r="H464">
        <v>418.86</v>
      </c>
      <c r="I464">
        <v>78</v>
      </c>
      <c r="J464">
        <v>88</v>
      </c>
      <c r="K464" t="s">
        <v>124</v>
      </c>
    </row>
    <row r="465" spans="1:11" ht="14.25" customHeight="1" x14ac:dyDescent="0.35">
      <c r="A465" t="s">
        <v>136</v>
      </c>
      <c r="B465" s="46">
        <v>46123</v>
      </c>
      <c r="C465" t="s">
        <v>101</v>
      </c>
      <c r="D465" t="s">
        <v>137</v>
      </c>
      <c r="E465" t="s">
        <v>148</v>
      </c>
      <c r="F465" t="s">
        <v>149</v>
      </c>
      <c r="G465">
        <v>0.03</v>
      </c>
      <c r="H465">
        <v>415.38</v>
      </c>
      <c r="I465">
        <v>86</v>
      </c>
      <c r="J465">
        <v>108</v>
      </c>
      <c r="K465" t="s">
        <v>124</v>
      </c>
    </row>
    <row r="466" spans="1:11" ht="14.25" customHeight="1" x14ac:dyDescent="0.35">
      <c r="A466" t="s">
        <v>136</v>
      </c>
      <c r="B466" s="46">
        <v>46124</v>
      </c>
      <c r="C466" t="s">
        <v>101</v>
      </c>
      <c r="D466" t="s">
        <v>137</v>
      </c>
      <c r="E466" t="s">
        <v>158</v>
      </c>
      <c r="F466" t="s">
        <v>159</v>
      </c>
      <c r="G466">
        <v>7.2777777777777775E-2</v>
      </c>
      <c r="H466">
        <v>414.39</v>
      </c>
      <c r="I466">
        <v>171</v>
      </c>
      <c r="J466">
        <v>194</v>
      </c>
      <c r="K466" t="s">
        <v>124</v>
      </c>
    </row>
    <row r="467" spans="1:11" ht="14.25" customHeight="1" x14ac:dyDescent="0.35">
      <c r="A467" t="s">
        <v>136</v>
      </c>
      <c r="B467" s="46">
        <v>46123</v>
      </c>
      <c r="C467" t="s">
        <v>97</v>
      </c>
      <c r="D467" t="s">
        <v>137</v>
      </c>
      <c r="E467" t="s">
        <v>152</v>
      </c>
      <c r="F467" t="s">
        <v>153</v>
      </c>
      <c r="G467">
        <v>0.16916666666666666</v>
      </c>
      <c r="H467">
        <v>412.38</v>
      </c>
      <c r="I467">
        <v>87</v>
      </c>
      <c r="J467">
        <v>108</v>
      </c>
      <c r="K467" t="s">
        <v>124</v>
      </c>
    </row>
    <row r="468" spans="1:11" ht="14.25" customHeight="1" x14ac:dyDescent="0.35">
      <c r="A468" t="s">
        <v>136</v>
      </c>
      <c r="B468" s="46">
        <v>46123</v>
      </c>
      <c r="C468" t="s">
        <v>84</v>
      </c>
      <c r="D468" t="s">
        <v>137</v>
      </c>
      <c r="E468" t="s">
        <v>152</v>
      </c>
      <c r="F468" t="s">
        <v>153</v>
      </c>
      <c r="G468">
        <v>0.2361111111111111</v>
      </c>
      <c r="H468">
        <v>410.52</v>
      </c>
      <c r="I468">
        <v>132</v>
      </c>
      <c r="J468">
        <v>200</v>
      </c>
      <c r="K468" t="s">
        <v>124</v>
      </c>
    </row>
    <row r="469" spans="1:11" ht="14.25" customHeight="1" x14ac:dyDescent="0.35">
      <c r="A469" t="s">
        <v>136</v>
      </c>
      <c r="B469" s="46">
        <v>46124</v>
      </c>
      <c r="C469" t="s">
        <v>109</v>
      </c>
      <c r="D469" t="s">
        <v>137</v>
      </c>
      <c r="E469" t="s">
        <v>152</v>
      </c>
      <c r="F469" t="s">
        <v>153</v>
      </c>
      <c r="G469">
        <v>0.10888888888888888</v>
      </c>
      <c r="H469">
        <v>404.25</v>
      </c>
      <c r="I469">
        <v>75</v>
      </c>
      <c r="J469">
        <v>126</v>
      </c>
      <c r="K469" t="s">
        <v>124</v>
      </c>
    </row>
    <row r="470" spans="1:11" ht="14.25" customHeight="1" x14ac:dyDescent="0.35">
      <c r="A470" t="s">
        <v>136</v>
      </c>
      <c r="B470" s="46">
        <v>46124</v>
      </c>
      <c r="C470" t="s">
        <v>96</v>
      </c>
      <c r="D470" t="s">
        <v>137</v>
      </c>
      <c r="E470" t="s">
        <v>152</v>
      </c>
      <c r="F470" t="s">
        <v>153</v>
      </c>
      <c r="G470">
        <v>0.1763888888888889</v>
      </c>
      <c r="H470">
        <v>390.4</v>
      </c>
      <c r="I470">
        <v>80</v>
      </c>
      <c r="J470">
        <v>129</v>
      </c>
      <c r="K470" t="s">
        <v>124</v>
      </c>
    </row>
    <row r="471" spans="1:11" ht="14.25" customHeight="1" x14ac:dyDescent="0.35">
      <c r="A471" t="s">
        <v>136</v>
      </c>
      <c r="B471" s="46">
        <v>46123</v>
      </c>
      <c r="C471" t="s">
        <v>93</v>
      </c>
      <c r="D471" t="s">
        <v>137</v>
      </c>
      <c r="E471" t="s">
        <v>140</v>
      </c>
      <c r="F471" t="s">
        <v>141</v>
      </c>
      <c r="G471">
        <v>2.8611111111111111E-2</v>
      </c>
      <c r="H471">
        <v>386.25</v>
      </c>
      <c r="I471">
        <v>103</v>
      </c>
      <c r="J471">
        <v>103</v>
      </c>
      <c r="K471" t="s">
        <v>124</v>
      </c>
    </row>
    <row r="472" spans="1:11" ht="14.25" customHeight="1" x14ac:dyDescent="0.35">
      <c r="A472" t="s">
        <v>136</v>
      </c>
      <c r="B472" s="46">
        <v>46118</v>
      </c>
      <c r="C472" t="s">
        <v>104</v>
      </c>
      <c r="D472" t="s">
        <v>137</v>
      </c>
      <c r="E472" t="s">
        <v>148</v>
      </c>
      <c r="F472" t="s">
        <v>149</v>
      </c>
      <c r="G472">
        <v>2.6111111111111113E-2</v>
      </c>
      <c r="H472">
        <v>383.46000000000004</v>
      </c>
      <c r="I472">
        <v>83</v>
      </c>
      <c r="J472">
        <v>94</v>
      </c>
      <c r="K472" t="s">
        <v>124</v>
      </c>
    </row>
    <row r="473" spans="1:11" ht="14.25" customHeight="1" x14ac:dyDescent="0.35">
      <c r="A473" t="s">
        <v>136</v>
      </c>
      <c r="B473" s="46">
        <v>46118</v>
      </c>
      <c r="C473" t="s">
        <v>99</v>
      </c>
      <c r="D473" t="s">
        <v>137</v>
      </c>
      <c r="E473" t="s">
        <v>144</v>
      </c>
      <c r="F473" t="s">
        <v>145</v>
      </c>
      <c r="G473">
        <v>2.7313888888888891</v>
      </c>
      <c r="H473">
        <v>383.46000000000004</v>
      </c>
      <c r="I473">
        <v>77</v>
      </c>
      <c r="J473">
        <v>494</v>
      </c>
      <c r="K473" t="s">
        <v>124</v>
      </c>
    </row>
    <row r="474" spans="1:11" ht="14.25" customHeight="1" x14ac:dyDescent="0.35">
      <c r="A474" t="s">
        <v>136</v>
      </c>
      <c r="B474" s="46">
        <v>46120</v>
      </c>
      <c r="C474" t="s">
        <v>85</v>
      </c>
      <c r="D474" t="s">
        <v>137</v>
      </c>
      <c r="E474" t="s">
        <v>152</v>
      </c>
      <c r="F474" t="s">
        <v>153</v>
      </c>
      <c r="G474">
        <v>0.80249999999999999</v>
      </c>
      <c r="H474">
        <v>382.2</v>
      </c>
      <c r="I474">
        <v>91</v>
      </c>
      <c r="J474">
        <v>446</v>
      </c>
      <c r="K474" t="s">
        <v>124</v>
      </c>
    </row>
    <row r="475" spans="1:11" ht="14.25" customHeight="1" x14ac:dyDescent="0.35">
      <c r="A475" t="s">
        <v>136</v>
      </c>
      <c r="B475" s="46">
        <v>46118</v>
      </c>
      <c r="C475" t="s">
        <v>93</v>
      </c>
      <c r="D475" t="s">
        <v>137</v>
      </c>
      <c r="E475" t="s">
        <v>144</v>
      </c>
      <c r="F475" t="s">
        <v>145</v>
      </c>
      <c r="G475">
        <v>1.9430555555555555</v>
      </c>
      <c r="H475">
        <v>370.14</v>
      </c>
      <c r="I475">
        <v>126</v>
      </c>
      <c r="J475">
        <v>363</v>
      </c>
      <c r="K475" t="s">
        <v>124</v>
      </c>
    </row>
    <row r="476" spans="1:11" ht="14.25" customHeight="1" x14ac:dyDescent="0.35">
      <c r="A476" t="s">
        <v>136</v>
      </c>
      <c r="B476" s="46">
        <v>46124</v>
      </c>
      <c r="C476" t="s">
        <v>107</v>
      </c>
      <c r="D476" t="s">
        <v>137</v>
      </c>
      <c r="E476" t="s">
        <v>148</v>
      </c>
      <c r="F476" t="s">
        <v>149</v>
      </c>
      <c r="G476">
        <v>2.1111111111111112E-2</v>
      </c>
      <c r="H476">
        <v>352.3</v>
      </c>
      <c r="I476">
        <v>65</v>
      </c>
      <c r="J476">
        <v>76</v>
      </c>
      <c r="K476" t="s">
        <v>124</v>
      </c>
    </row>
    <row r="477" spans="1:11" ht="14.25" customHeight="1" x14ac:dyDescent="0.35">
      <c r="A477" t="s">
        <v>136</v>
      </c>
      <c r="B477" s="46">
        <v>46118</v>
      </c>
      <c r="C477" t="s">
        <v>100</v>
      </c>
      <c r="D477" t="s">
        <v>137</v>
      </c>
      <c r="E477" t="s">
        <v>152</v>
      </c>
      <c r="F477" t="s">
        <v>153</v>
      </c>
      <c r="G477">
        <v>0.20861111111111111</v>
      </c>
      <c r="H477">
        <v>349.65000000000003</v>
      </c>
      <c r="I477">
        <v>35</v>
      </c>
      <c r="J477">
        <v>56</v>
      </c>
      <c r="K477" t="s">
        <v>124</v>
      </c>
    </row>
    <row r="478" spans="1:11" ht="14.25" customHeight="1" x14ac:dyDescent="0.35">
      <c r="A478" t="s">
        <v>136</v>
      </c>
      <c r="B478" s="46">
        <v>46118</v>
      </c>
      <c r="C478" t="s">
        <v>88</v>
      </c>
      <c r="D478" t="s">
        <v>137</v>
      </c>
      <c r="E478" t="s">
        <v>152</v>
      </c>
      <c r="F478" t="s">
        <v>153</v>
      </c>
      <c r="G478">
        <v>0.18527777777777779</v>
      </c>
      <c r="H478">
        <v>347.27</v>
      </c>
      <c r="I478">
        <v>77</v>
      </c>
      <c r="J478">
        <v>107</v>
      </c>
      <c r="K478" t="s">
        <v>124</v>
      </c>
    </row>
    <row r="479" spans="1:11" ht="14.25" customHeight="1" x14ac:dyDescent="0.35">
      <c r="A479" t="s">
        <v>136</v>
      </c>
      <c r="B479" s="46">
        <v>46118</v>
      </c>
      <c r="C479" t="s">
        <v>90</v>
      </c>
      <c r="D479" t="s">
        <v>137</v>
      </c>
      <c r="E479" t="s">
        <v>158</v>
      </c>
      <c r="F479" t="s">
        <v>159</v>
      </c>
      <c r="G479">
        <v>2.8611111111111111E-2</v>
      </c>
      <c r="H479">
        <v>336.81</v>
      </c>
      <c r="I479">
        <v>103</v>
      </c>
      <c r="J479">
        <v>103</v>
      </c>
      <c r="K479" t="s">
        <v>124</v>
      </c>
    </row>
    <row r="480" spans="1:11" ht="14.25" customHeight="1" x14ac:dyDescent="0.35">
      <c r="A480" t="s">
        <v>136</v>
      </c>
      <c r="B480" s="46">
        <v>46118</v>
      </c>
      <c r="C480" t="s">
        <v>99</v>
      </c>
      <c r="D480" t="s">
        <v>137</v>
      </c>
      <c r="E480" t="s">
        <v>158</v>
      </c>
      <c r="F480" t="s">
        <v>159</v>
      </c>
      <c r="G480">
        <v>9.9166666666666667E-2</v>
      </c>
      <c r="H480">
        <v>336</v>
      </c>
      <c r="I480">
        <v>136</v>
      </c>
      <c r="J480">
        <v>171</v>
      </c>
      <c r="K480" t="s">
        <v>124</v>
      </c>
    </row>
    <row r="481" spans="1:11" ht="14.25" customHeight="1" x14ac:dyDescent="0.35">
      <c r="A481" t="s">
        <v>136</v>
      </c>
      <c r="B481" s="46">
        <v>46118</v>
      </c>
      <c r="C481" t="s">
        <v>85</v>
      </c>
      <c r="D481" t="s">
        <v>137</v>
      </c>
      <c r="E481" t="s">
        <v>158</v>
      </c>
      <c r="F481" t="s">
        <v>159</v>
      </c>
      <c r="G481">
        <v>2.8333333333333332E-2</v>
      </c>
      <c r="H481">
        <v>331.07000000000005</v>
      </c>
      <c r="I481">
        <v>102</v>
      </c>
      <c r="J481">
        <v>102</v>
      </c>
      <c r="K481" t="s">
        <v>124</v>
      </c>
    </row>
    <row r="482" spans="1:11" ht="14.25" customHeight="1" x14ac:dyDescent="0.35">
      <c r="A482" t="s">
        <v>136</v>
      </c>
      <c r="B482" s="46">
        <v>46118</v>
      </c>
      <c r="C482" t="s">
        <v>84</v>
      </c>
      <c r="D482" t="s">
        <v>137</v>
      </c>
      <c r="E482" t="s">
        <v>158</v>
      </c>
      <c r="F482" t="s">
        <v>159</v>
      </c>
      <c r="G482">
        <v>0.12777777777777777</v>
      </c>
      <c r="H482">
        <v>330.9</v>
      </c>
      <c r="I482">
        <v>143</v>
      </c>
      <c r="J482">
        <v>160</v>
      </c>
      <c r="K482" t="s">
        <v>124</v>
      </c>
    </row>
    <row r="483" spans="1:11" ht="14.25" customHeight="1" x14ac:dyDescent="0.35">
      <c r="A483" t="s">
        <v>136</v>
      </c>
      <c r="B483" s="46">
        <v>46124</v>
      </c>
      <c r="C483" t="s">
        <v>86</v>
      </c>
      <c r="D483" t="s">
        <v>137</v>
      </c>
      <c r="E483" t="s">
        <v>158</v>
      </c>
      <c r="F483" t="s">
        <v>159</v>
      </c>
      <c r="G483">
        <v>3.3611111111111112E-2</v>
      </c>
      <c r="H483">
        <v>321.09000000000003</v>
      </c>
      <c r="I483">
        <v>121</v>
      </c>
      <c r="J483">
        <v>121</v>
      </c>
      <c r="K483" t="s">
        <v>124</v>
      </c>
    </row>
    <row r="484" spans="1:11" ht="14.25" customHeight="1" x14ac:dyDescent="0.35">
      <c r="A484" t="s">
        <v>136</v>
      </c>
      <c r="B484" s="46">
        <v>46124</v>
      </c>
      <c r="C484" t="s">
        <v>104</v>
      </c>
      <c r="D484" t="s">
        <v>137</v>
      </c>
      <c r="E484" t="s">
        <v>158</v>
      </c>
      <c r="F484" t="s">
        <v>159</v>
      </c>
      <c r="G484">
        <v>0.2036111111111111</v>
      </c>
      <c r="H484">
        <v>319.57</v>
      </c>
      <c r="I484">
        <v>93</v>
      </c>
      <c r="J484">
        <v>157</v>
      </c>
      <c r="K484" t="s">
        <v>124</v>
      </c>
    </row>
    <row r="485" spans="1:11" ht="14.25" customHeight="1" x14ac:dyDescent="0.35">
      <c r="A485" t="s">
        <v>136</v>
      </c>
      <c r="B485" s="46">
        <v>46118</v>
      </c>
      <c r="C485" t="s">
        <v>103</v>
      </c>
      <c r="D485" t="s">
        <v>137</v>
      </c>
      <c r="E485" t="s">
        <v>158</v>
      </c>
      <c r="F485" t="s">
        <v>159</v>
      </c>
      <c r="G485">
        <v>3.6388888888888887E-2</v>
      </c>
      <c r="H485">
        <v>315.71000000000004</v>
      </c>
      <c r="I485">
        <v>131</v>
      </c>
      <c r="J485">
        <v>131</v>
      </c>
      <c r="K485" t="s">
        <v>124</v>
      </c>
    </row>
    <row r="486" spans="1:11" ht="14.25" customHeight="1" x14ac:dyDescent="0.35">
      <c r="A486" t="s">
        <v>136</v>
      </c>
      <c r="B486" s="46">
        <v>46118</v>
      </c>
      <c r="C486" t="s">
        <v>106</v>
      </c>
      <c r="D486" t="s">
        <v>137</v>
      </c>
      <c r="E486" t="s">
        <v>158</v>
      </c>
      <c r="F486" t="s">
        <v>159</v>
      </c>
      <c r="G486">
        <v>3.2222222222222222E-2</v>
      </c>
      <c r="H486">
        <v>313.20000000000005</v>
      </c>
      <c r="I486">
        <v>116</v>
      </c>
      <c r="J486">
        <v>116</v>
      </c>
      <c r="K486" t="s">
        <v>124</v>
      </c>
    </row>
    <row r="487" spans="1:11" ht="14.25" customHeight="1" x14ac:dyDescent="0.35">
      <c r="A487" t="s">
        <v>136</v>
      </c>
      <c r="B487" s="46">
        <v>46123</v>
      </c>
      <c r="C487" t="s">
        <v>86</v>
      </c>
      <c r="D487" t="s">
        <v>137</v>
      </c>
      <c r="E487" t="s">
        <v>160</v>
      </c>
      <c r="F487" t="s">
        <v>161</v>
      </c>
      <c r="G487">
        <v>2.2222222222222223E-2</v>
      </c>
      <c r="H487">
        <v>311.2</v>
      </c>
      <c r="I487">
        <v>80</v>
      </c>
      <c r="J487">
        <v>80</v>
      </c>
      <c r="K487" t="s">
        <v>124</v>
      </c>
    </row>
    <row r="488" spans="1:11" ht="14.25" customHeight="1" x14ac:dyDescent="0.35">
      <c r="A488" t="s">
        <v>136</v>
      </c>
      <c r="B488" s="46">
        <v>46118</v>
      </c>
      <c r="C488" t="s">
        <v>96</v>
      </c>
      <c r="D488" t="s">
        <v>137</v>
      </c>
      <c r="E488" t="s">
        <v>148</v>
      </c>
      <c r="F488" t="s">
        <v>149</v>
      </c>
      <c r="G488">
        <v>1.9722222222222221E-2</v>
      </c>
      <c r="H488">
        <v>304.8</v>
      </c>
      <c r="I488">
        <v>60</v>
      </c>
      <c r="J488">
        <v>71</v>
      </c>
      <c r="K488" t="s">
        <v>124</v>
      </c>
    </row>
    <row r="489" spans="1:11" ht="14.25" customHeight="1" x14ac:dyDescent="0.35">
      <c r="A489" t="s">
        <v>136</v>
      </c>
      <c r="B489" s="46">
        <v>46119</v>
      </c>
      <c r="C489" t="s">
        <v>101</v>
      </c>
      <c r="D489" t="s">
        <v>137</v>
      </c>
      <c r="E489" t="s">
        <v>156</v>
      </c>
      <c r="F489" t="s">
        <v>157</v>
      </c>
      <c r="G489">
        <v>3.5833333333333335E-2</v>
      </c>
      <c r="H489">
        <v>304.47000000000003</v>
      </c>
      <c r="I489">
        <v>129</v>
      </c>
      <c r="J489">
        <v>129</v>
      </c>
      <c r="K489" t="s">
        <v>124</v>
      </c>
    </row>
    <row r="490" spans="1:11" ht="14.25" customHeight="1" x14ac:dyDescent="0.35">
      <c r="A490" t="s">
        <v>136</v>
      </c>
      <c r="B490" s="46">
        <v>46117</v>
      </c>
      <c r="C490" t="s">
        <v>84</v>
      </c>
      <c r="D490" t="s">
        <v>137</v>
      </c>
      <c r="E490" t="s">
        <v>144</v>
      </c>
      <c r="F490" t="s">
        <v>145</v>
      </c>
      <c r="G490">
        <v>18.442222222222224</v>
      </c>
      <c r="H490">
        <v>297.14999999999998</v>
      </c>
      <c r="I490">
        <v>96</v>
      </c>
      <c r="J490">
        <v>1583</v>
      </c>
      <c r="K490" t="s">
        <v>124</v>
      </c>
    </row>
    <row r="491" spans="1:11" ht="14.25" customHeight="1" x14ac:dyDescent="0.35">
      <c r="A491" t="s">
        <v>136</v>
      </c>
      <c r="B491" s="46">
        <v>46124</v>
      </c>
      <c r="C491" t="s">
        <v>99</v>
      </c>
      <c r="D491" t="s">
        <v>137</v>
      </c>
      <c r="E491" t="s">
        <v>156</v>
      </c>
      <c r="F491" t="s">
        <v>157</v>
      </c>
      <c r="G491">
        <v>2.9722222222222223E-2</v>
      </c>
      <c r="H491">
        <v>286.49</v>
      </c>
      <c r="I491">
        <v>107</v>
      </c>
      <c r="J491">
        <v>107</v>
      </c>
      <c r="K491" t="s">
        <v>124</v>
      </c>
    </row>
    <row r="492" spans="1:11" ht="14.25" customHeight="1" x14ac:dyDescent="0.35">
      <c r="A492" t="s">
        <v>136</v>
      </c>
      <c r="B492" s="46">
        <v>46119</v>
      </c>
      <c r="C492" t="s">
        <v>97</v>
      </c>
      <c r="D492" t="s">
        <v>137</v>
      </c>
      <c r="E492" t="s">
        <v>156</v>
      </c>
      <c r="F492" t="s">
        <v>157</v>
      </c>
      <c r="G492">
        <v>3.4722222222222224E-2</v>
      </c>
      <c r="H492">
        <v>271.25</v>
      </c>
      <c r="I492">
        <v>125</v>
      </c>
      <c r="J492">
        <v>125</v>
      </c>
      <c r="K492" t="s">
        <v>124</v>
      </c>
    </row>
    <row r="493" spans="1:11" ht="14.25" customHeight="1" x14ac:dyDescent="0.35">
      <c r="A493" t="s">
        <v>136</v>
      </c>
      <c r="B493" s="46">
        <v>46119</v>
      </c>
      <c r="C493" t="s">
        <v>101</v>
      </c>
      <c r="D493" t="s">
        <v>137</v>
      </c>
      <c r="E493" t="s">
        <v>140</v>
      </c>
      <c r="F493" t="s">
        <v>141</v>
      </c>
      <c r="G493">
        <v>1.7777777777777778E-2</v>
      </c>
      <c r="H493">
        <v>245.12</v>
      </c>
      <c r="I493">
        <v>64</v>
      </c>
      <c r="J493">
        <v>64</v>
      </c>
      <c r="K493" t="s">
        <v>124</v>
      </c>
    </row>
    <row r="494" spans="1:11" ht="14.25" customHeight="1" x14ac:dyDescent="0.35">
      <c r="A494" t="s">
        <v>136</v>
      </c>
      <c r="B494" s="46">
        <v>46118</v>
      </c>
      <c r="C494" t="s">
        <v>97</v>
      </c>
      <c r="D494" t="s">
        <v>137</v>
      </c>
      <c r="E494" t="s">
        <v>158</v>
      </c>
      <c r="F494" t="s">
        <v>159</v>
      </c>
      <c r="G494">
        <v>3.3333333333333333E-2</v>
      </c>
      <c r="H494">
        <v>237.6</v>
      </c>
      <c r="I494">
        <v>120</v>
      </c>
      <c r="J494">
        <v>120</v>
      </c>
      <c r="K494" t="s">
        <v>124</v>
      </c>
    </row>
    <row r="495" spans="1:11" ht="14.25" customHeight="1" x14ac:dyDescent="0.35">
      <c r="A495" t="s">
        <v>136</v>
      </c>
      <c r="B495" s="46">
        <v>46123</v>
      </c>
      <c r="C495" t="s">
        <v>85</v>
      </c>
      <c r="D495" t="s">
        <v>137</v>
      </c>
      <c r="E495" t="s">
        <v>158</v>
      </c>
      <c r="F495" t="s">
        <v>159</v>
      </c>
      <c r="G495">
        <v>2.4722222222222222E-2</v>
      </c>
      <c r="H495">
        <v>228.73</v>
      </c>
      <c r="I495">
        <v>89</v>
      </c>
      <c r="J495">
        <v>89</v>
      </c>
      <c r="K495" t="s">
        <v>124</v>
      </c>
    </row>
    <row r="496" spans="1:11" ht="14.25" customHeight="1" x14ac:dyDescent="0.35">
      <c r="A496" t="s">
        <v>136</v>
      </c>
      <c r="B496" s="46">
        <v>46119</v>
      </c>
      <c r="C496" t="s">
        <v>103</v>
      </c>
      <c r="D496" t="s">
        <v>137</v>
      </c>
      <c r="E496" t="s">
        <v>148</v>
      </c>
      <c r="F496" t="s">
        <v>149</v>
      </c>
      <c r="G496">
        <v>2.4166666666666666E-2</v>
      </c>
      <c r="H496">
        <v>220.98</v>
      </c>
      <c r="I496">
        <v>87</v>
      </c>
      <c r="J496">
        <v>87</v>
      </c>
      <c r="K496" t="s">
        <v>124</v>
      </c>
    </row>
    <row r="497" spans="1:11" ht="14.25" customHeight="1" x14ac:dyDescent="0.35">
      <c r="A497" t="s">
        <v>136</v>
      </c>
      <c r="B497" s="46">
        <v>46124</v>
      </c>
      <c r="C497" t="s">
        <v>84</v>
      </c>
      <c r="D497" t="s">
        <v>137</v>
      </c>
      <c r="E497" t="s">
        <v>156</v>
      </c>
      <c r="F497" t="s">
        <v>157</v>
      </c>
      <c r="G497">
        <v>2.2499999999999999E-2</v>
      </c>
      <c r="H497">
        <v>218.77</v>
      </c>
      <c r="I497">
        <v>81</v>
      </c>
      <c r="J497">
        <v>81</v>
      </c>
      <c r="K497" t="s">
        <v>124</v>
      </c>
    </row>
    <row r="498" spans="1:11" ht="14.25" customHeight="1" x14ac:dyDescent="0.35">
      <c r="A498" t="s">
        <v>136</v>
      </c>
      <c r="B498" s="46">
        <v>46117</v>
      </c>
      <c r="C498" t="s">
        <v>86</v>
      </c>
      <c r="D498" t="s">
        <v>137</v>
      </c>
      <c r="E498" t="s">
        <v>144</v>
      </c>
      <c r="F498" t="s">
        <v>145</v>
      </c>
      <c r="G498">
        <v>1.0469444444444445</v>
      </c>
      <c r="H498">
        <v>217.25</v>
      </c>
      <c r="I498">
        <v>79</v>
      </c>
      <c r="J498">
        <v>504</v>
      </c>
      <c r="K498" t="s">
        <v>124</v>
      </c>
    </row>
    <row r="499" spans="1:11" ht="14.25" customHeight="1" x14ac:dyDescent="0.35">
      <c r="A499" t="s">
        <v>136</v>
      </c>
      <c r="B499" s="46">
        <v>46124</v>
      </c>
      <c r="C499" t="s">
        <v>109</v>
      </c>
      <c r="D499" t="s">
        <v>137</v>
      </c>
      <c r="E499" t="s">
        <v>156</v>
      </c>
      <c r="F499" t="s">
        <v>157</v>
      </c>
      <c r="G499">
        <v>0.12111111111111111</v>
      </c>
      <c r="H499">
        <v>216.24</v>
      </c>
      <c r="I499">
        <v>51</v>
      </c>
      <c r="J499">
        <v>205</v>
      </c>
      <c r="K499" t="s">
        <v>124</v>
      </c>
    </row>
    <row r="500" spans="1:11" ht="14.25" customHeight="1" x14ac:dyDescent="0.35">
      <c r="A500" t="s">
        <v>136</v>
      </c>
      <c r="B500" s="46">
        <v>46117</v>
      </c>
      <c r="C500" t="s">
        <v>93</v>
      </c>
      <c r="D500" t="s">
        <v>137</v>
      </c>
      <c r="E500" t="s">
        <v>144</v>
      </c>
      <c r="F500" t="s">
        <v>145</v>
      </c>
      <c r="G500">
        <v>18.858611111111109</v>
      </c>
      <c r="H500">
        <v>214.97</v>
      </c>
      <c r="I500">
        <v>83</v>
      </c>
      <c r="J500">
        <v>1626</v>
      </c>
      <c r="K500" t="s">
        <v>124</v>
      </c>
    </row>
    <row r="501" spans="1:11" ht="14.25" customHeight="1" x14ac:dyDescent="0.35">
      <c r="A501" t="s">
        <v>136</v>
      </c>
      <c r="B501" s="46">
        <v>46118</v>
      </c>
      <c r="C501" t="s">
        <v>93</v>
      </c>
      <c r="D501" t="s">
        <v>137</v>
      </c>
      <c r="E501" t="s">
        <v>158</v>
      </c>
      <c r="F501" t="s">
        <v>159</v>
      </c>
      <c r="G501">
        <v>4.8333333333333332E-2</v>
      </c>
      <c r="H501">
        <v>209.42000000000002</v>
      </c>
      <c r="I501">
        <v>74</v>
      </c>
      <c r="J501">
        <v>91</v>
      </c>
      <c r="K501" t="s">
        <v>124</v>
      </c>
    </row>
    <row r="502" spans="1:11" ht="14.25" customHeight="1" x14ac:dyDescent="0.35">
      <c r="A502" t="s">
        <v>136</v>
      </c>
      <c r="B502" s="46">
        <v>46118</v>
      </c>
      <c r="C502" t="s">
        <v>104</v>
      </c>
      <c r="D502" t="s">
        <v>137</v>
      </c>
      <c r="E502" t="s">
        <v>152</v>
      </c>
      <c r="F502" t="s">
        <v>153</v>
      </c>
      <c r="G502">
        <v>0.5033333333333333</v>
      </c>
      <c r="H502">
        <v>203.41</v>
      </c>
      <c r="I502">
        <v>84</v>
      </c>
      <c r="J502">
        <v>197</v>
      </c>
      <c r="K502" t="s">
        <v>124</v>
      </c>
    </row>
    <row r="503" spans="1:11" ht="14.25" customHeight="1" x14ac:dyDescent="0.35">
      <c r="A503" t="s">
        <v>136</v>
      </c>
      <c r="B503" s="46">
        <v>46119</v>
      </c>
      <c r="C503" t="s">
        <v>100</v>
      </c>
      <c r="D503" t="s">
        <v>137</v>
      </c>
      <c r="E503" t="s">
        <v>158</v>
      </c>
      <c r="F503" t="s">
        <v>159</v>
      </c>
      <c r="G503">
        <v>1.9722222222222221E-2</v>
      </c>
      <c r="H503">
        <v>200.22</v>
      </c>
      <c r="I503">
        <v>71</v>
      </c>
      <c r="J503">
        <v>71</v>
      </c>
      <c r="K503" t="s">
        <v>124</v>
      </c>
    </row>
    <row r="504" spans="1:11" ht="14.25" customHeight="1" x14ac:dyDescent="0.35">
      <c r="A504" t="s">
        <v>136</v>
      </c>
      <c r="B504" s="46">
        <v>46124</v>
      </c>
      <c r="C504" t="s">
        <v>109</v>
      </c>
      <c r="D504" t="s">
        <v>137</v>
      </c>
      <c r="E504" t="s">
        <v>158</v>
      </c>
      <c r="F504" t="s">
        <v>159</v>
      </c>
      <c r="G504">
        <v>1.8888888888888889E-2</v>
      </c>
      <c r="H504">
        <v>197.88</v>
      </c>
      <c r="I504">
        <v>68</v>
      </c>
      <c r="J504">
        <v>68</v>
      </c>
      <c r="K504" t="s">
        <v>124</v>
      </c>
    </row>
    <row r="505" spans="1:11" ht="14.25" customHeight="1" x14ac:dyDescent="0.35">
      <c r="A505" t="s">
        <v>136</v>
      </c>
      <c r="B505" s="46">
        <v>46119</v>
      </c>
      <c r="C505" t="s">
        <v>103</v>
      </c>
      <c r="D505" t="s">
        <v>137</v>
      </c>
      <c r="E505" t="s">
        <v>156</v>
      </c>
      <c r="F505" t="s">
        <v>157</v>
      </c>
      <c r="G505">
        <v>0.02</v>
      </c>
      <c r="H505">
        <v>187.20000000000002</v>
      </c>
      <c r="I505">
        <v>72</v>
      </c>
      <c r="J505">
        <v>72</v>
      </c>
      <c r="K505" t="s">
        <v>124</v>
      </c>
    </row>
    <row r="506" spans="1:11" ht="14.25" customHeight="1" x14ac:dyDescent="0.35">
      <c r="A506" t="s">
        <v>136</v>
      </c>
      <c r="B506" s="46">
        <v>46119</v>
      </c>
      <c r="C506" t="s">
        <v>101</v>
      </c>
      <c r="D506" t="s">
        <v>137</v>
      </c>
      <c r="E506" t="s">
        <v>158</v>
      </c>
      <c r="F506" t="s">
        <v>159</v>
      </c>
      <c r="G506">
        <v>1.7222222222222222E-2</v>
      </c>
      <c r="H506">
        <v>181.04</v>
      </c>
      <c r="I506">
        <v>62</v>
      </c>
      <c r="J506">
        <v>62</v>
      </c>
      <c r="K506" t="s">
        <v>124</v>
      </c>
    </row>
    <row r="507" spans="1:11" ht="14.25" customHeight="1" x14ac:dyDescent="0.35">
      <c r="A507" t="s">
        <v>136</v>
      </c>
      <c r="B507" s="46">
        <v>46119</v>
      </c>
      <c r="C507" t="s">
        <v>85</v>
      </c>
      <c r="D507" t="s">
        <v>137</v>
      </c>
      <c r="E507" t="s">
        <v>156</v>
      </c>
      <c r="F507" t="s">
        <v>157</v>
      </c>
      <c r="G507">
        <v>1.6111111111111111E-2</v>
      </c>
      <c r="H507">
        <v>171.68</v>
      </c>
      <c r="I507">
        <v>58</v>
      </c>
      <c r="J507">
        <v>58</v>
      </c>
      <c r="K507" t="s">
        <v>124</v>
      </c>
    </row>
    <row r="508" spans="1:11" ht="14.25" customHeight="1" x14ac:dyDescent="0.35">
      <c r="A508" t="s">
        <v>136</v>
      </c>
      <c r="B508" s="46">
        <v>46123</v>
      </c>
      <c r="C508" t="s">
        <v>98</v>
      </c>
      <c r="D508" t="s">
        <v>137</v>
      </c>
      <c r="E508" t="s">
        <v>152</v>
      </c>
      <c r="F508" t="s">
        <v>153</v>
      </c>
      <c r="G508">
        <v>0.2013888888888889</v>
      </c>
      <c r="H508">
        <v>170.79999999999998</v>
      </c>
      <c r="I508">
        <v>61</v>
      </c>
      <c r="J508">
        <v>145</v>
      </c>
      <c r="K508" t="s">
        <v>124</v>
      </c>
    </row>
    <row r="509" spans="1:11" ht="14.25" customHeight="1" x14ac:dyDescent="0.35">
      <c r="A509" t="s">
        <v>136</v>
      </c>
      <c r="B509" s="46">
        <v>46123</v>
      </c>
      <c r="C509" t="s">
        <v>95</v>
      </c>
      <c r="D509" t="s">
        <v>137</v>
      </c>
      <c r="E509" t="s">
        <v>152</v>
      </c>
      <c r="F509" t="s">
        <v>153</v>
      </c>
      <c r="G509">
        <v>0.10722222222222222</v>
      </c>
      <c r="H509">
        <v>166.88</v>
      </c>
      <c r="I509">
        <v>28</v>
      </c>
      <c r="J509">
        <v>69</v>
      </c>
      <c r="K509" t="s">
        <v>124</v>
      </c>
    </row>
    <row r="510" spans="1:11" ht="14.25" customHeight="1" x14ac:dyDescent="0.35">
      <c r="A510" t="s">
        <v>136</v>
      </c>
      <c r="B510" s="46">
        <v>46118</v>
      </c>
      <c r="C510" t="s">
        <v>99</v>
      </c>
      <c r="D510" t="s">
        <v>137</v>
      </c>
      <c r="E510" t="s">
        <v>156</v>
      </c>
      <c r="F510" t="s">
        <v>157</v>
      </c>
      <c r="G510">
        <v>1.3888888888888888E-2</v>
      </c>
      <c r="H510">
        <v>165</v>
      </c>
      <c r="I510">
        <v>50</v>
      </c>
      <c r="J510">
        <v>50</v>
      </c>
      <c r="K510" t="s">
        <v>124</v>
      </c>
    </row>
    <row r="511" spans="1:11" ht="14.25" customHeight="1" x14ac:dyDescent="0.35">
      <c r="A511" t="s">
        <v>136</v>
      </c>
      <c r="B511" s="46">
        <v>46118</v>
      </c>
      <c r="C511" t="s">
        <v>90</v>
      </c>
      <c r="D511" t="s">
        <v>137</v>
      </c>
      <c r="E511" t="s">
        <v>144</v>
      </c>
      <c r="F511" t="s">
        <v>145</v>
      </c>
      <c r="G511">
        <v>1.6502777777777777</v>
      </c>
      <c r="H511">
        <v>160.66</v>
      </c>
      <c r="I511">
        <v>58</v>
      </c>
      <c r="J511">
        <v>712</v>
      </c>
      <c r="K511" t="s">
        <v>124</v>
      </c>
    </row>
    <row r="512" spans="1:11" ht="14.25" customHeight="1" x14ac:dyDescent="0.35">
      <c r="A512" t="s">
        <v>136</v>
      </c>
      <c r="B512" s="46">
        <v>46117</v>
      </c>
      <c r="C512" t="s">
        <v>101</v>
      </c>
      <c r="D512" t="s">
        <v>137</v>
      </c>
      <c r="E512" t="s">
        <v>152</v>
      </c>
      <c r="F512" t="s">
        <v>153</v>
      </c>
      <c r="G512">
        <v>0.11166666666666666</v>
      </c>
      <c r="H512">
        <v>153.98999999999998</v>
      </c>
      <c r="I512">
        <v>29</v>
      </c>
      <c r="J512">
        <v>60</v>
      </c>
      <c r="K512" t="s">
        <v>124</v>
      </c>
    </row>
    <row r="513" spans="1:11" ht="14.25" customHeight="1" x14ac:dyDescent="0.35">
      <c r="A513" t="s">
        <v>136</v>
      </c>
      <c r="B513" s="46">
        <v>46118</v>
      </c>
      <c r="C513" t="s">
        <v>95</v>
      </c>
      <c r="D513" t="s">
        <v>137</v>
      </c>
      <c r="E513" t="s">
        <v>148</v>
      </c>
      <c r="F513" t="s">
        <v>149</v>
      </c>
      <c r="G513">
        <v>5.3055555555555557E-2</v>
      </c>
      <c r="H513">
        <v>152.88</v>
      </c>
      <c r="I513">
        <v>39</v>
      </c>
      <c r="J513">
        <v>58</v>
      </c>
      <c r="K513" t="s">
        <v>124</v>
      </c>
    </row>
    <row r="514" spans="1:11" ht="14.25" customHeight="1" x14ac:dyDescent="0.35">
      <c r="A514" t="s">
        <v>136</v>
      </c>
      <c r="B514" s="46">
        <v>46118</v>
      </c>
      <c r="C514" t="s">
        <v>88</v>
      </c>
      <c r="D514" t="s">
        <v>137</v>
      </c>
      <c r="E514" t="s">
        <v>156</v>
      </c>
      <c r="F514" t="s">
        <v>157</v>
      </c>
      <c r="G514">
        <v>0.01</v>
      </c>
      <c r="H514">
        <v>151.91999999999999</v>
      </c>
      <c r="I514">
        <v>36</v>
      </c>
      <c r="J514">
        <v>36</v>
      </c>
      <c r="K514" t="s">
        <v>124</v>
      </c>
    </row>
    <row r="515" spans="1:11" ht="14.25" customHeight="1" x14ac:dyDescent="0.35">
      <c r="A515" t="s">
        <v>136</v>
      </c>
      <c r="B515" s="46">
        <v>46118</v>
      </c>
      <c r="C515" t="s">
        <v>106</v>
      </c>
      <c r="D515" t="s">
        <v>137</v>
      </c>
      <c r="E515" t="s">
        <v>156</v>
      </c>
      <c r="F515" t="s">
        <v>157</v>
      </c>
      <c r="G515">
        <v>1.5277777777777777E-2</v>
      </c>
      <c r="H515">
        <v>140.34</v>
      </c>
      <c r="I515">
        <v>55</v>
      </c>
      <c r="J515">
        <v>55</v>
      </c>
      <c r="K515" t="s">
        <v>124</v>
      </c>
    </row>
    <row r="516" spans="1:11" ht="14.25" customHeight="1" x14ac:dyDescent="0.35">
      <c r="A516" t="s">
        <v>136</v>
      </c>
      <c r="B516" s="46">
        <v>46124</v>
      </c>
      <c r="C516" t="s">
        <v>109</v>
      </c>
      <c r="D516" t="s">
        <v>137</v>
      </c>
      <c r="E516" t="s">
        <v>148</v>
      </c>
      <c r="F516" t="s">
        <v>149</v>
      </c>
      <c r="G516">
        <v>1.4722222222222222E-2</v>
      </c>
      <c r="H516">
        <v>138.86000000000001</v>
      </c>
      <c r="I516">
        <v>53</v>
      </c>
      <c r="J516">
        <v>53</v>
      </c>
      <c r="K516" t="s">
        <v>124</v>
      </c>
    </row>
    <row r="517" spans="1:11" ht="14.25" customHeight="1" x14ac:dyDescent="0.35">
      <c r="A517" t="s">
        <v>136</v>
      </c>
      <c r="B517" s="46">
        <v>46118</v>
      </c>
      <c r="C517" t="s">
        <v>84</v>
      </c>
      <c r="D517" t="s">
        <v>137</v>
      </c>
      <c r="E517" t="s">
        <v>156</v>
      </c>
      <c r="F517" t="s">
        <v>157</v>
      </c>
      <c r="G517">
        <v>1.7777777777777778E-2</v>
      </c>
      <c r="H517">
        <v>136.32</v>
      </c>
      <c r="I517">
        <v>64</v>
      </c>
      <c r="J517">
        <v>64</v>
      </c>
      <c r="K517" t="s">
        <v>124</v>
      </c>
    </row>
    <row r="518" spans="1:11" ht="14.25" customHeight="1" x14ac:dyDescent="0.35">
      <c r="A518" t="s">
        <v>136</v>
      </c>
      <c r="B518" s="46">
        <v>46124</v>
      </c>
      <c r="C518" t="s">
        <v>104</v>
      </c>
      <c r="D518" t="s">
        <v>137</v>
      </c>
      <c r="E518" t="s">
        <v>156</v>
      </c>
      <c r="F518" t="s">
        <v>157</v>
      </c>
      <c r="G518">
        <v>0.11388888888888889</v>
      </c>
      <c r="H518">
        <v>131.66999999999999</v>
      </c>
      <c r="I518">
        <v>35</v>
      </c>
      <c r="J518">
        <v>147</v>
      </c>
      <c r="K518" t="s">
        <v>124</v>
      </c>
    </row>
    <row r="519" spans="1:11" ht="14.25" customHeight="1" x14ac:dyDescent="0.35">
      <c r="A519" t="s">
        <v>136</v>
      </c>
      <c r="B519" s="46">
        <v>46124</v>
      </c>
      <c r="C519" t="s">
        <v>88</v>
      </c>
      <c r="D519" t="s">
        <v>137</v>
      </c>
      <c r="E519" t="s">
        <v>148</v>
      </c>
      <c r="F519" t="s">
        <v>149</v>
      </c>
      <c r="G519">
        <v>0.26305555555555554</v>
      </c>
      <c r="H519">
        <v>124.08000000000001</v>
      </c>
      <c r="I519">
        <v>47</v>
      </c>
      <c r="J519">
        <v>93</v>
      </c>
      <c r="K519" t="s">
        <v>124</v>
      </c>
    </row>
    <row r="520" spans="1:11" ht="14.25" customHeight="1" x14ac:dyDescent="0.35">
      <c r="A520" t="s">
        <v>136</v>
      </c>
      <c r="B520" s="46">
        <v>46119</v>
      </c>
      <c r="C520" t="s">
        <v>86</v>
      </c>
      <c r="D520" t="s">
        <v>137</v>
      </c>
      <c r="E520" t="s">
        <v>156</v>
      </c>
      <c r="F520" t="s">
        <v>157</v>
      </c>
      <c r="G520">
        <v>5.0555555555555555E-2</v>
      </c>
      <c r="H520">
        <v>121.19999999999999</v>
      </c>
      <c r="I520">
        <v>40</v>
      </c>
      <c r="J520">
        <v>82</v>
      </c>
      <c r="K520" t="s">
        <v>124</v>
      </c>
    </row>
    <row r="521" spans="1:11" ht="14.25" customHeight="1" x14ac:dyDescent="0.35">
      <c r="A521" t="s">
        <v>136</v>
      </c>
      <c r="B521" s="46">
        <v>46118</v>
      </c>
      <c r="C521" t="s">
        <v>85</v>
      </c>
      <c r="D521" t="s">
        <v>137</v>
      </c>
      <c r="E521" t="s">
        <v>156</v>
      </c>
      <c r="F521" t="s">
        <v>157</v>
      </c>
      <c r="G521">
        <v>1.361111111111111E-2</v>
      </c>
      <c r="H521">
        <v>121.03000000000002</v>
      </c>
      <c r="I521">
        <v>49</v>
      </c>
      <c r="J521">
        <v>49</v>
      </c>
      <c r="K521" t="s">
        <v>124</v>
      </c>
    </row>
    <row r="522" spans="1:11" ht="14.25" customHeight="1" x14ac:dyDescent="0.35">
      <c r="A522" t="s">
        <v>136</v>
      </c>
      <c r="B522" s="46">
        <v>46118</v>
      </c>
      <c r="C522" t="s">
        <v>90</v>
      </c>
      <c r="D522" t="s">
        <v>137</v>
      </c>
      <c r="E522" t="s">
        <v>156</v>
      </c>
      <c r="F522" t="s">
        <v>157</v>
      </c>
      <c r="G522">
        <v>1.3333333333333334E-2</v>
      </c>
      <c r="H522">
        <v>120</v>
      </c>
      <c r="I522">
        <v>48</v>
      </c>
      <c r="J522">
        <v>48</v>
      </c>
      <c r="K522" t="s">
        <v>124</v>
      </c>
    </row>
    <row r="523" spans="1:11" ht="14.25" customHeight="1" x14ac:dyDescent="0.35">
      <c r="A523" t="s">
        <v>136</v>
      </c>
      <c r="B523" s="46">
        <v>46122</v>
      </c>
      <c r="C523" t="s">
        <v>109</v>
      </c>
      <c r="D523" t="s">
        <v>137</v>
      </c>
      <c r="E523" t="s">
        <v>154</v>
      </c>
      <c r="F523" t="s">
        <v>155</v>
      </c>
      <c r="G523">
        <v>1.806111111111111</v>
      </c>
      <c r="H523">
        <v>113.52</v>
      </c>
      <c r="I523">
        <v>33</v>
      </c>
      <c r="J523">
        <v>33</v>
      </c>
      <c r="K523" t="s">
        <v>124</v>
      </c>
    </row>
    <row r="524" spans="1:11" ht="14.25" customHeight="1" x14ac:dyDescent="0.35">
      <c r="A524" t="s">
        <v>136</v>
      </c>
      <c r="B524" s="46">
        <v>46119</v>
      </c>
      <c r="C524" t="s">
        <v>109</v>
      </c>
      <c r="D524" t="s">
        <v>137</v>
      </c>
      <c r="E524" t="s">
        <v>156</v>
      </c>
      <c r="F524" t="s">
        <v>157</v>
      </c>
      <c r="G524">
        <v>1.0555555555555556E-2</v>
      </c>
      <c r="H524">
        <v>109.82000000000001</v>
      </c>
      <c r="I524">
        <v>38</v>
      </c>
      <c r="J524">
        <v>38</v>
      </c>
      <c r="K524" t="s">
        <v>124</v>
      </c>
    </row>
    <row r="525" spans="1:11" ht="14.25" customHeight="1" x14ac:dyDescent="0.35">
      <c r="A525" t="s">
        <v>136</v>
      </c>
      <c r="B525" s="46">
        <v>46118</v>
      </c>
      <c r="C525" t="s">
        <v>96</v>
      </c>
      <c r="D525" t="s">
        <v>137</v>
      </c>
      <c r="E525" t="s">
        <v>158</v>
      </c>
      <c r="F525" t="s">
        <v>159</v>
      </c>
      <c r="G525">
        <v>0.18111111111111111</v>
      </c>
      <c r="H525">
        <v>108.72</v>
      </c>
      <c r="I525">
        <v>36</v>
      </c>
      <c r="J525">
        <v>70</v>
      </c>
      <c r="K525" t="s">
        <v>124</v>
      </c>
    </row>
    <row r="526" spans="1:11" ht="14.25" customHeight="1" x14ac:dyDescent="0.35">
      <c r="A526" t="s">
        <v>136</v>
      </c>
      <c r="B526" s="46">
        <v>46122</v>
      </c>
      <c r="C526" t="s">
        <v>98</v>
      </c>
      <c r="D526" t="s">
        <v>137</v>
      </c>
      <c r="E526" t="s">
        <v>138</v>
      </c>
      <c r="F526" t="s">
        <v>139</v>
      </c>
      <c r="G526">
        <v>1.1111111111111112E-2</v>
      </c>
      <c r="H526">
        <v>108.4</v>
      </c>
      <c r="I526">
        <v>40</v>
      </c>
      <c r="J526">
        <v>40</v>
      </c>
      <c r="K526" t="s">
        <v>124</v>
      </c>
    </row>
    <row r="527" spans="1:11" ht="14.25" customHeight="1" x14ac:dyDescent="0.35">
      <c r="A527" t="s">
        <v>136</v>
      </c>
      <c r="B527" s="46">
        <v>46118</v>
      </c>
      <c r="C527" t="s">
        <v>86</v>
      </c>
      <c r="D527" t="s">
        <v>137</v>
      </c>
      <c r="E527" t="s">
        <v>156</v>
      </c>
      <c r="F527" t="s">
        <v>157</v>
      </c>
      <c r="G527">
        <v>1.2222222222222223E-2</v>
      </c>
      <c r="H527">
        <v>106.92</v>
      </c>
      <c r="I527">
        <v>44</v>
      </c>
      <c r="J527">
        <v>44</v>
      </c>
      <c r="K527" t="s">
        <v>124</v>
      </c>
    </row>
    <row r="528" spans="1:11" ht="14.25" customHeight="1" x14ac:dyDescent="0.35">
      <c r="A528" t="s">
        <v>136</v>
      </c>
      <c r="B528" s="46">
        <v>46124</v>
      </c>
      <c r="C528" t="s">
        <v>93</v>
      </c>
      <c r="D528" t="s">
        <v>137</v>
      </c>
      <c r="E528" t="s">
        <v>156</v>
      </c>
      <c r="F528" t="s">
        <v>157</v>
      </c>
      <c r="G528">
        <v>1.1944444444444445E-2</v>
      </c>
      <c r="H528">
        <v>104.92</v>
      </c>
      <c r="I528">
        <v>43</v>
      </c>
      <c r="J528">
        <v>43</v>
      </c>
      <c r="K528" t="s">
        <v>124</v>
      </c>
    </row>
    <row r="529" spans="1:11" ht="14.25" customHeight="1" x14ac:dyDescent="0.35">
      <c r="A529" t="s">
        <v>136</v>
      </c>
      <c r="B529" s="46">
        <v>46118</v>
      </c>
      <c r="C529" t="s">
        <v>90</v>
      </c>
      <c r="D529" t="s">
        <v>137</v>
      </c>
      <c r="E529" t="s">
        <v>152</v>
      </c>
      <c r="F529" t="s">
        <v>153</v>
      </c>
      <c r="G529">
        <v>9.6666666666666665E-2</v>
      </c>
      <c r="H529">
        <v>103.3</v>
      </c>
      <c r="I529">
        <v>10</v>
      </c>
      <c r="J529">
        <v>40</v>
      </c>
      <c r="K529" t="s">
        <v>124</v>
      </c>
    </row>
    <row r="530" spans="1:11" ht="14.25" customHeight="1" x14ac:dyDescent="0.35">
      <c r="A530" t="s">
        <v>136</v>
      </c>
      <c r="B530" s="46">
        <v>46120</v>
      </c>
      <c r="C530" t="s">
        <v>109</v>
      </c>
      <c r="D530" t="s">
        <v>137</v>
      </c>
      <c r="E530" t="s">
        <v>154</v>
      </c>
      <c r="F530" t="s">
        <v>155</v>
      </c>
      <c r="G530">
        <v>8.3333333333333332E-3</v>
      </c>
      <c r="H530">
        <v>101.39999999999999</v>
      </c>
      <c r="I530">
        <v>30</v>
      </c>
      <c r="J530">
        <v>30</v>
      </c>
      <c r="K530" t="s">
        <v>124</v>
      </c>
    </row>
    <row r="531" spans="1:11" ht="14.25" customHeight="1" x14ac:dyDescent="0.35">
      <c r="A531" t="s">
        <v>136</v>
      </c>
      <c r="B531" s="46">
        <v>46123</v>
      </c>
      <c r="C531" t="s">
        <v>103</v>
      </c>
      <c r="D531" t="s">
        <v>137</v>
      </c>
      <c r="E531" t="s">
        <v>160</v>
      </c>
      <c r="F531" t="s">
        <v>161</v>
      </c>
      <c r="G531">
        <v>0.01</v>
      </c>
      <c r="H531">
        <v>100.34</v>
      </c>
      <c r="I531">
        <v>21</v>
      </c>
      <c r="J531">
        <v>21</v>
      </c>
      <c r="K531" t="s">
        <v>124</v>
      </c>
    </row>
    <row r="532" spans="1:11" ht="14.25" customHeight="1" x14ac:dyDescent="0.35">
      <c r="A532" t="s">
        <v>136</v>
      </c>
      <c r="B532" s="46">
        <v>46119</v>
      </c>
      <c r="C532" t="s">
        <v>84</v>
      </c>
      <c r="D532" t="s">
        <v>137</v>
      </c>
      <c r="E532" t="s">
        <v>156</v>
      </c>
      <c r="F532" t="s">
        <v>157</v>
      </c>
      <c r="G532">
        <v>8.3333333333333332E-3</v>
      </c>
      <c r="H532">
        <v>96</v>
      </c>
      <c r="I532">
        <v>30</v>
      </c>
      <c r="J532">
        <v>30</v>
      </c>
      <c r="K532" t="s">
        <v>124</v>
      </c>
    </row>
    <row r="533" spans="1:11" ht="14.25" customHeight="1" x14ac:dyDescent="0.35">
      <c r="A533" t="s">
        <v>136</v>
      </c>
      <c r="B533" s="46">
        <v>46119</v>
      </c>
      <c r="C533" t="s">
        <v>104</v>
      </c>
      <c r="D533" t="s">
        <v>137</v>
      </c>
      <c r="E533" t="s">
        <v>156</v>
      </c>
      <c r="F533" t="s">
        <v>157</v>
      </c>
      <c r="G533">
        <v>9.7222222222222224E-3</v>
      </c>
      <c r="H533">
        <v>95.9</v>
      </c>
      <c r="I533">
        <v>35</v>
      </c>
      <c r="J533">
        <v>35</v>
      </c>
      <c r="K533" t="s">
        <v>124</v>
      </c>
    </row>
    <row r="534" spans="1:11" ht="14.25" customHeight="1" x14ac:dyDescent="0.35">
      <c r="A534" t="s">
        <v>136</v>
      </c>
      <c r="B534" s="46">
        <v>46118</v>
      </c>
      <c r="C534" t="s">
        <v>101</v>
      </c>
      <c r="D534" t="s">
        <v>137</v>
      </c>
      <c r="E534" t="s">
        <v>156</v>
      </c>
      <c r="F534" t="s">
        <v>157</v>
      </c>
      <c r="G534">
        <v>1.0555555555555556E-2</v>
      </c>
      <c r="H534">
        <v>94.62</v>
      </c>
      <c r="I534">
        <v>38</v>
      </c>
      <c r="J534">
        <v>38</v>
      </c>
      <c r="K534" t="s">
        <v>124</v>
      </c>
    </row>
    <row r="535" spans="1:11" ht="14.25" customHeight="1" x14ac:dyDescent="0.35">
      <c r="A535" t="s">
        <v>136</v>
      </c>
      <c r="B535" s="46">
        <v>46118</v>
      </c>
      <c r="C535" t="s">
        <v>98</v>
      </c>
      <c r="D535" t="s">
        <v>137</v>
      </c>
      <c r="E535" t="s">
        <v>156</v>
      </c>
      <c r="F535" t="s">
        <v>157</v>
      </c>
      <c r="G535">
        <v>1.1944444444444445E-2</v>
      </c>
      <c r="H535">
        <v>93.31</v>
      </c>
      <c r="I535">
        <v>43</v>
      </c>
      <c r="J535">
        <v>43</v>
      </c>
      <c r="K535" t="s">
        <v>124</v>
      </c>
    </row>
    <row r="536" spans="1:11" ht="14.25" customHeight="1" x14ac:dyDescent="0.35">
      <c r="A536" t="s">
        <v>136</v>
      </c>
      <c r="B536" s="46">
        <v>46118</v>
      </c>
      <c r="C536" t="s">
        <v>104</v>
      </c>
      <c r="D536" t="s">
        <v>137</v>
      </c>
      <c r="E536" t="s">
        <v>156</v>
      </c>
      <c r="F536" t="s">
        <v>157</v>
      </c>
      <c r="G536">
        <v>0.01</v>
      </c>
      <c r="H536">
        <v>93.24</v>
      </c>
      <c r="I536">
        <v>36</v>
      </c>
      <c r="J536">
        <v>36</v>
      </c>
      <c r="K536" t="s">
        <v>124</v>
      </c>
    </row>
    <row r="537" spans="1:11" ht="14.25" customHeight="1" x14ac:dyDescent="0.35">
      <c r="A537" t="s">
        <v>136</v>
      </c>
      <c r="B537" s="46">
        <v>46124</v>
      </c>
      <c r="C537" t="s">
        <v>103</v>
      </c>
      <c r="D537" t="s">
        <v>137</v>
      </c>
      <c r="E537" t="s">
        <v>158</v>
      </c>
      <c r="F537" t="s">
        <v>159</v>
      </c>
      <c r="G537">
        <v>8.7499999999999994E-2</v>
      </c>
      <c r="H537">
        <v>92.4</v>
      </c>
      <c r="I537">
        <v>33</v>
      </c>
      <c r="J537">
        <v>74</v>
      </c>
      <c r="K537" t="s">
        <v>124</v>
      </c>
    </row>
    <row r="538" spans="1:11" ht="14.25" customHeight="1" x14ac:dyDescent="0.35">
      <c r="A538" t="s">
        <v>136</v>
      </c>
      <c r="B538" s="46">
        <v>46119</v>
      </c>
      <c r="C538" t="s">
        <v>95</v>
      </c>
      <c r="D538" t="s">
        <v>137</v>
      </c>
      <c r="E538" t="s">
        <v>156</v>
      </c>
      <c r="F538" t="s">
        <v>157</v>
      </c>
      <c r="G538">
        <v>1.2222222222222223E-2</v>
      </c>
      <c r="H538">
        <v>91.52000000000001</v>
      </c>
      <c r="I538">
        <v>44</v>
      </c>
      <c r="J538">
        <v>44</v>
      </c>
      <c r="K538" t="s">
        <v>124</v>
      </c>
    </row>
    <row r="539" spans="1:11" ht="14.25" customHeight="1" x14ac:dyDescent="0.35">
      <c r="A539" t="s">
        <v>136</v>
      </c>
      <c r="B539" s="46">
        <v>46119</v>
      </c>
      <c r="C539" t="s">
        <v>88</v>
      </c>
      <c r="D539" t="s">
        <v>137</v>
      </c>
      <c r="E539" t="s">
        <v>156</v>
      </c>
      <c r="F539" t="s">
        <v>157</v>
      </c>
      <c r="G539">
        <v>1.0555555555555556E-2</v>
      </c>
      <c r="H539">
        <v>87.78</v>
      </c>
      <c r="I539">
        <v>38</v>
      </c>
      <c r="J539">
        <v>38</v>
      </c>
      <c r="K539" t="s">
        <v>124</v>
      </c>
    </row>
    <row r="540" spans="1:11" ht="14.25" customHeight="1" x14ac:dyDescent="0.35">
      <c r="A540" t="s">
        <v>136</v>
      </c>
      <c r="B540" s="46">
        <v>46119</v>
      </c>
      <c r="C540" t="s">
        <v>99</v>
      </c>
      <c r="D540" t="s">
        <v>137</v>
      </c>
      <c r="E540" t="s">
        <v>156</v>
      </c>
      <c r="F540" t="s">
        <v>157</v>
      </c>
      <c r="G540">
        <v>7.7777777777777776E-3</v>
      </c>
      <c r="H540">
        <v>75.040000000000006</v>
      </c>
      <c r="I540">
        <v>28</v>
      </c>
      <c r="J540">
        <v>28</v>
      </c>
      <c r="K540" t="s">
        <v>124</v>
      </c>
    </row>
    <row r="541" spans="1:11" ht="14.25" customHeight="1" x14ac:dyDescent="0.35">
      <c r="A541" t="s">
        <v>136</v>
      </c>
      <c r="B541" s="46">
        <v>46118</v>
      </c>
      <c r="C541" t="s">
        <v>109</v>
      </c>
      <c r="D541" t="s">
        <v>137</v>
      </c>
      <c r="E541" t="s">
        <v>158</v>
      </c>
      <c r="F541" t="s">
        <v>159</v>
      </c>
      <c r="G541">
        <v>5.6666666666666664E-2</v>
      </c>
      <c r="H541">
        <v>73.290000000000006</v>
      </c>
      <c r="I541">
        <v>21</v>
      </c>
      <c r="J541">
        <v>66</v>
      </c>
      <c r="K541" t="s">
        <v>124</v>
      </c>
    </row>
    <row r="542" spans="1:11" ht="14.25" customHeight="1" x14ac:dyDescent="0.35">
      <c r="A542" t="s">
        <v>136</v>
      </c>
      <c r="B542" s="46">
        <v>46119</v>
      </c>
      <c r="C542" t="s">
        <v>100</v>
      </c>
      <c r="D542" t="s">
        <v>137</v>
      </c>
      <c r="E542" t="s">
        <v>156</v>
      </c>
      <c r="F542" t="s">
        <v>157</v>
      </c>
      <c r="G542">
        <v>8.8888888888888889E-3</v>
      </c>
      <c r="H542">
        <v>69.44</v>
      </c>
      <c r="I542">
        <v>32</v>
      </c>
      <c r="J542">
        <v>32</v>
      </c>
      <c r="K542" t="s">
        <v>124</v>
      </c>
    </row>
    <row r="543" spans="1:11" ht="14.25" customHeight="1" x14ac:dyDescent="0.35">
      <c r="A543" t="s">
        <v>136</v>
      </c>
      <c r="B543" s="46">
        <v>46124</v>
      </c>
      <c r="C543" t="s">
        <v>103</v>
      </c>
      <c r="D543" t="s">
        <v>137</v>
      </c>
      <c r="E543" t="s">
        <v>156</v>
      </c>
      <c r="F543" t="s">
        <v>157</v>
      </c>
      <c r="G543">
        <v>0.10333333333333333</v>
      </c>
      <c r="H543">
        <v>68.899999999999991</v>
      </c>
      <c r="I543">
        <v>26</v>
      </c>
      <c r="J543">
        <v>124</v>
      </c>
      <c r="K543" t="s">
        <v>124</v>
      </c>
    </row>
    <row r="544" spans="1:11" ht="14.25" customHeight="1" x14ac:dyDescent="0.35">
      <c r="A544" t="s">
        <v>136</v>
      </c>
      <c r="B544" s="46">
        <v>46118</v>
      </c>
      <c r="C544" t="s">
        <v>95</v>
      </c>
      <c r="D544" t="s">
        <v>137</v>
      </c>
      <c r="E544" t="s">
        <v>156</v>
      </c>
      <c r="F544" t="s">
        <v>157</v>
      </c>
      <c r="G544">
        <v>7.2222222222222219E-3</v>
      </c>
      <c r="H544">
        <v>65.78</v>
      </c>
      <c r="I544">
        <v>26</v>
      </c>
      <c r="J544">
        <v>26</v>
      </c>
      <c r="K544" t="s">
        <v>124</v>
      </c>
    </row>
    <row r="545" spans="1:11" ht="14.25" customHeight="1" x14ac:dyDescent="0.35">
      <c r="A545" t="s">
        <v>136</v>
      </c>
      <c r="B545" s="46">
        <v>46118</v>
      </c>
      <c r="C545" t="s">
        <v>100</v>
      </c>
      <c r="D545" t="s">
        <v>137</v>
      </c>
      <c r="E545" t="s">
        <v>156</v>
      </c>
      <c r="F545" t="s">
        <v>157</v>
      </c>
      <c r="G545">
        <v>6.3888888888888893E-3</v>
      </c>
      <c r="H545">
        <v>61.87</v>
      </c>
      <c r="I545">
        <v>23</v>
      </c>
      <c r="J545">
        <v>23</v>
      </c>
      <c r="K545" t="s">
        <v>124</v>
      </c>
    </row>
    <row r="546" spans="1:11" ht="14.25" customHeight="1" x14ac:dyDescent="0.35">
      <c r="A546" t="s">
        <v>136</v>
      </c>
      <c r="B546" s="46">
        <v>46123</v>
      </c>
      <c r="C546" t="s">
        <v>103</v>
      </c>
      <c r="D546" t="s">
        <v>137</v>
      </c>
      <c r="E546" t="s">
        <v>154</v>
      </c>
      <c r="F546" t="s">
        <v>155</v>
      </c>
      <c r="G546">
        <v>1.4905555555555556</v>
      </c>
      <c r="H546">
        <v>60.01</v>
      </c>
      <c r="I546">
        <v>17</v>
      </c>
      <c r="J546">
        <v>289</v>
      </c>
      <c r="K546" t="s">
        <v>124</v>
      </c>
    </row>
    <row r="547" spans="1:11" ht="14.25" customHeight="1" x14ac:dyDescent="0.35">
      <c r="A547" t="s">
        <v>136</v>
      </c>
      <c r="B547" s="46">
        <v>46124</v>
      </c>
      <c r="C547" t="s">
        <v>97</v>
      </c>
      <c r="D547" t="s">
        <v>137</v>
      </c>
      <c r="E547" t="s">
        <v>156</v>
      </c>
      <c r="F547" t="s">
        <v>157</v>
      </c>
      <c r="G547">
        <v>5.5555555555555558E-3</v>
      </c>
      <c r="H547">
        <v>56.4</v>
      </c>
      <c r="I547">
        <v>20</v>
      </c>
      <c r="J547">
        <v>20</v>
      </c>
      <c r="K547" t="s">
        <v>124</v>
      </c>
    </row>
    <row r="548" spans="1:11" ht="14.25" customHeight="1" x14ac:dyDescent="0.35">
      <c r="A548" t="s">
        <v>136</v>
      </c>
      <c r="B548" s="46">
        <v>46123</v>
      </c>
      <c r="C548" t="s">
        <v>84</v>
      </c>
      <c r="D548" t="s">
        <v>137</v>
      </c>
      <c r="E548" t="s">
        <v>160</v>
      </c>
      <c r="F548" t="s">
        <v>161</v>
      </c>
      <c r="G548">
        <v>6.1111111111111114E-3</v>
      </c>
      <c r="H548">
        <v>55.379999999999995</v>
      </c>
      <c r="I548">
        <v>13</v>
      </c>
      <c r="J548">
        <v>13</v>
      </c>
      <c r="K548" t="s">
        <v>124</v>
      </c>
    </row>
    <row r="549" spans="1:11" ht="14.25" customHeight="1" x14ac:dyDescent="0.35">
      <c r="A549" t="s">
        <v>136</v>
      </c>
      <c r="B549" s="46">
        <v>46123</v>
      </c>
      <c r="C549" t="s">
        <v>97</v>
      </c>
      <c r="D549" t="s">
        <v>137</v>
      </c>
      <c r="E549" t="s">
        <v>160</v>
      </c>
      <c r="F549" t="s">
        <v>161</v>
      </c>
      <c r="G549">
        <v>5.8333333333333336E-3</v>
      </c>
      <c r="H549">
        <v>53.760000000000005</v>
      </c>
      <c r="I549">
        <v>12</v>
      </c>
      <c r="J549">
        <v>12</v>
      </c>
      <c r="K549" t="s">
        <v>124</v>
      </c>
    </row>
    <row r="550" spans="1:11" ht="14.25" customHeight="1" x14ac:dyDescent="0.35">
      <c r="A550" t="s">
        <v>136</v>
      </c>
      <c r="B550" s="46">
        <v>46119</v>
      </c>
      <c r="C550" t="s">
        <v>81</v>
      </c>
      <c r="D550" t="s">
        <v>137</v>
      </c>
      <c r="E550" t="s">
        <v>156</v>
      </c>
      <c r="F550" t="s">
        <v>157</v>
      </c>
      <c r="G550">
        <v>5.5555555555555558E-3</v>
      </c>
      <c r="H550">
        <v>53.6</v>
      </c>
      <c r="I550">
        <v>20</v>
      </c>
      <c r="J550">
        <v>20</v>
      </c>
      <c r="K550" t="s">
        <v>124</v>
      </c>
    </row>
    <row r="551" spans="1:11" ht="14.25" customHeight="1" x14ac:dyDescent="0.35">
      <c r="A551" t="s">
        <v>136</v>
      </c>
      <c r="B551" s="46">
        <v>46118</v>
      </c>
      <c r="C551" t="s">
        <v>106</v>
      </c>
      <c r="D551" t="s">
        <v>137</v>
      </c>
      <c r="E551" t="s">
        <v>144</v>
      </c>
      <c r="F551" t="s">
        <v>145</v>
      </c>
      <c r="G551">
        <v>3.4908333333333332</v>
      </c>
      <c r="H551">
        <v>47.400000000000006</v>
      </c>
      <c r="I551">
        <v>12</v>
      </c>
      <c r="J551">
        <v>985</v>
      </c>
      <c r="K551" t="s">
        <v>124</v>
      </c>
    </row>
    <row r="552" spans="1:11" ht="14.25" customHeight="1" x14ac:dyDescent="0.35">
      <c r="A552" t="s">
        <v>136</v>
      </c>
      <c r="B552" s="46">
        <v>46118</v>
      </c>
      <c r="C552" t="s">
        <v>81</v>
      </c>
      <c r="D552" t="s">
        <v>137</v>
      </c>
      <c r="E552" t="s">
        <v>156</v>
      </c>
      <c r="F552" t="s">
        <v>157</v>
      </c>
      <c r="G552">
        <v>5.2777777777777779E-3</v>
      </c>
      <c r="H552">
        <v>44.65</v>
      </c>
      <c r="I552">
        <v>19</v>
      </c>
      <c r="J552">
        <v>19</v>
      </c>
      <c r="K552" t="s">
        <v>124</v>
      </c>
    </row>
    <row r="553" spans="1:11" ht="14.25" customHeight="1" x14ac:dyDescent="0.35">
      <c r="A553" t="s">
        <v>136</v>
      </c>
      <c r="B553" s="46">
        <v>46117</v>
      </c>
      <c r="C553" t="s">
        <v>97</v>
      </c>
      <c r="D553" t="s">
        <v>137</v>
      </c>
      <c r="E553" t="s">
        <v>148</v>
      </c>
      <c r="F553" t="s">
        <v>149</v>
      </c>
      <c r="G553">
        <v>1.4722222222222222E-2</v>
      </c>
      <c r="H553">
        <v>41.08</v>
      </c>
      <c r="I553">
        <v>26</v>
      </c>
      <c r="J553">
        <v>26</v>
      </c>
      <c r="K553" t="s">
        <v>124</v>
      </c>
    </row>
    <row r="554" spans="1:11" ht="14.25" customHeight="1" x14ac:dyDescent="0.35">
      <c r="A554" t="s">
        <v>136</v>
      </c>
      <c r="B554" s="46">
        <v>46123</v>
      </c>
      <c r="C554" t="s">
        <v>81</v>
      </c>
      <c r="D554" t="s">
        <v>137</v>
      </c>
      <c r="E554" t="s">
        <v>160</v>
      </c>
      <c r="F554" t="s">
        <v>161</v>
      </c>
      <c r="G554">
        <v>0.26222222222222225</v>
      </c>
      <c r="H554">
        <v>40.92</v>
      </c>
      <c r="I554">
        <v>9</v>
      </c>
      <c r="J554">
        <v>382</v>
      </c>
      <c r="K554" t="s">
        <v>124</v>
      </c>
    </row>
    <row r="555" spans="1:11" ht="14.25" customHeight="1" x14ac:dyDescent="0.35">
      <c r="A555" t="s">
        <v>136</v>
      </c>
      <c r="B555" s="46">
        <v>46123</v>
      </c>
      <c r="C555" t="s">
        <v>93</v>
      </c>
      <c r="D555" t="s">
        <v>137</v>
      </c>
      <c r="E555" t="s">
        <v>138</v>
      </c>
      <c r="F555" t="s">
        <v>139</v>
      </c>
      <c r="G555">
        <v>3.0555555555555557E-3</v>
      </c>
      <c r="H555">
        <v>40.92</v>
      </c>
      <c r="I555">
        <v>11</v>
      </c>
      <c r="J555">
        <v>11</v>
      </c>
      <c r="K555" t="s">
        <v>124</v>
      </c>
    </row>
    <row r="556" spans="1:11" ht="14.25" customHeight="1" x14ac:dyDescent="0.35">
      <c r="A556" t="s">
        <v>136</v>
      </c>
      <c r="B556" s="46">
        <v>46119</v>
      </c>
      <c r="C556" t="s">
        <v>96</v>
      </c>
      <c r="D556" t="s">
        <v>137</v>
      </c>
      <c r="E556" t="s">
        <v>156</v>
      </c>
      <c r="F556" t="s">
        <v>157</v>
      </c>
      <c r="G556">
        <v>5.0000000000000001E-3</v>
      </c>
      <c r="H556">
        <v>38.880000000000003</v>
      </c>
      <c r="I556">
        <v>18</v>
      </c>
      <c r="J556">
        <v>18</v>
      </c>
      <c r="K556" t="s">
        <v>124</v>
      </c>
    </row>
    <row r="557" spans="1:11" ht="14.25" customHeight="1" x14ac:dyDescent="0.35">
      <c r="A557" t="s">
        <v>136</v>
      </c>
      <c r="B557" s="46">
        <v>46118</v>
      </c>
      <c r="C557" t="s">
        <v>104</v>
      </c>
      <c r="D557" t="s">
        <v>137</v>
      </c>
      <c r="E557" t="s">
        <v>158</v>
      </c>
      <c r="F557" t="s">
        <v>159</v>
      </c>
      <c r="G557">
        <v>0.17777777777777778</v>
      </c>
      <c r="H557">
        <v>36.6</v>
      </c>
      <c r="I557">
        <v>15</v>
      </c>
      <c r="J557">
        <v>51</v>
      </c>
      <c r="K557" t="s">
        <v>124</v>
      </c>
    </row>
    <row r="558" spans="1:11" ht="14.25" customHeight="1" x14ac:dyDescent="0.35">
      <c r="A558" t="s">
        <v>136</v>
      </c>
      <c r="B558" s="46">
        <v>46117</v>
      </c>
      <c r="C558" t="s">
        <v>104</v>
      </c>
      <c r="D558" t="s">
        <v>137</v>
      </c>
      <c r="E558" t="s">
        <v>160</v>
      </c>
      <c r="F558" t="s">
        <v>161</v>
      </c>
      <c r="G558">
        <v>2.7777777777777778E-4</v>
      </c>
      <c r="H558">
        <v>35.630000000000003</v>
      </c>
      <c r="I558">
        <v>1</v>
      </c>
      <c r="J558">
        <v>1</v>
      </c>
      <c r="K558" t="s">
        <v>124</v>
      </c>
    </row>
    <row r="559" spans="1:11" ht="14.25" customHeight="1" x14ac:dyDescent="0.35">
      <c r="A559" t="s">
        <v>136</v>
      </c>
      <c r="B559" s="46">
        <v>46119</v>
      </c>
      <c r="C559" t="s">
        <v>90</v>
      </c>
      <c r="D559" t="s">
        <v>137</v>
      </c>
      <c r="E559" t="s">
        <v>156</v>
      </c>
      <c r="F559" t="s">
        <v>157</v>
      </c>
      <c r="G559">
        <v>2.7777777777777779E-3</v>
      </c>
      <c r="H559">
        <v>32.5</v>
      </c>
      <c r="I559">
        <v>10</v>
      </c>
      <c r="J559">
        <v>10</v>
      </c>
      <c r="K559" t="s">
        <v>124</v>
      </c>
    </row>
    <row r="560" spans="1:11" ht="14.25" customHeight="1" x14ac:dyDescent="0.35">
      <c r="A560" t="s">
        <v>136</v>
      </c>
      <c r="B560" s="46">
        <v>46119</v>
      </c>
      <c r="C560" t="s">
        <v>86</v>
      </c>
      <c r="D560" t="s">
        <v>137</v>
      </c>
      <c r="E560" t="s">
        <v>158</v>
      </c>
      <c r="F560" t="s">
        <v>159</v>
      </c>
      <c r="G560">
        <v>5.3055555555555557E-2</v>
      </c>
      <c r="H560">
        <v>31.98</v>
      </c>
      <c r="I560">
        <v>13</v>
      </c>
      <c r="J560">
        <v>26</v>
      </c>
      <c r="K560" t="s">
        <v>124</v>
      </c>
    </row>
    <row r="561" spans="1:11" ht="14.25" customHeight="1" x14ac:dyDescent="0.35">
      <c r="A561" t="s">
        <v>136</v>
      </c>
      <c r="B561" s="46">
        <v>46117</v>
      </c>
      <c r="C561" t="s">
        <v>95</v>
      </c>
      <c r="D561" t="s">
        <v>137</v>
      </c>
      <c r="E561" t="s">
        <v>160</v>
      </c>
      <c r="F561" t="s">
        <v>161</v>
      </c>
      <c r="G561">
        <v>1.6463888888888889</v>
      </c>
      <c r="H561">
        <v>24.75</v>
      </c>
      <c r="I561">
        <v>5</v>
      </c>
      <c r="J561">
        <v>121</v>
      </c>
      <c r="K561" t="s">
        <v>124</v>
      </c>
    </row>
    <row r="562" spans="1:11" ht="14.25" customHeight="1" x14ac:dyDescent="0.35">
      <c r="A562" t="s">
        <v>136</v>
      </c>
      <c r="B562" s="46">
        <v>46124</v>
      </c>
      <c r="C562" t="s">
        <v>95</v>
      </c>
      <c r="D562" t="s">
        <v>137</v>
      </c>
      <c r="E562" t="s">
        <v>160</v>
      </c>
      <c r="F562" t="s">
        <v>161</v>
      </c>
      <c r="G562">
        <v>6.3333333333333339E-2</v>
      </c>
      <c r="H562">
        <v>17.64</v>
      </c>
      <c r="I562">
        <v>4</v>
      </c>
      <c r="J562">
        <v>139</v>
      </c>
      <c r="K562" t="s">
        <v>124</v>
      </c>
    </row>
    <row r="563" spans="1:11" ht="14.25" customHeight="1" x14ac:dyDescent="0.35">
      <c r="A563" t="s">
        <v>136</v>
      </c>
      <c r="B563" s="46">
        <v>46120</v>
      </c>
      <c r="C563" t="s">
        <v>86</v>
      </c>
      <c r="D563" t="s">
        <v>137</v>
      </c>
      <c r="E563" t="s">
        <v>160</v>
      </c>
      <c r="F563" t="s">
        <v>161</v>
      </c>
      <c r="G563">
        <v>7.9047222222222224</v>
      </c>
      <c r="H563">
        <v>14.78</v>
      </c>
      <c r="I563">
        <v>2</v>
      </c>
      <c r="J563">
        <v>359</v>
      </c>
      <c r="K563" t="s">
        <v>124</v>
      </c>
    </row>
    <row r="564" spans="1:11" ht="14.25" customHeight="1" x14ac:dyDescent="0.35">
      <c r="A564" t="s">
        <v>136</v>
      </c>
      <c r="B564" s="46">
        <v>46117</v>
      </c>
      <c r="C564" t="s">
        <v>90</v>
      </c>
      <c r="D564" t="s">
        <v>137</v>
      </c>
      <c r="E564" t="s">
        <v>160</v>
      </c>
      <c r="F564" t="s">
        <v>161</v>
      </c>
      <c r="G564">
        <v>6.4722222222222223E-2</v>
      </c>
      <c r="H564">
        <v>14.580000000000002</v>
      </c>
      <c r="I564">
        <v>3</v>
      </c>
      <c r="J564">
        <v>231</v>
      </c>
      <c r="K564" t="s">
        <v>124</v>
      </c>
    </row>
    <row r="565" spans="1:11" ht="14.25" customHeight="1" x14ac:dyDescent="0.35">
      <c r="A565" t="s">
        <v>136</v>
      </c>
      <c r="B565" s="46">
        <v>46123</v>
      </c>
      <c r="C565" t="s">
        <v>106</v>
      </c>
      <c r="D565" t="s">
        <v>137</v>
      </c>
      <c r="E565" t="s">
        <v>160</v>
      </c>
      <c r="F565" t="s">
        <v>161</v>
      </c>
      <c r="G565">
        <v>0.27361111111111114</v>
      </c>
      <c r="H565">
        <v>12.59</v>
      </c>
      <c r="I565">
        <v>2</v>
      </c>
      <c r="J565">
        <v>156</v>
      </c>
      <c r="K565" t="s">
        <v>124</v>
      </c>
    </row>
    <row r="566" spans="1:11" ht="14.25" customHeight="1" x14ac:dyDescent="0.35">
      <c r="A566" t="s">
        <v>136</v>
      </c>
      <c r="B566" s="46">
        <v>46123</v>
      </c>
      <c r="C566" t="s">
        <v>85</v>
      </c>
      <c r="D566" t="s">
        <v>137</v>
      </c>
      <c r="E566" t="s">
        <v>160</v>
      </c>
      <c r="F566" t="s">
        <v>161</v>
      </c>
      <c r="G566">
        <v>0.68777777777777782</v>
      </c>
      <c r="H566">
        <v>11.6</v>
      </c>
      <c r="I566">
        <v>2</v>
      </c>
      <c r="J566">
        <v>170</v>
      </c>
      <c r="K566" t="s">
        <v>124</v>
      </c>
    </row>
    <row r="567" spans="1:11" ht="14.25" customHeight="1" x14ac:dyDescent="0.35">
      <c r="A567" t="s">
        <v>136</v>
      </c>
      <c r="B567" s="46">
        <v>46117</v>
      </c>
      <c r="C567" t="s">
        <v>99</v>
      </c>
      <c r="D567" t="s">
        <v>137</v>
      </c>
      <c r="E567" t="s">
        <v>144</v>
      </c>
      <c r="F567" t="s">
        <v>145</v>
      </c>
      <c r="G567">
        <v>18.408888888888889</v>
      </c>
      <c r="H567">
        <v>11.46</v>
      </c>
      <c r="I567">
        <v>2</v>
      </c>
      <c r="J567">
        <v>1073</v>
      </c>
      <c r="K567" t="s">
        <v>124</v>
      </c>
    </row>
    <row r="568" spans="1:11" ht="14.25" customHeight="1" x14ac:dyDescent="0.35">
      <c r="A568" t="s">
        <v>136</v>
      </c>
      <c r="B568" s="46">
        <v>46119</v>
      </c>
      <c r="C568" t="s">
        <v>104</v>
      </c>
      <c r="D568" t="s">
        <v>137</v>
      </c>
      <c r="E568" t="s">
        <v>160</v>
      </c>
      <c r="F568" t="s">
        <v>161</v>
      </c>
      <c r="G568">
        <v>0.18333333333333332</v>
      </c>
      <c r="H568">
        <v>10.24</v>
      </c>
      <c r="I568">
        <v>1</v>
      </c>
      <c r="J568">
        <v>32</v>
      </c>
      <c r="K568" t="s">
        <v>124</v>
      </c>
    </row>
    <row r="569" spans="1:11" ht="14.25" customHeight="1" x14ac:dyDescent="0.35">
      <c r="A569" t="s">
        <v>136</v>
      </c>
      <c r="B569" s="46">
        <v>46123</v>
      </c>
      <c r="C569" t="s">
        <v>99</v>
      </c>
      <c r="D569" t="s">
        <v>137</v>
      </c>
      <c r="E569" t="s">
        <v>160</v>
      </c>
      <c r="F569" t="s">
        <v>161</v>
      </c>
      <c r="G569">
        <v>4.7222222222222223E-3</v>
      </c>
      <c r="H569">
        <v>7.7</v>
      </c>
      <c r="I569">
        <v>1</v>
      </c>
      <c r="J569">
        <v>17</v>
      </c>
      <c r="K569" t="s">
        <v>124</v>
      </c>
    </row>
    <row r="570" spans="1:11" ht="14.25" customHeight="1" x14ac:dyDescent="0.35">
      <c r="A570" t="s">
        <v>136</v>
      </c>
      <c r="B570" s="46">
        <v>46118</v>
      </c>
      <c r="C570" t="s">
        <v>98</v>
      </c>
      <c r="D570" t="s">
        <v>137</v>
      </c>
      <c r="E570" t="s">
        <v>160</v>
      </c>
      <c r="F570" t="s">
        <v>161</v>
      </c>
      <c r="G570">
        <v>2.3333333333333334E-2</v>
      </c>
      <c r="H570">
        <v>6.53</v>
      </c>
      <c r="I570">
        <v>1</v>
      </c>
      <c r="J570">
        <v>63</v>
      </c>
      <c r="K570" t="s">
        <v>124</v>
      </c>
    </row>
    <row r="571" spans="1:11" ht="14.25" customHeight="1" x14ac:dyDescent="0.35">
      <c r="A571" t="s">
        <v>136</v>
      </c>
      <c r="B571" s="46">
        <v>46123</v>
      </c>
      <c r="C571" t="s">
        <v>96</v>
      </c>
      <c r="D571" t="s">
        <v>137</v>
      </c>
      <c r="E571" t="s">
        <v>160</v>
      </c>
      <c r="F571" t="s">
        <v>161</v>
      </c>
      <c r="G571">
        <v>0.18444444444444444</v>
      </c>
      <c r="H571">
        <v>6.32</v>
      </c>
      <c r="I571">
        <v>1</v>
      </c>
      <c r="J571">
        <v>210</v>
      </c>
      <c r="K571" t="s">
        <v>124</v>
      </c>
    </row>
    <row r="572" spans="1:11" ht="14.25" customHeight="1" x14ac:dyDescent="0.35">
      <c r="A572" t="s">
        <v>136</v>
      </c>
      <c r="B572" s="46">
        <v>46118</v>
      </c>
      <c r="C572" t="s">
        <v>101</v>
      </c>
      <c r="D572" t="s">
        <v>137</v>
      </c>
      <c r="E572" t="s">
        <v>144</v>
      </c>
      <c r="F572" t="s">
        <v>145</v>
      </c>
      <c r="G572">
        <v>1.5977777777777777</v>
      </c>
      <c r="H572">
        <v>5.98</v>
      </c>
      <c r="I572">
        <v>1</v>
      </c>
      <c r="J572">
        <v>757</v>
      </c>
      <c r="K572" t="s">
        <v>124</v>
      </c>
    </row>
    <row r="573" spans="1:11" ht="14.25" customHeight="1" x14ac:dyDescent="0.35">
      <c r="A573" t="s">
        <v>136</v>
      </c>
      <c r="B573" s="46">
        <v>46118</v>
      </c>
      <c r="C573" t="s">
        <v>109</v>
      </c>
      <c r="D573" t="s">
        <v>137</v>
      </c>
      <c r="E573" t="s">
        <v>160</v>
      </c>
      <c r="F573" t="s">
        <v>161</v>
      </c>
      <c r="G573">
        <v>0.20222222222222222</v>
      </c>
      <c r="H573">
        <v>5.84</v>
      </c>
      <c r="I573">
        <v>1</v>
      </c>
      <c r="J573">
        <v>220</v>
      </c>
      <c r="K573" t="s">
        <v>124</v>
      </c>
    </row>
    <row r="574" spans="1:11" ht="14.25" customHeight="1" x14ac:dyDescent="0.35">
      <c r="A574" t="s">
        <v>136</v>
      </c>
      <c r="B574" s="46">
        <v>46123</v>
      </c>
      <c r="C574" t="s">
        <v>88</v>
      </c>
      <c r="D574" t="s">
        <v>137</v>
      </c>
      <c r="E574" t="s">
        <v>160</v>
      </c>
      <c r="F574" t="s">
        <v>161</v>
      </c>
      <c r="G574">
        <v>0.20472222222222222</v>
      </c>
      <c r="H574">
        <v>5.32</v>
      </c>
      <c r="I574">
        <v>1</v>
      </c>
      <c r="J574">
        <v>202</v>
      </c>
      <c r="K574" t="s">
        <v>124</v>
      </c>
    </row>
    <row r="575" spans="1:11" ht="14.25" customHeight="1" x14ac:dyDescent="0.35">
      <c r="A575" t="s">
        <v>136</v>
      </c>
      <c r="B575" s="46">
        <v>46118</v>
      </c>
      <c r="C575" t="s">
        <v>86</v>
      </c>
      <c r="D575" t="s">
        <v>137</v>
      </c>
      <c r="E575" t="s">
        <v>144</v>
      </c>
      <c r="F575" t="s">
        <v>145</v>
      </c>
      <c r="G575">
        <v>2.3786111111111112</v>
      </c>
      <c r="H575">
        <v>4.59</v>
      </c>
      <c r="I575">
        <v>1</v>
      </c>
      <c r="J575">
        <v>566</v>
      </c>
      <c r="K575" t="s">
        <v>124</v>
      </c>
    </row>
    <row r="576" spans="1:11" ht="14.25" customHeight="1" x14ac:dyDescent="0.35">
      <c r="A576" t="s">
        <v>136</v>
      </c>
      <c r="B576" s="46">
        <v>46116</v>
      </c>
      <c r="C576" t="s">
        <v>96</v>
      </c>
      <c r="D576" t="s">
        <v>137</v>
      </c>
      <c r="E576" t="s">
        <v>144</v>
      </c>
      <c r="F576" t="s">
        <v>145</v>
      </c>
      <c r="G576">
        <v>4.5788888888888888</v>
      </c>
      <c r="H576">
        <v>0</v>
      </c>
      <c r="J576">
        <v>414</v>
      </c>
      <c r="K576" t="s">
        <v>124</v>
      </c>
    </row>
    <row r="577" spans="1:11" ht="14.25" customHeight="1" x14ac:dyDescent="0.35">
      <c r="A577" t="s">
        <v>136</v>
      </c>
      <c r="B577" s="46">
        <v>46116</v>
      </c>
      <c r="C577" t="s">
        <v>104</v>
      </c>
      <c r="D577" t="s">
        <v>137</v>
      </c>
      <c r="E577" t="s">
        <v>144</v>
      </c>
      <c r="F577" t="s">
        <v>145</v>
      </c>
      <c r="G577">
        <v>9.793333333333333</v>
      </c>
      <c r="H577">
        <v>0</v>
      </c>
      <c r="J577">
        <v>0</v>
      </c>
      <c r="K577" t="s">
        <v>124</v>
      </c>
    </row>
    <row r="578" spans="1:11" ht="14.25" customHeight="1" x14ac:dyDescent="0.35">
      <c r="A578" t="s">
        <v>136</v>
      </c>
      <c r="B578" s="46">
        <v>46116</v>
      </c>
      <c r="C578" t="s">
        <v>107</v>
      </c>
      <c r="D578" t="s">
        <v>137</v>
      </c>
      <c r="E578" t="s">
        <v>144</v>
      </c>
      <c r="F578" t="s">
        <v>145</v>
      </c>
      <c r="G578">
        <v>4.1519444444444442</v>
      </c>
      <c r="H578">
        <v>0</v>
      </c>
      <c r="J578">
        <v>415</v>
      </c>
      <c r="K578" t="s">
        <v>124</v>
      </c>
    </row>
    <row r="579" spans="1:11" ht="14.25" customHeight="1" x14ac:dyDescent="0.35">
      <c r="A579" t="s">
        <v>136</v>
      </c>
      <c r="B579" s="46">
        <v>46116</v>
      </c>
      <c r="C579" t="s">
        <v>107</v>
      </c>
      <c r="D579" t="s">
        <v>137</v>
      </c>
      <c r="E579" t="s">
        <v>142</v>
      </c>
      <c r="F579" t="s">
        <v>143</v>
      </c>
      <c r="G579">
        <v>1.1111111111111112E-2</v>
      </c>
      <c r="H579">
        <v>0</v>
      </c>
      <c r="J579">
        <v>0</v>
      </c>
      <c r="K579" t="s">
        <v>124</v>
      </c>
    </row>
    <row r="580" spans="1:11" ht="14.25" customHeight="1" x14ac:dyDescent="0.35">
      <c r="A580" t="s">
        <v>136</v>
      </c>
      <c r="B580" s="46">
        <v>46116</v>
      </c>
      <c r="C580" t="s">
        <v>81</v>
      </c>
      <c r="D580" t="s">
        <v>137</v>
      </c>
      <c r="E580" t="s">
        <v>142</v>
      </c>
      <c r="F580" t="s">
        <v>143</v>
      </c>
      <c r="G580">
        <v>3.4722222222222224E-2</v>
      </c>
      <c r="H580">
        <v>0</v>
      </c>
      <c r="J580">
        <v>32</v>
      </c>
      <c r="K580" t="s">
        <v>124</v>
      </c>
    </row>
    <row r="581" spans="1:11" ht="14.25" customHeight="1" x14ac:dyDescent="0.35">
      <c r="A581" t="s">
        <v>136</v>
      </c>
      <c r="B581" s="46">
        <v>46116</v>
      </c>
      <c r="C581" t="s">
        <v>95</v>
      </c>
      <c r="D581" t="s">
        <v>137</v>
      </c>
      <c r="E581" t="s">
        <v>144</v>
      </c>
      <c r="F581" t="s">
        <v>145</v>
      </c>
      <c r="G581">
        <v>6.6969444444444441</v>
      </c>
      <c r="H581">
        <v>0</v>
      </c>
      <c r="J581">
        <v>0</v>
      </c>
      <c r="K581" t="s">
        <v>124</v>
      </c>
    </row>
    <row r="582" spans="1:11" ht="14.25" customHeight="1" x14ac:dyDescent="0.35">
      <c r="A582" t="s">
        <v>136</v>
      </c>
      <c r="B582" s="46">
        <v>46116</v>
      </c>
      <c r="C582" t="s">
        <v>100</v>
      </c>
      <c r="D582" t="s">
        <v>137</v>
      </c>
      <c r="E582" t="s">
        <v>144</v>
      </c>
      <c r="F582" t="s">
        <v>145</v>
      </c>
      <c r="G582">
        <v>0.80694444444444446</v>
      </c>
      <c r="H582">
        <v>0</v>
      </c>
      <c r="J582">
        <v>0</v>
      </c>
      <c r="K582" t="s">
        <v>124</v>
      </c>
    </row>
    <row r="583" spans="1:11" ht="14.25" customHeight="1" x14ac:dyDescent="0.35">
      <c r="A583" t="s">
        <v>136</v>
      </c>
      <c r="B583" s="46">
        <v>46116</v>
      </c>
      <c r="C583" t="s">
        <v>93</v>
      </c>
      <c r="D583" t="s">
        <v>137</v>
      </c>
      <c r="E583" t="s">
        <v>144</v>
      </c>
      <c r="F583" t="s">
        <v>145</v>
      </c>
      <c r="G583">
        <v>1.8027777777777778</v>
      </c>
      <c r="H583">
        <v>0</v>
      </c>
      <c r="J583">
        <v>0</v>
      </c>
      <c r="K583" t="s">
        <v>124</v>
      </c>
    </row>
    <row r="584" spans="1:11" ht="14.25" customHeight="1" x14ac:dyDescent="0.35">
      <c r="A584" t="s">
        <v>136</v>
      </c>
      <c r="B584" s="46">
        <v>46116</v>
      </c>
      <c r="C584" t="s">
        <v>84</v>
      </c>
      <c r="D584" t="s">
        <v>137</v>
      </c>
      <c r="E584" t="s">
        <v>144</v>
      </c>
      <c r="F584" t="s">
        <v>145</v>
      </c>
      <c r="G584">
        <v>9.2813888888888894</v>
      </c>
      <c r="H584">
        <v>0</v>
      </c>
      <c r="J584">
        <v>652</v>
      </c>
      <c r="K584" t="s">
        <v>124</v>
      </c>
    </row>
    <row r="585" spans="1:11" ht="14.25" customHeight="1" x14ac:dyDescent="0.35">
      <c r="A585" t="s">
        <v>136</v>
      </c>
      <c r="B585" s="46">
        <v>46116</v>
      </c>
      <c r="C585" t="s">
        <v>106</v>
      </c>
      <c r="D585" t="s">
        <v>137</v>
      </c>
      <c r="E585" t="s">
        <v>144</v>
      </c>
      <c r="F585" t="s">
        <v>145</v>
      </c>
      <c r="G585">
        <v>2.0166666666666666</v>
      </c>
      <c r="H585">
        <v>0</v>
      </c>
      <c r="J585">
        <v>0</v>
      </c>
      <c r="K585" t="s">
        <v>124</v>
      </c>
    </row>
    <row r="586" spans="1:11" ht="14.25" customHeight="1" x14ac:dyDescent="0.35">
      <c r="A586" t="s">
        <v>136</v>
      </c>
      <c r="B586" s="46">
        <v>46116</v>
      </c>
      <c r="C586" t="s">
        <v>85</v>
      </c>
      <c r="D586" t="s">
        <v>137</v>
      </c>
      <c r="E586" t="s">
        <v>162</v>
      </c>
      <c r="F586" t="s">
        <v>163</v>
      </c>
      <c r="G586">
        <v>4.110555555555556</v>
      </c>
      <c r="H586">
        <v>0</v>
      </c>
      <c r="J586">
        <v>5</v>
      </c>
      <c r="K586" t="s">
        <v>124</v>
      </c>
    </row>
    <row r="587" spans="1:11" ht="14.25" customHeight="1" x14ac:dyDescent="0.35">
      <c r="A587" t="s">
        <v>136</v>
      </c>
      <c r="B587" s="46">
        <v>46116</v>
      </c>
      <c r="C587" t="s">
        <v>109</v>
      </c>
      <c r="D587" t="s">
        <v>137</v>
      </c>
      <c r="E587" t="s">
        <v>144</v>
      </c>
      <c r="F587" t="s">
        <v>145</v>
      </c>
      <c r="G587">
        <v>4.2016666666666671</v>
      </c>
      <c r="H587">
        <v>0</v>
      </c>
      <c r="J587">
        <v>454</v>
      </c>
      <c r="K587" t="s">
        <v>124</v>
      </c>
    </row>
    <row r="588" spans="1:11" ht="14.25" customHeight="1" x14ac:dyDescent="0.35">
      <c r="A588" t="s">
        <v>136</v>
      </c>
      <c r="B588" s="46">
        <v>46117</v>
      </c>
      <c r="C588" t="s">
        <v>96</v>
      </c>
      <c r="D588" t="s">
        <v>137</v>
      </c>
      <c r="E588" t="s">
        <v>164</v>
      </c>
      <c r="F588" t="s">
        <v>165</v>
      </c>
      <c r="G588">
        <v>8.8611111111111113E-2</v>
      </c>
      <c r="H588">
        <v>0</v>
      </c>
      <c r="J588">
        <v>1</v>
      </c>
      <c r="K588" t="s">
        <v>124</v>
      </c>
    </row>
    <row r="589" spans="1:11" ht="14.25" customHeight="1" x14ac:dyDescent="0.35">
      <c r="A589" t="s">
        <v>136</v>
      </c>
      <c r="B589" s="46">
        <v>46117</v>
      </c>
      <c r="C589" t="s">
        <v>96</v>
      </c>
      <c r="D589" t="s">
        <v>137</v>
      </c>
      <c r="E589" t="s">
        <v>166</v>
      </c>
      <c r="F589" t="s">
        <v>167</v>
      </c>
      <c r="G589">
        <v>1.3791666666666667</v>
      </c>
      <c r="H589">
        <v>0</v>
      </c>
      <c r="J589">
        <v>332</v>
      </c>
      <c r="K589" t="s">
        <v>124</v>
      </c>
    </row>
    <row r="590" spans="1:11" ht="14.25" customHeight="1" x14ac:dyDescent="0.35">
      <c r="A590" t="s">
        <v>136</v>
      </c>
      <c r="B590" s="46">
        <v>46117</v>
      </c>
      <c r="C590" t="s">
        <v>96</v>
      </c>
      <c r="D590" t="s">
        <v>137</v>
      </c>
      <c r="E590" t="s">
        <v>168</v>
      </c>
      <c r="F590" t="s">
        <v>169</v>
      </c>
      <c r="G590">
        <v>0.13222222222222221</v>
      </c>
      <c r="H590">
        <v>0</v>
      </c>
      <c r="J590">
        <v>26</v>
      </c>
      <c r="K590" t="s">
        <v>124</v>
      </c>
    </row>
    <row r="591" spans="1:11" ht="14.25" customHeight="1" x14ac:dyDescent="0.35">
      <c r="A591" t="s">
        <v>136</v>
      </c>
      <c r="B591" s="46">
        <v>46117</v>
      </c>
      <c r="C591" t="s">
        <v>96</v>
      </c>
      <c r="D591" t="s">
        <v>137</v>
      </c>
      <c r="E591" t="s">
        <v>170</v>
      </c>
      <c r="F591" t="s">
        <v>171</v>
      </c>
      <c r="G591">
        <v>0.39250000000000002</v>
      </c>
      <c r="H591">
        <v>0</v>
      </c>
      <c r="J591">
        <v>0</v>
      </c>
      <c r="K591" t="s">
        <v>124</v>
      </c>
    </row>
    <row r="592" spans="1:11" ht="14.25" customHeight="1" x14ac:dyDescent="0.35">
      <c r="A592" t="s">
        <v>136</v>
      </c>
      <c r="B592" s="46">
        <v>46117</v>
      </c>
      <c r="C592" t="s">
        <v>96</v>
      </c>
      <c r="D592" t="s">
        <v>137</v>
      </c>
      <c r="E592" t="s">
        <v>172</v>
      </c>
      <c r="F592" t="s">
        <v>173</v>
      </c>
      <c r="G592">
        <v>9.7777777777777783E-2</v>
      </c>
      <c r="H592">
        <v>0</v>
      </c>
      <c r="J592">
        <v>29</v>
      </c>
      <c r="K592" t="s">
        <v>124</v>
      </c>
    </row>
    <row r="593" spans="1:11" ht="14.25" customHeight="1" x14ac:dyDescent="0.35">
      <c r="A593" t="s">
        <v>136</v>
      </c>
      <c r="B593" s="46">
        <v>46117</v>
      </c>
      <c r="C593" t="s">
        <v>96</v>
      </c>
      <c r="D593" t="s">
        <v>137</v>
      </c>
      <c r="E593" t="s">
        <v>174</v>
      </c>
      <c r="F593" t="s">
        <v>175</v>
      </c>
      <c r="G593">
        <v>0.17611111111111111</v>
      </c>
      <c r="H593">
        <v>0</v>
      </c>
      <c r="J593">
        <v>172</v>
      </c>
      <c r="K593" t="s">
        <v>124</v>
      </c>
    </row>
    <row r="594" spans="1:11" ht="14.25" customHeight="1" x14ac:dyDescent="0.35">
      <c r="A594" t="s">
        <v>136</v>
      </c>
      <c r="B594" s="46">
        <v>46117</v>
      </c>
      <c r="C594" t="s">
        <v>96</v>
      </c>
      <c r="D594" t="s">
        <v>137</v>
      </c>
      <c r="E594" t="s">
        <v>176</v>
      </c>
      <c r="F594" t="s">
        <v>177</v>
      </c>
      <c r="G594">
        <v>2.5000000000000001E-3</v>
      </c>
      <c r="H594">
        <v>0</v>
      </c>
      <c r="J594">
        <v>0</v>
      </c>
      <c r="K594" t="s">
        <v>124</v>
      </c>
    </row>
    <row r="595" spans="1:11" ht="14.25" customHeight="1" x14ac:dyDescent="0.35">
      <c r="A595" t="s">
        <v>136</v>
      </c>
      <c r="B595" s="46">
        <v>46117</v>
      </c>
      <c r="C595" t="s">
        <v>96</v>
      </c>
      <c r="D595" t="s">
        <v>137</v>
      </c>
      <c r="E595" t="s">
        <v>178</v>
      </c>
      <c r="F595" t="s">
        <v>179</v>
      </c>
      <c r="G595">
        <v>0.29444444444444445</v>
      </c>
      <c r="H595">
        <v>0</v>
      </c>
      <c r="J595">
        <v>449</v>
      </c>
      <c r="K595" t="s">
        <v>124</v>
      </c>
    </row>
    <row r="596" spans="1:11" ht="14.25" customHeight="1" x14ac:dyDescent="0.35">
      <c r="A596" t="s">
        <v>136</v>
      </c>
      <c r="B596" s="46">
        <v>46117</v>
      </c>
      <c r="C596" t="s">
        <v>104</v>
      </c>
      <c r="D596" t="s">
        <v>137</v>
      </c>
      <c r="E596" t="s">
        <v>180</v>
      </c>
      <c r="F596" t="s">
        <v>181</v>
      </c>
      <c r="G596">
        <v>5.4644444444444442</v>
      </c>
      <c r="H596">
        <v>0</v>
      </c>
      <c r="J596">
        <v>741</v>
      </c>
      <c r="K596" t="s">
        <v>124</v>
      </c>
    </row>
    <row r="597" spans="1:11" ht="14.25" customHeight="1" x14ac:dyDescent="0.35">
      <c r="A597" t="s">
        <v>136</v>
      </c>
      <c r="B597" s="46">
        <v>46117</v>
      </c>
      <c r="C597" t="s">
        <v>104</v>
      </c>
      <c r="D597" t="s">
        <v>137</v>
      </c>
      <c r="E597" t="s">
        <v>164</v>
      </c>
      <c r="F597" t="s">
        <v>165</v>
      </c>
      <c r="G597">
        <v>7.9444444444444443E-2</v>
      </c>
      <c r="H597">
        <v>0</v>
      </c>
      <c r="J597">
        <v>82</v>
      </c>
      <c r="K597" t="s">
        <v>124</v>
      </c>
    </row>
    <row r="598" spans="1:11" ht="14.25" customHeight="1" x14ac:dyDescent="0.35">
      <c r="A598" t="s">
        <v>136</v>
      </c>
      <c r="B598" s="46">
        <v>46117</v>
      </c>
      <c r="C598" t="s">
        <v>104</v>
      </c>
      <c r="D598" t="s">
        <v>137</v>
      </c>
      <c r="E598" t="s">
        <v>166</v>
      </c>
      <c r="F598" t="s">
        <v>167</v>
      </c>
      <c r="G598">
        <v>2.0494444444444446</v>
      </c>
      <c r="H598">
        <v>0</v>
      </c>
      <c r="J598">
        <v>403</v>
      </c>
      <c r="K598" t="s">
        <v>124</v>
      </c>
    </row>
    <row r="599" spans="1:11" ht="14.25" customHeight="1" x14ac:dyDescent="0.35">
      <c r="A599" t="s">
        <v>136</v>
      </c>
      <c r="B599" s="46">
        <v>46117</v>
      </c>
      <c r="C599" t="s">
        <v>104</v>
      </c>
      <c r="D599" t="s">
        <v>137</v>
      </c>
      <c r="E599" t="s">
        <v>168</v>
      </c>
      <c r="F599" t="s">
        <v>169</v>
      </c>
      <c r="G599">
        <v>7.5555555555555556E-2</v>
      </c>
      <c r="H599">
        <v>0</v>
      </c>
      <c r="J599">
        <v>38</v>
      </c>
      <c r="K599" t="s">
        <v>124</v>
      </c>
    </row>
    <row r="600" spans="1:11" ht="14.25" customHeight="1" x14ac:dyDescent="0.35">
      <c r="A600" t="s">
        <v>136</v>
      </c>
      <c r="B600" s="46">
        <v>46117</v>
      </c>
      <c r="C600" t="s">
        <v>104</v>
      </c>
      <c r="D600" t="s">
        <v>137</v>
      </c>
      <c r="E600" t="s">
        <v>182</v>
      </c>
      <c r="F600" t="s">
        <v>183</v>
      </c>
      <c r="G600">
        <v>0.34916666666666668</v>
      </c>
      <c r="H600">
        <v>0</v>
      </c>
      <c r="J600">
        <v>96</v>
      </c>
      <c r="K600" t="s">
        <v>124</v>
      </c>
    </row>
    <row r="601" spans="1:11" ht="14.25" customHeight="1" x14ac:dyDescent="0.35">
      <c r="A601" t="s">
        <v>136</v>
      </c>
      <c r="B601" s="46">
        <v>46117</v>
      </c>
      <c r="C601" t="s">
        <v>104</v>
      </c>
      <c r="D601" t="s">
        <v>137</v>
      </c>
      <c r="E601" t="s">
        <v>174</v>
      </c>
      <c r="F601" t="s">
        <v>175</v>
      </c>
      <c r="G601">
        <v>0.16138888888888889</v>
      </c>
      <c r="H601">
        <v>0</v>
      </c>
      <c r="J601">
        <v>1</v>
      </c>
      <c r="K601" t="s">
        <v>124</v>
      </c>
    </row>
    <row r="602" spans="1:11" ht="14.25" customHeight="1" x14ac:dyDescent="0.35">
      <c r="A602" t="s">
        <v>136</v>
      </c>
      <c r="B602" s="46">
        <v>46117</v>
      </c>
      <c r="C602" t="s">
        <v>104</v>
      </c>
      <c r="D602" t="s">
        <v>137</v>
      </c>
      <c r="E602" t="s">
        <v>176</v>
      </c>
      <c r="F602" t="s">
        <v>177</v>
      </c>
      <c r="G602">
        <v>0.18611111111111112</v>
      </c>
      <c r="H602">
        <v>0</v>
      </c>
      <c r="J602">
        <v>90</v>
      </c>
      <c r="K602" t="s">
        <v>124</v>
      </c>
    </row>
    <row r="603" spans="1:11" ht="14.25" customHeight="1" x14ac:dyDescent="0.35">
      <c r="A603" t="s">
        <v>136</v>
      </c>
      <c r="B603" s="46">
        <v>46117</v>
      </c>
      <c r="C603" t="s">
        <v>104</v>
      </c>
      <c r="D603" t="s">
        <v>137</v>
      </c>
      <c r="E603" t="s">
        <v>178</v>
      </c>
      <c r="F603" t="s">
        <v>179</v>
      </c>
      <c r="G603">
        <v>0.91388888888888886</v>
      </c>
      <c r="H603">
        <v>0</v>
      </c>
      <c r="J603">
        <v>0</v>
      </c>
      <c r="K603" t="s">
        <v>124</v>
      </c>
    </row>
    <row r="604" spans="1:11" ht="14.25" customHeight="1" x14ac:dyDescent="0.35">
      <c r="A604" t="s">
        <v>136</v>
      </c>
      <c r="B604" s="46">
        <v>46117</v>
      </c>
      <c r="C604" t="s">
        <v>90</v>
      </c>
      <c r="D604" t="s">
        <v>137</v>
      </c>
      <c r="E604" t="s">
        <v>164</v>
      </c>
      <c r="F604" t="s">
        <v>165</v>
      </c>
      <c r="G604">
        <v>0.14361111111111111</v>
      </c>
      <c r="H604">
        <v>0</v>
      </c>
      <c r="J604">
        <v>51</v>
      </c>
      <c r="K604" t="s">
        <v>124</v>
      </c>
    </row>
    <row r="605" spans="1:11" ht="14.25" customHeight="1" x14ac:dyDescent="0.35">
      <c r="A605" t="s">
        <v>136</v>
      </c>
      <c r="B605" s="46">
        <v>46117</v>
      </c>
      <c r="C605" t="s">
        <v>90</v>
      </c>
      <c r="D605" t="s">
        <v>137</v>
      </c>
      <c r="E605" t="s">
        <v>166</v>
      </c>
      <c r="F605" t="s">
        <v>167</v>
      </c>
      <c r="G605">
        <v>2.2591666666666668</v>
      </c>
      <c r="H605">
        <v>0</v>
      </c>
      <c r="J605">
        <v>174</v>
      </c>
      <c r="K605" t="s">
        <v>124</v>
      </c>
    </row>
    <row r="606" spans="1:11" ht="14.25" customHeight="1" x14ac:dyDescent="0.35">
      <c r="A606" t="s">
        <v>136</v>
      </c>
      <c r="B606" s="46">
        <v>46117</v>
      </c>
      <c r="C606" t="s">
        <v>90</v>
      </c>
      <c r="D606" t="s">
        <v>137</v>
      </c>
      <c r="E606" t="s">
        <v>162</v>
      </c>
      <c r="F606" t="s">
        <v>163</v>
      </c>
      <c r="G606">
        <v>4.6944444444444441E-2</v>
      </c>
      <c r="H606">
        <v>0</v>
      </c>
      <c r="J606">
        <v>21</v>
      </c>
      <c r="K606" t="s">
        <v>124</v>
      </c>
    </row>
    <row r="607" spans="1:11" ht="14.25" customHeight="1" x14ac:dyDescent="0.35">
      <c r="A607" t="s">
        <v>136</v>
      </c>
      <c r="B607" s="46">
        <v>46117</v>
      </c>
      <c r="C607" t="s">
        <v>90</v>
      </c>
      <c r="D607" t="s">
        <v>137</v>
      </c>
      <c r="E607" t="s">
        <v>172</v>
      </c>
      <c r="F607" t="s">
        <v>173</v>
      </c>
      <c r="G607">
        <v>8.2222222222222224E-2</v>
      </c>
      <c r="H607">
        <v>0</v>
      </c>
      <c r="J607">
        <v>29</v>
      </c>
      <c r="K607" t="s">
        <v>124</v>
      </c>
    </row>
    <row r="608" spans="1:11" ht="14.25" customHeight="1" x14ac:dyDescent="0.35">
      <c r="A608" t="s">
        <v>136</v>
      </c>
      <c r="B608" s="46">
        <v>46117</v>
      </c>
      <c r="C608" t="s">
        <v>90</v>
      </c>
      <c r="D608" t="s">
        <v>137</v>
      </c>
      <c r="E608" t="s">
        <v>176</v>
      </c>
      <c r="F608" t="s">
        <v>177</v>
      </c>
      <c r="G608">
        <v>0.32777777777777778</v>
      </c>
      <c r="H608">
        <v>0</v>
      </c>
      <c r="J608">
        <v>156</v>
      </c>
      <c r="K608" t="s">
        <v>124</v>
      </c>
    </row>
    <row r="609" spans="1:11" ht="14.25" customHeight="1" x14ac:dyDescent="0.35">
      <c r="A609" t="s">
        <v>136</v>
      </c>
      <c r="B609" s="46">
        <v>46117</v>
      </c>
      <c r="C609" t="s">
        <v>107</v>
      </c>
      <c r="D609" t="s">
        <v>137</v>
      </c>
      <c r="E609" t="s">
        <v>162</v>
      </c>
      <c r="F609" t="s">
        <v>163</v>
      </c>
      <c r="G609">
        <v>6.7658333333333331</v>
      </c>
      <c r="H609">
        <v>0</v>
      </c>
      <c r="J609">
        <v>190</v>
      </c>
      <c r="K609" t="s">
        <v>124</v>
      </c>
    </row>
    <row r="610" spans="1:11" ht="14.25" customHeight="1" x14ac:dyDescent="0.35">
      <c r="A610" t="s">
        <v>136</v>
      </c>
      <c r="B610" s="46">
        <v>46117</v>
      </c>
      <c r="C610" t="s">
        <v>107</v>
      </c>
      <c r="D610" t="s">
        <v>137</v>
      </c>
      <c r="E610" t="s">
        <v>168</v>
      </c>
      <c r="F610" t="s">
        <v>169</v>
      </c>
      <c r="G610">
        <v>0.17805555555555555</v>
      </c>
      <c r="H610">
        <v>0</v>
      </c>
      <c r="J610">
        <v>25</v>
      </c>
      <c r="K610" t="s">
        <v>124</v>
      </c>
    </row>
    <row r="611" spans="1:11" ht="14.25" customHeight="1" x14ac:dyDescent="0.35">
      <c r="A611" t="s">
        <v>136</v>
      </c>
      <c r="B611" s="46">
        <v>46117</v>
      </c>
      <c r="C611" t="s">
        <v>107</v>
      </c>
      <c r="D611" t="s">
        <v>137</v>
      </c>
      <c r="E611" t="s">
        <v>144</v>
      </c>
      <c r="F611" t="s">
        <v>145</v>
      </c>
      <c r="G611">
        <v>11.210277777777778</v>
      </c>
      <c r="H611">
        <v>0</v>
      </c>
      <c r="J611">
        <v>232</v>
      </c>
      <c r="K611" t="s">
        <v>124</v>
      </c>
    </row>
    <row r="612" spans="1:11" ht="14.25" customHeight="1" x14ac:dyDescent="0.35">
      <c r="A612" t="s">
        <v>136</v>
      </c>
      <c r="B612" s="46">
        <v>46117</v>
      </c>
      <c r="C612" t="s">
        <v>81</v>
      </c>
      <c r="D612" t="s">
        <v>137</v>
      </c>
      <c r="E612" t="s">
        <v>180</v>
      </c>
      <c r="F612" t="s">
        <v>181</v>
      </c>
      <c r="G612">
        <v>0.14833333333333334</v>
      </c>
      <c r="H612">
        <v>0</v>
      </c>
      <c r="J612">
        <v>43</v>
      </c>
      <c r="K612" t="s">
        <v>124</v>
      </c>
    </row>
    <row r="613" spans="1:11" ht="14.25" customHeight="1" x14ac:dyDescent="0.35">
      <c r="A613" t="s">
        <v>136</v>
      </c>
      <c r="B613" s="46">
        <v>46117</v>
      </c>
      <c r="C613" t="s">
        <v>81</v>
      </c>
      <c r="D613" t="s">
        <v>137</v>
      </c>
      <c r="E613" t="s">
        <v>166</v>
      </c>
      <c r="F613" t="s">
        <v>167</v>
      </c>
      <c r="G613">
        <v>2.2758333333333334</v>
      </c>
      <c r="H613">
        <v>0</v>
      </c>
      <c r="J613">
        <v>426</v>
      </c>
      <c r="K613" t="s">
        <v>124</v>
      </c>
    </row>
    <row r="614" spans="1:11" ht="14.25" customHeight="1" x14ac:dyDescent="0.35">
      <c r="A614" t="s">
        <v>136</v>
      </c>
      <c r="B614" s="46">
        <v>46117</v>
      </c>
      <c r="C614" t="s">
        <v>81</v>
      </c>
      <c r="D614" t="s">
        <v>137</v>
      </c>
      <c r="E614" t="s">
        <v>168</v>
      </c>
      <c r="F614" t="s">
        <v>169</v>
      </c>
      <c r="G614">
        <v>8.9722222222222217E-2</v>
      </c>
      <c r="H614">
        <v>0</v>
      </c>
      <c r="J614">
        <v>21</v>
      </c>
      <c r="K614" t="s">
        <v>124</v>
      </c>
    </row>
    <row r="615" spans="1:11" ht="14.25" customHeight="1" x14ac:dyDescent="0.35">
      <c r="A615" t="s">
        <v>136</v>
      </c>
      <c r="B615" s="46">
        <v>46117</v>
      </c>
      <c r="C615" t="s">
        <v>81</v>
      </c>
      <c r="D615" t="s">
        <v>137</v>
      </c>
      <c r="E615" t="s">
        <v>184</v>
      </c>
      <c r="F615" t="s">
        <v>185</v>
      </c>
      <c r="G615">
        <v>0.96944444444444444</v>
      </c>
      <c r="H615">
        <v>0</v>
      </c>
      <c r="J615">
        <v>55</v>
      </c>
      <c r="K615" t="s">
        <v>124</v>
      </c>
    </row>
    <row r="616" spans="1:11" ht="14.25" customHeight="1" x14ac:dyDescent="0.35">
      <c r="A616" t="s">
        <v>136</v>
      </c>
      <c r="B616" s="46">
        <v>46117</v>
      </c>
      <c r="C616" t="s">
        <v>81</v>
      </c>
      <c r="D616" t="s">
        <v>137</v>
      </c>
      <c r="E616" t="s">
        <v>176</v>
      </c>
      <c r="F616" t="s">
        <v>177</v>
      </c>
      <c r="G616">
        <v>1.2477777777777779</v>
      </c>
      <c r="H616">
        <v>0</v>
      </c>
      <c r="J616">
        <v>202</v>
      </c>
      <c r="K616" t="s">
        <v>124</v>
      </c>
    </row>
    <row r="617" spans="1:11" ht="14.25" customHeight="1" x14ac:dyDescent="0.35">
      <c r="A617" t="s">
        <v>136</v>
      </c>
      <c r="B617" s="46">
        <v>46117</v>
      </c>
      <c r="C617" t="s">
        <v>81</v>
      </c>
      <c r="D617" t="s">
        <v>137</v>
      </c>
      <c r="E617" t="s">
        <v>178</v>
      </c>
      <c r="F617" t="s">
        <v>179</v>
      </c>
      <c r="G617">
        <v>0.34805555555555556</v>
      </c>
      <c r="H617">
        <v>0</v>
      </c>
      <c r="J617">
        <v>298</v>
      </c>
      <c r="K617" t="s">
        <v>124</v>
      </c>
    </row>
    <row r="618" spans="1:11" ht="14.25" customHeight="1" x14ac:dyDescent="0.35">
      <c r="A618" t="s">
        <v>136</v>
      </c>
      <c r="B618" s="46">
        <v>46117</v>
      </c>
      <c r="C618" t="s">
        <v>81</v>
      </c>
      <c r="D618" t="s">
        <v>137</v>
      </c>
      <c r="E618" t="s">
        <v>152</v>
      </c>
      <c r="F618" t="s">
        <v>153</v>
      </c>
      <c r="G618">
        <v>0.42</v>
      </c>
      <c r="H618">
        <v>0</v>
      </c>
      <c r="J618">
        <v>1</v>
      </c>
      <c r="K618" t="s">
        <v>124</v>
      </c>
    </row>
    <row r="619" spans="1:11" ht="14.25" customHeight="1" x14ac:dyDescent="0.35">
      <c r="A619" t="s">
        <v>136</v>
      </c>
      <c r="B619" s="46">
        <v>46117</v>
      </c>
      <c r="C619" t="s">
        <v>101</v>
      </c>
      <c r="D619" t="s">
        <v>137</v>
      </c>
      <c r="E619" t="s">
        <v>164</v>
      </c>
      <c r="F619" t="s">
        <v>165</v>
      </c>
      <c r="G619">
        <v>0.29305555555555557</v>
      </c>
      <c r="H619">
        <v>0</v>
      </c>
      <c r="J619">
        <v>219</v>
      </c>
      <c r="K619" t="s">
        <v>124</v>
      </c>
    </row>
    <row r="620" spans="1:11" ht="14.25" customHeight="1" x14ac:dyDescent="0.35">
      <c r="A620" t="s">
        <v>136</v>
      </c>
      <c r="B620" s="46">
        <v>46117</v>
      </c>
      <c r="C620" t="s">
        <v>101</v>
      </c>
      <c r="D620" t="s">
        <v>137</v>
      </c>
      <c r="E620" t="s">
        <v>172</v>
      </c>
      <c r="F620" t="s">
        <v>173</v>
      </c>
      <c r="G620">
        <v>1.8333333333333333E-2</v>
      </c>
      <c r="H620">
        <v>0</v>
      </c>
      <c r="J620">
        <v>32</v>
      </c>
      <c r="K620" t="s">
        <v>124</v>
      </c>
    </row>
    <row r="621" spans="1:11" ht="14.25" customHeight="1" x14ac:dyDescent="0.35">
      <c r="A621" t="s">
        <v>136</v>
      </c>
      <c r="B621" s="46">
        <v>46117</v>
      </c>
      <c r="C621" t="s">
        <v>101</v>
      </c>
      <c r="D621" t="s">
        <v>137</v>
      </c>
      <c r="E621" t="s">
        <v>176</v>
      </c>
      <c r="F621" t="s">
        <v>177</v>
      </c>
      <c r="G621">
        <v>4.5863888888888891</v>
      </c>
      <c r="H621">
        <v>0</v>
      </c>
      <c r="J621">
        <v>373</v>
      </c>
      <c r="K621" t="s">
        <v>124</v>
      </c>
    </row>
    <row r="622" spans="1:11" ht="14.25" customHeight="1" x14ac:dyDescent="0.35">
      <c r="A622" t="s">
        <v>136</v>
      </c>
      <c r="B622" s="46">
        <v>46117</v>
      </c>
      <c r="C622" t="s">
        <v>101</v>
      </c>
      <c r="D622" t="s">
        <v>137</v>
      </c>
      <c r="E622" t="s">
        <v>186</v>
      </c>
      <c r="F622" t="s">
        <v>187</v>
      </c>
      <c r="G622">
        <v>0.19388888888888889</v>
      </c>
      <c r="H622">
        <v>0</v>
      </c>
      <c r="J622">
        <v>81</v>
      </c>
      <c r="K622" t="s">
        <v>124</v>
      </c>
    </row>
    <row r="623" spans="1:11" ht="14.25" customHeight="1" x14ac:dyDescent="0.35">
      <c r="A623" t="s">
        <v>136</v>
      </c>
      <c r="B623" s="46">
        <v>46117</v>
      </c>
      <c r="C623" t="s">
        <v>95</v>
      </c>
      <c r="D623" t="s">
        <v>137</v>
      </c>
      <c r="E623" t="s">
        <v>188</v>
      </c>
      <c r="F623" t="s">
        <v>189</v>
      </c>
      <c r="G623">
        <v>0.04</v>
      </c>
      <c r="H623">
        <v>0</v>
      </c>
      <c r="J623">
        <v>0</v>
      </c>
      <c r="K623" t="s">
        <v>124</v>
      </c>
    </row>
    <row r="624" spans="1:11" ht="14.25" customHeight="1" x14ac:dyDescent="0.35">
      <c r="A624" t="s">
        <v>136</v>
      </c>
      <c r="B624" s="46">
        <v>46117</v>
      </c>
      <c r="C624" t="s">
        <v>95</v>
      </c>
      <c r="D624" t="s">
        <v>137</v>
      </c>
      <c r="E624" t="s">
        <v>180</v>
      </c>
      <c r="F624" t="s">
        <v>181</v>
      </c>
      <c r="G624">
        <v>0.85444444444444445</v>
      </c>
      <c r="H624">
        <v>0</v>
      </c>
      <c r="J624">
        <v>80</v>
      </c>
      <c r="K624" t="s">
        <v>124</v>
      </c>
    </row>
    <row r="625" spans="1:11" ht="14.25" customHeight="1" x14ac:dyDescent="0.35">
      <c r="A625" t="s">
        <v>136</v>
      </c>
      <c r="B625" s="46">
        <v>46117</v>
      </c>
      <c r="C625" t="s">
        <v>95</v>
      </c>
      <c r="D625" t="s">
        <v>137</v>
      </c>
      <c r="E625" t="s">
        <v>164</v>
      </c>
      <c r="F625" t="s">
        <v>165</v>
      </c>
      <c r="G625">
        <v>0.29083333333333333</v>
      </c>
      <c r="H625">
        <v>0</v>
      </c>
      <c r="J625">
        <v>68</v>
      </c>
      <c r="K625" t="s">
        <v>124</v>
      </c>
    </row>
    <row r="626" spans="1:11" ht="14.25" customHeight="1" x14ac:dyDescent="0.35">
      <c r="A626" t="s">
        <v>136</v>
      </c>
      <c r="B626" s="46">
        <v>46117</v>
      </c>
      <c r="C626" t="s">
        <v>95</v>
      </c>
      <c r="D626" t="s">
        <v>137</v>
      </c>
      <c r="E626" t="s">
        <v>166</v>
      </c>
      <c r="F626" t="s">
        <v>167</v>
      </c>
      <c r="G626">
        <v>0.06</v>
      </c>
      <c r="H626">
        <v>0</v>
      </c>
      <c r="J626">
        <v>39</v>
      </c>
      <c r="K626" t="s">
        <v>124</v>
      </c>
    </row>
    <row r="627" spans="1:11" ht="14.25" customHeight="1" x14ac:dyDescent="0.35">
      <c r="A627" t="s">
        <v>136</v>
      </c>
      <c r="B627" s="46">
        <v>46117</v>
      </c>
      <c r="C627" t="s">
        <v>95</v>
      </c>
      <c r="D627" t="s">
        <v>137</v>
      </c>
      <c r="E627" t="s">
        <v>168</v>
      </c>
      <c r="F627" t="s">
        <v>169</v>
      </c>
      <c r="G627">
        <v>0.12027777777777778</v>
      </c>
      <c r="H627">
        <v>0</v>
      </c>
      <c r="J627">
        <v>44</v>
      </c>
      <c r="K627" t="s">
        <v>124</v>
      </c>
    </row>
    <row r="628" spans="1:11" ht="14.25" customHeight="1" x14ac:dyDescent="0.35">
      <c r="A628" t="s">
        <v>136</v>
      </c>
      <c r="B628" s="46">
        <v>46117</v>
      </c>
      <c r="C628" t="s">
        <v>95</v>
      </c>
      <c r="D628" t="s">
        <v>137</v>
      </c>
      <c r="E628" t="s">
        <v>182</v>
      </c>
      <c r="F628" t="s">
        <v>183</v>
      </c>
      <c r="G628">
        <v>9.6666666666666665E-2</v>
      </c>
      <c r="H628">
        <v>0</v>
      </c>
      <c r="J628">
        <v>180</v>
      </c>
      <c r="K628" t="s">
        <v>124</v>
      </c>
    </row>
    <row r="629" spans="1:11" ht="14.25" customHeight="1" x14ac:dyDescent="0.35">
      <c r="A629" t="s">
        <v>136</v>
      </c>
      <c r="B629" s="46">
        <v>46117</v>
      </c>
      <c r="C629" t="s">
        <v>95</v>
      </c>
      <c r="D629" t="s">
        <v>137</v>
      </c>
      <c r="E629" t="s">
        <v>144</v>
      </c>
      <c r="F629" t="s">
        <v>145</v>
      </c>
      <c r="G629">
        <v>11.065555555555555</v>
      </c>
      <c r="H629">
        <v>0</v>
      </c>
      <c r="J629">
        <v>1700</v>
      </c>
      <c r="K629" t="s">
        <v>124</v>
      </c>
    </row>
    <row r="630" spans="1:11" ht="14.25" customHeight="1" x14ac:dyDescent="0.35">
      <c r="A630" t="s">
        <v>136</v>
      </c>
      <c r="B630" s="46">
        <v>46117</v>
      </c>
      <c r="C630" t="s">
        <v>95</v>
      </c>
      <c r="D630" t="s">
        <v>137</v>
      </c>
      <c r="E630" t="s">
        <v>176</v>
      </c>
      <c r="F630" t="s">
        <v>177</v>
      </c>
      <c r="G630">
        <v>1.6741666666666666</v>
      </c>
      <c r="H630">
        <v>0</v>
      </c>
      <c r="J630">
        <v>164</v>
      </c>
      <c r="K630" t="s">
        <v>124</v>
      </c>
    </row>
    <row r="631" spans="1:11" ht="14.25" customHeight="1" x14ac:dyDescent="0.35">
      <c r="A631" t="s">
        <v>136</v>
      </c>
      <c r="B631" s="46">
        <v>46117</v>
      </c>
      <c r="C631" t="s">
        <v>95</v>
      </c>
      <c r="D631" t="s">
        <v>137</v>
      </c>
      <c r="E631" t="s">
        <v>186</v>
      </c>
      <c r="F631" t="s">
        <v>187</v>
      </c>
      <c r="G631">
        <v>9.2222222222222219E-2</v>
      </c>
      <c r="H631">
        <v>0</v>
      </c>
      <c r="J631">
        <v>91</v>
      </c>
      <c r="K631" t="s">
        <v>124</v>
      </c>
    </row>
    <row r="632" spans="1:11" ht="14.25" customHeight="1" x14ac:dyDescent="0.35">
      <c r="A632" t="s">
        <v>136</v>
      </c>
      <c r="B632" s="46">
        <v>46117</v>
      </c>
      <c r="C632" t="s">
        <v>86</v>
      </c>
      <c r="D632" t="s">
        <v>137</v>
      </c>
      <c r="E632" t="s">
        <v>176</v>
      </c>
      <c r="F632" t="s">
        <v>177</v>
      </c>
      <c r="G632">
        <v>0.42805555555555558</v>
      </c>
      <c r="H632">
        <v>0</v>
      </c>
      <c r="J632">
        <v>0</v>
      </c>
      <c r="K632" t="s">
        <v>124</v>
      </c>
    </row>
    <row r="633" spans="1:11" ht="14.25" customHeight="1" x14ac:dyDescent="0.35">
      <c r="A633" t="s">
        <v>136</v>
      </c>
      <c r="B633" s="46">
        <v>46117</v>
      </c>
      <c r="C633" t="s">
        <v>86</v>
      </c>
      <c r="D633" t="s">
        <v>137</v>
      </c>
      <c r="E633" t="s">
        <v>178</v>
      </c>
      <c r="F633" t="s">
        <v>179</v>
      </c>
      <c r="G633">
        <v>6.7500000000000004E-2</v>
      </c>
      <c r="H633">
        <v>0</v>
      </c>
      <c r="J633">
        <v>68</v>
      </c>
      <c r="K633" t="s">
        <v>124</v>
      </c>
    </row>
    <row r="634" spans="1:11" ht="14.25" customHeight="1" x14ac:dyDescent="0.35">
      <c r="A634" t="s">
        <v>136</v>
      </c>
      <c r="B634" s="46">
        <v>46117</v>
      </c>
      <c r="C634" t="s">
        <v>88</v>
      </c>
      <c r="D634" t="s">
        <v>137</v>
      </c>
      <c r="E634" t="s">
        <v>180</v>
      </c>
      <c r="F634" t="s">
        <v>181</v>
      </c>
      <c r="G634">
        <v>0.2713888888888889</v>
      </c>
      <c r="H634">
        <v>0</v>
      </c>
      <c r="J634">
        <v>31</v>
      </c>
      <c r="K634" t="s">
        <v>124</v>
      </c>
    </row>
    <row r="635" spans="1:11" ht="14.25" customHeight="1" x14ac:dyDescent="0.35">
      <c r="A635" t="s">
        <v>136</v>
      </c>
      <c r="B635" s="46">
        <v>46117</v>
      </c>
      <c r="C635" t="s">
        <v>88</v>
      </c>
      <c r="D635" t="s">
        <v>137</v>
      </c>
      <c r="E635" t="s">
        <v>176</v>
      </c>
      <c r="F635" t="s">
        <v>177</v>
      </c>
      <c r="G635">
        <v>3.9011111111111112</v>
      </c>
      <c r="H635">
        <v>0</v>
      </c>
      <c r="J635">
        <v>211</v>
      </c>
      <c r="K635" t="s">
        <v>124</v>
      </c>
    </row>
    <row r="636" spans="1:11" ht="14.25" customHeight="1" x14ac:dyDescent="0.35">
      <c r="A636" t="s">
        <v>136</v>
      </c>
      <c r="B636" s="46">
        <v>46117</v>
      </c>
      <c r="C636" t="s">
        <v>100</v>
      </c>
      <c r="D636" t="s">
        <v>137</v>
      </c>
      <c r="E636" t="s">
        <v>166</v>
      </c>
      <c r="F636" t="s">
        <v>167</v>
      </c>
      <c r="G636">
        <v>1.8130555555555556</v>
      </c>
      <c r="H636">
        <v>0</v>
      </c>
      <c r="J636">
        <v>396</v>
      </c>
      <c r="K636" t="s">
        <v>124</v>
      </c>
    </row>
    <row r="637" spans="1:11" ht="14.25" customHeight="1" x14ac:dyDescent="0.35">
      <c r="A637" t="s">
        <v>136</v>
      </c>
      <c r="B637" s="46">
        <v>46117</v>
      </c>
      <c r="C637" t="s">
        <v>100</v>
      </c>
      <c r="D637" t="s">
        <v>137</v>
      </c>
      <c r="E637" t="s">
        <v>168</v>
      </c>
      <c r="F637" t="s">
        <v>169</v>
      </c>
      <c r="G637">
        <v>0.10472222222222222</v>
      </c>
      <c r="H637">
        <v>0</v>
      </c>
      <c r="J637">
        <v>34</v>
      </c>
      <c r="K637" t="s">
        <v>124</v>
      </c>
    </row>
    <row r="638" spans="1:11" ht="14.25" customHeight="1" x14ac:dyDescent="0.35">
      <c r="A638" t="s">
        <v>136</v>
      </c>
      <c r="B638" s="46">
        <v>46117</v>
      </c>
      <c r="C638" t="s">
        <v>93</v>
      </c>
      <c r="D638" t="s">
        <v>137</v>
      </c>
      <c r="E638" t="s">
        <v>164</v>
      </c>
      <c r="F638" t="s">
        <v>165</v>
      </c>
      <c r="G638">
        <v>6.5277777777777782E-2</v>
      </c>
      <c r="H638">
        <v>0</v>
      </c>
      <c r="J638">
        <v>1</v>
      </c>
      <c r="K638" t="s">
        <v>124</v>
      </c>
    </row>
    <row r="639" spans="1:11" ht="14.25" customHeight="1" x14ac:dyDescent="0.35">
      <c r="A639" t="s">
        <v>136</v>
      </c>
      <c r="B639" s="46">
        <v>46117</v>
      </c>
      <c r="C639" t="s">
        <v>93</v>
      </c>
      <c r="D639" t="s">
        <v>137</v>
      </c>
      <c r="E639" t="s">
        <v>168</v>
      </c>
      <c r="F639" t="s">
        <v>169</v>
      </c>
      <c r="G639">
        <v>0.105</v>
      </c>
      <c r="H639">
        <v>0</v>
      </c>
      <c r="J639">
        <v>45</v>
      </c>
      <c r="K639" t="s">
        <v>124</v>
      </c>
    </row>
    <row r="640" spans="1:11" ht="14.25" customHeight="1" x14ac:dyDescent="0.35">
      <c r="A640" t="s">
        <v>136</v>
      </c>
      <c r="B640" s="46">
        <v>46117</v>
      </c>
      <c r="C640" t="s">
        <v>99</v>
      </c>
      <c r="D640" t="s">
        <v>137</v>
      </c>
      <c r="E640" t="s">
        <v>180</v>
      </c>
      <c r="F640" t="s">
        <v>181</v>
      </c>
      <c r="G640">
        <v>9.1666666666666667E-3</v>
      </c>
      <c r="H640">
        <v>0</v>
      </c>
      <c r="J640">
        <v>33</v>
      </c>
      <c r="K640" t="s">
        <v>124</v>
      </c>
    </row>
    <row r="641" spans="1:11" ht="14.25" customHeight="1" x14ac:dyDescent="0.35">
      <c r="A641" t="s">
        <v>136</v>
      </c>
      <c r="B641" s="46">
        <v>46117</v>
      </c>
      <c r="C641" t="s">
        <v>99</v>
      </c>
      <c r="D641" t="s">
        <v>137</v>
      </c>
      <c r="E641" t="s">
        <v>168</v>
      </c>
      <c r="F641" t="s">
        <v>169</v>
      </c>
      <c r="G641">
        <v>0.15305555555555556</v>
      </c>
      <c r="H641">
        <v>0</v>
      </c>
      <c r="J641">
        <v>81</v>
      </c>
      <c r="K641" t="s">
        <v>124</v>
      </c>
    </row>
    <row r="642" spans="1:11" ht="14.25" customHeight="1" x14ac:dyDescent="0.35">
      <c r="A642" t="s">
        <v>136</v>
      </c>
      <c r="B642" s="46">
        <v>46117</v>
      </c>
      <c r="C642" t="s">
        <v>99</v>
      </c>
      <c r="D642" t="s">
        <v>137</v>
      </c>
      <c r="E642" t="s">
        <v>176</v>
      </c>
      <c r="F642" t="s">
        <v>177</v>
      </c>
      <c r="G642">
        <v>1.3391666666666666</v>
      </c>
      <c r="H642">
        <v>0</v>
      </c>
      <c r="J642">
        <v>0</v>
      </c>
      <c r="K642" t="s">
        <v>124</v>
      </c>
    </row>
    <row r="643" spans="1:11" ht="14.25" customHeight="1" x14ac:dyDescent="0.35">
      <c r="A643" t="s">
        <v>136</v>
      </c>
      <c r="B643" s="46">
        <v>46117</v>
      </c>
      <c r="C643" t="s">
        <v>98</v>
      </c>
      <c r="D643" t="s">
        <v>137</v>
      </c>
      <c r="E643" t="s">
        <v>180</v>
      </c>
      <c r="F643" t="s">
        <v>181</v>
      </c>
      <c r="G643">
        <v>1.28</v>
      </c>
      <c r="H643">
        <v>0</v>
      </c>
      <c r="J643">
        <v>446</v>
      </c>
      <c r="K643" t="s">
        <v>124</v>
      </c>
    </row>
    <row r="644" spans="1:11" ht="14.25" customHeight="1" x14ac:dyDescent="0.35">
      <c r="A644" t="s">
        <v>136</v>
      </c>
      <c r="B644" s="46">
        <v>46117</v>
      </c>
      <c r="C644" t="s">
        <v>98</v>
      </c>
      <c r="D644" t="s">
        <v>137</v>
      </c>
      <c r="E644" t="s">
        <v>166</v>
      </c>
      <c r="F644" t="s">
        <v>167</v>
      </c>
      <c r="G644">
        <v>2.1930555555555555</v>
      </c>
      <c r="H644">
        <v>0</v>
      </c>
      <c r="J644">
        <v>513</v>
      </c>
      <c r="K644" t="s">
        <v>124</v>
      </c>
    </row>
    <row r="645" spans="1:11" ht="14.25" customHeight="1" x14ac:dyDescent="0.35">
      <c r="A645" t="s">
        <v>136</v>
      </c>
      <c r="B645" s="46">
        <v>46117</v>
      </c>
      <c r="C645" t="s">
        <v>98</v>
      </c>
      <c r="D645" t="s">
        <v>137</v>
      </c>
      <c r="E645" t="s">
        <v>168</v>
      </c>
      <c r="F645" t="s">
        <v>169</v>
      </c>
      <c r="G645">
        <v>9.7222222222222224E-2</v>
      </c>
      <c r="H645">
        <v>0</v>
      </c>
      <c r="J645">
        <v>26</v>
      </c>
      <c r="K645" t="s">
        <v>124</v>
      </c>
    </row>
    <row r="646" spans="1:11" ht="14.25" customHeight="1" x14ac:dyDescent="0.35">
      <c r="A646" t="s">
        <v>136</v>
      </c>
      <c r="B646" s="46">
        <v>46117</v>
      </c>
      <c r="C646" t="s">
        <v>98</v>
      </c>
      <c r="D646" t="s">
        <v>137</v>
      </c>
      <c r="E646" t="s">
        <v>170</v>
      </c>
      <c r="F646" t="s">
        <v>171</v>
      </c>
      <c r="G646">
        <v>1.9444444444444444E-3</v>
      </c>
      <c r="H646">
        <v>0</v>
      </c>
      <c r="J646">
        <v>0</v>
      </c>
      <c r="K646" t="s">
        <v>124</v>
      </c>
    </row>
    <row r="647" spans="1:11" ht="14.25" customHeight="1" x14ac:dyDescent="0.35">
      <c r="A647" t="s">
        <v>136</v>
      </c>
      <c r="B647" s="46">
        <v>46117</v>
      </c>
      <c r="C647" t="s">
        <v>98</v>
      </c>
      <c r="D647" t="s">
        <v>137</v>
      </c>
      <c r="E647" t="s">
        <v>144</v>
      </c>
      <c r="F647" t="s">
        <v>145</v>
      </c>
      <c r="G647">
        <v>15.166944444444445</v>
      </c>
      <c r="H647">
        <v>0</v>
      </c>
      <c r="J647">
        <v>1647</v>
      </c>
      <c r="K647" t="s">
        <v>124</v>
      </c>
    </row>
    <row r="648" spans="1:11" ht="14.25" customHeight="1" x14ac:dyDescent="0.35">
      <c r="A648" t="s">
        <v>136</v>
      </c>
      <c r="B648" s="46">
        <v>46117</v>
      </c>
      <c r="C648" t="s">
        <v>98</v>
      </c>
      <c r="D648" t="s">
        <v>137</v>
      </c>
      <c r="E648" t="s">
        <v>176</v>
      </c>
      <c r="F648" t="s">
        <v>177</v>
      </c>
      <c r="G648">
        <v>7.4722222222222218E-2</v>
      </c>
      <c r="H648">
        <v>0</v>
      </c>
      <c r="J648">
        <v>269</v>
      </c>
      <c r="K648" t="s">
        <v>124</v>
      </c>
    </row>
    <row r="649" spans="1:11" ht="14.25" customHeight="1" x14ac:dyDescent="0.35">
      <c r="A649" t="s">
        <v>136</v>
      </c>
      <c r="B649" s="46">
        <v>46117</v>
      </c>
      <c r="C649" t="s">
        <v>98</v>
      </c>
      <c r="D649" t="s">
        <v>137</v>
      </c>
      <c r="E649" t="s">
        <v>178</v>
      </c>
      <c r="F649" t="s">
        <v>179</v>
      </c>
      <c r="G649">
        <v>0.64555555555555555</v>
      </c>
      <c r="H649">
        <v>0</v>
      </c>
      <c r="J649">
        <v>211</v>
      </c>
      <c r="K649" t="s">
        <v>124</v>
      </c>
    </row>
    <row r="650" spans="1:11" ht="14.25" customHeight="1" x14ac:dyDescent="0.35">
      <c r="A650" t="s">
        <v>136</v>
      </c>
      <c r="B650" s="46">
        <v>46117</v>
      </c>
      <c r="C650" t="s">
        <v>98</v>
      </c>
      <c r="D650" t="s">
        <v>137</v>
      </c>
      <c r="E650" t="s">
        <v>152</v>
      </c>
      <c r="F650" t="s">
        <v>153</v>
      </c>
      <c r="G650">
        <v>0.18472222222222223</v>
      </c>
      <c r="H650">
        <v>0</v>
      </c>
      <c r="J650">
        <v>67</v>
      </c>
      <c r="K650" t="s">
        <v>124</v>
      </c>
    </row>
    <row r="651" spans="1:11" ht="14.25" customHeight="1" x14ac:dyDescent="0.35">
      <c r="A651" t="s">
        <v>136</v>
      </c>
      <c r="B651" s="46">
        <v>46117</v>
      </c>
      <c r="C651" t="s">
        <v>97</v>
      </c>
      <c r="D651" t="s">
        <v>137</v>
      </c>
      <c r="E651" t="s">
        <v>168</v>
      </c>
      <c r="F651" t="s">
        <v>169</v>
      </c>
      <c r="G651">
        <v>9.8888888888888887E-2</v>
      </c>
      <c r="H651">
        <v>0</v>
      </c>
      <c r="J651">
        <v>32</v>
      </c>
      <c r="K651" t="s">
        <v>124</v>
      </c>
    </row>
    <row r="652" spans="1:11" ht="14.25" customHeight="1" x14ac:dyDescent="0.35">
      <c r="A652" t="s">
        <v>136</v>
      </c>
      <c r="B652" s="46">
        <v>46117</v>
      </c>
      <c r="C652" t="s">
        <v>97</v>
      </c>
      <c r="D652" t="s">
        <v>137</v>
      </c>
      <c r="E652" t="s">
        <v>144</v>
      </c>
      <c r="F652" t="s">
        <v>145</v>
      </c>
      <c r="G652">
        <v>19.126944444444444</v>
      </c>
      <c r="H652">
        <v>0</v>
      </c>
      <c r="J652">
        <v>1126</v>
      </c>
      <c r="K652" t="s">
        <v>124</v>
      </c>
    </row>
    <row r="653" spans="1:11" ht="14.25" customHeight="1" x14ac:dyDescent="0.35">
      <c r="A653" t="s">
        <v>136</v>
      </c>
      <c r="B653" s="46">
        <v>46117</v>
      </c>
      <c r="C653" t="s">
        <v>97</v>
      </c>
      <c r="D653" t="s">
        <v>137</v>
      </c>
      <c r="E653" t="s">
        <v>174</v>
      </c>
      <c r="F653" t="s">
        <v>175</v>
      </c>
      <c r="G653">
        <v>0.10138888888888889</v>
      </c>
      <c r="H653">
        <v>0</v>
      </c>
      <c r="J653">
        <v>31</v>
      </c>
      <c r="K653" t="s">
        <v>124</v>
      </c>
    </row>
    <row r="654" spans="1:11" ht="14.25" customHeight="1" x14ac:dyDescent="0.35">
      <c r="A654" t="s">
        <v>136</v>
      </c>
      <c r="B654" s="46">
        <v>46117</v>
      </c>
      <c r="C654" t="s">
        <v>97</v>
      </c>
      <c r="D654" t="s">
        <v>137</v>
      </c>
      <c r="E654" t="s">
        <v>176</v>
      </c>
      <c r="F654" t="s">
        <v>177</v>
      </c>
      <c r="G654">
        <v>0.21305555555555555</v>
      </c>
      <c r="H654">
        <v>0</v>
      </c>
      <c r="J654">
        <v>35</v>
      </c>
      <c r="K654" t="s">
        <v>124</v>
      </c>
    </row>
    <row r="655" spans="1:11" ht="14.25" customHeight="1" x14ac:dyDescent="0.35">
      <c r="A655" t="s">
        <v>136</v>
      </c>
      <c r="B655" s="46">
        <v>46117</v>
      </c>
      <c r="C655" t="s">
        <v>97</v>
      </c>
      <c r="D655" t="s">
        <v>137</v>
      </c>
      <c r="E655" t="s">
        <v>178</v>
      </c>
      <c r="F655" t="s">
        <v>179</v>
      </c>
      <c r="G655">
        <v>8.0277777777777781E-2</v>
      </c>
      <c r="H655">
        <v>0</v>
      </c>
      <c r="J655">
        <v>20</v>
      </c>
      <c r="K655" t="s">
        <v>124</v>
      </c>
    </row>
    <row r="656" spans="1:11" ht="14.25" customHeight="1" x14ac:dyDescent="0.35">
      <c r="A656" t="s">
        <v>136</v>
      </c>
      <c r="B656" s="46">
        <v>46117</v>
      </c>
      <c r="C656" t="s">
        <v>84</v>
      </c>
      <c r="D656" t="s">
        <v>137</v>
      </c>
      <c r="E656" t="s">
        <v>168</v>
      </c>
      <c r="F656" t="s">
        <v>169</v>
      </c>
      <c r="G656">
        <v>0.10527777777777778</v>
      </c>
      <c r="H656">
        <v>0</v>
      </c>
      <c r="J656">
        <v>27</v>
      </c>
      <c r="K656" t="s">
        <v>124</v>
      </c>
    </row>
    <row r="657" spans="1:11" ht="14.25" customHeight="1" x14ac:dyDescent="0.35">
      <c r="A657" t="s">
        <v>136</v>
      </c>
      <c r="B657" s="46">
        <v>46117</v>
      </c>
      <c r="C657" t="s">
        <v>84</v>
      </c>
      <c r="D657" t="s">
        <v>137</v>
      </c>
      <c r="E657" t="s">
        <v>152</v>
      </c>
      <c r="F657" t="s">
        <v>153</v>
      </c>
      <c r="G657">
        <v>3.6680555555555556</v>
      </c>
      <c r="H657">
        <v>0</v>
      </c>
      <c r="J657">
        <v>1</v>
      </c>
      <c r="K657" t="s">
        <v>124</v>
      </c>
    </row>
    <row r="658" spans="1:11" ht="14.25" customHeight="1" x14ac:dyDescent="0.35">
      <c r="A658" t="s">
        <v>136</v>
      </c>
      <c r="B658" s="46">
        <v>46117</v>
      </c>
      <c r="C658" t="s">
        <v>106</v>
      </c>
      <c r="D658" t="s">
        <v>137</v>
      </c>
      <c r="E658" t="s">
        <v>168</v>
      </c>
      <c r="F658" t="s">
        <v>169</v>
      </c>
      <c r="G658">
        <v>0.10222222222222223</v>
      </c>
      <c r="H658">
        <v>0</v>
      </c>
      <c r="J658">
        <v>19</v>
      </c>
      <c r="K658" t="s">
        <v>124</v>
      </c>
    </row>
    <row r="659" spans="1:11" ht="14.25" customHeight="1" x14ac:dyDescent="0.35">
      <c r="A659" t="s">
        <v>136</v>
      </c>
      <c r="B659" s="46">
        <v>46117</v>
      </c>
      <c r="C659" t="s">
        <v>106</v>
      </c>
      <c r="D659" t="s">
        <v>137</v>
      </c>
      <c r="E659" t="s">
        <v>178</v>
      </c>
      <c r="F659" t="s">
        <v>179</v>
      </c>
      <c r="G659">
        <v>1.0611111111111111</v>
      </c>
      <c r="H659">
        <v>0</v>
      </c>
      <c r="J659">
        <v>27</v>
      </c>
      <c r="K659" t="s">
        <v>124</v>
      </c>
    </row>
    <row r="660" spans="1:11" ht="14.25" customHeight="1" x14ac:dyDescent="0.35">
      <c r="A660" t="s">
        <v>136</v>
      </c>
      <c r="B660" s="46">
        <v>46117</v>
      </c>
      <c r="C660" t="s">
        <v>85</v>
      </c>
      <c r="D660" t="s">
        <v>137</v>
      </c>
      <c r="E660" t="s">
        <v>162</v>
      </c>
      <c r="F660" t="s">
        <v>163</v>
      </c>
      <c r="G660">
        <v>8.5516666666666659</v>
      </c>
      <c r="H660">
        <v>0</v>
      </c>
      <c r="J660">
        <v>292</v>
      </c>
      <c r="K660" t="s">
        <v>124</v>
      </c>
    </row>
    <row r="661" spans="1:11" ht="14.25" customHeight="1" x14ac:dyDescent="0.35">
      <c r="A661" t="s">
        <v>136</v>
      </c>
      <c r="B661" s="46">
        <v>46117</v>
      </c>
      <c r="C661" t="s">
        <v>85</v>
      </c>
      <c r="D661" t="s">
        <v>137</v>
      </c>
      <c r="E661" t="s">
        <v>168</v>
      </c>
      <c r="F661" t="s">
        <v>169</v>
      </c>
      <c r="G661">
        <v>6.5555555555555561E-2</v>
      </c>
      <c r="H661">
        <v>0</v>
      </c>
      <c r="J661">
        <v>24</v>
      </c>
      <c r="K661" t="s">
        <v>124</v>
      </c>
    </row>
    <row r="662" spans="1:11" ht="14.25" customHeight="1" x14ac:dyDescent="0.35">
      <c r="A662" t="s">
        <v>136</v>
      </c>
      <c r="B662" s="46">
        <v>46117</v>
      </c>
      <c r="C662" t="s">
        <v>85</v>
      </c>
      <c r="D662" t="s">
        <v>137</v>
      </c>
      <c r="E662" t="s">
        <v>176</v>
      </c>
      <c r="F662" t="s">
        <v>177</v>
      </c>
      <c r="G662">
        <v>4.3816666666666668</v>
      </c>
      <c r="H662">
        <v>0</v>
      </c>
      <c r="J662">
        <v>197</v>
      </c>
      <c r="K662" t="s">
        <v>124</v>
      </c>
    </row>
    <row r="663" spans="1:11" ht="14.25" customHeight="1" x14ac:dyDescent="0.35">
      <c r="A663" t="s">
        <v>136</v>
      </c>
      <c r="B663" s="46">
        <v>46117</v>
      </c>
      <c r="C663" t="s">
        <v>103</v>
      </c>
      <c r="D663" t="s">
        <v>137</v>
      </c>
      <c r="E663" t="s">
        <v>164</v>
      </c>
      <c r="F663" t="s">
        <v>165</v>
      </c>
      <c r="G663">
        <v>0.18416666666666667</v>
      </c>
      <c r="H663">
        <v>0</v>
      </c>
      <c r="J663">
        <v>35</v>
      </c>
      <c r="K663" t="s">
        <v>124</v>
      </c>
    </row>
    <row r="664" spans="1:11" ht="14.25" customHeight="1" x14ac:dyDescent="0.35">
      <c r="A664" t="s">
        <v>136</v>
      </c>
      <c r="B664" s="46">
        <v>46117</v>
      </c>
      <c r="C664" t="s">
        <v>103</v>
      </c>
      <c r="D664" t="s">
        <v>137</v>
      </c>
      <c r="E664" t="s">
        <v>166</v>
      </c>
      <c r="F664" t="s">
        <v>167</v>
      </c>
      <c r="G664">
        <v>2.6591666666666667</v>
      </c>
      <c r="H664">
        <v>0</v>
      </c>
      <c r="J664">
        <v>554</v>
      </c>
      <c r="K664" t="s">
        <v>124</v>
      </c>
    </row>
    <row r="665" spans="1:11" ht="14.25" customHeight="1" x14ac:dyDescent="0.35">
      <c r="A665" t="s">
        <v>136</v>
      </c>
      <c r="B665" s="46">
        <v>46117</v>
      </c>
      <c r="C665" t="s">
        <v>103</v>
      </c>
      <c r="D665" t="s">
        <v>137</v>
      </c>
      <c r="E665" t="s">
        <v>168</v>
      </c>
      <c r="F665" t="s">
        <v>169</v>
      </c>
      <c r="G665">
        <v>0.12</v>
      </c>
      <c r="H665">
        <v>0</v>
      </c>
      <c r="J665">
        <v>67</v>
      </c>
      <c r="K665" t="s">
        <v>124</v>
      </c>
    </row>
    <row r="666" spans="1:11" ht="14.25" customHeight="1" x14ac:dyDescent="0.35">
      <c r="A666" t="s">
        <v>136</v>
      </c>
      <c r="B666" s="46">
        <v>46117</v>
      </c>
      <c r="C666" t="s">
        <v>103</v>
      </c>
      <c r="D666" t="s">
        <v>137</v>
      </c>
      <c r="E666" t="s">
        <v>190</v>
      </c>
      <c r="F666" t="s">
        <v>191</v>
      </c>
      <c r="G666">
        <v>1.9802777777777778</v>
      </c>
      <c r="H666">
        <v>0</v>
      </c>
      <c r="J666">
        <v>0</v>
      </c>
      <c r="K666" t="s">
        <v>124</v>
      </c>
    </row>
    <row r="667" spans="1:11" ht="14.25" customHeight="1" x14ac:dyDescent="0.35">
      <c r="A667" t="s">
        <v>136</v>
      </c>
      <c r="B667" s="46">
        <v>46117</v>
      </c>
      <c r="C667" t="s">
        <v>103</v>
      </c>
      <c r="D667" t="s">
        <v>137</v>
      </c>
      <c r="E667" t="s">
        <v>144</v>
      </c>
      <c r="F667" t="s">
        <v>145</v>
      </c>
      <c r="G667">
        <v>8.8805555555555564</v>
      </c>
      <c r="H667">
        <v>0</v>
      </c>
      <c r="J667">
        <v>436</v>
      </c>
      <c r="K667" t="s">
        <v>124</v>
      </c>
    </row>
    <row r="668" spans="1:11" ht="14.25" customHeight="1" x14ac:dyDescent="0.35">
      <c r="A668" t="s">
        <v>136</v>
      </c>
      <c r="B668" s="46">
        <v>46117</v>
      </c>
      <c r="C668" t="s">
        <v>103</v>
      </c>
      <c r="D668" t="s">
        <v>137</v>
      </c>
      <c r="E668" t="s">
        <v>172</v>
      </c>
      <c r="F668" t="s">
        <v>173</v>
      </c>
      <c r="G668">
        <v>3.0833333333333334E-2</v>
      </c>
      <c r="H668">
        <v>0</v>
      </c>
      <c r="J668">
        <v>14</v>
      </c>
      <c r="K668" t="s">
        <v>124</v>
      </c>
    </row>
    <row r="669" spans="1:11" ht="14.25" customHeight="1" x14ac:dyDescent="0.35">
      <c r="A669" t="s">
        <v>136</v>
      </c>
      <c r="B669" s="46">
        <v>46117</v>
      </c>
      <c r="C669" t="s">
        <v>103</v>
      </c>
      <c r="D669" t="s">
        <v>137</v>
      </c>
      <c r="E669" t="s">
        <v>176</v>
      </c>
      <c r="F669" t="s">
        <v>177</v>
      </c>
      <c r="G669">
        <v>0.57138888888888884</v>
      </c>
      <c r="H669">
        <v>0</v>
      </c>
      <c r="J669">
        <v>58</v>
      </c>
      <c r="K669" t="s">
        <v>124</v>
      </c>
    </row>
    <row r="670" spans="1:11" ht="14.25" customHeight="1" x14ac:dyDescent="0.35">
      <c r="A670" t="s">
        <v>136</v>
      </c>
      <c r="B670" s="46">
        <v>46117</v>
      </c>
      <c r="C670" t="s">
        <v>103</v>
      </c>
      <c r="D670" t="s">
        <v>137</v>
      </c>
      <c r="E670" t="s">
        <v>186</v>
      </c>
      <c r="F670" t="s">
        <v>187</v>
      </c>
      <c r="G670">
        <v>0.02</v>
      </c>
      <c r="H670">
        <v>0</v>
      </c>
      <c r="J670">
        <v>0</v>
      </c>
      <c r="K670" t="s">
        <v>124</v>
      </c>
    </row>
    <row r="671" spans="1:11" ht="14.25" customHeight="1" x14ac:dyDescent="0.35">
      <c r="A671" t="s">
        <v>136</v>
      </c>
      <c r="B671" s="46">
        <v>46117</v>
      </c>
      <c r="C671" t="s">
        <v>109</v>
      </c>
      <c r="D671" t="s">
        <v>137</v>
      </c>
      <c r="E671" t="s">
        <v>180</v>
      </c>
      <c r="F671" t="s">
        <v>181</v>
      </c>
      <c r="G671">
        <v>0.31</v>
      </c>
      <c r="H671">
        <v>0</v>
      </c>
      <c r="J671">
        <v>0</v>
      </c>
      <c r="K671" t="s">
        <v>124</v>
      </c>
    </row>
    <row r="672" spans="1:11" ht="14.25" customHeight="1" x14ac:dyDescent="0.35">
      <c r="A672" t="s">
        <v>136</v>
      </c>
      <c r="B672" s="46">
        <v>46117</v>
      </c>
      <c r="C672" t="s">
        <v>109</v>
      </c>
      <c r="D672" t="s">
        <v>137</v>
      </c>
      <c r="E672" t="s">
        <v>168</v>
      </c>
      <c r="F672" t="s">
        <v>169</v>
      </c>
      <c r="G672">
        <v>9.3611111111111117E-2</v>
      </c>
      <c r="H672">
        <v>0</v>
      </c>
      <c r="J672">
        <v>39</v>
      </c>
      <c r="K672" t="s">
        <v>124</v>
      </c>
    </row>
    <row r="673" spans="1:11" ht="14.25" customHeight="1" x14ac:dyDescent="0.35">
      <c r="A673" t="s">
        <v>136</v>
      </c>
      <c r="B673" s="46">
        <v>46117</v>
      </c>
      <c r="C673" t="s">
        <v>109</v>
      </c>
      <c r="D673" t="s">
        <v>137</v>
      </c>
      <c r="E673" t="s">
        <v>144</v>
      </c>
      <c r="F673" t="s">
        <v>145</v>
      </c>
      <c r="G673">
        <v>20.7425</v>
      </c>
      <c r="H673">
        <v>0</v>
      </c>
      <c r="J673">
        <v>608</v>
      </c>
      <c r="K673" t="s">
        <v>124</v>
      </c>
    </row>
    <row r="674" spans="1:11" ht="14.25" customHeight="1" x14ac:dyDescent="0.35">
      <c r="A674" t="s">
        <v>136</v>
      </c>
      <c r="B674" s="46">
        <v>46117</v>
      </c>
      <c r="C674" t="s">
        <v>109</v>
      </c>
      <c r="D674" t="s">
        <v>137</v>
      </c>
      <c r="E674" t="s">
        <v>192</v>
      </c>
      <c r="F674" t="s">
        <v>193</v>
      </c>
      <c r="G674">
        <v>1.7227777777777777</v>
      </c>
      <c r="H674">
        <v>0</v>
      </c>
      <c r="J674">
        <v>55</v>
      </c>
      <c r="K674" t="s">
        <v>124</v>
      </c>
    </row>
    <row r="675" spans="1:11" ht="14.25" customHeight="1" x14ac:dyDescent="0.35">
      <c r="A675" t="s">
        <v>136</v>
      </c>
      <c r="B675" s="46">
        <v>46118</v>
      </c>
      <c r="C675" t="s">
        <v>96</v>
      </c>
      <c r="D675" t="s">
        <v>137</v>
      </c>
      <c r="E675" t="s">
        <v>164</v>
      </c>
      <c r="F675" t="s">
        <v>165</v>
      </c>
      <c r="G675">
        <v>7.9166666666666663E-2</v>
      </c>
      <c r="H675">
        <v>0</v>
      </c>
      <c r="J675">
        <v>30</v>
      </c>
      <c r="K675" t="s">
        <v>124</v>
      </c>
    </row>
    <row r="676" spans="1:11" ht="14.25" customHeight="1" x14ac:dyDescent="0.35">
      <c r="A676" t="s">
        <v>136</v>
      </c>
      <c r="B676" s="46">
        <v>46118</v>
      </c>
      <c r="C676" t="s">
        <v>96</v>
      </c>
      <c r="D676" t="s">
        <v>137</v>
      </c>
      <c r="E676" t="s">
        <v>168</v>
      </c>
      <c r="F676" t="s">
        <v>169</v>
      </c>
      <c r="G676">
        <v>0.57416666666666671</v>
      </c>
      <c r="H676">
        <v>0</v>
      </c>
      <c r="J676">
        <v>18</v>
      </c>
      <c r="K676" t="s">
        <v>124</v>
      </c>
    </row>
    <row r="677" spans="1:11" ht="14.25" customHeight="1" x14ac:dyDescent="0.35">
      <c r="A677" t="s">
        <v>136</v>
      </c>
      <c r="B677" s="46">
        <v>46118</v>
      </c>
      <c r="C677" t="s">
        <v>96</v>
      </c>
      <c r="D677" t="s">
        <v>137</v>
      </c>
      <c r="E677" t="s">
        <v>144</v>
      </c>
      <c r="F677" t="s">
        <v>145</v>
      </c>
      <c r="G677">
        <v>0.9719444444444445</v>
      </c>
      <c r="H677">
        <v>0</v>
      </c>
      <c r="J677">
        <v>564</v>
      </c>
      <c r="K677" t="s">
        <v>124</v>
      </c>
    </row>
    <row r="678" spans="1:11" ht="14.25" customHeight="1" x14ac:dyDescent="0.35">
      <c r="A678" t="s">
        <v>136</v>
      </c>
      <c r="B678" s="46">
        <v>46118</v>
      </c>
      <c r="C678" t="s">
        <v>96</v>
      </c>
      <c r="D678" t="s">
        <v>137</v>
      </c>
      <c r="E678" t="s">
        <v>176</v>
      </c>
      <c r="F678" t="s">
        <v>177</v>
      </c>
      <c r="G678">
        <v>1.0088888888888889</v>
      </c>
      <c r="H678">
        <v>0</v>
      </c>
      <c r="J678">
        <v>292</v>
      </c>
      <c r="K678" t="s">
        <v>124</v>
      </c>
    </row>
    <row r="679" spans="1:11" ht="14.25" customHeight="1" x14ac:dyDescent="0.35">
      <c r="A679" t="s">
        <v>136</v>
      </c>
      <c r="B679" s="46">
        <v>46118</v>
      </c>
      <c r="C679" t="s">
        <v>96</v>
      </c>
      <c r="D679" t="s">
        <v>137</v>
      </c>
      <c r="E679" t="s">
        <v>178</v>
      </c>
      <c r="F679" t="s">
        <v>179</v>
      </c>
      <c r="G679">
        <v>0.83916666666666662</v>
      </c>
      <c r="H679">
        <v>0</v>
      </c>
      <c r="J679">
        <v>181</v>
      </c>
      <c r="K679" t="s">
        <v>124</v>
      </c>
    </row>
    <row r="680" spans="1:11" ht="14.25" customHeight="1" x14ac:dyDescent="0.35">
      <c r="A680" t="s">
        <v>136</v>
      </c>
      <c r="B680" s="46">
        <v>46118</v>
      </c>
      <c r="C680" t="s">
        <v>96</v>
      </c>
      <c r="D680" t="s">
        <v>137</v>
      </c>
      <c r="E680" t="s">
        <v>194</v>
      </c>
      <c r="F680" t="s">
        <v>195</v>
      </c>
      <c r="G680">
        <v>0.11861111111111111</v>
      </c>
      <c r="H680">
        <v>0</v>
      </c>
      <c r="J680">
        <v>104</v>
      </c>
      <c r="K680" t="s">
        <v>124</v>
      </c>
    </row>
    <row r="681" spans="1:11" ht="14.25" customHeight="1" x14ac:dyDescent="0.35">
      <c r="A681" t="s">
        <v>136</v>
      </c>
      <c r="B681" s="46">
        <v>46118</v>
      </c>
      <c r="C681" t="s">
        <v>96</v>
      </c>
      <c r="D681" t="s">
        <v>137</v>
      </c>
      <c r="E681" t="s">
        <v>152</v>
      </c>
      <c r="F681" t="s">
        <v>153</v>
      </c>
      <c r="G681">
        <v>8.4444444444444447E-2</v>
      </c>
      <c r="H681">
        <v>0</v>
      </c>
      <c r="J681">
        <v>31</v>
      </c>
      <c r="K681" t="s">
        <v>124</v>
      </c>
    </row>
    <row r="682" spans="1:11" ht="14.25" customHeight="1" x14ac:dyDescent="0.35">
      <c r="A682" t="s">
        <v>136</v>
      </c>
      <c r="B682" s="46">
        <v>46118</v>
      </c>
      <c r="C682" t="s">
        <v>96</v>
      </c>
      <c r="D682" t="s">
        <v>137</v>
      </c>
      <c r="E682" t="s">
        <v>156</v>
      </c>
      <c r="F682" t="s">
        <v>157</v>
      </c>
      <c r="G682">
        <v>5.9444444444444446E-2</v>
      </c>
      <c r="H682">
        <v>0</v>
      </c>
      <c r="J682">
        <v>124</v>
      </c>
      <c r="K682" t="s">
        <v>124</v>
      </c>
    </row>
    <row r="683" spans="1:11" ht="14.25" customHeight="1" x14ac:dyDescent="0.35">
      <c r="A683" t="s">
        <v>136</v>
      </c>
      <c r="B683" s="46">
        <v>46118</v>
      </c>
      <c r="C683" t="s">
        <v>96</v>
      </c>
      <c r="D683" t="s">
        <v>137</v>
      </c>
      <c r="E683" t="s">
        <v>186</v>
      </c>
      <c r="F683" t="s">
        <v>187</v>
      </c>
      <c r="G683">
        <v>3.0555555555555557E-3</v>
      </c>
      <c r="H683">
        <v>0</v>
      </c>
      <c r="J683">
        <v>11</v>
      </c>
      <c r="K683" t="s">
        <v>124</v>
      </c>
    </row>
    <row r="684" spans="1:11" ht="14.25" customHeight="1" x14ac:dyDescent="0.35">
      <c r="A684" t="s">
        <v>136</v>
      </c>
      <c r="B684" s="46">
        <v>46118</v>
      </c>
      <c r="C684" t="s">
        <v>96</v>
      </c>
      <c r="D684" t="s">
        <v>137</v>
      </c>
      <c r="E684" t="s">
        <v>196</v>
      </c>
      <c r="F684" t="s">
        <v>197</v>
      </c>
      <c r="G684">
        <v>1.3055555555555556E-2</v>
      </c>
      <c r="H684">
        <v>0</v>
      </c>
      <c r="J684">
        <v>46</v>
      </c>
      <c r="K684" t="s">
        <v>124</v>
      </c>
    </row>
    <row r="685" spans="1:11" ht="14.25" customHeight="1" x14ac:dyDescent="0.35">
      <c r="A685" t="s">
        <v>136</v>
      </c>
      <c r="B685" s="46">
        <v>46118</v>
      </c>
      <c r="C685" t="s">
        <v>96</v>
      </c>
      <c r="D685" t="s">
        <v>137</v>
      </c>
      <c r="E685" t="s">
        <v>146</v>
      </c>
      <c r="F685" t="s">
        <v>147</v>
      </c>
      <c r="G685">
        <v>0.97250000000000003</v>
      </c>
      <c r="H685">
        <v>0</v>
      </c>
      <c r="J685">
        <v>159</v>
      </c>
      <c r="K685" t="s">
        <v>124</v>
      </c>
    </row>
    <row r="686" spans="1:11" ht="14.25" customHeight="1" x14ac:dyDescent="0.35">
      <c r="A686" t="s">
        <v>136</v>
      </c>
      <c r="B686" s="46">
        <v>46118</v>
      </c>
      <c r="C686" t="s">
        <v>96</v>
      </c>
      <c r="D686" t="s">
        <v>137</v>
      </c>
      <c r="E686" t="s">
        <v>198</v>
      </c>
      <c r="F686" t="s">
        <v>199</v>
      </c>
      <c r="G686">
        <v>9.0833333333333335E-2</v>
      </c>
      <c r="H686">
        <v>0</v>
      </c>
      <c r="J686">
        <v>58</v>
      </c>
      <c r="K686" t="s">
        <v>124</v>
      </c>
    </row>
    <row r="687" spans="1:11" ht="14.25" customHeight="1" x14ac:dyDescent="0.35">
      <c r="A687" t="s">
        <v>136</v>
      </c>
      <c r="B687" s="46">
        <v>46118</v>
      </c>
      <c r="C687" t="s">
        <v>104</v>
      </c>
      <c r="D687" t="s">
        <v>137</v>
      </c>
      <c r="E687" t="s">
        <v>180</v>
      </c>
      <c r="F687" t="s">
        <v>181</v>
      </c>
      <c r="G687">
        <v>2.1111111111111112E-2</v>
      </c>
      <c r="H687">
        <v>0</v>
      </c>
      <c r="J687">
        <v>20</v>
      </c>
      <c r="K687" t="s">
        <v>124</v>
      </c>
    </row>
    <row r="688" spans="1:11" ht="14.25" customHeight="1" x14ac:dyDescent="0.35">
      <c r="A688" t="s">
        <v>136</v>
      </c>
      <c r="B688" s="46">
        <v>46118</v>
      </c>
      <c r="C688" t="s">
        <v>104</v>
      </c>
      <c r="D688" t="s">
        <v>137</v>
      </c>
      <c r="E688" t="s">
        <v>164</v>
      </c>
      <c r="F688" t="s">
        <v>165</v>
      </c>
      <c r="G688">
        <v>0.16583333333333333</v>
      </c>
      <c r="H688">
        <v>0</v>
      </c>
      <c r="J688">
        <v>67</v>
      </c>
      <c r="K688" t="s">
        <v>124</v>
      </c>
    </row>
    <row r="689" spans="1:11" ht="14.25" customHeight="1" x14ac:dyDescent="0.35">
      <c r="A689" t="s">
        <v>136</v>
      </c>
      <c r="B689" s="46">
        <v>46118</v>
      </c>
      <c r="C689" t="s">
        <v>104</v>
      </c>
      <c r="D689" t="s">
        <v>137</v>
      </c>
      <c r="E689" t="s">
        <v>166</v>
      </c>
      <c r="F689" t="s">
        <v>167</v>
      </c>
      <c r="G689">
        <v>0.12611111111111112</v>
      </c>
      <c r="H689">
        <v>0</v>
      </c>
      <c r="J689">
        <v>59</v>
      </c>
      <c r="K689" t="s">
        <v>124</v>
      </c>
    </row>
    <row r="690" spans="1:11" ht="14.25" customHeight="1" x14ac:dyDescent="0.35">
      <c r="A690" t="s">
        <v>136</v>
      </c>
      <c r="B690" s="46">
        <v>46118</v>
      </c>
      <c r="C690" t="s">
        <v>104</v>
      </c>
      <c r="D690" t="s">
        <v>137</v>
      </c>
      <c r="E690" t="s">
        <v>168</v>
      </c>
      <c r="F690" t="s">
        <v>169</v>
      </c>
      <c r="G690">
        <v>0.14194444444444446</v>
      </c>
      <c r="H690">
        <v>0</v>
      </c>
      <c r="J690">
        <v>45</v>
      </c>
      <c r="K690" t="s">
        <v>124</v>
      </c>
    </row>
    <row r="691" spans="1:11" ht="14.25" customHeight="1" x14ac:dyDescent="0.35">
      <c r="A691" t="s">
        <v>136</v>
      </c>
      <c r="B691" s="46">
        <v>46118</v>
      </c>
      <c r="C691" t="s">
        <v>104</v>
      </c>
      <c r="D691" t="s">
        <v>137</v>
      </c>
      <c r="E691" t="s">
        <v>170</v>
      </c>
      <c r="F691" t="s">
        <v>171</v>
      </c>
      <c r="G691">
        <v>1.3055555555555556E-2</v>
      </c>
      <c r="H691">
        <v>0</v>
      </c>
      <c r="J691">
        <v>0</v>
      </c>
      <c r="K691" t="s">
        <v>124</v>
      </c>
    </row>
    <row r="692" spans="1:11" ht="14.25" customHeight="1" x14ac:dyDescent="0.35">
      <c r="A692" t="s">
        <v>136</v>
      </c>
      <c r="B692" s="46">
        <v>46118</v>
      </c>
      <c r="C692" t="s">
        <v>104</v>
      </c>
      <c r="D692" t="s">
        <v>137</v>
      </c>
      <c r="E692" t="s">
        <v>200</v>
      </c>
      <c r="F692" t="s">
        <v>201</v>
      </c>
      <c r="G692">
        <v>0.38305555555555554</v>
      </c>
      <c r="H692">
        <v>0</v>
      </c>
      <c r="J692">
        <v>67</v>
      </c>
      <c r="K692" t="s">
        <v>124</v>
      </c>
    </row>
    <row r="693" spans="1:11" ht="14.25" customHeight="1" x14ac:dyDescent="0.35">
      <c r="A693" t="s">
        <v>136</v>
      </c>
      <c r="B693" s="46">
        <v>46118</v>
      </c>
      <c r="C693" t="s">
        <v>104</v>
      </c>
      <c r="D693" t="s">
        <v>137</v>
      </c>
      <c r="E693" t="s">
        <v>176</v>
      </c>
      <c r="F693" t="s">
        <v>177</v>
      </c>
      <c r="G693">
        <v>0.68666666666666665</v>
      </c>
      <c r="H693">
        <v>0</v>
      </c>
      <c r="J693">
        <v>393</v>
      </c>
      <c r="K693" t="s">
        <v>124</v>
      </c>
    </row>
    <row r="694" spans="1:11" ht="14.25" customHeight="1" x14ac:dyDescent="0.35">
      <c r="A694" t="s">
        <v>136</v>
      </c>
      <c r="B694" s="46">
        <v>46118</v>
      </c>
      <c r="C694" t="s">
        <v>104</v>
      </c>
      <c r="D694" t="s">
        <v>137</v>
      </c>
      <c r="E694" t="s">
        <v>178</v>
      </c>
      <c r="F694" t="s">
        <v>179</v>
      </c>
      <c r="G694">
        <v>0.28888888888888886</v>
      </c>
      <c r="H694">
        <v>0</v>
      </c>
      <c r="J694">
        <v>25</v>
      </c>
      <c r="K694" t="s">
        <v>124</v>
      </c>
    </row>
    <row r="695" spans="1:11" ht="14.25" customHeight="1" x14ac:dyDescent="0.35">
      <c r="A695" t="s">
        <v>136</v>
      </c>
      <c r="B695" s="46">
        <v>46118</v>
      </c>
      <c r="C695" t="s">
        <v>104</v>
      </c>
      <c r="D695" t="s">
        <v>137</v>
      </c>
      <c r="E695" t="s">
        <v>194</v>
      </c>
      <c r="F695" t="s">
        <v>195</v>
      </c>
      <c r="G695">
        <v>0.14527777777777778</v>
      </c>
      <c r="H695">
        <v>0</v>
      </c>
      <c r="J695">
        <v>36</v>
      </c>
      <c r="K695" t="s">
        <v>124</v>
      </c>
    </row>
    <row r="696" spans="1:11" ht="14.25" customHeight="1" x14ac:dyDescent="0.35">
      <c r="A696" t="s">
        <v>136</v>
      </c>
      <c r="B696" s="46">
        <v>46118</v>
      </c>
      <c r="C696" t="s">
        <v>104</v>
      </c>
      <c r="D696" t="s">
        <v>137</v>
      </c>
      <c r="E696" t="s">
        <v>186</v>
      </c>
      <c r="F696" t="s">
        <v>187</v>
      </c>
      <c r="G696">
        <v>0.10083333333333333</v>
      </c>
      <c r="H696">
        <v>0</v>
      </c>
      <c r="J696">
        <v>54</v>
      </c>
      <c r="K696" t="s">
        <v>124</v>
      </c>
    </row>
    <row r="697" spans="1:11" ht="14.25" customHeight="1" x14ac:dyDescent="0.35">
      <c r="A697" t="s">
        <v>136</v>
      </c>
      <c r="B697" s="46">
        <v>46118</v>
      </c>
      <c r="C697" t="s">
        <v>104</v>
      </c>
      <c r="D697" t="s">
        <v>137</v>
      </c>
      <c r="E697" t="s">
        <v>196</v>
      </c>
      <c r="F697" t="s">
        <v>197</v>
      </c>
      <c r="G697">
        <v>1.2863888888888888</v>
      </c>
      <c r="H697">
        <v>0</v>
      </c>
      <c r="J697">
        <v>73</v>
      </c>
      <c r="K697" t="s">
        <v>124</v>
      </c>
    </row>
    <row r="698" spans="1:11" ht="14.25" customHeight="1" x14ac:dyDescent="0.35">
      <c r="A698" t="s">
        <v>136</v>
      </c>
      <c r="B698" s="46">
        <v>46118</v>
      </c>
      <c r="C698" t="s">
        <v>104</v>
      </c>
      <c r="D698" t="s">
        <v>137</v>
      </c>
      <c r="E698" t="s">
        <v>198</v>
      </c>
      <c r="F698" t="s">
        <v>199</v>
      </c>
      <c r="G698">
        <v>0.155</v>
      </c>
      <c r="H698">
        <v>0</v>
      </c>
      <c r="J698">
        <v>65</v>
      </c>
      <c r="K698" t="s">
        <v>124</v>
      </c>
    </row>
    <row r="699" spans="1:11" ht="14.25" customHeight="1" x14ac:dyDescent="0.35">
      <c r="A699" t="s">
        <v>136</v>
      </c>
      <c r="B699" s="46">
        <v>46118</v>
      </c>
      <c r="C699" t="s">
        <v>90</v>
      </c>
      <c r="D699" t="s">
        <v>137</v>
      </c>
      <c r="E699" t="s">
        <v>188</v>
      </c>
      <c r="F699" t="s">
        <v>189</v>
      </c>
      <c r="G699">
        <v>3.7263888888888888</v>
      </c>
      <c r="H699">
        <v>0</v>
      </c>
      <c r="J699">
        <v>179</v>
      </c>
      <c r="K699" t="s">
        <v>124</v>
      </c>
    </row>
    <row r="700" spans="1:11" ht="14.25" customHeight="1" x14ac:dyDescent="0.35">
      <c r="A700" t="s">
        <v>136</v>
      </c>
      <c r="B700" s="46">
        <v>46118</v>
      </c>
      <c r="C700" t="s">
        <v>90</v>
      </c>
      <c r="D700" t="s">
        <v>137</v>
      </c>
      <c r="E700" t="s">
        <v>180</v>
      </c>
      <c r="F700" t="s">
        <v>181</v>
      </c>
      <c r="G700">
        <v>0.21527777777777779</v>
      </c>
      <c r="H700">
        <v>0</v>
      </c>
      <c r="J700">
        <v>146</v>
      </c>
      <c r="K700" t="s">
        <v>124</v>
      </c>
    </row>
    <row r="701" spans="1:11" ht="14.25" customHeight="1" x14ac:dyDescent="0.35">
      <c r="A701" t="s">
        <v>136</v>
      </c>
      <c r="B701" s="46">
        <v>46118</v>
      </c>
      <c r="C701" t="s">
        <v>90</v>
      </c>
      <c r="D701" t="s">
        <v>137</v>
      </c>
      <c r="E701" t="s">
        <v>168</v>
      </c>
      <c r="F701" t="s">
        <v>169</v>
      </c>
      <c r="G701">
        <v>0.11277777777777778</v>
      </c>
      <c r="H701">
        <v>0</v>
      </c>
      <c r="J701">
        <v>28</v>
      </c>
      <c r="K701" t="s">
        <v>124</v>
      </c>
    </row>
    <row r="702" spans="1:11" ht="14.25" customHeight="1" x14ac:dyDescent="0.35">
      <c r="A702" t="s">
        <v>136</v>
      </c>
      <c r="B702" s="46">
        <v>46118</v>
      </c>
      <c r="C702" t="s">
        <v>90</v>
      </c>
      <c r="D702" t="s">
        <v>137</v>
      </c>
      <c r="E702" t="s">
        <v>182</v>
      </c>
      <c r="F702" t="s">
        <v>183</v>
      </c>
      <c r="G702">
        <v>0.13916666666666666</v>
      </c>
      <c r="H702">
        <v>0</v>
      </c>
      <c r="J702">
        <v>117</v>
      </c>
      <c r="K702" t="s">
        <v>124</v>
      </c>
    </row>
    <row r="703" spans="1:11" ht="14.25" customHeight="1" x14ac:dyDescent="0.35">
      <c r="A703" t="s">
        <v>136</v>
      </c>
      <c r="B703" s="46">
        <v>46118</v>
      </c>
      <c r="C703" t="s">
        <v>90</v>
      </c>
      <c r="D703" t="s">
        <v>137</v>
      </c>
      <c r="E703" t="s">
        <v>172</v>
      </c>
      <c r="F703" t="s">
        <v>173</v>
      </c>
      <c r="G703">
        <v>0.29249999999999998</v>
      </c>
      <c r="H703">
        <v>0</v>
      </c>
      <c r="J703">
        <v>60</v>
      </c>
      <c r="K703" t="s">
        <v>124</v>
      </c>
    </row>
    <row r="704" spans="1:11" ht="14.25" customHeight="1" x14ac:dyDescent="0.35">
      <c r="A704" t="s">
        <v>136</v>
      </c>
      <c r="B704" s="46">
        <v>46118</v>
      </c>
      <c r="C704" t="s">
        <v>90</v>
      </c>
      <c r="D704" t="s">
        <v>137</v>
      </c>
      <c r="E704" t="s">
        <v>176</v>
      </c>
      <c r="F704" t="s">
        <v>177</v>
      </c>
      <c r="G704">
        <v>0.64583333333333337</v>
      </c>
      <c r="H704">
        <v>0</v>
      </c>
      <c r="J704">
        <v>355</v>
      </c>
      <c r="K704" t="s">
        <v>124</v>
      </c>
    </row>
    <row r="705" spans="1:11" ht="14.25" customHeight="1" x14ac:dyDescent="0.35">
      <c r="A705" t="s">
        <v>136</v>
      </c>
      <c r="B705" s="46">
        <v>46118</v>
      </c>
      <c r="C705" t="s">
        <v>90</v>
      </c>
      <c r="D705" t="s">
        <v>137</v>
      </c>
      <c r="E705" t="s">
        <v>194</v>
      </c>
      <c r="F705" t="s">
        <v>195</v>
      </c>
      <c r="G705">
        <v>5.5833333333333332E-2</v>
      </c>
      <c r="H705">
        <v>0</v>
      </c>
      <c r="J705">
        <v>23</v>
      </c>
      <c r="K705" t="s">
        <v>124</v>
      </c>
    </row>
    <row r="706" spans="1:11" ht="14.25" customHeight="1" x14ac:dyDescent="0.35">
      <c r="A706" t="s">
        <v>136</v>
      </c>
      <c r="B706" s="46">
        <v>46118</v>
      </c>
      <c r="C706" t="s">
        <v>90</v>
      </c>
      <c r="D706" t="s">
        <v>137</v>
      </c>
      <c r="E706" t="s">
        <v>186</v>
      </c>
      <c r="F706" t="s">
        <v>187</v>
      </c>
      <c r="G706">
        <v>4.1944444444444444E-2</v>
      </c>
      <c r="H706">
        <v>0</v>
      </c>
      <c r="J706">
        <v>30</v>
      </c>
      <c r="K706" t="s">
        <v>124</v>
      </c>
    </row>
    <row r="707" spans="1:11" ht="14.25" customHeight="1" x14ac:dyDescent="0.35">
      <c r="A707" t="s">
        <v>136</v>
      </c>
      <c r="B707" s="46">
        <v>46118</v>
      </c>
      <c r="C707" t="s">
        <v>90</v>
      </c>
      <c r="D707" t="s">
        <v>137</v>
      </c>
      <c r="E707" t="s">
        <v>196</v>
      </c>
      <c r="F707" t="s">
        <v>197</v>
      </c>
      <c r="G707">
        <v>0.13750000000000001</v>
      </c>
      <c r="H707">
        <v>0</v>
      </c>
      <c r="J707">
        <v>91</v>
      </c>
      <c r="K707" t="s">
        <v>124</v>
      </c>
    </row>
    <row r="708" spans="1:11" ht="14.25" customHeight="1" x14ac:dyDescent="0.35">
      <c r="A708" t="s">
        <v>136</v>
      </c>
      <c r="B708" s="46">
        <v>46118</v>
      </c>
      <c r="C708" t="s">
        <v>90</v>
      </c>
      <c r="D708" t="s">
        <v>137</v>
      </c>
      <c r="E708" t="s">
        <v>198</v>
      </c>
      <c r="F708" t="s">
        <v>199</v>
      </c>
      <c r="G708">
        <v>6.7500000000000004E-2</v>
      </c>
      <c r="H708">
        <v>0</v>
      </c>
      <c r="J708">
        <v>74</v>
      </c>
      <c r="K708" t="s">
        <v>124</v>
      </c>
    </row>
    <row r="709" spans="1:11" ht="14.25" customHeight="1" x14ac:dyDescent="0.35">
      <c r="A709" t="s">
        <v>136</v>
      </c>
      <c r="B709" s="46">
        <v>46118</v>
      </c>
      <c r="C709" t="s">
        <v>107</v>
      </c>
      <c r="D709" t="s">
        <v>137</v>
      </c>
      <c r="E709" t="s">
        <v>144</v>
      </c>
      <c r="F709" t="s">
        <v>145</v>
      </c>
      <c r="G709">
        <v>24</v>
      </c>
      <c r="H709">
        <v>0</v>
      </c>
      <c r="J709">
        <v>127</v>
      </c>
      <c r="K709" t="s">
        <v>124</v>
      </c>
    </row>
    <row r="710" spans="1:11" ht="14.25" customHeight="1" x14ac:dyDescent="0.35">
      <c r="A710" t="s">
        <v>136</v>
      </c>
      <c r="B710" s="46">
        <v>46118</v>
      </c>
      <c r="C710" t="s">
        <v>81</v>
      </c>
      <c r="D710" t="s">
        <v>137</v>
      </c>
      <c r="E710" t="s">
        <v>188</v>
      </c>
      <c r="F710" t="s">
        <v>189</v>
      </c>
      <c r="G710">
        <v>2.0486111111111112</v>
      </c>
      <c r="H710">
        <v>0</v>
      </c>
      <c r="J710">
        <v>245</v>
      </c>
      <c r="K710" t="s">
        <v>124</v>
      </c>
    </row>
    <row r="711" spans="1:11" ht="14.25" customHeight="1" x14ac:dyDescent="0.35">
      <c r="A711" t="s">
        <v>136</v>
      </c>
      <c r="B711" s="46">
        <v>46118</v>
      </c>
      <c r="C711" t="s">
        <v>81</v>
      </c>
      <c r="D711" t="s">
        <v>137</v>
      </c>
      <c r="E711" t="s">
        <v>164</v>
      </c>
      <c r="F711" t="s">
        <v>165</v>
      </c>
      <c r="G711">
        <v>7.0000000000000007E-2</v>
      </c>
      <c r="H711">
        <v>0</v>
      </c>
      <c r="J711">
        <v>48</v>
      </c>
      <c r="K711" t="s">
        <v>124</v>
      </c>
    </row>
    <row r="712" spans="1:11" ht="14.25" customHeight="1" x14ac:dyDescent="0.35">
      <c r="A712" t="s">
        <v>136</v>
      </c>
      <c r="B712" s="46">
        <v>46118</v>
      </c>
      <c r="C712" t="s">
        <v>81</v>
      </c>
      <c r="D712" t="s">
        <v>137</v>
      </c>
      <c r="E712" t="s">
        <v>168</v>
      </c>
      <c r="F712" t="s">
        <v>169</v>
      </c>
      <c r="G712">
        <v>9.2499999999999999E-2</v>
      </c>
      <c r="H712">
        <v>0</v>
      </c>
      <c r="J712">
        <v>35</v>
      </c>
      <c r="K712" t="s">
        <v>124</v>
      </c>
    </row>
    <row r="713" spans="1:11" ht="14.25" customHeight="1" x14ac:dyDescent="0.35">
      <c r="A713" t="s">
        <v>136</v>
      </c>
      <c r="B713" s="46">
        <v>46118</v>
      </c>
      <c r="C713" t="s">
        <v>81</v>
      </c>
      <c r="D713" t="s">
        <v>137</v>
      </c>
      <c r="E713" t="s">
        <v>170</v>
      </c>
      <c r="F713" t="s">
        <v>171</v>
      </c>
      <c r="G713">
        <v>3.3680555555555554</v>
      </c>
      <c r="H713">
        <v>0</v>
      </c>
      <c r="J713">
        <v>764</v>
      </c>
      <c r="K713" t="s">
        <v>124</v>
      </c>
    </row>
    <row r="714" spans="1:11" ht="14.25" customHeight="1" x14ac:dyDescent="0.35">
      <c r="A714" t="s">
        <v>136</v>
      </c>
      <c r="B714" s="46">
        <v>46118</v>
      </c>
      <c r="C714" t="s">
        <v>81</v>
      </c>
      <c r="D714" t="s">
        <v>137</v>
      </c>
      <c r="E714" t="s">
        <v>172</v>
      </c>
      <c r="F714" t="s">
        <v>173</v>
      </c>
      <c r="G714">
        <v>0.16666666666666666</v>
      </c>
      <c r="H714">
        <v>0</v>
      </c>
      <c r="J714">
        <v>302</v>
      </c>
      <c r="K714" t="s">
        <v>124</v>
      </c>
    </row>
    <row r="715" spans="1:11" ht="14.25" customHeight="1" x14ac:dyDescent="0.35">
      <c r="A715" t="s">
        <v>136</v>
      </c>
      <c r="B715" s="46">
        <v>46118</v>
      </c>
      <c r="C715" t="s">
        <v>81</v>
      </c>
      <c r="D715" t="s">
        <v>137</v>
      </c>
      <c r="E715" t="s">
        <v>176</v>
      </c>
      <c r="F715" t="s">
        <v>177</v>
      </c>
      <c r="G715">
        <v>1.653888888888889</v>
      </c>
      <c r="H715">
        <v>0</v>
      </c>
      <c r="J715">
        <v>0</v>
      </c>
      <c r="K715" t="s">
        <v>124</v>
      </c>
    </row>
    <row r="716" spans="1:11" ht="14.25" customHeight="1" x14ac:dyDescent="0.35">
      <c r="A716" t="s">
        <v>136</v>
      </c>
      <c r="B716" s="46">
        <v>46118</v>
      </c>
      <c r="C716" t="s">
        <v>81</v>
      </c>
      <c r="D716" t="s">
        <v>137</v>
      </c>
      <c r="E716" t="s">
        <v>194</v>
      </c>
      <c r="F716" t="s">
        <v>195</v>
      </c>
      <c r="G716">
        <v>1.263611111111111</v>
      </c>
      <c r="H716">
        <v>0</v>
      </c>
      <c r="J716">
        <v>115</v>
      </c>
      <c r="K716" t="s">
        <v>124</v>
      </c>
    </row>
    <row r="717" spans="1:11" ht="14.25" customHeight="1" x14ac:dyDescent="0.35">
      <c r="A717" t="s">
        <v>136</v>
      </c>
      <c r="B717" s="46">
        <v>46118</v>
      </c>
      <c r="C717" t="s">
        <v>81</v>
      </c>
      <c r="D717" t="s">
        <v>137</v>
      </c>
      <c r="E717" t="s">
        <v>148</v>
      </c>
      <c r="F717" t="s">
        <v>149</v>
      </c>
      <c r="G717">
        <v>0.255</v>
      </c>
      <c r="H717">
        <v>0</v>
      </c>
      <c r="J717">
        <v>0</v>
      </c>
      <c r="K717" t="s">
        <v>124</v>
      </c>
    </row>
    <row r="718" spans="1:11" ht="14.25" customHeight="1" x14ac:dyDescent="0.35">
      <c r="A718" t="s">
        <v>136</v>
      </c>
      <c r="B718" s="46">
        <v>46118</v>
      </c>
      <c r="C718" t="s">
        <v>81</v>
      </c>
      <c r="D718" t="s">
        <v>137</v>
      </c>
      <c r="E718" t="s">
        <v>196</v>
      </c>
      <c r="F718" t="s">
        <v>197</v>
      </c>
      <c r="G718">
        <v>0.59611111111111115</v>
      </c>
      <c r="H718">
        <v>0</v>
      </c>
      <c r="J718">
        <v>198</v>
      </c>
      <c r="K718" t="s">
        <v>124</v>
      </c>
    </row>
    <row r="719" spans="1:11" ht="14.25" customHeight="1" x14ac:dyDescent="0.35">
      <c r="A719" t="s">
        <v>136</v>
      </c>
      <c r="B719" s="46">
        <v>46118</v>
      </c>
      <c r="C719" t="s">
        <v>81</v>
      </c>
      <c r="D719" t="s">
        <v>137</v>
      </c>
      <c r="E719" t="s">
        <v>198</v>
      </c>
      <c r="F719" t="s">
        <v>199</v>
      </c>
      <c r="G719">
        <v>0.125</v>
      </c>
      <c r="H719">
        <v>0</v>
      </c>
      <c r="J719">
        <v>50</v>
      </c>
      <c r="K719" t="s">
        <v>124</v>
      </c>
    </row>
    <row r="720" spans="1:11" ht="14.25" customHeight="1" x14ac:dyDescent="0.35">
      <c r="A720" t="s">
        <v>136</v>
      </c>
      <c r="B720" s="46">
        <v>46118</v>
      </c>
      <c r="C720" t="s">
        <v>101</v>
      </c>
      <c r="D720" t="s">
        <v>137</v>
      </c>
      <c r="E720" t="s">
        <v>188</v>
      </c>
      <c r="F720" t="s">
        <v>189</v>
      </c>
      <c r="G720">
        <v>2.0836111111111113</v>
      </c>
      <c r="H720">
        <v>0</v>
      </c>
      <c r="J720">
        <v>251</v>
      </c>
      <c r="K720" t="s">
        <v>124</v>
      </c>
    </row>
    <row r="721" spans="1:11" ht="14.25" customHeight="1" x14ac:dyDescent="0.35">
      <c r="A721" t="s">
        <v>136</v>
      </c>
      <c r="B721" s="46">
        <v>46118</v>
      </c>
      <c r="C721" t="s">
        <v>101</v>
      </c>
      <c r="D721" t="s">
        <v>137</v>
      </c>
      <c r="E721" t="s">
        <v>164</v>
      </c>
      <c r="F721" t="s">
        <v>165</v>
      </c>
      <c r="G721">
        <v>0.3372222222222222</v>
      </c>
      <c r="H721">
        <v>0</v>
      </c>
      <c r="J721">
        <v>131</v>
      </c>
      <c r="K721" t="s">
        <v>124</v>
      </c>
    </row>
    <row r="722" spans="1:11" ht="14.25" customHeight="1" x14ac:dyDescent="0.35">
      <c r="A722" t="s">
        <v>136</v>
      </c>
      <c r="B722" s="46">
        <v>46118</v>
      </c>
      <c r="C722" t="s">
        <v>101</v>
      </c>
      <c r="D722" t="s">
        <v>137</v>
      </c>
      <c r="E722" t="s">
        <v>166</v>
      </c>
      <c r="F722" t="s">
        <v>167</v>
      </c>
      <c r="G722">
        <v>0.35666666666666669</v>
      </c>
      <c r="H722">
        <v>0</v>
      </c>
      <c r="J722">
        <v>554</v>
      </c>
      <c r="K722" t="s">
        <v>124</v>
      </c>
    </row>
    <row r="723" spans="1:11" ht="14.25" customHeight="1" x14ac:dyDescent="0.35">
      <c r="A723" t="s">
        <v>136</v>
      </c>
      <c r="B723" s="46">
        <v>46118</v>
      </c>
      <c r="C723" t="s">
        <v>101</v>
      </c>
      <c r="D723" t="s">
        <v>137</v>
      </c>
      <c r="E723" t="s">
        <v>202</v>
      </c>
      <c r="F723" t="s">
        <v>203</v>
      </c>
      <c r="G723">
        <v>0.40166666666666667</v>
      </c>
      <c r="H723">
        <v>0</v>
      </c>
      <c r="J723">
        <v>58</v>
      </c>
      <c r="K723" t="s">
        <v>124</v>
      </c>
    </row>
    <row r="724" spans="1:11" ht="14.25" customHeight="1" x14ac:dyDescent="0.35">
      <c r="A724" t="s">
        <v>136</v>
      </c>
      <c r="B724" s="46">
        <v>46118</v>
      </c>
      <c r="C724" t="s">
        <v>101</v>
      </c>
      <c r="D724" t="s">
        <v>137</v>
      </c>
      <c r="E724" t="s">
        <v>168</v>
      </c>
      <c r="F724" t="s">
        <v>169</v>
      </c>
      <c r="G724">
        <v>0.28111111111111109</v>
      </c>
      <c r="H724">
        <v>0</v>
      </c>
      <c r="J724">
        <v>74</v>
      </c>
      <c r="K724" t="s">
        <v>124</v>
      </c>
    </row>
    <row r="725" spans="1:11" ht="14.25" customHeight="1" x14ac:dyDescent="0.35">
      <c r="A725" t="s">
        <v>136</v>
      </c>
      <c r="B725" s="46">
        <v>46118</v>
      </c>
      <c r="C725" t="s">
        <v>101</v>
      </c>
      <c r="D725" t="s">
        <v>137</v>
      </c>
      <c r="E725" t="s">
        <v>170</v>
      </c>
      <c r="F725" t="s">
        <v>171</v>
      </c>
      <c r="G725">
        <v>3.2650000000000001</v>
      </c>
      <c r="H725">
        <v>0</v>
      </c>
      <c r="J725">
        <v>313</v>
      </c>
      <c r="K725" t="s">
        <v>124</v>
      </c>
    </row>
    <row r="726" spans="1:11" ht="14.25" customHeight="1" x14ac:dyDescent="0.35">
      <c r="A726" t="s">
        <v>136</v>
      </c>
      <c r="B726" s="46">
        <v>46118</v>
      </c>
      <c r="C726" t="s">
        <v>101</v>
      </c>
      <c r="D726" t="s">
        <v>137</v>
      </c>
      <c r="E726" t="s">
        <v>184</v>
      </c>
      <c r="F726" t="s">
        <v>185</v>
      </c>
      <c r="G726">
        <v>0.10111111111111111</v>
      </c>
      <c r="H726">
        <v>0</v>
      </c>
      <c r="J726">
        <v>28</v>
      </c>
      <c r="K726" t="s">
        <v>124</v>
      </c>
    </row>
    <row r="727" spans="1:11" ht="14.25" customHeight="1" x14ac:dyDescent="0.35">
      <c r="A727" t="s">
        <v>136</v>
      </c>
      <c r="B727" s="46">
        <v>46118</v>
      </c>
      <c r="C727" t="s">
        <v>101</v>
      </c>
      <c r="D727" t="s">
        <v>137</v>
      </c>
      <c r="E727" t="s">
        <v>172</v>
      </c>
      <c r="F727" t="s">
        <v>173</v>
      </c>
      <c r="G727">
        <v>0.11833333333333333</v>
      </c>
      <c r="H727">
        <v>0</v>
      </c>
      <c r="J727">
        <v>39</v>
      </c>
      <c r="K727" t="s">
        <v>124</v>
      </c>
    </row>
    <row r="728" spans="1:11" ht="14.25" customHeight="1" x14ac:dyDescent="0.35">
      <c r="A728" t="s">
        <v>136</v>
      </c>
      <c r="B728" s="46">
        <v>46118</v>
      </c>
      <c r="C728" t="s">
        <v>101</v>
      </c>
      <c r="D728" t="s">
        <v>137</v>
      </c>
      <c r="E728" t="s">
        <v>176</v>
      </c>
      <c r="F728" t="s">
        <v>177</v>
      </c>
      <c r="G728">
        <v>0.96722222222222221</v>
      </c>
      <c r="H728">
        <v>0</v>
      </c>
      <c r="J728">
        <v>234</v>
      </c>
      <c r="K728" t="s">
        <v>124</v>
      </c>
    </row>
    <row r="729" spans="1:11" ht="14.25" customHeight="1" x14ac:dyDescent="0.35">
      <c r="A729" t="s">
        <v>136</v>
      </c>
      <c r="B729" s="46">
        <v>46118</v>
      </c>
      <c r="C729" t="s">
        <v>101</v>
      </c>
      <c r="D729" t="s">
        <v>137</v>
      </c>
      <c r="E729" t="s">
        <v>178</v>
      </c>
      <c r="F729" t="s">
        <v>179</v>
      </c>
      <c r="G729">
        <v>5.4166666666666669E-2</v>
      </c>
      <c r="H729">
        <v>0</v>
      </c>
      <c r="J729">
        <v>31</v>
      </c>
      <c r="K729" t="s">
        <v>124</v>
      </c>
    </row>
    <row r="730" spans="1:11" ht="14.25" customHeight="1" x14ac:dyDescent="0.35">
      <c r="A730" t="s">
        <v>136</v>
      </c>
      <c r="B730" s="46">
        <v>46118</v>
      </c>
      <c r="C730" t="s">
        <v>101</v>
      </c>
      <c r="D730" t="s">
        <v>137</v>
      </c>
      <c r="E730" t="s">
        <v>194</v>
      </c>
      <c r="F730" t="s">
        <v>195</v>
      </c>
      <c r="G730">
        <v>7.2499999999999995E-2</v>
      </c>
      <c r="H730">
        <v>0</v>
      </c>
      <c r="J730">
        <v>19</v>
      </c>
      <c r="K730" t="s">
        <v>124</v>
      </c>
    </row>
    <row r="731" spans="1:11" ht="14.25" customHeight="1" x14ac:dyDescent="0.35">
      <c r="A731" t="s">
        <v>136</v>
      </c>
      <c r="B731" s="46">
        <v>46118</v>
      </c>
      <c r="C731" t="s">
        <v>101</v>
      </c>
      <c r="D731" t="s">
        <v>137</v>
      </c>
      <c r="E731" t="s">
        <v>152</v>
      </c>
      <c r="F731" t="s">
        <v>153</v>
      </c>
      <c r="G731">
        <v>0.91111111111111109</v>
      </c>
      <c r="H731">
        <v>0</v>
      </c>
      <c r="J731">
        <v>31</v>
      </c>
      <c r="K731" t="s">
        <v>124</v>
      </c>
    </row>
    <row r="732" spans="1:11" ht="14.25" customHeight="1" x14ac:dyDescent="0.35">
      <c r="A732" t="s">
        <v>136</v>
      </c>
      <c r="B732" s="46">
        <v>46118</v>
      </c>
      <c r="C732" t="s">
        <v>101</v>
      </c>
      <c r="D732" t="s">
        <v>137</v>
      </c>
      <c r="E732" t="s">
        <v>186</v>
      </c>
      <c r="F732" t="s">
        <v>187</v>
      </c>
      <c r="G732">
        <v>0.16694444444444445</v>
      </c>
      <c r="H732">
        <v>0</v>
      </c>
      <c r="J732">
        <v>29</v>
      </c>
      <c r="K732" t="s">
        <v>124</v>
      </c>
    </row>
    <row r="733" spans="1:11" ht="14.25" customHeight="1" x14ac:dyDescent="0.35">
      <c r="A733" t="s">
        <v>136</v>
      </c>
      <c r="B733" s="46">
        <v>46118</v>
      </c>
      <c r="C733" t="s">
        <v>101</v>
      </c>
      <c r="D733" t="s">
        <v>137</v>
      </c>
      <c r="E733" t="s">
        <v>196</v>
      </c>
      <c r="F733" t="s">
        <v>197</v>
      </c>
      <c r="G733">
        <v>1.9177777777777778</v>
      </c>
      <c r="H733">
        <v>0</v>
      </c>
      <c r="J733">
        <v>150</v>
      </c>
      <c r="K733" t="s">
        <v>124</v>
      </c>
    </row>
    <row r="734" spans="1:11" ht="14.25" customHeight="1" x14ac:dyDescent="0.35">
      <c r="A734" t="s">
        <v>136</v>
      </c>
      <c r="B734" s="46">
        <v>46118</v>
      </c>
      <c r="C734" t="s">
        <v>101</v>
      </c>
      <c r="D734" t="s">
        <v>137</v>
      </c>
      <c r="E734" t="s">
        <v>198</v>
      </c>
      <c r="F734" t="s">
        <v>199</v>
      </c>
      <c r="G734">
        <v>6.0277777777777777E-2</v>
      </c>
      <c r="H734">
        <v>0</v>
      </c>
      <c r="J734">
        <v>40</v>
      </c>
      <c r="K734" t="s">
        <v>124</v>
      </c>
    </row>
    <row r="735" spans="1:11" ht="14.25" customHeight="1" x14ac:dyDescent="0.35">
      <c r="A735" t="s">
        <v>136</v>
      </c>
      <c r="B735" s="46">
        <v>46118</v>
      </c>
      <c r="C735" t="s">
        <v>95</v>
      </c>
      <c r="D735" t="s">
        <v>137</v>
      </c>
      <c r="E735" t="s">
        <v>188</v>
      </c>
      <c r="F735" t="s">
        <v>189</v>
      </c>
      <c r="G735">
        <v>1.013611111111111</v>
      </c>
      <c r="H735">
        <v>0</v>
      </c>
      <c r="J735">
        <v>173</v>
      </c>
      <c r="K735" t="s">
        <v>124</v>
      </c>
    </row>
    <row r="736" spans="1:11" ht="14.25" customHeight="1" x14ac:dyDescent="0.35">
      <c r="A736" t="s">
        <v>136</v>
      </c>
      <c r="B736" s="46">
        <v>46118</v>
      </c>
      <c r="C736" t="s">
        <v>95</v>
      </c>
      <c r="D736" t="s">
        <v>137</v>
      </c>
      <c r="E736" t="s">
        <v>180</v>
      </c>
      <c r="F736" t="s">
        <v>181</v>
      </c>
      <c r="G736">
        <v>0.12583333333333332</v>
      </c>
      <c r="H736">
        <v>0</v>
      </c>
      <c r="J736">
        <v>69</v>
      </c>
      <c r="K736" t="s">
        <v>124</v>
      </c>
    </row>
    <row r="737" spans="1:11" ht="14.25" customHeight="1" x14ac:dyDescent="0.35">
      <c r="A737" t="s">
        <v>136</v>
      </c>
      <c r="B737" s="46">
        <v>46118</v>
      </c>
      <c r="C737" t="s">
        <v>95</v>
      </c>
      <c r="D737" t="s">
        <v>137</v>
      </c>
      <c r="E737" t="s">
        <v>164</v>
      </c>
      <c r="F737" t="s">
        <v>165</v>
      </c>
      <c r="G737">
        <v>0.11833333333333333</v>
      </c>
      <c r="H737">
        <v>0</v>
      </c>
      <c r="J737">
        <v>38</v>
      </c>
      <c r="K737" t="s">
        <v>124</v>
      </c>
    </row>
    <row r="738" spans="1:11" ht="14.25" customHeight="1" x14ac:dyDescent="0.35">
      <c r="A738" t="s">
        <v>136</v>
      </c>
      <c r="B738" s="46">
        <v>46118</v>
      </c>
      <c r="C738" t="s">
        <v>95</v>
      </c>
      <c r="D738" t="s">
        <v>137</v>
      </c>
      <c r="E738" t="s">
        <v>172</v>
      </c>
      <c r="F738" t="s">
        <v>173</v>
      </c>
      <c r="G738">
        <v>7.8611111111111118E-2</v>
      </c>
      <c r="H738">
        <v>0</v>
      </c>
      <c r="J738">
        <v>52</v>
      </c>
      <c r="K738" t="s">
        <v>124</v>
      </c>
    </row>
    <row r="739" spans="1:11" ht="14.25" customHeight="1" x14ac:dyDescent="0.35">
      <c r="A739" t="s">
        <v>136</v>
      </c>
      <c r="B739" s="46">
        <v>46118</v>
      </c>
      <c r="C739" t="s">
        <v>95</v>
      </c>
      <c r="D739" t="s">
        <v>137</v>
      </c>
      <c r="E739" t="s">
        <v>176</v>
      </c>
      <c r="F739" t="s">
        <v>177</v>
      </c>
      <c r="G739">
        <v>2.911111111111111</v>
      </c>
      <c r="H739">
        <v>0</v>
      </c>
      <c r="J739">
        <v>1004</v>
      </c>
      <c r="K739" t="s">
        <v>124</v>
      </c>
    </row>
    <row r="740" spans="1:11" ht="14.25" customHeight="1" x14ac:dyDescent="0.35">
      <c r="A740" t="s">
        <v>136</v>
      </c>
      <c r="B740" s="46">
        <v>46118</v>
      </c>
      <c r="C740" t="s">
        <v>95</v>
      </c>
      <c r="D740" t="s">
        <v>137</v>
      </c>
      <c r="E740" t="s">
        <v>178</v>
      </c>
      <c r="F740" t="s">
        <v>179</v>
      </c>
      <c r="G740">
        <v>0.85111111111111115</v>
      </c>
      <c r="H740">
        <v>0</v>
      </c>
      <c r="J740">
        <v>0</v>
      </c>
      <c r="K740" t="s">
        <v>124</v>
      </c>
    </row>
    <row r="741" spans="1:11" ht="14.25" customHeight="1" x14ac:dyDescent="0.35">
      <c r="A741" t="s">
        <v>136</v>
      </c>
      <c r="B741" s="46">
        <v>46118</v>
      </c>
      <c r="C741" t="s">
        <v>95</v>
      </c>
      <c r="D741" t="s">
        <v>137</v>
      </c>
      <c r="E741" t="s">
        <v>194</v>
      </c>
      <c r="F741" t="s">
        <v>195</v>
      </c>
      <c r="G741">
        <v>5.9444444444444446E-2</v>
      </c>
      <c r="H741">
        <v>0</v>
      </c>
      <c r="J741">
        <v>36</v>
      </c>
      <c r="K741" t="s">
        <v>124</v>
      </c>
    </row>
    <row r="742" spans="1:11" ht="14.25" customHeight="1" x14ac:dyDescent="0.35">
      <c r="A742" t="s">
        <v>136</v>
      </c>
      <c r="B742" s="46">
        <v>46118</v>
      </c>
      <c r="C742" t="s">
        <v>95</v>
      </c>
      <c r="D742" t="s">
        <v>137</v>
      </c>
      <c r="E742" t="s">
        <v>152</v>
      </c>
      <c r="F742" t="s">
        <v>153</v>
      </c>
      <c r="G742">
        <v>0.85194444444444439</v>
      </c>
      <c r="H742">
        <v>0</v>
      </c>
      <c r="J742">
        <v>15</v>
      </c>
      <c r="K742" t="s">
        <v>124</v>
      </c>
    </row>
    <row r="743" spans="1:11" ht="14.25" customHeight="1" x14ac:dyDescent="0.35">
      <c r="A743" t="s">
        <v>136</v>
      </c>
      <c r="B743" s="46">
        <v>46118</v>
      </c>
      <c r="C743" t="s">
        <v>95</v>
      </c>
      <c r="D743" t="s">
        <v>137</v>
      </c>
      <c r="E743" t="s">
        <v>186</v>
      </c>
      <c r="F743" t="s">
        <v>187</v>
      </c>
      <c r="G743">
        <v>1.0383333333333333</v>
      </c>
      <c r="H743">
        <v>0</v>
      </c>
      <c r="J743">
        <v>162</v>
      </c>
      <c r="K743" t="s">
        <v>124</v>
      </c>
    </row>
    <row r="744" spans="1:11" ht="14.25" customHeight="1" x14ac:dyDescent="0.35">
      <c r="A744" t="s">
        <v>136</v>
      </c>
      <c r="B744" s="46">
        <v>46118</v>
      </c>
      <c r="C744" t="s">
        <v>95</v>
      </c>
      <c r="D744" t="s">
        <v>137</v>
      </c>
      <c r="E744" t="s">
        <v>196</v>
      </c>
      <c r="F744" t="s">
        <v>197</v>
      </c>
      <c r="G744">
        <v>0.79305555555555551</v>
      </c>
      <c r="H744">
        <v>0</v>
      </c>
      <c r="J744">
        <v>97</v>
      </c>
      <c r="K744" t="s">
        <v>124</v>
      </c>
    </row>
    <row r="745" spans="1:11" ht="14.25" customHeight="1" x14ac:dyDescent="0.35">
      <c r="A745" t="s">
        <v>136</v>
      </c>
      <c r="B745" s="46">
        <v>46118</v>
      </c>
      <c r="C745" t="s">
        <v>95</v>
      </c>
      <c r="D745" t="s">
        <v>137</v>
      </c>
      <c r="E745" t="s">
        <v>198</v>
      </c>
      <c r="F745" t="s">
        <v>199</v>
      </c>
      <c r="G745">
        <v>2.9325000000000001</v>
      </c>
      <c r="H745">
        <v>0</v>
      </c>
      <c r="J745">
        <v>143</v>
      </c>
      <c r="K745" t="s">
        <v>124</v>
      </c>
    </row>
    <row r="746" spans="1:11" ht="14.25" customHeight="1" x14ac:dyDescent="0.35">
      <c r="A746" t="s">
        <v>136</v>
      </c>
      <c r="B746" s="46">
        <v>46118</v>
      </c>
      <c r="C746" t="s">
        <v>86</v>
      </c>
      <c r="D746" t="s">
        <v>137</v>
      </c>
      <c r="E746" t="s">
        <v>188</v>
      </c>
      <c r="F746" t="s">
        <v>189</v>
      </c>
      <c r="G746">
        <v>5.3633333333333333</v>
      </c>
      <c r="H746">
        <v>0</v>
      </c>
      <c r="J746">
        <v>160</v>
      </c>
      <c r="K746" t="s">
        <v>124</v>
      </c>
    </row>
    <row r="747" spans="1:11" x14ac:dyDescent="0.35">
      <c r="A747" t="s">
        <v>136</v>
      </c>
      <c r="B747" s="46">
        <v>46118</v>
      </c>
      <c r="C747" t="s">
        <v>86</v>
      </c>
      <c r="D747" t="s">
        <v>137</v>
      </c>
      <c r="E747" t="s">
        <v>180</v>
      </c>
      <c r="F747" t="s">
        <v>181</v>
      </c>
      <c r="G747">
        <v>0.13027777777777777</v>
      </c>
      <c r="H747">
        <v>0</v>
      </c>
      <c r="J747">
        <v>14</v>
      </c>
      <c r="K747" t="s">
        <v>124</v>
      </c>
    </row>
    <row r="748" spans="1:11" x14ac:dyDescent="0.35">
      <c r="A748" t="s">
        <v>136</v>
      </c>
      <c r="B748" s="46">
        <v>46118</v>
      </c>
      <c r="C748" t="s">
        <v>86</v>
      </c>
      <c r="D748" t="s">
        <v>137</v>
      </c>
      <c r="E748" t="s">
        <v>166</v>
      </c>
      <c r="F748" t="s">
        <v>167</v>
      </c>
      <c r="G748">
        <v>1.3569444444444445</v>
      </c>
      <c r="H748">
        <v>0</v>
      </c>
      <c r="J748">
        <v>54</v>
      </c>
      <c r="K748" t="s">
        <v>124</v>
      </c>
    </row>
    <row r="749" spans="1:11" x14ac:dyDescent="0.35">
      <c r="A749" t="s">
        <v>136</v>
      </c>
      <c r="B749" s="46">
        <v>46118</v>
      </c>
      <c r="C749" t="s">
        <v>86</v>
      </c>
      <c r="D749" t="s">
        <v>137</v>
      </c>
      <c r="E749" t="s">
        <v>168</v>
      </c>
      <c r="F749" t="s">
        <v>169</v>
      </c>
      <c r="G749">
        <v>0.5788888888888889</v>
      </c>
      <c r="H749">
        <v>0</v>
      </c>
      <c r="J749">
        <v>104</v>
      </c>
      <c r="K749" t="s">
        <v>124</v>
      </c>
    </row>
    <row r="750" spans="1:11" x14ac:dyDescent="0.35">
      <c r="A750" t="s">
        <v>136</v>
      </c>
      <c r="B750" s="46">
        <v>46118</v>
      </c>
      <c r="C750" t="s">
        <v>86</v>
      </c>
      <c r="D750" t="s">
        <v>137</v>
      </c>
      <c r="E750" t="s">
        <v>170</v>
      </c>
      <c r="F750" t="s">
        <v>171</v>
      </c>
      <c r="G750">
        <v>0.91500000000000004</v>
      </c>
      <c r="H750">
        <v>0</v>
      </c>
      <c r="J750">
        <v>38</v>
      </c>
      <c r="K750" t="s">
        <v>124</v>
      </c>
    </row>
    <row r="751" spans="1:11" x14ac:dyDescent="0.35">
      <c r="A751" t="s">
        <v>136</v>
      </c>
      <c r="B751" s="46">
        <v>46118</v>
      </c>
      <c r="C751" t="s">
        <v>86</v>
      </c>
      <c r="D751" t="s">
        <v>137</v>
      </c>
      <c r="E751" t="s">
        <v>184</v>
      </c>
      <c r="F751" t="s">
        <v>185</v>
      </c>
      <c r="G751">
        <v>0.2902777777777778</v>
      </c>
      <c r="H751">
        <v>0</v>
      </c>
      <c r="J751">
        <v>67</v>
      </c>
      <c r="K751" t="s">
        <v>124</v>
      </c>
    </row>
    <row r="752" spans="1:11" x14ac:dyDescent="0.35">
      <c r="A752" t="s">
        <v>136</v>
      </c>
      <c r="B752" s="46">
        <v>46118</v>
      </c>
      <c r="C752" t="s">
        <v>86</v>
      </c>
      <c r="D752" t="s">
        <v>137</v>
      </c>
      <c r="E752" t="s">
        <v>182</v>
      </c>
      <c r="F752" t="s">
        <v>183</v>
      </c>
      <c r="G752">
        <v>9.6944444444444444E-2</v>
      </c>
      <c r="H752">
        <v>0</v>
      </c>
      <c r="J752">
        <v>54</v>
      </c>
      <c r="K752" t="s">
        <v>124</v>
      </c>
    </row>
    <row r="753" spans="1:11" x14ac:dyDescent="0.35">
      <c r="A753" t="s">
        <v>136</v>
      </c>
      <c r="B753" s="46">
        <v>46118</v>
      </c>
      <c r="C753" t="s">
        <v>86</v>
      </c>
      <c r="D753" t="s">
        <v>137</v>
      </c>
      <c r="E753" t="s">
        <v>200</v>
      </c>
      <c r="F753" t="s">
        <v>201</v>
      </c>
      <c r="G753">
        <v>2.6388888888888889E-2</v>
      </c>
      <c r="H753">
        <v>0</v>
      </c>
      <c r="J753">
        <v>32</v>
      </c>
      <c r="K753" t="s">
        <v>124</v>
      </c>
    </row>
    <row r="754" spans="1:11" x14ac:dyDescent="0.35">
      <c r="A754" t="s">
        <v>136</v>
      </c>
      <c r="B754" s="46">
        <v>46118</v>
      </c>
      <c r="C754" t="s">
        <v>86</v>
      </c>
      <c r="D754" t="s">
        <v>137</v>
      </c>
      <c r="E754" t="s">
        <v>172</v>
      </c>
      <c r="F754" t="s">
        <v>173</v>
      </c>
      <c r="G754">
        <v>0.37555555555555553</v>
      </c>
      <c r="H754">
        <v>0</v>
      </c>
      <c r="J754">
        <v>76</v>
      </c>
      <c r="K754" t="s">
        <v>124</v>
      </c>
    </row>
    <row r="755" spans="1:11" x14ac:dyDescent="0.35">
      <c r="A755" t="s">
        <v>136</v>
      </c>
      <c r="B755" s="46">
        <v>46118</v>
      </c>
      <c r="C755" t="s">
        <v>86</v>
      </c>
      <c r="D755" t="s">
        <v>137</v>
      </c>
      <c r="E755" t="s">
        <v>176</v>
      </c>
      <c r="F755" t="s">
        <v>177</v>
      </c>
      <c r="G755">
        <v>0.3363888888888889</v>
      </c>
      <c r="H755">
        <v>0</v>
      </c>
      <c r="J755">
        <v>186</v>
      </c>
      <c r="K755" t="s">
        <v>124</v>
      </c>
    </row>
    <row r="756" spans="1:11" x14ac:dyDescent="0.35">
      <c r="A756" t="s">
        <v>136</v>
      </c>
      <c r="B756" s="46">
        <v>46118</v>
      </c>
      <c r="C756" t="s">
        <v>86</v>
      </c>
      <c r="D756" t="s">
        <v>137</v>
      </c>
      <c r="E756" t="s">
        <v>194</v>
      </c>
      <c r="F756" t="s">
        <v>195</v>
      </c>
      <c r="G756">
        <v>7.194444444444445E-2</v>
      </c>
      <c r="H756">
        <v>0</v>
      </c>
      <c r="J756">
        <v>46</v>
      </c>
      <c r="K756" t="s">
        <v>124</v>
      </c>
    </row>
    <row r="757" spans="1:11" x14ac:dyDescent="0.35">
      <c r="A757" t="s">
        <v>136</v>
      </c>
      <c r="B757" s="46">
        <v>46118</v>
      </c>
      <c r="C757" t="s">
        <v>86</v>
      </c>
      <c r="D757" t="s">
        <v>137</v>
      </c>
      <c r="E757" t="s">
        <v>152</v>
      </c>
      <c r="F757" t="s">
        <v>153</v>
      </c>
      <c r="G757">
        <v>0.1986111111111111</v>
      </c>
      <c r="H757">
        <v>0</v>
      </c>
      <c r="J757">
        <v>0</v>
      </c>
      <c r="K757" t="s">
        <v>124</v>
      </c>
    </row>
    <row r="758" spans="1:11" x14ac:dyDescent="0.35">
      <c r="A758" t="s">
        <v>136</v>
      </c>
      <c r="B758" s="46">
        <v>46118</v>
      </c>
      <c r="C758" t="s">
        <v>86</v>
      </c>
      <c r="D758" t="s">
        <v>137</v>
      </c>
      <c r="E758" t="s">
        <v>186</v>
      </c>
      <c r="F758" t="s">
        <v>187</v>
      </c>
      <c r="G758">
        <v>2.3055555555555555E-2</v>
      </c>
      <c r="H758">
        <v>0</v>
      </c>
      <c r="J758">
        <v>21</v>
      </c>
      <c r="K758" t="s">
        <v>124</v>
      </c>
    </row>
    <row r="759" spans="1:11" x14ac:dyDescent="0.35">
      <c r="A759" t="s">
        <v>136</v>
      </c>
      <c r="B759" s="46">
        <v>46118</v>
      </c>
      <c r="C759" t="s">
        <v>86</v>
      </c>
      <c r="D759" t="s">
        <v>137</v>
      </c>
      <c r="E759" t="s">
        <v>196</v>
      </c>
      <c r="F759" t="s">
        <v>197</v>
      </c>
      <c r="G759">
        <v>8.638888888888889E-2</v>
      </c>
      <c r="H759">
        <v>0</v>
      </c>
      <c r="J759">
        <v>81</v>
      </c>
      <c r="K759" t="s">
        <v>124</v>
      </c>
    </row>
    <row r="760" spans="1:11" x14ac:dyDescent="0.35">
      <c r="A760" t="s">
        <v>136</v>
      </c>
      <c r="B760" s="46">
        <v>46118</v>
      </c>
      <c r="C760" t="s">
        <v>86</v>
      </c>
      <c r="D760" t="s">
        <v>137</v>
      </c>
      <c r="E760" t="s">
        <v>198</v>
      </c>
      <c r="F760" t="s">
        <v>199</v>
      </c>
      <c r="G760">
        <v>7.6111111111111115E-2</v>
      </c>
      <c r="H760">
        <v>0</v>
      </c>
      <c r="J760">
        <v>80</v>
      </c>
      <c r="K760" t="s">
        <v>124</v>
      </c>
    </row>
    <row r="761" spans="1:11" x14ac:dyDescent="0.35">
      <c r="A761" t="s">
        <v>136</v>
      </c>
      <c r="B761" s="46">
        <v>46118</v>
      </c>
      <c r="C761" t="s">
        <v>88</v>
      </c>
      <c r="D761" t="s">
        <v>137</v>
      </c>
      <c r="E761" t="s">
        <v>180</v>
      </c>
      <c r="F761" t="s">
        <v>181</v>
      </c>
      <c r="G761">
        <v>1.585</v>
      </c>
      <c r="H761">
        <v>0</v>
      </c>
      <c r="J761">
        <v>1913</v>
      </c>
      <c r="K761" t="s">
        <v>124</v>
      </c>
    </row>
    <row r="762" spans="1:11" x14ac:dyDescent="0.35">
      <c r="A762" t="s">
        <v>136</v>
      </c>
      <c r="B762" s="46">
        <v>46118</v>
      </c>
      <c r="C762" t="s">
        <v>88</v>
      </c>
      <c r="D762" t="s">
        <v>137</v>
      </c>
      <c r="E762" t="s">
        <v>164</v>
      </c>
      <c r="F762" t="s">
        <v>165</v>
      </c>
      <c r="G762">
        <v>0.14194444444444446</v>
      </c>
      <c r="H762">
        <v>0</v>
      </c>
      <c r="J762">
        <v>47</v>
      </c>
      <c r="K762" t="s">
        <v>124</v>
      </c>
    </row>
    <row r="763" spans="1:11" x14ac:dyDescent="0.35">
      <c r="A763" t="s">
        <v>136</v>
      </c>
      <c r="B763" s="46">
        <v>46118</v>
      </c>
      <c r="C763" t="s">
        <v>88</v>
      </c>
      <c r="D763" t="s">
        <v>137</v>
      </c>
      <c r="E763" t="s">
        <v>166</v>
      </c>
      <c r="F763" t="s">
        <v>167</v>
      </c>
      <c r="G763">
        <v>0.22944444444444445</v>
      </c>
      <c r="H763">
        <v>0</v>
      </c>
      <c r="J763">
        <v>0</v>
      </c>
      <c r="K763" t="s">
        <v>124</v>
      </c>
    </row>
    <row r="764" spans="1:11" x14ac:dyDescent="0.35">
      <c r="A764" t="s">
        <v>136</v>
      </c>
      <c r="B764" s="46">
        <v>46118</v>
      </c>
      <c r="C764" t="s">
        <v>88</v>
      </c>
      <c r="D764" t="s">
        <v>137</v>
      </c>
      <c r="E764" t="s">
        <v>204</v>
      </c>
      <c r="F764" t="s">
        <v>205</v>
      </c>
      <c r="G764">
        <v>0.72722222222222221</v>
      </c>
      <c r="H764">
        <v>0</v>
      </c>
      <c r="J764">
        <v>94</v>
      </c>
      <c r="K764" t="s">
        <v>124</v>
      </c>
    </row>
    <row r="765" spans="1:11" x14ac:dyDescent="0.35">
      <c r="A765" t="s">
        <v>136</v>
      </c>
      <c r="B765" s="46">
        <v>46118</v>
      </c>
      <c r="C765" t="s">
        <v>88</v>
      </c>
      <c r="D765" t="s">
        <v>137</v>
      </c>
      <c r="E765" t="s">
        <v>168</v>
      </c>
      <c r="F765" t="s">
        <v>169</v>
      </c>
      <c r="G765">
        <v>0.74972222222222218</v>
      </c>
      <c r="H765">
        <v>0</v>
      </c>
      <c r="J765">
        <v>73</v>
      </c>
      <c r="K765" t="s">
        <v>124</v>
      </c>
    </row>
    <row r="766" spans="1:11" x14ac:dyDescent="0.35">
      <c r="A766" t="s">
        <v>136</v>
      </c>
      <c r="B766" s="46">
        <v>46118</v>
      </c>
      <c r="C766" t="s">
        <v>88</v>
      </c>
      <c r="D766" t="s">
        <v>137</v>
      </c>
      <c r="E766" t="s">
        <v>170</v>
      </c>
      <c r="F766" t="s">
        <v>171</v>
      </c>
      <c r="G766">
        <v>0.57833333333333337</v>
      </c>
      <c r="H766">
        <v>0</v>
      </c>
      <c r="J766">
        <v>74</v>
      </c>
      <c r="K766" t="s">
        <v>124</v>
      </c>
    </row>
    <row r="767" spans="1:11" x14ac:dyDescent="0.35">
      <c r="A767" t="s">
        <v>136</v>
      </c>
      <c r="B767" s="46">
        <v>46118</v>
      </c>
      <c r="C767" t="s">
        <v>88</v>
      </c>
      <c r="D767" t="s">
        <v>137</v>
      </c>
      <c r="E767" t="s">
        <v>200</v>
      </c>
      <c r="F767" t="s">
        <v>201</v>
      </c>
      <c r="G767">
        <v>1.8386111111111112</v>
      </c>
      <c r="H767">
        <v>0</v>
      </c>
      <c r="J767">
        <v>243</v>
      </c>
      <c r="K767" t="s">
        <v>124</v>
      </c>
    </row>
    <row r="768" spans="1:11" x14ac:dyDescent="0.35">
      <c r="A768" t="s">
        <v>136</v>
      </c>
      <c r="B768" s="46">
        <v>46118</v>
      </c>
      <c r="C768" t="s">
        <v>88</v>
      </c>
      <c r="D768" t="s">
        <v>137</v>
      </c>
      <c r="E768" t="s">
        <v>172</v>
      </c>
      <c r="F768" t="s">
        <v>173</v>
      </c>
      <c r="G768">
        <v>0.42888888888888888</v>
      </c>
      <c r="H768">
        <v>0</v>
      </c>
      <c r="J768">
        <v>154</v>
      </c>
      <c r="K768" t="s">
        <v>124</v>
      </c>
    </row>
    <row r="769" spans="1:11" x14ac:dyDescent="0.35">
      <c r="A769" t="s">
        <v>136</v>
      </c>
      <c r="B769" s="46">
        <v>46118</v>
      </c>
      <c r="C769" t="s">
        <v>88</v>
      </c>
      <c r="D769" t="s">
        <v>137</v>
      </c>
      <c r="E769" t="s">
        <v>176</v>
      </c>
      <c r="F769" t="s">
        <v>177</v>
      </c>
      <c r="G769">
        <v>0.41944444444444445</v>
      </c>
      <c r="H769">
        <v>0</v>
      </c>
      <c r="J769">
        <v>248</v>
      </c>
      <c r="K769" t="s">
        <v>124</v>
      </c>
    </row>
    <row r="770" spans="1:11" x14ac:dyDescent="0.35">
      <c r="A770" t="s">
        <v>136</v>
      </c>
      <c r="B770" s="46">
        <v>46118</v>
      </c>
      <c r="C770" t="s">
        <v>88</v>
      </c>
      <c r="D770" t="s">
        <v>137</v>
      </c>
      <c r="E770" t="s">
        <v>196</v>
      </c>
      <c r="F770" t="s">
        <v>197</v>
      </c>
      <c r="G770">
        <v>0.2361111111111111</v>
      </c>
      <c r="H770">
        <v>0</v>
      </c>
      <c r="J770">
        <v>170</v>
      </c>
      <c r="K770" t="s">
        <v>124</v>
      </c>
    </row>
    <row r="771" spans="1:11" x14ac:dyDescent="0.35">
      <c r="A771" t="s">
        <v>136</v>
      </c>
      <c r="B771" s="46">
        <v>46118</v>
      </c>
      <c r="C771" t="s">
        <v>88</v>
      </c>
      <c r="D771" t="s">
        <v>137</v>
      </c>
      <c r="E771" t="s">
        <v>198</v>
      </c>
      <c r="F771" t="s">
        <v>199</v>
      </c>
      <c r="G771">
        <v>0.90166666666666662</v>
      </c>
      <c r="H771">
        <v>0</v>
      </c>
      <c r="J771">
        <v>242</v>
      </c>
      <c r="K771" t="s">
        <v>124</v>
      </c>
    </row>
    <row r="772" spans="1:11" x14ac:dyDescent="0.35">
      <c r="A772" t="s">
        <v>136</v>
      </c>
      <c r="B772" s="46">
        <v>46118</v>
      </c>
      <c r="C772" t="s">
        <v>100</v>
      </c>
      <c r="D772" t="s">
        <v>137</v>
      </c>
      <c r="E772" t="s">
        <v>164</v>
      </c>
      <c r="F772" t="s">
        <v>165</v>
      </c>
      <c r="G772">
        <v>6.1944444444444448E-2</v>
      </c>
      <c r="H772">
        <v>0</v>
      </c>
      <c r="J772">
        <v>26</v>
      </c>
      <c r="K772" t="s">
        <v>124</v>
      </c>
    </row>
    <row r="773" spans="1:11" x14ac:dyDescent="0.35">
      <c r="A773" t="s">
        <v>136</v>
      </c>
      <c r="B773" s="46">
        <v>46118</v>
      </c>
      <c r="C773" t="s">
        <v>100</v>
      </c>
      <c r="D773" t="s">
        <v>137</v>
      </c>
      <c r="E773" t="s">
        <v>170</v>
      </c>
      <c r="F773" t="s">
        <v>171</v>
      </c>
      <c r="G773">
        <v>1.5552777777777778</v>
      </c>
      <c r="H773">
        <v>0</v>
      </c>
      <c r="J773">
        <v>346</v>
      </c>
      <c r="K773" t="s">
        <v>124</v>
      </c>
    </row>
    <row r="774" spans="1:11" x14ac:dyDescent="0.35">
      <c r="A774" t="s">
        <v>136</v>
      </c>
      <c r="B774" s="46">
        <v>46118</v>
      </c>
      <c r="C774" t="s">
        <v>100</v>
      </c>
      <c r="D774" t="s">
        <v>137</v>
      </c>
      <c r="E774" t="s">
        <v>176</v>
      </c>
      <c r="F774" t="s">
        <v>177</v>
      </c>
      <c r="G774">
        <v>1.4875</v>
      </c>
      <c r="H774">
        <v>0</v>
      </c>
      <c r="J774">
        <v>69</v>
      </c>
      <c r="K774" t="s">
        <v>124</v>
      </c>
    </row>
    <row r="775" spans="1:11" x14ac:dyDescent="0.35">
      <c r="A775" t="s">
        <v>136</v>
      </c>
      <c r="B775" s="46">
        <v>46118</v>
      </c>
      <c r="C775" t="s">
        <v>100</v>
      </c>
      <c r="D775" t="s">
        <v>137</v>
      </c>
      <c r="E775" t="s">
        <v>194</v>
      </c>
      <c r="F775" t="s">
        <v>195</v>
      </c>
      <c r="G775">
        <v>3.0833333333333334E-2</v>
      </c>
      <c r="H775">
        <v>0</v>
      </c>
      <c r="J775">
        <v>52</v>
      </c>
      <c r="K775" t="s">
        <v>124</v>
      </c>
    </row>
    <row r="776" spans="1:11" x14ac:dyDescent="0.35">
      <c r="A776" t="s">
        <v>136</v>
      </c>
      <c r="B776" s="46">
        <v>46118</v>
      </c>
      <c r="C776" t="s">
        <v>100</v>
      </c>
      <c r="D776" t="s">
        <v>137</v>
      </c>
      <c r="E776" t="s">
        <v>186</v>
      </c>
      <c r="F776" t="s">
        <v>187</v>
      </c>
      <c r="G776">
        <v>0.18305555555555555</v>
      </c>
      <c r="H776">
        <v>0</v>
      </c>
      <c r="J776">
        <v>38</v>
      </c>
      <c r="K776" t="s">
        <v>124</v>
      </c>
    </row>
    <row r="777" spans="1:11" x14ac:dyDescent="0.35">
      <c r="A777" t="s">
        <v>136</v>
      </c>
      <c r="B777" s="46">
        <v>46118</v>
      </c>
      <c r="C777" t="s">
        <v>100</v>
      </c>
      <c r="D777" t="s">
        <v>137</v>
      </c>
      <c r="E777" t="s">
        <v>196</v>
      </c>
      <c r="F777" t="s">
        <v>197</v>
      </c>
      <c r="G777">
        <v>0.14361111111111111</v>
      </c>
      <c r="H777">
        <v>0</v>
      </c>
      <c r="J777">
        <v>105</v>
      </c>
      <c r="K777" t="s">
        <v>124</v>
      </c>
    </row>
    <row r="778" spans="1:11" x14ac:dyDescent="0.35">
      <c r="A778" t="s">
        <v>136</v>
      </c>
      <c r="B778" s="46">
        <v>46118</v>
      </c>
      <c r="C778" t="s">
        <v>100</v>
      </c>
      <c r="D778" t="s">
        <v>137</v>
      </c>
      <c r="E778" t="s">
        <v>198</v>
      </c>
      <c r="F778" t="s">
        <v>199</v>
      </c>
      <c r="G778">
        <v>1.3472222222222223</v>
      </c>
      <c r="H778">
        <v>0</v>
      </c>
      <c r="J778">
        <v>208</v>
      </c>
      <c r="K778" t="s">
        <v>124</v>
      </c>
    </row>
    <row r="779" spans="1:11" x14ac:dyDescent="0.35">
      <c r="A779" t="s">
        <v>136</v>
      </c>
      <c r="B779" s="46">
        <v>46118</v>
      </c>
      <c r="C779" t="s">
        <v>93</v>
      </c>
      <c r="D779" t="s">
        <v>137</v>
      </c>
      <c r="E779" t="s">
        <v>164</v>
      </c>
      <c r="F779" t="s">
        <v>165</v>
      </c>
      <c r="G779">
        <v>0.15083333333333335</v>
      </c>
      <c r="H779">
        <v>0</v>
      </c>
      <c r="J779">
        <v>36</v>
      </c>
      <c r="K779" t="s">
        <v>124</v>
      </c>
    </row>
    <row r="780" spans="1:11" x14ac:dyDescent="0.35">
      <c r="A780" t="s">
        <v>136</v>
      </c>
      <c r="B780" s="46">
        <v>46118</v>
      </c>
      <c r="C780" t="s">
        <v>93</v>
      </c>
      <c r="D780" t="s">
        <v>137</v>
      </c>
      <c r="E780" t="s">
        <v>200</v>
      </c>
      <c r="F780" t="s">
        <v>201</v>
      </c>
      <c r="G780">
        <v>0.24111111111111111</v>
      </c>
      <c r="H780">
        <v>0</v>
      </c>
      <c r="J780">
        <v>74</v>
      </c>
      <c r="K780" t="s">
        <v>124</v>
      </c>
    </row>
    <row r="781" spans="1:11" x14ac:dyDescent="0.35">
      <c r="A781" t="s">
        <v>136</v>
      </c>
      <c r="B781" s="46">
        <v>46118</v>
      </c>
      <c r="C781" t="s">
        <v>93</v>
      </c>
      <c r="D781" t="s">
        <v>137</v>
      </c>
      <c r="E781" t="s">
        <v>176</v>
      </c>
      <c r="F781" t="s">
        <v>177</v>
      </c>
      <c r="G781">
        <v>5.2222222222222225E-2</v>
      </c>
      <c r="H781">
        <v>0</v>
      </c>
      <c r="J781">
        <v>163</v>
      </c>
      <c r="K781" t="s">
        <v>124</v>
      </c>
    </row>
    <row r="782" spans="1:11" x14ac:dyDescent="0.35">
      <c r="A782" t="s">
        <v>136</v>
      </c>
      <c r="B782" s="46">
        <v>46118</v>
      </c>
      <c r="C782" t="s">
        <v>93</v>
      </c>
      <c r="D782" t="s">
        <v>137</v>
      </c>
      <c r="E782" t="s">
        <v>186</v>
      </c>
      <c r="F782" t="s">
        <v>187</v>
      </c>
      <c r="G782">
        <v>6.1944444444444448E-2</v>
      </c>
      <c r="H782">
        <v>0</v>
      </c>
      <c r="J782">
        <v>15</v>
      </c>
      <c r="K782" t="s">
        <v>124</v>
      </c>
    </row>
    <row r="783" spans="1:11" x14ac:dyDescent="0.35">
      <c r="A783" t="s">
        <v>136</v>
      </c>
      <c r="B783" s="46">
        <v>46118</v>
      </c>
      <c r="C783" t="s">
        <v>93</v>
      </c>
      <c r="D783" t="s">
        <v>137</v>
      </c>
      <c r="E783" t="s">
        <v>196</v>
      </c>
      <c r="F783" t="s">
        <v>197</v>
      </c>
      <c r="G783">
        <v>0.11472222222222223</v>
      </c>
      <c r="H783">
        <v>0</v>
      </c>
      <c r="J783">
        <v>121</v>
      </c>
      <c r="K783" t="s">
        <v>124</v>
      </c>
    </row>
    <row r="784" spans="1:11" x14ac:dyDescent="0.35">
      <c r="A784" t="s">
        <v>136</v>
      </c>
      <c r="B784" s="46">
        <v>46118</v>
      </c>
      <c r="C784" t="s">
        <v>99</v>
      </c>
      <c r="D784" t="s">
        <v>137</v>
      </c>
      <c r="E784" t="s">
        <v>166</v>
      </c>
      <c r="F784" t="s">
        <v>167</v>
      </c>
      <c r="G784">
        <v>6.9166666666666668E-2</v>
      </c>
      <c r="H784">
        <v>0</v>
      </c>
      <c r="J784">
        <v>45</v>
      </c>
      <c r="K784" t="s">
        <v>124</v>
      </c>
    </row>
    <row r="785" spans="1:11" x14ac:dyDescent="0.35">
      <c r="A785" t="s">
        <v>136</v>
      </c>
      <c r="B785" s="46">
        <v>46118</v>
      </c>
      <c r="C785" t="s">
        <v>99</v>
      </c>
      <c r="D785" t="s">
        <v>137</v>
      </c>
      <c r="E785" t="s">
        <v>172</v>
      </c>
      <c r="F785" t="s">
        <v>173</v>
      </c>
      <c r="G785">
        <v>0.16166666666666665</v>
      </c>
      <c r="H785">
        <v>0</v>
      </c>
      <c r="J785">
        <v>0</v>
      </c>
      <c r="K785" t="s">
        <v>124</v>
      </c>
    </row>
    <row r="786" spans="1:11" x14ac:dyDescent="0.35">
      <c r="A786" t="s">
        <v>136</v>
      </c>
      <c r="B786" s="46">
        <v>46118</v>
      </c>
      <c r="C786" t="s">
        <v>99</v>
      </c>
      <c r="D786" t="s">
        <v>137</v>
      </c>
      <c r="E786" t="s">
        <v>176</v>
      </c>
      <c r="F786" t="s">
        <v>177</v>
      </c>
      <c r="G786">
        <v>7.6813888888888888</v>
      </c>
      <c r="H786">
        <v>0</v>
      </c>
      <c r="J786">
        <v>185</v>
      </c>
      <c r="K786" t="s">
        <v>124</v>
      </c>
    </row>
    <row r="787" spans="1:11" x14ac:dyDescent="0.35">
      <c r="A787" t="s">
        <v>136</v>
      </c>
      <c r="B787" s="46">
        <v>46118</v>
      </c>
      <c r="C787" t="s">
        <v>99</v>
      </c>
      <c r="D787" t="s">
        <v>137</v>
      </c>
      <c r="E787" t="s">
        <v>178</v>
      </c>
      <c r="F787" t="s">
        <v>179</v>
      </c>
      <c r="G787">
        <v>0.13194444444444445</v>
      </c>
      <c r="H787">
        <v>0</v>
      </c>
      <c r="J787">
        <v>23</v>
      </c>
      <c r="K787" t="s">
        <v>124</v>
      </c>
    </row>
    <row r="788" spans="1:11" x14ac:dyDescent="0.35">
      <c r="A788" t="s">
        <v>136</v>
      </c>
      <c r="B788" s="46">
        <v>46118</v>
      </c>
      <c r="C788" t="s">
        <v>99</v>
      </c>
      <c r="D788" t="s">
        <v>137</v>
      </c>
      <c r="E788" t="s">
        <v>194</v>
      </c>
      <c r="F788" t="s">
        <v>195</v>
      </c>
      <c r="G788">
        <v>2.6875</v>
      </c>
      <c r="H788">
        <v>0</v>
      </c>
      <c r="J788">
        <v>100</v>
      </c>
      <c r="K788" t="s">
        <v>124</v>
      </c>
    </row>
    <row r="789" spans="1:11" x14ac:dyDescent="0.35">
      <c r="A789" t="s">
        <v>136</v>
      </c>
      <c r="B789" s="46">
        <v>46118</v>
      </c>
      <c r="C789" t="s">
        <v>99</v>
      </c>
      <c r="D789" t="s">
        <v>137</v>
      </c>
      <c r="E789" t="s">
        <v>196</v>
      </c>
      <c r="F789" t="s">
        <v>197</v>
      </c>
      <c r="G789">
        <v>1.0702777777777779</v>
      </c>
      <c r="H789">
        <v>0</v>
      </c>
      <c r="J789">
        <v>176</v>
      </c>
      <c r="K789" t="s">
        <v>124</v>
      </c>
    </row>
    <row r="790" spans="1:11" x14ac:dyDescent="0.35">
      <c r="A790" t="s">
        <v>136</v>
      </c>
      <c r="B790" s="46">
        <v>46118</v>
      </c>
      <c r="C790" t="s">
        <v>99</v>
      </c>
      <c r="D790" t="s">
        <v>137</v>
      </c>
      <c r="E790" t="s">
        <v>198</v>
      </c>
      <c r="F790" t="s">
        <v>199</v>
      </c>
      <c r="G790">
        <v>1.1255555555555556</v>
      </c>
      <c r="H790">
        <v>0</v>
      </c>
      <c r="J790">
        <v>108</v>
      </c>
      <c r="K790" t="s">
        <v>124</v>
      </c>
    </row>
    <row r="791" spans="1:11" x14ac:dyDescent="0.35">
      <c r="A791" t="s">
        <v>136</v>
      </c>
      <c r="B791" s="46">
        <v>46118</v>
      </c>
      <c r="C791" t="s">
        <v>98</v>
      </c>
      <c r="D791" t="s">
        <v>137</v>
      </c>
      <c r="E791" t="s">
        <v>180</v>
      </c>
      <c r="F791" t="s">
        <v>181</v>
      </c>
      <c r="G791">
        <v>3.6111111111111108E-2</v>
      </c>
      <c r="H791">
        <v>0</v>
      </c>
      <c r="J791">
        <v>20</v>
      </c>
      <c r="K791" t="s">
        <v>124</v>
      </c>
    </row>
    <row r="792" spans="1:11" x14ac:dyDescent="0.35">
      <c r="A792" t="s">
        <v>136</v>
      </c>
      <c r="B792" s="46">
        <v>46118</v>
      </c>
      <c r="C792" t="s">
        <v>98</v>
      </c>
      <c r="D792" t="s">
        <v>137</v>
      </c>
      <c r="E792" t="s">
        <v>164</v>
      </c>
      <c r="F792" t="s">
        <v>165</v>
      </c>
      <c r="G792">
        <v>8.9166666666666672E-2</v>
      </c>
      <c r="H792">
        <v>0</v>
      </c>
      <c r="J792">
        <v>51</v>
      </c>
      <c r="K792" t="s">
        <v>124</v>
      </c>
    </row>
    <row r="793" spans="1:11" x14ac:dyDescent="0.35">
      <c r="A793" t="s">
        <v>136</v>
      </c>
      <c r="B793" s="46">
        <v>46118</v>
      </c>
      <c r="C793" t="s">
        <v>98</v>
      </c>
      <c r="D793" t="s">
        <v>137</v>
      </c>
      <c r="E793" t="s">
        <v>168</v>
      </c>
      <c r="F793" t="s">
        <v>169</v>
      </c>
      <c r="G793">
        <v>1.5691666666666666</v>
      </c>
      <c r="H793">
        <v>0</v>
      </c>
      <c r="J793">
        <v>87</v>
      </c>
      <c r="K793" t="s">
        <v>124</v>
      </c>
    </row>
    <row r="794" spans="1:11" x14ac:dyDescent="0.35">
      <c r="A794" t="s">
        <v>136</v>
      </c>
      <c r="B794" s="46">
        <v>46118</v>
      </c>
      <c r="C794" t="s">
        <v>98</v>
      </c>
      <c r="D794" t="s">
        <v>137</v>
      </c>
      <c r="E794" t="s">
        <v>170</v>
      </c>
      <c r="F794" t="s">
        <v>171</v>
      </c>
      <c r="G794">
        <v>6.2063888888888892</v>
      </c>
      <c r="H794">
        <v>0</v>
      </c>
      <c r="J794">
        <v>25</v>
      </c>
      <c r="K794" t="s">
        <v>124</v>
      </c>
    </row>
    <row r="795" spans="1:11" x14ac:dyDescent="0.35">
      <c r="A795" t="s">
        <v>136</v>
      </c>
      <c r="B795" s="46">
        <v>46118</v>
      </c>
      <c r="C795" t="s">
        <v>98</v>
      </c>
      <c r="D795" t="s">
        <v>137</v>
      </c>
      <c r="E795" t="s">
        <v>182</v>
      </c>
      <c r="F795" t="s">
        <v>183</v>
      </c>
      <c r="G795">
        <v>0.54805555555555552</v>
      </c>
      <c r="H795">
        <v>0</v>
      </c>
      <c r="J795">
        <v>152</v>
      </c>
      <c r="K795" t="s">
        <v>124</v>
      </c>
    </row>
    <row r="796" spans="1:11" x14ac:dyDescent="0.35">
      <c r="A796" t="s">
        <v>136</v>
      </c>
      <c r="B796" s="46">
        <v>46118</v>
      </c>
      <c r="C796" t="s">
        <v>98</v>
      </c>
      <c r="D796" t="s">
        <v>137</v>
      </c>
      <c r="E796" t="s">
        <v>200</v>
      </c>
      <c r="F796" t="s">
        <v>201</v>
      </c>
      <c r="G796">
        <v>0.57138888888888884</v>
      </c>
      <c r="H796">
        <v>0</v>
      </c>
      <c r="J796">
        <v>103</v>
      </c>
      <c r="K796" t="s">
        <v>124</v>
      </c>
    </row>
    <row r="797" spans="1:11" x14ac:dyDescent="0.35">
      <c r="A797" t="s">
        <v>136</v>
      </c>
      <c r="B797" s="46">
        <v>46118</v>
      </c>
      <c r="C797" t="s">
        <v>98</v>
      </c>
      <c r="D797" t="s">
        <v>137</v>
      </c>
      <c r="E797" t="s">
        <v>172</v>
      </c>
      <c r="F797" t="s">
        <v>173</v>
      </c>
      <c r="G797">
        <v>7.4444444444444438E-2</v>
      </c>
      <c r="H797">
        <v>0</v>
      </c>
      <c r="J797">
        <v>45</v>
      </c>
      <c r="K797" t="s">
        <v>124</v>
      </c>
    </row>
    <row r="798" spans="1:11" x14ac:dyDescent="0.35">
      <c r="A798" t="s">
        <v>136</v>
      </c>
      <c r="B798" s="46">
        <v>46118</v>
      </c>
      <c r="C798" t="s">
        <v>98</v>
      </c>
      <c r="D798" t="s">
        <v>137</v>
      </c>
      <c r="E798" t="s">
        <v>176</v>
      </c>
      <c r="F798" t="s">
        <v>177</v>
      </c>
      <c r="G798">
        <v>0.87277777777777776</v>
      </c>
      <c r="H798">
        <v>0</v>
      </c>
      <c r="J798">
        <v>222</v>
      </c>
      <c r="K798" t="s">
        <v>124</v>
      </c>
    </row>
    <row r="799" spans="1:11" x14ac:dyDescent="0.35">
      <c r="A799" t="s">
        <v>136</v>
      </c>
      <c r="B799" s="46">
        <v>46118</v>
      </c>
      <c r="C799" t="s">
        <v>98</v>
      </c>
      <c r="D799" t="s">
        <v>137</v>
      </c>
      <c r="E799" t="s">
        <v>194</v>
      </c>
      <c r="F799" t="s">
        <v>195</v>
      </c>
      <c r="G799">
        <v>1.0277777777777778E-2</v>
      </c>
      <c r="H799">
        <v>0</v>
      </c>
      <c r="J799">
        <v>0</v>
      </c>
      <c r="K799" t="s">
        <v>124</v>
      </c>
    </row>
    <row r="800" spans="1:11" x14ac:dyDescent="0.35">
      <c r="A800" t="s">
        <v>136</v>
      </c>
      <c r="B800" s="46">
        <v>46118</v>
      </c>
      <c r="C800" t="s">
        <v>98</v>
      </c>
      <c r="D800" t="s">
        <v>137</v>
      </c>
      <c r="E800" t="s">
        <v>196</v>
      </c>
      <c r="F800" t="s">
        <v>197</v>
      </c>
      <c r="G800">
        <v>7.8333333333333338E-2</v>
      </c>
      <c r="H800">
        <v>0</v>
      </c>
      <c r="J800">
        <v>72</v>
      </c>
      <c r="K800" t="s">
        <v>124</v>
      </c>
    </row>
    <row r="801" spans="1:11" x14ac:dyDescent="0.35">
      <c r="A801" t="s">
        <v>136</v>
      </c>
      <c r="B801" s="46">
        <v>46118</v>
      </c>
      <c r="C801" t="s">
        <v>98</v>
      </c>
      <c r="D801" t="s">
        <v>137</v>
      </c>
      <c r="E801" t="s">
        <v>198</v>
      </c>
      <c r="F801" t="s">
        <v>199</v>
      </c>
      <c r="G801">
        <v>4.9911111111111115</v>
      </c>
      <c r="H801">
        <v>0</v>
      </c>
      <c r="J801">
        <v>309</v>
      </c>
      <c r="K801" t="s">
        <v>124</v>
      </c>
    </row>
    <row r="802" spans="1:11" x14ac:dyDescent="0.35">
      <c r="A802" t="s">
        <v>136</v>
      </c>
      <c r="B802" s="46">
        <v>46118</v>
      </c>
      <c r="C802" t="s">
        <v>97</v>
      </c>
      <c r="D802" t="s">
        <v>137</v>
      </c>
      <c r="E802" t="s">
        <v>166</v>
      </c>
      <c r="F802" t="s">
        <v>167</v>
      </c>
      <c r="G802">
        <v>1.1411111111111112</v>
      </c>
      <c r="H802">
        <v>0</v>
      </c>
      <c r="J802">
        <v>190</v>
      </c>
      <c r="K802" t="s">
        <v>124</v>
      </c>
    </row>
    <row r="803" spans="1:11" x14ac:dyDescent="0.35">
      <c r="A803" t="s">
        <v>136</v>
      </c>
      <c r="B803" s="46">
        <v>46118</v>
      </c>
      <c r="C803" t="s">
        <v>97</v>
      </c>
      <c r="D803" t="s">
        <v>137</v>
      </c>
      <c r="E803" t="s">
        <v>170</v>
      </c>
      <c r="F803" t="s">
        <v>171</v>
      </c>
      <c r="G803">
        <v>3.3333333333333335E-3</v>
      </c>
      <c r="H803">
        <v>0</v>
      </c>
      <c r="J803">
        <v>0</v>
      </c>
      <c r="K803" t="s">
        <v>124</v>
      </c>
    </row>
    <row r="804" spans="1:11" x14ac:dyDescent="0.35">
      <c r="A804" t="s">
        <v>136</v>
      </c>
      <c r="B804" s="46">
        <v>46118</v>
      </c>
      <c r="C804" t="s">
        <v>97</v>
      </c>
      <c r="D804" t="s">
        <v>137</v>
      </c>
      <c r="E804" t="s">
        <v>144</v>
      </c>
      <c r="F804" t="s">
        <v>145</v>
      </c>
      <c r="G804">
        <v>2.4830555555555556</v>
      </c>
      <c r="H804">
        <v>0</v>
      </c>
      <c r="J804">
        <v>299</v>
      </c>
      <c r="K804" t="s">
        <v>124</v>
      </c>
    </row>
    <row r="805" spans="1:11" x14ac:dyDescent="0.35">
      <c r="A805" t="s">
        <v>136</v>
      </c>
      <c r="B805" s="46">
        <v>46118</v>
      </c>
      <c r="C805" t="s">
        <v>97</v>
      </c>
      <c r="D805" t="s">
        <v>137</v>
      </c>
      <c r="E805" t="s">
        <v>176</v>
      </c>
      <c r="F805" t="s">
        <v>177</v>
      </c>
      <c r="G805">
        <v>0.37583333333333335</v>
      </c>
      <c r="H805">
        <v>0</v>
      </c>
      <c r="J805">
        <v>156</v>
      </c>
      <c r="K805" t="s">
        <v>124</v>
      </c>
    </row>
    <row r="806" spans="1:11" x14ac:dyDescent="0.35">
      <c r="A806" t="s">
        <v>136</v>
      </c>
      <c r="B806" s="46">
        <v>46118</v>
      </c>
      <c r="C806" t="s">
        <v>97</v>
      </c>
      <c r="D806" t="s">
        <v>137</v>
      </c>
      <c r="E806" t="s">
        <v>186</v>
      </c>
      <c r="F806" t="s">
        <v>187</v>
      </c>
      <c r="G806">
        <v>16.275277777777777</v>
      </c>
      <c r="H806">
        <v>0</v>
      </c>
      <c r="J806">
        <v>8</v>
      </c>
      <c r="K806" t="s">
        <v>124</v>
      </c>
    </row>
    <row r="807" spans="1:11" x14ac:dyDescent="0.35">
      <c r="A807" t="s">
        <v>136</v>
      </c>
      <c r="B807" s="46">
        <v>46118</v>
      </c>
      <c r="C807" t="s">
        <v>84</v>
      </c>
      <c r="D807" t="s">
        <v>137</v>
      </c>
      <c r="E807" t="s">
        <v>164</v>
      </c>
      <c r="F807" t="s">
        <v>165</v>
      </c>
      <c r="G807">
        <v>0.38666666666666666</v>
      </c>
      <c r="H807">
        <v>0</v>
      </c>
      <c r="J807">
        <v>52</v>
      </c>
      <c r="K807" t="s">
        <v>124</v>
      </c>
    </row>
    <row r="808" spans="1:11" x14ac:dyDescent="0.35">
      <c r="A808" t="s">
        <v>136</v>
      </c>
      <c r="B808" s="46">
        <v>46118</v>
      </c>
      <c r="C808" t="s">
        <v>84</v>
      </c>
      <c r="D808" t="s">
        <v>137</v>
      </c>
      <c r="E808" t="s">
        <v>166</v>
      </c>
      <c r="F808" t="s">
        <v>167</v>
      </c>
      <c r="G808">
        <v>0.84972222222222227</v>
      </c>
      <c r="H808">
        <v>0</v>
      </c>
      <c r="J808">
        <v>62</v>
      </c>
      <c r="K808" t="s">
        <v>124</v>
      </c>
    </row>
    <row r="809" spans="1:11" x14ac:dyDescent="0.35">
      <c r="A809" t="s">
        <v>136</v>
      </c>
      <c r="B809" s="46">
        <v>46118</v>
      </c>
      <c r="C809" t="s">
        <v>84</v>
      </c>
      <c r="D809" t="s">
        <v>137</v>
      </c>
      <c r="E809" t="s">
        <v>190</v>
      </c>
      <c r="F809" t="s">
        <v>191</v>
      </c>
      <c r="G809">
        <v>6.871666666666667</v>
      </c>
      <c r="H809">
        <v>0</v>
      </c>
      <c r="J809">
        <v>97</v>
      </c>
      <c r="K809" t="s">
        <v>124</v>
      </c>
    </row>
    <row r="810" spans="1:11" x14ac:dyDescent="0.35">
      <c r="A810" t="s">
        <v>136</v>
      </c>
      <c r="B810" s="46">
        <v>46118</v>
      </c>
      <c r="C810" t="s">
        <v>84</v>
      </c>
      <c r="D810" t="s">
        <v>137</v>
      </c>
      <c r="E810" t="s">
        <v>184</v>
      </c>
      <c r="F810" t="s">
        <v>185</v>
      </c>
      <c r="G810">
        <v>0.31555555555555553</v>
      </c>
      <c r="H810">
        <v>0</v>
      </c>
      <c r="J810">
        <v>0</v>
      </c>
      <c r="K810" t="s">
        <v>124</v>
      </c>
    </row>
    <row r="811" spans="1:11" x14ac:dyDescent="0.35">
      <c r="A811" t="s">
        <v>136</v>
      </c>
      <c r="B811" s="46">
        <v>46118</v>
      </c>
      <c r="C811" t="s">
        <v>84</v>
      </c>
      <c r="D811" t="s">
        <v>137</v>
      </c>
      <c r="E811" t="s">
        <v>174</v>
      </c>
      <c r="F811" t="s">
        <v>175</v>
      </c>
      <c r="G811">
        <v>0.18027777777777779</v>
      </c>
      <c r="H811">
        <v>0</v>
      </c>
      <c r="J811">
        <v>133</v>
      </c>
      <c r="K811" t="s">
        <v>124</v>
      </c>
    </row>
    <row r="812" spans="1:11" x14ac:dyDescent="0.35">
      <c r="A812" t="s">
        <v>136</v>
      </c>
      <c r="B812" s="46">
        <v>46118</v>
      </c>
      <c r="C812" t="s">
        <v>84</v>
      </c>
      <c r="D812" t="s">
        <v>137</v>
      </c>
      <c r="E812" t="s">
        <v>176</v>
      </c>
      <c r="F812" t="s">
        <v>177</v>
      </c>
      <c r="G812">
        <v>2.1858333333333335</v>
      </c>
      <c r="H812">
        <v>0</v>
      </c>
      <c r="J812">
        <v>289</v>
      </c>
      <c r="K812" t="s">
        <v>124</v>
      </c>
    </row>
    <row r="813" spans="1:11" x14ac:dyDescent="0.35">
      <c r="A813" t="s">
        <v>136</v>
      </c>
      <c r="B813" s="46">
        <v>46118</v>
      </c>
      <c r="C813" t="s">
        <v>84</v>
      </c>
      <c r="D813" t="s">
        <v>137</v>
      </c>
      <c r="E813" t="s">
        <v>194</v>
      </c>
      <c r="F813" t="s">
        <v>195</v>
      </c>
      <c r="G813">
        <v>3.3888888888888892E-2</v>
      </c>
      <c r="H813">
        <v>0</v>
      </c>
      <c r="J813">
        <v>24</v>
      </c>
      <c r="K813" t="s">
        <v>124</v>
      </c>
    </row>
    <row r="814" spans="1:11" x14ac:dyDescent="0.35">
      <c r="A814" t="s">
        <v>136</v>
      </c>
      <c r="B814" s="46">
        <v>46118</v>
      </c>
      <c r="C814" t="s">
        <v>84</v>
      </c>
      <c r="D814" t="s">
        <v>137</v>
      </c>
      <c r="E814" t="s">
        <v>196</v>
      </c>
      <c r="F814" t="s">
        <v>197</v>
      </c>
      <c r="G814">
        <v>1.8291666666666666</v>
      </c>
      <c r="H814">
        <v>0</v>
      </c>
      <c r="J814">
        <v>187</v>
      </c>
      <c r="K814" t="s">
        <v>124</v>
      </c>
    </row>
    <row r="815" spans="1:11" x14ac:dyDescent="0.35">
      <c r="A815" t="s">
        <v>136</v>
      </c>
      <c r="B815" s="46">
        <v>46118</v>
      </c>
      <c r="C815" t="s">
        <v>84</v>
      </c>
      <c r="D815" t="s">
        <v>137</v>
      </c>
      <c r="E815" t="s">
        <v>198</v>
      </c>
      <c r="F815" t="s">
        <v>199</v>
      </c>
      <c r="G815">
        <v>0.21972222222222224</v>
      </c>
      <c r="H815">
        <v>0</v>
      </c>
      <c r="J815">
        <v>126</v>
      </c>
      <c r="K815" t="s">
        <v>124</v>
      </c>
    </row>
    <row r="816" spans="1:11" x14ac:dyDescent="0.35">
      <c r="A816" t="s">
        <v>136</v>
      </c>
      <c r="B816" s="46">
        <v>46118</v>
      </c>
      <c r="C816" t="s">
        <v>106</v>
      </c>
      <c r="D816" t="s">
        <v>137</v>
      </c>
      <c r="E816" t="s">
        <v>164</v>
      </c>
      <c r="F816" t="s">
        <v>165</v>
      </c>
      <c r="G816">
        <v>7.9722222222222222E-2</v>
      </c>
      <c r="H816">
        <v>0</v>
      </c>
      <c r="J816">
        <v>97</v>
      </c>
      <c r="K816" t="s">
        <v>124</v>
      </c>
    </row>
    <row r="817" spans="1:11" x14ac:dyDescent="0.35">
      <c r="A817" t="s">
        <v>136</v>
      </c>
      <c r="B817" s="46">
        <v>46118</v>
      </c>
      <c r="C817" t="s">
        <v>106</v>
      </c>
      <c r="D817" t="s">
        <v>137</v>
      </c>
      <c r="E817" t="s">
        <v>166</v>
      </c>
      <c r="F817" t="s">
        <v>167</v>
      </c>
      <c r="G817">
        <v>0.29638888888888887</v>
      </c>
      <c r="H817">
        <v>0</v>
      </c>
      <c r="J817">
        <v>168</v>
      </c>
      <c r="K817" t="s">
        <v>124</v>
      </c>
    </row>
    <row r="818" spans="1:11" x14ac:dyDescent="0.35">
      <c r="A818" t="s">
        <v>136</v>
      </c>
      <c r="B818" s="46">
        <v>46118</v>
      </c>
      <c r="C818" t="s">
        <v>106</v>
      </c>
      <c r="D818" t="s">
        <v>137</v>
      </c>
      <c r="E818" t="s">
        <v>170</v>
      </c>
      <c r="F818" t="s">
        <v>171</v>
      </c>
      <c r="G818">
        <v>2.411111111111111</v>
      </c>
      <c r="H818">
        <v>0</v>
      </c>
      <c r="J818">
        <v>118</v>
      </c>
      <c r="K818" t="s">
        <v>124</v>
      </c>
    </row>
    <row r="819" spans="1:11" x14ac:dyDescent="0.35">
      <c r="A819" t="s">
        <v>136</v>
      </c>
      <c r="B819" s="46">
        <v>46118</v>
      </c>
      <c r="C819" t="s">
        <v>106</v>
      </c>
      <c r="D819" t="s">
        <v>137</v>
      </c>
      <c r="E819" t="s">
        <v>200</v>
      </c>
      <c r="F819" t="s">
        <v>201</v>
      </c>
      <c r="G819">
        <v>1.6272222222222221</v>
      </c>
      <c r="H819">
        <v>0</v>
      </c>
      <c r="J819">
        <v>293</v>
      </c>
      <c r="K819" t="s">
        <v>124</v>
      </c>
    </row>
    <row r="820" spans="1:11" x14ac:dyDescent="0.35">
      <c r="A820" t="s">
        <v>136</v>
      </c>
      <c r="B820" s="46">
        <v>46118</v>
      </c>
      <c r="C820" t="s">
        <v>106</v>
      </c>
      <c r="D820" t="s">
        <v>137</v>
      </c>
      <c r="E820" t="s">
        <v>176</v>
      </c>
      <c r="F820" t="s">
        <v>177</v>
      </c>
      <c r="G820">
        <v>0.23472222222222222</v>
      </c>
      <c r="H820">
        <v>0</v>
      </c>
      <c r="J820">
        <v>153</v>
      </c>
      <c r="K820" t="s">
        <v>124</v>
      </c>
    </row>
    <row r="821" spans="1:11" x14ac:dyDescent="0.35">
      <c r="A821" t="s">
        <v>136</v>
      </c>
      <c r="B821" s="46">
        <v>46118</v>
      </c>
      <c r="C821" t="s">
        <v>106</v>
      </c>
      <c r="D821" t="s">
        <v>137</v>
      </c>
      <c r="E821" t="s">
        <v>178</v>
      </c>
      <c r="F821" t="s">
        <v>179</v>
      </c>
      <c r="G821">
        <v>0.21666666666666667</v>
      </c>
      <c r="H821">
        <v>0</v>
      </c>
      <c r="J821">
        <v>108</v>
      </c>
      <c r="K821" t="s">
        <v>124</v>
      </c>
    </row>
    <row r="822" spans="1:11" x14ac:dyDescent="0.35">
      <c r="A822" t="s">
        <v>136</v>
      </c>
      <c r="B822" s="46">
        <v>46118</v>
      </c>
      <c r="C822" t="s">
        <v>106</v>
      </c>
      <c r="D822" t="s">
        <v>137</v>
      </c>
      <c r="E822" t="s">
        <v>194</v>
      </c>
      <c r="F822" t="s">
        <v>195</v>
      </c>
      <c r="G822">
        <v>0.20527777777777778</v>
      </c>
      <c r="H822">
        <v>0</v>
      </c>
      <c r="J822">
        <v>283</v>
      </c>
      <c r="K822" t="s">
        <v>124</v>
      </c>
    </row>
    <row r="823" spans="1:11" x14ac:dyDescent="0.35">
      <c r="A823" t="s">
        <v>136</v>
      </c>
      <c r="B823" s="46">
        <v>46118</v>
      </c>
      <c r="C823" t="s">
        <v>106</v>
      </c>
      <c r="D823" t="s">
        <v>137</v>
      </c>
      <c r="E823" t="s">
        <v>196</v>
      </c>
      <c r="F823" t="s">
        <v>197</v>
      </c>
      <c r="G823">
        <v>6.1111111111111114E-3</v>
      </c>
      <c r="H823">
        <v>0</v>
      </c>
      <c r="J823">
        <v>22</v>
      </c>
      <c r="K823" t="s">
        <v>124</v>
      </c>
    </row>
    <row r="824" spans="1:11" x14ac:dyDescent="0.35">
      <c r="A824" t="s">
        <v>136</v>
      </c>
      <c r="B824" s="46">
        <v>46118</v>
      </c>
      <c r="C824" t="s">
        <v>106</v>
      </c>
      <c r="D824" t="s">
        <v>137</v>
      </c>
      <c r="E824" t="s">
        <v>198</v>
      </c>
      <c r="F824" t="s">
        <v>199</v>
      </c>
      <c r="G824">
        <v>0.31833333333333336</v>
      </c>
      <c r="H824">
        <v>0</v>
      </c>
      <c r="J824">
        <v>115</v>
      </c>
      <c r="K824" t="s">
        <v>124</v>
      </c>
    </row>
    <row r="825" spans="1:11" x14ac:dyDescent="0.35">
      <c r="A825" t="s">
        <v>136</v>
      </c>
      <c r="B825" s="46">
        <v>46118</v>
      </c>
      <c r="C825" t="s">
        <v>85</v>
      </c>
      <c r="D825" t="s">
        <v>137</v>
      </c>
      <c r="E825" t="s">
        <v>180</v>
      </c>
      <c r="F825" t="s">
        <v>181</v>
      </c>
      <c r="G825">
        <v>1.5933333333333333</v>
      </c>
      <c r="H825">
        <v>0</v>
      </c>
      <c r="J825">
        <v>169</v>
      </c>
      <c r="K825" t="s">
        <v>124</v>
      </c>
    </row>
    <row r="826" spans="1:11" x14ac:dyDescent="0.35">
      <c r="A826" t="s">
        <v>136</v>
      </c>
      <c r="B826" s="46">
        <v>46118</v>
      </c>
      <c r="C826" t="s">
        <v>85</v>
      </c>
      <c r="D826" t="s">
        <v>137</v>
      </c>
      <c r="E826" t="s">
        <v>164</v>
      </c>
      <c r="F826" t="s">
        <v>165</v>
      </c>
      <c r="G826">
        <v>0.32277777777777777</v>
      </c>
      <c r="H826">
        <v>0</v>
      </c>
      <c r="J826">
        <v>292</v>
      </c>
      <c r="K826" t="s">
        <v>124</v>
      </c>
    </row>
    <row r="827" spans="1:11" x14ac:dyDescent="0.35">
      <c r="A827" t="s">
        <v>136</v>
      </c>
      <c r="B827" s="46">
        <v>46118</v>
      </c>
      <c r="C827" t="s">
        <v>85</v>
      </c>
      <c r="D827" t="s">
        <v>137</v>
      </c>
      <c r="E827" t="s">
        <v>170</v>
      </c>
      <c r="F827" t="s">
        <v>171</v>
      </c>
      <c r="G827">
        <v>0.12944444444444445</v>
      </c>
      <c r="H827">
        <v>0</v>
      </c>
      <c r="J827">
        <v>138</v>
      </c>
      <c r="K827" t="s">
        <v>124</v>
      </c>
    </row>
    <row r="828" spans="1:11" x14ac:dyDescent="0.35">
      <c r="A828" t="s">
        <v>136</v>
      </c>
      <c r="B828" s="46">
        <v>46118</v>
      </c>
      <c r="C828" t="s">
        <v>85</v>
      </c>
      <c r="D828" t="s">
        <v>137</v>
      </c>
      <c r="E828" t="s">
        <v>190</v>
      </c>
      <c r="F828" t="s">
        <v>191</v>
      </c>
      <c r="G828">
        <v>5.6583333333333332</v>
      </c>
      <c r="H828">
        <v>0</v>
      </c>
      <c r="J828">
        <v>0</v>
      </c>
      <c r="K828" t="s">
        <v>124</v>
      </c>
    </row>
    <row r="829" spans="1:11" x14ac:dyDescent="0.35">
      <c r="A829" t="s">
        <v>136</v>
      </c>
      <c r="B829" s="46">
        <v>46118</v>
      </c>
      <c r="C829" t="s">
        <v>85</v>
      </c>
      <c r="D829" t="s">
        <v>137</v>
      </c>
      <c r="E829" t="s">
        <v>184</v>
      </c>
      <c r="F829" t="s">
        <v>185</v>
      </c>
      <c r="G829">
        <v>4.6666666666666669E-2</v>
      </c>
      <c r="H829">
        <v>0</v>
      </c>
      <c r="J829">
        <v>54</v>
      </c>
      <c r="K829" t="s">
        <v>124</v>
      </c>
    </row>
    <row r="830" spans="1:11" x14ac:dyDescent="0.35">
      <c r="A830" t="s">
        <v>136</v>
      </c>
      <c r="B830" s="46">
        <v>46118</v>
      </c>
      <c r="C830" t="s">
        <v>85</v>
      </c>
      <c r="D830" t="s">
        <v>137</v>
      </c>
      <c r="E830" t="s">
        <v>200</v>
      </c>
      <c r="F830" t="s">
        <v>201</v>
      </c>
      <c r="G830">
        <v>0.62027777777777782</v>
      </c>
      <c r="H830">
        <v>0</v>
      </c>
      <c r="J830">
        <v>250</v>
      </c>
      <c r="K830" t="s">
        <v>124</v>
      </c>
    </row>
    <row r="831" spans="1:11" x14ac:dyDescent="0.35">
      <c r="A831" t="s">
        <v>136</v>
      </c>
      <c r="B831" s="46">
        <v>46118</v>
      </c>
      <c r="C831" t="s">
        <v>85</v>
      </c>
      <c r="D831" t="s">
        <v>137</v>
      </c>
      <c r="E831" t="s">
        <v>172</v>
      </c>
      <c r="F831" t="s">
        <v>173</v>
      </c>
      <c r="G831">
        <v>0.1361111111111111</v>
      </c>
      <c r="H831">
        <v>0</v>
      </c>
      <c r="J831">
        <v>129</v>
      </c>
      <c r="K831" t="s">
        <v>124</v>
      </c>
    </row>
    <row r="832" spans="1:11" x14ac:dyDescent="0.35">
      <c r="A832" t="s">
        <v>136</v>
      </c>
      <c r="B832" s="46">
        <v>46118</v>
      </c>
      <c r="C832" t="s">
        <v>85</v>
      </c>
      <c r="D832" t="s">
        <v>137</v>
      </c>
      <c r="E832" t="s">
        <v>176</v>
      </c>
      <c r="F832" t="s">
        <v>177</v>
      </c>
      <c r="G832">
        <v>4.5988888888888892</v>
      </c>
      <c r="H832">
        <v>0</v>
      </c>
      <c r="J832">
        <v>648</v>
      </c>
      <c r="K832" t="s">
        <v>124</v>
      </c>
    </row>
    <row r="833" spans="1:11" x14ac:dyDescent="0.35">
      <c r="A833" t="s">
        <v>136</v>
      </c>
      <c r="B833" s="46">
        <v>46118</v>
      </c>
      <c r="C833" t="s">
        <v>85</v>
      </c>
      <c r="D833" t="s">
        <v>137</v>
      </c>
      <c r="E833" t="s">
        <v>178</v>
      </c>
      <c r="F833" t="s">
        <v>179</v>
      </c>
      <c r="G833">
        <v>3.6111111111111108E-2</v>
      </c>
      <c r="H833">
        <v>0</v>
      </c>
      <c r="J833">
        <v>129</v>
      </c>
      <c r="K833" t="s">
        <v>124</v>
      </c>
    </row>
    <row r="834" spans="1:11" x14ac:dyDescent="0.35">
      <c r="A834" t="s">
        <v>136</v>
      </c>
      <c r="B834" s="46">
        <v>46118</v>
      </c>
      <c r="C834" t="s">
        <v>85</v>
      </c>
      <c r="D834" t="s">
        <v>137</v>
      </c>
      <c r="E834" t="s">
        <v>194</v>
      </c>
      <c r="F834" t="s">
        <v>195</v>
      </c>
      <c r="G834">
        <v>0.10111111111111111</v>
      </c>
      <c r="H834">
        <v>0</v>
      </c>
      <c r="J834">
        <v>46</v>
      </c>
      <c r="K834" t="s">
        <v>124</v>
      </c>
    </row>
    <row r="835" spans="1:11" x14ac:dyDescent="0.35">
      <c r="A835" t="s">
        <v>136</v>
      </c>
      <c r="B835" s="46">
        <v>46118</v>
      </c>
      <c r="C835" t="s">
        <v>85</v>
      </c>
      <c r="D835" t="s">
        <v>137</v>
      </c>
      <c r="E835" t="s">
        <v>186</v>
      </c>
      <c r="F835" t="s">
        <v>187</v>
      </c>
      <c r="G835">
        <v>2.6666666666666668E-2</v>
      </c>
      <c r="H835">
        <v>0</v>
      </c>
      <c r="J835">
        <v>11</v>
      </c>
      <c r="K835" t="s">
        <v>124</v>
      </c>
    </row>
    <row r="836" spans="1:11" x14ac:dyDescent="0.35">
      <c r="A836" t="s">
        <v>136</v>
      </c>
      <c r="B836" s="46">
        <v>46118</v>
      </c>
      <c r="C836" t="s">
        <v>85</v>
      </c>
      <c r="D836" t="s">
        <v>137</v>
      </c>
      <c r="E836" t="s">
        <v>196</v>
      </c>
      <c r="F836" t="s">
        <v>197</v>
      </c>
      <c r="G836">
        <v>1.0277777777777778E-2</v>
      </c>
      <c r="H836">
        <v>0</v>
      </c>
      <c r="J836">
        <v>37</v>
      </c>
      <c r="K836" t="s">
        <v>124</v>
      </c>
    </row>
    <row r="837" spans="1:11" x14ac:dyDescent="0.35">
      <c r="A837" t="s">
        <v>136</v>
      </c>
      <c r="B837" s="46">
        <v>46118</v>
      </c>
      <c r="C837" t="s">
        <v>85</v>
      </c>
      <c r="D837" t="s">
        <v>137</v>
      </c>
      <c r="E837" t="s">
        <v>198</v>
      </c>
      <c r="F837" t="s">
        <v>199</v>
      </c>
      <c r="G837">
        <v>1.1405555555555555</v>
      </c>
      <c r="H837">
        <v>0</v>
      </c>
      <c r="J837">
        <v>112</v>
      </c>
      <c r="K837" t="s">
        <v>124</v>
      </c>
    </row>
    <row r="838" spans="1:11" x14ac:dyDescent="0.35">
      <c r="A838" t="s">
        <v>136</v>
      </c>
      <c r="B838" s="46">
        <v>46118</v>
      </c>
      <c r="C838" t="s">
        <v>103</v>
      </c>
      <c r="D838" t="s">
        <v>137</v>
      </c>
      <c r="E838" t="s">
        <v>164</v>
      </c>
      <c r="F838" t="s">
        <v>165</v>
      </c>
      <c r="G838">
        <v>0.10777777777777778</v>
      </c>
      <c r="H838">
        <v>0</v>
      </c>
      <c r="J838">
        <v>318</v>
      </c>
      <c r="K838" t="s">
        <v>124</v>
      </c>
    </row>
    <row r="839" spans="1:11" x14ac:dyDescent="0.35">
      <c r="A839" t="s">
        <v>136</v>
      </c>
      <c r="B839" s="46">
        <v>46118</v>
      </c>
      <c r="C839" t="s">
        <v>103</v>
      </c>
      <c r="D839" t="s">
        <v>137</v>
      </c>
      <c r="E839" t="s">
        <v>166</v>
      </c>
      <c r="F839" t="s">
        <v>167</v>
      </c>
      <c r="G839">
        <v>2.5000000000000001E-3</v>
      </c>
      <c r="H839">
        <v>0</v>
      </c>
      <c r="J839">
        <v>0</v>
      </c>
      <c r="K839" t="s">
        <v>124</v>
      </c>
    </row>
    <row r="840" spans="1:11" x14ac:dyDescent="0.35">
      <c r="A840" t="s">
        <v>136</v>
      </c>
      <c r="B840" s="46">
        <v>46118</v>
      </c>
      <c r="C840" t="s">
        <v>103</v>
      </c>
      <c r="D840" t="s">
        <v>137</v>
      </c>
      <c r="E840" t="s">
        <v>190</v>
      </c>
      <c r="F840" t="s">
        <v>191</v>
      </c>
      <c r="G840">
        <v>0.43777777777777777</v>
      </c>
      <c r="H840">
        <v>0</v>
      </c>
      <c r="J840">
        <v>305</v>
      </c>
      <c r="K840" t="s">
        <v>124</v>
      </c>
    </row>
    <row r="841" spans="1:11" x14ac:dyDescent="0.35">
      <c r="A841" t="s">
        <v>136</v>
      </c>
      <c r="B841" s="46">
        <v>46118</v>
      </c>
      <c r="C841" t="s">
        <v>103</v>
      </c>
      <c r="D841" t="s">
        <v>137</v>
      </c>
      <c r="E841" t="s">
        <v>144</v>
      </c>
      <c r="F841" t="s">
        <v>145</v>
      </c>
      <c r="G841">
        <v>1.2638888888888888</v>
      </c>
      <c r="H841">
        <v>0</v>
      </c>
      <c r="J841">
        <v>622</v>
      </c>
      <c r="K841" t="s">
        <v>124</v>
      </c>
    </row>
    <row r="842" spans="1:11" x14ac:dyDescent="0.35">
      <c r="A842" t="s">
        <v>136</v>
      </c>
      <c r="B842" s="46">
        <v>46118</v>
      </c>
      <c r="C842" t="s">
        <v>103</v>
      </c>
      <c r="D842" t="s">
        <v>137</v>
      </c>
      <c r="E842" t="s">
        <v>176</v>
      </c>
      <c r="F842" t="s">
        <v>177</v>
      </c>
      <c r="G842">
        <v>3.833333333333333E-2</v>
      </c>
      <c r="H842">
        <v>0</v>
      </c>
      <c r="J842">
        <v>81</v>
      </c>
      <c r="K842" t="s">
        <v>124</v>
      </c>
    </row>
    <row r="843" spans="1:11" x14ac:dyDescent="0.35">
      <c r="A843" t="s">
        <v>136</v>
      </c>
      <c r="B843" s="46">
        <v>46118</v>
      </c>
      <c r="C843" t="s">
        <v>103</v>
      </c>
      <c r="D843" t="s">
        <v>137</v>
      </c>
      <c r="E843" t="s">
        <v>178</v>
      </c>
      <c r="F843" t="s">
        <v>179</v>
      </c>
      <c r="G843">
        <v>6.7986111111111107</v>
      </c>
      <c r="H843">
        <v>0</v>
      </c>
      <c r="J843">
        <v>0</v>
      </c>
      <c r="K843" t="s">
        <v>124</v>
      </c>
    </row>
    <row r="844" spans="1:11" x14ac:dyDescent="0.35">
      <c r="A844" t="s">
        <v>136</v>
      </c>
      <c r="B844" s="46">
        <v>46118</v>
      </c>
      <c r="C844" t="s">
        <v>103</v>
      </c>
      <c r="D844" t="s">
        <v>137</v>
      </c>
      <c r="E844" t="s">
        <v>194</v>
      </c>
      <c r="F844" t="s">
        <v>195</v>
      </c>
      <c r="G844">
        <v>0.85499999999999998</v>
      </c>
      <c r="H844">
        <v>0</v>
      </c>
      <c r="J844">
        <v>62</v>
      </c>
      <c r="K844" t="s">
        <v>124</v>
      </c>
    </row>
    <row r="845" spans="1:11" x14ac:dyDescent="0.35">
      <c r="A845" t="s">
        <v>136</v>
      </c>
      <c r="B845" s="46">
        <v>46118</v>
      </c>
      <c r="C845" t="s">
        <v>103</v>
      </c>
      <c r="D845" t="s">
        <v>137</v>
      </c>
      <c r="E845" t="s">
        <v>156</v>
      </c>
      <c r="F845" t="s">
        <v>157</v>
      </c>
      <c r="G845">
        <v>5.527777777777778E-2</v>
      </c>
      <c r="H845">
        <v>0</v>
      </c>
      <c r="J845">
        <v>57</v>
      </c>
      <c r="K845" t="s">
        <v>124</v>
      </c>
    </row>
    <row r="846" spans="1:11" x14ac:dyDescent="0.35">
      <c r="A846" t="s">
        <v>136</v>
      </c>
      <c r="B846" s="46">
        <v>46118</v>
      </c>
      <c r="C846" t="s">
        <v>103</v>
      </c>
      <c r="D846" t="s">
        <v>137</v>
      </c>
      <c r="E846" t="s">
        <v>196</v>
      </c>
      <c r="F846" t="s">
        <v>197</v>
      </c>
      <c r="G846">
        <v>0.12416666666666666</v>
      </c>
      <c r="H846">
        <v>0</v>
      </c>
      <c r="J846">
        <v>89</v>
      </c>
      <c r="K846" t="s">
        <v>124</v>
      </c>
    </row>
    <row r="847" spans="1:11" x14ac:dyDescent="0.35">
      <c r="A847" t="s">
        <v>136</v>
      </c>
      <c r="B847" s="46">
        <v>46118</v>
      </c>
      <c r="C847" t="s">
        <v>103</v>
      </c>
      <c r="D847" t="s">
        <v>137</v>
      </c>
      <c r="E847" t="s">
        <v>198</v>
      </c>
      <c r="F847" t="s">
        <v>199</v>
      </c>
      <c r="G847">
        <v>0.61166666666666669</v>
      </c>
      <c r="H847">
        <v>0</v>
      </c>
      <c r="J847">
        <v>101</v>
      </c>
      <c r="K847" t="s">
        <v>124</v>
      </c>
    </row>
    <row r="848" spans="1:11" x14ac:dyDescent="0.35">
      <c r="A848" t="s">
        <v>136</v>
      </c>
      <c r="B848" s="46">
        <v>46118</v>
      </c>
      <c r="C848" t="s">
        <v>109</v>
      </c>
      <c r="D848" t="s">
        <v>137</v>
      </c>
      <c r="E848" t="s">
        <v>164</v>
      </c>
      <c r="F848" t="s">
        <v>165</v>
      </c>
      <c r="G848">
        <v>8.9722222222222217E-2</v>
      </c>
      <c r="H848">
        <v>0</v>
      </c>
      <c r="J848">
        <v>18</v>
      </c>
      <c r="K848" t="s">
        <v>124</v>
      </c>
    </row>
    <row r="849" spans="1:11" x14ac:dyDescent="0.35">
      <c r="A849" t="s">
        <v>136</v>
      </c>
      <c r="B849" s="46">
        <v>46118</v>
      </c>
      <c r="C849" t="s">
        <v>109</v>
      </c>
      <c r="D849" t="s">
        <v>137</v>
      </c>
      <c r="E849" t="s">
        <v>166</v>
      </c>
      <c r="F849" t="s">
        <v>167</v>
      </c>
      <c r="G849">
        <v>0.73166666666666669</v>
      </c>
      <c r="H849">
        <v>0</v>
      </c>
      <c r="J849">
        <v>119</v>
      </c>
      <c r="K849" t="s">
        <v>124</v>
      </c>
    </row>
    <row r="850" spans="1:11" x14ac:dyDescent="0.35">
      <c r="A850" t="s">
        <v>136</v>
      </c>
      <c r="B850" s="46">
        <v>46118</v>
      </c>
      <c r="C850" t="s">
        <v>109</v>
      </c>
      <c r="D850" t="s">
        <v>137</v>
      </c>
      <c r="E850" t="s">
        <v>170</v>
      </c>
      <c r="F850" t="s">
        <v>171</v>
      </c>
      <c r="G850">
        <v>0.43944444444444447</v>
      </c>
      <c r="H850">
        <v>0</v>
      </c>
      <c r="J850">
        <v>186</v>
      </c>
      <c r="K850" t="s">
        <v>124</v>
      </c>
    </row>
    <row r="851" spans="1:11" x14ac:dyDescent="0.35">
      <c r="A851" t="s">
        <v>136</v>
      </c>
      <c r="B851" s="46">
        <v>46118</v>
      </c>
      <c r="C851" t="s">
        <v>109</v>
      </c>
      <c r="D851" t="s">
        <v>137</v>
      </c>
      <c r="E851" t="s">
        <v>176</v>
      </c>
      <c r="F851" t="s">
        <v>177</v>
      </c>
      <c r="G851">
        <v>0.3347222222222222</v>
      </c>
      <c r="H851">
        <v>0</v>
      </c>
      <c r="J851">
        <v>31</v>
      </c>
      <c r="K851" t="s">
        <v>124</v>
      </c>
    </row>
    <row r="852" spans="1:11" x14ac:dyDescent="0.35">
      <c r="A852" t="s">
        <v>136</v>
      </c>
      <c r="B852" s="46">
        <v>46118</v>
      </c>
      <c r="C852" t="s">
        <v>109</v>
      </c>
      <c r="D852" t="s">
        <v>137</v>
      </c>
      <c r="E852" t="s">
        <v>186</v>
      </c>
      <c r="F852" t="s">
        <v>187</v>
      </c>
      <c r="G852">
        <v>0.19666666666666666</v>
      </c>
      <c r="H852">
        <v>0</v>
      </c>
      <c r="J852">
        <v>11</v>
      </c>
      <c r="K852" t="s">
        <v>124</v>
      </c>
    </row>
    <row r="853" spans="1:11" x14ac:dyDescent="0.35">
      <c r="A853" t="s">
        <v>136</v>
      </c>
      <c r="B853" s="46">
        <v>46119</v>
      </c>
      <c r="C853" t="s">
        <v>96</v>
      </c>
      <c r="D853" t="s">
        <v>137</v>
      </c>
      <c r="E853" t="s">
        <v>166</v>
      </c>
      <c r="F853" t="s">
        <v>167</v>
      </c>
      <c r="G853">
        <v>2.4269444444444446</v>
      </c>
      <c r="H853">
        <v>0</v>
      </c>
      <c r="J853">
        <v>111</v>
      </c>
      <c r="K853" t="s">
        <v>124</v>
      </c>
    </row>
    <row r="854" spans="1:11" x14ac:dyDescent="0.35">
      <c r="A854" t="s">
        <v>136</v>
      </c>
      <c r="B854" s="46">
        <v>46119</v>
      </c>
      <c r="C854" t="s">
        <v>96</v>
      </c>
      <c r="D854" t="s">
        <v>137</v>
      </c>
      <c r="E854" t="s">
        <v>194</v>
      </c>
      <c r="F854" t="s">
        <v>195</v>
      </c>
      <c r="G854">
        <v>7.8333333333333338E-2</v>
      </c>
      <c r="H854">
        <v>0</v>
      </c>
      <c r="J854">
        <v>41</v>
      </c>
      <c r="K854" t="s">
        <v>124</v>
      </c>
    </row>
    <row r="855" spans="1:11" x14ac:dyDescent="0.35">
      <c r="A855" t="s">
        <v>136</v>
      </c>
      <c r="B855" s="46">
        <v>46119</v>
      </c>
      <c r="C855" t="s">
        <v>96</v>
      </c>
      <c r="D855" t="s">
        <v>137</v>
      </c>
      <c r="E855" t="s">
        <v>196</v>
      </c>
      <c r="F855" t="s">
        <v>197</v>
      </c>
      <c r="G855">
        <v>6.7500000000000004E-2</v>
      </c>
      <c r="H855">
        <v>0</v>
      </c>
      <c r="J855">
        <v>180</v>
      </c>
      <c r="K855" t="s">
        <v>124</v>
      </c>
    </row>
    <row r="856" spans="1:11" x14ac:dyDescent="0.35">
      <c r="A856" t="s">
        <v>136</v>
      </c>
      <c r="B856" s="46">
        <v>46119</v>
      </c>
      <c r="C856" t="s">
        <v>96</v>
      </c>
      <c r="D856" t="s">
        <v>137</v>
      </c>
      <c r="E856" t="s">
        <v>198</v>
      </c>
      <c r="F856" t="s">
        <v>199</v>
      </c>
      <c r="G856">
        <v>7.5277777777777777E-2</v>
      </c>
      <c r="H856">
        <v>0</v>
      </c>
      <c r="J856">
        <v>56</v>
      </c>
      <c r="K856" t="s">
        <v>124</v>
      </c>
    </row>
    <row r="857" spans="1:11" x14ac:dyDescent="0.35">
      <c r="A857" t="s">
        <v>136</v>
      </c>
      <c r="B857" s="46">
        <v>46119</v>
      </c>
      <c r="C857" t="s">
        <v>104</v>
      </c>
      <c r="D857" t="s">
        <v>137</v>
      </c>
      <c r="E857" t="s">
        <v>180</v>
      </c>
      <c r="F857" t="s">
        <v>181</v>
      </c>
      <c r="G857">
        <v>7.4444444444444438E-2</v>
      </c>
      <c r="H857">
        <v>0</v>
      </c>
      <c r="J857">
        <v>38</v>
      </c>
      <c r="K857" t="s">
        <v>124</v>
      </c>
    </row>
    <row r="858" spans="1:11" x14ac:dyDescent="0.35">
      <c r="A858" t="s">
        <v>136</v>
      </c>
      <c r="B858" s="46">
        <v>46119</v>
      </c>
      <c r="C858" t="s">
        <v>104</v>
      </c>
      <c r="D858" t="s">
        <v>137</v>
      </c>
      <c r="E858" t="s">
        <v>164</v>
      </c>
      <c r="F858" t="s">
        <v>165</v>
      </c>
      <c r="G858">
        <v>6.277777777777778E-2</v>
      </c>
      <c r="H858">
        <v>0</v>
      </c>
      <c r="J858">
        <v>31</v>
      </c>
      <c r="K858" t="s">
        <v>124</v>
      </c>
    </row>
    <row r="859" spans="1:11" x14ac:dyDescent="0.35">
      <c r="A859" t="s">
        <v>136</v>
      </c>
      <c r="B859" s="46">
        <v>46119</v>
      </c>
      <c r="C859" t="s">
        <v>104</v>
      </c>
      <c r="D859" t="s">
        <v>137</v>
      </c>
      <c r="E859" t="s">
        <v>170</v>
      </c>
      <c r="F859" t="s">
        <v>171</v>
      </c>
      <c r="G859">
        <v>8.301111111111112</v>
      </c>
      <c r="H859">
        <v>0</v>
      </c>
      <c r="J859">
        <v>260</v>
      </c>
      <c r="K859" t="s">
        <v>124</v>
      </c>
    </row>
    <row r="860" spans="1:11" x14ac:dyDescent="0.35">
      <c r="A860" t="s">
        <v>136</v>
      </c>
      <c r="B860" s="46">
        <v>46119</v>
      </c>
      <c r="C860" t="s">
        <v>104</v>
      </c>
      <c r="D860" t="s">
        <v>137</v>
      </c>
      <c r="E860" t="s">
        <v>182</v>
      </c>
      <c r="F860" t="s">
        <v>183</v>
      </c>
      <c r="G860">
        <v>2.2499999999999999E-2</v>
      </c>
      <c r="H860">
        <v>0</v>
      </c>
      <c r="J860">
        <v>0</v>
      </c>
      <c r="K860" t="s">
        <v>124</v>
      </c>
    </row>
    <row r="861" spans="1:11" x14ac:dyDescent="0.35">
      <c r="A861" t="s">
        <v>136</v>
      </c>
      <c r="B861" s="46">
        <v>46119</v>
      </c>
      <c r="C861" t="s">
        <v>104</v>
      </c>
      <c r="D861" t="s">
        <v>137</v>
      </c>
      <c r="E861" t="s">
        <v>174</v>
      </c>
      <c r="F861" t="s">
        <v>175</v>
      </c>
      <c r="G861">
        <v>5.3611111111111109E-2</v>
      </c>
      <c r="H861">
        <v>0</v>
      </c>
      <c r="J861">
        <v>49</v>
      </c>
      <c r="K861" t="s">
        <v>124</v>
      </c>
    </row>
    <row r="862" spans="1:11" x14ac:dyDescent="0.35">
      <c r="A862" t="s">
        <v>136</v>
      </c>
      <c r="B862" s="46">
        <v>46119</v>
      </c>
      <c r="C862" t="s">
        <v>104</v>
      </c>
      <c r="D862" t="s">
        <v>137</v>
      </c>
      <c r="E862" t="s">
        <v>176</v>
      </c>
      <c r="F862" t="s">
        <v>177</v>
      </c>
      <c r="G862">
        <v>0.27888888888888891</v>
      </c>
      <c r="H862">
        <v>0</v>
      </c>
      <c r="J862">
        <v>56</v>
      </c>
      <c r="K862" t="s">
        <v>124</v>
      </c>
    </row>
    <row r="863" spans="1:11" x14ac:dyDescent="0.35">
      <c r="A863" t="s">
        <v>136</v>
      </c>
      <c r="B863" s="46">
        <v>46119</v>
      </c>
      <c r="C863" t="s">
        <v>104</v>
      </c>
      <c r="D863" t="s">
        <v>137</v>
      </c>
      <c r="E863" t="s">
        <v>206</v>
      </c>
      <c r="F863" t="s">
        <v>207</v>
      </c>
      <c r="G863">
        <v>1.6666666666666668E-3</v>
      </c>
      <c r="H863">
        <v>0</v>
      </c>
      <c r="J863">
        <v>6</v>
      </c>
      <c r="K863" t="s">
        <v>124</v>
      </c>
    </row>
    <row r="864" spans="1:11" x14ac:dyDescent="0.35">
      <c r="A864" t="s">
        <v>136</v>
      </c>
      <c r="B864" s="46">
        <v>46119</v>
      </c>
      <c r="C864" t="s">
        <v>104</v>
      </c>
      <c r="D864" t="s">
        <v>137</v>
      </c>
      <c r="E864" t="s">
        <v>178</v>
      </c>
      <c r="F864" t="s">
        <v>179</v>
      </c>
      <c r="G864">
        <v>4.8888888888888891E-2</v>
      </c>
      <c r="H864">
        <v>0</v>
      </c>
      <c r="J864">
        <v>26</v>
      </c>
      <c r="K864" t="s">
        <v>124</v>
      </c>
    </row>
    <row r="865" spans="1:11" x14ac:dyDescent="0.35">
      <c r="A865" t="s">
        <v>136</v>
      </c>
      <c r="B865" s="46">
        <v>46119</v>
      </c>
      <c r="C865" t="s">
        <v>104</v>
      </c>
      <c r="D865" t="s">
        <v>137</v>
      </c>
      <c r="E865" t="s">
        <v>194</v>
      </c>
      <c r="F865" t="s">
        <v>195</v>
      </c>
      <c r="G865">
        <v>3.0555555555555557E-3</v>
      </c>
      <c r="H865">
        <v>0</v>
      </c>
      <c r="J865">
        <v>11</v>
      </c>
      <c r="K865" t="s">
        <v>124</v>
      </c>
    </row>
    <row r="866" spans="1:11" x14ac:dyDescent="0.35">
      <c r="A866" t="s">
        <v>136</v>
      </c>
      <c r="B866" s="46">
        <v>46119</v>
      </c>
      <c r="C866" t="s">
        <v>104</v>
      </c>
      <c r="D866" t="s">
        <v>137</v>
      </c>
      <c r="E866" t="s">
        <v>186</v>
      </c>
      <c r="F866" t="s">
        <v>187</v>
      </c>
      <c r="G866">
        <v>1.9722222222222221E-2</v>
      </c>
      <c r="H866">
        <v>0</v>
      </c>
      <c r="J866">
        <v>71</v>
      </c>
      <c r="K866" t="s">
        <v>124</v>
      </c>
    </row>
    <row r="867" spans="1:11" x14ac:dyDescent="0.35">
      <c r="A867" t="s">
        <v>136</v>
      </c>
      <c r="B867" s="46">
        <v>46119</v>
      </c>
      <c r="C867" t="s">
        <v>104</v>
      </c>
      <c r="D867" t="s">
        <v>137</v>
      </c>
      <c r="E867" t="s">
        <v>196</v>
      </c>
      <c r="F867" t="s">
        <v>197</v>
      </c>
      <c r="G867">
        <v>0.15083333333333335</v>
      </c>
      <c r="H867">
        <v>0</v>
      </c>
      <c r="J867">
        <v>107</v>
      </c>
      <c r="K867" t="s">
        <v>124</v>
      </c>
    </row>
    <row r="868" spans="1:11" x14ac:dyDescent="0.35">
      <c r="A868" t="s">
        <v>136</v>
      </c>
      <c r="B868" s="46">
        <v>46119</v>
      </c>
      <c r="C868" t="s">
        <v>104</v>
      </c>
      <c r="D868" t="s">
        <v>137</v>
      </c>
      <c r="E868" t="s">
        <v>198</v>
      </c>
      <c r="F868" t="s">
        <v>199</v>
      </c>
      <c r="G868">
        <v>2.4024999999999999</v>
      </c>
      <c r="H868">
        <v>0</v>
      </c>
      <c r="J868">
        <v>268</v>
      </c>
      <c r="K868" t="s">
        <v>124</v>
      </c>
    </row>
    <row r="869" spans="1:11" x14ac:dyDescent="0.35">
      <c r="A869" t="s">
        <v>136</v>
      </c>
      <c r="B869" s="46">
        <v>46119</v>
      </c>
      <c r="C869" t="s">
        <v>90</v>
      </c>
      <c r="D869" t="s">
        <v>137</v>
      </c>
      <c r="E869" t="s">
        <v>166</v>
      </c>
      <c r="F869" t="s">
        <v>167</v>
      </c>
      <c r="G869">
        <v>2.2741666666666664</v>
      </c>
      <c r="H869">
        <v>0</v>
      </c>
      <c r="J869">
        <v>66</v>
      </c>
      <c r="K869" t="s">
        <v>124</v>
      </c>
    </row>
    <row r="870" spans="1:11" x14ac:dyDescent="0.35">
      <c r="A870" t="s">
        <v>136</v>
      </c>
      <c r="B870" s="46">
        <v>46119</v>
      </c>
      <c r="C870" t="s">
        <v>90</v>
      </c>
      <c r="D870" t="s">
        <v>137</v>
      </c>
      <c r="E870" t="s">
        <v>168</v>
      </c>
      <c r="F870" t="s">
        <v>169</v>
      </c>
      <c r="G870">
        <v>7.5277777777777777E-2</v>
      </c>
      <c r="H870">
        <v>0</v>
      </c>
      <c r="J870">
        <v>28</v>
      </c>
      <c r="K870" t="s">
        <v>124</v>
      </c>
    </row>
    <row r="871" spans="1:11" x14ac:dyDescent="0.35">
      <c r="A871" t="s">
        <v>136</v>
      </c>
      <c r="B871" s="46">
        <v>46119</v>
      </c>
      <c r="C871" t="s">
        <v>90</v>
      </c>
      <c r="D871" t="s">
        <v>137</v>
      </c>
      <c r="E871" t="s">
        <v>182</v>
      </c>
      <c r="F871" t="s">
        <v>183</v>
      </c>
      <c r="G871">
        <v>0.25861111111111112</v>
      </c>
      <c r="H871">
        <v>0</v>
      </c>
      <c r="J871">
        <v>21</v>
      </c>
      <c r="K871" t="s">
        <v>124</v>
      </c>
    </row>
    <row r="872" spans="1:11" x14ac:dyDescent="0.35">
      <c r="A872" t="s">
        <v>136</v>
      </c>
      <c r="B872" s="46">
        <v>46119</v>
      </c>
      <c r="C872" t="s">
        <v>90</v>
      </c>
      <c r="D872" t="s">
        <v>137</v>
      </c>
      <c r="E872" t="s">
        <v>194</v>
      </c>
      <c r="F872" t="s">
        <v>195</v>
      </c>
      <c r="G872">
        <v>0.68888888888888888</v>
      </c>
      <c r="H872">
        <v>0</v>
      </c>
      <c r="J872">
        <v>114</v>
      </c>
      <c r="K872" t="s">
        <v>124</v>
      </c>
    </row>
    <row r="873" spans="1:11" x14ac:dyDescent="0.35">
      <c r="A873" t="s">
        <v>136</v>
      </c>
      <c r="B873" s="46">
        <v>46119</v>
      </c>
      <c r="C873" t="s">
        <v>90</v>
      </c>
      <c r="D873" t="s">
        <v>137</v>
      </c>
      <c r="E873" t="s">
        <v>196</v>
      </c>
      <c r="F873" t="s">
        <v>197</v>
      </c>
      <c r="G873">
        <v>0.14861111111111111</v>
      </c>
      <c r="H873">
        <v>0</v>
      </c>
      <c r="J873">
        <v>126</v>
      </c>
      <c r="K873" t="s">
        <v>124</v>
      </c>
    </row>
    <row r="874" spans="1:11" x14ac:dyDescent="0.35">
      <c r="A874" t="s">
        <v>136</v>
      </c>
      <c r="B874" s="46">
        <v>46119</v>
      </c>
      <c r="C874" t="s">
        <v>90</v>
      </c>
      <c r="D874" t="s">
        <v>137</v>
      </c>
      <c r="E874" t="s">
        <v>198</v>
      </c>
      <c r="F874" t="s">
        <v>199</v>
      </c>
      <c r="G874">
        <v>0.1386111111111111</v>
      </c>
      <c r="H874">
        <v>0</v>
      </c>
      <c r="J874">
        <v>104</v>
      </c>
      <c r="K874" t="s">
        <v>124</v>
      </c>
    </row>
    <row r="875" spans="1:11" x14ac:dyDescent="0.35">
      <c r="A875" t="s">
        <v>136</v>
      </c>
      <c r="B875" s="46">
        <v>46119</v>
      </c>
      <c r="C875" t="s">
        <v>107</v>
      </c>
      <c r="D875" t="s">
        <v>137</v>
      </c>
      <c r="E875" t="s">
        <v>164</v>
      </c>
      <c r="F875" t="s">
        <v>165</v>
      </c>
      <c r="G875">
        <v>0.62944444444444447</v>
      </c>
      <c r="H875">
        <v>0</v>
      </c>
      <c r="J875">
        <v>0</v>
      </c>
      <c r="K875" t="s">
        <v>124</v>
      </c>
    </row>
    <row r="876" spans="1:11" x14ac:dyDescent="0.35">
      <c r="A876" t="s">
        <v>136</v>
      </c>
      <c r="B876" s="46">
        <v>46119</v>
      </c>
      <c r="C876" t="s">
        <v>107</v>
      </c>
      <c r="D876" t="s">
        <v>137</v>
      </c>
      <c r="E876" t="s">
        <v>184</v>
      </c>
      <c r="F876" t="s">
        <v>185</v>
      </c>
      <c r="G876">
        <v>4.7222222222222223E-3</v>
      </c>
      <c r="H876">
        <v>0</v>
      </c>
      <c r="J876">
        <v>17</v>
      </c>
      <c r="K876" t="s">
        <v>124</v>
      </c>
    </row>
    <row r="877" spans="1:11" x14ac:dyDescent="0.35">
      <c r="A877" t="s">
        <v>136</v>
      </c>
      <c r="B877" s="46">
        <v>46119</v>
      </c>
      <c r="C877" t="s">
        <v>107</v>
      </c>
      <c r="D877" t="s">
        <v>137</v>
      </c>
      <c r="E877" t="s">
        <v>182</v>
      </c>
      <c r="F877" t="s">
        <v>183</v>
      </c>
      <c r="G877">
        <v>0.14777777777777779</v>
      </c>
      <c r="H877">
        <v>0</v>
      </c>
      <c r="J877">
        <v>35</v>
      </c>
      <c r="K877" t="s">
        <v>124</v>
      </c>
    </row>
    <row r="878" spans="1:11" x14ac:dyDescent="0.35">
      <c r="A878" t="s">
        <v>136</v>
      </c>
      <c r="B878" s="46">
        <v>46119</v>
      </c>
      <c r="C878" t="s">
        <v>107</v>
      </c>
      <c r="D878" t="s">
        <v>137</v>
      </c>
      <c r="E878" t="s">
        <v>144</v>
      </c>
      <c r="F878" t="s">
        <v>145</v>
      </c>
      <c r="G878">
        <v>18.489722222222223</v>
      </c>
      <c r="H878">
        <v>0</v>
      </c>
      <c r="J878">
        <v>1235</v>
      </c>
      <c r="K878" t="s">
        <v>124</v>
      </c>
    </row>
    <row r="879" spans="1:11" x14ac:dyDescent="0.35">
      <c r="A879" t="s">
        <v>136</v>
      </c>
      <c r="B879" s="46">
        <v>46119</v>
      </c>
      <c r="C879" t="s">
        <v>107</v>
      </c>
      <c r="D879" t="s">
        <v>137</v>
      </c>
      <c r="E879" t="s">
        <v>172</v>
      </c>
      <c r="F879" t="s">
        <v>173</v>
      </c>
      <c r="G879">
        <v>0.10138888888888889</v>
      </c>
      <c r="H879">
        <v>0</v>
      </c>
      <c r="J879">
        <v>11</v>
      </c>
      <c r="K879" t="s">
        <v>124</v>
      </c>
    </row>
    <row r="880" spans="1:11" x14ac:dyDescent="0.35">
      <c r="A880" t="s">
        <v>136</v>
      </c>
      <c r="B880" s="46">
        <v>46119</v>
      </c>
      <c r="C880" t="s">
        <v>107</v>
      </c>
      <c r="D880" t="s">
        <v>137</v>
      </c>
      <c r="E880" t="s">
        <v>176</v>
      </c>
      <c r="F880" t="s">
        <v>177</v>
      </c>
      <c r="G880">
        <v>0.17527777777777778</v>
      </c>
      <c r="H880">
        <v>0</v>
      </c>
      <c r="J880">
        <v>43</v>
      </c>
      <c r="K880" t="s">
        <v>124</v>
      </c>
    </row>
    <row r="881" spans="1:11" x14ac:dyDescent="0.35">
      <c r="A881" t="s">
        <v>136</v>
      </c>
      <c r="B881" s="46">
        <v>46119</v>
      </c>
      <c r="C881" t="s">
        <v>107</v>
      </c>
      <c r="D881" t="s">
        <v>137</v>
      </c>
      <c r="E881" t="s">
        <v>154</v>
      </c>
      <c r="F881" t="s">
        <v>155</v>
      </c>
      <c r="G881">
        <v>1.1944444444444445E-2</v>
      </c>
      <c r="H881">
        <v>0</v>
      </c>
      <c r="J881">
        <v>42</v>
      </c>
      <c r="K881" t="s">
        <v>124</v>
      </c>
    </row>
    <row r="882" spans="1:11" x14ac:dyDescent="0.35">
      <c r="A882" t="s">
        <v>136</v>
      </c>
      <c r="B882" s="46">
        <v>46119</v>
      </c>
      <c r="C882" t="s">
        <v>81</v>
      </c>
      <c r="D882" t="s">
        <v>137</v>
      </c>
      <c r="E882" t="s">
        <v>180</v>
      </c>
      <c r="F882" t="s">
        <v>181</v>
      </c>
      <c r="G882">
        <v>0.43583333333333335</v>
      </c>
      <c r="H882">
        <v>0</v>
      </c>
      <c r="J882">
        <v>29</v>
      </c>
      <c r="K882" t="s">
        <v>124</v>
      </c>
    </row>
    <row r="883" spans="1:11" x14ac:dyDescent="0.35">
      <c r="A883" t="s">
        <v>136</v>
      </c>
      <c r="B883" s="46">
        <v>46119</v>
      </c>
      <c r="C883" t="s">
        <v>81</v>
      </c>
      <c r="D883" t="s">
        <v>137</v>
      </c>
      <c r="E883" t="s">
        <v>170</v>
      </c>
      <c r="F883" t="s">
        <v>171</v>
      </c>
      <c r="G883">
        <v>1.3202777777777779</v>
      </c>
      <c r="H883">
        <v>0</v>
      </c>
      <c r="J883">
        <v>85</v>
      </c>
      <c r="K883" t="s">
        <v>124</v>
      </c>
    </row>
    <row r="884" spans="1:11" x14ac:dyDescent="0.35">
      <c r="A884" t="s">
        <v>136</v>
      </c>
      <c r="B884" s="46">
        <v>46119</v>
      </c>
      <c r="C884" t="s">
        <v>81</v>
      </c>
      <c r="D884" t="s">
        <v>137</v>
      </c>
      <c r="E884" t="s">
        <v>182</v>
      </c>
      <c r="F884" t="s">
        <v>183</v>
      </c>
      <c r="G884">
        <v>0.3175</v>
      </c>
      <c r="H884">
        <v>0</v>
      </c>
      <c r="J884">
        <v>149</v>
      </c>
      <c r="K884" t="s">
        <v>124</v>
      </c>
    </row>
    <row r="885" spans="1:11" x14ac:dyDescent="0.35">
      <c r="A885" t="s">
        <v>136</v>
      </c>
      <c r="B885" s="46">
        <v>46119</v>
      </c>
      <c r="C885" t="s">
        <v>81</v>
      </c>
      <c r="D885" t="s">
        <v>137</v>
      </c>
      <c r="E885" t="s">
        <v>176</v>
      </c>
      <c r="F885" t="s">
        <v>177</v>
      </c>
      <c r="G885">
        <v>0.57916666666666672</v>
      </c>
      <c r="H885">
        <v>0</v>
      </c>
      <c r="J885">
        <v>202</v>
      </c>
      <c r="K885" t="s">
        <v>124</v>
      </c>
    </row>
    <row r="886" spans="1:11" x14ac:dyDescent="0.35">
      <c r="A886" t="s">
        <v>136</v>
      </c>
      <c r="B886" s="46">
        <v>46119</v>
      </c>
      <c r="C886" t="s">
        <v>81</v>
      </c>
      <c r="D886" t="s">
        <v>137</v>
      </c>
      <c r="E886" t="s">
        <v>194</v>
      </c>
      <c r="F886" t="s">
        <v>195</v>
      </c>
      <c r="G886">
        <v>0.19111111111111112</v>
      </c>
      <c r="H886">
        <v>0</v>
      </c>
      <c r="J886">
        <v>29</v>
      </c>
      <c r="K886" t="s">
        <v>124</v>
      </c>
    </row>
    <row r="887" spans="1:11" x14ac:dyDescent="0.35">
      <c r="A887" t="s">
        <v>136</v>
      </c>
      <c r="B887" s="46">
        <v>46119</v>
      </c>
      <c r="C887" t="s">
        <v>81</v>
      </c>
      <c r="D887" t="s">
        <v>137</v>
      </c>
      <c r="E887" t="s">
        <v>196</v>
      </c>
      <c r="F887" t="s">
        <v>197</v>
      </c>
      <c r="G887">
        <v>16.104722222222222</v>
      </c>
      <c r="H887">
        <v>0</v>
      </c>
      <c r="J887">
        <v>967</v>
      </c>
      <c r="K887" t="s">
        <v>124</v>
      </c>
    </row>
    <row r="888" spans="1:11" x14ac:dyDescent="0.35">
      <c r="A888" t="s">
        <v>136</v>
      </c>
      <c r="B888" s="46">
        <v>46119</v>
      </c>
      <c r="C888" t="s">
        <v>81</v>
      </c>
      <c r="D888" t="s">
        <v>137</v>
      </c>
      <c r="E888" t="s">
        <v>198</v>
      </c>
      <c r="F888" t="s">
        <v>199</v>
      </c>
      <c r="G888">
        <v>0.40527777777777779</v>
      </c>
      <c r="H888">
        <v>0</v>
      </c>
      <c r="J888">
        <v>41</v>
      </c>
      <c r="K888" t="s">
        <v>124</v>
      </c>
    </row>
    <row r="889" spans="1:11" x14ac:dyDescent="0.35">
      <c r="A889" t="s">
        <v>136</v>
      </c>
      <c r="B889" s="46">
        <v>46119</v>
      </c>
      <c r="C889" t="s">
        <v>101</v>
      </c>
      <c r="D889" t="s">
        <v>137</v>
      </c>
      <c r="E889" t="s">
        <v>166</v>
      </c>
      <c r="F889" t="s">
        <v>167</v>
      </c>
      <c r="G889">
        <v>1.7861111111111112</v>
      </c>
      <c r="H889">
        <v>0</v>
      </c>
      <c r="J889">
        <v>0</v>
      </c>
      <c r="K889" t="s">
        <v>124</v>
      </c>
    </row>
    <row r="890" spans="1:11" x14ac:dyDescent="0.35">
      <c r="A890" t="s">
        <v>136</v>
      </c>
      <c r="B890" s="46">
        <v>46119</v>
      </c>
      <c r="C890" t="s">
        <v>101</v>
      </c>
      <c r="D890" t="s">
        <v>137</v>
      </c>
      <c r="E890" t="s">
        <v>170</v>
      </c>
      <c r="F890" t="s">
        <v>171</v>
      </c>
      <c r="G890">
        <v>7.4436111111111112</v>
      </c>
      <c r="H890">
        <v>0</v>
      </c>
      <c r="J890">
        <v>756</v>
      </c>
      <c r="K890" t="s">
        <v>124</v>
      </c>
    </row>
    <row r="891" spans="1:11" x14ac:dyDescent="0.35">
      <c r="A891" t="s">
        <v>136</v>
      </c>
      <c r="B891" s="46">
        <v>46119</v>
      </c>
      <c r="C891" t="s">
        <v>101</v>
      </c>
      <c r="D891" t="s">
        <v>137</v>
      </c>
      <c r="E891" t="s">
        <v>184</v>
      </c>
      <c r="F891" t="s">
        <v>185</v>
      </c>
      <c r="G891">
        <v>0.12277777777777778</v>
      </c>
      <c r="H891">
        <v>0</v>
      </c>
      <c r="J891">
        <v>0</v>
      </c>
      <c r="K891" t="s">
        <v>124</v>
      </c>
    </row>
    <row r="892" spans="1:11" x14ac:dyDescent="0.35">
      <c r="A892" t="s">
        <v>136</v>
      </c>
      <c r="B892" s="46">
        <v>46119</v>
      </c>
      <c r="C892" t="s">
        <v>101</v>
      </c>
      <c r="D892" t="s">
        <v>137</v>
      </c>
      <c r="E892" t="s">
        <v>172</v>
      </c>
      <c r="F892" t="s">
        <v>173</v>
      </c>
      <c r="G892">
        <v>0.43722222222222223</v>
      </c>
      <c r="H892">
        <v>0</v>
      </c>
      <c r="J892">
        <v>0</v>
      </c>
      <c r="K892" t="s">
        <v>124</v>
      </c>
    </row>
    <row r="893" spans="1:11" x14ac:dyDescent="0.35">
      <c r="A893" t="s">
        <v>136</v>
      </c>
      <c r="B893" s="46">
        <v>46119</v>
      </c>
      <c r="C893" t="s">
        <v>101</v>
      </c>
      <c r="D893" t="s">
        <v>137</v>
      </c>
      <c r="E893" t="s">
        <v>176</v>
      </c>
      <c r="F893" t="s">
        <v>177</v>
      </c>
      <c r="G893">
        <v>3.4533333333333331</v>
      </c>
      <c r="H893">
        <v>0</v>
      </c>
      <c r="J893">
        <v>1094</v>
      </c>
      <c r="K893" t="s">
        <v>124</v>
      </c>
    </row>
    <row r="894" spans="1:11" x14ac:dyDescent="0.35">
      <c r="A894" t="s">
        <v>136</v>
      </c>
      <c r="B894" s="46">
        <v>46119</v>
      </c>
      <c r="C894" t="s">
        <v>101</v>
      </c>
      <c r="D894" t="s">
        <v>137</v>
      </c>
      <c r="E894" t="s">
        <v>178</v>
      </c>
      <c r="F894" t="s">
        <v>179</v>
      </c>
      <c r="G894">
        <v>9.9166666666666667E-2</v>
      </c>
      <c r="H894">
        <v>0</v>
      </c>
      <c r="J894">
        <v>37</v>
      </c>
      <c r="K894" t="s">
        <v>124</v>
      </c>
    </row>
    <row r="895" spans="1:11" x14ac:dyDescent="0.35">
      <c r="A895" t="s">
        <v>136</v>
      </c>
      <c r="B895" s="46">
        <v>46119</v>
      </c>
      <c r="C895" t="s">
        <v>101</v>
      </c>
      <c r="D895" t="s">
        <v>137</v>
      </c>
      <c r="E895" t="s">
        <v>194</v>
      </c>
      <c r="F895" t="s">
        <v>195</v>
      </c>
      <c r="G895">
        <v>0.18722222222222223</v>
      </c>
      <c r="H895">
        <v>0</v>
      </c>
      <c r="J895">
        <v>56</v>
      </c>
      <c r="K895" t="s">
        <v>124</v>
      </c>
    </row>
    <row r="896" spans="1:11" x14ac:dyDescent="0.35">
      <c r="A896" t="s">
        <v>136</v>
      </c>
      <c r="B896" s="46">
        <v>46119</v>
      </c>
      <c r="C896" t="s">
        <v>101</v>
      </c>
      <c r="D896" t="s">
        <v>137</v>
      </c>
      <c r="E896" t="s">
        <v>196</v>
      </c>
      <c r="F896" t="s">
        <v>197</v>
      </c>
      <c r="G896">
        <v>3.0555555555555557E-3</v>
      </c>
      <c r="H896">
        <v>0</v>
      </c>
      <c r="J896">
        <v>11</v>
      </c>
      <c r="K896" t="s">
        <v>124</v>
      </c>
    </row>
    <row r="897" spans="1:11" x14ac:dyDescent="0.35">
      <c r="A897" t="s">
        <v>136</v>
      </c>
      <c r="B897" s="46">
        <v>46119</v>
      </c>
      <c r="C897" t="s">
        <v>101</v>
      </c>
      <c r="D897" t="s">
        <v>137</v>
      </c>
      <c r="E897" t="s">
        <v>198</v>
      </c>
      <c r="F897" t="s">
        <v>199</v>
      </c>
      <c r="G897">
        <v>0.93805555555555553</v>
      </c>
      <c r="H897">
        <v>0</v>
      </c>
      <c r="J897">
        <v>209</v>
      </c>
      <c r="K897" t="s">
        <v>124</v>
      </c>
    </row>
    <row r="898" spans="1:11" x14ac:dyDescent="0.35">
      <c r="A898" t="s">
        <v>136</v>
      </c>
      <c r="B898" s="46">
        <v>46119</v>
      </c>
      <c r="C898" t="s">
        <v>95</v>
      </c>
      <c r="D898" t="s">
        <v>137</v>
      </c>
      <c r="E898" t="s">
        <v>166</v>
      </c>
      <c r="F898" t="s">
        <v>167</v>
      </c>
      <c r="G898">
        <v>0.22277777777777777</v>
      </c>
      <c r="H898">
        <v>0</v>
      </c>
      <c r="J898">
        <v>51</v>
      </c>
      <c r="K898" t="s">
        <v>124</v>
      </c>
    </row>
    <row r="899" spans="1:11" x14ac:dyDescent="0.35">
      <c r="A899" t="s">
        <v>136</v>
      </c>
      <c r="B899" s="46">
        <v>46119</v>
      </c>
      <c r="C899" t="s">
        <v>95</v>
      </c>
      <c r="D899" t="s">
        <v>137</v>
      </c>
      <c r="E899" t="s">
        <v>168</v>
      </c>
      <c r="F899" t="s">
        <v>169</v>
      </c>
      <c r="G899">
        <v>9.6111111111111105E-2</v>
      </c>
      <c r="H899">
        <v>0</v>
      </c>
      <c r="J899">
        <v>33</v>
      </c>
      <c r="K899" t="s">
        <v>124</v>
      </c>
    </row>
    <row r="900" spans="1:11" x14ac:dyDescent="0.35">
      <c r="A900" t="s">
        <v>136</v>
      </c>
      <c r="B900" s="46">
        <v>46119</v>
      </c>
      <c r="C900" t="s">
        <v>95</v>
      </c>
      <c r="D900" t="s">
        <v>137</v>
      </c>
      <c r="E900" t="s">
        <v>172</v>
      </c>
      <c r="F900" t="s">
        <v>173</v>
      </c>
      <c r="G900">
        <v>3.111111111111111E-2</v>
      </c>
      <c r="H900">
        <v>0</v>
      </c>
      <c r="J900">
        <v>0</v>
      </c>
      <c r="K900" t="s">
        <v>124</v>
      </c>
    </row>
    <row r="901" spans="1:11" x14ac:dyDescent="0.35">
      <c r="A901" t="s">
        <v>136</v>
      </c>
      <c r="B901" s="46">
        <v>46119</v>
      </c>
      <c r="C901" t="s">
        <v>95</v>
      </c>
      <c r="D901" t="s">
        <v>137</v>
      </c>
      <c r="E901" t="s">
        <v>176</v>
      </c>
      <c r="F901" t="s">
        <v>177</v>
      </c>
      <c r="G901">
        <v>2.1197222222222223</v>
      </c>
      <c r="H901">
        <v>0</v>
      </c>
      <c r="J901">
        <v>428</v>
      </c>
      <c r="K901" t="s">
        <v>124</v>
      </c>
    </row>
    <row r="902" spans="1:11" x14ac:dyDescent="0.35">
      <c r="A902" t="s">
        <v>136</v>
      </c>
      <c r="B902" s="46">
        <v>46119</v>
      </c>
      <c r="C902" t="s">
        <v>95</v>
      </c>
      <c r="D902" t="s">
        <v>137</v>
      </c>
      <c r="E902" t="s">
        <v>148</v>
      </c>
      <c r="F902" t="s">
        <v>149</v>
      </c>
      <c r="G902">
        <v>1.9166666666666665E-2</v>
      </c>
      <c r="H902">
        <v>0</v>
      </c>
      <c r="J902">
        <v>22</v>
      </c>
      <c r="K902" t="s">
        <v>124</v>
      </c>
    </row>
    <row r="903" spans="1:11" x14ac:dyDescent="0.35">
      <c r="A903" t="s">
        <v>136</v>
      </c>
      <c r="B903" s="46">
        <v>46119</v>
      </c>
      <c r="C903" t="s">
        <v>95</v>
      </c>
      <c r="D903" t="s">
        <v>137</v>
      </c>
      <c r="E903" t="s">
        <v>198</v>
      </c>
      <c r="F903" t="s">
        <v>199</v>
      </c>
      <c r="G903">
        <v>18.365277777777777</v>
      </c>
      <c r="H903">
        <v>0</v>
      </c>
      <c r="J903">
        <v>3049</v>
      </c>
      <c r="K903" t="s">
        <v>124</v>
      </c>
    </row>
    <row r="904" spans="1:11" x14ac:dyDescent="0.35">
      <c r="A904" t="s">
        <v>136</v>
      </c>
      <c r="B904" s="46">
        <v>46119</v>
      </c>
      <c r="C904" t="s">
        <v>86</v>
      </c>
      <c r="D904" t="s">
        <v>137</v>
      </c>
      <c r="E904" t="s">
        <v>166</v>
      </c>
      <c r="F904" t="s">
        <v>167</v>
      </c>
      <c r="G904">
        <v>0.83361111111111108</v>
      </c>
      <c r="H904">
        <v>0</v>
      </c>
      <c r="J904">
        <v>123</v>
      </c>
      <c r="K904" t="s">
        <v>124</v>
      </c>
    </row>
    <row r="905" spans="1:11" x14ac:dyDescent="0.35">
      <c r="A905" t="s">
        <v>136</v>
      </c>
      <c r="B905" s="46">
        <v>46119</v>
      </c>
      <c r="C905" t="s">
        <v>86</v>
      </c>
      <c r="D905" t="s">
        <v>137</v>
      </c>
      <c r="E905" t="s">
        <v>160</v>
      </c>
      <c r="F905" t="s">
        <v>161</v>
      </c>
      <c r="G905">
        <v>1.6308333333333334</v>
      </c>
      <c r="H905">
        <v>0</v>
      </c>
      <c r="J905">
        <v>0</v>
      </c>
      <c r="K905" t="s">
        <v>124</v>
      </c>
    </row>
    <row r="906" spans="1:11" x14ac:dyDescent="0.35">
      <c r="A906" t="s">
        <v>136</v>
      </c>
      <c r="B906" s="46">
        <v>46119</v>
      </c>
      <c r="C906" t="s">
        <v>86</v>
      </c>
      <c r="D906" t="s">
        <v>137</v>
      </c>
      <c r="E906" t="s">
        <v>170</v>
      </c>
      <c r="F906" t="s">
        <v>171</v>
      </c>
      <c r="G906">
        <v>17.380277777777778</v>
      </c>
      <c r="H906">
        <v>0</v>
      </c>
      <c r="J906">
        <v>1229</v>
      </c>
      <c r="K906" t="s">
        <v>124</v>
      </c>
    </row>
    <row r="907" spans="1:11" x14ac:dyDescent="0.35">
      <c r="A907" t="s">
        <v>136</v>
      </c>
      <c r="B907" s="46">
        <v>46119</v>
      </c>
      <c r="C907" t="s">
        <v>86</v>
      </c>
      <c r="D907" t="s">
        <v>137</v>
      </c>
      <c r="E907" t="s">
        <v>184</v>
      </c>
      <c r="F907" t="s">
        <v>185</v>
      </c>
      <c r="G907">
        <v>0.03</v>
      </c>
      <c r="H907">
        <v>0</v>
      </c>
      <c r="J907">
        <v>37</v>
      </c>
      <c r="K907" t="s">
        <v>124</v>
      </c>
    </row>
    <row r="908" spans="1:11" x14ac:dyDescent="0.35">
      <c r="A908" t="s">
        <v>136</v>
      </c>
      <c r="B908" s="46">
        <v>46119</v>
      </c>
      <c r="C908" t="s">
        <v>86</v>
      </c>
      <c r="D908" t="s">
        <v>137</v>
      </c>
      <c r="E908" t="s">
        <v>194</v>
      </c>
      <c r="F908" t="s">
        <v>195</v>
      </c>
      <c r="G908">
        <v>1.1205555555555555</v>
      </c>
      <c r="H908">
        <v>0</v>
      </c>
      <c r="J908">
        <v>120</v>
      </c>
      <c r="K908" t="s">
        <v>124</v>
      </c>
    </row>
    <row r="909" spans="1:11" x14ac:dyDescent="0.35">
      <c r="A909" t="s">
        <v>136</v>
      </c>
      <c r="B909" s="46">
        <v>46119</v>
      </c>
      <c r="C909" t="s">
        <v>86</v>
      </c>
      <c r="D909" t="s">
        <v>137</v>
      </c>
      <c r="E909" t="s">
        <v>196</v>
      </c>
      <c r="F909" t="s">
        <v>197</v>
      </c>
      <c r="G909">
        <v>0.16694444444444445</v>
      </c>
      <c r="H909">
        <v>0</v>
      </c>
      <c r="J909">
        <v>85</v>
      </c>
      <c r="K909" t="s">
        <v>124</v>
      </c>
    </row>
    <row r="910" spans="1:11" x14ac:dyDescent="0.35">
      <c r="A910" t="s">
        <v>136</v>
      </c>
      <c r="B910" s="46">
        <v>46119</v>
      </c>
      <c r="C910" t="s">
        <v>86</v>
      </c>
      <c r="D910" t="s">
        <v>137</v>
      </c>
      <c r="E910" t="s">
        <v>198</v>
      </c>
      <c r="F910" t="s">
        <v>199</v>
      </c>
      <c r="G910">
        <v>0.18805555555555556</v>
      </c>
      <c r="H910">
        <v>0</v>
      </c>
      <c r="J910">
        <v>247</v>
      </c>
      <c r="K910" t="s">
        <v>124</v>
      </c>
    </row>
    <row r="911" spans="1:11" x14ac:dyDescent="0.35">
      <c r="A911" t="s">
        <v>136</v>
      </c>
      <c r="B911" s="46">
        <v>46119</v>
      </c>
      <c r="C911" t="s">
        <v>88</v>
      </c>
      <c r="D911" t="s">
        <v>137</v>
      </c>
      <c r="E911" t="s">
        <v>166</v>
      </c>
      <c r="F911" t="s">
        <v>167</v>
      </c>
      <c r="G911">
        <v>2.4452777777777777</v>
      </c>
      <c r="H911">
        <v>0</v>
      </c>
      <c r="J911">
        <v>57</v>
      </c>
      <c r="K911" t="s">
        <v>124</v>
      </c>
    </row>
    <row r="912" spans="1:11" x14ac:dyDescent="0.35">
      <c r="A912" t="s">
        <v>136</v>
      </c>
      <c r="B912" s="46">
        <v>46119</v>
      </c>
      <c r="C912" t="s">
        <v>88</v>
      </c>
      <c r="D912" t="s">
        <v>137</v>
      </c>
      <c r="E912" t="s">
        <v>194</v>
      </c>
      <c r="F912" t="s">
        <v>195</v>
      </c>
      <c r="G912">
        <v>0.15472222222222223</v>
      </c>
      <c r="H912">
        <v>0</v>
      </c>
      <c r="J912">
        <v>93</v>
      </c>
      <c r="K912" t="s">
        <v>124</v>
      </c>
    </row>
    <row r="913" spans="1:11" x14ac:dyDescent="0.35">
      <c r="A913" t="s">
        <v>136</v>
      </c>
      <c r="B913" s="46">
        <v>46119</v>
      </c>
      <c r="C913" t="s">
        <v>88</v>
      </c>
      <c r="D913" t="s">
        <v>137</v>
      </c>
      <c r="E913" t="s">
        <v>196</v>
      </c>
      <c r="F913" t="s">
        <v>197</v>
      </c>
      <c r="G913">
        <v>3.0555555555555557E-3</v>
      </c>
      <c r="H913">
        <v>0</v>
      </c>
      <c r="J913">
        <v>11</v>
      </c>
      <c r="K913" t="s">
        <v>124</v>
      </c>
    </row>
    <row r="914" spans="1:11" x14ac:dyDescent="0.35">
      <c r="A914" t="s">
        <v>136</v>
      </c>
      <c r="B914" s="46">
        <v>46119</v>
      </c>
      <c r="C914" t="s">
        <v>88</v>
      </c>
      <c r="D914" t="s">
        <v>137</v>
      </c>
      <c r="E914" t="s">
        <v>198</v>
      </c>
      <c r="F914" t="s">
        <v>199</v>
      </c>
      <c r="G914">
        <v>0.13055555555555556</v>
      </c>
      <c r="H914">
        <v>0</v>
      </c>
      <c r="J914">
        <v>76</v>
      </c>
      <c r="K914" t="s">
        <v>124</v>
      </c>
    </row>
    <row r="915" spans="1:11" x14ac:dyDescent="0.35">
      <c r="A915" t="s">
        <v>136</v>
      </c>
      <c r="B915" s="46">
        <v>46119</v>
      </c>
      <c r="C915" t="s">
        <v>100</v>
      </c>
      <c r="D915" t="s">
        <v>137</v>
      </c>
      <c r="E915" t="s">
        <v>180</v>
      </c>
      <c r="F915" t="s">
        <v>181</v>
      </c>
      <c r="G915">
        <v>7.2222222222222219E-3</v>
      </c>
      <c r="H915">
        <v>0</v>
      </c>
      <c r="J915">
        <v>26</v>
      </c>
      <c r="K915" t="s">
        <v>124</v>
      </c>
    </row>
    <row r="916" spans="1:11" x14ac:dyDescent="0.35">
      <c r="A916" t="s">
        <v>136</v>
      </c>
      <c r="B916" s="46">
        <v>46119</v>
      </c>
      <c r="C916" t="s">
        <v>100</v>
      </c>
      <c r="D916" t="s">
        <v>137</v>
      </c>
      <c r="E916" t="s">
        <v>166</v>
      </c>
      <c r="F916" t="s">
        <v>167</v>
      </c>
      <c r="G916">
        <v>3.7499999999999999E-2</v>
      </c>
      <c r="H916">
        <v>0</v>
      </c>
      <c r="J916">
        <v>28</v>
      </c>
      <c r="K916" t="s">
        <v>124</v>
      </c>
    </row>
    <row r="917" spans="1:11" x14ac:dyDescent="0.35">
      <c r="A917" t="s">
        <v>136</v>
      </c>
      <c r="B917" s="46">
        <v>46119</v>
      </c>
      <c r="C917" t="s">
        <v>100</v>
      </c>
      <c r="D917" t="s">
        <v>137</v>
      </c>
      <c r="E917" t="s">
        <v>182</v>
      </c>
      <c r="F917" t="s">
        <v>183</v>
      </c>
      <c r="G917">
        <v>0.26250000000000001</v>
      </c>
      <c r="H917">
        <v>0</v>
      </c>
      <c r="J917">
        <v>98</v>
      </c>
      <c r="K917" t="s">
        <v>124</v>
      </c>
    </row>
    <row r="918" spans="1:11" x14ac:dyDescent="0.35">
      <c r="A918" t="s">
        <v>136</v>
      </c>
      <c r="B918" s="46">
        <v>46119</v>
      </c>
      <c r="C918" t="s">
        <v>100</v>
      </c>
      <c r="D918" t="s">
        <v>137</v>
      </c>
      <c r="E918" t="s">
        <v>172</v>
      </c>
      <c r="F918" t="s">
        <v>173</v>
      </c>
      <c r="G918">
        <v>9.4444444444444442E-2</v>
      </c>
      <c r="H918">
        <v>0</v>
      </c>
      <c r="J918">
        <v>0</v>
      </c>
      <c r="K918" t="s">
        <v>124</v>
      </c>
    </row>
    <row r="919" spans="1:11" x14ac:dyDescent="0.35">
      <c r="A919" t="s">
        <v>136</v>
      </c>
      <c r="B919" s="46">
        <v>46119</v>
      </c>
      <c r="C919" t="s">
        <v>100</v>
      </c>
      <c r="D919" t="s">
        <v>137</v>
      </c>
      <c r="E919" t="s">
        <v>176</v>
      </c>
      <c r="F919" t="s">
        <v>177</v>
      </c>
      <c r="G919">
        <v>0.13083333333333333</v>
      </c>
      <c r="H919">
        <v>0</v>
      </c>
      <c r="J919">
        <v>59</v>
      </c>
      <c r="K919" t="s">
        <v>124</v>
      </c>
    </row>
    <row r="920" spans="1:11" x14ac:dyDescent="0.35">
      <c r="A920" t="s">
        <v>136</v>
      </c>
      <c r="B920" s="46">
        <v>46119</v>
      </c>
      <c r="C920" t="s">
        <v>100</v>
      </c>
      <c r="D920" t="s">
        <v>137</v>
      </c>
      <c r="E920" t="s">
        <v>194</v>
      </c>
      <c r="F920" t="s">
        <v>195</v>
      </c>
      <c r="G920">
        <v>9.8333333333333328E-2</v>
      </c>
      <c r="H920">
        <v>0</v>
      </c>
      <c r="J920">
        <v>31</v>
      </c>
      <c r="K920" t="s">
        <v>124</v>
      </c>
    </row>
    <row r="921" spans="1:11" x14ac:dyDescent="0.35">
      <c r="A921" t="s">
        <v>136</v>
      </c>
      <c r="B921" s="46">
        <v>46119</v>
      </c>
      <c r="C921" t="s">
        <v>100</v>
      </c>
      <c r="D921" t="s">
        <v>137</v>
      </c>
      <c r="E921" t="s">
        <v>196</v>
      </c>
      <c r="F921" t="s">
        <v>197</v>
      </c>
      <c r="G921">
        <v>3.0555555555555557E-3</v>
      </c>
      <c r="H921">
        <v>0</v>
      </c>
      <c r="J921">
        <v>11</v>
      </c>
      <c r="K921" t="s">
        <v>124</v>
      </c>
    </row>
    <row r="922" spans="1:11" x14ac:dyDescent="0.35">
      <c r="A922" t="s">
        <v>136</v>
      </c>
      <c r="B922" s="46">
        <v>46119</v>
      </c>
      <c r="C922" t="s">
        <v>100</v>
      </c>
      <c r="D922" t="s">
        <v>137</v>
      </c>
      <c r="E922" t="s">
        <v>198</v>
      </c>
      <c r="F922" t="s">
        <v>199</v>
      </c>
      <c r="G922">
        <v>0.24722222222222223</v>
      </c>
      <c r="H922">
        <v>0</v>
      </c>
      <c r="J922">
        <v>46</v>
      </c>
      <c r="K922" t="s">
        <v>124</v>
      </c>
    </row>
    <row r="923" spans="1:11" x14ac:dyDescent="0.35">
      <c r="A923" t="s">
        <v>136</v>
      </c>
      <c r="B923" s="46">
        <v>46119</v>
      </c>
      <c r="C923" t="s">
        <v>93</v>
      </c>
      <c r="D923" t="s">
        <v>137</v>
      </c>
      <c r="E923" t="s">
        <v>166</v>
      </c>
      <c r="F923" t="s">
        <v>167</v>
      </c>
      <c r="G923">
        <v>4.1613888888888892</v>
      </c>
      <c r="H923">
        <v>0</v>
      </c>
      <c r="J923">
        <v>44</v>
      </c>
      <c r="K923" t="s">
        <v>124</v>
      </c>
    </row>
    <row r="924" spans="1:11" x14ac:dyDescent="0.35">
      <c r="A924" t="s">
        <v>136</v>
      </c>
      <c r="B924" s="46">
        <v>46119</v>
      </c>
      <c r="C924" t="s">
        <v>93</v>
      </c>
      <c r="D924" t="s">
        <v>137</v>
      </c>
      <c r="E924" t="s">
        <v>194</v>
      </c>
      <c r="F924" t="s">
        <v>195</v>
      </c>
      <c r="G924">
        <v>7.2777777777777775E-2</v>
      </c>
      <c r="H924">
        <v>0</v>
      </c>
      <c r="J924">
        <v>47</v>
      </c>
      <c r="K924" t="s">
        <v>124</v>
      </c>
    </row>
    <row r="925" spans="1:11" x14ac:dyDescent="0.35">
      <c r="A925" t="s">
        <v>136</v>
      </c>
      <c r="B925" s="46">
        <v>46119</v>
      </c>
      <c r="C925" t="s">
        <v>93</v>
      </c>
      <c r="D925" t="s">
        <v>137</v>
      </c>
      <c r="E925" t="s">
        <v>198</v>
      </c>
      <c r="F925" t="s">
        <v>199</v>
      </c>
      <c r="G925">
        <v>0.12861111111111112</v>
      </c>
      <c r="H925">
        <v>0</v>
      </c>
      <c r="J925">
        <v>63</v>
      </c>
      <c r="K925" t="s">
        <v>124</v>
      </c>
    </row>
    <row r="926" spans="1:11" x14ac:dyDescent="0.35">
      <c r="A926" t="s">
        <v>136</v>
      </c>
      <c r="B926" s="46">
        <v>46119</v>
      </c>
      <c r="C926" t="s">
        <v>99</v>
      </c>
      <c r="D926" t="s">
        <v>137</v>
      </c>
      <c r="E926" t="s">
        <v>166</v>
      </c>
      <c r="F926" t="s">
        <v>167</v>
      </c>
      <c r="G926">
        <v>0.95805555555555555</v>
      </c>
      <c r="H926">
        <v>0</v>
      </c>
      <c r="J926">
        <v>29</v>
      </c>
      <c r="K926" t="s">
        <v>124</v>
      </c>
    </row>
    <row r="927" spans="1:11" x14ac:dyDescent="0.35">
      <c r="A927" t="s">
        <v>136</v>
      </c>
      <c r="B927" s="46">
        <v>46119</v>
      </c>
      <c r="C927" t="s">
        <v>99</v>
      </c>
      <c r="D927" t="s">
        <v>137</v>
      </c>
      <c r="E927" t="s">
        <v>168</v>
      </c>
      <c r="F927" t="s">
        <v>169</v>
      </c>
      <c r="G927">
        <v>0.13666666666666666</v>
      </c>
      <c r="H927">
        <v>0</v>
      </c>
      <c r="J927">
        <v>20</v>
      </c>
      <c r="K927" t="s">
        <v>124</v>
      </c>
    </row>
    <row r="928" spans="1:11" x14ac:dyDescent="0.35">
      <c r="A928" t="s">
        <v>136</v>
      </c>
      <c r="B928" s="46">
        <v>46119</v>
      </c>
      <c r="C928" t="s">
        <v>99</v>
      </c>
      <c r="D928" t="s">
        <v>137</v>
      </c>
      <c r="E928" t="s">
        <v>176</v>
      </c>
      <c r="F928" t="s">
        <v>177</v>
      </c>
      <c r="G928">
        <v>0.68611111111111112</v>
      </c>
      <c r="H928">
        <v>0</v>
      </c>
      <c r="J928">
        <v>50</v>
      </c>
      <c r="K928" t="s">
        <v>124</v>
      </c>
    </row>
    <row r="929" spans="1:11" x14ac:dyDescent="0.35">
      <c r="A929" t="s">
        <v>136</v>
      </c>
      <c r="B929" s="46">
        <v>46119</v>
      </c>
      <c r="C929" t="s">
        <v>99</v>
      </c>
      <c r="D929" t="s">
        <v>137</v>
      </c>
      <c r="E929" t="s">
        <v>194</v>
      </c>
      <c r="F929" t="s">
        <v>195</v>
      </c>
      <c r="G929">
        <v>18.64361111111111</v>
      </c>
      <c r="H929">
        <v>0</v>
      </c>
      <c r="J929">
        <v>1228</v>
      </c>
      <c r="K929" t="s">
        <v>124</v>
      </c>
    </row>
    <row r="930" spans="1:11" x14ac:dyDescent="0.35">
      <c r="A930" t="s">
        <v>136</v>
      </c>
      <c r="B930" s="46">
        <v>46119</v>
      </c>
      <c r="C930" t="s">
        <v>99</v>
      </c>
      <c r="D930" t="s">
        <v>137</v>
      </c>
      <c r="E930" t="s">
        <v>198</v>
      </c>
      <c r="F930" t="s">
        <v>199</v>
      </c>
      <c r="G930">
        <v>0.33916666666666667</v>
      </c>
      <c r="H930">
        <v>0</v>
      </c>
      <c r="J930">
        <v>175</v>
      </c>
      <c r="K930" t="s">
        <v>124</v>
      </c>
    </row>
    <row r="931" spans="1:11" x14ac:dyDescent="0.35">
      <c r="A931" t="s">
        <v>136</v>
      </c>
      <c r="B931" s="46">
        <v>46119</v>
      </c>
      <c r="C931" t="s">
        <v>98</v>
      </c>
      <c r="D931" t="s">
        <v>137</v>
      </c>
      <c r="E931" t="s">
        <v>170</v>
      </c>
      <c r="F931" t="s">
        <v>171</v>
      </c>
      <c r="G931">
        <v>24</v>
      </c>
      <c r="H931">
        <v>0</v>
      </c>
      <c r="J931">
        <v>435</v>
      </c>
      <c r="K931" t="s">
        <v>124</v>
      </c>
    </row>
    <row r="932" spans="1:11" x14ac:dyDescent="0.35">
      <c r="A932" t="s">
        <v>136</v>
      </c>
      <c r="B932" s="46">
        <v>46119</v>
      </c>
      <c r="C932" t="s">
        <v>97</v>
      </c>
      <c r="D932" t="s">
        <v>137</v>
      </c>
      <c r="E932" t="s">
        <v>180</v>
      </c>
      <c r="F932" t="s">
        <v>181</v>
      </c>
      <c r="G932">
        <v>3.2777777777777781E-2</v>
      </c>
      <c r="H932">
        <v>0</v>
      </c>
      <c r="J932">
        <v>0</v>
      </c>
      <c r="K932" t="s">
        <v>124</v>
      </c>
    </row>
    <row r="933" spans="1:11" x14ac:dyDescent="0.35">
      <c r="A933" t="s">
        <v>136</v>
      </c>
      <c r="B933" s="46">
        <v>46119</v>
      </c>
      <c r="C933" t="s">
        <v>97</v>
      </c>
      <c r="D933" t="s">
        <v>137</v>
      </c>
      <c r="E933" t="s">
        <v>166</v>
      </c>
      <c r="F933" t="s">
        <v>167</v>
      </c>
      <c r="G933">
        <v>1.7652777777777777</v>
      </c>
      <c r="H933">
        <v>0</v>
      </c>
      <c r="J933">
        <v>128</v>
      </c>
      <c r="K933" t="s">
        <v>124</v>
      </c>
    </row>
    <row r="934" spans="1:11" x14ac:dyDescent="0.35">
      <c r="A934" t="s">
        <v>136</v>
      </c>
      <c r="B934" s="46">
        <v>46119</v>
      </c>
      <c r="C934" t="s">
        <v>97</v>
      </c>
      <c r="D934" t="s">
        <v>137</v>
      </c>
      <c r="E934" t="s">
        <v>168</v>
      </c>
      <c r="F934" t="s">
        <v>169</v>
      </c>
      <c r="G934">
        <v>8.4444444444444447E-2</v>
      </c>
      <c r="H934">
        <v>0</v>
      </c>
      <c r="J934">
        <v>47</v>
      </c>
      <c r="K934" t="s">
        <v>124</v>
      </c>
    </row>
    <row r="935" spans="1:11" x14ac:dyDescent="0.35">
      <c r="A935" t="s">
        <v>136</v>
      </c>
      <c r="B935" s="46">
        <v>46119</v>
      </c>
      <c r="C935" t="s">
        <v>97</v>
      </c>
      <c r="D935" t="s">
        <v>137</v>
      </c>
      <c r="E935" t="s">
        <v>176</v>
      </c>
      <c r="F935" t="s">
        <v>177</v>
      </c>
      <c r="G935">
        <v>0.40749999999999997</v>
      </c>
      <c r="H935">
        <v>0</v>
      </c>
      <c r="J935">
        <v>0</v>
      </c>
      <c r="K935" t="s">
        <v>124</v>
      </c>
    </row>
    <row r="936" spans="1:11" x14ac:dyDescent="0.35">
      <c r="A936" t="s">
        <v>136</v>
      </c>
      <c r="B936" s="46">
        <v>46119</v>
      </c>
      <c r="C936" t="s">
        <v>97</v>
      </c>
      <c r="D936" t="s">
        <v>137</v>
      </c>
      <c r="E936" t="s">
        <v>194</v>
      </c>
      <c r="F936" t="s">
        <v>195</v>
      </c>
      <c r="G936">
        <v>7.5277777777777777E-2</v>
      </c>
      <c r="H936">
        <v>0</v>
      </c>
      <c r="J936">
        <v>28</v>
      </c>
      <c r="K936" t="s">
        <v>124</v>
      </c>
    </row>
    <row r="937" spans="1:11" x14ac:dyDescent="0.35">
      <c r="A937" t="s">
        <v>136</v>
      </c>
      <c r="B937" s="46">
        <v>46119</v>
      </c>
      <c r="C937" t="s">
        <v>97</v>
      </c>
      <c r="D937" t="s">
        <v>137</v>
      </c>
      <c r="E937" t="s">
        <v>198</v>
      </c>
      <c r="F937" t="s">
        <v>199</v>
      </c>
      <c r="G937">
        <v>0.16388888888888889</v>
      </c>
      <c r="H937">
        <v>0</v>
      </c>
      <c r="J937">
        <v>300</v>
      </c>
      <c r="K937" t="s">
        <v>124</v>
      </c>
    </row>
    <row r="938" spans="1:11" x14ac:dyDescent="0.35">
      <c r="A938" t="s">
        <v>136</v>
      </c>
      <c r="B938" s="46">
        <v>46119</v>
      </c>
      <c r="C938" t="s">
        <v>84</v>
      </c>
      <c r="D938" t="s">
        <v>137</v>
      </c>
      <c r="E938" t="s">
        <v>166</v>
      </c>
      <c r="F938" t="s">
        <v>167</v>
      </c>
      <c r="G938">
        <v>4.7102777777777778</v>
      </c>
      <c r="H938">
        <v>0</v>
      </c>
      <c r="J938">
        <v>2</v>
      </c>
      <c r="K938" t="s">
        <v>124</v>
      </c>
    </row>
    <row r="939" spans="1:11" x14ac:dyDescent="0.35">
      <c r="A939" t="s">
        <v>136</v>
      </c>
      <c r="B939" s="46">
        <v>46119</v>
      </c>
      <c r="C939" t="s">
        <v>84</v>
      </c>
      <c r="D939" t="s">
        <v>137</v>
      </c>
      <c r="E939" t="s">
        <v>190</v>
      </c>
      <c r="F939" t="s">
        <v>191</v>
      </c>
      <c r="G939">
        <v>6.9444444444444441E-3</v>
      </c>
      <c r="H939">
        <v>0</v>
      </c>
      <c r="J939">
        <v>0</v>
      </c>
      <c r="K939" t="s">
        <v>124</v>
      </c>
    </row>
    <row r="940" spans="1:11" x14ac:dyDescent="0.35">
      <c r="A940" t="s">
        <v>136</v>
      </c>
      <c r="B940" s="46">
        <v>46119</v>
      </c>
      <c r="C940" t="s">
        <v>84</v>
      </c>
      <c r="D940" t="s">
        <v>137</v>
      </c>
      <c r="E940" t="s">
        <v>200</v>
      </c>
      <c r="F940" t="s">
        <v>201</v>
      </c>
      <c r="G940">
        <v>0.10027777777777777</v>
      </c>
      <c r="H940">
        <v>0</v>
      </c>
      <c r="J940">
        <v>0</v>
      </c>
      <c r="K940" t="s">
        <v>124</v>
      </c>
    </row>
    <row r="941" spans="1:11" x14ac:dyDescent="0.35">
      <c r="A941" t="s">
        <v>136</v>
      </c>
      <c r="B941" s="46">
        <v>46119</v>
      </c>
      <c r="C941" t="s">
        <v>84</v>
      </c>
      <c r="D941" t="s">
        <v>137</v>
      </c>
      <c r="E941" t="s">
        <v>194</v>
      </c>
      <c r="F941" t="s">
        <v>195</v>
      </c>
      <c r="G941">
        <v>0.38916666666666666</v>
      </c>
      <c r="H941">
        <v>0</v>
      </c>
      <c r="J941">
        <v>93</v>
      </c>
      <c r="K941" t="s">
        <v>124</v>
      </c>
    </row>
    <row r="942" spans="1:11" x14ac:dyDescent="0.35">
      <c r="A942" t="s">
        <v>136</v>
      </c>
      <c r="B942" s="46">
        <v>46119</v>
      </c>
      <c r="C942" t="s">
        <v>84</v>
      </c>
      <c r="D942" t="s">
        <v>137</v>
      </c>
      <c r="E942" t="s">
        <v>152</v>
      </c>
      <c r="F942" t="s">
        <v>153</v>
      </c>
      <c r="G942">
        <v>8.0555555555555554E-3</v>
      </c>
      <c r="H942">
        <v>0</v>
      </c>
      <c r="J942">
        <v>0</v>
      </c>
      <c r="K942" t="s">
        <v>124</v>
      </c>
    </row>
    <row r="943" spans="1:11" x14ac:dyDescent="0.35">
      <c r="A943" t="s">
        <v>136</v>
      </c>
      <c r="B943" s="46">
        <v>46119</v>
      </c>
      <c r="C943" t="s">
        <v>84</v>
      </c>
      <c r="D943" t="s">
        <v>137</v>
      </c>
      <c r="E943" t="s">
        <v>196</v>
      </c>
      <c r="F943" t="s">
        <v>197</v>
      </c>
      <c r="G943">
        <v>17.767777777777777</v>
      </c>
      <c r="H943">
        <v>0</v>
      </c>
      <c r="J943">
        <v>1003</v>
      </c>
      <c r="K943" t="s">
        <v>124</v>
      </c>
    </row>
    <row r="944" spans="1:11" x14ac:dyDescent="0.35">
      <c r="A944" t="s">
        <v>136</v>
      </c>
      <c r="B944" s="46">
        <v>46119</v>
      </c>
      <c r="C944" t="s">
        <v>84</v>
      </c>
      <c r="D944" t="s">
        <v>137</v>
      </c>
      <c r="E944" t="s">
        <v>198</v>
      </c>
      <c r="F944" t="s">
        <v>199</v>
      </c>
      <c r="G944">
        <v>0.22027777777777777</v>
      </c>
      <c r="H944">
        <v>0</v>
      </c>
      <c r="J944">
        <v>375</v>
      </c>
      <c r="K944" t="s">
        <v>124</v>
      </c>
    </row>
    <row r="945" spans="1:11" x14ac:dyDescent="0.35">
      <c r="A945" t="s">
        <v>136</v>
      </c>
      <c r="B945" s="46">
        <v>46119</v>
      </c>
      <c r="C945" t="s">
        <v>85</v>
      </c>
      <c r="D945" t="s">
        <v>137</v>
      </c>
      <c r="E945" t="s">
        <v>180</v>
      </c>
      <c r="F945" t="s">
        <v>181</v>
      </c>
      <c r="G945">
        <v>7.5277777777777777E-2</v>
      </c>
      <c r="H945">
        <v>0</v>
      </c>
      <c r="J945">
        <v>127</v>
      </c>
      <c r="K945" t="s">
        <v>124</v>
      </c>
    </row>
    <row r="946" spans="1:11" x14ac:dyDescent="0.35">
      <c r="A946" t="s">
        <v>136</v>
      </c>
      <c r="B946" s="46">
        <v>46119</v>
      </c>
      <c r="C946" t="s">
        <v>85</v>
      </c>
      <c r="D946" t="s">
        <v>137</v>
      </c>
      <c r="E946" t="s">
        <v>164</v>
      </c>
      <c r="F946" t="s">
        <v>165</v>
      </c>
      <c r="G946">
        <v>1.8055555555555554E-2</v>
      </c>
      <c r="H946">
        <v>0</v>
      </c>
      <c r="J946">
        <v>0</v>
      </c>
      <c r="K946" t="s">
        <v>124</v>
      </c>
    </row>
    <row r="947" spans="1:11" x14ac:dyDescent="0.35">
      <c r="A947" t="s">
        <v>136</v>
      </c>
      <c r="B947" s="46">
        <v>46119</v>
      </c>
      <c r="C947" t="s">
        <v>85</v>
      </c>
      <c r="D947" t="s">
        <v>137</v>
      </c>
      <c r="E947" t="s">
        <v>166</v>
      </c>
      <c r="F947" t="s">
        <v>167</v>
      </c>
      <c r="G947">
        <v>2.2516666666666665</v>
      </c>
      <c r="H947">
        <v>0</v>
      </c>
      <c r="J947">
        <v>113</v>
      </c>
      <c r="K947" t="s">
        <v>124</v>
      </c>
    </row>
    <row r="948" spans="1:11" x14ac:dyDescent="0.35">
      <c r="A948" t="s">
        <v>136</v>
      </c>
      <c r="B948" s="46">
        <v>46119</v>
      </c>
      <c r="C948" t="s">
        <v>85</v>
      </c>
      <c r="D948" t="s">
        <v>137</v>
      </c>
      <c r="E948" t="s">
        <v>168</v>
      </c>
      <c r="F948" t="s">
        <v>169</v>
      </c>
      <c r="G948">
        <v>7.6666666666666661E-2</v>
      </c>
      <c r="H948">
        <v>0</v>
      </c>
      <c r="J948">
        <v>44</v>
      </c>
      <c r="K948" t="s">
        <v>124</v>
      </c>
    </row>
    <row r="949" spans="1:11" x14ac:dyDescent="0.35">
      <c r="A949" t="s">
        <v>136</v>
      </c>
      <c r="B949" s="46">
        <v>46119</v>
      </c>
      <c r="C949" t="s">
        <v>85</v>
      </c>
      <c r="D949" t="s">
        <v>137</v>
      </c>
      <c r="E949" t="s">
        <v>170</v>
      </c>
      <c r="F949" t="s">
        <v>171</v>
      </c>
      <c r="G949">
        <v>18.018055555555556</v>
      </c>
      <c r="H949">
        <v>0</v>
      </c>
      <c r="J949">
        <v>920</v>
      </c>
      <c r="K949" t="s">
        <v>124</v>
      </c>
    </row>
    <row r="950" spans="1:11" x14ac:dyDescent="0.35">
      <c r="A950" t="s">
        <v>136</v>
      </c>
      <c r="B950" s="46">
        <v>46119</v>
      </c>
      <c r="C950" t="s">
        <v>85</v>
      </c>
      <c r="D950" t="s">
        <v>137</v>
      </c>
      <c r="E950" t="s">
        <v>184</v>
      </c>
      <c r="F950" t="s">
        <v>185</v>
      </c>
      <c r="G950">
        <v>5.8333333333333336E-3</v>
      </c>
      <c r="H950">
        <v>0</v>
      </c>
      <c r="J950">
        <v>0</v>
      </c>
      <c r="K950" t="s">
        <v>124</v>
      </c>
    </row>
    <row r="951" spans="1:11" x14ac:dyDescent="0.35">
      <c r="A951" t="s">
        <v>136</v>
      </c>
      <c r="B951" s="46">
        <v>46119</v>
      </c>
      <c r="C951" t="s">
        <v>85</v>
      </c>
      <c r="D951" t="s">
        <v>137</v>
      </c>
      <c r="E951" t="s">
        <v>194</v>
      </c>
      <c r="F951" t="s">
        <v>195</v>
      </c>
      <c r="G951">
        <v>9.6388888888888885E-2</v>
      </c>
      <c r="H951">
        <v>0</v>
      </c>
      <c r="J951">
        <v>37</v>
      </c>
      <c r="K951" t="s">
        <v>124</v>
      </c>
    </row>
    <row r="952" spans="1:11" x14ac:dyDescent="0.35">
      <c r="A952" t="s">
        <v>136</v>
      </c>
      <c r="B952" s="46">
        <v>46119</v>
      </c>
      <c r="C952" t="s">
        <v>85</v>
      </c>
      <c r="D952" t="s">
        <v>137</v>
      </c>
      <c r="E952" t="s">
        <v>198</v>
      </c>
      <c r="F952" t="s">
        <v>199</v>
      </c>
      <c r="G952">
        <v>0.62138888888888888</v>
      </c>
      <c r="H952">
        <v>0</v>
      </c>
      <c r="J952">
        <v>246</v>
      </c>
      <c r="K952" t="s">
        <v>124</v>
      </c>
    </row>
    <row r="953" spans="1:11" x14ac:dyDescent="0.35">
      <c r="A953" t="s">
        <v>136</v>
      </c>
      <c r="B953" s="46">
        <v>46119</v>
      </c>
      <c r="C953" t="s">
        <v>103</v>
      </c>
      <c r="D953" t="s">
        <v>137</v>
      </c>
      <c r="E953" t="s">
        <v>164</v>
      </c>
      <c r="F953" t="s">
        <v>165</v>
      </c>
      <c r="G953">
        <v>0.16833333333333333</v>
      </c>
      <c r="H953">
        <v>0</v>
      </c>
      <c r="J953">
        <v>92</v>
      </c>
      <c r="K953" t="s">
        <v>124</v>
      </c>
    </row>
    <row r="954" spans="1:11" x14ac:dyDescent="0.35">
      <c r="A954" t="s">
        <v>136</v>
      </c>
      <c r="B954" s="46">
        <v>46119</v>
      </c>
      <c r="C954" t="s">
        <v>103</v>
      </c>
      <c r="D954" t="s">
        <v>137</v>
      </c>
      <c r="E954" t="s">
        <v>166</v>
      </c>
      <c r="F954" t="s">
        <v>167</v>
      </c>
      <c r="G954">
        <v>2.1427777777777779</v>
      </c>
      <c r="H954">
        <v>0</v>
      </c>
      <c r="J954">
        <v>162</v>
      </c>
      <c r="K954" t="s">
        <v>124</v>
      </c>
    </row>
    <row r="955" spans="1:11" x14ac:dyDescent="0.35">
      <c r="A955" t="s">
        <v>136</v>
      </c>
      <c r="B955" s="46">
        <v>46119</v>
      </c>
      <c r="C955" t="s">
        <v>103</v>
      </c>
      <c r="D955" t="s">
        <v>137</v>
      </c>
      <c r="E955" t="s">
        <v>168</v>
      </c>
      <c r="F955" t="s">
        <v>169</v>
      </c>
      <c r="G955">
        <v>9.7222222222222224E-2</v>
      </c>
      <c r="H955">
        <v>0</v>
      </c>
      <c r="J955">
        <v>38</v>
      </c>
      <c r="K955" t="s">
        <v>124</v>
      </c>
    </row>
    <row r="956" spans="1:11" x14ac:dyDescent="0.35">
      <c r="A956" t="s">
        <v>136</v>
      </c>
      <c r="B956" s="46">
        <v>46119</v>
      </c>
      <c r="C956" t="s">
        <v>103</v>
      </c>
      <c r="D956" t="s">
        <v>137</v>
      </c>
      <c r="E956" t="s">
        <v>170</v>
      </c>
      <c r="F956" t="s">
        <v>171</v>
      </c>
      <c r="G956">
        <v>6.1711111111111112</v>
      </c>
      <c r="H956">
        <v>0</v>
      </c>
      <c r="J956">
        <v>203</v>
      </c>
      <c r="K956" t="s">
        <v>124</v>
      </c>
    </row>
    <row r="957" spans="1:11" x14ac:dyDescent="0.35">
      <c r="A957" t="s">
        <v>136</v>
      </c>
      <c r="B957" s="46">
        <v>46119</v>
      </c>
      <c r="C957" t="s">
        <v>103</v>
      </c>
      <c r="D957" t="s">
        <v>137</v>
      </c>
      <c r="E957" t="s">
        <v>182</v>
      </c>
      <c r="F957" t="s">
        <v>183</v>
      </c>
      <c r="G957">
        <v>0.30888888888888888</v>
      </c>
      <c r="H957">
        <v>0</v>
      </c>
      <c r="J957">
        <v>0</v>
      </c>
      <c r="K957" t="s">
        <v>124</v>
      </c>
    </row>
    <row r="958" spans="1:11" x14ac:dyDescent="0.35">
      <c r="A958" t="s">
        <v>136</v>
      </c>
      <c r="B958" s="46">
        <v>46119</v>
      </c>
      <c r="C958" t="s">
        <v>103</v>
      </c>
      <c r="D958" t="s">
        <v>137</v>
      </c>
      <c r="E958" t="s">
        <v>200</v>
      </c>
      <c r="F958" t="s">
        <v>201</v>
      </c>
      <c r="G958">
        <v>0.18138888888888888</v>
      </c>
      <c r="H958">
        <v>0</v>
      </c>
      <c r="J958">
        <v>0</v>
      </c>
      <c r="K958" t="s">
        <v>124</v>
      </c>
    </row>
    <row r="959" spans="1:11" x14ac:dyDescent="0.35">
      <c r="A959" t="s">
        <v>136</v>
      </c>
      <c r="B959" s="46">
        <v>46119</v>
      </c>
      <c r="C959" t="s">
        <v>103</v>
      </c>
      <c r="D959" t="s">
        <v>137</v>
      </c>
      <c r="E959" t="s">
        <v>172</v>
      </c>
      <c r="F959" t="s">
        <v>173</v>
      </c>
      <c r="G959">
        <v>0.20416666666666666</v>
      </c>
      <c r="H959">
        <v>0</v>
      </c>
      <c r="J959">
        <v>78</v>
      </c>
      <c r="K959" t="s">
        <v>124</v>
      </c>
    </row>
    <row r="960" spans="1:11" x14ac:dyDescent="0.35">
      <c r="A960" t="s">
        <v>136</v>
      </c>
      <c r="B960" s="46">
        <v>46119</v>
      </c>
      <c r="C960" t="s">
        <v>103</v>
      </c>
      <c r="D960" t="s">
        <v>137</v>
      </c>
      <c r="E960" t="s">
        <v>176</v>
      </c>
      <c r="F960" t="s">
        <v>177</v>
      </c>
      <c r="G960">
        <v>0.37222222222222223</v>
      </c>
      <c r="H960">
        <v>0</v>
      </c>
      <c r="J960">
        <v>97</v>
      </c>
      <c r="K960" t="s">
        <v>124</v>
      </c>
    </row>
    <row r="961" spans="1:11" x14ac:dyDescent="0.35">
      <c r="A961" t="s">
        <v>136</v>
      </c>
      <c r="B961" s="46">
        <v>46119</v>
      </c>
      <c r="C961" t="s">
        <v>103</v>
      </c>
      <c r="D961" t="s">
        <v>137</v>
      </c>
      <c r="E961" t="s">
        <v>178</v>
      </c>
      <c r="F961" t="s">
        <v>179</v>
      </c>
      <c r="G961">
        <v>7.849444444444444</v>
      </c>
      <c r="H961">
        <v>0</v>
      </c>
      <c r="J961">
        <v>108</v>
      </c>
      <c r="K961" t="s">
        <v>124</v>
      </c>
    </row>
    <row r="962" spans="1:11" x14ac:dyDescent="0.35">
      <c r="A962" t="s">
        <v>136</v>
      </c>
      <c r="B962" s="46">
        <v>46119</v>
      </c>
      <c r="C962" t="s">
        <v>103</v>
      </c>
      <c r="D962" t="s">
        <v>137</v>
      </c>
      <c r="E962" t="s">
        <v>194</v>
      </c>
      <c r="F962" t="s">
        <v>195</v>
      </c>
      <c r="G962">
        <v>3.1944444444444442E-2</v>
      </c>
      <c r="H962">
        <v>0</v>
      </c>
      <c r="J962">
        <v>24</v>
      </c>
      <c r="K962" t="s">
        <v>124</v>
      </c>
    </row>
    <row r="963" spans="1:11" x14ac:dyDescent="0.35">
      <c r="A963" t="s">
        <v>136</v>
      </c>
      <c r="B963" s="46">
        <v>46119</v>
      </c>
      <c r="C963" t="s">
        <v>103</v>
      </c>
      <c r="D963" t="s">
        <v>137</v>
      </c>
      <c r="E963" t="s">
        <v>196</v>
      </c>
      <c r="F963" t="s">
        <v>197</v>
      </c>
      <c r="G963">
        <v>9.4722222222222222E-2</v>
      </c>
      <c r="H963">
        <v>0</v>
      </c>
      <c r="J963">
        <v>77</v>
      </c>
      <c r="K963" t="s">
        <v>124</v>
      </c>
    </row>
    <row r="964" spans="1:11" x14ac:dyDescent="0.35">
      <c r="A964" t="s">
        <v>136</v>
      </c>
      <c r="B964" s="46">
        <v>46119</v>
      </c>
      <c r="C964" t="s">
        <v>103</v>
      </c>
      <c r="D964" t="s">
        <v>137</v>
      </c>
      <c r="E964" t="s">
        <v>198</v>
      </c>
      <c r="F964" t="s">
        <v>199</v>
      </c>
      <c r="G964">
        <v>0.2311111111111111</v>
      </c>
      <c r="H964">
        <v>0</v>
      </c>
      <c r="J964">
        <v>70</v>
      </c>
      <c r="K964" t="s">
        <v>124</v>
      </c>
    </row>
    <row r="965" spans="1:11" x14ac:dyDescent="0.35">
      <c r="A965" t="s">
        <v>136</v>
      </c>
      <c r="B965" s="46">
        <v>46119</v>
      </c>
      <c r="C965" t="s">
        <v>109</v>
      </c>
      <c r="D965" t="s">
        <v>137</v>
      </c>
      <c r="E965" t="s">
        <v>180</v>
      </c>
      <c r="F965" t="s">
        <v>181</v>
      </c>
      <c r="G965">
        <v>1.2777777777777779E-2</v>
      </c>
      <c r="H965">
        <v>0</v>
      </c>
      <c r="J965">
        <v>23</v>
      </c>
      <c r="K965" t="s">
        <v>124</v>
      </c>
    </row>
    <row r="966" spans="1:11" x14ac:dyDescent="0.35">
      <c r="A966" t="s">
        <v>136</v>
      </c>
      <c r="B966" s="46">
        <v>46119</v>
      </c>
      <c r="C966" t="s">
        <v>109</v>
      </c>
      <c r="D966" t="s">
        <v>137</v>
      </c>
      <c r="E966" t="s">
        <v>166</v>
      </c>
      <c r="F966" t="s">
        <v>167</v>
      </c>
      <c r="G966">
        <v>0.17333333333333334</v>
      </c>
      <c r="H966">
        <v>0</v>
      </c>
      <c r="J966">
        <v>114</v>
      </c>
      <c r="K966" t="s">
        <v>124</v>
      </c>
    </row>
    <row r="967" spans="1:11" x14ac:dyDescent="0.35">
      <c r="A967" t="s">
        <v>136</v>
      </c>
      <c r="B967" s="46">
        <v>46119</v>
      </c>
      <c r="C967" t="s">
        <v>109</v>
      </c>
      <c r="D967" t="s">
        <v>137</v>
      </c>
      <c r="E967" t="s">
        <v>208</v>
      </c>
      <c r="F967" t="s">
        <v>209</v>
      </c>
      <c r="G967">
        <v>5.5555555555555556E-4</v>
      </c>
      <c r="H967">
        <v>0</v>
      </c>
      <c r="J967">
        <v>2</v>
      </c>
      <c r="K967" t="s">
        <v>124</v>
      </c>
    </row>
    <row r="968" spans="1:11" x14ac:dyDescent="0.35">
      <c r="A968" t="s">
        <v>136</v>
      </c>
      <c r="B968" s="46">
        <v>46119</v>
      </c>
      <c r="C968" t="s">
        <v>109</v>
      </c>
      <c r="D968" t="s">
        <v>137</v>
      </c>
      <c r="E968" t="s">
        <v>170</v>
      </c>
      <c r="F968" t="s">
        <v>171</v>
      </c>
      <c r="G968">
        <v>8.0833333333333339</v>
      </c>
      <c r="H968">
        <v>0</v>
      </c>
      <c r="J968">
        <v>884</v>
      </c>
      <c r="K968" t="s">
        <v>124</v>
      </c>
    </row>
    <row r="969" spans="1:11" x14ac:dyDescent="0.35">
      <c r="A969" t="s">
        <v>136</v>
      </c>
      <c r="B969" s="46">
        <v>46119</v>
      </c>
      <c r="C969" t="s">
        <v>109</v>
      </c>
      <c r="D969" t="s">
        <v>137</v>
      </c>
      <c r="E969" t="s">
        <v>210</v>
      </c>
      <c r="F969" t="s">
        <v>211</v>
      </c>
      <c r="G969">
        <v>5.5555555555555556E-4</v>
      </c>
      <c r="H969">
        <v>0</v>
      </c>
      <c r="J969">
        <v>0</v>
      </c>
      <c r="K969" t="s">
        <v>124</v>
      </c>
    </row>
    <row r="970" spans="1:11" x14ac:dyDescent="0.35">
      <c r="A970" t="s">
        <v>136</v>
      </c>
      <c r="B970" s="46">
        <v>46119</v>
      </c>
      <c r="C970" t="s">
        <v>109</v>
      </c>
      <c r="D970" t="s">
        <v>137</v>
      </c>
      <c r="E970" t="s">
        <v>200</v>
      </c>
      <c r="F970" t="s">
        <v>201</v>
      </c>
      <c r="G970">
        <v>3.0555555555555557E-3</v>
      </c>
      <c r="H970">
        <v>0</v>
      </c>
      <c r="J970">
        <v>2</v>
      </c>
      <c r="K970" t="s">
        <v>124</v>
      </c>
    </row>
    <row r="971" spans="1:11" x14ac:dyDescent="0.35">
      <c r="A971" t="s">
        <v>136</v>
      </c>
      <c r="B971" s="46">
        <v>46119</v>
      </c>
      <c r="C971" t="s">
        <v>109</v>
      </c>
      <c r="D971" t="s">
        <v>137</v>
      </c>
      <c r="E971" t="s">
        <v>206</v>
      </c>
      <c r="F971" t="s">
        <v>207</v>
      </c>
      <c r="G971">
        <v>2.6944444444444444E-2</v>
      </c>
      <c r="H971">
        <v>0</v>
      </c>
      <c r="J971">
        <v>30</v>
      </c>
      <c r="K971" t="s">
        <v>124</v>
      </c>
    </row>
    <row r="972" spans="1:11" x14ac:dyDescent="0.35">
      <c r="A972" t="s">
        <v>136</v>
      </c>
      <c r="B972" s="46">
        <v>46119</v>
      </c>
      <c r="C972" t="s">
        <v>109</v>
      </c>
      <c r="D972" t="s">
        <v>137</v>
      </c>
      <c r="E972" t="s">
        <v>194</v>
      </c>
      <c r="F972" t="s">
        <v>195</v>
      </c>
      <c r="G972">
        <v>0.7122222222222222</v>
      </c>
      <c r="H972">
        <v>0</v>
      </c>
      <c r="J972">
        <v>73</v>
      </c>
      <c r="K972" t="s">
        <v>124</v>
      </c>
    </row>
    <row r="973" spans="1:11" x14ac:dyDescent="0.35">
      <c r="A973" t="s">
        <v>136</v>
      </c>
      <c r="B973" s="46">
        <v>46119</v>
      </c>
      <c r="C973" t="s">
        <v>109</v>
      </c>
      <c r="D973" t="s">
        <v>137</v>
      </c>
      <c r="E973" t="s">
        <v>196</v>
      </c>
      <c r="F973" t="s">
        <v>197</v>
      </c>
      <c r="G973">
        <v>1.5833333333333335E-2</v>
      </c>
      <c r="H973">
        <v>0</v>
      </c>
      <c r="J973">
        <v>23</v>
      </c>
      <c r="K973" t="s">
        <v>124</v>
      </c>
    </row>
    <row r="974" spans="1:11" x14ac:dyDescent="0.35">
      <c r="A974" t="s">
        <v>136</v>
      </c>
      <c r="B974" s="46">
        <v>46119</v>
      </c>
      <c r="C974" t="s">
        <v>109</v>
      </c>
      <c r="D974" t="s">
        <v>137</v>
      </c>
      <c r="E974" t="s">
        <v>198</v>
      </c>
      <c r="F974" t="s">
        <v>199</v>
      </c>
      <c r="G974">
        <v>2.3566666666666665</v>
      </c>
      <c r="H974">
        <v>0</v>
      </c>
      <c r="J974">
        <v>338</v>
      </c>
      <c r="K974" t="s">
        <v>124</v>
      </c>
    </row>
    <row r="975" spans="1:11" x14ac:dyDescent="0.35">
      <c r="A975" t="s">
        <v>136</v>
      </c>
      <c r="B975" s="46">
        <v>46120</v>
      </c>
      <c r="C975" t="s">
        <v>96</v>
      </c>
      <c r="D975" t="s">
        <v>137</v>
      </c>
      <c r="E975" t="s">
        <v>166</v>
      </c>
      <c r="F975" t="s">
        <v>167</v>
      </c>
      <c r="G975">
        <v>5.402222222222222</v>
      </c>
      <c r="H975">
        <v>0</v>
      </c>
      <c r="J975">
        <v>118</v>
      </c>
      <c r="K975" t="s">
        <v>124</v>
      </c>
    </row>
    <row r="976" spans="1:11" x14ac:dyDescent="0.35">
      <c r="A976" t="s">
        <v>136</v>
      </c>
      <c r="B976" s="46">
        <v>46120</v>
      </c>
      <c r="C976" t="s">
        <v>96</v>
      </c>
      <c r="D976" t="s">
        <v>137</v>
      </c>
      <c r="E976" t="s">
        <v>170</v>
      </c>
      <c r="F976" t="s">
        <v>171</v>
      </c>
      <c r="G976">
        <v>17.699722222222221</v>
      </c>
      <c r="H976">
        <v>0</v>
      </c>
      <c r="J976">
        <v>681</v>
      </c>
      <c r="K976" t="s">
        <v>124</v>
      </c>
    </row>
    <row r="977" spans="1:11" x14ac:dyDescent="0.35">
      <c r="A977" t="s">
        <v>136</v>
      </c>
      <c r="B977" s="46">
        <v>46120</v>
      </c>
      <c r="C977" t="s">
        <v>104</v>
      </c>
      <c r="D977" t="s">
        <v>137</v>
      </c>
      <c r="E977" t="s">
        <v>198</v>
      </c>
      <c r="F977" t="s">
        <v>199</v>
      </c>
      <c r="G977">
        <v>24</v>
      </c>
      <c r="H977">
        <v>0</v>
      </c>
      <c r="J977">
        <v>691</v>
      </c>
      <c r="K977" t="s">
        <v>124</v>
      </c>
    </row>
    <row r="978" spans="1:11" x14ac:dyDescent="0.35">
      <c r="A978" t="s">
        <v>136</v>
      </c>
      <c r="B978" s="46">
        <v>46120</v>
      </c>
      <c r="C978" t="s">
        <v>90</v>
      </c>
      <c r="D978" t="s">
        <v>137</v>
      </c>
      <c r="E978" t="s">
        <v>166</v>
      </c>
      <c r="F978" t="s">
        <v>167</v>
      </c>
      <c r="G978">
        <v>5.4011111111111108</v>
      </c>
      <c r="H978">
        <v>0</v>
      </c>
      <c r="J978">
        <v>0</v>
      </c>
      <c r="K978" t="s">
        <v>124</v>
      </c>
    </row>
    <row r="979" spans="1:11" x14ac:dyDescent="0.35">
      <c r="A979" t="s">
        <v>136</v>
      </c>
      <c r="B979" s="46">
        <v>46120</v>
      </c>
      <c r="C979" t="s">
        <v>90</v>
      </c>
      <c r="D979" t="s">
        <v>137</v>
      </c>
      <c r="E979" t="s">
        <v>170</v>
      </c>
      <c r="F979" t="s">
        <v>171</v>
      </c>
      <c r="G979">
        <v>18.475555555555555</v>
      </c>
      <c r="H979">
        <v>0</v>
      </c>
      <c r="J979">
        <v>600</v>
      </c>
      <c r="K979" t="s">
        <v>124</v>
      </c>
    </row>
    <row r="980" spans="1:11" x14ac:dyDescent="0.35">
      <c r="A980" t="s">
        <v>136</v>
      </c>
      <c r="B980" s="46">
        <v>46120</v>
      </c>
      <c r="C980" t="s">
        <v>107</v>
      </c>
      <c r="D980" t="s">
        <v>137</v>
      </c>
      <c r="E980" t="s">
        <v>180</v>
      </c>
      <c r="F980" t="s">
        <v>181</v>
      </c>
      <c r="G980">
        <v>8.3055555555555549E-2</v>
      </c>
      <c r="H980">
        <v>0</v>
      </c>
      <c r="J980">
        <v>1</v>
      </c>
      <c r="K980" t="s">
        <v>124</v>
      </c>
    </row>
    <row r="981" spans="1:11" x14ac:dyDescent="0.35">
      <c r="A981" t="s">
        <v>136</v>
      </c>
      <c r="B981" s="46">
        <v>46120</v>
      </c>
      <c r="C981" t="s">
        <v>107</v>
      </c>
      <c r="D981" t="s">
        <v>137</v>
      </c>
      <c r="E981" t="s">
        <v>170</v>
      </c>
      <c r="F981" t="s">
        <v>171</v>
      </c>
      <c r="G981">
        <v>12.72</v>
      </c>
      <c r="H981">
        <v>0</v>
      </c>
      <c r="J981">
        <v>60</v>
      </c>
      <c r="K981" t="s">
        <v>124</v>
      </c>
    </row>
    <row r="982" spans="1:11" x14ac:dyDescent="0.35">
      <c r="A982" t="s">
        <v>136</v>
      </c>
      <c r="B982" s="46">
        <v>46120</v>
      </c>
      <c r="C982" t="s">
        <v>107</v>
      </c>
      <c r="D982" t="s">
        <v>137</v>
      </c>
      <c r="E982" t="s">
        <v>152</v>
      </c>
      <c r="F982" t="s">
        <v>153</v>
      </c>
      <c r="G982">
        <v>11.196944444444444</v>
      </c>
      <c r="H982">
        <v>0</v>
      </c>
      <c r="J982">
        <v>147</v>
      </c>
      <c r="K982" t="s">
        <v>124</v>
      </c>
    </row>
    <row r="983" spans="1:11" x14ac:dyDescent="0.35">
      <c r="A983" t="s">
        <v>136</v>
      </c>
      <c r="B983" s="46">
        <v>46120</v>
      </c>
      <c r="C983" t="s">
        <v>81</v>
      </c>
      <c r="D983" t="s">
        <v>137</v>
      </c>
      <c r="E983" t="s">
        <v>170</v>
      </c>
      <c r="F983" t="s">
        <v>171</v>
      </c>
      <c r="G983">
        <v>21.751111111111111</v>
      </c>
      <c r="H983">
        <v>0</v>
      </c>
      <c r="J983">
        <v>110</v>
      </c>
      <c r="K983" t="s">
        <v>124</v>
      </c>
    </row>
    <row r="984" spans="1:11" x14ac:dyDescent="0.35">
      <c r="A984" t="s">
        <v>136</v>
      </c>
      <c r="B984" s="46">
        <v>46120</v>
      </c>
      <c r="C984" t="s">
        <v>101</v>
      </c>
      <c r="D984" t="s">
        <v>137</v>
      </c>
      <c r="E984" t="s">
        <v>166</v>
      </c>
      <c r="F984" t="s">
        <v>167</v>
      </c>
      <c r="G984">
        <v>5.403888888888889</v>
      </c>
      <c r="H984">
        <v>0</v>
      </c>
      <c r="J984">
        <v>250</v>
      </c>
      <c r="K984" t="s">
        <v>124</v>
      </c>
    </row>
    <row r="985" spans="1:11" x14ac:dyDescent="0.35">
      <c r="A985" t="s">
        <v>136</v>
      </c>
      <c r="B985" s="46">
        <v>46120</v>
      </c>
      <c r="C985" t="s">
        <v>101</v>
      </c>
      <c r="D985" t="s">
        <v>137</v>
      </c>
      <c r="E985" t="s">
        <v>170</v>
      </c>
      <c r="F985" t="s">
        <v>171</v>
      </c>
      <c r="G985">
        <v>5.2991666666666664</v>
      </c>
      <c r="H985">
        <v>0</v>
      </c>
      <c r="J985">
        <v>646</v>
      </c>
      <c r="K985" t="s">
        <v>124</v>
      </c>
    </row>
    <row r="986" spans="1:11" x14ac:dyDescent="0.35">
      <c r="A986" t="s">
        <v>136</v>
      </c>
      <c r="B986" s="46">
        <v>46120</v>
      </c>
      <c r="C986" t="s">
        <v>101</v>
      </c>
      <c r="D986" t="s">
        <v>137</v>
      </c>
      <c r="E986" t="s">
        <v>144</v>
      </c>
      <c r="F986" t="s">
        <v>145</v>
      </c>
      <c r="G986">
        <v>9.8705555555555549</v>
      </c>
      <c r="H986">
        <v>0</v>
      </c>
      <c r="J986">
        <v>763</v>
      </c>
      <c r="K986" t="s">
        <v>124</v>
      </c>
    </row>
    <row r="987" spans="1:11" x14ac:dyDescent="0.35">
      <c r="A987" t="s">
        <v>136</v>
      </c>
      <c r="B987" s="46">
        <v>46120</v>
      </c>
      <c r="C987" t="s">
        <v>95</v>
      </c>
      <c r="D987" t="s">
        <v>137</v>
      </c>
      <c r="E987" t="s">
        <v>164</v>
      </c>
      <c r="F987" t="s">
        <v>165</v>
      </c>
      <c r="G987">
        <v>3.3333333333333335E-3</v>
      </c>
      <c r="H987">
        <v>0</v>
      </c>
      <c r="J987">
        <v>0</v>
      </c>
      <c r="K987" t="s">
        <v>124</v>
      </c>
    </row>
    <row r="988" spans="1:11" x14ac:dyDescent="0.35">
      <c r="A988" t="s">
        <v>136</v>
      </c>
      <c r="B988" s="46">
        <v>46120</v>
      </c>
      <c r="C988" t="s">
        <v>95</v>
      </c>
      <c r="D988" t="s">
        <v>137</v>
      </c>
      <c r="E988" t="s">
        <v>170</v>
      </c>
      <c r="F988" t="s">
        <v>171</v>
      </c>
      <c r="G988">
        <v>7.29</v>
      </c>
      <c r="H988">
        <v>0</v>
      </c>
      <c r="J988">
        <v>266</v>
      </c>
      <c r="K988" t="s">
        <v>124</v>
      </c>
    </row>
    <row r="989" spans="1:11" x14ac:dyDescent="0.35">
      <c r="A989" t="s">
        <v>136</v>
      </c>
      <c r="B989" s="46">
        <v>46120</v>
      </c>
      <c r="C989" t="s">
        <v>95</v>
      </c>
      <c r="D989" t="s">
        <v>137</v>
      </c>
      <c r="E989" t="s">
        <v>172</v>
      </c>
      <c r="F989" t="s">
        <v>173</v>
      </c>
      <c r="G989">
        <v>5.1944444444444446E-2</v>
      </c>
      <c r="H989">
        <v>0</v>
      </c>
      <c r="J989">
        <v>43</v>
      </c>
      <c r="K989" t="s">
        <v>124</v>
      </c>
    </row>
    <row r="990" spans="1:11" x14ac:dyDescent="0.35">
      <c r="A990" t="s">
        <v>136</v>
      </c>
      <c r="B990" s="46">
        <v>46120</v>
      </c>
      <c r="C990" t="s">
        <v>95</v>
      </c>
      <c r="D990" t="s">
        <v>137</v>
      </c>
      <c r="E990" t="s">
        <v>186</v>
      </c>
      <c r="F990" t="s">
        <v>187</v>
      </c>
      <c r="G990">
        <v>12.381944444444445</v>
      </c>
      <c r="H990">
        <v>0</v>
      </c>
      <c r="J990">
        <v>126</v>
      </c>
      <c r="K990" t="s">
        <v>124</v>
      </c>
    </row>
    <row r="991" spans="1:11" x14ac:dyDescent="0.35">
      <c r="A991" t="s">
        <v>136</v>
      </c>
      <c r="B991" s="46">
        <v>46120</v>
      </c>
      <c r="C991" t="s">
        <v>95</v>
      </c>
      <c r="D991" t="s">
        <v>137</v>
      </c>
      <c r="E991" t="s">
        <v>146</v>
      </c>
      <c r="F991" t="s">
        <v>147</v>
      </c>
      <c r="G991">
        <v>5.3055555555555557E-2</v>
      </c>
      <c r="H991">
        <v>0</v>
      </c>
      <c r="J991">
        <v>25</v>
      </c>
      <c r="K991" t="s">
        <v>124</v>
      </c>
    </row>
    <row r="992" spans="1:11" x14ac:dyDescent="0.35">
      <c r="A992" t="s">
        <v>136</v>
      </c>
      <c r="B992" s="46">
        <v>46120</v>
      </c>
      <c r="C992" t="s">
        <v>86</v>
      </c>
      <c r="D992" t="s">
        <v>137</v>
      </c>
      <c r="E992" t="s">
        <v>170</v>
      </c>
      <c r="F992" t="s">
        <v>171</v>
      </c>
      <c r="G992">
        <v>1.2327777777777778</v>
      </c>
      <c r="H992">
        <v>0</v>
      </c>
      <c r="J992">
        <v>157</v>
      </c>
      <c r="K992" t="s">
        <v>124</v>
      </c>
    </row>
    <row r="993" spans="1:11" x14ac:dyDescent="0.35">
      <c r="A993" t="s">
        <v>136</v>
      </c>
      <c r="B993" s="46">
        <v>46120</v>
      </c>
      <c r="C993" t="s">
        <v>86</v>
      </c>
      <c r="D993" t="s">
        <v>137</v>
      </c>
      <c r="E993" t="s">
        <v>144</v>
      </c>
      <c r="F993" t="s">
        <v>145</v>
      </c>
      <c r="G993">
        <v>11.626388888888888</v>
      </c>
      <c r="H993">
        <v>0</v>
      </c>
      <c r="J993">
        <v>951</v>
      </c>
      <c r="K993" t="s">
        <v>124</v>
      </c>
    </row>
    <row r="994" spans="1:11" x14ac:dyDescent="0.35">
      <c r="A994" t="s">
        <v>136</v>
      </c>
      <c r="B994" s="46">
        <v>46120</v>
      </c>
      <c r="C994" t="s">
        <v>88</v>
      </c>
      <c r="D994" t="s">
        <v>137</v>
      </c>
      <c r="E994" t="s">
        <v>166</v>
      </c>
      <c r="F994" t="s">
        <v>167</v>
      </c>
      <c r="G994">
        <v>5.3202777777777781</v>
      </c>
      <c r="H994">
        <v>0</v>
      </c>
      <c r="J994">
        <v>0</v>
      </c>
      <c r="K994" t="s">
        <v>124</v>
      </c>
    </row>
    <row r="995" spans="1:11" x14ac:dyDescent="0.35">
      <c r="A995" t="s">
        <v>136</v>
      </c>
      <c r="B995" s="46">
        <v>46120</v>
      </c>
      <c r="C995" t="s">
        <v>88</v>
      </c>
      <c r="D995" t="s">
        <v>137</v>
      </c>
      <c r="E995" t="s">
        <v>170</v>
      </c>
      <c r="F995" t="s">
        <v>171</v>
      </c>
      <c r="G995">
        <v>18.679722222222221</v>
      </c>
      <c r="H995">
        <v>0</v>
      </c>
      <c r="J995">
        <v>842</v>
      </c>
      <c r="K995" t="s">
        <v>124</v>
      </c>
    </row>
    <row r="996" spans="1:11" x14ac:dyDescent="0.35">
      <c r="A996" t="s">
        <v>136</v>
      </c>
      <c r="B996" s="46">
        <v>46120</v>
      </c>
      <c r="C996" t="s">
        <v>100</v>
      </c>
      <c r="D996" t="s">
        <v>137</v>
      </c>
      <c r="E996" t="s">
        <v>154</v>
      </c>
      <c r="F996" t="s">
        <v>155</v>
      </c>
      <c r="G996">
        <v>24</v>
      </c>
      <c r="H996">
        <v>0</v>
      </c>
      <c r="J996">
        <v>1056</v>
      </c>
      <c r="K996" t="s">
        <v>124</v>
      </c>
    </row>
    <row r="997" spans="1:11" x14ac:dyDescent="0.35">
      <c r="A997" t="s">
        <v>136</v>
      </c>
      <c r="B997" s="46">
        <v>46120</v>
      </c>
      <c r="C997" t="s">
        <v>93</v>
      </c>
      <c r="D997" t="s">
        <v>137</v>
      </c>
      <c r="E997" t="s">
        <v>166</v>
      </c>
      <c r="F997" t="s">
        <v>167</v>
      </c>
      <c r="G997">
        <v>8.3980555555555547</v>
      </c>
      <c r="H997">
        <v>0</v>
      </c>
      <c r="J997">
        <v>0</v>
      </c>
      <c r="K997" t="s">
        <v>124</v>
      </c>
    </row>
    <row r="998" spans="1:11" x14ac:dyDescent="0.35">
      <c r="A998" t="s">
        <v>136</v>
      </c>
      <c r="B998" s="46">
        <v>46120</v>
      </c>
      <c r="C998" t="s">
        <v>93</v>
      </c>
      <c r="D998" t="s">
        <v>137</v>
      </c>
      <c r="E998" t="s">
        <v>170</v>
      </c>
      <c r="F998" t="s">
        <v>171</v>
      </c>
      <c r="G998">
        <v>15.601944444444445</v>
      </c>
      <c r="H998">
        <v>0</v>
      </c>
      <c r="J998">
        <v>0</v>
      </c>
      <c r="K998" t="s">
        <v>124</v>
      </c>
    </row>
    <row r="999" spans="1:11" x14ac:dyDescent="0.35">
      <c r="A999" t="s">
        <v>136</v>
      </c>
      <c r="B999" s="46">
        <v>46120</v>
      </c>
      <c r="C999" t="s">
        <v>99</v>
      </c>
      <c r="D999" t="s">
        <v>137</v>
      </c>
      <c r="E999" t="s">
        <v>170</v>
      </c>
      <c r="F999" t="s">
        <v>171</v>
      </c>
      <c r="G999">
        <v>22.084166666666668</v>
      </c>
      <c r="H999">
        <v>0</v>
      </c>
      <c r="J999">
        <v>0</v>
      </c>
      <c r="K999" t="s">
        <v>124</v>
      </c>
    </row>
    <row r="1000" spans="1:11" x14ac:dyDescent="0.35">
      <c r="A1000" t="s">
        <v>136</v>
      </c>
      <c r="B1000" s="46">
        <v>46120</v>
      </c>
      <c r="C1000" t="s">
        <v>99</v>
      </c>
      <c r="D1000" t="s">
        <v>137</v>
      </c>
      <c r="E1000" t="s">
        <v>178</v>
      </c>
      <c r="F1000" t="s">
        <v>179</v>
      </c>
      <c r="G1000">
        <v>8.2500000000000004E-2</v>
      </c>
      <c r="H1000">
        <v>0</v>
      </c>
      <c r="J1000">
        <v>60</v>
      </c>
      <c r="K1000" t="s">
        <v>124</v>
      </c>
    </row>
    <row r="1001" spans="1:11" x14ac:dyDescent="0.35">
      <c r="A1001" t="s">
        <v>136</v>
      </c>
      <c r="B1001" s="46">
        <v>46120</v>
      </c>
      <c r="C1001" t="s">
        <v>98</v>
      </c>
      <c r="D1001" t="s">
        <v>137</v>
      </c>
      <c r="E1001" t="s">
        <v>170</v>
      </c>
      <c r="F1001" t="s">
        <v>171</v>
      </c>
      <c r="G1001">
        <v>24</v>
      </c>
      <c r="H1001">
        <v>0</v>
      </c>
      <c r="J1001">
        <v>2104</v>
      </c>
      <c r="K1001" t="s">
        <v>124</v>
      </c>
    </row>
    <row r="1002" spans="1:11" x14ac:dyDescent="0.35">
      <c r="A1002" t="s">
        <v>136</v>
      </c>
      <c r="B1002" s="46">
        <v>46120</v>
      </c>
      <c r="C1002" t="s">
        <v>97</v>
      </c>
      <c r="D1002" t="s">
        <v>137</v>
      </c>
      <c r="E1002" t="s">
        <v>164</v>
      </c>
      <c r="F1002" t="s">
        <v>165</v>
      </c>
      <c r="G1002">
        <v>8.2222222222222224E-2</v>
      </c>
      <c r="H1002">
        <v>0</v>
      </c>
      <c r="J1002">
        <v>122</v>
      </c>
      <c r="K1002" t="s">
        <v>124</v>
      </c>
    </row>
    <row r="1003" spans="1:11" x14ac:dyDescent="0.35">
      <c r="A1003" t="s">
        <v>136</v>
      </c>
      <c r="B1003" s="46">
        <v>46120</v>
      </c>
      <c r="C1003" t="s">
        <v>97</v>
      </c>
      <c r="D1003" t="s">
        <v>137</v>
      </c>
      <c r="E1003" t="s">
        <v>170</v>
      </c>
      <c r="F1003" t="s">
        <v>171</v>
      </c>
      <c r="G1003">
        <v>19.984444444444446</v>
      </c>
      <c r="H1003">
        <v>0</v>
      </c>
      <c r="J1003">
        <v>0</v>
      </c>
      <c r="K1003" t="s">
        <v>124</v>
      </c>
    </row>
    <row r="1004" spans="1:11" x14ac:dyDescent="0.35">
      <c r="A1004" t="s">
        <v>136</v>
      </c>
      <c r="B1004" s="46">
        <v>46120</v>
      </c>
      <c r="C1004" t="s">
        <v>97</v>
      </c>
      <c r="D1004" t="s">
        <v>137</v>
      </c>
      <c r="E1004" t="s">
        <v>190</v>
      </c>
      <c r="F1004" t="s">
        <v>191</v>
      </c>
      <c r="G1004">
        <v>9.4722222222222222E-2</v>
      </c>
      <c r="H1004">
        <v>0</v>
      </c>
      <c r="J1004">
        <v>44</v>
      </c>
      <c r="K1004" t="s">
        <v>124</v>
      </c>
    </row>
    <row r="1005" spans="1:11" x14ac:dyDescent="0.35">
      <c r="A1005" t="s">
        <v>136</v>
      </c>
      <c r="B1005" s="46">
        <v>46120</v>
      </c>
      <c r="C1005" t="s">
        <v>97</v>
      </c>
      <c r="D1005" t="s">
        <v>137</v>
      </c>
      <c r="E1005" t="s">
        <v>172</v>
      </c>
      <c r="F1005" t="s">
        <v>173</v>
      </c>
      <c r="G1005">
        <v>0.15166666666666667</v>
      </c>
      <c r="H1005">
        <v>0</v>
      </c>
      <c r="J1005">
        <v>117</v>
      </c>
      <c r="K1005" t="s">
        <v>124</v>
      </c>
    </row>
    <row r="1006" spans="1:11" x14ac:dyDescent="0.35">
      <c r="A1006" t="s">
        <v>136</v>
      </c>
      <c r="B1006" s="46">
        <v>46120</v>
      </c>
      <c r="C1006" t="s">
        <v>97</v>
      </c>
      <c r="D1006" t="s">
        <v>137</v>
      </c>
      <c r="E1006" t="s">
        <v>176</v>
      </c>
      <c r="F1006" t="s">
        <v>177</v>
      </c>
      <c r="G1006">
        <v>0.80638888888888893</v>
      </c>
      <c r="H1006">
        <v>0</v>
      </c>
      <c r="J1006">
        <v>309</v>
      </c>
      <c r="K1006" t="s">
        <v>124</v>
      </c>
    </row>
    <row r="1007" spans="1:11" x14ac:dyDescent="0.35">
      <c r="A1007" t="s">
        <v>136</v>
      </c>
      <c r="B1007" s="46">
        <v>46120</v>
      </c>
      <c r="C1007" t="s">
        <v>84</v>
      </c>
      <c r="D1007" t="s">
        <v>137</v>
      </c>
      <c r="E1007" t="s">
        <v>166</v>
      </c>
      <c r="F1007" t="s">
        <v>167</v>
      </c>
      <c r="G1007">
        <v>8.4394444444444439</v>
      </c>
      <c r="H1007">
        <v>0</v>
      </c>
      <c r="J1007">
        <v>25</v>
      </c>
      <c r="K1007" t="s">
        <v>124</v>
      </c>
    </row>
    <row r="1008" spans="1:11" x14ac:dyDescent="0.35">
      <c r="A1008" t="s">
        <v>136</v>
      </c>
      <c r="B1008" s="46">
        <v>46120</v>
      </c>
      <c r="C1008" t="s">
        <v>84</v>
      </c>
      <c r="D1008" t="s">
        <v>137</v>
      </c>
      <c r="E1008" t="s">
        <v>170</v>
      </c>
      <c r="F1008" t="s">
        <v>171</v>
      </c>
      <c r="G1008">
        <v>15.560555555555556</v>
      </c>
      <c r="H1008">
        <v>0</v>
      </c>
      <c r="J1008">
        <v>7</v>
      </c>
      <c r="K1008" t="s">
        <v>124</v>
      </c>
    </row>
    <row r="1009" spans="1:11" x14ac:dyDescent="0.35">
      <c r="A1009" t="s">
        <v>136</v>
      </c>
      <c r="B1009" s="46">
        <v>46120</v>
      </c>
      <c r="C1009" t="s">
        <v>106</v>
      </c>
      <c r="D1009" t="s">
        <v>137</v>
      </c>
      <c r="E1009" t="s">
        <v>170</v>
      </c>
      <c r="F1009" t="s">
        <v>171</v>
      </c>
      <c r="G1009">
        <v>22.574166666666667</v>
      </c>
      <c r="H1009">
        <v>0</v>
      </c>
      <c r="J1009">
        <v>265</v>
      </c>
      <c r="K1009" t="s">
        <v>124</v>
      </c>
    </row>
    <row r="1010" spans="1:11" x14ac:dyDescent="0.35">
      <c r="A1010" t="s">
        <v>136</v>
      </c>
      <c r="B1010" s="46">
        <v>46120</v>
      </c>
      <c r="C1010" t="s">
        <v>106</v>
      </c>
      <c r="D1010" t="s">
        <v>137</v>
      </c>
      <c r="E1010" t="s">
        <v>200</v>
      </c>
      <c r="F1010" t="s">
        <v>201</v>
      </c>
      <c r="G1010">
        <v>0.23083333333333333</v>
      </c>
      <c r="H1010">
        <v>0</v>
      </c>
      <c r="J1010">
        <v>73</v>
      </c>
      <c r="K1010" t="s">
        <v>124</v>
      </c>
    </row>
    <row r="1011" spans="1:11" x14ac:dyDescent="0.35">
      <c r="A1011" t="s">
        <v>136</v>
      </c>
      <c r="B1011" s="46">
        <v>46120</v>
      </c>
      <c r="C1011" t="s">
        <v>85</v>
      </c>
      <c r="D1011" t="s">
        <v>137</v>
      </c>
      <c r="E1011" t="s">
        <v>170</v>
      </c>
      <c r="F1011" t="s">
        <v>171</v>
      </c>
      <c r="G1011">
        <v>22.475833333333334</v>
      </c>
      <c r="H1011">
        <v>0</v>
      </c>
      <c r="J1011">
        <v>1020</v>
      </c>
      <c r="K1011" t="s">
        <v>124</v>
      </c>
    </row>
    <row r="1012" spans="1:11" x14ac:dyDescent="0.35">
      <c r="A1012" t="s">
        <v>136</v>
      </c>
      <c r="B1012" s="46">
        <v>46120</v>
      </c>
      <c r="C1012" t="s">
        <v>85</v>
      </c>
      <c r="D1012" t="s">
        <v>137</v>
      </c>
      <c r="E1012" t="s">
        <v>176</v>
      </c>
      <c r="F1012" t="s">
        <v>177</v>
      </c>
      <c r="G1012">
        <v>0.5461111111111111</v>
      </c>
      <c r="H1012">
        <v>0</v>
      </c>
      <c r="J1012">
        <v>112</v>
      </c>
      <c r="K1012" t="s">
        <v>124</v>
      </c>
    </row>
    <row r="1013" spans="1:11" x14ac:dyDescent="0.35">
      <c r="A1013" t="s">
        <v>136</v>
      </c>
      <c r="B1013" s="46">
        <v>46120</v>
      </c>
      <c r="C1013" t="s">
        <v>85</v>
      </c>
      <c r="D1013" t="s">
        <v>137</v>
      </c>
      <c r="E1013" t="s">
        <v>206</v>
      </c>
      <c r="F1013" t="s">
        <v>207</v>
      </c>
      <c r="G1013">
        <v>3.6111111111111109E-3</v>
      </c>
      <c r="H1013">
        <v>0</v>
      </c>
      <c r="J1013">
        <v>0</v>
      </c>
      <c r="K1013" t="s">
        <v>124</v>
      </c>
    </row>
    <row r="1014" spans="1:11" x14ac:dyDescent="0.35">
      <c r="A1014" t="s">
        <v>136</v>
      </c>
      <c r="B1014" s="46">
        <v>46120</v>
      </c>
      <c r="C1014" t="s">
        <v>103</v>
      </c>
      <c r="D1014" t="s">
        <v>137</v>
      </c>
      <c r="E1014" t="s">
        <v>170</v>
      </c>
      <c r="F1014" t="s">
        <v>171</v>
      </c>
      <c r="G1014">
        <v>16.008611111111112</v>
      </c>
      <c r="H1014">
        <v>0</v>
      </c>
      <c r="J1014">
        <v>2</v>
      </c>
      <c r="K1014" t="s">
        <v>124</v>
      </c>
    </row>
    <row r="1015" spans="1:11" x14ac:dyDescent="0.35">
      <c r="A1015" t="s">
        <v>136</v>
      </c>
      <c r="B1015" s="46">
        <v>46120</v>
      </c>
      <c r="C1015" t="s">
        <v>103</v>
      </c>
      <c r="D1015" t="s">
        <v>137</v>
      </c>
      <c r="E1015" t="s">
        <v>186</v>
      </c>
      <c r="F1015" t="s">
        <v>187</v>
      </c>
      <c r="G1015">
        <v>7.743611111111111</v>
      </c>
      <c r="H1015">
        <v>0</v>
      </c>
      <c r="J1015">
        <v>111</v>
      </c>
      <c r="K1015" t="s">
        <v>124</v>
      </c>
    </row>
    <row r="1016" spans="1:11" x14ac:dyDescent="0.35">
      <c r="A1016" t="s">
        <v>136</v>
      </c>
      <c r="B1016" s="46">
        <v>46120</v>
      </c>
      <c r="C1016" t="s">
        <v>109</v>
      </c>
      <c r="D1016" t="s">
        <v>137</v>
      </c>
      <c r="E1016" t="s">
        <v>194</v>
      </c>
      <c r="F1016" t="s">
        <v>195</v>
      </c>
      <c r="G1016">
        <v>12.928055555555556</v>
      </c>
      <c r="H1016">
        <v>0</v>
      </c>
      <c r="J1016">
        <v>206</v>
      </c>
      <c r="K1016" t="s">
        <v>124</v>
      </c>
    </row>
    <row r="1017" spans="1:11" x14ac:dyDescent="0.35">
      <c r="A1017" t="s">
        <v>136</v>
      </c>
      <c r="B1017" s="46">
        <v>46120</v>
      </c>
      <c r="C1017" t="s">
        <v>109</v>
      </c>
      <c r="D1017" t="s">
        <v>137</v>
      </c>
      <c r="E1017" t="s">
        <v>198</v>
      </c>
      <c r="F1017" t="s">
        <v>199</v>
      </c>
      <c r="G1017">
        <v>11.063611111111111</v>
      </c>
      <c r="H1017">
        <v>0</v>
      </c>
      <c r="J1017">
        <v>416</v>
      </c>
      <c r="K1017" t="s">
        <v>124</v>
      </c>
    </row>
    <row r="1018" spans="1:11" x14ac:dyDescent="0.35">
      <c r="A1018" t="s">
        <v>136</v>
      </c>
      <c r="B1018" s="46">
        <v>46121</v>
      </c>
      <c r="C1018" t="s">
        <v>96</v>
      </c>
      <c r="D1018" t="s">
        <v>137</v>
      </c>
      <c r="E1018" t="s">
        <v>170</v>
      </c>
      <c r="F1018" t="s">
        <v>171</v>
      </c>
      <c r="G1018">
        <v>24</v>
      </c>
      <c r="H1018">
        <v>0</v>
      </c>
      <c r="J1018">
        <v>559</v>
      </c>
      <c r="K1018" t="s">
        <v>124</v>
      </c>
    </row>
    <row r="1019" spans="1:11" x14ac:dyDescent="0.35">
      <c r="A1019" t="s">
        <v>136</v>
      </c>
      <c r="B1019" s="46">
        <v>46121</v>
      </c>
      <c r="C1019" t="s">
        <v>104</v>
      </c>
      <c r="D1019" t="s">
        <v>137</v>
      </c>
      <c r="E1019" t="s">
        <v>198</v>
      </c>
      <c r="F1019" t="s">
        <v>199</v>
      </c>
      <c r="G1019">
        <v>22</v>
      </c>
      <c r="H1019">
        <v>0</v>
      </c>
      <c r="J1019">
        <v>1326</v>
      </c>
      <c r="K1019" t="s">
        <v>124</v>
      </c>
    </row>
    <row r="1020" spans="1:11" x14ac:dyDescent="0.35">
      <c r="A1020" t="s">
        <v>136</v>
      </c>
      <c r="B1020" s="46">
        <v>46121</v>
      </c>
      <c r="C1020" t="s">
        <v>90</v>
      </c>
      <c r="D1020" t="s">
        <v>137</v>
      </c>
      <c r="E1020" t="s">
        <v>170</v>
      </c>
      <c r="F1020" t="s">
        <v>171</v>
      </c>
      <c r="G1020">
        <v>23.997499999999999</v>
      </c>
      <c r="H1020">
        <v>0</v>
      </c>
      <c r="J1020">
        <v>1492</v>
      </c>
      <c r="K1020" t="s">
        <v>124</v>
      </c>
    </row>
    <row r="1021" spans="1:11" x14ac:dyDescent="0.35">
      <c r="A1021" t="s">
        <v>136</v>
      </c>
      <c r="B1021" s="46">
        <v>46121</v>
      </c>
      <c r="C1021" t="s">
        <v>90</v>
      </c>
      <c r="D1021" t="s">
        <v>137</v>
      </c>
      <c r="E1021" t="s">
        <v>184</v>
      </c>
      <c r="F1021" t="s">
        <v>185</v>
      </c>
      <c r="G1021">
        <v>2.5000000000000001E-3</v>
      </c>
      <c r="H1021">
        <v>0</v>
      </c>
      <c r="J1021">
        <v>0</v>
      </c>
      <c r="K1021" t="s">
        <v>124</v>
      </c>
    </row>
    <row r="1022" spans="1:11" x14ac:dyDescent="0.35">
      <c r="A1022" t="s">
        <v>136</v>
      </c>
      <c r="B1022" s="46">
        <v>46121</v>
      </c>
      <c r="C1022" t="s">
        <v>107</v>
      </c>
      <c r="D1022" t="s">
        <v>137</v>
      </c>
      <c r="E1022" t="s">
        <v>170</v>
      </c>
      <c r="F1022" t="s">
        <v>171</v>
      </c>
      <c r="G1022">
        <v>21.412222222222223</v>
      </c>
      <c r="H1022">
        <v>0</v>
      </c>
      <c r="J1022">
        <v>1875</v>
      </c>
      <c r="K1022" t="s">
        <v>124</v>
      </c>
    </row>
    <row r="1023" spans="1:11" x14ac:dyDescent="0.35">
      <c r="A1023" t="s">
        <v>136</v>
      </c>
      <c r="B1023" s="46">
        <v>46121</v>
      </c>
      <c r="C1023" t="s">
        <v>107</v>
      </c>
      <c r="D1023" t="s">
        <v>137</v>
      </c>
      <c r="E1023" t="s">
        <v>152</v>
      </c>
      <c r="F1023" t="s">
        <v>153</v>
      </c>
      <c r="G1023">
        <v>2.5877777777777777</v>
      </c>
      <c r="H1023">
        <v>0</v>
      </c>
      <c r="J1023">
        <v>508</v>
      </c>
      <c r="K1023" t="s">
        <v>124</v>
      </c>
    </row>
    <row r="1024" spans="1:11" x14ac:dyDescent="0.35">
      <c r="A1024" t="s">
        <v>136</v>
      </c>
      <c r="B1024" s="46">
        <v>46121</v>
      </c>
      <c r="C1024" t="s">
        <v>81</v>
      </c>
      <c r="D1024" t="s">
        <v>137</v>
      </c>
      <c r="E1024" t="s">
        <v>170</v>
      </c>
      <c r="F1024" t="s">
        <v>171</v>
      </c>
      <c r="G1024">
        <v>24</v>
      </c>
      <c r="H1024">
        <v>0</v>
      </c>
      <c r="J1024">
        <v>963</v>
      </c>
      <c r="K1024" t="s">
        <v>124</v>
      </c>
    </row>
    <row r="1025" spans="1:11" x14ac:dyDescent="0.35">
      <c r="A1025" t="s">
        <v>136</v>
      </c>
      <c r="B1025" s="46">
        <v>46121</v>
      </c>
      <c r="C1025" t="s">
        <v>101</v>
      </c>
      <c r="D1025" t="s">
        <v>137</v>
      </c>
      <c r="E1025" t="s">
        <v>144</v>
      </c>
      <c r="F1025" t="s">
        <v>145</v>
      </c>
      <c r="G1025">
        <v>24</v>
      </c>
      <c r="H1025">
        <v>0</v>
      </c>
      <c r="J1025">
        <v>837</v>
      </c>
      <c r="K1025" t="s">
        <v>124</v>
      </c>
    </row>
    <row r="1026" spans="1:11" x14ac:dyDescent="0.35">
      <c r="A1026" t="s">
        <v>136</v>
      </c>
      <c r="B1026" s="46">
        <v>46121</v>
      </c>
      <c r="C1026" t="s">
        <v>95</v>
      </c>
      <c r="D1026" t="s">
        <v>137</v>
      </c>
      <c r="E1026" t="s">
        <v>170</v>
      </c>
      <c r="F1026" t="s">
        <v>171</v>
      </c>
      <c r="G1026">
        <v>24</v>
      </c>
      <c r="H1026">
        <v>0</v>
      </c>
      <c r="J1026">
        <v>2169</v>
      </c>
      <c r="K1026" t="s">
        <v>124</v>
      </c>
    </row>
    <row r="1027" spans="1:11" x14ac:dyDescent="0.35">
      <c r="A1027" t="s">
        <v>136</v>
      </c>
      <c r="B1027" s="46">
        <v>46121</v>
      </c>
      <c r="C1027" t="s">
        <v>86</v>
      </c>
      <c r="D1027" t="s">
        <v>137</v>
      </c>
      <c r="E1027" t="s">
        <v>144</v>
      </c>
      <c r="F1027" t="s">
        <v>145</v>
      </c>
      <c r="G1027">
        <v>24</v>
      </c>
      <c r="H1027">
        <v>0</v>
      </c>
      <c r="J1027">
        <v>339</v>
      </c>
      <c r="K1027" t="s">
        <v>124</v>
      </c>
    </row>
    <row r="1028" spans="1:11" x14ac:dyDescent="0.35">
      <c r="A1028" t="s">
        <v>136</v>
      </c>
      <c r="B1028" s="46">
        <v>46121</v>
      </c>
      <c r="C1028" t="s">
        <v>88</v>
      </c>
      <c r="D1028" t="s">
        <v>137</v>
      </c>
      <c r="E1028" t="s">
        <v>170</v>
      </c>
      <c r="F1028" t="s">
        <v>171</v>
      </c>
      <c r="G1028">
        <v>23.042222222222222</v>
      </c>
      <c r="H1028">
        <v>0</v>
      </c>
      <c r="J1028">
        <v>0</v>
      </c>
      <c r="K1028" t="s">
        <v>124</v>
      </c>
    </row>
    <row r="1029" spans="1:11" x14ac:dyDescent="0.35">
      <c r="A1029" t="s">
        <v>136</v>
      </c>
      <c r="B1029" s="46">
        <v>46121</v>
      </c>
      <c r="C1029" t="s">
        <v>100</v>
      </c>
      <c r="D1029" t="s">
        <v>137</v>
      </c>
      <c r="E1029" t="s">
        <v>170</v>
      </c>
      <c r="F1029" t="s">
        <v>171</v>
      </c>
      <c r="G1029">
        <v>16.355833333333333</v>
      </c>
      <c r="H1029">
        <v>0</v>
      </c>
      <c r="J1029">
        <v>437</v>
      </c>
      <c r="K1029" t="s">
        <v>124</v>
      </c>
    </row>
    <row r="1030" spans="1:11" x14ac:dyDescent="0.35">
      <c r="A1030" t="s">
        <v>136</v>
      </c>
      <c r="B1030" s="46">
        <v>46121</v>
      </c>
      <c r="C1030" t="s">
        <v>100</v>
      </c>
      <c r="D1030" t="s">
        <v>137</v>
      </c>
      <c r="E1030" t="s">
        <v>154</v>
      </c>
      <c r="F1030" t="s">
        <v>155</v>
      </c>
      <c r="G1030">
        <v>7.644166666666667</v>
      </c>
      <c r="H1030">
        <v>0</v>
      </c>
      <c r="J1030">
        <v>180</v>
      </c>
      <c r="K1030" t="s">
        <v>124</v>
      </c>
    </row>
    <row r="1031" spans="1:11" x14ac:dyDescent="0.35">
      <c r="A1031" t="s">
        <v>136</v>
      </c>
      <c r="B1031" s="46">
        <v>46121</v>
      </c>
      <c r="C1031" t="s">
        <v>93</v>
      </c>
      <c r="D1031" t="s">
        <v>137</v>
      </c>
      <c r="E1031" t="s">
        <v>170</v>
      </c>
      <c r="F1031" t="s">
        <v>171</v>
      </c>
      <c r="G1031">
        <v>18.006666666666668</v>
      </c>
      <c r="H1031">
        <v>0</v>
      </c>
      <c r="J1031">
        <v>0</v>
      </c>
      <c r="K1031" t="s">
        <v>124</v>
      </c>
    </row>
    <row r="1032" spans="1:11" x14ac:dyDescent="0.35">
      <c r="A1032" t="s">
        <v>136</v>
      </c>
      <c r="B1032" s="46">
        <v>46121</v>
      </c>
      <c r="C1032" t="s">
        <v>93</v>
      </c>
      <c r="D1032" t="s">
        <v>137</v>
      </c>
      <c r="E1032" t="s">
        <v>186</v>
      </c>
      <c r="F1032" t="s">
        <v>187</v>
      </c>
      <c r="G1032">
        <v>3.0641666666666665</v>
      </c>
      <c r="H1032">
        <v>0</v>
      </c>
      <c r="J1032">
        <v>0</v>
      </c>
      <c r="K1032" t="s">
        <v>124</v>
      </c>
    </row>
    <row r="1033" spans="1:11" x14ac:dyDescent="0.35">
      <c r="A1033" t="s">
        <v>136</v>
      </c>
      <c r="B1033" s="46">
        <v>46121</v>
      </c>
      <c r="C1033" t="s">
        <v>99</v>
      </c>
      <c r="D1033" t="s">
        <v>137</v>
      </c>
      <c r="E1033" t="s">
        <v>170</v>
      </c>
      <c r="F1033" t="s">
        <v>171</v>
      </c>
      <c r="G1033">
        <v>24</v>
      </c>
      <c r="H1033">
        <v>0</v>
      </c>
      <c r="J1033">
        <v>782</v>
      </c>
      <c r="K1033" t="s">
        <v>124</v>
      </c>
    </row>
    <row r="1034" spans="1:11" x14ac:dyDescent="0.35">
      <c r="A1034" t="s">
        <v>136</v>
      </c>
      <c r="B1034" s="46">
        <v>46121</v>
      </c>
      <c r="C1034" t="s">
        <v>98</v>
      </c>
      <c r="D1034" t="s">
        <v>137</v>
      </c>
      <c r="E1034" t="s">
        <v>168</v>
      </c>
      <c r="F1034" t="s">
        <v>169</v>
      </c>
      <c r="G1034">
        <v>7.2222222222222219E-3</v>
      </c>
      <c r="H1034">
        <v>0</v>
      </c>
      <c r="J1034">
        <v>0</v>
      </c>
      <c r="K1034" t="s">
        <v>124</v>
      </c>
    </row>
    <row r="1035" spans="1:11" x14ac:dyDescent="0.35">
      <c r="A1035" t="s">
        <v>136</v>
      </c>
      <c r="B1035" s="46">
        <v>46121</v>
      </c>
      <c r="C1035" t="s">
        <v>98</v>
      </c>
      <c r="D1035" t="s">
        <v>137</v>
      </c>
      <c r="E1035" t="s">
        <v>170</v>
      </c>
      <c r="F1035" t="s">
        <v>171</v>
      </c>
      <c r="G1035">
        <v>23.785833333333333</v>
      </c>
      <c r="H1035">
        <v>0</v>
      </c>
      <c r="J1035">
        <v>2925</v>
      </c>
      <c r="K1035" t="s">
        <v>124</v>
      </c>
    </row>
    <row r="1036" spans="1:11" x14ac:dyDescent="0.35">
      <c r="A1036" t="s">
        <v>136</v>
      </c>
      <c r="B1036" s="46">
        <v>46121</v>
      </c>
      <c r="C1036" t="s">
        <v>98</v>
      </c>
      <c r="D1036" t="s">
        <v>137</v>
      </c>
      <c r="E1036" t="s">
        <v>152</v>
      </c>
      <c r="F1036" t="s">
        <v>153</v>
      </c>
      <c r="G1036">
        <v>2.7777777777777779E-3</v>
      </c>
      <c r="H1036">
        <v>0</v>
      </c>
      <c r="J1036">
        <v>0</v>
      </c>
      <c r="K1036" t="s">
        <v>124</v>
      </c>
    </row>
    <row r="1037" spans="1:11" x14ac:dyDescent="0.35">
      <c r="A1037" t="s">
        <v>136</v>
      </c>
      <c r="B1037" s="46">
        <v>46121</v>
      </c>
      <c r="C1037" t="s">
        <v>97</v>
      </c>
      <c r="D1037" t="s">
        <v>137</v>
      </c>
      <c r="E1037" t="s">
        <v>170</v>
      </c>
      <c r="F1037" t="s">
        <v>171</v>
      </c>
      <c r="G1037">
        <v>24</v>
      </c>
      <c r="H1037">
        <v>0</v>
      </c>
      <c r="J1037">
        <v>533</v>
      </c>
      <c r="K1037" t="s">
        <v>124</v>
      </c>
    </row>
    <row r="1038" spans="1:11" x14ac:dyDescent="0.35">
      <c r="A1038" t="s">
        <v>136</v>
      </c>
      <c r="B1038" s="46">
        <v>46121</v>
      </c>
      <c r="C1038" t="s">
        <v>84</v>
      </c>
      <c r="D1038" t="s">
        <v>137</v>
      </c>
      <c r="E1038" t="s">
        <v>170</v>
      </c>
      <c r="F1038" t="s">
        <v>171</v>
      </c>
      <c r="G1038">
        <v>24</v>
      </c>
      <c r="H1038">
        <v>0</v>
      </c>
      <c r="J1038">
        <v>517</v>
      </c>
      <c r="K1038" t="s">
        <v>124</v>
      </c>
    </row>
    <row r="1039" spans="1:11" x14ac:dyDescent="0.35">
      <c r="A1039" t="s">
        <v>136</v>
      </c>
      <c r="B1039" s="46">
        <v>46121</v>
      </c>
      <c r="C1039" t="s">
        <v>106</v>
      </c>
      <c r="D1039" t="s">
        <v>137</v>
      </c>
      <c r="E1039" t="s">
        <v>170</v>
      </c>
      <c r="F1039" t="s">
        <v>171</v>
      </c>
      <c r="G1039">
        <v>23.878888888888888</v>
      </c>
      <c r="H1039">
        <v>0</v>
      </c>
      <c r="J1039">
        <v>164</v>
      </c>
      <c r="K1039" t="s">
        <v>124</v>
      </c>
    </row>
    <row r="1040" spans="1:11" x14ac:dyDescent="0.35">
      <c r="A1040" t="s">
        <v>136</v>
      </c>
      <c r="B1040" s="46">
        <v>46121</v>
      </c>
      <c r="C1040" t="s">
        <v>85</v>
      </c>
      <c r="D1040" t="s">
        <v>137</v>
      </c>
      <c r="E1040" t="s">
        <v>170</v>
      </c>
      <c r="F1040" t="s">
        <v>171</v>
      </c>
      <c r="G1040">
        <v>24</v>
      </c>
      <c r="H1040">
        <v>0</v>
      </c>
      <c r="J1040">
        <v>2948</v>
      </c>
      <c r="K1040" t="s">
        <v>124</v>
      </c>
    </row>
    <row r="1041" spans="1:11" x14ac:dyDescent="0.35">
      <c r="A1041" t="s">
        <v>136</v>
      </c>
      <c r="B1041" s="46">
        <v>46121</v>
      </c>
      <c r="C1041" t="s">
        <v>103</v>
      </c>
      <c r="D1041" t="s">
        <v>137</v>
      </c>
      <c r="E1041" t="s">
        <v>170</v>
      </c>
      <c r="F1041" t="s">
        <v>171</v>
      </c>
      <c r="G1041">
        <v>21.7075</v>
      </c>
      <c r="H1041">
        <v>0</v>
      </c>
      <c r="J1041">
        <v>204</v>
      </c>
      <c r="K1041" t="s">
        <v>124</v>
      </c>
    </row>
    <row r="1042" spans="1:11" x14ac:dyDescent="0.35">
      <c r="A1042" t="s">
        <v>136</v>
      </c>
      <c r="B1042" s="46">
        <v>46121</v>
      </c>
      <c r="C1042" t="s">
        <v>103</v>
      </c>
      <c r="D1042" t="s">
        <v>137</v>
      </c>
      <c r="E1042" t="s">
        <v>144</v>
      </c>
      <c r="F1042" t="s">
        <v>145</v>
      </c>
      <c r="G1042">
        <v>1.3263888888888888</v>
      </c>
      <c r="H1042">
        <v>0</v>
      </c>
      <c r="J1042">
        <v>534</v>
      </c>
      <c r="K1042" t="s">
        <v>124</v>
      </c>
    </row>
    <row r="1043" spans="1:11" x14ac:dyDescent="0.35">
      <c r="A1043" t="s">
        <v>136</v>
      </c>
      <c r="B1043" s="46">
        <v>46121</v>
      </c>
      <c r="C1043" t="s">
        <v>109</v>
      </c>
      <c r="D1043" t="s">
        <v>137</v>
      </c>
      <c r="E1043" t="s">
        <v>194</v>
      </c>
      <c r="F1043" t="s">
        <v>195</v>
      </c>
      <c r="G1043">
        <v>24</v>
      </c>
      <c r="H1043">
        <v>0</v>
      </c>
      <c r="J1043">
        <v>1597</v>
      </c>
      <c r="K1043" t="s">
        <v>124</v>
      </c>
    </row>
    <row r="1044" spans="1:11" x14ac:dyDescent="0.35">
      <c r="A1044" t="s">
        <v>136</v>
      </c>
      <c r="B1044" s="46">
        <v>46122</v>
      </c>
      <c r="C1044" t="s">
        <v>96</v>
      </c>
      <c r="D1044" t="s">
        <v>137</v>
      </c>
      <c r="E1044" t="s">
        <v>166</v>
      </c>
      <c r="F1044" t="s">
        <v>167</v>
      </c>
      <c r="G1044">
        <v>2.7777777777777778E-4</v>
      </c>
      <c r="H1044">
        <v>0</v>
      </c>
      <c r="J1044">
        <v>0</v>
      </c>
      <c r="K1044" t="s">
        <v>124</v>
      </c>
    </row>
    <row r="1045" spans="1:11" x14ac:dyDescent="0.35">
      <c r="A1045" t="s">
        <v>136</v>
      </c>
      <c r="B1045" s="46">
        <v>46122</v>
      </c>
      <c r="C1045" t="s">
        <v>96</v>
      </c>
      <c r="D1045" t="s">
        <v>137</v>
      </c>
      <c r="E1045" t="s">
        <v>170</v>
      </c>
      <c r="F1045" t="s">
        <v>171</v>
      </c>
      <c r="G1045">
        <v>23.915833333333332</v>
      </c>
      <c r="H1045">
        <v>0</v>
      </c>
      <c r="J1045">
        <v>1580</v>
      </c>
      <c r="K1045" t="s">
        <v>124</v>
      </c>
    </row>
    <row r="1046" spans="1:11" x14ac:dyDescent="0.35">
      <c r="A1046" t="s">
        <v>136</v>
      </c>
      <c r="B1046" s="46">
        <v>46122</v>
      </c>
      <c r="C1046" t="s">
        <v>96</v>
      </c>
      <c r="D1046" t="s">
        <v>137</v>
      </c>
      <c r="E1046" t="s">
        <v>206</v>
      </c>
      <c r="F1046" t="s">
        <v>207</v>
      </c>
      <c r="G1046">
        <v>1.1111111111111111E-3</v>
      </c>
      <c r="H1046">
        <v>0</v>
      </c>
      <c r="J1046">
        <v>0</v>
      </c>
      <c r="K1046" t="s">
        <v>124</v>
      </c>
    </row>
    <row r="1047" spans="1:11" x14ac:dyDescent="0.35">
      <c r="A1047" t="s">
        <v>136</v>
      </c>
      <c r="B1047" s="46">
        <v>46122</v>
      </c>
      <c r="C1047" t="s">
        <v>104</v>
      </c>
      <c r="D1047" t="s">
        <v>137</v>
      </c>
      <c r="E1047" t="s">
        <v>170</v>
      </c>
      <c r="F1047" t="s">
        <v>171</v>
      </c>
      <c r="G1047">
        <v>0.71777777777777774</v>
      </c>
      <c r="H1047">
        <v>0</v>
      </c>
      <c r="J1047">
        <v>8</v>
      </c>
      <c r="K1047" t="s">
        <v>124</v>
      </c>
    </row>
    <row r="1048" spans="1:11" x14ac:dyDescent="0.35">
      <c r="A1048" t="s">
        <v>136</v>
      </c>
      <c r="B1048" s="46">
        <v>46122</v>
      </c>
      <c r="C1048" t="s">
        <v>104</v>
      </c>
      <c r="D1048" t="s">
        <v>137</v>
      </c>
      <c r="E1048" t="s">
        <v>198</v>
      </c>
      <c r="F1048" t="s">
        <v>199</v>
      </c>
      <c r="G1048">
        <v>23.282222222222224</v>
      </c>
      <c r="H1048">
        <v>0</v>
      </c>
      <c r="J1048">
        <v>1092</v>
      </c>
      <c r="K1048" t="s">
        <v>124</v>
      </c>
    </row>
    <row r="1049" spans="1:11" x14ac:dyDescent="0.35">
      <c r="A1049" t="s">
        <v>136</v>
      </c>
      <c r="B1049" s="46">
        <v>46122</v>
      </c>
      <c r="C1049" t="s">
        <v>90</v>
      </c>
      <c r="D1049" t="s">
        <v>137</v>
      </c>
      <c r="E1049" t="s">
        <v>170</v>
      </c>
      <c r="F1049" t="s">
        <v>171</v>
      </c>
      <c r="G1049">
        <v>23.870833333333334</v>
      </c>
      <c r="H1049">
        <v>0</v>
      </c>
      <c r="J1049">
        <v>972</v>
      </c>
      <c r="K1049" t="s">
        <v>124</v>
      </c>
    </row>
    <row r="1050" spans="1:11" x14ac:dyDescent="0.35">
      <c r="A1050" t="s">
        <v>136</v>
      </c>
      <c r="B1050" s="46">
        <v>46122</v>
      </c>
      <c r="C1050" t="s">
        <v>107</v>
      </c>
      <c r="D1050" t="s">
        <v>137</v>
      </c>
      <c r="E1050" t="s">
        <v>166</v>
      </c>
      <c r="F1050" t="s">
        <v>167</v>
      </c>
      <c r="G1050">
        <v>2.7777777777777778E-4</v>
      </c>
      <c r="H1050">
        <v>0</v>
      </c>
      <c r="J1050">
        <v>0</v>
      </c>
      <c r="K1050" t="s">
        <v>124</v>
      </c>
    </row>
    <row r="1051" spans="1:11" x14ac:dyDescent="0.35">
      <c r="A1051" t="s">
        <v>136</v>
      </c>
      <c r="B1051" s="46">
        <v>46122</v>
      </c>
      <c r="C1051" t="s">
        <v>107</v>
      </c>
      <c r="D1051" t="s">
        <v>137</v>
      </c>
      <c r="E1051" t="s">
        <v>170</v>
      </c>
      <c r="F1051" t="s">
        <v>171</v>
      </c>
      <c r="G1051">
        <v>7.8947222222222226</v>
      </c>
      <c r="H1051">
        <v>0</v>
      </c>
      <c r="J1051">
        <v>660</v>
      </c>
      <c r="K1051" t="s">
        <v>124</v>
      </c>
    </row>
    <row r="1052" spans="1:11" x14ac:dyDescent="0.35">
      <c r="A1052" t="s">
        <v>136</v>
      </c>
      <c r="B1052" s="46">
        <v>46122</v>
      </c>
      <c r="C1052" t="s">
        <v>107</v>
      </c>
      <c r="D1052" t="s">
        <v>137</v>
      </c>
      <c r="E1052" t="s">
        <v>200</v>
      </c>
      <c r="F1052" t="s">
        <v>201</v>
      </c>
      <c r="G1052">
        <v>2.7777777777777778E-4</v>
      </c>
      <c r="H1052">
        <v>0</v>
      </c>
      <c r="J1052">
        <v>0</v>
      </c>
      <c r="K1052" t="s">
        <v>124</v>
      </c>
    </row>
    <row r="1053" spans="1:11" x14ac:dyDescent="0.35">
      <c r="A1053" t="s">
        <v>136</v>
      </c>
      <c r="B1053" s="46">
        <v>46122</v>
      </c>
      <c r="C1053" t="s">
        <v>107</v>
      </c>
      <c r="D1053" t="s">
        <v>137</v>
      </c>
      <c r="E1053" t="s">
        <v>174</v>
      </c>
      <c r="F1053" t="s">
        <v>175</v>
      </c>
      <c r="G1053">
        <v>1.0533333333333332</v>
      </c>
      <c r="H1053">
        <v>0</v>
      </c>
      <c r="J1053">
        <v>0</v>
      </c>
      <c r="K1053" t="s">
        <v>124</v>
      </c>
    </row>
    <row r="1054" spans="1:11" x14ac:dyDescent="0.35">
      <c r="A1054" t="s">
        <v>136</v>
      </c>
      <c r="B1054" s="46">
        <v>46122</v>
      </c>
      <c r="C1054" t="s">
        <v>107</v>
      </c>
      <c r="D1054" t="s">
        <v>137</v>
      </c>
      <c r="E1054" t="s">
        <v>152</v>
      </c>
      <c r="F1054" t="s">
        <v>153</v>
      </c>
      <c r="G1054">
        <v>15.051388888888889</v>
      </c>
      <c r="H1054">
        <v>0</v>
      </c>
      <c r="J1054">
        <v>4452</v>
      </c>
      <c r="K1054" t="s">
        <v>124</v>
      </c>
    </row>
    <row r="1055" spans="1:11" x14ac:dyDescent="0.35">
      <c r="A1055" t="s">
        <v>136</v>
      </c>
      <c r="B1055" s="46">
        <v>46122</v>
      </c>
      <c r="C1055" t="s">
        <v>81</v>
      </c>
      <c r="D1055" t="s">
        <v>137</v>
      </c>
      <c r="E1055" t="s">
        <v>170</v>
      </c>
      <c r="F1055" t="s">
        <v>171</v>
      </c>
      <c r="G1055">
        <v>24</v>
      </c>
      <c r="H1055">
        <v>0</v>
      </c>
      <c r="J1055">
        <v>949</v>
      </c>
      <c r="K1055" t="s">
        <v>124</v>
      </c>
    </row>
    <row r="1056" spans="1:11" x14ac:dyDescent="0.35">
      <c r="A1056" t="s">
        <v>136</v>
      </c>
      <c r="B1056" s="46">
        <v>46122</v>
      </c>
      <c r="C1056" t="s">
        <v>101</v>
      </c>
      <c r="D1056" t="s">
        <v>137</v>
      </c>
      <c r="E1056" t="s">
        <v>144</v>
      </c>
      <c r="F1056" t="s">
        <v>145</v>
      </c>
      <c r="G1056">
        <v>23.99861111111111</v>
      </c>
      <c r="H1056">
        <v>0</v>
      </c>
      <c r="J1056">
        <v>1126</v>
      </c>
      <c r="K1056" t="s">
        <v>124</v>
      </c>
    </row>
    <row r="1057" spans="1:11" x14ac:dyDescent="0.35">
      <c r="A1057" t="s">
        <v>136</v>
      </c>
      <c r="B1057" s="46">
        <v>46122</v>
      </c>
      <c r="C1057" t="s">
        <v>95</v>
      </c>
      <c r="D1057" t="s">
        <v>137</v>
      </c>
      <c r="E1057" t="s">
        <v>170</v>
      </c>
      <c r="F1057" t="s">
        <v>171</v>
      </c>
      <c r="G1057">
        <v>24</v>
      </c>
      <c r="H1057">
        <v>0</v>
      </c>
      <c r="J1057">
        <v>42</v>
      </c>
      <c r="K1057" t="s">
        <v>124</v>
      </c>
    </row>
    <row r="1058" spans="1:11" x14ac:dyDescent="0.35">
      <c r="A1058" t="s">
        <v>136</v>
      </c>
      <c r="B1058" s="46">
        <v>46122</v>
      </c>
      <c r="C1058" t="s">
        <v>86</v>
      </c>
      <c r="D1058" t="s">
        <v>137</v>
      </c>
      <c r="E1058" t="s">
        <v>144</v>
      </c>
      <c r="F1058" t="s">
        <v>145</v>
      </c>
      <c r="G1058">
        <v>23.636388888888888</v>
      </c>
      <c r="H1058">
        <v>0</v>
      </c>
      <c r="J1058">
        <v>851</v>
      </c>
      <c r="K1058" t="s">
        <v>124</v>
      </c>
    </row>
    <row r="1059" spans="1:11" x14ac:dyDescent="0.35">
      <c r="A1059" t="s">
        <v>136</v>
      </c>
      <c r="B1059" s="46">
        <v>46122</v>
      </c>
      <c r="C1059" t="s">
        <v>88</v>
      </c>
      <c r="D1059" t="s">
        <v>137</v>
      </c>
      <c r="E1059" t="s">
        <v>170</v>
      </c>
      <c r="F1059" t="s">
        <v>171</v>
      </c>
      <c r="G1059">
        <v>23.199722222222221</v>
      </c>
      <c r="H1059">
        <v>0</v>
      </c>
      <c r="J1059">
        <v>1213</v>
      </c>
      <c r="K1059" t="s">
        <v>124</v>
      </c>
    </row>
    <row r="1060" spans="1:11" x14ac:dyDescent="0.35">
      <c r="A1060" t="s">
        <v>136</v>
      </c>
      <c r="B1060" s="46">
        <v>46122</v>
      </c>
      <c r="C1060" t="s">
        <v>100</v>
      </c>
      <c r="D1060" t="s">
        <v>137</v>
      </c>
      <c r="E1060" t="s">
        <v>170</v>
      </c>
      <c r="F1060" t="s">
        <v>171</v>
      </c>
      <c r="G1060">
        <v>24</v>
      </c>
      <c r="H1060">
        <v>0</v>
      </c>
      <c r="J1060">
        <v>896</v>
      </c>
      <c r="K1060" t="s">
        <v>124</v>
      </c>
    </row>
    <row r="1061" spans="1:11" x14ac:dyDescent="0.35">
      <c r="A1061" t="s">
        <v>136</v>
      </c>
      <c r="B1061" s="46">
        <v>46122</v>
      </c>
      <c r="C1061" t="s">
        <v>93</v>
      </c>
      <c r="D1061" t="s">
        <v>137</v>
      </c>
      <c r="E1061" t="s">
        <v>170</v>
      </c>
      <c r="F1061" t="s">
        <v>171</v>
      </c>
      <c r="G1061">
        <v>8.3977777777777778</v>
      </c>
      <c r="H1061">
        <v>0</v>
      </c>
      <c r="J1061">
        <v>185</v>
      </c>
      <c r="K1061" t="s">
        <v>124</v>
      </c>
    </row>
    <row r="1062" spans="1:11" x14ac:dyDescent="0.35">
      <c r="A1062" t="s">
        <v>136</v>
      </c>
      <c r="B1062" s="46">
        <v>46122</v>
      </c>
      <c r="C1062" t="s">
        <v>93</v>
      </c>
      <c r="D1062" t="s">
        <v>137</v>
      </c>
      <c r="E1062" t="s">
        <v>152</v>
      </c>
      <c r="F1062" t="s">
        <v>153</v>
      </c>
      <c r="G1062">
        <v>2.4722222222222222E-2</v>
      </c>
      <c r="H1062">
        <v>0</v>
      </c>
      <c r="J1062">
        <v>0</v>
      </c>
      <c r="K1062" t="s">
        <v>124</v>
      </c>
    </row>
    <row r="1063" spans="1:11" x14ac:dyDescent="0.35">
      <c r="A1063" t="s">
        <v>136</v>
      </c>
      <c r="B1063" s="46">
        <v>46122</v>
      </c>
      <c r="C1063" t="s">
        <v>93</v>
      </c>
      <c r="D1063" t="s">
        <v>137</v>
      </c>
      <c r="E1063" t="s">
        <v>186</v>
      </c>
      <c r="F1063" t="s">
        <v>187</v>
      </c>
      <c r="G1063">
        <v>15.577500000000001</v>
      </c>
      <c r="H1063">
        <v>0</v>
      </c>
      <c r="J1063">
        <v>715</v>
      </c>
      <c r="K1063" t="s">
        <v>124</v>
      </c>
    </row>
    <row r="1064" spans="1:11" x14ac:dyDescent="0.35">
      <c r="A1064" t="s">
        <v>136</v>
      </c>
      <c r="B1064" s="46">
        <v>46122</v>
      </c>
      <c r="C1064" t="s">
        <v>99</v>
      </c>
      <c r="D1064" t="s">
        <v>137</v>
      </c>
      <c r="E1064" t="s">
        <v>170</v>
      </c>
      <c r="F1064" t="s">
        <v>171</v>
      </c>
      <c r="G1064">
        <v>24</v>
      </c>
      <c r="H1064">
        <v>0</v>
      </c>
      <c r="J1064">
        <v>1040</v>
      </c>
      <c r="K1064" t="s">
        <v>124</v>
      </c>
    </row>
    <row r="1065" spans="1:11" x14ac:dyDescent="0.35">
      <c r="A1065" t="s">
        <v>136</v>
      </c>
      <c r="B1065" s="46">
        <v>46122</v>
      </c>
      <c r="C1065" t="s">
        <v>98</v>
      </c>
      <c r="D1065" t="s">
        <v>137</v>
      </c>
      <c r="E1065" t="s">
        <v>170</v>
      </c>
      <c r="F1065" t="s">
        <v>171</v>
      </c>
      <c r="G1065">
        <v>23.988888888888887</v>
      </c>
      <c r="H1065">
        <v>0</v>
      </c>
      <c r="J1065">
        <v>1784</v>
      </c>
      <c r="K1065" t="s">
        <v>124</v>
      </c>
    </row>
    <row r="1066" spans="1:11" x14ac:dyDescent="0.35">
      <c r="A1066" t="s">
        <v>136</v>
      </c>
      <c r="B1066" s="46">
        <v>46122</v>
      </c>
      <c r="C1066" t="s">
        <v>97</v>
      </c>
      <c r="D1066" t="s">
        <v>137</v>
      </c>
      <c r="E1066" t="s">
        <v>170</v>
      </c>
      <c r="F1066" t="s">
        <v>171</v>
      </c>
      <c r="G1066">
        <v>24</v>
      </c>
      <c r="H1066">
        <v>0</v>
      </c>
      <c r="J1066">
        <v>295</v>
      </c>
      <c r="K1066" t="s">
        <v>124</v>
      </c>
    </row>
    <row r="1067" spans="1:11" x14ac:dyDescent="0.35">
      <c r="A1067" t="s">
        <v>136</v>
      </c>
      <c r="B1067" s="46">
        <v>46122</v>
      </c>
      <c r="C1067" t="s">
        <v>84</v>
      </c>
      <c r="D1067" t="s">
        <v>137</v>
      </c>
      <c r="E1067" t="s">
        <v>170</v>
      </c>
      <c r="F1067" t="s">
        <v>171</v>
      </c>
      <c r="G1067">
        <v>24</v>
      </c>
      <c r="H1067">
        <v>0</v>
      </c>
      <c r="J1067">
        <v>218</v>
      </c>
      <c r="K1067" t="s">
        <v>124</v>
      </c>
    </row>
    <row r="1068" spans="1:11" x14ac:dyDescent="0.35">
      <c r="A1068" t="s">
        <v>136</v>
      </c>
      <c r="B1068" s="46">
        <v>46122</v>
      </c>
      <c r="C1068" t="s">
        <v>106</v>
      </c>
      <c r="D1068" t="s">
        <v>137</v>
      </c>
      <c r="E1068" t="s">
        <v>170</v>
      </c>
      <c r="F1068" t="s">
        <v>171</v>
      </c>
      <c r="G1068">
        <v>16.791666666666668</v>
      </c>
      <c r="H1068">
        <v>0</v>
      </c>
      <c r="J1068">
        <v>171</v>
      </c>
      <c r="K1068" t="s">
        <v>124</v>
      </c>
    </row>
    <row r="1069" spans="1:11" x14ac:dyDescent="0.35">
      <c r="A1069" t="s">
        <v>136</v>
      </c>
      <c r="B1069" s="46">
        <v>46122</v>
      </c>
      <c r="C1069" t="s">
        <v>85</v>
      </c>
      <c r="D1069" t="s">
        <v>137</v>
      </c>
      <c r="E1069" t="s">
        <v>166</v>
      </c>
      <c r="F1069" t="s">
        <v>167</v>
      </c>
      <c r="G1069">
        <v>6.4944444444444445</v>
      </c>
      <c r="H1069">
        <v>0</v>
      </c>
      <c r="J1069">
        <v>729</v>
      </c>
      <c r="K1069" t="s">
        <v>124</v>
      </c>
    </row>
    <row r="1070" spans="1:11" x14ac:dyDescent="0.35">
      <c r="A1070" t="s">
        <v>136</v>
      </c>
      <c r="B1070" s="46">
        <v>46122</v>
      </c>
      <c r="C1070" t="s">
        <v>85</v>
      </c>
      <c r="D1070" t="s">
        <v>137</v>
      </c>
      <c r="E1070" t="s">
        <v>170</v>
      </c>
      <c r="F1070" t="s">
        <v>171</v>
      </c>
      <c r="G1070">
        <v>14.383888888888889</v>
      </c>
      <c r="H1070">
        <v>0</v>
      </c>
      <c r="J1070">
        <v>832</v>
      </c>
      <c r="K1070" t="s">
        <v>124</v>
      </c>
    </row>
    <row r="1071" spans="1:11" x14ac:dyDescent="0.35">
      <c r="A1071" t="s">
        <v>136</v>
      </c>
      <c r="B1071" s="46">
        <v>46122</v>
      </c>
      <c r="C1071" t="s">
        <v>85</v>
      </c>
      <c r="D1071" t="s">
        <v>137</v>
      </c>
      <c r="E1071" t="s">
        <v>172</v>
      </c>
      <c r="F1071" t="s">
        <v>173</v>
      </c>
      <c r="G1071">
        <v>9.9166666666666667E-2</v>
      </c>
      <c r="H1071">
        <v>0</v>
      </c>
      <c r="J1071">
        <v>34</v>
      </c>
      <c r="K1071" t="s">
        <v>124</v>
      </c>
    </row>
    <row r="1072" spans="1:11" x14ac:dyDescent="0.35">
      <c r="A1072" t="s">
        <v>136</v>
      </c>
      <c r="B1072" s="46">
        <v>46122</v>
      </c>
      <c r="C1072" t="s">
        <v>103</v>
      </c>
      <c r="D1072" t="s">
        <v>137</v>
      </c>
      <c r="E1072" t="s">
        <v>170</v>
      </c>
      <c r="F1072" t="s">
        <v>171</v>
      </c>
      <c r="G1072">
        <v>23.235555555555557</v>
      </c>
      <c r="H1072">
        <v>0</v>
      </c>
      <c r="J1072">
        <v>414</v>
      </c>
      <c r="K1072" t="s">
        <v>124</v>
      </c>
    </row>
    <row r="1073" spans="1:11" x14ac:dyDescent="0.35">
      <c r="A1073" t="s">
        <v>136</v>
      </c>
      <c r="B1073" s="46">
        <v>46122</v>
      </c>
      <c r="C1073" t="s">
        <v>109</v>
      </c>
      <c r="D1073" t="s">
        <v>137</v>
      </c>
      <c r="E1073" t="s">
        <v>194</v>
      </c>
      <c r="F1073" t="s">
        <v>195</v>
      </c>
      <c r="G1073">
        <v>11.193888888888889</v>
      </c>
      <c r="H1073">
        <v>0</v>
      </c>
      <c r="J1073">
        <v>578</v>
      </c>
      <c r="K1073" t="s">
        <v>124</v>
      </c>
    </row>
    <row r="1074" spans="1:11" x14ac:dyDescent="0.35">
      <c r="A1074" t="s">
        <v>136</v>
      </c>
      <c r="B1074" s="46">
        <v>46123</v>
      </c>
      <c r="C1074" t="s">
        <v>96</v>
      </c>
      <c r="D1074" t="s">
        <v>137</v>
      </c>
      <c r="E1074" t="s">
        <v>180</v>
      </c>
      <c r="F1074" t="s">
        <v>181</v>
      </c>
      <c r="G1074">
        <v>2.7541666666666669</v>
      </c>
      <c r="H1074">
        <v>0</v>
      </c>
      <c r="J1074">
        <v>320</v>
      </c>
      <c r="K1074" t="s">
        <v>124</v>
      </c>
    </row>
    <row r="1075" spans="1:11" x14ac:dyDescent="0.35">
      <c r="A1075" t="s">
        <v>136</v>
      </c>
      <c r="B1075" s="46">
        <v>46123</v>
      </c>
      <c r="C1075" t="s">
        <v>96</v>
      </c>
      <c r="D1075" t="s">
        <v>137</v>
      </c>
      <c r="E1075" t="s">
        <v>164</v>
      </c>
      <c r="F1075" t="s">
        <v>165</v>
      </c>
      <c r="G1075">
        <v>0.13583333333333333</v>
      </c>
      <c r="H1075">
        <v>0</v>
      </c>
      <c r="J1075">
        <v>0</v>
      </c>
      <c r="K1075" t="s">
        <v>124</v>
      </c>
    </row>
    <row r="1076" spans="1:11" x14ac:dyDescent="0.35">
      <c r="A1076" t="s">
        <v>136</v>
      </c>
      <c r="B1076" s="46">
        <v>46123</v>
      </c>
      <c r="C1076" t="s">
        <v>96</v>
      </c>
      <c r="D1076" t="s">
        <v>137</v>
      </c>
      <c r="E1076" t="s">
        <v>170</v>
      </c>
      <c r="F1076" t="s">
        <v>171</v>
      </c>
      <c r="G1076">
        <v>13.068055555555556</v>
      </c>
      <c r="H1076">
        <v>0</v>
      </c>
      <c r="J1076">
        <v>2776</v>
      </c>
      <c r="K1076" t="s">
        <v>124</v>
      </c>
    </row>
    <row r="1077" spans="1:11" x14ac:dyDescent="0.35">
      <c r="A1077" t="s">
        <v>136</v>
      </c>
      <c r="B1077" s="46">
        <v>46123</v>
      </c>
      <c r="C1077" t="s">
        <v>96</v>
      </c>
      <c r="D1077" t="s">
        <v>137</v>
      </c>
      <c r="E1077" t="s">
        <v>172</v>
      </c>
      <c r="F1077" t="s">
        <v>173</v>
      </c>
      <c r="G1077">
        <v>0.25944444444444442</v>
      </c>
      <c r="H1077">
        <v>0</v>
      </c>
      <c r="J1077">
        <v>31</v>
      </c>
      <c r="K1077" t="s">
        <v>124</v>
      </c>
    </row>
    <row r="1078" spans="1:11" x14ac:dyDescent="0.35">
      <c r="A1078" t="s">
        <v>136</v>
      </c>
      <c r="B1078" s="46">
        <v>46123</v>
      </c>
      <c r="C1078" t="s">
        <v>96</v>
      </c>
      <c r="D1078" t="s">
        <v>137</v>
      </c>
      <c r="E1078" t="s">
        <v>176</v>
      </c>
      <c r="F1078" t="s">
        <v>177</v>
      </c>
      <c r="G1078">
        <v>0.24555555555555555</v>
      </c>
      <c r="H1078">
        <v>0</v>
      </c>
      <c r="J1078">
        <v>109</v>
      </c>
      <c r="K1078" t="s">
        <v>124</v>
      </c>
    </row>
    <row r="1079" spans="1:11" x14ac:dyDescent="0.35">
      <c r="A1079" t="s">
        <v>136</v>
      </c>
      <c r="B1079" s="46">
        <v>46123</v>
      </c>
      <c r="C1079" t="s">
        <v>96</v>
      </c>
      <c r="D1079" t="s">
        <v>137</v>
      </c>
      <c r="E1079" t="s">
        <v>152</v>
      </c>
      <c r="F1079" t="s">
        <v>153</v>
      </c>
      <c r="G1079">
        <v>0.30722222222222223</v>
      </c>
      <c r="H1079">
        <v>0</v>
      </c>
      <c r="J1079">
        <v>0</v>
      </c>
      <c r="K1079" t="s">
        <v>124</v>
      </c>
    </row>
    <row r="1080" spans="1:11" x14ac:dyDescent="0.35">
      <c r="A1080" t="s">
        <v>136</v>
      </c>
      <c r="B1080" s="46">
        <v>46123</v>
      </c>
      <c r="C1080" t="s">
        <v>104</v>
      </c>
      <c r="D1080" t="s">
        <v>137</v>
      </c>
      <c r="E1080" t="s">
        <v>170</v>
      </c>
      <c r="F1080" t="s">
        <v>171</v>
      </c>
      <c r="G1080">
        <v>0.57138888888888884</v>
      </c>
      <c r="H1080">
        <v>0</v>
      </c>
      <c r="J1080">
        <v>0</v>
      </c>
      <c r="K1080" t="s">
        <v>124</v>
      </c>
    </row>
    <row r="1081" spans="1:11" x14ac:dyDescent="0.35">
      <c r="A1081" t="s">
        <v>136</v>
      </c>
      <c r="B1081" s="46">
        <v>46123</v>
      </c>
      <c r="C1081" t="s">
        <v>104</v>
      </c>
      <c r="D1081" t="s">
        <v>137</v>
      </c>
      <c r="E1081" t="s">
        <v>198</v>
      </c>
      <c r="F1081" t="s">
        <v>199</v>
      </c>
      <c r="G1081">
        <v>6.4286111111111115</v>
      </c>
      <c r="H1081">
        <v>0</v>
      </c>
      <c r="J1081">
        <v>340</v>
      </c>
      <c r="K1081" t="s">
        <v>124</v>
      </c>
    </row>
    <row r="1082" spans="1:11" x14ac:dyDescent="0.35">
      <c r="A1082" t="s">
        <v>136</v>
      </c>
      <c r="B1082" s="46">
        <v>46123</v>
      </c>
      <c r="C1082" t="s">
        <v>90</v>
      </c>
      <c r="D1082" t="s">
        <v>137</v>
      </c>
      <c r="E1082" t="s">
        <v>180</v>
      </c>
      <c r="F1082" t="s">
        <v>181</v>
      </c>
      <c r="G1082">
        <v>0.2713888888888889</v>
      </c>
      <c r="H1082">
        <v>0</v>
      </c>
      <c r="J1082">
        <v>46</v>
      </c>
      <c r="K1082" t="s">
        <v>124</v>
      </c>
    </row>
    <row r="1083" spans="1:11" x14ac:dyDescent="0.35">
      <c r="A1083" t="s">
        <v>136</v>
      </c>
      <c r="B1083" s="46">
        <v>46123</v>
      </c>
      <c r="C1083" t="s">
        <v>90</v>
      </c>
      <c r="D1083" t="s">
        <v>137</v>
      </c>
      <c r="E1083" t="s">
        <v>164</v>
      </c>
      <c r="F1083" t="s">
        <v>165</v>
      </c>
      <c r="G1083">
        <v>0.1</v>
      </c>
      <c r="H1083">
        <v>0</v>
      </c>
      <c r="J1083">
        <v>58</v>
      </c>
      <c r="K1083" t="s">
        <v>124</v>
      </c>
    </row>
    <row r="1084" spans="1:11" x14ac:dyDescent="0.35">
      <c r="A1084" t="s">
        <v>136</v>
      </c>
      <c r="B1084" s="46">
        <v>46123</v>
      </c>
      <c r="C1084" t="s">
        <v>90</v>
      </c>
      <c r="D1084" t="s">
        <v>137</v>
      </c>
      <c r="E1084" t="s">
        <v>208</v>
      </c>
      <c r="F1084" t="s">
        <v>209</v>
      </c>
      <c r="G1084">
        <v>3.0555555555555557E-3</v>
      </c>
      <c r="H1084">
        <v>0</v>
      </c>
      <c r="J1084">
        <v>11</v>
      </c>
      <c r="K1084" t="s">
        <v>124</v>
      </c>
    </row>
    <row r="1085" spans="1:11" x14ac:dyDescent="0.35">
      <c r="A1085" t="s">
        <v>136</v>
      </c>
      <c r="B1085" s="46">
        <v>46123</v>
      </c>
      <c r="C1085" t="s">
        <v>90</v>
      </c>
      <c r="D1085" t="s">
        <v>137</v>
      </c>
      <c r="E1085" t="s">
        <v>170</v>
      </c>
      <c r="F1085" t="s">
        <v>171</v>
      </c>
      <c r="G1085">
        <v>14.564166666666667</v>
      </c>
      <c r="H1085">
        <v>0</v>
      </c>
      <c r="J1085">
        <v>1929</v>
      </c>
      <c r="K1085" t="s">
        <v>124</v>
      </c>
    </row>
    <row r="1086" spans="1:11" x14ac:dyDescent="0.35">
      <c r="A1086" t="s">
        <v>136</v>
      </c>
      <c r="B1086" s="46">
        <v>46123</v>
      </c>
      <c r="C1086" t="s">
        <v>90</v>
      </c>
      <c r="D1086" t="s">
        <v>137</v>
      </c>
      <c r="E1086" t="s">
        <v>176</v>
      </c>
      <c r="F1086" t="s">
        <v>177</v>
      </c>
      <c r="G1086">
        <v>0.38027777777777777</v>
      </c>
      <c r="H1086">
        <v>0</v>
      </c>
      <c r="J1086">
        <v>331</v>
      </c>
      <c r="K1086" t="s">
        <v>124</v>
      </c>
    </row>
    <row r="1087" spans="1:11" x14ac:dyDescent="0.35">
      <c r="A1087" t="s">
        <v>136</v>
      </c>
      <c r="B1087" s="46">
        <v>46123</v>
      </c>
      <c r="C1087" t="s">
        <v>90</v>
      </c>
      <c r="D1087" t="s">
        <v>137</v>
      </c>
      <c r="E1087" t="s">
        <v>152</v>
      </c>
      <c r="F1087" t="s">
        <v>153</v>
      </c>
      <c r="G1087">
        <v>8.9722222222222217E-2</v>
      </c>
      <c r="H1087">
        <v>0</v>
      </c>
      <c r="J1087">
        <v>0</v>
      </c>
      <c r="K1087" t="s">
        <v>124</v>
      </c>
    </row>
    <row r="1088" spans="1:11" x14ac:dyDescent="0.35">
      <c r="A1088" t="s">
        <v>136</v>
      </c>
      <c r="B1088" s="46">
        <v>46123</v>
      </c>
      <c r="C1088" t="s">
        <v>90</v>
      </c>
      <c r="D1088" t="s">
        <v>137</v>
      </c>
      <c r="E1088" t="s">
        <v>186</v>
      </c>
      <c r="F1088" t="s">
        <v>187</v>
      </c>
      <c r="G1088">
        <v>4.8333333333333332E-2</v>
      </c>
      <c r="H1088">
        <v>0</v>
      </c>
      <c r="J1088">
        <v>29</v>
      </c>
      <c r="K1088" t="s">
        <v>124</v>
      </c>
    </row>
    <row r="1089" spans="1:11" x14ac:dyDescent="0.35">
      <c r="A1089" t="s">
        <v>136</v>
      </c>
      <c r="B1089" s="46">
        <v>46123</v>
      </c>
      <c r="C1089" t="s">
        <v>107</v>
      </c>
      <c r="D1089" t="s">
        <v>137</v>
      </c>
      <c r="E1089" t="s">
        <v>180</v>
      </c>
      <c r="F1089" t="s">
        <v>181</v>
      </c>
      <c r="G1089">
        <v>1.9444444444444444E-3</v>
      </c>
      <c r="H1089">
        <v>0</v>
      </c>
      <c r="J1089">
        <v>0</v>
      </c>
      <c r="K1089" t="s">
        <v>124</v>
      </c>
    </row>
    <row r="1090" spans="1:11" x14ac:dyDescent="0.35">
      <c r="A1090" t="s">
        <v>136</v>
      </c>
      <c r="B1090" s="46">
        <v>46123</v>
      </c>
      <c r="C1090" t="s">
        <v>107</v>
      </c>
      <c r="D1090" t="s">
        <v>137</v>
      </c>
      <c r="E1090" t="s">
        <v>164</v>
      </c>
      <c r="F1090" t="s">
        <v>165</v>
      </c>
      <c r="G1090">
        <v>0.05</v>
      </c>
      <c r="H1090">
        <v>0</v>
      </c>
      <c r="J1090">
        <v>16</v>
      </c>
      <c r="K1090" t="s">
        <v>124</v>
      </c>
    </row>
    <row r="1091" spans="1:11" x14ac:dyDescent="0.35">
      <c r="A1091" t="s">
        <v>136</v>
      </c>
      <c r="B1091" s="46">
        <v>46123</v>
      </c>
      <c r="C1091" t="s">
        <v>107</v>
      </c>
      <c r="D1091" t="s">
        <v>137</v>
      </c>
      <c r="E1091" t="s">
        <v>166</v>
      </c>
      <c r="F1091" t="s">
        <v>167</v>
      </c>
      <c r="G1091">
        <v>1.621388888888889</v>
      </c>
      <c r="H1091">
        <v>0</v>
      </c>
      <c r="J1091">
        <v>12</v>
      </c>
      <c r="K1091" t="s">
        <v>124</v>
      </c>
    </row>
    <row r="1092" spans="1:11" x14ac:dyDescent="0.35">
      <c r="A1092" t="s">
        <v>136</v>
      </c>
      <c r="B1092" s="46">
        <v>46123</v>
      </c>
      <c r="C1092" t="s">
        <v>107</v>
      </c>
      <c r="D1092" t="s">
        <v>137</v>
      </c>
      <c r="E1092" t="s">
        <v>168</v>
      </c>
      <c r="F1092" t="s">
        <v>169</v>
      </c>
      <c r="G1092">
        <v>6.8611111111111109E-2</v>
      </c>
      <c r="H1092">
        <v>0</v>
      </c>
      <c r="J1092">
        <v>17</v>
      </c>
      <c r="K1092" t="s">
        <v>124</v>
      </c>
    </row>
    <row r="1093" spans="1:11" x14ac:dyDescent="0.35">
      <c r="A1093" t="s">
        <v>136</v>
      </c>
      <c r="B1093" s="46">
        <v>46123</v>
      </c>
      <c r="C1093" t="s">
        <v>107</v>
      </c>
      <c r="D1093" t="s">
        <v>137</v>
      </c>
      <c r="E1093" t="s">
        <v>170</v>
      </c>
      <c r="F1093" t="s">
        <v>171</v>
      </c>
      <c r="G1093">
        <v>16.799722222222222</v>
      </c>
      <c r="H1093">
        <v>0</v>
      </c>
      <c r="J1093">
        <v>841</v>
      </c>
      <c r="K1093" t="s">
        <v>124</v>
      </c>
    </row>
    <row r="1094" spans="1:11" x14ac:dyDescent="0.35">
      <c r="A1094" t="s">
        <v>136</v>
      </c>
      <c r="B1094" s="46">
        <v>46123</v>
      </c>
      <c r="C1094" t="s">
        <v>107</v>
      </c>
      <c r="D1094" t="s">
        <v>137</v>
      </c>
      <c r="E1094" t="s">
        <v>184</v>
      </c>
      <c r="F1094" t="s">
        <v>185</v>
      </c>
      <c r="G1094">
        <v>0.27083333333333331</v>
      </c>
      <c r="H1094">
        <v>0</v>
      </c>
      <c r="J1094">
        <v>45</v>
      </c>
      <c r="K1094" t="s">
        <v>124</v>
      </c>
    </row>
    <row r="1095" spans="1:11" x14ac:dyDescent="0.35">
      <c r="A1095" t="s">
        <v>136</v>
      </c>
      <c r="B1095" s="46">
        <v>46123</v>
      </c>
      <c r="C1095" t="s">
        <v>107</v>
      </c>
      <c r="D1095" t="s">
        <v>137</v>
      </c>
      <c r="E1095" t="s">
        <v>172</v>
      </c>
      <c r="F1095" t="s">
        <v>173</v>
      </c>
      <c r="G1095">
        <v>0.24833333333333332</v>
      </c>
      <c r="H1095">
        <v>0</v>
      </c>
      <c r="J1095">
        <v>160</v>
      </c>
      <c r="K1095" t="s">
        <v>124</v>
      </c>
    </row>
    <row r="1096" spans="1:11" x14ac:dyDescent="0.35">
      <c r="A1096" t="s">
        <v>136</v>
      </c>
      <c r="B1096" s="46">
        <v>46123</v>
      </c>
      <c r="C1096" t="s">
        <v>107</v>
      </c>
      <c r="D1096" t="s">
        <v>137</v>
      </c>
      <c r="E1096" t="s">
        <v>174</v>
      </c>
      <c r="F1096" t="s">
        <v>175</v>
      </c>
      <c r="G1096">
        <v>2.7777777777777778E-4</v>
      </c>
      <c r="H1096">
        <v>0</v>
      </c>
      <c r="J1096">
        <v>0</v>
      </c>
      <c r="K1096" t="s">
        <v>124</v>
      </c>
    </row>
    <row r="1097" spans="1:11" x14ac:dyDescent="0.35">
      <c r="A1097" t="s">
        <v>136</v>
      </c>
      <c r="B1097" s="46">
        <v>46123</v>
      </c>
      <c r="C1097" t="s">
        <v>107</v>
      </c>
      <c r="D1097" t="s">
        <v>137</v>
      </c>
      <c r="E1097" t="s">
        <v>176</v>
      </c>
      <c r="F1097" t="s">
        <v>177</v>
      </c>
      <c r="G1097">
        <v>0.41333333333333333</v>
      </c>
      <c r="H1097">
        <v>0</v>
      </c>
      <c r="J1097">
        <v>96</v>
      </c>
      <c r="K1097" t="s">
        <v>124</v>
      </c>
    </row>
    <row r="1098" spans="1:11" x14ac:dyDescent="0.35">
      <c r="A1098" t="s">
        <v>136</v>
      </c>
      <c r="B1098" s="46">
        <v>46123</v>
      </c>
      <c r="C1098" t="s">
        <v>81</v>
      </c>
      <c r="D1098" t="s">
        <v>137</v>
      </c>
      <c r="E1098" t="s">
        <v>188</v>
      </c>
      <c r="F1098" t="s">
        <v>189</v>
      </c>
      <c r="G1098">
        <v>1.7366666666666666</v>
      </c>
      <c r="H1098">
        <v>0</v>
      </c>
      <c r="J1098">
        <v>59</v>
      </c>
      <c r="K1098" t="s">
        <v>124</v>
      </c>
    </row>
    <row r="1099" spans="1:11" x14ac:dyDescent="0.35">
      <c r="A1099" t="s">
        <v>136</v>
      </c>
      <c r="B1099" s="46">
        <v>46123</v>
      </c>
      <c r="C1099" t="s">
        <v>81</v>
      </c>
      <c r="D1099" t="s">
        <v>137</v>
      </c>
      <c r="E1099" t="s">
        <v>166</v>
      </c>
      <c r="F1099" t="s">
        <v>167</v>
      </c>
      <c r="G1099">
        <v>1.773611111111111</v>
      </c>
      <c r="H1099">
        <v>0</v>
      </c>
      <c r="J1099">
        <v>218</v>
      </c>
      <c r="K1099" t="s">
        <v>124</v>
      </c>
    </row>
    <row r="1100" spans="1:11" x14ac:dyDescent="0.35">
      <c r="A1100" t="s">
        <v>136</v>
      </c>
      <c r="B1100" s="46">
        <v>46123</v>
      </c>
      <c r="C1100" t="s">
        <v>81</v>
      </c>
      <c r="D1100" t="s">
        <v>137</v>
      </c>
      <c r="E1100" t="s">
        <v>168</v>
      </c>
      <c r="F1100" t="s">
        <v>169</v>
      </c>
      <c r="G1100">
        <v>8.5833333333333331E-2</v>
      </c>
      <c r="H1100">
        <v>0</v>
      </c>
      <c r="J1100">
        <v>42</v>
      </c>
      <c r="K1100" t="s">
        <v>124</v>
      </c>
    </row>
    <row r="1101" spans="1:11" x14ac:dyDescent="0.35">
      <c r="A1101" t="s">
        <v>136</v>
      </c>
      <c r="B1101" s="46">
        <v>46123</v>
      </c>
      <c r="C1101" t="s">
        <v>81</v>
      </c>
      <c r="D1101" t="s">
        <v>137</v>
      </c>
      <c r="E1101" t="s">
        <v>170</v>
      </c>
      <c r="F1101" t="s">
        <v>171</v>
      </c>
      <c r="G1101">
        <v>9.2063888888888883</v>
      </c>
      <c r="H1101">
        <v>0</v>
      </c>
      <c r="J1101">
        <v>673</v>
      </c>
      <c r="K1101" t="s">
        <v>124</v>
      </c>
    </row>
    <row r="1102" spans="1:11" x14ac:dyDescent="0.35">
      <c r="A1102" t="s">
        <v>136</v>
      </c>
      <c r="B1102" s="46">
        <v>46123</v>
      </c>
      <c r="C1102" t="s">
        <v>81</v>
      </c>
      <c r="D1102" t="s">
        <v>137</v>
      </c>
      <c r="E1102" t="s">
        <v>184</v>
      </c>
      <c r="F1102" t="s">
        <v>185</v>
      </c>
      <c r="G1102">
        <v>0.25444444444444442</v>
      </c>
      <c r="H1102">
        <v>0</v>
      </c>
      <c r="J1102">
        <v>38</v>
      </c>
      <c r="K1102" t="s">
        <v>124</v>
      </c>
    </row>
    <row r="1103" spans="1:11" x14ac:dyDescent="0.35">
      <c r="A1103" t="s">
        <v>136</v>
      </c>
      <c r="B1103" s="46">
        <v>46123</v>
      </c>
      <c r="C1103" t="s">
        <v>81</v>
      </c>
      <c r="D1103" t="s">
        <v>137</v>
      </c>
      <c r="E1103" t="s">
        <v>176</v>
      </c>
      <c r="F1103" t="s">
        <v>177</v>
      </c>
      <c r="G1103">
        <v>1.7616666666666667</v>
      </c>
      <c r="H1103">
        <v>0</v>
      </c>
      <c r="J1103">
        <v>78</v>
      </c>
      <c r="K1103" t="s">
        <v>124</v>
      </c>
    </row>
    <row r="1104" spans="1:11" x14ac:dyDescent="0.35">
      <c r="A1104" t="s">
        <v>136</v>
      </c>
      <c r="B1104" s="46">
        <v>46123</v>
      </c>
      <c r="C1104" t="s">
        <v>101</v>
      </c>
      <c r="D1104" t="s">
        <v>137</v>
      </c>
      <c r="E1104" t="s">
        <v>164</v>
      </c>
      <c r="F1104" t="s">
        <v>165</v>
      </c>
      <c r="G1104">
        <v>6.5000000000000002E-2</v>
      </c>
      <c r="H1104">
        <v>0</v>
      </c>
      <c r="J1104">
        <v>28</v>
      </c>
      <c r="K1104" t="s">
        <v>124</v>
      </c>
    </row>
    <row r="1105" spans="1:11" x14ac:dyDescent="0.35">
      <c r="A1105" t="s">
        <v>136</v>
      </c>
      <c r="B1105" s="46">
        <v>46123</v>
      </c>
      <c r="C1105" t="s">
        <v>101</v>
      </c>
      <c r="D1105" t="s">
        <v>137</v>
      </c>
      <c r="E1105" t="s">
        <v>168</v>
      </c>
      <c r="F1105" t="s">
        <v>169</v>
      </c>
      <c r="G1105">
        <v>7.3611111111111113E-2</v>
      </c>
      <c r="H1105">
        <v>0</v>
      </c>
      <c r="J1105">
        <v>37</v>
      </c>
      <c r="K1105" t="s">
        <v>124</v>
      </c>
    </row>
    <row r="1106" spans="1:11" x14ac:dyDescent="0.35">
      <c r="A1106" t="s">
        <v>136</v>
      </c>
      <c r="B1106" s="46">
        <v>46123</v>
      </c>
      <c r="C1106" t="s">
        <v>101</v>
      </c>
      <c r="D1106" t="s">
        <v>137</v>
      </c>
      <c r="E1106" t="s">
        <v>170</v>
      </c>
      <c r="F1106" t="s">
        <v>171</v>
      </c>
      <c r="G1106">
        <v>3.5505555555555555</v>
      </c>
      <c r="H1106">
        <v>0</v>
      </c>
      <c r="J1106">
        <v>158</v>
      </c>
      <c r="K1106" t="s">
        <v>124</v>
      </c>
    </row>
    <row r="1107" spans="1:11" x14ac:dyDescent="0.35">
      <c r="A1107" t="s">
        <v>136</v>
      </c>
      <c r="B1107" s="46">
        <v>46123</v>
      </c>
      <c r="C1107" t="s">
        <v>101</v>
      </c>
      <c r="D1107" t="s">
        <v>137</v>
      </c>
      <c r="E1107" t="s">
        <v>184</v>
      </c>
      <c r="F1107" t="s">
        <v>185</v>
      </c>
      <c r="G1107">
        <v>1.3005555555555555</v>
      </c>
      <c r="H1107">
        <v>0</v>
      </c>
      <c r="J1107">
        <v>0</v>
      </c>
      <c r="K1107" t="s">
        <v>124</v>
      </c>
    </row>
    <row r="1108" spans="1:11" x14ac:dyDescent="0.35">
      <c r="A1108" t="s">
        <v>136</v>
      </c>
      <c r="B1108" s="46">
        <v>46123</v>
      </c>
      <c r="C1108" t="s">
        <v>101</v>
      </c>
      <c r="D1108" t="s">
        <v>137</v>
      </c>
      <c r="E1108" t="s">
        <v>182</v>
      </c>
      <c r="F1108" t="s">
        <v>183</v>
      </c>
      <c r="G1108">
        <v>9.3333333333333338E-2</v>
      </c>
      <c r="H1108">
        <v>0</v>
      </c>
      <c r="J1108">
        <v>0</v>
      </c>
      <c r="K1108" t="s">
        <v>124</v>
      </c>
    </row>
    <row r="1109" spans="1:11" x14ac:dyDescent="0.35">
      <c r="A1109" t="s">
        <v>136</v>
      </c>
      <c r="B1109" s="46">
        <v>46123</v>
      </c>
      <c r="C1109" t="s">
        <v>101</v>
      </c>
      <c r="D1109" t="s">
        <v>137</v>
      </c>
      <c r="E1109" t="s">
        <v>144</v>
      </c>
      <c r="F1109" t="s">
        <v>145</v>
      </c>
      <c r="G1109">
        <v>11.742777777777778</v>
      </c>
      <c r="H1109">
        <v>0</v>
      </c>
      <c r="J1109">
        <v>1228</v>
      </c>
      <c r="K1109" t="s">
        <v>124</v>
      </c>
    </row>
    <row r="1110" spans="1:11" x14ac:dyDescent="0.35">
      <c r="A1110" t="s">
        <v>136</v>
      </c>
      <c r="B1110" s="46">
        <v>46123</v>
      </c>
      <c r="C1110" t="s">
        <v>101</v>
      </c>
      <c r="D1110" t="s">
        <v>137</v>
      </c>
      <c r="E1110" t="s">
        <v>172</v>
      </c>
      <c r="F1110" t="s">
        <v>173</v>
      </c>
      <c r="G1110">
        <v>0.17083333333333334</v>
      </c>
      <c r="H1110">
        <v>0</v>
      </c>
      <c r="J1110">
        <v>107</v>
      </c>
      <c r="K1110" t="s">
        <v>124</v>
      </c>
    </row>
    <row r="1111" spans="1:11" x14ac:dyDescent="0.35">
      <c r="A1111" t="s">
        <v>136</v>
      </c>
      <c r="B1111" s="46">
        <v>46123</v>
      </c>
      <c r="C1111" t="s">
        <v>101</v>
      </c>
      <c r="D1111" t="s">
        <v>137</v>
      </c>
      <c r="E1111" t="s">
        <v>176</v>
      </c>
      <c r="F1111" t="s">
        <v>177</v>
      </c>
      <c r="G1111">
        <v>1.481111111111111</v>
      </c>
      <c r="H1111">
        <v>0</v>
      </c>
      <c r="J1111">
        <v>325</v>
      </c>
      <c r="K1111" t="s">
        <v>124</v>
      </c>
    </row>
    <row r="1112" spans="1:11" x14ac:dyDescent="0.35">
      <c r="A1112" t="s">
        <v>136</v>
      </c>
      <c r="B1112" s="46">
        <v>46123</v>
      </c>
      <c r="C1112" t="s">
        <v>95</v>
      </c>
      <c r="D1112" t="s">
        <v>137</v>
      </c>
      <c r="E1112" t="s">
        <v>180</v>
      </c>
      <c r="F1112" t="s">
        <v>181</v>
      </c>
      <c r="G1112">
        <v>6.1388888888888889E-2</v>
      </c>
      <c r="H1112">
        <v>0</v>
      </c>
      <c r="J1112">
        <v>118</v>
      </c>
      <c r="K1112" t="s">
        <v>124</v>
      </c>
    </row>
    <row r="1113" spans="1:11" x14ac:dyDescent="0.35">
      <c r="A1113" t="s">
        <v>136</v>
      </c>
      <c r="B1113" s="46">
        <v>46123</v>
      </c>
      <c r="C1113" t="s">
        <v>95</v>
      </c>
      <c r="D1113" t="s">
        <v>137</v>
      </c>
      <c r="E1113" t="s">
        <v>164</v>
      </c>
      <c r="F1113" t="s">
        <v>165</v>
      </c>
      <c r="G1113">
        <v>0.13722222222222222</v>
      </c>
      <c r="H1113">
        <v>0</v>
      </c>
      <c r="J1113">
        <v>27</v>
      </c>
      <c r="K1113" t="s">
        <v>124</v>
      </c>
    </row>
    <row r="1114" spans="1:11" x14ac:dyDescent="0.35">
      <c r="A1114" t="s">
        <v>136</v>
      </c>
      <c r="B1114" s="46">
        <v>46123</v>
      </c>
      <c r="C1114" t="s">
        <v>95</v>
      </c>
      <c r="D1114" t="s">
        <v>137</v>
      </c>
      <c r="E1114" t="s">
        <v>168</v>
      </c>
      <c r="F1114" t="s">
        <v>169</v>
      </c>
      <c r="G1114">
        <v>0.11444444444444445</v>
      </c>
      <c r="H1114">
        <v>0</v>
      </c>
      <c r="J1114">
        <v>38</v>
      </c>
      <c r="K1114" t="s">
        <v>124</v>
      </c>
    </row>
    <row r="1115" spans="1:11" x14ac:dyDescent="0.35">
      <c r="A1115" t="s">
        <v>136</v>
      </c>
      <c r="B1115" s="46">
        <v>46123</v>
      </c>
      <c r="C1115" t="s">
        <v>95</v>
      </c>
      <c r="D1115" t="s">
        <v>137</v>
      </c>
      <c r="E1115" t="s">
        <v>160</v>
      </c>
      <c r="F1115" t="s">
        <v>161</v>
      </c>
      <c r="G1115">
        <v>0.15</v>
      </c>
      <c r="H1115">
        <v>0</v>
      </c>
      <c r="J1115">
        <v>14</v>
      </c>
      <c r="K1115" t="s">
        <v>124</v>
      </c>
    </row>
    <row r="1116" spans="1:11" x14ac:dyDescent="0.35">
      <c r="A1116" t="s">
        <v>136</v>
      </c>
      <c r="B1116" s="46">
        <v>46123</v>
      </c>
      <c r="C1116" t="s">
        <v>95</v>
      </c>
      <c r="D1116" t="s">
        <v>137</v>
      </c>
      <c r="E1116" t="s">
        <v>170</v>
      </c>
      <c r="F1116" t="s">
        <v>171</v>
      </c>
      <c r="G1116">
        <v>10.916388888888889</v>
      </c>
      <c r="H1116">
        <v>0</v>
      </c>
      <c r="J1116">
        <v>1256</v>
      </c>
      <c r="K1116" t="s">
        <v>124</v>
      </c>
    </row>
    <row r="1117" spans="1:11" x14ac:dyDescent="0.35">
      <c r="A1117" t="s">
        <v>136</v>
      </c>
      <c r="B1117" s="46">
        <v>46123</v>
      </c>
      <c r="C1117" t="s">
        <v>95</v>
      </c>
      <c r="D1117" t="s">
        <v>137</v>
      </c>
      <c r="E1117" t="s">
        <v>176</v>
      </c>
      <c r="F1117" t="s">
        <v>177</v>
      </c>
      <c r="G1117">
        <v>0.99</v>
      </c>
      <c r="H1117">
        <v>0</v>
      </c>
      <c r="J1117">
        <v>486</v>
      </c>
      <c r="K1117" t="s">
        <v>124</v>
      </c>
    </row>
    <row r="1118" spans="1:11" x14ac:dyDescent="0.35">
      <c r="A1118" t="s">
        <v>136</v>
      </c>
      <c r="B1118" s="46">
        <v>46123</v>
      </c>
      <c r="C1118" t="s">
        <v>95</v>
      </c>
      <c r="D1118" t="s">
        <v>137</v>
      </c>
      <c r="E1118" t="s">
        <v>186</v>
      </c>
      <c r="F1118" t="s">
        <v>187</v>
      </c>
      <c r="G1118">
        <v>5.4644444444444442</v>
      </c>
      <c r="H1118">
        <v>0</v>
      </c>
      <c r="J1118">
        <v>2147</v>
      </c>
      <c r="K1118" t="s">
        <v>124</v>
      </c>
    </row>
    <row r="1119" spans="1:11" x14ac:dyDescent="0.35">
      <c r="A1119" t="s">
        <v>136</v>
      </c>
      <c r="B1119" s="46">
        <v>46123</v>
      </c>
      <c r="C1119" t="s">
        <v>95</v>
      </c>
      <c r="D1119" t="s">
        <v>137</v>
      </c>
      <c r="E1119" t="s">
        <v>146</v>
      </c>
      <c r="F1119" t="s">
        <v>147</v>
      </c>
      <c r="G1119">
        <v>4.1666666666666666E-3</v>
      </c>
      <c r="H1119">
        <v>0</v>
      </c>
      <c r="J1119">
        <v>15</v>
      </c>
      <c r="K1119" t="s">
        <v>124</v>
      </c>
    </row>
    <row r="1120" spans="1:11" x14ac:dyDescent="0.35">
      <c r="A1120" t="s">
        <v>136</v>
      </c>
      <c r="B1120" s="46">
        <v>46123</v>
      </c>
      <c r="C1120" t="s">
        <v>86</v>
      </c>
      <c r="D1120" t="s">
        <v>137</v>
      </c>
      <c r="E1120" t="s">
        <v>180</v>
      </c>
      <c r="F1120" t="s">
        <v>181</v>
      </c>
      <c r="G1120">
        <v>3.1025</v>
      </c>
      <c r="H1120">
        <v>0</v>
      </c>
      <c r="J1120">
        <v>719</v>
      </c>
      <c r="K1120" t="s">
        <v>124</v>
      </c>
    </row>
    <row r="1121" spans="1:11" x14ac:dyDescent="0.35">
      <c r="A1121" t="s">
        <v>136</v>
      </c>
      <c r="B1121" s="46">
        <v>46123</v>
      </c>
      <c r="C1121" t="s">
        <v>86</v>
      </c>
      <c r="D1121" t="s">
        <v>137</v>
      </c>
      <c r="E1121" t="s">
        <v>164</v>
      </c>
      <c r="F1121" t="s">
        <v>165</v>
      </c>
      <c r="G1121">
        <v>0.21111111111111111</v>
      </c>
      <c r="H1121">
        <v>0</v>
      </c>
      <c r="J1121">
        <v>0</v>
      </c>
      <c r="K1121" t="s">
        <v>124</v>
      </c>
    </row>
    <row r="1122" spans="1:11" x14ac:dyDescent="0.35">
      <c r="A1122" t="s">
        <v>136</v>
      </c>
      <c r="B1122" s="46">
        <v>46123</v>
      </c>
      <c r="C1122" t="s">
        <v>86</v>
      </c>
      <c r="D1122" t="s">
        <v>137</v>
      </c>
      <c r="E1122" t="s">
        <v>166</v>
      </c>
      <c r="F1122" t="s">
        <v>167</v>
      </c>
      <c r="G1122">
        <v>0.50138888888888888</v>
      </c>
      <c r="H1122">
        <v>0</v>
      </c>
      <c r="J1122">
        <v>281</v>
      </c>
      <c r="K1122" t="s">
        <v>124</v>
      </c>
    </row>
    <row r="1123" spans="1:11" x14ac:dyDescent="0.35">
      <c r="A1123" t="s">
        <v>136</v>
      </c>
      <c r="B1123" s="46">
        <v>46123</v>
      </c>
      <c r="C1123" t="s">
        <v>86</v>
      </c>
      <c r="D1123" t="s">
        <v>137</v>
      </c>
      <c r="E1123" t="s">
        <v>182</v>
      </c>
      <c r="F1123" t="s">
        <v>183</v>
      </c>
      <c r="G1123">
        <v>0.10055555555555555</v>
      </c>
      <c r="H1123">
        <v>0</v>
      </c>
      <c r="J1123">
        <v>80</v>
      </c>
      <c r="K1123" t="s">
        <v>124</v>
      </c>
    </row>
    <row r="1124" spans="1:11" x14ac:dyDescent="0.35">
      <c r="A1124" t="s">
        <v>136</v>
      </c>
      <c r="B1124" s="46">
        <v>46123</v>
      </c>
      <c r="C1124" t="s">
        <v>86</v>
      </c>
      <c r="D1124" t="s">
        <v>137</v>
      </c>
      <c r="E1124" t="s">
        <v>144</v>
      </c>
      <c r="F1124" t="s">
        <v>145</v>
      </c>
      <c r="G1124">
        <v>11.154999999999999</v>
      </c>
      <c r="H1124">
        <v>0</v>
      </c>
      <c r="J1124">
        <v>559</v>
      </c>
      <c r="K1124" t="s">
        <v>124</v>
      </c>
    </row>
    <row r="1125" spans="1:11" x14ac:dyDescent="0.35">
      <c r="A1125" t="s">
        <v>136</v>
      </c>
      <c r="B1125" s="46">
        <v>46123</v>
      </c>
      <c r="C1125" t="s">
        <v>86</v>
      </c>
      <c r="D1125" t="s">
        <v>137</v>
      </c>
      <c r="E1125" t="s">
        <v>174</v>
      </c>
      <c r="F1125" t="s">
        <v>175</v>
      </c>
      <c r="G1125">
        <v>0.16361111111111112</v>
      </c>
      <c r="H1125">
        <v>0</v>
      </c>
      <c r="J1125">
        <v>69</v>
      </c>
      <c r="K1125" t="s">
        <v>124</v>
      </c>
    </row>
    <row r="1126" spans="1:11" x14ac:dyDescent="0.35">
      <c r="A1126" t="s">
        <v>136</v>
      </c>
      <c r="B1126" s="46">
        <v>46123</v>
      </c>
      <c r="C1126" t="s">
        <v>86</v>
      </c>
      <c r="D1126" t="s">
        <v>137</v>
      </c>
      <c r="E1126" t="s">
        <v>176</v>
      </c>
      <c r="F1126" t="s">
        <v>177</v>
      </c>
      <c r="G1126">
        <v>0.48249999999999998</v>
      </c>
      <c r="H1126">
        <v>0</v>
      </c>
      <c r="J1126">
        <v>305</v>
      </c>
      <c r="K1126" t="s">
        <v>124</v>
      </c>
    </row>
    <row r="1127" spans="1:11" x14ac:dyDescent="0.35">
      <c r="A1127" t="s">
        <v>136</v>
      </c>
      <c r="B1127" s="46">
        <v>46123</v>
      </c>
      <c r="C1127" t="s">
        <v>86</v>
      </c>
      <c r="D1127" t="s">
        <v>137</v>
      </c>
      <c r="E1127" t="s">
        <v>152</v>
      </c>
      <c r="F1127" t="s">
        <v>153</v>
      </c>
      <c r="G1127">
        <v>0.23527777777777778</v>
      </c>
      <c r="H1127">
        <v>0</v>
      </c>
      <c r="J1127">
        <v>36</v>
      </c>
      <c r="K1127" t="s">
        <v>124</v>
      </c>
    </row>
    <row r="1128" spans="1:11" x14ac:dyDescent="0.35">
      <c r="A1128" t="s">
        <v>136</v>
      </c>
      <c r="B1128" s="46">
        <v>46123</v>
      </c>
      <c r="C1128" t="s">
        <v>88</v>
      </c>
      <c r="D1128" t="s">
        <v>137</v>
      </c>
      <c r="E1128" t="s">
        <v>180</v>
      </c>
      <c r="F1128" t="s">
        <v>181</v>
      </c>
      <c r="G1128">
        <v>1.6944444444444444</v>
      </c>
      <c r="H1128">
        <v>0</v>
      </c>
      <c r="J1128">
        <v>121</v>
      </c>
      <c r="K1128" t="s">
        <v>124</v>
      </c>
    </row>
    <row r="1129" spans="1:11" x14ac:dyDescent="0.35">
      <c r="A1129" t="s">
        <v>136</v>
      </c>
      <c r="B1129" s="46">
        <v>46123</v>
      </c>
      <c r="C1129" t="s">
        <v>88</v>
      </c>
      <c r="D1129" t="s">
        <v>137</v>
      </c>
      <c r="E1129" t="s">
        <v>166</v>
      </c>
      <c r="F1129" t="s">
        <v>167</v>
      </c>
      <c r="G1129">
        <v>0.17777777777777778</v>
      </c>
      <c r="H1129">
        <v>0</v>
      </c>
      <c r="J1129">
        <v>103</v>
      </c>
      <c r="K1129" t="s">
        <v>124</v>
      </c>
    </row>
    <row r="1130" spans="1:11" x14ac:dyDescent="0.35">
      <c r="A1130" t="s">
        <v>136</v>
      </c>
      <c r="B1130" s="46">
        <v>46123</v>
      </c>
      <c r="C1130" t="s">
        <v>88</v>
      </c>
      <c r="D1130" t="s">
        <v>137</v>
      </c>
      <c r="E1130" t="s">
        <v>168</v>
      </c>
      <c r="F1130" t="s">
        <v>169</v>
      </c>
      <c r="G1130">
        <v>0.14305555555555555</v>
      </c>
      <c r="H1130">
        <v>0</v>
      </c>
      <c r="J1130">
        <v>18</v>
      </c>
      <c r="K1130" t="s">
        <v>124</v>
      </c>
    </row>
    <row r="1131" spans="1:11" x14ac:dyDescent="0.35">
      <c r="A1131" t="s">
        <v>136</v>
      </c>
      <c r="B1131" s="46">
        <v>46123</v>
      </c>
      <c r="C1131" t="s">
        <v>88</v>
      </c>
      <c r="D1131" t="s">
        <v>137</v>
      </c>
      <c r="E1131" t="s">
        <v>170</v>
      </c>
      <c r="F1131" t="s">
        <v>171</v>
      </c>
      <c r="G1131">
        <v>12.841944444444444</v>
      </c>
      <c r="H1131">
        <v>0</v>
      </c>
      <c r="J1131">
        <v>1299</v>
      </c>
      <c r="K1131" t="s">
        <v>124</v>
      </c>
    </row>
    <row r="1132" spans="1:11" x14ac:dyDescent="0.35">
      <c r="A1132" t="s">
        <v>136</v>
      </c>
      <c r="B1132" s="46">
        <v>46123</v>
      </c>
      <c r="C1132" t="s">
        <v>88</v>
      </c>
      <c r="D1132" t="s">
        <v>137</v>
      </c>
      <c r="E1132" t="s">
        <v>172</v>
      </c>
      <c r="F1132" t="s">
        <v>173</v>
      </c>
      <c r="G1132">
        <v>0.15</v>
      </c>
      <c r="H1132">
        <v>0</v>
      </c>
      <c r="J1132">
        <v>158</v>
      </c>
      <c r="K1132" t="s">
        <v>124</v>
      </c>
    </row>
    <row r="1133" spans="1:11" x14ac:dyDescent="0.35">
      <c r="A1133" t="s">
        <v>136</v>
      </c>
      <c r="B1133" s="46">
        <v>46123</v>
      </c>
      <c r="C1133" t="s">
        <v>88</v>
      </c>
      <c r="D1133" t="s">
        <v>137</v>
      </c>
      <c r="E1133" t="s">
        <v>176</v>
      </c>
      <c r="F1133" t="s">
        <v>177</v>
      </c>
      <c r="G1133">
        <v>1.7372222222222222</v>
      </c>
      <c r="H1133">
        <v>0</v>
      </c>
      <c r="J1133">
        <v>402</v>
      </c>
      <c r="K1133" t="s">
        <v>124</v>
      </c>
    </row>
    <row r="1134" spans="1:11" x14ac:dyDescent="0.35">
      <c r="A1134" t="s">
        <v>136</v>
      </c>
      <c r="B1134" s="46">
        <v>46123</v>
      </c>
      <c r="C1134" t="s">
        <v>88</v>
      </c>
      <c r="D1134" t="s">
        <v>137</v>
      </c>
      <c r="E1134" t="s">
        <v>178</v>
      </c>
      <c r="F1134" t="s">
        <v>179</v>
      </c>
      <c r="G1134">
        <v>4.4722222222222219E-2</v>
      </c>
      <c r="H1134">
        <v>0</v>
      </c>
      <c r="J1134">
        <v>155</v>
      </c>
      <c r="K1134" t="s">
        <v>124</v>
      </c>
    </row>
    <row r="1135" spans="1:11" x14ac:dyDescent="0.35">
      <c r="A1135" t="s">
        <v>136</v>
      </c>
      <c r="B1135" s="46">
        <v>46123</v>
      </c>
      <c r="C1135" t="s">
        <v>100</v>
      </c>
      <c r="D1135" t="s">
        <v>137</v>
      </c>
      <c r="E1135" t="s">
        <v>170</v>
      </c>
      <c r="F1135" t="s">
        <v>171</v>
      </c>
      <c r="G1135">
        <v>23.252222222222223</v>
      </c>
      <c r="H1135">
        <v>0</v>
      </c>
      <c r="J1135">
        <v>404</v>
      </c>
      <c r="K1135" t="s">
        <v>124</v>
      </c>
    </row>
    <row r="1136" spans="1:11" x14ac:dyDescent="0.35">
      <c r="A1136" t="s">
        <v>136</v>
      </c>
      <c r="B1136" s="46">
        <v>46123</v>
      </c>
      <c r="C1136" t="s">
        <v>93</v>
      </c>
      <c r="D1136" t="s">
        <v>137</v>
      </c>
      <c r="E1136" t="s">
        <v>170</v>
      </c>
      <c r="F1136" t="s">
        <v>171</v>
      </c>
      <c r="G1136">
        <v>23.477222222222224</v>
      </c>
      <c r="H1136">
        <v>0</v>
      </c>
      <c r="J1136">
        <v>151</v>
      </c>
      <c r="K1136" t="s">
        <v>124</v>
      </c>
    </row>
    <row r="1137" spans="1:11" x14ac:dyDescent="0.35">
      <c r="A1137" t="s">
        <v>136</v>
      </c>
      <c r="B1137" s="46">
        <v>46123</v>
      </c>
      <c r="C1137" t="s">
        <v>93</v>
      </c>
      <c r="D1137" t="s">
        <v>137</v>
      </c>
      <c r="E1137" t="s">
        <v>176</v>
      </c>
      <c r="F1137" t="s">
        <v>177</v>
      </c>
      <c r="G1137">
        <v>4.7222222222222223E-3</v>
      </c>
      <c r="H1137">
        <v>0</v>
      </c>
      <c r="J1137">
        <v>0</v>
      </c>
      <c r="K1137" t="s">
        <v>124</v>
      </c>
    </row>
    <row r="1138" spans="1:11" x14ac:dyDescent="0.35">
      <c r="A1138" t="s">
        <v>136</v>
      </c>
      <c r="B1138" s="46">
        <v>46123</v>
      </c>
      <c r="C1138" t="s">
        <v>93</v>
      </c>
      <c r="D1138" t="s">
        <v>137</v>
      </c>
      <c r="E1138" t="s">
        <v>152</v>
      </c>
      <c r="F1138" t="s">
        <v>153</v>
      </c>
      <c r="G1138">
        <v>0.4588888888888889</v>
      </c>
      <c r="H1138">
        <v>0</v>
      </c>
      <c r="J1138">
        <v>649</v>
      </c>
      <c r="K1138" t="s">
        <v>124</v>
      </c>
    </row>
    <row r="1139" spans="1:11" x14ac:dyDescent="0.35">
      <c r="A1139" t="s">
        <v>136</v>
      </c>
      <c r="B1139" s="46">
        <v>46123</v>
      </c>
      <c r="C1139" t="s">
        <v>99</v>
      </c>
      <c r="D1139" t="s">
        <v>137</v>
      </c>
      <c r="E1139" t="s">
        <v>164</v>
      </c>
      <c r="F1139" t="s">
        <v>165</v>
      </c>
      <c r="G1139">
        <v>0.10305555555555555</v>
      </c>
      <c r="H1139">
        <v>0</v>
      </c>
      <c r="J1139">
        <v>94</v>
      </c>
      <c r="K1139" t="s">
        <v>124</v>
      </c>
    </row>
    <row r="1140" spans="1:11" x14ac:dyDescent="0.35">
      <c r="A1140" t="s">
        <v>136</v>
      </c>
      <c r="B1140" s="46">
        <v>46123</v>
      </c>
      <c r="C1140" t="s">
        <v>99</v>
      </c>
      <c r="D1140" t="s">
        <v>137</v>
      </c>
      <c r="E1140" t="s">
        <v>166</v>
      </c>
      <c r="F1140" t="s">
        <v>167</v>
      </c>
      <c r="G1140">
        <v>2.0319444444444446</v>
      </c>
      <c r="H1140">
        <v>0</v>
      </c>
      <c r="J1140">
        <v>253</v>
      </c>
      <c r="K1140" t="s">
        <v>124</v>
      </c>
    </row>
    <row r="1141" spans="1:11" x14ac:dyDescent="0.35">
      <c r="A1141" t="s">
        <v>136</v>
      </c>
      <c r="B1141" s="46">
        <v>46123</v>
      </c>
      <c r="C1141" t="s">
        <v>99</v>
      </c>
      <c r="D1141" t="s">
        <v>137</v>
      </c>
      <c r="E1141" t="s">
        <v>170</v>
      </c>
      <c r="F1141" t="s">
        <v>171</v>
      </c>
      <c r="G1141">
        <v>17.880833333333332</v>
      </c>
      <c r="H1141">
        <v>0</v>
      </c>
      <c r="J1141">
        <v>973</v>
      </c>
      <c r="K1141" t="s">
        <v>124</v>
      </c>
    </row>
    <row r="1142" spans="1:11" x14ac:dyDescent="0.35">
      <c r="A1142" t="s">
        <v>136</v>
      </c>
      <c r="B1142" s="46">
        <v>46123</v>
      </c>
      <c r="C1142" t="s">
        <v>99</v>
      </c>
      <c r="D1142" t="s">
        <v>137</v>
      </c>
      <c r="E1142" t="s">
        <v>176</v>
      </c>
      <c r="F1142" t="s">
        <v>177</v>
      </c>
      <c r="G1142">
        <v>0.11444444444444445</v>
      </c>
      <c r="H1142">
        <v>0</v>
      </c>
      <c r="J1142">
        <v>65</v>
      </c>
      <c r="K1142" t="s">
        <v>124</v>
      </c>
    </row>
    <row r="1143" spans="1:11" x14ac:dyDescent="0.35">
      <c r="A1143" t="s">
        <v>136</v>
      </c>
      <c r="B1143" s="46">
        <v>46123</v>
      </c>
      <c r="C1143" t="s">
        <v>98</v>
      </c>
      <c r="D1143" t="s">
        <v>137</v>
      </c>
      <c r="E1143" t="s">
        <v>180</v>
      </c>
      <c r="F1143" t="s">
        <v>181</v>
      </c>
      <c r="G1143">
        <v>2.4622222222222221</v>
      </c>
      <c r="H1143">
        <v>0</v>
      </c>
      <c r="J1143">
        <v>2773</v>
      </c>
      <c r="K1143" t="s">
        <v>124</v>
      </c>
    </row>
    <row r="1144" spans="1:11" x14ac:dyDescent="0.35">
      <c r="A1144" t="s">
        <v>136</v>
      </c>
      <c r="B1144" s="46">
        <v>46123</v>
      </c>
      <c r="C1144" t="s">
        <v>98</v>
      </c>
      <c r="D1144" t="s">
        <v>137</v>
      </c>
      <c r="E1144" t="s">
        <v>164</v>
      </c>
      <c r="F1144" t="s">
        <v>165</v>
      </c>
      <c r="G1144">
        <v>0.20666666666666667</v>
      </c>
      <c r="H1144">
        <v>0</v>
      </c>
      <c r="J1144">
        <v>0</v>
      </c>
      <c r="K1144" t="s">
        <v>124</v>
      </c>
    </row>
    <row r="1145" spans="1:11" x14ac:dyDescent="0.35">
      <c r="A1145" t="s">
        <v>136</v>
      </c>
      <c r="B1145" s="46">
        <v>46123</v>
      </c>
      <c r="C1145" t="s">
        <v>98</v>
      </c>
      <c r="D1145" t="s">
        <v>137</v>
      </c>
      <c r="E1145" t="s">
        <v>168</v>
      </c>
      <c r="F1145" t="s">
        <v>169</v>
      </c>
      <c r="G1145">
        <v>7.722222222222222E-2</v>
      </c>
      <c r="H1145">
        <v>0</v>
      </c>
      <c r="J1145">
        <v>18</v>
      </c>
      <c r="K1145" t="s">
        <v>124</v>
      </c>
    </row>
    <row r="1146" spans="1:11" x14ac:dyDescent="0.35">
      <c r="A1146" t="s">
        <v>136</v>
      </c>
      <c r="B1146" s="46">
        <v>46123</v>
      </c>
      <c r="C1146" t="s">
        <v>98</v>
      </c>
      <c r="D1146" t="s">
        <v>137</v>
      </c>
      <c r="E1146" t="s">
        <v>170</v>
      </c>
      <c r="F1146" t="s">
        <v>171</v>
      </c>
      <c r="G1146">
        <v>14.1225</v>
      </c>
      <c r="H1146">
        <v>0</v>
      </c>
      <c r="J1146">
        <v>1661</v>
      </c>
      <c r="K1146" t="s">
        <v>124</v>
      </c>
    </row>
    <row r="1147" spans="1:11" x14ac:dyDescent="0.35">
      <c r="A1147" t="s">
        <v>136</v>
      </c>
      <c r="B1147" s="46">
        <v>46123</v>
      </c>
      <c r="C1147" t="s">
        <v>98</v>
      </c>
      <c r="D1147" t="s">
        <v>137</v>
      </c>
      <c r="E1147" t="s">
        <v>409</v>
      </c>
      <c r="F1147" t="s">
        <v>410</v>
      </c>
      <c r="G1147">
        <v>0.54527777777777775</v>
      </c>
      <c r="H1147">
        <v>0</v>
      </c>
      <c r="J1147">
        <v>125</v>
      </c>
      <c r="K1147" t="s">
        <v>124</v>
      </c>
    </row>
    <row r="1148" spans="1:11" x14ac:dyDescent="0.35">
      <c r="A1148" t="s">
        <v>136</v>
      </c>
      <c r="B1148" s="46">
        <v>46123</v>
      </c>
      <c r="C1148" t="s">
        <v>98</v>
      </c>
      <c r="D1148" t="s">
        <v>137</v>
      </c>
      <c r="E1148" t="s">
        <v>144</v>
      </c>
      <c r="F1148" t="s">
        <v>145</v>
      </c>
      <c r="G1148">
        <v>0.30222222222222223</v>
      </c>
      <c r="H1148">
        <v>0</v>
      </c>
      <c r="J1148">
        <v>214</v>
      </c>
      <c r="K1148" t="s">
        <v>124</v>
      </c>
    </row>
    <row r="1149" spans="1:11" x14ac:dyDescent="0.35">
      <c r="A1149" t="s">
        <v>136</v>
      </c>
      <c r="B1149" s="46">
        <v>46123</v>
      </c>
      <c r="C1149" t="s">
        <v>98</v>
      </c>
      <c r="D1149" t="s">
        <v>137</v>
      </c>
      <c r="E1149" t="s">
        <v>176</v>
      </c>
      <c r="F1149" t="s">
        <v>177</v>
      </c>
      <c r="G1149">
        <v>0.46500000000000002</v>
      </c>
      <c r="H1149">
        <v>0</v>
      </c>
      <c r="J1149">
        <v>330</v>
      </c>
      <c r="K1149" t="s">
        <v>124</v>
      </c>
    </row>
    <row r="1150" spans="1:11" x14ac:dyDescent="0.35">
      <c r="A1150" t="s">
        <v>136</v>
      </c>
      <c r="B1150" s="46">
        <v>46123</v>
      </c>
      <c r="C1150" t="s">
        <v>97</v>
      </c>
      <c r="D1150" t="s">
        <v>137</v>
      </c>
      <c r="E1150" t="s">
        <v>164</v>
      </c>
      <c r="F1150" t="s">
        <v>165</v>
      </c>
      <c r="G1150">
        <v>4.1388888888888892E-2</v>
      </c>
      <c r="H1150">
        <v>0</v>
      </c>
      <c r="J1150">
        <v>17</v>
      </c>
      <c r="K1150" t="s">
        <v>124</v>
      </c>
    </row>
    <row r="1151" spans="1:11" x14ac:dyDescent="0.35">
      <c r="A1151" t="s">
        <v>136</v>
      </c>
      <c r="B1151" s="46">
        <v>46123</v>
      </c>
      <c r="C1151" t="s">
        <v>97</v>
      </c>
      <c r="D1151" t="s">
        <v>137</v>
      </c>
      <c r="E1151" t="s">
        <v>170</v>
      </c>
      <c r="F1151" t="s">
        <v>171</v>
      </c>
      <c r="G1151">
        <v>18.028055555555557</v>
      </c>
      <c r="H1151">
        <v>0</v>
      </c>
      <c r="J1151">
        <v>1026</v>
      </c>
      <c r="K1151" t="s">
        <v>124</v>
      </c>
    </row>
    <row r="1152" spans="1:11" x14ac:dyDescent="0.35">
      <c r="A1152" t="s">
        <v>136</v>
      </c>
      <c r="B1152" s="46">
        <v>46123</v>
      </c>
      <c r="C1152" t="s">
        <v>97</v>
      </c>
      <c r="D1152" t="s">
        <v>137</v>
      </c>
      <c r="E1152" t="s">
        <v>176</v>
      </c>
      <c r="F1152" t="s">
        <v>177</v>
      </c>
      <c r="G1152">
        <v>0.20333333333333334</v>
      </c>
      <c r="H1152">
        <v>0</v>
      </c>
      <c r="J1152">
        <v>135</v>
      </c>
      <c r="K1152" t="s">
        <v>124</v>
      </c>
    </row>
    <row r="1153" spans="1:11" x14ac:dyDescent="0.35">
      <c r="A1153" t="s">
        <v>136</v>
      </c>
      <c r="B1153" s="46">
        <v>46123</v>
      </c>
      <c r="C1153" t="s">
        <v>97</v>
      </c>
      <c r="D1153" t="s">
        <v>137</v>
      </c>
      <c r="E1153" t="s">
        <v>186</v>
      </c>
      <c r="F1153" t="s">
        <v>187</v>
      </c>
      <c r="G1153">
        <v>5.8611111111111114E-2</v>
      </c>
      <c r="H1153">
        <v>0</v>
      </c>
      <c r="J1153">
        <v>0</v>
      </c>
      <c r="K1153" t="s">
        <v>124</v>
      </c>
    </row>
    <row r="1154" spans="1:11" x14ac:dyDescent="0.35">
      <c r="A1154" t="s">
        <v>136</v>
      </c>
      <c r="B1154" s="46">
        <v>46123</v>
      </c>
      <c r="C1154" t="s">
        <v>84</v>
      </c>
      <c r="D1154" t="s">
        <v>137</v>
      </c>
      <c r="E1154" t="s">
        <v>164</v>
      </c>
      <c r="F1154" t="s">
        <v>165</v>
      </c>
      <c r="G1154">
        <v>0.26222222222222225</v>
      </c>
      <c r="H1154">
        <v>0</v>
      </c>
      <c r="J1154">
        <v>79</v>
      </c>
      <c r="K1154" t="s">
        <v>124</v>
      </c>
    </row>
    <row r="1155" spans="1:11" x14ac:dyDescent="0.35">
      <c r="A1155" t="s">
        <v>136</v>
      </c>
      <c r="B1155" s="46">
        <v>46123</v>
      </c>
      <c r="C1155" t="s">
        <v>84</v>
      </c>
      <c r="D1155" t="s">
        <v>137</v>
      </c>
      <c r="E1155" t="s">
        <v>170</v>
      </c>
      <c r="F1155" t="s">
        <v>171</v>
      </c>
      <c r="G1155">
        <v>20.422222222222221</v>
      </c>
      <c r="H1155">
        <v>0</v>
      </c>
      <c r="J1155">
        <v>1552</v>
      </c>
      <c r="K1155" t="s">
        <v>124</v>
      </c>
    </row>
    <row r="1156" spans="1:11" x14ac:dyDescent="0.35">
      <c r="A1156" t="s">
        <v>136</v>
      </c>
      <c r="B1156" s="46">
        <v>46123</v>
      </c>
      <c r="C1156" t="s">
        <v>84</v>
      </c>
      <c r="D1156" t="s">
        <v>137</v>
      </c>
      <c r="E1156" t="s">
        <v>176</v>
      </c>
      <c r="F1156" t="s">
        <v>177</v>
      </c>
      <c r="G1156">
        <v>0.1736111111111111</v>
      </c>
      <c r="H1156">
        <v>0</v>
      </c>
      <c r="J1156">
        <v>88</v>
      </c>
      <c r="K1156" t="s">
        <v>124</v>
      </c>
    </row>
    <row r="1157" spans="1:11" x14ac:dyDescent="0.35">
      <c r="A1157" t="s">
        <v>136</v>
      </c>
      <c r="B1157" s="46">
        <v>46123</v>
      </c>
      <c r="C1157" t="s">
        <v>106</v>
      </c>
      <c r="D1157" t="s">
        <v>137</v>
      </c>
      <c r="E1157" t="s">
        <v>180</v>
      </c>
      <c r="F1157" t="s">
        <v>181</v>
      </c>
      <c r="G1157">
        <v>4.1944444444444444E-2</v>
      </c>
      <c r="H1157">
        <v>0</v>
      </c>
      <c r="J1157">
        <v>20</v>
      </c>
      <c r="K1157" t="s">
        <v>124</v>
      </c>
    </row>
    <row r="1158" spans="1:11" x14ac:dyDescent="0.35">
      <c r="A1158" t="s">
        <v>136</v>
      </c>
      <c r="B1158" s="46">
        <v>46123</v>
      </c>
      <c r="C1158" t="s">
        <v>106</v>
      </c>
      <c r="D1158" t="s">
        <v>137</v>
      </c>
      <c r="E1158" t="s">
        <v>164</v>
      </c>
      <c r="F1158" t="s">
        <v>165</v>
      </c>
      <c r="G1158">
        <v>0.21972222222222224</v>
      </c>
      <c r="H1158">
        <v>0</v>
      </c>
      <c r="J1158">
        <v>27</v>
      </c>
      <c r="K1158" t="s">
        <v>124</v>
      </c>
    </row>
    <row r="1159" spans="1:11" x14ac:dyDescent="0.35">
      <c r="A1159" t="s">
        <v>136</v>
      </c>
      <c r="B1159" s="46">
        <v>46123</v>
      </c>
      <c r="C1159" t="s">
        <v>106</v>
      </c>
      <c r="D1159" t="s">
        <v>137</v>
      </c>
      <c r="E1159" t="s">
        <v>168</v>
      </c>
      <c r="F1159" t="s">
        <v>169</v>
      </c>
      <c r="G1159">
        <v>6.8888888888888888E-2</v>
      </c>
      <c r="H1159">
        <v>0</v>
      </c>
      <c r="J1159">
        <v>24</v>
      </c>
      <c r="K1159" t="s">
        <v>124</v>
      </c>
    </row>
    <row r="1160" spans="1:11" x14ac:dyDescent="0.35">
      <c r="A1160" t="s">
        <v>136</v>
      </c>
      <c r="B1160" s="46">
        <v>46123</v>
      </c>
      <c r="C1160" t="s">
        <v>106</v>
      </c>
      <c r="D1160" t="s">
        <v>137</v>
      </c>
      <c r="E1160" t="s">
        <v>170</v>
      </c>
      <c r="F1160" t="s">
        <v>171</v>
      </c>
      <c r="G1160">
        <v>17.47861111111111</v>
      </c>
      <c r="H1160">
        <v>0</v>
      </c>
      <c r="J1160">
        <v>908</v>
      </c>
      <c r="K1160" t="s">
        <v>124</v>
      </c>
    </row>
    <row r="1161" spans="1:11" x14ac:dyDescent="0.35">
      <c r="A1161" t="s">
        <v>136</v>
      </c>
      <c r="B1161" s="46">
        <v>46123</v>
      </c>
      <c r="C1161" t="s">
        <v>106</v>
      </c>
      <c r="D1161" t="s">
        <v>137</v>
      </c>
      <c r="E1161" t="s">
        <v>176</v>
      </c>
      <c r="F1161" t="s">
        <v>177</v>
      </c>
      <c r="G1161">
        <v>0.35166666666666668</v>
      </c>
      <c r="H1161">
        <v>0</v>
      </c>
      <c r="J1161">
        <v>131</v>
      </c>
      <c r="K1161" t="s">
        <v>124</v>
      </c>
    </row>
    <row r="1162" spans="1:11" x14ac:dyDescent="0.35">
      <c r="A1162" t="s">
        <v>136</v>
      </c>
      <c r="B1162" s="46">
        <v>46123</v>
      </c>
      <c r="C1162" t="s">
        <v>85</v>
      </c>
      <c r="D1162" t="s">
        <v>137</v>
      </c>
      <c r="E1162" t="s">
        <v>170</v>
      </c>
      <c r="F1162" t="s">
        <v>171</v>
      </c>
      <c r="G1162">
        <v>16.409166666666668</v>
      </c>
      <c r="H1162">
        <v>0</v>
      </c>
      <c r="J1162">
        <v>681</v>
      </c>
      <c r="K1162" t="s">
        <v>124</v>
      </c>
    </row>
    <row r="1163" spans="1:11" x14ac:dyDescent="0.35">
      <c r="A1163" t="s">
        <v>136</v>
      </c>
      <c r="B1163" s="46">
        <v>46123</v>
      </c>
      <c r="C1163" t="s">
        <v>85</v>
      </c>
      <c r="D1163" t="s">
        <v>137</v>
      </c>
      <c r="E1163" t="s">
        <v>184</v>
      </c>
      <c r="F1163" t="s">
        <v>185</v>
      </c>
      <c r="G1163">
        <v>7.7777777777777779E-2</v>
      </c>
      <c r="H1163">
        <v>0</v>
      </c>
      <c r="J1163">
        <v>0</v>
      </c>
      <c r="K1163" t="s">
        <v>124</v>
      </c>
    </row>
    <row r="1164" spans="1:11" x14ac:dyDescent="0.35">
      <c r="A1164" t="s">
        <v>136</v>
      </c>
      <c r="B1164" s="46">
        <v>46123</v>
      </c>
      <c r="C1164" t="s">
        <v>85</v>
      </c>
      <c r="D1164" t="s">
        <v>137</v>
      </c>
      <c r="E1164" t="s">
        <v>176</v>
      </c>
      <c r="F1164" t="s">
        <v>177</v>
      </c>
      <c r="G1164">
        <v>0.14777777777777779</v>
      </c>
      <c r="H1164">
        <v>0</v>
      </c>
      <c r="J1164">
        <v>168</v>
      </c>
      <c r="K1164" t="s">
        <v>124</v>
      </c>
    </row>
    <row r="1165" spans="1:11" x14ac:dyDescent="0.35">
      <c r="A1165" t="s">
        <v>136</v>
      </c>
      <c r="B1165" s="46">
        <v>46123</v>
      </c>
      <c r="C1165" t="s">
        <v>85</v>
      </c>
      <c r="D1165" t="s">
        <v>137</v>
      </c>
      <c r="E1165" t="s">
        <v>196</v>
      </c>
      <c r="F1165" t="s">
        <v>197</v>
      </c>
      <c r="G1165">
        <v>0.25666666666666665</v>
      </c>
      <c r="H1165">
        <v>0</v>
      </c>
      <c r="J1165">
        <v>351</v>
      </c>
      <c r="K1165" t="s">
        <v>124</v>
      </c>
    </row>
    <row r="1166" spans="1:11" x14ac:dyDescent="0.35">
      <c r="A1166" t="s">
        <v>136</v>
      </c>
      <c r="B1166" s="46">
        <v>46123</v>
      </c>
      <c r="C1166" t="s">
        <v>103</v>
      </c>
      <c r="D1166" t="s">
        <v>137</v>
      </c>
      <c r="E1166" t="s">
        <v>164</v>
      </c>
      <c r="F1166" t="s">
        <v>165</v>
      </c>
      <c r="G1166">
        <v>7.3888888888888893E-2</v>
      </c>
      <c r="H1166">
        <v>0</v>
      </c>
      <c r="J1166">
        <v>34</v>
      </c>
      <c r="K1166" t="s">
        <v>124</v>
      </c>
    </row>
    <row r="1167" spans="1:11" x14ac:dyDescent="0.35">
      <c r="A1167" t="s">
        <v>136</v>
      </c>
      <c r="B1167" s="46">
        <v>46123</v>
      </c>
      <c r="C1167" t="s">
        <v>103</v>
      </c>
      <c r="D1167" t="s">
        <v>137</v>
      </c>
      <c r="E1167" t="s">
        <v>166</v>
      </c>
      <c r="F1167" t="s">
        <v>167</v>
      </c>
      <c r="G1167">
        <v>3.6111111111111109E-3</v>
      </c>
      <c r="H1167">
        <v>0</v>
      </c>
      <c r="J1167">
        <v>0</v>
      </c>
      <c r="K1167" t="s">
        <v>124</v>
      </c>
    </row>
    <row r="1168" spans="1:11" x14ac:dyDescent="0.35">
      <c r="A1168" t="s">
        <v>136</v>
      </c>
      <c r="B1168" s="46">
        <v>46123</v>
      </c>
      <c r="C1168" t="s">
        <v>103</v>
      </c>
      <c r="D1168" t="s">
        <v>137</v>
      </c>
      <c r="E1168" t="s">
        <v>168</v>
      </c>
      <c r="F1168" t="s">
        <v>169</v>
      </c>
      <c r="G1168">
        <v>0.23194444444444445</v>
      </c>
      <c r="H1168">
        <v>0</v>
      </c>
      <c r="J1168">
        <v>33</v>
      </c>
      <c r="K1168" t="s">
        <v>124</v>
      </c>
    </row>
    <row r="1169" spans="1:11" x14ac:dyDescent="0.35">
      <c r="A1169" t="s">
        <v>136</v>
      </c>
      <c r="B1169" s="46">
        <v>46123</v>
      </c>
      <c r="C1169" t="s">
        <v>103</v>
      </c>
      <c r="D1169" t="s">
        <v>137</v>
      </c>
      <c r="E1169" t="s">
        <v>170</v>
      </c>
      <c r="F1169" t="s">
        <v>171</v>
      </c>
      <c r="G1169">
        <v>13.395277777777778</v>
      </c>
      <c r="H1169">
        <v>0</v>
      </c>
      <c r="J1169">
        <v>1068</v>
      </c>
      <c r="K1169" t="s">
        <v>124</v>
      </c>
    </row>
    <row r="1170" spans="1:11" x14ac:dyDescent="0.35">
      <c r="A1170" t="s">
        <v>136</v>
      </c>
      <c r="B1170" s="46">
        <v>46123</v>
      </c>
      <c r="C1170" t="s">
        <v>103</v>
      </c>
      <c r="D1170" t="s">
        <v>137</v>
      </c>
      <c r="E1170" t="s">
        <v>176</v>
      </c>
      <c r="F1170" t="s">
        <v>177</v>
      </c>
      <c r="G1170">
        <v>0.44611111111111112</v>
      </c>
      <c r="H1170">
        <v>0</v>
      </c>
      <c r="J1170">
        <v>327</v>
      </c>
      <c r="K1170" t="s">
        <v>124</v>
      </c>
    </row>
    <row r="1171" spans="1:11" x14ac:dyDescent="0.35">
      <c r="A1171" t="s">
        <v>136</v>
      </c>
      <c r="B1171" s="46">
        <v>46123</v>
      </c>
      <c r="C1171" t="s">
        <v>103</v>
      </c>
      <c r="D1171" t="s">
        <v>137</v>
      </c>
      <c r="E1171" t="s">
        <v>196</v>
      </c>
      <c r="F1171" t="s">
        <v>197</v>
      </c>
      <c r="G1171">
        <v>6.3888888888888893E-3</v>
      </c>
      <c r="H1171">
        <v>0</v>
      </c>
      <c r="J1171">
        <v>23</v>
      </c>
      <c r="K1171" t="s">
        <v>124</v>
      </c>
    </row>
    <row r="1172" spans="1:11" x14ac:dyDescent="0.35">
      <c r="A1172" t="s">
        <v>136</v>
      </c>
      <c r="B1172" s="46">
        <v>46123</v>
      </c>
      <c r="C1172" t="s">
        <v>109</v>
      </c>
      <c r="D1172" t="s">
        <v>137</v>
      </c>
      <c r="E1172" t="s">
        <v>154</v>
      </c>
      <c r="F1172" t="s">
        <v>155</v>
      </c>
      <c r="G1172">
        <v>6.1322222222222225</v>
      </c>
      <c r="H1172">
        <v>0</v>
      </c>
      <c r="J1172">
        <v>281</v>
      </c>
      <c r="K1172" t="s">
        <v>124</v>
      </c>
    </row>
    <row r="1173" spans="1:11" x14ac:dyDescent="0.35">
      <c r="A1173" t="s">
        <v>136</v>
      </c>
      <c r="B1173" s="46">
        <v>46124</v>
      </c>
      <c r="C1173" t="s">
        <v>96</v>
      </c>
      <c r="D1173" t="s">
        <v>137</v>
      </c>
      <c r="E1173" t="s">
        <v>164</v>
      </c>
      <c r="F1173" t="s">
        <v>165</v>
      </c>
      <c r="G1173">
        <v>0.20861111111111111</v>
      </c>
      <c r="H1173">
        <v>0</v>
      </c>
      <c r="J1173">
        <v>178</v>
      </c>
      <c r="K1173" t="s">
        <v>124</v>
      </c>
    </row>
    <row r="1174" spans="1:11" x14ac:dyDescent="0.35">
      <c r="A1174" t="s">
        <v>136</v>
      </c>
      <c r="B1174" s="46">
        <v>46124</v>
      </c>
      <c r="C1174" t="s">
        <v>96</v>
      </c>
      <c r="D1174" t="s">
        <v>137</v>
      </c>
      <c r="E1174" t="s">
        <v>166</v>
      </c>
      <c r="F1174" t="s">
        <v>167</v>
      </c>
      <c r="G1174">
        <v>1.7038888888888888</v>
      </c>
      <c r="H1174">
        <v>0</v>
      </c>
      <c r="J1174">
        <v>231</v>
      </c>
      <c r="K1174" t="s">
        <v>124</v>
      </c>
    </row>
    <row r="1175" spans="1:11" x14ac:dyDescent="0.35">
      <c r="A1175" t="s">
        <v>136</v>
      </c>
      <c r="B1175" s="46">
        <v>46124</v>
      </c>
      <c r="C1175" t="s">
        <v>96</v>
      </c>
      <c r="D1175" t="s">
        <v>137</v>
      </c>
      <c r="E1175" t="s">
        <v>168</v>
      </c>
      <c r="F1175" t="s">
        <v>169</v>
      </c>
      <c r="G1175">
        <v>0.24833333333333332</v>
      </c>
      <c r="H1175">
        <v>0</v>
      </c>
      <c r="J1175">
        <v>49</v>
      </c>
      <c r="K1175" t="s">
        <v>124</v>
      </c>
    </row>
    <row r="1176" spans="1:11" x14ac:dyDescent="0.35">
      <c r="A1176" t="s">
        <v>136</v>
      </c>
      <c r="B1176" s="46">
        <v>46124</v>
      </c>
      <c r="C1176" t="s">
        <v>96</v>
      </c>
      <c r="D1176" t="s">
        <v>137</v>
      </c>
      <c r="E1176" t="s">
        <v>170</v>
      </c>
      <c r="F1176" t="s">
        <v>171</v>
      </c>
      <c r="G1176">
        <v>8.2500000000000004E-2</v>
      </c>
      <c r="H1176">
        <v>0</v>
      </c>
      <c r="J1176">
        <v>5</v>
      </c>
      <c r="K1176" t="s">
        <v>124</v>
      </c>
    </row>
    <row r="1177" spans="1:11" x14ac:dyDescent="0.35">
      <c r="A1177" t="s">
        <v>136</v>
      </c>
      <c r="B1177" s="46">
        <v>46124</v>
      </c>
      <c r="C1177" t="s">
        <v>96</v>
      </c>
      <c r="D1177" t="s">
        <v>137</v>
      </c>
      <c r="E1177" t="s">
        <v>182</v>
      </c>
      <c r="F1177" t="s">
        <v>183</v>
      </c>
      <c r="G1177">
        <v>0.21055555555555555</v>
      </c>
      <c r="H1177">
        <v>0</v>
      </c>
      <c r="J1177">
        <v>79</v>
      </c>
      <c r="K1177" t="s">
        <v>124</v>
      </c>
    </row>
    <row r="1178" spans="1:11" x14ac:dyDescent="0.35">
      <c r="A1178" t="s">
        <v>136</v>
      </c>
      <c r="B1178" s="46">
        <v>46124</v>
      </c>
      <c r="C1178" t="s">
        <v>96</v>
      </c>
      <c r="D1178" t="s">
        <v>137</v>
      </c>
      <c r="E1178" t="s">
        <v>172</v>
      </c>
      <c r="F1178" t="s">
        <v>173</v>
      </c>
      <c r="G1178">
        <v>0.11972222222222222</v>
      </c>
      <c r="H1178">
        <v>0</v>
      </c>
      <c r="J1178">
        <v>28</v>
      </c>
      <c r="K1178" t="s">
        <v>124</v>
      </c>
    </row>
    <row r="1179" spans="1:11" x14ac:dyDescent="0.35">
      <c r="A1179" t="s">
        <v>136</v>
      </c>
      <c r="B1179" s="46">
        <v>46124</v>
      </c>
      <c r="C1179" t="s">
        <v>96</v>
      </c>
      <c r="D1179" t="s">
        <v>137</v>
      </c>
      <c r="E1179" t="s">
        <v>176</v>
      </c>
      <c r="F1179" t="s">
        <v>177</v>
      </c>
      <c r="G1179">
        <v>0.65111111111111108</v>
      </c>
      <c r="H1179">
        <v>0</v>
      </c>
      <c r="J1179">
        <v>302</v>
      </c>
      <c r="K1179" t="s">
        <v>124</v>
      </c>
    </row>
    <row r="1180" spans="1:11" x14ac:dyDescent="0.35">
      <c r="A1180" t="s">
        <v>136</v>
      </c>
      <c r="B1180" s="46">
        <v>46124</v>
      </c>
      <c r="C1180" t="s">
        <v>96</v>
      </c>
      <c r="D1180" t="s">
        <v>137</v>
      </c>
      <c r="E1180" t="s">
        <v>194</v>
      </c>
      <c r="F1180" t="s">
        <v>195</v>
      </c>
      <c r="G1180">
        <v>0.44500000000000001</v>
      </c>
      <c r="H1180">
        <v>0</v>
      </c>
      <c r="J1180">
        <v>118</v>
      </c>
      <c r="K1180" t="s">
        <v>124</v>
      </c>
    </row>
    <row r="1181" spans="1:11" x14ac:dyDescent="0.35">
      <c r="A1181" t="s">
        <v>136</v>
      </c>
      <c r="B1181" s="46">
        <v>46124</v>
      </c>
      <c r="C1181" t="s">
        <v>96</v>
      </c>
      <c r="D1181" t="s">
        <v>137</v>
      </c>
      <c r="E1181" t="s">
        <v>196</v>
      </c>
      <c r="F1181" t="s">
        <v>197</v>
      </c>
      <c r="G1181">
        <v>0.49055555555555558</v>
      </c>
      <c r="H1181">
        <v>0</v>
      </c>
      <c r="J1181">
        <v>280</v>
      </c>
      <c r="K1181" t="s">
        <v>124</v>
      </c>
    </row>
    <row r="1182" spans="1:11" x14ac:dyDescent="0.35">
      <c r="A1182" t="s">
        <v>136</v>
      </c>
      <c r="B1182" s="46">
        <v>46124</v>
      </c>
      <c r="C1182" t="s">
        <v>96</v>
      </c>
      <c r="D1182" t="s">
        <v>137</v>
      </c>
      <c r="E1182" t="s">
        <v>198</v>
      </c>
      <c r="F1182" t="s">
        <v>199</v>
      </c>
      <c r="G1182">
        <v>2.9144444444444444</v>
      </c>
      <c r="H1182">
        <v>0</v>
      </c>
      <c r="J1182">
        <v>295</v>
      </c>
      <c r="K1182" t="s">
        <v>124</v>
      </c>
    </row>
    <row r="1183" spans="1:11" x14ac:dyDescent="0.35">
      <c r="A1183" t="s">
        <v>136</v>
      </c>
      <c r="B1183" s="46">
        <v>46124</v>
      </c>
      <c r="C1183" t="s">
        <v>104</v>
      </c>
      <c r="D1183" t="s">
        <v>137</v>
      </c>
      <c r="E1183" t="s">
        <v>164</v>
      </c>
      <c r="F1183" t="s">
        <v>165</v>
      </c>
      <c r="G1183">
        <v>0.27861111111111109</v>
      </c>
      <c r="H1183">
        <v>0</v>
      </c>
      <c r="J1183">
        <v>232</v>
      </c>
      <c r="K1183" t="s">
        <v>124</v>
      </c>
    </row>
    <row r="1184" spans="1:11" x14ac:dyDescent="0.35">
      <c r="A1184" t="s">
        <v>136</v>
      </c>
      <c r="B1184" s="46">
        <v>46124</v>
      </c>
      <c r="C1184" t="s">
        <v>104</v>
      </c>
      <c r="D1184" t="s">
        <v>137</v>
      </c>
      <c r="E1184" t="s">
        <v>168</v>
      </c>
      <c r="F1184" t="s">
        <v>169</v>
      </c>
      <c r="G1184">
        <v>0.10777777777777778</v>
      </c>
      <c r="H1184">
        <v>0</v>
      </c>
      <c r="J1184">
        <v>36</v>
      </c>
      <c r="K1184" t="s">
        <v>124</v>
      </c>
    </row>
    <row r="1185" spans="1:11" x14ac:dyDescent="0.35">
      <c r="A1185" t="s">
        <v>136</v>
      </c>
      <c r="B1185" s="46">
        <v>46124</v>
      </c>
      <c r="C1185" t="s">
        <v>104</v>
      </c>
      <c r="D1185" t="s">
        <v>137</v>
      </c>
      <c r="E1185" t="s">
        <v>170</v>
      </c>
      <c r="F1185" t="s">
        <v>171</v>
      </c>
      <c r="G1185">
        <v>2.5827777777777778</v>
      </c>
      <c r="H1185">
        <v>0</v>
      </c>
      <c r="J1185">
        <v>993</v>
      </c>
      <c r="K1185" t="s">
        <v>124</v>
      </c>
    </row>
    <row r="1186" spans="1:11" x14ac:dyDescent="0.35">
      <c r="A1186" t="s">
        <v>136</v>
      </c>
      <c r="B1186" s="46">
        <v>46124</v>
      </c>
      <c r="C1186" t="s">
        <v>104</v>
      </c>
      <c r="D1186" t="s">
        <v>137</v>
      </c>
      <c r="E1186" t="s">
        <v>190</v>
      </c>
      <c r="F1186" t="s">
        <v>191</v>
      </c>
      <c r="G1186">
        <v>3.4119444444444444</v>
      </c>
      <c r="H1186">
        <v>0</v>
      </c>
      <c r="J1186">
        <v>187</v>
      </c>
      <c r="K1186" t="s">
        <v>124</v>
      </c>
    </row>
    <row r="1187" spans="1:11" x14ac:dyDescent="0.35">
      <c r="A1187" t="s">
        <v>136</v>
      </c>
      <c r="B1187" s="46">
        <v>46124</v>
      </c>
      <c r="C1187" t="s">
        <v>104</v>
      </c>
      <c r="D1187" t="s">
        <v>137</v>
      </c>
      <c r="E1187" t="s">
        <v>200</v>
      </c>
      <c r="F1187" t="s">
        <v>201</v>
      </c>
      <c r="G1187">
        <v>1.7333333333333334</v>
      </c>
      <c r="H1187">
        <v>0</v>
      </c>
      <c r="J1187">
        <v>106</v>
      </c>
      <c r="K1187" t="s">
        <v>124</v>
      </c>
    </row>
    <row r="1188" spans="1:11" x14ac:dyDescent="0.35">
      <c r="A1188" t="s">
        <v>136</v>
      </c>
      <c r="B1188" s="46">
        <v>46124</v>
      </c>
      <c r="C1188" t="s">
        <v>104</v>
      </c>
      <c r="D1188" t="s">
        <v>137</v>
      </c>
      <c r="E1188" t="s">
        <v>174</v>
      </c>
      <c r="F1188" t="s">
        <v>175</v>
      </c>
      <c r="G1188">
        <v>8.4722222222222227E-2</v>
      </c>
      <c r="H1188">
        <v>0</v>
      </c>
      <c r="J1188">
        <v>81</v>
      </c>
      <c r="K1188" t="s">
        <v>124</v>
      </c>
    </row>
    <row r="1189" spans="1:11" x14ac:dyDescent="0.35">
      <c r="A1189" t="s">
        <v>136</v>
      </c>
      <c r="B1189" s="46">
        <v>46124</v>
      </c>
      <c r="C1189" t="s">
        <v>104</v>
      </c>
      <c r="D1189" t="s">
        <v>137</v>
      </c>
      <c r="E1189" t="s">
        <v>176</v>
      </c>
      <c r="F1189" t="s">
        <v>177</v>
      </c>
      <c r="G1189">
        <v>0.82833333333333337</v>
      </c>
      <c r="H1189">
        <v>0</v>
      </c>
      <c r="J1189">
        <v>365</v>
      </c>
      <c r="K1189" t="s">
        <v>124</v>
      </c>
    </row>
    <row r="1190" spans="1:11" x14ac:dyDescent="0.35">
      <c r="A1190" t="s">
        <v>136</v>
      </c>
      <c r="B1190" s="46">
        <v>46124</v>
      </c>
      <c r="C1190" t="s">
        <v>104</v>
      </c>
      <c r="D1190" t="s">
        <v>137</v>
      </c>
      <c r="E1190" t="s">
        <v>194</v>
      </c>
      <c r="F1190" t="s">
        <v>195</v>
      </c>
      <c r="G1190">
        <v>1.4361111111111111</v>
      </c>
      <c r="H1190">
        <v>0</v>
      </c>
      <c r="J1190">
        <v>220</v>
      </c>
      <c r="K1190" t="s">
        <v>124</v>
      </c>
    </row>
    <row r="1191" spans="1:11" x14ac:dyDescent="0.35">
      <c r="A1191" t="s">
        <v>136</v>
      </c>
      <c r="B1191" s="46">
        <v>46124</v>
      </c>
      <c r="C1191" t="s">
        <v>104</v>
      </c>
      <c r="D1191" t="s">
        <v>137</v>
      </c>
      <c r="E1191" t="s">
        <v>196</v>
      </c>
      <c r="F1191" t="s">
        <v>197</v>
      </c>
      <c r="G1191">
        <v>0.52222222222222225</v>
      </c>
      <c r="H1191">
        <v>0</v>
      </c>
      <c r="J1191">
        <v>194</v>
      </c>
      <c r="K1191" t="s">
        <v>124</v>
      </c>
    </row>
    <row r="1192" spans="1:11" x14ac:dyDescent="0.35">
      <c r="A1192" t="s">
        <v>136</v>
      </c>
      <c r="B1192" s="46">
        <v>46124</v>
      </c>
      <c r="C1192" t="s">
        <v>104</v>
      </c>
      <c r="D1192" t="s">
        <v>137</v>
      </c>
      <c r="E1192" t="s">
        <v>198</v>
      </c>
      <c r="F1192" t="s">
        <v>199</v>
      </c>
      <c r="G1192">
        <v>3.0188888888888887</v>
      </c>
      <c r="H1192">
        <v>0</v>
      </c>
      <c r="J1192">
        <v>415</v>
      </c>
      <c r="K1192" t="s">
        <v>124</v>
      </c>
    </row>
    <row r="1193" spans="1:11" x14ac:dyDescent="0.35">
      <c r="A1193" t="s">
        <v>136</v>
      </c>
      <c r="B1193" s="46">
        <v>46124</v>
      </c>
      <c r="C1193" t="s">
        <v>90</v>
      </c>
      <c r="D1193" t="s">
        <v>137</v>
      </c>
      <c r="E1193" t="s">
        <v>180</v>
      </c>
      <c r="F1193" t="s">
        <v>181</v>
      </c>
      <c r="G1193">
        <v>3.0555555555555555E-2</v>
      </c>
      <c r="H1193">
        <v>0</v>
      </c>
      <c r="J1193">
        <v>19</v>
      </c>
      <c r="K1193" t="s">
        <v>124</v>
      </c>
    </row>
    <row r="1194" spans="1:11" x14ac:dyDescent="0.35">
      <c r="A1194" t="s">
        <v>136</v>
      </c>
      <c r="B1194" s="46">
        <v>46124</v>
      </c>
      <c r="C1194" t="s">
        <v>90</v>
      </c>
      <c r="D1194" t="s">
        <v>137</v>
      </c>
      <c r="E1194" t="s">
        <v>164</v>
      </c>
      <c r="F1194" t="s">
        <v>165</v>
      </c>
      <c r="G1194">
        <v>0.13500000000000001</v>
      </c>
      <c r="H1194">
        <v>0</v>
      </c>
      <c r="J1194">
        <v>0</v>
      </c>
      <c r="K1194" t="s">
        <v>124</v>
      </c>
    </row>
    <row r="1195" spans="1:11" x14ac:dyDescent="0.35">
      <c r="A1195" t="s">
        <v>136</v>
      </c>
      <c r="B1195" s="46">
        <v>46124</v>
      </c>
      <c r="C1195" t="s">
        <v>90</v>
      </c>
      <c r="D1195" t="s">
        <v>137</v>
      </c>
      <c r="E1195" t="s">
        <v>166</v>
      </c>
      <c r="F1195" t="s">
        <v>167</v>
      </c>
      <c r="G1195">
        <v>1.8247222222222221</v>
      </c>
      <c r="H1195">
        <v>0</v>
      </c>
      <c r="J1195">
        <v>117</v>
      </c>
      <c r="K1195" t="s">
        <v>124</v>
      </c>
    </row>
    <row r="1196" spans="1:11" x14ac:dyDescent="0.35">
      <c r="A1196" t="s">
        <v>136</v>
      </c>
      <c r="B1196" s="46">
        <v>46124</v>
      </c>
      <c r="C1196" t="s">
        <v>90</v>
      </c>
      <c r="D1196" t="s">
        <v>137</v>
      </c>
      <c r="E1196" t="s">
        <v>168</v>
      </c>
      <c r="F1196" t="s">
        <v>169</v>
      </c>
      <c r="G1196">
        <v>0.30305555555555558</v>
      </c>
      <c r="H1196">
        <v>0</v>
      </c>
      <c r="J1196">
        <v>81</v>
      </c>
      <c r="K1196" t="s">
        <v>124</v>
      </c>
    </row>
    <row r="1197" spans="1:11" x14ac:dyDescent="0.35">
      <c r="A1197" t="s">
        <v>136</v>
      </c>
      <c r="B1197" s="46">
        <v>46124</v>
      </c>
      <c r="C1197" t="s">
        <v>90</v>
      </c>
      <c r="D1197" t="s">
        <v>137</v>
      </c>
      <c r="E1197" t="s">
        <v>170</v>
      </c>
      <c r="F1197" t="s">
        <v>171</v>
      </c>
      <c r="G1197">
        <v>2.8725000000000001</v>
      </c>
      <c r="H1197">
        <v>0</v>
      </c>
      <c r="J1197">
        <v>379</v>
      </c>
      <c r="K1197" t="s">
        <v>124</v>
      </c>
    </row>
    <row r="1198" spans="1:11" x14ac:dyDescent="0.35">
      <c r="A1198" t="s">
        <v>136</v>
      </c>
      <c r="B1198" s="46">
        <v>46124</v>
      </c>
      <c r="C1198" t="s">
        <v>90</v>
      </c>
      <c r="D1198" t="s">
        <v>137</v>
      </c>
      <c r="E1198" t="s">
        <v>409</v>
      </c>
      <c r="F1198" t="s">
        <v>410</v>
      </c>
      <c r="G1198">
        <v>0.52444444444444449</v>
      </c>
      <c r="H1198">
        <v>0</v>
      </c>
      <c r="J1198">
        <v>147</v>
      </c>
      <c r="K1198" t="s">
        <v>124</v>
      </c>
    </row>
    <row r="1199" spans="1:11" x14ac:dyDescent="0.35">
      <c r="A1199" t="s">
        <v>136</v>
      </c>
      <c r="B1199" s="46">
        <v>46124</v>
      </c>
      <c r="C1199" t="s">
        <v>90</v>
      </c>
      <c r="D1199" t="s">
        <v>137</v>
      </c>
      <c r="E1199" t="s">
        <v>172</v>
      </c>
      <c r="F1199" t="s">
        <v>173</v>
      </c>
      <c r="G1199">
        <v>4.0555555555555553E-2</v>
      </c>
      <c r="H1199">
        <v>0</v>
      </c>
      <c r="J1199">
        <v>1</v>
      </c>
      <c r="K1199" t="s">
        <v>124</v>
      </c>
    </row>
    <row r="1200" spans="1:11" x14ac:dyDescent="0.35">
      <c r="A1200" t="s">
        <v>136</v>
      </c>
      <c r="B1200" s="46">
        <v>46124</v>
      </c>
      <c r="C1200" t="s">
        <v>90</v>
      </c>
      <c r="D1200" t="s">
        <v>137</v>
      </c>
      <c r="E1200" t="s">
        <v>176</v>
      </c>
      <c r="F1200" t="s">
        <v>177</v>
      </c>
      <c r="G1200">
        <v>0.38083333333333336</v>
      </c>
      <c r="H1200">
        <v>0</v>
      </c>
      <c r="J1200">
        <v>162</v>
      </c>
      <c r="K1200" t="s">
        <v>124</v>
      </c>
    </row>
    <row r="1201" spans="1:11" x14ac:dyDescent="0.35">
      <c r="A1201" t="s">
        <v>136</v>
      </c>
      <c r="B1201" s="46">
        <v>46124</v>
      </c>
      <c r="C1201" t="s">
        <v>90</v>
      </c>
      <c r="D1201" t="s">
        <v>137</v>
      </c>
      <c r="E1201" t="s">
        <v>194</v>
      </c>
      <c r="F1201" t="s">
        <v>195</v>
      </c>
      <c r="G1201">
        <v>0.36055555555555557</v>
      </c>
      <c r="H1201">
        <v>0</v>
      </c>
      <c r="J1201">
        <v>115</v>
      </c>
      <c r="K1201" t="s">
        <v>124</v>
      </c>
    </row>
    <row r="1202" spans="1:11" x14ac:dyDescent="0.35">
      <c r="A1202" t="s">
        <v>136</v>
      </c>
      <c r="B1202" s="46">
        <v>46124</v>
      </c>
      <c r="C1202" t="s">
        <v>90</v>
      </c>
      <c r="D1202" t="s">
        <v>137</v>
      </c>
      <c r="E1202" t="s">
        <v>186</v>
      </c>
      <c r="F1202" t="s">
        <v>187</v>
      </c>
      <c r="G1202">
        <v>6.25E-2</v>
      </c>
      <c r="H1202">
        <v>0</v>
      </c>
      <c r="J1202">
        <v>11</v>
      </c>
      <c r="K1202" t="s">
        <v>124</v>
      </c>
    </row>
    <row r="1203" spans="1:11" x14ac:dyDescent="0.35">
      <c r="A1203" t="s">
        <v>136</v>
      </c>
      <c r="B1203" s="46">
        <v>46124</v>
      </c>
      <c r="C1203" t="s">
        <v>90</v>
      </c>
      <c r="D1203" t="s">
        <v>137</v>
      </c>
      <c r="E1203" t="s">
        <v>196</v>
      </c>
      <c r="F1203" t="s">
        <v>197</v>
      </c>
      <c r="G1203">
        <v>0.25555555555555554</v>
      </c>
      <c r="H1203">
        <v>0</v>
      </c>
      <c r="J1203">
        <v>124</v>
      </c>
      <c r="K1203" t="s">
        <v>124</v>
      </c>
    </row>
    <row r="1204" spans="1:11" x14ac:dyDescent="0.35">
      <c r="A1204" t="s">
        <v>136</v>
      </c>
      <c r="B1204" s="46">
        <v>46124</v>
      </c>
      <c r="C1204" t="s">
        <v>90</v>
      </c>
      <c r="D1204" t="s">
        <v>137</v>
      </c>
      <c r="E1204" t="s">
        <v>198</v>
      </c>
      <c r="F1204" t="s">
        <v>199</v>
      </c>
      <c r="G1204">
        <v>1.6005555555555555</v>
      </c>
      <c r="H1204">
        <v>0</v>
      </c>
      <c r="J1204">
        <v>374</v>
      </c>
      <c r="K1204" t="s">
        <v>124</v>
      </c>
    </row>
    <row r="1205" spans="1:11" x14ac:dyDescent="0.35">
      <c r="A1205" t="s">
        <v>136</v>
      </c>
      <c r="B1205" s="46">
        <v>46124</v>
      </c>
      <c r="C1205" t="s">
        <v>107</v>
      </c>
      <c r="D1205" t="s">
        <v>137</v>
      </c>
      <c r="E1205" t="s">
        <v>180</v>
      </c>
      <c r="F1205" t="s">
        <v>181</v>
      </c>
      <c r="G1205">
        <v>2.8333333333333332E-2</v>
      </c>
      <c r="H1205">
        <v>0</v>
      </c>
      <c r="J1205">
        <v>102</v>
      </c>
      <c r="K1205" t="s">
        <v>124</v>
      </c>
    </row>
    <row r="1206" spans="1:11" x14ac:dyDescent="0.35">
      <c r="A1206" t="s">
        <v>136</v>
      </c>
      <c r="B1206" s="46">
        <v>46124</v>
      </c>
      <c r="C1206" t="s">
        <v>107</v>
      </c>
      <c r="D1206" t="s">
        <v>137</v>
      </c>
      <c r="E1206" t="s">
        <v>164</v>
      </c>
      <c r="F1206" t="s">
        <v>165</v>
      </c>
      <c r="G1206">
        <v>0.49805555555555553</v>
      </c>
      <c r="H1206">
        <v>0</v>
      </c>
      <c r="J1206">
        <v>81</v>
      </c>
      <c r="K1206" t="s">
        <v>124</v>
      </c>
    </row>
    <row r="1207" spans="1:11" x14ac:dyDescent="0.35">
      <c r="A1207" t="s">
        <v>136</v>
      </c>
      <c r="B1207" s="46">
        <v>46124</v>
      </c>
      <c r="C1207" t="s">
        <v>107</v>
      </c>
      <c r="D1207" t="s">
        <v>137</v>
      </c>
      <c r="E1207" t="s">
        <v>166</v>
      </c>
      <c r="F1207" t="s">
        <v>167</v>
      </c>
      <c r="G1207">
        <v>0.61361111111111111</v>
      </c>
      <c r="H1207">
        <v>0</v>
      </c>
      <c r="J1207">
        <v>66</v>
      </c>
      <c r="K1207" t="s">
        <v>124</v>
      </c>
    </row>
    <row r="1208" spans="1:11" x14ac:dyDescent="0.35">
      <c r="A1208" t="s">
        <v>136</v>
      </c>
      <c r="B1208" s="46">
        <v>46124</v>
      </c>
      <c r="C1208" t="s">
        <v>107</v>
      </c>
      <c r="D1208" t="s">
        <v>137</v>
      </c>
      <c r="E1208" t="s">
        <v>168</v>
      </c>
      <c r="F1208" t="s">
        <v>169</v>
      </c>
      <c r="G1208">
        <v>0.13055555555555556</v>
      </c>
      <c r="H1208">
        <v>0</v>
      </c>
      <c r="J1208">
        <v>58</v>
      </c>
      <c r="K1208" t="s">
        <v>124</v>
      </c>
    </row>
    <row r="1209" spans="1:11" x14ac:dyDescent="0.35">
      <c r="A1209" t="s">
        <v>136</v>
      </c>
      <c r="B1209" s="46">
        <v>46124</v>
      </c>
      <c r="C1209" t="s">
        <v>107</v>
      </c>
      <c r="D1209" t="s">
        <v>137</v>
      </c>
      <c r="E1209" t="s">
        <v>170</v>
      </c>
      <c r="F1209" t="s">
        <v>171</v>
      </c>
      <c r="G1209">
        <v>7.5083333333333337</v>
      </c>
      <c r="H1209">
        <v>0</v>
      </c>
      <c r="J1209">
        <v>403</v>
      </c>
      <c r="K1209" t="s">
        <v>124</v>
      </c>
    </row>
    <row r="1210" spans="1:11" x14ac:dyDescent="0.35">
      <c r="A1210" t="s">
        <v>136</v>
      </c>
      <c r="B1210" s="46">
        <v>46124</v>
      </c>
      <c r="C1210" t="s">
        <v>107</v>
      </c>
      <c r="D1210" t="s">
        <v>137</v>
      </c>
      <c r="E1210" t="s">
        <v>182</v>
      </c>
      <c r="F1210" t="s">
        <v>183</v>
      </c>
      <c r="G1210">
        <v>0.41833333333333333</v>
      </c>
      <c r="H1210">
        <v>0</v>
      </c>
      <c r="J1210">
        <v>133</v>
      </c>
      <c r="K1210" t="s">
        <v>124</v>
      </c>
    </row>
    <row r="1211" spans="1:11" x14ac:dyDescent="0.35">
      <c r="A1211" t="s">
        <v>136</v>
      </c>
      <c r="B1211" s="46">
        <v>46124</v>
      </c>
      <c r="C1211" t="s">
        <v>107</v>
      </c>
      <c r="D1211" t="s">
        <v>137</v>
      </c>
      <c r="E1211" t="s">
        <v>200</v>
      </c>
      <c r="F1211" t="s">
        <v>201</v>
      </c>
      <c r="G1211">
        <v>0.48444444444444446</v>
      </c>
      <c r="H1211">
        <v>0</v>
      </c>
      <c r="J1211">
        <v>193</v>
      </c>
      <c r="K1211" t="s">
        <v>124</v>
      </c>
    </row>
    <row r="1212" spans="1:11" x14ac:dyDescent="0.35">
      <c r="A1212" t="s">
        <v>136</v>
      </c>
      <c r="B1212" s="46">
        <v>46124</v>
      </c>
      <c r="C1212" t="s">
        <v>107</v>
      </c>
      <c r="D1212" t="s">
        <v>137</v>
      </c>
      <c r="E1212" t="s">
        <v>172</v>
      </c>
      <c r="F1212" t="s">
        <v>173</v>
      </c>
      <c r="G1212">
        <v>6.8333333333333329E-2</v>
      </c>
      <c r="H1212">
        <v>0</v>
      </c>
      <c r="J1212">
        <v>50</v>
      </c>
      <c r="K1212" t="s">
        <v>124</v>
      </c>
    </row>
    <row r="1213" spans="1:11" x14ac:dyDescent="0.35">
      <c r="A1213" t="s">
        <v>136</v>
      </c>
      <c r="B1213" s="46">
        <v>46124</v>
      </c>
      <c r="C1213" t="s">
        <v>107</v>
      </c>
      <c r="D1213" t="s">
        <v>137</v>
      </c>
      <c r="E1213" t="s">
        <v>176</v>
      </c>
      <c r="F1213" t="s">
        <v>177</v>
      </c>
      <c r="G1213">
        <v>0.97555555555555551</v>
      </c>
      <c r="H1213">
        <v>0</v>
      </c>
      <c r="J1213">
        <v>191</v>
      </c>
      <c r="K1213" t="s">
        <v>124</v>
      </c>
    </row>
    <row r="1214" spans="1:11" x14ac:dyDescent="0.35">
      <c r="A1214" t="s">
        <v>136</v>
      </c>
      <c r="B1214" s="46">
        <v>46124</v>
      </c>
      <c r="C1214" t="s">
        <v>107</v>
      </c>
      <c r="D1214" t="s">
        <v>137</v>
      </c>
      <c r="E1214" t="s">
        <v>178</v>
      </c>
      <c r="F1214" t="s">
        <v>179</v>
      </c>
      <c r="G1214">
        <v>2.1102777777777777</v>
      </c>
      <c r="H1214">
        <v>0</v>
      </c>
      <c r="J1214">
        <v>260</v>
      </c>
      <c r="K1214" t="s">
        <v>124</v>
      </c>
    </row>
    <row r="1215" spans="1:11" x14ac:dyDescent="0.35">
      <c r="A1215" t="s">
        <v>136</v>
      </c>
      <c r="B1215" s="46">
        <v>46124</v>
      </c>
      <c r="C1215" t="s">
        <v>107</v>
      </c>
      <c r="D1215" t="s">
        <v>137</v>
      </c>
      <c r="E1215" t="s">
        <v>196</v>
      </c>
      <c r="F1215" t="s">
        <v>197</v>
      </c>
      <c r="G1215">
        <v>6.3888888888888893E-3</v>
      </c>
      <c r="H1215">
        <v>0</v>
      </c>
      <c r="J1215">
        <v>23</v>
      </c>
      <c r="K1215" t="s">
        <v>124</v>
      </c>
    </row>
    <row r="1216" spans="1:11" x14ac:dyDescent="0.35">
      <c r="A1216" t="s">
        <v>136</v>
      </c>
      <c r="B1216" s="46">
        <v>46124</v>
      </c>
      <c r="C1216" t="s">
        <v>81</v>
      </c>
      <c r="D1216" t="s">
        <v>137</v>
      </c>
      <c r="E1216" t="s">
        <v>180</v>
      </c>
      <c r="F1216" t="s">
        <v>181</v>
      </c>
      <c r="G1216">
        <v>9.3888888888888883E-2</v>
      </c>
      <c r="H1216">
        <v>0</v>
      </c>
      <c r="J1216">
        <v>200</v>
      </c>
      <c r="K1216" t="s">
        <v>124</v>
      </c>
    </row>
    <row r="1217" spans="1:11" x14ac:dyDescent="0.35">
      <c r="A1217" t="s">
        <v>136</v>
      </c>
      <c r="B1217" s="46">
        <v>46124</v>
      </c>
      <c r="C1217" t="s">
        <v>81</v>
      </c>
      <c r="D1217" t="s">
        <v>137</v>
      </c>
      <c r="E1217" t="s">
        <v>164</v>
      </c>
      <c r="F1217" t="s">
        <v>165</v>
      </c>
      <c r="G1217">
        <v>0.34138888888888891</v>
      </c>
      <c r="H1217">
        <v>0</v>
      </c>
      <c r="J1217">
        <v>48</v>
      </c>
      <c r="K1217" t="s">
        <v>124</v>
      </c>
    </row>
    <row r="1218" spans="1:11" x14ac:dyDescent="0.35">
      <c r="A1218" t="s">
        <v>136</v>
      </c>
      <c r="B1218" s="46">
        <v>46124</v>
      </c>
      <c r="C1218" t="s">
        <v>81</v>
      </c>
      <c r="D1218" t="s">
        <v>137</v>
      </c>
      <c r="E1218" t="s">
        <v>166</v>
      </c>
      <c r="F1218" t="s">
        <v>167</v>
      </c>
      <c r="G1218">
        <v>1.331388888888889</v>
      </c>
      <c r="H1218">
        <v>0</v>
      </c>
      <c r="J1218">
        <v>135</v>
      </c>
      <c r="K1218" t="s">
        <v>124</v>
      </c>
    </row>
    <row r="1219" spans="1:11" x14ac:dyDescent="0.35">
      <c r="A1219" t="s">
        <v>136</v>
      </c>
      <c r="B1219" s="46">
        <v>46124</v>
      </c>
      <c r="C1219" t="s">
        <v>81</v>
      </c>
      <c r="D1219" t="s">
        <v>137</v>
      </c>
      <c r="E1219" t="s">
        <v>168</v>
      </c>
      <c r="F1219" t="s">
        <v>169</v>
      </c>
      <c r="G1219">
        <v>0.10277777777777777</v>
      </c>
      <c r="H1219">
        <v>0</v>
      </c>
      <c r="J1219">
        <v>29</v>
      </c>
      <c r="K1219" t="s">
        <v>124</v>
      </c>
    </row>
    <row r="1220" spans="1:11" x14ac:dyDescent="0.35">
      <c r="A1220" t="s">
        <v>136</v>
      </c>
      <c r="B1220" s="46">
        <v>46124</v>
      </c>
      <c r="C1220" t="s">
        <v>81</v>
      </c>
      <c r="D1220" t="s">
        <v>137</v>
      </c>
      <c r="E1220" t="s">
        <v>170</v>
      </c>
      <c r="F1220" t="s">
        <v>171</v>
      </c>
      <c r="G1220">
        <v>4.9494444444444445</v>
      </c>
      <c r="H1220">
        <v>0</v>
      </c>
      <c r="J1220">
        <v>405</v>
      </c>
      <c r="K1220" t="s">
        <v>124</v>
      </c>
    </row>
    <row r="1221" spans="1:11" x14ac:dyDescent="0.35">
      <c r="A1221" t="s">
        <v>136</v>
      </c>
      <c r="B1221" s="46">
        <v>46124</v>
      </c>
      <c r="C1221" t="s">
        <v>81</v>
      </c>
      <c r="D1221" t="s">
        <v>137</v>
      </c>
      <c r="E1221" t="s">
        <v>184</v>
      </c>
      <c r="F1221" t="s">
        <v>185</v>
      </c>
      <c r="G1221">
        <v>4.3055555555555555E-2</v>
      </c>
      <c r="H1221">
        <v>0</v>
      </c>
      <c r="J1221">
        <v>39</v>
      </c>
      <c r="K1221" t="s">
        <v>124</v>
      </c>
    </row>
    <row r="1222" spans="1:11" x14ac:dyDescent="0.35">
      <c r="A1222" t="s">
        <v>136</v>
      </c>
      <c r="B1222" s="46">
        <v>46124</v>
      </c>
      <c r="C1222" t="s">
        <v>81</v>
      </c>
      <c r="D1222" t="s">
        <v>137</v>
      </c>
      <c r="E1222" t="s">
        <v>182</v>
      </c>
      <c r="F1222" t="s">
        <v>183</v>
      </c>
      <c r="G1222">
        <v>0.22111111111111112</v>
      </c>
      <c r="H1222">
        <v>0</v>
      </c>
      <c r="J1222">
        <v>142</v>
      </c>
      <c r="K1222" t="s">
        <v>124</v>
      </c>
    </row>
    <row r="1223" spans="1:11" x14ac:dyDescent="0.35">
      <c r="A1223" t="s">
        <v>136</v>
      </c>
      <c r="B1223" s="46">
        <v>46124</v>
      </c>
      <c r="C1223" t="s">
        <v>81</v>
      </c>
      <c r="D1223" t="s">
        <v>137</v>
      </c>
      <c r="E1223" t="s">
        <v>172</v>
      </c>
      <c r="F1223" t="s">
        <v>173</v>
      </c>
      <c r="G1223">
        <v>0.15194444444444444</v>
      </c>
      <c r="H1223">
        <v>0</v>
      </c>
      <c r="J1223">
        <v>121</v>
      </c>
      <c r="K1223" t="s">
        <v>124</v>
      </c>
    </row>
    <row r="1224" spans="1:11" x14ac:dyDescent="0.35">
      <c r="A1224" t="s">
        <v>136</v>
      </c>
      <c r="B1224" s="46">
        <v>46124</v>
      </c>
      <c r="C1224" t="s">
        <v>81</v>
      </c>
      <c r="D1224" t="s">
        <v>137</v>
      </c>
      <c r="E1224" t="s">
        <v>176</v>
      </c>
      <c r="F1224" t="s">
        <v>177</v>
      </c>
      <c r="G1224">
        <v>1.9202777777777778</v>
      </c>
      <c r="H1224">
        <v>0</v>
      </c>
      <c r="J1224">
        <v>464</v>
      </c>
      <c r="K1224" t="s">
        <v>124</v>
      </c>
    </row>
    <row r="1225" spans="1:11" x14ac:dyDescent="0.35">
      <c r="A1225" t="s">
        <v>136</v>
      </c>
      <c r="B1225" s="46">
        <v>46124</v>
      </c>
      <c r="C1225" t="s">
        <v>81</v>
      </c>
      <c r="D1225" t="s">
        <v>137</v>
      </c>
      <c r="E1225" t="s">
        <v>194</v>
      </c>
      <c r="F1225" t="s">
        <v>195</v>
      </c>
      <c r="G1225">
        <v>0.33500000000000002</v>
      </c>
      <c r="H1225">
        <v>0</v>
      </c>
      <c r="J1225">
        <v>75</v>
      </c>
      <c r="K1225" t="s">
        <v>124</v>
      </c>
    </row>
    <row r="1226" spans="1:11" x14ac:dyDescent="0.35">
      <c r="A1226" t="s">
        <v>136</v>
      </c>
      <c r="B1226" s="46">
        <v>46124</v>
      </c>
      <c r="C1226" t="s">
        <v>81</v>
      </c>
      <c r="D1226" t="s">
        <v>137</v>
      </c>
      <c r="E1226" t="s">
        <v>196</v>
      </c>
      <c r="F1226" t="s">
        <v>197</v>
      </c>
      <c r="G1226">
        <v>9.1111111111111115E-2</v>
      </c>
      <c r="H1226">
        <v>0</v>
      </c>
      <c r="J1226">
        <v>140</v>
      </c>
      <c r="K1226" t="s">
        <v>124</v>
      </c>
    </row>
    <row r="1227" spans="1:11" x14ac:dyDescent="0.35">
      <c r="A1227" t="s">
        <v>136</v>
      </c>
      <c r="B1227" s="46">
        <v>46124</v>
      </c>
      <c r="C1227" t="s">
        <v>81</v>
      </c>
      <c r="D1227" t="s">
        <v>137</v>
      </c>
      <c r="E1227" t="s">
        <v>198</v>
      </c>
      <c r="F1227" t="s">
        <v>199</v>
      </c>
      <c r="G1227">
        <v>1.6177777777777778</v>
      </c>
      <c r="H1227">
        <v>0</v>
      </c>
      <c r="J1227">
        <v>287</v>
      </c>
      <c r="K1227" t="s">
        <v>124</v>
      </c>
    </row>
    <row r="1228" spans="1:11" x14ac:dyDescent="0.35">
      <c r="A1228" t="s">
        <v>136</v>
      </c>
      <c r="B1228" s="46">
        <v>46124</v>
      </c>
      <c r="C1228" t="s">
        <v>101</v>
      </c>
      <c r="D1228" t="s">
        <v>137</v>
      </c>
      <c r="E1228" t="s">
        <v>164</v>
      </c>
      <c r="F1228" t="s">
        <v>165</v>
      </c>
      <c r="G1228">
        <v>0.1111111111111111</v>
      </c>
      <c r="H1228">
        <v>0</v>
      </c>
      <c r="J1228">
        <v>66</v>
      </c>
      <c r="K1228" t="s">
        <v>124</v>
      </c>
    </row>
    <row r="1229" spans="1:11" x14ac:dyDescent="0.35">
      <c r="A1229" t="s">
        <v>136</v>
      </c>
      <c r="B1229" s="46">
        <v>46124</v>
      </c>
      <c r="C1229" t="s">
        <v>101</v>
      </c>
      <c r="D1229" t="s">
        <v>137</v>
      </c>
      <c r="E1229" t="s">
        <v>166</v>
      </c>
      <c r="F1229" t="s">
        <v>167</v>
      </c>
      <c r="G1229">
        <v>2.7738888888888891</v>
      </c>
      <c r="H1229">
        <v>0</v>
      </c>
      <c r="J1229">
        <v>235</v>
      </c>
      <c r="K1229" t="s">
        <v>124</v>
      </c>
    </row>
    <row r="1230" spans="1:11" x14ac:dyDescent="0.35">
      <c r="A1230" t="s">
        <v>136</v>
      </c>
      <c r="B1230" s="46">
        <v>46124</v>
      </c>
      <c r="C1230" t="s">
        <v>101</v>
      </c>
      <c r="D1230" t="s">
        <v>137</v>
      </c>
      <c r="E1230" t="s">
        <v>170</v>
      </c>
      <c r="F1230" t="s">
        <v>171</v>
      </c>
      <c r="G1230">
        <v>6.6147222222222224</v>
      </c>
      <c r="H1230">
        <v>0</v>
      </c>
      <c r="J1230">
        <v>519</v>
      </c>
      <c r="K1230" t="s">
        <v>124</v>
      </c>
    </row>
    <row r="1231" spans="1:11" x14ac:dyDescent="0.35">
      <c r="A1231" t="s">
        <v>136</v>
      </c>
      <c r="B1231" s="46">
        <v>46124</v>
      </c>
      <c r="C1231" t="s">
        <v>101</v>
      </c>
      <c r="D1231" t="s">
        <v>137</v>
      </c>
      <c r="E1231" t="s">
        <v>182</v>
      </c>
      <c r="F1231" t="s">
        <v>183</v>
      </c>
      <c r="G1231">
        <v>1.5277777777777777E-2</v>
      </c>
      <c r="H1231">
        <v>0</v>
      </c>
      <c r="J1231">
        <v>0</v>
      </c>
      <c r="K1231" t="s">
        <v>124</v>
      </c>
    </row>
    <row r="1232" spans="1:11" x14ac:dyDescent="0.35">
      <c r="A1232" t="s">
        <v>136</v>
      </c>
      <c r="B1232" s="46">
        <v>46124</v>
      </c>
      <c r="C1232" t="s">
        <v>101</v>
      </c>
      <c r="D1232" t="s">
        <v>137</v>
      </c>
      <c r="E1232" t="s">
        <v>172</v>
      </c>
      <c r="F1232" t="s">
        <v>173</v>
      </c>
      <c r="G1232">
        <v>0.36</v>
      </c>
      <c r="H1232">
        <v>0</v>
      </c>
      <c r="J1232">
        <v>134</v>
      </c>
      <c r="K1232" t="s">
        <v>124</v>
      </c>
    </row>
    <row r="1233" spans="1:11" x14ac:dyDescent="0.35">
      <c r="A1233" t="s">
        <v>136</v>
      </c>
      <c r="B1233" s="46">
        <v>46124</v>
      </c>
      <c r="C1233" t="s">
        <v>101</v>
      </c>
      <c r="D1233" t="s">
        <v>137</v>
      </c>
      <c r="E1233" t="s">
        <v>176</v>
      </c>
      <c r="F1233" t="s">
        <v>177</v>
      </c>
      <c r="G1233">
        <v>1.7608333333333333</v>
      </c>
      <c r="H1233">
        <v>0</v>
      </c>
      <c r="J1233">
        <v>186</v>
      </c>
      <c r="K1233" t="s">
        <v>124</v>
      </c>
    </row>
    <row r="1234" spans="1:11" x14ac:dyDescent="0.35">
      <c r="A1234" t="s">
        <v>136</v>
      </c>
      <c r="B1234" s="46">
        <v>46124</v>
      </c>
      <c r="C1234" t="s">
        <v>101</v>
      </c>
      <c r="D1234" t="s">
        <v>137</v>
      </c>
      <c r="E1234" t="s">
        <v>194</v>
      </c>
      <c r="F1234" t="s">
        <v>195</v>
      </c>
      <c r="G1234">
        <v>0.81222222222222218</v>
      </c>
      <c r="H1234">
        <v>0</v>
      </c>
      <c r="J1234">
        <v>154</v>
      </c>
      <c r="K1234" t="s">
        <v>124</v>
      </c>
    </row>
    <row r="1235" spans="1:11" x14ac:dyDescent="0.35">
      <c r="A1235" t="s">
        <v>136</v>
      </c>
      <c r="B1235" s="46">
        <v>46124</v>
      </c>
      <c r="C1235" t="s">
        <v>101</v>
      </c>
      <c r="D1235" t="s">
        <v>137</v>
      </c>
      <c r="E1235" t="s">
        <v>152</v>
      </c>
      <c r="F1235" t="s">
        <v>153</v>
      </c>
      <c r="G1235">
        <v>0.36194444444444446</v>
      </c>
      <c r="H1235">
        <v>0</v>
      </c>
      <c r="J1235">
        <v>30</v>
      </c>
      <c r="K1235" t="s">
        <v>124</v>
      </c>
    </row>
    <row r="1236" spans="1:11" x14ac:dyDescent="0.35">
      <c r="A1236" t="s">
        <v>136</v>
      </c>
      <c r="B1236" s="46">
        <v>46124</v>
      </c>
      <c r="C1236" t="s">
        <v>101</v>
      </c>
      <c r="D1236" t="s">
        <v>137</v>
      </c>
      <c r="E1236" t="s">
        <v>196</v>
      </c>
      <c r="F1236" t="s">
        <v>197</v>
      </c>
      <c r="G1236">
        <v>6.1111111111111114E-3</v>
      </c>
      <c r="H1236">
        <v>0</v>
      </c>
      <c r="J1236">
        <v>22</v>
      </c>
      <c r="K1236" t="s">
        <v>124</v>
      </c>
    </row>
    <row r="1237" spans="1:11" x14ac:dyDescent="0.35">
      <c r="A1237" t="s">
        <v>136</v>
      </c>
      <c r="B1237" s="46">
        <v>46124</v>
      </c>
      <c r="C1237" t="s">
        <v>101</v>
      </c>
      <c r="D1237" t="s">
        <v>137</v>
      </c>
      <c r="E1237" t="s">
        <v>198</v>
      </c>
      <c r="F1237" t="s">
        <v>199</v>
      </c>
      <c r="G1237">
        <v>0.37472222222222223</v>
      </c>
      <c r="H1237">
        <v>0</v>
      </c>
      <c r="J1237">
        <v>237</v>
      </c>
      <c r="K1237" t="s">
        <v>124</v>
      </c>
    </row>
    <row r="1238" spans="1:11" x14ac:dyDescent="0.35">
      <c r="A1238" t="s">
        <v>136</v>
      </c>
      <c r="B1238" s="46">
        <v>46124</v>
      </c>
      <c r="C1238" t="s">
        <v>95</v>
      </c>
      <c r="D1238" t="s">
        <v>137</v>
      </c>
      <c r="E1238" t="s">
        <v>180</v>
      </c>
      <c r="F1238" t="s">
        <v>181</v>
      </c>
      <c r="G1238">
        <v>3.8055555555555558E-2</v>
      </c>
      <c r="H1238">
        <v>0</v>
      </c>
      <c r="J1238">
        <v>48</v>
      </c>
      <c r="K1238" t="s">
        <v>124</v>
      </c>
    </row>
    <row r="1239" spans="1:11" x14ac:dyDescent="0.35">
      <c r="A1239" t="s">
        <v>136</v>
      </c>
      <c r="B1239" s="46">
        <v>46124</v>
      </c>
      <c r="C1239" t="s">
        <v>95</v>
      </c>
      <c r="D1239" t="s">
        <v>137</v>
      </c>
      <c r="E1239" t="s">
        <v>164</v>
      </c>
      <c r="F1239" t="s">
        <v>165</v>
      </c>
      <c r="G1239">
        <v>0.24888888888888888</v>
      </c>
      <c r="H1239">
        <v>0</v>
      </c>
      <c r="J1239">
        <v>109</v>
      </c>
      <c r="K1239" t="s">
        <v>124</v>
      </c>
    </row>
    <row r="1240" spans="1:11" x14ac:dyDescent="0.35">
      <c r="A1240" t="s">
        <v>136</v>
      </c>
      <c r="B1240" s="46">
        <v>46124</v>
      </c>
      <c r="C1240" t="s">
        <v>95</v>
      </c>
      <c r="D1240" t="s">
        <v>137</v>
      </c>
      <c r="E1240" t="s">
        <v>166</v>
      </c>
      <c r="F1240" t="s">
        <v>167</v>
      </c>
      <c r="G1240">
        <v>2.4469444444444446</v>
      </c>
      <c r="H1240">
        <v>0</v>
      </c>
      <c r="J1240">
        <v>23</v>
      </c>
      <c r="K1240" t="s">
        <v>124</v>
      </c>
    </row>
    <row r="1241" spans="1:11" x14ac:dyDescent="0.35">
      <c r="A1241" t="s">
        <v>136</v>
      </c>
      <c r="B1241" s="46">
        <v>46124</v>
      </c>
      <c r="C1241" t="s">
        <v>95</v>
      </c>
      <c r="D1241" t="s">
        <v>137</v>
      </c>
      <c r="E1241" t="s">
        <v>168</v>
      </c>
      <c r="F1241" t="s">
        <v>169</v>
      </c>
      <c r="G1241">
        <v>0.41972222222222222</v>
      </c>
      <c r="H1241">
        <v>0</v>
      </c>
      <c r="J1241">
        <v>23</v>
      </c>
      <c r="K1241" t="s">
        <v>124</v>
      </c>
    </row>
    <row r="1242" spans="1:11" x14ac:dyDescent="0.35">
      <c r="A1242" t="s">
        <v>136</v>
      </c>
      <c r="B1242" s="46">
        <v>46124</v>
      </c>
      <c r="C1242" t="s">
        <v>95</v>
      </c>
      <c r="D1242" t="s">
        <v>137</v>
      </c>
      <c r="E1242" t="s">
        <v>170</v>
      </c>
      <c r="F1242" t="s">
        <v>171</v>
      </c>
      <c r="G1242">
        <v>3.9688888888888889</v>
      </c>
      <c r="H1242">
        <v>0</v>
      </c>
      <c r="J1242">
        <v>442</v>
      </c>
      <c r="K1242" t="s">
        <v>124</v>
      </c>
    </row>
    <row r="1243" spans="1:11" x14ac:dyDescent="0.35">
      <c r="A1243" t="s">
        <v>136</v>
      </c>
      <c r="B1243" s="46">
        <v>46124</v>
      </c>
      <c r="C1243" t="s">
        <v>95</v>
      </c>
      <c r="D1243" t="s">
        <v>137</v>
      </c>
      <c r="E1243" t="s">
        <v>184</v>
      </c>
      <c r="F1243" t="s">
        <v>185</v>
      </c>
      <c r="G1243">
        <v>0.13</v>
      </c>
      <c r="H1243">
        <v>0</v>
      </c>
      <c r="J1243">
        <v>30</v>
      </c>
      <c r="K1243" t="s">
        <v>124</v>
      </c>
    </row>
    <row r="1244" spans="1:11" x14ac:dyDescent="0.35">
      <c r="A1244" t="s">
        <v>136</v>
      </c>
      <c r="B1244" s="46">
        <v>46124</v>
      </c>
      <c r="C1244" t="s">
        <v>95</v>
      </c>
      <c r="D1244" t="s">
        <v>137</v>
      </c>
      <c r="E1244" t="s">
        <v>176</v>
      </c>
      <c r="F1244" t="s">
        <v>177</v>
      </c>
      <c r="G1244">
        <v>0.89111111111111108</v>
      </c>
      <c r="H1244">
        <v>0</v>
      </c>
      <c r="J1244">
        <v>393</v>
      </c>
      <c r="K1244" t="s">
        <v>124</v>
      </c>
    </row>
    <row r="1245" spans="1:11" x14ac:dyDescent="0.35">
      <c r="A1245" t="s">
        <v>136</v>
      </c>
      <c r="B1245" s="46">
        <v>46124</v>
      </c>
      <c r="C1245" t="s">
        <v>95</v>
      </c>
      <c r="D1245" t="s">
        <v>137</v>
      </c>
      <c r="E1245" t="s">
        <v>194</v>
      </c>
      <c r="F1245" t="s">
        <v>195</v>
      </c>
      <c r="G1245">
        <v>1.71</v>
      </c>
      <c r="H1245">
        <v>0</v>
      </c>
      <c r="J1245">
        <v>106</v>
      </c>
      <c r="K1245" t="s">
        <v>124</v>
      </c>
    </row>
    <row r="1246" spans="1:11" x14ac:dyDescent="0.35">
      <c r="A1246" t="s">
        <v>136</v>
      </c>
      <c r="B1246" s="46">
        <v>46124</v>
      </c>
      <c r="C1246" t="s">
        <v>95</v>
      </c>
      <c r="D1246" t="s">
        <v>137</v>
      </c>
      <c r="E1246" t="s">
        <v>186</v>
      </c>
      <c r="F1246" t="s">
        <v>187</v>
      </c>
      <c r="G1246">
        <v>0.72833333333333339</v>
      </c>
      <c r="H1246">
        <v>0</v>
      </c>
      <c r="J1246">
        <v>356</v>
      </c>
      <c r="K1246" t="s">
        <v>124</v>
      </c>
    </row>
    <row r="1247" spans="1:11" x14ac:dyDescent="0.35">
      <c r="A1247" t="s">
        <v>136</v>
      </c>
      <c r="B1247" s="46">
        <v>46124</v>
      </c>
      <c r="C1247" t="s">
        <v>95</v>
      </c>
      <c r="D1247" t="s">
        <v>137</v>
      </c>
      <c r="E1247" t="s">
        <v>148</v>
      </c>
      <c r="F1247" t="s">
        <v>149</v>
      </c>
      <c r="G1247">
        <v>0.25861111111111112</v>
      </c>
      <c r="H1247">
        <v>0</v>
      </c>
      <c r="J1247">
        <v>11</v>
      </c>
      <c r="K1247" t="s">
        <v>124</v>
      </c>
    </row>
    <row r="1248" spans="1:11" x14ac:dyDescent="0.35">
      <c r="A1248" t="s">
        <v>136</v>
      </c>
      <c r="B1248" s="46">
        <v>46124</v>
      </c>
      <c r="C1248" t="s">
        <v>95</v>
      </c>
      <c r="D1248" t="s">
        <v>137</v>
      </c>
      <c r="E1248" t="s">
        <v>196</v>
      </c>
      <c r="F1248" t="s">
        <v>197</v>
      </c>
      <c r="G1248">
        <v>1.1666666666666667E-2</v>
      </c>
      <c r="H1248">
        <v>0</v>
      </c>
      <c r="J1248">
        <v>42</v>
      </c>
      <c r="K1248" t="s">
        <v>124</v>
      </c>
    </row>
    <row r="1249" spans="1:11" x14ac:dyDescent="0.35">
      <c r="A1249" t="s">
        <v>136</v>
      </c>
      <c r="B1249" s="46">
        <v>46124</v>
      </c>
      <c r="C1249" t="s">
        <v>95</v>
      </c>
      <c r="D1249" t="s">
        <v>137</v>
      </c>
      <c r="E1249" t="s">
        <v>198</v>
      </c>
      <c r="F1249" t="s">
        <v>199</v>
      </c>
      <c r="G1249">
        <v>0.83333333333333337</v>
      </c>
      <c r="H1249">
        <v>0</v>
      </c>
      <c r="J1249">
        <v>361</v>
      </c>
      <c r="K1249" t="s">
        <v>124</v>
      </c>
    </row>
    <row r="1250" spans="1:11" x14ac:dyDescent="0.35">
      <c r="A1250" t="s">
        <v>136</v>
      </c>
      <c r="B1250" s="46">
        <v>46124</v>
      </c>
      <c r="C1250" t="s">
        <v>86</v>
      </c>
      <c r="D1250" t="s">
        <v>137</v>
      </c>
      <c r="E1250" t="s">
        <v>188</v>
      </c>
      <c r="F1250" t="s">
        <v>189</v>
      </c>
      <c r="G1250">
        <v>1.8913888888888888</v>
      </c>
      <c r="H1250">
        <v>0</v>
      </c>
      <c r="J1250">
        <v>162</v>
      </c>
      <c r="K1250" t="s">
        <v>124</v>
      </c>
    </row>
    <row r="1251" spans="1:11" x14ac:dyDescent="0.35">
      <c r="A1251" t="s">
        <v>136</v>
      </c>
      <c r="B1251" s="46">
        <v>46124</v>
      </c>
      <c r="C1251" t="s">
        <v>86</v>
      </c>
      <c r="D1251" t="s">
        <v>137</v>
      </c>
      <c r="E1251" t="s">
        <v>180</v>
      </c>
      <c r="F1251" t="s">
        <v>181</v>
      </c>
      <c r="G1251">
        <v>0.10888888888888888</v>
      </c>
      <c r="H1251">
        <v>0</v>
      </c>
      <c r="J1251">
        <v>56</v>
      </c>
      <c r="K1251" t="s">
        <v>124</v>
      </c>
    </row>
    <row r="1252" spans="1:11" x14ac:dyDescent="0.35">
      <c r="A1252" t="s">
        <v>136</v>
      </c>
      <c r="B1252" s="46">
        <v>46124</v>
      </c>
      <c r="C1252" t="s">
        <v>86</v>
      </c>
      <c r="D1252" t="s">
        <v>137</v>
      </c>
      <c r="E1252" t="s">
        <v>164</v>
      </c>
      <c r="F1252" t="s">
        <v>165</v>
      </c>
      <c r="G1252">
        <v>0.21888888888888888</v>
      </c>
      <c r="H1252">
        <v>0</v>
      </c>
      <c r="J1252">
        <v>72</v>
      </c>
      <c r="K1252" t="s">
        <v>124</v>
      </c>
    </row>
    <row r="1253" spans="1:11" x14ac:dyDescent="0.35">
      <c r="A1253" t="s">
        <v>136</v>
      </c>
      <c r="B1253" s="46">
        <v>46124</v>
      </c>
      <c r="C1253" t="s">
        <v>86</v>
      </c>
      <c r="D1253" t="s">
        <v>137</v>
      </c>
      <c r="E1253" t="s">
        <v>166</v>
      </c>
      <c r="F1253" t="s">
        <v>167</v>
      </c>
      <c r="G1253">
        <v>0.60916666666666663</v>
      </c>
      <c r="H1253">
        <v>0</v>
      </c>
      <c r="J1253">
        <v>307</v>
      </c>
      <c r="K1253" t="s">
        <v>124</v>
      </c>
    </row>
    <row r="1254" spans="1:11" x14ac:dyDescent="0.35">
      <c r="A1254" t="s">
        <v>136</v>
      </c>
      <c r="B1254" s="46">
        <v>46124</v>
      </c>
      <c r="C1254" t="s">
        <v>86</v>
      </c>
      <c r="D1254" t="s">
        <v>137</v>
      </c>
      <c r="E1254" t="s">
        <v>168</v>
      </c>
      <c r="F1254" t="s">
        <v>169</v>
      </c>
      <c r="G1254">
        <v>0.19111111111111112</v>
      </c>
      <c r="H1254">
        <v>0</v>
      </c>
      <c r="J1254">
        <v>39</v>
      </c>
      <c r="K1254" t="s">
        <v>124</v>
      </c>
    </row>
    <row r="1255" spans="1:11" x14ac:dyDescent="0.35">
      <c r="A1255" t="s">
        <v>136</v>
      </c>
      <c r="B1255" s="46">
        <v>46124</v>
      </c>
      <c r="C1255" t="s">
        <v>86</v>
      </c>
      <c r="D1255" t="s">
        <v>137</v>
      </c>
      <c r="E1255" t="s">
        <v>170</v>
      </c>
      <c r="F1255" t="s">
        <v>171</v>
      </c>
      <c r="G1255">
        <v>5.8547222222222226</v>
      </c>
      <c r="H1255">
        <v>0</v>
      </c>
      <c r="J1255">
        <v>583</v>
      </c>
      <c r="K1255" t="s">
        <v>124</v>
      </c>
    </row>
    <row r="1256" spans="1:11" x14ac:dyDescent="0.35">
      <c r="A1256" t="s">
        <v>136</v>
      </c>
      <c r="B1256" s="46">
        <v>46124</v>
      </c>
      <c r="C1256" t="s">
        <v>86</v>
      </c>
      <c r="D1256" t="s">
        <v>137</v>
      </c>
      <c r="E1256" t="s">
        <v>184</v>
      </c>
      <c r="F1256" t="s">
        <v>185</v>
      </c>
      <c r="G1256">
        <v>2.9444444444444443E-2</v>
      </c>
      <c r="H1256">
        <v>0</v>
      </c>
      <c r="J1256">
        <v>0</v>
      </c>
      <c r="K1256" t="s">
        <v>124</v>
      </c>
    </row>
    <row r="1257" spans="1:11" x14ac:dyDescent="0.35">
      <c r="A1257" t="s">
        <v>136</v>
      </c>
      <c r="B1257" s="46">
        <v>46124</v>
      </c>
      <c r="C1257" t="s">
        <v>86</v>
      </c>
      <c r="D1257" t="s">
        <v>137</v>
      </c>
      <c r="E1257" t="s">
        <v>200</v>
      </c>
      <c r="F1257" t="s">
        <v>201</v>
      </c>
      <c r="G1257">
        <v>2.1944444444444444E-2</v>
      </c>
      <c r="H1257">
        <v>0</v>
      </c>
      <c r="J1257">
        <v>0</v>
      </c>
      <c r="K1257" t="s">
        <v>124</v>
      </c>
    </row>
    <row r="1258" spans="1:11" x14ac:dyDescent="0.35">
      <c r="A1258" t="s">
        <v>136</v>
      </c>
      <c r="B1258" s="46">
        <v>46124</v>
      </c>
      <c r="C1258" t="s">
        <v>86</v>
      </c>
      <c r="D1258" t="s">
        <v>137</v>
      </c>
      <c r="E1258" t="s">
        <v>172</v>
      </c>
      <c r="F1258" t="s">
        <v>173</v>
      </c>
      <c r="G1258">
        <v>1.4722222222222222E-2</v>
      </c>
      <c r="H1258">
        <v>0</v>
      </c>
      <c r="J1258">
        <v>15</v>
      </c>
      <c r="K1258" t="s">
        <v>124</v>
      </c>
    </row>
    <row r="1259" spans="1:11" x14ac:dyDescent="0.35">
      <c r="A1259" t="s">
        <v>136</v>
      </c>
      <c r="B1259" s="46">
        <v>46124</v>
      </c>
      <c r="C1259" t="s">
        <v>86</v>
      </c>
      <c r="D1259" t="s">
        <v>137</v>
      </c>
      <c r="E1259" t="s">
        <v>174</v>
      </c>
      <c r="F1259" t="s">
        <v>175</v>
      </c>
      <c r="G1259">
        <v>6.3333333333333339E-2</v>
      </c>
      <c r="H1259">
        <v>0</v>
      </c>
      <c r="J1259">
        <v>98</v>
      </c>
      <c r="K1259" t="s">
        <v>124</v>
      </c>
    </row>
    <row r="1260" spans="1:11" x14ac:dyDescent="0.35">
      <c r="A1260" t="s">
        <v>136</v>
      </c>
      <c r="B1260" s="46">
        <v>46124</v>
      </c>
      <c r="C1260" t="s">
        <v>86</v>
      </c>
      <c r="D1260" t="s">
        <v>137</v>
      </c>
      <c r="E1260" t="s">
        <v>176</v>
      </c>
      <c r="F1260" t="s">
        <v>177</v>
      </c>
      <c r="G1260">
        <v>0.51611111111111108</v>
      </c>
      <c r="H1260">
        <v>0</v>
      </c>
      <c r="J1260">
        <v>228</v>
      </c>
      <c r="K1260" t="s">
        <v>124</v>
      </c>
    </row>
    <row r="1261" spans="1:11" x14ac:dyDescent="0.35">
      <c r="A1261" t="s">
        <v>136</v>
      </c>
      <c r="B1261" s="46">
        <v>46124</v>
      </c>
      <c r="C1261" t="s">
        <v>86</v>
      </c>
      <c r="D1261" t="s">
        <v>137</v>
      </c>
      <c r="E1261" t="s">
        <v>194</v>
      </c>
      <c r="F1261" t="s">
        <v>195</v>
      </c>
      <c r="G1261">
        <v>0.23916666666666667</v>
      </c>
      <c r="H1261">
        <v>0</v>
      </c>
      <c r="J1261">
        <v>54</v>
      </c>
      <c r="K1261" t="s">
        <v>124</v>
      </c>
    </row>
    <row r="1262" spans="1:11" x14ac:dyDescent="0.35">
      <c r="A1262" t="s">
        <v>136</v>
      </c>
      <c r="B1262" s="46">
        <v>46124</v>
      </c>
      <c r="C1262" t="s">
        <v>86</v>
      </c>
      <c r="D1262" t="s">
        <v>137</v>
      </c>
      <c r="E1262" t="s">
        <v>196</v>
      </c>
      <c r="F1262" t="s">
        <v>197</v>
      </c>
      <c r="G1262">
        <v>0.10833333333333334</v>
      </c>
      <c r="H1262">
        <v>0</v>
      </c>
      <c r="J1262">
        <v>78</v>
      </c>
      <c r="K1262" t="s">
        <v>124</v>
      </c>
    </row>
    <row r="1263" spans="1:11" x14ac:dyDescent="0.35">
      <c r="A1263" t="s">
        <v>136</v>
      </c>
      <c r="B1263" s="46">
        <v>46124</v>
      </c>
      <c r="C1263" t="s">
        <v>86</v>
      </c>
      <c r="D1263" t="s">
        <v>137</v>
      </c>
      <c r="E1263" t="s">
        <v>146</v>
      </c>
      <c r="F1263" t="s">
        <v>147</v>
      </c>
      <c r="G1263">
        <v>1.5455555555555556</v>
      </c>
      <c r="H1263">
        <v>0</v>
      </c>
      <c r="J1263">
        <v>0</v>
      </c>
      <c r="K1263" t="s">
        <v>124</v>
      </c>
    </row>
    <row r="1264" spans="1:11" x14ac:dyDescent="0.35">
      <c r="A1264" t="s">
        <v>136</v>
      </c>
      <c r="B1264" s="46">
        <v>46124</v>
      </c>
      <c r="C1264" t="s">
        <v>86</v>
      </c>
      <c r="D1264" t="s">
        <v>137</v>
      </c>
      <c r="E1264" t="s">
        <v>198</v>
      </c>
      <c r="F1264" t="s">
        <v>199</v>
      </c>
      <c r="G1264">
        <v>0.33305555555555555</v>
      </c>
      <c r="H1264">
        <v>0</v>
      </c>
      <c r="J1264">
        <v>236</v>
      </c>
      <c r="K1264" t="s">
        <v>124</v>
      </c>
    </row>
    <row r="1265" spans="1:11" x14ac:dyDescent="0.35">
      <c r="A1265" t="s">
        <v>136</v>
      </c>
      <c r="B1265" s="46">
        <v>46124</v>
      </c>
      <c r="C1265" t="s">
        <v>88</v>
      </c>
      <c r="D1265" t="s">
        <v>137</v>
      </c>
      <c r="E1265" t="s">
        <v>164</v>
      </c>
      <c r="F1265" t="s">
        <v>165</v>
      </c>
      <c r="G1265">
        <v>0.37972222222222224</v>
      </c>
      <c r="H1265">
        <v>0</v>
      </c>
      <c r="J1265">
        <v>259</v>
      </c>
      <c r="K1265" t="s">
        <v>124</v>
      </c>
    </row>
    <row r="1266" spans="1:11" x14ac:dyDescent="0.35">
      <c r="A1266" t="s">
        <v>136</v>
      </c>
      <c r="B1266" s="46">
        <v>46124</v>
      </c>
      <c r="C1266" t="s">
        <v>88</v>
      </c>
      <c r="D1266" t="s">
        <v>137</v>
      </c>
      <c r="E1266" t="s">
        <v>166</v>
      </c>
      <c r="F1266" t="s">
        <v>167</v>
      </c>
      <c r="G1266">
        <v>1.3736111111111111</v>
      </c>
      <c r="H1266">
        <v>0</v>
      </c>
      <c r="J1266">
        <v>382</v>
      </c>
      <c r="K1266" t="s">
        <v>124</v>
      </c>
    </row>
    <row r="1267" spans="1:11" x14ac:dyDescent="0.35">
      <c r="A1267" t="s">
        <v>136</v>
      </c>
      <c r="B1267" s="46">
        <v>46124</v>
      </c>
      <c r="C1267" t="s">
        <v>88</v>
      </c>
      <c r="D1267" t="s">
        <v>137</v>
      </c>
      <c r="E1267" t="s">
        <v>168</v>
      </c>
      <c r="F1267" t="s">
        <v>169</v>
      </c>
      <c r="G1267">
        <v>7.8611111111111118E-2</v>
      </c>
      <c r="H1267">
        <v>0</v>
      </c>
      <c r="J1267">
        <v>43</v>
      </c>
      <c r="K1267" t="s">
        <v>124</v>
      </c>
    </row>
    <row r="1268" spans="1:11" x14ac:dyDescent="0.35">
      <c r="A1268" t="s">
        <v>136</v>
      </c>
      <c r="B1268" s="46">
        <v>46124</v>
      </c>
      <c r="C1268" t="s">
        <v>88</v>
      </c>
      <c r="D1268" t="s">
        <v>137</v>
      </c>
      <c r="E1268" t="s">
        <v>170</v>
      </c>
      <c r="F1268" t="s">
        <v>171</v>
      </c>
      <c r="G1268">
        <v>5.8002777777777776</v>
      </c>
      <c r="H1268">
        <v>0</v>
      </c>
      <c r="J1268">
        <v>455</v>
      </c>
      <c r="K1268" t="s">
        <v>124</v>
      </c>
    </row>
    <row r="1269" spans="1:11" x14ac:dyDescent="0.35">
      <c r="A1269" t="s">
        <v>136</v>
      </c>
      <c r="B1269" s="46">
        <v>46124</v>
      </c>
      <c r="C1269" t="s">
        <v>88</v>
      </c>
      <c r="D1269" t="s">
        <v>137</v>
      </c>
      <c r="E1269" t="s">
        <v>184</v>
      </c>
      <c r="F1269" t="s">
        <v>185</v>
      </c>
      <c r="G1269">
        <v>0.22277777777777777</v>
      </c>
      <c r="H1269">
        <v>0</v>
      </c>
      <c r="J1269">
        <v>192</v>
      </c>
      <c r="K1269" t="s">
        <v>124</v>
      </c>
    </row>
    <row r="1270" spans="1:11" x14ac:dyDescent="0.35">
      <c r="A1270" t="s">
        <v>136</v>
      </c>
      <c r="B1270" s="46">
        <v>46124</v>
      </c>
      <c r="C1270" t="s">
        <v>88</v>
      </c>
      <c r="D1270" t="s">
        <v>137</v>
      </c>
      <c r="E1270" t="s">
        <v>409</v>
      </c>
      <c r="F1270" t="s">
        <v>410</v>
      </c>
      <c r="G1270">
        <v>0.55777777777777782</v>
      </c>
      <c r="H1270">
        <v>0</v>
      </c>
      <c r="J1270">
        <v>0</v>
      </c>
      <c r="K1270" t="s">
        <v>124</v>
      </c>
    </row>
    <row r="1271" spans="1:11" x14ac:dyDescent="0.35">
      <c r="A1271" t="s">
        <v>136</v>
      </c>
      <c r="B1271" s="46">
        <v>46124</v>
      </c>
      <c r="C1271" t="s">
        <v>88</v>
      </c>
      <c r="D1271" t="s">
        <v>137</v>
      </c>
      <c r="E1271" t="s">
        <v>172</v>
      </c>
      <c r="F1271" t="s">
        <v>173</v>
      </c>
      <c r="G1271">
        <v>0.52416666666666667</v>
      </c>
      <c r="H1271">
        <v>0</v>
      </c>
      <c r="J1271">
        <v>567</v>
      </c>
      <c r="K1271" t="s">
        <v>124</v>
      </c>
    </row>
    <row r="1272" spans="1:11" x14ac:dyDescent="0.35">
      <c r="A1272" t="s">
        <v>136</v>
      </c>
      <c r="B1272" s="46">
        <v>46124</v>
      </c>
      <c r="C1272" t="s">
        <v>88</v>
      </c>
      <c r="D1272" t="s">
        <v>137</v>
      </c>
      <c r="E1272" t="s">
        <v>176</v>
      </c>
      <c r="F1272" t="s">
        <v>177</v>
      </c>
      <c r="G1272">
        <v>0.70472222222222225</v>
      </c>
      <c r="H1272">
        <v>0</v>
      </c>
      <c r="J1272">
        <v>219</v>
      </c>
      <c r="K1272" t="s">
        <v>124</v>
      </c>
    </row>
    <row r="1273" spans="1:11" x14ac:dyDescent="0.35">
      <c r="A1273" t="s">
        <v>136</v>
      </c>
      <c r="B1273" s="46">
        <v>46124</v>
      </c>
      <c r="C1273" t="s">
        <v>88</v>
      </c>
      <c r="D1273" t="s">
        <v>137</v>
      </c>
      <c r="E1273" t="s">
        <v>194</v>
      </c>
      <c r="F1273" t="s">
        <v>195</v>
      </c>
      <c r="G1273">
        <v>0.34888888888888892</v>
      </c>
      <c r="H1273">
        <v>0</v>
      </c>
      <c r="J1273">
        <v>189</v>
      </c>
      <c r="K1273" t="s">
        <v>124</v>
      </c>
    </row>
    <row r="1274" spans="1:11" x14ac:dyDescent="0.35">
      <c r="A1274" t="s">
        <v>136</v>
      </c>
      <c r="B1274" s="46">
        <v>46124</v>
      </c>
      <c r="C1274" t="s">
        <v>88</v>
      </c>
      <c r="D1274" t="s">
        <v>137</v>
      </c>
      <c r="E1274" t="s">
        <v>186</v>
      </c>
      <c r="F1274" t="s">
        <v>187</v>
      </c>
      <c r="G1274">
        <v>0.79694444444444446</v>
      </c>
      <c r="H1274">
        <v>0</v>
      </c>
      <c r="J1274">
        <v>0</v>
      </c>
      <c r="K1274" t="s">
        <v>124</v>
      </c>
    </row>
    <row r="1275" spans="1:11" x14ac:dyDescent="0.35">
      <c r="A1275" t="s">
        <v>136</v>
      </c>
      <c r="B1275" s="46">
        <v>46124</v>
      </c>
      <c r="C1275" t="s">
        <v>88</v>
      </c>
      <c r="D1275" t="s">
        <v>137</v>
      </c>
      <c r="E1275" t="s">
        <v>196</v>
      </c>
      <c r="F1275" t="s">
        <v>197</v>
      </c>
      <c r="G1275">
        <v>0.20250000000000001</v>
      </c>
      <c r="H1275">
        <v>0</v>
      </c>
      <c r="J1275">
        <v>170</v>
      </c>
      <c r="K1275" t="s">
        <v>124</v>
      </c>
    </row>
    <row r="1276" spans="1:11" x14ac:dyDescent="0.35">
      <c r="A1276" t="s">
        <v>136</v>
      </c>
      <c r="B1276" s="46">
        <v>46124</v>
      </c>
      <c r="C1276" t="s">
        <v>88</v>
      </c>
      <c r="D1276" t="s">
        <v>137</v>
      </c>
      <c r="E1276" t="s">
        <v>198</v>
      </c>
      <c r="F1276" t="s">
        <v>199</v>
      </c>
      <c r="G1276">
        <v>0.48499999999999999</v>
      </c>
      <c r="H1276">
        <v>0</v>
      </c>
      <c r="J1276">
        <v>406</v>
      </c>
      <c r="K1276" t="s">
        <v>124</v>
      </c>
    </row>
    <row r="1277" spans="1:11" x14ac:dyDescent="0.35">
      <c r="A1277" t="s">
        <v>136</v>
      </c>
      <c r="B1277" s="46">
        <v>46124</v>
      </c>
      <c r="C1277" t="s">
        <v>100</v>
      </c>
      <c r="D1277" t="s">
        <v>137</v>
      </c>
      <c r="E1277" t="s">
        <v>180</v>
      </c>
      <c r="F1277" t="s">
        <v>181</v>
      </c>
      <c r="G1277">
        <v>8.0555555555555561E-2</v>
      </c>
      <c r="H1277">
        <v>0</v>
      </c>
      <c r="J1277">
        <v>99</v>
      </c>
      <c r="K1277" t="s">
        <v>124</v>
      </c>
    </row>
    <row r="1278" spans="1:11" x14ac:dyDescent="0.35">
      <c r="A1278" t="s">
        <v>136</v>
      </c>
      <c r="B1278" s="46">
        <v>46124</v>
      </c>
      <c r="C1278" t="s">
        <v>100</v>
      </c>
      <c r="D1278" t="s">
        <v>137</v>
      </c>
      <c r="E1278" t="s">
        <v>164</v>
      </c>
      <c r="F1278" t="s">
        <v>165</v>
      </c>
      <c r="G1278">
        <v>0.42611111111111111</v>
      </c>
      <c r="H1278">
        <v>0</v>
      </c>
      <c r="J1278">
        <v>276</v>
      </c>
      <c r="K1278" t="s">
        <v>124</v>
      </c>
    </row>
    <row r="1279" spans="1:11" x14ac:dyDescent="0.35">
      <c r="A1279" t="s">
        <v>136</v>
      </c>
      <c r="B1279" s="46">
        <v>46124</v>
      </c>
      <c r="C1279" t="s">
        <v>100</v>
      </c>
      <c r="D1279" t="s">
        <v>137</v>
      </c>
      <c r="E1279" t="s">
        <v>166</v>
      </c>
      <c r="F1279" t="s">
        <v>167</v>
      </c>
      <c r="G1279">
        <v>1.1916666666666667</v>
      </c>
      <c r="H1279">
        <v>0</v>
      </c>
      <c r="J1279">
        <v>79</v>
      </c>
      <c r="K1279" t="s">
        <v>124</v>
      </c>
    </row>
    <row r="1280" spans="1:11" x14ac:dyDescent="0.35">
      <c r="A1280" t="s">
        <v>136</v>
      </c>
      <c r="B1280" s="46">
        <v>46124</v>
      </c>
      <c r="C1280" t="s">
        <v>100</v>
      </c>
      <c r="D1280" t="s">
        <v>137</v>
      </c>
      <c r="E1280" t="s">
        <v>168</v>
      </c>
      <c r="F1280" t="s">
        <v>169</v>
      </c>
      <c r="G1280">
        <v>0.1386111111111111</v>
      </c>
      <c r="H1280">
        <v>0</v>
      </c>
      <c r="J1280">
        <v>68</v>
      </c>
      <c r="K1280" t="s">
        <v>124</v>
      </c>
    </row>
    <row r="1281" spans="1:11" x14ac:dyDescent="0.35">
      <c r="A1281" t="s">
        <v>136</v>
      </c>
      <c r="B1281" s="46">
        <v>46124</v>
      </c>
      <c r="C1281" t="s">
        <v>100</v>
      </c>
      <c r="D1281" t="s">
        <v>137</v>
      </c>
      <c r="E1281" t="s">
        <v>170</v>
      </c>
      <c r="F1281" t="s">
        <v>171</v>
      </c>
      <c r="G1281">
        <v>4.6449999999999996</v>
      </c>
      <c r="H1281">
        <v>0</v>
      </c>
      <c r="J1281">
        <v>943</v>
      </c>
      <c r="K1281" t="s">
        <v>124</v>
      </c>
    </row>
    <row r="1282" spans="1:11" x14ac:dyDescent="0.35">
      <c r="A1282" t="s">
        <v>136</v>
      </c>
      <c r="B1282" s="46">
        <v>46124</v>
      </c>
      <c r="C1282" t="s">
        <v>100</v>
      </c>
      <c r="D1282" t="s">
        <v>137</v>
      </c>
      <c r="E1282" t="s">
        <v>182</v>
      </c>
      <c r="F1282" t="s">
        <v>183</v>
      </c>
      <c r="G1282">
        <v>0.52361111111111114</v>
      </c>
      <c r="H1282">
        <v>0</v>
      </c>
      <c r="J1282">
        <v>399</v>
      </c>
      <c r="K1282" t="s">
        <v>124</v>
      </c>
    </row>
    <row r="1283" spans="1:11" x14ac:dyDescent="0.35">
      <c r="A1283" t="s">
        <v>136</v>
      </c>
      <c r="B1283" s="46">
        <v>46124</v>
      </c>
      <c r="C1283" t="s">
        <v>100</v>
      </c>
      <c r="D1283" t="s">
        <v>137</v>
      </c>
      <c r="E1283" t="s">
        <v>200</v>
      </c>
      <c r="F1283" t="s">
        <v>201</v>
      </c>
      <c r="G1283">
        <v>2.3030555555555554</v>
      </c>
      <c r="H1283">
        <v>0</v>
      </c>
      <c r="J1283">
        <v>254</v>
      </c>
      <c r="K1283" t="s">
        <v>124</v>
      </c>
    </row>
    <row r="1284" spans="1:11" x14ac:dyDescent="0.35">
      <c r="A1284" t="s">
        <v>136</v>
      </c>
      <c r="B1284" s="46">
        <v>46124</v>
      </c>
      <c r="C1284" t="s">
        <v>100</v>
      </c>
      <c r="D1284" t="s">
        <v>137</v>
      </c>
      <c r="E1284" t="s">
        <v>172</v>
      </c>
      <c r="F1284" t="s">
        <v>173</v>
      </c>
      <c r="G1284">
        <v>1.2222222222222223E-2</v>
      </c>
      <c r="H1284">
        <v>0</v>
      </c>
      <c r="J1284">
        <v>44</v>
      </c>
      <c r="K1284" t="s">
        <v>124</v>
      </c>
    </row>
    <row r="1285" spans="1:11" x14ac:dyDescent="0.35">
      <c r="A1285" t="s">
        <v>136</v>
      </c>
      <c r="B1285" s="46">
        <v>46124</v>
      </c>
      <c r="C1285" t="s">
        <v>100</v>
      </c>
      <c r="D1285" t="s">
        <v>137</v>
      </c>
      <c r="E1285" t="s">
        <v>176</v>
      </c>
      <c r="F1285" t="s">
        <v>177</v>
      </c>
      <c r="G1285">
        <v>0.80722222222222217</v>
      </c>
      <c r="H1285">
        <v>0</v>
      </c>
      <c r="J1285">
        <v>250</v>
      </c>
      <c r="K1285" t="s">
        <v>124</v>
      </c>
    </row>
    <row r="1286" spans="1:11" x14ac:dyDescent="0.35">
      <c r="A1286" t="s">
        <v>136</v>
      </c>
      <c r="B1286" s="46">
        <v>46124</v>
      </c>
      <c r="C1286" t="s">
        <v>100</v>
      </c>
      <c r="D1286" t="s">
        <v>137</v>
      </c>
      <c r="E1286" t="s">
        <v>194</v>
      </c>
      <c r="F1286" t="s">
        <v>195</v>
      </c>
      <c r="G1286">
        <v>0.53833333333333333</v>
      </c>
      <c r="H1286">
        <v>0</v>
      </c>
      <c r="J1286">
        <v>525</v>
      </c>
      <c r="K1286" t="s">
        <v>124</v>
      </c>
    </row>
    <row r="1287" spans="1:11" x14ac:dyDescent="0.35">
      <c r="A1287" t="s">
        <v>136</v>
      </c>
      <c r="B1287" s="46">
        <v>46124</v>
      </c>
      <c r="C1287" t="s">
        <v>100</v>
      </c>
      <c r="D1287" t="s">
        <v>137</v>
      </c>
      <c r="E1287" t="s">
        <v>196</v>
      </c>
      <c r="F1287" t="s">
        <v>197</v>
      </c>
      <c r="G1287">
        <v>7.0833333333333331E-2</v>
      </c>
      <c r="H1287">
        <v>0</v>
      </c>
      <c r="J1287">
        <v>71</v>
      </c>
      <c r="K1287" t="s">
        <v>124</v>
      </c>
    </row>
    <row r="1288" spans="1:11" x14ac:dyDescent="0.35">
      <c r="A1288" t="s">
        <v>136</v>
      </c>
      <c r="B1288" s="46">
        <v>46124</v>
      </c>
      <c r="C1288" t="s">
        <v>100</v>
      </c>
      <c r="D1288" t="s">
        <v>137</v>
      </c>
      <c r="E1288" t="s">
        <v>198</v>
      </c>
      <c r="F1288" t="s">
        <v>199</v>
      </c>
      <c r="G1288">
        <v>0.59888888888888892</v>
      </c>
      <c r="H1288">
        <v>0</v>
      </c>
      <c r="J1288">
        <v>544</v>
      </c>
      <c r="K1288" t="s">
        <v>124</v>
      </c>
    </row>
    <row r="1289" spans="1:11" x14ac:dyDescent="0.35">
      <c r="A1289" t="s">
        <v>136</v>
      </c>
      <c r="B1289" s="46">
        <v>46124</v>
      </c>
      <c r="C1289" t="s">
        <v>93</v>
      </c>
      <c r="D1289" t="s">
        <v>137</v>
      </c>
      <c r="E1289" t="s">
        <v>164</v>
      </c>
      <c r="F1289" t="s">
        <v>165</v>
      </c>
      <c r="G1289">
        <v>9.555555555555556E-2</v>
      </c>
      <c r="H1289">
        <v>0</v>
      </c>
      <c r="J1289">
        <v>58</v>
      </c>
      <c r="K1289" t="s">
        <v>124</v>
      </c>
    </row>
    <row r="1290" spans="1:11" x14ac:dyDescent="0.35">
      <c r="A1290" t="s">
        <v>136</v>
      </c>
      <c r="B1290" s="46">
        <v>46124</v>
      </c>
      <c r="C1290" t="s">
        <v>93</v>
      </c>
      <c r="D1290" t="s">
        <v>137</v>
      </c>
      <c r="E1290" t="s">
        <v>166</v>
      </c>
      <c r="F1290" t="s">
        <v>167</v>
      </c>
      <c r="G1290">
        <v>0.27777777777777779</v>
      </c>
      <c r="H1290">
        <v>0</v>
      </c>
      <c r="J1290">
        <v>138</v>
      </c>
      <c r="K1290" t="s">
        <v>124</v>
      </c>
    </row>
    <row r="1291" spans="1:11" x14ac:dyDescent="0.35">
      <c r="A1291" t="s">
        <v>136</v>
      </c>
      <c r="B1291" s="46">
        <v>46124</v>
      </c>
      <c r="C1291" t="s">
        <v>93</v>
      </c>
      <c r="D1291" t="s">
        <v>137</v>
      </c>
      <c r="E1291" t="s">
        <v>168</v>
      </c>
      <c r="F1291" t="s">
        <v>169</v>
      </c>
      <c r="G1291">
        <v>7.7499999999999999E-2</v>
      </c>
      <c r="H1291">
        <v>0</v>
      </c>
      <c r="J1291">
        <v>45</v>
      </c>
      <c r="K1291" t="s">
        <v>124</v>
      </c>
    </row>
    <row r="1292" spans="1:11" x14ac:dyDescent="0.35">
      <c r="A1292" t="s">
        <v>136</v>
      </c>
      <c r="B1292" s="46">
        <v>46124</v>
      </c>
      <c r="C1292" t="s">
        <v>93</v>
      </c>
      <c r="D1292" t="s">
        <v>137</v>
      </c>
      <c r="E1292" t="s">
        <v>170</v>
      </c>
      <c r="F1292" t="s">
        <v>171</v>
      </c>
      <c r="G1292">
        <v>13.844444444444445</v>
      </c>
      <c r="H1292">
        <v>0</v>
      </c>
      <c r="J1292">
        <v>369</v>
      </c>
      <c r="K1292" t="s">
        <v>124</v>
      </c>
    </row>
    <row r="1293" spans="1:11" x14ac:dyDescent="0.35">
      <c r="A1293" t="s">
        <v>136</v>
      </c>
      <c r="B1293" s="46">
        <v>46124</v>
      </c>
      <c r="C1293" t="s">
        <v>93</v>
      </c>
      <c r="D1293" t="s">
        <v>137</v>
      </c>
      <c r="E1293" t="s">
        <v>174</v>
      </c>
      <c r="F1293" t="s">
        <v>175</v>
      </c>
      <c r="G1293">
        <v>0.16666666666666666</v>
      </c>
      <c r="H1293">
        <v>0</v>
      </c>
      <c r="J1293">
        <v>74</v>
      </c>
      <c r="K1293" t="s">
        <v>124</v>
      </c>
    </row>
    <row r="1294" spans="1:11" x14ac:dyDescent="0.35">
      <c r="A1294" t="s">
        <v>136</v>
      </c>
      <c r="B1294" s="46">
        <v>46124</v>
      </c>
      <c r="C1294" t="s">
        <v>93</v>
      </c>
      <c r="D1294" t="s">
        <v>137</v>
      </c>
      <c r="E1294" t="s">
        <v>176</v>
      </c>
      <c r="F1294" t="s">
        <v>177</v>
      </c>
      <c r="G1294">
        <v>1.441111111111111</v>
      </c>
      <c r="H1294">
        <v>0</v>
      </c>
      <c r="J1294">
        <v>202</v>
      </c>
      <c r="K1294" t="s">
        <v>124</v>
      </c>
    </row>
    <row r="1295" spans="1:11" x14ac:dyDescent="0.35">
      <c r="A1295" t="s">
        <v>136</v>
      </c>
      <c r="B1295" s="46">
        <v>46124</v>
      </c>
      <c r="C1295" t="s">
        <v>93</v>
      </c>
      <c r="D1295" t="s">
        <v>137</v>
      </c>
      <c r="E1295" t="s">
        <v>194</v>
      </c>
      <c r="F1295" t="s">
        <v>195</v>
      </c>
      <c r="G1295">
        <v>6.3888888888888884E-2</v>
      </c>
      <c r="H1295">
        <v>0</v>
      </c>
      <c r="J1295">
        <v>21</v>
      </c>
      <c r="K1295" t="s">
        <v>124</v>
      </c>
    </row>
    <row r="1296" spans="1:11" x14ac:dyDescent="0.35">
      <c r="A1296" t="s">
        <v>136</v>
      </c>
      <c r="B1296" s="46">
        <v>46124</v>
      </c>
      <c r="C1296" t="s">
        <v>93</v>
      </c>
      <c r="D1296" t="s">
        <v>137</v>
      </c>
      <c r="E1296" t="s">
        <v>196</v>
      </c>
      <c r="F1296" t="s">
        <v>197</v>
      </c>
      <c r="G1296">
        <v>1.1666666666666667E-2</v>
      </c>
      <c r="H1296">
        <v>0</v>
      </c>
      <c r="J1296">
        <v>41</v>
      </c>
      <c r="K1296" t="s">
        <v>124</v>
      </c>
    </row>
    <row r="1297" spans="1:11" x14ac:dyDescent="0.35">
      <c r="A1297" t="s">
        <v>136</v>
      </c>
      <c r="B1297" s="46">
        <v>46124</v>
      </c>
      <c r="C1297" t="s">
        <v>93</v>
      </c>
      <c r="D1297" t="s">
        <v>137</v>
      </c>
      <c r="E1297" t="s">
        <v>198</v>
      </c>
      <c r="F1297" t="s">
        <v>199</v>
      </c>
      <c r="G1297">
        <v>0.27638888888888891</v>
      </c>
      <c r="H1297">
        <v>0</v>
      </c>
      <c r="J1297">
        <v>160</v>
      </c>
      <c r="K1297" t="s">
        <v>124</v>
      </c>
    </row>
    <row r="1298" spans="1:11" x14ac:dyDescent="0.35">
      <c r="A1298" t="s">
        <v>136</v>
      </c>
      <c r="B1298" s="46">
        <v>46124</v>
      </c>
      <c r="C1298" t="s">
        <v>99</v>
      </c>
      <c r="D1298" t="s">
        <v>137</v>
      </c>
      <c r="E1298" t="s">
        <v>164</v>
      </c>
      <c r="F1298" t="s">
        <v>165</v>
      </c>
      <c r="G1298">
        <v>0.22166666666666668</v>
      </c>
      <c r="H1298">
        <v>0</v>
      </c>
      <c r="J1298">
        <v>272</v>
      </c>
      <c r="K1298" t="s">
        <v>124</v>
      </c>
    </row>
    <row r="1299" spans="1:11" x14ac:dyDescent="0.35">
      <c r="A1299" t="s">
        <v>136</v>
      </c>
      <c r="B1299" s="46">
        <v>46124</v>
      </c>
      <c r="C1299" t="s">
        <v>99</v>
      </c>
      <c r="D1299" t="s">
        <v>137</v>
      </c>
      <c r="E1299" t="s">
        <v>166</v>
      </c>
      <c r="F1299" t="s">
        <v>167</v>
      </c>
      <c r="G1299">
        <v>0.14583333333333334</v>
      </c>
      <c r="H1299">
        <v>0</v>
      </c>
      <c r="J1299">
        <v>98</v>
      </c>
      <c r="K1299" t="s">
        <v>124</v>
      </c>
    </row>
    <row r="1300" spans="1:11" x14ac:dyDescent="0.35">
      <c r="A1300" t="s">
        <v>136</v>
      </c>
      <c r="B1300" s="46">
        <v>46124</v>
      </c>
      <c r="C1300" t="s">
        <v>99</v>
      </c>
      <c r="D1300" t="s">
        <v>137</v>
      </c>
      <c r="E1300" t="s">
        <v>168</v>
      </c>
      <c r="F1300" t="s">
        <v>169</v>
      </c>
      <c r="G1300">
        <v>0.45333333333333331</v>
      </c>
      <c r="H1300">
        <v>0</v>
      </c>
      <c r="J1300">
        <v>56</v>
      </c>
      <c r="K1300" t="s">
        <v>124</v>
      </c>
    </row>
    <row r="1301" spans="1:11" x14ac:dyDescent="0.35">
      <c r="A1301" t="s">
        <v>136</v>
      </c>
      <c r="B1301" s="46">
        <v>46124</v>
      </c>
      <c r="C1301" t="s">
        <v>99</v>
      </c>
      <c r="D1301" t="s">
        <v>137</v>
      </c>
      <c r="E1301" t="s">
        <v>170</v>
      </c>
      <c r="F1301" t="s">
        <v>171</v>
      </c>
      <c r="G1301">
        <v>10.800555555555556</v>
      </c>
      <c r="H1301">
        <v>0</v>
      </c>
      <c r="J1301">
        <v>203</v>
      </c>
      <c r="K1301" t="s">
        <v>124</v>
      </c>
    </row>
    <row r="1302" spans="1:11" x14ac:dyDescent="0.35">
      <c r="A1302" t="s">
        <v>136</v>
      </c>
      <c r="B1302" s="46">
        <v>46124</v>
      </c>
      <c r="C1302" t="s">
        <v>99</v>
      </c>
      <c r="D1302" t="s">
        <v>137</v>
      </c>
      <c r="E1302" t="s">
        <v>190</v>
      </c>
      <c r="F1302" t="s">
        <v>191</v>
      </c>
      <c r="G1302">
        <v>0.14333333333333334</v>
      </c>
      <c r="H1302">
        <v>0</v>
      </c>
      <c r="J1302">
        <v>0</v>
      </c>
      <c r="K1302" t="s">
        <v>124</v>
      </c>
    </row>
    <row r="1303" spans="1:11" x14ac:dyDescent="0.35">
      <c r="A1303" t="s">
        <v>136</v>
      </c>
      <c r="B1303" s="46">
        <v>46124</v>
      </c>
      <c r="C1303" t="s">
        <v>99</v>
      </c>
      <c r="D1303" t="s">
        <v>137</v>
      </c>
      <c r="E1303" t="s">
        <v>184</v>
      </c>
      <c r="F1303" t="s">
        <v>185</v>
      </c>
      <c r="G1303">
        <v>9.2499999999999999E-2</v>
      </c>
      <c r="H1303">
        <v>0</v>
      </c>
      <c r="J1303">
        <v>23</v>
      </c>
      <c r="K1303" t="s">
        <v>124</v>
      </c>
    </row>
    <row r="1304" spans="1:11" x14ac:dyDescent="0.35">
      <c r="A1304" t="s">
        <v>136</v>
      </c>
      <c r="B1304" s="46">
        <v>46124</v>
      </c>
      <c r="C1304" t="s">
        <v>99</v>
      </c>
      <c r="D1304" t="s">
        <v>137</v>
      </c>
      <c r="E1304" t="s">
        <v>144</v>
      </c>
      <c r="F1304" t="s">
        <v>145</v>
      </c>
      <c r="G1304">
        <v>0.46277777777777779</v>
      </c>
      <c r="H1304">
        <v>0</v>
      </c>
      <c r="J1304">
        <v>325</v>
      </c>
      <c r="K1304" t="s">
        <v>124</v>
      </c>
    </row>
    <row r="1305" spans="1:11" x14ac:dyDescent="0.35">
      <c r="A1305" t="s">
        <v>136</v>
      </c>
      <c r="B1305" s="46">
        <v>46124</v>
      </c>
      <c r="C1305" t="s">
        <v>99</v>
      </c>
      <c r="D1305" t="s">
        <v>137</v>
      </c>
      <c r="E1305" t="s">
        <v>172</v>
      </c>
      <c r="F1305" t="s">
        <v>173</v>
      </c>
      <c r="G1305">
        <v>0.45861111111111114</v>
      </c>
      <c r="H1305">
        <v>0</v>
      </c>
      <c r="J1305">
        <v>112</v>
      </c>
      <c r="K1305" t="s">
        <v>124</v>
      </c>
    </row>
    <row r="1306" spans="1:11" x14ac:dyDescent="0.35">
      <c r="A1306" t="s">
        <v>136</v>
      </c>
      <c r="B1306" s="46">
        <v>46124</v>
      </c>
      <c r="C1306" t="s">
        <v>99</v>
      </c>
      <c r="D1306" t="s">
        <v>137</v>
      </c>
      <c r="E1306" t="s">
        <v>174</v>
      </c>
      <c r="F1306" t="s">
        <v>175</v>
      </c>
      <c r="G1306">
        <v>0.13305555555555557</v>
      </c>
      <c r="H1306">
        <v>0</v>
      </c>
      <c r="J1306">
        <v>71</v>
      </c>
      <c r="K1306" t="s">
        <v>124</v>
      </c>
    </row>
    <row r="1307" spans="1:11" x14ac:dyDescent="0.35">
      <c r="A1307" t="s">
        <v>136</v>
      </c>
      <c r="B1307" s="46">
        <v>46124</v>
      </c>
      <c r="C1307" t="s">
        <v>99</v>
      </c>
      <c r="D1307" t="s">
        <v>137</v>
      </c>
      <c r="E1307" t="s">
        <v>176</v>
      </c>
      <c r="F1307" t="s">
        <v>177</v>
      </c>
      <c r="G1307">
        <v>0.1763888888888889</v>
      </c>
      <c r="H1307">
        <v>0</v>
      </c>
      <c r="J1307">
        <v>8</v>
      </c>
      <c r="K1307" t="s">
        <v>124</v>
      </c>
    </row>
    <row r="1308" spans="1:11" x14ac:dyDescent="0.35">
      <c r="A1308" t="s">
        <v>136</v>
      </c>
      <c r="B1308" s="46">
        <v>46124</v>
      </c>
      <c r="C1308" t="s">
        <v>99</v>
      </c>
      <c r="D1308" t="s">
        <v>137</v>
      </c>
      <c r="E1308" t="s">
        <v>194</v>
      </c>
      <c r="F1308" t="s">
        <v>195</v>
      </c>
      <c r="G1308">
        <v>0.37805555555555553</v>
      </c>
      <c r="H1308">
        <v>0</v>
      </c>
      <c r="J1308">
        <v>159</v>
      </c>
      <c r="K1308" t="s">
        <v>124</v>
      </c>
    </row>
    <row r="1309" spans="1:11" x14ac:dyDescent="0.35">
      <c r="A1309" t="s">
        <v>136</v>
      </c>
      <c r="B1309" s="46">
        <v>46124</v>
      </c>
      <c r="C1309" t="s">
        <v>99</v>
      </c>
      <c r="D1309" t="s">
        <v>137</v>
      </c>
      <c r="E1309" t="s">
        <v>196</v>
      </c>
      <c r="F1309" t="s">
        <v>197</v>
      </c>
      <c r="G1309">
        <v>0.11611111111111111</v>
      </c>
      <c r="H1309">
        <v>0</v>
      </c>
      <c r="J1309">
        <v>180</v>
      </c>
      <c r="K1309" t="s">
        <v>124</v>
      </c>
    </row>
    <row r="1310" spans="1:11" x14ac:dyDescent="0.35">
      <c r="A1310" t="s">
        <v>136</v>
      </c>
      <c r="B1310" s="46">
        <v>46124</v>
      </c>
      <c r="C1310" t="s">
        <v>99</v>
      </c>
      <c r="D1310" t="s">
        <v>137</v>
      </c>
      <c r="E1310" t="s">
        <v>198</v>
      </c>
      <c r="F1310" t="s">
        <v>199</v>
      </c>
      <c r="G1310">
        <v>0.48638888888888887</v>
      </c>
      <c r="H1310">
        <v>0</v>
      </c>
      <c r="J1310">
        <v>620</v>
      </c>
      <c r="K1310" t="s">
        <v>124</v>
      </c>
    </row>
    <row r="1311" spans="1:11" x14ac:dyDescent="0.35">
      <c r="A1311" t="s">
        <v>136</v>
      </c>
      <c r="B1311" s="46">
        <v>46124</v>
      </c>
      <c r="C1311" t="s">
        <v>98</v>
      </c>
      <c r="D1311" t="s">
        <v>137</v>
      </c>
      <c r="E1311" t="s">
        <v>164</v>
      </c>
      <c r="F1311" t="s">
        <v>165</v>
      </c>
      <c r="G1311">
        <v>0.36249999999999999</v>
      </c>
      <c r="H1311">
        <v>0</v>
      </c>
      <c r="J1311">
        <v>133</v>
      </c>
      <c r="K1311" t="s">
        <v>124</v>
      </c>
    </row>
    <row r="1312" spans="1:11" x14ac:dyDescent="0.35">
      <c r="A1312" t="s">
        <v>136</v>
      </c>
      <c r="B1312" s="46">
        <v>46124</v>
      </c>
      <c r="C1312" t="s">
        <v>98</v>
      </c>
      <c r="D1312" t="s">
        <v>137</v>
      </c>
      <c r="E1312" t="s">
        <v>166</v>
      </c>
      <c r="F1312" t="s">
        <v>167</v>
      </c>
      <c r="G1312">
        <v>1.9341666666666666</v>
      </c>
      <c r="H1312">
        <v>0</v>
      </c>
      <c r="J1312">
        <v>131</v>
      </c>
      <c r="K1312" t="s">
        <v>124</v>
      </c>
    </row>
    <row r="1313" spans="1:11" x14ac:dyDescent="0.35">
      <c r="A1313" t="s">
        <v>136</v>
      </c>
      <c r="B1313" s="46">
        <v>46124</v>
      </c>
      <c r="C1313" t="s">
        <v>98</v>
      </c>
      <c r="D1313" t="s">
        <v>137</v>
      </c>
      <c r="E1313" t="s">
        <v>204</v>
      </c>
      <c r="F1313" t="s">
        <v>205</v>
      </c>
      <c r="G1313">
        <v>2.9505555555555554</v>
      </c>
      <c r="H1313">
        <v>0</v>
      </c>
      <c r="J1313">
        <v>281</v>
      </c>
      <c r="K1313" t="s">
        <v>124</v>
      </c>
    </row>
    <row r="1314" spans="1:11" x14ac:dyDescent="0.35">
      <c r="A1314" t="s">
        <v>136</v>
      </c>
      <c r="B1314" s="46">
        <v>46124</v>
      </c>
      <c r="C1314" t="s">
        <v>98</v>
      </c>
      <c r="D1314" t="s">
        <v>137</v>
      </c>
      <c r="E1314" t="s">
        <v>168</v>
      </c>
      <c r="F1314" t="s">
        <v>169</v>
      </c>
      <c r="G1314">
        <v>0.13138888888888889</v>
      </c>
      <c r="H1314">
        <v>0</v>
      </c>
      <c r="J1314">
        <v>40</v>
      </c>
      <c r="K1314" t="s">
        <v>124</v>
      </c>
    </row>
    <row r="1315" spans="1:11" x14ac:dyDescent="0.35">
      <c r="A1315" t="s">
        <v>136</v>
      </c>
      <c r="B1315" s="46">
        <v>46124</v>
      </c>
      <c r="C1315" t="s">
        <v>98</v>
      </c>
      <c r="D1315" t="s">
        <v>137</v>
      </c>
      <c r="E1315" t="s">
        <v>170</v>
      </c>
      <c r="F1315" t="s">
        <v>171</v>
      </c>
      <c r="G1315">
        <v>3.973611111111111</v>
      </c>
      <c r="H1315">
        <v>0</v>
      </c>
      <c r="J1315">
        <v>348</v>
      </c>
      <c r="K1315" t="s">
        <v>124</v>
      </c>
    </row>
    <row r="1316" spans="1:11" x14ac:dyDescent="0.35">
      <c r="A1316" t="s">
        <v>136</v>
      </c>
      <c r="B1316" s="46">
        <v>46124</v>
      </c>
      <c r="C1316" t="s">
        <v>98</v>
      </c>
      <c r="D1316" t="s">
        <v>137</v>
      </c>
      <c r="E1316" t="s">
        <v>184</v>
      </c>
      <c r="F1316" t="s">
        <v>185</v>
      </c>
      <c r="G1316">
        <v>0.12944444444444445</v>
      </c>
      <c r="H1316">
        <v>0</v>
      </c>
      <c r="J1316">
        <v>57</v>
      </c>
      <c r="K1316" t="s">
        <v>124</v>
      </c>
    </row>
    <row r="1317" spans="1:11" x14ac:dyDescent="0.35">
      <c r="A1317" t="s">
        <v>136</v>
      </c>
      <c r="B1317" s="46">
        <v>46124</v>
      </c>
      <c r="C1317" t="s">
        <v>98</v>
      </c>
      <c r="D1317" t="s">
        <v>137</v>
      </c>
      <c r="E1317" t="s">
        <v>182</v>
      </c>
      <c r="F1317" t="s">
        <v>183</v>
      </c>
      <c r="G1317">
        <v>0.49888888888888888</v>
      </c>
      <c r="H1317">
        <v>0</v>
      </c>
      <c r="J1317">
        <v>169</v>
      </c>
      <c r="K1317" t="s">
        <v>124</v>
      </c>
    </row>
    <row r="1318" spans="1:11" x14ac:dyDescent="0.35">
      <c r="A1318" t="s">
        <v>136</v>
      </c>
      <c r="B1318" s="46">
        <v>46124</v>
      </c>
      <c r="C1318" t="s">
        <v>98</v>
      </c>
      <c r="D1318" t="s">
        <v>137</v>
      </c>
      <c r="E1318" t="s">
        <v>176</v>
      </c>
      <c r="F1318" t="s">
        <v>177</v>
      </c>
      <c r="G1318">
        <v>1.2594444444444444</v>
      </c>
      <c r="H1318">
        <v>0</v>
      </c>
      <c r="J1318">
        <v>205</v>
      </c>
      <c r="K1318" t="s">
        <v>124</v>
      </c>
    </row>
    <row r="1319" spans="1:11" x14ac:dyDescent="0.35">
      <c r="A1319" t="s">
        <v>136</v>
      </c>
      <c r="B1319" s="46">
        <v>46124</v>
      </c>
      <c r="C1319" t="s">
        <v>98</v>
      </c>
      <c r="D1319" t="s">
        <v>137</v>
      </c>
      <c r="E1319" t="s">
        <v>178</v>
      </c>
      <c r="F1319" t="s">
        <v>179</v>
      </c>
      <c r="G1319">
        <v>7.2777777777777775E-2</v>
      </c>
      <c r="H1319">
        <v>0</v>
      </c>
      <c r="J1319">
        <v>55</v>
      </c>
      <c r="K1319" t="s">
        <v>124</v>
      </c>
    </row>
    <row r="1320" spans="1:11" x14ac:dyDescent="0.35">
      <c r="A1320" t="s">
        <v>136</v>
      </c>
      <c r="B1320" s="46">
        <v>46124</v>
      </c>
      <c r="C1320" t="s">
        <v>98</v>
      </c>
      <c r="D1320" t="s">
        <v>137</v>
      </c>
      <c r="E1320" t="s">
        <v>194</v>
      </c>
      <c r="F1320" t="s">
        <v>195</v>
      </c>
      <c r="G1320">
        <v>0.21833333333333332</v>
      </c>
      <c r="H1320">
        <v>0</v>
      </c>
      <c r="J1320">
        <v>106</v>
      </c>
      <c r="K1320" t="s">
        <v>124</v>
      </c>
    </row>
    <row r="1321" spans="1:11" x14ac:dyDescent="0.35">
      <c r="A1321" t="s">
        <v>136</v>
      </c>
      <c r="B1321" s="46">
        <v>46124</v>
      </c>
      <c r="C1321" t="s">
        <v>98</v>
      </c>
      <c r="D1321" t="s">
        <v>137</v>
      </c>
      <c r="E1321" t="s">
        <v>196</v>
      </c>
      <c r="F1321" t="s">
        <v>197</v>
      </c>
      <c r="G1321">
        <v>0.68638888888888894</v>
      </c>
      <c r="H1321">
        <v>0</v>
      </c>
      <c r="J1321">
        <v>242</v>
      </c>
      <c r="K1321" t="s">
        <v>124</v>
      </c>
    </row>
    <row r="1322" spans="1:11" x14ac:dyDescent="0.35">
      <c r="A1322" t="s">
        <v>136</v>
      </c>
      <c r="B1322" s="46">
        <v>46124</v>
      </c>
      <c r="C1322" t="s">
        <v>98</v>
      </c>
      <c r="D1322" t="s">
        <v>137</v>
      </c>
      <c r="E1322" t="s">
        <v>198</v>
      </c>
      <c r="F1322" t="s">
        <v>199</v>
      </c>
      <c r="G1322">
        <v>1.7419444444444445</v>
      </c>
      <c r="H1322">
        <v>0</v>
      </c>
      <c r="J1322">
        <v>700</v>
      </c>
      <c r="K1322" t="s">
        <v>124</v>
      </c>
    </row>
    <row r="1323" spans="1:11" x14ac:dyDescent="0.35">
      <c r="A1323" t="s">
        <v>136</v>
      </c>
      <c r="B1323" s="46">
        <v>46124</v>
      </c>
      <c r="C1323" t="s">
        <v>97</v>
      </c>
      <c r="D1323" t="s">
        <v>137</v>
      </c>
      <c r="E1323" t="s">
        <v>164</v>
      </c>
      <c r="F1323" t="s">
        <v>165</v>
      </c>
      <c r="G1323">
        <v>0.27166666666666667</v>
      </c>
      <c r="H1323">
        <v>0</v>
      </c>
      <c r="J1323">
        <v>47</v>
      </c>
      <c r="K1323" t="s">
        <v>124</v>
      </c>
    </row>
    <row r="1324" spans="1:11" x14ac:dyDescent="0.35">
      <c r="A1324" t="s">
        <v>136</v>
      </c>
      <c r="B1324" s="46">
        <v>46124</v>
      </c>
      <c r="C1324" t="s">
        <v>97</v>
      </c>
      <c r="D1324" t="s">
        <v>137</v>
      </c>
      <c r="E1324" t="s">
        <v>168</v>
      </c>
      <c r="F1324" t="s">
        <v>169</v>
      </c>
      <c r="G1324">
        <v>7.5555555555555556E-2</v>
      </c>
      <c r="H1324">
        <v>0</v>
      </c>
      <c r="J1324">
        <v>37</v>
      </c>
      <c r="K1324" t="s">
        <v>124</v>
      </c>
    </row>
    <row r="1325" spans="1:11" x14ac:dyDescent="0.35">
      <c r="A1325" t="s">
        <v>136</v>
      </c>
      <c r="B1325" s="46">
        <v>46124</v>
      </c>
      <c r="C1325" t="s">
        <v>97</v>
      </c>
      <c r="D1325" t="s">
        <v>137</v>
      </c>
      <c r="E1325" t="s">
        <v>190</v>
      </c>
      <c r="F1325" t="s">
        <v>191</v>
      </c>
      <c r="G1325">
        <v>2.6497222222222221</v>
      </c>
      <c r="H1325">
        <v>0</v>
      </c>
      <c r="J1325">
        <v>96</v>
      </c>
      <c r="K1325" t="s">
        <v>124</v>
      </c>
    </row>
    <row r="1326" spans="1:11" x14ac:dyDescent="0.35">
      <c r="A1326" t="s">
        <v>136</v>
      </c>
      <c r="B1326" s="46">
        <v>46124</v>
      </c>
      <c r="C1326" t="s">
        <v>97</v>
      </c>
      <c r="D1326" t="s">
        <v>137</v>
      </c>
      <c r="E1326" t="s">
        <v>172</v>
      </c>
      <c r="F1326" t="s">
        <v>173</v>
      </c>
      <c r="G1326">
        <v>0.21277777777777779</v>
      </c>
      <c r="H1326">
        <v>0</v>
      </c>
      <c r="J1326">
        <v>72</v>
      </c>
      <c r="K1326" t="s">
        <v>124</v>
      </c>
    </row>
    <row r="1327" spans="1:11" x14ac:dyDescent="0.35">
      <c r="A1327" t="s">
        <v>136</v>
      </c>
      <c r="B1327" s="46">
        <v>46124</v>
      </c>
      <c r="C1327" t="s">
        <v>97</v>
      </c>
      <c r="D1327" t="s">
        <v>137</v>
      </c>
      <c r="E1327" t="s">
        <v>176</v>
      </c>
      <c r="F1327" t="s">
        <v>177</v>
      </c>
      <c r="G1327">
        <v>0.28916666666666668</v>
      </c>
      <c r="H1327">
        <v>0</v>
      </c>
      <c r="J1327">
        <v>175</v>
      </c>
      <c r="K1327" t="s">
        <v>124</v>
      </c>
    </row>
    <row r="1328" spans="1:11" x14ac:dyDescent="0.35">
      <c r="A1328" t="s">
        <v>136</v>
      </c>
      <c r="B1328" s="46">
        <v>46124</v>
      </c>
      <c r="C1328" t="s">
        <v>97</v>
      </c>
      <c r="D1328" t="s">
        <v>137</v>
      </c>
      <c r="E1328" t="s">
        <v>178</v>
      </c>
      <c r="F1328" t="s">
        <v>179</v>
      </c>
      <c r="G1328">
        <v>0.62694444444444442</v>
      </c>
      <c r="H1328">
        <v>0</v>
      </c>
      <c r="J1328">
        <v>70</v>
      </c>
      <c r="K1328" t="s">
        <v>124</v>
      </c>
    </row>
    <row r="1329" spans="1:11" x14ac:dyDescent="0.35">
      <c r="A1329" t="s">
        <v>136</v>
      </c>
      <c r="B1329" s="46">
        <v>46124</v>
      </c>
      <c r="C1329" t="s">
        <v>97</v>
      </c>
      <c r="D1329" t="s">
        <v>137</v>
      </c>
      <c r="E1329" t="s">
        <v>194</v>
      </c>
      <c r="F1329" t="s">
        <v>195</v>
      </c>
      <c r="G1329">
        <v>2.1666666666666667E-2</v>
      </c>
      <c r="H1329">
        <v>0</v>
      </c>
      <c r="J1329">
        <v>78</v>
      </c>
      <c r="K1329" t="s">
        <v>124</v>
      </c>
    </row>
    <row r="1330" spans="1:11" x14ac:dyDescent="0.35">
      <c r="A1330" t="s">
        <v>136</v>
      </c>
      <c r="B1330" s="46">
        <v>46124</v>
      </c>
      <c r="C1330" t="s">
        <v>97</v>
      </c>
      <c r="D1330" t="s">
        <v>137</v>
      </c>
      <c r="E1330" t="s">
        <v>152</v>
      </c>
      <c r="F1330" t="s">
        <v>153</v>
      </c>
      <c r="G1330">
        <v>8.2222222222222224E-2</v>
      </c>
      <c r="H1330">
        <v>0</v>
      </c>
      <c r="J1330">
        <v>0</v>
      </c>
      <c r="K1330" t="s">
        <v>124</v>
      </c>
    </row>
    <row r="1331" spans="1:11" x14ac:dyDescent="0.35">
      <c r="A1331" t="s">
        <v>136</v>
      </c>
      <c r="B1331" s="46">
        <v>46124</v>
      </c>
      <c r="C1331" t="s">
        <v>97</v>
      </c>
      <c r="D1331" t="s">
        <v>137</v>
      </c>
      <c r="E1331" t="s">
        <v>196</v>
      </c>
      <c r="F1331" t="s">
        <v>197</v>
      </c>
      <c r="G1331">
        <v>2.5000000000000001E-2</v>
      </c>
      <c r="H1331">
        <v>0</v>
      </c>
      <c r="J1331">
        <v>53</v>
      </c>
      <c r="K1331" t="s">
        <v>124</v>
      </c>
    </row>
    <row r="1332" spans="1:11" x14ac:dyDescent="0.35">
      <c r="A1332" t="s">
        <v>136</v>
      </c>
      <c r="B1332" s="46">
        <v>46124</v>
      </c>
      <c r="C1332" t="s">
        <v>97</v>
      </c>
      <c r="D1332" t="s">
        <v>137</v>
      </c>
      <c r="E1332" t="s">
        <v>198</v>
      </c>
      <c r="F1332" t="s">
        <v>199</v>
      </c>
      <c r="G1332">
        <v>1.2438888888888888</v>
      </c>
      <c r="H1332">
        <v>0</v>
      </c>
      <c r="J1332">
        <v>143</v>
      </c>
      <c r="K1332" t="s">
        <v>124</v>
      </c>
    </row>
    <row r="1333" spans="1:11" x14ac:dyDescent="0.35">
      <c r="A1333" t="s">
        <v>136</v>
      </c>
      <c r="B1333" s="46">
        <v>46124</v>
      </c>
      <c r="C1333" t="s">
        <v>84</v>
      </c>
      <c r="D1333" t="s">
        <v>137</v>
      </c>
      <c r="E1333" t="s">
        <v>164</v>
      </c>
      <c r="F1333" t="s">
        <v>165</v>
      </c>
      <c r="G1333">
        <v>0.31972222222222224</v>
      </c>
      <c r="H1333">
        <v>0</v>
      </c>
      <c r="J1333">
        <v>136</v>
      </c>
      <c r="K1333" t="s">
        <v>124</v>
      </c>
    </row>
    <row r="1334" spans="1:11" x14ac:dyDescent="0.35">
      <c r="A1334" t="s">
        <v>136</v>
      </c>
      <c r="B1334" s="46">
        <v>46124</v>
      </c>
      <c r="C1334" t="s">
        <v>84</v>
      </c>
      <c r="D1334" t="s">
        <v>137</v>
      </c>
      <c r="E1334" t="s">
        <v>166</v>
      </c>
      <c r="F1334" t="s">
        <v>167</v>
      </c>
      <c r="G1334">
        <v>1.0716666666666668</v>
      </c>
      <c r="H1334">
        <v>0</v>
      </c>
      <c r="J1334">
        <v>31</v>
      </c>
      <c r="K1334" t="s">
        <v>124</v>
      </c>
    </row>
    <row r="1335" spans="1:11" x14ac:dyDescent="0.35">
      <c r="A1335" t="s">
        <v>136</v>
      </c>
      <c r="B1335" s="46">
        <v>46124</v>
      </c>
      <c r="C1335" t="s">
        <v>84</v>
      </c>
      <c r="D1335" t="s">
        <v>137</v>
      </c>
      <c r="E1335" t="s">
        <v>168</v>
      </c>
      <c r="F1335" t="s">
        <v>169</v>
      </c>
      <c r="G1335">
        <v>0.38972222222222225</v>
      </c>
      <c r="H1335">
        <v>0</v>
      </c>
      <c r="J1335">
        <v>167</v>
      </c>
      <c r="K1335" t="s">
        <v>124</v>
      </c>
    </row>
    <row r="1336" spans="1:11" x14ac:dyDescent="0.35">
      <c r="A1336" t="s">
        <v>136</v>
      </c>
      <c r="B1336" s="46">
        <v>46124</v>
      </c>
      <c r="C1336" t="s">
        <v>84</v>
      </c>
      <c r="D1336" t="s">
        <v>137</v>
      </c>
      <c r="E1336" t="s">
        <v>170</v>
      </c>
      <c r="F1336" t="s">
        <v>171</v>
      </c>
      <c r="G1336">
        <v>8.1658333333333335</v>
      </c>
      <c r="H1336">
        <v>0</v>
      </c>
      <c r="J1336">
        <v>511</v>
      </c>
      <c r="K1336" t="s">
        <v>124</v>
      </c>
    </row>
    <row r="1337" spans="1:11" x14ac:dyDescent="0.35">
      <c r="A1337" t="s">
        <v>136</v>
      </c>
      <c r="B1337" s="46">
        <v>46124</v>
      </c>
      <c r="C1337" t="s">
        <v>84</v>
      </c>
      <c r="D1337" t="s">
        <v>137</v>
      </c>
      <c r="E1337" t="s">
        <v>182</v>
      </c>
      <c r="F1337" t="s">
        <v>183</v>
      </c>
      <c r="G1337">
        <v>0.17666666666666667</v>
      </c>
      <c r="H1337">
        <v>0</v>
      </c>
      <c r="J1337">
        <v>91</v>
      </c>
      <c r="K1337" t="s">
        <v>124</v>
      </c>
    </row>
    <row r="1338" spans="1:11" x14ac:dyDescent="0.35">
      <c r="A1338" t="s">
        <v>136</v>
      </c>
      <c r="B1338" s="46">
        <v>46124</v>
      </c>
      <c r="C1338" t="s">
        <v>84</v>
      </c>
      <c r="D1338" t="s">
        <v>137</v>
      </c>
      <c r="E1338" t="s">
        <v>176</v>
      </c>
      <c r="F1338" t="s">
        <v>177</v>
      </c>
      <c r="G1338">
        <v>0.33055555555555555</v>
      </c>
      <c r="H1338">
        <v>0</v>
      </c>
      <c r="J1338">
        <v>244</v>
      </c>
      <c r="K1338" t="s">
        <v>124</v>
      </c>
    </row>
    <row r="1339" spans="1:11" x14ac:dyDescent="0.35">
      <c r="A1339" t="s">
        <v>136</v>
      </c>
      <c r="B1339" s="46">
        <v>46124</v>
      </c>
      <c r="C1339" t="s">
        <v>84</v>
      </c>
      <c r="D1339" t="s">
        <v>137</v>
      </c>
      <c r="E1339" t="s">
        <v>178</v>
      </c>
      <c r="F1339" t="s">
        <v>179</v>
      </c>
      <c r="G1339">
        <v>0.34138888888888891</v>
      </c>
      <c r="H1339">
        <v>0</v>
      </c>
      <c r="J1339">
        <v>96</v>
      </c>
      <c r="K1339" t="s">
        <v>124</v>
      </c>
    </row>
    <row r="1340" spans="1:11" x14ac:dyDescent="0.35">
      <c r="A1340" t="s">
        <v>136</v>
      </c>
      <c r="B1340" s="46">
        <v>46124</v>
      </c>
      <c r="C1340" t="s">
        <v>84</v>
      </c>
      <c r="D1340" t="s">
        <v>137</v>
      </c>
      <c r="E1340" t="s">
        <v>194</v>
      </c>
      <c r="F1340" t="s">
        <v>195</v>
      </c>
      <c r="G1340">
        <v>2.4444444444444446E-2</v>
      </c>
      <c r="H1340">
        <v>0</v>
      </c>
      <c r="J1340">
        <v>64</v>
      </c>
      <c r="K1340" t="s">
        <v>124</v>
      </c>
    </row>
    <row r="1341" spans="1:11" x14ac:dyDescent="0.35">
      <c r="A1341" t="s">
        <v>136</v>
      </c>
      <c r="B1341" s="46">
        <v>46124</v>
      </c>
      <c r="C1341" t="s">
        <v>84</v>
      </c>
      <c r="D1341" t="s">
        <v>137</v>
      </c>
      <c r="E1341" t="s">
        <v>196</v>
      </c>
      <c r="F1341" t="s">
        <v>197</v>
      </c>
      <c r="G1341">
        <v>0.12416666666666666</v>
      </c>
      <c r="H1341">
        <v>0</v>
      </c>
      <c r="J1341">
        <v>114</v>
      </c>
      <c r="K1341" t="s">
        <v>124</v>
      </c>
    </row>
    <row r="1342" spans="1:11" x14ac:dyDescent="0.35">
      <c r="A1342" t="s">
        <v>136</v>
      </c>
      <c r="B1342" s="46">
        <v>46124</v>
      </c>
      <c r="C1342" t="s">
        <v>84</v>
      </c>
      <c r="D1342" t="s">
        <v>137</v>
      </c>
      <c r="E1342" t="s">
        <v>198</v>
      </c>
      <c r="F1342" t="s">
        <v>199</v>
      </c>
      <c r="G1342">
        <v>1.0591666666666666</v>
      </c>
      <c r="H1342">
        <v>0</v>
      </c>
      <c r="J1342">
        <v>675</v>
      </c>
      <c r="K1342" t="s">
        <v>124</v>
      </c>
    </row>
    <row r="1343" spans="1:11" x14ac:dyDescent="0.35">
      <c r="A1343" t="s">
        <v>136</v>
      </c>
      <c r="B1343" s="46">
        <v>46124</v>
      </c>
      <c r="C1343" t="s">
        <v>106</v>
      </c>
      <c r="D1343" t="s">
        <v>137</v>
      </c>
      <c r="E1343" t="s">
        <v>180</v>
      </c>
      <c r="F1343" t="s">
        <v>181</v>
      </c>
      <c r="G1343">
        <v>6.9166666666666668E-2</v>
      </c>
      <c r="H1343">
        <v>0</v>
      </c>
      <c r="J1343">
        <v>33</v>
      </c>
      <c r="K1343" t="s">
        <v>124</v>
      </c>
    </row>
    <row r="1344" spans="1:11" x14ac:dyDescent="0.35">
      <c r="A1344" t="s">
        <v>136</v>
      </c>
      <c r="B1344" s="46">
        <v>46124</v>
      </c>
      <c r="C1344" t="s">
        <v>106</v>
      </c>
      <c r="D1344" t="s">
        <v>137</v>
      </c>
      <c r="E1344" t="s">
        <v>164</v>
      </c>
      <c r="F1344" t="s">
        <v>165</v>
      </c>
      <c r="G1344">
        <v>0.26138888888888889</v>
      </c>
      <c r="H1344">
        <v>0</v>
      </c>
      <c r="J1344">
        <v>33</v>
      </c>
      <c r="K1344" t="s">
        <v>124</v>
      </c>
    </row>
    <row r="1345" spans="1:11" x14ac:dyDescent="0.35">
      <c r="A1345" t="s">
        <v>136</v>
      </c>
      <c r="B1345" s="46">
        <v>46124</v>
      </c>
      <c r="C1345" t="s">
        <v>106</v>
      </c>
      <c r="D1345" t="s">
        <v>137</v>
      </c>
      <c r="E1345" t="s">
        <v>166</v>
      </c>
      <c r="F1345" t="s">
        <v>167</v>
      </c>
      <c r="G1345">
        <v>0.23583333333333334</v>
      </c>
      <c r="H1345">
        <v>0</v>
      </c>
      <c r="J1345">
        <v>135</v>
      </c>
      <c r="K1345" t="s">
        <v>124</v>
      </c>
    </row>
    <row r="1346" spans="1:11" x14ac:dyDescent="0.35">
      <c r="A1346" t="s">
        <v>136</v>
      </c>
      <c r="B1346" s="46">
        <v>46124</v>
      </c>
      <c r="C1346" t="s">
        <v>106</v>
      </c>
      <c r="D1346" t="s">
        <v>137</v>
      </c>
      <c r="E1346" t="s">
        <v>168</v>
      </c>
      <c r="F1346" t="s">
        <v>169</v>
      </c>
      <c r="G1346">
        <v>0.43777777777777777</v>
      </c>
      <c r="H1346">
        <v>0</v>
      </c>
      <c r="J1346">
        <v>165</v>
      </c>
      <c r="K1346" t="s">
        <v>124</v>
      </c>
    </row>
    <row r="1347" spans="1:11" x14ac:dyDescent="0.35">
      <c r="A1347" t="s">
        <v>136</v>
      </c>
      <c r="B1347" s="46">
        <v>46124</v>
      </c>
      <c r="C1347" t="s">
        <v>106</v>
      </c>
      <c r="D1347" t="s">
        <v>137</v>
      </c>
      <c r="E1347" t="s">
        <v>170</v>
      </c>
      <c r="F1347" t="s">
        <v>171</v>
      </c>
      <c r="G1347">
        <v>3.5144444444444445</v>
      </c>
      <c r="H1347">
        <v>0</v>
      </c>
      <c r="J1347">
        <v>62</v>
      </c>
      <c r="K1347" t="s">
        <v>124</v>
      </c>
    </row>
    <row r="1348" spans="1:11" x14ac:dyDescent="0.35">
      <c r="A1348" t="s">
        <v>136</v>
      </c>
      <c r="B1348" s="46">
        <v>46124</v>
      </c>
      <c r="C1348" t="s">
        <v>106</v>
      </c>
      <c r="D1348" t="s">
        <v>137</v>
      </c>
      <c r="E1348" t="s">
        <v>409</v>
      </c>
      <c r="F1348" t="s">
        <v>410</v>
      </c>
      <c r="G1348">
        <v>0.55861111111111106</v>
      </c>
      <c r="H1348">
        <v>0</v>
      </c>
      <c r="J1348">
        <v>183</v>
      </c>
      <c r="K1348" t="s">
        <v>124</v>
      </c>
    </row>
    <row r="1349" spans="1:11" x14ac:dyDescent="0.35">
      <c r="A1349" t="s">
        <v>136</v>
      </c>
      <c r="B1349" s="46">
        <v>46124</v>
      </c>
      <c r="C1349" t="s">
        <v>106</v>
      </c>
      <c r="D1349" t="s">
        <v>137</v>
      </c>
      <c r="E1349" t="s">
        <v>172</v>
      </c>
      <c r="F1349" t="s">
        <v>173</v>
      </c>
      <c r="G1349">
        <v>0.60583333333333333</v>
      </c>
      <c r="H1349">
        <v>0</v>
      </c>
      <c r="J1349">
        <v>216</v>
      </c>
      <c r="K1349" t="s">
        <v>124</v>
      </c>
    </row>
    <row r="1350" spans="1:11" x14ac:dyDescent="0.35">
      <c r="A1350" t="s">
        <v>136</v>
      </c>
      <c r="B1350" s="46">
        <v>46124</v>
      </c>
      <c r="C1350" t="s">
        <v>106</v>
      </c>
      <c r="D1350" t="s">
        <v>137</v>
      </c>
      <c r="E1350" t="s">
        <v>176</v>
      </c>
      <c r="F1350" t="s">
        <v>177</v>
      </c>
      <c r="G1350">
        <v>0.61166666666666669</v>
      </c>
      <c r="H1350">
        <v>0</v>
      </c>
      <c r="J1350">
        <v>135</v>
      </c>
      <c r="K1350" t="s">
        <v>124</v>
      </c>
    </row>
    <row r="1351" spans="1:11" x14ac:dyDescent="0.35">
      <c r="A1351" t="s">
        <v>136</v>
      </c>
      <c r="B1351" s="46">
        <v>46124</v>
      </c>
      <c r="C1351" t="s">
        <v>106</v>
      </c>
      <c r="D1351" t="s">
        <v>137</v>
      </c>
      <c r="E1351" t="s">
        <v>194</v>
      </c>
      <c r="F1351" t="s">
        <v>195</v>
      </c>
      <c r="G1351">
        <v>0.14194444444444446</v>
      </c>
      <c r="H1351">
        <v>0</v>
      </c>
      <c r="J1351">
        <v>54</v>
      </c>
      <c r="K1351" t="s">
        <v>124</v>
      </c>
    </row>
    <row r="1352" spans="1:11" x14ac:dyDescent="0.35">
      <c r="A1352" t="s">
        <v>136</v>
      </c>
      <c r="B1352" s="46">
        <v>46124</v>
      </c>
      <c r="C1352" t="s">
        <v>106</v>
      </c>
      <c r="D1352" t="s">
        <v>137</v>
      </c>
      <c r="E1352" t="s">
        <v>196</v>
      </c>
      <c r="F1352" t="s">
        <v>197</v>
      </c>
      <c r="G1352">
        <v>0.67</v>
      </c>
      <c r="H1352">
        <v>0</v>
      </c>
      <c r="J1352">
        <v>214</v>
      </c>
      <c r="K1352" t="s">
        <v>124</v>
      </c>
    </row>
    <row r="1353" spans="1:11" x14ac:dyDescent="0.35">
      <c r="A1353" t="s">
        <v>136</v>
      </c>
      <c r="B1353" s="46">
        <v>46124</v>
      </c>
      <c r="C1353" t="s">
        <v>106</v>
      </c>
      <c r="D1353" t="s">
        <v>137</v>
      </c>
      <c r="E1353" t="s">
        <v>198</v>
      </c>
      <c r="F1353" t="s">
        <v>199</v>
      </c>
      <c r="G1353">
        <v>1.1652777777777779</v>
      </c>
      <c r="H1353">
        <v>0</v>
      </c>
      <c r="J1353">
        <v>1024</v>
      </c>
      <c r="K1353" t="s">
        <v>124</v>
      </c>
    </row>
    <row r="1354" spans="1:11" x14ac:dyDescent="0.35">
      <c r="A1354" t="s">
        <v>136</v>
      </c>
      <c r="B1354" s="46">
        <v>46124</v>
      </c>
      <c r="C1354" t="s">
        <v>85</v>
      </c>
      <c r="D1354" t="s">
        <v>137</v>
      </c>
      <c r="E1354" t="s">
        <v>164</v>
      </c>
      <c r="F1354" t="s">
        <v>165</v>
      </c>
      <c r="G1354">
        <v>6.0555555555555557E-2</v>
      </c>
      <c r="H1354">
        <v>0</v>
      </c>
      <c r="J1354">
        <v>51</v>
      </c>
      <c r="K1354" t="s">
        <v>124</v>
      </c>
    </row>
    <row r="1355" spans="1:11" x14ac:dyDescent="0.35">
      <c r="A1355" t="s">
        <v>136</v>
      </c>
      <c r="B1355" s="46">
        <v>46124</v>
      </c>
      <c r="C1355" t="s">
        <v>85</v>
      </c>
      <c r="D1355" t="s">
        <v>137</v>
      </c>
      <c r="E1355" t="s">
        <v>166</v>
      </c>
      <c r="F1355" t="s">
        <v>167</v>
      </c>
      <c r="G1355">
        <v>0.5344444444444445</v>
      </c>
      <c r="H1355">
        <v>0</v>
      </c>
      <c r="J1355">
        <v>30</v>
      </c>
      <c r="K1355" t="s">
        <v>124</v>
      </c>
    </row>
    <row r="1356" spans="1:11" x14ac:dyDescent="0.35">
      <c r="A1356" t="s">
        <v>136</v>
      </c>
      <c r="B1356" s="46">
        <v>46124</v>
      </c>
      <c r="C1356" t="s">
        <v>85</v>
      </c>
      <c r="D1356" t="s">
        <v>137</v>
      </c>
      <c r="E1356" t="s">
        <v>168</v>
      </c>
      <c r="F1356" t="s">
        <v>169</v>
      </c>
      <c r="G1356">
        <v>0.25027777777777777</v>
      </c>
      <c r="H1356">
        <v>0</v>
      </c>
      <c r="J1356">
        <v>63</v>
      </c>
      <c r="K1356" t="s">
        <v>124</v>
      </c>
    </row>
    <row r="1357" spans="1:11" x14ac:dyDescent="0.35">
      <c r="A1357" t="s">
        <v>136</v>
      </c>
      <c r="B1357" s="46">
        <v>46124</v>
      </c>
      <c r="C1357" t="s">
        <v>85</v>
      </c>
      <c r="D1357" t="s">
        <v>137</v>
      </c>
      <c r="E1357" t="s">
        <v>170</v>
      </c>
      <c r="F1357" t="s">
        <v>171</v>
      </c>
      <c r="G1357">
        <v>0.39</v>
      </c>
      <c r="H1357">
        <v>0</v>
      </c>
      <c r="J1357">
        <v>175</v>
      </c>
      <c r="K1357" t="s">
        <v>124</v>
      </c>
    </row>
    <row r="1358" spans="1:11" x14ac:dyDescent="0.35">
      <c r="A1358" t="s">
        <v>136</v>
      </c>
      <c r="B1358" s="46">
        <v>46124</v>
      </c>
      <c r="C1358" t="s">
        <v>85</v>
      </c>
      <c r="D1358" t="s">
        <v>137</v>
      </c>
      <c r="E1358" t="s">
        <v>190</v>
      </c>
      <c r="F1358" t="s">
        <v>191</v>
      </c>
      <c r="G1358">
        <v>5.7080555555555552</v>
      </c>
      <c r="H1358">
        <v>0</v>
      </c>
      <c r="J1358">
        <v>225</v>
      </c>
      <c r="K1358" t="s">
        <v>124</v>
      </c>
    </row>
    <row r="1359" spans="1:11" x14ac:dyDescent="0.35">
      <c r="A1359" t="s">
        <v>136</v>
      </c>
      <c r="B1359" s="46">
        <v>46124</v>
      </c>
      <c r="C1359" t="s">
        <v>85</v>
      </c>
      <c r="D1359" t="s">
        <v>137</v>
      </c>
      <c r="E1359" t="s">
        <v>184</v>
      </c>
      <c r="F1359" t="s">
        <v>185</v>
      </c>
      <c r="G1359">
        <v>0.22055555555555556</v>
      </c>
      <c r="H1359">
        <v>0</v>
      </c>
      <c r="J1359">
        <v>38</v>
      </c>
      <c r="K1359" t="s">
        <v>124</v>
      </c>
    </row>
    <row r="1360" spans="1:11" x14ac:dyDescent="0.35">
      <c r="A1360" t="s">
        <v>136</v>
      </c>
      <c r="B1360" s="46">
        <v>46124</v>
      </c>
      <c r="C1360" t="s">
        <v>85</v>
      </c>
      <c r="D1360" t="s">
        <v>137</v>
      </c>
      <c r="E1360" t="s">
        <v>172</v>
      </c>
      <c r="F1360" t="s">
        <v>173</v>
      </c>
      <c r="G1360">
        <v>2.3333333333333334E-2</v>
      </c>
      <c r="H1360">
        <v>0</v>
      </c>
      <c r="J1360">
        <v>19</v>
      </c>
      <c r="K1360" t="s">
        <v>124</v>
      </c>
    </row>
    <row r="1361" spans="1:11" x14ac:dyDescent="0.35">
      <c r="A1361" t="s">
        <v>136</v>
      </c>
      <c r="B1361" s="46">
        <v>46124</v>
      </c>
      <c r="C1361" t="s">
        <v>85</v>
      </c>
      <c r="D1361" t="s">
        <v>137</v>
      </c>
      <c r="E1361" t="s">
        <v>176</v>
      </c>
      <c r="F1361" t="s">
        <v>177</v>
      </c>
      <c r="G1361">
        <v>0.67972222222222223</v>
      </c>
      <c r="H1361">
        <v>0</v>
      </c>
      <c r="J1361">
        <v>112</v>
      </c>
      <c r="K1361" t="s">
        <v>124</v>
      </c>
    </row>
    <row r="1362" spans="1:11" x14ac:dyDescent="0.35">
      <c r="A1362" t="s">
        <v>136</v>
      </c>
      <c r="B1362" s="46">
        <v>46124</v>
      </c>
      <c r="C1362" t="s">
        <v>85</v>
      </c>
      <c r="D1362" t="s">
        <v>137</v>
      </c>
      <c r="E1362" t="s">
        <v>194</v>
      </c>
      <c r="F1362" t="s">
        <v>195</v>
      </c>
      <c r="G1362">
        <v>0.14722222222222223</v>
      </c>
      <c r="H1362">
        <v>0</v>
      </c>
      <c r="J1362">
        <v>33</v>
      </c>
      <c r="K1362" t="s">
        <v>124</v>
      </c>
    </row>
    <row r="1363" spans="1:11" x14ac:dyDescent="0.35">
      <c r="A1363" t="s">
        <v>136</v>
      </c>
      <c r="B1363" s="46">
        <v>46124</v>
      </c>
      <c r="C1363" t="s">
        <v>85</v>
      </c>
      <c r="D1363" t="s">
        <v>137</v>
      </c>
      <c r="E1363" t="s">
        <v>196</v>
      </c>
      <c r="F1363" t="s">
        <v>197</v>
      </c>
      <c r="G1363">
        <v>1.1388888888888889E-2</v>
      </c>
      <c r="H1363">
        <v>0</v>
      </c>
      <c r="J1363">
        <v>41</v>
      </c>
      <c r="K1363" t="s">
        <v>124</v>
      </c>
    </row>
    <row r="1364" spans="1:11" x14ac:dyDescent="0.35">
      <c r="A1364" t="s">
        <v>136</v>
      </c>
      <c r="B1364" s="46">
        <v>46124</v>
      </c>
      <c r="C1364" t="s">
        <v>85</v>
      </c>
      <c r="D1364" t="s">
        <v>137</v>
      </c>
      <c r="E1364" t="s">
        <v>198</v>
      </c>
      <c r="F1364" t="s">
        <v>199</v>
      </c>
      <c r="G1364">
        <v>0.87805555555555559</v>
      </c>
      <c r="H1364">
        <v>0</v>
      </c>
      <c r="J1364">
        <v>366</v>
      </c>
      <c r="K1364" t="s">
        <v>124</v>
      </c>
    </row>
    <row r="1365" spans="1:11" x14ac:dyDescent="0.35">
      <c r="A1365" t="s">
        <v>136</v>
      </c>
      <c r="B1365" s="46">
        <v>46124</v>
      </c>
      <c r="C1365" t="s">
        <v>103</v>
      </c>
      <c r="D1365" t="s">
        <v>137</v>
      </c>
      <c r="E1365" t="s">
        <v>164</v>
      </c>
      <c r="F1365" t="s">
        <v>165</v>
      </c>
      <c r="G1365">
        <v>0.15222222222222223</v>
      </c>
      <c r="H1365">
        <v>0</v>
      </c>
      <c r="J1365">
        <v>38</v>
      </c>
      <c r="K1365" t="s">
        <v>124</v>
      </c>
    </row>
    <row r="1366" spans="1:11" x14ac:dyDescent="0.35">
      <c r="A1366" t="s">
        <v>136</v>
      </c>
      <c r="B1366" s="46">
        <v>46124</v>
      </c>
      <c r="C1366" t="s">
        <v>103</v>
      </c>
      <c r="D1366" t="s">
        <v>137</v>
      </c>
      <c r="E1366" t="s">
        <v>166</v>
      </c>
      <c r="F1366" t="s">
        <v>167</v>
      </c>
      <c r="G1366">
        <v>0.81916666666666671</v>
      </c>
      <c r="H1366">
        <v>0</v>
      </c>
      <c r="J1366">
        <v>332</v>
      </c>
      <c r="K1366" t="s">
        <v>124</v>
      </c>
    </row>
    <row r="1367" spans="1:11" x14ac:dyDescent="0.35">
      <c r="A1367" t="s">
        <v>136</v>
      </c>
      <c r="B1367" s="46">
        <v>46124</v>
      </c>
      <c r="C1367" t="s">
        <v>103</v>
      </c>
      <c r="D1367" t="s">
        <v>137</v>
      </c>
      <c r="E1367" t="s">
        <v>202</v>
      </c>
      <c r="F1367" t="s">
        <v>203</v>
      </c>
      <c r="G1367">
        <v>2.2033333333333331</v>
      </c>
      <c r="H1367">
        <v>0</v>
      </c>
      <c r="J1367">
        <v>805</v>
      </c>
      <c r="K1367" t="s">
        <v>124</v>
      </c>
    </row>
    <row r="1368" spans="1:11" x14ac:dyDescent="0.35">
      <c r="A1368" t="s">
        <v>136</v>
      </c>
      <c r="B1368" s="46">
        <v>46124</v>
      </c>
      <c r="C1368" t="s">
        <v>103</v>
      </c>
      <c r="D1368" t="s">
        <v>137</v>
      </c>
      <c r="E1368" t="s">
        <v>170</v>
      </c>
      <c r="F1368" t="s">
        <v>171</v>
      </c>
      <c r="G1368">
        <v>0.1763888888888889</v>
      </c>
      <c r="H1368">
        <v>0</v>
      </c>
      <c r="J1368">
        <v>36</v>
      </c>
      <c r="K1368" t="s">
        <v>124</v>
      </c>
    </row>
    <row r="1369" spans="1:11" x14ac:dyDescent="0.35">
      <c r="A1369" t="s">
        <v>136</v>
      </c>
      <c r="B1369" s="46">
        <v>46124</v>
      </c>
      <c r="C1369" t="s">
        <v>103</v>
      </c>
      <c r="D1369" t="s">
        <v>137</v>
      </c>
      <c r="E1369" t="s">
        <v>210</v>
      </c>
      <c r="F1369" t="s">
        <v>211</v>
      </c>
      <c r="G1369">
        <v>4.1666666666666666E-3</v>
      </c>
      <c r="H1369">
        <v>0</v>
      </c>
      <c r="J1369">
        <v>0</v>
      </c>
      <c r="K1369" t="s">
        <v>124</v>
      </c>
    </row>
    <row r="1370" spans="1:11" x14ac:dyDescent="0.35">
      <c r="A1370" t="s">
        <v>136</v>
      </c>
      <c r="B1370" s="46">
        <v>46124</v>
      </c>
      <c r="C1370" t="s">
        <v>103</v>
      </c>
      <c r="D1370" t="s">
        <v>137</v>
      </c>
      <c r="E1370" t="s">
        <v>200</v>
      </c>
      <c r="F1370" t="s">
        <v>201</v>
      </c>
      <c r="G1370">
        <v>2.7777777777777778E-4</v>
      </c>
      <c r="H1370">
        <v>0</v>
      </c>
      <c r="J1370">
        <v>0</v>
      </c>
      <c r="K1370" t="s">
        <v>124</v>
      </c>
    </row>
    <row r="1371" spans="1:11" x14ac:dyDescent="0.35">
      <c r="A1371" t="s">
        <v>136</v>
      </c>
      <c r="B1371" s="46">
        <v>46124</v>
      </c>
      <c r="C1371" t="s">
        <v>103</v>
      </c>
      <c r="D1371" t="s">
        <v>137</v>
      </c>
      <c r="E1371" t="s">
        <v>172</v>
      </c>
      <c r="F1371" t="s">
        <v>173</v>
      </c>
      <c r="G1371">
        <v>4.027777777777778E-2</v>
      </c>
      <c r="H1371">
        <v>0</v>
      </c>
      <c r="J1371">
        <v>19</v>
      </c>
      <c r="K1371" t="s">
        <v>124</v>
      </c>
    </row>
    <row r="1372" spans="1:11" x14ac:dyDescent="0.35">
      <c r="A1372" t="s">
        <v>136</v>
      </c>
      <c r="B1372" s="46">
        <v>46124</v>
      </c>
      <c r="C1372" t="s">
        <v>103</v>
      </c>
      <c r="D1372" t="s">
        <v>137</v>
      </c>
      <c r="E1372" t="s">
        <v>176</v>
      </c>
      <c r="F1372" t="s">
        <v>177</v>
      </c>
      <c r="G1372">
        <v>0.18388888888888888</v>
      </c>
      <c r="H1372">
        <v>0</v>
      </c>
      <c r="J1372">
        <v>88</v>
      </c>
      <c r="K1372" t="s">
        <v>124</v>
      </c>
    </row>
    <row r="1373" spans="1:11" x14ac:dyDescent="0.35">
      <c r="A1373" t="s">
        <v>136</v>
      </c>
      <c r="B1373" s="46">
        <v>46124</v>
      </c>
      <c r="C1373" t="s">
        <v>103</v>
      </c>
      <c r="D1373" t="s">
        <v>137</v>
      </c>
      <c r="E1373" t="s">
        <v>178</v>
      </c>
      <c r="F1373" t="s">
        <v>179</v>
      </c>
      <c r="G1373">
        <v>0.7680555555555556</v>
      </c>
      <c r="H1373">
        <v>0</v>
      </c>
      <c r="J1373">
        <v>472</v>
      </c>
      <c r="K1373" t="s">
        <v>124</v>
      </c>
    </row>
    <row r="1374" spans="1:11" x14ac:dyDescent="0.35">
      <c r="A1374" t="s">
        <v>136</v>
      </c>
      <c r="B1374" s="46">
        <v>46124</v>
      </c>
      <c r="C1374" t="s">
        <v>103</v>
      </c>
      <c r="D1374" t="s">
        <v>137</v>
      </c>
      <c r="E1374" t="s">
        <v>194</v>
      </c>
      <c r="F1374" t="s">
        <v>195</v>
      </c>
      <c r="G1374">
        <v>0.19277777777777777</v>
      </c>
      <c r="H1374">
        <v>0</v>
      </c>
      <c r="J1374">
        <v>137</v>
      </c>
      <c r="K1374" t="s">
        <v>124</v>
      </c>
    </row>
    <row r="1375" spans="1:11" x14ac:dyDescent="0.35">
      <c r="A1375" t="s">
        <v>136</v>
      </c>
      <c r="B1375" s="46">
        <v>46124</v>
      </c>
      <c r="C1375" t="s">
        <v>103</v>
      </c>
      <c r="D1375" t="s">
        <v>137</v>
      </c>
      <c r="E1375" t="s">
        <v>186</v>
      </c>
      <c r="F1375" t="s">
        <v>187</v>
      </c>
      <c r="G1375">
        <v>0.10638888888888889</v>
      </c>
      <c r="H1375">
        <v>0</v>
      </c>
      <c r="J1375">
        <v>0</v>
      </c>
      <c r="K1375" t="s">
        <v>124</v>
      </c>
    </row>
    <row r="1376" spans="1:11" x14ac:dyDescent="0.35">
      <c r="A1376" t="s">
        <v>136</v>
      </c>
      <c r="B1376" s="46">
        <v>46124</v>
      </c>
      <c r="C1376" t="s">
        <v>103</v>
      </c>
      <c r="D1376" t="s">
        <v>137</v>
      </c>
      <c r="E1376" t="s">
        <v>196</v>
      </c>
      <c r="F1376" t="s">
        <v>197</v>
      </c>
      <c r="G1376">
        <v>5.0975000000000001</v>
      </c>
      <c r="H1376">
        <v>0</v>
      </c>
      <c r="J1376">
        <v>499</v>
      </c>
      <c r="K1376" t="s">
        <v>124</v>
      </c>
    </row>
    <row r="1377" spans="1:11" x14ac:dyDescent="0.35">
      <c r="A1377" t="s">
        <v>136</v>
      </c>
      <c r="B1377" s="46">
        <v>46124</v>
      </c>
      <c r="C1377" t="s">
        <v>103</v>
      </c>
      <c r="D1377" t="s">
        <v>137</v>
      </c>
      <c r="E1377" t="s">
        <v>198</v>
      </c>
      <c r="F1377" t="s">
        <v>199</v>
      </c>
      <c r="G1377">
        <v>1.8566666666666667</v>
      </c>
      <c r="H1377">
        <v>0</v>
      </c>
      <c r="J1377">
        <v>749</v>
      </c>
      <c r="K1377" t="s">
        <v>124</v>
      </c>
    </row>
    <row r="1378" spans="1:11" x14ac:dyDescent="0.35">
      <c r="A1378" t="s">
        <v>136</v>
      </c>
      <c r="B1378" s="46">
        <v>46124</v>
      </c>
      <c r="C1378" t="s">
        <v>109</v>
      </c>
      <c r="D1378" t="s">
        <v>137</v>
      </c>
      <c r="E1378" t="s">
        <v>166</v>
      </c>
      <c r="F1378" t="s">
        <v>167</v>
      </c>
      <c r="G1378">
        <v>11.511388888888888</v>
      </c>
      <c r="H1378">
        <v>0</v>
      </c>
      <c r="J1378">
        <v>0</v>
      </c>
      <c r="K1378" t="s">
        <v>124</v>
      </c>
    </row>
    <row r="1379" spans="1:11" x14ac:dyDescent="0.35">
      <c r="A1379" t="s">
        <v>136</v>
      </c>
      <c r="B1379" s="46">
        <v>46124</v>
      </c>
      <c r="C1379" t="s">
        <v>109</v>
      </c>
      <c r="D1379" t="s">
        <v>137</v>
      </c>
      <c r="E1379" t="s">
        <v>168</v>
      </c>
      <c r="F1379" t="s">
        <v>169</v>
      </c>
      <c r="G1379">
        <v>0.14416666666666667</v>
      </c>
      <c r="H1379">
        <v>0</v>
      </c>
      <c r="J1379">
        <v>33</v>
      </c>
      <c r="K1379" t="s">
        <v>124</v>
      </c>
    </row>
    <row r="1380" spans="1:11" x14ac:dyDescent="0.35">
      <c r="A1380" t="s">
        <v>136</v>
      </c>
      <c r="B1380" s="46">
        <v>46124</v>
      </c>
      <c r="C1380" t="s">
        <v>109</v>
      </c>
      <c r="D1380" t="s">
        <v>137</v>
      </c>
      <c r="E1380" t="s">
        <v>170</v>
      </c>
      <c r="F1380" t="s">
        <v>171</v>
      </c>
      <c r="G1380">
        <v>1.8016666666666667</v>
      </c>
      <c r="H1380">
        <v>0</v>
      </c>
      <c r="J1380">
        <v>147</v>
      </c>
      <c r="K1380" t="s">
        <v>124</v>
      </c>
    </row>
    <row r="1381" spans="1:11" x14ac:dyDescent="0.35">
      <c r="A1381" t="s">
        <v>136</v>
      </c>
      <c r="B1381" s="46">
        <v>46124</v>
      </c>
      <c r="C1381" t="s">
        <v>109</v>
      </c>
      <c r="D1381" t="s">
        <v>137</v>
      </c>
      <c r="E1381" t="s">
        <v>176</v>
      </c>
      <c r="F1381" t="s">
        <v>177</v>
      </c>
      <c r="G1381">
        <v>0.44694444444444442</v>
      </c>
      <c r="H1381">
        <v>0</v>
      </c>
      <c r="J1381">
        <v>216</v>
      </c>
      <c r="K1381" t="s">
        <v>124</v>
      </c>
    </row>
    <row r="1382" spans="1:11" x14ac:dyDescent="0.35">
      <c r="A1382" t="s">
        <v>136</v>
      </c>
      <c r="B1382" s="46">
        <v>46124</v>
      </c>
      <c r="C1382" t="s">
        <v>109</v>
      </c>
      <c r="D1382" t="s">
        <v>137</v>
      </c>
      <c r="E1382" t="s">
        <v>186</v>
      </c>
      <c r="F1382" t="s">
        <v>187</v>
      </c>
      <c r="G1382">
        <v>1.7427777777777778</v>
      </c>
      <c r="H1382">
        <v>0</v>
      </c>
      <c r="J1382">
        <v>254</v>
      </c>
      <c r="K1382" t="s">
        <v>124</v>
      </c>
    </row>
    <row r="1383" spans="1:11" x14ac:dyDescent="0.35">
      <c r="A1383" t="s">
        <v>136</v>
      </c>
      <c r="B1383" s="46">
        <v>46124</v>
      </c>
      <c r="C1383" t="s">
        <v>109</v>
      </c>
      <c r="D1383" t="s">
        <v>137</v>
      </c>
      <c r="E1383" t="s">
        <v>198</v>
      </c>
      <c r="F1383" t="s">
        <v>199</v>
      </c>
      <c r="G1383">
        <v>1.51</v>
      </c>
      <c r="H1383">
        <v>0</v>
      </c>
      <c r="J1383">
        <v>292</v>
      </c>
      <c r="K1383" t="s">
        <v>124</v>
      </c>
    </row>
    <row r="1384" spans="1:11" x14ac:dyDescent="0.35">
      <c r="A1384" t="s">
        <v>136</v>
      </c>
      <c r="B1384" s="46">
        <v>46116</v>
      </c>
      <c r="C1384" t="s">
        <v>96</v>
      </c>
      <c r="D1384" t="s">
        <v>137</v>
      </c>
      <c r="E1384" t="s">
        <v>178</v>
      </c>
      <c r="F1384" t="s">
        <v>179</v>
      </c>
      <c r="G1384">
        <v>1.9577777777777778</v>
      </c>
      <c r="K1384" t="s">
        <v>124</v>
      </c>
    </row>
    <row r="1385" spans="1:11" x14ac:dyDescent="0.35">
      <c r="A1385" t="s">
        <v>136</v>
      </c>
      <c r="B1385" s="46">
        <v>46116</v>
      </c>
      <c r="C1385" t="s">
        <v>96</v>
      </c>
      <c r="D1385" t="s">
        <v>137</v>
      </c>
      <c r="E1385" t="s">
        <v>212</v>
      </c>
      <c r="F1385" t="s">
        <v>213</v>
      </c>
      <c r="G1385">
        <v>3</v>
      </c>
      <c r="K1385" t="s">
        <v>124</v>
      </c>
    </row>
    <row r="1386" spans="1:11" x14ac:dyDescent="0.35">
      <c r="A1386" t="s">
        <v>136</v>
      </c>
      <c r="B1386" s="46">
        <v>46116</v>
      </c>
      <c r="C1386" t="s">
        <v>107</v>
      </c>
      <c r="D1386" t="s">
        <v>137</v>
      </c>
      <c r="E1386" t="s">
        <v>178</v>
      </c>
      <c r="F1386" t="s">
        <v>179</v>
      </c>
      <c r="G1386">
        <v>1.4041666666666666</v>
      </c>
      <c r="K1386" t="s">
        <v>124</v>
      </c>
    </row>
    <row r="1387" spans="1:11" x14ac:dyDescent="0.35">
      <c r="A1387" t="s">
        <v>136</v>
      </c>
      <c r="B1387" s="46">
        <v>46116</v>
      </c>
      <c r="C1387" t="s">
        <v>107</v>
      </c>
      <c r="D1387" t="s">
        <v>137</v>
      </c>
      <c r="E1387" t="s">
        <v>212</v>
      </c>
      <c r="F1387" t="s">
        <v>213</v>
      </c>
      <c r="G1387">
        <v>4</v>
      </c>
      <c r="K1387" t="s">
        <v>124</v>
      </c>
    </row>
    <row r="1388" spans="1:11" x14ac:dyDescent="0.35">
      <c r="A1388" t="s">
        <v>136</v>
      </c>
      <c r="B1388" s="46">
        <v>46116</v>
      </c>
      <c r="C1388" t="s">
        <v>81</v>
      </c>
      <c r="D1388" t="s">
        <v>137</v>
      </c>
      <c r="E1388" t="s">
        <v>178</v>
      </c>
      <c r="F1388" t="s">
        <v>179</v>
      </c>
      <c r="G1388">
        <v>1.7291666666666667</v>
      </c>
      <c r="K1388" t="s">
        <v>124</v>
      </c>
    </row>
    <row r="1389" spans="1:11" x14ac:dyDescent="0.35">
      <c r="A1389" t="s">
        <v>136</v>
      </c>
      <c r="B1389" s="46">
        <v>46116</v>
      </c>
      <c r="C1389" t="s">
        <v>81</v>
      </c>
      <c r="D1389" t="s">
        <v>137</v>
      </c>
      <c r="E1389" t="s">
        <v>212</v>
      </c>
      <c r="F1389" t="s">
        <v>213</v>
      </c>
      <c r="G1389">
        <v>8</v>
      </c>
      <c r="K1389" t="s">
        <v>124</v>
      </c>
    </row>
    <row r="1390" spans="1:11" x14ac:dyDescent="0.35">
      <c r="A1390" t="s">
        <v>136</v>
      </c>
      <c r="B1390" s="46">
        <v>46116</v>
      </c>
      <c r="C1390" t="s">
        <v>95</v>
      </c>
      <c r="D1390" t="s">
        <v>137</v>
      </c>
      <c r="E1390" t="s">
        <v>178</v>
      </c>
      <c r="F1390" t="s">
        <v>179</v>
      </c>
      <c r="G1390">
        <v>1.3030555555555556</v>
      </c>
      <c r="K1390" t="s">
        <v>124</v>
      </c>
    </row>
    <row r="1391" spans="1:11" x14ac:dyDescent="0.35">
      <c r="A1391" t="s">
        <v>136</v>
      </c>
      <c r="B1391" s="46">
        <v>46116</v>
      </c>
      <c r="C1391" t="s">
        <v>95</v>
      </c>
      <c r="D1391" t="s">
        <v>137</v>
      </c>
      <c r="E1391" t="s">
        <v>212</v>
      </c>
      <c r="F1391" t="s">
        <v>213</v>
      </c>
      <c r="G1391">
        <v>1</v>
      </c>
      <c r="K1391" t="s">
        <v>124</v>
      </c>
    </row>
    <row r="1392" spans="1:11" x14ac:dyDescent="0.35">
      <c r="A1392" t="s">
        <v>136</v>
      </c>
      <c r="B1392" s="46">
        <v>46116</v>
      </c>
      <c r="C1392" t="s">
        <v>88</v>
      </c>
      <c r="D1392" t="s">
        <v>137</v>
      </c>
      <c r="E1392" t="s">
        <v>212</v>
      </c>
      <c r="F1392" t="s">
        <v>213</v>
      </c>
      <c r="G1392">
        <v>2</v>
      </c>
      <c r="K1392" t="s">
        <v>124</v>
      </c>
    </row>
    <row r="1393" spans="1:11" x14ac:dyDescent="0.35">
      <c r="A1393" t="s">
        <v>136</v>
      </c>
      <c r="B1393" s="46">
        <v>46116</v>
      </c>
      <c r="C1393" t="s">
        <v>100</v>
      </c>
      <c r="D1393" t="s">
        <v>137</v>
      </c>
      <c r="E1393" t="s">
        <v>178</v>
      </c>
      <c r="F1393" t="s">
        <v>179</v>
      </c>
      <c r="G1393">
        <v>1.5027777777777778</v>
      </c>
      <c r="K1393" t="s">
        <v>124</v>
      </c>
    </row>
    <row r="1394" spans="1:11" x14ac:dyDescent="0.35">
      <c r="A1394" t="s">
        <v>136</v>
      </c>
      <c r="B1394" s="46">
        <v>46116</v>
      </c>
      <c r="C1394" t="s">
        <v>93</v>
      </c>
      <c r="D1394" t="s">
        <v>137</v>
      </c>
      <c r="E1394" t="s">
        <v>178</v>
      </c>
      <c r="F1394" t="s">
        <v>179</v>
      </c>
      <c r="G1394">
        <v>0.19722222222222222</v>
      </c>
      <c r="K1394" t="s">
        <v>124</v>
      </c>
    </row>
    <row r="1395" spans="1:11" x14ac:dyDescent="0.35">
      <c r="A1395" t="s">
        <v>136</v>
      </c>
      <c r="B1395" s="46">
        <v>46116</v>
      </c>
      <c r="C1395" t="s">
        <v>99</v>
      </c>
      <c r="D1395" t="s">
        <v>137</v>
      </c>
      <c r="E1395" t="s">
        <v>212</v>
      </c>
      <c r="F1395" t="s">
        <v>213</v>
      </c>
      <c r="G1395">
        <v>2</v>
      </c>
      <c r="K1395" t="s">
        <v>124</v>
      </c>
    </row>
    <row r="1396" spans="1:11" x14ac:dyDescent="0.35">
      <c r="A1396" t="s">
        <v>136</v>
      </c>
      <c r="B1396" s="46">
        <v>46116</v>
      </c>
      <c r="C1396" t="s">
        <v>98</v>
      </c>
      <c r="D1396" t="s">
        <v>137</v>
      </c>
      <c r="E1396" t="s">
        <v>212</v>
      </c>
      <c r="F1396" t="s">
        <v>213</v>
      </c>
      <c r="G1396">
        <v>9</v>
      </c>
      <c r="K1396" t="s">
        <v>124</v>
      </c>
    </row>
    <row r="1397" spans="1:11" x14ac:dyDescent="0.35">
      <c r="A1397" t="s">
        <v>136</v>
      </c>
      <c r="B1397" s="46">
        <v>46116</v>
      </c>
      <c r="C1397" t="s">
        <v>214</v>
      </c>
      <c r="D1397" t="s">
        <v>137</v>
      </c>
      <c r="E1397" t="s">
        <v>212</v>
      </c>
      <c r="F1397" t="s">
        <v>213</v>
      </c>
      <c r="G1397">
        <v>9</v>
      </c>
      <c r="K1397" t="s">
        <v>124</v>
      </c>
    </row>
    <row r="1398" spans="1:11" x14ac:dyDescent="0.35">
      <c r="A1398" t="s">
        <v>136</v>
      </c>
      <c r="B1398" s="46">
        <v>46116</v>
      </c>
      <c r="C1398" t="s">
        <v>97</v>
      </c>
      <c r="D1398" t="s">
        <v>137</v>
      </c>
      <c r="E1398" t="s">
        <v>212</v>
      </c>
      <c r="F1398" t="s">
        <v>213</v>
      </c>
      <c r="G1398">
        <v>9</v>
      </c>
      <c r="K1398" t="s">
        <v>124</v>
      </c>
    </row>
    <row r="1399" spans="1:11" x14ac:dyDescent="0.35">
      <c r="A1399" t="s">
        <v>136</v>
      </c>
      <c r="B1399" s="46">
        <v>46116</v>
      </c>
      <c r="C1399" t="s">
        <v>84</v>
      </c>
      <c r="D1399" t="s">
        <v>137</v>
      </c>
      <c r="E1399" t="s">
        <v>178</v>
      </c>
      <c r="F1399" t="s">
        <v>179</v>
      </c>
      <c r="G1399">
        <v>0.20972222222222223</v>
      </c>
      <c r="K1399" t="s">
        <v>124</v>
      </c>
    </row>
    <row r="1400" spans="1:11" x14ac:dyDescent="0.35">
      <c r="A1400" t="s">
        <v>136</v>
      </c>
      <c r="B1400" s="46">
        <v>46116</v>
      </c>
      <c r="C1400" t="s">
        <v>106</v>
      </c>
      <c r="D1400" t="s">
        <v>137</v>
      </c>
      <c r="E1400" t="s">
        <v>178</v>
      </c>
      <c r="F1400" t="s">
        <v>179</v>
      </c>
      <c r="G1400">
        <v>0.96194444444444449</v>
      </c>
      <c r="K1400" t="s">
        <v>124</v>
      </c>
    </row>
    <row r="1401" spans="1:11" x14ac:dyDescent="0.35">
      <c r="A1401" t="s">
        <v>136</v>
      </c>
      <c r="B1401" s="46">
        <v>46116</v>
      </c>
      <c r="C1401" t="s">
        <v>106</v>
      </c>
      <c r="D1401" t="s">
        <v>137</v>
      </c>
      <c r="E1401" t="s">
        <v>212</v>
      </c>
      <c r="F1401" t="s">
        <v>213</v>
      </c>
      <c r="G1401">
        <v>6.0213888888888887</v>
      </c>
      <c r="K1401" t="s">
        <v>124</v>
      </c>
    </row>
    <row r="1402" spans="1:11" x14ac:dyDescent="0.35">
      <c r="A1402" t="s">
        <v>136</v>
      </c>
      <c r="B1402" s="46">
        <v>46116</v>
      </c>
      <c r="C1402" t="s">
        <v>103</v>
      </c>
      <c r="D1402" t="s">
        <v>137</v>
      </c>
      <c r="E1402" t="s">
        <v>212</v>
      </c>
      <c r="F1402" t="s">
        <v>213</v>
      </c>
      <c r="G1402">
        <v>2</v>
      </c>
      <c r="K1402" t="s">
        <v>124</v>
      </c>
    </row>
    <row r="1403" spans="1:11" x14ac:dyDescent="0.35">
      <c r="A1403" t="s">
        <v>136</v>
      </c>
      <c r="B1403" s="46">
        <v>46116</v>
      </c>
      <c r="C1403" t="s">
        <v>109</v>
      </c>
      <c r="D1403" t="s">
        <v>137</v>
      </c>
      <c r="E1403" t="s">
        <v>178</v>
      </c>
      <c r="F1403" t="s">
        <v>179</v>
      </c>
      <c r="G1403">
        <v>1.6069444444444445</v>
      </c>
      <c r="K1403" t="s">
        <v>124</v>
      </c>
    </row>
    <row r="1404" spans="1:11" x14ac:dyDescent="0.35">
      <c r="A1404" t="s">
        <v>136</v>
      </c>
      <c r="B1404" s="46">
        <v>46116</v>
      </c>
      <c r="C1404" t="s">
        <v>109</v>
      </c>
      <c r="D1404" t="s">
        <v>137</v>
      </c>
      <c r="E1404" t="s">
        <v>212</v>
      </c>
      <c r="F1404" t="s">
        <v>213</v>
      </c>
      <c r="G1404">
        <v>4</v>
      </c>
      <c r="K1404" t="s">
        <v>124</v>
      </c>
    </row>
    <row r="1405" spans="1:11" x14ac:dyDescent="0.35">
      <c r="A1405" t="s">
        <v>136</v>
      </c>
      <c r="B1405" s="46">
        <v>46117</v>
      </c>
      <c r="C1405" t="s">
        <v>107</v>
      </c>
      <c r="D1405" t="s">
        <v>137</v>
      </c>
      <c r="E1405" t="s">
        <v>178</v>
      </c>
      <c r="F1405" t="s">
        <v>179</v>
      </c>
      <c r="G1405">
        <v>1.2766666666666666</v>
      </c>
      <c r="K1405" t="s">
        <v>124</v>
      </c>
    </row>
    <row r="1406" spans="1:11" x14ac:dyDescent="0.35">
      <c r="A1406" t="s">
        <v>136</v>
      </c>
      <c r="B1406" s="46">
        <v>46117</v>
      </c>
      <c r="C1406" t="s">
        <v>107</v>
      </c>
      <c r="D1406" t="s">
        <v>137</v>
      </c>
      <c r="E1406" t="s">
        <v>212</v>
      </c>
      <c r="F1406" t="s">
        <v>213</v>
      </c>
      <c r="G1406">
        <v>4</v>
      </c>
      <c r="K1406" t="s">
        <v>124</v>
      </c>
    </row>
    <row r="1407" spans="1:11" x14ac:dyDescent="0.35">
      <c r="A1407" t="s">
        <v>136</v>
      </c>
      <c r="B1407" s="46">
        <v>46117</v>
      </c>
      <c r="C1407" t="s">
        <v>99</v>
      </c>
      <c r="D1407" t="s">
        <v>137</v>
      </c>
      <c r="E1407" t="s">
        <v>212</v>
      </c>
      <c r="F1407" t="s">
        <v>213</v>
      </c>
      <c r="G1407">
        <v>2</v>
      </c>
      <c r="K1407" t="s">
        <v>124</v>
      </c>
    </row>
    <row r="1408" spans="1:11" x14ac:dyDescent="0.35">
      <c r="A1408" t="s">
        <v>136</v>
      </c>
      <c r="B1408" s="46">
        <v>46117</v>
      </c>
      <c r="C1408" t="s">
        <v>214</v>
      </c>
      <c r="D1408" t="s">
        <v>137</v>
      </c>
      <c r="E1408" t="s">
        <v>212</v>
      </c>
      <c r="F1408" t="s">
        <v>213</v>
      </c>
      <c r="G1408">
        <v>24</v>
      </c>
      <c r="K1408" t="s">
        <v>124</v>
      </c>
    </row>
    <row r="1409" spans="1:11" x14ac:dyDescent="0.35">
      <c r="A1409" t="s">
        <v>136</v>
      </c>
      <c r="B1409" s="46">
        <v>46117</v>
      </c>
      <c r="C1409" t="s">
        <v>103</v>
      </c>
      <c r="D1409" t="s">
        <v>137</v>
      </c>
      <c r="E1409" t="s">
        <v>212</v>
      </c>
      <c r="F1409" t="s">
        <v>213</v>
      </c>
      <c r="G1409">
        <v>5</v>
      </c>
      <c r="K1409" t="s">
        <v>124</v>
      </c>
    </row>
    <row r="1410" spans="1:11" x14ac:dyDescent="0.35">
      <c r="A1410" t="s">
        <v>136</v>
      </c>
      <c r="B1410" s="46">
        <v>46118</v>
      </c>
      <c r="C1410" t="s">
        <v>214</v>
      </c>
      <c r="D1410" t="s">
        <v>137</v>
      </c>
      <c r="E1410" t="s">
        <v>212</v>
      </c>
      <c r="F1410" t="s">
        <v>213</v>
      </c>
      <c r="G1410">
        <v>24</v>
      </c>
      <c r="K1410" t="s">
        <v>124</v>
      </c>
    </row>
    <row r="1411" spans="1:11" x14ac:dyDescent="0.35">
      <c r="A1411" t="s">
        <v>136</v>
      </c>
      <c r="B1411" s="46">
        <v>46119</v>
      </c>
      <c r="C1411" t="s">
        <v>214</v>
      </c>
      <c r="D1411" t="s">
        <v>137</v>
      </c>
      <c r="E1411" t="s">
        <v>212</v>
      </c>
      <c r="F1411" t="s">
        <v>213</v>
      </c>
      <c r="G1411">
        <v>24</v>
      </c>
      <c r="K1411" t="s">
        <v>124</v>
      </c>
    </row>
    <row r="1412" spans="1:11" x14ac:dyDescent="0.35">
      <c r="A1412" t="s">
        <v>136</v>
      </c>
      <c r="B1412" s="46">
        <v>46119</v>
      </c>
      <c r="C1412" t="s">
        <v>106</v>
      </c>
      <c r="D1412" t="s">
        <v>137</v>
      </c>
      <c r="E1412" t="s">
        <v>170</v>
      </c>
      <c r="F1412" t="s">
        <v>171</v>
      </c>
      <c r="G1412">
        <v>24</v>
      </c>
      <c r="K1412" t="s">
        <v>124</v>
      </c>
    </row>
    <row r="1413" spans="1:11" x14ac:dyDescent="0.35">
      <c r="A1413" t="s">
        <v>136</v>
      </c>
      <c r="B1413" s="46">
        <v>46120</v>
      </c>
      <c r="C1413" t="s">
        <v>96</v>
      </c>
      <c r="D1413" t="s">
        <v>137</v>
      </c>
      <c r="E1413" t="s">
        <v>178</v>
      </c>
      <c r="F1413" t="s">
        <v>179</v>
      </c>
      <c r="G1413">
        <v>0.89805555555555561</v>
      </c>
      <c r="K1413" t="s">
        <v>124</v>
      </c>
    </row>
    <row r="1414" spans="1:11" x14ac:dyDescent="0.35">
      <c r="A1414" t="s">
        <v>136</v>
      </c>
      <c r="B1414" s="46">
        <v>46120</v>
      </c>
      <c r="C1414" t="s">
        <v>101</v>
      </c>
      <c r="D1414" t="s">
        <v>137</v>
      </c>
      <c r="E1414" t="s">
        <v>178</v>
      </c>
      <c r="F1414" t="s">
        <v>179</v>
      </c>
      <c r="G1414">
        <v>1.1052777777777778</v>
      </c>
      <c r="K1414" t="s">
        <v>124</v>
      </c>
    </row>
    <row r="1415" spans="1:11" x14ac:dyDescent="0.35">
      <c r="A1415" t="s">
        <v>136</v>
      </c>
      <c r="B1415" s="46">
        <v>46120</v>
      </c>
      <c r="C1415" t="s">
        <v>101</v>
      </c>
      <c r="D1415" t="s">
        <v>137</v>
      </c>
      <c r="E1415" t="s">
        <v>212</v>
      </c>
      <c r="F1415" t="s">
        <v>213</v>
      </c>
      <c r="G1415">
        <v>2</v>
      </c>
      <c r="K1415" t="s">
        <v>124</v>
      </c>
    </row>
    <row r="1416" spans="1:11" x14ac:dyDescent="0.35">
      <c r="A1416" t="s">
        <v>136</v>
      </c>
      <c r="B1416" s="46">
        <v>46120</v>
      </c>
      <c r="C1416" t="s">
        <v>86</v>
      </c>
      <c r="D1416" t="s">
        <v>137</v>
      </c>
      <c r="E1416" t="s">
        <v>178</v>
      </c>
      <c r="F1416" t="s">
        <v>179</v>
      </c>
      <c r="G1416">
        <v>1.6566666666666667</v>
      </c>
      <c r="K1416" t="s">
        <v>124</v>
      </c>
    </row>
    <row r="1417" spans="1:11" x14ac:dyDescent="0.35">
      <c r="A1417" t="s">
        <v>136</v>
      </c>
      <c r="B1417" s="46">
        <v>46120</v>
      </c>
      <c r="C1417" t="s">
        <v>86</v>
      </c>
      <c r="D1417" t="s">
        <v>137</v>
      </c>
      <c r="E1417" t="s">
        <v>212</v>
      </c>
      <c r="F1417" t="s">
        <v>213</v>
      </c>
      <c r="G1417">
        <v>1</v>
      </c>
      <c r="K1417" t="s">
        <v>124</v>
      </c>
    </row>
    <row r="1418" spans="1:11" x14ac:dyDescent="0.35">
      <c r="A1418" t="s">
        <v>136</v>
      </c>
      <c r="B1418" s="46">
        <v>46120</v>
      </c>
      <c r="C1418" t="s">
        <v>214</v>
      </c>
      <c r="D1418" t="s">
        <v>137</v>
      </c>
      <c r="E1418" t="s">
        <v>212</v>
      </c>
      <c r="F1418" t="s">
        <v>213</v>
      </c>
      <c r="G1418">
        <v>24</v>
      </c>
      <c r="K1418" t="s">
        <v>124</v>
      </c>
    </row>
    <row r="1419" spans="1:11" x14ac:dyDescent="0.35">
      <c r="A1419" t="s">
        <v>136</v>
      </c>
      <c r="B1419" s="46">
        <v>46120</v>
      </c>
      <c r="C1419" t="s">
        <v>97</v>
      </c>
      <c r="D1419" t="s">
        <v>137</v>
      </c>
      <c r="E1419" t="s">
        <v>178</v>
      </c>
      <c r="F1419" t="s">
        <v>179</v>
      </c>
      <c r="G1419">
        <v>0.64361111111111113</v>
      </c>
      <c r="K1419" t="s">
        <v>124</v>
      </c>
    </row>
    <row r="1420" spans="1:11" x14ac:dyDescent="0.35">
      <c r="A1420" t="s">
        <v>136</v>
      </c>
      <c r="B1420" s="46">
        <v>46120</v>
      </c>
      <c r="C1420" t="s">
        <v>103</v>
      </c>
      <c r="D1420" t="s">
        <v>137</v>
      </c>
      <c r="E1420" t="s">
        <v>166</v>
      </c>
      <c r="F1420" t="s">
        <v>167</v>
      </c>
      <c r="G1420">
        <v>0.24777777777777779</v>
      </c>
      <c r="K1420" t="s">
        <v>124</v>
      </c>
    </row>
    <row r="1421" spans="1:11" x14ac:dyDescent="0.35">
      <c r="A1421" t="s">
        <v>136</v>
      </c>
      <c r="B1421" s="46">
        <v>46121</v>
      </c>
      <c r="C1421" t="s">
        <v>104</v>
      </c>
      <c r="D1421" t="s">
        <v>137</v>
      </c>
      <c r="E1421" t="s">
        <v>212</v>
      </c>
      <c r="F1421" t="s">
        <v>213</v>
      </c>
      <c r="G1421">
        <v>2</v>
      </c>
      <c r="K1421" t="s">
        <v>124</v>
      </c>
    </row>
    <row r="1422" spans="1:11" x14ac:dyDescent="0.35">
      <c r="A1422" t="s">
        <v>136</v>
      </c>
      <c r="B1422" s="46">
        <v>46121</v>
      </c>
      <c r="C1422" t="s">
        <v>88</v>
      </c>
      <c r="D1422" t="s">
        <v>137</v>
      </c>
      <c r="E1422" t="s">
        <v>178</v>
      </c>
      <c r="F1422" t="s">
        <v>179</v>
      </c>
      <c r="G1422">
        <v>0.95777777777777773</v>
      </c>
      <c r="K1422" t="s">
        <v>124</v>
      </c>
    </row>
    <row r="1423" spans="1:11" x14ac:dyDescent="0.35">
      <c r="A1423" t="s">
        <v>136</v>
      </c>
      <c r="B1423" s="46">
        <v>46121</v>
      </c>
      <c r="C1423" t="s">
        <v>93</v>
      </c>
      <c r="D1423" t="s">
        <v>137</v>
      </c>
      <c r="E1423" t="s">
        <v>178</v>
      </c>
      <c r="F1423" t="s">
        <v>179</v>
      </c>
      <c r="G1423">
        <v>0.9291666666666667</v>
      </c>
      <c r="K1423" t="s">
        <v>124</v>
      </c>
    </row>
    <row r="1424" spans="1:11" x14ac:dyDescent="0.35">
      <c r="A1424" t="s">
        <v>136</v>
      </c>
      <c r="B1424" s="46">
        <v>46121</v>
      </c>
      <c r="C1424" t="s">
        <v>93</v>
      </c>
      <c r="D1424" t="s">
        <v>137</v>
      </c>
      <c r="E1424" t="s">
        <v>212</v>
      </c>
      <c r="F1424" t="s">
        <v>213</v>
      </c>
      <c r="G1424">
        <v>2</v>
      </c>
      <c r="K1424" t="s">
        <v>124</v>
      </c>
    </row>
    <row r="1425" spans="1:11" x14ac:dyDescent="0.35">
      <c r="A1425" t="s">
        <v>136</v>
      </c>
      <c r="B1425" s="46">
        <v>46121</v>
      </c>
      <c r="C1425" t="s">
        <v>214</v>
      </c>
      <c r="D1425" t="s">
        <v>137</v>
      </c>
      <c r="E1425" t="s">
        <v>212</v>
      </c>
      <c r="F1425" t="s">
        <v>213</v>
      </c>
      <c r="G1425">
        <v>10</v>
      </c>
      <c r="K1425" t="s">
        <v>124</v>
      </c>
    </row>
    <row r="1426" spans="1:11" x14ac:dyDescent="0.35">
      <c r="A1426" t="s">
        <v>136</v>
      </c>
      <c r="B1426" s="46">
        <v>46122</v>
      </c>
      <c r="C1426" t="s">
        <v>101</v>
      </c>
      <c r="D1426" t="s">
        <v>137</v>
      </c>
      <c r="E1426" t="s">
        <v>178</v>
      </c>
      <c r="F1426" t="s">
        <v>179</v>
      </c>
      <c r="G1426">
        <v>1.3888888888888889E-3</v>
      </c>
      <c r="K1426" t="s">
        <v>124</v>
      </c>
    </row>
    <row r="1427" spans="1:11" x14ac:dyDescent="0.35">
      <c r="A1427" t="s">
        <v>136</v>
      </c>
      <c r="B1427" s="46">
        <v>46122</v>
      </c>
      <c r="C1427" t="s">
        <v>88</v>
      </c>
      <c r="D1427" t="s">
        <v>137</v>
      </c>
      <c r="E1427" t="s">
        <v>178</v>
      </c>
      <c r="F1427" t="s">
        <v>179</v>
      </c>
      <c r="G1427">
        <v>0.72083333333333333</v>
      </c>
      <c r="K1427" t="s">
        <v>124</v>
      </c>
    </row>
    <row r="1428" spans="1:11" x14ac:dyDescent="0.35">
      <c r="A1428" t="s">
        <v>136</v>
      </c>
      <c r="B1428" s="46">
        <v>46122</v>
      </c>
      <c r="C1428" t="s">
        <v>85</v>
      </c>
      <c r="D1428" t="s">
        <v>137</v>
      </c>
      <c r="E1428" t="s">
        <v>178</v>
      </c>
      <c r="F1428" t="s">
        <v>179</v>
      </c>
      <c r="G1428">
        <v>0.98055555555555551</v>
      </c>
      <c r="K1428" t="s">
        <v>124</v>
      </c>
    </row>
    <row r="1429" spans="1:11" x14ac:dyDescent="0.35">
      <c r="A1429" t="s">
        <v>136</v>
      </c>
      <c r="B1429" s="46">
        <v>46122</v>
      </c>
      <c r="C1429" t="s">
        <v>103</v>
      </c>
      <c r="D1429" t="s">
        <v>137</v>
      </c>
      <c r="E1429" t="s">
        <v>178</v>
      </c>
      <c r="F1429" t="s">
        <v>179</v>
      </c>
      <c r="G1429">
        <v>0.76444444444444448</v>
      </c>
      <c r="K1429" t="s">
        <v>124</v>
      </c>
    </row>
    <row r="1430" spans="1:11" x14ac:dyDescent="0.35">
      <c r="A1430" t="s">
        <v>136</v>
      </c>
      <c r="B1430" s="46">
        <v>46122</v>
      </c>
      <c r="C1430" t="s">
        <v>109</v>
      </c>
      <c r="D1430" t="s">
        <v>137</v>
      </c>
      <c r="E1430" t="s">
        <v>212</v>
      </c>
      <c r="F1430" t="s">
        <v>213</v>
      </c>
      <c r="G1430">
        <v>11</v>
      </c>
      <c r="K1430" t="s">
        <v>124</v>
      </c>
    </row>
    <row r="1431" spans="1:11" x14ac:dyDescent="0.35">
      <c r="A1431" t="s">
        <v>136</v>
      </c>
      <c r="B1431" s="46">
        <v>46123</v>
      </c>
      <c r="C1431" t="s">
        <v>104</v>
      </c>
      <c r="D1431" t="s">
        <v>137</v>
      </c>
      <c r="E1431" t="s">
        <v>212</v>
      </c>
      <c r="F1431" t="s">
        <v>213</v>
      </c>
      <c r="G1431">
        <v>17</v>
      </c>
      <c r="K1431" t="s">
        <v>124</v>
      </c>
    </row>
    <row r="1432" spans="1:11" x14ac:dyDescent="0.35">
      <c r="A1432" t="s">
        <v>136</v>
      </c>
      <c r="B1432" s="46">
        <v>46123</v>
      </c>
      <c r="C1432" t="s">
        <v>100</v>
      </c>
      <c r="D1432" t="s">
        <v>137</v>
      </c>
      <c r="E1432" t="s">
        <v>178</v>
      </c>
      <c r="F1432" t="s">
        <v>179</v>
      </c>
      <c r="G1432">
        <v>0.74777777777777776</v>
      </c>
      <c r="K1432" t="s">
        <v>124</v>
      </c>
    </row>
    <row r="1433" spans="1:11" x14ac:dyDescent="0.35">
      <c r="A1433" t="s">
        <v>136</v>
      </c>
      <c r="B1433" s="46">
        <v>46123</v>
      </c>
      <c r="C1433" t="s">
        <v>97</v>
      </c>
      <c r="D1433" t="s">
        <v>137</v>
      </c>
      <c r="E1433" t="s">
        <v>212</v>
      </c>
      <c r="F1433" t="s">
        <v>213</v>
      </c>
      <c r="G1433">
        <v>2</v>
      </c>
      <c r="K1433" t="s">
        <v>124</v>
      </c>
    </row>
    <row r="1434" spans="1:11" x14ac:dyDescent="0.35">
      <c r="A1434" t="s">
        <v>136</v>
      </c>
      <c r="B1434" s="46">
        <v>46123</v>
      </c>
      <c r="C1434" t="s">
        <v>109</v>
      </c>
      <c r="D1434" t="s">
        <v>137</v>
      </c>
      <c r="E1434" t="s">
        <v>178</v>
      </c>
      <c r="F1434" t="s">
        <v>179</v>
      </c>
      <c r="G1434">
        <v>0.86777777777777776</v>
      </c>
      <c r="K1434" t="s">
        <v>124</v>
      </c>
    </row>
    <row r="1435" spans="1:11" x14ac:dyDescent="0.35">
      <c r="A1435" t="s">
        <v>136</v>
      </c>
      <c r="B1435" s="46">
        <v>46123</v>
      </c>
      <c r="C1435" t="s">
        <v>109</v>
      </c>
      <c r="D1435" t="s">
        <v>137</v>
      </c>
      <c r="E1435" t="s">
        <v>212</v>
      </c>
      <c r="F1435" t="s">
        <v>213</v>
      </c>
      <c r="G1435">
        <v>17</v>
      </c>
      <c r="K1435" t="s">
        <v>124</v>
      </c>
    </row>
    <row r="1436" spans="1:11" x14ac:dyDescent="0.35">
      <c r="A1436" t="s">
        <v>136</v>
      </c>
      <c r="B1436" s="46">
        <v>46124</v>
      </c>
      <c r="C1436" t="s">
        <v>103</v>
      </c>
      <c r="D1436" t="s">
        <v>137</v>
      </c>
      <c r="E1436" t="s">
        <v>212</v>
      </c>
      <c r="F1436" t="s">
        <v>213</v>
      </c>
      <c r="G1436">
        <v>5.3250000000000002</v>
      </c>
      <c r="K1436" t="s">
        <v>124</v>
      </c>
    </row>
  </sheetData>
  <pageMargins left="0.51180555555555596" right="0.51180555555555596" top="0.78749999999999998" bottom="0.78749999999999998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9"/>
  <sheetViews>
    <sheetView zoomScaleNormal="100" workbookViewId="0"/>
  </sheetViews>
  <sheetFormatPr defaultColWidth="8.54296875" defaultRowHeight="14.5" x14ac:dyDescent="0.35"/>
  <cols>
    <col min="1" max="4" width="16" customWidth="1"/>
    <col min="5" max="9" width="20" customWidth="1"/>
    <col min="10" max="23" width="16" customWidth="1"/>
  </cols>
  <sheetData>
    <row r="1" spans="1:23" ht="15" customHeight="1" x14ac:dyDescent="0.35">
      <c r="A1" s="23" t="s">
        <v>63</v>
      </c>
      <c r="B1" s="23" t="s">
        <v>215</v>
      </c>
      <c r="C1" s="23" t="s">
        <v>64</v>
      </c>
      <c r="D1" s="23" t="s">
        <v>65</v>
      </c>
      <c r="E1" s="23" t="s">
        <v>66</v>
      </c>
      <c r="F1" s="23" t="s">
        <v>216</v>
      </c>
      <c r="G1" s="23" t="s">
        <v>217</v>
      </c>
      <c r="H1" s="23" t="s">
        <v>218</v>
      </c>
      <c r="I1" s="23" t="s">
        <v>219</v>
      </c>
      <c r="J1" s="23" t="s">
        <v>220</v>
      </c>
      <c r="K1" s="23" t="s">
        <v>221</v>
      </c>
      <c r="L1" s="23" t="s">
        <v>222</v>
      </c>
      <c r="M1" s="23" t="s">
        <v>223</v>
      </c>
      <c r="N1" s="23" t="s">
        <v>75</v>
      </c>
      <c r="O1" s="23" t="s">
        <v>76</v>
      </c>
      <c r="P1" s="23" t="s">
        <v>77</v>
      </c>
      <c r="Q1" s="23" t="s">
        <v>78</v>
      </c>
      <c r="R1" s="23" t="s">
        <v>79</v>
      </c>
      <c r="S1" s="23" t="s">
        <v>224</v>
      </c>
      <c r="T1" s="23" t="s">
        <v>225</v>
      </c>
      <c r="U1" s="23" t="s">
        <v>226</v>
      </c>
      <c r="V1" s="23" t="s">
        <v>120</v>
      </c>
      <c r="W1" s="23" t="s">
        <v>227</v>
      </c>
    </row>
    <row r="2" spans="1:23" ht="15" customHeight="1" x14ac:dyDescent="0.35">
      <c r="A2" s="24" t="str">
        <f>'Base de tempo'!C2</f>
        <v>8013478</v>
      </c>
      <c r="B2" s="25">
        <f>'Base de tempo'!B2</f>
        <v>46121</v>
      </c>
      <c r="C2" s="24" t="str">
        <f>'Base de tempo'!D2</f>
        <v>352</v>
      </c>
      <c r="D2" s="24" t="str">
        <f>'Base de tempo'!E2</f>
        <v>19817</v>
      </c>
      <c r="E2" s="26">
        <f>'Base de tempo'!F2</f>
        <v>46118.692384259259</v>
      </c>
      <c r="F2" s="26">
        <f>'Base de tempo'!G2</f>
        <v>46121.638958333337</v>
      </c>
      <c r="G2" s="26">
        <f>'Base de tempo'!H2</f>
        <v>46123.450289351851</v>
      </c>
      <c r="H2" s="26">
        <f>'Base de tempo'!I2</f>
        <v>46123.872847222221</v>
      </c>
      <c r="I2" s="26">
        <f>'Base de tempo'!J2</f>
        <v>46123.918506944443</v>
      </c>
      <c r="J2" s="27">
        <f t="shared" ref="J2:J49" si="0">IFERROR(IF((F2-E2)&gt;0,(F2-E2)*24*60,""),"")</f>
        <v>4243.0666666722391</v>
      </c>
      <c r="K2" s="27">
        <f t="shared" ref="K2:K49" si="1">IFERROR(IF((G2-F2)&gt;0,(G2-F2)*24*60,""),"")</f>
        <v>2608.3166666608304</v>
      </c>
      <c r="L2" s="27">
        <f t="shared" ref="L2:L49" si="2">IFERROR(IF((H2-G2)&gt;0,(H2-G2)*24*60,""),"")</f>
        <v>608.48333333269693</v>
      </c>
      <c r="M2" s="27">
        <f t="shared" ref="M2:M49" si="3">IFERROR(IF((I2-H2)&gt;0,(I2-H2)*24*60,""),"")</f>
        <v>65.749999999534339</v>
      </c>
      <c r="N2" s="28">
        <f>'Base de tempo'!O2</f>
        <v>90</v>
      </c>
      <c r="O2" s="24">
        <f>'Base de tempo'!P2</f>
        <v>0</v>
      </c>
      <c r="P2" s="28">
        <f>'Base de tempo'!Q2</f>
        <v>105</v>
      </c>
      <c r="Q2" s="24" t="str">
        <f>'Base de tempo'!R2</f>
        <v>Sim</v>
      </c>
      <c r="R2" s="24" t="str">
        <f>'Base de tempo'!S2</f>
        <v>RITMO</v>
      </c>
      <c r="S2" s="29">
        <f>IFERROR(SUMIFS('Base cargas'!H$2:H$36,'Base cargas'!G$2:G$36,A2),0)</f>
        <v>131700</v>
      </c>
      <c r="T2" s="10">
        <f>IFERROR(SUMIFS('Base cargas'!J$2:J$36,'Base cargas'!G$2:G$36,A2),0)</f>
        <v>4</v>
      </c>
      <c r="U2" s="30">
        <f t="shared" ref="U2:U49" si="4">IFERROR(S2/T2/1000,"")</f>
        <v>32.924999999999997</v>
      </c>
      <c r="V2" s="29">
        <f>IFERROR(SUMIFS('Base cargas'!K$2:K$36,'Base cargas'!G$2:G$36,A2),0)</f>
        <v>7023480</v>
      </c>
      <c r="W2" s="30">
        <f t="shared" ref="W2:W49" si="5">IFERROR(V2/S2,"")</f>
        <v>53.329384965831437</v>
      </c>
    </row>
    <row r="3" spans="1:23" ht="15" customHeight="1" x14ac:dyDescent="0.35">
      <c r="A3" s="24" t="str">
        <f>'Base de tempo'!C3</f>
        <v>8013468</v>
      </c>
      <c r="B3" s="25">
        <f>'Base de tempo'!B3</f>
        <v>46117</v>
      </c>
      <c r="C3" s="24" t="str">
        <f>'Base de tempo'!D3</f>
        <v>352</v>
      </c>
      <c r="D3" s="24" t="str">
        <f>'Base de tempo'!E3</f>
        <v>19817</v>
      </c>
      <c r="E3" s="26">
        <f>'Base de tempo'!F3</f>
        <v>46117.923298611109</v>
      </c>
      <c r="F3" s="26">
        <f>'Base de tempo'!G3</f>
        <v>46117.982951388891</v>
      </c>
      <c r="G3" s="26">
        <f>'Base de tempo'!H3</f>
        <v>46118.49659722222</v>
      </c>
      <c r="H3" s="26">
        <f>'Base de tempo'!I3</f>
        <v>46118.588078703702</v>
      </c>
      <c r="I3" s="26">
        <f>'Base de tempo'!J3</f>
        <v>46119.780057870368</v>
      </c>
      <c r="J3" s="27">
        <f t="shared" si="0"/>
        <v>85.900000005494803</v>
      </c>
      <c r="K3" s="27">
        <f t="shared" si="1"/>
        <v>739.64999999385327</v>
      </c>
      <c r="L3" s="27">
        <f t="shared" si="2"/>
        <v>131.73333333455957</v>
      </c>
      <c r="M3" s="27">
        <f t="shared" si="3"/>
        <v>1716.4499999990221</v>
      </c>
      <c r="N3" s="28">
        <f>'Base de tempo'!O3</f>
        <v>90</v>
      </c>
      <c r="O3" s="24">
        <f>'Base de tempo'!P3</f>
        <v>0</v>
      </c>
      <c r="P3" s="28">
        <f>'Base de tempo'!Q3</f>
        <v>105</v>
      </c>
      <c r="Q3" s="24">
        <f>'Base de tempo'!R3</f>
        <v>0</v>
      </c>
      <c r="R3" s="24" t="str">
        <f>'Base de tempo'!S3</f>
        <v>RITMO</v>
      </c>
      <c r="S3" s="29">
        <f>IFERROR(SUMIFS('Base cargas'!H$2:H$36,'Base cargas'!G$2:G$36,A3),0)</f>
        <v>211520</v>
      </c>
      <c r="T3" s="10">
        <f>IFERROR(SUMIFS('Base cargas'!J$2:J$36,'Base cargas'!G$2:G$36,A3),0)</f>
        <v>6</v>
      </c>
      <c r="U3" s="30">
        <f t="shared" si="4"/>
        <v>35.253333333333337</v>
      </c>
      <c r="V3" s="29">
        <f>IFERROR(SUMIFS('Base cargas'!K$2:K$36,'Base cargas'!G$2:G$36,A3),0)</f>
        <v>10783194</v>
      </c>
      <c r="W3" s="30">
        <f t="shared" si="5"/>
        <v>50.979548033282903</v>
      </c>
    </row>
    <row r="4" spans="1:23" ht="15" customHeight="1" x14ac:dyDescent="0.35">
      <c r="A4" s="24" t="str">
        <f>'Base de tempo'!C4</f>
        <v>8013482</v>
      </c>
      <c r="B4" s="25">
        <f>'Base de tempo'!B4</f>
        <v>46117</v>
      </c>
      <c r="C4" s="24" t="str">
        <f>'Base de tempo'!D4</f>
        <v>352</v>
      </c>
      <c r="D4" s="24" t="str">
        <f>'Base de tempo'!E4</f>
        <v>19817</v>
      </c>
      <c r="E4" s="26">
        <f>'Base de tempo'!F4</f>
        <v>46117.788622685184</v>
      </c>
      <c r="F4" s="26">
        <f>'Base de tempo'!G4</f>
        <v>46117.847245370373</v>
      </c>
      <c r="G4" s="26">
        <f>'Base de tempo'!H4</f>
        <v>46118.300034722219</v>
      </c>
      <c r="H4" s="26">
        <f>'Base de tempo'!I4</f>
        <v>46118.69159722222</v>
      </c>
      <c r="I4" s="26">
        <f>'Base de tempo'!J4</f>
        <v>46123.851759259262</v>
      </c>
      <c r="J4" s="27">
        <f t="shared" si="0"/>
        <v>84.416666671168059</v>
      </c>
      <c r="K4" s="27">
        <f t="shared" si="1"/>
        <v>652.01666665845551</v>
      </c>
      <c r="L4" s="27">
        <f t="shared" si="2"/>
        <v>563.85000000125729</v>
      </c>
      <c r="M4" s="27">
        <f t="shared" si="3"/>
        <v>7430.63333334052</v>
      </c>
      <c r="N4" s="28">
        <f>'Base de tempo'!O4</f>
        <v>90</v>
      </c>
      <c r="O4" s="24">
        <f>'Base de tempo'!P4</f>
        <v>0</v>
      </c>
      <c r="P4" s="28">
        <f>'Base de tempo'!Q4</f>
        <v>105</v>
      </c>
      <c r="Q4" s="24">
        <f>'Base de tempo'!R4</f>
        <v>0</v>
      </c>
      <c r="R4" s="24" t="str">
        <f>'Base de tempo'!S4</f>
        <v>RITMO</v>
      </c>
      <c r="S4" s="29">
        <f>IFERROR(SUMIFS('Base cargas'!H$2:H$36,'Base cargas'!G$2:G$36,A4),0)</f>
        <v>57540</v>
      </c>
      <c r="T4" s="10">
        <f>IFERROR(SUMIFS('Base cargas'!J$2:J$36,'Base cargas'!G$2:G$36,A4),0)</f>
        <v>2</v>
      </c>
      <c r="U4" s="30">
        <f t="shared" si="4"/>
        <v>28.77</v>
      </c>
      <c r="V4" s="29">
        <f>IFERROR(SUMIFS('Base cargas'!K$2:K$36,'Base cargas'!G$2:G$36,A4),0)</f>
        <v>3279780</v>
      </c>
      <c r="W4" s="30">
        <f t="shared" si="5"/>
        <v>57</v>
      </c>
    </row>
    <row r="5" spans="1:23" ht="15" customHeight="1" x14ac:dyDescent="0.35">
      <c r="A5" s="24" t="str">
        <f>'Base de tempo'!C5</f>
        <v>8013484</v>
      </c>
      <c r="B5" s="25">
        <f>'Base de tempo'!B5</f>
        <v>46117</v>
      </c>
      <c r="C5" s="24" t="str">
        <f>'Base de tempo'!D5</f>
        <v>352</v>
      </c>
      <c r="D5" s="24" t="str">
        <f>'Base de tempo'!E5</f>
        <v>19817</v>
      </c>
      <c r="E5" s="26">
        <f>'Base de tempo'!F5</f>
        <v>46117.744780092595</v>
      </c>
      <c r="F5" s="26">
        <f>'Base de tempo'!G5</f>
        <v>46117.801134259258</v>
      </c>
      <c r="G5" s="26">
        <f>'Base de tempo'!H5</f>
        <v>46118.192337962966</v>
      </c>
      <c r="H5" s="26">
        <f>'Base de tempo'!I5</f>
        <v>46118.402754629627</v>
      </c>
      <c r="I5" s="26">
        <f>'Base de tempo'!J5</f>
        <v>46119.944826388892</v>
      </c>
      <c r="J5" s="27">
        <f t="shared" si="0"/>
        <v>81.149999995250255</v>
      </c>
      <c r="K5" s="27">
        <f t="shared" si="1"/>
        <v>563.33333333954215</v>
      </c>
      <c r="L5" s="27">
        <f t="shared" si="2"/>
        <v>302.99999999231659</v>
      </c>
      <c r="M5" s="27">
        <f t="shared" si="3"/>
        <v>2220.5833333404735</v>
      </c>
      <c r="N5" s="28">
        <f>'Base de tempo'!O5</f>
        <v>90</v>
      </c>
      <c r="O5" s="24">
        <f>'Base de tempo'!P5</f>
        <v>0</v>
      </c>
      <c r="P5" s="28">
        <f>'Base de tempo'!Q5</f>
        <v>105</v>
      </c>
      <c r="Q5" s="24">
        <f>'Base de tempo'!R5</f>
        <v>0</v>
      </c>
      <c r="R5" s="24" t="str">
        <f>'Base de tempo'!S5</f>
        <v>RITMO</v>
      </c>
      <c r="S5" s="29">
        <f>IFERROR(SUMIFS('Base cargas'!H$2:H$36,'Base cargas'!G$2:G$36,A5),0)</f>
        <v>145760</v>
      </c>
      <c r="T5" s="10">
        <f>IFERROR(SUMIFS('Base cargas'!J$2:J$36,'Base cargas'!G$2:G$36,A5),0)</f>
        <v>4</v>
      </c>
      <c r="U5" s="30">
        <f t="shared" si="4"/>
        <v>36.44</v>
      </c>
      <c r="V5" s="29">
        <f>IFERROR(SUMIFS('Base cargas'!K$2:K$36,'Base cargas'!G$2:G$36,A5),0)</f>
        <v>7142240</v>
      </c>
      <c r="W5" s="30">
        <f t="shared" si="5"/>
        <v>49</v>
      </c>
    </row>
    <row r="6" spans="1:23" ht="15" customHeight="1" x14ac:dyDescent="0.35">
      <c r="A6" s="24" t="str">
        <f>'Base de tempo'!C6</f>
        <v>8013472</v>
      </c>
      <c r="B6" s="25">
        <f>'Base de tempo'!B6</f>
        <v>46117</v>
      </c>
      <c r="C6" s="24" t="str">
        <f>'Base de tempo'!D6</f>
        <v>353</v>
      </c>
      <c r="D6" s="24" t="str">
        <f>'Base de tempo'!E6</f>
        <v>19461</v>
      </c>
      <c r="E6" s="26">
        <f>'Base de tempo'!F6</f>
        <v>46117.902268518519</v>
      </c>
      <c r="F6" s="26">
        <f>'Base de tempo'!G6</f>
        <v>46117.971539351849</v>
      </c>
      <c r="G6" s="26">
        <f>'Base de tempo'!H6</f>
        <v>46118.231724537036</v>
      </c>
      <c r="H6" s="26">
        <f>'Base de tempo'!I6</f>
        <v>46118.324421296296</v>
      </c>
      <c r="I6" s="26">
        <f>'Base de tempo'!J6</f>
        <v>46118.541828703703</v>
      </c>
      <c r="J6" s="27">
        <f t="shared" si="0"/>
        <v>99.749999995110556</v>
      </c>
      <c r="K6" s="27">
        <f t="shared" si="1"/>
        <v>374.66666666907258</v>
      </c>
      <c r="L6" s="27">
        <f t="shared" si="2"/>
        <v>133.48333333502524</v>
      </c>
      <c r="M6" s="27">
        <f t="shared" si="3"/>
        <v>313.06666666525416</v>
      </c>
      <c r="N6" s="28">
        <f>'Base de tempo'!O6</f>
        <v>90</v>
      </c>
      <c r="O6" s="24">
        <f>'Base de tempo'!P6</f>
        <v>0</v>
      </c>
      <c r="P6" s="28">
        <f>'Base de tempo'!Q6</f>
        <v>105</v>
      </c>
      <c r="Q6" s="24">
        <f>'Base de tempo'!R6</f>
        <v>0</v>
      </c>
      <c r="R6" s="24" t="str">
        <f>'Base de tempo'!S6</f>
        <v>RITMO</v>
      </c>
      <c r="S6" s="29">
        <f>IFERROR(SUMIFS('Base cargas'!H$2:H$36,'Base cargas'!G$2:G$36,A6),0)</f>
        <v>150920</v>
      </c>
      <c r="T6" s="10">
        <f>IFERROR(SUMIFS('Base cargas'!J$2:J$36,'Base cargas'!G$2:G$36,A6),0)</f>
        <v>4</v>
      </c>
      <c r="U6" s="30">
        <f t="shared" si="4"/>
        <v>37.729999999999997</v>
      </c>
      <c r="V6" s="29">
        <f>IFERROR(SUMIFS('Base cargas'!K$2:K$36,'Base cargas'!G$2:G$36,A6),0)</f>
        <v>7469960</v>
      </c>
      <c r="W6" s="30">
        <f t="shared" si="5"/>
        <v>49.496156904320166</v>
      </c>
    </row>
    <row r="7" spans="1:23" ht="15" customHeight="1" x14ac:dyDescent="0.35">
      <c r="A7" s="24" t="str">
        <f>'Base de tempo'!C7</f>
        <v>8013473</v>
      </c>
      <c r="B7" s="25">
        <f>'Base de tempo'!B7</f>
        <v>46117</v>
      </c>
      <c r="C7" s="24" t="str">
        <f>'Base de tempo'!D7</f>
        <v>352</v>
      </c>
      <c r="D7" s="24" t="str">
        <f>'Base de tempo'!E7</f>
        <v>19817</v>
      </c>
      <c r="E7" s="26">
        <f>'Base de tempo'!F7</f>
        <v>46117.732164351852</v>
      </c>
      <c r="F7" s="26">
        <f>'Base de tempo'!G7</f>
        <v>46117.800486111111</v>
      </c>
      <c r="G7" s="26">
        <f>'Base de tempo'!H7</f>
        <v>46118.010717592595</v>
      </c>
      <c r="H7" s="26">
        <f>'Base de tempo'!I7</f>
        <v>46118.201018518521</v>
      </c>
      <c r="I7" s="26">
        <f>'Base de tempo'!J7</f>
        <v>46118.245613425926</v>
      </c>
      <c r="J7" s="27">
        <f t="shared" si="0"/>
        <v>98.383333333767951</v>
      </c>
      <c r="K7" s="27">
        <f t="shared" si="1"/>
        <v>302.73333333665505</v>
      </c>
      <c r="L7" s="27">
        <f t="shared" si="2"/>
        <v>274.03333333320916</v>
      </c>
      <c r="M7" s="27">
        <f t="shared" si="3"/>
        <v>64.216666663996875</v>
      </c>
      <c r="N7" s="28">
        <f>'Base de tempo'!O7</f>
        <v>90</v>
      </c>
      <c r="O7" s="24">
        <f>'Base de tempo'!P7</f>
        <v>0</v>
      </c>
      <c r="P7" s="28">
        <f>'Base de tempo'!Q7</f>
        <v>105</v>
      </c>
      <c r="Q7" s="24" t="str">
        <f>'Base de tempo'!R7</f>
        <v>Sim</v>
      </c>
      <c r="R7" s="24" t="str">
        <f>'Base de tempo'!S7</f>
        <v>RITMO</v>
      </c>
      <c r="S7" s="29">
        <f>IFERROR(SUMIFS('Base cargas'!H$2:H$36,'Base cargas'!G$2:G$36,A7),0)</f>
        <v>134820</v>
      </c>
      <c r="T7" s="10">
        <f>IFERROR(SUMIFS('Base cargas'!J$2:J$36,'Base cargas'!G$2:G$36,A7),0)</f>
        <v>4</v>
      </c>
      <c r="U7" s="30">
        <f t="shared" si="4"/>
        <v>33.704999999999998</v>
      </c>
      <c r="V7" s="29">
        <f>IFERROR(SUMIFS('Base cargas'!K$2:K$36,'Base cargas'!G$2:G$36,A7),0)</f>
        <v>7098980</v>
      </c>
      <c r="W7" s="30">
        <f t="shared" si="5"/>
        <v>52.655244029075803</v>
      </c>
    </row>
    <row r="8" spans="1:23" ht="15" customHeight="1" x14ac:dyDescent="0.35">
      <c r="A8" s="24" t="str">
        <f>'Base de tempo'!C8</f>
        <v>8013462</v>
      </c>
      <c r="B8" s="25">
        <f>'Base de tempo'!B8</f>
        <v>46117</v>
      </c>
      <c r="C8" s="24" t="str">
        <f>'Base de tempo'!D8</f>
        <v>351</v>
      </c>
      <c r="D8" s="24" t="str">
        <f>'Base de tempo'!E8</f>
        <v>9126</v>
      </c>
      <c r="E8" s="26">
        <f>'Base de tempo'!F8</f>
        <v>46117.67255787037</v>
      </c>
      <c r="F8" s="26">
        <f>'Base de tempo'!G8</f>
        <v>46117.708668981482</v>
      </c>
      <c r="G8" s="26">
        <f>'Base de tempo'!H8</f>
        <v>46117.848761574074</v>
      </c>
      <c r="H8" s="26">
        <f>'Base de tempo'!I8</f>
        <v>46117.862511574072</v>
      </c>
      <c r="I8" s="26">
        <f>'Base de tempo'!J8</f>
        <v>46117.862986111111</v>
      </c>
      <c r="J8" s="27">
        <f t="shared" si="0"/>
        <v>52.000000001862645</v>
      </c>
      <c r="K8" s="27">
        <f t="shared" si="1"/>
        <v>201.73333333223127</v>
      </c>
      <c r="L8" s="27">
        <f t="shared" si="2"/>
        <v>19.799999997485429</v>
      </c>
      <c r="M8" s="27">
        <f t="shared" si="3"/>
        <v>0.68333333590999246</v>
      </c>
      <c r="N8" s="28">
        <f>'Base de tempo'!O8</f>
        <v>90</v>
      </c>
      <c r="O8" s="24">
        <f>'Base de tempo'!P8</f>
        <v>0</v>
      </c>
      <c r="P8" s="28">
        <f>'Base de tempo'!Q8</f>
        <v>105</v>
      </c>
      <c r="Q8" s="24">
        <f>'Base de tempo'!R8</f>
        <v>0</v>
      </c>
      <c r="R8" s="24" t="str">
        <f>'Base de tempo'!S8</f>
        <v>RITMO</v>
      </c>
      <c r="S8" s="29">
        <f>IFERROR(SUMIFS('Base cargas'!H$2:H$36,'Base cargas'!G$2:G$36,A8),0)</f>
        <v>130100</v>
      </c>
      <c r="T8" s="10">
        <f>IFERROR(SUMIFS('Base cargas'!J$2:J$36,'Base cargas'!G$2:G$36,A8),0)</f>
        <v>4</v>
      </c>
      <c r="U8" s="30">
        <f t="shared" si="4"/>
        <v>32.524999999999999</v>
      </c>
      <c r="V8" s="29">
        <f>IFERROR(SUMIFS('Base cargas'!K$2:K$36,'Base cargas'!G$2:G$36,A8),0)</f>
        <v>6939140</v>
      </c>
      <c r="W8" s="30">
        <f t="shared" si="5"/>
        <v>53.336971560338199</v>
      </c>
    </row>
    <row r="9" spans="1:23" ht="15" customHeight="1" x14ac:dyDescent="0.35">
      <c r="A9" s="24" t="str">
        <f>'Base de tempo'!C9</f>
        <v>8013475</v>
      </c>
      <c r="B9" s="25">
        <f>'Base de tempo'!B9</f>
        <v>46117</v>
      </c>
      <c r="C9" s="24" t="str">
        <f>'Base de tempo'!D9</f>
        <v>351</v>
      </c>
      <c r="D9" s="24" t="str">
        <f>'Base de tempo'!E9</f>
        <v>19679</v>
      </c>
      <c r="E9" s="26">
        <f>'Base de tempo'!F9</f>
        <v>46117.800416666665</v>
      </c>
      <c r="F9" s="26">
        <f>'Base de tempo'!G9</f>
        <v>46117.844282407408</v>
      </c>
      <c r="G9" s="26">
        <f>'Base de tempo'!H9</f>
        <v>46117.982824074075</v>
      </c>
      <c r="H9" s="26">
        <f>'Base de tempo'!I9</f>
        <v>46118.013553240744</v>
      </c>
      <c r="I9" s="26">
        <f>'Base de tempo'!J9</f>
        <v>46118.172048611108</v>
      </c>
      <c r="J9" s="27">
        <f t="shared" si="0"/>
        <v>63.166666670003906</v>
      </c>
      <c r="K9" s="27">
        <f t="shared" si="1"/>
        <v>199.50000000069849</v>
      </c>
      <c r="L9" s="27">
        <f t="shared" si="2"/>
        <v>44.250000002793968</v>
      </c>
      <c r="M9" s="27">
        <f t="shared" si="3"/>
        <v>228.23333332431503</v>
      </c>
      <c r="N9" s="28">
        <f>'Base de tempo'!O9</f>
        <v>90</v>
      </c>
      <c r="O9" s="24">
        <f>'Base de tempo'!P9</f>
        <v>0</v>
      </c>
      <c r="P9" s="28">
        <f>'Base de tempo'!Q9</f>
        <v>105</v>
      </c>
      <c r="Q9" s="24">
        <f>'Base de tempo'!R9</f>
        <v>0</v>
      </c>
      <c r="R9" s="24" t="str">
        <f>'Base de tempo'!S9</f>
        <v>RITMO</v>
      </c>
      <c r="S9" s="29">
        <f>IFERROR(SUMIFS('Base cargas'!H$2:H$36,'Base cargas'!G$2:G$36,A9),0)</f>
        <v>0</v>
      </c>
      <c r="T9" s="10">
        <f>IFERROR(SUMIFS('Base cargas'!J$2:J$36,'Base cargas'!G$2:G$36,A9),0)</f>
        <v>0</v>
      </c>
      <c r="U9" s="30" t="str">
        <f t="shared" si="4"/>
        <v/>
      </c>
      <c r="V9" s="29">
        <f>IFERROR(SUMIFS('Base cargas'!K$2:K$36,'Base cargas'!G$2:G$36,A9),0)</f>
        <v>0</v>
      </c>
      <c r="W9" s="30" t="str">
        <f t="shared" si="5"/>
        <v/>
      </c>
    </row>
    <row r="10" spans="1:23" ht="15" customHeight="1" x14ac:dyDescent="0.35">
      <c r="A10" s="24" t="str">
        <f>'Base de tempo'!C10</f>
        <v>8013462</v>
      </c>
      <c r="B10" s="25">
        <f>'Base de tempo'!B10</f>
        <v>46124</v>
      </c>
      <c r="C10" s="24" t="str">
        <f>'Base de tempo'!D10</f>
        <v>352</v>
      </c>
      <c r="D10" s="24" t="str">
        <f>'Base de tempo'!E10</f>
        <v>19817</v>
      </c>
      <c r="E10" s="26">
        <f>'Base de tempo'!F10</f>
        <v>46124.630844907406</v>
      </c>
      <c r="F10" s="26">
        <f>'Base de tempo'!G10</f>
        <v>46124.679479166669</v>
      </c>
      <c r="G10" s="26">
        <f>'Base de tempo'!H10</f>
        <v>46124.811180555553</v>
      </c>
      <c r="H10" s="26">
        <f>'Base de tempo'!I10</f>
        <v>46124.822083333333</v>
      </c>
      <c r="I10" s="26">
        <f>'Base de tempo'!J10</f>
        <v>46124.957754629628</v>
      </c>
      <c r="J10" s="27">
        <f t="shared" si="0"/>
        <v>70.033333338797092</v>
      </c>
      <c r="K10" s="27">
        <f t="shared" si="1"/>
        <v>189.64999999268912</v>
      </c>
      <c r="L10" s="27">
        <f t="shared" si="2"/>
        <v>15.700000002980232</v>
      </c>
      <c r="M10" s="27">
        <f t="shared" si="3"/>
        <v>195.3666666650679</v>
      </c>
      <c r="N10" s="28">
        <f>'Base de tempo'!O10</f>
        <v>90</v>
      </c>
      <c r="O10" s="24">
        <f>'Base de tempo'!P10</f>
        <v>0</v>
      </c>
      <c r="P10" s="28">
        <f>'Base de tempo'!Q10</f>
        <v>105</v>
      </c>
      <c r="Q10" s="24">
        <f>'Base de tempo'!R10</f>
        <v>0</v>
      </c>
      <c r="R10" s="24" t="str">
        <f>'Base de tempo'!S10</f>
        <v>RITMO</v>
      </c>
      <c r="S10" s="29">
        <f>IFERROR(SUMIFS('Base cargas'!H$2:H$36,'Base cargas'!G$2:G$36,A10),0)</f>
        <v>130100</v>
      </c>
      <c r="T10" s="10">
        <f>IFERROR(SUMIFS('Base cargas'!J$2:J$36,'Base cargas'!G$2:G$36,A10),0)</f>
        <v>4</v>
      </c>
      <c r="U10" s="30">
        <f t="shared" si="4"/>
        <v>32.524999999999999</v>
      </c>
      <c r="V10" s="29">
        <f>IFERROR(SUMIFS('Base cargas'!K$2:K$36,'Base cargas'!G$2:G$36,A10),0)</f>
        <v>6939140</v>
      </c>
      <c r="W10" s="30">
        <f t="shared" si="5"/>
        <v>53.336971560338199</v>
      </c>
    </row>
    <row r="11" spans="1:23" ht="15" customHeight="1" x14ac:dyDescent="0.35">
      <c r="A11" s="24" t="str">
        <f>'Base de tempo'!C11</f>
        <v>8013470</v>
      </c>
      <c r="B11" s="25">
        <f>'Base de tempo'!B11</f>
        <v>46119</v>
      </c>
      <c r="C11" s="24" t="str">
        <f>'Base de tempo'!D11</f>
        <v>353</v>
      </c>
      <c r="D11" s="24" t="str">
        <f>'Base de tempo'!E11</f>
        <v>19461</v>
      </c>
      <c r="E11" s="26">
        <f>'Base de tempo'!F11</f>
        <v>46119.793090277781</v>
      </c>
      <c r="F11" s="26">
        <f>'Base de tempo'!G11</f>
        <v>46119.850428240738</v>
      </c>
      <c r="G11" s="26">
        <f>'Base de tempo'!H11</f>
        <v>46119.971412037034</v>
      </c>
      <c r="H11" s="26">
        <f>'Base de tempo'!I11</f>
        <v>46120.042083333334</v>
      </c>
      <c r="I11" s="26">
        <f>'Base de tempo'!J11</f>
        <v>46123.693935185183</v>
      </c>
      <c r="J11" s="27">
        <f t="shared" si="0"/>
        <v>82.56666665780358</v>
      </c>
      <c r="K11" s="27">
        <f t="shared" si="1"/>
        <v>174.21666666632518</v>
      </c>
      <c r="L11" s="27">
        <f t="shared" si="2"/>
        <v>101.76666667219251</v>
      </c>
      <c r="M11" s="27">
        <f t="shared" si="3"/>
        <v>5258.6666666634846</v>
      </c>
      <c r="N11" s="28">
        <f>'Base de tempo'!O11</f>
        <v>90</v>
      </c>
      <c r="O11" s="24">
        <f>'Base de tempo'!P11</f>
        <v>0</v>
      </c>
      <c r="P11" s="28">
        <f>'Base de tempo'!Q11</f>
        <v>105</v>
      </c>
      <c r="Q11" s="24">
        <f>'Base de tempo'!R11</f>
        <v>0</v>
      </c>
      <c r="R11" s="24" t="str">
        <f>'Base de tempo'!S11</f>
        <v>RITMO</v>
      </c>
      <c r="S11" s="29">
        <f>IFERROR(SUMIFS('Base cargas'!H$2:H$36,'Base cargas'!G$2:G$36,A11),0)</f>
        <v>217060</v>
      </c>
      <c r="T11" s="10">
        <f>IFERROR(SUMIFS('Base cargas'!J$2:J$36,'Base cargas'!G$2:G$36,A11),0)</f>
        <v>6</v>
      </c>
      <c r="U11" s="30">
        <f t="shared" si="4"/>
        <v>36.176666666666662</v>
      </c>
      <c r="V11" s="29">
        <f>IFERROR(SUMIFS('Base cargas'!K$2:K$36,'Base cargas'!G$2:G$36,A11),0)</f>
        <v>10657336</v>
      </c>
      <c r="W11" s="30">
        <f t="shared" si="5"/>
        <v>49.098571823458954</v>
      </c>
    </row>
    <row r="12" spans="1:23" ht="15" customHeight="1" x14ac:dyDescent="0.35">
      <c r="A12" s="24" t="str">
        <f>'Base de tempo'!C12</f>
        <v>8013468</v>
      </c>
      <c r="B12" s="25">
        <f>'Base de tempo'!B12</f>
        <v>46123</v>
      </c>
      <c r="C12" s="24" t="str">
        <f>'Base de tempo'!D12</f>
        <v>351</v>
      </c>
      <c r="D12" s="24" t="str">
        <f>'Base de tempo'!E12</f>
        <v>9143</v>
      </c>
      <c r="E12" s="26">
        <f>'Base de tempo'!F12</f>
        <v>46123.891365740739</v>
      </c>
      <c r="F12" s="26">
        <f>'Base de tempo'!G12</f>
        <v>46123.907696759263</v>
      </c>
      <c r="G12" s="26">
        <f>'Base de tempo'!H12</f>
        <v>46124.015092592592</v>
      </c>
      <c r="H12" s="26">
        <f>'Base de tempo'!I12</f>
        <v>46124.036747685182</v>
      </c>
      <c r="I12" s="26">
        <f>'Base de tempo'!J12</f>
        <v>46124.380995370368</v>
      </c>
      <c r="J12" s="27">
        <f t="shared" si="0"/>
        <v>23.516666673822328</v>
      </c>
      <c r="K12" s="27">
        <f t="shared" si="1"/>
        <v>154.64999999385327</v>
      </c>
      <c r="L12" s="27">
        <f t="shared" si="2"/>
        <v>31.183333330554888</v>
      </c>
      <c r="M12" s="27">
        <f t="shared" si="3"/>
        <v>495.71666666655801</v>
      </c>
      <c r="N12" s="28">
        <f>'Base de tempo'!O12</f>
        <v>90</v>
      </c>
      <c r="O12" s="24">
        <f>'Base de tempo'!P12</f>
        <v>0</v>
      </c>
      <c r="P12" s="28">
        <f>'Base de tempo'!Q12</f>
        <v>105</v>
      </c>
      <c r="Q12" s="24">
        <f>'Base de tempo'!R12</f>
        <v>0</v>
      </c>
      <c r="R12" s="24" t="str">
        <f>'Base de tempo'!S12</f>
        <v>RITMO</v>
      </c>
      <c r="S12" s="29">
        <f>IFERROR(SUMIFS('Base cargas'!H$2:H$36,'Base cargas'!G$2:G$36,A12),0)</f>
        <v>211520</v>
      </c>
      <c r="T12" s="10">
        <f>IFERROR(SUMIFS('Base cargas'!J$2:J$36,'Base cargas'!G$2:G$36,A12),0)</f>
        <v>6</v>
      </c>
      <c r="U12" s="30">
        <f t="shared" si="4"/>
        <v>35.253333333333337</v>
      </c>
      <c r="V12" s="29">
        <f>IFERROR(SUMIFS('Base cargas'!K$2:K$36,'Base cargas'!G$2:G$36,A12),0)</f>
        <v>10783194</v>
      </c>
      <c r="W12" s="30">
        <f t="shared" si="5"/>
        <v>50.979548033282903</v>
      </c>
    </row>
    <row r="13" spans="1:23" ht="15" customHeight="1" x14ac:dyDescent="0.35">
      <c r="A13" s="24" t="str">
        <f>'Base de tempo'!C13</f>
        <v>8013473</v>
      </c>
      <c r="B13" s="25">
        <f>'Base de tempo'!B13</f>
        <v>46123</v>
      </c>
      <c r="C13" s="24" t="str">
        <f>'Base de tempo'!D13</f>
        <v>351</v>
      </c>
      <c r="D13" s="24" t="str">
        <f>'Base de tempo'!E13</f>
        <v>9143</v>
      </c>
      <c r="E13" s="26">
        <f>'Base de tempo'!F13</f>
        <v>46123.815625000003</v>
      </c>
      <c r="F13" s="26">
        <f>'Base de tempo'!G13</f>
        <v>46123.833020833335</v>
      </c>
      <c r="G13" s="26">
        <f>'Base de tempo'!H13</f>
        <v>46123.939884259256</v>
      </c>
      <c r="H13" s="26">
        <f>'Base de tempo'!I13</f>
        <v>46123.973101851851</v>
      </c>
      <c r="I13" s="26">
        <f>'Base de tempo'!J13</f>
        <v>46124.331076388888</v>
      </c>
      <c r="J13" s="27">
        <f t="shared" si="0"/>
        <v>25.049999998882413</v>
      </c>
      <c r="K13" s="27">
        <f t="shared" si="1"/>
        <v>153.88333332608454</v>
      </c>
      <c r="L13" s="27">
        <f t="shared" si="2"/>
        <v>47.83333333558403</v>
      </c>
      <c r="M13" s="27">
        <f t="shared" si="3"/>
        <v>515.48333333339542</v>
      </c>
      <c r="N13" s="28">
        <f>'Base de tempo'!O13</f>
        <v>90</v>
      </c>
      <c r="O13" s="24">
        <f>'Base de tempo'!P13</f>
        <v>0</v>
      </c>
      <c r="P13" s="28">
        <f>'Base de tempo'!Q13</f>
        <v>105</v>
      </c>
      <c r="Q13" s="24">
        <f>'Base de tempo'!R13</f>
        <v>0</v>
      </c>
      <c r="R13" s="24" t="str">
        <f>'Base de tempo'!S13</f>
        <v>RITMO</v>
      </c>
      <c r="S13" s="29">
        <f>IFERROR(SUMIFS('Base cargas'!H$2:H$36,'Base cargas'!G$2:G$36,A13),0)</f>
        <v>134820</v>
      </c>
      <c r="T13" s="10">
        <f>IFERROR(SUMIFS('Base cargas'!J$2:J$36,'Base cargas'!G$2:G$36,A13),0)</f>
        <v>4</v>
      </c>
      <c r="U13" s="30">
        <f t="shared" si="4"/>
        <v>33.704999999999998</v>
      </c>
      <c r="V13" s="29">
        <f>IFERROR(SUMIFS('Base cargas'!K$2:K$36,'Base cargas'!G$2:G$36,A13),0)</f>
        <v>7098980</v>
      </c>
      <c r="W13" s="30">
        <f t="shared" si="5"/>
        <v>52.655244029075803</v>
      </c>
    </row>
    <row r="14" spans="1:23" ht="15" customHeight="1" x14ac:dyDescent="0.35">
      <c r="A14" s="24" t="str">
        <f>'Base de tempo'!C14</f>
        <v>8013470</v>
      </c>
      <c r="B14" s="25">
        <f>'Base de tempo'!B14</f>
        <v>46117</v>
      </c>
      <c r="C14" s="24" t="str">
        <f>'Base de tempo'!D14</f>
        <v>353</v>
      </c>
      <c r="D14" s="24" t="str">
        <f>'Base de tempo'!E14</f>
        <v>19461</v>
      </c>
      <c r="E14" s="26">
        <f>'Base de tempo'!F14</f>
        <v>46117.919606481482</v>
      </c>
      <c r="F14" s="26">
        <f>'Base de tempo'!G14</f>
        <v>46117.977361111109</v>
      </c>
      <c r="G14" s="26">
        <f>'Base de tempo'!H14</f>
        <v>46118.076006944444</v>
      </c>
      <c r="H14" s="26">
        <f>'Base de tempo'!I14</f>
        <v>46118.162858796299</v>
      </c>
      <c r="I14" s="26">
        <f>'Base de tempo'!J14</f>
        <v>46118.369699074072</v>
      </c>
      <c r="J14" s="27">
        <f t="shared" si="0"/>
        <v>83.166666661854833</v>
      </c>
      <c r="K14" s="27">
        <f t="shared" si="1"/>
        <v>142.05000000307336</v>
      </c>
      <c r="L14" s="27">
        <f t="shared" si="2"/>
        <v>125.06666667060927</v>
      </c>
      <c r="M14" s="27">
        <f t="shared" si="3"/>
        <v>297.84999999334104</v>
      </c>
      <c r="N14" s="28">
        <f>'Base de tempo'!O14</f>
        <v>90</v>
      </c>
      <c r="O14" s="24">
        <f>'Base de tempo'!P14</f>
        <v>0</v>
      </c>
      <c r="P14" s="28">
        <f>'Base de tempo'!Q14</f>
        <v>105</v>
      </c>
      <c r="Q14" s="24">
        <f>'Base de tempo'!R14</f>
        <v>0</v>
      </c>
      <c r="R14" s="24" t="str">
        <f>'Base de tempo'!S14</f>
        <v>RITMO</v>
      </c>
      <c r="S14" s="29">
        <f>IFERROR(SUMIFS('Base cargas'!H$2:H$36,'Base cargas'!G$2:G$36,A14),0)</f>
        <v>217060</v>
      </c>
      <c r="T14" s="10">
        <f>IFERROR(SUMIFS('Base cargas'!J$2:J$36,'Base cargas'!G$2:G$36,A14),0)</f>
        <v>6</v>
      </c>
      <c r="U14" s="30">
        <f t="shared" si="4"/>
        <v>36.176666666666662</v>
      </c>
      <c r="V14" s="29">
        <f>IFERROR(SUMIFS('Base cargas'!K$2:K$36,'Base cargas'!G$2:G$36,A14),0)</f>
        <v>10657336</v>
      </c>
      <c r="W14" s="30">
        <f t="shared" si="5"/>
        <v>49.098571823458954</v>
      </c>
    </row>
    <row r="15" spans="1:23" ht="15" customHeight="1" x14ac:dyDescent="0.35">
      <c r="A15" s="24" t="str">
        <f>'Base de tempo'!C15</f>
        <v>8013460</v>
      </c>
      <c r="B15" s="25">
        <f>'Base de tempo'!B15</f>
        <v>46117</v>
      </c>
      <c r="C15" s="24" t="str">
        <f>'Base de tempo'!D15</f>
        <v>351</v>
      </c>
      <c r="D15" s="24" t="str">
        <f>'Base de tempo'!E15</f>
        <v>19679</v>
      </c>
      <c r="E15" s="26">
        <f>'Base de tempo'!F15</f>
        <v>46117.59516203704</v>
      </c>
      <c r="F15" s="26">
        <f>'Base de tempo'!G15</f>
        <v>46117.623495370368</v>
      </c>
      <c r="G15" s="26">
        <f>'Base de tempo'!H15</f>
        <v>46117.712893518517</v>
      </c>
      <c r="H15" s="26">
        <f>'Base de tempo'!I15</f>
        <v>46117.740324074075</v>
      </c>
      <c r="I15" s="26">
        <f>'Base de tempo'!J15</f>
        <v>46117.740590277775</v>
      </c>
      <c r="J15" s="27">
        <f t="shared" si="0"/>
        <v>40.799999992595986</v>
      </c>
      <c r="K15" s="27">
        <f t="shared" si="1"/>
        <v>128.73333333525807</v>
      </c>
      <c r="L15" s="27">
        <f t="shared" si="2"/>
        <v>39.500000003026798</v>
      </c>
      <c r="M15" s="27">
        <f t="shared" si="3"/>
        <v>0.38333332864567637</v>
      </c>
      <c r="N15" s="28">
        <f>'Base de tempo'!O15</f>
        <v>90</v>
      </c>
      <c r="O15" s="24">
        <f>'Base de tempo'!P15</f>
        <v>0</v>
      </c>
      <c r="P15" s="28">
        <f>'Base de tempo'!Q15</f>
        <v>105</v>
      </c>
      <c r="Q15" s="24">
        <f>'Base de tempo'!R15</f>
        <v>0</v>
      </c>
      <c r="R15" s="24" t="str">
        <f>'Base de tempo'!S15</f>
        <v>RITMO</v>
      </c>
      <c r="S15" s="29">
        <f>IFERROR(SUMIFS('Base cargas'!H$2:H$36,'Base cargas'!G$2:G$36,A15),0)</f>
        <v>0</v>
      </c>
      <c r="T15" s="10">
        <f>IFERROR(SUMIFS('Base cargas'!J$2:J$36,'Base cargas'!G$2:G$36,A15),0)</f>
        <v>0</v>
      </c>
      <c r="U15" s="30" t="str">
        <f t="shared" si="4"/>
        <v/>
      </c>
      <c r="V15" s="29">
        <f>IFERROR(SUMIFS('Base cargas'!K$2:K$36,'Base cargas'!G$2:G$36,A15),0)</f>
        <v>0</v>
      </c>
      <c r="W15" s="30" t="str">
        <f t="shared" si="5"/>
        <v/>
      </c>
    </row>
    <row r="16" spans="1:23" ht="15" customHeight="1" x14ac:dyDescent="0.35">
      <c r="A16" s="24" t="str">
        <f>'Base de tempo'!C16</f>
        <v>8013481</v>
      </c>
      <c r="B16" s="25">
        <f>'Base de tempo'!B16</f>
        <v>46119</v>
      </c>
      <c r="C16" s="24" t="str">
        <f>'Base de tempo'!D16</f>
        <v>353</v>
      </c>
      <c r="D16" s="24" t="str">
        <f>'Base de tempo'!E16</f>
        <v>19461</v>
      </c>
      <c r="E16" s="26">
        <f>'Base de tempo'!F16</f>
        <v>46119.889456018522</v>
      </c>
      <c r="F16" s="26">
        <f>'Base de tempo'!G16</f>
        <v>46119.947210648148</v>
      </c>
      <c r="G16" s="26">
        <f>'Base de tempo'!H16</f>
        <v>46120.033599537041</v>
      </c>
      <c r="H16" s="26">
        <f>'Base de tempo'!I16</f>
        <v>46120.404027777775</v>
      </c>
      <c r="I16" s="26">
        <f>'Base de tempo'!J16</f>
        <v>46123.756689814814</v>
      </c>
      <c r="J16" s="27">
        <f t="shared" si="0"/>
        <v>83.166666661854833</v>
      </c>
      <c r="K16" s="27">
        <f t="shared" si="1"/>
        <v>124.40000000526197</v>
      </c>
      <c r="L16" s="27">
        <f t="shared" si="2"/>
        <v>533.41666665743105</v>
      </c>
      <c r="M16" s="27">
        <f t="shared" si="3"/>
        <v>4827.8333333367482</v>
      </c>
      <c r="N16" s="28">
        <f>'Base de tempo'!O16</f>
        <v>90</v>
      </c>
      <c r="O16" s="24">
        <f>'Base de tempo'!P16</f>
        <v>0</v>
      </c>
      <c r="P16" s="28">
        <f>'Base de tempo'!Q16</f>
        <v>105</v>
      </c>
      <c r="Q16" s="24">
        <f>'Base de tempo'!R16</f>
        <v>0</v>
      </c>
      <c r="R16" s="24" t="str">
        <f>'Base de tempo'!S16</f>
        <v>RITMO</v>
      </c>
      <c r="S16" s="29">
        <f>IFERROR(SUMIFS('Base cargas'!H$2:H$36,'Base cargas'!G$2:G$36,A16),0)</f>
        <v>75900</v>
      </c>
      <c r="T16" s="10">
        <f>IFERROR(SUMIFS('Base cargas'!J$2:J$36,'Base cargas'!G$2:G$36,A16),0)</f>
        <v>2</v>
      </c>
      <c r="U16" s="30">
        <f t="shared" si="4"/>
        <v>37.950000000000003</v>
      </c>
      <c r="V16" s="29">
        <f>IFERROR(SUMIFS('Base cargas'!K$2:K$36,'Base cargas'!G$2:G$36,A16),0)</f>
        <v>3665970</v>
      </c>
      <c r="W16" s="30">
        <f t="shared" si="5"/>
        <v>48.3</v>
      </c>
    </row>
    <row r="17" spans="1:23" ht="15" customHeight="1" x14ac:dyDescent="0.35">
      <c r="A17" s="24" t="str">
        <f>'Base de tempo'!C17</f>
        <v>8013475</v>
      </c>
      <c r="B17" s="25">
        <f>'Base de tempo'!B17</f>
        <v>46124</v>
      </c>
      <c r="C17" s="24" t="str">
        <f>'Base de tempo'!D17</f>
        <v>351</v>
      </c>
      <c r="D17" s="24" t="str">
        <f>'Base de tempo'!E17</f>
        <v>9143</v>
      </c>
      <c r="E17" s="26">
        <f>'Base de tempo'!F17</f>
        <v>46124.711851851855</v>
      </c>
      <c r="F17" s="26">
        <f>'Base de tempo'!G17</f>
        <v>46124.733113425929</v>
      </c>
      <c r="G17" s="26">
        <f>'Base de tempo'!H17</f>
        <v>46124.817210648151</v>
      </c>
      <c r="H17" s="26">
        <f>'Base de tempo'!I17</f>
        <v>46124.861620370371</v>
      </c>
      <c r="I17" s="26">
        <f>'Base de tempo'!J17</f>
        <v>46125.04146990741</v>
      </c>
      <c r="J17" s="27">
        <f t="shared" si="0"/>
        <v>30.616666667629033</v>
      </c>
      <c r="K17" s="27">
        <f t="shared" si="1"/>
        <v>121.09999999869615</v>
      </c>
      <c r="L17" s="27">
        <f t="shared" si="2"/>
        <v>63.949999997857958</v>
      </c>
      <c r="M17" s="27">
        <f t="shared" si="3"/>
        <v>258.9833333354909</v>
      </c>
      <c r="N17" s="28">
        <f>'Base de tempo'!O17</f>
        <v>90</v>
      </c>
      <c r="O17" s="24">
        <f>'Base de tempo'!P17</f>
        <v>0</v>
      </c>
      <c r="P17" s="28">
        <f>'Base de tempo'!Q17</f>
        <v>105</v>
      </c>
      <c r="Q17" s="24">
        <f>'Base de tempo'!R17</f>
        <v>0</v>
      </c>
      <c r="R17" s="24" t="str">
        <f>'Base de tempo'!S17</f>
        <v>RITMO</v>
      </c>
      <c r="S17" s="29">
        <f>IFERROR(SUMIFS('Base cargas'!H$2:H$36,'Base cargas'!G$2:G$36,A17),0)</f>
        <v>0</v>
      </c>
      <c r="T17" s="10">
        <f>IFERROR(SUMIFS('Base cargas'!J$2:J$36,'Base cargas'!G$2:G$36,A17),0)</f>
        <v>0</v>
      </c>
      <c r="U17" s="30" t="str">
        <f t="shared" si="4"/>
        <v/>
      </c>
      <c r="V17" s="29">
        <f>IFERROR(SUMIFS('Base cargas'!K$2:K$36,'Base cargas'!G$2:G$36,A17),0)</f>
        <v>0</v>
      </c>
      <c r="W17" s="30" t="str">
        <f t="shared" si="5"/>
        <v/>
      </c>
    </row>
    <row r="18" spans="1:23" ht="15" customHeight="1" x14ac:dyDescent="0.35">
      <c r="A18" s="24" t="str">
        <f>'Base de tempo'!C18</f>
        <v>8013478</v>
      </c>
      <c r="B18" s="25">
        <f>'Base de tempo'!B18</f>
        <v>46118</v>
      </c>
      <c r="C18" s="24" t="str">
        <f>'Base de tempo'!D18</f>
        <v>353</v>
      </c>
      <c r="D18" s="24" t="str">
        <f>'Base de tempo'!E18</f>
        <v>19461</v>
      </c>
      <c r="E18" s="26">
        <f>'Base de tempo'!F18</f>
        <v>46117.983726851853</v>
      </c>
      <c r="F18" s="26">
        <f>'Base de tempo'!G18</f>
        <v>46118.035787037035</v>
      </c>
      <c r="G18" s="26">
        <f>'Base de tempo'!H18</f>
        <v>46118.113946759258</v>
      </c>
      <c r="H18" s="26">
        <f>'Base de tempo'!I18</f>
        <v>46118.201921296299</v>
      </c>
      <c r="I18" s="26">
        <f>'Base de tempo'!J18</f>
        <v>46118.691689814812</v>
      </c>
      <c r="J18" s="27">
        <f t="shared" si="0"/>
        <v>74.966666662367061</v>
      </c>
      <c r="K18" s="27">
        <f t="shared" si="1"/>
        <v>112.55000000121072</v>
      </c>
      <c r="L18" s="27">
        <f t="shared" si="2"/>
        <v>126.68333333800547</v>
      </c>
      <c r="M18" s="27">
        <f t="shared" si="3"/>
        <v>705.266666659154</v>
      </c>
      <c r="N18" s="28">
        <f>'Base de tempo'!O18</f>
        <v>90</v>
      </c>
      <c r="O18" s="24">
        <f>'Base de tempo'!P18</f>
        <v>0</v>
      </c>
      <c r="P18" s="28">
        <f>'Base de tempo'!Q18</f>
        <v>105</v>
      </c>
      <c r="Q18" s="24">
        <f>'Base de tempo'!R18</f>
        <v>0</v>
      </c>
      <c r="R18" s="24" t="str">
        <f>'Base de tempo'!S18</f>
        <v>RITMO</v>
      </c>
      <c r="S18" s="29">
        <f>IFERROR(SUMIFS('Base cargas'!H$2:H$36,'Base cargas'!G$2:G$36,A18),0)</f>
        <v>131700</v>
      </c>
      <c r="T18" s="10">
        <f>IFERROR(SUMIFS('Base cargas'!J$2:J$36,'Base cargas'!G$2:G$36,A18),0)</f>
        <v>4</v>
      </c>
      <c r="U18" s="30">
        <f t="shared" si="4"/>
        <v>32.924999999999997</v>
      </c>
      <c r="V18" s="29">
        <f>IFERROR(SUMIFS('Base cargas'!K$2:K$36,'Base cargas'!G$2:G$36,A18),0)</f>
        <v>7023480</v>
      </c>
      <c r="W18" s="30">
        <f t="shared" si="5"/>
        <v>53.329384965831437</v>
      </c>
    </row>
    <row r="19" spans="1:23" ht="15" customHeight="1" x14ac:dyDescent="0.35">
      <c r="A19" s="24" t="str">
        <f>'Base de tempo'!C19</f>
        <v>8013476</v>
      </c>
      <c r="B19" s="25">
        <f>'Base de tempo'!B19</f>
        <v>46118</v>
      </c>
      <c r="C19" s="24" t="str">
        <f>'Base de tempo'!D19</f>
        <v>351</v>
      </c>
      <c r="D19" s="24" t="str">
        <f>'Base de tempo'!E19</f>
        <v>19679</v>
      </c>
      <c r="E19" s="26">
        <f>'Base de tempo'!F19</f>
        <v>46118.404733796298</v>
      </c>
      <c r="F19" s="26">
        <f>'Base de tempo'!G19</f>
        <v>46118.430706018517</v>
      </c>
      <c r="G19" s="26">
        <f>'Base de tempo'!H19</f>
        <v>46118.50409722222</v>
      </c>
      <c r="H19" s="26">
        <f>'Base de tempo'!I19</f>
        <v>46118.532337962963</v>
      </c>
      <c r="I19" s="26">
        <f>'Base de tempo'!J19</f>
        <v>46119.846412037034</v>
      </c>
      <c r="J19" s="27">
        <f t="shared" si="0"/>
        <v>37.399999994086102</v>
      </c>
      <c r="K19" s="27">
        <f t="shared" si="1"/>
        <v>105.68333333241753</v>
      </c>
      <c r="L19" s="27">
        <f t="shared" si="2"/>
        <v>40.666666670003906</v>
      </c>
      <c r="M19" s="27">
        <f t="shared" si="3"/>
        <v>1892.2666666621808</v>
      </c>
      <c r="N19" s="28">
        <f>'Base de tempo'!O19</f>
        <v>90</v>
      </c>
      <c r="O19" s="24">
        <f>'Base de tempo'!P19</f>
        <v>0</v>
      </c>
      <c r="P19" s="28">
        <f>'Base de tempo'!Q19</f>
        <v>105</v>
      </c>
      <c r="Q19" s="24">
        <f>'Base de tempo'!R19</f>
        <v>0</v>
      </c>
      <c r="R19" s="24" t="str">
        <f>'Base de tempo'!S19</f>
        <v>RITMO</v>
      </c>
      <c r="S19" s="29">
        <f>IFERROR(SUMIFS('Base cargas'!H$2:H$36,'Base cargas'!G$2:G$36,A19),0)</f>
        <v>140520</v>
      </c>
      <c r="T19" s="10">
        <f>IFERROR(SUMIFS('Base cargas'!J$2:J$36,'Base cargas'!G$2:G$36,A19),0)</f>
        <v>4</v>
      </c>
      <c r="U19" s="30">
        <f t="shared" si="4"/>
        <v>35.130000000000003</v>
      </c>
      <c r="V19" s="29">
        <f>IFERROR(SUMIFS('Base cargas'!K$2:K$36,'Base cargas'!G$2:G$36,A19),0)</f>
        <v>6900268</v>
      </c>
      <c r="W19" s="30">
        <f t="shared" si="5"/>
        <v>49.105237688585255</v>
      </c>
    </row>
    <row r="20" spans="1:23" ht="15" customHeight="1" x14ac:dyDescent="0.35">
      <c r="A20" s="24" t="str">
        <f>'Base de tempo'!C20</f>
        <v>8013474</v>
      </c>
      <c r="B20" s="25">
        <f>'Base de tempo'!B20</f>
        <v>46118</v>
      </c>
      <c r="C20" s="24" t="str">
        <f>'Base de tempo'!D20</f>
        <v>351</v>
      </c>
      <c r="D20" s="24" t="str">
        <f>'Base de tempo'!E20</f>
        <v>19679</v>
      </c>
      <c r="E20" s="26">
        <f>'Base de tempo'!F20</f>
        <v>46118.36078703704</v>
      </c>
      <c r="F20" s="26">
        <f>'Base de tempo'!G20</f>
        <v>46118.387743055559</v>
      </c>
      <c r="G20" s="26">
        <f>'Base de tempo'!H20</f>
        <v>46118.457615740743</v>
      </c>
      <c r="H20" s="26">
        <f>'Base de tempo'!I20</f>
        <v>46118.490648148145</v>
      </c>
      <c r="I20" s="26">
        <f>'Base de tempo'!J20</f>
        <v>46119.748425925929</v>
      </c>
      <c r="J20" s="27">
        <f t="shared" si="0"/>
        <v>38.816666667116806</v>
      </c>
      <c r="K20" s="27">
        <f t="shared" si="1"/>
        <v>100.61666666530073</v>
      </c>
      <c r="L20" s="27">
        <f t="shared" si="2"/>
        <v>47.566666658967733</v>
      </c>
      <c r="M20" s="27">
        <f t="shared" si="3"/>
        <v>1811.2000000092667</v>
      </c>
      <c r="N20" s="28">
        <f>'Base de tempo'!O20</f>
        <v>90</v>
      </c>
      <c r="O20" s="24">
        <f>'Base de tempo'!P20</f>
        <v>0</v>
      </c>
      <c r="P20" s="28">
        <f>'Base de tempo'!Q20</f>
        <v>105</v>
      </c>
      <c r="Q20" s="24">
        <f>'Base de tempo'!R20</f>
        <v>0</v>
      </c>
      <c r="R20" s="24" t="str">
        <f>'Base de tempo'!S20</f>
        <v>RITMO</v>
      </c>
      <c r="S20" s="29">
        <f>IFERROR(SUMIFS('Base cargas'!H$2:H$36,'Base cargas'!G$2:G$36,A20),0)</f>
        <v>72520</v>
      </c>
      <c r="T20" s="10">
        <f>IFERROR(SUMIFS('Base cargas'!J$2:J$36,'Base cargas'!G$2:G$36,A20),0)</f>
        <v>2</v>
      </c>
      <c r="U20" s="30">
        <f t="shared" si="4"/>
        <v>36.26</v>
      </c>
      <c r="V20" s="29">
        <f>IFERROR(SUMIFS('Base cargas'!K$2:K$36,'Base cargas'!G$2:G$36,A20),0)</f>
        <v>3502716</v>
      </c>
      <c r="W20" s="30">
        <f t="shared" si="5"/>
        <v>48.3</v>
      </c>
    </row>
    <row r="21" spans="1:23" ht="15" customHeight="1" x14ac:dyDescent="0.35">
      <c r="A21" s="24" t="str">
        <f>'Base de tempo'!C21</f>
        <v>8013470</v>
      </c>
      <c r="B21" s="25">
        <f>'Base de tempo'!B21</f>
        <v>46117</v>
      </c>
      <c r="C21" s="24" t="str">
        <f>'Base de tempo'!D21</f>
        <v>353</v>
      </c>
      <c r="D21" s="24" t="str">
        <f>'Base de tempo'!E21</f>
        <v>19461</v>
      </c>
      <c r="E21" s="26">
        <f>'Base de tempo'!F21</f>
        <v>46117.531215277777</v>
      </c>
      <c r="F21" s="26">
        <f>'Base de tempo'!G21</f>
        <v>46117.652662037035</v>
      </c>
      <c r="G21" s="26">
        <f>'Base de tempo'!H21</f>
        <v>46117.722083333334</v>
      </c>
      <c r="H21" s="26">
        <f>'Base de tempo'!I21</f>
        <v>46117.918900462966</v>
      </c>
      <c r="I21" s="26">
        <f>'Base de tempo'!J21</f>
        <v>46117.918912037036</v>
      </c>
      <c r="J21" s="27">
        <f t="shared" si="0"/>
        <v>174.88333333167247</v>
      </c>
      <c r="K21" s="27">
        <f t="shared" si="1"/>
        <v>99.966666670516133</v>
      </c>
      <c r="L21" s="27">
        <f t="shared" si="2"/>
        <v>283.41666667023674</v>
      </c>
      <c r="M21" s="27">
        <f t="shared" si="3"/>
        <v>1.6666660085320473E-2</v>
      </c>
      <c r="N21" s="28">
        <f>'Base de tempo'!O21</f>
        <v>90</v>
      </c>
      <c r="O21" s="24">
        <f>'Base de tempo'!P21</f>
        <v>0</v>
      </c>
      <c r="P21" s="28">
        <f>'Base de tempo'!Q21</f>
        <v>105</v>
      </c>
      <c r="Q21" s="24">
        <f>'Base de tempo'!R21</f>
        <v>0</v>
      </c>
      <c r="R21" s="24" t="str">
        <f>'Base de tempo'!S21</f>
        <v>RITMO</v>
      </c>
      <c r="S21" s="29">
        <f>IFERROR(SUMIFS('Base cargas'!H$2:H$36,'Base cargas'!G$2:G$36,A21),0)</f>
        <v>217060</v>
      </c>
      <c r="T21" s="10">
        <f>IFERROR(SUMIFS('Base cargas'!J$2:J$36,'Base cargas'!G$2:G$36,A21),0)</f>
        <v>6</v>
      </c>
      <c r="U21" s="30">
        <f t="shared" si="4"/>
        <v>36.176666666666662</v>
      </c>
      <c r="V21" s="29">
        <f>IFERROR(SUMIFS('Base cargas'!K$2:K$36,'Base cargas'!G$2:G$36,A21),0)</f>
        <v>10657336</v>
      </c>
      <c r="W21" s="30">
        <f t="shared" si="5"/>
        <v>49.098571823458954</v>
      </c>
    </row>
    <row r="22" spans="1:23" ht="15" customHeight="1" x14ac:dyDescent="0.35">
      <c r="A22" s="24" t="str">
        <f>'Base de tempo'!C22</f>
        <v>8013469</v>
      </c>
      <c r="B22" s="25">
        <f>'Base de tempo'!B22</f>
        <v>46118</v>
      </c>
      <c r="C22" s="24" t="str">
        <f>'Base de tempo'!D22</f>
        <v>353</v>
      </c>
      <c r="D22" s="24" t="str">
        <f>'Base de tempo'!E22</f>
        <v>19461</v>
      </c>
      <c r="E22" s="26">
        <f>'Base de tempo'!F22</f>
        <v>46118.371377314812</v>
      </c>
      <c r="F22" s="26">
        <f>'Base de tempo'!G22</f>
        <v>46118.414293981485</v>
      </c>
      <c r="G22" s="26">
        <f>'Base de tempo'!H22</f>
        <v>46118.480925925927</v>
      </c>
      <c r="H22" s="26">
        <f>'Base de tempo'!I22</f>
        <v>46118.555879629632</v>
      </c>
      <c r="I22" s="26">
        <f>'Base de tempo'!J22</f>
        <v>46123.487650462965</v>
      </c>
      <c r="J22" s="27">
        <f t="shared" si="0"/>
        <v>61.8000000086613</v>
      </c>
      <c r="K22" s="27">
        <f t="shared" si="1"/>
        <v>95.949999997392297</v>
      </c>
      <c r="L22" s="27">
        <f t="shared" si="2"/>
        <v>107.93333333451301</v>
      </c>
      <c r="M22" s="27">
        <f t="shared" si="3"/>
        <v>7101.7499999993015</v>
      </c>
      <c r="N22" s="28">
        <f>'Base de tempo'!O22</f>
        <v>90</v>
      </c>
      <c r="O22" s="24">
        <f>'Base de tempo'!P22</f>
        <v>0</v>
      </c>
      <c r="P22" s="28">
        <f>'Base de tempo'!Q22</f>
        <v>105</v>
      </c>
      <c r="Q22" s="24">
        <f>'Base de tempo'!R22</f>
        <v>0</v>
      </c>
      <c r="R22" s="24" t="str">
        <f>'Base de tempo'!S22</f>
        <v>RITMO</v>
      </c>
      <c r="S22" s="29">
        <f>IFERROR(SUMIFS('Base cargas'!H$2:H$36,'Base cargas'!G$2:G$36,A22),0)</f>
        <v>149560</v>
      </c>
      <c r="T22" s="10">
        <f>IFERROR(SUMIFS('Base cargas'!J$2:J$36,'Base cargas'!G$2:G$36,A22),0)</f>
        <v>4</v>
      </c>
      <c r="U22" s="30">
        <f t="shared" si="4"/>
        <v>37.39</v>
      </c>
      <c r="V22" s="29">
        <f>IFERROR(SUMIFS('Base cargas'!K$2:K$36,'Base cargas'!G$2:G$36,A22),0)</f>
        <v>7400140</v>
      </c>
      <c r="W22" s="30">
        <f t="shared" si="5"/>
        <v>49.479406258357848</v>
      </c>
    </row>
    <row r="23" spans="1:23" ht="15" customHeight="1" x14ac:dyDescent="0.35">
      <c r="A23" s="24" t="str">
        <f>'Base de tempo'!C23</f>
        <v>8013469</v>
      </c>
      <c r="B23" s="25">
        <f>'Base de tempo'!B23</f>
        <v>46124</v>
      </c>
      <c r="C23" s="24" t="str">
        <f>'Base de tempo'!D23</f>
        <v>351</v>
      </c>
      <c r="D23" s="24" t="str">
        <f>'Base de tempo'!E23</f>
        <v>9143</v>
      </c>
      <c r="E23" s="26">
        <f>'Base de tempo'!F23</f>
        <v>46124.457337962966</v>
      </c>
      <c r="F23" s="26">
        <f>'Base de tempo'!G23</f>
        <v>46124.480428240742</v>
      </c>
      <c r="G23" s="26">
        <f>'Base de tempo'!H23</f>
        <v>46124.543877314813</v>
      </c>
      <c r="H23" s="26">
        <f>'Base de tempo'!I23</f>
        <v>46124.582812499997</v>
      </c>
      <c r="I23" s="26">
        <f>'Base de tempo'!J23</f>
        <v>46124.708067129628</v>
      </c>
      <c r="J23" s="27">
        <f t="shared" si="0"/>
        <v>33.249999998370185</v>
      </c>
      <c r="K23" s="27">
        <f t="shared" si="1"/>
        <v>91.366666661342606</v>
      </c>
      <c r="L23" s="27">
        <f t="shared" si="2"/>
        <v>56.066666665719822</v>
      </c>
      <c r="M23" s="27">
        <f t="shared" si="3"/>
        <v>180.36666666856036</v>
      </c>
      <c r="N23" s="28">
        <f>'Base de tempo'!O23</f>
        <v>90</v>
      </c>
      <c r="O23" s="24">
        <f>'Base de tempo'!P23</f>
        <v>0</v>
      </c>
      <c r="P23" s="28">
        <f>'Base de tempo'!Q23</f>
        <v>105</v>
      </c>
      <c r="Q23" s="24">
        <f>'Base de tempo'!R23</f>
        <v>0</v>
      </c>
      <c r="R23" s="24" t="str">
        <f>'Base de tempo'!S23</f>
        <v>RITMO</v>
      </c>
      <c r="S23" s="29">
        <f>IFERROR(SUMIFS('Base cargas'!H$2:H$36,'Base cargas'!G$2:G$36,A23),0)</f>
        <v>149560</v>
      </c>
      <c r="T23" s="10">
        <f>IFERROR(SUMIFS('Base cargas'!J$2:J$36,'Base cargas'!G$2:G$36,A23),0)</f>
        <v>4</v>
      </c>
      <c r="U23" s="30">
        <f t="shared" si="4"/>
        <v>37.39</v>
      </c>
      <c r="V23" s="29">
        <f>IFERROR(SUMIFS('Base cargas'!K$2:K$36,'Base cargas'!G$2:G$36,A23),0)</f>
        <v>7400140</v>
      </c>
      <c r="W23" s="30">
        <f t="shared" si="5"/>
        <v>49.479406258357848</v>
      </c>
    </row>
    <row r="24" spans="1:23" ht="15" customHeight="1" x14ac:dyDescent="0.35">
      <c r="A24" s="24" t="str">
        <f>'Base de tempo'!C24</f>
        <v>8013470</v>
      </c>
      <c r="B24" s="25">
        <f>'Base de tempo'!B24</f>
        <v>46124</v>
      </c>
      <c r="C24" s="24" t="str">
        <f>'Base de tempo'!D24</f>
        <v>352</v>
      </c>
      <c r="D24" s="24" t="str">
        <f>'Base de tempo'!E24</f>
        <v>19817</v>
      </c>
      <c r="E24" s="26">
        <f>'Base de tempo'!F24</f>
        <v>46124.877002314817</v>
      </c>
      <c r="F24" s="26">
        <f>'Base de tempo'!G24</f>
        <v>46124.946018518516</v>
      </c>
      <c r="G24" s="26">
        <f>'Base de tempo'!H24</f>
        <v>46125.008067129631</v>
      </c>
      <c r="H24" s="26">
        <f>'Base de tempo'!I24</f>
        <v>46125.083749999998</v>
      </c>
      <c r="I24" s="26">
        <f>'Base de tempo'!J24</f>
        <v>0</v>
      </c>
      <c r="J24" s="27">
        <f t="shared" si="0"/>
        <v>99.383333326550201</v>
      </c>
      <c r="K24" s="27">
        <f t="shared" si="1"/>
        <v>89.350000005215406</v>
      </c>
      <c r="L24" s="27">
        <f t="shared" si="2"/>
        <v>108.98333332850598</v>
      </c>
      <c r="M24" s="27" t="str">
        <f t="shared" si="3"/>
        <v/>
      </c>
      <c r="N24" s="28">
        <f>'Base de tempo'!O24</f>
        <v>90</v>
      </c>
      <c r="O24" s="24" t="str">
        <f>'Base de tempo'!P24</f>
        <v>Sim</v>
      </c>
      <c r="P24" s="28">
        <f>'Base de tempo'!Q24</f>
        <v>105</v>
      </c>
      <c r="Q24" s="24">
        <f>'Base de tempo'!R24</f>
        <v>0</v>
      </c>
      <c r="R24" s="24" t="str">
        <f>'Base de tempo'!S24</f>
        <v>RITMO</v>
      </c>
      <c r="S24" s="29">
        <f>IFERROR(SUMIFS('Base cargas'!H$2:H$36,'Base cargas'!G$2:G$36,A24),0)</f>
        <v>217060</v>
      </c>
      <c r="T24" s="10">
        <f>IFERROR(SUMIFS('Base cargas'!J$2:J$36,'Base cargas'!G$2:G$36,A24),0)</f>
        <v>6</v>
      </c>
      <c r="U24" s="30">
        <f t="shared" si="4"/>
        <v>36.176666666666662</v>
      </c>
      <c r="V24" s="29">
        <f>IFERROR(SUMIFS('Base cargas'!K$2:K$36,'Base cargas'!G$2:G$36,A24),0)</f>
        <v>10657336</v>
      </c>
      <c r="W24" s="30">
        <f t="shared" si="5"/>
        <v>49.098571823458954</v>
      </c>
    </row>
    <row r="25" spans="1:23" ht="15" customHeight="1" x14ac:dyDescent="0.35">
      <c r="A25" s="24" t="str">
        <f>'Base de tempo'!C25</f>
        <v>8013468</v>
      </c>
      <c r="B25" s="25">
        <f>'Base de tempo'!B25</f>
        <v>46124</v>
      </c>
      <c r="C25" s="24" t="str">
        <f>'Base de tempo'!D25</f>
        <v>351</v>
      </c>
      <c r="D25" s="24" t="str">
        <f>'Base de tempo'!E25</f>
        <v>9143</v>
      </c>
      <c r="E25" s="26">
        <f>'Base de tempo'!F25</f>
        <v>46124.786180555559</v>
      </c>
      <c r="F25" s="26">
        <f>'Base de tempo'!G25</f>
        <v>46124.807199074072</v>
      </c>
      <c r="G25" s="26">
        <f>'Base de tempo'!H25</f>
        <v>46124.866076388891</v>
      </c>
      <c r="H25" s="26">
        <f>'Base de tempo'!I25</f>
        <v>46124.940324074072</v>
      </c>
      <c r="I25" s="26">
        <f>'Base de tempo'!J25</f>
        <v>46125.054282407407</v>
      </c>
      <c r="J25" s="27">
        <f t="shared" si="0"/>
        <v>30.266666659153998</v>
      </c>
      <c r="K25" s="27">
        <f t="shared" si="1"/>
        <v>84.783333339728415</v>
      </c>
      <c r="L25" s="27">
        <f t="shared" si="2"/>
        <v>106.91666666069068</v>
      </c>
      <c r="M25" s="27">
        <f t="shared" si="3"/>
        <v>164.10000000265427</v>
      </c>
      <c r="N25" s="28">
        <f>'Base de tempo'!O25</f>
        <v>90</v>
      </c>
      <c r="O25" s="24" t="str">
        <f>'Base de tempo'!P25</f>
        <v>Sim</v>
      </c>
      <c r="P25" s="28">
        <f>'Base de tempo'!Q25</f>
        <v>105</v>
      </c>
      <c r="Q25" s="24">
        <f>'Base de tempo'!R25</f>
        <v>0</v>
      </c>
      <c r="R25" s="24" t="str">
        <f>'Base de tempo'!S25</f>
        <v>RITMO</v>
      </c>
      <c r="S25" s="29">
        <f>IFERROR(SUMIFS('Base cargas'!H$2:H$36,'Base cargas'!G$2:G$36,A25),0)</f>
        <v>211520</v>
      </c>
      <c r="T25" s="10">
        <f>IFERROR(SUMIFS('Base cargas'!J$2:J$36,'Base cargas'!G$2:G$36,A25),0)</f>
        <v>6</v>
      </c>
      <c r="U25" s="30">
        <f t="shared" si="4"/>
        <v>35.253333333333337</v>
      </c>
      <c r="V25" s="29">
        <f>IFERROR(SUMIFS('Base cargas'!K$2:K$36,'Base cargas'!G$2:G$36,A25),0)</f>
        <v>10783194</v>
      </c>
      <c r="W25" s="30">
        <f t="shared" si="5"/>
        <v>50.979548033282903</v>
      </c>
    </row>
    <row r="26" spans="1:23" ht="15" customHeight="1" x14ac:dyDescent="0.35">
      <c r="A26" s="24" t="str">
        <f>'Base de tempo'!C26</f>
        <v>8013484</v>
      </c>
      <c r="B26" s="25">
        <f>'Base de tempo'!B26</f>
        <v>46120</v>
      </c>
      <c r="C26" s="24" t="str">
        <f>'Base de tempo'!D26</f>
        <v>353</v>
      </c>
      <c r="D26" s="24" t="str">
        <f>'Base de tempo'!E26</f>
        <v>19461</v>
      </c>
      <c r="E26" s="26">
        <f>'Base de tempo'!F26</f>
        <v>46119.945520833331</v>
      </c>
      <c r="F26" s="26">
        <f>'Base de tempo'!G26</f>
        <v>46120.001030092593</v>
      </c>
      <c r="G26" s="26">
        <f>'Base de tempo'!H26</f>
        <v>46120.057291666664</v>
      </c>
      <c r="H26" s="26">
        <f>'Base de tempo'!I26</f>
        <v>46122.144178240742</v>
      </c>
      <c r="I26" s="26">
        <f>'Base de tempo'!J26</f>
        <v>46123.719953703701</v>
      </c>
      <c r="J26" s="27">
        <f t="shared" si="0"/>
        <v>79.933333337539807</v>
      </c>
      <c r="K26" s="27">
        <f t="shared" si="1"/>
        <v>81.016666662180796</v>
      </c>
      <c r="L26" s="27">
        <f t="shared" si="2"/>
        <v>3005.11666667182</v>
      </c>
      <c r="M26" s="27">
        <f t="shared" si="3"/>
        <v>2269.1166666615754</v>
      </c>
      <c r="N26" s="28">
        <f>'Base de tempo'!O26</f>
        <v>90</v>
      </c>
      <c r="O26" s="24" t="str">
        <f>'Base de tempo'!P26</f>
        <v>Sim</v>
      </c>
      <c r="P26" s="28">
        <f>'Base de tempo'!Q26</f>
        <v>105</v>
      </c>
      <c r="Q26" s="24">
        <f>'Base de tempo'!R26</f>
        <v>0</v>
      </c>
      <c r="R26" s="24" t="str">
        <f>'Base de tempo'!S26</f>
        <v>RITMO</v>
      </c>
      <c r="S26" s="29">
        <f>IFERROR(SUMIFS('Base cargas'!H$2:H$36,'Base cargas'!G$2:G$36,A26),0)</f>
        <v>145760</v>
      </c>
      <c r="T26" s="10">
        <f>IFERROR(SUMIFS('Base cargas'!J$2:J$36,'Base cargas'!G$2:G$36,A26),0)</f>
        <v>4</v>
      </c>
      <c r="U26" s="30">
        <f t="shared" si="4"/>
        <v>36.44</v>
      </c>
      <c r="V26" s="29">
        <f>IFERROR(SUMIFS('Base cargas'!K$2:K$36,'Base cargas'!G$2:G$36,A26),0)</f>
        <v>7142240</v>
      </c>
      <c r="W26" s="30">
        <f t="shared" si="5"/>
        <v>49</v>
      </c>
    </row>
    <row r="27" spans="1:23" ht="15" customHeight="1" x14ac:dyDescent="0.35">
      <c r="A27" s="24" t="str">
        <f>'Base de tempo'!C27</f>
        <v>8013478</v>
      </c>
      <c r="B27" s="25">
        <f>'Base de tempo'!B27</f>
        <v>46124</v>
      </c>
      <c r="C27" s="24" t="str">
        <f>'Base de tempo'!D27</f>
        <v>351</v>
      </c>
      <c r="D27" s="24" t="str">
        <f>'Base de tempo'!E27</f>
        <v>9143</v>
      </c>
      <c r="E27" s="26">
        <f>'Base de tempo'!F27</f>
        <v>46124.846516203703</v>
      </c>
      <c r="F27" s="26">
        <f>'Base de tempo'!G27</f>
        <v>46124.86347222222</v>
      </c>
      <c r="G27" s="26">
        <f>'Base de tempo'!H27</f>
        <v>46124.916967592595</v>
      </c>
      <c r="H27" s="26">
        <f>'Base de tempo'!I27</f>
        <v>46124.946458333332</v>
      </c>
      <c r="I27" s="26">
        <f>'Base de tempo'!J27</f>
        <v>46125.067430555559</v>
      </c>
      <c r="J27" s="27">
        <f t="shared" si="0"/>
        <v>24.41666666418314</v>
      </c>
      <c r="K27" s="27">
        <f t="shared" si="1"/>
        <v>77.033333340659738</v>
      </c>
      <c r="L27" s="27">
        <f t="shared" si="2"/>
        <v>42.466666661202908</v>
      </c>
      <c r="M27" s="27">
        <f t="shared" si="3"/>
        <v>174.20000000623986</v>
      </c>
      <c r="N27" s="28">
        <f>'Base de tempo'!O27</f>
        <v>90</v>
      </c>
      <c r="O27" s="24" t="str">
        <f>'Base de tempo'!P27</f>
        <v>Sim</v>
      </c>
      <c r="P27" s="28">
        <f>'Base de tempo'!Q27</f>
        <v>105</v>
      </c>
      <c r="Q27" s="24">
        <f>'Base de tempo'!R27</f>
        <v>0</v>
      </c>
      <c r="R27" s="24" t="str">
        <f>'Base de tempo'!S27</f>
        <v>RITMO</v>
      </c>
      <c r="S27" s="29">
        <f>IFERROR(SUMIFS('Base cargas'!H$2:H$36,'Base cargas'!G$2:G$36,A27),0)</f>
        <v>131700</v>
      </c>
      <c r="T27" s="10">
        <f>IFERROR(SUMIFS('Base cargas'!J$2:J$36,'Base cargas'!G$2:G$36,A27),0)</f>
        <v>4</v>
      </c>
      <c r="U27" s="30">
        <f t="shared" si="4"/>
        <v>32.924999999999997</v>
      </c>
      <c r="V27" s="29">
        <f>IFERROR(SUMIFS('Base cargas'!K$2:K$36,'Base cargas'!G$2:G$36,A27),0)</f>
        <v>7023480</v>
      </c>
      <c r="W27" s="30">
        <f t="shared" si="5"/>
        <v>53.329384965831437</v>
      </c>
    </row>
    <row r="28" spans="1:23" ht="15" customHeight="1" x14ac:dyDescent="0.35">
      <c r="A28" s="24" t="str">
        <f>'Base de tempo'!C28</f>
        <v>8013468</v>
      </c>
      <c r="B28" s="25">
        <f>'Base de tempo'!B28</f>
        <v>46117</v>
      </c>
      <c r="C28" s="24" t="str">
        <f>'Base de tempo'!D28</f>
        <v>351</v>
      </c>
      <c r="D28" s="24" t="str">
        <f>'Base de tempo'!E28</f>
        <v>19679</v>
      </c>
      <c r="E28" s="26">
        <f>'Base de tempo'!F28</f>
        <v>46117.642627314817</v>
      </c>
      <c r="F28" s="26">
        <f>'Base de tempo'!G28</f>
        <v>46117.676550925928</v>
      </c>
      <c r="G28" s="26">
        <f>'Base de tempo'!H28</f>
        <v>46117.729270833333</v>
      </c>
      <c r="H28" s="26">
        <f>'Base de tempo'!I28</f>
        <v>46117.92287037037</v>
      </c>
      <c r="I28" s="26">
        <f>'Base de tempo'!J28</f>
        <v>46117.92260416667</v>
      </c>
      <c r="J28" s="27">
        <f t="shared" si="0"/>
        <v>48.849999998928979</v>
      </c>
      <c r="K28" s="27">
        <f t="shared" si="1"/>
        <v>75.91666666441597</v>
      </c>
      <c r="L28" s="27">
        <f t="shared" si="2"/>
        <v>278.78333333297633</v>
      </c>
      <c r="M28" s="27" t="str">
        <f t="shared" si="3"/>
        <v/>
      </c>
      <c r="N28" s="28">
        <f>'Base de tempo'!O28</f>
        <v>90</v>
      </c>
      <c r="O28" s="24" t="str">
        <f>'Base de tempo'!P28</f>
        <v>Sim</v>
      </c>
      <c r="P28" s="28">
        <f>'Base de tempo'!Q28</f>
        <v>105</v>
      </c>
      <c r="Q28" s="24">
        <f>'Base de tempo'!R28</f>
        <v>0</v>
      </c>
      <c r="R28" s="24" t="str">
        <f>'Base de tempo'!S28</f>
        <v>RITMO</v>
      </c>
      <c r="S28" s="29">
        <f>IFERROR(SUMIFS('Base cargas'!H$2:H$36,'Base cargas'!G$2:G$36,A28),0)</f>
        <v>211520</v>
      </c>
      <c r="T28" s="10">
        <f>IFERROR(SUMIFS('Base cargas'!J$2:J$36,'Base cargas'!G$2:G$36,A28),0)</f>
        <v>6</v>
      </c>
      <c r="U28" s="30">
        <f t="shared" si="4"/>
        <v>35.253333333333337</v>
      </c>
      <c r="V28" s="29">
        <f>IFERROR(SUMIFS('Base cargas'!K$2:K$36,'Base cargas'!G$2:G$36,A28),0)</f>
        <v>10783194</v>
      </c>
      <c r="W28" s="30">
        <f t="shared" si="5"/>
        <v>50.979548033282903</v>
      </c>
    </row>
    <row r="29" spans="1:23" ht="15" customHeight="1" x14ac:dyDescent="0.35">
      <c r="A29" s="24" t="str">
        <f>'Base de tempo'!C29</f>
        <v>8013462</v>
      </c>
      <c r="B29" s="25">
        <f>'Base de tempo'!B29</f>
        <v>46118</v>
      </c>
      <c r="C29" s="24" t="str">
        <f>'Base de tempo'!D29</f>
        <v>353</v>
      </c>
      <c r="D29" s="24" t="str">
        <f>'Base de tempo'!E29</f>
        <v>19461</v>
      </c>
      <c r="E29" s="26">
        <f>'Base de tempo'!F29</f>
        <v>46118.142997685187</v>
      </c>
      <c r="F29" s="26">
        <f>'Base de tempo'!G29</f>
        <v>46118.202592592592</v>
      </c>
      <c r="G29" s="26">
        <f>'Base de tempo'!H29</f>
        <v>46118.252962962964</v>
      </c>
      <c r="H29" s="26">
        <f>'Base de tempo'!I29</f>
        <v>46118.326111111113</v>
      </c>
      <c r="I29" s="26">
        <f>'Base de tempo'!J29</f>
        <v>46118.73636574074</v>
      </c>
      <c r="J29" s="27">
        <f t="shared" si="0"/>
        <v>85.816666663158685</v>
      </c>
      <c r="K29" s="27">
        <f t="shared" si="1"/>
        <v>72.533333336468786</v>
      </c>
      <c r="L29" s="27">
        <f t="shared" si="2"/>
        <v>105.33333333441988</v>
      </c>
      <c r="M29" s="27">
        <f t="shared" si="3"/>
        <v>590.76666666311212</v>
      </c>
      <c r="N29" s="28">
        <f>'Base de tempo'!O29</f>
        <v>90</v>
      </c>
      <c r="O29" s="24" t="str">
        <f>'Base de tempo'!P29</f>
        <v>Sim</v>
      </c>
      <c r="P29" s="28">
        <f>'Base de tempo'!Q29</f>
        <v>105</v>
      </c>
      <c r="Q29" s="24">
        <f>'Base de tempo'!R29</f>
        <v>0</v>
      </c>
      <c r="R29" s="24" t="str">
        <f>'Base de tempo'!S29</f>
        <v>RITMO</v>
      </c>
      <c r="S29" s="29">
        <f>IFERROR(SUMIFS('Base cargas'!H$2:H$36,'Base cargas'!G$2:G$36,A29),0)</f>
        <v>130100</v>
      </c>
      <c r="T29" s="10">
        <f>IFERROR(SUMIFS('Base cargas'!J$2:J$36,'Base cargas'!G$2:G$36,A29),0)</f>
        <v>4</v>
      </c>
      <c r="U29" s="30">
        <f t="shared" si="4"/>
        <v>32.524999999999999</v>
      </c>
      <c r="V29" s="29">
        <f>IFERROR(SUMIFS('Base cargas'!K$2:K$36,'Base cargas'!G$2:G$36,A29),0)</f>
        <v>6939140</v>
      </c>
      <c r="W29" s="30">
        <f t="shared" si="5"/>
        <v>53.336971560338199</v>
      </c>
    </row>
    <row r="30" spans="1:23" ht="15" customHeight="1" x14ac:dyDescent="0.35">
      <c r="A30" s="24" t="str">
        <f>'Base de tempo'!C30</f>
        <v>8013477</v>
      </c>
      <c r="B30" s="25">
        <f>'Base de tempo'!B30</f>
        <v>46124</v>
      </c>
      <c r="C30" s="24" t="str">
        <f>'Base de tempo'!D30</f>
        <v>353</v>
      </c>
      <c r="D30" s="24" t="str">
        <f>'Base de tempo'!E30</f>
        <v>19461</v>
      </c>
      <c r="E30" s="26">
        <f>'Base de tempo'!F30</f>
        <v>46124.848819444444</v>
      </c>
      <c r="F30" s="26">
        <f>'Base de tempo'!G30</f>
        <v>46124.902465277781</v>
      </c>
      <c r="G30" s="26">
        <f>'Base de tempo'!H30</f>
        <v>46124.951608796298</v>
      </c>
      <c r="H30" s="26">
        <f>'Base de tempo'!I30</f>
        <v>46125.052291666667</v>
      </c>
      <c r="I30" s="26">
        <f>'Base de tempo'!J30</f>
        <v>0</v>
      </c>
      <c r="J30" s="27">
        <f t="shared" si="0"/>
        <v>77.250000005587935</v>
      </c>
      <c r="K30" s="27">
        <f t="shared" si="1"/>
        <v>70.766666665440425</v>
      </c>
      <c r="L30" s="27">
        <f t="shared" si="2"/>
        <v>144.98333333060145</v>
      </c>
      <c r="M30" s="27" t="str">
        <f t="shared" si="3"/>
        <v/>
      </c>
      <c r="N30" s="28">
        <f>'Base de tempo'!O30</f>
        <v>90</v>
      </c>
      <c r="O30" s="24" t="str">
        <f>'Base de tempo'!P30</f>
        <v>Sim</v>
      </c>
      <c r="P30" s="28">
        <f>'Base de tempo'!Q30</f>
        <v>105</v>
      </c>
      <c r="Q30" s="24">
        <f>'Base de tempo'!R30</f>
        <v>0</v>
      </c>
      <c r="R30" s="24" t="str">
        <f>'Base de tempo'!S30</f>
        <v>RITMO</v>
      </c>
      <c r="S30" s="29">
        <f>IFERROR(SUMIFS('Base cargas'!H$2:H$36,'Base cargas'!G$2:G$36,A30),0)</f>
        <v>142140</v>
      </c>
      <c r="T30" s="10">
        <f>IFERROR(SUMIFS('Base cargas'!J$2:J$36,'Base cargas'!G$2:G$36,A30),0)</f>
        <v>4</v>
      </c>
      <c r="U30" s="30">
        <f t="shared" si="4"/>
        <v>35.534999999999997</v>
      </c>
      <c r="V30" s="29">
        <f>IFERROR(SUMIFS('Base cargas'!K$2:K$36,'Base cargas'!G$2:G$36,A30),0)</f>
        <v>7031500</v>
      </c>
      <c r="W30" s="30">
        <f t="shared" si="5"/>
        <v>49.468833544392851</v>
      </c>
    </row>
    <row r="31" spans="1:23" ht="15" customHeight="1" x14ac:dyDescent="0.35">
      <c r="A31" s="24" t="str">
        <f>'Base de tempo'!C31</f>
        <v>8013474</v>
      </c>
      <c r="B31" s="25">
        <f>'Base de tempo'!B31</f>
        <v>46124</v>
      </c>
      <c r="C31" s="24" t="str">
        <f>'Base de tempo'!D31</f>
        <v>353</v>
      </c>
      <c r="D31" s="24" t="str">
        <f>'Base de tempo'!E31</f>
        <v>19461</v>
      </c>
      <c r="E31" s="26">
        <f>'Base de tempo'!F31</f>
        <v>46124.821157407408</v>
      </c>
      <c r="F31" s="26">
        <f>'Base de tempo'!G31</f>
        <v>46124.875277777777</v>
      </c>
      <c r="G31" s="26">
        <f>'Base de tempo'!H31</f>
        <v>46124.9218287037</v>
      </c>
      <c r="H31" s="26">
        <f>'Base de tempo'!I31</f>
        <v>46125.024351851855</v>
      </c>
      <c r="I31" s="26">
        <f>'Base de tempo'!J31</f>
        <v>46125.076516203706</v>
      </c>
      <c r="J31" s="27">
        <f t="shared" si="0"/>
        <v>77.933333331020549</v>
      </c>
      <c r="K31" s="27">
        <f t="shared" si="1"/>
        <v>67.033333329018205</v>
      </c>
      <c r="L31" s="27">
        <f t="shared" si="2"/>
        <v>147.63333334238268</v>
      </c>
      <c r="M31" s="27">
        <f t="shared" si="3"/>
        <v>75.116666665999219</v>
      </c>
      <c r="N31" s="28">
        <f>'Base de tempo'!O31</f>
        <v>90</v>
      </c>
      <c r="O31" s="24" t="str">
        <f>'Base de tempo'!P31</f>
        <v>Sim</v>
      </c>
      <c r="P31" s="28">
        <f>'Base de tempo'!Q31</f>
        <v>105</v>
      </c>
      <c r="Q31" s="24" t="str">
        <f>'Base de tempo'!R31</f>
        <v>Sim</v>
      </c>
      <c r="R31" s="24" t="str">
        <f>'Base de tempo'!S31</f>
        <v>RITMO</v>
      </c>
      <c r="S31" s="29">
        <f>IFERROR(SUMIFS('Base cargas'!H$2:H$36,'Base cargas'!G$2:G$36,A31),0)</f>
        <v>72520</v>
      </c>
      <c r="T31" s="10">
        <f>IFERROR(SUMIFS('Base cargas'!J$2:J$36,'Base cargas'!G$2:G$36,A31),0)</f>
        <v>2</v>
      </c>
      <c r="U31" s="30">
        <f t="shared" si="4"/>
        <v>36.26</v>
      </c>
      <c r="V31" s="29">
        <f>IFERROR(SUMIFS('Base cargas'!K$2:K$36,'Base cargas'!G$2:G$36,A31),0)</f>
        <v>3502716</v>
      </c>
      <c r="W31" s="30">
        <f t="shared" si="5"/>
        <v>48.3</v>
      </c>
    </row>
    <row r="32" spans="1:23" ht="15" customHeight="1" x14ac:dyDescent="0.35">
      <c r="A32" s="24" t="str">
        <f>'Base de tempo'!C32</f>
        <v>8013470</v>
      </c>
      <c r="B32" s="25">
        <f>'Base de tempo'!B32</f>
        <v>46124</v>
      </c>
      <c r="C32" s="24" t="str">
        <f>'Base de tempo'!D32</f>
        <v>352</v>
      </c>
      <c r="D32" s="24" t="str">
        <f>'Base de tempo'!E32</f>
        <v>19817</v>
      </c>
      <c r="E32" s="26">
        <f>'Base de tempo'!F32</f>
        <v>46124.561099537037</v>
      </c>
      <c r="F32" s="26">
        <f>'Base de tempo'!G32</f>
        <v>46124.611261574071</v>
      </c>
      <c r="G32" s="26">
        <f>'Base de tempo'!H32</f>
        <v>46124.654930555553</v>
      </c>
      <c r="H32" s="26">
        <f>'Base de tempo'!I32</f>
        <v>46124.714722222219</v>
      </c>
      <c r="I32" s="26">
        <f>'Base de tempo'!J32</f>
        <v>46124.876307870371</v>
      </c>
      <c r="J32" s="27">
        <f t="shared" si="0"/>
        <v>72.23333332920447</v>
      </c>
      <c r="K32" s="27">
        <f t="shared" si="1"/>
        <v>62.883333333302289</v>
      </c>
      <c r="L32" s="27">
        <f t="shared" si="2"/>
        <v>86.099999999860302</v>
      </c>
      <c r="M32" s="27">
        <f t="shared" si="3"/>
        <v>232.68333333777264</v>
      </c>
      <c r="N32" s="28">
        <f>'Base de tempo'!O32</f>
        <v>90</v>
      </c>
      <c r="O32" s="24" t="str">
        <f>'Base de tempo'!P32</f>
        <v>Sim</v>
      </c>
      <c r="P32" s="28">
        <f>'Base de tempo'!Q32</f>
        <v>105</v>
      </c>
      <c r="Q32" s="24">
        <f>'Base de tempo'!R32</f>
        <v>0</v>
      </c>
      <c r="R32" s="24" t="str">
        <f>'Base de tempo'!S32</f>
        <v>RITMO</v>
      </c>
      <c r="S32" s="29">
        <f>IFERROR(SUMIFS('Base cargas'!H$2:H$36,'Base cargas'!G$2:G$36,A32),0)</f>
        <v>217060</v>
      </c>
      <c r="T32" s="10">
        <f>IFERROR(SUMIFS('Base cargas'!J$2:J$36,'Base cargas'!G$2:G$36,A32),0)</f>
        <v>6</v>
      </c>
      <c r="U32" s="30">
        <f t="shared" si="4"/>
        <v>36.176666666666662</v>
      </c>
      <c r="V32" s="29">
        <f>IFERROR(SUMIFS('Base cargas'!K$2:K$36,'Base cargas'!G$2:G$36,A32),0)</f>
        <v>10657336</v>
      </c>
      <c r="W32" s="30">
        <f t="shared" si="5"/>
        <v>49.098571823458954</v>
      </c>
    </row>
    <row r="33" spans="1:23" ht="15" customHeight="1" x14ac:dyDescent="0.35">
      <c r="A33" s="24" t="str">
        <f>'Base de tempo'!C33</f>
        <v>8013463</v>
      </c>
      <c r="B33" s="25">
        <f>'Base de tempo'!B33</f>
        <v>46124</v>
      </c>
      <c r="C33" s="24" t="str">
        <f>'Base de tempo'!D33</f>
        <v>353</v>
      </c>
      <c r="D33" s="24" t="str">
        <f>'Base de tempo'!E33</f>
        <v>19461</v>
      </c>
      <c r="E33" s="26">
        <f>'Base de tempo'!F33</f>
        <v>46124.612118055556</v>
      </c>
      <c r="F33" s="26">
        <f>'Base de tempo'!G33</f>
        <v>46124.663217592592</v>
      </c>
      <c r="G33" s="26">
        <f>'Base de tempo'!H33</f>
        <v>46124.702881944446</v>
      </c>
      <c r="H33" s="26">
        <f>'Base de tempo'!I33</f>
        <v>46124.780127314814</v>
      </c>
      <c r="I33" s="26">
        <f>'Base de tempo'!J33</f>
        <v>46124.936400462961</v>
      </c>
      <c r="J33" s="27">
        <f t="shared" si="0"/>
        <v>73.583333330461755</v>
      </c>
      <c r="K33" s="27">
        <f t="shared" si="1"/>
        <v>57.11666667019017</v>
      </c>
      <c r="L33" s="27">
        <f t="shared" si="2"/>
        <v>111.23333333060145</v>
      </c>
      <c r="M33" s="27">
        <f t="shared" si="3"/>
        <v>225.03333333064802</v>
      </c>
      <c r="N33" s="28">
        <f>'Base de tempo'!O33</f>
        <v>90</v>
      </c>
      <c r="O33" s="24" t="str">
        <f>'Base de tempo'!P33</f>
        <v>Sim</v>
      </c>
      <c r="P33" s="28">
        <f>'Base de tempo'!Q33</f>
        <v>105</v>
      </c>
      <c r="Q33" s="24">
        <f>'Base de tempo'!R33</f>
        <v>0</v>
      </c>
      <c r="R33" s="24" t="str">
        <f>'Base de tempo'!S33</f>
        <v>RITMO</v>
      </c>
      <c r="S33" s="29">
        <f>IFERROR(SUMIFS('Base cargas'!H$2:H$36,'Base cargas'!G$2:G$36,A33),0)</f>
        <v>205920</v>
      </c>
      <c r="T33" s="10">
        <f>IFERROR(SUMIFS('Base cargas'!J$2:J$36,'Base cargas'!G$2:G$36,A33),0)</f>
        <v>6</v>
      </c>
      <c r="U33" s="30">
        <f t="shared" si="4"/>
        <v>34.32</v>
      </c>
      <c r="V33" s="29">
        <f>IFERROR(SUMIFS('Base cargas'!K$2:K$36,'Base cargas'!G$2:G$36,A33),0)</f>
        <v>10735320</v>
      </c>
      <c r="W33" s="30">
        <f t="shared" si="5"/>
        <v>52.133449883449885</v>
      </c>
    </row>
    <row r="34" spans="1:23" ht="15" customHeight="1" x14ac:dyDescent="0.35">
      <c r="A34" s="24" t="str">
        <f>'Base de tempo'!C34</f>
        <v>8013483</v>
      </c>
      <c r="B34" s="25">
        <f>'Base de tempo'!B34</f>
        <v>46124</v>
      </c>
      <c r="C34" s="24" t="str">
        <f>'Base de tempo'!D34</f>
        <v>353</v>
      </c>
      <c r="D34" s="24" t="str">
        <f>'Base de tempo'!E34</f>
        <v>19461</v>
      </c>
      <c r="E34" s="26">
        <f>'Base de tempo'!F34</f>
        <v>46124.747129629628</v>
      </c>
      <c r="F34" s="26">
        <f>'Base de tempo'!G34</f>
        <v>46124.800798611112</v>
      </c>
      <c r="G34" s="26">
        <f>'Base de tempo'!H34</f>
        <v>46124.836793981478</v>
      </c>
      <c r="H34" s="26">
        <f>'Base de tempo'!I34</f>
        <v>46124.928912037038</v>
      </c>
      <c r="I34" s="26">
        <f>'Base de tempo'!J34</f>
        <v>46125.035428240742</v>
      </c>
      <c r="J34" s="27">
        <f t="shared" si="0"/>
        <v>77.283333336235955</v>
      </c>
      <c r="K34" s="27">
        <f t="shared" si="1"/>
        <v>51.833333327667788</v>
      </c>
      <c r="L34" s="27">
        <f t="shared" si="2"/>
        <v>132.65000000596046</v>
      </c>
      <c r="M34" s="27">
        <f t="shared" si="3"/>
        <v>153.3833333349321</v>
      </c>
      <c r="N34" s="28">
        <f>'Base de tempo'!O34</f>
        <v>90</v>
      </c>
      <c r="O34" s="24" t="str">
        <f>'Base de tempo'!P34</f>
        <v>Sim</v>
      </c>
      <c r="P34" s="28">
        <f>'Base de tempo'!Q34</f>
        <v>105</v>
      </c>
      <c r="Q34" s="24">
        <f>'Base de tempo'!R34</f>
        <v>0</v>
      </c>
      <c r="R34" s="24" t="str">
        <f>'Base de tempo'!S34</f>
        <v>RITMO</v>
      </c>
      <c r="S34" s="29">
        <f>IFERROR(SUMIFS('Base cargas'!H$2:H$36,'Base cargas'!G$2:G$36,A34),0)</f>
        <v>0</v>
      </c>
      <c r="T34" s="10">
        <f>IFERROR(SUMIFS('Base cargas'!J$2:J$36,'Base cargas'!G$2:G$36,A34),0)</f>
        <v>0</v>
      </c>
      <c r="U34" s="30" t="str">
        <f t="shared" si="4"/>
        <v/>
      </c>
      <c r="V34" s="29">
        <f>IFERROR(SUMIFS('Base cargas'!K$2:K$36,'Base cargas'!G$2:G$36,A34),0)</f>
        <v>0</v>
      </c>
      <c r="W34" s="30" t="str">
        <f t="shared" si="5"/>
        <v/>
      </c>
    </row>
    <row r="35" spans="1:23" ht="15" customHeight="1" x14ac:dyDescent="0.35">
      <c r="A35" s="24" t="str">
        <f>'Base de tempo'!C35</f>
        <v>8013463</v>
      </c>
      <c r="B35" s="25">
        <f>'Base de tempo'!B35</f>
        <v>46118</v>
      </c>
      <c r="C35" s="24" t="str">
        <f>'Base de tempo'!D35</f>
        <v>353</v>
      </c>
      <c r="D35" s="24" t="str">
        <f>'Base de tempo'!E35</f>
        <v>19461</v>
      </c>
      <c r="E35" s="26">
        <f>'Base de tempo'!F35</f>
        <v>46118.365300925929</v>
      </c>
      <c r="F35" s="26">
        <f>'Base de tempo'!G35</f>
        <v>46118.41233796296</v>
      </c>
      <c r="G35" s="26">
        <f>'Base de tempo'!H35</f>
        <v>46118.44767361111</v>
      </c>
      <c r="H35" s="26">
        <f>'Base de tempo'!I35</f>
        <v>46118.547048611108</v>
      </c>
      <c r="I35" s="26">
        <f>'Base de tempo'!J35</f>
        <v>46118.819062499999</v>
      </c>
      <c r="J35" s="27">
        <f t="shared" si="0"/>
        <v>67.733333325013518</v>
      </c>
      <c r="K35" s="27">
        <f t="shared" si="1"/>
        <v>50.883333336096257</v>
      </c>
      <c r="L35" s="27">
        <f t="shared" si="2"/>
        <v>143.09999999706633</v>
      </c>
      <c r="M35" s="27">
        <f t="shared" si="3"/>
        <v>391.7000000027474</v>
      </c>
      <c r="N35" s="28">
        <f>'Base de tempo'!O35</f>
        <v>90</v>
      </c>
      <c r="O35" s="24" t="str">
        <f>'Base de tempo'!P35</f>
        <v>Sim</v>
      </c>
      <c r="P35" s="28">
        <f>'Base de tempo'!Q35</f>
        <v>105</v>
      </c>
      <c r="Q35" s="24">
        <f>'Base de tempo'!R35</f>
        <v>0</v>
      </c>
      <c r="R35" s="24" t="str">
        <f>'Base de tempo'!S35</f>
        <v>RITMO</v>
      </c>
      <c r="S35" s="29">
        <f>IFERROR(SUMIFS('Base cargas'!H$2:H$36,'Base cargas'!G$2:G$36,A35),0)</f>
        <v>205920</v>
      </c>
      <c r="T35" s="10">
        <f>IFERROR(SUMIFS('Base cargas'!J$2:J$36,'Base cargas'!G$2:G$36,A35),0)</f>
        <v>6</v>
      </c>
      <c r="U35" s="30">
        <f t="shared" si="4"/>
        <v>34.32</v>
      </c>
      <c r="V35" s="29">
        <f>IFERROR(SUMIFS('Base cargas'!K$2:K$36,'Base cargas'!G$2:G$36,A35),0)</f>
        <v>10735320</v>
      </c>
      <c r="W35" s="30">
        <f t="shared" si="5"/>
        <v>52.133449883449885</v>
      </c>
    </row>
    <row r="36" spans="1:23" ht="15" customHeight="1" x14ac:dyDescent="0.35">
      <c r="A36" s="24" t="str">
        <f>'Base de tempo'!C36</f>
        <v>8013462</v>
      </c>
      <c r="B36" s="25">
        <f>'Base de tempo'!B36</f>
        <v>46117</v>
      </c>
      <c r="C36" s="24" t="str">
        <f>'Base de tempo'!D36</f>
        <v>353</v>
      </c>
      <c r="D36" s="24" t="str">
        <f>'Base de tempo'!E36</f>
        <v>19461</v>
      </c>
      <c r="E36" s="26">
        <f>'Base de tempo'!F36</f>
        <v>46117.863680555558</v>
      </c>
      <c r="F36" s="26">
        <f>'Base de tempo'!G36</f>
        <v>46117.923125000001</v>
      </c>
      <c r="G36" s="26">
        <f>'Base de tempo'!H36</f>
        <v>46117.957743055558</v>
      </c>
      <c r="H36" s="26">
        <f>'Base de tempo'!I36</f>
        <v>46118.041747685187</v>
      </c>
      <c r="I36" s="26">
        <f>'Base de tempo'!J36</f>
        <v>46118.14230324074</v>
      </c>
      <c r="J36" s="27">
        <f t="shared" si="0"/>
        <v>85.599999998230487</v>
      </c>
      <c r="K36" s="27">
        <f t="shared" si="1"/>
        <v>49.850000002188608</v>
      </c>
      <c r="L36" s="27">
        <f t="shared" si="2"/>
        <v>120.96666666562669</v>
      </c>
      <c r="M36" s="27">
        <f t="shared" si="3"/>
        <v>144.79999999632128</v>
      </c>
      <c r="N36" s="28">
        <f>'Base de tempo'!O36</f>
        <v>90</v>
      </c>
      <c r="O36" s="24" t="str">
        <f>'Base de tempo'!P36</f>
        <v>Sim</v>
      </c>
      <c r="P36" s="28">
        <f>'Base de tempo'!Q36</f>
        <v>105</v>
      </c>
      <c r="Q36" s="24">
        <f>'Base de tempo'!R36</f>
        <v>0</v>
      </c>
      <c r="R36" s="24" t="str">
        <f>'Base de tempo'!S36</f>
        <v>RITMO</v>
      </c>
      <c r="S36" s="29">
        <f>IFERROR(SUMIFS('Base cargas'!H$2:H$36,'Base cargas'!G$2:G$36,A36),0)</f>
        <v>130100</v>
      </c>
      <c r="T36" s="10">
        <f>IFERROR(SUMIFS('Base cargas'!J$2:J$36,'Base cargas'!G$2:G$36,A36),0)</f>
        <v>4</v>
      </c>
      <c r="U36" s="30">
        <f t="shared" si="4"/>
        <v>32.524999999999999</v>
      </c>
      <c r="V36" s="29">
        <f>IFERROR(SUMIFS('Base cargas'!K$2:K$36,'Base cargas'!G$2:G$36,A36),0)</f>
        <v>6939140</v>
      </c>
      <c r="W36" s="30">
        <f t="shared" si="5"/>
        <v>53.336971560338199</v>
      </c>
    </row>
    <row r="37" spans="1:23" ht="15" customHeight="1" x14ac:dyDescent="0.35">
      <c r="A37" s="24" t="str">
        <f>'Base de tempo'!C37</f>
        <v>8013484</v>
      </c>
      <c r="B37" s="25">
        <f>'Base de tempo'!B37</f>
        <v>46124</v>
      </c>
      <c r="C37" s="24" t="str">
        <f>'Base de tempo'!D37</f>
        <v>353</v>
      </c>
      <c r="D37" s="24" t="str">
        <f>'Base de tempo'!E37</f>
        <v>19461</v>
      </c>
      <c r="E37" s="26">
        <f>'Base de tempo'!F37</f>
        <v>46124.703182870369</v>
      </c>
      <c r="F37" s="26">
        <f>'Base de tempo'!G37</f>
        <v>46124.758703703701</v>
      </c>
      <c r="G37" s="26">
        <f>'Base de tempo'!H37</f>
        <v>46124.793229166666</v>
      </c>
      <c r="H37" s="26">
        <f>'Base de tempo'!I37</f>
        <v>46124.880277777775</v>
      </c>
      <c r="I37" s="26">
        <f>'Base de tempo'!J37</f>
        <v>46125.080405092594</v>
      </c>
      <c r="J37" s="27">
        <f t="shared" si="0"/>
        <v>79.949999997625127</v>
      </c>
      <c r="K37" s="27">
        <f t="shared" si="1"/>
        <v>49.716666669119149</v>
      </c>
      <c r="L37" s="27">
        <f t="shared" si="2"/>
        <v>125.3499999968335</v>
      </c>
      <c r="M37" s="27">
        <f t="shared" si="3"/>
        <v>288.18333334056661</v>
      </c>
      <c r="N37" s="28">
        <f>'Base de tempo'!O37</f>
        <v>90</v>
      </c>
      <c r="O37" s="24" t="str">
        <f>'Base de tempo'!P37</f>
        <v>Sim</v>
      </c>
      <c r="P37" s="28">
        <f>'Base de tempo'!Q37</f>
        <v>105</v>
      </c>
      <c r="Q37" s="24">
        <f>'Base de tempo'!R37</f>
        <v>0</v>
      </c>
      <c r="R37" s="24" t="str">
        <f>'Base de tempo'!S37</f>
        <v>RITMO</v>
      </c>
      <c r="S37" s="29">
        <f>IFERROR(SUMIFS('Base cargas'!H$2:H$36,'Base cargas'!G$2:G$36,A37),0)</f>
        <v>145760</v>
      </c>
      <c r="T37" s="10">
        <f>IFERROR(SUMIFS('Base cargas'!J$2:J$36,'Base cargas'!G$2:G$36,A37),0)</f>
        <v>4</v>
      </c>
      <c r="U37" s="30">
        <f t="shared" si="4"/>
        <v>36.44</v>
      </c>
      <c r="V37" s="29">
        <f>IFERROR(SUMIFS('Base cargas'!K$2:K$36,'Base cargas'!G$2:G$36,A37),0)</f>
        <v>7142240</v>
      </c>
      <c r="W37" s="30">
        <f t="shared" si="5"/>
        <v>49</v>
      </c>
    </row>
    <row r="38" spans="1:23" ht="15" customHeight="1" x14ac:dyDescent="0.35">
      <c r="A38" s="24" t="str">
        <f>'Base de tempo'!C38</f>
        <v>8013475</v>
      </c>
      <c r="B38" s="25">
        <f>'Base de tempo'!B38</f>
        <v>46118</v>
      </c>
      <c r="C38" s="24" t="str">
        <f>'Base de tempo'!D38</f>
        <v>353</v>
      </c>
      <c r="D38" s="24" t="str">
        <f>'Base de tempo'!E38</f>
        <v>19461</v>
      </c>
      <c r="E38" s="26">
        <f>'Base de tempo'!F38</f>
        <v>46118.172743055555</v>
      </c>
      <c r="F38" s="26">
        <f>'Base de tempo'!G38</f>
        <v>46118.228680555556</v>
      </c>
      <c r="G38" s="26">
        <f>'Base de tempo'!H38</f>
        <v>46118.26289351852</v>
      </c>
      <c r="H38" s="26">
        <f>'Base de tempo'!I38</f>
        <v>46118.884108796294</v>
      </c>
      <c r="I38" s="26">
        <f>'Base de tempo'!J38</f>
        <v>46119.571111111109</v>
      </c>
      <c r="J38" s="27">
        <f t="shared" si="0"/>
        <v>80.550000001676381</v>
      </c>
      <c r="K38" s="27">
        <f t="shared" si="1"/>
        <v>49.266666668700054</v>
      </c>
      <c r="L38" s="27">
        <f t="shared" si="2"/>
        <v>894.54999999376014</v>
      </c>
      <c r="M38" s="27">
        <f t="shared" si="3"/>
        <v>989.28333333344199</v>
      </c>
      <c r="N38" s="28">
        <f>'Base de tempo'!O38</f>
        <v>90</v>
      </c>
      <c r="O38" s="24" t="str">
        <f>'Base de tempo'!P38</f>
        <v>Sim</v>
      </c>
      <c r="P38" s="28">
        <f>'Base de tempo'!Q38</f>
        <v>105</v>
      </c>
      <c r="Q38" s="24">
        <f>'Base de tempo'!R38</f>
        <v>0</v>
      </c>
      <c r="R38" s="24" t="str">
        <f>'Base de tempo'!S38</f>
        <v>RITMO</v>
      </c>
      <c r="S38" s="29">
        <f>IFERROR(SUMIFS('Base cargas'!H$2:H$36,'Base cargas'!G$2:G$36,A38),0)</f>
        <v>0</v>
      </c>
      <c r="T38" s="10">
        <f>IFERROR(SUMIFS('Base cargas'!J$2:J$36,'Base cargas'!G$2:G$36,A38),0)</f>
        <v>0</v>
      </c>
      <c r="U38" s="30" t="str">
        <f t="shared" si="4"/>
        <v/>
      </c>
      <c r="V38" s="29">
        <f>IFERROR(SUMIFS('Base cargas'!K$2:K$36,'Base cargas'!G$2:G$36,A38),0)</f>
        <v>0</v>
      </c>
      <c r="W38" s="30" t="str">
        <f t="shared" si="5"/>
        <v/>
      </c>
    </row>
    <row r="39" spans="1:23" ht="15" customHeight="1" x14ac:dyDescent="0.35">
      <c r="A39" s="24" t="str">
        <f>'Base de tempo'!C39</f>
        <v>8013467</v>
      </c>
      <c r="B39" s="25">
        <f>'Base de tempo'!B39</f>
        <v>46124</v>
      </c>
      <c r="C39" s="24" t="str">
        <f>'Base de tempo'!D39</f>
        <v>353</v>
      </c>
      <c r="D39" s="24" t="str">
        <f>'Base de tempo'!E39</f>
        <v>19461</v>
      </c>
      <c r="E39" s="26">
        <f>'Base de tempo'!F39</f>
        <v>46124.668958333335</v>
      </c>
      <c r="F39" s="26">
        <f>'Base de tempo'!G39</f>
        <v>46124.725092592591</v>
      </c>
      <c r="G39" s="26">
        <f>'Base de tempo'!H39</f>
        <v>46124.759108796294</v>
      </c>
      <c r="H39" s="26">
        <f>'Base de tempo'!I39</f>
        <v>46124.851006944446</v>
      </c>
      <c r="I39" s="26">
        <f>'Base de tempo'!J39</f>
        <v>46124.998101851852</v>
      </c>
      <c r="J39" s="27">
        <f t="shared" si="0"/>
        <v>80.833333327900618</v>
      </c>
      <c r="K39" s="27">
        <f t="shared" si="1"/>
        <v>48.983333331998438</v>
      </c>
      <c r="L39" s="27">
        <f t="shared" si="2"/>
        <v>132.33333333861083</v>
      </c>
      <c r="M39" s="27">
        <f t="shared" si="3"/>
        <v>211.81666666525416</v>
      </c>
      <c r="N39" s="28">
        <f>'Base de tempo'!O39</f>
        <v>90</v>
      </c>
      <c r="O39" s="24" t="str">
        <f>'Base de tempo'!P39</f>
        <v>Sim</v>
      </c>
      <c r="P39" s="28">
        <f>'Base de tempo'!Q39</f>
        <v>105</v>
      </c>
      <c r="Q39" s="24">
        <f>'Base de tempo'!R39</f>
        <v>0</v>
      </c>
      <c r="R39" s="24" t="str">
        <f>'Base de tempo'!S39</f>
        <v>RITMO</v>
      </c>
      <c r="S39" s="29">
        <f>IFERROR(SUMIFS('Base cargas'!H$2:H$36,'Base cargas'!G$2:G$36,A39),0)</f>
        <v>0</v>
      </c>
      <c r="T39" s="10">
        <f>IFERROR(SUMIFS('Base cargas'!J$2:J$36,'Base cargas'!G$2:G$36,A39),0)</f>
        <v>0</v>
      </c>
      <c r="U39" s="30" t="str">
        <f t="shared" si="4"/>
        <v/>
      </c>
      <c r="V39" s="29">
        <f>IFERROR(SUMIFS('Base cargas'!K$2:K$36,'Base cargas'!G$2:G$36,A39),0)</f>
        <v>0</v>
      </c>
      <c r="W39" s="30" t="str">
        <f t="shared" si="5"/>
        <v/>
      </c>
    </row>
    <row r="40" spans="1:23" ht="15" customHeight="1" x14ac:dyDescent="0.35">
      <c r="A40" s="24" t="str">
        <f>'Base de tempo'!C40</f>
        <v>8013482</v>
      </c>
      <c r="B40" s="25">
        <f>'Base de tempo'!B40</f>
        <v>46124</v>
      </c>
      <c r="C40" s="24" t="str">
        <f>'Base de tempo'!D40</f>
        <v>353</v>
      </c>
      <c r="D40" s="24" t="str">
        <f>'Base de tempo'!E40</f>
        <v>19461</v>
      </c>
      <c r="E40" s="26">
        <f>'Base de tempo'!F40</f>
        <v>46124.787569444445</v>
      </c>
      <c r="F40" s="26">
        <f>'Base de tempo'!G40</f>
        <v>46124.861666666664</v>
      </c>
      <c r="G40" s="26">
        <f>'Base de tempo'!H40</f>
        <v>46124.894918981481</v>
      </c>
      <c r="H40" s="26">
        <f>'Base de tempo'!I40</f>
        <v>46125.099861111114</v>
      </c>
      <c r="I40" s="26">
        <f>'Base de tempo'!J40</f>
        <v>0</v>
      </c>
      <c r="J40" s="27">
        <f t="shared" si="0"/>
        <v>106.69999999576248</v>
      </c>
      <c r="K40" s="27">
        <f t="shared" si="1"/>
        <v>47.883333336794749</v>
      </c>
      <c r="L40" s="27">
        <f t="shared" si="2"/>
        <v>295.11666667065583</v>
      </c>
      <c r="M40" s="27" t="str">
        <f t="shared" si="3"/>
        <v/>
      </c>
      <c r="N40" s="28">
        <f>'Base de tempo'!O40</f>
        <v>90</v>
      </c>
      <c r="O40" s="24" t="str">
        <f>'Base de tempo'!P40</f>
        <v>Sim</v>
      </c>
      <c r="P40" s="28">
        <f>'Base de tempo'!Q40</f>
        <v>105</v>
      </c>
      <c r="Q40" s="24">
        <f>'Base de tempo'!R40</f>
        <v>0</v>
      </c>
      <c r="R40" s="24" t="str">
        <f>'Base de tempo'!S40</f>
        <v>RITMO</v>
      </c>
      <c r="S40" s="29">
        <f>IFERROR(SUMIFS('Base cargas'!H$2:H$36,'Base cargas'!G$2:G$36,A40),0)</f>
        <v>57540</v>
      </c>
      <c r="T40" s="10">
        <f>IFERROR(SUMIFS('Base cargas'!J$2:J$36,'Base cargas'!G$2:G$36,A40),0)</f>
        <v>2</v>
      </c>
      <c r="U40" s="30">
        <f t="shared" si="4"/>
        <v>28.77</v>
      </c>
      <c r="V40" s="29">
        <f>IFERROR(SUMIFS('Base cargas'!K$2:K$36,'Base cargas'!G$2:G$36,A40),0)</f>
        <v>3279780</v>
      </c>
      <c r="W40" s="30">
        <f t="shared" si="5"/>
        <v>57</v>
      </c>
    </row>
    <row r="41" spans="1:23" ht="15" customHeight="1" x14ac:dyDescent="0.35">
      <c r="A41" s="24" t="str">
        <f>'Base de tempo'!C41</f>
        <v>8013472</v>
      </c>
      <c r="B41" s="25">
        <f>'Base de tempo'!B41</f>
        <v>46124</v>
      </c>
      <c r="C41" s="24" t="str">
        <f>'Base de tempo'!D41</f>
        <v>353</v>
      </c>
      <c r="D41" s="24" t="str">
        <f>'Base de tempo'!E41</f>
        <v>19461</v>
      </c>
      <c r="E41" s="26">
        <f>'Base de tempo'!F41</f>
        <v>46124.645624999997</v>
      </c>
      <c r="F41" s="26">
        <f>'Base de tempo'!G41</f>
        <v>46124.694548611114</v>
      </c>
      <c r="G41" s="26">
        <f>'Base de tempo'!H41</f>
        <v>46124.727407407408</v>
      </c>
      <c r="H41" s="26">
        <f>'Base de tempo'!I41</f>
        <v>46124.897569444445</v>
      </c>
      <c r="I41" s="26">
        <f>'Base de tempo'!J41</f>
        <v>46125.005127314813</v>
      </c>
      <c r="J41" s="27">
        <f t="shared" si="0"/>
        <v>70.450000008568168</v>
      </c>
      <c r="K41" s="27">
        <f t="shared" si="1"/>
        <v>47.316666663391516</v>
      </c>
      <c r="L41" s="27">
        <f t="shared" si="2"/>
        <v>245.03333333297633</v>
      </c>
      <c r="M41" s="27">
        <f t="shared" si="3"/>
        <v>154.88333332934417</v>
      </c>
      <c r="N41" s="28">
        <f>'Base de tempo'!O41</f>
        <v>90</v>
      </c>
      <c r="O41" s="24" t="str">
        <f>'Base de tempo'!P41</f>
        <v>Sim</v>
      </c>
      <c r="P41" s="28">
        <f>'Base de tempo'!Q41</f>
        <v>105</v>
      </c>
      <c r="Q41" s="24">
        <f>'Base de tempo'!R41</f>
        <v>0</v>
      </c>
      <c r="R41" s="24" t="str">
        <f>'Base de tempo'!S41</f>
        <v>RITMO</v>
      </c>
      <c r="S41" s="29">
        <f>IFERROR(SUMIFS('Base cargas'!H$2:H$36,'Base cargas'!G$2:G$36,A41),0)</f>
        <v>150920</v>
      </c>
      <c r="T41" s="10">
        <f>IFERROR(SUMIFS('Base cargas'!J$2:J$36,'Base cargas'!G$2:G$36,A41),0)</f>
        <v>4</v>
      </c>
      <c r="U41" s="30">
        <f t="shared" si="4"/>
        <v>37.729999999999997</v>
      </c>
      <c r="V41" s="29">
        <f>IFERROR(SUMIFS('Base cargas'!K$2:K$36,'Base cargas'!G$2:G$36,A41),0)</f>
        <v>7469960</v>
      </c>
      <c r="W41" s="30">
        <f t="shared" si="5"/>
        <v>49.496156904320166</v>
      </c>
    </row>
    <row r="42" spans="1:23" ht="15" customHeight="1" x14ac:dyDescent="0.35">
      <c r="A42" s="24" t="str">
        <f>'Base de tempo'!C42</f>
        <v>8013465</v>
      </c>
      <c r="B42" s="25">
        <f>'Base de tempo'!B42</f>
        <v>46123</v>
      </c>
      <c r="C42" s="24" t="str">
        <f>'Base de tempo'!D42</f>
        <v>353</v>
      </c>
      <c r="D42" s="24" t="str">
        <f>'Base de tempo'!E42</f>
        <v>19461</v>
      </c>
      <c r="E42" s="26">
        <f>'Base de tempo'!F42</f>
        <v>46123.766446759262</v>
      </c>
      <c r="F42" s="26">
        <f>'Base de tempo'!G42</f>
        <v>46123.817037037035</v>
      </c>
      <c r="G42" s="26">
        <f>'Base de tempo'!H42</f>
        <v>46123.849178240744</v>
      </c>
      <c r="H42" s="26">
        <f>'Base de tempo'!I42</f>
        <v>46123.93822916667</v>
      </c>
      <c r="I42" s="26">
        <f>'Base de tempo'!J42</f>
        <v>46124.452673611115</v>
      </c>
      <c r="J42" s="27">
        <f t="shared" si="0"/>
        <v>72.849999993341044</v>
      </c>
      <c r="K42" s="27">
        <f t="shared" si="1"/>
        <v>46.283333339961246</v>
      </c>
      <c r="L42" s="27">
        <f t="shared" si="2"/>
        <v>128.23333333362825</v>
      </c>
      <c r="M42" s="27">
        <f t="shared" si="3"/>
        <v>740.80000000074506</v>
      </c>
      <c r="N42" s="28">
        <f>'Base de tempo'!O42</f>
        <v>90</v>
      </c>
      <c r="O42" s="24" t="str">
        <f>'Base de tempo'!P42</f>
        <v>Sim</v>
      </c>
      <c r="P42" s="28">
        <f>'Base de tempo'!Q42</f>
        <v>105</v>
      </c>
      <c r="Q42" s="24">
        <f>'Base de tempo'!R42</f>
        <v>0</v>
      </c>
      <c r="R42" s="24" t="str">
        <f>'Base de tempo'!S42</f>
        <v>RITMO</v>
      </c>
      <c r="S42" s="29">
        <f>IFERROR(SUMIFS('Base cargas'!H$2:H$36,'Base cargas'!G$2:G$36,A42),0)</f>
        <v>153380</v>
      </c>
      <c r="T42" s="10">
        <f>IFERROR(SUMIFS('Base cargas'!J$2:J$36,'Base cargas'!G$2:G$36,A42),0)</f>
        <v>4</v>
      </c>
      <c r="U42" s="30">
        <f t="shared" si="4"/>
        <v>38.344999999999999</v>
      </c>
      <c r="V42" s="29">
        <f>IFERROR(SUMIFS('Base cargas'!K$2:K$36,'Base cargas'!G$2:G$36,A42),0)</f>
        <v>7461286</v>
      </c>
      <c r="W42" s="30">
        <f t="shared" si="5"/>
        <v>48.645755639587954</v>
      </c>
    </row>
    <row r="43" spans="1:23" ht="15" customHeight="1" x14ac:dyDescent="0.35">
      <c r="A43" s="24" t="str">
        <f>'Base de tempo'!C43</f>
        <v>8013476</v>
      </c>
      <c r="B43" s="25">
        <f>'Base de tempo'!B43</f>
        <v>46123</v>
      </c>
      <c r="C43" s="24" t="str">
        <f>'Base de tempo'!D43</f>
        <v>353</v>
      </c>
      <c r="D43" s="24" t="str">
        <f>'Base de tempo'!E43</f>
        <v>19461</v>
      </c>
      <c r="E43" s="26">
        <f>'Base de tempo'!F43</f>
        <v>46123.740497685183</v>
      </c>
      <c r="F43" s="26">
        <f>'Base de tempo'!G43</f>
        <v>46123.798750000002</v>
      </c>
      <c r="G43" s="26">
        <f>'Base de tempo'!H43</f>
        <v>46123.828460648147</v>
      </c>
      <c r="H43" s="26">
        <f>'Base de tempo'!I43</f>
        <v>46123.916944444441</v>
      </c>
      <c r="I43" s="26">
        <f>'Base de tempo'!J43</f>
        <v>46124.659710648149</v>
      </c>
      <c r="J43" s="27">
        <f t="shared" si="0"/>
        <v>83.883333338890225</v>
      </c>
      <c r="K43" s="27">
        <f t="shared" si="1"/>
        <v>42.783333328552544</v>
      </c>
      <c r="L43" s="27">
        <f t="shared" si="2"/>
        <v>127.4166666646488</v>
      </c>
      <c r="M43" s="27">
        <f t="shared" si="3"/>
        <v>1069.5833333395422</v>
      </c>
      <c r="N43" s="28">
        <f>'Base de tempo'!O43</f>
        <v>90</v>
      </c>
      <c r="O43" s="24" t="str">
        <f>'Base de tempo'!P43</f>
        <v>Sim</v>
      </c>
      <c r="P43" s="28">
        <f>'Base de tempo'!Q43</f>
        <v>105</v>
      </c>
      <c r="Q43" s="24">
        <f>'Base de tempo'!R43</f>
        <v>0</v>
      </c>
      <c r="R43" s="24" t="str">
        <f>'Base de tempo'!S43</f>
        <v>RITMO</v>
      </c>
      <c r="S43" s="29">
        <f>IFERROR(SUMIFS('Base cargas'!H$2:H$36,'Base cargas'!G$2:G$36,A43),0)</f>
        <v>140520</v>
      </c>
      <c r="T43" s="10">
        <f>IFERROR(SUMIFS('Base cargas'!J$2:J$36,'Base cargas'!G$2:G$36,A43),0)</f>
        <v>4</v>
      </c>
      <c r="U43" s="30">
        <f t="shared" si="4"/>
        <v>35.130000000000003</v>
      </c>
      <c r="V43" s="29">
        <f>IFERROR(SUMIFS('Base cargas'!K$2:K$36,'Base cargas'!G$2:G$36,A43),0)</f>
        <v>6900268</v>
      </c>
      <c r="W43" s="30">
        <f t="shared" si="5"/>
        <v>49.105237688585255</v>
      </c>
    </row>
    <row r="44" spans="1:23" ht="15" customHeight="1" x14ac:dyDescent="0.35">
      <c r="A44" s="24" t="str">
        <f>'Base de tempo'!C44</f>
        <v>8013465</v>
      </c>
      <c r="B44" s="25">
        <f>'Base de tempo'!B44</f>
        <v>46124</v>
      </c>
      <c r="C44" s="24" t="str">
        <f>'Base de tempo'!D44</f>
        <v>352</v>
      </c>
      <c r="D44" s="24" t="str">
        <f>'Base de tempo'!E44</f>
        <v>19817</v>
      </c>
      <c r="E44" s="26">
        <f>'Base de tempo'!F44</f>
        <v>46124.453368055554</v>
      </c>
      <c r="F44" s="26">
        <f>'Base de tempo'!G44</f>
        <v>46124.514525462961</v>
      </c>
      <c r="G44" s="26">
        <f>'Base de tempo'!H44</f>
        <v>46124.544027777774</v>
      </c>
      <c r="H44" s="26">
        <f>'Base de tempo'!I44</f>
        <v>46124.679756944446</v>
      </c>
      <c r="I44" s="26">
        <f>'Base de tempo'!J44</f>
        <v>46124.724606481483</v>
      </c>
      <c r="J44" s="27">
        <f t="shared" si="0"/>
        <v>88.066666665254161</v>
      </c>
      <c r="K44" s="27">
        <f t="shared" si="1"/>
        <v>42.483333331765607</v>
      </c>
      <c r="L44" s="27">
        <f t="shared" si="2"/>
        <v>195.45000000740401</v>
      </c>
      <c r="M44" s="27">
        <f t="shared" si="3"/>
        <v>64.583333332557231</v>
      </c>
      <c r="N44" s="28">
        <f>'Base de tempo'!O44</f>
        <v>90</v>
      </c>
      <c r="O44" s="24" t="str">
        <f>'Base de tempo'!P44</f>
        <v>Sim</v>
      </c>
      <c r="P44" s="28">
        <f>'Base de tempo'!Q44</f>
        <v>105</v>
      </c>
      <c r="Q44" s="24" t="str">
        <f>'Base de tempo'!R44</f>
        <v>Sim</v>
      </c>
      <c r="R44" s="24" t="str">
        <f>'Base de tempo'!S44</f>
        <v>RITMO</v>
      </c>
      <c r="S44" s="29">
        <f>IFERROR(SUMIFS('Base cargas'!H$2:H$36,'Base cargas'!G$2:G$36,A44),0)</f>
        <v>153380</v>
      </c>
      <c r="T44" s="10">
        <f>IFERROR(SUMIFS('Base cargas'!J$2:J$36,'Base cargas'!G$2:G$36,A44),0)</f>
        <v>4</v>
      </c>
      <c r="U44" s="30">
        <f t="shared" si="4"/>
        <v>38.344999999999999</v>
      </c>
      <c r="V44" s="29">
        <f>IFERROR(SUMIFS('Base cargas'!K$2:K$36,'Base cargas'!G$2:G$36,A44),0)</f>
        <v>7461286</v>
      </c>
      <c r="W44" s="30">
        <f t="shared" si="5"/>
        <v>48.645755639587954</v>
      </c>
    </row>
    <row r="45" spans="1:23" ht="15" customHeight="1" x14ac:dyDescent="0.35">
      <c r="A45" s="24" t="str">
        <f>'Base de tempo'!C45</f>
        <v>8013485</v>
      </c>
      <c r="B45" s="25">
        <f>'Base de tempo'!B45</f>
        <v>46123</v>
      </c>
      <c r="C45" s="24" t="str">
        <f>'Base de tempo'!D45</f>
        <v>353</v>
      </c>
      <c r="D45" s="24" t="str">
        <f>'Base de tempo'!E45</f>
        <v>19461</v>
      </c>
      <c r="E45" s="26">
        <f>'Base de tempo'!F45</f>
        <v>46123.719733796293</v>
      </c>
      <c r="F45" s="26">
        <f>'Base de tempo'!G45</f>
        <v>46123.775196759256</v>
      </c>
      <c r="G45" s="26">
        <f>'Base de tempo'!H45</f>
        <v>46123.803368055553</v>
      </c>
      <c r="H45" s="26">
        <f>'Base de tempo'!I45</f>
        <v>46123.886747685188</v>
      </c>
      <c r="I45" s="26">
        <f>'Base de tempo'!J45</f>
        <v>46124.355624999997</v>
      </c>
      <c r="J45" s="27">
        <f t="shared" si="0"/>
        <v>79.866666665766388</v>
      </c>
      <c r="K45" s="27">
        <f t="shared" si="1"/>
        <v>40.566666667582467</v>
      </c>
      <c r="L45" s="27">
        <f t="shared" si="2"/>
        <v>120.06666667526588</v>
      </c>
      <c r="M45" s="27">
        <f t="shared" si="3"/>
        <v>675.1833333238028</v>
      </c>
      <c r="N45" s="28">
        <f>'Base de tempo'!O45</f>
        <v>90</v>
      </c>
      <c r="O45" s="24" t="str">
        <f>'Base de tempo'!P45</f>
        <v>Sim</v>
      </c>
      <c r="P45" s="28">
        <f>'Base de tempo'!Q45</f>
        <v>105</v>
      </c>
      <c r="Q45" s="24">
        <f>'Base de tempo'!R45</f>
        <v>0</v>
      </c>
      <c r="R45" s="24" t="str">
        <f>'Base de tempo'!S45</f>
        <v>RITMO</v>
      </c>
      <c r="S45" s="29">
        <f>IFERROR(SUMIFS('Base cargas'!H$2:H$36,'Base cargas'!G$2:G$36,A45),0)</f>
        <v>153420</v>
      </c>
      <c r="T45" s="10">
        <f>IFERROR(SUMIFS('Base cargas'!J$2:J$36,'Base cargas'!G$2:G$36,A45),0)</f>
        <v>4</v>
      </c>
      <c r="U45" s="30">
        <f t="shared" si="4"/>
        <v>38.354999999999997</v>
      </c>
      <c r="V45" s="29">
        <f>IFERROR(SUMIFS('Base cargas'!K$2:K$36,'Base cargas'!G$2:G$36,A45),0)</f>
        <v>7517580</v>
      </c>
      <c r="W45" s="30">
        <f t="shared" si="5"/>
        <v>49</v>
      </c>
    </row>
    <row r="46" spans="1:23" ht="15" customHeight="1" x14ac:dyDescent="0.35">
      <c r="A46" s="24" t="str">
        <f>'Base de tempo'!C46</f>
        <v>8013486</v>
      </c>
      <c r="B46" s="25">
        <f>'Base de tempo'!B46</f>
        <v>46124</v>
      </c>
      <c r="C46" s="24" t="str">
        <f>'Base de tempo'!D46</f>
        <v>353</v>
      </c>
      <c r="D46" s="24" t="str">
        <f>'Base de tempo'!E46</f>
        <v>19461</v>
      </c>
      <c r="E46" s="26">
        <f>'Base de tempo'!F46</f>
        <v>46124.922210648147</v>
      </c>
      <c r="F46" s="26">
        <f>'Base de tempo'!G46</f>
        <v>46124.978576388887</v>
      </c>
      <c r="G46" s="26">
        <f>'Base de tempo'!H46</f>
        <v>46125.006666666668</v>
      </c>
      <c r="H46" s="26">
        <f>'Base de tempo'!I46</f>
        <v>46125.128692129627</v>
      </c>
      <c r="I46" s="26">
        <f>'Base de tempo'!J46</f>
        <v>0</v>
      </c>
      <c r="J46" s="27">
        <f t="shared" si="0"/>
        <v>81.166666665812954</v>
      </c>
      <c r="K46" s="27">
        <f t="shared" si="1"/>
        <v>40.450000005075708</v>
      </c>
      <c r="L46" s="27">
        <f t="shared" si="2"/>
        <v>175.71666666073725</v>
      </c>
      <c r="M46" s="27" t="str">
        <f t="shared" si="3"/>
        <v/>
      </c>
      <c r="N46" s="28">
        <f>'Base de tempo'!O46</f>
        <v>90</v>
      </c>
      <c r="O46" s="24" t="str">
        <f>'Base de tempo'!P46</f>
        <v>Sim</v>
      </c>
      <c r="P46" s="28">
        <f>'Base de tempo'!Q46</f>
        <v>105</v>
      </c>
      <c r="Q46" s="24">
        <f>'Base de tempo'!R46</f>
        <v>0</v>
      </c>
      <c r="R46" s="24" t="str">
        <f>'Base de tempo'!S46</f>
        <v>RITMO</v>
      </c>
      <c r="S46" s="29">
        <f>IFERROR(SUMIFS('Base cargas'!H$2:H$36,'Base cargas'!G$2:G$36,A46),0)</f>
        <v>65820</v>
      </c>
      <c r="T46" s="10">
        <f>IFERROR(SUMIFS('Base cargas'!J$2:J$36,'Base cargas'!G$2:G$36,A46),0)</f>
        <v>2</v>
      </c>
      <c r="U46" s="30">
        <f t="shared" si="4"/>
        <v>32.909999999999997</v>
      </c>
      <c r="V46" s="29">
        <f>IFERROR(SUMIFS('Base cargas'!K$2:K$36,'Base cargas'!G$2:G$36,A46),0)</f>
        <v>3291000</v>
      </c>
      <c r="W46" s="30">
        <f t="shared" si="5"/>
        <v>50</v>
      </c>
    </row>
    <row r="47" spans="1:23" ht="15" customHeight="1" x14ac:dyDescent="0.35">
      <c r="A47" s="24" t="str">
        <f>'Base de tempo'!C47</f>
        <v>8013473</v>
      </c>
      <c r="B47" s="25">
        <f>'Base de tempo'!B47</f>
        <v>46124</v>
      </c>
      <c r="C47" s="24" t="str">
        <f>'Base de tempo'!D47</f>
        <v>351</v>
      </c>
      <c r="D47" s="24" t="str">
        <f>'Base de tempo'!E47</f>
        <v>9143</v>
      </c>
      <c r="E47" s="26">
        <f>'Base de tempo'!F47</f>
        <v>46124.567824074074</v>
      </c>
      <c r="F47" s="26">
        <f>'Base de tempo'!G47</f>
        <v>46124.583124999997</v>
      </c>
      <c r="G47" s="26">
        <f>'Base de tempo'!H47</f>
        <v>46124.609444444446</v>
      </c>
      <c r="H47" s="26">
        <f>'Base de tempo'!I47</f>
        <v>46124.636944444443</v>
      </c>
      <c r="I47" s="26">
        <f>'Base de tempo'!J47</f>
        <v>46124.772592592592</v>
      </c>
      <c r="J47" s="27">
        <f t="shared" si="0"/>
        <v>22.033333329018205</v>
      </c>
      <c r="K47" s="27">
        <f t="shared" si="1"/>
        <v>37.900000006193295</v>
      </c>
      <c r="L47" s="27">
        <f t="shared" si="2"/>
        <v>39.599999994970858</v>
      </c>
      <c r="M47" s="27">
        <f t="shared" si="3"/>
        <v>195.33333333441988</v>
      </c>
      <c r="N47" s="28">
        <f>'Base de tempo'!O47</f>
        <v>90</v>
      </c>
      <c r="O47" s="24" t="str">
        <f>'Base de tempo'!P47</f>
        <v>Sim</v>
      </c>
      <c r="P47" s="28">
        <f>'Base de tempo'!Q47</f>
        <v>105</v>
      </c>
      <c r="Q47" s="24">
        <f>'Base de tempo'!R47</f>
        <v>0</v>
      </c>
      <c r="R47" s="24" t="str">
        <f>'Base de tempo'!S47</f>
        <v>RITMO</v>
      </c>
      <c r="S47" s="29">
        <f>IFERROR(SUMIFS('Base cargas'!H$2:H$36,'Base cargas'!G$2:G$36,A47),0)</f>
        <v>134820</v>
      </c>
      <c r="T47" s="10">
        <f>IFERROR(SUMIFS('Base cargas'!J$2:J$36,'Base cargas'!G$2:G$36,A47),0)</f>
        <v>4</v>
      </c>
      <c r="U47" s="30">
        <f t="shared" si="4"/>
        <v>33.704999999999998</v>
      </c>
      <c r="V47" s="29">
        <f>IFERROR(SUMIFS('Base cargas'!K$2:K$36,'Base cargas'!G$2:G$36,A47),0)</f>
        <v>7098980</v>
      </c>
      <c r="W47" s="30">
        <f t="shared" si="5"/>
        <v>52.655244029075803</v>
      </c>
    </row>
    <row r="48" spans="1:23" ht="15" customHeight="1" x14ac:dyDescent="0.35">
      <c r="A48" s="24" t="str">
        <f>'Base de tempo'!C48</f>
        <v>8013469</v>
      </c>
      <c r="B48" s="25">
        <f>'Base de tempo'!B48</f>
        <v>46124</v>
      </c>
      <c r="C48" s="24" t="str">
        <f>'Base de tempo'!D48</f>
        <v>351</v>
      </c>
      <c r="D48" s="24" t="str">
        <f>'Base de tempo'!E48</f>
        <v>9143</v>
      </c>
      <c r="E48" s="26">
        <f>'Base de tempo'!F48</f>
        <v>46124.708761574075</v>
      </c>
      <c r="F48" s="26">
        <f>'Base de tempo'!G48</f>
        <v>46124.728495370371</v>
      </c>
      <c r="G48" s="26">
        <f>'Base de tempo'!H48</f>
        <v>46124.754594907405</v>
      </c>
      <c r="H48" s="26">
        <f>'Base de tempo'!I48</f>
        <v>46124.781365740739</v>
      </c>
      <c r="I48" s="26">
        <f>'Base de tempo'!J48</f>
        <v>46124.8827662037</v>
      </c>
      <c r="J48" s="27">
        <f t="shared" si="0"/>
        <v>28.416666666744277</v>
      </c>
      <c r="K48" s="27">
        <f t="shared" si="1"/>
        <v>37.58333332836628</v>
      </c>
      <c r="L48" s="27">
        <f t="shared" si="2"/>
        <v>38.550000000977889</v>
      </c>
      <c r="M48" s="27">
        <f t="shared" si="3"/>
        <v>146.0166666645091</v>
      </c>
      <c r="N48" s="28">
        <f>'Base de tempo'!O48</f>
        <v>90</v>
      </c>
      <c r="O48" s="24" t="str">
        <f>'Base de tempo'!P48</f>
        <v>Sim</v>
      </c>
      <c r="P48" s="28">
        <f>'Base de tempo'!Q48</f>
        <v>105</v>
      </c>
      <c r="Q48" s="24">
        <f>'Base de tempo'!R48</f>
        <v>0</v>
      </c>
      <c r="R48" s="24" t="str">
        <f>'Base de tempo'!S48</f>
        <v>RITMO</v>
      </c>
      <c r="S48" s="29">
        <f>IFERROR(SUMIFS('Base cargas'!H$2:H$36,'Base cargas'!G$2:G$36,A48),0)</f>
        <v>149560</v>
      </c>
      <c r="T48" s="10">
        <f>IFERROR(SUMIFS('Base cargas'!J$2:J$36,'Base cargas'!G$2:G$36,A48),0)</f>
        <v>4</v>
      </c>
      <c r="U48" s="30">
        <f t="shared" si="4"/>
        <v>37.39</v>
      </c>
      <c r="V48" s="29">
        <f>IFERROR(SUMIFS('Base cargas'!K$2:K$36,'Base cargas'!G$2:G$36,A48),0)</f>
        <v>7400140</v>
      </c>
      <c r="W48" s="30">
        <f t="shared" si="5"/>
        <v>49.479406258357848</v>
      </c>
    </row>
    <row r="49" spans="1:23" ht="15" customHeight="1" x14ac:dyDescent="0.35">
      <c r="A49" s="24" t="str">
        <f>'Base de tempo'!C49</f>
        <v>8013460</v>
      </c>
      <c r="B49" s="25">
        <f>'Base de tempo'!B49</f>
        <v>46123</v>
      </c>
      <c r="C49" s="24" t="str">
        <f>'Base de tempo'!D49</f>
        <v>352</v>
      </c>
      <c r="D49" s="24" t="str">
        <f>'Base de tempo'!E49</f>
        <v>19817</v>
      </c>
      <c r="E49" s="26">
        <f>'Base de tempo'!F49</f>
        <v>46123.570289351854</v>
      </c>
      <c r="F49" s="26">
        <f>'Base de tempo'!G49</f>
        <v>46123.640717592592</v>
      </c>
      <c r="G49" s="26">
        <f>'Base de tempo'!H49</f>
        <v>46123.665613425925</v>
      </c>
      <c r="H49" s="26">
        <f>'Base de tempo'!I49</f>
        <v>46123.901782407411</v>
      </c>
      <c r="I49" s="26">
        <f>'Base de tempo'!J49</f>
        <v>46124.363819444443</v>
      </c>
      <c r="J49" s="27">
        <f t="shared" si="0"/>
        <v>101.41666666371748</v>
      </c>
      <c r="K49" s="27">
        <f t="shared" si="1"/>
        <v>35.849999998463318</v>
      </c>
      <c r="L49" s="27">
        <f t="shared" si="2"/>
        <v>340.08333334000781</v>
      </c>
      <c r="M49" s="27">
        <f t="shared" si="3"/>
        <v>665.3333333262708</v>
      </c>
      <c r="N49" s="28">
        <f>'Base de tempo'!O49</f>
        <v>90</v>
      </c>
      <c r="O49" s="24" t="str">
        <f>'Base de tempo'!P49</f>
        <v>Sim</v>
      </c>
      <c r="P49" s="28">
        <f>'Base de tempo'!Q49</f>
        <v>105</v>
      </c>
      <c r="Q49" s="24">
        <f>'Base de tempo'!R49</f>
        <v>0</v>
      </c>
      <c r="R49" s="24" t="str">
        <f>'Base de tempo'!S49</f>
        <v>RITMO</v>
      </c>
      <c r="S49" s="29">
        <f>IFERROR(SUMIFS('Base cargas'!H$2:H$36,'Base cargas'!G$2:G$36,A49),0)</f>
        <v>0</v>
      </c>
      <c r="T49" s="10">
        <f>IFERROR(SUMIFS('Base cargas'!J$2:J$36,'Base cargas'!G$2:G$36,A49),0)</f>
        <v>0</v>
      </c>
      <c r="U49" s="30" t="str">
        <f t="shared" si="4"/>
        <v/>
      </c>
      <c r="V49" s="29">
        <f>IFERROR(SUMIFS('Base cargas'!K$2:K$36,'Base cargas'!G$2:G$36,A49),0)</f>
        <v>0</v>
      </c>
      <c r="W49" s="30" t="str">
        <f t="shared" si="5"/>
        <v/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520"/>
  <sheetViews>
    <sheetView topLeftCell="A1404" zoomScaleNormal="100" workbookViewId="0">
      <selection activeCell="E1438" sqref="E1438"/>
    </sheetView>
  </sheetViews>
  <sheetFormatPr defaultColWidth="8.54296875" defaultRowHeight="14.5" x14ac:dyDescent="0.35"/>
  <cols>
    <col min="1" max="1" width="18" customWidth="1"/>
    <col min="2" max="2" width="18" style="46" customWidth="1"/>
    <col min="3" max="25" width="18" customWidth="1"/>
  </cols>
  <sheetData>
    <row r="1" spans="1:25" ht="23.25" customHeight="1" x14ac:dyDescent="0.35">
      <c r="A1" s="23" t="s">
        <v>63</v>
      </c>
      <c r="B1" s="53" t="s">
        <v>215</v>
      </c>
      <c r="C1" s="23" t="s">
        <v>135</v>
      </c>
      <c r="D1" s="23" t="s">
        <v>228</v>
      </c>
      <c r="E1" s="23" t="s">
        <v>229</v>
      </c>
      <c r="F1" s="23" t="s">
        <v>230</v>
      </c>
      <c r="G1" s="23" t="s">
        <v>231</v>
      </c>
      <c r="H1" s="23" t="s">
        <v>232</v>
      </c>
      <c r="I1" s="23" t="s">
        <v>233</v>
      </c>
      <c r="J1" s="23" t="s">
        <v>234</v>
      </c>
      <c r="K1" s="23" t="s">
        <v>235</v>
      </c>
      <c r="L1" s="23" t="s">
        <v>236</v>
      </c>
      <c r="M1" s="23" t="s">
        <v>237</v>
      </c>
      <c r="N1" s="23" t="s">
        <v>238</v>
      </c>
      <c r="O1" s="23" t="s">
        <v>239</v>
      </c>
      <c r="P1" s="23" t="s">
        <v>240</v>
      </c>
      <c r="Q1" s="23" t="s">
        <v>241</v>
      </c>
      <c r="R1" s="23" t="s">
        <v>242</v>
      </c>
      <c r="S1" s="23" t="s">
        <v>243</v>
      </c>
      <c r="T1" s="23" t="s">
        <v>244</v>
      </c>
      <c r="U1" s="23" t="s">
        <v>245</v>
      </c>
      <c r="V1" s="23" t="s">
        <v>246</v>
      </c>
      <c r="W1" s="23" t="s">
        <v>247</v>
      </c>
      <c r="X1" s="23" t="s">
        <v>248</v>
      </c>
      <c r="Y1" s="23" t="s">
        <v>249</v>
      </c>
    </row>
    <row r="2" spans="1:25" ht="15" customHeight="1" x14ac:dyDescent="0.35">
      <c r="A2" s="52">
        <v>8013470</v>
      </c>
      <c r="B2" s="51">
        <v>46124</v>
      </c>
      <c r="C2" s="7" t="s">
        <v>124</v>
      </c>
      <c r="D2" s="10">
        <f>IFERROR(SUMIFS('Base bordo'!G$2:G$746,'Base bordo'!C$2:C$746,A2,'Base bordo'!B$2:B$746,B2,'Base bordo'!F$2:F$746,"DESLOCAMENTO VAZIO"),0)</f>
        <v>2.2769444444444447</v>
      </c>
      <c r="E2" s="10">
        <f>IFERROR(SUMIFS('Base bordo'!G$2:G$746,'Base bordo'!C$2:C$746,A2,'Base bordo'!B$2:B$746,B2,'Base bordo'!F$2:F$746,"DESLOCAMENTO CARREGADO"),0)</f>
        <v>6.3111111111111109</v>
      </c>
      <c r="F2" s="10">
        <f>IFERROR(SUMIFS('Base bordo'!G$2:G$746,'Base bordo'!C$2:C$746,A2,'Base bordo'!B$2:B$746,B2,'Base bordo'!F$2:F$746,"DESLOCAMENTO"),0)</f>
        <v>0</v>
      </c>
      <c r="G2" s="10">
        <f>IFERROR(SUMIFS('Base bordo'!G$2:G$746,'Base bordo'!C$2:C$746,A2,'Base bordo'!B$2:B$746,B2,'Base bordo'!F$2:F$746,"CARREGAMENTO"),0)</f>
        <v>0</v>
      </c>
      <c r="H2" s="10">
        <f>IFERROR(SUMIFS('Base bordo'!G$2:G$746,'Base bordo'!C$2:C$746,A2,'Base bordo'!B$2:B$746,B2,'Base bordo'!F$2:F$746,"AGUARDANDO TRANSBORDO"),0)</f>
        <v>0.24416666666666667</v>
      </c>
      <c r="I2" s="10">
        <f>IFERROR(SUMIFS('Base bordo'!G$2:G$746,'Base bordo'!C$2:C$746,A2,'Base bordo'!B$2:B$746,B2,'Base bordo'!F$2:F$746,"PÁTIO INTERNO"),0)+IFERROR(SUMIFS('Base bordo'!G$2:G$746,'Base bordo'!C$2:C$746,A2,'Base bordo'!B$2:B$746,B2,'Base bordo'!F$2:F$746,"PÁTIO EXTERNO"),0)+IFERROR(SUMIFS('Base bordo'!G$2:G$746,'Base bordo'!C$2:C$746,A2,'Base bordo'!B$2:B$746,B2,'Base bordo'!F$2:F$746,"PATIO - RESERVA"),0)+IFERROR(SUMIFS('Base bordo'!G$2:G$746,'Base bordo'!C$2:C$746,A2,'Base bordo'!B$2:B$746,B2,'Base bordo'!F$2:F$746,"MANOBRA CARRETAS-PATIO"),0)</f>
        <v>3.2016666666666667</v>
      </c>
      <c r="J2" s="10">
        <f>IFERROR(SUMIFS('Base bordo'!G$2:G$746,'Base bordo'!C$2:C$746,A2,'Base bordo'!B$2:B$746,B2,'Base bordo'!F$2:F$746,"BALANÇA - ENTRADA"),0)+IFERROR(SUMIFS('Base bordo'!G$2:G$746,'Base bordo'!C$2:C$746,A2,'Base bordo'!B$2:B$746,B2,'Base bordo'!F$2:F$746,"BALANÇA - SAÍDA"),0)</f>
        <v>0.21722222222222221</v>
      </c>
      <c r="K2" s="10">
        <f>IFERROR(SUMIFS('Base bordo'!G$2:G$746,'Base bordo'!C$2:C$746,A2,'Base bordo'!B$2:B$746,B2,'Base bordo'!F$2:F$746,"MAN PREVENTIVA - MECANICA"),0)+IFERROR(SUMIFS('Base bordo'!G$2:G$746,'Base bordo'!C$2:C$746,A2,'Base bordo'!B$2:B$746,B2,'Base bordo'!F$2:F$746,"MAN CORRETIVA - MECANICA"),0)</f>
        <v>0</v>
      </c>
      <c r="L2" s="10">
        <f>IFERROR(SUMIFS('Base bordo'!G$2:G$746,'Base bordo'!C$2:C$746,A2,'Base bordo'!B$2:B$746,B2,'Base bordo'!F$2:F$746,"MANUTENCAO - T O"),0)+IFERROR(SUMIFS('Base bordo'!G$2:G$746,'Base bordo'!C$2:C$746,A2,'Base bordo'!B$2:B$746,B2,'Base bordo'!F$2:F$746,"MANUTENCAO BORRACHARIA"),0)+IFERROR(SUMIFS('Base bordo'!G$2:G$746,'Base bordo'!C$2:C$746,A2,'Base bordo'!B$2:B$746,B2,'Base bordo'!F$2:F$746,"MANUTENCAO EXTERNA  CONCESSIONARIA"),0)+IFERROR(SUMIFS('Base bordo'!G$2:G$746,'Base bordo'!C$2:C$746,A2,'Base bordo'!B$2:B$746,B2,'Base bordo'!F$2:F$746,"MANUTENCAO TELEMETRIA"),0)</f>
        <v>0</v>
      </c>
      <c r="M2" s="10">
        <f>IFERROR(SUMIFS('Base bordo'!G$2:G$746,'Base bordo'!C$2:C$746,A2,'Base bordo'!B$2:B$746,B2,'Base bordo'!F$2:F$746,"AGUARDANDO MANUTENCAO"),0)</f>
        <v>0</v>
      </c>
      <c r="N2" s="10">
        <f>IFERROR(SUMIFS('Base bordo'!G$2:G$746,'Base bordo'!C$2:C$746,A2,'Base bordo'!B$2:B$746,B2,'Base bordo'!F$2:F$746,"SEM APONTAMENTO"),0)</f>
        <v>0</v>
      </c>
      <c r="O2" s="10">
        <f t="shared" ref="O2:O33" si="0">IFERROR(P2-SUM(D2:N2),0)</f>
        <v>6.3333333333332575E-2</v>
      </c>
      <c r="P2" s="10">
        <f>IFERROR(SUMIFS('Base bordo'!G$2:G$746,'Base bordo'!C$2:C$746,A2,'Base bordo'!B$2:B$746,B2),0)</f>
        <v>12.314444444444444</v>
      </c>
      <c r="Q2" s="10">
        <f>IFERROR(SUMIFS('Base bordo'!H$2:H$746,'Base bordo'!C$2:C$746,A2,'Base bordo'!B$2:B$746,B2,'Base bordo'!F$2:F$746,"DESLOCAMENTO VAZIO"),0)</f>
        <v>282969.98000000004</v>
      </c>
      <c r="R2" s="10">
        <f>IFERROR(SUMIFS('Base bordo'!I$2:I$746,'Base bordo'!C$2:C$746,A2,'Base bordo'!B$2:B$746,B2,'Base bordo'!F$2:F$746,"DESLOCAMENTO VAZIO"),0)</f>
        <v>8186</v>
      </c>
      <c r="S2" s="30">
        <f t="shared" ref="S2:S33" si="1">IFERROR(Q2/R2,"")</f>
        <v>34.567551917908631</v>
      </c>
      <c r="T2" s="10">
        <f>IFERROR(SUMIFS('Base bordo'!H$2:H$746,'Base bordo'!C$2:C$746,A2,'Base bordo'!B$2:B$746,B2,'Base bordo'!F$2:F$746,"DESLOCAMENTO CARREGADO"),0)</f>
        <v>649243.22</v>
      </c>
      <c r="U2" s="10">
        <f>IFERROR(SUMIFS('Base bordo'!I$2:I$746,'Base bordo'!C$2:C$746,A2,'Base bordo'!B$2:B$746,B2,'Base bordo'!F$2:F$746,"DESLOCAMENTO CARREGADO"),0)</f>
        <v>22720</v>
      </c>
      <c r="V2" s="30">
        <f t="shared" ref="V2:V33" si="2">IFERROR(T2/U2,"")</f>
        <v>28.575845950704224</v>
      </c>
      <c r="W2" s="9">
        <f t="shared" ref="W2:W33" si="3">IFERROR(D2/P2,0)</f>
        <v>0.18490029775331593</v>
      </c>
      <c r="X2" s="9">
        <f t="shared" ref="X2:X33" si="4">IFERROR(E2/P2,0)</f>
        <v>0.51249661643959221</v>
      </c>
      <c r="Y2" s="9">
        <f t="shared" ref="Y2:Y33" si="5">IFERROR(1-((D2+E2)/P2),0)</f>
        <v>0.30260308580709183</v>
      </c>
    </row>
    <row r="3" spans="1:25" ht="15" customHeight="1" x14ac:dyDescent="0.35">
      <c r="A3" s="52">
        <v>8013461</v>
      </c>
      <c r="B3" s="51">
        <v>46117</v>
      </c>
      <c r="C3" s="7" t="s">
        <v>124</v>
      </c>
      <c r="D3" s="10">
        <f>IFERROR(SUMIFS('Base bordo'!G$2:G$746,'Base bordo'!C$2:C$746,A3,'Base bordo'!B$2:B$746,B3,'Base bordo'!F$2:F$746,"DESLOCAMENTO VAZIO"),0)</f>
        <v>4.035277777777778</v>
      </c>
      <c r="E3" s="10">
        <f>IFERROR(SUMIFS('Base bordo'!G$2:G$746,'Base bordo'!C$2:C$746,A3,'Base bordo'!B$2:B$746,B3,'Base bordo'!F$2:F$746,"DESLOCAMENTO CARREGADO"),0)</f>
        <v>0.74527777777777782</v>
      </c>
      <c r="F3" s="10">
        <f>IFERROR(SUMIFS('Base bordo'!G$2:G$746,'Base bordo'!C$2:C$746,A3,'Base bordo'!B$2:B$746,B3,'Base bordo'!F$2:F$746,"DESLOCAMENTO"),0)</f>
        <v>0.7155555555555555</v>
      </c>
      <c r="G3" s="10">
        <f>IFERROR(SUMIFS('Base bordo'!G$2:G$746,'Base bordo'!C$2:C$746,A3,'Base bordo'!B$2:B$746,B3,'Base bordo'!F$2:F$746,"CARREGAMENTO"),0)</f>
        <v>0.18611111111111112</v>
      </c>
      <c r="H3" s="10">
        <f>IFERROR(SUMIFS('Base bordo'!G$2:G$746,'Base bordo'!C$2:C$746,A3,'Base bordo'!B$2:B$746,B3,'Base bordo'!F$2:F$746,"AGUARDANDO TRANSBORDO"),0)</f>
        <v>0.22416666666666665</v>
      </c>
      <c r="I3" s="10">
        <f>IFERROR(SUMIFS('Base bordo'!G$2:G$746,'Base bordo'!C$2:C$746,A3,'Base bordo'!B$2:B$746,B3,'Base bordo'!F$2:F$746,"PÁTIO INTERNO"),0)+IFERROR(SUMIFS('Base bordo'!G$2:G$746,'Base bordo'!C$2:C$746,A3,'Base bordo'!B$2:B$746,B3,'Base bordo'!F$2:F$746,"PÁTIO EXTERNO"),0)+IFERROR(SUMIFS('Base bordo'!G$2:G$746,'Base bordo'!C$2:C$746,A3,'Base bordo'!B$2:B$746,B3,'Base bordo'!F$2:F$746,"PATIO - RESERVA"),0)+IFERROR(SUMIFS('Base bordo'!G$2:G$746,'Base bordo'!C$2:C$746,A3,'Base bordo'!B$2:B$746,B3,'Base bordo'!F$2:F$746,"MANOBRA CARRETAS-PATIO"),0)</f>
        <v>0</v>
      </c>
      <c r="J3" s="10">
        <f>IFERROR(SUMIFS('Base bordo'!G$2:G$746,'Base bordo'!C$2:C$746,A3,'Base bordo'!B$2:B$746,B3,'Base bordo'!F$2:F$746,"BALANÇA - ENTRADA"),0)+IFERROR(SUMIFS('Base bordo'!G$2:G$746,'Base bordo'!C$2:C$746,A3,'Base bordo'!B$2:B$746,B3,'Base bordo'!F$2:F$746,"BALANÇA - SAÍDA"),0)</f>
        <v>0</v>
      </c>
      <c r="K3" s="10">
        <f>IFERROR(SUMIFS('Base bordo'!G$2:G$746,'Base bordo'!C$2:C$746,A3,'Base bordo'!B$2:B$746,B3,'Base bordo'!F$2:F$746,"MAN PREVENTIVA - MECANICA"),0)+IFERROR(SUMIFS('Base bordo'!G$2:G$746,'Base bordo'!C$2:C$746,A3,'Base bordo'!B$2:B$746,B3,'Base bordo'!F$2:F$746,"MAN CORRETIVA - MECANICA"),0)</f>
        <v>0</v>
      </c>
      <c r="L3" s="10">
        <f>IFERROR(SUMIFS('Base bordo'!G$2:G$746,'Base bordo'!C$2:C$746,A3,'Base bordo'!B$2:B$746,B3,'Base bordo'!F$2:F$746,"MANUTENCAO - T O"),0)+IFERROR(SUMIFS('Base bordo'!G$2:G$746,'Base bordo'!C$2:C$746,A3,'Base bordo'!B$2:B$746,B3,'Base bordo'!F$2:F$746,"MANUTENCAO BORRACHARIA"),0)+IFERROR(SUMIFS('Base bordo'!G$2:G$746,'Base bordo'!C$2:C$746,A3,'Base bordo'!B$2:B$746,B3,'Base bordo'!F$2:F$746,"MANUTENCAO EXTERNA  CONCESSIONARIA"),0)+IFERROR(SUMIFS('Base bordo'!G$2:G$746,'Base bordo'!C$2:C$746,A3,'Base bordo'!B$2:B$746,B3,'Base bordo'!F$2:F$746,"MANUTENCAO TELEMETRIA"),0)</f>
        <v>8.9302777777777784</v>
      </c>
      <c r="M3" s="10">
        <f>IFERROR(SUMIFS('Base bordo'!G$2:G$746,'Base bordo'!C$2:C$746,A3,'Base bordo'!B$2:B$746,B3,'Base bordo'!F$2:F$746,"AGUARDANDO MANUTENCAO"),0)</f>
        <v>0</v>
      </c>
      <c r="N3" s="10">
        <f>IFERROR(SUMIFS('Base bordo'!G$2:G$746,'Base bordo'!C$2:C$746,A3,'Base bordo'!B$2:B$746,B3,'Base bordo'!F$2:F$746,"SEM APONTAMENTO"),0)</f>
        <v>0.91388888888888886</v>
      </c>
      <c r="O3" s="10">
        <f t="shared" si="0"/>
        <v>8.2494444444444426</v>
      </c>
      <c r="P3" s="10">
        <f>IFERROR(SUMIFS('Base bordo'!G$2:G$746,'Base bordo'!C$2:C$746,A3,'Base bordo'!B$2:B$746,B3),0)</f>
        <v>24</v>
      </c>
      <c r="Q3" s="10">
        <f>IFERROR(SUMIFS('Base bordo'!H$2:H$746,'Base bordo'!C$2:C$746,A3,'Base bordo'!B$2:B$746,B3,'Base bordo'!F$2:F$746,"DESLOCAMENTO VAZIO"),0)</f>
        <v>619414.3600000001</v>
      </c>
      <c r="R3" s="10">
        <f>IFERROR(SUMIFS('Base bordo'!I$2:I$746,'Base bordo'!C$2:C$746,A3,'Base bordo'!B$2:B$746,B3,'Base bordo'!F$2:F$746,"DESLOCAMENTO VAZIO"),0)</f>
        <v>14527</v>
      </c>
      <c r="S3" s="30">
        <f t="shared" si="1"/>
        <v>42.638835272251676</v>
      </c>
      <c r="T3" s="10">
        <f>IFERROR(SUMIFS('Base bordo'!H$2:H$746,'Base bordo'!C$2:C$746,A3,'Base bordo'!B$2:B$746,B3,'Base bordo'!F$2:F$746,"DESLOCAMENTO CARREGADO"),0)</f>
        <v>37451.120000000003</v>
      </c>
      <c r="U3" s="10">
        <f>IFERROR(SUMIFS('Base bordo'!I$2:I$746,'Base bordo'!C$2:C$746,A3,'Base bordo'!B$2:B$746,B3,'Base bordo'!F$2:F$746,"DESLOCAMENTO CARREGADO"),0)</f>
        <v>2683</v>
      </c>
      <c r="V3" s="30">
        <f t="shared" si="2"/>
        <v>13.958673127096535</v>
      </c>
      <c r="W3" s="9">
        <f t="shared" si="3"/>
        <v>0.16813657407407409</v>
      </c>
      <c r="X3" s="9">
        <f t="shared" si="4"/>
        <v>3.1053240740740742E-2</v>
      </c>
      <c r="Y3" s="9">
        <f t="shared" si="5"/>
        <v>0.80081018518518521</v>
      </c>
    </row>
    <row r="4" spans="1:25" ht="15" customHeight="1" x14ac:dyDescent="0.35">
      <c r="A4" s="52">
        <v>8013460</v>
      </c>
      <c r="B4" s="51">
        <v>46117</v>
      </c>
      <c r="C4" s="7" t="s">
        <v>124</v>
      </c>
      <c r="D4" s="10">
        <f>IFERROR(SUMIFS('Base bordo'!G$2:G$746,'Base bordo'!C$2:C$746,A4,'Base bordo'!B$2:B$746,B4,'Base bordo'!F$2:F$746,"DESLOCAMENTO VAZIO"),0)</f>
        <v>5.2069444444444448</v>
      </c>
      <c r="E4" s="10">
        <f>IFERROR(SUMIFS('Base bordo'!G$2:G$746,'Base bordo'!C$2:C$746,A4,'Base bordo'!B$2:B$746,B4,'Base bordo'!F$2:F$746,"DESLOCAMENTO CARREGADO"),0)</f>
        <v>0.55944444444444441</v>
      </c>
      <c r="F4" s="10">
        <f>IFERROR(SUMIFS('Base bordo'!G$2:G$746,'Base bordo'!C$2:C$746,A4,'Base bordo'!B$2:B$746,B4,'Base bordo'!F$2:F$746,"DESLOCAMENTO"),0)</f>
        <v>3.0825</v>
      </c>
      <c r="G4" s="10">
        <f>IFERROR(SUMIFS('Base bordo'!G$2:G$746,'Base bordo'!C$2:C$746,A4,'Base bordo'!B$2:B$746,B4,'Base bordo'!F$2:F$746,"CARREGAMENTO"),0)</f>
        <v>2.5000000000000001E-3</v>
      </c>
      <c r="H4" s="10">
        <f>IFERROR(SUMIFS('Base bordo'!G$2:G$746,'Base bordo'!C$2:C$746,A4,'Base bordo'!B$2:B$746,B4,'Base bordo'!F$2:F$746,"AGUARDANDO TRANSBORDO"),0)</f>
        <v>1.0013888888888889</v>
      </c>
      <c r="I4" s="10">
        <f>IFERROR(SUMIFS('Base bordo'!G$2:G$746,'Base bordo'!C$2:C$746,A4,'Base bordo'!B$2:B$746,B4,'Base bordo'!F$2:F$746,"PÁTIO INTERNO"),0)+IFERROR(SUMIFS('Base bordo'!G$2:G$746,'Base bordo'!C$2:C$746,A4,'Base bordo'!B$2:B$746,B4,'Base bordo'!F$2:F$746,"PÁTIO EXTERNO"),0)+IFERROR(SUMIFS('Base bordo'!G$2:G$746,'Base bordo'!C$2:C$746,A4,'Base bordo'!B$2:B$746,B4,'Base bordo'!F$2:F$746,"PATIO - RESERVA"),0)+IFERROR(SUMIFS('Base bordo'!G$2:G$746,'Base bordo'!C$2:C$746,A4,'Base bordo'!B$2:B$746,B4,'Base bordo'!F$2:F$746,"MANOBRA CARRETAS-PATIO"),0)</f>
        <v>0.54972222222222222</v>
      </c>
      <c r="J4" s="10">
        <f>IFERROR(SUMIFS('Base bordo'!G$2:G$746,'Base bordo'!C$2:C$746,A4,'Base bordo'!B$2:B$746,B4,'Base bordo'!F$2:F$746,"BALANÇA - ENTRADA"),0)+IFERROR(SUMIFS('Base bordo'!G$2:G$746,'Base bordo'!C$2:C$746,A4,'Base bordo'!B$2:B$746,B4,'Base bordo'!F$2:F$746,"BALANÇA - SAÍDA"),0)</f>
        <v>0</v>
      </c>
      <c r="K4" s="10">
        <f>IFERROR(SUMIFS('Base bordo'!G$2:G$746,'Base bordo'!C$2:C$746,A4,'Base bordo'!B$2:B$746,B4,'Base bordo'!F$2:F$746,"MAN PREVENTIVA - MECANICA"),0)+IFERROR(SUMIFS('Base bordo'!G$2:G$746,'Base bordo'!C$2:C$746,A4,'Base bordo'!B$2:B$746,B4,'Base bordo'!F$2:F$746,"MAN CORRETIVA - MECANICA"),0)</f>
        <v>0</v>
      </c>
      <c r="L4" s="10">
        <f>IFERROR(SUMIFS('Base bordo'!G$2:G$746,'Base bordo'!C$2:C$746,A4,'Base bordo'!B$2:B$746,B4,'Base bordo'!F$2:F$746,"MANUTENCAO - T O"),0)+IFERROR(SUMIFS('Base bordo'!G$2:G$746,'Base bordo'!C$2:C$746,A4,'Base bordo'!B$2:B$746,B4,'Base bordo'!F$2:F$746,"MANUTENCAO BORRACHARIA"),0)+IFERROR(SUMIFS('Base bordo'!G$2:G$746,'Base bordo'!C$2:C$746,A4,'Base bordo'!B$2:B$746,B4,'Base bordo'!F$2:F$746,"MANUTENCAO EXTERNA  CONCESSIONARIA"),0)+IFERROR(SUMIFS('Base bordo'!G$2:G$746,'Base bordo'!C$2:C$746,A4,'Base bordo'!B$2:B$746,B4,'Base bordo'!F$2:F$746,"MANUTENCAO TELEMETRIA"),0)</f>
        <v>10.766111111111112</v>
      </c>
      <c r="M4" s="10">
        <f>IFERROR(SUMIFS('Base bordo'!G$2:G$746,'Base bordo'!C$2:C$746,A4,'Base bordo'!B$2:B$746,B4,'Base bordo'!F$2:F$746,"AGUARDANDO MANUTENCAO"),0)</f>
        <v>0</v>
      </c>
      <c r="N4" s="10">
        <f>IFERROR(SUMIFS('Base bordo'!G$2:G$746,'Base bordo'!C$2:C$746,A4,'Base bordo'!B$2:B$746,B4,'Base bordo'!F$2:F$746,"SEM APONTAMENTO"),0)</f>
        <v>0.29444444444444445</v>
      </c>
      <c r="O4" s="10">
        <f t="shared" si="0"/>
        <v>2.536944444444444</v>
      </c>
      <c r="P4" s="10">
        <f>IFERROR(SUMIFS('Base bordo'!G$2:G$746,'Base bordo'!C$2:C$746,A4,'Base bordo'!B$2:B$746,B4),0)</f>
        <v>24</v>
      </c>
      <c r="Q4" s="10">
        <f>IFERROR(SUMIFS('Base bordo'!H$2:H$746,'Base bordo'!C$2:C$746,A4,'Base bordo'!B$2:B$746,B4,'Base bordo'!F$2:F$746,"DESLOCAMENTO VAZIO"),0)</f>
        <v>595925.09</v>
      </c>
      <c r="R4" s="10">
        <f>IFERROR(SUMIFS('Base bordo'!I$2:I$746,'Base bordo'!C$2:C$746,A4,'Base bordo'!B$2:B$746,B4,'Base bordo'!F$2:F$746,"DESLOCAMENTO VAZIO"),0)</f>
        <v>18745</v>
      </c>
      <c r="S4" s="30">
        <f t="shared" si="1"/>
        <v>31.791149106428378</v>
      </c>
      <c r="T4" s="10">
        <f>IFERROR(SUMIFS('Base bordo'!H$2:H$746,'Base bordo'!C$2:C$746,A4,'Base bordo'!B$2:B$746,B4,'Base bordo'!F$2:F$746,"DESLOCAMENTO CARREGADO"),0)</f>
        <v>52858.36</v>
      </c>
      <c r="U4" s="10">
        <f>IFERROR(SUMIFS('Base bordo'!I$2:I$746,'Base bordo'!C$2:C$746,A4,'Base bordo'!B$2:B$746,B4,'Base bordo'!F$2:F$746,"DESLOCAMENTO CARREGADO"),0)</f>
        <v>2014</v>
      </c>
      <c r="V4" s="30">
        <f t="shared" si="2"/>
        <v>26.245461767626615</v>
      </c>
      <c r="W4" s="9">
        <f t="shared" si="3"/>
        <v>0.21695601851851853</v>
      </c>
      <c r="X4" s="9">
        <f t="shared" si="4"/>
        <v>2.3310185185185184E-2</v>
      </c>
      <c r="Y4" s="9">
        <f t="shared" si="5"/>
        <v>0.75973379629629634</v>
      </c>
    </row>
    <row r="5" spans="1:25" ht="15" customHeight="1" x14ac:dyDescent="0.35">
      <c r="A5" s="52">
        <v>8013470</v>
      </c>
      <c r="B5" s="51">
        <v>46117</v>
      </c>
      <c r="C5" s="7" t="s">
        <v>124</v>
      </c>
      <c r="D5" s="10">
        <f>IFERROR(SUMIFS('Base bordo'!G$2:G$746,'Base bordo'!C$2:C$746,A5,'Base bordo'!B$2:B$746,B5,'Base bordo'!F$2:F$746,"DESLOCAMENTO VAZIO"),0)</f>
        <v>5.2283333333333335</v>
      </c>
      <c r="E5" s="10">
        <f>IFERROR(SUMIFS('Base bordo'!G$2:G$746,'Base bordo'!C$2:C$746,A5,'Base bordo'!B$2:B$746,B5,'Base bordo'!F$2:F$746,"DESLOCAMENTO CARREGADO"),0)</f>
        <v>1.9622222222222223</v>
      </c>
      <c r="F5" s="10">
        <f>IFERROR(SUMIFS('Base bordo'!G$2:G$746,'Base bordo'!C$2:C$746,A5,'Base bordo'!B$2:B$746,B5,'Base bordo'!F$2:F$746,"DESLOCAMENTO"),0)</f>
        <v>0</v>
      </c>
      <c r="G5" s="10">
        <f>IFERROR(SUMIFS('Base bordo'!G$2:G$746,'Base bordo'!C$2:C$746,A5,'Base bordo'!B$2:B$746,B5,'Base bordo'!F$2:F$746,"CARREGAMENTO"),0)</f>
        <v>1.6741666666666666</v>
      </c>
      <c r="H5" s="10">
        <f>IFERROR(SUMIFS('Base bordo'!G$2:G$746,'Base bordo'!C$2:C$746,A5,'Base bordo'!B$2:B$746,B5,'Base bordo'!F$2:F$746,"AGUARDANDO TRANSBORDO"),0)</f>
        <v>0.22305555555555556</v>
      </c>
      <c r="I5" s="10">
        <f>IFERROR(SUMIFS('Base bordo'!G$2:G$746,'Base bordo'!C$2:C$746,A5,'Base bordo'!B$2:B$746,B5,'Base bordo'!F$2:F$746,"PÁTIO INTERNO"),0)+IFERROR(SUMIFS('Base bordo'!G$2:G$746,'Base bordo'!C$2:C$746,A5,'Base bordo'!B$2:B$746,B5,'Base bordo'!F$2:F$746,"PÁTIO EXTERNO"),0)+IFERROR(SUMIFS('Base bordo'!G$2:G$746,'Base bordo'!C$2:C$746,A5,'Base bordo'!B$2:B$746,B5,'Base bordo'!F$2:F$746,"PATIO - RESERVA"),0)+IFERROR(SUMIFS('Base bordo'!G$2:G$746,'Base bordo'!C$2:C$746,A5,'Base bordo'!B$2:B$746,B5,'Base bordo'!F$2:F$746,"MANOBRA CARRETAS-PATIO"),0)</f>
        <v>0.64583333333333337</v>
      </c>
      <c r="J5" s="10">
        <f>IFERROR(SUMIFS('Base bordo'!G$2:G$746,'Base bordo'!C$2:C$746,A5,'Base bordo'!B$2:B$746,B5,'Base bordo'!F$2:F$746,"BALANÇA - ENTRADA"),0)+IFERROR(SUMIFS('Base bordo'!G$2:G$746,'Base bordo'!C$2:C$746,A5,'Base bordo'!B$2:B$746,B5,'Base bordo'!F$2:F$746,"BALANÇA - SAÍDA"),0)</f>
        <v>0</v>
      </c>
      <c r="K5" s="10">
        <f>IFERROR(SUMIFS('Base bordo'!G$2:G$746,'Base bordo'!C$2:C$746,A5,'Base bordo'!B$2:B$746,B5,'Base bordo'!F$2:F$746,"MAN PREVENTIVA - MECANICA"),0)+IFERROR(SUMIFS('Base bordo'!G$2:G$746,'Base bordo'!C$2:C$746,A5,'Base bordo'!B$2:B$746,B5,'Base bordo'!F$2:F$746,"MAN CORRETIVA - MECANICA"),0)</f>
        <v>0</v>
      </c>
      <c r="L5" s="10">
        <f>IFERROR(SUMIFS('Base bordo'!G$2:G$746,'Base bordo'!C$2:C$746,A5,'Base bordo'!B$2:B$746,B5,'Base bordo'!F$2:F$746,"MANUTENCAO - T O"),0)+IFERROR(SUMIFS('Base bordo'!G$2:G$746,'Base bordo'!C$2:C$746,A5,'Base bordo'!B$2:B$746,B5,'Base bordo'!F$2:F$746,"MANUTENCAO BORRACHARIA"),0)+IFERROR(SUMIFS('Base bordo'!G$2:G$746,'Base bordo'!C$2:C$746,A5,'Base bordo'!B$2:B$746,B5,'Base bordo'!F$2:F$746,"MANUTENCAO EXTERNA  CONCESSIONARIA"),0)+IFERROR(SUMIFS('Base bordo'!G$2:G$746,'Base bordo'!C$2:C$746,A5,'Base bordo'!B$2:B$746,B5,'Base bordo'!F$2:F$746,"MANUTENCAO TELEMETRIA"),0)</f>
        <v>11.065555555555555</v>
      </c>
      <c r="M5" s="10">
        <f>IFERROR(SUMIFS('Base bordo'!G$2:G$746,'Base bordo'!C$2:C$746,A5,'Base bordo'!B$2:B$746,B5,'Base bordo'!F$2:F$746,"AGUARDANDO MANUTENCAO"),0)</f>
        <v>0.04</v>
      </c>
      <c r="N5" s="10">
        <f>IFERROR(SUMIFS('Base bordo'!G$2:G$746,'Base bordo'!C$2:C$746,A5,'Base bordo'!B$2:B$746,B5,'Base bordo'!F$2:F$746,"SEM APONTAMENTO"),0)</f>
        <v>0</v>
      </c>
      <c r="O5" s="10">
        <f t="shared" si="0"/>
        <v>3.1608333333333327</v>
      </c>
      <c r="P5" s="10">
        <f>IFERROR(SUMIFS('Base bordo'!G$2:G$746,'Base bordo'!C$2:C$746,A5,'Base bordo'!B$2:B$746,B5),0)</f>
        <v>24</v>
      </c>
      <c r="Q5" s="10">
        <f>IFERROR(SUMIFS('Base bordo'!H$2:H$746,'Base bordo'!C$2:C$746,A5,'Base bordo'!B$2:B$746,B5,'Base bordo'!F$2:F$746,"DESLOCAMENTO VAZIO"),0)</f>
        <v>586699.78999999992</v>
      </c>
      <c r="R5" s="10">
        <f>IFERROR(SUMIFS('Base bordo'!I$2:I$746,'Base bordo'!C$2:C$746,A5,'Base bordo'!B$2:B$746,B5,'Base bordo'!F$2:F$746,"DESLOCAMENTO VAZIO"),0)</f>
        <v>18822</v>
      </c>
      <c r="S5" s="30">
        <f t="shared" si="1"/>
        <v>31.170958984167459</v>
      </c>
      <c r="T5" s="10">
        <f>IFERROR(SUMIFS('Base bordo'!H$2:H$746,'Base bordo'!C$2:C$746,A5,'Base bordo'!B$2:B$746,B5,'Base bordo'!F$2:F$746,"DESLOCAMENTO CARREGADO"),0)</f>
        <v>166963.32</v>
      </c>
      <c r="U5" s="10">
        <f>IFERROR(SUMIFS('Base bordo'!I$2:I$746,'Base bordo'!C$2:C$746,A5,'Base bordo'!B$2:B$746,B5,'Base bordo'!F$2:F$746,"DESLOCAMENTO CARREGADO"),0)</f>
        <v>7064</v>
      </c>
      <c r="V5" s="30">
        <f t="shared" si="2"/>
        <v>23.635804077010192</v>
      </c>
      <c r="W5" s="9">
        <f t="shared" si="3"/>
        <v>0.21784722222222222</v>
      </c>
      <c r="X5" s="9">
        <f t="shared" si="4"/>
        <v>8.1759259259259268E-2</v>
      </c>
      <c r="Y5" s="9">
        <f t="shared" si="5"/>
        <v>0.7003935185185185</v>
      </c>
    </row>
    <row r="6" spans="1:25" ht="15" customHeight="1" x14ac:dyDescent="0.35">
      <c r="A6" s="52">
        <v>8013474</v>
      </c>
      <c r="B6" s="51">
        <v>46124</v>
      </c>
      <c r="C6" s="7" t="s">
        <v>124</v>
      </c>
      <c r="D6" s="10">
        <f>IFERROR(SUMIFS('Base bordo'!G$2:G$746,'Base bordo'!C$2:C$746,A6,'Base bordo'!B$2:B$746,B6,'Base bordo'!F$2:F$746,"DESLOCAMENTO VAZIO"),0)</f>
        <v>4.3047222222222219</v>
      </c>
      <c r="E6" s="10">
        <f>IFERROR(SUMIFS('Base bordo'!G$2:G$746,'Base bordo'!C$2:C$746,A6,'Base bordo'!B$2:B$746,B6,'Base bordo'!F$2:F$746,"DESLOCAMENTO CARREGADO"),0)</f>
        <v>5.5750000000000002</v>
      </c>
      <c r="F6" s="10">
        <f>IFERROR(SUMIFS('Base bordo'!G$2:G$746,'Base bordo'!C$2:C$746,A6,'Base bordo'!B$2:B$746,B6,'Base bordo'!F$2:F$746,"DESLOCAMENTO"),0)</f>
        <v>0</v>
      </c>
      <c r="G6" s="10">
        <f>IFERROR(SUMIFS('Base bordo'!G$2:G$746,'Base bordo'!C$2:C$746,A6,'Base bordo'!B$2:B$746,B6,'Base bordo'!F$2:F$746,"CARREGAMENTO"),0)</f>
        <v>0</v>
      </c>
      <c r="H6" s="10">
        <f>IFERROR(SUMIFS('Base bordo'!G$2:G$746,'Base bordo'!C$2:C$746,A6,'Base bordo'!B$2:B$746,B6,'Base bordo'!F$2:F$746,"AGUARDANDO TRANSBORDO"),0)</f>
        <v>0.92527777777777775</v>
      </c>
      <c r="I6" s="10">
        <f>IFERROR(SUMIFS('Base bordo'!G$2:G$746,'Base bordo'!C$2:C$746,A6,'Base bordo'!B$2:B$746,B6,'Base bordo'!F$2:F$746,"PÁTIO INTERNO"),0)+IFERROR(SUMIFS('Base bordo'!G$2:G$746,'Base bordo'!C$2:C$746,A6,'Base bordo'!B$2:B$746,B6,'Base bordo'!F$2:F$746,"PÁTIO EXTERNO"),0)+IFERROR(SUMIFS('Base bordo'!G$2:G$746,'Base bordo'!C$2:C$746,A6,'Base bordo'!B$2:B$746,B6,'Base bordo'!F$2:F$746,"PATIO - RESERVA"),0)+IFERROR(SUMIFS('Base bordo'!G$2:G$746,'Base bordo'!C$2:C$746,A6,'Base bordo'!B$2:B$746,B6,'Base bordo'!F$2:F$746,"MANOBRA CARRETAS-PATIO"),0)</f>
        <v>1.7619444444444445</v>
      </c>
      <c r="J6" s="10">
        <f>IFERROR(SUMIFS('Base bordo'!G$2:G$746,'Base bordo'!C$2:C$746,A6,'Base bordo'!B$2:B$746,B6,'Base bordo'!F$2:F$746,"BALANÇA - ENTRADA"),0)+IFERROR(SUMIFS('Base bordo'!G$2:G$746,'Base bordo'!C$2:C$746,A6,'Base bordo'!B$2:B$746,B6,'Base bordo'!F$2:F$746,"BALANÇA - SAÍDA"),0)</f>
        <v>9.6944444444444444E-2</v>
      </c>
      <c r="K6" s="10">
        <f>IFERROR(SUMIFS('Base bordo'!G$2:G$746,'Base bordo'!C$2:C$746,A6,'Base bordo'!B$2:B$746,B6,'Base bordo'!F$2:F$746,"MAN PREVENTIVA - MECANICA"),0)+IFERROR(SUMIFS('Base bordo'!G$2:G$746,'Base bordo'!C$2:C$746,A6,'Base bordo'!B$2:B$746,B6,'Base bordo'!F$2:F$746,"MAN CORRETIVA - MECANICA"),0)</f>
        <v>0</v>
      </c>
      <c r="L6" s="10">
        <f>IFERROR(SUMIFS('Base bordo'!G$2:G$746,'Base bordo'!C$2:C$746,A6,'Base bordo'!B$2:B$746,B6,'Base bordo'!F$2:F$746,"MANUTENCAO - T O"),0)+IFERROR(SUMIFS('Base bordo'!G$2:G$746,'Base bordo'!C$2:C$746,A6,'Base bordo'!B$2:B$746,B6,'Base bordo'!F$2:F$746,"MANUTENCAO BORRACHARIA"),0)+IFERROR(SUMIFS('Base bordo'!G$2:G$746,'Base bordo'!C$2:C$746,A6,'Base bordo'!B$2:B$746,B6,'Base bordo'!F$2:F$746,"MANUTENCAO EXTERNA  CONCESSIONARIA"),0)+IFERROR(SUMIFS('Base bordo'!G$2:G$746,'Base bordo'!C$2:C$746,A6,'Base bordo'!B$2:B$746,B6,'Base bordo'!F$2:F$746,"MANUTENCAO TELEMETRIA"),0)</f>
        <v>0</v>
      </c>
      <c r="M6" s="10">
        <f>IFERROR(SUMIFS('Base bordo'!G$2:G$746,'Base bordo'!C$2:C$746,A6,'Base bordo'!B$2:B$746,B6,'Base bordo'!F$2:F$746,"AGUARDANDO MANUTENCAO"),0)</f>
        <v>0</v>
      </c>
      <c r="N6" s="10">
        <f>IFERROR(SUMIFS('Base bordo'!G$2:G$746,'Base bordo'!C$2:C$746,A6,'Base bordo'!B$2:B$746,B6,'Base bordo'!F$2:F$746,"SEM APONTAMENTO"),0)</f>
        <v>0</v>
      </c>
      <c r="O6" s="10">
        <f t="shared" si="0"/>
        <v>0</v>
      </c>
      <c r="P6" s="10">
        <f>IFERROR(SUMIFS('Base bordo'!G$2:G$746,'Base bordo'!C$2:C$746,A6,'Base bordo'!B$2:B$746,B6),0)</f>
        <v>12.66388888888889</v>
      </c>
      <c r="Q6" s="10">
        <f>IFERROR(SUMIFS('Base bordo'!H$2:H$746,'Base bordo'!C$2:C$746,A6,'Base bordo'!B$2:B$746,B6,'Base bordo'!F$2:F$746,"DESLOCAMENTO VAZIO"),0)</f>
        <v>535356.59</v>
      </c>
      <c r="R6" s="10">
        <f>IFERROR(SUMIFS('Base bordo'!I$2:I$746,'Base bordo'!C$2:C$746,A6,'Base bordo'!B$2:B$746,B6,'Base bordo'!F$2:F$746,"DESLOCAMENTO VAZIO"),0)</f>
        <v>15497</v>
      </c>
      <c r="S6" s="30">
        <f t="shared" si="1"/>
        <v>34.545821126669679</v>
      </c>
      <c r="T6" s="10">
        <f>IFERROR(SUMIFS('Base bordo'!H$2:H$746,'Base bordo'!C$2:C$746,A6,'Base bordo'!B$2:B$746,B6,'Base bordo'!F$2:F$746,"DESLOCAMENTO CARREGADO"),0)</f>
        <v>488002.63</v>
      </c>
      <c r="U6" s="10">
        <f>IFERROR(SUMIFS('Base bordo'!I$2:I$746,'Base bordo'!C$2:C$746,A6,'Base bordo'!B$2:B$746,B6,'Base bordo'!F$2:F$746,"DESLOCAMENTO CARREGADO"),0)</f>
        <v>20070</v>
      </c>
      <c r="V6" s="30">
        <f t="shared" si="2"/>
        <v>24.31502889885401</v>
      </c>
      <c r="W6" s="9">
        <f t="shared" si="3"/>
        <v>0.33992103531476198</v>
      </c>
      <c r="X6" s="9">
        <f t="shared" si="4"/>
        <v>0.44022812020179863</v>
      </c>
      <c r="Y6" s="9">
        <f t="shared" si="5"/>
        <v>0.21985084448343939</v>
      </c>
    </row>
    <row r="7" spans="1:25" ht="15" customHeight="1" x14ac:dyDescent="0.35">
      <c r="A7" s="52">
        <v>8013483</v>
      </c>
      <c r="B7" s="51">
        <v>46124</v>
      </c>
      <c r="C7" s="7" t="s">
        <v>124</v>
      </c>
      <c r="D7" s="10">
        <f>IFERROR(SUMIFS('Base bordo'!G$2:G$746,'Base bordo'!C$2:C$746,A7,'Base bordo'!B$2:B$746,B7,'Base bordo'!F$2:F$746,"DESLOCAMENTO VAZIO"),0)</f>
        <v>3.0661111111111112</v>
      </c>
      <c r="E7" s="10">
        <f>IFERROR(SUMIFS('Base bordo'!G$2:G$746,'Base bordo'!C$2:C$746,A7,'Base bordo'!B$2:B$746,B7,'Base bordo'!F$2:F$746,"DESLOCAMENTO CARREGADO"),0)</f>
        <v>5.7730555555555556</v>
      </c>
      <c r="F7" s="10">
        <f>IFERROR(SUMIFS('Base bordo'!G$2:G$746,'Base bordo'!C$2:C$746,A7,'Base bordo'!B$2:B$746,B7,'Base bordo'!F$2:F$746,"DESLOCAMENTO"),0)</f>
        <v>0</v>
      </c>
      <c r="G7" s="10">
        <f>IFERROR(SUMIFS('Base bordo'!G$2:G$746,'Base bordo'!C$2:C$746,A7,'Base bordo'!B$2:B$746,B7,'Base bordo'!F$2:F$746,"CARREGAMENTO"),0)</f>
        <v>0</v>
      </c>
      <c r="H7" s="10">
        <f>IFERROR(SUMIFS('Base bordo'!G$2:G$746,'Base bordo'!C$2:C$746,A7,'Base bordo'!B$2:B$746,B7,'Base bordo'!F$2:F$746,"AGUARDANDO TRANSBORDO"),0)</f>
        <v>0.55083333333333329</v>
      </c>
      <c r="I7" s="10">
        <f>IFERROR(SUMIFS('Base bordo'!G$2:G$746,'Base bordo'!C$2:C$746,A7,'Base bordo'!B$2:B$746,B7,'Base bordo'!F$2:F$746,"PÁTIO INTERNO"),0)+IFERROR(SUMIFS('Base bordo'!G$2:G$746,'Base bordo'!C$2:C$746,A7,'Base bordo'!B$2:B$746,B7,'Base bordo'!F$2:F$746,"PÁTIO EXTERNO"),0)+IFERROR(SUMIFS('Base bordo'!G$2:G$746,'Base bordo'!C$2:C$746,A7,'Base bordo'!B$2:B$746,B7,'Base bordo'!F$2:F$746,"PATIO - RESERVA"),0)+IFERROR(SUMIFS('Base bordo'!G$2:G$746,'Base bordo'!C$2:C$746,A7,'Base bordo'!B$2:B$746,B7,'Base bordo'!F$2:F$746,"MANOBRA CARRETAS-PATIO"),0)</f>
        <v>6.1611111111111114</v>
      </c>
      <c r="J7" s="10">
        <f>IFERROR(SUMIFS('Base bordo'!G$2:G$746,'Base bordo'!C$2:C$746,A7,'Base bordo'!B$2:B$746,B7,'Base bordo'!F$2:F$746,"BALANÇA - ENTRADA"),0)+IFERROR(SUMIFS('Base bordo'!G$2:G$746,'Base bordo'!C$2:C$746,A7,'Base bordo'!B$2:B$746,B7,'Base bordo'!F$2:F$746,"BALANÇA - SAÍDA"),0)</f>
        <v>0.17694444444444446</v>
      </c>
      <c r="K7" s="10">
        <f>IFERROR(SUMIFS('Base bordo'!G$2:G$746,'Base bordo'!C$2:C$746,A7,'Base bordo'!B$2:B$746,B7,'Base bordo'!F$2:F$746,"MAN PREVENTIVA - MECANICA"),0)+IFERROR(SUMIFS('Base bordo'!G$2:G$746,'Base bordo'!C$2:C$746,A7,'Base bordo'!B$2:B$746,B7,'Base bordo'!F$2:F$746,"MAN CORRETIVA - MECANICA"),0)</f>
        <v>0</v>
      </c>
      <c r="L7" s="10">
        <f>IFERROR(SUMIFS('Base bordo'!G$2:G$746,'Base bordo'!C$2:C$746,A7,'Base bordo'!B$2:B$746,B7,'Base bordo'!F$2:F$746,"MANUTENCAO - T O"),0)+IFERROR(SUMIFS('Base bordo'!G$2:G$746,'Base bordo'!C$2:C$746,A7,'Base bordo'!B$2:B$746,B7,'Base bordo'!F$2:F$746,"MANUTENCAO BORRACHARIA"),0)+IFERROR(SUMIFS('Base bordo'!G$2:G$746,'Base bordo'!C$2:C$746,A7,'Base bordo'!B$2:B$746,B7,'Base bordo'!F$2:F$746,"MANUTENCAO EXTERNA  CONCESSIONARIA"),0)+IFERROR(SUMIFS('Base bordo'!G$2:G$746,'Base bordo'!C$2:C$746,A7,'Base bordo'!B$2:B$746,B7,'Base bordo'!F$2:F$746,"MANUTENCAO TELEMETRIA"),0)</f>
        <v>0</v>
      </c>
      <c r="M7" s="10">
        <f>IFERROR(SUMIFS('Base bordo'!G$2:G$746,'Base bordo'!C$2:C$746,A7,'Base bordo'!B$2:B$746,B7,'Base bordo'!F$2:F$746,"AGUARDANDO MANUTENCAO"),0)</f>
        <v>0</v>
      </c>
      <c r="N7" s="10">
        <f>IFERROR(SUMIFS('Base bordo'!G$2:G$746,'Base bordo'!C$2:C$746,A7,'Base bordo'!B$2:B$746,B7,'Base bordo'!F$2:F$746,"SEM APONTAMENTO"),0)</f>
        <v>0</v>
      </c>
      <c r="O7" s="10">
        <f t="shared" si="0"/>
        <v>-1.7763568394002505E-15</v>
      </c>
      <c r="P7" s="10">
        <f>IFERROR(SUMIFS('Base bordo'!G$2:G$746,'Base bordo'!C$2:C$746,A7,'Base bordo'!B$2:B$746,B7),0)</f>
        <v>15.728055555555555</v>
      </c>
      <c r="Q7" s="10">
        <f>IFERROR(SUMIFS('Base bordo'!H$2:H$746,'Base bordo'!C$2:C$746,A7,'Base bordo'!B$2:B$746,B7,'Base bordo'!F$2:F$746,"DESLOCAMENTO VAZIO"),0)</f>
        <v>357738.43000000005</v>
      </c>
      <c r="R7" s="10">
        <f>IFERROR(SUMIFS('Base bordo'!I$2:I$746,'Base bordo'!C$2:C$746,A7,'Base bordo'!B$2:B$746,B7,'Base bordo'!F$2:F$746,"DESLOCAMENTO VAZIO"),0)</f>
        <v>11038</v>
      </c>
      <c r="S7" s="30">
        <f t="shared" si="1"/>
        <v>32.409714622214175</v>
      </c>
      <c r="T7" s="10">
        <f>IFERROR(SUMIFS('Base bordo'!H$2:H$746,'Base bordo'!C$2:C$746,A7,'Base bordo'!B$2:B$746,B7,'Base bordo'!F$2:F$746,"DESLOCAMENTO CARREGADO"),0)</f>
        <v>519150.98000000004</v>
      </c>
      <c r="U7" s="10">
        <f>IFERROR(SUMIFS('Base bordo'!I$2:I$746,'Base bordo'!C$2:C$746,A7,'Base bordo'!B$2:B$746,B7,'Base bordo'!F$2:F$746,"DESLOCAMENTO CARREGADO"),0)</f>
        <v>20783</v>
      </c>
      <c r="V7" s="30">
        <f t="shared" si="2"/>
        <v>24.979597748159556</v>
      </c>
      <c r="W7" s="9">
        <f t="shared" si="3"/>
        <v>0.19494533830204344</v>
      </c>
      <c r="X7" s="9">
        <f t="shared" si="4"/>
        <v>0.36705462637537312</v>
      </c>
      <c r="Y7" s="9">
        <f t="shared" si="5"/>
        <v>0.43800003532258347</v>
      </c>
    </row>
    <row r="8" spans="1:25" ht="15" customHeight="1" x14ac:dyDescent="0.35">
      <c r="A8" s="52">
        <v>8013474</v>
      </c>
      <c r="B8" s="51">
        <v>46124</v>
      </c>
      <c r="C8" s="7" t="s">
        <v>124</v>
      </c>
      <c r="D8" s="10">
        <f>IFERROR(SUMIFS('Base bordo'!G$2:G$746,'Base bordo'!C$2:C$746,A8,'Base bordo'!B$2:B$746,B8,'Base bordo'!F$2:F$746,"DESLOCAMENTO VAZIO"),0)</f>
        <v>4.3047222222222219</v>
      </c>
      <c r="E8" s="10">
        <f>IFERROR(SUMIFS('Base bordo'!G$2:G$746,'Base bordo'!C$2:C$746,A8,'Base bordo'!B$2:B$746,B8,'Base bordo'!F$2:F$746,"DESLOCAMENTO CARREGADO"),0)</f>
        <v>5.5750000000000002</v>
      </c>
      <c r="F8" s="10">
        <f>IFERROR(SUMIFS('Base bordo'!G$2:G$746,'Base bordo'!C$2:C$746,A8,'Base bordo'!B$2:B$746,B8,'Base bordo'!F$2:F$746,"DESLOCAMENTO"),0)</f>
        <v>0</v>
      </c>
      <c r="G8" s="10">
        <f>IFERROR(SUMIFS('Base bordo'!G$2:G$746,'Base bordo'!C$2:C$746,A8,'Base bordo'!B$2:B$746,B8,'Base bordo'!F$2:F$746,"CARREGAMENTO"),0)</f>
        <v>0</v>
      </c>
      <c r="H8" s="10">
        <f>IFERROR(SUMIFS('Base bordo'!G$2:G$746,'Base bordo'!C$2:C$746,A8,'Base bordo'!B$2:B$746,B8,'Base bordo'!F$2:F$746,"AGUARDANDO TRANSBORDO"),0)</f>
        <v>0.92527777777777775</v>
      </c>
      <c r="I8" s="10">
        <f>IFERROR(SUMIFS('Base bordo'!G$2:G$746,'Base bordo'!C$2:C$746,A8,'Base bordo'!B$2:B$746,B8,'Base bordo'!F$2:F$746,"PÁTIO INTERNO"),0)+IFERROR(SUMIFS('Base bordo'!G$2:G$746,'Base bordo'!C$2:C$746,A8,'Base bordo'!B$2:B$746,B8,'Base bordo'!F$2:F$746,"PÁTIO EXTERNO"),0)+IFERROR(SUMIFS('Base bordo'!G$2:G$746,'Base bordo'!C$2:C$746,A8,'Base bordo'!B$2:B$746,B8,'Base bordo'!F$2:F$746,"PATIO - RESERVA"),0)+IFERROR(SUMIFS('Base bordo'!G$2:G$746,'Base bordo'!C$2:C$746,A8,'Base bordo'!B$2:B$746,B8,'Base bordo'!F$2:F$746,"MANOBRA CARRETAS-PATIO"),0)</f>
        <v>1.7619444444444445</v>
      </c>
      <c r="J8" s="10">
        <f>IFERROR(SUMIFS('Base bordo'!G$2:G$746,'Base bordo'!C$2:C$746,A8,'Base bordo'!B$2:B$746,B8,'Base bordo'!F$2:F$746,"BALANÇA - ENTRADA"),0)+IFERROR(SUMIFS('Base bordo'!G$2:G$746,'Base bordo'!C$2:C$746,A8,'Base bordo'!B$2:B$746,B8,'Base bordo'!F$2:F$746,"BALANÇA - SAÍDA"),0)</f>
        <v>9.6944444444444444E-2</v>
      </c>
      <c r="K8" s="10">
        <f>IFERROR(SUMIFS('Base bordo'!G$2:G$746,'Base bordo'!C$2:C$746,A8,'Base bordo'!B$2:B$746,B8,'Base bordo'!F$2:F$746,"MAN PREVENTIVA - MECANICA"),0)+IFERROR(SUMIFS('Base bordo'!G$2:G$746,'Base bordo'!C$2:C$746,A8,'Base bordo'!B$2:B$746,B8,'Base bordo'!F$2:F$746,"MAN CORRETIVA - MECANICA"),0)</f>
        <v>0</v>
      </c>
      <c r="L8" s="10">
        <f>IFERROR(SUMIFS('Base bordo'!G$2:G$746,'Base bordo'!C$2:C$746,A8,'Base bordo'!B$2:B$746,B8,'Base bordo'!F$2:F$746,"MANUTENCAO - T O"),0)+IFERROR(SUMIFS('Base bordo'!G$2:G$746,'Base bordo'!C$2:C$746,A8,'Base bordo'!B$2:B$746,B8,'Base bordo'!F$2:F$746,"MANUTENCAO BORRACHARIA"),0)+IFERROR(SUMIFS('Base bordo'!G$2:G$746,'Base bordo'!C$2:C$746,A8,'Base bordo'!B$2:B$746,B8,'Base bordo'!F$2:F$746,"MANUTENCAO EXTERNA  CONCESSIONARIA"),0)+IFERROR(SUMIFS('Base bordo'!G$2:G$746,'Base bordo'!C$2:C$746,A8,'Base bordo'!B$2:B$746,B8,'Base bordo'!F$2:F$746,"MANUTENCAO TELEMETRIA"),0)</f>
        <v>0</v>
      </c>
      <c r="M8" s="10">
        <f>IFERROR(SUMIFS('Base bordo'!G$2:G$746,'Base bordo'!C$2:C$746,A8,'Base bordo'!B$2:B$746,B8,'Base bordo'!F$2:F$746,"AGUARDANDO MANUTENCAO"),0)</f>
        <v>0</v>
      </c>
      <c r="N8" s="10">
        <f>IFERROR(SUMIFS('Base bordo'!G$2:G$746,'Base bordo'!C$2:C$746,A8,'Base bordo'!B$2:B$746,B8,'Base bordo'!F$2:F$746,"SEM APONTAMENTO"),0)</f>
        <v>0</v>
      </c>
      <c r="O8" s="10">
        <f t="shared" si="0"/>
        <v>0</v>
      </c>
      <c r="P8" s="10">
        <f>IFERROR(SUMIFS('Base bordo'!G$2:G$746,'Base bordo'!C$2:C$746,A8,'Base bordo'!B$2:B$746,B8),0)</f>
        <v>12.66388888888889</v>
      </c>
      <c r="Q8" s="10">
        <f>IFERROR(SUMIFS('Base bordo'!H$2:H$746,'Base bordo'!C$2:C$746,A8,'Base bordo'!B$2:B$746,B8,'Base bordo'!F$2:F$746,"DESLOCAMENTO VAZIO"),0)</f>
        <v>535356.59</v>
      </c>
      <c r="R8" s="10">
        <f>IFERROR(SUMIFS('Base bordo'!I$2:I$746,'Base bordo'!C$2:C$746,A8,'Base bordo'!B$2:B$746,B8,'Base bordo'!F$2:F$746,"DESLOCAMENTO VAZIO"),0)</f>
        <v>15497</v>
      </c>
      <c r="S8" s="30">
        <f t="shared" si="1"/>
        <v>34.545821126669679</v>
      </c>
      <c r="T8" s="10">
        <f>IFERROR(SUMIFS('Base bordo'!H$2:H$746,'Base bordo'!C$2:C$746,A8,'Base bordo'!B$2:B$746,B8,'Base bordo'!F$2:F$746,"DESLOCAMENTO CARREGADO"),0)</f>
        <v>488002.63</v>
      </c>
      <c r="U8" s="10">
        <f>IFERROR(SUMIFS('Base bordo'!I$2:I$746,'Base bordo'!C$2:C$746,A8,'Base bordo'!B$2:B$746,B8,'Base bordo'!F$2:F$746,"DESLOCAMENTO CARREGADO"),0)</f>
        <v>20070</v>
      </c>
      <c r="V8" s="30">
        <f t="shared" si="2"/>
        <v>24.31502889885401</v>
      </c>
      <c r="W8" s="9">
        <f t="shared" si="3"/>
        <v>0.33992103531476198</v>
      </c>
      <c r="X8" s="9">
        <f t="shared" si="4"/>
        <v>0.44022812020179863</v>
      </c>
      <c r="Y8" s="9">
        <f t="shared" si="5"/>
        <v>0.21985084448343939</v>
      </c>
    </row>
    <row r="9" spans="1:25" ht="15" customHeight="1" x14ac:dyDescent="0.35">
      <c r="A9" s="52">
        <v>8013473</v>
      </c>
      <c r="B9" s="51">
        <v>46124</v>
      </c>
      <c r="C9" s="7" t="s">
        <v>124</v>
      </c>
      <c r="D9" s="10">
        <f>IFERROR(SUMIFS('Base bordo'!G$2:G$746,'Base bordo'!C$2:C$746,A9,'Base bordo'!B$2:B$746,B9,'Base bordo'!F$2:F$746,"DESLOCAMENTO VAZIO"),0)</f>
        <v>3.3650000000000002</v>
      </c>
      <c r="E9" s="10">
        <f>IFERROR(SUMIFS('Base bordo'!G$2:G$746,'Base bordo'!C$2:C$746,A9,'Base bordo'!B$2:B$746,B9,'Base bordo'!F$2:F$746,"DESLOCAMENTO CARREGADO"),0)</f>
        <v>4.0566666666666666</v>
      </c>
      <c r="F9" s="10">
        <f>IFERROR(SUMIFS('Base bordo'!G$2:G$746,'Base bordo'!C$2:C$746,A9,'Base bordo'!B$2:B$746,B9,'Base bordo'!F$2:F$746,"DESLOCAMENTO"),0)</f>
        <v>0</v>
      </c>
      <c r="G9" s="10">
        <f>IFERROR(SUMIFS('Base bordo'!G$2:G$746,'Base bordo'!C$2:C$746,A9,'Base bordo'!B$2:B$746,B9,'Base bordo'!F$2:F$746,"CARREGAMENTO"),0)</f>
        <v>0</v>
      </c>
      <c r="H9" s="10">
        <f>IFERROR(SUMIFS('Base bordo'!G$2:G$746,'Base bordo'!C$2:C$746,A9,'Base bordo'!B$2:B$746,B9,'Base bordo'!F$2:F$746,"AGUARDANDO TRANSBORDO"),0)</f>
        <v>0.39333333333333331</v>
      </c>
      <c r="I9" s="10">
        <f>IFERROR(SUMIFS('Base bordo'!G$2:G$746,'Base bordo'!C$2:C$746,A9,'Base bordo'!B$2:B$746,B9,'Base bordo'!F$2:F$746,"PÁTIO INTERNO"),0)+IFERROR(SUMIFS('Base bordo'!G$2:G$746,'Base bordo'!C$2:C$746,A9,'Base bordo'!B$2:B$746,B9,'Base bordo'!F$2:F$746,"PÁTIO EXTERNO"),0)+IFERROR(SUMIFS('Base bordo'!G$2:G$746,'Base bordo'!C$2:C$746,A9,'Base bordo'!B$2:B$746,B9,'Base bordo'!F$2:F$746,"PATIO - RESERVA"),0)+IFERROR(SUMIFS('Base bordo'!G$2:G$746,'Base bordo'!C$2:C$746,A9,'Base bordo'!B$2:B$746,B9,'Base bordo'!F$2:F$746,"MANOBRA CARRETAS-PATIO"),0)</f>
        <v>4.1744444444444442</v>
      </c>
      <c r="J9" s="10">
        <f>IFERROR(SUMIFS('Base bordo'!G$2:G$746,'Base bordo'!C$2:C$746,A9,'Base bordo'!B$2:B$746,B9,'Base bordo'!F$2:F$746,"BALANÇA - ENTRADA"),0)+IFERROR(SUMIFS('Base bordo'!G$2:G$746,'Base bordo'!C$2:C$746,A9,'Base bordo'!B$2:B$746,B9,'Base bordo'!F$2:F$746,"BALANÇA - SAÍDA"),0)</f>
        <v>0.27249999999999996</v>
      </c>
      <c r="K9" s="10">
        <f>IFERROR(SUMIFS('Base bordo'!G$2:G$746,'Base bordo'!C$2:C$746,A9,'Base bordo'!B$2:B$746,B9,'Base bordo'!F$2:F$746,"MAN PREVENTIVA - MECANICA"),0)+IFERROR(SUMIFS('Base bordo'!G$2:G$746,'Base bordo'!C$2:C$746,A9,'Base bordo'!B$2:B$746,B9,'Base bordo'!F$2:F$746,"MAN CORRETIVA - MECANICA"),0)</f>
        <v>0</v>
      </c>
      <c r="L9" s="10">
        <f>IFERROR(SUMIFS('Base bordo'!G$2:G$746,'Base bordo'!C$2:C$746,A9,'Base bordo'!B$2:B$746,B9,'Base bordo'!F$2:F$746,"MANUTENCAO - T O"),0)+IFERROR(SUMIFS('Base bordo'!G$2:G$746,'Base bordo'!C$2:C$746,A9,'Base bordo'!B$2:B$746,B9,'Base bordo'!F$2:F$746,"MANUTENCAO BORRACHARIA"),0)+IFERROR(SUMIFS('Base bordo'!G$2:G$746,'Base bordo'!C$2:C$746,A9,'Base bordo'!B$2:B$746,B9,'Base bordo'!F$2:F$746,"MANUTENCAO EXTERNA  CONCESSIONARIA"),0)+IFERROR(SUMIFS('Base bordo'!G$2:G$746,'Base bordo'!C$2:C$746,A9,'Base bordo'!B$2:B$746,B9,'Base bordo'!F$2:F$746,"MANUTENCAO TELEMETRIA"),0)</f>
        <v>0</v>
      </c>
      <c r="M9" s="10">
        <f>IFERROR(SUMIFS('Base bordo'!G$2:G$746,'Base bordo'!C$2:C$746,A9,'Base bordo'!B$2:B$746,B9,'Base bordo'!F$2:F$746,"AGUARDANDO MANUTENCAO"),0)</f>
        <v>0</v>
      </c>
      <c r="N9" s="10">
        <f>IFERROR(SUMIFS('Base bordo'!G$2:G$746,'Base bordo'!C$2:C$746,A9,'Base bordo'!B$2:B$746,B9,'Base bordo'!F$2:F$746,"SEM APONTAMENTO"),0)</f>
        <v>0</v>
      </c>
      <c r="O9" s="10">
        <f t="shared" si="0"/>
        <v>0.26305555555555138</v>
      </c>
      <c r="P9" s="10">
        <f>IFERROR(SUMIFS('Base bordo'!G$2:G$746,'Base bordo'!C$2:C$746,A9,'Base bordo'!B$2:B$746,B9),0)</f>
        <v>12.524999999999997</v>
      </c>
      <c r="Q9" s="10">
        <f>IFERROR(SUMIFS('Base bordo'!H$2:H$746,'Base bordo'!C$2:C$746,A9,'Base bordo'!B$2:B$746,B9,'Base bordo'!F$2:F$746,"DESLOCAMENTO VAZIO"),0)</f>
        <v>427465.79</v>
      </c>
      <c r="R9" s="10">
        <f>IFERROR(SUMIFS('Base bordo'!I$2:I$746,'Base bordo'!C$2:C$746,A9,'Base bordo'!B$2:B$746,B9,'Base bordo'!F$2:F$746,"DESLOCAMENTO VAZIO"),0)</f>
        <v>12114</v>
      </c>
      <c r="S9" s="30">
        <f t="shared" si="1"/>
        <v>35.286923394419681</v>
      </c>
      <c r="T9" s="10">
        <f>IFERROR(SUMIFS('Base bordo'!H$2:H$746,'Base bordo'!C$2:C$746,A9,'Base bordo'!B$2:B$746,B9,'Base bordo'!F$2:F$746,"DESLOCAMENTO CARREGADO"),0)</f>
        <v>388337.10000000003</v>
      </c>
      <c r="U9" s="10">
        <f>IFERROR(SUMIFS('Base bordo'!I$2:I$746,'Base bordo'!C$2:C$746,A9,'Base bordo'!B$2:B$746,B9,'Base bordo'!F$2:F$746,"DESLOCAMENTO CARREGADO"),0)</f>
        <v>14604</v>
      </c>
      <c r="V9" s="30">
        <f t="shared" si="2"/>
        <v>26.591146261298277</v>
      </c>
      <c r="W9" s="9">
        <f t="shared" si="3"/>
        <v>0.26866267465069871</v>
      </c>
      <c r="X9" s="9">
        <f t="shared" si="4"/>
        <v>0.32388556220891557</v>
      </c>
      <c r="Y9" s="9">
        <f t="shared" si="5"/>
        <v>0.40745176314038578</v>
      </c>
    </row>
    <row r="10" spans="1:25" ht="15" customHeight="1" x14ac:dyDescent="0.35">
      <c r="A10" s="52">
        <v>8013465</v>
      </c>
      <c r="B10" s="51">
        <v>46124</v>
      </c>
      <c r="C10" s="7" t="s">
        <v>124</v>
      </c>
      <c r="D10" s="10">
        <f>IFERROR(SUMIFS('Base bordo'!G$2:G$746,'Base bordo'!C$2:C$746,A10,'Base bordo'!B$2:B$746,B10,'Base bordo'!F$2:F$746,"DESLOCAMENTO VAZIO"),0)</f>
        <v>2.6761111111111111</v>
      </c>
      <c r="E10" s="10">
        <f>IFERROR(SUMIFS('Base bordo'!G$2:G$746,'Base bordo'!C$2:C$746,A10,'Base bordo'!B$2:B$746,B10,'Base bordo'!F$2:F$746,"DESLOCAMENTO CARREGADO"),0)</f>
        <v>5.5052777777777777</v>
      </c>
      <c r="F10" s="10">
        <f>IFERROR(SUMIFS('Base bordo'!G$2:G$746,'Base bordo'!C$2:C$746,A10,'Base bordo'!B$2:B$746,B10,'Base bordo'!F$2:F$746,"DESLOCAMENTO"),0)</f>
        <v>0</v>
      </c>
      <c r="G10" s="10">
        <f>IFERROR(SUMIFS('Base bordo'!G$2:G$746,'Base bordo'!C$2:C$746,A10,'Base bordo'!B$2:B$746,B10,'Base bordo'!F$2:F$746,"CARREGAMENTO"),0)</f>
        <v>0</v>
      </c>
      <c r="H10" s="10">
        <f>IFERROR(SUMIFS('Base bordo'!G$2:G$746,'Base bordo'!C$2:C$746,A10,'Base bordo'!B$2:B$746,B10,'Base bordo'!F$2:F$746,"AGUARDANDO TRANSBORDO"),0)</f>
        <v>0.45055555555555554</v>
      </c>
      <c r="I10" s="10">
        <f>IFERROR(SUMIFS('Base bordo'!G$2:G$746,'Base bordo'!C$2:C$746,A10,'Base bordo'!B$2:B$746,B10,'Base bordo'!F$2:F$746,"PÁTIO INTERNO"),0)+IFERROR(SUMIFS('Base bordo'!G$2:G$746,'Base bordo'!C$2:C$746,A10,'Base bordo'!B$2:B$746,B10,'Base bordo'!F$2:F$746,"PÁTIO EXTERNO"),0)+IFERROR(SUMIFS('Base bordo'!G$2:G$746,'Base bordo'!C$2:C$746,A10,'Base bordo'!B$2:B$746,B10,'Base bordo'!F$2:F$746,"PATIO - RESERVA"),0)+IFERROR(SUMIFS('Base bordo'!G$2:G$746,'Base bordo'!C$2:C$746,A10,'Base bordo'!B$2:B$746,B10,'Base bordo'!F$2:F$746,"MANOBRA CARRETAS-PATIO"),0)</f>
        <v>2.5047222222222221</v>
      </c>
      <c r="J10" s="10">
        <f>IFERROR(SUMIFS('Base bordo'!G$2:G$746,'Base bordo'!C$2:C$746,A10,'Base bordo'!B$2:B$746,B10,'Base bordo'!F$2:F$746,"BALANÇA - ENTRADA"),0)+IFERROR(SUMIFS('Base bordo'!G$2:G$746,'Base bordo'!C$2:C$746,A10,'Base bordo'!B$2:B$746,B10,'Base bordo'!F$2:F$746,"BALANÇA - SAÍDA"),0)</f>
        <v>0</v>
      </c>
      <c r="K10" s="10">
        <f>IFERROR(SUMIFS('Base bordo'!G$2:G$746,'Base bordo'!C$2:C$746,A10,'Base bordo'!B$2:B$746,B10,'Base bordo'!F$2:F$746,"MAN PREVENTIVA - MECANICA"),0)+IFERROR(SUMIFS('Base bordo'!G$2:G$746,'Base bordo'!C$2:C$746,A10,'Base bordo'!B$2:B$746,B10,'Base bordo'!F$2:F$746,"MAN CORRETIVA - MECANICA"),0)</f>
        <v>0</v>
      </c>
      <c r="L10" s="10">
        <f>IFERROR(SUMIFS('Base bordo'!G$2:G$746,'Base bordo'!C$2:C$746,A10,'Base bordo'!B$2:B$746,B10,'Base bordo'!F$2:F$746,"MANUTENCAO - T O"),0)+IFERROR(SUMIFS('Base bordo'!G$2:G$746,'Base bordo'!C$2:C$746,A10,'Base bordo'!B$2:B$746,B10,'Base bordo'!F$2:F$746,"MANUTENCAO BORRACHARIA"),0)+IFERROR(SUMIFS('Base bordo'!G$2:G$746,'Base bordo'!C$2:C$746,A10,'Base bordo'!B$2:B$746,B10,'Base bordo'!F$2:F$746,"MANUTENCAO EXTERNA  CONCESSIONARIA"),0)+IFERROR(SUMIFS('Base bordo'!G$2:G$746,'Base bordo'!C$2:C$746,A10,'Base bordo'!B$2:B$746,B10,'Base bordo'!F$2:F$746,"MANUTENCAO TELEMETRIA"),0)</f>
        <v>0</v>
      </c>
      <c r="M10" s="10">
        <f>IFERROR(SUMIFS('Base bordo'!G$2:G$746,'Base bordo'!C$2:C$746,A10,'Base bordo'!B$2:B$746,B10,'Base bordo'!F$2:F$746,"AGUARDANDO MANUTENCAO"),0)</f>
        <v>0</v>
      </c>
      <c r="N10" s="10">
        <f>IFERROR(SUMIFS('Base bordo'!G$2:G$746,'Base bordo'!C$2:C$746,A10,'Base bordo'!B$2:B$746,B10,'Base bordo'!F$2:F$746,"SEM APONTAMENTO"),0)</f>
        <v>0</v>
      </c>
      <c r="O10" s="10">
        <f t="shared" si="0"/>
        <v>2.1111111111110858E-2</v>
      </c>
      <c r="P10" s="10">
        <f>IFERROR(SUMIFS('Base bordo'!G$2:G$746,'Base bordo'!C$2:C$746,A10,'Base bordo'!B$2:B$746,B10),0)</f>
        <v>11.157777777777778</v>
      </c>
      <c r="Q10" s="10">
        <f>IFERROR(SUMIFS('Base bordo'!H$2:H$746,'Base bordo'!C$2:C$746,A10,'Base bordo'!B$2:B$746,B10,'Base bordo'!F$2:F$746,"DESLOCAMENTO VAZIO"),0)</f>
        <v>384446.33</v>
      </c>
      <c r="R10" s="10">
        <f>IFERROR(SUMIFS('Base bordo'!I$2:I$746,'Base bordo'!C$2:C$746,A10,'Base bordo'!B$2:B$746,B10,'Base bordo'!F$2:F$746,"DESLOCAMENTO VAZIO"),0)</f>
        <v>9634</v>
      </c>
      <c r="S10" s="30">
        <f t="shared" si="1"/>
        <v>39.905161926510274</v>
      </c>
      <c r="T10" s="10">
        <f>IFERROR(SUMIFS('Base bordo'!H$2:H$746,'Base bordo'!C$2:C$746,A10,'Base bordo'!B$2:B$746,B10,'Base bordo'!F$2:F$746,"DESLOCAMENTO CARREGADO"),0)</f>
        <v>426423.94999999995</v>
      </c>
      <c r="U10" s="10">
        <f>IFERROR(SUMIFS('Base bordo'!I$2:I$746,'Base bordo'!C$2:C$746,A10,'Base bordo'!B$2:B$746,B10,'Base bordo'!F$2:F$746,"DESLOCAMENTO CARREGADO"),0)</f>
        <v>19819</v>
      </c>
      <c r="V10" s="30">
        <f t="shared" si="2"/>
        <v>21.515916544729802</v>
      </c>
      <c r="W10" s="9">
        <f t="shared" si="3"/>
        <v>0.23984266082453695</v>
      </c>
      <c r="X10" s="9">
        <f t="shared" si="4"/>
        <v>0.49340270862378011</v>
      </c>
      <c r="Y10" s="9">
        <f t="shared" si="5"/>
        <v>0.2667546305516828</v>
      </c>
    </row>
    <row r="11" spans="1:25" ht="15" customHeight="1" x14ac:dyDescent="0.35">
      <c r="A11" s="52">
        <v>8013482</v>
      </c>
      <c r="B11" s="51">
        <v>46124</v>
      </c>
      <c r="C11" s="7" t="s">
        <v>124</v>
      </c>
      <c r="D11" s="10">
        <f>IFERROR(SUMIFS('Base bordo'!G$2:G$746,'Base bordo'!C$2:C$746,A11,'Base bordo'!B$2:B$746,B11,'Base bordo'!F$2:F$746,"DESLOCAMENTO VAZIO"),0)</f>
        <v>3.1158333333333332</v>
      </c>
      <c r="E11" s="10">
        <f>IFERROR(SUMIFS('Base bordo'!G$2:G$746,'Base bordo'!C$2:C$746,A11,'Base bordo'!B$2:B$746,B11,'Base bordo'!F$2:F$746,"DESLOCAMENTO CARREGADO"),0)</f>
        <v>4.7358333333333329</v>
      </c>
      <c r="F11" s="10">
        <f>IFERROR(SUMIFS('Base bordo'!G$2:G$746,'Base bordo'!C$2:C$746,A11,'Base bordo'!B$2:B$746,B11,'Base bordo'!F$2:F$746,"DESLOCAMENTO"),0)</f>
        <v>0</v>
      </c>
      <c r="G11" s="10">
        <f>IFERROR(SUMIFS('Base bordo'!G$2:G$746,'Base bordo'!C$2:C$746,A11,'Base bordo'!B$2:B$746,B11,'Base bordo'!F$2:F$746,"CARREGAMENTO"),0)</f>
        <v>0</v>
      </c>
      <c r="H11" s="10">
        <f>IFERROR(SUMIFS('Base bordo'!G$2:G$746,'Base bordo'!C$2:C$746,A11,'Base bordo'!B$2:B$746,B11,'Base bordo'!F$2:F$746,"AGUARDANDO TRANSBORDO"),0)</f>
        <v>0.68361111111111106</v>
      </c>
      <c r="I11" s="10">
        <f>IFERROR(SUMIFS('Base bordo'!G$2:G$746,'Base bordo'!C$2:C$746,A11,'Base bordo'!B$2:B$746,B11,'Base bordo'!F$2:F$746,"PÁTIO INTERNO"),0)+IFERROR(SUMIFS('Base bordo'!G$2:G$746,'Base bordo'!C$2:C$746,A11,'Base bordo'!B$2:B$746,B11,'Base bordo'!F$2:F$746,"PÁTIO EXTERNO"),0)+IFERROR(SUMIFS('Base bordo'!G$2:G$746,'Base bordo'!C$2:C$746,A11,'Base bordo'!B$2:B$746,B11,'Base bordo'!F$2:F$746,"PATIO - RESERVA"),0)+IFERROR(SUMIFS('Base bordo'!G$2:G$746,'Base bordo'!C$2:C$746,A11,'Base bordo'!B$2:B$746,B11,'Base bordo'!F$2:F$746,"MANOBRA CARRETAS-PATIO"),0)</f>
        <v>3.3277777777777775</v>
      </c>
      <c r="J11" s="10">
        <f>IFERROR(SUMIFS('Base bordo'!G$2:G$746,'Base bordo'!C$2:C$746,A11,'Base bordo'!B$2:B$746,B11,'Base bordo'!F$2:F$746,"BALANÇA - ENTRADA"),0)+IFERROR(SUMIFS('Base bordo'!G$2:G$746,'Base bordo'!C$2:C$746,A11,'Base bordo'!B$2:B$746,B11,'Base bordo'!F$2:F$746,"BALANÇA - SAÍDA"),0)</f>
        <v>0.1336111111111111</v>
      </c>
      <c r="K11" s="10">
        <f>IFERROR(SUMIFS('Base bordo'!G$2:G$746,'Base bordo'!C$2:C$746,A11,'Base bordo'!B$2:B$746,B11,'Base bordo'!F$2:F$746,"MAN PREVENTIVA - MECANICA"),0)+IFERROR(SUMIFS('Base bordo'!G$2:G$746,'Base bordo'!C$2:C$746,A11,'Base bordo'!B$2:B$746,B11,'Base bordo'!F$2:F$746,"MAN CORRETIVA - MECANICA"),0)</f>
        <v>0</v>
      </c>
      <c r="L11" s="10">
        <f>IFERROR(SUMIFS('Base bordo'!G$2:G$746,'Base bordo'!C$2:C$746,A11,'Base bordo'!B$2:B$746,B11,'Base bordo'!F$2:F$746,"MANUTENCAO - T O"),0)+IFERROR(SUMIFS('Base bordo'!G$2:G$746,'Base bordo'!C$2:C$746,A11,'Base bordo'!B$2:B$746,B11,'Base bordo'!F$2:F$746,"MANUTENCAO BORRACHARIA"),0)+IFERROR(SUMIFS('Base bordo'!G$2:G$746,'Base bordo'!C$2:C$746,A11,'Base bordo'!B$2:B$746,B11,'Base bordo'!F$2:F$746,"MANUTENCAO EXTERNA  CONCESSIONARIA"),0)+IFERROR(SUMIFS('Base bordo'!G$2:G$746,'Base bordo'!C$2:C$746,A11,'Base bordo'!B$2:B$746,B11,'Base bordo'!F$2:F$746,"MANUTENCAO TELEMETRIA"),0)</f>
        <v>0</v>
      </c>
      <c r="M11" s="10">
        <f>IFERROR(SUMIFS('Base bordo'!G$2:G$746,'Base bordo'!C$2:C$746,A11,'Base bordo'!B$2:B$746,B11,'Base bordo'!F$2:F$746,"AGUARDANDO MANUTENCAO"),0)</f>
        <v>0</v>
      </c>
      <c r="N11" s="10">
        <f>IFERROR(SUMIFS('Base bordo'!G$2:G$746,'Base bordo'!C$2:C$746,A11,'Base bordo'!B$2:B$746,B11,'Base bordo'!F$2:F$746,"SEM APONTAMENTO"),0)</f>
        <v>0</v>
      </c>
      <c r="O11" s="10">
        <f t="shared" si="0"/>
        <v>0</v>
      </c>
      <c r="P11" s="10">
        <f>IFERROR(SUMIFS('Base bordo'!G$2:G$746,'Base bordo'!C$2:C$746,A11,'Base bordo'!B$2:B$746,B11),0)</f>
        <v>11.996666666666666</v>
      </c>
      <c r="Q11" s="10">
        <f>IFERROR(SUMIFS('Base bordo'!H$2:H$746,'Base bordo'!C$2:C$746,A11,'Base bordo'!B$2:B$746,B11,'Base bordo'!F$2:F$746,"DESLOCAMENTO VAZIO"),0)</f>
        <v>368512.23</v>
      </c>
      <c r="R11" s="10">
        <f>IFERROR(SUMIFS('Base bordo'!I$2:I$746,'Base bordo'!C$2:C$746,A11,'Base bordo'!B$2:B$746,B11,'Base bordo'!F$2:F$746,"DESLOCAMENTO VAZIO"),0)</f>
        <v>11217</v>
      </c>
      <c r="S11" s="30">
        <f t="shared" si="1"/>
        <v>32.853011500401173</v>
      </c>
      <c r="T11" s="10">
        <f>IFERROR(SUMIFS('Base bordo'!H$2:H$746,'Base bordo'!C$2:C$746,A11,'Base bordo'!B$2:B$746,B11,'Base bordo'!F$2:F$746,"DESLOCAMENTO CARREGADO"),0)</f>
        <v>421365.02999999997</v>
      </c>
      <c r="U11" s="10">
        <f>IFERROR(SUMIFS('Base bordo'!I$2:I$746,'Base bordo'!C$2:C$746,A11,'Base bordo'!B$2:B$746,B11,'Base bordo'!F$2:F$746,"DESLOCAMENTO CARREGADO"),0)</f>
        <v>17049</v>
      </c>
      <c r="V11" s="30">
        <f t="shared" si="2"/>
        <v>24.714941052261128</v>
      </c>
      <c r="W11" s="9">
        <f t="shared" si="3"/>
        <v>0.25972492358988608</v>
      </c>
      <c r="X11" s="9">
        <f t="shared" si="4"/>
        <v>0.39476243400944705</v>
      </c>
      <c r="Y11" s="9">
        <f t="shared" si="5"/>
        <v>0.34551264240066681</v>
      </c>
    </row>
    <row r="12" spans="1:25" ht="15" customHeight="1" x14ac:dyDescent="0.35">
      <c r="A12" s="52">
        <v>8013472</v>
      </c>
      <c r="B12" s="51">
        <v>46124</v>
      </c>
      <c r="C12" s="7" t="s">
        <v>124</v>
      </c>
      <c r="D12" s="10">
        <f>IFERROR(SUMIFS('Base bordo'!G$2:G$746,'Base bordo'!C$2:C$746,A12,'Base bordo'!B$2:B$746,B12,'Base bordo'!F$2:F$746,"DESLOCAMENTO VAZIO"),0)</f>
        <v>3.0741666666666667</v>
      </c>
      <c r="E12" s="10">
        <f>IFERROR(SUMIFS('Base bordo'!G$2:G$746,'Base bordo'!C$2:C$746,A12,'Base bordo'!B$2:B$746,B12,'Base bordo'!F$2:F$746,"DESLOCAMENTO CARREGADO"),0)</f>
        <v>4.4763888888888888</v>
      </c>
      <c r="F12" s="10">
        <f>IFERROR(SUMIFS('Base bordo'!G$2:G$746,'Base bordo'!C$2:C$746,A12,'Base bordo'!B$2:B$746,B12,'Base bordo'!F$2:F$746,"DESLOCAMENTO"),0)</f>
        <v>0</v>
      </c>
      <c r="G12" s="10">
        <f>IFERROR(SUMIFS('Base bordo'!G$2:G$746,'Base bordo'!C$2:C$746,A12,'Base bordo'!B$2:B$746,B12,'Base bordo'!F$2:F$746,"CARREGAMENTO"),0)</f>
        <v>0</v>
      </c>
      <c r="H12" s="10">
        <f>IFERROR(SUMIFS('Base bordo'!G$2:G$746,'Base bordo'!C$2:C$746,A12,'Base bordo'!B$2:B$746,B12,'Base bordo'!F$2:F$746,"AGUARDANDO TRANSBORDO"),0)</f>
        <v>0.55777777777777782</v>
      </c>
      <c r="I12" s="10">
        <f>IFERROR(SUMIFS('Base bordo'!G$2:G$746,'Base bordo'!C$2:C$746,A12,'Base bordo'!B$2:B$746,B12,'Base bordo'!F$2:F$746,"PÁTIO INTERNO"),0)+IFERROR(SUMIFS('Base bordo'!G$2:G$746,'Base bordo'!C$2:C$746,A12,'Base bordo'!B$2:B$746,B12,'Base bordo'!F$2:F$746,"PÁTIO EXTERNO"),0)+IFERROR(SUMIFS('Base bordo'!G$2:G$746,'Base bordo'!C$2:C$746,A12,'Base bordo'!B$2:B$746,B12,'Base bordo'!F$2:F$746,"PATIO - RESERVA"),0)+IFERROR(SUMIFS('Base bordo'!G$2:G$746,'Base bordo'!C$2:C$746,A12,'Base bordo'!B$2:B$746,B12,'Base bordo'!F$2:F$746,"MANOBRA CARRETAS-PATIO"),0)</f>
        <v>4.0902777777777777</v>
      </c>
      <c r="J12" s="10">
        <f>IFERROR(SUMIFS('Base bordo'!G$2:G$746,'Base bordo'!C$2:C$746,A12,'Base bordo'!B$2:B$746,B12,'Base bordo'!F$2:F$746,"BALANÇA - ENTRADA"),0)+IFERROR(SUMIFS('Base bordo'!G$2:G$746,'Base bordo'!C$2:C$746,A12,'Base bordo'!B$2:B$746,B12,'Base bordo'!F$2:F$746,"BALANÇA - SAÍDA"),0)</f>
        <v>5.5555555555555552E-2</v>
      </c>
      <c r="K12" s="10">
        <f>IFERROR(SUMIFS('Base bordo'!G$2:G$746,'Base bordo'!C$2:C$746,A12,'Base bordo'!B$2:B$746,B12,'Base bordo'!F$2:F$746,"MAN PREVENTIVA - MECANICA"),0)+IFERROR(SUMIFS('Base bordo'!G$2:G$746,'Base bordo'!C$2:C$746,A12,'Base bordo'!B$2:B$746,B12,'Base bordo'!F$2:F$746,"MAN CORRETIVA - MECANICA"),0)</f>
        <v>0</v>
      </c>
      <c r="L12" s="10">
        <f>IFERROR(SUMIFS('Base bordo'!G$2:G$746,'Base bordo'!C$2:C$746,A12,'Base bordo'!B$2:B$746,B12,'Base bordo'!F$2:F$746,"MANUTENCAO - T O"),0)+IFERROR(SUMIFS('Base bordo'!G$2:G$746,'Base bordo'!C$2:C$746,A12,'Base bordo'!B$2:B$746,B12,'Base bordo'!F$2:F$746,"MANUTENCAO BORRACHARIA"),0)+IFERROR(SUMIFS('Base bordo'!G$2:G$746,'Base bordo'!C$2:C$746,A12,'Base bordo'!B$2:B$746,B12,'Base bordo'!F$2:F$746,"MANUTENCAO EXTERNA  CONCESSIONARIA"),0)+IFERROR(SUMIFS('Base bordo'!G$2:G$746,'Base bordo'!C$2:C$746,A12,'Base bordo'!B$2:B$746,B12,'Base bordo'!F$2:F$746,"MANUTENCAO TELEMETRIA"),0)</f>
        <v>0</v>
      </c>
      <c r="M12" s="10">
        <f>IFERROR(SUMIFS('Base bordo'!G$2:G$746,'Base bordo'!C$2:C$746,A12,'Base bordo'!B$2:B$746,B12,'Base bordo'!F$2:F$746,"AGUARDANDO MANUTENCAO"),0)</f>
        <v>0</v>
      </c>
      <c r="N12" s="10">
        <f>IFERROR(SUMIFS('Base bordo'!G$2:G$746,'Base bordo'!C$2:C$746,A12,'Base bordo'!B$2:B$746,B12,'Base bordo'!F$2:F$746,"SEM APONTAMENTO"),0)</f>
        <v>0</v>
      </c>
      <c r="O12" s="10">
        <f t="shared" si="0"/>
        <v>3.5527136788005009E-15</v>
      </c>
      <c r="P12" s="10">
        <f>IFERROR(SUMIFS('Base bordo'!G$2:G$746,'Base bordo'!C$2:C$746,A12,'Base bordo'!B$2:B$746,B12),0)</f>
        <v>12.254166666666668</v>
      </c>
      <c r="Q12" s="10">
        <f>IFERROR(SUMIFS('Base bordo'!H$2:H$746,'Base bordo'!C$2:C$746,A12,'Base bordo'!B$2:B$746,B12,'Base bordo'!F$2:F$746,"DESLOCAMENTO VAZIO"),0)</f>
        <v>415361.29000000004</v>
      </c>
      <c r="R12" s="10">
        <f>IFERROR(SUMIFS('Base bordo'!I$2:I$746,'Base bordo'!C$2:C$746,A12,'Base bordo'!B$2:B$746,B12,'Base bordo'!F$2:F$746,"DESLOCAMENTO VAZIO"),0)</f>
        <v>11067</v>
      </c>
      <c r="S12" s="30">
        <f t="shared" si="1"/>
        <v>37.531516219390987</v>
      </c>
      <c r="T12" s="10">
        <f>IFERROR(SUMIFS('Base bordo'!H$2:H$746,'Base bordo'!C$2:C$746,A12,'Base bordo'!B$2:B$746,B12,'Base bordo'!F$2:F$746,"DESLOCAMENTO CARREGADO"),0)</f>
        <v>393703.57999999996</v>
      </c>
      <c r="U12" s="10">
        <f>IFERROR(SUMIFS('Base bordo'!I$2:I$746,'Base bordo'!C$2:C$746,A12,'Base bordo'!B$2:B$746,B12,'Base bordo'!F$2:F$746,"DESLOCAMENTO CARREGADO"),0)</f>
        <v>16115</v>
      </c>
      <c r="V12" s="30">
        <f t="shared" si="2"/>
        <v>24.430876822835863</v>
      </c>
      <c r="W12" s="9">
        <f t="shared" si="3"/>
        <v>0.25086705202312137</v>
      </c>
      <c r="X12" s="9">
        <f t="shared" si="4"/>
        <v>0.36529525104839616</v>
      </c>
      <c r="Y12" s="9">
        <f t="shared" si="5"/>
        <v>0.38383769692848246</v>
      </c>
    </row>
    <row r="13" spans="1:25" ht="15" customHeight="1" x14ac:dyDescent="0.35">
      <c r="A13" s="52">
        <v>8013461</v>
      </c>
      <c r="B13" s="51">
        <v>46118</v>
      </c>
      <c r="C13" s="7" t="s">
        <v>124</v>
      </c>
      <c r="D13" s="10">
        <f>IFERROR(SUMIFS('Base bordo'!G$2:G$746,'Base bordo'!C$2:C$746,A13,'Base bordo'!B$2:B$746,B13,'Base bordo'!F$2:F$746,"DESLOCAMENTO VAZIO"),0)</f>
        <v>1.6119444444444444</v>
      </c>
      <c r="E13" s="10">
        <f>IFERROR(SUMIFS('Base bordo'!G$2:G$746,'Base bordo'!C$2:C$746,A13,'Base bordo'!B$2:B$746,B13,'Base bordo'!F$2:F$746,"DESLOCAMENTO CARREGADO"),0)</f>
        <v>3.9649999999999999</v>
      </c>
      <c r="F13" s="10">
        <f>IFERROR(SUMIFS('Base bordo'!G$2:G$746,'Base bordo'!C$2:C$746,A13,'Base bordo'!B$2:B$746,B13,'Base bordo'!F$2:F$746,"DESLOCAMENTO"),0)</f>
        <v>0.61416666666666664</v>
      </c>
      <c r="G13" s="10">
        <f>IFERROR(SUMIFS('Base bordo'!G$2:G$746,'Base bordo'!C$2:C$746,A13,'Base bordo'!B$2:B$746,B13,'Base bordo'!F$2:F$746,"CARREGAMENTO"),0)</f>
        <v>0.68666666666666665</v>
      </c>
      <c r="H13" s="10">
        <f>IFERROR(SUMIFS('Base bordo'!G$2:G$746,'Base bordo'!C$2:C$746,A13,'Base bordo'!B$2:B$746,B13,'Base bordo'!F$2:F$746,"AGUARDANDO TRANSBORDO"),0)</f>
        <v>0.5033333333333333</v>
      </c>
      <c r="I13" s="10">
        <f>IFERROR(SUMIFS('Base bordo'!G$2:G$746,'Base bordo'!C$2:C$746,A13,'Base bordo'!B$2:B$746,B13,'Base bordo'!F$2:F$746,"PÁTIO INTERNO"),0)+IFERROR(SUMIFS('Base bordo'!G$2:G$746,'Base bordo'!C$2:C$746,A13,'Base bordo'!B$2:B$746,B13,'Base bordo'!F$2:F$746,"PÁTIO EXTERNO"),0)+IFERROR(SUMIFS('Base bordo'!G$2:G$746,'Base bordo'!C$2:C$746,A13,'Base bordo'!B$2:B$746,B13,'Base bordo'!F$2:F$746,"PATIO - RESERVA"),0)+IFERROR(SUMIFS('Base bordo'!G$2:G$746,'Base bordo'!C$2:C$746,A13,'Base bordo'!B$2:B$746,B13,'Base bordo'!F$2:F$746,"MANOBRA CARRETAS-PATIO"),0)</f>
        <v>13.577499999999999</v>
      </c>
      <c r="J13" s="10">
        <f>IFERROR(SUMIFS('Base bordo'!G$2:G$746,'Base bordo'!C$2:C$746,A13,'Base bordo'!B$2:B$746,B13,'Base bordo'!F$2:F$746,"BALANÇA - ENTRADA"),0)+IFERROR(SUMIFS('Base bordo'!G$2:G$746,'Base bordo'!C$2:C$746,A13,'Base bordo'!B$2:B$746,B13,'Base bordo'!F$2:F$746,"BALANÇA - SAÍDA"),0)</f>
        <v>0.18777777777777779</v>
      </c>
      <c r="K13" s="10">
        <f>IFERROR(SUMIFS('Base bordo'!G$2:G$746,'Base bordo'!C$2:C$746,A13,'Base bordo'!B$2:B$746,B13,'Base bordo'!F$2:F$746,"MAN PREVENTIVA - MECANICA"),0)+IFERROR(SUMIFS('Base bordo'!G$2:G$746,'Base bordo'!C$2:C$746,A13,'Base bordo'!B$2:B$746,B13,'Base bordo'!F$2:F$746,"MAN CORRETIVA - MECANICA"),0)</f>
        <v>0</v>
      </c>
      <c r="L13" s="10">
        <f>IFERROR(SUMIFS('Base bordo'!G$2:G$746,'Base bordo'!C$2:C$746,A13,'Base bordo'!B$2:B$746,B13,'Base bordo'!F$2:F$746,"MANUTENCAO - T O"),0)+IFERROR(SUMIFS('Base bordo'!G$2:G$746,'Base bordo'!C$2:C$746,A13,'Base bordo'!B$2:B$746,B13,'Base bordo'!F$2:F$746,"MANUTENCAO BORRACHARIA"),0)+IFERROR(SUMIFS('Base bordo'!G$2:G$746,'Base bordo'!C$2:C$746,A13,'Base bordo'!B$2:B$746,B13,'Base bordo'!F$2:F$746,"MANUTENCAO EXTERNA  CONCESSIONARIA"),0)+IFERROR(SUMIFS('Base bordo'!G$2:G$746,'Base bordo'!C$2:C$746,A13,'Base bordo'!B$2:B$746,B13,'Base bordo'!F$2:F$746,"MANUTENCAO TELEMETRIA"),0)</f>
        <v>0</v>
      </c>
      <c r="M13" s="10">
        <f>IFERROR(SUMIFS('Base bordo'!G$2:G$746,'Base bordo'!C$2:C$746,A13,'Base bordo'!B$2:B$746,B13,'Base bordo'!F$2:F$746,"AGUARDANDO MANUTENCAO"),0)</f>
        <v>0</v>
      </c>
      <c r="N13" s="10">
        <f>IFERROR(SUMIFS('Base bordo'!G$2:G$746,'Base bordo'!C$2:C$746,A13,'Base bordo'!B$2:B$746,B13,'Base bordo'!F$2:F$746,"SEM APONTAMENTO"),0)</f>
        <v>0.28888888888888886</v>
      </c>
      <c r="O13" s="10">
        <f t="shared" si="0"/>
        <v>2.5647222222222226</v>
      </c>
      <c r="P13" s="10">
        <f>IFERROR(SUMIFS('Base bordo'!G$2:G$746,'Base bordo'!C$2:C$746,A13,'Base bordo'!B$2:B$746,B13),0)</f>
        <v>24</v>
      </c>
      <c r="Q13" s="10">
        <f>IFERROR(SUMIFS('Base bordo'!H$2:H$746,'Base bordo'!C$2:C$746,A13,'Base bordo'!B$2:B$746,B13,'Base bordo'!F$2:F$746,"DESLOCAMENTO VAZIO"),0)</f>
        <v>187022.74</v>
      </c>
      <c r="R13" s="10">
        <f>IFERROR(SUMIFS('Base bordo'!I$2:I$746,'Base bordo'!C$2:C$746,A13,'Base bordo'!B$2:B$746,B13,'Base bordo'!F$2:F$746,"DESLOCAMENTO VAZIO"),0)</f>
        <v>5803</v>
      </c>
      <c r="S13" s="30">
        <f t="shared" si="1"/>
        <v>32.228630018955712</v>
      </c>
      <c r="T13" s="10">
        <f>IFERROR(SUMIFS('Base bordo'!H$2:H$746,'Base bordo'!C$2:C$746,A13,'Base bordo'!B$2:B$746,B13,'Base bordo'!F$2:F$746,"DESLOCAMENTO CARREGADO"),0)</f>
        <v>411676.06999999995</v>
      </c>
      <c r="U13" s="10">
        <f>IFERROR(SUMIFS('Base bordo'!I$2:I$746,'Base bordo'!C$2:C$746,A13,'Base bordo'!B$2:B$746,B13,'Base bordo'!F$2:F$746,"DESLOCAMENTO CARREGADO"),0)</f>
        <v>14242</v>
      </c>
      <c r="V13" s="30">
        <f t="shared" si="2"/>
        <v>28.905776576323547</v>
      </c>
      <c r="W13" s="9">
        <f t="shared" si="3"/>
        <v>6.716435185185185E-2</v>
      </c>
      <c r="X13" s="9">
        <f t="shared" si="4"/>
        <v>0.16520833333333332</v>
      </c>
      <c r="Y13" s="9">
        <f t="shared" si="5"/>
        <v>0.76762731481481483</v>
      </c>
    </row>
    <row r="14" spans="1:25" ht="15" customHeight="1" x14ac:dyDescent="0.35">
      <c r="A14" s="52">
        <v>8013462</v>
      </c>
      <c r="B14" s="51">
        <v>46124</v>
      </c>
      <c r="C14" s="7" t="s">
        <v>124</v>
      </c>
      <c r="D14" s="10">
        <f>IFERROR(SUMIFS('Base bordo'!G$2:G$746,'Base bordo'!C$2:C$746,A14,'Base bordo'!B$2:B$746,B14,'Base bordo'!F$2:F$746,"DESLOCAMENTO VAZIO"),0)</f>
        <v>2.6541666666666668</v>
      </c>
      <c r="E14" s="10">
        <f>IFERROR(SUMIFS('Base bordo'!G$2:G$746,'Base bordo'!C$2:C$746,A14,'Base bordo'!B$2:B$746,B14,'Base bordo'!F$2:F$746,"DESLOCAMENTO CARREGADO"),0)</f>
        <v>2.0155555555555558</v>
      </c>
      <c r="F14" s="10">
        <f>IFERROR(SUMIFS('Base bordo'!G$2:G$746,'Base bordo'!C$2:C$746,A14,'Base bordo'!B$2:B$746,B14,'Base bordo'!F$2:F$746,"DESLOCAMENTO"),0)</f>
        <v>0</v>
      </c>
      <c r="G14" s="10">
        <f>IFERROR(SUMIFS('Base bordo'!G$2:G$746,'Base bordo'!C$2:C$746,A14,'Base bordo'!B$2:B$746,B14,'Base bordo'!F$2:F$746,"CARREGAMENTO"),0)</f>
        <v>0</v>
      </c>
      <c r="H14" s="10">
        <f>IFERROR(SUMIFS('Base bordo'!G$2:G$746,'Base bordo'!C$2:C$746,A14,'Base bordo'!B$2:B$746,B14,'Base bordo'!F$2:F$746,"AGUARDANDO TRANSBORDO"),0)</f>
        <v>0.33611111111111114</v>
      </c>
      <c r="I14" s="10">
        <f>IFERROR(SUMIFS('Base bordo'!G$2:G$746,'Base bordo'!C$2:C$746,A14,'Base bordo'!B$2:B$746,B14,'Base bordo'!F$2:F$746,"PÁTIO INTERNO"),0)+IFERROR(SUMIFS('Base bordo'!G$2:G$746,'Base bordo'!C$2:C$746,A14,'Base bordo'!B$2:B$746,B14,'Base bordo'!F$2:F$746,"PÁTIO EXTERNO"),0)+IFERROR(SUMIFS('Base bordo'!G$2:G$746,'Base bordo'!C$2:C$746,A14,'Base bordo'!B$2:B$746,B14,'Base bordo'!F$2:F$746,"PATIO - RESERVA"),0)+IFERROR(SUMIFS('Base bordo'!G$2:G$746,'Base bordo'!C$2:C$746,A14,'Base bordo'!B$2:B$746,B14,'Base bordo'!F$2:F$746,"MANOBRA CARRETAS-PATIO"),0)</f>
        <v>10.451944444444445</v>
      </c>
      <c r="J14" s="10">
        <f>IFERROR(SUMIFS('Base bordo'!G$2:G$746,'Base bordo'!C$2:C$746,A14,'Base bordo'!B$2:B$746,B14,'Base bordo'!F$2:F$746,"BALANÇA - ENTRADA"),0)+IFERROR(SUMIFS('Base bordo'!G$2:G$746,'Base bordo'!C$2:C$746,A14,'Base bordo'!B$2:B$746,B14,'Base bordo'!F$2:F$746,"BALANÇA - SAÍDA"),0)</f>
        <v>0.15138888888888888</v>
      </c>
      <c r="K14" s="10">
        <f>IFERROR(SUMIFS('Base bordo'!G$2:G$746,'Base bordo'!C$2:C$746,A14,'Base bordo'!B$2:B$746,B14,'Base bordo'!F$2:F$746,"MAN PREVENTIVA - MECANICA"),0)+IFERROR(SUMIFS('Base bordo'!G$2:G$746,'Base bordo'!C$2:C$746,A14,'Base bordo'!B$2:B$746,B14,'Base bordo'!F$2:F$746,"MAN CORRETIVA - MECANICA"),0)</f>
        <v>0</v>
      </c>
      <c r="L14" s="10">
        <f>IFERROR(SUMIFS('Base bordo'!G$2:G$746,'Base bordo'!C$2:C$746,A14,'Base bordo'!B$2:B$746,B14,'Base bordo'!F$2:F$746,"MANUTENCAO - T O"),0)+IFERROR(SUMIFS('Base bordo'!G$2:G$746,'Base bordo'!C$2:C$746,A14,'Base bordo'!B$2:B$746,B14,'Base bordo'!F$2:F$746,"MANUTENCAO BORRACHARIA"),0)+IFERROR(SUMIFS('Base bordo'!G$2:G$746,'Base bordo'!C$2:C$746,A14,'Base bordo'!B$2:B$746,B14,'Base bordo'!F$2:F$746,"MANUTENCAO EXTERNA  CONCESSIONARIA"),0)+IFERROR(SUMIFS('Base bordo'!G$2:G$746,'Base bordo'!C$2:C$746,A14,'Base bordo'!B$2:B$746,B14,'Base bordo'!F$2:F$746,"MANUTENCAO TELEMETRIA"),0)</f>
        <v>0</v>
      </c>
      <c r="M14" s="10">
        <f>IFERROR(SUMIFS('Base bordo'!G$2:G$746,'Base bordo'!C$2:C$746,A14,'Base bordo'!B$2:B$746,B14,'Base bordo'!F$2:F$746,"AGUARDANDO MANUTENCAO"),0)</f>
        <v>0</v>
      </c>
      <c r="N14" s="10">
        <f>IFERROR(SUMIFS('Base bordo'!G$2:G$746,'Base bordo'!C$2:C$746,A14,'Base bordo'!B$2:B$746,B14,'Base bordo'!F$2:F$746,"SEM APONTAMENTO"),0)</f>
        <v>0</v>
      </c>
      <c r="O14" s="10">
        <f t="shared" si="0"/>
        <v>0</v>
      </c>
      <c r="P14" s="10">
        <f>IFERROR(SUMIFS('Base bordo'!G$2:G$746,'Base bordo'!C$2:C$746,A14,'Base bordo'!B$2:B$746,B14),0)</f>
        <v>15.609166666666667</v>
      </c>
      <c r="Q14" s="10">
        <f>IFERROR(SUMIFS('Base bordo'!H$2:H$746,'Base bordo'!C$2:C$746,A14,'Base bordo'!B$2:B$746,B14,'Base bordo'!F$2:F$746,"DESLOCAMENTO VAZIO"),0)</f>
        <v>401876.54000000004</v>
      </c>
      <c r="R14" s="10">
        <f>IFERROR(SUMIFS('Base bordo'!I$2:I$746,'Base bordo'!C$2:C$746,A14,'Base bordo'!B$2:B$746,B14,'Base bordo'!F$2:F$746,"DESLOCAMENTO VAZIO"),0)</f>
        <v>9555</v>
      </c>
      <c r="S14" s="30">
        <f t="shared" si="1"/>
        <v>42.05929251700681</v>
      </c>
      <c r="T14" s="10">
        <f>IFERROR(SUMIFS('Base bordo'!H$2:H$746,'Base bordo'!C$2:C$746,A14,'Base bordo'!B$2:B$746,B14,'Base bordo'!F$2:F$746,"DESLOCAMENTO CARREGADO"),0)</f>
        <v>198098.78999999998</v>
      </c>
      <c r="U14" s="10">
        <f>IFERROR(SUMIFS('Base bordo'!I$2:I$746,'Base bordo'!C$2:C$746,A14,'Base bordo'!B$2:B$746,B14,'Base bordo'!F$2:F$746,"DESLOCAMENTO CARREGADO"),0)</f>
        <v>7256</v>
      </c>
      <c r="V14" s="30">
        <f t="shared" si="2"/>
        <v>27.301376791620726</v>
      </c>
      <c r="W14" s="9">
        <f t="shared" si="3"/>
        <v>0.1700389728257968</v>
      </c>
      <c r="X14" s="9">
        <f t="shared" si="4"/>
        <v>0.12912640364458208</v>
      </c>
      <c r="Y14" s="9">
        <f t="shared" si="5"/>
        <v>0.700834623529621</v>
      </c>
    </row>
    <row r="15" spans="1:25" ht="15" customHeight="1" x14ac:dyDescent="0.35">
      <c r="A15" s="52">
        <v>8013478</v>
      </c>
      <c r="B15" s="51">
        <v>46124</v>
      </c>
      <c r="C15" s="7" t="s">
        <v>124</v>
      </c>
      <c r="D15" s="10">
        <f>IFERROR(SUMIFS('Base bordo'!G$2:G$746,'Base bordo'!C$2:C$746,A15,'Base bordo'!B$2:B$746,B15,'Base bordo'!F$2:F$746,"DESLOCAMENTO VAZIO"),0)</f>
        <v>2.069722222222222</v>
      </c>
      <c r="E15" s="10">
        <f>IFERROR(SUMIFS('Base bordo'!G$2:G$746,'Base bordo'!C$2:C$746,A15,'Base bordo'!B$2:B$746,B15,'Base bordo'!F$2:F$746,"DESLOCAMENTO CARREGADO"),0)</f>
        <v>4.5216666666666665</v>
      </c>
      <c r="F15" s="10">
        <f>IFERROR(SUMIFS('Base bordo'!G$2:G$746,'Base bordo'!C$2:C$746,A15,'Base bordo'!B$2:B$746,B15,'Base bordo'!F$2:F$746,"DESLOCAMENTO"),0)</f>
        <v>0</v>
      </c>
      <c r="G15" s="10">
        <f>IFERROR(SUMIFS('Base bordo'!G$2:G$746,'Base bordo'!C$2:C$746,A15,'Base bordo'!B$2:B$746,B15,'Base bordo'!F$2:F$746,"CARREGAMENTO"),0)</f>
        <v>0</v>
      </c>
      <c r="H15" s="10">
        <f>IFERROR(SUMIFS('Base bordo'!G$2:G$746,'Base bordo'!C$2:C$746,A15,'Base bordo'!B$2:B$746,B15,'Base bordo'!F$2:F$746,"AGUARDANDO TRANSBORDO"),0)</f>
        <v>0.42222222222222222</v>
      </c>
      <c r="I15" s="10">
        <f>IFERROR(SUMIFS('Base bordo'!G$2:G$746,'Base bordo'!C$2:C$746,A15,'Base bordo'!B$2:B$746,B15,'Base bordo'!F$2:F$746,"PÁTIO INTERNO"),0)+IFERROR(SUMIFS('Base bordo'!G$2:G$746,'Base bordo'!C$2:C$746,A15,'Base bordo'!B$2:B$746,B15,'Base bordo'!F$2:F$746,"PÁTIO EXTERNO"),0)+IFERROR(SUMIFS('Base bordo'!G$2:G$746,'Base bordo'!C$2:C$746,A15,'Base bordo'!B$2:B$746,B15,'Base bordo'!F$2:F$746,"PATIO - RESERVA"),0)+IFERROR(SUMIFS('Base bordo'!G$2:G$746,'Base bordo'!C$2:C$746,A15,'Base bordo'!B$2:B$746,B15,'Base bordo'!F$2:F$746,"MANOBRA CARRETAS-PATIO"),0)</f>
        <v>2.931111111111111</v>
      </c>
      <c r="J15" s="10">
        <f>IFERROR(SUMIFS('Base bordo'!G$2:G$746,'Base bordo'!C$2:C$746,A15,'Base bordo'!B$2:B$746,B15,'Base bordo'!F$2:F$746,"BALANÇA - ENTRADA"),0)+IFERROR(SUMIFS('Base bordo'!G$2:G$746,'Base bordo'!C$2:C$746,A15,'Base bordo'!B$2:B$746,B15,'Base bordo'!F$2:F$746,"BALANÇA - SAÍDA"),0)</f>
        <v>9.5833333333333326E-2</v>
      </c>
      <c r="K15" s="10">
        <f>IFERROR(SUMIFS('Base bordo'!G$2:G$746,'Base bordo'!C$2:C$746,A15,'Base bordo'!B$2:B$746,B15,'Base bordo'!F$2:F$746,"MAN PREVENTIVA - MECANICA"),0)+IFERROR(SUMIFS('Base bordo'!G$2:G$746,'Base bordo'!C$2:C$746,A15,'Base bordo'!B$2:B$746,B15,'Base bordo'!F$2:F$746,"MAN CORRETIVA - MECANICA"),0)</f>
        <v>0</v>
      </c>
      <c r="L15" s="10">
        <f>IFERROR(SUMIFS('Base bordo'!G$2:G$746,'Base bordo'!C$2:C$746,A15,'Base bordo'!B$2:B$746,B15,'Base bordo'!F$2:F$746,"MANUTENCAO - T O"),0)+IFERROR(SUMIFS('Base bordo'!G$2:G$746,'Base bordo'!C$2:C$746,A15,'Base bordo'!B$2:B$746,B15,'Base bordo'!F$2:F$746,"MANUTENCAO BORRACHARIA"),0)+IFERROR(SUMIFS('Base bordo'!G$2:G$746,'Base bordo'!C$2:C$746,A15,'Base bordo'!B$2:B$746,B15,'Base bordo'!F$2:F$746,"MANUTENCAO EXTERNA  CONCESSIONARIA"),0)+IFERROR(SUMIFS('Base bordo'!G$2:G$746,'Base bordo'!C$2:C$746,A15,'Base bordo'!B$2:B$746,B15,'Base bordo'!F$2:F$746,"MANUTENCAO TELEMETRIA"),0)</f>
        <v>0</v>
      </c>
      <c r="M15" s="10">
        <f>IFERROR(SUMIFS('Base bordo'!G$2:G$746,'Base bordo'!C$2:C$746,A15,'Base bordo'!B$2:B$746,B15,'Base bordo'!F$2:F$746,"AGUARDANDO MANUTENCAO"),0)</f>
        <v>0</v>
      </c>
      <c r="N15" s="10">
        <f>IFERROR(SUMIFS('Base bordo'!G$2:G$746,'Base bordo'!C$2:C$746,A15,'Base bordo'!B$2:B$746,B15,'Base bordo'!F$2:F$746,"SEM APONTAMENTO"),0)</f>
        <v>0</v>
      </c>
      <c r="O15" s="10">
        <f t="shared" si="0"/>
        <v>0</v>
      </c>
      <c r="P15" s="10">
        <f>IFERROR(SUMIFS('Base bordo'!G$2:G$746,'Base bordo'!C$2:C$746,A15,'Base bordo'!B$2:B$746,B15),0)</f>
        <v>10.040555555555555</v>
      </c>
      <c r="Q15" s="10">
        <f>IFERROR(SUMIFS('Base bordo'!H$2:H$746,'Base bordo'!C$2:C$746,A15,'Base bordo'!B$2:B$746,B15,'Base bordo'!F$2:F$746,"DESLOCAMENTO VAZIO"),0)</f>
        <v>230432.85</v>
      </c>
      <c r="R15" s="10">
        <f>IFERROR(SUMIFS('Base bordo'!I$2:I$746,'Base bordo'!C$2:C$746,A15,'Base bordo'!B$2:B$746,B15,'Base bordo'!F$2:F$746,"DESLOCAMENTO VAZIO"),0)</f>
        <v>7451</v>
      </c>
      <c r="S15" s="30">
        <f t="shared" si="1"/>
        <v>30.926432693598176</v>
      </c>
      <c r="T15" s="10">
        <f>IFERROR(SUMIFS('Base bordo'!H$2:H$746,'Base bordo'!C$2:C$746,A15,'Base bordo'!B$2:B$746,B15,'Base bordo'!F$2:F$746,"DESLOCAMENTO CARREGADO"),0)</f>
        <v>396489.03</v>
      </c>
      <c r="U15" s="10">
        <f>IFERROR(SUMIFS('Base bordo'!I$2:I$746,'Base bordo'!C$2:C$746,A15,'Base bordo'!B$2:B$746,B15,'Base bordo'!F$2:F$746,"DESLOCAMENTO CARREGADO"),0)</f>
        <v>16278</v>
      </c>
      <c r="V15" s="30">
        <f t="shared" si="2"/>
        <v>24.357355326207152</v>
      </c>
      <c r="W15" s="9">
        <f t="shared" si="3"/>
        <v>0.2061362253084712</v>
      </c>
      <c r="X15" s="9">
        <f t="shared" si="4"/>
        <v>0.45034028661539316</v>
      </c>
      <c r="Y15" s="9">
        <f t="shared" si="5"/>
        <v>0.34352348807613575</v>
      </c>
    </row>
    <row r="16" spans="1:25" ht="15" customHeight="1" x14ac:dyDescent="0.35">
      <c r="A16" s="52">
        <v>8013460</v>
      </c>
      <c r="B16" s="51">
        <v>46117</v>
      </c>
      <c r="C16" s="7" t="s">
        <v>124</v>
      </c>
      <c r="D16" s="10">
        <f>IFERROR(SUMIFS('Base bordo'!G$2:G$746,'Base bordo'!C$2:C$746,A16,'Base bordo'!B$2:B$746,B16,'Base bordo'!F$2:F$746,"DESLOCAMENTO VAZIO"),0)</f>
        <v>5.2069444444444448</v>
      </c>
      <c r="E16" s="10">
        <f>IFERROR(SUMIFS('Base bordo'!G$2:G$746,'Base bordo'!C$2:C$746,A16,'Base bordo'!B$2:B$746,B16,'Base bordo'!F$2:F$746,"DESLOCAMENTO CARREGADO"),0)</f>
        <v>0.55944444444444441</v>
      </c>
      <c r="F16" s="10">
        <f>IFERROR(SUMIFS('Base bordo'!G$2:G$746,'Base bordo'!C$2:C$746,A16,'Base bordo'!B$2:B$746,B16,'Base bordo'!F$2:F$746,"DESLOCAMENTO"),0)</f>
        <v>3.0825</v>
      </c>
      <c r="G16" s="10">
        <f>IFERROR(SUMIFS('Base bordo'!G$2:G$746,'Base bordo'!C$2:C$746,A16,'Base bordo'!B$2:B$746,B16,'Base bordo'!F$2:F$746,"CARREGAMENTO"),0)</f>
        <v>2.5000000000000001E-3</v>
      </c>
      <c r="H16" s="10">
        <f>IFERROR(SUMIFS('Base bordo'!G$2:G$746,'Base bordo'!C$2:C$746,A16,'Base bordo'!B$2:B$746,B16,'Base bordo'!F$2:F$746,"AGUARDANDO TRANSBORDO"),0)</f>
        <v>1.0013888888888889</v>
      </c>
      <c r="I16" s="10">
        <f>IFERROR(SUMIFS('Base bordo'!G$2:G$746,'Base bordo'!C$2:C$746,A16,'Base bordo'!B$2:B$746,B16,'Base bordo'!F$2:F$746,"PÁTIO INTERNO"),0)+IFERROR(SUMIFS('Base bordo'!G$2:G$746,'Base bordo'!C$2:C$746,A16,'Base bordo'!B$2:B$746,B16,'Base bordo'!F$2:F$746,"PÁTIO EXTERNO"),0)+IFERROR(SUMIFS('Base bordo'!G$2:G$746,'Base bordo'!C$2:C$746,A16,'Base bordo'!B$2:B$746,B16,'Base bordo'!F$2:F$746,"PATIO - RESERVA"),0)+IFERROR(SUMIFS('Base bordo'!G$2:G$746,'Base bordo'!C$2:C$746,A16,'Base bordo'!B$2:B$746,B16,'Base bordo'!F$2:F$746,"MANOBRA CARRETAS-PATIO"),0)</f>
        <v>0.54972222222222222</v>
      </c>
      <c r="J16" s="10">
        <f>IFERROR(SUMIFS('Base bordo'!G$2:G$746,'Base bordo'!C$2:C$746,A16,'Base bordo'!B$2:B$746,B16,'Base bordo'!F$2:F$746,"BALANÇA - ENTRADA"),0)+IFERROR(SUMIFS('Base bordo'!G$2:G$746,'Base bordo'!C$2:C$746,A16,'Base bordo'!B$2:B$746,B16,'Base bordo'!F$2:F$746,"BALANÇA - SAÍDA"),0)</f>
        <v>0</v>
      </c>
      <c r="K16" s="10">
        <f>IFERROR(SUMIFS('Base bordo'!G$2:G$746,'Base bordo'!C$2:C$746,A16,'Base bordo'!B$2:B$746,B16,'Base bordo'!F$2:F$746,"MAN PREVENTIVA - MECANICA"),0)+IFERROR(SUMIFS('Base bordo'!G$2:G$746,'Base bordo'!C$2:C$746,A16,'Base bordo'!B$2:B$746,B16,'Base bordo'!F$2:F$746,"MAN CORRETIVA - MECANICA"),0)</f>
        <v>0</v>
      </c>
      <c r="L16" s="10">
        <f>IFERROR(SUMIFS('Base bordo'!G$2:G$746,'Base bordo'!C$2:C$746,A16,'Base bordo'!B$2:B$746,B16,'Base bordo'!F$2:F$746,"MANUTENCAO - T O"),0)+IFERROR(SUMIFS('Base bordo'!G$2:G$746,'Base bordo'!C$2:C$746,A16,'Base bordo'!B$2:B$746,B16,'Base bordo'!F$2:F$746,"MANUTENCAO BORRACHARIA"),0)+IFERROR(SUMIFS('Base bordo'!G$2:G$746,'Base bordo'!C$2:C$746,A16,'Base bordo'!B$2:B$746,B16,'Base bordo'!F$2:F$746,"MANUTENCAO EXTERNA  CONCESSIONARIA"),0)+IFERROR(SUMIFS('Base bordo'!G$2:G$746,'Base bordo'!C$2:C$746,A16,'Base bordo'!B$2:B$746,B16,'Base bordo'!F$2:F$746,"MANUTENCAO TELEMETRIA"),0)</f>
        <v>10.766111111111112</v>
      </c>
      <c r="M16" s="10">
        <f>IFERROR(SUMIFS('Base bordo'!G$2:G$746,'Base bordo'!C$2:C$746,A16,'Base bordo'!B$2:B$746,B16,'Base bordo'!F$2:F$746,"AGUARDANDO MANUTENCAO"),0)</f>
        <v>0</v>
      </c>
      <c r="N16" s="10">
        <f>IFERROR(SUMIFS('Base bordo'!G$2:G$746,'Base bordo'!C$2:C$746,A16,'Base bordo'!B$2:B$746,B16,'Base bordo'!F$2:F$746,"SEM APONTAMENTO"),0)</f>
        <v>0.29444444444444445</v>
      </c>
      <c r="O16" s="10">
        <f t="shared" si="0"/>
        <v>2.536944444444444</v>
      </c>
      <c r="P16" s="10">
        <f>IFERROR(SUMIFS('Base bordo'!G$2:G$746,'Base bordo'!C$2:C$746,A16,'Base bordo'!B$2:B$746,B16),0)</f>
        <v>24</v>
      </c>
      <c r="Q16" s="10">
        <f>IFERROR(SUMIFS('Base bordo'!H$2:H$746,'Base bordo'!C$2:C$746,A16,'Base bordo'!B$2:B$746,B16,'Base bordo'!F$2:F$746,"DESLOCAMENTO VAZIO"),0)</f>
        <v>595925.09</v>
      </c>
      <c r="R16" s="10">
        <f>IFERROR(SUMIFS('Base bordo'!I$2:I$746,'Base bordo'!C$2:C$746,A16,'Base bordo'!B$2:B$746,B16,'Base bordo'!F$2:F$746,"DESLOCAMENTO VAZIO"),0)</f>
        <v>18745</v>
      </c>
      <c r="S16" s="30">
        <f t="shared" si="1"/>
        <v>31.791149106428378</v>
      </c>
      <c r="T16" s="10">
        <f>IFERROR(SUMIFS('Base bordo'!H$2:H$746,'Base bordo'!C$2:C$746,A16,'Base bordo'!B$2:B$746,B16,'Base bordo'!F$2:F$746,"DESLOCAMENTO CARREGADO"),0)</f>
        <v>52858.36</v>
      </c>
      <c r="U16" s="10">
        <f>IFERROR(SUMIFS('Base bordo'!I$2:I$746,'Base bordo'!C$2:C$746,A16,'Base bordo'!B$2:B$746,B16,'Base bordo'!F$2:F$746,"DESLOCAMENTO CARREGADO"),0)</f>
        <v>2014</v>
      </c>
      <c r="V16" s="30">
        <f t="shared" si="2"/>
        <v>26.245461767626615</v>
      </c>
      <c r="W16" s="9">
        <f t="shared" si="3"/>
        <v>0.21695601851851853</v>
      </c>
      <c r="X16" s="9">
        <f t="shared" si="4"/>
        <v>2.3310185185185184E-2</v>
      </c>
      <c r="Y16" s="9">
        <f t="shared" si="5"/>
        <v>0.75973379629629634</v>
      </c>
    </row>
    <row r="17" spans="1:25" ht="15" customHeight="1" x14ac:dyDescent="0.35">
      <c r="A17" s="52">
        <v>8013472</v>
      </c>
      <c r="B17" s="51">
        <v>46124</v>
      </c>
      <c r="C17" s="7" t="s">
        <v>124</v>
      </c>
      <c r="D17" s="10">
        <f>IFERROR(SUMIFS('Base bordo'!G$2:G$746,'Base bordo'!C$2:C$746,A17,'Base bordo'!B$2:B$746,B17,'Base bordo'!F$2:F$746,"DESLOCAMENTO VAZIO"),0)</f>
        <v>3.0741666666666667</v>
      </c>
      <c r="E17" s="10">
        <f>IFERROR(SUMIFS('Base bordo'!G$2:G$746,'Base bordo'!C$2:C$746,A17,'Base bordo'!B$2:B$746,B17,'Base bordo'!F$2:F$746,"DESLOCAMENTO CARREGADO"),0)</f>
        <v>4.4763888888888888</v>
      </c>
      <c r="F17" s="10">
        <f>IFERROR(SUMIFS('Base bordo'!G$2:G$746,'Base bordo'!C$2:C$746,A17,'Base bordo'!B$2:B$746,B17,'Base bordo'!F$2:F$746,"DESLOCAMENTO"),0)</f>
        <v>0</v>
      </c>
      <c r="G17" s="10">
        <f>IFERROR(SUMIFS('Base bordo'!G$2:G$746,'Base bordo'!C$2:C$746,A17,'Base bordo'!B$2:B$746,B17,'Base bordo'!F$2:F$746,"CARREGAMENTO"),0)</f>
        <v>0</v>
      </c>
      <c r="H17" s="10">
        <f>IFERROR(SUMIFS('Base bordo'!G$2:G$746,'Base bordo'!C$2:C$746,A17,'Base bordo'!B$2:B$746,B17,'Base bordo'!F$2:F$746,"AGUARDANDO TRANSBORDO"),0)</f>
        <v>0.55777777777777782</v>
      </c>
      <c r="I17" s="10">
        <f>IFERROR(SUMIFS('Base bordo'!G$2:G$746,'Base bordo'!C$2:C$746,A17,'Base bordo'!B$2:B$746,B17,'Base bordo'!F$2:F$746,"PÁTIO INTERNO"),0)+IFERROR(SUMIFS('Base bordo'!G$2:G$746,'Base bordo'!C$2:C$746,A17,'Base bordo'!B$2:B$746,B17,'Base bordo'!F$2:F$746,"PÁTIO EXTERNO"),0)+IFERROR(SUMIFS('Base bordo'!G$2:G$746,'Base bordo'!C$2:C$746,A17,'Base bordo'!B$2:B$746,B17,'Base bordo'!F$2:F$746,"PATIO - RESERVA"),0)+IFERROR(SUMIFS('Base bordo'!G$2:G$746,'Base bordo'!C$2:C$746,A17,'Base bordo'!B$2:B$746,B17,'Base bordo'!F$2:F$746,"MANOBRA CARRETAS-PATIO"),0)</f>
        <v>4.0902777777777777</v>
      </c>
      <c r="J17" s="10">
        <f>IFERROR(SUMIFS('Base bordo'!G$2:G$746,'Base bordo'!C$2:C$746,A17,'Base bordo'!B$2:B$746,B17,'Base bordo'!F$2:F$746,"BALANÇA - ENTRADA"),0)+IFERROR(SUMIFS('Base bordo'!G$2:G$746,'Base bordo'!C$2:C$746,A17,'Base bordo'!B$2:B$746,B17,'Base bordo'!F$2:F$746,"BALANÇA - SAÍDA"),0)</f>
        <v>5.5555555555555552E-2</v>
      </c>
      <c r="K17" s="10">
        <f>IFERROR(SUMIFS('Base bordo'!G$2:G$746,'Base bordo'!C$2:C$746,A17,'Base bordo'!B$2:B$746,B17,'Base bordo'!F$2:F$746,"MAN PREVENTIVA - MECANICA"),0)+IFERROR(SUMIFS('Base bordo'!G$2:G$746,'Base bordo'!C$2:C$746,A17,'Base bordo'!B$2:B$746,B17,'Base bordo'!F$2:F$746,"MAN CORRETIVA - MECANICA"),0)</f>
        <v>0</v>
      </c>
      <c r="L17" s="10">
        <f>IFERROR(SUMIFS('Base bordo'!G$2:G$746,'Base bordo'!C$2:C$746,A17,'Base bordo'!B$2:B$746,B17,'Base bordo'!F$2:F$746,"MANUTENCAO - T O"),0)+IFERROR(SUMIFS('Base bordo'!G$2:G$746,'Base bordo'!C$2:C$746,A17,'Base bordo'!B$2:B$746,B17,'Base bordo'!F$2:F$746,"MANUTENCAO BORRACHARIA"),0)+IFERROR(SUMIFS('Base bordo'!G$2:G$746,'Base bordo'!C$2:C$746,A17,'Base bordo'!B$2:B$746,B17,'Base bordo'!F$2:F$746,"MANUTENCAO EXTERNA  CONCESSIONARIA"),0)+IFERROR(SUMIFS('Base bordo'!G$2:G$746,'Base bordo'!C$2:C$746,A17,'Base bordo'!B$2:B$746,B17,'Base bordo'!F$2:F$746,"MANUTENCAO TELEMETRIA"),0)</f>
        <v>0</v>
      </c>
      <c r="M17" s="10">
        <f>IFERROR(SUMIFS('Base bordo'!G$2:G$746,'Base bordo'!C$2:C$746,A17,'Base bordo'!B$2:B$746,B17,'Base bordo'!F$2:F$746,"AGUARDANDO MANUTENCAO"),0)</f>
        <v>0</v>
      </c>
      <c r="N17" s="10">
        <f>IFERROR(SUMIFS('Base bordo'!G$2:G$746,'Base bordo'!C$2:C$746,A17,'Base bordo'!B$2:B$746,B17,'Base bordo'!F$2:F$746,"SEM APONTAMENTO"),0)</f>
        <v>0</v>
      </c>
      <c r="O17" s="10">
        <f t="shared" si="0"/>
        <v>3.5527136788005009E-15</v>
      </c>
      <c r="P17" s="10">
        <f>IFERROR(SUMIFS('Base bordo'!G$2:G$746,'Base bordo'!C$2:C$746,A17,'Base bordo'!B$2:B$746,B17),0)</f>
        <v>12.254166666666668</v>
      </c>
      <c r="Q17" s="10">
        <f>IFERROR(SUMIFS('Base bordo'!H$2:H$746,'Base bordo'!C$2:C$746,A17,'Base bordo'!B$2:B$746,B17,'Base bordo'!F$2:F$746,"DESLOCAMENTO VAZIO"),0)</f>
        <v>415361.29000000004</v>
      </c>
      <c r="R17" s="10">
        <f>IFERROR(SUMIFS('Base bordo'!I$2:I$746,'Base bordo'!C$2:C$746,A17,'Base bordo'!B$2:B$746,B17,'Base bordo'!F$2:F$746,"DESLOCAMENTO VAZIO"),0)</f>
        <v>11067</v>
      </c>
      <c r="S17" s="30">
        <f t="shared" si="1"/>
        <v>37.531516219390987</v>
      </c>
      <c r="T17" s="10">
        <f>IFERROR(SUMIFS('Base bordo'!H$2:H$746,'Base bordo'!C$2:C$746,A17,'Base bordo'!B$2:B$746,B17,'Base bordo'!F$2:F$746,"DESLOCAMENTO CARREGADO"),0)</f>
        <v>393703.57999999996</v>
      </c>
      <c r="U17" s="10">
        <f>IFERROR(SUMIFS('Base bordo'!I$2:I$746,'Base bordo'!C$2:C$746,A17,'Base bordo'!B$2:B$746,B17,'Base bordo'!F$2:F$746,"DESLOCAMENTO CARREGADO"),0)</f>
        <v>16115</v>
      </c>
      <c r="V17" s="30">
        <f t="shared" si="2"/>
        <v>24.430876822835863</v>
      </c>
      <c r="W17" s="9">
        <f t="shared" si="3"/>
        <v>0.25086705202312137</v>
      </c>
      <c r="X17" s="9">
        <f t="shared" si="4"/>
        <v>0.36529525104839616</v>
      </c>
      <c r="Y17" s="9">
        <f t="shared" si="5"/>
        <v>0.38383769692848246</v>
      </c>
    </row>
    <row r="18" spans="1:25" ht="15" customHeight="1" x14ac:dyDescent="0.35">
      <c r="A18" s="52">
        <v>8013473</v>
      </c>
      <c r="B18" s="51">
        <v>46124</v>
      </c>
      <c r="C18" s="7" t="s">
        <v>124</v>
      </c>
      <c r="D18" s="10">
        <f>IFERROR(SUMIFS('Base bordo'!G$2:G$746,'Base bordo'!C$2:C$746,A18,'Base bordo'!B$2:B$746,B18,'Base bordo'!F$2:F$746,"DESLOCAMENTO VAZIO"),0)</f>
        <v>3.3650000000000002</v>
      </c>
      <c r="E18" s="10">
        <f>IFERROR(SUMIFS('Base bordo'!G$2:G$746,'Base bordo'!C$2:C$746,A18,'Base bordo'!B$2:B$746,B18,'Base bordo'!F$2:F$746,"DESLOCAMENTO CARREGADO"),0)</f>
        <v>4.0566666666666666</v>
      </c>
      <c r="F18" s="10">
        <f>IFERROR(SUMIFS('Base bordo'!G$2:G$746,'Base bordo'!C$2:C$746,A18,'Base bordo'!B$2:B$746,B18,'Base bordo'!F$2:F$746,"DESLOCAMENTO"),0)</f>
        <v>0</v>
      </c>
      <c r="G18" s="10">
        <f>IFERROR(SUMIFS('Base bordo'!G$2:G$746,'Base bordo'!C$2:C$746,A18,'Base bordo'!B$2:B$746,B18,'Base bordo'!F$2:F$746,"CARREGAMENTO"),0)</f>
        <v>0</v>
      </c>
      <c r="H18" s="10">
        <f>IFERROR(SUMIFS('Base bordo'!G$2:G$746,'Base bordo'!C$2:C$746,A18,'Base bordo'!B$2:B$746,B18,'Base bordo'!F$2:F$746,"AGUARDANDO TRANSBORDO"),0)</f>
        <v>0.39333333333333331</v>
      </c>
      <c r="I18" s="10">
        <f>IFERROR(SUMIFS('Base bordo'!G$2:G$746,'Base bordo'!C$2:C$746,A18,'Base bordo'!B$2:B$746,B18,'Base bordo'!F$2:F$746,"PÁTIO INTERNO"),0)+IFERROR(SUMIFS('Base bordo'!G$2:G$746,'Base bordo'!C$2:C$746,A18,'Base bordo'!B$2:B$746,B18,'Base bordo'!F$2:F$746,"PÁTIO EXTERNO"),0)+IFERROR(SUMIFS('Base bordo'!G$2:G$746,'Base bordo'!C$2:C$746,A18,'Base bordo'!B$2:B$746,B18,'Base bordo'!F$2:F$746,"PATIO - RESERVA"),0)+IFERROR(SUMIFS('Base bordo'!G$2:G$746,'Base bordo'!C$2:C$746,A18,'Base bordo'!B$2:B$746,B18,'Base bordo'!F$2:F$746,"MANOBRA CARRETAS-PATIO"),0)</f>
        <v>4.1744444444444442</v>
      </c>
      <c r="J18" s="10">
        <f>IFERROR(SUMIFS('Base bordo'!G$2:G$746,'Base bordo'!C$2:C$746,A18,'Base bordo'!B$2:B$746,B18,'Base bordo'!F$2:F$746,"BALANÇA - ENTRADA"),0)+IFERROR(SUMIFS('Base bordo'!G$2:G$746,'Base bordo'!C$2:C$746,A18,'Base bordo'!B$2:B$746,B18,'Base bordo'!F$2:F$746,"BALANÇA - SAÍDA"),0)</f>
        <v>0.27249999999999996</v>
      </c>
      <c r="K18" s="10">
        <f>IFERROR(SUMIFS('Base bordo'!G$2:G$746,'Base bordo'!C$2:C$746,A18,'Base bordo'!B$2:B$746,B18,'Base bordo'!F$2:F$746,"MAN PREVENTIVA - MECANICA"),0)+IFERROR(SUMIFS('Base bordo'!G$2:G$746,'Base bordo'!C$2:C$746,A18,'Base bordo'!B$2:B$746,B18,'Base bordo'!F$2:F$746,"MAN CORRETIVA - MECANICA"),0)</f>
        <v>0</v>
      </c>
      <c r="L18" s="10">
        <f>IFERROR(SUMIFS('Base bordo'!G$2:G$746,'Base bordo'!C$2:C$746,A18,'Base bordo'!B$2:B$746,B18,'Base bordo'!F$2:F$746,"MANUTENCAO - T O"),0)+IFERROR(SUMIFS('Base bordo'!G$2:G$746,'Base bordo'!C$2:C$746,A18,'Base bordo'!B$2:B$746,B18,'Base bordo'!F$2:F$746,"MANUTENCAO BORRACHARIA"),0)+IFERROR(SUMIFS('Base bordo'!G$2:G$746,'Base bordo'!C$2:C$746,A18,'Base bordo'!B$2:B$746,B18,'Base bordo'!F$2:F$746,"MANUTENCAO EXTERNA  CONCESSIONARIA"),0)+IFERROR(SUMIFS('Base bordo'!G$2:G$746,'Base bordo'!C$2:C$746,A18,'Base bordo'!B$2:B$746,B18,'Base bordo'!F$2:F$746,"MANUTENCAO TELEMETRIA"),0)</f>
        <v>0</v>
      </c>
      <c r="M18" s="10">
        <f>IFERROR(SUMIFS('Base bordo'!G$2:G$746,'Base bordo'!C$2:C$746,A18,'Base bordo'!B$2:B$746,B18,'Base bordo'!F$2:F$746,"AGUARDANDO MANUTENCAO"),0)</f>
        <v>0</v>
      </c>
      <c r="N18" s="10">
        <f>IFERROR(SUMIFS('Base bordo'!G$2:G$746,'Base bordo'!C$2:C$746,A18,'Base bordo'!B$2:B$746,B18,'Base bordo'!F$2:F$746,"SEM APONTAMENTO"),0)</f>
        <v>0</v>
      </c>
      <c r="O18" s="10">
        <f t="shared" si="0"/>
        <v>0.26305555555555138</v>
      </c>
      <c r="P18" s="10">
        <f>IFERROR(SUMIFS('Base bordo'!G$2:G$746,'Base bordo'!C$2:C$746,A18,'Base bordo'!B$2:B$746,B18),0)</f>
        <v>12.524999999999997</v>
      </c>
      <c r="Q18" s="10">
        <f>IFERROR(SUMIFS('Base bordo'!H$2:H$746,'Base bordo'!C$2:C$746,A18,'Base bordo'!B$2:B$746,B18,'Base bordo'!F$2:F$746,"DESLOCAMENTO VAZIO"),0)</f>
        <v>427465.79</v>
      </c>
      <c r="R18" s="10">
        <f>IFERROR(SUMIFS('Base bordo'!I$2:I$746,'Base bordo'!C$2:C$746,A18,'Base bordo'!B$2:B$746,B18,'Base bordo'!F$2:F$746,"DESLOCAMENTO VAZIO"),0)</f>
        <v>12114</v>
      </c>
      <c r="S18" s="30">
        <f t="shared" si="1"/>
        <v>35.286923394419681</v>
      </c>
      <c r="T18" s="10">
        <f>IFERROR(SUMIFS('Base bordo'!H$2:H$746,'Base bordo'!C$2:C$746,A18,'Base bordo'!B$2:B$746,B18,'Base bordo'!F$2:F$746,"DESLOCAMENTO CARREGADO"),0)</f>
        <v>388337.10000000003</v>
      </c>
      <c r="U18" s="10">
        <f>IFERROR(SUMIFS('Base bordo'!I$2:I$746,'Base bordo'!C$2:C$746,A18,'Base bordo'!B$2:B$746,B18,'Base bordo'!F$2:F$746,"DESLOCAMENTO CARREGADO"),0)</f>
        <v>14604</v>
      </c>
      <c r="V18" s="30">
        <f t="shared" si="2"/>
        <v>26.591146261298277</v>
      </c>
      <c r="W18" s="9">
        <f t="shared" si="3"/>
        <v>0.26866267465069871</v>
      </c>
      <c r="X18" s="9">
        <f t="shared" si="4"/>
        <v>0.32388556220891557</v>
      </c>
      <c r="Y18" s="9">
        <f t="shared" si="5"/>
        <v>0.40745176314038578</v>
      </c>
    </row>
    <row r="19" spans="1:25" ht="15" customHeight="1" x14ac:dyDescent="0.35">
      <c r="A19" s="52">
        <v>8013465</v>
      </c>
      <c r="B19" s="51">
        <v>46124</v>
      </c>
      <c r="C19" s="7" t="s">
        <v>124</v>
      </c>
      <c r="D19" s="10">
        <f>IFERROR(SUMIFS('Base bordo'!G$2:G$746,'Base bordo'!C$2:C$746,A19,'Base bordo'!B$2:B$746,B19,'Base bordo'!F$2:F$746,"DESLOCAMENTO VAZIO"),0)</f>
        <v>2.6761111111111111</v>
      </c>
      <c r="E19" s="10">
        <f>IFERROR(SUMIFS('Base bordo'!G$2:G$746,'Base bordo'!C$2:C$746,A19,'Base bordo'!B$2:B$746,B19,'Base bordo'!F$2:F$746,"DESLOCAMENTO CARREGADO"),0)</f>
        <v>5.5052777777777777</v>
      </c>
      <c r="F19" s="10">
        <f>IFERROR(SUMIFS('Base bordo'!G$2:G$746,'Base bordo'!C$2:C$746,A19,'Base bordo'!B$2:B$746,B19,'Base bordo'!F$2:F$746,"DESLOCAMENTO"),0)</f>
        <v>0</v>
      </c>
      <c r="G19" s="10">
        <f>IFERROR(SUMIFS('Base bordo'!G$2:G$746,'Base bordo'!C$2:C$746,A19,'Base bordo'!B$2:B$746,B19,'Base bordo'!F$2:F$746,"CARREGAMENTO"),0)</f>
        <v>0</v>
      </c>
      <c r="H19" s="10">
        <f>IFERROR(SUMIFS('Base bordo'!G$2:G$746,'Base bordo'!C$2:C$746,A19,'Base bordo'!B$2:B$746,B19,'Base bordo'!F$2:F$746,"AGUARDANDO TRANSBORDO"),0)</f>
        <v>0.45055555555555554</v>
      </c>
      <c r="I19" s="10">
        <f>IFERROR(SUMIFS('Base bordo'!G$2:G$746,'Base bordo'!C$2:C$746,A19,'Base bordo'!B$2:B$746,B19,'Base bordo'!F$2:F$746,"PÁTIO INTERNO"),0)+IFERROR(SUMIFS('Base bordo'!G$2:G$746,'Base bordo'!C$2:C$746,A19,'Base bordo'!B$2:B$746,B19,'Base bordo'!F$2:F$746,"PÁTIO EXTERNO"),0)+IFERROR(SUMIFS('Base bordo'!G$2:G$746,'Base bordo'!C$2:C$746,A19,'Base bordo'!B$2:B$746,B19,'Base bordo'!F$2:F$746,"PATIO - RESERVA"),0)+IFERROR(SUMIFS('Base bordo'!G$2:G$746,'Base bordo'!C$2:C$746,A19,'Base bordo'!B$2:B$746,B19,'Base bordo'!F$2:F$746,"MANOBRA CARRETAS-PATIO"),0)</f>
        <v>2.5047222222222221</v>
      </c>
      <c r="J19" s="10">
        <f>IFERROR(SUMIFS('Base bordo'!G$2:G$746,'Base bordo'!C$2:C$746,A19,'Base bordo'!B$2:B$746,B19,'Base bordo'!F$2:F$746,"BALANÇA - ENTRADA"),0)+IFERROR(SUMIFS('Base bordo'!G$2:G$746,'Base bordo'!C$2:C$746,A19,'Base bordo'!B$2:B$746,B19,'Base bordo'!F$2:F$746,"BALANÇA - SAÍDA"),0)</f>
        <v>0</v>
      </c>
      <c r="K19" s="10">
        <f>IFERROR(SUMIFS('Base bordo'!G$2:G$746,'Base bordo'!C$2:C$746,A19,'Base bordo'!B$2:B$746,B19,'Base bordo'!F$2:F$746,"MAN PREVENTIVA - MECANICA"),0)+IFERROR(SUMIFS('Base bordo'!G$2:G$746,'Base bordo'!C$2:C$746,A19,'Base bordo'!B$2:B$746,B19,'Base bordo'!F$2:F$746,"MAN CORRETIVA - MECANICA"),0)</f>
        <v>0</v>
      </c>
      <c r="L19" s="10">
        <f>IFERROR(SUMIFS('Base bordo'!G$2:G$746,'Base bordo'!C$2:C$746,A19,'Base bordo'!B$2:B$746,B19,'Base bordo'!F$2:F$746,"MANUTENCAO - T O"),0)+IFERROR(SUMIFS('Base bordo'!G$2:G$746,'Base bordo'!C$2:C$746,A19,'Base bordo'!B$2:B$746,B19,'Base bordo'!F$2:F$746,"MANUTENCAO BORRACHARIA"),0)+IFERROR(SUMIFS('Base bordo'!G$2:G$746,'Base bordo'!C$2:C$746,A19,'Base bordo'!B$2:B$746,B19,'Base bordo'!F$2:F$746,"MANUTENCAO EXTERNA  CONCESSIONARIA"),0)+IFERROR(SUMIFS('Base bordo'!G$2:G$746,'Base bordo'!C$2:C$746,A19,'Base bordo'!B$2:B$746,B19,'Base bordo'!F$2:F$746,"MANUTENCAO TELEMETRIA"),0)</f>
        <v>0</v>
      </c>
      <c r="M19" s="10">
        <f>IFERROR(SUMIFS('Base bordo'!G$2:G$746,'Base bordo'!C$2:C$746,A19,'Base bordo'!B$2:B$746,B19,'Base bordo'!F$2:F$746,"AGUARDANDO MANUTENCAO"),0)</f>
        <v>0</v>
      </c>
      <c r="N19" s="10">
        <f>IFERROR(SUMIFS('Base bordo'!G$2:G$746,'Base bordo'!C$2:C$746,A19,'Base bordo'!B$2:B$746,B19,'Base bordo'!F$2:F$746,"SEM APONTAMENTO"),0)</f>
        <v>0</v>
      </c>
      <c r="O19" s="10">
        <f t="shared" si="0"/>
        <v>2.1111111111110858E-2</v>
      </c>
      <c r="P19" s="10">
        <f>IFERROR(SUMIFS('Base bordo'!G$2:G$746,'Base bordo'!C$2:C$746,A19,'Base bordo'!B$2:B$746,B19),0)</f>
        <v>11.157777777777778</v>
      </c>
      <c r="Q19" s="10">
        <f>IFERROR(SUMIFS('Base bordo'!H$2:H$746,'Base bordo'!C$2:C$746,A19,'Base bordo'!B$2:B$746,B19,'Base bordo'!F$2:F$746,"DESLOCAMENTO VAZIO"),0)</f>
        <v>384446.33</v>
      </c>
      <c r="R19" s="10">
        <f>IFERROR(SUMIFS('Base bordo'!I$2:I$746,'Base bordo'!C$2:C$746,A19,'Base bordo'!B$2:B$746,B19,'Base bordo'!F$2:F$746,"DESLOCAMENTO VAZIO"),0)</f>
        <v>9634</v>
      </c>
      <c r="S19" s="30">
        <f t="shared" si="1"/>
        <v>39.905161926510274</v>
      </c>
      <c r="T19" s="10">
        <f>IFERROR(SUMIFS('Base bordo'!H$2:H$746,'Base bordo'!C$2:C$746,A19,'Base bordo'!B$2:B$746,B19,'Base bordo'!F$2:F$746,"DESLOCAMENTO CARREGADO"),0)</f>
        <v>426423.94999999995</v>
      </c>
      <c r="U19" s="10">
        <f>IFERROR(SUMIFS('Base bordo'!I$2:I$746,'Base bordo'!C$2:C$746,A19,'Base bordo'!B$2:B$746,B19,'Base bordo'!F$2:F$746,"DESLOCAMENTO CARREGADO"),0)</f>
        <v>19819</v>
      </c>
      <c r="V19" s="30">
        <f t="shared" si="2"/>
        <v>21.515916544729802</v>
      </c>
      <c r="W19" s="9">
        <f t="shared" si="3"/>
        <v>0.23984266082453695</v>
      </c>
      <c r="X19" s="9">
        <f t="shared" si="4"/>
        <v>0.49340270862378011</v>
      </c>
      <c r="Y19" s="9">
        <f t="shared" si="5"/>
        <v>0.2667546305516828</v>
      </c>
    </row>
    <row r="20" spans="1:25" ht="15" customHeight="1" x14ac:dyDescent="0.35">
      <c r="A20" s="52">
        <v>8013473</v>
      </c>
      <c r="B20" s="51">
        <v>46118</v>
      </c>
      <c r="C20" s="7" t="s">
        <v>124</v>
      </c>
      <c r="D20" s="10">
        <f>IFERROR(SUMIFS('Base bordo'!G$2:G$746,'Base bordo'!C$2:C$746,A20,'Base bordo'!B$2:B$746,B20,'Base bordo'!F$2:F$746,"DESLOCAMENTO VAZIO"),0)</f>
        <v>1.5997222222222223</v>
      </c>
      <c r="E20" s="10">
        <f>IFERROR(SUMIFS('Base bordo'!G$2:G$746,'Base bordo'!C$2:C$746,A20,'Base bordo'!B$2:B$746,B20,'Base bordo'!F$2:F$746,"DESLOCAMENTO CARREGADO"),0)</f>
        <v>3.9169444444444443</v>
      </c>
      <c r="F20" s="10">
        <f>IFERROR(SUMIFS('Base bordo'!G$2:G$746,'Base bordo'!C$2:C$746,A20,'Base bordo'!B$2:B$746,B20,'Base bordo'!F$2:F$746,"DESLOCAMENTO"),0)</f>
        <v>0</v>
      </c>
      <c r="G20" s="10">
        <f>IFERROR(SUMIFS('Base bordo'!G$2:G$746,'Base bordo'!C$2:C$746,A20,'Base bordo'!B$2:B$746,B20,'Base bordo'!F$2:F$746,"CARREGAMENTO"),0)</f>
        <v>0</v>
      </c>
      <c r="H20" s="10">
        <f>IFERROR(SUMIFS('Base bordo'!G$2:G$746,'Base bordo'!C$2:C$746,A20,'Base bordo'!B$2:B$746,B20,'Base bordo'!F$2:F$746,"AGUARDANDO TRANSBORDO"),0)</f>
        <v>0.18527777777777779</v>
      </c>
      <c r="I20" s="10">
        <f>IFERROR(SUMIFS('Base bordo'!G$2:G$746,'Base bordo'!C$2:C$746,A20,'Base bordo'!B$2:B$746,B20,'Base bordo'!F$2:F$746,"PÁTIO INTERNO"),0)+IFERROR(SUMIFS('Base bordo'!G$2:G$746,'Base bordo'!C$2:C$746,A20,'Base bordo'!B$2:B$746,B20,'Base bordo'!F$2:F$746,"PÁTIO EXTERNO"),0)+IFERROR(SUMIFS('Base bordo'!G$2:G$746,'Base bordo'!C$2:C$746,A20,'Base bordo'!B$2:B$746,B20,'Base bordo'!F$2:F$746,"PATIO - RESERVA"),0)+IFERROR(SUMIFS('Base bordo'!G$2:G$746,'Base bordo'!C$2:C$746,A20,'Base bordo'!B$2:B$746,B20,'Base bordo'!F$2:F$746,"MANOBRA CARRETAS-PATIO"),0)</f>
        <v>10.403611111111111</v>
      </c>
      <c r="J20" s="10">
        <f>IFERROR(SUMIFS('Base bordo'!G$2:G$746,'Base bordo'!C$2:C$746,A20,'Base bordo'!B$2:B$746,B20,'Base bordo'!F$2:F$746,"BALANÇA - ENTRADA"),0)+IFERROR(SUMIFS('Base bordo'!G$2:G$746,'Base bordo'!C$2:C$746,A20,'Base bordo'!B$2:B$746,B20,'Base bordo'!F$2:F$746,"BALANÇA - SAÍDA"),0)</f>
        <v>5.8055555555555555E-2</v>
      </c>
      <c r="K20" s="10">
        <f>IFERROR(SUMIFS('Base bordo'!G$2:G$746,'Base bordo'!C$2:C$746,A20,'Base bordo'!B$2:B$746,B20,'Base bordo'!F$2:F$746,"MAN PREVENTIVA - MECANICA"),0)+IFERROR(SUMIFS('Base bordo'!G$2:G$746,'Base bordo'!C$2:C$746,A20,'Base bordo'!B$2:B$746,B20,'Base bordo'!F$2:F$746,"MAN CORRETIVA - MECANICA"),0)</f>
        <v>0</v>
      </c>
      <c r="L20" s="10">
        <f>IFERROR(SUMIFS('Base bordo'!G$2:G$746,'Base bordo'!C$2:C$746,A20,'Base bordo'!B$2:B$746,B20,'Base bordo'!F$2:F$746,"MANUTENCAO - T O"),0)+IFERROR(SUMIFS('Base bordo'!G$2:G$746,'Base bordo'!C$2:C$746,A20,'Base bordo'!B$2:B$746,B20,'Base bordo'!F$2:F$746,"MANUTENCAO BORRACHARIA"),0)+IFERROR(SUMIFS('Base bordo'!G$2:G$746,'Base bordo'!C$2:C$746,A20,'Base bordo'!B$2:B$746,B20,'Base bordo'!F$2:F$746,"MANUTENCAO EXTERNA  CONCESSIONARIA"),0)+IFERROR(SUMIFS('Base bordo'!G$2:G$746,'Base bordo'!C$2:C$746,A20,'Base bordo'!B$2:B$746,B20,'Base bordo'!F$2:F$746,"MANUTENCAO TELEMETRIA"),0)</f>
        <v>0</v>
      </c>
      <c r="M20" s="10">
        <f>IFERROR(SUMIFS('Base bordo'!G$2:G$746,'Base bordo'!C$2:C$746,A20,'Base bordo'!B$2:B$746,B20,'Base bordo'!F$2:F$746,"AGUARDANDO MANUTENCAO"),0)</f>
        <v>0</v>
      </c>
      <c r="N20" s="10">
        <f>IFERROR(SUMIFS('Base bordo'!G$2:G$746,'Base bordo'!C$2:C$746,A20,'Base bordo'!B$2:B$746,B20,'Base bordo'!F$2:F$746,"SEM APONTAMENTO"),0)</f>
        <v>0</v>
      </c>
      <c r="O20" s="10">
        <f t="shared" si="0"/>
        <v>3.5527136788005009E-15</v>
      </c>
      <c r="P20" s="10">
        <f>IFERROR(SUMIFS('Base bordo'!G$2:G$746,'Base bordo'!C$2:C$746,A20,'Base bordo'!B$2:B$746,B20),0)</f>
        <v>16.163611111111113</v>
      </c>
      <c r="Q20" s="10">
        <f>IFERROR(SUMIFS('Base bordo'!H$2:H$746,'Base bordo'!C$2:C$746,A20,'Base bordo'!B$2:B$746,B20,'Base bordo'!F$2:F$746,"DESLOCAMENTO VAZIO"),0)</f>
        <v>187793.3</v>
      </c>
      <c r="R20" s="10">
        <f>IFERROR(SUMIFS('Base bordo'!I$2:I$746,'Base bordo'!C$2:C$746,A20,'Base bordo'!B$2:B$746,B20,'Base bordo'!F$2:F$746,"DESLOCAMENTO VAZIO"),0)</f>
        <v>5759</v>
      </c>
      <c r="S20" s="30">
        <f t="shared" si="1"/>
        <v>32.608664698732419</v>
      </c>
      <c r="T20" s="10">
        <f>IFERROR(SUMIFS('Base bordo'!H$2:H$746,'Base bordo'!C$2:C$746,A20,'Base bordo'!B$2:B$746,B20,'Base bordo'!F$2:F$746,"DESLOCAMENTO CARREGADO"),0)</f>
        <v>380848.11</v>
      </c>
      <c r="U20" s="10">
        <f>IFERROR(SUMIFS('Base bordo'!I$2:I$746,'Base bordo'!C$2:C$746,A20,'Base bordo'!B$2:B$746,B20,'Base bordo'!F$2:F$746,"DESLOCAMENTO CARREGADO"),0)</f>
        <v>14101</v>
      </c>
      <c r="V20" s="30">
        <f t="shared" si="2"/>
        <v>27.008588752570738</v>
      </c>
      <c r="W20" s="9">
        <f t="shared" si="3"/>
        <v>9.8970595817078816E-2</v>
      </c>
      <c r="X20" s="9">
        <f t="shared" si="4"/>
        <v>0.24233102476413065</v>
      </c>
      <c r="Y20" s="9">
        <f t="shared" si="5"/>
        <v>0.6586983794187905</v>
      </c>
    </row>
    <row r="21" spans="1:25" ht="15" customHeight="1" x14ac:dyDescent="0.35">
      <c r="A21" s="52">
        <v>8013482</v>
      </c>
      <c r="B21" s="51">
        <v>46124</v>
      </c>
      <c r="C21" s="7" t="s">
        <v>124</v>
      </c>
      <c r="D21" s="10">
        <f>IFERROR(SUMIFS('Base bordo'!G$2:G$746,'Base bordo'!C$2:C$746,A21,'Base bordo'!B$2:B$746,B21,'Base bordo'!F$2:F$746,"DESLOCAMENTO VAZIO"),0)</f>
        <v>3.1158333333333332</v>
      </c>
      <c r="E21" s="10">
        <f>IFERROR(SUMIFS('Base bordo'!G$2:G$746,'Base bordo'!C$2:C$746,A21,'Base bordo'!B$2:B$746,B21,'Base bordo'!F$2:F$746,"DESLOCAMENTO CARREGADO"),0)</f>
        <v>4.7358333333333329</v>
      </c>
      <c r="F21" s="10">
        <f>IFERROR(SUMIFS('Base bordo'!G$2:G$746,'Base bordo'!C$2:C$746,A21,'Base bordo'!B$2:B$746,B21,'Base bordo'!F$2:F$746,"DESLOCAMENTO"),0)</f>
        <v>0</v>
      </c>
      <c r="G21" s="10">
        <f>IFERROR(SUMIFS('Base bordo'!G$2:G$746,'Base bordo'!C$2:C$746,A21,'Base bordo'!B$2:B$746,B21,'Base bordo'!F$2:F$746,"CARREGAMENTO"),0)</f>
        <v>0</v>
      </c>
      <c r="H21" s="10">
        <f>IFERROR(SUMIFS('Base bordo'!G$2:G$746,'Base bordo'!C$2:C$746,A21,'Base bordo'!B$2:B$746,B21,'Base bordo'!F$2:F$746,"AGUARDANDO TRANSBORDO"),0)</f>
        <v>0.68361111111111106</v>
      </c>
      <c r="I21" s="10">
        <f>IFERROR(SUMIFS('Base bordo'!G$2:G$746,'Base bordo'!C$2:C$746,A21,'Base bordo'!B$2:B$746,B21,'Base bordo'!F$2:F$746,"PÁTIO INTERNO"),0)+IFERROR(SUMIFS('Base bordo'!G$2:G$746,'Base bordo'!C$2:C$746,A21,'Base bordo'!B$2:B$746,B21,'Base bordo'!F$2:F$746,"PÁTIO EXTERNO"),0)+IFERROR(SUMIFS('Base bordo'!G$2:G$746,'Base bordo'!C$2:C$746,A21,'Base bordo'!B$2:B$746,B21,'Base bordo'!F$2:F$746,"PATIO - RESERVA"),0)+IFERROR(SUMIFS('Base bordo'!G$2:G$746,'Base bordo'!C$2:C$746,A21,'Base bordo'!B$2:B$746,B21,'Base bordo'!F$2:F$746,"MANOBRA CARRETAS-PATIO"),0)</f>
        <v>3.3277777777777775</v>
      </c>
      <c r="J21" s="10">
        <f>IFERROR(SUMIFS('Base bordo'!G$2:G$746,'Base bordo'!C$2:C$746,A21,'Base bordo'!B$2:B$746,B21,'Base bordo'!F$2:F$746,"BALANÇA - ENTRADA"),0)+IFERROR(SUMIFS('Base bordo'!G$2:G$746,'Base bordo'!C$2:C$746,A21,'Base bordo'!B$2:B$746,B21,'Base bordo'!F$2:F$746,"BALANÇA - SAÍDA"),0)</f>
        <v>0.1336111111111111</v>
      </c>
      <c r="K21" s="10">
        <f>IFERROR(SUMIFS('Base bordo'!G$2:G$746,'Base bordo'!C$2:C$746,A21,'Base bordo'!B$2:B$746,B21,'Base bordo'!F$2:F$746,"MAN PREVENTIVA - MECANICA"),0)+IFERROR(SUMIFS('Base bordo'!G$2:G$746,'Base bordo'!C$2:C$746,A21,'Base bordo'!B$2:B$746,B21,'Base bordo'!F$2:F$746,"MAN CORRETIVA - MECANICA"),0)</f>
        <v>0</v>
      </c>
      <c r="L21" s="10">
        <f>IFERROR(SUMIFS('Base bordo'!G$2:G$746,'Base bordo'!C$2:C$746,A21,'Base bordo'!B$2:B$746,B21,'Base bordo'!F$2:F$746,"MANUTENCAO - T O"),0)+IFERROR(SUMIFS('Base bordo'!G$2:G$746,'Base bordo'!C$2:C$746,A21,'Base bordo'!B$2:B$746,B21,'Base bordo'!F$2:F$746,"MANUTENCAO BORRACHARIA"),0)+IFERROR(SUMIFS('Base bordo'!G$2:G$746,'Base bordo'!C$2:C$746,A21,'Base bordo'!B$2:B$746,B21,'Base bordo'!F$2:F$746,"MANUTENCAO EXTERNA  CONCESSIONARIA"),0)+IFERROR(SUMIFS('Base bordo'!G$2:G$746,'Base bordo'!C$2:C$746,A21,'Base bordo'!B$2:B$746,B21,'Base bordo'!F$2:F$746,"MANUTENCAO TELEMETRIA"),0)</f>
        <v>0</v>
      </c>
      <c r="M21" s="10">
        <f>IFERROR(SUMIFS('Base bordo'!G$2:G$746,'Base bordo'!C$2:C$746,A21,'Base bordo'!B$2:B$746,B21,'Base bordo'!F$2:F$746,"AGUARDANDO MANUTENCAO"),0)</f>
        <v>0</v>
      </c>
      <c r="N21" s="10">
        <f>IFERROR(SUMIFS('Base bordo'!G$2:G$746,'Base bordo'!C$2:C$746,A21,'Base bordo'!B$2:B$746,B21,'Base bordo'!F$2:F$746,"SEM APONTAMENTO"),0)</f>
        <v>0</v>
      </c>
      <c r="O21" s="10">
        <f t="shared" si="0"/>
        <v>0</v>
      </c>
      <c r="P21" s="10">
        <f>IFERROR(SUMIFS('Base bordo'!G$2:G$746,'Base bordo'!C$2:C$746,A21,'Base bordo'!B$2:B$746,B21),0)</f>
        <v>11.996666666666666</v>
      </c>
      <c r="Q21" s="10">
        <f>IFERROR(SUMIFS('Base bordo'!H$2:H$746,'Base bordo'!C$2:C$746,A21,'Base bordo'!B$2:B$746,B21,'Base bordo'!F$2:F$746,"DESLOCAMENTO VAZIO"),0)</f>
        <v>368512.23</v>
      </c>
      <c r="R21" s="10">
        <f>IFERROR(SUMIFS('Base bordo'!I$2:I$746,'Base bordo'!C$2:C$746,A21,'Base bordo'!B$2:B$746,B21,'Base bordo'!F$2:F$746,"DESLOCAMENTO VAZIO"),0)</f>
        <v>11217</v>
      </c>
      <c r="S21" s="30">
        <f t="shared" si="1"/>
        <v>32.853011500401173</v>
      </c>
      <c r="T21" s="10">
        <f>IFERROR(SUMIFS('Base bordo'!H$2:H$746,'Base bordo'!C$2:C$746,A21,'Base bordo'!B$2:B$746,B21,'Base bordo'!F$2:F$746,"DESLOCAMENTO CARREGADO"),0)</f>
        <v>421365.02999999997</v>
      </c>
      <c r="U21" s="10">
        <f>IFERROR(SUMIFS('Base bordo'!I$2:I$746,'Base bordo'!C$2:C$746,A21,'Base bordo'!B$2:B$746,B21,'Base bordo'!F$2:F$746,"DESLOCAMENTO CARREGADO"),0)</f>
        <v>17049</v>
      </c>
      <c r="V21" s="30">
        <f t="shared" si="2"/>
        <v>24.714941052261128</v>
      </c>
      <c r="W21" s="9">
        <f t="shared" si="3"/>
        <v>0.25972492358988608</v>
      </c>
      <c r="X21" s="9">
        <f t="shared" si="4"/>
        <v>0.39476243400944705</v>
      </c>
      <c r="Y21" s="9">
        <f t="shared" si="5"/>
        <v>0.34551264240066681</v>
      </c>
    </row>
    <row r="22" spans="1:25" ht="15" customHeight="1" x14ac:dyDescent="0.35">
      <c r="A22" s="52">
        <v>8013462</v>
      </c>
      <c r="B22" s="51">
        <v>46118</v>
      </c>
      <c r="C22" s="7" t="s">
        <v>124</v>
      </c>
      <c r="D22" s="10">
        <f>IFERROR(SUMIFS('Base bordo'!G$2:G$746,'Base bordo'!C$2:C$746,A22,'Base bordo'!B$2:B$746,B22,'Base bordo'!F$2:F$746,"DESLOCAMENTO VAZIO"),0)</f>
        <v>2.9716666666666667</v>
      </c>
      <c r="E22" s="10">
        <f>IFERROR(SUMIFS('Base bordo'!G$2:G$746,'Base bordo'!C$2:C$746,A22,'Base bordo'!B$2:B$746,B22,'Base bordo'!F$2:F$746,"DESLOCAMENTO CARREGADO"),0)</f>
        <v>3.6794444444444445</v>
      </c>
      <c r="F22" s="10">
        <f>IFERROR(SUMIFS('Base bordo'!G$2:G$746,'Base bordo'!C$2:C$746,A22,'Base bordo'!B$2:B$746,B22,'Base bordo'!F$2:F$746,"DESLOCAMENTO"),0)</f>
        <v>0.29694444444444446</v>
      </c>
      <c r="G22" s="10">
        <f>IFERROR(SUMIFS('Base bordo'!G$2:G$746,'Base bordo'!C$2:C$746,A22,'Base bordo'!B$2:B$746,B22,'Base bordo'!F$2:F$746,"CARREGAMENTO"),0)</f>
        <v>0.64583333333333337</v>
      </c>
      <c r="H22" s="10">
        <f>IFERROR(SUMIFS('Base bordo'!G$2:G$746,'Base bordo'!C$2:C$746,A22,'Base bordo'!B$2:B$746,B22,'Base bordo'!F$2:F$746,"AGUARDANDO TRANSBORDO"),0)</f>
        <v>9.6666666666666665E-2</v>
      </c>
      <c r="I22" s="10">
        <f>IFERROR(SUMIFS('Base bordo'!G$2:G$746,'Base bordo'!C$2:C$746,A22,'Base bordo'!B$2:B$746,B22,'Base bordo'!F$2:F$746,"PÁTIO INTERNO"),0)+IFERROR(SUMIFS('Base bordo'!G$2:G$746,'Base bordo'!C$2:C$746,A22,'Base bordo'!B$2:B$746,B22,'Base bordo'!F$2:F$746,"PÁTIO EXTERNO"),0)+IFERROR(SUMIFS('Base bordo'!G$2:G$746,'Base bordo'!C$2:C$746,A22,'Base bordo'!B$2:B$746,B22,'Base bordo'!F$2:F$746,"PATIO - RESERVA"),0)+IFERROR(SUMIFS('Base bordo'!G$2:G$746,'Base bordo'!C$2:C$746,A22,'Base bordo'!B$2:B$746,B22,'Base bordo'!F$2:F$746,"MANOBRA CARRETAS-PATIO"),0)</f>
        <v>9.5841666666666665</v>
      </c>
      <c r="J22" s="10">
        <f>IFERROR(SUMIFS('Base bordo'!G$2:G$746,'Base bordo'!C$2:C$746,A22,'Base bordo'!B$2:B$746,B22,'Base bordo'!F$2:F$746,"BALANÇA - ENTRADA"),0)+IFERROR(SUMIFS('Base bordo'!G$2:G$746,'Base bordo'!C$2:C$746,A22,'Base bordo'!B$2:B$746,B22,'Base bordo'!F$2:F$746,"BALANÇA - SAÍDA"),0)</f>
        <v>4.1944444444444444E-2</v>
      </c>
      <c r="K22" s="10">
        <f>IFERROR(SUMIFS('Base bordo'!G$2:G$746,'Base bordo'!C$2:C$746,A22,'Base bordo'!B$2:B$746,B22,'Base bordo'!F$2:F$746,"MAN PREVENTIVA - MECANICA"),0)+IFERROR(SUMIFS('Base bordo'!G$2:G$746,'Base bordo'!C$2:C$746,A22,'Base bordo'!B$2:B$746,B22,'Base bordo'!F$2:F$746,"MAN CORRETIVA - MECANICA"),0)</f>
        <v>0</v>
      </c>
      <c r="L22" s="10">
        <f>IFERROR(SUMIFS('Base bordo'!G$2:G$746,'Base bordo'!C$2:C$746,A22,'Base bordo'!B$2:B$746,B22,'Base bordo'!F$2:F$746,"MANUTENCAO - T O"),0)+IFERROR(SUMIFS('Base bordo'!G$2:G$746,'Base bordo'!C$2:C$746,A22,'Base bordo'!B$2:B$746,B22,'Base bordo'!F$2:F$746,"MANUTENCAO BORRACHARIA"),0)+IFERROR(SUMIFS('Base bordo'!G$2:G$746,'Base bordo'!C$2:C$746,A22,'Base bordo'!B$2:B$746,B22,'Base bordo'!F$2:F$746,"MANUTENCAO EXTERNA  CONCESSIONARIA"),0)+IFERROR(SUMIFS('Base bordo'!G$2:G$746,'Base bordo'!C$2:C$746,A22,'Base bordo'!B$2:B$746,B22,'Base bordo'!F$2:F$746,"MANUTENCAO TELEMETRIA"),0)</f>
        <v>1.6502777777777777</v>
      </c>
      <c r="M22" s="10">
        <f>IFERROR(SUMIFS('Base bordo'!G$2:G$746,'Base bordo'!C$2:C$746,A22,'Base bordo'!B$2:B$746,B22,'Base bordo'!F$2:F$746,"AGUARDANDO MANUTENCAO"),0)</f>
        <v>3.7263888888888888</v>
      </c>
      <c r="N22" s="10">
        <f>IFERROR(SUMIFS('Base bordo'!G$2:G$746,'Base bordo'!C$2:C$746,A22,'Base bordo'!B$2:B$746,B22,'Base bordo'!F$2:F$746,"SEM APONTAMENTO"),0)</f>
        <v>0</v>
      </c>
      <c r="O22" s="10">
        <f t="shared" si="0"/>
        <v>1.3066666666666684</v>
      </c>
      <c r="P22" s="10">
        <f>IFERROR(SUMIFS('Base bordo'!G$2:G$746,'Base bordo'!C$2:C$746,A22,'Base bordo'!B$2:B$746,B22),0)</f>
        <v>24</v>
      </c>
      <c r="Q22" s="10">
        <f>IFERROR(SUMIFS('Base bordo'!H$2:H$746,'Base bordo'!C$2:C$746,A22,'Base bordo'!B$2:B$746,B22,'Base bordo'!F$2:F$746,"DESLOCAMENTO VAZIO"),0)</f>
        <v>362928.54000000004</v>
      </c>
      <c r="R22" s="10">
        <f>IFERROR(SUMIFS('Base bordo'!I$2:I$746,'Base bordo'!C$2:C$746,A22,'Base bordo'!B$2:B$746,B22,'Base bordo'!F$2:F$746,"DESLOCAMENTO VAZIO"),0)</f>
        <v>10698</v>
      </c>
      <c r="S22" s="30">
        <f t="shared" si="1"/>
        <v>33.924896242288284</v>
      </c>
      <c r="T22" s="10">
        <f>IFERROR(SUMIFS('Base bordo'!H$2:H$746,'Base bordo'!C$2:C$746,A22,'Base bordo'!B$2:B$746,B22,'Base bordo'!F$2:F$746,"DESLOCAMENTO CARREGADO"),0)</f>
        <v>342744.39</v>
      </c>
      <c r="U22" s="10">
        <f>IFERROR(SUMIFS('Base bordo'!I$2:I$746,'Base bordo'!C$2:C$746,A22,'Base bordo'!B$2:B$746,B22,'Base bordo'!F$2:F$746,"DESLOCAMENTO CARREGADO"),0)</f>
        <v>13234</v>
      </c>
      <c r="V22" s="30">
        <f t="shared" si="2"/>
        <v>25.89877512467886</v>
      </c>
      <c r="W22" s="9">
        <f t="shared" si="3"/>
        <v>0.12381944444444444</v>
      </c>
      <c r="X22" s="9">
        <f t="shared" si="4"/>
        <v>0.15331018518518519</v>
      </c>
      <c r="Y22" s="9">
        <f t="shared" si="5"/>
        <v>0.72287037037037027</v>
      </c>
    </row>
    <row r="23" spans="1:25" ht="15" customHeight="1" x14ac:dyDescent="0.35">
      <c r="A23" s="52">
        <v>8013460</v>
      </c>
      <c r="B23" s="51">
        <v>46124</v>
      </c>
      <c r="C23" s="7" t="s">
        <v>124</v>
      </c>
      <c r="D23" s="10">
        <f>IFERROR(SUMIFS('Base bordo'!G$2:G$746,'Base bordo'!C$2:C$746,A23,'Base bordo'!B$2:B$746,B23,'Base bordo'!F$2:F$746,"DESLOCAMENTO VAZIO"),0)</f>
        <v>3.2269444444444444</v>
      </c>
      <c r="E23" s="10">
        <f>IFERROR(SUMIFS('Base bordo'!G$2:G$746,'Base bordo'!C$2:C$746,A23,'Base bordo'!B$2:B$746,B23,'Base bordo'!F$2:F$746,"DESLOCAMENTO CARREGADO"),0)</f>
        <v>4.5991666666666671</v>
      </c>
      <c r="F23" s="10">
        <f>IFERROR(SUMIFS('Base bordo'!G$2:G$746,'Base bordo'!C$2:C$746,A23,'Base bordo'!B$2:B$746,B23,'Base bordo'!F$2:F$746,"DESLOCAMENTO"),0)</f>
        <v>0</v>
      </c>
      <c r="G23" s="10">
        <f>IFERROR(SUMIFS('Base bordo'!G$2:G$746,'Base bordo'!C$2:C$746,A23,'Base bordo'!B$2:B$746,B23,'Base bordo'!F$2:F$746,"CARREGAMENTO"),0)</f>
        <v>0</v>
      </c>
      <c r="H23" s="10">
        <f>IFERROR(SUMIFS('Base bordo'!G$2:G$746,'Base bordo'!C$2:C$746,A23,'Base bordo'!B$2:B$746,B23,'Base bordo'!F$2:F$746,"AGUARDANDO TRANSBORDO"),0)</f>
        <v>0.1763888888888889</v>
      </c>
      <c r="I23" s="10">
        <f>IFERROR(SUMIFS('Base bordo'!G$2:G$746,'Base bordo'!C$2:C$746,A23,'Base bordo'!B$2:B$746,B23,'Base bordo'!F$2:F$746,"PÁTIO INTERNO"),0)+IFERROR(SUMIFS('Base bordo'!G$2:G$746,'Base bordo'!C$2:C$746,A23,'Base bordo'!B$2:B$746,B23,'Base bordo'!F$2:F$746,"PÁTIO EXTERNO"),0)+IFERROR(SUMIFS('Base bordo'!G$2:G$746,'Base bordo'!C$2:C$746,A23,'Base bordo'!B$2:B$746,B23,'Base bordo'!F$2:F$746,"PATIO - RESERVA"),0)+IFERROR(SUMIFS('Base bordo'!G$2:G$746,'Base bordo'!C$2:C$746,A23,'Base bordo'!B$2:B$746,B23,'Base bordo'!F$2:F$746,"MANOBRA CARRETAS-PATIO"),0)</f>
        <v>8.8005555555555546</v>
      </c>
      <c r="J23" s="10">
        <f>IFERROR(SUMIFS('Base bordo'!G$2:G$746,'Base bordo'!C$2:C$746,A23,'Base bordo'!B$2:B$746,B23,'Base bordo'!F$2:F$746,"BALANÇA - ENTRADA"),0)+IFERROR(SUMIFS('Base bordo'!G$2:G$746,'Base bordo'!C$2:C$746,A23,'Base bordo'!B$2:B$746,B23,'Base bordo'!F$2:F$746,"BALANÇA - SAÍDA"),0)</f>
        <v>0.12222222222222223</v>
      </c>
      <c r="K23" s="10">
        <f>IFERROR(SUMIFS('Base bordo'!G$2:G$746,'Base bordo'!C$2:C$746,A23,'Base bordo'!B$2:B$746,B23,'Base bordo'!F$2:F$746,"MAN PREVENTIVA - MECANICA"),0)+IFERROR(SUMIFS('Base bordo'!G$2:G$746,'Base bordo'!C$2:C$746,A23,'Base bordo'!B$2:B$746,B23,'Base bordo'!F$2:F$746,"MAN CORRETIVA - MECANICA"),0)</f>
        <v>0</v>
      </c>
      <c r="L23" s="10">
        <f>IFERROR(SUMIFS('Base bordo'!G$2:G$746,'Base bordo'!C$2:C$746,A23,'Base bordo'!B$2:B$746,B23,'Base bordo'!F$2:F$746,"MANUTENCAO - T O"),0)+IFERROR(SUMIFS('Base bordo'!G$2:G$746,'Base bordo'!C$2:C$746,A23,'Base bordo'!B$2:B$746,B23,'Base bordo'!F$2:F$746,"MANUTENCAO BORRACHARIA"),0)+IFERROR(SUMIFS('Base bordo'!G$2:G$746,'Base bordo'!C$2:C$746,A23,'Base bordo'!B$2:B$746,B23,'Base bordo'!F$2:F$746,"MANUTENCAO EXTERNA  CONCESSIONARIA"),0)+IFERROR(SUMIFS('Base bordo'!G$2:G$746,'Base bordo'!C$2:C$746,A23,'Base bordo'!B$2:B$746,B23,'Base bordo'!F$2:F$746,"MANUTENCAO TELEMETRIA"),0)</f>
        <v>0</v>
      </c>
      <c r="M23" s="10">
        <f>IFERROR(SUMIFS('Base bordo'!G$2:G$746,'Base bordo'!C$2:C$746,A23,'Base bordo'!B$2:B$746,B23,'Base bordo'!F$2:F$746,"AGUARDANDO MANUTENCAO"),0)</f>
        <v>0</v>
      </c>
      <c r="N23" s="10">
        <f>IFERROR(SUMIFS('Base bordo'!G$2:G$746,'Base bordo'!C$2:C$746,A23,'Base bordo'!B$2:B$746,B23,'Base bordo'!F$2:F$746,"SEM APONTAMENTO"),0)</f>
        <v>0</v>
      </c>
      <c r="O23" s="10">
        <f t="shared" si="0"/>
        <v>0</v>
      </c>
      <c r="P23" s="10">
        <f>IFERROR(SUMIFS('Base bordo'!G$2:G$746,'Base bordo'!C$2:C$746,A23,'Base bordo'!B$2:B$746,B23),0)</f>
        <v>16.925277777777776</v>
      </c>
      <c r="Q23" s="10">
        <f>IFERROR(SUMIFS('Base bordo'!H$2:H$746,'Base bordo'!C$2:C$746,A23,'Base bordo'!B$2:B$746,B23,'Base bordo'!F$2:F$746,"DESLOCAMENTO VAZIO"),0)</f>
        <v>360275.76</v>
      </c>
      <c r="R23" s="10">
        <f>IFERROR(SUMIFS('Base bordo'!I$2:I$746,'Base bordo'!C$2:C$746,A23,'Base bordo'!B$2:B$746,B23,'Base bordo'!F$2:F$746,"DESLOCAMENTO VAZIO"),0)</f>
        <v>11617</v>
      </c>
      <c r="S23" s="30">
        <f t="shared" si="1"/>
        <v>31.012805371438411</v>
      </c>
      <c r="T23" s="10">
        <f>IFERROR(SUMIFS('Base bordo'!H$2:H$746,'Base bordo'!C$2:C$746,A23,'Base bordo'!B$2:B$746,B23,'Base bordo'!F$2:F$746,"DESLOCAMENTO CARREGADO"),0)</f>
        <v>354323.07999999996</v>
      </c>
      <c r="U23" s="10">
        <f>IFERROR(SUMIFS('Base bordo'!I$2:I$746,'Base bordo'!C$2:C$746,A23,'Base bordo'!B$2:B$746,B23,'Base bordo'!F$2:F$746,"DESLOCAMENTO CARREGADO"),0)</f>
        <v>16557</v>
      </c>
      <c r="V23" s="30">
        <f t="shared" si="2"/>
        <v>21.400198103521166</v>
      </c>
      <c r="W23" s="9">
        <f t="shared" si="3"/>
        <v>0.19065828560174625</v>
      </c>
      <c r="X23" s="9">
        <f t="shared" si="4"/>
        <v>0.27173360030198096</v>
      </c>
      <c r="Y23" s="9">
        <f t="shared" si="5"/>
        <v>0.53760811409627274</v>
      </c>
    </row>
    <row r="24" spans="1:25" ht="15" customHeight="1" x14ac:dyDescent="0.35">
      <c r="A24" s="52">
        <v>8013483</v>
      </c>
      <c r="B24" s="51">
        <v>46124</v>
      </c>
      <c r="C24" s="7" t="s">
        <v>124</v>
      </c>
      <c r="D24" s="10">
        <f>IFERROR(SUMIFS('Base bordo'!G$2:G$746,'Base bordo'!C$2:C$746,A24,'Base bordo'!B$2:B$746,B24,'Base bordo'!F$2:F$746,"DESLOCAMENTO VAZIO"),0)</f>
        <v>3.0661111111111112</v>
      </c>
      <c r="E24" s="10">
        <f>IFERROR(SUMIFS('Base bordo'!G$2:G$746,'Base bordo'!C$2:C$746,A24,'Base bordo'!B$2:B$746,B24,'Base bordo'!F$2:F$746,"DESLOCAMENTO CARREGADO"),0)</f>
        <v>5.7730555555555556</v>
      </c>
      <c r="F24" s="10">
        <f>IFERROR(SUMIFS('Base bordo'!G$2:G$746,'Base bordo'!C$2:C$746,A24,'Base bordo'!B$2:B$746,B24,'Base bordo'!F$2:F$746,"DESLOCAMENTO"),0)</f>
        <v>0</v>
      </c>
      <c r="G24" s="10">
        <f>IFERROR(SUMIFS('Base bordo'!G$2:G$746,'Base bordo'!C$2:C$746,A24,'Base bordo'!B$2:B$746,B24,'Base bordo'!F$2:F$746,"CARREGAMENTO"),0)</f>
        <v>0</v>
      </c>
      <c r="H24" s="10">
        <f>IFERROR(SUMIFS('Base bordo'!G$2:G$746,'Base bordo'!C$2:C$746,A24,'Base bordo'!B$2:B$746,B24,'Base bordo'!F$2:F$746,"AGUARDANDO TRANSBORDO"),0)</f>
        <v>0.55083333333333329</v>
      </c>
      <c r="I24" s="10">
        <f>IFERROR(SUMIFS('Base bordo'!G$2:G$746,'Base bordo'!C$2:C$746,A24,'Base bordo'!B$2:B$746,B24,'Base bordo'!F$2:F$746,"PÁTIO INTERNO"),0)+IFERROR(SUMIFS('Base bordo'!G$2:G$746,'Base bordo'!C$2:C$746,A24,'Base bordo'!B$2:B$746,B24,'Base bordo'!F$2:F$746,"PÁTIO EXTERNO"),0)+IFERROR(SUMIFS('Base bordo'!G$2:G$746,'Base bordo'!C$2:C$746,A24,'Base bordo'!B$2:B$746,B24,'Base bordo'!F$2:F$746,"PATIO - RESERVA"),0)+IFERROR(SUMIFS('Base bordo'!G$2:G$746,'Base bordo'!C$2:C$746,A24,'Base bordo'!B$2:B$746,B24,'Base bordo'!F$2:F$746,"MANOBRA CARRETAS-PATIO"),0)</f>
        <v>6.1611111111111114</v>
      </c>
      <c r="J24" s="10">
        <f>IFERROR(SUMIFS('Base bordo'!G$2:G$746,'Base bordo'!C$2:C$746,A24,'Base bordo'!B$2:B$746,B24,'Base bordo'!F$2:F$746,"BALANÇA - ENTRADA"),0)+IFERROR(SUMIFS('Base bordo'!G$2:G$746,'Base bordo'!C$2:C$746,A24,'Base bordo'!B$2:B$746,B24,'Base bordo'!F$2:F$746,"BALANÇA - SAÍDA"),0)</f>
        <v>0.17694444444444446</v>
      </c>
      <c r="K24" s="10">
        <f>IFERROR(SUMIFS('Base bordo'!G$2:G$746,'Base bordo'!C$2:C$746,A24,'Base bordo'!B$2:B$746,B24,'Base bordo'!F$2:F$746,"MAN PREVENTIVA - MECANICA"),0)+IFERROR(SUMIFS('Base bordo'!G$2:G$746,'Base bordo'!C$2:C$746,A24,'Base bordo'!B$2:B$746,B24,'Base bordo'!F$2:F$746,"MAN CORRETIVA - MECANICA"),0)</f>
        <v>0</v>
      </c>
      <c r="L24" s="10">
        <f>IFERROR(SUMIFS('Base bordo'!G$2:G$746,'Base bordo'!C$2:C$746,A24,'Base bordo'!B$2:B$746,B24,'Base bordo'!F$2:F$746,"MANUTENCAO - T O"),0)+IFERROR(SUMIFS('Base bordo'!G$2:G$746,'Base bordo'!C$2:C$746,A24,'Base bordo'!B$2:B$746,B24,'Base bordo'!F$2:F$746,"MANUTENCAO BORRACHARIA"),0)+IFERROR(SUMIFS('Base bordo'!G$2:G$746,'Base bordo'!C$2:C$746,A24,'Base bordo'!B$2:B$746,B24,'Base bordo'!F$2:F$746,"MANUTENCAO EXTERNA  CONCESSIONARIA"),0)+IFERROR(SUMIFS('Base bordo'!G$2:G$746,'Base bordo'!C$2:C$746,A24,'Base bordo'!B$2:B$746,B24,'Base bordo'!F$2:F$746,"MANUTENCAO TELEMETRIA"),0)</f>
        <v>0</v>
      </c>
      <c r="M24" s="10">
        <f>IFERROR(SUMIFS('Base bordo'!G$2:G$746,'Base bordo'!C$2:C$746,A24,'Base bordo'!B$2:B$746,B24,'Base bordo'!F$2:F$746,"AGUARDANDO MANUTENCAO"),0)</f>
        <v>0</v>
      </c>
      <c r="N24" s="10">
        <f>IFERROR(SUMIFS('Base bordo'!G$2:G$746,'Base bordo'!C$2:C$746,A24,'Base bordo'!B$2:B$746,B24,'Base bordo'!F$2:F$746,"SEM APONTAMENTO"),0)</f>
        <v>0</v>
      </c>
      <c r="O24" s="10">
        <f t="shared" si="0"/>
        <v>-1.7763568394002505E-15</v>
      </c>
      <c r="P24" s="10">
        <f>IFERROR(SUMIFS('Base bordo'!G$2:G$746,'Base bordo'!C$2:C$746,A24,'Base bordo'!B$2:B$746,B24),0)</f>
        <v>15.728055555555555</v>
      </c>
      <c r="Q24" s="10">
        <f>IFERROR(SUMIFS('Base bordo'!H$2:H$746,'Base bordo'!C$2:C$746,A24,'Base bordo'!B$2:B$746,B24,'Base bordo'!F$2:F$746,"DESLOCAMENTO VAZIO"),0)</f>
        <v>357738.43000000005</v>
      </c>
      <c r="R24" s="10">
        <f>IFERROR(SUMIFS('Base bordo'!I$2:I$746,'Base bordo'!C$2:C$746,A24,'Base bordo'!B$2:B$746,B24,'Base bordo'!F$2:F$746,"DESLOCAMENTO VAZIO"),0)</f>
        <v>11038</v>
      </c>
      <c r="S24" s="30">
        <f t="shared" si="1"/>
        <v>32.409714622214175</v>
      </c>
      <c r="T24" s="10">
        <f>IFERROR(SUMIFS('Base bordo'!H$2:H$746,'Base bordo'!C$2:C$746,A24,'Base bordo'!B$2:B$746,B24,'Base bordo'!F$2:F$746,"DESLOCAMENTO CARREGADO"),0)</f>
        <v>519150.98000000004</v>
      </c>
      <c r="U24" s="10">
        <f>IFERROR(SUMIFS('Base bordo'!I$2:I$746,'Base bordo'!C$2:C$746,A24,'Base bordo'!B$2:B$746,B24,'Base bordo'!F$2:F$746,"DESLOCAMENTO CARREGADO"),0)</f>
        <v>20783</v>
      </c>
      <c r="V24" s="30">
        <f t="shared" si="2"/>
        <v>24.979597748159556</v>
      </c>
      <c r="W24" s="9">
        <f t="shared" si="3"/>
        <v>0.19494533830204344</v>
      </c>
      <c r="X24" s="9">
        <f t="shared" si="4"/>
        <v>0.36705462637537312</v>
      </c>
      <c r="Y24" s="9">
        <f t="shared" si="5"/>
        <v>0.43800003532258347</v>
      </c>
    </row>
    <row r="25" spans="1:25" ht="15" customHeight="1" x14ac:dyDescent="0.35">
      <c r="A25" s="52">
        <v>8013460</v>
      </c>
      <c r="B25" s="51">
        <v>46124</v>
      </c>
      <c r="C25" s="7" t="s">
        <v>124</v>
      </c>
      <c r="D25" s="10">
        <f>IFERROR(SUMIFS('Base bordo'!G$2:G$746,'Base bordo'!C$2:C$746,A25,'Base bordo'!B$2:B$746,B25,'Base bordo'!F$2:F$746,"DESLOCAMENTO VAZIO"),0)</f>
        <v>3.2269444444444444</v>
      </c>
      <c r="E25" s="10">
        <f>IFERROR(SUMIFS('Base bordo'!G$2:G$746,'Base bordo'!C$2:C$746,A25,'Base bordo'!B$2:B$746,B25,'Base bordo'!F$2:F$746,"DESLOCAMENTO CARREGADO"),0)</f>
        <v>4.5991666666666671</v>
      </c>
      <c r="F25" s="10">
        <f>IFERROR(SUMIFS('Base bordo'!G$2:G$746,'Base bordo'!C$2:C$746,A25,'Base bordo'!B$2:B$746,B25,'Base bordo'!F$2:F$746,"DESLOCAMENTO"),0)</f>
        <v>0</v>
      </c>
      <c r="G25" s="10">
        <f>IFERROR(SUMIFS('Base bordo'!G$2:G$746,'Base bordo'!C$2:C$746,A25,'Base bordo'!B$2:B$746,B25,'Base bordo'!F$2:F$746,"CARREGAMENTO"),0)</f>
        <v>0</v>
      </c>
      <c r="H25" s="10">
        <f>IFERROR(SUMIFS('Base bordo'!G$2:G$746,'Base bordo'!C$2:C$746,A25,'Base bordo'!B$2:B$746,B25,'Base bordo'!F$2:F$746,"AGUARDANDO TRANSBORDO"),0)</f>
        <v>0.1763888888888889</v>
      </c>
      <c r="I25" s="10">
        <f>IFERROR(SUMIFS('Base bordo'!G$2:G$746,'Base bordo'!C$2:C$746,A25,'Base bordo'!B$2:B$746,B25,'Base bordo'!F$2:F$746,"PÁTIO INTERNO"),0)+IFERROR(SUMIFS('Base bordo'!G$2:G$746,'Base bordo'!C$2:C$746,A25,'Base bordo'!B$2:B$746,B25,'Base bordo'!F$2:F$746,"PÁTIO EXTERNO"),0)+IFERROR(SUMIFS('Base bordo'!G$2:G$746,'Base bordo'!C$2:C$746,A25,'Base bordo'!B$2:B$746,B25,'Base bordo'!F$2:F$746,"PATIO - RESERVA"),0)+IFERROR(SUMIFS('Base bordo'!G$2:G$746,'Base bordo'!C$2:C$746,A25,'Base bordo'!B$2:B$746,B25,'Base bordo'!F$2:F$746,"MANOBRA CARRETAS-PATIO"),0)</f>
        <v>8.8005555555555546</v>
      </c>
      <c r="J25" s="10">
        <f>IFERROR(SUMIFS('Base bordo'!G$2:G$746,'Base bordo'!C$2:C$746,A25,'Base bordo'!B$2:B$746,B25,'Base bordo'!F$2:F$746,"BALANÇA - ENTRADA"),0)+IFERROR(SUMIFS('Base bordo'!G$2:G$746,'Base bordo'!C$2:C$746,A25,'Base bordo'!B$2:B$746,B25,'Base bordo'!F$2:F$746,"BALANÇA - SAÍDA"),0)</f>
        <v>0.12222222222222223</v>
      </c>
      <c r="K25" s="10">
        <f>IFERROR(SUMIFS('Base bordo'!G$2:G$746,'Base bordo'!C$2:C$746,A25,'Base bordo'!B$2:B$746,B25,'Base bordo'!F$2:F$746,"MAN PREVENTIVA - MECANICA"),0)+IFERROR(SUMIFS('Base bordo'!G$2:G$746,'Base bordo'!C$2:C$746,A25,'Base bordo'!B$2:B$746,B25,'Base bordo'!F$2:F$746,"MAN CORRETIVA - MECANICA"),0)</f>
        <v>0</v>
      </c>
      <c r="L25" s="10">
        <f>IFERROR(SUMIFS('Base bordo'!G$2:G$746,'Base bordo'!C$2:C$746,A25,'Base bordo'!B$2:B$746,B25,'Base bordo'!F$2:F$746,"MANUTENCAO - T O"),0)+IFERROR(SUMIFS('Base bordo'!G$2:G$746,'Base bordo'!C$2:C$746,A25,'Base bordo'!B$2:B$746,B25,'Base bordo'!F$2:F$746,"MANUTENCAO BORRACHARIA"),0)+IFERROR(SUMIFS('Base bordo'!G$2:G$746,'Base bordo'!C$2:C$746,A25,'Base bordo'!B$2:B$746,B25,'Base bordo'!F$2:F$746,"MANUTENCAO EXTERNA  CONCESSIONARIA"),0)+IFERROR(SUMIFS('Base bordo'!G$2:G$746,'Base bordo'!C$2:C$746,A25,'Base bordo'!B$2:B$746,B25,'Base bordo'!F$2:F$746,"MANUTENCAO TELEMETRIA"),0)</f>
        <v>0</v>
      </c>
      <c r="M25" s="10">
        <f>IFERROR(SUMIFS('Base bordo'!G$2:G$746,'Base bordo'!C$2:C$746,A25,'Base bordo'!B$2:B$746,B25,'Base bordo'!F$2:F$746,"AGUARDANDO MANUTENCAO"),0)</f>
        <v>0</v>
      </c>
      <c r="N25" s="10">
        <f>IFERROR(SUMIFS('Base bordo'!G$2:G$746,'Base bordo'!C$2:C$746,A25,'Base bordo'!B$2:B$746,B25,'Base bordo'!F$2:F$746,"SEM APONTAMENTO"),0)</f>
        <v>0</v>
      </c>
      <c r="O25" s="10">
        <f t="shared" si="0"/>
        <v>0</v>
      </c>
      <c r="P25" s="10">
        <f>IFERROR(SUMIFS('Base bordo'!G$2:G$746,'Base bordo'!C$2:C$746,A25,'Base bordo'!B$2:B$746,B25),0)</f>
        <v>16.925277777777776</v>
      </c>
      <c r="Q25" s="10">
        <f>IFERROR(SUMIFS('Base bordo'!H$2:H$746,'Base bordo'!C$2:C$746,A25,'Base bordo'!B$2:B$746,B25,'Base bordo'!F$2:F$746,"DESLOCAMENTO VAZIO"),0)</f>
        <v>360275.76</v>
      </c>
      <c r="R25" s="10">
        <f>IFERROR(SUMIFS('Base bordo'!I$2:I$746,'Base bordo'!C$2:C$746,A25,'Base bordo'!B$2:B$746,B25,'Base bordo'!F$2:F$746,"DESLOCAMENTO VAZIO"),0)</f>
        <v>11617</v>
      </c>
      <c r="S25" s="30">
        <f t="shared" si="1"/>
        <v>31.012805371438411</v>
      </c>
      <c r="T25" s="10">
        <f>IFERROR(SUMIFS('Base bordo'!H$2:H$746,'Base bordo'!C$2:C$746,A25,'Base bordo'!B$2:B$746,B25,'Base bordo'!F$2:F$746,"DESLOCAMENTO CARREGADO"),0)</f>
        <v>354323.07999999996</v>
      </c>
      <c r="U25" s="10">
        <f>IFERROR(SUMIFS('Base bordo'!I$2:I$746,'Base bordo'!C$2:C$746,A25,'Base bordo'!B$2:B$746,B25,'Base bordo'!F$2:F$746,"DESLOCAMENTO CARREGADO"),0)</f>
        <v>16557</v>
      </c>
      <c r="V25" s="30">
        <f t="shared" si="2"/>
        <v>21.400198103521166</v>
      </c>
      <c r="W25" s="9">
        <f t="shared" si="3"/>
        <v>0.19065828560174625</v>
      </c>
      <c r="X25" s="9">
        <f t="shared" si="4"/>
        <v>0.27173360030198096</v>
      </c>
      <c r="Y25" s="9">
        <f t="shared" si="5"/>
        <v>0.53760811409627274</v>
      </c>
    </row>
    <row r="26" spans="1:25" ht="15" customHeight="1" x14ac:dyDescent="0.35">
      <c r="A26" s="52">
        <v>8013483</v>
      </c>
      <c r="B26" s="51">
        <v>46123</v>
      </c>
      <c r="C26" s="7" t="s">
        <v>124</v>
      </c>
      <c r="D26" s="10">
        <f>IFERROR(SUMIFS('Base bordo'!G$2:G$746,'Base bordo'!C$2:C$746,A26,'Base bordo'!B$2:B$746,B26,'Base bordo'!F$2:F$746,"DESLOCAMENTO VAZIO"),0)</f>
        <v>2.875</v>
      </c>
      <c r="E26" s="10">
        <f>IFERROR(SUMIFS('Base bordo'!G$2:G$746,'Base bordo'!C$2:C$746,A26,'Base bordo'!B$2:B$746,B26,'Base bordo'!F$2:F$746,"DESLOCAMENTO CARREGADO"),0)</f>
        <v>1.3638888888888889</v>
      </c>
      <c r="F26" s="10">
        <f>IFERROR(SUMIFS('Base bordo'!G$2:G$746,'Base bordo'!C$2:C$746,A26,'Base bordo'!B$2:B$746,B26,'Base bordo'!F$2:F$746,"DESLOCAMENTO"),0)</f>
        <v>0.20861111111111111</v>
      </c>
      <c r="G26" s="10">
        <f>IFERROR(SUMIFS('Base bordo'!G$2:G$746,'Base bordo'!C$2:C$746,A26,'Base bordo'!B$2:B$746,B26,'Base bordo'!F$2:F$746,"CARREGAMENTO"),0)</f>
        <v>0</v>
      </c>
      <c r="H26" s="10">
        <f>IFERROR(SUMIFS('Base bordo'!G$2:G$746,'Base bordo'!C$2:C$746,A26,'Base bordo'!B$2:B$746,B26,'Base bordo'!F$2:F$746,"AGUARDANDO TRANSBORDO"),0)</f>
        <v>0.54722222222222228</v>
      </c>
      <c r="I26" s="10">
        <f>IFERROR(SUMIFS('Base bordo'!G$2:G$746,'Base bordo'!C$2:C$746,A26,'Base bordo'!B$2:B$746,B26,'Base bordo'!F$2:F$746,"PÁTIO INTERNO"),0)+IFERROR(SUMIFS('Base bordo'!G$2:G$746,'Base bordo'!C$2:C$746,A26,'Base bordo'!B$2:B$746,B26,'Base bordo'!F$2:F$746,"PÁTIO EXTERNO"),0)+IFERROR(SUMIFS('Base bordo'!G$2:G$746,'Base bordo'!C$2:C$746,A26,'Base bordo'!B$2:B$746,B26,'Base bordo'!F$2:F$746,"PATIO - RESERVA"),0)+IFERROR(SUMIFS('Base bordo'!G$2:G$746,'Base bordo'!C$2:C$746,A26,'Base bordo'!B$2:B$746,B26,'Base bordo'!F$2:F$746,"MANOBRA CARRETAS-PATIO"),0)</f>
        <v>0.5708333333333333</v>
      </c>
      <c r="J26" s="10">
        <f>IFERROR(SUMIFS('Base bordo'!G$2:G$746,'Base bordo'!C$2:C$746,A26,'Base bordo'!B$2:B$746,B26,'Base bordo'!F$2:F$746,"BALANÇA - ENTRADA"),0)+IFERROR(SUMIFS('Base bordo'!G$2:G$746,'Base bordo'!C$2:C$746,A26,'Base bordo'!B$2:B$746,B26,'Base bordo'!F$2:F$746,"BALANÇA - SAÍDA"),0)</f>
        <v>0</v>
      </c>
      <c r="K26" s="10">
        <f>IFERROR(SUMIFS('Base bordo'!G$2:G$746,'Base bordo'!C$2:C$746,A26,'Base bordo'!B$2:B$746,B26,'Base bordo'!F$2:F$746,"MAN PREVENTIVA - MECANICA"),0)+IFERROR(SUMIFS('Base bordo'!G$2:G$746,'Base bordo'!C$2:C$746,A26,'Base bordo'!B$2:B$746,B26,'Base bordo'!F$2:F$746,"MAN CORRETIVA - MECANICA"),0)</f>
        <v>0</v>
      </c>
      <c r="L26" s="10">
        <f>IFERROR(SUMIFS('Base bordo'!G$2:G$746,'Base bordo'!C$2:C$746,A26,'Base bordo'!B$2:B$746,B26,'Base bordo'!F$2:F$746,"MANUTENCAO - T O"),0)+IFERROR(SUMIFS('Base bordo'!G$2:G$746,'Base bordo'!C$2:C$746,A26,'Base bordo'!B$2:B$746,B26,'Base bordo'!F$2:F$746,"MANUTENCAO BORRACHARIA"),0)+IFERROR(SUMIFS('Base bordo'!G$2:G$746,'Base bordo'!C$2:C$746,A26,'Base bordo'!B$2:B$746,B26,'Base bordo'!F$2:F$746,"MANUTENCAO EXTERNA  CONCESSIONARIA"),0)+IFERROR(SUMIFS('Base bordo'!G$2:G$746,'Base bordo'!C$2:C$746,A26,'Base bordo'!B$2:B$746,B26,'Base bordo'!F$2:F$746,"MANUTENCAO TELEMETRIA"),0)</f>
        <v>0</v>
      </c>
      <c r="M26" s="10">
        <f>IFERROR(SUMIFS('Base bordo'!G$2:G$746,'Base bordo'!C$2:C$746,A26,'Base bordo'!B$2:B$746,B26,'Base bordo'!F$2:F$746,"AGUARDANDO MANUTENCAO"),0)</f>
        <v>0</v>
      </c>
      <c r="N26" s="10">
        <f>IFERROR(SUMIFS('Base bordo'!G$2:G$746,'Base bordo'!C$2:C$746,A26,'Base bordo'!B$2:B$746,B26,'Base bordo'!F$2:F$746,"SEM APONTAMENTO"),0)</f>
        <v>0</v>
      </c>
      <c r="O26" s="10">
        <f t="shared" si="0"/>
        <v>0.27361111111111125</v>
      </c>
      <c r="P26" s="10">
        <f>IFERROR(SUMIFS('Base bordo'!G$2:G$746,'Base bordo'!C$2:C$746,A26,'Base bordo'!B$2:B$746,B26),0)</f>
        <v>5.8391666666666664</v>
      </c>
      <c r="Q26" s="10">
        <f>IFERROR(SUMIFS('Base bordo'!H$2:H$746,'Base bordo'!C$2:C$746,A26,'Base bordo'!B$2:B$746,B26,'Base bordo'!F$2:F$746,"DESLOCAMENTO VAZIO"),0)</f>
        <v>352932.77</v>
      </c>
      <c r="R26" s="10">
        <f>IFERROR(SUMIFS('Base bordo'!I$2:I$746,'Base bordo'!C$2:C$746,A26,'Base bordo'!B$2:B$746,B26,'Base bordo'!F$2:F$746,"DESLOCAMENTO VAZIO"),0)</f>
        <v>10350</v>
      </c>
      <c r="S26" s="30">
        <f t="shared" si="1"/>
        <v>34.099784541062803</v>
      </c>
      <c r="T26" s="10">
        <f>IFERROR(SUMIFS('Base bordo'!H$2:H$746,'Base bordo'!C$2:C$746,A26,'Base bordo'!B$2:B$746,B26,'Base bordo'!F$2:F$746,"DESLOCAMENTO CARREGADO"),0)</f>
        <v>73870.23000000001</v>
      </c>
      <c r="U26" s="10">
        <f>IFERROR(SUMIFS('Base bordo'!I$2:I$746,'Base bordo'!C$2:C$746,A26,'Base bordo'!B$2:B$746,B26,'Base bordo'!F$2:F$746,"DESLOCAMENTO CARREGADO"),0)</f>
        <v>4910</v>
      </c>
      <c r="V26" s="30">
        <f t="shared" si="2"/>
        <v>15.044853360488801</v>
      </c>
      <c r="W26" s="9">
        <f t="shared" si="3"/>
        <v>0.49236477807906381</v>
      </c>
      <c r="X26" s="9">
        <f t="shared" si="4"/>
        <v>0.23357594786166216</v>
      </c>
      <c r="Y26" s="9">
        <f t="shared" si="5"/>
        <v>0.27405927405927399</v>
      </c>
    </row>
    <row r="27" spans="1:25" ht="15" customHeight="1" x14ac:dyDescent="0.35">
      <c r="A27" s="52">
        <v>8013472</v>
      </c>
      <c r="B27" s="51">
        <v>46123</v>
      </c>
      <c r="C27" s="7" t="s">
        <v>124</v>
      </c>
      <c r="D27" s="10">
        <f>IFERROR(SUMIFS('Base bordo'!G$2:G$746,'Base bordo'!C$2:C$746,A27,'Base bordo'!B$2:B$746,B27,'Base bordo'!F$2:F$746,"DESLOCAMENTO VAZIO"),0)</f>
        <v>2.9125000000000001</v>
      </c>
      <c r="E27" s="10">
        <f>IFERROR(SUMIFS('Base bordo'!G$2:G$746,'Base bordo'!C$2:C$746,A27,'Base bordo'!B$2:B$746,B27,'Base bordo'!F$2:F$746,"DESLOCAMENTO CARREGADO"),0)</f>
        <v>4.025555555555556</v>
      </c>
      <c r="F27" s="10">
        <f>IFERROR(SUMIFS('Base bordo'!G$2:G$746,'Base bordo'!C$2:C$746,A27,'Base bordo'!B$2:B$746,B27,'Base bordo'!F$2:F$746,"DESLOCAMENTO"),0)</f>
        <v>0</v>
      </c>
      <c r="G27" s="10">
        <f>IFERROR(SUMIFS('Base bordo'!G$2:G$746,'Base bordo'!C$2:C$746,A27,'Base bordo'!B$2:B$746,B27,'Base bordo'!F$2:F$746,"CARREGAMENTO"),0)</f>
        <v>0</v>
      </c>
      <c r="H27" s="10">
        <f>IFERROR(SUMIFS('Base bordo'!G$2:G$746,'Base bordo'!C$2:C$746,A27,'Base bordo'!B$2:B$746,B27,'Base bordo'!F$2:F$746,"AGUARDANDO TRANSBORDO"),0)</f>
        <v>0</v>
      </c>
      <c r="I27" s="10">
        <f>IFERROR(SUMIFS('Base bordo'!G$2:G$746,'Base bordo'!C$2:C$746,A27,'Base bordo'!B$2:B$746,B27,'Base bordo'!F$2:F$746,"PÁTIO INTERNO"),0)+IFERROR(SUMIFS('Base bordo'!G$2:G$746,'Base bordo'!C$2:C$746,A27,'Base bordo'!B$2:B$746,B27,'Base bordo'!F$2:F$746,"PÁTIO EXTERNO"),0)+IFERROR(SUMIFS('Base bordo'!G$2:G$746,'Base bordo'!C$2:C$746,A27,'Base bordo'!B$2:B$746,B27,'Base bordo'!F$2:F$746,"PATIO - RESERVA"),0)+IFERROR(SUMIFS('Base bordo'!G$2:G$746,'Base bordo'!C$2:C$746,A27,'Base bordo'!B$2:B$746,B27,'Base bordo'!F$2:F$746,"MANOBRA CARRETAS-PATIO"),0)</f>
        <v>1.0555555555555556</v>
      </c>
      <c r="J27" s="10">
        <f>IFERROR(SUMIFS('Base bordo'!G$2:G$746,'Base bordo'!C$2:C$746,A27,'Base bordo'!B$2:B$746,B27,'Base bordo'!F$2:F$746,"BALANÇA - ENTRADA"),0)+IFERROR(SUMIFS('Base bordo'!G$2:G$746,'Base bordo'!C$2:C$746,A27,'Base bordo'!B$2:B$746,B27,'Base bordo'!F$2:F$746,"BALANÇA - SAÍDA"),0)</f>
        <v>0</v>
      </c>
      <c r="K27" s="10">
        <f>IFERROR(SUMIFS('Base bordo'!G$2:G$746,'Base bordo'!C$2:C$746,A27,'Base bordo'!B$2:B$746,B27,'Base bordo'!F$2:F$746,"MAN PREVENTIVA - MECANICA"),0)+IFERROR(SUMIFS('Base bordo'!G$2:G$746,'Base bordo'!C$2:C$746,A27,'Base bordo'!B$2:B$746,B27,'Base bordo'!F$2:F$746,"MAN CORRETIVA - MECANICA"),0)</f>
        <v>0</v>
      </c>
      <c r="L27" s="10">
        <f>IFERROR(SUMIFS('Base bordo'!G$2:G$746,'Base bordo'!C$2:C$746,A27,'Base bordo'!B$2:B$746,B27,'Base bordo'!F$2:F$746,"MANUTENCAO - T O"),0)+IFERROR(SUMIFS('Base bordo'!G$2:G$746,'Base bordo'!C$2:C$746,A27,'Base bordo'!B$2:B$746,B27,'Base bordo'!F$2:F$746,"MANUTENCAO BORRACHARIA"),0)+IFERROR(SUMIFS('Base bordo'!G$2:G$746,'Base bordo'!C$2:C$746,A27,'Base bordo'!B$2:B$746,B27,'Base bordo'!F$2:F$746,"MANUTENCAO EXTERNA  CONCESSIONARIA"),0)+IFERROR(SUMIFS('Base bordo'!G$2:G$746,'Base bordo'!C$2:C$746,A27,'Base bordo'!B$2:B$746,B27,'Base bordo'!F$2:F$746,"MANUTENCAO TELEMETRIA"),0)</f>
        <v>0</v>
      </c>
      <c r="M27" s="10">
        <f>IFERROR(SUMIFS('Base bordo'!G$2:G$746,'Base bordo'!C$2:C$746,A27,'Base bordo'!B$2:B$746,B27,'Base bordo'!F$2:F$746,"AGUARDANDO MANUTENCAO"),0)</f>
        <v>0</v>
      </c>
      <c r="N27" s="10">
        <f>IFERROR(SUMIFS('Base bordo'!G$2:G$746,'Base bordo'!C$2:C$746,A27,'Base bordo'!B$2:B$746,B27,'Base bordo'!F$2:F$746,"SEM APONTAMENTO"),0)</f>
        <v>0</v>
      </c>
      <c r="O27" s="10">
        <f t="shared" si="0"/>
        <v>5.4444444444444073E-2</v>
      </c>
      <c r="P27" s="10">
        <f>IFERROR(SUMIFS('Base bordo'!G$2:G$746,'Base bordo'!C$2:C$746,A27,'Base bordo'!B$2:B$746,B27),0)</f>
        <v>8.0480555555555551</v>
      </c>
      <c r="Q27" s="10">
        <f>IFERROR(SUMIFS('Base bordo'!H$2:H$746,'Base bordo'!C$2:C$746,A27,'Base bordo'!B$2:B$746,B27,'Base bordo'!F$2:F$746,"DESLOCAMENTO VAZIO"),0)</f>
        <v>341096.53</v>
      </c>
      <c r="R27" s="10">
        <f>IFERROR(SUMIFS('Base bordo'!I$2:I$746,'Base bordo'!C$2:C$746,A27,'Base bordo'!B$2:B$746,B27,'Base bordo'!F$2:F$746,"DESLOCAMENTO VAZIO"),0)</f>
        <v>10485</v>
      </c>
      <c r="S27" s="30">
        <f t="shared" si="1"/>
        <v>32.531857892226995</v>
      </c>
      <c r="T27" s="10">
        <f>IFERROR(SUMIFS('Base bordo'!H$2:H$746,'Base bordo'!C$2:C$746,A27,'Base bordo'!B$2:B$746,B27,'Base bordo'!F$2:F$746,"DESLOCAMENTO CARREGADO"),0)</f>
        <v>344294.46</v>
      </c>
      <c r="U27" s="10">
        <f>IFERROR(SUMIFS('Base bordo'!I$2:I$746,'Base bordo'!C$2:C$746,A27,'Base bordo'!B$2:B$746,B27,'Base bordo'!F$2:F$746,"DESLOCAMENTO CARREGADO"),0)</f>
        <v>14479</v>
      </c>
      <c r="V27" s="30">
        <f t="shared" si="2"/>
        <v>23.778883900821882</v>
      </c>
      <c r="W27" s="9">
        <f t="shared" si="3"/>
        <v>0.36188865495461292</v>
      </c>
      <c r="X27" s="9">
        <f t="shared" si="4"/>
        <v>0.50018983191247035</v>
      </c>
      <c r="Y27" s="9">
        <f t="shared" si="5"/>
        <v>0.13792151313291678</v>
      </c>
    </row>
    <row r="28" spans="1:25" ht="15" customHeight="1" x14ac:dyDescent="0.35">
      <c r="A28" s="52">
        <v>8013462</v>
      </c>
      <c r="B28" s="51">
        <v>46118</v>
      </c>
      <c r="C28" s="7" t="s">
        <v>124</v>
      </c>
      <c r="D28" s="10">
        <f>IFERROR(SUMIFS('Base bordo'!G$2:G$746,'Base bordo'!C$2:C$746,A28,'Base bordo'!B$2:B$746,B28,'Base bordo'!F$2:F$746,"DESLOCAMENTO VAZIO"),0)</f>
        <v>2.9716666666666667</v>
      </c>
      <c r="E28" s="10">
        <f>IFERROR(SUMIFS('Base bordo'!G$2:G$746,'Base bordo'!C$2:C$746,A28,'Base bordo'!B$2:B$746,B28,'Base bordo'!F$2:F$746,"DESLOCAMENTO CARREGADO"),0)</f>
        <v>3.6794444444444445</v>
      </c>
      <c r="F28" s="10">
        <f>IFERROR(SUMIFS('Base bordo'!G$2:G$746,'Base bordo'!C$2:C$746,A28,'Base bordo'!B$2:B$746,B28,'Base bordo'!F$2:F$746,"DESLOCAMENTO"),0)</f>
        <v>0.29694444444444446</v>
      </c>
      <c r="G28" s="10">
        <f>IFERROR(SUMIFS('Base bordo'!G$2:G$746,'Base bordo'!C$2:C$746,A28,'Base bordo'!B$2:B$746,B28,'Base bordo'!F$2:F$746,"CARREGAMENTO"),0)</f>
        <v>0.64583333333333337</v>
      </c>
      <c r="H28" s="10">
        <f>IFERROR(SUMIFS('Base bordo'!G$2:G$746,'Base bordo'!C$2:C$746,A28,'Base bordo'!B$2:B$746,B28,'Base bordo'!F$2:F$746,"AGUARDANDO TRANSBORDO"),0)</f>
        <v>9.6666666666666665E-2</v>
      </c>
      <c r="I28" s="10">
        <f>IFERROR(SUMIFS('Base bordo'!G$2:G$746,'Base bordo'!C$2:C$746,A28,'Base bordo'!B$2:B$746,B28,'Base bordo'!F$2:F$746,"PÁTIO INTERNO"),0)+IFERROR(SUMIFS('Base bordo'!G$2:G$746,'Base bordo'!C$2:C$746,A28,'Base bordo'!B$2:B$746,B28,'Base bordo'!F$2:F$746,"PÁTIO EXTERNO"),0)+IFERROR(SUMIFS('Base bordo'!G$2:G$746,'Base bordo'!C$2:C$746,A28,'Base bordo'!B$2:B$746,B28,'Base bordo'!F$2:F$746,"PATIO - RESERVA"),0)+IFERROR(SUMIFS('Base bordo'!G$2:G$746,'Base bordo'!C$2:C$746,A28,'Base bordo'!B$2:B$746,B28,'Base bordo'!F$2:F$746,"MANOBRA CARRETAS-PATIO"),0)</f>
        <v>9.5841666666666665</v>
      </c>
      <c r="J28" s="10">
        <f>IFERROR(SUMIFS('Base bordo'!G$2:G$746,'Base bordo'!C$2:C$746,A28,'Base bordo'!B$2:B$746,B28,'Base bordo'!F$2:F$746,"BALANÇA - ENTRADA"),0)+IFERROR(SUMIFS('Base bordo'!G$2:G$746,'Base bordo'!C$2:C$746,A28,'Base bordo'!B$2:B$746,B28,'Base bordo'!F$2:F$746,"BALANÇA - SAÍDA"),0)</f>
        <v>4.1944444444444444E-2</v>
      </c>
      <c r="K28" s="10">
        <f>IFERROR(SUMIFS('Base bordo'!G$2:G$746,'Base bordo'!C$2:C$746,A28,'Base bordo'!B$2:B$746,B28,'Base bordo'!F$2:F$746,"MAN PREVENTIVA - MECANICA"),0)+IFERROR(SUMIFS('Base bordo'!G$2:G$746,'Base bordo'!C$2:C$746,A28,'Base bordo'!B$2:B$746,B28,'Base bordo'!F$2:F$746,"MAN CORRETIVA - MECANICA"),0)</f>
        <v>0</v>
      </c>
      <c r="L28" s="10">
        <f>IFERROR(SUMIFS('Base bordo'!G$2:G$746,'Base bordo'!C$2:C$746,A28,'Base bordo'!B$2:B$746,B28,'Base bordo'!F$2:F$746,"MANUTENCAO - T O"),0)+IFERROR(SUMIFS('Base bordo'!G$2:G$746,'Base bordo'!C$2:C$746,A28,'Base bordo'!B$2:B$746,B28,'Base bordo'!F$2:F$746,"MANUTENCAO BORRACHARIA"),0)+IFERROR(SUMIFS('Base bordo'!G$2:G$746,'Base bordo'!C$2:C$746,A28,'Base bordo'!B$2:B$746,B28,'Base bordo'!F$2:F$746,"MANUTENCAO EXTERNA  CONCESSIONARIA"),0)+IFERROR(SUMIFS('Base bordo'!G$2:G$746,'Base bordo'!C$2:C$746,A28,'Base bordo'!B$2:B$746,B28,'Base bordo'!F$2:F$746,"MANUTENCAO TELEMETRIA"),0)</f>
        <v>1.6502777777777777</v>
      </c>
      <c r="M28" s="10">
        <f>IFERROR(SUMIFS('Base bordo'!G$2:G$746,'Base bordo'!C$2:C$746,A28,'Base bordo'!B$2:B$746,B28,'Base bordo'!F$2:F$746,"AGUARDANDO MANUTENCAO"),0)</f>
        <v>3.7263888888888888</v>
      </c>
      <c r="N28" s="10">
        <f>IFERROR(SUMIFS('Base bordo'!G$2:G$746,'Base bordo'!C$2:C$746,A28,'Base bordo'!B$2:B$746,B28,'Base bordo'!F$2:F$746,"SEM APONTAMENTO"),0)</f>
        <v>0</v>
      </c>
      <c r="O28" s="10">
        <f t="shared" si="0"/>
        <v>1.3066666666666684</v>
      </c>
      <c r="P28" s="10">
        <f>IFERROR(SUMIFS('Base bordo'!G$2:G$746,'Base bordo'!C$2:C$746,A28,'Base bordo'!B$2:B$746,B28),0)</f>
        <v>24</v>
      </c>
      <c r="Q28" s="10">
        <f>IFERROR(SUMIFS('Base bordo'!H$2:H$746,'Base bordo'!C$2:C$746,A28,'Base bordo'!B$2:B$746,B28,'Base bordo'!F$2:F$746,"DESLOCAMENTO VAZIO"),0)</f>
        <v>362928.54000000004</v>
      </c>
      <c r="R28" s="10">
        <f>IFERROR(SUMIFS('Base bordo'!I$2:I$746,'Base bordo'!C$2:C$746,A28,'Base bordo'!B$2:B$746,B28,'Base bordo'!F$2:F$746,"DESLOCAMENTO VAZIO"),0)</f>
        <v>10698</v>
      </c>
      <c r="S28" s="30">
        <f t="shared" si="1"/>
        <v>33.924896242288284</v>
      </c>
      <c r="T28" s="10">
        <f>IFERROR(SUMIFS('Base bordo'!H$2:H$746,'Base bordo'!C$2:C$746,A28,'Base bordo'!B$2:B$746,B28,'Base bordo'!F$2:F$746,"DESLOCAMENTO CARREGADO"),0)</f>
        <v>342744.39</v>
      </c>
      <c r="U28" s="10">
        <f>IFERROR(SUMIFS('Base bordo'!I$2:I$746,'Base bordo'!C$2:C$746,A28,'Base bordo'!B$2:B$746,B28,'Base bordo'!F$2:F$746,"DESLOCAMENTO CARREGADO"),0)</f>
        <v>13234</v>
      </c>
      <c r="V28" s="30">
        <f t="shared" si="2"/>
        <v>25.89877512467886</v>
      </c>
      <c r="W28" s="9">
        <f t="shared" si="3"/>
        <v>0.12381944444444444</v>
      </c>
      <c r="X28" s="9">
        <f t="shared" si="4"/>
        <v>0.15331018518518519</v>
      </c>
      <c r="Y28" s="9">
        <f t="shared" si="5"/>
        <v>0.72287037037037027</v>
      </c>
    </row>
    <row r="29" spans="1:25" ht="15" customHeight="1" x14ac:dyDescent="0.35">
      <c r="A29" s="52">
        <v>8013468</v>
      </c>
      <c r="B29" s="51">
        <v>46124</v>
      </c>
      <c r="C29" s="7" t="s">
        <v>124</v>
      </c>
      <c r="D29" s="10">
        <f>IFERROR(SUMIFS('Base bordo'!G$2:G$746,'Base bordo'!C$2:C$746,A29,'Base bordo'!B$2:B$746,B29,'Base bordo'!F$2:F$746,"DESLOCAMENTO VAZIO"),0)</f>
        <v>2.4347222222222222</v>
      </c>
      <c r="E29" s="10">
        <f>IFERROR(SUMIFS('Base bordo'!G$2:G$746,'Base bordo'!C$2:C$746,A29,'Base bordo'!B$2:B$746,B29,'Base bordo'!F$2:F$746,"DESLOCAMENTO CARREGADO"),0)</f>
        <v>3.8097222222222222</v>
      </c>
      <c r="F29" s="10">
        <f>IFERROR(SUMIFS('Base bordo'!G$2:G$746,'Base bordo'!C$2:C$746,A29,'Base bordo'!B$2:B$746,B29,'Base bordo'!F$2:F$746,"DESLOCAMENTO"),0)</f>
        <v>0</v>
      </c>
      <c r="G29" s="10">
        <f>IFERROR(SUMIFS('Base bordo'!G$2:G$746,'Base bordo'!C$2:C$746,A29,'Base bordo'!B$2:B$746,B29,'Base bordo'!F$2:F$746,"CARREGAMENTO"),0)</f>
        <v>0</v>
      </c>
      <c r="H29" s="10">
        <f>IFERROR(SUMIFS('Base bordo'!G$2:G$746,'Base bordo'!C$2:C$746,A29,'Base bordo'!B$2:B$746,B29,'Base bordo'!F$2:F$746,"AGUARDANDO TRANSBORDO"),0)</f>
        <v>0.71027777777777779</v>
      </c>
      <c r="I29" s="10">
        <f>IFERROR(SUMIFS('Base bordo'!G$2:G$746,'Base bordo'!C$2:C$746,A29,'Base bordo'!B$2:B$746,B29,'Base bordo'!F$2:F$746,"PÁTIO INTERNO"),0)+IFERROR(SUMIFS('Base bordo'!G$2:G$746,'Base bordo'!C$2:C$746,A29,'Base bordo'!B$2:B$746,B29,'Base bordo'!F$2:F$746,"PÁTIO EXTERNO"),0)+IFERROR(SUMIFS('Base bordo'!G$2:G$746,'Base bordo'!C$2:C$746,A29,'Base bordo'!B$2:B$746,B29,'Base bordo'!F$2:F$746,"PATIO - RESERVA"),0)+IFERROR(SUMIFS('Base bordo'!G$2:G$746,'Base bordo'!C$2:C$746,A29,'Base bordo'!B$2:B$746,B29,'Base bordo'!F$2:F$746,"MANOBRA CARRETAS-PATIO"),0)</f>
        <v>5.4283333333333337</v>
      </c>
      <c r="J29" s="10">
        <f>IFERROR(SUMIFS('Base bordo'!G$2:G$746,'Base bordo'!C$2:C$746,A29,'Base bordo'!B$2:B$746,B29,'Base bordo'!F$2:F$746,"BALANÇA - ENTRADA"),0)+IFERROR(SUMIFS('Base bordo'!G$2:G$746,'Base bordo'!C$2:C$746,A29,'Base bordo'!B$2:B$746,B29,'Base bordo'!F$2:F$746,"BALANÇA - SAÍDA"),0)</f>
        <v>0.4177777777777778</v>
      </c>
      <c r="K29" s="10">
        <f>IFERROR(SUMIFS('Base bordo'!G$2:G$746,'Base bordo'!C$2:C$746,A29,'Base bordo'!B$2:B$746,B29,'Base bordo'!F$2:F$746,"MAN PREVENTIVA - MECANICA"),0)+IFERROR(SUMIFS('Base bordo'!G$2:G$746,'Base bordo'!C$2:C$746,A29,'Base bordo'!B$2:B$746,B29,'Base bordo'!F$2:F$746,"MAN CORRETIVA - MECANICA"),0)</f>
        <v>0</v>
      </c>
      <c r="L29" s="10">
        <f>IFERROR(SUMIFS('Base bordo'!G$2:G$746,'Base bordo'!C$2:C$746,A29,'Base bordo'!B$2:B$746,B29,'Base bordo'!F$2:F$746,"MANUTENCAO - T O"),0)+IFERROR(SUMIFS('Base bordo'!G$2:G$746,'Base bordo'!C$2:C$746,A29,'Base bordo'!B$2:B$746,B29,'Base bordo'!F$2:F$746,"MANUTENCAO BORRACHARIA"),0)+IFERROR(SUMIFS('Base bordo'!G$2:G$746,'Base bordo'!C$2:C$746,A29,'Base bordo'!B$2:B$746,B29,'Base bordo'!F$2:F$746,"MANUTENCAO EXTERNA  CONCESSIONARIA"),0)+IFERROR(SUMIFS('Base bordo'!G$2:G$746,'Base bordo'!C$2:C$746,A29,'Base bordo'!B$2:B$746,B29,'Base bordo'!F$2:F$746,"MANUTENCAO TELEMETRIA"),0)</f>
        <v>0</v>
      </c>
      <c r="M29" s="10">
        <f>IFERROR(SUMIFS('Base bordo'!G$2:G$746,'Base bordo'!C$2:C$746,A29,'Base bordo'!B$2:B$746,B29,'Base bordo'!F$2:F$746,"AGUARDANDO MANUTENCAO"),0)</f>
        <v>0</v>
      </c>
      <c r="N29" s="10">
        <f>IFERROR(SUMIFS('Base bordo'!G$2:G$746,'Base bordo'!C$2:C$746,A29,'Base bordo'!B$2:B$746,B29,'Base bordo'!F$2:F$746,"SEM APONTAMENTO"),0)</f>
        <v>0</v>
      </c>
      <c r="O29" s="10">
        <f t="shared" si="0"/>
        <v>1.7763568394002505E-15</v>
      </c>
      <c r="P29" s="10">
        <f>IFERROR(SUMIFS('Base bordo'!G$2:G$746,'Base bordo'!C$2:C$746,A29,'Base bordo'!B$2:B$746,B29),0)</f>
        <v>12.800833333333335</v>
      </c>
      <c r="Q29" s="10">
        <f>IFERROR(SUMIFS('Base bordo'!H$2:H$746,'Base bordo'!C$2:C$746,A29,'Base bordo'!B$2:B$746,B29,'Base bordo'!F$2:F$746,"DESLOCAMENTO VAZIO"),0)</f>
        <v>322127.41000000003</v>
      </c>
      <c r="R29" s="10">
        <f>IFERROR(SUMIFS('Base bordo'!I$2:I$746,'Base bordo'!C$2:C$746,A29,'Base bordo'!B$2:B$746,B29,'Base bordo'!F$2:F$746,"DESLOCAMENTO VAZIO"),0)</f>
        <v>8765</v>
      </c>
      <c r="S29" s="30">
        <f t="shared" si="1"/>
        <v>36.751558471192247</v>
      </c>
      <c r="T29" s="10">
        <f>IFERROR(SUMIFS('Base bordo'!H$2:H$746,'Base bordo'!C$2:C$746,A29,'Base bordo'!B$2:B$746,B29,'Base bordo'!F$2:F$746,"DESLOCAMENTO CARREGADO"),0)</f>
        <v>341587.70999999996</v>
      </c>
      <c r="U29" s="10">
        <f>IFERROR(SUMIFS('Base bordo'!I$2:I$746,'Base bordo'!C$2:C$746,A29,'Base bordo'!B$2:B$746,B29,'Base bordo'!F$2:F$746,"DESLOCAMENTO CARREGADO"),0)</f>
        <v>13715</v>
      </c>
      <c r="V29" s="30">
        <f t="shared" si="2"/>
        <v>24.906139992708709</v>
      </c>
      <c r="W29" s="9">
        <f t="shared" si="3"/>
        <v>0.19020029077968012</v>
      </c>
      <c r="X29" s="9">
        <f t="shared" si="4"/>
        <v>0.29761517262331005</v>
      </c>
      <c r="Y29" s="9">
        <f t="shared" si="5"/>
        <v>0.5121845365970098</v>
      </c>
    </row>
    <row r="30" spans="1:25" ht="15" customHeight="1" x14ac:dyDescent="0.35">
      <c r="A30" s="52">
        <v>8013472</v>
      </c>
      <c r="B30" s="51">
        <v>46123</v>
      </c>
      <c r="C30" s="7" t="s">
        <v>124</v>
      </c>
      <c r="D30" s="10">
        <f>IFERROR(SUMIFS('Base bordo'!G$2:G$746,'Base bordo'!C$2:C$746,A30,'Base bordo'!B$2:B$746,B30,'Base bordo'!F$2:F$746,"DESLOCAMENTO VAZIO"),0)</f>
        <v>2.9125000000000001</v>
      </c>
      <c r="E30" s="10">
        <f>IFERROR(SUMIFS('Base bordo'!G$2:G$746,'Base bordo'!C$2:C$746,A30,'Base bordo'!B$2:B$746,B30,'Base bordo'!F$2:F$746,"DESLOCAMENTO CARREGADO"),0)</f>
        <v>4.025555555555556</v>
      </c>
      <c r="F30" s="10">
        <f>IFERROR(SUMIFS('Base bordo'!G$2:G$746,'Base bordo'!C$2:C$746,A30,'Base bordo'!B$2:B$746,B30,'Base bordo'!F$2:F$746,"DESLOCAMENTO"),0)</f>
        <v>0</v>
      </c>
      <c r="G30" s="10">
        <f>IFERROR(SUMIFS('Base bordo'!G$2:G$746,'Base bordo'!C$2:C$746,A30,'Base bordo'!B$2:B$746,B30,'Base bordo'!F$2:F$746,"CARREGAMENTO"),0)</f>
        <v>0</v>
      </c>
      <c r="H30" s="10">
        <f>IFERROR(SUMIFS('Base bordo'!G$2:G$746,'Base bordo'!C$2:C$746,A30,'Base bordo'!B$2:B$746,B30,'Base bordo'!F$2:F$746,"AGUARDANDO TRANSBORDO"),0)</f>
        <v>0</v>
      </c>
      <c r="I30" s="10">
        <f>IFERROR(SUMIFS('Base bordo'!G$2:G$746,'Base bordo'!C$2:C$746,A30,'Base bordo'!B$2:B$746,B30,'Base bordo'!F$2:F$746,"PÁTIO INTERNO"),0)+IFERROR(SUMIFS('Base bordo'!G$2:G$746,'Base bordo'!C$2:C$746,A30,'Base bordo'!B$2:B$746,B30,'Base bordo'!F$2:F$746,"PÁTIO EXTERNO"),0)+IFERROR(SUMIFS('Base bordo'!G$2:G$746,'Base bordo'!C$2:C$746,A30,'Base bordo'!B$2:B$746,B30,'Base bordo'!F$2:F$746,"PATIO - RESERVA"),0)+IFERROR(SUMIFS('Base bordo'!G$2:G$746,'Base bordo'!C$2:C$746,A30,'Base bordo'!B$2:B$746,B30,'Base bordo'!F$2:F$746,"MANOBRA CARRETAS-PATIO"),0)</f>
        <v>1.0555555555555556</v>
      </c>
      <c r="J30" s="10">
        <f>IFERROR(SUMIFS('Base bordo'!G$2:G$746,'Base bordo'!C$2:C$746,A30,'Base bordo'!B$2:B$746,B30,'Base bordo'!F$2:F$746,"BALANÇA - ENTRADA"),0)+IFERROR(SUMIFS('Base bordo'!G$2:G$746,'Base bordo'!C$2:C$746,A30,'Base bordo'!B$2:B$746,B30,'Base bordo'!F$2:F$746,"BALANÇA - SAÍDA"),0)</f>
        <v>0</v>
      </c>
      <c r="K30" s="10">
        <f>IFERROR(SUMIFS('Base bordo'!G$2:G$746,'Base bordo'!C$2:C$746,A30,'Base bordo'!B$2:B$746,B30,'Base bordo'!F$2:F$746,"MAN PREVENTIVA - MECANICA"),0)+IFERROR(SUMIFS('Base bordo'!G$2:G$746,'Base bordo'!C$2:C$746,A30,'Base bordo'!B$2:B$746,B30,'Base bordo'!F$2:F$746,"MAN CORRETIVA - MECANICA"),0)</f>
        <v>0</v>
      </c>
      <c r="L30" s="10">
        <f>IFERROR(SUMIFS('Base bordo'!G$2:G$746,'Base bordo'!C$2:C$746,A30,'Base bordo'!B$2:B$746,B30,'Base bordo'!F$2:F$746,"MANUTENCAO - T O"),0)+IFERROR(SUMIFS('Base bordo'!G$2:G$746,'Base bordo'!C$2:C$746,A30,'Base bordo'!B$2:B$746,B30,'Base bordo'!F$2:F$746,"MANUTENCAO BORRACHARIA"),0)+IFERROR(SUMIFS('Base bordo'!G$2:G$746,'Base bordo'!C$2:C$746,A30,'Base bordo'!B$2:B$746,B30,'Base bordo'!F$2:F$746,"MANUTENCAO EXTERNA  CONCESSIONARIA"),0)+IFERROR(SUMIFS('Base bordo'!G$2:G$746,'Base bordo'!C$2:C$746,A30,'Base bordo'!B$2:B$746,B30,'Base bordo'!F$2:F$746,"MANUTENCAO TELEMETRIA"),0)</f>
        <v>0</v>
      </c>
      <c r="M30" s="10">
        <f>IFERROR(SUMIFS('Base bordo'!G$2:G$746,'Base bordo'!C$2:C$746,A30,'Base bordo'!B$2:B$746,B30,'Base bordo'!F$2:F$746,"AGUARDANDO MANUTENCAO"),0)</f>
        <v>0</v>
      </c>
      <c r="N30" s="10">
        <f>IFERROR(SUMIFS('Base bordo'!G$2:G$746,'Base bordo'!C$2:C$746,A30,'Base bordo'!B$2:B$746,B30,'Base bordo'!F$2:F$746,"SEM APONTAMENTO"),0)</f>
        <v>0</v>
      </c>
      <c r="O30" s="10">
        <f t="shared" si="0"/>
        <v>5.4444444444444073E-2</v>
      </c>
      <c r="P30" s="10">
        <f>IFERROR(SUMIFS('Base bordo'!G$2:G$746,'Base bordo'!C$2:C$746,A30,'Base bordo'!B$2:B$746,B30),0)</f>
        <v>8.0480555555555551</v>
      </c>
      <c r="Q30" s="10">
        <f>IFERROR(SUMIFS('Base bordo'!H$2:H$746,'Base bordo'!C$2:C$746,A30,'Base bordo'!B$2:B$746,B30,'Base bordo'!F$2:F$746,"DESLOCAMENTO VAZIO"),0)</f>
        <v>341096.53</v>
      </c>
      <c r="R30" s="10">
        <f>IFERROR(SUMIFS('Base bordo'!I$2:I$746,'Base bordo'!C$2:C$746,A30,'Base bordo'!B$2:B$746,B30,'Base bordo'!F$2:F$746,"DESLOCAMENTO VAZIO"),0)</f>
        <v>10485</v>
      </c>
      <c r="S30" s="30">
        <f t="shared" si="1"/>
        <v>32.531857892226995</v>
      </c>
      <c r="T30" s="10">
        <f>IFERROR(SUMIFS('Base bordo'!H$2:H$746,'Base bordo'!C$2:C$746,A30,'Base bordo'!B$2:B$746,B30,'Base bordo'!F$2:F$746,"DESLOCAMENTO CARREGADO"),0)</f>
        <v>344294.46</v>
      </c>
      <c r="U30" s="10">
        <f>IFERROR(SUMIFS('Base bordo'!I$2:I$746,'Base bordo'!C$2:C$746,A30,'Base bordo'!B$2:B$746,B30,'Base bordo'!F$2:F$746,"DESLOCAMENTO CARREGADO"),0)</f>
        <v>14479</v>
      </c>
      <c r="V30" s="30">
        <f t="shared" si="2"/>
        <v>23.778883900821882</v>
      </c>
      <c r="W30" s="9">
        <f t="shared" si="3"/>
        <v>0.36188865495461292</v>
      </c>
      <c r="X30" s="9">
        <f t="shared" si="4"/>
        <v>0.50018983191247035</v>
      </c>
      <c r="Y30" s="9">
        <f t="shared" si="5"/>
        <v>0.13792151313291678</v>
      </c>
    </row>
    <row r="31" spans="1:25" ht="15" customHeight="1" x14ac:dyDescent="0.35">
      <c r="A31" s="52">
        <v>8013470</v>
      </c>
      <c r="B31" s="51">
        <v>46118</v>
      </c>
      <c r="C31" s="7" t="s">
        <v>124</v>
      </c>
      <c r="D31" s="10">
        <f>IFERROR(SUMIFS('Base bordo'!G$2:G$746,'Base bordo'!C$2:C$746,A31,'Base bordo'!B$2:B$746,B31,'Base bordo'!F$2:F$746,"DESLOCAMENTO VAZIO"),0)</f>
        <v>1.7397222222222222</v>
      </c>
      <c r="E31" s="10">
        <f>IFERROR(SUMIFS('Base bordo'!G$2:G$746,'Base bordo'!C$2:C$746,A31,'Base bordo'!B$2:B$746,B31,'Base bordo'!F$2:F$746,"DESLOCAMENTO CARREGADO"),0)</f>
        <v>3.5305555555555554</v>
      </c>
      <c r="F31" s="10">
        <f>IFERROR(SUMIFS('Base bordo'!G$2:G$746,'Base bordo'!C$2:C$746,A31,'Base bordo'!B$2:B$746,B31,'Base bordo'!F$2:F$746,"DESLOCAMENTO"),0)</f>
        <v>0</v>
      </c>
      <c r="G31" s="10">
        <f>IFERROR(SUMIFS('Base bordo'!G$2:G$746,'Base bordo'!C$2:C$746,A31,'Base bordo'!B$2:B$746,B31,'Base bordo'!F$2:F$746,"CARREGAMENTO"),0)</f>
        <v>2.911111111111111</v>
      </c>
      <c r="H31" s="10">
        <f>IFERROR(SUMIFS('Base bordo'!G$2:G$746,'Base bordo'!C$2:C$746,A31,'Base bordo'!B$2:B$746,B31,'Base bordo'!F$2:F$746,"AGUARDANDO TRANSBORDO"),0)</f>
        <v>0.85194444444444439</v>
      </c>
      <c r="I31" s="10">
        <f>IFERROR(SUMIFS('Base bordo'!G$2:G$746,'Base bordo'!C$2:C$746,A31,'Base bordo'!B$2:B$746,B31,'Base bordo'!F$2:F$746,"PÁTIO INTERNO"),0)+IFERROR(SUMIFS('Base bordo'!G$2:G$746,'Base bordo'!C$2:C$746,A31,'Base bordo'!B$2:B$746,B31,'Base bordo'!F$2:F$746,"PÁTIO EXTERNO"),0)+IFERROR(SUMIFS('Base bordo'!G$2:G$746,'Base bordo'!C$2:C$746,A31,'Base bordo'!B$2:B$746,B31,'Base bordo'!F$2:F$746,"PATIO - RESERVA"),0)+IFERROR(SUMIFS('Base bordo'!G$2:G$746,'Base bordo'!C$2:C$746,A31,'Base bordo'!B$2:B$746,B31,'Base bordo'!F$2:F$746,"MANOBRA CARRETAS-PATIO"),0)</f>
        <v>7.8380555555555551</v>
      </c>
      <c r="J31" s="10">
        <f>IFERROR(SUMIFS('Base bordo'!G$2:G$746,'Base bordo'!C$2:C$746,A31,'Base bordo'!B$2:B$746,B31,'Base bordo'!F$2:F$746,"BALANÇA - ENTRADA"),0)+IFERROR(SUMIFS('Base bordo'!G$2:G$746,'Base bordo'!C$2:C$746,A31,'Base bordo'!B$2:B$746,B31,'Base bordo'!F$2:F$746,"BALANÇA - SAÍDA"),0)</f>
        <v>6.4722222222222223E-2</v>
      </c>
      <c r="K31" s="10">
        <f>IFERROR(SUMIFS('Base bordo'!G$2:G$746,'Base bordo'!C$2:C$746,A31,'Base bordo'!B$2:B$746,B31,'Base bordo'!F$2:F$746,"MAN PREVENTIVA - MECANICA"),0)+IFERROR(SUMIFS('Base bordo'!G$2:G$746,'Base bordo'!C$2:C$746,A31,'Base bordo'!B$2:B$746,B31,'Base bordo'!F$2:F$746,"MAN CORRETIVA - MECANICA"),0)</f>
        <v>0</v>
      </c>
      <c r="L31" s="10">
        <f>IFERROR(SUMIFS('Base bordo'!G$2:G$746,'Base bordo'!C$2:C$746,A31,'Base bordo'!B$2:B$746,B31,'Base bordo'!F$2:F$746,"MANUTENCAO - T O"),0)+IFERROR(SUMIFS('Base bordo'!G$2:G$746,'Base bordo'!C$2:C$746,A31,'Base bordo'!B$2:B$746,B31,'Base bordo'!F$2:F$746,"MANUTENCAO BORRACHARIA"),0)+IFERROR(SUMIFS('Base bordo'!G$2:G$746,'Base bordo'!C$2:C$746,A31,'Base bordo'!B$2:B$746,B31,'Base bordo'!F$2:F$746,"MANUTENCAO EXTERNA  CONCESSIONARIA"),0)+IFERROR(SUMIFS('Base bordo'!G$2:G$746,'Base bordo'!C$2:C$746,A31,'Base bordo'!B$2:B$746,B31,'Base bordo'!F$2:F$746,"MANUTENCAO TELEMETRIA"),0)</f>
        <v>0</v>
      </c>
      <c r="M31" s="10">
        <f>IFERROR(SUMIFS('Base bordo'!G$2:G$746,'Base bordo'!C$2:C$746,A31,'Base bordo'!B$2:B$746,B31,'Base bordo'!F$2:F$746,"AGUARDANDO MANUTENCAO"),0)</f>
        <v>1.013611111111111</v>
      </c>
      <c r="N31" s="10">
        <f>IFERROR(SUMIFS('Base bordo'!G$2:G$746,'Base bordo'!C$2:C$746,A31,'Base bordo'!B$2:B$746,B31,'Base bordo'!F$2:F$746,"SEM APONTAMENTO"),0)</f>
        <v>0.85111111111111115</v>
      </c>
      <c r="O31" s="10">
        <f t="shared" si="0"/>
        <v>5.1991666666666667</v>
      </c>
      <c r="P31" s="10">
        <f>IFERROR(SUMIFS('Base bordo'!G$2:G$746,'Base bordo'!C$2:C$746,A31,'Base bordo'!B$2:B$746,B31),0)</f>
        <v>24</v>
      </c>
      <c r="Q31" s="10">
        <f>IFERROR(SUMIFS('Base bordo'!H$2:H$746,'Base bordo'!C$2:C$746,A31,'Base bordo'!B$2:B$746,B31,'Base bordo'!F$2:F$746,"DESLOCAMENTO VAZIO"),0)</f>
        <v>195041.98</v>
      </c>
      <c r="R31" s="10">
        <f>IFERROR(SUMIFS('Base bordo'!I$2:I$746,'Base bordo'!C$2:C$746,A31,'Base bordo'!B$2:B$746,B31,'Base bordo'!F$2:F$746,"DESLOCAMENTO VAZIO"),0)</f>
        <v>6263</v>
      </c>
      <c r="S31" s="30">
        <f t="shared" si="1"/>
        <v>31.141941561551974</v>
      </c>
      <c r="T31" s="10">
        <f>IFERROR(SUMIFS('Base bordo'!H$2:H$746,'Base bordo'!C$2:C$746,A31,'Base bordo'!B$2:B$746,B31,'Base bordo'!F$2:F$746,"DESLOCAMENTO CARREGADO"),0)</f>
        <v>332481.22999999992</v>
      </c>
      <c r="U31" s="10">
        <f>IFERROR(SUMIFS('Base bordo'!I$2:I$746,'Base bordo'!C$2:C$746,A31,'Base bordo'!B$2:B$746,B31,'Base bordo'!F$2:F$746,"DESLOCAMENTO CARREGADO"),0)</f>
        <v>12710</v>
      </c>
      <c r="V31" s="30">
        <f t="shared" si="2"/>
        <v>26.15902675059008</v>
      </c>
      <c r="W31" s="9">
        <f t="shared" si="3"/>
        <v>7.2488425925925928E-2</v>
      </c>
      <c r="X31" s="9">
        <f t="shared" si="4"/>
        <v>0.14710648148148148</v>
      </c>
      <c r="Y31" s="9">
        <f t="shared" si="5"/>
        <v>0.78040509259259261</v>
      </c>
    </row>
    <row r="32" spans="1:25" ht="15" customHeight="1" x14ac:dyDescent="0.35">
      <c r="A32" s="52">
        <v>8013478</v>
      </c>
      <c r="B32" s="51">
        <v>46117</v>
      </c>
      <c r="C32" s="7" t="s">
        <v>124</v>
      </c>
      <c r="D32" s="10">
        <f>IFERROR(SUMIFS('Base bordo'!G$2:G$746,'Base bordo'!C$2:C$746,A32,'Base bordo'!B$2:B$746,B32,'Base bordo'!F$2:F$746,"DESLOCAMENTO VAZIO"),0)</f>
        <v>3.3080555555555557</v>
      </c>
      <c r="E32" s="10">
        <f>IFERROR(SUMIFS('Base bordo'!G$2:G$746,'Base bordo'!C$2:C$746,A32,'Base bordo'!B$2:B$746,B32,'Base bordo'!F$2:F$746,"DESLOCAMENTO CARREGADO"),0)</f>
        <v>0.25666666666666665</v>
      </c>
      <c r="F32" s="10">
        <f>IFERROR(SUMIFS('Base bordo'!G$2:G$746,'Base bordo'!C$2:C$746,A32,'Base bordo'!B$2:B$746,B32,'Base bordo'!F$2:F$746,"DESLOCAMENTO"),0)</f>
        <v>0.71666666666666667</v>
      </c>
      <c r="G32" s="10">
        <f>IFERROR(SUMIFS('Base bordo'!G$2:G$746,'Base bordo'!C$2:C$746,A32,'Base bordo'!B$2:B$746,B32,'Base bordo'!F$2:F$746,"CARREGAMENTO"),0)</f>
        <v>7.4722222222222218E-2</v>
      </c>
      <c r="H32" s="10">
        <f>IFERROR(SUMIFS('Base bordo'!G$2:G$746,'Base bordo'!C$2:C$746,A32,'Base bordo'!B$2:B$746,B32,'Base bordo'!F$2:F$746,"AGUARDANDO TRANSBORDO"),0)</f>
        <v>0.18472222222222223</v>
      </c>
      <c r="I32" s="10">
        <f>IFERROR(SUMIFS('Base bordo'!G$2:G$746,'Base bordo'!C$2:C$746,A32,'Base bordo'!B$2:B$746,B32,'Base bordo'!F$2:F$746,"PÁTIO INTERNO"),0)+IFERROR(SUMIFS('Base bordo'!G$2:G$746,'Base bordo'!C$2:C$746,A32,'Base bordo'!B$2:B$746,B32,'Base bordo'!F$2:F$746,"PÁTIO EXTERNO"),0)+IFERROR(SUMIFS('Base bordo'!G$2:G$746,'Base bordo'!C$2:C$746,A32,'Base bordo'!B$2:B$746,B32,'Base bordo'!F$2:F$746,"PATIO - RESERVA"),0)+IFERROR(SUMIFS('Base bordo'!G$2:G$746,'Base bordo'!C$2:C$746,A32,'Base bordo'!B$2:B$746,B32,'Base bordo'!F$2:F$746,"MANOBRA CARRETAS-PATIO"),0)</f>
        <v>0</v>
      </c>
      <c r="J32" s="10">
        <f>IFERROR(SUMIFS('Base bordo'!G$2:G$746,'Base bordo'!C$2:C$746,A32,'Base bordo'!B$2:B$746,B32,'Base bordo'!F$2:F$746,"BALANÇA - ENTRADA"),0)+IFERROR(SUMIFS('Base bordo'!G$2:G$746,'Base bordo'!C$2:C$746,A32,'Base bordo'!B$2:B$746,B32,'Base bordo'!F$2:F$746,"BALANÇA - SAÍDA"),0)</f>
        <v>0</v>
      </c>
      <c r="K32" s="10">
        <f>IFERROR(SUMIFS('Base bordo'!G$2:G$746,'Base bordo'!C$2:C$746,A32,'Base bordo'!B$2:B$746,B32,'Base bordo'!F$2:F$746,"MAN PREVENTIVA - MECANICA"),0)+IFERROR(SUMIFS('Base bordo'!G$2:G$746,'Base bordo'!C$2:C$746,A32,'Base bordo'!B$2:B$746,B32,'Base bordo'!F$2:F$746,"MAN CORRETIVA - MECANICA"),0)</f>
        <v>0</v>
      </c>
      <c r="L32" s="10">
        <f>IFERROR(SUMIFS('Base bordo'!G$2:G$746,'Base bordo'!C$2:C$746,A32,'Base bordo'!B$2:B$746,B32,'Base bordo'!F$2:F$746,"MANUTENCAO - T O"),0)+IFERROR(SUMIFS('Base bordo'!G$2:G$746,'Base bordo'!C$2:C$746,A32,'Base bordo'!B$2:B$746,B32,'Base bordo'!F$2:F$746,"MANUTENCAO BORRACHARIA"),0)+IFERROR(SUMIFS('Base bordo'!G$2:G$746,'Base bordo'!C$2:C$746,A32,'Base bordo'!B$2:B$746,B32,'Base bordo'!F$2:F$746,"MANUTENCAO EXTERNA  CONCESSIONARIA"),0)+IFERROR(SUMIFS('Base bordo'!G$2:G$746,'Base bordo'!C$2:C$746,A32,'Base bordo'!B$2:B$746,B32,'Base bordo'!F$2:F$746,"MANUTENCAO TELEMETRIA"),0)</f>
        <v>15.166944444444445</v>
      </c>
      <c r="M32" s="10">
        <f>IFERROR(SUMIFS('Base bordo'!G$2:G$746,'Base bordo'!C$2:C$746,A32,'Base bordo'!B$2:B$746,B32,'Base bordo'!F$2:F$746,"AGUARDANDO MANUTENCAO"),0)</f>
        <v>0</v>
      </c>
      <c r="N32" s="10">
        <f>IFERROR(SUMIFS('Base bordo'!G$2:G$746,'Base bordo'!C$2:C$746,A32,'Base bordo'!B$2:B$746,B32,'Base bordo'!F$2:F$746,"SEM APONTAMENTO"),0)</f>
        <v>0.64555555555555555</v>
      </c>
      <c r="O32" s="10">
        <f t="shared" si="0"/>
        <v>3.6466666666666683</v>
      </c>
      <c r="P32" s="10">
        <f>IFERROR(SUMIFS('Base bordo'!G$2:G$746,'Base bordo'!C$2:C$746,A32,'Base bordo'!B$2:B$746,B32),0)</f>
        <v>24.000000000000004</v>
      </c>
      <c r="Q32" s="10">
        <f>IFERROR(SUMIFS('Base bordo'!H$2:H$746,'Base bordo'!C$2:C$746,A32,'Base bordo'!B$2:B$746,B32,'Base bordo'!F$2:F$746,"DESLOCAMENTO VAZIO"),0)</f>
        <v>327757.84999999998</v>
      </c>
      <c r="R32" s="10">
        <f>IFERROR(SUMIFS('Base bordo'!I$2:I$746,'Base bordo'!C$2:C$746,A32,'Base bordo'!B$2:B$746,B32,'Base bordo'!F$2:F$746,"DESLOCAMENTO VAZIO"),0)</f>
        <v>11909</v>
      </c>
      <c r="S32" s="30">
        <f t="shared" si="1"/>
        <v>27.521861617264253</v>
      </c>
      <c r="T32" s="10">
        <f>IFERROR(SUMIFS('Base bordo'!H$2:H$746,'Base bordo'!C$2:C$746,A32,'Base bordo'!B$2:B$746,B32,'Base bordo'!F$2:F$746,"DESLOCAMENTO CARREGADO"),0)</f>
        <v>25650.240000000002</v>
      </c>
      <c r="U32" s="10">
        <f>IFERROR(SUMIFS('Base bordo'!I$2:I$746,'Base bordo'!C$2:C$746,A32,'Base bordo'!B$2:B$746,B32,'Base bordo'!F$2:F$746,"DESLOCAMENTO CARREGADO"),0)</f>
        <v>924</v>
      </c>
      <c r="V32" s="30">
        <f t="shared" si="2"/>
        <v>27.76</v>
      </c>
      <c r="W32" s="9">
        <f t="shared" si="3"/>
        <v>0.13783564814814814</v>
      </c>
      <c r="X32" s="9">
        <f t="shared" si="4"/>
        <v>1.0694444444444442E-2</v>
      </c>
      <c r="Y32" s="9">
        <f t="shared" si="5"/>
        <v>0.85146990740740747</v>
      </c>
    </row>
    <row r="33" spans="1:25" ht="15" customHeight="1" x14ac:dyDescent="0.35">
      <c r="A33" s="52">
        <v>8013468</v>
      </c>
      <c r="B33" s="51">
        <v>46124</v>
      </c>
      <c r="C33" s="7" t="s">
        <v>124</v>
      </c>
      <c r="D33" s="10">
        <f>IFERROR(SUMIFS('Base bordo'!G$2:G$746,'Base bordo'!C$2:C$746,A33,'Base bordo'!B$2:B$746,B33,'Base bordo'!F$2:F$746,"DESLOCAMENTO VAZIO"),0)</f>
        <v>2.4347222222222222</v>
      </c>
      <c r="E33" s="10">
        <f>IFERROR(SUMIFS('Base bordo'!G$2:G$746,'Base bordo'!C$2:C$746,A33,'Base bordo'!B$2:B$746,B33,'Base bordo'!F$2:F$746,"DESLOCAMENTO CARREGADO"),0)</f>
        <v>3.8097222222222222</v>
      </c>
      <c r="F33" s="10">
        <f>IFERROR(SUMIFS('Base bordo'!G$2:G$746,'Base bordo'!C$2:C$746,A33,'Base bordo'!B$2:B$746,B33,'Base bordo'!F$2:F$746,"DESLOCAMENTO"),0)</f>
        <v>0</v>
      </c>
      <c r="G33" s="10">
        <f>IFERROR(SUMIFS('Base bordo'!G$2:G$746,'Base bordo'!C$2:C$746,A33,'Base bordo'!B$2:B$746,B33,'Base bordo'!F$2:F$746,"CARREGAMENTO"),0)</f>
        <v>0</v>
      </c>
      <c r="H33" s="10">
        <f>IFERROR(SUMIFS('Base bordo'!G$2:G$746,'Base bordo'!C$2:C$746,A33,'Base bordo'!B$2:B$746,B33,'Base bordo'!F$2:F$746,"AGUARDANDO TRANSBORDO"),0)</f>
        <v>0.71027777777777779</v>
      </c>
      <c r="I33" s="10">
        <f>IFERROR(SUMIFS('Base bordo'!G$2:G$746,'Base bordo'!C$2:C$746,A33,'Base bordo'!B$2:B$746,B33,'Base bordo'!F$2:F$746,"PÁTIO INTERNO"),0)+IFERROR(SUMIFS('Base bordo'!G$2:G$746,'Base bordo'!C$2:C$746,A33,'Base bordo'!B$2:B$746,B33,'Base bordo'!F$2:F$746,"PÁTIO EXTERNO"),0)+IFERROR(SUMIFS('Base bordo'!G$2:G$746,'Base bordo'!C$2:C$746,A33,'Base bordo'!B$2:B$746,B33,'Base bordo'!F$2:F$746,"PATIO - RESERVA"),0)+IFERROR(SUMIFS('Base bordo'!G$2:G$746,'Base bordo'!C$2:C$746,A33,'Base bordo'!B$2:B$746,B33,'Base bordo'!F$2:F$746,"MANOBRA CARRETAS-PATIO"),0)</f>
        <v>5.4283333333333337</v>
      </c>
      <c r="J33" s="10">
        <f>IFERROR(SUMIFS('Base bordo'!G$2:G$746,'Base bordo'!C$2:C$746,A33,'Base bordo'!B$2:B$746,B33,'Base bordo'!F$2:F$746,"BALANÇA - ENTRADA"),0)+IFERROR(SUMIFS('Base bordo'!G$2:G$746,'Base bordo'!C$2:C$746,A33,'Base bordo'!B$2:B$746,B33,'Base bordo'!F$2:F$746,"BALANÇA - SAÍDA"),0)</f>
        <v>0.4177777777777778</v>
      </c>
      <c r="K33" s="10">
        <f>IFERROR(SUMIFS('Base bordo'!G$2:G$746,'Base bordo'!C$2:C$746,A33,'Base bordo'!B$2:B$746,B33,'Base bordo'!F$2:F$746,"MAN PREVENTIVA - MECANICA"),0)+IFERROR(SUMIFS('Base bordo'!G$2:G$746,'Base bordo'!C$2:C$746,A33,'Base bordo'!B$2:B$746,B33,'Base bordo'!F$2:F$746,"MAN CORRETIVA - MECANICA"),0)</f>
        <v>0</v>
      </c>
      <c r="L33" s="10">
        <f>IFERROR(SUMIFS('Base bordo'!G$2:G$746,'Base bordo'!C$2:C$746,A33,'Base bordo'!B$2:B$746,B33,'Base bordo'!F$2:F$746,"MANUTENCAO - T O"),0)+IFERROR(SUMIFS('Base bordo'!G$2:G$746,'Base bordo'!C$2:C$746,A33,'Base bordo'!B$2:B$746,B33,'Base bordo'!F$2:F$746,"MANUTENCAO BORRACHARIA"),0)+IFERROR(SUMIFS('Base bordo'!G$2:G$746,'Base bordo'!C$2:C$746,A33,'Base bordo'!B$2:B$746,B33,'Base bordo'!F$2:F$746,"MANUTENCAO EXTERNA  CONCESSIONARIA"),0)+IFERROR(SUMIFS('Base bordo'!G$2:G$746,'Base bordo'!C$2:C$746,A33,'Base bordo'!B$2:B$746,B33,'Base bordo'!F$2:F$746,"MANUTENCAO TELEMETRIA"),0)</f>
        <v>0</v>
      </c>
      <c r="M33" s="10">
        <f>IFERROR(SUMIFS('Base bordo'!G$2:G$746,'Base bordo'!C$2:C$746,A33,'Base bordo'!B$2:B$746,B33,'Base bordo'!F$2:F$746,"AGUARDANDO MANUTENCAO"),0)</f>
        <v>0</v>
      </c>
      <c r="N33" s="10">
        <f>IFERROR(SUMIFS('Base bordo'!G$2:G$746,'Base bordo'!C$2:C$746,A33,'Base bordo'!B$2:B$746,B33,'Base bordo'!F$2:F$746,"SEM APONTAMENTO"),0)</f>
        <v>0</v>
      </c>
      <c r="O33" s="10">
        <f t="shared" si="0"/>
        <v>1.7763568394002505E-15</v>
      </c>
      <c r="P33" s="10">
        <f>IFERROR(SUMIFS('Base bordo'!G$2:G$746,'Base bordo'!C$2:C$746,A33,'Base bordo'!B$2:B$746,B33),0)</f>
        <v>12.800833333333335</v>
      </c>
      <c r="Q33" s="10">
        <f>IFERROR(SUMIFS('Base bordo'!H$2:H$746,'Base bordo'!C$2:C$746,A33,'Base bordo'!B$2:B$746,B33,'Base bordo'!F$2:F$746,"DESLOCAMENTO VAZIO"),0)</f>
        <v>322127.41000000003</v>
      </c>
      <c r="R33" s="10">
        <f>IFERROR(SUMIFS('Base bordo'!I$2:I$746,'Base bordo'!C$2:C$746,A33,'Base bordo'!B$2:B$746,B33,'Base bordo'!F$2:F$746,"DESLOCAMENTO VAZIO"),0)</f>
        <v>8765</v>
      </c>
      <c r="S33" s="30">
        <f t="shared" si="1"/>
        <v>36.751558471192247</v>
      </c>
      <c r="T33" s="10">
        <f>IFERROR(SUMIFS('Base bordo'!H$2:H$746,'Base bordo'!C$2:C$746,A33,'Base bordo'!B$2:B$746,B33,'Base bordo'!F$2:F$746,"DESLOCAMENTO CARREGADO"),0)</f>
        <v>341587.70999999996</v>
      </c>
      <c r="U33" s="10">
        <f>IFERROR(SUMIFS('Base bordo'!I$2:I$746,'Base bordo'!C$2:C$746,A33,'Base bordo'!B$2:B$746,B33,'Base bordo'!F$2:F$746,"DESLOCAMENTO CARREGADO"),0)</f>
        <v>13715</v>
      </c>
      <c r="V33" s="30">
        <f t="shared" si="2"/>
        <v>24.906139992708709</v>
      </c>
      <c r="W33" s="9">
        <f t="shared" si="3"/>
        <v>0.19020029077968012</v>
      </c>
      <c r="X33" s="9">
        <f t="shared" si="4"/>
        <v>0.29761517262331005</v>
      </c>
      <c r="Y33" s="9">
        <f t="shared" si="5"/>
        <v>0.5121845365970098</v>
      </c>
    </row>
    <row r="34" spans="1:25" ht="15" customHeight="1" x14ac:dyDescent="0.35">
      <c r="A34" s="52">
        <v>8013478</v>
      </c>
      <c r="B34" s="51">
        <v>46118</v>
      </c>
      <c r="C34" s="7" t="s">
        <v>124</v>
      </c>
      <c r="D34" s="10">
        <f>IFERROR(SUMIFS('Base bordo'!G$2:G$746,'Base bordo'!C$2:C$746,A34,'Base bordo'!B$2:B$746,B34,'Base bordo'!F$2:F$746,"DESLOCAMENTO VAZIO"),0)</f>
        <v>2.2297222222222222</v>
      </c>
      <c r="E34" s="10">
        <f>IFERROR(SUMIFS('Base bordo'!G$2:G$746,'Base bordo'!C$2:C$746,A34,'Base bordo'!B$2:B$746,B34,'Base bordo'!F$2:F$746,"DESLOCAMENTO CARREGADO"),0)</f>
        <v>1.9061111111111111</v>
      </c>
      <c r="F34" s="10">
        <f>IFERROR(SUMIFS('Base bordo'!G$2:G$746,'Base bordo'!C$2:C$746,A34,'Base bordo'!B$2:B$746,B34,'Base bordo'!F$2:F$746,"DESLOCAMENTO"),0)</f>
        <v>0</v>
      </c>
      <c r="G34" s="10">
        <f>IFERROR(SUMIFS('Base bordo'!G$2:G$746,'Base bordo'!C$2:C$746,A34,'Base bordo'!B$2:B$746,B34,'Base bordo'!F$2:F$746,"CARREGAMENTO"),0)</f>
        <v>0</v>
      </c>
      <c r="H34" s="10">
        <f>IFERROR(SUMIFS('Base bordo'!G$2:G$746,'Base bordo'!C$2:C$746,A34,'Base bordo'!B$2:B$746,B34,'Base bordo'!F$2:F$746,"AGUARDANDO TRANSBORDO"),0)</f>
        <v>0.90749999999999997</v>
      </c>
      <c r="I34" s="10">
        <f>IFERROR(SUMIFS('Base bordo'!G$2:G$746,'Base bordo'!C$2:C$746,A34,'Base bordo'!B$2:B$746,B34,'Base bordo'!F$2:F$746,"PÁTIO INTERNO"),0)+IFERROR(SUMIFS('Base bordo'!G$2:G$746,'Base bordo'!C$2:C$746,A34,'Base bordo'!B$2:B$746,B34,'Base bordo'!F$2:F$746,"PÁTIO EXTERNO"),0)+IFERROR(SUMIFS('Base bordo'!G$2:G$746,'Base bordo'!C$2:C$746,A34,'Base bordo'!B$2:B$746,B34,'Base bordo'!F$2:F$746,"PATIO - RESERVA"),0)+IFERROR(SUMIFS('Base bordo'!G$2:G$746,'Base bordo'!C$2:C$746,A34,'Base bordo'!B$2:B$746,B34,'Base bordo'!F$2:F$746,"MANOBRA CARRETAS-PATIO"),0)</f>
        <v>3.8741666666666665</v>
      </c>
      <c r="J34" s="10">
        <f>IFERROR(SUMIFS('Base bordo'!G$2:G$746,'Base bordo'!C$2:C$746,A34,'Base bordo'!B$2:B$746,B34,'Base bordo'!F$2:F$746,"BALANÇA - ENTRADA"),0)+IFERROR(SUMIFS('Base bordo'!G$2:G$746,'Base bordo'!C$2:C$746,A34,'Base bordo'!B$2:B$746,B34,'Base bordo'!F$2:F$746,"BALANÇA - SAÍDA"),0)</f>
        <v>1.1944444444444445E-2</v>
      </c>
      <c r="K34" s="10">
        <f>IFERROR(SUMIFS('Base bordo'!G$2:G$746,'Base bordo'!C$2:C$746,A34,'Base bordo'!B$2:B$746,B34,'Base bordo'!F$2:F$746,"MAN PREVENTIVA - MECANICA"),0)+IFERROR(SUMIFS('Base bordo'!G$2:G$746,'Base bordo'!C$2:C$746,A34,'Base bordo'!B$2:B$746,B34,'Base bordo'!F$2:F$746,"MAN CORRETIVA - MECANICA"),0)</f>
        <v>0</v>
      </c>
      <c r="L34" s="10">
        <f>IFERROR(SUMIFS('Base bordo'!G$2:G$746,'Base bordo'!C$2:C$746,A34,'Base bordo'!B$2:B$746,B34,'Base bordo'!F$2:F$746,"MANUTENCAO - T O"),0)+IFERROR(SUMIFS('Base bordo'!G$2:G$746,'Base bordo'!C$2:C$746,A34,'Base bordo'!B$2:B$746,B34,'Base bordo'!F$2:F$746,"MANUTENCAO BORRACHARIA"),0)+IFERROR(SUMIFS('Base bordo'!G$2:G$746,'Base bordo'!C$2:C$746,A34,'Base bordo'!B$2:B$746,B34,'Base bordo'!F$2:F$746,"MANUTENCAO EXTERNA  CONCESSIONARIA"),0)+IFERROR(SUMIFS('Base bordo'!G$2:G$746,'Base bordo'!C$2:C$746,A34,'Base bordo'!B$2:B$746,B34,'Base bordo'!F$2:F$746,"MANUTENCAO TELEMETRIA"),0)</f>
        <v>0</v>
      </c>
      <c r="M34" s="10">
        <f>IFERROR(SUMIFS('Base bordo'!G$2:G$746,'Base bordo'!C$2:C$746,A34,'Base bordo'!B$2:B$746,B34,'Base bordo'!F$2:F$746,"AGUARDANDO MANUTENCAO"),0)</f>
        <v>0</v>
      </c>
      <c r="N34" s="10">
        <f>IFERROR(SUMIFS('Base bordo'!G$2:G$746,'Base bordo'!C$2:C$746,A34,'Base bordo'!B$2:B$746,B34,'Base bordo'!F$2:F$746,"SEM APONTAMENTO"),0)</f>
        <v>0</v>
      </c>
      <c r="O34" s="10">
        <f t="shared" ref="O34:O65" si="6">IFERROR(P34-SUM(D34:N34),0)</f>
        <v>2.3333333333331652E-2</v>
      </c>
      <c r="P34" s="10">
        <f>IFERROR(SUMIFS('Base bordo'!G$2:G$746,'Base bordo'!C$2:C$746,A34,'Base bordo'!B$2:B$746,B34),0)</f>
        <v>8.9527777777777757</v>
      </c>
      <c r="Q34" s="10">
        <f>IFERROR(SUMIFS('Base bordo'!H$2:H$746,'Base bordo'!C$2:C$746,A34,'Base bordo'!B$2:B$746,B34,'Base bordo'!F$2:F$746,"DESLOCAMENTO VAZIO"),0)</f>
        <v>290634.14</v>
      </c>
      <c r="R34" s="10">
        <f>IFERROR(SUMIFS('Base bordo'!I$2:I$746,'Base bordo'!C$2:C$746,A34,'Base bordo'!B$2:B$746,B34,'Base bordo'!F$2:F$746,"DESLOCAMENTO VAZIO"),0)</f>
        <v>8027</v>
      </c>
      <c r="S34" s="30">
        <f t="shared" ref="S34:S65" si="7">IFERROR(Q34/R34,"")</f>
        <v>36.207068643328768</v>
      </c>
      <c r="T34" s="10">
        <f>IFERROR(SUMIFS('Base bordo'!H$2:H$746,'Base bordo'!C$2:C$746,A34,'Base bordo'!B$2:B$746,B34,'Base bordo'!F$2:F$746,"DESLOCAMENTO CARREGADO"),0)</f>
        <v>165552.33000000002</v>
      </c>
      <c r="U34" s="10">
        <f>IFERROR(SUMIFS('Base bordo'!I$2:I$746,'Base bordo'!C$2:C$746,A34,'Base bordo'!B$2:B$746,B34,'Base bordo'!F$2:F$746,"DESLOCAMENTO CARREGADO"),0)</f>
        <v>6862</v>
      </c>
      <c r="V34" s="30">
        <f t="shared" ref="V34:V65" si="8">IFERROR(T34/U34,"")</f>
        <v>24.125958904109591</v>
      </c>
      <c r="W34" s="9">
        <f t="shared" ref="W34:W65" si="9">IFERROR(D34/P34,0)</f>
        <v>0.24905367669872794</v>
      </c>
      <c r="X34" s="9">
        <f t="shared" ref="X34:X65" si="10">IFERROR(E34/P34,0)</f>
        <v>0.21290722928948189</v>
      </c>
      <c r="Y34" s="9">
        <f t="shared" ref="Y34:Y65" si="11">IFERROR(1-((D34+E34)/P34),0)</f>
        <v>0.53803909401179018</v>
      </c>
    </row>
    <row r="35" spans="1:25" ht="15" customHeight="1" x14ac:dyDescent="0.35">
      <c r="A35" s="52">
        <v>8013470</v>
      </c>
      <c r="B35" s="51">
        <v>46124</v>
      </c>
      <c r="C35" s="7" t="s">
        <v>124</v>
      </c>
      <c r="D35" s="10">
        <f>IFERROR(SUMIFS('Base bordo'!G$2:G$746,'Base bordo'!C$2:C$746,A35,'Base bordo'!B$2:B$746,B35,'Base bordo'!F$2:F$746,"DESLOCAMENTO VAZIO"),0)</f>
        <v>2.2769444444444447</v>
      </c>
      <c r="E35" s="10">
        <f>IFERROR(SUMIFS('Base bordo'!G$2:G$746,'Base bordo'!C$2:C$746,A35,'Base bordo'!B$2:B$746,B35,'Base bordo'!F$2:F$746,"DESLOCAMENTO CARREGADO"),0)</f>
        <v>6.3111111111111109</v>
      </c>
      <c r="F35" s="10">
        <f>IFERROR(SUMIFS('Base bordo'!G$2:G$746,'Base bordo'!C$2:C$746,A35,'Base bordo'!B$2:B$746,B35,'Base bordo'!F$2:F$746,"DESLOCAMENTO"),0)</f>
        <v>0</v>
      </c>
      <c r="G35" s="10">
        <f>IFERROR(SUMIFS('Base bordo'!G$2:G$746,'Base bordo'!C$2:C$746,A35,'Base bordo'!B$2:B$746,B35,'Base bordo'!F$2:F$746,"CARREGAMENTO"),0)</f>
        <v>0</v>
      </c>
      <c r="H35" s="10">
        <f>IFERROR(SUMIFS('Base bordo'!G$2:G$746,'Base bordo'!C$2:C$746,A35,'Base bordo'!B$2:B$746,B35,'Base bordo'!F$2:F$746,"AGUARDANDO TRANSBORDO"),0)</f>
        <v>0.24416666666666667</v>
      </c>
      <c r="I35" s="10">
        <f>IFERROR(SUMIFS('Base bordo'!G$2:G$746,'Base bordo'!C$2:C$746,A35,'Base bordo'!B$2:B$746,B35,'Base bordo'!F$2:F$746,"PÁTIO INTERNO"),0)+IFERROR(SUMIFS('Base bordo'!G$2:G$746,'Base bordo'!C$2:C$746,A35,'Base bordo'!B$2:B$746,B35,'Base bordo'!F$2:F$746,"PÁTIO EXTERNO"),0)+IFERROR(SUMIFS('Base bordo'!G$2:G$746,'Base bordo'!C$2:C$746,A35,'Base bordo'!B$2:B$746,B35,'Base bordo'!F$2:F$746,"PATIO - RESERVA"),0)+IFERROR(SUMIFS('Base bordo'!G$2:G$746,'Base bordo'!C$2:C$746,A35,'Base bordo'!B$2:B$746,B35,'Base bordo'!F$2:F$746,"MANOBRA CARRETAS-PATIO"),0)</f>
        <v>3.2016666666666667</v>
      </c>
      <c r="J35" s="10">
        <f>IFERROR(SUMIFS('Base bordo'!G$2:G$746,'Base bordo'!C$2:C$746,A35,'Base bordo'!B$2:B$746,B35,'Base bordo'!F$2:F$746,"BALANÇA - ENTRADA"),0)+IFERROR(SUMIFS('Base bordo'!G$2:G$746,'Base bordo'!C$2:C$746,A35,'Base bordo'!B$2:B$746,B35,'Base bordo'!F$2:F$746,"BALANÇA - SAÍDA"),0)</f>
        <v>0.21722222222222221</v>
      </c>
      <c r="K35" s="10">
        <f>IFERROR(SUMIFS('Base bordo'!G$2:G$746,'Base bordo'!C$2:C$746,A35,'Base bordo'!B$2:B$746,B35,'Base bordo'!F$2:F$746,"MAN PREVENTIVA - MECANICA"),0)+IFERROR(SUMIFS('Base bordo'!G$2:G$746,'Base bordo'!C$2:C$746,A35,'Base bordo'!B$2:B$746,B35,'Base bordo'!F$2:F$746,"MAN CORRETIVA - MECANICA"),0)</f>
        <v>0</v>
      </c>
      <c r="L35" s="10">
        <f>IFERROR(SUMIFS('Base bordo'!G$2:G$746,'Base bordo'!C$2:C$746,A35,'Base bordo'!B$2:B$746,B35,'Base bordo'!F$2:F$746,"MANUTENCAO - T O"),0)+IFERROR(SUMIFS('Base bordo'!G$2:G$746,'Base bordo'!C$2:C$746,A35,'Base bordo'!B$2:B$746,B35,'Base bordo'!F$2:F$746,"MANUTENCAO BORRACHARIA"),0)+IFERROR(SUMIFS('Base bordo'!G$2:G$746,'Base bordo'!C$2:C$746,A35,'Base bordo'!B$2:B$746,B35,'Base bordo'!F$2:F$746,"MANUTENCAO EXTERNA  CONCESSIONARIA"),0)+IFERROR(SUMIFS('Base bordo'!G$2:G$746,'Base bordo'!C$2:C$746,A35,'Base bordo'!B$2:B$746,B35,'Base bordo'!F$2:F$746,"MANUTENCAO TELEMETRIA"),0)</f>
        <v>0</v>
      </c>
      <c r="M35" s="10">
        <f>IFERROR(SUMIFS('Base bordo'!G$2:G$746,'Base bordo'!C$2:C$746,A35,'Base bordo'!B$2:B$746,B35,'Base bordo'!F$2:F$746,"AGUARDANDO MANUTENCAO"),0)</f>
        <v>0</v>
      </c>
      <c r="N35" s="10">
        <f>IFERROR(SUMIFS('Base bordo'!G$2:G$746,'Base bordo'!C$2:C$746,A35,'Base bordo'!B$2:B$746,B35,'Base bordo'!F$2:F$746,"SEM APONTAMENTO"),0)</f>
        <v>0</v>
      </c>
      <c r="O35" s="10">
        <f t="shared" si="6"/>
        <v>6.3333333333332575E-2</v>
      </c>
      <c r="P35" s="10">
        <f>IFERROR(SUMIFS('Base bordo'!G$2:G$746,'Base bordo'!C$2:C$746,A35,'Base bordo'!B$2:B$746,B35),0)</f>
        <v>12.314444444444444</v>
      </c>
      <c r="Q35" s="10">
        <f>IFERROR(SUMIFS('Base bordo'!H$2:H$746,'Base bordo'!C$2:C$746,A35,'Base bordo'!B$2:B$746,B35,'Base bordo'!F$2:F$746,"DESLOCAMENTO VAZIO"),0)</f>
        <v>282969.98000000004</v>
      </c>
      <c r="R35" s="10">
        <f>IFERROR(SUMIFS('Base bordo'!I$2:I$746,'Base bordo'!C$2:C$746,A35,'Base bordo'!B$2:B$746,B35,'Base bordo'!F$2:F$746,"DESLOCAMENTO VAZIO"),0)</f>
        <v>8186</v>
      </c>
      <c r="S35" s="30">
        <f t="shared" si="7"/>
        <v>34.567551917908631</v>
      </c>
      <c r="T35" s="10">
        <f>IFERROR(SUMIFS('Base bordo'!H$2:H$746,'Base bordo'!C$2:C$746,A35,'Base bordo'!B$2:B$746,B35,'Base bordo'!F$2:F$746,"DESLOCAMENTO CARREGADO"),0)</f>
        <v>649243.22</v>
      </c>
      <c r="U35" s="10">
        <f>IFERROR(SUMIFS('Base bordo'!I$2:I$746,'Base bordo'!C$2:C$746,A35,'Base bordo'!B$2:B$746,B35,'Base bordo'!F$2:F$746,"DESLOCAMENTO CARREGADO"),0)</f>
        <v>22720</v>
      </c>
      <c r="V35" s="30">
        <f t="shared" si="8"/>
        <v>28.575845950704224</v>
      </c>
      <c r="W35" s="9">
        <f t="shared" si="9"/>
        <v>0.18490029775331593</v>
      </c>
      <c r="X35" s="9">
        <f t="shared" si="10"/>
        <v>0.51249661643959221</v>
      </c>
      <c r="Y35" s="9">
        <f t="shared" si="11"/>
        <v>0.30260308580709183</v>
      </c>
    </row>
    <row r="36" spans="1:25" ht="15" customHeight="1" x14ac:dyDescent="0.35">
      <c r="A36" s="52">
        <v>8013461</v>
      </c>
      <c r="B36" s="51">
        <v>46124</v>
      </c>
      <c r="C36" s="7" t="s">
        <v>124</v>
      </c>
      <c r="D36" s="10">
        <f>IFERROR(SUMIFS('Base bordo'!G$2:G$746,'Base bordo'!C$2:C$746,A36,'Base bordo'!B$2:B$746,B36,'Base bordo'!F$2:F$746,"DESLOCAMENTO VAZIO"),0)</f>
        <v>2.7680555555555557</v>
      </c>
      <c r="E36" s="10">
        <f>IFERROR(SUMIFS('Base bordo'!G$2:G$746,'Base bordo'!C$2:C$746,A36,'Base bordo'!B$2:B$746,B36,'Base bordo'!F$2:F$746,"DESLOCAMENTO CARREGADO"),0)</f>
        <v>1.8997222222222223</v>
      </c>
      <c r="F36" s="10">
        <f>IFERROR(SUMIFS('Base bordo'!G$2:G$746,'Base bordo'!C$2:C$746,A36,'Base bordo'!B$2:B$746,B36,'Base bordo'!F$2:F$746,"DESLOCAMENTO"),0)</f>
        <v>0</v>
      </c>
      <c r="G36" s="10">
        <f>IFERROR(SUMIFS('Base bordo'!G$2:G$746,'Base bordo'!C$2:C$746,A36,'Base bordo'!B$2:B$746,B36,'Base bordo'!F$2:F$746,"CARREGAMENTO"),0)</f>
        <v>0</v>
      </c>
      <c r="H36" s="10">
        <f>IFERROR(SUMIFS('Base bordo'!G$2:G$746,'Base bordo'!C$2:C$746,A36,'Base bordo'!B$2:B$746,B36,'Base bordo'!F$2:F$746,"AGUARDANDO TRANSBORDO"),0)</f>
        <v>0.61305555555555558</v>
      </c>
      <c r="I36" s="10">
        <f>IFERROR(SUMIFS('Base bordo'!G$2:G$746,'Base bordo'!C$2:C$746,A36,'Base bordo'!B$2:B$746,B36,'Base bordo'!F$2:F$746,"PÁTIO INTERNO"),0)+IFERROR(SUMIFS('Base bordo'!G$2:G$746,'Base bordo'!C$2:C$746,A36,'Base bordo'!B$2:B$746,B36,'Base bordo'!F$2:F$746,"PÁTIO EXTERNO"),0)+IFERROR(SUMIFS('Base bordo'!G$2:G$746,'Base bordo'!C$2:C$746,A36,'Base bordo'!B$2:B$746,B36,'Base bordo'!F$2:F$746,"PATIO - RESERVA"),0)+IFERROR(SUMIFS('Base bordo'!G$2:G$746,'Base bordo'!C$2:C$746,A36,'Base bordo'!B$2:B$746,B36,'Base bordo'!F$2:F$746,"MANOBRA CARRETAS-PATIO"),0)</f>
        <v>4.3969444444444443</v>
      </c>
      <c r="J36" s="10">
        <f>IFERROR(SUMIFS('Base bordo'!G$2:G$746,'Base bordo'!C$2:C$746,A36,'Base bordo'!B$2:B$746,B36,'Base bordo'!F$2:F$746,"BALANÇA - ENTRADA"),0)+IFERROR(SUMIFS('Base bordo'!G$2:G$746,'Base bordo'!C$2:C$746,A36,'Base bordo'!B$2:B$746,B36,'Base bordo'!F$2:F$746,"BALANÇA - SAÍDA"),0)</f>
        <v>0.3175</v>
      </c>
      <c r="K36" s="10">
        <f>IFERROR(SUMIFS('Base bordo'!G$2:G$746,'Base bordo'!C$2:C$746,A36,'Base bordo'!B$2:B$746,B36,'Base bordo'!F$2:F$746,"MAN PREVENTIVA - MECANICA"),0)+IFERROR(SUMIFS('Base bordo'!G$2:G$746,'Base bordo'!C$2:C$746,A36,'Base bordo'!B$2:B$746,B36,'Base bordo'!F$2:F$746,"MAN CORRETIVA - MECANICA"),0)</f>
        <v>0</v>
      </c>
      <c r="L36" s="10">
        <f>IFERROR(SUMIFS('Base bordo'!G$2:G$746,'Base bordo'!C$2:C$746,A36,'Base bordo'!B$2:B$746,B36,'Base bordo'!F$2:F$746,"MANUTENCAO - T O"),0)+IFERROR(SUMIFS('Base bordo'!G$2:G$746,'Base bordo'!C$2:C$746,A36,'Base bordo'!B$2:B$746,B36,'Base bordo'!F$2:F$746,"MANUTENCAO BORRACHARIA"),0)+IFERROR(SUMIFS('Base bordo'!G$2:G$746,'Base bordo'!C$2:C$746,A36,'Base bordo'!B$2:B$746,B36,'Base bordo'!F$2:F$746,"MANUTENCAO EXTERNA  CONCESSIONARIA"),0)+IFERROR(SUMIFS('Base bordo'!G$2:G$746,'Base bordo'!C$2:C$746,A36,'Base bordo'!B$2:B$746,B36,'Base bordo'!F$2:F$746,"MANUTENCAO TELEMETRIA"),0)</f>
        <v>0</v>
      </c>
      <c r="M36" s="10">
        <f>IFERROR(SUMIFS('Base bordo'!G$2:G$746,'Base bordo'!C$2:C$746,A36,'Base bordo'!B$2:B$746,B36,'Base bordo'!F$2:F$746,"AGUARDANDO MANUTENCAO"),0)</f>
        <v>0</v>
      </c>
      <c r="N36" s="10">
        <f>IFERROR(SUMIFS('Base bordo'!G$2:G$746,'Base bordo'!C$2:C$746,A36,'Base bordo'!B$2:B$746,B36,'Base bordo'!F$2:F$746,"SEM APONTAMENTO"),0)</f>
        <v>0</v>
      </c>
      <c r="O36" s="10">
        <f t="shared" si="6"/>
        <v>1.7763568394002505E-15</v>
      </c>
      <c r="P36" s="10">
        <f>IFERROR(SUMIFS('Base bordo'!G$2:G$746,'Base bordo'!C$2:C$746,A36,'Base bordo'!B$2:B$746,B36),0)</f>
        <v>9.9952777777777797</v>
      </c>
      <c r="Q36" s="10">
        <f>IFERROR(SUMIFS('Base bordo'!H$2:H$746,'Base bordo'!C$2:C$746,A36,'Base bordo'!B$2:B$746,B36,'Base bordo'!F$2:F$746,"DESLOCAMENTO VAZIO"),0)</f>
        <v>281004.56</v>
      </c>
      <c r="R36" s="10">
        <f>IFERROR(SUMIFS('Base bordo'!I$2:I$746,'Base bordo'!C$2:C$746,A36,'Base bordo'!B$2:B$746,B36,'Base bordo'!F$2:F$746,"DESLOCAMENTO VAZIO"),0)</f>
        <v>9965</v>
      </c>
      <c r="S36" s="30">
        <f t="shared" si="7"/>
        <v>28.199153035624686</v>
      </c>
      <c r="T36" s="10">
        <f>IFERROR(SUMIFS('Base bordo'!H$2:H$746,'Base bordo'!C$2:C$746,A36,'Base bordo'!B$2:B$746,B36,'Base bordo'!F$2:F$746,"DESLOCAMENTO CARREGADO"),0)</f>
        <v>117740.31000000001</v>
      </c>
      <c r="U36" s="10">
        <f>IFERROR(SUMIFS('Base bordo'!I$2:I$746,'Base bordo'!C$2:C$746,A36,'Base bordo'!B$2:B$746,B36,'Base bordo'!F$2:F$746,"DESLOCAMENTO CARREGADO"),0)</f>
        <v>6839</v>
      </c>
      <c r="V36" s="30">
        <f t="shared" si="8"/>
        <v>17.216012574937857</v>
      </c>
      <c r="W36" s="9">
        <f t="shared" si="9"/>
        <v>0.27693633104521576</v>
      </c>
      <c r="X36" s="9">
        <f t="shared" si="10"/>
        <v>0.19006197370980737</v>
      </c>
      <c r="Y36" s="9">
        <f t="shared" si="11"/>
        <v>0.53300169524497676</v>
      </c>
    </row>
    <row r="37" spans="1:25" ht="15" customHeight="1" x14ac:dyDescent="0.35">
      <c r="A37" s="52">
        <v>8013469</v>
      </c>
      <c r="B37" s="51">
        <v>46124</v>
      </c>
      <c r="C37" s="7" t="s">
        <v>124</v>
      </c>
      <c r="D37" s="10">
        <f>IFERROR(SUMIFS('Base bordo'!G$2:G$746,'Base bordo'!C$2:C$746,A37,'Base bordo'!B$2:B$746,B37,'Base bordo'!F$2:F$746,"DESLOCAMENTO VAZIO"),0)</f>
        <v>2.4083333333333332</v>
      </c>
      <c r="E37" s="10">
        <f>IFERROR(SUMIFS('Base bordo'!G$2:G$746,'Base bordo'!C$2:C$746,A37,'Base bordo'!B$2:B$746,B37,'Base bordo'!F$2:F$746,"DESLOCAMENTO CARREGADO"),0)</f>
        <v>1.3047222222222221</v>
      </c>
      <c r="F37" s="10">
        <f>IFERROR(SUMIFS('Base bordo'!G$2:G$746,'Base bordo'!C$2:C$746,A37,'Base bordo'!B$2:B$746,B37,'Base bordo'!F$2:F$746,"DESLOCAMENTO"),0)</f>
        <v>0</v>
      </c>
      <c r="G37" s="10">
        <f>IFERROR(SUMIFS('Base bordo'!G$2:G$746,'Base bordo'!C$2:C$746,A37,'Base bordo'!B$2:B$746,B37,'Base bordo'!F$2:F$746,"CARREGAMENTO"),0)</f>
        <v>0</v>
      </c>
      <c r="H37" s="10">
        <f>IFERROR(SUMIFS('Base bordo'!G$2:G$746,'Base bordo'!C$2:C$746,A37,'Base bordo'!B$2:B$746,B37,'Base bordo'!F$2:F$746,"AGUARDANDO TRANSBORDO"),0)</f>
        <v>0</v>
      </c>
      <c r="I37" s="10">
        <f>IFERROR(SUMIFS('Base bordo'!G$2:G$746,'Base bordo'!C$2:C$746,A37,'Base bordo'!B$2:B$746,B37,'Base bordo'!F$2:F$746,"PÁTIO INTERNO"),0)+IFERROR(SUMIFS('Base bordo'!G$2:G$746,'Base bordo'!C$2:C$746,A37,'Base bordo'!B$2:B$746,B37,'Base bordo'!F$2:F$746,"PÁTIO EXTERNO"),0)+IFERROR(SUMIFS('Base bordo'!G$2:G$746,'Base bordo'!C$2:C$746,A37,'Base bordo'!B$2:B$746,B37,'Base bordo'!F$2:F$746,"PATIO - RESERVA"),0)+IFERROR(SUMIFS('Base bordo'!G$2:G$746,'Base bordo'!C$2:C$746,A37,'Base bordo'!B$2:B$746,B37,'Base bordo'!F$2:F$746,"MANOBRA CARRETAS-PATIO"),0)</f>
        <v>6.987222222222222</v>
      </c>
      <c r="J37" s="10">
        <f>IFERROR(SUMIFS('Base bordo'!G$2:G$746,'Base bordo'!C$2:C$746,A37,'Base bordo'!B$2:B$746,B37,'Base bordo'!F$2:F$746,"BALANÇA - ENTRADA"),0)+IFERROR(SUMIFS('Base bordo'!G$2:G$746,'Base bordo'!C$2:C$746,A37,'Base bordo'!B$2:B$746,B37,'Base bordo'!F$2:F$746,"BALANÇA - SAÍDA"),0)</f>
        <v>0.10888888888888888</v>
      </c>
      <c r="K37" s="10">
        <f>IFERROR(SUMIFS('Base bordo'!G$2:G$746,'Base bordo'!C$2:C$746,A37,'Base bordo'!B$2:B$746,B37,'Base bordo'!F$2:F$746,"MAN PREVENTIVA - MECANICA"),0)+IFERROR(SUMIFS('Base bordo'!G$2:G$746,'Base bordo'!C$2:C$746,A37,'Base bordo'!B$2:B$746,B37,'Base bordo'!F$2:F$746,"MAN CORRETIVA - MECANICA"),0)</f>
        <v>0</v>
      </c>
      <c r="L37" s="10">
        <f>IFERROR(SUMIFS('Base bordo'!G$2:G$746,'Base bordo'!C$2:C$746,A37,'Base bordo'!B$2:B$746,B37,'Base bordo'!F$2:F$746,"MANUTENCAO - T O"),0)+IFERROR(SUMIFS('Base bordo'!G$2:G$746,'Base bordo'!C$2:C$746,A37,'Base bordo'!B$2:B$746,B37,'Base bordo'!F$2:F$746,"MANUTENCAO BORRACHARIA"),0)+IFERROR(SUMIFS('Base bordo'!G$2:G$746,'Base bordo'!C$2:C$746,A37,'Base bordo'!B$2:B$746,B37,'Base bordo'!F$2:F$746,"MANUTENCAO EXTERNA  CONCESSIONARIA"),0)+IFERROR(SUMIFS('Base bordo'!G$2:G$746,'Base bordo'!C$2:C$746,A37,'Base bordo'!B$2:B$746,B37,'Base bordo'!F$2:F$746,"MANUTENCAO TELEMETRIA"),0)</f>
        <v>0</v>
      </c>
      <c r="M37" s="10">
        <f>IFERROR(SUMIFS('Base bordo'!G$2:G$746,'Base bordo'!C$2:C$746,A37,'Base bordo'!B$2:B$746,B37,'Base bordo'!F$2:F$746,"AGUARDANDO MANUTENCAO"),0)</f>
        <v>0</v>
      </c>
      <c r="N37" s="10">
        <f>IFERROR(SUMIFS('Base bordo'!G$2:G$746,'Base bordo'!C$2:C$746,A37,'Base bordo'!B$2:B$746,B37,'Base bordo'!F$2:F$746,"SEM APONTAMENTO"),0)</f>
        <v>0</v>
      </c>
      <c r="O37" s="10">
        <f t="shared" si="6"/>
        <v>1.7763568394002505E-15</v>
      </c>
      <c r="P37" s="10">
        <f>IFERROR(SUMIFS('Base bordo'!G$2:G$746,'Base bordo'!C$2:C$746,A37,'Base bordo'!B$2:B$746,B37),0)</f>
        <v>10.809166666666668</v>
      </c>
      <c r="Q37" s="10">
        <f>IFERROR(SUMIFS('Base bordo'!H$2:H$746,'Base bordo'!C$2:C$746,A37,'Base bordo'!B$2:B$746,B37,'Base bordo'!F$2:F$746,"DESLOCAMENTO VAZIO"),0)</f>
        <v>279312.71000000002</v>
      </c>
      <c r="R37" s="10">
        <f>IFERROR(SUMIFS('Base bordo'!I$2:I$746,'Base bordo'!C$2:C$746,A37,'Base bordo'!B$2:B$746,B37,'Base bordo'!F$2:F$746,"DESLOCAMENTO VAZIO"),0)</f>
        <v>8670</v>
      </c>
      <c r="S37" s="30">
        <f t="shared" si="7"/>
        <v>32.215998846597465</v>
      </c>
      <c r="T37" s="10">
        <f>IFERROR(SUMIFS('Base bordo'!H$2:H$746,'Base bordo'!C$2:C$746,A37,'Base bordo'!B$2:B$746,B37,'Base bordo'!F$2:F$746,"DESLOCAMENTO CARREGADO"),0)</f>
        <v>82241.990000000005</v>
      </c>
      <c r="U37" s="10">
        <f>IFERROR(SUMIFS('Base bordo'!I$2:I$746,'Base bordo'!C$2:C$746,A37,'Base bordo'!B$2:B$746,B37,'Base bordo'!F$2:F$746,"DESLOCAMENTO CARREGADO"),0)</f>
        <v>4697</v>
      </c>
      <c r="V37" s="30">
        <f t="shared" si="8"/>
        <v>17.50947200340643</v>
      </c>
      <c r="W37" s="9">
        <f t="shared" si="9"/>
        <v>0.22280471821756223</v>
      </c>
      <c r="X37" s="9">
        <f t="shared" si="10"/>
        <v>0.12070516279906456</v>
      </c>
      <c r="Y37" s="9">
        <f t="shared" si="11"/>
        <v>0.65649011898337317</v>
      </c>
    </row>
    <row r="38" spans="1:25" ht="15" customHeight="1" x14ac:dyDescent="0.35">
      <c r="A38" s="52">
        <v>8013465</v>
      </c>
      <c r="B38" s="51">
        <v>46123</v>
      </c>
      <c r="C38" s="7" t="s">
        <v>124</v>
      </c>
      <c r="D38" s="10">
        <f>IFERROR(SUMIFS('Base bordo'!G$2:G$746,'Base bordo'!C$2:C$746,A38,'Base bordo'!B$2:B$746,B38,'Base bordo'!F$2:F$746,"DESLOCAMENTO VAZIO"),0)</f>
        <v>2.3111111111111109</v>
      </c>
      <c r="E38" s="10">
        <f>IFERROR(SUMIFS('Base bordo'!G$2:G$746,'Base bordo'!C$2:C$746,A38,'Base bordo'!B$2:B$746,B38,'Base bordo'!F$2:F$746,"DESLOCAMENTO CARREGADO"),0)</f>
        <v>1.8591666666666666</v>
      </c>
      <c r="F38" s="10">
        <f>IFERROR(SUMIFS('Base bordo'!G$2:G$746,'Base bordo'!C$2:C$746,A38,'Base bordo'!B$2:B$746,B38,'Base bordo'!F$2:F$746,"DESLOCAMENTO"),0)</f>
        <v>0</v>
      </c>
      <c r="G38" s="10">
        <f>IFERROR(SUMIFS('Base bordo'!G$2:G$746,'Base bordo'!C$2:C$746,A38,'Base bordo'!B$2:B$746,B38,'Base bordo'!F$2:F$746,"CARREGAMENTO"),0)</f>
        <v>0</v>
      </c>
      <c r="H38" s="10">
        <f>IFERROR(SUMIFS('Base bordo'!G$2:G$746,'Base bordo'!C$2:C$746,A38,'Base bordo'!B$2:B$746,B38,'Base bordo'!F$2:F$746,"AGUARDANDO TRANSBORDO"),0)</f>
        <v>0.3552777777777778</v>
      </c>
      <c r="I38" s="10">
        <f>IFERROR(SUMIFS('Base bordo'!G$2:G$746,'Base bordo'!C$2:C$746,A38,'Base bordo'!B$2:B$746,B38,'Base bordo'!F$2:F$746,"PÁTIO INTERNO"),0)+IFERROR(SUMIFS('Base bordo'!G$2:G$746,'Base bordo'!C$2:C$746,A38,'Base bordo'!B$2:B$746,B38,'Base bordo'!F$2:F$746,"PÁTIO EXTERNO"),0)+IFERROR(SUMIFS('Base bordo'!G$2:G$746,'Base bordo'!C$2:C$746,A38,'Base bordo'!B$2:B$746,B38,'Base bordo'!F$2:F$746,"PATIO - RESERVA"),0)+IFERROR(SUMIFS('Base bordo'!G$2:G$746,'Base bordo'!C$2:C$746,A38,'Base bordo'!B$2:B$746,B38,'Base bordo'!F$2:F$746,"MANOBRA CARRETAS-PATIO"),0)</f>
        <v>0</v>
      </c>
      <c r="J38" s="10">
        <f>IFERROR(SUMIFS('Base bordo'!G$2:G$746,'Base bordo'!C$2:C$746,A38,'Base bordo'!B$2:B$746,B38,'Base bordo'!F$2:F$746,"BALANÇA - ENTRADA"),0)+IFERROR(SUMIFS('Base bordo'!G$2:G$746,'Base bordo'!C$2:C$746,A38,'Base bordo'!B$2:B$746,B38,'Base bordo'!F$2:F$746,"BALANÇA - SAÍDA"),0)</f>
        <v>0</v>
      </c>
      <c r="K38" s="10">
        <f>IFERROR(SUMIFS('Base bordo'!G$2:G$746,'Base bordo'!C$2:C$746,A38,'Base bordo'!B$2:B$746,B38,'Base bordo'!F$2:F$746,"MAN PREVENTIVA - MECANICA"),0)+IFERROR(SUMIFS('Base bordo'!G$2:G$746,'Base bordo'!C$2:C$746,A38,'Base bordo'!B$2:B$746,B38,'Base bordo'!F$2:F$746,"MAN CORRETIVA - MECANICA"),0)</f>
        <v>0</v>
      </c>
      <c r="L38" s="10">
        <f>IFERROR(SUMIFS('Base bordo'!G$2:G$746,'Base bordo'!C$2:C$746,A38,'Base bordo'!B$2:B$746,B38,'Base bordo'!F$2:F$746,"MANUTENCAO - T O"),0)+IFERROR(SUMIFS('Base bordo'!G$2:G$746,'Base bordo'!C$2:C$746,A38,'Base bordo'!B$2:B$746,B38,'Base bordo'!F$2:F$746,"MANUTENCAO BORRACHARIA"),0)+IFERROR(SUMIFS('Base bordo'!G$2:G$746,'Base bordo'!C$2:C$746,A38,'Base bordo'!B$2:B$746,B38,'Base bordo'!F$2:F$746,"MANUTENCAO EXTERNA  CONCESSIONARIA"),0)+IFERROR(SUMIFS('Base bordo'!G$2:G$746,'Base bordo'!C$2:C$746,A38,'Base bordo'!B$2:B$746,B38,'Base bordo'!F$2:F$746,"MANUTENCAO TELEMETRIA"),0)</f>
        <v>0</v>
      </c>
      <c r="M38" s="10">
        <f>IFERROR(SUMIFS('Base bordo'!G$2:G$746,'Base bordo'!C$2:C$746,A38,'Base bordo'!B$2:B$746,B38,'Base bordo'!F$2:F$746,"AGUARDANDO MANUTENCAO"),0)</f>
        <v>0</v>
      </c>
      <c r="N38" s="10">
        <f>IFERROR(SUMIFS('Base bordo'!G$2:G$746,'Base bordo'!C$2:C$746,A38,'Base bordo'!B$2:B$746,B38,'Base bordo'!F$2:F$746,"SEM APONTAMENTO"),0)</f>
        <v>0</v>
      </c>
      <c r="O38" s="10">
        <f t="shared" si="6"/>
        <v>0</v>
      </c>
      <c r="P38" s="10">
        <f>IFERROR(SUMIFS('Base bordo'!G$2:G$746,'Base bordo'!C$2:C$746,A38,'Base bordo'!B$2:B$746,B38),0)</f>
        <v>4.525555555555556</v>
      </c>
      <c r="Q38" s="10">
        <f>IFERROR(SUMIFS('Base bordo'!H$2:H$746,'Base bordo'!C$2:C$746,A38,'Base bordo'!B$2:B$746,B38,'Base bordo'!F$2:F$746,"DESLOCAMENTO VAZIO"),0)</f>
        <v>278148.95</v>
      </c>
      <c r="R38" s="10">
        <f>IFERROR(SUMIFS('Base bordo'!I$2:I$746,'Base bordo'!C$2:C$746,A38,'Base bordo'!B$2:B$746,B38,'Base bordo'!F$2:F$746,"DESLOCAMENTO VAZIO"),0)</f>
        <v>8320</v>
      </c>
      <c r="S38" s="30">
        <f t="shared" si="7"/>
        <v>33.431364182692306</v>
      </c>
      <c r="T38" s="10">
        <f>IFERROR(SUMIFS('Base bordo'!H$2:H$746,'Base bordo'!C$2:C$746,A38,'Base bordo'!B$2:B$746,B38,'Base bordo'!F$2:F$746,"DESLOCAMENTO CARREGADO"),0)</f>
        <v>177737.80000000002</v>
      </c>
      <c r="U38" s="10">
        <f>IFERROR(SUMIFS('Base bordo'!I$2:I$746,'Base bordo'!C$2:C$746,A38,'Base bordo'!B$2:B$746,B38,'Base bordo'!F$2:F$746,"DESLOCAMENTO CARREGADO"),0)</f>
        <v>6683</v>
      </c>
      <c r="V38" s="30">
        <f t="shared" si="8"/>
        <v>26.595510998054767</v>
      </c>
      <c r="W38" s="9">
        <f t="shared" si="9"/>
        <v>0.51068008838693824</v>
      </c>
      <c r="X38" s="9">
        <f t="shared" si="10"/>
        <v>0.41081512398723297</v>
      </c>
      <c r="Y38" s="9">
        <f t="shared" si="11"/>
        <v>7.8504787625828687E-2</v>
      </c>
    </row>
    <row r="39" spans="1:25" ht="15" customHeight="1" x14ac:dyDescent="0.35">
      <c r="A39" s="52">
        <v>8013476</v>
      </c>
      <c r="B39" s="51">
        <v>46124</v>
      </c>
      <c r="C39" s="7" t="s">
        <v>124</v>
      </c>
      <c r="D39" s="10">
        <f>IFERROR(SUMIFS('Base bordo'!G$2:G$746,'Base bordo'!C$2:C$746,A39,'Base bordo'!B$2:B$746,B39,'Base bordo'!F$2:F$746,"DESLOCAMENTO VAZIO"),0)</f>
        <v>2.296388888888889</v>
      </c>
      <c r="E39" s="10">
        <f>IFERROR(SUMIFS('Base bordo'!G$2:G$746,'Base bordo'!C$2:C$746,A39,'Base bordo'!B$2:B$746,B39,'Base bordo'!F$2:F$746,"DESLOCAMENTO CARREGADO"),0)</f>
        <v>2.1016666666666666</v>
      </c>
      <c r="F39" s="10">
        <f>IFERROR(SUMIFS('Base bordo'!G$2:G$746,'Base bordo'!C$2:C$746,A39,'Base bordo'!B$2:B$746,B39,'Base bordo'!F$2:F$746,"DESLOCAMENTO"),0)</f>
        <v>0</v>
      </c>
      <c r="G39" s="10">
        <f>IFERROR(SUMIFS('Base bordo'!G$2:G$746,'Base bordo'!C$2:C$746,A39,'Base bordo'!B$2:B$746,B39,'Base bordo'!F$2:F$746,"CARREGAMENTO"),0)</f>
        <v>0</v>
      </c>
      <c r="H39" s="10">
        <f>IFERROR(SUMIFS('Base bordo'!G$2:G$746,'Base bordo'!C$2:C$746,A39,'Base bordo'!B$2:B$746,B39,'Base bordo'!F$2:F$746,"AGUARDANDO TRANSBORDO"),0)</f>
        <v>0.23694444444444446</v>
      </c>
      <c r="I39" s="10">
        <f>IFERROR(SUMIFS('Base bordo'!G$2:G$746,'Base bordo'!C$2:C$746,A39,'Base bordo'!B$2:B$746,B39,'Base bordo'!F$2:F$746,"PÁTIO INTERNO"),0)+IFERROR(SUMIFS('Base bordo'!G$2:G$746,'Base bordo'!C$2:C$746,A39,'Base bordo'!B$2:B$746,B39,'Base bordo'!F$2:F$746,"PÁTIO EXTERNO"),0)+IFERROR(SUMIFS('Base bordo'!G$2:G$746,'Base bordo'!C$2:C$746,A39,'Base bordo'!B$2:B$746,B39,'Base bordo'!F$2:F$746,"PATIO - RESERVA"),0)+IFERROR(SUMIFS('Base bordo'!G$2:G$746,'Base bordo'!C$2:C$746,A39,'Base bordo'!B$2:B$746,B39,'Base bordo'!F$2:F$746,"MANOBRA CARRETAS-PATIO"),0)</f>
        <v>5.0583333333333336</v>
      </c>
      <c r="J39" s="10">
        <f>IFERROR(SUMIFS('Base bordo'!G$2:G$746,'Base bordo'!C$2:C$746,A39,'Base bordo'!B$2:B$746,B39,'Base bordo'!F$2:F$746,"BALANÇA - ENTRADA"),0)+IFERROR(SUMIFS('Base bordo'!G$2:G$746,'Base bordo'!C$2:C$746,A39,'Base bordo'!B$2:B$746,B39,'Base bordo'!F$2:F$746,"BALANÇA - SAÍDA"),0)</f>
        <v>0.23805555555555558</v>
      </c>
      <c r="K39" s="10">
        <f>IFERROR(SUMIFS('Base bordo'!G$2:G$746,'Base bordo'!C$2:C$746,A39,'Base bordo'!B$2:B$746,B39,'Base bordo'!F$2:F$746,"MAN PREVENTIVA - MECANICA"),0)+IFERROR(SUMIFS('Base bordo'!G$2:G$746,'Base bordo'!C$2:C$746,A39,'Base bordo'!B$2:B$746,B39,'Base bordo'!F$2:F$746,"MAN CORRETIVA - MECANICA"),0)</f>
        <v>0</v>
      </c>
      <c r="L39" s="10">
        <f>IFERROR(SUMIFS('Base bordo'!G$2:G$746,'Base bordo'!C$2:C$746,A39,'Base bordo'!B$2:B$746,B39,'Base bordo'!F$2:F$746,"MANUTENCAO - T O"),0)+IFERROR(SUMIFS('Base bordo'!G$2:G$746,'Base bordo'!C$2:C$746,A39,'Base bordo'!B$2:B$746,B39,'Base bordo'!F$2:F$746,"MANUTENCAO BORRACHARIA"),0)+IFERROR(SUMIFS('Base bordo'!G$2:G$746,'Base bordo'!C$2:C$746,A39,'Base bordo'!B$2:B$746,B39,'Base bordo'!F$2:F$746,"MANUTENCAO EXTERNA  CONCESSIONARIA"),0)+IFERROR(SUMIFS('Base bordo'!G$2:G$746,'Base bordo'!C$2:C$746,A39,'Base bordo'!B$2:B$746,B39,'Base bordo'!F$2:F$746,"MANUTENCAO TELEMETRIA"),0)</f>
        <v>0</v>
      </c>
      <c r="M39" s="10">
        <f>IFERROR(SUMIFS('Base bordo'!G$2:G$746,'Base bordo'!C$2:C$746,A39,'Base bordo'!B$2:B$746,B39,'Base bordo'!F$2:F$746,"AGUARDANDO MANUTENCAO"),0)</f>
        <v>0</v>
      </c>
      <c r="N39" s="10">
        <f>IFERROR(SUMIFS('Base bordo'!G$2:G$746,'Base bordo'!C$2:C$746,A39,'Base bordo'!B$2:B$746,B39,'Base bordo'!F$2:F$746,"SEM APONTAMENTO"),0)</f>
        <v>0</v>
      </c>
      <c r="O39" s="10">
        <f t="shared" si="6"/>
        <v>0</v>
      </c>
      <c r="P39" s="10">
        <f>IFERROR(SUMIFS('Base bordo'!G$2:G$746,'Base bordo'!C$2:C$746,A39,'Base bordo'!B$2:B$746,B39),0)</f>
        <v>9.9313888888888897</v>
      </c>
      <c r="Q39" s="10">
        <f>IFERROR(SUMIFS('Base bordo'!H$2:H$746,'Base bordo'!C$2:C$746,A39,'Base bordo'!B$2:B$746,B39,'Base bordo'!F$2:F$746,"DESLOCAMENTO VAZIO"),0)</f>
        <v>272442.8</v>
      </c>
      <c r="R39" s="10">
        <f>IFERROR(SUMIFS('Base bordo'!I$2:I$746,'Base bordo'!C$2:C$746,A39,'Base bordo'!B$2:B$746,B39,'Base bordo'!F$2:F$746,"DESLOCAMENTO VAZIO"),0)</f>
        <v>8267</v>
      </c>
      <c r="S39" s="30">
        <f t="shared" si="7"/>
        <v>32.955461473327688</v>
      </c>
      <c r="T39" s="10">
        <f>IFERROR(SUMIFS('Base bordo'!H$2:H$746,'Base bordo'!C$2:C$746,A39,'Base bordo'!B$2:B$746,B39,'Base bordo'!F$2:F$746,"DESLOCAMENTO CARREGADO"),0)</f>
        <v>216680.51</v>
      </c>
      <c r="U39" s="10">
        <f>IFERROR(SUMIFS('Base bordo'!I$2:I$746,'Base bordo'!C$2:C$746,A39,'Base bordo'!B$2:B$746,B39,'Base bordo'!F$2:F$746,"DESLOCAMENTO CARREGADO"),0)</f>
        <v>7566</v>
      </c>
      <c r="V39" s="30">
        <f t="shared" si="8"/>
        <v>28.638713983610891</v>
      </c>
      <c r="W39" s="9">
        <f t="shared" si="9"/>
        <v>0.23122535171873687</v>
      </c>
      <c r="X39" s="9">
        <f t="shared" si="10"/>
        <v>0.21161860543171199</v>
      </c>
      <c r="Y39" s="9">
        <f t="shared" si="11"/>
        <v>0.55715604284955111</v>
      </c>
    </row>
    <row r="40" spans="1:25" ht="15" customHeight="1" x14ac:dyDescent="0.35">
      <c r="A40" s="52">
        <v>8013482</v>
      </c>
      <c r="B40" s="51">
        <v>46117</v>
      </c>
      <c r="C40" s="7" t="s">
        <v>124</v>
      </c>
      <c r="D40" s="10">
        <f>IFERROR(SUMIFS('Base bordo'!G$2:G$746,'Base bordo'!C$2:C$746,A40,'Base bordo'!B$2:B$746,B40,'Base bordo'!F$2:F$746,"DESLOCAMENTO VAZIO"),0)</f>
        <v>1.7844444444444445</v>
      </c>
      <c r="E40" s="10">
        <f>IFERROR(SUMIFS('Base bordo'!G$2:G$746,'Base bordo'!C$2:C$746,A40,'Base bordo'!B$2:B$746,B40,'Base bordo'!F$2:F$746,"DESLOCAMENTO CARREGADO"),0)</f>
        <v>0</v>
      </c>
      <c r="F40" s="10">
        <f>IFERROR(SUMIFS('Base bordo'!G$2:G$746,'Base bordo'!C$2:C$746,A40,'Base bordo'!B$2:B$746,B40,'Base bordo'!F$2:F$746,"DESLOCAMENTO"),0)</f>
        <v>0</v>
      </c>
      <c r="G40" s="10">
        <f>IFERROR(SUMIFS('Base bordo'!G$2:G$746,'Base bordo'!C$2:C$746,A40,'Base bordo'!B$2:B$746,B40,'Base bordo'!F$2:F$746,"CARREGAMENTO"),0)</f>
        <v>0</v>
      </c>
      <c r="H40" s="10">
        <f>IFERROR(SUMIFS('Base bordo'!G$2:G$746,'Base bordo'!C$2:C$746,A40,'Base bordo'!B$2:B$746,B40,'Base bordo'!F$2:F$746,"AGUARDANDO TRANSBORDO"),0)</f>
        <v>3.6680555555555556</v>
      </c>
      <c r="I40" s="10">
        <f>IFERROR(SUMIFS('Base bordo'!G$2:G$746,'Base bordo'!C$2:C$746,A40,'Base bordo'!B$2:B$746,B40,'Base bordo'!F$2:F$746,"PÁTIO INTERNO"),0)+IFERROR(SUMIFS('Base bordo'!G$2:G$746,'Base bordo'!C$2:C$746,A40,'Base bordo'!B$2:B$746,B40,'Base bordo'!F$2:F$746,"PÁTIO EXTERNO"),0)+IFERROR(SUMIFS('Base bordo'!G$2:G$746,'Base bordo'!C$2:C$746,A40,'Base bordo'!B$2:B$746,B40,'Base bordo'!F$2:F$746,"PATIO - RESERVA"),0)+IFERROR(SUMIFS('Base bordo'!G$2:G$746,'Base bordo'!C$2:C$746,A40,'Base bordo'!B$2:B$746,B40,'Base bordo'!F$2:F$746,"MANOBRA CARRETAS-PATIO"),0)</f>
        <v>0</v>
      </c>
      <c r="J40" s="10">
        <f>IFERROR(SUMIFS('Base bordo'!G$2:G$746,'Base bordo'!C$2:C$746,A40,'Base bordo'!B$2:B$746,B40,'Base bordo'!F$2:F$746,"BALANÇA - ENTRADA"),0)+IFERROR(SUMIFS('Base bordo'!G$2:G$746,'Base bordo'!C$2:C$746,A40,'Base bordo'!B$2:B$746,B40,'Base bordo'!F$2:F$746,"BALANÇA - SAÍDA"),0)</f>
        <v>0</v>
      </c>
      <c r="K40" s="10">
        <f>IFERROR(SUMIFS('Base bordo'!G$2:G$746,'Base bordo'!C$2:C$746,A40,'Base bordo'!B$2:B$746,B40,'Base bordo'!F$2:F$746,"MAN PREVENTIVA - MECANICA"),0)+IFERROR(SUMIFS('Base bordo'!G$2:G$746,'Base bordo'!C$2:C$746,A40,'Base bordo'!B$2:B$746,B40,'Base bordo'!F$2:F$746,"MAN CORRETIVA - MECANICA"),0)</f>
        <v>0</v>
      </c>
      <c r="L40" s="10">
        <f>IFERROR(SUMIFS('Base bordo'!G$2:G$746,'Base bordo'!C$2:C$746,A40,'Base bordo'!B$2:B$746,B40,'Base bordo'!F$2:F$746,"MANUTENCAO - T O"),0)+IFERROR(SUMIFS('Base bordo'!G$2:G$746,'Base bordo'!C$2:C$746,A40,'Base bordo'!B$2:B$746,B40,'Base bordo'!F$2:F$746,"MANUTENCAO BORRACHARIA"),0)+IFERROR(SUMIFS('Base bordo'!G$2:G$746,'Base bordo'!C$2:C$746,A40,'Base bordo'!B$2:B$746,B40,'Base bordo'!F$2:F$746,"MANUTENCAO EXTERNA  CONCESSIONARIA"),0)+IFERROR(SUMIFS('Base bordo'!G$2:G$746,'Base bordo'!C$2:C$746,A40,'Base bordo'!B$2:B$746,B40,'Base bordo'!F$2:F$746,"MANUTENCAO TELEMETRIA"),0)</f>
        <v>18.442222222222224</v>
      </c>
      <c r="M40" s="10">
        <f>IFERROR(SUMIFS('Base bordo'!G$2:G$746,'Base bordo'!C$2:C$746,A40,'Base bordo'!B$2:B$746,B40,'Base bordo'!F$2:F$746,"AGUARDANDO MANUTENCAO"),0)</f>
        <v>0</v>
      </c>
      <c r="N40" s="10">
        <f>IFERROR(SUMIFS('Base bordo'!G$2:G$746,'Base bordo'!C$2:C$746,A40,'Base bordo'!B$2:B$746,B40,'Base bordo'!F$2:F$746,"SEM APONTAMENTO"),0)</f>
        <v>0</v>
      </c>
      <c r="O40" s="10">
        <f t="shared" si="6"/>
        <v>0.10527777777777558</v>
      </c>
      <c r="P40" s="10">
        <f>IFERROR(SUMIFS('Base bordo'!G$2:G$746,'Base bordo'!C$2:C$746,A40,'Base bordo'!B$2:B$746,B40),0)</f>
        <v>24</v>
      </c>
      <c r="Q40" s="10">
        <f>IFERROR(SUMIFS('Base bordo'!H$2:H$746,'Base bordo'!C$2:C$746,A40,'Base bordo'!B$2:B$746,B40,'Base bordo'!F$2:F$746,"DESLOCAMENTO VAZIO"),0)</f>
        <v>267139.11</v>
      </c>
      <c r="R40" s="10">
        <f>IFERROR(SUMIFS('Base bordo'!I$2:I$746,'Base bordo'!C$2:C$746,A40,'Base bordo'!B$2:B$746,B40,'Base bordo'!F$2:F$746,"DESLOCAMENTO VAZIO"),0)</f>
        <v>6424</v>
      </c>
      <c r="S40" s="30">
        <f t="shared" si="7"/>
        <v>41.584543897882938</v>
      </c>
      <c r="T40" s="10">
        <f>IFERROR(SUMIFS('Base bordo'!H$2:H$746,'Base bordo'!C$2:C$746,A40,'Base bordo'!B$2:B$746,B40,'Base bordo'!F$2:F$746,"DESLOCAMENTO CARREGADO"),0)</f>
        <v>0</v>
      </c>
      <c r="U40" s="10">
        <f>IFERROR(SUMIFS('Base bordo'!I$2:I$746,'Base bordo'!C$2:C$746,A40,'Base bordo'!B$2:B$746,B40,'Base bordo'!F$2:F$746,"DESLOCAMENTO CARREGADO"),0)</f>
        <v>0</v>
      </c>
      <c r="V40" s="30" t="str">
        <f t="shared" si="8"/>
        <v/>
      </c>
      <c r="W40" s="9">
        <f t="shared" si="9"/>
        <v>7.435185185185185E-2</v>
      </c>
      <c r="X40" s="9">
        <f t="shared" si="10"/>
        <v>0</v>
      </c>
      <c r="Y40" s="9">
        <f t="shared" si="11"/>
        <v>0.92564814814814811</v>
      </c>
    </row>
    <row r="41" spans="1:25" ht="15" customHeight="1" x14ac:dyDescent="0.35">
      <c r="A41" s="52">
        <v>8013478</v>
      </c>
      <c r="B41" s="51">
        <v>46123</v>
      </c>
      <c r="C41" s="7" t="s">
        <v>124</v>
      </c>
      <c r="D41" s="10">
        <f>IFERROR(SUMIFS('Base bordo'!G$2:G$746,'Base bordo'!C$2:C$746,A41,'Base bordo'!B$2:B$746,B41,'Base bordo'!F$2:F$746,"DESLOCAMENTO VAZIO"),0)</f>
        <v>2.4488888888888889</v>
      </c>
      <c r="E41" s="10">
        <f>IFERROR(SUMIFS('Base bordo'!G$2:G$746,'Base bordo'!C$2:C$746,A41,'Base bordo'!B$2:B$746,B41,'Base bordo'!F$2:F$746,"DESLOCAMENTO CARREGADO"),0)</f>
        <v>2.4197222222222221</v>
      </c>
      <c r="F41" s="10">
        <f>IFERROR(SUMIFS('Base bordo'!G$2:G$746,'Base bordo'!C$2:C$746,A41,'Base bordo'!B$2:B$746,B41,'Base bordo'!F$2:F$746,"DESLOCAMENTO"),0)</f>
        <v>0</v>
      </c>
      <c r="G41" s="10">
        <f>IFERROR(SUMIFS('Base bordo'!G$2:G$746,'Base bordo'!C$2:C$746,A41,'Base bordo'!B$2:B$746,B41,'Base bordo'!F$2:F$746,"CARREGAMENTO"),0)</f>
        <v>0</v>
      </c>
      <c r="H41" s="10">
        <f>IFERROR(SUMIFS('Base bordo'!G$2:G$746,'Base bordo'!C$2:C$746,A41,'Base bordo'!B$2:B$746,B41,'Base bordo'!F$2:F$746,"AGUARDANDO TRANSBORDO"),0)</f>
        <v>0.2013888888888889</v>
      </c>
      <c r="I41" s="10">
        <f>IFERROR(SUMIFS('Base bordo'!G$2:G$746,'Base bordo'!C$2:C$746,A41,'Base bordo'!B$2:B$746,B41,'Base bordo'!F$2:F$746,"PÁTIO INTERNO"),0)+IFERROR(SUMIFS('Base bordo'!G$2:G$746,'Base bordo'!C$2:C$746,A41,'Base bordo'!B$2:B$746,B41,'Base bordo'!F$2:F$746,"PÁTIO EXTERNO"),0)+IFERROR(SUMIFS('Base bordo'!G$2:G$746,'Base bordo'!C$2:C$746,A41,'Base bordo'!B$2:B$746,B41,'Base bordo'!F$2:F$746,"PATIO - RESERVA"),0)+IFERROR(SUMIFS('Base bordo'!G$2:G$746,'Base bordo'!C$2:C$746,A41,'Base bordo'!B$2:B$746,B41,'Base bordo'!F$2:F$746,"MANOBRA CARRETAS-PATIO"),0)</f>
        <v>0.60305555555555557</v>
      </c>
      <c r="J41" s="10">
        <f>IFERROR(SUMIFS('Base bordo'!G$2:G$746,'Base bordo'!C$2:C$746,A41,'Base bordo'!B$2:B$746,B41,'Base bordo'!F$2:F$746,"BALANÇA - ENTRADA"),0)+IFERROR(SUMIFS('Base bordo'!G$2:G$746,'Base bordo'!C$2:C$746,A41,'Base bordo'!B$2:B$746,B41,'Base bordo'!F$2:F$746,"BALANÇA - SAÍDA"),0)</f>
        <v>0</v>
      </c>
      <c r="K41" s="10">
        <f>IFERROR(SUMIFS('Base bordo'!G$2:G$746,'Base bordo'!C$2:C$746,A41,'Base bordo'!B$2:B$746,B41,'Base bordo'!F$2:F$746,"MAN PREVENTIVA - MECANICA"),0)+IFERROR(SUMIFS('Base bordo'!G$2:G$746,'Base bordo'!C$2:C$746,A41,'Base bordo'!B$2:B$746,B41,'Base bordo'!F$2:F$746,"MAN CORRETIVA - MECANICA"),0)</f>
        <v>0</v>
      </c>
      <c r="L41" s="10">
        <f>IFERROR(SUMIFS('Base bordo'!G$2:G$746,'Base bordo'!C$2:C$746,A41,'Base bordo'!B$2:B$746,B41,'Base bordo'!F$2:F$746,"MANUTENCAO - T O"),0)+IFERROR(SUMIFS('Base bordo'!G$2:G$746,'Base bordo'!C$2:C$746,A41,'Base bordo'!B$2:B$746,B41,'Base bordo'!F$2:F$746,"MANUTENCAO BORRACHARIA"),0)+IFERROR(SUMIFS('Base bordo'!G$2:G$746,'Base bordo'!C$2:C$746,A41,'Base bordo'!B$2:B$746,B41,'Base bordo'!F$2:F$746,"MANUTENCAO EXTERNA  CONCESSIONARIA"),0)+IFERROR(SUMIFS('Base bordo'!G$2:G$746,'Base bordo'!C$2:C$746,A41,'Base bordo'!B$2:B$746,B41,'Base bordo'!F$2:F$746,"MANUTENCAO TELEMETRIA"),0)</f>
        <v>0</v>
      </c>
      <c r="M41" s="10">
        <f>IFERROR(SUMIFS('Base bordo'!G$2:G$746,'Base bordo'!C$2:C$746,A41,'Base bordo'!B$2:B$746,B41,'Base bordo'!F$2:F$746,"AGUARDANDO MANUTENCAO"),0)</f>
        <v>0</v>
      </c>
      <c r="N41" s="10">
        <f>IFERROR(SUMIFS('Base bordo'!G$2:G$746,'Base bordo'!C$2:C$746,A41,'Base bordo'!B$2:B$746,B41,'Base bordo'!F$2:F$746,"SEM APONTAMENTO"),0)</f>
        <v>0</v>
      </c>
      <c r="O41" s="10">
        <f t="shared" si="6"/>
        <v>0.14583333333333304</v>
      </c>
      <c r="P41" s="10">
        <f>IFERROR(SUMIFS('Base bordo'!G$2:G$746,'Base bordo'!C$2:C$746,A41,'Base bordo'!B$2:B$746,B41),0)</f>
        <v>5.818888888888889</v>
      </c>
      <c r="Q41" s="10">
        <f>IFERROR(SUMIFS('Base bordo'!H$2:H$746,'Base bordo'!C$2:C$746,A41,'Base bordo'!B$2:B$746,B41,'Base bordo'!F$2:F$746,"DESLOCAMENTO VAZIO"),0)</f>
        <v>265991.25</v>
      </c>
      <c r="R41" s="10">
        <f>IFERROR(SUMIFS('Base bordo'!I$2:I$746,'Base bordo'!C$2:C$746,A41,'Base bordo'!B$2:B$746,B41,'Base bordo'!F$2:F$746,"DESLOCAMENTO VAZIO"),0)</f>
        <v>8816</v>
      </c>
      <c r="S41" s="30">
        <f t="shared" si="7"/>
        <v>30.171421279491835</v>
      </c>
      <c r="T41" s="10">
        <f>IFERROR(SUMIFS('Base bordo'!H$2:H$746,'Base bordo'!C$2:C$746,A41,'Base bordo'!B$2:B$746,B41,'Base bordo'!F$2:F$746,"DESLOCAMENTO CARREGADO"),0)</f>
        <v>247310.05000000002</v>
      </c>
      <c r="U41" s="10">
        <f>IFERROR(SUMIFS('Base bordo'!I$2:I$746,'Base bordo'!C$2:C$746,A41,'Base bordo'!B$2:B$746,B41,'Base bordo'!F$2:F$746,"DESLOCAMENTO CARREGADO"),0)</f>
        <v>8705</v>
      </c>
      <c r="V41" s="30">
        <f t="shared" si="8"/>
        <v>28.410114876507755</v>
      </c>
      <c r="W41" s="9">
        <f t="shared" si="9"/>
        <v>0.42085163261409203</v>
      </c>
      <c r="X41" s="9">
        <f t="shared" si="10"/>
        <v>0.41583922092801218</v>
      </c>
      <c r="Y41" s="9">
        <f t="shared" si="11"/>
        <v>0.16330914645789574</v>
      </c>
    </row>
    <row r="42" spans="1:25" ht="15" customHeight="1" x14ac:dyDescent="0.35">
      <c r="A42" s="52">
        <v>8013473</v>
      </c>
      <c r="B42" s="51">
        <v>46123</v>
      </c>
      <c r="C42" s="7" t="s">
        <v>124</v>
      </c>
      <c r="D42" s="10">
        <f>IFERROR(SUMIFS('Base bordo'!G$2:G$746,'Base bordo'!C$2:C$746,A42,'Base bordo'!B$2:B$746,B42,'Base bordo'!F$2:F$746,"DESLOCAMENTO VAZIO"),0)</f>
        <v>2.2419444444444445</v>
      </c>
      <c r="E42" s="10">
        <f>IFERROR(SUMIFS('Base bordo'!G$2:G$746,'Base bordo'!C$2:C$746,A42,'Base bordo'!B$2:B$746,B42,'Base bordo'!F$2:F$746,"DESLOCAMENTO CARREGADO"),0)</f>
        <v>2.7183333333333333</v>
      </c>
      <c r="F42" s="10">
        <f>IFERROR(SUMIFS('Base bordo'!G$2:G$746,'Base bordo'!C$2:C$746,A42,'Base bordo'!B$2:B$746,B42,'Base bordo'!F$2:F$746,"DESLOCAMENTO"),0)</f>
        <v>0</v>
      </c>
      <c r="G42" s="10">
        <f>IFERROR(SUMIFS('Base bordo'!G$2:G$746,'Base bordo'!C$2:C$746,A42,'Base bordo'!B$2:B$746,B42,'Base bordo'!F$2:F$746,"CARREGAMENTO"),0)</f>
        <v>0</v>
      </c>
      <c r="H42" s="10">
        <f>IFERROR(SUMIFS('Base bordo'!G$2:G$746,'Base bordo'!C$2:C$746,A42,'Base bordo'!B$2:B$746,B42,'Base bordo'!F$2:F$746,"AGUARDANDO TRANSBORDO"),0)</f>
        <v>1.3844444444444444</v>
      </c>
      <c r="I42" s="10">
        <f>IFERROR(SUMIFS('Base bordo'!G$2:G$746,'Base bordo'!C$2:C$746,A42,'Base bordo'!B$2:B$746,B42,'Base bordo'!F$2:F$746,"PÁTIO INTERNO"),0)+IFERROR(SUMIFS('Base bordo'!G$2:G$746,'Base bordo'!C$2:C$746,A42,'Base bordo'!B$2:B$746,B42,'Base bordo'!F$2:F$746,"PÁTIO EXTERNO"),0)+IFERROR(SUMIFS('Base bordo'!G$2:G$746,'Base bordo'!C$2:C$746,A42,'Base bordo'!B$2:B$746,B42,'Base bordo'!F$2:F$746,"PATIO - RESERVA"),0)+IFERROR(SUMIFS('Base bordo'!G$2:G$746,'Base bordo'!C$2:C$746,A42,'Base bordo'!B$2:B$746,B42,'Base bordo'!F$2:F$746,"MANOBRA CARRETAS-PATIO"),0)</f>
        <v>0.63833333333333331</v>
      </c>
      <c r="J42" s="10">
        <f>IFERROR(SUMIFS('Base bordo'!G$2:G$746,'Base bordo'!C$2:C$746,A42,'Base bordo'!B$2:B$746,B42,'Base bordo'!F$2:F$746,"BALANÇA - ENTRADA"),0)+IFERROR(SUMIFS('Base bordo'!G$2:G$746,'Base bordo'!C$2:C$746,A42,'Base bordo'!B$2:B$746,B42,'Base bordo'!F$2:F$746,"BALANÇA - SAÍDA"),0)</f>
        <v>0</v>
      </c>
      <c r="K42" s="10">
        <f>IFERROR(SUMIFS('Base bordo'!G$2:G$746,'Base bordo'!C$2:C$746,A42,'Base bordo'!B$2:B$746,B42,'Base bordo'!F$2:F$746,"MAN PREVENTIVA - MECANICA"),0)+IFERROR(SUMIFS('Base bordo'!G$2:G$746,'Base bordo'!C$2:C$746,A42,'Base bordo'!B$2:B$746,B42,'Base bordo'!F$2:F$746,"MAN CORRETIVA - MECANICA"),0)</f>
        <v>0</v>
      </c>
      <c r="L42" s="10">
        <f>IFERROR(SUMIFS('Base bordo'!G$2:G$746,'Base bordo'!C$2:C$746,A42,'Base bordo'!B$2:B$746,B42,'Base bordo'!F$2:F$746,"MANUTENCAO - T O"),0)+IFERROR(SUMIFS('Base bordo'!G$2:G$746,'Base bordo'!C$2:C$746,A42,'Base bordo'!B$2:B$746,B42,'Base bordo'!F$2:F$746,"MANUTENCAO BORRACHARIA"),0)+IFERROR(SUMIFS('Base bordo'!G$2:G$746,'Base bordo'!C$2:C$746,A42,'Base bordo'!B$2:B$746,B42,'Base bordo'!F$2:F$746,"MANUTENCAO EXTERNA  CONCESSIONARIA"),0)+IFERROR(SUMIFS('Base bordo'!G$2:G$746,'Base bordo'!C$2:C$746,A42,'Base bordo'!B$2:B$746,B42,'Base bordo'!F$2:F$746,"MANUTENCAO TELEMETRIA"),0)</f>
        <v>0</v>
      </c>
      <c r="M42" s="10">
        <f>IFERROR(SUMIFS('Base bordo'!G$2:G$746,'Base bordo'!C$2:C$746,A42,'Base bordo'!B$2:B$746,B42,'Base bordo'!F$2:F$746,"AGUARDANDO MANUTENCAO"),0)</f>
        <v>0</v>
      </c>
      <c r="N42" s="10">
        <f>IFERROR(SUMIFS('Base bordo'!G$2:G$746,'Base bordo'!C$2:C$746,A42,'Base bordo'!B$2:B$746,B42,'Base bordo'!F$2:F$746,"SEM APONTAMENTO"),0)</f>
        <v>0</v>
      </c>
      <c r="O42" s="10">
        <f t="shared" si="6"/>
        <v>0.22777777777777786</v>
      </c>
      <c r="P42" s="10">
        <f>IFERROR(SUMIFS('Base bordo'!G$2:G$746,'Base bordo'!C$2:C$746,A42,'Base bordo'!B$2:B$746,B42),0)</f>
        <v>7.2108333333333334</v>
      </c>
      <c r="Q42" s="10">
        <f>IFERROR(SUMIFS('Base bordo'!H$2:H$746,'Base bordo'!C$2:C$746,A42,'Base bordo'!B$2:B$746,B42,'Base bordo'!F$2:F$746,"DESLOCAMENTO VAZIO"),0)</f>
        <v>253000.22999999998</v>
      </c>
      <c r="R42" s="10">
        <f>IFERROR(SUMIFS('Base bordo'!I$2:I$746,'Base bordo'!C$2:C$746,A42,'Base bordo'!B$2:B$746,B42,'Base bordo'!F$2:F$746,"DESLOCAMENTO VAZIO"),0)</f>
        <v>8071</v>
      </c>
      <c r="S42" s="30">
        <f t="shared" si="7"/>
        <v>31.346825672159582</v>
      </c>
      <c r="T42" s="10">
        <f>IFERROR(SUMIFS('Base bordo'!H$2:H$746,'Base bordo'!C$2:C$746,A42,'Base bordo'!B$2:B$746,B42,'Base bordo'!F$2:F$746,"DESLOCAMENTO CARREGADO"),0)</f>
        <v>222192.59000000003</v>
      </c>
      <c r="U42" s="10">
        <f>IFERROR(SUMIFS('Base bordo'!I$2:I$746,'Base bordo'!C$2:C$746,A42,'Base bordo'!B$2:B$746,B42,'Base bordo'!F$2:F$746,"DESLOCAMENTO CARREGADO"),0)</f>
        <v>9786</v>
      </c>
      <c r="V42" s="30">
        <f t="shared" si="8"/>
        <v>22.705149192724303</v>
      </c>
      <c r="W42" s="9">
        <f t="shared" si="9"/>
        <v>0.31091336338071573</v>
      </c>
      <c r="X42" s="9">
        <f t="shared" si="10"/>
        <v>0.37697908239916789</v>
      </c>
      <c r="Y42" s="9">
        <f t="shared" si="11"/>
        <v>0.31210755422011638</v>
      </c>
    </row>
    <row r="43" spans="1:25" ht="15" customHeight="1" x14ac:dyDescent="0.35">
      <c r="A43" s="52">
        <v>8013484</v>
      </c>
      <c r="B43" s="51">
        <v>46117</v>
      </c>
      <c r="C43" s="7" t="s">
        <v>124</v>
      </c>
      <c r="D43" s="10">
        <f>IFERROR(SUMIFS('Base bordo'!G$2:G$746,'Base bordo'!C$2:C$746,A43,'Base bordo'!B$2:B$746,B43,'Base bordo'!F$2:F$746,"DESLOCAMENTO VAZIO"),0)</f>
        <v>1.8608333333333333</v>
      </c>
      <c r="E43" s="10">
        <f>IFERROR(SUMIFS('Base bordo'!G$2:G$746,'Base bordo'!C$2:C$746,A43,'Base bordo'!B$2:B$746,B43,'Base bordo'!F$2:F$746,"DESLOCAMENTO CARREGADO"),0)</f>
        <v>0</v>
      </c>
      <c r="F43" s="10">
        <f>IFERROR(SUMIFS('Base bordo'!G$2:G$746,'Base bordo'!C$2:C$746,A43,'Base bordo'!B$2:B$746,B43,'Base bordo'!F$2:F$746,"DESLOCAMENTO"),0)</f>
        <v>0.1438888888888889</v>
      </c>
      <c r="G43" s="10">
        <f>IFERROR(SUMIFS('Base bordo'!G$2:G$746,'Base bordo'!C$2:C$746,A43,'Base bordo'!B$2:B$746,B43,'Base bordo'!F$2:F$746,"CARREGAMENTO"),0)</f>
        <v>4.3816666666666668</v>
      </c>
      <c r="H43" s="10">
        <f>IFERROR(SUMIFS('Base bordo'!G$2:G$746,'Base bordo'!C$2:C$746,A43,'Base bordo'!B$2:B$746,B43,'Base bordo'!F$2:F$746,"AGUARDANDO TRANSBORDO"),0)</f>
        <v>0.39111111111111113</v>
      </c>
      <c r="I43" s="10">
        <f>IFERROR(SUMIFS('Base bordo'!G$2:G$746,'Base bordo'!C$2:C$746,A43,'Base bordo'!B$2:B$746,B43,'Base bordo'!F$2:F$746,"PÁTIO INTERNO"),0)+IFERROR(SUMIFS('Base bordo'!G$2:G$746,'Base bordo'!C$2:C$746,A43,'Base bordo'!B$2:B$746,B43,'Base bordo'!F$2:F$746,"PÁTIO EXTERNO"),0)+IFERROR(SUMIFS('Base bordo'!G$2:G$746,'Base bordo'!C$2:C$746,A43,'Base bordo'!B$2:B$746,B43,'Base bordo'!F$2:F$746,"PATIO - RESERVA"),0)+IFERROR(SUMIFS('Base bordo'!G$2:G$746,'Base bordo'!C$2:C$746,A43,'Base bordo'!B$2:B$746,B43,'Base bordo'!F$2:F$746,"MANOBRA CARRETAS-PATIO"),0)</f>
        <v>0</v>
      </c>
      <c r="J43" s="10">
        <f>IFERROR(SUMIFS('Base bordo'!G$2:G$746,'Base bordo'!C$2:C$746,A43,'Base bordo'!B$2:B$746,B43,'Base bordo'!F$2:F$746,"BALANÇA - ENTRADA"),0)+IFERROR(SUMIFS('Base bordo'!G$2:G$746,'Base bordo'!C$2:C$746,A43,'Base bordo'!B$2:B$746,B43,'Base bordo'!F$2:F$746,"BALANÇA - SAÍDA"),0)</f>
        <v>0</v>
      </c>
      <c r="K43" s="10">
        <f>IFERROR(SUMIFS('Base bordo'!G$2:G$746,'Base bordo'!C$2:C$746,A43,'Base bordo'!B$2:B$746,B43,'Base bordo'!F$2:F$746,"MAN PREVENTIVA - MECANICA"),0)+IFERROR(SUMIFS('Base bordo'!G$2:G$746,'Base bordo'!C$2:C$746,A43,'Base bordo'!B$2:B$746,B43,'Base bordo'!F$2:F$746,"MAN CORRETIVA - MECANICA"),0)</f>
        <v>8.5516666666666659</v>
      </c>
      <c r="L43" s="10">
        <f>IFERROR(SUMIFS('Base bordo'!G$2:G$746,'Base bordo'!C$2:C$746,A43,'Base bordo'!B$2:B$746,B43,'Base bordo'!F$2:F$746,"MANUTENCAO - T O"),0)+IFERROR(SUMIFS('Base bordo'!G$2:G$746,'Base bordo'!C$2:C$746,A43,'Base bordo'!B$2:B$746,B43,'Base bordo'!F$2:F$746,"MANUTENCAO BORRACHARIA"),0)+IFERROR(SUMIFS('Base bordo'!G$2:G$746,'Base bordo'!C$2:C$746,A43,'Base bordo'!B$2:B$746,B43,'Base bordo'!F$2:F$746,"MANUTENCAO EXTERNA  CONCESSIONARIA"),0)+IFERROR(SUMIFS('Base bordo'!G$2:G$746,'Base bordo'!C$2:C$746,A43,'Base bordo'!B$2:B$746,B43,'Base bordo'!F$2:F$746,"MANUTENCAO TELEMETRIA"),0)</f>
        <v>8.6052777777777774</v>
      </c>
      <c r="M43" s="10">
        <f>IFERROR(SUMIFS('Base bordo'!G$2:G$746,'Base bordo'!C$2:C$746,A43,'Base bordo'!B$2:B$746,B43,'Base bordo'!F$2:F$746,"AGUARDANDO MANUTENCAO"),0)</f>
        <v>0</v>
      </c>
      <c r="N43" s="10">
        <f>IFERROR(SUMIFS('Base bordo'!G$2:G$746,'Base bordo'!C$2:C$746,A43,'Base bordo'!B$2:B$746,B43,'Base bordo'!F$2:F$746,"SEM APONTAMENTO"),0)</f>
        <v>0</v>
      </c>
      <c r="O43" s="10">
        <f t="shared" si="6"/>
        <v>6.5555555555555145E-2</v>
      </c>
      <c r="P43" s="10">
        <f>IFERROR(SUMIFS('Base bordo'!G$2:G$746,'Base bordo'!C$2:C$746,A43,'Base bordo'!B$2:B$746,B43),0)</f>
        <v>24</v>
      </c>
      <c r="Q43" s="10">
        <f>IFERROR(SUMIFS('Base bordo'!H$2:H$746,'Base bordo'!C$2:C$746,A43,'Base bordo'!B$2:B$746,B43,'Base bordo'!F$2:F$746,"DESLOCAMENTO VAZIO"),0)</f>
        <v>251172.82</v>
      </c>
      <c r="R43" s="10">
        <f>IFERROR(SUMIFS('Base bordo'!I$2:I$746,'Base bordo'!C$2:C$746,A43,'Base bordo'!B$2:B$746,B43,'Base bordo'!F$2:F$746,"DESLOCAMENTO VAZIO"),0)</f>
        <v>6699</v>
      </c>
      <c r="S43" s="30">
        <f t="shared" si="7"/>
        <v>37.494076727869832</v>
      </c>
      <c r="T43" s="10">
        <f>IFERROR(SUMIFS('Base bordo'!H$2:H$746,'Base bordo'!C$2:C$746,A43,'Base bordo'!B$2:B$746,B43,'Base bordo'!F$2:F$746,"DESLOCAMENTO CARREGADO"),0)</f>
        <v>0</v>
      </c>
      <c r="U43" s="10">
        <f>IFERROR(SUMIFS('Base bordo'!I$2:I$746,'Base bordo'!C$2:C$746,A43,'Base bordo'!B$2:B$746,B43,'Base bordo'!F$2:F$746,"DESLOCAMENTO CARREGADO"),0)</f>
        <v>0</v>
      </c>
      <c r="V43" s="30" t="str">
        <f t="shared" si="8"/>
        <v/>
      </c>
      <c r="W43" s="9">
        <f t="shared" si="9"/>
        <v>7.7534722222222227E-2</v>
      </c>
      <c r="X43" s="9">
        <f t="shared" si="10"/>
        <v>0</v>
      </c>
      <c r="Y43" s="9">
        <f t="shared" si="11"/>
        <v>0.92246527777777776</v>
      </c>
    </row>
    <row r="44" spans="1:25" ht="15" customHeight="1" x14ac:dyDescent="0.35">
      <c r="A44" s="52">
        <v>8013478</v>
      </c>
      <c r="B44" s="51">
        <v>46123</v>
      </c>
      <c r="C44" s="7" t="s">
        <v>124</v>
      </c>
      <c r="D44" s="10">
        <f>IFERROR(SUMIFS('Base bordo'!G$2:G$746,'Base bordo'!C$2:C$746,A44,'Base bordo'!B$2:B$746,B44,'Base bordo'!F$2:F$746,"DESLOCAMENTO VAZIO"),0)</f>
        <v>2.4488888888888889</v>
      </c>
      <c r="E44" s="10">
        <f>IFERROR(SUMIFS('Base bordo'!G$2:G$746,'Base bordo'!C$2:C$746,A44,'Base bordo'!B$2:B$746,B44,'Base bordo'!F$2:F$746,"DESLOCAMENTO CARREGADO"),0)</f>
        <v>2.4197222222222221</v>
      </c>
      <c r="F44" s="10">
        <f>IFERROR(SUMIFS('Base bordo'!G$2:G$746,'Base bordo'!C$2:C$746,A44,'Base bordo'!B$2:B$746,B44,'Base bordo'!F$2:F$746,"DESLOCAMENTO"),0)</f>
        <v>0</v>
      </c>
      <c r="G44" s="10">
        <f>IFERROR(SUMIFS('Base bordo'!G$2:G$746,'Base bordo'!C$2:C$746,A44,'Base bordo'!B$2:B$746,B44,'Base bordo'!F$2:F$746,"CARREGAMENTO"),0)</f>
        <v>0</v>
      </c>
      <c r="H44" s="10">
        <f>IFERROR(SUMIFS('Base bordo'!G$2:G$746,'Base bordo'!C$2:C$746,A44,'Base bordo'!B$2:B$746,B44,'Base bordo'!F$2:F$746,"AGUARDANDO TRANSBORDO"),0)</f>
        <v>0.2013888888888889</v>
      </c>
      <c r="I44" s="10">
        <f>IFERROR(SUMIFS('Base bordo'!G$2:G$746,'Base bordo'!C$2:C$746,A44,'Base bordo'!B$2:B$746,B44,'Base bordo'!F$2:F$746,"PÁTIO INTERNO"),0)+IFERROR(SUMIFS('Base bordo'!G$2:G$746,'Base bordo'!C$2:C$746,A44,'Base bordo'!B$2:B$746,B44,'Base bordo'!F$2:F$746,"PÁTIO EXTERNO"),0)+IFERROR(SUMIFS('Base bordo'!G$2:G$746,'Base bordo'!C$2:C$746,A44,'Base bordo'!B$2:B$746,B44,'Base bordo'!F$2:F$746,"PATIO - RESERVA"),0)+IFERROR(SUMIFS('Base bordo'!G$2:G$746,'Base bordo'!C$2:C$746,A44,'Base bordo'!B$2:B$746,B44,'Base bordo'!F$2:F$746,"MANOBRA CARRETAS-PATIO"),0)</f>
        <v>0.60305555555555557</v>
      </c>
      <c r="J44" s="10">
        <f>IFERROR(SUMIFS('Base bordo'!G$2:G$746,'Base bordo'!C$2:C$746,A44,'Base bordo'!B$2:B$746,B44,'Base bordo'!F$2:F$746,"BALANÇA - ENTRADA"),0)+IFERROR(SUMIFS('Base bordo'!G$2:G$746,'Base bordo'!C$2:C$746,A44,'Base bordo'!B$2:B$746,B44,'Base bordo'!F$2:F$746,"BALANÇA - SAÍDA"),0)</f>
        <v>0</v>
      </c>
      <c r="K44" s="10">
        <f>IFERROR(SUMIFS('Base bordo'!G$2:G$746,'Base bordo'!C$2:C$746,A44,'Base bordo'!B$2:B$746,B44,'Base bordo'!F$2:F$746,"MAN PREVENTIVA - MECANICA"),0)+IFERROR(SUMIFS('Base bordo'!G$2:G$746,'Base bordo'!C$2:C$746,A44,'Base bordo'!B$2:B$746,B44,'Base bordo'!F$2:F$746,"MAN CORRETIVA - MECANICA"),0)</f>
        <v>0</v>
      </c>
      <c r="L44" s="10">
        <f>IFERROR(SUMIFS('Base bordo'!G$2:G$746,'Base bordo'!C$2:C$746,A44,'Base bordo'!B$2:B$746,B44,'Base bordo'!F$2:F$746,"MANUTENCAO - T O"),0)+IFERROR(SUMIFS('Base bordo'!G$2:G$746,'Base bordo'!C$2:C$746,A44,'Base bordo'!B$2:B$746,B44,'Base bordo'!F$2:F$746,"MANUTENCAO BORRACHARIA"),0)+IFERROR(SUMIFS('Base bordo'!G$2:G$746,'Base bordo'!C$2:C$746,A44,'Base bordo'!B$2:B$746,B44,'Base bordo'!F$2:F$746,"MANUTENCAO EXTERNA  CONCESSIONARIA"),0)+IFERROR(SUMIFS('Base bordo'!G$2:G$746,'Base bordo'!C$2:C$746,A44,'Base bordo'!B$2:B$746,B44,'Base bordo'!F$2:F$746,"MANUTENCAO TELEMETRIA"),0)</f>
        <v>0</v>
      </c>
      <c r="M44" s="10">
        <f>IFERROR(SUMIFS('Base bordo'!G$2:G$746,'Base bordo'!C$2:C$746,A44,'Base bordo'!B$2:B$746,B44,'Base bordo'!F$2:F$746,"AGUARDANDO MANUTENCAO"),0)</f>
        <v>0</v>
      </c>
      <c r="N44" s="10">
        <f>IFERROR(SUMIFS('Base bordo'!G$2:G$746,'Base bordo'!C$2:C$746,A44,'Base bordo'!B$2:B$746,B44,'Base bordo'!F$2:F$746,"SEM APONTAMENTO"),0)</f>
        <v>0</v>
      </c>
      <c r="O44" s="10">
        <f t="shared" si="6"/>
        <v>0.14583333333333304</v>
      </c>
      <c r="P44" s="10">
        <f>IFERROR(SUMIFS('Base bordo'!G$2:G$746,'Base bordo'!C$2:C$746,A44,'Base bordo'!B$2:B$746,B44),0)</f>
        <v>5.818888888888889</v>
      </c>
      <c r="Q44" s="10">
        <f>IFERROR(SUMIFS('Base bordo'!H$2:H$746,'Base bordo'!C$2:C$746,A44,'Base bordo'!B$2:B$746,B44,'Base bordo'!F$2:F$746,"DESLOCAMENTO VAZIO"),0)</f>
        <v>265991.25</v>
      </c>
      <c r="R44" s="10">
        <f>IFERROR(SUMIFS('Base bordo'!I$2:I$746,'Base bordo'!C$2:C$746,A44,'Base bordo'!B$2:B$746,B44,'Base bordo'!F$2:F$746,"DESLOCAMENTO VAZIO"),0)</f>
        <v>8816</v>
      </c>
      <c r="S44" s="30">
        <f t="shared" si="7"/>
        <v>30.171421279491835</v>
      </c>
      <c r="T44" s="10">
        <f>IFERROR(SUMIFS('Base bordo'!H$2:H$746,'Base bordo'!C$2:C$746,A44,'Base bordo'!B$2:B$746,B44,'Base bordo'!F$2:F$746,"DESLOCAMENTO CARREGADO"),0)</f>
        <v>247310.05000000002</v>
      </c>
      <c r="U44" s="10">
        <f>IFERROR(SUMIFS('Base bordo'!I$2:I$746,'Base bordo'!C$2:C$746,A44,'Base bordo'!B$2:B$746,B44,'Base bordo'!F$2:F$746,"DESLOCAMENTO CARREGADO"),0)</f>
        <v>8705</v>
      </c>
      <c r="V44" s="30">
        <f t="shared" si="8"/>
        <v>28.410114876507755</v>
      </c>
      <c r="W44" s="9">
        <f t="shared" si="9"/>
        <v>0.42085163261409203</v>
      </c>
      <c r="X44" s="9">
        <f t="shared" si="10"/>
        <v>0.41583922092801218</v>
      </c>
      <c r="Y44" s="9">
        <f t="shared" si="11"/>
        <v>0.16330914645789574</v>
      </c>
    </row>
    <row r="45" spans="1:25" ht="15" customHeight="1" x14ac:dyDescent="0.35">
      <c r="A45" s="52">
        <v>8013462</v>
      </c>
      <c r="B45" s="51">
        <v>46123</v>
      </c>
      <c r="C45" s="7" t="s">
        <v>124</v>
      </c>
      <c r="D45" s="10">
        <f>IFERROR(SUMIFS('Base bordo'!G$2:G$746,'Base bordo'!C$2:C$746,A45,'Base bordo'!B$2:B$746,B45,'Base bordo'!F$2:F$746,"DESLOCAMENTO VAZIO"),0)</f>
        <v>2.4444444444444446E-2</v>
      </c>
      <c r="E45" s="10">
        <f>IFERROR(SUMIFS('Base bordo'!G$2:G$746,'Base bordo'!C$2:C$746,A45,'Base bordo'!B$2:B$746,B45,'Base bordo'!F$2:F$746,"DESLOCAMENTO CARREGADO"),0)</f>
        <v>2.9533333333333331</v>
      </c>
      <c r="F45" s="10">
        <f>IFERROR(SUMIFS('Base bordo'!G$2:G$746,'Base bordo'!C$2:C$746,A45,'Base bordo'!B$2:B$746,B45,'Base bordo'!F$2:F$746,"DESLOCAMENTO"),0)</f>
        <v>0.32861111111111113</v>
      </c>
      <c r="G45" s="10">
        <f>IFERROR(SUMIFS('Base bordo'!G$2:G$746,'Base bordo'!C$2:C$746,A45,'Base bordo'!B$2:B$746,B45,'Base bordo'!F$2:F$746,"CARREGAMENTO"),0)</f>
        <v>0</v>
      </c>
      <c r="H45" s="10">
        <f>IFERROR(SUMIFS('Base bordo'!G$2:G$746,'Base bordo'!C$2:C$746,A45,'Base bordo'!B$2:B$746,B45,'Base bordo'!F$2:F$746,"AGUARDANDO TRANSBORDO"),0)</f>
        <v>0</v>
      </c>
      <c r="I45" s="10">
        <f>IFERROR(SUMIFS('Base bordo'!G$2:G$746,'Base bordo'!C$2:C$746,A45,'Base bordo'!B$2:B$746,B45,'Base bordo'!F$2:F$746,"PÁTIO INTERNO"),0)+IFERROR(SUMIFS('Base bordo'!G$2:G$746,'Base bordo'!C$2:C$746,A45,'Base bordo'!B$2:B$746,B45,'Base bordo'!F$2:F$746,"PÁTIO EXTERNO"),0)+IFERROR(SUMIFS('Base bordo'!G$2:G$746,'Base bordo'!C$2:C$746,A45,'Base bordo'!B$2:B$746,B45,'Base bordo'!F$2:F$746,"PATIO - RESERVA"),0)+IFERROR(SUMIFS('Base bordo'!G$2:G$746,'Base bordo'!C$2:C$746,A45,'Base bordo'!B$2:B$746,B45,'Base bordo'!F$2:F$746,"MANOBRA CARRETAS-PATIO"),0)</f>
        <v>5.2366666666666664</v>
      </c>
      <c r="J45" s="10">
        <f>IFERROR(SUMIFS('Base bordo'!G$2:G$746,'Base bordo'!C$2:C$746,A45,'Base bordo'!B$2:B$746,B45,'Base bordo'!F$2:F$746,"BALANÇA - ENTRADA"),0)+IFERROR(SUMIFS('Base bordo'!G$2:G$746,'Base bordo'!C$2:C$746,A45,'Base bordo'!B$2:B$746,B45,'Base bordo'!F$2:F$746,"BALANÇA - SAÍDA"),0)</f>
        <v>0</v>
      </c>
      <c r="K45" s="10">
        <f>IFERROR(SUMIFS('Base bordo'!G$2:G$746,'Base bordo'!C$2:C$746,A45,'Base bordo'!B$2:B$746,B45,'Base bordo'!F$2:F$746,"MAN PREVENTIVA - MECANICA"),0)+IFERROR(SUMIFS('Base bordo'!G$2:G$746,'Base bordo'!C$2:C$746,A45,'Base bordo'!B$2:B$746,B45,'Base bordo'!F$2:F$746,"MAN CORRETIVA - MECANICA"),0)</f>
        <v>0</v>
      </c>
      <c r="L45" s="10">
        <f>IFERROR(SUMIFS('Base bordo'!G$2:G$746,'Base bordo'!C$2:C$746,A45,'Base bordo'!B$2:B$746,B45,'Base bordo'!F$2:F$746,"MANUTENCAO - T O"),0)+IFERROR(SUMIFS('Base bordo'!G$2:G$746,'Base bordo'!C$2:C$746,A45,'Base bordo'!B$2:B$746,B45,'Base bordo'!F$2:F$746,"MANUTENCAO BORRACHARIA"),0)+IFERROR(SUMIFS('Base bordo'!G$2:G$746,'Base bordo'!C$2:C$746,A45,'Base bordo'!B$2:B$746,B45,'Base bordo'!F$2:F$746,"MANUTENCAO EXTERNA  CONCESSIONARIA"),0)+IFERROR(SUMIFS('Base bordo'!G$2:G$746,'Base bordo'!C$2:C$746,A45,'Base bordo'!B$2:B$746,B45,'Base bordo'!F$2:F$746,"MANUTENCAO TELEMETRIA"),0)</f>
        <v>0</v>
      </c>
      <c r="M45" s="10">
        <f>IFERROR(SUMIFS('Base bordo'!G$2:G$746,'Base bordo'!C$2:C$746,A45,'Base bordo'!B$2:B$746,B45,'Base bordo'!F$2:F$746,"AGUARDANDO MANUTENCAO"),0)</f>
        <v>0</v>
      </c>
      <c r="N45" s="10">
        <f>IFERROR(SUMIFS('Base bordo'!G$2:G$746,'Base bordo'!C$2:C$746,A45,'Base bordo'!B$2:B$746,B45,'Base bordo'!F$2:F$746,"SEM APONTAMENTO"),0)</f>
        <v>0</v>
      </c>
      <c r="O45" s="10">
        <f t="shared" si="6"/>
        <v>0</v>
      </c>
      <c r="P45" s="10">
        <f>IFERROR(SUMIFS('Base bordo'!G$2:G$746,'Base bordo'!C$2:C$746,A45,'Base bordo'!B$2:B$746,B45),0)</f>
        <v>8.5430555555555543</v>
      </c>
      <c r="Q45" s="10">
        <f>IFERROR(SUMIFS('Base bordo'!H$2:H$746,'Base bordo'!C$2:C$746,A45,'Base bordo'!B$2:B$746,B45,'Base bordo'!F$2:F$746,"DESLOCAMENTO VAZIO"),0)</f>
        <v>880</v>
      </c>
      <c r="R45" s="10">
        <f>IFERROR(SUMIFS('Base bordo'!I$2:I$746,'Base bordo'!C$2:C$746,A45,'Base bordo'!B$2:B$746,B45,'Base bordo'!F$2:F$746,"DESLOCAMENTO VAZIO"),0)</f>
        <v>88</v>
      </c>
      <c r="S45" s="30">
        <f t="shared" si="7"/>
        <v>10</v>
      </c>
      <c r="T45" s="10">
        <f>IFERROR(SUMIFS('Base bordo'!H$2:H$746,'Base bordo'!C$2:C$746,A45,'Base bordo'!B$2:B$746,B45,'Base bordo'!F$2:F$746,"DESLOCAMENTO CARREGADO"),0)</f>
        <v>244097.37999999998</v>
      </c>
      <c r="U45" s="10">
        <f>IFERROR(SUMIFS('Base bordo'!I$2:I$746,'Base bordo'!C$2:C$746,A45,'Base bordo'!B$2:B$746,B45,'Base bordo'!F$2:F$746,"DESLOCAMENTO CARREGADO"),0)</f>
        <v>10632</v>
      </c>
      <c r="V45" s="30">
        <f t="shared" si="8"/>
        <v>22.958745297215948</v>
      </c>
      <c r="W45" s="9">
        <f t="shared" si="9"/>
        <v>2.8613233620549509E-3</v>
      </c>
      <c r="X45" s="9">
        <f t="shared" si="10"/>
        <v>0.3456998861973663</v>
      </c>
      <c r="Y45" s="9">
        <f t="shared" si="11"/>
        <v>0.65143879044057873</v>
      </c>
    </row>
    <row r="46" spans="1:25" ht="15" customHeight="1" x14ac:dyDescent="0.35">
      <c r="A46" s="52">
        <v>8013460</v>
      </c>
      <c r="B46" s="51">
        <v>46123</v>
      </c>
      <c r="C46" s="7" t="s">
        <v>124</v>
      </c>
      <c r="D46" s="10">
        <f>IFERROR(SUMIFS('Base bordo'!G$2:G$746,'Base bordo'!C$2:C$746,A46,'Base bordo'!B$2:B$746,B46,'Base bordo'!F$2:F$746,"DESLOCAMENTO VAZIO"),0)</f>
        <v>1.8969444444444445</v>
      </c>
      <c r="E46" s="10">
        <f>IFERROR(SUMIFS('Base bordo'!G$2:G$746,'Base bordo'!C$2:C$746,A46,'Base bordo'!B$2:B$746,B46,'Base bordo'!F$2:F$746,"DESLOCAMENTO CARREGADO"),0)</f>
        <v>2.5080555555555555</v>
      </c>
      <c r="F46" s="10">
        <f>IFERROR(SUMIFS('Base bordo'!G$2:G$746,'Base bordo'!C$2:C$746,A46,'Base bordo'!B$2:B$746,B46,'Base bordo'!F$2:F$746,"DESLOCAMENTO"),0)</f>
        <v>0</v>
      </c>
      <c r="G46" s="10">
        <f>IFERROR(SUMIFS('Base bordo'!G$2:G$746,'Base bordo'!C$2:C$746,A46,'Base bordo'!B$2:B$746,B46,'Base bordo'!F$2:F$746,"CARREGAMENTO"),0)</f>
        <v>0</v>
      </c>
      <c r="H46" s="10">
        <f>IFERROR(SUMIFS('Base bordo'!G$2:G$746,'Base bordo'!C$2:C$746,A46,'Base bordo'!B$2:B$746,B46,'Base bordo'!F$2:F$746,"AGUARDANDO TRANSBORDO"),0)</f>
        <v>0</v>
      </c>
      <c r="I46" s="10">
        <f>IFERROR(SUMIFS('Base bordo'!G$2:G$746,'Base bordo'!C$2:C$746,A46,'Base bordo'!B$2:B$746,B46,'Base bordo'!F$2:F$746,"PÁTIO INTERNO"),0)+IFERROR(SUMIFS('Base bordo'!G$2:G$746,'Base bordo'!C$2:C$746,A46,'Base bordo'!B$2:B$746,B46,'Base bordo'!F$2:F$746,"PÁTIO EXTERNO"),0)+IFERROR(SUMIFS('Base bordo'!G$2:G$746,'Base bordo'!C$2:C$746,A46,'Base bordo'!B$2:B$746,B46,'Base bordo'!F$2:F$746,"PATIO - RESERVA"),0)+IFERROR(SUMIFS('Base bordo'!G$2:G$746,'Base bordo'!C$2:C$746,A46,'Base bordo'!B$2:B$746,B46,'Base bordo'!F$2:F$746,"MANOBRA CARRETAS-PATIO"),0)</f>
        <v>2.3761111111111113</v>
      </c>
      <c r="J46" s="10">
        <f>IFERROR(SUMIFS('Base bordo'!G$2:G$746,'Base bordo'!C$2:C$746,A46,'Base bordo'!B$2:B$746,B46,'Base bordo'!F$2:F$746,"BALANÇA - ENTRADA"),0)+IFERROR(SUMIFS('Base bordo'!G$2:G$746,'Base bordo'!C$2:C$746,A46,'Base bordo'!B$2:B$746,B46,'Base bordo'!F$2:F$746,"BALANÇA - SAÍDA"),0)</f>
        <v>0</v>
      </c>
      <c r="K46" s="10">
        <f>IFERROR(SUMIFS('Base bordo'!G$2:G$746,'Base bordo'!C$2:C$746,A46,'Base bordo'!B$2:B$746,B46,'Base bordo'!F$2:F$746,"MAN PREVENTIVA - MECANICA"),0)+IFERROR(SUMIFS('Base bordo'!G$2:G$746,'Base bordo'!C$2:C$746,A46,'Base bordo'!B$2:B$746,B46,'Base bordo'!F$2:F$746,"MAN CORRETIVA - MECANICA"),0)</f>
        <v>0</v>
      </c>
      <c r="L46" s="10">
        <f>IFERROR(SUMIFS('Base bordo'!G$2:G$746,'Base bordo'!C$2:C$746,A46,'Base bordo'!B$2:B$746,B46,'Base bordo'!F$2:F$746,"MANUTENCAO - T O"),0)+IFERROR(SUMIFS('Base bordo'!G$2:G$746,'Base bordo'!C$2:C$746,A46,'Base bordo'!B$2:B$746,B46,'Base bordo'!F$2:F$746,"MANUTENCAO BORRACHARIA"),0)+IFERROR(SUMIFS('Base bordo'!G$2:G$746,'Base bordo'!C$2:C$746,A46,'Base bordo'!B$2:B$746,B46,'Base bordo'!F$2:F$746,"MANUTENCAO EXTERNA  CONCESSIONARIA"),0)+IFERROR(SUMIFS('Base bordo'!G$2:G$746,'Base bordo'!C$2:C$746,A46,'Base bordo'!B$2:B$746,B46,'Base bordo'!F$2:F$746,"MANUTENCAO TELEMETRIA"),0)</f>
        <v>0</v>
      </c>
      <c r="M46" s="10">
        <f>IFERROR(SUMIFS('Base bordo'!G$2:G$746,'Base bordo'!C$2:C$746,A46,'Base bordo'!B$2:B$746,B46,'Base bordo'!F$2:F$746,"AGUARDANDO MANUTENCAO"),0)</f>
        <v>0</v>
      </c>
      <c r="N46" s="10">
        <f>IFERROR(SUMIFS('Base bordo'!G$2:G$746,'Base bordo'!C$2:C$746,A46,'Base bordo'!B$2:B$746,B46,'Base bordo'!F$2:F$746,"SEM APONTAMENTO"),0)</f>
        <v>0</v>
      </c>
      <c r="O46" s="10">
        <f t="shared" si="6"/>
        <v>0.44861111111111196</v>
      </c>
      <c r="P46" s="10">
        <f>IFERROR(SUMIFS('Base bordo'!G$2:G$746,'Base bordo'!C$2:C$746,A46,'Base bordo'!B$2:B$746,B46),0)</f>
        <v>7.2297222222222235</v>
      </c>
      <c r="Q46" s="10">
        <f>IFERROR(SUMIFS('Base bordo'!H$2:H$746,'Base bordo'!C$2:C$746,A46,'Base bordo'!B$2:B$746,B46,'Base bordo'!F$2:F$746,"DESLOCAMENTO VAZIO"),0)</f>
        <v>236918.97</v>
      </c>
      <c r="R46" s="10">
        <f>IFERROR(SUMIFS('Base bordo'!I$2:I$746,'Base bordo'!C$2:C$746,A46,'Base bordo'!B$2:B$746,B46,'Base bordo'!F$2:F$746,"DESLOCAMENTO VAZIO"),0)</f>
        <v>6829</v>
      </c>
      <c r="S46" s="30">
        <f t="shared" si="7"/>
        <v>34.693069263435348</v>
      </c>
      <c r="T46" s="10">
        <f>IFERROR(SUMIFS('Base bordo'!H$2:H$746,'Base bordo'!C$2:C$746,A46,'Base bordo'!B$2:B$746,B46,'Base bordo'!F$2:F$746,"DESLOCAMENTO CARREGADO"),0)</f>
        <v>208531.69</v>
      </c>
      <c r="U46" s="10">
        <f>IFERROR(SUMIFS('Base bordo'!I$2:I$746,'Base bordo'!C$2:C$746,A46,'Base bordo'!B$2:B$746,B46,'Base bordo'!F$2:F$746,"DESLOCAMENTO CARREGADO"),0)</f>
        <v>8999</v>
      </c>
      <c r="V46" s="30">
        <f t="shared" si="8"/>
        <v>23.172762529169908</v>
      </c>
      <c r="W46" s="9">
        <f t="shared" si="9"/>
        <v>0.26238137318938021</v>
      </c>
      <c r="X46" s="9">
        <f t="shared" si="10"/>
        <v>0.34690897913704993</v>
      </c>
      <c r="Y46" s="9">
        <f t="shared" si="11"/>
        <v>0.39070964767356986</v>
      </c>
    </row>
    <row r="47" spans="1:25" ht="15" customHeight="1" x14ac:dyDescent="0.35">
      <c r="A47" s="52">
        <v>8013469</v>
      </c>
      <c r="B47" s="51">
        <v>46118</v>
      </c>
      <c r="C47" s="7" t="s">
        <v>124</v>
      </c>
      <c r="D47" s="10">
        <f>IFERROR(SUMIFS('Base bordo'!G$2:G$746,'Base bordo'!C$2:C$746,A47,'Base bordo'!B$2:B$746,B47,'Base bordo'!F$2:F$746,"DESLOCAMENTO VAZIO"),0)</f>
        <v>2.1594444444444445</v>
      </c>
      <c r="E47" s="10">
        <f>IFERROR(SUMIFS('Base bordo'!G$2:G$746,'Base bordo'!C$2:C$746,A47,'Base bordo'!B$2:B$746,B47,'Base bordo'!F$2:F$746,"DESLOCAMENTO CARREGADO"),0)</f>
        <v>2.4455555555555555</v>
      </c>
      <c r="F47" s="10">
        <f>IFERROR(SUMIFS('Base bordo'!G$2:G$746,'Base bordo'!C$2:C$746,A47,'Base bordo'!B$2:B$746,B47,'Base bordo'!F$2:F$746,"DESLOCAMENTO"),0)</f>
        <v>0.63083333333333336</v>
      </c>
      <c r="G47" s="10">
        <f>IFERROR(SUMIFS('Base bordo'!G$2:G$746,'Base bordo'!C$2:C$746,A47,'Base bordo'!B$2:B$746,B47,'Base bordo'!F$2:F$746,"CARREGAMENTO"),0)</f>
        <v>0.96722222222222221</v>
      </c>
      <c r="H47" s="10">
        <f>IFERROR(SUMIFS('Base bordo'!G$2:G$746,'Base bordo'!C$2:C$746,A47,'Base bordo'!B$2:B$746,B47,'Base bordo'!F$2:F$746,"AGUARDANDO TRANSBORDO"),0)</f>
        <v>0.91111111111111109</v>
      </c>
      <c r="I47" s="10">
        <f>IFERROR(SUMIFS('Base bordo'!G$2:G$746,'Base bordo'!C$2:C$746,A47,'Base bordo'!B$2:B$746,B47,'Base bordo'!F$2:F$746,"PÁTIO INTERNO"),0)+IFERROR(SUMIFS('Base bordo'!G$2:G$746,'Base bordo'!C$2:C$746,A47,'Base bordo'!B$2:B$746,B47,'Base bordo'!F$2:F$746,"PÁTIO EXTERNO"),0)+IFERROR(SUMIFS('Base bordo'!G$2:G$746,'Base bordo'!C$2:C$746,A47,'Base bordo'!B$2:B$746,B47,'Base bordo'!F$2:F$746,"PATIO - RESERVA"),0)+IFERROR(SUMIFS('Base bordo'!G$2:G$746,'Base bordo'!C$2:C$746,A47,'Base bordo'!B$2:B$746,B47,'Base bordo'!F$2:F$746,"MANOBRA CARRETAS-PATIO"),0)</f>
        <v>6.1047222222222217</v>
      </c>
      <c r="J47" s="10">
        <f>IFERROR(SUMIFS('Base bordo'!G$2:G$746,'Base bordo'!C$2:C$746,A47,'Base bordo'!B$2:B$746,B47,'Base bordo'!F$2:F$746,"BALANÇA - ENTRADA"),0)+IFERROR(SUMIFS('Base bordo'!G$2:G$746,'Base bordo'!C$2:C$746,A47,'Base bordo'!B$2:B$746,B47,'Base bordo'!F$2:F$746,"BALANÇA - SAÍDA"),0)</f>
        <v>6.8055555555555564E-2</v>
      </c>
      <c r="K47" s="10">
        <f>IFERROR(SUMIFS('Base bordo'!G$2:G$746,'Base bordo'!C$2:C$746,A47,'Base bordo'!B$2:B$746,B47,'Base bordo'!F$2:F$746,"MAN PREVENTIVA - MECANICA"),0)+IFERROR(SUMIFS('Base bordo'!G$2:G$746,'Base bordo'!C$2:C$746,A47,'Base bordo'!B$2:B$746,B47,'Base bordo'!F$2:F$746,"MAN CORRETIVA - MECANICA"),0)</f>
        <v>0.40166666666666667</v>
      </c>
      <c r="L47" s="10">
        <f>IFERROR(SUMIFS('Base bordo'!G$2:G$746,'Base bordo'!C$2:C$746,A47,'Base bordo'!B$2:B$746,B47,'Base bordo'!F$2:F$746,"MANUTENCAO - T O"),0)+IFERROR(SUMIFS('Base bordo'!G$2:G$746,'Base bordo'!C$2:C$746,A47,'Base bordo'!B$2:B$746,B47,'Base bordo'!F$2:F$746,"MANUTENCAO BORRACHARIA"),0)+IFERROR(SUMIFS('Base bordo'!G$2:G$746,'Base bordo'!C$2:C$746,A47,'Base bordo'!B$2:B$746,B47,'Base bordo'!F$2:F$746,"MANUTENCAO EXTERNA  CONCESSIONARIA"),0)+IFERROR(SUMIFS('Base bordo'!G$2:G$746,'Base bordo'!C$2:C$746,A47,'Base bordo'!B$2:B$746,B47,'Base bordo'!F$2:F$746,"MANUTENCAO TELEMETRIA"),0)</f>
        <v>1.5977777777777777</v>
      </c>
      <c r="M47" s="10">
        <f>IFERROR(SUMIFS('Base bordo'!G$2:G$746,'Base bordo'!C$2:C$746,A47,'Base bordo'!B$2:B$746,B47,'Base bordo'!F$2:F$746,"AGUARDANDO MANUTENCAO"),0)</f>
        <v>2.0836111111111113</v>
      </c>
      <c r="N47" s="10">
        <f>IFERROR(SUMIFS('Base bordo'!G$2:G$746,'Base bordo'!C$2:C$746,A47,'Base bordo'!B$2:B$746,B47,'Base bordo'!F$2:F$746,"SEM APONTAMENTO"),0)</f>
        <v>5.4166666666666669E-2</v>
      </c>
      <c r="O47" s="10">
        <f t="shared" si="6"/>
        <v>6.5758333333333354</v>
      </c>
      <c r="P47" s="10">
        <f>IFERROR(SUMIFS('Base bordo'!G$2:G$746,'Base bordo'!C$2:C$746,A47,'Base bordo'!B$2:B$746,B47),0)</f>
        <v>24.000000000000004</v>
      </c>
      <c r="Q47" s="10">
        <f>IFERROR(SUMIFS('Base bordo'!H$2:H$746,'Base bordo'!C$2:C$746,A47,'Base bordo'!B$2:B$746,B47,'Base bordo'!F$2:F$746,"DESLOCAMENTO VAZIO"),0)</f>
        <v>182003.76000000004</v>
      </c>
      <c r="R47" s="10">
        <f>IFERROR(SUMIFS('Base bordo'!I$2:I$746,'Base bordo'!C$2:C$746,A47,'Base bordo'!B$2:B$746,B47,'Base bordo'!F$2:F$746,"DESLOCAMENTO VAZIO"),0)</f>
        <v>7774</v>
      </c>
      <c r="S47" s="30">
        <f t="shared" si="7"/>
        <v>23.411854900951894</v>
      </c>
      <c r="T47" s="10">
        <f>IFERROR(SUMIFS('Base bordo'!H$2:H$746,'Base bordo'!C$2:C$746,A47,'Base bordo'!B$2:B$746,B47,'Base bordo'!F$2:F$746,"DESLOCAMENTO CARREGADO"),0)</f>
        <v>235509.89</v>
      </c>
      <c r="U47" s="10">
        <f>IFERROR(SUMIFS('Base bordo'!I$2:I$746,'Base bordo'!C$2:C$746,A47,'Base bordo'!B$2:B$746,B47,'Base bordo'!F$2:F$746,"DESLOCAMENTO CARREGADO"),0)</f>
        <v>8804</v>
      </c>
      <c r="V47" s="30">
        <f t="shared" si="8"/>
        <v>26.750328259881872</v>
      </c>
      <c r="W47" s="9">
        <f t="shared" si="9"/>
        <v>8.9976851851851836E-2</v>
      </c>
      <c r="X47" s="9">
        <f t="shared" si="10"/>
        <v>0.10189814814814813</v>
      </c>
      <c r="Y47" s="9">
        <f t="shared" si="11"/>
        <v>0.80812499999999998</v>
      </c>
    </row>
    <row r="48" spans="1:25" ht="15" customHeight="1" x14ac:dyDescent="0.35">
      <c r="A48" s="52">
        <v>8013476</v>
      </c>
      <c r="B48" s="51">
        <v>46117</v>
      </c>
      <c r="C48" s="7" t="s">
        <v>124</v>
      </c>
      <c r="D48" s="10">
        <f>IFERROR(SUMIFS('Base bordo'!G$2:G$746,'Base bordo'!C$2:C$746,A48,'Base bordo'!B$2:B$746,B48,'Base bordo'!F$2:F$746,"DESLOCAMENTO VAZIO"),0)</f>
        <v>1.9241666666666666</v>
      </c>
      <c r="E48" s="10">
        <f>IFERROR(SUMIFS('Base bordo'!G$2:G$746,'Base bordo'!C$2:C$746,A48,'Base bordo'!B$2:B$746,B48,'Base bordo'!F$2:F$746,"DESLOCAMENTO CARREGADO"),0)</f>
        <v>0</v>
      </c>
      <c r="F48" s="10">
        <f>IFERROR(SUMIFS('Base bordo'!G$2:G$746,'Base bordo'!C$2:C$746,A48,'Base bordo'!B$2:B$746,B48,'Base bordo'!F$2:F$746,"DESLOCAMENTO"),0)</f>
        <v>0</v>
      </c>
      <c r="G48" s="10">
        <f>IFERROR(SUMIFS('Base bordo'!G$2:G$746,'Base bordo'!C$2:C$746,A48,'Base bordo'!B$2:B$746,B48,'Base bordo'!F$2:F$746,"CARREGAMENTO"),0)</f>
        <v>1.3391666666666666</v>
      </c>
      <c r="H48" s="10">
        <f>IFERROR(SUMIFS('Base bordo'!G$2:G$746,'Base bordo'!C$2:C$746,A48,'Base bordo'!B$2:B$746,B48,'Base bordo'!F$2:F$746,"AGUARDANDO TRANSBORDO"),0)</f>
        <v>0.16555555555555557</v>
      </c>
      <c r="I48" s="10">
        <f>IFERROR(SUMIFS('Base bordo'!G$2:G$746,'Base bordo'!C$2:C$746,A48,'Base bordo'!B$2:B$746,B48,'Base bordo'!F$2:F$746,"PÁTIO INTERNO"),0)+IFERROR(SUMIFS('Base bordo'!G$2:G$746,'Base bordo'!C$2:C$746,A48,'Base bordo'!B$2:B$746,B48,'Base bordo'!F$2:F$746,"PÁTIO EXTERNO"),0)+IFERROR(SUMIFS('Base bordo'!G$2:G$746,'Base bordo'!C$2:C$746,A48,'Base bordo'!B$2:B$746,B48,'Base bordo'!F$2:F$746,"PATIO - RESERVA"),0)+IFERROR(SUMIFS('Base bordo'!G$2:G$746,'Base bordo'!C$2:C$746,A48,'Base bordo'!B$2:B$746,B48,'Base bordo'!F$2:F$746,"MANOBRA CARRETAS-PATIO"),0)</f>
        <v>0</v>
      </c>
      <c r="J48" s="10">
        <f>IFERROR(SUMIFS('Base bordo'!G$2:G$746,'Base bordo'!C$2:C$746,A48,'Base bordo'!B$2:B$746,B48,'Base bordo'!F$2:F$746,"BALANÇA - ENTRADA"),0)+IFERROR(SUMIFS('Base bordo'!G$2:G$746,'Base bordo'!C$2:C$746,A48,'Base bordo'!B$2:B$746,B48,'Base bordo'!F$2:F$746,"BALANÇA - SAÍDA"),0)</f>
        <v>0</v>
      </c>
      <c r="K48" s="10">
        <f>IFERROR(SUMIFS('Base bordo'!G$2:G$746,'Base bordo'!C$2:C$746,A48,'Base bordo'!B$2:B$746,B48,'Base bordo'!F$2:F$746,"MAN PREVENTIVA - MECANICA"),0)+IFERROR(SUMIFS('Base bordo'!G$2:G$746,'Base bordo'!C$2:C$746,A48,'Base bordo'!B$2:B$746,B48,'Base bordo'!F$2:F$746,"MAN CORRETIVA - MECANICA"),0)</f>
        <v>0</v>
      </c>
      <c r="L48" s="10">
        <f>IFERROR(SUMIFS('Base bordo'!G$2:G$746,'Base bordo'!C$2:C$746,A48,'Base bordo'!B$2:B$746,B48,'Base bordo'!F$2:F$746,"MANUTENCAO - T O"),0)+IFERROR(SUMIFS('Base bordo'!G$2:G$746,'Base bordo'!C$2:C$746,A48,'Base bordo'!B$2:B$746,B48,'Base bordo'!F$2:F$746,"MANUTENCAO BORRACHARIA"),0)+IFERROR(SUMIFS('Base bordo'!G$2:G$746,'Base bordo'!C$2:C$746,A48,'Base bordo'!B$2:B$746,B48,'Base bordo'!F$2:F$746,"MANUTENCAO EXTERNA  CONCESSIONARIA"),0)+IFERROR(SUMIFS('Base bordo'!G$2:G$746,'Base bordo'!C$2:C$746,A48,'Base bordo'!B$2:B$746,B48,'Base bordo'!F$2:F$746,"MANUTENCAO TELEMETRIA"),0)</f>
        <v>18.408888888888889</v>
      </c>
      <c r="M48" s="10">
        <f>IFERROR(SUMIFS('Base bordo'!G$2:G$746,'Base bordo'!C$2:C$746,A48,'Base bordo'!B$2:B$746,B48,'Base bordo'!F$2:F$746,"AGUARDANDO MANUTENCAO"),0)</f>
        <v>0</v>
      </c>
      <c r="N48" s="10">
        <f>IFERROR(SUMIFS('Base bordo'!G$2:G$746,'Base bordo'!C$2:C$746,A48,'Base bordo'!B$2:B$746,B48,'Base bordo'!F$2:F$746,"SEM APONTAMENTO"),0)</f>
        <v>0</v>
      </c>
      <c r="O48" s="10">
        <f t="shared" si="6"/>
        <v>0.16222222222222271</v>
      </c>
      <c r="P48" s="10">
        <f>IFERROR(SUMIFS('Base bordo'!G$2:G$746,'Base bordo'!C$2:C$746,A48,'Base bordo'!B$2:B$746,B48),0)</f>
        <v>22</v>
      </c>
      <c r="Q48" s="10">
        <f>IFERROR(SUMIFS('Base bordo'!H$2:H$746,'Base bordo'!C$2:C$746,A48,'Base bordo'!B$2:B$746,B48,'Base bordo'!F$2:F$746,"DESLOCAMENTO VAZIO"),0)</f>
        <v>234348.68000000002</v>
      </c>
      <c r="R48" s="10">
        <f>IFERROR(SUMIFS('Base bordo'!I$2:I$746,'Base bordo'!C$2:C$746,A48,'Base bordo'!B$2:B$746,B48,'Base bordo'!F$2:F$746,"DESLOCAMENTO VAZIO"),0)</f>
        <v>6927</v>
      </c>
      <c r="S48" s="30">
        <f t="shared" si="7"/>
        <v>33.831193879024113</v>
      </c>
      <c r="T48" s="10">
        <f>IFERROR(SUMIFS('Base bordo'!H$2:H$746,'Base bordo'!C$2:C$746,A48,'Base bordo'!B$2:B$746,B48,'Base bordo'!F$2:F$746,"DESLOCAMENTO CARREGADO"),0)</f>
        <v>0</v>
      </c>
      <c r="U48" s="10">
        <f>IFERROR(SUMIFS('Base bordo'!I$2:I$746,'Base bordo'!C$2:C$746,A48,'Base bordo'!B$2:B$746,B48,'Base bordo'!F$2:F$746,"DESLOCAMENTO CARREGADO"),0)</f>
        <v>0</v>
      </c>
      <c r="V48" s="30" t="str">
        <f t="shared" si="8"/>
        <v/>
      </c>
      <c r="W48" s="9">
        <f t="shared" si="9"/>
        <v>8.7462121212121213E-2</v>
      </c>
      <c r="X48" s="9">
        <f t="shared" si="10"/>
        <v>0</v>
      </c>
      <c r="Y48" s="9">
        <f t="shared" si="11"/>
        <v>0.91253787878787884</v>
      </c>
    </row>
    <row r="49" spans="1:25" ht="15" customHeight="1" x14ac:dyDescent="0.35">
      <c r="A49" s="52">
        <v>8013478</v>
      </c>
      <c r="B49" s="51">
        <v>46124</v>
      </c>
      <c r="C49" s="7" t="s">
        <v>124</v>
      </c>
      <c r="D49" s="10">
        <f>IFERROR(SUMIFS('Base bordo'!G$2:G$746,'Base bordo'!C$2:C$746,A49,'Base bordo'!B$2:B$746,B49,'Base bordo'!F$2:F$746,"DESLOCAMENTO VAZIO"),0)</f>
        <v>2.069722222222222</v>
      </c>
      <c r="E49" s="10">
        <f>IFERROR(SUMIFS('Base bordo'!G$2:G$746,'Base bordo'!C$2:C$746,A49,'Base bordo'!B$2:B$746,B49,'Base bordo'!F$2:F$746,"DESLOCAMENTO CARREGADO"),0)</f>
        <v>4.5216666666666665</v>
      </c>
      <c r="F49" s="10">
        <f>IFERROR(SUMIFS('Base bordo'!G$2:G$746,'Base bordo'!C$2:C$746,A49,'Base bordo'!B$2:B$746,B49,'Base bordo'!F$2:F$746,"DESLOCAMENTO"),0)</f>
        <v>0</v>
      </c>
      <c r="G49" s="10">
        <f>IFERROR(SUMIFS('Base bordo'!G$2:G$746,'Base bordo'!C$2:C$746,A49,'Base bordo'!B$2:B$746,B49,'Base bordo'!F$2:F$746,"CARREGAMENTO"),0)</f>
        <v>0</v>
      </c>
      <c r="H49" s="10">
        <f>IFERROR(SUMIFS('Base bordo'!G$2:G$746,'Base bordo'!C$2:C$746,A49,'Base bordo'!B$2:B$746,B49,'Base bordo'!F$2:F$746,"AGUARDANDO TRANSBORDO"),0)</f>
        <v>0.42222222222222222</v>
      </c>
      <c r="I49" s="10">
        <f>IFERROR(SUMIFS('Base bordo'!G$2:G$746,'Base bordo'!C$2:C$746,A49,'Base bordo'!B$2:B$746,B49,'Base bordo'!F$2:F$746,"PÁTIO INTERNO"),0)+IFERROR(SUMIFS('Base bordo'!G$2:G$746,'Base bordo'!C$2:C$746,A49,'Base bordo'!B$2:B$746,B49,'Base bordo'!F$2:F$746,"PÁTIO EXTERNO"),0)+IFERROR(SUMIFS('Base bordo'!G$2:G$746,'Base bordo'!C$2:C$746,A49,'Base bordo'!B$2:B$746,B49,'Base bordo'!F$2:F$746,"PATIO - RESERVA"),0)+IFERROR(SUMIFS('Base bordo'!G$2:G$746,'Base bordo'!C$2:C$746,A49,'Base bordo'!B$2:B$746,B49,'Base bordo'!F$2:F$746,"MANOBRA CARRETAS-PATIO"),0)</f>
        <v>2.931111111111111</v>
      </c>
      <c r="J49" s="10">
        <f>IFERROR(SUMIFS('Base bordo'!G$2:G$746,'Base bordo'!C$2:C$746,A49,'Base bordo'!B$2:B$746,B49,'Base bordo'!F$2:F$746,"BALANÇA - ENTRADA"),0)+IFERROR(SUMIFS('Base bordo'!G$2:G$746,'Base bordo'!C$2:C$746,A49,'Base bordo'!B$2:B$746,B49,'Base bordo'!F$2:F$746,"BALANÇA - SAÍDA"),0)</f>
        <v>9.5833333333333326E-2</v>
      </c>
      <c r="K49" s="10">
        <f>IFERROR(SUMIFS('Base bordo'!G$2:G$746,'Base bordo'!C$2:C$746,A49,'Base bordo'!B$2:B$746,B49,'Base bordo'!F$2:F$746,"MAN PREVENTIVA - MECANICA"),0)+IFERROR(SUMIFS('Base bordo'!G$2:G$746,'Base bordo'!C$2:C$746,A49,'Base bordo'!B$2:B$746,B49,'Base bordo'!F$2:F$746,"MAN CORRETIVA - MECANICA"),0)</f>
        <v>0</v>
      </c>
      <c r="L49" s="10">
        <f>IFERROR(SUMIFS('Base bordo'!G$2:G$746,'Base bordo'!C$2:C$746,A49,'Base bordo'!B$2:B$746,B49,'Base bordo'!F$2:F$746,"MANUTENCAO - T O"),0)+IFERROR(SUMIFS('Base bordo'!G$2:G$746,'Base bordo'!C$2:C$746,A49,'Base bordo'!B$2:B$746,B49,'Base bordo'!F$2:F$746,"MANUTENCAO BORRACHARIA"),0)+IFERROR(SUMIFS('Base bordo'!G$2:G$746,'Base bordo'!C$2:C$746,A49,'Base bordo'!B$2:B$746,B49,'Base bordo'!F$2:F$746,"MANUTENCAO EXTERNA  CONCESSIONARIA"),0)+IFERROR(SUMIFS('Base bordo'!G$2:G$746,'Base bordo'!C$2:C$746,A49,'Base bordo'!B$2:B$746,B49,'Base bordo'!F$2:F$746,"MANUTENCAO TELEMETRIA"),0)</f>
        <v>0</v>
      </c>
      <c r="M49" s="10">
        <f>IFERROR(SUMIFS('Base bordo'!G$2:G$746,'Base bordo'!C$2:C$746,A49,'Base bordo'!B$2:B$746,B49,'Base bordo'!F$2:F$746,"AGUARDANDO MANUTENCAO"),0)</f>
        <v>0</v>
      </c>
      <c r="N49" s="10">
        <f>IFERROR(SUMIFS('Base bordo'!G$2:G$746,'Base bordo'!C$2:C$746,A49,'Base bordo'!B$2:B$746,B49,'Base bordo'!F$2:F$746,"SEM APONTAMENTO"),0)</f>
        <v>0</v>
      </c>
      <c r="O49" s="10">
        <f t="shared" si="6"/>
        <v>0</v>
      </c>
      <c r="P49" s="10">
        <f>IFERROR(SUMIFS('Base bordo'!G$2:G$746,'Base bordo'!C$2:C$746,A49,'Base bordo'!B$2:B$746,B49),0)</f>
        <v>10.040555555555555</v>
      </c>
      <c r="Q49" s="10">
        <f>IFERROR(SUMIFS('Base bordo'!H$2:H$746,'Base bordo'!C$2:C$746,A49,'Base bordo'!B$2:B$746,B49,'Base bordo'!F$2:F$746,"DESLOCAMENTO VAZIO"),0)</f>
        <v>230432.85</v>
      </c>
      <c r="R49" s="10">
        <f>IFERROR(SUMIFS('Base bordo'!I$2:I$746,'Base bordo'!C$2:C$746,A49,'Base bordo'!B$2:B$746,B49,'Base bordo'!F$2:F$746,"DESLOCAMENTO VAZIO"),0)</f>
        <v>7451</v>
      </c>
      <c r="S49" s="30">
        <f t="shared" si="7"/>
        <v>30.926432693598176</v>
      </c>
      <c r="T49" s="10">
        <f>IFERROR(SUMIFS('Base bordo'!H$2:H$746,'Base bordo'!C$2:C$746,A49,'Base bordo'!B$2:B$746,B49,'Base bordo'!F$2:F$746,"DESLOCAMENTO CARREGADO"),0)</f>
        <v>396489.03</v>
      </c>
      <c r="U49" s="10">
        <f>IFERROR(SUMIFS('Base bordo'!I$2:I$746,'Base bordo'!C$2:C$746,A49,'Base bordo'!B$2:B$746,B49,'Base bordo'!F$2:F$746,"DESLOCAMENTO CARREGADO"),0)</f>
        <v>16278</v>
      </c>
      <c r="V49" s="30">
        <f t="shared" si="8"/>
        <v>24.357355326207152</v>
      </c>
      <c r="W49" s="9">
        <f t="shared" si="9"/>
        <v>0.2061362253084712</v>
      </c>
      <c r="X49" s="9">
        <f t="shared" si="10"/>
        <v>0.45034028661539316</v>
      </c>
      <c r="Y49" s="9">
        <f t="shared" si="11"/>
        <v>0.34352348807613575</v>
      </c>
    </row>
    <row r="50" spans="1:25" ht="15" customHeight="1" x14ac:dyDescent="0.35">
      <c r="A50" s="52">
        <v>8013481</v>
      </c>
      <c r="B50" s="51">
        <v>46117</v>
      </c>
      <c r="C50" s="7" t="s">
        <v>124</v>
      </c>
      <c r="D50" s="10">
        <f>IFERROR(SUMIFS('Base bordo'!G$2:G$746,'Base bordo'!C$2:C$746,A50,'Base bordo'!B$2:B$746,B50,'Base bordo'!F$2:F$746,"DESLOCAMENTO VAZIO"),0)</f>
        <v>2.3438888888888889</v>
      </c>
      <c r="E50" s="10">
        <f>IFERROR(SUMIFS('Base bordo'!G$2:G$746,'Base bordo'!C$2:C$746,A50,'Base bordo'!B$2:B$746,B50,'Base bordo'!F$2:F$746,"DESLOCAMENTO CARREGADO"),0)</f>
        <v>1.878611111111111</v>
      </c>
      <c r="F50" s="10">
        <f>IFERROR(SUMIFS('Base bordo'!G$2:G$746,'Base bordo'!C$2:C$746,A50,'Base bordo'!B$2:B$746,B50,'Base bordo'!F$2:F$746,"DESLOCAMENTO"),0)</f>
        <v>0</v>
      </c>
      <c r="G50" s="10">
        <f>IFERROR(SUMIFS('Base bordo'!G$2:G$746,'Base bordo'!C$2:C$746,A50,'Base bordo'!B$2:B$746,B50,'Base bordo'!F$2:F$746,"CARREGAMENTO"),0)</f>
        <v>0.21305555555555555</v>
      </c>
      <c r="H50" s="10">
        <f>IFERROR(SUMIFS('Base bordo'!G$2:G$746,'Base bordo'!C$2:C$746,A50,'Base bordo'!B$2:B$746,B50,'Base bordo'!F$2:F$746,"AGUARDANDO TRANSBORDO"),0)</f>
        <v>0</v>
      </c>
      <c r="I50" s="10">
        <f>IFERROR(SUMIFS('Base bordo'!G$2:G$746,'Base bordo'!C$2:C$746,A50,'Base bordo'!B$2:B$746,B50,'Base bordo'!F$2:F$746,"PÁTIO INTERNO"),0)+IFERROR(SUMIFS('Base bordo'!G$2:G$746,'Base bordo'!C$2:C$746,A50,'Base bordo'!B$2:B$746,B50,'Base bordo'!F$2:F$746,"PÁTIO EXTERNO"),0)+IFERROR(SUMIFS('Base bordo'!G$2:G$746,'Base bordo'!C$2:C$746,A50,'Base bordo'!B$2:B$746,B50,'Base bordo'!F$2:F$746,"PATIO - RESERVA"),0)+IFERROR(SUMIFS('Base bordo'!G$2:G$746,'Base bordo'!C$2:C$746,A50,'Base bordo'!B$2:B$746,B50,'Base bordo'!F$2:F$746,"MANOBRA CARRETAS-PATIO"),0)</f>
        <v>0.14222222222222222</v>
      </c>
      <c r="J50" s="10">
        <f>IFERROR(SUMIFS('Base bordo'!G$2:G$746,'Base bordo'!C$2:C$746,A50,'Base bordo'!B$2:B$746,B50,'Base bordo'!F$2:F$746,"BALANÇA - ENTRADA"),0)+IFERROR(SUMIFS('Base bordo'!G$2:G$746,'Base bordo'!C$2:C$746,A50,'Base bordo'!B$2:B$746,B50,'Base bordo'!F$2:F$746,"BALANÇA - SAÍDA"),0)</f>
        <v>0</v>
      </c>
      <c r="K50" s="10">
        <f>IFERROR(SUMIFS('Base bordo'!G$2:G$746,'Base bordo'!C$2:C$746,A50,'Base bordo'!B$2:B$746,B50,'Base bordo'!F$2:F$746,"MAN PREVENTIVA - MECANICA"),0)+IFERROR(SUMIFS('Base bordo'!G$2:G$746,'Base bordo'!C$2:C$746,A50,'Base bordo'!B$2:B$746,B50,'Base bordo'!F$2:F$746,"MAN CORRETIVA - MECANICA"),0)</f>
        <v>0</v>
      </c>
      <c r="L50" s="10">
        <f>IFERROR(SUMIFS('Base bordo'!G$2:G$746,'Base bordo'!C$2:C$746,A50,'Base bordo'!B$2:B$746,B50,'Base bordo'!F$2:F$746,"MANUTENCAO - T O"),0)+IFERROR(SUMIFS('Base bordo'!G$2:G$746,'Base bordo'!C$2:C$746,A50,'Base bordo'!B$2:B$746,B50,'Base bordo'!F$2:F$746,"MANUTENCAO BORRACHARIA"),0)+IFERROR(SUMIFS('Base bordo'!G$2:G$746,'Base bordo'!C$2:C$746,A50,'Base bordo'!B$2:B$746,B50,'Base bordo'!F$2:F$746,"MANUTENCAO EXTERNA  CONCESSIONARIA"),0)+IFERROR(SUMIFS('Base bordo'!G$2:G$746,'Base bordo'!C$2:C$746,A50,'Base bordo'!B$2:B$746,B50,'Base bordo'!F$2:F$746,"MANUTENCAO TELEMETRIA"),0)</f>
        <v>19.126944444444444</v>
      </c>
      <c r="M50" s="10">
        <f>IFERROR(SUMIFS('Base bordo'!G$2:G$746,'Base bordo'!C$2:C$746,A50,'Base bordo'!B$2:B$746,B50,'Base bordo'!F$2:F$746,"AGUARDANDO MANUTENCAO"),0)</f>
        <v>0</v>
      </c>
      <c r="N50" s="10">
        <f>IFERROR(SUMIFS('Base bordo'!G$2:G$746,'Base bordo'!C$2:C$746,A50,'Base bordo'!B$2:B$746,B50,'Base bordo'!F$2:F$746,"SEM APONTAMENTO"),0)</f>
        <v>8.0277777777777781E-2</v>
      </c>
      <c r="O50" s="10">
        <f t="shared" si="6"/>
        <v>0.21499999999999986</v>
      </c>
      <c r="P50" s="10">
        <f>IFERROR(SUMIFS('Base bordo'!G$2:G$746,'Base bordo'!C$2:C$746,A50,'Base bordo'!B$2:B$746,B50),0)</f>
        <v>24</v>
      </c>
      <c r="Q50" s="10">
        <f>IFERROR(SUMIFS('Base bordo'!H$2:H$746,'Base bordo'!C$2:C$746,A50,'Base bordo'!B$2:B$746,B50,'Base bordo'!F$2:F$746,"DESLOCAMENTO VAZIO"),0)</f>
        <v>230189.18</v>
      </c>
      <c r="R50" s="10">
        <f>IFERROR(SUMIFS('Base bordo'!I$2:I$746,'Base bordo'!C$2:C$746,A50,'Base bordo'!B$2:B$746,B50,'Base bordo'!F$2:F$746,"DESLOCAMENTO VAZIO"),0)</f>
        <v>8438</v>
      </c>
      <c r="S50" s="30">
        <f t="shared" si="7"/>
        <v>27.28006399620763</v>
      </c>
      <c r="T50" s="10">
        <f>IFERROR(SUMIFS('Base bordo'!H$2:H$746,'Base bordo'!C$2:C$746,A50,'Base bordo'!B$2:B$746,B50,'Base bordo'!F$2:F$746,"DESLOCAMENTO CARREGADO"),0)</f>
        <v>169494.41999999998</v>
      </c>
      <c r="U50" s="10">
        <f>IFERROR(SUMIFS('Base bordo'!I$2:I$746,'Base bordo'!C$2:C$746,A50,'Base bordo'!B$2:B$746,B50,'Base bordo'!F$2:F$746,"DESLOCAMENTO CARREGADO"),0)</f>
        <v>6763</v>
      </c>
      <c r="V50" s="30">
        <f t="shared" si="8"/>
        <v>25.062016856424663</v>
      </c>
      <c r="W50" s="9">
        <f t="shared" si="9"/>
        <v>9.7662037037037033E-2</v>
      </c>
      <c r="X50" s="9">
        <f t="shared" si="10"/>
        <v>7.8275462962962963E-2</v>
      </c>
      <c r="Y50" s="9">
        <f t="shared" si="11"/>
        <v>0.82406250000000003</v>
      </c>
    </row>
    <row r="51" spans="1:25" ht="15" customHeight="1" x14ac:dyDescent="0.35">
      <c r="A51" s="52">
        <v>8013473</v>
      </c>
      <c r="B51" s="51">
        <v>46123</v>
      </c>
      <c r="C51" s="7" t="s">
        <v>124</v>
      </c>
      <c r="D51" s="10">
        <f>IFERROR(SUMIFS('Base bordo'!G$2:G$746,'Base bordo'!C$2:C$746,A51,'Base bordo'!B$2:B$746,B51,'Base bordo'!F$2:F$746,"DESLOCAMENTO VAZIO"),0)</f>
        <v>2.2419444444444445</v>
      </c>
      <c r="E51" s="10">
        <f>IFERROR(SUMIFS('Base bordo'!G$2:G$746,'Base bordo'!C$2:C$746,A51,'Base bordo'!B$2:B$746,B51,'Base bordo'!F$2:F$746,"DESLOCAMENTO CARREGADO"),0)</f>
        <v>2.7183333333333333</v>
      </c>
      <c r="F51" s="10">
        <f>IFERROR(SUMIFS('Base bordo'!G$2:G$746,'Base bordo'!C$2:C$746,A51,'Base bordo'!B$2:B$746,B51,'Base bordo'!F$2:F$746,"DESLOCAMENTO"),0)</f>
        <v>0</v>
      </c>
      <c r="G51" s="10">
        <f>IFERROR(SUMIFS('Base bordo'!G$2:G$746,'Base bordo'!C$2:C$746,A51,'Base bordo'!B$2:B$746,B51,'Base bordo'!F$2:F$746,"CARREGAMENTO"),0)</f>
        <v>0</v>
      </c>
      <c r="H51" s="10">
        <f>IFERROR(SUMIFS('Base bordo'!G$2:G$746,'Base bordo'!C$2:C$746,A51,'Base bordo'!B$2:B$746,B51,'Base bordo'!F$2:F$746,"AGUARDANDO TRANSBORDO"),0)</f>
        <v>1.3844444444444444</v>
      </c>
      <c r="I51" s="10">
        <f>IFERROR(SUMIFS('Base bordo'!G$2:G$746,'Base bordo'!C$2:C$746,A51,'Base bordo'!B$2:B$746,B51,'Base bordo'!F$2:F$746,"PÁTIO INTERNO"),0)+IFERROR(SUMIFS('Base bordo'!G$2:G$746,'Base bordo'!C$2:C$746,A51,'Base bordo'!B$2:B$746,B51,'Base bordo'!F$2:F$746,"PÁTIO EXTERNO"),0)+IFERROR(SUMIFS('Base bordo'!G$2:G$746,'Base bordo'!C$2:C$746,A51,'Base bordo'!B$2:B$746,B51,'Base bordo'!F$2:F$746,"PATIO - RESERVA"),0)+IFERROR(SUMIFS('Base bordo'!G$2:G$746,'Base bordo'!C$2:C$746,A51,'Base bordo'!B$2:B$746,B51,'Base bordo'!F$2:F$746,"MANOBRA CARRETAS-PATIO"),0)</f>
        <v>0.63833333333333331</v>
      </c>
      <c r="J51" s="10">
        <f>IFERROR(SUMIFS('Base bordo'!G$2:G$746,'Base bordo'!C$2:C$746,A51,'Base bordo'!B$2:B$746,B51,'Base bordo'!F$2:F$746,"BALANÇA - ENTRADA"),0)+IFERROR(SUMIFS('Base bordo'!G$2:G$746,'Base bordo'!C$2:C$746,A51,'Base bordo'!B$2:B$746,B51,'Base bordo'!F$2:F$746,"BALANÇA - SAÍDA"),0)</f>
        <v>0</v>
      </c>
      <c r="K51" s="10">
        <f>IFERROR(SUMIFS('Base bordo'!G$2:G$746,'Base bordo'!C$2:C$746,A51,'Base bordo'!B$2:B$746,B51,'Base bordo'!F$2:F$746,"MAN PREVENTIVA - MECANICA"),0)+IFERROR(SUMIFS('Base bordo'!G$2:G$746,'Base bordo'!C$2:C$746,A51,'Base bordo'!B$2:B$746,B51,'Base bordo'!F$2:F$746,"MAN CORRETIVA - MECANICA"),0)</f>
        <v>0</v>
      </c>
      <c r="L51" s="10">
        <f>IFERROR(SUMIFS('Base bordo'!G$2:G$746,'Base bordo'!C$2:C$746,A51,'Base bordo'!B$2:B$746,B51,'Base bordo'!F$2:F$746,"MANUTENCAO - T O"),0)+IFERROR(SUMIFS('Base bordo'!G$2:G$746,'Base bordo'!C$2:C$746,A51,'Base bordo'!B$2:B$746,B51,'Base bordo'!F$2:F$746,"MANUTENCAO BORRACHARIA"),0)+IFERROR(SUMIFS('Base bordo'!G$2:G$746,'Base bordo'!C$2:C$746,A51,'Base bordo'!B$2:B$746,B51,'Base bordo'!F$2:F$746,"MANUTENCAO EXTERNA  CONCESSIONARIA"),0)+IFERROR(SUMIFS('Base bordo'!G$2:G$746,'Base bordo'!C$2:C$746,A51,'Base bordo'!B$2:B$746,B51,'Base bordo'!F$2:F$746,"MANUTENCAO TELEMETRIA"),0)</f>
        <v>0</v>
      </c>
      <c r="M51" s="10">
        <f>IFERROR(SUMIFS('Base bordo'!G$2:G$746,'Base bordo'!C$2:C$746,A51,'Base bordo'!B$2:B$746,B51,'Base bordo'!F$2:F$746,"AGUARDANDO MANUTENCAO"),0)</f>
        <v>0</v>
      </c>
      <c r="N51" s="10">
        <f>IFERROR(SUMIFS('Base bordo'!G$2:G$746,'Base bordo'!C$2:C$746,A51,'Base bordo'!B$2:B$746,B51,'Base bordo'!F$2:F$746,"SEM APONTAMENTO"),0)</f>
        <v>0</v>
      </c>
      <c r="O51" s="10">
        <f t="shared" si="6"/>
        <v>0.22777777777777786</v>
      </c>
      <c r="P51" s="10">
        <f>IFERROR(SUMIFS('Base bordo'!G$2:G$746,'Base bordo'!C$2:C$746,A51,'Base bordo'!B$2:B$746,B51),0)</f>
        <v>7.2108333333333334</v>
      </c>
      <c r="Q51" s="10">
        <f>IFERROR(SUMIFS('Base bordo'!H$2:H$746,'Base bordo'!C$2:C$746,A51,'Base bordo'!B$2:B$746,B51,'Base bordo'!F$2:F$746,"DESLOCAMENTO VAZIO"),0)</f>
        <v>253000.22999999998</v>
      </c>
      <c r="R51" s="10">
        <f>IFERROR(SUMIFS('Base bordo'!I$2:I$746,'Base bordo'!C$2:C$746,A51,'Base bordo'!B$2:B$746,B51,'Base bordo'!F$2:F$746,"DESLOCAMENTO VAZIO"),0)</f>
        <v>8071</v>
      </c>
      <c r="S51" s="30">
        <f t="shared" si="7"/>
        <v>31.346825672159582</v>
      </c>
      <c r="T51" s="10">
        <f>IFERROR(SUMIFS('Base bordo'!H$2:H$746,'Base bordo'!C$2:C$746,A51,'Base bordo'!B$2:B$746,B51,'Base bordo'!F$2:F$746,"DESLOCAMENTO CARREGADO"),0)</f>
        <v>222192.59000000003</v>
      </c>
      <c r="U51" s="10">
        <f>IFERROR(SUMIFS('Base bordo'!I$2:I$746,'Base bordo'!C$2:C$746,A51,'Base bordo'!B$2:B$746,B51,'Base bordo'!F$2:F$746,"DESLOCAMENTO CARREGADO"),0)</f>
        <v>9786</v>
      </c>
      <c r="V51" s="30">
        <f t="shared" si="8"/>
        <v>22.705149192724303</v>
      </c>
      <c r="W51" s="9">
        <f t="shared" si="9"/>
        <v>0.31091336338071573</v>
      </c>
      <c r="X51" s="9">
        <f t="shared" si="10"/>
        <v>0.37697908239916789</v>
      </c>
      <c r="Y51" s="9">
        <f t="shared" si="11"/>
        <v>0.31210755422011638</v>
      </c>
    </row>
    <row r="52" spans="1:25" ht="15" customHeight="1" x14ac:dyDescent="0.35">
      <c r="A52" s="52">
        <v>8013482</v>
      </c>
      <c r="B52" s="51">
        <v>46118</v>
      </c>
      <c r="C52" s="7" t="s">
        <v>124</v>
      </c>
      <c r="D52" s="10">
        <f>IFERROR(SUMIFS('Base bordo'!G$2:G$746,'Base bordo'!C$2:C$746,A52,'Base bordo'!B$2:B$746,B52,'Base bordo'!F$2:F$746,"DESLOCAMENTO VAZIO"),0)</f>
        <v>0.37861111111111112</v>
      </c>
      <c r="E52" s="10">
        <f>IFERROR(SUMIFS('Base bordo'!G$2:G$746,'Base bordo'!C$2:C$746,A52,'Base bordo'!B$2:B$746,B52,'Base bordo'!F$2:F$746,"DESLOCAMENTO CARREGADO"),0)</f>
        <v>2.5222222222222221</v>
      </c>
      <c r="F52" s="10">
        <f>IFERROR(SUMIFS('Base bordo'!G$2:G$746,'Base bordo'!C$2:C$746,A52,'Base bordo'!B$2:B$746,B52,'Base bordo'!F$2:F$746,"DESLOCAMENTO"),0)</f>
        <v>0</v>
      </c>
      <c r="G52" s="10">
        <f>IFERROR(SUMIFS('Base bordo'!G$2:G$746,'Base bordo'!C$2:C$746,A52,'Base bordo'!B$2:B$746,B52,'Base bordo'!F$2:F$746,"CARREGAMENTO"),0)</f>
        <v>0</v>
      </c>
      <c r="H52" s="10">
        <f>IFERROR(SUMIFS('Base bordo'!G$2:G$746,'Base bordo'!C$2:C$746,A52,'Base bordo'!B$2:B$746,B52,'Base bordo'!F$2:F$746,"AGUARDANDO TRANSBORDO"),0)</f>
        <v>5.0149999999999997</v>
      </c>
      <c r="I52" s="10">
        <f>IFERROR(SUMIFS('Base bordo'!G$2:G$746,'Base bordo'!C$2:C$746,A52,'Base bordo'!B$2:B$746,B52,'Base bordo'!F$2:F$746,"PÁTIO INTERNO"),0)+IFERROR(SUMIFS('Base bordo'!G$2:G$746,'Base bordo'!C$2:C$746,A52,'Base bordo'!B$2:B$746,B52,'Base bordo'!F$2:F$746,"PÁTIO EXTERNO"),0)+IFERROR(SUMIFS('Base bordo'!G$2:G$746,'Base bordo'!C$2:C$746,A52,'Base bordo'!B$2:B$746,B52,'Base bordo'!F$2:F$746,"PATIO - RESERVA"),0)+IFERROR(SUMIFS('Base bordo'!G$2:G$746,'Base bordo'!C$2:C$746,A52,'Base bordo'!B$2:B$746,B52,'Base bordo'!F$2:F$746,"MANOBRA CARRETAS-PATIO"),0)</f>
        <v>3.0661111111111108</v>
      </c>
      <c r="J52" s="10">
        <f>IFERROR(SUMIFS('Base bordo'!G$2:G$746,'Base bordo'!C$2:C$746,A52,'Base bordo'!B$2:B$746,B52,'Base bordo'!F$2:F$746,"BALANÇA - ENTRADA"),0)+IFERROR(SUMIFS('Base bordo'!G$2:G$746,'Base bordo'!C$2:C$746,A52,'Base bordo'!B$2:B$746,B52,'Base bordo'!F$2:F$746,"BALANÇA - SAÍDA"),0)</f>
        <v>0.14555555555555555</v>
      </c>
      <c r="K52" s="10">
        <f>IFERROR(SUMIFS('Base bordo'!G$2:G$746,'Base bordo'!C$2:C$746,A52,'Base bordo'!B$2:B$746,B52,'Base bordo'!F$2:F$746,"MAN PREVENTIVA - MECANICA"),0)+IFERROR(SUMIFS('Base bordo'!G$2:G$746,'Base bordo'!C$2:C$746,A52,'Base bordo'!B$2:B$746,B52,'Base bordo'!F$2:F$746,"MAN CORRETIVA - MECANICA"),0)</f>
        <v>0</v>
      </c>
      <c r="L52" s="10">
        <f>IFERROR(SUMIFS('Base bordo'!G$2:G$746,'Base bordo'!C$2:C$746,A52,'Base bordo'!B$2:B$746,B52,'Base bordo'!F$2:F$746,"MANUTENCAO - T O"),0)+IFERROR(SUMIFS('Base bordo'!G$2:G$746,'Base bordo'!C$2:C$746,A52,'Base bordo'!B$2:B$746,B52,'Base bordo'!F$2:F$746,"MANUTENCAO BORRACHARIA"),0)+IFERROR(SUMIFS('Base bordo'!G$2:G$746,'Base bordo'!C$2:C$746,A52,'Base bordo'!B$2:B$746,B52,'Base bordo'!F$2:F$746,"MANUTENCAO EXTERNA  CONCESSIONARIA"),0)+IFERROR(SUMIFS('Base bordo'!G$2:G$746,'Base bordo'!C$2:C$746,A52,'Base bordo'!B$2:B$746,B52,'Base bordo'!F$2:F$746,"MANUTENCAO TELEMETRIA"),0)</f>
        <v>0</v>
      </c>
      <c r="M52" s="10">
        <f>IFERROR(SUMIFS('Base bordo'!G$2:G$746,'Base bordo'!C$2:C$746,A52,'Base bordo'!B$2:B$746,B52,'Base bordo'!F$2:F$746,"AGUARDANDO MANUTENCAO"),0)</f>
        <v>0</v>
      </c>
      <c r="N52" s="10">
        <f>IFERROR(SUMIFS('Base bordo'!G$2:G$746,'Base bordo'!C$2:C$746,A52,'Base bordo'!B$2:B$746,B52,'Base bordo'!F$2:F$746,"SEM APONTAMENTO"),0)</f>
        <v>0</v>
      </c>
      <c r="O52" s="10">
        <f t="shared" si="6"/>
        <v>0</v>
      </c>
      <c r="P52" s="10">
        <f>IFERROR(SUMIFS('Base bordo'!G$2:G$746,'Base bordo'!C$2:C$746,A52,'Base bordo'!B$2:B$746,B52),0)</f>
        <v>11.1275</v>
      </c>
      <c r="Q52" s="10">
        <f>IFERROR(SUMIFS('Base bordo'!H$2:H$746,'Base bordo'!C$2:C$746,A52,'Base bordo'!B$2:B$746,B52,'Base bordo'!F$2:F$746,"DESLOCAMENTO VAZIO"),0)</f>
        <v>7195.82</v>
      </c>
      <c r="R52" s="10">
        <f>IFERROR(SUMIFS('Base bordo'!I$2:I$746,'Base bordo'!C$2:C$746,A52,'Base bordo'!B$2:B$746,B52,'Base bordo'!F$2:F$746,"DESLOCAMENTO VAZIO"),0)</f>
        <v>1363</v>
      </c>
      <c r="S52" s="30">
        <f t="shared" si="7"/>
        <v>5.2793983859134261</v>
      </c>
      <c r="T52" s="10">
        <f>IFERROR(SUMIFS('Base bordo'!H$2:H$746,'Base bordo'!C$2:C$746,A52,'Base bordo'!B$2:B$746,B52,'Base bordo'!F$2:F$746,"DESLOCAMENTO CARREGADO"),0)</f>
        <v>221650.07</v>
      </c>
      <c r="U52" s="10">
        <f>IFERROR(SUMIFS('Base bordo'!I$2:I$746,'Base bordo'!C$2:C$746,A52,'Base bordo'!B$2:B$746,B52,'Base bordo'!F$2:F$746,"DESLOCAMENTO CARREGADO"),0)</f>
        <v>9080</v>
      </c>
      <c r="V52" s="30">
        <f t="shared" si="8"/>
        <v>24.410800660792951</v>
      </c>
      <c r="W52" s="9">
        <f t="shared" si="9"/>
        <v>3.4024813400234659E-2</v>
      </c>
      <c r="X52" s="9">
        <f t="shared" si="10"/>
        <v>0.22666566813949424</v>
      </c>
      <c r="Y52" s="9">
        <f t="shared" si="11"/>
        <v>0.73930951846027115</v>
      </c>
    </row>
    <row r="53" spans="1:25" ht="15" customHeight="1" x14ac:dyDescent="0.35">
      <c r="A53" s="52">
        <v>8013468</v>
      </c>
      <c r="B53" s="51">
        <v>46123</v>
      </c>
      <c r="C53" s="7" t="s">
        <v>124</v>
      </c>
      <c r="D53" s="10">
        <f>IFERROR(SUMIFS('Base bordo'!G$2:G$746,'Base bordo'!C$2:C$746,A53,'Base bordo'!B$2:B$746,B53,'Base bordo'!F$2:F$746,"DESLOCAMENTO VAZIO"),0)</f>
        <v>1.9583333333333333</v>
      </c>
      <c r="E53" s="10">
        <f>IFERROR(SUMIFS('Base bordo'!G$2:G$746,'Base bordo'!C$2:C$746,A53,'Base bordo'!B$2:B$746,B53,'Base bordo'!F$2:F$746,"DESLOCAMENTO CARREGADO"),0)</f>
        <v>2.1616666666666666</v>
      </c>
      <c r="F53" s="10">
        <f>IFERROR(SUMIFS('Base bordo'!G$2:G$746,'Base bordo'!C$2:C$746,A53,'Base bordo'!B$2:B$746,B53,'Base bordo'!F$2:F$746,"DESLOCAMENTO"),0)</f>
        <v>0</v>
      </c>
      <c r="G53" s="10">
        <f>IFERROR(SUMIFS('Base bordo'!G$2:G$746,'Base bordo'!C$2:C$746,A53,'Base bordo'!B$2:B$746,B53,'Base bordo'!F$2:F$746,"CARREGAMENTO"),0)</f>
        <v>0</v>
      </c>
      <c r="H53" s="10">
        <f>IFERROR(SUMIFS('Base bordo'!G$2:G$746,'Base bordo'!C$2:C$746,A53,'Base bordo'!B$2:B$746,B53,'Base bordo'!F$2:F$746,"AGUARDANDO TRANSBORDO"),0)</f>
        <v>0.82333333333333336</v>
      </c>
      <c r="I53" s="10">
        <f>IFERROR(SUMIFS('Base bordo'!G$2:G$746,'Base bordo'!C$2:C$746,A53,'Base bordo'!B$2:B$746,B53,'Base bordo'!F$2:F$746,"PÁTIO INTERNO"),0)+IFERROR(SUMIFS('Base bordo'!G$2:G$746,'Base bordo'!C$2:C$746,A53,'Base bordo'!B$2:B$746,B53,'Base bordo'!F$2:F$746,"PÁTIO EXTERNO"),0)+IFERROR(SUMIFS('Base bordo'!G$2:G$746,'Base bordo'!C$2:C$746,A53,'Base bordo'!B$2:B$746,B53,'Base bordo'!F$2:F$746,"PATIO - RESERVA"),0)+IFERROR(SUMIFS('Base bordo'!G$2:G$746,'Base bordo'!C$2:C$746,A53,'Base bordo'!B$2:B$746,B53,'Base bordo'!F$2:F$746,"MANOBRA CARRETAS-PATIO"),0)</f>
        <v>3.9758333333333336</v>
      </c>
      <c r="J53" s="10">
        <f>IFERROR(SUMIFS('Base bordo'!G$2:G$746,'Base bordo'!C$2:C$746,A53,'Base bordo'!B$2:B$746,B53,'Base bordo'!F$2:F$746,"BALANÇA - ENTRADA"),0)+IFERROR(SUMIFS('Base bordo'!G$2:G$746,'Base bordo'!C$2:C$746,A53,'Base bordo'!B$2:B$746,B53,'Base bordo'!F$2:F$746,"BALANÇA - SAÍDA"),0)</f>
        <v>0</v>
      </c>
      <c r="K53" s="10">
        <f>IFERROR(SUMIFS('Base bordo'!G$2:G$746,'Base bordo'!C$2:C$746,A53,'Base bordo'!B$2:B$746,B53,'Base bordo'!F$2:F$746,"MAN PREVENTIVA - MECANICA"),0)+IFERROR(SUMIFS('Base bordo'!G$2:G$746,'Base bordo'!C$2:C$746,A53,'Base bordo'!B$2:B$746,B53,'Base bordo'!F$2:F$746,"MAN CORRETIVA - MECANICA"),0)</f>
        <v>0</v>
      </c>
      <c r="L53" s="10">
        <f>IFERROR(SUMIFS('Base bordo'!G$2:G$746,'Base bordo'!C$2:C$746,A53,'Base bordo'!B$2:B$746,B53,'Base bordo'!F$2:F$746,"MANUTENCAO - T O"),0)+IFERROR(SUMIFS('Base bordo'!G$2:G$746,'Base bordo'!C$2:C$746,A53,'Base bordo'!B$2:B$746,B53,'Base bordo'!F$2:F$746,"MANUTENCAO BORRACHARIA"),0)+IFERROR(SUMIFS('Base bordo'!G$2:G$746,'Base bordo'!C$2:C$746,A53,'Base bordo'!B$2:B$746,B53,'Base bordo'!F$2:F$746,"MANUTENCAO EXTERNA  CONCESSIONARIA"),0)+IFERROR(SUMIFS('Base bordo'!G$2:G$746,'Base bordo'!C$2:C$746,A53,'Base bordo'!B$2:B$746,B53,'Base bordo'!F$2:F$746,"MANUTENCAO TELEMETRIA"),0)</f>
        <v>0</v>
      </c>
      <c r="M53" s="10">
        <f>IFERROR(SUMIFS('Base bordo'!G$2:G$746,'Base bordo'!C$2:C$746,A53,'Base bordo'!B$2:B$746,B53,'Base bordo'!F$2:F$746,"AGUARDANDO MANUTENCAO"),0)</f>
        <v>0</v>
      </c>
      <c r="N53" s="10">
        <f>IFERROR(SUMIFS('Base bordo'!G$2:G$746,'Base bordo'!C$2:C$746,A53,'Base bordo'!B$2:B$746,B53,'Base bordo'!F$2:F$746,"SEM APONTAMENTO"),0)</f>
        <v>0</v>
      </c>
      <c r="O53" s="10">
        <f t="shared" si="6"/>
        <v>0.26222222222222236</v>
      </c>
      <c r="P53" s="10">
        <f>IFERROR(SUMIFS('Base bordo'!G$2:G$746,'Base bordo'!C$2:C$746,A53,'Base bordo'!B$2:B$746,B53),0)</f>
        <v>9.1813888888888897</v>
      </c>
      <c r="Q53" s="10">
        <f>IFERROR(SUMIFS('Base bordo'!H$2:H$746,'Base bordo'!C$2:C$746,A53,'Base bordo'!B$2:B$746,B53,'Base bordo'!F$2:F$746,"DESLOCAMENTO VAZIO"),0)</f>
        <v>221588.27</v>
      </c>
      <c r="R53" s="10">
        <f>IFERROR(SUMIFS('Base bordo'!I$2:I$746,'Base bordo'!C$2:C$746,A53,'Base bordo'!B$2:B$746,B53,'Base bordo'!F$2:F$746,"DESLOCAMENTO VAZIO"),0)</f>
        <v>7050</v>
      </c>
      <c r="S53" s="30">
        <f t="shared" si="7"/>
        <v>31.430960283687941</v>
      </c>
      <c r="T53" s="10">
        <f>IFERROR(SUMIFS('Base bordo'!H$2:H$746,'Base bordo'!C$2:C$746,A53,'Base bordo'!B$2:B$746,B53,'Base bordo'!F$2:F$746,"DESLOCAMENTO CARREGADO"),0)</f>
        <v>177589.6</v>
      </c>
      <c r="U53" s="10">
        <f>IFERROR(SUMIFS('Base bordo'!I$2:I$746,'Base bordo'!C$2:C$746,A53,'Base bordo'!B$2:B$746,B53,'Base bordo'!F$2:F$746,"DESLOCAMENTO CARREGADO"),0)</f>
        <v>7782</v>
      </c>
      <c r="V53" s="30">
        <f t="shared" si="8"/>
        <v>22.820560267283476</v>
      </c>
      <c r="W53" s="9">
        <f t="shared" si="9"/>
        <v>0.21329380086527694</v>
      </c>
      <c r="X53" s="9">
        <f t="shared" si="10"/>
        <v>0.23544005082745889</v>
      </c>
      <c r="Y53" s="9">
        <f t="shared" si="11"/>
        <v>0.55126614830726406</v>
      </c>
    </row>
    <row r="54" spans="1:25" ht="15" customHeight="1" x14ac:dyDescent="0.35">
      <c r="A54" s="52">
        <v>8013481</v>
      </c>
      <c r="B54" s="51">
        <v>46124</v>
      </c>
      <c r="C54" s="7" t="s">
        <v>124</v>
      </c>
      <c r="D54" s="10">
        <f>IFERROR(SUMIFS('Base bordo'!G$2:G$746,'Base bordo'!C$2:C$746,A54,'Base bordo'!B$2:B$746,B54,'Base bordo'!F$2:F$746,"DESLOCAMENTO VAZIO"),0)</f>
        <v>1.6861111111111111</v>
      </c>
      <c r="E54" s="10">
        <f>IFERROR(SUMIFS('Base bordo'!G$2:G$746,'Base bordo'!C$2:C$746,A54,'Base bordo'!B$2:B$746,B54,'Base bordo'!F$2:F$746,"DESLOCAMENTO CARREGADO"),0)</f>
        <v>2.4669444444444446</v>
      </c>
      <c r="F54" s="10">
        <f>IFERROR(SUMIFS('Base bordo'!G$2:G$746,'Base bordo'!C$2:C$746,A54,'Base bordo'!B$2:B$746,B54,'Base bordo'!F$2:F$746,"DESLOCAMENTO"),0)</f>
        <v>0</v>
      </c>
      <c r="G54" s="10">
        <f>IFERROR(SUMIFS('Base bordo'!G$2:G$746,'Base bordo'!C$2:C$746,A54,'Base bordo'!B$2:B$746,B54,'Base bordo'!F$2:F$746,"CARREGAMENTO"),0)</f>
        <v>0</v>
      </c>
      <c r="H54" s="10">
        <f>IFERROR(SUMIFS('Base bordo'!G$2:G$746,'Base bordo'!C$2:C$746,A54,'Base bordo'!B$2:B$746,B54,'Base bordo'!F$2:F$746,"AGUARDANDO TRANSBORDO"),0)</f>
        <v>0</v>
      </c>
      <c r="I54" s="10">
        <f>IFERROR(SUMIFS('Base bordo'!G$2:G$746,'Base bordo'!C$2:C$746,A54,'Base bordo'!B$2:B$746,B54,'Base bordo'!F$2:F$746,"PÁTIO INTERNO"),0)+IFERROR(SUMIFS('Base bordo'!G$2:G$746,'Base bordo'!C$2:C$746,A54,'Base bordo'!B$2:B$746,B54,'Base bordo'!F$2:F$746,"PÁTIO EXTERNO"),0)+IFERROR(SUMIFS('Base bordo'!G$2:G$746,'Base bordo'!C$2:C$746,A54,'Base bordo'!B$2:B$746,B54,'Base bordo'!F$2:F$746,"PATIO - RESERVA"),0)+IFERROR(SUMIFS('Base bordo'!G$2:G$746,'Base bordo'!C$2:C$746,A54,'Base bordo'!B$2:B$746,B54,'Base bordo'!F$2:F$746,"MANOBRA CARRETAS-PATIO"),0)</f>
        <v>14.274166666666666</v>
      </c>
      <c r="J54" s="10">
        <f>IFERROR(SUMIFS('Base bordo'!G$2:G$746,'Base bordo'!C$2:C$746,A54,'Base bordo'!B$2:B$746,B54,'Base bordo'!F$2:F$746,"BALANÇA - ENTRADA"),0)+IFERROR(SUMIFS('Base bordo'!G$2:G$746,'Base bordo'!C$2:C$746,A54,'Base bordo'!B$2:B$746,B54,'Base bordo'!F$2:F$746,"BALANÇA - SAÍDA"),0)</f>
        <v>7.4166666666666659E-2</v>
      </c>
      <c r="K54" s="10">
        <f>IFERROR(SUMIFS('Base bordo'!G$2:G$746,'Base bordo'!C$2:C$746,A54,'Base bordo'!B$2:B$746,B54,'Base bordo'!F$2:F$746,"MAN PREVENTIVA - MECANICA"),0)+IFERROR(SUMIFS('Base bordo'!G$2:G$746,'Base bordo'!C$2:C$746,A54,'Base bordo'!B$2:B$746,B54,'Base bordo'!F$2:F$746,"MAN CORRETIVA - MECANICA"),0)</f>
        <v>0</v>
      </c>
      <c r="L54" s="10">
        <f>IFERROR(SUMIFS('Base bordo'!G$2:G$746,'Base bordo'!C$2:C$746,A54,'Base bordo'!B$2:B$746,B54,'Base bordo'!F$2:F$746,"MANUTENCAO - T O"),0)+IFERROR(SUMIFS('Base bordo'!G$2:G$746,'Base bordo'!C$2:C$746,A54,'Base bordo'!B$2:B$746,B54,'Base bordo'!F$2:F$746,"MANUTENCAO BORRACHARIA"),0)+IFERROR(SUMIFS('Base bordo'!G$2:G$746,'Base bordo'!C$2:C$746,A54,'Base bordo'!B$2:B$746,B54,'Base bordo'!F$2:F$746,"MANUTENCAO EXTERNA  CONCESSIONARIA"),0)+IFERROR(SUMIFS('Base bordo'!G$2:G$746,'Base bordo'!C$2:C$746,A54,'Base bordo'!B$2:B$746,B54,'Base bordo'!F$2:F$746,"MANUTENCAO TELEMETRIA"),0)</f>
        <v>0</v>
      </c>
      <c r="M54" s="10">
        <f>IFERROR(SUMIFS('Base bordo'!G$2:G$746,'Base bordo'!C$2:C$746,A54,'Base bordo'!B$2:B$746,B54,'Base bordo'!F$2:F$746,"AGUARDANDO MANUTENCAO"),0)</f>
        <v>0</v>
      </c>
      <c r="N54" s="10">
        <f>IFERROR(SUMIFS('Base bordo'!G$2:G$746,'Base bordo'!C$2:C$746,A54,'Base bordo'!B$2:B$746,B54,'Base bordo'!F$2:F$746,"SEM APONTAMENTO"),0)</f>
        <v>0</v>
      </c>
      <c r="O54" s="10">
        <f t="shared" si="6"/>
        <v>0</v>
      </c>
      <c r="P54" s="10">
        <f>IFERROR(SUMIFS('Base bordo'!G$2:G$746,'Base bordo'!C$2:C$746,A54,'Base bordo'!B$2:B$746,B54),0)</f>
        <v>18.501388888888886</v>
      </c>
      <c r="Q54" s="10">
        <f>IFERROR(SUMIFS('Base bordo'!H$2:H$746,'Base bordo'!C$2:C$746,A54,'Base bordo'!B$2:B$746,B54,'Base bordo'!F$2:F$746,"DESLOCAMENTO VAZIO"),0)</f>
        <v>216936.43</v>
      </c>
      <c r="R54" s="10">
        <f>IFERROR(SUMIFS('Base bordo'!I$2:I$746,'Base bordo'!C$2:C$746,A54,'Base bordo'!B$2:B$746,B54,'Base bordo'!F$2:F$746,"DESLOCAMENTO VAZIO"),0)</f>
        <v>6070</v>
      </c>
      <c r="S54" s="30">
        <f t="shared" si="7"/>
        <v>35.739115321252058</v>
      </c>
      <c r="T54" s="10">
        <f>IFERROR(SUMIFS('Base bordo'!H$2:H$746,'Base bordo'!C$2:C$746,A54,'Base bordo'!B$2:B$746,B54,'Base bordo'!F$2:F$746,"DESLOCAMENTO CARREGADO"),0)</f>
        <v>221432.38999999998</v>
      </c>
      <c r="U54" s="10">
        <f>IFERROR(SUMIFS('Base bordo'!I$2:I$746,'Base bordo'!C$2:C$746,A54,'Base bordo'!B$2:B$746,B54,'Base bordo'!F$2:F$746,"DESLOCAMENTO CARREGADO"),0)</f>
        <v>8881</v>
      </c>
      <c r="V54" s="30">
        <f t="shared" si="8"/>
        <v>24.933272154036707</v>
      </c>
      <c r="W54" s="9">
        <f t="shared" si="9"/>
        <v>9.1134299226784787E-2</v>
      </c>
      <c r="X54" s="9">
        <f t="shared" si="10"/>
        <v>0.13333833796261543</v>
      </c>
      <c r="Y54" s="9">
        <f t="shared" si="11"/>
        <v>0.77552736281059975</v>
      </c>
    </row>
    <row r="55" spans="1:25" ht="15" customHeight="1" x14ac:dyDescent="0.35">
      <c r="A55" s="52">
        <v>8013473</v>
      </c>
      <c r="B55" s="51">
        <v>46117</v>
      </c>
      <c r="C55" s="7" t="s">
        <v>124</v>
      </c>
      <c r="D55" s="10">
        <f>IFERROR(SUMIFS('Base bordo'!G$2:G$746,'Base bordo'!C$2:C$746,A55,'Base bordo'!B$2:B$746,B55,'Base bordo'!F$2:F$746,"DESLOCAMENTO VAZIO"),0)</f>
        <v>1.3711111111111112</v>
      </c>
      <c r="E55" s="10">
        <f>IFERROR(SUMIFS('Base bordo'!G$2:G$746,'Base bordo'!C$2:C$746,A55,'Base bordo'!B$2:B$746,B55,'Base bordo'!F$2:F$746,"DESLOCAMENTO CARREGADO"),0)</f>
        <v>0</v>
      </c>
      <c r="F55" s="10">
        <f>IFERROR(SUMIFS('Base bordo'!G$2:G$746,'Base bordo'!C$2:C$746,A55,'Base bordo'!B$2:B$746,B55,'Base bordo'!F$2:F$746,"DESLOCAMENTO"),0)</f>
        <v>0</v>
      </c>
      <c r="G55" s="10">
        <f>IFERROR(SUMIFS('Base bordo'!G$2:G$746,'Base bordo'!C$2:C$746,A55,'Base bordo'!B$2:B$746,B55,'Base bordo'!F$2:F$746,"CARREGAMENTO"),0)</f>
        <v>3.9011111111111112</v>
      </c>
      <c r="H55" s="10">
        <f>IFERROR(SUMIFS('Base bordo'!G$2:G$746,'Base bordo'!C$2:C$746,A55,'Base bordo'!B$2:B$746,B55,'Base bordo'!F$2:F$746,"AGUARDANDO TRANSBORDO"),0)</f>
        <v>0.88972222222222219</v>
      </c>
      <c r="I55" s="10">
        <f>IFERROR(SUMIFS('Base bordo'!G$2:G$746,'Base bordo'!C$2:C$746,A55,'Base bordo'!B$2:B$746,B55,'Base bordo'!F$2:F$746,"PÁTIO INTERNO"),0)+IFERROR(SUMIFS('Base bordo'!G$2:G$746,'Base bordo'!C$2:C$746,A55,'Base bordo'!B$2:B$746,B55,'Base bordo'!F$2:F$746,"PÁTIO EXTERNO"),0)+IFERROR(SUMIFS('Base bordo'!G$2:G$746,'Base bordo'!C$2:C$746,A55,'Base bordo'!B$2:B$746,B55,'Base bordo'!F$2:F$746,"PATIO - RESERVA"),0)+IFERROR(SUMIFS('Base bordo'!G$2:G$746,'Base bordo'!C$2:C$746,A55,'Base bordo'!B$2:B$746,B55,'Base bordo'!F$2:F$746,"MANOBRA CARRETAS-PATIO"),0)</f>
        <v>0</v>
      </c>
      <c r="J55" s="10">
        <f>IFERROR(SUMIFS('Base bordo'!G$2:G$746,'Base bordo'!C$2:C$746,A55,'Base bordo'!B$2:B$746,B55,'Base bordo'!F$2:F$746,"BALANÇA - ENTRADA"),0)+IFERROR(SUMIFS('Base bordo'!G$2:G$746,'Base bordo'!C$2:C$746,A55,'Base bordo'!B$2:B$746,B55,'Base bordo'!F$2:F$746,"BALANÇA - SAÍDA"),0)</f>
        <v>0</v>
      </c>
      <c r="K55" s="10">
        <f>IFERROR(SUMIFS('Base bordo'!G$2:G$746,'Base bordo'!C$2:C$746,A55,'Base bordo'!B$2:B$746,B55,'Base bordo'!F$2:F$746,"MAN PREVENTIVA - MECANICA"),0)+IFERROR(SUMIFS('Base bordo'!G$2:G$746,'Base bordo'!C$2:C$746,A55,'Base bordo'!B$2:B$746,B55,'Base bordo'!F$2:F$746,"MAN CORRETIVA - MECANICA"),0)</f>
        <v>0</v>
      </c>
      <c r="L55" s="10">
        <f>IFERROR(SUMIFS('Base bordo'!G$2:G$746,'Base bordo'!C$2:C$746,A55,'Base bordo'!B$2:B$746,B55,'Base bordo'!F$2:F$746,"MANUTENCAO - T O"),0)+IFERROR(SUMIFS('Base bordo'!G$2:G$746,'Base bordo'!C$2:C$746,A55,'Base bordo'!B$2:B$746,B55,'Base bordo'!F$2:F$746,"MANUTENCAO BORRACHARIA"),0)+IFERROR(SUMIFS('Base bordo'!G$2:G$746,'Base bordo'!C$2:C$746,A55,'Base bordo'!B$2:B$746,B55,'Base bordo'!F$2:F$746,"MANUTENCAO EXTERNA  CONCESSIONARIA"),0)+IFERROR(SUMIFS('Base bordo'!G$2:G$746,'Base bordo'!C$2:C$746,A55,'Base bordo'!B$2:B$746,B55,'Base bordo'!F$2:F$746,"MANUTENCAO TELEMETRIA"),0)</f>
        <v>17.566666666666666</v>
      </c>
      <c r="M55" s="10">
        <f>IFERROR(SUMIFS('Base bordo'!G$2:G$746,'Base bordo'!C$2:C$746,A55,'Base bordo'!B$2:B$746,B55,'Base bordo'!F$2:F$746,"AGUARDANDO MANUTENCAO"),0)</f>
        <v>0</v>
      </c>
      <c r="N55" s="10">
        <f>IFERROR(SUMIFS('Base bordo'!G$2:G$746,'Base bordo'!C$2:C$746,A55,'Base bordo'!B$2:B$746,B55,'Base bordo'!F$2:F$746,"SEM APONTAMENTO"),0)</f>
        <v>0</v>
      </c>
      <c r="O55" s="10">
        <f t="shared" si="6"/>
        <v>0.27138888888888957</v>
      </c>
      <c r="P55" s="10">
        <f>IFERROR(SUMIFS('Base bordo'!G$2:G$746,'Base bordo'!C$2:C$746,A55,'Base bordo'!B$2:B$746,B55),0)</f>
        <v>24</v>
      </c>
      <c r="Q55" s="10">
        <f>IFERROR(SUMIFS('Base bordo'!H$2:H$746,'Base bordo'!C$2:C$746,A55,'Base bordo'!B$2:B$746,B55,'Base bordo'!F$2:F$746,"DESLOCAMENTO VAZIO"),0)</f>
        <v>219779.48</v>
      </c>
      <c r="R55" s="10">
        <f>IFERROR(SUMIFS('Base bordo'!I$2:I$746,'Base bordo'!C$2:C$746,A55,'Base bordo'!B$2:B$746,B55,'Base bordo'!F$2:F$746,"DESLOCAMENTO VAZIO"),0)</f>
        <v>4936</v>
      </c>
      <c r="S55" s="30">
        <f t="shared" si="7"/>
        <v>44.525826580226905</v>
      </c>
      <c r="T55" s="10">
        <f>IFERROR(SUMIFS('Base bordo'!H$2:H$746,'Base bordo'!C$2:C$746,A55,'Base bordo'!B$2:B$746,B55,'Base bordo'!F$2:F$746,"DESLOCAMENTO CARREGADO"),0)</f>
        <v>0</v>
      </c>
      <c r="U55" s="10">
        <f>IFERROR(SUMIFS('Base bordo'!I$2:I$746,'Base bordo'!C$2:C$746,A55,'Base bordo'!B$2:B$746,B55,'Base bordo'!F$2:F$746,"DESLOCAMENTO CARREGADO"),0)</f>
        <v>0</v>
      </c>
      <c r="V55" s="30" t="str">
        <f t="shared" si="8"/>
        <v/>
      </c>
      <c r="W55" s="9">
        <f t="shared" si="9"/>
        <v>5.7129629629629634E-2</v>
      </c>
      <c r="X55" s="9">
        <f t="shared" si="10"/>
        <v>0</v>
      </c>
      <c r="Y55" s="9">
        <f t="shared" si="11"/>
        <v>0.94287037037037036</v>
      </c>
    </row>
    <row r="56" spans="1:25" ht="15" customHeight="1" x14ac:dyDescent="0.35">
      <c r="A56" s="52">
        <v>8013484</v>
      </c>
      <c r="B56" s="51">
        <v>46124</v>
      </c>
      <c r="C56" s="7" t="s">
        <v>124</v>
      </c>
      <c r="D56" s="10">
        <f>IFERROR(SUMIFS('Base bordo'!G$2:G$746,'Base bordo'!C$2:C$746,A56,'Base bordo'!B$2:B$746,B56,'Base bordo'!F$2:F$746,"DESLOCAMENTO VAZIO"),0)</f>
        <v>2.078611111111111</v>
      </c>
      <c r="E56" s="10">
        <f>IFERROR(SUMIFS('Base bordo'!G$2:G$746,'Base bordo'!C$2:C$746,A56,'Base bordo'!B$2:B$746,B56,'Base bordo'!F$2:F$746,"DESLOCAMENTO CARREGADO"),0)</f>
        <v>2.0197222222222222</v>
      </c>
      <c r="F56" s="10">
        <f>IFERROR(SUMIFS('Base bordo'!G$2:G$746,'Base bordo'!C$2:C$746,A56,'Base bordo'!B$2:B$746,B56,'Base bordo'!F$2:F$746,"DESLOCAMENTO"),0)</f>
        <v>0.28999999999999998</v>
      </c>
      <c r="G56" s="10">
        <f>IFERROR(SUMIFS('Base bordo'!G$2:G$746,'Base bordo'!C$2:C$746,A56,'Base bordo'!B$2:B$746,B56,'Base bordo'!F$2:F$746,"CARREGAMENTO"),0)</f>
        <v>0</v>
      </c>
      <c r="H56" s="10">
        <f>IFERROR(SUMIFS('Base bordo'!G$2:G$746,'Base bordo'!C$2:C$746,A56,'Base bordo'!B$2:B$746,B56,'Base bordo'!F$2:F$746,"AGUARDANDO TRANSBORDO"),0)</f>
        <v>0.16944444444444445</v>
      </c>
      <c r="I56" s="10">
        <f>IFERROR(SUMIFS('Base bordo'!G$2:G$746,'Base bordo'!C$2:C$746,A56,'Base bordo'!B$2:B$746,B56,'Base bordo'!F$2:F$746,"PÁTIO INTERNO"),0)+IFERROR(SUMIFS('Base bordo'!G$2:G$746,'Base bordo'!C$2:C$746,A56,'Base bordo'!B$2:B$746,B56,'Base bordo'!F$2:F$746,"PÁTIO EXTERNO"),0)+IFERROR(SUMIFS('Base bordo'!G$2:G$746,'Base bordo'!C$2:C$746,A56,'Base bordo'!B$2:B$746,B56,'Base bordo'!F$2:F$746,"PATIO - RESERVA"),0)+IFERROR(SUMIFS('Base bordo'!G$2:G$746,'Base bordo'!C$2:C$746,A56,'Base bordo'!B$2:B$746,B56,'Base bordo'!F$2:F$746,"MANOBRA CARRETAS-PATIO"),0)</f>
        <v>10.112499999999999</v>
      </c>
      <c r="J56" s="10">
        <f>IFERROR(SUMIFS('Base bordo'!G$2:G$746,'Base bordo'!C$2:C$746,A56,'Base bordo'!B$2:B$746,B56,'Base bordo'!F$2:F$746,"BALANÇA - ENTRADA"),0)+IFERROR(SUMIFS('Base bordo'!G$2:G$746,'Base bordo'!C$2:C$746,A56,'Base bordo'!B$2:B$746,B56,'Base bordo'!F$2:F$746,"BALANÇA - SAÍDA"),0)</f>
        <v>0.13666666666666666</v>
      </c>
      <c r="K56" s="10">
        <f>IFERROR(SUMIFS('Base bordo'!G$2:G$746,'Base bordo'!C$2:C$746,A56,'Base bordo'!B$2:B$746,B56,'Base bordo'!F$2:F$746,"MAN PREVENTIVA - MECANICA"),0)+IFERROR(SUMIFS('Base bordo'!G$2:G$746,'Base bordo'!C$2:C$746,A56,'Base bordo'!B$2:B$746,B56,'Base bordo'!F$2:F$746,"MAN CORRETIVA - MECANICA"),0)</f>
        <v>0</v>
      </c>
      <c r="L56" s="10">
        <f>IFERROR(SUMIFS('Base bordo'!G$2:G$746,'Base bordo'!C$2:C$746,A56,'Base bordo'!B$2:B$746,B56,'Base bordo'!F$2:F$746,"MANUTENCAO - T O"),0)+IFERROR(SUMIFS('Base bordo'!G$2:G$746,'Base bordo'!C$2:C$746,A56,'Base bordo'!B$2:B$746,B56,'Base bordo'!F$2:F$746,"MANUTENCAO BORRACHARIA"),0)+IFERROR(SUMIFS('Base bordo'!G$2:G$746,'Base bordo'!C$2:C$746,A56,'Base bordo'!B$2:B$746,B56,'Base bordo'!F$2:F$746,"MANUTENCAO EXTERNA  CONCESSIONARIA"),0)+IFERROR(SUMIFS('Base bordo'!G$2:G$746,'Base bordo'!C$2:C$746,A56,'Base bordo'!B$2:B$746,B56,'Base bordo'!F$2:F$746,"MANUTENCAO TELEMETRIA"),0)</f>
        <v>0.28944444444444445</v>
      </c>
      <c r="M56" s="10">
        <f>IFERROR(SUMIFS('Base bordo'!G$2:G$746,'Base bordo'!C$2:C$746,A56,'Base bordo'!B$2:B$746,B56,'Base bordo'!F$2:F$746,"AGUARDANDO MANUTENCAO"),0)</f>
        <v>0</v>
      </c>
      <c r="N56" s="10">
        <f>IFERROR(SUMIFS('Base bordo'!G$2:G$746,'Base bordo'!C$2:C$746,A56,'Base bordo'!B$2:B$746,B56,'Base bordo'!F$2:F$746,"SEM APONTAMENTO"),0)</f>
        <v>0</v>
      </c>
      <c r="O56" s="10">
        <f t="shared" si="6"/>
        <v>0</v>
      </c>
      <c r="P56" s="10">
        <f>IFERROR(SUMIFS('Base bordo'!G$2:G$746,'Base bordo'!C$2:C$746,A56,'Base bordo'!B$2:B$746,B56),0)</f>
        <v>15.096388888888889</v>
      </c>
      <c r="Q56" s="10">
        <f>IFERROR(SUMIFS('Base bordo'!H$2:H$746,'Base bordo'!C$2:C$746,A56,'Base bordo'!B$2:B$746,B56,'Base bordo'!F$2:F$746,"DESLOCAMENTO VAZIO"),0)</f>
        <v>217205.70999999996</v>
      </c>
      <c r="R56" s="10">
        <f>IFERROR(SUMIFS('Base bordo'!I$2:I$746,'Base bordo'!C$2:C$746,A56,'Base bordo'!B$2:B$746,B56,'Base bordo'!F$2:F$746,"DESLOCAMENTO VAZIO"),0)</f>
        <v>7483</v>
      </c>
      <c r="S56" s="30">
        <f t="shared" si="7"/>
        <v>29.026554857677397</v>
      </c>
      <c r="T56" s="10">
        <f>IFERROR(SUMIFS('Base bordo'!H$2:H$746,'Base bordo'!C$2:C$746,A56,'Base bordo'!B$2:B$746,B56,'Base bordo'!F$2:F$746,"DESLOCAMENTO CARREGADO"),0)</f>
        <v>176129.33000000002</v>
      </c>
      <c r="U56" s="10">
        <f>IFERROR(SUMIFS('Base bordo'!I$2:I$746,'Base bordo'!C$2:C$746,A56,'Base bordo'!B$2:B$746,B56,'Base bordo'!F$2:F$746,"DESLOCAMENTO CARREGADO"),0)</f>
        <v>7271</v>
      </c>
      <c r="V56" s="30">
        <f t="shared" si="8"/>
        <v>24.22353596479164</v>
      </c>
      <c r="W56" s="9">
        <f t="shared" si="9"/>
        <v>0.13768929287725173</v>
      </c>
      <c r="X56" s="9">
        <f t="shared" si="10"/>
        <v>0.13378843358419049</v>
      </c>
      <c r="Y56" s="9">
        <f t="shared" si="11"/>
        <v>0.72852227353855781</v>
      </c>
    </row>
    <row r="57" spans="1:25" ht="15" customHeight="1" x14ac:dyDescent="0.35">
      <c r="A57" s="52">
        <v>8013481</v>
      </c>
      <c r="B57" s="51">
        <v>46124</v>
      </c>
      <c r="C57" s="7" t="s">
        <v>124</v>
      </c>
      <c r="D57" s="10">
        <f>IFERROR(SUMIFS('Base bordo'!G$2:G$746,'Base bordo'!C$2:C$746,A57,'Base bordo'!B$2:B$746,B57,'Base bordo'!F$2:F$746,"DESLOCAMENTO VAZIO"),0)</f>
        <v>1.6861111111111111</v>
      </c>
      <c r="E57" s="10">
        <f>IFERROR(SUMIFS('Base bordo'!G$2:G$746,'Base bordo'!C$2:C$746,A57,'Base bordo'!B$2:B$746,B57,'Base bordo'!F$2:F$746,"DESLOCAMENTO CARREGADO"),0)</f>
        <v>2.4669444444444446</v>
      </c>
      <c r="F57" s="10">
        <f>IFERROR(SUMIFS('Base bordo'!G$2:G$746,'Base bordo'!C$2:C$746,A57,'Base bordo'!B$2:B$746,B57,'Base bordo'!F$2:F$746,"DESLOCAMENTO"),0)</f>
        <v>0</v>
      </c>
      <c r="G57" s="10">
        <f>IFERROR(SUMIFS('Base bordo'!G$2:G$746,'Base bordo'!C$2:C$746,A57,'Base bordo'!B$2:B$746,B57,'Base bordo'!F$2:F$746,"CARREGAMENTO"),0)</f>
        <v>0</v>
      </c>
      <c r="H57" s="10">
        <f>IFERROR(SUMIFS('Base bordo'!G$2:G$746,'Base bordo'!C$2:C$746,A57,'Base bordo'!B$2:B$746,B57,'Base bordo'!F$2:F$746,"AGUARDANDO TRANSBORDO"),0)</f>
        <v>0</v>
      </c>
      <c r="I57" s="10">
        <f>IFERROR(SUMIFS('Base bordo'!G$2:G$746,'Base bordo'!C$2:C$746,A57,'Base bordo'!B$2:B$746,B57,'Base bordo'!F$2:F$746,"PÁTIO INTERNO"),0)+IFERROR(SUMIFS('Base bordo'!G$2:G$746,'Base bordo'!C$2:C$746,A57,'Base bordo'!B$2:B$746,B57,'Base bordo'!F$2:F$746,"PÁTIO EXTERNO"),0)+IFERROR(SUMIFS('Base bordo'!G$2:G$746,'Base bordo'!C$2:C$746,A57,'Base bordo'!B$2:B$746,B57,'Base bordo'!F$2:F$746,"PATIO - RESERVA"),0)+IFERROR(SUMIFS('Base bordo'!G$2:G$746,'Base bordo'!C$2:C$746,A57,'Base bordo'!B$2:B$746,B57,'Base bordo'!F$2:F$746,"MANOBRA CARRETAS-PATIO"),0)</f>
        <v>14.274166666666666</v>
      </c>
      <c r="J57" s="10">
        <f>IFERROR(SUMIFS('Base bordo'!G$2:G$746,'Base bordo'!C$2:C$746,A57,'Base bordo'!B$2:B$746,B57,'Base bordo'!F$2:F$746,"BALANÇA - ENTRADA"),0)+IFERROR(SUMIFS('Base bordo'!G$2:G$746,'Base bordo'!C$2:C$746,A57,'Base bordo'!B$2:B$746,B57,'Base bordo'!F$2:F$746,"BALANÇA - SAÍDA"),0)</f>
        <v>7.4166666666666659E-2</v>
      </c>
      <c r="K57" s="10">
        <f>IFERROR(SUMIFS('Base bordo'!G$2:G$746,'Base bordo'!C$2:C$746,A57,'Base bordo'!B$2:B$746,B57,'Base bordo'!F$2:F$746,"MAN PREVENTIVA - MECANICA"),0)+IFERROR(SUMIFS('Base bordo'!G$2:G$746,'Base bordo'!C$2:C$746,A57,'Base bordo'!B$2:B$746,B57,'Base bordo'!F$2:F$746,"MAN CORRETIVA - MECANICA"),0)</f>
        <v>0</v>
      </c>
      <c r="L57" s="10">
        <f>IFERROR(SUMIFS('Base bordo'!G$2:G$746,'Base bordo'!C$2:C$746,A57,'Base bordo'!B$2:B$746,B57,'Base bordo'!F$2:F$746,"MANUTENCAO - T O"),0)+IFERROR(SUMIFS('Base bordo'!G$2:G$746,'Base bordo'!C$2:C$746,A57,'Base bordo'!B$2:B$746,B57,'Base bordo'!F$2:F$746,"MANUTENCAO BORRACHARIA"),0)+IFERROR(SUMIFS('Base bordo'!G$2:G$746,'Base bordo'!C$2:C$746,A57,'Base bordo'!B$2:B$746,B57,'Base bordo'!F$2:F$746,"MANUTENCAO EXTERNA  CONCESSIONARIA"),0)+IFERROR(SUMIFS('Base bordo'!G$2:G$746,'Base bordo'!C$2:C$746,A57,'Base bordo'!B$2:B$746,B57,'Base bordo'!F$2:F$746,"MANUTENCAO TELEMETRIA"),0)</f>
        <v>0</v>
      </c>
      <c r="M57" s="10">
        <f>IFERROR(SUMIFS('Base bordo'!G$2:G$746,'Base bordo'!C$2:C$746,A57,'Base bordo'!B$2:B$746,B57,'Base bordo'!F$2:F$746,"AGUARDANDO MANUTENCAO"),0)</f>
        <v>0</v>
      </c>
      <c r="N57" s="10">
        <f>IFERROR(SUMIFS('Base bordo'!G$2:G$746,'Base bordo'!C$2:C$746,A57,'Base bordo'!B$2:B$746,B57,'Base bordo'!F$2:F$746,"SEM APONTAMENTO"),0)</f>
        <v>0</v>
      </c>
      <c r="O57" s="10">
        <f t="shared" si="6"/>
        <v>0</v>
      </c>
      <c r="P57" s="10">
        <f>IFERROR(SUMIFS('Base bordo'!G$2:G$746,'Base bordo'!C$2:C$746,A57,'Base bordo'!B$2:B$746,B57),0)</f>
        <v>18.501388888888886</v>
      </c>
      <c r="Q57" s="10">
        <f>IFERROR(SUMIFS('Base bordo'!H$2:H$746,'Base bordo'!C$2:C$746,A57,'Base bordo'!B$2:B$746,B57,'Base bordo'!F$2:F$746,"DESLOCAMENTO VAZIO"),0)</f>
        <v>216936.43</v>
      </c>
      <c r="R57" s="10">
        <f>IFERROR(SUMIFS('Base bordo'!I$2:I$746,'Base bordo'!C$2:C$746,A57,'Base bordo'!B$2:B$746,B57,'Base bordo'!F$2:F$746,"DESLOCAMENTO VAZIO"),0)</f>
        <v>6070</v>
      </c>
      <c r="S57" s="30">
        <f t="shared" si="7"/>
        <v>35.739115321252058</v>
      </c>
      <c r="T57" s="10">
        <f>IFERROR(SUMIFS('Base bordo'!H$2:H$746,'Base bordo'!C$2:C$746,A57,'Base bordo'!B$2:B$746,B57,'Base bordo'!F$2:F$746,"DESLOCAMENTO CARREGADO"),0)</f>
        <v>221432.38999999998</v>
      </c>
      <c r="U57" s="10">
        <f>IFERROR(SUMIFS('Base bordo'!I$2:I$746,'Base bordo'!C$2:C$746,A57,'Base bordo'!B$2:B$746,B57,'Base bordo'!F$2:F$746,"DESLOCAMENTO CARREGADO"),0)</f>
        <v>8881</v>
      </c>
      <c r="V57" s="30">
        <f t="shared" si="8"/>
        <v>24.933272154036707</v>
      </c>
      <c r="W57" s="9">
        <f t="shared" si="9"/>
        <v>9.1134299226784787E-2</v>
      </c>
      <c r="X57" s="9">
        <f t="shared" si="10"/>
        <v>0.13333833796261543</v>
      </c>
      <c r="Y57" s="9">
        <f t="shared" si="11"/>
        <v>0.77552736281059975</v>
      </c>
    </row>
    <row r="58" spans="1:25" ht="15" customHeight="1" x14ac:dyDescent="0.35">
      <c r="A58" s="52">
        <v>8013476</v>
      </c>
      <c r="B58" s="51">
        <v>46124</v>
      </c>
      <c r="C58" s="7" t="s">
        <v>124</v>
      </c>
      <c r="D58" s="10">
        <f>IFERROR(SUMIFS('Base bordo'!G$2:G$746,'Base bordo'!C$2:C$746,A58,'Base bordo'!B$2:B$746,B58,'Base bordo'!F$2:F$746,"DESLOCAMENTO VAZIO"),0)</f>
        <v>2.296388888888889</v>
      </c>
      <c r="E58" s="10">
        <f>IFERROR(SUMIFS('Base bordo'!G$2:G$746,'Base bordo'!C$2:C$746,A58,'Base bordo'!B$2:B$746,B58,'Base bordo'!F$2:F$746,"DESLOCAMENTO CARREGADO"),0)</f>
        <v>2.1016666666666666</v>
      </c>
      <c r="F58" s="10">
        <f>IFERROR(SUMIFS('Base bordo'!G$2:G$746,'Base bordo'!C$2:C$746,A58,'Base bordo'!B$2:B$746,B58,'Base bordo'!F$2:F$746,"DESLOCAMENTO"),0)</f>
        <v>0</v>
      </c>
      <c r="G58" s="10">
        <f>IFERROR(SUMIFS('Base bordo'!G$2:G$746,'Base bordo'!C$2:C$746,A58,'Base bordo'!B$2:B$746,B58,'Base bordo'!F$2:F$746,"CARREGAMENTO"),0)</f>
        <v>0</v>
      </c>
      <c r="H58" s="10">
        <f>IFERROR(SUMIFS('Base bordo'!G$2:G$746,'Base bordo'!C$2:C$746,A58,'Base bordo'!B$2:B$746,B58,'Base bordo'!F$2:F$746,"AGUARDANDO TRANSBORDO"),0)</f>
        <v>0.23694444444444446</v>
      </c>
      <c r="I58" s="10">
        <f>IFERROR(SUMIFS('Base bordo'!G$2:G$746,'Base bordo'!C$2:C$746,A58,'Base bordo'!B$2:B$746,B58,'Base bordo'!F$2:F$746,"PÁTIO INTERNO"),0)+IFERROR(SUMIFS('Base bordo'!G$2:G$746,'Base bordo'!C$2:C$746,A58,'Base bordo'!B$2:B$746,B58,'Base bordo'!F$2:F$746,"PÁTIO EXTERNO"),0)+IFERROR(SUMIFS('Base bordo'!G$2:G$746,'Base bordo'!C$2:C$746,A58,'Base bordo'!B$2:B$746,B58,'Base bordo'!F$2:F$746,"PATIO - RESERVA"),0)+IFERROR(SUMIFS('Base bordo'!G$2:G$746,'Base bordo'!C$2:C$746,A58,'Base bordo'!B$2:B$746,B58,'Base bordo'!F$2:F$746,"MANOBRA CARRETAS-PATIO"),0)</f>
        <v>5.0583333333333336</v>
      </c>
      <c r="J58" s="10">
        <f>IFERROR(SUMIFS('Base bordo'!G$2:G$746,'Base bordo'!C$2:C$746,A58,'Base bordo'!B$2:B$746,B58,'Base bordo'!F$2:F$746,"BALANÇA - ENTRADA"),0)+IFERROR(SUMIFS('Base bordo'!G$2:G$746,'Base bordo'!C$2:C$746,A58,'Base bordo'!B$2:B$746,B58,'Base bordo'!F$2:F$746,"BALANÇA - SAÍDA"),0)</f>
        <v>0.23805555555555558</v>
      </c>
      <c r="K58" s="10">
        <f>IFERROR(SUMIFS('Base bordo'!G$2:G$746,'Base bordo'!C$2:C$746,A58,'Base bordo'!B$2:B$746,B58,'Base bordo'!F$2:F$746,"MAN PREVENTIVA - MECANICA"),0)+IFERROR(SUMIFS('Base bordo'!G$2:G$746,'Base bordo'!C$2:C$746,A58,'Base bordo'!B$2:B$746,B58,'Base bordo'!F$2:F$746,"MAN CORRETIVA - MECANICA"),0)</f>
        <v>0</v>
      </c>
      <c r="L58" s="10">
        <f>IFERROR(SUMIFS('Base bordo'!G$2:G$746,'Base bordo'!C$2:C$746,A58,'Base bordo'!B$2:B$746,B58,'Base bordo'!F$2:F$746,"MANUTENCAO - T O"),0)+IFERROR(SUMIFS('Base bordo'!G$2:G$746,'Base bordo'!C$2:C$746,A58,'Base bordo'!B$2:B$746,B58,'Base bordo'!F$2:F$746,"MANUTENCAO BORRACHARIA"),0)+IFERROR(SUMIFS('Base bordo'!G$2:G$746,'Base bordo'!C$2:C$746,A58,'Base bordo'!B$2:B$746,B58,'Base bordo'!F$2:F$746,"MANUTENCAO EXTERNA  CONCESSIONARIA"),0)+IFERROR(SUMIFS('Base bordo'!G$2:G$746,'Base bordo'!C$2:C$746,A58,'Base bordo'!B$2:B$746,B58,'Base bordo'!F$2:F$746,"MANUTENCAO TELEMETRIA"),0)</f>
        <v>0</v>
      </c>
      <c r="M58" s="10">
        <f>IFERROR(SUMIFS('Base bordo'!G$2:G$746,'Base bordo'!C$2:C$746,A58,'Base bordo'!B$2:B$746,B58,'Base bordo'!F$2:F$746,"AGUARDANDO MANUTENCAO"),0)</f>
        <v>0</v>
      </c>
      <c r="N58" s="10">
        <f>IFERROR(SUMIFS('Base bordo'!G$2:G$746,'Base bordo'!C$2:C$746,A58,'Base bordo'!B$2:B$746,B58,'Base bordo'!F$2:F$746,"SEM APONTAMENTO"),0)</f>
        <v>0</v>
      </c>
      <c r="O58" s="10">
        <f t="shared" si="6"/>
        <v>0</v>
      </c>
      <c r="P58" s="10">
        <f>IFERROR(SUMIFS('Base bordo'!G$2:G$746,'Base bordo'!C$2:C$746,A58,'Base bordo'!B$2:B$746,B58),0)</f>
        <v>9.9313888888888897</v>
      </c>
      <c r="Q58" s="10">
        <f>IFERROR(SUMIFS('Base bordo'!H$2:H$746,'Base bordo'!C$2:C$746,A58,'Base bordo'!B$2:B$746,B58,'Base bordo'!F$2:F$746,"DESLOCAMENTO VAZIO"),0)</f>
        <v>272442.8</v>
      </c>
      <c r="R58" s="10">
        <f>IFERROR(SUMIFS('Base bordo'!I$2:I$746,'Base bordo'!C$2:C$746,A58,'Base bordo'!B$2:B$746,B58,'Base bordo'!F$2:F$746,"DESLOCAMENTO VAZIO"),0)</f>
        <v>8267</v>
      </c>
      <c r="S58" s="30">
        <f t="shared" si="7"/>
        <v>32.955461473327688</v>
      </c>
      <c r="T58" s="10">
        <f>IFERROR(SUMIFS('Base bordo'!H$2:H$746,'Base bordo'!C$2:C$746,A58,'Base bordo'!B$2:B$746,B58,'Base bordo'!F$2:F$746,"DESLOCAMENTO CARREGADO"),0)</f>
        <v>216680.51</v>
      </c>
      <c r="U58" s="10">
        <f>IFERROR(SUMIFS('Base bordo'!I$2:I$746,'Base bordo'!C$2:C$746,A58,'Base bordo'!B$2:B$746,B58,'Base bordo'!F$2:F$746,"DESLOCAMENTO CARREGADO"),0)</f>
        <v>7566</v>
      </c>
      <c r="V58" s="30">
        <f t="shared" si="8"/>
        <v>28.638713983610891</v>
      </c>
      <c r="W58" s="9">
        <f t="shared" si="9"/>
        <v>0.23122535171873687</v>
      </c>
      <c r="X58" s="9">
        <f t="shared" si="10"/>
        <v>0.21161860543171199</v>
      </c>
      <c r="Y58" s="9">
        <f t="shared" si="11"/>
        <v>0.55715604284955111</v>
      </c>
    </row>
    <row r="59" spans="1:25" ht="15" customHeight="1" x14ac:dyDescent="0.35">
      <c r="A59" s="52">
        <v>8013469</v>
      </c>
      <c r="B59" s="51">
        <v>46123</v>
      </c>
      <c r="C59" s="7" t="s">
        <v>124</v>
      </c>
      <c r="D59" s="10">
        <f>IFERROR(SUMIFS('Base bordo'!G$2:G$746,'Base bordo'!C$2:C$746,A59,'Base bordo'!B$2:B$746,B59,'Base bordo'!F$2:F$746,"DESLOCAMENTO VAZIO"),0)</f>
        <v>1.6805555555555556</v>
      </c>
      <c r="E59" s="10">
        <f>IFERROR(SUMIFS('Base bordo'!G$2:G$746,'Base bordo'!C$2:C$746,A59,'Base bordo'!B$2:B$746,B59,'Base bordo'!F$2:F$746,"DESLOCAMENTO CARREGADO"),0)</f>
        <v>2.6211111111111109</v>
      </c>
      <c r="F59" s="10">
        <f>IFERROR(SUMIFS('Base bordo'!G$2:G$746,'Base bordo'!C$2:C$746,A59,'Base bordo'!B$2:B$746,B59,'Base bordo'!F$2:F$746,"DESLOCAMENTO"),0)</f>
        <v>0</v>
      </c>
      <c r="G59" s="10">
        <f>IFERROR(SUMIFS('Base bordo'!G$2:G$746,'Base bordo'!C$2:C$746,A59,'Base bordo'!B$2:B$746,B59,'Base bordo'!F$2:F$746,"CARREGAMENTO"),0)</f>
        <v>0</v>
      </c>
      <c r="H59" s="10">
        <f>IFERROR(SUMIFS('Base bordo'!G$2:G$746,'Base bordo'!C$2:C$746,A59,'Base bordo'!B$2:B$746,B59,'Base bordo'!F$2:F$746,"AGUARDANDO TRANSBORDO"),0)</f>
        <v>0.38972222222222225</v>
      </c>
      <c r="I59" s="10">
        <f>IFERROR(SUMIFS('Base bordo'!G$2:G$746,'Base bordo'!C$2:C$746,A59,'Base bordo'!B$2:B$746,B59,'Base bordo'!F$2:F$746,"PÁTIO INTERNO"),0)+IFERROR(SUMIFS('Base bordo'!G$2:G$746,'Base bordo'!C$2:C$746,A59,'Base bordo'!B$2:B$746,B59,'Base bordo'!F$2:F$746,"PÁTIO EXTERNO"),0)+IFERROR(SUMIFS('Base bordo'!G$2:G$746,'Base bordo'!C$2:C$746,A59,'Base bordo'!B$2:B$746,B59,'Base bordo'!F$2:F$746,"PATIO - RESERVA"),0)+IFERROR(SUMIFS('Base bordo'!G$2:G$746,'Base bordo'!C$2:C$746,A59,'Base bordo'!B$2:B$746,B59,'Base bordo'!F$2:F$746,"MANOBRA CARRETAS-PATIO"),0)</f>
        <v>0.80083333333333329</v>
      </c>
      <c r="J59" s="10">
        <f>IFERROR(SUMIFS('Base bordo'!G$2:G$746,'Base bordo'!C$2:C$746,A59,'Base bordo'!B$2:B$746,B59,'Base bordo'!F$2:F$746,"BALANÇA - ENTRADA"),0)+IFERROR(SUMIFS('Base bordo'!G$2:G$746,'Base bordo'!C$2:C$746,A59,'Base bordo'!B$2:B$746,B59,'Base bordo'!F$2:F$746,"BALANÇA - SAÍDA"),0)</f>
        <v>0</v>
      </c>
      <c r="K59" s="10">
        <f>IFERROR(SUMIFS('Base bordo'!G$2:G$746,'Base bordo'!C$2:C$746,A59,'Base bordo'!B$2:B$746,B59,'Base bordo'!F$2:F$746,"MAN PREVENTIVA - MECANICA"),0)+IFERROR(SUMIFS('Base bordo'!G$2:G$746,'Base bordo'!C$2:C$746,A59,'Base bordo'!B$2:B$746,B59,'Base bordo'!F$2:F$746,"MAN CORRETIVA - MECANICA"),0)</f>
        <v>0</v>
      </c>
      <c r="L59" s="10">
        <f>IFERROR(SUMIFS('Base bordo'!G$2:G$746,'Base bordo'!C$2:C$746,A59,'Base bordo'!B$2:B$746,B59,'Base bordo'!F$2:F$746,"MANUTENCAO - T O"),0)+IFERROR(SUMIFS('Base bordo'!G$2:G$746,'Base bordo'!C$2:C$746,A59,'Base bordo'!B$2:B$746,B59,'Base bordo'!F$2:F$746,"MANUTENCAO BORRACHARIA"),0)+IFERROR(SUMIFS('Base bordo'!G$2:G$746,'Base bordo'!C$2:C$746,A59,'Base bordo'!B$2:B$746,B59,'Base bordo'!F$2:F$746,"MANUTENCAO EXTERNA  CONCESSIONARIA"),0)+IFERROR(SUMIFS('Base bordo'!G$2:G$746,'Base bordo'!C$2:C$746,A59,'Base bordo'!B$2:B$746,B59,'Base bordo'!F$2:F$746,"MANUTENCAO TELEMETRIA"),0)</f>
        <v>0</v>
      </c>
      <c r="M59" s="10">
        <f>IFERROR(SUMIFS('Base bordo'!G$2:G$746,'Base bordo'!C$2:C$746,A59,'Base bordo'!B$2:B$746,B59,'Base bordo'!F$2:F$746,"AGUARDANDO MANUTENCAO"),0)</f>
        <v>0</v>
      </c>
      <c r="N59" s="10">
        <f>IFERROR(SUMIFS('Base bordo'!G$2:G$746,'Base bordo'!C$2:C$746,A59,'Base bordo'!B$2:B$746,B59,'Base bordo'!F$2:F$746,"SEM APONTAMENTO"),0)</f>
        <v>0</v>
      </c>
      <c r="O59" s="10">
        <f t="shared" si="6"/>
        <v>3.0000000000000249E-2</v>
      </c>
      <c r="P59" s="10">
        <f>IFERROR(SUMIFS('Base bordo'!G$2:G$746,'Base bordo'!C$2:C$746,A59,'Base bordo'!B$2:B$746,B59),0)</f>
        <v>5.5222222222222221</v>
      </c>
      <c r="Q59" s="10">
        <f>IFERROR(SUMIFS('Base bordo'!H$2:H$746,'Base bordo'!C$2:C$746,A59,'Base bordo'!B$2:B$746,B59,'Base bordo'!F$2:F$746,"DESLOCAMENTO VAZIO"),0)</f>
        <v>213585.12</v>
      </c>
      <c r="R59" s="10">
        <f>IFERROR(SUMIFS('Base bordo'!I$2:I$746,'Base bordo'!C$2:C$746,A59,'Base bordo'!B$2:B$746,B59,'Base bordo'!F$2:F$746,"DESLOCAMENTO VAZIO"),0)</f>
        <v>6050</v>
      </c>
      <c r="S59" s="30">
        <f t="shared" si="7"/>
        <v>35.303325619834709</v>
      </c>
      <c r="T59" s="10">
        <f>IFERROR(SUMIFS('Base bordo'!H$2:H$746,'Base bordo'!C$2:C$746,A59,'Base bordo'!B$2:B$746,B59,'Base bordo'!F$2:F$746,"DESLOCAMENTO CARREGADO"),0)</f>
        <v>215978.22</v>
      </c>
      <c r="U59" s="10">
        <f>IFERROR(SUMIFS('Base bordo'!I$2:I$746,'Base bordo'!C$2:C$746,A59,'Base bordo'!B$2:B$746,B59,'Base bordo'!F$2:F$746,"DESLOCAMENTO CARREGADO"),0)</f>
        <v>9408</v>
      </c>
      <c r="V59" s="30">
        <f t="shared" si="8"/>
        <v>22.95686862244898</v>
      </c>
      <c r="W59" s="9">
        <f t="shared" si="9"/>
        <v>0.30432595573440646</v>
      </c>
      <c r="X59" s="9">
        <f t="shared" si="10"/>
        <v>0.47464788732394364</v>
      </c>
      <c r="Y59" s="9">
        <f t="shared" si="11"/>
        <v>0.22102615694164984</v>
      </c>
    </row>
    <row r="60" spans="1:25" ht="15" customHeight="1" x14ac:dyDescent="0.35">
      <c r="A60" s="52">
        <v>8013484</v>
      </c>
      <c r="B60" s="51">
        <v>46118</v>
      </c>
      <c r="C60" s="7" t="s">
        <v>124</v>
      </c>
      <c r="D60" s="10">
        <f>IFERROR(SUMIFS('Base bordo'!G$2:G$746,'Base bordo'!C$2:C$746,A60,'Base bordo'!B$2:B$746,B60,'Base bordo'!F$2:F$746,"DESLOCAMENTO VAZIO"),0)</f>
        <v>0.14777777777777779</v>
      </c>
      <c r="E60" s="10">
        <f>IFERROR(SUMIFS('Base bordo'!G$2:G$746,'Base bordo'!C$2:C$746,A60,'Base bordo'!B$2:B$746,B60,'Base bordo'!F$2:F$746,"DESLOCAMENTO CARREGADO"),0)</f>
        <v>3.3405555555555555</v>
      </c>
      <c r="F60" s="10">
        <f>IFERROR(SUMIFS('Base bordo'!G$2:G$746,'Base bordo'!C$2:C$746,A60,'Base bordo'!B$2:B$746,B60,'Base bordo'!F$2:F$746,"DESLOCAMENTO"),0)</f>
        <v>0</v>
      </c>
      <c r="G60" s="10">
        <f>IFERROR(SUMIFS('Base bordo'!G$2:G$746,'Base bordo'!C$2:C$746,A60,'Base bordo'!B$2:B$746,B60,'Base bordo'!F$2:F$746,"CARREGAMENTO"),0)</f>
        <v>0</v>
      </c>
      <c r="H60" s="10">
        <f>IFERROR(SUMIFS('Base bordo'!G$2:G$746,'Base bordo'!C$2:C$746,A60,'Base bordo'!B$2:B$746,B60,'Base bordo'!F$2:F$746,"AGUARDANDO TRANSBORDO"),0)</f>
        <v>0</v>
      </c>
      <c r="I60" s="10">
        <f>IFERROR(SUMIFS('Base bordo'!G$2:G$746,'Base bordo'!C$2:C$746,A60,'Base bordo'!B$2:B$746,B60,'Base bordo'!F$2:F$746,"PÁTIO INTERNO"),0)+IFERROR(SUMIFS('Base bordo'!G$2:G$746,'Base bordo'!C$2:C$746,A60,'Base bordo'!B$2:B$746,B60,'Base bordo'!F$2:F$746,"PÁTIO EXTERNO"),0)+IFERROR(SUMIFS('Base bordo'!G$2:G$746,'Base bordo'!C$2:C$746,A60,'Base bordo'!B$2:B$746,B60,'Base bordo'!F$2:F$746,"PATIO - RESERVA"),0)+IFERROR(SUMIFS('Base bordo'!G$2:G$746,'Base bordo'!C$2:C$746,A60,'Base bordo'!B$2:B$746,B60,'Base bordo'!F$2:F$746,"MANOBRA CARRETAS-PATIO"),0)</f>
        <v>6.0491666666666664</v>
      </c>
      <c r="J60" s="10">
        <f>IFERROR(SUMIFS('Base bordo'!G$2:G$746,'Base bordo'!C$2:C$746,A60,'Base bordo'!B$2:B$746,B60,'Base bordo'!F$2:F$746,"BALANÇA - ENTRADA"),0)+IFERROR(SUMIFS('Base bordo'!G$2:G$746,'Base bordo'!C$2:C$746,A60,'Base bordo'!B$2:B$746,B60,'Base bordo'!F$2:F$746,"BALANÇA - SAÍDA"),0)</f>
        <v>4.1944444444444444E-2</v>
      </c>
      <c r="K60" s="10">
        <f>IFERROR(SUMIFS('Base bordo'!G$2:G$746,'Base bordo'!C$2:C$746,A60,'Base bordo'!B$2:B$746,B60,'Base bordo'!F$2:F$746,"MAN PREVENTIVA - MECANICA"),0)+IFERROR(SUMIFS('Base bordo'!G$2:G$746,'Base bordo'!C$2:C$746,A60,'Base bordo'!B$2:B$746,B60,'Base bordo'!F$2:F$746,"MAN CORRETIVA - MECANICA"),0)</f>
        <v>0</v>
      </c>
      <c r="L60" s="10">
        <f>IFERROR(SUMIFS('Base bordo'!G$2:G$746,'Base bordo'!C$2:C$746,A60,'Base bordo'!B$2:B$746,B60,'Base bordo'!F$2:F$746,"MANUTENCAO - T O"),0)+IFERROR(SUMIFS('Base bordo'!G$2:G$746,'Base bordo'!C$2:C$746,A60,'Base bordo'!B$2:B$746,B60,'Base bordo'!F$2:F$746,"MANUTENCAO BORRACHARIA"),0)+IFERROR(SUMIFS('Base bordo'!G$2:G$746,'Base bordo'!C$2:C$746,A60,'Base bordo'!B$2:B$746,B60,'Base bordo'!F$2:F$746,"MANUTENCAO EXTERNA  CONCESSIONARIA"),0)+IFERROR(SUMIFS('Base bordo'!G$2:G$746,'Base bordo'!C$2:C$746,A60,'Base bordo'!B$2:B$746,B60,'Base bordo'!F$2:F$746,"MANUTENCAO TELEMETRIA"),0)</f>
        <v>0</v>
      </c>
      <c r="M60" s="10">
        <f>IFERROR(SUMIFS('Base bordo'!G$2:G$746,'Base bordo'!C$2:C$746,A60,'Base bordo'!B$2:B$746,B60,'Base bordo'!F$2:F$746,"AGUARDANDO MANUTENCAO"),0)</f>
        <v>0</v>
      </c>
      <c r="N60" s="10">
        <f>IFERROR(SUMIFS('Base bordo'!G$2:G$746,'Base bordo'!C$2:C$746,A60,'Base bordo'!B$2:B$746,B60,'Base bordo'!F$2:F$746,"SEM APONTAMENTO"),0)</f>
        <v>0</v>
      </c>
      <c r="O60" s="10">
        <f t="shared" si="6"/>
        <v>0</v>
      </c>
      <c r="P60" s="10">
        <f>IFERROR(SUMIFS('Base bordo'!G$2:G$746,'Base bordo'!C$2:C$746,A60,'Base bordo'!B$2:B$746,B60),0)</f>
        <v>9.5794444444444444</v>
      </c>
      <c r="Q60" s="10">
        <f>IFERROR(SUMIFS('Base bordo'!H$2:H$746,'Base bordo'!C$2:C$746,A60,'Base bordo'!B$2:B$746,B60,'Base bordo'!F$2:F$746,"DESLOCAMENTO VAZIO"),0)</f>
        <v>4979.08</v>
      </c>
      <c r="R60" s="10">
        <f>IFERROR(SUMIFS('Base bordo'!I$2:I$746,'Base bordo'!C$2:C$746,A60,'Base bordo'!B$2:B$746,B60,'Base bordo'!F$2:F$746,"DESLOCAMENTO VAZIO"),0)</f>
        <v>532</v>
      </c>
      <c r="S60" s="30">
        <f t="shared" si="7"/>
        <v>9.3591729323308268</v>
      </c>
      <c r="T60" s="10">
        <f>IFERROR(SUMIFS('Base bordo'!H$2:H$746,'Base bordo'!C$2:C$746,A60,'Base bordo'!B$2:B$746,B60,'Base bordo'!F$2:F$746,"DESLOCAMENTO CARREGADO"),0)</f>
        <v>214024.57</v>
      </c>
      <c r="U60" s="10">
        <f>IFERROR(SUMIFS('Base bordo'!I$2:I$746,'Base bordo'!C$2:C$746,A60,'Base bordo'!B$2:B$746,B60,'Base bordo'!F$2:F$746,"DESLOCAMENTO CARREGADO"),0)</f>
        <v>12026</v>
      </c>
      <c r="V60" s="30">
        <f t="shared" si="8"/>
        <v>17.796821054382171</v>
      </c>
      <c r="W60" s="9">
        <f t="shared" si="9"/>
        <v>1.5426549904308995E-2</v>
      </c>
      <c r="X60" s="9">
        <f t="shared" si="10"/>
        <v>0.34872122020530072</v>
      </c>
      <c r="Y60" s="9">
        <f t="shared" si="11"/>
        <v>0.63585222989039036</v>
      </c>
    </row>
    <row r="61" spans="1:25" ht="15" customHeight="1" x14ac:dyDescent="0.35">
      <c r="A61" s="52">
        <v>8013468</v>
      </c>
      <c r="B61" s="51">
        <v>46118</v>
      </c>
      <c r="C61" s="7" t="s">
        <v>124</v>
      </c>
      <c r="D61" s="10">
        <f>IFERROR(SUMIFS('Base bordo'!G$2:G$746,'Base bordo'!C$2:C$746,A61,'Base bordo'!B$2:B$746,B61,'Base bordo'!F$2:F$746,"DESLOCAMENTO VAZIO"),0)</f>
        <v>0.6841666666666667</v>
      </c>
      <c r="E61" s="10">
        <f>IFERROR(SUMIFS('Base bordo'!G$2:G$746,'Base bordo'!C$2:C$746,A61,'Base bordo'!B$2:B$746,B61,'Base bordo'!F$2:F$746,"DESLOCAMENTO CARREGADO"),0)</f>
        <v>1.9422222222222223</v>
      </c>
      <c r="F61" s="10">
        <f>IFERROR(SUMIFS('Base bordo'!G$2:G$746,'Base bordo'!C$2:C$746,A61,'Base bordo'!B$2:B$746,B61,'Base bordo'!F$2:F$746,"DESLOCAMENTO"),0)</f>
        <v>0</v>
      </c>
      <c r="G61" s="10">
        <f>IFERROR(SUMIFS('Base bordo'!G$2:G$746,'Base bordo'!C$2:C$746,A61,'Base bordo'!B$2:B$746,B61,'Base bordo'!F$2:F$746,"CARREGAMENTO"),0)</f>
        <v>1.653888888888889</v>
      </c>
      <c r="H61" s="10">
        <f>IFERROR(SUMIFS('Base bordo'!G$2:G$746,'Base bordo'!C$2:C$746,A61,'Base bordo'!B$2:B$746,B61,'Base bordo'!F$2:F$746,"AGUARDANDO TRANSBORDO"),0)</f>
        <v>7.9522222222222219</v>
      </c>
      <c r="I61" s="10">
        <f>IFERROR(SUMIFS('Base bordo'!G$2:G$746,'Base bordo'!C$2:C$746,A61,'Base bordo'!B$2:B$746,B61,'Base bordo'!F$2:F$746,"PÁTIO INTERNO"),0)+IFERROR(SUMIFS('Base bordo'!G$2:G$746,'Base bordo'!C$2:C$746,A61,'Base bordo'!B$2:B$746,B61,'Base bordo'!F$2:F$746,"PÁTIO EXTERNO"),0)+IFERROR(SUMIFS('Base bordo'!G$2:G$746,'Base bordo'!C$2:C$746,A61,'Base bordo'!B$2:B$746,B61,'Base bordo'!F$2:F$746,"PATIO - RESERVA"),0)+IFERROR(SUMIFS('Base bordo'!G$2:G$746,'Base bordo'!C$2:C$746,A61,'Base bordo'!B$2:B$746,B61,'Base bordo'!F$2:F$746,"MANOBRA CARRETAS-PATIO"),0)</f>
        <v>3.6688888888888886</v>
      </c>
      <c r="J61" s="10">
        <f>IFERROR(SUMIFS('Base bordo'!G$2:G$746,'Base bordo'!C$2:C$746,A61,'Base bordo'!B$2:B$746,B61,'Base bordo'!F$2:F$746,"BALANÇA - ENTRADA"),0)+IFERROR(SUMIFS('Base bordo'!G$2:G$746,'Base bordo'!C$2:C$746,A61,'Base bordo'!B$2:B$746,B61,'Base bordo'!F$2:F$746,"BALANÇA - SAÍDA"),0)</f>
        <v>0.11305555555555556</v>
      </c>
      <c r="K61" s="10">
        <f>IFERROR(SUMIFS('Base bordo'!G$2:G$746,'Base bordo'!C$2:C$746,A61,'Base bordo'!B$2:B$746,B61,'Base bordo'!F$2:F$746,"MAN PREVENTIVA - MECANICA"),0)+IFERROR(SUMIFS('Base bordo'!G$2:G$746,'Base bordo'!C$2:C$746,A61,'Base bordo'!B$2:B$746,B61,'Base bordo'!F$2:F$746,"MAN CORRETIVA - MECANICA"),0)</f>
        <v>0</v>
      </c>
      <c r="L61" s="10">
        <f>IFERROR(SUMIFS('Base bordo'!G$2:G$746,'Base bordo'!C$2:C$746,A61,'Base bordo'!B$2:B$746,B61,'Base bordo'!F$2:F$746,"MANUTENCAO - T O"),0)+IFERROR(SUMIFS('Base bordo'!G$2:G$746,'Base bordo'!C$2:C$746,A61,'Base bordo'!B$2:B$746,B61,'Base bordo'!F$2:F$746,"MANUTENCAO BORRACHARIA"),0)+IFERROR(SUMIFS('Base bordo'!G$2:G$746,'Base bordo'!C$2:C$746,A61,'Base bordo'!B$2:B$746,B61,'Base bordo'!F$2:F$746,"MANUTENCAO EXTERNA  CONCESSIONARIA"),0)+IFERROR(SUMIFS('Base bordo'!G$2:G$746,'Base bordo'!C$2:C$746,A61,'Base bordo'!B$2:B$746,B61,'Base bordo'!F$2:F$746,"MANUTENCAO TELEMETRIA"),0)</f>
        <v>0</v>
      </c>
      <c r="M61" s="10">
        <f>IFERROR(SUMIFS('Base bordo'!G$2:G$746,'Base bordo'!C$2:C$746,A61,'Base bordo'!B$2:B$746,B61,'Base bordo'!F$2:F$746,"AGUARDANDO MANUTENCAO"),0)</f>
        <v>2.0486111111111112</v>
      </c>
      <c r="N61" s="10">
        <f>IFERROR(SUMIFS('Base bordo'!G$2:G$746,'Base bordo'!C$2:C$746,A61,'Base bordo'!B$2:B$746,B61,'Base bordo'!F$2:F$746,"SEM APONTAMENTO"),0)</f>
        <v>0</v>
      </c>
      <c r="O61" s="10">
        <f t="shared" si="6"/>
        <v>5.9369444444444461</v>
      </c>
      <c r="P61" s="10">
        <f>IFERROR(SUMIFS('Base bordo'!G$2:G$746,'Base bordo'!C$2:C$746,A61,'Base bordo'!B$2:B$746,B61),0)</f>
        <v>24</v>
      </c>
      <c r="Q61" s="10">
        <f>IFERROR(SUMIFS('Base bordo'!H$2:H$746,'Base bordo'!C$2:C$746,A61,'Base bordo'!B$2:B$746,B61,'Base bordo'!F$2:F$746,"DESLOCAMENTO VAZIO"),0)</f>
        <v>33045.270000000004</v>
      </c>
      <c r="R61" s="10">
        <f>IFERROR(SUMIFS('Base bordo'!I$2:I$746,'Base bordo'!C$2:C$746,A61,'Base bordo'!B$2:B$746,B61,'Base bordo'!F$2:F$746,"DESLOCAMENTO VAZIO"),0)</f>
        <v>2463</v>
      </c>
      <c r="S61" s="30">
        <f t="shared" si="7"/>
        <v>13.416674786845313</v>
      </c>
      <c r="T61" s="10">
        <f>IFERROR(SUMIFS('Base bordo'!H$2:H$746,'Base bordo'!C$2:C$746,A61,'Base bordo'!B$2:B$746,B61,'Base bordo'!F$2:F$746,"DESLOCAMENTO CARREGADO"),0)</f>
        <v>213859.12</v>
      </c>
      <c r="U61" s="10">
        <f>IFERROR(SUMIFS('Base bordo'!I$2:I$746,'Base bordo'!C$2:C$746,A61,'Base bordo'!B$2:B$746,B61,'Base bordo'!F$2:F$746,"DESLOCAMENTO CARREGADO"),0)</f>
        <v>6992</v>
      </c>
      <c r="V61" s="30">
        <f t="shared" si="8"/>
        <v>30.586258581235697</v>
      </c>
      <c r="W61" s="9">
        <f t="shared" si="9"/>
        <v>2.8506944444444446E-2</v>
      </c>
      <c r="X61" s="9">
        <f t="shared" si="10"/>
        <v>8.0925925925925929E-2</v>
      </c>
      <c r="Y61" s="9">
        <f t="shared" si="11"/>
        <v>0.89056712962962958</v>
      </c>
    </row>
    <row r="62" spans="1:25" ht="15" customHeight="1" x14ac:dyDescent="0.35">
      <c r="A62" s="52">
        <v>8013485</v>
      </c>
      <c r="B62" s="51">
        <v>46119</v>
      </c>
      <c r="C62" s="7" t="s">
        <v>124</v>
      </c>
      <c r="D62" s="10">
        <f>IFERROR(SUMIFS('Base bordo'!G$2:G$746,'Base bordo'!C$2:C$746,A62,'Base bordo'!B$2:B$746,B62,'Base bordo'!F$2:F$746,"DESLOCAMENTO VAZIO"),0)</f>
        <v>2.2908333333333335</v>
      </c>
      <c r="E62" s="10">
        <f>IFERROR(SUMIFS('Base bordo'!G$2:G$746,'Base bordo'!C$2:C$746,A62,'Base bordo'!B$2:B$746,B62,'Base bordo'!F$2:F$746,"DESLOCAMENTO CARREGADO"),0)</f>
        <v>1.8202777777777779</v>
      </c>
      <c r="F62" s="10">
        <f>IFERROR(SUMIFS('Base bordo'!G$2:G$746,'Base bordo'!C$2:C$746,A62,'Base bordo'!B$2:B$746,B62,'Base bordo'!F$2:F$746,"DESLOCAMENTO"),0)</f>
        <v>0</v>
      </c>
      <c r="G62" s="10">
        <f>IFERROR(SUMIFS('Base bordo'!G$2:G$746,'Base bordo'!C$2:C$746,A62,'Base bordo'!B$2:B$746,B62,'Base bordo'!F$2:F$746,"CARREGAMENTO"),0)</f>
        <v>0</v>
      </c>
      <c r="H62" s="10">
        <f>IFERROR(SUMIFS('Base bordo'!G$2:G$746,'Base bordo'!C$2:C$746,A62,'Base bordo'!B$2:B$746,B62,'Base bordo'!F$2:F$746,"AGUARDANDO TRANSBORDO"),0)</f>
        <v>0</v>
      </c>
      <c r="I62" s="10">
        <f>IFERROR(SUMIFS('Base bordo'!G$2:G$746,'Base bordo'!C$2:C$746,A62,'Base bordo'!B$2:B$746,B62,'Base bordo'!F$2:F$746,"PÁTIO INTERNO"),0)+IFERROR(SUMIFS('Base bordo'!G$2:G$746,'Base bordo'!C$2:C$746,A62,'Base bordo'!B$2:B$746,B62,'Base bordo'!F$2:F$746,"PÁTIO EXTERNO"),0)+IFERROR(SUMIFS('Base bordo'!G$2:G$746,'Base bordo'!C$2:C$746,A62,'Base bordo'!B$2:B$746,B62,'Base bordo'!F$2:F$746,"PATIO - RESERVA"),0)+IFERROR(SUMIFS('Base bordo'!G$2:G$746,'Base bordo'!C$2:C$746,A62,'Base bordo'!B$2:B$746,B62,'Base bordo'!F$2:F$746,"MANOBRA CARRETAS-PATIO"),0)</f>
        <v>1.9913888888888889</v>
      </c>
      <c r="J62" s="10">
        <f>IFERROR(SUMIFS('Base bordo'!G$2:G$746,'Base bordo'!C$2:C$746,A62,'Base bordo'!B$2:B$746,B62,'Base bordo'!F$2:F$746,"BALANÇA - ENTRADA"),0)+IFERROR(SUMIFS('Base bordo'!G$2:G$746,'Base bordo'!C$2:C$746,A62,'Base bordo'!B$2:B$746,B62,'Base bordo'!F$2:F$746,"BALANÇA - SAÍDA"),0)</f>
        <v>0.02</v>
      </c>
      <c r="K62" s="10">
        <f>IFERROR(SUMIFS('Base bordo'!G$2:G$746,'Base bordo'!C$2:C$746,A62,'Base bordo'!B$2:B$746,B62,'Base bordo'!F$2:F$746,"MAN PREVENTIVA - MECANICA"),0)+IFERROR(SUMIFS('Base bordo'!G$2:G$746,'Base bordo'!C$2:C$746,A62,'Base bordo'!B$2:B$746,B62,'Base bordo'!F$2:F$746,"MAN CORRETIVA - MECANICA"),0)</f>
        <v>0</v>
      </c>
      <c r="L62" s="10">
        <f>IFERROR(SUMIFS('Base bordo'!G$2:G$746,'Base bordo'!C$2:C$746,A62,'Base bordo'!B$2:B$746,B62,'Base bordo'!F$2:F$746,"MANUTENCAO - T O"),0)+IFERROR(SUMIFS('Base bordo'!G$2:G$746,'Base bordo'!C$2:C$746,A62,'Base bordo'!B$2:B$746,B62,'Base bordo'!F$2:F$746,"MANUTENCAO BORRACHARIA"),0)+IFERROR(SUMIFS('Base bordo'!G$2:G$746,'Base bordo'!C$2:C$746,A62,'Base bordo'!B$2:B$746,B62,'Base bordo'!F$2:F$746,"MANUTENCAO EXTERNA  CONCESSIONARIA"),0)+IFERROR(SUMIFS('Base bordo'!G$2:G$746,'Base bordo'!C$2:C$746,A62,'Base bordo'!B$2:B$746,B62,'Base bordo'!F$2:F$746,"MANUTENCAO TELEMETRIA"),0)</f>
        <v>0</v>
      </c>
      <c r="M62" s="10">
        <f>IFERROR(SUMIFS('Base bordo'!G$2:G$746,'Base bordo'!C$2:C$746,A62,'Base bordo'!B$2:B$746,B62,'Base bordo'!F$2:F$746,"AGUARDANDO MANUTENCAO"),0)</f>
        <v>0</v>
      </c>
      <c r="N62" s="10">
        <f>IFERROR(SUMIFS('Base bordo'!G$2:G$746,'Base bordo'!C$2:C$746,A62,'Base bordo'!B$2:B$746,B62,'Base bordo'!F$2:F$746,"SEM APONTAMENTO"),0)</f>
        <v>0</v>
      </c>
      <c r="O62" s="10">
        <f t="shared" si="6"/>
        <v>2.4166666666666003E-2</v>
      </c>
      <c r="P62" s="10">
        <f>IFERROR(SUMIFS('Base bordo'!G$2:G$746,'Base bordo'!C$2:C$746,A62,'Base bordo'!B$2:B$746,B62),0)</f>
        <v>6.1466666666666665</v>
      </c>
      <c r="Q62" s="10">
        <f>IFERROR(SUMIFS('Base bordo'!H$2:H$746,'Base bordo'!C$2:C$746,A62,'Base bordo'!B$2:B$746,B62,'Base bordo'!F$2:F$746,"DESLOCAMENTO VAZIO"),0)</f>
        <v>213698.84</v>
      </c>
      <c r="R62" s="10">
        <f>IFERROR(SUMIFS('Base bordo'!I$2:I$746,'Base bordo'!C$2:C$746,A62,'Base bordo'!B$2:B$746,B62,'Base bordo'!F$2:F$746,"DESLOCAMENTO VAZIO"),0)</f>
        <v>8247</v>
      </c>
      <c r="S62" s="30">
        <f t="shared" si="7"/>
        <v>25.912312356008243</v>
      </c>
      <c r="T62" s="10">
        <f>IFERROR(SUMIFS('Base bordo'!H$2:H$746,'Base bordo'!C$2:C$746,A62,'Base bordo'!B$2:B$746,B62,'Base bordo'!F$2:F$746,"DESLOCAMENTO CARREGADO"),0)</f>
        <v>171355.69999999998</v>
      </c>
      <c r="U62" s="10">
        <f>IFERROR(SUMIFS('Base bordo'!I$2:I$746,'Base bordo'!C$2:C$746,A62,'Base bordo'!B$2:B$746,B62,'Base bordo'!F$2:F$746,"DESLOCAMENTO CARREGADO"),0)</f>
        <v>6497</v>
      </c>
      <c r="V62" s="30">
        <f t="shared" si="8"/>
        <v>26.374588271509925</v>
      </c>
      <c r="W62" s="9">
        <f t="shared" si="9"/>
        <v>0.37269522776572672</v>
      </c>
      <c r="X62" s="9">
        <f t="shared" si="10"/>
        <v>0.29614063629790316</v>
      </c>
      <c r="Y62" s="9">
        <f t="shared" si="11"/>
        <v>0.33116413593637006</v>
      </c>
    </row>
    <row r="63" spans="1:25" ht="15" customHeight="1" x14ac:dyDescent="0.35">
      <c r="A63" s="52">
        <v>8013469</v>
      </c>
      <c r="B63" s="51">
        <v>46123</v>
      </c>
      <c r="C63" s="7" t="s">
        <v>124</v>
      </c>
      <c r="D63" s="10">
        <f>IFERROR(SUMIFS('Base bordo'!G$2:G$746,'Base bordo'!C$2:C$746,A63,'Base bordo'!B$2:B$746,B63,'Base bordo'!F$2:F$746,"DESLOCAMENTO VAZIO"),0)</f>
        <v>1.6805555555555556</v>
      </c>
      <c r="E63" s="10">
        <f>IFERROR(SUMIFS('Base bordo'!G$2:G$746,'Base bordo'!C$2:C$746,A63,'Base bordo'!B$2:B$746,B63,'Base bordo'!F$2:F$746,"DESLOCAMENTO CARREGADO"),0)</f>
        <v>2.6211111111111109</v>
      </c>
      <c r="F63" s="10">
        <f>IFERROR(SUMIFS('Base bordo'!G$2:G$746,'Base bordo'!C$2:C$746,A63,'Base bordo'!B$2:B$746,B63,'Base bordo'!F$2:F$746,"DESLOCAMENTO"),0)</f>
        <v>0</v>
      </c>
      <c r="G63" s="10">
        <f>IFERROR(SUMIFS('Base bordo'!G$2:G$746,'Base bordo'!C$2:C$746,A63,'Base bordo'!B$2:B$746,B63,'Base bordo'!F$2:F$746,"CARREGAMENTO"),0)</f>
        <v>0</v>
      </c>
      <c r="H63" s="10">
        <f>IFERROR(SUMIFS('Base bordo'!G$2:G$746,'Base bordo'!C$2:C$746,A63,'Base bordo'!B$2:B$746,B63,'Base bordo'!F$2:F$746,"AGUARDANDO TRANSBORDO"),0)</f>
        <v>0.38972222222222225</v>
      </c>
      <c r="I63" s="10">
        <f>IFERROR(SUMIFS('Base bordo'!G$2:G$746,'Base bordo'!C$2:C$746,A63,'Base bordo'!B$2:B$746,B63,'Base bordo'!F$2:F$746,"PÁTIO INTERNO"),0)+IFERROR(SUMIFS('Base bordo'!G$2:G$746,'Base bordo'!C$2:C$746,A63,'Base bordo'!B$2:B$746,B63,'Base bordo'!F$2:F$746,"PÁTIO EXTERNO"),0)+IFERROR(SUMIFS('Base bordo'!G$2:G$746,'Base bordo'!C$2:C$746,A63,'Base bordo'!B$2:B$746,B63,'Base bordo'!F$2:F$746,"PATIO - RESERVA"),0)+IFERROR(SUMIFS('Base bordo'!G$2:G$746,'Base bordo'!C$2:C$746,A63,'Base bordo'!B$2:B$746,B63,'Base bordo'!F$2:F$746,"MANOBRA CARRETAS-PATIO"),0)</f>
        <v>0.80083333333333329</v>
      </c>
      <c r="J63" s="10">
        <f>IFERROR(SUMIFS('Base bordo'!G$2:G$746,'Base bordo'!C$2:C$746,A63,'Base bordo'!B$2:B$746,B63,'Base bordo'!F$2:F$746,"BALANÇA - ENTRADA"),0)+IFERROR(SUMIFS('Base bordo'!G$2:G$746,'Base bordo'!C$2:C$746,A63,'Base bordo'!B$2:B$746,B63,'Base bordo'!F$2:F$746,"BALANÇA - SAÍDA"),0)</f>
        <v>0</v>
      </c>
      <c r="K63" s="10">
        <f>IFERROR(SUMIFS('Base bordo'!G$2:G$746,'Base bordo'!C$2:C$746,A63,'Base bordo'!B$2:B$746,B63,'Base bordo'!F$2:F$746,"MAN PREVENTIVA - MECANICA"),0)+IFERROR(SUMIFS('Base bordo'!G$2:G$746,'Base bordo'!C$2:C$746,A63,'Base bordo'!B$2:B$746,B63,'Base bordo'!F$2:F$746,"MAN CORRETIVA - MECANICA"),0)</f>
        <v>0</v>
      </c>
      <c r="L63" s="10">
        <f>IFERROR(SUMIFS('Base bordo'!G$2:G$746,'Base bordo'!C$2:C$746,A63,'Base bordo'!B$2:B$746,B63,'Base bordo'!F$2:F$746,"MANUTENCAO - T O"),0)+IFERROR(SUMIFS('Base bordo'!G$2:G$746,'Base bordo'!C$2:C$746,A63,'Base bordo'!B$2:B$746,B63,'Base bordo'!F$2:F$746,"MANUTENCAO BORRACHARIA"),0)+IFERROR(SUMIFS('Base bordo'!G$2:G$746,'Base bordo'!C$2:C$746,A63,'Base bordo'!B$2:B$746,B63,'Base bordo'!F$2:F$746,"MANUTENCAO EXTERNA  CONCESSIONARIA"),0)+IFERROR(SUMIFS('Base bordo'!G$2:G$746,'Base bordo'!C$2:C$746,A63,'Base bordo'!B$2:B$746,B63,'Base bordo'!F$2:F$746,"MANUTENCAO TELEMETRIA"),0)</f>
        <v>0</v>
      </c>
      <c r="M63" s="10">
        <f>IFERROR(SUMIFS('Base bordo'!G$2:G$746,'Base bordo'!C$2:C$746,A63,'Base bordo'!B$2:B$746,B63,'Base bordo'!F$2:F$746,"AGUARDANDO MANUTENCAO"),0)</f>
        <v>0</v>
      </c>
      <c r="N63" s="10">
        <f>IFERROR(SUMIFS('Base bordo'!G$2:G$746,'Base bordo'!C$2:C$746,A63,'Base bordo'!B$2:B$746,B63,'Base bordo'!F$2:F$746,"SEM APONTAMENTO"),0)</f>
        <v>0</v>
      </c>
      <c r="O63" s="10">
        <f t="shared" si="6"/>
        <v>3.0000000000000249E-2</v>
      </c>
      <c r="P63" s="10">
        <f>IFERROR(SUMIFS('Base bordo'!G$2:G$746,'Base bordo'!C$2:C$746,A63,'Base bordo'!B$2:B$746,B63),0)</f>
        <v>5.5222222222222221</v>
      </c>
      <c r="Q63" s="10">
        <f>IFERROR(SUMIFS('Base bordo'!H$2:H$746,'Base bordo'!C$2:C$746,A63,'Base bordo'!B$2:B$746,B63,'Base bordo'!F$2:F$746,"DESLOCAMENTO VAZIO"),0)</f>
        <v>213585.12</v>
      </c>
      <c r="R63" s="10">
        <f>IFERROR(SUMIFS('Base bordo'!I$2:I$746,'Base bordo'!C$2:C$746,A63,'Base bordo'!B$2:B$746,B63,'Base bordo'!F$2:F$746,"DESLOCAMENTO VAZIO"),0)</f>
        <v>6050</v>
      </c>
      <c r="S63" s="30">
        <f t="shared" si="7"/>
        <v>35.303325619834709</v>
      </c>
      <c r="T63" s="10">
        <f>IFERROR(SUMIFS('Base bordo'!H$2:H$746,'Base bordo'!C$2:C$746,A63,'Base bordo'!B$2:B$746,B63,'Base bordo'!F$2:F$746,"DESLOCAMENTO CARREGADO"),0)</f>
        <v>215978.22</v>
      </c>
      <c r="U63" s="10">
        <f>IFERROR(SUMIFS('Base bordo'!I$2:I$746,'Base bordo'!C$2:C$746,A63,'Base bordo'!B$2:B$746,B63,'Base bordo'!F$2:F$746,"DESLOCAMENTO CARREGADO"),0)</f>
        <v>9408</v>
      </c>
      <c r="V63" s="30">
        <f t="shared" si="8"/>
        <v>22.95686862244898</v>
      </c>
      <c r="W63" s="9">
        <f t="shared" si="9"/>
        <v>0.30432595573440646</v>
      </c>
      <c r="X63" s="9">
        <f t="shared" si="10"/>
        <v>0.47464788732394364</v>
      </c>
      <c r="Y63" s="9">
        <f t="shared" si="11"/>
        <v>0.22102615694164984</v>
      </c>
    </row>
    <row r="64" spans="1:25" ht="15" customHeight="1" x14ac:dyDescent="0.35">
      <c r="A64" s="52">
        <v>8013462</v>
      </c>
      <c r="B64" s="51">
        <v>46123</v>
      </c>
      <c r="C64" s="7" t="s">
        <v>124</v>
      </c>
      <c r="D64" s="10">
        <f>IFERROR(SUMIFS('Base bordo'!G$2:G$746,'Base bordo'!C$2:C$746,A64,'Base bordo'!B$2:B$746,B64,'Base bordo'!F$2:F$746,"DESLOCAMENTO VAZIO"),0)</f>
        <v>2.4444444444444446E-2</v>
      </c>
      <c r="E64" s="10">
        <f>IFERROR(SUMIFS('Base bordo'!G$2:G$746,'Base bordo'!C$2:C$746,A64,'Base bordo'!B$2:B$746,B64,'Base bordo'!F$2:F$746,"DESLOCAMENTO CARREGADO"),0)</f>
        <v>2.9533333333333331</v>
      </c>
      <c r="F64" s="10">
        <f>IFERROR(SUMIFS('Base bordo'!G$2:G$746,'Base bordo'!C$2:C$746,A64,'Base bordo'!B$2:B$746,B64,'Base bordo'!F$2:F$746,"DESLOCAMENTO"),0)</f>
        <v>0.32861111111111113</v>
      </c>
      <c r="G64" s="10">
        <f>IFERROR(SUMIFS('Base bordo'!G$2:G$746,'Base bordo'!C$2:C$746,A64,'Base bordo'!B$2:B$746,B64,'Base bordo'!F$2:F$746,"CARREGAMENTO"),0)</f>
        <v>0</v>
      </c>
      <c r="H64" s="10">
        <f>IFERROR(SUMIFS('Base bordo'!G$2:G$746,'Base bordo'!C$2:C$746,A64,'Base bordo'!B$2:B$746,B64,'Base bordo'!F$2:F$746,"AGUARDANDO TRANSBORDO"),0)</f>
        <v>0</v>
      </c>
      <c r="I64" s="10">
        <f>IFERROR(SUMIFS('Base bordo'!G$2:G$746,'Base bordo'!C$2:C$746,A64,'Base bordo'!B$2:B$746,B64,'Base bordo'!F$2:F$746,"PÁTIO INTERNO"),0)+IFERROR(SUMIFS('Base bordo'!G$2:G$746,'Base bordo'!C$2:C$746,A64,'Base bordo'!B$2:B$746,B64,'Base bordo'!F$2:F$746,"PÁTIO EXTERNO"),0)+IFERROR(SUMIFS('Base bordo'!G$2:G$746,'Base bordo'!C$2:C$746,A64,'Base bordo'!B$2:B$746,B64,'Base bordo'!F$2:F$746,"PATIO - RESERVA"),0)+IFERROR(SUMIFS('Base bordo'!G$2:G$746,'Base bordo'!C$2:C$746,A64,'Base bordo'!B$2:B$746,B64,'Base bordo'!F$2:F$746,"MANOBRA CARRETAS-PATIO"),0)</f>
        <v>5.2366666666666664</v>
      </c>
      <c r="J64" s="10">
        <f>IFERROR(SUMIFS('Base bordo'!G$2:G$746,'Base bordo'!C$2:C$746,A64,'Base bordo'!B$2:B$746,B64,'Base bordo'!F$2:F$746,"BALANÇA - ENTRADA"),0)+IFERROR(SUMIFS('Base bordo'!G$2:G$746,'Base bordo'!C$2:C$746,A64,'Base bordo'!B$2:B$746,B64,'Base bordo'!F$2:F$746,"BALANÇA - SAÍDA"),0)</f>
        <v>0</v>
      </c>
      <c r="K64" s="10">
        <f>IFERROR(SUMIFS('Base bordo'!G$2:G$746,'Base bordo'!C$2:C$746,A64,'Base bordo'!B$2:B$746,B64,'Base bordo'!F$2:F$746,"MAN PREVENTIVA - MECANICA"),0)+IFERROR(SUMIFS('Base bordo'!G$2:G$746,'Base bordo'!C$2:C$746,A64,'Base bordo'!B$2:B$746,B64,'Base bordo'!F$2:F$746,"MAN CORRETIVA - MECANICA"),0)</f>
        <v>0</v>
      </c>
      <c r="L64" s="10">
        <f>IFERROR(SUMIFS('Base bordo'!G$2:G$746,'Base bordo'!C$2:C$746,A64,'Base bordo'!B$2:B$746,B64,'Base bordo'!F$2:F$746,"MANUTENCAO - T O"),0)+IFERROR(SUMIFS('Base bordo'!G$2:G$746,'Base bordo'!C$2:C$746,A64,'Base bordo'!B$2:B$746,B64,'Base bordo'!F$2:F$746,"MANUTENCAO BORRACHARIA"),0)+IFERROR(SUMIFS('Base bordo'!G$2:G$746,'Base bordo'!C$2:C$746,A64,'Base bordo'!B$2:B$746,B64,'Base bordo'!F$2:F$746,"MANUTENCAO EXTERNA  CONCESSIONARIA"),0)+IFERROR(SUMIFS('Base bordo'!G$2:G$746,'Base bordo'!C$2:C$746,A64,'Base bordo'!B$2:B$746,B64,'Base bordo'!F$2:F$746,"MANUTENCAO TELEMETRIA"),0)</f>
        <v>0</v>
      </c>
      <c r="M64" s="10">
        <f>IFERROR(SUMIFS('Base bordo'!G$2:G$746,'Base bordo'!C$2:C$746,A64,'Base bordo'!B$2:B$746,B64,'Base bordo'!F$2:F$746,"AGUARDANDO MANUTENCAO"),0)</f>
        <v>0</v>
      </c>
      <c r="N64" s="10">
        <f>IFERROR(SUMIFS('Base bordo'!G$2:G$746,'Base bordo'!C$2:C$746,A64,'Base bordo'!B$2:B$746,B64,'Base bordo'!F$2:F$746,"SEM APONTAMENTO"),0)</f>
        <v>0</v>
      </c>
      <c r="O64" s="10">
        <f t="shared" si="6"/>
        <v>0</v>
      </c>
      <c r="P64" s="10">
        <f>IFERROR(SUMIFS('Base bordo'!G$2:G$746,'Base bordo'!C$2:C$746,A64,'Base bordo'!B$2:B$746,B64),0)</f>
        <v>8.5430555555555543</v>
      </c>
      <c r="Q64" s="10">
        <f>IFERROR(SUMIFS('Base bordo'!H$2:H$746,'Base bordo'!C$2:C$746,A64,'Base bordo'!B$2:B$746,B64,'Base bordo'!F$2:F$746,"DESLOCAMENTO VAZIO"),0)</f>
        <v>880</v>
      </c>
      <c r="R64" s="10">
        <f>IFERROR(SUMIFS('Base bordo'!I$2:I$746,'Base bordo'!C$2:C$746,A64,'Base bordo'!B$2:B$746,B64,'Base bordo'!F$2:F$746,"DESLOCAMENTO VAZIO"),0)</f>
        <v>88</v>
      </c>
      <c r="S64" s="30">
        <f t="shared" si="7"/>
        <v>10</v>
      </c>
      <c r="T64" s="10">
        <f>IFERROR(SUMIFS('Base bordo'!H$2:H$746,'Base bordo'!C$2:C$746,A64,'Base bordo'!B$2:B$746,B64,'Base bordo'!F$2:F$746,"DESLOCAMENTO CARREGADO"),0)</f>
        <v>244097.37999999998</v>
      </c>
      <c r="U64" s="10">
        <f>IFERROR(SUMIFS('Base bordo'!I$2:I$746,'Base bordo'!C$2:C$746,A64,'Base bordo'!B$2:B$746,B64,'Base bordo'!F$2:F$746,"DESLOCAMENTO CARREGADO"),0)</f>
        <v>10632</v>
      </c>
      <c r="V64" s="30">
        <f t="shared" si="8"/>
        <v>22.958745297215948</v>
      </c>
      <c r="W64" s="9">
        <f t="shared" si="9"/>
        <v>2.8613233620549509E-3</v>
      </c>
      <c r="X64" s="9">
        <f t="shared" si="10"/>
        <v>0.3456998861973663</v>
      </c>
      <c r="Y64" s="9">
        <f t="shared" si="11"/>
        <v>0.65143879044057873</v>
      </c>
    </row>
    <row r="65" spans="1:25" ht="15" customHeight="1" x14ac:dyDescent="0.35">
      <c r="A65" s="52">
        <v>8013470</v>
      </c>
      <c r="B65" s="51">
        <v>46123</v>
      </c>
      <c r="C65" s="7" t="s">
        <v>124</v>
      </c>
      <c r="D65" s="10">
        <f>IFERROR(SUMIFS('Base bordo'!G$2:G$746,'Base bordo'!C$2:C$746,A65,'Base bordo'!B$2:B$746,B65,'Base bordo'!F$2:F$746,"DESLOCAMENTO VAZIO"),0)</f>
        <v>1.4894444444444443</v>
      </c>
      <c r="E65" s="10">
        <f>IFERROR(SUMIFS('Base bordo'!G$2:G$746,'Base bordo'!C$2:C$746,A65,'Base bordo'!B$2:B$746,B65,'Base bordo'!F$2:F$746,"DESLOCAMENTO CARREGADO"),0)</f>
        <v>2.7725</v>
      </c>
      <c r="F65" s="10">
        <f>IFERROR(SUMIFS('Base bordo'!G$2:G$746,'Base bordo'!C$2:C$746,A65,'Base bordo'!B$2:B$746,B65,'Base bordo'!F$2:F$746,"DESLOCAMENTO"),0)</f>
        <v>1.1813888888888888</v>
      </c>
      <c r="G65" s="10">
        <f>IFERROR(SUMIFS('Base bordo'!G$2:G$746,'Base bordo'!C$2:C$746,A65,'Base bordo'!B$2:B$746,B65,'Base bordo'!F$2:F$746,"CARREGAMENTO"),0)</f>
        <v>0</v>
      </c>
      <c r="H65" s="10">
        <f>IFERROR(SUMIFS('Base bordo'!G$2:G$746,'Base bordo'!C$2:C$746,A65,'Base bordo'!B$2:B$746,B65,'Base bordo'!F$2:F$746,"AGUARDANDO TRANSBORDO"),0)</f>
        <v>0.10722222222222222</v>
      </c>
      <c r="I65" s="10">
        <f>IFERROR(SUMIFS('Base bordo'!G$2:G$746,'Base bordo'!C$2:C$746,A65,'Base bordo'!B$2:B$746,B65,'Base bordo'!F$2:F$746,"PÁTIO INTERNO"),0)+IFERROR(SUMIFS('Base bordo'!G$2:G$746,'Base bordo'!C$2:C$746,A65,'Base bordo'!B$2:B$746,B65,'Base bordo'!F$2:F$746,"PÁTIO EXTERNO"),0)+IFERROR(SUMIFS('Base bordo'!G$2:G$746,'Base bordo'!C$2:C$746,A65,'Base bordo'!B$2:B$746,B65,'Base bordo'!F$2:F$746,"PATIO - RESERVA"),0)+IFERROR(SUMIFS('Base bordo'!G$2:G$746,'Base bordo'!C$2:C$746,A65,'Base bordo'!B$2:B$746,B65,'Base bordo'!F$2:F$746,"MANOBRA CARRETAS-PATIO"),0)</f>
        <v>0.56472222222222224</v>
      </c>
      <c r="J65" s="10">
        <f>IFERROR(SUMIFS('Base bordo'!G$2:G$746,'Base bordo'!C$2:C$746,A65,'Base bordo'!B$2:B$746,B65,'Base bordo'!F$2:F$746,"BALANÇA - ENTRADA"),0)+IFERROR(SUMIFS('Base bordo'!G$2:G$746,'Base bordo'!C$2:C$746,A65,'Base bordo'!B$2:B$746,B65,'Base bordo'!F$2:F$746,"BALANÇA - SAÍDA"),0)</f>
        <v>0</v>
      </c>
      <c r="K65" s="10">
        <f>IFERROR(SUMIFS('Base bordo'!G$2:G$746,'Base bordo'!C$2:C$746,A65,'Base bordo'!B$2:B$746,B65,'Base bordo'!F$2:F$746,"MAN PREVENTIVA - MECANICA"),0)+IFERROR(SUMIFS('Base bordo'!G$2:G$746,'Base bordo'!C$2:C$746,A65,'Base bordo'!B$2:B$746,B65,'Base bordo'!F$2:F$746,"MAN CORRETIVA - MECANICA"),0)</f>
        <v>0</v>
      </c>
      <c r="L65" s="10">
        <f>IFERROR(SUMIFS('Base bordo'!G$2:G$746,'Base bordo'!C$2:C$746,A65,'Base bordo'!B$2:B$746,B65,'Base bordo'!F$2:F$746,"MANUTENCAO - T O"),0)+IFERROR(SUMIFS('Base bordo'!G$2:G$746,'Base bordo'!C$2:C$746,A65,'Base bordo'!B$2:B$746,B65,'Base bordo'!F$2:F$746,"MANUTENCAO BORRACHARIA"),0)+IFERROR(SUMIFS('Base bordo'!G$2:G$746,'Base bordo'!C$2:C$746,A65,'Base bordo'!B$2:B$746,B65,'Base bordo'!F$2:F$746,"MANUTENCAO EXTERNA  CONCESSIONARIA"),0)+IFERROR(SUMIFS('Base bordo'!G$2:G$746,'Base bordo'!C$2:C$746,A65,'Base bordo'!B$2:B$746,B65,'Base bordo'!F$2:F$746,"MANUTENCAO TELEMETRIA"),0)</f>
        <v>0</v>
      </c>
      <c r="M65" s="10">
        <f>IFERROR(SUMIFS('Base bordo'!G$2:G$746,'Base bordo'!C$2:C$746,A65,'Base bordo'!B$2:B$746,B65,'Base bordo'!F$2:F$746,"AGUARDANDO MANUTENCAO"),0)</f>
        <v>0</v>
      </c>
      <c r="N65" s="10">
        <f>IFERROR(SUMIFS('Base bordo'!G$2:G$746,'Base bordo'!C$2:C$746,A65,'Base bordo'!B$2:B$746,B65,'Base bordo'!F$2:F$746,"SEM APONTAMENTO"),0)</f>
        <v>0</v>
      </c>
      <c r="O65" s="10">
        <f t="shared" si="6"/>
        <v>4.6666666666666856E-2</v>
      </c>
      <c r="P65" s="10">
        <f>IFERROR(SUMIFS('Base bordo'!G$2:G$746,'Base bordo'!C$2:C$746,A65,'Base bordo'!B$2:B$746,B65),0)</f>
        <v>6.1619444444444449</v>
      </c>
      <c r="Q65" s="10">
        <f>IFERROR(SUMIFS('Base bordo'!H$2:H$746,'Base bordo'!C$2:C$746,A65,'Base bordo'!B$2:B$746,B65,'Base bordo'!F$2:F$746,"DESLOCAMENTO VAZIO"),0)</f>
        <v>174958.3</v>
      </c>
      <c r="R65" s="10">
        <f>IFERROR(SUMIFS('Base bordo'!I$2:I$746,'Base bordo'!C$2:C$746,A65,'Base bordo'!B$2:B$746,B65,'Base bordo'!F$2:F$746,"DESLOCAMENTO VAZIO"),0)</f>
        <v>5362</v>
      </c>
      <c r="S65" s="30">
        <f t="shared" si="7"/>
        <v>32.629298769115998</v>
      </c>
      <c r="T65" s="10">
        <f>IFERROR(SUMIFS('Base bordo'!H$2:H$746,'Base bordo'!C$2:C$746,A65,'Base bordo'!B$2:B$746,B65,'Base bordo'!F$2:F$746,"DESLOCAMENTO CARREGADO"),0)</f>
        <v>211588.94</v>
      </c>
      <c r="U65" s="10">
        <f>IFERROR(SUMIFS('Base bordo'!I$2:I$746,'Base bordo'!C$2:C$746,A65,'Base bordo'!B$2:B$746,B65,'Base bordo'!F$2:F$746,"DESLOCAMENTO CARREGADO"),0)</f>
        <v>9967</v>
      </c>
      <c r="V65" s="30">
        <f t="shared" si="8"/>
        <v>21.228949533460419</v>
      </c>
      <c r="W65" s="9">
        <f t="shared" si="9"/>
        <v>0.24171662985168821</v>
      </c>
      <c r="X65" s="9">
        <f t="shared" si="10"/>
        <v>0.44993914258666545</v>
      </c>
      <c r="Y65" s="9">
        <f t="shared" si="11"/>
        <v>0.30834422756164637</v>
      </c>
    </row>
    <row r="66" spans="1:25" ht="15" customHeight="1" x14ac:dyDescent="0.35">
      <c r="A66" s="52">
        <v>8013460</v>
      </c>
      <c r="B66" s="51">
        <v>46123</v>
      </c>
      <c r="C66" s="7" t="s">
        <v>124</v>
      </c>
      <c r="D66" s="10">
        <f>IFERROR(SUMIFS('Base bordo'!G$2:G$746,'Base bordo'!C$2:C$746,A66,'Base bordo'!B$2:B$746,B66,'Base bordo'!F$2:F$746,"DESLOCAMENTO VAZIO"),0)</f>
        <v>1.8969444444444445</v>
      </c>
      <c r="E66" s="10">
        <f>IFERROR(SUMIFS('Base bordo'!G$2:G$746,'Base bordo'!C$2:C$746,A66,'Base bordo'!B$2:B$746,B66,'Base bordo'!F$2:F$746,"DESLOCAMENTO CARREGADO"),0)</f>
        <v>2.5080555555555555</v>
      </c>
      <c r="F66" s="10">
        <f>IFERROR(SUMIFS('Base bordo'!G$2:G$746,'Base bordo'!C$2:C$746,A66,'Base bordo'!B$2:B$746,B66,'Base bordo'!F$2:F$746,"DESLOCAMENTO"),0)</f>
        <v>0</v>
      </c>
      <c r="G66" s="10">
        <f>IFERROR(SUMIFS('Base bordo'!G$2:G$746,'Base bordo'!C$2:C$746,A66,'Base bordo'!B$2:B$746,B66,'Base bordo'!F$2:F$746,"CARREGAMENTO"),0)</f>
        <v>0</v>
      </c>
      <c r="H66" s="10">
        <f>IFERROR(SUMIFS('Base bordo'!G$2:G$746,'Base bordo'!C$2:C$746,A66,'Base bordo'!B$2:B$746,B66,'Base bordo'!F$2:F$746,"AGUARDANDO TRANSBORDO"),0)</f>
        <v>0</v>
      </c>
      <c r="I66" s="10">
        <f>IFERROR(SUMIFS('Base bordo'!G$2:G$746,'Base bordo'!C$2:C$746,A66,'Base bordo'!B$2:B$746,B66,'Base bordo'!F$2:F$746,"PÁTIO INTERNO"),0)+IFERROR(SUMIFS('Base bordo'!G$2:G$746,'Base bordo'!C$2:C$746,A66,'Base bordo'!B$2:B$746,B66,'Base bordo'!F$2:F$746,"PÁTIO EXTERNO"),0)+IFERROR(SUMIFS('Base bordo'!G$2:G$746,'Base bordo'!C$2:C$746,A66,'Base bordo'!B$2:B$746,B66,'Base bordo'!F$2:F$746,"PATIO - RESERVA"),0)+IFERROR(SUMIFS('Base bordo'!G$2:G$746,'Base bordo'!C$2:C$746,A66,'Base bordo'!B$2:B$746,B66,'Base bordo'!F$2:F$746,"MANOBRA CARRETAS-PATIO"),0)</f>
        <v>2.3761111111111113</v>
      </c>
      <c r="J66" s="10">
        <f>IFERROR(SUMIFS('Base bordo'!G$2:G$746,'Base bordo'!C$2:C$746,A66,'Base bordo'!B$2:B$746,B66,'Base bordo'!F$2:F$746,"BALANÇA - ENTRADA"),0)+IFERROR(SUMIFS('Base bordo'!G$2:G$746,'Base bordo'!C$2:C$746,A66,'Base bordo'!B$2:B$746,B66,'Base bordo'!F$2:F$746,"BALANÇA - SAÍDA"),0)</f>
        <v>0</v>
      </c>
      <c r="K66" s="10">
        <f>IFERROR(SUMIFS('Base bordo'!G$2:G$746,'Base bordo'!C$2:C$746,A66,'Base bordo'!B$2:B$746,B66,'Base bordo'!F$2:F$746,"MAN PREVENTIVA - MECANICA"),0)+IFERROR(SUMIFS('Base bordo'!G$2:G$746,'Base bordo'!C$2:C$746,A66,'Base bordo'!B$2:B$746,B66,'Base bordo'!F$2:F$746,"MAN CORRETIVA - MECANICA"),0)</f>
        <v>0</v>
      </c>
      <c r="L66" s="10">
        <f>IFERROR(SUMIFS('Base bordo'!G$2:G$746,'Base bordo'!C$2:C$746,A66,'Base bordo'!B$2:B$746,B66,'Base bordo'!F$2:F$746,"MANUTENCAO - T O"),0)+IFERROR(SUMIFS('Base bordo'!G$2:G$746,'Base bordo'!C$2:C$746,A66,'Base bordo'!B$2:B$746,B66,'Base bordo'!F$2:F$746,"MANUTENCAO BORRACHARIA"),0)+IFERROR(SUMIFS('Base bordo'!G$2:G$746,'Base bordo'!C$2:C$746,A66,'Base bordo'!B$2:B$746,B66,'Base bordo'!F$2:F$746,"MANUTENCAO EXTERNA  CONCESSIONARIA"),0)+IFERROR(SUMIFS('Base bordo'!G$2:G$746,'Base bordo'!C$2:C$746,A66,'Base bordo'!B$2:B$746,B66,'Base bordo'!F$2:F$746,"MANUTENCAO TELEMETRIA"),0)</f>
        <v>0</v>
      </c>
      <c r="M66" s="10">
        <f>IFERROR(SUMIFS('Base bordo'!G$2:G$746,'Base bordo'!C$2:C$746,A66,'Base bordo'!B$2:B$746,B66,'Base bordo'!F$2:F$746,"AGUARDANDO MANUTENCAO"),0)</f>
        <v>0</v>
      </c>
      <c r="N66" s="10">
        <f>IFERROR(SUMIFS('Base bordo'!G$2:G$746,'Base bordo'!C$2:C$746,A66,'Base bordo'!B$2:B$746,B66,'Base bordo'!F$2:F$746,"SEM APONTAMENTO"),0)</f>
        <v>0</v>
      </c>
      <c r="O66" s="10">
        <f t="shared" ref="O66:O78" si="12">IFERROR(P66-SUM(D66:N66),0)</f>
        <v>0.44861111111111196</v>
      </c>
      <c r="P66" s="10">
        <f>IFERROR(SUMIFS('Base bordo'!G$2:G$746,'Base bordo'!C$2:C$746,A66,'Base bordo'!B$2:B$746,B66),0)</f>
        <v>7.2297222222222235</v>
      </c>
      <c r="Q66" s="10">
        <f>IFERROR(SUMIFS('Base bordo'!H$2:H$746,'Base bordo'!C$2:C$746,A66,'Base bordo'!B$2:B$746,B66,'Base bordo'!F$2:F$746,"DESLOCAMENTO VAZIO"),0)</f>
        <v>236918.97</v>
      </c>
      <c r="R66" s="10">
        <f>IFERROR(SUMIFS('Base bordo'!I$2:I$746,'Base bordo'!C$2:C$746,A66,'Base bordo'!B$2:B$746,B66,'Base bordo'!F$2:F$746,"DESLOCAMENTO VAZIO"),0)</f>
        <v>6829</v>
      </c>
      <c r="S66" s="30">
        <f t="shared" ref="S66:S78" si="13">IFERROR(Q66/R66,"")</f>
        <v>34.693069263435348</v>
      </c>
      <c r="T66" s="10">
        <f>IFERROR(SUMIFS('Base bordo'!H$2:H$746,'Base bordo'!C$2:C$746,A66,'Base bordo'!B$2:B$746,B66,'Base bordo'!F$2:F$746,"DESLOCAMENTO CARREGADO"),0)</f>
        <v>208531.69</v>
      </c>
      <c r="U66" s="10">
        <f>IFERROR(SUMIFS('Base bordo'!I$2:I$746,'Base bordo'!C$2:C$746,A66,'Base bordo'!B$2:B$746,B66,'Base bordo'!F$2:F$746,"DESLOCAMENTO CARREGADO"),0)</f>
        <v>8999</v>
      </c>
      <c r="V66" s="30">
        <f t="shared" ref="V66:V78" si="14">IFERROR(T66/U66,"")</f>
        <v>23.172762529169908</v>
      </c>
      <c r="W66" s="9">
        <f t="shared" ref="W66:W78" si="15">IFERROR(D66/P66,0)</f>
        <v>0.26238137318938021</v>
      </c>
      <c r="X66" s="9">
        <f t="shared" ref="X66:X78" si="16">IFERROR(E66/P66,0)</f>
        <v>0.34690897913704993</v>
      </c>
      <c r="Y66" s="9">
        <f t="shared" ref="Y66:Y78" si="17">IFERROR(1-((D66+E66)/P66),0)</f>
        <v>0.39070964767356986</v>
      </c>
    </row>
    <row r="67" spans="1:25" ht="15" customHeight="1" x14ac:dyDescent="0.35">
      <c r="A67" s="52">
        <v>8013472</v>
      </c>
      <c r="B67" s="51">
        <v>46118</v>
      </c>
      <c r="C67" s="7" t="s">
        <v>124</v>
      </c>
      <c r="D67" s="10">
        <f>IFERROR(SUMIFS('Base bordo'!G$2:G$746,'Base bordo'!C$2:C$746,A67,'Base bordo'!B$2:B$746,B67,'Base bordo'!F$2:F$746,"DESLOCAMENTO VAZIO"),0)</f>
        <v>1.75</v>
      </c>
      <c r="E67" s="10">
        <f>IFERROR(SUMIFS('Base bordo'!G$2:G$746,'Base bordo'!C$2:C$746,A67,'Base bordo'!B$2:B$746,B67,'Base bordo'!F$2:F$746,"DESLOCAMENTO CARREGADO"),0)</f>
        <v>2.4983333333333335</v>
      </c>
      <c r="F67" s="10">
        <f>IFERROR(SUMIFS('Base bordo'!G$2:G$746,'Base bordo'!C$2:C$746,A67,'Base bordo'!B$2:B$746,B67,'Base bordo'!F$2:F$746,"DESLOCAMENTO"),0)</f>
        <v>1.1605555555555556</v>
      </c>
      <c r="G67" s="10">
        <f>IFERROR(SUMIFS('Base bordo'!G$2:G$746,'Base bordo'!C$2:C$746,A67,'Base bordo'!B$2:B$746,B67,'Base bordo'!F$2:F$746,"CARREGAMENTO"),0)</f>
        <v>0</v>
      </c>
      <c r="H67" s="10">
        <f>IFERROR(SUMIFS('Base bordo'!G$2:G$746,'Base bordo'!C$2:C$746,A67,'Base bordo'!B$2:B$746,B67,'Base bordo'!F$2:F$746,"AGUARDANDO TRANSBORDO"),0)</f>
        <v>0</v>
      </c>
      <c r="I67" s="10">
        <f>IFERROR(SUMIFS('Base bordo'!G$2:G$746,'Base bordo'!C$2:C$746,A67,'Base bordo'!B$2:B$746,B67,'Base bordo'!F$2:F$746,"PÁTIO INTERNO"),0)+IFERROR(SUMIFS('Base bordo'!G$2:G$746,'Base bordo'!C$2:C$746,A67,'Base bordo'!B$2:B$746,B67,'Base bordo'!F$2:F$746,"PÁTIO EXTERNO"),0)+IFERROR(SUMIFS('Base bordo'!G$2:G$746,'Base bordo'!C$2:C$746,A67,'Base bordo'!B$2:B$746,B67,'Base bordo'!F$2:F$746,"PATIO - RESERVA"),0)+IFERROR(SUMIFS('Base bordo'!G$2:G$746,'Base bordo'!C$2:C$746,A67,'Base bordo'!B$2:B$746,B67,'Base bordo'!F$2:F$746,"MANOBRA CARRETAS-PATIO"),0)</f>
        <v>6.2741666666666669</v>
      </c>
      <c r="J67" s="10">
        <f>IFERROR(SUMIFS('Base bordo'!G$2:G$746,'Base bordo'!C$2:C$746,A67,'Base bordo'!B$2:B$746,B67,'Base bordo'!F$2:F$746,"BALANÇA - ENTRADA"),0)+IFERROR(SUMIFS('Base bordo'!G$2:G$746,'Base bordo'!C$2:C$746,A67,'Base bordo'!B$2:B$746,B67,'Base bordo'!F$2:F$746,"BALANÇA - SAÍDA"),0)</f>
        <v>1.2222222222222223E-2</v>
      </c>
      <c r="K67" s="10">
        <f>IFERROR(SUMIFS('Base bordo'!G$2:G$746,'Base bordo'!C$2:C$746,A67,'Base bordo'!B$2:B$746,B67,'Base bordo'!F$2:F$746,"MAN PREVENTIVA - MECANICA"),0)+IFERROR(SUMIFS('Base bordo'!G$2:G$746,'Base bordo'!C$2:C$746,A67,'Base bordo'!B$2:B$746,B67,'Base bordo'!F$2:F$746,"MAN CORRETIVA - MECANICA"),0)</f>
        <v>0</v>
      </c>
      <c r="L67" s="10">
        <f>IFERROR(SUMIFS('Base bordo'!G$2:G$746,'Base bordo'!C$2:C$746,A67,'Base bordo'!B$2:B$746,B67,'Base bordo'!F$2:F$746,"MANUTENCAO - T O"),0)+IFERROR(SUMIFS('Base bordo'!G$2:G$746,'Base bordo'!C$2:C$746,A67,'Base bordo'!B$2:B$746,B67,'Base bordo'!F$2:F$746,"MANUTENCAO BORRACHARIA"),0)+IFERROR(SUMIFS('Base bordo'!G$2:G$746,'Base bordo'!C$2:C$746,A67,'Base bordo'!B$2:B$746,B67,'Base bordo'!F$2:F$746,"MANUTENCAO EXTERNA  CONCESSIONARIA"),0)+IFERROR(SUMIFS('Base bordo'!G$2:G$746,'Base bordo'!C$2:C$746,A67,'Base bordo'!B$2:B$746,B67,'Base bordo'!F$2:F$746,"MANUTENCAO TELEMETRIA"),0)</f>
        <v>2.3786111111111112</v>
      </c>
      <c r="M67" s="10">
        <f>IFERROR(SUMIFS('Base bordo'!G$2:G$746,'Base bordo'!C$2:C$746,A67,'Base bordo'!B$2:B$746,B67,'Base bordo'!F$2:F$746,"AGUARDANDO MANUTENCAO"),0)</f>
        <v>5.3633333333333333</v>
      </c>
      <c r="N67" s="10">
        <f>IFERROR(SUMIFS('Base bordo'!G$2:G$746,'Base bordo'!C$2:C$746,A67,'Base bordo'!B$2:B$746,B67,'Base bordo'!F$2:F$746,"SEM APONTAMENTO"),0)</f>
        <v>0</v>
      </c>
      <c r="O67" s="10">
        <f t="shared" si="12"/>
        <v>0</v>
      </c>
      <c r="P67" s="10">
        <f>IFERROR(SUMIFS('Base bordo'!G$2:G$746,'Base bordo'!C$2:C$746,A67,'Base bordo'!B$2:B$746,B67),0)</f>
        <v>19.437222222222221</v>
      </c>
      <c r="Q67" s="10">
        <f>IFERROR(SUMIFS('Base bordo'!H$2:H$746,'Base bordo'!C$2:C$746,A67,'Base bordo'!B$2:B$746,B67,'Base bordo'!F$2:F$746,"DESLOCAMENTO VAZIO"),0)</f>
        <v>117213.39</v>
      </c>
      <c r="R67" s="10">
        <f>IFERROR(SUMIFS('Base bordo'!I$2:I$746,'Base bordo'!C$2:C$746,A67,'Base bordo'!B$2:B$746,B67,'Base bordo'!F$2:F$746,"DESLOCAMENTO VAZIO"),0)</f>
        <v>6300</v>
      </c>
      <c r="S67" s="30">
        <f t="shared" si="13"/>
        <v>18.6053</v>
      </c>
      <c r="T67" s="10">
        <f>IFERROR(SUMIFS('Base bordo'!H$2:H$746,'Base bordo'!C$2:C$746,A67,'Base bordo'!B$2:B$746,B67,'Base bordo'!F$2:F$746,"DESLOCAMENTO CARREGADO"),0)</f>
        <v>206109.95</v>
      </c>
      <c r="U67" s="10">
        <f>IFERROR(SUMIFS('Base bordo'!I$2:I$746,'Base bordo'!C$2:C$746,A67,'Base bordo'!B$2:B$746,B67,'Base bordo'!F$2:F$746,"DESLOCAMENTO CARREGADO"),0)</f>
        <v>8677</v>
      </c>
      <c r="V67" s="30">
        <f t="shared" si="14"/>
        <v>23.753595712803964</v>
      </c>
      <c r="W67" s="9">
        <f t="shared" si="15"/>
        <v>9.0033440992368596E-2</v>
      </c>
      <c r="X67" s="9">
        <f t="shared" si="16"/>
        <v>0.128533455283391</v>
      </c>
      <c r="Y67" s="9">
        <f t="shared" si="17"/>
        <v>0.78143310372424046</v>
      </c>
    </row>
    <row r="68" spans="1:25" ht="15" customHeight="1" x14ac:dyDescent="0.35">
      <c r="A68" s="52">
        <v>8013485</v>
      </c>
      <c r="B68" s="51">
        <v>46123</v>
      </c>
      <c r="C68" s="7" t="s">
        <v>124</v>
      </c>
      <c r="D68" s="10">
        <f>IFERROR(SUMIFS('Base bordo'!G$2:G$746,'Base bordo'!C$2:C$746,A68,'Base bordo'!B$2:B$746,B68,'Base bordo'!F$2:F$746,"DESLOCAMENTO VAZIO"),0)</f>
        <v>1.8255555555555556</v>
      </c>
      <c r="E68" s="10">
        <f>IFERROR(SUMIFS('Base bordo'!G$2:G$746,'Base bordo'!C$2:C$746,A68,'Base bordo'!B$2:B$746,B68,'Base bordo'!F$2:F$746,"DESLOCAMENTO CARREGADO"),0)</f>
        <v>2.5369444444444444</v>
      </c>
      <c r="F68" s="10">
        <f>IFERROR(SUMIFS('Base bordo'!G$2:G$746,'Base bordo'!C$2:C$746,A68,'Base bordo'!B$2:B$746,B68,'Base bordo'!F$2:F$746,"DESLOCAMENTO"),0)</f>
        <v>0.6694444444444444</v>
      </c>
      <c r="G68" s="10">
        <f>IFERROR(SUMIFS('Base bordo'!G$2:G$746,'Base bordo'!C$2:C$746,A68,'Base bordo'!B$2:B$746,B68,'Base bordo'!F$2:F$746,"CARREGAMENTO"),0)</f>
        <v>0</v>
      </c>
      <c r="H68" s="10">
        <f>IFERROR(SUMIFS('Base bordo'!G$2:G$746,'Base bordo'!C$2:C$746,A68,'Base bordo'!B$2:B$746,B68,'Base bordo'!F$2:F$746,"AGUARDANDO TRANSBORDO"),0)</f>
        <v>0.45916666666666667</v>
      </c>
      <c r="I68" s="10">
        <f>IFERROR(SUMIFS('Base bordo'!G$2:G$746,'Base bordo'!C$2:C$746,A68,'Base bordo'!B$2:B$746,B68,'Base bordo'!F$2:F$746,"PÁTIO INTERNO"),0)+IFERROR(SUMIFS('Base bordo'!G$2:G$746,'Base bordo'!C$2:C$746,A68,'Base bordo'!B$2:B$746,B68,'Base bordo'!F$2:F$746,"PÁTIO EXTERNO"),0)+IFERROR(SUMIFS('Base bordo'!G$2:G$746,'Base bordo'!C$2:C$746,A68,'Base bordo'!B$2:B$746,B68,'Base bordo'!F$2:F$746,"PATIO - RESERVA"),0)+IFERROR(SUMIFS('Base bordo'!G$2:G$746,'Base bordo'!C$2:C$746,A68,'Base bordo'!B$2:B$746,B68,'Base bordo'!F$2:F$746,"MANOBRA CARRETAS-PATIO"),0)</f>
        <v>4.2497222222222222</v>
      </c>
      <c r="J68" s="10">
        <f>IFERROR(SUMIFS('Base bordo'!G$2:G$746,'Base bordo'!C$2:C$746,A68,'Base bordo'!B$2:B$746,B68,'Base bordo'!F$2:F$746,"BALANÇA - ENTRADA"),0)+IFERROR(SUMIFS('Base bordo'!G$2:G$746,'Base bordo'!C$2:C$746,A68,'Base bordo'!B$2:B$746,B68,'Base bordo'!F$2:F$746,"BALANÇA - SAÍDA"),0)</f>
        <v>0</v>
      </c>
      <c r="K68" s="10">
        <f>IFERROR(SUMIFS('Base bordo'!G$2:G$746,'Base bordo'!C$2:C$746,A68,'Base bordo'!B$2:B$746,B68,'Base bordo'!F$2:F$746,"MAN PREVENTIVA - MECANICA"),0)+IFERROR(SUMIFS('Base bordo'!G$2:G$746,'Base bordo'!C$2:C$746,A68,'Base bordo'!B$2:B$746,B68,'Base bordo'!F$2:F$746,"MAN CORRETIVA - MECANICA"),0)</f>
        <v>0</v>
      </c>
      <c r="L68" s="10">
        <f>IFERROR(SUMIFS('Base bordo'!G$2:G$746,'Base bordo'!C$2:C$746,A68,'Base bordo'!B$2:B$746,B68,'Base bordo'!F$2:F$746,"MANUTENCAO - T O"),0)+IFERROR(SUMIFS('Base bordo'!G$2:G$746,'Base bordo'!C$2:C$746,A68,'Base bordo'!B$2:B$746,B68,'Base bordo'!F$2:F$746,"MANUTENCAO BORRACHARIA"),0)+IFERROR(SUMIFS('Base bordo'!G$2:G$746,'Base bordo'!C$2:C$746,A68,'Base bordo'!B$2:B$746,B68,'Base bordo'!F$2:F$746,"MANUTENCAO EXTERNA  CONCESSIONARIA"),0)+IFERROR(SUMIFS('Base bordo'!G$2:G$746,'Base bordo'!C$2:C$746,A68,'Base bordo'!B$2:B$746,B68,'Base bordo'!F$2:F$746,"MANUTENCAO TELEMETRIA"),0)</f>
        <v>0</v>
      </c>
      <c r="M68" s="10">
        <f>IFERROR(SUMIFS('Base bordo'!G$2:G$746,'Base bordo'!C$2:C$746,A68,'Base bordo'!B$2:B$746,B68,'Base bordo'!F$2:F$746,"AGUARDANDO MANUTENCAO"),0)</f>
        <v>0</v>
      </c>
      <c r="N68" s="10">
        <f>IFERROR(SUMIFS('Base bordo'!G$2:G$746,'Base bordo'!C$2:C$746,A68,'Base bordo'!B$2:B$746,B68,'Base bordo'!F$2:F$746,"SEM APONTAMENTO"),0)</f>
        <v>0</v>
      </c>
      <c r="O68" s="10">
        <f t="shared" si="12"/>
        <v>0.10194444444444528</v>
      </c>
      <c r="P68" s="10">
        <f>IFERROR(SUMIFS('Base bordo'!G$2:G$746,'Base bordo'!C$2:C$746,A68,'Base bordo'!B$2:B$746,B68),0)</f>
        <v>9.8427777777777781</v>
      </c>
      <c r="Q68" s="10">
        <f>IFERROR(SUMIFS('Base bordo'!H$2:H$746,'Base bordo'!C$2:C$746,A68,'Base bordo'!B$2:B$746,B68,'Base bordo'!F$2:F$746,"DESLOCAMENTO VAZIO"),0)</f>
        <v>203208.90000000002</v>
      </c>
      <c r="R68" s="10">
        <f>IFERROR(SUMIFS('Base bordo'!I$2:I$746,'Base bordo'!C$2:C$746,A68,'Base bordo'!B$2:B$746,B68,'Base bordo'!F$2:F$746,"DESLOCAMENTO VAZIO"),0)</f>
        <v>6572</v>
      </c>
      <c r="S68" s="30">
        <f t="shared" si="13"/>
        <v>30.920404747413272</v>
      </c>
      <c r="T68" s="10">
        <f>IFERROR(SUMIFS('Base bordo'!H$2:H$746,'Base bordo'!C$2:C$746,A68,'Base bordo'!B$2:B$746,B68,'Base bordo'!F$2:F$746,"DESLOCAMENTO CARREGADO"),0)</f>
        <v>202982.89</v>
      </c>
      <c r="U68" s="10">
        <f>IFERROR(SUMIFS('Base bordo'!I$2:I$746,'Base bordo'!C$2:C$746,A68,'Base bordo'!B$2:B$746,B68,'Base bordo'!F$2:F$746,"DESLOCAMENTO CARREGADO"),0)</f>
        <v>9133</v>
      </c>
      <c r="V68" s="30">
        <f t="shared" si="14"/>
        <v>22.225215153837734</v>
      </c>
      <c r="W68" s="9">
        <f t="shared" si="15"/>
        <v>0.18547158096743241</v>
      </c>
      <c r="X68" s="9">
        <f t="shared" si="16"/>
        <v>0.25774679686177115</v>
      </c>
      <c r="Y68" s="9">
        <f t="shared" si="17"/>
        <v>0.55678162217079641</v>
      </c>
    </row>
    <row r="69" spans="1:25" ht="15" customHeight="1" x14ac:dyDescent="0.35">
      <c r="A69" s="52">
        <v>8013485</v>
      </c>
      <c r="B69" s="51">
        <v>46123</v>
      </c>
      <c r="C69" s="7" t="s">
        <v>124</v>
      </c>
      <c r="D69" s="10">
        <f>IFERROR(SUMIFS('Base bordo'!G$2:G$746,'Base bordo'!C$2:C$746,A69,'Base bordo'!B$2:B$746,B69,'Base bordo'!F$2:F$746,"DESLOCAMENTO VAZIO"),0)</f>
        <v>1.8255555555555556</v>
      </c>
      <c r="E69" s="10">
        <f>IFERROR(SUMIFS('Base bordo'!G$2:G$746,'Base bordo'!C$2:C$746,A69,'Base bordo'!B$2:B$746,B69,'Base bordo'!F$2:F$746,"DESLOCAMENTO CARREGADO"),0)</f>
        <v>2.5369444444444444</v>
      </c>
      <c r="F69" s="10">
        <f>IFERROR(SUMIFS('Base bordo'!G$2:G$746,'Base bordo'!C$2:C$746,A69,'Base bordo'!B$2:B$746,B69,'Base bordo'!F$2:F$746,"DESLOCAMENTO"),0)</f>
        <v>0.6694444444444444</v>
      </c>
      <c r="G69" s="10">
        <f>IFERROR(SUMIFS('Base bordo'!G$2:G$746,'Base bordo'!C$2:C$746,A69,'Base bordo'!B$2:B$746,B69,'Base bordo'!F$2:F$746,"CARREGAMENTO"),0)</f>
        <v>0</v>
      </c>
      <c r="H69" s="10">
        <f>IFERROR(SUMIFS('Base bordo'!G$2:G$746,'Base bordo'!C$2:C$746,A69,'Base bordo'!B$2:B$746,B69,'Base bordo'!F$2:F$746,"AGUARDANDO TRANSBORDO"),0)</f>
        <v>0.45916666666666667</v>
      </c>
      <c r="I69" s="10">
        <f>IFERROR(SUMIFS('Base bordo'!G$2:G$746,'Base bordo'!C$2:C$746,A69,'Base bordo'!B$2:B$746,B69,'Base bordo'!F$2:F$746,"PÁTIO INTERNO"),0)+IFERROR(SUMIFS('Base bordo'!G$2:G$746,'Base bordo'!C$2:C$746,A69,'Base bordo'!B$2:B$746,B69,'Base bordo'!F$2:F$746,"PÁTIO EXTERNO"),0)+IFERROR(SUMIFS('Base bordo'!G$2:G$746,'Base bordo'!C$2:C$746,A69,'Base bordo'!B$2:B$746,B69,'Base bordo'!F$2:F$746,"PATIO - RESERVA"),0)+IFERROR(SUMIFS('Base bordo'!G$2:G$746,'Base bordo'!C$2:C$746,A69,'Base bordo'!B$2:B$746,B69,'Base bordo'!F$2:F$746,"MANOBRA CARRETAS-PATIO"),0)</f>
        <v>4.2497222222222222</v>
      </c>
      <c r="J69" s="10">
        <f>IFERROR(SUMIFS('Base bordo'!G$2:G$746,'Base bordo'!C$2:C$746,A69,'Base bordo'!B$2:B$746,B69,'Base bordo'!F$2:F$746,"BALANÇA - ENTRADA"),0)+IFERROR(SUMIFS('Base bordo'!G$2:G$746,'Base bordo'!C$2:C$746,A69,'Base bordo'!B$2:B$746,B69,'Base bordo'!F$2:F$746,"BALANÇA - SAÍDA"),0)</f>
        <v>0</v>
      </c>
      <c r="K69" s="10">
        <f>IFERROR(SUMIFS('Base bordo'!G$2:G$746,'Base bordo'!C$2:C$746,A69,'Base bordo'!B$2:B$746,B69,'Base bordo'!F$2:F$746,"MAN PREVENTIVA - MECANICA"),0)+IFERROR(SUMIFS('Base bordo'!G$2:G$746,'Base bordo'!C$2:C$746,A69,'Base bordo'!B$2:B$746,B69,'Base bordo'!F$2:F$746,"MAN CORRETIVA - MECANICA"),0)</f>
        <v>0</v>
      </c>
      <c r="L69" s="10">
        <f>IFERROR(SUMIFS('Base bordo'!G$2:G$746,'Base bordo'!C$2:C$746,A69,'Base bordo'!B$2:B$746,B69,'Base bordo'!F$2:F$746,"MANUTENCAO - T O"),0)+IFERROR(SUMIFS('Base bordo'!G$2:G$746,'Base bordo'!C$2:C$746,A69,'Base bordo'!B$2:B$746,B69,'Base bordo'!F$2:F$746,"MANUTENCAO BORRACHARIA"),0)+IFERROR(SUMIFS('Base bordo'!G$2:G$746,'Base bordo'!C$2:C$746,A69,'Base bordo'!B$2:B$746,B69,'Base bordo'!F$2:F$746,"MANUTENCAO EXTERNA  CONCESSIONARIA"),0)+IFERROR(SUMIFS('Base bordo'!G$2:G$746,'Base bordo'!C$2:C$746,A69,'Base bordo'!B$2:B$746,B69,'Base bordo'!F$2:F$746,"MANUTENCAO TELEMETRIA"),0)</f>
        <v>0</v>
      </c>
      <c r="M69" s="10">
        <f>IFERROR(SUMIFS('Base bordo'!G$2:G$746,'Base bordo'!C$2:C$746,A69,'Base bordo'!B$2:B$746,B69,'Base bordo'!F$2:F$746,"AGUARDANDO MANUTENCAO"),0)</f>
        <v>0</v>
      </c>
      <c r="N69" s="10">
        <f>IFERROR(SUMIFS('Base bordo'!G$2:G$746,'Base bordo'!C$2:C$746,A69,'Base bordo'!B$2:B$746,B69,'Base bordo'!F$2:F$746,"SEM APONTAMENTO"),0)</f>
        <v>0</v>
      </c>
      <c r="O69" s="10">
        <f t="shared" si="12"/>
        <v>0.10194444444444528</v>
      </c>
      <c r="P69" s="10">
        <f>IFERROR(SUMIFS('Base bordo'!G$2:G$746,'Base bordo'!C$2:C$746,A69,'Base bordo'!B$2:B$746,B69),0)</f>
        <v>9.8427777777777781</v>
      </c>
      <c r="Q69" s="10">
        <f>IFERROR(SUMIFS('Base bordo'!H$2:H$746,'Base bordo'!C$2:C$746,A69,'Base bordo'!B$2:B$746,B69,'Base bordo'!F$2:F$746,"DESLOCAMENTO VAZIO"),0)</f>
        <v>203208.90000000002</v>
      </c>
      <c r="R69" s="10">
        <f>IFERROR(SUMIFS('Base bordo'!I$2:I$746,'Base bordo'!C$2:C$746,A69,'Base bordo'!B$2:B$746,B69,'Base bordo'!F$2:F$746,"DESLOCAMENTO VAZIO"),0)</f>
        <v>6572</v>
      </c>
      <c r="S69" s="30">
        <f t="shared" si="13"/>
        <v>30.920404747413272</v>
      </c>
      <c r="T69" s="10">
        <f>IFERROR(SUMIFS('Base bordo'!H$2:H$746,'Base bordo'!C$2:C$746,A69,'Base bordo'!B$2:B$746,B69,'Base bordo'!F$2:F$746,"DESLOCAMENTO CARREGADO"),0)</f>
        <v>202982.89</v>
      </c>
      <c r="U69" s="10">
        <f>IFERROR(SUMIFS('Base bordo'!I$2:I$746,'Base bordo'!C$2:C$746,A69,'Base bordo'!B$2:B$746,B69,'Base bordo'!F$2:F$746,"DESLOCAMENTO CARREGADO"),0)</f>
        <v>9133</v>
      </c>
      <c r="V69" s="30">
        <f t="shared" si="14"/>
        <v>22.225215153837734</v>
      </c>
      <c r="W69" s="9">
        <f t="shared" si="15"/>
        <v>0.18547158096743241</v>
      </c>
      <c r="X69" s="9">
        <f t="shared" si="16"/>
        <v>0.25774679686177115</v>
      </c>
      <c r="Y69" s="9">
        <f t="shared" si="17"/>
        <v>0.55678162217079641</v>
      </c>
    </row>
    <row r="70" spans="1:25" ht="15" customHeight="1" x14ac:dyDescent="0.35">
      <c r="A70" s="52">
        <v>8013485</v>
      </c>
      <c r="B70" s="51">
        <v>46117</v>
      </c>
      <c r="C70" s="7" t="s">
        <v>124</v>
      </c>
      <c r="D70" s="10">
        <f>IFERROR(SUMIFS('Base bordo'!G$2:G$746,'Base bordo'!C$2:C$746,A70,'Base bordo'!B$2:B$746,B70,'Base bordo'!F$2:F$746,"DESLOCAMENTO VAZIO"),0)</f>
        <v>1.9294444444444445</v>
      </c>
      <c r="E70" s="10">
        <f>IFERROR(SUMIFS('Base bordo'!G$2:G$746,'Base bordo'!C$2:C$746,A70,'Base bordo'!B$2:B$746,B70,'Base bordo'!F$2:F$746,"DESLOCAMENTO CARREGADO"),0)</f>
        <v>1.6919444444444445</v>
      </c>
      <c r="F70" s="10">
        <f>IFERROR(SUMIFS('Base bordo'!G$2:G$746,'Base bordo'!C$2:C$746,A70,'Base bordo'!B$2:B$746,B70,'Base bordo'!F$2:F$746,"DESLOCAMENTO"),0)</f>
        <v>0</v>
      </c>
      <c r="G70" s="10">
        <f>IFERROR(SUMIFS('Base bordo'!G$2:G$746,'Base bordo'!C$2:C$746,A70,'Base bordo'!B$2:B$746,B70,'Base bordo'!F$2:F$746,"CARREGAMENTO"),0)</f>
        <v>0.57138888888888884</v>
      </c>
      <c r="H70" s="10">
        <f>IFERROR(SUMIFS('Base bordo'!G$2:G$746,'Base bordo'!C$2:C$746,A70,'Base bordo'!B$2:B$746,B70,'Base bordo'!F$2:F$746,"AGUARDANDO TRANSBORDO"),0)</f>
        <v>0</v>
      </c>
      <c r="I70" s="10">
        <f>IFERROR(SUMIFS('Base bordo'!G$2:G$746,'Base bordo'!C$2:C$746,A70,'Base bordo'!B$2:B$746,B70,'Base bordo'!F$2:F$746,"PÁTIO INTERNO"),0)+IFERROR(SUMIFS('Base bordo'!G$2:G$746,'Base bordo'!C$2:C$746,A70,'Base bordo'!B$2:B$746,B70,'Base bordo'!F$2:F$746,"PÁTIO EXTERNO"),0)+IFERROR(SUMIFS('Base bordo'!G$2:G$746,'Base bordo'!C$2:C$746,A70,'Base bordo'!B$2:B$746,B70,'Base bordo'!F$2:F$746,"PATIO - RESERVA"),0)+IFERROR(SUMIFS('Base bordo'!G$2:G$746,'Base bordo'!C$2:C$746,A70,'Base bordo'!B$2:B$746,B70,'Base bordo'!F$2:F$746,"MANOBRA CARRETAS-PATIO"),0)</f>
        <v>0.93222222222222217</v>
      </c>
      <c r="J70" s="10">
        <f>IFERROR(SUMIFS('Base bordo'!G$2:G$746,'Base bordo'!C$2:C$746,A70,'Base bordo'!B$2:B$746,B70,'Base bordo'!F$2:F$746,"BALANÇA - ENTRADA"),0)+IFERROR(SUMIFS('Base bordo'!G$2:G$746,'Base bordo'!C$2:C$746,A70,'Base bordo'!B$2:B$746,B70,'Base bordo'!F$2:F$746,"BALANÇA - SAÍDA"),0)</f>
        <v>0</v>
      </c>
      <c r="K70" s="10">
        <f>IFERROR(SUMIFS('Base bordo'!G$2:G$746,'Base bordo'!C$2:C$746,A70,'Base bordo'!B$2:B$746,B70,'Base bordo'!F$2:F$746,"MAN PREVENTIVA - MECANICA"),0)+IFERROR(SUMIFS('Base bordo'!G$2:G$746,'Base bordo'!C$2:C$746,A70,'Base bordo'!B$2:B$746,B70,'Base bordo'!F$2:F$746,"MAN CORRETIVA - MECANICA"),0)</f>
        <v>0</v>
      </c>
      <c r="L70" s="10">
        <f>IFERROR(SUMIFS('Base bordo'!G$2:G$746,'Base bordo'!C$2:C$746,A70,'Base bordo'!B$2:B$746,B70,'Base bordo'!F$2:F$746,"MANUTENCAO - T O"),0)+IFERROR(SUMIFS('Base bordo'!G$2:G$746,'Base bordo'!C$2:C$746,A70,'Base bordo'!B$2:B$746,B70,'Base bordo'!F$2:F$746,"MANUTENCAO BORRACHARIA"),0)+IFERROR(SUMIFS('Base bordo'!G$2:G$746,'Base bordo'!C$2:C$746,A70,'Base bordo'!B$2:B$746,B70,'Base bordo'!F$2:F$746,"MANUTENCAO EXTERNA  CONCESSIONARIA"),0)+IFERROR(SUMIFS('Base bordo'!G$2:G$746,'Base bordo'!C$2:C$746,A70,'Base bordo'!B$2:B$746,B70,'Base bordo'!F$2:F$746,"MANUTENCAO TELEMETRIA"),0)</f>
        <v>8.8805555555555564</v>
      </c>
      <c r="M70" s="10">
        <f>IFERROR(SUMIFS('Base bordo'!G$2:G$746,'Base bordo'!C$2:C$746,A70,'Base bordo'!B$2:B$746,B70,'Base bordo'!F$2:F$746,"AGUARDANDO MANUTENCAO"),0)</f>
        <v>0</v>
      </c>
      <c r="N70" s="10">
        <f>IFERROR(SUMIFS('Base bordo'!G$2:G$746,'Base bordo'!C$2:C$746,A70,'Base bordo'!B$2:B$746,B70,'Base bordo'!F$2:F$746,"SEM APONTAMENTO"),0)</f>
        <v>0</v>
      </c>
      <c r="O70" s="10">
        <f t="shared" si="12"/>
        <v>4.9944444444444471</v>
      </c>
      <c r="P70" s="10">
        <f>IFERROR(SUMIFS('Base bordo'!G$2:G$746,'Base bordo'!C$2:C$746,A70,'Base bordo'!B$2:B$746,B70),0)</f>
        <v>19.000000000000004</v>
      </c>
      <c r="Q70" s="10">
        <f>IFERROR(SUMIFS('Base bordo'!H$2:H$746,'Base bordo'!C$2:C$746,A70,'Base bordo'!B$2:B$746,B70,'Base bordo'!F$2:F$746,"DESLOCAMENTO VAZIO"),0)</f>
        <v>200216.06000000003</v>
      </c>
      <c r="R70" s="10">
        <f>IFERROR(SUMIFS('Base bordo'!I$2:I$746,'Base bordo'!C$2:C$746,A70,'Base bordo'!B$2:B$746,B70,'Base bordo'!F$2:F$746,"DESLOCAMENTO VAZIO"),0)</f>
        <v>6946</v>
      </c>
      <c r="S70" s="30">
        <f t="shared" si="13"/>
        <v>28.82465591707458</v>
      </c>
      <c r="T70" s="10">
        <f>IFERROR(SUMIFS('Base bordo'!H$2:H$746,'Base bordo'!C$2:C$746,A70,'Base bordo'!B$2:B$746,B70,'Base bordo'!F$2:F$746,"DESLOCAMENTO CARREGADO"),0)</f>
        <v>167185.25</v>
      </c>
      <c r="U70" s="10">
        <f>IFERROR(SUMIFS('Base bordo'!I$2:I$746,'Base bordo'!C$2:C$746,A70,'Base bordo'!B$2:B$746,B70,'Base bordo'!F$2:F$746,"DESLOCAMENTO CARREGADO"),0)</f>
        <v>6091</v>
      </c>
      <c r="V70" s="30">
        <f t="shared" si="14"/>
        <v>27.447914956493186</v>
      </c>
      <c r="W70" s="9">
        <f t="shared" si="15"/>
        <v>0.10154970760233917</v>
      </c>
      <c r="X70" s="9">
        <f t="shared" si="16"/>
        <v>8.904970760233917E-2</v>
      </c>
      <c r="Y70" s="9">
        <f t="shared" si="17"/>
        <v>0.80940058479532162</v>
      </c>
    </row>
    <row r="71" spans="1:25" ht="15" customHeight="1" x14ac:dyDescent="0.35">
      <c r="A71" s="52">
        <v>8013462</v>
      </c>
      <c r="B71" s="51">
        <v>46124</v>
      </c>
      <c r="C71" s="7" t="s">
        <v>124</v>
      </c>
      <c r="D71" s="10">
        <f>IFERROR(SUMIFS('Base bordo'!G$2:G$746,'Base bordo'!C$2:C$746,A71,'Base bordo'!B$2:B$746,B71,'Base bordo'!F$2:F$746,"DESLOCAMENTO VAZIO"),0)</f>
        <v>2.6541666666666668</v>
      </c>
      <c r="E71" s="10">
        <f>IFERROR(SUMIFS('Base bordo'!G$2:G$746,'Base bordo'!C$2:C$746,A71,'Base bordo'!B$2:B$746,B71,'Base bordo'!F$2:F$746,"DESLOCAMENTO CARREGADO"),0)</f>
        <v>2.0155555555555558</v>
      </c>
      <c r="F71" s="10">
        <f>IFERROR(SUMIFS('Base bordo'!G$2:G$746,'Base bordo'!C$2:C$746,A71,'Base bordo'!B$2:B$746,B71,'Base bordo'!F$2:F$746,"DESLOCAMENTO"),0)</f>
        <v>0</v>
      </c>
      <c r="G71" s="10">
        <f>IFERROR(SUMIFS('Base bordo'!G$2:G$746,'Base bordo'!C$2:C$746,A71,'Base bordo'!B$2:B$746,B71,'Base bordo'!F$2:F$746,"CARREGAMENTO"),0)</f>
        <v>0</v>
      </c>
      <c r="H71" s="10">
        <f>IFERROR(SUMIFS('Base bordo'!G$2:G$746,'Base bordo'!C$2:C$746,A71,'Base bordo'!B$2:B$746,B71,'Base bordo'!F$2:F$746,"AGUARDANDO TRANSBORDO"),0)</f>
        <v>0.33611111111111114</v>
      </c>
      <c r="I71" s="10">
        <f>IFERROR(SUMIFS('Base bordo'!G$2:G$746,'Base bordo'!C$2:C$746,A71,'Base bordo'!B$2:B$746,B71,'Base bordo'!F$2:F$746,"PÁTIO INTERNO"),0)+IFERROR(SUMIFS('Base bordo'!G$2:G$746,'Base bordo'!C$2:C$746,A71,'Base bordo'!B$2:B$746,B71,'Base bordo'!F$2:F$746,"PÁTIO EXTERNO"),0)+IFERROR(SUMIFS('Base bordo'!G$2:G$746,'Base bordo'!C$2:C$746,A71,'Base bordo'!B$2:B$746,B71,'Base bordo'!F$2:F$746,"PATIO - RESERVA"),0)+IFERROR(SUMIFS('Base bordo'!G$2:G$746,'Base bordo'!C$2:C$746,A71,'Base bordo'!B$2:B$746,B71,'Base bordo'!F$2:F$746,"MANOBRA CARRETAS-PATIO"),0)</f>
        <v>10.451944444444445</v>
      </c>
      <c r="J71" s="10">
        <f>IFERROR(SUMIFS('Base bordo'!G$2:G$746,'Base bordo'!C$2:C$746,A71,'Base bordo'!B$2:B$746,B71,'Base bordo'!F$2:F$746,"BALANÇA - ENTRADA"),0)+IFERROR(SUMIFS('Base bordo'!G$2:G$746,'Base bordo'!C$2:C$746,A71,'Base bordo'!B$2:B$746,B71,'Base bordo'!F$2:F$746,"BALANÇA - SAÍDA"),0)</f>
        <v>0.15138888888888888</v>
      </c>
      <c r="K71" s="10">
        <f>IFERROR(SUMIFS('Base bordo'!G$2:G$746,'Base bordo'!C$2:C$746,A71,'Base bordo'!B$2:B$746,B71,'Base bordo'!F$2:F$746,"MAN PREVENTIVA - MECANICA"),0)+IFERROR(SUMIFS('Base bordo'!G$2:G$746,'Base bordo'!C$2:C$746,A71,'Base bordo'!B$2:B$746,B71,'Base bordo'!F$2:F$746,"MAN CORRETIVA - MECANICA"),0)</f>
        <v>0</v>
      </c>
      <c r="L71" s="10">
        <f>IFERROR(SUMIFS('Base bordo'!G$2:G$746,'Base bordo'!C$2:C$746,A71,'Base bordo'!B$2:B$746,B71,'Base bordo'!F$2:F$746,"MANUTENCAO - T O"),0)+IFERROR(SUMIFS('Base bordo'!G$2:G$746,'Base bordo'!C$2:C$746,A71,'Base bordo'!B$2:B$746,B71,'Base bordo'!F$2:F$746,"MANUTENCAO BORRACHARIA"),0)+IFERROR(SUMIFS('Base bordo'!G$2:G$746,'Base bordo'!C$2:C$746,A71,'Base bordo'!B$2:B$746,B71,'Base bordo'!F$2:F$746,"MANUTENCAO EXTERNA  CONCESSIONARIA"),0)+IFERROR(SUMIFS('Base bordo'!G$2:G$746,'Base bordo'!C$2:C$746,A71,'Base bordo'!B$2:B$746,B71,'Base bordo'!F$2:F$746,"MANUTENCAO TELEMETRIA"),0)</f>
        <v>0</v>
      </c>
      <c r="M71" s="10">
        <f>IFERROR(SUMIFS('Base bordo'!G$2:G$746,'Base bordo'!C$2:C$746,A71,'Base bordo'!B$2:B$746,B71,'Base bordo'!F$2:F$746,"AGUARDANDO MANUTENCAO"),0)</f>
        <v>0</v>
      </c>
      <c r="N71" s="10">
        <f>IFERROR(SUMIFS('Base bordo'!G$2:G$746,'Base bordo'!C$2:C$746,A71,'Base bordo'!B$2:B$746,B71,'Base bordo'!F$2:F$746,"SEM APONTAMENTO"),0)</f>
        <v>0</v>
      </c>
      <c r="O71" s="10">
        <f t="shared" si="12"/>
        <v>0</v>
      </c>
      <c r="P71" s="10">
        <f>IFERROR(SUMIFS('Base bordo'!G$2:G$746,'Base bordo'!C$2:C$746,A71,'Base bordo'!B$2:B$746,B71),0)</f>
        <v>15.609166666666667</v>
      </c>
      <c r="Q71" s="10">
        <f>IFERROR(SUMIFS('Base bordo'!H$2:H$746,'Base bordo'!C$2:C$746,A71,'Base bordo'!B$2:B$746,B71,'Base bordo'!F$2:F$746,"DESLOCAMENTO VAZIO"),0)</f>
        <v>401876.54000000004</v>
      </c>
      <c r="R71" s="10">
        <f>IFERROR(SUMIFS('Base bordo'!I$2:I$746,'Base bordo'!C$2:C$746,A71,'Base bordo'!B$2:B$746,B71,'Base bordo'!F$2:F$746,"DESLOCAMENTO VAZIO"),0)</f>
        <v>9555</v>
      </c>
      <c r="S71" s="30">
        <f t="shared" si="13"/>
        <v>42.05929251700681</v>
      </c>
      <c r="T71" s="10">
        <f>IFERROR(SUMIFS('Base bordo'!H$2:H$746,'Base bordo'!C$2:C$746,A71,'Base bordo'!B$2:B$746,B71,'Base bordo'!F$2:F$746,"DESLOCAMENTO CARREGADO"),0)</f>
        <v>198098.78999999998</v>
      </c>
      <c r="U71" s="10">
        <f>IFERROR(SUMIFS('Base bordo'!I$2:I$746,'Base bordo'!C$2:C$746,A71,'Base bordo'!B$2:B$746,B71,'Base bordo'!F$2:F$746,"DESLOCAMENTO CARREGADO"),0)</f>
        <v>7256</v>
      </c>
      <c r="V71" s="30">
        <f t="shared" si="14"/>
        <v>27.301376791620726</v>
      </c>
      <c r="W71" s="9">
        <f t="shared" si="15"/>
        <v>0.1700389728257968</v>
      </c>
      <c r="X71" s="9">
        <f t="shared" si="16"/>
        <v>0.12912640364458208</v>
      </c>
      <c r="Y71" s="9">
        <f t="shared" si="17"/>
        <v>0.700834623529621</v>
      </c>
    </row>
    <row r="72" spans="1:25" ht="15" customHeight="1" x14ac:dyDescent="0.35">
      <c r="A72" s="52">
        <v>8013470</v>
      </c>
      <c r="B72" s="51">
        <v>46118</v>
      </c>
      <c r="C72" s="7" t="s">
        <v>124</v>
      </c>
      <c r="D72" s="10">
        <f>IFERROR(SUMIFS('Base bordo'!G$2:G$746,'Base bordo'!C$2:C$746,A72,'Base bordo'!B$2:B$746,B72,'Base bordo'!F$2:F$746,"DESLOCAMENTO VAZIO"),0)</f>
        <v>1.7397222222222222</v>
      </c>
      <c r="E72" s="10">
        <f>IFERROR(SUMIFS('Base bordo'!G$2:G$746,'Base bordo'!C$2:C$746,A72,'Base bordo'!B$2:B$746,B72,'Base bordo'!F$2:F$746,"DESLOCAMENTO CARREGADO"),0)</f>
        <v>3.5305555555555554</v>
      </c>
      <c r="F72" s="10">
        <f>IFERROR(SUMIFS('Base bordo'!G$2:G$746,'Base bordo'!C$2:C$746,A72,'Base bordo'!B$2:B$746,B72,'Base bordo'!F$2:F$746,"DESLOCAMENTO"),0)</f>
        <v>0</v>
      </c>
      <c r="G72" s="10">
        <f>IFERROR(SUMIFS('Base bordo'!G$2:G$746,'Base bordo'!C$2:C$746,A72,'Base bordo'!B$2:B$746,B72,'Base bordo'!F$2:F$746,"CARREGAMENTO"),0)</f>
        <v>2.911111111111111</v>
      </c>
      <c r="H72" s="10">
        <f>IFERROR(SUMIFS('Base bordo'!G$2:G$746,'Base bordo'!C$2:C$746,A72,'Base bordo'!B$2:B$746,B72,'Base bordo'!F$2:F$746,"AGUARDANDO TRANSBORDO"),0)</f>
        <v>0.85194444444444439</v>
      </c>
      <c r="I72" s="10">
        <f>IFERROR(SUMIFS('Base bordo'!G$2:G$746,'Base bordo'!C$2:C$746,A72,'Base bordo'!B$2:B$746,B72,'Base bordo'!F$2:F$746,"PÁTIO INTERNO"),0)+IFERROR(SUMIFS('Base bordo'!G$2:G$746,'Base bordo'!C$2:C$746,A72,'Base bordo'!B$2:B$746,B72,'Base bordo'!F$2:F$746,"PÁTIO EXTERNO"),0)+IFERROR(SUMIFS('Base bordo'!G$2:G$746,'Base bordo'!C$2:C$746,A72,'Base bordo'!B$2:B$746,B72,'Base bordo'!F$2:F$746,"PATIO - RESERVA"),0)+IFERROR(SUMIFS('Base bordo'!G$2:G$746,'Base bordo'!C$2:C$746,A72,'Base bordo'!B$2:B$746,B72,'Base bordo'!F$2:F$746,"MANOBRA CARRETAS-PATIO"),0)</f>
        <v>7.8380555555555551</v>
      </c>
      <c r="J72" s="10">
        <f>IFERROR(SUMIFS('Base bordo'!G$2:G$746,'Base bordo'!C$2:C$746,A72,'Base bordo'!B$2:B$746,B72,'Base bordo'!F$2:F$746,"BALANÇA - ENTRADA"),0)+IFERROR(SUMIFS('Base bordo'!G$2:G$746,'Base bordo'!C$2:C$746,A72,'Base bordo'!B$2:B$746,B72,'Base bordo'!F$2:F$746,"BALANÇA - SAÍDA"),0)</f>
        <v>6.4722222222222223E-2</v>
      </c>
      <c r="K72" s="10">
        <f>IFERROR(SUMIFS('Base bordo'!G$2:G$746,'Base bordo'!C$2:C$746,A72,'Base bordo'!B$2:B$746,B72,'Base bordo'!F$2:F$746,"MAN PREVENTIVA - MECANICA"),0)+IFERROR(SUMIFS('Base bordo'!G$2:G$746,'Base bordo'!C$2:C$746,A72,'Base bordo'!B$2:B$746,B72,'Base bordo'!F$2:F$746,"MAN CORRETIVA - MECANICA"),0)</f>
        <v>0</v>
      </c>
      <c r="L72" s="10">
        <f>IFERROR(SUMIFS('Base bordo'!G$2:G$746,'Base bordo'!C$2:C$746,A72,'Base bordo'!B$2:B$746,B72,'Base bordo'!F$2:F$746,"MANUTENCAO - T O"),0)+IFERROR(SUMIFS('Base bordo'!G$2:G$746,'Base bordo'!C$2:C$746,A72,'Base bordo'!B$2:B$746,B72,'Base bordo'!F$2:F$746,"MANUTENCAO BORRACHARIA"),0)+IFERROR(SUMIFS('Base bordo'!G$2:G$746,'Base bordo'!C$2:C$746,A72,'Base bordo'!B$2:B$746,B72,'Base bordo'!F$2:F$746,"MANUTENCAO EXTERNA  CONCESSIONARIA"),0)+IFERROR(SUMIFS('Base bordo'!G$2:G$746,'Base bordo'!C$2:C$746,A72,'Base bordo'!B$2:B$746,B72,'Base bordo'!F$2:F$746,"MANUTENCAO TELEMETRIA"),0)</f>
        <v>0</v>
      </c>
      <c r="M72" s="10">
        <f>IFERROR(SUMIFS('Base bordo'!G$2:G$746,'Base bordo'!C$2:C$746,A72,'Base bordo'!B$2:B$746,B72,'Base bordo'!F$2:F$746,"AGUARDANDO MANUTENCAO"),0)</f>
        <v>1.013611111111111</v>
      </c>
      <c r="N72" s="10">
        <f>IFERROR(SUMIFS('Base bordo'!G$2:G$746,'Base bordo'!C$2:C$746,A72,'Base bordo'!B$2:B$746,B72,'Base bordo'!F$2:F$746,"SEM APONTAMENTO"),0)</f>
        <v>0.85111111111111115</v>
      </c>
      <c r="O72" s="10">
        <f t="shared" si="12"/>
        <v>5.1991666666666667</v>
      </c>
      <c r="P72" s="10">
        <f>IFERROR(SUMIFS('Base bordo'!G$2:G$746,'Base bordo'!C$2:C$746,A72,'Base bordo'!B$2:B$746,B72),0)</f>
        <v>24</v>
      </c>
      <c r="Q72" s="10">
        <f>IFERROR(SUMIFS('Base bordo'!H$2:H$746,'Base bordo'!C$2:C$746,A72,'Base bordo'!B$2:B$746,B72,'Base bordo'!F$2:F$746,"DESLOCAMENTO VAZIO"),0)</f>
        <v>195041.98</v>
      </c>
      <c r="R72" s="10">
        <f>IFERROR(SUMIFS('Base bordo'!I$2:I$746,'Base bordo'!C$2:C$746,A72,'Base bordo'!B$2:B$746,B72,'Base bordo'!F$2:F$746,"DESLOCAMENTO VAZIO"),0)</f>
        <v>6263</v>
      </c>
      <c r="S72" s="30">
        <f t="shared" si="13"/>
        <v>31.141941561551974</v>
      </c>
      <c r="T72" s="10">
        <f>IFERROR(SUMIFS('Base bordo'!H$2:H$746,'Base bordo'!C$2:C$746,A72,'Base bordo'!B$2:B$746,B72,'Base bordo'!F$2:F$746,"DESLOCAMENTO CARREGADO"),0)</f>
        <v>332481.22999999992</v>
      </c>
      <c r="U72" s="10">
        <f>IFERROR(SUMIFS('Base bordo'!I$2:I$746,'Base bordo'!C$2:C$746,A72,'Base bordo'!B$2:B$746,B72,'Base bordo'!F$2:F$746,"DESLOCAMENTO CARREGADO"),0)</f>
        <v>12710</v>
      </c>
      <c r="V72" s="30">
        <f t="shared" si="14"/>
        <v>26.15902675059008</v>
      </c>
      <c r="W72" s="9">
        <f t="shared" si="15"/>
        <v>7.2488425925925928E-2</v>
      </c>
      <c r="X72" s="9">
        <f t="shared" si="16"/>
        <v>0.14710648148148148</v>
      </c>
      <c r="Y72" s="9">
        <f t="shared" si="17"/>
        <v>0.78040509259259261</v>
      </c>
    </row>
    <row r="73" spans="1:25" ht="15" customHeight="1" x14ac:dyDescent="0.35">
      <c r="A73" s="52">
        <v>8013473</v>
      </c>
      <c r="B73" s="51">
        <v>46118</v>
      </c>
      <c r="C73" s="7" t="s">
        <v>124</v>
      </c>
      <c r="D73" s="10">
        <f>IFERROR(SUMIFS('Base bordo'!G$2:G$746,'Base bordo'!C$2:C$746,A73,'Base bordo'!B$2:B$746,B73,'Base bordo'!F$2:F$746,"DESLOCAMENTO VAZIO"),0)</f>
        <v>1.5997222222222223</v>
      </c>
      <c r="E73" s="10">
        <f>IFERROR(SUMIFS('Base bordo'!G$2:G$746,'Base bordo'!C$2:C$746,A73,'Base bordo'!B$2:B$746,B73,'Base bordo'!F$2:F$746,"DESLOCAMENTO CARREGADO"),0)</f>
        <v>3.9169444444444443</v>
      </c>
      <c r="F73" s="10">
        <f>IFERROR(SUMIFS('Base bordo'!G$2:G$746,'Base bordo'!C$2:C$746,A73,'Base bordo'!B$2:B$746,B73,'Base bordo'!F$2:F$746,"DESLOCAMENTO"),0)</f>
        <v>0</v>
      </c>
      <c r="G73" s="10">
        <f>IFERROR(SUMIFS('Base bordo'!G$2:G$746,'Base bordo'!C$2:C$746,A73,'Base bordo'!B$2:B$746,B73,'Base bordo'!F$2:F$746,"CARREGAMENTO"),0)</f>
        <v>0</v>
      </c>
      <c r="H73" s="10">
        <f>IFERROR(SUMIFS('Base bordo'!G$2:G$746,'Base bordo'!C$2:C$746,A73,'Base bordo'!B$2:B$746,B73,'Base bordo'!F$2:F$746,"AGUARDANDO TRANSBORDO"),0)</f>
        <v>0.18527777777777779</v>
      </c>
      <c r="I73" s="10">
        <f>IFERROR(SUMIFS('Base bordo'!G$2:G$746,'Base bordo'!C$2:C$746,A73,'Base bordo'!B$2:B$746,B73,'Base bordo'!F$2:F$746,"PÁTIO INTERNO"),0)+IFERROR(SUMIFS('Base bordo'!G$2:G$746,'Base bordo'!C$2:C$746,A73,'Base bordo'!B$2:B$746,B73,'Base bordo'!F$2:F$746,"PÁTIO EXTERNO"),0)+IFERROR(SUMIFS('Base bordo'!G$2:G$746,'Base bordo'!C$2:C$746,A73,'Base bordo'!B$2:B$746,B73,'Base bordo'!F$2:F$746,"PATIO - RESERVA"),0)+IFERROR(SUMIFS('Base bordo'!G$2:G$746,'Base bordo'!C$2:C$746,A73,'Base bordo'!B$2:B$746,B73,'Base bordo'!F$2:F$746,"MANOBRA CARRETAS-PATIO"),0)</f>
        <v>10.403611111111111</v>
      </c>
      <c r="J73" s="10">
        <f>IFERROR(SUMIFS('Base bordo'!G$2:G$746,'Base bordo'!C$2:C$746,A73,'Base bordo'!B$2:B$746,B73,'Base bordo'!F$2:F$746,"BALANÇA - ENTRADA"),0)+IFERROR(SUMIFS('Base bordo'!G$2:G$746,'Base bordo'!C$2:C$746,A73,'Base bordo'!B$2:B$746,B73,'Base bordo'!F$2:F$746,"BALANÇA - SAÍDA"),0)</f>
        <v>5.8055555555555555E-2</v>
      </c>
      <c r="K73" s="10">
        <f>IFERROR(SUMIFS('Base bordo'!G$2:G$746,'Base bordo'!C$2:C$746,A73,'Base bordo'!B$2:B$746,B73,'Base bordo'!F$2:F$746,"MAN PREVENTIVA - MECANICA"),0)+IFERROR(SUMIFS('Base bordo'!G$2:G$746,'Base bordo'!C$2:C$746,A73,'Base bordo'!B$2:B$746,B73,'Base bordo'!F$2:F$746,"MAN CORRETIVA - MECANICA"),0)</f>
        <v>0</v>
      </c>
      <c r="L73" s="10">
        <f>IFERROR(SUMIFS('Base bordo'!G$2:G$746,'Base bordo'!C$2:C$746,A73,'Base bordo'!B$2:B$746,B73,'Base bordo'!F$2:F$746,"MANUTENCAO - T O"),0)+IFERROR(SUMIFS('Base bordo'!G$2:G$746,'Base bordo'!C$2:C$746,A73,'Base bordo'!B$2:B$746,B73,'Base bordo'!F$2:F$746,"MANUTENCAO BORRACHARIA"),0)+IFERROR(SUMIFS('Base bordo'!G$2:G$746,'Base bordo'!C$2:C$746,A73,'Base bordo'!B$2:B$746,B73,'Base bordo'!F$2:F$746,"MANUTENCAO EXTERNA  CONCESSIONARIA"),0)+IFERROR(SUMIFS('Base bordo'!G$2:G$746,'Base bordo'!C$2:C$746,A73,'Base bordo'!B$2:B$746,B73,'Base bordo'!F$2:F$746,"MANUTENCAO TELEMETRIA"),0)</f>
        <v>0</v>
      </c>
      <c r="M73" s="10">
        <f>IFERROR(SUMIFS('Base bordo'!G$2:G$746,'Base bordo'!C$2:C$746,A73,'Base bordo'!B$2:B$746,B73,'Base bordo'!F$2:F$746,"AGUARDANDO MANUTENCAO"),0)</f>
        <v>0</v>
      </c>
      <c r="N73" s="10">
        <f>IFERROR(SUMIFS('Base bordo'!G$2:G$746,'Base bordo'!C$2:C$746,A73,'Base bordo'!B$2:B$746,B73,'Base bordo'!F$2:F$746,"SEM APONTAMENTO"),0)</f>
        <v>0</v>
      </c>
      <c r="O73" s="10">
        <f t="shared" si="12"/>
        <v>3.5527136788005009E-15</v>
      </c>
      <c r="P73" s="10">
        <f>IFERROR(SUMIFS('Base bordo'!G$2:G$746,'Base bordo'!C$2:C$746,A73,'Base bordo'!B$2:B$746,B73),0)</f>
        <v>16.163611111111113</v>
      </c>
      <c r="Q73" s="10">
        <f>IFERROR(SUMIFS('Base bordo'!H$2:H$746,'Base bordo'!C$2:C$746,A73,'Base bordo'!B$2:B$746,B73,'Base bordo'!F$2:F$746,"DESLOCAMENTO VAZIO"),0)</f>
        <v>187793.3</v>
      </c>
      <c r="R73" s="10">
        <f>IFERROR(SUMIFS('Base bordo'!I$2:I$746,'Base bordo'!C$2:C$746,A73,'Base bordo'!B$2:B$746,B73,'Base bordo'!F$2:F$746,"DESLOCAMENTO VAZIO"),0)</f>
        <v>5759</v>
      </c>
      <c r="S73" s="30">
        <f t="shared" si="13"/>
        <v>32.608664698732419</v>
      </c>
      <c r="T73" s="10">
        <f>IFERROR(SUMIFS('Base bordo'!H$2:H$746,'Base bordo'!C$2:C$746,A73,'Base bordo'!B$2:B$746,B73,'Base bordo'!F$2:F$746,"DESLOCAMENTO CARREGADO"),0)</f>
        <v>380848.11</v>
      </c>
      <c r="U73" s="10">
        <f>IFERROR(SUMIFS('Base bordo'!I$2:I$746,'Base bordo'!C$2:C$746,A73,'Base bordo'!B$2:B$746,B73,'Base bordo'!F$2:F$746,"DESLOCAMENTO CARREGADO"),0)</f>
        <v>14101</v>
      </c>
      <c r="V73" s="30">
        <f t="shared" si="14"/>
        <v>27.008588752570738</v>
      </c>
      <c r="W73" s="9">
        <f t="shared" si="15"/>
        <v>9.8970595817078816E-2</v>
      </c>
      <c r="X73" s="9">
        <f t="shared" si="16"/>
        <v>0.24233102476413065</v>
      </c>
      <c r="Y73" s="9">
        <f t="shared" si="17"/>
        <v>0.6586983794187905</v>
      </c>
    </row>
    <row r="74" spans="1:25" ht="15" customHeight="1" x14ac:dyDescent="0.35">
      <c r="A74" s="52">
        <v>8013461</v>
      </c>
      <c r="B74" s="51">
        <v>46118</v>
      </c>
      <c r="C74" s="7" t="s">
        <v>124</v>
      </c>
      <c r="D74" s="10">
        <f>IFERROR(SUMIFS('Base bordo'!G$2:G$746,'Base bordo'!C$2:C$746,A74,'Base bordo'!B$2:B$746,B74,'Base bordo'!F$2:F$746,"DESLOCAMENTO VAZIO"),0)</f>
        <v>1.6119444444444444</v>
      </c>
      <c r="E74" s="10">
        <f>IFERROR(SUMIFS('Base bordo'!G$2:G$746,'Base bordo'!C$2:C$746,A74,'Base bordo'!B$2:B$746,B74,'Base bordo'!F$2:F$746,"DESLOCAMENTO CARREGADO"),0)</f>
        <v>3.9649999999999999</v>
      </c>
      <c r="F74" s="10">
        <f>IFERROR(SUMIFS('Base bordo'!G$2:G$746,'Base bordo'!C$2:C$746,A74,'Base bordo'!B$2:B$746,B74,'Base bordo'!F$2:F$746,"DESLOCAMENTO"),0)</f>
        <v>0.61416666666666664</v>
      </c>
      <c r="G74" s="10">
        <f>IFERROR(SUMIFS('Base bordo'!G$2:G$746,'Base bordo'!C$2:C$746,A74,'Base bordo'!B$2:B$746,B74,'Base bordo'!F$2:F$746,"CARREGAMENTO"),0)</f>
        <v>0.68666666666666665</v>
      </c>
      <c r="H74" s="10">
        <f>IFERROR(SUMIFS('Base bordo'!G$2:G$746,'Base bordo'!C$2:C$746,A74,'Base bordo'!B$2:B$746,B74,'Base bordo'!F$2:F$746,"AGUARDANDO TRANSBORDO"),0)</f>
        <v>0.5033333333333333</v>
      </c>
      <c r="I74" s="10">
        <f>IFERROR(SUMIFS('Base bordo'!G$2:G$746,'Base bordo'!C$2:C$746,A74,'Base bordo'!B$2:B$746,B74,'Base bordo'!F$2:F$746,"PÁTIO INTERNO"),0)+IFERROR(SUMIFS('Base bordo'!G$2:G$746,'Base bordo'!C$2:C$746,A74,'Base bordo'!B$2:B$746,B74,'Base bordo'!F$2:F$746,"PÁTIO EXTERNO"),0)+IFERROR(SUMIFS('Base bordo'!G$2:G$746,'Base bordo'!C$2:C$746,A74,'Base bordo'!B$2:B$746,B74,'Base bordo'!F$2:F$746,"PATIO - RESERVA"),0)+IFERROR(SUMIFS('Base bordo'!G$2:G$746,'Base bordo'!C$2:C$746,A74,'Base bordo'!B$2:B$746,B74,'Base bordo'!F$2:F$746,"MANOBRA CARRETAS-PATIO"),0)</f>
        <v>13.577499999999999</v>
      </c>
      <c r="J74" s="10">
        <f>IFERROR(SUMIFS('Base bordo'!G$2:G$746,'Base bordo'!C$2:C$746,A74,'Base bordo'!B$2:B$746,B74,'Base bordo'!F$2:F$746,"BALANÇA - ENTRADA"),0)+IFERROR(SUMIFS('Base bordo'!G$2:G$746,'Base bordo'!C$2:C$746,A74,'Base bordo'!B$2:B$746,B74,'Base bordo'!F$2:F$746,"BALANÇA - SAÍDA"),0)</f>
        <v>0.18777777777777779</v>
      </c>
      <c r="K74" s="10">
        <f>IFERROR(SUMIFS('Base bordo'!G$2:G$746,'Base bordo'!C$2:C$746,A74,'Base bordo'!B$2:B$746,B74,'Base bordo'!F$2:F$746,"MAN PREVENTIVA - MECANICA"),0)+IFERROR(SUMIFS('Base bordo'!G$2:G$746,'Base bordo'!C$2:C$746,A74,'Base bordo'!B$2:B$746,B74,'Base bordo'!F$2:F$746,"MAN CORRETIVA - MECANICA"),0)</f>
        <v>0</v>
      </c>
      <c r="L74" s="10">
        <f>IFERROR(SUMIFS('Base bordo'!G$2:G$746,'Base bordo'!C$2:C$746,A74,'Base bordo'!B$2:B$746,B74,'Base bordo'!F$2:F$746,"MANUTENCAO - T O"),0)+IFERROR(SUMIFS('Base bordo'!G$2:G$746,'Base bordo'!C$2:C$746,A74,'Base bordo'!B$2:B$746,B74,'Base bordo'!F$2:F$746,"MANUTENCAO BORRACHARIA"),0)+IFERROR(SUMIFS('Base bordo'!G$2:G$746,'Base bordo'!C$2:C$746,A74,'Base bordo'!B$2:B$746,B74,'Base bordo'!F$2:F$746,"MANUTENCAO EXTERNA  CONCESSIONARIA"),0)+IFERROR(SUMIFS('Base bordo'!G$2:G$746,'Base bordo'!C$2:C$746,A74,'Base bordo'!B$2:B$746,B74,'Base bordo'!F$2:F$746,"MANUTENCAO TELEMETRIA"),0)</f>
        <v>0</v>
      </c>
      <c r="M74" s="10">
        <f>IFERROR(SUMIFS('Base bordo'!G$2:G$746,'Base bordo'!C$2:C$746,A74,'Base bordo'!B$2:B$746,B74,'Base bordo'!F$2:F$746,"AGUARDANDO MANUTENCAO"),0)</f>
        <v>0</v>
      </c>
      <c r="N74" s="10">
        <f>IFERROR(SUMIFS('Base bordo'!G$2:G$746,'Base bordo'!C$2:C$746,A74,'Base bordo'!B$2:B$746,B74,'Base bordo'!F$2:F$746,"SEM APONTAMENTO"),0)</f>
        <v>0.28888888888888886</v>
      </c>
      <c r="O74" s="10">
        <f t="shared" si="12"/>
        <v>2.5647222222222226</v>
      </c>
      <c r="P74" s="10">
        <f>IFERROR(SUMIFS('Base bordo'!G$2:G$746,'Base bordo'!C$2:C$746,A74,'Base bordo'!B$2:B$746,B74),0)</f>
        <v>24</v>
      </c>
      <c r="Q74" s="10">
        <f>IFERROR(SUMIFS('Base bordo'!H$2:H$746,'Base bordo'!C$2:C$746,A74,'Base bordo'!B$2:B$746,B74,'Base bordo'!F$2:F$746,"DESLOCAMENTO VAZIO"),0)</f>
        <v>187022.74</v>
      </c>
      <c r="R74" s="10">
        <f>IFERROR(SUMIFS('Base bordo'!I$2:I$746,'Base bordo'!C$2:C$746,A74,'Base bordo'!B$2:B$746,B74,'Base bordo'!F$2:F$746,"DESLOCAMENTO VAZIO"),0)</f>
        <v>5803</v>
      </c>
      <c r="S74" s="30">
        <f t="shared" si="13"/>
        <v>32.228630018955712</v>
      </c>
      <c r="T74" s="10">
        <f>IFERROR(SUMIFS('Base bordo'!H$2:H$746,'Base bordo'!C$2:C$746,A74,'Base bordo'!B$2:B$746,B74,'Base bordo'!F$2:F$746,"DESLOCAMENTO CARREGADO"),0)</f>
        <v>411676.06999999995</v>
      </c>
      <c r="U74" s="10">
        <f>IFERROR(SUMIFS('Base bordo'!I$2:I$746,'Base bordo'!C$2:C$746,A74,'Base bordo'!B$2:B$746,B74,'Base bordo'!F$2:F$746,"DESLOCAMENTO CARREGADO"),0)</f>
        <v>14242</v>
      </c>
      <c r="V74" s="30">
        <f t="shared" si="14"/>
        <v>28.905776576323547</v>
      </c>
      <c r="W74" s="9">
        <f t="shared" si="15"/>
        <v>6.716435185185185E-2</v>
      </c>
      <c r="X74" s="9">
        <f t="shared" si="16"/>
        <v>0.16520833333333332</v>
      </c>
      <c r="Y74" s="9">
        <f t="shared" si="17"/>
        <v>0.76762731481481483</v>
      </c>
    </row>
    <row r="75" spans="1:25" ht="15" customHeight="1" x14ac:dyDescent="0.35">
      <c r="A75" s="52">
        <v>8013484</v>
      </c>
      <c r="B75" s="51">
        <v>46123</v>
      </c>
      <c r="C75" s="7" t="s">
        <v>124</v>
      </c>
      <c r="D75" s="10">
        <f>IFERROR(SUMIFS('Base bordo'!G$2:G$746,'Base bordo'!C$2:C$746,A75,'Base bordo'!B$2:B$746,B75,'Base bordo'!F$2:F$746,"DESLOCAMENTO VAZIO"),0)</f>
        <v>1.3186111111111112</v>
      </c>
      <c r="E75" s="10">
        <f>IFERROR(SUMIFS('Base bordo'!G$2:G$746,'Base bordo'!C$2:C$746,A75,'Base bordo'!B$2:B$746,B75,'Base bordo'!F$2:F$746,"DESLOCAMENTO CARREGADO"),0)</f>
        <v>2.0469444444444442</v>
      </c>
      <c r="F75" s="10">
        <f>IFERROR(SUMIFS('Base bordo'!G$2:G$746,'Base bordo'!C$2:C$746,A75,'Base bordo'!B$2:B$746,B75,'Base bordo'!F$2:F$746,"DESLOCAMENTO"),0)</f>
        <v>0</v>
      </c>
      <c r="G75" s="10">
        <f>IFERROR(SUMIFS('Base bordo'!G$2:G$746,'Base bordo'!C$2:C$746,A75,'Base bordo'!B$2:B$746,B75,'Base bordo'!F$2:F$746,"CARREGAMENTO"),0)</f>
        <v>0</v>
      </c>
      <c r="H75" s="10">
        <f>IFERROR(SUMIFS('Base bordo'!G$2:G$746,'Base bordo'!C$2:C$746,A75,'Base bordo'!B$2:B$746,B75,'Base bordo'!F$2:F$746,"AGUARDANDO TRANSBORDO"),0)</f>
        <v>0.2688888888888889</v>
      </c>
      <c r="I75" s="10">
        <f>IFERROR(SUMIFS('Base bordo'!G$2:G$746,'Base bordo'!C$2:C$746,A75,'Base bordo'!B$2:B$746,B75,'Base bordo'!F$2:F$746,"PÁTIO INTERNO"),0)+IFERROR(SUMIFS('Base bordo'!G$2:G$746,'Base bordo'!C$2:C$746,A75,'Base bordo'!B$2:B$746,B75,'Base bordo'!F$2:F$746,"PÁTIO EXTERNO"),0)+IFERROR(SUMIFS('Base bordo'!G$2:G$746,'Base bordo'!C$2:C$746,A75,'Base bordo'!B$2:B$746,B75,'Base bordo'!F$2:F$746,"PATIO - RESERVA"),0)+IFERROR(SUMIFS('Base bordo'!G$2:G$746,'Base bordo'!C$2:C$746,A75,'Base bordo'!B$2:B$746,B75,'Base bordo'!F$2:F$746,"MANOBRA CARRETAS-PATIO"),0)</f>
        <v>2.7616666666666667</v>
      </c>
      <c r="J75" s="10">
        <f>IFERROR(SUMIFS('Base bordo'!G$2:G$746,'Base bordo'!C$2:C$746,A75,'Base bordo'!B$2:B$746,B75,'Base bordo'!F$2:F$746,"BALANÇA - ENTRADA"),0)+IFERROR(SUMIFS('Base bordo'!G$2:G$746,'Base bordo'!C$2:C$746,A75,'Base bordo'!B$2:B$746,B75,'Base bordo'!F$2:F$746,"BALANÇA - SAÍDA"),0)</f>
        <v>2.4722222222222222E-2</v>
      </c>
      <c r="K75" s="10">
        <f>IFERROR(SUMIFS('Base bordo'!G$2:G$746,'Base bordo'!C$2:C$746,A75,'Base bordo'!B$2:B$746,B75,'Base bordo'!F$2:F$746,"MAN PREVENTIVA - MECANICA"),0)+IFERROR(SUMIFS('Base bordo'!G$2:G$746,'Base bordo'!C$2:C$746,A75,'Base bordo'!B$2:B$746,B75,'Base bordo'!F$2:F$746,"MAN CORRETIVA - MECANICA"),0)</f>
        <v>0</v>
      </c>
      <c r="L75" s="10">
        <f>IFERROR(SUMIFS('Base bordo'!G$2:G$746,'Base bordo'!C$2:C$746,A75,'Base bordo'!B$2:B$746,B75,'Base bordo'!F$2:F$746,"MANUTENCAO - T O"),0)+IFERROR(SUMIFS('Base bordo'!G$2:G$746,'Base bordo'!C$2:C$746,A75,'Base bordo'!B$2:B$746,B75,'Base bordo'!F$2:F$746,"MANUTENCAO BORRACHARIA"),0)+IFERROR(SUMIFS('Base bordo'!G$2:G$746,'Base bordo'!C$2:C$746,A75,'Base bordo'!B$2:B$746,B75,'Base bordo'!F$2:F$746,"MANUTENCAO EXTERNA  CONCESSIONARIA"),0)+IFERROR(SUMIFS('Base bordo'!G$2:G$746,'Base bordo'!C$2:C$746,A75,'Base bordo'!B$2:B$746,B75,'Base bordo'!F$2:F$746,"MANUTENCAO TELEMETRIA"),0)</f>
        <v>0</v>
      </c>
      <c r="M75" s="10">
        <f>IFERROR(SUMIFS('Base bordo'!G$2:G$746,'Base bordo'!C$2:C$746,A75,'Base bordo'!B$2:B$746,B75,'Base bordo'!F$2:F$746,"AGUARDANDO MANUTENCAO"),0)</f>
        <v>0</v>
      </c>
      <c r="N75" s="10">
        <f>IFERROR(SUMIFS('Base bordo'!G$2:G$746,'Base bordo'!C$2:C$746,A75,'Base bordo'!B$2:B$746,B75,'Base bordo'!F$2:F$746,"SEM APONTAMENTO"),0)</f>
        <v>0</v>
      </c>
      <c r="O75" s="10">
        <f t="shared" si="12"/>
        <v>0.68777777777777871</v>
      </c>
      <c r="P75" s="10">
        <f>IFERROR(SUMIFS('Base bordo'!G$2:G$746,'Base bordo'!C$2:C$746,A75,'Base bordo'!B$2:B$746,B75),0)</f>
        <v>7.1086111111111121</v>
      </c>
      <c r="Q75" s="10">
        <f>IFERROR(SUMIFS('Base bordo'!H$2:H$746,'Base bordo'!C$2:C$746,A75,'Base bordo'!B$2:B$746,B75,'Base bordo'!F$2:F$746,"DESLOCAMENTO VAZIO"),0)</f>
        <v>173939.91999999998</v>
      </c>
      <c r="R75" s="10">
        <f>IFERROR(SUMIFS('Base bordo'!I$2:I$746,'Base bordo'!C$2:C$746,A75,'Base bordo'!B$2:B$746,B75,'Base bordo'!F$2:F$746,"DESLOCAMENTO VAZIO"),0)</f>
        <v>4747</v>
      </c>
      <c r="S75" s="30">
        <f t="shared" si="13"/>
        <v>36.642072888139872</v>
      </c>
      <c r="T75" s="10">
        <f>IFERROR(SUMIFS('Base bordo'!H$2:H$746,'Base bordo'!C$2:C$746,A75,'Base bordo'!B$2:B$746,B75,'Base bordo'!F$2:F$746,"DESLOCAMENTO CARREGADO"),0)</f>
        <v>184357.02</v>
      </c>
      <c r="U75" s="10">
        <f>IFERROR(SUMIFS('Base bordo'!I$2:I$746,'Base bordo'!C$2:C$746,A75,'Base bordo'!B$2:B$746,B75,'Base bordo'!F$2:F$746,"DESLOCAMENTO CARREGADO"),0)</f>
        <v>7369</v>
      </c>
      <c r="V75" s="30">
        <f t="shared" si="14"/>
        <v>25.017915592346313</v>
      </c>
      <c r="W75" s="9">
        <f t="shared" si="15"/>
        <v>0.18549490055097492</v>
      </c>
      <c r="X75" s="9">
        <f t="shared" si="16"/>
        <v>0.28795279590481021</v>
      </c>
      <c r="Y75" s="9">
        <f t="shared" si="17"/>
        <v>0.52655230354421478</v>
      </c>
    </row>
    <row r="76" spans="1:25" ht="15" customHeight="1" x14ac:dyDescent="0.35">
      <c r="A76" s="52">
        <v>8013468</v>
      </c>
      <c r="B76" s="51">
        <v>46117</v>
      </c>
      <c r="C76" s="7" t="s">
        <v>124</v>
      </c>
      <c r="D76" s="10">
        <f>IFERROR(SUMIFS('Base bordo'!G$2:G$746,'Base bordo'!C$2:C$746,A76,'Base bordo'!B$2:B$746,B76,'Base bordo'!F$2:F$746,"DESLOCAMENTO VAZIO"),0)</f>
        <v>1.7458333333333333</v>
      </c>
      <c r="E76" s="10">
        <f>IFERROR(SUMIFS('Base bordo'!G$2:G$746,'Base bordo'!C$2:C$746,A76,'Base bordo'!B$2:B$746,B76,'Base bordo'!F$2:F$746,"DESLOCAMENTO CARREGADO"),0)</f>
        <v>1.6383333333333334</v>
      </c>
      <c r="F76" s="10">
        <f>IFERROR(SUMIFS('Base bordo'!G$2:G$746,'Base bordo'!C$2:C$746,A76,'Base bordo'!B$2:B$746,B76,'Base bordo'!F$2:F$746,"DESLOCAMENTO"),0)</f>
        <v>5.6772222222222224</v>
      </c>
      <c r="G76" s="10">
        <f>IFERROR(SUMIFS('Base bordo'!G$2:G$746,'Base bordo'!C$2:C$746,A76,'Base bordo'!B$2:B$746,B76,'Base bordo'!F$2:F$746,"CARREGAMENTO"),0)</f>
        <v>1.2477777777777779</v>
      </c>
      <c r="H76" s="10">
        <f>IFERROR(SUMIFS('Base bordo'!G$2:G$746,'Base bordo'!C$2:C$746,A76,'Base bordo'!B$2:B$746,B76,'Base bordo'!F$2:F$746,"AGUARDANDO TRANSBORDO"),0)</f>
        <v>0.42</v>
      </c>
      <c r="I76" s="10">
        <f>IFERROR(SUMIFS('Base bordo'!G$2:G$746,'Base bordo'!C$2:C$746,A76,'Base bordo'!B$2:B$746,B76,'Base bordo'!F$2:F$746,"PÁTIO INTERNO"),0)+IFERROR(SUMIFS('Base bordo'!G$2:G$746,'Base bordo'!C$2:C$746,A76,'Base bordo'!B$2:B$746,B76,'Base bordo'!F$2:F$746,"PÁTIO EXTERNO"),0)+IFERROR(SUMIFS('Base bordo'!G$2:G$746,'Base bordo'!C$2:C$746,A76,'Base bordo'!B$2:B$746,B76,'Base bordo'!F$2:F$746,"PATIO - RESERVA"),0)+IFERROR(SUMIFS('Base bordo'!G$2:G$746,'Base bordo'!C$2:C$746,A76,'Base bordo'!B$2:B$746,B76,'Base bordo'!F$2:F$746,"MANOBRA CARRETAS-PATIO"),0)</f>
        <v>1.9175</v>
      </c>
      <c r="J76" s="10">
        <f>IFERROR(SUMIFS('Base bordo'!G$2:G$746,'Base bordo'!C$2:C$746,A76,'Base bordo'!B$2:B$746,B76,'Base bordo'!F$2:F$746,"BALANÇA - ENTRADA"),0)+IFERROR(SUMIFS('Base bordo'!G$2:G$746,'Base bordo'!C$2:C$746,A76,'Base bordo'!B$2:B$746,B76,'Base bordo'!F$2:F$746,"BALANÇA - SAÍDA"),0)</f>
        <v>0</v>
      </c>
      <c r="K76" s="10">
        <f>IFERROR(SUMIFS('Base bordo'!G$2:G$746,'Base bordo'!C$2:C$746,A76,'Base bordo'!B$2:B$746,B76,'Base bordo'!F$2:F$746,"MAN PREVENTIVA - MECANICA"),0)+IFERROR(SUMIFS('Base bordo'!G$2:G$746,'Base bordo'!C$2:C$746,A76,'Base bordo'!B$2:B$746,B76,'Base bordo'!F$2:F$746,"MAN CORRETIVA - MECANICA"),0)</f>
        <v>0</v>
      </c>
      <c r="L76" s="10">
        <f>IFERROR(SUMIFS('Base bordo'!G$2:G$746,'Base bordo'!C$2:C$746,A76,'Base bordo'!B$2:B$746,B76,'Base bordo'!F$2:F$746,"MANUTENCAO - T O"),0)+IFERROR(SUMIFS('Base bordo'!G$2:G$746,'Base bordo'!C$2:C$746,A76,'Base bordo'!B$2:B$746,B76,'Base bordo'!F$2:F$746,"MANUTENCAO BORRACHARIA"),0)+IFERROR(SUMIFS('Base bordo'!G$2:G$746,'Base bordo'!C$2:C$746,A76,'Base bordo'!B$2:B$746,B76,'Base bordo'!F$2:F$746,"MANUTENCAO EXTERNA  CONCESSIONARIA"),0)+IFERROR(SUMIFS('Base bordo'!G$2:G$746,'Base bordo'!C$2:C$746,A76,'Base bordo'!B$2:B$746,B76,'Base bordo'!F$2:F$746,"MANUTENCAO TELEMETRIA"),0)</f>
        <v>8.4913888888888884</v>
      </c>
      <c r="M76" s="10">
        <f>IFERROR(SUMIFS('Base bordo'!G$2:G$746,'Base bordo'!C$2:C$746,A76,'Base bordo'!B$2:B$746,B76,'Base bordo'!F$2:F$746,"AGUARDANDO MANUTENCAO"),0)</f>
        <v>0</v>
      </c>
      <c r="N76" s="10">
        <f>IFERROR(SUMIFS('Base bordo'!G$2:G$746,'Base bordo'!C$2:C$746,A76,'Base bordo'!B$2:B$746,B76,'Base bordo'!F$2:F$746,"SEM APONTAMENTO"),0)</f>
        <v>0.34805555555555556</v>
      </c>
      <c r="O76" s="10">
        <f t="shared" si="12"/>
        <v>2.5138888888888928</v>
      </c>
      <c r="P76" s="10">
        <f>IFERROR(SUMIFS('Base bordo'!G$2:G$746,'Base bordo'!C$2:C$746,A76,'Base bordo'!B$2:B$746,B76),0)</f>
        <v>24</v>
      </c>
      <c r="Q76" s="10">
        <f>IFERROR(SUMIFS('Base bordo'!H$2:H$746,'Base bordo'!C$2:C$746,A76,'Base bordo'!B$2:B$746,B76,'Base bordo'!F$2:F$746,"DESLOCAMENTO VAZIO"),0)</f>
        <v>150540.29999999999</v>
      </c>
      <c r="R76" s="10">
        <f>IFERROR(SUMIFS('Base bordo'!I$2:I$746,'Base bordo'!C$2:C$746,A76,'Base bordo'!B$2:B$746,B76,'Base bordo'!F$2:F$746,"DESLOCAMENTO VAZIO"),0)</f>
        <v>6285</v>
      </c>
      <c r="S76" s="30">
        <f t="shared" si="13"/>
        <v>23.952315035799522</v>
      </c>
      <c r="T76" s="10">
        <f>IFERROR(SUMIFS('Base bordo'!H$2:H$746,'Base bordo'!C$2:C$746,A76,'Base bordo'!B$2:B$746,B76,'Base bordo'!F$2:F$746,"DESLOCAMENTO CARREGADO"),0)</f>
        <v>183503.40999999997</v>
      </c>
      <c r="U76" s="10">
        <f>IFERROR(SUMIFS('Base bordo'!I$2:I$746,'Base bordo'!C$2:C$746,A76,'Base bordo'!B$2:B$746,B76,'Base bordo'!F$2:F$746,"DESLOCAMENTO CARREGADO"),0)</f>
        <v>5898</v>
      </c>
      <c r="V76" s="30">
        <f t="shared" si="14"/>
        <v>31.112819599864356</v>
      </c>
      <c r="W76" s="9">
        <f t="shared" si="15"/>
        <v>7.2743055555555561E-2</v>
      </c>
      <c r="X76" s="9">
        <f t="shared" si="16"/>
        <v>6.8263888888888888E-2</v>
      </c>
      <c r="Y76" s="9">
        <f t="shared" si="17"/>
        <v>0.85899305555555561</v>
      </c>
    </row>
    <row r="77" spans="1:25" ht="15" customHeight="1" x14ac:dyDescent="0.35">
      <c r="A77" s="52">
        <v>8013469</v>
      </c>
      <c r="B77" s="51">
        <v>46118</v>
      </c>
      <c r="C77" s="7" t="s">
        <v>124</v>
      </c>
      <c r="D77" s="10">
        <f>IFERROR(SUMIFS('Base bordo'!G$2:G$746,'Base bordo'!C$2:C$746,A77,'Base bordo'!B$2:B$746,B77,'Base bordo'!F$2:F$746,"DESLOCAMENTO VAZIO"),0)</f>
        <v>2.1594444444444445</v>
      </c>
      <c r="E77" s="10">
        <f>IFERROR(SUMIFS('Base bordo'!G$2:G$746,'Base bordo'!C$2:C$746,A77,'Base bordo'!B$2:B$746,B77,'Base bordo'!F$2:F$746,"DESLOCAMENTO CARREGADO"),0)</f>
        <v>2.4455555555555555</v>
      </c>
      <c r="F77" s="10">
        <f>IFERROR(SUMIFS('Base bordo'!G$2:G$746,'Base bordo'!C$2:C$746,A77,'Base bordo'!B$2:B$746,B77,'Base bordo'!F$2:F$746,"DESLOCAMENTO"),0)</f>
        <v>0.63083333333333336</v>
      </c>
      <c r="G77" s="10">
        <f>IFERROR(SUMIFS('Base bordo'!G$2:G$746,'Base bordo'!C$2:C$746,A77,'Base bordo'!B$2:B$746,B77,'Base bordo'!F$2:F$746,"CARREGAMENTO"),0)</f>
        <v>0.96722222222222221</v>
      </c>
      <c r="H77" s="10">
        <f>IFERROR(SUMIFS('Base bordo'!G$2:G$746,'Base bordo'!C$2:C$746,A77,'Base bordo'!B$2:B$746,B77,'Base bordo'!F$2:F$746,"AGUARDANDO TRANSBORDO"),0)</f>
        <v>0.91111111111111109</v>
      </c>
      <c r="I77" s="10">
        <f>IFERROR(SUMIFS('Base bordo'!G$2:G$746,'Base bordo'!C$2:C$746,A77,'Base bordo'!B$2:B$746,B77,'Base bordo'!F$2:F$746,"PÁTIO INTERNO"),0)+IFERROR(SUMIFS('Base bordo'!G$2:G$746,'Base bordo'!C$2:C$746,A77,'Base bordo'!B$2:B$746,B77,'Base bordo'!F$2:F$746,"PÁTIO EXTERNO"),0)+IFERROR(SUMIFS('Base bordo'!G$2:G$746,'Base bordo'!C$2:C$746,A77,'Base bordo'!B$2:B$746,B77,'Base bordo'!F$2:F$746,"PATIO - RESERVA"),0)+IFERROR(SUMIFS('Base bordo'!G$2:G$746,'Base bordo'!C$2:C$746,A77,'Base bordo'!B$2:B$746,B77,'Base bordo'!F$2:F$746,"MANOBRA CARRETAS-PATIO"),0)</f>
        <v>6.1047222222222217</v>
      </c>
      <c r="J77" s="10">
        <f>IFERROR(SUMIFS('Base bordo'!G$2:G$746,'Base bordo'!C$2:C$746,A77,'Base bordo'!B$2:B$746,B77,'Base bordo'!F$2:F$746,"BALANÇA - ENTRADA"),0)+IFERROR(SUMIFS('Base bordo'!G$2:G$746,'Base bordo'!C$2:C$746,A77,'Base bordo'!B$2:B$746,B77,'Base bordo'!F$2:F$746,"BALANÇA - SAÍDA"),0)</f>
        <v>6.8055555555555564E-2</v>
      </c>
      <c r="K77" s="10">
        <f>IFERROR(SUMIFS('Base bordo'!G$2:G$746,'Base bordo'!C$2:C$746,A77,'Base bordo'!B$2:B$746,B77,'Base bordo'!F$2:F$746,"MAN PREVENTIVA - MECANICA"),0)+IFERROR(SUMIFS('Base bordo'!G$2:G$746,'Base bordo'!C$2:C$746,A77,'Base bordo'!B$2:B$746,B77,'Base bordo'!F$2:F$746,"MAN CORRETIVA - MECANICA"),0)</f>
        <v>0.40166666666666667</v>
      </c>
      <c r="L77" s="10">
        <f>IFERROR(SUMIFS('Base bordo'!G$2:G$746,'Base bordo'!C$2:C$746,A77,'Base bordo'!B$2:B$746,B77,'Base bordo'!F$2:F$746,"MANUTENCAO - T O"),0)+IFERROR(SUMIFS('Base bordo'!G$2:G$746,'Base bordo'!C$2:C$746,A77,'Base bordo'!B$2:B$746,B77,'Base bordo'!F$2:F$746,"MANUTENCAO BORRACHARIA"),0)+IFERROR(SUMIFS('Base bordo'!G$2:G$746,'Base bordo'!C$2:C$746,A77,'Base bordo'!B$2:B$746,B77,'Base bordo'!F$2:F$746,"MANUTENCAO EXTERNA  CONCESSIONARIA"),0)+IFERROR(SUMIFS('Base bordo'!G$2:G$746,'Base bordo'!C$2:C$746,A77,'Base bordo'!B$2:B$746,B77,'Base bordo'!F$2:F$746,"MANUTENCAO TELEMETRIA"),0)</f>
        <v>1.5977777777777777</v>
      </c>
      <c r="M77" s="10">
        <f>IFERROR(SUMIFS('Base bordo'!G$2:G$746,'Base bordo'!C$2:C$746,A77,'Base bordo'!B$2:B$746,B77,'Base bordo'!F$2:F$746,"AGUARDANDO MANUTENCAO"),0)</f>
        <v>2.0836111111111113</v>
      </c>
      <c r="N77" s="10">
        <f>IFERROR(SUMIFS('Base bordo'!G$2:G$746,'Base bordo'!C$2:C$746,A77,'Base bordo'!B$2:B$746,B77,'Base bordo'!F$2:F$746,"SEM APONTAMENTO"),0)</f>
        <v>5.4166666666666669E-2</v>
      </c>
      <c r="O77" s="10">
        <f t="shared" si="12"/>
        <v>6.5758333333333354</v>
      </c>
      <c r="P77" s="10">
        <f>IFERROR(SUMIFS('Base bordo'!G$2:G$746,'Base bordo'!C$2:C$746,A77,'Base bordo'!B$2:B$746,B77),0)</f>
        <v>24.000000000000004</v>
      </c>
      <c r="Q77" s="10">
        <f>IFERROR(SUMIFS('Base bordo'!H$2:H$746,'Base bordo'!C$2:C$746,A77,'Base bordo'!B$2:B$746,B77,'Base bordo'!F$2:F$746,"DESLOCAMENTO VAZIO"),0)</f>
        <v>182003.76000000004</v>
      </c>
      <c r="R77" s="10">
        <f>IFERROR(SUMIFS('Base bordo'!I$2:I$746,'Base bordo'!C$2:C$746,A77,'Base bordo'!B$2:B$746,B77,'Base bordo'!F$2:F$746,"DESLOCAMENTO VAZIO"),0)</f>
        <v>7774</v>
      </c>
      <c r="S77" s="30">
        <f t="shared" si="13"/>
        <v>23.411854900951894</v>
      </c>
      <c r="T77" s="10">
        <f>IFERROR(SUMIFS('Base bordo'!H$2:H$746,'Base bordo'!C$2:C$746,A77,'Base bordo'!B$2:B$746,B77,'Base bordo'!F$2:F$746,"DESLOCAMENTO CARREGADO"),0)</f>
        <v>235509.89</v>
      </c>
      <c r="U77" s="10">
        <f>IFERROR(SUMIFS('Base bordo'!I$2:I$746,'Base bordo'!C$2:C$746,A77,'Base bordo'!B$2:B$746,B77,'Base bordo'!F$2:F$746,"DESLOCAMENTO CARREGADO"),0)</f>
        <v>8804</v>
      </c>
      <c r="V77" s="30">
        <f t="shared" si="14"/>
        <v>26.750328259881872</v>
      </c>
      <c r="W77" s="9">
        <f t="shared" si="15"/>
        <v>8.9976851851851836E-2</v>
      </c>
      <c r="X77" s="9">
        <f t="shared" si="16"/>
        <v>0.10189814814814813</v>
      </c>
      <c r="Y77" s="9">
        <f t="shared" si="17"/>
        <v>0.80812499999999998</v>
      </c>
    </row>
    <row r="78" spans="1:25" ht="15" customHeight="1" x14ac:dyDescent="0.35">
      <c r="A78" s="52">
        <v>8013486</v>
      </c>
      <c r="B78" s="51">
        <v>46124</v>
      </c>
      <c r="C78" s="7" t="s">
        <v>124</v>
      </c>
      <c r="D78" s="10">
        <f>IFERROR(SUMIFS('Base bordo'!G$2:G$746,'Base bordo'!C$2:C$746,A78,'Base bordo'!B$2:B$746,B78,'Base bordo'!F$2:F$746,"DESLOCAMENTO VAZIO"),0)</f>
        <v>1.6141666666666667</v>
      </c>
      <c r="E78" s="10">
        <f>IFERROR(SUMIFS('Base bordo'!G$2:G$746,'Base bordo'!C$2:C$746,A78,'Base bordo'!B$2:B$746,B78,'Base bordo'!F$2:F$746,"DESLOCAMENTO CARREGADO"),0)</f>
        <v>9.7500000000000003E-2</v>
      </c>
      <c r="F78" s="10">
        <f>IFERROR(SUMIFS('Base bordo'!G$2:G$746,'Base bordo'!C$2:C$746,A78,'Base bordo'!B$2:B$746,B78,'Base bordo'!F$2:F$746,"DESLOCAMENTO"),0)</f>
        <v>0</v>
      </c>
      <c r="G78" s="10">
        <f>IFERROR(SUMIFS('Base bordo'!G$2:G$746,'Base bordo'!C$2:C$746,A78,'Base bordo'!B$2:B$746,B78,'Base bordo'!F$2:F$746,"CARREGAMENTO"),0)</f>
        <v>0</v>
      </c>
      <c r="H78" s="10">
        <f>IFERROR(SUMIFS('Base bordo'!G$2:G$746,'Base bordo'!C$2:C$746,A78,'Base bordo'!B$2:B$746,B78,'Base bordo'!F$2:F$746,"AGUARDANDO TRANSBORDO"),0)</f>
        <v>0.10888888888888888</v>
      </c>
      <c r="I78" s="10">
        <f>IFERROR(SUMIFS('Base bordo'!G$2:G$746,'Base bordo'!C$2:C$746,A78,'Base bordo'!B$2:B$746,B78,'Base bordo'!F$2:F$746,"PÁTIO INTERNO"),0)+IFERROR(SUMIFS('Base bordo'!G$2:G$746,'Base bordo'!C$2:C$746,A78,'Base bordo'!B$2:B$746,B78,'Base bordo'!F$2:F$746,"PÁTIO EXTERNO"),0)+IFERROR(SUMIFS('Base bordo'!G$2:G$746,'Base bordo'!C$2:C$746,A78,'Base bordo'!B$2:B$746,B78,'Base bordo'!F$2:F$746,"PATIO - RESERVA"),0)+IFERROR(SUMIFS('Base bordo'!G$2:G$746,'Base bordo'!C$2:C$746,A78,'Base bordo'!B$2:B$746,B78,'Base bordo'!F$2:F$746,"MANOBRA CARRETAS-PATIO"),0)</f>
        <v>4.8677777777777784</v>
      </c>
      <c r="J78" s="10">
        <f>IFERROR(SUMIFS('Base bordo'!G$2:G$746,'Base bordo'!C$2:C$746,A78,'Base bordo'!B$2:B$746,B78,'Base bordo'!F$2:F$746,"BALANÇA - ENTRADA"),0)+IFERROR(SUMIFS('Base bordo'!G$2:G$746,'Base bordo'!C$2:C$746,A78,'Base bordo'!B$2:B$746,B78,'Base bordo'!F$2:F$746,"BALANÇA - SAÍDA"),0)</f>
        <v>0.14000000000000001</v>
      </c>
      <c r="K78" s="10">
        <f>IFERROR(SUMIFS('Base bordo'!G$2:G$746,'Base bordo'!C$2:C$746,A78,'Base bordo'!B$2:B$746,B78,'Base bordo'!F$2:F$746,"MAN PREVENTIVA - MECANICA"),0)+IFERROR(SUMIFS('Base bordo'!G$2:G$746,'Base bordo'!C$2:C$746,A78,'Base bordo'!B$2:B$746,B78,'Base bordo'!F$2:F$746,"MAN CORRETIVA - MECANICA"),0)</f>
        <v>0</v>
      </c>
      <c r="L78" s="10">
        <f>IFERROR(SUMIFS('Base bordo'!G$2:G$746,'Base bordo'!C$2:C$746,A78,'Base bordo'!B$2:B$746,B78,'Base bordo'!F$2:F$746,"MANUTENCAO - T O"),0)+IFERROR(SUMIFS('Base bordo'!G$2:G$746,'Base bordo'!C$2:C$746,A78,'Base bordo'!B$2:B$746,B78,'Base bordo'!F$2:F$746,"MANUTENCAO BORRACHARIA"),0)+IFERROR(SUMIFS('Base bordo'!G$2:G$746,'Base bordo'!C$2:C$746,A78,'Base bordo'!B$2:B$746,B78,'Base bordo'!F$2:F$746,"MANUTENCAO EXTERNA  CONCESSIONARIA"),0)+IFERROR(SUMIFS('Base bordo'!G$2:G$746,'Base bordo'!C$2:C$746,A78,'Base bordo'!B$2:B$746,B78,'Base bordo'!F$2:F$746,"MANUTENCAO TELEMETRIA"),0)</f>
        <v>0</v>
      </c>
      <c r="M78" s="10">
        <f>IFERROR(SUMIFS('Base bordo'!G$2:G$746,'Base bordo'!C$2:C$746,A78,'Base bordo'!B$2:B$746,B78,'Base bordo'!F$2:F$746,"AGUARDANDO MANUTENCAO"),0)</f>
        <v>0</v>
      </c>
      <c r="N78" s="10">
        <f>IFERROR(SUMIFS('Base bordo'!G$2:G$746,'Base bordo'!C$2:C$746,A78,'Base bordo'!B$2:B$746,B78,'Base bordo'!F$2:F$746,"SEM APONTAMENTO"),0)</f>
        <v>0</v>
      </c>
      <c r="O78" s="10">
        <f t="shared" si="12"/>
        <v>1.4722222222222747E-2</v>
      </c>
      <c r="P78" s="10">
        <f>IFERROR(SUMIFS('Base bordo'!G$2:G$746,'Base bordo'!C$2:C$746,A78,'Base bordo'!B$2:B$746,B78),0)</f>
        <v>6.8430555555555568</v>
      </c>
      <c r="Q78" s="10">
        <f>IFERROR(SUMIFS('Base bordo'!H$2:H$746,'Base bordo'!C$2:C$746,A78,'Base bordo'!B$2:B$746,B78,'Base bordo'!F$2:F$746,"DESLOCAMENTO VAZIO"),0)</f>
        <v>181720.6</v>
      </c>
      <c r="R78" s="10">
        <f>IFERROR(SUMIFS('Base bordo'!I$2:I$746,'Base bordo'!C$2:C$746,A78,'Base bordo'!B$2:B$746,B78,'Base bordo'!F$2:F$746,"DESLOCAMENTO VAZIO"),0)</f>
        <v>5811</v>
      </c>
      <c r="S78" s="30">
        <f t="shared" si="13"/>
        <v>31.271829289278955</v>
      </c>
      <c r="T78" s="10">
        <f>IFERROR(SUMIFS('Base bordo'!H$2:H$746,'Base bordo'!C$2:C$746,A78,'Base bordo'!B$2:B$746,B78,'Base bordo'!F$2:F$746,"DESLOCAMENTO CARREGADO"),0)</f>
        <v>2571.7599999999998</v>
      </c>
      <c r="U78" s="10">
        <f>IFERROR(SUMIFS('Base bordo'!I$2:I$746,'Base bordo'!C$2:C$746,A78,'Base bordo'!B$2:B$746,B78,'Base bordo'!F$2:F$746,"DESLOCAMENTO CARREGADO"),0)</f>
        <v>332</v>
      </c>
      <c r="V78" s="30">
        <f t="shared" si="14"/>
        <v>7.7462650602409635</v>
      </c>
      <c r="W78" s="9">
        <f t="shared" si="15"/>
        <v>0.23588390501319259</v>
      </c>
      <c r="X78" s="9">
        <f t="shared" si="16"/>
        <v>1.4248021108179418E-2</v>
      </c>
      <c r="Y78" s="9">
        <f t="shared" si="17"/>
        <v>0.74986807387862808</v>
      </c>
    </row>
    <row r="79" spans="1:25" ht="15" customHeight="1" x14ac:dyDescent="0.35">
      <c r="A79" s="52">
        <v>8013474</v>
      </c>
      <c r="B79" s="51">
        <v>46119</v>
      </c>
      <c r="C79" s="7" t="s">
        <v>124</v>
      </c>
      <c r="D79" s="10">
        <f>IFERROR(SUMIFS('Base bordo'!G$2:G$746,'Base bordo'!C$2:C$746,A79,'Base bordo'!B$2:B$746,B79,'Base bordo'!F$2:F$746,"DESLOCAMENTO VAZIO"),0)</f>
        <v>1.3672222222222221</v>
      </c>
      <c r="E79" s="10">
        <f>IFERROR(SUMIFS('Base bordo'!G$2:G$746,'Base bordo'!C$2:C$746,A79,'Base bordo'!B$2:B$746,B79,'Base bordo'!F$2:F$746,"DESLOCAMENTO CARREGADO"),0)</f>
        <v>2.1927777777777777</v>
      </c>
      <c r="F79" s="10">
        <f>IFERROR(SUMIFS('Base bordo'!G$2:G$746,'Base bordo'!C$2:C$746,A79,'Base bordo'!B$2:B$746,B79,'Base bordo'!F$2:F$746,"DESLOCAMENTO"),0)</f>
        <v>0</v>
      </c>
      <c r="G79" s="10">
        <f>IFERROR(SUMIFS('Base bordo'!G$2:G$746,'Base bordo'!C$2:C$746,A79,'Base bordo'!B$2:B$746,B79,'Base bordo'!F$2:F$746,"CARREGAMENTO"),0)</f>
        <v>0</v>
      </c>
      <c r="H79" s="10">
        <f>IFERROR(SUMIFS('Base bordo'!G$2:G$746,'Base bordo'!C$2:C$746,A79,'Base bordo'!B$2:B$746,B79,'Base bordo'!F$2:F$746,"AGUARDANDO TRANSBORDO"),0)</f>
        <v>0.30111111111111111</v>
      </c>
      <c r="I79" s="10">
        <f>IFERROR(SUMIFS('Base bordo'!G$2:G$746,'Base bordo'!C$2:C$746,A79,'Base bordo'!B$2:B$746,B79,'Base bordo'!F$2:F$746,"PÁTIO INTERNO"),0)+IFERROR(SUMIFS('Base bordo'!G$2:G$746,'Base bordo'!C$2:C$746,A79,'Base bordo'!B$2:B$746,B79,'Base bordo'!F$2:F$746,"PÁTIO EXTERNO"),0)+IFERROR(SUMIFS('Base bordo'!G$2:G$746,'Base bordo'!C$2:C$746,A79,'Base bordo'!B$2:B$746,B79,'Base bordo'!F$2:F$746,"PATIO - RESERVA"),0)+IFERROR(SUMIFS('Base bordo'!G$2:G$746,'Base bordo'!C$2:C$746,A79,'Base bordo'!B$2:B$746,B79,'Base bordo'!F$2:F$746,"MANOBRA CARRETAS-PATIO"),0)</f>
        <v>19.229166666666668</v>
      </c>
      <c r="J79" s="10">
        <f>IFERROR(SUMIFS('Base bordo'!G$2:G$746,'Base bordo'!C$2:C$746,A79,'Base bordo'!B$2:B$746,B79,'Base bordo'!F$2:F$746,"BALANÇA - ENTRADA"),0)+IFERROR(SUMIFS('Base bordo'!G$2:G$746,'Base bordo'!C$2:C$746,A79,'Base bordo'!B$2:B$746,B79,'Base bordo'!F$2:F$746,"BALANÇA - SAÍDA"),0)</f>
        <v>2.8611111111111108E-2</v>
      </c>
      <c r="K79" s="10">
        <f>IFERROR(SUMIFS('Base bordo'!G$2:G$746,'Base bordo'!C$2:C$746,A79,'Base bordo'!B$2:B$746,B79,'Base bordo'!F$2:F$746,"MAN PREVENTIVA - MECANICA"),0)+IFERROR(SUMIFS('Base bordo'!G$2:G$746,'Base bordo'!C$2:C$746,A79,'Base bordo'!B$2:B$746,B79,'Base bordo'!F$2:F$746,"MAN CORRETIVA - MECANICA"),0)</f>
        <v>0</v>
      </c>
      <c r="L79" s="10">
        <f>IFERROR(SUMIFS('Base bordo'!G$2:G$746,'Base bordo'!C$2:C$746,A79,'Base bordo'!B$2:B$746,B79,'Base bordo'!F$2:F$746,"MANUTENCAO - T O"),0)+IFERROR(SUMIFS('Base bordo'!G$2:G$746,'Base bordo'!C$2:C$746,A79,'Base bordo'!B$2:B$746,B79,'Base bordo'!F$2:F$746,"MANUTENCAO BORRACHARIA"),0)+IFERROR(SUMIFS('Base bordo'!G$2:G$746,'Base bordo'!C$2:C$746,A79,'Base bordo'!B$2:B$746,B79,'Base bordo'!F$2:F$746,"MANUTENCAO EXTERNA  CONCESSIONARIA"),0)+IFERROR(SUMIFS('Base bordo'!G$2:G$746,'Base bordo'!C$2:C$746,A79,'Base bordo'!B$2:B$746,B79,'Base bordo'!F$2:F$746,"MANUTENCAO TELEMETRIA"),0)</f>
        <v>0</v>
      </c>
      <c r="M79" s="10">
        <f>IFERROR(SUMIFS('Base bordo'!G$2:G$746,'Base bordo'!C$2:C$746,A79,'Base bordo'!B$2:B$746,B79,'Base bordo'!F$2:F$746,"AGUARDANDO MANUTENCAO"),0)</f>
        <v>0</v>
      </c>
      <c r="N79" s="10">
        <f>IFERROR(SUMIFS('Base bordo'!G$2:G$746,'Base bordo'!C$2:C$746,A79,'Base bordo'!B$2:B$746,B79,'Base bordo'!F$2:F$746,"SEM APONTAMENTO"),0)</f>
        <v>0</v>
      </c>
      <c r="O79" s="10">
        <f t="shared" ref="O79:O142" si="18">IFERROR(P79-SUM(D79:N79),0)</f>
        <v>0</v>
      </c>
      <c r="P79" s="10">
        <f>IFERROR(SUMIFS('Base bordo'!G$2:G$746,'Base bordo'!C$2:C$746,A79,'Base bordo'!B$2:B$746,B79),0)</f>
        <v>23.11888888888889</v>
      </c>
      <c r="Q79" s="10">
        <f>IFERROR(SUMIFS('Base bordo'!H$2:H$746,'Base bordo'!C$2:C$746,A79,'Base bordo'!B$2:B$746,B79,'Base bordo'!F$2:F$746,"DESLOCAMENTO VAZIO"),0)</f>
        <v>176172.38</v>
      </c>
      <c r="R79" s="10">
        <f>IFERROR(SUMIFS('Base bordo'!I$2:I$746,'Base bordo'!C$2:C$746,A79,'Base bordo'!B$2:B$746,B79,'Base bordo'!F$2:F$746,"DESLOCAMENTO VAZIO"),0)</f>
        <v>4922</v>
      </c>
      <c r="S79" s="30">
        <f t="shared" ref="S79:S142" si="19">IFERROR(Q79/R79,"")</f>
        <v>35.792844372206424</v>
      </c>
      <c r="T79" s="10">
        <f>IFERROR(SUMIFS('Base bordo'!H$2:H$746,'Base bordo'!C$2:C$746,A79,'Base bordo'!B$2:B$746,B79,'Base bordo'!F$2:F$746,"DESLOCAMENTO CARREGADO"),0)</f>
        <v>181456.72999999998</v>
      </c>
      <c r="U79" s="10">
        <f>IFERROR(SUMIFS('Base bordo'!I$2:I$746,'Base bordo'!C$2:C$746,A79,'Base bordo'!B$2:B$746,B79,'Base bordo'!F$2:F$746,"DESLOCAMENTO CARREGADO"),0)</f>
        <v>7894</v>
      </c>
      <c r="V79" s="30">
        <f t="shared" ref="V79:V142" si="20">IFERROR(T79/U79,"")</f>
        <v>22.986664555358498</v>
      </c>
      <c r="W79" s="9">
        <f t="shared" ref="W79:W142" si="21">IFERROR(D79/P79,0)</f>
        <v>5.913875138174652E-2</v>
      </c>
      <c r="X79" s="9">
        <f t="shared" ref="X79:X142" si="22">IFERROR(E79/P79,0)</f>
        <v>9.4847887730090827E-2</v>
      </c>
      <c r="Y79" s="9">
        <f t="shared" ref="Y79:Y142" si="23">IFERROR(1-((D79+E79)/P79),0)</f>
        <v>0.84601336088816259</v>
      </c>
    </row>
    <row r="80" spans="1:25" ht="15" customHeight="1" x14ac:dyDescent="0.35">
      <c r="A80" s="52">
        <v>8013476</v>
      </c>
      <c r="B80" s="51">
        <v>46119</v>
      </c>
      <c r="C80" s="7" t="s">
        <v>124</v>
      </c>
      <c r="D80" s="10">
        <f>IFERROR(SUMIFS('Base bordo'!G$2:G$746,'Base bordo'!C$2:C$746,A80,'Base bordo'!B$2:B$746,B80,'Base bordo'!F$2:F$746,"DESLOCAMENTO VAZIO"),0)</f>
        <v>1.5263888888888888</v>
      </c>
      <c r="E80" s="10">
        <f>IFERROR(SUMIFS('Base bordo'!G$2:G$746,'Base bordo'!C$2:C$746,A80,'Base bordo'!B$2:B$746,B80,'Base bordo'!F$2:F$746,"DESLOCAMENTO CARREGADO"),0)</f>
        <v>0.64083333333333337</v>
      </c>
      <c r="F80" s="10">
        <f>IFERROR(SUMIFS('Base bordo'!G$2:G$746,'Base bordo'!C$2:C$746,A80,'Base bordo'!B$2:B$746,B80,'Base bordo'!F$2:F$746,"DESLOCAMENTO"),0)</f>
        <v>0</v>
      </c>
      <c r="G80" s="10">
        <f>IFERROR(SUMIFS('Base bordo'!G$2:G$746,'Base bordo'!C$2:C$746,A80,'Base bordo'!B$2:B$746,B80,'Base bordo'!F$2:F$746,"CARREGAMENTO"),0)</f>
        <v>0</v>
      </c>
      <c r="H80" s="10">
        <f>IFERROR(SUMIFS('Base bordo'!G$2:G$746,'Base bordo'!C$2:C$746,A80,'Base bordo'!B$2:B$746,B80,'Base bordo'!F$2:F$746,"AGUARDANDO TRANSBORDO"),0)</f>
        <v>0.96361111111111108</v>
      </c>
      <c r="I80" s="10">
        <f>IFERROR(SUMIFS('Base bordo'!G$2:G$746,'Base bordo'!C$2:C$746,A80,'Base bordo'!B$2:B$746,B80,'Base bordo'!F$2:F$746,"PÁTIO INTERNO"),0)+IFERROR(SUMIFS('Base bordo'!G$2:G$746,'Base bordo'!C$2:C$746,A80,'Base bordo'!B$2:B$746,B80,'Base bordo'!F$2:F$746,"PÁTIO EXTERNO"),0)+IFERROR(SUMIFS('Base bordo'!G$2:G$746,'Base bordo'!C$2:C$746,A80,'Base bordo'!B$2:B$746,B80,'Base bordo'!F$2:F$746,"PATIO - RESERVA"),0)+IFERROR(SUMIFS('Base bordo'!G$2:G$746,'Base bordo'!C$2:C$746,A80,'Base bordo'!B$2:B$746,B80,'Base bordo'!F$2:F$746,"MANOBRA CARRETAS-PATIO"),0)</f>
        <v>9.7777777777777783E-2</v>
      </c>
      <c r="J80" s="10">
        <f>IFERROR(SUMIFS('Base bordo'!G$2:G$746,'Base bordo'!C$2:C$746,A80,'Base bordo'!B$2:B$746,B80,'Base bordo'!F$2:F$746,"BALANÇA - ENTRADA"),0)+IFERROR(SUMIFS('Base bordo'!G$2:G$746,'Base bordo'!C$2:C$746,A80,'Base bordo'!B$2:B$746,B80,'Base bordo'!F$2:F$746,"BALANÇA - SAÍDA"),0)</f>
        <v>7.7777777777777776E-3</v>
      </c>
      <c r="K80" s="10">
        <f>IFERROR(SUMIFS('Base bordo'!G$2:G$746,'Base bordo'!C$2:C$746,A80,'Base bordo'!B$2:B$746,B80,'Base bordo'!F$2:F$746,"MAN PREVENTIVA - MECANICA"),0)+IFERROR(SUMIFS('Base bordo'!G$2:G$746,'Base bordo'!C$2:C$746,A80,'Base bordo'!B$2:B$746,B80,'Base bordo'!F$2:F$746,"MAN CORRETIVA - MECANICA"),0)</f>
        <v>0</v>
      </c>
      <c r="L80" s="10">
        <f>IFERROR(SUMIFS('Base bordo'!G$2:G$746,'Base bordo'!C$2:C$746,A80,'Base bordo'!B$2:B$746,B80,'Base bordo'!F$2:F$746,"MANUTENCAO - T O"),0)+IFERROR(SUMIFS('Base bordo'!G$2:G$746,'Base bordo'!C$2:C$746,A80,'Base bordo'!B$2:B$746,B80,'Base bordo'!F$2:F$746,"MANUTENCAO BORRACHARIA"),0)+IFERROR(SUMIFS('Base bordo'!G$2:G$746,'Base bordo'!C$2:C$746,A80,'Base bordo'!B$2:B$746,B80,'Base bordo'!F$2:F$746,"MANUTENCAO EXTERNA  CONCESSIONARIA"),0)+IFERROR(SUMIFS('Base bordo'!G$2:G$746,'Base bordo'!C$2:C$746,A80,'Base bordo'!B$2:B$746,B80,'Base bordo'!F$2:F$746,"MANUTENCAO TELEMETRIA"),0)</f>
        <v>0</v>
      </c>
      <c r="M80" s="10">
        <f>IFERROR(SUMIFS('Base bordo'!G$2:G$746,'Base bordo'!C$2:C$746,A80,'Base bordo'!B$2:B$746,B80,'Base bordo'!F$2:F$746,"AGUARDANDO MANUTENCAO"),0)</f>
        <v>0</v>
      </c>
      <c r="N80" s="10">
        <f>IFERROR(SUMIFS('Base bordo'!G$2:G$746,'Base bordo'!C$2:C$746,A80,'Base bordo'!B$2:B$746,B80,'Base bordo'!F$2:F$746,"SEM APONTAMENTO"),0)</f>
        <v>0</v>
      </c>
      <c r="O80" s="10">
        <f t="shared" si="18"/>
        <v>0</v>
      </c>
      <c r="P80" s="10">
        <f>IFERROR(SUMIFS('Base bordo'!G$2:G$746,'Base bordo'!C$2:C$746,A80,'Base bordo'!B$2:B$746,B80),0)</f>
        <v>3.236388888888889</v>
      </c>
      <c r="Q80" s="10">
        <f>IFERROR(SUMIFS('Base bordo'!H$2:H$746,'Base bordo'!C$2:C$746,A80,'Base bordo'!B$2:B$746,B80,'Base bordo'!F$2:F$746,"DESLOCAMENTO VAZIO"),0)</f>
        <v>181446.87000000002</v>
      </c>
      <c r="R80" s="10">
        <f>IFERROR(SUMIFS('Base bordo'!I$2:I$746,'Base bordo'!C$2:C$746,A80,'Base bordo'!B$2:B$746,B80,'Base bordo'!F$2:F$746,"DESLOCAMENTO VAZIO"),0)</f>
        <v>5495</v>
      </c>
      <c r="S80" s="30">
        <f t="shared" si="19"/>
        <v>33.020358507734308</v>
      </c>
      <c r="T80" s="10">
        <f>IFERROR(SUMIFS('Base bordo'!H$2:H$746,'Base bordo'!C$2:C$746,A80,'Base bordo'!B$2:B$746,B80,'Base bordo'!F$2:F$746,"DESLOCAMENTO CARREGADO"),0)</f>
        <v>34581.93</v>
      </c>
      <c r="U80" s="10">
        <f>IFERROR(SUMIFS('Base bordo'!I$2:I$746,'Base bordo'!C$2:C$746,A80,'Base bordo'!B$2:B$746,B80,'Base bordo'!F$2:F$746,"DESLOCAMENTO CARREGADO"),0)</f>
        <v>2307</v>
      </c>
      <c r="V80" s="30">
        <f t="shared" si="20"/>
        <v>14.99</v>
      </c>
      <c r="W80" s="9">
        <f t="shared" si="21"/>
        <v>0.47163333619431802</v>
      </c>
      <c r="X80" s="9">
        <f t="shared" si="22"/>
        <v>0.19800875461333792</v>
      </c>
      <c r="Y80" s="9">
        <f t="shared" si="23"/>
        <v>0.33035790919234409</v>
      </c>
    </row>
    <row r="81" spans="1:25" ht="15" customHeight="1" x14ac:dyDescent="0.35">
      <c r="A81" s="52">
        <v>8013481</v>
      </c>
      <c r="B81" s="51">
        <v>46119</v>
      </c>
      <c r="C81" s="7" t="s">
        <v>124</v>
      </c>
      <c r="D81" s="10">
        <f>IFERROR(SUMIFS('Base bordo'!G$2:G$746,'Base bordo'!C$2:C$746,A81,'Base bordo'!B$2:B$746,B81,'Base bordo'!F$2:F$746,"DESLOCAMENTO VAZIO"),0)</f>
        <v>1.5449999999999999</v>
      </c>
      <c r="E81" s="10">
        <f>IFERROR(SUMIFS('Base bordo'!G$2:G$746,'Base bordo'!C$2:C$746,A81,'Base bordo'!B$2:B$746,B81,'Base bordo'!F$2:F$746,"DESLOCAMENTO CARREGADO"),0)</f>
        <v>0</v>
      </c>
      <c r="F81" s="10">
        <f>IFERROR(SUMIFS('Base bordo'!G$2:G$746,'Base bordo'!C$2:C$746,A81,'Base bordo'!B$2:B$746,B81,'Base bordo'!F$2:F$746,"DESLOCAMENTO"),0)</f>
        <v>0</v>
      </c>
      <c r="G81" s="10">
        <f>IFERROR(SUMIFS('Base bordo'!G$2:G$746,'Base bordo'!C$2:C$746,A81,'Base bordo'!B$2:B$746,B81,'Base bordo'!F$2:F$746,"CARREGAMENTO"),0)</f>
        <v>0</v>
      </c>
      <c r="H81" s="10">
        <f>IFERROR(SUMIFS('Base bordo'!G$2:G$746,'Base bordo'!C$2:C$746,A81,'Base bordo'!B$2:B$746,B81,'Base bordo'!F$2:F$746,"AGUARDANDO TRANSBORDO"),0)</f>
        <v>0.85944444444444446</v>
      </c>
      <c r="I81" s="10">
        <f>IFERROR(SUMIFS('Base bordo'!G$2:G$746,'Base bordo'!C$2:C$746,A81,'Base bordo'!B$2:B$746,B81,'Base bordo'!F$2:F$746,"PÁTIO INTERNO"),0)+IFERROR(SUMIFS('Base bordo'!G$2:G$746,'Base bordo'!C$2:C$746,A81,'Base bordo'!B$2:B$746,B81,'Base bordo'!F$2:F$746,"PÁTIO EXTERNO"),0)+IFERROR(SUMIFS('Base bordo'!G$2:G$746,'Base bordo'!C$2:C$746,A81,'Base bordo'!B$2:B$746,B81,'Base bordo'!F$2:F$746,"PATIO - RESERVA"),0)+IFERROR(SUMIFS('Base bordo'!G$2:G$746,'Base bordo'!C$2:C$746,A81,'Base bordo'!B$2:B$746,B81,'Base bordo'!F$2:F$746,"MANOBRA CARRETAS-PATIO"),0)</f>
        <v>19.031666666666666</v>
      </c>
      <c r="J81" s="10">
        <f>IFERROR(SUMIFS('Base bordo'!G$2:G$746,'Base bordo'!C$2:C$746,A81,'Base bordo'!B$2:B$746,B81,'Base bordo'!F$2:F$746,"BALANÇA - ENTRADA"),0)+IFERROR(SUMIFS('Base bordo'!G$2:G$746,'Base bordo'!C$2:C$746,A81,'Base bordo'!B$2:B$746,B81,'Base bordo'!F$2:F$746,"BALANÇA - SAÍDA"),0)</f>
        <v>3.4722222222222224E-2</v>
      </c>
      <c r="K81" s="10">
        <f>IFERROR(SUMIFS('Base bordo'!G$2:G$746,'Base bordo'!C$2:C$746,A81,'Base bordo'!B$2:B$746,B81,'Base bordo'!F$2:F$746,"MAN PREVENTIVA - MECANICA"),0)+IFERROR(SUMIFS('Base bordo'!G$2:G$746,'Base bordo'!C$2:C$746,A81,'Base bordo'!B$2:B$746,B81,'Base bordo'!F$2:F$746,"MAN CORRETIVA - MECANICA"),0)</f>
        <v>0</v>
      </c>
      <c r="L81" s="10">
        <f>IFERROR(SUMIFS('Base bordo'!G$2:G$746,'Base bordo'!C$2:C$746,A81,'Base bordo'!B$2:B$746,B81,'Base bordo'!F$2:F$746,"MANUTENCAO - T O"),0)+IFERROR(SUMIFS('Base bordo'!G$2:G$746,'Base bordo'!C$2:C$746,A81,'Base bordo'!B$2:B$746,B81,'Base bordo'!F$2:F$746,"MANUTENCAO BORRACHARIA"),0)+IFERROR(SUMIFS('Base bordo'!G$2:G$746,'Base bordo'!C$2:C$746,A81,'Base bordo'!B$2:B$746,B81,'Base bordo'!F$2:F$746,"MANUTENCAO EXTERNA  CONCESSIONARIA"),0)+IFERROR(SUMIFS('Base bordo'!G$2:G$746,'Base bordo'!C$2:C$746,A81,'Base bordo'!B$2:B$746,B81,'Base bordo'!F$2:F$746,"MANUTENCAO TELEMETRIA"),0)</f>
        <v>0</v>
      </c>
      <c r="M81" s="10">
        <f>IFERROR(SUMIFS('Base bordo'!G$2:G$746,'Base bordo'!C$2:C$746,A81,'Base bordo'!B$2:B$746,B81,'Base bordo'!F$2:F$746,"AGUARDANDO MANUTENCAO"),0)</f>
        <v>0</v>
      </c>
      <c r="N81" s="10">
        <f>IFERROR(SUMIFS('Base bordo'!G$2:G$746,'Base bordo'!C$2:C$746,A81,'Base bordo'!B$2:B$746,B81,'Base bordo'!F$2:F$746,"SEM APONTAMENTO"),0)</f>
        <v>0</v>
      </c>
      <c r="O81" s="10">
        <f t="shared" si="18"/>
        <v>0</v>
      </c>
      <c r="P81" s="10">
        <f>IFERROR(SUMIFS('Base bordo'!G$2:G$746,'Base bordo'!C$2:C$746,A81,'Base bordo'!B$2:B$746,B81),0)</f>
        <v>21.470833333333331</v>
      </c>
      <c r="Q81" s="10">
        <f>IFERROR(SUMIFS('Base bordo'!H$2:H$746,'Base bordo'!C$2:C$746,A81,'Base bordo'!B$2:B$746,B81,'Base bordo'!F$2:F$746,"DESLOCAMENTO VAZIO"),0)</f>
        <v>180874.72000000003</v>
      </c>
      <c r="R81" s="10">
        <f>IFERROR(SUMIFS('Base bordo'!I$2:I$746,'Base bordo'!C$2:C$746,A81,'Base bordo'!B$2:B$746,B81,'Base bordo'!F$2:F$746,"DESLOCAMENTO VAZIO"),0)</f>
        <v>5562</v>
      </c>
      <c r="S81" s="30">
        <f t="shared" si="19"/>
        <v>32.519726717008275</v>
      </c>
      <c r="T81" s="10">
        <f>IFERROR(SUMIFS('Base bordo'!H$2:H$746,'Base bordo'!C$2:C$746,A81,'Base bordo'!B$2:B$746,B81,'Base bordo'!F$2:F$746,"DESLOCAMENTO CARREGADO"),0)</f>
        <v>0</v>
      </c>
      <c r="U81" s="10">
        <f>IFERROR(SUMIFS('Base bordo'!I$2:I$746,'Base bordo'!C$2:C$746,A81,'Base bordo'!B$2:B$746,B81,'Base bordo'!F$2:F$746,"DESLOCAMENTO CARREGADO"),0)</f>
        <v>0</v>
      </c>
      <c r="V81" s="30" t="str">
        <f t="shared" si="20"/>
        <v/>
      </c>
      <c r="W81" s="9">
        <f t="shared" si="21"/>
        <v>7.195808267028915E-2</v>
      </c>
      <c r="X81" s="9">
        <f t="shared" si="22"/>
        <v>0</v>
      </c>
      <c r="Y81" s="9">
        <f t="shared" si="23"/>
        <v>0.92804191732971086</v>
      </c>
    </row>
    <row r="82" spans="1:25" ht="15" customHeight="1" x14ac:dyDescent="0.35">
      <c r="A82" s="52">
        <v>8013468</v>
      </c>
      <c r="B82" s="51">
        <v>46119</v>
      </c>
      <c r="C82" s="7" t="s">
        <v>124</v>
      </c>
      <c r="D82" s="10">
        <f>IFERROR(SUMIFS('Base bordo'!G$2:G$746,'Base bordo'!C$2:C$746,A82,'Base bordo'!B$2:B$746,B82,'Base bordo'!F$2:F$746,"DESLOCAMENTO VAZIO"),0)</f>
        <v>1.4213888888888888</v>
      </c>
      <c r="E82" s="10">
        <f>IFERROR(SUMIFS('Base bordo'!G$2:G$746,'Base bordo'!C$2:C$746,A82,'Base bordo'!B$2:B$746,B82,'Base bordo'!F$2:F$746,"DESLOCAMENTO CARREGADO"),0)</f>
        <v>1.9991666666666668</v>
      </c>
      <c r="F82" s="10">
        <f>IFERROR(SUMIFS('Base bordo'!G$2:G$746,'Base bordo'!C$2:C$746,A82,'Base bordo'!B$2:B$746,B82,'Base bordo'!F$2:F$746,"DESLOCAMENTO"),0)</f>
        <v>0</v>
      </c>
      <c r="G82" s="10">
        <f>IFERROR(SUMIFS('Base bordo'!G$2:G$746,'Base bordo'!C$2:C$746,A82,'Base bordo'!B$2:B$746,B82,'Base bordo'!F$2:F$746,"CARREGAMENTO"),0)</f>
        <v>0</v>
      </c>
      <c r="H82" s="10">
        <f>IFERROR(SUMIFS('Base bordo'!G$2:G$746,'Base bordo'!C$2:C$746,A82,'Base bordo'!B$2:B$746,B82,'Base bordo'!F$2:F$746,"AGUARDANDO TRANSBORDO"),0)</f>
        <v>0.63555555555555554</v>
      </c>
      <c r="I82" s="10">
        <f>IFERROR(SUMIFS('Base bordo'!G$2:G$746,'Base bordo'!C$2:C$746,A82,'Base bordo'!B$2:B$746,B82,'Base bordo'!F$2:F$746,"PÁTIO INTERNO"),0)+IFERROR(SUMIFS('Base bordo'!G$2:G$746,'Base bordo'!C$2:C$746,A82,'Base bordo'!B$2:B$746,B82,'Base bordo'!F$2:F$746,"PÁTIO EXTERNO"),0)+IFERROR(SUMIFS('Base bordo'!G$2:G$746,'Base bordo'!C$2:C$746,A82,'Base bordo'!B$2:B$746,B82,'Base bordo'!F$2:F$746,"PATIO - RESERVA"),0)+IFERROR(SUMIFS('Base bordo'!G$2:G$746,'Base bordo'!C$2:C$746,A82,'Base bordo'!B$2:B$746,B82,'Base bordo'!F$2:F$746,"MANOBRA CARRETAS-PATIO"),0)</f>
        <v>0.58444444444444443</v>
      </c>
      <c r="J82" s="10">
        <f>IFERROR(SUMIFS('Base bordo'!G$2:G$746,'Base bordo'!C$2:C$746,A82,'Base bordo'!B$2:B$746,B82,'Base bordo'!F$2:F$746,"BALANÇA - ENTRADA"),0)+IFERROR(SUMIFS('Base bordo'!G$2:G$746,'Base bordo'!C$2:C$746,A82,'Base bordo'!B$2:B$746,B82,'Base bordo'!F$2:F$746,"BALANÇA - SAÍDA"),0)</f>
        <v>5.5555555555555558E-3</v>
      </c>
      <c r="K82" s="10">
        <f>IFERROR(SUMIFS('Base bordo'!G$2:G$746,'Base bordo'!C$2:C$746,A82,'Base bordo'!B$2:B$746,B82,'Base bordo'!F$2:F$746,"MAN PREVENTIVA - MECANICA"),0)+IFERROR(SUMIFS('Base bordo'!G$2:G$746,'Base bordo'!C$2:C$746,A82,'Base bordo'!B$2:B$746,B82,'Base bordo'!F$2:F$746,"MAN CORRETIVA - MECANICA"),0)</f>
        <v>0</v>
      </c>
      <c r="L82" s="10">
        <f>IFERROR(SUMIFS('Base bordo'!G$2:G$746,'Base bordo'!C$2:C$746,A82,'Base bordo'!B$2:B$746,B82,'Base bordo'!F$2:F$746,"MANUTENCAO - T O"),0)+IFERROR(SUMIFS('Base bordo'!G$2:G$746,'Base bordo'!C$2:C$746,A82,'Base bordo'!B$2:B$746,B82,'Base bordo'!F$2:F$746,"MANUTENCAO BORRACHARIA"),0)+IFERROR(SUMIFS('Base bordo'!G$2:G$746,'Base bordo'!C$2:C$746,A82,'Base bordo'!B$2:B$746,B82,'Base bordo'!F$2:F$746,"MANUTENCAO EXTERNA  CONCESSIONARIA"),0)+IFERROR(SUMIFS('Base bordo'!G$2:G$746,'Base bordo'!C$2:C$746,A82,'Base bordo'!B$2:B$746,B82,'Base bordo'!F$2:F$746,"MANUTENCAO TELEMETRIA"),0)</f>
        <v>0</v>
      </c>
      <c r="M82" s="10">
        <f>IFERROR(SUMIFS('Base bordo'!G$2:G$746,'Base bordo'!C$2:C$746,A82,'Base bordo'!B$2:B$746,B82,'Base bordo'!F$2:F$746,"AGUARDANDO MANUTENCAO"),0)</f>
        <v>0</v>
      </c>
      <c r="N82" s="10">
        <f>IFERROR(SUMIFS('Base bordo'!G$2:G$746,'Base bordo'!C$2:C$746,A82,'Base bordo'!B$2:B$746,B82,'Base bordo'!F$2:F$746,"SEM APONTAMENTO"),0)</f>
        <v>0</v>
      </c>
      <c r="O82" s="10">
        <f t="shared" si="18"/>
        <v>0</v>
      </c>
      <c r="P82" s="10">
        <f>IFERROR(SUMIFS('Base bordo'!G$2:G$746,'Base bordo'!C$2:C$746,A82,'Base bordo'!B$2:B$746,B82),0)</f>
        <v>4.6461111111111109</v>
      </c>
      <c r="Q82" s="10">
        <f>IFERROR(SUMIFS('Base bordo'!H$2:H$746,'Base bordo'!C$2:C$746,A82,'Base bordo'!B$2:B$746,B82,'Base bordo'!F$2:F$746,"DESLOCAMENTO VAZIO"),0)</f>
        <v>179137.35</v>
      </c>
      <c r="R82" s="10">
        <f>IFERROR(SUMIFS('Base bordo'!I$2:I$746,'Base bordo'!C$2:C$746,A82,'Base bordo'!B$2:B$746,B82,'Base bordo'!F$2:F$746,"DESLOCAMENTO VAZIO"),0)</f>
        <v>5117</v>
      </c>
      <c r="S82" s="30">
        <f t="shared" si="19"/>
        <v>35.008276333789333</v>
      </c>
      <c r="T82" s="10">
        <f>IFERROR(SUMIFS('Base bordo'!H$2:H$746,'Base bordo'!C$2:C$746,A82,'Base bordo'!B$2:B$746,B82,'Base bordo'!F$2:F$746,"DESLOCAMENTO CARREGADO"),0)</f>
        <v>170577.91</v>
      </c>
      <c r="U82" s="10">
        <f>IFERROR(SUMIFS('Base bordo'!I$2:I$746,'Base bordo'!C$2:C$746,A82,'Base bordo'!B$2:B$746,B82,'Base bordo'!F$2:F$746,"DESLOCAMENTO CARREGADO"),0)</f>
        <v>7197</v>
      </c>
      <c r="V82" s="30">
        <f t="shared" si="20"/>
        <v>23.701251910518273</v>
      </c>
      <c r="W82" s="9">
        <f t="shared" si="21"/>
        <v>0.30593088604567736</v>
      </c>
      <c r="X82" s="9">
        <f t="shared" si="22"/>
        <v>0.43028817410020331</v>
      </c>
      <c r="Y82" s="9">
        <f t="shared" si="23"/>
        <v>0.26378093985411932</v>
      </c>
    </row>
    <row r="83" spans="1:25" ht="15" customHeight="1" x14ac:dyDescent="0.35">
      <c r="A83" s="52">
        <v>8013476</v>
      </c>
      <c r="B83" s="51">
        <v>46123</v>
      </c>
      <c r="C83" s="7" t="s">
        <v>124</v>
      </c>
      <c r="D83" s="10">
        <f>IFERROR(SUMIFS('Base bordo'!G$2:G$746,'Base bordo'!C$2:C$746,A83,'Base bordo'!B$2:B$746,B83,'Base bordo'!F$2:F$746,"DESLOCAMENTO VAZIO"),0)</f>
        <v>1.3552777777777778</v>
      </c>
      <c r="E83" s="10">
        <f>IFERROR(SUMIFS('Base bordo'!G$2:G$746,'Base bordo'!C$2:C$746,A83,'Base bordo'!B$2:B$746,B83,'Base bordo'!F$2:F$746,"DESLOCAMENTO CARREGADO"),0)</f>
        <v>1.9111111111111112</v>
      </c>
      <c r="F83" s="10">
        <f>IFERROR(SUMIFS('Base bordo'!G$2:G$746,'Base bordo'!C$2:C$746,A83,'Base bordo'!B$2:B$746,B83,'Base bordo'!F$2:F$746,"DESLOCAMENTO"),0)</f>
        <v>0</v>
      </c>
      <c r="G83" s="10">
        <f>IFERROR(SUMIFS('Base bordo'!G$2:G$746,'Base bordo'!C$2:C$746,A83,'Base bordo'!B$2:B$746,B83,'Base bordo'!F$2:F$746,"CARREGAMENTO"),0)</f>
        <v>0</v>
      </c>
      <c r="H83" s="10">
        <f>IFERROR(SUMIFS('Base bordo'!G$2:G$746,'Base bordo'!C$2:C$746,A83,'Base bordo'!B$2:B$746,B83,'Base bordo'!F$2:F$746,"AGUARDANDO TRANSBORDO"),0)</f>
        <v>0.59861111111111109</v>
      </c>
      <c r="I83" s="10">
        <f>IFERROR(SUMIFS('Base bordo'!G$2:G$746,'Base bordo'!C$2:C$746,A83,'Base bordo'!B$2:B$746,B83,'Base bordo'!F$2:F$746,"PÁTIO INTERNO"),0)+IFERROR(SUMIFS('Base bordo'!G$2:G$746,'Base bordo'!C$2:C$746,A83,'Base bordo'!B$2:B$746,B83,'Base bordo'!F$2:F$746,"PÁTIO EXTERNO"),0)+IFERROR(SUMIFS('Base bordo'!G$2:G$746,'Base bordo'!C$2:C$746,A83,'Base bordo'!B$2:B$746,B83,'Base bordo'!F$2:F$746,"PATIO - RESERVA"),0)+IFERROR(SUMIFS('Base bordo'!G$2:G$746,'Base bordo'!C$2:C$746,A83,'Base bordo'!B$2:B$746,B83,'Base bordo'!F$2:F$746,"MANOBRA CARRETAS-PATIO"),0)</f>
        <v>0</v>
      </c>
      <c r="J83" s="10">
        <f>IFERROR(SUMIFS('Base bordo'!G$2:G$746,'Base bordo'!C$2:C$746,A83,'Base bordo'!B$2:B$746,B83,'Base bordo'!F$2:F$746,"BALANÇA - ENTRADA"),0)+IFERROR(SUMIFS('Base bordo'!G$2:G$746,'Base bordo'!C$2:C$746,A83,'Base bordo'!B$2:B$746,B83,'Base bordo'!F$2:F$746,"BALANÇA - SAÍDA"),0)</f>
        <v>0</v>
      </c>
      <c r="K83" s="10">
        <f>IFERROR(SUMIFS('Base bordo'!G$2:G$746,'Base bordo'!C$2:C$746,A83,'Base bordo'!B$2:B$746,B83,'Base bordo'!F$2:F$746,"MAN PREVENTIVA - MECANICA"),0)+IFERROR(SUMIFS('Base bordo'!G$2:G$746,'Base bordo'!C$2:C$746,A83,'Base bordo'!B$2:B$746,B83,'Base bordo'!F$2:F$746,"MAN CORRETIVA - MECANICA"),0)</f>
        <v>0</v>
      </c>
      <c r="L83" s="10">
        <f>IFERROR(SUMIFS('Base bordo'!G$2:G$746,'Base bordo'!C$2:C$746,A83,'Base bordo'!B$2:B$746,B83,'Base bordo'!F$2:F$746,"MANUTENCAO - T O"),0)+IFERROR(SUMIFS('Base bordo'!G$2:G$746,'Base bordo'!C$2:C$746,A83,'Base bordo'!B$2:B$746,B83,'Base bordo'!F$2:F$746,"MANUTENCAO BORRACHARIA"),0)+IFERROR(SUMIFS('Base bordo'!G$2:G$746,'Base bordo'!C$2:C$746,A83,'Base bordo'!B$2:B$746,B83,'Base bordo'!F$2:F$746,"MANUTENCAO EXTERNA  CONCESSIONARIA"),0)+IFERROR(SUMIFS('Base bordo'!G$2:G$746,'Base bordo'!C$2:C$746,A83,'Base bordo'!B$2:B$746,B83,'Base bordo'!F$2:F$746,"MANUTENCAO TELEMETRIA"),0)</f>
        <v>0</v>
      </c>
      <c r="M83" s="10">
        <f>IFERROR(SUMIFS('Base bordo'!G$2:G$746,'Base bordo'!C$2:C$746,A83,'Base bordo'!B$2:B$746,B83,'Base bordo'!F$2:F$746,"AGUARDANDO MANUTENCAO"),0)</f>
        <v>0</v>
      </c>
      <c r="N83" s="10">
        <f>IFERROR(SUMIFS('Base bordo'!G$2:G$746,'Base bordo'!C$2:C$746,A83,'Base bordo'!B$2:B$746,B83,'Base bordo'!F$2:F$746,"SEM APONTAMENTO"),0)</f>
        <v>0</v>
      </c>
      <c r="O83" s="10">
        <f t="shared" si="18"/>
        <v>4.7222222222220722E-3</v>
      </c>
      <c r="P83" s="10">
        <f>IFERROR(SUMIFS('Base bordo'!G$2:G$746,'Base bordo'!C$2:C$746,A83,'Base bordo'!B$2:B$746,B83),0)</f>
        <v>3.8697222222222218</v>
      </c>
      <c r="Q83" s="10">
        <f>IFERROR(SUMIFS('Base bordo'!H$2:H$746,'Base bordo'!C$2:C$746,A83,'Base bordo'!B$2:B$746,B83,'Base bordo'!F$2:F$746,"DESLOCAMENTO VAZIO"),0)</f>
        <v>175902.06</v>
      </c>
      <c r="R83" s="10">
        <f>IFERROR(SUMIFS('Base bordo'!I$2:I$746,'Base bordo'!C$2:C$746,A83,'Base bordo'!B$2:B$746,B83,'Base bordo'!F$2:F$746,"DESLOCAMENTO VAZIO"),0)</f>
        <v>4879</v>
      </c>
      <c r="S83" s="30">
        <f t="shared" si="19"/>
        <v>36.052891986062718</v>
      </c>
      <c r="T83" s="10">
        <f>IFERROR(SUMIFS('Base bordo'!H$2:H$746,'Base bordo'!C$2:C$746,A83,'Base bordo'!B$2:B$746,B83,'Base bordo'!F$2:F$746,"DESLOCAMENTO CARREGADO"),0)</f>
        <v>178464.26</v>
      </c>
      <c r="U83" s="10">
        <f>IFERROR(SUMIFS('Base bordo'!I$2:I$746,'Base bordo'!C$2:C$746,A83,'Base bordo'!B$2:B$746,B83,'Base bordo'!F$2:F$746,"DESLOCAMENTO CARREGADO"),0)</f>
        <v>6880</v>
      </c>
      <c r="V83" s="30">
        <f t="shared" si="20"/>
        <v>25.939572674418606</v>
      </c>
      <c r="W83" s="9">
        <f t="shared" si="21"/>
        <v>0.35022611442107532</v>
      </c>
      <c r="X83" s="9">
        <f t="shared" si="22"/>
        <v>0.49386260857081338</v>
      </c>
      <c r="Y83" s="9">
        <f t="shared" si="23"/>
        <v>0.15591127700811136</v>
      </c>
    </row>
    <row r="84" spans="1:25" ht="15" customHeight="1" x14ac:dyDescent="0.35">
      <c r="A84" s="52">
        <v>8013481</v>
      </c>
      <c r="B84" s="51">
        <v>46120</v>
      </c>
      <c r="C84" s="7" t="s">
        <v>124</v>
      </c>
      <c r="D84" s="10">
        <f>IFERROR(SUMIFS('Base bordo'!G$2:G$746,'Base bordo'!C$2:C$746,A84,'Base bordo'!B$2:B$746,B84,'Base bordo'!F$2:F$746,"DESLOCAMENTO VAZIO"),0)</f>
        <v>0</v>
      </c>
      <c r="E84" s="10">
        <f>IFERROR(SUMIFS('Base bordo'!G$2:G$746,'Base bordo'!C$2:C$746,A84,'Base bordo'!B$2:B$746,B84,'Base bordo'!F$2:F$746,"DESLOCAMENTO CARREGADO"),0)</f>
        <v>2.0550000000000002</v>
      </c>
      <c r="F84" s="10">
        <f>IFERROR(SUMIFS('Base bordo'!G$2:G$746,'Base bordo'!C$2:C$746,A84,'Base bordo'!B$2:B$746,B84,'Base bordo'!F$2:F$746,"DESLOCAMENTO"),0)</f>
        <v>0</v>
      </c>
      <c r="G84" s="10">
        <f>IFERROR(SUMIFS('Base bordo'!G$2:G$746,'Base bordo'!C$2:C$746,A84,'Base bordo'!B$2:B$746,B84,'Base bordo'!F$2:F$746,"CARREGAMENTO"),0)</f>
        <v>0</v>
      </c>
      <c r="H84" s="10">
        <f>IFERROR(SUMIFS('Base bordo'!G$2:G$746,'Base bordo'!C$2:C$746,A84,'Base bordo'!B$2:B$746,B84,'Base bordo'!F$2:F$746,"AGUARDANDO TRANSBORDO"),0)</f>
        <v>0</v>
      </c>
      <c r="I84" s="10">
        <f>IFERROR(SUMIFS('Base bordo'!G$2:G$746,'Base bordo'!C$2:C$746,A84,'Base bordo'!B$2:B$746,B84,'Base bordo'!F$2:F$746,"PÁTIO INTERNO"),0)+IFERROR(SUMIFS('Base bordo'!G$2:G$746,'Base bordo'!C$2:C$746,A84,'Base bordo'!B$2:B$746,B84,'Base bordo'!F$2:F$746,"PÁTIO EXTERNO"),0)+IFERROR(SUMIFS('Base bordo'!G$2:G$746,'Base bordo'!C$2:C$746,A84,'Base bordo'!B$2:B$746,B84,'Base bordo'!F$2:F$746,"PATIO - RESERVA"),0)+IFERROR(SUMIFS('Base bordo'!G$2:G$746,'Base bordo'!C$2:C$746,A84,'Base bordo'!B$2:B$746,B84,'Base bordo'!F$2:F$746,"MANOBRA CARRETAS-PATIO"),0)</f>
        <v>0.18194444444444444</v>
      </c>
      <c r="J84" s="10">
        <f>IFERROR(SUMIFS('Base bordo'!G$2:G$746,'Base bordo'!C$2:C$746,A84,'Base bordo'!B$2:B$746,B84,'Base bordo'!F$2:F$746,"BALANÇA - ENTRADA"),0)+IFERROR(SUMIFS('Base bordo'!G$2:G$746,'Base bordo'!C$2:C$746,A84,'Base bordo'!B$2:B$746,B84,'Base bordo'!F$2:F$746,"BALANÇA - SAÍDA"),0)</f>
        <v>0</v>
      </c>
      <c r="K84" s="10">
        <f>IFERROR(SUMIFS('Base bordo'!G$2:G$746,'Base bordo'!C$2:C$746,A84,'Base bordo'!B$2:B$746,B84,'Base bordo'!F$2:F$746,"MAN PREVENTIVA - MECANICA"),0)+IFERROR(SUMIFS('Base bordo'!G$2:G$746,'Base bordo'!C$2:C$746,A84,'Base bordo'!B$2:B$746,B84,'Base bordo'!F$2:F$746,"MAN CORRETIVA - MECANICA"),0)</f>
        <v>0</v>
      </c>
      <c r="L84" s="10">
        <f>IFERROR(SUMIFS('Base bordo'!G$2:G$746,'Base bordo'!C$2:C$746,A84,'Base bordo'!B$2:B$746,B84,'Base bordo'!F$2:F$746,"MANUTENCAO - T O"),0)+IFERROR(SUMIFS('Base bordo'!G$2:G$746,'Base bordo'!C$2:C$746,A84,'Base bordo'!B$2:B$746,B84,'Base bordo'!F$2:F$746,"MANUTENCAO BORRACHARIA"),0)+IFERROR(SUMIFS('Base bordo'!G$2:G$746,'Base bordo'!C$2:C$746,A84,'Base bordo'!B$2:B$746,B84,'Base bordo'!F$2:F$746,"MANUTENCAO EXTERNA  CONCESSIONARIA"),0)+IFERROR(SUMIFS('Base bordo'!G$2:G$746,'Base bordo'!C$2:C$746,A84,'Base bordo'!B$2:B$746,B84,'Base bordo'!F$2:F$746,"MANUTENCAO TELEMETRIA"),0)</f>
        <v>0</v>
      </c>
      <c r="M84" s="10">
        <f>IFERROR(SUMIFS('Base bordo'!G$2:G$746,'Base bordo'!C$2:C$746,A84,'Base bordo'!B$2:B$746,B84,'Base bordo'!F$2:F$746,"AGUARDANDO MANUTENCAO"),0)</f>
        <v>0</v>
      </c>
      <c r="N84" s="10">
        <f>IFERROR(SUMIFS('Base bordo'!G$2:G$746,'Base bordo'!C$2:C$746,A84,'Base bordo'!B$2:B$746,B84,'Base bordo'!F$2:F$746,"SEM APONTAMENTO"),0)</f>
        <v>0</v>
      </c>
      <c r="O84" s="10">
        <f t="shared" si="18"/>
        <v>0</v>
      </c>
      <c r="P84" s="10">
        <f>IFERROR(SUMIFS('Base bordo'!G$2:G$746,'Base bordo'!C$2:C$746,A84,'Base bordo'!B$2:B$746,B84),0)</f>
        <v>2.2369444444444446</v>
      </c>
      <c r="Q84" s="10">
        <f>IFERROR(SUMIFS('Base bordo'!H$2:H$746,'Base bordo'!C$2:C$746,A84,'Base bordo'!B$2:B$746,B84,'Base bordo'!F$2:F$746,"DESLOCAMENTO VAZIO"),0)</f>
        <v>0</v>
      </c>
      <c r="R84" s="10">
        <f>IFERROR(SUMIFS('Base bordo'!I$2:I$746,'Base bordo'!C$2:C$746,A84,'Base bordo'!B$2:B$746,B84,'Base bordo'!F$2:F$746,"DESLOCAMENTO VAZIO"),0)</f>
        <v>0</v>
      </c>
      <c r="S84" s="30" t="str">
        <f t="shared" si="19"/>
        <v/>
      </c>
      <c r="T84" s="10">
        <f>IFERROR(SUMIFS('Base bordo'!H$2:H$746,'Base bordo'!C$2:C$746,A84,'Base bordo'!B$2:B$746,B84,'Base bordo'!F$2:F$746,"DESLOCAMENTO CARREGADO"),0)</f>
        <v>178228.94999999998</v>
      </c>
      <c r="U84" s="10">
        <f>IFERROR(SUMIFS('Base bordo'!I$2:I$746,'Base bordo'!C$2:C$746,A84,'Base bordo'!B$2:B$746,B84,'Base bordo'!F$2:F$746,"DESLOCAMENTO CARREGADO"),0)</f>
        <v>7398</v>
      </c>
      <c r="V84" s="30">
        <f t="shared" si="20"/>
        <v>24.091504460665043</v>
      </c>
      <c r="W84" s="9">
        <f t="shared" si="21"/>
        <v>0</v>
      </c>
      <c r="X84" s="9">
        <f t="shared" si="22"/>
        <v>0.91866385198062839</v>
      </c>
      <c r="Y84" s="9">
        <f t="shared" si="23"/>
        <v>8.1336148019371612E-2</v>
      </c>
    </row>
    <row r="85" spans="1:25" ht="15" customHeight="1" x14ac:dyDescent="0.35">
      <c r="A85" s="52">
        <v>8013470</v>
      </c>
      <c r="B85" s="51">
        <v>46119</v>
      </c>
      <c r="C85" s="7" t="s">
        <v>124</v>
      </c>
      <c r="D85" s="10">
        <f>IFERROR(SUMIFS('Base bordo'!G$2:G$746,'Base bordo'!C$2:C$746,A85,'Base bordo'!B$2:B$746,B85,'Base bordo'!F$2:F$746,"DESLOCAMENTO VAZIO"),0)</f>
        <v>1.5986111111111112</v>
      </c>
      <c r="E85" s="10">
        <f>IFERROR(SUMIFS('Base bordo'!G$2:G$746,'Base bordo'!C$2:C$746,A85,'Base bordo'!B$2:B$746,B85,'Base bordo'!F$2:F$746,"DESLOCAMENTO CARREGADO"),0)</f>
        <v>1.4394444444444445</v>
      </c>
      <c r="F85" s="10">
        <f>IFERROR(SUMIFS('Base bordo'!G$2:G$746,'Base bordo'!C$2:C$746,A85,'Base bordo'!B$2:B$746,B85,'Base bordo'!F$2:F$746,"DESLOCAMENTO"),0)</f>
        <v>0</v>
      </c>
      <c r="G85" s="10">
        <f>IFERROR(SUMIFS('Base bordo'!G$2:G$746,'Base bordo'!C$2:C$746,A85,'Base bordo'!B$2:B$746,B85,'Base bordo'!F$2:F$746,"CARREGAMENTO"),0)</f>
        <v>0</v>
      </c>
      <c r="H85" s="10">
        <f>IFERROR(SUMIFS('Base bordo'!G$2:G$746,'Base bordo'!C$2:C$746,A85,'Base bordo'!B$2:B$746,B85,'Base bordo'!F$2:F$746,"AGUARDANDO TRANSBORDO"),0)</f>
        <v>0</v>
      </c>
      <c r="I85" s="10">
        <f>IFERROR(SUMIFS('Base bordo'!G$2:G$746,'Base bordo'!C$2:C$746,A85,'Base bordo'!B$2:B$746,B85,'Base bordo'!F$2:F$746,"PÁTIO INTERNO"),0)+IFERROR(SUMIFS('Base bordo'!G$2:G$746,'Base bordo'!C$2:C$746,A85,'Base bordo'!B$2:B$746,B85,'Base bordo'!F$2:F$746,"PÁTIO EXTERNO"),0)+IFERROR(SUMIFS('Base bordo'!G$2:G$746,'Base bordo'!C$2:C$746,A85,'Base bordo'!B$2:B$746,B85,'Base bordo'!F$2:F$746,"PATIO - RESERVA"),0)+IFERROR(SUMIFS('Base bordo'!G$2:G$746,'Base bordo'!C$2:C$746,A85,'Base bordo'!B$2:B$746,B85,'Base bordo'!F$2:F$746,"MANOBRA CARRETAS-PATIO"),0)</f>
        <v>9.555555555555556E-2</v>
      </c>
      <c r="J85" s="10">
        <f>IFERROR(SUMIFS('Base bordo'!G$2:G$746,'Base bordo'!C$2:C$746,A85,'Base bordo'!B$2:B$746,B85,'Base bordo'!F$2:F$746,"BALANÇA - ENTRADA"),0)+IFERROR(SUMIFS('Base bordo'!G$2:G$746,'Base bordo'!C$2:C$746,A85,'Base bordo'!B$2:B$746,B85,'Base bordo'!F$2:F$746,"BALANÇA - SAÍDA"),0)</f>
        <v>1.2222222222222223E-2</v>
      </c>
      <c r="K85" s="10">
        <f>IFERROR(SUMIFS('Base bordo'!G$2:G$746,'Base bordo'!C$2:C$746,A85,'Base bordo'!B$2:B$746,B85,'Base bordo'!F$2:F$746,"MAN PREVENTIVA - MECANICA"),0)+IFERROR(SUMIFS('Base bordo'!G$2:G$746,'Base bordo'!C$2:C$746,A85,'Base bordo'!B$2:B$746,B85,'Base bordo'!F$2:F$746,"MAN CORRETIVA - MECANICA"),0)</f>
        <v>0</v>
      </c>
      <c r="L85" s="10">
        <f>IFERROR(SUMIFS('Base bordo'!G$2:G$746,'Base bordo'!C$2:C$746,A85,'Base bordo'!B$2:B$746,B85,'Base bordo'!F$2:F$746,"MANUTENCAO - T O"),0)+IFERROR(SUMIFS('Base bordo'!G$2:G$746,'Base bordo'!C$2:C$746,A85,'Base bordo'!B$2:B$746,B85,'Base bordo'!F$2:F$746,"MANUTENCAO BORRACHARIA"),0)+IFERROR(SUMIFS('Base bordo'!G$2:G$746,'Base bordo'!C$2:C$746,A85,'Base bordo'!B$2:B$746,B85,'Base bordo'!F$2:F$746,"MANUTENCAO EXTERNA  CONCESSIONARIA"),0)+IFERROR(SUMIFS('Base bordo'!G$2:G$746,'Base bordo'!C$2:C$746,A85,'Base bordo'!B$2:B$746,B85,'Base bordo'!F$2:F$746,"MANUTENCAO TELEMETRIA"),0)</f>
        <v>0</v>
      </c>
      <c r="M85" s="10">
        <f>IFERROR(SUMIFS('Base bordo'!G$2:G$746,'Base bordo'!C$2:C$746,A85,'Base bordo'!B$2:B$746,B85,'Base bordo'!F$2:F$746,"AGUARDANDO MANUTENCAO"),0)</f>
        <v>0</v>
      </c>
      <c r="N85" s="10">
        <f>IFERROR(SUMIFS('Base bordo'!G$2:G$746,'Base bordo'!C$2:C$746,A85,'Base bordo'!B$2:B$746,B85,'Base bordo'!F$2:F$746,"SEM APONTAMENTO"),0)</f>
        <v>0</v>
      </c>
      <c r="O85" s="10">
        <f t="shared" si="18"/>
        <v>0</v>
      </c>
      <c r="P85" s="10">
        <f>IFERROR(SUMIFS('Base bordo'!G$2:G$746,'Base bordo'!C$2:C$746,A85,'Base bordo'!B$2:B$746,B85),0)</f>
        <v>3.1458333333333335</v>
      </c>
      <c r="Q85" s="10">
        <f>IFERROR(SUMIFS('Base bordo'!H$2:H$746,'Base bordo'!C$2:C$746,A85,'Base bordo'!B$2:B$746,B85,'Base bordo'!F$2:F$746,"DESLOCAMENTO VAZIO"),0)</f>
        <v>177776.33999999997</v>
      </c>
      <c r="R85" s="10">
        <f>IFERROR(SUMIFS('Base bordo'!I$2:I$746,'Base bordo'!C$2:C$746,A85,'Base bordo'!B$2:B$746,B85,'Base bordo'!F$2:F$746,"DESLOCAMENTO VAZIO"),0)</f>
        <v>5755</v>
      </c>
      <c r="S85" s="30">
        <f t="shared" si="19"/>
        <v>30.890762814943521</v>
      </c>
      <c r="T85" s="10">
        <f>IFERROR(SUMIFS('Base bordo'!H$2:H$746,'Base bordo'!C$2:C$746,A85,'Base bordo'!B$2:B$746,B85,'Base bordo'!F$2:F$746,"DESLOCAMENTO CARREGADO"),0)</f>
        <v>96305.44</v>
      </c>
      <c r="U85" s="10">
        <f>IFERROR(SUMIFS('Base bordo'!I$2:I$746,'Base bordo'!C$2:C$746,A85,'Base bordo'!B$2:B$746,B85,'Base bordo'!F$2:F$746,"DESLOCAMENTO CARREGADO"),0)</f>
        <v>5182</v>
      </c>
      <c r="V85" s="30">
        <f t="shared" si="20"/>
        <v>18.584608259359321</v>
      </c>
      <c r="W85" s="9">
        <f t="shared" si="21"/>
        <v>0.50816777041942607</v>
      </c>
      <c r="X85" s="9">
        <f t="shared" si="22"/>
        <v>0.45757174392935984</v>
      </c>
      <c r="Y85" s="9">
        <f t="shared" si="23"/>
        <v>3.426048565121409E-2</v>
      </c>
    </row>
    <row r="86" spans="1:25" ht="15" customHeight="1" x14ac:dyDescent="0.35">
      <c r="A86" s="52">
        <v>8013465</v>
      </c>
      <c r="B86" s="51">
        <v>46123</v>
      </c>
      <c r="C86" s="7" t="s">
        <v>124</v>
      </c>
      <c r="D86" s="10">
        <f>IFERROR(SUMIFS('Base bordo'!G$2:G$746,'Base bordo'!C$2:C$746,A86,'Base bordo'!B$2:B$746,B86,'Base bordo'!F$2:F$746,"DESLOCAMENTO VAZIO"),0)</f>
        <v>2.3111111111111109</v>
      </c>
      <c r="E86" s="10">
        <f>IFERROR(SUMIFS('Base bordo'!G$2:G$746,'Base bordo'!C$2:C$746,A86,'Base bordo'!B$2:B$746,B86,'Base bordo'!F$2:F$746,"DESLOCAMENTO CARREGADO"),0)</f>
        <v>1.8591666666666666</v>
      </c>
      <c r="F86" s="10">
        <f>IFERROR(SUMIFS('Base bordo'!G$2:G$746,'Base bordo'!C$2:C$746,A86,'Base bordo'!B$2:B$746,B86,'Base bordo'!F$2:F$746,"DESLOCAMENTO"),0)</f>
        <v>0</v>
      </c>
      <c r="G86" s="10">
        <f>IFERROR(SUMIFS('Base bordo'!G$2:G$746,'Base bordo'!C$2:C$746,A86,'Base bordo'!B$2:B$746,B86,'Base bordo'!F$2:F$746,"CARREGAMENTO"),0)</f>
        <v>0</v>
      </c>
      <c r="H86" s="10">
        <f>IFERROR(SUMIFS('Base bordo'!G$2:G$746,'Base bordo'!C$2:C$746,A86,'Base bordo'!B$2:B$746,B86,'Base bordo'!F$2:F$746,"AGUARDANDO TRANSBORDO"),0)</f>
        <v>0.3552777777777778</v>
      </c>
      <c r="I86" s="10">
        <f>IFERROR(SUMIFS('Base bordo'!G$2:G$746,'Base bordo'!C$2:C$746,A86,'Base bordo'!B$2:B$746,B86,'Base bordo'!F$2:F$746,"PÁTIO INTERNO"),0)+IFERROR(SUMIFS('Base bordo'!G$2:G$746,'Base bordo'!C$2:C$746,A86,'Base bordo'!B$2:B$746,B86,'Base bordo'!F$2:F$746,"PÁTIO EXTERNO"),0)+IFERROR(SUMIFS('Base bordo'!G$2:G$746,'Base bordo'!C$2:C$746,A86,'Base bordo'!B$2:B$746,B86,'Base bordo'!F$2:F$746,"PATIO - RESERVA"),0)+IFERROR(SUMIFS('Base bordo'!G$2:G$746,'Base bordo'!C$2:C$746,A86,'Base bordo'!B$2:B$746,B86,'Base bordo'!F$2:F$746,"MANOBRA CARRETAS-PATIO"),0)</f>
        <v>0</v>
      </c>
      <c r="J86" s="10">
        <f>IFERROR(SUMIFS('Base bordo'!G$2:G$746,'Base bordo'!C$2:C$746,A86,'Base bordo'!B$2:B$746,B86,'Base bordo'!F$2:F$746,"BALANÇA - ENTRADA"),0)+IFERROR(SUMIFS('Base bordo'!G$2:G$746,'Base bordo'!C$2:C$746,A86,'Base bordo'!B$2:B$746,B86,'Base bordo'!F$2:F$746,"BALANÇA - SAÍDA"),0)</f>
        <v>0</v>
      </c>
      <c r="K86" s="10">
        <f>IFERROR(SUMIFS('Base bordo'!G$2:G$746,'Base bordo'!C$2:C$746,A86,'Base bordo'!B$2:B$746,B86,'Base bordo'!F$2:F$746,"MAN PREVENTIVA - MECANICA"),0)+IFERROR(SUMIFS('Base bordo'!G$2:G$746,'Base bordo'!C$2:C$746,A86,'Base bordo'!B$2:B$746,B86,'Base bordo'!F$2:F$746,"MAN CORRETIVA - MECANICA"),0)</f>
        <v>0</v>
      </c>
      <c r="L86" s="10">
        <f>IFERROR(SUMIFS('Base bordo'!G$2:G$746,'Base bordo'!C$2:C$746,A86,'Base bordo'!B$2:B$746,B86,'Base bordo'!F$2:F$746,"MANUTENCAO - T O"),0)+IFERROR(SUMIFS('Base bordo'!G$2:G$746,'Base bordo'!C$2:C$746,A86,'Base bordo'!B$2:B$746,B86,'Base bordo'!F$2:F$746,"MANUTENCAO BORRACHARIA"),0)+IFERROR(SUMIFS('Base bordo'!G$2:G$746,'Base bordo'!C$2:C$746,A86,'Base bordo'!B$2:B$746,B86,'Base bordo'!F$2:F$746,"MANUTENCAO EXTERNA  CONCESSIONARIA"),0)+IFERROR(SUMIFS('Base bordo'!G$2:G$746,'Base bordo'!C$2:C$746,A86,'Base bordo'!B$2:B$746,B86,'Base bordo'!F$2:F$746,"MANUTENCAO TELEMETRIA"),0)</f>
        <v>0</v>
      </c>
      <c r="M86" s="10">
        <f>IFERROR(SUMIFS('Base bordo'!G$2:G$746,'Base bordo'!C$2:C$746,A86,'Base bordo'!B$2:B$746,B86,'Base bordo'!F$2:F$746,"AGUARDANDO MANUTENCAO"),0)</f>
        <v>0</v>
      </c>
      <c r="N86" s="10">
        <f>IFERROR(SUMIFS('Base bordo'!G$2:G$746,'Base bordo'!C$2:C$746,A86,'Base bordo'!B$2:B$746,B86,'Base bordo'!F$2:F$746,"SEM APONTAMENTO"),0)</f>
        <v>0</v>
      </c>
      <c r="O86" s="10">
        <f t="shared" si="18"/>
        <v>0</v>
      </c>
      <c r="P86" s="10">
        <f>IFERROR(SUMIFS('Base bordo'!G$2:G$746,'Base bordo'!C$2:C$746,A86,'Base bordo'!B$2:B$746,B86),0)</f>
        <v>4.525555555555556</v>
      </c>
      <c r="Q86" s="10">
        <f>IFERROR(SUMIFS('Base bordo'!H$2:H$746,'Base bordo'!C$2:C$746,A86,'Base bordo'!B$2:B$746,B86,'Base bordo'!F$2:F$746,"DESLOCAMENTO VAZIO"),0)</f>
        <v>278148.95</v>
      </c>
      <c r="R86" s="10">
        <f>IFERROR(SUMIFS('Base bordo'!I$2:I$746,'Base bordo'!C$2:C$746,A86,'Base bordo'!B$2:B$746,B86,'Base bordo'!F$2:F$746,"DESLOCAMENTO VAZIO"),0)</f>
        <v>8320</v>
      </c>
      <c r="S86" s="30">
        <f t="shared" si="19"/>
        <v>33.431364182692306</v>
      </c>
      <c r="T86" s="10">
        <f>IFERROR(SUMIFS('Base bordo'!H$2:H$746,'Base bordo'!C$2:C$746,A86,'Base bordo'!B$2:B$746,B86,'Base bordo'!F$2:F$746,"DESLOCAMENTO CARREGADO"),0)</f>
        <v>177737.80000000002</v>
      </c>
      <c r="U86" s="10">
        <f>IFERROR(SUMIFS('Base bordo'!I$2:I$746,'Base bordo'!C$2:C$746,A86,'Base bordo'!B$2:B$746,B86,'Base bordo'!F$2:F$746,"DESLOCAMENTO CARREGADO"),0)</f>
        <v>6683</v>
      </c>
      <c r="V86" s="30">
        <f t="shared" si="20"/>
        <v>26.595510998054767</v>
      </c>
      <c r="W86" s="9">
        <f t="shared" si="21"/>
        <v>0.51068008838693824</v>
      </c>
      <c r="X86" s="9">
        <f t="shared" si="22"/>
        <v>0.41081512398723297</v>
      </c>
      <c r="Y86" s="9">
        <f t="shared" si="23"/>
        <v>7.8504787625828687E-2</v>
      </c>
    </row>
    <row r="87" spans="1:25" ht="15" customHeight="1" x14ac:dyDescent="0.35">
      <c r="A87" s="52">
        <v>8013468</v>
      </c>
      <c r="B87" s="51">
        <v>46123</v>
      </c>
      <c r="C87" s="7" t="s">
        <v>124</v>
      </c>
      <c r="D87" s="10">
        <f>IFERROR(SUMIFS('Base bordo'!G$2:G$746,'Base bordo'!C$2:C$746,A87,'Base bordo'!B$2:B$746,B87,'Base bordo'!F$2:F$746,"DESLOCAMENTO VAZIO"),0)</f>
        <v>1.9583333333333333</v>
      </c>
      <c r="E87" s="10">
        <f>IFERROR(SUMIFS('Base bordo'!G$2:G$746,'Base bordo'!C$2:C$746,A87,'Base bordo'!B$2:B$746,B87,'Base bordo'!F$2:F$746,"DESLOCAMENTO CARREGADO"),0)</f>
        <v>2.1616666666666666</v>
      </c>
      <c r="F87" s="10">
        <f>IFERROR(SUMIFS('Base bordo'!G$2:G$746,'Base bordo'!C$2:C$746,A87,'Base bordo'!B$2:B$746,B87,'Base bordo'!F$2:F$746,"DESLOCAMENTO"),0)</f>
        <v>0</v>
      </c>
      <c r="G87" s="10">
        <f>IFERROR(SUMIFS('Base bordo'!G$2:G$746,'Base bordo'!C$2:C$746,A87,'Base bordo'!B$2:B$746,B87,'Base bordo'!F$2:F$746,"CARREGAMENTO"),0)</f>
        <v>0</v>
      </c>
      <c r="H87" s="10">
        <f>IFERROR(SUMIFS('Base bordo'!G$2:G$746,'Base bordo'!C$2:C$746,A87,'Base bordo'!B$2:B$746,B87,'Base bordo'!F$2:F$746,"AGUARDANDO TRANSBORDO"),0)</f>
        <v>0.82333333333333336</v>
      </c>
      <c r="I87" s="10">
        <f>IFERROR(SUMIFS('Base bordo'!G$2:G$746,'Base bordo'!C$2:C$746,A87,'Base bordo'!B$2:B$746,B87,'Base bordo'!F$2:F$746,"PÁTIO INTERNO"),0)+IFERROR(SUMIFS('Base bordo'!G$2:G$746,'Base bordo'!C$2:C$746,A87,'Base bordo'!B$2:B$746,B87,'Base bordo'!F$2:F$746,"PÁTIO EXTERNO"),0)+IFERROR(SUMIFS('Base bordo'!G$2:G$746,'Base bordo'!C$2:C$746,A87,'Base bordo'!B$2:B$746,B87,'Base bordo'!F$2:F$746,"PATIO - RESERVA"),0)+IFERROR(SUMIFS('Base bordo'!G$2:G$746,'Base bordo'!C$2:C$746,A87,'Base bordo'!B$2:B$746,B87,'Base bordo'!F$2:F$746,"MANOBRA CARRETAS-PATIO"),0)</f>
        <v>3.9758333333333336</v>
      </c>
      <c r="J87" s="10">
        <f>IFERROR(SUMIFS('Base bordo'!G$2:G$746,'Base bordo'!C$2:C$746,A87,'Base bordo'!B$2:B$746,B87,'Base bordo'!F$2:F$746,"BALANÇA - ENTRADA"),0)+IFERROR(SUMIFS('Base bordo'!G$2:G$746,'Base bordo'!C$2:C$746,A87,'Base bordo'!B$2:B$746,B87,'Base bordo'!F$2:F$746,"BALANÇA - SAÍDA"),0)</f>
        <v>0</v>
      </c>
      <c r="K87" s="10">
        <f>IFERROR(SUMIFS('Base bordo'!G$2:G$746,'Base bordo'!C$2:C$746,A87,'Base bordo'!B$2:B$746,B87,'Base bordo'!F$2:F$746,"MAN PREVENTIVA - MECANICA"),0)+IFERROR(SUMIFS('Base bordo'!G$2:G$746,'Base bordo'!C$2:C$746,A87,'Base bordo'!B$2:B$746,B87,'Base bordo'!F$2:F$746,"MAN CORRETIVA - MECANICA"),0)</f>
        <v>0</v>
      </c>
      <c r="L87" s="10">
        <f>IFERROR(SUMIFS('Base bordo'!G$2:G$746,'Base bordo'!C$2:C$746,A87,'Base bordo'!B$2:B$746,B87,'Base bordo'!F$2:F$746,"MANUTENCAO - T O"),0)+IFERROR(SUMIFS('Base bordo'!G$2:G$746,'Base bordo'!C$2:C$746,A87,'Base bordo'!B$2:B$746,B87,'Base bordo'!F$2:F$746,"MANUTENCAO BORRACHARIA"),0)+IFERROR(SUMIFS('Base bordo'!G$2:G$746,'Base bordo'!C$2:C$746,A87,'Base bordo'!B$2:B$746,B87,'Base bordo'!F$2:F$746,"MANUTENCAO EXTERNA  CONCESSIONARIA"),0)+IFERROR(SUMIFS('Base bordo'!G$2:G$746,'Base bordo'!C$2:C$746,A87,'Base bordo'!B$2:B$746,B87,'Base bordo'!F$2:F$746,"MANUTENCAO TELEMETRIA"),0)</f>
        <v>0</v>
      </c>
      <c r="M87" s="10">
        <f>IFERROR(SUMIFS('Base bordo'!G$2:G$746,'Base bordo'!C$2:C$746,A87,'Base bordo'!B$2:B$746,B87,'Base bordo'!F$2:F$746,"AGUARDANDO MANUTENCAO"),0)</f>
        <v>0</v>
      </c>
      <c r="N87" s="10">
        <f>IFERROR(SUMIFS('Base bordo'!G$2:G$746,'Base bordo'!C$2:C$746,A87,'Base bordo'!B$2:B$746,B87,'Base bordo'!F$2:F$746,"SEM APONTAMENTO"),0)</f>
        <v>0</v>
      </c>
      <c r="O87" s="10">
        <f t="shared" si="18"/>
        <v>0.26222222222222236</v>
      </c>
      <c r="P87" s="10">
        <f>IFERROR(SUMIFS('Base bordo'!G$2:G$746,'Base bordo'!C$2:C$746,A87,'Base bordo'!B$2:B$746,B87),0)</f>
        <v>9.1813888888888897</v>
      </c>
      <c r="Q87" s="10">
        <f>IFERROR(SUMIFS('Base bordo'!H$2:H$746,'Base bordo'!C$2:C$746,A87,'Base bordo'!B$2:B$746,B87,'Base bordo'!F$2:F$746,"DESLOCAMENTO VAZIO"),0)</f>
        <v>221588.27</v>
      </c>
      <c r="R87" s="10">
        <f>IFERROR(SUMIFS('Base bordo'!I$2:I$746,'Base bordo'!C$2:C$746,A87,'Base bordo'!B$2:B$746,B87,'Base bordo'!F$2:F$746,"DESLOCAMENTO VAZIO"),0)</f>
        <v>7050</v>
      </c>
      <c r="S87" s="30">
        <f t="shared" si="19"/>
        <v>31.430960283687941</v>
      </c>
      <c r="T87" s="10">
        <f>IFERROR(SUMIFS('Base bordo'!H$2:H$746,'Base bordo'!C$2:C$746,A87,'Base bordo'!B$2:B$746,B87,'Base bordo'!F$2:F$746,"DESLOCAMENTO CARREGADO"),0)</f>
        <v>177589.6</v>
      </c>
      <c r="U87" s="10">
        <f>IFERROR(SUMIFS('Base bordo'!I$2:I$746,'Base bordo'!C$2:C$746,A87,'Base bordo'!B$2:B$746,B87,'Base bordo'!F$2:F$746,"DESLOCAMENTO CARREGADO"),0)</f>
        <v>7782</v>
      </c>
      <c r="V87" s="30">
        <f t="shared" si="20"/>
        <v>22.820560267283476</v>
      </c>
      <c r="W87" s="9">
        <f t="shared" si="21"/>
        <v>0.21329380086527694</v>
      </c>
      <c r="X87" s="9">
        <f t="shared" si="22"/>
        <v>0.23544005082745889</v>
      </c>
      <c r="Y87" s="9">
        <f t="shared" si="23"/>
        <v>0.55126614830726406</v>
      </c>
    </row>
    <row r="88" spans="1:25" ht="15" customHeight="1" x14ac:dyDescent="0.35">
      <c r="A88" s="52">
        <v>8013461</v>
      </c>
      <c r="B88" s="51">
        <v>46119</v>
      </c>
      <c r="C88" s="7" t="s">
        <v>124</v>
      </c>
      <c r="D88" s="10">
        <f>IFERROR(SUMIFS('Base bordo'!G$2:G$746,'Base bordo'!C$2:C$746,A88,'Base bordo'!B$2:B$746,B88,'Base bordo'!F$2:F$746,"DESLOCAMENTO VAZIO"),0)</f>
        <v>1.4069444444444446</v>
      </c>
      <c r="E88" s="10">
        <f>IFERROR(SUMIFS('Base bordo'!G$2:G$746,'Base bordo'!C$2:C$746,A88,'Base bordo'!B$2:B$746,B88,'Base bordo'!F$2:F$746,"DESLOCAMENTO CARREGADO"),0)</f>
        <v>1.8011111111111111</v>
      </c>
      <c r="F88" s="10">
        <f>IFERROR(SUMIFS('Base bordo'!G$2:G$746,'Base bordo'!C$2:C$746,A88,'Base bordo'!B$2:B$746,B88,'Base bordo'!F$2:F$746,"DESLOCAMENTO"),0)</f>
        <v>0</v>
      </c>
      <c r="G88" s="10">
        <f>IFERROR(SUMIFS('Base bordo'!G$2:G$746,'Base bordo'!C$2:C$746,A88,'Base bordo'!B$2:B$746,B88,'Base bordo'!F$2:F$746,"CARREGAMENTO"),0)</f>
        <v>0</v>
      </c>
      <c r="H88" s="10">
        <f>IFERROR(SUMIFS('Base bordo'!G$2:G$746,'Base bordo'!C$2:C$746,A88,'Base bordo'!B$2:B$746,B88,'Base bordo'!F$2:F$746,"AGUARDANDO TRANSBORDO"),0)</f>
        <v>0.2011111111111111</v>
      </c>
      <c r="I88" s="10">
        <f>IFERROR(SUMIFS('Base bordo'!G$2:G$746,'Base bordo'!C$2:C$746,A88,'Base bordo'!B$2:B$746,B88,'Base bordo'!F$2:F$746,"PÁTIO INTERNO"),0)+IFERROR(SUMIFS('Base bordo'!G$2:G$746,'Base bordo'!C$2:C$746,A88,'Base bordo'!B$2:B$746,B88,'Base bordo'!F$2:F$746,"PÁTIO EXTERNO"),0)+IFERROR(SUMIFS('Base bordo'!G$2:G$746,'Base bordo'!C$2:C$746,A88,'Base bordo'!B$2:B$746,B88,'Base bordo'!F$2:F$746,"PATIO - RESERVA"),0)+IFERROR(SUMIFS('Base bordo'!G$2:G$746,'Base bordo'!C$2:C$746,A88,'Base bordo'!B$2:B$746,B88,'Base bordo'!F$2:F$746,"MANOBRA CARRETAS-PATIO"),0)</f>
        <v>8.8375000000000004</v>
      </c>
      <c r="J88" s="10">
        <f>IFERROR(SUMIFS('Base bordo'!G$2:G$746,'Base bordo'!C$2:C$746,A88,'Base bordo'!B$2:B$746,B88,'Base bordo'!F$2:F$746,"BALANÇA - ENTRADA"),0)+IFERROR(SUMIFS('Base bordo'!G$2:G$746,'Base bordo'!C$2:C$746,A88,'Base bordo'!B$2:B$746,B88,'Base bordo'!F$2:F$746,"BALANÇA - SAÍDA"),0)</f>
        <v>0.15</v>
      </c>
      <c r="K88" s="10">
        <f>IFERROR(SUMIFS('Base bordo'!G$2:G$746,'Base bordo'!C$2:C$746,A88,'Base bordo'!B$2:B$746,B88,'Base bordo'!F$2:F$746,"MAN PREVENTIVA - MECANICA"),0)+IFERROR(SUMIFS('Base bordo'!G$2:G$746,'Base bordo'!C$2:C$746,A88,'Base bordo'!B$2:B$746,B88,'Base bordo'!F$2:F$746,"MAN CORRETIVA - MECANICA"),0)</f>
        <v>0</v>
      </c>
      <c r="L88" s="10">
        <f>IFERROR(SUMIFS('Base bordo'!G$2:G$746,'Base bordo'!C$2:C$746,A88,'Base bordo'!B$2:B$746,B88,'Base bordo'!F$2:F$746,"MANUTENCAO - T O"),0)+IFERROR(SUMIFS('Base bordo'!G$2:G$746,'Base bordo'!C$2:C$746,A88,'Base bordo'!B$2:B$746,B88,'Base bordo'!F$2:F$746,"MANUTENCAO BORRACHARIA"),0)+IFERROR(SUMIFS('Base bordo'!G$2:G$746,'Base bordo'!C$2:C$746,A88,'Base bordo'!B$2:B$746,B88,'Base bordo'!F$2:F$746,"MANUTENCAO EXTERNA  CONCESSIONARIA"),0)+IFERROR(SUMIFS('Base bordo'!G$2:G$746,'Base bordo'!C$2:C$746,A88,'Base bordo'!B$2:B$746,B88,'Base bordo'!F$2:F$746,"MANUTENCAO TELEMETRIA"),0)</f>
        <v>0</v>
      </c>
      <c r="M88" s="10">
        <f>IFERROR(SUMIFS('Base bordo'!G$2:G$746,'Base bordo'!C$2:C$746,A88,'Base bordo'!B$2:B$746,B88,'Base bordo'!F$2:F$746,"AGUARDANDO MANUTENCAO"),0)</f>
        <v>0</v>
      </c>
      <c r="N88" s="10">
        <f>IFERROR(SUMIFS('Base bordo'!G$2:G$746,'Base bordo'!C$2:C$746,A88,'Base bordo'!B$2:B$746,B88,'Base bordo'!F$2:F$746,"SEM APONTAMENTO"),0)</f>
        <v>0</v>
      </c>
      <c r="O88" s="10">
        <f t="shared" si="18"/>
        <v>0.18333333333333357</v>
      </c>
      <c r="P88" s="10">
        <f>IFERROR(SUMIFS('Base bordo'!G$2:G$746,'Base bordo'!C$2:C$746,A88,'Base bordo'!B$2:B$746,B88),0)</f>
        <v>12.58</v>
      </c>
      <c r="Q88" s="10">
        <f>IFERROR(SUMIFS('Base bordo'!H$2:H$746,'Base bordo'!C$2:C$746,A88,'Base bordo'!B$2:B$746,B88,'Base bordo'!F$2:F$746,"DESLOCAMENTO VAZIO"),0)</f>
        <v>177546.48</v>
      </c>
      <c r="R88" s="10">
        <f>IFERROR(SUMIFS('Base bordo'!I$2:I$746,'Base bordo'!C$2:C$746,A88,'Base bordo'!B$2:B$746,B88,'Base bordo'!F$2:F$746,"DESLOCAMENTO VAZIO"),0)</f>
        <v>5065</v>
      </c>
      <c r="S88" s="30">
        <f t="shared" si="19"/>
        <v>35.05359921026654</v>
      </c>
      <c r="T88" s="10">
        <f>IFERROR(SUMIFS('Base bordo'!H$2:H$746,'Base bordo'!C$2:C$746,A88,'Base bordo'!B$2:B$746,B88,'Base bordo'!F$2:F$746,"DESLOCAMENTO CARREGADO"),0)</f>
        <v>173551.50000000003</v>
      </c>
      <c r="U88" s="10">
        <f>IFERROR(SUMIFS('Base bordo'!I$2:I$746,'Base bordo'!C$2:C$746,A88,'Base bordo'!B$2:B$746,B88,'Base bordo'!F$2:F$746,"DESLOCAMENTO CARREGADO"),0)</f>
        <v>6484</v>
      </c>
      <c r="V88" s="30">
        <f t="shared" si="20"/>
        <v>26.766116594694637</v>
      </c>
      <c r="W88" s="9">
        <f t="shared" si="21"/>
        <v>0.11183978095742803</v>
      </c>
      <c r="X88" s="9">
        <f t="shared" si="22"/>
        <v>0.14317258434905494</v>
      </c>
      <c r="Y88" s="9">
        <f t="shared" si="23"/>
        <v>0.74498763469351703</v>
      </c>
    </row>
    <row r="89" spans="1:25" ht="15" customHeight="1" x14ac:dyDescent="0.35">
      <c r="A89" s="52">
        <v>8013472</v>
      </c>
      <c r="B89" s="51">
        <v>46117</v>
      </c>
      <c r="C89" s="7" t="s">
        <v>124</v>
      </c>
      <c r="D89" s="10">
        <f>IFERROR(SUMIFS('Base bordo'!G$2:G$746,'Base bordo'!C$2:C$746,A89,'Base bordo'!B$2:B$746,B89,'Base bordo'!F$2:F$746,"DESLOCAMENTO VAZIO"),0)</f>
        <v>1.5952777777777778</v>
      </c>
      <c r="E89" s="10">
        <f>IFERROR(SUMIFS('Base bordo'!G$2:G$746,'Base bordo'!C$2:C$746,A89,'Base bordo'!B$2:B$746,B89,'Base bordo'!F$2:F$746,"DESLOCAMENTO CARREGADO"),0)</f>
        <v>0</v>
      </c>
      <c r="F89" s="10">
        <f>IFERROR(SUMIFS('Base bordo'!G$2:G$746,'Base bordo'!C$2:C$746,A89,'Base bordo'!B$2:B$746,B89,'Base bordo'!F$2:F$746,"DESLOCAMENTO"),0)</f>
        <v>6.8641666666666667</v>
      </c>
      <c r="G89" s="10">
        <f>IFERROR(SUMIFS('Base bordo'!G$2:G$746,'Base bordo'!C$2:C$746,A89,'Base bordo'!B$2:B$746,B89,'Base bordo'!F$2:F$746,"CARREGAMENTO"),0)</f>
        <v>0.42805555555555558</v>
      </c>
      <c r="H89" s="10">
        <f>IFERROR(SUMIFS('Base bordo'!G$2:G$746,'Base bordo'!C$2:C$746,A89,'Base bordo'!B$2:B$746,B89,'Base bordo'!F$2:F$746,"AGUARDANDO TRANSBORDO"),0)</f>
        <v>0.26416666666666666</v>
      </c>
      <c r="I89" s="10">
        <f>IFERROR(SUMIFS('Base bordo'!G$2:G$746,'Base bordo'!C$2:C$746,A89,'Base bordo'!B$2:B$746,B89,'Base bordo'!F$2:F$746,"PÁTIO INTERNO"),0)+IFERROR(SUMIFS('Base bordo'!G$2:G$746,'Base bordo'!C$2:C$746,A89,'Base bordo'!B$2:B$746,B89,'Base bordo'!F$2:F$746,"PÁTIO EXTERNO"),0)+IFERROR(SUMIFS('Base bordo'!G$2:G$746,'Base bordo'!C$2:C$746,A89,'Base bordo'!B$2:B$746,B89,'Base bordo'!F$2:F$746,"PATIO - RESERVA"),0)+IFERROR(SUMIFS('Base bordo'!G$2:G$746,'Base bordo'!C$2:C$746,A89,'Base bordo'!B$2:B$746,B89,'Base bordo'!F$2:F$746,"MANOBRA CARRETAS-PATIO"),0)</f>
        <v>0</v>
      </c>
      <c r="J89" s="10">
        <f>IFERROR(SUMIFS('Base bordo'!G$2:G$746,'Base bordo'!C$2:C$746,A89,'Base bordo'!B$2:B$746,B89,'Base bordo'!F$2:F$746,"BALANÇA - ENTRADA"),0)+IFERROR(SUMIFS('Base bordo'!G$2:G$746,'Base bordo'!C$2:C$746,A89,'Base bordo'!B$2:B$746,B89,'Base bordo'!F$2:F$746,"BALANÇA - SAÍDA"),0)</f>
        <v>0</v>
      </c>
      <c r="K89" s="10">
        <f>IFERROR(SUMIFS('Base bordo'!G$2:G$746,'Base bordo'!C$2:C$746,A89,'Base bordo'!B$2:B$746,B89,'Base bordo'!F$2:F$746,"MAN PREVENTIVA - MECANICA"),0)+IFERROR(SUMIFS('Base bordo'!G$2:G$746,'Base bordo'!C$2:C$746,A89,'Base bordo'!B$2:B$746,B89,'Base bordo'!F$2:F$746,"MAN CORRETIVA - MECANICA"),0)</f>
        <v>0</v>
      </c>
      <c r="L89" s="10">
        <f>IFERROR(SUMIFS('Base bordo'!G$2:G$746,'Base bordo'!C$2:C$746,A89,'Base bordo'!B$2:B$746,B89,'Base bordo'!F$2:F$746,"MANUTENCAO - T O"),0)+IFERROR(SUMIFS('Base bordo'!G$2:G$746,'Base bordo'!C$2:C$746,A89,'Base bordo'!B$2:B$746,B89,'Base bordo'!F$2:F$746,"MANUTENCAO BORRACHARIA"),0)+IFERROR(SUMIFS('Base bordo'!G$2:G$746,'Base bordo'!C$2:C$746,A89,'Base bordo'!B$2:B$746,B89,'Base bordo'!F$2:F$746,"MANUTENCAO EXTERNA  CONCESSIONARIA"),0)+IFERROR(SUMIFS('Base bordo'!G$2:G$746,'Base bordo'!C$2:C$746,A89,'Base bordo'!B$2:B$746,B89,'Base bordo'!F$2:F$746,"MANUTENCAO TELEMETRIA"),0)</f>
        <v>1.0469444444444445</v>
      </c>
      <c r="M89" s="10">
        <f>IFERROR(SUMIFS('Base bordo'!G$2:G$746,'Base bordo'!C$2:C$746,A89,'Base bordo'!B$2:B$746,B89,'Base bordo'!F$2:F$746,"AGUARDANDO MANUTENCAO"),0)</f>
        <v>0</v>
      </c>
      <c r="N89" s="10">
        <f>IFERROR(SUMIFS('Base bordo'!G$2:G$746,'Base bordo'!C$2:C$746,A89,'Base bordo'!B$2:B$746,B89,'Base bordo'!F$2:F$746,"SEM APONTAMENTO"),0)</f>
        <v>6.7500000000000004E-2</v>
      </c>
      <c r="O89" s="10">
        <f t="shared" si="18"/>
        <v>0</v>
      </c>
      <c r="P89" s="10">
        <f>IFERROR(SUMIFS('Base bordo'!G$2:G$746,'Base bordo'!C$2:C$746,A89,'Base bordo'!B$2:B$746,B89),0)</f>
        <v>10.266111111111112</v>
      </c>
      <c r="Q89" s="10">
        <f>IFERROR(SUMIFS('Base bordo'!H$2:H$746,'Base bordo'!C$2:C$746,A89,'Base bordo'!B$2:B$746,B89,'Base bordo'!F$2:F$746,"DESLOCAMENTO VAZIO"),0)</f>
        <v>176836.76</v>
      </c>
      <c r="R89" s="10">
        <f>IFERROR(SUMIFS('Base bordo'!I$2:I$746,'Base bordo'!C$2:C$746,A89,'Base bordo'!B$2:B$746,B89,'Base bordo'!F$2:F$746,"DESLOCAMENTO VAZIO"),0)</f>
        <v>5743</v>
      </c>
      <c r="S89" s="30">
        <f t="shared" si="19"/>
        <v>30.791704683963086</v>
      </c>
      <c r="T89" s="10">
        <f>IFERROR(SUMIFS('Base bordo'!H$2:H$746,'Base bordo'!C$2:C$746,A89,'Base bordo'!B$2:B$746,B89,'Base bordo'!F$2:F$746,"DESLOCAMENTO CARREGADO"),0)</f>
        <v>0</v>
      </c>
      <c r="U89" s="10">
        <f>IFERROR(SUMIFS('Base bordo'!I$2:I$746,'Base bordo'!C$2:C$746,A89,'Base bordo'!B$2:B$746,B89,'Base bordo'!F$2:F$746,"DESLOCAMENTO CARREGADO"),0)</f>
        <v>0</v>
      </c>
      <c r="V89" s="30" t="str">
        <f t="shared" si="20"/>
        <v/>
      </c>
      <c r="W89" s="9">
        <f t="shared" si="21"/>
        <v>0.15539260782509876</v>
      </c>
      <c r="X89" s="9">
        <f t="shared" si="22"/>
        <v>0</v>
      </c>
      <c r="Y89" s="9">
        <f t="shared" si="23"/>
        <v>0.84460739217490122</v>
      </c>
    </row>
    <row r="90" spans="1:25" ht="15" customHeight="1" x14ac:dyDescent="0.35">
      <c r="A90" s="52">
        <v>8013482</v>
      </c>
      <c r="B90" s="51">
        <v>46123</v>
      </c>
      <c r="C90" s="7" t="s">
        <v>124</v>
      </c>
      <c r="D90" s="10">
        <f>IFERROR(SUMIFS('Base bordo'!G$2:G$746,'Base bordo'!C$2:C$746,A90,'Base bordo'!B$2:B$746,B90,'Base bordo'!F$2:F$746,"DESLOCAMENTO VAZIO"),0)</f>
        <v>1.418611111111111</v>
      </c>
      <c r="E90" s="10">
        <f>IFERROR(SUMIFS('Base bordo'!G$2:G$746,'Base bordo'!C$2:C$746,A90,'Base bordo'!B$2:B$746,B90,'Base bordo'!F$2:F$746,"DESLOCAMENTO CARREGADO"),0)</f>
        <v>1.481111111111111</v>
      </c>
      <c r="F90" s="10">
        <f>IFERROR(SUMIFS('Base bordo'!G$2:G$746,'Base bordo'!C$2:C$746,A90,'Base bordo'!B$2:B$746,B90,'Base bordo'!F$2:F$746,"DESLOCAMENTO"),0)</f>
        <v>0</v>
      </c>
      <c r="G90" s="10">
        <f>IFERROR(SUMIFS('Base bordo'!G$2:G$746,'Base bordo'!C$2:C$746,A90,'Base bordo'!B$2:B$746,B90,'Base bordo'!F$2:F$746,"CARREGAMENTO"),0)</f>
        <v>0</v>
      </c>
      <c r="H90" s="10">
        <f>IFERROR(SUMIFS('Base bordo'!G$2:G$746,'Base bordo'!C$2:C$746,A90,'Base bordo'!B$2:B$746,B90,'Base bordo'!F$2:F$746,"AGUARDANDO TRANSBORDO"),0)</f>
        <v>0.2361111111111111</v>
      </c>
      <c r="I90" s="10">
        <f>IFERROR(SUMIFS('Base bordo'!G$2:G$746,'Base bordo'!C$2:C$746,A90,'Base bordo'!B$2:B$746,B90,'Base bordo'!F$2:F$746,"PÁTIO INTERNO"),0)+IFERROR(SUMIFS('Base bordo'!G$2:G$746,'Base bordo'!C$2:C$746,A90,'Base bordo'!B$2:B$746,B90,'Base bordo'!F$2:F$746,"PÁTIO EXTERNO"),0)+IFERROR(SUMIFS('Base bordo'!G$2:G$746,'Base bordo'!C$2:C$746,A90,'Base bordo'!B$2:B$746,B90,'Base bordo'!F$2:F$746,"PATIO - RESERVA"),0)+IFERROR(SUMIFS('Base bordo'!G$2:G$746,'Base bordo'!C$2:C$746,A90,'Base bordo'!B$2:B$746,B90,'Base bordo'!F$2:F$746,"MANOBRA CARRETAS-PATIO"),0)</f>
        <v>0</v>
      </c>
      <c r="J90" s="10">
        <f>IFERROR(SUMIFS('Base bordo'!G$2:G$746,'Base bordo'!C$2:C$746,A90,'Base bordo'!B$2:B$746,B90,'Base bordo'!F$2:F$746,"BALANÇA - ENTRADA"),0)+IFERROR(SUMIFS('Base bordo'!G$2:G$746,'Base bordo'!C$2:C$746,A90,'Base bordo'!B$2:B$746,B90,'Base bordo'!F$2:F$746,"BALANÇA - SAÍDA"),0)</f>
        <v>0</v>
      </c>
      <c r="K90" s="10">
        <f>IFERROR(SUMIFS('Base bordo'!G$2:G$746,'Base bordo'!C$2:C$746,A90,'Base bordo'!B$2:B$746,B90,'Base bordo'!F$2:F$746,"MAN PREVENTIVA - MECANICA"),0)+IFERROR(SUMIFS('Base bordo'!G$2:G$746,'Base bordo'!C$2:C$746,A90,'Base bordo'!B$2:B$746,B90,'Base bordo'!F$2:F$746,"MAN CORRETIVA - MECANICA"),0)</f>
        <v>0</v>
      </c>
      <c r="L90" s="10">
        <f>IFERROR(SUMIFS('Base bordo'!G$2:G$746,'Base bordo'!C$2:C$746,A90,'Base bordo'!B$2:B$746,B90,'Base bordo'!F$2:F$746,"MANUTENCAO - T O"),0)+IFERROR(SUMIFS('Base bordo'!G$2:G$746,'Base bordo'!C$2:C$746,A90,'Base bordo'!B$2:B$746,B90,'Base bordo'!F$2:F$746,"MANUTENCAO BORRACHARIA"),0)+IFERROR(SUMIFS('Base bordo'!G$2:G$746,'Base bordo'!C$2:C$746,A90,'Base bordo'!B$2:B$746,B90,'Base bordo'!F$2:F$746,"MANUTENCAO EXTERNA  CONCESSIONARIA"),0)+IFERROR(SUMIFS('Base bordo'!G$2:G$746,'Base bordo'!C$2:C$746,A90,'Base bordo'!B$2:B$746,B90,'Base bordo'!F$2:F$746,"MANUTENCAO TELEMETRIA"),0)</f>
        <v>0</v>
      </c>
      <c r="M90" s="10">
        <f>IFERROR(SUMIFS('Base bordo'!G$2:G$746,'Base bordo'!C$2:C$746,A90,'Base bordo'!B$2:B$746,B90,'Base bordo'!F$2:F$746,"AGUARDANDO MANUTENCAO"),0)</f>
        <v>0</v>
      </c>
      <c r="N90" s="10">
        <f>IFERROR(SUMIFS('Base bordo'!G$2:G$746,'Base bordo'!C$2:C$746,A90,'Base bordo'!B$2:B$746,B90,'Base bordo'!F$2:F$746,"SEM APONTAMENTO"),0)</f>
        <v>0</v>
      </c>
      <c r="O90" s="10">
        <f t="shared" si="18"/>
        <v>6.1111111111111782E-3</v>
      </c>
      <c r="P90" s="10">
        <f>IFERROR(SUMIFS('Base bordo'!G$2:G$746,'Base bordo'!C$2:C$746,A90,'Base bordo'!B$2:B$746,B90),0)</f>
        <v>3.1419444444444444</v>
      </c>
      <c r="Q90" s="10">
        <f>IFERROR(SUMIFS('Base bordo'!H$2:H$746,'Base bordo'!C$2:C$746,A90,'Base bordo'!B$2:B$746,B90,'Base bordo'!F$2:F$746,"DESLOCAMENTO VAZIO"),0)</f>
        <v>176641.12</v>
      </c>
      <c r="R90" s="10">
        <f>IFERROR(SUMIFS('Base bordo'!I$2:I$746,'Base bordo'!C$2:C$746,A90,'Base bordo'!B$2:B$746,B90,'Base bordo'!F$2:F$746,"DESLOCAMENTO VAZIO"),0)</f>
        <v>5107</v>
      </c>
      <c r="S90" s="30">
        <f t="shared" si="19"/>
        <v>34.588039945173293</v>
      </c>
      <c r="T90" s="10">
        <f>IFERROR(SUMIFS('Base bordo'!H$2:H$746,'Base bordo'!C$2:C$746,A90,'Base bordo'!B$2:B$746,B90,'Base bordo'!F$2:F$746,"DESLOCAMENTO CARREGADO"),0)</f>
        <v>111130.40000000001</v>
      </c>
      <c r="U90" s="10">
        <f>IFERROR(SUMIFS('Base bordo'!I$2:I$746,'Base bordo'!C$2:C$746,A90,'Base bordo'!B$2:B$746,B90,'Base bordo'!F$2:F$746,"DESLOCAMENTO CARREGADO"),0)</f>
        <v>5332</v>
      </c>
      <c r="V90" s="30">
        <f t="shared" si="20"/>
        <v>20.842160540135037</v>
      </c>
      <c r="W90" s="9">
        <f t="shared" si="21"/>
        <v>0.45150738219432407</v>
      </c>
      <c r="X90" s="9">
        <f t="shared" si="22"/>
        <v>0.47139952258863049</v>
      </c>
      <c r="Y90" s="9">
        <f t="shared" si="23"/>
        <v>7.7093095217045438E-2</v>
      </c>
    </row>
    <row r="91" spans="1:25" ht="15" customHeight="1" x14ac:dyDescent="0.35">
      <c r="A91" s="52">
        <v>8013474</v>
      </c>
      <c r="B91" s="51">
        <v>46119</v>
      </c>
      <c r="C91" s="7" t="s">
        <v>124</v>
      </c>
      <c r="D91" s="10">
        <f>IFERROR(SUMIFS('Base bordo'!G$2:G$746,'Base bordo'!C$2:C$746,A91,'Base bordo'!B$2:B$746,B91,'Base bordo'!F$2:F$746,"DESLOCAMENTO VAZIO"),0)</f>
        <v>1.3672222222222221</v>
      </c>
      <c r="E91" s="10">
        <f>IFERROR(SUMIFS('Base bordo'!G$2:G$746,'Base bordo'!C$2:C$746,A91,'Base bordo'!B$2:B$746,B91,'Base bordo'!F$2:F$746,"DESLOCAMENTO CARREGADO"),0)</f>
        <v>2.1927777777777777</v>
      </c>
      <c r="F91" s="10">
        <f>IFERROR(SUMIFS('Base bordo'!G$2:G$746,'Base bordo'!C$2:C$746,A91,'Base bordo'!B$2:B$746,B91,'Base bordo'!F$2:F$746,"DESLOCAMENTO"),0)</f>
        <v>0</v>
      </c>
      <c r="G91" s="10">
        <f>IFERROR(SUMIFS('Base bordo'!G$2:G$746,'Base bordo'!C$2:C$746,A91,'Base bordo'!B$2:B$746,B91,'Base bordo'!F$2:F$746,"CARREGAMENTO"),0)</f>
        <v>0</v>
      </c>
      <c r="H91" s="10">
        <f>IFERROR(SUMIFS('Base bordo'!G$2:G$746,'Base bordo'!C$2:C$746,A91,'Base bordo'!B$2:B$746,B91,'Base bordo'!F$2:F$746,"AGUARDANDO TRANSBORDO"),0)</f>
        <v>0.30111111111111111</v>
      </c>
      <c r="I91" s="10">
        <f>IFERROR(SUMIFS('Base bordo'!G$2:G$746,'Base bordo'!C$2:C$746,A91,'Base bordo'!B$2:B$746,B91,'Base bordo'!F$2:F$746,"PÁTIO INTERNO"),0)+IFERROR(SUMIFS('Base bordo'!G$2:G$746,'Base bordo'!C$2:C$746,A91,'Base bordo'!B$2:B$746,B91,'Base bordo'!F$2:F$746,"PÁTIO EXTERNO"),0)+IFERROR(SUMIFS('Base bordo'!G$2:G$746,'Base bordo'!C$2:C$746,A91,'Base bordo'!B$2:B$746,B91,'Base bordo'!F$2:F$746,"PATIO - RESERVA"),0)+IFERROR(SUMIFS('Base bordo'!G$2:G$746,'Base bordo'!C$2:C$746,A91,'Base bordo'!B$2:B$746,B91,'Base bordo'!F$2:F$746,"MANOBRA CARRETAS-PATIO"),0)</f>
        <v>19.229166666666668</v>
      </c>
      <c r="J91" s="10">
        <f>IFERROR(SUMIFS('Base bordo'!G$2:G$746,'Base bordo'!C$2:C$746,A91,'Base bordo'!B$2:B$746,B91,'Base bordo'!F$2:F$746,"BALANÇA - ENTRADA"),0)+IFERROR(SUMIFS('Base bordo'!G$2:G$746,'Base bordo'!C$2:C$746,A91,'Base bordo'!B$2:B$746,B91,'Base bordo'!F$2:F$746,"BALANÇA - SAÍDA"),0)</f>
        <v>2.8611111111111108E-2</v>
      </c>
      <c r="K91" s="10">
        <f>IFERROR(SUMIFS('Base bordo'!G$2:G$746,'Base bordo'!C$2:C$746,A91,'Base bordo'!B$2:B$746,B91,'Base bordo'!F$2:F$746,"MAN PREVENTIVA - MECANICA"),0)+IFERROR(SUMIFS('Base bordo'!G$2:G$746,'Base bordo'!C$2:C$746,A91,'Base bordo'!B$2:B$746,B91,'Base bordo'!F$2:F$746,"MAN CORRETIVA - MECANICA"),0)</f>
        <v>0</v>
      </c>
      <c r="L91" s="10">
        <f>IFERROR(SUMIFS('Base bordo'!G$2:G$746,'Base bordo'!C$2:C$746,A91,'Base bordo'!B$2:B$746,B91,'Base bordo'!F$2:F$746,"MANUTENCAO - T O"),0)+IFERROR(SUMIFS('Base bordo'!G$2:G$746,'Base bordo'!C$2:C$746,A91,'Base bordo'!B$2:B$746,B91,'Base bordo'!F$2:F$746,"MANUTENCAO BORRACHARIA"),0)+IFERROR(SUMIFS('Base bordo'!G$2:G$746,'Base bordo'!C$2:C$746,A91,'Base bordo'!B$2:B$746,B91,'Base bordo'!F$2:F$746,"MANUTENCAO EXTERNA  CONCESSIONARIA"),0)+IFERROR(SUMIFS('Base bordo'!G$2:G$746,'Base bordo'!C$2:C$746,A91,'Base bordo'!B$2:B$746,B91,'Base bordo'!F$2:F$746,"MANUTENCAO TELEMETRIA"),0)</f>
        <v>0</v>
      </c>
      <c r="M91" s="10">
        <f>IFERROR(SUMIFS('Base bordo'!G$2:G$746,'Base bordo'!C$2:C$746,A91,'Base bordo'!B$2:B$746,B91,'Base bordo'!F$2:F$746,"AGUARDANDO MANUTENCAO"),0)</f>
        <v>0</v>
      </c>
      <c r="N91" s="10">
        <f>IFERROR(SUMIFS('Base bordo'!G$2:G$746,'Base bordo'!C$2:C$746,A91,'Base bordo'!B$2:B$746,B91,'Base bordo'!F$2:F$746,"SEM APONTAMENTO"),0)</f>
        <v>0</v>
      </c>
      <c r="O91" s="10">
        <f t="shared" si="18"/>
        <v>0</v>
      </c>
      <c r="P91" s="10">
        <f>IFERROR(SUMIFS('Base bordo'!G$2:G$746,'Base bordo'!C$2:C$746,A91,'Base bordo'!B$2:B$746,B91),0)</f>
        <v>23.11888888888889</v>
      </c>
      <c r="Q91" s="10">
        <f>IFERROR(SUMIFS('Base bordo'!H$2:H$746,'Base bordo'!C$2:C$746,A91,'Base bordo'!B$2:B$746,B91,'Base bordo'!F$2:F$746,"DESLOCAMENTO VAZIO"),0)</f>
        <v>176172.38</v>
      </c>
      <c r="R91" s="10">
        <f>IFERROR(SUMIFS('Base bordo'!I$2:I$746,'Base bordo'!C$2:C$746,A91,'Base bordo'!B$2:B$746,B91,'Base bordo'!F$2:F$746,"DESLOCAMENTO VAZIO"),0)</f>
        <v>4922</v>
      </c>
      <c r="S91" s="30">
        <f t="shared" si="19"/>
        <v>35.792844372206424</v>
      </c>
      <c r="T91" s="10">
        <f>IFERROR(SUMIFS('Base bordo'!H$2:H$746,'Base bordo'!C$2:C$746,A91,'Base bordo'!B$2:B$746,B91,'Base bordo'!F$2:F$746,"DESLOCAMENTO CARREGADO"),0)</f>
        <v>181456.72999999998</v>
      </c>
      <c r="U91" s="10">
        <f>IFERROR(SUMIFS('Base bordo'!I$2:I$746,'Base bordo'!C$2:C$746,A91,'Base bordo'!B$2:B$746,B91,'Base bordo'!F$2:F$746,"DESLOCAMENTO CARREGADO"),0)</f>
        <v>7894</v>
      </c>
      <c r="V91" s="30">
        <f t="shared" si="20"/>
        <v>22.986664555358498</v>
      </c>
      <c r="W91" s="9">
        <f t="shared" si="21"/>
        <v>5.913875138174652E-2</v>
      </c>
      <c r="X91" s="9">
        <f t="shared" si="22"/>
        <v>9.4847887730090827E-2</v>
      </c>
      <c r="Y91" s="9">
        <f t="shared" si="23"/>
        <v>0.84601336088816259</v>
      </c>
    </row>
    <row r="92" spans="1:25" ht="15" customHeight="1" x14ac:dyDescent="0.35">
      <c r="A92" s="52">
        <v>8013484</v>
      </c>
      <c r="B92" s="51">
        <v>46124</v>
      </c>
      <c r="C92" s="7" t="s">
        <v>124</v>
      </c>
      <c r="D92" s="10">
        <f>IFERROR(SUMIFS('Base bordo'!G$2:G$746,'Base bordo'!C$2:C$746,A92,'Base bordo'!B$2:B$746,B92,'Base bordo'!F$2:F$746,"DESLOCAMENTO VAZIO"),0)</f>
        <v>2.078611111111111</v>
      </c>
      <c r="E92" s="10">
        <f>IFERROR(SUMIFS('Base bordo'!G$2:G$746,'Base bordo'!C$2:C$746,A92,'Base bordo'!B$2:B$746,B92,'Base bordo'!F$2:F$746,"DESLOCAMENTO CARREGADO"),0)</f>
        <v>2.0197222222222222</v>
      </c>
      <c r="F92" s="10">
        <f>IFERROR(SUMIFS('Base bordo'!G$2:G$746,'Base bordo'!C$2:C$746,A92,'Base bordo'!B$2:B$746,B92,'Base bordo'!F$2:F$746,"DESLOCAMENTO"),0)</f>
        <v>0.28999999999999998</v>
      </c>
      <c r="G92" s="10">
        <f>IFERROR(SUMIFS('Base bordo'!G$2:G$746,'Base bordo'!C$2:C$746,A92,'Base bordo'!B$2:B$746,B92,'Base bordo'!F$2:F$746,"CARREGAMENTO"),0)</f>
        <v>0</v>
      </c>
      <c r="H92" s="10">
        <f>IFERROR(SUMIFS('Base bordo'!G$2:G$746,'Base bordo'!C$2:C$746,A92,'Base bordo'!B$2:B$746,B92,'Base bordo'!F$2:F$746,"AGUARDANDO TRANSBORDO"),0)</f>
        <v>0.16944444444444445</v>
      </c>
      <c r="I92" s="10">
        <f>IFERROR(SUMIFS('Base bordo'!G$2:G$746,'Base bordo'!C$2:C$746,A92,'Base bordo'!B$2:B$746,B92,'Base bordo'!F$2:F$746,"PÁTIO INTERNO"),0)+IFERROR(SUMIFS('Base bordo'!G$2:G$746,'Base bordo'!C$2:C$746,A92,'Base bordo'!B$2:B$746,B92,'Base bordo'!F$2:F$746,"PÁTIO EXTERNO"),0)+IFERROR(SUMIFS('Base bordo'!G$2:G$746,'Base bordo'!C$2:C$746,A92,'Base bordo'!B$2:B$746,B92,'Base bordo'!F$2:F$746,"PATIO - RESERVA"),0)+IFERROR(SUMIFS('Base bordo'!G$2:G$746,'Base bordo'!C$2:C$746,A92,'Base bordo'!B$2:B$746,B92,'Base bordo'!F$2:F$746,"MANOBRA CARRETAS-PATIO"),0)</f>
        <v>10.112499999999999</v>
      </c>
      <c r="J92" s="10">
        <f>IFERROR(SUMIFS('Base bordo'!G$2:G$746,'Base bordo'!C$2:C$746,A92,'Base bordo'!B$2:B$746,B92,'Base bordo'!F$2:F$746,"BALANÇA - ENTRADA"),0)+IFERROR(SUMIFS('Base bordo'!G$2:G$746,'Base bordo'!C$2:C$746,A92,'Base bordo'!B$2:B$746,B92,'Base bordo'!F$2:F$746,"BALANÇA - SAÍDA"),0)</f>
        <v>0.13666666666666666</v>
      </c>
      <c r="K92" s="10">
        <f>IFERROR(SUMIFS('Base bordo'!G$2:G$746,'Base bordo'!C$2:C$746,A92,'Base bordo'!B$2:B$746,B92,'Base bordo'!F$2:F$746,"MAN PREVENTIVA - MECANICA"),0)+IFERROR(SUMIFS('Base bordo'!G$2:G$746,'Base bordo'!C$2:C$746,A92,'Base bordo'!B$2:B$746,B92,'Base bordo'!F$2:F$746,"MAN CORRETIVA - MECANICA"),0)</f>
        <v>0</v>
      </c>
      <c r="L92" s="10">
        <f>IFERROR(SUMIFS('Base bordo'!G$2:G$746,'Base bordo'!C$2:C$746,A92,'Base bordo'!B$2:B$746,B92,'Base bordo'!F$2:F$746,"MANUTENCAO - T O"),0)+IFERROR(SUMIFS('Base bordo'!G$2:G$746,'Base bordo'!C$2:C$746,A92,'Base bordo'!B$2:B$746,B92,'Base bordo'!F$2:F$746,"MANUTENCAO BORRACHARIA"),0)+IFERROR(SUMIFS('Base bordo'!G$2:G$746,'Base bordo'!C$2:C$746,A92,'Base bordo'!B$2:B$746,B92,'Base bordo'!F$2:F$746,"MANUTENCAO EXTERNA  CONCESSIONARIA"),0)+IFERROR(SUMIFS('Base bordo'!G$2:G$746,'Base bordo'!C$2:C$746,A92,'Base bordo'!B$2:B$746,B92,'Base bordo'!F$2:F$746,"MANUTENCAO TELEMETRIA"),0)</f>
        <v>0.28944444444444445</v>
      </c>
      <c r="M92" s="10">
        <f>IFERROR(SUMIFS('Base bordo'!G$2:G$746,'Base bordo'!C$2:C$746,A92,'Base bordo'!B$2:B$746,B92,'Base bordo'!F$2:F$746,"AGUARDANDO MANUTENCAO"),0)</f>
        <v>0</v>
      </c>
      <c r="N92" s="10">
        <f>IFERROR(SUMIFS('Base bordo'!G$2:G$746,'Base bordo'!C$2:C$746,A92,'Base bordo'!B$2:B$746,B92,'Base bordo'!F$2:F$746,"SEM APONTAMENTO"),0)</f>
        <v>0</v>
      </c>
      <c r="O92" s="10">
        <f t="shared" si="18"/>
        <v>0</v>
      </c>
      <c r="P92" s="10">
        <f>IFERROR(SUMIFS('Base bordo'!G$2:G$746,'Base bordo'!C$2:C$746,A92,'Base bordo'!B$2:B$746,B92),0)</f>
        <v>15.096388888888889</v>
      </c>
      <c r="Q92" s="10">
        <f>IFERROR(SUMIFS('Base bordo'!H$2:H$746,'Base bordo'!C$2:C$746,A92,'Base bordo'!B$2:B$746,B92,'Base bordo'!F$2:F$746,"DESLOCAMENTO VAZIO"),0)</f>
        <v>217205.70999999996</v>
      </c>
      <c r="R92" s="10">
        <f>IFERROR(SUMIFS('Base bordo'!I$2:I$746,'Base bordo'!C$2:C$746,A92,'Base bordo'!B$2:B$746,B92,'Base bordo'!F$2:F$746,"DESLOCAMENTO VAZIO"),0)</f>
        <v>7483</v>
      </c>
      <c r="S92" s="30">
        <f t="shared" si="19"/>
        <v>29.026554857677397</v>
      </c>
      <c r="T92" s="10">
        <f>IFERROR(SUMIFS('Base bordo'!H$2:H$746,'Base bordo'!C$2:C$746,A92,'Base bordo'!B$2:B$746,B92,'Base bordo'!F$2:F$746,"DESLOCAMENTO CARREGADO"),0)</f>
        <v>176129.33000000002</v>
      </c>
      <c r="U92" s="10">
        <f>IFERROR(SUMIFS('Base bordo'!I$2:I$746,'Base bordo'!C$2:C$746,A92,'Base bordo'!B$2:B$746,B92,'Base bordo'!F$2:F$746,"DESLOCAMENTO CARREGADO"),0)</f>
        <v>7271</v>
      </c>
      <c r="V92" s="30">
        <f t="shared" si="20"/>
        <v>24.22353596479164</v>
      </c>
      <c r="W92" s="9">
        <f t="shared" si="21"/>
        <v>0.13768929287725173</v>
      </c>
      <c r="X92" s="9">
        <f t="shared" si="22"/>
        <v>0.13378843358419049</v>
      </c>
      <c r="Y92" s="9">
        <f t="shared" si="23"/>
        <v>0.72852227353855781</v>
      </c>
    </row>
    <row r="93" spans="1:25" ht="15" customHeight="1" x14ac:dyDescent="0.35">
      <c r="A93" s="52">
        <v>8013476</v>
      </c>
      <c r="B93" s="51">
        <v>46123</v>
      </c>
      <c r="C93" s="7" t="s">
        <v>124</v>
      </c>
      <c r="D93" s="10">
        <f>IFERROR(SUMIFS('Base bordo'!G$2:G$746,'Base bordo'!C$2:C$746,A93,'Base bordo'!B$2:B$746,B93,'Base bordo'!F$2:F$746,"DESLOCAMENTO VAZIO"),0)</f>
        <v>1.3552777777777778</v>
      </c>
      <c r="E93" s="10">
        <f>IFERROR(SUMIFS('Base bordo'!G$2:G$746,'Base bordo'!C$2:C$746,A93,'Base bordo'!B$2:B$746,B93,'Base bordo'!F$2:F$746,"DESLOCAMENTO CARREGADO"),0)</f>
        <v>1.9111111111111112</v>
      </c>
      <c r="F93" s="10">
        <f>IFERROR(SUMIFS('Base bordo'!G$2:G$746,'Base bordo'!C$2:C$746,A93,'Base bordo'!B$2:B$746,B93,'Base bordo'!F$2:F$746,"DESLOCAMENTO"),0)</f>
        <v>0</v>
      </c>
      <c r="G93" s="10">
        <f>IFERROR(SUMIFS('Base bordo'!G$2:G$746,'Base bordo'!C$2:C$746,A93,'Base bordo'!B$2:B$746,B93,'Base bordo'!F$2:F$746,"CARREGAMENTO"),0)</f>
        <v>0</v>
      </c>
      <c r="H93" s="10">
        <f>IFERROR(SUMIFS('Base bordo'!G$2:G$746,'Base bordo'!C$2:C$746,A93,'Base bordo'!B$2:B$746,B93,'Base bordo'!F$2:F$746,"AGUARDANDO TRANSBORDO"),0)</f>
        <v>0.59861111111111109</v>
      </c>
      <c r="I93" s="10">
        <f>IFERROR(SUMIFS('Base bordo'!G$2:G$746,'Base bordo'!C$2:C$746,A93,'Base bordo'!B$2:B$746,B93,'Base bordo'!F$2:F$746,"PÁTIO INTERNO"),0)+IFERROR(SUMIFS('Base bordo'!G$2:G$746,'Base bordo'!C$2:C$746,A93,'Base bordo'!B$2:B$746,B93,'Base bordo'!F$2:F$746,"PÁTIO EXTERNO"),0)+IFERROR(SUMIFS('Base bordo'!G$2:G$746,'Base bordo'!C$2:C$746,A93,'Base bordo'!B$2:B$746,B93,'Base bordo'!F$2:F$746,"PATIO - RESERVA"),0)+IFERROR(SUMIFS('Base bordo'!G$2:G$746,'Base bordo'!C$2:C$746,A93,'Base bordo'!B$2:B$746,B93,'Base bordo'!F$2:F$746,"MANOBRA CARRETAS-PATIO"),0)</f>
        <v>0</v>
      </c>
      <c r="J93" s="10">
        <f>IFERROR(SUMIFS('Base bordo'!G$2:G$746,'Base bordo'!C$2:C$746,A93,'Base bordo'!B$2:B$746,B93,'Base bordo'!F$2:F$746,"BALANÇA - ENTRADA"),0)+IFERROR(SUMIFS('Base bordo'!G$2:G$746,'Base bordo'!C$2:C$746,A93,'Base bordo'!B$2:B$746,B93,'Base bordo'!F$2:F$746,"BALANÇA - SAÍDA"),0)</f>
        <v>0</v>
      </c>
      <c r="K93" s="10">
        <f>IFERROR(SUMIFS('Base bordo'!G$2:G$746,'Base bordo'!C$2:C$746,A93,'Base bordo'!B$2:B$746,B93,'Base bordo'!F$2:F$746,"MAN PREVENTIVA - MECANICA"),0)+IFERROR(SUMIFS('Base bordo'!G$2:G$746,'Base bordo'!C$2:C$746,A93,'Base bordo'!B$2:B$746,B93,'Base bordo'!F$2:F$746,"MAN CORRETIVA - MECANICA"),0)</f>
        <v>0</v>
      </c>
      <c r="L93" s="10">
        <f>IFERROR(SUMIFS('Base bordo'!G$2:G$746,'Base bordo'!C$2:C$746,A93,'Base bordo'!B$2:B$746,B93,'Base bordo'!F$2:F$746,"MANUTENCAO - T O"),0)+IFERROR(SUMIFS('Base bordo'!G$2:G$746,'Base bordo'!C$2:C$746,A93,'Base bordo'!B$2:B$746,B93,'Base bordo'!F$2:F$746,"MANUTENCAO BORRACHARIA"),0)+IFERROR(SUMIFS('Base bordo'!G$2:G$746,'Base bordo'!C$2:C$746,A93,'Base bordo'!B$2:B$746,B93,'Base bordo'!F$2:F$746,"MANUTENCAO EXTERNA  CONCESSIONARIA"),0)+IFERROR(SUMIFS('Base bordo'!G$2:G$746,'Base bordo'!C$2:C$746,A93,'Base bordo'!B$2:B$746,B93,'Base bordo'!F$2:F$746,"MANUTENCAO TELEMETRIA"),0)</f>
        <v>0</v>
      </c>
      <c r="M93" s="10">
        <f>IFERROR(SUMIFS('Base bordo'!G$2:G$746,'Base bordo'!C$2:C$746,A93,'Base bordo'!B$2:B$746,B93,'Base bordo'!F$2:F$746,"AGUARDANDO MANUTENCAO"),0)</f>
        <v>0</v>
      </c>
      <c r="N93" s="10">
        <f>IFERROR(SUMIFS('Base bordo'!G$2:G$746,'Base bordo'!C$2:C$746,A93,'Base bordo'!B$2:B$746,B93,'Base bordo'!F$2:F$746,"SEM APONTAMENTO"),0)</f>
        <v>0</v>
      </c>
      <c r="O93" s="10">
        <f t="shared" si="18"/>
        <v>4.7222222222220722E-3</v>
      </c>
      <c r="P93" s="10">
        <f>IFERROR(SUMIFS('Base bordo'!G$2:G$746,'Base bordo'!C$2:C$746,A93,'Base bordo'!B$2:B$746,B93),0)</f>
        <v>3.8697222222222218</v>
      </c>
      <c r="Q93" s="10">
        <f>IFERROR(SUMIFS('Base bordo'!H$2:H$746,'Base bordo'!C$2:C$746,A93,'Base bordo'!B$2:B$746,B93,'Base bordo'!F$2:F$746,"DESLOCAMENTO VAZIO"),0)</f>
        <v>175902.06</v>
      </c>
      <c r="R93" s="10">
        <f>IFERROR(SUMIFS('Base bordo'!I$2:I$746,'Base bordo'!C$2:C$746,A93,'Base bordo'!B$2:B$746,B93,'Base bordo'!F$2:F$746,"DESLOCAMENTO VAZIO"),0)</f>
        <v>4879</v>
      </c>
      <c r="S93" s="30">
        <f t="shared" si="19"/>
        <v>36.052891986062718</v>
      </c>
      <c r="T93" s="10">
        <f>IFERROR(SUMIFS('Base bordo'!H$2:H$746,'Base bordo'!C$2:C$746,A93,'Base bordo'!B$2:B$746,B93,'Base bordo'!F$2:F$746,"DESLOCAMENTO CARREGADO"),0)</f>
        <v>178464.26</v>
      </c>
      <c r="U93" s="10">
        <f>IFERROR(SUMIFS('Base bordo'!I$2:I$746,'Base bordo'!C$2:C$746,A93,'Base bordo'!B$2:B$746,B93,'Base bordo'!F$2:F$746,"DESLOCAMENTO CARREGADO"),0)</f>
        <v>6880</v>
      </c>
      <c r="V93" s="30">
        <f t="shared" si="20"/>
        <v>25.939572674418606</v>
      </c>
      <c r="W93" s="9">
        <f t="shared" si="21"/>
        <v>0.35022611442107532</v>
      </c>
      <c r="X93" s="9">
        <f t="shared" si="22"/>
        <v>0.49386260857081338</v>
      </c>
      <c r="Y93" s="9">
        <f t="shared" si="23"/>
        <v>0.15591127700811136</v>
      </c>
    </row>
    <row r="94" spans="1:25" ht="15" customHeight="1" x14ac:dyDescent="0.35">
      <c r="A94" s="52">
        <v>8013470</v>
      </c>
      <c r="B94" s="51">
        <v>46123</v>
      </c>
      <c r="C94" s="7" t="s">
        <v>124</v>
      </c>
      <c r="D94" s="10">
        <f>IFERROR(SUMIFS('Base bordo'!G$2:G$746,'Base bordo'!C$2:C$746,A94,'Base bordo'!B$2:B$746,B94,'Base bordo'!F$2:F$746,"DESLOCAMENTO VAZIO"),0)</f>
        <v>1.4894444444444443</v>
      </c>
      <c r="E94" s="10">
        <f>IFERROR(SUMIFS('Base bordo'!G$2:G$746,'Base bordo'!C$2:C$746,A94,'Base bordo'!B$2:B$746,B94,'Base bordo'!F$2:F$746,"DESLOCAMENTO CARREGADO"),0)</f>
        <v>2.7725</v>
      </c>
      <c r="F94" s="10">
        <f>IFERROR(SUMIFS('Base bordo'!G$2:G$746,'Base bordo'!C$2:C$746,A94,'Base bordo'!B$2:B$746,B94,'Base bordo'!F$2:F$746,"DESLOCAMENTO"),0)</f>
        <v>1.1813888888888888</v>
      </c>
      <c r="G94" s="10">
        <f>IFERROR(SUMIFS('Base bordo'!G$2:G$746,'Base bordo'!C$2:C$746,A94,'Base bordo'!B$2:B$746,B94,'Base bordo'!F$2:F$746,"CARREGAMENTO"),0)</f>
        <v>0</v>
      </c>
      <c r="H94" s="10">
        <f>IFERROR(SUMIFS('Base bordo'!G$2:G$746,'Base bordo'!C$2:C$746,A94,'Base bordo'!B$2:B$746,B94,'Base bordo'!F$2:F$746,"AGUARDANDO TRANSBORDO"),0)</f>
        <v>0.10722222222222222</v>
      </c>
      <c r="I94" s="10">
        <f>IFERROR(SUMIFS('Base bordo'!G$2:G$746,'Base bordo'!C$2:C$746,A94,'Base bordo'!B$2:B$746,B94,'Base bordo'!F$2:F$746,"PÁTIO INTERNO"),0)+IFERROR(SUMIFS('Base bordo'!G$2:G$746,'Base bordo'!C$2:C$746,A94,'Base bordo'!B$2:B$746,B94,'Base bordo'!F$2:F$746,"PÁTIO EXTERNO"),0)+IFERROR(SUMIFS('Base bordo'!G$2:G$746,'Base bordo'!C$2:C$746,A94,'Base bordo'!B$2:B$746,B94,'Base bordo'!F$2:F$746,"PATIO - RESERVA"),0)+IFERROR(SUMIFS('Base bordo'!G$2:G$746,'Base bordo'!C$2:C$746,A94,'Base bordo'!B$2:B$746,B94,'Base bordo'!F$2:F$746,"MANOBRA CARRETAS-PATIO"),0)</f>
        <v>0.56472222222222224</v>
      </c>
      <c r="J94" s="10">
        <f>IFERROR(SUMIFS('Base bordo'!G$2:G$746,'Base bordo'!C$2:C$746,A94,'Base bordo'!B$2:B$746,B94,'Base bordo'!F$2:F$746,"BALANÇA - ENTRADA"),0)+IFERROR(SUMIFS('Base bordo'!G$2:G$746,'Base bordo'!C$2:C$746,A94,'Base bordo'!B$2:B$746,B94,'Base bordo'!F$2:F$746,"BALANÇA - SAÍDA"),0)</f>
        <v>0</v>
      </c>
      <c r="K94" s="10">
        <f>IFERROR(SUMIFS('Base bordo'!G$2:G$746,'Base bordo'!C$2:C$746,A94,'Base bordo'!B$2:B$746,B94,'Base bordo'!F$2:F$746,"MAN PREVENTIVA - MECANICA"),0)+IFERROR(SUMIFS('Base bordo'!G$2:G$746,'Base bordo'!C$2:C$746,A94,'Base bordo'!B$2:B$746,B94,'Base bordo'!F$2:F$746,"MAN CORRETIVA - MECANICA"),0)</f>
        <v>0</v>
      </c>
      <c r="L94" s="10">
        <f>IFERROR(SUMIFS('Base bordo'!G$2:G$746,'Base bordo'!C$2:C$746,A94,'Base bordo'!B$2:B$746,B94,'Base bordo'!F$2:F$746,"MANUTENCAO - T O"),0)+IFERROR(SUMIFS('Base bordo'!G$2:G$746,'Base bordo'!C$2:C$746,A94,'Base bordo'!B$2:B$746,B94,'Base bordo'!F$2:F$746,"MANUTENCAO BORRACHARIA"),0)+IFERROR(SUMIFS('Base bordo'!G$2:G$746,'Base bordo'!C$2:C$746,A94,'Base bordo'!B$2:B$746,B94,'Base bordo'!F$2:F$746,"MANUTENCAO EXTERNA  CONCESSIONARIA"),0)+IFERROR(SUMIFS('Base bordo'!G$2:G$746,'Base bordo'!C$2:C$746,A94,'Base bordo'!B$2:B$746,B94,'Base bordo'!F$2:F$746,"MANUTENCAO TELEMETRIA"),0)</f>
        <v>0</v>
      </c>
      <c r="M94" s="10">
        <f>IFERROR(SUMIFS('Base bordo'!G$2:G$746,'Base bordo'!C$2:C$746,A94,'Base bordo'!B$2:B$746,B94,'Base bordo'!F$2:F$746,"AGUARDANDO MANUTENCAO"),0)</f>
        <v>0</v>
      </c>
      <c r="N94" s="10">
        <f>IFERROR(SUMIFS('Base bordo'!G$2:G$746,'Base bordo'!C$2:C$746,A94,'Base bordo'!B$2:B$746,B94,'Base bordo'!F$2:F$746,"SEM APONTAMENTO"),0)</f>
        <v>0</v>
      </c>
      <c r="O94" s="10">
        <f t="shared" si="18"/>
        <v>4.6666666666666856E-2</v>
      </c>
      <c r="P94" s="10">
        <f>IFERROR(SUMIFS('Base bordo'!G$2:G$746,'Base bordo'!C$2:C$746,A94,'Base bordo'!B$2:B$746,B94),0)</f>
        <v>6.1619444444444449</v>
      </c>
      <c r="Q94" s="10">
        <f>IFERROR(SUMIFS('Base bordo'!H$2:H$746,'Base bordo'!C$2:C$746,A94,'Base bordo'!B$2:B$746,B94,'Base bordo'!F$2:F$746,"DESLOCAMENTO VAZIO"),0)</f>
        <v>174958.3</v>
      </c>
      <c r="R94" s="10">
        <f>IFERROR(SUMIFS('Base bordo'!I$2:I$746,'Base bordo'!C$2:C$746,A94,'Base bordo'!B$2:B$746,B94,'Base bordo'!F$2:F$746,"DESLOCAMENTO VAZIO"),0)</f>
        <v>5362</v>
      </c>
      <c r="S94" s="30">
        <f t="shared" si="19"/>
        <v>32.629298769115998</v>
      </c>
      <c r="T94" s="10">
        <f>IFERROR(SUMIFS('Base bordo'!H$2:H$746,'Base bordo'!C$2:C$746,A94,'Base bordo'!B$2:B$746,B94,'Base bordo'!F$2:F$746,"DESLOCAMENTO CARREGADO"),0)</f>
        <v>211588.94</v>
      </c>
      <c r="U94" s="10">
        <f>IFERROR(SUMIFS('Base bordo'!I$2:I$746,'Base bordo'!C$2:C$746,A94,'Base bordo'!B$2:B$746,B94,'Base bordo'!F$2:F$746,"DESLOCAMENTO CARREGADO"),0)</f>
        <v>9967</v>
      </c>
      <c r="V94" s="30">
        <f t="shared" si="20"/>
        <v>21.228949533460419</v>
      </c>
      <c r="W94" s="9">
        <f t="shared" si="21"/>
        <v>0.24171662985168821</v>
      </c>
      <c r="X94" s="9">
        <f t="shared" si="22"/>
        <v>0.44993914258666545</v>
      </c>
      <c r="Y94" s="9">
        <f t="shared" si="23"/>
        <v>0.30834422756164637</v>
      </c>
    </row>
    <row r="95" spans="1:25" ht="15" customHeight="1" x14ac:dyDescent="0.35">
      <c r="A95" s="52">
        <v>8013484</v>
      </c>
      <c r="B95" s="51">
        <v>46119</v>
      </c>
      <c r="C95" s="7" t="s">
        <v>124</v>
      </c>
      <c r="D95" s="10">
        <f>IFERROR(SUMIFS('Base bordo'!G$2:G$746,'Base bordo'!C$2:C$746,A95,'Base bordo'!B$2:B$746,B95,'Base bordo'!F$2:F$746,"DESLOCAMENTO VAZIO"),0)</f>
        <v>1.3769444444444445</v>
      </c>
      <c r="E95" s="10">
        <f>IFERROR(SUMIFS('Base bordo'!G$2:G$746,'Base bordo'!C$2:C$746,A95,'Base bordo'!B$2:B$746,B95,'Base bordo'!F$2:F$746,"DESLOCAMENTO CARREGADO"),0)</f>
        <v>0</v>
      </c>
      <c r="F95" s="10">
        <f>IFERROR(SUMIFS('Base bordo'!G$2:G$746,'Base bordo'!C$2:C$746,A95,'Base bordo'!B$2:B$746,B95,'Base bordo'!F$2:F$746,"DESLOCAMENTO"),0)</f>
        <v>0</v>
      </c>
      <c r="G95" s="10">
        <f>IFERROR(SUMIFS('Base bordo'!G$2:G$746,'Base bordo'!C$2:C$746,A95,'Base bordo'!B$2:B$746,B95,'Base bordo'!F$2:F$746,"CARREGAMENTO"),0)</f>
        <v>0</v>
      </c>
      <c r="H95" s="10">
        <f>IFERROR(SUMIFS('Base bordo'!G$2:G$746,'Base bordo'!C$2:C$746,A95,'Base bordo'!B$2:B$746,B95,'Base bordo'!F$2:F$746,"AGUARDANDO TRANSBORDO"),0)</f>
        <v>0</v>
      </c>
      <c r="I95" s="10">
        <f>IFERROR(SUMIFS('Base bordo'!G$2:G$746,'Base bordo'!C$2:C$746,A95,'Base bordo'!B$2:B$746,B95,'Base bordo'!F$2:F$746,"PÁTIO INTERNO"),0)+IFERROR(SUMIFS('Base bordo'!G$2:G$746,'Base bordo'!C$2:C$746,A95,'Base bordo'!B$2:B$746,B95,'Base bordo'!F$2:F$746,"PÁTIO EXTERNO"),0)+IFERROR(SUMIFS('Base bordo'!G$2:G$746,'Base bordo'!C$2:C$746,A95,'Base bordo'!B$2:B$746,B95,'Base bordo'!F$2:F$746,"PATIO - RESERVA"),0)+IFERROR(SUMIFS('Base bordo'!G$2:G$746,'Base bordo'!C$2:C$746,A95,'Base bordo'!B$2:B$746,B95,'Base bordo'!F$2:F$746,"MANOBRA CARRETAS-PATIO"),0)</f>
        <v>1.4436111111111112</v>
      </c>
      <c r="J95" s="10">
        <f>IFERROR(SUMIFS('Base bordo'!G$2:G$746,'Base bordo'!C$2:C$746,A95,'Base bordo'!B$2:B$746,B95,'Base bordo'!F$2:F$746,"BALANÇA - ENTRADA"),0)+IFERROR(SUMIFS('Base bordo'!G$2:G$746,'Base bordo'!C$2:C$746,A95,'Base bordo'!B$2:B$746,B95,'Base bordo'!F$2:F$746,"BALANÇA - SAÍDA"),0)</f>
        <v>1.6111111111111111E-2</v>
      </c>
      <c r="K95" s="10">
        <f>IFERROR(SUMIFS('Base bordo'!G$2:G$746,'Base bordo'!C$2:C$746,A95,'Base bordo'!B$2:B$746,B95,'Base bordo'!F$2:F$746,"MAN PREVENTIVA - MECANICA"),0)+IFERROR(SUMIFS('Base bordo'!G$2:G$746,'Base bordo'!C$2:C$746,A95,'Base bordo'!B$2:B$746,B95,'Base bordo'!F$2:F$746,"MAN CORRETIVA - MECANICA"),0)</f>
        <v>0</v>
      </c>
      <c r="L95" s="10">
        <f>IFERROR(SUMIFS('Base bordo'!G$2:G$746,'Base bordo'!C$2:C$746,A95,'Base bordo'!B$2:B$746,B95,'Base bordo'!F$2:F$746,"MANUTENCAO - T O"),0)+IFERROR(SUMIFS('Base bordo'!G$2:G$746,'Base bordo'!C$2:C$746,A95,'Base bordo'!B$2:B$746,B95,'Base bordo'!F$2:F$746,"MANUTENCAO BORRACHARIA"),0)+IFERROR(SUMIFS('Base bordo'!G$2:G$746,'Base bordo'!C$2:C$746,A95,'Base bordo'!B$2:B$746,B95,'Base bordo'!F$2:F$746,"MANUTENCAO EXTERNA  CONCESSIONARIA"),0)+IFERROR(SUMIFS('Base bordo'!G$2:G$746,'Base bordo'!C$2:C$746,A95,'Base bordo'!B$2:B$746,B95,'Base bordo'!F$2:F$746,"MANUTENCAO TELEMETRIA"),0)</f>
        <v>0</v>
      </c>
      <c r="M95" s="10">
        <f>IFERROR(SUMIFS('Base bordo'!G$2:G$746,'Base bordo'!C$2:C$746,A95,'Base bordo'!B$2:B$746,B95,'Base bordo'!F$2:F$746,"AGUARDANDO MANUTENCAO"),0)</f>
        <v>0</v>
      </c>
      <c r="N95" s="10">
        <f>IFERROR(SUMIFS('Base bordo'!G$2:G$746,'Base bordo'!C$2:C$746,A95,'Base bordo'!B$2:B$746,B95,'Base bordo'!F$2:F$746,"SEM APONTAMENTO"),0)</f>
        <v>0</v>
      </c>
      <c r="O95" s="10">
        <f t="shared" si="18"/>
        <v>0</v>
      </c>
      <c r="P95" s="10">
        <f>IFERROR(SUMIFS('Base bordo'!G$2:G$746,'Base bordo'!C$2:C$746,A95,'Base bordo'!B$2:B$746,B95),0)</f>
        <v>2.8366666666666669</v>
      </c>
      <c r="Q95" s="10">
        <f>IFERROR(SUMIFS('Base bordo'!H$2:H$746,'Base bordo'!C$2:C$746,A95,'Base bordo'!B$2:B$746,B95,'Base bordo'!F$2:F$746,"DESLOCAMENTO VAZIO"),0)</f>
        <v>174540.98</v>
      </c>
      <c r="R95" s="10">
        <f>IFERROR(SUMIFS('Base bordo'!I$2:I$746,'Base bordo'!C$2:C$746,A95,'Base bordo'!B$2:B$746,B95,'Base bordo'!F$2:F$746,"DESLOCAMENTO VAZIO"),0)</f>
        <v>4957</v>
      </c>
      <c r="S95" s="30">
        <f t="shared" si="19"/>
        <v>35.211010691950776</v>
      </c>
      <c r="T95" s="10">
        <f>IFERROR(SUMIFS('Base bordo'!H$2:H$746,'Base bordo'!C$2:C$746,A95,'Base bordo'!B$2:B$746,B95,'Base bordo'!F$2:F$746,"DESLOCAMENTO CARREGADO"),0)</f>
        <v>0</v>
      </c>
      <c r="U95" s="10">
        <f>IFERROR(SUMIFS('Base bordo'!I$2:I$746,'Base bordo'!C$2:C$746,A95,'Base bordo'!B$2:B$746,B95,'Base bordo'!F$2:F$746,"DESLOCAMENTO CARREGADO"),0)</f>
        <v>0</v>
      </c>
      <c r="V95" s="30" t="str">
        <f t="shared" si="20"/>
        <v/>
      </c>
      <c r="W95" s="9">
        <f t="shared" si="21"/>
        <v>0.48540932236584411</v>
      </c>
      <c r="X95" s="9">
        <f t="shared" si="22"/>
        <v>0</v>
      </c>
      <c r="Y95" s="9">
        <f t="shared" si="23"/>
        <v>0.51459067763415589</v>
      </c>
    </row>
    <row r="96" spans="1:25" ht="15" customHeight="1" x14ac:dyDescent="0.35">
      <c r="A96" s="52">
        <v>8013484</v>
      </c>
      <c r="B96" s="51">
        <v>46123</v>
      </c>
      <c r="C96" s="7" t="s">
        <v>124</v>
      </c>
      <c r="D96" s="10">
        <f>IFERROR(SUMIFS('Base bordo'!G$2:G$746,'Base bordo'!C$2:C$746,A96,'Base bordo'!B$2:B$746,B96,'Base bordo'!F$2:F$746,"DESLOCAMENTO VAZIO"),0)</f>
        <v>1.3186111111111112</v>
      </c>
      <c r="E96" s="10">
        <f>IFERROR(SUMIFS('Base bordo'!G$2:G$746,'Base bordo'!C$2:C$746,A96,'Base bordo'!B$2:B$746,B96,'Base bordo'!F$2:F$746,"DESLOCAMENTO CARREGADO"),0)</f>
        <v>2.0469444444444442</v>
      </c>
      <c r="F96" s="10">
        <f>IFERROR(SUMIFS('Base bordo'!G$2:G$746,'Base bordo'!C$2:C$746,A96,'Base bordo'!B$2:B$746,B96,'Base bordo'!F$2:F$746,"DESLOCAMENTO"),0)</f>
        <v>0</v>
      </c>
      <c r="G96" s="10">
        <f>IFERROR(SUMIFS('Base bordo'!G$2:G$746,'Base bordo'!C$2:C$746,A96,'Base bordo'!B$2:B$746,B96,'Base bordo'!F$2:F$746,"CARREGAMENTO"),0)</f>
        <v>0</v>
      </c>
      <c r="H96" s="10">
        <f>IFERROR(SUMIFS('Base bordo'!G$2:G$746,'Base bordo'!C$2:C$746,A96,'Base bordo'!B$2:B$746,B96,'Base bordo'!F$2:F$746,"AGUARDANDO TRANSBORDO"),0)</f>
        <v>0.2688888888888889</v>
      </c>
      <c r="I96" s="10">
        <f>IFERROR(SUMIFS('Base bordo'!G$2:G$746,'Base bordo'!C$2:C$746,A96,'Base bordo'!B$2:B$746,B96,'Base bordo'!F$2:F$746,"PÁTIO INTERNO"),0)+IFERROR(SUMIFS('Base bordo'!G$2:G$746,'Base bordo'!C$2:C$746,A96,'Base bordo'!B$2:B$746,B96,'Base bordo'!F$2:F$746,"PÁTIO EXTERNO"),0)+IFERROR(SUMIFS('Base bordo'!G$2:G$746,'Base bordo'!C$2:C$746,A96,'Base bordo'!B$2:B$746,B96,'Base bordo'!F$2:F$746,"PATIO - RESERVA"),0)+IFERROR(SUMIFS('Base bordo'!G$2:G$746,'Base bordo'!C$2:C$746,A96,'Base bordo'!B$2:B$746,B96,'Base bordo'!F$2:F$746,"MANOBRA CARRETAS-PATIO"),0)</f>
        <v>2.7616666666666667</v>
      </c>
      <c r="J96" s="10">
        <f>IFERROR(SUMIFS('Base bordo'!G$2:G$746,'Base bordo'!C$2:C$746,A96,'Base bordo'!B$2:B$746,B96,'Base bordo'!F$2:F$746,"BALANÇA - ENTRADA"),0)+IFERROR(SUMIFS('Base bordo'!G$2:G$746,'Base bordo'!C$2:C$746,A96,'Base bordo'!B$2:B$746,B96,'Base bordo'!F$2:F$746,"BALANÇA - SAÍDA"),0)</f>
        <v>2.4722222222222222E-2</v>
      </c>
      <c r="K96" s="10">
        <f>IFERROR(SUMIFS('Base bordo'!G$2:G$746,'Base bordo'!C$2:C$746,A96,'Base bordo'!B$2:B$746,B96,'Base bordo'!F$2:F$746,"MAN PREVENTIVA - MECANICA"),0)+IFERROR(SUMIFS('Base bordo'!G$2:G$746,'Base bordo'!C$2:C$746,A96,'Base bordo'!B$2:B$746,B96,'Base bordo'!F$2:F$746,"MAN CORRETIVA - MECANICA"),0)</f>
        <v>0</v>
      </c>
      <c r="L96" s="10">
        <f>IFERROR(SUMIFS('Base bordo'!G$2:G$746,'Base bordo'!C$2:C$746,A96,'Base bordo'!B$2:B$746,B96,'Base bordo'!F$2:F$746,"MANUTENCAO - T O"),0)+IFERROR(SUMIFS('Base bordo'!G$2:G$746,'Base bordo'!C$2:C$746,A96,'Base bordo'!B$2:B$746,B96,'Base bordo'!F$2:F$746,"MANUTENCAO BORRACHARIA"),0)+IFERROR(SUMIFS('Base bordo'!G$2:G$746,'Base bordo'!C$2:C$746,A96,'Base bordo'!B$2:B$746,B96,'Base bordo'!F$2:F$746,"MANUTENCAO EXTERNA  CONCESSIONARIA"),0)+IFERROR(SUMIFS('Base bordo'!G$2:G$746,'Base bordo'!C$2:C$746,A96,'Base bordo'!B$2:B$746,B96,'Base bordo'!F$2:F$746,"MANUTENCAO TELEMETRIA"),0)</f>
        <v>0</v>
      </c>
      <c r="M96" s="10">
        <f>IFERROR(SUMIFS('Base bordo'!G$2:G$746,'Base bordo'!C$2:C$746,A96,'Base bordo'!B$2:B$746,B96,'Base bordo'!F$2:F$746,"AGUARDANDO MANUTENCAO"),0)</f>
        <v>0</v>
      </c>
      <c r="N96" s="10">
        <f>IFERROR(SUMIFS('Base bordo'!G$2:G$746,'Base bordo'!C$2:C$746,A96,'Base bordo'!B$2:B$746,B96,'Base bordo'!F$2:F$746,"SEM APONTAMENTO"),0)</f>
        <v>0</v>
      </c>
      <c r="O96" s="10">
        <f t="shared" si="18"/>
        <v>0.68777777777777871</v>
      </c>
      <c r="P96" s="10">
        <f>IFERROR(SUMIFS('Base bordo'!G$2:G$746,'Base bordo'!C$2:C$746,A96,'Base bordo'!B$2:B$746,B96),0)</f>
        <v>7.1086111111111121</v>
      </c>
      <c r="Q96" s="10">
        <f>IFERROR(SUMIFS('Base bordo'!H$2:H$746,'Base bordo'!C$2:C$746,A96,'Base bordo'!B$2:B$746,B96,'Base bordo'!F$2:F$746,"DESLOCAMENTO VAZIO"),0)</f>
        <v>173939.91999999998</v>
      </c>
      <c r="R96" s="10">
        <f>IFERROR(SUMIFS('Base bordo'!I$2:I$746,'Base bordo'!C$2:C$746,A96,'Base bordo'!B$2:B$746,B96,'Base bordo'!F$2:F$746,"DESLOCAMENTO VAZIO"),0)</f>
        <v>4747</v>
      </c>
      <c r="S96" s="30">
        <f t="shared" si="19"/>
        <v>36.642072888139872</v>
      </c>
      <c r="T96" s="10">
        <f>IFERROR(SUMIFS('Base bordo'!H$2:H$746,'Base bordo'!C$2:C$746,A96,'Base bordo'!B$2:B$746,B96,'Base bordo'!F$2:F$746,"DESLOCAMENTO CARREGADO"),0)</f>
        <v>184357.02</v>
      </c>
      <c r="U96" s="10">
        <f>IFERROR(SUMIFS('Base bordo'!I$2:I$746,'Base bordo'!C$2:C$746,A96,'Base bordo'!B$2:B$746,B96,'Base bordo'!F$2:F$746,"DESLOCAMENTO CARREGADO"),0)</f>
        <v>7369</v>
      </c>
      <c r="V96" s="30">
        <f t="shared" si="20"/>
        <v>25.017915592346313</v>
      </c>
      <c r="W96" s="9">
        <f t="shared" si="21"/>
        <v>0.18549490055097492</v>
      </c>
      <c r="X96" s="9">
        <f t="shared" si="22"/>
        <v>0.28795279590481021</v>
      </c>
      <c r="Y96" s="9">
        <f t="shared" si="23"/>
        <v>0.52655230354421478</v>
      </c>
    </row>
    <row r="97" spans="1:25" ht="15" customHeight="1" x14ac:dyDescent="0.35">
      <c r="A97" s="52">
        <v>8013475</v>
      </c>
      <c r="B97" s="51">
        <v>46118</v>
      </c>
      <c r="C97" s="7" t="s">
        <v>124</v>
      </c>
      <c r="D97" s="10">
        <f>IFERROR(SUMIFS('Base bordo'!G$2:G$746,'Base bordo'!C$2:C$746,A97,'Base bordo'!B$2:B$746,B97,'Base bordo'!F$2:F$746,"DESLOCAMENTO VAZIO"),0)</f>
        <v>1.6019444444444444</v>
      </c>
      <c r="E97" s="10">
        <f>IFERROR(SUMIFS('Base bordo'!G$2:G$746,'Base bordo'!C$2:C$746,A97,'Base bordo'!B$2:B$746,B97,'Base bordo'!F$2:F$746,"DESLOCAMENTO CARREGADO"),0)</f>
        <v>2.0350000000000001</v>
      </c>
      <c r="F97" s="10">
        <f>IFERROR(SUMIFS('Base bordo'!G$2:G$746,'Base bordo'!C$2:C$746,A97,'Base bordo'!B$2:B$746,B97,'Base bordo'!F$2:F$746,"DESLOCAMENTO"),0)</f>
        <v>1.1069444444444445</v>
      </c>
      <c r="G97" s="10">
        <f>IFERROR(SUMIFS('Base bordo'!G$2:G$746,'Base bordo'!C$2:C$746,A97,'Base bordo'!B$2:B$746,B97,'Base bordo'!F$2:F$746,"CARREGAMENTO"),0)</f>
        <v>0</v>
      </c>
      <c r="H97" s="10">
        <f>IFERROR(SUMIFS('Base bordo'!G$2:G$746,'Base bordo'!C$2:C$746,A97,'Base bordo'!B$2:B$746,B97,'Base bordo'!F$2:F$746,"AGUARDANDO TRANSBORDO"),0)</f>
        <v>0.62972222222222218</v>
      </c>
      <c r="I97" s="10">
        <f>IFERROR(SUMIFS('Base bordo'!G$2:G$746,'Base bordo'!C$2:C$746,A97,'Base bordo'!B$2:B$746,B97,'Base bordo'!F$2:F$746,"PÁTIO INTERNO"),0)+IFERROR(SUMIFS('Base bordo'!G$2:G$746,'Base bordo'!C$2:C$746,A97,'Base bordo'!B$2:B$746,B97,'Base bordo'!F$2:F$746,"PÁTIO EXTERNO"),0)+IFERROR(SUMIFS('Base bordo'!G$2:G$746,'Base bordo'!C$2:C$746,A97,'Base bordo'!B$2:B$746,B97,'Base bordo'!F$2:F$746,"PATIO - RESERVA"),0)+IFERROR(SUMIFS('Base bordo'!G$2:G$746,'Base bordo'!C$2:C$746,A97,'Base bordo'!B$2:B$746,B97,'Base bordo'!F$2:F$746,"MANOBRA CARRETAS-PATIO"),0)</f>
        <v>16.014166666666668</v>
      </c>
      <c r="J97" s="10">
        <f>IFERROR(SUMIFS('Base bordo'!G$2:G$746,'Base bordo'!C$2:C$746,A97,'Base bordo'!B$2:B$746,B97,'Base bordo'!F$2:F$746,"BALANÇA - ENTRADA"),0)+IFERROR(SUMIFS('Base bordo'!G$2:G$746,'Base bordo'!C$2:C$746,A97,'Base bordo'!B$2:B$746,B97,'Base bordo'!F$2:F$746,"BALANÇA - SAÍDA"),0)</f>
        <v>4.8333333333333332E-2</v>
      </c>
      <c r="K97" s="10">
        <f>IFERROR(SUMIFS('Base bordo'!G$2:G$746,'Base bordo'!C$2:C$746,A97,'Base bordo'!B$2:B$746,B97,'Base bordo'!F$2:F$746,"MAN PREVENTIVA - MECANICA"),0)+IFERROR(SUMIFS('Base bordo'!G$2:G$746,'Base bordo'!C$2:C$746,A97,'Base bordo'!B$2:B$746,B97,'Base bordo'!F$2:F$746,"MAN CORRETIVA - MECANICA"),0)</f>
        <v>0</v>
      </c>
      <c r="L97" s="10">
        <f>IFERROR(SUMIFS('Base bordo'!G$2:G$746,'Base bordo'!C$2:C$746,A97,'Base bordo'!B$2:B$746,B97,'Base bordo'!F$2:F$746,"MANUTENCAO - T O"),0)+IFERROR(SUMIFS('Base bordo'!G$2:G$746,'Base bordo'!C$2:C$746,A97,'Base bordo'!B$2:B$746,B97,'Base bordo'!F$2:F$746,"MANUTENCAO BORRACHARIA"),0)+IFERROR(SUMIFS('Base bordo'!G$2:G$746,'Base bordo'!C$2:C$746,A97,'Base bordo'!B$2:B$746,B97,'Base bordo'!F$2:F$746,"MANUTENCAO EXTERNA  CONCESSIONARIA"),0)+IFERROR(SUMIFS('Base bordo'!G$2:G$746,'Base bordo'!C$2:C$746,A97,'Base bordo'!B$2:B$746,B97,'Base bordo'!F$2:F$746,"MANUTENCAO TELEMETRIA"),0)</f>
        <v>1.9430555555555555</v>
      </c>
      <c r="M97" s="10">
        <f>IFERROR(SUMIFS('Base bordo'!G$2:G$746,'Base bordo'!C$2:C$746,A97,'Base bordo'!B$2:B$746,B97,'Base bordo'!F$2:F$746,"AGUARDANDO MANUTENCAO"),0)</f>
        <v>0</v>
      </c>
      <c r="N97" s="10">
        <f>IFERROR(SUMIFS('Base bordo'!G$2:G$746,'Base bordo'!C$2:C$746,A97,'Base bordo'!B$2:B$746,B97,'Base bordo'!F$2:F$746,"SEM APONTAMENTO"),0)</f>
        <v>0</v>
      </c>
      <c r="O97" s="10">
        <f t="shared" si="18"/>
        <v>3.5527136788005009E-15</v>
      </c>
      <c r="P97" s="10">
        <f>IFERROR(SUMIFS('Base bordo'!G$2:G$746,'Base bordo'!C$2:C$746,A97,'Base bordo'!B$2:B$746,B97),0)</f>
        <v>23.37916666666667</v>
      </c>
      <c r="Q97" s="10">
        <f>IFERROR(SUMIFS('Base bordo'!H$2:H$746,'Base bordo'!C$2:C$746,A97,'Base bordo'!B$2:B$746,B97,'Base bordo'!F$2:F$746,"DESLOCAMENTO VAZIO"),0)</f>
        <v>173822.73</v>
      </c>
      <c r="R97" s="10">
        <f>IFERROR(SUMIFS('Base bordo'!I$2:I$746,'Base bordo'!C$2:C$746,A97,'Base bordo'!B$2:B$746,B97,'Base bordo'!F$2:F$746,"DESLOCAMENTO VAZIO"),0)</f>
        <v>5767</v>
      </c>
      <c r="S97" s="30">
        <f t="shared" si="19"/>
        <v>30.140927692040925</v>
      </c>
      <c r="T97" s="10">
        <f>IFERROR(SUMIFS('Base bordo'!H$2:H$746,'Base bordo'!C$2:C$746,A97,'Base bordo'!B$2:B$746,B97,'Base bordo'!F$2:F$746,"DESLOCAMENTO CARREGADO"),0)</f>
        <v>172046.47</v>
      </c>
      <c r="U97" s="10">
        <f>IFERROR(SUMIFS('Base bordo'!I$2:I$746,'Base bordo'!C$2:C$746,A97,'Base bordo'!B$2:B$746,B97,'Base bordo'!F$2:F$746,"DESLOCAMENTO CARREGADO"),0)</f>
        <v>7326</v>
      </c>
      <c r="V97" s="30">
        <f t="shared" si="20"/>
        <v>23.484366639366641</v>
      </c>
      <c r="W97" s="9">
        <f t="shared" si="21"/>
        <v>6.8520168716212193E-2</v>
      </c>
      <c r="X97" s="9">
        <f t="shared" si="22"/>
        <v>8.7043307788273031E-2</v>
      </c>
      <c r="Y97" s="9">
        <f t="shared" si="23"/>
        <v>0.84443652349551479</v>
      </c>
    </row>
    <row r="98" spans="1:25" ht="15" customHeight="1" x14ac:dyDescent="0.35">
      <c r="A98" s="52">
        <v>8013465</v>
      </c>
      <c r="B98" s="51">
        <v>46119</v>
      </c>
      <c r="C98" s="7" t="s">
        <v>124</v>
      </c>
      <c r="D98" s="10">
        <f>IFERROR(SUMIFS('Base bordo'!G$2:G$746,'Base bordo'!C$2:C$746,A98,'Base bordo'!B$2:B$746,B98,'Base bordo'!F$2:F$746,"DESLOCAMENTO VAZIO"),0)</f>
        <v>1.5244444444444445</v>
      </c>
      <c r="E98" s="10">
        <f>IFERROR(SUMIFS('Base bordo'!G$2:G$746,'Base bordo'!C$2:C$746,A98,'Base bordo'!B$2:B$746,B98,'Base bordo'!F$2:F$746,"DESLOCAMENTO CARREGADO"),0)</f>
        <v>1.4430555555555555</v>
      </c>
      <c r="F98" s="10">
        <f>IFERROR(SUMIFS('Base bordo'!G$2:G$746,'Base bordo'!C$2:C$746,A98,'Base bordo'!B$2:B$746,B98,'Base bordo'!F$2:F$746,"DESLOCAMENTO"),0)</f>
        <v>0</v>
      </c>
      <c r="G98" s="10">
        <f>IFERROR(SUMIFS('Base bordo'!G$2:G$746,'Base bordo'!C$2:C$746,A98,'Base bordo'!B$2:B$746,B98,'Base bordo'!F$2:F$746,"CARREGAMENTO"),0)</f>
        <v>0</v>
      </c>
      <c r="H98" s="10">
        <f>IFERROR(SUMIFS('Base bordo'!G$2:G$746,'Base bordo'!C$2:C$746,A98,'Base bordo'!B$2:B$746,B98,'Base bordo'!F$2:F$746,"AGUARDANDO TRANSBORDO"),0)</f>
        <v>1.4722222222222223</v>
      </c>
      <c r="I98" s="10">
        <f>IFERROR(SUMIFS('Base bordo'!G$2:G$746,'Base bordo'!C$2:C$746,A98,'Base bordo'!B$2:B$746,B98,'Base bordo'!F$2:F$746,"PÁTIO INTERNO"),0)+IFERROR(SUMIFS('Base bordo'!G$2:G$746,'Base bordo'!C$2:C$746,A98,'Base bordo'!B$2:B$746,B98,'Base bordo'!F$2:F$746,"PÁTIO EXTERNO"),0)+IFERROR(SUMIFS('Base bordo'!G$2:G$746,'Base bordo'!C$2:C$746,A98,'Base bordo'!B$2:B$746,B98,'Base bordo'!F$2:F$746,"PATIO - RESERVA"),0)+IFERROR(SUMIFS('Base bordo'!G$2:G$746,'Base bordo'!C$2:C$746,A98,'Base bordo'!B$2:B$746,B98,'Base bordo'!F$2:F$746,"MANOBRA CARRETAS-PATIO"),0)</f>
        <v>0</v>
      </c>
      <c r="J98" s="10">
        <f>IFERROR(SUMIFS('Base bordo'!G$2:G$746,'Base bordo'!C$2:C$746,A98,'Base bordo'!B$2:B$746,B98,'Base bordo'!F$2:F$746,"BALANÇA - ENTRADA"),0)+IFERROR(SUMIFS('Base bordo'!G$2:G$746,'Base bordo'!C$2:C$746,A98,'Base bordo'!B$2:B$746,B98,'Base bordo'!F$2:F$746,"BALANÇA - SAÍDA"),0)</f>
        <v>0</v>
      </c>
      <c r="K98" s="10">
        <f>IFERROR(SUMIFS('Base bordo'!G$2:G$746,'Base bordo'!C$2:C$746,A98,'Base bordo'!B$2:B$746,B98,'Base bordo'!F$2:F$746,"MAN PREVENTIVA - MECANICA"),0)+IFERROR(SUMIFS('Base bordo'!G$2:G$746,'Base bordo'!C$2:C$746,A98,'Base bordo'!B$2:B$746,B98,'Base bordo'!F$2:F$746,"MAN CORRETIVA - MECANICA"),0)</f>
        <v>0</v>
      </c>
      <c r="L98" s="10">
        <f>IFERROR(SUMIFS('Base bordo'!G$2:G$746,'Base bordo'!C$2:C$746,A98,'Base bordo'!B$2:B$746,B98,'Base bordo'!F$2:F$746,"MANUTENCAO - T O"),0)+IFERROR(SUMIFS('Base bordo'!G$2:G$746,'Base bordo'!C$2:C$746,A98,'Base bordo'!B$2:B$746,B98,'Base bordo'!F$2:F$746,"MANUTENCAO BORRACHARIA"),0)+IFERROR(SUMIFS('Base bordo'!G$2:G$746,'Base bordo'!C$2:C$746,A98,'Base bordo'!B$2:B$746,B98,'Base bordo'!F$2:F$746,"MANUTENCAO EXTERNA  CONCESSIONARIA"),0)+IFERROR(SUMIFS('Base bordo'!G$2:G$746,'Base bordo'!C$2:C$746,A98,'Base bordo'!B$2:B$746,B98,'Base bordo'!F$2:F$746,"MANUTENCAO TELEMETRIA"),0)</f>
        <v>0</v>
      </c>
      <c r="M98" s="10">
        <f>IFERROR(SUMIFS('Base bordo'!G$2:G$746,'Base bordo'!C$2:C$746,A98,'Base bordo'!B$2:B$746,B98,'Base bordo'!F$2:F$746,"AGUARDANDO MANUTENCAO"),0)</f>
        <v>0</v>
      </c>
      <c r="N98" s="10">
        <f>IFERROR(SUMIFS('Base bordo'!G$2:G$746,'Base bordo'!C$2:C$746,A98,'Base bordo'!B$2:B$746,B98,'Base bordo'!F$2:F$746,"SEM APONTAMENTO"),0)</f>
        <v>0</v>
      </c>
      <c r="O98" s="10">
        <f t="shared" si="18"/>
        <v>0</v>
      </c>
      <c r="P98" s="10">
        <f>IFERROR(SUMIFS('Base bordo'!G$2:G$746,'Base bordo'!C$2:C$746,A98,'Base bordo'!B$2:B$746,B98),0)</f>
        <v>4.4397222222222226</v>
      </c>
      <c r="Q98" s="10">
        <f>IFERROR(SUMIFS('Base bordo'!H$2:H$746,'Base bordo'!C$2:C$746,A98,'Base bordo'!B$2:B$746,B98,'Base bordo'!F$2:F$746,"DESLOCAMENTO VAZIO"),0)</f>
        <v>173737.47</v>
      </c>
      <c r="R98" s="10">
        <f>IFERROR(SUMIFS('Base bordo'!I$2:I$746,'Base bordo'!C$2:C$746,A98,'Base bordo'!B$2:B$746,B98,'Base bordo'!F$2:F$746,"DESLOCAMENTO VAZIO"),0)</f>
        <v>5488</v>
      </c>
      <c r="S98" s="30">
        <f t="shared" si="19"/>
        <v>31.657702259475219</v>
      </c>
      <c r="T98" s="10">
        <f>IFERROR(SUMIFS('Base bordo'!H$2:H$746,'Base bordo'!C$2:C$746,A98,'Base bordo'!B$2:B$746,B98,'Base bordo'!F$2:F$746,"DESLOCAMENTO CARREGADO"),0)</f>
        <v>130358.20999999999</v>
      </c>
      <c r="U98" s="10">
        <f>IFERROR(SUMIFS('Base bordo'!I$2:I$746,'Base bordo'!C$2:C$746,A98,'Base bordo'!B$2:B$746,B98,'Base bordo'!F$2:F$746,"DESLOCAMENTO CARREGADO"),0)</f>
        <v>5195</v>
      </c>
      <c r="V98" s="30">
        <f t="shared" si="20"/>
        <v>25.093014436958612</v>
      </c>
      <c r="W98" s="9">
        <f t="shared" si="21"/>
        <v>0.34336482512669708</v>
      </c>
      <c r="X98" s="9">
        <f t="shared" si="22"/>
        <v>0.32503284740036287</v>
      </c>
      <c r="Y98" s="9">
        <f t="shared" si="23"/>
        <v>0.33160232747294005</v>
      </c>
    </row>
    <row r="99" spans="1:25" ht="15" customHeight="1" x14ac:dyDescent="0.35">
      <c r="A99" s="52">
        <v>8013461</v>
      </c>
      <c r="B99" s="51">
        <v>46119</v>
      </c>
      <c r="C99" s="7" t="s">
        <v>124</v>
      </c>
      <c r="D99" s="10">
        <f>IFERROR(SUMIFS('Base bordo'!G$2:G$746,'Base bordo'!C$2:C$746,A99,'Base bordo'!B$2:B$746,B99,'Base bordo'!F$2:F$746,"DESLOCAMENTO VAZIO"),0)</f>
        <v>1.4069444444444446</v>
      </c>
      <c r="E99" s="10">
        <f>IFERROR(SUMIFS('Base bordo'!G$2:G$746,'Base bordo'!C$2:C$746,A99,'Base bordo'!B$2:B$746,B99,'Base bordo'!F$2:F$746,"DESLOCAMENTO CARREGADO"),0)</f>
        <v>1.8011111111111111</v>
      </c>
      <c r="F99" s="10">
        <f>IFERROR(SUMIFS('Base bordo'!G$2:G$746,'Base bordo'!C$2:C$746,A99,'Base bordo'!B$2:B$746,B99,'Base bordo'!F$2:F$746,"DESLOCAMENTO"),0)</f>
        <v>0</v>
      </c>
      <c r="G99" s="10">
        <f>IFERROR(SUMIFS('Base bordo'!G$2:G$746,'Base bordo'!C$2:C$746,A99,'Base bordo'!B$2:B$746,B99,'Base bordo'!F$2:F$746,"CARREGAMENTO"),0)</f>
        <v>0</v>
      </c>
      <c r="H99" s="10">
        <f>IFERROR(SUMIFS('Base bordo'!G$2:G$746,'Base bordo'!C$2:C$746,A99,'Base bordo'!B$2:B$746,B99,'Base bordo'!F$2:F$746,"AGUARDANDO TRANSBORDO"),0)</f>
        <v>0.2011111111111111</v>
      </c>
      <c r="I99" s="10">
        <f>IFERROR(SUMIFS('Base bordo'!G$2:G$746,'Base bordo'!C$2:C$746,A99,'Base bordo'!B$2:B$746,B99,'Base bordo'!F$2:F$746,"PÁTIO INTERNO"),0)+IFERROR(SUMIFS('Base bordo'!G$2:G$746,'Base bordo'!C$2:C$746,A99,'Base bordo'!B$2:B$746,B99,'Base bordo'!F$2:F$746,"PÁTIO EXTERNO"),0)+IFERROR(SUMIFS('Base bordo'!G$2:G$746,'Base bordo'!C$2:C$746,A99,'Base bordo'!B$2:B$746,B99,'Base bordo'!F$2:F$746,"PATIO - RESERVA"),0)+IFERROR(SUMIFS('Base bordo'!G$2:G$746,'Base bordo'!C$2:C$746,A99,'Base bordo'!B$2:B$746,B99,'Base bordo'!F$2:F$746,"MANOBRA CARRETAS-PATIO"),0)</f>
        <v>8.8375000000000004</v>
      </c>
      <c r="J99" s="10">
        <f>IFERROR(SUMIFS('Base bordo'!G$2:G$746,'Base bordo'!C$2:C$746,A99,'Base bordo'!B$2:B$746,B99,'Base bordo'!F$2:F$746,"BALANÇA - ENTRADA"),0)+IFERROR(SUMIFS('Base bordo'!G$2:G$746,'Base bordo'!C$2:C$746,A99,'Base bordo'!B$2:B$746,B99,'Base bordo'!F$2:F$746,"BALANÇA - SAÍDA"),0)</f>
        <v>0.15</v>
      </c>
      <c r="K99" s="10">
        <f>IFERROR(SUMIFS('Base bordo'!G$2:G$746,'Base bordo'!C$2:C$746,A99,'Base bordo'!B$2:B$746,B99,'Base bordo'!F$2:F$746,"MAN PREVENTIVA - MECANICA"),0)+IFERROR(SUMIFS('Base bordo'!G$2:G$746,'Base bordo'!C$2:C$746,A99,'Base bordo'!B$2:B$746,B99,'Base bordo'!F$2:F$746,"MAN CORRETIVA - MECANICA"),0)</f>
        <v>0</v>
      </c>
      <c r="L99" s="10">
        <f>IFERROR(SUMIFS('Base bordo'!G$2:G$746,'Base bordo'!C$2:C$746,A99,'Base bordo'!B$2:B$746,B99,'Base bordo'!F$2:F$746,"MANUTENCAO - T O"),0)+IFERROR(SUMIFS('Base bordo'!G$2:G$746,'Base bordo'!C$2:C$746,A99,'Base bordo'!B$2:B$746,B99,'Base bordo'!F$2:F$746,"MANUTENCAO BORRACHARIA"),0)+IFERROR(SUMIFS('Base bordo'!G$2:G$746,'Base bordo'!C$2:C$746,A99,'Base bordo'!B$2:B$746,B99,'Base bordo'!F$2:F$746,"MANUTENCAO EXTERNA  CONCESSIONARIA"),0)+IFERROR(SUMIFS('Base bordo'!G$2:G$746,'Base bordo'!C$2:C$746,A99,'Base bordo'!B$2:B$746,B99,'Base bordo'!F$2:F$746,"MANUTENCAO TELEMETRIA"),0)</f>
        <v>0</v>
      </c>
      <c r="M99" s="10">
        <f>IFERROR(SUMIFS('Base bordo'!G$2:G$746,'Base bordo'!C$2:C$746,A99,'Base bordo'!B$2:B$746,B99,'Base bordo'!F$2:F$746,"AGUARDANDO MANUTENCAO"),0)</f>
        <v>0</v>
      </c>
      <c r="N99" s="10">
        <f>IFERROR(SUMIFS('Base bordo'!G$2:G$746,'Base bordo'!C$2:C$746,A99,'Base bordo'!B$2:B$746,B99,'Base bordo'!F$2:F$746,"SEM APONTAMENTO"),0)</f>
        <v>0</v>
      </c>
      <c r="O99" s="10">
        <f t="shared" si="18"/>
        <v>0.18333333333333357</v>
      </c>
      <c r="P99" s="10">
        <f>IFERROR(SUMIFS('Base bordo'!G$2:G$746,'Base bordo'!C$2:C$746,A99,'Base bordo'!B$2:B$746,B99),0)</f>
        <v>12.58</v>
      </c>
      <c r="Q99" s="10">
        <f>IFERROR(SUMIFS('Base bordo'!H$2:H$746,'Base bordo'!C$2:C$746,A99,'Base bordo'!B$2:B$746,B99,'Base bordo'!F$2:F$746,"DESLOCAMENTO VAZIO"),0)</f>
        <v>177546.48</v>
      </c>
      <c r="R99" s="10">
        <f>IFERROR(SUMIFS('Base bordo'!I$2:I$746,'Base bordo'!C$2:C$746,A99,'Base bordo'!B$2:B$746,B99,'Base bordo'!F$2:F$746,"DESLOCAMENTO VAZIO"),0)</f>
        <v>5065</v>
      </c>
      <c r="S99" s="30">
        <f t="shared" si="19"/>
        <v>35.05359921026654</v>
      </c>
      <c r="T99" s="10">
        <f>IFERROR(SUMIFS('Base bordo'!H$2:H$746,'Base bordo'!C$2:C$746,A99,'Base bordo'!B$2:B$746,B99,'Base bordo'!F$2:F$746,"DESLOCAMENTO CARREGADO"),0)</f>
        <v>173551.50000000003</v>
      </c>
      <c r="U99" s="10">
        <f>IFERROR(SUMIFS('Base bordo'!I$2:I$746,'Base bordo'!C$2:C$746,A99,'Base bordo'!B$2:B$746,B99,'Base bordo'!F$2:F$746,"DESLOCAMENTO CARREGADO"),0)</f>
        <v>6484</v>
      </c>
      <c r="V99" s="30">
        <f t="shared" si="20"/>
        <v>26.766116594694637</v>
      </c>
      <c r="W99" s="9">
        <f t="shared" si="21"/>
        <v>0.11183978095742803</v>
      </c>
      <c r="X99" s="9">
        <f t="shared" si="22"/>
        <v>0.14317258434905494</v>
      </c>
      <c r="Y99" s="9">
        <f t="shared" si="23"/>
        <v>0.74498763469351703</v>
      </c>
    </row>
    <row r="100" spans="1:25" ht="15" customHeight="1" x14ac:dyDescent="0.35">
      <c r="A100" s="52">
        <v>8013475</v>
      </c>
      <c r="B100" s="51">
        <v>46118</v>
      </c>
      <c r="C100" s="7" t="s">
        <v>124</v>
      </c>
      <c r="D100" s="10">
        <f>IFERROR(SUMIFS('Base bordo'!G$2:G$746,'Base bordo'!C$2:C$746,A100,'Base bordo'!B$2:B$746,B100,'Base bordo'!F$2:F$746,"DESLOCAMENTO VAZIO"),0)</f>
        <v>1.6019444444444444</v>
      </c>
      <c r="E100" s="10">
        <f>IFERROR(SUMIFS('Base bordo'!G$2:G$746,'Base bordo'!C$2:C$746,A100,'Base bordo'!B$2:B$746,B100,'Base bordo'!F$2:F$746,"DESLOCAMENTO CARREGADO"),0)</f>
        <v>2.0350000000000001</v>
      </c>
      <c r="F100" s="10">
        <f>IFERROR(SUMIFS('Base bordo'!G$2:G$746,'Base bordo'!C$2:C$746,A100,'Base bordo'!B$2:B$746,B100,'Base bordo'!F$2:F$746,"DESLOCAMENTO"),0)</f>
        <v>1.1069444444444445</v>
      </c>
      <c r="G100" s="10">
        <f>IFERROR(SUMIFS('Base bordo'!G$2:G$746,'Base bordo'!C$2:C$746,A100,'Base bordo'!B$2:B$746,B100,'Base bordo'!F$2:F$746,"CARREGAMENTO"),0)</f>
        <v>0</v>
      </c>
      <c r="H100" s="10">
        <f>IFERROR(SUMIFS('Base bordo'!G$2:G$746,'Base bordo'!C$2:C$746,A100,'Base bordo'!B$2:B$746,B100,'Base bordo'!F$2:F$746,"AGUARDANDO TRANSBORDO"),0)</f>
        <v>0.62972222222222218</v>
      </c>
      <c r="I100" s="10">
        <f>IFERROR(SUMIFS('Base bordo'!G$2:G$746,'Base bordo'!C$2:C$746,A100,'Base bordo'!B$2:B$746,B100,'Base bordo'!F$2:F$746,"PÁTIO INTERNO"),0)+IFERROR(SUMIFS('Base bordo'!G$2:G$746,'Base bordo'!C$2:C$746,A100,'Base bordo'!B$2:B$746,B100,'Base bordo'!F$2:F$746,"PÁTIO EXTERNO"),0)+IFERROR(SUMIFS('Base bordo'!G$2:G$746,'Base bordo'!C$2:C$746,A100,'Base bordo'!B$2:B$746,B100,'Base bordo'!F$2:F$746,"PATIO - RESERVA"),0)+IFERROR(SUMIFS('Base bordo'!G$2:G$746,'Base bordo'!C$2:C$746,A100,'Base bordo'!B$2:B$746,B100,'Base bordo'!F$2:F$746,"MANOBRA CARRETAS-PATIO"),0)</f>
        <v>16.014166666666668</v>
      </c>
      <c r="J100" s="10">
        <f>IFERROR(SUMIFS('Base bordo'!G$2:G$746,'Base bordo'!C$2:C$746,A100,'Base bordo'!B$2:B$746,B100,'Base bordo'!F$2:F$746,"BALANÇA - ENTRADA"),0)+IFERROR(SUMIFS('Base bordo'!G$2:G$746,'Base bordo'!C$2:C$746,A100,'Base bordo'!B$2:B$746,B100,'Base bordo'!F$2:F$746,"BALANÇA - SAÍDA"),0)</f>
        <v>4.8333333333333332E-2</v>
      </c>
      <c r="K100" s="10">
        <f>IFERROR(SUMIFS('Base bordo'!G$2:G$746,'Base bordo'!C$2:C$746,A100,'Base bordo'!B$2:B$746,B100,'Base bordo'!F$2:F$746,"MAN PREVENTIVA - MECANICA"),0)+IFERROR(SUMIFS('Base bordo'!G$2:G$746,'Base bordo'!C$2:C$746,A100,'Base bordo'!B$2:B$746,B100,'Base bordo'!F$2:F$746,"MAN CORRETIVA - MECANICA"),0)</f>
        <v>0</v>
      </c>
      <c r="L100" s="10">
        <f>IFERROR(SUMIFS('Base bordo'!G$2:G$746,'Base bordo'!C$2:C$746,A100,'Base bordo'!B$2:B$746,B100,'Base bordo'!F$2:F$746,"MANUTENCAO - T O"),0)+IFERROR(SUMIFS('Base bordo'!G$2:G$746,'Base bordo'!C$2:C$746,A100,'Base bordo'!B$2:B$746,B100,'Base bordo'!F$2:F$746,"MANUTENCAO BORRACHARIA"),0)+IFERROR(SUMIFS('Base bordo'!G$2:G$746,'Base bordo'!C$2:C$746,A100,'Base bordo'!B$2:B$746,B100,'Base bordo'!F$2:F$746,"MANUTENCAO EXTERNA  CONCESSIONARIA"),0)+IFERROR(SUMIFS('Base bordo'!G$2:G$746,'Base bordo'!C$2:C$746,A100,'Base bordo'!B$2:B$746,B100,'Base bordo'!F$2:F$746,"MANUTENCAO TELEMETRIA"),0)</f>
        <v>1.9430555555555555</v>
      </c>
      <c r="M100" s="10">
        <f>IFERROR(SUMIFS('Base bordo'!G$2:G$746,'Base bordo'!C$2:C$746,A100,'Base bordo'!B$2:B$746,B100,'Base bordo'!F$2:F$746,"AGUARDANDO MANUTENCAO"),0)</f>
        <v>0</v>
      </c>
      <c r="N100" s="10">
        <f>IFERROR(SUMIFS('Base bordo'!G$2:G$746,'Base bordo'!C$2:C$746,A100,'Base bordo'!B$2:B$746,B100,'Base bordo'!F$2:F$746,"SEM APONTAMENTO"),0)</f>
        <v>0</v>
      </c>
      <c r="O100" s="10">
        <f t="shared" si="18"/>
        <v>3.5527136788005009E-15</v>
      </c>
      <c r="P100" s="10">
        <f>IFERROR(SUMIFS('Base bordo'!G$2:G$746,'Base bordo'!C$2:C$746,A100,'Base bordo'!B$2:B$746,B100),0)</f>
        <v>23.37916666666667</v>
      </c>
      <c r="Q100" s="10">
        <f>IFERROR(SUMIFS('Base bordo'!H$2:H$746,'Base bordo'!C$2:C$746,A100,'Base bordo'!B$2:B$746,B100,'Base bordo'!F$2:F$746,"DESLOCAMENTO VAZIO"),0)</f>
        <v>173822.73</v>
      </c>
      <c r="R100" s="10">
        <f>IFERROR(SUMIFS('Base bordo'!I$2:I$746,'Base bordo'!C$2:C$746,A100,'Base bordo'!B$2:B$746,B100,'Base bordo'!F$2:F$746,"DESLOCAMENTO VAZIO"),0)</f>
        <v>5767</v>
      </c>
      <c r="S100" s="30">
        <f t="shared" si="19"/>
        <v>30.140927692040925</v>
      </c>
      <c r="T100" s="10">
        <f>IFERROR(SUMIFS('Base bordo'!H$2:H$746,'Base bordo'!C$2:C$746,A100,'Base bordo'!B$2:B$746,B100,'Base bordo'!F$2:F$746,"DESLOCAMENTO CARREGADO"),0)</f>
        <v>172046.47</v>
      </c>
      <c r="U100" s="10">
        <f>IFERROR(SUMIFS('Base bordo'!I$2:I$746,'Base bordo'!C$2:C$746,A100,'Base bordo'!B$2:B$746,B100,'Base bordo'!F$2:F$746,"DESLOCAMENTO CARREGADO"),0)</f>
        <v>7326</v>
      </c>
      <c r="V100" s="30">
        <f t="shared" si="20"/>
        <v>23.484366639366641</v>
      </c>
      <c r="W100" s="9">
        <f t="shared" si="21"/>
        <v>6.8520168716212193E-2</v>
      </c>
      <c r="X100" s="9">
        <f t="shared" si="22"/>
        <v>8.7043307788273031E-2</v>
      </c>
      <c r="Y100" s="9">
        <f t="shared" si="23"/>
        <v>0.84443652349551479</v>
      </c>
    </row>
    <row r="101" spans="1:25" ht="15" customHeight="1" x14ac:dyDescent="0.35">
      <c r="A101" s="52">
        <v>8013485</v>
      </c>
      <c r="B101" s="51">
        <v>46119</v>
      </c>
      <c r="C101" s="7" t="s">
        <v>124</v>
      </c>
      <c r="D101" s="10">
        <f>IFERROR(SUMIFS('Base bordo'!G$2:G$746,'Base bordo'!C$2:C$746,A101,'Base bordo'!B$2:B$746,B101,'Base bordo'!F$2:F$746,"DESLOCAMENTO VAZIO"),0)</f>
        <v>2.2908333333333335</v>
      </c>
      <c r="E101" s="10">
        <f>IFERROR(SUMIFS('Base bordo'!G$2:G$746,'Base bordo'!C$2:C$746,A101,'Base bordo'!B$2:B$746,B101,'Base bordo'!F$2:F$746,"DESLOCAMENTO CARREGADO"),0)</f>
        <v>1.8202777777777779</v>
      </c>
      <c r="F101" s="10">
        <f>IFERROR(SUMIFS('Base bordo'!G$2:G$746,'Base bordo'!C$2:C$746,A101,'Base bordo'!B$2:B$746,B101,'Base bordo'!F$2:F$746,"DESLOCAMENTO"),0)</f>
        <v>0</v>
      </c>
      <c r="G101" s="10">
        <f>IFERROR(SUMIFS('Base bordo'!G$2:G$746,'Base bordo'!C$2:C$746,A101,'Base bordo'!B$2:B$746,B101,'Base bordo'!F$2:F$746,"CARREGAMENTO"),0)</f>
        <v>0</v>
      </c>
      <c r="H101" s="10">
        <f>IFERROR(SUMIFS('Base bordo'!G$2:G$746,'Base bordo'!C$2:C$746,A101,'Base bordo'!B$2:B$746,B101,'Base bordo'!F$2:F$746,"AGUARDANDO TRANSBORDO"),0)</f>
        <v>0</v>
      </c>
      <c r="I101" s="10">
        <f>IFERROR(SUMIFS('Base bordo'!G$2:G$746,'Base bordo'!C$2:C$746,A101,'Base bordo'!B$2:B$746,B101,'Base bordo'!F$2:F$746,"PÁTIO INTERNO"),0)+IFERROR(SUMIFS('Base bordo'!G$2:G$746,'Base bordo'!C$2:C$746,A101,'Base bordo'!B$2:B$746,B101,'Base bordo'!F$2:F$746,"PÁTIO EXTERNO"),0)+IFERROR(SUMIFS('Base bordo'!G$2:G$746,'Base bordo'!C$2:C$746,A101,'Base bordo'!B$2:B$746,B101,'Base bordo'!F$2:F$746,"PATIO - RESERVA"),0)+IFERROR(SUMIFS('Base bordo'!G$2:G$746,'Base bordo'!C$2:C$746,A101,'Base bordo'!B$2:B$746,B101,'Base bordo'!F$2:F$746,"MANOBRA CARRETAS-PATIO"),0)</f>
        <v>1.9913888888888889</v>
      </c>
      <c r="J101" s="10">
        <f>IFERROR(SUMIFS('Base bordo'!G$2:G$746,'Base bordo'!C$2:C$746,A101,'Base bordo'!B$2:B$746,B101,'Base bordo'!F$2:F$746,"BALANÇA - ENTRADA"),0)+IFERROR(SUMIFS('Base bordo'!G$2:G$746,'Base bordo'!C$2:C$746,A101,'Base bordo'!B$2:B$746,B101,'Base bordo'!F$2:F$746,"BALANÇA - SAÍDA"),0)</f>
        <v>0.02</v>
      </c>
      <c r="K101" s="10">
        <f>IFERROR(SUMIFS('Base bordo'!G$2:G$746,'Base bordo'!C$2:C$746,A101,'Base bordo'!B$2:B$746,B101,'Base bordo'!F$2:F$746,"MAN PREVENTIVA - MECANICA"),0)+IFERROR(SUMIFS('Base bordo'!G$2:G$746,'Base bordo'!C$2:C$746,A101,'Base bordo'!B$2:B$746,B101,'Base bordo'!F$2:F$746,"MAN CORRETIVA - MECANICA"),0)</f>
        <v>0</v>
      </c>
      <c r="L101" s="10">
        <f>IFERROR(SUMIFS('Base bordo'!G$2:G$746,'Base bordo'!C$2:C$746,A101,'Base bordo'!B$2:B$746,B101,'Base bordo'!F$2:F$746,"MANUTENCAO - T O"),0)+IFERROR(SUMIFS('Base bordo'!G$2:G$746,'Base bordo'!C$2:C$746,A101,'Base bordo'!B$2:B$746,B101,'Base bordo'!F$2:F$746,"MANUTENCAO BORRACHARIA"),0)+IFERROR(SUMIFS('Base bordo'!G$2:G$746,'Base bordo'!C$2:C$746,A101,'Base bordo'!B$2:B$746,B101,'Base bordo'!F$2:F$746,"MANUTENCAO EXTERNA  CONCESSIONARIA"),0)+IFERROR(SUMIFS('Base bordo'!G$2:G$746,'Base bordo'!C$2:C$746,A101,'Base bordo'!B$2:B$746,B101,'Base bordo'!F$2:F$746,"MANUTENCAO TELEMETRIA"),0)</f>
        <v>0</v>
      </c>
      <c r="M101" s="10">
        <f>IFERROR(SUMIFS('Base bordo'!G$2:G$746,'Base bordo'!C$2:C$746,A101,'Base bordo'!B$2:B$746,B101,'Base bordo'!F$2:F$746,"AGUARDANDO MANUTENCAO"),0)</f>
        <v>0</v>
      </c>
      <c r="N101" s="10">
        <f>IFERROR(SUMIFS('Base bordo'!G$2:G$746,'Base bordo'!C$2:C$746,A101,'Base bordo'!B$2:B$746,B101,'Base bordo'!F$2:F$746,"SEM APONTAMENTO"),0)</f>
        <v>0</v>
      </c>
      <c r="O101" s="10">
        <f t="shared" si="18"/>
        <v>2.4166666666666003E-2</v>
      </c>
      <c r="P101" s="10">
        <f>IFERROR(SUMIFS('Base bordo'!G$2:G$746,'Base bordo'!C$2:C$746,A101,'Base bordo'!B$2:B$746,B101),0)</f>
        <v>6.1466666666666665</v>
      </c>
      <c r="Q101" s="10">
        <f>IFERROR(SUMIFS('Base bordo'!H$2:H$746,'Base bordo'!C$2:C$746,A101,'Base bordo'!B$2:B$746,B101,'Base bordo'!F$2:F$746,"DESLOCAMENTO VAZIO"),0)</f>
        <v>213698.84</v>
      </c>
      <c r="R101" s="10">
        <f>IFERROR(SUMIFS('Base bordo'!I$2:I$746,'Base bordo'!C$2:C$746,A101,'Base bordo'!B$2:B$746,B101,'Base bordo'!F$2:F$746,"DESLOCAMENTO VAZIO"),0)</f>
        <v>8247</v>
      </c>
      <c r="S101" s="30">
        <f t="shared" si="19"/>
        <v>25.912312356008243</v>
      </c>
      <c r="T101" s="10">
        <f>IFERROR(SUMIFS('Base bordo'!H$2:H$746,'Base bordo'!C$2:C$746,A101,'Base bordo'!B$2:B$746,B101,'Base bordo'!F$2:F$746,"DESLOCAMENTO CARREGADO"),0)</f>
        <v>171355.69999999998</v>
      </c>
      <c r="U101" s="10">
        <f>IFERROR(SUMIFS('Base bordo'!I$2:I$746,'Base bordo'!C$2:C$746,A101,'Base bordo'!B$2:B$746,B101,'Base bordo'!F$2:F$746,"DESLOCAMENTO CARREGADO"),0)</f>
        <v>6497</v>
      </c>
      <c r="V101" s="30">
        <f t="shared" si="20"/>
        <v>26.374588271509925</v>
      </c>
      <c r="W101" s="9">
        <f t="shared" si="21"/>
        <v>0.37269522776572672</v>
      </c>
      <c r="X101" s="9">
        <f t="shared" si="22"/>
        <v>0.29614063629790316</v>
      </c>
      <c r="Y101" s="9">
        <f t="shared" si="23"/>
        <v>0.33116413593637006</v>
      </c>
    </row>
    <row r="102" spans="1:25" ht="15" customHeight="1" x14ac:dyDescent="0.35">
      <c r="A102" s="52">
        <v>8013462</v>
      </c>
      <c r="B102" s="51">
        <v>46117</v>
      </c>
      <c r="C102" s="7" t="s">
        <v>124</v>
      </c>
      <c r="D102" s="10">
        <f>IFERROR(SUMIFS('Base bordo'!G$2:G$746,'Base bordo'!C$2:C$746,A102,'Base bordo'!B$2:B$746,B102,'Base bordo'!F$2:F$746,"DESLOCAMENTO VAZIO"),0)</f>
        <v>1.3697222222222223</v>
      </c>
      <c r="E102" s="10">
        <f>IFERROR(SUMIFS('Base bordo'!G$2:G$746,'Base bordo'!C$2:C$746,A102,'Base bordo'!B$2:B$746,B102,'Base bordo'!F$2:F$746,"DESLOCAMENTO CARREGADO"),0)</f>
        <v>1.7716666666666667</v>
      </c>
      <c r="F102" s="10">
        <f>IFERROR(SUMIFS('Base bordo'!G$2:G$746,'Base bordo'!C$2:C$746,A102,'Base bordo'!B$2:B$746,B102,'Base bordo'!F$2:F$746,"DESLOCAMENTO"),0)</f>
        <v>1.0772222222222223</v>
      </c>
      <c r="G102" s="10">
        <f>IFERROR(SUMIFS('Base bordo'!G$2:G$746,'Base bordo'!C$2:C$746,A102,'Base bordo'!B$2:B$746,B102,'Base bordo'!F$2:F$746,"CARREGAMENTO"),0)</f>
        <v>0.32777777777777778</v>
      </c>
      <c r="H102" s="10">
        <f>IFERROR(SUMIFS('Base bordo'!G$2:G$746,'Base bordo'!C$2:C$746,A102,'Base bordo'!B$2:B$746,B102,'Base bordo'!F$2:F$746,"AGUARDANDO TRANSBORDO"),0)</f>
        <v>0.98277777777777775</v>
      </c>
      <c r="I102" s="10">
        <f>IFERROR(SUMIFS('Base bordo'!G$2:G$746,'Base bordo'!C$2:C$746,A102,'Base bordo'!B$2:B$746,B102,'Base bordo'!F$2:F$746,"PÁTIO INTERNO"),0)+IFERROR(SUMIFS('Base bordo'!G$2:G$746,'Base bordo'!C$2:C$746,A102,'Base bordo'!B$2:B$746,B102,'Base bordo'!F$2:F$746,"PÁTIO EXTERNO"),0)+IFERROR(SUMIFS('Base bordo'!G$2:G$746,'Base bordo'!C$2:C$746,A102,'Base bordo'!B$2:B$746,B102,'Base bordo'!F$2:F$746,"PATIO - RESERVA"),0)+IFERROR(SUMIFS('Base bordo'!G$2:G$746,'Base bordo'!C$2:C$746,A102,'Base bordo'!B$2:B$746,B102,'Base bordo'!F$2:F$746,"MANOBRA CARRETAS-PATIO"),0)</f>
        <v>0</v>
      </c>
      <c r="J102" s="10">
        <f>IFERROR(SUMIFS('Base bordo'!G$2:G$746,'Base bordo'!C$2:C$746,A102,'Base bordo'!B$2:B$746,B102,'Base bordo'!F$2:F$746,"BALANÇA - ENTRADA"),0)+IFERROR(SUMIFS('Base bordo'!G$2:G$746,'Base bordo'!C$2:C$746,A102,'Base bordo'!B$2:B$746,B102,'Base bordo'!F$2:F$746,"BALANÇA - SAÍDA"),0)</f>
        <v>0</v>
      </c>
      <c r="K102" s="10">
        <f>IFERROR(SUMIFS('Base bordo'!G$2:G$746,'Base bordo'!C$2:C$746,A102,'Base bordo'!B$2:B$746,B102,'Base bordo'!F$2:F$746,"MAN PREVENTIVA - MECANICA"),0)+IFERROR(SUMIFS('Base bordo'!G$2:G$746,'Base bordo'!C$2:C$746,A102,'Base bordo'!B$2:B$746,B102,'Base bordo'!F$2:F$746,"MAN CORRETIVA - MECANICA"),0)</f>
        <v>4.6944444444444441E-2</v>
      </c>
      <c r="L102" s="10">
        <f>IFERROR(SUMIFS('Base bordo'!G$2:G$746,'Base bordo'!C$2:C$746,A102,'Base bordo'!B$2:B$746,B102,'Base bordo'!F$2:F$746,"MANUTENCAO - T O"),0)+IFERROR(SUMIFS('Base bordo'!G$2:G$746,'Base bordo'!C$2:C$746,A102,'Base bordo'!B$2:B$746,B102,'Base bordo'!F$2:F$746,"MANUTENCAO BORRACHARIA"),0)+IFERROR(SUMIFS('Base bordo'!G$2:G$746,'Base bordo'!C$2:C$746,A102,'Base bordo'!B$2:B$746,B102,'Base bordo'!F$2:F$746,"MANUTENCAO EXTERNA  CONCESSIONARIA"),0)+IFERROR(SUMIFS('Base bordo'!G$2:G$746,'Base bordo'!C$2:C$746,A102,'Base bordo'!B$2:B$746,B102,'Base bordo'!F$2:F$746,"MANUTENCAO TELEMETRIA"),0)</f>
        <v>4.0702777777777781</v>
      </c>
      <c r="M102" s="10">
        <f>IFERROR(SUMIFS('Base bordo'!G$2:G$746,'Base bordo'!C$2:C$746,A102,'Base bordo'!B$2:B$746,B102,'Base bordo'!F$2:F$746,"AGUARDANDO MANUTENCAO"),0)</f>
        <v>0</v>
      </c>
      <c r="N102" s="10">
        <f>IFERROR(SUMIFS('Base bordo'!G$2:G$746,'Base bordo'!C$2:C$746,A102,'Base bordo'!B$2:B$746,B102,'Base bordo'!F$2:F$746,"SEM APONTAMENTO"),0)</f>
        <v>0</v>
      </c>
      <c r="O102" s="10">
        <f t="shared" si="18"/>
        <v>2.6524999999999981</v>
      </c>
      <c r="P102" s="10">
        <f>IFERROR(SUMIFS('Base bordo'!G$2:G$746,'Base bordo'!C$2:C$746,A102,'Base bordo'!B$2:B$746,B102),0)</f>
        <v>12.298888888888888</v>
      </c>
      <c r="Q102" s="10">
        <f>IFERROR(SUMIFS('Base bordo'!H$2:H$746,'Base bordo'!C$2:C$746,A102,'Base bordo'!B$2:B$746,B102,'Base bordo'!F$2:F$746,"DESLOCAMENTO VAZIO"),0)</f>
        <v>96755.57</v>
      </c>
      <c r="R102" s="10">
        <f>IFERROR(SUMIFS('Base bordo'!I$2:I$746,'Base bordo'!C$2:C$746,A102,'Base bordo'!B$2:B$746,B102,'Base bordo'!F$2:F$746,"DESLOCAMENTO VAZIO"),0)</f>
        <v>4931</v>
      </c>
      <c r="S102" s="30">
        <f t="shared" si="19"/>
        <v>19.621896167106065</v>
      </c>
      <c r="T102" s="10">
        <f>IFERROR(SUMIFS('Base bordo'!H$2:H$746,'Base bordo'!C$2:C$746,A102,'Base bordo'!B$2:B$746,B102,'Base bordo'!F$2:F$746,"DESLOCAMENTO CARREGADO"),0)</f>
        <v>170850.02000000002</v>
      </c>
      <c r="U102" s="10">
        <f>IFERROR(SUMIFS('Base bordo'!I$2:I$746,'Base bordo'!C$2:C$746,A102,'Base bordo'!B$2:B$746,B102,'Base bordo'!F$2:F$746,"DESLOCAMENTO CARREGADO"),0)</f>
        <v>6378</v>
      </c>
      <c r="V102" s="30">
        <f t="shared" si="20"/>
        <v>26.787397303229856</v>
      </c>
      <c r="W102" s="9">
        <f t="shared" si="21"/>
        <v>0.1113695907489385</v>
      </c>
      <c r="X102" s="9">
        <f t="shared" si="22"/>
        <v>0.14405095311229563</v>
      </c>
      <c r="Y102" s="9">
        <f t="shared" si="23"/>
        <v>0.74457945613876597</v>
      </c>
    </row>
    <row r="103" spans="1:25" ht="15" customHeight="1" x14ac:dyDescent="0.35">
      <c r="A103" s="52">
        <v>8013468</v>
      </c>
      <c r="B103" s="51">
        <v>46119</v>
      </c>
      <c r="C103" s="7" t="s">
        <v>124</v>
      </c>
      <c r="D103" s="10">
        <f>IFERROR(SUMIFS('Base bordo'!G$2:G$746,'Base bordo'!C$2:C$746,A103,'Base bordo'!B$2:B$746,B103,'Base bordo'!F$2:F$746,"DESLOCAMENTO VAZIO"),0)</f>
        <v>1.4213888888888888</v>
      </c>
      <c r="E103" s="10">
        <f>IFERROR(SUMIFS('Base bordo'!G$2:G$746,'Base bordo'!C$2:C$746,A103,'Base bordo'!B$2:B$746,B103,'Base bordo'!F$2:F$746,"DESLOCAMENTO CARREGADO"),0)</f>
        <v>1.9991666666666668</v>
      </c>
      <c r="F103" s="10">
        <f>IFERROR(SUMIFS('Base bordo'!G$2:G$746,'Base bordo'!C$2:C$746,A103,'Base bordo'!B$2:B$746,B103,'Base bordo'!F$2:F$746,"DESLOCAMENTO"),0)</f>
        <v>0</v>
      </c>
      <c r="G103" s="10">
        <f>IFERROR(SUMIFS('Base bordo'!G$2:G$746,'Base bordo'!C$2:C$746,A103,'Base bordo'!B$2:B$746,B103,'Base bordo'!F$2:F$746,"CARREGAMENTO"),0)</f>
        <v>0</v>
      </c>
      <c r="H103" s="10">
        <f>IFERROR(SUMIFS('Base bordo'!G$2:G$746,'Base bordo'!C$2:C$746,A103,'Base bordo'!B$2:B$746,B103,'Base bordo'!F$2:F$746,"AGUARDANDO TRANSBORDO"),0)</f>
        <v>0.63555555555555554</v>
      </c>
      <c r="I103" s="10">
        <f>IFERROR(SUMIFS('Base bordo'!G$2:G$746,'Base bordo'!C$2:C$746,A103,'Base bordo'!B$2:B$746,B103,'Base bordo'!F$2:F$746,"PÁTIO INTERNO"),0)+IFERROR(SUMIFS('Base bordo'!G$2:G$746,'Base bordo'!C$2:C$746,A103,'Base bordo'!B$2:B$746,B103,'Base bordo'!F$2:F$746,"PÁTIO EXTERNO"),0)+IFERROR(SUMIFS('Base bordo'!G$2:G$746,'Base bordo'!C$2:C$746,A103,'Base bordo'!B$2:B$746,B103,'Base bordo'!F$2:F$746,"PATIO - RESERVA"),0)+IFERROR(SUMIFS('Base bordo'!G$2:G$746,'Base bordo'!C$2:C$746,A103,'Base bordo'!B$2:B$746,B103,'Base bordo'!F$2:F$746,"MANOBRA CARRETAS-PATIO"),0)</f>
        <v>0.58444444444444443</v>
      </c>
      <c r="J103" s="10">
        <f>IFERROR(SUMIFS('Base bordo'!G$2:G$746,'Base bordo'!C$2:C$746,A103,'Base bordo'!B$2:B$746,B103,'Base bordo'!F$2:F$746,"BALANÇA - ENTRADA"),0)+IFERROR(SUMIFS('Base bordo'!G$2:G$746,'Base bordo'!C$2:C$746,A103,'Base bordo'!B$2:B$746,B103,'Base bordo'!F$2:F$746,"BALANÇA - SAÍDA"),0)</f>
        <v>5.5555555555555558E-3</v>
      </c>
      <c r="K103" s="10">
        <f>IFERROR(SUMIFS('Base bordo'!G$2:G$746,'Base bordo'!C$2:C$746,A103,'Base bordo'!B$2:B$746,B103,'Base bordo'!F$2:F$746,"MAN PREVENTIVA - MECANICA"),0)+IFERROR(SUMIFS('Base bordo'!G$2:G$746,'Base bordo'!C$2:C$746,A103,'Base bordo'!B$2:B$746,B103,'Base bordo'!F$2:F$746,"MAN CORRETIVA - MECANICA"),0)</f>
        <v>0</v>
      </c>
      <c r="L103" s="10">
        <f>IFERROR(SUMIFS('Base bordo'!G$2:G$746,'Base bordo'!C$2:C$746,A103,'Base bordo'!B$2:B$746,B103,'Base bordo'!F$2:F$746,"MANUTENCAO - T O"),0)+IFERROR(SUMIFS('Base bordo'!G$2:G$746,'Base bordo'!C$2:C$746,A103,'Base bordo'!B$2:B$746,B103,'Base bordo'!F$2:F$746,"MANUTENCAO BORRACHARIA"),0)+IFERROR(SUMIFS('Base bordo'!G$2:G$746,'Base bordo'!C$2:C$746,A103,'Base bordo'!B$2:B$746,B103,'Base bordo'!F$2:F$746,"MANUTENCAO EXTERNA  CONCESSIONARIA"),0)+IFERROR(SUMIFS('Base bordo'!G$2:G$746,'Base bordo'!C$2:C$746,A103,'Base bordo'!B$2:B$746,B103,'Base bordo'!F$2:F$746,"MANUTENCAO TELEMETRIA"),0)</f>
        <v>0</v>
      </c>
      <c r="M103" s="10">
        <f>IFERROR(SUMIFS('Base bordo'!G$2:G$746,'Base bordo'!C$2:C$746,A103,'Base bordo'!B$2:B$746,B103,'Base bordo'!F$2:F$746,"AGUARDANDO MANUTENCAO"),0)</f>
        <v>0</v>
      </c>
      <c r="N103" s="10">
        <f>IFERROR(SUMIFS('Base bordo'!G$2:G$746,'Base bordo'!C$2:C$746,A103,'Base bordo'!B$2:B$746,B103,'Base bordo'!F$2:F$746,"SEM APONTAMENTO"),0)</f>
        <v>0</v>
      </c>
      <c r="O103" s="10">
        <f t="shared" si="18"/>
        <v>0</v>
      </c>
      <c r="P103" s="10">
        <f>IFERROR(SUMIFS('Base bordo'!G$2:G$746,'Base bordo'!C$2:C$746,A103,'Base bordo'!B$2:B$746,B103),0)</f>
        <v>4.6461111111111109</v>
      </c>
      <c r="Q103" s="10">
        <f>IFERROR(SUMIFS('Base bordo'!H$2:H$746,'Base bordo'!C$2:C$746,A103,'Base bordo'!B$2:B$746,B103,'Base bordo'!F$2:F$746,"DESLOCAMENTO VAZIO"),0)</f>
        <v>179137.35</v>
      </c>
      <c r="R103" s="10">
        <f>IFERROR(SUMIFS('Base bordo'!I$2:I$746,'Base bordo'!C$2:C$746,A103,'Base bordo'!B$2:B$746,B103,'Base bordo'!F$2:F$746,"DESLOCAMENTO VAZIO"),0)</f>
        <v>5117</v>
      </c>
      <c r="S103" s="30">
        <f t="shared" si="19"/>
        <v>35.008276333789333</v>
      </c>
      <c r="T103" s="10">
        <f>IFERROR(SUMIFS('Base bordo'!H$2:H$746,'Base bordo'!C$2:C$746,A103,'Base bordo'!B$2:B$746,B103,'Base bordo'!F$2:F$746,"DESLOCAMENTO CARREGADO"),0)</f>
        <v>170577.91</v>
      </c>
      <c r="U103" s="10">
        <f>IFERROR(SUMIFS('Base bordo'!I$2:I$746,'Base bordo'!C$2:C$746,A103,'Base bordo'!B$2:B$746,B103,'Base bordo'!F$2:F$746,"DESLOCAMENTO CARREGADO"),0)</f>
        <v>7197</v>
      </c>
      <c r="V103" s="30">
        <f t="shared" si="20"/>
        <v>23.701251910518273</v>
      </c>
      <c r="W103" s="9">
        <f t="shared" si="21"/>
        <v>0.30593088604567736</v>
      </c>
      <c r="X103" s="9">
        <f t="shared" si="22"/>
        <v>0.43028817410020331</v>
      </c>
      <c r="Y103" s="9">
        <f t="shared" si="23"/>
        <v>0.26378093985411932</v>
      </c>
    </row>
    <row r="104" spans="1:25" ht="15" customHeight="1" x14ac:dyDescent="0.35">
      <c r="A104" s="52">
        <v>8013484</v>
      </c>
      <c r="B104" s="51">
        <v>46122</v>
      </c>
      <c r="C104" s="7" t="s">
        <v>124</v>
      </c>
      <c r="D104" s="10">
        <f>IFERROR(SUMIFS('Base bordo'!G$2:G$746,'Base bordo'!C$2:C$746,A104,'Base bordo'!B$2:B$746,B104,'Base bordo'!F$2:F$746,"DESLOCAMENTO VAZIO"),0)</f>
        <v>0</v>
      </c>
      <c r="E104" s="10">
        <f>IFERROR(SUMIFS('Base bordo'!G$2:G$746,'Base bordo'!C$2:C$746,A104,'Base bordo'!B$2:B$746,B104,'Base bordo'!F$2:F$746,"DESLOCAMENTO CARREGADO"),0)</f>
        <v>1.8913888888888888</v>
      </c>
      <c r="F104" s="10">
        <f>IFERROR(SUMIFS('Base bordo'!G$2:G$746,'Base bordo'!C$2:C$746,A104,'Base bordo'!B$2:B$746,B104,'Base bordo'!F$2:F$746,"DESLOCAMENTO"),0)</f>
        <v>0</v>
      </c>
      <c r="G104" s="10">
        <f>IFERROR(SUMIFS('Base bordo'!G$2:G$746,'Base bordo'!C$2:C$746,A104,'Base bordo'!B$2:B$746,B104,'Base bordo'!F$2:F$746,"CARREGAMENTO"),0)</f>
        <v>0</v>
      </c>
      <c r="H104" s="10">
        <f>IFERROR(SUMIFS('Base bordo'!G$2:G$746,'Base bordo'!C$2:C$746,A104,'Base bordo'!B$2:B$746,B104,'Base bordo'!F$2:F$746,"AGUARDANDO TRANSBORDO"),0)</f>
        <v>0</v>
      </c>
      <c r="I104" s="10">
        <f>IFERROR(SUMIFS('Base bordo'!G$2:G$746,'Base bordo'!C$2:C$746,A104,'Base bordo'!B$2:B$746,B104,'Base bordo'!F$2:F$746,"PÁTIO INTERNO"),0)+IFERROR(SUMIFS('Base bordo'!G$2:G$746,'Base bordo'!C$2:C$746,A104,'Base bordo'!B$2:B$746,B104,'Base bordo'!F$2:F$746,"PÁTIO EXTERNO"),0)+IFERROR(SUMIFS('Base bordo'!G$2:G$746,'Base bordo'!C$2:C$746,A104,'Base bordo'!B$2:B$746,B104,'Base bordo'!F$2:F$746,"PATIO - RESERVA"),0)+IFERROR(SUMIFS('Base bordo'!G$2:G$746,'Base bordo'!C$2:C$746,A104,'Base bordo'!B$2:B$746,B104,'Base bordo'!F$2:F$746,"MANOBRA CARRETAS-PATIO"),0)</f>
        <v>0.15055555555555555</v>
      </c>
      <c r="J104" s="10">
        <f>IFERROR(SUMIFS('Base bordo'!G$2:G$746,'Base bordo'!C$2:C$746,A104,'Base bordo'!B$2:B$746,B104,'Base bordo'!F$2:F$746,"BALANÇA - ENTRADA"),0)+IFERROR(SUMIFS('Base bordo'!G$2:G$746,'Base bordo'!C$2:C$746,A104,'Base bordo'!B$2:B$746,B104,'Base bordo'!F$2:F$746,"BALANÇA - SAÍDA"),0)</f>
        <v>0</v>
      </c>
      <c r="K104" s="10">
        <f>IFERROR(SUMIFS('Base bordo'!G$2:G$746,'Base bordo'!C$2:C$746,A104,'Base bordo'!B$2:B$746,B104,'Base bordo'!F$2:F$746,"MAN PREVENTIVA - MECANICA"),0)+IFERROR(SUMIFS('Base bordo'!G$2:G$746,'Base bordo'!C$2:C$746,A104,'Base bordo'!B$2:B$746,B104,'Base bordo'!F$2:F$746,"MAN CORRETIVA - MECANICA"),0)</f>
        <v>0</v>
      </c>
      <c r="L104" s="10">
        <f>IFERROR(SUMIFS('Base bordo'!G$2:G$746,'Base bordo'!C$2:C$746,A104,'Base bordo'!B$2:B$746,B104,'Base bordo'!F$2:F$746,"MANUTENCAO - T O"),0)+IFERROR(SUMIFS('Base bordo'!G$2:G$746,'Base bordo'!C$2:C$746,A104,'Base bordo'!B$2:B$746,B104,'Base bordo'!F$2:F$746,"MANUTENCAO BORRACHARIA"),0)+IFERROR(SUMIFS('Base bordo'!G$2:G$746,'Base bordo'!C$2:C$746,A104,'Base bordo'!B$2:B$746,B104,'Base bordo'!F$2:F$746,"MANUTENCAO EXTERNA  CONCESSIONARIA"),0)+IFERROR(SUMIFS('Base bordo'!G$2:G$746,'Base bordo'!C$2:C$746,A104,'Base bordo'!B$2:B$746,B104,'Base bordo'!F$2:F$746,"MANUTENCAO TELEMETRIA"),0)</f>
        <v>0</v>
      </c>
      <c r="M104" s="10">
        <f>IFERROR(SUMIFS('Base bordo'!G$2:G$746,'Base bordo'!C$2:C$746,A104,'Base bordo'!B$2:B$746,B104,'Base bordo'!F$2:F$746,"AGUARDANDO MANUTENCAO"),0)</f>
        <v>0</v>
      </c>
      <c r="N104" s="10">
        <f>IFERROR(SUMIFS('Base bordo'!G$2:G$746,'Base bordo'!C$2:C$746,A104,'Base bordo'!B$2:B$746,B104,'Base bordo'!F$2:F$746,"SEM APONTAMENTO"),0)</f>
        <v>0</v>
      </c>
      <c r="O104" s="10">
        <f t="shared" si="18"/>
        <v>0</v>
      </c>
      <c r="P104" s="10">
        <f>IFERROR(SUMIFS('Base bordo'!G$2:G$746,'Base bordo'!C$2:C$746,A104,'Base bordo'!B$2:B$746,B104),0)</f>
        <v>2.0419444444444443</v>
      </c>
      <c r="Q104" s="10">
        <f>IFERROR(SUMIFS('Base bordo'!H$2:H$746,'Base bordo'!C$2:C$746,A104,'Base bordo'!B$2:B$746,B104,'Base bordo'!F$2:F$746,"DESLOCAMENTO VAZIO"),0)</f>
        <v>0</v>
      </c>
      <c r="R104" s="10">
        <f>IFERROR(SUMIFS('Base bordo'!I$2:I$746,'Base bordo'!C$2:C$746,A104,'Base bordo'!B$2:B$746,B104,'Base bordo'!F$2:F$746,"DESLOCAMENTO VAZIO"),0)</f>
        <v>0</v>
      </c>
      <c r="S104" s="30" t="str">
        <f t="shared" si="19"/>
        <v/>
      </c>
      <c r="T104" s="10">
        <f>IFERROR(SUMIFS('Base bordo'!H$2:H$746,'Base bordo'!C$2:C$746,A104,'Base bordo'!B$2:B$746,B104,'Base bordo'!F$2:F$746,"DESLOCAMENTO CARREGADO"),0)</f>
        <v>169799.59</v>
      </c>
      <c r="U104" s="10">
        <f>IFERROR(SUMIFS('Base bordo'!I$2:I$746,'Base bordo'!C$2:C$746,A104,'Base bordo'!B$2:B$746,B104,'Base bordo'!F$2:F$746,"DESLOCAMENTO CARREGADO"),0)</f>
        <v>6809</v>
      </c>
      <c r="V104" s="30">
        <f t="shared" si="20"/>
        <v>24.937522396827728</v>
      </c>
      <c r="W104" s="9">
        <f t="shared" si="21"/>
        <v>0</v>
      </c>
      <c r="X104" s="9">
        <f t="shared" si="22"/>
        <v>0.92626853489321181</v>
      </c>
      <c r="Y104" s="9">
        <f t="shared" si="23"/>
        <v>7.3731465106788185E-2</v>
      </c>
    </row>
    <row r="105" spans="1:25" ht="15" customHeight="1" x14ac:dyDescent="0.35">
      <c r="A105" s="52">
        <v>8013470</v>
      </c>
      <c r="B105" s="51">
        <v>46123</v>
      </c>
      <c r="C105" s="7" t="s">
        <v>124</v>
      </c>
      <c r="D105" s="10">
        <f>IFERROR(SUMIFS('Base bordo'!G$2:G$746,'Base bordo'!C$2:C$746,A105,'Base bordo'!B$2:B$746,B105,'Base bordo'!F$2:F$746,"DESLOCAMENTO VAZIO"),0)</f>
        <v>1.4894444444444443</v>
      </c>
      <c r="E105" s="10">
        <f>IFERROR(SUMIFS('Base bordo'!G$2:G$746,'Base bordo'!C$2:C$746,A105,'Base bordo'!B$2:B$746,B105,'Base bordo'!F$2:F$746,"DESLOCAMENTO CARREGADO"),0)</f>
        <v>2.7725</v>
      </c>
      <c r="F105" s="10">
        <f>IFERROR(SUMIFS('Base bordo'!G$2:G$746,'Base bordo'!C$2:C$746,A105,'Base bordo'!B$2:B$746,B105,'Base bordo'!F$2:F$746,"DESLOCAMENTO"),0)</f>
        <v>1.1813888888888888</v>
      </c>
      <c r="G105" s="10">
        <f>IFERROR(SUMIFS('Base bordo'!G$2:G$746,'Base bordo'!C$2:C$746,A105,'Base bordo'!B$2:B$746,B105,'Base bordo'!F$2:F$746,"CARREGAMENTO"),0)</f>
        <v>0</v>
      </c>
      <c r="H105" s="10">
        <f>IFERROR(SUMIFS('Base bordo'!G$2:G$746,'Base bordo'!C$2:C$746,A105,'Base bordo'!B$2:B$746,B105,'Base bordo'!F$2:F$746,"AGUARDANDO TRANSBORDO"),0)</f>
        <v>0.10722222222222222</v>
      </c>
      <c r="I105" s="10">
        <f>IFERROR(SUMIFS('Base bordo'!G$2:G$746,'Base bordo'!C$2:C$746,A105,'Base bordo'!B$2:B$746,B105,'Base bordo'!F$2:F$746,"PÁTIO INTERNO"),0)+IFERROR(SUMIFS('Base bordo'!G$2:G$746,'Base bordo'!C$2:C$746,A105,'Base bordo'!B$2:B$746,B105,'Base bordo'!F$2:F$746,"PÁTIO EXTERNO"),0)+IFERROR(SUMIFS('Base bordo'!G$2:G$746,'Base bordo'!C$2:C$746,A105,'Base bordo'!B$2:B$746,B105,'Base bordo'!F$2:F$746,"PATIO - RESERVA"),0)+IFERROR(SUMIFS('Base bordo'!G$2:G$746,'Base bordo'!C$2:C$746,A105,'Base bordo'!B$2:B$746,B105,'Base bordo'!F$2:F$746,"MANOBRA CARRETAS-PATIO"),0)</f>
        <v>0.56472222222222224</v>
      </c>
      <c r="J105" s="10">
        <f>IFERROR(SUMIFS('Base bordo'!G$2:G$746,'Base bordo'!C$2:C$746,A105,'Base bordo'!B$2:B$746,B105,'Base bordo'!F$2:F$746,"BALANÇA - ENTRADA"),0)+IFERROR(SUMIFS('Base bordo'!G$2:G$746,'Base bordo'!C$2:C$746,A105,'Base bordo'!B$2:B$746,B105,'Base bordo'!F$2:F$746,"BALANÇA - SAÍDA"),0)</f>
        <v>0</v>
      </c>
      <c r="K105" s="10">
        <f>IFERROR(SUMIFS('Base bordo'!G$2:G$746,'Base bordo'!C$2:C$746,A105,'Base bordo'!B$2:B$746,B105,'Base bordo'!F$2:F$746,"MAN PREVENTIVA - MECANICA"),0)+IFERROR(SUMIFS('Base bordo'!G$2:G$746,'Base bordo'!C$2:C$746,A105,'Base bordo'!B$2:B$746,B105,'Base bordo'!F$2:F$746,"MAN CORRETIVA - MECANICA"),0)</f>
        <v>0</v>
      </c>
      <c r="L105" s="10">
        <f>IFERROR(SUMIFS('Base bordo'!G$2:G$746,'Base bordo'!C$2:C$746,A105,'Base bordo'!B$2:B$746,B105,'Base bordo'!F$2:F$746,"MANUTENCAO - T O"),0)+IFERROR(SUMIFS('Base bordo'!G$2:G$746,'Base bordo'!C$2:C$746,A105,'Base bordo'!B$2:B$746,B105,'Base bordo'!F$2:F$746,"MANUTENCAO BORRACHARIA"),0)+IFERROR(SUMIFS('Base bordo'!G$2:G$746,'Base bordo'!C$2:C$746,A105,'Base bordo'!B$2:B$746,B105,'Base bordo'!F$2:F$746,"MANUTENCAO EXTERNA  CONCESSIONARIA"),0)+IFERROR(SUMIFS('Base bordo'!G$2:G$746,'Base bordo'!C$2:C$746,A105,'Base bordo'!B$2:B$746,B105,'Base bordo'!F$2:F$746,"MANUTENCAO TELEMETRIA"),0)</f>
        <v>0</v>
      </c>
      <c r="M105" s="10">
        <f>IFERROR(SUMIFS('Base bordo'!G$2:G$746,'Base bordo'!C$2:C$746,A105,'Base bordo'!B$2:B$746,B105,'Base bordo'!F$2:F$746,"AGUARDANDO MANUTENCAO"),0)</f>
        <v>0</v>
      </c>
      <c r="N105" s="10">
        <f>IFERROR(SUMIFS('Base bordo'!G$2:G$746,'Base bordo'!C$2:C$746,A105,'Base bordo'!B$2:B$746,B105,'Base bordo'!F$2:F$746,"SEM APONTAMENTO"),0)</f>
        <v>0</v>
      </c>
      <c r="O105" s="10">
        <f t="shared" si="18"/>
        <v>4.6666666666666856E-2</v>
      </c>
      <c r="P105" s="10">
        <f>IFERROR(SUMIFS('Base bordo'!G$2:G$746,'Base bordo'!C$2:C$746,A105,'Base bordo'!B$2:B$746,B105),0)</f>
        <v>6.1619444444444449</v>
      </c>
      <c r="Q105" s="10">
        <f>IFERROR(SUMIFS('Base bordo'!H$2:H$746,'Base bordo'!C$2:C$746,A105,'Base bordo'!B$2:B$746,B105,'Base bordo'!F$2:F$746,"DESLOCAMENTO VAZIO"),0)</f>
        <v>174958.3</v>
      </c>
      <c r="R105" s="10">
        <f>IFERROR(SUMIFS('Base bordo'!I$2:I$746,'Base bordo'!C$2:C$746,A105,'Base bordo'!B$2:B$746,B105,'Base bordo'!F$2:F$746,"DESLOCAMENTO VAZIO"),0)</f>
        <v>5362</v>
      </c>
      <c r="S105" s="30">
        <f t="shared" si="19"/>
        <v>32.629298769115998</v>
      </c>
      <c r="T105" s="10">
        <f>IFERROR(SUMIFS('Base bordo'!H$2:H$746,'Base bordo'!C$2:C$746,A105,'Base bordo'!B$2:B$746,B105,'Base bordo'!F$2:F$746,"DESLOCAMENTO CARREGADO"),0)</f>
        <v>211588.94</v>
      </c>
      <c r="U105" s="10">
        <f>IFERROR(SUMIFS('Base bordo'!I$2:I$746,'Base bordo'!C$2:C$746,A105,'Base bordo'!B$2:B$746,B105,'Base bordo'!F$2:F$746,"DESLOCAMENTO CARREGADO"),0)</f>
        <v>9967</v>
      </c>
      <c r="V105" s="30">
        <f t="shared" si="20"/>
        <v>21.228949533460419</v>
      </c>
      <c r="W105" s="9">
        <f t="shared" si="21"/>
        <v>0.24171662985168821</v>
      </c>
      <c r="X105" s="9">
        <f t="shared" si="22"/>
        <v>0.44993914258666545</v>
      </c>
      <c r="Y105" s="9">
        <f t="shared" si="23"/>
        <v>0.30834422756164637</v>
      </c>
    </row>
    <row r="106" spans="1:25" ht="15" customHeight="1" x14ac:dyDescent="0.35">
      <c r="A106" s="52">
        <v>8013481</v>
      </c>
      <c r="B106" s="51">
        <v>46117</v>
      </c>
      <c r="C106" s="7" t="s">
        <v>124</v>
      </c>
      <c r="D106" s="10">
        <f>IFERROR(SUMIFS('Base bordo'!G$2:G$746,'Base bordo'!C$2:C$746,A106,'Base bordo'!B$2:B$746,B106,'Base bordo'!F$2:F$746,"DESLOCAMENTO VAZIO"),0)</f>
        <v>2.3438888888888889</v>
      </c>
      <c r="E106" s="10">
        <f>IFERROR(SUMIFS('Base bordo'!G$2:G$746,'Base bordo'!C$2:C$746,A106,'Base bordo'!B$2:B$746,B106,'Base bordo'!F$2:F$746,"DESLOCAMENTO CARREGADO"),0)</f>
        <v>1.878611111111111</v>
      </c>
      <c r="F106" s="10">
        <f>IFERROR(SUMIFS('Base bordo'!G$2:G$746,'Base bordo'!C$2:C$746,A106,'Base bordo'!B$2:B$746,B106,'Base bordo'!F$2:F$746,"DESLOCAMENTO"),0)</f>
        <v>0</v>
      </c>
      <c r="G106" s="10">
        <f>IFERROR(SUMIFS('Base bordo'!G$2:G$746,'Base bordo'!C$2:C$746,A106,'Base bordo'!B$2:B$746,B106,'Base bordo'!F$2:F$746,"CARREGAMENTO"),0)</f>
        <v>0.21305555555555555</v>
      </c>
      <c r="H106" s="10">
        <f>IFERROR(SUMIFS('Base bordo'!G$2:G$746,'Base bordo'!C$2:C$746,A106,'Base bordo'!B$2:B$746,B106,'Base bordo'!F$2:F$746,"AGUARDANDO TRANSBORDO"),0)</f>
        <v>0</v>
      </c>
      <c r="I106" s="10">
        <f>IFERROR(SUMIFS('Base bordo'!G$2:G$746,'Base bordo'!C$2:C$746,A106,'Base bordo'!B$2:B$746,B106,'Base bordo'!F$2:F$746,"PÁTIO INTERNO"),0)+IFERROR(SUMIFS('Base bordo'!G$2:G$746,'Base bordo'!C$2:C$746,A106,'Base bordo'!B$2:B$746,B106,'Base bordo'!F$2:F$746,"PÁTIO EXTERNO"),0)+IFERROR(SUMIFS('Base bordo'!G$2:G$746,'Base bordo'!C$2:C$746,A106,'Base bordo'!B$2:B$746,B106,'Base bordo'!F$2:F$746,"PATIO - RESERVA"),0)+IFERROR(SUMIFS('Base bordo'!G$2:G$746,'Base bordo'!C$2:C$746,A106,'Base bordo'!B$2:B$746,B106,'Base bordo'!F$2:F$746,"MANOBRA CARRETAS-PATIO"),0)</f>
        <v>0.14222222222222222</v>
      </c>
      <c r="J106" s="10">
        <f>IFERROR(SUMIFS('Base bordo'!G$2:G$746,'Base bordo'!C$2:C$746,A106,'Base bordo'!B$2:B$746,B106,'Base bordo'!F$2:F$746,"BALANÇA - ENTRADA"),0)+IFERROR(SUMIFS('Base bordo'!G$2:G$746,'Base bordo'!C$2:C$746,A106,'Base bordo'!B$2:B$746,B106,'Base bordo'!F$2:F$746,"BALANÇA - SAÍDA"),0)</f>
        <v>0</v>
      </c>
      <c r="K106" s="10">
        <f>IFERROR(SUMIFS('Base bordo'!G$2:G$746,'Base bordo'!C$2:C$746,A106,'Base bordo'!B$2:B$746,B106,'Base bordo'!F$2:F$746,"MAN PREVENTIVA - MECANICA"),0)+IFERROR(SUMIFS('Base bordo'!G$2:G$746,'Base bordo'!C$2:C$746,A106,'Base bordo'!B$2:B$746,B106,'Base bordo'!F$2:F$746,"MAN CORRETIVA - MECANICA"),0)</f>
        <v>0</v>
      </c>
      <c r="L106" s="10">
        <f>IFERROR(SUMIFS('Base bordo'!G$2:G$746,'Base bordo'!C$2:C$746,A106,'Base bordo'!B$2:B$746,B106,'Base bordo'!F$2:F$746,"MANUTENCAO - T O"),0)+IFERROR(SUMIFS('Base bordo'!G$2:G$746,'Base bordo'!C$2:C$746,A106,'Base bordo'!B$2:B$746,B106,'Base bordo'!F$2:F$746,"MANUTENCAO BORRACHARIA"),0)+IFERROR(SUMIFS('Base bordo'!G$2:G$746,'Base bordo'!C$2:C$746,A106,'Base bordo'!B$2:B$746,B106,'Base bordo'!F$2:F$746,"MANUTENCAO EXTERNA  CONCESSIONARIA"),0)+IFERROR(SUMIFS('Base bordo'!G$2:G$746,'Base bordo'!C$2:C$746,A106,'Base bordo'!B$2:B$746,B106,'Base bordo'!F$2:F$746,"MANUTENCAO TELEMETRIA"),0)</f>
        <v>19.126944444444444</v>
      </c>
      <c r="M106" s="10">
        <f>IFERROR(SUMIFS('Base bordo'!G$2:G$746,'Base bordo'!C$2:C$746,A106,'Base bordo'!B$2:B$746,B106,'Base bordo'!F$2:F$746,"AGUARDANDO MANUTENCAO"),0)</f>
        <v>0</v>
      </c>
      <c r="N106" s="10">
        <f>IFERROR(SUMIFS('Base bordo'!G$2:G$746,'Base bordo'!C$2:C$746,A106,'Base bordo'!B$2:B$746,B106,'Base bordo'!F$2:F$746,"SEM APONTAMENTO"),0)</f>
        <v>8.0277777777777781E-2</v>
      </c>
      <c r="O106" s="10">
        <f t="shared" si="18"/>
        <v>0.21499999999999986</v>
      </c>
      <c r="P106" s="10">
        <f>IFERROR(SUMIFS('Base bordo'!G$2:G$746,'Base bordo'!C$2:C$746,A106,'Base bordo'!B$2:B$746,B106),0)</f>
        <v>24</v>
      </c>
      <c r="Q106" s="10">
        <f>IFERROR(SUMIFS('Base bordo'!H$2:H$746,'Base bordo'!C$2:C$746,A106,'Base bordo'!B$2:B$746,B106,'Base bordo'!F$2:F$746,"DESLOCAMENTO VAZIO"),0)</f>
        <v>230189.18</v>
      </c>
      <c r="R106" s="10">
        <f>IFERROR(SUMIFS('Base bordo'!I$2:I$746,'Base bordo'!C$2:C$746,A106,'Base bordo'!B$2:B$746,B106,'Base bordo'!F$2:F$746,"DESLOCAMENTO VAZIO"),0)</f>
        <v>8438</v>
      </c>
      <c r="S106" s="30">
        <f t="shared" si="19"/>
        <v>27.28006399620763</v>
      </c>
      <c r="T106" s="10">
        <f>IFERROR(SUMIFS('Base bordo'!H$2:H$746,'Base bordo'!C$2:C$746,A106,'Base bordo'!B$2:B$746,B106,'Base bordo'!F$2:F$746,"DESLOCAMENTO CARREGADO"),0)</f>
        <v>169494.41999999998</v>
      </c>
      <c r="U106" s="10">
        <f>IFERROR(SUMIFS('Base bordo'!I$2:I$746,'Base bordo'!C$2:C$746,A106,'Base bordo'!B$2:B$746,B106,'Base bordo'!F$2:F$746,"DESLOCAMENTO CARREGADO"),0)</f>
        <v>6763</v>
      </c>
      <c r="V106" s="30">
        <f t="shared" si="20"/>
        <v>25.062016856424663</v>
      </c>
      <c r="W106" s="9">
        <f t="shared" si="21"/>
        <v>9.7662037037037033E-2</v>
      </c>
      <c r="X106" s="9">
        <f t="shared" si="22"/>
        <v>7.8275462962962963E-2</v>
      </c>
      <c r="Y106" s="9">
        <f t="shared" si="23"/>
        <v>0.82406250000000003</v>
      </c>
    </row>
    <row r="107" spans="1:25" ht="15" customHeight="1" x14ac:dyDescent="0.35">
      <c r="A107" s="52">
        <v>8013485</v>
      </c>
      <c r="B107" s="51">
        <v>46117</v>
      </c>
      <c r="C107" s="7" t="s">
        <v>124</v>
      </c>
      <c r="D107" s="10">
        <f>IFERROR(SUMIFS('Base bordo'!G$2:G$746,'Base bordo'!C$2:C$746,A107,'Base bordo'!B$2:B$746,B107,'Base bordo'!F$2:F$746,"DESLOCAMENTO VAZIO"),0)</f>
        <v>1.9294444444444445</v>
      </c>
      <c r="E107" s="10">
        <f>IFERROR(SUMIFS('Base bordo'!G$2:G$746,'Base bordo'!C$2:C$746,A107,'Base bordo'!B$2:B$746,B107,'Base bordo'!F$2:F$746,"DESLOCAMENTO CARREGADO"),0)</f>
        <v>1.6919444444444445</v>
      </c>
      <c r="F107" s="10">
        <f>IFERROR(SUMIFS('Base bordo'!G$2:G$746,'Base bordo'!C$2:C$746,A107,'Base bordo'!B$2:B$746,B107,'Base bordo'!F$2:F$746,"DESLOCAMENTO"),0)</f>
        <v>0</v>
      </c>
      <c r="G107" s="10">
        <f>IFERROR(SUMIFS('Base bordo'!G$2:G$746,'Base bordo'!C$2:C$746,A107,'Base bordo'!B$2:B$746,B107,'Base bordo'!F$2:F$746,"CARREGAMENTO"),0)</f>
        <v>0.57138888888888884</v>
      </c>
      <c r="H107" s="10">
        <f>IFERROR(SUMIFS('Base bordo'!G$2:G$746,'Base bordo'!C$2:C$746,A107,'Base bordo'!B$2:B$746,B107,'Base bordo'!F$2:F$746,"AGUARDANDO TRANSBORDO"),0)</f>
        <v>0</v>
      </c>
      <c r="I107" s="10">
        <f>IFERROR(SUMIFS('Base bordo'!G$2:G$746,'Base bordo'!C$2:C$746,A107,'Base bordo'!B$2:B$746,B107,'Base bordo'!F$2:F$746,"PÁTIO INTERNO"),0)+IFERROR(SUMIFS('Base bordo'!G$2:G$746,'Base bordo'!C$2:C$746,A107,'Base bordo'!B$2:B$746,B107,'Base bordo'!F$2:F$746,"PÁTIO EXTERNO"),0)+IFERROR(SUMIFS('Base bordo'!G$2:G$746,'Base bordo'!C$2:C$746,A107,'Base bordo'!B$2:B$746,B107,'Base bordo'!F$2:F$746,"PATIO - RESERVA"),0)+IFERROR(SUMIFS('Base bordo'!G$2:G$746,'Base bordo'!C$2:C$746,A107,'Base bordo'!B$2:B$746,B107,'Base bordo'!F$2:F$746,"MANOBRA CARRETAS-PATIO"),0)</f>
        <v>0.93222222222222217</v>
      </c>
      <c r="J107" s="10">
        <f>IFERROR(SUMIFS('Base bordo'!G$2:G$746,'Base bordo'!C$2:C$746,A107,'Base bordo'!B$2:B$746,B107,'Base bordo'!F$2:F$746,"BALANÇA - ENTRADA"),0)+IFERROR(SUMIFS('Base bordo'!G$2:G$746,'Base bordo'!C$2:C$746,A107,'Base bordo'!B$2:B$746,B107,'Base bordo'!F$2:F$746,"BALANÇA - SAÍDA"),0)</f>
        <v>0</v>
      </c>
      <c r="K107" s="10">
        <f>IFERROR(SUMIFS('Base bordo'!G$2:G$746,'Base bordo'!C$2:C$746,A107,'Base bordo'!B$2:B$746,B107,'Base bordo'!F$2:F$746,"MAN PREVENTIVA - MECANICA"),0)+IFERROR(SUMIFS('Base bordo'!G$2:G$746,'Base bordo'!C$2:C$746,A107,'Base bordo'!B$2:B$746,B107,'Base bordo'!F$2:F$746,"MAN CORRETIVA - MECANICA"),0)</f>
        <v>0</v>
      </c>
      <c r="L107" s="10">
        <f>IFERROR(SUMIFS('Base bordo'!G$2:G$746,'Base bordo'!C$2:C$746,A107,'Base bordo'!B$2:B$746,B107,'Base bordo'!F$2:F$746,"MANUTENCAO - T O"),0)+IFERROR(SUMIFS('Base bordo'!G$2:G$746,'Base bordo'!C$2:C$746,A107,'Base bordo'!B$2:B$746,B107,'Base bordo'!F$2:F$746,"MANUTENCAO BORRACHARIA"),0)+IFERROR(SUMIFS('Base bordo'!G$2:G$746,'Base bordo'!C$2:C$746,A107,'Base bordo'!B$2:B$746,B107,'Base bordo'!F$2:F$746,"MANUTENCAO EXTERNA  CONCESSIONARIA"),0)+IFERROR(SUMIFS('Base bordo'!G$2:G$746,'Base bordo'!C$2:C$746,A107,'Base bordo'!B$2:B$746,B107,'Base bordo'!F$2:F$746,"MANUTENCAO TELEMETRIA"),0)</f>
        <v>8.8805555555555564</v>
      </c>
      <c r="M107" s="10">
        <f>IFERROR(SUMIFS('Base bordo'!G$2:G$746,'Base bordo'!C$2:C$746,A107,'Base bordo'!B$2:B$746,B107,'Base bordo'!F$2:F$746,"AGUARDANDO MANUTENCAO"),0)</f>
        <v>0</v>
      </c>
      <c r="N107" s="10">
        <f>IFERROR(SUMIFS('Base bordo'!G$2:G$746,'Base bordo'!C$2:C$746,A107,'Base bordo'!B$2:B$746,B107,'Base bordo'!F$2:F$746,"SEM APONTAMENTO"),0)</f>
        <v>0</v>
      </c>
      <c r="O107" s="10">
        <f t="shared" si="18"/>
        <v>4.9944444444444471</v>
      </c>
      <c r="P107" s="10">
        <f>IFERROR(SUMIFS('Base bordo'!G$2:G$746,'Base bordo'!C$2:C$746,A107,'Base bordo'!B$2:B$746,B107),0)</f>
        <v>19.000000000000004</v>
      </c>
      <c r="Q107" s="10">
        <f>IFERROR(SUMIFS('Base bordo'!H$2:H$746,'Base bordo'!C$2:C$746,A107,'Base bordo'!B$2:B$746,B107,'Base bordo'!F$2:F$746,"DESLOCAMENTO VAZIO"),0)</f>
        <v>200216.06000000003</v>
      </c>
      <c r="R107" s="10">
        <f>IFERROR(SUMIFS('Base bordo'!I$2:I$746,'Base bordo'!C$2:C$746,A107,'Base bordo'!B$2:B$746,B107,'Base bordo'!F$2:F$746,"DESLOCAMENTO VAZIO"),0)</f>
        <v>6946</v>
      </c>
      <c r="S107" s="30">
        <f t="shared" si="19"/>
        <v>28.82465591707458</v>
      </c>
      <c r="T107" s="10">
        <f>IFERROR(SUMIFS('Base bordo'!H$2:H$746,'Base bordo'!C$2:C$746,A107,'Base bordo'!B$2:B$746,B107,'Base bordo'!F$2:F$746,"DESLOCAMENTO CARREGADO"),0)</f>
        <v>167185.25</v>
      </c>
      <c r="U107" s="10">
        <f>IFERROR(SUMIFS('Base bordo'!I$2:I$746,'Base bordo'!C$2:C$746,A107,'Base bordo'!B$2:B$746,B107,'Base bordo'!F$2:F$746,"DESLOCAMENTO CARREGADO"),0)</f>
        <v>6091</v>
      </c>
      <c r="V107" s="30">
        <f t="shared" si="20"/>
        <v>27.447914956493186</v>
      </c>
      <c r="W107" s="9">
        <f t="shared" si="21"/>
        <v>0.10154970760233917</v>
      </c>
      <c r="X107" s="9">
        <f t="shared" si="22"/>
        <v>8.904970760233917E-2</v>
      </c>
      <c r="Y107" s="9">
        <f t="shared" si="23"/>
        <v>0.80940058479532162</v>
      </c>
    </row>
    <row r="108" spans="1:25" ht="15" customHeight="1" x14ac:dyDescent="0.35">
      <c r="A108" s="52">
        <v>8013470</v>
      </c>
      <c r="B108" s="51">
        <v>46117</v>
      </c>
      <c r="C108" s="7" t="s">
        <v>124</v>
      </c>
      <c r="D108" s="10">
        <f>IFERROR(SUMIFS('Base bordo'!G$2:G$746,'Base bordo'!C$2:C$746,A108,'Base bordo'!B$2:B$746,B108,'Base bordo'!F$2:F$746,"DESLOCAMENTO VAZIO"),0)</f>
        <v>5.2283333333333335</v>
      </c>
      <c r="E108" s="10">
        <f>IFERROR(SUMIFS('Base bordo'!G$2:G$746,'Base bordo'!C$2:C$746,A108,'Base bordo'!B$2:B$746,B108,'Base bordo'!F$2:F$746,"DESLOCAMENTO CARREGADO"),0)</f>
        <v>1.9622222222222223</v>
      </c>
      <c r="F108" s="10">
        <f>IFERROR(SUMIFS('Base bordo'!G$2:G$746,'Base bordo'!C$2:C$746,A108,'Base bordo'!B$2:B$746,B108,'Base bordo'!F$2:F$746,"DESLOCAMENTO"),0)</f>
        <v>0</v>
      </c>
      <c r="G108" s="10">
        <f>IFERROR(SUMIFS('Base bordo'!G$2:G$746,'Base bordo'!C$2:C$746,A108,'Base bordo'!B$2:B$746,B108,'Base bordo'!F$2:F$746,"CARREGAMENTO"),0)</f>
        <v>1.6741666666666666</v>
      </c>
      <c r="H108" s="10">
        <f>IFERROR(SUMIFS('Base bordo'!G$2:G$746,'Base bordo'!C$2:C$746,A108,'Base bordo'!B$2:B$746,B108,'Base bordo'!F$2:F$746,"AGUARDANDO TRANSBORDO"),0)</f>
        <v>0.22305555555555556</v>
      </c>
      <c r="I108" s="10">
        <f>IFERROR(SUMIFS('Base bordo'!G$2:G$746,'Base bordo'!C$2:C$746,A108,'Base bordo'!B$2:B$746,B108,'Base bordo'!F$2:F$746,"PÁTIO INTERNO"),0)+IFERROR(SUMIFS('Base bordo'!G$2:G$746,'Base bordo'!C$2:C$746,A108,'Base bordo'!B$2:B$746,B108,'Base bordo'!F$2:F$746,"PÁTIO EXTERNO"),0)+IFERROR(SUMIFS('Base bordo'!G$2:G$746,'Base bordo'!C$2:C$746,A108,'Base bordo'!B$2:B$746,B108,'Base bordo'!F$2:F$746,"PATIO - RESERVA"),0)+IFERROR(SUMIFS('Base bordo'!G$2:G$746,'Base bordo'!C$2:C$746,A108,'Base bordo'!B$2:B$746,B108,'Base bordo'!F$2:F$746,"MANOBRA CARRETAS-PATIO"),0)</f>
        <v>0.64583333333333337</v>
      </c>
      <c r="J108" s="10">
        <f>IFERROR(SUMIFS('Base bordo'!G$2:G$746,'Base bordo'!C$2:C$746,A108,'Base bordo'!B$2:B$746,B108,'Base bordo'!F$2:F$746,"BALANÇA - ENTRADA"),0)+IFERROR(SUMIFS('Base bordo'!G$2:G$746,'Base bordo'!C$2:C$746,A108,'Base bordo'!B$2:B$746,B108,'Base bordo'!F$2:F$746,"BALANÇA - SAÍDA"),0)</f>
        <v>0</v>
      </c>
      <c r="K108" s="10">
        <f>IFERROR(SUMIFS('Base bordo'!G$2:G$746,'Base bordo'!C$2:C$746,A108,'Base bordo'!B$2:B$746,B108,'Base bordo'!F$2:F$746,"MAN PREVENTIVA - MECANICA"),0)+IFERROR(SUMIFS('Base bordo'!G$2:G$746,'Base bordo'!C$2:C$746,A108,'Base bordo'!B$2:B$746,B108,'Base bordo'!F$2:F$746,"MAN CORRETIVA - MECANICA"),0)</f>
        <v>0</v>
      </c>
      <c r="L108" s="10">
        <f>IFERROR(SUMIFS('Base bordo'!G$2:G$746,'Base bordo'!C$2:C$746,A108,'Base bordo'!B$2:B$746,B108,'Base bordo'!F$2:F$746,"MANUTENCAO - T O"),0)+IFERROR(SUMIFS('Base bordo'!G$2:G$746,'Base bordo'!C$2:C$746,A108,'Base bordo'!B$2:B$746,B108,'Base bordo'!F$2:F$746,"MANUTENCAO BORRACHARIA"),0)+IFERROR(SUMIFS('Base bordo'!G$2:G$746,'Base bordo'!C$2:C$746,A108,'Base bordo'!B$2:B$746,B108,'Base bordo'!F$2:F$746,"MANUTENCAO EXTERNA  CONCESSIONARIA"),0)+IFERROR(SUMIFS('Base bordo'!G$2:G$746,'Base bordo'!C$2:C$746,A108,'Base bordo'!B$2:B$746,B108,'Base bordo'!F$2:F$746,"MANUTENCAO TELEMETRIA"),0)</f>
        <v>11.065555555555555</v>
      </c>
      <c r="M108" s="10">
        <f>IFERROR(SUMIFS('Base bordo'!G$2:G$746,'Base bordo'!C$2:C$746,A108,'Base bordo'!B$2:B$746,B108,'Base bordo'!F$2:F$746,"AGUARDANDO MANUTENCAO"),0)</f>
        <v>0.04</v>
      </c>
      <c r="N108" s="10">
        <f>IFERROR(SUMIFS('Base bordo'!G$2:G$746,'Base bordo'!C$2:C$746,A108,'Base bordo'!B$2:B$746,B108,'Base bordo'!F$2:F$746,"SEM APONTAMENTO"),0)</f>
        <v>0</v>
      </c>
      <c r="O108" s="10">
        <f t="shared" si="18"/>
        <v>3.1608333333333327</v>
      </c>
      <c r="P108" s="10">
        <f>IFERROR(SUMIFS('Base bordo'!G$2:G$746,'Base bordo'!C$2:C$746,A108,'Base bordo'!B$2:B$746,B108),0)</f>
        <v>24</v>
      </c>
      <c r="Q108" s="10">
        <f>IFERROR(SUMIFS('Base bordo'!H$2:H$746,'Base bordo'!C$2:C$746,A108,'Base bordo'!B$2:B$746,B108,'Base bordo'!F$2:F$746,"DESLOCAMENTO VAZIO"),0)</f>
        <v>586699.78999999992</v>
      </c>
      <c r="R108" s="10">
        <f>IFERROR(SUMIFS('Base bordo'!I$2:I$746,'Base bordo'!C$2:C$746,A108,'Base bordo'!B$2:B$746,B108,'Base bordo'!F$2:F$746,"DESLOCAMENTO VAZIO"),0)</f>
        <v>18822</v>
      </c>
      <c r="S108" s="30">
        <f t="shared" si="19"/>
        <v>31.170958984167459</v>
      </c>
      <c r="T108" s="10">
        <f>IFERROR(SUMIFS('Base bordo'!H$2:H$746,'Base bordo'!C$2:C$746,A108,'Base bordo'!B$2:B$746,B108,'Base bordo'!F$2:F$746,"DESLOCAMENTO CARREGADO"),0)</f>
        <v>166963.32</v>
      </c>
      <c r="U108" s="10">
        <f>IFERROR(SUMIFS('Base bordo'!I$2:I$746,'Base bordo'!C$2:C$746,A108,'Base bordo'!B$2:B$746,B108,'Base bordo'!F$2:F$746,"DESLOCAMENTO CARREGADO"),0)</f>
        <v>7064</v>
      </c>
      <c r="V108" s="30">
        <f t="shared" si="20"/>
        <v>23.635804077010192</v>
      </c>
      <c r="W108" s="9">
        <f t="shared" si="21"/>
        <v>0.21784722222222222</v>
      </c>
      <c r="X108" s="9">
        <f t="shared" si="22"/>
        <v>8.1759259259259268E-2</v>
      </c>
      <c r="Y108" s="9">
        <f t="shared" si="23"/>
        <v>0.7003935185185185</v>
      </c>
    </row>
    <row r="109" spans="1:25" ht="15" customHeight="1" x14ac:dyDescent="0.35">
      <c r="A109" s="52">
        <v>8013486</v>
      </c>
      <c r="B109" s="51">
        <v>46118</v>
      </c>
      <c r="C109" s="7" t="s">
        <v>124</v>
      </c>
      <c r="D109" s="10">
        <f>IFERROR(SUMIFS('Base bordo'!G$2:G$746,'Base bordo'!C$2:C$746,A109,'Base bordo'!B$2:B$746,B109,'Base bordo'!F$2:F$746,"DESLOCAMENTO VAZIO"),0)</f>
        <v>0.90972222222222221</v>
      </c>
      <c r="E109" s="10">
        <f>IFERROR(SUMIFS('Base bordo'!G$2:G$746,'Base bordo'!C$2:C$746,A109,'Base bordo'!B$2:B$746,B109,'Base bordo'!F$2:F$746,"DESLOCAMENTO CARREGADO"),0)</f>
        <v>1.7558333333333334</v>
      </c>
      <c r="F109" s="10">
        <f>IFERROR(SUMIFS('Base bordo'!G$2:G$746,'Base bordo'!C$2:C$746,A109,'Base bordo'!B$2:B$746,B109,'Base bordo'!F$2:F$746,"DESLOCAMENTO"),0)</f>
        <v>6.0436111111111108</v>
      </c>
      <c r="G109" s="10">
        <f>IFERROR(SUMIFS('Base bordo'!G$2:G$746,'Base bordo'!C$2:C$746,A109,'Base bordo'!B$2:B$746,B109,'Base bordo'!F$2:F$746,"CARREGAMENTO"),0)</f>
        <v>0</v>
      </c>
      <c r="H109" s="10">
        <f>IFERROR(SUMIFS('Base bordo'!G$2:G$746,'Base bordo'!C$2:C$746,A109,'Base bordo'!B$2:B$746,B109,'Base bordo'!F$2:F$746,"AGUARDANDO TRANSBORDO"),0)</f>
        <v>0</v>
      </c>
      <c r="I109" s="10">
        <f>IFERROR(SUMIFS('Base bordo'!G$2:G$746,'Base bordo'!C$2:C$746,A109,'Base bordo'!B$2:B$746,B109,'Base bordo'!F$2:F$746,"PÁTIO INTERNO"),0)+IFERROR(SUMIFS('Base bordo'!G$2:G$746,'Base bordo'!C$2:C$746,A109,'Base bordo'!B$2:B$746,B109,'Base bordo'!F$2:F$746,"PÁTIO EXTERNO"),0)+IFERROR(SUMIFS('Base bordo'!G$2:G$746,'Base bordo'!C$2:C$746,A109,'Base bordo'!B$2:B$746,B109,'Base bordo'!F$2:F$746,"PATIO - RESERVA"),0)+IFERROR(SUMIFS('Base bordo'!G$2:G$746,'Base bordo'!C$2:C$746,A109,'Base bordo'!B$2:B$746,B109,'Base bordo'!F$2:F$746,"MANOBRA CARRETAS-PATIO"),0)</f>
        <v>3.7905555555555552</v>
      </c>
      <c r="J109" s="10">
        <f>IFERROR(SUMIFS('Base bordo'!G$2:G$746,'Base bordo'!C$2:C$746,A109,'Base bordo'!B$2:B$746,B109,'Base bordo'!F$2:F$746,"BALANÇA - ENTRADA"),0)+IFERROR(SUMIFS('Base bordo'!G$2:G$746,'Base bordo'!C$2:C$746,A109,'Base bordo'!B$2:B$746,B109,'Base bordo'!F$2:F$746,"BALANÇA - SAÍDA"),0)</f>
        <v>5.6666666666666664E-2</v>
      </c>
      <c r="K109" s="10">
        <f>IFERROR(SUMIFS('Base bordo'!G$2:G$746,'Base bordo'!C$2:C$746,A109,'Base bordo'!B$2:B$746,B109,'Base bordo'!F$2:F$746,"MAN PREVENTIVA - MECANICA"),0)+IFERROR(SUMIFS('Base bordo'!G$2:G$746,'Base bordo'!C$2:C$746,A109,'Base bordo'!B$2:B$746,B109,'Base bordo'!F$2:F$746,"MAN CORRETIVA - MECANICA"),0)</f>
        <v>0</v>
      </c>
      <c r="L109" s="10">
        <f>IFERROR(SUMIFS('Base bordo'!G$2:G$746,'Base bordo'!C$2:C$746,A109,'Base bordo'!B$2:B$746,B109,'Base bordo'!F$2:F$746,"MANUTENCAO - T O"),0)+IFERROR(SUMIFS('Base bordo'!G$2:G$746,'Base bordo'!C$2:C$746,A109,'Base bordo'!B$2:B$746,B109,'Base bordo'!F$2:F$746,"MANUTENCAO BORRACHARIA"),0)+IFERROR(SUMIFS('Base bordo'!G$2:G$746,'Base bordo'!C$2:C$746,A109,'Base bordo'!B$2:B$746,B109,'Base bordo'!F$2:F$746,"MANUTENCAO EXTERNA  CONCESSIONARIA"),0)+IFERROR(SUMIFS('Base bordo'!G$2:G$746,'Base bordo'!C$2:C$746,A109,'Base bordo'!B$2:B$746,B109,'Base bordo'!F$2:F$746,"MANUTENCAO TELEMETRIA"),0)</f>
        <v>9.4491666666666667</v>
      </c>
      <c r="M109" s="10">
        <f>IFERROR(SUMIFS('Base bordo'!G$2:G$746,'Base bordo'!C$2:C$746,A109,'Base bordo'!B$2:B$746,B109,'Base bordo'!F$2:F$746,"AGUARDANDO MANUTENCAO"),0)</f>
        <v>0</v>
      </c>
      <c r="N109" s="10">
        <f>IFERROR(SUMIFS('Base bordo'!G$2:G$746,'Base bordo'!C$2:C$746,A109,'Base bordo'!B$2:B$746,B109,'Base bordo'!F$2:F$746,"SEM APONTAMENTO"),0)</f>
        <v>0</v>
      </c>
      <c r="O109" s="10">
        <f t="shared" si="18"/>
        <v>0.20222222222222541</v>
      </c>
      <c r="P109" s="10">
        <f>IFERROR(SUMIFS('Base bordo'!G$2:G$746,'Base bordo'!C$2:C$746,A109,'Base bordo'!B$2:B$746,B109),0)</f>
        <v>22.207777777777778</v>
      </c>
      <c r="Q109" s="10">
        <f>IFERROR(SUMIFS('Base bordo'!H$2:H$746,'Base bordo'!C$2:C$746,A109,'Base bordo'!B$2:B$746,B109,'Base bordo'!F$2:F$746,"DESLOCAMENTO VAZIO"),0)</f>
        <v>86336.93</v>
      </c>
      <c r="R109" s="10">
        <f>IFERROR(SUMIFS('Base bordo'!I$2:I$746,'Base bordo'!C$2:C$746,A109,'Base bordo'!B$2:B$746,B109,'Base bordo'!F$2:F$746,"DESLOCAMENTO VAZIO"),0)</f>
        <v>3275</v>
      </c>
      <c r="S109" s="30">
        <f t="shared" si="19"/>
        <v>26.362421374045798</v>
      </c>
      <c r="T109" s="10">
        <f>IFERROR(SUMIFS('Base bordo'!H$2:H$746,'Base bordo'!C$2:C$746,A109,'Base bordo'!B$2:B$746,B109,'Base bordo'!F$2:F$746,"DESLOCAMENTO CARREGADO"),0)</f>
        <v>166427.58000000002</v>
      </c>
      <c r="U109" s="10">
        <f>IFERROR(SUMIFS('Base bordo'!I$2:I$746,'Base bordo'!C$2:C$746,A109,'Base bordo'!B$2:B$746,B109,'Base bordo'!F$2:F$746,"DESLOCAMENTO CARREGADO"),0)</f>
        <v>6321</v>
      </c>
      <c r="V109" s="30">
        <f t="shared" si="20"/>
        <v>26.329311817750359</v>
      </c>
      <c r="W109" s="9">
        <f t="shared" si="21"/>
        <v>4.0964126682343519E-2</v>
      </c>
      <c r="X109" s="9">
        <f t="shared" si="22"/>
        <v>7.9063891529494168E-2</v>
      </c>
      <c r="Y109" s="9">
        <f t="shared" si="23"/>
        <v>0.87997198178816227</v>
      </c>
    </row>
    <row r="110" spans="1:25" ht="15" customHeight="1" x14ac:dyDescent="0.35">
      <c r="A110" s="52">
        <v>8013478</v>
      </c>
      <c r="B110" s="51">
        <v>46118</v>
      </c>
      <c r="C110" s="7" t="s">
        <v>124</v>
      </c>
      <c r="D110" s="10">
        <f>IFERROR(SUMIFS('Base bordo'!G$2:G$746,'Base bordo'!C$2:C$746,A110,'Base bordo'!B$2:B$746,B110,'Base bordo'!F$2:F$746,"DESLOCAMENTO VAZIO"),0)</f>
        <v>2.2297222222222222</v>
      </c>
      <c r="E110" s="10">
        <f>IFERROR(SUMIFS('Base bordo'!G$2:G$746,'Base bordo'!C$2:C$746,A110,'Base bordo'!B$2:B$746,B110,'Base bordo'!F$2:F$746,"DESLOCAMENTO CARREGADO"),0)</f>
        <v>1.9061111111111111</v>
      </c>
      <c r="F110" s="10">
        <f>IFERROR(SUMIFS('Base bordo'!G$2:G$746,'Base bordo'!C$2:C$746,A110,'Base bordo'!B$2:B$746,B110,'Base bordo'!F$2:F$746,"DESLOCAMENTO"),0)</f>
        <v>0</v>
      </c>
      <c r="G110" s="10">
        <f>IFERROR(SUMIFS('Base bordo'!G$2:G$746,'Base bordo'!C$2:C$746,A110,'Base bordo'!B$2:B$746,B110,'Base bordo'!F$2:F$746,"CARREGAMENTO"),0)</f>
        <v>0</v>
      </c>
      <c r="H110" s="10">
        <f>IFERROR(SUMIFS('Base bordo'!G$2:G$746,'Base bordo'!C$2:C$746,A110,'Base bordo'!B$2:B$746,B110,'Base bordo'!F$2:F$746,"AGUARDANDO TRANSBORDO"),0)</f>
        <v>0.90749999999999997</v>
      </c>
      <c r="I110" s="10">
        <f>IFERROR(SUMIFS('Base bordo'!G$2:G$746,'Base bordo'!C$2:C$746,A110,'Base bordo'!B$2:B$746,B110,'Base bordo'!F$2:F$746,"PÁTIO INTERNO"),0)+IFERROR(SUMIFS('Base bordo'!G$2:G$746,'Base bordo'!C$2:C$746,A110,'Base bordo'!B$2:B$746,B110,'Base bordo'!F$2:F$746,"PÁTIO EXTERNO"),0)+IFERROR(SUMIFS('Base bordo'!G$2:G$746,'Base bordo'!C$2:C$746,A110,'Base bordo'!B$2:B$746,B110,'Base bordo'!F$2:F$746,"PATIO - RESERVA"),0)+IFERROR(SUMIFS('Base bordo'!G$2:G$746,'Base bordo'!C$2:C$746,A110,'Base bordo'!B$2:B$746,B110,'Base bordo'!F$2:F$746,"MANOBRA CARRETAS-PATIO"),0)</f>
        <v>3.8741666666666665</v>
      </c>
      <c r="J110" s="10">
        <f>IFERROR(SUMIFS('Base bordo'!G$2:G$746,'Base bordo'!C$2:C$746,A110,'Base bordo'!B$2:B$746,B110,'Base bordo'!F$2:F$746,"BALANÇA - ENTRADA"),0)+IFERROR(SUMIFS('Base bordo'!G$2:G$746,'Base bordo'!C$2:C$746,A110,'Base bordo'!B$2:B$746,B110,'Base bordo'!F$2:F$746,"BALANÇA - SAÍDA"),0)</f>
        <v>1.1944444444444445E-2</v>
      </c>
      <c r="K110" s="10">
        <f>IFERROR(SUMIFS('Base bordo'!G$2:G$746,'Base bordo'!C$2:C$746,A110,'Base bordo'!B$2:B$746,B110,'Base bordo'!F$2:F$746,"MAN PREVENTIVA - MECANICA"),0)+IFERROR(SUMIFS('Base bordo'!G$2:G$746,'Base bordo'!C$2:C$746,A110,'Base bordo'!B$2:B$746,B110,'Base bordo'!F$2:F$746,"MAN CORRETIVA - MECANICA"),0)</f>
        <v>0</v>
      </c>
      <c r="L110" s="10">
        <f>IFERROR(SUMIFS('Base bordo'!G$2:G$746,'Base bordo'!C$2:C$746,A110,'Base bordo'!B$2:B$746,B110,'Base bordo'!F$2:F$746,"MANUTENCAO - T O"),0)+IFERROR(SUMIFS('Base bordo'!G$2:G$746,'Base bordo'!C$2:C$746,A110,'Base bordo'!B$2:B$746,B110,'Base bordo'!F$2:F$746,"MANUTENCAO BORRACHARIA"),0)+IFERROR(SUMIFS('Base bordo'!G$2:G$746,'Base bordo'!C$2:C$746,A110,'Base bordo'!B$2:B$746,B110,'Base bordo'!F$2:F$746,"MANUTENCAO EXTERNA  CONCESSIONARIA"),0)+IFERROR(SUMIFS('Base bordo'!G$2:G$746,'Base bordo'!C$2:C$746,A110,'Base bordo'!B$2:B$746,B110,'Base bordo'!F$2:F$746,"MANUTENCAO TELEMETRIA"),0)</f>
        <v>0</v>
      </c>
      <c r="M110" s="10">
        <f>IFERROR(SUMIFS('Base bordo'!G$2:G$746,'Base bordo'!C$2:C$746,A110,'Base bordo'!B$2:B$746,B110,'Base bordo'!F$2:F$746,"AGUARDANDO MANUTENCAO"),0)</f>
        <v>0</v>
      </c>
      <c r="N110" s="10">
        <f>IFERROR(SUMIFS('Base bordo'!G$2:G$746,'Base bordo'!C$2:C$746,A110,'Base bordo'!B$2:B$746,B110,'Base bordo'!F$2:F$746,"SEM APONTAMENTO"),0)</f>
        <v>0</v>
      </c>
      <c r="O110" s="10">
        <f t="shared" si="18"/>
        <v>2.3333333333331652E-2</v>
      </c>
      <c r="P110" s="10">
        <f>IFERROR(SUMIFS('Base bordo'!G$2:G$746,'Base bordo'!C$2:C$746,A110,'Base bordo'!B$2:B$746,B110),0)</f>
        <v>8.9527777777777757</v>
      </c>
      <c r="Q110" s="10">
        <f>IFERROR(SUMIFS('Base bordo'!H$2:H$746,'Base bordo'!C$2:C$746,A110,'Base bordo'!B$2:B$746,B110,'Base bordo'!F$2:F$746,"DESLOCAMENTO VAZIO"),0)</f>
        <v>290634.14</v>
      </c>
      <c r="R110" s="10">
        <f>IFERROR(SUMIFS('Base bordo'!I$2:I$746,'Base bordo'!C$2:C$746,A110,'Base bordo'!B$2:B$746,B110,'Base bordo'!F$2:F$746,"DESLOCAMENTO VAZIO"),0)</f>
        <v>8027</v>
      </c>
      <c r="S110" s="30">
        <f t="shared" si="19"/>
        <v>36.207068643328768</v>
      </c>
      <c r="T110" s="10">
        <f>IFERROR(SUMIFS('Base bordo'!H$2:H$746,'Base bordo'!C$2:C$746,A110,'Base bordo'!B$2:B$746,B110,'Base bordo'!F$2:F$746,"DESLOCAMENTO CARREGADO"),0)</f>
        <v>165552.33000000002</v>
      </c>
      <c r="U110" s="10">
        <f>IFERROR(SUMIFS('Base bordo'!I$2:I$746,'Base bordo'!C$2:C$746,A110,'Base bordo'!B$2:B$746,B110,'Base bordo'!F$2:F$746,"DESLOCAMENTO CARREGADO"),0)</f>
        <v>6862</v>
      </c>
      <c r="V110" s="30">
        <f t="shared" si="20"/>
        <v>24.125958904109591</v>
      </c>
      <c r="W110" s="9">
        <f t="shared" si="21"/>
        <v>0.24905367669872794</v>
      </c>
      <c r="X110" s="9">
        <f t="shared" si="22"/>
        <v>0.21290722928948189</v>
      </c>
      <c r="Y110" s="9">
        <f t="shared" si="23"/>
        <v>0.53803909401179018</v>
      </c>
    </row>
    <row r="111" spans="1:25" ht="15" customHeight="1" x14ac:dyDescent="0.35">
      <c r="A111" s="52">
        <v>8013483</v>
      </c>
      <c r="B111" s="51">
        <v>46118</v>
      </c>
      <c r="C111" s="7" t="s">
        <v>124</v>
      </c>
      <c r="D111" s="10">
        <f>IFERROR(SUMIFS('Base bordo'!G$2:G$746,'Base bordo'!C$2:C$746,A111,'Base bordo'!B$2:B$746,B111,'Base bordo'!F$2:F$746,"DESLOCAMENTO VAZIO"),0)</f>
        <v>2.4136111111111109</v>
      </c>
      <c r="E111" s="10">
        <f>IFERROR(SUMIFS('Base bordo'!G$2:G$746,'Base bordo'!C$2:C$746,A111,'Base bordo'!B$2:B$746,B111,'Base bordo'!F$2:F$746,"DESLOCAMENTO CARREGADO"),0)</f>
        <v>0.74972222222222218</v>
      </c>
      <c r="F111" s="10">
        <f>IFERROR(SUMIFS('Base bordo'!G$2:G$746,'Base bordo'!C$2:C$746,A111,'Base bordo'!B$2:B$746,B111,'Base bordo'!F$2:F$746,"DESLOCAMENTO"),0)</f>
        <v>0</v>
      </c>
      <c r="G111" s="10">
        <f>IFERROR(SUMIFS('Base bordo'!G$2:G$746,'Base bordo'!C$2:C$746,A111,'Base bordo'!B$2:B$746,B111,'Base bordo'!F$2:F$746,"CARREGAMENTO"),0)</f>
        <v>0</v>
      </c>
      <c r="H111" s="10">
        <f>IFERROR(SUMIFS('Base bordo'!G$2:G$746,'Base bordo'!C$2:C$746,A111,'Base bordo'!B$2:B$746,B111,'Base bordo'!F$2:F$746,"AGUARDANDO TRANSBORDO"),0)</f>
        <v>0.18666666666666668</v>
      </c>
      <c r="I111" s="10">
        <f>IFERROR(SUMIFS('Base bordo'!G$2:G$746,'Base bordo'!C$2:C$746,A111,'Base bordo'!B$2:B$746,B111,'Base bordo'!F$2:F$746,"PÁTIO INTERNO"),0)+IFERROR(SUMIFS('Base bordo'!G$2:G$746,'Base bordo'!C$2:C$746,A111,'Base bordo'!B$2:B$746,B111,'Base bordo'!F$2:F$746,"PÁTIO EXTERNO"),0)+IFERROR(SUMIFS('Base bordo'!G$2:G$746,'Base bordo'!C$2:C$746,A111,'Base bordo'!B$2:B$746,B111,'Base bordo'!F$2:F$746,"PATIO - RESERVA"),0)+IFERROR(SUMIFS('Base bordo'!G$2:G$746,'Base bordo'!C$2:C$746,A111,'Base bordo'!B$2:B$746,B111,'Base bordo'!F$2:F$746,"MANOBRA CARRETAS-PATIO"),0)</f>
        <v>11.716111111111111</v>
      </c>
      <c r="J111" s="10">
        <f>IFERROR(SUMIFS('Base bordo'!G$2:G$746,'Base bordo'!C$2:C$746,A111,'Base bordo'!B$2:B$746,B111,'Base bordo'!F$2:F$746,"BALANÇA - ENTRADA"),0)+IFERROR(SUMIFS('Base bordo'!G$2:G$746,'Base bordo'!C$2:C$746,A111,'Base bordo'!B$2:B$746,B111,'Base bordo'!F$2:F$746,"BALANÇA - SAÍDA"),0)</f>
        <v>4.7500000000000001E-2</v>
      </c>
      <c r="K111" s="10">
        <f>IFERROR(SUMIFS('Base bordo'!G$2:G$746,'Base bordo'!C$2:C$746,A111,'Base bordo'!B$2:B$746,B111,'Base bordo'!F$2:F$746,"MAN PREVENTIVA - MECANICA"),0)+IFERROR(SUMIFS('Base bordo'!G$2:G$746,'Base bordo'!C$2:C$746,A111,'Base bordo'!B$2:B$746,B111,'Base bordo'!F$2:F$746,"MAN CORRETIVA - MECANICA"),0)</f>
        <v>0</v>
      </c>
      <c r="L111" s="10">
        <f>IFERROR(SUMIFS('Base bordo'!G$2:G$746,'Base bordo'!C$2:C$746,A111,'Base bordo'!B$2:B$746,B111,'Base bordo'!F$2:F$746,"MANUTENCAO - T O"),0)+IFERROR(SUMIFS('Base bordo'!G$2:G$746,'Base bordo'!C$2:C$746,A111,'Base bordo'!B$2:B$746,B111,'Base bordo'!F$2:F$746,"MANUTENCAO BORRACHARIA"),0)+IFERROR(SUMIFS('Base bordo'!G$2:G$746,'Base bordo'!C$2:C$746,A111,'Base bordo'!B$2:B$746,B111,'Base bordo'!F$2:F$746,"MANUTENCAO EXTERNA  CONCESSIONARIA"),0)+IFERROR(SUMIFS('Base bordo'!G$2:G$746,'Base bordo'!C$2:C$746,A111,'Base bordo'!B$2:B$746,B111,'Base bordo'!F$2:F$746,"MANUTENCAO TELEMETRIA"),0)</f>
        <v>3.4908333333333332</v>
      </c>
      <c r="M111" s="10">
        <f>IFERROR(SUMIFS('Base bordo'!G$2:G$746,'Base bordo'!C$2:C$746,A111,'Base bordo'!B$2:B$746,B111,'Base bordo'!F$2:F$746,"AGUARDANDO MANUTENCAO"),0)</f>
        <v>0</v>
      </c>
      <c r="N111" s="10">
        <f>IFERROR(SUMIFS('Base bordo'!G$2:G$746,'Base bordo'!C$2:C$746,A111,'Base bordo'!B$2:B$746,B111,'Base bordo'!F$2:F$746,"SEM APONTAMENTO"),0)</f>
        <v>0</v>
      </c>
      <c r="O111" s="10">
        <f t="shared" si="18"/>
        <v>0</v>
      </c>
      <c r="P111" s="10">
        <f>IFERROR(SUMIFS('Base bordo'!G$2:G$746,'Base bordo'!C$2:C$746,A111,'Base bordo'!B$2:B$746,B111),0)</f>
        <v>18.604444444444443</v>
      </c>
      <c r="Q111" s="10">
        <f>IFERROR(SUMIFS('Base bordo'!H$2:H$746,'Base bordo'!C$2:C$746,A111,'Base bordo'!B$2:B$746,B111,'Base bordo'!F$2:F$746,"DESLOCAMENTO VAZIO"),0)</f>
        <v>164736.31</v>
      </c>
      <c r="R111" s="10">
        <f>IFERROR(SUMIFS('Base bordo'!I$2:I$746,'Base bordo'!C$2:C$746,A111,'Base bordo'!B$2:B$746,B111,'Base bordo'!F$2:F$746,"DESLOCAMENTO VAZIO"),0)</f>
        <v>8689</v>
      </c>
      <c r="S111" s="30">
        <f t="shared" si="19"/>
        <v>18.959179422258028</v>
      </c>
      <c r="T111" s="10">
        <f>IFERROR(SUMIFS('Base bordo'!H$2:H$746,'Base bordo'!C$2:C$746,A111,'Base bordo'!B$2:B$746,B111,'Base bordo'!F$2:F$746,"DESLOCAMENTO CARREGADO"),0)</f>
        <v>65187.479999999996</v>
      </c>
      <c r="U111" s="10">
        <f>IFERROR(SUMIFS('Base bordo'!I$2:I$746,'Base bordo'!C$2:C$746,A111,'Base bordo'!B$2:B$746,B111,'Base bordo'!F$2:F$746,"DESLOCAMENTO CARREGADO"),0)</f>
        <v>2699</v>
      </c>
      <c r="V111" s="30">
        <f t="shared" si="20"/>
        <v>24.152456465357538</v>
      </c>
      <c r="W111" s="9">
        <f t="shared" si="21"/>
        <v>0.12973303870043001</v>
      </c>
      <c r="X111" s="9">
        <f t="shared" si="22"/>
        <v>4.0298017200191112E-2</v>
      </c>
      <c r="Y111" s="9">
        <f t="shared" si="23"/>
        <v>0.82996894409937894</v>
      </c>
    </row>
    <row r="112" spans="1:25" ht="15" customHeight="1" x14ac:dyDescent="0.35">
      <c r="A112" s="52">
        <v>8013468</v>
      </c>
      <c r="B112" s="51">
        <v>46117</v>
      </c>
      <c r="C112" s="7" t="s">
        <v>124</v>
      </c>
      <c r="D112" s="10">
        <f>IFERROR(SUMIFS('Base bordo'!G$2:G$746,'Base bordo'!C$2:C$746,A112,'Base bordo'!B$2:B$746,B112,'Base bordo'!F$2:F$746,"DESLOCAMENTO VAZIO"),0)</f>
        <v>1.7458333333333333</v>
      </c>
      <c r="E112" s="10">
        <f>IFERROR(SUMIFS('Base bordo'!G$2:G$746,'Base bordo'!C$2:C$746,A112,'Base bordo'!B$2:B$746,B112,'Base bordo'!F$2:F$746,"DESLOCAMENTO CARREGADO"),0)</f>
        <v>1.6383333333333334</v>
      </c>
      <c r="F112" s="10">
        <f>IFERROR(SUMIFS('Base bordo'!G$2:G$746,'Base bordo'!C$2:C$746,A112,'Base bordo'!B$2:B$746,B112,'Base bordo'!F$2:F$746,"DESLOCAMENTO"),0)</f>
        <v>5.6772222222222224</v>
      </c>
      <c r="G112" s="10">
        <f>IFERROR(SUMIFS('Base bordo'!G$2:G$746,'Base bordo'!C$2:C$746,A112,'Base bordo'!B$2:B$746,B112,'Base bordo'!F$2:F$746,"CARREGAMENTO"),0)</f>
        <v>1.2477777777777779</v>
      </c>
      <c r="H112" s="10">
        <f>IFERROR(SUMIFS('Base bordo'!G$2:G$746,'Base bordo'!C$2:C$746,A112,'Base bordo'!B$2:B$746,B112,'Base bordo'!F$2:F$746,"AGUARDANDO TRANSBORDO"),0)</f>
        <v>0.42</v>
      </c>
      <c r="I112" s="10">
        <f>IFERROR(SUMIFS('Base bordo'!G$2:G$746,'Base bordo'!C$2:C$746,A112,'Base bordo'!B$2:B$746,B112,'Base bordo'!F$2:F$746,"PÁTIO INTERNO"),0)+IFERROR(SUMIFS('Base bordo'!G$2:G$746,'Base bordo'!C$2:C$746,A112,'Base bordo'!B$2:B$746,B112,'Base bordo'!F$2:F$746,"PÁTIO EXTERNO"),0)+IFERROR(SUMIFS('Base bordo'!G$2:G$746,'Base bordo'!C$2:C$746,A112,'Base bordo'!B$2:B$746,B112,'Base bordo'!F$2:F$746,"PATIO - RESERVA"),0)+IFERROR(SUMIFS('Base bordo'!G$2:G$746,'Base bordo'!C$2:C$746,A112,'Base bordo'!B$2:B$746,B112,'Base bordo'!F$2:F$746,"MANOBRA CARRETAS-PATIO"),0)</f>
        <v>1.9175</v>
      </c>
      <c r="J112" s="10">
        <f>IFERROR(SUMIFS('Base bordo'!G$2:G$746,'Base bordo'!C$2:C$746,A112,'Base bordo'!B$2:B$746,B112,'Base bordo'!F$2:F$746,"BALANÇA - ENTRADA"),0)+IFERROR(SUMIFS('Base bordo'!G$2:G$746,'Base bordo'!C$2:C$746,A112,'Base bordo'!B$2:B$746,B112,'Base bordo'!F$2:F$746,"BALANÇA - SAÍDA"),0)</f>
        <v>0</v>
      </c>
      <c r="K112" s="10">
        <f>IFERROR(SUMIFS('Base bordo'!G$2:G$746,'Base bordo'!C$2:C$746,A112,'Base bordo'!B$2:B$746,B112,'Base bordo'!F$2:F$746,"MAN PREVENTIVA - MECANICA"),0)+IFERROR(SUMIFS('Base bordo'!G$2:G$746,'Base bordo'!C$2:C$746,A112,'Base bordo'!B$2:B$746,B112,'Base bordo'!F$2:F$746,"MAN CORRETIVA - MECANICA"),0)</f>
        <v>0</v>
      </c>
      <c r="L112" s="10">
        <f>IFERROR(SUMIFS('Base bordo'!G$2:G$746,'Base bordo'!C$2:C$746,A112,'Base bordo'!B$2:B$746,B112,'Base bordo'!F$2:F$746,"MANUTENCAO - T O"),0)+IFERROR(SUMIFS('Base bordo'!G$2:G$746,'Base bordo'!C$2:C$746,A112,'Base bordo'!B$2:B$746,B112,'Base bordo'!F$2:F$746,"MANUTENCAO BORRACHARIA"),0)+IFERROR(SUMIFS('Base bordo'!G$2:G$746,'Base bordo'!C$2:C$746,A112,'Base bordo'!B$2:B$746,B112,'Base bordo'!F$2:F$746,"MANUTENCAO EXTERNA  CONCESSIONARIA"),0)+IFERROR(SUMIFS('Base bordo'!G$2:G$746,'Base bordo'!C$2:C$746,A112,'Base bordo'!B$2:B$746,B112,'Base bordo'!F$2:F$746,"MANUTENCAO TELEMETRIA"),0)</f>
        <v>8.4913888888888884</v>
      </c>
      <c r="M112" s="10">
        <f>IFERROR(SUMIFS('Base bordo'!G$2:G$746,'Base bordo'!C$2:C$746,A112,'Base bordo'!B$2:B$746,B112,'Base bordo'!F$2:F$746,"AGUARDANDO MANUTENCAO"),0)</f>
        <v>0</v>
      </c>
      <c r="N112" s="10">
        <f>IFERROR(SUMIFS('Base bordo'!G$2:G$746,'Base bordo'!C$2:C$746,A112,'Base bordo'!B$2:B$746,B112,'Base bordo'!F$2:F$746,"SEM APONTAMENTO"),0)</f>
        <v>0.34805555555555556</v>
      </c>
      <c r="O112" s="10">
        <f t="shared" si="18"/>
        <v>2.5138888888888928</v>
      </c>
      <c r="P112" s="10">
        <f>IFERROR(SUMIFS('Base bordo'!G$2:G$746,'Base bordo'!C$2:C$746,A112,'Base bordo'!B$2:B$746,B112),0)</f>
        <v>24</v>
      </c>
      <c r="Q112" s="10">
        <f>IFERROR(SUMIFS('Base bordo'!H$2:H$746,'Base bordo'!C$2:C$746,A112,'Base bordo'!B$2:B$746,B112,'Base bordo'!F$2:F$746,"DESLOCAMENTO VAZIO"),0)</f>
        <v>150540.29999999999</v>
      </c>
      <c r="R112" s="10">
        <f>IFERROR(SUMIFS('Base bordo'!I$2:I$746,'Base bordo'!C$2:C$746,A112,'Base bordo'!B$2:B$746,B112,'Base bordo'!F$2:F$746,"DESLOCAMENTO VAZIO"),0)</f>
        <v>6285</v>
      </c>
      <c r="S112" s="30">
        <f t="shared" si="19"/>
        <v>23.952315035799522</v>
      </c>
      <c r="T112" s="10">
        <f>IFERROR(SUMIFS('Base bordo'!H$2:H$746,'Base bordo'!C$2:C$746,A112,'Base bordo'!B$2:B$746,B112,'Base bordo'!F$2:F$746,"DESLOCAMENTO CARREGADO"),0)</f>
        <v>183503.40999999997</v>
      </c>
      <c r="U112" s="10">
        <f>IFERROR(SUMIFS('Base bordo'!I$2:I$746,'Base bordo'!C$2:C$746,A112,'Base bordo'!B$2:B$746,B112,'Base bordo'!F$2:F$746,"DESLOCAMENTO CARREGADO"),0)</f>
        <v>5898</v>
      </c>
      <c r="V112" s="30">
        <f t="shared" si="20"/>
        <v>31.112819599864356</v>
      </c>
      <c r="W112" s="9">
        <f t="shared" si="21"/>
        <v>7.2743055555555561E-2</v>
      </c>
      <c r="X112" s="9">
        <f t="shared" si="22"/>
        <v>6.8263888888888888E-2</v>
      </c>
      <c r="Y112" s="9">
        <f t="shared" si="23"/>
        <v>0.85899305555555561</v>
      </c>
    </row>
    <row r="113" spans="1:25" ht="15" customHeight="1" x14ac:dyDescent="0.35">
      <c r="A113" s="52">
        <v>8013476</v>
      </c>
      <c r="B113" s="51">
        <v>46120</v>
      </c>
      <c r="C113" s="7" t="s">
        <v>124</v>
      </c>
      <c r="D113" s="10">
        <f>IFERROR(SUMIFS('Base bordo'!G$2:G$746,'Base bordo'!C$2:C$746,A113,'Base bordo'!B$2:B$746,B113,'Base bordo'!F$2:F$746,"DESLOCAMENTO VAZIO"),0)</f>
        <v>0</v>
      </c>
      <c r="E113" s="10">
        <f>IFERROR(SUMIFS('Base bordo'!G$2:G$746,'Base bordo'!C$2:C$746,A113,'Base bordo'!B$2:B$746,B113,'Base bordo'!F$2:F$746,"DESLOCAMENTO CARREGADO"),0)</f>
        <v>1.5577777777777777</v>
      </c>
      <c r="F113" s="10">
        <f>IFERROR(SUMIFS('Base bordo'!G$2:G$746,'Base bordo'!C$2:C$746,A113,'Base bordo'!B$2:B$746,B113,'Base bordo'!F$2:F$746,"DESLOCAMENTO"),0)</f>
        <v>0</v>
      </c>
      <c r="G113" s="10">
        <f>IFERROR(SUMIFS('Base bordo'!G$2:G$746,'Base bordo'!C$2:C$746,A113,'Base bordo'!B$2:B$746,B113,'Base bordo'!F$2:F$746,"CARREGAMENTO"),0)</f>
        <v>0</v>
      </c>
      <c r="H113" s="10">
        <f>IFERROR(SUMIFS('Base bordo'!G$2:G$746,'Base bordo'!C$2:C$746,A113,'Base bordo'!B$2:B$746,B113,'Base bordo'!F$2:F$746,"AGUARDANDO TRANSBORDO"),0)</f>
        <v>0</v>
      </c>
      <c r="I113" s="10">
        <f>IFERROR(SUMIFS('Base bordo'!G$2:G$746,'Base bordo'!C$2:C$746,A113,'Base bordo'!B$2:B$746,B113,'Base bordo'!F$2:F$746,"PÁTIO INTERNO"),0)+IFERROR(SUMIFS('Base bordo'!G$2:G$746,'Base bordo'!C$2:C$746,A113,'Base bordo'!B$2:B$746,B113,'Base bordo'!F$2:F$746,"PÁTIO EXTERNO"),0)+IFERROR(SUMIFS('Base bordo'!G$2:G$746,'Base bordo'!C$2:C$746,A113,'Base bordo'!B$2:B$746,B113,'Base bordo'!F$2:F$746,"PATIO - RESERVA"),0)+IFERROR(SUMIFS('Base bordo'!G$2:G$746,'Base bordo'!C$2:C$746,A113,'Base bordo'!B$2:B$746,B113,'Base bordo'!F$2:F$746,"MANOBRA CARRETAS-PATIO"),0)</f>
        <v>0.27555555555555555</v>
      </c>
      <c r="J113" s="10">
        <f>IFERROR(SUMIFS('Base bordo'!G$2:G$746,'Base bordo'!C$2:C$746,A113,'Base bordo'!B$2:B$746,B113,'Base bordo'!F$2:F$746,"BALANÇA - ENTRADA"),0)+IFERROR(SUMIFS('Base bordo'!G$2:G$746,'Base bordo'!C$2:C$746,A113,'Base bordo'!B$2:B$746,B113,'Base bordo'!F$2:F$746,"BALANÇA - SAÍDA"),0)</f>
        <v>0</v>
      </c>
      <c r="K113" s="10">
        <f>IFERROR(SUMIFS('Base bordo'!G$2:G$746,'Base bordo'!C$2:C$746,A113,'Base bordo'!B$2:B$746,B113,'Base bordo'!F$2:F$746,"MAN PREVENTIVA - MECANICA"),0)+IFERROR(SUMIFS('Base bordo'!G$2:G$746,'Base bordo'!C$2:C$746,A113,'Base bordo'!B$2:B$746,B113,'Base bordo'!F$2:F$746,"MAN CORRETIVA - MECANICA"),0)</f>
        <v>0</v>
      </c>
      <c r="L113" s="10">
        <f>IFERROR(SUMIFS('Base bordo'!G$2:G$746,'Base bordo'!C$2:C$746,A113,'Base bordo'!B$2:B$746,B113,'Base bordo'!F$2:F$746,"MANUTENCAO - T O"),0)+IFERROR(SUMIFS('Base bordo'!G$2:G$746,'Base bordo'!C$2:C$746,A113,'Base bordo'!B$2:B$746,B113,'Base bordo'!F$2:F$746,"MANUTENCAO BORRACHARIA"),0)+IFERROR(SUMIFS('Base bordo'!G$2:G$746,'Base bordo'!C$2:C$746,A113,'Base bordo'!B$2:B$746,B113,'Base bordo'!F$2:F$746,"MANUTENCAO EXTERNA  CONCESSIONARIA"),0)+IFERROR(SUMIFS('Base bordo'!G$2:G$746,'Base bordo'!C$2:C$746,A113,'Base bordo'!B$2:B$746,B113,'Base bordo'!F$2:F$746,"MANUTENCAO TELEMETRIA"),0)</f>
        <v>0</v>
      </c>
      <c r="M113" s="10">
        <f>IFERROR(SUMIFS('Base bordo'!G$2:G$746,'Base bordo'!C$2:C$746,A113,'Base bordo'!B$2:B$746,B113,'Base bordo'!F$2:F$746,"AGUARDANDO MANUTENCAO"),0)</f>
        <v>0</v>
      </c>
      <c r="N113" s="10">
        <f>IFERROR(SUMIFS('Base bordo'!G$2:G$746,'Base bordo'!C$2:C$746,A113,'Base bordo'!B$2:B$746,B113,'Base bordo'!F$2:F$746,"SEM APONTAMENTO"),0)</f>
        <v>0</v>
      </c>
      <c r="O113" s="10">
        <f t="shared" si="18"/>
        <v>0</v>
      </c>
      <c r="P113" s="10">
        <f>IFERROR(SUMIFS('Base bordo'!G$2:G$746,'Base bordo'!C$2:C$746,A113,'Base bordo'!B$2:B$746,B113),0)</f>
        <v>1.8333333333333333</v>
      </c>
      <c r="Q113" s="10">
        <f>IFERROR(SUMIFS('Base bordo'!H$2:H$746,'Base bordo'!C$2:C$746,A113,'Base bordo'!B$2:B$746,B113,'Base bordo'!F$2:F$746,"DESLOCAMENTO VAZIO"),0)</f>
        <v>0</v>
      </c>
      <c r="R113" s="10">
        <f>IFERROR(SUMIFS('Base bordo'!I$2:I$746,'Base bordo'!C$2:C$746,A113,'Base bordo'!B$2:B$746,B113,'Base bordo'!F$2:F$746,"DESLOCAMENTO VAZIO"),0)</f>
        <v>0</v>
      </c>
      <c r="S113" s="30" t="str">
        <f t="shared" si="19"/>
        <v/>
      </c>
      <c r="T113" s="10">
        <f>IFERROR(SUMIFS('Base bordo'!H$2:H$746,'Base bordo'!C$2:C$746,A113,'Base bordo'!B$2:B$746,B113,'Base bordo'!F$2:F$746,"DESLOCAMENTO CARREGADO"),0)</f>
        <v>147812.13999999998</v>
      </c>
      <c r="U113" s="10">
        <f>IFERROR(SUMIFS('Base bordo'!I$2:I$746,'Base bordo'!C$2:C$746,A113,'Base bordo'!B$2:B$746,B113,'Base bordo'!F$2:F$746,"DESLOCAMENTO CARREGADO"),0)</f>
        <v>5608</v>
      </c>
      <c r="V113" s="30">
        <f t="shared" si="20"/>
        <v>26.357371611982877</v>
      </c>
      <c r="W113" s="9">
        <f t="shared" si="21"/>
        <v>0</v>
      </c>
      <c r="X113" s="9">
        <f t="shared" si="22"/>
        <v>0.84969696969696973</v>
      </c>
      <c r="Y113" s="9">
        <f t="shared" si="23"/>
        <v>0.15030303030303027</v>
      </c>
    </row>
    <row r="114" spans="1:25" ht="15" customHeight="1" x14ac:dyDescent="0.35">
      <c r="A114" s="52">
        <v>8013475</v>
      </c>
      <c r="B114" s="51">
        <v>46117</v>
      </c>
      <c r="C114" s="7" t="s">
        <v>124</v>
      </c>
      <c r="D114" s="10">
        <f>IFERROR(SUMIFS('Base bordo'!G$2:G$746,'Base bordo'!C$2:C$746,A114,'Base bordo'!B$2:B$746,B114,'Base bordo'!F$2:F$746,"DESLOCAMENTO VAZIO"),0)</f>
        <v>1.4697222222222222</v>
      </c>
      <c r="E114" s="10">
        <f>IFERROR(SUMIFS('Base bordo'!G$2:G$746,'Base bordo'!C$2:C$746,A114,'Base bordo'!B$2:B$746,B114,'Base bordo'!F$2:F$746,"DESLOCAMENTO CARREGADO"),0)</f>
        <v>0</v>
      </c>
      <c r="F114" s="10">
        <f>IFERROR(SUMIFS('Base bordo'!G$2:G$746,'Base bordo'!C$2:C$746,A114,'Base bordo'!B$2:B$746,B114,'Base bordo'!F$2:F$746,"DESLOCAMENTO"),0)</f>
        <v>0.17444444444444446</v>
      </c>
      <c r="G114" s="10">
        <f>IFERROR(SUMIFS('Base bordo'!G$2:G$746,'Base bordo'!C$2:C$746,A114,'Base bordo'!B$2:B$746,B114,'Base bordo'!F$2:F$746,"CARREGAMENTO"),0)</f>
        <v>0</v>
      </c>
      <c r="H114" s="10">
        <f>IFERROR(SUMIFS('Base bordo'!G$2:G$746,'Base bordo'!C$2:C$746,A114,'Base bordo'!B$2:B$746,B114,'Base bordo'!F$2:F$746,"AGUARDANDO TRANSBORDO"),0)</f>
        <v>3.2597222222222224</v>
      </c>
      <c r="I114" s="10">
        <f>IFERROR(SUMIFS('Base bordo'!G$2:G$746,'Base bordo'!C$2:C$746,A114,'Base bordo'!B$2:B$746,B114,'Base bordo'!F$2:F$746,"PÁTIO INTERNO"),0)+IFERROR(SUMIFS('Base bordo'!G$2:G$746,'Base bordo'!C$2:C$746,A114,'Base bordo'!B$2:B$746,B114,'Base bordo'!F$2:F$746,"PÁTIO EXTERNO"),0)+IFERROR(SUMIFS('Base bordo'!G$2:G$746,'Base bordo'!C$2:C$746,A114,'Base bordo'!B$2:B$746,B114,'Base bordo'!F$2:F$746,"PATIO - RESERVA"),0)+IFERROR(SUMIFS('Base bordo'!G$2:G$746,'Base bordo'!C$2:C$746,A114,'Base bordo'!B$2:B$746,B114,'Base bordo'!F$2:F$746,"MANOBRA CARRETAS-PATIO"),0)</f>
        <v>0</v>
      </c>
      <c r="J114" s="10">
        <f>IFERROR(SUMIFS('Base bordo'!G$2:G$746,'Base bordo'!C$2:C$746,A114,'Base bordo'!B$2:B$746,B114,'Base bordo'!F$2:F$746,"BALANÇA - ENTRADA"),0)+IFERROR(SUMIFS('Base bordo'!G$2:G$746,'Base bordo'!C$2:C$746,A114,'Base bordo'!B$2:B$746,B114,'Base bordo'!F$2:F$746,"BALANÇA - SAÍDA"),0)</f>
        <v>0</v>
      </c>
      <c r="K114" s="10">
        <f>IFERROR(SUMIFS('Base bordo'!G$2:G$746,'Base bordo'!C$2:C$746,A114,'Base bordo'!B$2:B$746,B114,'Base bordo'!F$2:F$746,"MAN PREVENTIVA - MECANICA"),0)+IFERROR(SUMIFS('Base bordo'!G$2:G$746,'Base bordo'!C$2:C$746,A114,'Base bordo'!B$2:B$746,B114,'Base bordo'!F$2:F$746,"MAN CORRETIVA - MECANICA"),0)</f>
        <v>0</v>
      </c>
      <c r="L114" s="10">
        <f>IFERROR(SUMIFS('Base bordo'!G$2:G$746,'Base bordo'!C$2:C$746,A114,'Base bordo'!B$2:B$746,B114,'Base bordo'!F$2:F$746,"MANUTENCAO - T O"),0)+IFERROR(SUMIFS('Base bordo'!G$2:G$746,'Base bordo'!C$2:C$746,A114,'Base bordo'!B$2:B$746,B114,'Base bordo'!F$2:F$746,"MANUTENCAO BORRACHARIA"),0)+IFERROR(SUMIFS('Base bordo'!G$2:G$746,'Base bordo'!C$2:C$746,A114,'Base bordo'!B$2:B$746,B114,'Base bordo'!F$2:F$746,"MANUTENCAO EXTERNA  CONCESSIONARIA"),0)+IFERROR(SUMIFS('Base bordo'!G$2:G$746,'Base bordo'!C$2:C$746,A114,'Base bordo'!B$2:B$746,B114,'Base bordo'!F$2:F$746,"MANUTENCAO TELEMETRIA"),0)</f>
        <v>18.858611111111109</v>
      </c>
      <c r="M114" s="10">
        <f>IFERROR(SUMIFS('Base bordo'!G$2:G$746,'Base bordo'!C$2:C$746,A114,'Base bordo'!B$2:B$746,B114,'Base bordo'!F$2:F$746,"AGUARDANDO MANUTENCAO"),0)</f>
        <v>0</v>
      </c>
      <c r="N114" s="10">
        <f>IFERROR(SUMIFS('Base bordo'!G$2:G$746,'Base bordo'!C$2:C$746,A114,'Base bordo'!B$2:B$746,B114,'Base bordo'!F$2:F$746,"SEM APONTAMENTO"),0)</f>
        <v>0</v>
      </c>
      <c r="O114" s="10">
        <f t="shared" si="18"/>
        <v>0.23749999999999716</v>
      </c>
      <c r="P114" s="10">
        <f>IFERROR(SUMIFS('Base bordo'!G$2:G$746,'Base bordo'!C$2:C$746,A114,'Base bordo'!B$2:B$746,B114),0)</f>
        <v>23.999999999999996</v>
      </c>
      <c r="Q114" s="10">
        <f>IFERROR(SUMIFS('Base bordo'!H$2:H$746,'Base bordo'!C$2:C$746,A114,'Base bordo'!B$2:B$746,B114,'Base bordo'!F$2:F$746,"DESLOCAMENTO VAZIO"),0)</f>
        <v>139140.03999999998</v>
      </c>
      <c r="R114" s="10">
        <f>IFERROR(SUMIFS('Base bordo'!I$2:I$746,'Base bordo'!C$2:C$746,A114,'Base bordo'!B$2:B$746,B114,'Base bordo'!F$2:F$746,"DESLOCAMENTO VAZIO"),0)</f>
        <v>5291</v>
      </c>
      <c r="S114" s="30">
        <f t="shared" si="19"/>
        <v>26.297493857493855</v>
      </c>
      <c r="T114" s="10">
        <f>IFERROR(SUMIFS('Base bordo'!H$2:H$746,'Base bordo'!C$2:C$746,A114,'Base bordo'!B$2:B$746,B114,'Base bordo'!F$2:F$746,"DESLOCAMENTO CARREGADO"),0)</f>
        <v>0</v>
      </c>
      <c r="U114" s="10">
        <f>IFERROR(SUMIFS('Base bordo'!I$2:I$746,'Base bordo'!C$2:C$746,A114,'Base bordo'!B$2:B$746,B114,'Base bordo'!F$2:F$746,"DESLOCAMENTO CARREGADO"),0)</f>
        <v>0</v>
      </c>
      <c r="V114" s="30" t="str">
        <f t="shared" si="20"/>
        <v/>
      </c>
      <c r="W114" s="9">
        <f t="shared" si="21"/>
        <v>6.1238425925925932E-2</v>
      </c>
      <c r="X114" s="9">
        <f t="shared" si="22"/>
        <v>0</v>
      </c>
      <c r="Y114" s="9">
        <f t="shared" si="23"/>
        <v>0.93876157407407401</v>
      </c>
    </row>
    <row r="115" spans="1:25" ht="15" customHeight="1" x14ac:dyDescent="0.35">
      <c r="A115" s="52">
        <v>8013460</v>
      </c>
      <c r="B115" s="51">
        <v>46118</v>
      </c>
      <c r="C115" s="7" t="s">
        <v>124</v>
      </c>
      <c r="D115" s="10">
        <f>IFERROR(SUMIFS('Base bordo'!G$2:G$746,'Base bordo'!C$2:C$746,A115,'Base bordo'!B$2:B$746,B115,'Base bordo'!F$2:F$746,"DESLOCAMENTO VAZIO"),0)</f>
        <v>1.5016666666666667</v>
      </c>
      <c r="E115" s="10">
        <f>IFERROR(SUMIFS('Base bordo'!G$2:G$746,'Base bordo'!C$2:C$746,A115,'Base bordo'!B$2:B$746,B115,'Base bordo'!F$2:F$746,"DESLOCAMENTO CARREGADO"),0)</f>
        <v>1.5738888888888889</v>
      </c>
      <c r="F115" s="10">
        <f>IFERROR(SUMIFS('Base bordo'!G$2:G$746,'Base bordo'!C$2:C$746,A115,'Base bordo'!B$2:B$746,B115,'Base bordo'!F$2:F$746,"DESLOCAMENTO"),0)</f>
        <v>0.6744444444444444</v>
      </c>
      <c r="G115" s="10">
        <f>IFERROR(SUMIFS('Base bordo'!G$2:G$746,'Base bordo'!C$2:C$746,A115,'Base bordo'!B$2:B$746,B115,'Base bordo'!F$2:F$746,"CARREGAMENTO"),0)</f>
        <v>1.0088888888888889</v>
      </c>
      <c r="H115" s="10">
        <f>IFERROR(SUMIFS('Base bordo'!G$2:G$746,'Base bordo'!C$2:C$746,A115,'Base bordo'!B$2:B$746,B115,'Base bordo'!F$2:F$746,"AGUARDANDO TRANSBORDO"),0)</f>
        <v>8.4444444444444447E-2</v>
      </c>
      <c r="I115" s="10">
        <f>IFERROR(SUMIFS('Base bordo'!G$2:G$746,'Base bordo'!C$2:C$746,A115,'Base bordo'!B$2:B$746,B115,'Base bordo'!F$2:F$746,"PÁTIO INTERNO"),0)+IFERROR(SUMIFS('Base bordo'!G$2:G$746,'Base bordo'!C$2:C$746,A115,'Base bordo'!B$2:B$746,B115,'Base bordo'!F$2:F$746,"PÁTIO EXTERNO"),0)+IFERROR(SUMIFS('Base bordo'!G$2:G$746,'Base bordo'!C$2:C$746,A115,'Base bordo'!B$2:B$746,B115,'Base bordo'!F$2:F$746,"PATIO - RESERVA"),0)+IFERROR(SUMIFS('Base bordo'!G$2:G$746,'Base bordo'!C$2:C$746,A115,'Base bordo'!B$2:B$746,B115,'Base bordo'!F$2:F$746,"MANOBRA CARRETAS-PATIO"),0)</f>
        <v>16.206388888888888</v>
      </c>
      <c r="J115" s="10">
        <f>IFERROR(SUMIFS('Base bordo'!G$2:G$746,'Base bordo'!C$2:C$746,A115,'Base bordo'!B$2:B$746,B115,'Base bordo'!F$2:F$746,"BALANÇA - ENTRADA"),0)+IFERROR(SUMIFS('Base bordo'!G$2:G$746,'Base bordo'!C$2:C$746,A115,'Base bordo'!B$2:B$746,B115,'Base bordo'!F$2:F$746,"BALANÇA - SAÍDA"),0)</f>
        <v>0.24055555555555555</v>
      </c>
      <c r="K115" s="10">
        <f>IFERROR(SUMIFS('Base bordo'!G$2:G$746,'Base bordo'!C$2:C$746,A115,'Base bordo'!B$2:B$746,B115,'Base bordo'!F$2:F$746,"MAN PREVENTIVA - MECANICA"),0)+IFERROR(SUMIFS('Base bordo'!G$2:G$746,'Base bordo'!C$2:C$746,A115,'Base bordo'!B$2:B$746,B115,'Base bordo'!F$2:F$746,"MAN CORRETIVA - MECANICA"),0)</f>
        <v>0</v>
      </c>
      <c r="L115" s="10">
        <f>IFERROR(SUMIFS('Base bordo'!G$2:G$746,'Base bordo'!C$2:C$746,A115,'Base bordo'!B$2:B$746,B115,'Base bordo'!F$2:F$746,"MANUTENCAO - T O"),0)+IFERROR(SUMIFS('Base bordo'!G$2:G$746,'Base bordo'!C$2:C$746,A115,'Base bordo'!B$2:B$746,B115,'Base bordo'!F$2:F$746,"MANUTENCAO BORRACHARIA"),0)+IFERROR(SUMIFS('Base bordo'!G$2:G$746,'Base bordo'!C$2:C$746,A115,'Base bordo'!B$2:B$746,B115,'Base bordo'!F$2:F$746,"MANUTENCAO EXTERNA  CONCESSIONARIA"),0)+IFERROR(SUMIFS('Base bordo'!G$2:G$746,'Base bordo'!C$2:C$746,A115,'Base bordo'!B$2:B$746,B115,'Base bordo'!F$2:F$746,"MANUTENCAO TELEMETRIA"),0)</f>
        <v>0.9719444444444445</v>
      </c>
      <c r="M115" s="10">
        <f>IFERROR(SUMIFS('Base bordo'!G$2:G$746,'Base bordo'!C$2:C$746,A115,'Base bordo'!B$2:B$746,B115,'Base bordo'!F$2:F$746,"AGUARDANDO MANUTENCAO"),0)</f>
        <v>0</v>
      </c>
      <c r="N115" s="10">
        <f>IFERROR(SUMIFS('Base bordo'!G$2:G$746,'Base bordo'!C$2:C$746,A115,'Base bordo'!B$2:B$746,B115,'Base bordo'!F$2:F$746,"SEM APONTAMENTO"),0)</f>
        <v>0.83916666666666662</v>
      </c>
      <c r="O115" s="10">
        <f t="shared" si="18"/>
        <v>0.89861111111111569</v>
      </c>
      <c r="P115" s="10">
        <f>IFERROR(SUMIFS('Base bordo'!G$2:G$746,'Base bordo'!C$2:C$746,A115,'Base bordo'!B$2:B$746,B115),0)</f>
        <v>24.000000000000004</v>
      </c>
      <c r="Q115" s="10">
        <f>IFERROR(SUMIFS('Base bordo'!H$2:H$746,'Base bordo'!C$2:C$746,A115,'Base bordo'!B$2:B$746,B115,'Base bordo'!F$2:F$746,"DESLOCAMENTO VAZIO"),0)</f>
        <v>102676.29</v>
      </c>
      <c r="R115" s="10">
        <f>IFERROR(SUMIFS('Base bordo'!I$2:I$746,'Base bordo'!C$2:C$746,A115,'Base bordo'!B$2:B$746,B115,'Base bordo'!F$2:F$746,"DESLOCAMENTO VAZIO"),0)</f>
        <v>5406</v>
      </c>
      <c r="S115" s="30">
        <f t="shared" si="19"/>
        <v>18.993024417314093</v>
      </c>
      <c r="T115" s="10">
        <f>IFERROR(SUMIFS('Base bordo'!H$2:H$746,'Base bordo'!C$2:C$746,A115,'Base bordo'!B$2:B$746,B115,'Base bordo'!F$2:F$746,"DESLOCAMENTO CARREGADO"),0)</f>
        <v>136256.08000000002</v>
      </c>
      <c r="U115" s="10">
        <f>IFERROR(SUMIFS('Base bordo'!I$2:I$746,'Base bordo'!C$2:C$746,A115,'Base bordo'!B$2:B$746,B115,'Base bordo'!F$2:F$746,"DESLOCAMENTO CARREGADO"),0)</f>
        <v>5660</v>
      </c>
      <c r="V115" s="30">
        <f t="shared" si="20"/>
        <v>24.073512367491169</v>
      </c>
      <c r="W115" s="9">
        <f t="shared" si="21"/>
        <v>6.2569444444444441E-2</v>
      </c>
      <c r="X115" s="9">
        <f t="shared" si="22"/>
        <v>6.5578703703703695E-2</v>
      </c>
      <c r="Y115" s="9">
        <f t="shared" si="23"/>
        <v>0.87185185185185188</v>
      </c>
    </row>
    <row r="116" spans="1:25" ht="15" customHeight="1" x14ac:dyDescent="0.35">
      <c r="A116" s="52">
        <v>8013465</v>
      </c>
      <c r="B116" s="51">
        <v>46119</v>
      </c>
      <c r="C116" s="7" t="s">
        <v>124</v>
      </c>
      <c r="D116" s="10">
        <f>IFERROR(SUMIFS('Base bordo'!G$2:G$746,'Base bordo'!C$2:C$746,A116,'Base bordo'!B$2:B$746,B116,'Base bordo'!F$2:F$746,"DESLOCAMENTO VAZIO"),0)</f>
        <v>1.5244444444444445</v>
      </c>
      <c r="E116" s="10">
        <f>IFERROR(SUMIFS('Base bordo'!G$2:G$746,'Base bordo'!C$2:C$746,A116,'Base bordo'!B$2:B$746,B116,'Base bordo'!F$2:F$746,"DESLOCAMENTO CARREGADO"),0)</f>
        <v>1.4430555555555555</v>
      </c>
      <c r="F116" s="10">
        <f>IFERROR(SUMIFS('Base bordo'!G$2:G$746,'Base bordo'!C$2:C$746,A116,'Base bordo'!B$2:B$746,B116,'Base bordo'!F$2:F$746,"DESLOCAMENTO"),0)</f>
        <v>0</v>
      </c>
      <c r="G116" s="10">
        <f>IFERROR(SUMIFS('Base bordo'!G$2:G$746,'Base bordo'!C$2:C$746,A116,'Base bordo'!B$2:B$746,B116,'Base bordo'!F$2:F$746,"CARREGAMENTO"),0)</f>
        <v>0</v>
      </c>
      <c r="H116" s="10">
        <f>IFERROR(SUMIFS('Base bordo'!G$2:G$746,'Base bordo'!C$2:C$746,A116,'Base bordo'!B$2:B$746,B116,'Base bordo'!F$2:F$746,"AGUARDANDO TRANSBORDO"),0)</f>
        <v>1.4722222222222223</v>
      </c>
      <c r="I116" s="10">
        <f>IFERROR(SUMIFS('Base bordo'!G$2:G$746,'Base bordo'!C$2:C$746,A116,'Base bordo'!B$2:B$746,B116,'Base bordo'!F$2:F$746,"PÁTIO INTERNO"),0)+IFERROR(SUMIFS('Base bordo'!G$2:G$746,'Base bordo'!C$2:C$746,A116,'Base bordo'!B$2:B$746,B116,'Base bordo'!F$2:F$746,"PÁTIO EXTERNO"),0)+IFERROR(SUMIFS('Base bordo'!G$2:G$746,'Base bordo'!C$2:C$746,A116,'Base bordo'!B$2:B$746,B116,'Base bordo'!F$2:F$746,"PATIO - RESERVA"),0)+IFERROR(SUMIFS('Base bordo'!G$2:G$746,'Base bordo'!C$2:C$746,A116,'Base bordo'!B$2:B$746,B116,'Base bordo'!F$2:F$746,"MANOBRA CARRETAS-PATIO"),0)</f>
        <v>0</v>
      </c>
      <c r="J116" s="10">
        <f>IFERROR(SUMIFS('Base bordo'!G$2:G$746,'Base bordo'!C$2:C$746,A116,'Base bordo'!B$2:B$746,B116,'Base bordo'!F$2:F$746,"BALANÇA - ENTRADA"),0)+IFERROR(SUMIFS('Base bordo'!G$2:G$746,'Base bordo'!C$2:C$746,A116,'Base bordo'!B$2:B$746,B116,'Base bordo'!F$2:F$746,"BALANÇA - SAÍDA"),0)</f>
        <v>0</v>
      </c>
      <c r="K116" s="10">
        <f>IFERROR(SUMIFS('Base bordo'!G$2:G$746,'Base bordo'!C$2:C$746,A116,'Base bordo'!B$2:B$746,B116,'Base bordo'!F$2:F$746,"MAN PREVENTIVA - MECANICA"),0)+IFERROR(SUMIFS('Base bordo'!G$2:G$746,'Base bordo'!C$2:C$746,A116,'Base bordo'!B$2:B$746,B116,'Base bordo'!F$2:F$746,"MAN CORRETIVA - MECANICA"),0)</f>
        <v>0</v>
      </c>
      <c r="L116" s="10">
        <f>IFERROR(SUMIFS('Base bordo'!G$2:G$746,'Base bordo'!C$2:C$746,A116,'Base bordo'!B$2:B$746,B116,'Base bordo'!F$2:F$746,"MANUTENCAO - T O"),0)+IFERROR(SUMIFS('Base bordo'!G$2:G$746,'Base bordo'!C$2:C$746,A116,'Base bordo'!B$2:B$746,B116,'Base bordo'!F$2:F$746,"MANUTENCAO BORRACHARIA"),0)+IFERROR(SUMIFS('Base bordo'!G$2:G$746,'Base bordo'!C$2:C$746,A116,'Base bordo'!B$2:B$746,B116,'Base bordo'!F$2:F$746,"MANUTENCAO EXTERNA  CONCESSIONARIA"),0)+IFERROR(SUMIFS('Base bordo'!G$2:G$746,'Base bordo'!C$2:C$746,A116,'Base bordo'!B$2:B$746,B116,'Base bordo'!F$2:F$746,"MANUTENCAO TELEMETRIA"),0)</f>
        <v>0</v>
      </c>
      <c r="M116" s="10">
        <f>IFERROR(SUMIFS('Base bordo'!G$2:G$746,'Base bordo'!C$2:C$746,A116,'Base bordo'!B$2:B$746,B116,'Base bordo'!F$2:F$746,"AGUARDANDO MANUTENCAO"),0)</f>
        <v>0</v>
      </c>
      <c r="N116" s="10">
        <f>IFERROR(SUMIFS('Base bordo'!G$2:G$746,'Base bordo'!C$2:C$746,A116,'Base bordo'!B$2:B$746,B116,'Base bordo'!F$2:F$746,"SEM APONTAMENTO"),0)</f>
        <v>0</v>
      </c>
      <c r="O116" s="10">
        <f t="shared" si="18"/>
        <v>0</v>
      </c>
      <c r="P116" s="10">
        <f>IFERROR(SUMIFS('Base bordo'!G$2:G$746,'Base bordo'!C$2:C$746,A116,'Base bordo'!B$2:B$746,B116),0)</f>
        <v>4.4397222222222226</v>
      </c>
      <c r="Q116" s="10">
        <f>IFERROR(SUMIFS('Base bordo'!H$2:H$746,'Base bordo'!C$2:C$746,A116,'Base bordo'!B$2:B$746,B116,'Base bordo'!F$2:F$746,"DESLOCAMENTO VAZIO"),0)</f>
        <v>173737.47</v>
      </c>
      <c r="R116" s="10">
        <f>IFERROR(SUMIFS('Base bordo'!I$2:I$746,'Base bordo'!C$2:C$746,A116,'Base bordo'!B$2:B$746,B116,'Base bordo'!F$2:F$746,"DESLOCAMENTO VAZIO"),0)</f>
        <v>5488</v>
      </c>
      <c r="S116" s="30">
        <f t="shared" si="19"/>
        <v>31.657702259475219</v>
      </c>
      <c r="T116" s="10">
        <f>IFERROR(SUMIFS('Base bordo'!H$2:H$746,'Base bordo'!C$2:C$746,A116,'Base bordo'!B$2:B$746,B116,'Base bordo'!F$2:F$746,"DESLOCAMENTO CARREGADO"),0)</f>
        <v>130358.20999999999</v>
      </c>
      <c r="U116" s="10">
        <f>IFERROR(SUMIFS('Base bordo'!I$2:I$746,'Base bordo'!C$2:C$746,A116,'Base bordo'!B$2:B$746,B116,'Base bordo'!F$2:F$746,"DESLOCAMENTO CARREGADO"),0)</f>
        <v>5195</v>
      </c>
      <c r="V116" s="30">
        <f t="shared" si="20"/>
        <v>25.093014436958612</v>
      </c>
      <c r="W116" s="9">
        <f t="shared" si="21"/>
        <v>0.34336482512669708</v>
      </c>
      <c r="X116" s="9">
        <f t="shared" si="22"/>
        <v>0.32503284740036287</v>
      </c>
      <c r="Y116" s="9">
        <f t="shared" si="23"/>
        <v>0.33160232747294005</v>
      </c>
    </row>
    <row r="117" spans="1:25" ht="15" customHeight="1" x14ac:dyDescent="0.35">
      <c r="A117" s="52">
        <v>8013478</v>
      </c>
      <c r="B117" s="51">
        <v>46117</v>
      </c>
      <c r="C117" s="7" t="s">
        <v>124</v>
      </c>
      <c r="D117" s="10">
        <f>IFERROR(SUMIFS('Base bordo'!G$2:G$746,'Base bordo'!C$2:C$746,A117,'Base bordo'!B$2:B$746,B117,'Base bordo'!F$2:F$746,"DESLOCAMENTO VAZIO"),0)</f>
        <v>3.3080555555555557</v>
      </c>
      <c r="E117" s="10">
        <f>IFERROR(SUMIFS('Base bordo'!G$2:G$746,'Base bordo'!C$2:C$746,A117,'Base bordo'!B$2:B$746,B117,'Base bordo'!F$2:F$746,"DESLOCAMENTO CARREGADO"),0)</f>
        <v>0.25666666666666665</v>
      </c>
      <c r="F117" s="10">
        <f>IFERROR(SUMIFS('Base bordo'!G$2:G$746,'Base bordo'!C$2:C$746,A117,'Base bordo'!B$2:B$746,B117,'Base bordo'!F$2:F$746,"DESLOCAMENTO"),0)</f>
        <v>0.71666666666666667</v>
      </c>
      <c r="G117" s="10">
        <f>IFERROR(SUMIFS('Base bordo'!G$2:G$746,'Base bordo'!C$2:C$746,A117,'Base bordo'!B$2:B$746,B117,'Base bordo'!F$2:F$746,"CARREGAMENTO"),0)</f>
        <v>7.4722222222222218E-2</v>
      </c>
      <c r="H117" s="10">
        <f>IFERROR(SUMIFS('Base bordo'!G$2:G$746,'Base bordo'!C$2:C$746,A117,'Base bordo'!B$2:B$746,B117,'Base bordo'!F$2:F$746,"AGUARDANDO TRANSBORDO"),0)</f>
        <v>0.18472222222222223</v>
      </c>
      <c r="I117" s="10">
        <f>IFERROR(SUMIFS('Base bordo'!G$2:G$746,'Base bordo'!C$2:C$746,A117,'Base bordo'!B$2:B$746,B117,'Base bordo'!F$2:F$746,"PÁTIO INTERNO"),0)+IFERROR(SUMIFS('Base bordo'!G$2:G$746,'Base bordo'!C$2:C$746,A117,'Base bordo'!B$2:B$746,B117,'Base bordo'!F$2:F$746,"PÁTIO EXTERNO"),0)+IFERROR(SUMIFS('Base bordo'!G$2:G$746,'Base bordo'!C$2:C$746,A117,'Base bordo'!B$2:B$746,B117,'Base bordo'!F$2:F$746,"PATIO - RESERVA"),0)+IFERROR(SUMIFS('Base bordo'!G$2:G$746,'Base bordo'!C$2:C$746,A117,'Base bordo'!B$2:B$746,B117,'Base bordo'!F$2:F$746,"MANOBRA CARRETAS-PATIO"),0)</f>
        <v>0</v>
      </c>
      <c r="J117" s="10">
        <f>IFERROR(SUMIFS('Base bordo'!G$2:G$746,'Base bordo'!C$2:C$746,A117,'Base bordo'!B$2:B$746,B117,'Base bordo'!F$2:F$746,"BALANÇA - ENTRADA"),0)+IFERROR(SUMIFS('Base bordo'!G$2:G$746,'Base bordo'!C$2:C$746,A117,'Base bordo'!B$2:B$746,B117,'Base bordo'!F$2:F$746,"BALANÇA - SAÍDA"),0)</f>
        <v>0</v>
      </c>
      <c r="K117" s="10">
        <f>IFERROR(SUMIFS('Base bordo'!G$2:G$746,'Base bordo'!C$2:C$746,A117,'Base bordo'!B$2:B$746,B117,'Base bordo'!F$2:F$746,"MAN PREVENTIVA - MECANICA"),0)+IFERROR(SUMIFS('Base bordo'!G$2:G$746,'Base bordo'!C$2:C$746,A117,'Base bordo'!B$2:B$746,B117,'Base bordo'!F$2:F$746,"MAN CORRETIVA - MECANICA"),0)</f>
        <v>0</v>
      </c>
      <c r="L117" s="10">
        <f>IFERROR(SUMIFS('Base bordo'!G$2:G$746,'Base bordo'!C$2:C$746,A117,'Base bordo'!B$2:B$746,B117,'Base bordo'!F$2:F$746,"MANUTENCAO - T O"),0)+IFERROR(SUMIFS('Base bordo'!G$2:G$746,'Base bordo'!C$2:C$746,A117,'Base bordo'!B$2:B$746,B117,'Base bordo'!F$2:F$746,"MANUTENCAO BORRACHARIA"),0)+IFERROR(SUMIFS('Base bordo'!G$2:G$746,'Base bordo'!C$2:C$746,A117,'Base bordo'!B$2:B$746,B117,'Base bordo'!F$2:F$746,"MANUTENCAO EXTERNA  CONCESSIONARIA"),0)+IFERROR(SUMIFS('Base bordo'!G$2:G$746,'Base bordo'!C$2:C$746,A117,'Base bordo'!B$2:B$746,B117,'Base bordo'!F$2:F$746,"MANUTENCAO TELEMETRIA"),0)</f>
        <v>15.166944444444445</v>
      </c>
      <c r="M117" s="10">
        <f>IFERROR(SUMIFS('Base bordo'!G$2:G$746,'Base bordo'!C$2:C$746,A117,'Base bordo'!B$2:B$746,B117,'Base bordo'!F$2:F$746,"AGUARDANDO MANUTENCAO"),0)</f>
        <v>0</v>
      </c>
      <c r="N117" s="10">
        <f>IFERROR(SUMIFS('Base bordo'!G$2:G$746,'Base bordo'!C$2:C$746,A117,'Base bordo'!B$2:B$746,B117,'Base bordo'!F$2:F$746,"SEM APONTAMENTO"),0)</f>
        <v>0.64555555555555555</v>
      </c>
      <c r="O117" s="10">
        <f t="shared" si="18"/>
        <v>3.6466666666666683</v>
      </c>
      <c r="P117" s="10">
        <f>IFERROR(SUMIFS('Base bordo'!G$2:G$746,'Base bordo'!C$2:C$746,A117,'Base bordo'!B$2:B$746,B117),0)</f>
        <v>24.000000000000004</v>
      </c>
      <c r="Q117" s="10">
        <f>IFERROR(SUMIFS('Base bordo'!H$2:H$746,'Base bordo'!C$2:C$746,A117,'Base bordo'!B$2:B$746,B117,'Base bordo'!F$2:F$746,"DESLOCAMENTO VAZIO"),0)</f>
        <v>327757.84999999998</v>
      </c>
      <c r="R117" s="10">
        <f>IFERROR(SUMIFS('Base bordo'!I$2:I$746,'Base bordo'!C$2:C$746,A117,'Base bordo'!B$2:B$746,B117,'Base bordo'!F$2:F$746,"DESLOCAMENTO VAZIO"),0)</f>
        <v>11909</v>
      </c>
      <c r="S117" s="30">
        <f t="shared" si="19"/>
        <v>27.521861617264253</v>
      </c>
      <c r="T117" s="10">
        <f>IFERROR(SUMIFS('Base bordo'!H$2:H$746,'Base bordo'!C$2:C$746,A117,'Base bordo'!B$2:B$746,B117,'Base bordo'!F$2:F$746,"DESLOCAMENTO CARREGADO"),0)</f>
        <v>25650.240000000002</v>
      </c>
      <c r="U117" s="10">
        <f>IFERROR(SUMIFS('Base bordo'!I$2:I$746,'Base bordo'!C$2:C$746,A117,'Base bordo'!B$2:B$746,B117,'Base bordo'!F$2:F$746,"DESLOCAMENTO CARREGADO"),0)</f>
        <v>924</v>
      </c>
      <c r="V117" s="30">
        <f t="shared" si="20"/>
        <v>27.76</v>
      </c>
      <c r="W117" s="9">
        <f t="shared" si="21"/>
        <v>0.13783564814814814</v>
      </c>
      <c r="X117" s="9">
        <f t="shared" si="22"/>
        <v>1.0694444444444442E-2</v>
      </c>
      <c r="Y117" s="9">
        <f t="shared" si="23"/>
        <v>0.85146990740740747</v>
      </c>
    </row>
    <row r="118" spans="1:25" ht="15" customHeight="1" x14ac:dyDescent="0.35">
      <c r="A118" s="52">
        <v>8013461</v>
      </c>
      <c r="B118" s="51">
        <v>46124</v>
      </c>
      <c r="C118" s="7" t="s">
        <v>124</v>
      </c>
      <c r="D118" s="10">
        <f>IFERROR(SUMIFS('Base bordo'!G$2:G$746,'Base bordo'!C$2:C$746,A118,'Base bordo'!B$2:B$746,B118,'Base bordo'!F$2:F$746,"DESLOCAMENTO VAZIO"),0)</f>
        <v>2.7680555555555557</v>
      </c>
      <c r="E118" s="10">
        <f>IFERROR(SUMIFS('Base bordo'!G$2:G$746,'Base bordo'!C$2:C$746,A118,'Base bordo'!B$2:B$746,B118,'Base bordo'!F$2:F$746,"DESLOCAMENTO CARREGADO"),0)</f>
        <v>1.8997222222222223</v>
      </c>
      <c r="F118" s="10">
        <f>IFERROR(SUMIFS('Base bordo'!G$2:G$746,'Base bordo'!C$2:C$746,A118,'Base bordo'!B$2:B$746,B118,'Base bordo'!F$2:F$746,"DESLOCAMENTO"),0)</f>
        <v>0</v>
      </c>
      <c r="G118" s="10">
        <f>IFERROR(SUMIFS('Base bordo'!G$2:G$746,'Base bordo'!C$2:C$746,A118,'Base bordo'!B$2:B$746,B118,'Base bordo'!F$2:F$746,"CARREGAMENTO"),0)</f>
        <v>0</v>
      </c>
      <c r="H118" s="10">
        <f>IFERROR(SUMIFS('Base bordo'!G$2:G$746,'Base bordo'!C$2:C$746,A118,'Base bordo'!B$2:B$746,B118,'Base bordo'!F$2:F$746,"AGUARDANDO TRANSBORDO"),0)</f>
        <v>0.61305555555555558</v>
      </c>
      <c r="I118" s="10">
        <f>IFERROR(SUMIFS('Base bordo'!G$2:G$746,'Base bordo'!C$2:C$746,A118,'Base bordo'!B$2:B$746,B118,'Base bordo'!F$2:F$746,"PÁTIO INTERNO"),0)+IFERROR(SUMIFS('Base bordo'!G$2:G$746,'Base bordo'!C$2:C$746,A118,'Base bordo'!B$2:B$746,B118,'Base bordo'!F$2:F$746,"PÁTIO EXTERNO"),0)+IFERROR(SUMIFS('Base bordo'!G$2:G$746,'Base bordo'!C$2:C$746,A118,'Base bordo'!B$2:B$746,B118,'Base bordo'!F$2:F$746,"PATIO - RESERVA"),0)+IFERROR(SUMIFS('Base bordo'!G$2:G$746,'Base bordo'!C$2:C$746,A118,'Base bordo'!B$2:B$746,B118,'Base bordo'!F$2:F$746,"MANOBRA CARRETAS-PATIO"),0)</f>
        <v>4.3969444444444443</v>
      </c>
      <c r="J118" s="10">
        <f>IFERROR(SUMIFS('Base bordo'!G$2:G$746,'Base bordo'!C$2:C$746,A118,'Base bordo'!B$2:B$746,B118,'Base bordo'!F$2:F$746,"BALANÇA - ENTRADA"),0)+IFERROR(SUMIFS('Base bordo'!G$2:G$746,'Base bordo'!C$2:C$746,A118,'Base bordo'!B$2:B$746,B118,'Base bordo'!F$2:F$746,"BALANÇA - SAÍDA"),0)</f>
        <v>0.3175</v>
      </c>
      <c r="K118" s="10">
        <f>IFERROR(SUMIFS('Base bordo'!G$2:G$746,'Base bordo'!C$2:C$746,A118,'Base bordo'!B$2:B$746,B118,'Base bordo'!F$2:F$746,"MAN PREVENTIVA - MECANICA"),0)+IFERROR(SUMIFS('Base bordo'!G$2:G$746,'Base bordo'!C$2:C$746,A118,'Base bordo'!B$2:B$746,B118,'Base bordo'!F$2:F$746,"MAN CORRETIVA - MECANICA"),0)</f>
        <v>0</v>
      </c>
      <c r="L118" s="10">
        <f>IFERROR(SUMIFS('Base bordo'!G$2:G$746,'Base bordo'!C$2:C$746,A118,'Base bordo'!B$2:B$746,B118,'Base bordo'!F$2:F$746,"MANUTENCAO - T O"),0)+IFERROR(SUMIFS('Base bordo'!G$2:G$746,'Base bordo'!C$2:C$746,A118,'Base bordo'!B$2:B$746,B118,'Base bordo'!F$2:F$746,"MANUTENCAO BORRACHARIA"),0)+IFERROR(SUMIFS('Base bordo'!G$2:G$746,'Base bordo'!C$2:C$746,A118,'Base bordo'!B$2:B$746,B118,'Base bordo'!F$2:F$746,"MANUTENCAO EXTERNA  CONCESSIONARIA"),0)+IFERROR(SUMIFS('Base bordo'!G$2:G$746,'Base bordo'!C$2:C$746,A118,'Base bordo'!B$2:B$746,B118,'Base bordo'!F$2:F$746,"MANUTENCAO TELEMETRIA"),0)</f>
        <v>0</v>
      </c>
      <c r="M118" s="10">
        <f>IFERROR(SUMIFS('Base bordo'!G$2:G$746,'Base bordo'!C$2:C$746,A118,'Base bordo'!B$2:B$746,B118,'Base bordo'!F$2:F$746,"AGUARDANDO MANUTENCAO"),0)</f>
        <v>0</v>
      </c>
      <c r="N118" s="10">
        <f>IFERROR(SUMIFS('Base bordo'!G$2:G$746,'Base bordo'!C$2:C$746,A118,'Base bordo'!B$2:B$746,B118,'Base bordo'!F$2:F$746,"SEM APONTAMENTO"),0)</f>
        <v>0</v>
      </c>
      <c r="O118" s="10">
        <f t="shared" si="18"/>
        <v>1.7763568394002505E-15</v>
      </c>
      <c r="P118" s="10">
        <f>IFERROR(SUMIFS('Base bordo'!G$2:G$746,'Base bordo'!C$2:C$746,A118,'Base bordo'!B$2:B$746,B118),0)</f>
        <v>9.9952777777777797</v>
      </c>
      <c r="Q118" s="10">
        <f>IFERROR(SUMIFS('Base bordo'!H$2:H$746,'Base bordo'!C$2:C$746,A118,'Base bordo'!B$2:B$746,B118,'Base bordo'!F$2:F$746,"DESLOCAMENTO VAZIO"),0)</f>
        <v>281004.56</v>
      </c>
      <c r="R118" s="10">
        <f>IFERROR(SUMIFS('Base bordo'!I$2:I$746,'Base bordo'!C$2:C$746,A118,'Base bordo'!B$2:B$746,B118,'Base bordo'!F$2:F$746,"DESLOCAMENTO VAZIO"),0)</f>
        <v>9965</v>
      </c>
      <c r="S118" s="30">
        <f t="shared" si="19"/>
        <v>28.199153035624686</v>
      </c>
      <c r="T118" s="10">
        <f>IFERROR(SUMIFS('Base bordo'!H$2:H$746,'Base bordo'!C$2:C$746,A118,'Base bordo'!B$2:B$746,B118,'Base bordo'!F$2:F$746,"DESLOCAMENTO CARREGADO"),0)</f>
        <v>117740.31000000001</v>
      </c>
      <c r="U118" s="10">
        <f>IFERROR(SUMIFS('Base bordo'!I$2:I$746,'Base bordo'!C$2:C$746,A118,'Base bordo'!B$2:B$746,B118,'Base bordo'!F$2:F$746,"DESLOCAMENTO CARREGADO"),0)</f>
        <v>6839</v>
      </c>
      <c r="V118" s="30">
        <f t="shared" si="20"/>
        <v>17.216012574937857</v>
      </c>
      <c r="W118" s="9">
        <f t="shared" si="21"/>
        <v>0.27693633104521576</v>
      </c>
      <c r="X118" s="9">
        <f t="shared" si="22"/>
        <v>0.19006197370980737</v>
      </c>
      <c r="Y118" s="9">
        <f t="shared" si="23"/>
        <v>0.53300169524497676</v>
      </c>
    </row>
    <row r="119" spans="1:25" ht="15" customHeight="1" x14ac:dyDescent="0.35">
      <c r="A119" s="52">
        <v>8013472</v>
      </c>
      <c r="B119" s="51">
        <v>46118</v>
      </c>
      <c r="C119" s="7" t="s">
        <v>124</v>
      </c>
      <c r="D119" s="10">
        <f>IFERROR(SUMIFS('Base bordo'!G$2:G$746,'Base bordo'!C$2:C$746,A119,'Base bordo'!B$2:B$746,B119,'Base bordo'!F$2:F$746,"DESLOCAMENTO VAZIO"),0)</f>
        <v>1.75</v>
      </c>
      <c r="E119" s="10">
        <f>IFERROR(SUMIFS('Base bordo'!G$2:G$746,'Base bordo'!C$2:C$746,A119,'Base bordo'!B$2:B$746,B119,'Base bordo'!F$2:F$746,"DESLOCAMENTO CARREGADO"),0)</f>
        <v>2.4983333333333335</v>
      </c>
      <c r="F119" s="10">
        <f>IFERROR(SUMIFS('Base bordo'!G$2:G$746,'Base bordo'!C$2:C$746,A119,'Base bordo'!B$2:B$746,B119,'Base bordo'!F$2:F$746,"DESLOCAMENTO"),0)</f>
        <v>1.1605555555555556</v>
      </c>
      <c r="G119" s="10">
        <f>IFERROR(SUMIFS('Base bordo'!G$2:G$746,'Base bordo'!C$2:C$746,A119,'Base bordo'!B$2:B$746,B119,'Base bordo'!F$2:F$746,"CARREGAMENTO"),0)</f>
        <v>0</v>
      </c>
      <c r="H119" s="10">
        <f>IFERROR(SUMIFS('Base bordo'!G$2:G$746,'Base bordo'!C$2:C$746,A119,'Base bordo'!B$2:B$746,B119,'Base bordo'!F$2:F$746,"AGUARDANDO TRANSBORDO"),0)</f>
        <v>0</v>
      </c>
      <c r="I119" s="10">
        <f>IFERROR(SUMIFS('Base bordo'!G$2:G$746,'Base bordo'!C$2:C$746,A119,'Base bordo'!B$2:B$746,B119,'Base bordo'!F$2:F$746,"PÁTIO INTERNO"),0)+IFERROR(SUMIFS('Base bordo'!G$2:G$746,'Base bordo'!C$2:C$746,A119,'Base bordo'!B$2:B$746,B119,'Base bordo'!F$2:F$746,"PÁTIO EXTERNO"),0)+IFERROR(SUMIFS('Base bordo'!G$2:G$746,'Base bordo'!C$2:C$746,A119,'Base bordo'!B$2:B$746,B119,'Base bordo'!F$2:F$746,"PATIO - RESERVA"),0)+IFERROR(SUMIFS('Base bordo'!G$2:G$746,'Base bordo'!C$2:C$746,A119,'Base bordo'!B$2:B$746,B119,'Base bordo'!F$2:F$746,"MANOBRA CARRETAS-PATIO"),0)</f>
        <v>6.2741666666666669</v>
      </c>
      <c r="J119" s="10">
        <f>IFERROR(SUMIFS('Base bordo'!G$2:G$746,'Base bordo'!C$2:C$746,A119,'Base bordo'!B$2:B$746,B119,'Base bordo'!F$2:F$746,"BALANÇA - ENTRADA"),0)+IFERROR(SUMIFS('Base bordo'!G$2:G$746,'Base bordo'!C$2:C$746,A119,'Base bordo'!B$2:B$746,B119,'Base bordo'!F$2:F$746,"BALANÇA - SAÍDA"),0)</f>
        <v>1.2222222222222223E-2</v>
      </c>
      <c r="K119" s="10">
        <f>IFERROR(SUMIFS('Base bordo'!G$2:G$746,'Base bordo'!C$2:C$746,A119,'Base bordo'!B$2:B$746,B119,'Base bordo'!F$2:F$746,"MAN PREVENTIVA - MECANICA"),0)+IFERROR(SUMIFS('Base bordo'!G$2:G$746,'Base bordo'!C$2:C$746,A119,'Base bordo'!B$2:B$746,B119,'Base bordo'!F$2:F$746,"MAN CORRETIVA - MECANICA"),0)</f>
        <v>0</v>
      </c>
      <c r="L119" s="10">
        <f>IFERROR(SUMIFS('Base bordo'!G$2:G$746,'Base bordo'!C$2:C$746,A119,'Base bordo'!B$2:B$746,B119,'Base bordo'!F$2:F$746,"MANUTENCAO - T O"),0)+IFERROR(SUMIFS('Base bordo'!G$2:G$746,'Base bordo'!C$2:C$746,A119,'Base bordo'!B$2:B$746,B119,'Base bordo'!F$2:F$746,"MANUTENCAO BORRACHARIA"),0)+IFERROR(SUMIFS('Base bordo'!G$2:G$746,'Base bordo'!C$2:C$746,A119,'Base bordo'!B$2:B$746,B119,'Base bordo'!F$2:F$746,"MANUTENCAO EXTERNA  CONCESSIONARIA"),0)+IFERROR(SUMIFS('Base bordo'!G$2:G$746,'Base bordo'!C$2:C$746,A119,'Base bordo'!B$2:B$746,B119,'Base bordo'!F$2:F$746,"MANUTENCAO TELEMETRIA"),0)</f>
        <v>2.3786111111111112</v>
      </c>
      <c r="M119" s="10">
        <f>IFERROR(SUMIFS('Base bordo'!G$2:G$746,'Base bordo'!C$2:C$746,A119,'Base bordo'!B$2:B$746,B119,'Base bordo'!F$2:F$746,"AGUARDANDO MANUTENCAO"),0)</f>
        <v>5.3633333333333333</v>
      </c>
      <c r="N119" s="10">
        <f>IFERROR(SUMIFS('Base bordo'!G$2:G$746,'Base bordo'!C$2:C$746,A119,'Base bordo'!B$2:B$746,B119,'Base bordo'!F$2:F$746,"SEM APONTAMENTO"),0)</f>
        <v>0</v>
      </c>
      <c r="O119" s="10">
        <f t="shared" si="18"/>
        <v>0</v>
      </c>
      <c r="P119" s="10">
        <f>IFERROR(SUMIFS('Base bordo'!G$2:G$746,'Base bordo'!C$2:C$746,A119,'Base bordo'!B$2:B$746,B119),0)</f>
        <v>19.437222222222221</v>
      </c>
      <c r="Q119" s="10">
        <f>IFERROR(SUMIFS('Base bordo'!H$2:H$746,'Base bordo'!C$2:C$746,A119,'Base bordo'!B$2:B$746,B119,'Base bordo'!F$2:F$746,"DESLOCAMENTO VAZIO"),0)</f>
        <v>117213.39</v>
      </c>
      <c r="R119" s="10">
        <f>IFERROR(SUMIFS('Base bordo'!I$2:I$746,'Base bordo'!C$2:C$746,A119,'Base bordo'!B$2:B$746,B119,'Base bordo'!F$2:F$746,"DESLOCAMENTO VAZIO"),0)</f>
        <v>6300</v>
      </c>
      <c r="S119" s="30">
        <f t="shared" si="19"/>
        <v>18.6053</v>
      </c>
      <c r="T119" s="10">
        <f>IFERROR(SUMIFS('Base bordo'!H$2:H$746,'Base bordo'!C$2:C$746,A119,'Base bordo'!B$2:B$746,B119,'Base bordo'!F$2:F$746,"DESLOCAMENTO CARREGADO"),0)</f>
        <v>206109.95</v>
      </c>
      <c r="U119" s="10">
        <f>IFERROR(SUMIFS('Base bordo'!I$2:I$746,'Base bordo'!C$2:C$746,A119,'Base bordo'!B$2:B$746,B119,'Base bordo'!F$2:F$746,"DESLOCAMENTO CARREGADO"),0)</f>
        <v>8677</v>
      </c>
      <c r="V119" s="30">
        <f t="shared" si="20"/>
        <v>23.753595712803964</v>
      </c>
      <c r="W119" s="9">
        <f t="shared" si="21"/>
        <v>9.0033440992368596E-2</v>
      </c>
      <c r="X119" s="9">
        <f t="shared" si="22"/>
        <v>0.128533455283391</v>
      </c>
      <c r="Y119" s="9">
        <f t="shared" si="23"/>
        <v>0.78143310372424046</v>
      </c>
    </row>
    <row r="120" spans="1:25" ht="15" customHeight="1" x14ac:dyDescent="0.35">
      <c r="A120" s="52">
        <v>8013486</v>
      </c>
      <c r="B120" s="51">
        <v>46118</v>
      </c>
      <c r="C120" s="7" t="s">
        <v>124</v>
      </c>
      <c r="D120" s="10">
        <f>IFERROR(SUMIFS('Base bordo'!G$2:G$746,'Base bordo'!C$2:C$746,A120,'Base bordo'!B$2:B$746,B120,'Base bordo'!F$2:F$746,"DESLOCAMENTO VAZIO"),0)</f>
        <v>0.90972222222222221</v>
      </c>
      <c r="E120" s="10">
        <f>IFERROR(SUMIFS('Base bordo'!G$2:G$746,'Base bordo'!C$2:C$746,A120,'Base bordo'!B$2:B$746,B120,'Base bordo'!F$2:F$746,"DESLOCAMENTO CARREGADO"),0)</f>
        <v>1.7558333333333334</v>
      </c>
      <c r="F120" s="10">
        <f>IFERROR(SUMIFS('Base bordo'!G$2:G$746,'Base bordo'!C$2:C$746,A120,'Base bordo'!B$2:B$746,B120,'Base bordo'!F$2:F$746,"DESLOCAMENTO"),0)</f>
        <v>6.0436111111111108</v>
      </c>
      <c r="G120" s="10">
        <f>IFERROR(SUMIFS('Base bordo'!G$2:G$746,'Base bordo'!C$2:C$746,A120,'Base bordo'!B$2:B$746,B120,'Base bordo'!F$2:F$746,"CARREGAMENTO"),0)</f>
        <v>0</v>
      </c>
      <c r="H120" s="10">
        <f>IFERROR(SUMIFS('Base bordo'!G$2:G$746,'Base bordo'!C$2:C$746,A120,'Base bordo'!B$2:B$746,B120,'Base bordo'!F$2:F$746,"AGUARDANDO TRANSBORDO"),0)</f>
        <v>0</v>
      </c>
      <c r="I120" s="10">
        <f>IFERROR(SUMIFS('Base bordo'!G$2:G$746,'Base bordo'!C$2:C$746,A120,'Base bordo'!B$2:B$746,B120,'Base bordo'!F$2:F$746,"PÁTIO INTERNO"),0)+IFERROR(SUMIFS('Base bordo'!G$2:G$746,'Base bordo'!C$2:C$746,A120,'Base bordo'!B$2:B$746,B120,'Base bordo'!F$2:F$746,"PÁTIO EXTERNO"),0)+IFERROR(SUMIFS('Base bordo'!G$2:G$746,'Base bordo'!C$2:C$746,A120,'Base bordo'!B$2:B$746,B120,'Base bordo'!F$2:F$746,"PATIO - RESERVA"),0)+IFERROR(SUMIFS('Base bordo'!G$2:G$746,'Base bordo'!C$2:C$746,A120,'Base bordo'!B$2:B$746,B120,'Base bordo'!F$2:F$746,"MANOBRA CARRETAS-PATIO"),0)</f>
        <v>3.7905555555555552</v>
      </c>
      <c r="J120" s="10">
        <f>IFERROR(SUMIFS('Base bordo'!G$2:G$746,'Base bordo'!C$2:C$746,A120,'Base bordo'!B$2:B$746,B120,'Base bordo'!F$2:F$746,"BALANÇA - ENTRADA"),0)+IFERROR(SUMIFS('Base bordo'!G$2:G$746,'Base bordo'!C$2:C$746,A120,'Base bordo'!B$2:B$746,B120,'Base bordo'!F$2:F$746,"BALANÇA - SAÍDA"),0)</f>
        <v>5.6666666666666664E-2</v>
      </c>
      <c r="K120" s="10">
        <f>IFERROR(SUMIFS('Base bordo'!G$2:G$746,'Base bordo'!C$2:C$746,A120,'Base bordo'!B$2:B$746,B120,'Base bordo'!F$2:F$746,"MAN PREVENTIVA - MECANICA"),0)+IFERROR(SUMIFS('Base bordo'!G$2:G$746,'Base bordo'!C$2:C$746,A120,'Base bordo'!B$2:B$746,B120,'Base bordo'!F$2:F$746,"MAN CORRETIVA - MECANICA"),0)</f>
        <v>0</v>
      </c>
      <c r="L120" s="10">
        <f>IFERROR(SUMIFS('Base bordo'!G$2:G$746,'Base bordo'!C$2:C$746,A120,'Base bordo'!B$2:B$746,B120,'Base bordo'!F$2:F$746,"MANUTENCAO - T O"),0)+IFERROR(SUMIFS('Base bordo'!G$2:G$746,'Base bordo'!C$2:C$746,A120,'Base bordo'!B$2:B$746,B120,'Base bordo'!F$2:F$746,"MANUTENCAO BORRACHARIA"),0)+IFERROR(SUMIFS('Base bordo'!G$2:G$746,'Base bordo'!C$2:C$746,A120,'Base bordo'!B$2:B$746,B120,'Base bordo'!F$2:F$746,"MANUTENCAO EXTERNA  CONCESSIONARIA"),0)+IFERROR(SUMIFS('Base bordo'!G$2:G$746,'Base bordo'!C$2:C$746,A120,'Base bordo'!B$2:B$746,B120,'Base bordo'!F$2:F$746,"MANUTENCAO TELEMETRIA"),0)</f>
        <v>9.4491666666666667</v>
      </c>
      <c r="M120" s="10">
        <f>IFERROR(SUMIFS('Base bordo'!G$2:G$746,'Base bordo'!C$2:C$746,A120,'Base bordo'!B$2:B$746,B120,'Base bordo'!F$2:F$746,"AGUARDANDO MANUTENCAO"),0)</f>
        <v>0</v>
      </c>
      <c r="N120" s="10">
        <f>IFERROR(SUMIFS('Base bordo'!G$2:G$746,'Base bordo'!C$2:C$746,A120,'Base bordo'!B$2:B$746,B120,'Base bordo'!F$2:F$746,"SEM APONTAMENTO"),0)</f>
        <v>0</v>
      </c>
      <c r="O120" s="10">
        <f t="shared" si="18"/>
        <v>0.20222222222222541</v>
      </c>
      <c r="P120" s="10">
        <f>IFERROR(SUMIFS('Base bordo'!G$2:G$746,'Base bordo'!C$2:C$746,A120,'Base bordo'!B$2:B$746,B120),0)</f>
        <v>22.207777777777778</v>
      </c>
      <c r="Q120" s="10">
        <f>IFERROR(SUMIFS('Base bordo'!H$2:H$746,'Base bordo'!C$2:C$746,A120,'Base bordo'!B$2:B$746,B120,'Base bordo'!F$2:F$746,"DESLOCAMENTO VAZIO"),0)</f>
        <v>86336.93</v>
      </c>
      <c r="R120" s="10">
        <f>IFERROR(SUMIFS('Base bordo'!I$2:I$746,'Base bordo'!C$2:C$746,A120,'Base bordo'!B$2:B$746,B120,'Base bordo'!F$2:F$746,"DESLOCAMENTO VAZIO"),0)</f>
        <v>3275</v>
      </c>
      <c r="S120" s="30">
        <f t="shared" si="19"/>
        <v>26.362421374045798</v>
      </c>
      <c r="T120" s="10">
        <f>IFERROR(SUMIFS('Base bordo'!H$2:H$746,'Base bordo'!C$2:C$746,A120,'Base bordo'!B$2:B$746,B120,'Base bordo'!F$2:F$746,"DESLOCAMENTO CARREGADO"),0)</f>
        <v>166427.58000000002</v>
      </c>
      <c r="U120" s="10">
        <f>IFERROR(SUMIFS('Base bordo'!I$2:I$746,'Base bordo'!C$2:C$746,A120,'Base bordo'!B$2:B$746,B120,'Base bordo'!F$2:F$746,"DESLOCAMENTO CARREGADO"),0)</f>
        <v>6321</v>
      </c>
      <c r="V120" s="30">
        <f t="shared" si="20"/>
        <v>26.329311817750359</v>
      </c>
      <c r="W120" s="9">
        <f t="shared" si="21"/>
        <v>4.0964126682343519E-2</v>
      </c>
      <c r="X120" s="9">
        <f t="shared" si="22"/>
        <v>7.9063891529494168E-2</v>
      </c>
      <c r="Y120" s="9">
        <f t="shared" si="23"/>
        <v>0.87997198178816227</v>
      </c>
    </row>
    <row r="121" spans="1:25" ht="15" customHeight="1" x14ac:dyDescent="0.35">
      <c r="A121" s="52">
        <v>8013482</v>
      </c>
      <c r="B121" s="51">
        <v>46123</v>
      </c>
      <c r="C121" s="7" t="s">
        <v>124</v>
      </c>
      <c r="D121" s="10">
        <f>IFERROR(SUMIFS('Base bordo'!G$2:G$746,'Base bordo'!C$2:C$746,A121,'Base bordo'!B$2:B$746,B121,'Base bordo'!F$2:F$746,"DESLOCAMENTO VAZIO"),0)</f>
        <v>1.418611111111111</v>
      </c>
      <c r="E121" s="10">
        <f>IFERROR(SUMIFS('Base bordo'!G$2:G$746,'Base bordo'!C$2:C$746,A121,'Base bordo'!B$2:B$746,B121,'Base bordo'!F$2:F$746,"DESLOCAMENTO CARREGADO"),0)</f>
        <v>1.481111111111111</v>
      </c>
      <c r="F121" s="10">
        <f>IFERROR(SUMIFS('Base bordo'!G$2:G$746,'Base bordo'!C$2:C$746,A121,'Base bordo'!B$2:B$746,B121,'Base bordo'!F$2:F$746,"DESLOCAMENTO"),0)</f>
        <v>0</v>
      </c>
      <c r="G121" s="10">
        <f>IFERROR(SUMIFS('Base bordo'!G$2:G$746,'Base bordo'!C$2:C$746,A121,'Base bordo'!B$2:B$746,B121,'Base bordo'!F$2:F$746,"CARREGAMENTO"),0)</f>
        <v>0</v>
      </c>
      <c r="H121" s="10">
        <f>IFERROR(SUMIFS('Base bordo'!G$2:G$746,'Base bordo'!C$2:C$746,A121,'Base bordo'!B$2:B$746,B121,'Base bordo'!F$2:F$746,"AGUARDANDO TRANSBORDO"),0)</f>
        <v>0.2361111111111111</v>
      </c>
      <c r="I121" s="10">
        <f>IFERROR(SUMIFS('Base bordo'!G$2:G$746,'Base bordo'!C$2:C$746,A121,'Base bordo'!B$2:B$746,B121,'Base bordo'!F$2:F$746,"PÁTIO INTERNO"),0)+IFERROR(SUMIFS('Base bordo'!G$2:G$746,'Base bordo'!C$2:C$746,A121,'Base bordo'!B$2:B$746,B121,'Base bordo'!F$2:F$746,"PÁTIO EXTERNO"),0)+IFERROR(SUMIFS('Base bordo'!G$2:G$746,'Base bordo'!C$2:C$746,A121,'Base bordo'!B$2:B$746,B121,'Base bordo'!F$2:F$746,"PATIO - RESERVA"),0)+IFERROR(SUMIFS('Base bordo'!G$2:G$746,'Base bordo'!C$2:C$746,A121,'Base bordo'!B$2:B$746,B121,'Base bordo'!F$2:F$746,"MANOBRA CARRETAS-PATIO"),0)</f>
        <v>0</v>
      </c>
      <c r="J121" s="10">
        <f>IFERROR(SUMIFS('Base bordo'!G$2:G$746,'Base bordo'!C$2:C$746,A121,'Base bordo'!B$2:B$746,B121,'Base bordo'!F$2:F$746,"BALANÇA - ENTRADA"),0)+IFERROR(SUMIFS('Base bordo'!G$2:G$746,'Base bordo'!C$2:C$746,A121,'Base bordo'!B$2:B$746,B121,'Base bordo'!F$2:F$746,"BALANÇA - SAÍDA"),0)</f>
        <v>0</v>
      </c>
      <c r="K121" s="10">
        <f>IFERROR(SUMIFS('Base bordo'!G$2:G$746,'Base bordo'!C$2:C$746,A121,'Base bordo'!B$2:B$746,B121,'Base bordo'!F$2:F$746,"MAN PREVENTIVA - MECANICA"),0)+IFERROR(SUMIFS('Base bordo'!G$2:G$746,'Base bordo'!C$2:C$746,A121,'Base bordo'!B$2:B$746,B121,'Base bordo'!F$2:F$746,"MAN CORRETIVA - MECANICA"),0)</f>
        <v>0</v>
      </c>
      <c r="L121" s="10">
        <f>IFERROR(SUMIFS('Base bordo'!G$2:G$746,'Base bordo'!C$2:C$746,A121,'Base bordo'!B$2:B$746,B121,'Base bordo'!F$2:F$746,"MANUTENCAO - T O"),0)+IFERROR(SUMIFS('Base bordo'!G$2:G$746,'Base bordo'!C$2:C$746,A121,'Base bordo'!B$2:B$746,B121,'Base bordo'!F$2:F$746,"MANUTENCAO BORRACHARIA"),0)+IFERROR(SUMIFS('Base bordo'!G$2:G$746,'Base bordo'!C$2:C$746,A121,'Base bordo'!B$2:B$746,B121,'Base bordo'!F$2:F$746,"MANUTENCAO EXTERNA  CONCESSIONARIA"),0)+IFERROR(SUMIFS('Base bordo'!G$2:G$746,'Base bordo'!C$2:C$746,A121,'Base bordo'!B$2:B$746,B121,'Base bordo'!F$2:F$746,"MANUTENCAO TELEMETRIA"),0)</f>
        <v>0</v>
      </c>
      <c r="M121" s="10">
        <f>IFERROR(SUMIFS('Base bordo'!G$2:G$746,'Base bordo'!C$2:C$746,A121,'Base bordo'!B$2:B$746,B121,'Base bordo'!F$2:F$746,"AGUARDANDO MANUTENCAO"),0)</f>
        <v>0</v>
      </c>
      <c r="N121" s="10">
        <f>IFERROR(SUMIFS('Base bordo'!G$2:G$746,'Base bordo'!C$2:C$746,A121,'Base bordo'!B$2:B$746,B121,'Base bordo'!F$2:F$746,"SEM APONTAMENTO"),0)</f>
        <v>0</v>
      </c>
      <c r="O121" s="10">
        <f t="shared" si="18"/>
        <v>6.1111111111111782E-3</v>
      </c>
      <c r="P121" s="10">
        <f>IFERROR(SUMIFS('Base bordo'!G$2:G$746,'Base bordo'!C$2:C$746,A121,'Base bordo'!B$2:B$746,B121),0)</f>
        <v>3.1419444444444444</v>
      </c>
      <c r="Q121" s="10">
        <f>IFERROR(SUMIFS('Base bordo'!H$2:H$746,'Base bordo'!C$2:C$746,A121,'Base bordo'!B$2:B$746,B121,'Base bordo'!F$2:F$746,"DESLOCAMENTO VAZIO"),0)</f>
        <v>176641.12</v>
      </c>
      <c r="R121" s="10">
        <f>IFERROR(SUMIFS('Base bordo'!I$2:I$746,'Base bordo'!C$2:C$746,A121,'Base bordo'!B$2:B$746,B121,'Base bordo'!F$2:F$746,"DESLOCAMENTO VAZIO"),0)</f>
        <v>5107</v>
      </c>
      <c r="S121" s="30">
        <f t="shared" si="19"/>
        <v>34.588039945173293</v>
      </c>
      <c r="T121" s="10">
        <f>IFERROR(SUMIFS('Base bordo'!H$2:H$746,'Base bordo'!C$2:C$746,A121,'Base bordo'!B$2:B$746,B121,'Base bordo'!F$2:F$746,"DESLOCAMENTO CARREGADO"),0)</f>
        <v>111130.40000000001</v>
      </c>
      <c r="U121" s="10">
        <f>IFERROR(SUMIFS('Base bordo'!I$2:I$746,'Base bordo'!C$2:C$746,A121,'Base bordo'!B$2:B$746,B121,'Base bordo'!F$2:F$746,"DESLOCAMENTO CARREGADO"),0)</f>
        <v>5332</v>
      </c>
      <c r="V121" s="30">
        <f t="shared" si="20"/>
        <v>20.842160540135037</v>
      </c>
      <c r="W121" s="9">
        <f t="shared" si="21"/>
        <v>0.45150738219432407</v>
      </c>
      <c r="X121" s="9">
        <f t="shared" si="22"/>
        <v>0.47139952258863049</v>
      </c>
      <c r="Y121" s="9">
        <f t="shared" si="23"/>
        <v>7.7093095217045438E-2</v>
      </c>
    </row>
    <row r="122" spans="1:25" ht="15" customHeight="1" x14ac:dyDescent="0.35">
      <c r="A122" s="52">
        <v>8013474</v>
      </c>
      <c r="B122" s="51">
        <v>46117</v>
      </c>
      <c r="C122" s="7" t="s">
        <v>124</v>
      </c>
      <c r="D122" s="10">
        <f>IFERROR(SUMIFS('Base bordo'!G$2:G$746,'Base bordo'!C$2:C$746,A122,'Base bordo'!B$2:B$746,B122,'Base bordo'!F$2:F$746,"DESLOCAMENTO VAZIO"),0)</f>
        <v>0.8372222222222222</v>
      </c>
      <c r="E122" s="10">
        <f>IFERROR(SUMIFS('Base bordo'!G$2:G$746,'Base bordo'!C$2:C$746,A122,'Base bordo'!B$2:B$746,B122,'Base bordo'!F$2:F$746,"DESLOCAMENTO CARREGADO"),0)</f>
        <v>0</v>
      </c>
      <c r="F122" s="10">
        <f>IFERROR(SUMIFS('Base bordo'!G$2:G$746,'Base bordo'!C$2:C$746,A122,'Base bordo'!B$2:B$746,B122,'Base bordo'!F$2:F$746,"DESLOCAMENTO"),0)</f>
        <v>3.8191666666666668</v>
      </c>
      <c r="G122" s="10">
        <f>IFERROR(SUMIFS('Base bordo'!G$2:G$746,'Base bordo'!C$2:C$746,A122,'Base bordo'!B$2:B$746,B122,'Base bordo'!F$2:F$746,"CARREGAMENTO"),0)</f>
        <v>0</v>
      </c>
      <c r="H122" s="10">
        <f>IFERROR(SUMIFS('Base bordo'!G$2:G$746,'Base bordo'!C$2:C$746,A122,'Base bordo'!B$2:B$746,B122,'Base bordo'!F$2:F$746,"AGUARDANDO TRANSBORDO"),0)</f>
        <v>0.20972222222222223</v>
      </c>
      <c r="I122" s="10">
        <f>IFERROR(SUMIFS('Base bordo'!G$2:G$746,'Base bordo'!C$2:C$746,A122,'Base bordo'!B$2:B$746,B122,'Base bordo'!F$2:F$746,"PÁTIO INTERNO"),0)+IFERROR(SUMIFS('Base bordo'!G$2:G$746,'Base bordo'!C$2:C$746,A122,'Base bordo'!B$2:B$746,B122,'Base bordo'!F$2:F$746,"PÁTIO EXTERNO"),0)+IFERROR(SUMIFS('Base bordo'!G$2:G$746,'Base bordo'!C$2:C$746,A122,'Base bordo'!B$2:B$746,B122,'Base bordo'!F$2:F$746,"PATIO - RESERVA"),0)+IFERROR(SUMIFS('Base bordo'!G$2:G$746,'Base bordo'!C$2:C$746,A122,'Base bordo'!B$2:B$746,B122,'Base bordo'!F$2:F$746,"MANOBRA CARRETAS-PATIO"),0)</f>
        <v>0</v>
      </c>
      <c r="J122" s="10">
        <f>IFERROR(SUMIFS('Base bordo'!G$2:G$746,'Base bordo'!C$2:C$746,A122,'Base bordo'!B$2:B$746,B122,'Base bordo'!F$2:F$746,"BALANÇA - ENTRADA"),0)+IFERROR(SUMIFS('Base bordo'!G$2:G$746,'Base bordo'!C$2:C$746,A122,'Base bordo'!B$2:B$746,B122,'Base bordo'!F$2:F$746,"BALANÇA - SAÍDA"),0)</f>
        <v>0</v>
      </c>
      <c r="K122" s="10">
        <f>IFERROR(SUMIFS('Base bordo'!G$2:G$746,'Base bordo'!C$2:C$746,A122,'Base bordo'!B$2:B$746,B122,'Base bordo'!F$2:F$746,"MAN PREVENTIVA - MECANICA"),0)+IFERROR(SUMIFS('Base bordo'!G$2:G$746,'Base bordo'!C$2:C$746,A122,'Base bordo'!B$2:B$746,B122,'Base bordo'!F$2:F$746,"MAN CORRETIVA - MECANICA"),0)</f>
        <v>0</v>
      </c>
      <c r="L122" s="10">
        <f>IFERROR(SUMIFS('Base bordo'!G$2:G$746,'Base bordo'!C$2:C$746,A122,'Base bordo'!B$2:B$746,B122,'Base bordo'!F$2:F$746,"MANUTENCAO - T O"),0)+IFERROR(SUMIFS('Base bordo'!G$2:G$746,'Base bordo'!C$2:C$746,A122,'Base bordo'!B$2:B$746,B122,'Base bordo'!F$2:F$746,"MANUTENCAO BORRACHARIA"),0)+IFERROR(SUMIFS('Base bordo'!G$2:G$746,'Base bordo'!C$2:C$746,A122,'Base bordo'!B$2:B$746,B122,'Base bordo'!F$2:F$746,"MANUTENCAO EXTERNA  CONCESSIONARIA"),0)+IFERROR(SUMIFS('Base bordo'!G$2:G$746,'Base bordo'!C$2:C$746,A122,'Base bordo'!B$2:B$746,B122,'Base bordo'!F$2:F$746,"MANUTENCAO TELEMETRIA"),0)</f>
        <v>17.169722222222223</v>
      </c>
      <c r="M122" s="10">
        <f>IFERROR(SUMIFS('Base bordo'!G$2:G$746,'Base bordo'!C$2:C$746,A122,'Base bordo'!B$2:B$746,B122,'Base bordo'!F$2:F$746,"AGUARDANDO MANUTENCAO"),0)</f>
        <v>0</v>
      </c>
      <c r="N122" s="10">
        <f>IFERROR(SUMIFS('Base bordo'!G$2:G$746,'Base bordo'!C$2:C$746,A122,'Base bordo'!B$2:B$746,B122,'Base bordo'!F$2:F$746,"SEM APONTAMENTO"),0)</f>
        <v>0</v>
      </c>
      <c r="O122" s="10">
        <f t="shared" si="18"/>
        <v>1.9641666666666637</v>
      </c>
      <c r="P122" s="10">
        <f>IFERROR(SUMIFS('Base bordo'!G$2:G$746,'Base bordo'!C$2:C$746,A122,'Base bordo'!B$2:B$746,B122),0)</f>
        <v>24</v>
      </c>
      <c r="Q122" s="10">
        <f>IFERROR(SUMIFS('Base bordo'!H$2:H$746,'Base bordo'!C$2:C$746,A122,'Base bordo'!B$2:B$746,B122,'Base bordo'!F$2:F$746,"DESLOCAMENTO VAZIO"),0)</f>
        <v>105617.31</v>
      </c>
      <c r="R122" s="10">
        <f>IFERROR(SUMIFS('Base bordo'!I$2:I$746,'Base bordo'!C$2:C$746,A122,'Base bordo'!B$2:B$746,B122,'Base bordo'!F$2:F$746,"DESLOCAMENTO VAZIO"),0)</f>
        <v>3014</v>
      </c>
      <c r="S122" s="30">
        <f t="shared" si="19"/>
        <v>35.042239548772393</v>
      </c>
      <c r="T122" s="10">
        <f>IFERROR(SUMIFS('Base bordo'!H$2:H$746,'Base bordo'!C$2:C$746,A122,'Base bordo'!B$2:B$746,B122,'Base bordo'!F$2:F$746,"DESLOCAMENTO CARREGADO"),0)</f>
        <v>0</v>
      </c>
      <c r="U122" s="10">
        <f>IFERROR(SUMIFS('Base bordo'!I$2:I$746,'Base bordo'!C$2:C$746,A122,'Base bordo'!B$2:B$746,B122,'Base bordo'!F$2:F$746,"DESLOCAMENTO CARREGADO"),0)</f>
        <v>0</v>
      </c>
      <c r="V122" s="30" t="str">
        <f t="shared" si="20"/>
        <v/>
      </c>
      <c r="W122" s="9">
        <f t="shared" si="21"/>
        <v>3.4884259259259261E-2</v>
      </c>
      <c r="X122" s="9">
        <f t="shared" si="22"/>
        <v>0</v>
      </c>
      <c r="Y122" s="9">
        <f t="shared" si="23"/>
        <v>0.96511574074074069</v>
      </c>
    </row>
    <row r="123" spans="1:25" ht="15" customHeight="1" x14ac:dyDescent="0.35">
      <c r="A123" s="52">
        <v>8013468</v>
      </c>
      <c r="B123" s="51">
        <v>46117</v>
      </c>
      <c r="C123" s="7" t="s">
        <v>124</v>
      </c>
      <c r="D123" s="10">
        <f>IFERROR(SUMIFS('Base bordo'!G$2:G$746,'Base bordo'!C$2:C$746,A123,'Base bordo'!B$2:B$746,B123,'Base bordo'!F$2:F$746,"DESLOCAMENTO VAZIO"),0)</f>
        <v>1.7458333333333333</v>
      </c>
      <c r="E123" s="10">
        <f>IFERROR(SUMIFS('Base bordo'!G$2:G$746,'Base bordo'!C$2:C$746,A123,'Base bordo'!B$2:B$746,B123,'Base bordo'!F$2:F$746,"DESLOCAMENTO CARREGADO"),0)</f>
        <v>1.6383333333333334</v>
      </c>
      <c r="F123" s="10">
        <f>IFERROR(SUMIFS('Base bordo'!G$2:G$746,'Base bordo'!C$2:C$746,A123,'Base bordo'!B$2:B$746,B123,'Base bordo'!F$2:F$746,"DESLOCAMENTO"),0)</f>
        <v>5.6772222222222224</v>
      </c>
      <c r="G123" s="10">
        <f>IFERROR(SUMIFS('Base bordo'!G$2:G$746,'Base bordo'!C$2:C$746,A123,'Base bordo'!B$2:B$746,B123,'Base bordo'!F$2:F$746,"CARREGAMENTO"),0)</f>
        <v>1.2477777777777779</v>
      </c>
      <c r="H123" s="10">
        <f>IFERROR(SUMIFS('Base bordo'!G$2:G$746,'Base bordo'!C$2:C$746,A123,'Base bordo'!B$2:B$746,B123,'Base bordo'!F$2:F$746,"AGUARDANDO TRANSBORDO"),0)</f>
        <v>0.42</v>
      </c>
      <c r="I123" s="10">
        <f>IFERROR(SUMIFS('Base bordo'!G$2:G$746,'Base bordo'!C$2:C$746,A123,'Base bordo'!B$2:B$746,B123,'Base bordo'!F$2:F$746,"PÁTIO INTERNO"),0)+IFERROR(SUMIFS('Base bordo'!G$2:G$746,'Base bordo'!C$2:C$746,A123,'Base bordo'!B$2:B$746,B123,'Base bordo'!F$2:F$746,"PÁTIO EXTERNO"),0)+IFERROR(SUMIFS('Base bordo'!G$2:G$746,'Base bordo'!C$2:C$746,A123,'Base bordo'!B$2:B$746,B123,'Base bordo'!F$2:F$746,"PATIO - RESERVA"),0)+IFERROR(SUMIFS('Base bordo'!G$2:G$746,'Base bordo'!C$2:C$746,A123,'Base bordo'!B$2:B$746,B123,'Base bordo'!F$2:F$746,"MANOBRA CARRETAS-PATIO"),0)</f>
        <v>1.9175</v>
      </c>
      <c r="J123" s="10">
        <f>IFERROR(SUMIFS('Base bordo'!G$2:G$746,'Base bordo'!C$2:C$746,A123,'Base bordo'!B$2:B$746,B123,'Base bordo'!F$2:F$746,"BALANÇA - ENTRADA"),0)+IFERROR(SUMIFS('Base bordo'!G$2:G$746,'Base bordo'!C$2:C$746,A123,'Base bordo'!B$2:B$746,B123,'Base bordo'!F$2:F$746,"BALANÇA - SAÍDA"),0)</f>
        <v>0</v>
      </c>
      <c r="K123" s="10">
        <f>IFERROR(SUMIFS('Base bordo'!G$2:G$746,'Base bordo'!C$2:C$746,A123,'Base bordo'!B$2:B$746,B123,'Base bordo'!F$2:F$746,"MAN PREVENTIVA - MECANICA"),0)+IFERROR(SUMIFS('Base bordo'!G$2:G$746,'Base bordo'!C$2:C$746,A123,'Base bordo'!B$2:B$746,B123,'Base bordo'!F$2:F$746,"MAN CORRETIVA - MECANICA"),0)</f>
        <v>0</v>
      </c>
      <c r="L123" s="10">
        <f>IFERROR(SUMIFS('Base bordo'!G$2:G$746,'Base bordo'!C$2:C$746,A123,'Base bordo'!B$2:B$746,B123,'Base bordo'!F$2:F$746,"MANUTENCAO - T O"),0)+IFERROR(SUMIFS('Base bordo'!G$2:G$746,'Base bordo'!C$2:C$746,A123,'Base bordo'!B$2:B$746,B123,'Base bordo'!F$2:F$746,"MANUTENCAO BORRACHARIA"),0)+IFERROR(SUMIFS('Base bordo'!G$2:G$746,'Base bordo'!C$2:C$746,A123,'Base bordo'!B$2:B$746,B123,'Base bordo'!F$2:F$746,"MANUTENCAO EXTERNA  CONCESSIONARIA"),0)+IFERROR(SUMIFS('Base bordo'!G$2:G$746,'Base bordo'!C$2:C$746,A123,'Base bordo'!B$2:B$746,B123,'Base bordo'!F$2:F$746,"MANUTENCAO TELEMETRIA"),0)</f>
        <v>8.4913888888888884</v>
      </c>
      <c r="M123" s="10">
        <f>IFERROR(SUMIFS('Base bordo'!G$2:G$746,'Base bordo'!C$2:C$746,A123,'Base bordo'!B$2:B$746,B123,'Base bordo'!F$2:F$746,"AGUARDANDO MANUTENCAO"),0)</f>
        <v>0</v>
      </c>
      <c r="N123" s="10">
        <f>IFERROR(SUMIFS('Base bordo'!G$2:G$746,'Base bordo'!C$2:C$746,A123,'Base bordo'!B$2:B$746,B123,'Base bordo'!F$2:F$746,"SEM APONTAMENTO"),0)</f>
        <v>0.34805555555555556</v>
      </c>
      <c r="O123" s="10">
        <f t="shared" si="18"/>
        <v>2.5138888888888928</v>
      </c>
      <c r="P123" s="10">
        <f>IFERROR(SUMIFS('Base bordo'!G$2:G$746,'Base bordo'!C$2:C$746,A123,'Base bordo'!B$2:B$746,B123),0)</f>
        <v>24</v>
      </c>
      <c r="Q123" s="10">
        <f>IFERROR(SUMIFS('Base bordo'!H$2:H$746,'Base bordo'!C$2:C$746,A123,'Base bordo'!B$2:B$746,B123,'Base bordo'!F$2:F$746,"DESLOCAMENTO VAZIO"),0)</f>
        <v>150540.29999999999</v>
      </c>
      <c r="R123" s="10">
        <f>IFERROR(SUMIFS('Base bordo'!I$2:I$746,'Base bordo'!C$2:C$746,A123,'Base bordo'!B$2:B$746,B123,'Base bordo'!F$2:F$746,"DESLOCAMENTO VAZIO"),0)</f>
        <v>6285</v>
      </c>
      <c r="S123" s="30">
        <f t="shared" si="19"/>
        <v>23.952315035799522</v>
      </c>
      <c r="T123" s="10">
        <f>IFERROR(SUMIFS('Base bordo'!H$2:H$746,'Base bordo'!C$2:C$746,A123,'Base bordo'!B$2:B$746,B123,'Base bordo'!F$2:F$746,"DESLOCAMENTO CARREGADO"),0)</f>
        <v>183503.40999999997</v>
      </c>
      <c r="U123" s="10">
        <f>IFERROR(SUMIFS('Base bordo'!I$2:I$746,'Base bordo'!C$2:C$746,A123,'Base bordo'!B$2:B$746,B123,'Base bordo'!F$2:F$746,"DESLOCAMENTO CARREGADO"),0)</f>
        <v>5898</v>
      </c>
      <c r="V123" s="30">
        <f t="shared" si="20"/>
        <v>31.112819599864356</v>
      </c>
      <c r="W123" s="9">
        <f t="shared" si="21"/>
        <v>7.2743055555555561E-2</v>
      </c>
      <c r="X123" s="9">
        <f t="shared" si="22"/>
        <v>6.8263888888888888E-2</v>
      </c>
      <c r="Y123" s="9">
        <f t="shared" si="23"/>
        <v>0.85899305555555561</v>
      </c>
    </row>
    <row r="124" spans="1:25" ht="15" customHeight="1" x14ac:dyDescent="0.35">
      <c r="A124" s="52">
        <v>8013460</v>
      </c>
      <c r="B124" s="51">
        <v>46118</v>
      </c>
      <c r="C124" s="7" t="s">
        <v>124</v>
      </c>
      <c r="D124" s="10">
        <f>IFERROR(SUMIFS('Base bordo'!G$2:G$746,'Base bordo'!C$2:C$746,A124,'Base bordo'!B$2:B$746,B124,'Base bordo'!F$2:F$746,"DESLOCAMENTO VAZIO"),0)</f>
        <v>1.5016666666666667</v>
      </c>
      <c r="E124" s="10">
        <f>IFERROR(SUMIFS('Base bordo'!G$2:G$746,'Base bordo'!C$2:C$746,A124,'Base bordo'!B$2:B$746,B124,'Base bordo'!F$2:F$746,"DESLOCAMENTO CARREGADO"),0)</f>
        <v>1.5738888888888889</v>
      </c>
      <c r="F124" s="10">
        <f>IFERROR(SUMIFS('Base bordo'!G$2:G$746,'Base bordo'!C$2:C$746,A124,'Base bordo'!B$2:B$746,B124,'Base bordo'!F$2:F$746,"DESLOCAMENTO"),0)</f>
        <v>0.6744444444444444</v>
      </c>
      <c r="G124" s="10">
        <f>IFERROR(SUMIFS('Base bordo'!G$2:G$746,'Base bordo'!C$2:C$746,A124,'Base bordo'!B$2:B$746,B124,'Base bordo'!F$2:F$746,"CARREGAMENTO"),0)</f>
        <v>1.0088888888888889</v>
      </c>
      <c r="H124" s="10">
        <f>IFERROR(SUMIFS('Base bordo'!G$2:G$746,'Base bordo'!C$2:C$746,A124,'Base bordo'!B$2:B$746,B124,'Base bordo'!F$2:F$746,"AGUARDANDO TRANSBORDO"),0)</f>
        <v>8.4444444444444447E-2</v>
      </c>
      <c r="I124" s="10">
        <f>IFERROR(SUMIFS('Base bordo'!G$2:G$746,'Base bordo'!C$2:C$746,A124,'Base bordo'!B$2:B$746,B124,'Base bordo'!F$2:F$746,"PÁTIO INTERNO"),0)+IFERROR(SUMIFS('Base bordo'!G$2:G$746,'Base bordo'!C$2:C$746,A124,'Base bordo'!B$2:B$746,B124,'Base bordo'!F$2:F$746,"PÁTIO EXTERNO"),0)+IFERROR(SUMIFS('Base bordo'!G$2:G$746,'Base bordo'!C$2:C$746,A124,'Base bordo'!B$2:B$746,B124,'Base bordo'!F$2:F$746,"PATIO - RESERVA"),0)+IFERROR(SUMIFS('Base bordo'!G$2:G$746,'Base bordo'!C$2:C$746,A124,'Base bordo'!B$2:B$746,B124,'Base bordo'!F$2:F$746,"MANOBRA CARRETAS-PATIO"),0)</f>
        <v>16.206388888888888</v>
      </c>
      <c r="J124" s="10">
        <f>IFERROR(SUMIFS('Base bordo'!G$2:G$746,'Base bordo'!C$2:C$746,A124,'Base bordo'!B$2:B$746,B124,'Base bordo'!F$2:F$746,"BALANÇA - ENTRADA"),0)+IFERROR(SUMIFS('Base bordo'!G$2:G$746,'Base bordo'!C$2:C$746,A124,'Base bordo'!B$2:B$746,B124,'Base bordo'!F$2:F$746,"BALANÇA - SAÍDA"),0)</f>
        <v>0.24055555555555555</v>
      </c>
      <c r="K124" s="10">
        <f>IFERROR(SUMIFS('Base bordo'!G$2:G$746,'Base bordo'!C$2:C$746,A124,'Base bordo'!B$2:B$746,B124,'Base bordo'!F$2:F$746,"MAN PREVENTIVA - MECANICA"),0)+IFERROR(SUMIFS('Base bordo'!G$2:G$746,'Base bordo'!C$2:C$746,A124,'Base bordo'!B$2:B$746,B124,'Base bordo'!F$2:F$746,"MAN CORRETIVA - MECANICA"),0)</f>
        <v>0</v>
      </c>
      <c r="L124" s="10">
        <f>IFERROR(SUMIFS('Base bordo'!G$2:G$746,'Base bordo'!C$2:C$746,A124,'Base bordo'!B$2:B$746,B124,'Base bordo'!F$2:F$746,"MANUTENCAO - T O"),0)+IFERROR(SUMIFS('Base bordo'!G$2:G$746,'Base bordo'!C$2:C$746,A124,'Base bordo'!B$2:B$746,B124,'Base bordo'!F$2:F$746,"MANUTENCAO BORRACHARIA"),0)+IFERROR(SUMIFS('Base bordo'!G$2:G$746,'Base bordo'!C$2:C$746,A124,'Base bordo'!B$2:B$746,B124,'Base bordo'!F$2:F$746,"MANUTENCAO EXTERNA  CONCESSIONARIA"),0)+IFERROR(SUMIFS('Base bordo'!G$2:G$746,'Base bordo'!C$2:C$746,A124,'Base bordo'!B$2:B$746,B124,'Base bordo'!F$2:F$746,"MANUTENCAO TELEMETRIA"),0)</f>
        <v>0.9719444444444445</v>
      </c>
      <c r="M124" s="10">
        <f>IFERROR(SUMIFS('Base bordo'!G$2:G$746,'Base bordo'!C$2:C$746,A124,'Base bordo'!B$2:B$746,B124,'Base bordo'!F$2:F$746,"AGUARDANDO MANUTENCAO"),0)</f>
        <v>0</v>
      </c>
      <c r="N124" s="10">
        <f>IFERROR(SUMIFS('Base bordo'!G$2:G$746,'Base bordo'!C$2:C$746,A124,'Base bordo'!B$2:B$746,B124,'Base bordo'!F$2:F$746,"SEM APONTAMENTO"),0)</f>
        <v>0.83916666666666662</v>
      </c>
      <c r="O124" s="10">
        <f t="shared" si="18"/>
        <v>0.89861111111111569</v>
      </c>
      <c r="P124" s="10">
        <f>IFERROR(SUMIFS('Base bordo'!G$2:G$746,'Base bordo'!C$2:C$746,A124,'Base bordo'!B$2:B$746,B124),0)</f>
        <v>24.000000000000004</v>
      </c>
      <c r="Q124" s="10">
        <f>IFERROR(SUMIFS('Base bordo'!H$2:H$746,'Base bordo'!C$2:C$746,A124,'Base bordo'!B$2:B$746,B124,'Base bordo'!F$2:F$746,"DESLOCAMENTO VAZIO"),0)</f>
        <v>102676.29</v>
      </c>
      <c r="R124" s="10">
        <f>IFERROR(SUMIFS('Base bordo'!I$2:I$746,'Base bordo'!C$2:C$746,A124,'Base bordo'!B$2:B$746,B124,'Base bordo'!F$2:F$746,"DESLOCAMENTO VAZIO"),0)</f>
        <v>5406</v>
      </c>
      <c r="S124" s="30">
        <f t="shared" si="19"/>
        <v>18.993024417314093</v>
      </c>
      <c r="T124" s="10">
        <f>IFERROR(SUMIFS('Base bordo'!H$2:H$746,'Base bordo'!C$2:C$746,A124,'Base bordo'!B$2:B$746,B124,'Base bordo'!F$2:F$746,"DESLOCAMENTO CARREGADO"),0)</f>
        <v>136256.08000000002</v>
      </c>
      <c r="U124" s="10">
        <f>IFERROR(SUMIFS('Base bordo'!I$2:I$746,'Base bordo'!C$2:C$746,A124,'Base bordo'!B$2:B$746,B124,'Base bordo'!F$2:F$746,"DESLOCAMENTO CARREGADO"),0)</f>
        <v>5660</v>
      </c>
      <c r="V124" s="30">
        <f t="shared" si="20"/>
        <v>24.073512367491169</v>
      </c>
      <c r="W124" s="9">
        <f t="shared" si="21"/>
        <v>6.2569444444444441E-2</v>
      </c>
      <c r="X124" s="9">
        <f t="shared" si="22"/>
        <v>6.5578703703703695E-2</v>
      </c>
      <c r="Y124" s="9">
        <f t="shared" si="23"/>
        <v>0.87185185185185188</v>
      </c>
    </row>
    <row r="125" spans="1:25" ht="15" customHeight="1" x14ac:dyDescent="0.35">
      <c r="A125" s="52">
        <v>8013462</v>
      </c>
      <c r="B125" s="51">
        <v>46119</v>
      </c>
      <c r="C125" s="7" t="s">
        <v>124</v>
      </c>
      <c r="D125" s="10">
        <f>IFERROR(SUMIFS('Base bordo'!G$2:G$746,'Base bordo'!C$2:C$746,A125,'Base bordo'!B$2:B$746,B125,'Base bordo'!F$2:F$746,"DESLOCAMENTO VAZIO"),0)</f>
        <v>0.22444444444444445</v>
      </c>
      <c r="E125" s="10">
        <f>IFERROR(SUMIFS('Base bordo'!G$2:G$746,'Base bordo'!C$2:C$746,A125,'Base bordo'!B$2:B$746,B125,'Base bordo'!F$2:F$746,"DESLOCAMENTO CARREGADO"),0)</f>
        <v>1.1399999999999999</v>
      </c>
      <c r="F125" s="10">
        <f>IFERROR(SUMIFS('Base bordo'!G$2:G$746,'Base bordo'!C$2:C$746,A125,'Base bordo'!B$2:B$746,B125,'Base bordo'!F$2:F$746,"DESLOCAMENTO"),0)</f>
        <v>0</v>
      </c>
      <c r="G125" s="10">
        <f>IFERROR(SUMIFS('Base bordo'!G$2:G$746,'Base bordo'!C$2:C$746,A125,'Base bordo'!B$2:B$746,B125,'Base bordo'!F$2:F$746,"CARREGAMENTO"),0)</f>
        <v>0</v>
      </c>
      <c r="H125" s="10">
        <f>IFERROR(SUMIFS('Base bordo'!G$2:G$746,'Base bordo'!C$2:C$746,A125,'Base bordo'!B$2:B$746,B125,'Base bordo'!F$2:F$746,"AGUARDANDO TRANSBORDO"),0)</f>
        <v>0</v>
      </c>
      <c r="I125" s="10">
        <f>IFERROR(SUMIFS('Base bordo'!G$2:G$746,'Base bordo'!C$2:C$746,A125,'Base bordo'!B$2:B$746,B125,'Base bordo'!F$2:F$746,"PÁTIO INTERNO"),0)+IFERROR(SUMIFS('Base bordo'!G$2:G$746,'Base bordo'!C$2:C$746,A125,'Base bordo'!B$2:B$746,B125,'Base bordo'!F$2:F$746,"PÁTIO EXTERNO"),0)+IFERROR(SUMIFS('Base bordo'!G$2:G$746,'Base bordo'!C$2:C$746,A125,'Base bordo'!B$2:B$746,B125,'Base bordo'!F$2:F$746,"PATIO - RESERVA"),0)+IFERROR(SUMIFS('Base bordo'!G$2:G$746,'Base bordo'!C$2:C$746,A125,'Base bordo'!B$2:B$746,B125,'Base bordo'!F$2:F$746,"MANOBRA CARRETAS-PATIO"),0)</f>
        <v>19.001944444444444</v>
      </c>
      <c r="J125" s="10">
        <f>IFERROR(SUMIFS('Base bordo'!G$2:G$746,'Base bordo'!C$2:C$746,A125,'Base bordo'!B$2:B$746,B125,'Base bordo'!F$2:F$746,"BALANÇA - ENTRADA"),0)+IFERROR(SUMIFS('Base bordo'!G$2:G$746,'Base bordo'!C$2:C$746,A125,'Base bordo'!B$2:B$746,B125,'Base bordo'!F$2:F$746,"BALANÇA - SAÍDA"),0)</f>
        <v>4.9444444444444444E-2</v>
      </c>
      <c r="K125" s="10">
        <f>IFERROR(SUMIFS('Base bordo'!G$2:G$746,'Base bordo'!C$2:C$746,A125,'Base bordo'!B$2:B$746,B125,'Base bordo'!F$2:F$746,"MAN PREVENTIVA - MECANICA"),0)+IFERROR(SUMIFS('Base bordo'!G$2:G$746,'Base bordo'!C$2:C$746,A125,'Base bordo'!B$2:B$746,B125,'Base bordo'!F$2:F$746,"MAN CORRETIVA - MECANICA"),0)</f>
        <v>0</v>
      </c>
      <c r="L125" s="10">
        <f>IFERROR(SUMIFS('Base bordo'!G$2:G$746,'Base bordo'!C$2:C$746,A125,'Base bordo'!B$2:B$746,B125,'Base bordo'!F$2:F$746,"MANUTENCAO - T O"),0)+IFERROR(SUMIFS('Base bordo'!G$2:G$746,'Base bordo'!C$2:C$746,A125,'Base bordo'!B$2:B$746,B125,'Base bordo'!F$2:F$746,"MANUTENCAO BORRACHARIA"),0)+IFERROR(SUMIFS('Base bordo'!G$2:G$746,'Base bordo'!C$2:C$746,A125,'Base bordo'!B$2:B$746,B125,'Base bordo'!F$2:F$746,"MANUTENCAO EXTERNA  CONCESSIONARIA"),0)+IFERROR(SUMIFS('Base bordo'!G$2:G$746,'Base bordo'!C$2:C$746,A125,'Base bordo'!B$2:B$746,B125,'Base bordo'!F$2:F$746,"MANUTENCAO TELEMETRIA"),0)</f>
        <v>0</v>
      </c>
      <c r="M125" s="10">
        <f>IFERROR(SUMIFS('Base bordo'!G$2:G$746,'Base bordo'!C$2:C$746,A125,'Base bordo'!B$2:B$746,B125,'Base bordo'!F$2:F$746,"AGUARDANDO MANUTENCAO"),0)</f>
        <v>0</v>
      </c>
      <c r="N125" s="10">
        <f>IFERROR(SUMIFS('Base bordo'!G$2:G$746,'Base bordo'!C$2:C$746,A125,'Base bordo'!B$2:B$746,B125,'Base bordo'!F$2:F$746,"SEM APONTAMENTO"),0)</f>
        <v>0</v>
      </c>
      <c r="O125" s="10">
        <f t="shared" si="18"/>
        <v>0</v>
      </c>
      <c r="P125" s="10">
        <f>IFERROR(SUMIFS('Base bordo'!G$2:G$746,'Base bordo'!C$2:C$746,A125,'Base bordo'!B$2:B$746,B125),0)</f>
        <v>20.415833333333332</v>
      </c>
      <c r="Q125" s="10">
        <f>IFERROR(SUMIFS('Base bordo'!H$2:H$746,'Base bordo'!C$2:C$746,A125,'Base bordo'!B$2:B$746,B125,'Base bordo'!F$2:F$746,"DESLOCAMENTO VAZIO"),0)</f>
        <v>12426.57</v>
      </c>
      <c r="R125" s="10">
        <f>IFERROR(SUMIFS('Base bordo'!I$2:I$746,'Base bordo'!C$2:C$746,A125,'Base bordo'!B$2:B$746,B125,'Base bordo'!F$2:F$746,"DESLOCAMENTO VAZIO"),0)</f>
        <v>808</v>
      </c>
      <c r="S125" s="30">
        <f t="shared" si="19"/>
        <v>15.379418316831682</v>
      </c>
      <c r="T125" s="10">
        <f>IFERROR(SUMIFS('Base bordo'!H$2:H$746,'Base bordo'!C$2:C$746,A125,'Base bordo'!B$2:B$746,B125,'Base bordo'!F$2:F$746,"DESLOCAMENTO CARREGADO"),0)</f>
        <v>100320.48</v>
      </c>
      <c r="U125" s="10">
        <f>IFERROR(SUMIFS('Base bordo'!I$2:I$746,'Base bordo'!C$2:C$746,A125,'Base bordo'!B$2:B$746,B125,'Base bordo'!F$2:F$746,"DESLOCAMENTO CARREGADO"),0)</f>
        <v>4104</v>
      </c>
      <c r="V125" s="30">
        <f t="shared" si="20"/>
        <v>24.444561403508771</v>
      </c>
      <c r="W125" s="9">
        <f t="shared" si="21"/>
        <v>1.0993645999156429E-2</v>
      </c>
      <c r="X125" s="9">
        <f t="shared" si="22"/>
        <v>5.583901383729948E-2</v>
      </c>
      <c r="Y125" s="9">
        <f t="shared" si="23"/>
        <v>0.93316734016354408</v>
      </c>
    </row>
    <row r="126" spans="1:25" ht="15" customHeight="1" x14ac:dyDescent="0.35">
      <c r="A126" s="52">
        <v>8013462</v>
      </c>
      <c r="B126" s="51">
        <v>46117</v>
      </c>
      <c r="C126" s="7" t="s">
        <v>124</v>
      </c>
      <c r="D126" s="10">
        <f>IFERROR(SUMIFS('Base bordo'!G$2:G$746,'Base bordo'!C$2:C$746,A126,'Base bordo'!B$2:B$746,B126,'Base bordo'!F$2:F$746,"DESLOCAMENTO VAZIO"),0)</f>
        <v>1.3697222222222223</v>
      </c>
      <c r="E126" s="10">
        <f>IFERROR(SUMIFS('Base bordo'!G$2:G$746,'Base bordo'!C$2:C$746,A126,'Base bordo'!B$2:B$746,B126,'Base bordo'!F$2:F$746,"DESLOCAMENTO CARREGADO"),0)</f>
        <v>1.7716666666666667</v>
      </c>
      <c r="F126" s="10">
        <f>IFERROR(SUMIFS('Base bordo'!G$2:G$746,'Base bordo'!C$2:C$746,A126,'Base bordo'!B$2:B$746,B126,'Base bordo'!F$2:F$746,"DESLOCAMENTO"),0)</f>
        <v>1.0772222222222223</v>
      </c>
      <c r="G126" s="10">
        <f>IFERROR(SUMIFS('Base bordo'!G$2:G$746,'Base bordo'!C$2:C$746,A126,'Base bordo'!B$2:B$746,B126,'Base bordo'!F$2:F$746,"CARREGAMENTO"),0)</f>
        <v>0.32777777777777778</v>
      </c>
      <c r="H126" s="10">
        <f>IFERROR(SUMIFS('Base bordo'!G$2:G$746,'Base bordo'!C$2:C$746,A126,'Base bordo'!B$2:B$746,B126,'Base bordo'!F$2:F$746,"AGUARDANDO TRANSBORDO"),0)</f>
        <v>0.98277777777777775</v>
      </c>
      <c r="I126" s="10">
        <f>IFERROR(SUMIFS('Base bordo'!G$2:G$746,'Base bordo'!C$2:C$746,A126,'Base bordo'!B$2:B$746,B126,'Base bordo'!F$2:F$746,"PÁTIO INTERNO"),0)+IFERROR(SUMIFS('Base bordo'!G$2:G$746,'Base bordo'!C$2:C$746,A126,'Base bordo'!B$2:B$746,B126,'Base bordo'!F$2:F$746,"PÁTIO EXTERNO"),0)+IFERROR(SUMIFS('Base bordo'!G$2:G$746,'Base bordo'!C$2:C$746,A126,'Base bordo'!B$2:B$746,B126,'Base bordo'!F$2:F$746,"PATIO - RESERVA"),0)+IFERROR(SUMIFS('Base bordo'!G$2:G$746,'Base bordo'!C$2:C$746,A126,'Base bordo'!B$2:B$746,B126,'Base bordo'!F$2:F$746,"MANOBRA CARRETAS-PATIO"),0)</f>
        <v>0</v>
      </c>
      <c r="J126" s="10">
        <f>IFERROR(SUMIFS('Base bordo'!G$2:G$746,'Base bordo'!C$2:C$746,A126,'Base bordo'!B$2:B$746,B126,'Base bordo'!F$2:F$746,"BALANÇA - ENTRADA"),0)+IFERROR(SUMIFS('Base bordo'!G$2:G$746,'Base bordo'!C$2:C$746,A126,'Base bordo'!B$2:B$746,B126,'Base bordo'!F$2:F$746,"BALANÇA - SAÍDA"),0)</f>
        <v>0</v>
      </c>
      <c r="K126" s="10">
        <f>IFERROR(SUMIFS('Base bordo'!G$2:G$746,'Base bordo'!C$2:C$746,A126,'Base bordo'!B$2:B$746,B126,'Base bordo'!F$2:F$746,"MAN PREVENTIVA - MECANICA"),0)+IFERROR(SUMIFS('Base bordo'!G$2:G$746,'Base bordo'!C$2:C$746,A126,'Base bordo'!B$2:B$746,B126,'Base bordo'!F$2:F$746,"MAN CORRETIVA - MECANICA"),0)</f>
        <v>4.6944444444444441E-2</v>
      </c>
      <c r="L126" s="10">
        <f>IFERROR(SUMIFS('Base bordo'!G$2:G$746,'Base bordo'!C$2:C$746,A126,'Base bordo'!B$2:B$746,B126,'Base bordo'!F$2:F$746,"MANUTENCAO - T O"),0)+IFERROR(SUMIFS('Base bordo'!G$2:G$746,'Base bordo'!C$2:C$746,A126,'Base bordo'!B$2:B$746,B126,'Base bordo'!F$2:F$746,"MANUTENCAO BORRACHARIA"),0)+IFERROR(SUMIFS('Base bordo'!G$2:G$746,'Base bordo'!C$2:C$746,A126,'Base bordo'!B$2:B$746,B126,'Base bordo'!F$2:F$746,"MANUTENCAO EXTERNA  CONCESSIONARIA"),0)+IFERROR(SUMIFS('Base bordo'!G$2:G$746,'Base bordo'!C$2:C$746,A126,'Base bordo'!B$2:B$746,B126,'Base bordo'!F$2:F$746,"MANUTENCAO TELEMETRIA"),0)</f>
        <v>4.0702777777777781</v>
      </c>
      <c r="M126" s="10">
        <f>IFERROR(SUMIFS('Base bordo'!G$2:G$746,'Base bordo'!C$2:C$746,A126,'Base bordo'!B$2:B$746,B126,'Base bordo'!F$2:F$746,"AGUARDANDO MANUTENCAO"),0)</f>
        <v>0</v>
      </c>
      <c r="N126" s="10">
        <f>IFERROR(SUMIFS('Base bordo'!G$2:G$746,'Base bordo'!C$2:C$746,A126,'Base bordo'!B$2:B$746,B126,'Base bordo'!F$2:F$746,"SEM APONTAMENTO"),0)</f>
        <v>0</v>
      </c>
      <c r="O126" s="10">
        <f t="shared" si="18"/>
        <v>2.6524999999999981</v>
      </c>
      <c r="P126" s="10">
        <f>IFERROR(SUMIFS('Base bordo'!G$2:G$746,'Base bordo'!C$2:C$746,A126,'Base bordo'!B$2:B$746,B126),0)</f>
        <v>12.298888888888888</v>
      </c>
      <c r="Q126" s="10">
        <f>IFERROR(SUMIFS('Base bordo'!H$2:H$746,'Base bordo'!C$2:C$746,A126,'Base bordo'!B$2:B$746,B126,'Base bordo'!F$2:F$746,"DESLOCAMENTO VAZIO"),0)</f>
        <v>96755.57</v>
      </c>
      <c r="R126" s="10">
        <f>IFERROR(SUMIFS('Base bordo'!I$2:I$746,'Base bordo'!C$2:C$746,A126,'Base bordo'!B$2:B$746,B126,'Base bordo'!F$2:F$746,"DESLOCAMENTO VAZIO"),0)</f>
        <v>4931</v>
      </c>
      <c r="S126" s="30">
        <f t="shared" si="19"/>
        <v>19.621896167106065</v>
      </c>
      <c r="T126" s="10">
        <f>IFERROR(SUMIFS('Base bordo'!H$2:H$746,'Base bordo'!C$2:C$746,A126,'Base bordo'!B$2:B$746,B126,'Base bordo'!F$2:F$746,"DESLOCAMENTO CARREGADO"),0)</f>
        <v>170850.02000000002</v>
      </c>
      <c r="U126" s="10">
        <f>IFERROR(SUMIFS('Base bordo'!I$2:I$746,'Base bordo'!C$2:C$746,A126,'Base bordo'!B$2:B$746,B126,'Base bordo'!F$2:F$746,"DESLOCAMENTO CARREGADO"),0)</f>
        <v>6378</v>
      </c>
      <c r="V126" s="30">
        <f t="shared" si="20"/>
        <v>26.787397303229856</v>
      </c>
      <c r="W126" s="9">
        <f t="shared" si="21"/>
        <v>0.1113695907489385</v>
      </c>
      <c r="X126" s="9">
        <f t="shared" si="22"/>
        <v>0.14405095311229563</v>
      </c>
      <c r="Y126" s="9">
        <f t="shared" si="23"/>
        <v>0.74457945613876597</v>
      </c>
    </row>
    <row r="127" spans="1:25" ht="15" customHeight="1" x14ac:dyDescent="0.35">
      <c r="A127" s="52">
        <v>8013470</v>
      </c>
      <c r="B127" s="51">
        <v>46119</v>
      </c>
      <c r="C127" s="7" t="s">
        <v>124</v>
      </c>
      <c r="D127" s="10">
        <f>IFERROR(SUMIFS('Base bordo'!G$2:G$746,'Base bordo'!C$2:C$746,A127,'Base bordo'!B$2:B$746,B127,'Base bordo'!F$2:F$746,"DESLOCAMENTO VAZIO"),0)</f>
        <v>1.5986111111111112</v>
      </c>
      <c r="E127" s="10">
        <f>IFERROR(SUMIFS('Base bordo'!G$2:G$746,'Base bordo'!C$2:C$746,A127,'Base bordo'!B$2:B$746,B127,'Base bordo'!F$2:F$746,"DESLOCAMENTO CARREGADO"),0)</f>
        <v>1.4394444444444445</v>
      </c>
      <c r="F127" s="10">
        <f>IFERROR(SUMIFS('Base bordo'!G$2:G$746,'Base bordo'!C$2:C$746,A127,'Base bordo'!B$2:B$746,B127,'Base bordo'!F$2:F$746,"DESLOCAMENTO"),0)</f>
        <v>0</v>
      </c>
      <c r="G127" s="10">
        <f>IFERROR(SUMIFS('Base bordo'!G$2:G$746,'Base bordo'!C$2:C$746,A127,'Base bordo'!B$2:B$746,B127,'Base bordo'!F$2:F$746,"CARREGAMENTO"),0)</f>
        <v>0</v>
      </c>
      <c r="H127" s="10">
        <f>IFERROR(SUMIFS('Base bordo'!G$2:G$746,'Base bordo'!C$2:C$746,A127,'Base bordo'!B$2:B$746,B127,'Base bordo'!F$2:F$746,"AGUARDANDO TRANSBORDO"),0)</f>
        <v>0</v>
      </c>
      <c r="I127" s="10">
        <f>IFERROR(SUMIFS('Base bordo'!G$2:G$746,'Base bordo'!C$2:C$746,A127,'Base bordo'!B$2:B$746,B127,'Base bordo'!F$2:F$746,"PÁTIO INTERNO"),0)+IFERROR(SUMIFS('Base bordo'!G$2:G$746,'Base bordo'!C$2:C$746,A127,'Base bordo'!B$2:B$746,B127,'Base bordo'!F$2:F$746,"PÁTIO EXTERNO"),0)+IFERROR(SUMIFS('Base bordo'!G$2:G$746,'Base bordo'!C$2:C$746,A127,'Base bordo'!B$2:B$746,B127,'Base bordo'!F$2:F$746,"PATIO - RESERVA"),0)+IFERROR(SUMIFS('Base bordo'!G$2:G$746,'Base bordo'!C$2:C$746,A127,'Base bordo'!B$2:B$746,B127,'Base bordo'!F$2:F$746,"MANOBRA CARRETAS-PATIO"),0)</f>
        <v>9.555555555555556E-2</v>
      </c>
      <c r="J127" s="10">
        <f>IFERROR(SUMIFS('Base bordo'!G$2:G$746,'Base bordo'!C$2:C$746,A127,'Base bordo'!B$2:B$746,B127,'Base bordo'!F$2:F$746,"BALANÇA - ENTRADA"),0)+IFERROR(SUMIFS('Base bordo'!G$2:G$746,'Base bordo'!C$2:C$746,A127,'Base bordo'!B$2:B$746,B127,'Base bordo'!F$2:F$746,"BALANÇA - SAÍDA"),0)</f>
        <v>1.2222222222222223E-2</v>
      </c>
      <c r="K127" s="10">
        <f>IFERROR(SUMIFS('Base bordo'!G$2:G$746,'Base bordo'!C$2:C$746,A127,'Base bordo'!B$2:B$746,B127,'Base bordo'!F$2:F$746,"MAN PREVENTIVA - MECANICA"),0)+IFERROR(SUMIFS('Base bordo'!G$2:G$746,'Base bordo'!C$2:C$746,A127,'Base bordo'!B$2:B$746,B127,'Base bordo'!F$2:F$746,"MAN CORRETIVA - MECANICA"),0)</f>
        <v>0</v>
      </c>
      <c r="L127" s="10">
        <f>IFERROR(SUMIFS('Base bordo'!G$2:G$746,'Base bordo'!C$2:C$746,A127,'Base bordo'!B$2:B$746,B127,'Base bordo'!F$2:F$746,"MANUTENCAO - T O"),0)+IFERROR(SUMIFS('Base bordo'!G$2:G$746,'Base bordo'!C$2:C$746,A127,'Base bordo'!B$2:B$746,B127,'Base bordo'!F$2:F$746,"MANUTENCAO BORRACHARIA"),0)+IFERROR(SUMIFS('Base bordo'!G$2:G$746,'Base bordo'!C$2:C$746,A127,'Base bordo'!B$2:B$746,B127,'Base bordo'!F$2:F$746,"MANUTENCAO EXTERNA  CONCESSIONARIA"),0)+IFERROR(SUMIFS('Base bordo'!G$2:G$746,'Base bordo'!C$2:C$746,A127,'Base bordo'!B$2:B$746,B127,'Base bordo'!F$2:F$746,"MANUTENCAO TELEMETRIA"),0)</f>
        <v>0</v>
      </c>
      <c r="M127" s="10">
        <f>IFERROR(SUMIFS('Base bordo'!G$2:G$746,'Base bordo'!C$2:C$746,A127,'Base bordo'!B$2:B$746,B127,'Base bordo'!F$2:F$746,"AGUARDANDO MANUTENCAO"),0)</f>
        <v>0</v>
      </c>
      <c r="N127" s="10">
        <f>IFERROR(SUMIFS('Base bordo'!G$2:G$746,'Base bordo'!C$2:C$746,A127,'Base bordo'!B$2:B$746,B127,'Base bordo'!F$2:F$746,"SEM APONTAMENTO"),0)</f>
        <v>0</v>
      </c>
      <c r="O127" s="10">
        <f t="shared" si="18"/>
        <v>0</v>
      </c>
      <c r="P127" s="10">
        <f>IFERROR(SUMIFS('Base bordo'!G$2:G$746,'Base bordo'!C$2:C$746,A127,'Base bordo'!B$2:B$746,B127),0)</f>
        <v>3.1458333333333335</v>
      </c>
      <c r="Q127" s="10">
        <f>IFERROR(SUMIFS('Base bordo'!H$2:H$746,'Base bordo'!C$2:C$746,A127,'Base bordo'!B$2:B$746,B127,'Base bordo'!F$2:F$746,"DESLOCAMENTO VAZIO"),0)</f>
        <v>177776.33999999997</v>
      </c>
      <c r="R127" s="10">
        <f>IFERROR(SUMIFS('Base bordo'!I$2:I$746,'Base bordo'!C$2:C$746,A127,'Base bordo'!B$2:B$746,B127,'Base bordo'!F$2:F$746,"DESLOCAMENTO VAZIO"),0)</f>
        <v>5755</v>
      </c>
      <c r="S127" s="30">
        <f t="shared" si="19"/>
        <v>30.890762814943521</v>
      </c>
      <c r="T127" s="10">
        <f>IFERROR(SUMIFS('Base bordo'!H$2:H$746,'Base bordo'!C$2:C$746,A127,'Base bordo'!B$2:B$746,B127,'Base bordo'!F$2:F$746,"DESLOCAMENTO CARREGADO"),0)</f>
        <v>96305.44</v>
      </c>
      <c r="U127" s="10">
        <f>IFERROR(SUMIFS('Base bordo'!I$2:I$746,'Base bordo'!C$2:C$746,A127,'Base bordo'!B$2:B$746,B127,'Base bordo'!F$2:F$746,"DESLOCAMENTO CARREGADO"),0)</f>
        <v>5182</v>
      </c>
      <c r="V127" s="30">
        <f t="shared" si="20"/>
        <v>18.584608259359321</v>
      </c>
      <c r="W127" s="9">
        <f t="shared" si="21"/>
        <v>0.50816777041942607</v>
      </c>
      <c r="X127" s="9">
        <f t="shared" si="22"/>
        <v>0.45757174392935984</v>
      </c>
      <c r="Y127" s="9">
        <f t="shared" si="23"/>
        <v>3.426048565121409E-2</v>
      </c>
    </row>
    <row r="128" spans="1:25" ht="15" customHeight="1" x14ac:dyDescent="0.35">
      <c r="A128" s="52">
        <v>8013469</v>
      </c>
      <c r="B128" s="51">
        <v>46118</v>
      </c>
      <c r="C128" s="7" t="s">
        <v>124</v>
      </c>
      <c r="D128" s="10">
        <f>IFERROR(SUMIFS('Base bordo'!G$2:G$746,'Base bordo'!C$2:C$746,A128,'Base bordo'!B$2:B$746,B128,'Base bordo'!F$2:F$746,"DESLOCAMENTO VAZIO"),0)</f>
        <v>2.1594444444444445</v>
      </c>
      <c r="E128" s="10">
        <f>IFERROR(SUMIFS('Base bordo'!G$2:G$746,'Base bordo'!C$2:C$746,A128,'Base bordo'!B$2:B$746,B128,'Base bordo'!F$2:F$746,"DESLOCAMENTO CARREGADO"),0)</f>
        <v>2.4455555555555555</v>
      </c>
      <c r="F128" s="10">
        <f>IFERROR(SUMIFS('Base bordo'!G$2:G$746,'Base bordo'!C$2:C$746,A128,'Base bordo'!B$2:B$746,B128,'Base bordo'!F$2:F$746,"DESLOCAMENTO"),0)</f>
        <v>0.63083333333333336</v>
      </c>
      <c r="G128" s="10">
        <f>IFERROR(SUMIFS('Base bordo'!G$2:G$746,'Base bordo'!C$2:C$746,A128,'Base bordo'!B$2:B$746,B128,'Base bordo'!F$2:F$746,"CARREGAMENTO"),0)</f>
        <v>0.96722222222222221</v>
      </c>
      <c r="H128" s="10">
        <f>IFERROR(SUMIFS('Base bordo'!G$2:G$746,'Base bordo'!C$2:C$746,A128,'Base bordo'!B$2:B$746,B128,'Base bordo'!F$2:F$746,"AGUARDANDO TRANSBORDO"),0)</f>
        <v>0.91111111111111109</v>
      </c>
      <c r="I128" s="10">
        <f>IFERROR(SUMIFS('Base bordo'!G$2:G$746,'Base bordo'!C$2:C$746,A128,'Base bordo'!B$2:B$746,B128,'Base bordo'!F$2:F$746,"PÁTIO INTERNO"),0)+IFERROR(SUMIFS('Base bordo'!G$2:G$746,'Base bordo'!C$2:C$746,A128,'Base bordo'!B$2:B$746,B128,'Base bordo'!F$2:F$746,"PÁTIO EXTERNO"),0)+IFERROR(SUMIFS('Base bordo'!G$2:G$746,'Base bordo'!C$2:C$746,A128,'Base bordo'!B$2:B$746,B128,'Base bordo'!F$2:F$746,"PATIO - RESERVA"),0)+IFERROR(SUMIFS('Base bordo'!G$2:G$746,'Base bordo'!C$2:C$746,A128,'Base bordo'!B$2:B$746,B128,'Base bordo'!F$2:F$746,"MANOBRA CARRETAS-PATIO"),0)</f>
        <v>6.1047222222222217</v>
      </c>
      <c r="J128" s="10">
        <f>IFERROR(SUMIFS('Base bordo'!G$2:G$746,'Base bordo'!C$2:C$746,A128,'Base bordo'!B$2:B$746,B128,'Base bordo'!F$2:F$746,"BALANÇA - ENTRADA"),0)+IFERROR(SUMIFS('Base bordo'!G$2:G$746,'Base bordo'!C$2:C$746,A128,'Base bordo'!B$2:B$746,B128,'Base bordo'!F$2:F$746,"BALANÇA - SAÍDA"),0)</f>
        <v>6.8055555555555564E-2</v>
      </c>
      <c r="K128" s="10">
        <f>IFERROR(SUMIFS('Base bordo'!G$2:G$746,'Base bordo'!C$2:C$746,A128,'Base bordo'!B$2:B$746,B128,'Base bordo'!F$2:F$746,"MAN PREVENTIVA - MECANICA"),0)+IFERROR(SUMIFS('Base bordo'!G$2:G$746,'Base bordo'!C$2:C$746,A128,'Base bordo'!B$2:B$746,B128,'Base bordo'!F$2:F$746,"MAN CORRETIVA - MECANICA"),0)</f>
        <v>0.40166666666666667</v>
      </c>
      <c r="L128" s="10">
        <f>IFERROR(SUMIFS('Base bordo'!G$2:G$746,'Base bordo'!C$2:C$746,A128,'Base bordo'!B$2:B$746,B128,'Base bordo'!F$2:F$746,"MANUTENCAO - T O"),0)+IFERROR(SUMIFS('Base bordo'!G$2:G$746,'Base bordo'!C$2:C$746,A128,'Base bordo'!B$2:B$746,B128,'Base bordo'!F$2:F$746,"MANUTENCAO BORRACHARIA"),0)+IFERROR(SUMIFS('Base bordo'!G$2:G$746,'Base bordo'!C$2:C$746,A128,'Base bordo'!B$2:B$746,B128,'Base bordo'!F$2:F$746,"MANUTENCAO EXTERNA  CONCESSIONARIA"),0)+IFERROR(SUMIFS('Base bordo'!G$2:G$746,'Base bordo'!C$2:C$746,A128,'Base bordo'!B$2:B$746,B128,'Base bordo'!F$2:F$746,"MANUTENCAO TELEMETRIA"),0)</f>
        <v>1.5977777777777777</v>
      </c>
      <c r="M128" s="10">
        <f>IFERROR(SUMIFS('Base bordo'!G$2:G$746,'Base bordo'!C$2:C$746,A128,'Base bordo'!B$2:B$746,B128,'Base bordo'!F$2:F$746,"AGUARDANDO MANUTENCAO"),0)</f>
        <v>2.0836111111111113</v>
      </c>
      <c r="N128" s="10">
        <f>IFERROR(SUMIFS('Base bordo'!G$2:G$746,'Base bordo'!C$2:C$746,A128,'Base bordo'!B$2:B$746,B128,'Base bordo'!F$2:F$746,"SEM APONTAMENTO"),0)</f>
        <v>5.4166666666666669E-2</v>
      </c>
      <c r="O128" s="10">
        <f t="shared" si="18"/>
        <v>6.5758333333333354</v>
      </c>
      <c r="P128" s="10">
        <f>IFERROR(SUMIFS('Base bordo'!G$2:G$746,'Base bordo'!C$2:C$746,A128,'Base bordo'!B$2:B$746,B128),0)</f>
        <v>24.000000000000004</v>
      </c>
      <c r="Q128" s="10">
        <f>IFERROR(SUMIFS('Base bordo'!H$2:H$746,'Base bordo'!C$2:C$746,A128,'Base bordo'!B$2:B$746,B128,'Base bordo'!F$2:F$746,"DESLOCAMENTO VAZIO"),0)</f>
        <v>182003.76000000004</v>
      </c>
      <c r="R128" s="10">
        <f>IFERROR(SUMIFS('Base bordo'!I$2:I$746,'Base bordo'!C$2:C$746,A128,'Base bordo'!B$2:B$746,B128,'Base bordo'!F$2:F$746,"DESLOCAMENTO VAZIO"),0)</f>
        <v>7774</v>
      </c>
      <c r="S128" s="30">
        <f t="shared" si="19"/>
        <v>23.411854900951894</v>
      </c>
      <c r="T128" s="10">
        <f>IFERROR(SUMIFS('Base bordo'!H$2:H$746,'Base bordo'!C$2:C$746,A128,'Base bordo'!B$2:B$746,B128,'Base bordo'!F$2:F$746,"DESLOCAMENTO CARREGADO"),0)</f>
        <v>235509.89</v>
      </c>
      <c r="U128" s="10">
        <f>IFERROR(SUMIFS('Base bordo'!I$2:I$746,'Base bordo'!C$2:C$746,A128,'Base bordo'!B$2:B$746,B128,'Base bordo'!F$2:F$746,"DESLOCAMENTO CARREGADO"),0)</f>
        <v>8804</v>
      </c>
      <c r="V128" s="30">
        <f t="shared" si="20"/>
        <v>26.750328259881872</v>
      </c>
      <c r="W128" s="9">
        <f t="shared" si="21"/>
        <v>8.9976851851851836E-2</v>
      </c>
      <c r="X128" s="9">
        <f t="shared" si="22"/>
        <v>0.10189814814814813</v>
      </c>
      <c r="Y128" s="9">
        <f t="shared" si="23"/>
        <v>0.80812499999999998</v>
      </c>
    </row>
    <row r="129" spans="1:25" ht="15" customHeight="1" x14ac:dyDescent="0.35">
      <c r="A129" s="52">
        <v>8013486</v>
      </c>
      <c r="B129" s="51">
        <v>46117</v>
      </c>
      <c r="C129" s="7" t="s">
        <v>124</v>
      </c>
      <c r="D129" s="10">
        <f>IFERROR(SUMIFS('Base bordo'!G$2:G$746,'Base bordo'!C$2:C$746,A129,'Base bordo'!B$2:B$746,B129,'Base bordo'!F$2:F$746,"DESLOCAMENTO VAZIO"),0)</f>
        <v>0.89027777777777772</v>
      </c>
      <c r="E129" s="10">
        <f>IFERROR(SUMIFS('Base bordo'!G$2:G$746,'Base bordo'!C$2:C$746,A129,'Base bordo'!B$2:B$746,B129,'Base bordo'!F$2:F$746,"DESLOCAMENTO CARREGADO"),0)</f>
        <v>0</v>
      </c>
      <c r="F129" s="10">
        <f>IFERROR(SUMIFS('Base bordo'!G$2:G$746,'Base bordo'!C$2:C$746,A129,'Base bordo'!B$2:B$746,B129,'Base bordo'!F$2:F$746,"DESLOCAMENTO"),0)</f>
        <v>0.19472222222222221</v>
      </c>
      <c r="G129" s="10">
        <f>IFERROR(SUMIFS('Base bordo'!G$2:G$746,'Base bordo'!C$2:C$746,A129,'Base bordo'!B$2:B$746,B129,'Base bordo'!F$2:F$746,"CARREGAMENTO"),0)</f>
        <v>0</v>
      </c>
      <c r="H129" s="10">
        <f>IFERROR(SUMIFS('Base bordo'!G$2:G$746,'Base bordo'!C$2:C$746,A129,'Base bordo'!B$2:B$746,B129,'Base bordo'!F$2:F$746,"AGUARDANDO TRANSBORDO"),0)</f>
        <v>0</v>
      </c>
      <c r="I129" s="10">
        <f>IFERROR(SUMIFS('Base bordo'!G$2:G$746,'Base bordo'!C$2:C$746,A129,'Base bordo'!B$2:B$746,B129,'Base bordo'!F$2:F$746,"PÁTIO INTERNO"),0)+IFERROR(SUMIFS('Base bordo'!G$2:G$746,'Base bordo'!C$2:C$746,A129,'Base bordo'!B$2:B$746,B129,'Base bordo'!F$2:F$746,"PÁTIO EXTERNO"),0)+IFERROR(SUMIFS('Base bordo'!G$2:G$746,'Base bordo'!C$2:C$746,A129,'Base bordo'!B$2:B$746,B129,'Base bordo'!F$2:F$746,"PATIO - RESERVA"),0)+IFERROR(SUMIFS('Base bordo'!G$2:G$746,'Base bordo'!C$2:C$746,A129,'Base bordo'!B$2:B$746,B129,'Base bordo'!F$2:F$746,"MANOBRA CARRETAS-PATIO"),0)</f>
        <v>0</v>
      </c>
      <c r="J129" s="10">
        <f>IFERROR(SUMIFS('Base bordo'!G$2:G$746,'Base bordo'!C$2:C$746,A129,'Base bordo'!B$2:B$746,B129,'Base bordo'!F$2:F$746,"BALANÇA - ENTRADA"),0)+IFERROR(SUMIFS('Base bordo'!G$2:G$746,'Base bordo'!C$2:C$746,A129,'Base bordo'!B$2:B$746,B129,'Base bordo'!F$2:F$746,"BALANÇA - SAÍDA"),0)</f>
        <v>0</v>
      </c>
      <c r="K129" s="10">
        <f>IFERROR(SUMIFS('Base bordo'!G$2:G$746,'Base bordo'!C$2:C$746,A129,'Base bordo'!B$2:B$746,B129,'Base bordo'!F$2:F$746,"MAN PREVENTIVA - MECANICA"),0)+IFERROR(SUMIFS('Base bordo'!G$2:G$746,'Base bordo'!C$2:C$746,A129,'Base bordo'!B$2:B$746,B129,'Base bordo'!F$2:F$746,"MAN CORRETIVA - MECANICA"),0)</f>
        <v>0</v>
      </c>
      <c r="L129" s="10">
        <f>IFERROR(SUMIFS('Base bordo'!G$2:G$746,'Base bordo'!C$2:C$746,A129,'Base bordo'!B$2:B$746,B129,'Base bordo'!F$2:F$746,"MANUTENCAO - T O"),0)+IFERROR(SUMIFS('Base bordo'!G$2:G$746,'Base bordo'!C$2:C$746,A129,'Base bordo'!B$2:B$746,B129,'Base bordo'!F$2:F$746,"MANUTENCAO BORRACHARIA"),0)+IFERROR(SUMIFS('Base bordo'!G$2:G$746,'Base bordo'!C$2:C$746,A129,'Base bordo'!B$2:B$746,B129,'Base bordo'!F$2:F$746,"MANUTENCAO EXTERNA  CONCESSIONARIA"),0)+IFERROR(SUMIFS('Base bordo'!G$2:G$746,'Base bordo'!C$2:C$746,A129,'Base bordo'!B$2:B$746,B129,'Base bordo'!F$2:F$746,"MANUTENCAO TELEMETRIA"),0)</f>
        <v>22.465277777777779</v>
      </c>
      <c r="M129" s="10">
        <f>IFERROR(SUMIFS('Base bordo'!G$2:G$746,'Base bordo'!C$2:C$746,A129,'Base bordo'!B$2:B$746,B129,'Base bordo'!F$2:F$746,"AGUARDANDO MANUTENCAO"),0)</f>
        <v>0</v>
      </c>
      <c r="N129" s="10">
        <f>IFERROR(SUMIFS('Base bordo'!G$2:G$746,'Base bordo'!C$2:C$746,A129,'Base bordo'!B$2:B$746,B129,'Base bordo'!F$2:F$746,"SEM APONTAMENTO"),0)</f>
        <v>0</v>
      </c>
      <c r="O129" s="10">
        <f t="shared" si="18"/>
        <v>0.44972222222222058</v>
      </c>
      <c r="P129" s="10">
        <f>IFERROR(SUMIFS('Base bordo'!G$2:G$746,'Base bordo'!C$2:C$746,A129,'Base bordo'!B$2:B$746,B129),0)</f>
        <v>24</v>
      </c>
      <c r="Q129" s="10">
        <f>IFERROR(SUMIFS('Base bordo'!H$2:H$746,'Base bordo'!C$2:C$746,A129,'Base bordo'!B$2:B$746,B129,'Base bordo'!F$2:F$746,"DESLOCAMENTO VAZIO"),0)</f>
        <v>94654.959999999992</v>
      </c>
      <c r="R129" s="10">
        <f>IFERROR(SUMIFS('Base bordo'!I$2:I$746,'Base bordo'!C$2:C$746,A129,'Base bordo'!B$2:B$746,B129,'Base bordo'!F$2:F$746,"DESLOCAMENTO VAZIO"),0)</f>
        <v>3205</v>
      </c>
      <c r="S129" s="30">
        <f t="shared" si="19"/>
        <v>29.533528861154444</v>
      </c>
      <c r="T129" s="10">
        <f>IFERROR(SUMIFS('Base bordo'!H$2:H$746,'Base bordo'!C$2:C$746,A129,'Base bordo'!B$2:B$746,B129,'Base bordo'!F$2:F$746,"DESLOCAMENTO CARREGADO"),0)</f>
        <v>0</v>
      </c>
      <c r="U129" s="10">
        <f>IFERROR(SUMIFS('Base bordo'!I$2:I$746,'Base bordo'!C$2:C$746,A129,'Base bordo'!B$2:B$746,B129,'Base bordo'!F$2:F$746,"DESLOCAMENTO CARREGADO"),0)</f>
        <v>0</v>
      </c>
      <c r="V129" s="30" t="str">
        <f t="shared" si="20"/>
        <v/>
      </c>
      <c r="W129" s="9">
        <f t="shared" si="21"/>
        <v>3.7094907407407403E-2</v>
      </c>
      <c r="X129" s="9">
        <f t="shared" si="22"/>
        <v>0</v>
      </c>
      <c r="Y129" s="9">
        <f t="shared" si="23"/>
        <v>0.9629050925925926</v>
      </c>
    </row>
    <row r="130" spans="1:25" ht="15" customHeight="1" x14ac:dyDescent="0.35">
      <c r="A130" s="52">
        <v>8013469</v>
      </c>
      <c r="B130" s="51">
        <v>46117</v>
      </c>
      <c r="C130" s="7" t="s">
        <v>124</v>
      </c>
      <c r="D130" s="10">
        <f>IFERROR(SUMIFS('Base bordo'!G$2:G$746,'Base bordo'!C$2:C$746,A130,'Base bordo'!B$2:B$746,B130,'Base bordo'!F$2:F$746,"DESLOCAMENTO VAZIO"),0)</f>
        <v>0.81472222222222224</v>
      </c>
      <c r="E130" s="10">
        <f>IFERROR(SUMIFS('Base bordo'!G$2:G$746,'Base bordo'!C$2:C$746,A130,'Base bordo'!B$2:B$746,B130,'Base bordo'!F$2:F$746,"DESLOCAMENTO CARREGADO"),0)</f>
        <v>0.8913888888888889</v>
      </c>
      <c r="F130" s="10">
        <f>IFERROR(SUMIFS('Base bordo'!G$2:G$746,'Base bordo'!C$2:C$746,A130,'Base bordo'!B$2:B$746,B130,'Base bordo'!F$2:F$746,"DESLOCAMENTO"),0)</f>
        <v>0.54305555555555551</v>
      </c>
      <c r="G130" s="10">
        <f>IFERROR(SUMIFS('Base bordo'!G$2:G$746,'Base bordo'!C$2:C$746,A130,'Base bordo'!B$2:B$746,B130,'Base bordo'!F$2:F$746,"CARREGAMENTO"),0)</f>
        <v>4.5863888888888891</v>
      </c>
      <c r="H130" s="10">
        <f>IFERROR(SUMIFS('Base bordo'!G$2:G$746,'Base bordo'!C$2:C$746,A130,'Base bordo'!B$2:B$746,B130,'Base bordo'!F$2:F$746,"AGUARDANDO TRANSBORDO"),0)</f>
        <v>0.11166666666666666</v>
      </c>
      <c r="I130" s="10">
        <f>IFERROR(SUMIFS('Base bordo'!G$2:G$746,'Base bordo'!C$2:C$746,A130,'Base bordo'!B$2:B$746,B130,'Base bordo'!F$2:F$746,"PÁTIO INTERNO"),0)+IFERROR(SUMIFS('Base bordo'!G$2:G$746,'Base bordo'!C$2:C$746,A130,'Base bordo'!B$2:B$746,B130,'Base bordo'!F$2:F$746,"PÁTIO EXTERNO"),0)+IFERROR(SUMIFS('Base bordo'!G$2:G$746,'Base bordo'!C$2:C$746,A130,'Base bordo'!B$2:B$746,B130,'Base bordo'!F$2:F$746,"PATIO - RESERVA"),0)+IFERROR(SUMIFS('Base bordo'!G$2:G$746,'Base bordo'!C$2:C$746,A130,'Base bordo'!B$2:B$746,B130,'Base bordo'!F$2:F$746,"MANOBRA CARRETAS-PATIO"),0)</f>
        <v>2.3947222222222222</v>
      </c>
      <c r="J130" s="10">
        <f>IFERROR(SUMIFS('Base bordo'!G$2:G$746,'Base bordo'!C$2:C$746,A130,'Base bordo'!B$2:B$746,B130,'Base bordo'!F$2:F$746,"BALANÇA - ENTRADA"),0)+IFERROR(SUMIFS('Base bordo'!G$2:G$746,'Base bordo'!C$2:C$746,A130,'Base bordo'!B$2:B$746,B130,'Base bordo'!F$2:F$746,"BALANÇA - SAÍDA"),0)</f>
        <v>0</v>
      </c>
      <c r="K130" s="10">
        <f>IFERROR(SUMIFS('Base bordo'!G$2:G$746,'Base bordo'!C$2:C$746,A130,'Base bordo'!B$2:B$746,B130,'Base bordo'!F$2:F$746,"MAN PREVENTIVA - MECANICA"),0)+IFERROR(SUMIFS('Base bordo'!G$2:G$746,'Base bordo'!C$2:C$746,A130,'Base bordo'!B$2:B$746,B130,'Base bordo'!F$2:F$746,"MAN CORRETIVA - MECANICA"),0)</f>
        <v>0</v>
      </c>
      <c r="L130" s="10">
        <f>IFERROR(SUMIFS('Base bordo'!G$2:G$746,'Base bordo'!C$2:C$746,A130,'Base bordo'!B$2:B$746,B130,'Base bordo'!F$2:F$746,"MANUTENCAO - T O"),0)+IFERROR(SUMIFS('Base bordo'!G$2:G$746,'Base bordo'!C$2:C$746,A130,'Base bordo'!B$2:B$746,B130,'Base bordo'!F$2:F$746,"MANUTENCAO BORRACHARIA"),0)+IFERROR(SUMIFS('Base bordo'!G$2:G$746,'Base bordo'!C$2:C$746,A130,'Base bordo'!B$2:B$746,B130,'Base bordo'!F$2:F$746,"MANUTENCAO EXTERNA  CONCESSIONARIA"),0)+IFERROR(SUMIFS('Base bordo'!G$2:G$746,'Base bordo'!C$2:C$746,A130,'Base bordo'!B$2:B$746,B130,'Base bordo'!F$2:F$746,"MANUTENCAO TELEMETRIA"),0)</f>
        <v>3.4688888888888889</v>
      </c>
      <c r="M130" s="10">
        <f>IFERROR(SUMIFS('Base bordo'!G$2:G$746,'Base bordo'!C$2:C$746,A130,'Base bordo'!B$2:B$746,B130,'Base bordo'!F$2:F$746,"AGUARDANDO MANUTENCAO"),0)</f>
        <v>0</v>
      </c>
      <c r="N130" s="10">
        <f>IFERROR(SUMIFS('Base bordo'!G$2:G$746,'Base bordo'!C$2:C$746,A130,'Base bordo'!B$2:B$746,B130,'Base bordo'!F$2:F$746,"SEM APONTAMENTO"),0)</f>
        <v>0</v>
      </c>
      <c r="O130" s="10">
        <f t="shared" si="18"/>
        <v>0.61500000000000021</v>
      </c>
      <c r="P130" s="10">
        <f>IFERROR(SUMIFS('Base bordo'!G$2:G$746,'Base bordo'!C$2:C$746,A130,'Base bordo'!B$2:B$746,B130),0)</f>
        <v>13.425833333333333</v>
      </c>
      <c r="Q130" s="10">
        <f>IFERROR(SUMIFS('Base bordo'!H$2:H$746,'Base bordo'!C$2:C$746,A130,'Base bordo'!B$2:B$746,B130,'Base bordo'!F$2:F$746,"DESLOCAMENTO VAZIO"),0)</f>
        <v>93170.91</v>
      </c>
      <c r="R130" s="10">
        <f>IFERROR(SUMIFS('Base bordo'!I$2:I$746,'Base bordo'!C$2:C$746,A130,'Base bordo'!B$2:B$746,B130,'Base bordo'!F$2:F$746,"DESLOCAMENTO VAZIO"),0)</f>
        <v>2933</v>
      </c>
      <c r="S130" s="30">
        <f t="shared" si="19"/>
        <v>31.766420047732698</v>
      </c>
      <c r="T130" s="10">
        <f>IFERROR(SUMIFS('Base bordo'!H$2:H$746,'Base bordo'!C$2:C$746,A130,'Base bordo'!B$2:B$746,B130,'Base bordo'!F$2:F$746,"DESLOCAMENTO CARREGADO"),0)</f>
        <v>68258.340000000011</v>
      </c>
      <c r="U130" s="10">
        <f>IFERROR(SUMIFS('Base bordo'!I$2:I$746,'Base bordo'!C$2:C$746,A130,'Base bordo'!B$2:B$746,B130,'Base bordo'!F$2:F$746,"DESLOCAMENTO CARREGADO"),0)</f>
        <v>3204</v>
      </c>
      <c r="V130" s="30">
        <f t="shared" si="20"/>
        <v>21.304101123595508</v>
      </c>
      <c r="W130" s="9">
        <f t="shared" si="21"/>
        <v>6.0683177125359485E-2</v>
      </c>
      <c r="X130" s="9">
        <f t="shared" si="22"/>
        <v>6.639356133490576E-2</v>
      </c>
      <c r="Y130" s="9">
        <f t="shared" si="23"/>
        <v>0.87292326153973476</v>
      </c>
    </row>
    <row r="131" spans="1:25" ht="15" customHeight="1" x14ac:dyDescent="0.35">
      <c r="A131" s="52">
        <v>8013485</v>
      </c>
      <c r="B131" s="51">
        <v>46121</v>
      </c>
      <c r="C131" s="7" t="s">
        <v>124</v>
      </c>
      <c r="D131" s="10">
        <f>IFERROR(SUMIFS('Base bordo'!G$2:G$746,'Base bordo'!C$2:C$746,A131,'Base bordo'!B$2:B$746,B131,'Base bordo'!F$2:F$746,"DESLOCAMENTO VAZIO"),0)</f>
        <v>0</v>
      </c>
      <c r="E131" s="10">
        <f>IFERROR(SUMIFS('Base bordo'!G$2:G$746,'Base bordo'!C$2:C$746,A131,'Base bordo'!B$2:B$746,B131,'Base bordo'!F$2:F$746,"DESLOCAMENTO CARREGADO"),0)</f>
        <v>7.3888888888888893E-2</v>
      </c>
      <c r="F131" s="10">
        <f>IFERROR(SUMIFS('Base bordo'!G$2:G$746,'Base bordo'!C$2:C$746,A131,'Base bordo'!B$2:B$746,B131,'Base bordo'!F$2:F$746,"DESLOCAMENTO"),0)</f>
        <v>0.89222222222222225</v>
      </c>
      <c r="G131" s="10">
        <f>IFERROR(SUMIFS('Base bordo'!G$2:G$746,'Base bordo'!C$2:C$746,A131,'Base bordo'!B$2:B$746,B131,'Base bordo'!F$2:F$746,"CARREGAMENTO"),0)</f>
        <v>0</v>
      </c>
      <c r="H131" s="10">
        <f>IFERROR(SUMIFS('Base bordo'!G$2:G$746,'Base bordo'!C$2:C$746,A131,'Base bordo'!B$2:B$746,B131,'Base bordo'!F$2:F$746,"AGUARDANDO TRANSBORDO"),0)</f>
        <v>0</v>
      </c>
      <c r="I131" s="10">
        <f>IFERROR(SUMIFS('Base bordo'!G$2:G$746,'Base bordo'!C$2:C$746,A131,'Base bordo'!B$2:B$746,B131,'Base bordo'!F$2:F$746,"PÁTIO INTERNO"),0)+IFERROR(SUMIFS('Base bordo'!G$2:G$746,'Base bordo'!C$2:C$746,A131,'Base bordo'!B$2:B$746,B131,'Base bordo'!F$2:F$746,"PÁTIO EXTERNO"),0)+IFERROR(SUMIFS('Base bordo'!G$2:G$746,'Base bordo'!C$2:C$746,A131,'Base bordo'!B$2:B$746,B131,'Base bordo'!F$2:F$746,"PATIO - RESERVA"),0)+IFERROR(SUMIFS('Base bordo'!G$2:G$746,'Base bordo'!C$2:C$746,A131,'Base bordo'!B$2:B$746,B131,'Base bordo'!F$2:F$746,"MANOBRA CARRETAS-PATIO"),0)</f>
        <v>0</v>
      </c>
      <c r="J131" s="10">
        <f>IFERROR(SUMIFS('Base bordo'!G$2:G$746,'Base bordo'!C$2:C$746,A131,'Base bordo'!B$2:B$746,B131,'Base bordo'!F$2:F$746,"BALANÇA - ENTRADA"),0)+IFERROR(SUMIFS('Base bordo'!G$2:G$746,'Base bordo'!C$2:C$746,A131,'Base bordo'!B$2:B$746,B131,'Base bordo'!F$2:F$746,"BALANÇA - SAÍDA"),0)</f>
        <v>0</v>
      </c>
      <c r="K131" s="10">
        <f>IFERROR(SUMIFS('Base bordo'!G$2:G$746,'Base bordo'!C$2:C$746,A131,'Base bordo'!B$2:B$746,B131,'Base bordo'!F$2:F$746,"MAN PREVENTIVA - MECANICA"),0)+IFERROR(SUMIFS('Base bordo'!G$2:G$746,'Base bordo'!C$2:C$746,A131,'Base bordo'!B$2:B$746,B131,'Base bordo'!F$2:F$746,"MAN CORRETIVA - MECANICA"),0)</f>
        <v>0</v>
      </c>
      <c r="L131" s="10">
        <f>IFERROR(SUMIFS('Base bordo'!G$2:G$746,'Base bordo'!C$2:C$746,A131,'Base bordo'!B$2:B$746,B131,'Base bordo'!F$2:F$746,"MANUTENCAO - T O"),0)+IFERROR(SUMIFS('Base bordo'!G$2:G$746,'Base bordo'!C$2:C$746,A131,'Base bordo'!B$2:B$746,B131,'Base bordo'!F$2:F$746,"MANUTENCAO BORRACHARIA"),0)+IFERROR(SUMIFS('Base bordo'!G$2:G$746,'Base bordo'!C$2:C$746,A131,'Base bordo'!B$2:B$746,B131,'Base bordo'!F$2:F$746,"MANUTENCAO EXTERNA  CONCESSIONARIA"),0)+IFERROR(SUMIFS('Base bordo'!G$2:G$746,'Base bordo'!C$2:C$746,A131,'Base bordo'!B$2:B$746,B131,'Base bordo'!F$2:F$746,"MANUTENCAO TELEMETRIA"),0)</f>
        <v>0</v>
      </c>
      <c r="M131" s="10">
        <f>IFERROR(SUMIFS('Base bordo'!G$2:G$746,'Base bordo'!C$2:C$746,A131,'Base bordo'!B$2:B$746,B131,'Base bordo'!F$2:F$746,"AGUARDANDO MANUTENCAO"),0)</f>
        <v>0</v>
      </c>
      <c r="N131" s="10">
        <f>IFERROR(SUMIFS('Base bordo'!G$2:G$746,'Base bordo'!C$2:C$746,A131,'Base bordo'!B$2:B$746,B131,'Base bordo'!F$2:F$746,"SEM APONTAMENTO"),0)</f>
        <v>0</v>
      </c>
      <c r="O131" s="10">
        <f t="shared" si="18"/>
        <v>0</v>
      </c>
      <c r="P131" s="10">
        <f>IFERROR(SUMIFS('Base bordo'!G$2:G$746,'Base bordo'!C$2:C$746,A131,'Base bordo'!B$2:B$746,B131),0)</f>
        <v>0.96611111111111114</v>
      </c>
      <c r="Q131" s="10">
        <f>IFERROR(SUMIFS('Base bordo'!H$2:H$746,'Base bordo'!C$2:C$746,A131,'Base bordo'!B$2:B$746,B131,'Base bordo'!F$2:F$746,"DESLOCAMENTO VAZIO"),0)</f>
        <v>0</v>
      </c>
      <c r="R131" s="10">
        <f>IFERROR(SUMIFS('Base bordo'!I$2:I$746,'Base bordo'!C$2:C$746,A131,'Base bordo'!B$2:B$746,B131,'Base bordo'!F$2:F$746,"DESLOCAMENTO VAZIO"),0)</f>
        <v>0</v>
      </c>
      <c r="S131" s="30" t="str">
        <f t="shared" si="19"/>
        <v/>
      </c>
      <c r="T131" s="10">
        <f>IFERROR(SUMIFS('Base bordo'!H$2:H$746,'Base bordo'!C$2:C$746,A131,'Base bordo'!B$2:B$746,B131,'Base bordo'!F$2:F$746,"DESLOCAMENTO CARREGADO"),0)</f>
        <v>5423.74</v>
      </c>
      <c r="U131" s="10">
        <f>IFERROR(SUMIFS('Base bordo'!I$2:I$746,'Base bordo'!C$2:C$746,A131,'Base bordo'!B$2:B$746,B131,'Base bordo'!F$2:F$746,"DESLOCAMENTO CARREGADO"),0)</f>
        <v>266</v>
      </c>
      <c r="V131" s="30">
        <f t="shared" si="20"/>
        <v>20.39</v>
      </c>
      <c r="W131" s="9">
        <f t="shared" si="21"/>
        <v>0</v>
      </c>
      <c r="X131" s="9">
        <f t="shared" si="22"/>
        <v>7.648073605520414E-2</v>
      </c>
      <c r="Y131" s="9">
        <f t="shared" si="23"/>
        <v>0.92351926394479589</v>
      </c>
    </row>
    <row r="132" spans="1:25" ht="15" customHeight="1" x14ac:dyDescent="0.35">
      <c r="A132" s="52">
        <v>8013486</v>
      </c>
      <c r="B132" s="51">
        <v>46118</v>
      </c>
      <c r="C132" s="7" t="s">
        <v>124</v>
      </c>
      <c r="D132" s="10">
        <f>IFERROR(SUMIFS('Base bordo'!G$2:G$746,'Base bordo'!C$2:C$746,A132,'Base bordo'!B$2:B$746,B132,'Base bordo'!F$2:F$746,"DESLOCAMENTO VAZIO"),0)</f>
        <v>0.90972222222222221</v>
      </c>
      <c r="E132" s="10">
        <f>IFERROR(SUMIFS('Base bordo'!G$2:G$746,'Base bordo'!C$2:C$746,A132,'Base bordo'!B$2:B$746,B132,'Base bordo'!F$2:F$746,"DESLOCAMENTO CARREGADO"),0)</f>
        <v>1.7558333333333334</v>
      </c>
      <c r="F132" s="10">
        <f>IFERROR(SUMIFS('Base bordo'!G$2:G$746,'Base bordo'!C$2:C$746,A132,'Base bordo'!B$2:B$746,B132,'Base bordo'!F$2:F$746,"DESLOCAMENTO"),0)</f>
        <v>6.0436111111111108</v>
      </c>
      <c r="G132" s="10">
        <f>IFERROR(SUMIFS('Base bordo'!G$2:G$746,'Base bordo'!C$2:C$746,A132,'Base bordo'!B$2:B$746,B132,'Base bordo'!F$2:F$746,"CARREGAMENTO"),0)</f>
        <v>0</v>
      </c>
      <c r="H132" s="10">
        <f>IFERROR(SUMIFS('Base bordo'!G$2:G$746,'Base bordo'!C$2:C$746,A132,'Base bordo'!B$2:B$746,B132,'Base bordo'!F$2:F$746,"AGUARDANDO TRANSBORDO"),0)</f>
        <v>0</v>
      </c>
      <c r="I132" s="10">
        <f>IFERROR(SUMIFS('Base bordo'!G$2:G$746,'Base bordo'!C$2:C$746,A132,'Base bordo'!B$2:B$746,B132,'Base bordo'!F$2:F$746,"PÁTIO INTERNO"),0)+IFERROR(SUMIFS('Base bordo'!G$2:G$746,'Base bordo'!C$2:C$746,A132,'Base bordo'!B$2:B$746,B132,'Base bordo'!F$2:F$746,"PÁTIO EXTERNO"),0)+IFERROR(SUMIFS('Base bordo'!G$2:G$746,'Base bordo'!C$2:C$746,A132,'Base bordo'!B$2:B$746,B132,'Base bordo'!F$2:F$746,"PATIO - RESERVA"),0)+IFERROR(SUMIFS('Base bordo'!G$2:G$746,'Base bordo'!C$2:C$746,A132,'Base bordo'!B$2:B$746,B132,'Base bordo'!F$2:F$746,"MANOBRA CARRETAS-PATIO"),0)</f>
        <v>3.7905555555555552</v>
      </c>
      <c r="J132" s="10">
        <f>IFERROR(SUMIFS('Base bordo'!G$2:G$746,'Base bordo'!C$2:C$746,A132,'Base bordo'!B$2:B$746,B132,'Base bordo'!F$2:F$746,"BALANÇA - ENTRADA"),0)+IFERROR(SUMIFS('Base bordo'!G$2:G$746,'Base bordo'!C$2:C$746,A132,'Base bordo'!B$2:B$746,B132,'Base bordo'!F$2:F$746,"BALANÇA - SAÍDA"),0)</f>
        <v>5.6666666666666664E-2</v>
      </c>
      <c r="K132" s="10">
        <f>IFERROR(SUMIFS('Base bordo'!G$2:G$746,'Base bordo'!C$2:C$746,A132,'Base bordo'!B$2:B$746,B132,'Base bordo'!F$2:F$746,"MAN PREVENTIVA - MECANICA"),0)+IFERROR(SUMIFS('Base bordo'!G$2:G$746,'Base bordo'!C$2:C$746,A132,'Base bordo'!B$2:B$746,B132,'Base bordo'!F$2:F$746,"MAN CORRETIVA - MECANICA"),0)</f>
        <v>0</v>
      </c>
      <c r="L132" s="10">
        <f>IFERROR(SUMIFS('Base bordo'!G$2:G$746,'Base bordo'!C$2:C$746,A132,'Base bordo'!B$2:B$746,B132,'Base bordo'!F$2:F$746,"MANUTENCAO - T O"),0)+IFERROR(SUMIFS('Base bordo'!G$2:G$746,'Base bordo'!C$2:C$746,A132,'Base bordo'!B$2:B$746,B132,'Base bordo'!F$2:F$746,"MANUTENCAO BORRACHARIA"),0)+IFERROR(SUMIFS('Base bordo'!G$2:G$746,'Base bordo'!C$2:C$746,A132,'Base bordo'!B$2:B$746,B132,'Base bordo'!F$2:F$746,"MANUTENCAO EXTERNA  CONCESSIONARIA"),0)+IFERROR(SUMIFS('Base bordo'!G$2:G$746,'Base bordo'!C$2:C$746,A132,'Base bordo'!B$2:B$746,B132,'Base bordo'!F$2:F$746,"MANUTENCAO TELEMETRIA"),0)</f>
        <v>9.4491666666666667</v>
      </c>
      <c r="M132" s="10">
        <f>IFERROR(SUMIFS('Base bordo'!G$2:G$746,'Base bordo'!C$2:C$746,A132,'Base bordo'!B$2:B$746,B132,'Base bordo'!F$2:F$746,"AGUARDANDO MANUTENCAO"),0)</f>
        <v>0</v>
      </c>
      <c r="N132" s="10">
        <f>IFERROR(SUMIFS('Base bordo'!G$2:G$746,'Base bordo'!C$2:C$746,A132,'Base bordo'!B$2:B$746,B132,'Base bordo'!F$2:F$746,"SEM APONTAMENTO"),0)</f>
        <v>0</v>
      </c>
      <c r="O132" s="10">
        <f t="shared" si="18"/>
        <v>0.20222222222222541</v>
      </c>
      <c r="P132" s="10">
        <f>IFERROR(SUMIFS('Base bordo'!G$2:G$746,'Base bordo'!C$2:C$746,A132,'Base bordo'!B$2:B$746,B132),0)</f>
        <v>22.207777777777778</v>
      </c>
      <c r="Q132" s="10">
        <f>IFERROR(SUMIFS('Base bordo'!H$2:H$746,'Base bordo'!C$2:C$746,A132,'Base bordo'!B$2:B$746,B132,'Base bordo'!F$2:F$746,"DESLOCAMENTO VAZIO"),0)</f>
        <v>86336.93</v>
      </c>
      <c r="R132" s="10">
        <f>IFERROR(SUMIFS('Base bordo'!I$2:I$746,'Base bordo'!C$2:C$746,A132,'Base bordo'!B$2:B$746,B132,'Base bordo'!F$2:F$746,"DESLOCAMENTO VAZIO"),0)</f>
        <v>3275</v>
      </c>
      <c r="S132" s="30">
        <f t="shared" si="19"/>
        <v>26.362421374045798</v>
      </c>
      <c r="T132" s="10">
        <f>IFERROR(SUMIFS('Base bordo'!H$2:H$746,'Base bordo'!C$2:C$746,A132,'Base bordo'!B$2:B$746,B132,'Base bordo'!F$2:F$746,"DESLOCAMENTO CARREGADO"),0)</f>
        <v>166427.58000000002</v>
      </c>
      <c r="U132" s="10">
        <f>IFERROR(SUMIFS('Base bordo'!I$2:I$746,'Base bordo'!C$2:C$746,A132,'Base bordo'!B$2:B$746,B132,'Base bordo'!F$2:F$746,"DESLOCAMENTO CARREGADO"),0)</f>
        <v>6321</v>
      </c>
      <c r="V132" s="30">
        <f t="shared" si="20"/>
        <v>26.329311817750359</v>
      </c>
      <c r="W132" s="9">
        <f t="shared" si="21"/>
        <v>4.0964126682343519E-2</v>
      </c>
      <c r="X132" s="9">
        <f t="shared" si="22"/>
        <v>7.9063891529494168E-2</v>
      </c>
      <c r="Y132" s="9">
        <f t="shared" si="23"/>
        <v>0.87997198178816227</v>
      </c>
    </row>
    <row r="133" spans="1:25" ht="15" customHeight="1" x14ac:dyDescent="0.35">
      <c r="A133" s="52">
        <v>8013462</v>
      </c>
      <c r="B133" s="51">
        <v>46117</v>
      </c>
      <c r="C133" s="7" t="s">
        <v>124</v>
      </c>
      <c r="D133" s="10">
        <f>IFERROR(SUMIFS('Base bordo'!G$2:G$746,'Base bordo'!C$2:C$746,A133,'Base bordo'!B$2:B$746,B133,'Base bordo'!F$2:F$746,"DESLOCAMENTO VAZIO"),0)</f>
        <v>1.3697222222222223</v>
      </c>
      <c r="E133" s="10">
        <f>IFERROR(SUMIFS('Base bordo'!G$2:G$746,'Base bordo'!C$2:C$746,A133,'Base bordo'!B$2:B$746,B133,'Base bordo'!F$2:F$746,"DESLOCAMENTO CARREGADO"),0)</f>
        <v>1.7716666666666667</v>
      </c>
      <c r="F133" s="10">
        <f>IFERROR(SUMIFS('Base bordo'!G$2:G$746,'Base bordo'!C$2:C$746,A133,'Base bordo'!B$2:B$746,B133,'Base bordo'!F$2:F$746,"DESLOCAMENTO"),0)</f>
        <v>1.0772222222222223</v>
      </c>
      <c r="G133" s="10">
        <f>IFERROR(SUMIFS('Base bordo'!G$2:G$746,'Base bordo'!C$2:C$746,A133,'Base bordo'!B$2:B$746,B133,'Base bordo'!F$2:F$746,"CARREGAMENTO"),0)</f>
        <v>0.32777777777777778</v>
      </c>
      <c r="H133" s="10">
        <f>IFERROR(SUMIFS('Base bordo'!G$2:G$746,'Base bordo'!C$2:C$746,A133,'Base bordo'!B$2:B$746,B133,'Base bordo'!F$2:F$746,"AGUARDANDO TRANSBORDO"),0)</f>
        <v>0.98277777777777775</v>
      </c>
      <c r="I133" s="10">
        <f>IFERROR(SUMIFS('Base bordo'!G$2:G$746,'Base bordo'!C$2:C$746,A133,'Base bordo'!B$2:B$746,B133,'Base bordo'!F$2:F$746,"PÁTIO INTERNO"),0)+IFERROR(SUMIFS('Base bordo'!G$2:G$746,'Base bordo'!C$2:C$746,A133,'Base bordo'!B$2:B$746,B133,'Base bordo'!F$2:F$746,"PÁTIO EXTERNO"),0)+IFERROR(SUMIFS('Base bordo'!G$2:G$746,'Base bordo'!C$2:C$746,A133,'Base bordo'!B$2:B$746,B133,'Base bordo'!F$2:F$746,"PATIO - RESERVA"),0)+IFERROR(SUMIFS('Base bordo'!G$2:G$746,'Base bordo'!C$2:C$746,A133,'Base bordo'!B$2:B$746,B133,'Base bordo'!F$2:F$746,"MANOBRA CARRETAS-PATIO"),0)</f>
        <v>0</v>
      </c>
      <c r="J133" s="10">
        <f>IFERROR(SUMIFS('Base bordo'!G$2:G$746,'Base bordo'!C$2:C$746,A133,'Base bordo'!B$2:B$746,B133,'Base bordo'!F$2:F$746,"BALANÇA - ENTRADA"),0)+IFERROR(SUMIFS('Base bordo'!G$2:G$746,'Base bordo'!C$2:C$746,A133,'Base bordo'!B$2:B$746,B133,'Base bordo'!F$2:F$746,"BALANÇA - SAÍDA"),0)</f>
        <v>0</v>
      </c>
      <c r="K133" s="10">
        <f>IFERROR(SUMIFS('Base bordo'!G$2:G$746,'Base bordo'!C$2:C$746,A133,'Base bordo'!B$2:B$746,B133,'Base bordo'!F$2:F$746,"MAN PREVENTIVA - MECANICA"),0)+IFERROR(SUMIFS('Base bordo'!G$2:G$746,'Base bordo'!C$2:C$746,A133,'Base bordo'!B$2:B$746,B133,'Base bordo'!F$2:F$746,"MAN CORRETIVA - MECANICA"),0)</f>
        <v>4.6944444444444441E-2</v>
      </c>
      <c r="L133" s="10">
        <f>IFERROR(SUMIFS('Base bordo'!G$2:G$746,'Base bordo'!C$2:C$746,A133,'Base bordo'!B$2:B$746,B133,'Base bordo'!F$2:F$746,"MANUTENCAO - T O"),0)+IFERROR(SUMIFS('Base bordo'!G$2:G$746,'Base bordo'!C$2:C$746,A133,'Base bordo'!B$2:B$746,B133,'Base bordo'!F$2:F$746,"MANUTENCAO BORRACHARIA"),0)+IFERROR(SUMIFS('Base bordo'!G$2:G$746,'Base bordo'!C$2:C$746,A133,'Base bordo'!B$2:B$746,B133,'Base bordo'!F$2:F$746,"MANUTENCAO EXTERNA  CONCESSIONARIA"),0)+IFERROR(SUMIFS('Base bordo'!G$2:G$746,'Base bordo'!C$2:C$746,A133,'Base bordo'!B$2:B$746,B133,'Base bordo'!F$2:F$746,"MANUTENCAO TELEMETRIA"),0)</f>
        <v>4.0702777777777781</v>
      </c>
      <c r="M133" s="10">
        <f>IFERROR(SUMIFS('Base bordo'!G$2:G$746,'Base bordo'!C$2:C$746,A133,'Base bordo'!B$2:B$746,B133,'Base bordo'!F$2:F$746,"AGUARDANDO MANUTENCAO"),0)</f>
        <v>0</v>
      </c>
      <c r="N133" s="10">
        <f>IFERROR(SUMIFS('Base bordo'!G$2:G$746,'Base bordo'!C$2:C$746,A133,'Base bordo'!B$2:B$746,B133,'Base bordo'!F$2:F$746,"SEM APONTAMENTO"),0)</f>
        <v>0</v>
      </c>
      <c r="O133" s="10">
        <f t="shared" si="18"/>
        <v>2.6524999999999981</v>
      </c>
      <c r="P133" s="10">
        <f>IFERROR(SUMIFS('Base bordo'!G$2:G$746,'Base bordo'!C$2:C$746,A133,'Base bordo'!B$2:B$746,B133),0)</f>
        <v>12.298888888888888</v>
      </c>
      <c r="Q133" s="10">
        <f>IFERROR(SUMIFS('Base bordo'!H$2:H$746,'Base bordo'!C$2:C$746,A133,'Base bordo'!B$2:B$746,B133,'Base bordo'!F$2:F$746,"DESLOCAMENTO VAZIO"),0)</f>
        <v>96755.57</v>
      </c>
      <c r="R133" s="10">
        <f>IFERROR(SUMIFS('Base bordo'!I$2:I$746,'Base bordo'!C$2:C$746,A133,'Base bordo'!B$2:B$746,B133,'Base bordo'!F$2:F$746,"DESLOCAMENTO VAZIO"),0)</f>
        <v>4931</v>
      </c>
      <c r="S133" s="30">
        <f t="shared" si="19"/>
        <v>19.621896167106065</v>
      </c>
      <c r="T133" s="10">
        <f>IFERROR(SUMIFS('Base bordo'!H$2:H$746,'Base bordo'!C$2:C$746,A133,'Base bordo'!B$2:B$746,B133,'Base bordo'!F$2:F$746,"DESLOCAMENTO CARREGADO"),0)</f>
        <v>170850.02000000002</v>
      </c>
      <c r="U133" s="10">
        <f>IFERROR(SUMIFS('Base bordo'!I$2:I$746,'Base bordo'!C$2:C$746,A133,'Base bordo'!B$2:B$746,B133,'Base bordo'!F$2:F$746,"DESLOCAMENTO CARREGADO"),0)</f>
        <v>6378</v>
      </c>
      <c r="V133" s="30">
        <f t="shared" si="20"/>
        <v>26.787397303229856</v>
      </c>
      <c r="W133" s="9">
        <f t="shared" si="21"/>
        <v>0.1113695907489385</v>
      </c>
      <c r="X133" s="9">
        <f t="shared" si="22"/>
        <v>0.14405095311229563</v>
      </c>
      <c r="Y133" s="9">
        <f t="shared" si="23"/>
        <v>0.74457945613876597</v>
      </c>
    </row>
    <row r="134" spans="1:25" ht="15" customHeight="1" x14ac:dyDescent="0.35">
      <c r="A134" s="52">
        <v>8013461</v>
      </c>
      <c r="B134" s="51">
        <v>46118</v>
      </c>
      <c r="C134" s="7" t="s">
        <v>124</v>
      </c>
      <c r="D134" s="10">
        <f>IFERROR(SUMIFS('Base bordo'!G$2:G$746,'Base bordo'!C$2:C$746,A134,'Base bordo'!B$2:B$746,B134,'Base bordo'!F$2:F$746,"DESLOCAMENTO VAZIO"),0)</f>
        <v>1.6119444444444444</v>
      </c>
      <c r="E134" s="10">
        <f>IFERROR(SUMIFS('Base bordo'!G$2:G$746,'Base bordo'!C$2:C$746,A134,'Base bordo'!B$2:B$746,B134,'Base bordo'!F$2:F$746,"DESLOCAMENTO CARREGADO"),0)</f>
        <v>3.9649999999999999</v>
      </c>
      <c r="F134" s="10">
        <f>IFERROR(SUMIFS('Base bordo'!G$2:G$746,'Base bordo'!C$2:C$746,A134,'Base bordo'!B$2:B$746,B134,'Base bordo'!F$2:F$746,"DESLOCAMENTO"),0)</f>
        <v>0.61416666666666664</v>
      </c>
      <c r="G134" s="10">
        <f>IFERROR(SUMIFS('Base bordo'!G$2:G$746,'Base bordo'!C$2:C$746,A134,'Base bordo'!B$2:B$746,B134,'Base bordo'!F$2:F$746,"CARREGAMENTO"),0)</f>
        <v>0.68666666666666665</v>
      </c>
      <c r="H134" s="10">
        <f>IFERROR(SUMIFS('Base bordo'!G$2:G$746,'Base bordo'!C$2:C$746,A134,'Base bordo'!B$2:B$746,B134,'Base bordo'!F$2:F$746,"AGUARDANDO TRANSBORDO"),0)</f>
        <v>0.5033333333333333</v>
      </c>
      <c r="I134" s="10">
        <f>IFERROR(SUMIFS('Base bordo'!G$2:G$746,'Base bordo'!C$2:C$746,A134,'Base bordo'!B$2:B$746,B134,'Base bordo'!F$2:F$746,"PÁTIO INTERNO"),0)+IFERROR(SUMIFS('Base bordo'!G$2:G$746,'Base bordo'!C$2:C$746,A134,'Base bordo'!B$2:B$746,B134,'Base bordo'!F$2:F$746,"PÁTIO EXTERNO"),0)+IFERROR(SUMIFS('Base bordo'!G$2:G$746,'Base bordo'!C$2:C$746,A134,'Base bordo'!B$2:B$746,B134,'Base bordo'!F$2:F$746,"PATIO - RESERVA"),0)+IFERROR(SUMIFS('Base bordo'!G$2:G$746,'Base bordo'!C$2:C$746,A134,'Base bordo'!B$2:B$746,B134,'Base bordo'!F$2:F$746,"MANOBRA CARRETAS-PATIO"),0)</f>
        <v>13.577499999999999</v>
      </c>
      <c r="J134" s="10">
        <f>IFERROR(SUMIFS('Base bordo'!G$2:G$746,'Base bordo'!C$2:C$746,A134,'Base bordo'!B$2:B$746,B134,'Base bordo'!F$2:F$746,"BALANÇA - ENTRADA"),0)+IFERROR(SUMIFS('Base bordo'!G$2:G$746,'Base bordo'!C$2:C$746,A134,'Base bordo'!B$2:B$746,B134,'Base bordo'!F$2:F$746,"BALANÇA - SAÍDA"),0)</f>
        <v>0.18777777777777779</v>
      </c>
      <c r="K134" s="10">
        <f>IFERROR(SUMIFS('Base bordo'!G$2:G$746,'Base bordo'!C$2:C$746,A134,'Base bordo'!B$2:B$746,B134,'Base bordo'!F$2:F$746,"MAN PREVENTIVA - MECANICA"),0)+IFERROR(SUMIFS('Base bordo'!G$2:G$746,'Base bordo'!C$2:C$746,A134,'Base bordo'!B$2:B$746,B134,'Base bordo'!F$2:F$746,"MAN CORRETIVA - MECANICA"),0)</f>
        <v>0</v>
      </c>
      <c r="L134" s="10">
        <f>IFERROR(SUMIFS('Base bordo'!G$2:G$746,'Base bordo'!C$2:C$746,A134,'Base bordo'!B$2:B$746,B134,'Base bordo'!F$2:F$746,"MANUTENCAO - T O"),0)+IFERROR(SUMIFS('Base bordo'!G$2:G$746,'Base bordo'!C$2:C$746,A134,'Base bordo'!B$2:B$746,B134,'Base bordo'!F$2:F$746,"MANUTENCAO BORRACHARIA"),0)+IFERROR(SUMIFS('Base bordo'!G$2:G$746,'Base bordo'!C$2:C$746,A134,'Base bordo'!B$2:B$746,B134,'Base bordo'!F$2:F$746,"MANUTENCAO EXTERNA  CONCESSIONARIA"),0)+IFERROR(SUMIFS('Base bordo'!G$2:G$746,'Base bordo'!C$2:C$746,A134,'Base bordo'!B$2:B$746,B134,'Base bordo'!F$2:F$746,"MANUTENCAO TELEMETRIA"),0)</f>
        <v>0</v>
      </c>
      <c r="M134" s="10">
        <f>IFERROR(SUMIFS('Base bordo'!G$2:G$746,'Base bordo'!C$2:C$746,A134,'Base bordo'!B$2:B$746,B134,'Base bordo'!F$2:F$746,"AGUARDANDO MANUTENCAO"),0)</f>
        <v>0</v>
      </c>
      <c r="N134" s="10">
        <f>IFERROR(SUMIFS('Base bordo'!G$2:G$746,'Base bordo'!C$2:C$746,A134,'Base bordo'!B$2:B$746,B134,'Base bordo'!F$2:F$746,"SEM APONTAMENTO"),0)</f>
        <v>0.28888888888888886</v>
      </c>
      <c r="O134" s="10">
        <f t="shared" si="18"/>
        <v>2.5647222222222226</v>
      </c>
      <c r="P134" s="10">
        <f>IFERROR(SUMIFS('Base bordo'!G$2:G$746,'Base bordo'!C$2:C$746,A134,'Base bordo'!B$2:B$746,B134),0)</f>
        <v>24</v>
      </c>
      <c r="Q134" s="10">
        <f>IFERROR(SUMIFS('Base bordo'!H$2:H$746,'Base bordo'!C$2:C$746,A134,'Base bordo'!B$2:B$746,B134,'Base bordo'!F$2:F$746,"DESLOCAMENTO VAZIO"),0)</f>
        <v>187022.74</v>
      </c>
      <c r="R134" s="10">
        <f>IFERROR(SUMIFS('Base bordo'!I$2:I$746,'Base bordo'!C$2:C$746,A134,'Base bordo'!B$2:B$746,B134,'Base bordo'!F$2:F$746,"DESLOCAMENTO VAZIO"),0)</f>
        <v>5803</v>
      </c>
      <c r="S134" s="30">
        <f t="shared" si="19"/>
        <v>32.228630018955712</v>
      </c>
      <c r="T134" s="10">
        <f>IFERROR(SUMIFS('Base bordo'!H$2:H$746,'Base bordo'!C$2:C$746,A134,'Base bordo'!B$2:B$746,B134,'Base bordo'!F$2:F$746,"DESLOCAMENTO CARREGADO"),0)</f>
        <v>411676.06999999995</v>
      </c>
      <c r="U134" s="10">
        <f>IFERROR(SUMIFS('Base bordo'!I$2:I$746,'Base bordo'!C$2:C$746,A134,'Base bordo'!B$2:B$746,B134,'Base bordo'!F$2:F$746,"DESLOCAMENTO CARREGADO"),0)</f>
        <v>14242</v>
      </c>
      <c r="V134" s="30">
        <f t="shared" si="20"/>
        <v>28.905776576323547</v>
      </c>
      <c r="W134" s="9">
        <f t="shared" si="21"/>
        <v>6.716435185185185E-2</v>
      </c>
      <c r="X134" s="9">
        <f t="shared" si="22"/>
        <v>0.16520833333333332</v>
      </c>
      <c r="Y134" s="9">
        <f t="shared" si="23"/>
        <v>0.76762731481481483</v>
      </c>
    </row>
    <row r="135" spans="1:25" ht="15" customHeight="1" x14ac:dyDescent="0.35">
      <c r="A135" s="52">
        <v>8013462</v>
      </c>
      <c r="B135" s="51">
        <v>46117</v>
      </c>
      <c r="C135" s="7" t="s">
        <v>124</v>
      </c>
      <c r="D135" s="10">
        <f>IFERROR(SUMIFS('Base bordo'!G$2:G$746,'Base bordo'!C$2:C$746,A135,'Base bordo'!B$2:B$746,B135,'Base bordo'!F$2:F$746,"DESLOCAMENTO VAZIO"),0)</f>
        <v>1.3697222222222223</v>
      </c>
      <c r="E135" s="10">
        <f>IFERROR(SUMIFS('Base bordo'!G$2:G$746,'Base bordo'!C$2:C$746,A135,'Base bordo'!B$2:B$746,B135,'Base bordo'!F$2:F$746,"DESLOCAMENTO CARREGADO"),0)</f>
        <v>1.7716666666666667</v>
      </c>
      <c r="F135" s="10">
        <f>IFERROR(SUMIFS('Base bordo'!G$2:G$746,'Base bordo'!C$2:C$746,A135,'Base bordo'!B$2:B$746,B135,'Base bordo'!F$2:F$746,"DESLOCAMENTO"),0)</f>
        <v>1.0772222222222223</v>
      </c>
      <c r="G135" s="10">
        <f>IFERROR(SUMIFS('Base bordo'!G$2:G$746,'Base bordo'!C$2:C$746,A135,'Base bordo'!B$2:B$746,B135,'Base bordo'!F$2:F$746,"CARREGAMENTO"),0)</f>
        <v>0.32777777777777778</v>
      </c>
      <c r="H135" s="10">
        <f>IFERROR(SUMIFS('Base bordo'!G$2:G$746,'Base bordo'!C$2:C$746,A135,'Base bordo'!B$2:B$746,B135,'Base bordo'!F$2:F$746,"AGUARDANDO TRANSBORDO"),0)</f>
        <v>0.98277777777777775</v>
      </c>
      <c r="I135" s="10">
        <f>IFERROR(SUMIFS('Base bordo'!G$2:G$746,'Base bordo'!C$2:C$746,A135,'Base bordo'!B$2:B$746,B135,'Base bordo'!F$2:F$746,"PÁTIO INTERNO"),0)+IFERROR(SUMIFS('Base bordo'!G$2:G$746,'Base bordo'!C$2:C$746,A135,'Base bordo'!B$2:B$746,B135,'Base bordo'!F$2:F$746,"PÁTIO EXTERNO"),0)+IFERROR(SUMIFS('Base bordo'!G$2:G$746,'Base bordo'!C$2:C$746,A135,'Base bordo'!B$2:B$746,B135,'Base bordo'!F$2:F$746,"PATIO - RESERVA"),0)+IFERROR(SUMIFS('Base bordo'!G$2:G$746,'Base bordo'!C$2:C$746,A135,'Base bordo'!B$2:B$746,B135,'Base bordo'!F$2:F$746,"MANOBRA CARRETAS-PATIO"),0)</f>
        <v>0</v>
      </c>
      <c r="J135" s="10">
        <f>IFERROR(SUMIFS('Base bordo'!G$2:G$746,'Base bordo'!C$2:C$746,A135,'Base bordo'!B$2:B$746,B135,'Base bordo'!F$2:F$746,"BALANÇA - ENTRADA"),0)+IFERROR(SUMIFS('Base bordo'!G$2:G$746,'Base bordo'!C$2:C$746,A135,'Base bordo'!B$2:B$746,B135,'Base bordo'!F$2:F$746,"BALANÇA - SAÍDA"),0)</f>
        <v>0</v>
      </c>
      <c r="K135" s="10">
        <f>IFERROR(SUMIFS('Base bordo'!G$2:G$746,'Base bordo'!C$2:C$746,A135,'Base bordo'!B$2:B$746,B135,'Base bordo'!F$2:F$746,"MAN PREVENTIVA - MECANICA"),0)+IFERROR(SUMIFS('Base bordo'!G$2:G$746,'Base bordo'!C$2:C$746,A135,'Base bordo'!B$2:B$746,B135,'Base bordo'!F$2:F$746,"MAN CORRETIVA - MECANICA"),0)</f>
        <v>4.6944444444444441E-2</v>
      </c>
      <c r="L135" s="10">
        <f>IFERROR(SUMIFS('Base bordo'!G$2:G$746,'Base bordo'!C$2:C$746,A135,'Base bordo'!B$2:B$746,B135,'Base bordo'!F$2:F$746,"MANUTENCAO - T O"),0)+IFERROR(SUMIFS('Base bordo'!G$2:G$746,'Base bordo'!C$2:C$746,A135,'Base bordo'!B$2:B$746,B135,'Base bordo'!F$2:F$746,"MANUTENCAO BORRACHARIA"),0)+IFERROR(SUMIFS('Base bordo'!G$2:G$746,'Base bordo'!C$2:C$746,A135,'Base bordo'!B$2:B$746,B135,'Base bordo'!F$2:F$746,"MANUTENCAO EXTERNA  CONCESSIONARIA"),0)+IFERROR(SUMIFS('Base bordo'!G$2:G$746,'Base bordo'!C$2:C$746,A135,'Base bordo'!B$2:B$746,B135,'Base bordo'!F$2:F$746,"MANUTENCAO TELEMETRIA"),0)</f>
        <v>4.0702777777777781</v>
      </c>
      <c r="M135" s="10">
        <f>IFERROR(SUMIFS('Base bordo'!G$2:G$746,'Base bordo'!C$2:C$746,A135,'Base bordo'!B$2:B$746,B135,'Base bordo'!F$2:F$746,"AGUARDANDO MANUTENCAO"),0)</f>
        <v>0</v>
      </c>
      <c r="N135" s="10">
        <f>IFERROR(SUMIFS('Base bordo'!G$2:G$746,'Base bordo'!C$2:C$746,A135,'Base bordo'!B$2:B$746,B135,'Base bordo'!F$2:F$746,"SEM APONTAMENTO"),0)</f>
        <v>0</v>
      </c>
      <c r="O135" s="10">
        <f t="shared" si="18"/>
        <v>2.6524999999999981</v>
      </c>
      <c r="P135" s="10">
        <f>IFERROR(SUMIFS('Base bordo'!G$2:G$746,'Base bordo'!C$2:C$746,A135,'Base bordo'!B$2:B$746,B135),0)</f>
        <v>12.298888888888888</v>
      </c>
      <c r="Q135" s="10">
        <f>IFERROR(SUMIFS('Base bordo'!H$2:H$746,'Base bordo'!C$2:C$746,A135,'Base bordo'!B$2:B$746,B135,'Base bordo'!F$2:F$746,"DESLOCAMENTO VAZIO"),0)</f>
        <v>96755.57</v>
      </c>
      <c r="R135" s="10">
        <f>IFERROR(SUMIFS('Base bordo'!I$2:I$746,'Base bordo'!C$2:C$746,A135,'Base bordo'!B$2:B$746,B135,'Base bordo'!F$2:F$746,"DESLOCAMENTO VAZIO"),0)</f>
        <v>4931</v>
      </c>
      <c r="S135" s="30">
        <f t="shared" si="19"/>
        <v>19.621896167106065</v>
      </c>
      <c r="T135" s="10">
        <f>IFERROR(SUMIFS('Base bordo'!H$2:H$746,'Base bordo'!C$2:C$746,A135,'Base bordo'!B$2:B$746,B135,'Base bordo'!F$2:F$746,"DESLOCAMENTO CARREGADO"),0)</f>
        <v>170850.02000000002</v>
      </c>
      <c r="U135" s="10">
        <f>IFERROR(SUMIFS('Base bordo'!I$2:I$746,'Base bordo'!C$2:C$746,A135,'Base bordo'!B$2:B$746,B135,'Base bordo'!F$2:F$746,"DESLOCAMENTO CARREGADO"),0)</f>
        <v>6378</v>
      </c>
      <c r="V135" s="30">
        <f t="shared" si="20"/>
        <v>26.787397303229856</v>
      </c>
      <c r="W135" s="9">
        <f t="shared" si="21"/>
        <v>0.1113695907489385</v>
      </c>
      <c r="X135" s="9">
        <f t="shared" si="22"/>
        <v>0.14405095311229563</v>
      </c>
      <c r="Y135" s="9">
        <f t="shared" si="23"/>
        <v>0.74457945613876597</v>
      </c>
    </row>
    <row r="136" spans="1:25" ht="15" customHeight="1" x14ac:dyDescent="0.35">
      <c r="A136" s="52">
        <v>8013469</v>
      </c>
      <c r="B136" s="51">
        <v>46124</v>
      </c>
      <c r="C136" s="7" t="s">
        <v>124</v>
      </c>
      <c r="D136" s="10">
        <f>IFERROR(SUMIFS('Base bordo'!G$2:G$746,'Base bordo'!C$2:C$746,A136,'Base bordo'!B$2:B$746,B136,'Base bordo'!F$2:F$746,"DESLOCAMENTO VAZIO"),0)</f>
        <v>2.4083333333333332</v>
      </c>
      <c r="E136" s="10">
        <f>IFERROR(SUMIFS('Base bordo'!G$2:G$746,'Base bordo'!C$2:C$746,A136,'Base bordo'!B$2:B$746,B136,'Base bordo'!F$2:F$746,"DESLOCAMENTO CARREGADO"),0)</f>
        <v>1.3047222222222221</v>
      </c>
      <c r="F136" s="10">
        <f>IFERROR(SUMIFS('Base bordo'!G$2:G$746,'Base bordo'!C$2:C$746,A136,'Base bordo'!B$2:B$746,B136,'Base bordo'!F$2:F$746,"DESLOCAMENTO"),0)</f>
        <v>0</v>
      </c>
      <c r="G136" s="10">
        <f>IFERROR(SUMIFS('Base bordo'!G$2:G$746,'Base bordo'!C$2:C$746,A136,'Base bordo'!B$2:B$746,B136,'Base bordo'!F$2:F$746,"CARREGAMENTO"),0)</f>
        <v>0</v>
      </c>
      <c r="H136" s="10">
        <f>IFERROR(SUMIFS('Base bordo'!G$2:G$746,'Base bordo'!C$2:C$746,A136,'Base bordo'!B$2:B$746,B136,'Base bordo'!F$2:F$746,"AGUARDANDO TRANSBORDO"),0)</f>
        <v>0</v>
      </c>
      <c r="I136" s="10">
        <f>IFERROR(SUMIFS('Base bordo'!G$2:G$746,'Base bordo'!C$2:C$746,A136,'Base bordo'!B$2:B$746,B136,'Base bordo'!F$2:F$746,"PÁTIO INTERNO"),0)+IFERROR(SUMIFS('Base bordo'!G$2:G$746,'Base bordo'!C$2:C$746,A136,'Base bordo'!B$2:B$746,B136,'Base bordo'!F$2:F$746,"PÁTIO EXTERNO"),0)+IFERROR(SUMIFS('Base bordo'!G$2:G$746,'Base bordo'!C$2:C$746,A136,'Base bordo'!B$2:B$746,B136,'Base bordo'!F$2:F$746,"PATIO - RESERVA"),0)+IFERROR(SUMIFS('Base bordo'!G$2:G$746,'Base bordo'!C$2:C$746,A136,'Base bordo'!B$2:B$746,B136,'Base bordo'!F$2:F$746,"MANOBRA CARRETAS-PATIO"),0)</f>
        <v>6.987222222222222</v>
      </c>
      <c r="J136" s="10">
        <f>IFERROR(SUMIFS('Base bordo'!G$2:G$746,'Base bordo'!C$2:C$746,A136,'Base bordo'!B$2:B$746,B136,'Base bordo'!F$2:F$746,"BALANÇA - ENTRADA"),0)+IFERROR(SUMIFS('Base bordo'!G$2:G$746,'Base bordo'!C$2:C$746,A136,'Base bordo'!B$2:B$746,B136,'Base bordo'!F$2:F$746,"BALANÇA - SAÍDA"),0)</f>
        <v>0.10888888888888888</v>
      </c>
      <c r="K136" s="10">
        <f>IFERROR(SUMIFS('Base bordo'!G$2:G$746,'Base bordo'!C$2:C$746,A136,'Base bordo'!B$2:B$746,B136,'Base bordo'!F$2:F$746,"MAN PREVENTIVA - MECANICA"),0)+IFERROR(SUMIFS('Base bordo'!G$2:G$746,'Base bordo'!C$2:C$746,A136,'Base bordo'!B$2:B$746,B136,'Base bordo'!F$2:F$746,"MAN CORRETIVA - MECANICA"),0)</f>
        <v>0</v>
      </c>
      <c r="L136" s="10">
        <f>IFERROR(SUMIFS('Base bordo'!G$2:G$746,'Base bordo'!C$2:C$746,A136,'Base bordo'!B$2:B$746,B136,'Base bordo'!F$2:F$746,"MANUTENCAO - T O"),0)+IFERROR(SUMIFS('Base bordo'!G$2:G$746,'Base bordo'!C$2:C$746,A136,'Base bordo'!B$2:B$746,B136,'Base bordo'!F$2:F$746,"MANUTENCAO BORRACHARIA"),0)+IFERROR(SUMIFS('Base bordo'!G$2:G$746,'Base bordo'!C$2:C$746,A136,'Base bordo'!B$2:B$746,B136,'Base bordo'!F$2:F$746,"MANUTENCAO EXTERNA  CONCESSIONARIA"),0)+IFERROR(SUMIFS('Base bordo'!G$2:G$746,'Base bordo'!C$2:C$746,A136,'Base bordo'!B$2:B$746,B136,'Base bordo'!F$2:F$746,"MANUTENCAO TELEMETRIA"),0)</f>
        <v>0</v>
      </c>
      <c r="M136" s="10">
        <f>IFERROR(SUMIFS('Base bordo'!G$2:G$746,'Base bordo'!C$2:C$746,A136,'Base bordo'!B$2:B$746,B136,'Base bordo'!F$2:F$746,"AGUARDANDO MANUTENCAO"),0)</f>
        <v>0</v>
      </c>
      <c r="N136" s="10">
        <f>IFERROR(SUMIFS('Base bordo'!G$2:G$746,'Base bordo'!C$2:C$746,A136,'Base bordo'!B$2:B$746,B136,'Base bordo'!F$2:F$746,"SEM APONTAMENTO"),0)</f>
        <v>0</v>
      </c>
      <c r="O136" s="10">
        <f t="shared" si="18"/>
        <v>1.7763568394002505E-15</v>
      </c>
      <c r="P136" s="10">
        <f>IFERROR(SUMIFS('Base bordo'!G$2:G$746,'Base bordo'!C$2:C$746,A136,'Base bordo'!B$2:B$746,B136),0)</f>
        <v>10.809166666666668</v>
      </c>
      <c r="Q136" s="10">
        <f>IFERROR(SUMIFS('Base bordo'!H$2:H$746,'Base bordo'!C$2:C$746,A136,'Base bordo'!B$2:B$746,B136,'Base bordo'!F$2:F$746,"DESLOCAMENTO VAZIO"),0)</f>
        <v>279312.71000000002</v>
      </c>
      <c r="R136" s="10">
        <f>IFERROR(SUMIFS('Base bordo'!I$2:I$746,'Base bordo'!C$2:C$746,A136,'Base bordo'!B$2:B$746,B136,'Base bordo'!F$2:F$746,"DESLOCAMENTO VAZIO"),0)</f>
        <v>8670</v>
      </c>
      <c r="S136" s="30">
        <f t="shared" si="19"/>
        <v>32.215998846597465</v>
      </c>
      <c r="T136" s="10">
        <f>IFERROR(SUMIFS('Base bordo'!H$2:H$746,'Base bordo'!C$2:C$746,A136,'Base bordo'!B$2:B$746,B136,'Base bordo'!F$2:F$746,"DESLOCAMENTO CARREGADO"),0)</f>
        <v>82241.990000000005</v>
      </c>
      <c r="U136" s="10">
        <f>IFERROR(SUMIFS('Base bordo'!I$2:I$746,'Base bordo'!C$2:C$746,A136,'Base bordo'!B$2:B$746,B136,'Base bordo'!F$2:F$746,"DESLOCAMENTO CARREGADO"),0)</f>
        <v>4697</v>
      </c>
      <c r="V136" s="30">
        <f t="shared" si="20"/>
        <v>17.50947200340643</v>
      </c>
      <c r="W136" s="9">
        <f t="shared" si="21"/>
        <v>0.22280471821756223</v>
      </c>
      <c r="X136" s="9">
        <f t="shared" si="22"/>
        <v>0.12070516279906456</v>
      </c>
      <c r="Y136" s="9">
        <f t="shared" si="23"/>
        <v>0.65649011898337317</v>
      </c>
    </row>
    <row r="137" spans="1:25" ht="15" customHeight="1" x14ac:dyDescent="0.35">
      <c r="A137" s="52">
        <v>8013470</v>
      </c>
      <c r="B137" s="51">
        <v>46120</v>
      </c>
      <c r="C137" s="7" t="s">
        <v>124</v>
      </c>
      <c r="D137" s="10">
        <f>IFERROR(SUMIFS('Base bordo'!G$2:G$746,'Base bordo'!C$2:C$746,A137,'Base bordo'!B$2:B$746,B137,'Base bordo'!F$2:F$746,"DESLOCAMENTO VAZIO"),0)</f>
        <v>0</v>
      </c>
      <c r="E137" s="10">
        <f>IFERROR(SUMIFS('Base bordo'!G$2:G$746,'Base bordo'!C$2:C$746,A137,'Base bordo'!B$2:B$746,B137,'Base bordo'!F$2:F$746,"DESLOCAMENTO CARREGADO"),0)</f>
        <v>0.90500000000000003</v>
      </c>
      <c r="F137" s="10">
        <f>IFERROR(SUMIFS('Base bordo'!G$2:G$746,'Base bordo'!C$2:C$746,A137,'Base bordo'!B$2:B$746,B137,'Base bordo'!F$2:F$746,"DESLOCAMENTO"),0)</f>
        <v>0</v>
      </c>
      <c r="G137" s="10">
        <f>IFERROR(SUMIFS('Base bordo'!G$2:G$746,'Base bordo'!C$2:C$746,A137,'Base bordo'!B$2:B$746,B137,'Base bordo'!F$2:F$746,"CARREGAMENTO"),0)</f>
        <v>0</v>
      </c>
      <c r="H137" s="10">
        <f>IFERROR(SUMIFS('Base bordo'!G$2:G$746,'Base bordo'!C$2:C$746,A137,'Base bordo'!B$2:B$746,B137,'Base bordo'!F$2:F$746,"AGUARDANDO TRANSBORDO"),0)</f>
        <v>0</v>
      </c>
      <c r="I137" s="10">
        <f>IFERROR(SUMIFS('Base bordo'!G$2:G$746,'Base bordo'!C$2:C$746,A137,'Base bordo'!B$2:B$746,B137,'Base bordo'!F$2:F$746,"PÁTIO INTERNO"),0)+IFERROR(SUMIFS('Base bordo'!G$2:G$746,'Base bordo'!C$2:C$746,A137,'Base bordo'!B$2:B$746,B137,'Base bordo'!F$2:F$746,"PÁTIO EXTERNO"),0)+IFERROR(SUMIFS('Base bordo'!G$2:G$746,'Base bordo'!C$2:C$746,A137,'Base bordo'!B$2:B$746,B137,'Base bordo'!F$2:F$746,"PATIO - RESERVA"),0)+IFERROR(SUMIFS('Base bordo'!G$2:G$746,'Base bordo'!C$2:C$746,A137,'Base bordo'!B$2:B$746,B137,'Base bordo'!F$2:F$746,"MANOBRA CARRETAS-PATIO"),0)</f>
        <v>3.3147222222222221</v>
      </c>
      <c r="J137" s="10">
        <f>IFERROR(SUMIFS('Base bordo'!G$2:G$746,'Base bordo'!C$2:C$746,A137,'Base bordo'!B$2:B$746,B137,'Base bordo'!F$2:F$746,"BALANÇA - ENTRADA"),0)+IFERROR(SUMIFS('Base bordo'!G$2:G$746,'Base bordo'!C$2:C$746,A137,'Base bordo'!B$2:B$746,B137,'Base bordo'!F$2:F$746,"BALANÇA - SAÍDA"),0)</f>
        <v>0</v>
      </c>
      <c r="K137" s="10">
        <f>IFERROR(SUMIFS('Base bordo'!G$2:G$746,'Base bordo'!C$2:C$746,A137,'Base bordo'!B$2:B$746,B137,'Base bordo'!F$2:F$746,"MAN PREVENTIVA - MECANICA"),0)+IFERROR(SUMIFS('Base bordo'!G$2:G$746,'Base bordo'!C$2:C$746,A137,'Base bordo'!B$2:B$746,B137,'Base bordo'!F$2:F$746,"MAN CORRETIVA - MECANICA"),0)</f>
        <v>0</v>
      </c>
      <c r="L137" s="10">
        <f>IFERROR(SUMIFS('Base bordo'!G$2:G$746,'Base bordo'!C$2:C$746,A137,'Base bordo'!B$2:B$746,B137,'Base bordo'!F$2:F$746,"MANUTENCAO - T O"),0)+IFERROR(SUMIFS('Base bordo'!G$2:G$746,'Base bordo'!C$2:C$746,A137,'Base bordo'!B$2:B$746,B137,'Base bordo'!F$2:F$746,"MANUTENCAO BORRACHARIA"),0)+IFERROR(SUMIFS('Base bordo'!G$2:G$746,'Base bordo'!C$2:C$746,A137,'Base bordo'!B$2:B$746,B137,'Base bordo'!F$2:F$746,"MANUTENCAO EXTERNA  CONCESSIONARIA"),0)+IFERROR(SUMIFS('Base bordo'!G$2:G$746,'Base bordo'!C$2:C$746,A137,'Base bordo'!B$2:B$746,B137,'Base bordo'!F$2:F$746,"MANUTENCAO TELEMETRIA"),0)</f>
        <v>0</v>
      </c>
      <c r="M137" s="10">
        <f>IFERROR(SUMIFS('Base bordo'!G$2:G$746,'Base bordo'!C$2:C$746,A137,'Base bordo'!B$2:B$746,B137,'Base bordo'!F$2:F$746,"AGUARDANDO MANUTENCAO"),0)</f>
        <v>0</v>
      </c>
      <c r="N137" s="10">
        <f>IFERROR(SUMIFS('Base bordo'!G$2:G$746,'Base bordo'!C$2:C$746,A137,'Base bordo'!B$2:B$746,B137,'Base bordo'!F$2:F$746,"SEM APONTAMENTO"),0)</f>
        <v>0</v>
      </c>
      <c r="O137" s="10">
        <f t="shared" si="18"/>
        <v>0</v>
      </c>
      <c r="P137" s="10">
        <f>IFERROR(SUMIFS('Base bordo'!G$2:G$746,'Base bordo'!C$2:C$746,A137,'Base bordo'!B$2:B$746,B137),0)</f>
        <v>4.2197222222222219</v>
      </c>
      <c r="Q137" s="10">
        <f>IFERROR(SUMIFS('Base bordo'!H$2:H$746,'Base bordo'!C$2:C$746,A137,'Base bordo'!B$2:B$746,B137,'Base bordo'!F$2:F$746,"DESLOCAMENTO VAZIO"),0)</f>
        <v>0</v>
      </c>
      <c r="R137" s="10">
        <f>IFERROR(SUMIFS('Base bordo'!I$2:I$746,'Base bordo'!C$2:C$746,A137,'Base bordo'!B$2:B$746,B137,'Base bordo'!F$2:F$746,"DESLOCAMENTO VAZIO"),0)</f>
        <v>0</v>
      </c>
      <c r="S137" s="30" t="str">
        <f t="shared" si="19"/>
        <v/>
      </c>
      <c r="T137" s="10">
        <f>IFERROR(SUMIFS('Base bordo'!H$2:H$746,'Base bordo'!C$2:C$746,A137,'Base bordo'!B$2:B$746,B137,'Base bordo'!F$2:F$746,"DESLOCAMENTO CARREGADO"),0)</f>
        <v>81971.28</v>
      </c>
      <c r="U137" s="10">
        <f>IFERROR(SUMIFS('Base bordo'!I$2:I$746,'Base bordo'!C$2:C$746,A137,'Base bordo'!B$2:B$746,B137,'Base bordo'!F$2:F$746,"DESLOCAMENTO CARREGADO"),0)</f>
        <v>3258</v>
      </c>
      <c r="V137" s="30">
        <f t="shared" si="20"/>
        <v>25.16</v>
      </c>
      <c r="W137" s="9">
        <f t="shared" si="21"/>
        <v>0</v>
      </c>
      <c r="X137" s="9">
        <f t="shared" si="22"/>
        <v>0.21446909354222898</v>
      </c>
      <c r="Y137" s="9">
        <f t="shared" si="23"/>
        <v>0.78553090645777102</v>
      </c>
    </row>
    <row r="138" spans="1:25" ht="15" customHeight="1" x14ac:dyDescent="0.35">
      <c r="A138" s="52">
        <v>8013460</v>
      </c>
      <c r="B138" s="51">
        <v>46118</v>
      </c>
      <c r="C138" s="7" t="s">
        <v>124</v>
      </c>
      <c r="D138" s="10">
        <f>IFERROR(SUMIFS('Base bordo'!G$2:G$746,'Base bordo'!C$2:C$746,A138,'Base bordo'!B$2:B$746,B138,'Base bordo'!F$2:F$746,"DESLOCAMENTO VAZIO"),0)</f>
        <v>1.5016666666666667</v>
      </c>
      <c r="E138" s="10">
        <f>IFERROR(SUMIFS('Base bordo'!G$2:G$746,'Base bordo'!C$2:C$746,A138,'Base bordo'!B$2:B$746,B138,'Base bordo'!F$2:F$746,"DESLOCAMENTO CARREGADO"),0)</f>
        <v>1.5738888888888889</v>
      </c>
      <c r="F138" s="10">
        <f>IFERROR(SUMIFS('Base bordo'!G$2:G$746,'Base bordo'!C$2:C$746,A138,'Base bordo'!B$2:B$746,B138,'Base bordo'!F$2:F$746,"DESLOCAMENTO"),0)</f>
        <v>0.6744444444444444</v>
      </c>
      <c r="G138" s="10">
        <f>IFERROR(SUMIFS('Base bordo'!G$2:G$746,'Base bordo'!C$2:C$746,A138,'Base bordo'!B$2:B$746,B138,'Base bordo'!F$2:F$746,"CARREGAMENTO"),0)</f>
        <v>1.0088888888888889</v>
      </c>
      <c r="H138" s="10">
        <f>IFERROR(SUMIFS('Base bordo'!G$2:G$746,'Base bordo'!C$2:C$746,A138,'Base bordo'!B$2:B$746,B138,'Base bordo'!F$2:F$746,"AGUARDANDO TRANSBORDO"),0)</f>
        <v>8.4444444444444447E-2</v>
      </c>
      <c r="I138" s="10">
        <f>IFERROR(SUMIFS('Base bordo'!G$2:G$746,'Base bordo'!C$2:C$746,A138,'Base bordo'!B$2:B$746,B138,'Base bordo'!F$2:F$746,"PÁTIO INTERNO"),0)+IFERROR(SUMIFS('Base bordo'!G$2:G$746,'Base bordo'!C$2:C$746,A138,'Base bordo'!B$2:B$746,B138,'Base bordo'!F$2:F$746,"PÁTIO EXTERNO"),0)+IFERROR(SUMIFS('Base bordo'!G$2:G$746,'Base bordo'!C$2:C$746,A138,'Base bordo'!B$2:B$746,B138,'Base bordo'!F$2:F$746,"PATIO - RESERVA"),0)+IFERROR(SUMIFS('Base bordo'!G$2:G$746,'Base bordo'!C$2:C$746,A138,'Base bordo'!B$2:B$746,B138,'Base bordo'!F$2:F$746,"MANOBRA CARRETAS-PATIO"),0)</f>
        <v>16.206388888888888</v>
      </c>
      <c r="J138" s="10">
        <f>IFERROR(SUMIFS('Base bordo'!G$2:G$746,'Base bordo'!C$2:C$746,A138,'Base bordo'!B$2:B$746,B138,'Base bordo'!F$2:F$746,"BALANÇA - ENTRADA"),0)+IFERROR(SUMIFS('Base bordo'!G$2:G$746,'Base bordo'!C$2:C$746,A138,'Base bordo'!B$2:B$746,B138,'Base bordo'!F$2:F$746,"BALANÇA - SAÍDA"),0)</f>
        <v>0.24055555555555555</v>
      </c>
      <c r="K138" s="10">
        <f>IFERROR(SUMIFS('Base bordo'!G$2:G$746,'Base bordo'!C$2:C$746,A138,'Base bordo'!B$2:B$746,B138,'Base bordo'!F$2:F$746,"MAN PREVENTIVA - MECANICA"),0)+IFERROR(SUMIFS('Base bordo'!G$2:G$746,'Base bordo'!C$2:C$746,A138,'Base bordo'!B$2:B$746,B138,'Base bordo'!F$2:F$746,"MAN CORRETIVA - MECANICA"),0)</f>
        <v>0</v>
      </c>
      <c r="L138" s="10">
        <f>IFERROR(SUMIFS('Base bordo'!G$2:G$746,'Base bordo'!C$2:C$746,A138,'Base bordo'!B$2:B$746,B138,'Base bordo'!F$2:F$746,"MANUTENCAO - T O"),0)+IFERROR(SUMIFS('Base bordo'!G$2:G$746,'Base bordo'!C$2:C$746,A138,'Base bordo'!B$2:B$746,B138,'Base bordo'!F$2:F$746,"MANUTENCAO BORRACHARIA"),0)+IFERROR(SUMIFS('Base bordo'!G$2:G$746,'Base bordo'!C$2:C$746,A138,'Base bordo'!B$2:B$746,B138,'Base bordo'!F$2:F$746,"MANUTENCAO EXTERNA  CONCESSIONARIA"),0)+IFERROR(SUMIFS('Base bordo'!G$2:G$746,'Base bordo'!C$2:C$746,A138,'Base bordo'!B$2:B$746,B138,'Base bordo'!F$2:F$746,"MANUTENCAO TELEMETRIA"),0)</f>
        <v>0.9719444444444445</v>
      </c>
      <c r="M138" s="10">
        <f>IFERROR(SUMIFS('Base bordo'!G$2:G$746,'Base bordo'!C$2:C$746,A138,'Base bordo'!B$2:B$746,B138,'Base bordo'!F$2:F$746,"AGUARDANDO MANUTENCAO"),0)</f>
        <v>0</v>
      </c>
      <c r="N138" s="10">
        <f>IFERROR(SUMIFS('Base bordo'!G$2:G$746,'Base bordo'!C$2:C$746,A138,'Base bordo'!B$2:B$746,B138,'Base bordo'!F$2:F$746,"SEM APONTAMENTO"),0)</f>
        <v>0.83916666666666662</v>
      </c>
      <c r="O138" s="10">
        <f t="shared" si="18"/>
        <v>0.89861111111111569</v>
      </c>
      <c r="P138" s="10">
        <f>IFERROR(SUMIFS('Base bordo'!G$2:G$746,'Base bordo'!C$2:C$746,A138,'Base bordo'!B$2:B$746,B138),0)</f>
        <v>24.000000000000004</v>
      </c>
      <c r="Q138" s="10">
        <f>IFERROR(SUMIFS('Base bordo'!H$2:H$746,'Base bordo'!C$2:C$746,A138,'Base bordo'!B$2:B$746,B138,'Base bordo'!F$2:F$746,"DESLOCAMENTO VAZIO"),0)</f>
        <v>102676.29</v>
      </c>
      <c r="R138" s="10">
        <f>IFERROR(SUMIFS('Base bordo'!I$2:I$746,'Base bordo'!C$2:C$746,A138,'Base bordo'!B$2:B$746,B138,'Base bordo'!F$2:F$746,"DESLOCAMENTO VAZIO"),0)</f>
        <v>5406</v>
      </c>
      <c r="S138" s="30">
        <f t="shared" si="19"/>
        <v>18.993024417314093</v>
      </c>
      <c r="T138" s="10">
        <f>IFERROR(SUMIFS('Base bordo'!H$2:H$746,'Base bordo'!C$2:C$746,A138,'Base bordo'!B$2:B$746,B138,'Base bordo'!F$2:F$746,"DESLOCAMENTO CARREGADO"),0)</f>
        <v>136256.08000000002</v>
      </c>
      <c r="U138" s="10">
        <f>IFERROR(SUMIFS('Base bordo'!I$2:I$746,'Base bordo'!C$2:C$746,A138,'Base bordo'!B$2:B$746,B138,'Base bordo'!F$2:F$746,"DESLOCAMENTO CARREGADO"),0)</f>
        <v>5660</v>
      </c>
      <c r="V138" s="30">
        <f t="shared" si="20"/>
        <v>24.073512367491169</v>
      </c>
      <c r="W138" s="9">
        <f t="shared" si="21"/>
        <v>6.2569444444444441E-2</v>
      </c>
      <c r="X138" s="9">
        <f t="shared" si="22"/>
        <v>6.5578703703703695E-2</v>
      </c>
      <c r="Y138" s="9">
        <f t="shared" si="23"/>
        <v>0.87185185185185188</v>
      </c>
    </row>
    <row r="139" spans="1:25" ht="15" customHeight="1" x14ac:dyDescent="0.35">
      <c r="A139" s="52">
        <v>8013461</v>
      </c>
      <c r="B139" s="51">
        <v>46117</v>
      </c>
      <c r="C139" s="7" t="s">
        <v>124</v>
      </c>
      <c r="D139" s="10">
        <f>IFERROR(SUMIFS('Base bordo'!G$2:G$746,'Base bordo'!C$2:C$746,A139,'Base bordo'!B$2:B$746,B139,'Base bordo'!F$2:F$746,"DESLOCAMENTO VAZIO"),0)</f>
        <v>4.035277777777778</v>
      </c>
      <c r="E139" s="10">
        <f>IFERROR(SUMIFS('Base bordo'!G$2:G$746,'Base bordo'!C$2:C$746,A139,'Base bordo'!B$2:B$746,B139,'Base bordo'!F$2:F$746,"DESLOCAMENTO CARREGADO"),0)</f>
        <v>0.74527777777777782</v>
      </c>
      <c r="F139" s="10">
        <f>IFERROR(SUMIFS('Base bordo'!G$2:G$746,'Base bordo'!C$2:C$746,A139,'Base bordo'!B$2:B$746,B139,'Base bordo'!F$2:F$746,"DESLOCAMENTO"),0)</f>
        <v>0.7155555555555555</v>
      </c>
      <c r="G139" s="10">
        <f>IFERROR(SUMIFS('Base bordo'!G$2:G$746,'Base bordo'!C$2:C$746,A139,'Base bordo'!B$2:B$746,B139,'Base bordo'!F$2:F$746,"CARREGAMENTO"),0)</f>
        <v>0.18611111111111112</v>
      </c>
      <c r="H139" s="10">
        <f>IFERROR(SUMIFS('Base bordo'!G$2:G$746,'Base bordo'!C$2:C$746,A139,'Base bordo'!B$2:B$746,B139,'Base bordo'!F$2:F$746,"AGUARDANDO TRANSBORDO"),0)</f>
        <v>0.22416666666666665</v>
      </c>
      <c r="I139" s="10">
        <f>IFERROR(SUMIFS('Base bordo'!G$2:G$746,'Base bordo'!C$2:C$746,A139,'Base bordo'!B$2:B$746,B139,'Base bordo'!F$2:F$746,"PÁTIO INTERNO"),0)+IFERROR(SUMIFS('Base bordo'!G$2:G$746,'Base bordo'!C$2:C$746,A139,'Base bordo'!B$2:B$746,B139,'Base bordo'!F$2:F$746,"PÁTIO EXTERNO"),0)+IFERROR(SUMIFS('Base bordo'!G$2:G$746,'Base bordo'!C$2:C$746,A139,'Base bordo'!B$2:B$746,B139,'Base bordo'!F$2:F$746,"PATIO - RESERVA"),0)+IFERROR(SUMIFS('Base bordo'!G$2:G$746,'Base bordo'!C$2:C$746,A139,'Base bordo'!B$2:B$746,B139,'Base bordo'!F$2:F$746,"MANOBRA CARRETAS-PATIO"),0)</f>
        <v>0</v>
      </c>
      <c r="J139" s="10">
        <f>IFERROR(SUMIFS('Base bordo'!G$2:G$746,'Base bordo'!C$2:C$746,A139,'Base bordo'!B$2:B$746,B139,'Base bordo'!F$2:F$746,"BALANÇA - ENTRADA"),0)+IFERROR(SUMIFS('Base bordo'!G$2:G$746,'Base bordo'!C$2:C$746,A139,'Base bordo'!B$2:B$746,B139,'Base bordo'!F$2:F$746,"BALANÇA - SAÍDA"),0)</f>
        <v>0</v>
      </c>
      <c r="K139" s="10">
        <f>IFERROR(SUMIFS('Base bordo'!G$2:G$746,'Base bordo'!C$2:C$746,A139,'Base bordo'!B$2:B$746,B139,'Base bordo'!F$2:F$746,"MAN PREVENTIVA - MECANICA"),0)+IFERROR(SUMIFS('Base bordo'!G$2:G$746,'Base bordo'!C$2:C$746,A139,'Base bordo'!B$2:B$746,B139,'Base bordo'!F$2:F$746,"MAN CORRETIVA - MECANICA"),0)</f>
        <v>0</v>
      </c>
      <c r="L139" s="10">
        <f>IFERROR(SUMIFS('Base bordo'!G$2:G$746,'Base bordo'!C$2:C$746,A139,'Base bordo'!B$2:B$746,B139,'Base bordo'!F$2:F$746,"MANUTENCAO - T O"),0)+IFERROR(SUMIFS('Base bordo'!G$2:G$746,'Base bordo'!C$2:C$746,A139,'Base bordo'!B$2:B$746,B139,'Base bordo'!F$2:F$746,"MANUTENCAO BORRACHARIA"),0)+IFERROR(SUMIFS('Base bordo'!G$2:G$746,'Base bordo'!C$2:C$746,A139,'Base bordo'!B$2:B$746,B139,'Base bordo'!F$2:F$746,"MANUTENCAO EXTERNA  CONCESSIONARIA"),0)+IFERROR(SUMIFS('Base bordo'!G$2:G$746,'Base bordo'!C$2:C$746,A139,'Base bordo'!B$2:B$746,B139,'Base bordo'!F$2:F$746,"MANUTENCAO TELEMETRIA"),0)</f>
        <v>8.9302777777777784</v>
      </c>
      <c r="M139" s="10">
        <f>IFERROR(SUMIFS('Base bordo'!G$2:G$746,'Base bordo'!C$2:C$746,A139,'Base bordo'!B$2:B$746,B139,'Base bordo'!F$2:F$746,"AGUARDANDO MANUTENCAO"),0)</f>
        <v>0</v>
      </c>
      <c r="N139" s="10">
        <f>IFERROR(SUMIFS('Base bordo'!G$2:G$746,'Base bordo'!C$2:C$746,A139,'Base bordo'!B$2:B$746,B139,'Base bordo'!F$2:F$746,"SEM APONTAMENTO"),0)</f>
        <v>0.91388888888888886</v>
      </c>
      <c r="O139" s="10">
        <f t="shared" si="18"/>
        <v>8.2494444444444426</v>
      </c>
      <c r="P139" s="10">
        <f>IFERROR(SUMIFS('Base bordo'!G$2:G$746,'Base bordo'!C$2:C$746,A139,'Base bordo'!B$2:B$746,B139),0)</f>
        <v>24</v>
      </c>
      <c r="Q139" s="10">
        <f>IFERROR(SUMIFS('Base bordo'!H$2:H$746,'Base bordo'!C$2:C$746,A139,'Base bordo'!B$2:B$746,B139,'Base bordo'!F$2:F$746,"DESLOCAMENTO VAZIO"),0)</f>
        <v>619414.3600000001</v>
      </c>
      <c r="R139" s="10">
        <f>IFERROR(SUMIFS('Base bordo'!I$2:I$746,'Base bordo'!C$2:C$746,A139,'Base bordo'!B$2:B$746,B139,'Base bordo'!F$2:F$746,"DESLOCAMENTO VAZIO"),0)</f>
        <v>14527</v>
      </c>
      <c r="S139" s="30">
        <f t="shared" si="19"/>
        <v>42.638835272251676</v>
      </c>
      <c r="T139" s="10">
        <f>IFERROR(SUMIFS('Base bordo'!H$2:H$746,'Base bordo'!C$2:C$746,A139,'Base bordo'!B$2:B$746,B139,'Base bordo'!F$2:F$746,"DESLOCAMENTO CARREGADO"),0)</f>
        <v>37451.120000000003</v>
      </c>
      <c r="U139" s="10">
        <f>IFERROR(SUMIFS('Base bordo'!I$2:I$746,'Base bordo'!C$2:C$746,A139,'Base bordo'!B$2:B$746,B139,'Base bordo'!F$2:F$746,"DESLOCAMENTO CARREGADO"),0)</f>
        <v>2683</v>
      </c>
      <c r="V139" s="30">
        <f t="shared" si="20"/>
        <v>13.958673127096535</v>
      </c>
      <c r="W139" s="9">
        <f t="shared" si="21"/>
        <v>0.16813657407407409</v>
      </c>
      <c r="X139" s="9">
        <f t="shared" si="22"/>
        <v>3.1053240740740742E-2</v>
      </c>
      <c r="Y139" s="9">
        <f t="shared" si="23"/>
        <v>0.80081018518518521</v>
      </c>
    </row>
    <row r="140" spans="1:25" ht="15" customHeight="1" x14ac:dyDescent="0.35">
      <c r="A140" s="52">
        <v>8013483</v>
      </c>
      <c r="B140" s="51">
        <v>46123</v>
      </c>
      <c r="C140" s="7" t="s">
        <v>124</v>
      </c>
      <c r="D140" s="10">
        <f>IFERROR(SUMIFS('Base bordo'!G$2:G$746,'Base bordo'!C$2:C$746,A140,'Base bordo'!B$2:B$746,B140,'Base bordo'!F$2:F$746,"DESLOCAMENTO VAZIO"),0)</f>
        <v>2.875</v>
      </c>
      <c r="E140" s="10">
        <f>IFERROR(SUMIFS('Base bordo'!G$2:G$746,'Base bordo'!C$2:C$746,A140,'Base bordo'!B$2:B$746,B140,'Base bordo'!F$2:F$746,"DESLOCAMENTO CARREGADO"),0)</f>
        <v>1.3638888888888889</v>
      </c>
      <c r="F140" s="10">
        <f>IFERROR(SUMIFS('Base bordo'!G$2:G$746,'Base bordo'!C$2:C$746,A140,'Base bordo'!B$2:B$746,B140,'Base bordo'!F$2:F$746,"DESLOCAMENTO"),0)</f>
        <v>0.20861111111111111</v>
      </c>
      <c r="G140" s="10">
        <f>IFERROR(SUMIFS('Base bordo'!G$2:G$746,'Base bordo'!C$2:C$746,A140,'Base bordo'!B$2:B$746,B140,'Base bordo'!F$2:F$746,"CARREGAMENTO"),0)</f>
        <v>0</v>
      </c>
      <c r="H140" s="10">
        <f>IFERROR(SUMIFS('Base bordo'!G$2:G$746,'Base bordo'!C$2:C$746,A140,'Base bordo'!B$2:B$746,B140,'Base bordo'!F$2:F$746,"AGUARDANDO TRANSBORDO"),0)</f>
        <v>0.54722222222222228</v>
      </c>
      <c r="I140" s="10">
        <f>IFERROR(SUMIFS('Base bordo'!G$2:G$746,'Base bordo'!C$2:C$746,A140,'Base bordo'!B$2:B$746,B140,'Base bordo'!F$2:F$746,"PÁTIO INTERNO"),0)+IFERROR(SUMIFS('Base bordo'!G$2:G$746,'Base bordo'!C$2:C$746,A140,'Base bordo'!B$2:B$746,B140,'Base bordo'!F$2:F$746,"PÁTIO EXTERNO"),0)+IFERROR(SUMIFS('Base bordo'!G$2:G$746,'Base bordo'!C$2:C$746,A140,'Base bordo'!B$2:B$746,B140,'Base bordo'!F$2:F$746,"PATIO - RESERVA"),0)+IFERROR(SUMIFS('Base bordo'!G$2:G$746,'Base bordo'!C$2:C$746,A140,'Base bordo'!B$2:B$746,B140,'Base bordo'!F$2:F$746,"MANOBRA CARRETAS-PATIO"),0)</f>
        <v>0.5708333333333333</v>
      </c>
      <c r="J140" s="10">
        <f>IFERROR(SUMIFS('Base bordo'!G$2:G$746,'Base bordo'!C$2:C$746,A140,'Base bordo'!B$2:B$746,B140,'Base bordo'!F$2:F$746,"BALANÇA - ENTRADA"),0)+IFERROR(SUMIFS('Base bordo'!G$2:G$746,'Base bordo'!C$2:C$746,A140,'Base bordo'!B$2:B$746,B140,'Base bordo'!F$2:F$746,"BALANÇA - SAÍDA"),0)</f>
        <v>0</v>
      </c>
      <c r="K140" s="10">
        <f>IFERROR(SUMIFS('Base bordo'!G$2:G$746,'Base bordo'!C$2:C$746,A140,'Base bordo'!B$2:B$746,B140,'Base bordo'!F$2:F$746,"MAN PREVENTIVA - MECANICA"),0)+IFERROR(SUMIFS('Base bordo'!G$2:G$746,'Base bordo'!C$2:C$746,A140,'Base bordo'!B$2:B$746,B140,'Base bordo'!F$2:F$746,"MAN CORRETIVA - MECANICA"),0)</f>
        <v>0</v>
      </c>
      <c r="L140" s="10">
        <f>IFERROR(SUMIFS('Base bordo'!G$2:G$746,'Base bordo'!C$2:C$746,A140,'Base bordo'!B$2:B$746,B140,'Base bordo'!F$2:F$746,"MANUTENCAO - T O"),0)+IFERROR(SUMIFS('Base bordo'!G$2:G$746,'Base bordo'!C$2:C$746,A140,'Base bordo'!B$2:B$746,B140,'Base bordo'!F$2:F$746,"MANUTENCAO BORRACHARIA"),0)+IFERROR(SUMIFS('Base bordo'!G$2:G$746,'Base bordo'!C$2:C$746,A140,'Base bordo'!B$2:B$746,B140,'Base bordo'!F$2:F$746,"MANUTENCAO EXTERNA  CONCESSIONARIA"),0)+IFERROR(SUMIFS('Base bordo'!G$2:G$746,'Base bordo'!C$2:C$746,A140,'Base bordo'!B$2:B$746,B140,'Base bordo'!F$2:F$746,"MANUTENCAO TELEMETRIA"),0)</f>
        <v>0</v>
      </c>
      <c r="M140" s="10">
        <f>IFERROR(SUMIFS('Base bordo'!G$2:G$746,'Base bordo'!C$2:C$746,A140,'Base bordo'!B$2:B$746,B140,'Base bordo'!F$2:F$746,"AGUARDANDO MANUTENCAO"),0)</f>
        <v>0</v>
      </c>
      <c r="N140" s="10">
        <f>IFERROR(SUMIFS('Base bordo'!G$2:G$746,'Base bordo'!C$2:C$746,A140,'Base bordo'!B$2:B$746,B140,'Base bordo'!F$2:F$746,"SEM APONTAMENTO"),0)</f>
        <v>0</v>
      </c>
      <c r="O140" s="10">
        <f t="shared" si="18"/>
        <v>0.27361111111111125</v>
      </c>
      <c r="P140" s="10">
        <f>IFERROR(SUMIFS('Base bordo'!G$2:G$746,'Base bordo'!C$2:C$746,A140,'Base bordo'!B$2:B$746,B140),0)</f>
        <v>5.8391666666666664</v>
      </c>
      <c r="Q140" s="10">
        <f>IFERROR(SUMIFS('Base bordo'!H$2:H$746,'Base bordo'!C$2:C$746,A140,'Base bordo'!B$2:B$746,B140,'Base bordo'!F$2:F$746,"DESLOCAMENTO VAZIO"),0)</f>
        <v>352932.77</v>
      </c>
      <c r="R140" s="10">
        <f>IFERROR(SUMIFS('Base bordo'!I$2:I$746,'Base bordo'!C$2:C$746,A140,'Base bordo'!B$2:B$746,B140,'Base bordo'!F$2:F$746,"DESLOCAMENTO VAZIO"),0)</f>
        <v>10350</v>
      </c>
      <c r="S140" s="30">
        <f t="shared" si="19"/>
        <v>34.099784541062803</v>
      </c>
      <c r="T140" s="10">
        <f>IFERROR(SUMIFS('Base bordo'!H$2:H$746,'Base bordo'!C$2:C$746,A140,'Base bordo'!B$2:B$746,B140,'Base bordo'!F$2:F$746,"DESLOCAMENTO CARREGADO"),0)</f>
        <v>73870.23000000001</v>
      </c>
      <c r="U140" s="10">
        <f>IFERROR(SUMIFS('Base bordo'!I$2:I$746,'Base bordo'!C$2:C$746,A140,'Base bordo'!B$2:B$746,B140,'Base bordo'!F$2:F$746,"DESLOCAMENTO CARREGADO"),0)</f>
        <v>4910</v>
      </c>
      <c r="V140" s="30">
        <f t="shared" si="20"/>
        <v>15.044853360488801</v>
      </c>
      <c r="W140" s="9">
        <f t="shared" si="21"/>
        <v>0.49236477807906381</v>
      </c>
      <c r="X140" s="9">
        <f t="shared" si="22"/>
        <v>0.23357594786166216</v>
      </c>
      <c r="Y140" s="9">
        <f t="shared" si="23"/>
        <v>0.27405927405927399</v>
      </c>
    </row>
    <row r="141" spans="1:25" ht="15" customHeight="1" x14ac:dyDescent="0.35">
      <c r="A141" s="52">
        <v>8013472</v>
      </c>
      <c r="B141" s="51">
        <v>46120</v>
      </c>
      <c r="C141" s="7" t="s">
        <v>124</v>
      </c>
      <c r="D141" s="10">
        <f>IFERROR(SUMIFS('Base bordo'!G$2:G$746,'Base bordo'!C$2:C$746,A141,'Base bordo'!B$2:B$746,B141,'Base bordo'!F$2:F$746,"DESLOCAMENTO VAZIO"),0)</f>
        <v>0.57944444444444443</v>
      </c>
      <c r="E141" s="10">
        <f>IFERROR(SUMIFS('Base bordo'!G$2:G$746,'Base bordo'!C$2:C$746,A141,'Base bordo'!B$2:B$746,B141,'Base bordo'!F$2:F$746,"DESLOCAMENTO CARREGADO"),0)</f>
        <v>0</v>
      </c>
      <c r="F141" s="10">
        <f>IFERROR(SUMIFS('Base bordo'!G$2:G$746,'Base bordo'!C$2:C$746,A141,'Base bordo'!B$2:B$746,B141,'Base bordo'!F$2:F$746,"DESLOCAMENTO"),0)</f>
        <v>0</v>
      </c>
      <c r="G141" s="10">
        <f>IFERROR(SUMIFS('Base bordo'!G$2:G$746,'Base bordo'!C$2:C$746,A141,'Base bordo'!B$2:B$746,B141,'Base bordo'!F$2:F$746,"CARREGAMENTO"),0)</f>
        <v>0</v>
      </c>
      <c r="H141" s="10">
        <f>IFERROR(SUMIFS('Base bordo'!G$2:G$746,'Base bordo'!C$2:C$746,A141,'Base bordo'!B$2:B$746,B141,'Base bordo'!F$2:F$746,"AGUARDANDO TRANSBORDO"),0)</f>
        <v>0</v>
      </c>
      <c r="I141" s="10">
        <f>IFERROR(SUMIFS('Base bordo'!G$2:G$746,'Base bordo'!C$2:C$746,A141,'Base bordo'!B$2:B$746,B141,'Base bordo'!F$2:F$746,"PÁTIO INTERNO"),0)+IFERROR(SUMIFS('Base bordo'!G$2:G$746,'Base bordo'!C$2:C$746,A141,'Base bordo'!B$2:B$746,B141,'Base bordo'!F$2:F$746,"PÁTIO EXTERNO"),0)+IFERROR(SUMIFS('Base bordo'!G$2:G$746,'Base bordo'!C$2:C$746,A141,'Base bordo'!B$2:B$746,B141,'Base bordo'!F$2:F$746,"PATIO - RESERVA"),0)+IFERROR(SUMIFS('Base bordo'!G$2:G$746,'Base bordo'!C$2:C$746,A141,'Base bordo'!B$2:B$746,B141,'Base bordo'!F$2:F$746,"MANOBRA CARRETAS-PATIO"),0)</f>
        <v>0</v>
      </c>
      <c r="J141" s="10">
        <f>IFERROR(SUMIFS('Base bordo'!G$2:G$746,'Base bordo'!C$2:C$746,A141,'Base bordo'!B$2:B$746,B141,'Base bordo'!F$2:F$746,"BALANÇA - ENTRADA"),0)+IFERROR(SUMIFS('Base bordo'!G$2:G$746,'Base bordo'!C$2:C$746,A141,'Base bordo'!B$2:B$746,B141,'Base bordo'!F$2:F$746,"BALANÇA - SAÍDA"),0)</f>
        <v>0</v>
      </c>
      <c r="K141" s="10">
        <f>IFERROR(SUMIFS('Base bordo'!G$2:G$746,'Base bordo'!C$2:C$746,A141,'Base bordo'!B$2:B$746,B141,'Base bordo'!F$2:F$746,"MAN PREVENTIVA - MECANICA"),0)+IFERROR(SUMIFS('Base bordo'!G$2:G$746,'Base bordo'!C$2:C$746,A141,'Base bordo'!B$2:B$746,B141,'Base bordo'!F$2:F$746,"MAN CORRETIVA - MECANICA"),0)</f>
        <v>0</v>
      </c>
      <c r="L141" s="10">
        <f>IFERROR(SUMIFS('Base bordo'!G$2:G$746,'Base bordo'!C$2:C$746,A141,'Base bordo'!B$2:B$746,B141,'Base bordo'!F$2:F$746,"MANUTENCAO - T O"),0)+IFERROR(SUMIFS('Base bordo'!G$2:G$746,'Base bordo'!C$2:C$746,A141,'Base bordo'!B$2:B$746,B141,'Base bordo'!F$2:F$746,"MANUTENCAO BORRACHARIA"),0)+IFERROR(SUMIFS('Base bordo'!G$2:G$746,'Base bordo'!C$2:C$746,A141,'Base bordo'!B$2:B$746,B141,'Base bordo'!F$2:F$746,"MANUTENCAO EXTERNA  CONCESSIONARIA"),0)+IFERROR(SUMIFS('Base bordo'!G$2:G$746,'Base bordo'!C$2:C$746,A141,'Base bordo'!B$2:B$746,B141,'Base bordo'!F$2:F$746,"MANUTENCAO TELEMETRIA"),0)</f>
        <v>0</v>
      </c>
      <c r="M141" s="10">
        <f>IFERROR(SUMIFS('Base bordo'!G$2:G$746,'Base bordo'!C$2:C$746,A141,'Base bordo'!B$2:B$746,B141,'Base bordo'!F$2:F$746,"AGUARDANDO MANUTENCAO"),0)</f>
        <v>0</v>
      </c>
      <c r="N141" s="10">
        <f>IFERROR(SUMIFS('Base bordo'!G$2:G$746,'Base bordo'!C$2:C$746,A141,'Base bordo'!B$2:B$746,B141,'Base bordo'!F$2:F$746,"SEM APONTAMENTO"),0)</f>
        <v>0</v>
      </c>
      <c r="O141" s="10">
        <f t="shared" si="18"/>
        <v>7.9047222222222224</v>
      </c>
      <c r="P141" s="10">
        <f>IFERROR(SUMIFS('Base bordo'!G$2:G$746,'Base bordo'!C$2:C$746,A141,'Base bordo'!B$2:B$746,B141),0)</f>
        <v>8.4841666666666669</v>
      </c>
      <c r="Q141" s="10">
        <f>IFERROR(SUMIFS('Base bordo'!H$2:H$746,'Base bordo'!C$2:C$746,A141,'Base bordo'!B$2:B$746,B141,'Base bordo'!F$2:F$746,"DESLOCAMENTO VAZIO"),0)</f>
        <v>71647.22</v>
      </c>
      <c r="R141" s="10">
        <f>IFERROR(SUMIFS('Base bordo'!I$2:I$746,'Base bordo'!C$2:C$746,A141,'Base bordo'!B$2:B$746,B141,'Base bordo'!F$2:F$746,"DESLOCAMENTO VAZIO"),0)</f>
        <v>2086</v>
      </c>
      <c r="S141" s="30">
        <f t="shared" si="19"/>
        <v>34.346701821668262</v>
      </c>
      <c r="T141" s="10">
        <f>IFERROR(SUMIFS('Base bordo'!H$2:H$746,'Base bordo'!C$2:C$746,A141,'Base bordo'!B$2:B$746,B141,'Base bordo'!F$2:F$746,"DESLOCAMENTO CARREGADO"),0)</f>
        <v>0</v>
      </c>
      <c r="U141" s="10">
        <f>IFERROR(SUMIFS('Base bordo'!I$2:I$746,'Base bordo'!C$2:C$746,A141,'Base bordo'!B$2:B$746,B141,'Base bordo'!F$2:F$746,"DESLOCAMENTO CARREGADO"),0)</f>
        <v>0</v>
      </c>
      <c r="V141" s="30" t="str">
        <f t="shared" si="20"/>
        <v/>
      </c>
      <c r="W141" s="9">
        <f t="shared" si="21"/>
        <v>6.8297154830894144E-2</v>
      </c>
      <c r="X141" s="9">
        <f t="shared" si="22"/>
        <v>0</v>
      </c>
      <c r="Y141" s="9">
        <f t="shared" si="23"/>
        <v>0.93170284516910584</v>
      </c>
    </row>
    <row r="142" spans="1:25" ht="15" customHeight="1" x14ac:dyDescent="0.35">
      <c r="A142" s="52">
        <v>8013474</v>
      </c>
      <c r="B142" s="51">
        <v>46118</v>
      </c>
      <c r="C142" s="7" t="s">
        <v>124</v>
      </c>
      <c r="D142" s="10">
        <f>IFERROR(SUMIFS('Base bordo'!G$2:G$746,'Base bordo'!C$2:C$746,A142,'Base bordo'!B$2:B$746,B142,'Base bordo'!F$2:F$746,"DESLOCAMENTO VAZIO"),0)</f>
        <v>0.72111111111111115</v>
      </c>
      <c r="E142" s="10">
        <f>IFERROR(SUMIFS('Base bordo'!G$2:G$746,'Base bordo'!C$2:C$746,A142,'Base bordo'!B$2:B$746,B142,'Base bordo'!F$2:F$746,"DESLOCAMENTO CARREGADO"),0)</f>
        <v>0.97972222222222227</v>
      </c>
      <c r="F142" s="10">
        <f>IFERROR(SUMIFS('Base bordo'!G$2:G$746,'Base bordo'!C$2:C$746,A142,'Base bordo'!B$2:B$746,B142,'Base bordo'!F$2:F$746,"DESLOCAMENTO"),0)</f>
        <v>0</v>
      </c>
      <c r="G142" s="10">
        <f>IFERROR(SUMIFS('Base bordo'!G$2:G$746,'Base bordo'!C$2:C$746,A142,'Base bordo'!B$2:B$746,B142,'Base bordo'!F$2:F$746,"CARREGAMENTO"),0)</f>
        <v>0</v>
      </c>
      <c r="H142" s="10">
        <f>IFERROR(SUMIFS('Base bordo'!G$2:G$746,'Base bordo'!C$2:C$746,A142,'Base bordo'!B$2:B$746,B142,'Base bordo'!F$2:F$746,"AGUARDANDO TRANSBORDO"),0)</f>
        <v>0.20861111111111111</v>
      </c>
      <c r="I142" s="10">
        <f>IFERROR(SUMIFS('Base bordo'!G$2:G$746,'Base bordo'!C$2:C$746,A142,'Base bordo'!B$2:B$746,B142,'Base bordo'!F$2:F$746,"PÁTIO INTERNO"),0)+IFERROR(SUMIFS('Base bordo'!G$2:G$746,'Base bordo'!C$2:C$746,A142,'Base bordo'!B$2:B$746,B142,'Base bordo'!F$2:F$746,"PÁTIO EXTERNO"),0)+IFERROR(SUMIFS('Base bordo'!G$2:G$746,'Base bordo'!C$2:C$746,A142,'Base bordo'!B$2:B$746,B142,'Base bordo'!F$2:F$746,"PATIO - RESERVA"),0)+IFERROR(SUMIFS('Base bordo'!G$2:G$746,'Base bordo'!C$2:C$746,A142,'Base bordo'!B$2:B$746,B142,'Base bordo'!F$2:F$746,"MANOBRA CARRETAS-PATIO"),0)</f>
        <v>8.4474999999999998</v>
      </c>
      <c r="J142" s="10">
        <f>IFERROR(SUMIFS('Base bordo'!G$2:G$746,'Base bordo'!C$2:C$746,A142,'Base bordo'!B$2:B$746,B142,'Base bordo'!F$2:F$746,"BALANÇA - ENTRADA"),0)+IFERROR(SUMIFS('Base bordo'!G$2:G$746,'Base bordo'!C$2:C$746,A142,'Base bordo'!B$2:B$746,B142,'Base bordo'!F$2:F$746,"BALANÇA - SAÍDA"),0)</f>
        <v>6.3611111111111118E-2</v>
      </c>
      <c r="K142" s="10">
        <f>IFERROR(SUMIFS('Base bordo'!G$2:G$746,'Base bordo'!C$2:C$746,A142,'Base bordo'!B$2:B$746,B142,'Base bordo'!F$2:F$746,"MAN PREVENTIVA - MECANICA"),0)+IFERROR(SUMIFS('Base bordo'!G$2:G$746,'Base bordo'!C$2:C$746,A142,'Base bordo'!B$2:B$746,B142,'Base bordo'!F$2:F$746,"MAN CORRETIVA - MECANICA"),0)</f>
        <v>0</v>
      </c>
      <c r="L142" s="10">
        <f>IFERROR(SUMIFS('Base bordo'!G$2:G$746,'Base bordo'!C$2:C$746,A142,'Base bordo'!B$2:B$746,B142,'Base bordo'!F$2:F$746,"MANUTENCAO - T O"),0)+IFERROR(SUMIFS('Base bordo'!G$2:G$746,'Base bordo'!C$2:C$746,A142,'Base bordo'!B$2:B$746,B142,'Base bordo'!F$2:F$746,"MANUTENCAO BORRACHARIA"),0)+IFERROR(SUMIFS('Base bordo'!G$2:G$746,'Base bordo'!C$2:C$746,A142,'Base bordo'!B$2:B$746,B142,'Base bordo'!F$2:F$746,"MANUTENCAO EXTERNA  CONCESSIONARIA"),0)+IFERROR(SUMIFS('Base bordo'!G$2:G$746,'Base bordo'!C$2:C$746,A142,'Base bordo'!B$2:B$746,B142,'Base bordo'!F$2:F$746,"MANUTENCAO TELEMETRIA"),0)</f>
        <v>8.77</v>
      </c>
      <c r="M142" s="10">
        <f>IFERROR(SUMIFS('Base bordo'!G$2:G$746,'Base bordo'!C$2:C$746,A142,'Base bordo'!B$2:B$746,B142,'Base bordo'!F$2:F$746,"AGUARDANDO MANUTENCAO"),0)</f>
        <v>0</v>
      </c>
      <c r="N142" s="10">
        <f>IFERROR(SUMIFS('Base bordo'!G$2:G$746,'Base bordo'!C$2:C$746,A142,'Base bordo'!B$2:B$746,B142,'Base bordo'!F$2:F$746,"SEM APONTAMENTO"),0)</f>
        <v>0</v>
      </c>
      <c r="O142" s="10">
        <f t="shared" si="18"/>
        <v>0</v>
      </c>
      <c r="P142" s="10">
        <f>IFERROR(SUMIFS('Base bordo'!G$2:G$746,'Base bordo'!C$2:C$746,A142,'Base bordo'!B$2:B$746,B142),0)</f>
        <v>19.190555555555555</v>
      </c>
      <c r="Q142" s="10">
        <f>IFERROR(SUMIFS('Base bordo'!H$2:H$746,'Base bordo'!C$2:C$746,A142,'Base bordo'!B$2:B$746,B142,'Base bordo'!F$2:F$746,"DESLOCAMENTO VAZIO"),0)</f>
        <v>70252.17</v>
      </c>
      <c r="R142" s="10">
        <f>IFERROR(SUMIFS('Base bordo'!I$2:I$746,'Base bordo'!C$2:C$746,A142,'Base bordo'!B$2:B$746,B142,'Base bordo'!F$2:F$746,"DESLOCAMENTO VAZIO"),0)</f>
        <v>2596</v>
      </c>
      <c r="S142" s="30">
        <f t="shared" si="19"/>
        <v>27.061698767334359</v>
      </c>
      <c r="T142" s="10">
        <f>IFERROR(SUMIFS('Base bordo'!H$2:H$746,'Base bordo'!C$2:C$746,A142,'Base bordo'!B$2:B$746,B142,'Base bordo'!F$2:F$746,"DESLOCAMENTO CARREGADO"),0)</f>
        <v>68679.02</v>
      </c>
      <c r="U142" s="10">
        <f>IFERROR(SUMIFS('Base bordo'!I$2:I$746,'Base bordo'!C$2:C$746,A142,'Base bordo'!B$2:B$746,B142,'Base bordo'!F$2:F$746,"DESLOCAMENTO CARREGADO"),0)</f>
        <v>3527</v>
      </c>
      <c r="V142" s="30">
        <f t="shared" si="20"/>
        <v>19.472361780550045</v>
      </c>
      <c r="W142" s="9">
        <f t="shared" si="21"/>
        <v>3.7576354109370928E-2</v>
      </c>
      <c r="X142" s="9">
        <f t="shared" si="22"/>
        <v>5.1052311611614512E-2</v>
      </c>
      <c r="Y142" s="9">
        <f t="shared" si="23"/>
        <v>0.91137133427901451</v>
      </c>
    </row>
    <row r="143" spans="1:25" ht="15" customHeight="1" x14ac:dyDescent="0.35">
      <c r="A143" s="52">
        <v>8013476</v>
      </c>
      <c r="B143" s="51">
        <v>46118</v>
      </c>
      <c r="C143" s="7" t="s">
        <v>124</v>
      </c>
      <c r="D143" s="10">
        <f>IFERROR(SUMIFS('Base bordo'!G$2:G$746,'Base bordo'!C$2:C$746,A143,'Base bordo'!B$2:B$746,B143,'Base bordo'!F$2:F$746,"DESLOCAMENTO VAZIO"),0)</f>
        <v>0.76361111111111113</v>
      </c>
      <c r="E143" s="10">
        <f>IFERROR(SUMIFS('Base bordo'!G$2:G$746,'Base bordo'!C$2:C$746,A143,'Base bordo'!B$2:B$746,B143,'Base bordo'!F$2:F$746,"DESLOCAMENTO CARREGADO"),0)</f>
        <v>0.6594444444444445</v>
      </c>
      <c r="F143" s="10">
        <f>IFERROR(SUMIFS('Base bordo'!G$2:G$746,'Base bordo'!C$2:C$746,A143,'Base bordo'!B$2:B$746,B143,'Base bordo'!F$2:F$746,"DESLOCAMENTO"),0)</f>
        <v>0</v>
      </c>
      <c r="G143" s="10">
        <f>IFERROR(SUMIFS('Base bordo'!G$2:G$746,'Base bordo'!C$2:C$746,A143,'Base bordo'!B$2:B$746,B143,'Base bordo'!F$2:F$746,"CARREGAMENTO"),0)</f>
        <v>0</v>
      </c>
      <c r="H143" s="10">
        <f>IFERROR(SUMIFS('Base bordo'!G$2:G$746,'Base bordo'!C$2:C$746,A143,'Base bordo'!B$2:B$746,B143,'Base bordo'!F$2:F$746,"AGUARDANDO TRANSBORDO"),0)</f>
        <v>1.1111111111111112</v>
      </c>
      <c r="I143" s="10">
        <f>IFERROR(SUMIFS('Base bordo'!G$2:G$746,'Base bordo'!C$2:C$746,A143,'Base bordo'!B$2:B$746,B143,'Base bordo'!F$2:F$746,"PÁTIO INTERNO"),0)+IFERROR(SUMIFS('Base bordo'!G$2:G$746,'Base bordo'!C$2:C$746,A143,'Base bordo'!B$2:B$746,B143,'Base bordo'!F$2:F$746,"PÁTIO EXTERNO"),0)+IFERROR(SUMIFS('Base bordo'!G$2:G$746,'Base bordo'!C$2:C$746,A143,'Base bordo'!B$2:B$746,B143,'Base bordo'!F$2:F$746,"PATIO - RESERVA"),0)+IFERROR(SUMIFS('Base bordo'!G$2:G$746,'Base bordo'!C$2:C$746,A143,'Base bordo'!B$2:B$746,B143,'Base bordo'!F$2:F$746,"MANOBRA CARRETAS-PATIO"),0)</f>
        <v>5.693888888888889</v>
      </c>
      <c r="J143" s="10">
        <f>IFERROR(SUMIFS('Base bordo'!G$2:G$746,'Base bordo'!C$2:C$746,A143,'Base bordo'!B$2:B$746,B143,'Base bordo'!F$2:F$746,"BALANÇA - ENTRADA"),0)+IFERROR(SUMIFS('Base bordo'!G$2:G$746,'Base bordo'!C$2:C$746,A143,'Base bordo'!B$2:B$746,B143,'Base bordo'!F$2:F$746,"BALANÇA - SAÍDA"),0)</f>
        <v>0.11305555555555555</v>
      </c>
      <c r="K143" s="10">
        <f>IFERROR(SUMIFS('Base bordo'!G$2:G$746,'Base bordo'!C$2:C$746,A143,'Base bordo'!B$2:B$746,B143,'Base bordo'!F$2:F$746,"MAN PREVENTIVA - MECANICA"),0)+IFERROR(SUMIFS('Base bordo'!G$2:G$746,'Base bordo'!C$2:C$746,A143,'Base bordo'!B$2:B$746,B143,'Base bordo'!F$2:F$746,"MAN CORRETIVA - MECANICA"),0)</f>
        <v>0</v>
      </c>
      <c r="L143" s="10">
        <f>IFERROR(SUMIFS('Base bordo'!G$2:G$746,'Base bordo'!C$2:C$746,A143,'Base bordo'!B$2:B$746,B143,'Base bordo'!F$2:F$746,"MANUTENCAO - T O"),0)+IFERROR(SUMIFS('Base bordo'!G$2:G$746,'Base bordo'!C$2:C$746,A143,'Base bordo'!B$2:B$746,B143,'Base bordo'!F$2:F$746,"MANUTENCAO BORRACHARIA"),0)+IFERROR(SUMIFS('Base bordo'!G$2:G$746,'Base bordo'!C$2:C$746,A143,'Base bordo'!B$2:B$746,B143,'Base bordo'!F$2:F$746,"MANUTENCAO EXTERNA  CONCESSIONARIA"),0)+IFERROR(SUMIFS('Base bordo'!G$2:G$746,'Base bordo'!C$2:C$746,A143,'Base bordo'!B$2:B$746,B143,'Base bordo'!F$2:F$746,"MANUTENCAO TELEMETRIA"),0)</f>
        <v>2.7313888888888891</v>
      </c>
      <c r="M143" s="10">
        <f>IFERROR(SUMIFS('Base bordo'!G$2:G$746,'Base bordo'!C$2:C$746,A143,'Base bordo'!B$2:B$746,B143,'Base bordo'!F$2:F$746,"AGUARDANDO MANUTENCAO"),0)</f>
        <v>0</v>
      </c>
      <c r="N143" s="10">
        <f>IFERROR(SUMIFS('Base bordo'!G$2:G$746,'Base bordo'!C$2:C$746,A143,'Base bordo'!B$2:B$746,B143,'Base bordo'!F$2:F$746,"SEM APONTAMENTO"),0)</f>
        <v>0</v>
      </c>
      <c r="O143" s="10">
        <f t="shared" ref="O143:O206" si="24">IFERROR(P143-SUM(D143:N143),0)</f>
        <v>0</v>
      </c>
      <c r="P143" s="10">
        <f>IFERROR(SUMIFS('Base bordo'!G$2:G$746,'Base bordo'!C$2:C$746,A143,'Base bordo'!B$2:B$746,B143),0)</f>
        <v>11.072500000000002</v>
      </c>
      <c r="Q143" s="10">
        <f>IFERROR(SUMIFS('Base bordo'!H$2:H$746,'Base bordo'!C$2:C$746,A143,'Base bordo'!B$2:B$746,B143,'Base bordo'!F$2:F$746,"DESLOCAMENTO VAZIO"),0)</f>
        <v>69562.86</v>
      </c>
      <c r="R143" s="10">
        <f>IFERROR(SUMIFS('Base bordo'!I$2:I$746,'Base bordo'!C$2:C$746,A143,'Base bordo'!B$2:B$746,B143,'Base bordo'!F$2:F$746,"DESLOCAMENTO VAZIO"),0)</f>
        <v>2749</v>
      </c>
      <c r="S143" s="30">
        <f t="shared" ref="S143:S206" si="25">IFERROR(Q143/R143,"")</f>
        <v>25.30478719534376</v>
      </c>
      <c r="T143" s="10">
        <f>IFERROR(SUMIFS('Base bordo'!H$2:H$746,'Base bordo'!C$2:C$746,A143,'Base bordo'!B$2:B$746,B143,'Base bordo'!F$2:F$746,"DESLOCAMENTO CARREGADO"),0)</f>
        <v>60370.82</v>
      </c>
      <c r="U143" s="10">
        <f>IFERROR(SUMIFS('Base bordo'!I$2:I$746,'Base bordo'!C$2:C$746,A143,'Base bordo'!B$2:B$746,B143,'Base bordo'!F$2:F$746,"DESLOCAMENTO CARREGADO"),0)</f>
        <v>2374</v>
      </c>
      <c r="V143" s="30">
        <f t="shared" ref="V143:V206" si="26">IFERROR(T143/U143,"")</f>
        <v>25.43</v>
      </c>
      <c r="W143" s="9">
        <f t="shared" ref="W143:W206" si="27">IFERROR(D143/P143,0)</f>
        <v>6.8964652166277812E-2</v>
      </c>
      <c r="X143" s="9">
        <f t="shared" ref="X143:X206" si="28">IFERROR(E143/P143,0)</f>
        <v>5.955696043752038E-2</v>
      </c>
      <c r="Y143" s="9">
        <f t="shared" ref="Y143:Y206" si="29">IFERROR(1-((D143+E143)/P143),0)</f>
        <v>0.87147838739620176</v>
      </c>
    </row>
    <row r="144" spans="1:25" ht="15" customHeight="1" x14ac:dyDescent="0.35">
      <c r="A144" s="52">
        <v>8013474</v>
      </c>
      <c r="B144" s="51">
        <v>46118</v>
      </c>
      <c r="C144" s="7" t="s">
        <v>124</v>
      </c>
      <c r="D144" s="10">
        <f>IFERROR(SUMIFS('Base bordo'!G$2:G$746,'Base bordo'!C$2:C$746,A144,'Base bordo'!B$2:B$746,B144,'Base bordo'!F$2:F$746,"DESLOCAMENTO VAZIO"),0)</f>
        <v>0.72111111111111115</v>
      </c>
      <c r="E144" s="10">
        <f>IFERROR(SUMIFS('Base bordo'!G$2:G$746,'Base bordo'!C$2:C$746,A144,'Base bordo'!B$2:B$746,B144,'Base bordo'!F$2:F$746,"DESLOCAMENTO CARREGADO"),0)</f>
        <v>0.97972222222222227</v>
      </c>
      <c r="F144" s="10">
        <f>IFERROR(SUMIFS('Base bordo'!G$2:G$746,'Base bordo'!C$2:C$746,A144,'Base bordo'!B$2:B$746,B144,'Base bordo'!F$2:F$746,"DESLOCAMENTO"),0)</f>
        <v>0</v>
      </c>
      <c r="G144" s="10">
        <f>IFERROR(SUMIFS('Base bordo'!G$2:G$746,'Base bordo'!C$2:C$746,A144,'Base bordo'!B$2:B$746,B144,'Base bordo'!F$2:F$746,"CARREGAMENTO"),0)</f>
        <v>0</v>
      </c>
      <c r="H144" s="10">
        <f>IFERROR(SUMIFS('Base bordo'!G$2:G$746,'Base bordo'!C$2:C$746,A144,'Base bordo'!B$2:B$746,B144,'Base bordo'!F$2:F$746,"AGUARDANDO TRANSBORDO"),0)</f>
        <v>0.20861111111111111</v>
      </c>
      <c r="I144" s="10">
        <f>IFERROR(SUMIFS('Base bordo'!G$2:G$746,'Base bordo'!C$2:C$746,A144,'Base bordo'!B$2:B$746,B144,'Base bordo'!F$2:F$746,"PÁTIO INTERNO"),0)+IFERROR(SUMIFS('Base bordo'!G$2:G$746,'Base bordo'!C$2:C$746,A144,'Base bordo'!B$2:B$746,B144,'Base bordo'!F$2:F$746,"PÁTIO EXTERNO"),0)+IFERROR(SUMIFS('Base bordo'!G$2:G$746,'Base bordo'!C$2:C$746,A144,'Base bordo'!B$2:B$746,B144,'Base bordo'!F$2:F$746,"PATIO - RESERVA"),0)+IFERROR(SUMIFS('Base bordo'!G$2:G$746,'Base bordo'!C$2:C$746,A144,'Base bordo'!B$2:B$746,B144,'Base bordo'!F$2:F$746,"MANOBRA CARRETAS-PATIO"),0)</f>
        <v>8.4474999999999998</v>
      </c>
      <c r="J144" s="10">
        <f>IFERROR(SUMIFS('Base bordo'!G$2:G$746,'Base bordo'!C$2:C$746,A144,'Base bordo'!B$2:B$746,B144,'Base bordo'!F$2:F$746,"BALANÇA - ENTRADA"),0)+IFERROR(SUMIFS('Base bordo'!G$2:G$746,'Base bordo'!C$2:C$746,A144,'Base bordo'!B$2:B$746,B144,'Base bordo'!F$2:F$746,"BALANÇA - SAÍDA"),0)</f>
        <v>6.3611111111111118E-2</v>
      </c>
      <c r="K144" s="10">
        <f>IFERROR(SUMIFS('Base bordo'!G$2:G$746,'Base bordo'!C$2:C$746,A144,'Base bordo'!B$2:B$746,B144,'Base bordo'!F$2:F$746,"MAN PREVENTIVA - MECANICA"),0)+IFERROR(SUMIFS('Base bordo'!G$2:G$746,'Base bordo'!C$2:C$746,A144,'Base bordo'!B$2:B$746,B144,'Base bordo'!F$2:F$746,"MAN CORRETIVA - MECANICA"),0)</f>
        <v>0</v>
      </c>
      <c r="L144" s="10">
        <f>IFERROR(SUMIFS('Base bordo'!G$2:G$746,'Base bordo'!C$2:C$746,A144,'Base bordo'!B$2:B$746,B144,'Base bordo'!F$2:F$746,"MANUTENCAO - T O"),0)+IFERROR(SUMIFS('Base bordo'!G$2:G$746,'Base bordo'!C$2:C$746,A144,'Base bordo'!B$2:B$746,B144,'Base bordo'!F$2:F$746,"MANUTENCAO BORRACHARIA"),0)+IFERROR(SUMIFS('Base bordo'!G$2:G$746,'Base bordo'!C$2:C$746,A144,'Base bordo'!B$2:B$746,B144,'Base bordo'!F$2:F$746,"MANUTENCAO EXTERNA  CONCESSIONARIA"),0)+IFERROR(SUMIFS('Base bordo'!G$2:G$746,'Base bordo'!C$2:C$746,A144,'Base bordo'!B$2:B$746,B144,'Base bordo'!F$2:F$746,"MANUTENCAO TELEMETRIA"),0)</f>
        <v>8.77</v>
      </c>
      <c r="M144" s="10">
        <f>IFERROR(SUMIFS('Base bordo'!G$2:G$746,'Base bordo'!C$2:C$746,A144,'Base bordo'!B$2:B$746,B144,'Base bordo'!F$2:F$746,"AGUARDANDO MANUTENCAO"),0)</f>
        <v>0</v>
      </c>
      <c r="N144" s="10">
        <f>IFERROR(SUMIFS('Base bordo'!G$2:G$746,'Base bordo'!C$2:C$746,A144,'Base bordo'!B$2:B$746,B144,'Base bordo'!F$2:F$746,"SEM APONTAMENTO"),0)</f>
        <v>0</v>
      </c>
      <c r="O144" s="10">
        <f t="shared" si="24"/>
        <v>0</v>
      </c>
      <c r="P144" s="10">
        <f>IFERROR(SUMIFS('Base bordo'!G$2:G$746,'Base bordo'!C$2:C$746,A144,'Base bordo'!B$2:B$746,B144),0)</f>
        <v>19.190555555555555</v>
      </c>
      <c r="Q144" s="10">
        <f>IFERROR(SUMIFS('Base bordo'!H$2:H$746,'Base bordo'!C$2:C$746,A144,'Base bordo'!B$2:B$746,B144,'Base bordo'!F$2:F$746,"DESLOCAMENTO VAZIO"),0)</f>
        <v>70252.17</v>
      </c>
      <c r="R144" s="10">
        <f>IFERROR(SUMIFS('Base bordo'!I$2:I$746,'Base bordo'!C$2:C$746,A144,'Base bordo'!B$2:B$746,B144,'Base bordo'!F$2:F$746,"DESLOCAMENTO VAZIO"),0)</f>
        <v>2596</v>
      </c>
      <c r="S144" s="30">
        <f t="shared" si="25"/>
        <v>27.061698767334359</v>
      </c>
      <c r="T144" s="10">
        <f>IFERROR(SUMIFS('Base bordo'!H$2:H$746,'Base bordo'!C$2:C$746,A144,'Base bordo'!B$2:B$746,B144,'Base bordo'!F$2:F$746,"DESLOCAMENTO CARREGADO"),0)</f>
        <v>68679.02</v>
      </c>
      <c r="U144" s="10">
        <f>IFERROR(SUMIFS('Base bordo'!I$2:I$746,'Base bordo'!C$2:C$746,A144,'Base bordo'!B$2:B$746,B144,'Base bordo'!F$2:F$746,"DESLOCAMENTO CARREGADO"),0)</f>
        <v>3527</v>
      </c>
      <c r="V144" s="30">
        <f t="shared" si="26"/>
        <v>19.472361780550045</v>
      </c>
      <c r="W144" s="9">
        <f t="shared" si="27"/>
        <v>3.7576354109370928E-2</v>
      </c>
      <c r="X144" s="9">
        <f t="shared" si="28"/>
        <v>5.1052311611614512E-2</v>
      </c>
      <c r="Y144" s="9">
        <f t="shared" si="29"/>
        <v>0.91137133427901451</v>
      </c>
    </row>
    <row r="145" spans="1:25" ht="15" customHeight="1" x14ac:dyDescent="0.35">
      <c r="A145" s="52">
        <v>8013469</v>
      </c>
      <c r="B145" s="51">
        <v>46117</v>
      </c>
      <c r="C145" s="7" t="s">
        <v>124</v>
      </c>
      <c r="D145" s="10">
        <f>IFERROR(SUMIFS('Base bordo'!G$2:G$746,'Base bordo'!C$2:C$746,A145,'Base bordo'!B$2:B$746,B145,'Base bordo'!F$2:F$746,"DESLOCAMENTO VAZIO"),0)</f>
        <v>0.81472222222222224</v>
      </c>
      <c r="E145" s="10">
        <f>IFERROR(SUMIFS('Base bordo'!G$2:G$746,'Base bordo'!C$2:C$746,A145,'Base bordo'!B$2:B$746,B145,'Base bordo'!F$2:F$746,"DESLOCAMENTO CARREGADO"),0)</f>
        <v>0.8913888888888889</v>
      </c>
      <c r="F145" s="10">
        <f>IFERROR(SUMIFS('Base bordo'!G$2:G$746,'Base bordo'!C$2:C$746,A145,'Base bordo'!B$2:B$746,B145,'Base bordo'!F$2:F$746,"DESLOCAMENTO"),0)</f>
        <v>0.54305555555555551</v>
      </c>
      <c r="G145" s="10">
        <f>IFERROR(SUMIFS('Base bordo'!G$2:G$746,'Base bordo'!C$2:C$746,A145,'Base bordo'!B$2:B$746,B145,'Base bordo'!F$2:F$746,"CARREGAMENTO"),0)</f>
        <v>4.5863888888888891</v>
      </c>
      <c r="H145" s="10">
        <f>IFERROR(SUMIFS('Base bordo'!G$2:G$746,'Base bordo'!C$2:C$746,A145,'Base bordo'!B$2:B$746,B145,'Base bordo'!F$2:F$746,"AGUARDANDO TRANSBORDO"),0)</f>
        <v>0.11166666666666666</v>
      </c>
      <c r="I145" s="10">
        <f>IFERROR(SUMIFS('Base bordo'!G$2:G$746,'Base bordo'!C$2:C$746,A145,'Base bordo'!B$2:B$746,B145,'Base bordo'!F$2:F$746,"PÁTIO INTERNO"),0)+IFERROR(SUMIFS('Base bordo'!G$2:G$746,'Base bordo'!C$2:C$746,A145,'Base bordo'!B$2:B$746,B145,'Base bordo'!F$2:F$746,"PÁTIO EXTERNO"),0)+IFERROR(SUMIFS('Base bordo'!G$2:G$746,'Base bordo'!C$2:C$746,A145,'Base bordo'!B$2:B$746,B145,'Base bordo'!F$2:F$746,"PATIO - RESERVA"),0)+IFERROR(SUMIFS('Base bordo'!G$2:G$746,'Base bordo'!C$2:C$746,A145,'Base bordo'!B$2:B$746,B145,'Base bordo'!F$2:F$746,"MANOBRA CARRETAS-PATIO"),0)</f>
        <v>2.3947222222222222</v>
      </c>
      <c r="J145" s="10">
        <f>IFERROR(SUMIFS('Base bordo'!G$2:G$746,'Base bordo'!C$2:C$746,A145,'Base bordo'!B$2:B$746,B145,'Base bordo'!F$2:F$746,"BALANÇA - ENTRADA"),0)+IFERROR(SUMIFS('Base bordo'!G$2:G$746,'Base bordo'!C$2:C$746,A145,'Base bordo'!B$2:B$746,B145,'Base bordo'!F$2:F$746,"BALANÇA - SAÍDA"),0)</f>
        <v>0</v>
      </c>
      <c r="K145" s="10">
        <f>IFERROR(SUMIFS('Base bordo'!G$2:G$746,'Base bordo'!C$2:C$746,A145,'Base bordo'!B$2:B$746,B145,'Base bordo'!F$2:F$746,"MAN PREVENTIVA - MECANICA"),0)+IFERROR(SUMIFS('Base bordo'!G$2:G$746,'Base bordo'!C$2:C$746,A145,'Base bordo'!B$2:B$746,B145,'Base bordo'!F$2:F$746,"MAN CORRETIVA - MECANICA"),0)</f>
        <v>0</v>
      </c>
      <c r="L145" s="10">
        <f>IFERROR(SUMIFS('Base bordo'!G$2:G$746,'Base bordo'!C$2:C$746,A145,'Base bordo'!B$2:B$746,B145,'Base bordo'!F$2:F$746,"MANUTENCAO - T O"),0)+IFERROR(SUMIFS('Base bordo'!G$2:G$746,'Base bordo'!C$2:C$746,A145,'Base bordo'!B$2:B$746,B145,'Base bordo'!F$2:F$746,"MANUTENCAO BORRACHARIA"),0)+IFERROR(SUMIFS('Base bordo'!G$2:G$746,'Base bordo'!C$2:C$746,A145,'Base bordo'!B$2:B$746,B145,'Base bordo'!F$2:F$746,"MANUTENCAO EXTERNA  CONCESSIONARIA"),0)+IFERROR(SUMIFS('Base bordo'!G$2:G$746,'Base bordo'!C$2:C$746,A145,'Base bordo'!B$2:B$746,B145,'Base bordo'!F$2:F$746,"MANUTENCAO TELEMETRIA"),0)</f>
        <v>3.4688888888888889</v>
      </c>
      <c r="M145" s="10">
        <f>IFERROR(SUMIFS('Base bordo'!G$2:G$746,'Base bordo'!C$2:C$746,A145,'Base bordo'!B$2:B$746,B145,'Base bordo'!F$2:F$746,"AGUARDANDO MANUTENCAO"),0)</f>
        <v>0</v>
      </c>
      <c r="N145" s="10">
        <f>IFERROR(SUMIFS('Base bordo'!G$2:G$746,'Base bordo'!C$2:C$746,A145,'Base bordo'!B$2:B$746,B145,'Base bordo'!F$2:F$746,"SEM APONTAMENTO"),0)</f>
        <v>0</v>
      </c>
      <c r="O145" s="10">
        <f t="shared" si="24"/>
        <v>0.61500000000000021</v>
      </c>
      <c r="P145" s="10">
        <f>IFERROR(SUMIFS('Base bordo'!G$2:G$746,'Base bordo'!C$2:C$746,A145,'Base bordo'!B$2:B$746,B145),0)</f>
        <v>13.425833333333333</v>
      </c>
      <c r="Q145" s="10">
        <f>IFERROR(SUMIFS('Base bordo'!H$2:H$746,'Base bordo'!C$2:C$746,A145,'Base bordo'!B$2:B$746,B145,'Base bordo'!F$2:F$746,"DESLOCAMENTO VAZIO"),0)</f>
        <v>93170.91</v>
      </c>
      <c r="R145" s="10">
        <f>IFERROR(SUMIFS('Base bordo'!I$2:I$746,'Base bordo'!C$2:C$746,A145,'Base bordo'!B$2:B$746,B145,'Base bordo'!F$2:F$746,"DESLOCAMENTO VAZIO"),0)</f>
        <v>2933</v>
      </c>
      <c r="S145" s="30">
        <f t="shared" si="25"/>
        <v>31.766420047732698</v>
      </c>
      <c r="T145" s="10">
        <f>IFERROR(SUMIFS('Base bordo'!H$2:H$746,'Base bordo'!C$2:C$746,A145,'Base bordo'!B$2:B$746,B145,'Base bordo'!F$2:F$746,"DESLOCAMENTO CARREGADO"),0)</f>
        <v>68258.340000000011</v>
      </c>
      <c r="U145" s="10">
        <f>IFERROR(SUMIFS('Base bordo'!I$2:I$746,'Base bordo'!C$2:C$746,A145,'Base bordo'!B$2:B$746,B145,'Base bordo'!F$2:F$746,"DESLOCAMENTO CARREGADO"),0)</f>
        <v>3204</v>
      </c>
      <c r="V145" s="30">
        <f t="shared" si="26"/>
        <v>21.304101123595508</v>
      </c>
      <c r="W145" s="9">
        <f t="shared" si="27"/>
        <v>6.0683177125359485E-2</v>
      </c>
      <c r="X145" s="9">
        <f t="shared" si="28"/>
        <v>6.639356133490576E-2</v>
      </c>
      <c r="Y145" s="9">
        <f t="shared" si="29"/>
        <v>0.87292326153973476</v>
      </c>
    </row>
    <row r="146" spans="1:25" ht="15" customHeight="1" x14ac:dyDescent="0.35">
      <c r="A146" s="52">
        <v>8013485</v>
      </c>
      <c r="B146" s="51">
        <v>46118</v>
      </c>
      <c r="C146" s="7" t="s">
        <v>124</v>
      </c>
      <c r="D146" s="10">
        <f>IFERROR(SUMIFS('Base bordo'!G$2:G$746,'Base bordo'!C$2:C$746,A146,'Base bordo'!B$2:B$746,B146,'Base bordo'!F$2:F$746,"DESLOCAMENTO VAZIO"),0)</f>
        <v>0.89111111111111108</v>
      </c>
      <c r="E146" s="10">
        <f>IFERROR(SUMIFS('Base bordo'!G$2:G$746,'Base bordo'!C$2:C$746,A146,'Base bordo'!B$2:B$746,B146,'Base bordo'!F$2:F$746,"DESLOCAMENTO CARREGADO"),0)</f>
        <v>0.77444444444444449</v>
      </c>
      <c r="F146" s="10">
        <f>IFERROR(SUMIFS('Base bordo'!G$2:G$746,'Base bordo'!C$2:C$746,A146,'Base bordo'!B$2:B$746,B146,'Base bordo'!F$2:F$746,"DESLOCAMENTO"),0)</f>
        <v>1.0216666666666667</v>
      </c>
      <c r="G146" s="10">
        <f>IFERROR(SUMIFS('Base bordo'!G$2:G$746,'Base bordo'!C$2:C$746,A146,'Base bordo'!B$2:B$746,B146,'Base bordo'!F$2:F$746,"CARREGAMENTO"),0)</f>
        <v>0</v>
      </c>
      <c r="H146" s="10">
        <f>IFERROR(SUMIFS('Base bordo'!G$2:G$746,'Base bordo'!C$2:C$746,A146,'Base bordo'!B$2:B$746,B146,'Base bordo'!F$2:F$746,"AGUARDANDO TRANSBORDO"),0)</f>
        <v>0.33083333333333331</v>
      </c>
      <c r="I146" s="10">
        <f>IFERROR(SUMIFS('Base bordo'!G$2:G$746,'Base bordo'!C$2:C$746,A146,'Base bordo'!B$2:B$746,B146,'Base bordo'!F$2:F$746,"PÁTIO INTERNO"),0)+IFERROR(SUMIFS('Base bordo'!G$2:G$746,'Base bordo'!C$2:C$746,A146,'Base bordo'!B$2:B$746,B146,'Base bordo'!F$2:F$746,"PÁTIO EXTERNO"),0)+IFERROR(SUMIFS('Base bordo'!G$2:G$746,'Base bordo'!C$2:C$746,A146,'Base bordo'!B$2:B$746,B146,'Base bordo'!F$2:F$746,"PATIO - RESERVA"),0)+IFERROR(SUMIFS('Base bordo'!G$2:G$746,'Base bordo'!C$2:C$746,A146,'Base bordo'!B$2:B$746,B146,'Base bordo'!F$2:F$746,"MANOBRA CARRETAS-PATIO"),0)</f>
        <v>10.650555555555554</v>
      </c>
      <c r="J146" s="10">
        <f>IFERROR(SUMIFS('Base bordo'!G$2:G$746,'Base bordo'!C$2:C$746,A146,'Base bordo'!B$2:B$746,B146,'Base bordo'!F$2:F$746,"BALANÇA - ENTRADA"),0)+IFERROR(SUMIFS('Base bordo'!G$2:G$746,'Base bordo'!C$2:C$746,A146,'Base bordo'!B$2:B$746,B146,'Base bordo'!F$2:F$746,"BALANÇA - SAÍDA"),0)</f>
        <v>3.6388888888888887E-2</v>
      </c>
      <c r="K146" s="10">
        <f>IFERROR(SUMIFS('Base bordo'!G$2:G$746,'Base bordo'!C$2:C$746,A146,'Base bordo'!B$2:B$746,B146,'Base bordo'!F$2:F$746,"MAN PREVENTIVA - MECANICA"),0)+IFERROR(SUMIFS('Base bordo'!G$2:G$746,'Base bordo'!C$2:C$746,A146,'Base bordo'!B$2:B$746,B146,'Base bordo'!F$2:F$746,"MAN CORRETIVA - MECANICA"),0)</f>
        <v>0</v>
      </c>
      <c r="L146" s="10">
        <f>IFERROR(SUMIFS('Base bordo'!G$2:G$746,'Base bordo'!C$2:C$746,A146,'Base bordo'!B$2:B$746,B146,'Base bordo'!F$2:F$746,"MANUTENCAO - T O"),0)+IFERROR(SUMIFS('Base bordo'!G$2:G$746,'Base bordo'!C$2:C$746,A146,'Base bordo'!B$2:B$746,B146,'Base bordo'!F$2:F$746,"MANUTENCAO BORRACHARIA"),0)+IFERROR(SUMIFS('Base bordo'!G$2:G$746,'Base bordo'!C$2:C$746,A146,'Base bordo'!B$2:B$746,B146,'Base bordo'!F$2:F$746,"MANUTENCAO EXTERNA  CONCESSIONARIA"),0)+IFERROR(SUMIFS('Base bordo'!G$2:G$746,'Base bordo'!C$2:C$746,A146,'Base bordo'!B$2:B$746,B146,'Base bordo'!F$2:F$746,"MANUTENCAO TELEMETRIA"),0)</f>
        <v>0</v>
      </c>
      <c r="M146" s="10">
        <f>IFERROR(SUMIFS('Base bordo'!G$2:G$746,'Base bordo'!C$2:C$746,A146,'Base bordo'!B$2:B$746,B146,'Base bordo'!F$2:F$746,"AGUARDANDO MANUTENCAO"),0)</f>
        <v>0</v>
      </c>
      <c r="N146" s="10">
        <f>IFERROR(SUMIFS('Base bordo'!G$2:G$746,'Base bordo'!C$2:C$746,A146,'Base bordo'!B$2:B$746,B146,'Base bordo'!F$2:F$746,"SEM APONTAMENTO"),0)</f>
        <v>0</v>
      </c>
      <c r="O146" s="10">
        <f t="shared" si="24"/>
        <v>-1.7763568394002505E-15</v>
      </c>
      <c r="P146" s="10">
        <f>IFERROR(SUMIFS('Base bordo'!G$2:G$746,'Base bordo'!C$2:C$746,A146,'Base bordo'!B$2:B$746,B146),0)</f>
        <v>13.704999999999997</v>
      </c>
      <c r="Q146" s="10">
        <f>IFERROR(SUMIFS('Base bordo'!H$2:H$746,'Base bordo'!C$2:C$746,A146,'Base bordo'!B$2:B$746,B146,'Base bordo'!F$2:F$746,"DESLOCAMENTO VAZIO"),0)</f>
        <v>68224.05</v>
      </c>
      <c r="R146" s="10">
        <f>IFERROR(SUMIFS('Base bordo'!I$2:I$746,'Base bordo'!C$2:C$746,A146,'Base bordo'!B$2:B$746,B146,'Base bordo'!F$2:F$746,"DESLOCAMENTO VAZIO"),0)</f>
        <v>3208</v>
      </c>
      <c r="S146" s="30">
        <f t="shared" si="25"/>
        <v>21.266848503740651</v>
      </c>
      <c r="T146" s="10">
        <f>IFERROR(SUMIFS('Base bordo'!H$2:H$746,'Base bordo'!C$2:C$746,A146,'Base bordo'!B$2:B$746,B146,'Base bordo'!F$2:F$746,"DESLOCAMENTO CARREGADO"),0)</f>
        <v>68053.69</v>
      </c>
      <c r="U146" s="10">
        <f>IFERROR(SUMIFS('Base bordo'!I$2:I$746,'Base bordo'!C$2:C$746,A146,'Base bordo'!B$2:B$746,B146,'Base bordo'!F$2:F$746,"DESLOCAMENTO CARREGADO"),0)</f>
        <v>2788</v>
      </c>
      <c r="V146" s="30">
        <f t="shared" si="26"/>
        <v>24.40950143472023</v>
      </c>
      <c r="W146" s="9">
        <f t="shared" si="27"/>
        <v>6.5020876403583464E-2</v>
      </c>
      <c r="X146" s="9">
        <f t="shared" si="28"/>
        <v>5.6508168146256456E-2</v>
      </c>
      <c r="Y146" s="9">
        <f t="shared" si="29"/>
        <v>0.87847095545016007</v>
      </c>
    </row>
    <row r="147" spans="1:25" ht="15" customHeight="1" x14ac:dyDescent="0.35">
      <c r="A147" s="52">
        <v>8013485</v>
      </c>
      <c r="B147" s="51">
        <v>46118</v>
      </c>
      <c r="C147" s="7" t="s">
        <v>124</v>
      </c>
      <c r="D147" s="10">
        <f>IFERROR(SUMIFS('Base bordo'!G$2:G$746,'Base bordo'!C$2:C$746,A147,'Base bordo'!B$2:B$746,B147,'Base bordo'!F$2:F$746,"DESLOCAMENTO VAZIO"),0)</f>
        <v>0.89111111111111108</v>
      </c>
      <c r="E147" s="10">
        <f>IFERROR(SUMIFS('Base bordo'!G$2:G$746,'Base bordo'!C$2:C$746,A147,'Base bordo'!B$2:B$746,B147,'Base bordo'!F$2:F$746,"DESLOCAMENTO CARREGADO"),0)</f>
        <v>0.77444444444444449</v>
      </c>
      <c r="F147" s="10">
        <f>IFERROR(SUMIFS('Base bordo'!G$2:G$746,'Base bordo'!C$2:C$746,A147,'Base bordo'!B$2:B$746,B147,'Base bordo'!F$2:F$746,"DESLOCAMENTO"),0)</f>
        <v>1.0216666666666667</v>
      </c>
      <c r="G147" s="10">
        <f>IFERROR(SUMIFS('Base bordo'!G$2:G$746,'Base bordo'!C$2:C$746,A147,'Base bordo'!B$2:B$746,B147,'Base bordo'!F$2:F$746,"CARREGAMENTO"),0)</f>
        <v>0</v>
      </c>
      <c r="H147" s="10">
        <f>IFERROR(SUMIFS('Base bordo'!G$2:G$746,'Base bordo'!C$2:C$746,A147,'Base bordo'!B$2:B$746,B147,'Base bordo'!F$2:F$746,"AGUARDANDO TRANSBORDO"),0)</f>
        <v>0.33083333333333331</v>
      </c>
      <c r="I147" s="10">
        <f>IFERROR(SUMIFS('Base bordo'!G$2:G$746,'Base bordo'!C$2:C$746,A147,'Base bordo'!B$2:B$746,B147,'Base bordo'!F$2:F$746,"PÁTIO INTERNO"),0)+IFERROR(SUMIFS('Base bordo'!G$2:G$746,'Base bordo'!C$2:C$746,A147,'Base bordo'!B$2:B$746,B147,'Base bordo'!F$2:F$746,"PÁTIO EXTERNO"),0)+IFERROR(SUMIFS('Base bordo'!G$2:G$746,'Base bordo'!C$2:C$746,A147,'Base bordo'!B$2:B$746,B147,'Base bordo'!F$2:F$746,"PATIO - RESERVA"),0)+IFERROR(SUMIFS('Base bordo'!G$2:G$746,'Base bordo'!C$2:C$746,A147,'Base bordo'!B$2:B$746,B147,'Base bordo'!F$2:F$746,"MANOBRA CARRETAS-PATIO"),0)</f>
        <v>10.650555555555554</v>
      </c>
      <c r="J147" s="10">
        <f>IFERROR(SUMIFS('Base bordo'!G$2:G$746,'Base bordo'!C$2:C$746,A147,'Base bordo'!B$2:B$746,B147,'Base bordo'!F$2:F$746,"BALANÇA - ENTRADA"),0)+IFERROR(SUMIFS('Base bordo'!G$2:G$746,'Base bordo'!C$2:C$746,A147,'Base bordo'!B$2:B$746,B147,'Base bordo'!F$2:F$746,"BALANÇA - SAÍDA"),0)</f>
        <v>3.6388888888888887E-2</v>
      </c>
      <c r="K147" s="10">
        <f>IFERROR(SUMIFS('Base bordo'!G$2:G$746,'Base bordo'!C$2:C$746,A147,'Base bordo'!B$2:B$746,B147,'Base bordo'!F$2:F$746,"MAN PREVENTIVA - MECANICA"),0)+IFERROR(SUMIFS('Base bordo'!G$2:G$746,'Base bordo'!C$2:C$746,A147,'Base bordo'!B$2:B$746,B147,'Base bordo'!F$2:F$746,"MAN CORRETIVA - MECANICA"),0)</f>
        <v>0</v>
      </c>
      <c r="L147" s="10">
        <f>IFERROR(SUMIFS('Base bordo'!G$2:G$746,'Base bordo'!C$2:C$746,A147,'Base bordo'!B$2:B$746,B147,'Base bordo'!F$2:F$746,"MANUTENCAO - T O"),0)+IFERROR(SUMIFS('Base bordo'!G$2:G$746,'Base bordo'!C$2:C$746,A147,'Base bordo'!B$2:B$746,B147,'Base bordo'!F$2:F$746,"MANUTENCAO BORRACHARIA"),0)+IFERROR(SUMIFS('Base bordo'!G$2:G$746,'Base bordo'!C$2:C$746,A147,'Base bordo'!B$2:B$746,B147,'Base bordo'!F$2:F$746,"MANUTENCAO EXTERNA  CONCESSIONARIA"),0)+IFERROR(SUMIFS('Base bordo'!G$2:G$746,'Base bordo'!C$2:C$746,A147,'Base bordo'!B$2:B$746,B147,'Base bordo'!F$2:F$746,"MANUTENCAO TELEMETRIA"),0)</f>
        <v>0</v>
      </c>
      <c r="M147" s="10">
        <f>IFERROR(SUMIFS('Base bordo'!G$2:G$746,'Base bordo'!C$2:C$746,A147,'Base bordo'!B$2:B$746,B147,'Base bordo'!F$2:F$746,"AGUARDANDO MANUTENCAO"),0)</f>
        <v>0</v>
      </c>
      <c r="N147" s="10">
        <f>IFERROR(SUMIFS('Base bordo'!G$2:G$746,'Base bordo'!C$2:C$746,A147,'Base bordo'!B$2:B$746,B147,'Base bordo'!F$2:F$746,"SEM APONTAMENTO"),0)</f>
        <v>0</v>
      </c>
      <c r="O147" s="10">
        <f t="shared" si="24"/>
        <v>-1.7763568394002505E-15</v>
      </c>
      <c r="P147" s="10">
        <f>IFERROR(SUMIFS('Base bordo'!G$2:G$746,'Base bordo'!C$2:C$746,A147,'Base bordo'!B$2:B$746,B147),0)</f>
        <v>13.704999999999997</v>
      </c>
      <c r="Q147" s="10">
        <f>IFERROR(SUMIFS('Base bordo'!H$2:H$746,'Base bordo'!C$2:C$746,A147,'Base bordo'!B$2:B$746,B147,'Base bordo'!F$2:F$746,"DESLOCAMENTO VAZIO"),0)</f>
        <v>68224.05</v>
      </c>
      <c r="R147" s="10">
        <f>IFERROR(SUMIFS('Base bordo'!I$2:I$746,'Base bordo'!C$2:C$746,A147,'Base bordo'!B$2:B$746,B147,'Base bordo'!F$2:F$746,"DESLOCAMENTO VAZIO"),0)</f>
        <v>3208</v>
      </c>
      <c r="S147" s="30">
        <f t="shared" si="25"/>
        <v>21.266848503740651</v>
      </c>
      <c r="T147" s="10">
        <f>IFERROR(SUMIFS('Base bordo'!H$2:H$746,'Base bordo'!C$2:C$746,A147,'Base bordo'!B$2:B$746,B147,'Base bordo'!F$2:F$746,"DESLOCAMENTO CARREGADO"),0)</f>
        <v>68053.69</v>
      </c>
      <c r="U147" s="10">
        <f>IFERROR(SUMIFS('Base bordo'!I$2:I$746,'Base bordo'!C$2:C$746,A147,'Base bordo'!B$2:B$746,B147,'Base bordo'!F$2:F$746,"DESLOCAMENTO CARREGADO"),0)</f>
        <v>2788</v>
      </c>
      <c r="V147" s="30">
        <f t="shared" si="26"/>
        <v>24.40950143472023</v>
      </c>
      <c r="W147" s="9">
        <f t="shared" si="27"/>
        <v>6.5020876403583464E-2</v>
      </c>
      <c r="X147" s="9">
        <f t="shared" si="28"/>
        <v>5.6508168146256456E-2</v>
      </c>
      <c r="Y147" s="9">
        <f t="shared" si="29"/>
        <v>0.87847095545016007</v>
      </c>
    </row>
    <row r="148" spans="1:25" ht="15" customHeight="1" x14ac:dyDescent="0.35">
      <c r="A148" s="52">
        <v>8013481</v>
      </c>
      <c r="B148" s="51">
        <v>46118</v>
      </c>
      <c r="C148" s="7" t="s">
        <v>124</v>
      </c>
      <c r="D148" s="10">
        <f>IFERROR(SUMIFS('Base bordo'!G$2:G$746,'Base bordo'!C$2:C$746,A148,'Base bordo'!B$2:B$746,B148,'Base bordo'!F$2:F$746,"DESLOCAMENTO VAZIO"),0)</f>
        <v>0.8288888888888889</v>
      </c>
      <c r="E148" s="10">
        <f>IFERROR(SUMIFS('Base bordo'!G$2:G$746,'Base bordo'!C$2:C$746,A148,'Base bordo'!B$2:B$746,B148,'Base bordo'!F$2:F$746,"DESLOCAMENTO CARREGADO"),0)</f>
        <v>4.8333333333333332E-2</v>
      </c>
      <c r="F148" s="10">
        <f>IFERROR(SUMIFS('Base bordo'!G$2:G$746,'Base bordo'!C$2:C$746,A148,'Base bordo'!B$2:B$746,B148,'Base bordo'!F$2:F$746,"DESLOCAMENTO"),0)</f>
        <v>0</v>
      </c>
      <c r="G148" s="10">
        <f>IFERROR(SUMIFS('Base bordo'!G$2:G$746,'Base bordo'!C$2:C$746,A148,'Base bordo'!B$2:B$746,B148,'Base bordo'!F$2:F$746,"CARREGAMENTO"),0)</f>
        <v>0</v>
      </c>
      <c r="H148" s="10">
        <f>IFERROR(SUMIFS('Base bordo'!G$2:G$746,'Base bordo'!C$2:C$746,A148,'Base bordo'!B$2:B$746,B148,'Base bordo'!F$2:F$746,"AGUARDANDO TRANSBORDO"),0)</f>
        <v>0</v>
      </c>
      <c r="I148" s="10">
        <f>IFERROR(SUMIFS('Base bordo'!G$2:G$746,'Base bordo'!C$2:C$746,A148,'Base bordo'!B$2:B$746,B148,'Base bordo'!F$2:F$746,"PÁTIO INTERNO"),0)+IFERROR(SUMIFS('Base bordo'!G$2:G$746,'Base bordo'!C$2:C$746,A148,'Base bordo'!B$2:B$746,B148,'Base bordo'!F$2:F$746,"PÁTIO EXTERNO"),0)+IFERROR(SUMIFS('Base bordo'!G$2:G$746,'Base bordo'!C$2:C$746,A148,'Base bordo'!B$2:B$746,B148,'Base bordo'!F$2:F$746,"PATIO - RESERVA"),0)+IFERROR(SUMIFS('Base bordo'!G$2:G$746,'Base bordo'!C$2:C$746,A148,'Base bordo'!B$2:B$746,B148,'Base bordo'!F$2:F$746,"MANOBRA CARRETAS-PATIO"),0)</f>
        <v>2.8108333333333335</v>
      </c>
      <c r="J148" s="10">
        <f>IFERROR(SUMIFS('Base bordo'!G$2:G$746,'Base bordo'!C$2:C$746,A148,'Base bordo'!B$2:B$746,B148,'Base bordo'!F$2:F$746,"BALANÇA - ENTRADA"),0)+IFERROR(SUMIFS('Base bordo'!G$2:G$746,'Base bordo'!C$2:C$746,A148,'Base bordo'!B$2:B$746,B148,'Base bordo'!F$2:F$746,"BALANÇA - SAÍDA"),0)</f>
        <v>3.3333333333333333E-2</v>
      </c>
      <c r="K148" s="10">
        <f>IFERROR(SUMIFS('Base bordo'!G$2:G$746,'Base bordo'!C$2:C$746,A148,'Base bordo'!B$2:B$746,B148,'Base bordo'!F$2:F$746,"MAN PREVENTIVA - MECANICA"),0)+IFERROR(SUMIFS('Base bordo'!G$2:G$746,'Base bordo'!C$2:C$746,A148,'Base bordo'!B$2:B$746,B148,'Base bordo'!F$2:F$746,"MAN CORRETIVA - MECANICA"),0)</f>
        <v>0</v>
      </c>
      <c r="L148" s="10">
        <f>IFERROR(SUMIFS('Base bordo'!G$2:G$746,'Base bordo'!C$2:C$746,A148,'Base bordo'!B$2:B$746,B148,'Base bordo'!F$2:F$746,"MANUTENCAO - T O"),0)+IFERROR(SUMIFS('Base bordo'!G$2:G$746,'Base bordo'!C$2:C$746,A148,'Base bordo'!B$2:B$746,B148,'Base bordo'!F$2:F$746,"MANUTENCAO BORRACHARIA"),0)+IFERROR(SUMIFS('Base bordo'!G$2:G$746,'Base bordo'!C$2:C$746,A148,'Base bordo'!B$2:B$746,B148,'Base bordo'!F$2:F$746,"MANUTENCAO EXTERNA  CONCESSIONARIA"),0)+IFERROR(SUMIFS('Base bordo'!G$2:G$746,'Base bordo'!C$2:C$746,A148,'Base bordo'!B$2:B$746,B148,'Base bordo'!F$2:F$746,"MANUTENCAO TELEMETRIA"),0)</f>
        <v>0</v>
      </c>
      <c r="M148" s="10">
        <f>IFERROR(SUMIFS('Base bordo'!G$2:G$746,'Base bordo'!C$2:C$746,A148,'Base bordo'!B$2:B$746,B148,'Base bordo'!F$2:F$746,"AGUARDANDO MANUTENCAO"),0)</f>
        <v>0</v>
      </c>
      <c r="N148" s="10">
        <f>IFERROR(SUMIFS('Base bordo'!G$2:G$746,'Base bordo'!C$2:C$746,A148,'Base bordo'!B$2:B$746,B148,'Base bordo'!F$2:F$746,"SEM APONTAMENTO"),0)</f>
        <v>0</v>
      </c>
      <c r="O148" s="10">
        <f t="shared" si="24"/>
        <v>0</v>
      </c>
      <c r="P148" s="10">
        <f>IFERROR(SUMIFS('Base bordo'!G$2:G$746,'Base bordo'!C$2:C$746,A148,'Base bordo'!B$2:B$746,B148),0)</f>
        <v>3.7213888888888889</v>
      </c>
      <c r="Q148" s="10">
        <f>IFERROR(SUMIFS('Base bordo'!H$2:H$746,'Base bordo'!C$2:C$746,A148,'Base bordo'!B$2:B$746,B148,'Base bordo'!F$2:F$746,"DESLOCAMENTO VAZIO"),0)</f>
        <v>65601.72</v>
      </c>
      <c r="R148" s="10">
        <f>IFERROR(SUMIFS('Base bordo'!I$2:I$746,'Base bordo'!C$2:C$746,A148,'Base bordo'!B$2:B$746,B148,'Base bordo'!F$2:F$746,"DESLOCAMENTO VAZIO"),0)</f>
        <v>2984</v>
      </c>
      <c r="S148" s="30">
        <f t="shared" si="25"/>
        <v>21.984490616621983</v>
      </c>
      <c r="T148" s="10">
        <f>IFERROR(SUMIFS('Base bordo'!H$2:H$746,'Base bordo'!C$2:C$746,A148,'Base bordo'!B$2:B$746,B148,'Base bordo'!F$2:F$746,"DESLOCAMENTO CARREGADO"),0)</f>
        <v>501.05</v>
      </c>
      <c r="U148" s="10">
        <f>IFERROR(SUMIFS('Base bordo'!I$2:I$746,'Base bordo'!C$2:C$746,A148,'Base bordo'!B$2:B$746,B148,'Base bordo'!F$2:F$746,"DESLOCAMENTO CARREGADO"),0)</f>
        <v>174</v>
      </c>
      <c r="V148" s="30">
        <f t="shared" si="26"/>
        <v>2.8795977011494251</v>
      </c>
      <c r="W148" s="9">
        <f t="shared" si="27"/>
        <v>0.22273643352989475</v>
      </c>
      <c r="X148" s="9">
        <f t="shared" si="28"/>
        <v>1.2987982384115847E-2</v>
      </c>
      <c r="Y148" s="9">
        <f t="shared" si="29"/>
        <v>0.76427558408598939</v>
      </c>
    </row>
    <row r="149" spans="1:25" ht="15" customHeight="1" x14ac:dyDescent="0.35">
      <c r="A149" s="52">
        <v>8013483</v>
      </c>
      <c r="B149" s="51">
        <v>46118</v>
      </c>
      <c r="C149" s="7" t="s">
        <v>124</v>
      </c>
      <c r="D149" s="10">
        <f>IFERROR(SUMIFS('Base bordo'!G$2:G$746,'Base bordo'!C$2:C$746,A149,'Base bordo'!B$2:B$746,B149,'Base bordo'!F$2:F$746,"DESLOCAMENTO VAZIO"),0)</f>
        <v>2.4136111111111109</v>
      </c>
      <c r="E149" s="10">
        <f>IFERROR(SUMIFS('Base bordo'!G$2:G$746,'Base bordo'!C$2:C$746,A149,'Base bordo'!B$2:B$746,B149,'Base bordo'!F$2:F$746,"DESLOCAMENTO CARREGADO"),0)</f>
        <v>0.74972222222222218</v>
      </c>
      <c r="F149" s="10">
        <f>IFERROR(SUMIFS('Base bordo'!G$2:G$746,'Base bordo'!C$2:C$746,A149,'Base bordo'!B$2:B$746,B149,'Base bordo'!F$2:F$746,"DESLOCAMENTO"),0)</f>
        <v>0</v>
      </c>
      <c r="G149" s="10">
        <f>IFERROR(SUMIFS('Base bordo'!G$2:G$746,'Base bordo'!C$2:C$746,A149,'Base bordo'!B$2:B$746,B149,'Base bordo'!F$2:F$746,"CARREGAMENTO"),0)</f>
        <v>0</v>
      </c>
      <c r="H149" s="10">
        <f>IFERROR(SUMIFS('Base bordo'!G$2:G$746,'Base bordo'!C$2:C$746,A149,'Base bordo'!B$2:B$746,B149,'Base bordo'!F$2:F$746,"AGUARDANDO TRANSBORDO"),0)</f>
        <v>0.18666666666666668</v>
      </c>
      <c r="I149" s="10">
        <f>IFERROR(SUMIFS('Base bordo'!G$2:G$746,'Base bordo'!C$2:C$746,A149,'Base bordo'!B$2:B$746,B149,'Base bordo'!F$2:F$746,"PÁTIO INTERNO"),0)+IFERROR(SUMIFS('Base bordo'!G$2:G$746,'Base bordo'!C$2:C$746,A149,'Base bordo'!B$2:B$746,B149,'Base bordo'!F$2:F$746,"PÁTIO EXTERNO"),0)+IFERROR(SUMIFS('Base bordo'!G$2:G$746,'Base bordo'!C$2:C$746,A149,'Base bordo'!B$2:B$746,B149,'Base bordo'!F$2:F$746,"PATIO - RESERVA"),0)+IFERROR(SUMIFS('Base bordo'!G$2:G$746,'Base bordo'!C$2:C$746,A149,'Base bordo'!B$2:B$746,B149,'Base bordo'!F$2:F$746,"MANOBRA CARRETAS-PATIO"),0)</f>
        <v>11.716111111111111</v>
      </c>
      <c r="J149" s="10">
        <f>IFERROR(SUMIFS('Base bordo'!G$2:G$746,'Base bordo'!C$2:C$746,A149,'Base bordo'!B$2:B$746,B149,'Base bordo'!F$2:F$746,"BALANÇA - ENTRADA"),0)+IFERROR(SUMIFS('Base bordo'!G$2:G$746,'Base bordo'!C$2:C$746,A149,'Base bordo'!B$2:B$746,B149,'Base bordo'!F$2:F$746,"BALANÇA - SAÍDA"),0)</f>
        <v>4.7500000000000001E-2</v>
      </c>
      <c r="K149" s="10">
        <f>IFERROR(SUMIFS('Base bordo'!G$2:G$746,'Base bordo'!C$2:C$746,A149,'Base bordo'!B$2:B$746,B149,'Base bordo'!F$2:F$746,"MAN PREVENTIVA - MECANICA"),0)+IFERROR(SUMIFS('Base bordo'!G$2:G$746,'Base bordo'!C$2:C$746,A149,'Base bordo'!B$2:B$746,B149,'Base bordo'!F$2:F$746,"MAN CORRETIVA - MECANICA"),0)</f>
        <v>0</v>
      </c>
      <c r="L149" s="10">
        <f>IFERROR(SUMIFS('Base bordo'!G$2:G$746,'Base bordo'!C$2:C$746,A149,'Base bordo'!B$2:B$746,B149,'Base bordo'!F$2:F$746,"MANUTENCAO - T O"),0)+IFERROR(SUMIFS('Base bordo'!G$2:G$746,'Base bordo'!C$2:C$746,A149,'Base bordo'!B$2:B$746,B149,'Base bordo'!F$2:F$746,"MANUTENCAO BORRACHARIA"),0)+IFERROR(SUMIFS('Base bordo'!G$2:G$746,'Base bordo'!C$2:C$746,A149,'Base bordo'!B$2:B$746,B149,'Base bordo'!F$2:F$746,"MANUTENCAO EXTERNA  CONCESSIONARIA"),0)+IFERROR(SUMIFS('Base bordo'!G$2:G$746,'Base bordo'!C$2:C$746,A149,'Base bordo'!B$2:B$746,B149,'Base bordo'!F$2:F$746,"MANUTENCAO TELEMETRIA"),0)</f>
        <v>3.4908333333333332</v>
      </c>
      <c r="M149" s="10">
        <f>IFERROR(SUMIFS('Base bordo'!G$2:G$746,'Base bordo'!C$2:C$746,A149,'Base bordo'!B$2:B$746,B149,'Base bordo'!F$2:F$746,"AGUARDANDO MANUTENCAO"),0)</f>
        <v>0</v>
      </c>
      <c r="N149" s="10">
        <f>IFERROR(SUMIFS('Base bordo'!G$2:G$746,'Base bordo'!C$2:C$746,A149,'Base bordo'!B$2:B$746,B149,'Base bordo'!F$2:F$746,"SEM APONTAMENTO"),0)</f>
        <v>0</v>
      </c>
      <c r="O149" s="10">
        <f t="shared" si="24"/>
        <v>0</v>
      </c>
      <c r="P149" s="10">
        <f>IFERROR(SUMIFS('Base bordo'!G$2:G$746,'Base bordo'!C$2:C$746,A149,'Base bordo'!B$2:B$746,B149),0)</f>
        <v>18.604444444444443</v>
      </c>
      <c r="Q149" s="10">
        <f>IFERROR(SUMIFS('Base bordo'!H$2:H$746,'Base bordo'!C$2:C$746,A149,'Base bordo'!B$2:B$746,B149,'Base bordo'!F$2:F$746,"DESLOCAMENTO VAZIO"),0)</f>
        <v>164736.31</v>
      </c>
      <c r="R149" s="10">
        <f>IFERROR(SUMIFS('Base bordo'!I$2:I$746,'Base bordo'!C$2:C$746,A149,'Base bordo'!B$2:B$746,B149,'Base bordo'!F$2:F$746,"DESLOCAMENTO VAZIO"),0)</f>
        <v>8689</v>
      </c>
      <c r="S149" s="30">
        <f t="shared" si="25"/>
        <v>18.959179422258028</v>
      </c>
      <c r="T149" s="10">
        <f>IFERROR(SUMIFS('Base bordo'!H$2:H$746,'Base bordo'!C$2:C$746,A149,'Base bordo'!B$2:B$746,B149,'Base bordo'!F$2:F$746,"DESLOCAMENTO CARREGADO"),0)</f>
        <v>65187.479999999996</v>
      </c>
      <c r="U149" s="10">
        <f>IFERROR(SUMIFS('Base bordo'!I$2:I$746,'Base bordo'!C$2:C$746,A149,'Base bordo'!B$2:B$746,B149,'Base bordo'!F$2:F$746,"DESLOCAMENTO CARREGADO"),0)</f>
        <v>2699</v>
      </c>
      <c r="V149" s="30">
        <f t="shared" si="26"/>
        <v>24.152456465357538</v>
      </c>
      <c r="W149" s="9">
        <f t="shared" si="27"/>
        <v>0.12973303870043001</v>
      </c>
      <c r="X149" s="9">
        <f t="shared" si="28"/>
        <v>4.0298017200191112E-2</v>
      </c>
      <c r="Y149" s="9">
        <f t="shared" si="29"/>
        <v>0.82996894409937894</v>
      </c>
    </row>
    <row r="150" spans="1:25" ht="15" customHeight="1" x14ac:dyDescent="0.35">
      <c r="A150" s="52">
        <v>8013476</v>
      </c>
      <c r="B150" s="51">
        <v>46118</v>
      </c>
      <c r="C150" s="7" t="s">
        <v>124</v>
      </c>
      <c r="D150" s="10">
        <f>IFERROR(SUMIFS('Base bordo'!G$2:G$746,'Base bordo'!C$2:C$746,A150,'Base bordo'!B$2:B$746,B150,'Base bordo'!F$2:F$746,"DESLOCAMENTO VAZIO"),0)</f>
        <v>0.76361111111111113</v>
      </c>
      <c r="E150" s="10">
        <f>IFERROR(SUMIFS('Base bordo'!G$2:G$746,'Base bordo'!C$2:C$746,A150,'Base bordo'!B$2:B$746,B150,'Base bordo'!F$2:F$746,"DESLOCAMENTO CARREGADO"),0)</f>
        <v>0.6594444444444445</v>
      </c>
      <c r="F150" s="10">
        <f>IFERROR(SUMIFS('Base bordo'!G$2:G$746,'Base bordo'!C$2:C$746,A150,'Base bordo'!B$2:B$746,B150,'Base bordo'!F$2:F$746,"DESLOCAMENTO"),0)</f>
        <v>0</v>
      </c>
      <c r="G150" s="10">
        <f>IFERROR(SUMIFS('Base bordo'!G$2:G$746,'Base bordo'!C$2:C$746,A150,'Base bordo'!B$2:B$746,B150,'Base bordo'!F$2:F$746,"CARREGAMENTO"),0)</f>
        <v>0</v>
      </c>
      <c r="H150" s="10">
        <f>IFERROR(SUMIFS('Base bordo'!G$2:G$746,'Base bordo'!C$2:C$746,A150,'Base bordo'!B$2:B$746,B150,'Base bordo'!F$2:F$746,"AGUARDANDO TRANSBORDO"),0)</f>
        <v>1.1111111111111112</v>
      </c>
      <c r="I150" s="10">
        <f>IFERROR(SUMIFS('Base bordo'!G$2:G$746,'Base bordo'!C$2:C$746,A150,'Base bordo'!B$2:B$746,B150,'Base bordo'!F$2:F$746,"PÁTIO INTERNO"),0)+IFERROR(SUMIFS('Base bordo'!G$2:G$746,'Base bordo'!C$2:C$746,A150,'Base bordo'!B$2:B$746,B150,'Base bordo'!F$2:F$746,"PÁTIO EXTERNO"),0)+IFERROR(SUMIFS('Base bordo'!G$2:G$746,'Base bordo'!C$2:C$746,A150,'Base bordo'!B$2:B$746,B150,'Base bordo'!F$2:F$746,"PATIO - RESERVA"),0)+IFERROR(SUMIFS('Base bordo'!G$2:G$746,'Base bordo'!C$2:C$746,A150,'Base bordo'!B$2:B$746,B150,'Base bordo'!F$2:F$746,"MANOBRA CARRETAS-PATIO"),0)</f>
        <v>5.693888888888889</v>
      </c>
      <c r="J150" s="10">
        <f>IFERROR(SUMIFS('Base bordo'!G$2:G$746,'Base bordo'!C$2:C$746,A150,'Base bordo'!B$2:B$746,B150,'Base bordo'!F$2:F$746,"BALANÇA - ENTRADA"),0)+IFERROR(SUMIFS('Base bordo'!G$2:G$746,'Base bordo'!C$2:C$746,A150,'Base bordo'!B$2:B$746,B150,'Base bordo'!F$2:F$746,"BALANÇA - SAÍDA"),0)</f>
        <v>0.11305555555555555</v>
      </c>
      <c r="K150" s="10">
        <f>IFERROR(SUMIFS('Base bordo'!G$2:G$746,'Base bordo'!C$2:C$746,A150,'Base bordo'!B$2:B$746,B150,'Base bordo'!F$2:F$746,"MAN PREVENTIVA - MECANICA"),0)+IFERROR(SUMIFS('Base bordo'!G$2:G$746,'Base bordo'!C$2:C$746,A150,'Base bordo'!B$2:B$746,B150,'Base bordo'!F$2:F$746,"MAN CORRETIVA - MECANICA"),0)</f>
        <v>0</v>
      </c>
      <c r="L150" s="10">
        <f>IFERROR(SUMIFS('Base bordo'!G$2:G$746,'Base bordo'!C$2:C$746,A150,'Base bordo'!B$2:B$746,B150,'Base bordo'!F$2:F$746,"MANUTENCAO - T O"),0)+IFERROR(SUMIFS('Base bordo'!G$2:G$746,'Base bordo'!C$2:C$746,A150,'Base bordo'!B$2:B$746,B150,'Base bordo'!F$2:F$746,"MANUTENCAO BORRACHARIA"),0)+IFERROR(SUMIFS('Base bordo'!G$2:G$746,'Base bordo'!C$2:C$746,A150,'Base bordo'!B$2:B$746,B150,'Base bordo'!F$2:F$746,"MANUTENCAO EXTERNA  CONCESSIONARIA"),0)+IFERROR(SUMIFS('Base bordo'!G$2:G$746,'Base bordo'!C$2:C$746,A150,'Base bordo'!B$2:B$746,B150,'Base bordo'!F$2:F$746,"MANUTENCAO TELEMETRIA"),0)</f>
        <v>2.7313888888888891</v>
      </c>
      <c r="M150" s="10">
        <f>IFERROR(SUMIFS('Base bordo'!G$2:G$746,'Base bordo'!C$2:C$746,A150,'Base bordo'!B$2:B$746,B150,'Base bordo'!F$2:F$746,"AGUARDANDO MANUTENCAO"),0)</f>
        <v>0</v>
      </c>
      <c r="N150" s="10">
        <f>IFERROR(SUMIFS('Base bordo'!G$2:G$746,'Base bordo'!C$2:C$746,A150,'Base bordo'!B$2:B$746,B150,'Base bordo'!F$2:F$746,"SEM APONTAMENTO"),0)</f>
        <v>0</v>
      </c>
      <c r="O150" s="10">
        <f t="shared" si="24"/>
        <v>0</v>
      </c>
      <c r="P150" s="10">
        <f>IFERROR(SUMIFS('Base bordo'!G$2:G$746,'Base bordo'!C$2:C$746,A150,'Base bordo'!B$2:B$746,B150),0)</f>
        <v>11.072500000000002</v>
      </c>
      <c r="Q150" s="10">
        <f>IFERROR(SUMIFS('Base bordo'!H$2:H$746,'Base bordo'!C$2:C$746,A150,'Base bordo'!B$2:B$746,B150,'Base bordo'!F$2:F$746,"DESLOCAMENTO VAZIO"),0)</f>
        <v>69562.86</v>
      </c>
      <c r="R150" s="10">
        <f>IFERROR(SUMIFS('Base bordo'!I$2:I$746,'Base bordo'!C$2:C$746,A150,'Base bordo'!B$2:B$746,B150,'Base bordo'!F$2:F$746,"DESLOCAMENTO VAZIO"),0)</f>
        <v>2749</v>
      </c>
      <c r="S150" s="30">
        <f t="shared" si="25"/>
        <v>25.30478719534376</v>
      </c>
      <c r="T150" s="10">
        <f>IFERROR(SUMIFS('Base bordo'!H$2:H$746,'Base bordo'!C$2:C$746,A150,'Base bordo'!B$2:B$746,B150,'Base bordo'!F$2:F$746,"DESLOCAMENTO CARREGADO"),0)</f>
        <v>60370.82</v>
      </c>
      <c r="U150" s="10">
        <f>IFERROR(SUMIFS('Base bordo'!I$2:I$746,'Base bordo'!C$2:C$746,A150,'Base bordo'!B$2:B$746,B150,'Base bordo'!F$2:F$746,"DESLOCAMENTO CARREGADO"),0)</f>
        <v>2374</v>
      </c>
      <c r="V150" s="30">
        <f t="shared" si="26"/>
        <v>25.43</v>
      </c>
      <c r="W150" s="9">
        <f t="shared" si="27"/>
        <v>6.8964652166277812E-2</v>
      </c>
      <c r="X150" s="9">
        <f t="shared" si="28"/>
        <v>5.955696043752038E-2</v>
      </c>
      <c r="Y150" s="9">
        <f t="shared" si="29"/>
        <v>0.87147838739620176</v>
      </c>
    </row>
    <row r="151" spans="1:25" ht="15" customHeight="1" x14ac:dyDescent="0.35">
      <c r="A151" s="52">
        <v>8013485</v>
      </c>
      <c r="B151" s="51">
        <v>46124</v>
      </c>
      <c r="C151" s="7" t="s">
        <v>124</v>
      </c>
      <c r="D151" s="10">
        <f>IFERROR(SUMIFS('Base bordo'!G$2:G$746,'Base bordo'!C$2:C$746,A151,'Base bordo'!B$2:B$746,B151,'Base bordo'!F$2:F$746,"DESLOCAMENTO VAZIO"),0)</f>
        <v>1.7575000000000001</v>
      </c>
      <c r="E151" s="10">
        <f>IFERROR(SUMIFS('Base bordo'!G$2:G$746,'Base bordo'!C$2:C$746,A151,'Base bordo'!B$2:B$746,B151,'Base bordo'!F$2:F$746,"DESLOCAMENTO CARREGADO"),0)</f>
        <v>0.59722222222222221</v>
      </c>
      <c r="F151" s="10">
        <f>IFERROR(SUMIFS('Base bordo'!G$2:G$746,'Base bordo'!C$2:C$746,A151,'Base bordo'!B$2:B$746,B151,'Base bordo'!F$2:F$746,"DESLOCAMENTO"),0)</f>
        <v>0</v>
      </c>
      <c r="G151" s="10">
        <f>IFERROR(SUMIFS('Base bordo'!G$2:G$746,'Base bordo'!C$2:C$746,A151,'Base bordo'!B$2:B$746,B151,'Base bordo'!F$2:F$746,"CARREGAMENTO"),0)</f>
        <v>0</v>
      </c>
      <c r="H151" s="10">
        <f>IFERROR(SUMIFS('Base bordo'!G$2:G$746,'Base bordo'!C$2:C$746,A151,'Base bordo'!B$2:B$746,B151,'Base bordo'!F$2:F$746,"AGUARDANDO TRANSBORDO"),0)</f>
        <v>0.35833333333333334</v>
      </c>
      <c r="I151" s="10">
        <f>IFERROR(SUMIFS('Base bordo'!G$2:G$746,'Base bordo'!C$2:C$746,A151,'Base bordo'!B$2:B$746,B151,'Base bordo'!F$2:F$746,"PÁTIO INTERNO"),0)+IFERROR(SUMIFS('Base bordo'!G$2:G$746,'Base bordo'!C$2:C$746,A151,'Base bordo'!B$2:B$746,B151,'Base bordo'!F$2:F$746,"PÁTIO EXTERNO"),0)+IFERROR(SUMIFS('Base bordo'!G$2:G$746,'Base bordo'!C$2:C$746,A151,'Base bordo'!B$2:B$746,B151,'Base bordo'!F$2:F$746,"PATIO - RESERVA"),0)+IFERROR(SUMIFS('Base bordo'!G$2:G$746,'Base bordo'!C$2:C$746,A151,'Base bordo'!B$2:B$746,B151,'Base bordo'!F$2:F$746,"MANOBRA CARRETAS-PATIO"),0)</f>
        <v>4.17</v>
      </c>
      <c r="J151" s="10">
        <f>IFERROR(SUMIFS('Base bordo'!G$2:G$746,'Base bordo'!C$2:C$746,A151,'Base bordo'!B$2:B$746,B151,'Base bordo'!F$2:F$746,"BALANÇA - ENTRADA"),0)+IFERROR(SUMIFS('Base bordo'!G$2:G$746,'Base bordo'!C$2:C$746,A151,'Base bordo'!B$2:B$746,B151,'Base bordo'!F$2:F$746,"BALANÇA - SAÍDA"),0)</f>
        <v>0.19083333333333333</v>
      </c>
      <c r="K151" s="10">
        <f>IFERROR(SUMIFS('Base bordo'!G$2:G$746,'Base bordo'!C$2:C$746,A151,'Base bordo'!B$2:B$746,B151,'Base bordo'!F$2:F$746,"MAN PREVENTIVA - MECANICA"),0)+IFERROR(SUMIFS('Base bordo'!G$2:G$746,'Base bordo'!C$2:C$746,A151,'Base bordo'!B$2:B$746,B151,'Base bordo'!F$2:F$746,"MAN CORRETIVA - MECANICA"),0)</f>
        <v>0</v>
      </c>
      <c r="L151" s="10">
        <f>IFERROR(SUMIFS('Base bordo'!G$2:G$746,'Base bordo'!C$2:C$746,A151,'Base bordo'!B$2:B$746,B151,'Base bordo'!F$2:F$746,"MANUTENCAO - T O"),0)+IFERROR(SUMIFS('Base bordo'!G$2:G$746,'Base bordo'!C$2:C$746,A151,'Base bordo'!B$2:B$746,B151,'Base bordo'!F$2:F$746,"MANUTENCAO BORRACHARIA"),0)+IFERROR(SUMIFS('Base bordo'!G$2:G$746,'Base bordo'!C$2:C$746,A151,'Base bordo'!B$2:B$746,B151,'Base bordo'!F$2:F$746,"MANUTENCAO EXTERNA  CONCESSIONARIA"),0)+IFERROR(SUMIFS('Base bordo'!G$2:G$746,'Base bordo'!C$2:C$746,A151,'Base bordo'!B$2:B$746,B151,'Base bordo'!F$2:F$746,"MANUTENCAO TELEMETRIA"),0)</f>
        <v>0</v>
      </c>
      <c r="M151" s="10">
        <f>IFERROR(SUMIFS('Base bordo'!G$2:G$746,'Base bordo'!C$2:C$746,A151,'Base bordo'!B$2:B$746,B151,'Base bordo'!F$2:F$746,"AGUARDANDO MANUTENCAO"),0)</f>
        <v>0</v>
      </c>
      <c r="N151" s="10">
        <f>IFERROR(SUMIFS('Base bordo'!G$2:G$746,'Base bordo'!C$2:C$746,A151,'Base bordo'!B$2:B$746,B151,'Base bordo'!F$2:F$746,"SEM APONTAMENTO"),0)</f>
        <v>0</v>
      </c>
      <c r="O151" s="10">
        <f t="shared" si="24"/>
        <v>8.8817841970012523E-16</v>
      </c>
      <c r="P151" s="10">
        <f>IFERROR(SUMIFS('Base bordo'!G$2:G$746,'Base bordo'!C$2:C$746,A151,'Base bordo'!B$2:B$746,B151),0)</f>
        <v>7.0738888888888898</v>
      </c>
      <c r="Q151" s="10">
        <f>IFERROR(SUMIFS('Base bordo'!H$2:H$746,'Base bordo'!C$2:C$746,A151,'Base bordo'!B$2:B$746,B151,'Base bordo'!F$2:F$746,"DESLOCAMENTO VAZIO"),0)</f>
        <v>57117.96</v>
      </c>
      <c r="R151" s="10">
        <f>IFERROR(SUMIFS('Base bordo'!I$2:I$746,'Base bordo'!C$2:C$746,A151,'Base bordo'!B$2:B$746,B151,'Base bordo'!F$2:F$746,"DESLOCAMENTO VAZIO"),0)</f>
        <v>2727</v>
      </c>
      <c r="S151" s="30">
        <f t="shared" si="25"/>
        <v>20.945346534653464</v>
      </c>
      <c r="T151" s="10">
        <f>IFERROR(SUMIFS('Base bordo'!H$2:H$746,'Base bordo'!C$2:C$746,A151,'Base bordo'!B$2:B$746,B151,'Base bordo'!F$2:F$746,"DESLOCAMENTO CARREGADO"),0)</f>
        <v>40859.899999999994</v>
      </c>
      <c r="U151" s="10">
        <f>IFERROR(SUMIFS('Base bordo'!I$2:I$746,'Base bordo'!C$2:C$746,A151,'Base bordo'!B$2:B$746,B151,'Base bordo'!F$2:F$746,"DESLOCAMENTO CARREGADO"),0)</f>
        <v>2150</v>
      </c>
      <c r="V151" s="30">
        <f t="shared" si="26"/>
        <v>19.004604651162786</v>
      </c>
      <c r="W151" s="9">
        <f t="shared" si="27"/>
        <v>0.24844891227519042</v>
      </c>
      <c r="X151" s="9">
        <f t="shared" si="28"/>
        <v>8.4426293882038789E-2</v>
      </c>
      <c r="Y151" s="9">
        <f t="shared" si="29"/>
        <v>0.66712479384277079</v>
      </c>
    </row>
    <row r="152" spans="1:25" ht="15" customHeight="1" x14ac:dyDescent="0.35">
      <c r="A152" s="52">
        <v>8013475</v>
      </c>
      <c r="B152" s="51">
        <v>46124</v>
      </c>
      <c r="C152" s="7" t="s">
        <v>124</v>
      </c>
      <c r="D152" s="10">
        <f>IFERROR(SUMIFS('Base bordo'!G$2:G$746,'Base bordo'!C$2:C$746,A152,'Base bordo'!B$2:B$746,B152,'Base bordo'!F$2:F$746,"DESLOCAMENTO VAZIO"),0)</f>
        <v>0.7005555555555556</v>
      </c>
      <c r="E152" s="10">
        <f>IFERROR(SUMIFS('Base bordo'!G$2:G$746,'Base bordo'!C$2:C$746,A152,'Base bordo'!B$2:B$746,B152,'Base bordo'!F$2:F$746,"DESLOCAMENTO CARREGADO"),0)</f>
        <v>0.60333333333333339</v>
      </c>
      <c r="F152" s="10">
        <f>IFERROR(SUMIFS('Base bordo'!G$2:G$746,'Base bordo'!C$2:C$746,A152,'Base bordo'!B$2:B$746,B152,'Base bordo'!F$2:F$746,"DESLOCAMENTO"),0)</f>
        <v>0</v>
      </c>
      <c r="G152" s="10">
        <f>IFERROR(SUMIFS('Base bordo'!G$2:G$746,'Base bordo'!C$2:C$746,A152,'Base bordo'!B$2:B$746,B152,'Base bordo'!F$2:F$746,"CARREGAMENTO"),0)</f>
        <v>0</v>
      </c>
      <c r="H152" s="10">
        <f>IFERROR(SUMIFS('Base bordo'!G$2:G$746,'Base bordo'!C$2:C$746,A152,'Base bordo'!B$2:B$746,B152,'Base bordo'!F$2:F$746,"AGUARDANDO TRANSBORDO"),0)</f>
        <v>0.57722222222222219</v>
      </c>
      <c r="I152" s="10">
        <f>IFERROR(SUMIFS('Base bordo'!G$2:G$746,'Base bordo'!C$2:C$746,A152,'Base bordo'!B$2:B$746,B152,'Base bordo'!F$2:F$746,"PÁTIO INTERNO"),0)+IFERROR(SUMIFS('Base bordo'!G$2:G$746,'Base bordo'!C$2:C$746,A152,'Base bordo'!B$2:B$746,B152,'Base bordo'!F$2:F$746,"PÁTIO EXTERNO"),0)+IFERROR(SUMIFS('Base bordo'!G$2:G$746,'Base bordo'!C$2:C$746,A152,'Base bordo'!B$2:B$746,B152,'Base bordo'!F$2:F$746,"PATIO - RESERVA"),0)+IFERROR(SUMIFS('Base bordo'!G$2:G$746,'Base bordo'!C$2:C$746,A152,'Base bordo'!B$2:B$746,B152,'Base bordo'!F$2:F$746,"MANOBRA CARRETAS-PATIO"),0)</f>
        <v>5.7852777777777771</v>
      </c>
      <c r="J152" s="10">
        <f>IFERROR(SUMIFS('Base bordo'!G$2:G$746,'Base bordo'!C$2:C$746,A152,'Base bordo'!B$2:B$746,B152,'Base bordo'!F$2:F$746,"BALANÇA - ENTRADA"),0)+IFERROR(SUMIFS('Base bordo'!G$2:G$746,'Base bordo'!C$2:C$746,A152,'Base bordo'!B$2:B$746,B152,'Base bordo'!F$2:F$746,"BALANÇA - SAÍDA"),0)</f>
        <v>7.8611111111111104E-2</v>
      </c>
      <c r="K152" s="10">
        <f>IFERROR(SUMIFS('Base bordo'!G$2:G$746,'Base bordo'!C$2:C$746,A152,'Base bordo'!B$2:B$746,B152,'Base bordo'!F$2:F$746,"MAN PREVENTIVA - MECANICA"),0)+IFERROR(SUMIFS('Base bordo'!G$2:G$746,'Base bordo'!C$2:C$746,A152,'Base bordo'!B$2:B$746,B152,'Base bordo'!F$2:F$746,"MAN CORRETIVA - MECANICA"),0)</f>
        <v>0</v>
      </c>
      <c r="L152" s="10">
        <f>IFERROR(SUMIFS('Base bordo'!G$2:G$746,'Base bordo'!C$2:C$746,A152,'Base bordo'!B$2:B$746,B152,'Base bordo'!F$2:F$746,"MANUTENCAO - T O"),0)+IFERROR(SUMIFS('Base bordo'!G$2:G$746,'Base bordo'!C$2:C$746,A152,'Base bordo'!B$2:B$746,B152,'Base bordo'!F$2:F$746,"MANUTENCAO BORRACHARIA"),0)+IFERROR(SUMIFS('Base bordo'!G$2:G$746,'Base bordo'!C$2:C$746,A152,'Base bordo'!B$2:B$746,B152,'Base bordo'!F$2:F$746,"MANUTENCAO EXTERNA  CONCESSIONARIA"),0)+IFERROR(SUMIFS('Base bordo'!G$2:G$746,'Base bordo'!C$2:C$746,A152,'Base bordo'!B$2:B$746,B152,'Base bordo'!F$2:F$746,"MANUTENCAO TELEMETRIA"),0)</f>
        <v>0</v>
      </c>
      <c r="M152" s="10">
        <f>IFERROR(SUMIFS('Base bordo'!G$2:G$746,'Base bordo'!C$2:C$746,A152,'Base bordo'!B$2:B$746,B152,'Base bordo'!F$2:F$746,"AGUARDANDO MANUTENCAO"),0)</f>
        <v>0</v>
      </c>
      <c r="N152" s="10">
        <f>IFERROR(SUMIFS('Base bordo'!G$2:G$746,'Base bordo'!C$2:C$746,A152,'Base bordo'!B$2:B$746,B152,'Base bordo'!F$2:F$746,"SEM APONTAMENTO"),0)</f>
        <v>0</v>
      </c>
      <c r="O152" s="10">
        <f t="shared" si="24"/>
        <v>-8.8817841970012523E-16</v>
      </c>
      <c r="P152" s="10">
        <f>IFERROR(SUMIFS('Base bordo'!G$2:G$746,'Base bordo'!C$2:C$746,A152,'Base bordo'!B$2:B$746,B152),0)</f>
        <v>7.7449999999999983</v>
      </c>
      <c r="Q152" s="10">
        <f>IFERROR(SUMIFS('Base bordo'!H$2:H$746,'Base bordo'!C$2:C$746,A152,'Base bordo'!B$2:B$746,B152,'Base bordo'!F$2:F$746,"DESLOCAMENTO VAZIO"),0)</f>
        <v>56346.78</v>
      </c>
      <c r="R152" s="10">
        <f>IFERROR(SUMIFS('Base bordo'!I$2:I$746,'Base bordo'!C$2:C$746,A152,'Base bordo'!B$2:B$746,B152,'Base bordo'!F$2:F$746,"DESLOCAMENTO VAZIO"),0)</f>
        <v>2522</v>
      </c>
      <c r="S152" s="30">
        <f t="shared" si="25"/>
        <v>22.342101506740683</v>
      </c>
      <c r="T152" s="10">
        <f>IFERROR(SUMIFS('Base bordo'!H$2:H$746,'Base bordo'!C$2:C$746,A152,'Base bordo'!B$2:B$746,B152,'Base bordo'!F$2:F$746,"DESLOCAMENTO CARREGADO"),0)</f>
        <v>41086.33</v>
      </c>
      <c r="U152" s="10">
        <f>IFERROR(SUMIFS('Base bordo'!I$2:I$746,'Base bordo'!C$2:C$746,A152,'Base bordo'!B$2:B$746,B152,'Base bordo'!F$2:F$746,"DESLOCAMENTO CARREGADO"),0)</f>
        <v>2172</v>
      </c>
      <c r="V152" s="30">
        <f t="shared" si="26"/>
        <v>18.916358195211789</v>
      </c>
      <c r="W152" s="9">
        <f t="shared" si="27"/>
        <v>9.0452621763144711E-2</v>
      </c>
      <c r="X152" s="9">
        <f t="shared" si="28"/>
        <v>7.7899720249623439E-2</v>
      </c>
      <c r="Y152" s="9">
        <f t="shared" si="29"/>
        <v>0.83164765798723184</v>
      </c>
    </row>
    <row r="153" spans="1:25" ht="15" customHeight="1" x14ac:dyDescent="0.35">
      <c r="A153" s="52">
        <v>8013460</v>
      </c>
      <c r="B153" s="51">
        <v>46117</v>
      </c>
      <c r="C153" s="7" t="s">
        <v>124</v>
      </c>
      <c r="D153" s="10">
        <f>IFERROR(SUMIFS('Base bordo'!G$2:G$746,'Base bordo'!C$2:C$746,A153,'Base bordo'!B$2:B$746,B153,'Base bordo'!F$2:F$746,"DESLOCAMENTO VAZIO"),0)</f>
        <v>5.2069444444444448</v>
      </c>
      <c r="E153" s="10">
        <f>IFERROR(SUMIFS('Base bordo'!G$2:G$746,'Base bordo'!C$2:C$746,A153,'Base bordo'!B$2:B$746,B153,'Base bordo'!F$2:F$746,"DESLOCAMENTO CARREGADO"),0)</f>
        <v>0.55944444444444441</v>
      </c>
      <c r="F153" s="10">
        <f>IFERROR(SUMIFS('Base bordo'!G$2:G$746,'Base bordo'!C$2:C$746,A153,'Base bordo'!B$2:B$746,B153,'Base bordo'!F$2:F$746,"DESLOCAMENTO"),0)</f>
        <v>3.0825</v>
      </c>
      <c r="G153" s="10">
        <f>IFERROR(SUMIFS('Base bordo'!G$2:G$746,'Base bordo'!C$2:C$746,A153,'Base bordo'!B$2:B$746,B153,'Base bordo'!F$2:F$746,"CARREGAMENTO"),0)</f>
        <v>2.5000000000000001E-3</v>
      </c>
      <c r="H153" s="10">
        <f>IFERROR(SUMIFS('Base bordo'!G$2:G$746,'Base bordo'!C$2:C$746,A153,'Base bordo'!B$2:B$746,B153,'Base bordo'!F$2:F$746,"AGUARDANDO TRANSBORDO"),0)</f>
        <v>1.0013888888888889</v>
      </c>
      <c r="I153" s="10">
        <f>IFERROR(SUMIFS('Base bordo'!G$2:G$746,'Base bordo'!C$2:C$746,A153,'Base bordo'!B$2:B$746,B153,'Base bordo'!F$2:F$746,"PÁTIO INTERNO"),0)+IFERROR(SUMIFS('Base bordo'!G$2:G$746,'Base bordo'!C$2:C$746,A153,'Base bordo'!B$2:B$746,B153,'Base bordo'!F$2:F$746,"PÁTIO EXTERNO"),0)+IFERROR(SUMIFS('Base bordo'!G$2:G$746,'Base bordo'!C$2:C$746,A153,'Base bordo'!B$2:B$746,B153,'Base bordo'!F$2:F$746,"PATIO - RESERVA"),0)+IFERROR(SUMIFS('Base bordo'!G$2:G$746,'Base bordo'!C$2:C$746,A153,'Base bordo'!B$2:B$746,B153,'Base bordo'!F$2:F$746,"MANOBRA CARRETAS-PATIO"),0)</f>
        <v>0.54972222222222222</v>
      </c>
      <c r="J153" s="10">
        <f>IFERROR(SUMIFS('Base bordo'!G$2:G$746,'Base bordo'!C$2:C$746,A153,'Base bordo'!B$2:B$746,B153,'Base bordo'!F$2:F$746,"BALANÇA - ENTRADA"),0)+IFERROR(SUMIFS('Base bordo'!G$2:G$746,'Base bordo'!C$2:C$746,A153,'Base bordo'!B$2:B$746,B153,'Base bordo'!F$2:F$746,"BALANÇA - SAÍDA"),0)</f>
        <v>0</v>
      </c>
      <c r="K153" s="10">
        <f>IFERROR(SUMIFS('Base bordo'!G$2:G$746,'Base bordo'!C$2:C$746,A153,'Base bordo'!B$2:B$746,B153,'Base bordo'!F$2:F$746,"MAN PREVENTIVA - MECANICA"),0)+IFERROR(SUMIFS('Base bordo'!G$2:G$746,'Base bordo'!C$2:C$746,A153,'Base bordo'!B$2:B$746,B153,'Base bordo'!F$2:F$746,"MAN CORRETIVA - MECANICA"),0)</f>
        <v>0</v>
      </c>
      <c r="L153" s="10">
        <f>IFERROR(SUMIFS('Base bordo'!G$2:G$746,'Base bordo'!C$2:C$746,A153,'Base bordo'!B$2:B$746,B153,'Base bordo'!F$2:F$746,"MANUTENCAO - T O"),0)+IFERROR(SUMIFS('Base bordo'!G$2:G$746,'Base bordo'!C$2:C$746,A153,'Base bordo'!B$2:B$746,B153,'Base bordo'!F$2:F$746,"MANUTENCAO BORRACHARIA"),0)+IFERROR(SUMIFS('Base bordo'!G$2:G$746,'Base bordo'!C$2:C$746,A153,'Base bordo'!B$2:B$746,B153,'Base bordo'!F$2:F$746,"MANUTENCAO EXTERNA  CONCESSIONARIA"),0)+IFERROR(SUMIFS('Base bordo'!G$2:G$746,'Base bordo'!C$2:C$746,A153,'Base bordo'!B$2:B$746,B153,'Base bordo'!F$2:F$746,"MANUTENCAO TELEMETRIA"),0)</f>
        <v>10.766111111111112</v>
      </c>
      <c r="M153" s="10">
        <f>IFERROR(SUMIFS('Base bordo'!G$2:G$746,'Base bordo'!C$2:C$746,A153,'Base bordo'!B$2:B$746,B153,'Base bordo'!F$2:F$746,"AGUARDANDO MANUTENCAO"),0)</f>
        <v>0</v>
      </c>
      <c r="N153" s="10">
        <f>IFERROR(SUMIFS('Base bordo'!G$2:G$746,'Base bordo'!C$2:C$746,A153,'Base bordo'!B$2:B$746,B153,'Base bordo'!F$2:F$746,"SEM APONTAMENTO"),0)</f>
        <v>0.29444444444444445</v>
      </c>
      <c r="O153" s="10">
        <f t="shared" si="24"/>
        <v>2.536944444444444</v>
      </c>
      <c r="P153" s="10">
        <f>IFERROR(SUMIFS('Base bordo'!G$2:G$746,'Base bordo'!C$2:C$746,A153,'Base bordo'!B$2:B$746,B153),0)</f>
        <v>24</v>
      </c>
      <c r="Q153" s="10">
        <f>IFERROR(SUMIFS('Base bordo'!H$2:H$746,'Base bordo'!C$2:C$746,A153,'Base bordo'!B$2:B$746,B153,'Base bordo'!F$2:F$746,"DESLOCAMENTO VAZIO"),0)</f>
        <v>595925.09</v>
      </c>
      <c r="R153" s="10">
        <f>IFERROR(SUMIFS('Base bordo'!I$2:I$746,'Base bordo'!C$2:C$746,A153,'Base bordo'!B$2:B$746,B153,'Base bordo'!F$2:F$746,"DESLOCAMENTO VAZIO"),0)</f>
        <v>18745</v>
      </c>
      <c r="S153" s="30">
        <f t="shared" si="25"/>
        <v>31.791149106428378</v>
      </c>
      <c r="T153" s="10">
        <f>IFERROR(SUMIFS('Base bordo'!H$2:H$746,'Base bordo'!C$2:C$746,A153,'Base bordo'!B$2:B$746,B153,'Base bordo'!F$2:F$746,"DESLOCAMENTO CARREGADO"),0)</f>
        <v>52858.36</v>
      </c>
      <c r="U153" s="10">
        <f>IFERROR(SUMIFS('Base bordo'!I$2:I$746,'Base bordo'!C$2:C$746,A153,'Base bordo'!B$2:B$746,B153,'Base bordo'!F$2:F$746,"DESLOCAMENTO CARREGADO"),0)</f>
        <v>2014</v>
      </c>
      <c r="V153" s="30">
        <f t="shared" si="26"/>
        <v>26.245461767626615</v>
      </c>
      <c r="W153" s="9">
        <f t="shared" si="27"/>
        <v>0.21695601851851853</v>
      </c>
      <c r="X153" s="9">
        <f t="shared" si="28"/>
        <v>2.3310185185185184E-2</v>
      </c>
      <c r="Y153" s="9">
        <f t="shared" si="29"/>
        <v>0.75973379629629634</v>
      </c>
    </row>
    <row r="154" spans="1:25" ht="15" customHeight="1" x14ac:dyDescent="0.35">
      <c r="A154" s="52">
        <v>8013481</v>
      </c>
      <c r="B154" s="51">
        <v>46123</v>
      </c>
      <c r="C154" s="7" t="s">
        <v>124</v>
      </c>
      <c r="D154" s="10">
        <f>IFERROR(SUMIFS('Base bordo'!G$2:G$746,'Base bordo'!C$2:C$746,A154,'Base bordo'!B$2:B$746,B154,'Base bordo'!F$2:F$746,"DESLOCAMENTO VAZIO"),0)</f>
        <v>0.49583333333333335</v>
      </c>
      <c r="E154" s="10">
        <f>IFERROR(SUMIFS('Base bordo'!G$2:G$746,'Base bordo'!C$2:C$746,A154,'Base bordo'!B$2:B$746,B154,'Base bordo'!F$2:F$746,"DESLOCAMENTO CARREGADO"),0)</f>
        <v>0.5872222222222222</v>
      </c>
      <c r="F154" s="10">
        <f>IFERROR(SUMIFS('Base bordo'!G$2:G$746,'Base bordo'!C$2:C$746,A154,'Base bordo'!B$2:B$746,B154,'Base bordo'!F$2:F$746,"DESLOCAMENTO"),0)</f>
        <v>0</v>
      </c>
      <c r="G154" s="10">
        <f>IFERROR(SUMIFS('Base bordo'!G$2:G$746,'Base bordo'!C$2:C$746,A154,'Base bordo'!B$2:B$746,B154,'Base bordo'!F$2:F$746,"CARREGAMENTO"),0)</f>
        <v>0</v>
      </c>
      <c r="H154" s="10">
        <f>IFERROR(SUMIFS('Base bordo'!G$2:G$746,'Base bordo'!C$2:C$746,A154,'Base bordo'!B$2:B$746,B154,'Base bordo'!F$2:F$746,"AGUARDANDO TRANSBORDO"),0)</f>
        <v>0.16916666666666666</v>
      </c>
      <c r="I154" s="10">
        <f>IFERROR(SUMIFS('Base bordo'!G$2:G$746,'Base bordo'!C$2:C$746,A154,'Base bordo'!B$2:B$746,B154,'Base bordo'!F$2:F$746,"PÁTIO INTERNO"),0)+IFERROR(SUMIFS('Base bordo'!G$2:G$746,'Base bordo'!C$2:C$746,A154,'Base bordo'!B$2:B$746,B154,'Base bordo'!F$2:F$746,"PÁTIO EXTERNO"),0)+IFERROR(SUMIFS('Base bordo'!G$2:G$746,'Base bordo'!C$2:C$746,A154,'Base bordo'!B$2:B$746,B154,'Base bordo'!F$2:F$746,"PATIO - RESERVA"),0)+IFERROR(SUMIFS('Base bordo'!G$2:G$746,'Base bordo'!C$2:C$746,A154,'Base bordo'!B$2:B$746,B154,'Base bordo'!F$2:F$746,"MANOBRA CARRETAS-PATIO"),0)</f>
        <v>2.4105555555555553</v>
      </c>
      <c r="J154" s="10">
        <f>IFERROR(SUMIFS('Base bordo'!G$2:G$746,'Base bordo'!C$2:C$746,A154,'Base bordo'!B$2:B$746,B154,'Base bordo'!F$2:F$746,"BALANÇA - ENTRADA"),0)+IFERROR(SUMIFS('Base bordo'!G$2:G$746,'Base bordo'!C$2:C$746,A154,'Base bordo'!B$2:B$746,B154,'Base bordo'!F$2:F$746,"BALANÇA - SAÍDA"),0)</f>
        <v>0</v>
      </c>
      <c r="K154" s="10">
        <f>IFERROR(SUMIFS('Base bordo'!G$2:G$746,'Base bordo'!C$2:C$746,A154,'Base bordo'!B$2:B$746,B154,'Base bordo'!F$2:F$746,"MAN PREVENTIVA - MECANICA"),0)+IFERROR(SUMIFS('Base bordo'!G$2:G$746,'Base bordo'!C$2:C$746,A154,'Base bordo'!B$2:B$746,B154,'Base bordo'!F$2:F$746,"MAN CORRETIVA - MECANICA"),0)</f>
        <v>0</v>
      </c>
      <c r="L154" s="10">
        <f>IFERROR(SUMIFS('Base bordo'!G$2:G$746,'Base bordo'!C$2:C$746,A154,'Base bordo'!B$2:B$746,B154,'Base bordo'!F$2:F$746,"MANUTENCAO - T O"),0)+IFERROR(SUMIFS('Base bordo'!G$2:G$746,'Base bordo'!C$2:C$746,A154,'Base bordo'!B$2:B$746,B154,'Base bordo'!F$2:F$746,"MANUTENCAO BORRACHARIA"),0)+IFERROR(SUMIFS('Base bordo'!G$2:G$746,'Base bordo'!C$2:C$746,A154,'Base bordo'!B$2:B$746,B154,'Base bordo'!F$2:F$746,"MANUTENCAO EXTERNA  CONCESSIONARIA"),0)+IFERROR(SUMIFS('Base bordo'!G$2:G$746,'Base bordo'!C$2:C$746,A154,'Base bordo'!B$2:B$746,B154,'Base bordo'!F$2:F$746,"MANUTENCAO TELEMETRIA"),0)</f>
        <v>0</v>
      </c>
      <c r="M154" s="10">
        <f>IFERROR(SUMIFS('Base bordo'!G$2:G$746,'Base bordo'!C$2:C$746,A154,'Base bordo'!B$2:B$746,B154,'Base bordo'!F$2:F$746,"AGUARDANDO MANUTENCAO"),0)</f>
        <v>0</v>
      </c>
      <c r="N154" s="10">
        <f>IFERROR(SUMIFS('Base bordo'!G$2:G$746,'Base bordo'!C$2:C$746,A154,'Base bordo'!B$2:B$746,B154,'Base bordo'!F$2:F$746,"SEM APONTAMENTO"),0)</f>
        <v>0</v>
      </c>
      <c r="O154" s="10">
        <f t="shared" si="24"/>
        <v>5.833333333333357E-3</v>
      </c>
      <c r="P154" s="10">
        <f>IFERROR(SUMIFS('Base bordo'!G$2:G$746,'Base bordo'!C$2:C$746,A154,'Base bordo'!B$2:B$746,B154),0)</f>
        <v>3.6686111111111108</v>
      </c>
      <c r="Q154" s="10">
        <f>IFERROR(SUMIFS('Base bordo'!H$2:H$746,'Base bordo'!C$2:C$746,A154,'Base bordo'!B$2:B$746,B154,'Base bordo'!F$2:F$746,"DESLOCAMENTO VAZIO"),0)</f>
        <v>49686.55</v>
      </c>
      <c r="R154" s="10">
        <f>IFERROR(SUMIFS('Base bordo'!I$2:I$746,'Base bordo'!C$2:C$746,A154,'Base bordo'!B$2:B$746,B154,'Base bordo'!F$2:F$746,"DESLOCAMENTO VAZIO"),0)</f>
        <v>1785</v>
      </c>
      <c r="S154" s="30">
        <f t="shared" si="25"/>
        <v>27.83560224089636</v>
      </c>
      <c r="T154" s="10">
        <f>IFERROR(SUMIFS('Base bordo'!H$2:H$746,'Base bordo'!C$2:C$746,A154,'Base bordo'!B$2:B$746,B154,'Base bordo'!F$2:F$746,"DESLOCAMENTO CARREGADO"),0)</f>
        <v>40544.140000000007</v>
      </c>
      <c r="U154" s="10">
        <f>IFERROR(SUMIFS('Base bordo'!I$2:I$746,'Base bordo'!C$2:C$746,A154,'Base bordo'!B$2:B$746,B154,'Base bordo'!F$2:F$746,"DESLOCAMENTO CARREGADO"),0)</f>
        <v>2114</v>
      </c>
      <c r="V154" s="30">
        <f t="shared" si="26"/>
        <v>19.178874172185434</v>
      </c>
      <c r="W154" s="9">
        <f t="shared" si="27"/>
        <v>0.13515559930339974</v>
      </c>
      <c r="X154" s="9">
        <f t="shared" si="28"/>
        <v>0.16006663133186946</v>
      </c>
      <c r="Y154" s="9">
        <f t="shared" si="29"/>
        <v>0.7047777693647308</v>
      </c>
    </row>
    <row r="155" spans="1:25" ht="15" customHeight="1" x14ac:dyDescent="0.35">
      <c r="A155" s="52">
        <v>8013465</v>
      </c>
      <c r="B155" s="51">
        <v>46117</v>
      </c>
      <c r="C155" s="7" t="s">
        <v>124</v>
      </c>
      <c r="D155" s="10">
        <f>IFERROR(SUMIFS('Base bordo'!G$2:G$746,'Base bordo'!C$2:C$746,A155,'Base bordo'!B$2:B$746,B155,'Base bordo'!F$2:F$746,"DESLOCAMENTO VAZIO"),0)</f>
        <v>0.56916666666666671</v>
      </c>
      <c r="E155" s="10">
        <f>IFERROR(SUMIFS('Base bordo'!G$2:G$746,'Base bordo'!C$2:C$746,A155,'Base bordo'!B$2:B$746,B155,'Base bordo'!F$2:F$746,"DESLOCAMENTO CARREGADO"),0)</f>
        <v>0</v>
      </c>
      <c r="F155" s="10">
        <f>IFERROR(SUMIFS('Base bordo'!G$2:G$746,'Base bordo'!C$2:C$746,A155,'Base bordo'!B$2:B$746,B155,'Base bordo'!F$2:F$746,"DESLOCAMENTO"),0)</f>
        <v>0</v>
      </c>
      <c r="G155" s="10">
        <f>IFERROR(SUMIFS('Base bordo'!G$2:G$746,'Base bordo'!C$2:C$746,A155,'Base bordo'!B$2:B$746,B155,'Base bordo'!F$2:F$746,"CARREGAMENTO"),0)</f>
        <v>0</v>
      </c>
      <c r="H155" s="10">
        <f>IFERROR(SUMIFS('Base bordo'!G$2:G$746,'Base bordo'!C$2:C$746,A155,'Base bordo'!B$2:B$746,B155,'Base bordo'!F$2:F$746,"AGUARDANDO TRANSBORDO"),0)</f>
        <v>0</v>
      </c>
      <c r="I155" s="10">
        <f>IFERROR(SUMIFS('Base bordo'!G$2:G$746,'Base bordo'!C$2:C$746,A155,'Base bordo'!B$2:B$746,B155,'Base bordo'!F$2:F$746,"PÁTIO INTERNO"),0)+IFERROR(SUMIFS('Base bordo'!G$2:G$746,'Base bordo'!C$2:C$746,A155,'Base bordo'!B$2:B$746,B155,'Base bordo'!F$2:F$746,"PÁTIO EXTERNO"),0)+IFERROR(SUMIFS('Base bordo'!G$2:G$746,'Base bordo'!C$2:C$746,A155,'Base bordo'!B$2:B$746,B155,'Base bordo'!F$2:F$746,"PATIO - RESERVA"),0)+IFERROR(SUMIFS('Base bordo'!G$2:G$746,'Base bordo'!C$2:C$746,A155,'Base bordo'!B$2:B$746,B155,'Base bordo'!F$2:F$746,"MANOBRA CARRETAS-PATIO"),0)</f>
        <v>0</v>
      </c>
      <c r="J155" s="10">
        <f>IFERROR(SUMIFS('Base bordo'!G$2:G$746,'Base bordo'!C$2:C$746,A155,'Base bordo'!B$2:B$746,B155,'Base bordo'!F$2:F$746,"BALANÇA - ENTRADA"),0)+IFERROR(SUMIFS('Base bordo'!G$2:G$746,'Base bordo'!C$2:C$746,A155,'Base bordo'!B$2:B$746,B155,'Base bordo'!F$2:F$746,"BALANÇA - SAÍDA"),0)</f>
        <v>0</v>
      </c>
      <c r="K155" s="10">
        <f>IFERROR(SUMIFS('Base bordo'!G$2:G$746,'Base bordo'!C$2:C$746,A155,'Base bordo'!B$2:B$746,B155,'Base bordo'!F$2:F$746,"MAN PREVENTIVA - MECANICA"),0)+IFERROR(SUMIFS('Base bordo'!G$2:G$746,'Base bordo'!C$2:C$746,A155,'Base bordo'!B$2:B$746,B155,'Base bordo'!F$2:F$746,"MAN CORRETIVA - MECANICA"),0)</f>
        <v>6.7658333333333331</v>
      </c>
      <c r="L155" s="10">
        <f>IFERROR(SUMIFS('Base bordo'!G$2:G$746,'Base bordo'!C$2:C$746,A155,'Base bordo'!B$2:B$746,B155,'Base bordo'!F$2:F$746,"MANUTENCAO - T O"),0)+IFERROR(SUMIFS('Base bordo'!G$2:G$746,'Base bordo'!C$2:C$746,A155,'Base bordo'!B$2:B$746,B155,'Base bordo'!F$2:F$746,"MANUTENCAO BORRACHARIA"),0)+IFERROR(SUMIFS('Base bordo'!G$2:G$746,'Base bordo'!C$2:C$746,A155,'Base bordo'!B$2:B$746,B155,'Base bordo'!F$2:F$746,"MANUTENCAO EXTERNA  CONCESSIONARIA"),0)+IFERROR(SUMIFS('Base bordo'!G$2:G$746,'Base bordo'!C$2:C$746,A155,'Base bordo'!B$2:B$746,B155,'Base bordo'!F$2:F$746,"MANUTENCAO TELEMETRIA"),0)</f>
        <v>11.210277777777778</v>
      </c>
      <c r="M155" s="10">
        <f>IFERROR(SUMIFS('Base bordo'!G$2:G$746,'Base bordo'!C$2:C$746,A155,'Base bordo'!B$2:B$746,B155,'Base bordo'!F$2:F$746,"AGUARDANDO MANUTENCAO"),0)</f>
        <v>0</v>
      </c>
      <c r="N155" s="10">
        <f>IFERROR(SUMIFS('Base bordo'!G$2:G$746,'Base bordo'!C$2:C$746,A155,'Base bordo'!B$2:B$746,B155,'Base bordo'!F$2:F$746,"SEM APONTAMENTO"),0)</f>
        <v>0</v>
      </c>
      <c r="O155" s="10">
        <f t="shared" si="24"/>
        <v>0.17805555555555586</v>
      </c>
      <c r="P155" s="10">
        <f>IFERROR(SUMIFS('Base bordo'!G$2:G$746,'Base bordo'!C$2:C$746,A155,'Base bordo'!B$2:B$746,B155),0)</f>
        <v>18.723333333333333</v>
      </c>
      <c r="Q155" s="10">
        <f>IFERROR(SUMIFS('Base bordo'!H$2:H$746,'Base bordo'!C$2:C$746,A155,'Base bordo'!B$2:B$746,B155,'Base bordo'!F$2:F$746,"DESLOCAMENTO VAZIO"),0)</f>
        <v>48513.33</v>
      </c>
      <c r="R155" s="10">
        <f>IFERROR(SUMIFS('Base bordo'!I$2:I$746,'Base bordo'!C$2:C$746,A155,'Base bordo'!B$2:B$746,B155,'Base bordo'!F$2:F$746,"DESLOCAMENTO VAZIO"),0)</f>
        <v>2049</v>
      </c>
      <c r="S155" s="30">
        <f t="shared" si="25"/>
        <v>23.676588579795023</v>
      </c>
      <c r="T155" s="10">
        <f>IFERROR(SUMIFS('Base bordo'!H$2:H$746,'Base bordo'!C$2:C$746,A155,'Base bordo'!B$2:B$746,B155,'Base bordo'!F$2:F$746,"DESLOCAMENTO CARREGADO"),0)</f>
        <v>0</v>
      </c>
      <c r="U155" s="10">
        <f>IFERROR(SUMIFS('Base bordo'!I$2:I$746,'Base bordo'!C$2:C$746,A155,'Base bordo'!B$2:B$746,B155,'Base bordo'!F$2:F$746,"DESLOCAMENTO CARREGADO"),0)</f>
        <v>0</v>
      </c>
      <c r="V155" s="30" t="str">
        <f t="shared" si="26"/>
        <v/>
      </c>
      <c r="W155" s="9">
        <f t="shared" si="27"/>
        <v>3.039878938935375E-2</v>
      </c>
      <c r="X155" s="9">
        <f t="shared" si="28"/>
        <v>0</v>
      </c>
      <c r="Y155" s="9">
        <f t="shared" si="29"/>
        <v>0.9696012106106463</v>
      </c>
    </row>
    <row r="156" spans="1:25" ht="15" customHeight="1" x14ac:dyDescent="0.35">
      <c r="A156" s="52">
        <v>8013472</v>
      </c>
      <c r="B156" s="51">
        <v>46122</v>
      </c>
      <c r="C156" s="7" t="s">
        <v>124</v>
      </c>
      <c r="D156" s="10">
        <f>IFERROR(SUMIFS('Base bordo'!G$2:G$746,'Base bordo'!C$2:C$746,A156,'Base bordo'!B$2:B$746,B156,'Base bordo'!F$2:F$746,"DESLOCAMENTO VAZIO"),0)</f>
        <v>0.36361111111111111</v>
      </c>
      <c r="E156" s="10">
        <f>IFERROR(SUMIFS('Base bordo'!G$2:G$746,'Base bordo'!C$2:C$746,A156,'Base bordo'!B$2:B$746,B156,'Base bordo'!F$2:F$746,"DESLOCAMENTO CARREGADO"),0)</f>
        <v>0</v>
      </c>
      <c r="F156" s="10">
        <f>IFERROR(SUMIFS('Base bordo'!G$2:G$746,'Base bordo'!C$2:C$746,A156,'Base bordo'!B$2:B$746,B156,'Base bordo'!F$2:F$746,"DESLOCAMENTO"),0)</f>
        <v>0</v>
      </c>
      <c r="G156" s="10">
        <f>IFERROR(SUMIFS('Base bordo'!G$2:G$746,'Base bordo'!C$2:C$746,A156,'Base bordo'!B$2:B$746,B156,'Base bordo'!F$2:F$746,"CARREGAMENTO"),0)</f>
        <v>0</v>
      </c>
      <c r="H156" s="10">
        <f>IFERROR(SUMIFS('Base bordo'!G$2:G$746,'Base bordo'!C$2:C$746,A156,'Base bordo'!B$2:B$746,B156,'Base bordo'!F$2:F$746,"AGUARDANDO TRANSBORDO"),0)</f>
        <v>0</v>
      </c>
      <c r="I156" s="10">
        <f>IFERROR(SUMIFS('Base bordo'!G$2:G$746,'Base bordo'!C$2:C$746,A156,'Base bordo'!B$2:B$746,B156,'Base bordo'!F$2:F$746,"PÁTIO INTERNO"),0)+IFERROR(SUMIFS('Base bordo'!G$2:G$746,'Base bordo'!C$2:C$746,A156,'Base bordo'!B$2:B$746,B156,'Base bordo'!F$2:F$746,"PÁTIO EXTERNO"),0)+IFERROR(SUMIFS('Base bordo'!G$2:G$746,'Base bordo'!C$2:C$746,A156,'Base bordo'!B$2:B$746,B156,'Base bordo'!F$2:F$746,"PATIO - RESERVA"),0)+IFERROR(SUMIFS('Base bordo'!G$2:G$746,'Base bordo'!C$2:C$746,A156,'Base bordo'!B$2:B$746,B156,'Base bordo'!F$2:F$746,"MANOBRA CARRETAS-PATIO"),0)</f>
        <v>0</v>
      </c>
      <c r="J156" s="10">
        <f>IFERROR(SUMIFS('Base bordo'!G$2:G$746,'Base bordo'!C$2:C$746,A156,'Base bordo'!B$2:B$746,B156,'Base bordo'!F$2:F$746,"BALANÇA - ENTRADA"),0)+IFERROR(SUMIFS('Base bordo'!G$2:G$746,'Base bordo'!C$2:C$746,A156,'Base bordo'!B$2:B$746,B156,'Base bordo'!F$2:F$746,"BALANÇA - SAÍDA"),0)</f>
        <v>0</v>
      </c>
      <c r="K156" s="10">
        <f>IFERROR(SUMIFS('Base bordo'!G$2:G$746,'Base bordo'!C$2:C$746,A156,'Base bordo'!B$2:B$746,B156,'Base bordo'!F$2:F$746,"MAN PREVENTIVA - MECANICA"),0)+IFERROR(SUMIFS('Base bordo'!G$2:G$746,'Base bordo'!C$2:C$746,A156,'Base bordo'!B$2:B$746,B156,'Base bordo'!F$2:F$746,"MAN CORRETIVA - MECANICA"),0)</f>
        <v>0</v>
      </c>
      <c r="L156" s="10">
        <f>IFERROR(SUMIFS('Base bordo'!G$2:G$746,'Base bordo'!C$2:C$746,A156,'Base bordo'!B$2:B$746,B156,'Base bordo'!F$2:F$746,"MANUTENCAO - T O"),0)+IFERROR(SUMIFS('Base bordo'!G$2:G$746,'Base bordo'!C$2:C$746,A156,'Base bordo'!B$2:B$746,B156,'Base bordo'!F$2:F$746,"MANUTENCAO BORRACHARIA"),0)+IFERROR(SUMIFS('Base bordo'!G$2:G$746,'Base bordo'!C$2:C$746,A156,'Base bordo'!B$2:B$746,B156,'Base bordo'!F$2:F$746,"MANUTENCAO EXTERNA  CONCESSIONARIA"),0)+IFERROR(SUMIFS('Base bordo'!G$2:G$746,'Base bordo'!C$2:C$746,A156,'Base bordo'!B$2:B$746,B156,'Base bordo'!F$2:F$746,"MANUTENCAO TELEMETRIA"),0)</f>
        <v>0</v>
      </c>
      <c r="M156" s="10">
        <f>IFERROR(SUMIFS('Base bordo'!G$2:G$746,'Base bordo'!C$2:C$746,A156,'Base bordo'!B$2:B$746,B156,'Base bordo'!F$2:F$746,"AGUARDANDO MANUTENCAO"),0)</f>
        <v>0</v>
      </c>
      <c r="N156" s="10">
        <f>IFERROR(SUMIFS('Base bordo'!G$2:G$746,'Base bordo'!C$2:C$746,A156,'Base bordo'!B$2:B$746,B156,'Base bordo'!F$2:F$746,"SEM APONTAMENTO"),0)</f>
        <v>0</v>
      </c>
      <c r="O156" s="10">
        <f t="shared" si="24"/>
        <v>0</v>
      </c>
      <c r="P156" s="10">
        <f>IFERROR(SUMIFS('Base bordo'!G$2:G$746,'Base bordo'!C$2:C$746,A156,'Base bordo'!B$2:B$746,B156),0)</f>
        <v>0.36361111111111111</v>
      </c>
      <c r="Q156" s="10">
        <f>IFERROR(SUMIFS('Base bordo'!H$2:H$746,'Base bordo'!C$2:C$746,A156,'Base bordo'!B$2:B$746,B156,'Base bordo'!F$2:F$746,"DESLOCAMENTO VAZIO"),0)</f>
        <v>44111.770000000004</v>
      </c>
      <c r="R156" s="10">
        <f>IFERROR(SUMIFS('Base bordo'!I$2:I$746,'Base bordo'!C$2:C$746,A156,'Base bordo'!B$2:B$746,B156,'Base bordo'!F$2:F$746,"DESLOCAMENTO VAZIO"),0)</f>
        <v>1309</v>
      </c>
      <c r="S156" s="30">
        <f t="shared" si="25"/>
        <v>33.69883116883117</v>
      </c>
      <c r="T156" s="10">
        <f>IFERROR(SUMIFS('Base bordo'!H$2:H$746,'Base bordo'!C$2:C$746,A156,'Base bordo'!B$2:B$746,B156,'Base bordo'!F$2:F$746,"DESLOCAMENTO CARREGADO"),0)</f>
        <v>0</v>
      </c>
      <c r="U156" s="10">
        <f>IFERROR(SUMIFS('Base bordo'!I$2:I$746,'Base bordo'!C$2:C$746,A156,'Base bordo'!B$2:B$746,B156,'Base bordo'!F$2:F$746,"DESLOCAMENTO CARREGADO"),0)</f>
        <v>0</v>
      </c>
      <c r="V156" s="30" t="str">
        <f t="shared" si="26"/>
        <v/>
      </c>
      <c r="W156" s="9">
        <f t="shared" si="27"/>
        <v>1</v>
      </c>
      <c r="X156" s="9">
        <f t="shared" si="28"/>
        <v>0</v>
      </c>
      <c r="Y156" s="9">
        <f t="shared" si="29"/>
        <v>0</v>
      </c>
    </row>
    <row r="157" spans="1:25" ht="15" customHeight="1" x14ac:dyDescent="0.35">
      <c r="A157" s="52">
        <v>8013483</v>
      </c>
      <c r="B157" s="51">
        <v>46117</v>
      </c>
      <c r="C157" s="7" t="s">
        <v>124</v>
      </c>
      <c r="D157" s="10">
        <f>IFERROR(SUMIFS('Base bordo'!G$2:G$746,'Base bordo'!C$2:C$746,A157,'Base bordo'!B$2:B$746,B157,'Base bordo'!F$2:F$746,"DESLOCAMENTO VAZIO"),0)</f>
        <v>0.3947222222222222</v>
      </c>
      <c r="E157" s="10">
        <f>IFERROR(SUMIFS('Base bordo'!G$2:G$746,'Base bordo'!C$2:C$746,A157,'Base bordo'!B$2:B$746,B157,'Base bordo'!F$2:F$746,"DESLOCAMENTO CARREGADO"),0)</f>
        <v>2.7777777777777776E-2</v>
      </c>
      <c r="F157" s="10">
        <f>IFERROR(SUMIFS('Base bordo'!G$2:G$746,'Base bordo'!C$2:C$746,A157,'Base bordo'!B$2:B$746,B157,'Base bordo'!F$2:F$746,"DESLOCAMENTO"),0)</f>
        <v>0</v>
      </c>
      <c r="G157" s="10">
        <f>IFERROR(SUMIFS('Base bordo'!G$2:G$746,'Base bordo'!C$2:C$746,A157,'Base bordo'!B$2:B$746,B157,'Base bordo'!F$2:F$746,"CARREGAMENTO"),0)</f>
        <v>0</v>
      </c>
      <c r="H157" s="10">
        <f>IFERROR(SUMIFS('Base bordo'!G$2:G$746,'Base bordo'!C$2:C$746,A157,'Base bordo'!B$2:B$746,B157,'Base bordo'!F$2:F$746,"AGUARDANDO TRANSBORDO"),0)</f>
        <v>0</v>
      </c>
      <c r="I157" s="10">
        <f>IFERROR(SUMIFS('Base bordo'!G$2:G$746,'Base bordo'!C$2:C$746,A157,'Base bordo'!B$2:B$746,B157,'Base bordo'!F$2:F$746,"PÁTIO INTERNO"),0)+IFERROR(SUMIFS('Base bordo'!G$2:G$746,'Base bordo'!C$2:C$746,A157,'Base bordo'!B$2:B$746,B157,'Base bordo'!F$2:F$746,"PÁTIO EXTERNO"),0)+IFERROR(SUMIFS('Base bordo'!G$2:G$746,'Base bordo'!C$2:C$746,A157,'Base bordo'!B$2:B$746,B157,'Base bordo'!F$2:F$746,"PATIO - RESERVA"),0)+IFERROR(SUMIFS('Base bordo'!G$2:G$746,'Base bordo'!C$2:C$746,A157,'Base bordo'!B$2:B$746,B157,'Base bordo'!F$2:F$746,"MANOBRA CARRETAS-PATIO"),0)</f>
        <v>0</v>
      </c>
      <c r="J157" s="10">
        <f>IFERROR(SUMIFS('Base bordo'!G$2:G$746,'Base bordo'!C$2:C$746,A157,'Base bordo'!B$2:B$746,B157,'Base bordo'!F$2:F$746,"BALANÇA - ENTRADA"),0)+IFERROR(SUMIFS('Base bordo'!G$2:G$746,'Base bordo'!C$2:C$746,A157,'Base bordo'!B$2:B$746,B157,'Base bordo'!F$2:F$746,"BALANÇA - SAÍDA"),0)</f>
        <v>0</v>
      </c>
      <c r="K157" s="10">
        <f>IFERROR(SUMIFS('Base bordo'!G$2:G$746,'Base bordo'!C$2:C$746,A157,'Base bordo'!B$2:B$746,B157,'Base bordo'!F$2:F$746,"MAN PREVENTIVA - MECANICA"),0)+IFERROR(SUMIFS('Base bordo'!G$2:G$746,'Base bordo'!C$2:C$746,A157,'Base bordo'!B$2:B$746,B157,'Base bordo'!F$2:F$746,"MAN CORRETIVA - MECANICA"),0)</f>
        <v>0</v>
      </c>
      <c r="L157" s="10">
        <f>IFERROR(SUMIFS('Base bordo'!G$2:G$746,'Base bordo'!C$2:C$746,A157,'Base bordo'!B$2:B$746,B157,'Base bordo'!F$2:F$746,"MANUTENCAO - T O"),0)+IFERROR(SUMIFS('Base bordo'!G$2:G$746,'Base bordo'!C$2:C$746,A157,'Base bordo'!B$2:B$746,B157,'Base bordo'!F$2:F$746,"MANUTENCAO BORRACHARIA"),0)+IFERROR(SUMIFS('Base bordo'!G$2:G$746,'Base bordo'!C$2:C$746,A157,'Base bordo'!B$2:B$746,B157,'Base bordo'!F$2:F$746,"MANUTENCAO EXTERNA  CONCESSIONARIA"),0)+IFERROR(SUMIFS('Base bordo'!G$2:G$746,'Base bordo'!C$2:C$746,A157,'Base bordo'!B$2:B$746,B157,'Base bordo'!F$2:F$746,"MANUTENCAO TELEMETRIA"),0)</f>
        <v>22.371944444444445</v>
      </c>
      <c r="M157" s="10">
        <f>IFERROR(SUMIFS('Base bordo'!G$2:G$746,'Base bordo'!C$2:C$746,A157,'Base bordo'!B$2:B$746,B157,'Base bordo'!F$2:F$746,"AGUARDANDO MANUTENCAO"),0)</f>
        <v>0</v>
      </c>
      <c r="N157" s="10">
        <f>IFERROR(SUMIFS('Base bordo'!G$2:G$746,'Base bordo'!C$2:C$746,A157,'Base bordo'!B$2:B$746,B157,'Base bordo'!F$2:F$746,"SEM APONTAMENTO"),0)</f>
        <v>1.0611111111111111</v>
      </c>
      <c r="O157" s="10">
        <f t="shared" si="24"/>
        <v>0.14444444444444571</v>
      </c>
      <c r="P157" s="10">
        <f>IFERROR(SUMIFS('Base bordo'!G$2:G$746,'Base bordo'!C$2:C$746,A157,'Base bordo'!B$2:B$746,B157),0)</f>
        <v>24</v>
      </c>
      <c r="Q157" s="10">
        <f>IFERROR(SUMIFS('Base bordo'!H$2:H$746,'Base bordo'!C$2:C$746,A157,'Base bordo'!B$2:B$746,B157,'Base bordo'!F$2:F$746,"DESLOCAMENTO VAZIO"),0)</f>
        <v>41838.400000000001</v>
      </c>
      <c r="R157" s="10">
        <f>IFERROR(SUMIFS('Base bordo'!I$2:I$746,'Base bordo'!C$2:C$746,A157,'Base bordo'!B$2:B$746,B157,'Base bordo'!F$2:F$746,"DESLOCAMENTO VAZIO"),0)</f>
        <v>1421</v>
      </c>
      <c r="S157" s="30">
        <f t="shared" si="25"/>
        <v>29.442927515833922</v>
      </c>
      <c r="T157" s="10">
        <f>IFERROR(SUMIFS('Base bordo'!H$2:H$746,'Base bordo'!C$2:C$746,A157,'Base bordo'!B$2:B$746,B157,'Base bordo'!F$2:F$746,"DESLOCAMENTO CARREGADO"),0)</f>
        <v>785.48</v>
      </c>
      <c r="U157" s="10">
        <f>IFERROR(SUMIFS('Base bordo'!I$2:I$746,'Base bordo'!C$2:C$746,A157,'Base bordo'!B$2:B$746,B157,'Base bordo'!F$2:F$746,"DESLOCAMENTO CARREGADO"),0)</f>
        <v>100</v>
      </c>
      <c r="V157" s="30">
        <f t="shared" si="26"/>
        <v>7.8548</v>
      </c>
      <c r="W157" s="9">
        <f t="shared" si="27"/>
        <v>1.6446759259259258E-2</v>
      </c>
      <c r="X157" s="9">
        <f t="shared" si="28"/>
        <v>1.1574074074074073E-3</v>
      </c>
      <c r="Y157" s="9">
        <f t="shared" si="29"/>
        <v>0.98239583333333336</v>
      </c>
    </row>
    <row r="158" spans="1:25" ht="15" customHeight="1" x14ac:dyDescent="0.35">
      <c r="A158" s="52">
        <v>8013475</v>
      </c>
      <c r="B158" s="51">
        <v>46124</v>
      </c>
      <c r="C158" s="7" t="s">
        <v>124</v>
      </c>
      <c r="D158" s="10">
        <f>IFERROR(SUMIFS('Base bordo'!G$2:G$746,'Base bordo'!C$2:C$746,A158,'Base bordo'!B$2:B$746,B158,'Base bordo'!F$2:F$746,"DESLOCAMENTO VAZIO"),0)</f>
        <v>0.7005555555555556</v>
      </c>
      <c r="E158" s="10">
        <f>IFERROR(SUMIFS('Base bordo'!G$2:G$746,'Base bordo'!C$2:C$746,A158,'Base bordo'!B$2:B$746,B158,'Base bordo'!F$2:F$746,"DESLOCAMENTO CARREGADO"),0)</f>
        <v>0.60333333333333339</v>
      </c>
      <c r="F158" s="10">
        <f>IFERROR(SUMIFS('Base bordo'!G$2:G$746,'Base bordo'!C$2:C$746,A158,'Base bordo'!B$2:B$746,B158,'Base bordo'!F$2:F$746,"DESLOCAMENTO"),0)</f>
        <v>0</v>
      </c>
      <c r="G158" s="10">
        <f>IFERROR(SUMIFS('Base bordo'!G$2:G$746,'Base bordo'!C$2:C$746,A158,'Base bordo'!B$2:B$746,B158,'Base bordo'!F$2:F$746,"CARREGAMENTO"),0)</f>
        <v>0</v>
      </c>
      <c r="H158" s="10">
        <f>IFERROR(SUMIFS('Base bordo'!G$2:G$746,'Base bordo'!C$2:C$746,A158,'Base bordo'!B$2:B$746,B158,'Base bordo'!F$2:F$746,"AGUARDANDO TRANSBORDO"),0)</f>
        <v>0.57722222222222219</v>
      </c>
      <c r="I158" s="10">
        <f>IFERROR(SUMIFS('Base bordo'!G$2:G$746,'Base bordo'!C$2:C$746,A158,'Base bordo'!B$2:B$746,B158,'Base bordo'!F$2:F$746,"PÁTIO INTERNO"),0)+IFERROR(SUMIFS('Base bordo'!G$2:G$746,'Base bordo'!C$2:C$746,A158,'Base bordo'!B$2:B$746,B158,'Base bordo'!F$2:F$746,"PÁTIO EXTERNO"),0)+IFERROR(SUMIFS('Base bordo'!G$2:G$746,'Base bordo'!C$2:C$746,A158,'Base bordo'!B$2:B$746,B158,'Base bordo'!F$2:F$746,"PATIO - RESERVA"),0)+IFERROR(SUMIFS('Base bordo'!G$2:G$746,'Base bordo'!C$2:C$746,A158,'Base bordo'!B$2:B$746,B158,'Base bordo'!F$2:F$746,"MANOBRA CARRETAS-PATIO"),0)</f>
        <v>5.7852777777777771</v>
      </c>
      <c r="J158" s="10">
        <f>IFERROR(SUMIFS('Base bordo'!G$2:G$746,'Base bordo'!C$2:C$746,A158,'Base bordo'!B$2:B$746,B158,'Base bordo'!F$2:F$746,"BALANÇA - ENTRADA"),0)+IFERROR(SUMIFS('Base bordo'!G$2:G$746,'Base bordo'!C$2:C$746,A158,'Base bordo'!B$2:B$746,B158,'Base bordo'!F$2:F$746,"BALANÇA - SAÍDA"),0)</f>
        <v>7.8611111111111104E-2</v>
      </c>
      <c r="K158" s="10">
        <f>IFERROR(SUMIFS('Base bordo'!G$2:G$746,'Base bordo'!C$2:C$746,A158,'Base bordo'!B$2:B$746,B158,'Base bordo'!F$2:F$746,"MAN PREVENTIVA - MECANICA"),0)+IFERROR(SUMIFS('Base bordo'!G$2:G$746,'Base bordo'!C$2:C$746,A158,'Base bordo'!B$2:B$746,B158,'Base bordo'!F$2:F$746,"MAN CORRETIVA - MECANICA"),0)</f>
        <v>0</v>
      </c>
      <c r="L158" s="10">
        <f>IFERROR(SUMIFS('Base bordo'!G$2:G$746,'Base bordo'!C$2:C$746,A158,'Base bordo'!B$2:B$746,B158,'Base bordo'!F$2:F$746,"MANUTENCAO - T O"),0)+IFERROR(SUMIFS('Base bordo'!G$2:G$746,'Base bordo'!C$2:C$746,A158,'Base bordo'!B$2:B$746,B158,'Base bordo'!F$2:F$746,"MANUTENCAO BORRACHARIA"),0)+IFERROR(SUMIFS('Base bordo'!G$2:G$746,'Base bordo'!C$2:C$746,A158,'Base bordo'!B$2:B$746,B158,'Base bordo'!F$2:F$746,"MANUTENCAO EXTERNA  CONCESSIONARIA"),0)+IFERROR(SUMIFS('Base bordo'!G$2:G$746,'Base bordo'!C$2:C$746,A158,'Base bordo'!B$2:B$746,B158,'Base bordo'!F$2:F$746,"MANUTENCAO TELEMETRIA"),0)</f>
        <v>0</v>
      </c>
      <c r="M158" s="10">
        <f>IFERROR(SUMIFS('Base bordo'!G$2:G$746,'Base bordo'!C$2:C$746,A158,'Base bordo'!B$2:B$746,B158,'Base bordo'!F$2:F$746,"AGUARDANDO MANUTENCAO"),0)</f>
        <v>0</v>
      </c>
      <c r="N158" s="10">
        <f>IFERROR(SUMIFS('Base bordo'!G$2:G$746,'Base bordo'!C$2:C$746,A158,'Base bordo'!B$2:B$746,B158,'Base bordo'!F$2:F$746,"SEM APONTAMENTO"),0)</f>
        <v>0</v>
      </c>
      <c r="O158" s="10">
        <f t="shared" si="24"/>
        <v>-8.8817841970012523E-16</v>
      </c>
      <c r="P158" s="10">
        <f>IFERROR(SUMIFS('Base bordo'!G$2:G$746,'Base bordo'!C$2:C$746,A158,'Base bordo'!B$2:B$746,B158),0)</f>
        <v>7.7449999999999983</v>
      </c>
      <c r="Q158" s="10">
        <f>IFERROR(SUMIFS('Base bordo'!H$2:H$746,'Base bordo'!C$2:C$746,A158,'Base bordo'!B$2:B$746,B158,'Base bordo'!F$2:F$746,"DESLOCAMENTO VAZIO"),0)</f>
        <v>56346.78</v>
      </c>
      <c r="R158" s="10">
        <f>IFERROR(SUMIFS('Base bordo'!I$2:I$746,'Base bordo'!C$2:C$746,A158,'Base bordo'!B$2:B$746,B158,'Base bordo'!F$2:F$746,"DESLOCAMENTO VAZIO"),0)</f>
        <v>2522</v>
      </c>
      <c r="S158" s="30">
        <f t="shared" si="25"/>
        <v>22.342101506740683</v>
      </c>
      <c r="T158" s="10">
        <f>IFERROR(SUMIFS('Base bordo'!H$2:H$746,'Base bordo'!C$2:C$746,A158,'Base bordo'!B$2:B$746,B158,'Base bordo'!F$2:F$746,"DESLOCAMENTO CARREGADO"),0)</f>
        <v>41086.33</v>
      </c>
      <c r="U158" s="10">
        <f>IFERROR(SUMIFS('Base bordo'!I$2:I$746,'Base bordo'!C$2:C$746,A158,'Base bordo'!B$2:B$746,B158,'Base bordo'!F$2:F$746,"DESLOCAMENTO CARREGADO"),0)</f>
        <v>2172</v>
      </c>
      <c r="V158" s="30">
        <f t="shared" si="26"/>
        <v>18.916358195211789</v>
      </c>
      <c r="W158" s="9">
        <f t="shared" si="27"/>
        <v>9.0452621763144711E-2</v>
      </c>
      <c r="X158" s="9">
        <f t="shared" si="28"/>
        <v>7.7899720249623439E-2</v>
      </c>
      <c r="Y158" s="9">
        <f t="shared" si="29"/>
        <v>0.83164765798723184</v>
      </c>
    </row>
    <row r="159" spans="1:25" ht="15" customHeight="1" x14ac:dyDescent="0.35">
      <c r="A159" s="52">
        <v>8013485</v>
      </c>
      <c r="B159" s="51">
        <v>46124</v>
      </c>
      <c r="C159" s="7" t="s">
        <v>124</v>
      </c>
      <c r="D159" s="10">
        <f>IFERROR(SUMIFS('Base bordo'!G$2:G$746,'Base bordo'!C$2:C$746,A159,'Base bordo'!B$2:B$746,B159,'Base bordo'!F$2:F$746,"DESLOCAMENTO VAZIO"),0)</f>
        <v>1.7575000000000001</v>
      </c>
      <c r="E159" s="10">
        <f>IFERROR(SUMIFS('Base bordo'!G$2:G$746,'Base bordo'!C$2:C$746,A159,'Base bordo'!B$2:B$746,B159,'Base bordo'!F$2:F$746,"DESLOCAMENTO CARREGADO"),0)</f>
        <v>0.59722222222222221</v>
      </c>
      <c r="F159" s="10">
        <f>IFERROR(SUMIFS('Base bordo'!G$2:G$746,'Base bordo'!C$2:C$746,A159,'Base bordo'!B$2:B$746,B159,'Base bordo'!F$2:F$746,"DESLOCAMENTO"),0)</f>
        <v>0</v>
      </c>
      <c r="G159" s="10">
        <f>IFERROR(SUMIFS('Base bordo'!G$2:G$746,'Base bordo'!C$2:C$746,A159,'Base bordo'!B$2:B$746,B159,'Base bordo'!F$2:F$746,"CARREGAMENTO"),0)</f>
        <v>0</v>
      </c>
      <c r="H159" s="10">
        <f>IFERROR(SUMIFS('Base bordo'!G$2:G$746,'Base bordo'!C$2:C$746,A159,'Base bordo'!B$2:B$746,B159,'Base bordo'!F$2:F$746,"AGUARDANDO TRANSBORDO"),0)</f>
        <v>0.35833333333333334</v>
      </c>
      <c r="I159" s="10">
        <f>IFERROR(SUMIFS('Base bordo'!G$2:G$746,'Base bordo'!C$2:C$746,A159,'Base bordo'!B$2:B$746,B159,'Base bordo'!F$2:F$746,"PÁTIO INTERNO"),0)+IFERROR(SUMIFS('Base bordo'!G$2:G$746,'Base bordo'!C$2:C$746,A159,'Base bordo'!B$2:B$746,B159,'Base bordo'!F$2:F$746,"PÁTIO EXTERNO"),0)+IFERROR(SUMIFS('Base bordo'!G$2:G$746,'Base bordo'!C$2:C$746,A159,'Base bordo'!B$2:B$746,B159,'Base bordo'!F$2:F$746,"PATIO - RESERVA"),0)+IFERROR(SUMIFS('Base bordo'!G$2:G$746,'Base bordo'!C$2:C$746,A159,'Base bordo'!B$2:B$746,B159,'Base bordo'!F$2:F$746,"MANOBRA CARRETAS-PATIO"),0)</f>
        <v>4.17</v>
      </c>
      <c r="J159" s="10">
        <f>IFERROR(SUMIFS('Base bordo'!G$2:G$746,'Base bordo'!C$2:C$746,A159,'Base bordo'!B$2:B$746,B159,'Base bordo'!F$2:F$746,"BALANÇA - ENTRADA"),0)+IFERROR(SUMIFS('Base bordo'!G$2:G$746,'Base bordo'!C$2:C$746,A159,'Base bordo'!B$2:B$746,B159,'Base bordo'!F$2:F$746,"BALANÇA - SAÍDA"),0)</f>
        <v>0.19083333333333333</v>
      </c>
      <c r="K159" s="10">
        <f>IFERROR(SUMIFS('Base bordo'!G$2:G$746,'Base bordo'!C$2:C$746,A159,'Base bordo'!B$2:B$746,B159,'Base bordo'!F$2:F$746,"MAN PREVENTIVA - MECANICA"),0)+IFERROR(SUMIFS('Base bordo'!G$2:G$746,'Base bordo'!C$2:C$746,A159,'Base bordo'!B$2:B$746,B159,'Base bordo'!F$2:F$746,"MAN CORRETIVA - MECANICA"),0)</f>
        <v>0</v>
      </c>
      <c r="L159" s="10">
        <f>IFERROR(SUMIFS('Base bordo'!G$2:G$746,'Base bordo'!C$2:C$746,A159,'Base bordo'!B$2:B$746,B159,'Base bordo'!F$2:F$746,"MANUTENCAO - T O"),0)+IFERROR(SUMIFS('Base bordo'!G$2:G$746,'Base bordo'!C$2:C$746,A159,'Base bordo'!B$2:B$746,B159,'Base bordo'!F$2:F$746,"MANUTENCAO BORRACHARIA"),0)+IFERROR(SUMIFS('Base bordo'!G$2:G$746,'Base bordo'!C$2:C$746,A159,'Base bordo'!B$2:B$746,B159,'Base bordo'!F$2:F$746,"MANUTENCAO EXTERNA  CONCESSIONARIA"),0)+IFERROR(SUMIFS('Base bordo'!G$2:G$746,'Base bordo'!C$2:C$746,A159,'Base bordo'!B$2:B$746,B159,'Base bordo'!F$2:F$746,"MANUTENCAO TELEMETRIA"),0)</f>
        <v>0</v>
      </c>
      <c r="M159" s="10">
        <f>IFERROR(SUMIFS('Base bordo'!G$2:G$746,'Base bordo'!C$2:C$746,A159,'Base bordo'!B$2:B$746,B159,'Base bordo'!F$2:F$746,"AGUARDANDO MANUTENCAO"),0)</f>
        <v>0</v>
      </c>
      <c r="N159" s="10">
        <f>IFERROR(SUMIFS('Base bordo'!G$2:G$746,'Base bordo'!C$2:C$746,A159,'Base bordo'!B$2:B$746,B159,'Base bordo'!F$2:F$746,"SEM APONTAMENTO"),0)</f>
        <v>0</v>
      </c>
      <c r="O159" s="10">
        <f t="shared" si="24"/>
        <v>8.8817841970012523E-16</v>
      </c>
      <c r="P159" s="10">
        <f>IFERROR(SUMIFS('Base bordo'!G$2:G$746,'Base bordo'!C$2:C$746,A159,'Base bordo'!B$2:B$746,B159),0)</f>
        <v>7.0738888888888898</v>
      </c>
      <c r="Q159" s="10">
        <f>IFERROR(SUMIFS('Base bordo'!H$2:H$746,'Base bordo'!C$2:C$746,A159,'Base bordo'!B$2:B$746,B159,'Base bordo'!F$2:F$746,"DESLOCAMENTO VAZIO"),0)</f>
        <v>57117.96</v>
      </c>
      <c r="R159" s="10">
        <f>IFERROR(SUMIFS('Base bordo'!I$2:I$746,'Base bordo'!C$2:C$746,A159,'Base bordo'!B$2:B$746,B159,'Base bordo'!F$2:F$746,"DESLOCAMENTO VAZIO"),0)</f>
        <v>2727</v>
      </c>
      <c r="S159" s="30">
        <f t="shared" si="25"/>
        <v>20.945346534653464</v>
      </c>
      <c r="T159" s="10">
        <f>IFERROR(SUMIFS('Base bordo'!H$2:H$746,'Base bordo'!C$2:C$746,A159,'Base bordo'!B$2:B$746,B159,'Base bordo'!F$2:F$746,"DESLOCAMENTO CARREGADO"),0)</f>
        <v>40859.899999999994</v>
      </c>
      <c r="U159" s="10">
        <f>IFERROR(SUMIFS('Base bordo'!I$2:I$746,'Base bordo'!C$2:C$746,A159,'Base bordo'!B$2:B$746,B159,'Base bordo'!F$2:F$746,"DESLOCAMENTO CARREGADO"),0)</f>
        <v>2150</v>
      </c>
      <c r="V159" s="30">
        <f t="shared" si="26"/>
        <v>19.004604651162786</v>
      </c>
      <c r="W159" s="9">
        <f t="shared" si="27"/>
        <v>0.24844891227519042</v>
      </c>
      <c r="X159" s="9">
        <f t="shared" si="28"/>
        <v>8.4426293882038789E-2</v>
      </c>
      <c r="Y159" s="9">
        <f t="shared" si="29"/>
        <v>0.66712479384277079</v>
      </c>
    </row>
    <row r="160" spans="1:25" ht="15" customHeight="1" x14ac:dyDescent="0.35">
      <c r="A160" s="52">
        <v>8013481</v>
      </c>
      <c r="B160" s="51">
        <v>46123</v>
      </c>
      <c r="C160" s="7" t="s">
        <v>124</v>
      </c>
      <c r="D160" s="10">
        <f>IFERROR(SUMIFS('Base bordo'!G$2:G$746,'Base bordo'!C$2:C$746,A160,'Base bordo'!B$2:B$746,B160,'Base bordo'!F$2:F$746,"DESLOCAMENTO VAZIO"),0)</f>
        <v>0.49583333333333335</v>
      </c>
      <c r="E160" s="10">
        <f>IFERROR(SUMIFS('Base bordo'!G$2:G$746,'Base bordo'!C$2:C$746,A160,'Base bordo'!B$2:B$746,B160,'Base bordo'!F$2:F$746,"DESLOCAMENTO CARREGADO"),0)</f>
        <v>0.5872222222222222</v>
      </c>
      <c r="F160" s="10">
        <f>IFERROR(SUMIFS('Base bordo'!G$2:G$746,'Base bordo'!C$2:C$746,A160,'Base bordo'!B$2:B$746,B160,'Base bordo'!F$2:F$746,"DESLOCAMENTO"),0)</f>
        <v>0</v>
      </c>
      <c r="G160" s="10">
        <f>IFERROR(SUMIFS('Base bordo'!G$2:G$746,'Base bordo'!C$2:C$746,A160,'Base bordo'!B$2:B$746,B160,'Base bordo'!F$2:F$746,"CARREGAMENTO"),0)</f>
        <v>0</v>
      </c>
      <c r="H160" s="10">
        <f>IFERROR(SUMIFS('Base bordo'!G$2:G$746,'Base bordo'!C$2:C$746,A160,'Base bordo'!B$2:B$746,B160,'Base bordo'!F$2:F$746,"AGUARDANDO TRANSBORDO"),0)</f>
        <v>0.16916666666666666</v>
      </c>
      <c r="I160" s="10">
        <f>IFERROR(SUMIFS('Base bordo'!G$2:G$746,'Base bordo'!C$2:C$746,A160,'Base bordo'!B$2:B$746,B160,'Base bordo'!F$2:F$746,"PÁTIO INTERNO"),0)+IFERROR(SUMIFS('Base bordo'!G$2:G$746,'Base bordo'!C$2:C$746,A160,'Base bordo'!B$2:B$746,B160,'Base bordo'!F$2:F$746,"PÁTIO EXTERNO"),0)+IFERROR(SUMIFS('Base bordo'!G$2:G$746,'Base bordo'!C$2:C$746,A160,'Base bordo'!B$2:B$746,B160,'Base bordo'!F$2:F$746,"PATIO - RESERVA"),0)+IFERROR(SUMIFS('Base bordo'!G$2:G$746,'Base bordo'!C$2:C$746,A160,'Base bordo'!B$2:B$746,B160,'Base bordo'!F$2:F$746,"MANOBRA CARRETAS-PATIO"),0)</f>
        <v>2.4105555555555553</v>
      </c>
      <c r="J160" s="10">
        <f>IFERROR(SUMIFS('Base bordo'!G$2:G$746,'Base bordo'!C$2:C$746,A160,'Base bordo'!B$2:B$746,B160,'Base bordo'!F$2:F$746,"BALANÇA - ENTRADA"),0)+IFERROR(SUMIFS('Base bordo'!G$2:G$746,'Base bordo'!C$2:C$746,A160,'Base bordo'!B$2:B$746,B160,'Base bordo'!F$2:F$746,"BALANÇA - SAÍDA"),0)</f>
        <v>0</v>
      </c>
      <c r="K160" s="10">
        <f>IFERROR(SUMIFS('Base bordo'!G$2:G$746,'Base bordo'!C$2:C$746,A160,'Base bordo'!B$2:B$746,B160,'Base bordo'!F$2:F$746,"MAN PREVENTIVA - MECANICA"),0)+IFERROR(SUMIFS('Base bordo'!G$2:G$746,'Base bordo'!C$2:C$746,A160,'Base bordo'!B$2:B$746,B160,'Base bordo'!F$2:F$746,"MAN CORRETIVA - MECANICA"),0)</f>
        <v>0</v>
      </c>
      <c r="L160" s="10">
        <f>IFERROR(SUMIFS('Base bordo'!G$2:G$746,'Base bordo'!C$2:C$746,A160,'Base bordo'!B$2:B$746,B160,'Base bordo'!F$2:F$746,"MANUTENCAO - T O"),0)+IFERROR(SUMIFS('Base bordo'!G$2:G$746,'Base bordo'!C$2:C$746,A160,'Base bordo'!B$2:B$746,B160,'Base bordo'!F$2:F$746,"MANUTENCAO BORRACHARIA"),0)+IFERROR(SUMIFS('Base bordo'!G$2:G$746,'Base bordo'!C$2:C$746,A160,'Base bordo'!B$2:B$746,B160,'Base bordo'!F$2:F$746,"MANUTENCAO EXTERNA  CONCESSIONARIA"),0)+IFERROR(SUMIFS('Base bordo'!G$2:G$746,'Base bordo'!C$2:C$746,A160,'Base bordo'!B$2:B$746,B160,'Base bordo'!F$2:F$746,"MANUTENCAO TELEMETRIA"),0)</f>
        <v>0</v>
      </c>
      <c r="M160" s="10">
        <f>IFERROR(SUMIFS('Base bordo'!G$2:G$746,'Base bordo'!C$2:C$746,A160,'Base bordo'!B$2:B$746,B160,'Base bordo'!F$2:F$746,"AGUARDANDO MANUTENCAO"),0)</f>
        <v>0</v>
      </c>
      <c r="N160" s="10">
        <f>IFERROR(SUMIFS('Base bordo'!G$2:G$746,'Base bordo'!C$2:C$746,A160,'Base bordo'!B$2:B$746,B160,'Base bordo'!F$2:F$746,"SEM APONTAMENTO"),0)</f>
        <v>0</v>
      </c>
      <c r="O160" s="10">
        <f t="shared" si="24"/>
        <v>5.833333333333357E-3</v>
      </c>
      <c r="P160" s="10">
        <f>IFERROR(SUMIFS('Base bordo'!G$2:G$746,'Base bordo'!C$2:C$746,A160,'Base bordo'!B$2:B$746,B160),0)</f>
        <v>3.6686111111111108</v>
      </c>
      <c r="Q160" s="10">
        <f>IFERROR(SUMIFS('Base bordo'!H$2:H$746,'Base bordo'!C$2:C$746,A160,'Base bordo'!B$2:B$746,B160,'Base bordo'!F$2:F$746,"DESLOCAMENTO VAZIO"),0)</f>
        <v>49686.55</v>
      </c>
      <c r="R160" s="10">
        <f>IFERROR(SUMIFS('Base bordo'!I$2:I$746,'Base bordo'!C$2:C$746,A160,'Base bordo'!B$2:B$746,B160,'Base bordo'!F$2:F$746,"DESLOCAMENTO VAZIO"),0)</f>
        <v>1785</v>
      </c>
      <c r="S160" s="30">
        <f t="shared" si="25"/>
        <v>27.83560224089636</v>
      </c>
      <c r="T160" s="10">
        <f>IFERROR(SUMIFS('Base bordo'!H$2:H$746,'Base bordo'!C$2:C$746,A160,'Base bordo'!B$2:B$746,B160,'Base bordo'!F$2:F$746,"DESLOCAMENTO CARREGADO"),0)</f>
        <v>40544.140000000007</v>
      </c>
      <c r="U160" s="10">
        <f>IFERROR(SUMIFS('Base bordo'!I$2:I$746,'Base bordo'!C$2:C$746,A160,'Base bordo'!B$2:B$746,B160,'Base bordo'!F$2:F$746,"DESLOCAMENTO CARREGADO"),0)</f>
        <v>2114</v>
      </c>
      <c r="V160" s="30">
        <f t="shared" si="26"/>
        <v>19.178874172185434</v>
      </c>
      <c r="W160" s="9">
        <f t="shared" si="27"/>
        <v>0.13515559930339974</v>
      </c>
      <c r="X160" s="9">
        <f t="shared" si="28"/>
        <v>0.16006663133186946</v>
      </c>
      <c r="Y160" s="9">
        <f t="shared" si="29"/>
        <v>0.7047777693647308</v>
      </c>
    </row>
    <row r="161" spans="1:25" ht="15" customHeight="1" x14ac:dyDescent="0.35">
      <c r="A161" s="52">
        <v>8013483</v>
      </c>
      <c r="B161" s="51">
        <v>46120</v>
      </c>
      <c r="C161" s="7" t="s">
        <v>124</v>
      </c>
      <c r="D161" s="10">
        <f>IFERROR(SUMIFS('Base bordo'!G$2:G$746,'Base bordo'!C$2:C$746,A161,'Base bordo'!B$2:B$746,B161,'Base bordo'!F$2:F$746,"DESLOCAMENTO VAZIO"),0)</f>
        <v>0.56499999999999995</v>
      </c>
      <c r="E161" s="10">
        <f>IFERROR(SUMIFS('Base bordo'!G$2:G$746,'Base bordo'!C$2:C$746,A161,'Base bordo'!B$2:B$746,B161,'Base bordo'!F$2:F$746,"DESLOCAMENTO CARREGADO"),0)</f>
        <v>0</v>
      </c>
      <c r="F161" s="10">
        <f>IFERROR(SUMIFS('Base bordo'!G$2:G$746,'Base bordo'!C$2:C$746,A161,'Base bordo'!B$2:B$746,B161,'Base bordo'!F$2:F$746,"DESLOCAMENTO"),0)</f>
        <v>0.22194444444444444</v>
      </c>
      <c r="G161" s="10">
        <f>IFERROR(SUMIFS('Base bordo'!G$2:G$746,'Base bordo'!C$2:C$746,A161,'Base bordo'!B$2:B$746,B161,'Base bordo'!F$2:F$746,"CARREGAMENTO"),0)</f>
        <v>0</v>
      </c>
      <c r="H161" s="10">
        <f>IFERROR(SUMIFS('Base bordo'!G$2:G$746,'Base bordo'!C$2:C$746,A161,'Base bordo'!B$2:B$746,B161,'Base bordo'!F$2:F$746,"AGUARDANDO TRANSBORDO"),0)</f>
        <v>0</v>
      </c>
      <c r="I161" s="10">
        <f>IFERROR(SUMIFS('Base bordo'!G$2:G$746,'Base bordo'!C$2:C$746,A161,'Base bordo'!B$2:B$746,B161,'Base bordo'!F$2:F$746,"PÁTIO INTERNO"),0)+IFERROR(SUMIFS('Base bordo'!G$2:G$746,'Base bordo'!C$2:C$746,A161,'Base bordo'!B$2:B$746,B161,'Base bordo'!F$2:F$746,"PÁTIO EXTERNO"),0)+IFERROR(SUMIFS('Base bordo'!G$2:G$746,'Base bordo'!C$2:C$746,A161,'Base bordo'!B$2:B$746,B161,'Base bordo'!F$2:F$746,"PATIO - RESERVA"),0)+IFERROR(SUMIFS('Base bordo'!G$2:G$746,'Base bordo'!C$2:C$746,A161,'Base bordo'!B$2:B$746,B161,'Base bordo'!F$2:F$746,"MANOBRA CARRETAS-PATIO"),0)</f>
        <v>0</v>
      </c>
      <c r="J161" s="10">
        <f>IFERROR(SUMIFS('Base bordo'!G$2:G$746,'Base bordo'!C$2:C$746,A161,'Base bordo'!B$2:B$746,B161,'Base bordo'!F$2:F$746,"BALANÇA - ENTRADA"),0)+IFERROR(SUMIFS('Base bordo'!G$2:G$746,'Base bordo'!C$2:C$746,A161,'Base bordo'!B$2:B$746,B161,'Base bordo'!F$2:F$746,"BALANÇA - SAÍDA"),0)</f>
        <v>0</v>
      </c>
      <c r="K161" s="10">
        <f>IFERROR(SUMIFS('Base bordo'!G$2:G$746,'Base bordo'!C$2:C$746,A161,'Base bordo'!B$2:B$746,B161,'Base bordo'!F$2:F$746,"MAN PREVENTIVA - MECANICA"),0)+IFERROR(SUMIFS('Base bordo'!G$2:G$746,'Base bordo'!C$2:C$746,A161,'Base bordo'!B$2:B$746,B161,'Base bordo'!F$2:F$746,"MAN CORRETIVA - MECANICA"),0)</f>
        <v>0</v>
      </c>
      <c r="L161" s="10">
        <f>IFERROR(SUMIFS('Base bordo'!G$2:G$746,'Base bordo'!C$2:C$746,A161,'Base bordo'!B$2:B$746,B161,'Base bordo'!F$2:F$746,"MANUTENCAO - T O"),0)+IFERROR(SUMIFS('Base bordo'!G$2:G$746,'Base bordo'!C$2:C$746,A161,'Base bordo'!B$2:B$746,B161,'Base bordo'!F$2:F$746,"MANUTENCAO BORRACHARIA"),0)+IFERROR(SUMIFS('Base bordo'!G$2:G$746,'Base bordo'!C$2:C$746,A161,'Base bordo'!B$2:B$746,B161,'Base bordo'!F$2:F$746,"MANUTENCAO EXTERNA  CONCESSIONARIA"),0)+IFERROR(SUMIFS('Base bordo'!G$2:G$746,'Base bordo'!C$2:C$746,A161,'Base bordo'!B$2:B$746,B161,'Base bordo'!F$2:F$746,"MANUTENCAO TELEMETRIA"),0)</f>
        <v>0.40805555555555556</v>
      </c>
      <c r="M161" s="10">
        <f>IFERROR(SUMIFS('Base bordo'!G$2:G$746,'Base bordo'!C$2:C$746,A161,'Base bordo'!B$2:B$746,B161,'Base bordo'!F$2:F$746,"AGUARDANDO MANUTENCAO"),0)</f>
        <v>0</v>
      </c>
      <c r="N161" s="10">
        <f>IFERROR(SUMIFS('Base bordo'!G$2:G$746,'Base bordo'!C$2:C$746,A161,'Base bordo'!B$2:B$746,B161,'Base bordo'!F$2:F$746,"SEM APONTAMENTO"),0)</f>
        <v>0</v>
      </c>
      <c r="O161" s="10">
        <f t="shared" si="24"/>
        <v>0</v>
      </c>
      <c r="P161" s="10">
        <f>IFERROR(SUMIFS('Base bordo'!G$2:G$746,'Base bordo'!C$2:C$746,A161,'Base bordo'!B$2:B$746,B161),0)</f>
        <v>1.1950000000000001</v>
      </c>
      <c r="Q161" s="10">
        <f>IFERROR(SUMIFS('Base bordo'!H$2:H$746,'Base bordo'!C$2:C$746,A161,'Base bordo'!B$2:B$746,B161,'Base bordo'!F$2:F$746,"DESLOCAMENTO VAZIO"),0)</f>
        <v>40171.5</v>
      </c>
      <c r="R161" s="10">
        <f>IFERROR(SUMIFS('Base bordo'!I$2:I$746,'Base bordo'!C$2:C$746,A161,'Base bordo'!B$2:B$746,B161,'Base bordo'!F$2:F$746,"DESLOCAMENTO VAZIO"),0)</f>
        <v>2034</v>
      </c>
      <c r="S161" s="30">
        <f t="shared" si="25"/>
        <v>19.75</v>
      </c>
      <c r="T161" s="10">
        <f>IFERROR(SUMIFS('Base bordo'!H$2:H$746,'Base bordo'!C$2:C$746,A161,'Base bordo'!B$2:B$746,B161,'Base bordo'!F$2:F$746,"DESLOCAMENTO CARREGADO"),0)</f>
        <v>0</v>
      </c>
      <c r="U161" s="10">
        <f>IFERROR(SUMIFS('Base bordo'!I$2:I$746,'Base bordo'!C$2:C$746,A161,'Base bordo'!B$2:B$746,B161,'Base bordo'!F$2:F$746,"DESLOCAMENTO CARREGADO"),0)</f>
        <v>0</v>
      </c>
      <c r="V161" s="30" t="str">
        <f t="shared" si="26"/>
        <v/>
      </c>
      <c r="W161" s="9">
        <f t="shared" si="27"/>
        <v>0.47280334728033468</v>
      </c>
      <c r="X161" s="9">
        <f t="shared" si="28"/>
        <v>0</v>
      </c>
      <c r="Y161" s="9">
        <f t="shared" si="29"/>
        <v>0.52719665271966532</v>
      </c>
    </row>
    <row r="162" spans="1:25" ht="15" customHeight="1" x14ac:dyDescent="0.35">
      <c r="A162" s="52">
        <v>8013461</v>
      </c>
      <c r="B162" s="51">
        <v>46117</v>
      </c>
      <c r="C162" s="7" t="s">
        <v>124</v>
      </c>
      <c r="D162" s="10">
        <f>IFERROR(SUMIFS('Base bordo'!G$2:G$746,'Base bordo'!C$2:C$746,A162,'Base bordo'!B$2:B$746,B162,'Base bordo'!F$2:F$746,"DESLOCAMENTO VAZIO"),0)</f>
        <v>4.035277777777778</v>
      </c>
      <c r="E162" s="10">
        <f>IFERROR(SUMIFS('Base bordo'!G$2:G$746,'Base bordo'!C$2:C$746,A162,'Base bordo'!B$2:B$746,B162,'Base bordo'!F$2:F$746,"DESLOCAMENTO CARREGADO"),0)</f>
        <v>0.74527777777777782</v>
      </c>
      <c r="F162" s="10">
        <f>IFERROR(SUMIFS('Base bordo'!G$2:G$746,'Base bordo'!C$2:C$746,A162,'Base bordo'!B$2:B$746,B162,'Base bordo'!F$2:F$746,"DESLOCAMENTO"),0)</f>
        <v>0.7155555555555555</v>
      </c>
      <c r="G162" s="10">
        <f>IFERROR(SUMIFS('Base bordo'!G$2:G$746,'Base bordo'!C$2:C$746,A162,'Base bordo'!B$2:B$746,B162,'Base bordo'!F$2:F$746,"CARREGAMENTO"),0)</f>
        <v>0.18611111111111112</v>
      </c>
      <c r="H162" s="10">
        <f>IFERROR(SUMIFS('Base bordo'!G$2:G$746,'Base bordo'!C$2:C$746,A162,'Base bordo'!B$2:B$746,B162,'Base bordo'!F$2:F$746,"AGUARDANDO TRANSBORDO"),0)</f>
        <v>0.22416666666666665</v>
      </c>
      <c r="I162" s="10">
        <f>IFERROR(SUMIFS('Base bordo'!G$2:G$746,'Base bordo'!C$2:C$746,A162,'Base bordo'!B$2:B$746,B162,'Base bordo'!F$2:F$746,"PÁTIO INTERNO"),0)+IFERROR(SUMIFS('Base bordo'!G$2:G$746,'Base bordo'!C$2:C$746,A162,'Base bordo'!B$2:B$746,B162,'Base bordo'!F$2:F$746,"PÁTIO EXTERNO"),0)+IFERROR(SUMIFS('Base bordo'!G$2:G$746,'Base bordo'!C$2:C$746,A162,'Base bordo'!B$2:B$746,B162,'Base bordo'!F$2:F$746,"PATIO - RESERVA"),0)+IFERROR(SUMIFS('Base bordo'!G$2:G$746,'Base bordo'!C$2:C$746,A162,'Base bordo'!B$2:B$746,B162,'Base bordo'!F$2:F$746,"MANOBRA CARRETAS-PATIO"),0)</f>
        <v>0</v>
      </c>
      <c r="J162" s="10">
        <f>IFERROR(SUMIFS('Base bordo'!G$2:G$746,'Base bordo'!C$2:C$746,A162,'Base bordo'!B$2:B$746,B162,'Base bordo'!F$2:F$746,"BALANÇA - ENTRADA"),0)+IFERROR(SUMIFS('Base bordo'!G$2:G$746,'Base bordo'!C$2:C$746,A162,'Base bordo'!B$2:B$746,B162,'Base bordo'!F$2:F$746,"BALANÇA - SAÍDA"),0)</f>
        <v>0</v>
      </c>
      <c r="K162" s="10">
        <f>IFERROR(SUMIFS('Base bordo'!G$2:G$746,'Base bordo'!C$2:C$746,A162,'Base bordo'!B$2:B$746,B162,'Base bordo'!F$2:F$746,"MAN PREVENTIVA - MECANICA"),0)+IFERROR(SUMIFS('Base bordo'!G$2:G$746,'Base bordo'!C$2:C$746,A162,'Base bordo'!B$2:B$746,B162,'Base bordo'!F$2:F$746,"MAN CORRETIVA - MECANICA"),0)</f>
        <v>0</v>
      </c>
      <c r="L162" s="10">
        <f>IFERROR(SUMIFS('Base bordo'!G$2:G$746,'Base bordo'!C$2:C$746,A162,'Base bordo'!B$2:B$746,B162,'Base bordo'!F$2:F$746,"MANUTENCAO - T O"),0)+IFERROR(SUMIFS('Base bordo'!G$2:G$746,'Base bordo'!C$2:C$746,A162,'Base bordo'!B$2:B$746,B162,'Base bordo'!F$2:F$746,"MANUTENCAO BORRACHARIA"),0)+IFERROR(SUMIFS('Base bordo'!G$2:G$746,'Base bordo'!C$2:C$746,A162,'Base bordo'!B$2:B$746,B162,'Base bordo'!F$2:F$746,"MANUTENCAO EXTERNA  CONCESSIONARIA"),0)+IFERROR(SUMIFS('Base bordo'!G$2:G$746,'Base bordo'!C$2:C$746,A162,'Base bordo'!B$2:B$746,B162,'Base bordo'!F$2:F$746,"MANUTENCAO TELEMETRIA"),0)</f>
        <v>8.9302777777777784</v>
      </c>
      <c r="M162" s="10">
        <f>IFERROR(SUMIFS('Base bordo'!G$2:G$746,'Base bordo'!C$2:C$746,A162,'Base bordo'!B$2:B$746,B162,'Base bordo'!F$2:F$746,"AGUARDANDO MANUTENCAO"),0)</f>
        <v>0</v>
      </c>
      <c r="N162" s="10">
        <f>IFERROR(SUMIFS('Base bordo'!G$2:G$746,'Base bordo'!C$2:C$746,A162,'Base bordo'!B$2:B$746,B162,'Base bordo'!F$2:F$746,"SEM APONTAMENTO"),0)</f>
        <v>0.91388888888888886</v>
      </c>
      <c r="O162" s="10">
        <f t="shared" si="24"/>
        <v>8.2494444444444426</v>
      </c>
      <c r="P162" s="10">
        <f>IFERROR(SUMIFS('Base bordo'!G$2:G$746,'Base bordo'!C$2:C$746,A162,'Base bordo'!B$2:B$746,B162),0)</f>
        <v>24</v>
      </c>
      <c r="Q162" s="10">
        <f>IFERROR(SUMIFS('Base bordo'!H$2:H$746,'Base bordo'!C$2:C$746,A162,'Base bordo'!B$2:B$746,B162,'Base bordo'!F$2:F$746,"DESLOCAMENTO VAZIO"),0)</f>
        <v>619414.3600000001</v>
      </c>
      <c r="R162" s="10">
        <f>IFERROR(SUMIFS('Base bordo'!I$2:I$746,'Base bordo'!C$2:C$746,A162,'Base bordo'!B$2:B$746,B162,'Base bordo'!F$2:F$746,"DESLOCAMENTO VAZIO"),0)</f>
        <v>14527</v>
      </c>
      <c r="S162" s="30">
        <f t="shared" si="25"/>
        <v>42.638835272251676</v>
      </c>
      <c r="T162" s="10">
        <f>IFERROR(SUMIFS('Base bordo'!H$2:H$746,'Base bordo'!C$2:C$746,A162,'Base bordo'!B$2:B$746,B162,'Base bordo'!F$2:F$746,"DESLOCAMENTO CARREGADO"),0)</f>
        <v>37451.120000000003</v>
      </c>
      <c r="U162" s="10">
        <f>IFERROR(SUMIFS('Base bordo'!I$2:I$746,'Base bordo'!C$2:C$746,A162,'Base bordo'!B$2:B$746,B162,'Base bordo'!F$2:F$746,"DESLOCAMENTO CARREGADO"),0)</f>
        <v>2683</v>
      </c>
      <c r="V162" s="30">
        <f t="shared" si="26"/>
        <v>13.958673127096535</v>
      </c>
      <c r="W162" s="9">
        <f t="shared" si="27"/>
        <v>0.16813657407407409</v>
      </c>
      <c r="X162" s="9">
        <f t="shared" si="28"/>
        <v>3.1053240740740742E-2</v>
      </c>
      <c r="Y162" s="9">
        <f t="shared" si="29"/>
        <v>0.80081018518518521</v>
      </c>
    </row>
    <row r="163" spans="1:25" ht="15" customHeight="1" x14ac:dyDescent="0.35">
      <c r="A163" s="52">
        <v>8013468</v>
      </c>
      <c r="B163" s="51">
        <v>46117</v>
      </c>
      <c r="C163" s="7" t="s">
        <v>124</v>
      </c>
      <c r="D163" s="10">
        <f>IFERROR(SUMIFS('Base bordo'!G$2:G$746,'Base bordo'!C$2:C$746,A163,'Base bordo'!B$2:B$746,B163,'Base bordo'!F$2:F$746,"DESLOCAMENTO VAZIO"),0)</f>
        <v>1.7458333333333333</v>
      </c>
      <c r="E163" s="10">
        <f>IFERROR(SUMIFS('Base bordo'!G$2:G$746,'Base bordo'!C$2:C$746,A163,'Base bordo'!B$2:B$746,B163,'Base bordo'!F$2:F$746,"DESLOCAMENTO CARREGADO"),0)</f>
        <v>1.6383333333333334</v>
      </c>
      <c r="F163" s="10">
        <f>IFERROR(SUMIFS('Base bordo'!G$2:G$746,'Base bordo'!C$2:C$746,A163,'Base bordo'!B$2:B$746,B163,'Base bordo'!F$2:F$746,"DESLOCAMENTO"),0)</f>
        <v>5.6772222222222224</v>
      </c>
      <c r="G163" s="10">
        <f>IFERROR(SUMIFS('Base bordo'!G$2:G$746,'Base bordo'!C$2:C$746,A163,'Base bordo'!B$2:B$746,B163,'Base bordo'!F$2:F$746,"CARREGAMENTO"),0)</f>
        <v>1.2477777777777779</v>
      </c>
      <c r="H163" s="10">
        <f>IFERROR(SUMIFS('Base bordo'!G$2:G$746,'Base bordo'!C$2:C$746,A163,'Base bordo'!B$2:B$746,B163,'Base bordo'!F$2:F$746,"AGUARDANDO TRANSBORDO"),0)</f>
        <v>0.42</v>
      </c>
      <c r="I163" s="10">
        <f>IFERROR(SUMIFS('Base bordo'!G$2:G$746,'Base bordo'!C$2:C$746,A163,'Base bordo'!B$2:B$746,B163,'Base bordo'!F$2:F$746,"PÁTIO INTERNO"),0)+IFERROR(SUMIFS('Base bordo'!G$2:G$746,'Base bordo'!C$2:C$746,A163,'Base bordo'!B$2:B$746,B163,'Base bordo'!F$2:F$746,"PÁTIO EXTERNO"),0)+IFERROR(SUMIFS('Base bordo'!G$2:G$746,'Base bordo'!C$2:C$746,A163,'Base bordo'!B$2:B$746,B163,'Base bordo'!F$2:F$746,"PATIO - RESERVA"),0)+IFERROR(SUMIFS('Base bordo'!G$2:G$746,'Base bordo'!C$2:C$746,A163,'Base bordo'!B$2:B$746,B163,'Base bordo'!F$2:F$746,"MANOBRA CARRETAS-PATIO"),0)</f>
        <v>1.9175</v>
      </c>
      <c r="J163" s="10">
        <f>IFERROR(SUMIFS('Base bordo'!G$2:G$746,'Base bordo'!C$2:C$746,A163,'Base bordo'!B$2:B$746,B163,'Base bordo'!F$2:F$746,"BALANÇA - ENTRADA"),0)+IFERROR(SUMIFS('Base bordo'!G$2:G$746,'Base bordo'!C$2:C$746,A163,'Base bordo'!B$2:B$746,B163,'Base bordo'!F$2:F$746,"BALANÇA - SAÍDA"),0)</f>
        <v>0</v>
      </c>
      <c r="K163" s="10">
        <f>IFERROR(SUMIFS('Base bordo'!G$2:G$746,'Base bordo'!C$2:C$746,A163,'Base bordo'!B$2:B$746,B163,'Base bordo'!F$2:F$746,"MAN PREVENTIVA - MECANICA"),0)+IFERROR(SUMIFS('Base bordo'!G$2:G$746,'Base bordo'!C$2:C$746,A163,'Base bordo'!B$2:B$746,B163,'Base bordo'!F$2:F$746,"MAN CORRETIVA - MECANICA"),0)</f>
        <v>0</v>
      </c>
      <c r="L163" s="10">
        <f>IFERROR(SUMIFS('Base bordo'!G$2:G$746,'Base bordo'!C$2:C$746,A163,'Base bordo'!B$2:B$746,B163,'Base bordo'!F$2:F$746,"MANUTENCAO - T O"),0)+IFERROR(SUMIFS('Base bordo'!G$2:G$746,'Base bordo'!C$2:C$746,A163,'Base bordo'!B$2:B$746,B163,'Base bordo'!F$2:F$746,"MANUTENCAO BORRACHARIA"),0)+IFERROR(SUMIFS('Base bordo'!G$2:G$746,'Base bordo'!C$2:C$746,A163,'Base bordo'!B$2:B$746,B163,'Base bordo'!F$2:F$746,"MANUTENCAO EXTERNA  CONCESSIONARIA"),0)+IFERROR(SUMIFS('Base bordo'!G$2:G$746,'Base bordo'!C$2:C$746,A163,'Base bordo'!B$2:B$746,B163,'Base bordo'!F$2:F$746,"MANUTENCAO TELEMETRIA"),0)</f>
        <v>8.4913888888888884</v>
      </c>
      <c r="M163" s="10">
        <f>IFERROR(SUMIFS('Base bordo'!G$2:G$746,'Base bordo'!C$2:C$746,A163,'Base bordo'!B$2:B$746,B163,'Base bordo'!F$2:F$746,"AGUARDANDO MANUTENCAO"),0)</f>
        <v>0</v>
      </c>
      <c r="N163" s="10">
        <f>IFERROR(SUMIFS('Base bordo'!G$2:G$746,'Base bordo'!C$2:C$746,A163,'Base bordo'!B$2:B$746,B163,'Base bordo'!F$2:F$746,"SEM APONTAMENTO"),0)</f>
        <v>0.34805555555555556</v>
      </c>
      <c r="O163" s="10">
        <f t="shared" si="24"/>
        <v>2.5138888888888928</v>
      </c>
      <c r="P163" s="10">
        <f>IFERROR(SUMIFS('Base bordo'!G$2:G$746,'Base bordo'!C$2:C$746,A163,'Base bordo'!B$2:B$746,B163),0)</f>
        <v>24</v>
      </c>
      <c r="Q163" s="10">
        <f>IFERROR(SUMIFS('Base bordo'!H$2:H$746,'Base bordo'!C$2:C$746,A163,'Base bordo'!B$2:B$746,B163,'Base bordo'!F$2:F$746,"DESLOCAMENTO VAZIO"),0)</f>
        <v>150540.29999999999</v>
      </c>
      <c r="R163" s="10">
        <f>IFERROR(SUMIFS('Base bordo'!I$2:I$746,'Base bordo'!C$2:C$746,A163,'Base bordo'!B$2:B$746,B163,'Base bordo'!F$2:F$746,"DESLOCAMENTO VAZIO"),0)</f>
        <v>6285</v>
      </c>
      <c r="S163" s="30">
        <f t="shared" si="25"/>
        <v>23.952315035799522</v>
      </c>
      <c r="T163" s="10">
        <f>IFERROR(SUMIFS('Base bordo'!H$2:H$746,'Base bordo'!C$2:C$746,A163,'Base bordo'!B$2:B$746,B163,'Base bordo'!F$2:F$746,"DESLOCAMENTO CARREGADO"),0)</f>
        <v>183503.40999999997</v>
      </c>
      <c r="U163" s="10">
        <f>IFERROR(SUMIFS('Base bordo'!I$2:I$746,'Base bordo'!C$2:C$746,A163,'Base bordo'!B$2:B$746,B163,'Base bordo'!F$2:F$746,"DESLOCAMENTO CARREGADO"),0)</f>
        <v>5898</v>
      </c>
      <c r="V163" s="30">
        <f t="shared" si="26"/>
        <v>31.112819599864356</v>
      </c>
      <c r="W163" s="9">
        <f t="shared" si="27"/>
        <v>7.2743055555555561E-2</v>
      </c>
      <c r="X163" s="9">
        <f t="shared" si="28"/>
        <v>6.8263888888888888E-2</v>
      </c>
      <c r="Y163" s="9">
        <f t="shared" si="29"/>
        <v>0.85899305555555561</v>
      </c>
    </row>
    <row r="164" spans="1:25" ht="15" customHeight="1" x14ac:dyDescent="0.35">
      <c r="A164" s="52">
        <v>8013476</v>
      </c>
      <c r="B164" s="51">
        <v>46119</v>
      </c>
      <c r="C164" s="7" t="s">
        <v>124</v>
      </c>
      <c r="D164" s="10">
        <f>IFERROR(SUMIFS('Base bordo'!G$2:G$746,'Base bordo'!C$2:C$746,A164,'Base bordo'!B$2:B$746,B164,'Base bordo'!F$2:F$746,"DESLOCAMENTO VAZIO"),0)</f>
        <v>1.5263888888888888</v>
      </c>
      <c r="E164" s="10">
        <f>IFERROR(SUMIFS('Base bordo'!G$2:G$746,'Base bordo'!C$2:C$746,A164,'Base bordo'!B$2:B$746,B164,'Base bordo'!F$2:F$746,"DESLOCAMENTO CARREGADO"),0)</f>
        <v>0.64083333333333337</v>
      </c>
      <c r="F164" s="10">
        <f>IFERROR(SUMIFS('Base bordo'!G$2:G$746,'Base bordo'!C$2:C$746,A164,'Base bordo'!B$2:B$746,B164,'Base bordo'!F$2:F$746,"DESLOCAMENTO"),0)</f>
        <v>0</v>
      </c>
      <c r="G164" s="10">
        <f>IFERROR(SUMIFS('Base bordo'!G$2:G$746,'Base bordo'!C$2:C$746,A164,'Base bordo'!B$2:B$746,B164,'Base bordo'!F$2:F$746,"CARREGAMENTO"),0)</f>
        <v>0</v>
      </c>
      <c r="H164" s="10">
        <f>IFERROR(SUMIFS('Base bordo'!G$2:G$746,'Base bordo'!C$2:C$746,A164,'Base bordo'!B$2:B$746,B164,'Base bordo'!F$2:F$746,"AGUARDANDO TRANSBORDO"),0)</f>
        <v>0.96361111111111108</v>
      </c>
      <c r="I164" s="10">
        <f>IFERROR(SUMIFS('Base bordo'!G$2:G$746,'Base bordo'!C$2:C$746,A164,'Base bordo'!B$2:B$746,B164,'Base bordo'!F$2:F$746,"PÁTIO INTERNO"),0)+IFERROR(SUMIFS('Base bordo'!G$2:G$746,'Base bordo'!C$2:C$746,A164,'Base bordo'!B$2:B$746,B164,'Base bordo'!F$2:F$746,"PÁTIO EXTERNO"),0)+IFERROR(SUMIFS('Base bordo'!G$2:G$746,'Base bordo'!C$2:C$746,A164,'Base bordo'!B$2:B$746,B164,'Base bordo'!F$2:F$746,"PATIO - RESERVA"),0)+IFERROR(SUMIFS('Base bordo'!G$2:G$746,'Base bordo'!C$2:C$746,A164,'Base bordo'!B$2:B$746,B164,'Base bordo'!F$2:F$746,"MANOBRA CARRETAS-PATIO"),0)</f>
        <v>9.7777777777777783E-2</v>
      </c>
      <c r="J164" s="10">
        <f>IFERROR(SUMIFS('Base bordo'!G$2:G$746,'Base bordo'!C$2:C$746,A164,'Base bordo'!B$2:B$746,B164,'Base bordo'!F$2:F$746,"BALANÇA - ENTRADA"),0)+IFERROR(SUMIFS('Base bordo'!G$2:G$746,'Base bordo'!C$2:C$746,A164,'Base bordo'!B$2:B$746,B164,'Base bordo'!F$2:F$746,"BALANÇA - SAÍDA"),0)</f>
        <v>7.7777777777777776E-3</v>
      </c>
      <c r="K164" s="10">
        <f>IFERROR(SUMIFS('Base bordo'!G$2:G$746,'Base bordo'!C$2:C$746,A164,'Base bordo'!B$2:B$746,B164,'Base bordo'!F$2:F$746,"MAN PREVENTIVA - MECANICA"),0)+IFERROR(SUMIFS('Base bordo'!G$2:G$746,'Base bordo'!C$2:C$746,A164,'Base bordo'!B$2:B$746,B164,'Base bordo'!F$2:F$746,"MAN CORRETIVA - MECANICA"),0)</f>
        <v>0</v>
      </c>
      <c r="L164" s="10">
        <f>IFERROR(SUMIFS('Base bordo'!G$2:G$746,'Base bordo'!C$2:C$746,A164,'Base bordo'!B$2:B$746,B164,'Base bordo'!F$2:F$746,"MANUTENCAO - T O"),0)+IFERROR(SUMIFS('Base bordo'!G$2:G$746,'Base bordo'!C$2:C$746,A164,'Base bordo'!B$2:B$746,B164,'Base bordo'!F$2:F$746,"MANUTENCAO BORRACHARIA"),0)+IFERROR(SUMIFS('Base bordo'!G$2:G$746,'Base bordo'!C$2:C$746,A164,'Base bordo'!B$2:B$746,B164,'Base bordo'!F$2:F$746,"MANUTENCAO EXTERNA  CONCESSIONARIA"),0)+IFERROR(SUMIFS('Base bordo'!G$2:G$746,'Base bordo'!C$2:C$746,A164,'Base bordo'!B$2:B$746,B164,'Base bordo'!F$2:F$746,"MANUTENCAO TELEMETRIA"),0)</f>
        <v>0</v>
      </c>
      <c r="M164" s="10">
        <f>IFERROR(SUMIFS('Base bordo'!G$2:G$746,'Base bordo'!C$2:C$746,A164,'Base bordo'!B$2:B$746,B164,'Base bordo'!F$2:F$746,"AGUARDANDO MANUTENCAO"),0)</f>
        <v>0</v>
      </c>
      <c r="N164" s="10">
        <f>IFERROR(SUMIFS('Base bordo'!G$2:G$746,'Base bordo'!C$2:C$746,A164,'Base bordo'!B$2:B$746,B164,'Base bordo'!F$2:F$746,"SEM APONTAMENTO"),0)</f>
        <v>0</v>
      </c>
      <c r="O164" s="10">
        <f t="shared" si="24"/>
        <v>0</v>
      </c>
      <c r="P164" s="10">
        <f>IFERROR(SUMIFS('Base bordo'!G$2:G$746,'Base bordo'!C$2:C$746,A164,'Base bordo'!B$2:B$746,B164),0)</f>
        <v>3.236388888888889</v>
      </c>
      <c r="Q164" s="10">
        <f>IFERROR(SUMIFS('Base bordo'!H$2:H$746,'Base bordo'!C$2:C$746,A164,'Base bordo'!B$2:B$746,B164,'Base bordo'!F$2:F$746,"DESLOCAMENTO VAZIO"),0)</f>
        <v>181446.87000000002</v>
      </c>
      <c r="R164" s="10">
        <f>IFERROR(SUMIFS('Base bordo'!I$2:I$746,'Base bordo'!C$2:C$746,A164,'Base bordo'!B$2:B$746,B164,'Base bordo'!F$2:F$746,"DESLOCAMENTO VAZIO"),0)</f>
        <v>5495</v>
      </c>
      <c r="S164" s="30">
        <f t="shared" si="25"/>
        <v>33.020358507734308</v>
      </c>
      <c r="T164" s="10">
        <f>IFERROR(SUMIFS('Base bordo'!H$2:H$746,'Base bordo'!C$2:C$746,A164,'Base bordo'!B$2:B$746,B164,'Base bordo'!F$2:F$746,"DESLOCAMENTO CARREGADO"),0)</f>
        <v>34581.93</v>
      </c>
      <c r="U164" s="10">
        <f>IFERROR(SUMIFS('Base bordo'!I$2:I$746,'Base bordo'!C$2:C$746,A164,'Base bordo'!B$2:B$746,B164,'Base bordo'!F$2:F$746,"DESLOCAMENTO CARREGADO"),0)</f>
        <v>2307</v>
      </c>
      <c r="V164" s="30">
        <f t="shared" si="26"/>
        <v>14.99</v>
      </c>
      <c r="W164" s="9">
        <f t="shared" si="27"/>
        <v>0.47163333619431802</v>
      </c>
      <c r="X164" s="9">
        <f t="shared" si="28"/>
        <v>0.19800875461333792</v>
      </c>
      <c r="Y164" s="9">
        <f t="shared" si="29"/>
        <v>0.33035790919234409</v>
      </c>
    </row>
    <row r="165" spans="1:25" ht="15" customHeight="1" x14ac:dyDescent="0.35">
      <c r="A165" s="52">
        <v>8013469</v>
      </c>
      <c r="B165" s="51">
        <v>46120</v>
      </c>
      <c r="C165" s="7" t="s">
        <v>124</v>
      </c>
      <c r="D165" s="10">
        <f>IFERROR(SUMIFS('Base bordo'!G$2:G$746,'Base bordo'!C$2:C$746,A165,'Base bordo'!B$2:B$746,B165,'Base bordo'!F$2:F$746,"DESLOCAMENTO VAZIO"),0)</f>
        <v>0.32111111111111112</v>
      </c>
      <c r="E165" s="10">
        <f>IFERROR(SUMIFS('Base bordo'!G$2:G$746,'Base bordo'!C$2:C$746,A165,'Base bordo'!B$2:B$746,B165,'Base bordo'!F$2:F$746,"DESLOCAMENTO CARREGADO"),0)</f>
        <v>0</v>
      </c>
      <c r="F165" s="10">
        <f>IFERROR(SUMIFS('Base bordo'!G$2:G$746,'Base bordo'!C$2:C$746,A165,'Base bordo'!B$2:B$746,B165,'Base bordo'!F$2:F$746,"DESLOCAMENTO"),0)</f>
        <v>0</v>
      </c>
      <c r="G165" s="10">
        <f>IFERROR(SUMIFS('Base bordo'!G$2:G$746,'Base bordo'!C$2:C$746,A165,'Base bordo'!B$2:B$746,B165,'Base bordo'!F$2:F$746,"CARREGAMENTO"),0)</f>
        <v>0</v>
      </c>
      <c r="H165" s="10">
        <f>IFERROR(SUMIFS('Base bordo'!G$2:G$746,'Base bordo'!C$2:C$746,A165,'Base bordo'!B$2:B$746,B165,'Base bordo'!F$2:F$746,"AGUARDANDO TRANSBORDO"),0)</f>
        <v>0</v>
      </c>
      <c r="I165" s="10">
        <f>IFERROR(SUMIFS('Base bordo'!G$2:G$746,'Base bordo'!C$2:C$746,A165,'Base bordo'!B$2:B$746,B165,'Base bordo'!F$2:F$746,"PÁTIO INTERNO"),0)+IFERROR(SUMIFS('Base bordo'!G$2:G$746,'Base bordo'!C$2:C$746,A165,'Base bordo'!B$2:B$746,B165,'Base bordo'!F$2:F$746,"PÁTIO EXTERNO"),0)+IFERROR(SUMIFS('Base bordo'!G$2:G$746,'Base bordo'!C$2:C$746,A165,'Base bordo'!B$2:B$746,B165,'Base bordo'!F$2:F$746,"PATIO - RESERVA"),0)+IFERROR(SUMIFS('Base bordo'!G$2:G$746,'Base bordo'!C$2:C$746,A165,'Base bordo'!B$2:B$746,B165,'Base bordo'!F$2:F$746,"MANOBRA CARRETAS-PATIO"),0)</f>
        <v>0</v>
      </c>
      <c r="J165" s="10">
        <f>IFERROR(SUMIFS('Base bordo'!G$2:G$746,'Base bordo'!C$2:C$746,A165,'Base bordo'!B$2:B$746,B165,'Base bordo'!F$2:F$746,"BALANÇA - ENTRADA"),0)+IFERROR(SUMIFS('Base bordo'!G$2:G$746,'Base bordo'!C$2:C$746,A165,'Base bordo'!B$2:B$746,B165,'Base bordo'!F$2:F$746,"BALANÇA - SAÍDA"),0)</f>
        <v>0</v>
      </c>
      <c r="K165" s="10">
        <f>IFERROR(SUMIFS('Base bordo'!G$2:G$746,'Base bordo'!C$2:C$746,A165,'Base bordo'!B$2:B$746,B165,'Base bordo'!F$2:F$746,"MAN PREVENTIVA - MECANICA"),0)+IFERROR(SUMIFS('Base bordo'!G$2:G$746,'Base bordo'!C$2:C$746,A165,'Base bordo'!B$2:B$746,B165,'Base bordo'!F$2:F$746,"MAN CORRETIVA - MECANICA"),0)</f>
        <v>0</v>
      </c>
      <c r="L165" s="10">
        <f>IFERROR(SUMIFS('Base bordo'!G$2:G$746,'Base bordo'!C$2:C$746,A165,'Base bordo'!B$2:B$746,B165,'Base bordo'!F$2:F$746,"MANUTENCAO - T O"),0)+IFERROR(SUMIFS('Base bordo'!G$2:G$746,'Base bordo'!C$2:C$746,A165,'Base bordo'!B$2:B$746,B165,'Base bordo'!F$2:F$746,"MANUTENCAO BORRACHARIA"),0)+IFERROR(SUMIFS('Base bordo'!G$2:G$746,'Base bordo'!C$2:C$746,A165,'Base bordo'!B$2:B$746,B165,'Base bordo'!F$2:F$746,"MANUTENCAO EXTERNA  CONCESSIONARIA"),0)+IFERROR(SUMIFS('Base bordo'!G$2:G$746,'Base bordo'!C$2:C$746,A165,'Base bordo'!B$2:B$746,B165,'Base bordo'!F$2:F$746,"MANUTENCAO TELEMETRIA"),0)</f>
        <v>0</v>
      </c>
      <c r="M165" s="10">
        <f>IFERROR(SUMIFS('Base bordo'!G$2:G$746,'Base bordo'!C$2:C$746,A165,'Base bordo'!B$2:B$746,B165,'Base bordo'!F$2:F$746,"AGUARDANDO MANUTENCAO"),0)</f>
        <v>0</v>
      </c>
      <c r="N165" s="10">
        <f>IFERROR(SUMIFS('Base bordo'!G$2:G$746,'Base bordo'!C$2:C$746,A165,'Base bordo'!B$2:B$746,B165,'Base bordo'!F$2:F$746,"SEM APONTAMENTO"),0)</f>
        <v>0</v>
      </c>
      <c r="O165" s="10">
        <f t="shared" si="24"/>
        <v>0</v>
      </c>
      <c r="P165" s="10">
        <f>IFERROR(SUMIFS('Base bordo'!G$2:G$746,'Base bordo'!C$2:C$746,A165,'Base bordo'!B$2:B$746,B165),0)</f>
        <v>0.32111111111111112</v>
      </c>
      <c r="Q165" s="10">
        <f>IFERROR(SUMIFS('Base bordo'!H$2:H$746,'Base bordo'!C$2:C$746,A165,'Base bordo'!B$2:B$746,B165,'Base bordo'!F$2:F$746,"DESLOCAMENTO VAZIO"),0)</f>
        <v>33211.879999999997</v>
      </c>
      <c r="R165" s="10">
        <f>IFERROR(SUMIFS('Base bordo'!I$2:I$746,'Base bordo'!C$2:C$746,A165,'Base bordo'!B$2:B$746,B165,'Base bordo'!F$2:F$746,"DESLOCAMENTO VAZIO"),0)</f>
        <v>1156</v>
      </c>
      <c r="S165" s="30">
        <f t="shared" si="25"/>
        <v>28.729999999999997</v>
      </c>
      <c r="T165" s="10">
        <f>IFERROR(SUMIFS('Base bordo'!H$2:H$746,'Base bordo'!C$2:C$746,A165,'Base bordo'!B$2:B$746,B165,'Base bordo'!F$2:F$746,"DESLOCAMENTO CARREGADO"),0)</f>
        <v>0</v>
      </c>
      <c r="U165" s="10">
        <f>IFERROR(SUMIFS('Base bordo'!I$2:I$746,'Base bordo'!C$2:C$746,A165,'Base bordo'!B$2:B$746,B165,'Base bordo'!F$2:F$746,"DESLOCAMENTO CARREGADO"),0)</f>
        <v>0</v>
      </c>
      <c r="V165" s="30" t="str">
        <f t="shared" si="26"/>
        <v/>
      </c>
      <c r="W165" s="9">
        <f t="shared" si="27"/>
        <v>1</v>
      </c>
      <c r="X165" s="9">
        <f t="shared" si="28"/>
        <v>0</v>
      </c>
      <c r="Y165" s="9">
        <f t="shared" si="29"/>
        <v>0</v>
      </c>
    </row>
    <row r="166" spans="1:25" ht="15" customHeight="1" x14ac:dyDescent="0.35">
      <c r="A166" s="52">
        <v>8013468</v>
      </c>
      <c r="B166" s="51">
        <v>46118</v>
      </c>
      <c r="C166" s="7" t="s">
        <v>124</v>
      </c>
      <c r="D166" s="10">
        <f>IFERROR(SUMIFS('Base bordo'!G$2:G$746,'Base bordo'!C$2:C$746,A166,'Base bordo'!B$2:B$746,B166,'Base bordo'!F$2:F$746,"DESLOCAMENTO VAZIO"),0)</f>
        <v>0.6841666666666667</v>
      </c>
      <c r="E166" s="10">
        <f>IFERROR(SUMIFS('Base bordo'!G$2:G$746,'Base bordo'!C$2:C$746,A166,'Base bordo'!B$2:B$746,B166,'Base bordo'!F$2:F$746,"DESLOCAMENTO CARREGADO"),0)</f>
        <v>1.9422222222222223</v>
      </c>
      <c r="F166" s="10">
        <f>IFERROR(SUMIFS('Base bordo'!G$2:G$746,'Base bordo'!C$2:C$746,A166,'Base bordo'!B$2:B$746,B166,'Base bordo'!F$2:F$746,"DESLOCAMENTO"),0)</f>
        <v>0</v>
      </c>
      <c r="G166" s="10">
        <f>IFERROR(SUMIFS('Base bordo'!G$2:G$746,'Base bordo'!C$2:C$746,A166,'Base bordo'!B$2:B$746,B166,'Base bordo'!F$2:F$746,"CARREGAMENTO"),0)</f>
        <v>1.653888888888889</v>
      </c>
      <c r="H166" s="10">
        <f>IFERROR(SUMIFS('Base bordo'!G$2:G$746,'Base bordo'!C$2:C$746,A166,'Base bordo'!B$2:B$746,B166,'Base bordo'!F$2:F$746,"AGUARDANDO TRANSBORDO"),0)</f>
        <v>7.9522222222222219</v>
      </c>
      <c r="I166" s="10">
        <f>IFERROR(SUMIFS('Base bordo'!G$2:G$746,'Base bordo'!C$2:C$746,A166,'Base bordo'!B$2:B$746,B166,'Base bordo'!F$2:F$746,"PÁTIO INTERNO"),0)+IFERROR(SUMIFS('Base bordo'!G$2:G$746,'Base bordo'!C$2:C$746,A166,'Base bordo'!B$2:B$746,B166,'Base bordo'!F$2:F$746,"PÁTIO EXTERNO"),0)+IFERROR(SUMIFS('Base bordo'!G$2:G$746,'Base bordo'!C$2:C$746,A166,'Base bordo'!B$2:B$746,B166,'Base bordo'!F$2:F$746,"PATIO - RESERVA"),0)+IFERROR(SUMIFS('Base bordo'!G$2:G$746,'Base bordo'!C$2:C$746,A166,'Base bordo'!B$2:B$746,B166,'Base bordo'!F$2:F$746,"MANOBRA CARRETAS-PATIO"),0)</f>
        <v>3.6688888888888886</v>
      </c>
      <c r="J166" s="10">
        <f>IFERROR(SUMIFS('Base bordo'!G$2:G$746,'Base bordo'!C$2:C$746,A166,'Base bordo'!B$2:B$746,B166,'Base bordo'!F$2:F$746,"BALANÇA - ENTRADA"),0)+IFERROR(SUMIFS('Base bordo'!G$2:G$746,'Base bordo'!C$2:C$746,A166,'Base bordo'!B$2:B$746,B166,'Base bordo'!F$2:F$746,"BALANÇA - SAÍDA"),0)</f>
        <v>0.11305555555555556</v>
      </c>
      <c r="K166" s="10">
        <f>IFERROR(SUMIFS('Base bordo'!G$2:G$746,'Base bordo'!C$2:C$746,A166,'Base bordo'!B$2:B$746,B166,'Base bordo'!F$2:F$746,"MAN PREVENTIVA - MECANICA"),0)+IFERROR(SUMIFS('Base bordo'!G$2:G$746,'Base bordo'!C$2:C$746,A166,'Base bordo'!B$2:B$746,B166,'Base bordo'!F$2:F$746,"MAN CORRETIVA - MECANICA"),0)</f>
        <v>0</v>
      </c>
      <c r="L166" s="10">
        <f>IFERROR(SUMIFS('Base bordo'!G$2:G$746,'Base bordo'!C$2:C$746,A166,'Base bordo'!B$2:B$746,B166,'Base bordo'!F$2:F$746,"MANUTENCAO - T O"),0)+IFERROR(SUMIFS('Base bordo'!G$2:G$746,'Base bordo'!C$2:C$746,A166,'Base bordo'!B$2:B$746,B166,'Base bordo'!F$2:F$746,"MANUTENCAO BORRACHARIA"),0)+IFERROR(SUMIFS('Base bordo'!G$2:G$746,'Base bordo'!C$2:C$746,A166,'Base bordo'!B$2:B$746,B166,'Base bordo'!F$2:F$746,"MANUTENCAO EXTERNA  CONCESSIONARIA"),0)+IFERROR(SUMIFS('Base bordo'!G$2:G$746,'Base bordo'!C$2:C$746,A166,'Base bordo'!B$2:B$746,B166,'Base bordo'!F$2:F$746,"MANUTENCAO TELEMETRIA"),0)</f>
        <v>0</v>
      </c>
      <c r="M166" s="10">
        <f>IFERROR(SUMIFS('Base bordo'!G$2:G$746,'Base bordo'!C$2:C$746,A166,'Base bordo'!B$2:B$746,B166,'Base bordo'!F$2:F$746,"AGUARDANDO MANUTENCAO"),0)</f>
        <v>2.0486111111111112</v>
      </c>
      <c r="N166" s="10">
        <f>IFERROR(SUMIFS('Base bordo'!G$2:G$746,'Base bordo'!C$2:C$746,A166,'Base bordo'!B$2:B$746,B166,'Base bordo'!F$2:F$746,"SEM APONTAMENTO"),0)</f>
        <v>0</v>
      </c>
      <c r="O166" s="10">
        <f t="shared" si="24"/>
        <v>5.9369444444444461</v>
      </c>
      <c r="P166" s="10">
        <f>IFERROR(SUMIFS('Base bordo'!G$2:G$746,'Base bordo'!C$2:C$746,A166,'Base bordo'!B$2:B$746,B166),0)</f>
        <v>24</v>
      </c>
      <c r="Q166" s="10">
        <f>IFERROR(SUMIFS('Base bordo'!H$2:H$746,'Base bordo'!C$2:C$746,A166,'Base bordo'!B$2:B$746,B166,'Base bordo'!F$2:F$746,"DESLOCAMENTO VAZIO"),0)</f>
        <v>33045.270000000004</v>
      </c>
      <c r="R166" s="10">
        <f>IFERROR(SUMIFS('Base bordo'!I$2:I$746,'Base bordo'!C$2:C$746,A166,'Base bordo'!B$2:B$746,B166,'Base bordo'!F$2:F$746,"DESLOCAMENTO VAZIO"),0)</f>
        <v>2463</v>
      </c>
      <c r="S166" s="30">
        <f t="shared" si="25"/>
        <v>13.416674786845313</v>
      </c>
      <c r="T166" s="10">
        <f>IFERROR(SUMIFS('Base bordo'!H$2:H$746,'Base bordo'!C$2:C$746,A166,'Base bordo'!B$2:B$746,B166,'Base bordo'!F$2:F$746,"DESLOCAMENTO CARREGADO"),0)</f>
        <v>213859.12</v>
      </c>
      <c r="U166" s="10">
        <f>IFERROR(SUMIFS('Base bordo'!I$2:I$746,'Base bordo'!C$2:C$746,A166,'Base bordo'!B$2:B$746,B166,'Base bordo'!F$2:F$746,"DESLOCAMENTO CARREGADO"),0)</f>
        <v>6992</v>
      </c>
      <c r="V166" s="30">
        <f t="shared" si="26"/>
        <v>30.586258581235697</v>
      </c>
      <c r="W166" s="9">
        <f t="shared" si="27"/>
        <v>2.8506944444444446E-2</v>
      </c>
      <c r="X166" s="9">
        <f t="shared" si="28"/>
        <v>8.0925925925925929E-2</v>
      </c>
      <c r="Y166" s="9">
        <f t="shared" si="29"/>
        <v>0.89056712962962958</v>
      </c>
    </row>
    <row r="167" spans="1:25" ht="15" customHeight="1" x14ac:dyDescent="0.35">
      <c r="A167" s="52">
        <v>8013475</v>
      </c>
      <c r="B167" s="51">
        <v>46118</v>
      </c>
      <c r="C167" s="7" t="s">
        <v>124</v>
      </c>
      <c r="D167" s="10">
        <f>IFERROR(SUMIFS('Base bordo'!G$2:G$746,'Base bordo'!C$2:C$746,A167,'Base bordo'!B$2:B$746,B167,'Base bordo'!F$2:F$746,"DESLOCAMENTO VAZIO"),0)</f>
        <v>1.6019444444444444</v>
      </c>
      <c r="E167" s="10">
        <f>IFERROR(SUMIFS('Base bordo'!G$2:G$746,'Base bordo'!C$2:C$746,A167,'Base bordo'!B$2:B$746,B167,'Base bordo'!F$2:F$746,"DESLOCAMENTO CARREGADO"),0)</f>
        <v>2.0350000000000001</v>
      </c>
      <c r="F167" s="10">
        <f>IFERROR(SUMIFS('Base bordo'!G$2:G$746,'Base bordo'!C$2:C$746,A167,'Base bordo'!B$2:B$746,B167,'Base bordo'!F$2:F$746,"DESLOCAMENTO"),0)</f>
        <v>1.1069444444444445</v>
      </c>
      <c r="G167" s="10">
        <f>IFERROR(SUMIFS('Base bordo'!G$2:G$746,'Base bordo'!C$2:C$746,A167,'Base bordo'!B$2:B$746,B167,'Base bordo'!F$2:F$746,"CARREGAMENTO"),0)</f>
        <v>0</v>
      </c>
      <c r="H167" s="10">
        <f>IFERROR(SUMIFS('Base bordo'!G$2:G$746,'Base bordo'!C$2:C$746,A167,'Base bordo'!B$2:B$746,B167,'Base bordo'!F$2:F$746,"AGUARDANDO TRANSBORDO"),0)</f>
        <v>0.62972222222222218</v>
      </c>
      <c r="I167" s="10">
        <f>IFERROR(SUMIFS('Base bordo'!G$2:G$746,'Base bordo'!C$2:C$746,A167,'Base bordo'!B$2:B$746,B167,'Base bordo'!F$2:F$746,"PÁTIO INTERNO"),0)+IFERROR(SUMIFS('Base bordo'!G$2:G$746,'Base bordo'!C$2:C$746,A167,'Base bordo'!B$2:B$746,B167,'Base bordo'!F$2:F$746,"PÁTIO EXTERNO"),0)+IFERROR(SUMIFS('Base bordo'!G$2:G$746,'Base bordo'!C$2:C$746,A167,'Base bordo'!B$2:B$746,B167,'Base bordo'!F$2:F$746,"PATIO - RESERVA"),0)+IFERROR(SUMIFS('Base bordo'!G$2:G$746,'Base bordo'!C$2:C$746,A167,'Base bordo'!B$2:B$746,B167,'Base bordo'!F$2:F$746,"MANOBRA CARRETAS-PATIO"),0)</f>
        <v>16.014166666666668</v>
      </c>
      <c r="J167" s="10">
        <f>IFERROR(SUMIFS('Base bordo'!G$2:G$746,'Base bordo'!C$2:C$746,A167,'Base bordo'!B$2:B$746,B167,'Base bordo'!F$2:F$746,"BALANÇA - ENTRADA"),0)+IFERROR(SUMIFS('Base bordo'!G$2:G$746,'Base bordo'!C$2:C$746,A167,'Base bordo'!B$2:B$746,B167,'Base bordo'!F$2:F$746,"BALANÇA - SAÍDA"),0)</f>
        <v>4.8333333333333332E-2</v>
      </c>
      <c r="K167" s="10">
        <f>IFERROR(SUMIFS('Base bordo'!G$2:G$746,'Base bordo'!C$2:C$746,A167,'Base bordo'!B$2:B$746,B167,'Base bordo'!F$2:F$746,"MAN PREVENTIVA - MECANICA"),0)+IFERROR(SUMIFS('Base bordo'!G$2:G$746,'Base bordo'!C$2:C$746,A167,'Base bordo'!B$2:B$746,B167,'Base bordo'!F$2:F$746,"MAN CORRETIVA - MECANICA"),0)</f>
        <v>0</v>
      </c>
      <c r="L167" s="10">
        <f>IFERROR(SUMIFS('Base bordo'!G$2:G$746,'Base bordo'!C$2:C$746,A167,'Base bordo'!B$2:B$746,B167,'Base bordo'!F$2:F$746,"MANUTENCAO - T O"),0)+IFERROR(SUMIFS('Base bordo'!G$2:G$746,'Base bordo'!C$2:C$746,A167,'Base bordo'!B$2:B$746,B167,'Base bordo'!F$2:F$746,"MANUTENCAO BORRACHARIA"),0)+IFERROR(SUMIFS('Base bordo'!G$2:G$746,'Base bordo'!C$2:C$746,A167,'Base bordo'!B$2:B$746,B167,'Base bordo'!F$2:F$746,"MANUTENCAO EXTERNA  CONCESSIONARIA"),0)+IFERROR(SUMIFS('Base bordo'!G$2:G$746,'Base bordo'!C$2:C$746,A167,'Base bordo'!B$2:B$746,B167,'Base bordo'!F$2:F$746,"MANUTENCAO TELEMETRIA"),0)</f>
        <v>1.9430555555555555</v>
      </c>
      <c r="M167" s="10">
        <f>IFERROR(SUMIFS('Base bordo'!G$2:G$746,'Base bordo'!C$2:C$746,A167,'Base bordo'!B$2:B$746,B167,'Base bordo'!F$2:F$746,"AGUARDANDO MANUTENCAO"),0)</f>
        <v>0</v>
      </c>
      <c r="N167" s="10">
        <f>IFERROR(SUMIFS('Base bordo'!G$2:G$746,'Base bordo'!C$2:C$746,A167,'Base bordo'!B$2:B$746,B167,'Base bordo'!F$2:F$746,"SEM APONTAMENTO"),0)</f>
        <v>0</v>
      </c>
      <c r="O167" s="10">
        <f t="shared" si="24"/>
        <v>3.5527136788005009E-15</v>
      </c>
      <c r="P167" s="10">
        <f>IFERROR(SUMIFS('Base bordo'!G$2:G$746,'Base bordo'!C$2:C$746,A167,'Base bordo'!B$2:B$746,B167),0)</f>
        <v>23.37916666666667</v>
      </c>
      <c r="Q167" s="10">
        <f>IFERROR(SUMIFS('Base bordo'!H$2:H$746,'Base bordo'!C$2:C$746,A167,'Base bordo'!B$2:B$746,B167,'Base bordo'!F$2:F$746,"DESLOCAMENTO VAZIO"),0)</f>
        <v>173822.73</v>
      </c>
      <c r="R167" s="10">
        <f>IFERROR(SUMIFS('Base bordo'!I$2:I$746,'Base bordo'!C$2:C$746,A167,'Base bordo'!B$2:B$746,B167,'Base bordo'!F$2:F$746,"DESLOCAMENTO VAZIO"),0)</f>
        <v>5767</v>
      </c>
      <c r="S167" s="30">
        <f t="shared" si="25"/>
        <v>30.140927692040925</v>
      </c>
      <c r="T167" s="10">
        <f>IFERROR(SUMIFS('Base bordo'!H$2:H$746,'Base bordo'!C$2:C$746,A167,'Base bordo'!B$2:B$746,B167,'Base bordo'!F$2:F$746,"DESLOCAMENTO CARREGADO"),0)</f>
        <v>172046.47</v>
      </c>
      <c r="U167" s="10">
        <f>IFERROR(SUMIFS('Base bordo'!I$2:I$746,'Base bordo'!C$2:C$746,A167,'Base bordo'!B$2:B$746,B167,'Base bordo'!F$2:F$746,"DESLOCAMENTO CARREGADO"),0)</f>
        <v>7326</v>
      </c>
      <c r="V167" s="30">
        <f t="shared" si="26"/>
        <v>23.484366639366641</v>
      </c>
      <c r="W167" s="9">
        <f t="shared" si="27"/>
        <v>6.8520168716212193E-2</v>
      </c>
      <c r="X167" s="9">
        <f t="shared" si="28"/>
        <v>8.7043307788273031E-2</v>
      </c>
      <c r="Y167" s="9">
        <f t="shared" si="29"/>
        <v>0.84443652349551479</v>
      </c>
    </row>
    <row r="168" spans="1:25" ht="15" customHeight="1" x14ac:dyDescent="0.35">
      <c r="A168" s="52">
        <v>8013472</v>
      </c>
      <c r="B168" s="51">
        <v>46118</v>
      </c>
      <c r="C168" s="7" t="s">
        <v>124</v>
      </c>
      <c r="D168" s="10">
        <f>IFERROR(SUMIFS('Base bordo'!G$2:G$746,'Base bordo'!C$2:C$746,A168,'Base bordo'!B$2:B$746,B168,'Base bordo'!F$2:F$746,"DESLOCAMENTO VAZIO"),0)</f>
        <v>1.75</v>
      </c>
      <c r="E168" s="10">
        <f>IFERROR(SUMIFS('Base bordo'!G$2:G$746,'Base bordo'!C$2:C$746,A168,'Base bordo'!B$2:B$746,B168,'Base bordo'!F$2:F$746,"DESLOCAMENTO CARREGADO"),0)</f>
        <v>2.4983333333333335</v>
      </c>
      <c r="F168" s="10">
        <f>IFERROR(SUMIFS('Base bordo'!G$2:G$746,'Base bordo'!C$2:C$746,A168,'Base bordo'!B$2:B$746,B168,'Base bordo'!F$2:F$746,"DESLOCAMENTO"),0)</f>
        <v>1.1605555555555556</v>
      </c>
      <c r="G168" s="10">
        <f>IFERROR(SUMIFS('Base bordo'!G$2:G$746,'Base bordo'!C$2:C$746,A168,'Base bordo'!B$2:B$746,B168,'Base bordo'!F$2:F$746,"CARREGAMENTO"),0)</f>
        <v>0</v>
      </c>
      <c r="H168" s="10">
        <f>IFERROR(SUMIFS('Base bordo'!G$2:G$746,'Base bordo'!C$2:C$746,A168,'Base bordo'!B$2:B$746,B168,'Base bordo'!F$2:F$746,"AGUARDANDO TRANSBORDO"),0)</f>
        <v>0</v>
      </c>
      <c r="I168" s="10">
        <f>IFERROR(SUMIFS('Base bordo'!G$2:G$746,'Base bordo'!C$2:C$746,A168,'Base bordo'!B$2:B$746,B168,'Base bordo'!F$2:F$746,"PÁTIO INTERNO"),0)+IFERROR(SUMIFS('Base bordo'!G$2:G$746,'Base bordo'!C$2:C$746,A168,'Base bordo'!B$2:B$746,B168,'Base bordo'!F$2:F$746,"PÁTIO EXTERNO"),0)+IFERROR(SUMIFS('Base bordo'!G$2:G$746,'Base bordo'!C$2:C$746,A168,'Base bordo'!B$2:B$746,B168,'Base bordo'!F$2:F$746,"PATIO - RESERVA"),0)+IFERROR(SUMIFS('Base bordo'!G$2:G$746,'Base bordo'!C$2:C$746,A168,'Base bordo'!B$2:B$746,B168,'Base bordo'!F$2:F$746,"MANOBRA CARRETAS-PATIO"),0)</f>
        <v>6.2741666666666669</v>
      </c>
      <c r="J168" s="10">
        <f>IFERROR(SUMIFS('Base bordo'!G$2:G$746,'Base bordo'!C$2:C$746,A168,'Base bordo'!B$2:B$746,B168,'Base bordo'!F$2:F$746,"BALANÇA - ENTRADA"),0)+IFERROR(SUMIFS('Base bordo'!G$2:G$746,'Base bordo'!C$2:C$746,A168,'Base bordo'!B$2:B$746,B168,'Base bordo'!F$2:F$746,"BALANÇA - SAÍDA"),0)</f>
        <v>1.2222222222222223E-2</v>
      </c>
      <c r="K168" s="10">
        <f>IFERROR(SUMIFS('Base bordo'!G$2:G$746,'Base bordo'!C$2:C$746,A168,'Base bordo'!B$2:B$746,B168,'Base bordo'!F$2:F$746,"MAN PREVENTIVA - MECANICA"),0)+IFERROR(SUMIFS('Base bordo'!G$2:G$746,'Base bordo'!C$2:C$746,A168,'Base bordo'!B$2:B$746,B168,'Base bordo'!F$2:F$746,"MAN CORRETIVA - MECANICA"),0)</f>
        <v>0</v>
      </c>
      <c r="L168" s="10">
        <f>IFERROR(SUMIFS('Base bordo'!G$2:G$746,'Base bordo'!C$2:C$746,A168,'Base bordo'!B$2:B$746,B168,'Base bordo'!F$2:F$746,"MANUTENCAO - T O"),0)+IFERROR(SUMIFS('Base bordo'!G$2:G$746,'Base bordo'!C$2:C$746,A168,'Base bordo'!B$2:B$746,B168,'Base bordo'!F$2:F$746,"MANUTENCAO BORRACHARIA"),0)+IFERROR(SUMIFS('Base bordo'!G$2:G$746,'Base bordo'!C$2:C$746,A168,'Base bordo'!B$2:B$746,B168,'Base bordo'!F$2:F$746,"MANUTENCAO EXTERNA  CONCESSIONARIA"),0)+IFERROR(SUMIFS('Base bordo'!G$2:G$746,'Base bordo'!C$2:C$746,A168,'Base bordo'!B$2:B$746,B168,'Base bordo'!F$2:F$746,"MANUTENCAO TELEMETRIA"),0)</f>
        <v>2.3786111111111112</v>
      </c>
      <c r="M168" s="10">
        <f>IFERROR(SUMIFS('Base bordo'!G$2:G$746,'Base bordo'!C$2:C$746,A168,'Base bordo'!B$2:B$746,B168,'Base bordo'!F$2:F$746,"AGUARDANDO MANUTENCAO"),0)</f>
        <v>5.3633333333333333</v>
      </c>
      <c r="N168" s="10">
        <f>IFERROR(SUMIFS('Base bordo'!G$2:G$746,'Base bordo'!C$2:C$746,A168,'Base bordo'!B$2:B$746,B168,'Base bordo'!F$2:F$746,"SEM APONTAMENTO"),0)</f>
        <v>0</v>
      </c>
      <c r="O168" s="10">
        <f t="shared" si="24"/>
        <v>0</v>
      </c>
      <c r="P168" s="10">
        <f>IFERROR(SUMIFS('Base bordo'!G$2:G$746,'Base bordo'!C$2:C$746,A168,'Base bordo'!B$2:B$746,B168),0)</f>
        <v>19.437222222222221</v>
      </c>
      <c r="Q168" s="10">
        <f>IFERROR(SUMIFS('Base bordo'!H$2:H$746,'Base bordo'!C$2:C$746,A168,'Base bordo'!B$2:B$746,B168,'Base bordo'!F$2:F$746,"DESLOCAMENTO VAZIO"),0)</f>
        <v>117213.39</v>
      </c>
      <c r="R168" s="10">
        <f>IFERROR(SUMIFS('Base bordo'!I$2:I$746,'Base bordo'!C$2:C$746,A168,'Base bordo'!B$2:B$746,B168,'Base bordo'!F$2:F$746,"DESLOCAMENTO VAZIO"),0)</f>
        <v>6300</v>
      </c>
      <c r="S168" s="30">
        <f t="shared" si="25"/>
        <v>18.6053</v>
      </c>
      <c r="T168" s="10">
        <f>IFERROR(SUMIFS('Base bordo'!H$2:H$746,'Base bordo'!C$2:C$746,A168,'Base bordo'!B$2:B$746,B168,'Base bordo'!F$2:F$746,"DESLOCAMENTO CARREGADO"),0)</f>
        <v>206109.95</v>
      </c>
      <c r="U168" s="10">
        <f>IFERROR(SUMIFS('Base bordo'!I$2:I$746,'Base bordo'!C$2:C$746,A168,'Base bordo'!B$2:B$746,B168,'Base bordo'!F$2:F$746,"DESLOCAMENTO CARREGADO"),0)</f>
        <v>8677</v>
      </c>
      <c r="V168" s="30">
        <f t="shared" si="26"/>
        <v>23.753595712803964</v>
      </c>
      <c r="W168" s="9">
        <f t="shared" si="27"/>
        <v>9.0033440992368596E-2</v>
      </c>
      <c r="X168" s="9">
        <f t="shared" si="28"/>
        <v>0.128533455283391</v>
      </c>
      <c r="Y168" s="9">
        <f t="shared" si="29"/>
        <v>0.78143310372424046</v>
      </c>
    </row>
    <row r="169" spans="1:25" ht="15" customHeight="1" x14ac:dyDescent="0.35">
      <c r="A169" s="52">
        <v>8013474</v>
      </c>
      <c r="B169" s="51">
        <v>46117</v>
      </c>
      <c r="C169" s="7" t="s">
        <v>124</v>
      </c>
      <c r="D169" s="10">
        <f>IFERROR(SUMIFS('Base bordo'!G$2:G$746,'Base bordo'!C$2:C$746,A169,'Base bordo'!B$2:B$746,B169,'Base bordo'!F$2:F$746,"DESLOCAMENTO VAZIO"),0)</f>
        <v>0.8372222222222222</v>
      </c>
      <c r="E169" s="10">
        <f>IFERROR(SUMIFS('Base bordo'!G$2:G$746,'Base bordo'!C$2:C$746,A169,'Base bordo'!B$2:B$746,B169,'Base bordo'!F$2:F$746,"DESLOCAMENTO CARREGADO"),0)</f>
        <v>0</v>
      </c>
      <c r="F169" s="10">
        <f>IFERROR(SUMIFS('Base bordo'!G$2:G$746,'Base bordo'!C$2:C$746,A169,'Base bordo'!B$2:B$746,B169,'Base bordo'!F$2:F$746,"DESLOCAMENTO"),0)</f>
        <v>3.8191666666666668</v>
      </c>
      <c r="G169" s="10">
        <f>IFERROR(SUMIFS('Base bordo'!G$2:G$746,'Base bordo'!C$2:C$746,A169,'Base bordo'!B$2:B$746,B169,'Base bordo'!F$2:F$746,"CARREGAMENTO"),0)</f>
        <v>0</v>
      </c>
      <c r="H169" s="10">
        <f>IFERROR(SUMIFS('Base bordo'!G$2:G$746,'Base bordo'!C$2:C$746,A169,'Base bordo'!B$2:B$746,B169,'Base bordo'!F$2:F$746,"AGUARDANDO TRANSBORDO"),0)</f>
        <v>0.20972222222222223</v>
      </c>
      <c r="I169" s="10">
        <f>IFERROR(SUMIFS('Base bordo'!G$2:G$746,'Base bordo'!C$2:C$746,A169,'Base bordo'!B$2:B$746,B169,'Base bordo'!F$2:F$746,"PÁTIO INTERNO"),0)+IFERROR(SUMIFS('Base bordo'!G$2:G$746,'Base bordo'!C$2:C$746,A169,'Base bordo'!B$2:B$746,B169,'Base bordo'!F$2:F$746,"PÁTIO EXTERNO"),0)+IFERROR(SUMIFS('Base bordo'!G$2:G$746,'Base bordo'!C$2:C$746,A169,'Base bordo'!B$2:B$746,B169,'Base bordo'!F$2:F$746,"PATIO - RESERVA"),0)+IFERROR(SUMIFS('Base bordo'!G$2:G$746,'Base bordo'!C$2:C$746,A169,'Base bordo'!B$2:B$746,B169,'Base bordo'!F$2:F$746,"MANOBRA CARRETAS-PATIO"),0)</f>
        <v>0</v>
      </c>
      <c r="J169" s="10">
        <f>IFERROR(SUMIFS('Base bordo'!G$2:G$746,'Base bordo'!C$2:C$746,A169,'Base bordo'!B$2:B$746,B169,'Base bordo'!F$2:F$746,"BALANÇA - ENTRADA"),0)+IFERROR(SUMIFS('Base bordo'!G$2:G$746,'Base bordo'!C$2:C$746,A169,'Base bordo'!B$2:B$746,B169,'Base bordo'!F$2:F$746,"BALANÇA - SAÍDA"),0)</f>
        <v>0</v>
      </c>
      <c r="K169" s="10">
        <f>IFERROR(SUMIFS('Base bordo'!G$2:G$746,'Base bordo'!C$2:C$746,A169,'Base bordo'!B$2:B$746,B169,'Base bordo'!F$2:F$746,"MAN PREVENTIVA - MECANICA"),0)+IFERROR(SUMIFS('Base bordo'!G$2:G$746,'Base bordo'!C$2:C$746,A169,'Base bordo'!B$2:B$746,B169,'Base bordo'!F$2:F$746,"MAN CORRETIVA - MECANICA"),0)</f>
        <v>0</v>
      </c>
      <c r="L169" s="10">
        <f>IFERROR(SUMIFS('Base bordo'!G$2:G$746,'Base bordo'!C$2:C$746,A169,'Base bordo'!B$2:B$746,B169,'Base bordo'!F$2:F$746,"MANUTENCAO - T O"),0)+IFERROR(SUMIFS('Base bordo'!G$2:G$746,'Base bordo'!C$2:C$746,A169,'Base bordo'!B$2:B$746,B169,'Base bordo'!F$2:F$746,"MANUTENCAO BORRACHARIA"),0)+IFERROR(SUMIFS('Base bordo'!G$2:G$746,'Base bordo'!C$2:C$746,A169,'Base bordo'!B$2:B$746,B169,'Base bordo'!F$2:F$746,"MANUTENCAO EXTERNA  CONCESSIONARIA"),0)+IFERROR(SUMIFS('Base bordo'!G$2:G$746,'Base bordo'!C$2:C$746,A169,'Base bordo'!B$2:B$746,B169,'Base bordo'!F$2:F$746,"MANUTENCAO TELEMETRIA"),0)</f>
        <v>17.169722222222223</v>
      </c>
      <c r="M169" s="10">
        <f>IFERROR(SUMIFS('Base bordo'!G$2:G$746,'Base bordo'!C$2:C$746,A169,'Base bordo'!B$2:B$746,B169,'Base bordo'!F$2:F$746,"AGUARDANDO MANUTENCAO"),0)</f>
        <v>0</v>
      </c>
      <c r="N169" s="10">
        <f>IFERROR(SUMIFS('Base bordo'!G$2:G$746,'Base bordo'!C$2:C$746,A169,'Base bordo'!B$2:B$746,B169,'Base bordo'!F$2:F$746,"SEM APONTAMENTO"),0)</f>
        <v>0</v>
      </c>
      <c r="O169" s="10">
        <f t="shared" si="24"/>
        <v>1.9641666666666637</v>
      </c>
      <c r="P169" s="10">
        <f>IFERROR(SUMIFS('Base bordo'!G$2:G$746,'Base bordo'!C$2:C$746,A169,'Base bordo'!B$2:B$746,B169),0)</f>
        <v>24</v>
      </c>
      <c r="Q169" s="10">
        <f>IFERROR(SUMIFS('Base bordo'!H$2:H$746,'Base bordo'!C$2:C$746,A169,'Base bordo'!B$2:B$746,B169,'Base bordo'!F$2:F$746,"DESLOCAMENTO VAZIO"),0)</f>
        <v>105617.31</v>
      </c>
      <c r="R169" s="10">
        <f>IFERROR(SUMIFS('Base bordo'!I$2:I$746,'Base bordo'!C$2:C$746,A169,'Base bordo'!B$2:B$746,B169,'Base bordo'!F$2:F$746,"DESLOCAMENTO VAZIO"),0)</f>
        <v>3014</v>
      </c>
      <c r="S169" s="30">
        <f t="shared" si="25"/>
        <v>35.042239548772393</v>
      </c>
      <c r="T169" s="10">
        <f>IFERROR(SUMIFS('Base bordo'!H$2:H$746,'Base bordo'!C$2:C$746,A169,'Base bordo'!B$2:B$746,B169,'Base bordo'!F$2:F$746,"DESLOCAMENTO CARREGADO"),0)</f>
        <v>0</v>
      </c>
      <c r="U169" s="10">
        <f>IFERROR(SUMIFS('Base bordo'!I$2:I$746,'Base bordo'!C$2:C$746,A169,'Base bordo'!B$2:B$746,B169,'Base bordo'!F$2:F$746,"DESLOCAMENTO CARREGADO"),0)</f>
        <v>0</v>
      </c>
      <c r="V169" s="30" t="str">
        <f t="shared" si="26"/>
        <v/>
      </c>
      <c r="W169" s="9">
        <f t="shared" si="27"/>
        <v>3.4884259259259261E-2</v>
      </c>
      <c r="X169" s="9">
        <f t="shared" si="28"/>
        <v>0</v>
      </c>
      <c r="Y169" s="9">
        <f t="shared" si="29"/>
        <v>0.96511574074074069</v>
      </c>
    </row>
    <row r="170" spans="1:25" ht="15" customHeight="1" x14ac:dyDescent="0.35">
      <c r="A170" s="52">
        <v>8013469</v>
      </c>
      <c r="B170" s="51">
        <v>46117</v>
      </c>
      <c r="C170" s="7" t="s">
        <v>124</v>
      </c>
      <c r="D170" s="10">
        <f>IFERROR(SUMIFS('Base bordo'!G$2:G$746,'Base bordo'!C$2:C$746,A170,'Base bordo'!B$2:B$746,B170,'Base bordo'!F$2:F$746,"DESLOCAMENTO VAZIO"),0)</f>
        <v>0.81472222222222224</v>
      </c>
      <c r="E170" s="10">
        <f>IFERROR(SUMIFS('Base bordo'!G$2:G$746,'Base bordo'!C$2:C$746,A170,'Base bordo'!B$2:B$746,B170,'Base bordo'!F$2:F$746,"DESLOCAMENTO CARREGADO"),0)</f>
        <v>0.8913888888888889</v>
      </c>
      <c r="F170" s="10">
        <f>IFERROR(SUMIFS('Base bordo'!G$2:G$746,'Base bordo'!C$2:C$746,A170,'Base bordo'!B$2:B$746,B170,'Base bordo'!F$2:F$746,"DESLOCAMENTO"),0)</f>
        <v>0.54305555555555551</v>
      </c>
      <c r="G170" s="10">
        <f>IFERROR(SUMIFS('Base bordo'!G$2:G$746,'Base bordo'!C$2:C$746,A170,'Base bordo'!B$2:B$746,B170,'Base bordo'!F$2:F$746,"CARREGAMENTO"),0)</f>
        <v>4.5863888888888891</v>
      </c>
      <c r="H170" s="10">
        <f>IFERROR(SUMIFS('Base bordo'!G$2:G$746,'Base bordo'!C$2:C$746,A170,'Base bordo'!B$2:B$746,B170,'Base bordo'!F$2:F$746,"AGUARDANDO TRANSBORDO"),0)</f>
        <v>0.11166666666666666</v>
      </c>
      <c r="I170" s="10">
        <f>IFERROR(SUMIFS('Base bordo'!G$2:G$746,'Base bordo'!C$2:C$746,A170,'Base bordo'!B$2:B$746,B170,'Base bordo'!F$2:F$746,"PÁTIO INTERNO"),0)+IFERROR(SUMIFS('Base bordo'!G$2:G$746,'Base bordo'!C$2:C$746,A170,'Base bordo'!B$2:B$746,B170,'Base bordo'!F$2:F$746,"PÁTIO EXTERNO"),0)+IFERROR(SUMIFS('Base bordo'!G$2:G$746,'Base bordo'!C$2:C$746,A170,'Base bordo'!B$2:B$746,B170,'Base bordo'!F$2:F$746,"PATIO - RESERVA"),0)+IFERROR(SUMIFS('Base bordo'!G$2:G$746,'Base bordo'!C$2:C$746,A170,'Base bordo'!B$2:B$746,B170,'Base bordo'!F$2:F$746,"MANOBRA CARRETAS-PATIO"),0)</f>
        <v>2.3947222222222222</v>
      </c>
      <c r="J170" s="10">
        <f>IFERROR(SUMIFS('Base bordo'!G$2:G$746,'Base bordo'!C$2:C$746,A170,'Base bordo'!B$2:B$746,B170,'Base bordo'!F$2:F$746,"BALANÇA - ENTRADA"),0)+IFERROR(SUMIFS('Base bordo'!G$2:G$746,'Base bordo'!C$2:C$746,A170,'Base bordo'!B$2:B$746,B170,'Base bordo'!F$2:F$746,"BALANÇA - SAÍDA"),0)</f>
        <v>0</v>
      </c>
      <c r="K170" s="10">
        <f>IFERROR(SUMIFS('Base bordo'!G$2:G$746,'Base bordo'!C$2:C$746,A170,'Base bordo'!B$2:B$746,B170,'Base bordo'!F$2:F$746,"MAN PREVENTIVA - MECANICA"),0)+IFERROR(SUMIFS('Base bordo'!G$2:G$746,'Base bordo'!C$2:C$746,A170,'Base bordo'!B$2:B$746,B170,'Base bordo'!F$2:F$746,"MAN CORRETIVA - MECANICA"),0)</f>
        <v>0</v>
      </c>
      <c r="L170" s="10">
        <f>IFERROR(SUMIFS('Base bordo'!G$2:G$746,'Base bordo'!C$2:C$746,A170,'Base bordo'!B$2:B$746,B170,'Base bordo'!F$2:F$746,"MANUTENCAO - T O"),0)+IFERROR(SUMIFS('Base bordo'!G$2:G$746,'Base bordo'!C$2:C$746,A170,'Base bordo'!B$2:B$746,B170,'Base bordo'!F$2:F$746,"MANUTENCAO BORRACHARIA"),0)+IFERROR(SUMIFS('Base bordo'!G$2:G$746,'Base bordo'!C$2:C$746,A170,'Base bordo'!B$2:B$746,B170,'Base bordo'!F$2:F$746,"MANUTENCAO EXTERNA  CONCESSIONARIA"),0)+IFERROR(SUMIFS('Base bordo'!G$2:G$746,'Base bordo'!C$2:C$746,A170,'Base bordo'!B$2:B$746,B170,'Base bordo'!F$2:F$746,"MANUTENCAO TELEMETRIA"),0)</f>
        <v>3.4688888888888889</v>
      </c>
      <c r="M170" s="10">
        <f>IFERROR(SUMIFS('Base bordo'!G$2:G$746,'Base bordo'!C$2:C$746,A170,'Base bordo'!B$2:B$746,B170,'Base bordo'!F$2:F$746,"AGUARDANDO MANUTENCAO"),0)</f>
        <v>0</v>
      </c>
      <c r="N170" s="10">
        <f>IFERROR(SUMIFS('Base bordo'!G$2:G$746,'Base bordo'!C$2:C$746,A170,'Base bordo'!B$2:B$746,B170,'Base bordo'!F$2:F$746,"SEM APONTAMENTO"),0)</f>
        <v>0</v>
      </c>
      <c r="O170" s="10">
        <f t="shared" si="24"/>
        <v>0.61500000000000021</v>
      </c>
      <c r="P170" s="10">
        <f>IFERROR(SUMIFS('Base bordo'!G$2:G$746,'Base bordo'!C$2:C$746,A170,'Base bordo'!B$2:B$746,B170),0)</f>
        <v>13.425833333333333</v>
      </c>
      <c r="Q170" s="10">
        <f>IFERROR(SUMIFS('Base bordo'!H$2:H$746,'Base bordo'!C$2:C$746,A170,'Base bordo'!B$2:B$746,B170,'Base bordo'!F$2:F$746,"DESLOCAMENTO VAZIO"),0)</f>
        <v>93170.91</v>
      </c>
      <c r="R170" s="10">
        <f>IFERROR(SUMIFS('Base bordo'!I$2:I$746,'Base bordo'!C$2:C$746,A170,'Base bordo'!B$2:B$746,B170,'Base bordo'!F$2:F$746,"DESLOCAMENTO VAZIO"),0)</f>
        <v>2933</v>
      </c>
      <c r="S170" s="30">
        <f t="shared" si="25"/>
        <v>31.766420047732698</v>
      </c>
      <c r="T170" s="10">
        <f>IFERROR(SUMIFS('Base bordo'!H$2:H$746,'Base bordo'!C$2:C$746,A170,'Base bordo'!B$2:B$746,B170,'Base bordo'!F$2:F$746,"DESLOCAMENTO CARREGADO"),0)</f>
        <v>68258.340000000011</v>
      </c>
      <c r="U170" s="10">
        <f>IFERROR(SUMIFS('Base bordo'!I$2:I$746,'Base bordo'!C$2:C$746,A170,'Base bordo'!B$2:B$746,B170,'Base bordo'!F$2:F$746,"DESLOCAMENTO CARREGADO"),0)</f>
        <v>3204</v>
      </c>
      <c r="V170" s="30">
        <f t="shared" si="26"/>
        <v>21.304101123595508</v>
      </c>
      <c r="W170" s="9">
        <f t="shared" si="27"/>
        <v>6.0683177125359485E-2</v>
      </c>
      <c r="X170" s="9">
        <f t="shared" si="28"/>
        <v>6.639356133490576E-2</v>
      </c>
      <c r="Y170" s="9">
        <f t="shared" si="29"/>
        <v>0.87292326153973476</v>
      </c>
    </row>
    <row r="171" spans="1:25" ht="15" customHeight="1" x14ac:dyDescent="0.35">
      <c r="A171" s="52">
        <v>8013485</v>
      </c>
      <c r="B171" s="51">
        <v>46118</v>
      </c>
      <c r="C171" s="7" t="s">
        <v>124</v>
      </c>
      <c r="D171" s="10">
        <f>IFERROR(SUMIFS('Base bordo'!G$2:G$746,'Base bordo'!C$2:C$746,A171,'Base bordo'!B$2:B$746,B171,'Base bordo'!F$2:F$746,"DESLOCAMENTO VAZIO"),0)</f>
        <v>0.89111111111111108</v>
      </c>
      <c r="E171" s="10">
        <f>IFERROR(SUMIFS('Base bordo'!G$2:G$746,'Base bordo'!C$2:C$746,A171,'Base bordo'!B$2:B$746,B171,'Base bordo'!F$2:F$746,"DESLOCAMENTO CARREGADO"),0)</f>
        <v>0.77444444444444449</v>
      </c>
      <c r="F171" s="10">
        <f>IFERROR(SUMIFS('Base bordo'!G$2:G$746,'Base bordo'!C$2:C$746,A171,'Base bordo'!B$2:B$746,B171,'Base bordo'!F$2:F$746,"DESLOCAMENTO"),0)</f>
        <v>1.0216666666666667</v>
      </c>
      <c r="G171" s="10">
        <f>IFERROR(SUMIFS('Base bordo'!G$2:G$746,'Base bordo'!C$2:C$746,A171,'Base bordo'!B$2:B$746,B171,'Base bordo'!F$2:F$746,"CARREGAMENTO"),0)</f>
        <v>0</v>
      </c>
      <c r="H171" s="10">
        <f>IFERROR(SUMIFS('Base bordo'!G$2:G$746,'Base bordo'!C$2:C$746,A171,'Base bordo'!B$2:B$746,B171,'Base bordo'!F$2:F$746,"AGUARDANDO TRANSBORDO"),0)</f>
        <v>0.33083333333333331</v>
      </c>
      <c r="I171" s="10">
        <f>IFERROR(SUMIFS('Base bordo'!G$2:G$746,'Base bordo'!C$2:C$746,A171,'Base bordo'!B$2:B$746,B171,'Base bordo'!F$2:F$746,"PÁTIO INTERNO"),0)+IFERROR(SUMIFS('Base bordo'!G$2:G$746,'Base bordo'!C$2:C$746,A171,'Base bordo'!B$2:B$746,B171,'Base bordo'!F$2:F$746,"PÁTIO EXTERNO"),0)+IFERROR(SUMIFS('Base bordo'!G$2:G$746,'Base bordo'!C$2:C$746,A171,'Base bordo'!B$2:B$746,B171,'Base bordo'!F$2:F$746,"PATIO - RESERVA"),0)+IFERROR(SUMIFS('Base bordo'!G$2:G$746,'Base bordo'!C$2:C$746,A171,'Base bordo'!B$2:B$746,B171,'Base bordo'!F$2:F$746,"MANOBRA CARRETAS-PATIO"),0)</f>
        <v>10.650555555555554</v>
      </c>
      <c r="J171" s="10">
        <f>IFERROR(SUMIFS('Base bordo'!G$2:G$746,'Base bordo'!C$2:C$746,A171,'Base bordo'!B$2:B$746,B171,'Base bordo'!F$2:F$746,"BALANÇA - ENTRADA"),0)+IFERROR(SUMIFS('Base bordo'!G$2:G$746,'Base bordo'!C$2:C$746,A171,'Base bordo'!B$2:B$746,B171,'Base bordo'!F$2:F$746,"BALANÇA - SAÍDA"),0)</f>
        <v>3.6388888888888887E-2</v>
      </c>
      <c r="K171" s="10">
        <f>IFERROR(SUMIFS('Base bordo'!G$2:G$746,'Base bordo'!C$2:C$746,A171,'Base bordo'!B$2:B$746,B171,'Base bordo'!F$2:F$746,"MAN PREVENTIVA - MECANICA"),0)+IFERROR(SUMIFS('Base bordo'!G$2:G$746,'Base bordo'!C$2:C$746,A171,'Base bordo'!B$2:B$746,B171,'Base bordo'!F$2:F$746,"MAN CORRETIVA - MECANICA"),0)</f>
        <v>0</v>
      </c>
      <c r="L171" s="10">
        <f>IFERROR(SUMIFS('Base bordo'!G$2:G$746,'Base bordo'!C$2:C$746,A171,'Base bordo'!B$2:B$746,B171,'Base bordo'!F$2:F$746,"MANUTENCAO - T O"),0)+IFERROR(SUMIFS('Base bordo'!G$2:G$746,'Base bordo'!C$2:C$746,A171,'Base bordo'!B$2:B$746,B171,'Base bordo'!F$2:F$746,"MANUTENCAO BORRACHARIA"),0)+IFERROR(SUMIFS('Base bordo'!G$2:G$746,'Base bordo'!C$2:C$746,A171,'Base bordo'!B$2:B$746,B171,'Base bordo'!F$2:F$746,"MANUTENCAO EXTERNA  CONCESSIONARIA"),0)+IFERROR(SUMIFS('Base bordo'!G$2:G$746,'Base bordo'!C$2:C$746,A171,'Base bordo'!B$2:B$746,B171,'Base bordo'!F$2:F$746,"MANUTENCAO TELEMETRIA"),0)</f>
        <v>0</v>
      </c>
      <c r="M171" s="10">
        <f>IFERROR(SUMIFS('Base bordo'!G$2:G$746,'Base bordo'!C$2:C$746,A171,'Base bordo'!B$2:B$746,B171,'Base bordo'!F$2:F$746,"AGUARDANDO MANUTENCAO"),0)</f>
        <v>0</v>
      </c>
      <c r="N171" s="10">
        <f>IFERROR(SUMIFS('Base bordo'!G$2:G$746,'Base bordo'!C$2:C$746,A171,'Base bordo'!B$2:B$746,B171,'Base bordo'!F$2:F$746,"SEM APONTAMENTO"),0)</f>
        <v>0</v>
      </c>
      <c r="O171" s="10">
        <f t="shared" si="24"/>
        <v>-1.7763568394002505E-15</v>
      </c>
      <c r="P171" s="10">
        <f>IFERROR(SUMIFS('Base bordo'!G$2:G$746,'Base bordo'!C$2:C$746,A171,'Base bordo'!B$2:B$746,B171),0)</f>
        <v>13.704999999999997</v>
      </c>
      <c r="Q171" s="10">
        <f>IFERROR(SUMIFS('Base bordo'!H$2:H$746,'Base bordo'!C$2:C$746,A171,'Base bordo'!B$2:B$746,B171,'Base bordo'!F$2:F$746,"DESLOCAMENTO VAZIO"),0)</f>
        <v>68224.05</v>
      </c>
      <c r="R171" s="10">
        <f>IFERROR(SUMIFS('Base bordo'!I$2:I$746,'Base bordo'!C$2:C$746,A171,'Base bordo'!B$2:B$746,B171,'Base bordo'!F$2:F$746,"DESLOCAMENTO VAZIO"),0)</f>
        <v>3208</v>
      </c>
      <c r="S171" s="30">
        <f t="shared" si="25"/>
        <v>21.266848503740651</v>
      </c>
      <c r="T171" s="10">
        <f>IFERROR(SUMIFS('Base bordo'!H$2:H$746,'Base bordo'!C$2:C$746,A171,'Base bordo'!B$2:B$746,B171,'Base bordo'!F$2:F$746,"DESLOCAMENTO CARREGADO"),0)</f>
        <v>68053.69</v>
      </c>
      <c r="U171" s="10">
        <f>IFERROR(SUMIFS('Base bordo'!I$2:I$746,'Base bordo'!C$2:C$746,A171,'Base bordo'!B$2:B$746,B171,'Base bordo'!F$2:F$746,"DESLOCAMENTO CARREGADO"),0)</f>
        <v>2788</v>
      </c>
      <c r="V171" s="30">
        <f t="shared" si="26"/>
        <v>24.40950143472023</v>
      </c>
      <c r="W171" s="9">
        <f t="shared" si="27"/>
        <v>6.5020876403583464E-2</v>
      </c>
      <c r="X171" s="9">
        <f t="shared" si="28"/>
        <v>5.6508168146256456E-2</v>
      </c>
      <c r="Y171" s="9">
        <f t="shared" si="29"/>
        <v>0.87847095545016007</v>
      </c>
    </row>
    <row r="172" spans="1:25" ht="15" customHeight="1" x14ac:dyDescent="0.35">
      <c r="A172" s="52">
        <v>8013476</v>
      </c>
      <c r="B172" s="51">
        <v>46124</v>
      </c>
      <c r="C172" s="7" t="s">
        <v>124</v>
      </c>
      <c r="D172" s="10">
        <f>IFERROR(SUMIFS('Base bordo'!G$2:G$746,'Base bordo'!C$2:C$746,A172,'Base bordo'!B$2:B$746,B172,'Base bordo'!F$2:F$746,"DESLOCAMENTO VAZIO"),0)</f>
        <v>2.296388888888889</v>
      </c>
      <c r="E172" s="10">
        <f>IFERROR(SUMIFS('Base bordo'!G$2:G$746,'Base bordo'!C$2:C$746,A172,'Base bordo'!B$2:B$746,B172,'Base bordo'!F$2:F$746,"DESLOCAMENTO CARREGADO"),0)</f>
        <v>2.1016666666666666</v>
      </c>
      <c r="F172" s="10">
        <f>IFERROR(SUMIFS('Base bordo'!G$2:G$746,'Base bordo'!C$2:C$746,A172,'Base bordo'!B$2:B$746,B172,'Base bordo'!F$2:F$746,"DESLOCAMENTO"),0)</f>
        <v>0</v>
      </c>
      <c r="G172" s="10">
        <f>IFERROR(SUMIFS('Base bordo'!G$2:G$746,'Base bordo'!C$2:C$746,A172,'Base bordo'!B$2:B$746,B172,'Base bordo'!F$2:F$746,"CARREGAMENTO"),0)</f>
        <v>0</v>
      </c>
      <c r="H172" s="10">
        <f>IFERROR(SUMIFS('Base bordo'!G$2:G$746,'Base bordo'!C$2:C$746,A172,'Base bordo'!B$2:B$746,B172,'Base bordo'!F$2:F$746,"AGUARDANDO TRANSBORDO"),0)</f>
        <v>0.23694444444444446</v>
      </c>
      <c r="I172" s="10">
        <f>IFERROR(SUMIFS('Base bordo'!G$2:G$746,'Base bordo'!C$2:C$746,A172,'Base bordo'!B$2:B$746,B172,'Base bordo'!F$2:F$746,"PÁTIO INTERNO"),0)+IFERROR(SUMIFS('Base bordo'!G$2:G$746,'Base bordo'!C$2:C$746,A172,'Base bordo'!B$2:B$746,B172,'Base bordo'!F$2:F$746,"PÁTIO EXTERNO"),0)+IFERROR(SUMIFS('Base bordo'!G$2:G$746,'Base bordo'!C$2:C$746,A172,'Base bordo'!B$2:B$746,B172,'Base bordo'!F$2:F$746,"PATIO - RESERVA"),0)+IFERROR(SUMIFS('Base bordo'!G$2:G$746,'Base bordo'!C$2:C$746,A172,'Base bordo'!B$2:B$746,B172,'Base bordo'!F$2:F$746,"MANOBRA CARRETAS-PATIO"),0)</f>
        <v>5.0583333333333336</v>
      </c>
      <c r="J172" s="10">
        <f>IFERROR(SUMIFS('Base bordo'!G$2:G$746,'Base bordo'!C$2:C$746,A172,'Base bordo'!B$2:B$746,B172,'Base bordo'!F$2:F$746,"BALANÇA - ENTRADA"),0)+IFERROR(SUMIFS('Base bordo'!G$2:G$746,'Base bordo'!C$2:C$746,A172,'Base bordo'!B$2:B$746,B172,'Base bordo'!F$2:F$746,"BALANÇA - SAÍDA"),0)</f>
        <v>0.23805555555555558</v>
      </c>
      <c r="K172" s="10">
        <f>IFERROR(SUMIFS('Base bordo'!G$2:G$746,'Base bordo'!C$2:C$746,A172,'Base bordo'!B$2:B$746,B172,'Base bordo'!F$2:F$746,"MAN PREVENTIVA - MECANICA"),0)+IFERROR(SUMIFS('Base bordo'!G$2:G$746,'Base bordo'!C$2:C$746,A172,'Base bordo'!B$2:B$746,B172,'Base bordo'!F$2:F$746,"MAN CORRETIVA - MECANICA"),0)</f>
        <v>0</v>
      </c>
      <c r="L172" s="10">
        <f>IFERROR(SUMIFS('Base bordo'!G$2:G$746,'Base bordo'!C$2:C$746,A172,'Base bordo'!B$2:B$746,B172,'Base bordo'!F$2:F$746,"MANUTENCAO - T O"),0)+IFERROR(SUMIFS('Base bordo'!G$2:G$746,'Base bordo'!C$2:C$746,A172,'Base bordo'!B$2:B$746,B172,'Base bordo'!F$2:F$746,"MANUTENCAO BORRACHARIA"),0)+IFERROR(SUMIFS('Base bordo'!G$2:G$746,'Base bordo'!C$2:C$746,A172,'Base bordo'!B$2:B$746,B172,'Base bordo'!F$2:F$746,"MANUTENCAO EXTERNA  CONCESSIONARIA"),0)+IFERROR(SUMIFS('Base bordo'!G$2:G$746,'Base bordo'!C$2:C$746,A172,'Base bordo'!B$2:B$746,B172,'Base bordo'!F$2:F$746,"MANUTENCAO TELEMETRIA"),0)</f>
        <v>0</v>
      </c>
      <c r="M172" s="10">
        <f>IFERROR(SUMIFS('Base bordo'!G$2:G$746,'Base bordo'!C$2:C$746,A172,'Base bordo'!B$2:B$746,B172,'Base bordo'!F$2:F$746,"AGUARDANDO MANUTENCAO"),0)</f>
        <v>0</v>
      </c>
      <c r="N172" s="10">
        <f>IFERROR(SUMIFS('Base bordo'!G$2:G$746,'Base bordo'!C$2:C$746,A172,'Base bordo'!B$2:B$746,B172,'Base bordo'!F$2:F$746,"SEM APONTAMENTO"),0)</f>
        <v>0</v>
      </c>
      <c r="O172" s="10">
        <f t="shared" si="24"/>
        <v>0</v>
      </c>
      <c r="P172" s="10">
        <f>IFERROR(SUMIFS('Base bordo'!G$2:G$746,'Base bordo'!C$2:C$746,A172,'Base bordo'!B$2:B$746,B172),0)</f>
        <v>9.9313888888888897</v>
      </c>
      <c r="Q172" s="10">
        <f>IFERROR(SUMIFS('Base bordo'!H$2:H$746,'Base bordo'!C$2:C$746,A172,'Base bordo'!B$2:B$746,B172,'Base bordo'!F$2:F$746,"DESLOCAMENTO VAZIO"),0)</f>
        <v>272442.8</v>
      </c>
      <c r="R172" s="10">
        <f>IFERROR(SUMIFS('Base bordo'!I$2:I$746,'Base bordo'!C$2:C$746,A172,'Base bordo'!B$2:B$746,B172,'Base bordo'!F$2:F$746,"DESLOCAMENTO VAZIO"),0)</f>
        <v>8267</v>
      </c>
      <c r="S172" s="30">
        <f t="shared" si="25"/>
        <v>32.955461473327688</v>
      </c>
      <c r="T172" s="10">
        <f>IFERROR(SUMIFS('Base bordo'!H$2:H$746,'Base bordo'!C$2:C$746,A172,'Base bordo'!B$2:B$746,B172,'Base bordo'!F$2:F$746,"DESLOCAMENTO CARREGADO"),0)</f>
        <v>216680.51</v>
      </c>
      <c r="U172" s="10">
        <f>IFERROR(SUMIFS('Base bordo'!I$2:I$746,'Base bordo'!C$2:C$746,A172,'Base bordo'!B$2:B$746,B172,'Base bordo'!F$2:F$746,"DESLOCAMENTO CARREGADO"),0)</f>
        <v>7566</v>
      </c>
      <c r="V172" s="30">
        <f t="shared" si="26"/>
        <v>28.638713983610891</v>
      </c>
      <c r="W172" s="9">
        <f t="shared" si="27"/>
        <v>0.23122535171873687</v>
      </c>
      <c r="X172" s="9">
        <f t="shared" si="28"/>
        <v>0.21161860543171199</v>
      </c>
      <c r="Y172" s="9">
        <f t="shared" si="29"/>
        <v>0.55715604284955111</v>
      </c>
    </row>
    <row r="173" spans="1:25" ht="15" customHeight="1" x14ac:dyDescent="0.35">
      <c r="A173" s="52">
        <v>8013473</v>
      </c>
      <c r="B173" s="51">
        <v>46124</v>
      </c>
      <c r="C173" s="7" t="s">
        <v>124</v>
      </c>
      <c r="D173" s="10">
        <f>IFERROR(SUMIFS('Base bordo'!G$2:G$746,'Base bordo'!C$2:C$746,A173,'Base bordo'!B$2:B$746,B173,'Base bordo'!F$2:F$746,"DESLOCAMENTO VAZIO"),0)</f>
        <v>3.3650000000000002</v>
      </c>
      <c r="E173" s="10">
        <f>IFERROR(SUMIFS('Base bordo'!G$2:G$746,'Base bordo'!C$2:C$746,A173,'Base bordo'!B$2:B$746,B173,'Base bordo'!F$2:F$746,"DESLOCAMENTO CARREGADO"),0)</f>
        <v>4.0566666666666666</v>
      </c>
      <c r="F173" s="10">
        <f>IFERROR(SUMIFS('Base bordo'!G$2:G$746,'Base bordo'!C$2:C$746,A173,'Base bordo'!B$2:B$746,B173,'Base bordo'!F$2:F$746,"DESLOCAMENTO"),0)</f>
        <v>0</v>
      </c>
      <c r="G173" s="10">
        <f>IFERROR(SUMIFS('Base bordo'!G$2:G$746,'Base bordo'!C$2:C$746,A173,'Base bordo'!B$2:B$746,B173,'Base bordo'!F$2:F$746,"CARREGAMENTO"),0)</f>
        <v>0</v>
      </c>
      <c r="H173" s="10">
        <f>IFERROR(SUMIFS('Base bordo'!G$2:G$746,'Base bordo'!C$2:C$746,A173,'Base bordo'!B$2:B$746,B173,'Base bordo'!F$2:F$746,"AGUARDANDO TRANSBORDO"),0)</f>
        <v>0.39333333333333331</v>
      </c>
      <c r="I173" s="10">
        <f>IFERROR(SUMIFS('Base bordo'!G$2:G$746,'Base bordo'!C$2:C$746,A173,'Base bordo'!B$2:B$746,B173,'Base bordo'!F$2:F$746,"PÁTIO INTERNO"),0)+IFERROR(SUMIFS('Base bordo'!G$2:G$746,'Base bordo'!C$2:C$746,A173,'Base bordo'!B$2:B$746,B173,'Base bordo'!F$2:F$746,"PÁTIO EXTERNO"),0)+IFERROR(SUMIFS('Base bordo'!G$2:G$746,'Base bordo'!C$2:C$746,A173,'Base bordo'!B$2:B$746,B173,'Base bordo'!F$2:F$746,"PATIO - RESERVA"),0)+IFERROR(SUMIFS('Base bordo'!G$2:G$746,'Base bordo'!C$2:C$746,A173,'Base bordo'!B$2:B$746,B173,'Base bordo'!F$2:F$746,"MANOBRA CARRETAS-PATIO"),0)</f>
        <v>4.1744444444444442</v>
      </c>
      <c r="J173" s="10">
        <f>IFERROR(SUMIFS('Base bordo'!G$2:G$746,'Base bordo'!C$2:C$746,A173,'Base bordo'!B$2:B$746,B173,'Base bordo'!F$2:F$746,"BALANÇA - ENTRADA"),0)+IFERROR(SUMIFS('Base bordo'!G$2:G$746,'Base bordo'!C$2:C$746,A173,'Base bordo'!B$2:B$746,B173,'Base bordo'!F$2:F$746,"BALANÇA - SAÍDA"),0)</f>
        <v>0.27249999999999996</v>
      </c>
      <c r="K173" s="10">
        <f>IFERROR(SUMIFS('Base bordo'!G$2:G$746,'Base bordo'!C$2:C$746,A173,'Base bordo'!B$2:B$746,B173,'Base bordo'!F$2:F$746,"MAN PREVENTIVA - MECANICA"),0)+IFERROR(SUMIFS('Base bordo'!G$2:G$746,'Base bordo'!C$2:C$746,A173,'Base bordo'!B$2:B$746,B173,'Base bordo'!F$2:F$746,"MAN CORRETIVA - MECANICA"),0)</f>
        <v>0</v>
      </c>
      <c r="L173" s="10">
        <f>IFERROR(SUMIFS('Base bordo'!G$2:G$746,'Base bordo'!C$2:C$746,A173,'Base bordo'!B$2:B$746,B173,'Base bordo'!F$2:F$746,"MANUTENCAO - T O"),0)+IFERROR(SUMIFS('Base bordo'!G$2:G$746,'Base bordo'!C$2:C$746,A173,'Base bordo'!B$2:B$746,B173,'Base bordo'!F$2:F$746,"MANUTENCAO BORRACHARIA"),0)+IFERROR(SUMIFS('Base bordo'!G$2:G$746,'Base bordo'!C$2:C$746,A173,'Base bordo'!B$2:B$746,B173,'Base bordo'!F$2:F$746,"MANUTENCAO EXTERNA  CONCESSIONARIA"),0)+IFERROR(SUMIFS('Base bordo'!G$2:G$746,'Base bordo'!C$2:C$746,A173,'Base bordo'!B$2:B$746,B173,'Base bordo'!F$2:F$746,"MANUTENCAO TELEMETRIA"),0)</f>
        <v>0</v>
      </c>
      <c r="M173" s="10">
        <f>IFERROR(SUMIFS('Base bordo'!G$2:G$746,'Base bordo'!C$2:C$746,A173,'Base bordo'!B$2:B$746,B173,'Base bordo'!F$2:F$746,"AGUARDANDO MANUTENCAO"),0)</f>
        <v>0</v>
      </c>
      <c r="N173" s="10">
        <f>IFERROR(SUMIFS('Base bordo'!G$2:G$746,'Base bordo'!C$2:C$746,A173,'Base bordo'!B$2:B$746,B173,'Base bordo'!F$2:F$746,"SEM APONTAMENTO"),0)</f>
        <v>0</v>
      </c>
      <c r="O173" s="10">
        <f t="shared" si="24"/>
        <v>0.26305555555555138</v>
      </c>
      <c r="P173" s="10">
        <f>IFERROR(SUMIFS('Base bordo'!G$2:G$746,'Base bordo'!C$2:C$746,A173,'Base bordo'!B$2:B$746,B173),0)</f>
        <v>12.524999999999997</v>
      </c>
      <c r="Q173" s="10">
        <f>IFERROR(SUMIFS('Base bordo'!H$2:H$746,'Base bordo'!C$2:C$746,A173,'Base bordo'!B$2:B$746,B173,'Base bordo'!F$2:F$746,"DESLOCAMENTO VAZIO"),0)</f>
        <v>427465.79</v>
      </c>
      <c r="R173" s="10">
        <f>IFERROR(SUMIFS('Base bordo'!I$2:I$746,'Base bordo'!C$2:C$746,A173,'Base bordo'!B$2:B$746,B173,'Base bordo'!F$2:F$746,"DESLOCAMENTO VAZIO"),0)</f>
        <v>12114</v>
      </c>
      <c r="S173" s="30">
        <f t="shared" si="25"/>
        <v>35.286923394419681</v>
      </c>
      <c r="T173" s="10">
        <f>IFERROR(SUMIFS('Base bordo'!H$2:H$746,'Base bordo'!C$2:C$746,A173,'Base bordo'!B$2:B$746,B173,'Base bordo'!F$2:F$746,"DESLOCAMENTO CARREGADO"),0)</f>
        <v>388337.10000000003</v>
      </c>
      <c r="U173" s="10">
        <f>IFERROR(SUMIFS('Base bordo'!I$2:I$746,'Base bordo'!C$2:C$746,A173,'Base bordo'!B$2:B$746,B173,'Base bordo'!F$2:F$746,"DESLOCAMENTO CARREGADO"),0)</f>
        <v>14604</v>
      </c>
      <c r="V173" s="30">
        <f t="shared" si="26"/>
        <v>26.591146261298277</v>
      </c>
      <c r="W173" s="9">
        <f t="shared" si="27"/>
        <v>0.26866267465069871</v>
      </c>
      <c r="X173" s="9">
        <f t="shared" si="28"/>
        <v>0.32388556220891557</v>
      </c>
      <c r="Y173" s="9">
        <f t="shared" si="29"/>
        <v>0.40745176314038578</v>
      </c>
    </row>
    <row r="174" spans="1:25" ht="15" customHeight="1" x14ac:dyDescent="0.35">
      <c r="A174" s="52">
        <v>8013462</v>
      </c>
      <c r="B174" s="51">
        <v>46118</v>
      </c>
      <c r="C174" s="7" t="s">
        <v>124</v>
      </c>
      <c r="D174" s="10">
        <f>IFERROR(SUMIFS('Base bordo'!G$2:G$746,'Base bordo'!C$2:C$746,A174,'Base bordo'!B$2:B$746,B174,'Base bordo'!F$2:F$746,"DESLOCAMENTO VAZIO"),0)</f>
        <v>2.9716666666666667</v>
      </c>
      <c r="E174" s="10">
        <f>IFERROR(SUMIFS('Base bordo'!G$2:G$746,'Base bordo'!C$2:C$746,A174,'Base bordo'!B$2:B$746,B174,'Base bordo'!F$2:F$746,"DESLOCAMENTO CARREGADO"),0)</f>
        <v>3.6794444444444445</v>
      </c>
      <c r="F174" s="10">
        <f>IFERROR(SUMIFS('Base bordo'!G$2:G$746,'Base bordo'!C$2:C$746,A174,'Base bordo'!B$2:B$746,B174,'Base bordo'!F$2:F$746,"DESLOCAMENTO"),0)</f>
        <v>0.29694444444444446</v>
      </c>
      <c r="G174" s="10">
        <f>IFERROR(SUMIFS('Base bordo'!G$2:G$746,'Base bordo'!C$2:C$746,A174,'Base bordo'!B$2:B$746,B174,'Base bordo'!F$2:F$746,"CARREGAMENTO"),0)</f>
        <v>0.64583333333333337</v>
      </c>
      <c r="H174" s="10">
        <f>IFERROR(SUMIFS('Base bordo'!G$2:G$746,'Base bordo'!C$2:C$746,A174,'Base bordo'!B$2:B$746,B174,'Base bordo'!F$2:F$746,"AGUARDANDO TRANSBORDO"),0)</f>
        <v>9.6666666666666665E-2</v>
      </c>
      <c r="I174" s="10">
        <f>IFERROR(SUMIFS('Base bordo'!G$2:G$746,'Base bordo'!C$2:C$746,A174,'Base bordo'!B$2:B$746,B174,'Base bordo'!F$2:F$746,"PÁTIO INTERNO"),0)+IFERROR(SUMIFS('Base bordo'!G$2:G$746,'Base bordo'!C$2:C$746,A174,'Base bordo'!B$2:B$746,B174,'Base bordo'!F$2:F$746,"PÁTIO EXTERNO"),0)+IFERROR(SUMIFS('Base bordo'!G$2:G$746,'Base bordo'!C$2:C$746,A174,'Base bordo'!B$2:B$746,B174,'Base bordo'!F$2:F$746,"PATIO - RESERVA"),0)+IFERROR(SUMIFS('Base bordo'!G$2:G$746,'Base bordo'!C$2:C$746,A174,'Base bordo'!B$2:B$746,B174,'Base bordo'!F$2:F$746,"MANOBRA CARRETAS-PATIO"),0)</f>
        <v>9.5841666666666665</v>
      </c>
      <c r="J174" s="10">
        <f>IFERROR(SUMIFS('Base bordo'!G$2:G$746,'Base bordo'!C$2:C$746,A174,'Base bordo'!B$2:B$746,B174,'Base bordo'!F$2:F$746,"BALANÇA - ENTRADA"),0)+IFERROR(SUMIFS('Base bordo'!G$2:G$746,'Base bordo'!C$2:C$746,A174,'Base bordo'!B$2:B$746,B174,'Base bordo'!F$2:F$746,"BALANÇA - SAÍDA"),0)</f>
        <v>4.1944444444444444E-2</v>
      </c>
      <c r="K174" s="10">
        <f>IFERROR(SUMIFS('Base bordo'!G$2:G$746,'Base bordo'!C$2:C$746,A174,'Base bordo'!B$2:B$746,B174,'Base bordo'!F$2:F$746,"MAN PREVENTIVA - MECANICA"),0)+IFERROR(SUMIFS('Base bordo'!G$2:G$746,'Base bordo'!C$2:C$746,A174,'Base bordo'!B$2:B$746,B174,'Base bordo'!F$2:F$746,"MAN CORRETIVA - MECANICA"),0)</f>
        <v>0</v>
      </c>
      <c r="L174" s="10">
        <f>IFERROR(SUMIFS('Base bordo'!G$2:G$746,'Base bordo'!C$2:C$746,A174,'Base bordo'!B$2:B$746,B174,'Base bordo'!F$2:F$746,"MANUTENCAO - T O"),0)+IFERROR(SUMIFS('Base bordo'!G$2:G$746,'Base bordo'!C$2:C$746,A174,'Base bordo'!B$2:B$746,B174,'Base bordo'!F$2:F$746,"MANUTENCAO BORRACHARIA"),0)+IFERROR(SUMIFS('Base bordo'!G$2:G$746,'Base bordo'!C$2:C$746,A174,'Base bordo'!B$2:B$746,B174,'Base bordo'!F$2:F$746,"MANUTENCAO EXTERNA  CONCESSIONARIA"),0)+IFERROR(SUMIFS('Base bordo'!G$2:G$746,'Base bordo'!C$2:C$746,A174,'Base bordo'!B$2:B$746,B174,'Base bordo'!F$2:F$746,"MANUTENCAO TELEMETRIA"),0)</f>
        <v>1.6502777777777777</v>
      </c>
      <c r="M174" s="10">
        <f>IFERROR(SUMIFS('Base bordo'!G$2:G$746,'Base bordo'!C$2:C$746,A174,'Base bordo'!B$2:B$746,B174,'Base bordo'!F$2:F$746,"AGUARDANDO MANUTENCAO"),0)</f>
        <v>3.7263888888888888</v>
      </c>
      <c r="N174" s="10">
        <f>IFERROR(SUMIFS('Base bordo'!G$2:G$746,'Base bordo'!C$2:C$746,A174,'Base bordo'!B$2:B$746,B174,'Base bordo'!F$2:F$746,"SEM APONTAMENTO"),0)</f>
        <v>0</v>
      </c>
      <c r="O174" s="10">
        <f t="shared" si="24"/>
        <v>1.3066666666666684</v>
      </c>
      <c r="P174" s="10">
        <f>IFERROR(SUMIFS('Base bordo'!G$2:G$746,'Base bordo'!C$2:C$746,A174,'Base bordo'!B$2:B$746,B174),0)</f>
        <v>24</v>
      </c>
      <c r="Q174" s="10">
        <f>IFERROR(SUMIFS('Base bordo'!H$2:H$746,'Base bordo'!C$2:C$746,A174,'Base bordo'!B$2:B$746,B174,'Base bordo'!F$2:F$746,"DESLOCAMENTO VAZIO"),0)</f>
        <v>362928.54000000004</v>
      </c>
      <c r="R174" s="10">
        <f>IFERROR(SUMIFS('Base bordo'!I$2:I$746,'Base bordo'!C$2:C$746,A174,'Base bordo'!B$2:B$746,B174,'Base bordo'!F$2:F$746,"DESLOCAMENTO VAZIO"),0)</f>
        <v>10698</v>
      </c>
      <c r="S174" s="30">
        <f t="shared" si="25"/>
        <v>33.924896242288284</v>
      </c>
      <c r="T174" s="10">
        <f>IFERROR(SUMIFS('Base bordo'!H$2:H$746,'Base bordo'!C$2:C$746,A174,'Base bordo'!B$2:B$746,B174,'Base bordo'!F$2:F$746,"DESLOCAMENTO CARREGADO"),0)</f>
        <v>342744.39</v>
      </c>
      <c r="U174" s="10">
        <f>IFERROR(SUMIFS('Base bordo'!I$2:I$746,'Base bordo'!C$2:C$746,A174,'Base bordo'!B$2:B$746,B174,'Base bordo'!F$2:F$746,"DESLOCAMENTO CARREGADO"),0)</f>
        <v>13234</v>
      </c>
      <c r="V174" s="30">
        <f t="shared" si="26"/>
        <v>25.89877512467886</v>
      </c>
      <c r="W174" s="9">
        <f t="shared" si="27"/>
        <v>0.12381944444444444</v>
      </c>
      <c r="X174" s="9">
        <f t="shared" si="28"/>
        <v>0.15331018518518519</v>
      </c>
      <c r="Y174" s="9">
        <f t="shared" si="29"/>
        <v>0.72287037037037027</v>
      </c>
    </row>
    <row r="175" spans="1:25" ht="15" customHeight="1" x14ac:dyDescent="0.35">
      <c r="A175" s="52">
        <v>8013475</v>
      </c>
      <c r="B175" s="51">
        <v>46119</v>
      </c>
      <c r="C175" s="7" t="s">
        <v>124</v>
      </c>
      <c r="D175" s="10">
        <f>IFERROR(SUMIFS('Base bordo'!G$2:G$746,'Base bordo'!C$2:C$746,A175,'Base bordo'!B$2:B$746,B175,'Base bordo'!F$2:F$746,"DESLOCAMENTO VAZIO"),0)</f>
        <v>0.33277777777777778</v>
      </c>
      <c r="E175" s="10">
        <f>IFERROR(SUMIFS('Base bordo'!G$2:G$746,'Base bordo'!C$2:C$746,A175,'Base bordo'!B$2:B$746,B175,'Base bordo'!F$2:F$746,"DESLOCAMENTO CARREGADO"),0)</f>
        <v>0</v>
      </c>
      <c r="F175" s="10">
        <f>IFERROR(SUMIFS('Base bordo'!G$2:G$746,'Base bordo'!C$2:C$746,A175,'Base bordo'!B$2:B$746,B175,'Base bordo'!F$2:F$746,"DESLOCAMENTO"),0)</f>
        <v>0</v>
      </c>
      <c r="G175" s="10">
        <f>IFERROR(SUMIFS('Base bordo'!G$2:G$746,'Base bordo'!C$2:C$746,A175,'Base bordo'!B$2:B$746,B175,'Base bordo'!F$2:F$746,"CARREGAMENTO"),0)</f>
        <v>0</v>
      </c>
      <c r="H175" s="10">
        <f>IFERROR(SUMIFS('Base bordo'!G$2:G$746,'Base bordo'!C$2:C$746,A175,'Base bordo'!B$2:B$746,B175,'Base bordo'!F$2:F$746,"AGUARDANDO TRANSBORDO"),0)</f>
        <v>0</v>
      </c>
      <c r="I175" s="10">
        <f>IFERROR(SUMIFS('Base bordo'!G$2:G$746,'Base bordo'!C$2:C$746,A175,'Base bordo'!B$2:B$746,B175,'Base bordo'!F$2:F$746,"PÁTIO INTERNO"),0)+IFERROR(SUMIFS('Base bordo'!G$2:G$746,'Base bordo'!C$2:C$746,A175,'Base bordo'!B$2:B$746,B175,'Base bordo'!F$2:F$746,"PÁTIO EXTERNO"),0)+IFERROR(SUMIFS('Base bordo'!G$2:G$746,'Base bordo'!C$2:C$746,A175,'Base bordo'!B$2:B$746,B175,'Base bordo'!F$2:F$746,"PATIO - RESERVA"),0)+IFERROR(SUMIFS('Base bordo'!G$2:G$746,'Base bordo'!C$2:C$746,A175,'Base bordo'!B$2:B$746,B175,'Base bordo'!F$2:F$746,"MANOBRA CARRETAS-PATIO"),0)</f>
        <v>19.261111111111113</v>
      </c>
      <c r="J175" s="10">
        <f>IFERROR(SUMIFS('Base bordo'!G$2:G$746,'Base bordo'!C$2:C$746,A175,'Base bordo'!B$2:B$746,B175,'Base bordo'!F$2:F$746,"BALANÇA - ENTRADA"),0)+IFERROR(SUMIFS('Base bordo'!G$2:G$746,'Base bordo'!C$2:C$746,A175,'Base bordo'!B$2:B$746,B175,'Base bordo'!F$2:F$746,"BALANÇA - SAÍDA"),0)</f>
        <v>4.3333333333333335E-2</v>
      </c>
      <c r="K175" s="10">
        <f>IFERROR(SUMIFS('Base bordo'!G$2:G$746,'Base bordo'!C$2:C$746,A175,'Base bordo'!B$2:B$746,B175,'Base bordo'!F$2:F$746,"MAN PREVENTIVA - MECANICA"),0)+IFERROR(SUMIFS('Base bordo'!G$2:G$746,'Base bordo'!C$2:C$746,A175,'Base bordo'!B$2:B$746,B175,'Base bordo'!F$2:F$746,"MAN CORRETIVA - MECANICA"),0)</f>
        <v>0</v>
      </c>
      <c r="L175" s="10">
        <f>IFERROR(SUMIFS('Base bordo'!G$2:G$746,'Base bordo'!C$2:C$746,A175,'Base bordo'!B$2:B$746,B175,'Base bordo'!F$2:F$746,"MANUTENCAO - T O"),0)+IFERROR(SUMIFS('Base bordo'!G$2:G$746,'Base bordo'!C$2:C$746,A175,'Base bordo'!B$2:B$746,B175,'Base bordo'!F$2:F$746,"MANUTENCAO BORRACHARIA"),0)+IFERROR(SUMIFS('Base bordo'!G$2:G$746,'Base bordo'!C$2:C$746,A175,'Base bordo'!B$2:B$746,B175,'Base bordo'!F$2:F$746,"MANUTENCAO EXTERNA  CONCESSIONARIA"),0)+IFERROR(SUMIFS('Base bordo'!G$2:G$746,'Base bordo'!C$2:C$746,A175,'Base bordo'!B$2:B$746,B175,'Base bordo'!F$2:F$746,"MANUTENCAO TELEMETRIA"),0)</f>
        <v>0</v>
      </c>
      <c r="M175" s="10">
        <f>IFERROR(SUMIFS('Base bordo'!G$2:G$746,'Base bordo'!C$2:C$746,A175,'Base bordo'!B$2:B$746,B175,'Base bordo'!F$2:F$746,"AGUARDANDO MANUTENCAO"),0)</f>
        <v>0</v>
      </c>
      <c r="N175" s="10">
        <f>IFERROR(SUMIFS('Base bordo'!G$2:G$746,'Base bordo'!C$2:C$746,A175,'Base bordo'!B$2:B$746,B175,'Base bordo'!F$2:F$746,"SEM APONTAMENTO"),0)</f>
        <v>0</v>
      </c>
      <c r="O175" s="10">
        <f t="shared" si="24"/>
        <v>0</v>
      </c>
      <c r="P175" s="10">
        <f>IFERROR(SUMIFS('Base bordo'!G$2:G$746,'Base bordo'!C$2:C$746,A175,'Base bordo'!B$2:B$746,B175),0)</f>
        <v>19.637222222222224</v>
      </c>
      <c r="Q175" s="10">
        <f>IFERROR(SUMIFS('Base bordo'!H$2:H$746,'Base bordo'!C$2:C$746,A175,'Base bordo'!B$2:B$746,B175,'Base bordo'!F$2:F$746,"DESLOCAMENTO VAZIO"),0)</f>
        <v>26042.560000000001</v>
      </c>
      <c r="R175" s="10">
        <f>IFERROR(SUMIFS('Base bordo'!I$2:I$746,'Base bordo'!C$2:C$746,A175,'Base bordo'!B$2:B$746,B175,'Base bordo'!F$2:F$746,"DESLOCAMENTO VAZIO"),0)</f>
        <v>1198</v>
      </c>
      <c r="S175" s="30">
        <f t="shared" si="25"/>
        <v>21.738363939899834</v>
      </c>
      <c r="T175" s="10">
        <f>IFERROR(SUMIFS('Base bordo'!H$2:H$746,'Base bordo'!C$2:C$746,A175,'Base bordo'!B$2:B$746,B175,'Base bordo'!F$2:F$746,"DESLOCAMENTO CARREGADO"),0)</f>
        <v>0</v>
      </c>
      <c r="U175" s="10">
        <f>IFERROR(SUMIFS('Base bordo'!I$2:I$746,'Base bordo'!C$2:C$746,A175,'Base bordo'!B$2:B$746,B175,'Base bordo'!F$2:F$746,"DESLOCAMENTO CARREGADO"),0)</f>
        <v>0</v>
      </c>
      <c r="V175" s="30" t="str">
        <f t="shared" si="26"/>
        <v/>
      </c>
      <c r="W175" s="9">
        <f t="shared" si="27"/>
        <v>1.694627549721334E-2</v>
      </c>
      <c r="X175" s="9">
        <f t="shared" si="28"/>
        <v>0</v>
      </c>
      <c r="Y175" s="9">
        <f t="shared" si="29"/>
        <v>0.98305372450278661</v>
      </c>
    </row>
    <row r="176" spans="1:25" ht="15" customHeight="1" x14ac:dyDescent="0.35">
      <c r="A176" s="52">
        <v>8013478</v>
      </c>
      <c r="B176" s="51">
        <v>46117</v>
      </c>
      <c r="C176" s="7" t="s">
        <v>124</v>
      </c>
      <c r="D176" s="10">
        <f>IFERROR(SUMIFS('Base bordo'!G$2:G$746,'Base bordo'!C$2:C$746,A176,'Base bordo'!B$2:B$746,B176,'Base bordo'!F$2:F$746,"DESLOCAMENTO VAZIO"),0)</f>
        <v>3.3080555555555557</v>
      </c>
      <c r="E176" s="10">
        <f>IFERROR(SUMIFS('Base bordo'!G$2:G$746,'Base bordo'!C$2:C$746,A176,'Base bordo'!B$2:B$746,B176,'Base bordo'!F$2:F$746,"DESLOCAMENTO CARREGADO"),0)</f>
        <v>0.25666666666666665</v>
      </c>
      <c r="F176" s="10">
        <f>IFERROR(SUMIFS('Base bordo'!G$2:G$746,'Base bordo'!C$2:C$746,A176,'Base bordo'!B$2:B$746,B176,'Base bordo'!F$2:F$746,"DESLOCAMENTO"),0)</f>
        <v>0.71666666666666667</v>
      </c>
      <c r="G176" s="10">
        <f>IFERROR(SUMIFS('Base bordo'!G$2:G$746,'Base bordo'!C$2:C$746,A176,'Base bordo'!B$2:B$746,B176,'Base bordo'!F$2:F$746,"CARREGAMENTO"),0)</f>
        <v>7.4722222222222218E-2</v>
      </c>
      <c r="H176" s="10">
        <f>IFERROR(SUMIFS('Base bordo'!G$2:G$746,'Base bordo'!C$2:C$746,A176,'Base bordo'!B$2:B$746,B176,'Base bordo'!F$2:F$746,"AGUARDANDO TRANSBORDO"),0)</f>
        <v>0.18472222222222223</v>
      </c>
      <c r="I176" s="10">
        <f>IFERROR(SUMIFS('Base bordo'!G$2:G$746,'Base bordo'!C$2:C$746,A176,'Base bordo'!B$2:B$746,B176,'Base bordo'!F$2:F$746,"PÁTIO INTERNO"),0)+IFERROR(SUMIFS('Base bordo'!G$2:G$746,'Base bordo'!C$2:C$746,A176,'Base bordo'!B$2:B$746,B176,'Base bordo'!F$2:F$746,"PÁTIO EXTERNO"),0)+IFERROR(SUMIFS('Base bordo'!G$2:G$746,'Base bordo'!C$2:C$746,A176,'Base bordo'!B$2:B$746,B176,'Base bordo'!F$2:F$746,"PATIO - RESERVA"),0)+IFERROR(SUMIFS('Base bordo'!G$2:G$746,'Base bordo'!C$2:C$746,A176,'Base bordo'!B$2:B$746,B176,'Base bordo'!F$2:F$746,"MANOBRA CARRETAS-PATIO"),0)</f>
        <v>0</v>
      </c>
      <c r="J176" s="10">
        <f>IFERROR(SUMIFS('Base bordo'!G$2:G$746,'Base bordo'!C$2:C$746,A176,'Base bordo'!B$2:B$746,B176,'Base bordo'!F$2:F$746,"BALANÇA - ENTRADA"),0)+IFERROR(SUMIFS('Base bordo'!G$2:G$746,'Base bordo'!C$2:C$746,A176,'Base bordo'!B$2:B$746,B176,'Base bordo'!F$2:F$746,"BALANÇA - SAÍDA"),0)</f>
        <v>0</v>
      </c>
      <c r="K176" s="10">
        <f>IFERROR(SUMIFS('Base bordo'!G$2:G$746,'Base bordo'!C$2:C$746,A176,'Base bordo'!B$2:B$746,B176,'Base bordo'!F$2:F$746,"MAN PREVENTIVA - MECANICA"),0)+IFERROR(SUMIFS('Base bordo'!G$2:G$746,'Base bordo'!C$2:C$746,A176,'Base bordo'!B$2:B$746,B176,'Base bordo'!F$2:F$746,"MAN CORRETIVA - MECANICA"),0)</f>
        <v>0</v>
      </c>
      <c r="L176" s="10">
        <f>IFERROR(SUMIFS('Base bordo'!G$2:G$746,'Base bordo'!C$2:C$746,A176,'Base bordo'!B$2:B$746,B176,'Base bordo'!F$2:F$746,"MANUTENCAO - T O"),0)+IFERROR(SUMIFS('Base bordo'!G$2:G$746,'Base bordo'!C$2:C$746,A176,'Base bordo'!B$2:B$746,B176,'Base bordo'!F$2:F$746,"MANUTENCAO BORRACHARIA"),0)+IFERROR(SUMIFS('Base bordo'!G$2:G$746,'Base bordo'!C$2:C$746,A176,'Base bordo'!B$2:B$746,B176,'Base bordo'!F$2:F$746,"MANUTENCAO EXTERNA  CONCESSIONARIA"),0)+IFERROR(SUMIFS('Base bordo'!G$2:G$746,'Base bordo'!C$2:C$746,A176,'Base bordo'!B$2:B$746,B176,'Base bordo'!F$2:F$746,"MANUTENCAO TELEMETRIA"),0)</f>
        <v>15.166944444444445</v>
      </c>
      <c r="M176" s="10">
        <f>IFERROR(SUMIFS('Base bordo'!G$2:G$746,'Base bordo'!C$2:C$746,A176,'Base bordo'!B$2:B$746,B176,'Base bordo'!F$2:F$746,"AGUARDANDO MANUTENCAO"),0)</f>
        <v>0</v>
      </c>
      <c r="N176" s="10">
        <f>IFERROR(SUMIFS('Base bordo'!G$2:G$746,'Base bordo'!C$2:C$746,A176,'Base bordo'!B$2:B$746,B176,'Base bordo'!F$2:F$746,"SEM APONTAMENTO"),0)</f>
        <v>0.64555555555555555</v>
      </c>
      <c r="O176" s="10">
        <f t="shared" si="24"/>
        <v>3.6466666666666683</v>
      </c>
      <c r="P176" s="10">
        <f>IFERROR(SUMIFS('Base bordo'!G$2:G$746,'Base bordo'!C$2:C$746,A176,'Base bordo'!B$2:B$746,B176),0)</f>
        <v>24.000000000000004</v>
      </c>
      <c r="Q176" s="10">
        <f>IFERROR(SUMIFS('Base bordo'!H$2:H$746,'Base bordo'!C$2:C$746,A176,'Base bordo'!B$2:B$746,B176,'Base bordo'!F$2:F$746,"DESLOCAMENTO VAZIO"),0)</f>
        <v>327757.84999999998</v>
      </c>
      <c r="R176" s="10">
        <f>IFERROR(SUMIFS('Base bordo'!I$2:I$746,'Base bordo'!C$2:C$746,A176,'Base bordo'!B$2:B$746,B176,'Base bordo'!F$2:F$746,"DESLOCAMENTO VAZIO"),0)</f>
        <v>11909</v>
      </c>
      <c r="S176" s="30">
        <f t="shared" si="25"/>
        <v>27.521861617264253</v>
      </c>
      <c r="T176" s="10">
        <f>IFERROR(SUMIFS('Base bordo'!H$2:H$746,'Base bordo'!C$2:C$746,A176,'Base bordo'!B$2:B$746,B176,'Base bordo'!F$2:F$746,"DESLOCAMENTO CARREGADO"),0)</f>
        <v>25650.240000000002</v>
      </c>
      <c r="U176" s="10">
        <f>IFERROR(SUMIFS('Base bordo'!I$2:I$746,'Base bordo'!C$2:C$746,A176,'Base bordo'!B$2:B$746,B176,'Base bordo'!F$2:F$746,"DESLOCAMENTO CARREGADO"),0)</f>
        <v>924</v>
      </c>
      <c r="V176" s="30">
        <f t="shared" si="26"/>
        <v>27.76</v>
      </c>
      <c r="W176" s="9">
        <f t="shared" si="27"/>
        <v>0.13783564814814814</v>
      </c>
      <c r="X176" s="9">
        <f t="shared" si="28"/>
        <v>1.0694444444444442E-2</v>
      </c>
      <c r="Y176" s="9">
        <f t="shared" si="29"/>
        <v>0.85146990740740747</v>
      </c>
    </row>
    <row r="177" spans="1:25" ht="15" customHeight="1" x14ac:dyDescent="0.35">
      <c r="A177" s="52">
        <v>8013486</v>
      </c>
      <c r="B177" s="51">
        <v>46117</v>
      </c>
      <c r="C177" s="7" t="s">
        <v>124</v>
      </c>
      <c r="D177" s="10">
        <f>IFERROR(SUMIFS('Base bordo'!G$2:G$746,'Base bordo'!C$2:C$746,A177,'Base bordo'!B$2:B$746,B177,'Base bordo'!F$2:F$746,"DESLOCAMENTO VAZIO"),0)</f>
        <v>0.89027777777777772</v>
      </c>
      <c r="E177" s="10">
        <f>IFERROR(SUMIFS('Base bordo'!G$2:G$746,'Base bordo'!C$2:C$746,A177,'Base bordo'!B$2:B$746,B177,'Base bordo'!F$2:F$746,"DESLOCAMENTO CARREGADO"),0)</f>
        <v>0</v>
      </c>
      <c r="F177" s="10">
        <f>IFERROR(SUMIFS('Base bordo'!G$2:G$746,'Base bordo'!C$2:C$746,A177,'Base bordo'!B$2:B$746,B177,'Base bordo'!F$2:F$746,"DESLOCAMENTO"),0)</f>
        <v>0.19472222222222221</v>
      </c>
      <c r="G177" s="10">
        <f>IFERROR(SUMIFS('Base bordo'!G$2:G$746,'Base bordo'!C$2:C$746,A177,'Base bordo'!B$2:B$746,B177,'Base bordo'!F$2:F$746,"CARREGAMENTO"),0)</f>
        <v>0</v>
      </c>
      <c r="H177" s="10">
        <f>IFERROR(SUMIFS('Base bordo'!G$2:G$746,'Base bordo'!C$2:C$746,A177,'Base bordo'!B$2:B$746,B177,'Base bordo'!F$2:F$746,"AGUARDANDO TRANSBORDO"),0)</f>
        <v>0</v>
      </c>
      <c r="I177" s="10">
        <f>IFERROR(SUMIFS('Base bordo'!G$2:G$746,'Base bordo'!C$2:C$746,A177,'Base bordo'!B$2:B$746,B177,'Base bordo'!F$2:F$746,"PÁTIO INTERNO"),0)+IFERROR(SUMIFS('Base bordo'!G$2:G$746,'Base bordo'!C$2:C$746,A177,'Base bordo'!B$2:B$746,B177,'Base bordo'!F$2:F$746,"PÁTIO EXTERNO"),0)+IFERROR(SUMIFS('Base bordo'!G$2:G$746,'Base bordo'!C$2:C$746,A177,'Base bordo'!B$2:B$746,B177,'Base bordo'!F$2:F$746,"PATIO - RESERVA"),0)+IFERROR(SUMIFS('Base bordo'!G$2:G$746,'Base bordo'!C$2:C$746,A177,'Base bordo'!B$2:B$746,B177,'Base bordo'!F$2:F$746,"MANOBRA CARRETAS-PATIO"),0)</f>
        <v>0</v>
      </c>
      <c r="J177" s="10">
        <f>IFERROR(SUMIFS('Base bordo'!G$2:G$746,'Base bordo'!C$2:C$746,A177,'Base bordo'!B$2:B$746,B177,'Base bordo'!F$2:F$746,"BALANÇA - ENTRADA"),0)+IFERROR(SUMIFS('Base bordo'!G$2:G$746,'Base bordo'!C$2:C$746,A177,'Base bordo'!B$2:B$746,B177,'Base bordo'!F$2:F$746,"BALANÇA - SAÍDA"),0)</f>
        <v>0</v>
      </c>
      <c r="K177" s="10">
        <f>IFERROR(SUMIFS('Base bordo'!G$2:G$746,'Base bordo'!C$2:C$746,A177,'Base bordo'!B$2:B$746,B177,'Base bordo'!F$2:F$746,"MAN PREVENTIVA - MECANICA"),0)+IFERROR(SUMIFS('Base bordo'!G$2:G$746,'Base bordo'!C$2:C$746,A177,'Base bordo'!B$2:B$746,B177,'Base bordo'!F$2:F$746,"MAN CORRETIVA - MECANICA"),0)</f>
        <v>0</v>
      </c>
      <c r="L177" s="10">
        <f>IFERROR(SUMIFS('Base bordo'!G$2:G$746,'Base bordo'!C$2:C$746,A177,'Base bordo'!B$2:B$746,B177,'Base bordo'!F$2:F$746,"MANUTENCAO - T O"),0)+IFERROR(SUMIFS('Base bordo'!G$2:G$746,'Base bordo'!C$2:C$746,A177,'Base bordo'!B$2:B$746,B177,'Base bordo'!F$2:F$746,"MANUTENCAO BORRACHARIA"),0)+IFERROR(SUMIFS('Base bordo'!G$2:G$746,'Base bordo'!C$2:C$746,A177,'Base bordo'!B$2:B$746,B177,'Base bordo'!F$2:F$746,"MANUTENCAO EXTERNA  CONCESSIONARIA"),0)+IFERROR(SUMIFS('Base bordo'!G$2:G$746,'Base bordo'!C$2:C$746,A177,'Base bordo'!B$2:B$746,B177,'Base bordo'!F$2:F$746,"MANUTENCAO TELEMETRIA"),0)</f>
        <v>22.465277777777779</v>
      </c>
      <c r="M177" s="10">
        <f>IFERROR(SUMIFS('Base bordo'!G$2:G$746,'Base bordo'!C$2:C$746,A177,'Base bordo'!B$2:B$746,B177,'Base bordo'!F$2:F$746,"AGUARDANDO MANUTENCAO"),0)</f>
        <v>0</v>
      </c>
      <c r="N177" s="10">
        <f>IFERROR(SUMIFS('Base bordo'!G$2:G$746,'Base bordo'!C$2:C$746,A177,'Base bordo'!B$2:B$746,B177,'Base bordo'!F$2:F$746,"SEM APONTAMENTO"),0)</f>
        <v>0</v>
      </c>
      <c r="O177" s="10">
        <f t="shared" si="24"/>
        <v>0.44972222222222058</v>
      </c>
      <c r="P177" s="10">
        <f>IFERROR(SUMIFS('Base bordo'!G$2:G$746,'Base bordo'!C$2:C$746,A177,'Base bordo'!B$2:B$746,B177),0)</f>
        <v>24</v>
      </c>
      <c r="Q177" s="10">
        <f>IFERROR(SUMIFS('Base bordo'!H$2:H$746,'Base bordo'!C$2:C$746,A177,'Base bordo'!B$2:B$746,B177,'Base bordo'!F$2:F$746,"DESLOCAMENTO VAZIO"),0)</f>
        <v>94654.959999999992</v>
      </c>
      <c r="R177" s="10">
        <f>IFERROR(SUMIFS('Base bordo'!I$2:I$746,'Base bordo'!C$2:C$746,A177,'Base bordo'!B$2:B$746,B177,'Base bordo'!F$2:F$746,"DESLOCAMENTO VAZIO"),0)</f>
        <v>3205</v>
      </c>
      <c r="S177" s="30">
        <f t="shared" si="25"/>
        <v>29.533528861154444</v>
      </c>
      <c r="T177" s="10">
        <f>IFERROR(SUMIFS('Base bordo'!H$2:H$746,'Base bordo'!C$2:C$746,A177,'Base bordo'!B$2:B$746,B177,'Base bordo'!F$2:F$746,"DESLOCAMENTO CARREGADO"),0)</f>
        <v>0</v>
      </c>
      <c r="U177" s="10">
        <f>IFERROR(SUMIFS('Base bordo'!I$2:I$746,'Base bordo'!C$2:C$746,A177,'Base bordo'!B$2:B$746,B177,'Base bordo'!F$2:F$746,"DESLOCAMENTO CARREGADO"),0)</f>
        <v>0</v>
      </c>
      <c r="V177" s="30" t="str">
        <f t="shared" si="26"/>
        <v/>
      </c>
      <c r="W177" s="9">
        <f t="shared" si="27"/>
        <v>3.7094907407407403E-2</v>
      </c>
      <c r="X177" s="9">
        <f t="shared" si="28"/>
        <v>0</v>
      </c>
      <c r="Y177" s="9">
        <f t="shared" si="29"/>
        <v>0.9629050925925926</v>
      </c>
    </row>
    <row r="178" spans="1:25" ht="15" customHeight="1" x14ac:dyDescent="0.35">
      <c r="A178" s="52">
        <v>8013462</v>
      </c>
      <c r="B178" s="51">
        <v>46124</v>
      </c>
      <c r="C178" s="7" t="s">
        <v>124</v>
      </c>
      <c r="D178" s="10">
        <f>IFERROR(SUMIFS('Base bordo'!G$2:G$746,'Base bordo'!C$2:C$746,A178,'Base bordo'!B$2:B$746,B178,'Base bordo'!F$2:F$746,"DESLOCAMENTO VAZIO"),0)</f>
        <v>2.6541666666666668</v>
      </c>
      <c r="E178" s="10">
        <f>IFERROR(SUMIFS('Base bordo'!G$2:G$746,'Base bordo'!C$2:C$746,A178,'Base bordo'!B$2:B$746,B178,'Base bordo'!F$2:F$746,"DESLOCAMENTO CARREGADO"),0)</f>
        <v>2.0155555555555558</v>
      </c>
      <c r="F178" s="10">
        <f>IFERROR(SUMIFS('Base bordo'!G$2:G$746,'Base bordo'!C$2:C$746,A178,'Base bordo'!B$2:B$746,B178,'Base bordo'!F$2:F$746,"DESLOCAMENTO"),0)</f>
        <v>0</v>
      </c>
      <c r="G178" s="10">
        <f>IFERROR(SUMIFS('Base bordo'!G$2:G$746,'Base bordo'!C$2:C$746,A178,'Base bordo'!B$2:B$746,B178,'Base bordo'!F$2:F$746,"CARREGAMENTO"),0)</f>
        <v>0</v>
      </c>
      <c r="H178" s="10">
        <f>IFERROR(SUMIFS('Base bordo'!G$2:G$746,'Base bordo'!C$2:C$746,A178,'Base bordo'!B$2:B$746,B178,'Base bordo'!F$2:F$746,"AGUARDANDO TRANSBORDO"),0)</f>
        <v>0.33611111111111114</v>
      </c>
      <c r="I178" s="10">
        <f>IFERROR(SUMIFS('Base bordo'!G$2:G$746,'Base bordo'!C$2:C$746,A178,'Base bordo'!B$2:B$746,B178,'Base bordo'!F$2:F$746,"PÁTIO INTERNO"),0)+IFERROR(SUMIFS('Base bordo'!G$2:G$746,'Base bordo'!C$2:C$746,A178,'Base bordo'!B$2:B$746,B178,'Base bordo'!F$2:F$746,"PÁTIO EXTERNO"),0)+IFERROR(SUMIFS('Base bordo'!G$2:G$746,'Base bordo'!C$2:C$746,A178,'Base bordo'!B$2:B$746,B178,'Base bordo'!F$2:F$746,"PATIO - RESERVA"),0)+IFERROR(SUMIFS('Base bordo'!G$2:G$746,'Base bordo'!C$2:C$746,A178,'Base bordo'!B$2:B$746,B178,'Base bordo'!F$2:F$746,"MANOBRA CARRETAS-PATIO"),0)</f>
        <v>10.451944444444445</v>
      </c>
      <c r="J178" s="10">
        <f>IFERROR(SUMIFS('Base bordo'!G$2:G$746,'Base bordo'!C$2:C$746,A178,'Base bordo'!B$2:B$746,B178,'Base bordo'!F$2:F$746,"BALANÇA - ENTRADA"),0)+IFERROR(SUMIFS('Base bordo'!G$2:G$746,'Base bordo'!C$2:C$746,A178,'Base bordo'!B$2:B$746,B178,'Base bordo'!F$2:F$746,"BALANÇA - SAÍDA"),0)</f>
        <v>0.15138888888888888</v>
      </c>
      <c r="K178" s="10">
        <f>IFERROR(SUMIFS('Base bordo'!G$2:G$746,'Base bordo'!C$2:C$746,A178,'Base bordo'!B$2:B$746,B178,'Base bordo'!F$2:F$746,"MAN PREVENTIVA - MECANICA"),0)+IFERROR(SUMIFS('Base bordo'!G$2:G$746,'Base bordo'!C$2:C$746,A178,'Base bordo'!B$2:B$746,B178,'Base bordo'!F$2:F$746,"MAN CORRETIVA - MECANICA"),0)</f>
        <v>0</v>
      </c>
      <c r="L178" s="10">
        <f>IFERROR(SUMIFS('Base bordo'!G$2:G$746,'Base bordo'!C$2:C$746,A178,'Base bordo'!B$2:B$746,B178,'Base bordo'!F$2:F$746,"MANUTENCAO - T O"),0)+IFERROR(SUMIFS('Base bordo'!G$2:G$746,'Base bordo'!C$2:C$746,A178,'Base bordo'!B$2:B$746,B178,'Base bordo'!F$2:F$746,"MANUTENCAO BORRACHARIA"),0)+IFERROR(SUMIFS('Base bordo'!G$2:G$746,'Base bordo'!C$2:C$746,A178,'Base bordo'!B$2:B$746,B178,'Base bordo'!F$2:F$746,"MANUTENCAO EXTERNA  CONCESSIONARIA"),0)+IFERROR(SUMIFS('Base bordo'!G$2:G$746,'Base bordo'!C$2:C$746,A178,'Base bordo'!B$2:B$746,B178,'Base bordo'!F$2:F$746,"MANUTENCAO TELEMETRIA"),0)</f>
        <v>0</v>
      </c>
      <c r="M178" s="10">
        <f>IFERROR(SUMIFS('Base bordo'!G$2:G$746,'Base bordo'!C$2:C$746,A178,'Base bordo'!B$2:B$746,B178,'Base bordo'!F$2:F$746,"AGUARDANDO MANUTENCAO"),0)</f>
        <v>0</v>
      </c>
      <c r="N178" s="10">
        <f>IFERROR(SUMIFS('Base bordo'!G$2:G$746,'Base bordo'!C$2:C$746,A178,'Base bordo'!B$2:B$746,B178,'Base bordo'!F$2:F$746,"SEM APONTAMENTO"),0)</f>
        <v>0</v>
      </c>
      <c r="O178" s="10">
        <f t="shared" si="24"/>
        <v>0</v>
      </c>
      <c r="P178" s="10">
        <f>IFERROR(SUMIFS('Base bordo'!G$2:G$746,'Base bordo'!C$2:C$746,A178,'Base bordo'!B$2:B$746,B178),0)</f>
        <v>15.609166666666667</v>
      </c>
      <c r="Q178" s="10">
        <f>IFERROR(SUMIFS('Base bordo'!H$2:H$746,'Base bordo'!C$2:C$746,A178,'Base bordo'!B$2:B$746,B178,'Base bordo'!F$2:F$746,"DESLOCAMENTO VAZIO"),0)</f>
        <v>401876.54000000004</v>
      </c>
      <c r="R178" s="10">
        <f>IFERROR(SUMIFS('Base bordo'!I$2:I$746,'Base bordo'!C$2:C$746,A178,'Base bordo'!B$2:B$746,B178,'Base bordo'!F$2:F$746,"DESLOCAMENTO VAZIO"),0)</f>
        <v>9555</v>
      </c>
      <c r="S178" s="30">
        <f t="shared" si="25"/>
        <v>42.05929251700681</v>
      </c>
      <c r="T178" s="10">
        <f>IFERROR(SUMIFS('Base bordo'!H$2:H$746,'Base bordo'!C$2:C$746,A178,'Base bordo'!B$2:B$746,B178,'Base bordo'!F$2:F$746,"DESLOCAMENTO CARREGADO"),0)</f>
        <v>198098.78999999998</v>
      </c>
      <c r="U178" s="10">
        <f>IFERROR(SUMIFS('Base bordo'!I$2:I$746,'Base bordo'!C$2:C$746,A178,'Base bordo'!B$2:B$746,B178,'Base bordo'!F$2:F$746,"DESLOCAMENTO CARREGADO"),0)</f>
        <v>7256</v>
      </c>
      <c r="V178" s="30">
        <f t="shared" si="26"/>
        <v>27.301376791620726</v>
      </c>
      <c r="W178" s="9">
        <f t="shared" si="27"/>
        <v>0.1700389728257968</v>
      </c>
      <c r="X178" s="9">
        <f t="shared" si="28"/>
        <v>0.12912640364458208</v>
      </c>
      <c r="Y178" s="9">
        <f t="shared" si="29"/>
        <v>0.700834623529621</v>
      </c>
    </row>
    <row r="179" spans="1:25" ht="15" customHeight="1" x14ac:dyDescent="0.35">
      <c r="A179" s="52">
        <v>8013484</v>
      </c>
      <c r="B179" s="51">
        <v>46124</v>
      </c>
      <c r="C179" s="7" t="s">
        <v>124</v>
      </c>
      <c r="D179" s="10">
        <f>IFERROR(SUMIFS('Base bordo'!G$2:G$746,'Base bordo'!C$2:C$746,A179,'Base bordo'!B$2:B$746,B179,'Base bordo'!F$2:F$746,"DESLOCAMENTO VAZIO"),0)</f>
        <v>2.078611111111111</v>
      </c>
      <c r="E179" s="10">
        <f>IFERROR(SUMIFS('Base bordo'!G$2:G$746,'Base bordo'!C$2:C$746,A179,'Base bordo'!B$2:B$746,B179,'Base bordo'!F$2:F$746,"DESLOCAMENTO CARREGADO"),0)</f>
        <v>2.0197222222222222</v>
      </c>
      <c r="F179" s="10">
        <f>IFERROR(SUMIFS('Base bordo'!G$2:G$746,'Base bordo'!C$2:C$746,A179,'Base bordo'!B$2:B$746,B179,'Base bordo'!F$2:F$746,"DESLOCAMENTO"),0)</f>
        <v>0.28999999999999998</v>
      </c>
      <c r="G179" s="10">
        <f>IFERROR(SUMIFS('Base bordo'!G$2:G$746,'Base bordo'!C$2:C$746,A179,'Base bordo'!B$2:B$746,B179,'Base bordo'!F$2:F$746,"CARREGAMENTO"),0)</f>
        <v>0</v>
      </c>
      <c r="H179" s="10">
        <f>IFERROR(SUMIFS('Base bordo'!G$2:G$746,'Base bordo'!C$2:C$746,A179,'Base bordo'!B$2:B$746,B179,'Base bordo'!F$2:F$746,"AGUARDANDO TRANSBORDO"),0)</f>
        <v>0.16944444444444445</v>
      </c>
      <c r="I179" s="10">
        <f>IFERROR(SUMIFS('Base bordo'!G$2:G$746,'Base bordo'!C$2:C$746,A179,'Base bordo'!B$2:B$746,B179,'Base bordo'!F$2:F$746,"PÁTIO INTERNO"),0)+IFERROR(SUMIFS('Base bordo'!G$2:G$746,'Base bordo'!C$2:C$746,A179,'Base bordo'!B$2:B$746,B179,'Base bordo'!F$2:F$746,"PÁTIO EXTERNO"),0)+IFERROR(SUMIFS('Base bordo'!G$2:G$746,'Base bordo'!C$2:C$746,A179,'Base bordo'!B$2:B$746,B179,'Base bordo'!F$2:F$746,"PATIO - RESERVA"),0)+IFERROR(SUMIFS('Base bordo'!G$2:G$746,'Base bordo'!C$2:C$746,A179,'Base bordo'!B$2:B$746,B179,'Base bordo'!F$2:F$746,"MANOBRA CARRETAS-PATIO"),0)</f>
        <v>10.112499999999999</v>
      </c>
      <c r="J179" s="10">
        <f>IFERROR(SUMIFS('Base bordo'!G$2:G$746,'Base bordo'!C$2:C$746,A179,'Base bordo'!B$2:B$746,B179,'Base bordo'!F$2:F$746,"BALANÇA - ENTRADA"),0)+IFERROR(SUMIFS('Base bordo'!G$2:G$746,'Base bordo'!C$2:C$746,A179,'Base bordo'!B$2:B$746,B179,'Base bordo'!F$2:F$746,"BALANÇA - SAÍDA"),0)</f>
        <v>0.13666666666666666</v>
      </c>
      <c r="K179" s="10">
        <f>IFERROR(SUMIFS('Base bordo'!G$2:G$746,'Base bordo'!C$2:C$746,A179,'Base bordo'!B$2:B$746,B179,'Base bordo'!F$2:F$746,"MAN PREVENTIVA - MECANICA"),0)+IFERROR(SUMIFS('Base bordo'!G$2:G$746,'Base bordo'!C$2:C$746,A179,'Base bordo'!B$2:B$746,B179,'Base bordo'!F$2:F$746,"MAN CORRETIVA - MECANICA"),0)</f>
        <v>0</v>
      </c>
      <c r="L179" s="10">
        <f>IFERROR(SUMIFS('Base bordo'!G$2:G$746,'Base bordo'!C$2:C$746,A179,'Base bordo'!B$2:B$746,B179,'Base bordo'!F$2:F$746,"MANUTENCAO - T O"),0)+IFERROR(SUMIFS('Base bordo'!G$2:G$746,'Base bordo'!C$2:C$746,A179,'Base bordo'!B$2:B$746,B179,'Base bordo'!F$2:F$746,"MANUTENCAO BORRACHARIA"),0)+IFERROR(SUMIFS('Base bordo'!G$2:G$746,'Base bordo'!C$2:C$746,A179,'Base bordo'!B$2:B$746,B179,'Base bordo'!F$2:F$746,"MANUTENCAO EXTERNA  CONCESSIONARIA"),0)+IFERROR(SUMIFS('Base bordo'!G$2:G$746,'Base bordo'!C$2:C$746,A179,'Base bordo'!B$2:B$746,B179,'Base bordo'!F$2:F$746,"MANUTENCAO TELEMETRIA"),0)</f>
        <v>0.28944444444444445</v>
      </c>
      <c r="M179" s="10">
        <f>IFERROR(SUMIFS('Base bordo'!G$2:G$746,'Base bordo'!C$2:C$746,A179,'Base bordo'!B$2:B$746,B179,'Base bordo'!F$2:F$746,"AGUARDANDO MANUTENCAO"),0)</f>
        <v>0</v>
      </c>
      <c r="N179" s="10">
        <f>IFERROR(SUMIFS('Base bordo'!G$2:G$746,'Base bordo'!C$2:C$746,A179,'Base bordo'!B$2:B$746,B179,'Base bordo'!F$2:F$746,"SEM APONTAMENTO"),0)</f>
        <v>0</v>
      </c>
      <c r="O179" s="10">
        <f t="shared" si="24"/>
        <v>0</v>
      </c>
      <c r="P179" s="10">
        <f>IFERROR(SUMIFS('Base bordo'!G$2:G$746,'Base bordo'!C$2:C$746,A179,'Base bordo'!B$2:B$746,B179),0)</f>
        <v>15.096388888888889</v>
      </c>
      <c r="Q179" s="10">
        <f>IFERROR(SUMIFS('Base bordo'!H$2:H$746,'Base bordo'!C$2:C$746,A179,'Base bordo'!B$2:B$746,B179,'Base bordo'!F$2:F$746,"DESLOCAMENTO VAZIO"),0)</f>
        <v>217205.70999999996</v>
      </c>
      <c r="R179" s="10">
        <f>IFERROR(SUMIFS('Base bordo'!I$2:I$746,'Base bordo'!C$2:C$746,A179,'Base bordo'!B$2:B$746,B179,'Base bordo'!F$2:F$746,"DESLOCAMENTO VAZIO"),0)</f>
        <v>7483</v>
      </c>
      <c r="S179" s="30">
        <f t="shared" si="25"/>
        <v>29.026554857677397</v>
      </c>
      <c r="T179" s="10">
        <f>IFERROR(SUMIFS('Base bordo'!H$2:H$746,'Base bordo'!C$2:C$746,A179,'Base bordo'!B$2:B$746,B179,'Base bordo'!F$2:F$746,"DESLOCAMENTO CARREGADO"),0)</f>
        <v>176129.33000000002</v>
      </c>
      <c r="U179" s="10">
        <f>IFERROR(SUMIFS('Base bordo'!I$2:I$746,'Base bordo'!C$2:C$746,A179,'Base bordo'!B$2:B$746,B179,'Base bordo'!F$2:F$746,"DESLOCAMENTO CARREGADO"),0)</f>
        <v>7271</v>
      </c>
      <c r="V179" s="30">
        <f t="shared" si="26"/>
        <v>24.22353596479164</v>
      </c>
      <c r="W179" s="9">
        <f t="shared" si="27"/>
        <v>0.13768929287725173</v>
      </c>
      <c r="X179" s="9">
        <f t="shared" si="28"/>
        <v>0.13378843358419049</v>
      </c>
      <c r="Y179" s="9">
        <f t="shared" si="29"/>
        <v>0.72852227353855781</v>
      </c>
    </row>
    <row r="180" spans="1:25" ht="15" customHeight="1" x14ac:dyDescent="0.35">
      <c r="A180" s="52">
        <v>8013470</v>
      </c>
      <c r="B180" s="51">
        <v>46124</v>
      </c>
      <c r="C180" s="7" t="s">
        <v>124</v>
      </c>
      <c r="D180" s="10">
        <f>IFERROR(SUMIFS('Base bordo'!G$2:G$746,'Base bordo'!C$2:C$746,A180,'Base bordo'!B$2:B$746,B180,'Base bordo'!F$2:F$746,"DESLOCAMENTO VAZIO"),0)</f>
        <v>2.2769444444444447</v>
      </c>
      <c r="E180" s="10">
        <f>IFERROR(SUMIFS('Base bordo'!G$2:G$746,'Base bordo'!C$2:C$746,A180,'Base bordo'!B$2:B$746,B180,'Base bordo'!F$2:F$746,"DESLOCAMENTO CARREGADO"),0)</f>
        <v>6.3111111111111109</v>
      </c>
      <c r="F180" s="10">
        <f>IFERROR(SUMIFS('Base bordo'!G$2:G$746,'Base bordo'!C$2:C$746,A180,'Base bordo'!B$2:B$746,B180,'Base bordo'!F$2:F$746,"DESLOCAMENTO"),0)</f>
        <v>0</v>
      </c>
      <c r="G180" s="10">
        <f>IFERROR(SUMIFS('Base bordo'!G$2:G$746,'Base bordo'!C$2:C$746,A180,'Base bordo'!B$2:B$746,B180,'Base bordo'!F$2:F$746,"CARREGAMENTO"),0)</f>
        <v>0</v>
      </c>
      <c r="H180" s="10">
        <f>IFERROR(SUMIFS('Base bordo'!G$2:G$746,'Base bordo'!C$2:C$746,A180,'Base bordo'!B$2:B$746,B180,'Base bordo'!F$2:F$746,"AGUARDANDO TRANSBORDO"),0)</f>
        <v>0.24416666666666667</v>
      </c>
      <c r="I180" s="10">
        <f>IFERROR(SUMIFS('Base bordo'!G$2:G$746,'Base bordo'!C$2:C$746,A180,'Base bordo'!B$2:B$746,B180,'Base bordo'!F$2:F$746,"PÁTIO INTERNO"),0)+IFERROR(SUMIFS('Base bordo'!G$2:G$746,'Base bordo'!C$2:C$746,A180,'Base bordo'!B$2:B$746,B180,'Base bordo'!F$2:F$746,"PÁTIO EXTERNO"),0)+IFERROR(SUMIFS('Base bordo'!G$2:G$746,'Base bordo'!C$2:C$746,A180,'Base bordo'!B$2:B$746,B180,'Base bordo'!F$2:F$746,"PATIO - RESERVA"),0)+IFERROR(SUMIFS('Base bordo'!G$2:G$746,'Base bordo'!C$2:C$746,A180,'Base bordo'!B$2:B$746,B180,'Base bordo'!F$2:F$746,"MANOBRA CARRETAS-PATIO"),0)</f>
        <v>3.2016666666666667</v>
      </c>
      <c r="J180" s="10">
        <f>IFERROR(SUMIFS('Base bordo'!G$2:G$746,'Base bordo'!C$2:C$746,A180,'Base bordo'!B$2:B$746,B180,'Base bordo'!F$2:F$746,"BALANÇA - ENTRADA"),0)+IFERROR(SUMIFS('Base bordo'!G$2:G$746,'Base bordo'!C$2:C$746,A180,'Base bordo'!B$2:B$746,B180,'Base bordo'!F$2:F$746,"BALANÇA - SAÍDA"),0)</f>
        <v>0.21722222222222221</v>
      </c>
      <c r="K180" s="10">
        <f>IFERROR(SUMIFS('Base bordo'!G$2:G$746,'Base bordo'!C$2:C$746,A180,'Base bordo'!B$2:B$746,B180,'Base bordo'!F$2:F$746,"MAN PREVENTIVA - MECANICA"),0)+IFERROR(SUMIFS('Base bordo'!G$2:G$746,'Base bordo'!C$2:C$746,A180,'Base bordo'!B$2:B$746,B180,'Base bordo'!F$2:F$746,"MAN CORRETIVA - MECANICA"),0)</f>
        <v>0</v>
      </c>
      <c r="L180" s="10">
        <f>IFERROR(SUMIFS('Base bordo'!G$2:G$746,'Base bordo'!C$2:C$746,A180,'Base bordo'!B$2:B$746,B180,'Base bordo'!F$2:F$746,"MANUTENCAO - T O"),0)+IFERROR(SUMIFS('Base bordo'!G$2:G$746,'Base bordo'!C$2:C$746,A180,'Base bordo'!B$2:B$746,B180,'Base bordo'!F$2:F$746,"MANUTENCAO BORRACHARIA"),0)+IFERROR(SUMIFS('Base bordo'!G$2:G$746,'Base bordo'!C$2:C$746,A180,'Base bordo'!B$2:B$746,B180,'Base bordo'!F$2:F$746,"MANUTENCAO EXTERNA  CONCESSIONARIA"),0)+IFERROR(SUMIFS('Base bordo'!G$2:G$746,'Base bordo'!C$2:C$746,A180,'Base bordo'!B$2:B$746,B180,'Base bordo'!F$2:F$746,"MANUTENCAO TELEMETRIA"),0)</f>
        <v>0</v>
      </c>
      <c r="M180" s="10">
        <f>IFERROR(SUMIFS('Base bordo'!G$2:G$746,'Base bordo'!C$2:C$746,A180,'Base bordo'!B$2:B$746,B180,'Base bordo'!F$2:F$746,"AGUARDANDO MANUTENCAO"),0)</f>
        <v>0</v>
      </c>
      <c r="N180" s="10">
        <f>IFERROR(SUMIFS('Base bordo'!G$2:G$746,'Base bordo'!C$2:C$746,A180,'Base bordo'!B$2:B$746,B180,'Base bordo'!F$2:F$746,"SEM APONTAMENTO"),0)</f>
        <v>0</v>
      </c>
      <c r="O180" s="10">
        <f t="shared" si="24"/>
        <v>6.3333333333332575E-2</v>
      </c>
      <c r="P180" s="10">
        <f>IFERROR(SUMIFS('Base bordo'!G$2:G$746,'Base bordo'!C$2:C$746,A180,'Base bordo'!B$2:B$746,B180),0)</f>
        <v>12.314444444444444</v>
      </c>
      <c r="Q180" s="10">
        <f>IFERROR(SUMIFS('Base bordo'!H$2:H$746,'Base bordo'!C$2:C$746,A180,'Base bordo'!B$2:B$746,B180,'Base bordo'!F$2:F$746,"DESLOCAMENTO VAZIO"),0)</f>
        <v>282969.98000000004</v>
      </c>
      <c r="R180" s="10">
        <f>IFERROR(SUMIFS('Base bordo'!I$2:I$746,'Base bordo'!C$2:C$746,A180,'Base bordo'!B$2:B$746,B180,'Base bordo'!F$2:F$746,"DESLOCAMENTO VAZIO"),0)</f>
        <v>8186</v>
      </c>
      <c r="S180" s="30">
        <f t="shared" si="25"/>
        <v>34.567551917908631</v>
      </c>
      <c r="T180" s="10">
        <f>IFERROR(SUMIFS('Base bordo'!H$2:H$746,'Base bordo'!C$2:C$746,A180,'Base bordo'!B$2:B$746,B180,'Base bordo'!F$2:F$746,"DESLOCAMENTO CARREGADO"),0)</f>
        <v>649243.22</v>
      </c>
      <c r="U180" s="10">
        <f>IFERROR(SUMIFS('Base bordo'!I$2:I$746,'Base bordo'!C$2:C$746,A180,'Base bordo'!B$2:B$746,B180,'Base bordo'!F$2:F$746,"DESLOCAMENTO CARREGADO"),0)</f>
        <v>22720</v>
      </c>
      <c r="V180" s="30">
        <f t="shared" si="26"/>
        <v>28.575845950704224</v>
      </c>
      <c r="W180" s="9">
        <f t="shared" si="27"/>
        <v>0.18490029775331593</v>
      </c>
      <c r="X180" s="9">
        <f t="shared" si="28"/>
        <v>0.51249661643959221</v>
      </c>
      <c r="Y180" s="9">
        <f t="shared" si="29"/>
        <v>0.30260308580709183</v>
      </c>
    </row>
    <row r="181" spans="1:25" ht="15" customHeight="1" x14ac:dyDescent="0.35">
      <c r="A181" s="52">
        <v>8013485</v>
      </c>
      <c r="B181" s="51">
        <v>46123</v>
      </c>
      <c r="C181" s="7" t="s">
        <v>124</v>
      </c>
      <c r="D181" s="10">
        <f>IFERROR(SUMIFS('Base bordo'!G$2:G$746,'Base bordo'!C$2:C$746,A181,'Base bordo'!B$2:B$746,B181,'Base bordo'!F$2:F$746,"DESLOCAMENTO VAZIO"),0)</f>
        <v>1.8255555555555556</v>
      </c>
      <c r="E181" s="10">
        <f>IFERROR(SUMIFS('Base bordo'!G$2:G$746,'Base bordo'!C$2:C$746,A181,'Base bordo'!B$2:B$746,B181,'Base bordo'!F$2:F$746,"DESLOCAMENTO CARREGADO"),0)</f>
        <v>2.5369444444444444</v>
      </c>
      <c r="F181" s="10">
        <f>IFERROR(SUMIFS('Base bordo'!G$2:G$746,'Base bordo'!C$2:C$746,A181,'Base bordo'!B$2:B$746,B181,'Base bordo'!F$2:F$746,"DESLOCAMENTO"),0)</f>
        <v>0.6694444444444444</v>
      </c>
      <c r="G181" s="10">
        <f>IFERROR(SUMIFS('Base bordo'!G$2:G$746,'Base bordo'!C$2:C$746,A181,'Base bordo'!B$2:B$746,B181,'Base bordo'!F$2:F$746,"CARREGAMENTO"),0)</f>
        <v>0</v>
      </c>
      <c r="H181" s="10">
        <f>IFERROR(SUMIFS('Base bordo'!G$2:G$746,'Base bordo'!C$2:C$746,A181,'Base bordo'!B$2:B$746,B181,'Base bordo'!F$2:F$746,"AGUARDANDO TRANSBORDO"),0)</f>
        <v>0.45916666666666667</v>
      </c>
      <c r="I181" s="10">
        <f>IFERROR(SUMIFS('Base bordo'!G$2:G$746,'Base bordo'!C$2:C$746,A181,'Base bordo'!B$2:B$746,B181,'Base bordo'!F$2:F$746,"PÁTIO INTERNO"),0)+IFERROR(SUMIFS('Base bordo'!G$2:G$746,'Base bordo'!C$2:C$746,A181,'Base bordo'!B$2:B$746,B181,'Base bordo'!F$2:F$746,"PÁTIO EXTERNO"),0)+IFERROR(SUMIFS('Base bordo'!G$2:G$746,'Base bordo'!C$2:C$746,A181,'Base bordo'!B$2:B$746,B181,'Base bordo'!F$2:F$746,"PATIO - RESERVA"),0)+IFERROR(SUMIFS('Base bordo'!G$2:G$746,'Base bordo'!C$2:C$746,A181,'Base bordo'!B$2:B$746,B181,'Base bordo'!F$2:F$746,"MANOBRA CARRETAS-PATIO"),0)</f>
        <v>4.2497222222222222</v>
      </c>
      <c r="J181" s="10">
        <f>IFERROR(SUMIFS('Base bordo'!G$2:G$746,'Base bordo'!C$2:C$746,A181,'Base bordo'!B$2:B$746,B181,'Base bordo'!F$2:F$746,"BALANÇA - ENTRADA"),0)+IFERROR(SUMIFS('Base bordo'!G$2:G$746,'Base bordo'!C$2:C$746,A181,'Base bordo'!B$2:B$746,B181,'Base bordo'!F$2:F$746,"BALANÇA - SAÍDA"),0)</f>
        <v>0</v>
      </c>
      <c r="K181" s="10">
        <f>IFERROR(SUMIFS('Base bordo'!G$2:G$746,'Base bordo'!C$2:C$746,A181,'Base bordo'!B$2:B$746,B181,'Base bordo'!F$2:F$746,"MAN PREVENTIVA - MECANICA"),0)+IFERROR(SUMIFS('Base bordo'!G$2:G$746,'Base bordo'!C$2:C$746,A181,'Base bordo'!B$2:B$746,B181,'Base bordo'!F$2:F$746,"MAN CORRETIVA - MECANICA"),0)</f>
        <v>0</v>
      </c>
      <c r="L181" s="10">
        <f>IFERROR(SUMIFS('Base bordo'!G$2:G$746,'Base bordo'!C$2:C$746,A181,'Base bordo'!B$2:B$746,B181,'Base bordo'!F$2:F$746,"MANUTENCAO - T O"),0)+IFERROR(SUMIFS('Base bordo'!G$2:G$746,'Base bordo'!C$2:C$746,A181,'Base bordo'!B$2:B$746,B181,'Base bordo'!F$2:F$746,"MANUTENCAO BORRACHARIA"),0)+IFERROR(SUMIFS('Base bordo'!G$2:G$746,'Base bordo'!C$2:C$746,A181,'Base bordo'!B$2:B$746,B181,'Base bordo'!F$2:F$746,"MANUTENCAO EXTERNA  CONCESSIONARIA"),0)+IFERROR(SUMIFS('Base bordo'!G$2:G$746,'Base bordo'!C$2:C$746,A181,'Base bordo'!B$2:B$746,B181,'Base bordo'!F$2:F$746,"MANUTENCAO TELEMETRIA"),0)</f>
        <v>0</v>
      </c>
      <c r="M181" s="10">
        <f>IFERROR(SUMIFS('Base bordo'!G$2:G$746,'Base bordo'!C$2:C$746,A181,'Base bordo'!B$2:B$746,B181,'Base bordo'!F$2:F$746,"AGUARDANDO MANUTENCAO"),0)</f>
        <v>0</v>
      </c>
      <c r="N181" s="10">
        <f>IFERROR(SUMIFS('Base bordo'!G$2:G$746,'Base bordo'!C$2:C$746,A181,'Base bordo'!B$2:B$746,B181,'Base bordo'!F$2:F$746,"SEM APONTAMENTO"),0)</f>
        <v>0</v>
      </c>
      <c r="O181" s="10">
        <f t="shared" si="24"/>
        <v>0.10194444444444528</v>
      </c>
      <c r="P181" s="10">
        <f>IFERROR(SUMIFS('Base bordo'!G$2:G$746,'Base bordo'!C$2:C$746,A181,'Base bordo'!B$2:B$746,B181),0)</f>
        <v>9.8427777777777781</v>
      </c>
      <c r="Q181" s="10">
        <f>IFERROR(SUMIFS('Base bordo'!H$2:H$746,'Base bordo'!C$2:C$746,A181,'Base bordo'!B$2:B$746,B181,'Base bordo'!F$2:F$746,"DESLOCAMENTO VAZIO"),0)</f>
        <v>203208.90000000002</v>
      </c>
      <c r="R181" s="10">
        <f>IFERROR(SUMIFS('Base bordo'!I$2:I$746,'Base bordo'!C$2:C$746,A181,'Base bordo'!B$2:B$746,B181,'Base bordo'!F$2:F$746,"DESLOCAMENTO VAZIO"),0)</f>
        <v>6572</v>
      </c>
      <c r="S181" s="30">
        <f t="shared" si="25"/>
        <v>30.920404747413272</v>
      </c>
      <c r="T181" s="10">
        <f>IFERROR(SUMIFS('Base bordo'!H$2:H$746,'Base bordo'!C$2:C$746,A181,'Base bordo'!B$2:B$746,B181,'Base bordo'!F$2:F$746,"DESLOCAMENTO CARREGADO"),0)</f>
        <v>202982.89</v>
      </c>
      <c r="U181" s="10">
        <f>IFERROR(SUMIFS('Base bordo'!I$2:I$746,'Base bordo'!C$2:C$746,A181,'Base bordo'!B$2:B$746,B181,'Base bordo'!F$2:F$746,"DESLOCAMENTO CARREGADO"),0)</f>
        <v>9133</v>
      </c>
      <c r="V181" s="30">
        <f t="shared" si="26"/>
        <v>22.225215153837734</v>
      </c>
      <c r="W181" s="9">
        <f t="shared" si="27"/>
        <v>0.18547158096743241</v>
      </c>
      <c r="X181" s="9">
        <f t="shared" si="28"/>
        <v>0.25774679686177115</v>
      </c>
      <c r="Y181" s="9">
        <f t="shared" si="29"/>
        <v>0.55678162217079641</v>
      </c>
    </row>
    <row r="182" spans="1:25" ht="15" customHeight="1" x14ac:dyDescent="0.35">
      <c r="A182" s="52">
        <v>8013475</v>
      </c>
      <c r="B182" s="51">
        <v>46117</v>
      </c>
      <c r="C182" s="7" t="s">
        <v>124</v>
      </c>
      <c r="D182" s="10">
        <f>IFERROR(SUMIFS('Base bordo'!G$2:G$746,'Base bordo'!C$2:C$746,A182,'Base bordo'!B$2:B$746,B182,'Base bordo'!F$2:F$746,"DESLOCAMENTO VAZIO"),0)</f>
        <v>1.4697222222222222</v>
      </c>
      <c r="E182" s="10">
        <f>IFERROR(SUMIFS('Base bordo'!G$2:G$746,'Base bordo'!C$2:C$746,A182,'Base bordo'!B$2:B$746,B182,'Base bordo'!F$2:F$746,"DESLOCAMENTO CARREGADO"),0)</f>
        <v>0</v>
      </c>
      <c r="F182" s="10">
        <f>IFERROR(SUMIFS('Base bordo'!G$2:G$746,'Base bordo'!C$2:C$746,A182,'Base bordo'!B$2:B$746,B182,'Base bordo'!F$2:F$746,"DESLOCAMENTO"),0)</f>
        <v>0.17444444444444446</v>
      </c>
      <c r="G182" s="10">
        <f>IFERROR(SUMIFS('Base bordo'!G$2:G$746,'Base bordo'!C$2:C$746,A182,'Base bordo'!B$2:B$746,B182,'Base bordo'!F$2:F$746,"CARREGAMENTO"),0)</f>
        <v>0</v>
      </c>
      <c r="H182" s="10">
        <f>IFERROR(SUMIFS('Base bordo'!G$2:G$746,'Base bordo'!C$2:C$746,A182,'Base bordo'!B$2:B$746,B182,'Base bordo'!F$2:F$746,"AGUARDANDO TRANSBORDO"),0)</f>
        <v>3.2597222222222224</v>
      </c>
      <c r="I182" s="10">
        <f>IFERROR(SUMIFS('Base bordo'!G$2:G$746,'Base bordo'!C$2:C$746,A182,'Base bordo'!B$2:B$746,B182,'Base bordo'!F$2:F$746,"PÁTIO INTERNO"),0)+IFERROR(SUMIFS('Base bordo'!G$2:G$746,'Base bordo'!C$2:C$746,A182,'Base bordo'!B$2:B$746,B182,'Base bordo'!F$2:F$746,"PÁTIO EXTERNO"),0)+IFERROR(SUMIFS('Base bordo'!G$2:G$746,'Base bordo'!C$2:C$746,A182,'Base bordo'!B$2:B$746,B182,'Base bordo'!F$2:F$746,"PATIO - RESERVA"),0)+IFERROR(SUMIFS('Base bordo'!G$2:G$746,'Base bordo'!C$2:C$746,A182,'Base bordo'!B$2:B$746,B182,'Base bordo'!F$2:F$746,"MANOBRA CARRETAS-PATIO"),0)</f>
        <v>0</v>
      </c>
      <c r="J182" s="10">
        <f>IFERROR(SUMIFS('Base bordo'!G$2:G$746,'Base bordo'!C$2:C$746,A182,'Base bordo'!B$2:B$746,B182,'Base bordo'!F$2:F$746,"BALANÇA - ENTRADA"),0)+IFERROR(SUMIFS('Base bordo'!G$2:G$746,'Base bordo'!C$2:C$746,A182,'Base bordo'!B$2:B$746,B182,'Base bordo'!F$2:F$746,"BALANÇA - SAÍDA"),0)</f>
        <v>0</v>
      </c>
      <c r="K182" s="10">
        <f>IFERROR(SUMIFS('Base bordo'!G$2:G$746,'Base bordo'!C$2:C$746,A182,'Base bordo'!B$2:B$746,B182,'Base bordo'!F$2:F$746,"MAN PREVENTIVA - MECANICA"),0)+IFERROR(SUMIFS('Base bordo'!G$2:G$746,'Base bordo'!C$2:C$746,A182,'Base bordo'!B$2:B$746,B182,'Base bordo'!F$2:F$746,"MAN CORRETIVA - MECANICA"),0)</f>
        <v>0</v>
      </c>
      <c r="L182" s="10">
        <f>IFERROR(SUMIFS('Base bordo'!G$2:G$746,'Base bordo'!C$2:C$746,A182,'Base bordo'!B$2:B$746,B182,'Base bordo'!F$2:F$746,"MANUTENCAO - T O"),0)+IFERROR(SUMIFS('Base bordo'!G$2:G$746,'Base bordo'!C$2:C$746,A182,'Base bordo'!B$2:B$746,B182,'Base bordo'!F$2:F$746,"MANUTENCAO BORRACHARIA"),0)+IFERROR(SUMIFS('Base bordo'!G$2:G$746,'Base bordo'!C$2:C$746,A182,'Base bordo'!B$2:B$746,B182,'Base bordo'!F$2:F$746,"MANUTENCAO EXTERNA  CONCESSIONARIA"),0)+IFERROR(SUMIFS('Base bordo'!G$2:G$746,'Base bordo'!C$2:C$746,A182,'Base bordo'!B$2:B$746,B182,'Base bordo'!F$2:F$746,"MANUTENCAO TELEMETRIA"),0)</f>
        <v>18.858611111111109</v>
      </c>
      <c r="M182" s="10">
        <f>IFERROR(SUMIFS('Base bordo'!G$2:G$746,'Base bordo'!C$2:C$746,A182,'Base bordo'!B$2:B$746,B182,'Base bordo'!F$2:F$746,"AGUARDANDO MANUTENCAO"),0)</f>
        <v>0</v>
      </c>
      <c r="N182" s="10">
        <f>IFERROR(SUMIFS('Base bordo'!G$2:G$746,'Base bordo'!C$2:C$746,A182,'Base bordo'!B$2:B$746,B182,'Base bordo'!F$2:F$746,"SEM APONTAMENTO"),0)</f>
        <v>0</v>
      </c>
      <c r="O182" s="10">
        <f t="shared" si="24"/>
        <v>0.23749999999999716</v>
      </c>
      <c r="P182" s="10">
        <f>IFERROR(SUMIFS('Base bordo'!G$2:G$746,'Base bordo'!C$2:C$746,A182,'Base bordo'!B$2:B$746,B182),0)</f>
        <v>23.999999999999996</v>
      </c>
      <c r="Q182" s="10">
        <f>IFERROR(SUMIFS('Base bordo'!H$2:H$746,'Base bordo'!C$2:C$746,A182,'Base bordo'!B$2:B$746,B182,'Base bordo'!F$2:F$746,"DESLOCAMENTO VAZIO"),0)</f>
        <v>139140.03999999998</v>
      </c>
      <c r="R182" s="10">
        <f>IFERROR(SUMIFS('Base bordo'!I$2:I$746,'Base bordo'!C$2:C$746,A182,'Base bordo'!B$2:B$746,B182,'Base bordo'!F$2:F$746,"DESLOCAMENTO VAZIO"),0)</f>
        <v>5291</v>
      </c>
      <c r="S182" s="30">
        <f t="shared" si="25"/>
        <v>26.297493857493855</v>
      </c>
      <c r="T182" s="10">
        <f>IFERROR(SUMIFS('Base bordo'!H$2:H$746,'Base bordo'!C$2:C$746,A182,'Base bordo'!B$2:B$746,B182,'Base bordo'!F$2:F$746,"DESLOCAMENTO CARREGADO"),0)</f>
        <v>0</v>
      </c>
      <c r="U182" s="10">
        <f>IFERROR(SUMIFS('Base bordo'!I$2:I$746,'Base bordo'!C$2:C$746,A182,'Base bordo'!B$2:B$746,B182,'Base bordo'!F$2:F$746,"DESLOCAMENTO CARREGADO"),0)</f>
        <v>0</v>
      </c>
      <c r="V182" s="30" t="str">
        <f t="shared" si="26"/>
        <v/>
      </c>
      <c r="W182" s="9">
        <f t="shared" si="27"/>
        <v>6.1238425925925932E-2</v>
      </c>
      <c r="X182" s="9">
        <f t="shared" si="28"/>
        <v>0</v>
      </c>
      <c r="Y182" s="9">
        <f t="shared" si="29"/>
        <v>0.93876157407407401</v>
      </c>
    </row>
    <row r="183" spans="1:25" ht="15" customHeight="1" x14ac:dyDescent="0.35">
      <c r="A183" s="52">
        <v>8013462</v>
      </c>
      <c r="B183" s="51">
        <v>46123</v>
      </c>
      <c r="C183" s="7" t="s">
        <v>124</v>
      </c>
      <c r="D183" s="10">
        <f>IFERROR(SUMIFS('Base bordo'!G$2:G$746,'Base bordo'!C$2:C$746,A183,'Base bordo'!B$2:B$746,B183,'Base bordo'!F$2:F$746,"DESLOCAMENTO VAZIO"),0)</f>
        <v>2.4444444444444446E-2</v>
      </c>
      <c r="E183" s="10">
        <f>IFERROR(SUMIFS('Base bordo'!G$2:G$746,'Base bordo'!C$2:C$746,A183,'Base bordo'!B$2:B$746,B183,'Base bordo'!F$2:F$746,"DESLOCAMENTO CARREGADO"),0)</f>
        <v>2.9533333333333331</v>
      </c>
      <c r="F183" s="10">
        <f>IFERROR(SUMIFS('Base bordo'!G$2:G$746,'Base bordo'!C$2:C$746,A183,'Base bordo'!B$2:B$746,B183,'Base bordo'!F$2:F$746,"DESLOCAMENTO"),0)</f>
        <v>0.32861111111111113</v>
      </c>
      <c r="G183" s="10">
        <f>IFERROR(SUMIFS('Base bordo'!G$2:G$746,'Base bordo'!C$2:C$746,A183,'Base bordo'!B$2:B$746,B183,'Base bordo'!F$2:F$746,"CARREGAMENTO"),0)</f>
        <v>0</v>
      </c>
      <c r="H183" s="10">
        <f>IFERROR(SUMIFS('Base bordo'!G$2:G$746,'Base bordo'!C$2:C$746,A183,'Base bordo'!B$2:B$746,B183,'Base bordo'!F$2:F$746,"AGUARDANDO TRANSBORDO"),0)</f>
        <v>0</v>
      </c>
      <c r="I183" s="10">
        <f>IFERROR(SUMIFS('Base bordo'!G$2:G$746,'Base bordo'!C$2:C$746,A183,'Base bordo'!B$2:B$746,B183,'Base bordo'!F$2:F$746,"PÁTIO INTERNO"),0)+IFERROR(SUMIFS('Base bordo'!G$2:G$746,'Base bordo'!C$2:C$746,A183,'Base bordo'!B$2:B$746,B183,'Base bordo'!F$2:F$746,"PÁTIO EXTERNO"),0)+IFERROR(SUMIFS('Base bordo'!G$2:G$746,'Base bordo'!C$2:C$746,A183,'Base bordo'!B$2:B$746,B183,'Base bordo'!F$2:F$746,"PATIO - RESERVA"),0)+IFERROR(SUMIFS('Base bordo'!G$2:G$746,'Base bordo'!C$2:C$746,A183,'Base bordo'!B$2:B$746,B183,'Base bordo'!F$2:F$746,"MANOBRA CARRETAS-PATIO"),0)</f>
        <v>5.2366666666666664</v>
      </c>
      <c r="J183" s="10">
        <f>IFERROR(SUMIFS('Base bordo'!G$2:G$746,'Base bordo'!C$2:C$746,A183,'Base bordo'!B$2:B$746,B183,'Base bordo'!F$2:F$746,"BALANÇA - ENTRADA"),0)+IFERROR(SUMIFS('Base bordo'!G$2:G$746,'Base bordo'!C$2:C$746,A183,'Base bordo'!B$2:B$746,B183,'Base bordo'!F$2:F$746,"BALANÇA - SAÍDA"),0)</f>
        <v>0</v>
      </c>
      <c r="K183" s="10">
        <f>IFERROR(SUMIFS('Base bordo'!G$2:G$746,'Base bordo'!C$2:C$746,A183,'Base bordo'!B$2:B$746,B183,'Base bordo'!F$2:F$746,"MAN PREVENTIVA - MECANICA"),0)+IFERROR(SUMIFS('Base bordo'!G$2:G$746,'Base bordo'!C$2:C$746,A183,'Base bordo'!B$2:B$746,B183,'Base bordo'!F$2:F$746,"MAN CORRETIVA - MECANICA"),0)</f>
        <v>0</v>
      </c>
      <c r="L183" s="10">
        <f>IFERROR(SUMIFS('Base bordo'!G$2:G$746,'Base bordo'!C$2:C$746,A183,'Base bordo'!B$2:B$746,B183,'Base bordo'!F$2:F$746,"MANUTENCAO - T O"),0)+IFERROR(SUMIFS('Base bordo'!G$2:G$746,'Base bordo'!C$2:C$746,A183,'Base bordo'!B$2:B$746,B183,'Base bordo'!F$2:F$746,"MANUTENCAO BORRACHARIA"),0)+IFERROR(SUMIFS('Base bordo'!G$2:G$746,'Base bordo'!C$2:C$746,A183,'Base bordo'!B$2:B$746,B183,'Base bordo'!F$2:F$746,"MANUTENCAO EXTERNA  CONCESSIONARIA"),0)+IFERROR(SUMIFS('Base bordo'!G$2:G$746,'Base bordo'!C$2:C$746,A183,'Base bordo'!B$2:B$746,B183,'Base bordo'!F$2:F$746,"MANUTENCAO TELEMETRIA"),0)</f>
        <v>0</v>
      </c>
      <c r="M183" s="10">
        <f>IFERROR(SUMIFS('Base bordo'!G$2:G$746,'Base bordo'!C$2:C$746,A183,'Base bordo'!B$2:B$746,B183,'Base bordo'!F$2:F$746,"AGUARDANDO MANUTENCAO"),0)</f>
        <v>0</v>
      </c>
      <c r="N183" s="10">
        <f>IFERROR(SUMIFS('Base bordo'!G$2:G$746,'Base bordo'!C$2:C$746,A183,'Base bordo'!B$2:B$746,B183,'Base bordo'!F$2:F$746,"SEM APONTAMENTO"),0)</f>
        <v>0</v>
      </c>
      <c r="O183" s="10">
        <f t="shared" si="24"/>
        <v>0</v>
      </c>
      <c r="P183" s="10">
        <f>IFERROR(SUMIFS('Base bordo'!G$2:G$746,'Base bordo'!C$2:C$746,A183,'Base bordo'!B$2:B$746,B183),0)</f>
        <v>8.5430555555555543</v>
      </c>
      <c r="Q183" s="10">
        <f>IFERROR(SUMIFS('Base bordo'!H$2:H$746,'Base bordo'!C$2:C$746,A183,'Base bordo'!B$2:B$746,B183,'Base bordo'!F$2:F$746,"DESLOCAMENTO VAZIO"),0)</f>
        <v>880</v>
      </c>
      <c r="R183" s="10">
        <f>IFERROR(SUMIFS('Base bordo'!I$2:I$746,'Base bordo'!C$2:C$746,A183,'Base bordo'!B$2:B$746,B183,'Base bordo'!F$2:F$746,"DESLOCAMENTO VAZIO"),0)</f>
        <v>88</v>
      </c>
      <c r="S183" s="30">
        <f t="shared" si="25"/>
        <v>10</v>
      </c>
      <c r="T183" s="10">
        <f>IFERROR(SUMIFS('Base bordo'!H$2:H$746,'Base bordo'!C$2:C$746,A183,'Base bordo'!B$2:B$746,B183,'Base bordo'!F$2:F$746,"DESLOCAMENTO CARREGADO"),0)</f>
        <v>244097.37999999998</v>
      </c>
      <c r="U183" s="10">
        <f>IFERROR(SUMIFS('Base bordo'!I$2:I$746,'Base bordo'!C$2:C$746,A183,'Base bordo'!B$2:B$746,B183,'Base bordo'!F$2:F$746,"DESLOCAMENTO CARREGADO"),0)</f>
        <v>10632</v>
      </c>
      <c r="V183" s="30">
        <f t="shared" si="26"/>
        <v>22.958745297215948</v>
      </c>
      <c r="W183" s="9">
        <f t="shared" si="27"/>
        <v>2.8613233620549509E-3</v>
      </c>
      <c r="X183" s="9">
        <f t="shared" si="28"/>
        <v>0.3456998861973663</v>
      </c>
      <c r="Y183" s="9">
        <f t="shared" si="29"/>
        <v>0.65143879044057873</v>
      </c>
    </row>
    <row r="184" spans="1:25" ht="15" customHeight="1" x14ac:dyDescent="0.35">
      <c r="A184" s="52">
        <v>8013483</v>
      </c>
      <c r="B184" s="51">
        <v>46120</v>
      </c>
      <c r="C184" s="7" t="s">
        <v>124</v>
      </c>
      <c r="D184" s="10">
        <f>IFERROR(SUMIFS('Base bordo'!G$2:G$746,'Base bordo'!C$2:C$746,A184,'Base bordo'!B$2:B$746,B184,'Base bordo'!F$2:F$746,"DESLOCAMENTO VAZIO"),0)</f>
        <v>0.56499999999999995</v>
      </c>
      <c r="E184" s="10">
        <f>IFERROR(SUMIFS('Base bordo'!G$2:G$746,'Base bordo'!C$2:C$746,A184,'Base bordo'!B$2:B$746,B184,'Base bordo'!F$2:F$746,"DESLOCAMENTO CARREGADO"),0)</f>
        <v>0</v>
      </c>
      <c r="F184" s="10">
        <f>IFERROR(SUMIFS('Base bordo'!G$2:G$746,'Base bordo'!C$2:C$746,A184,'Base bordo'!B$2:B$746,B184,'Base bordo'!F$2:F$746,"DESLOCAMENTO"),0)</f>
        <v>0.22194444444444444</v>
      </c>
      <c r="G184" s="10">
        <f>IFERROR(SUMIFS('Base bordo'!G$2:G$746,'Base bordo'!C$2:C$746,A184,'Base bordo'!B$2:B$746,B184,'Base bordo'!F$2:F$746,"CARREGAMENTO"),0)</f>
        <v>0</v>
      </c>
      <c r="H184" s="10">
        <f>IFERROR(SUMIFS('Base bordo'!G$2:G$746,'Base bordo'!C$2:C$746,A184,'Base bordo'!B$2:B$746,B184,'Base bordo'!F$2:F$746,"AGUARDANDO TRANSBORDO"),0)</f>
        <v>0</v>
      </c>
      <c r="I184" s="10">
        <f>IFERROR(SUMIFS('Base bordo'!G$2:G$746,'Base bordo'!C$2:C$746,A184,'Base bordo'!B$2:B$746,B184,'Base bordo'!F$2:F$746,"PÁTIO INTERNO"),0)+IFERROR(SUMIFS('Base bordo'!G$2:G$746,'Base bordo'!C$2:C$746,A184,'Base bordo'!B$2:B$746,B184,'Base bordo'!F$2:F$746,"PÁTIO EXTERNO"),0)+IFERROR(SUMIFS('Base bordo'!G$2:G$746,'Base bordo'!C$2:C$746,A184,'Base bordo'!B$2:B$746,B184,'Base bordo'!F$2:F$746,"PATIO - RESERVA"),0)+IFERROR(SUMIFS('Base bordo'!G$2:G$746,'Base bordo'!C$2:C$746,A184,'Base bordo'!B$2:B$746,B184,'Base bordo'!F$2:F$746,"MANOBRA CARRETAS-PATIO"),0)</f>
        <v>0</v>
      </c>
      <c r="J184" s="10">
        <f>IFERROR(SUMIFS('Base bordo'!G$2:G$746,'Base bordo'!C$2:C$746,A184,'Base bordo'!B$2:B$746,B184,'Base bordo'!F$2:F$746,"BALANÇA - ENTRADA"),0)+IFERROR(SUMIFS('Base bordo'!G$2:G$746,'Base bordo'!C$2:C$746,A184,'Base bordo'!B$2:B$746,B184,'Base bordo'!F$2:F$746,"BALANÇA - SAÍDA"),0)</f>
        <v>0</v>
      </c>
      <c r="K184" s="10">
        <f>IFERROR(SUMIFS('Base bordo'!G$2:G$746,'Base bordo'!C$2:C$746,A184,'Base bordo'!B$2:B$746,B184,'Base bordo'!F$2:F$746,"MAN PREVENTIVA - MECANICA"),0)+IFERROR(SUMIFS('Base bordo'!G$2:G$746,'Base bordo'!C$2:C$746,A184,'Base bordo'!B$2:B$746,B184,'Base bordo'!F$2:F$746,"MAN CORRETIVA - MECANICA"),0)</f>
        <v>0</v>
      </c>
      <c r="L184" s="10">
        <f>IFERROR(SUMIFS('Base bordo'!G$2:G$746,'Base bordo'!C$2:C$746,A184,'Base bordo'!B$2:B$746,B184,'Base bordo'!F$2:F$746,"MANUTENCAO - T O"),0)+IFERROR(SUMIFS('Base bordo'!G$2:G$746,'Base bordo'!C$2:C$746,A184,'Base bordo'!B$2:B$746,B184,'Base bordo'!F$2:F$746,"MANUTENCAO BORRACHARIA"),0)+IFERROR(SUMIFS('Base bordo'!G$2:G$746,'Base bordo'!C$2:C$746,A184,'Base bordo'!B$2:B$746,B184,'Base bordo'!F$2:F$746,"MANUTENCAO EXTERNA  CONCESSIONARIA"),0)+IFERROR(SUMIFS('Base bordo'!G$2:G$746,'Base bordo'!C$2:C$746,A184,'Base bordo'!B$2:B$746,B184,'Base bordo'!F$2:F$746,"MANUTENCAO TELEMETRIA"),0)</f>
        <v>0.40805555555555556</v>
      </c>
      <c r="M184" s="10">
        <f>IFERROR(SUMIFS('Base bordo'!G$2:G$746,'Base bordo'!C$2:C$746,A184,'Base bordo'!B$2:B$746,B184,'Base bordo'!F$2:F$746,"AGUARDANDO MANUTENCAO"),0)</f>
        <v>0</v>
      </c>
      <c r="N184" s="10">
        <f>IFERROR(SUMIFS('Base bordo'!G$2:G$746,'Base bordo'!C$2:C$746,A184,'Base bordo'!B$2:B$746,B184,'Base bordo'!F$2:F$746,"SEM APONTAMENTO"),0)</f>
        <v>0</v>
      </c>
      <c r="O184" s="10">
        <f t="shared" si="24"/>
        <v>0</v>
      </c>
      <c r="P184" s="10">
        <f>IFERROR(SUMIFS('Base bordo'!G$2:G$746,'Base bordo'!C$2:C$746,A184,'Base bordo'!B$2:B$746,B184),0)</f>
        <v>1.1950000000000001</v>
      </c>
      <c r="Q184" s="10">
        <f>IFERROR(SUMIFS('Base bordo'!H$2:H$746,'Base bordo'!C$2:C$746,A184,'Base bordo'!B$2:B$746,B184,'Base bordo'!F$2:F$746,"DESLOCAMENTO VAZIO"),0)</f>
        <v>40171.5</v>
      </c>
      <c r="R184" s="10">
        <f>IFERROR(SUMIFS('Base bordo'!I$2:I$746,'Base bordo'!C$2:C$746,A184,'Base bordo'!B$2:B$746,B184,'Base bordo'!F$2:F$746,"DESLOCAMENTO VAZIO"),0)</f>
        <v>2034</v>
      </c>
      <c r="S184" s="30">
        <f t="shared" si="25"/>
        <v>19.75</v>
      </c>
      <c r="T184" s="10">
        <f>IFERROR(SUMIFS('Base bordo'!H$2:H$746,'Base bordo'!C$2:C$746,A184,'Base bordo'!B$2:B$746,B184,'Base bordo'!F$2:F$746,"DESLOCAMENTO CARREGADO"),0)</f>
        <v>0</v>
      </c>
      <c r="U184" s="10">
        <f>IFERROR(SUMIFS('Base bordo'!I$2:I$746,'Base bordo'!C$2:C$746,A184,'Base bordo'!B$2:B$746,B184,'Base bordo'!F$2:F$746,"DESLOCAMENTO CARREGADO"),0)</f>
        <v>0</v>
      </c>
      <c r="V184" s="30" t="str">
        <f t="shared" si="26"/>
        <v/>
      </c>
      <c r="W184" s="9">
        <f t="shared" si="27"/>
        <v>0.47280334728033468</v>
      </c>
      <c r="X184" s="9">
        <f t="shared" si="28"/>
        <v>0</v>
      </c>
      <c r="Y184" s="9">
        <f t="shared" si="29"/>
        <v>0.52719665271966532</v>
      </c>
    </row>
    <row r="185" spans="1:25" ht="15" customHeight="1" x14ac:dyDescent="0.35">
      <c r="A185" s="52">
        <v>8013468</v>
      </c>
      <c r="B185" s="51">
        <v>46124</v>
      </c>
      <c r="C185" s="7" t="s">
        <v>124</v>
      </c>
      <c r="D185" s="10">
        <f>IFERROR(SUMIFS('Base bordo'!G$2:G$746,'Base bordo'!C$2:C$746,A185,'Base bordo'!B$2:B$746,B185,'Base bordo'!F$2:F$746,"DESLOCAMENTO VAZIO"),0)</f>
        <v>2.4347222222222222</v>
      </c>
      <c r="E185" s="10">
        <f>IFERROR(SUMIFS('Base bordo'!G$2:G$746,'Base bordo'!C$2:C$746,A185,'Base bordo'!B$2:B$746,B185,'Base bordo'!F$2:F$746,"DESLOCAMENTO CARREGADO"),0)</f>
        <v>3.8097222222222222</v>
      </c>
      <c r="F185" s="10">
        <f>IFERROR(SUMIFS('Base bordo'!G$2:G$746,'Base bordo'!C$2:C$746,A185,'Base bordo'!B$2:B$746,B185,'Base bordo'!F$2:F$746,"DESLOCAMENTO"),0)</f>
        <v>0</v>
      </c>
      <c r="G185" s="10">
        <f>IFERROR(SUMIFS('Base bordo'!G$2:G$746,'Base bordo'!C$2:C$746,A185,'Base bordo'!B$2:B$746,B185,'Base bordo'!F$2:F$746,"CARREGAMENTO"),0)</f>
        <v>0</v>
      </c>
      <c r="H185" s="10">
        <f>IFERROR(SUMIFS('Base bordo'!G$2:G$746,'Base bordo'!C$2:C$746,A185,'Base bordo'!B$2:B$746,B185,'Base bordo'!F$2:F$746,"AGUARDANDO TRANSBORDO"),0)</f>
        <v>0.71027777777777779</v>
      </c>
      <c r="I185" s="10">
        <f>IFERROR(SUMIFS('Base bordo'!G$2:G$746,'Base bordo'!C$2:C$746,A185,'Base bordo'!B$2:B$746,B185,'Base bordo'!F$2:F$746,"PÁTIO INTERNO"),0)+IFERROR(SUMIFS('Base bordo'!G$2:G$746,'Base bordo'!C$2:C$746,A185,'Base bordo'!B$2:B$746,B185,'Base bordo'!F$2:F$746,"PÁTIO EXTERNO"),0)+IFERROR(SUMIFS('Base bordo'!G$2:G$746,'Base bordo'!C$2:C$746,A185,'Base bordo'!B$2:B$746,B185,'Base bordo'!F$2:F$746,"PATIO - RESERVA"),0)+IFERROR(SUMIFS('Base bordo'!G$2:G$746,'Base bordo'!C$2:C$746,A185,'Base bordo'!B$2:B$746,B185,'Base bordo'!F$2:F$746,"MANOBRA CARRETAS-PATIO"),0)</f>
        <v>5.4283333333333337</v>
      </c>
      <c r="J185" s="10">
        <f>IFERROR(SUMIFS('Base bordo'!G$2:G$746,'Base bordo'!C$2:C$746,A185,'Base bordo'!B$2:B$746,B185,'Base bordo'!F$2:F$746,"BALANÇA - ENTRADA"),0)+IFERROR(SUMIFS('Base bordo'!G$2:G$746,'Base bordo'!C$2:C$746,A185,'Base bordo'!B$2:B$746,B185,'Base bordo'!F$2:F$746,"BALANÇA - SAÍDA"),0)</f>
        <v>0.4177777777777778</v>
      </c>
      <c r="K185" s="10">
        <f>IFERROR(SUMIFS('Base bordo'!G$2:G$746,'Base bordo'!C$2:C$746,A185,'Base bordo'!B$2:B$746,B185,'Base bordo'!F$2:F$746,"MAN PREVENTIVA - MECANICA"),0)+IFERROR(SUMIFS('Base bordo'!G$2:G$746,'Base bordo'!C$2:C$746,A185,'Base bordo'!B$2:B$746,B185,'Base bordo'!F$2:F$746,"MAN CORRETIVA - MECANICA"),0)</f>
        <v>0</v>
      </c>
      <c r="L185" s="10">
        <f>IFERROR(SUMIFS('Base bordo'!G$2:G$746,'Base bordo'!C$2:C$746,A185,'Base bordo'!B$2:B$746,B185,'Base bordo'!F$2:F$746,"MANUTENCAO - T O"),0)+IFERROR(SUMIFS('Base bordo'!G$2:G$746,'Base bordo'!C$2:C$746,A185,'Base bordo'!B$2:B$746,B185,'Base bordo'!F$2:F$746,"MANUTENCAO BORRACHARIA"),0)+IFERROR(SUMIFS('Base bordo'!G$2:G$746,'Base bordo'!C$2:C$746,A185,'Base bordo'!B$2:B$746,B185,'Base bordo'!F$2:F$746,"MANUTENCAO EXTERNA  CONCESSIONARIA"),0)+IFERROR(SUMIFS('Base bordo'!G$2:G$746,'Base bordo'!C$2:C$746,A185,'Base bordo'!B$2:B$746,B185,'Base bordo'!F$2:F$746,"MANUTENCAO TELEMETRIA"),0)</f>
        <v>0</v>
      </c>
      <c r="M185" s="10">
        <f>IFERROR(SUMIFS('Base bordo'!G$2:G$746,'Base bordo'!C$2:C$746,A185,'Base bordo'!B$2:B$746,B185,'Base bordo'!F$2:F$746,"AGUARDANDO MANUTENCAO"),0)</f>
        <v>0</v>
      </c>
      <c r="N185" s="10">
        <f>IFERROR(SUMIFS('Base bordo'!G$2:G$746,'Base bordo'!C$2:C$746,A185,'Base bordo'!B$2:B$746,B185,'Base bordo'!F$2:F$746,"SEM APONTAMENTO"),0)</f>
        <v>0</v>
      </c>
      <c r="O185" s="10">
        <f t="shared" si="24"/>
        <v>1.7763568394002505E-15</v>
      </c>
      <c r="P185" s="10">
        <f>IFERROR(SUMIFS('Base bordo'!G$2:G$746,'Base bordo'!C$2:C$746,A185,'Base bordo'!B$2:B$746,B185),0)</f>
        <v>12.800833333333335</v>
      </c>
      <c r="Q185" s="10">
        <f>IFERROR(SUMIFS('Base bordo'!H$2:H$746,'Base bordo'!C$2:C$746,A185,'Base bordo'!B$2:B$746,B185,'Base bordo'!F$2:F$746,"DESLOCAMENTO VAZIO"),0)</f>
        <v>322127.41000000003</v>
      </c>
      <c r="R185" s="10">
        <f>IFERROR(SUMIFS('Base bordo'!I$2:I$746,'Base bordo'!C$2:C$746,A185,'Base bordo'!B$2:B$746,B185,'Base bordo'!F$2:F$746,"DESLOCAMENTO VAZIO"),0)</f>
        <v>8765</v>
      </c>
      <c r="S185" s="30">
        <f t="shared" si="25"/>
        <v>36.751558471192247</v>
      </c>
      <c r="T185" s="10">
        <f>IFERROR(SUMIFS('Base bordo'!H$2:H$746,'Base bordo'!C$2:C$746,A185,'Base bordo'!B$2:B$746,B185,'Base bordo'!F$2:F$746,"DESLOCAMENTO CARREGADO"),0)</f>
        <v>341587.70999999996</v>
      </c>
      <c r="U185" s="10">
        <f>IFERROR(SUMIFS('Base bordo'!I$2:I$746,'Base bordo'!C$2:C$746,A185,'Base bordo'!B$2:B$746,B185,'Base bordo'!F$2:F$746,"DESLOCAMENTO CARREGADO"),0)</f>
        <v>13715</v>
      </c>
      <c r="V185" s="30">
        <f t="shared" si="26"/>
        <v>24.906139992708709</v>
      </c>
      <c r="W185" s="9">
        <f t="shared" si="27"/>
        <v>0.19020029077968012</v>
      </c>
      <c r="X185" s="9">
        <f t="shared" si="28"/>
        <v>0.29761517262331005</v>
      </c>
      <c r="Y185" s="9">
        <f t="shared" si="29"/>
        <v>0.5121845365970098</v>
      </c>
    </row>
    <row r="186" spans="1:25" ht="15" customHeight="1" x14ac:dyDescent="0.35">
      <c r="A186" s="52">
        <v>8013468</v>
      </c>
      <c r="B186" s="51">
        <v>46117</v>
      </c>
      <c r="C186" s="7" t="s">
        <v>124</v>
      </c>
      <c r="D186" s="10">
        <f>IFERROR(SUMIFS('Base bordo'!G$2:G$746,'Base bordo'!C$2:C$746,A186,'Base bordo'!B$2:B$746,B186,'Base bordo'!F$2:F$746,"DESLOCAMENTO VAZIO"),0)</f>
        <v>1.7458333333333333</v>
      </c>
      <c r="E186" s="10">
        <f>IFERROR(SUMIFS('Base bordo'!G$2:G$746,'Base bordo'!C$2:C$746,A186,'Base bordo'!B$2:B$746,B186,'Base bordo'!F$2:F$746,"DESLOCAMENTO CARREGADO"),0)</f>
        <v>1.6383333333333334</v>
      </c>
      <c r="F186" s="10">
        <f>IFERROR(SUMIFS('Base bordo'!G$2:G$746,'Base bordo'!C$2:C$746,A186,'Base bordo'!B$2:B$746,B186,'Base bordo'!F$2:F$746,"DESLOCAMENTO"),0)</f>
        <v>5.6772222222222224</v>
      </c>
      <c r="G186" s="10">
        <f>IFERROR(SUMIFS('Base bordo'!G$2:G$746,'Base bordo'!C$2:C$746,A186,'Base bordo'!B$2:B$746,B186,'Base bordo'!F$2:F$746,"CARREGAMENTO"),0)</f>
        <v>1.2477777777777779</v>
      </c>
      <c r="H186" s="10">
        <f>IFERROR(SUMIFS('Base bordo'!G$2:G$746,'Base bordo'!C$2:C$746,A186,'Base bordo'!B$2:B$746,B186,'Base bordo'!F$2:F$746,"AGUARDANDO TRANSBORDO"),0)</f>
        <v>0.42</v>
      </c>
      <c r="I186" s="10">
        <f>IFERROR(SUMIFS('Base bordo'!G$2:G$746,'Base bordo'!C$2:C$746,A186,'Base bordo'!B$2:B$746,B186,'Base bordo'!F$2:F$746,"PÁTIO INTERNO"),0)+IFERROR(SUMIFS('Base bordo'!G$2:G$746,'Base bordo'!C$2:C$746,A186,'Base bordo'!B$2:B$746,B186,'Base bordo'!F$2:F$746,"PÁTIO EXTERNO"),0)+IFERROR(SUMIFS('Base bordo'!G$2:G$746,'Base bordo'!C$2:C$746,A186,'Base bordo'!B$2:B$746,B186,'Base bordo'!F$2:F$746,"PATIO - RESERVA"),0)+IFERROR(SUMIFS('Base bordo'!G$2:G$746,'Base bordo'!C$2:C$746,A186,'Base bordo'!B$2:B$746,B186,'Base bordo'!F$2:F$746,"MANOBRA CARRETAS-PATIO"),0)</f>
        <v>1.9175</v>
      </c>
      <c r="J186" s="10">
        <f>IFERROR(SUMIFS('Base bordo'!G$2:G$746,'Base bordo'!C$2:C$746,A186,'Base bordo'!B$2:B$746,B186,'Base bordo'!F$2:F$746,"BALANÇA - ENTRADA"),0)+IFERROR(SUMIFS('Base bordo'!G$2:G$746,'Base bordo'!C$2:C$746,A186,'Base bordo'!B$2:B$746,B186,'Base bordo'!F$2:F$746,"BALANÇA - SAÍDA"),0)</f>
        <v>0</v>
      </c>
      <c r="K186" s="10">
        <f>IFERROR(SUMIFS('Base bordo'!G$2:G$746,'Base bordo'!C$2:C$746,A186,'Base bordo'!B$2:B$746,B186,'Base bordo'!F$2:F$746,"MAN PREVENTIVA - MECANICA"),0)+IFERROR(SUMIFS('Base bordo'!G$2:G$746,'Base bordo'!C$2:C$746,A186,'Base bordo'!B$2:B$746,B186,'Base bordo'!F$2:F$746,"MAN CORRETIVA - MECANICA"),0)</f>
        <v>0</v>
      </c>
      <c r="L186" s="10">
        <f>IFERROR(SUMIFS('Base bordo'!G$2:G$746,'Base bordo'!C$2:C$746,A186,'Base bordo'!B$2:B$746,B186,'Base bordo'!F$2:F$746,"MANUTENCAO - T O"),0)+IFERROR(SUMIFS('Base bordo'!G$2:G$746,'Base bordo'!C$2:C$746,A186,'Base bordo'!B$2:B$746,B186,'Base bordo'!F$2:F$746,"MANUTENCAO BORRACHARIA"),0)+IFERROR(SUMIFS('Base bordo'!G$2:G$746,'Base bordo'!C$2:C$746,A186,'Base bordo'!B$2:B$746,B186,'Base bordo'!F$2:F$746,"MANUTENCAO EXTERNA  CONCESSIONARIA"),0)+IFERROR(SUMIFS('Base bordo'!G$2:G$746,'Base bordo'!C$2:C$746,A186,'Base bordo'!B$2:B$746,B186,'Base bordo'!F$2:F$746,"MANUTENCAO TELEMETRIA"),0)</f>
        <v>8.4913888888888884</v>
      </c>
      <c r="M186" s="10">
        <f>IFERROR(SUMIFS('Base bordo'!G$2:G$746,'Base bordo'!C$2:C$746,A186,'Base bordo'!B$2:B$746,B186,'Base bordo'!F$2:F$746,"AGUARDANDO MANUTENCAO"),0)</f>
        <v>0</v>
      </c>
      <c r="N186" s="10">
        <f>IFERROR(SUMIFS('Base bordo'!G$2:G$746,'Base bordo'!C$2:C$746,A186,'Base bordo'!B$2:B$746,B186,'Base bordo'!F$2:F$746,"SEM APONTAMENTO"),0)</f>
        <v>0.34805555555555556</v>
      </c>
      <c r="O186" s="10">
        <f t="shared" si="24"/>
        <v>2.5138888888888928</v>
      </c>
      <c r="P186" s="10">
        <f>IFERROR(SUMIFS('Base bordo'!G$2:G$746,'Base bordo'!C$2:C$746,A186,'Base bordo'!B$2:B$746,B186),0)</f>
        <v>24</v>
      </c>
      <c r="Q186" s="10">
        <f>IFERROR(SUMIFS('Base bordo'!H$2:H$746,'Base bordo'!C$2:C$746,A186,'Base bordo'!B$2:B$746,B186,'Base bordo'!F$2:F$746,"DESLOCAMENTO VAZIO"),0)</f>
        <v>150540.29999999999</v>
      </c>
      <c r="R186" s="10">
        <f>IFERROR(SUMIFS('Base bordo'!I$2:I$746,'Base bordo'!C$2:C$746,A186,'Base bordo'!B$2:B$746,B186,'Base bordo'!F$2:F$746,"DESLOCAMENTO VAZIO"),0)</f>
        <v>6285</v>
      </c>
      <c r="S186" s="30">
        <f t="shared" si="25"/>
        <v>23.952315035799522</v>
      </c>
      <c r="T186" s="10">
        <f>IFERROR(SUMIFS('Base bordo'!H$2:H$746,'Base bordo'!C$2:C$746,A186,'Base bordo'!B$2:B$746,B186,'Base bordo'!F$2:F$746,"DESLOCAMENTO CARREGADO"),0)</f>
        <v>183503.40999999997</v>
      </c>
      <c r="U186" s="10">
        <f>IFERROR(SUMIFS('Base bordo'!I$2:I$746,'Base bordo'!C$2:C$746,A186,'Base bordo'!B$2:B$746,B186,'Base bordo'!F$2:F$746,"DESLOCAMENTO CARREGADO"),0)</f>
        <v>5898</v>
      </c>
      <c r="V186" s="30">
        <f t="shared" si="26"/>
        <v>31.112819599864356</v>
      </c>
      <c r="W186" s="9">
        <f t="shared" si="27"/>
        <v>7.2743055555555561E-2</v>
      </c>
      <c r="X186" s="9">
        <f t="shared" si="28"/>
        <v>6.8263888888888888E-2</v>
      </c>
      <c r="Y186" s="9">
        <f t="shared" si="29"/>
        <v>0.85899305555555561</v>
      </c>
    </row>
    <row r="187" spans="1:25" ht="15" customHeight="1" x14ac:dyDescent="0.35">
      <c r="A187" s="52">
        <v>8013483</v>
      </c>
      <c r="B187" s="51">
        <v>46124</v>
      </c>
      <c r="C187" s="7" t="s">
        <v>124</v>
      </c>
      <c r="D187" s="10">
        <f>IFERROR(SUMIFS('Base bordo'!G$2:G$746,'Base bordo'!C$2:C$746,A187,'Base bordo'!B$2:B$746,B187,'Base bordo'!F$2:F$746,"DESLOCAMENTO VAZIO"),0)</f>
        <v>3.0661111111111112</v>
      </c>
      <c r="E187" s="10">
        <f>IFERROR(SUMIFS('Base bordo'!G$2:G$746,'Base bordo'!C$2:C$746,A187,'Base bordo'!B$2:B$746,B187,'Base bordo'!F$2:F$746,"DESLOCAMENTO CARREGADO"),0)</f>
        <v>5.7730555555555556</v>
      </c>
      <c r="F187" s="10">
        <f>IFERROR(SUMIFS('Base bordo'!G$2:G$746,'Base bordo'!C$2:C$746,A187,'Base bordo'!B$2:B$746,B187,'Base bordo'!F$2:F$746,"DESLOCAMENTO"),0)</f>
        <v>0</v>
      </c>
      <c r="G187" s="10">
        <f>IFERROR(SUMIFS('Base bordo'!G$2:G$746,'Base bordo'!C$2:C$746,A187,'Base bordo'!B$2:B$746,B187,'Base bordo'!F$2:F$746,"CARREGAMENTO"),0)</f>
        <v>0</v>
      </c>
      <c r="H187" s="10">
        <f>IFERROR(SUMIFS('Base bordo'!G$2:G$746,'Base bordo'!C$2:C$746,A187,'Base bordo'!B$2:B$746,B187,'Base bordo'!F$2:F$746,"AGUARDANDO TRANSBORDO"),0)</f>
        <v>0.55083333333333329</v>
      </c>
      <c r="I187" s="10">
        <f>IFERROR(SUMIFS('Base bordo'!G$2:G$746,'Base bordo'!C$2:C$746,A187,'Base bordo'!B$2:B$746,B187,'Base bordo'!F$2:F$746,"PÁTIO INTERNO"),0)+IFERROR(SUMIFS('Base bordo'!G$2:G$746,'Base bordo'!C$2:C$746,A187,'Base bordo'!B$2:B$746,B187,'Base bordo'!F$2:F$746,"PÁTIO EXTERNO"),0)+IFERROR(SUMIFS('Base bordo'!G$2:G$746,'Base bordo'!C$2:C$746,A187,'Base bordo'!B$2:B$746,B187,'Base bordo'!F$2:F$746,"PATIO - RESERVA"),0)+IFERROR(SUMIFS('Base bordo'!G$2:G$746,'Base bordo'!C$2:C$746,A187,'Base bordo'!B$2:B$746,B187,'Base bordo'!F$2:F$746,"MANOBRA CARRETAS-PATIO"),0)</f>
        <v>6.1611111111111114</v>
      </c>
      <c r="J187" s="10">
        <f>IFERROR(SUMIFS('Base bordo'!G$2:G$746,'Base bordo'!C$2:C$746,A187,'Base bordo'!B$2:B$746,B187,'Base bordo'!F$2:F$746,"BALANÇA - ENTRADA"),0)+IFERROR(SUMIFS('Base bordo'!G$2:G$746,'Base bordo'!C$2:C$746,A187,'Base bordo'!B$2:B$746,B187,'Base bordo'!F$2:F$746,"BALANÇA - SAÍDA"),0)</f>
        <v>0.17694444444444446</v>
      </c>
      <c r="K187" s="10">
        <f>IFERROR(SUMIFS('Base bordo'!G$2:G$746,'Base bordo'!C$2:C$746,A187,'Base bordo'!B$2:B$746,B187,'Base bordo'!F$2:F$746,"MAN PREVENTIVA - MECANICA"),0)+IFERROR(SUMIFS('Base bordo'!G$2:G$746,'Base bordo'!C$2:C$746,A187,'Base bordo'!B$2:B$746,B187,'Base bordo'!F$2:F$746,"MAN CORRETIVA - MECANICA"),0)</f>
        <v>0</v>
      </c>
      <c r="L187" s="10">
        <f>IFERROR(SUMIFS('Base bordo'!G$2:G$746,'Base bordo'!C$2:C$746,A187,'Base bordo'!B$2:B$746,B187,'Base bordo'!F$2:F$746,"MANUTENCAO - T O"),0)+IFERROR(SUMIFS('Base bordo'!G$2:G$746,'Base bordo'!C$2:C$746,A187,'Base bordo'!B$2:B$746,B187,'Base bordo'!F$2:F$746,"MANUTENCAO BORRACHARIA"),0)+IFERROR(SUMIFS('Base bordo'!G$2:G$746,'Base bordo'!C$2:C$746,A187,'Base bordo'!B$2:B$746,B187,'Base bordo'!F$2:F$746,"MANUTENCAO EXTERNA  CONCESSIONARIA"),0)+IFERROR(SUMIFS('Base bordo'!G$2:G$746,'Base bordo'!C$2:C$746,A187,'Base bordo'!B$2:B$746,B187,'Base bordo'!F$2:F$746,"MANUTENCAO TELEMETRIA"),0)</f>
        <v>0</v>
      </c>
      <c r="M187" s="10">
        <f>IFERROR(SUMIFS('Base bordo'!G$2:G$746,'Base bordo'!C$2:C$746,A187,'Base bordo'!B$2:B$746,B187,'Base bordo'!F$2:F$746,"AGUARDANDO MANUTENCAO"),0)</f>
        <v>0</v>
      </c>
      <c r="N187" s="10">
        <f>IFERROR(SUMIFS('Base bordo'!G$2:G$746,'Base bordo'!C$2:C$746,A187,'Base bordo'!B$2:B$746,B187,'Base bordo'!F$2:F$746,"SEM APONTAMENTO"),0)</f>
        <v>0</v>
      </c>
      <c r="O187" s="10">
        <f t="shared" si="24"/>
        <v>-1.7763568394002505E-15</v>
      </c>
      <c r="P187" s="10">
        <f>IFERROR(SUMIFS('Base bordo'!G$2:G$746,'Base bordo'!C$2:C$746,A187,'Base bordo'!B$2:B$746,B187),0)</f>
        <v>15.728055555555555</v>
      </c>
      <c r="Q187" s="10">
        <f>IFERROR(SUMIFS('Base bordo'!H$2:H$746,'Base bordo'!C$2:C$746,A187,'Base bordo'!B$2:B$746,B187,'Base bordo'!F$2:F$746,"DESLOCAMENTO VAZIO"),0)</f>
        <v>357738.43000000005</v>
      </c>
      <c r="R187" s="10">
        <f>IFERROR(SUMIFS('Base bordo'!I$2:I$746,'Base bordo'!C$2:C$746,A187,'Base bordo'!B$2:B$746,B187,'Base bordo'!F$2:F$746,"DESLOCAMENTO VAZIO"),0)</f>
        <v>11038</v>
      </c>
      <c r="S187" s="30">
        <f t="shared" si="25"/>
        <v>32.409714622214175</v>
      </c>
      <c r="T187" s="10">
        <f>IFERROR(SUMIFS('Base bordo'!H$2:H$746,'Base bordo'!C$2:C$746,A187,'Base bordo'!B$2:B$746,B187,'Base bordo'!F$2:F$746,"DESLOCAMENTO CARREGADO"),0)</f>
        <v>519150.98000000004</v>
      </c>
      <c r="U187" s="10">
        <f>IFERROR(SUMIFS('Base bordo'!I$2:I$746,'Base bordo'!C$2:C$746,A187,'Base bordo'!B$2:B$746,B187,'Base bordo'!F$2:F$746,"DESLOCAMENTO CARREGADO"),0)</f>
        <v>20783</v>
      </c>
      <c r="V187" s="30">
        <f t="shared" si="26"/>
        <v>24.979597748159556</v>
      </c>
      <c r="W187" s="9">
        <f t="shared" si="27"/>
        <v>0.19494533830204344</v>
      </c>
      <c r="X187" s="9">
        <f t="shared" si="28"/>
        <v>0.36705462637537312</v>
      </c>
      <c r="Y187" s="9">
        <f t="shared" si="29"/>
        <v>0.43800003532258347</v>
      </c>
    </row>
    <row r="188" spans="1:25" ht="15" customHeight="1" x14ac:dyDescent="0.35">
      <c r="A188" s="52">
        <v>8013461</v>
      </c>
      <c r="B188" s="51">
        <v>46124</v>
      </c>
      <c r="C188" s="7" t="s">
        <v>124</v>
      </c>
      <c r="D188" s="10">
        <f>IFERROR(SUMIFS('Base bordo'!G$2:G$746,'Base bordo'!C$2:C$746,A188,'Base bordo'!B$2:B$746,B188,'Base bordo'!F$2:F$746,"DESLOCAMENTO VAZIO"),0)</f>
        <v>2.7680555555555557</v>
      </c>
      <c r="E188" s="10">
        <f>IFERROR(SUMIFS('Base bordo'!G$2:G$746,'Base bordo'!C$2:C$746,A188,'Base bordo'!B$2:B$746,B188,'Base bordo'!F$2:F$746,"DESLOCAMENTO CARREGADO"),0)</f>
        <v>1.8997222222222223</v>
      </c>
      <c r="F188" s="10">
        <f>IFERROR(SUMIFS('Base bordo'!G$2:G$746,'Base bordo'!C$2:C$746,A188,'Base bordo'!B$2:B$746,B188,'Base bordo'!F$2:F$746,"DESLOCAMENTO"),0)</f>
        <v>0</v>
      </c>
      <c r="G188" s="10">
        <f>IFERROR(SUMIFS('Base bordo'!G$2:G$746,'Base bordo'!C$2:C$746,A188,'Base bordo'!B$2:B$746,B188,'Base bordo'!F$2:F$746,"CARREGAMENTO"),0)</f>
        <v>0</v>
      </c>
      <c r="H188" s="10">
        <f>IFERROR(SUMIFS('Base bordo'!G$2:G$746,'Base bordo'!C$2:C$746,A188,'Base bordo'!B$2:B$746,B188,'Base bordo'!F$2:F$746,"AGUARDANDO TRANSBORDO"),0)</f>
        <v>0.61305555555555558</v>
      </c>
      <c r="I188" s="10">
        <f>IFERROR(SUMIFS('Base bordo'!G$2:G$746,'Base bordo'!C$2:C$746,A188,'Base bordo'!B$2:B$746,B188,'Base bordo'!F$2:F$746,"PÁTIO INTERNO"),0)+IFERROR(SUMIFS('Base bordo'!G$2:G$746,'Base bordo'!C$2:C$746,A188,'Base bordo'!B$2:B$746,B188,'Base bordo'!F$2:F$746,"PÁTIO EXTERNO"),0)+IFERROR(SUMIFS('Base bordo'!G$2:G$746,'Base bordo'!C$2:C$746,A188,'Base bordo'!B$2:B$746,B188,'Base bordo'!F$2:F$746,"PATIO - RESERVA"),0)+IFERROR(SUMIFS('Base bordo'!G$2:G$746,'Base bordo'!C$2:C$746,A188,'Base bordo'!B$2:B$746,B188,'Base bordo'!F$2:F$746,"MANOBRA CARRETAS-PATIO"),0)</f>
        <v>4.3969444444444443</v>
      </c>
      <c r="J188" s="10">
        <f>IFERROR(SUMIFS('Base bordo'!G$2:G$746,'Base bordo'!C$2:C$746,A188,'Base bordo'!B$2:B$746,B188,'Base bordo'!F$2:F$746,"BALANÇA - ENTRADA"),0)+IFERROR(SUMIFS('Base bordo'!G$2:G$746,'Base bordo'!C$2:C$746,A188,'Base bordo'!B$2:B$746,B188,'Base bordo'!F$2:F$746,"BALANÇA - SAÍDA"),0)</f>
        <v>0.3175</v>
      </c>
      <c r="K188" s="10">
        <f>IFERROR(SUMIFS('Base bordo'!G$2:G$746,'Base bordo'!C$2:C$746,A188,'Base bordo'!B$2:B$746,B188,'Base bordo'!F$2:F$746,"MAN PREVENTIVA - MECANICA"),0)+IFERROR(SUMIFS('Base bordo'!G$2:G$746,'Base bordo'!C$2:C$746,A188,'Base bordo'!B$2:B$746,B188,'Base bordo'!F$2:F$746,"MAN CORRETIVA - MECANICA"),0)</f>
        <v>0</v>
      </c>
      <c r="L188" s="10">
        <f>IFERROR(SUMIFS('Base bordo'!G$2:G$746,'Base bordo'!C$2:C$746,A188,'Base bordo'!B$2:B$746,B188,'Base bordo'!F$2:F$746,"MANUTENCAO - T O"),0)+IFERROR(SUMIFS('Base bordo'!G$2:G$746,'Base bordo'!C$2:C$746,A188,'Base bordo'!B$2:B$746,B188,'Base bordo'!F$2:F$746,"MANUTENCAO BORRACHARIA"),0)+IFERROR(SUMIFS('Base bordo'!G$2:G$746,'Base bordo'!C$2:C$746,A188,'Base bordo'!B$2:B$746,B188,'Base bordo'!F$2:F$746,"MANUTENCAO EXTERNA  CONCESSIONARIA"),0)+IFERROR(SUMIFS('Base bordo'!G$2:G$746,'Base bordo'!C$2:C$746,A188,'Base bordo'!B$2:B$746,B188,'Base bordo'!F$2:F$746,"MANUTENCAO TELEMETRIA"),0)</f>
        <v>0</v>
      </c>
      <c r="M188" s="10">
        <f>IFERROR(SUMIFS('Base bordo'!G$2:G$746,'Base bordo'!C$2:C$746,A188,'Base bordo'!B$2:B$746,B188,'Base bordo'!F$2:F$746,"AGUARDANDO MANUTENCAO"),0)</f>
        <v>0</v>
      </c>
      <c r="N188" s="10">
        <f>IFERROR(SUMIFS('Base bordo'!G$2:G$746,'Base bordo'!C$2:C$746,A188,'Base bordo'!B$2:B$746,B188,'Base bordo'!F$2:F$746,"SEM APONTAMENTO"),0)</f>
        <v>0</v>
      </c>
      <c r="O188" s="10">
        <f t="shared" si="24"/>
        <v>1.7763568394002505E-15</v>
      </c>
      <c r="P188" s="10">
        <f>IFERROR(SUMIFS('Base bordo'!G$2:G$746,'Base bordo'!C$2:C$746,A188,'Base bordo'!B$2:B$746,B188),0)</f>
        <v>9.9952777777777797</v>
      </c>
      <c r="Q188" s="10">
        <f>IFERROR(SUMIFS('Base bordo'!H$2:H$746,'Base bordo'!C$2:C$746,A188,'Base bordo'!B$2:B$746,B188,'Base bordo'!F$2:F$746,"DESLOCAMENTO VAZIO"),0)</f>
        <v>281004.56</v>
      </c>
      <c r="R188" s="10">
        <f>IFERROR(SUMIFS('Base bordo'!I$2:I$746,'Base bordo'!C$2:C$746,A188,'Base bordo'!B$2:B$746,B188,'Base bordo'!F$2:F$746,"DESLOCAMENTO VAZIO"),0)</f>
        <v>9965</v>
      </c>
      <c r="S188" s="30">
        <f t="shared" si="25"/>
        <v>28.199153035624686</v>
      </c>
      <c r="T188" s="10">
        <f>IFERROR(SUMIFS('Base bordo'!H$2:H$746,'Base bordo'!C$2:C$746,A188,'Base bordo'!B$2:B$746,B188,'Base bordo'!F$2:F$746,"DESLOCAMENTO CARREGADO"),0)</f>
        <v>117740.31000000001</v>
      </c>
      <c r="U188" s="10">
        <f>IFERROR(SUMIFS('Base bordo'!I$2:I$746,'Base bordo'!C$2:C$746,A188,'Base bordo'!B$2:B$746,B188,'Base bordo'!F$2:F$746,"DESLOCAMENTO CARREGADO"),0)</f>
        <v>6839</v>
      </c>
      <c r="V188" s="30">
        <f t="shared" si="26"/>
        <v>17.216012574937857</v>
      </c>
      <c r="W188" s="9">
        <f t="shared" si="27"/>
        <v>0.27693633104521576</v>
      </c>
      <c r="X188" s="9">
        <f t="shared" si="28"/>
        <v>0.19006197370980737</v>
      </c>
      <c r="Y188" s="9">
        <f t="shared" si="29"/>
        <v>0.53300169524497676</v>
      </c>
    </row>
    <row r="189" spans="1:25" ht="15" customHeight="1" x14ac:dyDescent="0.35">
      <c r="A189" s="52">
        <v>8013460</v>
      </c>
      <c r="B189" s="51">
        <v>46124</v>
      </c>
      <c r="C189" s="7" t="s">
        <v>124</v>
      </c>
      <c r="D189" s="10">
        <f>IFERROR(SUMIFS('Base bordo'!G$2:G$746,'Base bordo'!C$2:C$746,A189,'Base bordo'!B$2:B$746,B189,'Base bordo'!F$2:F$746,"DESLOCAMENTO VAZIO"),0)</f>
        <v>3.2269444444444444</v>
      </c>
      <c r="E189" s="10">
        <f>IFERROR(SUMIFS('Base bordo'!G$2:G$746,'Base bordo'!C$2:C$746,A189,'Base bordo'!B$2:B$746,B189,'Base bordo'!F$2:F$746,"DESLOCAMENTO CARREGADO"),0)</f>
        <v>4.5991666666666671</v>
      </c>
      <c r="F189" s="10">
        <f>IFERROR(SUMIFS('Base bordo'!G$2:G$746,'Base bordo'!C$2:C$746,A189,'Base bordo'!B$2:B$746,B189,'Base bordo'!F$2:F$746,"DESLOCAMENTO"),0)</f>
        <v>0</v>
      </c>
      <c r="G189" s="10">
        <f>IFERROR(SUMIFS('Base bordo'!G$2:G$746,'Base bordo'!C$2:C$746,A189,'Base bordo'!B$2:B$746,B189,'Base bordo'!F$2:F$746,"CARREGAMENTO"),0)</f>
        <v>0</v>
      </c>
      <c r="H189" s="10">
        <f>IFERROR(SUMIFS('Base bordo'!G$2:G$746,'Base bordo'!C$2:C$746,A189,'Base bordo'!B$2:B$746,B189,'Base bordo'!F$2:F$746,"AGUARDANDO TRANSBORDO"),0)</f>
        <v>0.1763888888888889</v>
      </c>
      <c r="I189" s="10">
        <f>IFERROR(SUMIFS('Base bordo'!G$2:G$746,'Base bordo'!C$2:C$746,A189,'Base bordo'!B$2:B$746,B189,'Base bordo'!F$2:F$746,"PÁTIO INTERNO"),0)+IFERROR(SUMIFS('Base bordo'!G$2:G$746,'Base bordo'!C$2:C$746,A189,'Base bordo'!B$2:B$746,B189,'Base bordo'!F$2:F$746,"PÁTIO EXTERNO"),0)+IFERROR(SUMIFS('Base bordo'!G$2:G$746,'Base bordo'!C$2:C$746,A189,'Base bordo'!B$2:B$746,B189,'Base bordo'!F$2:F$746,"PATIO - RESERVA"),0)+IFERROR(SUMIFS('Base bordo'!G$2:G$746,'Base bordo'!C$2:C$746,A189,'Base bordo'!B$2:B$746,B189,'Base bordo'!F$2:F$746,"MANOBRA CARRETAS-PATIO"),0)</f>
        <v>8.8005555555555546</v>
      </c>
      <c r="J189" s="10">
        <f>IFERROR(SUMIFS('Base bordo'!G$2:G$746,'Base bordo'!C$2:C$746,A189,'Base bordo'!B$2:B$746,B189,'Base bordo'!F$2:F$746,"BALANÇA - ENTRADA"),0)+IFERROR(SUMIFS('Base bordo'!G$2:G$746,'Base bordo'!C$2:C$746,A189,'Base bordo'!B$2:B$746,B189,'Base bordo'!F$2:F$746,"BALANÇA - SAÍDA"),0)</f>
        <v>0.12222222222222223</v>
      </c>
      <c r="K189" s="10">
        <f>IFERROR(SUMIFS('Base bordo'!G$2:G$746,'Base bordo'!C$2:C$746,A189,'Base bordo'!B$2:B$746,B189,'Base bordo'!F$2:F$746,"MAN PREVENTIVA - MECANICA"),0)+IFERROR(SUMIFS('Base bordo'!G$2:G$746,'Base bordo'!C$2:C$746,A189,'Base bordo'!B$2:B$746,B189,'Base bordo'!F$2:F$746,"MAN CORRETIVA - MECANICA"),0)</f>
        <v>0</v>
      </c>
      <c r="L189" s="10">
        <f>IFERROR(SUMIFS('Base bordo'!G$2:G$746,'Base bordo'!C$2:C$746,A189,'Base bordo'!B$2:B$746,B189,'Base bordo'!F$2:F$746,"MANUTENCAO - T O"),0)+IFERROR(SUMIFS('Base bordo'!G$2:G$746,'Base bordo'!C$2:C$746,A189,'Base bordo'!B$2:B$746,B189,'Base bordo'!F$2:F$746,"MANUTENCAO BORRACHARIA"),0)+IFERROR(SUMIFS('Base bordo'!G$2:G$746,'Base bordo'!C$2:C$746,A189,'Base bordo'!B$2:B$746,B189,'Base bordo'!F$2:F$746,"MANUTENCAO EXTERNA  CONCESSIONARIA"),0)+IFERROR(SUMIFS('Base bordo'!G$2:G$746,'Base bordo'!C$2:C$746,A189,'Base bordo'!B$2:B$746,B189,'Base bordo'!F$2:F$746,"MANUTENCAO TELEMETRIA"),0)</f>
        <v>0</v>
      </c>
      <c r="M189" s="10">
        <f>IFERROR(SUMIFS('Base bordo'!G$2:G$746,'Base bordo'!C$2:C$746,A189,'Base bordo'!B$2:B$746,B189,'Base bordo'!F$2:F$746,"AGUARDANDO MANUTENCAO"),0)</f>
        <v>0</v>
      </c>
      <c r="N189" s="10">
        <f>IFERROR(SUMIFS('Base bordo'!G$2:G$746,'Base bordo'!C$2:C$746,A189,'Base bordo'!B$2:B$746,B189,'Base bordo'!F$2:F$746,"SEM APONTAMENTO"),0)</f>
        <v>0</v>
      </c>
      <c r="O189" s="10">
        <f t="shared" si="24"/>
        <v>0</v>
      </c>
      <c r="P189" s="10">
        <f>IFERROR(SUMIFS('Base bordo'!G$2:G$746,'Base bordo'!C$2:C$746,A189,'Base bordo'!B$2:B$746,B189),0)</f>
        <v>16.925277777777776</v>
      </c>
      <c r="Q189" s="10">
        <f>IFERROR(SUMIFS('Base bordo'!H$2:H$746,'Base bordo'!C$2:C$746,A189,'Base bordo'!B$2:B$746,B189,'Base bordo'!F$2:F$746,"DESLOCAMENTO VAZIO"),0)</f>
        <v>360275.76</v>
      </c>
      <c r="R189" s="10">
        <f>IFERROR(SUMIFS('Base bordo'!I$2:I$746,'Base bordo'!C$2:C$746,A189,'Base bordo'!B$2:B$746,B189,'Base bordo'!F$2:F$746,"DESLOCAMENTO VAZIO"),0)</f>
        <v>11617</v>
      </c>
      <c r="S189" s="30">
        <f t="shared" si="25"/>
        <v>31.012805371438411</v>
      </c>
      <c r="T189" s="10">
        <f>IFERROR(SUMIFS('Base bordo'!H$2:H$746,'Base bordo'!C$2:C$746,A189,'Base bordo'!B$2:B$746,B189,'Base bordo'!F$2:F$746,"DESLOCAMENTO CARREGADO"),0)</f>
        <v>354323.07999999996</v>
      </c>
      <c r="U189" s="10">
        <f>IFERROR(SUMIFS('Base bordo'!I$2:I$746,'Base bordo'!C$2:C$746,A189,'Base bordo'!B$2:B$746,B189,'Base bordo'!F$2:F$746,"DESLOCAMENTO CARREGADO"),0)</f>
        <v>16557</v>
      </c>
      <c r="V189" s="30">
        <f t="shared" si="26"/>
        <v>21.400198103521166</v>
      </c>
      <c r="W189" s="9">
        <f t="shared" si="27"/>
        <v>0.19065828560174625</v>
      </c>
      <c r="X189" s="9">
        <f t="shared" si="28"/>
        <v>0.27173360030198096</v>
      </c>
      <c r="Y189" s="9">
        <f t="shared" si="29"/>
        <v>0.53760811409627274</v>
      </c>
    </row>
    <row r="190" spans="1:25" ht="15" customHeight="1" x14ac:dyDescent="0.35">
      <c r="A190" s="52">
        <v>8013460</v>
      </c>
      <c r="B190" s="51">
        <v>46117</v>
      </c>
      <c r="C190" s="7" t="s">
        <v>124</v>
      </c>
      <c r="D190" s="10">
        <f>IFERROR(SUMIFS('Base bordo'!G$2:G$746,'Base bordo'!C$2:C$746,A190,'Base bordo'!B$2:B$746,B190,'Base bordo'!F$2:F$746,"DESLOCAMENTO VAZIO"),0)</f>
        <v>5.2069444444444448</v>
      </c>
      <c r="E190" s="10">
        <f>IFERROR(SUMIFS('Base bordo'!G$2:G$746,'Base bordo'!C$2:C$746,A190,'Base bordo'!B$2:B$746,B190,'Base bordo'!F$2:F$746,"DESLOCAMENTO CARREGADO"),0)</f>
        <v>0.55944444444444441</v>
      </c>
      <c r="F190" s="10">
        <f>IFERROR(SUMIFS('Base bordo'!G$2:G$746,'Base bordo'!C$2:C$746,A190,'Base bordo'!B$2:B$746,B190,'Base bordo'!F$2:F$746,"DESLOCAMENTO"),0)</f>
        <v>3.0825</v>
      </c>
      <c r="G190" s="10">
        <f>IFERROR(SUMIFS('Base bordo'!G$2:G$746,'Base bordo'!C$2:C$746,A190,'Base bordo'!B$2:B$746,B190,'Base bordo'!F$2:F$746,"CARREGAMENTO"),0)</f>
        <v>2.5000000000000001E-3</v>
      </c>
      <c r="H190" s="10">
        <f>IFERROR(SUMIFS('Base bordo'!G$2:G$746,'Base bordo'!C$2:C$746,A190,'Base bordo'!B$2:B$746,B190,'Base bordo'!F$2:F$746,"AGUARDANDO TRANSBORDO"),0)</f>
        <v>1.0013888888888889</v>
      </c>
      <c r="I190" s="10">
        <f>IFERROR(SUMIFS('Base bordo'!G$2:G$746,'Base bordo'!C$2:C$746,A190,'Base bordo'!B$2:B$746,B190,'Base bordo'!F$2:F$746,"PÁTIO INTERNO"),0)+IFERROR(SUMIFS('Base bordo'!G$2:G$746,'Base bordo'!C$2:C$746,A190,'Base bordo'!B$2:B$746,B190,'Base bordo'!F$2:F$746,"PÁTIO EXTERNO"),0)+IFERROR(SUMIFS('Base bordo'!G$2:G$746,'Base bordo'!C$2:C$746,A190,'Base bordo'!B$2:B$746,B190,'Base bordo'!F$2:F$746,"PATIO - RESERVA"),0)+IFERROR(SUMIFS('Base bordo'!G$2:G$746,'Base bordo'!C$2:C$746,A190,'Base bordo'!B$2:B$746,B190,'Base bordo'!F$2:F$746,"MANOBRA CARRETAS-PATIO"),0)</f>
        <v>0.54972222222222222</v>
      </c>
      <c r="J190" s="10">
        <f>IFERROR(SUMIFS('Base bordo'!G$2:G$746,'Base bordo'!C$2:C$746,A190,'Base bordo'!B$2:B$746,B190,'Base bordo'!F$2:F$746,"BALANÇA - ENTRADA"),0)+IFERROR(SUMIFS('Base bordo'!G$2:G$746,'Base bordo'!C$2:C$746,A190,'Base bordo'!B$2:B$746,B190,'Base bordo'!F$2:F$746,"BALANÇA - SAÍDA"),0)</f>
        <v>0</v>
      </c>
      <c r="K190" s="10">
        <f>IFERROR(SUMIFS('Base bordo'!G$2:G$746,'Base bordo'!C$2:C$746,A190,'Base bordo'!B$2:B$746,B190,'Base bordo'!F$2:F$746,"MAN PREVENTIVA - MECANICA"),0)+IFERROR(SUMIFS('Base bordo'!G$2:G$746,'Base bordo'!C$2:C$746,A190,'Base bordo'!B$2:B$746,B190,'Base bordo'!F$2:F$746,"MAN CORRETIVA - MECANICA"),0)</f>
        <v>0</v>
      </c>
      <c r="L190" s="10">
        <f>IFERROR(SUMIFS('Base bordo'!G$2:G$746,'Base bordo'!C$2:C$746,A190,'Base bordo'!B$2:B$746,B190,'Base bordo'!F$2:F$746,"MANUTENCAO - T O"),0)+IFERROR(SUMIFS('Base bordo'!G$2:G$746,'Base bordo'!C$2:C$746,A190,'Base bordo'!B$2:B$746,B190,'Base bordo'!F$2:F$746,"MANUTENCAO BORRACHARIA"),0)+IFERROR(SUMIFS('Base bordo'!G$2:G$746,'Base bordo'!C$2:C$746,A190,'Base bordo'!B$2:B$746,B190,'Base bordo'!F$2:F$746,"MANUTENCAO EXTERNA  CONCESSIONARIA"),0)+IFERROR(SUMIFS('Base bordo'!G$2:G$746,'Base bordo'!C$2:C$746,A190,'Base bordo'!B$2:B$746,B190,'Base bordo'!F$2:F$746,"MANUTENCAO TELEMETRIA"),0)</f>
        <v>10.766111111111112</v>
      </c>
      <c r="M190" s="10">
        <f>IFERROR(SUMIFS('Base bordo'!G$2:G$746,'Base bordo'!C$2:C$746,A190,'Base bordo'!B$2:B$746,B190,'Base bordo'!F$2:F$746,"AGUARDANDO MANUTENCAO"),0)</f>
        <v>0</v>
      </c>
      <c r="N190" s="10">
        <f>IFERROR(SUMIFS('Base bordo'!G$2:G$746,'Base bordo'!C$2:C$746,A190,'Base bordo'!B$2:B$746,B190,'Base bordo'!F$2:F$746,"SEM APONTAMENTO"),0)</f>
        <v>0.29444444444444445</v>
      </c>
      <c r="O190" s="10">
        <f t="shared" si="24"/>
        <v>2.536944444444444</v>
      </c>
      <c r="P190" s="10">
        <f>IFERROR(SUMIFS('Base bordo'!G$2:G$746,'Base bordo'!C$2:C$746,A190,'Base bordo'!B$2:B$746,B190),0)</f>
        <v>24</v>
      </c>
      <c r="Q190" s="10">
        <f>IFERROR(SUMIFS('Base bordo'!H$2:H$746,'Base bordo'!C$2:C$746,A190,'Base bordo'!B$2:B$746,B190,'Base bordo'!F$2:F$746,"DESLOCAMENTO VAZIO"),0)</f>
        <v>595925.09</v>
      </c>
      <c r="R190" s="10">
        <f>IFERROR(SUMIFS('Base bordo'!I$2:I$746,'Base bordo'!C$2:C$746,A190,'Base bordo'!B$2:B$746,B190,'Base bordo'!F$2:F$746,"DESLOCAMENTO VAZIO"),0)</f>
        <v>18745</v>
      </c>
      <c r="S190" s="30">
        <f t="shared" si="25"/>
        <v>31.791149106428378</v>
      </c>
      <c r="T190" s="10">
        <f>IFERROR(SUMIFS('Base bordo'!H$2:H$746,'Base bordo'!C$2:C$746,A190,'Base bordo'!B$2:B$746,B190,'Base bordo'!F$2:F$746,"DESLOCAMENTO CARREGADO"),0)</f>
        <v>52858.36</v>
      </c>
      <c r="U190" s="10">
        <f>IFERROR(SUMIFS('Base bordo'!I$2:I$746,'Base bordo'!C$2:C$746,A190,'Base bordo'!B$2:B$746,B190,'Base bordo'!F$2:F$746,"DESLOCAMENTO CARREGADO"),0)</f>
        <v>2014</v>
      </c>
      <c r="V190" s="30">
        <f t="shared" si="26"/>
        <v>26.245461767626615</v>
      </c>
      <c r="W190" s="9">
        <f t="shared" si="27"/>
        <v>0.21695601851851853</v>
      </c>
      <c r="X190" s="9">
        <f t="shared" si="28"/>
        <v>2.3310185185185184E-2</v>
      </c>
      <c r="Y190" s="9">
        <f t="shared" si="29"/>
        <v>0.75973379629629634</v>
      </c>
    </row>
    <row r="191" spans="1:25" ht="15" customHeight="1" x14ac:dyDescent="0.35">
      <c r="A191" s="52">
        <v>8013478</v>
      </c>
      <c r="B191" s="51">
        <v>46121</v>
      </c>
      <c r="C191" s="7" t="s">
        <v>124</v>
      </c>
      <c r="D191" s="10">
        <f>IFERROR(SUMIFS('Base bordo'!G$2:G$746,'Base bordo'!C$2:C$746,A191,'Base bordo'!B$2:B$746,B191,'Base bordo'!F$2:F$746,"DESLOCAMENTO VAZIO"),0)</f>
        <v>0.20416666666666666</v>
      </c>
      <c r="E191" s="10">
        <f>IFERROR(SUMIFS('Base bordo'!G$2:G$746,'Base bordo'!C$2:C$746,A191,'Base bordo'!B$2:B$746,B191,'Base bordo'!F$2:F$746,"DESLOCAMENTO CARREGADO"),0)</f>
        <v>0</v>
      </c>
      <c r="F191" s="10">
        <f>IFERROR(SUMIFS('Base bordo'!G$2:G$746,'Base bordo'!C$2:C$746,A191,'Base bordo'!B$2:B$746,B191,'Base bordo'!F$2:F$746,"DESLOCAMENTO"),0)</f>
        <v>0</v>
      </c>
      <c r="G191" s="10">
        <f>IFERROR(SUMIFS('Base bordo'!G$2:G$746,'Base bordo'!C$2:C$746,A191,'Base bordo'!B$2:B$746,B191,'Base bordo'!F$2:F$746,"CARREGAMENTO"),0)</f>
        <v>0</v>
      </c>
      <c r="H191" s="10">
        <f>IFERROR(SUMIFS('Base bordo'!G$2:G$746,'Base bordo'!C$2:C$746,A191,'Base bordo'!B$2:B$746,B191,'Base bordo'!F$2:F$746,"AGUARDANDO TRANSBORDO"),0)</f>
        <v>0</v>
      </c>
      <c r="I191" s="10">
        <f>IFERROR(SUMIFS('Base bordo'!G$2:G$746,'Base bordo'!C$2:C$746,A191,'Base bordo'!B$2:B$746,B191,'Base bordo'!F$2:F$746,"PÁTIO INTERNO"),0)+IFERROR(SUMIFS('Base bordo'!G$2:G$746,'Base bordo'!C$2:C$746,A191,'Base bordo'!B$2:B$746,B191,'Base bordo'!F$2:F$746,"PÁTIO EXTERNO"),0)+IFERROR(SUMIFS('Base bordo'!G$2:G$746,'Base bordo'!C$2:C$746,A191,'Base bordo'!B$2:B$746,B191,'Base bordo'!F$2:F$746,"PATIO - RESERVA"),0)+IFERROR(SUMIFS('Base bordo'!G$2:G$746,'Base bordo'!C$2:C$746,A191,'Base bordo'!B$2:B$746,B191,'Base bordo'!F$2:F$746,"MANOBRA CARRETAS-PATIO"),0)</f>
        <v>0</v>
      </c>
      <c r="J191" s="10">
        <f>IFERROR(SUMIFS('Base bordo'!G$2:G$746,'Base bordo'!C$2:C$746,A191,'Base bordo'!B$2:B$746,B191,'Base bordo'!F$2:F$746,"BALANÇA - ENTRADA"),0)+IFERROR(SUMIFS('Base bordo'!G$2:G$746,'Base bordo'!C$2:C$746,A191,'Base bordo'!B$2:B$746,B191,'Base bordo'!F$2:F$746,"BALANÇA - SAÍDA"),0)</f>
        <v>0</v>
      </c>
      <c r="K191" s="10">
        <f>IFERROR(SUMIFS('Base bordo'!G$2:G$746,'Base bordo'!C$2:C$746,A191,'Base bordo'!B$2:B$746,B191,'Base bordo'!F$2:F$746,"MAN PREVENTIVA - MECANICA"),0)+IFERROR(SUMIFS('Base bordo'!G$2:G$746,'Base bordo'!C$2:C$746,A191,'Base bordo'!B$2:B$746,B191,'Base bordo'!F$2:F$746,"MAN CORRETIVA - MECANICA"),0)</f>
        <v>0</v>
      </c>
      <c r="L191" s="10">
        <f>IFERROR(SUMIFS('Base bordo'!G$2:G$746,'Base bordo'!C$2:C$746,A191,'Base bordo'!B$2:B$746,B191,'Base bordo'!F$2:F$746,"MANUTENCAO - T O"),0)+IFERROR(SUMIFS('Base bordo'!G$2:G$746,'Base bordo'!C$2:C$746,A191,'Base bordo'!B$2:B$746,B191,'Base bordo'!F$2:F$746,"MANUTENCAO BORRACHARIA"),0)+IFERROR(SUMIFS('Base bordo'!G$2:G$746,'Base bordo'!C$2:C$746,A191,'Base bordo'!B$2:B$746,B191,'Base bordo'!F$2:F$746,"MANUTENCAO EXTERNA  CONCESSIONARIA"),0)+IFERROR(SUMIFS('Base bordo'!G$2:G$746,'Base bordo'!C$2:C$746,A191,'Base bordo'!B$2:B$746,B191,'Base bordo'!F$2:F$746,"MANUTENCAO TELEMETRIA"),0)</f>
        <v>0</v>
      </c>
      <c r="M191" s="10">
        <f>IFERROR(SUMIFS('Base bordo'!G$2:G$746,'Base bordo'!C$2:C$746,A191,'Base bordo'!B$2:B$746,B191,'Base bordo'!F$2:F$746,"AGUARDANDO MANUTENCAO"),0)</f>
        <v>0</v>
      </c>
      <c r="N191" s="10">
        <f>IFERROR(SUMIFS('Base bordo'!G$2:G$746,'Base bordo'!C$2:C$746,A191,'Base bordo'!B$2:B$746,B191,'Base bordo'!F$2:F$746,"SEM APONTAMENTO"),0)</f>
        <v>0</v>
      </c>
      <c r="O191" s="10">
        <f t="shared" si="24"/>
        <v>0</v>
      </c>
      <c r="P191" s="10">
        <f>IFERROR(SUMIFS('Base bordo'!G$2:G$746,'Base bordo'!C$2:C$746,A191,'Base bordo'!B$2:B$746,B191),0)</f>
        <v>0.20416666666666666</v>
      </c>
      <c r="Q191" s="10">
        <f>IFERROR(SUMIFS('Base bordo'!H$2:H$746,'Base bordo'!C$2:C$746,A191,'Base bordo'!B$2:B$746,B191,'Base bordo'!F$2:F$746,"DESLOCAMENTO VAZIO"),0)</f>
        <v>17840.349999999999</v>
      </c>
      <c r="R191" s="10">
        <f>IFERROR(SUMIFS('Base bordo'!I$2:I$746,'Base bordo'!C$2:C$746,A191,'Base bordo'!B$2:B$746,B191,'Base bordo'!F$2:F$746,"DESLOCAMENTO VAZIO"),0)</f>
        <v>735</v>
      </c>
      <c r="S191" s="30">
        <f t="shared" si="25"/>
        <v>24.272585034013602</v>
      </c>
      <c r="T191" s="10">
        <f>IFERROR(SUMIFS('Base bordo'!H$2:H$746,'Base bordo'!C$2:C$746,A191,'Base bordo'!B$2:B$746,B191,'Base bordo'!F$2:F$746,"DESLOCAMENTO CARREGADO"),0)</f>
        <v>0</v>
      </c>
      <c r="U191" s="10">
        <f>IFERROR(SUMIFS('Base bordo'!I$2:I$746,'Base bordo'!C$2:C$746,A191,'Base bordo'!B$2:B$746,B191,'Base bordo'!F$2:F$746,"DESLOCAMENTO CARREGADO"),0)</f>
        <v>0</v>
      </c>
      <c r="V191" s="30" t="str">
        <f t="shared" si="26"/>
        <v/>
      </c>
      <c r="W191" s="9">
        <f t="shared" si="27"/>
        <v>1</v>
      </c>
      <c r="X191" s="9">
        <f t="shared" si="28"/>
        <v>0</v>
      </c>
      <c r="Y191" s="9">
        <f t="shared" si="29"/>
        <v>0</v>
      </c>
    </row>
    <row r="192" spans="1:25" ht="15" customHeight="1" x14ac:dyDescent="0.35">
      <c r="A192" s="52">
        <v>8013483</v>
      </c>
      <c r="B192" s="51">
        <v>46124</v>
      </c>
      <c r="C192" s="7" t="s">
        <v>124</v>
      </c>
      <c r="D192" s="10">
        <f>IFERROR(SUMIFS('Base bordo'!G$2:G$746,'Base bordo'!C$2:C$746,A192,'Base bordo'!B$2:B$746,B192,'Base bordo'!F$2:F$746,"DESLOCAMENTO VAZIO"),0)</f>
        <v>3.0661111111111112</v>
      </c>
      <c r="E192" s="10">
        <f>IFERROR(SUMIFS('Base bordo'!G$2:G$746,'Base bordo'!C$2:C$746,A192,'Base bordo'!B$2:B$746,B192,'Base bordo'!F$2:F$746,"DESLOCAMENTO CARREGADO"),0)</f>
        <v>5.7730555555555556</v>
      </c>
      <c r="F192" s="10">
        <f>IFERROR(SUMIFS('Base bordo'!G$2:G$746,'Base bordo'!C$2:C$746,A192,'Base bordo'!B$2:B$746,B192,'Base bordo'!F$2:F$746,"DESLOCAMENTO"),0)</f>
        <v>0</v>
      </c>
      <c r="G192" s="10">
        <f>IFERROR(SUMIFS('Base bordo'!G$2:G$746,'Base bordo'!C$2:C$746,A192,'Base bordo'!B$2:B$746,B192,'Base bordo'!F$2:F$746,"CARREGAMENTO"),0)</f>
        <v>0</v>
      </c>
      <c r="H192" s="10">
        <f>IFERROR(SUMIFS('Base bordo'!G$2:G$746,'Base bordo'!C$2:C$746,A192,'Base bordo'!B$2:B$746,B192,'Base bordo'!F$2:F$746,"AGUARDANDO TRANSBORDO"),0)</f>
        <v>0.55083333333333329</v>
      </c>
      <c r="I192" s="10">
        <f>IFERROR(SUMIFS('Base bordo'!G$2:G$746,'Base bordo'!C$2:C$746,A192,'Base bordo'!B$2:B$746,B192,'Base bordo'!F$2:F$746,"PÁTIO INTERNO"),0)+IFERROR(SUMIFS('Base bordo'!G$2:G$746,'Base bordo'!C$2:C$746,A192,'Base bordo'!B$2:B$746,B192,'Base bordo'!F$2:F$746,"PÁTIO EXTERNO"),0)+IFERROR(SUMIFS('Base bordo'!G$2:G$746,'Base bordo'!C$2:C$746,A192,'Base bordo'!B$2:B$746,B192,'Base bordo'!F$2:F$746,"PATIO - RESERVA"),0)+IFERROR(SUMIFS('Base bordo'!G$2:G$746,'Base bordo'!C$2:C$746,A192,'Base bordo'!B$2:B$746,B192,'Base bordo'!F$2:F$746,"MANOBRA CARRETAS-PATIO"),0)</f>
        <v>6.1611111111111114</v>
      </c>
      <c r="J192" s="10">
        <f>IFERROR(SUMIFS('Base bordo'!G$2:G$746,'Base bordo'!C$2:C$746,A192,'Base bordo'!B$2:B$746,B192,'Base bordo'!F$2:F$746,"BALANÇA - ENTRADA"),0)+IFERROR(SUMIFS('Base bordo'!G$2:G$746,'Base bordo'!C$2:C$746,A192,'Base bordo'!B$2:B$746,B192,'Base bordo'!F$2:F$746,"BALANÇA - SAÍDA"),0)</f>
        <v>0.17694444444444446</v>
      </c>
      <c r="K192" s="10">
        <f>IFERROR(SUMIFS('Base bordo'!G$2:G$746,'Base bordo'!C$2:C$746,A192,'Base bordo'!B$2:B$746,B192,'Base bordo'!F$2:F$746,"MAN PREVENTIVA - MECANICA"),0)+IFERROR(SUMIFS('Base bordo'!G$2:G$746,'Base bordo'!C$2:C$746,A192,'Base bordo'!B$2:B$746,B192,'Base bordo'!F$2:F$746,"MAN CORRETIVA - MECANICA"),0)</f>
        <v>0</v>
      </c>
      <c r="L192" s="10">
        <f>IFERROR(SUMIFS('Base bordo'!G$2:G$746,'Base bordo'!C$2:C$746,A192,'Base bordo'!B$2:B$746,B192,'Base bordo'!F$2:F$746,"MANUTENCAO - T O"),0)+IFERROR(SUMIFS('Base bordo'!G$2:G$746,'Base bordo'!C$2:C$746,A192,'Base bordo'!B$2:B$746,B192,'Base bordo'!F$2:F$746,"MANUTENCAO BORRACHARIA"),0)+IFERROR(SUMIFS('Base bordo'!G$2:G$746,'Base bordo'!C$2:C$746,A192,'Base bordo'!B$2:B$746,B192,'Base bordo'!F$2:F$746,"MANUTENCAO EXTERNA  CONCESSIONARIA"),0)+IFERROR(SUMIFS('Base bordo'!G$2:G$746,'Base bordo'!C$2:C$746,A192,'Base bordo'!B$2:B$746,B192,'Base bordo'!F$2:F$746,"MANUTENCAO TELEMETRIA"),0)</f>
        <v>0</v>
      </c>
      <c r="M192" s="10">
        <f>IFERROR(SUMIFS('Base bordo'!G$2:G$746,'Base bordo'!C$2:C$746,A192,'Base bordo'!B$2:B$746,B192,'Base bordo'!F$2:F$746,"AGUARDANDO MANUTENCAO"),0)</f>
        <v>0</v>
      </c>
      <c r="N192" s="10">
        <f>IFERROR(SUMIFS('Base bordo'!G$2:G$746,'Base bordo'!C$2:C$746,A192,'Base bordo'!B$2:B$746,B192,'Base bordo'!F$2:F$746,"SEM APONTAMENTO"),0)</f>
        <v>0</v>
      </c>
      <c r="O192" s="10">
        <f t="shared" si="24"/>
        <v>-1.7763568394002505E-15</v>
      </c>
      <c r="P192" s="10">
        <f>IFERROR(SUMIFS('Base bordo'!G$2:G$746,'Base bordo'!C$2:C$746,A192,'Base bordo'!B$2:B$746,B192),0)</f>
        <v>15.728055555555555</v>
      </c>
      <c r="Q192" s="10">
        <f>IFERROR(SUMIFS('Base bordo'!H$2:H$746,'Base bordo'!C$2:C$746,A192,'Base bordo'!B$2:B$746,B192,'Base bordo'!F$2:F$746,"DESLOCAMENTO VAZIO"),0)</f>
        <v>357738.43000000005</v>
      </c>
      <c r="R192" s="10">
        <f>IFERROR(SUMIFS('Base bordo'!I$2:I$746,'Base bordo'!C$2:C$746,A192,'Base bordo'!B$2:B$746,B192,'Base bordo'!F$2:F$746,"DESLOCAMENTO VAZIO"),0)</f>
        <v>11038</v>
      </c>
      <c r="S192" s="30">
        <f t="shared" si="25"/>
        <v>32.409714622214175</v>
      </c>
      <c r="T192" s="10">
        <f>IFERROR(SUMIFS('Base bordo'!H$2:H$746,'Base bordo'!C$2:C$746,A192,'Base bordo'!B$2:B$746,B192,'Base bordo'!F$2:F$746,"DESLOCAMENTO CARREGADO"),0)</f>
        <v>519150.98000000004</v>
      </c>
      <c r="U192" s="10">
        <f>IFERROR(SUMIFS('Base bordo'!I$2:I$746,'Base bordo'!C$2:C$746,A192,'Base bordo'!B$2:B$746,B192,'Base bordo'!F$2:F$746,"DESLOCAMENTO CARREGADO"),0)</f>
        <v>20783</v>
      </c>
      <c r="V192" s="30">
        <f t="shared" si="26"/>
        <v>24.979597748159556</v>
      </c>
      <c r="W192" s="9">
        <f t="shared" si="27"/>
        <v>0.19494533830204344</v>
      </c>
      <c r="X192" s="9">
        <f t="shared" si="28"/>
        <v>0.36705462637537312</v>
      </c>
      <c r="Y192" s="9">
        <f t="shared" si="29"/>
        <v>0.43800003532258347</v>
      </c>
    </row>
    <row r="193" spans="1:25" ht="15" customHeight="1" x14ac:dyDescent="0.35">
      <c r="A193" s="52">
        <v>8013469</v>
      </c>
      <c r="B193" s="51">
        <v>46124</v>
      </c>
      <c r="C193" s="7" t="s">
        <v>124</v>
      </c>
      <c r="D193" s="10">
        <f>IFERROR(SUMIFS('Base bordo'!G$2:G$746,'Base bordo'!C$2:C$746,A193,'Base bordo'!B$2:B$746,B193,'Base bordo'!F$2:F$746,"DESLOCAMENTO VAZIO"),0)</f>
        <v>2.4083333333333332</v>
      </c>
      <c r="E193" s="10">
        <f>IFERROR(SUMIFS('Base bordo'!G$2:G$746,'Base bordo'!C$2:C$746,A193,'Base bordo'!B$2:B$746,B193,'Base bordo'!F$2:F$746,"DESLOCAMENTO CARREGADO"),0)</f>
        <v>1.3047222222222221</v>
      </c>
      <c r="F193" s="10">
        <f>IFERROR(SUMIFS('Base bordo'!G$2:G$746,'Base bordo'!C$2:C$746,A193,'Base bordo'!B$2:B$746,B193,'Base bordo'!F$2:F$746,"DESLOCAMENTO"),0)</f>
        <v>0</v>
      </c>
      <c r="G193" s="10">
        <f>IFERROR(SUMIFS('Base bordo'!G$2:G$746,'Base bordo'!C$2:C$746,A193,'Base bordo'!B$2:B$746,B193,'Base bordo'!F$2:F$746,"CARREGAMENTO"),0)</f>
        <v>0</v>
      </c>
      <c r="H193" s="10">
        <f>IFERROR(SUMIFS('Base bordo'!G$2:G$746,'Base bordo'!C$2:C$746,A193,'Base bordo'!B$2:B$746,B193,'Base bordo'!F$2:F$746,"AGUARDANDO TRANSBORDO"),0)</f>
        <v>0</v>
      </c>
      <c r="I193" s="10">
        <f>IFERROR(SUMIFS('Base bordo'!G$2:G$746,'Base bordo'!C$2:C$746,A193,'Base bordo'!B$2:B$746,B193,'Base bordo'!F$2:F$746,"PÁTIO INTERNO"),0)+IFERROR(SUMIFS('Base bordo'!G$2:G$746,'Base bordo'!C$2:C$746,A193,'Base bordo'!B$2:B$746,B193,'Base bordo'!F$2:F$746,"PÁTIO EXTERNO"),0)+IFERROR(SUMIFS('Base bordo'!G$2:G$746,'Base bordo'!C$2:C$746,A193,'Base bordo'!B$2:B$746,B193,'Base bordo'!F$2:F$746,"PATIO - RESERVA"),0)+IFERROR(SUMIFS('Base bordo'!G$2:G$746,'Base bordo'!C$2:C$746,A193,'Base bordo'!B$2:B$746,B193,'Base bordo'!F$2:F$746,"MANOBRA CARRETAS-PATIO"),0)</f>
        <v>6.987222222222222</v>
      </c>
      <c r="J193" s="10">
        <f>IFERROR(SUMIFS('Base bordo'!G$2:G$746,'Base bordo'!C$2:C$746,A193,'Base bordo'!B$2:B$746,B193,'Base bordo'!F$2:F$746,"BALANÇA - ENTRADA"),0)+IFERROR(SUMIFS('Base bordo'!G$2:G$746,'Base bordo'!C$2:C$746,A193,'Base bordo'!B$2:B$746,B193,'Base bordo'!F$2:F$746,"BALANÇA - SAÍDA"),0)</f>
        <v>0.10888888888888888</v>
      </c>
      <c r="K193" s="10">
        <f>IFERROR(SUMIFS('Base bordo'!G$2:G$746,'Base bordo'!C$2:C$746,A193,'Base bordo'!B$2:B$746,B193,'Base bordo'!F$2:F$746,"MAN PREVENTIVA - MECANICA"),0)+IFERROR(SUMIFS('Base bordo'!G$2:G$746,'Base bordo'!C$2:C$746,A193,'Base bordo'!B$2:B$746,B193,'Base bordo'!F$2:F$746,"MAN CORRETIVA - MECANICA"),0)</f>
        <v>0</v>
      </c>
      <c r="L193" s="10">
        <f>IFERROR(SUMIFS('Base bordo'!G$2:G$746,'Base bordo'!C$2:C$746,A193,'Base bordo'!B$2:B$746,B193,'Base bordo'!F$2:F$746,"MANUTENCAO - T O"),0)+IFERROR(SUMIFS('Base bordo'!G$2:G$746,'Base bordo'!C$2:C$746,A193,'Base bordo'!B$2:B$746,B193,'Base bordo'!F$2:F$746,"MANUTENCAO BORRACHARIA"),0)+IFERROR(SUMIFS('Base bordo'!G$2:G$746,'Base bordo'!C$2:C$746,A193,'Base bordo'!B$2:B$746,B193,'Base bordo'!F$2:F$746,"MANUTENCAO EXTERNA  CONCESSIONARIA"),0)+IFERROR(SUMIFS('Base bordo'!G$2:G$746,'Base bordo'!C$2:C$746,A193,'Base bordo'!B$2:B$746,B193,'Base bordo'!F$2:F$746,"MANUTENCAO TELEMETRIA"),0)</f>
        <v>0</v>
      </c>
      <c r="M193" s="10">
        <f>IFERROR(SUMIFS('Base bordo'!G$2:G$746,'Base bordo'!C$2:C$746,A193,'Base bordo'!B$2:B$746,B193,'Base bordo'!F$2:F$746,"AGUARDANDO MANUTENCAO"),0)</f>
        <v>0</v>
      </c>
      <c r="N193" s="10">
        <f>IFERROR(SUMIFS('Base bordo'!G$2:G$746,'Base bordo'!C$2:C$746,A193,'Base bordo'!B$2:B$746,B193,'Base bordo'!F$2:F$746,"SEM APONTAMENTO"),0)</f>
        <v>0</v>
      </c>
      <c r="O193" s="10">
        <f t="shared" si="24"/>
        <v>1.7763568394002505E-15</v>
      </c>
      <c r="P193" s="10">
        <f>IFERROR(SUMIFS('Base bordo'!G$2:G$746,'Base bordo'!C$2:C$746,A193,'Base bordo'!B$2:B$746,B193),0)</f>
        <v>10.809166666666668</v>
      </c>
      <c r="Q193" s="10">
        <f>IFERROR(SUMIFS('Base bordo'!H$2:H$746,'Base bordo'!C$2:C$746,A193,'Base bordo'!B$2:B$746,B193,'Base bordo'!F$2:F$746,"DESLOCAMENTO VAZIO"),0)</f>
        <v>279312.71000000002</v>
      </c>
      <c r="R193" s="10">
        <f>IFERROR(SUMIFS('Base bordo'!I$2:I$746,'Base bordo'!C$2:C$746,A193,'Base bordo'!B$2:B$746,B193,'Base bordo'!F$2:F$746,"DESLOCAMENTO VAZIO"),0)</f>
        <v>8670</v>
      </c>
      <c r="S193" s="30">
        <f t="shared" si="25"/>
        <v>32.215998846597465</v>
      </c>
      <c r="T193" s="10">
        <f>IFERROR(SUMIFS('Base bordo'!H$2:H$746,'Base bordo'!C$2:C$746,A193,'Base bordo'!B$2:B$746,B193,'Base bordo'!F$2:F$746,"DESLOCAMENTO CARREGADO"),0)</f>
        <v>82241.990000000005</v>
      </c>
      <c r="U193" s="10">
        <f>IFERROR(SUMIFS('Base bordo'!I$2:I$746,'Base bordo'!C$2:C$746,A193,'Base bordo'!B$2:B$746,B193,'Base bordo'!F$2:F$746,"DESLOCAMENTO CARREGADO"),0)</f>
        <v>4697</v>
      </c>
      <c r="V193" s="30">
        <f t="shared" si="26"/>
        <v>17.50947200340643</v>
      </c>
      <c r="W193" s="9">
        <f t="shared" si="27"/>
        <v>0.22280471821756223</v>
      </c>
      <c r="X193" s="9">
        <f t="shared" si="28"/>
        <v>0.12070516279906456</v>
      </c>
      <c r="Y193" s="9">
        <f t="shared" si="29"/>
        <v>0.65649011898337317</v>
      </c>
    </row>
    <row r="194" spans="1:25" ht="15" customHeight="1" x14ac:dyDescent="0.35">
      <c r="A194" s="52">
        <v>8013474</v>
      </c>
      <c r="B194" s="51">
        <v>46124</v>
      </c>
      <c r="C194" s="7" t="s">
        <v>124</v>
      </c>
      <c r="D194" s="10">
        <f>IFERROR(SUMIFS('Base bordo'!G$2:G$746,'Base bordo'!C$2:C$746,A194,'Base bordo'!B$2:B$746,B194,'Base bordo'!F$2:F$746,"DESLOCAMENTO VAZIO"),0)</f>
        <v>4.3047222222222219</v>
      </c>
      <c r="E194" s="10">
        <f>IFERROR(SUMIFS('Base bordo'!G$2:G$746,'Base bordo'!C$2:C$746,A194,'Base bordo'!B$2:B$746,B194,'Base bordo'!F$2:F$746,"DESLOCAMENTO CARREGADO"),0)</f>
        <v>5.5750000000000002</v>
      </c>
      <c r="F194" s="10">
        <f>IFERROR(SUMIFS('Base bordo'!G$2:G$746,'Base bordo'!C$2:C$746,A194,'Base bordo'!B$2:B$746,B194,'Base bordo'!F$2:F$746,"DESLOCAMENTO"),0)</f>
        <v>0</v>
      </c>
      <c r="G194" s="10">
        <f>IFERROR(SUMIFS('Base bordo'!G$2:G$746,'Base bordo'!C$2:C$746,A194,'Base bordo'!B$2:B$746,B194,'Base bordo'!F$2:F$746,"CARREGAMENTO"),0)</f>
        <v>0</v>
      </c>
      <c r="H194" s="10">
        <f>IFERROR(SUMIFS('Base bordo'!G$2:G$746,'Base bordo'!C$2:C$746,A194,'Base bordo'!B$2:B$746,B194,'Base bordo'!F$2:F$746,"AGUARDANDO TRANSBORDO"),0)</f>
        <v>0.92527777777777775</v>
      </c>
      <c r="I194" s="10">
        <f>IFERROR(SUMIFS('Base bordo'!G$2:G$746,'Base bordo'!C$2:C$746,A194,'Base bordo'!B$2:B$746,B194,'Base bordo'!F$2:F$746,"PÁTIO INTERNO"),0)+IFERROR(SUMIFS('Base bordo'!G$2:G$746,'Base bordo'!C$2:C$746,A194,'Base bordo'!B$2:B$746,B194,'Base bordo'!F$2:F$746,"PÁTIO EXTERNO"),0)+IFERROR(SUMIFS('Base bordo'!G$2:G$746,'Base bordo'!C$2:C$746,A194,'Base bordo'!B$2:B$746,B194,'Base bordo'!F$2:F$746,"PATIO - RESERVA"),0)+IFERROR(SUMIFS('Base bordo'!G$2:G$746,'Base bordo'!C$2:C$746,A194,'Base bordo'!B$2:B$746,B194,'Base bordo'!F$2:F$746,"MANOBRA CARRETAS-PATIO"),0)</f>
        <v>1.7619444444444445</v>
      </c>
      <c r="J194" s="10">
        <f>IFERROR(SUMIFS('Base bordo'!G$2:G$746,'Base bordo'!C$2:C$746,A194,'Base bordo'!B$2:B$746,B194,'Base bordo'!F$2:F$746,"BALANÇA - ENTRADA"),0)+IFERROR(SUMIFS('Base bordo'!G$2:G$746,'Base bordo'!C$2:C$746,A194,'Base bordo'!B$2:B$746,B194,'Base bordo'!F$2:F$746,"BALANÇA - SAÍDA"),0)</f>
        <v>9.6944444444444444E-2</v>
      </c>
      <c r="K194" s="10">
        <f>IFERROR(SUMIFS('Base bordo'!G$2:G$746,'Base bordo'!C$2:C$746,A194,'Base bordo'!B$2:B$746,B194,'Base bordo'!F$2:F$746,"MAN PREVENTIVA - MECANICA"),0)+IFERROR(SUMIFS('Base bordo'!G$2:G$746,'Base bordo'!C$2:C$746,A194,'Base bordo'!B$2:B$746,B194,'Base bordo'!F$2:F$746,"MAN CORRETIVA - MECANICA"),0)</f>
        <v>0</v>
      </c>
      <c r="L194" s="10">
        <f>IFERROR(SUMIFS('Base bordo'!G$2:G$746,'Base bordo'!C$2:C$746,A194,'Base bordo'!B$2:B$746,B194,'Base bordo'!F$2:F$746,"MANUTENCAO - T O"),0)+IFERROR(SUMIFS('Base bordo'!G$2:G$746,'Base bordo'!C$2:C$746,A194,'Base bordo'!B$2:B$746,B194,'Base bordo'!F$2:F$746,"MANUTENCAO BORRACHARIA"),0)+IFERROR(SUMIFS('Base bordo'!G$2:G$746,'Base bordo'!C$2:C$746,A194,'Base bordo'!B$2:B$746,B194,'Base bordo'!F$2:F$746,"MANUTENCAO EXTERNA  CONCESSIONARIA"),0)+IFERROR(SUMIFS('Base bordo'!G$2:G$746,'Base bordo'!C$2:C$746,A194,'Base bordo'!B$2:B$746,B194,'Base bordo'!F$2:F$746,"MANUTENCAO TELEMETRIA"),0)</f>
        <v>0</v>
      </c>
      <c r="M194" s="10">
        <f>IFERROR(SUMIFS('Base bordo'!G$2:G$746,'Base bordo'!C$2:C$746,A194,'Base bordo'!B$2:B$746,B194,'Base bordo'!F$2:F$746,"AGUARDANDO MANUTENCAO"),0)</f>
        <v>0</v>
      </c>
      <c r="N194" s="10">
        <f>IFERROR(SUMIFS('Base bordo'!G$2:G$746,'Base bordo'!C$2:C$746,A194,'Base bordo'!B$2:B$746,B194,'Base bordo'!F$2:F$746,"SEM APONTAMENTO"),0)</f>
        <v>0</v>
      </c>
      <c r="O194" s="10">
        <f t="shared" si="24"/>
        <v>0</v>
      </c>
      <c r="P194" s="10">
        <f>IFERROR(SUMIFS('Base bordo'!G$2:G$746,'Base bordo'!C$2:C$746,A194,'Base bordo'!B$2:B$746,B194),0)</f>
        <v>12.66388888888889</v>
      </c>
      <c r="Q194" s="10">
        <f>IFERROR(SUMIFS('Base bordo'!H$2:H$746,'Base bordo'!C$2:C$746,A194,'Base bordo'!B$2:B$746,B194,'Base bordo'!F$2:F$746,"DESLOCAMENTO VAZIO"),0)</f>
        <v>535356.59</v>
      </c>
      <c r="R194" s="10">
        <f>IFERROR(SUMIFS('Base bordo'!I$2:I$746,'Base bordo'!C$2:C$746,A194,'Base bordo'!B$2:B$746,B194,'Base bordo'!F$2:F$746,"DESLOCAMENTO VAZIO"),0)</f>
        <v>15497</v>
      </c>
      <c r="S194" s="30">
        <f t="shared" si="25"/>
        <v>34.545821126669679</v>
      </c>
      <c r="T194" s="10">
        <f>IFERROR(SUMIFS('Base bordo'!H$2:H$746,'Base bordo'!C$2:C$746,A194,'Base bordo'!B$2:B$746,B194,'Base bordo'!F$2:F$746,"DESLOCAMENTO CARREGADO"),0)</f>
        <v>488002.63</v>
      </c>
      <c r="U194" s="10">
        <f>IFERROR(SUMIFS('Base bordo'!I$2:I$746,'Base bordo'!C$2:C$746,A194,'Base bordo'!B$2:B$746,B194,'Base bordo'!F$2:F$746,"DESLOCAMENTO CARREGADO"),0)</f>
        <v>20070</v>
      </c>
      <c r="V194" s="30">
        <f t="shared" si="26"/>
        <v>24.31502889885401</v>
      </c>
      <c r="W194" s="9">
        <f t="shared" si="27"/>
        <v>0.33992103531476198</v>
      </c>
      <c r="X194" s="9">
        <f t="shared" si="28"/>
        <v>0.44022812020179863</v>
      </c>
      <c r="Y194" s="9">
        <f t="shared" si="29"/>
        <v>0.21985084448343939</v>
      </c>
    </row>
    <row r="195" spans="1:25" ht="15" customHeight="1" x14ac:dyDescent="0.35">
      <c r="A195" s="52">
        <v>8013485</v>
      </c>
      <c r="B195" s="51">
        <v>46124</v>
      </c>
      <c r="C195" s="7" t="s">
        <v>124</v>
      </c>
      <c r="D195" s="10">
        <f>IFERROR(SUMIFS('Base bordo'!G$2:G$746,'Base bordo'!C$2:C$746,A195,'Base bordo'!B$2:B$746,B195,'Base bordo'!F$2:F$746,"DESLOCAMENTO VAZIO"),0)</f>
        <v>1.7575000000000001</v>
      </c>
      <c r="E195" s="10">
        <f>IFERROR(SUMIFS('Base bordo'!G$2:G$746,'Base bordo'!C$2:C$746,A195,'Base bordo'!B$2:B$746,B195,'Base bordo'!F$2:F$746,"DESLOCAMENTO CARREGADO"),0)</f>
        <v>0.59722222222222221</v>
      </c>
      <c r="F195" s="10">
        <f>IFERROR(SUMIFS('Base bordo'!G$2:G$746,'Base bordo'!C$2:C$746,A195,'Base bordo'!B$2:B$746,B195,'Base bordo'!F$2:F$746,"DESLOCAMENTO"),0)</f>
        <v>0</v>
      </c>
      <c r="G195" s="10">
        <f>IFERROR(SUMIFS('Base bordo'!G$2:G$746,'Base bordo'!C$2:C$746,A195,'Base bordo'!B$2:B$746,B195,'Base bordo'!F$2:F$746,"CARREGAMENTO"),0)</f>
        <v>0</v>
      </c>
      <c r="H195" s="10">
        <f>IFERROR(SUMIFS('Base bordo'!G$2:G$746,'Base bordo'!C$2:C$746,A195,'Base bordo'!B$2:B$746,B195,'Base bordo'!F$2:F$746,"AGUARDANDO TRANSBORDO"),0)</f>
        <v>0.35833333333333334</v>
      </c>
      <c r="I195" s="10">
        <f>IFERROR(SUMIFS('Base bordo'!G$2:G$746,'Base bordo'!C$2:C$746,A195,'Base bordo'!B$2:B$746,B195,'Base bordo'!F$2:F$746,"PÁTIO INTERNO"),0)+IFERROR(SUMIFS('Base bordo'!G$2:G$746,'Base bordo'!C$2:C$746,A195,'Base bordo'!B$2:B$746,B195,'Base bordo'!F$2:F$746,"PÁTIO EXTERNO"),0)+IFERROR(SUMIFS('Base bordo'!G$2:G$746,'Base bordo'!C$2:C$746,A195,'Base bordo'!B$2:B$746,B195,'Base bordo'!F$2:F$746,"PATIO - RESERVA"),0)+IFERROR(SUMIFS('Base bordo'!G$2:G$746,'Base bordo'!C$2:C$746,A195,'Base bordo'!B$2:B$746,B195,'Base bordo'!F$2:F$746,"MANOBRA CARRETAS-PATIO"),0)</f>
        <v>4.17</v>
      </c>
      <c r="J195" s="10">
        <f>IFERROR(SUMIFS('Base bordo'!G$2:G$746,'Base bordo'!C$2:C$746,A195,'Base bordo'!B$2:B$746,B195,'Base bordo'!F$2:F$746,"BALANÇA - ENTRADA"),0)+IFERROR(SUMIFS('Base bordo'!G$2:G$746,'Base bordo'!C$2:C$746,A195,'Base bordo'!B$2:B$746,B195,'Base bordo'!F$2:F$746,"BALANÇA - SAÍDA"),0)</f>
        <v>0.19083333333333333</v>
      </c>
      <c r="K195" s="10">
        <f>IFERROR(SUMIFS('Base bordo'!G$2:G$746,'Base bordo'!C$2:C$746,A195,'Base bordo'!B$2:B$746,B195,'Base bordo'!F$2:F$746,"MAN PREVENTIVA - MECANICA"),0)+IFERROR(SUMIFS('Base bordo'!G$2:G$746,'Base bordo'!C$2:C$746,A195,'Base bordo'!B$2:B$746,B195,'Base bordo'!F$2:F$746,"MAN CORRETIVA - MECANICA"),0)</f>
        <v>0</v>
      </c>
      <c r="L195" s="10">
        <f>IFERROR(SUMIFS('Base bordo'!G$2:G$746,'Base bordo'!C$2:C$746,A195,'Base bordo'!B$2:B$746,B195,'Base bordo'!F$2:F$746,"MANUTENCAO - T O"),0)+IFERROR(SUMIFS('Base bordo'!G$2:G$746,'Base bordo'!C$2:C$746,A195,'Base bordo'!B$2:B$746,B195,'Base bordo'!F$2:F$746,"MANUTENCAO BORRACHARIA"),0)+IFERROR(SUMIFS('Base bordo'!G$2:G$746,'Base bordo'!C$2:C$746,A195,'Base bordo'!B$2:B$746,B195,'Base bordo'!F$2:F$746,"MANUTENCAO EXTERNA  CONCESSIONARIA"),0)+IFERROR(SUMIFS('Base bordo'!G$2:G$746,'Base bordo'!C$2:C$746,A195,'Base bordo'!B$2:B$746,B195,'Base bordo'!F$2:F$746,"MANUTENCAO TELEMETRIA"),0)</f>
        <v>0</v>
      </c>
      <c r="M195" s="10">
        <f>IFERROR(SUMIFS('Base bordo'!G$2:G$746,'Base bordo'!C$2:C$746,A195,'Base bordo'!B$2:B$746,B195,'Base bordo'!F$2:F$746,"AGUARDANDO MANUTENCAO"),0)</f>
        <v>0</v>
      </c>
      <c r="N195" s="10">
        <f>IFERROR(SUMIFS('Base bordo'!G$2:G$746,'Base bordo'!C$2:C$746,A195,'Base bordo'!B$2:B$746,B195,'Base bordo'!F$2:F$746,"SEM APONTAMENTO"),0)</f>
        <v>0</v>
      </c>
      <c r="O195" s="10">
        <f t="shared" si="24"/>
        <v>8.8817841970012523E-16</v>
      </c>
      <c r="P195" s="10">
        <f>IFERROR(SUMIFS('Base bordo'!G$2:G$746,'Base bordo'!C$2:C$746,A195,'Base bordo'!B$2:B$746,B195),0)</f>
        <v>7.0738888888888898</v>
      </c>
      <c r="Q195" s="10">
        <f>IFERROR(SUMIFS('Base bordo'!H$2:H$746,'Base bordo'!C$2:C$746,A195,'Base bordo'!B$2:B$746,B195,'Base bordo'!F$2:F$746,"DESLOCAMENTO VAZIO"),0)</f>
        <v>57117.96</v>
      </c>
      <c r="R195" s="10">
        <f>IFERROR(SUMIFS('Base bordo'!I$2:I$746,'Base bordo'!C$2:C$746,A195,'Base bordo'!B$2:B$746,B195,'Base bordo'!F$2:F$746,"DESLOCAMENTO VAZIO"),0)</f>
        <v>2727</v>
      </c>
      <c r="S195" s="30">
        <f t="shared" si="25"/>
        <v>20.945346534653464</v>
      </c>
      <c r="T195" s="10">
        <f>IFERROR(SUMIFS('Base bordo'!H$2:H$746,'Base bordo'!C$2:C$746,A195,'Base bordo'!B$2:B$746,B195,'Base bordo'!F$2:F$746,"DESLOCAMENTO CARREGADO"),0)</f>
        <v>40859.899999999994</v>
      </c>
      <c r="U195" s="10">
        <f>IFERROR(SUMIFS('Base bordo'!I$2:I$746,'Base bordo'!C$2:C$746,A195,'Base bordo'!B$2:B$746,B195,'Base bordo'!F$2:F$746,"DESLOCAMENTO CARREGADO"),0)</f>
        <v>2150</v>
      </c>
      <c r="V195" s="30">
        <f t="shared" si="26"/>
        <v>19.004604651162786</v>
      </c>
      <c r="W195" s="9">
        <f t="shared" si="27"/>
        <v>0.24844891227519042</v>
      </c>
      <c r="X195" s="9">
        <f t="shared" si="28"/>
        <v>8.4426293882038789E-2</v>
      </c>
      <c r="Y195" s="9">
        <f t="shared" si="29"/>
        <v>0.66712479384277079</v>
      </c>
    </row>
    <row r="196" spans="1:25" ht="15" customHeight="1" x14ac:dyDescent="0.35">
      <c r="A196" s="52">
        <v>8013484</v>
      </c>
      <c r="B196" s="51">
        <v>46117</v>
      </c>
      <c r="C196" s="7" t="s">
        <v>124</v>
      </c>
      <c r="D196" s="10">
        <f>IFERROR(SUMIFS('Base bordo'!G$2:G$746,'Base bordo'!C$2:C$746,A196,'Base bordo'!B$2:B$746,B196,'Base bordo'!F$2:F$746,"DESLOCAMENTO VAZIO"),0)</f>
        <v>1.8608333333333333</v>
      </c>
      <c r="E196" s="10">
        <f>IFERROR(SUMIFS('Base bordo'!G$2:G$746,'Base bordo'!C$2:C$746,A196,'Base bordo'!B$2:B$746,B196,'Base bordo'!F$2:F$746,"DESLOCAMENTO CARREGADO"),0)</f>
        <v>0</v>
      </c>
      <c r="F196" s="10">
        <f>IFERROR(SUMIFS('Base bordo'!G$2:G$746,'Base bordo'!C$2:C$746,A196,'Base bordo'!B$2:B$746,B196,'Base bordo'!F$2:F$746,"DESLOCAMENTO"),0)</f>
        <v>0.1438888888888889</v>
      </c>
      <c r="G196" s="10">
        <f>IFERROR(SUMIFS('Base bordo'!G$2:G$746,'Base bordo'!C$2:C$746,A196,'Base bordo'!B$2:B$746,B196,'Base bordo'!F$2:F$746,"CARREGAMENTO"),0)</f>
        <v>4.3816666666666668</v>
      </c>
      <c r="H196" s="10">
        <f>IFERROR(SUMIFS('Base bordo'!G$2:G$746,'Base bordo'!C$2:C$746,A196,'Base bordo'!B$2:B$746,B196,'Base bordo'!F$2:F$746,"AGUARDANDO TRANSBORDO"),0)</f>
        <v>0.39111111111111113</v>
      </c>
      <c r="I196" s="10">
        <f>IFERROR(SUMIFS('Base bordo'!G$2:G$746,'Base bordo'!C$2:C$746,A196,'Base bordo'!B$2:B$746,B196,'Base bordo'!F$2:F$746,"PÁTIO INTERNO"),0)+IFERROR(SUMIFS('Base bordo'!G$2:G$746,'Base bordo'!C$2:C$746,A196,'Base bordo'!B$2:B$746,B196,'Base bordo'!F$2:F$746,"PÁTIO EXTERNO"),0)+IFERROR(SUMIFS('Base bordo'!G$2:G$746,'Base bordo'!C$2:C$746,A196,'Base bordo'!B$2:B$746,B196,'Base bordo'!F$2:F$746,"PATIO - RESERVA"),0)+IFERROR(SUMIFS('Base bordo'!G$2:G$746,'Base bordo'!C$2:C$746,A196,'Base bordo'!B$2:B$746,B196,'Base bordo'!F$2:F$746,"MANOBRA CARRETAS-PATIO"),0)</f>
        <v>0</v>
      </c>
      <c r="J196" s="10">
        <f>IFERROR(SUMIFS('Base bordo'!G$2:G$746,'Base bordo'!C$2:C$746,A196,'Base bordo'!B$2:B$746,B196,'Base bordo'!F$2:F$746,"BALANÇA - ENTRADA"),0)+IFERROR(SUMIFS('Base bordo'!G$2:G$746,'Base bordo'!C$2:C$746,A196,'Base bordo'!B$2:B$746,B196,'Base bordo'!F$2:F$746,"BALANÇA - SAÍDA"),0)</f>
        <v>0</v>
      </c>
      <c r="K196" s="10">
        <f>IFERROR(SUMIFS('Base bordo'!G$2:G$746,'Base bordo'!C$2:C$746,A196,'Base bordo'!B$2:B$746,B196,'Base bordo'!F$2:F$746,"MAN PREVENTIVA - MECANICA"),0)+IFERROR(SUMIFS('Base bordo'!G$2:G$746,'Base bordo'!C$2:C$746,A196,'Base bordo'!B$2:B$746,B196,'Base bordo'!F$2:F$746,"MAN CORRETIVA - MECANICA"),0)</f>
        <v>8.5516666666666659</v>
      </c>
      <c r="L196" s="10">
        <f>IFERROR(SUMIFS('Base bordo'!G$2:G$746,'Base bordo'!C$2:C$746,A196,'Base bordo'!B$2:B$746,B196,'Base bordo'!F$2:F$746,"MANUTENCAO - T O"),0)+IFERROR(SUMIFS('Base bordo'!G$2:G$746,'Base bordo'!C$2:C$746,A196,'Base bordo'!B$2:B$746,B196,'Base bordo'!F$2:F$746,"MANUTENCAO BORRACHARIA"),0)+IFERROR(SUMIFS('Base bordo'!G$2:G$746,'Base bordo'!C$2:C$746,A196,'Base bordo'!B$2:B$746,B196,'Base bordo'!F$2:F$746,"MANUTENCAO EXTERNA  CONCESSIONARIA"),0)+IFERROR(SUMIFS('Base bordo'!G$2:G$746,'Base bordo'!C$2:C$746,A196,'Base bordo'!B$2:B$746,B196,'Base bordo'!F$2:F$746,"MANUTENCAO TELEMETRIA"),0)</f>
        <v>8.6052777777777774</v>
      </c>
      <c r="M196" s="10">
        <f>IFERROR(SUMIFS('Base bordo'!G$2:G$746,'Base bordo'!C$2:C$746,A196,'Base bordo'!B$2:B$746,B196,'Base bordo'!F$2:F$746,"AGUARDANDO MANUTENCAO"),0)</f>
        <v>0</v>
      </c>
      <c r="N196" s="10">
        <f>IFERROR(SUMIFS('Base bordo'!G$2:G$746,'Base bordo'!C$2:C$746,A196,'Base bordo'!B$2:B$746,B196,'Base bordo'!F$2:F$746,"SEM APONTAMENTO"),0)</f>
        <v>0</v>
      </c>
      <c r="O196" s="10">
        <f t="shared" si="24"/>
        <v>6.5555555555555145E-2</v>
      </c>
      <c r="P196" s="10">
        <f>IFERROR(SUMIFS('Base bordo'!G$2:G$746,'Base bordo'!C$2:C$746,A196,'Base bordo'!B$2:B$746,B196),0)</f>
        <v>24</v>
      </c>
      <c r="Q196" s="10">
        <f>IFERROR(SUMIFS('Base bordo'!H$2:H$746,'Base bordo'!C$2:C$746,A196,'Base bordo'!B$2:B$746,B196,'Base bordo'!F$2:F$746,"DESLOCAMENTO VAZIO"),0)</f>
        <v>251172.82</v>
      </c>
      <c r="R196" s="10">
        <f>IFERROR(SUMIFS('Base bordo'!I$2:I$746,'Base bordo'!C$2:C$746,A196,'Base bordo'!B$2:B$746,B196,'Base bordo'!F$2:F$746,"DESLOCAMENTO VAZIO"),0)</f>
        <v>6699</v>
      </c>
      <c r="S196" s="30">
        <f t="shared" si="25"/>
        <v>37.494076727869832</v>
      </c>
      <c r="T196" s="10">
        <f>IFERROR(SUMIFS('Base bordo'!H$2:H$746,'Base bordo'!C$2:C$746,A196,'Base bordo'!B$2:B$746,B196,'Base bordo'!F$2:F$746,"DESLOCAMENTO CARREGADO"),0)</f>
        <v>0</v>
      </c>
      <c r="U196" s="10">
        <f>IFERROR(SUMIFS('Base bordo'!I$2:I$746,'Base bordo'!C$2:C$746,A196,'Base bordo'!B$2:B$746,B196,'Base bordo'!F$2:F$746,"DESLOCAMENTO CARREGADO"),0)</f>
        <v>0</v>
      </c>
      <c r="V196" s="30" t="str">
        <f t="shared" si="26"/>
        <v/>
      </c>
      <c r="W196" s="9">
        <f t="shared" si="27"/>
        <v>7.7534722222222227E-2</v>
      </c>
      <c r="X196" s="9">
        <f t="shared" si="28"/>
        <v>0</v>
      </c>
      <c r="Y196" s="9">
        <f t="shared" si="29"/>
        <v>0.92246527777777776</v>
      </c>
    </row>
    <row r="197" spans="1:25" ht="15" customHeight="1" x14ac:dyDescent="0.35">
      <c r="A197" s="52">
        <v>8013472</v>
      </c>
      <c r="B197" s="51">
        <v>46119</v>
      </c>
      <c r="C197" s="7" t="s">
        <v>124</v>
      </c>
      <c r="D197" s="10">
        <f>IFERROR(SUMIFS('Base bordo'!G$2:G$746,'Base bordo'!C$2:C$746,A197,'Base bordo'!B$2:B$746,B197,'Base bordo'!F$2:F$746,"DESLOCAMENTO VAZIO"),0)</f>
        <v>0.42138888888888887</v>
      </c>
      <c r="E197" s="10">
        <f>IFERROR(SUMIFS('Base bordo'!G$2:G$746,'Base bordo'!C$2:C$746,A197,'Base bordo'!B$2:B$746,B197,'Base bordo'!F$2:F$746,"DESLOCAMENTO CARREGADO"),0)</f>
        <v>0</v>
      </c>
      <c r="F197" s="10">
        <f>IFERROR(SUMIFS('Base bordo'!G$2:G$746,'Base bordo'!C$2:C$746,A197,'Base bordo'!B$2:B$746,B197,'Base bordo'!F$2:F$746,"DESLOCAMENTO"),0)</f>
        <v>0</v>
      </c>
      <c r="G197" s="10">
        <f>IFERROR(SUMIFS('Base bordo'!G$2:G$746,'Base bordo'!C$2:C$746,A197,'Base bordo'!B$2:B$746,B197,'Base bordo'!F$2:F$746,"CARREGAMENTO"),0)</f>
        <v>0</v>
      </c>
      <c r="H197" s="10">
        <f>IFERROR(SUMIFS('Base bordo'!G$2:G$746,'Base bordo'!C$2:C$746,A197,'Base bordo'!B$2:B$746,B197,'Base bordo'!F$2:F$746,"AGUARDANDO TRANSBORDO"),0)</f>
        <v>0</v>
      </c>
      <c r="I197" s="10">
        <f>IFERROR(SUMIFS('Base bordo'!G$2:G$746,'Base bordo'!C$2:C$746,A197,'Base bordo'!B$2:B$746,B197,'Base bordo'!F$2:F$746,"PÁTIO INTERNO"),0)+IFERROR(SUMIFS('Base bordo'!G$2:G$746,'Base bordo'!C$2:C$746,A197,'Base bordo'!B$2:B$746,B197,'Base bordo'!F$2:F$746,"PÁTIO EXTERNO"),0)+IFERROR(SUMIFS('Base bordo'!G$2:G$746,'Base bordo'!C$2:C$746,A197,'Base bordo'!B$2:B$746,B197,'Base bordo'!F$2:F$746,"PATIO - RESERVA"),0)+IFERROR(SUMIFS('Base bordo'!G$2:G$746,'Base bordo'!C$2:C$746,A197,'Base bordo'!B$2:B$746,B197,'Base bordo'!F$2:F$746,"MANOBRA CARRETAS-PATIO"),0)</f>
        <v>2.1247222222222222</v>
      </c>
      <c r="J197" s="10">
        <f>IFERROR(SUMIFS('Base bordo'!G$2:G$746,'Base bordo'!C$2:C$746,A197,'Base bordo'!B$2:B$746,B197,'Base bordo'!F$2:F$746,"BALANÇA - ENTRADA"),0)+IFERROR(SUMIFS('Base bordo'!G$2:G$746,'Base bordo'!C$2:C$746,A197,'Base bordo'!B$2:B$746,B197,'Base bordo'!F$2:F$746,"BALANÇA - SAÍDA"),0)</f>
        <v>0.10361111111111111</v>
      </c>
      <c r="K197" s="10">
        <f>IFERROR(SUMIFS('Base bordo'!G$2:G$746,'Base bordo'!C$2:C$746,A197,'Base bordo'!B$2:B$746,B197,'Base bordo'!F$2:F$746,"MAN PREVENTIVA - MECANICA"),0)+IFERROR(SUMIFS('Base bordo'!G$2:G$746,'Base bordo'!C$2:C$746,A197,'Base bordo'!B$2:B$746,B197,'Base bordo'!F$2:F$746,"MAN CORRETIVA - MECANICA"),0)</f>
        <v>0</v>
      </c>
      <c r="L197" s="10">
        <f>IFERROR(SUMIFS('Base bordo'!G$2:G$746,'Base bordo'!C$2:C$746,A197,'Base bordo'!B$2:B$746,B197,'Base bordo'!F$2:F$746,"MANUTENCAO - T O"),0)+IFERROR(SUMIFS('Base bordo'!G$2:G$746,'Base bordo'!C$2:C$746,A197,'Base bordo'!B$2:B$746,B197,'Base bordo'!F$2:F$746,"MANUTENCAO BORRACHARIA"),0)+IFERROR(SUMIFS('Base bordo'!G$2:G$746,'Base bordo'!C$2:C$746,A197,'Base bordo'!B$2:B$746,B197,'Base bordo'!F$2:F$746,"MANUTENCAO EXTERNA  CONCESSIONARIA"),0)+IFERROR(SUMIFS('Base bordo'!G$2:G$746,'Base bordo'!C$2:C$746,A197,'Base bordo'!B$2:B$746,B197,'Base bordo'!F$2:F$746,"MANUTENCAO TELEMETRIA"),0)</f>
        <v>0</v>
      </c>
      <c r="M197" s="10">
        <f>IFERROR(SUMIFS('Base bordo'!G$2:G$746,'Base bordo'!C$2:C$746,A197,'Base bordo'!B$2:B$746,B197,'Base bordo'!F$2:F$746,"AGUARDANDO MANUTENCAO"),0)</f>
        <v>0</v>
      </c>
      <c r="N197" s="10">
        <f>IFERROR(SUMIFS('Base bordo'!G$2:G$746,'Base bordo'!C$2:C$746,A197,'Base bordo'!B$2:B$746,B197,'Base bordo'!F$2:F$746,"SEM APONTAMENTO"),0)</f>
        <v>0</v>
      </c>
      <c r="O197" s="10">
        <f t="shared" si="24"/>
        <v>-4.4408920985006262E-16</v>
      </c>
      <c r="P197" s="10">
        <f>IFERROR(SUMIFS('Base bordo'!G$2:G$746,'Base bordo'!C$2:C$746,A197,'Base bordo'!B$2:B$746,B197),0)</f>
        <v>2.6497222222222221</v>
      </c>
      <c r="Q197" s="10">
        <f>IFERROR(SUMIFS('Base bordo'!H$2:H$746,'Base bordo'!C$2:C$746,A197,'Base bordo'!B$2:B$746,B197,'Base bordo'!F$2:F$746,"DESLOCAMENTO VAZIO"),0)</f>
        <v>15178.23</v>
      </c>
      <c r="R197" s="10">
        <f>IFERROR(SUMIFS('Base bordo'!I$2:I$746,'Base bordo'!C$2:C$746,A197,'Base bordo'!B$2:B$746,B197,'Base bordo'!F$2:F$746,"DESLOCAMENTO VAZIO"),0)</f>
        <v>1517</v>
      </c>
      <c r="S197" s="30">
        <f t="shared" si="25"/>
        <v>10.00542518127884</v>
      </c>
      <c r="T197" s="10">
        <f>IFERROR(SUMIFS('Base bordo'!H$2:H$746,'Base bordo'!C$2:C$746,A197,'Base bordo'!B$2:B$746,B197,'Base bordo'!F$2:F$746,"DESLOCAMENTO CARREGADO"),0)</f>
        <v>0</v>
      </c>
      <c r="U197" s="10">
        <f>IFERROR(SUMIFS('Base bordo'!I$2:I$746,'Base bordo'!C$2:C$746,A197,'Base bordo'!B$2:B$746,B197,'Base bordo'!F$2:F$746,"DESLOCAMENTO CARREGADO"),0)</f>
        <v>0</v>
      </c>
      <c r="V197" s="30" t="str">
        <f t="shared" si="26"/>
        <v/>
      </c>
      <c r="W197" s="9">
        <f t="shared" si="27"/>
        <v>0.15903134500471747</v>
      </c>
      <c r="X197" s="9">
        <f t="shared" si="28"/>
        <v>0</v>
      </c>
      <c r="Y197" s="9">
        <f t="shared" si="29"/>
        <v>0.84096865499528251</v>
      </c>
    </row>
    <row r="198" spans="1:25" ht="15" customHeight="1" x14ac:dyDescent="0.35">
      <c r="A198" s="52">
        <v>8013486</v>
      </c>
      <c r="B198" s="51">
        <v>46118</v>
      </c>
      <c r="C198" s="7" t="s">
        <v>124</v>
      </c>
      <c r="D198" s="10">
        <f>IFERROR(SUMIFS('Base bordo'!G$2:G$746,'Base bordo'!C$2:C$746,A198,'Base bordo'!B$2:B$746,B198,'Base bordo'!F$2:F$746,"DESLOCAMENTO VAZIO"),0)</f>
        <v>0.90972222222222221</v>
      </c>
      <c r="E198" s="10">
        <f>IFERROR(SUMIFS('Base bordo'!G$2:G$746,'Base bordo'!C$2:C$746,A198,'Base bordo'!B$2:B$746,B198,'Base bordo'!F$2:F$746,"DESLOCAMENTO CARREGADO"),0)</f>
        <v>1.7558333333333334</v>
      </c>
      <c r="F198" s="10">
        <f>IFERROR(SUMIFS('Base bordo'!G$2:G$746,'Base bordo'!C$2:C$746,A198,'Base bordo'!B$2:B$746,B198,'Base bordo'!F$2:F$746,"DESLOCAMENTO"),0)</f>
        <v>6.0436111111111108</v>
      </c>
      <c r="G198" s="10">
        <f>IFERROR(SUMIFS('Base bordo'!G$2:G$746,'Base bordo'!C$2:C$746,A198,'Base bordo'!B$2:B$746,B198,'Base bordo'!F$2:F$746,"CARREGAMENTO"),0)</f>
        <v>0</v>
      </c>
      <c r="H198" s="10">
        <f>IFERROR(SUMIFS('Base bordo'!G$2:G$746,'Base bordo'!C$2:C$746,A198,'Base bordo'!B$2:B$746,B198,'Base bordo'!F$2:F$746,"AGUARDANDO TRANSBORDO"),0)</f>
        <v>0</v>
      </c>
      <c r="I198" s="10">
        <f>IFERROR(SUMIFS('Base bordo'!G$2:G$746,'Base bordo'!C$2:C$746,A198,'Base bordo'!B$2:B$746,B198,'Base bordo'!F$2:F$746,"PÁTIO INTERNO"),0)+IFERROR(SUMIFS('Base bordo'!G$2:G$746,'Base bordo'!C$2:C$746,A198,'Base bordo'!B$2:B$746,B198,'Base bordo'!F$2:F$746,"PÁTIO EXTERNO"),0)+IFERROR(SUMIFS('Base bordo'!G$2:G$746,'Base bordo'!C$2:C$746,A198,'Base bordo'!B$2:B$746,B198,'Base bordo'!F$2:F$746,"PATIO - RESERVA"),0)+IFERROR(SUMIFS('Base bordo'!G$2:G$746,'Base bordo'!C$2:C$746,A198,'Base bordo'!B$2:B$746,B198,'Base bordo'!F$2:F$746,"MANOBRA CARRETAS-PATIO"),0)</f>
        <v>3.7905555555555552</v>
      </c>
      <c r="J198" s="10">
        <f>IFERROR(SUMIFS('Base bordo'!G$2:G$746,'Base bordo'!C$2:C$746,A198,'Base bordo'!B$2:B$746,B198,'Base bordo'!F$2:F$746,"BALANÇA - ENTRADA"),0)+IFERROR(SUMIFS('Base bordo'!G$2:G$746,'Base bordo'!C$2:C$746,A198,'Base bordo'!B$2:B$746,B198,'Base bordo'!F$2:F$746,"BALANÇA - SAÍDA"),0)</f>
        <v>5.6666666666666664E-2</v>
      </c>
      <c r="K198" s="10">
        <f>IFERROR(SUMIFS('Base bordo'!G$2:G$746,'Base bordo'!C$2:C$746,A198,'Base bordo'!B$2:B$746,B198,'Base bordo'!F$2:F$746,"MAN PREVENTIVA - MECANICA"),0)+IFERROR(SUMIFS('Base bordo'!G$2:G$746,'Base bordo'!C$2:C$746,A198,'Base bordo'!B$2:B$746,B198,'Base bordo'!F$2:F$746,"MAN CORRETIVA - MECANICA"),0)</f>
        <v>0</v>
      </c>
      <c r="L198" s="10">
        <f>IFERROR(SUMIFS('Base bordo'!G$2:G$746,'Base bordo'!C$2:C$746,A198,'Base bordo'!B$2:B$746,B198,'Base bordo'!F$2:F$746,"MANUTENCAO - T O"),0)+IFERROR(SUMIFS('Base bordo'!G$2:G$746,'Base bordo'!C$2:C$746,A198,'Base bordo'!B$2:B$746,B198,'Base bordo'!F$2:F$746,"MANUTENCAO BORRACHARIA"),0)+IFERROR(SUMIFS('Base bordo'!G$2:G$746,'Base bordo'!C$2:C$746,A198,'Base bordo'!B$2:B$746,B198,'Base bordo'!F$2:F$746,"MANUTENCAO EXTERNA  CONCESSIONARIA"),0)+IFERROR(SUMIFS('Base bordo'!G$2:G$746,'Base bordo'!C$2:C$746,A198,'Base bordo'!B$2:B$746,B198,'Base bordo'!F$2:F$746,"MANUTENCAO TELEMETRIA"),0)</f>
        <v>9.4491666666666667</v>
      </c>
      <c r="M198" s="10">
        <f>IFERROR(SUMIFS('Base bordo'!G$2:G$746,'Base bordo'!C$2:C$746,A198,'Base bordo'!B$2:B$746,B198,'Base bordo'!F$2:F$746,"AGUARDANDO MANUTENCAO"),0)</f>
        <v>0</v>
      </c>
      <c r="N198" s="10">
        <f>IFERROR(SUMIFS('Base bordo'!G$2:G$746,'Base bordo'!C$2:C$746,A198,'Base bordo'!B$2:B$746,B198,'Base bordo'!F$2:F$746,"SEM APONTAMENTO"),0)</f>
        <v>0</v>
      </c>
      <c r="O198" s="10">
        <f t="shared" si="24"/>
        <v>0.20222222222222541</v>
      </c>
      <c r="P198" s="10">
        <f>IFERROR(SUMIFS('Base bordo'!G$2:G$746,'Base bordo'!C$2:C$746,A198,'Base bordo'!B$2:B$746,B198),0)</f>
        <v>22.207777777777778</v>
      </c>
      <c r="Q198" s="10">
        <f>IFERROR(SUMIFS('Base bordo'!H$2:H$746,'Base bordo'!C$2:C$746,A198,'Base bordo'!B$2:B$746,B198,'Base bordo'!F$2:F$746,"DESLOCAMENTO VAZIO"),0)</f>
        <v>86336.93</v>
      </c>
      <c r="R198" s="10">
        <f>IFERROR(SUMIFS('Base bordo'!I$2:I$746,'Base bordo'!C$2:C$746,A198,'Base bordo'!B$2:B$746,B198,'Base bordo'!F$2:F$746,"DESLOCAMENTO VAZIO"),0)</f>
        <v>3275</v>
      </c>
      <c r="S198" s="30">
        <f t="shared" si="25"/>
        <v>26.362421374045798</v>
      </c>
      <c r="T198" s="10">
        <f>IFERROR(SUMIFS('Base bordo'!H$2:H$746,'Base bordo'!C$2:C$746,A198,'Base bordo'!B$2:B$746,B198,'Base bordo'!F$2:F$746,"DESLOCAMENTO CARREGADO"),0)</f>
        <v>166427.58000000002</v>
      </c>
      <c r="U198" s="10">
        <f>IFERROR(SUMIFS('Base bordo'!I$2:I$746,'Base bordo'!C$2:C$746,A198,'Base bordo'!B$2:B$746,B198,'Base bordo'!F$2:F$746,"DESLOCAMENTO CARREGADO"),0)</f>
        <v>6321</v>
      </c>
      <c r="V198" s="30">
        <f t="shared" si="26"/>
        <v>26.329311817750359</v>
      </c>
      <c r="W198" s="9">
        <f t="shared" si="27"/>
        <v>4.0964126682343519E-2</v>
      </c>
      <c r="X198" s="9">
        <f t="shared" si="28"/>
        <v>7.9063891529494168E-2</v>
      </c>
      <c r="Y198" s="9">
        <f t="shared" si="29"/>
        <v>0.87997198178816227</v>
      </c>
    </row>
    <row r="199" spans="1:25" ht="15" customHeight="1" x14ac:dyDescent="0.35">
      <c r="A199" s="52">
        <v>8013468</v>
      </c>
      <c r="B199" s="51">
        <v>46120</v>
      </c>
      <c r="C199" s="7" t="s">
        <v>124</v>
      </c>
      <c r="D199" s="10">
        <f>IFERROR(SUMIFS('Base bordo'!G$2:G$746,'Base bordo'!C$2:C$746,A199,'Base bordo'!B$2:B$746,B199,'Base bordo'!F$2:F$746,"DESLOCAMENTO VAZIO"),0)</f>
        <v>0</v>
      </c>
      <c r="E199" s="10">
        <f>IFERROR(SUMIFS('Base bordo'!G$2:G$746,'Base bordo'!C$2:C$746,A199,'Base bordo'!B$2:B$746,B199,'Base bordo'!F$2:F$746,"DESLOCAMENTO CARREGADO"),0)</f>
        <v>0.18833333333333332</v>
      </c>
      <c r="F199" s="10">
        <f>IFERROR(SUMIFS('Base bordo'!G$2:G$746,'Base bordo'!C$2:C$746,A199,'Base bordo'!B$2:B$746,B199,'Base bordo'!F$2:F$746,"DESLOCAMENTO"),0)</f>
        <v>0</v>
      </c>
      <c r="G199" s="10">
        <f>IFERROR(SUMIFS('Base bordo'!G$2:G$746,'Base bordo'!C$2:C$746,A199,'Base bordo'!B$2:B$746,B199,'Base bordo'!F$2:F$746,"CARREGAMENTO"),0)</f>
        <v>0</v>
      </c>
      <c r="H199" s="10">
        <f>IFERROR(SUMIFS('Base bordo'!G$2:G$746,'Base bordo'!C$2:C$746,A199,'Base bordo'!B$2:B$746,B199,'Base bordo'!F$2:F$746,"AGUARDANDO TRANSBORDO"),0)</f>
        <v>0</v>
      </c>
      <c r="I199" s="10">
        <f>IFERROR(SUMIFS('Base bordo'!G$2:G$746,'Base bordo'!C$2:C$746,A199,'Base bordo'!B$2:B$746,B199,'Base bordo'!F$2:F$746,"PÁTIO INTERNO"),0)+IFERROR(SUMIFS('Base bordo'!G$2:G$746,'Base bordo'!C$2:C$746,A199,'Base bordo'!B$2:B$746,B199,'Base bordo'!F$2:F$746,"PÁTIO EXTERNO"),0)+IFERROR(SUMIFS('Base bordo'!G$2:G$746,'Base bordo'!C$2:C$746,A199,'Base bordo'!B$2:B$746,B199,'Base bordo'!F$2:F$746,"PATIO - RESERVA"),0)+IFERROR(SUMIFS('Base bordo'!G$2:G$746,'Base bordo'!C$2:C$746,A199,'Base bordo'!B$2:B$746,B199,'Base bordo'!F$2:F$746,"MANOBRA CARRETAS-PATIO"),0)</f>
        <v>2.0605555555555557</v>
      </c>
      <c r="J199" s="10">
        <f>IFERROR(SUMIFS('Base bordo'!G$2:G$746,'Base bordo'!C$2:C$746,A199,'Base bordo'!B$2:B$746,B199,'Base bordo'!F$2:F$746,"BALANÇA - ENTRADA"),0)+IFERROR(SUMIFS('Base bordo'!G$2:G$746,'Base bordo'!C$2:C$746,A199,'Base bordo'!B$2:B$746,B199,'Base bordo'!F$2:F$746,"BALANÇA - SAÍDA"),0)</f>
        <v>0</v>
      </c>
      <c r="K199" s="10">
        <f>IFERROR(SUMIFS('Base bordo'!G$2:G$746,'Base bordo'!C$2:C$746,A199,'Base bordo'!B$2:B$746,B199,'Base bordo'!F$2:F$746,"MAN PREVENTIVA - MECANICA"),0)+IFERROR(SUMIFS('Base bordo'!G$2:G$746,'Base bordo'!C$2:C$746,A199,'Base bordo'!B$2:B$746,B199,'Base bordo'!F$2:F$746,"MAN CORRETIVA - MECANICA"),0)</f>
        <v>0</v>
      </c>
      <c r="L199" s="10">
        <f>IFERROR(SUMIFS('Base bordo'!G$2:G$746,'Base bordo'!C$2:C$746,A199,'Base bordo'!B$2:B$746,B199,'Base bordo'!F$2:F$746,"MANUTENCAO - T O"),0)+IFERROR(SUMIFS('Base bordo'!G$2:G$746,'Base bordo'!C$2:C$746,A199,'Base bordo'!B$2:B$746,B199,'Base bordo'!F$2:F$746,"MANUTENCAO BORRACHARIA"),0)+IFERROR(SUMIFS('Base bordo'!G$2:G$746,'Base bordo'!C$2:C$746,A199,'Base bordo'!B$2:B$746,B199,'Base bordo'!F$2:F$746,"MANUTENCAO EXTERNA  CONCESSIONARIA"),0)+IFERROR(SUMIFS('Base bordo'!G$2:G$746,'Base bordo'!C$2:C$746,A199,'Base bordo'!B$2:B$746,B199,'Base bordo'!F$2:F$746,"MANUTENCAO TELEMETRIA"),0)</f>
        <v>0</v>
      </c>
      <c r="M199" s="10">
        <f>IFERROR(SUMIFS('Base bordo'!G$2:G$746,'Base bordo'!C$2:C$746,A199,'Base bordo'!B$2:B$746,B199,'Base bordo'!F$2:F$746,"AGUARDANDO MANUTENCAO"),0)</f>
        <v>0</v>
      </c>
      <c r="N199" s="10">
        <f>IFERROR(SUMIFS('Base bordo'!G$2:G$746,'Base bordo'!C$2:C$746,A199,'Base bordo'!B$2:B$746,B199,'Base bordo'!F$2:F$746,"SEM APONTAMENTO"),0)</f>
        <v>0</v>
      </c>
      <c r="O199" s="10">
        <f t="shared" si="24"/>
        <v>0</v>
      </c>
      <c r="P199" s="10">
        <f>IFERROR(SUMIFS('Base bordo'!G$2:G$746,'Base bordo'!C$2:C$746,A199,'Base bordo'!B$2:B$746,B199),0)</f>
        <v>2.2488888888888892</v>
      </c>
      <c r="Q199" s="10">
        <f>IFERROR(SUMIFS('Base bordo'!H$2:H$746,'Base bordo'!C$2:C$746,A199,'Base bordo'!B$2:B$746,B199,'Base bordo'!F$2:F$746,"DESLOCAMENTO VAZIO"),0)</f>
        <v>0</v>
      </c>
      <c r="R199" s="10">
        <f>IFERROR(SUMIFS('Base bordo'!I$2:I$746,'Base bordo'!C$2:C$746,A199,'Base bordo'!B$2:B$746,B199,'Base bordo'!F$2:F$746,"DESLOCAMENTO VAZIO"),0)</f>
        <v>0</v>
      </c>
      <c r="S199" s="30" t="str">
        <f t="shared" si="25"/>
        <v/>
      </c>
      <c r="T199" s="10">
        <f>IFERROR(SUMIFS('Base bordo'!H$2:H$746,'Base bordo'!C$2:C$746,A199,'Base bordo'!B$2:B$746,B199,'Base bordo'!F$2:F$746,"DESLOCAMENTO CARREGADO"),0)</f>
        <v>13892.22</v>
      </c>
      <c r="U199" s="10">
        <f>IFERROR(SUMIFS('Base bordo'!I$2:I$746,'Base bordo'!C$2:C$746,A199,'Base bordo'!B$2:B$746,B199,'Base bordo'!F$2:F$746,"DESLOCAMENTO CARREGADO"),0)</f>
        <v>678</v>
      </c>
      <c r="V199" s="30">
        <f t="shared" si="26"/>
        <v>20.49</v>
      </c>
      <c r="W199" s="9">
        <f t="shared" si="27"/>
        <v>0</v>
      </c>
      <c r="X199" s="9">
        <f t="shared" si="28"/>
        <v>8.3745059288537538E-2</v>
      </c>
      <c r="Y199" s="9">
        <f t="shared" si="29"/>
        <v>0.91625494071146241</v>
      </c>
    </row>
    <row r="200" spans="1:25" ht="15" customHeight="1" x14ac:dyDescent="0.35">
      <c r="A200" s="52">
        <v>8013484</v>
      </c>
      <c r="B200" s="51">
        <v>46124</v>
      </c>
      <c r="C200" s="7" t="s">
        <v>124</v>
      </c>
      <c r="D200" s="10">
        <f>IFERROR(SUMIFS('Base bordo'!G$2:G$746,'Base bordo'!C$2:C$746,A200,'Base bordo'!B$2:B$746,B200,'Base bordo'!F$2:F$746,"DESLOCAMENTO VAZIO"),0)</f>
        <v>2.078611111111111</v>
      </c>
      <c r="E200" s="10">
        <f>IFERROR(SUMIFS('Base bordo'!G$2:G$746,'Base bordo'!C$2:C$746,A200,'Base bordo'!B$2:B$746,B200,'Base bordo'!F$2:F$746,"DESLOCAMENTO CARREGADO"),0)</f>
        <v>2.0197222222222222</v>
      </c>
      <c r="F200" s="10">
        <f>IFERROR(SUMIFS('Base bordo'!G$2:G$746,'Base bordo'!C$2:C$746,A200,'Base bordo'!B$2:B$746,B200,'Base bordo'!F$2:F$746,"DESLOCAMENTO"),0)</f>
        <v>0.28999999999999998</v>
      </c>
      <c r="G200" s="10">
        <f>IFERROR(SUMIFS('Base bordo'!G$2:G$746,'Base bordo'!C$2:C$746,A200,'Base bordo'!B$2:B$746,B200,'Base bordo'!F$2:F$746,"CARREGAMENTO"),0)</f>
        <v>0</v>
      </c>
      <c r="H200" s="10">
        <f>IFERROR(SUMIFS('Base bordo'!G$2:G$746,'Base bordo'!C$2:C$746,A200,'Base bordo'!B$2:B$746,B200,'Base bordo'!F$2:F$746,"AGUARDANDO TRANSBORDO"),0)</f>
        <v>0.16944444444444445</v>
      </c>
      <c r="I200" s="10">
        <f>IFERROR(SUMIFS('Base bordo'!G$2:G$746,'Base bordo'!C$2:C$746,A200,'Base bordo'!B$2:B$746,B200,'Base bordo'!F$2:F$746,"PÁTIO INTERNO"),0)+IFERROR(SUMIFS('Base bordo'!G$2:G$746,'Base bordo'!C$2:C$746,A200,'Base bordo'!B$2:B$746,B200,'Base bordo'!F$2:F$746,"PÁTIO EXTERNO"),0)+IFERROR(SUMIFS('Base bordo'!G$2:G$746,'Base bordo'!C$2:C$746,A200,'Base bordo'!B$2:B$746,B200,'Base bordo'!F$2:F$746,"PATIO - RESERVA"),0)+IFERROR(SUMIFS('Base bordo'!G$2:G$746,'Base bordo'!C$2:C$746,A200,'Base bordo'!B$2:B$746,B200,'Base bordo'!F$2:F$746,"MANOBRA CARRETAS-PATIO"),0)</f>
        <v>10.112499999999999</v>
      </c>
      <c r="J200" s="10">
        <f>IFERROR(SUMIFS('Base bordo'!G$2:G$746,'Base bordo'!C$2:C$746,A200,'Base bordo'!B$2:B$746,B200,'Base bordo'!F$2:F$746,"BALANÇA - ENTRADA"),0)+IFERROR(SUMIFS('Base bordo'!G$2:G$746,'Base bordo'!C$2:C$746,A200,'Base bordo'!B$2:B$746,B200,'Base bordo'!F$2:F$746,"BALANÇA - SAÍDA"),0)</f>
        <v>0.13666666666666666</v>
      </c>
      <c r="K200" s="10">
        <f>IFERROR(SUMIFS('Base bordo'!G$2:G$746,'Base bordo'!C$2:C$746,A200,'Base bordo'!B$2:B$746,B200,'Base bordo'!F$2:F$746,"MAN PREVENTIVA - MECANICA"),0)+IFERROR(SUMIFS('Base bordo'!G$2:G$746,'Base bordo'!C$2:C$746,A200,'Base bordo'!B$2:B$746,B200,'Base bordo'!F$2:F$746,"MAN CORRETIVA - MECANICA"),0)</f>
        <v>0</v>
      </c>
      <c r="L200" s="10">
        <f>IFERROR(SUMIFS('Base bordo'!G$2:G$746,'Base bordo'!C$2:C$746,A200,'Base bordo'!B$2:B$746,B200,'Base bordo'!F$2:F$746,"MANUTENCAO - T O"),0)+IFERROR(SUMIFS('Base bordo'!G$2:G$746,'Base bordo'!C$2:C$746,A200,'Base bordo'!B$2:B$746,B200,'Base bordo'!F$2:F$746,"MANUTENCAO BORRACHARIA"),0)+IFERROR(SUMIFS('Base bordo'!G$2:G$746,'Base bordo'!C$2:C$746,A200,'Base bordo'!B$2:B$746,B200,'Base bordo'!F$2:F$746,"MANUTENCAO EXTERNA  CONCESSIONARIA"),0)+IFERROR(SUMIFS('Base bordo'!G$2:G$746,'Base bordo'!C$2:C$746,A200,'Base bordo'!B$2:B$746,B200,'Base bordo'!F$2:F$746,"MANUTENCAO TELEMETRIA"),0)</f>
        <v>0.28944444444444445</v>
      </c>
      <c r="M200" s="10">
        <f>IFERROR(SUMIFS('Base bordo'!G$2:G$746,'Base bordo'!C$2:C$746,A200,'Base bordo'!B$2:B$746,B200,'Base bordo'!F$2:F$746,"AGUARDANDO MANUTENCAO"),0)</f>
        <v>0</v>
      </c>
      <c r="N200" s="10">
        <f>IFERROR(SUMIFS('Base bordo'!G$2:G$746,'Base bordo'!C$2:C$746,A200,'Base bordo'!B$2:B$746,B200,'Base bordo'!F$2:F$746,"SEM APONTAMENTO"),0)</f>
        <v>0</v>
      </c>
      <c r="O200" s="10">
        <f t="shared" si="24"/>
        <v>0</v>
      </c>
      <c r="P200" s="10">
        <f>IFERROR(SUMIFS('Base bordo'!G$2:G$746,'Base bordo'!C$2:C$746,A200,'Base bordo'!B$2:B$746,B200),0)</f>
        <v>15.096388888888889</v>
      </c>
      <c r="Q200" s="10">
        <f>IFERROR(SUMIFS('Base bordo'!H$2:H$746,'Base bordo'!C$2:C$746,A200,'Base bordo'!B$2:B$746,B200,'Base bordo'!F$2:F$746,"DESLOCAMENTO VAZIO"),0)</f>
        <v>217205.70999999996</v>
      </c>
      <c r="R200" s="10">
        <f>IFERROR(SUMIFS('Base bordo'!I$2:I$746,'Base bordo'!C$2:C$746,A200,'Base bordo'!B$2:B$746,B200,'Base bordo'!F$2:F$746,"DESLOCAMENTO VAZIO"),0)</f>
        <v>7483</v>
      </c>
      <c r="S200" s="30">
        <f t="shared" si="25"/>
        <v>29.026554857677397</v>
      </c>
      <c r="T200" s="10">
        <f>IFERROR(SUMIFS('Base bordo'!H$2:H$746,'Base bordo'!C$2:C$746,A200,'Base bordo'!B$2:B$746,B200,'Base bordo'!F$2:F$746,"DESLOCAMENTO CARREGADO"),0)</f>
        <v>176129.33000000002</v>
      </c>
      <c r="U200" s="10">
        <f>IFERROR(SUMIFS('Base bordo'!I$2:I$746,'Base bordo'!C$2:C$746,A200,'Base bordo'!B$2:B$746,B200,'Base bordo'!F$2:F$746,"DESLOCAMENTO CARREGADO"),0)</f>
        <v>7271</v>
      </c>
      <c r="V200" s="30">
        <f t="shared" si="26"/>
        <v>24.22353596479164</v>
      </c>
      <c r="W200" s="9">
        <f t="shared" si="27"/>
        <v>0.13768929287725173</v>
      </c>
      <c r="X200" s="9">
        <f t="shared" si="28"/>
        <v>0.13378843358419049</v>
      </c>
      <c r="Y200" s="9">
        <f t="shared" si="29"/>
        <v>0.72852227353855781</v>
      </c>
    </row>
    <row r="201" spans="1:25" ht="15" customHeight="1" x14ac:dyDescent="0.35">
      <c r="A201" s="52">
        <v>8013478</v>
      </c>
      <c r="B201" s="51">
        <v>46124</v>
      </c>
      <c r="C201" s="7" t="s">
        <v>124</v>
      </c>
      <c r="D201" s="10">
        <f>IFERROR(SUMIFS('Base bordo'!G$2:G$746,'Base bordo'!C$2:C$746,A201,'Base bordo'!B$2:B$746,B201,'Base bordo'!F$2:F$746,"DESLOCAMENTO VAZIO"),0)</f>
        <v>2.069722222222222</v>
      </c>
      <c r="E201" s="10">
        <f>IFERROR(SUMIFS('Base bordo'!G$2:G$746,'Base bordo'!C$2:C$746,A201,'Base bordo'!B$2:B$746,B201,'Base bordo'!F$2:F$746,"DESLOCAMENTO CARREGADO"),0)</f>
        <v>4.5216666666666665</v>
      </c>
      <c r="F201" s="10">
        <f>IFERROR(SUMIFS('Base bordo'!G$2:G$746,'Base bordo'!C$2:C$746,A201,'Base bordo'!B$2:B$746,B201,'Base bordo'!F$2:F$746,"DESLOCAMENTO"),0)</f>
        <v>0</v>
      </c>
      <c r="G201" s="10">
        <f>IFERROR(SUMIFS('Base bordo'!G$2:G$746,'Base bordo'!C$2:C$746,A201,'Base bordo'!B$2:B$746,B201,'Base bordo'!F$2:F$746,"CARREGAMENTO"),0)</f>
        <v>0</v>
      </c>
      <c r="H201" s="10">
        <f>IFERROR(SUMIFS('Base bordo'!G$2:G$746,'Base bordo'!C$2:C$746,A201,'Base bordo'!B$2:B$746,B201,'Base bordo'!F$2:F$746,"AGUARDANDO TRANSBORDO"),0)</f>
        <v>0.42222222222222222</v>
      </c>
      <c r="I201" s="10">
        <f>IFERROR(SUMIFS('Base bordo'!G$2:G$746,'Base bordo'!C$2:C$746,A201,'Base bordo'!B$2:B$746,B201,'Base bordo'!F$2:F$746,"PÁTIO INTERNO"),0)+IFERROR(SUMIFS('Base bordo'!G$2:G$746,'Base bordo'!C$2:C$746,A201,'Base bordo'!B$2:B$746,B201,'Base bordo'!F$2:F$746,"PÁTIO EXTERNO"),0)+IFERROR(SUMIFS('Base bordo'!G$2:G$746,'Base bordo'!C$2:C$746,A201,'Base bordo'!B$2:B$746,B201,'Base bordo'!F$2:F$746,"PATIO - RESERVA"),0)+IFERROR(SUMIFS('Base bordo'!G$2:G$746,'Base bordo'!C$2:C$746,A201,'Base bordo'!B$2:B$746,B201,'Base bordo'!F$2:F$746,"MANOBRA CARRETAS-PATIO"),0)</f>
        <v>2.931111111111111</v>
      </c>
      <c r="J201" s="10">
        <f>IFERROR(SUMIFS('Base bordo'!G$2:G$746,'Base bordo'!C$2:C$746,A201,'Base bordo'!B$2:B$746,B201,'Base bordo'!F$2:F$746,"BALANÇA - ENTRADA"),0)+IFERROR(SUMIFS('Base bordo'!G$2:G$746,'Base bordo'!C$2:C$746,A201,'Base bordo'!B$2:B$746,B201,'Base bordo'!F$2:F$746,"BALANÇA - SAÍDA"),0)</f>
        <v>9.5833333333333326E-2</v>
      </c>
      <c r="K201" s="10">
        <f>IFERROR(SUMIFS('Base bordo'!G$2:G$746,'Base bordo'!C$2:C$746,A201,'Base bordo'!B$2:B$746,B201,'Base bordo'!F$2:F$746,"MAN PREVENTIVA - MECANICA"),0)+IFERROR(SUMIFS('Base bordo'!G$2:G$746,'Base bordo'!C$2:C$746,A201,'Base bordo'!B$2:B$746,B201,'Base bordo'!F$2:F$746,"MAN CORRETIVA - MECANICA"),0)</f>
        <v>0</v>
      </c>
      <c r="L201" s="10">
        <f>IFERROR(SUMIFS('Base bordo'!G$2:G$746,'Base bordo'!C$2:C$746,A201,'Base bordo'!B$2:B$746,B201,'Base bordo'!F$2:F$746,"MANUTENCAO - T O"),0)+IFERROR(SUMIFS('Base bordo'!G$2:G$746,'Base bordo'!C$2:C$746,A201,'Base bordo'!B$2:B$746,B201,'Base bordo'!F$2:F$746,"MANUTENCAO BORRACHARIA"),0)+IFERROR(SUMIFS('Base bordo'!G$2:G$746,'Base bordo'!C$2:C$746,A201,'Base bordo'!B$2:B$746,B201,'Base bordo'!F$2:F$746,"MANUTENCAO EXTERNA  CONCESSIONARIA"),0)+IFERROR(SUMIFS('Base bordo'!G$2:G$746,'Base bordo'!C$2:C$746,A201,'Base bordo'!B$2:B$746,B201,'Base bordo'!F$2:F$746,"MANUTENCAO TELEMETRIA"),0)</f>
        <v>0</v>
      </c>
      <c r="M201" s="10">
        <f>IFERROR(SUMIFS('Base bordo'!G$2:G$746,'Base bordo'!C$2:C$746,A201,'Base bordo'!B$2:B$746,B201,'Base bordo'!F$2:F$746,"AGUARDANDO MANUTENCAO"),0)</f>
        <v>0</v>
      </c>
      <c r="N201" s="10">
        <f>IFERROR(SUMIFS('Base bordo'!G$2:G$746,'Base bordo'!C$2:C$746,A201,'Base bordo'!B$2:B$746,B201,'Base bordo'!F$2:F$746,"SEM APONTAMENTO"),0)</f>
        <v>0</v>
      </c>
      <c r="O201" s="10">
        <f t="shared" si="24"/>
        <v>0</v>
      </c>
      <c r="P201" s="10">
        <f>IFERROR(SUMIFS('Base bordo'!G$2:G$746,'Base bordo'!C$2:C$746,A201,'Base bordo'!B$2:B$746,B201),0)</f>
        <v>10.040555555555555</v>
      </c>
      <c r="Q201" s="10">
        <f>IFERROR(SUMIFS('Base bordo'!H$2:H$746,'Base bordo'!C$2:C$746,A201,'Base bordo'!B$2:B$746,B201,'Base bordo'!F$2:F$746,"DESLOCAMENTO VAZIO"),0)</f>
        <v>230432.85</v>
      </c>
      <c r="R201" s="10">
        <f>IFERROR(SUMIFS('Base bordo'!I$2:I$746,'Base bordo'!C$2:C$746,A201,'Base bordo'!B$2:B$746,B201,'Base bordo'!F$2:F$746,"DESLOCAMENTO VAZIO"),0)</f>
        <v>7451</v>
      </c>
      <c r="S201" s="30">
        <f t="shared" si="25"/>
        <v>30.926432693598176</v>
      </c>
      <c r="T201" s="10">
        <f>IFERROR(SUMIFS('Base bordo'!H$2:H$746,'Base bordo'!C$2:C$746,A201,'Base bordo'!B$2:B$746,B201,'Base bordo'!F$2:F$746,"DESLOCAMENTO CARREGADO"),0)</f>
        <v>396489.03</v>
      </c>
      <c r="U201" s="10">
        <f>IFERROR(SUMIFS('Base bordo'!I$2:I$746,'Base bordo'!C$2:C$746,A201,'Base bordo'!B$2:B$746,B201,'Base bordo'!F$2:F$746,"DESLOCAMENTO CARREGADO"),0)</f>
        <v>16278</v>
      </c>
      <c r="V201" s="30">
        <f t="shared" si="26"/>
        <v>24.357355326207152</v>
      </c>
      <c r="W201" s="9">
        <f t="shared" si="27"/>
        <v>0.2061362253084712</v>
      </c>
      <c r="X201" s="9">
        <f t="shared" si="28"/>
        <v>0.45034028661539316</v>
      </c>
      <c r="Y201" s="9">
        <f t="shared" si="29"/>
        <v>0.34352348807613575</v>
      </c>
    </row>
    <row r="202" spans="1:25" ht="15" customHeight="1" x14ac:dyDescent="0.35">
      <c r="A202" s="52">
        <v>8013473</v>
      </c>
      <c r="B202" s="51">
        <v>46124</v>
      </c>
      <c r="C202" s="7" t="s">
        <v>124</v>
      </c>
      <c r="D202" s="10">
        <f>IFERROR(SUMIFS('Base bordo'!G$2:G$746,'Base bordo'!C$2:C$746,A202,'Base bordo'!B$2:B$746,B202,'Base bordo'!F$2:F$746,"DESLOCAMENTO VAZIO"),0)</f>
        <v>3.3650000000000002</v>
      </c>
      <c r="E202" s="10">
        <f>IFERROR(SUMIFS('Base bordo'!G$2:G$746,'Base bordo'!C$2:C$746,A202,'Base bordo'!B$2:B$746,B202,'Base bordo'!F$2:F$746,"DESLOCAMENTO CARREGADO"),0)</f>
        <v>4.0566666666666666</v>
      </c>
      <c r="F202" s="10">
        <f>IFERROR(SUMIFS('Base bordo'!G$2:G$746,'Base bordo'!C$2:C$746,A202,'Base bordo'!B$2:B$746,B202,'Base bordo'!F$2:F$746,"DESLOCAMENTO"),0)</f>
        <v>0</v>
      </c>
      <c r="G202" s="10">
        <f>IFERROR(SUMIFS('Base bordo'!G$2:G$746,'Base bordo'!C$2:C$746,A202,'Base bordo'!B$2:B$746,B202,'Base bordo'!F$2:F$746,"CARREGAMENTO"),0)</f>
        <v>0</v>
      </c>
      <c r="H202" s="10">
        <f>IFERROR(SUMIFS('Base bordo'!G$2:G$746,'Base bordo'!C$2:C$746,A202,'Base bordo'!B$2:B$746,B202,'Base bordo'!F$2:F$746,"AGUARDANDO TRANSBORDO"),0)</f>
        <v>0.39333333333333331</v>
      </c>
      <c r="I202" s="10">
        <f>IFERROR(SUMIFS('Base bordo'!G$2:G$746,'Base bordo'!C$2:C$746,A202,'Base bordo'!B$2:B$746,B202,'Base bordo'!F$2:F$746,"PÁTIO INTERNO"),0)+IFERROR(SUMIFS('Base bordo'!G$2:G$746,'Base bordo'!C$2:C$746,A202,'Base bordo'!B$2:B$746,B202,'Base bordo'!F$2:F$746,"PÁTIO EXTERNO"),0)+IFERROR(SUMIFS('Base bordo'!G$2:G$746,'Base bordo'!C$2:C$746,A202,'Base bordo'!B$2:B$746,B202,'Base bordo'!F$2:F$746,"PATIO - RESERVA"),0)+IFERROR(SUMIFS('Base bordo'!G$2:G$746,'Base bordo'!C$2:C$746,A202,'Base bordo'!B$2:B$746,B202,'Base bordo'!F$2:F$746,"MANOBRA CARRETAS-PATIO"),0)</f>
        <v>4.1744444444444442</v>
      </c>
      <c r="J202" s="10">
        <f>IFERROR(SUMIFS('Base bordo'!G$2:G$746,'Base bordo'!C$2:C$746,A202,'Base bordo'!B$2:B$746,B202,'Base bordo'!F$2:F$746,"BALANÇA - ENTRADA"),0)+IFERROR(SUMIFS('Base bordo'!G$2:G$746,'Base bordo'!C$2:C$746,A202,'Base bordo'!B$2:B$746,B202,'Base bordo'!F$2:F$746,"BALANÇA - SAÍDA"),0)</f>
        <v>0.27249999999999996</v>
      </c>
      <c r="K202" s="10">
        <f>IFERROR(SUMIFS('Base bordo'!G$2:G$746,'Base bordo'!C$2:C$746,A202,'Base bordo'!B$2:B$746,B202,'Base bordo'!F$2:F$746,"MAN PREVENTIVA - MECANICA"),0)+IFERROR(SUMIFS('Base bordo'!G$2:G$746,'Base bordo'!C$2:C$746,A202,'Base bordo'!B$2:B$746,B202,'Base bordo'!F$2:F$746,"MAN CORRETIVA - MECANICA"),0)</f>
        <v>0</v>
      </c>
      <c r="L202" s="10">
        <f>IFERROR(SUMIFS('Base bordo'!G$2:G$746,'Base bordo'!C$2:C$746,A202,'Base bordo'!B$2:B$746,B202,'Base bordo'!F$2:F$746,"MANUTENCAO - T O"),0)+IFERROR(SUMIFS('Base bordo'!G$2:G$746,'Base bordo'!C$2:C$746,A202,'Base bordo'!B$2:B$746,B202,'Base bordo'!F$2:F$746,"MANUTENCAO BORRACHARIA"),0)+IFERROR(SUMIFS('Base bordo'!G$2:G$746,'Base bordo'!C$2:C$746,A202,'Base bordo'!B$2:B$746,B202,'Base bordo'!F$2:F$746,"MANUTENCAO EXTERNA  CONCESSIONARIA"),0)+IFERROR(SUMIFS('Base bordo'!G$2:G$746,'Base bordo'!C$2:C$746,A202,'Base bordo'!B$2:B$746,B202,'Base bordo'!F$2:F$746,"MANUTENCAO TELEMETRIA"),0)</f>
        <v>0</v>
      </c>
      <c r="M202" s="10">
        <f>IFERROR(SUMIFS('Base bordo'!G$2:G$746,'Base bordo'!C$2:C$746,A202,'Base bordo'!B$2:B$746,B202,'Base bordo'!F$2:F$746,"AGUARDANDO MANUTENCAO"),0)</f>
        <v>0</v>
      </c>
      <c r="N202" s="10">
        <f>IFERROR(SUMIFS('Base bordo'!G$2:G$746,'Base bordo'!C$2:C$746,A202,'Base bordo'!B$2:B$746,B202,'Base bordo'!F$2:F$746,"SEM APONTAMENTO"),0)</f>
        <v>0</v>
      </c>
      <c r="O202" s="10">
        <f t="shared" si="24"/>
        <v>0.26305555555555138</v>
      </c>
      <c r="P202" s="10">
        <f>IFERROR(SUMIFS('Base bordo'!G$2:G$746,'Base bordo'!C$2:C$746,A202,'Base bordo'!B$2:B$746,B202),0)</f>
        <v>12.524999999999997</v>
      </c>
      <c r="Q202" s="10">
        <f>IFERROR(SUMIFS('Base bordo'!H$2:H$746,'Base bordo'!C$2:C$746,A202,'Base bordo'!B$2:B$746,B202,'Base bordo'!F$2:F$746,"DESLOCAMENTO VAZIO"),0)</f>
        <v>427465.79</v>
      </c>
      <c r="R202" s="10">
        <f>IFERROR(SUMIFS('Base bordo'!I$2:I$746,'Base bordo'!C$2:C$746,A202,'Base bordo'!B$2:B$746,B202,'Base bordo'!F$2:F$746,"DESLOCAMENTO VAZIO"),0)</f>
        <v>12114</v>
      </c>
      <c r="S202" s="30">
        <f t="shared" si="25"/>
        <v>35.286923394419681</v>
      </c>
      <c r="T202" s="10">
        <f>IFERROR(SUMIFS('Base bordo'!H$2:H$746,'Base bordo'!C$2:C$746,A202,'Base bordo'!B$2:B$746,B202,'Base bordo'!F$2:F$746,"DESLOCAMENTO CARREGADO"),0)</f>
        <v>388337.10000000003</v>
      </c>
      <c r="U202" s="10">
        <f>IFERROR(SUMIFS('Base bordo'!I$2:I$746,'Base bordo'!C$2:C$746,A202,'Base bordo'!B$2:B$746,B202,'Base bordo'!F$2:F$746,"DESLOCAMENTO CARREGADO"),0)</f>
        <v>14604</v>
      </c>
      <c r="V202" s="30">
        <f t="shared" si="26"/>
        <v>26.591146261298277</v>
      </c>
      <c r="W202" s="9">
        <f t="shared" si="27"/>
        <v>0.26866267465069871</v>
      </c>
      <c r="X202" s="9">
        <f t="shared" si="28"/>
        <v>0.32388556220891557</v>
      </c>
      <c r="Y202" s="9">
        <f t="shared" si="29"/>
        <v>0.40745176314038578</v>
      </c>
    </row>
    <row r="203" spans="1:25" ht="15" customHeight="1" x14ac:dyDescent="0.35">
      <c r="A203" s="52">
        <v>8013475</v>
      </c>
      <c r="B203" s="51">
        <v>46117</v>
      </c>
      <c r="C203" s="7" t="s">
        <v>124</v>
      </c>
      <c r="D203" s="10">
        <f>IFERROR(SUMIFS('Base bordo'!G$2:G$746,'Base bordo'!C$2:C$746,A203,'Base bordo'!B$2:B$746,B203,'Base bordo'!F$2:F$746,"DESLOCAMENTO VAZIO"),0)</f>
        <v>1.4697222222222222</v>
      </c>
      <c r="E203" s="10">
        <f>IFERROR(SUMIFS('Base bordo'!G$2:G$746,'Base bordo'!C$2:C$746,A203,'Base bordo'!B$2:B$746,B203,'Base bordo'!F$2:F$746,"DESLOCAMENTO CARREGADO"),0)</f>
        <v>0</v>
      </c>
      <c r="F203" s="10">
        <f>IFERROR(SUMIFS('Base bordo'!G$2:G$746,'Base bordo'!C$2:C$746,A203,'Base bordo'!B$2:B$746,B203,'Base bordo'!F$2:F$746,"DESLOCAMENTO"),0)</f>
        <v>0.17444444444444446</v>
      </c>
      <c r="G203" s="10">
        <f>IFERROR(SUMIFS('Base bordo'!G$2:G$746,'Base bordo'!C$2:C$746,A203,'Base bordo'!B$2:B$746,B203,'Base bordo'!F$2:F$746,"CARREGAMENTO"),0)</f>
        <v>0</v>
      </c>
      <c r="H203" s="10">
        <f>IFERROR(SUMIFS('Base bordo'!G$2:G$746,'Base bordo'!C$2:C$746,A203,'Base bordo'!B$2:B$746,B203,'Base bordo'!F$2:F$746,"AGUARDANDO TRANSBORDO"),0)</f>
        <v>3.2597222222222224</v>
      </c>
      <c r="I203" s="10">
        <f>IFERROR(SUMIFS('Base bordo'!G$2:G$746,'Base bordo'!C$2:C$746,A203,'Base bordo'!B$2:B$746,B203,'Base bordo'!F$2:F$746,"PÁTIO INTERNO"),0)+IFERROR(SUMIFS('Base bordo'!G$2:G$746,'Base bordo'!C$2:C$746,A203,'Base bordo'!B$2:B$746,B203,'Base bordo'!F$2:F$746,"PÁTIO EXTERNO"),0)+IFERROR(SUMIFS('Base bordo'!G$2:G$746,'Base bordo'!C$2:C$746,A203,'Base bordo'!B$2:B$746,B203,'Base bordo'!F$2:F$746,"PATIO - RESERVA"),0)+IFERROR(SUMIFS('Base bordo'!G$2:G$746,'Base bordo'!C$2:C$746,A203,'Base bordo'!B$2:B$746,B203,'Base bordo'!F$2:F$746,"MANOBRA CARRETAS-PATIO"),0)</f>
        <v>0</v>
      </c>
      <c r="J203" s="10">
        <f>IFERROR(SUMIFS('Base bordo'!G$2:G$746,'Base bordo'!C$2:C$746,A203,'Base bordo'!B$2:B$746,B203,'Base bordo'!F$2:F$746,"BALANÇA - ENTRADA"),0)+IFERROR(SUMIFS('Base bordo'!G$2:G$746,'Base bordo'!C$2:C$746,A203,'Base bordo'!B$2:B$746,B203,'Base bordo'!F$2:F$746,"BALANÇA - SAÍDA"),0)</f>
        <v>0</v>
      </c>
      <c r="K203" s="10">
        <f>IFERROR(SUMIFS('Base bordo'!G$2:G$746,'Base bordo'!C$2:C$746,A203,'Base bordo'!B$2:B$746,B203,'Base bordo'!F$2:F$746,"MAN PREVENTIVA - MECANICA"),0)+IFERROR(SUMIFS('Base bordo'!G$2:G$746,'Base bordo'!C$2:C$746,A203,'Base bordo'!B$2:B$746,B203,'Base bordo'!F$2:F$746,"MAN CORRETIVA - MECANICA"),0)</f>
        <v>0</v>
      </c>
      <c r="L203" s="10">
        <f>IFERROR(SUMIFS('Base bordo'!G$2:G$746,'Base bordo'!C$2:C$746,A203,'Base bordo'!B$2:B$746,B203,'Base bordo'!F$2:F$746,"MANUTENCAO - T O"),0)+IFERROR(SUMIFS('Base bordo'!G$2:G$746,'Base bordo'!C$2:C$746,A203,'Base bordo'!B$2:B$746,B203,'Base bordo'!F$2:F$746,"MANUTENCAO BORRACHARIA"),0)+IFERROR(SUMIFS('Base bordo'!G$2:G$746,'Base bordo'!C$2:C$746,A203,'Base bordo'!B$2:B$746,B203,'Base bordo'!F$2:F$746,"MANUTENCAO EXTERNA  CONCESSIONARIA"),0)+IFERROR(SUMIFS('Base bordo'!G$2:G$746,'Base bordo'!C$2:C$746,A203,'Base bordo'!B$2:B$746,B203,'Base bordo'!F$2:F$746,"MANUTENCAO TELEMETRIA"),0)</f>
        <v>18.858611111111109</v>
      </c>
      <c r="M203" s="10">
        <f>IFERROR(SUMIFS('Base bordo'!G$2:G$746,'Base bordo'!C$2:C$746,A203,'Base bordo'!B$2:B$746,B203,'Base bordo'!F$2:F$746,"AGUARDANDO MANUTENCAO"),0)</f>
        <v>0</v>
      </c>
      <c r="N203" s="10">
        <f>IFERROR(SUMIFS('Base bordo'!G$2:G$746,'Base bordo'!C$2:C$746,A203,'Base bordo'!B$2:B$746,B203,'Base bordo'!F$2:F$746,"SEM APONTAMENTO"),0)</f>
        <v>0</v>
      </c>
      <c r="O203" s="10">
        <f t="shared" si="24"/>
        <v>0.23749999999999716</v>
      </c>
      <c r="P203" s="10">
        <f>IFERROR(SUMIFS('Base bordo'!G$2:G$746,'Base bordo'!C$2:C$746,A203,'Base bordo'!B$2:B$746,B203),0)</f>
        <v>23.999999999999996</v>
      </c>
      <c r="Q203" s="10">
        <f>IFERROR(SUMIFS('Base bordo'!H$2:H$746,'Base bordo'!C$2:C$746,A203,'Base bordo'!B$2:B$746,B203,'Base bordo'!F$2:F$746,"DESLOCAMENTO VAZIO"),0)</f>
        <v>139140.03999999998</v>
      </c>
      <c r="R203" s="10">
        <f>IFERROR(SUMIFS('Base bordo'!I$2:I$746,'Base bordo'!C$2:C$746,A203,'Base bordo'!B$2:B$746,B203,'Base bordo'!F$2:F$746,"DESLOCAMENTO VAZIO"),0)</f>
        <v>5291</v>
      </c>
      <c r="S203" s="30">
        <f t="shared" si="25"/>
        <v>26.297493857493855</v>
      </c>
      <c r="T203" s="10">
        <f>IFERROR(SUMIFS('Base bordo'!H$2:H$746,'Base bordo'!C$2:C$746,A203,'Base bordo'!B$2:B$746,B203,'Base bordo'!F$2:F$746,"DESLOCAMENTO CARREGADO"),0)</f>
        <v>0</v>
      </c>
      <c r="U203" s="10">
        <f>IFERROR(SUMIFS('Base bordo'!I$2:I$746,'Base bordo'!C$2:C$746,A203,'Base bordo'!B$2:B$746,B203,'Base bordo'!F$2:F$746,"DESLOCAMENTO CARREGADO"),0)</f>
        <v>0</v>
      </c>
      <c r="V203" s="30" t="str">
        <f t="shared" si="26"/>
        <v/>
      </c>
      <c r="W203" s="9">
        <f t="shared" si="27"/>
        <v>6.1238425925925932E-2</v>
      </c>
      <c r="X203" s="9">
        <f t="shared" si="28"/>
        <v>0</v>
      </c>
      <c r="Y203" s="9">
        <f t="shared" si="29"/>
        <v>0.93876157407407401</v>
      </c>
    </row>
    <row r="204" spans="1:25" ht="15" customHeight="1" x14ac:dyDescent="0.35">
      <c r="A204" s="52">
        <v>8013462</v>
      </c>
      <c r="B204" s="51">
        <v>46119</v>
      </c>
      <c r="C204" s="7" t="s">
        <v>124</v>
      </c>
      <c r="D204" s="10">
        <f>IFERROR(SUMIFS('Base bordo'!G$2:G$746,'Base bordo'!C$2:C$746,A204,'Base bordo'!B$2:B$746,B204,'Base bordo'!F$2:F$746,"DESLOCAMENTO VAZIO"),0)</f>
        <v>0.22444444444444445</v>
      </c>
      <c r="E204" s="10">
        <f>IFERROR(SUMIFS('Base bordo'!G$2:G$746,'Base bordo'!C$2:C$746,A204,'Base bordo'!B$2:B$746,B204,'Base bordo'!F$2:F$746,"DESLOCAMENTO CARREGADO"),0)</f>
        <v>1.1399999999999999</v>
      </c>
      <c r="F204" s="10">
        <f>IFERROR(SUMIFS('Base bordo'!G$2:G$746,'Base bordo'!C$2:C$746,A204,'Base bordo'!B$2:B$746,B204,'Base bordo'!F$2:F$746,"DESLOCAMENTO"),0)</f>
        <v>0</v>
      </c>
      <c r="G204" s="10">
        <f>IFERROR(SUMIFS('Base bordo'!G$2:G$746,'Base bordo'!C$2:C$746,A204,'Base bordo'!B$2:B$746,B204,'Base bordo'!F$2:F$746,"CARREGAMENTO"),0)</f>
        <v>0</v>
      </c>
      <c r="H204" s="10">
        <f>IFERROR(SUMIFS('Base bordo'!G$2:G$746,'Base bordo'!C$2:C$746,A204,'Base bordo'!B$2:B$746,B204,'Base bordo'!F$2:F$746,"AGUARDANDO TRANSBORDO"),0)</f>
        <v>0</v>
      </c>
      <c r="I204" s="10">
        <f>IFERROR(SUMIFS('Base bordo'!G$2:G$746,'Base bordo'!C$2:C$746,A204,'Base bordo'!B$2:B$746,B204,'Base bordo'!F$2:F$746,"PÁTIO INTERNO"),0)+IFERROR(SUMIFS('Base bordo'!G$2:G$746,'Base bordo'!C$2:C$746,A204,'Base bordo'!B$2:B$746,B204,'Base bordo'!F$2:F$746,"PÁTIO EXTERNO"),0)+IFERROR(SUMIFS('Base bordo'!G$2:G$746,'Base bordo'!C$2:C$746,A204,'Base bordo'!B$2:B$746,B204,'Base bordo'!F$2:F$746,"PATIO - RESERVA"),0)+IFERROR(SUMIFS('Base bordo'!G$2:G$746,'Base bordo'!C$2:C$746,A204,'Base bordo'!B$2:B$746,B204,'Base bordo'!F$2:F$746,"MANOBRA CARRETAS-PATIO"),0)</f>
        <v>19.001944444444444</v>
      </c>
      <c r="J204" s="10">
        <f>IFERROR(SUMIFS('Base bordo'!G$2:G$746,'Base bordo'!C$2:C$746,A204,'Base bordo'!B$2:B$746,B204,'Base bordo'!F$2:F$746,"BALANÇA - ENTRADA"),0)+IFERROR(SUMIFS('Base bordo'!G$2:G$746,'Base bordo'!C$2:C$746,A204,'Base bordo'!B$2:B$746,B204,'Base bordo'!F$2:F$746,"BALANÇA - SAÍDA"),0)</f>
        <v>4.9444444444444444E-2</v>
      </c>
      <c r="K204" s="10">
        <f>IFERROR(SUMIFS('Base bordo'!G$2:G$746,'Base bordo'!C$2:C$746,A204,'Base bordo'!B$2:B$746,B204,'Base bordo'!F$2:F$746,"MAN PREVENTIVA - MECANICA"),0)+IFERROR(SUMIFS('Base bordo'!G$2:G$746,'Base bordo'!C$2:C$746,A204,'Base bordo'!B$2:B$746,B204,'Base bordo'!F$2:F$746,"MAN CORRETIVA - MECANICA"),0)</f>
        <v>0</v>
      </c>
      <c r="L204" s="10">
        <f>IFERROR(SUMIFS('Base bordo'!G$2:G$746,'Base bordo'!C$2:C$746,A204,'Base bordo'!B$2:B$746,B204,'Base bordo'!F$2:F$746,"MANUTENCAO - T O"),0)+IFERROR(SUMIFS('Base bordo'!G$2:G$746,'Base bordo'!C$2:C$746,A204,'Base bordo'!B$2:B$746,B204,'Base bordo'!F$2:F$746,"MANUTENCAO BORRACHARIA"),0)+IFERROR(SUMIFS('Base bordo'!G$2:G$746,'Base bordo'!C$2:C$746,A204,'Base bordo'!B$2:B$746,B204,'Base bordo'!F$2:F$746,"MANUTENCAO EXTERNA  CONCESSIONARIA"),0)+IFERROR(SUMIFS('Base bordo'!G$2:G$746,'Base bordo'!C$2:C$746,A204,'Base bordo'!B$2:B$746,B204,'Base bordo'!F$2:F$746,"MANUTENCAO TELEMETRIA"),0)</f>
        <v>0</v>
      </c>
      <c r="M204" s="10">
        <f>IFERROR(SUMIFS('Base bordo'!G$2:G$746,'Base bordo'!C$2:C$746,A204,'Base bordo'!B$2:B$746,B204,'Base bordo'!F$2:F$746,"AGUARDANDO MANUTENCAO"),0)</f>
        <v>0</v>
      </c>
      <c r="N204" s="10">
        <f>IFERROR(SUMIFS('Base bordo'!G$2:G$746,'Base bordo'!C$2:C$746,A204,'Base bordo'!B$2:B$746,B204,'Base bordo'!F$2:F$746,"SEM APONTAMENTO"),0)</f>
        <v>0</v>
      </c>
      <c r="O204" s="10">
        <f t="shared" si="24"/>
        <v>0</v>
      </c>
      <c r="P204" s="10">
        <f>IFERROR(SUMIFS('Base bordo'!G$2:G$746,'Base bordo'!C$2:C$746,A204,'Base bordo'!B$2:B$746,B204),0)</f>
        <v>20.415833333333332</v>
      </c>
      <c r="Q204" s="10">
        <f>IFERROR(SUMIFS('Base bordo'!H$2:H$746,'Base bordo'!C$2:C$746,A204,'Base bordo'!B$2:B$746,B204,'Base bordo'!F$2:F$746,"DESLOCAMENTO VAZIO"),0)</f>
        <v>12426.57</v>
      </c>
      <c r="R204" s="10">
        <f>IFERROR(SUMIFS('Base bordo'!I$2:I$746,'Base bordo'!C$2:C$746,A204,'Base bordo'!B$2:B$746,B204,'Base bordo'!F$2:F$746,"DESLOCAMENTO VAZIO"),0)</f>
        <v>808</v>
      </c>
      <c r="S204" s="30">
        <f t="shared" si="25"/>
        <v>15.379418316831682</v>
      </c>
      <c r="T204" s="10">
        <f>IFERROR(SUMIFS('Base bordo'!H$2:H$746,'Base bordo'!C$2:C$746,A204,'Base bordo'!B$2:B$746,B204,'Base bordo'!F$2:F$746,"DESLOCAMENTO CARREGADO"),0)</f>
        <v>100320.48</v>
      </c>
      <c r="U204" s="10">
        <f>IFERROR(SUMIFS('Base bordo'!I$2:I$746,'Base bordo'!C$2:C$746,A204,'Base bordo'!B$2:B$746,B204,'Base bordo'!F$2:F$746,"DESLOCAMENTO CARREGADO"),0)</f>
        <v>4104</v>
      </c>
      <c r="V204" s="30">
        <f t="shared" si="26"/>
        <v>24.444561403508771</v>
      </c>
      <c r="W204" s="9">
        <f t="shared" si="27"/>
        <v>1.0993645999156429E-2</v>
      </c>
      <c r="X204" s="9">
        <f t="shared" si="28"/>
        <v>5.583901383729948E-2</v>
      </c>
      <c r="Y204" s="9">
        <f t="shared" si="29"/>
        <v>0.93316734016354408</v>
      </c>
    </row>
    <row r="205" spans="1:25" ht="15" customHeight="1" x14ac:dyDescent="0.35">
      <c r="A205" s="52">
        <v>8013472</v>
      </c>
      <c r="B205" s="51">
        <v>46124</v>
      </c>
      <c r="C205" s="7" t="s">
        <v>124</v>
      </c>
      <c r="D205" s="10">
        <f>IFERROR(SUMIFS('Base bordo'!G$2:G$746,'Base bordo'!C$2:C$746,A205,'Base bordo'!B$2:B$746,B205,'Base bordo'!F$2:F$746,"DESLOCAMENTO VAZIO"),0)</f>
        <v>3.0741666666666667</v>
      </c>
      <c r="E205" s="10">
        <f>IFERROR(SUMIFS('Base bordo'!G$2:G$746,'Base bordo'!C$2:C$746,A205,'Base bordo'!B$2:B$746,B205,'Base bordo'!F$2:F$746,"DESLOCAMENTO CARREGADO"),0)</f>
        <v>4.4763888888888888</v>
      </c>
      <c r="F205" s="10">
        <f>IFERROR(SUMIFS('Base bordo'!G$2:G$746,'Base bordo'!C$2:C$746,A205,'Base bordo'!B$2:B$746,B205,'Base bordo'!F$2:F$746,"DESLOCAMENTO"),0)</f>
        <v>0</v>
      </c>
      <c r="G205" s="10">
        <f>IFERROR(SUMIFS('Base bordo'!G$2:G$746,'Base bordo'!C$2:C$746,A205,'Base bordo'!B$2:B$746,B205,'Base bordo'!F$2:F$746,"CARREGAMENTO"),0)</f>
        <v>0</v>
      </c>
      <c r="H205" s="10">
        <f>IFERROR(SUMIFS('Base bordo'!G$2:G$746,'Base bordo'!C$2:C$746,A205,'Base bordo'!B$2:B$746,B205,'Base bordo'!F$2:F$746,"AGUARDANDO TRANSBORDO"),0)</f>
        <v>0.55777777777777782</v>
      </c>
      <c r="I205" s="10">
        <f>IFERROR(SUMIFS('Base bordo'!G$2:G$746,'Base bordo'!C$2:C$746,A205,'Base bordo'!B$2:B$746,B205,'Base bordo'!F$2:F$746,"PÁTIO INTERNO"),0)+IFERROR(SUMIFS('Base bordo'!G$2:G$746,'Base bordo'!C$2:C$746,A205,'Base bordo'!B$2:B$746,B205,'Base bordo'!F$2:F$746,"PÁTIO EXTERNO"),0)+IFERROR(SUMIFS('Base bordo'!G$2:G$746,'Base bordo'!C$2:C$746,A205,'Base bordo'!B$2:B$746,B205,'Base bordo'!F$2:F$746,"PATIO - RESERVA"),0)+IFERROR(SUMIFS('Base bordo'!G$2:G$746,'Base bordo'!C$2:C$746,A205,'Base bordo'!B$2:B$746,B205,'Base bordo'!F$2:F$746,"MANOBRA CARRETAS-PATIO"),0)</f>
        <v>4.0902777777777777</v>
      </c>
      <c r="J205" s="10">
        <f>IFERROR(SUMIFS('Base bordo'!G$2:G$746,'Base bordo'!C$2:C$746,A205,'Base bordo'!B$2:B$746,B205,'Base bordo'!F$2:F$746,"BALANÇA - ENTRADA"),0)+IFERROR(SUMIFS('Base bordo'!G$2:G$746,'Base bordo'!C$2:C$746,A205,'Base bordo'!B$2:B$746,B205,'Base bordo'!F$2:F$746,"BALANÇA - SAÍDA"),0)</f>
        <v>5.5555555555555552E-2</v>
      </c>
      <c r="K205" s="10">
        <f>IFERROR(SUMIFS('Base bordo'!G$2:G$746,'Base bordo'!C$2:C$746,A205,'Base bordo'!B$2:B$746,B205,'Base bordo'!F$2:F$746,"MAN PREVENTIVA - MECANICA"),0)+IFERROR(SUMIFS('Base bordo'!G$2:G$746,'Base bordo'!C$2:C$746,A205,'Base bordo'!B$2:B$746,B205,'Base bordo'!F$2:F$746,"MAN CORRETIVA - MECANICA"),0)</f>
        <v>0</v>
      </c>
      <c r="L205" s="10">
        <f>IFERROR(SUMIFS('Base bordo'!G$2:G$746,'Base bordo'!C$2:C$746,A205,'Base bordo'!B$2:B$746,B205,'Base bordo'!F$2:F$746,"MANUTENCAO - T O"),0)+IFERROR(SUMIFS('Base bordo'!G$2:G$746,'Base bordo'!C$2:C$746,A205,'Base bordo'!B$2:B$746,B205,'Base bordo'!F$2:F$746,"MANUTENCAO BORRACHARIA"),0)+IFERROR(SUMIFS('Base bordo'!G$2:G$746,'Base bordo'!C$2:C$746,A205,'Base bordo'!B$2:B$746,B205,'Base bordo'!F$2:F$746,"MANUTENCAO EXTERNA  CONCESSIONARIA"),0)+IFERROR(SUMIFS('Base bordo'!G$2:G$746,'Base bordo'!C$2:C$746,A205,'Base bordo'!B$2:B$746,B205,'Base bordo'!F$2:F$746,"MANUTENCAO TELEMETRIA"),0)</f>
        <v>0</v>
      </c>
      <c r="M205" s="10">
        <f>IFERROR(SUMIFS('Base bordo'!G$2:G$746,'Base bordo'!C$2:C$746,A205,'Base bordo'!B$2:B$746,B205,'Base bordo'!F$2:F$746,"AGUARDANDO MANUTENCAO"),0)</f>
        <v>0</v>
      </c>
      <c r="N205" s="10">
        <f>IFERROR(SUMIFS('Base bordo'!G$2:G$746,'Base bordo'!C$2:C$746,A205,'Base bordo'!B$2:B$746,B205,'Base bordo'!F$2:F$746,"SEM APONTAMENTO"),0)</f>
        <v>0</v>
      </c>
      <c r="O205" s="10">
        <f t="shared" si="24"/>
        <v>3.5527136788005009E-15</v>
      </c>
      <c r="P205" s="10">
        <f>IFERROR(SUMIFS('Base bordo'!G$2:G$746,'Base bordo'!C$2:C$746,A205,'Base bordo'!B$2:B$746,B205),0)</f>
        <v>12.254166666666668</v>
      </c>
      <c r="Q205" s="10">
        <f>IFERROR(SUMIFS('Base bordo'!H$2:H$746,'Base bordo'!C$2:C$746,A205,'Base bordo'!B$2:B$746,B205,'Base bordo'!F$2:F$746,"DESLOCAMENTO VAZIO"),0)</f>
        <v>415361.29000000004</v>
      </c>
      <c r="R205" s="10">
        <f>IFERROR(SUMIFS('Base bordo'!I$2:I$746,'Base bordo'!C$2:C$746,A205,'Base bordo'!B$2:B$746,B205,'Base bordo'!F$2:F$746,"DESLOCAMENTO VAZIO"),0)</f>
        <v>11067</v>
      </c>
      <c r="S205" s="30">
        <f t="shared" si="25"/>
        <v>37.531516219390987</v>
      </c>
      <c r="T205" s="10">
        <f>IFERROR(SUMIFS('Base bordo'!H$2:H$746,'Base bordo'!C$2:C$746,A205,'Base bordo'!B$2:B$746,B205,'Base bordo'!F$2:F$746,"DESLOCAMENTO CARREGADO"),0)</f>
        <v>393703.57999999996</v>
      </c>
      <c r="U205" s="10">
        <f>IFERROR(SUMIFS('Base bordo'!I$2:I$746,'Base bordo'!C$2:C$746,A205,'Base bordo'!B$2:B$746,B205,'Base bordo'!F$2:F$746,"DESLOCAMENTO CARREGADO"),0)</f>
        <v>16115</v>
      </c>
      <c r="V205" s="30">
        <f t="shared" si="26"/>
        <v>24.430876822835863</v>
      </c>
      <c r="W205" s="9">
        <f t="shared" si="27"/>
        <v>0.25086705202312137</v>
      </c>
      <c r="X205" s="9">
        <f t="shared" si="28"/>
        <v>0.36529525104839616</v>
      </c>
      <c r="Y205" s="9">
        <f t="shared" si="29"/>
        <v>0.38383769692848246</v>
      </c>
    </row>
    <row r="206" spans="1:25" ht="15" customHeight="1" x14ac:dyDescent="0.35">
      <c r="A206" s="52">
        <v>8013472</v>
      </c>
      <c r="B206" s="51">
        <v>46124</v>
      </c>
      <c r="C206" s="7" t="s">
        <v>124</v>
      </c>
      <c r="D206" s="10">
        <f>IFERROR(SUMIFS('Base bordo'!G$2:G$746,'Base bordo'!C$2:C$746,A206,'Base bordo'!B$2:B$746,B206,'Base bordo'!F$2:F$746,"DESLOCAMENTO VAZIO"),0)</f>
        <v>3.0741666666666667</v>
      </c>
      <c r="E206" s="10">
        <f>IFERROR(SUMIFS('Base bordo'!G$2:G$746,'Base bordo'!C$2:C$746,A206,'Base bordo'!B$2:B$746,B206,'Base bordo'!F$2:F$746,"DESLOCAMENTO CARREGADO"),0)</f>
        <v>4.4763888888888888</v>
      </c>
      <c r="F206" s="10">
        <f>IFERROR(SUMIFS('Base bordo'!G$2:G$746,'Base bordo'!C$2:C$746,A206,'Base bordo'!B$2:B$746,B206,'Base bordo'!F$2:F$746,"DESLOCAMENTO"),0)</f>
        <v>0</v>
      </c>
      <c r="G206" s="10">
        <f>IFERROR(SUMIFS('Base bordo'!G$2:G$746,'Base bordo'!C$2:C$746,A206,'Base bordo'!B$2:B$746,B206,'Base bordo'!F$2:F$746,"CARREGAMENTO"),0)</f>
        <v>0</v>
      </c>
      <c r="H206" s="10">
        <f>IFERROR(SUMIFS('Base bordo'!G$2:G$746,'Base bordo'!C$2:C$746,A206,'Base bordo'!B$2:B$746,B206,'Base bordo'!F$2:F$746,"AGUARDANDO TRANSBORDO"),0)</f>
        <v>0.55777777777777782</v>
      </c>
      <c r="I206" s="10">
        <f>IFERROR(SUMIFS('Base bordo'!G$2:G$746,'Base bordo'!C$2:C$746,A206,'Base bordo'!B$2:B$746,B206,'Base bordo'!F$2:F$746,"PÁTIO INTERNO"),0)+IFERROR(SUMIFS('Base bordo'!G$2:G$746,'Base bordo'!C$2:C$746,A206,'Base bordo'!B$2:B$746,B206,'Base bordo'!F$2:F$746,"PÁTIO EXTERNO"),0)+IFERROR(SUMIFS('Base bordo'!G$2:G$746,'Base bordo'!C$2:C$746,A206,'Base bordo'!B$2:B$746,B206,'Base bordo'!F$2:F$746,"PATIO - RESERVA"),0)+IFERROR(SUMIFS('Base bordo'!G$2:G$746,'Base bordo'!C$2:C$746,A206,'Base bordo'!B$2:B$746,B206,'Base bordo'!F$2:F$746,"MANOBRA CARRETAS-PATIO"),0)</f>
        <v>4.0902777777777777</v>
      </c>
      <c r="J206" s="10">
        <f>IFERROR(SUMIFS('Base bordo'!G$2:G$746,'Base bordo'!C$2:C$746,A206,'Base bordo'!B$2:B$746,B206,'Base bordo'!F$2:F$746,"BALANÇA - ENTRADA"),0)+IFERROR(SUMIFS('Base bordo'!G$2:G$746,'Base bordo'!C$2:C$746,A206,'Base bordo'!B$2:B$746,B206,'Base bordo'!F$2:F$746,"BALANÇA - SAÍDA"),0)</f>
        <v>5.5555555555555552E-2</v>
      </c>
      <c r="K206" s="10">
        <f>IFERROR(SUMIFS('Base bordo'!G$2:G$746,'Base bordo'!C$2:C$746,A206,'Base bordo'!B$2:B$746,B206,'Base bordo'!F$2:F$746,"MAN PREVENTIVA - MECANICA"),0)+IFERROR(SUMIFS('Base bordo'!G$2:G$746,'Base bordo'!C$2:C$746,A206,'Base bordo'!B$2:B$746,B206,'Base bordo'!F$2:F$746,"MAN CORRETIVA - MECANICA"),0)</f>
        <v>0</v>
      </c>
      <c r="L206" s="10">
        <f>IFERROR(SUMIFS('Base bordo'!G$2:G$746,'Base bordo'!C$2:C$746,A206,'Base bordo'!B$2:B$746,B206,'Base bordo'!F$2:F$746,"MANUTENCAO - T O"),0)+IFERROR(SUMIFS('Base bordo'!G$2:G$746,'Base bordo'!C$2:C$746,A206,'Base bordo'!B$2:B$746,B206,'Base bordo'!F$2:F$746,"MANUTENCAO BORRACHARIA"),0)+IFERROR(SUMIFS('Base bordo'!G$2:G$746,'Base bordo'!C$2:C$746,A206,'Base bordo'!B$2:B$746,B206,'Base bordo'!F$2:F$746,"MANUTENCAO EXTERNA  CONCESSIONARIA"),0)+IFERROR(SUMIFS('Base bordo'!G$2:G$746,'Base bordo'!C$2:C$746,A206,'Base bordo'!B$2:B$746,B206,'Base bordo'!F$2:F$746,"MANUTENCAO TELEMETRIA"),0)</f>
        <v>0</v>
      </c>
      <c r="M206" s="10">
        <f>IFERROR(SUMIFS('Base bordo'!G$2:G$746,'Base bordo'!C$2:C$746,A206,'Base bordo'!B$2:B$746,B206,'Base bordo'!F$2:F$746,"AGUARDANDO MANUTENCAO"),0)</f>
        <v>0</v>
      </c>
      <c r="N206" s="10">
        <f>IFERROR(SUMIFS('Base bordo'!G$2:G$746,'Base bordo'!C$2:C$746,A206,'Base bordo'!B$2:B$746,B206,'Base bordo'!F$2:F$746,"SEM APONTAMENTO"),0)</f>
        <v>0</v>
      </c>
      <c r="O206" s="10">
        <f t="shared" si="24"/>
        <v>3.5527136788005009E-15</v>
      </c>
      <c r="P206" s="10">
        <f>IFERROR(SUMIFS('Base bordo'!G$2:G$746,'Base bordo'!C$2:C$746,A206,'Base bordo'!B$2:B$746,B206),0)</f>
        <v>12.254166666666668</v>
      </c>
      <c r="Q206" s="10">
        <f>IFERROR(SUMIFS('Base bordo'!H$2:H$746,'Base bordo'!C$2:C$746,A206,'Base bordo'!B$2:B$746,B206,'Base bordo'!F$2:F$746,"DESLOCAMENTO VAZIO"),0)</f>
        <v>415361.29000000004</v>
      </c>
      <c r="R206" s="10">
        <f>IFERROR(SUMIFS('Base bordo'!I$2:I$746,'Base bordo'!C$2:C$746,A206,'Base bordo'!B$2:B$746,B206,'Base bordo'!F$2:F$746,"DESLOCAMENTO VAZIO"),0)</f>
        <v>11067</v>
      </c>
      <c r="S206" s="30">
        <f t="shared" si="25"/>
        <v>37.531516219390987</v>
      </c>
      <c r="T206" s="10">
        <f>IFERROR(SUMIFS('Base bordo'!H$2:H$746,'Base bordo'!C$2:C$746,A206,'Base bordo'!B$2:B$746,B206,'Base bordo'!F$2:F$746,"DESLOCAMENTO CARREGADO"),0)</f>
        <v>393703.57999999996</v>
      </c>
      <c r="U206" s="10">
        <f>IFERROR(SUMIFS('Base bordo'!I$2:I$746,'Base bordo'!C$2:C$746,A206,'Base bordo'!B$2:B$746,B206,'Base bordo'!F$2:F$746,"DESLOCAMENTO CARREGADO"),0)</f>
        <v>16115</v>
      </c>
      <c r="V206" s="30">
        <f t="shared" si="26"/>
        <v>24.430876822835863</v>
      </c>
      <c r="W206" s="9">
        <f t="shared" si="27"/>
        <v>0.25086705202312137</v>
      </c>
      <c r="X206" s="9">
        <f t="shared" si="28"/>
        <v>0.36529525104839616</v>
      </c>
      <c r="Y206" s="9">
        <f t="shared" si="29"/>
        <v>0.38383769692848246</v>
      </c>
    </row>
    <row r="207" spans="1:25" ht="15" customHeight="1" x14ac:dyDescent="0.35">
      <c r="A207" s="52">
        <v>8013482</v>
      </c>
      <c r="B207" s="51">
        <v>46124</v>
      </c>
      <c r="C207" s="7" t="s">
        <v>124</v>
      </c>
      <c r="D207" s="10">
        <f>IFERROR(SUMIFS('Base bordo'!G$2:G$746,'Base bordo'!C$2:C$746,A207,'Base bordo'!B$2:B$746,B207,'Base bordo'!F$2:F$746,"DESLOCAMENTO VAZIO"),0)</f>
        <v>3.1158333333333332</v>
      </c>
      <c r="E207" s="10">
        <f>IFERROR(SUMIFS('Base bordo'!G$2:G$746,'Base bordo'!C$2:C$746,A207,'Base bordo'!B$2:B$746,B207,'Base bordo'!F$2:F$746,"DESLOCAMENTO CARREGADO"),0)</f>
        <v>4.7358333333333329</v>
      </c>
      <c r="F207" s="10">
        <f>IFERROR(SUMIFS('Base bordo'!G$2:G$746,'Base bordo'!C$2:C$746,A207,'Base bordo'!B$2:B$746,B207,'Base bordo'!F$2:F$746,"DESLOCAMENTO"),0)</f>
        <v>0</v>
      </c>
      <c r="G207" s="10">
        <f>IFERROR(SUMIFS('Base bordo'!G$2:G$746,'Base bordo'!C$2:C$746,A207,'Base bordo'!B$2:B$746,B207,'Base bordo'!F$2:F$746,"CARREGAMENTO"),0)</f>
        <v>0</v>
      </c>
      <c r="H207" s="10">
        <f>IFERROR(SUMIFS('Base bordo'!G$2:G$746,'Base bordo'!C$2:C$746,A207,'Base bordo'!B$2:B$746,B207,'Base bordo'!F$2:F$746,"AGUARDANDO TRANSBORDO"),0)</f>
        <v>0.68361111111111106</v>
      </c>
      <c r="I207" s="10">
        <f>IFERROR(SUMIFS('Base bordo'!G$2:G$746,'Base bordo'!C$2:C$746,A207,'Base bordo'!B$2:B$746,B207,'Base bordo'!F$2:F$746,"PÁTIO INTERNO"),0)+IFERROR(SUMIFS('Base bordo'!G$2:G$746,'Base bordo'!C$2:C$746,A207,'Base bordo'!B$2:B$746,B207,'Base bordo'!F$2:F$746,"PÁTIO EXTERNO"),0)+IFERROR(SUMIFS('Base bordo'!G$2:G$746,'Base bordo'!C$2:C$746,A207,'Base bordo'!B$2:B$746,B207,'Base bordo'!F$2:F$746,"PATIO - RESERVA"),0)+IFERROR(SUMIFS('Base bordo'!G$2:G$746,'Base bordo'!C$2:C$746,A207,'Base bordo'!B$2:B$746,B207,'Base bordo'!F$2:F$746,"MANOBRA CARRETAS-PATIO"),0)</f>
        <v>3.3277777777777775</v>
      </c>
      <c r="J207" s="10">
        <f>IFERROR(SUMIFS('Base bordo'!G$2:G$746,'Base bordo'!C$2:C$746,A207,'Base bordo'!B$2:B$746,B207,'Base bordo'!F$2:F$746,"BALANÇA - ENTRADA"),0)+IFERROR(SUMIFS('Base bordo'!G$2:G$746,'Base bordo'!C$2:C$746,A207,'Base bordo'!B$2:B$746,B207,'Base bordo'!F$2:F$746,"BALANÇA - SAÍDA"),0)</f>
        <v>0.1336111111111111</v>
      </c>
      <c r="K207" s="10">
        <f>IFERROR(SUMIFS('Base bordo'!G$2:G$746,'Base bordo'!C$2:C$746,A207,'Base bordo'!B$2:B$746,B207,'Base bordo'!F$2:F$746,"MAN PREVENTIVA - MECANICA"),0)+IFERROR(SUMIFS('Base bordo'!G$2:G$746,'Base bordo'!C$2:C$746,A207,'Base bordo'!B$2:B$746,B207,'Base bordo'!F$2:F$746,"MAN CORRETIVA - MECANICA"),0)</f>
        <v>0</v>
      </c>
      <c r="L207" s="10">
        <f>IFERROR(SUMIFS('Base bordo'!G$2:G$746,'Base bordo'!C$2:C$746,A207,'Base bordo'!B$2:B$746,B207,'Base bordo'!F$2:F$746,"MANUTENCAO - T O"),0)+IFERROR(SUMIFS('Base bordo'!G$2:G$746,'Base bordo'!C$2:C$746,A207,'Base bordo'!B$2:B$746,B207,'Base bordo'!F$2:F$746,"MANUTENCAO BORRACHARIA"),0)+IFERROR(SUMIFS('Base bordo'!G$2:G$746,'Base bordo'!C$2:C$746,A207,'Base bordo'!B$2:B$746,B207,'Base bordo'!F$2:F$746,"MANUTENCAO EXTERNA  CONCESSIONARIA"),0)+IFERROR(SUMIFS('Base bordo'!G$2:G$746,'Base bordo'!C$2:C$746,A207,'Base bordo'!B$2:B$746,B207,'Base bordo'!F$2:F$746,"MANUTENCAO TELEMETRIA"),0)</f>
        <v>0</v>
      </c>
      <c r="M207" s="10">
        <f>IFERROR(SUMIFS('Base bordo'!G$2:G$746,'Base bordo'!C$2:C$746,A207,'Base bordo'!B$2:B$746,B207,'Base bordo'!F$2:F$746,"AGUARDANDO MANUTENCAO"),0)</f>
        <v>0</v>
      </c>
      <c r="N207" s="10">
        <f>IFERROR(SUMIFS('Base bordo'!G$2:G$746,'Base bordo'!C$2:C$746,A207,'Base bordo'!B$2:B$746,B207,'Base bordo'!F$2:F$746,"SEM APONTAMENTO"),0)</f>
        <v>0</v>
      </c>
      <c r="O207" s="10">
        <f t="shared" ref="O207:O270" si="30">IFERROR(P207-SUM(D207:N207),0)</f>
        <v>0</v>
      </c>
      <c r="P207" s="10">
        <f>IFERROR(SUMIFS('Base bordo'!G$2:G$746,'Base bordo'!C$2:C$746,A207,'Base bordo'!B$2:B$746,B207),0)</f>
        <v>11.996666666666666</v>
      </c>
      <c r="Q207" s="10">
        <f>IFERROR(SUMIFS('Base bordo'!H$2:H$746,'Base bordo'!C$2:C$746,A207,'Base bordo'!B$2:B$746,B207,'Base bordo'!F$2:F$746,"DESLOCAMENTO VAZIO"),0)</f>
        <v>368512.23</v>
      </c>
      <c r="R207" s="10">
        <f>IFERROR(SUMIFS('Base bordo'!I$2:I$746,'Base bordo'!C$2:C$746,A207,'Base bordo'!B$2:B$746,B207,'Base bordo'!F$2:F$746,"DESLOCAMENTO VAZIO"),0)</f>
        <v>11217</v>
      </c>
      <c r="S207" s="30">
        <f t="shared" ref="S207:S270" si="31">IFERROR(Q207/R207,"")</f>
        <v>32.853011500401173</v>
      </c>
      <c r="T207" s="10">
        <f>IFERROR(SUMIFS('Base bordo'!H$2:H$746,'Base bordo'!C$2:C$746,A207,'Base bordo'!B$2:B$746,B207,'Base bordo'!F$2:F$746,"DESLOCAMENTO CARREGADO"),0)</f>
        <v>421365.02999999997</v>
      </c>
      <c r="U207" s="10">
        <f>IFERROR(SUMIFS('Base bordo'!I$2:I$746,'Base bordo'!C$2:C$746,A207,'Base bordo'!B$2:B$746,B207,'Base bordo'!F$2:F$746,"DESLOCAMENTO CARREGADO"),0)</f>
        <v>17049</v>
      </c>
      <c r="V207" s="30">
        <f t="shared" ref="V207:V270" si="32">IFERROR(T207/U207,"")</f>
        <v>24.714941052261128</v>
      </c>
      <c r="W207" s="9">
        <f t="shared" ref="W207:W270" si="33">IFERROR(D207/P207,0)</f>
        <v>0.25972492358988608</v>
      </c>
      <c r="X207" s="9">
        <f t="shared" ref="X207:X270" si="34">IFERROR(E207/P207,0)</f>
        <v>0.39476243400944705</v>
      </c>
      <c r="Y207" s="9">
        <f t="shared" ref="Y207:Y270" si="35">IFERROR(1-((D207+E207)/P207),0)</f>
        <v>0.34551264240066681</v>
      </c>
    </row>
    <row r="208" spans="1:25" ht="15" customHeight="1" x14ac:dyDescent="0.35">
      <c r="A208" s="52">
        <v>8013461</v>
      </c>
      <c r="B208" s="51">
        <v>46117</v>
      </c>
      <c r="C208" s="7" t="s">
        <v>124</v>
      </c>
      <c r="D208" s="10">
        <f>IFERROR(SUMIFS('Base bordo'!G$2:G$746,'Base bordo'!C$2:C$746,A208,'Base bordo'!B$2:B$746,B208,'Base bordo'!F$2:F$746,"DESLOCAMENTO VAZIO"),0)</f>
        <v>4.035277777777778</v>
      </c>
      <c r="E208" s="10">
        <f>IFERROR(SUMIFS('Base bordo'!G$2:G$746,'Base bordo'!C$2:C$746,A208,'Base bordo'!B$2:B$746,B208,'Base bordo'!F$2:F$746,"DESLOCAMENTO CARREGADO"),0)</f>
        <v>0.74527777777777782</v>
      </c>
      <c r="F208" s="10">
        <f>IFERROR(SUMIFS('Base bordo'!G$2:G$746,'Base bordo'!C$2:C$746,A208,'Base bordo'!B$2:B$746,B208,'Base bordo'!F$2:F$746,"DESLOCAMENTO"),0)</f>
        <v>0.7155555555555555</v>
      </c>
      <c r="G208" s="10">
        <f>IFERROR(SUMIFS('Base bordo'!G$2:G$746,'Base bordo'!C$2:C$746,A208,'Base bordo'!B$2:B$746,B208,'Base bordo'!F$2:F$746,"CARREGAMENTO"),0)</f>
        <v>0.18611111111111112</v>
      </c>
      <c r="H208" s="10">
        <f>IFERROR(SUMIFS('Base bordo'!G$2:G$746,'Base bordo'!C$2:C$746,A208,'Base bordo'!B$2:B$746,B208,'Base bordo'!F$2:F$746,"AGUARDANDO TRANSBORDO"),0)</f>
        <v>0.22416666666666665</v>
      </c>
      <c r="I208" s="10">
        <f>IFERROR(SUMIFS('Base bordo'!G$2:G$746,'Base bordo'!C$2:C$746,A208,'Base bordo'!B$2:B$746,B208,'Base bordo'!F$2:F$746,"PÁTIO INTERNO"),0)+IFERROR(SUMIFS('Base bordo'!G$2:G$746,'Base bordo'!C$2:C$746,A208,'Base bordo'!B$2:B$746,B208,'Base bordo'!F$2:F$746,"PÁTIO EXTERNO"),0)+IFERROR(SUMIFS('Base bordo'!G$2:G$746,'Base bordo'!C$2:C$746,A208,'Base bordo'!B$2:B$746,B208,'Base bordo'!F$2:F$746,"PATIO - RESERVA"),0)+IFERROR(SUMIFS('Base bordo'!G$2:G$746,'Base bordo'!C$2:C$746,A208,'Base bordo'!B$2:B$746,B208,'Base bordo'!F$2:F$746,"MANOBRA CARRETAS-PATIO"),0)</f>
        <v>0</v>
      </c>
      <c r="J208" s="10">
        <f>IFERROR(SUMIFS('Base bordo'!G$2:G$746,'Base bordo'!C$2:C$746,A208,'Base bordo'!B$2:B$746,B208,'Base bordo'!F$2:F$746,"BALANÇA - ENTRADA"),0)+IFERROR(SUMIFS('Base bordo'!G$2:G$746,'Base bordo'!C$2:C$746,A208,'Base bordo'!B$2:B$746,B208,'Base bordo'!F$2:F$746,"BALANÇA - SAÍDA"),0)</f>
        <v>0</v>
      </c>
      <c r="K208" s="10">
        <f>IFERROR(SUMIFS('Base bordo'!G$2:G$746,'Base bordo'!C$2:C$746,A208,'Base bordo'!B$2:B$746,B208,'Base bordo'!F$2:F$746,"MAN PREVENTIVA - MECANICA"),0)+IFERROR(SUMIFS('Base bordo'!G$2:G$746,'Base bordo'!C$2:C$746,A208,'Base bordo'!B$2:B$746,B208,'Base bordo'!F$2:F$746,"MAN CORRETIVA - MECANICA"),0)</f>
        <v>0</v>
      </c>
      <c r="L208" s="10">
        <f>IFERROR(SUMIFS('Base bordo'!G$2:G$746,'Base bordo'!C$2:C$746,A208,'Base bordo'!B$2:B$746,B208,'Base bordo'!F$2:F$746,"MANUTENCAO - T O"),0)+IFERROR(SUMIFS('Base bordo'!G$2:G$746,'Base bordo'!C$2:C$746,A208,'Base bordo'!B$2:B$746,B208,'Base bordo'!F$2:F$746,"MANUTENCAO BORRACHARIA"),0)+IFERROR(SUMIFS('Base bordo'!G$2:G$746,'Base bordo'!C$2:C$746,A208,'Base bordo'!B$2:B$746,B208,'Base bordo'!F$2:F$746,"MANUTENCAO EXTERNA  CONCESSIONARIA"),0)+IFERROR(SUMIFS('Base bordo'!G$2:G$746,'Base bordo'!C$2:C$746,A208,'Base bordo'!B$2:B$746,B208,'Base bordo'!F$2:F$746,"MANUTENCAO TELEMETRIA"),0)</f>
        <v>8.9302777777777784</v>
      </c>
      <c r="M208" s="10">
        <f>IFERROR(SUMIFS('Base bordo'!G$2:G$746,'Base bordo'!C$2:C$746,A208,'Base bordo'!B$2:B$746,B208,'Base bordo'!F$2:F$746,"AGUARDANDO MANUTENCAO"),0)</f>
        <v>0</v>
      </c>
      <c r="N208" s="10">
        <f>IFERROR(SUMIFS('Base bordo'!G$2:G$746,'Base bordo'!C$2:C$746,A208,'Base bordo'!B$2:B$746,B208,'Base bordo'!F$2:F$746,"SEM APONTAMENTO"),0)</f>
        <v>0.91388888888888886</v>
      </c>
      <c r="O208" s="10">
        <f t="shared" si="30"/>
        <v>8.2494444444444426</v>
      </c>
      <c r="P208" s="10">
        <f>IFERROR(SUMIFS('Base bordo'!G$2:G$746,'Base bordo'!C$2:C$746,A208,'Base bordo'!B$2:B$746,B208),0)</f>
        <v>24</v>
      </c>
      <c r="Q208" s="10">
        <f>IFERROR(SUMIFS('Base bordo'!H$2:H$746,'Base bordo'!C$2:C$746,A208,'Base bordo'!B$2:B$746,B208,'Base bordo'!F$2:F$746,"DESLOCAMENTO VAZIO"),0)</f>
        <v>619414.3600000001</v>
      </c>
      <c r="R208" s="10">
        <f>IFERROR(SUMIFS('Base bordo'!I$2:I$746,'Base bordo'!C$2:C$746,A208,'Base bordo'!B$2:B$746,B208,'Base bordo'!F$2:F$746,"DESLOCAMENTO VAZIO"),0)</f>
        <v>14527</v>
      </c>
      <c r="S208" s="30">
        <f t="shared" si="31"/>
        <v>42.638835272251676</v>
      </c>
      <c r="T208" s="10">
        <f>IFERROR(SUMIFS('Base bordo'!H$2:H$746,'Base bordo'!C$2:C$746,A208,'Base bordo'!B$2:B$746,B208,'Base bordo'!F$2:F$746,"DESLOCAMENTO CARREGADO"),0)</f>
        <v>37451.120000000003</v>
      </c>
      <c r="U208" s="10">
        <f>IFERROR(SUMIFS('Base bordo'!I$2:I$746,'Base bordo'!C$2:C$746,A208,'Base bordo'!B$2:B$746,B208,'Base bordo'!F$2:F$746,"DESLOCAMENTO CARREGADO"),0)</f>
        <v>2683</v>
      </c>
      <c r="V208" s="30">
        <f t="shared" si="32"/>
        <v>13.958673127096535</v>
      </c>
      <c r="W208" s="9">
        <f t="shared" si="33"/>
        <v>0.16813657407407409</v>
      </c>
      <c r="X208" s="9">
        <f t="shared" si="34"/>
        <v>3.1053240740740742E-2</v>
      </c>
      <c r="Y208" s="9">
        <f t="shared" si="35"/>
        <v>0.80081018518518521</v>
      </c>
    </row>
    <row r="209" spans="1:25" ht="15" customHeight="1" x14ac:dyDescent="0.35">
      <c r="A209" s="52">
        <v>8013468</v>
      </c>
      <c r="B209" s="51">
        <v>46124</v>
      </c>
      <c r="C209" s="7" t="s">
        <v>124</v>
      </c>
      <c r="D209" s="10">
        <f>IFERROR(SUMIFS('Base bordo'!G$2:G$746,'Base bordo'!C$2:C$746,A209,'Base bordo'!B$2:B$746,B209,'Base bordo'!F$2:F$746,"DESLOCAMENTO VAZIO"),0)</f>
        <v>2.4347222222222222</v>
      </c>
      <c r="E209" s="10">
        <f>IFERROR(SUMIFS('Base bordo'!G$2:G$746,'Base bordo'!C$2:C$746,A209,'Base bordo'!B$2:B$746,B209,'Base bordo'!F$2:F$746,"DESLOCAMENTO CARREGADO"),0)</f>
        <v>3.8097222222222222</v>
      </c>
      <c r="F209" s="10">
        <f>IFERROR(SUMIFS('Base bordo'!G$2:G$746,'Base bordo'!C$2:C$746,A209,'Base bordo'!B$2:B$746,B209,'Base bordo'!F$2:F$746,"DESLOCAMENTO"),0)</f>
        <v>0</v>
      </c>
      <c r="G209" s="10">
        <f>IFERROR(SUMIFS('Base bordo'!G$2:G$746,'Base bordo'!C$2:C$746,A209,'Base bordo'!B$2:B$746,B209,'Base bordo'!F$2:F$746,"CARREGAMENTO"),0)</f>
        <v>0</v>
      </c>
      <c r="H209" s="10">
        <f>IFERROR(SUMIFS('Base bordo'!G$2:G$746,'Base bordo'!C$2:C$746,A209,'Base bordo'!B$2:B$746,B209,'Base bordo'!F$2:F$746,"AGUARDANDO TRANSBORDO"),0)</f>
        <v>0.71027777777777779</v>
      </c>
      <c r="I209" s="10">
        <f>IFERROR(SUMIFS('Base bordo'!G$2:G$746,'Base bordo'!C$2:C$746,A209,'Base bordo'!B$2:B$746,B209,'Base bordo'!F$2:F$746,"PÁTIO INTERNO"),0)+IFERROR(SUMIFS('Base bordo'!G$2:G$746,'Base bordo'!C$2:C$746,A209,'Base bordo'!B$2:B$746,B209,'Base bordo'!F$2:F$746,"PÁTIO EXTERNO"),0)+IFERROR(SUMIFS('Base bordo'!G$2:G$746,'Base bordo'!C$2:C$746,A209,'Base bordo'!B$2:B$746,B209,'Base bordo'!F$2:F$746,"PATIO - RESERVA"),0)+IFERROR(SUMIFS('Base bordo'!G$2:G$746,'Base bordo'!C$2:C$746,A209,'Base bordo'!B$2:B$746,B209,'Base bordo'!F$2:F$746,"MANOBRA CARRETAS-PATIO"),0)</f>
        <v>5.4283333333333337</v>
      </c>
      <c r="J209" s="10">
        <f>IFERROR(SUMIFS('Base bordo'!G$2:G$746,'Base bordo'!C$2:C$746,A209,'Base bordo'!B$2:B$746,B209,'Base bordo'!F$2:F$746,"BALANÇA - ENTRADA"),0)+IFERROR(SUMIFS('Base bordo'!G$2:G$746,'Base bordo'!C$2:C$746,A209,'Base bordo'!B$2:B$746,B209,'Base bordo'!F$2:F$746,"BALANÇA - SAÍDA"),0)</f>
        <v>0.4177777777777778</v>
      </c>
      <c r="K209" s="10">
        <f>IFERROR(SUMIFS('Base bordo'!G$2:G$746,'Base bordo'!C$2:C$746,A209,'Base bordo'!B$2:B$746,B209,'Base bordo'!F$2:F$746,"MAN PREVENTIVA - MECANICA"),0)+IFERROR(SUMIFS('Base bordo'!G$2:G$746,'Base bordo'!C$2:C$746,A209,'Base bordo'!B$2:B$746,B209,'Base bordo'!F$2:F$746,"MAN CORRETIVA - MECANICA"),0)</f>
        <v>0</v>
      </c>
      <c r="L209" s="10">
        <f>IFERROR(SUMIFS('Base bordo'!G$2:G$746,'Base bordo'!C$2:C$746,A209,'Base bordo'!B$2:B$746,B209,'Base bordo'!F$2:F$746,"MANUTENCAO - T O"),0)+IFERROR(SUMIFS('Base bordo'!G$2:G$746,'Base bordo'!C$2:C$746,A209,'Base bordo'!B$2:B$746,B209,'Base bordo'!F$2:F$746,"MANUTENCAO BORRACHARIA"),0)+IFERROR(SUMIFS('Base bordo'!G$2:G$746,'Base bordo'!C$2:C$746,A209,'Base bordo'!B$2:B$746,B209,'Base bordo'!F$2:F$746,"MANUTENCAO EXTERNA  CONCESSIONARIA"),0)+IFERROR(SUMIFS('Base bordo'!G$2:G$746,'Base bordo'!C$2:C$746,A209,'Base bordo'!B$2:B$746,B209,'Base bordo'!F$2:F$746,"MANUTENCAO TELEMETRIA"),0)</f>
        <v>0</v>
      </c>
      <c r="M209" s="10">
        <f>IFERROR(SUMIFS('Base bordo'!G$2:G$746,'Base bordo'!C$2:C$746,A209,'Base bordo'!B$2:B$746,B209,'Base bordo'!F$2:F$746,"AGUARDANDO MANUTENCAO"),0)</f>
        <v>0</v>
      </c>
      <c r="N209" s="10">
        <f>IFERROR(SUMIFS('Base bordo'!G$2:G$746,'Base bordo'!C$2:C$746,A209,'Base bordo'!B$2:B$746,B209,'Base bordo'!F$2:F$746,"SEM APONTAMENTO"),0)</f>
        <v>0</v>
      </c>
      <c r="O209" s="10">
        <f t="shared" si="30"/>
        <v>1.7763568394002505E-15</v>
      </c>
      <c r="P209" s="10">
        <f>IFERROR(SUMIFS('Base bordo'!G$2:G$746,'Base bordo'!C$2:C$746,A209,'Base bordo'!B$2:B$746,B209),0)</f>
        <v>12.800833333333335</v>
      </c>
      <c r="Q209" s="10">
        <f>IFERROR(SUMIFS('Base bordo'!H$2:H$746,'Base bordo'!C$2:C$746,A209,'Base bordo'!B$2:B$746,B209,'Base bordo'!F$2:F$746,"DESLOCAMENTO VAZIO"),0)</f>
        <v>322127.41000000003</v>
      </c>
      <c r="R209" s="10">
        <f>IFERROR(SUMIFS('Base bordo'!I$2:I$746,'Base bordo'!C$2:C$746,A209,'Base bordo'!B$2:B$746,B209,'Base bordo'!F$2:F$746,"DESLOCAMENTO VAZIO"),0)</f>
        <v>8765</v>
      </c>
      <c r="S209" s="30">
        <f t="shared" si="31"/>
        <v>36.751558471192247</v>
      </c>
      <c r="T209" s="10">
        <f>IFERROR(SUMIFS('Base bordo'!H$2:H$746,'Base bordo'!C$2:C$746,A209,'Base bordo'!B$2:B$746,B209,'Base bordo'!F$2:F$746,"DESLOCAMENTO CARREGADO"),0)</f>
        <v>341587.70999999996</v>
      </c>
      <c r="U209" s="10">
        <f>IFERROR(SUMIFS('Base bordo'!I$2:I$746,'Base bordo'!C$2:C$746,A209,'Base bordo'!B$2:B$746,B209,'Base bordo'!F$2:F$746,"DESLOCAMENTO CARREGADO"),0)</f>
        <v>13715</v>
      </c>
      <c r="V209" s="30">
        <f t="shared" si="32"/>
        <v>24.906139992708709</v>
      </c>
      <c r="W209" s="9">
        <f t="shared" si="33"/>
        <v>0.19020029077968012</v>
      </c>
      <c r="X209" s="9">
        <f t="shared" si="34"/>
        <v>0.29761517262331005</v>
      </c>
      <c r="Y209" s="9">
        <f t="shared" si="35"/>
        <v>0.5121845365970098</v>
      </c>
    </row>
    <row r="210" spans="1:25" ht="15" customHeight="1" x14ac:dyDescent="0.35">
      <c r="A210" s="52">
        <v>8013481</v>
      </c>
      <c r="B210" s="51">
        <v>46124</v>
      </c>
      <c r="C210" s="7" t="s">
        <v>124</v>
      </c>
      <c r="D210" s="10">
        <f>IFERROR(SUMIFS('Base bordo'!G$2:G$746,'Base bordo'!C$2:C$746,A210,'Base bordo'!B$2:B$746,B210,'Base bordo'!F$2:F$746,"DESLOCAMENTO VAZIO"),0)</f>
        <v>1.6861111111111111</v>
      </c>
      <c r="E210" s="10">
        <f>IFERROR(SUMIFS('Base bordo'!G$2:G$746,'Base bordo'!C$2:C$746,A210,'Base bordo'!B$2:B$746,B210,'Base bordo'!F$2:F$746,"DESLOCAMENTO CARREGADO"),0)</f>
        <v>2.4669444444444446</v>
      </c>
      <c r="F210" s="10">
        <f>IFERROR(SUMIFS('Base bordo'!G$2:G$746,'Base bordo'!C$2:C$746,A210,'Base bordo'!B$2:B$746,B210,'Base bordo'!F$2:F$746,"DESLOCAMENTO"),0)</f>
        <v>0</v>
      </c>
      <c r="G210" s="10">
        <f>IFERROR(SUMIFS('Base bordo'!G$2:G$746,'Base bordo'!C$2:C$746,A210,'Base bordo'!B$2:B$746,B210,'Base bordo'!F$2:F$746,"CARREGAMENTO"),0)</f>
        <v>0</v>
      </c>
      <c r="H210" s="10">
        <f>IFERROR(SUMIFS('Base bordo'!G$2:G$746,'Base bordo'!C$2:C$746,A210,'Base bordo'!B$2:B$746,B210,'Base bordo'!F$2:F$746,"AGUARDANDO TRANSBORDO"),0)</f>
        <v>0</v>
      </c>
      <c r="I210" s="10">
        <f>IFERROR(SUMIFS('Base bordo'!G$2:G$746,'Base bordo'!C$2:C$746,A210,'Base bordo'!B$2:B$746,B210,'Base bordo'!F$2:F$746,"PÁTIO INTERNO"),0)+IFERROR(SUMIFS('Base bordo'!G$2:G$746,'Base bordo'!C$2:C$746,A210,'Base bordo'!B$2:B$746,B210,'Base bordo'!F$2:F$746,"PÁTIO EXTERNO"),0)+IFERROR(SUMIFS('Base bordo'!G$2:G$746,'Base bordo'!C$2:C$746,A210,'Base bordo'!B$2:B$746,B210,'Base bordo'!F$2:F$746,"PATIO - RESERVA"),0)+IFERROR(SUMIFS('Base bordo'!G$2:G$746,'Base bordo'!C$2:C$746,A210,'Base bordo'!B$2:B$746,B210,'Base bordo'!F$2:F$746,"MANOBRA CARRETAS-PATIO"),0)</f>
        <v>14.274166666666666</v>
      </c>
      <c r="J210" s="10">
        <f>IFERROR(SUMIFS('Base bordo'!G$2:G$746,'Base bordo'!C$2:C$746,A210,'Base bordo'!B$2:B$746,B210,'Base bordo'!F$2:F$746,"BALANÇA - ENTRADA"),0)+IFERROR(SUMIFS('Base bordo'!G$2:G$746,'Base bordo'!C$2:C$746,A210,'Base bordo'!B$2:B$746,B210,'Base bordo'!F$2:F$746,"BALANÇA - SAÍDA"),0)</f>
        <v>7.4166666666666659E-2</v>
      </c>
      <c r="K210" s="10">
        <f>IFERROR(SUMIFS('Base bordo'!G$2:G$746,'Base bordo'!C$2:C$746,A210,'Base bordo'!B$2:B$746,B210,'Base bordo'!F$2:F$746,"MAN PREVENTIVA - MECANICA"),0)+IFERROR(SUMIFS('Base bordo'!G$2:G$746,'Base bordo'!C$2:C$746,A210,'Base bordo'!B$2:B$746,B210,'Base bordo'!F$2:F$746,"MAN CORRETIVA - MECANICA"),0)</f>
        <v>0</v>
      </c>
      <c r="L210" s="10">
        <f>IFERROR(SUMIFS('Base bordo'!G$2:G$746,'Base bordo'!C$2:C$746,A210,'Base bordo'!B$2:B$746,B210,'Base bordo'!F$2:F$746,"MANUTENCAO - T O"),0)+IFERROR(SUMIFS('Base bordo'!G$2:G$746,'Base bordo'!C$2:C$746,A210,'Base bordo'!B$2:B$746,B210,'Base bordo'!F$2:F$746,"MANUTENCAO BORRACHARIA"),0)+IFERROR(SUMIFS('Base bordo'!G$2:G$746,'Base bordo'!C$2:C$746,A210,'Base bordo'!B$2:B$746,B210,'Base bordo'!F$2:F$746,"MANUTENCAO EXTERNA  CONCESSIONARIA"),0)+IFERROR(SUMIFS('Base bordo'!G$2:G$746,'Base bordo'!C$2:C$746,A210,'Base bordo'!B$2:B$746,B210,'Base bordo'!F$2:F$746,"MANUTENCAO TELEMETRIA"),0)</f>
        <v>0</v>
      </c>
      <c r="M210" s="10">
        <f>IFERROR(SUMIFS('Base bordo'!G$2:G$746,'Base bordo'!C$2:C$746,A210,'Base bordo'!B$2:B$746,B210,'Base bordo'!F$2:F$746,"AGUARDANDO MANUTENCAO"),0)</f>
        <v>0</v>
      </c>
      <c r="N210" s="10">
        <f>IFERROR(SUMIFS('Base bordo'!G$2:G$746,'Base bordo'!C$2:C$746,A210,'Base bordo'!B$2:B$746,B210,'Base bordo'!F$2:F$746,"SEM APONTAMENTO"),0)</f>
        <v>0</v>
      </c>
      <c r="O210" s="10">
        <f t="shared" si="30"/>
        <v>0</v>
      </c>
      <c r="P210" s="10">
        <f>IFERROR(SUMIFS('Base bordo'!G$2:G$746,'Base bordo'!C$2:C$746,A210,'Base bordo'!B$2:B$746,B210),0)</f>
        <v>18.501388888888886</v>
      </c>
      <c r="Q210" s="10">
        <f>IFERROR(SUMIFS('Base bordo'!H$2:H$746,'Base bordo'!C$2:C$746,A210,'Base bordo'!B$2:B$746,B210,'Base bordo'!F$2:F$746,"DESLOCAMENTO VAZIO"),0)</f>
        <v>216936.43</v>
      </c>
      <c r="R210" s="10">
        <f>IFERROR(SUMIFS('Base bordo'!I$2:I$746,'Base bordo'!C$2:C$746,A210,'Base bordo'!B$2:B$746,B210,'Base bordo'!F$2:F$746,"DESLOCAMENTO VAZIO"),0)</f>
        <v>6070</v>
      </c>
      <c r="S210" s="30">
        <f t="shared" si="31"/>
        <v>35.739115321252058</v>
      </c>
      <c r="T210" s="10">
        <f>IFERROR(SUMIFS('Base bordo'!H$2:H$746,'Base bordo'!C$2:C$746,A210,'Base bordo'!B$2:B$746,B210,'Base bordo'!F$2:F$746,"DESLOCAMENTO CARREGADO"),0)</f>
        <v>221432.38999999998</v>
      </c>
      <c r="U210" s="10">
        <f>IFERROR(SUMIFS('Base bordo'!I$2:I$746,'Base bordo'!C$2:C$746,A210,'Base bordo'!B$2:B$746,B210,'Base bordo'!F$2:F$746,"DESLOCAMENTO CARREGADO"),0)</f>
        <v>8881</v>
      </c>
      <c r="V210" s="30">
        <f t="shared" si="32"/>
        <v>24.933272154036707</v>
      </c>
      <c r="W210" s="9">
        <f t="shared" si="33"/>
        <v>9.1134299226784787E-2</v>
      </c>
      <c r="X210" s="9">
        <f t="shared" si="34"/>
        <v>0.13333833796261543</v>
      </c>
      <c r="Y210" s="9">
        <f t="shared" si="35"/>
        <v>0.77552736281059975</v>
      </c>
    </row>
    <row r="211" spans="1:25" ht="15" customHeight="1" x14ac:dyDescent="0.35">
      <c r="A211" s="52">
        <v>8013460</v>
      </c>
      <c r="B211" s="51">
        <v>46117</v>
      </c>
      <c r="C211" s="7" t="s">
        <v>124</v>
      </c>
      <c r="D211" s="10">
        <f>IFERROR(SUMIFS('Base bordo'!G$2:G$746,'Base bordo'!C$2:C$746,A211,'Base bordo'!B$2:B$746,B211,'Base bordo'!F$2:F$746,"DESLOCAMENTO VAZIO"),0)</f>
        <v>5.2069444444444448</v>
      </c>
      <c r="E211" s="10">
        <f>IFERROR(SUMIFS('Base bordo'!G$2:G$746,'Base bordo'!C$2:C$746,A211,'Base bordo'!B$2:B$746,B211,'Base bordo'!F$2:F$746,"DESLOCAMENTO CARREGADO"),0)</f>
        <v>0.55944444444444441</v>
      </c>
      <c r="F211" s="10">
        <f>IFERROR(SUMIFS('Base bordo'!G$2:G$746,'Base bordo'!C$2:C$746,A211,'Base bordo'!B$2:B$746,B211,'Base bordo'!F$2:F$746,"DESLOCAMENTO"),0)</f>
        <v>3.0825</v>
      </c>
      <c r="G211" s="10">
        <f>IFERROR(SUMIFS('Base bordo'!G$2:G$746,'Base bordo'!C$2:C$746,A211,'Base bordo'!B$2:B$746,B211,'Base bordo'!F$2:F$746,"CARREGAMENTO"),0)</f>
        <v>2.5000000000000001E-3</v>
      </c>
      <c r="H211" s="10">
        <f>IFERROR(SUMIFS('Base bordo'!G$2:G$746,'Base bordo'!C$2:C$746,A211,'Base bordo'!B$2:B$746,B211,'Base bordo'!F$2:F$746,"AGUARDANDO TRANSBORDO"),0)</f>
        <v>1.0013888888888889</v>
      </c>
      <c r="I211" s="10">
        <f>IFERROR(SUMIFS('Base bordo'!G$2:G$746,'Base bordo'!C$2:C$746,A211,'Base bordo'!B$2:B$746,B211,'Base bordo'!F$2:F$746,"PÁTIO INTERNO"),0)+IFERROR(SUMIFS('Base bordo'!G$2:G$746,'Base bordo'!C$2:C$746,A211,'Base bordo'!B$2:B$746,B211,'Base bordo'!F$2:F$746,"PÁTIO EXTERNO"),0)+IFERROR(SUMIFS('Base bordo'!G$2:G$746,'Base bordo'!C$2:C$746,A211,'Base bordo'!B$2:B$746,B211,'Base bordo'!F$2:F$746,"PATIO - RESERVA"),0)+IFERROR(SUMIFS('Base bordo'!G$2:G$746,'Base bordo'!C$2:C$746,A211,'Base bordo'!B$2:B$746,B211,'Base bordo'!F$2:F$746,"MANOBRA CARRETAS-PATIO"),0)</f>
        <v>0.54972222222222222</v>
      </c>
      <c r="J211" s="10">
        <f>IFERROR(SUMIFS('Base bordo'!G$2:G$746,'Base bordo'!C$2:C$746,A211,'Base bordo'!B$2:B$746,B211,'Base bordo'!F$2:F$746,"BALANÇA - ENTRADA"),0)+IFERROR(SUMIFS('Base bordo'!G$2:G$746,'Base bordo'!C$2:C$746,A211,'Base bordo'!B$2:B$746,B211,'Base bordo'!F$2:F$746,"BALANÇA - SAÍDA"),0)</f>
        <v>0</v>
      </c>
      <c r="K211" s="10">
        <f>IFERROR(SUMIFS('Base bordo'!G$2:G$746,'Base bordo'!C$2:C$746,A211,'Base bordo'!B$2:B$746,B211,'Base bordo'!F$2:F$746,"MAN PREVENTIVA - MECANICA"),0)+IFERROR(SUMIFS('Base bordo'!G$2:G$746,'Base bordo'!C$2:C$746,A211,'Base bordo'!B$2:B$746,B211,'Base bordo'!F$2:F$746,"MAN CORRETIVA - MECANICA"),0)</f>
        <v>0</v>
      </c>
      <c r="L211" s="10">
        <f>IFERROR(SUMIFS('Base bordo'!G$2:G$746,'Base bordo'!C$2:C$746,A211,'Base bordo'!B$2:B$746,B211,'Base bordo'!F$2:F$746,"MANUTENCAO - T O"),0)+IFERROR(SUMIFS('Base bordo'!G$2:G$746,'Base bordo'!C$2:C$746,A211,'Base bordo'!B$2:B$746,B211,'Base bordo'!F$2:F$746,"MANUTENCAO BORRACHARIA"),0)+IFERROR(SUMIFS('Base bordo'!G$2:G$746,'Base bordo'!C$2:C$746,A211,'Base bordo'!B$2:B$746,B211,'Base bordo'!F$2:F$746,"MANUTENCAO EXTERNA  CONCESSIONARIA"),0)+IFERROR(SUMIFS('Base bordo'!G$2:G$746,'Base bordo'!C$2:C$746,A211,'Base bordo'!B$2:B$746,B211,'Base bordo'!F$2:F$746,"MANUTENCAO TELEMETRIA"),0)</f>
        <v>10.766111111111112</v>
      </c>
      <c r="M211" s="10">
        <f>IFERROR(SUMIFS('Base bordo'!G$2:G$746,'Base bordo'!C$2:C$746,A211,'Base bordo'!B$2:B$746,B211,'Base bordo'!F$2:F$746,"AGUARDANDO MANUTENCAO"),0)</f>
        <v>0</v>
      </c>
      <c r="N211" s="10">
        <f>IFERROR(SUMIFS('Base bordo'!G$2:G$746,'Base bordo'!C$2:C$746,A211,'Base bordo'!B$2:B$746,B211,'Base bordo'!F$2:F$746,"SEM APONTAMENTO"),0)</f>
        <v>0.29444444444444445</v>
      </c>
      <c r="O211" s="10">
        <f t="shared" si="30"/>
        <v>2.536944444444444</v>
      </c>
      <c r="P211" s="10">
        <f>IFERROR(SUMIFS('Base bordo'!G$2:G$746,'Base bordo'!C$2:C$746,A211,'Base bordo'!B$2:B$746,B211),0)</f>
        <v>24</v>
      </c>
      <c r="Q211" s="10">
        <f>IFERROR(SUMIFS('Base bordo'!H$2:H$746,'Base bordo'!C$2:C$746,A211,'Base bordo'!B$2:B$746,B211,'Base bordo'!F$2:F$746,"DESLOCAMENTO VAZIO"),0)</f>
        <v>595925.09</v>
      </c>
      <c r="R211" s="10">
        <f>IFERROR(SUMIFS('Base bordo'!I$2:I$746,'Base bordo'!C$2:C$746,A211,'Base bordo'!B$2:B$746,B211,'Base bordo'!F$2:F$746,"DESLOCAMENTO VAZIO"),0)</f>
        <v>18745</v>
      </c>
      <c r="S211" s="30">
        <f t="shared" si="31"/>
        <v>31.791149106428378</v>
      </c>
      <c r="T211" s="10">
        <f>IFERROR(SUMIFS('Base bordo'!H$2:H$746,'Base bordo'!C$2:C$746,A211,'Base bordo'!B$2:B$746,B211,'Base bordo'!F$2:F$746,"DESLOCAMENTO CARREGADO"),0)</f>
        <v>52858.36</v>
      </c>
      <c r="U211" s="10">
        <f>IFERROR(SUMIFS('Base bordo'!I$2:I$746,'Base bordo'!C$2:C$746,A211,'Base bordo'!B$2:B$746,B211,'Base bordo'!F$2:F$746,"DESLOCAMENTO CARREGADO"),0)</f>
        <v>2014</v>
      </c>
      <c r="V211" s="30">
        <f t="shared" si="32"/>
        <v>26.245461767626615</v>
      </c>
      <c r="W211" s="9">
        <f t="shared" si="33"/>
        <v>0.21695601851851853</v>
      </c>
      <c r="X211" s="9">
        <f t="shared" si="34"/>
        <v>2.3310185185185184E-2</v>
      </c>
      <c r="Y211" s="9">
        <f t="shared" si="35"/>
        <v>0.75973379629629634</v>
      </c>
    </row>
    <row r="212" spans="1:25" ht="15" customHeight="1" x14ac:dyDescent="0.35">
      <c r="A212" s="52">
        <v>8013469</v>
      </c>
      <c r="B212" s="51">
        <v>46119</v>
      </c>
      <c r="C212" s="7" t="s">
        <v>124</v>
      </c>
      <c r="D212" s="10">
        <f>IFERROR(SUMIFS('Base bordo'!G$2:G$746,'Base bordo'!C$2:C$746,A212,'Base bordo'!B$2:B$746,B212,'Base bordo'!F$2:F$746,"DESLOCAMENTO VAZIO"),0)</f>
        <v>0.25611111111111112</v>
      </c>
      <c r="E212" s="10">
        <f>IFERROR(SUMIFS('Base bordo'!G$2:G$746,'Base bordo'!C$2:C$746,A212,'Base bordo'!B$2:B$746,B212,'Base bordo'!F$2:F$746,"DESLOCAMENTO CARREGADO"),0)</f>
        <v>1.7777777777777778E-2</v>
      </c>
      <c r="F212" s="10">
        <f>IFERROR(SUMIFS('Base bordo'!G$2:G$746,'Base bordo'!C$2:C$746,A212,'Base bordo'!B$2:B$746,B212,'Base bordo'!F$2:F$746,"DESLOCAMENTO"),0)</f>
        <v>0</v>
      </c>
      <c r="G212" s="10">
        <f>IFERROR(SUMIFS('Base bordo'!G$2:G$746,'Base bordo'!C$2:C$746,A212,'Base bordo'!B$2:B$746,B212,'Base bordo'!F$2:F$746,"CARREGAMENTO"),0)</f>
        <v>0</v>
      </c>
      <c r="H212" s="10">
        <f>IFERROR(SUMIFS('Base bordo'!G$2:G$746,'Base bordo'!C$2:C$746,A212,'Base bordo'!B$2:B$746,B212,'Base bordo'!F$2:F$746,"AGUARDANDO TRANSBORDO"),0)</f>
        <v>0</v>
      </c>
      <c r="I212" s="10">
        <f>IFERROR(SUMIFS('Base bordo'!G$2:G$746,'Base bordo'!C$2:C$746,A212,'Base bordo'!B$2:B$746,B212,'Base bordo'!F$2:F$746,"PÁTIO INTERNO"),0)+IFERROR(SUMIFS('Base bordo'!G$2:G$746,'Base bordo'!C$2:C$746,A212,'Base bordo'!B$2:B$746,B212,'Base bordo'!F$2:F$746,"PÁTIO EXTERNO"),0)+IFERROR(SUMIFS('Base bordo'!G$2:G$746,'Base bordo'!C$2:C$746,A212,'Base bordo'!B$2:B$746,B212,'Base bordo'!F$2:F$746,"PATIO - RESERVA"),0)+IFERROR(SUMIFS('Base bordo'!G$2:G$746,'Base bordo'!C$2:C$746,A212,'Base bordo'!B$2:B$746,B212,'Base bordo'!F$2:F$746,"MANOBRA CARRETAS-PATIO"),0)</f>
        <v>9.2025000000000006</v>
      </c>
      <c r="J212" s="10">
        <f>IFERROR(SUMIFS('Base bordo'!G$2:G$746,'Base bordo'!C$2:C$746,A212,'Base bordo'!B$2:B$746,B212,'Base bordo'!F$2:F$746,"BALANÇA - ENTRADA"),0)+IFERROR(SUMIFS('Base bordo'!G$2:G$746,'Base bordo'!C$2:C$746,A212,'Base bordo'!B$2:B$746,B212,'Base bordo'!F$2:F$746,"BALANÇA - SAÍDA"),0)</f>
        <v>5.3055555555555557E-2</v>
      </c>
      <c r="K212" s="10">
        <f>IFERROR(SUMIFS('Base bordo'!G$2:G$746,'Base bordo'!C$2:C$746,A212,'Base bordo'!B$2:B$746,B212,'Base bordo'!F$2:F$746,"MAN PREVENTIVA - MECANICA"),0)+IFERROR(SUMIFS('Base bordo'!G$2:G$746,'Base bordo'!C$2:C$746,A212,'Base bordo'!B$2:B$746,B212,'Base bordo'!F$2:F$746,"MAN CORRETIVA - MECANICA"),0)</f>
        <v>0</v>
      </c>
      <c r="L212" s="10">
        <f>IFERROR(SUMIFS('Base bordo'!G$2:G$746,'Base bordo'!C$2:C$746,A212,'Base bordo'!B$2:B$746,B212,'Base bordo'!F$2:F$746,"MANUTENCAO - T O"),0)+IFERROR(SUMIFS('Base bordo'!G$2:G$746,'Base bordo'!C$2:C$746,A212,'Base bordo'!B$2:B$746,B212,'Base bordo'!F$2:F$746,"MANUTENCAO BORRACHARIA"),0)+IFERROR(SUMIFS('Base bordo'!G$2:G$746,'Base bordo'!C$2:C$746,A212,'Base bordo'!B$2:B$746,B212,'Base bordo'!F$2:F$746,"MANUTENCAO EXTERNA  CONCESSIONARIA"),0)+IFERROR(SUMIFS('Base bordo'!G$2:G$746,'Base bordo'!C$2:C$746,A212,'Base bordo'!B$2:B$746,B212,'Base bordo'!F$2:F$746,"MANUTENCAO TELEMETRIA"),0)</f>
        <v>0</v>
      </c>
      <c r="M212" s="10">
        <f>IFERROR(SUMIFS('Base bordo'!G$2:G$746,'Base bordo'!C$2:C$746,A212,'Base bordo'!B$2:B$746,B212,'Base bordo'!F$2:F$746,"AGUARDANDO MANUTENCAO"),0)</f>
        <v>0</v>
      </c>
      <c r="N212" s="10">
        <f>IFERROR(SUMIFS('Base bordo'!G$2:G$746,'Base bordo'!C$2:C$746,A212,'Base bordo'!B$2:B$746,B212,'Base bordo'!F$2:F$746,"SEM APONTAMENTO"),0)</f>
        <v>0</v>
      </c>
      <c r="O212" s="10">
        <f t="shared" si="30"/>
        <v>-3.5527136788005009E-15</v>
      </c>
      <c r="P212" s="10">
        <f>IFERROR(SUMIFS('Base bordo'!G$2:G$746,'Base bordo'!C$2:C$746,A212,'Base bordo'!B$2:B$746,B212),0)</f>
        <v>9.5294444444444419</v>
      </c>
      <c r="Q212" s="10">
        <f>IFERROR(SUMIFS('Base bordo'!H$2:H$746,'Base bordo'!C$2:C$746,A212,'Base bordo'!B$2:B$746,B212,'Base bordo'!F$2:F$746,"DESLOCAMENTO VAZIO"),0)</f>
        <v>8165.6500000000015</v>
      </c>
      <c r="R212" s="10">
        <f>IFERROR(SUMIFS('Base bordo'!I$2:I$746,'Base bordo'!C$2:C$746,A212,'Base bordo'!B$2:B$746,B212,'Base bordo'!F$2:F$746,"DESLOCAMENTO VAZIO"),0)</f>
        <v>922</v>
      </c>
      <c r="S212" s="30">
        <f t="shared" si="31"/>
        <v>8.8564533622559676</v>
      </c>
      <c r="T212" s="10">
        <f>IFERROR(SUMIFS('Base bordo'!H$2:H$746,'Base bordo'!C$2:C$746,A212,'Base bordo'!B$2:B$746,B212,'Base bordo'!F$2:F$746,"DESLOCAMENTO CARREGADO"),0)</f>
        <v>245.12</v>
      </c>
      <c r="U212" s="10">
        <f>IFERROR(SUMIFS('Base bordo'!I$2:I$746,'Base bordo'!C$2:C$746,A212,'Base bordo'!B$2:B$746,B212,'Base bordo'!F$2:F$746,"DESLOCAMENTO CARREGADO"),0)</f>
        <v>64</v>
      </c>
      <c r="V212" s="30">
        <f t="shared" si="32"/>
        <v>3.83</v>
      </c>
      <c r="W212" s="9">
        <f t="shared" si="33"/>
        <v>2.6875765172273081E-2</v>
      </c>
      <c r="X212" s="9">
        <f t="shared" si="34"/>
        <v>1.8655628752987821E-3</v>
      </c>
      <c r="Y212" s="9">
        <f t="shared" si="35"/>
        <v>0.9712586719524281</v>
      </c>
    </row>
    <row r="213" spans="1:25" ht="15" customHeight="1" x14ac:dyDescent="0.35">
      <c r="A213" s="52">
        <v>8013474</v>
      </c>
      <c r="B213" s="51">
        <v>46118</v>
      </c>
      <c r="C213" s="7" t="s">
        <v>124</v>
      </c>
      <c r="D213" s="10">
        <f>IFERROR(SUMIFS('Base bordo'!G$2:G$746,'Base bordo'!C$2:C$746,A213,'Base bordo'!B$2:B$746,B213,'Base bordo'!F$2:F$746,"DESLOCAMENTO VAZIO"),0)</f>
        <v>0.72111111111111115</v>
      </c>
      <c r="E213" s="10">
        <f>IFERROR(SUMIFS('Base bordo'!G$2:G$746,'Base bordo'!C$2:C$746,A213,'Base bordo'!B$2:B$746,B213,'Base bordo'!F$2:F$746,"DESLOCAMENTO CARREGADO"),0)</f>
        <v>0.97972222222222227</v>
      </c>
      <c r="F213" s="10">
        <f>IFERROR(SUMIFS('Base bordo'!G$2:G$746,'Base bordo'!C$2:C$746,A213,'Base bordo'!B$2:B$746,B213,'Base bordo'!F$2:F$746,"DESLOCAMENTO"),0)</f>
        <v>0</v>
      </c>
      <c r="G213" s="10">
        <f>IFERROR(SUMIFS('Base bordo'!G$2:G$746,'Base bordo'!C$2:C$746,A213,'Base bordo'!B$2:B$746,B213,'Base bordo'!F$2:F$746,"CARREGAMENTO"),0)</f>
        <v>0</v>
      </c>
      <c r="H213" s="10">
        <f>IFERROR(SUMIFS('Base bordo'!G$2:G$746,'Base bordo'!C$2:C$746,A213,'Base bordo'!B$2:B$746,B213,'Base bordo'!F$2:F$746,"AGUARDANDO TRANSBORDO"),0)</f>
        <v>0.20861111111111111</v>
      </c>
      <c r="I213" s="10">
        <f>IFERROR(SUMIFS('Base bordo'!G$2:G$746,'Base bordo'!C$2:C$746,A213,'Base bordo'!B$2:B$746,B213,'Base bordo'!F$2:F$746,"PÁTIO INTERNO"),0)+IFERROR(SUMIFS('Base bordo'!G$2:G$746,'Base bordo'!C$2:C$746,A213,'Base bordo'!B$2:B$746,B213,'Base bordo'!F$2:F$746,"PÁTIO EXTERNO"),0)+IFERROR(SUMIFS('Base bordo'!G$2:G$746,'Base bordo'!C$2:C$746,A213,'Base bordo'!B$2:B$746,B213,'Base bordo'!F$2:F$746,"PATIO - RESERVA"),0)+IFERROR(SUMIFS('Base bordo'!G$2:G$746,'Base bordo'!C$2:C$746,A213,'Base bordo'!B$2:B$746,B213,'Base bordo'!F$2:F$746,"MANOBRA CARRETAS-PATIO"),0)</f>
        <v>8.4474999999999998</v>
      </c>
      <c r="J213" s="10">
        <f>IFERROR(SUMIFS('Base bordo'!G$2:G$746,'Base bordo'!C$2:C$746,A213,'Base bordo'!B$2:B$746,B213,'Base bordo'!F$2:F$746,"BALANÇA - ENTRADA"),0)+IFERROR(SUMIFS('Base bordo'!G$2:G$746,'Base bordo'!C$2:C$746,A213,'Base bordo'!B$2:B$746,B213,'Base bordo'!F$2:F$746,"BALANÇA - SAÍDA"),0)</f>
        <v>6.3611111111111118E-2</v>
      </c>
      <c r="K213" s="10">
        <f>IFERROR(SUMIFS('Base bordo'!G$2:G$746,'Base bordo'!C$2:C$746,A213,'Base bordo'!B$2:B$746,B213,'Base bordo'!F$2:F$746,"MAN PREVENTIVA - MECANICA"),0)+IFERROR(SUMIFS('Base bordo'!G$2:G$746,'Base bordo'!C$2:C$746,A213,'Base bordo'!B$2:B$746,B213,'Base bordo'!F$2:F$746,"MAN CORRETIVA - MECANICA"),0)</f>
        <v>0</v>
      </c>
      <c r="L213" s="10">
        <f>IFERROR(SUMIFS('Base bordo'!G$2:G$746,'Base bordo'!C$2:C$746,A213,'Base bordo'!B$2:B$746,B213,'Base bordo'!F$2:F$746,"MANUTENCAO - T O"),0)+IFERROR(SUMIFS('Base bordo'!G$2:G$746,'Base bordo'!C$2:C$746,A213,'Base bordo'!B$2:B$746,B213,'Base bordo'!F$2:F$746,"MANUTENCAO BORRACHARIA"),0)+IFERROR(SUMIFS('Base bordo'!G$2:G$746,'Base bordo'!C$2:C$746,A213,'Base bordo'!B$2:B$746,B213,'Base bordo'!F$2:F$746,"MANUTENCAO EXTERNA  CONCESSIONARIA"),0)+IFERROR(SUMIFS('Base bordo'!G$2:G$746,'Base bordo'!C$2:C$746,A213,'Base bordo'!B$2:B$746,B213,'Base bordo'!F$2:F$746,"MANUTENCAO TELEMETRIA"),0)</f>
        <v>8.77</v>
      </c>
      <c r="M213" s="10">
        <f>IFERROR(SUMIFS('Base bordo'!G$2:G$746,'Base bordo'!C$2:C$746,A213,'Base bordo'!B$2:B$746,B213,'Base bordo'!F$2:F$746,"AGUARDANDO MANUTENCAO"),0)</f>
        <v>0</v>
      </c>
      <c r="N213" s="10">
        <f>IFERROR(SUMIFS('Base bordo'!G$2:G$746,'Base bordo'!C$2:C$746,A213,'Base bordo'!B$2:B$746,B213,'Base bordo'!F$2:F$746,"SEM APONTAMENTO"),0)</f>
        <v>0</v>
      </c>
      <c r="O213" s="10">
        <f t="shared" si="30"/>
        <v>0</v>
      </c>
      <c r="P213" s="10">
        <f>IFERROR(SUMIFS('Base bordo'!G$2:G$746,'Base bordo'!C$2:C$746,A213,'Base bordo'!B$2:B$746,B213),0)</f>
        <v>19.190555555555555</v>
      </c>
      <c r="Q213" s="10">
        <f>IFERROR(SUMIFS('Base bordo'!H$2:H$746,'Base bordo'!C$2:C$746,A213,'Base bordo'!B$2:B$746,B213,'Base bordo'!F$2:F$746,"DESLOCAMENTO VAZIO"),0)</f>
        <v>70252.17</v>
      </c>
      <c r="R213" s="10">
        <f>IFERROR(SUMIFS('Base bordo'!I$2:I$746,'Base bordo'!C$2:C$746,A213,'Base bordo'!B$2:B$746,B213,'Base bordo'!F$2:F$746,"DESLOCAMENTO VAZIO"),0)</f>
        <v>2596</v>
      </c>
      <c r="S213" s="30">
        <f t="shared" si="31"/>
        <v>27.061698767334359</v>
      </c>
      <c r="T213" s="10">
        <f>IFERROR(SUMIFS('Base bordo'!H$2:H$746,'Base bordo'!C$2:C$746,A213,'Base bordo'!B$2:B$746,B213,'Base bordo'!F$2:F$746,"DESLOCAMENTO CARREGADO"),0)</f>
        <v>68679.02</v>
      </c>
      <c r="U213" s="10">
        <f>IFERROR(SUMIFS('Base bordo'!I$2:I$746,'Base bordo'!C$2:C$746,A213,'Base bordo'!B$2:B$746,B213,'Base bordo'!F$2:F$746,"DESLOCAMENTO CARREGADO"),0)</f>
        <v>3527</v>
      </c>
      <c r="V213" s="30">
        <f t="shared" si="32"/>
        <v>19.472361780550045</v>
      </c>
      <c r="W213" s="9">
        <f t="shared" si="33"/>
        <v>3.7576354109370928E-2</v>
      </c>
      <c r="X213" s="9">
        <f t="shared" si="34"/>
        <v>5.1052311611614512E-2</v>
      </c>
      <c r="Y213" s="9">
        <f t="shared" si="35"/>
        <v>0.91137133427901451</v>
      </c>
    </row>
    <row r="214" spans="1:25" ht="15" customHeight="1" x14ac:dyDescent="0.35">
      <c r="A214" s="52">
        <v>8013465</v>
      </c>
      <c r="B214" s="51">
        <v>46124</v>
      </c>
      <c r="C214" s="7" t="s">
        <v>124</v>
      </c>
      <c r="D214" s="10">
        <f>IFERROR(SUMIFS('Base bordo'!G$2:G$746,'Base bordo'!C$2:C$746,A214,'Base bordo'!B$2:B$746,B214,'Base bordo'!F$2:F$746,"DESLOCAMENTO VAZIO"),0)</f>
        <v>2.6761111111111111</v>
      </c>
      <c r="E214" s="10">
        <f>IFERROR(SUMIFS('Base bordo'!G$2:G$746,'Base bordo'!C$2:C$746,A214,'Base bordo'!B$2:B$746,B214,'Base bordo'!F$2:F$746,"DESLOCAMENTO CARREGADO"),0)</f>
        <v>5.5052777777777777</v>
      </c>
      <c r="F214" s="10">
        <f>IFERROR(SUMIFS('Base bordo'!G$2:G$746,'Base bordo'!C$2:C$746,A214,'Base bordo'!B$2:B$746,B214,'Base bordo'!F$2:F$746,"DESLOCAMENTO"),0)</f>
        <v>0</v>
      </c>
      <c r="G214" s="10">
        <f>IFERROR(SUMIFS('Base bordo'!G$2:G$746,'Base bordo'!C$2:C$746,A214,'Base bordo'!B$2:B$746,B214,'Base bordo'!F$2:F$746,"CARREGAMENTO"),0)</f>
        <v>0</v>
      </c>
      <c r="H214" s="10">
        <f>IFERROR(SUMIFS('Base bordo'!G$2:G$746,'Base bordo'!C$2:C$746,A214,'Base bordo'!B$2:B$746,B214,'Base bordo'!F$2:F$746,"AGUARDANDO TRANSBORDO"),0)</f>
        <v>0.45055555555555554</v>
      </c>
      <c r="I214" s="10">
        <f>IFERROR(SUMIFS('Base bordo'!G$2:G$746,'Base bordo'!C$2:C$746,A214,'Base bordo'!B$2:B$746,B214,'Base bordo'!F$2:F$746,"PÁTIO INTERNO"),0)+IFERROR(SUMIFS('Base bordo'!G$2:G$746,'Base bordo'!C$2:C$746,A214,'Base bordo'!B$2:B$746,B214,'Base bordo'!F$2:F$746,"PÁTIO EXTERNO"),0)+IFERROR(SUMIFS('Base bordo'!G$2:G$746,'Base bordo'!C$2:C$746,A214,'Base bordo'!B$2:B$746,B214,'Base bordo'!F$2:F$746,"PATIO - RESERVA"),0)+IFERROR(SUMIFS('Base bordo'!G$2:G$746,'Base bordo'!C$2:C$746,A214,'Base bordo'!B$2:B$746,B214,'Base bordo'!F$2:F$746,"MANOBRA CARRETAS-PATIO"),0)</f>
        <v>2.5047222222222221</v>
      </c>
      <c r="J214" s="10">
        <f>IFERROR(SUMIFS('Base bordo'!G$2:G$746,'Base bordo'!C$2:C$746,A214,'Base bordo'!B$2:B$746,B214,'Base bordo'!F$2:F$746,"BALANÇA - ENTRADA"),0)+IFERROR(SUMIFS('Base bordo'!G$2:G$746,'Base bordo'!C$2:C$746,A214,'Base bordo'!B$2:B$746,B214,'Base bordo'!F$2:F$746,"BALANÇA - SAÍDA"),0)</f>
        <v>0</v>
      </c>
      <c r="K214" s="10">
        <f>IFERROR(SUMIFS('Base bordo'!G$2:G$746,'Base bordo'!C$2:C$746,A214,'Base bordo'!B$2:B$746,B214,'Base bordo'!F$2:F$746,"MAN PREVENTIVA - MECANICA"),0)+IFERROR(SUMIFS('Base bordo'!G$2:G$746,'Base bordo'!C$2:C$746,A214,'Base bordo'!B$2:B$746,B214,'Base bordo'!F$2:F$746,"MAN CORRETIVA - MECANICA"),0)</f>
        <v>0</v>
      </c>
      <c r="L214" s="10">
        <f>IFERROR(SUMIFS('Base bordo'!G$2:G$746,'Base bordo'!C$2:C$746,A214,'Base bordo'!B$2:B$746,B214,'Base bordo'!F$2:F$746,"MANUTENCAO - T O"),0)+IFERROR(SUMIFS('Base bordo'!G$2:G$746,'Base bordo'!C$2:C$746,A214,'Base bordo'!B$2:B$746,B214,'Base bordo'!F$2:F$746,"MANUTENCAO BORRACHARIA"),0)+IFERROR(SUMIFS('Base bordo'!G$2:G$746,'Base bordo'!C$2:C$746,A214,'Base bordo'!B$2:B$746,B214,'Base bordo'!F$2:F$746,"MANUTENCAO EXTERNA  CONCESSIONARIA"),0)+IFERROR(SUMIFS('Base bordo'!G$2:G$746,'Base bordo'!C$2:C$746,A214,'Base bordo'!B$2:B$746,B214,'Base bordo'!F$2:F$746,"MANUTENCAO TELEMETRIA"),0)</f>
        <v>0</v>
      </c>
      <c r="M214" s="10">
        <f>IFERROR(SUMIFS('Base bordo'!G$2:G$746,'Base bordo'!C$2:C$746,A214,'Base bordo'!B$2:B$746,B214,'Base bordo'!F$2:F$746,"AGUARDANDO MANUTENCAO"),0)</f>
        <v>0</v>
      </c>
      <c r="N214" s="10">
        <f>IFERROR(SUMIFS('Base bordo'!G$2:G$746,'Base bordo'!C$2:C$746,A214,'Base bordo'!B$2:B$746,B214,'Base bordo'!F$2:F$746,"SEM APONTAMENTO"),0)</f>
        <v>0</v>
      </c>
      <c r="O214" s="10">
        <f t="shared" si="30"/>
        <v>2.1111111111110858E-2</v>
      </c>
      <c r="P214" s="10">
        <f>IFERROR(SUMIFS('Base bordo'!G$2:G$746,'Base bordo'!C$2:C$746,A214,'Base bordo'!B$2:B$746,B214),0)</f>
        <v>11.157777777777778</v>
      </c>
      <c r="Q214" s="10">
        <f>IFERROR(SUMIFS('Base bordo'!H$2:H$746,'Base bordo'!C$2:C$746,A214,'Base bordo'!B$2:B$746,B214,'Base bordo'!F$2:F$746,"DESLOCAMENTO VAZIO"),0)</f>
        <v>384446.33</v>
      </c>
      <c r="R214" s="10">
        <f>IFERROR(SUMIFS('Base bordo'!I$2:I$746,'Base bordo'!C$2:C$746,A214,'Base bordo'!B$2:B$746,B214,'Base bordo'!F$2:F$746,"DESLOCAMENTO VAZIO"),0)</f>
        <v>9634</v>
      </c>
      <c r="S214" s="30">
        <f t="shared" si="31"/>
        <v>39.905161926510274</v>
      </c>
      <c r="T214" s="10">
        <f>IFERROR(SUMIFS('Base bordo'!H$2:H$746,'Base bordo'!C$2:C$746,A214,'Base bordo'!B$2:B$746,B214,'Base bordo'!F$2:F$746,"DESLOCAMENTO CARREGADO"),0)</f>
        <v>426423.94999999995</v>
      </c>
      <c r="U214" s="10">
        <f>IFERROR(SUMIFS('Base bordo'!I$2:I$746,'Base bordo'!C$2:C$746,A214,'Base bordo'!B$2:B$746,B214,'Base bordo'!F$2:F$746,"DESLOCAMENTO CARREGADO"),0)</f>
        <v>19819</v>
      </c>
      <c r="V214" s="30">
        <f t="shared" si="32"/>
        <v>21.515916544729802</v>
      </c>
      <c r="W214" s="9">
        <f t="shared" si="33"/>
        <v>0.23984266082453695</v>
      </c>
      <c r="X214" s="9">
        <f t="shared" si="34"/>
        <v>0.49340270862378011</v>
      </c>
      <c r="Y214" s="9">
        <f t="shared" si="35"/>
        <v>0.2667546305516828</v>
      </c>
    </row>
    <row r="215" spans="1:25" ht="15" customHeight="1" x14ac:dyDescent="0.35">
      <c r="A215" s="52">
        <v>8013483</v>
      </c>
      <c r="B215" s="51">
        <v>46123</v>
      </c>
      <c r="C215" s="7" t="s">
        <v>124</v>
      </c>
      <c r="D215" s="10">
        <f>IFERROR(SUMIFS('Base bordo'!G$2:G$746,'Base bordo'!C$2:C$746,A215,'Base bordo'!B$2:B$746,B215,'Base bordo'!F$2:F$746,"DESLOCAMENTO VAZIO"),0)</f>
        <v>2.875</v>
      </c>
      <c r="E215" s="10">
        <f>IFERROR(SUMIFS('Base bordo'!G$2:G$746,'Base bordo'!C$2:C$746,A215,'Base bordo'!B$2:B$746,B215,'Base bordo'!F$2:F$746,"DESLOCAMENTO CARREGADO"),0)</f>
        <v>1.3638888888888889</v>
      </c>
      <c r="F215" s="10">
        <f>IFERROR(SUMIFS('Base bordo'!G$2:G$746,'Base bordo'!C$2:C$746,A215,'Base bordo'!B$2:B$746,B215,'Base bordo'!F$2:F$746,"DESLOCAMENTO"),0)</f>
        <v>0.20861111111111111</v>
      </c>
      <c r="G215" s="10">
        <f>IFERROR(SUMIFS('Base bordo'!G$2:G$746,'Base bordo'!C$2:C$746,A215,'Base bordo'!B$2:B$746,B215,'Base bordo'!F$2:F$746,"CARREGAMENTO"),0)</f>
        <v>0</v>
      </c>
      <c r="H215" s="10">
        <f>IFERROR(SUMIFS('Base bordo'!G$2:G$746,'Base bordo'!C$2:C$746,A215,'Base bordo'!B$2:B$746,B215,'Base bordo'!F$2:F$746,"AGUARDANDO TRANSBORDO"),0)</f>
        <v>0.54722222222222228</v>
      </c>
      <c r="I215" s="10">
        <f>IFERROR(SUMIFS('Base bordo'!G$2:G$746,'Base bordo'!C$2:C$746,A215,'Base bordo'!B$2:B$746,B215,'Base bordo'!F$2:F$746,"PÁTIO INTERNO"),0)+IFERROR(SUMIFS('Base bordo'!G$2:G$746,'Base bordo'!C$2:C$746,A215,'Base bordo'!B$2:B$746,B215,'Base bordo'!F$2:F$746,"PÁTIO EXTERNO"),0)+IFERROR(SUMIFS('Base bordo'!G$2:G$746,'Base bordo'!C$2:C$746,A215,'Base bordo'!B$2:B$746,B215,'Base bordo'!F$2:F$746,"PATIO - RESERVA"),0)+IFERROR(SUMIFS('Base bordo'!G$2:G$746,'Base bordo'!C$2:C$746,A215,'Base bordo'!B$2:B$746,B215,'Base bordo'!F$2:F$746,"MANOBRA CARRETAS-PATIO"),0)</f>
        <v>0.5708333333333333</v>
      </c>
      <c r="J215" s="10">
        <f>IFERROR(SUMIFS('Base bordo'!G$2:G$746,'Base bordo'!C$2:C$746,A215,'Base bordo'!B$2:B$746,B215,'Base bordo'!F$2:F$746,"BALANÇA - ENTRADA"),0)+IFERROR(SUMIFS('Base bordo'!G$2:G$746,'Base bordo'!C$2:C$746,A215,'Base bordo'!B$2:B$746,B215,'Base bordo'!F$2:F$746,"BALANÇA - SAÍDA"),0)</f>
        <v>0</v>
      </c>
      <c r="K215" s="10">
        <f>IFERROR(SUMIFS('Base bordo'!G$2:G$746,'Base bordo'!C$2:C$746,A215,'Base bordo'!B$2:B$746,B215,'Base bordo'!F$2:F$746,"MAN PREVENTIVA - MECANICA"),0)+IFERROR(SUMIFS('Base bordo'!G$2:G$746,'Base bordo'!C$2:C$746,A215,'Base bordo'!B$2:B$746,B215,'Base bordo'!F$2:F$746,"MAN CORRETIVA - MECANICA"),0)</f>
        <v>0</v>
      </c>
      <c r="L215" s="10">
        <f>IFERROR(SUMIFS('Base bordo'!G$2:G$746,'Base bordo'!C$2:C$746,A215,'Base bordo'!B$2:B$746,B215,'Base bordo'!F$2:F$746,"MANUTENCAO - T O"),0)+IFERROR(SUMIFS('Base bordo'!G$2:G$746,'Base bordo'!C$2:C$746,A215,'Base bordo'!B$2:B$746,B215,'Base bordo'!F$2:F$746,"MANUTENCAO BORRACHARIA"),0)+IFERROR(SUMIFS('Base bordo'!G$2:G$746,'Base bordo'!C$2:C$746,A215,'Base bordo'!B$2:B$746,B215,'Base bordo'!F$2:F$746,"MANUTENCAO EXTERNA  CONCESSIONARIA"),0)+IFERROR(SUMIFS('Base bordo'!G$2:G$746,'Base bordo'!C$2:C$746,A215,'Base bordo'!B$2:B$746,B215,'Base bordo'!F$2:F$746,"MANUTENCAO TELEMETRIA"),0)</f>
        <v>0</v>
      </c>
      <c r="M215" s="10">
        <f>IFERROR(SUMIFS('Base bordo'!G$2:G$746,'Base bordo'!C$2:C$746,A215,'Base bordo'!B$2:B$746,B215,'Base bordo'!F$2:F$746,"AGUARDANDO MANUTENCAO"),0)</f>
        <v>0</v>
      </c>
      <c r="N215" s="10">
        <f>IFERROR(SUMIFS('Base bordo'!G$2:G$746,'Base bordo'!C$2:C$746,A215,'Base bordo'!B$2:B$746,B215,'Base bordo'!F$2:F$746,"SEM APONTAMENTO"),0)</f>
        <v>0</v>
      </c>
      <c r="O215" s="10">
        <f t="shared" si="30"/>
        <v>0.27361111111111125</v>
      </c>
      <c r="P215" s="10">
        <f>IFERROR(SUMIFS('Base bordo'!G$2:G$746,'Base bordo'!C$2:C$746,A215,'Base bordo'!B$2:B$746,B215),0)</f>
        <v>5.8391666666666664</v>
      </c>
      <c r="Q215" s="10">
        <f>IFERROR(SUMIFS('Base bordo'!H$2:H$746,'Base bordo'!C$2:C$746,A215,'Base bordo'!B$2:B$746,B215,'Base bordo'!F$2:F$746,"DESLOCAMENTO VAZIO"),0)</f>
        <v>352932.77</v>
      </c>
      <c r="R215" s="10">
        <f>IFERROR(SUMIFS('Base bordo'!I$2:I$746,'Base bordo'!C$2:C$746,A215,'Base bordo'!B$2:B$746,B215,'Base bordo'!F$2:F$746,"DESLOCAMENTO VAZIO"),0)</f>
        <v>10350</v>
      </c>
      <c r="S215" s="30">
        <f t="shared" si="31"/>
        <v>34.099784541062803</v>
      </c>
      <c r="T215" s="10">
        <f>IFERROR(SUMIFS('Base bordo'!H$2:H$746,'Base bordo'!C$2:C$746,A215,'Base bordo'!B$2:B$746,B215,'Base bordo'!F$2:F$746,"DESLOCAMENTO CARREGADO"),0)</f>
        <v>73870.23000000001</v>
      </c>
      <c r="U215" s="10">
        <f>IFERROR(SUMIFS('Base bordo'!I$2:I$746,'Base bordo'!C$2:C$746,A215,'Base bordo'!B$2:B$746,B215,'Base bordo'!F$2:F$746,"DESLOCAMENTO CARREGADO"),0)</f>
        <v>4910</v>
      </c>
      <c r="V215" s="30">
        <f t="shared" si="32"/>
        <v>15.044853360488801</v>
      </c>
      <c r="W215" s="9">
        <f t="shared" si="33"/>
        <v>0.49236477807906381</v>
      </c>
      <c r="X215" s="9">
        <f t="shared" si="34"/>
        <v>0.23357594786166216</v>
      </c>
      <c r="Y215" s="9">
        <f t="shared" si="35"/>
        <v>0.27405927405927399</v>
      </c>
    </row>
    <row r="216" spans="1:25" ht="15" customHeight="1" x14ac:dyDescent="0.35">
      <c r="A216" s="52">
        <v>8013472</v>
      </c>
      <c r="B216" s="51">
        <v>46119</v>
      </c>
      <c r="C216" s="7" t="s">
        <v>124</v>
      </c>
      <c r="D216" s="10">
        <f>IFERROR(SUMIFS('Base bordo'!G$2:G$746,'Base bordo'!C$2:C$746,A216,'Base bordo'!B$2:B$746,B216,'Base bordo'!F$2:F$746,"DESLOCAMENTO VAZIO"),0)</f>
        <v>0.42138888888888887</v>
      </c>
      <c r="E216" s="10">
        <f>IFERROR(SUMIFS('Base bordo'!G$2:G$746,'Base bordo'!C$2:C$746,A216,'Base bordo'!B$2:B$746,B216,'Base bordo'!F$2:F$746,"DESLOCAMENTO CARREGADO"),0)</f>
        <v>0</v>
      </c>
      <c r="F216" s="10">
        <f>IFERROR(SUMIFS('Base bordo'!G$2:G$746,'Base bordo'!C$2:C$746,A216,'Base bordo'!B$2:B$746,B216,'Base bordo'!F$2:F$746,"DESLOCAMENTO"),0)</f>
        <v>0</v>
      </c>
      <c r="G216" s="10">
        <f>IFERROR(SUMIFS('Base bordo'!G$2:G$746,'Base bordo'!C$2:C$746,A216,'Base bordo'!B$2:B$746,B216,'Base bordo'!F$2:F$746,"CARREGAMENTO"),0)</f>
        <v>0</v>
      </c>
      <c r="H216" s="10">
        <f>IFERROR(SUMIFS('Base bordo'!G$2:G$746,'Base bordo'!C$2:C$746,A216,'Base bordo'!B$2:B$746,B216,'Base bordo'!F$2:F$746,"AGUARDANDO TRANSBORDO"),0)</f>
        <v>0</v>
      </c>
      <c r="I216" s="10">
        <f>IFERROR(SUMIFS('Base bordo'!G$2:G$746,'Base bordo'!C$2:C$746,A216,'Base bordo'!B$2:B$746,B216,'Base bordo'!F$2:F$746,"PÁTIO INTERNO"),0)+IFERROR(SUMIFS('Base bordo'!G$2:G$746,'Base bordo'!C$2:C$746,A216,'Base bordo'!B$2:B$746,B216,'Base bordo'!F$2:F$746,"PÁTIO EXTERNO"),0)+IFERROR(SUMIFS('Base bordo'!G$2:G$746,'Base bordo'!C$2:C$746,A216,'Base bordo'!B$2:B$746,B216,'Base bordo'!F$2:F$746,"PATIO - RESERVA"),0)+IFERROR(SUMIFS('Base bordo'!G$2:G$746,'Base bordo'!C$2:C$746,A216,'Base bordo'!B$2:B$746,B216,'Base bordo'!F$2:F$746,"MANOBRA CARRETAS-PATIO"),0)</f>
        <v>2.1247222222222222</v>
      </c>
      <c r="J216" s="10">
        <f>IFERROR(SUMIFS('Base bordo'!G$2:G$746,'Base bordo'!C$2:C$746,A216,'Base bordo'!B$2:B$746,B216,'Base bordo'!F$2:F$746,"BALANÇA - ENTRADA"),0)+IFERROR(SUMIFS('Base bordo'!G$2:G$746,'Base bordo'!C$2:C$746,A216,'Base bordo'!B$2:B$746,B216,'Base bordo'!F$2:F$746,"BALANÇA - SAÍDA"),0)</f>
        <v>0.10361111111111111</v>
      </c>
      <c r="K216" s="10">
        <f>IFERROR(SUMIFS('Base bordo'!G$2:G$746,'Base bordo'!C$2:C$746,A216,'Base bordo'!B$2:B$746,B216,'Base bordo'!F$2:F$746,"MAN PREVENTIVA - MECANICA"),0)+IFERROR(SUMIFS('Base bordo'!G$2:G$746,'Base bordo'!C$2:C$746,A216,'Base bordo'!B$2:B$746,B216,'Base bordo'!F$2:F$746,"MAN CORRETIVA - MECANICA"),0)</f>
        <v>0</v>
      </c>
      <c r="L216" s="10">
        <f>IFERROR(SUMIFS('Base bordo'!G$2:G$746,'Base bordo'!C$2:C$746,A216,'Base bordo'!B$2:B$746,B216,'Base bordo'!F$2:F$746,"MANUTENCAO - T O"),0)+IFERROR(SUMIFS('Base bordo'!G$2:G$746,'Base bordo'!C$2:C$746,A216,'Base bordo'!B$2:B$746,B216,'Base bordo'!F$2:F$746,"MANUTENCAO BORRACHARIA"),0)+IFERROR(SUMIFS('Base bordo'!G$2:G$746,'Base bordo'!C$2:C$746,A216,'Base bordo'!B$2:B$746,B216,'Base bordo'!F$2:F$746,"MANUTENCAO EXTERNA  CONCESSIONARIA"),0)+IFERROR(SUMIFS('Base bordo'!G$2:G$746,'Base bordo'!C$2:C$746,A216,'Base bordo'!B$2:B$746,B216,'Base bordo'!F$2:F$746,"MANUTENCAO TELEMETRIA"),0)</f>
        <v>0</v>
      </c>
      <c r="M216" s="10">
        <f>IFERROR(SUMIFS('Base bordo'!G$2:G$746,'Base bordo'!C$2:C$746,A216,'Base bordo'!B$2:B$746,B216,'Base bordo'!F$2:F$746,"AGUARDANDO MANUTENCAO"),0)</f>
        <v>0</v>
      </c>
      <c r="N216" s="10">
        <f>IFERROR(SUMIFS('Base bordo'!G$2:G$746,'Base bordo'!C$2:C$746,A216,'Base bordo'!B$2:B$746,B216,'Base bordo'!F$2:F$746,"SEM APONTAMENTO"),0)</f>
        <v>0</v>
      </c>
      <c r="O216" s="10">
        <f t="shared" si="30"/>
        <v>-4.4408920985006262E-16</v>
      </c>
      <c r="P216" s="10">
        <f>IFERROR(SUMIFS('Base bordo'!G$2:G$746,'Base bordo'!C$2:C$746,A216,'Base bordo'!B$2:B$746,B216),0)</f>
        <v>2.6497222222222221</v>
      </c>
      <c r="Q216" s="10">
        <f>IFERROR(SUMIFS('Base bordo'!H$2:H$746,'Base bordo'!C$2:C$746,A216,'Base bordo'!B$2:B$746,B216,'Base bordo'!F$2:F$746,"DESLOCAMENTO VAZIO"),0)</f>
        <v>15178.23</v>
      </c>
      <c r="R216" s="10">
        <f>IFERROR(SUMIFS('Base bordo'!I$2:I$746,'Base bordo'!C$2:C$746,A216,'Base bordo'!B$2:B$746,B216,'Base bordo'!F$2:F$746,"DESLOCAMENTO VAZIO"),0)</f>
        <v>1517</v>
      </c>
      <c r="S216" s="30">
        <f t="shared" si="31"/>
        <v>10.00542518127884</v>
      </c>
      <c r="T216" s="10">
        <f>IFERROR(SUMIFS('Base bordo'!H$2:H$746,'Base bordo'!C$2:C$746,A216,'Base bordo'!B$2:B$746,B216,'Base bordo'!F$2:F$746,"DESLOCAMENTO CARREGADO"),0)</f>
        <v>0</v>
      </c>
      <c r="U216" s="10">
        <f>IFERROR(SUMIFS('Base bordo'!I$2:I$746,'Base bordo'!C$2:C$746,A216,'Base bordo'!B$2:B$746,B216,'Base bordo'!F$2:F$746,"DESLOCAMENTO CARREGADO"),0)</f>
        <v>0</v>
      </c>
      <c r="V216" s="30" t="str">
        <f t="shared" si="32"/>
        <v/>
      </c>
      <c r="W216" s="9">
        <f t="shared" si="33"/>
        <v>0.15903134500471747</v>
      </c>
      <c r="X216" s="9">
        <f t="shared" si="34"/>
        <v>0</v>
      </c>
      <c r="Y216" s="9">
        <f t="shared" si="35"/>
        <v>0.84096865499528251</v>
      </c>
    </row>
    <row r="217" spans="1:25" ht="15" customHeight="1" x14ac:dyDescent="0.35">
      <c r="A217" s="52">
        <v>8013462</v>
      </c>
      <c r="B217" s="51">
        <v>46119</v>
      </c>
      <c r="C217" s="7" t="s">
        <v>124</v>
      </c>
      <c r="D217" s="10">
        <f>IFERROR(SUMIFS('Base bordo'!G$2:G$746,'Base bordo'!C$2:C$746,A217,'Base bordo'!B$2:B$746,B217,'Base bordo'!F$2:F$746,"DESLOCAMENTO VAZIO"),0)</f>
        <v>0.22444444444444445</v>
      </c>
      <c r="E217" s="10">
        <f>IFERROR(SUMIFS('Base bordo'!G$2:G$746,'Base bordo'!C$2:C$746,A217,'Base bordo'!B$2:B$746,B217,'Base bordo'!F$2:F$746,"DESLOCAMENTO CARREGADO"),0)</f>
        <v>1.1399999999999999</v>
      </c>
      <c r="F217" s="10">
        <f>IFERROR(SUMIFS('Base bordo'!G$2:G$746,'Base bordo'!C$2:C$746,A217,'Base bordo'!B$2:B$746,B217,'Base bordo'!F$2:F$746,"DESLOCAMENTO"),0)</f>
        <v>0</v>
      </c>
      <c r="G217" s="10">
        <f>IFERROR(SUMIFS('Base bordo'!G$2:G$746,'Base bordo'!C$2:C$746,A217,'Base bordo'!B$2:B$746,B217,'Base bordo'!F$2:F$746,"CARREGAMENTO"),0)</f>
        <v>0</v>
      </c>
      <c r="H217" s="10">
        <f>IFERROR(SUMIFS('Base bordo'!G$2:G$746,'Base bordo'!C$2:C$746,A217,'Base bordo'!B$2:B$746,B217,'Base bordo'!F$2:F$746,"AGUARDANDO TRANSBORDO"),0)</f>
        <v>0</v>
      </c>
      <c r="I217" s="10">
        <f>IFERROR(SUMIFS('Base bordo'!G$2:G$746,'Base bordo'!C$2:C$746,A217,'Base bordo'!B$2:B$746,B217,'Base bordo'!F$2:F$746,"PÁTIO INTERNO"),0)+IFERROR(SUMIFS('Base bordo'!G$2:G$746,'Base bordo'!C$2:C$746,A217,'Base bordo'!B$2:B$746,B217,'Base bordo'!F$2:F$746,"PÁTIO EXTERNO"),0)+IFERROR(SUMIFS('Base bordo'!G$2:G$746,'Base bordo'!C$2:C$746,A217,'Base bordo'!B$2:B$746,B217,'Base bordo'!F$2:F$746,"PATIO - RESERVA"),0)+IFERROR(SUMIFS('Base bordo'!G$2:G$746,'Base bordo'!C$2:C$746,A217,'Base bordo'!B$2:B$746,B217,'Base bordo'!F$2:F$746,"MANOBRA CARRETAS-PATIO"),0)</f>
        <v>19.001944444444444</v>
      </c>
      <c r="J217" s="10">
        <f>IFERROR(SUMIFS('Base bordo'!G$2:G$746,'Base bordo'!C$2:C$746,A217,'Base bordo'!B$2:B$746,B217,'Base bordo'!F$2:F$746,"BALANÇA - ENTRADA"),0)+IFERROR(SUMIFS('Base bordo'!G$2:G$746,'Base bordo'!C$2:C$746,A217,'Base bordo'!B$2:B$746,B217,'Base bordo'!F$2:F$746,"BALANÇA - SAÍDA"),0)</f>
        <v>4.9444444444444444E-2</v>
      </c>
      <c r="K217" s="10">
        <f>IFERROR(SUMIFS('Base bordo'!G$2:G$746,'Base bordo'!C$2:C$746,A217,'Base bordo'!B$2:B$746,B217,'Base bordo'!F$2:F$746,"MAN PREVENTIVA - MECANICA"),0)+IFERROR(SUMIFS('Base bordo'!G$2:G$746,'Base bordo'!C$2:C$746,A217,'Base bordo'!B$2:B$746,B217,'Base bordo'!F$2:F$746,"MAN CORRETIVA - MECANICA"),0)</f>
        <v>0</v>
      </c>
      <c r="L217" s="10">
        <f>IFERROR(SUMIFS('Base bordo'!G$2:G$746,'Base bordo'!C$2:C$746,A217,'Base bordo'!B$2:B$746,B217,'Base bordo'!F$2:F$746,"MANUTENCAO - T O"),0)+IFERROR(SUMIFS('Base bordo'!G$2:G$746,'Base bordo'!C$2:C$746,A217,'Base bordo'!B$2:B$746,B217,'Base bordo'!F$2:F$746,"MANUTENCAO BORRACHARIA"),0)+IFERROR(SUMIFS('Base bordo'!G$2:G$746,'Base bordo'!C$2:C$746,A217,'Base bordo'!B$2:B$746,B217,'Base bordo'!F$2:F$746,"MANUTENCAO EXTERNA  CONCESSIONARIA"),0)+IFERROR(SUMIFS('Base bordo'!G$2:G$746,'Base bordo'!C$2:C$746,A217,'Base bordo'!B$2:B$746,B217,'Base bordo'!F$2:F$746,"MANUTENCAO TELEMETRIA"),0)</f>
        <v>0</v>
      </c>
      <c r="M217" s="10">
        <f>IFERROR(SUMIFS('Base bordo'!G$2:G$746,'Base bordo'!C$2:C$746,A217,'Base bordo'!B$2:B$746,B217,'Base bordo'!F$2:F$746,"AGUARDANDO MANUTENCAO"),0)</f>
        <v>0</v>
      </c>
      <c r="N217" s="10">
        <f>IFERROR(SUMIFS('Base bordo'!G$2:G$746,'Base bordo'!C$2:C$746,A217,'Base bordo'!B$2:B$746,B217,'Base bordo'!F$2:F$746,"SEM APONTAMENTO"),0)</f>
        <v>0</v>
      </c>
      <c r="O217" s="10">
        <f t="shared" si="30"/>
        <v>0</v>
      </c>
      <c r="P217" s="10">
        <f>IFERROR(SUMIFS('Base bordo'!G$2:G$746,'Base bordo'!C$2:C$746,A217,'Base bordo'!B$2:B$746,B217),0)</f>
        <v>20.415833333333332</v>
      </c>
      <c r="Q217" s="10">
        <f>IFERROR(SUMIFS('Base bordo'!H$2:H$746,'Base bordo'!C$2:C$746,A217,'Base bordo'!B$2:B$746,B217,'Base bordo'!F$2:F$746,"DESLOCAMENTO VAZIO"),0)</f>
        <v>12426.57</v>
      </c>
      <c r="R217" s="10">
        <f>IFERROR(SUMIFS('Base bordo'!I$2:I$746,'Base bordo'!C$2:C$746,A217,'Base bordo'!B$2:B$746,B217,'Base bordo'!F$2:F$746,"DESLOCAMENTO VAZIO"),0)</f>
        <v>808</v>
      </c>
      <c r="S217" s="30">
        <f t="shared" si="31"/>
        <v>15.379418316831682</v>
      </c>
      <c r="T217" s="10">
        <f>IFERROR(SUMIFS('Base bordo'!H$2:H$746,'Base bordo'!C$2:C$746,A217,'Base bordo'!B$2:B$746,B217,'Base bordo'!F$2:F$746,"DESLOCAMENTO CARREGADO"),0)</f>
        <v>100320.48</v>
      </c>
      <c r="U217" s="10">
        <f>IFERROR(SUMIFS('Base bordo'!I$2:I$746,'Base bordo'!C$2:C$746,A217,'Base bordo'!B$2:B$746,B217,'Base bordo'!F$2:F$746,"DESLOCAMENTO CARREGADO"),0)</f>
        <v>4104</v>
      </c>
      <c r="V217" s="30">
        <f t="shared" si="32"/>
        <v>24.444561403508771</v>
      </c>
      <c r="W217" s="9">
        <f t="shared" si="33"/>
        <v>1.0993645999156429E-2</v>
      </c>
      <c r="X217" s="9">
        <f t="shared" si="34"/>
        <v>5.583901383729948E-2</v>
      </c>
      <c r="Y217" s="9">
        <f t="shared" si="35"/>
        <v>0.93316734016354408</v>
      </c>
    </row>
    <row r="218" spans="1:25" ht="15" customHeight="1" x14ac:dyDescent="0.35">
      <c r="A218" s="52">
        <v>8013470</v>
      </c>
      <c r="B218" s="51">
        <v>46118</v>
      </c>
      <c r="C218" s="7" t="s">
        <v>124</v>
      </c>
      <c r="D218" s="10">
        <f>IFERROR(SUMIFS('Base bordo'!G$2:G$746,'Base bordo'!C$2:C$746,A218,'Base bordo'!B$2:B$746,B218,'Base bordo'!F$2:F$746,"DESLOCAMENTO VAZIO"),0)</f>
        <v>1.7397222222222222</v>
      </c>
      <c r="E218" s="10">
        <f>IFERROR(SUMIFS('Base bordo'!G$2:G$746,'Base bordo'!C$2:C$746,A218,'Base bordo'!B$2:B$746,B218,'Base bordo'!F$2:F$746,"DESLOCAMENTO CARREGADO"),0)</f>
        <v>3.5305555555555554</v>
      </c>
      <c r="F218" s="10">
        <f>IFERROR(SUMIFS('Base bordo'!G$2:G$746,'Base bordo'!C$2:C$746,A218,'Base bordo'!B$2:B$746,B218,'Base bordo'!F$2:F$746,"DESLOCAMENTO"),0)</f>
        <v>0</v>
      </c>
      <c r="G218" s="10">
        <f>IFERROR(SUMIFS('Base bordo'!G$2:G$746,'Base bordo'!C$2:C$746,A218,'Base bordo'!B$2:B$746,B218,'Base bordo'!F$2:F$746,"CARREGAMENTO"),0)</f>
        <v>2.911111111111111</v>
      </c>
      <c r="H218" s="10">
        <f>IFERROR(SUMIFS('Base bordo'!G$2:G$746,'Base bordo'!C$2:C$746,A218,'Base bordo'!B$2:B$746,B218,'Base bordo'!F$2:F$746,"AGUARDANDO TRANSBORDO"),0)</f>
        <v>0.85194444444444439</v>
      </c>
      <c r="I218" s="10">
        <f>IFERROR(SUMIFS('Base bordo'!G$2:G$746,'Base bordo'!C$2:C$746,A218,'Base bordo'!B$2:B$746,B218,'Base bordo'!F$2:F$746,"PÁTIO INTERNO"),0)+IFERROR(SUMIFS('Base bordo'!G$2:G$746,'Base bordo'!C$2:C$746,A218,'Base bordo'!B$2:B$746,B218,'Base bordo'!F$2:F$746,"PÁTIO EXTERNO"),0)+IFERROR(SUMIFS('Base bordo'!G$2:G$746,'Base bordo'!C$2:C$746,A218,'Base bordo'!B$2:B$746,B218,'Base bordo'!F$2:F$746,"PATIO - RESERVA"),0)+IFERROR(SUMIFS('Base bordo'!G$2:G$746,'Base bordo'!C$2:C$746,A218,'Base bordo'!B$2:B$746,B218,'Base bordo'!F$2:F$746,"MANOBRA CARRETAS-PATIO"),0)</f>
        <v>7.8380555555555551</v>
      </c>
      <c r="J218" s="10">
        <f>IFERROR(SUMIFS('Base bordo'!G$2:G$746,'Base bordo'!C$2:C$746,A218,'Base bordo'!B$2:B$746,B218,'Base bordo'!F$2:F$746,"BALANÇA - ENTRADA"),0)+IFERROR(SUMIFS('Base bordo'!G$2:G$746,'Base bordo'!C$2:C$746,A218,'Base bordo'!B$2:B$746,B218,'Base bordo'!F$2:F$746,"BALANÇA - SAÍDA"),0)</f>
        <v>6.4722222222222223E-2</v>
      </c>
      <c r="K218" s="10">
        <f>IFERROR(SUMIFS('Base bordo'!G$2:G$746,'Base bordo'!C$2:C$746,A218,'Base bordo'!B$2:B$746,B218,'Base bordo'!F$2:F$746,"MAN PREVENTIVA - MECANICA"),0)+IFERROR(SUMIFS('Base bordo'!G$2:G$746,'Base bordo'!C$2:C$746,A218,'Base bordo'!B$2:B$746,B218,'Base bordo'!F$2:F$746,"MAN CORRETIVA - MECANICA"),0)</f>
        <v>0</v>
      </c>
      <c r="L218" s="10">
        <f>IFERROR(SUMIFS('Base bordo'!G$2:G$746,'Base bordo'!C$2:C$746,A218,'Base bordo'!B$2:B$746,B218,'Base bordo'!F$2:F$746,"MANUTENCAO - T O"),0)+IFERROR(SUMIFS('Base bordo'!G$2:G$746,'Base bordo'!C$2:C$746,A218,'Base bordo'!B$2:B$746,B218,'Base bordo'!F$2:F$746,"MANUTENCAO BORRACHARIA"),0)+IFERROR(SUMIFS('Base bordo'!G$2:G$746,'Base bordo'!C$2:C$746,A218,'Base bordo'!B$2:B$746,B218,'Base bordo'!F$2:F$746,"MANUTENCAO EXTERNA  CONCESSIONARIA"),0)+IFERROR(SUMIFS('Base bordo'!G$2:G$746,'Base bordo'!C$2:C$746,A218,'Base bordo'!B$2:B$746,B218,'Base bordo'!F$2:F$746,"MANUTENCAO TELEMETRIA"),0)</f>
        <v>0</v>
      </c>
      <c r="M218" s="10">
        <f>IFERROR(SUMIFS('Base bordo'!G$2:G$746,'Base bordo'!C$2:C$746,A218,'Base bordo'!B$2:B$746,B218,'Base bordo'!F$2:F$746,"AGUARDANDO MANUTENCAO"),0)</f>
        <v>1.013611111111111</v>
      </c>
      <c r="N218" s="10">
        <f>IFERROR(SUMIFS('Base bordo'!G$2:G$746,'Base bordo'!C$2:C$746,A218,'Base bordo'!B$2:B$746,B218,'Base bordo'!F$2:F$746,"SEM APONTAMENTO"),0)</f>
        <v>0.85111111111111115</v>
      </c>
      <c r="O218" s="10">
        <f t="shared" si="30"/>
        <v>5.1991666666666667</v>
      </c>
      <c r="P218" s="10">
        <f>IFERROR(SUMIFS('Base bordo'!G$2:G$746,'Base bordo'!C$2:C$746,A218,'Base bordo'!B$2:B$746,B218),0)</f>
        <v>24</v>
      </c>
      <c r="Q218" s="10">
        <f>IFERROR(SUMIFS('Base bordo'!H$2:H$746,'Base bordo'!C$2:C$746,A218,'Base bordo'!B$2:B$746,B218,'Base bordo'!F$2:F$746,"DESLOCAMENTO VAZIO"),0)</f>
        <v>195041.98</v>
      </c>
      <c r="R218" s="10">
        <f>IFERROR(SUMIFS('Base bordo'!I$2:I$746,'Base bordo'!C$2:C$746,A218,'Base bordo'!B$2:B$746,B218,'Base bordo'!F$2:F$746,"DESLOCAMENTO VAZIO"),0)</f>
        <v>6263</v>
      </c>
      <c r="S218" s="30">
        <f t="shared" si="31"/>
        <v>31.141941561551974</v>
      </c>
      <c r="T218" s="10">
        <f>IFERROR(SUMIFS('Base bordo'!H$2:H$746,'Base bordo'!C$2:C$746,A218,'Base bordo'!B$2:B$746,B218,'Base bordo'!F$2:F$746,"DESLOCAMENTO CARREGADO"),0)</f>
        <v>332481.22999999992</v>
      </c>
      <c r="U218" s="10">
        <f>IFERROR(SUMIFS('Base bordo'!I$2:I$746,'Base bordo'!C$2:C$746,A218,'Base bordo'!B$2:B$746,B218,'Base bordo'!F$2:F$746,"DESLOCAMENTO CARREGADO"),0)</f>
        <v>12710</v>
      </c>
      <c r="V218" s="30">
        <f t="shared" si="32"/>
        <v>26.15902675059008</v>
      </c>
      <c r="W218" s="9">
        <f t="shared" si="33"/>
        <v>7.2488425925925928E-2</v>
      </c>
      <c r="X218" s="9">
        <f t="shared" si="34"/>
        <v>0.14710648148148148</v>
      </c>
      <c r="Y218" s="9">
        <f t="shared" si="35"/>
        <v>0.78040509259259261</v>
      </c>
    </row>
    <row r="219" spans="1:25" ht="15" customHeight="1" x14ac:dyDescent="0.35">
      <c r="A219" s="52">
        <v>8013483</v>
      </c>
      <c r="B219" s="51">
        <v>46124</v>
      </c>
      <c r="C219" s="7" t="s">
        <v>124</v>
      </c>
      <c r="D219" s="10">
        <f>IFERROR(SUMIFS('Base bordo'!G$2:G$746,'Base bordo'!C$2:C$746,A219,'Base bordo'!B$2:B$746,B219,'Base bordo'!F$2:F$746,"DESLOCAMENTO VAZIO"),0)</f>
        <v>3.0661111111111112</v>
      </c>
      <c r="E219" s="10">
        <f>IFERROR(SUMIFS('Base bordo'!G$2:G$746,'Base bordo'!C$2:C$746,A219,'Base bordo'!B$2:B$746,B219,'Base bordo'!F$2:F$746,"DESLOCAMENTO CARREGADO"),0)</f>
        <v>5.7730555555555556</v>
      </c>
      <c r="F219" s="10">
        <f>IFERROR(SUMIFS('Base bordo'!G$2:G$746,'Base bordo'!C$2:C$746,A219,'Base bordo'!B$2:B$746,B219,'Base bordo'!F$2:F$746,"DESLOCAMENTO"),0)</f>
        <v>0</v>
      </c>
      <c r="G219" s="10">
        <f>IFERROR(SUMIFS('Base bordo'!G$2:G$746,'Base bordo'!C$2:C$746,A219,'Base bordo'!B$2:B$746,B219,'Base bordo'!F$2:F$746,"CARREGAMENTO"),0)</f>
        <v>0</v>
      </c>
      <c r="H219" s="10">
        <f>IFERROR(SUMIFS('Base bordo'!G$2:G$746,'Base bordo'!C$2:C$746,A219,'Base bordo'!B$2:B$746,B219,'Base bordo'!F$2:F$746,"AGUARDANDO TRANSBORDO"),0)</f>
        <v>0.55083333333333329</v>
      </c>
      <c r="I219" s="10">
        <f>IFERROR(SUMIFS('Base bordo'!G$2:G$746,'Base bordo'!C$2:C$746,A219,'Base bordo'!B$2:B$746,B219,'Base bordo'!F$2:F$746,"PÁTIO INTERNO"),0)+IFERROR(SUMIFS('Base bordo'!G$2:G$746,'Base bordo'!C$2:C$746,A219,'Base bordo'!B$2:B$746,B219,'Base bordo'!F$2:F$746,"PÁTIO EXTERNO"),0)+IFERROR(SUMIFS('Base bordo'!G$2:G$746,'Base bordo'!C$2:C$746,A219,'Base bordo'!B$2:B$746,B219,'Base bordo'!F$2:F$746,"PATIO - RESERVA"),0)+IFERROR(SUMIFS('Base bordo'!G$2:G$746,'Base bordo'!C$2:C$746,A219,'Base bordo'!B$2:B$746,B219,'Base bordo'!F$2:F$746,"MANOBRA CARRETAS-PATIO"),0)</f>
        <v>6.1611111111111114</v>
      </c>
      <c r="J219" s="10">
        <f>IFERROR(SUMIFS('Base bordo'!G$2:G$746,'Base bordo'!C$2:C$746,A219,'Base bordo'!B$2:B$746,B219,'Base bordo'!F$2:F$746,"BALANÇA - ENTRADA"),0)+IFERROR(SUMIFS('Base bordo'!G$2:G$746,'Base bordo'!C$2:C$746,A219,'Base bordo'!B$2:B$746,B219,'Base bordo'!F$2:F$746,"BALANÇA - SAÍDA"),0)</f>
        <v>0.17694444444444446</v>
      </c>
      <c r="K219" s="10">
        <f>IFERROR(SUMIFS('Base bordo'!G$2:G$746,'Base bordo'!C$2:C$746,A219,'Base bordo'!B$2:B$746,B219,'Base bordo'!F$2:F$746,"MAN PREVENTIVA - MECANICA"),0)+IFERROR(SUMIFS('Base bordo'!G$2:G$746,'Base bordo'!C$2:C$746,A219,'Base bordo'!B$2:B$746,B219,'Base bordo'!F$2:F$746,"MAN CORRETIVA - MECANICA"),0)</f>
        <v>0</v>
      </c>
      <c r="L219" s="10">
        <f>IFERROR(SUMIFS('Base bordo'!G$2:G$746,'Base bordo'!C$2:C$746,A219,'Base bordo'!B$2:B$746,B219,'Base bordo'!F$2:F$746,"MANUTENCAO - T O"),0)+IFERROR(SUMIFS('Base bordo'!G$2:G$746,'Base bordo'!C$2:C$746,A219,'Base bordo'!B$2:B$746,B219,'Base bordo'!F$2:F$746,"MANUTENCAO BORRACHARIA"),0)+IFERROR(SUMIFS('Base bordo'!G$2:G$746,'Base bordo'!C$2:C$746,A219,'Base bordo'!B$2:B$746,B219,'Base bordo'!F$2:F$746,"MANUTENCAO EXTERNA  CONCESSIONARIA"),0)+IFERROR(SUMIFS('Base bordo'!G$2:G$746,'Base bordo'!C$2:C$746,A219,'Base bordo'!B$2:B$746,B219,'Base bordo'!F$2:F$746,"MANUTENCAO TELEMETRIA"),0)</f>
        <v>0</v>
      </c>
      <c r="M219" s="10">
        <f>IFERROR(SUMIFS('Base bordo'!G$2:G$746,'Base bordo'!C$2:C$746,A219,'Base bordo'!B$2:B$746,B219,'Base bordo'!F$2:F$746,"AGUARDANDO MANUTENCAO"),0)</f>
        <v>0</v>
      </c>
      <c r="N219" s="10">
        <f>IFERROR(SUMIFS('Base bordo'!G$2:G$746,'Base bordo'!C$2:C$746,A219,'Base bordo'!B$2:B$746,B219,'Base bordo'!F$2:F$746,"SEM APONTAMENTO"),0)</f>
        <v>0</v>
      </c>
      <c r="O219" s="10">
        <f t="shared" si="30"/>
        <v>-1.7763568394002505E-15</v>
      </c>
      <c r="P219" s="10">
        <f>IFERROR(SUMIFS('Base bordo'!G$2:G$746,'Base bordo'!C$2:C$746,A219,'Base bordo'!B$2:B$746,B219),0)</f>
        <v>15.728055555555555</v>
      </c>
      <c r="Q219" s="10">
        <f>IFERROR(SUMIFS('Base bordo'!H$2:H$746,'Base bordo'!C$2:C$746,A219,'Base bordo'!B$2:B$746,B219,'Base bordo'!F$2:F$746,"DESLOCAMENTO VAZIO"),0)</f>
        <v>357738.43000000005</v>
      </c>
      <c r="R219" s="10">
        <f>IFERROR(SUMIFS('Base bordo'!I$2:I$746,'Base bordo'!C$2:C$746,A219,'Base bordo'!B$2:B$746,B219,'Base bordo'!F$2:F$746,"DESLOCAMENTO VAZIO"),0)</f>
        <v>11038</v>
      </c>
      <c r="S219" s="30">
        <f t="shared" si="31"/>
        <v>32.409714622214175</v>
      </c>
      <c r="T219" s="10">
        <f>IFERROR(SUMIFS('Base bordo'!H$2:H$746,'Base bordo'!C$2:C$746,A219,'Base bordo'!B$2:B$746,B219,'Base bordo'!F$2:F$746,"DESLOCAMENTO CARREGADO"),0)</f>
        <v>519150.98000000004</v>
      </c>
      <c r="U219" s="10">
        <f>IFERROR(SUMIFS('Base bordo'!I$2:I$746,'Base bordo'!C$2:C$746,A219,'Base bordo'!B$2:B$746,B219,'Base bordo'!F$2:F$746,"DESLOCAMENTO CARREGADO"),0)</f>
        <v>20783</v>
      </c>
      <c r="V219" s="30">
        <f t="shared" si="32"/>
        <v>24.979597748159556</v>
      </c>
      <c r="W219" s="9">
        <f t="shared" si="33"/>
        <v>0.19494533830204344</v>
      </c>
      <c r="X219" s="9">
        <f t="shared" si="34"/>
        <v>0.36705462637537312</v>
      </c>
      <c r="Y219" s="9">
        <f t="shared" si="35"/>
        <v>0.43800003532258347</v>
      </c>
    </row>
    <row r="220" spans="1:25" ht="15" customHeight="1" x14ac:dyDescent="0.35">
      <c r="A220" s="52">
        <v>8013475</v>
      </c>
      <c r="B220" s="51">
        <v>46124</v>
      </c>
      <c r="C220" s="7" t="s">
        <v>124</v>
      </c>
      <c r="D220" s="10">
        <f>IFERROR(SUMIFS('Base bordo'!G$2:G$746,'Base bordo'!C$2:C$746,A220,'Base bordo'!B$2:B$746,B220,'Base bordo'!F$2:F$746,"DESLOCAMENTO VAZIO"),0)</f>
        <v>0.7005555555555556</v>
      </c>
      <c r="E220" s="10">
        <f>IFERROR(SUMIFS('Base bordo'!G$2:G$746,'Base bordo'!C$2:C$746,A220,'Base bordo'!B$2:B$746,B220,'Base bordo'!F$2:F$746,"DESLOCAMENTO CARREGADO"),0)</f>
        <v>0.60333333333333339</v>
      </c>
      <c r="F220" s="10">
        <f>IFERROR(SUMIFS('Base bordo'!G$2:G$746,'Base bordo'!C$2:C$746,A220,'Base bordo'!B$2:B$746,B220,'Base bordo'!F$2:F$746,"DESLOCAMENTO"),0)</f>
        <v>0</v>
      </c>
      <c r="G220" s="10">
        <f>IFERROR(SUMIFS('Base bordo'!G$2:G$746,'Base bordo'!C$2:C$746,A220,'Base bordo'!B$2:B$746,B220,'Base bordo'!F$2:F$746,"CARREGAMENTO"),0)</f>
        <v>0</v>
      </c>
      <c r="H220" s="10">
        <f>IFERROR(SUMIFS('Base bordo'!G$2:G$746,'Base bordo'!C$2:C$746,A220,'Base bordo'!B$2:B$746,B220,'Base bordo'!F$2:F$746,"AGUARDANDO TRANSBORDO"),0)</f>
        <v>0.57722222222222219</v>
      </c>
      <c r="I220" s="10">
        <f>IFERROR(SUMIFS('Base bordo'!G$2:G$746,'Base bordo'!C$2:C$746,A220,'Base bordo'!B$2:B$746,B220,'Base bordo'!F$2:F$746,"PÁTIO INTERNO"),0)+IFERROR(SUMIFS('Base bordo'!G$2:G$746,'Base bordo'!C$2:C$746,A220,'Base bordo'!B$2:B$746,B220,'Base bordo'!F$2:F$746,"PÁTIO EXTERNO"),0)+IFERROR(SUMIFS('Base bordo'!G$2:G$746,'Base bordo'!C$2:C$746,A220,'Base bordo'!B$2:B$746,B220,'Base bordo'!F$2:F$746,"PATIO - RESERVA"),0)+IFERROR(SUMIFS('Base bordo'!G$2:G$746,'Base bordo'!C$2:C$746,A220,'Base bordo'!B$2:B$746,B220,'Base bordo'!F$2:F$746,"MANOBRA CARRETAS-PATIO"),0)</f>
        <v>5.7852777777777771</v>
      </c>
      <c r="J220" s="10">
        <f>IFERROR(SUMIFS('Base bordo'!G$2:G$746,'Base bordo'!C$2:C$746,A220,'Base bordo'!B$2:B$746,B220,'Base bordo'!F$2:F$746,"BALANÇA - ENTRADA"),0)+IFERROR(SUMIFS('Base bordo'!G$2:G$746,'Base bordo'!C$2:C$746,A220,'Base bordo'!B$2:B$746,B220,'Base bordo'!F$2:F$746,"BALANÇA - SAÍDA"),0)</f>
        <v>7.8611111111111104E-2</v>
      </c>
      <c r="K220" s="10">
        <f>IFERROR(SUMIFS('Base bordo'!G$2:G$746,'Base bordo'!C$2:C$746,A220,'Base bordo'!B$2:B$746,B220,'Base bordo'!F$2:F$746,"MAN PREVENTIVA - MECANICA"),0)+IFERROR(SUMIFS('Base bordo'!G$2:G$746,'Base bordo'!C$2:C$746,A220,'Base bordo'!B$2:B$746,B220,'Base bordo'!F$2:F$746,"MAN CORRETIVA - MECANICA"),0)</f>
        <v>0</v>
      </c>
      <c r="L220" s="10">
        <f>IFERROR(SUMIFS('Base bordo'!G$2:G$746,'Base bordo'!C$2:C$746,A220,'Base bordo'!B$2:B$746,B220,'Base bordo'!F$2:F$746,"MANUTENCAO - T O"),0)+IFERROR(SUMIFS('Base bordo'!G$2:G$746,'Base bordo'!C$2:C$746,A220,'Base bordo'!B$2:B$746,B220,'Base bordo'!F$2:F$746,"MANUTENCAO BORRACHARIA"),0)+IFERROR(SUMIFS('Base bordo'!G$2:G$746,'Base bordo'!C$2:C$746,A220,'Base bordo'!B$2:B$746,B220,'Base bordo'!F$2:F$746,"MANUTENCAO EXTERNA  CONCESSIONARIA"),0)+IFERROR(SUMIFS('Base bordo'!G$2:G$746,'Base bordo'!C$2:C$746,A220,'Base bordo'!B$2:B$746,B220,'Base bordo'!F$2:F$746,"MANUTENCAO TELEMETRIA"),0)</f>
        <v>0</v>
      </c>
      <c r="M220" s="10">
        <f>IFERROR(SUMIFS('Base bordo'!G$2:G$746,'Base bordo'!C$2:C$746,A220,'Base bordo'!B$2:B$746,B220,'Base bordo'!F$2:F$746,"AGUARDANDO MANUTENCAO"),0)</f>
        <v>0</v>
      </c>
      <c r="N220" s="10">
        <f>IFERROR(SUMIFS('Base bordo'!G$2:G$746,'Base bordo'!C$2:C$746,A220,'Base bordo'!B$2:B$746,B220,'Base bordo'!F$2:F$746,"SEM APONTAMENTO"),0)</f>
        <v>0</v>
      </c>
      <c r="O220" s="10">
        <f t="shared" si="30"/>
        <v>-8.8817841970012523E-16</v>
      </c>
      <c r="P220" s="10">
        <f>IFERROR(SUMIFS('Base bordo'!G$2:G$746,'Base bordo'!C$2:C$746,A220,'Base bordo'!B$2:B$746,B220),0)</f>
        <v>7.7449999999999983</v>
      </c>
      <c r="Q220" s="10">
        <f>IFERROR(SUMIFS('Base bordo'!H$2:H$746,'Base bordo'!C$2:C$746,A220,'Base bordo'!B$2:B$746,B220,'Base bordo'!F$2:F$746,"DESLOCAMENTO VAZIO"),0)</f>
        <v>56346.78</v>
      </c>
      <c r="R220" s="10">
        <f>IFERROR(SUMIFS('Base bordo'!I$2:I$746,'Base bordo'!C$2:C$746,A220,'Base bordo'!B$2:B$746,B220,'Base bordo'!F$2:F$746,"DESLOCAMENTO VAZIO"),0)</f>
        <v>2522</v>
      </c>
      <c r="S220" s="30">
        <f t="shared" si="31"/>
        <v>22.342101506740683</v>
      </c>
      <c r="T220" s="10">
        <f>IFERROR(SUMIFS('Base bordo'!H$2:H$746,'Base bordo'!C$2:C$746,A220,'Base bordo'!B$2:B$746,B220,'Base bordo'!F$2:F$746,"DESLOCAMENTO CARREGADO"),0)</f>
        <v>41086.33</v>
      </c>
      <c r="U220" s="10">
        <f>IFERROR(SUMIFS('Base bordo'!I$2:I$746,'Base bordo'!C$2:C$746,A220,'Base bordo'!B$2:B$746,B220,'Base bordo'!F$2:F$746,"DESLOCAMENTO CARREGADO"),0)</f>
        <v>2172</v>
      </c>
      <c r="V220" s="30">
        <f t="shared" si="32"/>
        <v>18.916358195211789</v>
      </c>
      <c r="W220" s="9">
        <f t="shared" si="33"/>
        <v>9.0452621763144711E-2</v>
      </c>
      <c r="X220" s="9">
        <f t="shared" si="34"/>
        <v>7.7899720249623439E-2</v>
      </c>
      <c r="Y220" s="9">
        <f t="shared" si="35"/>
        <v>0.83164765798723184</v>
      </c>
    </row>
    <row r="221" spans="1:25" ht="15" customHeight="1" x14ac:dyDescent="0.35">
      <c r="A221" s="52">
        <v>8013473</v>
      </c>
      <c r="B221" s="51">
        <v>46118</v>
      </c>
      <c r="C221" s="7" t="s">
        <v>124</v>
      </c>
      <c r="D221" s="10">
        <f>IFERROR(SUMIFS('Base bordo'!G$2:G$746,'Base bordo'!C$2:C$746,A221,'Base bordo'!B$2:B$746,B221,'Base bordo'!F$2:F$746,"DESLOCAMENTO VAZIO"),0)</f>
        <v>1.5997222222222223</v>
      </c>
      <c r="E221" s="10">
        <f>IFERROR(SUMIFS('Base bordo'!G$2:G$746,'Base bordo'!C$2:C$746,A221,'Base bordo'!B$2:B$746,B221,'Base bordo'!F$2:F$746,"DESLOCAMENTO CARREGADO"),0)</f>
        <v>3.9169444444444443</v>
      </c>
      <c r="F221" s="10">
        <f>IFERROR(SUMIFS('Base bordo'!G$2:G$746,'Base bordo'!C$2:C$746,A221,'Base bordo'!B$2:B$746,B221,'Base bordo'!F$2:F$746,"DESLOCAMENTO"),0)</f>
        <v>0</v>
      </c>
      <c r="G221" s="10">
        <f>IFERROR(SUMIFS('Base bordo'!G$2:G$746,'Base bordo'!C$2:C$746,A221,'Base bordo'!B$2:B$746,B221,'Base bordo'!F$2:F$746,"CARREGAMENTO"),0)</f>
        <v>0</v>
      </c>
      <c r="H221" s="10">
        <f>IFERROR(SUMIFS('Base bordo'!G$2:G$746,'Base bordo'!C$2:C$746,A221,'Base bordo'!B$2:B$746,B221,'Base bordo'!F$2:F$746,"AGUARDANDO TRANSBORDO"),0)</f>
        <v>0.18527777777777779</v>
      </c>
      <c r="I221" s="10">
        <f>IFERROR(SUMIFS('Base bordo'!G$2:G$746,'Base bordo'!C$2:C$746,A221,'Base bordo'!B$2:B$746,B221,'Base bordo'!F$2:F$746,"PÁTIO INTERNO"),0)+IFERROR(SUMIFS('Base bordo'!G$2:G$746,'Base bordo'!C$2:C$746,A221,'Base bordo'!B$2:B$746,B221,'Base bordo'!F$2:F$746,"PÁTIO EXTERNO"),0)+IFERROR(SUMIFS('Base bordo'!G$2:G$746,'Base bordo'!C$2:C$746,A221,'Base bordo'!B$2:B$746,B221,'Base bordo'!F$2:F$746,"PATIO - RESERVA"),0)+IFERROR(SUMIFS('Base bordo'!G$2:G$746,'Base bordo'!C$2:C$746,A221,'Base bordo'!B$2:B$746,B221,'Base bordo'!F$2:F$746,"MANOBRA CARRETAS-PATIO"),0)</f>
        <v>10.403611111111111</v>
      </c>
      <c r="J221" s="10">
        <f>IFERROR(SUMIFS('Base bordo'!G$2:G$746,'Base bordo'!C$2:C$746,A221,'Base bordo'!B$2:B$746,B221,'Base bordo'!F$2:F$746,"BALANÇA - ENTRADA"),0)+IFERROR(SUMIFS('Base bordo'!G$2:G$746,'Base bordo'!C$2:C$746,A221,'Base bordo'!B$2:B$746,B221,'Base bordo'!F$2:F$746,"BALANÇA - SAÍDA"),0)</f>
        <v>5.8055555555555555E-2</v>
      </c>
      <c r="K221" s="10">
        <f>IFERROR(SUMIFS('Base bordo'!G$2:G$746,'Base bordo'!C$2:C$746,A221,'Base bordo'!B$2:B$746,B221,'Base bordo'!F$2:F$746,"MAN PREVENTIVA - MECANICA"),0)+IFERROR(SUMIFS('Base bordo'!G$2:G$746,'Base bordo'!C$2:C$746,A221,'Base bordo'!B$2:B$746,B221,'Base bordo'!F$2:F$746,"MAN CORRETIVA - MECANICA"),0)</f>
        <v>0</v>
      </c>
      <c r="L221" s="10">
        <f>IFERROR(SUMIFS('Base bordo'!G$2:G$746,'Base bordo'!C$2:C$746,A221,'Base bordo'!B$2:B$746,B221,'Base bordo'!F$2:F$746,"MANUTENCAO - T O"),0)+IFERROR(SUMIFS('Base bordo'!G$2:G$746,'Base bordo'!C$2:C$746,A221,'Base bordo'!B$2:B$746,B221,'Base bordo'!F$2:F$746,"MANUTENCAO BORRACHARIA"),0)+IFERROR(SUMIFS('Base bordo'!G$2:G$746,'Base bordo'!C$2:C$746,A221,'Base bordo'!B$2:B$746,B221,'Base bordo'!F$2:F$746,"MANUTENCAO EXTERNA  CONCESSIONARIA"),0)+IFERROR(SUMIFS('Base bordo'!G$2:G$746,'Base bordo'!C$2:C$746,A221,'Base bordo'!B$2:B$746,B221,'Base bordo'!F$2:F$746,"MANUTENCAO TELEMETRIA"),0)</f>
        <v>0</v>
      </c>
      <c r="M221" s="10">
        <f>IFERROR(SUMIFS('Base bordo'!G$2:G$746,'Base bordo'!C$2:C$746,A221,'Base bordo'!B$2:B$746,B221,'Base bordo'!F$2:F$746,"AGUARDANDO MANUTENCAO"),0)</f>
        <v>0</v>
      </c>
      <c r="N221" s="10">
        <f>IFERROR(SUMIFS('Base bordo'!G$2:G$746,'Base bordo'!C$2:C$746,A221,'Base bordo'!B$2:B$746,B221,'Base bordo'!F$2:F$746,"SEM APONTAMENTO"),0)</f>
        <v>0</v>
      </c>
      <c r="O221" s="10">
        <f t="shared" si="30"/>
        <v>3.5527136788005009E-15</v>
      </c>
      <c r="P221" s="10">
        <f>IFERROR(SUMIFS('Base bordo'!G$2:G$746,'Base bordo'!C$2:C$746,A221,'Base bordo'!B$2:B$746,B221),0)</f>
        <v>16.163611111111113</v>
      </c>
      <c r="Q221" s="10">
        <f>IFERROR(SUMIFS('Base bordo'!H$2:H$746,'Base bordo'!C$2:C$746,A221,'Base bordo'!B$2:B$746,B221,'Base bordo'!F$2:F$746,"DESLOCAMENTO VAZIO"),0)</f>
        <v>187793.3</v>
      </c>
      <c r="R221" s="10">
        <f>IFERROR(SUMIFS('Base bordo'!I$2:I$746,'Base bordo'!C$2:C$746,A221,'Base bordo'!B$2:B$746,B221,'Base bordo'!F$2:F$746,"DESLOCAMENTO VAZIO"),0)</f>
        <v>5759</v>
      </c>
      <c r="S221" s="30">
        <f t="shared" si="31"/>
        <v>32.608664698732419</v>
      </c>
      <c r="T221" s="10">
        <f>IFERROR(SUMIFS('Base bordo'!H$2:H$746,'Base bordo'!C$2:C$746,A221,'Base bordo'!B$2:B$746,B221,'Base bordo'!F$2:F$746,"DESLOCAMENTO CARREGADO"),0)</f>
        <v>380848.11</v>
      </c>
      <c r="U221" s="10">
        <f>IFERROR(SUMIFS('Base bordo'!I$2:I$746,'Base bordo'!C$2:C$746,A221,'Base bordo'!B$2:B$746,B221,'Base bordo'!F$2:F$746,"DESLOCAMENTO CARREGADO"),0)</f>
        <v>14101</v>
      </c>
      <c r="V221" s="30">
        <f t="shared" si="32"/>
        <v>27.008588752570738</v>
      </c>
      <c r="W221" s="9">
        <f t="shared" si="33"/>
        <v>9.8970595817078816E-2</v>
      </c>
      <c r="X221" s="9">
        <f t="shared" si="34"/>
        <v>0.24233102476413065</v>
      </c>
      <c r="Y221" s="9">
        <f t="shared" si="35"/>
        <v>0.6586983794187905</v>
      </c>
    </row>
    <row r="222" spans="1:25" ht="15" customHeight="1" x14ac:dyDescent="0.35">
      <c r="A222" s="52">
        <v>8013474</v>
      </c>
      <c r="B222" s="51">
        <v>46118</v>
      </c>
      <c r="C222" s="7" t="s">
        <v>124</v>
      </c>
      <c r="D222" s="10">
        <f>IFERROR(SUMIFS('Base bordo'!G$2:G$746,'Base bordo'!C$2:C$746,A222,'Base bordo'!B$2:B$746,B222,'Base bordo'!F$2:F$746,"DESLOCAMENTO VAZIO"),0)</f>
        <v>0.72111111111111115</v>
      </c>
      <c r="E222" s="10">
        <f>IFERROR(SUMIFS('Base bordo'!G$2:G$746,'Base bordo'!C$2:C$746,A222,'Base bordo'!B$2:B$746,B222,'Base bordo'!F$2:F$746,"DESLOCAMENTO CARREGADO"),0)</f>
        <v>0.97972222222222227</v>
      </c>
      <c r="F222" s="10">
        <f>IFERROR(SUMIFS('Base bordo'!G$2:G$746,'Base bordo'!C$2:C$746,A222,'Base bordo'!B$2:B$746,B222,'Base bordo'!F$2:F$746,"DESLOCAMENTO"),0)</f>
        <v>0</v>
      </c>
      <c r="G222" s="10">
        <f>IFERROR(SUMIFS('Base bordo'!G$2:G$746,'Base bordo'!C$2:C$746,A222,'Base bordo'!B$2:B$746,B222,'Base bordo'!F$2:F$746,"CARREGAMENTO"),0)</f>
        <v>0</v>
      </c>
      <c r="H222" s="10">
        <f>IFERROR(SUMIFS('Base bordo'!G$2:G$746,'Base bordo'!C$2:C$746,A222,'Base bordo'!B$2:B$746,B222,'Base bordo'!F$2:F$746,"AGUARDANDO TRANSBORDO"),0)</f>
        <v>0.20861111111111111</v>
      </c>
      <c r="I222" s="10">
        <f>IFERROR(SUMIFS('Base bordo'!G$2:G$746,'Base bordo'!C$2:C$746,A222,'Base bordo'!B$2:B$746,B222,'Base bordo'!F$2:F$746,"PÁTIO INTERNO"),0)+IFERROR(SUMIFS('Base bordo'!G$2:G$746,'Base bordo'!C$2:C$746,A222,'Base bordo'!B$2:B$746,B222,'Base bordo'!F$2:F$746,"PÁTIO EXTERNO"),0)+IFERROR(SUMIFS('Base bordo'!G$2:G$746,'Base bordo'!C$2:C$746,A222,'Base bordo'!B$2:B$746,B222,'Base bordo'!F$2:F$746,"PATIO - RESERVA"),0)+IFERROR(SUMIFS('Base bordo'!G$2:G$746,'Base bordo'!C$2:C$746,A222,'Base bordo'!B$2:B$746,B222,'Base bordo'!F$2:F$746,"MANOBRA CARRETAS-PATIO"),0)</f>
        <v>8.4474999999999998</v>
      </c>
      <c r="J222" s="10">
        <f>IFERROR(SUMIFS('Base bordo'!G$2:G$746,'Base bordo'!C$2:C$746,A222,'Base bordo'!B$2:B$746,B222,'Base bordo'!F$2:F$746,"BALANÇA - ENTRADA"),0)+IFERROR(SUMIFS('Base bordo'!G$2:G$746,'Base bordo'!C$2:C$746,A222,'Base bordo'!B$2:B$746,B222,'Base bordo'!F$2:F$746,"BALANÇA - SAÍDA"),0)</f>
        <v>6.3611111111111118E-2</v>
      </c>
      <c r="K222" s="10">
        <f>IFERROR(SUMIFS('Base bordo'!G$2:G$746,'Base bordo'!C$2:C$746,A222,'Base bordo'!B$2:B$746,B222,'Base bordo'!F$2:F$746,"MAN PREVENTIVA - MECANICA"),0)+IFERROR(SUMIFS('Base bordo'!G$2:G$746,'Base bordo'!C$2:C$746,A222,'Base bordo'!B$2:B$746,B222,'Base bordo'!F$2:F$746,"MAN CORRETIVA - MECANICA"),0)</f>
        <v>0</v>
      </c>
      <c r="L222" s="10">
        <f>IFERROR(SUMIFS('Base bordo'!G$2:G$746,'Base bordo'!C$2:C$746,A222,'Base bordo'!B$2:B$746,B222,'Base bordo'!F$2:F$746,"MANUTENCAO - T O"),0)+IFERROR(SUMIFS('Base bordo'!G$2:G$746,'Base bordo'!C$2:C$746,A222,'Base bordo'!B$2:B$746,B222,'Base bordo'!F$2:F$746,"MANUTENCAO BORRACHARIA"),0)+IFERROR(SUMIFS('Base bordo'!G$2:G$746,'Base bordo'!C$2:C$746,A222,'Base bordo'!B$2:B$746,B222,'Base bordo'!F$2:F$746,"MANUTENCAO EXTERNA  CONCESSIONARIA"),0)+IFERROR(SUMIFS('Base bordo'!G$2:G$746,'Base bordo'!C$2:C$746,A222,'Base bordo'!B$2:B$746,B222,'Base bordo'!F$2:F$746,"MANUTENCAO TELEMETRIA"),0)</f>
        <v>8.77</v>
      </c>
      <c r="M222" s="10">
        <f>IFERROR(SUMIFS('Base bordo'!G$2:G$746,'Base bordo'!C$2:C$746,A222,'Base bordo'!B$2:B$746,B222,'Base bordo'!F$2:F$746,"AGUARDANDO MANUTENCAO"),0)</f>
        <v>0</v>
      </c>
      <c r="N222" s="10">
        <f>IFERROR(SUMIFS('Base bordo'!G$2:G$746,'Base bordo'!C$2:C$746,A222,'Base bordo'!B$2:B$746,B222,'Base bordo'!F$2:F$746,"SEM APONTAMENTO"),0)</f>
        <v>0</v>
      </c>
      <c r="O222" s="10">
        <f t="shared" si="30"/>
        <v>0</v>
      </c>
      <c r="P222" s="10">
        <f>IFERROR(SUMIFS('Base bordo'!G$2:G$746,'Base bordo'!C$2:C$746,A222,'Base bordo'!B$2:B$746,B222),0)</f>
        <v>19.190555555555555</v>
      </c>
      <c r="Q222" s="10">
        <f>IFERROR(SUMIFS('Base bordo'!H$2:H$746,'Base bordo'!C$2:C$746,A222,'Base bordo'!B$2:B$746,B222,'Base bordo'!F$2:F$746,"DESLOCAMENTO VAZIO"),0)</f>
        <v>70252.17</v>
      </c>
      <c r="R222" s="10">
        <f>IFERROR(SUMIFS('Base bordo'!I$2:I$746,'Base bordo'!C$2:C$746,A222,'Base bordo'!B$2:B$746,B222,'Base bordo'!F$2:F$746,"DESLOCAMENTO VAZIO"),0)</f>
        <v>2596</v>
      </c>
      <c r="S222" s="30">
        <f t="shared" si="31"/>
        <v>27.061698767334359</v>
      </c>
      <c r="T222" s="10">
        <f>IFERROR(SUMIFS('Base bordo'!H$2:H$746,'Base bordo'!C$2:C$746,A222,'Base bordo'!B$2:B$746,B222,'Base bordo'!F$2:F$746,"DESLOCAMENTO CARREGADO"),0)</f>
        <v>68679.02</v>
      </c>
      <c r="U222" s="10">
        <f>IFERROR(SUMIFS('Base bordo'!I$2:I$746,'Base bordo'!C$2:C$746,A222,'Base bordo'!B$2:B$746,B222,'Base bordo'!F$2:F$746,"DESLOCAMENTO CARREGADO"),0)</f>
        <v>3527</v>
      </c>
      <c r="V222" s="30">
        <f t="shared" si="32"/>
        <v>19.472361780550045</v>
      </c>
      <c r="W222" s="9">
        <f t="shared" si="33"/>
        <v>3.7576354109370928E-2</v>
      </c>
      <c r="X222" s="9">
        <f t="shared" si="34"/>
        <v>5.1052311611614512E-2</v>
      </c>
      <c r="Y222" s="9">
        <f t="shared" si="35"/>
        <v>0.91137133427901451</v>
      </c>
    </row>
    <row r="223" spans="1:25" ht="15" customHeight="1" x14ac:dyDescent="0.35">
      <c r="A223" s="52">
        <v>8013462</v>
      </c>
      <c r="B223" s="51">
        <v>46122</v>
      </c>
      <c r="C223" s="7" t="s">
        <v>124</v>
      </c>
      <c r="D223" s="10">
        <f>IFERROR(SUMIFS('Base bordo'!G$2:G$746,'Base bordo'!C$2:C$746,A223,'Base bordo'!B$2:B$746,B223,'Base bordo'!F$2:F$746,"DESLOCAMENTO VAZIO"),0)</f>
        <v>0.12916666666666668</v>
      </c>
      <c r="E223" s="10">
        <f>IFERROR(SUMIFS('Base bordo'!G$2:G$746,'Base bordo'!C$2:C$746,A223,'Base bordo'!B$2:B$746,B223,'Base bordo'!F$2:F$746,"DESLOCAMENTO CARREGADO"),0)</f>
        <v>0</v>
      </c>
      <c r="F223" s="10">
        <f>IFERROR(SUMIFS('Base bordo'!G$2:G$746,'Base bordo'!C$2:C$746,A223,'Base bordo'!B$2:B$746,B223,'Base bordo'!F$2:F$746,"DESLOCAMENTO"),0)</f>
        <v>0</v>
      </c>
      <c r="G223" s="10">
        <f>IFERROR(SUMIFS('Base bordo'!G$2:G$746,'Base bordo'!C$2:C$746,A223,'Base bordo'!B$2:B$746,B223,'Base bordo'!F$2:F$746,"CARREGAMENTO"),0)</f>
        <v>0</v>
      </c>
      <c r="H223" s="10">
        <f>IFERROR(SUMIFS('Base bordo'!G$2:G$746,'Base bordo'!C$2:C$746,A223,'Base bordo'!B$2:B$746,B223,'Base bordo'!F$2:F$746,"AGUARDANDO TRANSBORDO"),0)</f>
        <v>0</v>
      </c>
      <c r="I223" s="10">
        <f>IFERROR(SUMIFS('Base bordo'!G$2:G$746,'Base bordo'!C$2:C$746,A223,'Base bordo'!B$2:B$746,B223,'Base bordo'!F$2:F$746,"PÁTIO INTERNO"),0)+IFERROR(SUMIFS('Base bordo'!G$2:G$746,'Base bordo'!C$2:C$746,A223,'Base bordo'!B$2:B$746,B223,'Base bordo'!F$2:F$746,"PÁTIO EXTERNO"),0)+IFERROR(SUMIFS('Base bordo'!G$2:G$746,'Base bordo'!C$2:C$746,A223,'Base bordo'!B$2:B$746,B223,'Base bordo'!F$2:F$746,"PATIO - RESERVA"),0)+IFERROR(SUMIFS('Base bordo'!G$2:G$746,'Base bordo'!C$2:C$746,A223,'Base bordo'!B$2:B$746,B223,'Base bordo'!F$2:F$746,"MANOBRA CARRETAS-PATIO"),0)</f>
        <v>0</v>
      </c>
      <c r="J223" s="10">
        <f>IFERROR(SUMIFS('Base bordo'!G$2:G$746,'Base bordo'!C$2:C$746,A223,'Base bordo'!B$2:B$746,B223,'Base bordo'!F$2:F$746,"BALANÇA - ENTRADA"),0)+IFERROR(SUMIFS('Base bordo'!G$2:G$746,'Base bordo'!C$2:C$746,A223,'Base bordo'!B$2:B$746,B223,'Base bordo'!F$2:F$746,"BALANÇA - SAÍDA"),0)</f>
        <v>0</v>
      </c>
      <c r="K223" s="10">
        <f>IFERROR(SUMIFS('Base bordo'!G$2:G$746,'Base bordo'!C$2:C$746,A223,'Base bordo'!B$2:B$746,B223,'Base bordo'!F$2:F$746,"MAN PREVENTIVA - MECANICA"),0)+IFERROR(SUMIFS('Base bordo'!G$2:G$746,'Base bordo'!C$2:C$746,A223,'Base bordo'!B$2:B$746,B223,'Base bordo'!F$2:F$746,"MAN CORRETIVA - MECANICA"),0)</f>
        <v>0</v>
      </c>
      <c r="L223" s="10">
        <f>IFERROR(SUMIFS('Base bordo'!G$2:G$746,'Base bordo'!C$2:C$746,A223,'Base bordo'!B$2:B$746,B223,'Base bordo'!F$2:F$746,"MANUTENCAO - T O"),0)+IFERROR(SUMIFS('Base bordo'!G$2:G$746,'Base bordo'!C$2:C$746,A223,'Base bordo'!B$2:B$746,B223,'Base bordo'!F$2:F$746,"MANUTENCAO BORRACHARIA"),0)+IFERROR(SUMIFS('Base bordo'!G$2:G$746,'Base bordo'!C$2:C$746,A223,'Base bordo'!B$2:B$746,B223,'Base bordo'!F$2:F$746,"MANUTENCAO EXTERNA  CONCESSIONARIA"),0)+IFERROR(SUMIFS('Base bordo'!G$2:G$746,'Base bordo'!C$2:C$746,A223,'Base bordo'!B$2:B$746,B223,'Base bordo'!F$2:F$746,"MANUTENCAO TELEMETRIA"),0)</f>
        <v>0</v>
      </c>
      <c r="M223" s="10">
        <f>IFERROR(SUMIFS('Base bordo'!G$2:G$746,'Base bordo'!C$2:C$746,A223,'Base bordo'!B$2:B$746,B223,'Base bordo'!F$2:F$746,"AGUARDANDO MANUTENCAO"),0)</f>
        <v>0</v>
      </c>
      <c r="N223" s="10">
        <f>IFERROR(SUMIFS('Base bordo'!G$2:G$746,'Base bordo'!C$2:C$746,A223,'Base bordo'!B$2:B$746,B223,'Base bordo'!F$2:F$746,"SEM APONTAMENTO"),0)</f>
        <v>0</v>
      </c>
      <c r="O223" s="10">
        <f t="shared" si="30"/>
        <v>0</v>
      </c>
      <c r="P223" s="10">
        <f>IFERROR(SUMIFS('Base bordo'!G$2:G$746,'Base bordo'!C$2:C$746,A223,'Base bordo'!B$2:B$746,B223),0)</f>
        <v>0.12916666666666668</v>
      </c>
      <c r="Q223" s="10">
        <f>IFERROR(SUMIFS('Base bordo'!H$2:H$746,'Base bordo'!C$2:C$746,A223,'Base bordo'!B$2:B$746,B223,'Base bordo'!F$2:F$746,"DESLOCAMENTO VAZIO"),0)</f>
        <v>8718.75</v>
      </c>
      <c r="R223" s="10">
        <f>IFERROR(SUMIFS('Base bordo'!I$2:I$746,'Base bordo'!C$2:C$746,A223,'Base bordo'!B$2:B$746,B223,'Base bordo'!F$2:F$746,"DESLOCAMENTO VAZIO"),0)</f>
        <v>465</v>
      </c>
      <c r="S223" s="30">
        <f t="shared" si="31"/>
        <v>18.75</v>
      </c>
      <c r="T223" s="10">
        <f>IFERROR(SUMIFS('Base bordo'!H$2:H$746,'Base bordo'!C$2:C$746,A223,'Base bordo'!B$2:B$746,B223,'Base bordo'!F$2:F$746,"DESLOCAMENTO CARREGADO"),0)</f>
        <v>0</v>
      </c>
      <c r="U223" s="10">
        <f>IFERROR(SUMIFS('Base bordo'!I$2:I$746,'Base bordo'!C$2:C$746,A223,'Base bordo'!B$2:B$746,B223,'Base bordo'!F$2:F$746,"DESLOCAMENTO CARREGADO"),0)</f>
        <v>0</v>
      </c>
      <c r="V223" s="30" t="str">
        <f t="shared" si="32"/>
        <v/>
      </c>
      <c r="W223" s="9">
        <f t="shared" si="33"/>
        <v>1</v>
      </c>
      <c r="X223" s="9">
        <f t="shared" si="34"/>
        <v>0</v>
      </c>
      <c r="Y223" s="9">
        <f t="shared" si="35"/>
        <v>0</v>
      </c>
    </row>
    <row r="224" spans="1:25" ht="15" customHeight="1" x14ac:dyDescent="0.35">
      <c r="A224" s="52">
        <v>8013483</v>
      </c>
      <c r="B224" s="51">
        <v>46118</v>
      </c>
      <c r="C224" s="7" t="s">
        <v>124</v>
      </c>
      <c r="D224" s="10">
        <f>IFERROR(SUMIFS('Base bordo'!G$2:G$746,'Base bordo'!C$2:C$746,A224,'Base bordo'!B$2:B$746,B224,'Base bordo'!F$2:F$746,"DESLOCAMENTO VAZIO"),0)</f>
        <v>2.4136111111111109</v>
      </c>
      <c r="E224" s="10">
        <f>IFERROR(SUMIFS('Base bordo'!G$2:G$746,'Base bordo'!C$2:C$746,A224,'Base bordo'!B$2:B$746,B224,'Base bordo'!F$2:F$746,"DESLOCAMENTO CARREGADO"),0)</f>
        <v>0.74972222222222218</v>
      </c>
      <c r="F224" s="10">
        <f>IFERROR(SUMIFS('Base bordo'!G$2:G$746,'Base bordo'!C$2:C$746,A224,'Base bordo'!B$2:B$746,B224,'Base bordo'!F$2:F$746,"DESLOCAMENTO"),0)</f>
        <v>0</v>
      </c>
      <c r="G224" s="10">
        <f>IFERROR(SUMIFS('Base bordo'!G$2:G$746,'Base bordo'!C$2:C$746,A224,'Base bordo'!B$2:B$746,B224,'Base bordo'!F$2:F$746,"CARREGAMENTO"),0)</f>
        <v>0</v>
      </c>
      <c r="H224" s="10">
        <f>IFERROR(SUMIFS('Base bordo'!G$2:G$746,'Base bordo'!C$2:C$746,A224,'Base bordo'!B$2:B$746,B224,'Base bordo'!F$2:F$746,"AGUARDANDO TRANSBORDO"),0)</f>
        <v>0.18666666666666668</v>
      </c>
      <c r="I224" s="10">
        <f>IFERROR(SUMIFS('Base bordo'!G$2:G$746,'Base bordo'!C$2:C$746,A224,'Base bordo'!B$2:B$746,B224,'Base bordo'!F$2:F$746,"PÁTIO INTERNO"),0)+IFERROR(SUMIFS('Base bordo'!G$2:G$746,'Base bordo'!C$2:C$746,A224,'Base bordo'!B$2:B$746,B224,'Base bordo'!F$2:F$746,"PÁTIO EXTERNO"),0)+IFERROR(SUMIFS('Base bordo'!G$2:G$746,'Base bordo'!C$2:C$746,A224,'Base bordo'!B$2:B$746,B224,'Base bordo'!F$2:F$746,"PATIO - RESERVA"),0)+IFERROR(SUMIFS('Base bordo'!G$2:G$746,'Base bordo'!C$2:C$746,A224,'Base bordo'!B$2:B$746,B224,'Base bordo'!F$2:F$746,"MANOBRA CARRETAS-PATIO"),0)</f>
        <v>11.716111111111111</v>
      </c>
      <c r="J224" s="10">
        <f>IFERROR(SUMIFS('Base bordo'!G$2:G$746,'Base bordo'!C$2:C$746,A224,'Base bordo'!B$2:B$746,B224,'Base bordo'!F$2:F$746,"BALANÇA - ENTRADA"),0)+IFERROR(SUMIFS('Base bordo'!G$2:G$746,'Base bordo'!C$2:C$746,A224,'Base bordo'!B$2:B$746,B224,'Base bordo'!F$2:F$746,"BALANÇA - SAÍDA"),0)</f>
        <v>4.7500000000000001E-2</v>
      </c>
      <c r="K224" s="10">
        <f>IFERROR(SUMIFS('Base bordo'!G$2:G$746,'Base bordo'!C$2:C$746,A224,'Base bordo'!B$2:B$746,B224,'Base bordo'!F$2:F$746,"MAN PREVENTIVA - MECANICA"),0)+IFERROR(SUMIFS('Base bordo'!G$2:G$746,'Base bordo'!C$2:C$746,A224,'Base bordo'!B$2:B$746,B224,'Base bordo'!F$2:F$746,"MAN CORRETIVA - MECANICA"),0)</f>
        <v>0</v>
      </c>
      <c r="L224" s="10">
        <f>IFERROR(SUMIFS('Base bordo'!G$2:G$746,'Base bordo'!C$2:C$746,A224,'Base bordo'!B$2:B$746,B224,'Base bordo'!F$2:F$746,"MANUTENCAO - T O"),0)+IFERROR(SUMIFS('Base bordo'!G$2:G$746,'Base bordo'!C$2:C$746,A224,'Base bordo'!B$2:B$746,B224,'Base bordo'!F$2:F$746,"MANUTENCAO BORRACHARIA"),0)+IFERROR(SUMIFS('Base bordo'!G$2:G$746,'Base bordo'!C$2:C$746,A224,'Base bordo'!B$2:B$746,B224,'Base bordo'!F$2:F$746,"MANUTENCAO EXTERNA  CONCESSIONARIA"),0)+IFERROR(SUMIFS('Base bordo'!G$2:G$746,'Base bordo'!C$2:C$746,A224,'Base bordo'!B$2:B$746,B224,'Base bordo'!F$2:F$746,"MANUTENCAO TELEMETRIA"),0)</f>
        <v>3.4908333333333332</v>
      </c>
      <c r="M224" s="10">
        <f>IFERROR(SUMIFS('Base bordo'!G$2:G$746,'Base bordo'!C$2:C$746,A224,'Base bordo'!B$2:B$746,B224,'Base bordo'!F$2:F$746,"AGUARDANDO MANUTENCAO"),0)</f>
        <v>0</v>
      </c>
      <c r="N224" s="10">
        <f>IFERROR(SUMIFS('Base bordo'!G$2:G$746,'Base bordo'!C$2:C$746,A224,'Base bordo'!B$2:B$746,B224,'Base bordo'!F$2:F$746,"SEM APONTAMENTO"),0)</f>
        <v>0</v>
      </c>
      <c r="O224" s="10">
        <f t="shared" si="30"/>
        <v>0</v>
      </c>
      <c r="P224" s="10">
        <f>IFERROR(SUMIFS('Base bordo'!G$2:G$746,'Base bordo'!C$2:C$746,A224,'Base bordo'!B$2:B$746,B224),0)</f>
        <v>18.604444444444443</v>
      </c>
      <c r="Q224" s="10">
        <f>IFERROR(SUMIFS('Base bordo'!H$2:H$746,'Base bordo'!C$2:C$746,A224,'Base bordo'!B$2:B$746,B224,'Base bordo'!F$2:F$746,"DESLOCAMENTO VAZIO"),0)</f>
        <v>164736.31</v>
      </c>
      <c r="R224" s="10">
        <f>IFERROR(SUMIFS('Base bordo'!I$2:I$746,'Base bordo'!C$2:C$746,A224,'Base bordo'!B$2:B$746,B224,'Base bordo'!F$2:F$746,"DESLOCAMENTO VAZIO"),0)</f>
        <v>8689</v>
      </c>
      <c r="S224" s="30">
        <f t="shared" si="31"/>
        <v>18.959179422258028</v>
      </c>
      <c r="T224" s="10">
        <f>IFERROR(SUMIFS('Base bordo'!H$2:H$746,'Base bordo'!C$2:C$746,A224,'Base bordo'!B$2:B$746,B224,'Base bordo'!F$2:F$746,"DESLOCAMENTO CARREGADO"),0)</f>
        <v>65187.479999999996</v>
      </c>
      <c r="U224" s="10">
        <f>IFERROR(SUMIFS('Base bordo'!I$2:I$746,'Base bordo'!C$2:C$746,A224,'Base bordo'!B$2:B$746,B224,'Base bordo'!F$2:F$746,"DESLOCAMENTO CARREGADO"),0)</f>
        <v>2699</v>
      </c>
      <c r="V224" s="30">
        <f t="shared" si="32"/>
        <v>24.152456465357538</v>
      </c>
      <c r="W224" s="9">
        <f t="shared" si="33"/>
        <v>0.12973303870043001</v>
      </c>
      <c r="X224" s="9">
        <f t="shared" si="34"/>
        <v>4.0298017200191112E-2</v>
      </c>
      <c r="Y224" s="9">
        <f t="shared" si="35"/>
        <v>0.82996894409937894</v>
      </c>
    </row>
    <row r="225" spans="1:25" ht="15" customHeight="1" x14ac:dyDescent="0.35">
      <c r="A225" s="52">
        <v>8013468</v>
      </c>
      <c r="B225" s="51">
        <v>46118</v>
      </c>
      <c r="C225" s="7" t="s">
        <v>124</v>
      </c>
      <c r="D225" s="10">
        <f>IFERROR(SUMIFS('Base bordo'!G$2:G$746,'Base bordo'!C$2:C$746,A225,'Base bordo'!B$2:B$746,B225,'Base bordo'!F$2:F$746,"DESLOCAMENTO VAZIO"),0)</f>
        <v>0.6841666666666667</v>
      </c>
      <c r="E225" s="10">
        <f>IFERROR(SUMIFS('Base bordo'!G$2:G$746,'Base bordo'!C$2:C$746,A225,'Base bordo'!B$2:B$746,B225,'Base bordo'!F$2:F$746,"DESLOCAMENTO CARREGADO"),0)</f>
        <v>1.9422222222222223</v>
      </c>
      <c r="F225" s="10">
        <f>IFERROR(SUMIFS('Base bordo'!G$2:G$746,'Base bordo'!C$2:C$746,A225,'Base bordo'!B$2:B$746,B225,'Base bordo'!F$2:F$746,"DESLOCAMENTO"),0)</f>
        <v>0</v>
      </c>
      <c r="G225" s="10">
        <f>IFERROR(SUMIFS('Base bordo'!G$2:G$746,'Base bordo'!C$2:C$746,A225,'Base bordo'!B$2:B$746,B225,'Base bordo'!F$2:F$746,"CARREGAMENTO"),0)</f>
        <v>1.653888888888889</v>
      </c>
      <c r="H225" s="10">
        <f>IFERROR(SUMIFS('Base bordo'!G$2:G$746,'Base bordo'!C$2:C$746,A225,'Base bordo'!B$2:B$746,B225,'Base bordo'!F$2:F$746,"AGUARDANDO TRANSBORDO"),0)</f>
        <v>7.9522222222222219</v>
      </c>
      <c r="I225" s="10">
        <f>IFERROR(SUMIFS('Base bordo'!G$2:G$746,'Base bordo'!C$2:C$746,A225,'Base bordo'!B$2:B$746,B225,'Base bordo'!F$2:F$746,"PÁTIO INTERNO"),0)+IFERROR(SUMIFS('Base bordo'!G$2:G$746,'Base bordo'!C$2:C$746,A225,'Base bordo'!B$2:B$746,B225,'Base bordo'!F$2:F$746,"PÁTIO EXTERNO"),0)+IFERROR(SUMIFS('Base bordo'!G$2:G$746,'Base bordo'!C$2:C$746,A225,'Base bordo'!B$2:B$746,B225,'Base bordo'!F$2:F$746,"PATIO - RESERVA"),0)+IFERROR(SUMIFS('Base bordo'!G$2:G$746,'Base bordo'!C$2:C$746,A225,'Base bordo'!B$2:B$746,B225,'Base bordo'!F$2:F$746,"MANOBRA CARRETAS-PATIO"),0)</f>
        <v>3.6688888888888886</v>
      </c>
      <c r="J225" s="10">
        <f>IFERROR(SUMIFS('Base bordo'!G$2:G$746,'Base bordo'!C$2:C$746,A225,'Base bordo'!B$2:B$746,B225,'Base bordo'!F$2:F$746,"BALANÇA - ENTRADA"),0)+IFERROR(SUMIFS('Base bordo'!G$2:G$746,'Base bordo'!C$2:C$746,A225,'Base bordo'!B$2:B$746,B225,'Base bordo'!F$2:F$746,"BALANÇA - SAÍDA"),0)</f>
        <v>0.11305555555555556</v>
      </c>
      <c r="K225" s="10">
        <f>IFERROR(SUMIFS('Base bordo'!G$2:G$746,'Base bordo'!C$2:C$746,A225,'Base bordo'!B$2:B$746,B225,'Base bordo'!F$2:F$746,"MAN PREVENTIVA - MECANICA"),0)+IFERROR(SUMIFS('Base bordo'!G$2:G$746,'Base bordo'!C$2:C$746,A225,'Base bordo'!B$2:B$746,B225,'Base bordo'!F$2:F$746,"MAN CORRETIVA - MECANICA"),0)</f>
        <v>0</v>
      </c>
      <c r="L225" s="10">
        <f>IFERROR(SUMIFS('Base bordo'!G$2:G$746,'Base bordo'!C$2:C$746,A225,'Base bordo'!B$2:B$746,B225,'Base bordo'!F$2:F$746,"MANUTENCAO - T O"),0)+IFERROR(SUMIFS('Base bordo'!G$2:G$746,'Base bordo'!C$2:C$746,A225,'Base bordo'!B$2:B$746,B225,'Base bordo'!F$2:F$746,"MANUTENCAO BORRACHARIA"),0)+IFERROR(SUMIFS('Base bordo'!G$2:G$746,'Base bordo'!C$2:C$746,A225,'Base bordo'!B$2:B$746,B225,'Base bordo'!F$2:F$746,"MANUTENCAO EXTERNA  CONCESSIONARIA"),0)+IFERROR(SUMIFS('Base bordo'!G$2:G$746,'Base bordo'!C$2:C$746,A225,'Base bordo'!B$2:B$746,B225,'Base bordo'!F$2:F$746,"MANUTENCAO TELEMETRIA"),0)</f>
        <v>0</v>
      </c>
      <c r="M225" s="10">
        <f>IFERROR(SUMIFS('Base bordo'!G$2:G$746,'Base bordo'!C$2:C$746,A225,'Base bordo'!B$2:B$746,B225,'Base bordo'!F$2:F$746,"AGUARDANDO MANUTENCAO"),0)</f>
        <v>2.0486111111111112</v>
      </c>
      <c r="N225" s="10">
        <f>IFERROR(SUMIFS('Base bordo'!G$2:G$746,'Base bordo'!C$2:C$746,A225,'Base bordo'!B$2:B$746,B225,'Base bordo'!F$2:F$746,"SEM APONTAMENTO"),0)</f>
        <v>0</v>
      </c>
      <c r="O225" s="10">
        <f t="shared" si="30"/>
        <v>5.9369444444444461</v>
      </c>
      <c r="P225" s="10">
        <f>IFERROR(SUMIFS('Base bordo'!G$2:G$746,'Base bordo'!C$2:C$746,A225,'Base bordo'!B$2:B$746,B225),0)</f>
        <v>24</v>
      </c>
      <c r="Q225" s="10">
        <f>IFERROR(SUMIFS('Base bordo'!H$2:H$746,'Base bordo'!C$2:C$746,A225,'Base bordo'!B$2:B$746,B225,'Base bordo'!F$2:F$746,"DESLOCAMENTO VAZIO"),0)</f>
        <v>33045.270000000004</v>
      </c>
      <c r="R225" s="10">
        <f>IFERROR(SUMIFS('Base bordo'!I$2:I$746,'Base bordo'!C$2:C$746,A225,'Base bordo'!B$2:B$746,B225,'Base bordo'!F$2:F$746,"DESLOCAMENTO VAZIO"),0)</f>
        <v>2463</v>
      </c>
      <c r="S225" s="30">
        <f t="shared" si="31"/>
        <v>13.416674786845313</v>
      </c>
      <c r="T225" s="10">
        <f>IFERROR(SUMIFS('Base bordo'!H$2:H$746,'Base bordo'!C$2:C$746,A225,'Base bordo'!B$2:B$746,B225,'Base bordo'!F$2:F$746,"DESLOCAMENTO CARREGADO"),0)</f>
        <v>213859.12</v>
      </c>
      <c r="U225" s="10">
        <f>IFERROR(SUMIFS('Base bordo'!I$2:I$746,'Base bordo'!C$2:C$746,A225,'Base bordo'!B$2:B$746,B225,'Base bordo'!F$2:F$746,"DESLOCAMENTO CARREGADO"),0)</f>
        <v>6992</v>
      </c>
      <c r="V225" s="30">
        <f t="shared" si="32"/>
        <v>30.586258581235697</v>
      </c>
      <c r="W225" s="9">
        <f t="shared" si="33"/>
        <v>2.8506944444444446E-2</v>
      </c>
      <c r="X225" s="9">
        <f t="shared" si="34"/>
        <v>8.0925925925925929E-2</v>
      </c>
      <c r="Y225" s="9">
        <f t="shared" si="35"/>
        <v>0.89056712962962958</v>
      </c>
    </row>
    <row r="226" spans="1:25" ht="15" customHeight="1" x14ac:dyDescent="0.35">
      <c r="A226" s="52">
        <v>8013475</v>
      </c>
      <c r="B226" s="51">
        <v>46118</v>
      </c>
      <c r="C226" s="7" t="s">
        <v>124</v>
      </c>
      <c r="D226" s="10">
        <f>IFERROR(SUMIFS('Base bordo'!G$2:G$746,'Base bordo'!C$2:C$746,A226,'Base bordo'!B$2:B$746,B226,'Base bordo'!F$2:F$746,"DESLOCAMENTO VAZIO"),0)</f>
        <v>1.6019444444444444</v>
      </c>
      <c r="E226" s="10">
        <f>IFERROR(SUMIFS('Base bordo'!G$2:G$746,'Base bordo'!C$2:C$746,A226,'Base bordo'!B$2:B$746,B226,'Base bordo'!F$2:F$746,"DESLOCAMENTO CARREGADO"),0)</f>
        <v>2.0350000000000001</v>
      </c>
      <c r="F226" s="10">
        <f>IFERROR(SUMIFS('Base bordo'!G$2:G$746,'Base bordo'!C$2:C$746,A226,'Base bordo'!B$2:B$746,B226,'Base bordo'!F$2:F$746,"DESLOCAMENTO"),0)</f>
        <v>1.1069444444444445</v>
      </c>
      <c r="G226" s="10">
        <f>IFERROR(SUMIFS('Base bordo'!G$2:G$746,'Base bordo'!C$2:C$746,A226,'Base bordo'!B$2:B$746,B226,'Base bordo'!F$2:F$746,"CARREGAMENTO"),0)</f>
        <v>0</v>
      </c>
      <c r="H226" s="10">
        <f>IFERROR(SUMIFS('Base bordo'!G$2:G$746,'Base bordo'!C$2:C$746,A226,'Base bordo'!B$2:B$746,B226,'Base bordo'!F$2:F$746,"AGUARDANDO TRANSBORDO"),0)</f>
        <v>0.62972222222222218</v>
      </c>
      <c r="I226" s="10">
        <f>IFERROR(SUMIFS('Base bordo'!G$2:G$746,'Base bordo'!C$2:C$746,A226,'Base bordo'!B$2:B$746,B226,'Base bordo'!F$2:F$746,"PÁTIO INTERNO"),0)+IFERROR(SUMIFS('Base bordo'!G$2:G$746,'Base bordo'!C$2:C$746,A226,'Base bordo'!B$2:B$746,B226,'Base bordo'!F$2:F$746,"PÁTIO EXTERNO"),0)+IFERROR(SUMIFS('Base bordo'!G$2:G$746,'Base bordo'!C$2:C$746,A226,'Base bordo'!B$2:B$746,B226,'Base bordo'!F$2:F$746,"PATIO - RESERVA"),0)+IFERROR(SUMIFS('Base bordo'!G$2:G$746,'Base bordo'!C$2:C$746,A226,'Base bordo'!B$2:B$746,B226,'Base bordo'!F$2:F$746,"MANOBRA CARRETAS-PATIO"),0)</f>
        <v>16.014166666666668</v>
      </c>
      <c r="J226" s="10">
        <f>IFERROR(SUMIFS('Base bordo'!G$2:G$746,'Base bordo'!C$2:C$746,A226,'Base bordo'!B$2:B$746,B226,'Base bordo'!F$2:F$746,"BALANÇA - ENTRADA"),0)+IFERROR(SUMIFS('Base bordo'!G$2:G$746,'Base bordo'!C$2:C$746,A226,'Base bordo'!B$2:B$746,B226,'Base bordo'!F$2:F$746,"BALANÇA - SAÍDA"),0)</f>
        <v>4.8333333333333332E-2</v>
      </c>
      <c r="K226" s="10">
        <f>IFERROR(SUMIFS('Base bordo'!G$2:G$746,'Base bordo'!C$2:C$746,A226,'Base bordo'!B$2:B$746,B226,'Base bordo'!F$2:F$746,"MAN PREVENTIVA - MECANICA"),0)+IFERROR(SUMIFS('Base bordo'!G$2:G$746,'Base bordo'!C$2:C$746,A226,'Base bordo'!B$2:B$746,B226,'Base bordo'!F$2:F$746,"MAN CORRETIVA - MECANICA"),0)</f>
        <v>0</v>
      </c>
      <c r="L226" s="10">
        <f>IFERROR(SUMIFS('Base bordo'!G$2:G$746,'Base bordo'!C$2:C$746,A226,'Base bordo'!B$2:B$746,B226,'Base bordo'!F$2:F$746,"MANUTENCAO - T O"),0)+IFERROR(SUMIFS('Base bordo'!G$2:G$746,'Base bordo'!C$2:C$746,A226,'Base bordo'!B$2:B$746,B226,'Base bordo'!F$2:F$746,"MANUTENCAO BORRACHARIA"),0)+IFERROR(SUMIFS('Base bordo'!G$2:G$746,'Base bordo'!C$2:C$746,A226,'Base bordo'!B$2:B$746,B226,'Base bordo'!F$2:F$746,"MANUTENCAO EXTERNA  CONCESSIONARIA"),0)+IFERROR(SUMIFS('Base bordo'!G$2:G$746,'Base bordo'!C$2:C$746,A226,'Base bordo'!B$2:B$746,B226,'Base bordo'!F$2:F$746,"MANUTENCAO TELEMETRIA"),0)</f>
        <v>1.9430555555555555</v>
      </c>
      <c r="M226" s="10">
        <f>IFERROR(SUMIFS('Base bordo'!G$2:G$746,'Base bordo'!C$2:C$746,A226,'Base bordo'!B$2:B$746,B226,'Base bordo'!F$2:F$746,"AGUARDANDO MANUTENCAO"),0)</f>
        <v>0</v>
      </c>
      <c r="N226" s="10">
        <f>IFERROR(SUMIFS('Base bordo'!G$2:G$746,'Base bordo'!C$2:C$746,A226,'Base bordo'!B$2:B$746,B226,'Base bordo'!F$2:F$746,"SEM APONTAMENTO"),0)</f>
        <v>0</v>
      </c>
      <c r="O226" s="10">
        <f t="shared" si="30"/>
        <v>3.5527136788005009E-15</v>
      </c>
      <c r="P226" s="10">
        <f>IFERROR(SUMIFS('Base bordo'!G$2:G$746,'Base bordo'!C$2:C$746,A226,'Base bordo'!B$2:B$746,B226),0)</f>
        <v>23.37916666666667</v>
      </c>
      <c r="Q226" s="10">
        <f>IFERROR(SUMIFS('Base bordo'!H$2:H$746,'Base bordo'!C$2:C$746,A226,'Base bordo'!B$2:B$746,B226,'Base bordo'!F$2:F$746,"DESLOCAMENTO VAZIO"),0)</f>
        <v>173822.73</v>
      </c>
      <c r="R226" s="10">
        <f>IFERROR(SUMIFS('Base bordo'!I$2:I$746,'Base bordo'!C$2:C$746,A226,'Base bordo'!B$2:B$746,B226,'Base bordo'!F$2:F$746,"DESLOCAMENTO VAZIO"),0)</f>
        <v>5767</v>
      </c>
      <c r="S226" s="30">
        <f t="shared" si="31"/>
        <v>30.140927692040925</v>
      </c>
      <c r="T226" s="10">
        <f>IFERROR(SUMIFS('Base bordo'!H$2:H$746,'Base bordo'!C$2:C$746,A226,'Base bordo'!B$2:B$746,B226,'Base bordo'!F$2:F$746,"DESLOCAMENTO CARREGADO"),0)</f>
        <v>172046.47</v>
      </c>
      <c r="U226" s="10">
        <f>IFERROR(SUMIFS('Base bordo'!I$2:I$746,'Base bordo'!C$2:C$746,A226,'Base bordo'!B$2:B$746,B226,'Base bordo'!F$2:F$746,"DESLOCAMENTO CARREGADO"),0)</f>
        <v>7326</v>
      </c>
      <c r="V226" s="30">
        <f t="shared" si="32"/>
        <v>23.484366639366641</v>
      </c>
      <c r="W226" s="9">
        <f t="shared" si="33"/>
        <v>6.8520168716212193E-2</v>
      </c>
      <c r="X226" s="9">
        <f t="shared" si="34"/>
        <v>8.7043307788273031E-2</v>
      </c>
      <c r="Y226" s="9">
        <f t="shared" si="35"/>
        <v>0.84443652349551479</v>
      </c>
    </row>
    <row r="227" spans="1:25" ht="15" customHeight="1" x14ac:dyDescent="0.35">
      <c r="A227" s="52">
        <v>8013469</v>
      </c>
      <c r="B227" s="51">
        <v>46124</v>
      </c>
      <c r="C227" s="7" t="s">
        <v>124</v>
      </c>
      <c r="D227" s="10">
        <f>IFERROR(SUMIFS('Base bordo'!G$2:G$746,'Base bordo'!C$2:C$746,A227,'Base bordo'!B$2:B$746,B227,'Base bordo'!F$2:F$746,"DESLOCAMENTO VAZIO"),0)</f>
        <v>2.4083333333333332</v>
      </c>
      <c r="E227" s="10">
        <f>IFERROR(SUMIFS('Base bordo'!G$2:G$746,'Base bordo'!C$2:C$746,A227,'Base bordo'!B$2:B$746,B227,'Base bordo'!F$2:F$746,"DESLOCAMENTO CARREGADO"),0)</f>
        <v>1.3047222222222221</v>
      </c>
      <c r="F227" s="10">
        <f>IFERROR(SUMIFS('Base bordo'!G$2:G$746,'Base bordo'!C$2:C$746,A227,'Base bordo'!B$2:B$746,B227,'Base bordo'!F$2:F$746,"DESLOCAMENTO"),0)</f>
        <v>0</v>
      </c>
      <c r="G227" s="10">
        <f>IFERROR(SUMIFS('Base bordo'!G$2:G$746,'Base bordo'!C$2:C$746,A227,'Base bordo'!B$2:B$746,B227,'Base bordo'!F$2:F$746,"CARREGAMENTO"),0)</f>
        <v>0</v>
      </c>
      <c r="H227" s="10">
        <f>IFERROR(SUMIFS('Base bordo'!G$2:G$746,'Base bordo'!C$2:C$746,A227,'Base bordo'!B$2:B$746,B227,'Base bordo'!F$2:F$746,"AGUARDANDO TRANSBORDO"),0)</f>
        <v>0</v>
      </c>
      <c r="I227" s="10">
        <f>IFERROR(SUMIFS('Base bordo'!G$2:G$746,'Base bordo'!C$2:C$746,A227,'Base bordo'!B$2:B$746,B227,'Base bordo'!F$2:F$746,"PÁTIO INTERNO"),0)+IFERROR(SUMIFS('Base bordo'!G$2:G$746,'Base bordo'!C$2:C$746,A227,'Base bordo'!B$2:B$746,B227,'Base bordo'!F$2:F$746,"PÁTIO EXTERNO"),0)+IFERROR(SUMIFS('Base bordo'!G$2:G$746,'Base bordo'!C$2:C$746,A227,'Base bordo'!B$2:B$746,B227,'Base bordo'!F$2:F$746,"PATIO - RESERVA"),0)+IFERROR(SUMIFS('Base bordo'!G$2:G$746,'Base bordo'!C$2:C$746,A227,'Base bordo'!B$2:B$746,B227,'Base bordo'!F$2:F$746,"MANOBRA CARRETAS-PATIO"),0)</f>
        <v>6.987222222222222</v>
      </c>
      <c r="J227" s="10">
        <f>IFERROR(SUMIFS('Base bordo'!G$2:G$746,'Base bordo'!C$2:C$746,A227,'Base bordo'!B$2:B$746,B227,'Base bordo'!F$2:F$746,"BALANÇA - ENTRADA"),0)+IFERROR(SUMIFS('Base bordo'!G$2:G$746,'Base bordo'!C$2:C$746,A227,'Base bordo'!B$2:B$746,B227,'Base bordo'!F$2:F$746,"BALANÇA - SAÍDA"),0)</f>
        <v>0.10888888888888888</v>
      </c>
      <c r="K227" s="10">
        <f>IFERROR(SUMIFS('Base bordo'!G$2:G$746,'Base bordo'!C$2:C$746,A227,'Base bordo'!B$2:B$746,B227,'Base bordo'!F$2:F$746,"MAN PREVENTIVA - MECANICA"),0)+IFERROR(SUMIFS('Base bordo'!G$2:G$746,'Base bordo'!C$2:C$746,A227,'Base bordo'!B$2:B$746,B227,'Base bordo'!F$2:F$746,"MAN CORRETIVA - MECANICA"),0)</f>
        <v>0</v>
      </c>
      <c r="L227" s="10">
        <f>IFERROR(SUMIFS('Base bordo'!G$2:G$746,'Base bordo'!C$2:C$746,A227,'Base bordo'!B$2:B$746,B227,'Base bordo'!F$2:F$746,"MANUTENCAO - T O"),0)+IFERROR(SUMIFS('Base bordo'!G$2:G$746,'Base bordo'!C$2:C$746,A227,'Base bordo'!B$2:B$746,B227,'Base bordo'!F$2:F$746,"MANUTENCAO BORRACHARIA"),0)+IFERROR(SUMIFS('Base bordo'!G$2:G$746,'Base bordo'!C$2:C$746,A227,'Base bordo'!B$2:B$746,B227,'Base bordo'!F$2:F$746,"MANUTENCAO EXTERNA  CONCESSIONARIA"),0)+IFERROR(SUMIFS('Base bordo'!G$2:G$746,'Base bordo'!C$2:C$746,A227,'Base bordo'!B$2:B$746,B227,'Base bordo'!F$2:F$746,"MANUTENCAO TELEMETRIA"),0)</f>
        <v>0</v>
      </c>
      <c r="M227" s="10">
        <f>IFERROR(SUMIFS('Base bordo'!G$2:G$746,'Base bordo'!C$2:C$746,A227,'Base bordo'!B$2:B$746,B227,'Base bordo'!F$2:F$746,"AGUARDANDO MANUTENCAO"),0)</f>
        <v>0</v>
      </c>
      <c r="N227" s="10">
        <f>IFERROR(SUMIFS('Base bordo'!G$2:G$746,'Base bordo'!C$2:C$746,A227,'Base bordo'!B$2:B$746,B227,'Base bordo'!F$2:F$746,"SEM APONTAMENTO"),0)</f>
        <v>0</v>
      </c>
      <c r="O227" s="10">
        <f t="shared" si="30"/>
        <v>1.7763568394002505E-15</v>
      </c>
      <c r="P227" s="10">
        <f>IFERROR(SUMIFS('Base bordo'!G$2:G$746,'Base bordo'!C$2:C$746,A227,'Base bordo'!B$2:B$746,B227),0)</f>
        <v>10.809166666666668</v>
      </c>
      <c r="Q227" s="10">
        <f>IFERROR(SUMIFS('Base bordo'!H$2:H$746,'Base bordo'!C$2:C$746,A227,'Base bordo'!B$2:B$746,B227,'Base bordo'!F$2:F$746,"DESLOCAMENTO VAZIO"),0)</f>
        <v>279312.71000000002</v>
      </c>
      <c r="R227" s="10">
        <f>IFERROR(SUMIFS('Base bordo'!I$2:I$746,'Base bordo'!C$2:C$746,A227,'Base bordo'!B$2:B$746,B227,'Base bordo'!F$2:F$746,"DESLOCAMENTO VAZIO"),0)</f>
        <v>8670</v>
      </c>
      <c r="S227" s="30">
        <f t="shared" si="31"/>
        <v>32.215998846597465</v>
      </c>
      <c r="T227" s="10">
        <f>IFERROR(SUMIFS('Base bordo'!H$2:H$746,'Base bordo'!C$2:C$746,A227,'Base bordo'!B$2:B$746,B227,'Base bordo'!F$2:F$746,"DESLOCAMENTO CARREGADO"),0)</f>
        <v>82241.990000000005</v>
      </c>
      <c r="U227" s="10">
        <f>IFERROR(SUMIFS('Base bordo'!I$2:I$746,'Base bordo'!C$2:C$746,A227,'Base bordo'!B$2:B$746,B227,'Base bordo'!F$2:F$746,"DESLOCAMENTO CARREGADO"),0)</f>
        <v>4697</v>
      </c>
      <c r="V227" s="30">
        <f t="shared" si="32"/>
        <v>17.50947200340643</v>
      </c>
      <c r="W227" s="9">
        <f t="shared" si="33"/>
        <v>0.22280471821756223</v>
      </c>
      <c r="X227" s="9">
        <f t="shared" si="34"/>
        <v>0.12070516279906456</v>
      </c>
      <c r="Y227" s="9">
        <f t="shared" si="35"/>
        <v>0.65649011898337317</v>
      </c>
    </row>
    <row r="228" spans="1:25" ht="15" customHeight="1" x14ac:dyDescent="0.35">
      <c r="A228" s="52">
        <v>8013486</v>
      </c>
      <c r="B228" s="51">
        <v>46124</v>
      </c>
      <c r="C228" s="7" t="s">
        <v>124</v>
      </c>
      <c r="D228" s="10">
        <f>IFERROR(SUMIFS('Base bordo'!G$2:G$746,'Base bordo'!C$2:C$746,A228,'Base bordo'!B$2:B$746,B228,'Base bordo'!F$2:F$746,"DESLOCAMENTO VAZIO"),0)</f>
        <v>1.6141666666666667</v>
      </c>
      <c r="E228" s="10">
        <f>IFERROR(SUMIFS('Base bordo'!G$2:G$746,'Base bordo'!C$2:C$746,A228,'Base bordo'!B$2:B$746,B228,'Base bordo'!F$2:F$746,"DESLOCAMENTO CARREGADO"),0)</f>
        <v>9.7500000000000003E-2</v>
      </c>
      <c r="F228" s="10">
        <f>IFERROR(SUMIFS('Base bordo'!G$2:G$746,'Base bordo'!C$2:C$746,A228,'Base bordo'!B$2:B$746,B228,'Base bordo'!F$2:F$746,"DESLOCAMENTO"),0)</f>
        <v>0</v>
      </c>
      <c r="G228" s="10">
        <f>IFERROR(SUMIFS('Base bordo'!G$2:G$746,'Base bordo'!C$2:C$746,A228,'Base bordo'!B$2:B$746,B228,'Base bordo'!F$2:F$746,"CARREGAMENTO"),0)</f>
        <v>0</v>
      </c>
      <c r="H228" s="10">
        <f>IFERROR(SUMIFS('Base bordo'!G$2:G$746,'Base bordo'!C$2:C$746,A228,'Base bordo'!B$2:B$746,B228,'Base bordo'!F$2:F$746,"AGUARDANDO TRANSBORDO"),0)</f>
        <v>0.10888888888888888</v>
      </c>
      <c r="I228" s="10">
        <f>IFERROR(SUMIFS('Base bordo'!G$2:G$746,'Base bordo'!C$2:C$746,A228,'Base bordo'!B$2:B$746,B228,'Base bordo'!F$2:F$746,"PÁTIO INTERNO"),0)+IFERROR(SUMIFS('Base bordo'!G$2:G$746,'Base bordo'!C$2:C$746,A228,'Base bordo'!B$2:B$746,B228,'Base bordo'!F$2:F$746,"PÁTIO EXTERNO"),0)+IFERROR(SUMIFS('Base bordo'!G$2:G$746,'Base bordo'!C$2:C$746,A228,'Base bordo'!B$2:B$746,B228,'Base bordo'!F$2:F$746,"PATIO - RESERVA"),0)+IFERROR(SUMIFS('Base bordo'!G$2:G$746,'Base bordo'!C$2:C$746,A228,'Base bordo'!B$2:B$746,B228,'Base bordo'!F$2:F$746,"MANOBRA CARRETAS-PATIO"),0)</f>
        <v>4.8677777777777784</v>
      </c>
      <c r="J228" s="10">
        <f>IFERROR(SUMIFS('Base bordo'!G$2:G$746,'Base bordo'!C$2:C$746,A228,'Base bordo'!B$2:B$746,B228,'Base bordo'!F$2:F$746,"BALANÇA - ENTRADA"),0)+IFERROR(SUMIFS('Base bordo'!G$2:G$746,'Base bordo'!C$2:C$746,A228,'Base bordo'!B$2:B$746,B228,'Base bordo'!F$2:F$746,"BALANÇA - SAÍDA"),0)</f>
        <v>0.14000000000000001</v>
      </c>
      <c r="K228" s="10">
        <f>IFERROR(SUMIFS('Base bordo'!G$2:G$746,'Base bordo'!C$2:C$746,A228,'Base bordo'!B$2:B$746,B228,'Base bordo'!F$2:F$746,"MAN PREVENTIVA - MECANICA"),0)+IFERROR(SUMIFS('Base bordo'!G$2:G$746,'Base bordo'!C$2:C$746,A228,'Base bordo'!B$2:B$746,B228,'Base bordo'!F$2:F$746,"MAN CORRETIVA - MECANICA"),0)</f>
        <v>0</v>
      </c>
      <c r="L228" s="10">
        <f>IFERROR(SUMIFS('Base bordo'!G$2:G$746,'Base bordo'!C$2:C$746,A228,'Base bordo'!B$2:B$746,B228,'Base bordo'!F$2:F$746,"MANUTENCAO - T O"),0)+IFERROR(SUMIFS('Base bordo'!G$2:G$746,'Base bordo'!C$2:C$746,A228,'Base bordo'!B$2:B$746,B228,'Base bordo'!F$2:F$746,"MANUTENCAO BORRACHARIA"),0)+IFERROR(SUMIFS('Base bordo'!G$2:G$746,'Base bordo'!C$2:C$746,A228,'Base bordo'!B$2:B$746,B228,'Base bordo'!F$2:F$746,"MANUTENCAO EXTERNA  CONCESSIONARIA"),0)+IFERROR(SUMIFS('Base bordo'!G$2:G$746,'Base bordo'!C$2:C$746,A228,'Base bordo'!B$2:B$746,B228,'Base bordo'!F$2:F$746,"MANUTENCAO TELEMETRIA"),0)</f>
        <v>0</v>
      </c>
      <c r="M228" s="10">
        <f>IFERROR(SUMIFS('Base bordo'!G$2:G$746,'Base bordo'!C$2:C$746,A228,'Base bordo'!B$2:B$746,B228,'Base bordo'!F$2:F$746,"AGUARDANDO MANUTENCAO"),0)</f>
        <v>0</v>
      </c>
      <c r="N228" s="10">
        <f>IFERROR(SUMIFS('Base bordo'!G$2:G$746,'Base bordo'!C$2:C$746,A228,'Base bordo'!B$2:B$746,B228,'Base bordo'!F$2:F$746,"SEM APONTAMENTO"),0)</f>
        <v>0</v>
      </c>
      <c r="O228" s="10">
        <f t="shared" si="30"/>
        <v>1.4722222222222747E-2</v>
      </c>
      <c r="P228" s="10">
        <f>IFERROR(SUMIFS('Base bordo'!G$2:G$746,'Base bordo'!C$2:C$746,A228,'Base bordo'!B$2:B$746,B228),0)</f>
        <v>6.8430555555555568</v>
      </c>
      <c r="Q228" s="10">
        <f>IFERROR(SUMIFS('Base bordo'!H$2:H$746,'Base bordo'!C$2:C$746,A228,'Base bordo'!B$2:B$746,B228,'Base bordo'!F$2:F$746,"DESLOCAMENTO VAZIO"),0)</f>
        <v>181720.6</v>
      </c>
      <c r="R228" s="10">
        <f>IFERROR(SUMIFS('Base bordo'!I$2:I$746,'Base bordo'!C$2:C$746,A228,'Base bordo'!B$2:B$746,B228,'Base bordo'!F$2:F$746,"DESLOCAMENTO VAZIO"),0)</f>
        <v>5811</v>
      </c>
      <c r="S228" s="30">
        <f t="shared" si="31"/>
        <v>31.271829289278955</v>
      </c>
      <c r="T228" s="10">
        <f>IFERROR(SUMIFS('Base bordo'!H$2:H$746,'Base bordo'!C$2:C$746,A228,'Base bordo'!B$2:B$746,B228,'Base bordo'!F$2:F$746,"DESLOCAMENTO CARREGADO"),0)</f>
        <v>2571.7599999999998</v>
      </c>
      <c r="U228" s="10">
        <f>IFERROR(SUMIFS('Base bordo'!I$2:I$746,'Base bordo'!C$2:C$746,A228,'Base bordo'!B$2:B$746,B228,'Base bordo'!F$2:F$746,"DESLOCAMENTO CARREGADO"),0)</f>
        <v>332</v>
      </c>
      <c r="V228" s="30">
        <f t="shared" si="32"/>
        <v>7.7462650602409635</v>
      </c>
      <c r="W228" s="9">
        <f t="shared" si="33"/>
        <v>0.23588390501319259</v>
      </c>
      <c r="X228" s="9">
        <f t="shared" si="34"/>
        <v>1.4248021108179418E-2</v>
      </c>
      <c r="Y228" s="9">
        <f t="shared" si="35"/>
        <v>0.74986807387862808</v>
      </c>
    </row>
    <row r="229" spans="1:25" ht="15" customHeight="1" x14ac:dyDescent="0.35">
      <c r="A229" s="52">
        <v>8013469</v>
      </c>
      <c r="B229" s="51">
        <v>46119</v>
      </c>
      <c r="C229" s="7" t="s">
        <v>124</v>
      </c>
      <c r="D229" s="10">
        <f>IFERROR(SUMIFS('Base bordo'!G$2:G$746,'Base bordo'!C$2:C$746,A229,'Base bordo'!B$2:B$746,B229,'Base bordo'!F$2:F$746,"DESLOCAMENTO VAZIO"),0)</f>
        <v>0.25611111111111112</v>
      </c>
      <c r="E229" s="10">
        <f>IFERROR(SUMIFS('Base bordo'!G$2:G$746,'Base bordo'!C$2:C$746,A229,'Base bordo'!B$2:B$746,B229,'Base bordo'!F$2:F$746,"DESLOCAMENTO CARREGADO"),0)</f>
        <v>1.7777777777777778E-2</v>
      </c>
      <c r="F229" s="10">
        <f>IFERROR(SUMIFS('Base bordo'!G$2:G$746,'Base bordo'!C$2:C$746,A229,'Base bordo'!B$2:B$746,B229,'Base bordo'!F$2:F$746,"DESLOCAMENTO"),0)</f>
        <v>0</v>
      </c>
      <c r="G229" s="10">
        <f>IFERROR(SUMIFS('Base bordo'!G$2:G$746,'Base bordo'!C$2:C$746,A229,'Base bordo'!B$2:B$746,B229,'Base bordo'!F$2:F$746,"CARREGAMENTO"),0)</f>
        <v>0</v>
      </c>
      <c r="H229" s="10">
        <f>IFERROR(SUMIFS('Base bordo'!G$2:G$746,'Base bordo'!C$2:C$746,A229,'Base bordo'!B$2:B$746,B229,'Base bordo'!F$2:F$746,"AGUARDANDO TRANSBORDO"),0)</f>
        <v>0</v>
      </c>
      <c r="I229" s="10">
        <f>IFERROR(SUMIFS('Base bordo'!G$2:G$746,'Base bordo'!C$2:C$746,A229,'Base bordo'!B$2:B$746,B229,'Base bordo'!F$2:F$746,"PÁTIO INTERNO"),0)+IFERROR(SUMIFS('Base bordo'!G$2:G$746,'Base bordo'!C$2:C$746,A229,'Base bordo'!B$2:B$746,B229,'Base bordo'!F$2:F$746,"PÁTIO EXTERNO"),0)+IFERROR(SUMIFS('Base bordo'!G$2:G$746,'Base bordo'!C$2:C$746,A229,'Base bordo'!B$2:B$746,B229,'Base bordo'!F$2:F$746,"PATIO - RESERVA"),0)+IFERROR(SUMIFS('Base bordo'!G$2:G$746,'Base bordo'!C$2:C$746,A229,'Base bordo'!B$2:B$746,B229,'Base bordo'!F$2:F$746,"MANOBRA CARRETAS-PATIO"),0)</f>
        <v>9.2025000000000006</v>
      </c>
      <c r="J229" s="10">
        <f>IFERROR(SUMIFS('Base bordo'!G$2:G$746,'Base bordo'!C$2:C$746,A229,'Base bordo'!B$2:B$746,B229,'Base bordo'!F$2:F$746,"BALANÇA - ENTRADA"),0)+IFERROR(SUMIFS('Base bordo'!G$2:G$746,'Base bordo'!C$2:C$746,A229,'Base bordo'!B$2:B$746,B229,'Base bordo'!F$2:F$746,"BALANÇA - SAÍDA"),0)</f>
        <v>5.3055555555555557E-2</v>
      </c>
      <c r="K229" s="10">
        <f>IFERROR(SUMIFS('Base bordo'!G$2:G$746,'Base bordo'!C$2:C$746,A229,'Base bordo'!B$2:B$746,B229,'Base bordo'!F$2:F$746,"MAN PREVENTIVA - MECANICA"),0)+IFERROR(SUMIFS('Base bordo'!G$2:G$746,'Base bordo'!C$2:C$746,A229,'Base bordo'!B$2:B$746,B229,'Base bordo'!F$2:F$746,"MAN CORRETIVA - MECANICA"),0)</f>
        <v>0</v>
      </c>
      <c r="L229" s="10">
        <f>IFERROR(SUMIFS('Base bordo'!G$2:G$746,'Base bordo'!C$2:C$746,A229,'Base bordo'!B$2:B$746,B229,'Base bordo'!F$2:F$746,"MANUTENCAO - T O"),0)+IFERROR(SUMIFS('Base bordo'!G$2:G$746,'Base bordo'!C$2:C$746,A229,'Base bordo'!B$2:B$746,B229,'Base bordo'!F$2:F$746,"MANUTENCAO BORRACHARIA"),0)+IFERROR(SUMIFS('Base bordo'!G$2:G$746,'Base bordo'!C$2:C$746,A229,'Base bordo'!B$2:B$746,B229,'Base bordo'!F$2:F$746,"MANUTENCAO EXTERNA  CONCESSIONARIA"),0)+IFERROR(SUMIFS('Base bordo'!G$2:G$746,'Base bordo'!C$2:C$746,A229,'Base bordo'!B$2:B$746,B229,'Base bordo'!F$2:F$746,"MANUTENCAO TELEMETRIA"),0)</f>
        <v>0</v>
      </c>
      <c r="M229" s="10">
        <f>IFERROR(SUMIFS('Base bordo'!G$2:G$746,'Base bordo'!C$2:C$746,A229,'Base bordo'!B$2:B$746,B229,'Base bordo'!F$2:F$746,"AGUARDANDO MANUTENCAO"),0)</f>
        <v>0</v>
      </c>
      <c r="N229" s="10">
        <f>IFERROR(SUMIFS('Base bordo'!G$2:G$746,'Base bordo'!C$2:C$746,A229,'Base bordo'!B$2:B$746,B229,'Base bordo'!F$2:F$746,"SEM APONTAMENTO"),0)</f>
        <v>0</v>
      </c>
      <c r="O229" s="10">
        <f t="shared" si="30"/>
        <v>-3.5527136788005009E-15</v>
      </c>
      <c r="P229" s="10">
        <f>IFERROR(SUMIFS('Base bordo'!G$2:G$746,'Base bordo'!C$2:C$746,A229,'Base bordo'!B$2:B$746,B229),0)</f>
        <v>9.5294444444444419</v>
      </c>
      <c r="Q229" s="10">
        <f>IFERROR(SUMIFS('Base bordo'!H$2:H$746,'Base bordo'!C$2:C$746,A229,'Base bordo'!B$2:B$746,B229,'Base bordo'!F$2:F$746,"DESLOCAMENTO VAZIO"),0)</f>
        <v>8165.6500000000015</v>
      </c>
      <c r="R229" s="10">
        <f>IFERROR(SUMIFS('Base bordo'!I$2:I$746,'Base bordo'!C$2:C$746,A229,'Base bordo'!B$2:B$746,B229,'Base bordo'!F$2:F$746,"DESLOCAMENTO VAZIO"),0)</f>
        <v>922</v>
      </c>
      <c r="S229" s="30">
        <f t="shared" si="31"/>
        <v>8.8564533622559676</v>
      </c>
      <c r="T229" s="10">
        <f>IFERROR(SUMIFS('Base bordo'!H$2:H$746,'Base bordo'!C$2:C$746,A229,'Base bordo'!B$2:B$746,B229,'Base bordo'!F$2:F$746,"DESLOCAMENTO CARREGADO"),0)</f>
        <v>245.12</v>
      </c>
      <c r="U229" s="10">
        <f>IFERROR(SUMIFS('Base bordo'!I$2:I$746,'Base bordo'!C$2:C$746,A229,'Base bordo'!B$2:B$746,B229,'Base bordo'!F$2:F$746,"DESLOCAMENTO CARREGADO"),0)</f>
        <v>64</v>
      </c>
      <c r="V229" s="30">
        <f t="shared" si="32"/>
        <v>3.83</v>
      </c>
      <c r="W229" s="9">
        <f t="shared" si="33"/>
        <v>2.6875765172273081E-2</v>
      </c>
      <c r="X229" s="9">
        <f t="shared" si="34"/>
        <v>1.8655628752987821E-3</v>
      </c>
      <c r="Y229" s="9">
        <f t="shared" si="35"/>
        <v>0.9712586719524281</v>
      </c>
    </row>
    <row r="230" spans="1:25" ht="15" customHeight="1" x14ac:dyDescent="0.35">
      <c r="A230" s="52">
        <v>8013470</v>
      </c>
      <c r="B230" s="51">
        <v>46124</v>
      </c>
      <c r="C230" s="7" t="s">
        <v>124</v>
      </c>
      <c r="D230" s="10">
        <f>IFERROR(SUMIFS('Base bordo'!G$2:G$746,'Base bordo'!C$2:C$746,A230,'Base bordo'!B$2:B$746,B230,'Base bordo'!F$2:F$746,"DESLOCAMENTO VAZIO"),0)</f>
        <v>2.2769444444444447</v>
      </c>
      <c r="E230" s="10">
        <f>IFERROR(SUMIFS('Base bordo'!G$2:G$746,'Base bordo'!C$2:C$746,A230,'Base bordo'!B$2:B$746,B230,'Base bordo'!F$2:F$746,"DESLOCAMENTO CARREGADO"),0)</f>
        <v>6.3111111111111109</v>
      </c>
      <c r="F230" s="10">
        <f>IFERROR(SUMIFS('Base bordo'!G$2:G$746,'Base bordo'!C$2:C$746,A230,'Base bordo'!B$2:B$746,B230,'Base bordo'!F$2:F$746,"DESLOCAMENTO"),0)</f>
        <v>0</v>
      </c>
      <c r="G230" s="10">
        <f>IFERROR(SUMIFS('Base bordo'!G$2:G$746,'Base bordo'!C$2:C$746,A230,'Base bordo'!B$2:B$746,B230,'Base bordo'!F$2:F$746,"CARREGAMENTO"),0)</f>
        <v>0</v>
      </c>
      <c r="H230" s="10">
        <f>IFERROR(SUMIFS('Base bordo'!G$2:G$746,'Base bordo'!C$2:C$746,A230,'Base bordo'!B$2:B$746,B230,'Base bordo'!F$2:F$746,"AGUARDANDO TRANSBORDO"),0)</f>
        <v>0.24416666666666667</v>
      </c>
      <c r="I230" s="10">
        <f>IFERROR(SUMIFS('Base bordo'!G$2:G$746,'Base bordo'!C$2:C$746,A230,'Base bordo'!B$2:B$746,B230,'Base bordo'!F$2:F$746,"PÁTIO INTERNO"),0)+IFERROR(SUMIFS('Base bordo'!G$2:G$746,'Base bordo'!C$2:C$746,A230,'Base bordo'!B$2:B$746,B230,'Base bordo'!F$2:F$746,"PÁTIO EXTERNO"),0)+IFERROR(SUMIFS('Base bordo'!G$2:G$746,'Base bordo'!C$2:C$746,A230,'Base bordo'!B$2:B$746,B230,'Base bordo'!F$2:F$746,"PATIO - RESERVA"),0)+IFERROR(SUMIFS('Base bordo'!G$2:G$746,'Base bordo'!C$2:C$746,A230,'Base bordo'!B$2:B$746,B230,'Base bordo'!F$2:F$746,"MANOBRA CARRETAS-PATIO"),0)</f>
        <v>3.2016666666666667</v>
      </c>
      <c r="J230" s="10">
        <f>IFERROR(SUMIFS('Base bordo'!G$2:G$746,'Base bordo'!C$2:C$746,A230,'Base bordo'!B$2:B$746,B230,'Base bordo'!F$2:F$746,"BALANÇA - ENTRADA"),0)+IFERROR(SUMIFS('Base bordo'!G$2:G$746,'Base bordo'!C$2:C$746,A230,'Base bordo'!B$2:B$746,B230,'Base bordo'!F$2:F$746,"BALANÇA - SAÍDA"),0)</f>
        <v>0.21722222222222221</v>
      </c>
      <c r="K230" s="10">
        <f>IFERROR(SUMIFS('Base bordo'!G$2:G$746,'Base bordo'!C$2:C$746,A230,'Base bordo'!B$2:B$746,B230,'Base bordo'!F$2:F$746,"MAN PREVENTIVA - MECANICA"),0)+IFERROR(SUMIFS('Base bordo'!G$2:G$746,'Base bordo'!C$2:C$746,A230,'Base bordo'!B$2:B$746,B230,'Base bordo'!F$2:F$746,"MAN CORRETIVA - MECANICA"),0)</f>
        <v>0</v>
      </c>
      <c r="L230" s="10">
        <f>IFERROR(SUMIFS('Base bordo'!G$2:G$746,'Base bordo'!C$2:C$746,A230,'Base bordo'!B$2:B$746,B230,'Base bordo'!F$2:F$746,"MANUTENCAO - T O"),0)+IFERROR(SUMIFS('Base bordo'!G$2:G$746,'Base bordo'!C$2:C$746,A230,'Base bordo'!B$2:B$746,B230,'Base bordo'!F$2:F$746,"MANUTENCAO BORRACHARIA"),0)+IFERROR(SUMIFS('Base bordo'!G$2:G$746,'Base bordo'!C$2:C$746,A230,'Base bordo'!B$2:B$746,B230,'Base bordo'!F$2:F$746,"MANUTENCAO EXTERNA  CONCESSIONARIA"),0)+IFERROR(SUMIFS('Base bordo'!G$2:G$746,'Base bordo'!C$2:C$746,A230,'Base bordo'!B$2:B$746,B230,'Base bordo'!F$2:F$746,"MANUTENCAO TELEMETRIA"),0)</f>
        <v>0</v>
      </c>
      <c r="M230" s="10">
        <f>IFERROR(SUMIFS('Base bordo'!G$2:G$746,'Base bordo'!C$2:C$746,A230,'Base bordo'!B$2:B$746,B230,'Base bordo'!F$2:F$746,"AGUARDANDO MANUTENCAO"),0)</f>
        <v>0</v>
      </c>
      <c r="N230" s="10">
        <f>IFERROR(SUMIFS('Base bordo'!G$2:G$746,'Base bordo'!C$2:C$746,A230,'Base bordo'!B$2:B$746,B230,'Base bordo'!F$2:F$746,"SEM APONTAMENTO"),0)</f>
        <v>0</v>
      </c>
      <c r="O230" s="10">
        <f t="shared" si="30"/>
        <v>6.3333333333332575E-2</v>
      </c>
      <c r="P230" s="10">
        <f>IFERROR(SUMIFS('Base bordo'!G$2:G$746,'Base bordo'!C$2:C$746,A230,'Base bordo'!B$2:B$746,B230),0)</f>
        <v>12.314444444444444</v>
      </c>
      <c r="Q230" s="10">
        <f>IFERROR(SUMIFS('Base bordo'!H$2:H$746,'Base bordo'!C$2:C$746,A230,'Base bordo'!B$2:B$746,B230,'Base bordo'!F$2:F$746,"DESLOCAMENTO VAZIO"),0)</f>
        <v>282969.98000000004</v>
      </c>
      <c r="R230" s="10">
        <f>IFERROR(SUMIFS('Base bordo'!I$2:I$746,'Base bordo'!C$2:C$746,A230,'Base bordo'!B$2:B$746,B230,'Base bordo'!F$2:F$746,"DESLOCAMENTO VAZIO"),0)</f>
        <v>8186</v>
      </c>
      <c r="S230" s="30">
        <f t="shared" si="31"/>
        <v>34.567551917908631</v>
      </c>
      <c r="T230" s="10">
        <f>IFERROR(SUMIFS('Base bordo'!H$2:H$746,'Base bordo'!C$2:C$746,A230,'Base bordo'!B$2:B$746,B230,'Base bordo'!F$2:F$746,"DESLOCAMENTO CARREGADO"),0)</f>
        <v>649243.22</v>
      </c>
      <c r="U230" s="10">
        <f>IFERROR(SUMIFS('Base bordo'!I$2:I$746,'Base bordo'!C$2:C$746,A230,'Base bordo'!B$2:B$746,B230,'Base bordo'!F$2:F$746,"DESLOCAMENTO CARREGADO"),0)</f>
        <v>22720</v>
      </c>
      <c r="V230" s="30">
        <f t="shared" si="32"/>
        <v>28.575845950704224</v>
      </c>
      <c r="W230" s="9">
        <f t="shared" si="33"/>
        <v>0.18490029775331593</v>
      </c>
      <c r="X230" s="9">
        <f t="shared" si="34"/>
        <v>0.51249661643959221</v>
      </c>
      <c r="Y230" s="9">
        <f t="shared" si="35"/>
        <v>0.30260308580709183</v>
      </c>
    </row>
    <row r="231" spans="1:25" ht="15" customHeight="1" x14ac:dyDescent="0.35">
      <c r="A231" s="52">
        <v>8013482</v>
      </c>
      <c r="B231" s="51">
        <v>46124</v>
      </c>
      <c r="C231" s="7" t="s">
        <v>124</v>
      </c>
      <c r="D231" s="10">
        <f>IFERROR(SUMIFS('Base bordo'!G$2:G$746,'Base bordo'!C$2:C$746,A231,'Base bordo'!B$2:B$746,B231,'Base bordo'!F$2:F$746,"DESLOCAMENTO VAZIO"),0)</f>
        <v>3.1158333333333332</v>
      </c>
      <c r="E231" s="10">
        <f>IFERROR(SUMIFS('Base bordo'!G$2:G$746,'Base bordo'!C$2:C$746,A231,'Base bordo'!B$2:B$746,B231,'Base bordo'!F$2:F$746,"DESLOCAMENTO CARREGADO"),0)</f>
        <v>4.7358333333333329</v>
      </c>
      <c r="F231" s="10">
        <f>IFERROR(SUMIFS('Base bordo'!G$2:G$746,'Base bordo'!C$2:C$746,A231,'Base bordo'!B$2:B$746,B231,'Base bordo'!F$2:F$746,"DESLOCAMENTO"),0)</f>
        <v>0</v>
      </c>
      <c r="G231" s="10">
        <f>IFERROR(SUMIFS('Base bordo'!G$2:G$746,'Base bordo'!C$2:C$746,A231,'Base bordo'!B$2:B$746,B231,'Base bordo'!F$2:F$746,"CARREGAMENTO"),0)</f>
        <v>0</v>
      </c>
      <c r="H231" s="10">
        <f>IFERROR(SUMIFS('Base bordo'!G$2:G$746,'Base bordo'!C$2:C$746,A231,'Base bordo'!B$2:B$746,B231,'Base bordo'!F$2:F$746,"AGUARDANDO TRANSBORDO"),0)</f>
        <v>0.68361111111111106</v>
      </c>
      <c r="I231" s="10">
        <f>IFERROR(SUMIFS('Base bordo'!G$2:G$746,'Base bordo'!C$2:C$746,A231,'Base bordo'!B$2:B$746,B231,'Base bordo'!F$2:F$746,"PÁTIO INTERNO"),0)+IFERROR(SUMIFS('Base bordo'!G$2:G$746,'Base bordo'!C$2:C$746,A231,'Base bordo'!B$2:B$746,B231,'Base bordo'!F$2:F$746,"PÁTIO EXTERNO"),0)+IFERROR(SUMIFS('Base bordo'!G$2:G$746,'Base bordo'!C$2:C$746,A231,'Base bordo'!B$2:B$746,B231,'Base bordo'!F$2:F$746,"PATIO - RESERVA"),0)+IFERROR(SUMIFS('Base bordo'!G$2:G$746,'Base bordo'!C$2:C$746,A231,'Base bordo'!B$2:B$746,B231,'Base bordo'!F$2:F$746,"MANOBRA CARRETAS-PATIO"),0)</f>
        <v>3.3277777777777775</v>
      </c>
      <c r="J231" s="10">
        <f>IFERROR(SUMIFS('Base bordo'!G$2:G$746,'Base bordo'!C$2:C$746,A231,'Base bordo'!B$2:B$746,B231,'Base bordo'!F$2:F$746,"BALANÇA - ENTRADA"),0)+IFERROR(SUMIFS('Base bordo'!G$2:G$746,'Base bordo'!C$2:C$746,A231,'Base bordo'!B$2:B$746,B231,'Base bordo'!F$2:F$746,"BALANÇA - SAÍDA"),0)</f>
        <v>0.1336111111111111</v>
      </c>
      <c r="K231" s="10">
        <f>IFERROR(SUMIFS('Base bordo'!G$2:G$746,'Base bordo'!C$2:C$746,A231,'Base bordo'!B$2:B$746,B231,'Base bordo'!F$2:F$746,"MAN PREVENTIVA - MECANICA"),0)+IFERROR(SUMIFS('Base bordo'!G$2:G$746,'Base bordo'!C$2:C$746,A231,'Base bordo'!B$2:B$746,B231,'Base bordo'!F$2:F$746,"MAN CORRETIVA - MECANICA"),0)</f>
        <v>0</v>
      </c>
      <c r="L231" s="10">
        <f>IFERROR(SUMIFS('Base bordo'!G$2:G$746,'Base bordo'!C$2:C$746,A231,'Base bordo'!B$2:B$746,B231,'Base bordo'!F$2:F$746,"MANUTENCAO - T O"),0)+IFERROR(SUMIFS('Base bordo'!G$2:G$746,'Base bordo'!C$2:C$746,A231,'Base bordo'!B$2:B$746,B231,'Base bordo'!F$2:F$746,"MANUTENCAO BORRACHARIA"),0)+IFERROR(SUMIFS('Base bordo'!G$2:G$746,'Base bordo'!C$2:C$746,A231,'Base bordo'!B$2:B$746,B231,'Base bordo'!F$2:F$746,"MANUTENCAO EXTERNA  CONCESSIONARIA"),0)+IFERROR(SUMIFS('Base bordo'!G$2:G$746,'Base bordo'!C$2:C$746,A231,'Base bordo'!B$2:B$746,B231,'Base bordo'!F$2:F$746,"MANUTENCAO TELEMETRIA"),0)</f>
        <v>0</v>
      </c>
      <c r="M231" s="10">
        <f>IFERROR(SUMIFS('Base bordo'!G$2:G$746,'Base bordo'!C$2:C$746,A231,'Base bordo'!B$2:B$746,B231,'Base bordo'!F$2:F$746,"AGUARDANDO MANUTENCAO"),0)</f>
        <v>0</v>
      </c>
      <c r="N231" s="10">
        <f>IFERROR(SUMIFS('Base bordo'!G$2:G$746,'Base bordo'!C$2:C$746,A231,'Base bordo'!B$2:B$746,B231,'Base bordo'!F$2:F$746,"SEM APONTAMENTO"),0)</f>
        <v>0</v>
      </c>
      <c r="O231" s="10">
        <f t="shared" si="30"/>
        <v>0</v>
      </c>
      <c r="P231" s="10">
        <f>IFERROR(SUMIFS('Base bordo'!G$2:G$746,'Base bordo'!C$2:C$746,A231,'Base bordo'!B$2:B$746,B231),0)</f>
        <v>11.996666666666666</v>
      </c>
      <c r="Q231" s="10">
        <f>IFERROR(SUMIFS('Base bordo'!H$2:H$746,'Base bordo'!C$2:C$746,A231,'Base bordo'!B$2:B$746,B231,'Base bordo'!F$2:F$746,"DESLOCAMENTO VAZIO"),0)</f>
        <v>368512.23</v>
      </c>
      <c r="R231" s="10">
        <f>IFERROR(SUMIFS('Base bordo'!I$2:I$746,'Base bordo'!C$2:C$746,A231,'Base bordo'!B$2:B$746,B231,'Base bordo'!F$2:F$746,"DESLOCAMENTO VAZIO"),0)</f>
        <v>11217</v>
      </c>
      <c r="S231" s="30">
        <f t="shared" si="31"/>
        <v>32.853011500401173</v>
      </c>
      <c r="T231" s="10">
        <f>IFERROR(SUMIFS('Base bordo'!H$2:H$746,'Base bordo'!C$2:C$746,A231,'Base bordo'!B$2:B$746,B231,'Base bordo'!F$2:F$746,"DESLOCAMENTO CARREGADO"),0)</f>
        <v>421365.02999999997</v>
      </c>
      <c r="U231" s="10">
        <f>IFERROR(SUMIFS('Base bordo'!I$2:I$746,'Base bordo'!C$2:C$746,A231,'Base bordo'!B$2:B$746,B231,'Base bordo'!F$2:F$746,"DESLOCAMENTO CARREGADO"),0)</f>
        <v>17049</v>
      </c>
      <c r="V231" s="30">
        <f t="shared" si="32"/>
        <v>24.714941052261128</v>
      </c>
      <c r="W231" s="9">
        <f t="shared" si="33"/>
        <v>0.25972492358988608</v>
      </c>
      <c r="X231" s="9">
        <f t="shared" si="34"/>
        <v>0.39476243400944705</v>
      </c>
      <c r="Y231" s="9">
        <f t="shared" si="35"/>
        <v>0.34551264240066681</v>
      </c>
    </row>
    <row r="232" spans="1:25" ht="15" customHeight="1" x14ac:dyDescent="0.35">
      <c r="A232" s="52">
        <v>8013462</v>
      </c>
      <c r="B232" s="51">
        <v>46117</v>
      </c>
      <c r="C232" s="7" t="s">
        <v>124</v>
      </c>
      <c r="D232" s="10">
        <f>IFERROR(SUMIFS('Base bordo'!G$2:G$746,'Base bordo'!C$2:C$746,A232,'Base bordo'!B$2:B$746,B232,'Base bordo'!F$2:F$746,"DESLOCAMENTO VAZIO"),0)</f>
        <v>1.3697222222222223</v>
      </c>
      <c r="E232" s="10">
        <f>IFERROR(SUMIFS('Base bordo'!G$2:G$746,'Base bordo'!C$2:C$746,A232,'Base bordo'!B$2:B$746,B232,'Base bordo'!F$2:F$746,"DESLOCAMENTO CARREGADO"),0)</f>
        <v>1.7716666666666667</v>
      </c>
      <c r="F232" s="10">
        <f>IFERROR(SUMIFS('Base bordo'!G$2:G$746,'Base bordo'!C$2:C$746,A232,'Base bordo'!B$2:B$746,B232,'Base bordo'!F$2:F$746,"DESLOCAMENTO"),0)</f>
        <v>1.0772222222222223</v>
      </c>
      <c r="G232" s="10">
        <f>IFERROR(SUMIFS('Base bordo'!G$2:G$746,'Base bordo'!C$2:C$746,A232,'Base bordo'!B$2:B$746,B232,'Base bordo'!F$2:F$746,"CARREGAMENTO"),0)</f>
        <v>0.32777777777777778</v>
      </c>
      <c r="H232" s="10">
        <f>IFERROR(SUMIFS('Base bordo'!G$2:G$746,'Base bordo'!C$2:C$746,A232,'Base bordo'!B$2:B$746,B232,'Base bordo'!F$2:F$746,"AGUARDANDO TRANSBORDO"),0)</f>
        <v>0.98277777777777775</v>
      </c>
      <c r="I232" s="10">
        <f>IFERROR(SUMIFS('Base bordo'!G$2:G$746,'Base bordo'!C$2:C$746,A232,'Base bordo'!B$2:B$746,B232,'Base bordo'!F$2:F$746,"PÁTIO INTERNO"),0)+IFERROR(SUMIFS('Base bordo'!G$2:G$746,'Base bordo'!C$2:C$746,A232,'Base bordo'!B$2:B$746,B232,'Base bordo'!F$2:F$746,"PÁTIO EXTERNO"),0)+IFERROR(SUMIFS('Base bordo'!G$2:G$746,'Base bordo'!C$2:C$746,A232,'Base bordo'!B$2:B$746,B232,'Base bordo'!F$2:F$746,"PATIO - RESERVA"),0)+IFERROR(SUMIFS('Base bordo'!G$2:G$746,'Base bordo'!C$2:C$746,A232,'Base bordo'!B$2:B$746,B232,'Base bordo'!F$2:F$746,"MANOBRA CARRETAS-PATIO"),0)</f>
        <v>0</v>
      </c>
      <c r="J232" s="10">
        <f>IFERROR(SUMIFS('Base bordo'!G$2:G$746,'Base bordo'!C$2:C$746,A232,'Base bordo'!B$2:B$746,B232,'Base bordo'!F$2:F$746,"BALANÇA - ENTRADA"),0)+IFERROR(SUMIFS('Base bordo'!G$2:G$746,'Base bordo'!C$2:C$746,A232,'Base bordo'!B$2:B$746,B232,'Base bordo'!F$2:F$746,"BALANÇA - SAÍDA"),0)</f>
        <v>0</v>
      </c>
      <c r="K232" s="10">
        <f>IFERROR(SUMIFS('Base bordo'!G$2:G$746,'Base bordo'!C$2:C$746,A232,'Base bordo'!B$2:B$746,B232,'Base bordo'!F$2:F$746,"MAN PREVENTIVA - MECANICA"),0)+IFERROR(SUMIFS('Base bordo'!G$2:G$746,'Base bordo'!C$2:C$746,A232,'Base bordo'!B$2:B$746,B232,'Base bordo'!F$2:F$746,"MAN CORRETIVA - MECANICA"),0)</f>
        <v>4.6944444444444441E-2</v>
      </c>
      <c r="L232" s="10">
        <f>IFERROR(SUMIFS('Base bordo'!G$2:G$746,'Base bordo'!C$2:C$746,A232,'Base bordo'!B$2:B$746,B232,'Base bordo'!F$2:F$746,"MANUTENCAO - T O"),0)+IFERROR(SUMIFS('Base bordo'!G$2:G$746,'Base bordo'!C$2:C$746,A232,'Base bordo'!B$2:B$746,B232,'Base bordo'!F$2:F$746,"MANUTENCAO BORRACHARIA"),0)+IFERROR(SUMIFS('Base bordo'!G$2:G$746,'Base bordo'!C$2:C$746,A232,'Base bordo'!B$2:B$746,B232,'Base bordo'!F$2:F$746,"MANUTENCAO EXTERNA  CONCESSIONARIA"),0)+IFERROR(SUMIFS('Base bordo'!G$2:G$746,'Base bordo'!C$2:C$746,A232,'Base bordo'!B$2:B$746,B232,'Base bordo'!F$2:F$746,"MANUTENCAO TELEMETRIA"),0)</f>
        <v>4.0702777777777781</v>
      </c>
      <c r="M232" s="10">
        <f>IFERROR(SUMIFS('Base bordo'!G$2:G$746,'Base bordo'!C$2:C$746,A232,'Base bordo'!B$2:B$746,B232,'Base bordo'!F$2:F$746,"AGUARDANDO MANUTENCAO"),0)</f>
        <v>0</v>
      </c>
      <c r="N232" s="10">
        <f>IFERROR(SUMIFS('Base bordo'!G$2:G$746,'Base bordo'!C$2:C$746,A232,'Base bordo'!B$2:B$746,B232,'Base bordo'!F$2:F$746,"SEM APONTAMENTO"),0)</f>
        <v>0</v>
      </c>
      <c r="O232" s="10">
        <f t="shared" si="30"/>
        <v>2.6524999999999981</v>
      </c>
      <c r="P232" s="10">
        <f>IFERROR(SUMIFS('Base bordo'!G$2:G$746,'Base bordo'!C$2:C$746,A232,'Base bordo'!B$2:B$746,B232),0)</f>
        <v>12.298888888888888</v>
      </c>
      <c r="Q232" s="10">
        <f>IFERROR(SUMIFS('Base bordo'!H$2:H$746,'Base bordo'!C$2:C$746,A232,'Base bordo'!B$2:B$746,B232,'Base bordo'!F$2:F$746,"DESLOCAMENTO VAZIO"),0)</f>
        <v>96755.57</v>
      </c>
      <c r="R232" s="10">
        <f>IFERROR(SUMIFS('Base bordo'!I$2:I$746,'Base bordo'!C$2:C$746,A232,'Base bordo'!B$2:B$746,B232,'Base bordo'!F$2:F$746,"DESLOCAMENTO VAZIO"),0)</f>
        <v>4931</v>
      </c>
      <c r="S232" s="30">
        <f t="shared" si="31"/>
        <v>19.621896167106065</v>
      </c>
      <c r="T232" s="10">
        <f>IFERROR(SUMIFS('Base bordo'!H$2:H$746,'Base bordo'!C$2:C$746,A232,'Base bordo'!B$2:B$746,B232,'Base bordo'!F$2:F$746,"DESLOCAMENTO CARREGADO"),0)</f>
        <v>170850.02000000002</v>
      </c>
      <c r="U232" s="10">
        <f>IFERROR(SUMIFS('Base bordo'!I$2:I$746,'Base bordo'!C$2:C$746,A232,'Base bordo'!B$2:B$746,B232,'Base bordo'!F$2:F$746,"DESLOCAMENTO CARREGADO"),0)</f>
        <v>6378</v>
      </c>
      <c r="V232" s="30">
        <f t="shared" si="32"/>
        <v>26.787397303229856</v>
      </c>
      <c r="W232" s="9">
        <f t="shared" si="33"/>
        <v>0.1113695907489385</v>
      </c>
      <c r="X232" s="9">
        <f t="shared" si="34"/>
        <v>0.14405095311229563</v>
      </c>
      <c r="Y232" s="9">
        <f t="shared" si="35"/>
        <v>0.74457945613876597</v>
      </c>
    </row>
    <row r="233" spans="1:25" ht="15" customHeight="1" x14ac:dyDescent="0.35">
      <c r="A233" s="52">
        <v>8013484</v>
      </c>
      <c r="B233" s="51">
        <v>46118</v>
      </c>
      <c r="C233" s="7" t="s">
        <v>124</v>
      </c>
      <c r="D233" s="10">
        <f>IFERROR(SUMIFS('Base bordo'!G$2:G$746,'Base bordo'!C$2:C$746,A233,'Base bordo'!B$2:B$746,B233,'Base bordo'!F$2:F$746,"DESLOCAMENTO VAZIO"),0)</f>
        <v>0.14777777777777779</v>
      </c>
      <c r="E233" s="10">
        <f>IFERROR(SUMIFS('Base bordo'!G$2:G$746,'Base bordo'!C$2:C$746,A233,'Base bordo'!B$2:B$746,B233,'Base bordo'!F$2:F$746,"DESLOCAMENTO CARREGADO"),0)</f>
        <v>3.3405555555555555</v>
      </c>
      <c r="F233" s="10">
        <f>IFERROR(SUMIFS('Base bordo'!G$2:G$746,'Base bordo'!C$2:C$746,A233,'Base bordo'!B$2:B$746,B233,'Base bordo'!F$2:F$746,"DESLOCAMENTO"),0)</f>
        <v>0</v>
      </c>
      <c r="G233" s="10">
        <f>IFERROR(SUMIFS('Base bordo'!G$2:G$746,'Base bordo'!C$2:C$746,A233,'Base bordo'!B$2:B$746,B233,'Base bordo'!F$2:F$746,"CARREGAMENTO"),0)</f>
        <v>0</v>
      </c>
      <c r="H233" s="10">
        <f>IFERROR(SUMIFS('Base bordo'!G$2:G$746,'Base bordo'!C$2:C$746,A233,'Base bordo'!B$2:B$746,B233,'Base bordo'!F$2:F$746,"AGUARDANDO TRANSBORDO"),0)</f>
        <v>0</v>
      </c>
      <c r="I233" s="10">
        <f>IFERROR(SUMIFS('Base bordo'!G$2:G$746,'Base bordo'!C$2:C$746,A233,'Base bordo'!B$2:B$746,B233,'Base bordo'!F$2:F$746,"PÁTIO INTERNO"),0)+IFERROR(SUMIFS('Base bordo'!G$2:G$746,'Base bordo'!C$2:C$746,A233,'Base bordo'!B$2:B$746,B233,'Base bordo'!F$2:F$746,"PÁTIO EXTERNO"),0)+IFERROR(SUMIFS('Base bordo'!G$2:G$746,'Base bordo'!C$2:C$746,A233,'Base bordo'!B$2:B$746,B233,'Base bordo'!F$2:F$746,"PATIO - RESERVA"),0)+IFERROR(SUMIFS('Base bordo'!G$2:G$746,'Base bordo'!C$2:C$746,A233,'Base bordo'!B$2:B$746,B233,'Base bordo'!F$2:F$746,"MANOBRA CARRETAS-PATIO"),0)</f>
        <v>6.0491666666666664</v>
      </c>
      <c r="J233" s="10">
        <f>IFERROR(SUMIFS('Base bordo'!G$2:G$746,'Base bordo'!C$2:C$746,A233,'Base bordo'!B$2:B$746,B233,'Base bordo'!F$2:F$746,"BALANÇA - ENTRADA"),0)+IFERROR(SUMIFS('Base bordo'!G$2:G$746,'Base bordo'!C$2:C$746,A233,'Base bordo'!B$2:B$746,B233,'Base bordo'!F$2:F$746,"BALANÇA - SAÍDA"),0)</f>
        <v>4.1944444444444444E-2</v>
      </c>
      <c r="K233" s="10">
        <f>IFERROR(SUMIFS('Base bordo'!G$2:G$746,'Base bordo'!C$2:C$746,A233,'Base bordo'!B$2:B$746,B233,'Base bordo'!F$2:F$746,"MAN PREVENTIVA - MECANICA"),0)+IFERROR(SUMIFS('Base bordo'!G$2:G$746,'Base bordo'!C$2:C$746,A233,'Base bordo'!B$2:B$746,B233,'Base bordo'!F$2:F$746,"MAN CORRETIVA - MECANICA"),0)</f>
        <v>0</v>
      </c>
      <c r="L233" s="10">
        <f>IFERROR(SUMIFS('Base bordo'!G$2:G$746,'Base bordo'!C$2:C$746,A233,'Base bordo'!B$2:B$746,B233,'Base bordo'!F$2:F$746,"MANUTENCAO - T O"),0)+IFERROR(SUMIFS('Base bordo'!G$2:G$746,'Base bordo'!C$2:C$746,A233,'Base bordo'!B$2:B$746,B233,'Base bordo'!F$2:F$746,"MANUTENCAO BORRACHARIA"),0)+IFERROR(SUMIFS('Base bordo'!G$2:G$746,'Base bordo'!C$2:C$746,A233,'Base bordo'!B$2:B$746,B233,'Base bordo'!F$2:F$746,"MANUTENCAO EXTERNA  CONCESSIONARIA"),0)+IFERROR(SUMIFS('Base bordo'!G$2:G$746,'Base bordo'!C$2:C$746,A233,'Base bordo'!B$2:B$746,B233,'Base bordo'!F$2:F$746,"MANUTENCAO TELEMETRIA"),0)</f>
        <v>0</v>
      </c>
      <c r="M233" s="10">
        <f>IFERROR(SUMIFS('Base bordo'!G$2:G$746,'Base bordo'!C$2:C$746,A233,'Base bordo'!B$2:B$746,B233,'Base bordo'!F$2:F$746,"AGUARDANDO MANUTENCAO"),0)</f>
        <v>0</v>
      </c>
      <c r="N233" s="10">
        <f>IFERROR(SUMIFS('Base bordo'!G$2:G$746,'Base bordo'!C$2:C$746,A233,'Base bordo'!B$2:B$746,B233,'Base bordo'!F$2:F$746,"SEM APONTAMENTO"),0)</f>
        <v>0</v>
      </c>
      <c r="O233" s="10">
        <f t="shared" si="30"/>
        <v>0</v>
      </c>
      <c r="P233" s="10">
        <f>IFERROR(SUMIFS('Base bordo'!G$2:G$746,'Base bordo'!C$2:C$746,A233,'Base bordo'!B$2:B$746,B233),0)</f>
        <v>9.5794444444444444</v>
      </c>
      <c r="Q233" s="10">
        <f>IFERROR(SUMIFS('Base bordo'!H$2:H$746,'Base bordo'!C$2:C$746,A233,'Base bordo'!B$2:B$746,B233,'Base bordo'!F$2:F$746,"DESLOCAMENTO VAZIO"),0)</f>
        <v>4979.08</v>
      </c>
      <c r="R233" s="10">
        <f>IFERROR(SUMIFS('Base bordo'!I$2:I$746,'Base bordo'!C$2:C$746,A233,'Base bordo'!B$2:B$746,B233,'Base bordo'!F$2:F$746,"DESLOCAMENTO VAZIO"),0)</f>
        <v>532</v>
      </c>
      <c r="S233" s="30">
        <f t="shared" si="31"/>
        <v>9.3591729323308268</v>
      </c>
      <c r="T233" s="10">
        <f>IFERROR(SUMIFS('Base bordo'!H$2:H$746,'Base bordo'!C$2:C$746,A233,'Base bordo'!B$2:B$746,B233,'Base bordo'!F$2:F$746,"DESLOCAMENTO CARREGADO"),0)</f>
        <v>214024.57</v>
      </c>
      <c r="U233" s="10">
        <f>IFERROR(SUMIFS('Base bordo'!I$2:I$746,'Base bordo'!C$2:C$746,A233,'Base bordo'!B$2:B$746,B233,'Base bordo'!F$2:F$746,"DESLOCAMENTO CARREGADO"),0)</f>
        <v>12026</v>
      </c>
      <c r="V233" s="30">
        <f t="shared" si="32"/>
        <v>17.796821054382171</v>
      </c>
      <c r="W233" s="9">
        <f t="shared" si="33"/>
        <v>1.5426549904308995E-2</v>
      </c>
      <c r="X233" s="9">
        <f t="shared" si="34"/>
        <v>0.34872122020530072</v>
      </c>
      <c r="Y233" s="9">
        <f t="shared" si="35"/>
        <v>0.63585222989039036</v>
      </c>
    </row>
    <row r="234" spans="1:25" ht="15" customHeight="1" x14ac:dyDescent="0.35">
      <c r="A234" s="52">
        <v>8013486</v>
      </c>
      <c r="B234" s="51">
        <v>46119</v>
      </c>
      <c r="C234" s="7" t="s">
        <v>124</v>
      </c>
      <c r="D234" s="10">
        <f>IFERROR(SUMIFS('Base bordo'!G$2:G$746,'Base bordo'!C$2:C$746,A234,'Base bordo'!B$2:B$746,B234,'Base bordo'!F$2:F$746,"DESLOCAMENTO VAZIO"),0)</f>
        <v>0.33</v>
      </c>
      <c r="E234" s="10">
        <f>IFERROR(SUMIFS('Base bordo'!G$2:G$746,'Base bordo'!C$2:C$746,A234,'Base bordo'!B$2:B$746,B234,'Base bordo'!F$2:F$746,"DESLOCAMENTO CARREGADO"),0)</f>
        <v>0</v>
      </c>
      <c r="F234" s="10">
        <f>IFERROR(SUMIFS('Base bordo'!G$2:G$746,'Base bordo'!C$2:C$746,A234,'Base bordo'!B$2:B$746,B234,'Base bordo'!F$2:F$746,"DESLOCAMENTO"),0)</f>
        <v>0</v>
      </c>
      <c r="G234" s="10">
        <f>IFERROR(SUMIFS('Base bordo'!G$2:G$746,'Base bordo'!C$2:C$746,A234,'Base bordo'!B$2:B$746,B234,'Base bordo'!F$2:F$746,"CARREGAMENTO"),0)</f>
        <v>0</v>
      </c>
      <c r="H234" s="10">
        <f>IFERROR(SUMIFS('Base bordo'!G$2:G$746,'Base bordo'!C$2:C$746,A234,'Base bordo'!B$2:B$746,B234,'Base bordo'!F$2:F$746,"AGUARDANDO TRANSBORDO"),0)</f>
        <v>8.666666666666667E-2</v>
      </c>
      <c r="I234" s="10">
        <f>IFERROR(SUMIFS('Base bordo'!G$2:G$746,'Base bordo'!C$2:C$746,A234,'Base bordo'!B$2:B$746,B234,'Base bordo'!F$2:F$746,"PÁTIO INTERNO"),0)+IFERROR(SUMIFS('Base bordo'!G$2:G$746,'Base bordo'!C$2:C$746,A234,'Base bordo'!B$2:B$746,B234,'Base bordo'!F$2:F$746,"PÁTIO EXTERNO"),0)+IFERROR(SUMIFS('Base bordo'!G$2:G$746,'Base bordo'!C$2:C$746,A234,'Base bordo'!B$2:B$746,B234,'Base bordo'!F$2:F$746,"PATIO - RESERVA"),0)+IFERROR(SUMIFS('Base bordo'!G$2:G$746,'Base bordo'!C$2:C$746,A234,'Base bordo'!B$2:B$746,B234,'Base bordo'!F$2:F$746,"MANOBRA CARRETAS-PATIO"),0)</f>
        <v>12.1875</v>
      </c>
      <c r="J234" s="10">
        <f>IFERROR(SUMIFS('Base bordo'!G$2:G$746,'Base bordo'!C$2:C$746,A234,'Base bordo'!B$2:B$746,B234,'Base bordo'!F$2:F$746,"BALANÇA - ENTRADA"),0)+IFERROR(SUMIFS('Base bordo'!G$2:G$746,'Base bordo'!C$2:C$746,A234,'Base bordo'!B$2:B$746,B234,'Base bordo'!F$2:F$746,"BALANÇA - SAÍDA"),0)</f>
        <v>1.0555555555555556E-2</v>
      </c>
      <c r="K234" s="10">
        <f>IFERROR(SUMIFS('Base bordo'!G$2:G$746,'Base bordo'!C$2:C$746,A234,'Base bordo'!B$2:B$746,B234,'Base bordo'!F$2:F$746,"MAN PREVENTIVA - MECANICA"),0)+IFERROR(SUMIFS('Base bordo'!G$2:G$746,'Base bordo'!C$2:C$746,A234,'Base bordo'!B$2:B$746,B234,'Base bordo'!F$2:F$746,"MAN CORRETIVA - MECANICA"),0)</f>
        <v>0</v>
      </c>
      <c r="L234" s="10">
        <f>IFERROR(SUMIFS('Base bordo'!G$2:G$746,'Base bordo'!C$2:C$746,A234,'Base bordo'!B$2:B$746,B234,'Base bordo'!F$2:F$746,"MANUTENCAO - T O"),0)+IFERROR(SUMIFS('Base bordo'!G$2:G$746,'Base bordo'!C$2:C$746,A234,'Base bordo'!B$2:B$746,B234,'Base bordo'!F$2:F$746,"MANUTENCAO BORRACHARIA"),0)+IFERROR(SUMIFS('Base bordo'!G$2:G$746,'Base bordo'!C$2:C$746,A234,'Base bordo'!B$2:B$746,B234,'Base bordo'!F$2:F$746,"MANUTENCAO EXTERNA  CONCESSIONARIA"),0)+IFERROR(SUMIFS('Base bordo'!G$2:G$746,'Base bordo'!C$2:C$746,A234,'Base bordo'!B$2:B$746,B234,'Base bordo'!F$2:F$746,"MANUTENCAO TELEMETRIA"),0)</f>
        <v>0</v>
      </c>
      <c r="M234" s="10">
        <f>IFERROR(SUMIFS('Base bordo'!G$2:G$746,'Base bordo'!C$2:C$746,A234,'Base bordo'!B$2:B$746,B234,'Base bordo'!F$2:F$746,"AGUARDANDO MANUTENCAO"),0)</f>
        <v>0</v>
      </c>
      <c r="N234" s="10">
        <f>IFERROR(SUMIFS('Base bordo'!G$2:G$746,'Base bordo'!C$2:C$746,A234,'Base bordo'!B$2:B$746,B234,'Base bordo'!F$2:F$746,"SEM APONTAMENTO"),0)</f>
        <v>0</v>
      </c>
      <c r="O234" s="10">
        <f t="shared" si="30"/>
        <v>0</v>
      </c>
      <c r="P234" s="10">
        <f>IFERROR(SUMIFS('Base bordo'!G$2:G$746,'Base bordo'!C$2:C$746,A234,'Base bordo'!B$2:B$746,B234),0)</f>
        <v>12.614722222222222</v>
      </c>
      <c r="Q234" s="10">
        <f>IFERROR(SUMIFS('Base bordo'!H$2:H$746,'Base bordo'!C$2:C$746,A234,'Base bordo'!B$2:B$746,B234,'Base bordo'!F$2:F$746,"DESLOCAMENTO VAZIO"),0)</f>
        <v>7895.41</v>
      </c>
      <c r="R234" s="10">
        <f>IFERROR(SUMIFS('Base bordo'!I$2:I$746,'Base bordo'!C$2:C$746,A234,'Base bordo'!B$2:B$746,B234,'Base bordo'!F$2:F$746,"DESLOCAMENTO VAZIO"),0)</f>
        <v>1188</v>
      </c>
      <c r="S234" s="30">
        <f t="shared" si="31"/>
        <v>6.6459680134680132</v>
      </c>
      <c r="T234" s="10">
        <f>IFERROR(SUMIFS('Base bordo'!H$2:H$746,'Base bordo'!C$2:C$746,A234,'Base bordo'!B$2:B$746,B234,'Base bordo'!F$2:F$746,"DESLOCAMENTO CARREGADO"),0)</f>
        <v>0</v>
      </c>
      <c r="U234" s="10">
        <f>IFERROR(SUMIFS('Base bordo'!I$2:I$746,'Base bordo'!C$2:C$746,A234,'Base bordo'!B$2:B$746,B234,'Base bordo'!F$2:F$746,"DESLOCAMENTO CARREGADO"),0)</f>
        <v>0</v>
      </c>
      <c r="V234" s="30" t="str">
        <f t="shared" si="32"/>
        <v/>
      </c>
      <c r="W234" s="9">
        <f t="shared" si="33"/>
        <v>2.6159910157884308E-2</v>
      </c>
      <c r="X234" s="9">
        <f t="shared" si="34"/>
        <v>0</v>
      </c>
      <c r="Y234" s="9">
        <f t="shared" si="35"/>
        <v>0.97384008984211567</v>
      </c>
    </row>
    <row r="235" spans="1:25" ht="15" customHeight="1" x14ac:dyDescent="0.35">
      <c r="A235" s="52">
        <v>8013461</v>
      </c>
      <c r="B235" s="51">
        <v>46119</v>
      </c>
      <c r="C235" s="7" t="s">
        <v>124</v>
      </c>
      <c r="D235" s="10">
        <f>IFERROR(SUMIFS('Base bordo'!G$2:G$746,'Base bordo'!C$2:C$746,A235,'Base bordo'!B$2:B$746,B235,'Base bordo'!F$2:F$746,"DESLOCAMENTO VAZIO"),0)</f>
        <v>1.4069444444444446</v>
      </c>
      <c r="E235" s="10">
        <f>IFERROR(SUMIFS('Base bordo'!G$2:G$746,'Base bordo'!C$2:C$746,A235,'Base bordo'!B$2:B$746,B235,'Base bordo'!F$2:F$746,"DESLOCAMENTO CARREGADO"),0)</f>
        <v>1.8011111111111111</v>
      </c>
      <c r="F235" s="10">
        <f>IFERROR(SUMIFS('Base bordo'!G$2:G$746,'Base bordo'!C$2:C$746,A235,'Base bordo'!B$2:B$746,B235,'Base bordo'!F$2:F$746,"DESLOCAMENTO"),0)</f>
        <v>0</v>
      </c>
      <c r="G235" s="10">
        <f>IFERROR(SUMIFS('Base bordo'!G$2:G$746,'Base bordo'!C$2:C$746,A235,'Base bordo'!B$2:B$746,B235,'Base bordo'!F$2:F$746,"CARREGAMENTO"),0)</f>
        <v>0</v>
      </c>
      <c r="H235" s="10">
        <f>IFERROR(SUMIFS('Base bordo'!G$2:G$746,'Base bordo'!C$2:C$746,A235,'Base bordo'!B$2:B$746,B235,'Base bordo'!F$2:F$746,"AGUARDANDO TRANSBORDO"),0)</f>
        <v>0.2011111111111111</v>
      </c>
      <c r="I235" s="10">
        <f>IFERROR(SUMIFS('Base bordo'!G$2:G$746,'Base bordo'!C$2:C$746,A235,'Base bordo'!B$2:B$746,B235,'Base bordo'!F$2:F$746,"PÁTIO INTERNO"),0)+IFERROR(SUMIFS('Base bordo'!G$2:G$746,'Base bordo'!C$2:C$746,A235,'Base bordo'!B$2:B$746,B235,'Base bordo'!F$2:F$746,"PÁTIO EXTERNO"),0)+IFERROR(SUMIFS('Base bordo'!G$2:G$746,'Base bordo'!C$2:C$746,A235,'Base bordo'!B$2:B$746,B235,'Base bordo'!F$2:F$746,"PATIO - RESERVA"),0)+IFERROR(SUMIFS('Base bordo'!G$2:G$746,'Base bordo'!C$2:C$746,A235,'Base bordo'!B$2:B$746,B235,'Base bordo'!F$2:F$746,"MANOBRA CARRETAS-PATIO"),0)</f>
        <v>8.8375000000000004</v>
      </c>
      <c r="J235" s="10">
        <f>IFERROR(SUMIFS('Base bordo'!G$2:G$746,'Base bordo'!C$2:C$746,A235,'Base bordo'!B$2:B$746,B235,'Base bordo'!F$2:F$746,"BALANÇA - ENTRADA"),0)+IFERROR(SUMIFS('Base bordo'!G$2:G$746,'Base bordo'!C$2:C$746,A235,'Base bordo'!B$2:B$746,B235,'Base bordo'!F$2:F$746,"BALANÇA - SAÍDA"),0)</f>
        <v>0.15</v>
      </c>
      <c r="K235" s="10">
        <f>IFERROR(SUMIFS('Base bordo'!G$2:G$746,'Base bordo'!C$2:C$746,A235,'Base bordo'!B$2:B$746,B235,'Base bordo'!F$2:F$746,"MAN PREVENTIVA - MECANICA"),0)+IFERROR(SUMIFS('Base bordo'!G$2:G$746,'Base bordo'!C$2:C$746,A235,'Base bordo'!B$2:B$746,B235,'Base bordo'!F$2:F$746,"MAN CORRETIVA - MECANICA"),0)</f>
        <v>0</v>
      </c>
      <c r="L235" s="10">
        <f>IFERROR(SUMIFS('Base bordo'!G$2:G$746,'Base bordo'!C$2:C$746,A235,'Base bordo'!B$2:B$746,B235,'Base bordo'!F$2:F$746,"MANUTENCAO - T O"),0)+IFERROR(SUMIFS('Base bordo'!G$2:G$746,'Base bordo'!C$2:C$746,A235,'Base bordo'!B$2:B$746,B235,'Base bordo'!F$2:F$746,"MANUTENCAO BORRACHARIA"),0)+IFERROR(SUMIFS('Base bordo'!G$2:G$746,'Base bordo'!C$2:C$746,A235,'Base bordo'!B$2:B$746,B235,'Base bordo'!F$2:F$746,"MANUTENCAO EXTERNA  CONCESSIONARIA"),0)+IFERROR(SUMIFS('Base bordo'!G$2:G$746,'Base bordo'!C$2:C$746,A235,'Base bordo'!B$2:B$746,B235,'Base bordo'!F$2:F$746,"MANUTENCAO TELEMETRIA"),0)</f>
        <v>0</v>
      </c>
      <c r="M235" s="10">
        <f>IFERROR(SUMIFS('Base bordo'!G$2:G$746,'Base bordo'!C$2:C$746,A235,'Base bordo'!B$2:B$746,B235,'Base bordo'!F$2:F$746,"AGUARDANDO MANUTENCAO"),0)</f>
        <v>0</v>
      </c>
      <c r="N235" s="10">
        <f>IFERROR(SUMIFS('Base bordo'!G$2:G$746,'Base bordo'!C$2:C$746,A235,'Base bordo'!B$2:B$746,B235,'Base bordo'!F$2:F$746,"SEM APONTAMENTO"),0)</f>
        <v>0</v>
      </c>
      <c r="O235" s="10">
        <f t="shared" si="30"/>
        <v>0.18333333333333357</v>
      </c>
      <c r="P235" s="10">
        <f>IFERROR(SUMIFS('Base bordo'!G$2:G$746,'Base bordo'!C$2:C$746,A235,'Base bordo'!B$2:B$746,B235),0)</f>
        <v>12.58</v>
      </c>
      <c r="Q235" s="10">
        <f>IFERROR(SUMIFS('Base bordo'!H$2:H$746,'Base bordo'!C$2:C$746,A235,'Base bordo'!B$2:B$746,B235,'Base bordo'!F$2:F$746,"DESLOCAMENTO VAZIO"),0)</f>
        <v>177546.48</v>
      </c>
      <c r="R235" s="10">
        <f>IFERROR(SUMIFS('Base bordo'!I$2:I$746,'Base bordo'!C$2:C$746,A235,'Base bordo'!B$2:B$746,B235,'Base bordo'!F$2:F$746,"DESLOCAMENTO VAZIO"),0)</f>
        <v>5065</v>
      </c>
      <c r="S235" s="30">
        <f t="shared" si="31"/>
        <v>35.05359921026654</v>
      </c>
      <c r="T235" s="10">
        <f>IFERROR(SUMIFS('Base bordo'!H$2:H$746,'Base bordo'!C$2:C$746,A235,'Base bordo'!B$2:B$746,B235,'Base bordo'!F$2:F$746,"DESLOCAMENTO CARREGADO"),0)</f>
        <v>173551.50000000003</v>
      </c>
      <c r="U235" s="10">
        <f>IFERROR(SUMIFS('Base bordo'!I$2:I$746,'Base bordo'!C$2:C$746,A235,'Base bordo'!B$2:B$746,B235,'Base bordo'!F$2:F$746,"DESLOCAMENTO CARREGADO"),0)</f>
        <v>6484</v>
      </c>
      <c r="V235" s="30">
        <f t="shared" si="32"/>
        <v>26.766116594694637</v>
      </c>
      <c r="W235" s="9">
        <f t="shared" si="33"/>
        <v>0.11183978095742803</v>
      </c>
      <c r="X235" s="9">
        <f t="shared" si="34"/>
        <v>0.14317258434905494</v>
      </c>
      <c r="Y235" s="9">
        <f t="shared" si="35"/>
        <v>0.74498763469351703</v>
      </c>
    </row>
    <row r="236" spans="1:25" ht="15" customHeight="1" x14ac:dyDescent="0.35">
      <c r="A236" s="52">
        <v>8013483</v>
      </c>
      <c r="B236" s="51">
        <v>46117</v>
      </c>
      <c r="C236" s="7" t="s">
        <v>124</v>
      </c>
      <c r="D236" s="10">
        <f>IFERROR(SUMIFS('Base bordo'!G$2:G$746,'Base bordo'!C$2:C$746,A236,'Base bordo'!B$2:B$746,B236,'Base bordo'!F$2:F$746,"DESLOCAMENTO VAZIO"),0)</f>
        <v>0.3947222222222222</v>
      </c>
      <c r="E236" s="10">
        <f>IFERROR(SUMIFS('Base bordo'!G$2:G$746,'Base bordo'!C$2:C$746,A236,'Base bordo'!B$2:B$746,B236,'Base bordo'!F$2:F$746,"DESLOCAMENTO CARREGADO"),0)</f>
        <v>2.7777777777777776E-2</v>
      </c>
      <c r="F236" s="10">
        <f>IFERROR(SUMIFS('Base bordo'!G$2:G$746,'Base bordo'!C$2:C$746,A236,'Base bordo'!B$2:B$746,B236,'Base bordo'!F$2:F$746,"DESLOCAMENTO"),0)</f>
        <v>0</v>
      </c>
      <c r="G236" s="10">
        <f>IFERROR(SUMIFS('Base bordo'!G$2:G$746,'Base bordo'!C$2:C$746,A236,'Base bordo'!B$2:B$746,B236,'Base bordo'!F$2:F$746,"CARREGAMENTO"),0)</f>
        <v>0</v>
      </c>
      <c r="H236" s="10">
        <f>IFERROR(SUMIFS('Base bordo'!G$2:G$746,'Base bordo'!C$2:C$746,A236,'Base bordo'!B$2:B$746,B236,'Base bordo'!F$2:F$746,"AGUARDANDO TRANSBORDO"),0)</f>
        <v>0</v>
      </c>
      <c r="I236" s="10">
        <f>IFERROR(SUMIFS('Base bordo'!G$2:G$746,'Base bordo'!C$2:C$746,A236,'Base bordo'!B$2:B$746,B236,'Base bordo'!F$2:F$746,"PÁTIO INTERNO"),0)+IFERROR(SUMIFS('Base bordo'!G$2:G$746,'Base bordo'!C$2:C$746,A236,'Base bordo'!B$2:B$746,B236,'Base bordo'!F$2:F$746,"PÁTIO EXTERNO"),0)+IFERROR(SUMIFS('Base bordo'!G$2:G$746,'Base bordo'!C$2:C$746,A236,'Base bordo'!B$2:B$746,B236,'Base bordo'!F$2:F$746,"PATIO - RESERVA"),0)+IFERROR(SUMIFS('Base bordo'!G$2:G$746,'Base bordo'!C$2:C$746,A236,'Base bordo'!B$2:B$746,B236,'Base bordo'!F$2:F$746,"MANOBRA CARRETAS-PATIO"),0)</f>
        <v>0</v>
      </c>
      <c r="J236" s="10">
        <f>IFERROR(SUMIFS('Base bordo'!G$2:G$746,'Base bordo'!C$2:C$746,A236,'Base bordo'!B$2:B$746,B236,'Base bordo'!F$2:F$746,"BALANÇA - ENTRADA"),0)+IFERROR(SUMIFS('Base bordo'!G$2:G$746,'Base bordo'!C$2:C$746,A236,'Base bordo'!B$2:B$746,B236,'Base bordo'!F$2:F$746,"BALANÇA - SAÍDA"),0)</f>
        <v>0</v>
      </c>
      <c r="K236" s="10">
        <f>IFERROR(SUMIFS('Base bordo'!G$2:G$746,'Base bordo'!C$2:C$746,A236,'Base bordo'!B$2:B$746,B236,'Base bordo'!F$2:F$746,"MAN PREVENTIVA - MECANICA"),0)+IFERROR(SUMIFS('Base bordo'!G$2:G$746,'Base bordo'!C$2:C$746,A236,'Base bordo'!B$2:B$746,B236,'Base bordo'!F$2:F$746,"MAN CORRETIVA - MECANICA"),0)</f>
        <v>0</v>
      </c>
      <c r="L236" s="10">
        <f>IFERROR(SUMIFS('Base bordo'!G$2:G$746,'Base bordo'!C$2:C$746,A236,'Base bordo'!B$2:B$746,B236,'Base bordo'!F$2:F$746,"MANUTENCAO - T O"),0)+IFERROR(SUMIFS('Base bordo'!G$2:G$746,'Base bordo'!C$2:C$746,A236,'Base bordo'!B$2:B$746,B236,'Base bordo'!F$2:F$746,"MANUTENCAO BORRACHARIA"),0)+IFERROR(SUMIFS('Base bordo'!G$2:G$746,'Base bordo'!C$2:C$746,A236,'Base bordo'!B$2:B$746,B236,'Base bordo'!F$2:F$746,"MANUTENCAO EXTERNA  CONCESSIONARIA"),0)+IFERROR(SUMIFS('Base bordo'!G$2:G$746,'Base bordo'!C$2:C$746,A236,'Base bordo'!B$2:B$746,B236,'Base bordo'!F$2:F$746,"MANUTENCAO TELEMETRIA"),0)</f>
        <v>22.371944444444445</v>
      </c>
      <c r="M236" s="10">
        <f>IFERROR(SUMIFS('Base bordo'!G$2:G$746,'Base bordo'!C$2:C$746,A236,'Base bordo'!B$2:B$746,B236,'Base bordo'!F$2:F$746,"AGUARDANDO MANUTENCAO"),0)</f>
        <v>0</v>
      </c>
      <c r="N236" s="10">
        <f>IFERROR(SUMIFS('Base bordo'!G$2:G$746,'Base bordo'!C$2:C$746,A236,'Base bordo'!B$2:B$746,B236,'Base bordo'!F$2:F$746,"SEM APONTAMENTO"),0)</f>
        <v>1.0611111111111111</v>
      </c>
      <c r="O236" s="10">
        <f t="shared" si="30"/>
        <v>0.14444444444444571</v>
      </c>
      <c r="P236" s="10">
        <f>IFERROR(SUMIFS('Base bordo'!G$2:G$746,'Base bordo'!C$2:C$746,A236,'Base bordo'!B$2:B$746,B236),0)</f>
        <v>24</v>
      </c>
      <c r="Q236" s="10">
        <f>IFERROR(SUMIFS('Base bordo'!H$2:H$746,'Base bordo'!C$2:C$746,A236,'Base bordo'!B$2:B$746,B236,'Base bordo'!F$2:F$746,"DESLOCAMENTO VAZIO"),0)</f>
        <v>41838.400000000001</v>
      </c>
      <c r="R236" s="10">
        <f>IFERROR(SUMIFS('Base bordo'!I$2:I$746,'Base bordo'!C$2:C$746,A236,'Base bordo'!B$2:B$746,B236,'Base bordo'!F$2:F$746,"DESLOCAMENTO VAZIO"),0)</f>
        <v>1421</v>
      </c>
      <c r="S236" s="30">
        <f t="shared" si="31"/>
        <v>29.442927515833922</v>
      </c>
      <c r="T236" s="10">
        <f>IFERROR(SUMIFS('Base bordo'!H$2:H$746,'Base bordo'!C$2:C$746,A236,'Base bordo'!B$2:B$746,B236,'Base bordo'!F$2:F$746,"DESLOCAMENTO CARREGADO"),0)</f>
        <v>785.48</v>
      </c>
      <c r="U236" s="10">
        <f>IFERROR(SUMIFS('Base bordo'!I$2:I$746,'Base bordo'!C$2:C$746,A236,'Base bordo'!B$2:B$746,B236,'Base bordo'!F$2:F$746,"DESLOCAMENTO CARREGADO"),0)</f>
        <v>100</v>
      </c>
      <c r="V236" s="30">
        <f t="shared" si="32"/>
        <v>7.8548</v>
      </c>
      <c r="W236" s="9">
        <f t="shared" si="33"/>
        <v>1.6446759259259258E-2</v>
      </c>
      <c r="X236" s="9">
        <f t="shared" si="34"/>
        <v>1.1574074074074073E-3</v>
      </c>
      <c r="Y236" s="9">
        <f t="shared" si="35"/>
        <v>0.98239583333333336</v>
      </c>
    </row>
    <row r="237" spans="1:25" ht="15" customHeight="1" x14ac:dyDescent="0.35">
      <c r="A237" s="52">
        <v>8013470</v>
      </c>
      <c r="B237" s="51">
        <v>46117</v>
      </c>
      <c r="C237" s="7" t="s">
        <v>124</v>
      </c>
      <c r="D237" s="10">
        <f>IFERROR(SUMIFS('Base bordo'!G$2:G$746,'Base bordo'!C$2:C$746,A237,'Base bordo'!B$2:B$746,B237,'Base bordo'!F$2:F$746,"DESLOCAMENTO VAZIO"),0)</f>
        <v>5.2283333333333335</v>
      </c>
      <c r="E237" s="10">
        <f>IFERROR(SUMIFS('Base bordo'!G$2:G$746,'Base bordo'!C$2:C$746,A237,'Base bordo'!B$2:B$746,B237,'Base bordo'!F$2:F$746,"DESLOCAMENTO CARREGADO"),0)</f>
        <v>1.9622222222222223</v>
      </c>
      <c r="F237" s="10">
        <f>IFERROR(SUMIFS('Base bordo'!G$2:G$746,'Base bordo'!C$2:C$746,A237,'Base bordo'!B$2:B$746,B237,'Base bordo'!F$2:F$746,"DESLOCAMENTO"),0)</f>
        <v>0</v>
      </c>
      <c r="G237" s="10">
        <f>IFERROR(SUMIFS('Base bordo'!G$2:G$746,'Base bordo'!C$2:C$746,A237,'Base bordo'!B$2:B$746,B237,'Base bordo'!F$2:F$746,"CARREGAMENTO"),0)</f>
        <v>1.6741666666666666</v>
      </c>
      <c r="H237" s="10">
        <f>IFERROR(SUMIFS('Base bordo'!G$2:G$746,'Base bordo'!C$2:C$746,A237,'Base bordo'!B$2:B$746,B237,'Base bordo'!F$2:F$746,"AGUARDANDO TRANSBORDO"),0)</f>
        <v>0.22305555555555556</v>
      </c>
      <c r="I237" s="10">
        <f>IFERROR(SUMIFS('Base bordo'!G$2:G$746,'Base bordo'!C$2:C$746,A237,'Base bordo'!B$2:B$746,B237,'Base bordo'!F$2:F$746,"PÁTIO INTERNO"),0)+IFERROR(SUMIFS('Base bordo'!G$2:G$746,'Base bordo'!C$2:C$746,A237,'Base bordo'!B$2:B$746,B237,'Base bordo'!F$2:F$746,"PÁTIO EXTERNO"),0)+IFERROR(SUMIFS('Base bordo'!G$2:G$746,'Base bordo'!C$2:C$746,A237,'Base bordo'!B$2:B$746,B237,'Base bordo'!F$2:F$746,"PATIO - RESERVA"),0)+IFERROR(SUMIFS('Base bordo'!G$2:G$746,'Base bordo'!C$2:C$746,A237,'Base bordo'!B$2:B$746,B237,'Base bordo'!F$2:F$746,"MANOBRA CARRETAS-PATIO"),0)</f>
        <v>0.64583333333333337</v>
      </c>
      <c r="J237" s="10">
        <f>IFERROR(SUMIFS('Base bordo'!G$2:G$746,'Base bordo'!C$2:C$746,A237,'Base bordo'!B$2:B$746,B237,'Base bordo'!F$2:F$746,"BALANÇA - ENTRADA"),0)+IFERROR(SUMIFS('Base bordo'!G$2:G$746,'Base bordo'!C$2:C$746,A237,'Base bordo'!B$2:B$746,B237,'Base bordo'!F$2:F$746,"BALANÇA - SAÍDA"),0)</f>
        <v>0</v>
      </c>
      <c r="K237" s="10">
        <f>IFERROR(SUMIFS('Base bordo'!G$2:G$746,'Base bordo'!C$2:C$746,A237,'Base bordo'!B$2:B$746,B237,'Base bordo'!F$2:F$746,"MAN PREVENTIVA - MECANICA"),0)+IFERROR(SUMIFS('Base bordo'!G$2:G$746,'Base bordo'!C$2:C$746,A237,'Base bordo'!B$2:B$746,B237,'Base bordo'!F$2:F$746,"MAN CORRETIVA - MECANICA"),0)</f>
        <v>0</v>
      </c>
      <c r="L237" s="10">
        <f>IFERROR(SUMIFS('Base bordo'!G$2:G$746,'Base bordo'!C$2:C$746,A237,'Base bordo'!B$2:B$746,B237,'Base bordo'!F$2:F$746,"MANUTENCAO - T O"),0)+IFERROR(SUMIFS('Base bordo'!G$2:G$746,'Base bordo'!C$2:C$746,A237,'Base bordo'!B$2:B$746,B237,'Base bordo'!F$2:F$746,"MANUTENCAO BORRACHARIA"),0)+IFERROR(SUMIFS('Base bordo'!G$2:G$746,'Base bordo'!C$2:C$746,A237,'Base bordo'!B$2:B$746,B237,'Base bordo'!F$2:F$746,"MANUTENCAO EXTERNA  CONCESSIONARIA"),0)+IFERROR(SUMIFS('Base bordo'!G$2:G$746,'Base bordo'!C$2:C$746,A237,'Base bordo'!B$2:B$746,B237,'Base bordo'!F$2:F$746,"MANUTENCAO TELEMETRIA"),0)</f>
        <v>11.065555555555555</v>
      </c>
      <c r="M237" s="10">
        <f>IFERROR(SUMIFS('Base bordo'!G$2:G$746,'Base bordo'!C$2:C$746,A237,'Base bordo'!B$2:B$746,B237,'Base bordo'!F$2:F$746,"AGUARDANDO MANUTENCAO"),0)</f>
        <v>0.04</v>
      </c>
      <c r="N237" s="10">
        <f>IFERROR(SUMIFS('Base bordo'!G$2:G$746,'Base bordo'!C$2:C$746,A237,'Base bordo'!B$2:B$746,B237,'Base bordo'!F$2:F$746,"SEM APONTAMENTO"),0)</f>
        <v>0</v>
      </c>
      <c r="O237" s="10">
        <f t="shared" si="30"/>
        <v>3.1608333333333327</v>
      </c>
      <c r="P237" s="10">
        <f>IFERROR(SUMIFS('Base bordo'!G$2:G$746,'Base bordo'!C$2:C$746,A237,'Base bordo'!B$2:B$746,B237),0)</f>
        <v>24</v>
      </c>
      <c r="Q237" s="10">
        <f>IFERROR(SUMIFS('Base bordo'!H$2:H$746,'Base bordo'!C$2:C$746,A237,'Base bordo'!B$2:B$746,B237,'Base bordo'!F$2:F$746,"DESLOCAMENTO VAZIO"),0)</f>
        <v>586699.78999999992</v>
      </c>
      <c r="R237" s="10">
        <f>IFERROR(SUMIFS('Base bordo'!I$2:I$746,'Base bordo'!C$2:C$746,A237,'Base bordo'!B$2:B$746,B237,'Base bordo'!F$2:F$746,"DESLOCAMENTO VAZIO"),0)</f>
        <v>18822</v>
      </c>
      <c r="S237" s="30">
        <f t="shared" si="31"/>
        <v>31.170958984167459</v>
      </c>
      <c r="T237" s="10">
        <f>IFERROR(SUMIFS('Base bordo'!H$2:H$746,'Base bordo'!C$2:C$746,A237,'Base bordo'!B$2:B$746,B237,'Base bordo'!F$2:F$746,"DESLOCAMENTO CARREGADO"),0)</f>
        <v>166963.32</v>
      </c>
      <c r="U237" s="10">
        <f>IFERROR(SUMIFS('Base bordo'!I$2:I$746,'Base bordo'!C$2:C$746,A237,'Base bordo'!B$2:B$746,B237,'Base bordo'!F$2:F$746,"DESLOCAMENTO CARREGADO"),0)</f>
        <v>7064</v>
      </c>
      <c r="V237" s="30">
        <f t="shared" si="32"/>
        <v>23.635804077010192</v>
      </c>
      <c r="W237" s="9">
        <f t="shared" si="33"/>
        <v>0.21784722222222222</v>
      </c>
      <c r="X237" s="9">
        <f t="shared" si="34"/>
        <v>8.1759259259259268E-2</v>
      </c>
      <c r="Y237" s="9">
        <f t="shared" si="35"/>
        <v>0.7003935185185185</v>
      </c>
    </row>
    <row r="238" spans="1:25" ht="15" customHeight="1" x14ac:dyDescent="0.35">
      <c r="A238" s="52">
        <v>8013460</v>
      </c>
      <c r="B238" s="51">
        <v>46124</v>
      </c>
      <c r="C238" s="7" t="s">
        <v>124</v>
      </c>
      <c r="D238" s="10">
        <f>IFERROR(SUMIFS('Base bordo'!G$2:G$746,'Base bordo'!C$2:C$746,A238,'Base bordo'!B$2:B$746,B238,'Base bordo'!F$2:F$746,"DESLOCAMENTO VAZIO"),0)</f>
        <v>3.2269444444444444</v>
      </c>
      <c r="E238" s="10">
        <f>IFERROR(SUMIFS('Base bordo'!G$2:G$746,'Base bordo'!C$2:C$746,A238,'Base bordo'!B$2:B$746,B238,'Base bordo'!F$2:F$746,"DESLOCAMENTO CARREGADO"),0)</f>
        <v>4.5991666666666671</v>
      </c>
      <c r="F238" s="10">
        <f>IFERROR(SUMIFS('Base bordo'!G$2:G$746,'Base bordo'!C$2:C$746,A238,'Base bordo'!B$2:B$746,B238,'Base bordo'!F$2:F$746,"DESLOCAMENTO"),0)</f>
        <v>0</v>
      </c>
      <c r="G238" s="10">
        <f>IFERROR(SUMIFS('Base bordo'!G$2:G$746,'Base bordo'!C$2:C$746,A238,'Base bordo'!B$2:B$746,B238,'Base bordo'!F$2:F$746,"CARREGAMENTO"),0)</f>
        <v>0</v>
      </c>
      <c r="H238" s="10">
        <f>IFERROR(SUMIFS('Base bordo'!G$2:G$746,'Base bordo'!C$2:C$746,A238,'Base bordo'!B$2:B$746,B238,'Base bordo'!F$2:F$746,"AGUARDANDO TRANSBORDO"),0)</f>
        <v>0.1763888888888889</v>
      </c>
      <c r="I238" s="10">
        <f>IFERROR(SUMIFS('Base bordo'!G$2:G$746,'Base bordo'!C$2:C$746,A238,'Base bordo'!B$2:B$746,B238,'Base bordo'!F$2:F$746,"PÁTIO INTERNO"),0)+IFERROR(SUMIFS('Base bordo'!G$2:G$746,'Base bordo'!C$2:C$746,A238,'Base bordo'!B$2:B$746,B238,'Base bordo'!F$2:F$746,"PÁTIO EXTERNO"),0)+IFERROR(SUMIFS('Base bordo'!G$2:G$746,'Base bordo'!C$2:C$746,A238,'Base bordo'!B$2:B$746,B238,'Base bordo'!F$2:F$746,"PATIO - RESERVA"),0)+IFERROR(SUMIFS('Base bordo'!G$2:G$746,'Base bordo'!C$2:C$746,A238,'Base bordo'!B$2:B$746,B238,'Base bordo'!F$2:F$746,"MANOBRA CARRETAS-PATIO"),0)</f>
        <v>8.8005555555555546</v>
      </c>
      <c r="J238" s="10">
        <f>IFERROR(SUMIFS('Base bordo'!G$2:G$746,'Base bordo'!C$2:C$746,A238,'Base bordo'!B$2:B$746,B238,'Base bordo'!F$2:F$746,"BALANÇA - ENTRADA"),0)+IFERROR(SUMIFS('Base bordo'!G$2:G$746,'Base bordo'!C$2:C$746,A238,'Base bordo'!B$2:B$746,B238,'Base bordo'!F$2:F$746,"BALANÇA - SAÍDA"),0)</f>
        <v>0.12222222222222223</v>
      </c>
      <c r="K238" s="10">
        <f>IFERROR(SUMIFS('Base bordo'!G$2:G$746,'Base bordo'!C$2:C$746,A238,'Base bordo'!B$2:B$746,B238,'Base bordo'!F$2:F$746,"MAN PREVENTIVA - MECANICA"),0)+IFERROR(SUMIFS('Base bordo'!G$2:G$746,'Base bordo'!C$2:C$746,A238,'Base bordo'!B$2:B$746,B238,'Base bordo'!F$2:F$746,"MAN CORRETIVA - MECANICA"),0)</f>
        <v>0</v>
      </c>
      <c r="L238" s="10">
        <f>IFERROR(SUMIFS('Base bordo'!G$2:G$746,'Base bordo'!C$2:C$746,A238,'Base bordo'!B$2:B$746,B238,'Base bordo'!F$2:F$746,"MANUTENCAO - T O"),0)+IFERROR(SUMIFS('Base bordo'!G$2:G$746,'Base bordo'!C$2:C$746,A238,'Base bordo'!B$2:B$746,B238,'Base bordo'!F$2:F$746,"MANUTENCAO BORRACHARIA"),0)+IFERROR(SUMIFS('Base bordo'!G$2:G$746,'Base bordo'!C$2:C$746,A238,'Base bordo'!B$2:B$746,B238,'Base bordo'!F$2:F$746,"MANUTENCAO EXTERNA  CONCESSIONARIA"),0)+IFERROR(SUMIFS('Base bordo'!G$2:G$746,'Base bordo'!C$2:C$746,A238,'Base bordo'!B$2:B$746,B238,'Base bordo'!F$2:F$746,"MANUTENCAO TELEMETRIA"),0)</f>
        <v>0</v>
      </c>
      <c r="M238" s="10">
        <f>IFERROR(SUMIFS('Base bordo'!G$2:G$746,'Base bordo'!C$2:C$746,A238,'Base bordo'!B$2:B$746,B238,'Base bordo'!F$2:F$746,"AGUARDANDO MANUTENCAO"),0)</f>
        <v>0</v>
      </c>
      <c r="N238" s="10">
        <f>IFERROR(SUMIFS('Base bordo'!G$2:G$746,'Base bordo'!C$2:C$746,A238,'Base bordo'!B$2:B$746,B238,'Base bordo'!F$2:F$746,"SEM APONTAMENTO"),0)</f>
        <v>0</v>
      </c>
      <c r="O238" s="10">
        <f t="shared" si="30"/>
        <v>0</v>
      </c>
      <c r="P238" s="10">
        <f>IFERROR(SUMIFS('Base bordo'!G$2:G$746,'Base bordo'!C$2:C$746,A238,'Base bordo'!B$2:B$746,B238),0)</f>
        <v>16.925277777777776</v>
      </c>
      <c r="Q238" s="10">
        <f>IFERROR(SUMIFS('Base bordo'!H$2:H$746,'Base bordo'!C$2:C$746,A238,'Base bordo'!B$2:B$746,B238,'Base bordo'!F$2:F$746,"DESLOCAMENTO VAZIO"),0)</f>
        <v>360275.76</v>
      </c>
      <c r="R238" s="10">
        <f>IFERROR(SUMIFS('Base bordo'!I$2:I$746,'Base bordo'!C$2:C$746,A238,'Base bordo'!B$2:B$746,B238,'Base bordo'!F$2:F$746,"DESLOCAMENTO VAZIO"),0)</f>
        <v>11617</v>
      </c>
      <c r="S238" s="30">
        <f t="shared" si="31"/>
        <v>31.012805371438411</v>
      </c>
      <c r="T238" s="10">
        <f>IFERROR(SUMIFS('Base bordo'!H$2:H$746,'Base bordo'!C$2:C$746,A238,'Base bordo'!B$2:B$746,B238,'Base bordo'!F$2:F$746,"DESLOCAMENTO CARREGADO"),0)</f>
        <v>354323.07999999996</v>
      </c>
      <c r="U238" s="10">
        <f>IFERROR(SUMIFS('Base bordo'!I$2:I$746,'Base bordo'!C$2:C$746,A238,'Base bordo'!B$2:B$746,B238,'Base bordo'!F$2:F$746,"DESLOCAMENTO CARREGADO"),0)</f>
        <v>16557</v>
      </c>
      <c r="V238" s="30">
        <f t="shared" si="32"/>
        <v>21.400198103521166</v>
      </c>
      <c r="W238" s="9">
        <f t="shared" si="33"/>
        <v>0.19065828560174625</v>
      </c>
      <c r="X238" s="9">
        <f t="shared" si="34"/>
        <v>0.27173360030198096</v>
      </c>
      <c r="Y238" s="9">
        <f t="shared" si="35"/>
        <v>0.53760811409627274</v>
      </c>
    </row>
    <row r="239" spans="1:25" ht="15" customHeight="1" x14ac:dyDescent="0.35">
      <c r="A239" s="52">
        <v>8013478</v>
      </c>
      <c r="B239" s="51">
        <v>46118</v>
      </c>
      <c r="C239" s="7" t="s">
        <v>124</v>
      </c>
      <c r="D239" s="10">
        <f>IFERROR(SUMIFS('Base bordo'!G$2:G$746,'Base bordo'!C$2:C$746,A239,'Base bordo'!B$2:B$746,B239,'Base bordo'!F$2:F$746,"DESLOCAMENTO VAZIO"),0)</f>
        <v>2.2297222222222222</v>
      </c>
      <c r="E239" s="10">
        <f>IFERROR(SUMIFS('Base bordo'!G$2:G$746,'Base bordo'!C$2:C$746,A239,'Base bordo'!B$2:B$746,B239,'Base bordo'!F$2:F$746,"DESLOCAMENTO CARREGADO"),0)</f>
        <v>1.9061111111111111</v>
      </c>
      <c r="F239" s="10">
        <f>IFERROR(SUMIFS('Base bordo'!G$2:G$746,'Base bordo'!C$2:C$746,A239,'Base bordo'!B$2:B$746,B239,'Base bordo'!F$2:F$746,"DESLOCAMENTO"),0)</f>
        <v>0</v>
      </c>
      <c r="G239" s="10">
        <f>IFERROR(SUMIFS('Base bordo'!G$2:G$746,'Base bordo'!C$2:C$746,A239,'Base bordo'!B$2:B$746,B239,'Base bordo'!F$2:F$746,"CARREGAMENTO"),0)</f>
        <v>0</v>
      </c>
      <c r="H239" s="10">
        <f>IFERROR(SUMIFS('Base bordo'!G$2:G$746,'Base bordo'!C$2:C$746,A239,'Base bordo'!B$2:B$746,B239,'Base bordo'!F$2:F$746,"AGUARDANDO TRANSBORDO"),0)</f>
        <v>0.90749999999999997</v>
      </c>
      <c r="I239" s="10">
        <f>IFERROR(SUMIFS('Base bordo'!G$2:G$746,'Base bordo'!C$2:C$746,A239,'Base bordo'!B$2:B$746,B239,'Base bordo'!F$2:F$746,"PÁTIO INTERNO"),0)+IFERROR(SUMIFS('Base bordo'!G$2:G$746,'Base bordo'!C$2:C$746,A239,'Base bordo'!B$2:B$746,B239,'Base bordo'!F$2:F$746,"PÁTIO EXTERNO"),0)+IFERROR(SUMIFS('Base bordo'!G$2:G$746,'Base bordo'!C$2:C$746,A239,'Base bordo'!B$2:B$746,B239,'Base bordo'!F$2:F$746,"PATIO - RESERVA"),0)+IFERROR(SUMIFS('Base bordo'!G$2:G$746,'Base bordo'!C$2:C$746,A239,'Base bordo'!B$2:B$746,B239,'Base bordo'!F$2:F$746,"MANOBRA CARRETAS-PATIO"),0)</f>
        <v>3.8741666666666665</v>
      </c>
      <c r="J239" s="10">
        <f>IFERROR(SUMIFS('Base bordo'!G$2:G$746,'Base bordo'!C$2:C$746,A239,'Base bordo'!B$2:B$746,B239,'Base bordo'!F$2:F$746,"BALANÇA - ENTRADA"),0)+IFERROR(SUMIFS('Base bordo'!G$2:G$746,'Base bordo'!C$2:C$746,A239,'Base bordo'!B$2:B$746,B239,'Base bordo'!F$2:F$746,"BALANÇA - SAÍDA"),0)</f>
        <v>1.1944444444444445E-2</v>
      </c>
      <c r="K239" s="10">
        <f>IFERROR(SUMIFS('Base bordo'!G$2:G$746,'Base bordo'!C$2:C$746,A239,'Base bordo'!B$2:B$746,B239,'Base bordo'!F$2:F$746,"MAN PREVENTIVA - MECANICA"),0)+IFERROR(SUMIFS('Base bordo'!G$2:G$746,'Base bordo'!C$2:C$746,A239,'Base bordo'!B$2:B$746,B239,'Base bordo'!F$2:F$746,"MAN CORRETIVA - MECANICA"),0)</f>
        <v>0</v>
      </c>
      <c r="L239" s="10">
        <f>IFERROR(SUMIFS('Base bordo'!G$2:G$746,'Base bordo'!C$2:C$746,A239,'Base bordo'!B$2:B$746,B239,'Base bordo'!F$2:F$746,"MANUTENCAO - T O"),0)+IFERROR(SUMIFS('Base bordo'!G$2:G$746,'Base bordo'!C$2:C$746,A239,'Base bordo'!B$2:B$746,B239,'Base bordo'!F$2:F$746,"MANUTENCAO BORRACHARIA"),0)+IFERROR(SUMIFS('Base bordo'!G$2:G$746,'Base bordo'!C$2:C$746,A239,'Base bordo'!B$2:B$746,B239,'Base bordo'!F$2:F$746,"MANUTENCAO EXTERNA  CONCESSIONARIA"),0)+IFERROR(SUMIFS('Base bordo'!G$2:G$746,'Base bordo'!C$2:C$746,A239,'Base bordo'!B$2:B$746,B239,'Base bordo'!F$2:F$746,"MANUTENCAO TELEMETRIA"),0)</f>
        <v>0</v>
      </c>
      <c r="M239" s="10">
        <f>IFERROR(SUMIFS('Base bordo'!G$2:G$746,'Base bordo'!C$2:C$746,A239,'Base bordo'!B$2:B$746,B239,'Base bordo'!F$2:F$746,"AGUARDANDO MANUTENCAO"),0)</f>
        <v>0</v>
      </c>
      <c r="N239" s="10">
        <f>IFERROR(SUMIFS('Base bordo'!G$2:G$746,'Base bordo'!C$2:C$746,A239,'Base bordo'!B$2:B$746,B239,'Base bordo'!F$2:F$746,"SEM APONTAMENTO"),0)</f>
        <v>0</v>
      </c>
      <c r="O239" s="10">
        <f t="shared" si="30"/>
        <v>2.3333333333331652E-2</v>
      </c>
      <c r="P239" s="10">
        <f>IFERROR(SUMIFS('Base bordo'!G$2:G$746,'Base bordo'!C$2:C$746,A239,'Base bordo'!B$2:B$746,B239),0)</f>
        <v>8.9527777777777757</v>
      </c>
      <c r="Q239" s="10">
        <f>IFERROR(SUMIFS('Base bordo'!H$2:H$746,'Base bordo'!C$2:C$746,A239,'Base bordo'!B$2:B$746,B239,'Base bordo'!F$2:F$746,"DESLOCAMENTO VAZIO"),0)</f>
        <v>290634.14</v>
      </c>
      <c r="R239" s="10">
        <f>IFERROR(SUMIFS('Base bordo'!I$2:I$746,'Base bordo'!C$2:C$746,A239,'Base bordo'!B$2:B$746,B239,'Base bordo'!F$2:F$746,"DESLOCAMENTO VAZIO"),0)</f>
        <v>8027</v>
      </c>
      <c r="S239" s="30">
        <f t="shared" si="31"/>
        <v>36.207068643328768</v>
      </c>
      <c r="T239" s="10">
        <f>IFERROR(SUMIFS('Base bordo'!H$2:H$746,'Base bordo'!C$2:C$746,A239,'Base bordo'!B$2:B$746,B239,'Base bordo'!F$2:F$746,"DESLOCAMENTO CARREGADO"),0)</f>
        <v>165552.33000000002</v>
      </c>
      <c r="U239" s="10">
        <f>IFERROR(SUMIFS('Base bordo'!I$2:I$746,'Base bordo'!C$2:C$746,A239,'Base bordo'!B$2:B$746,B239,'Base bordo'!F$2:F$746,"DESLOCAMENTO CARREGADO"),0)</f>
        <v>6862</v>
      </c>
      <c r="V239" s="30">
        <f t="shared" si="32"/>
        <v>24.125958904109591</v>
      </c>
      <c r="W239" s="9">
        <f t="shared" si="33"/>
        <v>0.24905367669872794</v>
      </c>
      <c r="X239" s="9">
        <f t="shared" si="34"/>
        <v>0.21290722928948189</v>
      </c>
      <c r="Y239" s="9">
        <f t="shared" si="35"/>
        <v>0.53803909401179018</v>
      </c>
    </row>
    <row r="240" spans="1:25" ht="15" customHeight="1" x14ac:dyDescent="0.35">
      <c r="A240" s="52">
        <v>8013462</v>
      </c>
      <c r="B240" s="51">
        <v>46124</v>
      </c>
      <c r="C240" s="7" t="s">
        <v>124</v>
      </c>
      <c r="D240" s="10">
        <f>IFERROR(SUMIFS('Base bordo'!G$2:G$746,'Base bordo'!C$2:C$746,A240,'Base bordo'!B$2:B$746,B240,'Base bordo'!F$2:F$746,"DESLOCAMENTO VAZIO"),0)</f>
        <v>2.6541666666666668</v>
      </c>
      <c r="E240" s="10">
        <f>IFERROR(SUMIFS('Base bordo'!G$2:G$746,'Base bordo'!C$2:C$746,A240,'Base bordo'!B$2:B$746,B240,'Base bordo'!F$2:F$746,"DESLOCAMENTO CARREGADO"),0)</f>
        <v>2.0155555555555558</v>
      </c>
      <c r="F240" s="10">
        <f>IFERROR(SUMIFS('Base bordo'!G$2:G$746,'Base bordo'!C$2:C$746,A240,'Base bordo'!B$2:B$746,B240,'Base bordo'!F$2:F$746,"DESLOCAMENTO"),0)</f>
        <v>0</v>
      </c>
      <c r="G240" s="10">
        <f>IFERROR(SUMIFS('Base bordo'!G$2:G$746,'Base bordo'!C$2:C$746,A240,'Base bordo'!B$2:B$746,B240,'Base bordo'!F$2:F$746,"CARREGAMENTO"),0)</f>
        <v>0</v>
      </c>
      <c r="H240" s="10">
        <f>IFERROR(SUMIFS('Base bordo'!G$2:G$746,'Base bordo'!C$2:C$746,A240,'Base bordo'!B$2:B$746,B240,'Base bordo'!F$2:F$746,"AGUARDANDO TRANSBORDO"),0)</f>
        <v>0.33611111111111114</v>
      </c>
      <c r="I240" s="10">
        <f>IFERROR(SUMIFS('Base bordo'!G$2:G$746,'Base bordo'!C$2:C$746,A240,'Base bordo'!B$2:B$746,B240,'Base bordo'!F$2:F$746,"PÁTIO INTERNO"),0)+IFERROR(SUMIFS('Base bordo'!G$2:G$746,'Base bordo'!C$2:C$746,A240,'Base bordo'!B$2:B$746,B240,'Base bordo'!F$2:F$746,"PÁTIO EXTERNO"),0)+IFERROR(SUMIFS('Base bordo'!G$2:G$746,'Base bordo'!C$2:C$746,A240,'Base bordo'!B$2:B$746,B240,'Base bordo'!F$2:F$746,"PATIO - RESERVA"),0)+IFERROR(SUMIFS('Base bordo'!G$2:G$746,'Base bordo'!C$2:C$746,A240,'Base bordo'!B$2:B$746,B240,'Base bordo'!F$2:F$746,"MANOBRA CARRETAS-PATIO"),0)</f>
        <v>10.451944444444445</v>
      </c>
      <c r="J240" s="10">
        <f>IFERROR(SUMIFS('Base bordo'!G$2:G$746,'Base bordo'!C$2:C$746,A240,'Base bordo'!B$2:B$746,B240,'Base bordo'!F$2:F$746,"BALANÇA - ENTRADA"),0)+IFERROR(SUMIFS('Base bordo'!G$2:G$746,'Base bordo'!C$2:C$746,A240,'Base bordo'!B$2:B$746,B240,'Base bordo'!F$2:F$746,"BALANÇA - SAÍDA"),0)</f>
        <v>0.15138888888888888</v>
      </c>
      <c r="K240" s="10">
        <f>IFERROR(SUMIFS('Base bordo'!G$2:G$746,'Base bordo'!C$2:C$746,A240,'Base bordo'!B$2:B$746,B240,'Base bordo'!F$2:F$746,"MAN PREVENTIVA - MECANICA"),0)+IFERROR(SUMIFS('Base bordo'!G$2:G$746,'Base bordo'!C$2:C$746,A240,'Base bordo'!B$2:B$746,B240,'Base bordo'!F$2:F$746,"MAN CORRETIVA - MECANICA"),0)</f>
        <v>0</v>
      </c>
      <c r="L240" s="10">
        <f>IFERROR(SUMIFS('Base bordo'!G$2:G$746,'Base bordo'!C$2:C$746,A240,'Base bordo'!B$2:B$746,B240,'Base bordo'!F$2:F$746,"MANUTENCAO - T O"),0)+IFERROR(SUMIFS('Base bordo'!G$2:G$746,'Base bordo'!C$2:C$746,A240,'Base bordo'!B$2:B$746,B240,'Base bordo'!F$2:F$746,"MANUTENCAO BORRACHARIA"),0)+IFERROR(SUMIFS('Base bordo'!G$2:G$746,'Base bordo'!C$2:C$746,A240,'Base bordo'!B$2:B$746,B240,'Base bordo'!F$2:F$746,"MANUTENCAO EXTERNA  CONCESSIONARIA"),0)+IFERROR(SUMIFS('Base bordo'!G$2:G$746,'Base bordo'!C$2:C$746,A240,'Base bordo'!B$2:B$746,B240,'Base bordo'!F$2:F$746,"MANUTENCAO TELEMETRIA"),0)</f>
        <v>0</v>
      </c>
      <c r="M240" s="10">
        <f>IFERROR(SUMIFS('Base bordo'!G$2:G$746,'Base bordo'!C$2:C$746,A240,'Base bordo'!B$2:B$746,B240,'Base bordo'!F$2:F$746,"AGUARDANDO MANUTENCAO"),0)</f>
        <v>0</v>
      </c>
      <c r="N240" s="10">
        <f>IFERROR(SUMIFS('Base bordo'!G$2:G$746,'Base bordo'!C$2:C$746,A240,'Base bordo'!B$2:B$746,B240,'Base bordo'!F$2:F$746,"SEM APONTAMENTO"),0)</f>
        <v>0</v>
      </c>
      <c r="O240" s="10">
        <f t="shared" si="30"/>
        <v>0</v>
      </c>
      <c r="P240" s="10">
        <f>IFERROR(SUMIFS('Base bordo'!G$2:G$746,'Base bordo'!C$2:C$746,A240,'Base bordo'!B$2:B$746,B240),0)</f>
        <v>15.609166666666667</v>
      </c>
      <c r="Q240" s="10">
        <f>IFERROR(SUMIFS('Base bordo'!H$2:H$746,'Base bordo'!C$2:C$746,A240,'Base bordo'!B$2:B$746,B240,'Base bordo'!F$2:F$746,"DESLOCAMENTO VAZIO"),0)</f>
        <v>401876.54000000004</v>
      </c>
      <c r="R240" s="10">
        <f>IFERROR(SUMIFS('Base bordo'!I$2:I$746,'Base bordo'!C$2:C$746,A240,'Base bordo'!B$2:B$746,B240,'Base bordo'!F$2:F$746,"DESLOCAMENTO VAZIO"),0)</f>
        <v>9555</v>
      </c>
      <c r="S240" s="30">
        <f t="shared" si="31"/>
        <v>42.05929251700681</v>
      </c>
      <c r="T240" s="10">
        <f>IFERROR(SUMIFS('Base bordo'!H$2:H$746,'Base bordo'!C$2:C$746,A240,'Base bordo'!B$2:B$746,B240,'Base bordo'!F$2:F$746,"DESLOCAMENTO CARREGADO"),0)</f>
        <v>198098.78999999998</v>
      </c>
      <c r="U240" s="10">
        <f>IFERROR(SUMIFS('Base bordo'!I$2:I$746,'Base bordo'!C$2:C$746,A240,'Base bordo'!B$2:B$746,B240,'Base bordo'!F$2:F$746,"DESLOCAMENTO CARREGADO"),0)</f>
        <v>7256</v>
      </c>
      <c r="V240" s="30">
        <f t="shared" si="32"/>
        <v>27.301376791620726</v>
      </c>
      <c r="W240" s="9">
        <f t="shared" si="33"/>
        <v>0.1700389728257968</v>
      </c>
      <c r="X240" s="9">
        <f t="shared" si="34"/>
        <v>0.12912640364458208</v>
      </c>
      <c r="Y240" s="9">
        <f t="shared" si="35"/>
        <v>0.700834623529621</v>
      </c>
    </row>
    <row r="241" spans="1:25" ht="15" customHeight="1" x14ac:dyDescent="0.35">
      <c r="A241" s="52">
        <v>8013474</v>
      </c>
      <c r="B241" s="51">
        <v>46117</v>
      </c>
      <c r="C241" s="7" t="s">
        <v>124</v>
      </c>
      <c r="D241" s="10">
        <f>IFERROR(SUMIFS('Base bordo'!G$2:G$746,'Base bordo'!C$2:C$746,A241,'Base bordo'!B$2:B$746,B241,'Base bordo'!F$2:F$746,"DESLOCAMENTO VAZIO"),0)</f>
        <v>0.8372222222222222</v>
      </c>
      <c r="E241" s="10">
        <f>IFERROR(SUMIFS('Base bordo'!G$2:G$746,'Base bordo'!C$2:C$746,A241,'Base bordo'!B$2:B$746,B241,'Base bordo'!F$2:F$746,"DESLOCAMENTO CARREGADO"),0)</f>
        <v>0</v>
      </c>
      <c r="F241" s="10">
        <f>IFERROR(SUMIFS('Base bordo'!G$2:G$746,'Base bordo'!C$2:C$746,A241,'Base bordo'!B$2:B$746,B241,'Base bordo'!F$2:F$746,"DESLOCAMENTO"),0)</f>
        <v>3.8191666666666668</v>
      </c>
      <c r="G241" s="10">
        <f>IFERROR(SUMIFS('Base bordo'!G$2:G$746,'Base bordo'!C$2:C$746,A241,'Base bordo'!B$2:B$746,B241,'Base bordo'!F$2:F$746,"CARREGAMENTO"),0)</f>
        <v>0</v>
      </c>
      <c r="H241" s="10">
        <f>IFERROR(SUMIFS('Base bordo'!G$2:G$746,'Base bordo'!C$2:C$746,A241,'Base bordo'!B$2:B$746,B241,'Base bordo'!F$2:F$746,"AGUARDANDO TRANSBORDO"),0)</f>
        <v>0.20972222222222223</v>
      </c>
      <c r="I241" s="10">
        <f>IFERROR(SUMIFS('Base bordo'!G$2:G$746,'Base bordo'!C$2:C$746,A241,'Base bordo'!B$2:B$746,B241,'Base bordo'!F$2:F$746,"PÁTIO INTERNO"),0)+IFERROR(SUMIFS('Base bordo'!G$2:G$746,'Base bordo'!C$2:C$746,A241,'Base bordo'!B$2:B$746,B241,'Base bordo'!F$2:F$746,"PÁTIO EXTERNO"),0)+IFERROR(SUMIFS('Base bordo'!G$2:G$746,'Base bordo'!C$2:C$746,A241,'Base bordo'!B$2:B$746,B241,'Base bordo'!F$2:F$746,"PATIO - RESERVA"),0)+IFERROR(SUMIFS('Base bordo'!G$2:G$746,'Base bordo'!C$2:C$746,A241,'Base bordo'!B$2:B$746,B241,'Base bordo'!F$2:F$746,"MANOBRA CARRETAS-PATIO"),0)</f>
        <v>0</v>
      </c>
      <c r="J241" s="10">
        <f>IFERROR(SUMIFS('Base bordo'!G$2:G$746,'Base bordo'!C$2:C$746,A241,'Base bordo'!B$2:B$746,B241,'Base bordo'!F$2:F$746,"BALANÇA - ENTRADA"),0)+IFERROR(SUMIFS('Base bordo'!G$2:G$746,'Base bordo'!C$2:C$746,A241,'Base bordo'!B$2:B$746,B241,'Base bordo'!F$2:F$746,"BALANÇA - SAÍDA"),0)</f>
        <v>0</v>
      </c>
      <c r="K241" s="10">
        <f>IFERROR(SUMIFS('Base bordo'!G$2:G$746,'Base bordo'!C$2:C$746,A241,'Base bordo'!B$2:B$746,B241,'Base bordo'!F$2:F$746,"MAN PREVENTIVA - MECANICA"),0)+IFERROR(SUMIFS('Base bordo'!G$2:G$746,'Base bordo'!C$2:C$746,A241,'Base bordo'!B$2:B$746,B241,'Base bordo'!F$2:F$746,"MAN CORRETIVA - MECANICA"),0)</f>
        <v>0</v>
      </c>
      <c r="L241" s="10">
        <f>IFERROR(SUMIFS('Base bordo'!G$2:G$746,'Base bordo'!C$2:C$746,A241,'Base bordo'!B$2:B$746,B241,'Base bordo'!F$2:F$746,"MANUTENCAO - T O"),0)+IFERROR(SUMIFS('Base bordo'!G$2:G$746,'Base bordo'!C$2:C$746,A241,'Base bordo'!B$2:B$746,B241,'Base bordo'!F$2:F$746,"MANUTENCAO BORRACHARIA"),0)+IFERROR(SUMIFS('Base bordo'!G$2:G$746,'Base bordo'!C$2:C$746,A241,'Base bordo'!B$2:B$746,B241,'Base bordo'!F$2:F$746,"MANUTENCAO EXTERNA  CONCESSIONARIA"),0)+IFERROR(SUMIFS('Base bordo'!G$2:G$746,'Base bordo'!C$2:C$746,A241,'Base bordo'!B$2:B$746,B241,'Base bordo'!F$2:F$746,"MANUTENCAO TELEMETRIA"),0)</f>
        <v>17.169722222222223</v>
      </c>
      <c r="M241" s="10">
        <f>IFERROR(SUMIFS('Base bordo'!G$2:G$746,'Base bordo'!C$2:C$746,A241,'Base bordo'!B$2:B$746,B241,'Base bordo'!F$2:F$746,"AGUARDANDO MANUTENCAO"),0)</f>
        <v>0</v>
      </c>
      <c r="N241" s="10">
        <f>IFERROR(SUMIFS('Base bordo'!G$2:G$746,'Base bordo'!C$2:C$746,A241,'Base bordo'!B$2:B$746,B241,'Base bordo'!F$2:F$746,"SEM APONTAMENTO"),0)</f>
        <v>0</v>
      </c>
      <c r="O241" s="10">
        <f t="shared" si="30"/>
        <v>1.9641666666666637</v>
      </c>
      <c r="P241" s="10">
        <f>IFERROR(SUMIFS('Base bordo'!G$2:G$746,'Base bordo'!C$2:C$746,A241,'Base bordo'!B$2:B$746,B241),0)</f>
        <v>24</v>
      </c>
      <c r="Q241" s="10">
        <f>IFERROR(SUMIFS('Base bordo'!H$2:H$746,'Base bordo'!C$2:C$746,A241,'Base bordo'!B$2:B$746,B241,'Base bordo'!F$2:F$746,"DESLOCAMENTO VAZIO"),0)</f>
        <v>105617.31</v>
      </c>
      <c r="R241" s="10">
        <f>IFERROR(SUMIFS('Base bordo'!I$2:I$746,'Base bordo'!C$2:C$746,A241,'Base bordo'!B$2:B$746,B241,'Base bordo'!F$2:F$746,"DESLOCAMENTO VAZIO"),0)</f>
        <v>3014</v>
      </c>
      <c r="S241" s="30">
        <f t="shared" si="31"/>
        <v>35.042239548772393</v>
      </c>
      <c r="T241" s="10">
        <f>IFERROR(SUMIFS('Base bordo'!H$2:H$746,'Base bordo'!C$2:C$746,A241,'Base bordo'!B$2:B$746,B241,'Base bordo'!F$2:F$746,"DESLOCAMENTO CARREGADO"),0)</f>
        <v>0</v>
      </c>
      <c r="U241" s="10">
        <f>IFERROR(SUMIFS('Base bordo'!I$2:I$746,'Base bordo'!C$2:C$746,A241,'Base bordo'!B$2:B$746,B241,'Base bordo'!F$2:F$746,"DESLOCAMENTO CARREGADO"),0)</f>
        <v>0</v>
      </c>
      <c r="V241" s="30" t="str">
        <f t="shared" si="32"/>
        <v/>
      </c>
      <c r="W241" s="9">
        <f t="shared" si="33"/>
        <v>3.4884259259259261E-2</v>
      </c>
      <c r="X241" s="9">
        <f t="shared" si="34"/>
        <v>0</v>
      </c>
      <c r="Y241" s="9">
        <f t="shared" si="35"/>
        <v>0.96511574074074069</v>
      </c>
    </row>
    <row r="242" spans="1:25" ht="15" customHeight="1" x14ac:dyDescent="0.35">
      <c r="A242" s="52">
        <v>8013476</v>
      </c>
      <c r="B242" s="51">
        <v>46118</v>
      </c>
      <c r="C242" s="7" t="s">
        <v>124</v>
      </c>
      <c r="D242" s="10">
        <f>IFERROR(SUMIFS('Base bordo'!G$2:G$746,'Base bordo'!C$2:C$746,A242,'Base bordo'!B$2:B$746,B242,'Base bordo'!F$2:F$746,"DESLOCAMENTO VAZIO"),0)</f>
        <v>0.76361111111111113</v>
      </c>
      <c r="E242" s="10">
        <f>IFERROR(SUMIFS('Base bordo'!G$2:G$746,'Base bordo'!C$2:C$746,A242,'Base bordo'!B$2:B$746,B242,'Base bordo'!F$2:F$746,"DESLOCAMENTO CARREGADO"),0)</f>
        <v>0.6594444444444445</v>
      </c>
      <c r="F242" s="10">
        <f>IFERROR(SUMIFS('Base bordo'!G$2:G$746,'Base bordo'!C$2:C$746,A242,'Base bordo'!B$2:B$746,B242,'Base bordo'!F$2:F$746,"DESLOCAMENTO"),0)</f>
        <v>0</v>
      </c>
      <c r="G242" s="10">
        <f>IFERROR(SUMIFS('Base bordo'!G$2:G$746,'Base bordo'!C$2:C$746,A242,'Base bordo'!B$2:B$746,B242,'Base bordo'!F$2:F$746,"CARREGAMENTO"),0)</f>
        <v>0</v>
      </c>
      <c r="H242" s="10">
        <f>IFERROR(SUMIFS('Base bordo'!G$2:G$746,'Base bordo'!C$2:C$746,A242,'Base bordo'!B$2:B$746,B242,'Base bordo'!F$2:F$746,"AGUARDANDO TRANSBORDO"),0)</f>
        <v>1.1111111111111112</v>
      </c>
      <c r="I242" s="10">
        <f>IFERROR(SUMIFS('Base bordo'!G$2:G$746,'Base bordo'!C$2:C$746,A242,'Base bordo'!B$2:B$746,B242,'Base bordo'!F$2:F$746,"PÁTIO INTERNO"),0)+IFERROR(SUMIFS('Base bordo'!G$2:G$746,'Base bordo'!C$2:C$746,A242,'Base bordo'!B$2:B$746,B242,'Base bordo'!F$2:F$746,"PÁTIO EXTERNO"),0)+IFERROR(SUMIFS('Base bordo'!G$2:G$746,'Base bordo'!C$2:C$746,A242,'Base bordo'!B$2:B$746,B242,'Base bordo'!F$2:F$746,"PATIO - RESERVA"),0)+IFERROR(SUMIFS('Base bordo'!G$2:G$746,'Base bordo'!C$2:C$746,A242,'Base bordo'!B$2:B$746,B242,'Base bordo'!F$2:F$746,"MANOBRA CARRETAS-PATIO"),0)</f>
        <v>5.693888888888889</v>
      </c>
      <c r="J242" s="10">
        <f>IFERROR(SUMIFS('Base bordo'!G$2:G$746,'Base bordo'!C$2:C$746,A242,'Base bordo'!B$2:B$746,B242,'Base bordo'!F$2:F$746,"BALANÇA - ENTRADA"),0)+IFERROR(SUMIFS('Base bordo'!G$2:G$746,'Base bordo'!C$2:C$746,A242,'Base bordo'!B$2:B$746,B242,'Base bordo'!F$2:F$746,"BALANÇA - SAÍDA"),0)</f>
        <v>0.11305555555555555</v>
      </c>
      <c r="K242" s="10">
        <f>IFERROR(SUMIFS('Base bordo'!G$2:G$746,'Base bordo'!C$2:C$746,A242,'Base bordo'!B$2:B$746,B242,'Base bordo'!F$2:F$746,"MAN PREVENTIVA - MECANICA"),0)+IFERROR(SUMIFS('Base bordo'!G$2:G$746,'Base bordo'!C$2:C$746,A242,'Base bordo'!B$2:B$746,B242,'Base bordo'!F$2:F$746,"MAN CORRETIVA - MECANICA"),0)</f>
        <v>0</v>
      </c>
      <c r="L242" s="10">
        <f>IFERROR(SUMIFS('Base bordo'!G$2:G$746,'Base bordo'!C$2:C$746,A242,'Base bordo'!B$2:B$746,B242,'Base bordo'!F$2:F$746,"MANUTENCAO - T O"),0)+IFERROR(SUMIFS('Base bordo'!G$2:G$746,'Base bordo'!C$2:C$746,A242,'Base bordo'!B$2:B$746,B242,'Base bordo'!F$2:F$746,"MANUTENCAO BORRACHARIA"),0)+IFERROR(SUMIFS('Base bordo'!G$2:G$746,'Base bordo'!C$2:C$746,A242,'Base bordo'!B$2:B$746,B242,'Base bordo'!F$2:F$746,"MANUTENCAO EXTERNA  CONCESSIONARIA"),0)+IFERROR(SUMIFS('Base bordo'!G$2:G$746,'Base bordo'!C$2:C$746,A242,'Base bordo'!B$2:B$746,B242,'Base bordo'!F$2:F$746,"MANUTENCAO TELEMETRIA"),0)</f>
        <v>2.7313888888888891</v>
      </c>
      <c r="M242" s="10">
        <f>IFERROR(SUMIFS('Base bordo'!G$2:G$746,'Base bordo'!C$2:C$746,A242,'Base bordo'!B$2:B$746,B242,'Base bordo'!F$2:F$746,"AGUARDANDO MANUTENCAO"),0)</f>
        <v>0</v>
      </c>
      <c r="N242" s="10">
        <f>IFERROR(SUMIFS('Base bordo'!G$2:G$746,'Base bordo'!C$2:C$746,A242,'Base bordo'!B$2:B$746,B242,'Base bordo'!F$2:F$746,"SEM APONTAMENTO"),0)</f>
        <v>0</v>
      </c>
      <c r="O242" s="10">
        <f t="shared" si="30"/>
        <v>0</v>
      </c>
      <c r="P242" s="10">
        <f>IFERROR(SUMIFS('Base bordo'!G$2:G$746,'Base bordo'!C$2:C$746,A242,'Base bordo'!B$2:B$746,B242),0)</f>
        <v>11.072500000000002</v>
      </c>
      <c r="Q242" s="10">
        <f>IFERROR(SUMIFS('Base bordo'!H$2:H$746,'Base bordo'!C$2:C$746,A242,'Base bordo'!B$2:B$746,B242,'Base bordo'!F$2:F$746,"DESLOCAMENTO VAZIO"),0)</f>
        <v>69562.86</v>
      </c>
      <c r="R242" s="10">
        <f>IFERROR(SUMIFS('Base bordo'!I$2:I$746,'Base bordo'!C$2:C$746,A242,'Base bordo'!B$2:B$746,B242,'Base bordo'!F$2:F$746,"DESLOCAMENTO VAZIO"),0)</f>
        <v>2749</v>
      </c>
      <c r="S242" s="30">
        <f t="shared" si="31"/>
        <v>25.30478719534376</v>
      </c>
      <c r="T242" s="10">
        <f>IFERROR(SUMIFS('Base bordo'!H$2:H$746,'Base bordo'!C$2:C$746,A242,'Base bordo'!B$2:B$746,B242,'Base bordo'!F$2:F$746,"DESLOCAMENTO CARREGADO"),0)</f>
        <v>60370.82</v>
      </c>
      <c r="U242" s="10">
        <f>IFERROR(SUMIFS('Base bordo'!I$2:I$746,'Base bordo'!C$2:C$746,A242,'Base bordo'!B$2:B$746,B242,'Base bordo'!F$2:F$746,"DESLOCAMENTO CARREGADO"),0)</f>
        <v>2374</v>
      </c>
      <c r="V242" s="30">
        <f t="shared" si="32"/>
        <v>25.43</v>
      </c>
      <c r="W242" s="9">
        <f t="shared" si="33"/>
        <v>6.8964652166277812E-2</v>
      </c>
      <c r="X242" s="9">
        <f t="shared" si="34"/>
        <v>5.955696043752038E-2</v>
      </c>
      <c r="Y242" s="9">
        <f t="shared" si="35"/>
        <v>0.87147838739620176</v>
      </c>
    </row>
    <row r="243" spans="1:25" ht="15" customHeight="1" x14ac:dyDescent="0.35">
      <c r="A243" s="52">
        <v>8013476</v>
      </c>
      <c r="B243" s="51">
        <v>46117</v>
      </c>
      <c r="C243" s="7" t="s">
        <v>124</v>
      </c>
      <c r="D243" s="10">
        <f>IFERROR(SUMIFS('Base bordo'!G$2:G$746,'Base bordo'!C$2:C$746,A243,'Base bordo'!B$2:B$746,B243,'Base bordo'!F$2:F$746,"DESLOCAMENTO VAZIO"),0)</f>
        <v>1.9241666666666666</v>
      </c>
      <c r="E243" s="10">
        <f>IFERROR(SUMIFS('Base bordo'!G$2:G$746,'Base bordo'!C$2:C$746,A243,'Base bordo'!B$2:B$746,B243,'Base bordo'!F$2:F$746,"DESLOCAMENTO CARREGADO"),0)</f>
        <v>0</v>
      </c>
      <c r="F243" s="10">
        <f>IFERROR(SUMIFS('Base bordo'!G$2:G$746,'Base bordo'!C$2:C$746,A243,'Base bordo'!B$2:B$746,B243,'Base bordo'!F$2:F$746,"DESLOCAMENTO"),0)</f>
        <v>0</v>
      </c>
      <c r="G243" s="10">
        <f>IFERROR(SUMIFS('Base bordo'!G$2:G$746,'Base bordo'!C$2:C$746,A243,'Base bordo'!B$2:B$746,B243,'Base bordo'!F$2:F$746,"CARREGAMENTO"),0)</f>
        <v>1.3391666666666666</v>
      </c>
      <c r="H243" s="10">
        <f>IFERROR(SUMIFS('Base bordo'!G$2:G$746,'Base bordo'!C$2:C$746,A243,'Base bordo'!B$2:B$746,B243,'Base bordo'!F$2:F$746,"AGUARDANDO TRANSBORDO"),0)</f>
        <v>0.16555555555555557</v>
      </c>
      <c r="I243" s="10">
        <f>IFERROR(SUMIFS('Base bordo'!G$2:G$746,'Base bordo'!C$2:C$746,A243,'Base bordo'!B$2:B$746,B243,'Base bordo'!F$2:F$746,"PÁTIO INTERNO"),0)+IFERROR(SUMIFS('Base bordo'!G$2:G$746,'Base bordo'!C$2:C$746,A243,'Base bordo'!B$2:B$746,B243,'Base bordo'!F$2:F$746,"PÁTIO EXTERNO"),0)+IFERROR(SUMIFS('Base bordo'!G$2:G$746,'Base bordo'!C$2:C$746,A243,'Base bordo'!B$2:B$746,B243,'Base bordo'!F$2:F$746,"PATIO - RESERVA"),0)+IFERROR(SUMIFS('Base bordo'!G$2:G$746,'Base bordo'!C$2:C$746,A243,'Base bordo'!B$2:B$746,B243,'Base bordo'!F$2:F$746,"MANOBRA CARRETAS-PATIO"),0)</f>
        <v>0</v>
      </c>
      <c r="J243" s="10">
        <f>IFERROR(SUMIFS('Base bordo'!G$2:G$746,'Base bordo'!C$2:C$746,A243,'Base bordo'!B$2:B$746,B243,'Base bordo'!F$2:F$746,"BALANÇA - ENTRADA"),0)+IFERROR(SUMIFS('Base bordo'!G$2:G$746,'Base bordo'!C$2:C$746,A243,'Base bordo'!B$2:B$746,B243,'Base bordo'!F$2:F$746,"BALANÇA - SAÍDA"),0)</f>
        <v>0</v>
      </c>
      <c r="K243" s="10">
        <f>IFERROR(SUMIFS('Base bordo'!G$2:G$746,'Base bordo'!C$2:C$746,A243,'Base bordo'!B$2:B$746,B243,'Base bordo'!F$2:F$746,"MAN PREVENTIVA - MECANICA"),0)+IFERROR(SUMIFS('Base bordo'!G$2:G$746,'Base bordo'!C$2:C$746,A243,'Base bordo'!B$2:B$746,B243,'Base bordo'!F$2:F$746,"MAN CORRETIVA - MECANICA"),0)</f>
        <v>0</v>
      </c>
      <c r="L243" s="10">
        <f>IFERROR(SUMIFS('Base bordo'!G$2:G$746,'Base bordo'!C$2:C$746,A243,'Base bordo'!B$2:B$746,B243,'Base bordo'!F$2:F$746,"MANUTENCAO - T O"),0)+IFERROR(SUMIFS('Base bordo'!G$2:G$746,'Base bordo'!C$2:C$746,A243,'Base bordo'!B$2:B$746,B243,'Base bordo'!F$2:F$746,"MANUTENCAO BORRACHARIA"),0)+IFERROR(SUMIFS('Base bordo'!G$2:G$746,'Base bordo'!C$2:C$746,A243,'Base bordo'!B$2:B$746,B243,'Base bordo'!F$2:F$746,"MANUTENCAO EXTERNA  CONCESSIONARIA"),0)+IFERROR(SUMIFS('Base bordo'!G$2:G$746,'Base bordo'!C$2:C$746,A243,'Base bordo'!B$2:B$746,B243,'Base bordo'!F$2:F$746,"MANUTENCAO TELEMETRIA"),0)</f>
        <v>18.408888888888889</v>
      </c>
      <c r="M243" s="10">
        <f>IFERROR(SUMIFS('Base bordo'!G$2:G$746,'Base bordo'!C$2:C$746,A243,'Base bordo'!B$2:B$746,B243,'Base bordo'!F$2:F$746,"AGUARDANDO MANUTENCAO"),0)</f>
        <v>0</v>
      </c>
      <c r="N243" s="10">
        <f>IFERROR(SUMIFS('Base bordo'!G$2:G$746,'Base bordo'!C$2:C$746,A243,'Base bordo'!B$2:B$746,B243,'Base bordo'!F$2:F$746,"SEM APONTAMENTO"),0)</f>
        <v>0</v>
      </c>
      <c r="O243" s="10">
        <f t="shared" si="30"/>
        <v>0.16222222222222271</v>
      </c>
      <c r="P243" s="10">
        <f>IFERROR(SUMIFS('Base bordo'!G$2:G$746,'Base bordo'!C$2:C$746,A243,'Base bordo'!B$2:B$746,B243),0)</f>
        <v>22</v>
      </c>
      <c r="Q243" s="10">
        <f>IFERROR(SUMIFS('Base bordo'!H$2:H$746,'Base bordo'!C$2:C$746,A243,'Base bordo'!B$2:B$746,B243,'Base bordo'!F$2:F$746,"DESLOCAMENTO VAZIO"),0)</f>
        <v>234348.68000000002</v>
      </c>
      <c r="R243" s="10">
        <f>IFERROR(SUMIFS('Base bordo'!I$2:I$746,'Base bordo'!C$2:C$746,A243,'Base bordo'!B$2:B$746,B243,'Base bordo'!F$2:F$746,"DESLOCAMENTO VAZIO"),0)</f>
        <v>6927</v>
      </c>
      <c r="S243" s="30">
        <f t="shared" si="31"/>
        <v>33.831193879024113</v>
      </c>
      <c r="T243" s="10">
        <f>IFERROR(SUMIFS('Base bordo'!H$2:H$746,'Base bordo'!C$2:C$746,A243,'Base bordo'!B$2:B$746,B243,'Base bordo'!F$2:F$746,"DESLOCAMENTO CARREGADO"),0)</f>
        <v>0</v>
      </c>
      <c r="U243" s="10">
        <f>IFERROR(SUMIFS('Base bordo'!I$2:I$746,'Base bordo'!C$2:C$746,A243,'Base bordo'!B$2:B$746,B243,'Base bordo'!F$2:F$746,"DESLOCAMENTO CARREGADO"),0)</f>
        <v>0</v>
      </c>
      <c r="V243" s="30" t="str">
        <f t="shared" si="32"/>
        <v/>
      </c>
      <c r="W243" s="9">
        <f t="shared" si="33"/>
        <v>8.7462121212121213E-2</v>
      </c>
      <c r="X243" s="9">
        <f t="shared" si="34"/>
        <v>0</v>
      </c>
      <c r="Y243" s="9">
        <f t="shared" si="35"/>
        <v>0.91253787878787884</v>
      </c>
    </row>
    <row r="244" spans="1:25" ht="15" customHeight="1" x14ac:dyDescent="0.35">
      <c r="A244" s="52">
        <v>8013482</v>
      </c>
      <c r="B244" s="51">
        <v>46119</v>
      </c>
      <c r="C244" s="7" t="s">
        <v>124</v>
      </c>
      <c r="D244" s="10">
        <f>IFERROR(SUMIFS('Base bordo'!G$2:G$746,'Base bordo'!C$2:C$746,A244,'Base bordo'!B$2:B$746,B244,'Base bordo'!F$2:F$746,"DESLOCAMENTO VAZIO"),0)</f>
        <v>0.10249999999999999</v>
      </c>
      <c r="E244" s="10">
        <f>IFERROR(SUMIFS('Base bordo'!G$2:G$746,'Base bordo'!C$2:C$746,A244,'Base bordo'!B$2:B$746,B244,'Base bordo'!F$2:F$746,"DESLOCAMENTO CARREGADO"),0)</f>
        <v>0</v>
      </c>
      <c r="F244" s="10">
        <f>IFERROR(SUMIFS('Base bordo'!G$2:G$746,'Base bordo'!C$2:C$746,A244,'Base bordo'!B$2:B$746,B244,'Base bordo'!F$2:F$746,"DESLOCAMENTO"),0)</f>
        <v>0</v>
      </c>
      <c r="G244" s="10">
        <f>IFERROR(SUMIFS('Base bordo'!G$2:G$746,'Base bordo'!C$2:C$746,A244,'Base bordo'!B$2:B$746,B244,'Base bordo'!F$2:F$746,"CARREGAMENTO"),0)</f>
        <v>0</v>
      </c>
      <c r="H244" s="10">
        <f>IFERROR(SUMIFS('Base bordo'!G$2:G$746,'Base bordo'!C$2:C$746,A244,'Base bordo'!B$2:B$746,B244,'Base bordo'!F$2:F$746,"AGUARDANDO TRANSBORDO"),0)</f>
        <v>0</v>
      </c>
      <c r="I244" s="10">
        <f>IFERROR(SUMIFS('Base bordo'!G$2:G$746,'Base bordo'!C$2:C$746,A244,'Base bordo'!B$2:B$746,B244,'Base bordo'!F$2:F$746,"PÁTIO INTERNO"),0)+IFERROR(SUMIFS('Base bordo'!G$2:G$746,'Base bordo'!C$2:C$746,A244,'Base bordo'!B$2:B$746,B244,'Base bordo'!F$2:F$746,"PÁTIO EXTERNO"),0)+IFERROR(SUMIFS('Base bordo'!G$2:G$746,'Base bordo'!C$2:C$746,A244,'Base bordo'!B$2:B$746,B244,'Base bordo'!F$2:F$746,"PATIO - RESERVA"),0)+IFERROR(SUMIFS('Base bordo'!G$2:G$746,'Base bordo'!C$2:C$746,A244,'Base bordo'!B$2:B$746,B244,'Base bordo'!F$2:F$746,"MANOBRA CARRETAS-PATIO"),0)</f>
        <v>0.68638888888888894</v>
      </c>
      <c r="J244" s="10">
        <f>IFERROR(SUMIFS('Base bordo'!G$2:G$746,'Base bordo'!C$2:C$746,A244,'Base bordo'!B$2:B$746,B244,'Base bordo'!F$2:F$746,"BALANÇA - ENTRADA"),0)+IFERROR(SUMIFS('Base bordo'!G$2:G$746,'Base bordo'!C$2:C$746,A244,'Base bordo'!B$2:B$746,B244,'Base bordo'!F$2:F$746,"BALANÇA - SAÍDA"),0)</f>
        <v>8.3333333333333332E-3</v>
      </c>
      <c r="K244" s="10">
        <f>IFERROR(SUMIFS('Base bordo'!G$2:G$746,'Base bordo'!C$2:C$746,A244,'Base bordo'!B$2:B$746,B244,'Base bordo'!F$2:F$746,"MAN PREVENTIVA - MECANICA"),0)+IFERROR(SUMIFS('Base bordo'!G$2:G$746,'Base bordo'!C$2:C$746,A244,'Base bordo'!B$2:B$746,B244,'Base bordo'!F$2:F$746,"MAN CORRETIVA - MECANICA"),0)</f>
        <v>0</v>
      </c>
      <c r="L244" s="10">
        <f>IFERROR(SUMIFS('Base bordo'!G$2:G$746,'Base bordo'!C$2:C$746,A244,'Base bordo'!B$2:B$746,B244,'Base bordo'!F$2:F$746,"MANUTENCAO - T O"),0)+IFERROR(SUMIFS('Base bordo'!G$2:G$746,'Base bordo'!C$2:C$746,A244,'Base bordo'!B$2:B$746,B244,'Base bordo'!F$2:F$746,"MANUTENCAO BORRACHARIA"),0)+IFERROR(SUMIFS('Base bordo'!G$2:G$746,'Base bordo'!C$2:C$746,A244,'Base bordo'!B$2:B$746,B244,'Base bordo'!F$2:F$746,"MANUTENCAO EXTERNA  CONCESSIONARIA"),0)+IFERROR(SUMIFS('Base bordo'!G$2:G$746,'Base bordo'!C$2:C$746,A244,'Base bordo'!B$2:B$746,B244,'Base bordo'!F$2:F$746,"MANUTENCAO TELEMETRIA"),0)</f>
        <v>0</v>
      </c>
      <c r="M244" s="10">
        <f>IFERROR(SUMIFS('Base bordo'!G$2:G$746,'Base bordo'!C$2:C$746,A244,'Base bordo'!B$2:B$746,B244,'Base bordo'!F$2:F$746,"AGUARDANDO MANUTENCAO"),0)</f>
        <v>0</v>
      </c>
      <c r="N244" s="10">
        <f>IFERROR(SUMIFS('Base bordo'!G$2:G$746,'Base bordo'!C$2:C$746,A244,'Base bordo'!B$2:B$746,B244,'Base bordo'!F$2:F$746,"SEM APONTAMENTO"),0)</f>
        <v>0</v>
      </c>
      <c r="O244" s="10">
        <f t="shared" si="30"/>
        <v>0</v>
      </c>
      <c r="P244" s="10">
        <f>IFERROR(SUMIFS('Base bordo'!G$2:G$746,'Base bordo'!C$2:C$746,A244,'Base bordo'!B$2:B$746,B244),0)</f>
        <v>0.79722222222222228</v>
      </c>
      <c r="Q244" s="10">
        <f>IFERROR(SUMIFS('Base bordo'!H$2:H$746,'Base bordo'!C$2:C$746,A244,'Base bordo'!B$2:B$746,B244,'Base bordo'!F$2:F$746,"DESLOCAMENTO VAZIO"),0)</f>
        <v>4022.1</v>
      </c>
      <c r="R244" s="10">
        <f>IFERROR(SUMIFS('Base bordo'!I$2:I$746,'Base bordo'!C$2:C$746,A244,'Base bordo'!B$2:B$746,B244,'Base bordo'!F$2:F$746,"DESLOCAMENTO VAZIO"),0)</f>
        <v>369</v>
      </c>
      <c r="S244" s="30">
        <f t="shared" si="31"/>
        <v>10.9</v>
      </c>
      <c r="T244" s="10">
        <f>IFERROR(SUMIFS('Base bordo'!H$2:H$746,'Base bordo'!C$2:C$746,A244,'Base bordo'!B$2:B$746,B244,'Base bordo'!F$2:F$746,"DESLOCAMENTO CARREGADO"),0)</f>
        <v>0</v>
      </c>
      <c r="U244" s="10">
        <f>IFERROR(SUMIFS('Base bordo'!I$2:I$746,'Base bordo'!C$2:C$746,A244,'Base bordo'!B$2:B$746,B244,'Base bordo'!F$2:F$746,"DESLOCAMENTO CARREGADO"),0)</f>
        <v>0</v>
      </c>
      <c r="V244" s="30" t="str">
        <f t="shared" si="32"/>
        <v/>
      </c>
      <c r="W244" s="9">
        <f t="shared" si="33"/>
        <v>0.12857142857142856</v>
      </c>
      <c r="X244" s="9">
        <f t="shared" si="34"/>
        <v>0</v>
      </c>
      <c r="Y244" s="9">
        <f t="shared" si="35"/>
        <v>0.87142857142857144</v>
      </c>
    </row>
    <row r="245" spans="1:25" ht="15" customHeight="1" x14ac:dyDescent="0.35">
      <c r="A245" s="52">
        <v>8013482</v>
      </c>
      <c r="B245" s="51">
        <v>46118</v>
      </c>
      <c r="C245" s="7" t="s">
        <v>124</v>
      </c>
      <c r="D245" s="10">
        <f>IFERROR(SUMIFS('Base bordo'!G$2:G$746,'Base bordo'!C$2:C$746,A245,'Base bordo'!B$2:B$746,B245,'Base bordo'!F$2:F$746,"DESLOCAMENTO VAZIO"),0)</f>
        <v>0.37861111111111112</v>
      </c>
      <c r="E245" s="10">
        <f>IFERROR(SUMIFS('Base bordo'!G$2:G$746,'Base bordo'!C$2:C$746,A245,'Base bordo'!B$2:B$746,B245,'Base bordo'!F$2:F$746,"DESLOCAMENTO CARREGADO"),0)</f>
        <v>2.5222222222222221</v>
      </c>
      <c r="F245" s="10">
        <f>IFERROR(SUMIFS('Base bordo'!G$2:G$746,'Base bordo'!C$2:C$746,A245,'Base bordo'!B$2:B$746,B245,'Base bordo'!F$2:F$746,"DESLOCAMENTO"),0)</f>
        <v>0</v>
      </c>
      <c r="G245" s="10">
        <f>IFERROR(SUMIFS('Base bordo'!G$2:G$746,'Base bordo'!C$2:C$746,A245,'Base bordo'!B$2:B$746,B245,'Base bordo'!F$2:F$746,"CARREGAMENTO"),0)</f>
        <v>0</v>
      </c>
      <c r="H245" s="10">
        <f>IFERROR(SUMIFS('Base bordo'!G$2:G$746,'Base bordo'!C$2:C$746,A245,'Base bordo'!B$2:B$746,B245,'Base bordo'!F$2:F$746,"AGUARDANDO TRANSBORDO"),0)</f>
        <v>5.0149999999999997</v>
      </c>
      <c r="I245" s="10">
        <f>IFERROR(SUMIFS('Base bordo'!G$2:G$746,'Base bordo'!C$2:C$746,A245,'Base bordo'!B$2:B$746,B245,'Base bordo'!F$2:F$746,"PÁTIO INTERNO"),0)+IFERROR(SUMIFS('Base bordo'!G$2:G$746,'Base bordo'!C$2:C$746,A245,'Base bordo'!B$2:B$746,B245,'Base bordo'!F$2:F$746,"PÁTIO EXTERNO"),0)+IFERROR(SUMIFS('Base bordo'!G$2:G$746,'Base bordo'!C$2:C$746,A245,'Base bordo'!B$2:B$746,B245,'Base bordo'!F$2:F$746,"PATIO - RESERVA"),0)+IFERROR(SUMIFS('Base bordo'!G$2:G$746,'Base bordo'!C$2:C$746,A245,'Base bordo'!B$2:B$746,B245,'Base bordo'!F$2:F$746,"MANOBRA CARRETAS-PATIO"),0)</f>
        <v>3.0661111111111108</v>
      </c>
      <c r="J245" s="10">
        <f>IFERROR(SUMIFS('Base bordo'!G$2:G$746,'Base bordo'!C$2:C$746,A245,'Base bordo'!B$2:B$746,B245,'Base bordo'!F$2:F$746,"BALANÇA - ENTRADA"),0)+IFERROR(SUMIFS('Base bordo'!G$2:G$746,'Base bordo'!C$2:C$746,A245,'Base bordo'!B$2:B$746,B245,'Base bordo'!F$2:F$746,"BALANÇA - SAÍDA"),0)</f>
        <v>0.14555555555555555</v>
      </c>
      <c r="K245" s="10">
        <f>IFERROR(SUMIFS('Base bordo'!G$2:G$746,'Base bordo'!C$2:C$746,A245,'Base bordo'!B$2:B$746,B245,'Base bordo'!F$2:F$746,"MAN PREVENTIVA - MECANICA"),0)+IFERROR(SUMIFS('Base bordo'!G$2:G$746,'Base bordo'!C$2:C$746,A245,'Base bordo'!B$2:B$746,B245,'Base bordo'!F$2:F$746,"MAN CORRETIVA - MECANICA"),0)</f>
        <v>0</v>
      </c>
      <c r="L245" s="10">
        <f>IFERROR(SUMIFS('Base bordo'!G$2:G$746,'Base bordo'!C$2:C$746,A245,'Base bordo'!B$2:B$746,B245,'Base bordo'!F$2:F$746,"MANUTENCAO - T O"),0)+IFERROR(SUMIFS('Base bordo'!G$2:G$746,'Base bordo'!C$2:C$746,A245,'Base bordo'!B$2:B$746,B245,'Base bordo'!F$2:F$746,"MANUTENCAO BORRACHARIA"),0)+IFERROR(SUMIFS('Base bordo'!G$2:G$746,'Base bordo'!C$2:C$746,A245,'Base bordo'!B$2:B$746,B245,'Base bordo'!F$2:F$746,"MANUTENCAO EXTERNA  CONCESSIONARIA"),0)+IFERROR(SUMIFS('Base bordo'!G$2:G$746,'Base bordo'!C$2:C$746,A245,'Base bordo'!B$2:B$746,B245,'Base bordo'!F$2:F$746,"MANUTENCAO TELEMETRIA"),0)</f>
        <v>0</v>
      </c>
      <c r="M245" s="10">
        <f>IFERROR(SUMIFS('Base bordo'!G$2:G$746,'Base bordo'!C$2:C$746,A245,'Base bordo'!B$2:B$746,B245,'Base bordo'!F$2:F$746,"AGUARDANDO MANUTENCAO"),0)</f>
        <v>0</v>
      </c>
      <c r="N245" s="10">
        <f>IFERROR(SUMIFS('Base bordo'!G$2:G$746,'Base bordo'!C$2:C$746,A245,'Base bordo'!B$2:B$746,B245,'Base bordo'!F$2:F$746,"SEM APONTAMENTO"),0)</f>
        <v>0</v>
      </c>
      <c r="O245" s="10">
        <f t="shared" si="30"/>
        <v>0</v>
      </c>
      <c r="P245" s="10">
        <f>IFERROR(SUMIFS('Base bordo'!G$2:G$746,'Base bordo'!C$2:C$746,A245,'Base bordo'!B$2:B$746,B245),0)</f>
        <v>11.1275</v>
      </c>
      <c r="Q245" s="10">
        <f>IFERROR(SUMIFS('Base bordo'!H$2:H$746,'Base bordo'!C$2:C$746,A245,'Base bordo'!B$2:B$746,B245,'Base bordo'!F$2:F$746,"DESLOCAMENTO VAZIO"),0)</f>
        <v>7195.82</v>
      </c>
      <c r="R245" s="10">
        <f>IFERROR(SUMIFS('Base bordo'!I$2:I$746,'Base bordo'!C$2:C$746,A245,'Base bordo'!B$2:B$746,B245,'Base bordo'!F$2:F$746,"DESLOCAMENTO VAZIO"),0)</f>
        <v>1363</v>
      </c>
      <c r="S245" s="30">
        <f t="shared" si="31"/>
        <v>5.2793983859134261</v>
      </c>
      <c r="T245" s="10">
        <f>IFERROR(SUMIFS('Base bordo'!H$2:H$746,'Base bordo'!C$2:C$746,A245,'Base bordo'!B$2:B$746,B245,'Base bordo'!F$2:F$746,"DESLOCAMENTO CARREGADO"),0)</f>
        <v>221650.07</v>
      </c>
      <c r="U245" s="10">
        <f>IFERROR(SUMIFS('Base bordo'!I$2:I$746,'Base bordo'!C$2:C$746,A245,'Base bordo'!B$2:B$746,B245,'Base bordo'!F$2:F$746,"DESLOCAMENTO CARREGADO"),0)</f>
        <v>9080</v>
      </c>
      <c r="V245" s="30">
        <f t="shared" si="32"/>
        <v>24.410800660792951</v>
      </c>
      <c r="W245" s="9">
        <f t="shared" si="33"/>
        <v>3.4024813400234659E-2</v>
      </c>
      <c r="X245" s="9">
        <f t="shared" si="34"/>
        <v>0.22666566813949424</v>
      </c>
      <c r="Y245" s="9">
        <f t="shared" si="35"/>
        <v>0.73930951846027115</v>
      </c>
    </row>
    <row r="246" spans="1:25" ht="15" customHeight="1" x14ac:dyDescent="0.35">
      <c r="A246" s="52">
        <v>8013482</v>
      </c>
      <c r="B246" s="51">
        <v>46118</v>
      </c>
      <c r="C246" s="7" t="s">
        <v>124</v>
      </c>
      <c r="D246" s="10">
        <f>IFERROR(SUMIFS('Base bordo'!G$2:G$746,'Base bordo'!C$2:C$746,A246,'Base bordo'!B$2:B$746,B246,'Base bordo'!F$2:F$746,"DESLOCAMENTO VAZIO"),0)</f>
        <v>0.37861111111111112</v>
      </c>
      <c r="E246" s="10">
        <f>IFERROR(SUMIFS('Base bordo'!G$2:G$746,'Base bordo'!C$2:C$746,A246,'Base bordo'!B$2:B$746,B246,'Base bordo'!F$2:F$746,"DESLOCAMENTO CARREGADO"),0)</f>
        <v>2.5222222222222221</v>
      </c>
      <c r="F246" s="10">
        <f>IFERROR(SUMIFS('Base bordo'!G$2:G$746,'Base bordo'!C$2:C$746,A246,'Base bordo'!B$2:B$746,B246,'Base bordo'!F$2:F$746,"DESLOCAMENTO"),0)</f>
        <v>0</v>
      </c>
      <c r="G246" s="10">
        <f>IFERROR(SUMIFS('Base bordo'!G$2:G$746,'Base bordo'!C$2:C$746,A246,'Base bordo'!B$2:B$746,B246,'Base bordo'!F$2:F$746,"CARREGAMENTO"),0)</f>
        <v>0</v>
      </c>
      <c r="H246" s="10">
        <f>IFERROR(SUMIFS('Base bordo'!G$2:G$746,'Base bordo'!C$2:C$746,A246,'Base bordo'!B$2:B$746,B246,'Base bordo'!F$2:F$746,"AGUARDANDO TRANSBORDO"),0)</f>
        <v>5.0149999999999997</v>
      </c>
      <c r="I246" s="10">
        <f>IFERROR(SUMIFS('Base bordo'!G$2:G$746,'Base bordo'!C$2:C$746,A246,'Base bordo'!B$2:B$746,B246,'Base bordo'!F$2:F$746,"PÁTIO INTERNO"),0)+IFERROR(SUMIFS('Base bordo'!G$2:G$746,'Base bordo'!C$2:C$746,A246,'Base bordo'!B$2:B$746,B246,'Base bordo'!F$2:F$746,"PÁTIO EXTERNO"),0)+IFERROR(SUMIFS('Base bordo'!G$2:G$746,'Base bordo'!C$2:C$746,A246,'Base bordo'!B$2:B$746,B246,'Base bordo'!F$2:F$746,"PATIO - RESERVA"),0)+IFERROR(SUMIFS('Base bordo'!G$2:G$746,'Base bordo'!C$2:C$746,A246,'Base bordo'!B$2:B$746,B246,'Base bordo'!F$2:F$746,"MANOBRA CARRETAS-PATIO"),0)</f>
        <v>3.0661111111111108</v>
      </c>
      <c r="J246" s="10">
        <f>IFERROR(SUMIFS('Base bordo'!G$2:G$746,'Base bordo'!C$2:C$746,A246,'Base bordo'!B$2:B$746,B246,'Base bordo'!F$2:F$746,"BALANÇA - ENTRADA"),0)+IFERROR(SUMIFS('Base bordo'!G$2:G$746,'Base bordo'!C$2:C$746,A246,'Base bordo'!B$2:B$746,B246,'Base bordo'!F$2:F$746,"BALANÇA - SAÍDA"),0)</f>
        <v>0.14555555555555555</v>
      </c>
      <c r="K246" s="10">
        <f>IFERROR(SUMIFS('Base bordo'!G$2:G$746,'Base bordo'!C$2:C$746,A246,'Base bordo'!B$2:B$746,B246,'Base bordo'!F$2:F$746,"MAN PREVENTIVA - MECANICA"),0)+IFERROR(SUMIFS('Base bordo'!G$2:G$746,'Base bordo'!C$2:C$746,A246,'Base bordo'!B$2:B$746,B246,'Base bordo'!F$2:F$746,"MAN CORRETIVA - MECANICA"),0)</f>
        <v>0</v>
      </c>
      <c r="L246" s="10">
        <f>IFERROR(SUMIFS('Base bordo'!G$2:G$746,'Base bordo'!C$2:C$746,A246,'Base bordo'!B$2:B$746,B246,'Base bordo'!F$2:F$746,"MANUTENCAO - T O"),0)+IFERROR(SUMIFS('Base bordo'!G$2:G$746,'Base bordo'!C$2:C$746,A246,'Base bordo'!B$2:B$746,B246,'Base bordo'!F$2:F$746,"MANUTENCAO BORRACHARIA"),0)+IFERROR(SUMIFS('Base bordo'!G$2:G$746,'Base bordo'!C$2:C$746,A246,'Base bordo'!B$2:B$746,B246,'Base bordo'!F$2:F$746,"MANUTENCAO EXTERNA  CONCESSIONARIA"),0)+IFERROR(SUMIFS('Base bordo'!G$2:G$746,'Base bordo'!C$2:C$746,A246,'Base bordo'!B$2:B$746,B246,'Base bordo'!F$2:F$746,"MANUTENCAO TELEMETRIA"),0)</f>
        <v>0</v>
      </c>
      <c r="M246" s="10">
        <f>IFERROR(SUMIFS('Base bordo'!G$2:G$746,'Base bordo'!C$2:C$746,A246,'Base bordo'!B$2:B$746,B246,'Base bordo'!F$2:F$746,"AGUARDANDO MANUTENCAO"),0)</f>
        <v>0</v>
      </c>
      <c r="N246" s="10">
        <f>IFERROR(SUMIFS('Base bordo'!G$2:G$746,'Base bordo'!C$2:C$746,A246,'Base bordo'!B$2:B$746,B246,'Base bordo'!F$2:F$746,"SEM APONTAMENTO"),0)</f>
        <v>0</v>
      </c>
      <c r="O246" s="10">
        <f t="shared" si="30"/>
        <v>0</v>
      </c>
      <c r="P246" s="10">
        <f>IFERROR(SUMIFS('Base bordo'!G$2:G$746,'Base bordo'!C$2:C$746,A246,'Base bordo'!B$2:B$746,B246),0)</f>
        <v>11.1275</v>
      </c>
      <c r="Q246" s="10">
        <f>IFERROR(SUMIFS('Base bordo'!H$2:H$746,'Base bordo'!C$2:C$746,A246,'Base bordo'!B$2:B$746,B246,'Base bordo'!F$2:F$746,"DESLOCAMENTO VAZIO"),0)</f>
        <v>7195.82</v>
      </c>
      <c r="R246" s="10">
        <f>IFERROR(SUMIFS('Base bordo'!I$2:I$746,'Base bordo'!C$2:C$746,A246,'Base bordo'!B$2:B$746,B246,'Base bordo'!F$2:F$746,"DESLOCAMENTO VAZIO"),0)</f>
        <v>1363</v>
      </c>
      <c r="S246" s="30">
        <f t="shared" si="31"/>
        <v>5.2793983859134261</v>
      </c>
      <c r="T246" s="10">
        <f>IFERROR(SUMIFS('Base bordo'!H$2:H$746,'Base bordo'!C$2:C$746,A246,'Base bordo'!B$2:B$746,B246,'Base bordo'!F$2:F$746,"DESLOCAMENTO CARREGADO"),0)</f>
        <v>221650.07</v>
      </c>
      <c r="U246" s="10">
        <f>IFERROR(SUMIFS('Base bordo'!I$2:I$746,'Base bordo'!C$2:C$746,A246,'Base bordo'!B$2:B$746,B246,'Base bordo'!F$2:F$746,"DESLOCAMENTO CARREGADO"),0)</f>
        <v>9080</v>
      </c>
      <c r="V246" s="30">
        <f t="shared" si="32"/>
        <v>24.410800660792951</v>
      </c>
      <c r="W246" s="9">
        <f t="shared" si="33"/>
        <v>3.4024813400234659E-2</v>
      </c>
      <c r="X246" s="9">
        <f t="shared" si="34"/>
        <v>0.22666566813949424</v>
      </c>
      <c r="Y246" s="9">
        <f t="shared" si="35"/>
        <v>0.73930951846027115</v>
      </c>
    </row>
    <row r="247" spans="1:25" ht="15" customHeight="1" x14ac:dyDescent="0.35">
      <c r="A247" s="52">
        <v>8013478</v>
      </c>
      <c r="B247" s="51">
        <v>46124</v>
      </c>
      <c r="C247" s="7" t="s">
        <v>124</v>
      </c>
      <c r="D247" s="10">
        <f>IFERROR(SUMIFS('Base bordo'!G$2:G$746,'Base bordo'!C$2:C$746,A247,'Base bordo'!B$2:B$746,B247,'Base bordo'!F$2:F$746,"DESLOCAMENTO VAZIO"),0)</f>
        <v>2.069722222222222</v>
      </c>
      <c r="E247" s="10">
        <f>IFERROR(SUMIFS('Base bordo'!G$2:G$746,'Base bordo'!C$2:C$746,A247,'Base bordo'!B$2:B$746,B247,'Base bordo'!F$2:F$746,"DESLOCAMENTO CARREGADO"),0)</f>
        <v>4.5216666666666665</v>
      </c>
      <c r="F247" s="10">
        <f>IFERROR(SUMIFS('Base bordo'!G$2:G$746,'Base bordo'!C$2:C$746,A247,'Base bordo'!B$2:B$746,B247,'Base bordo'!F$2:F$746,"DESLOCAMENTO"),0)</f>
        <v>0</v>
      </c>
      <c r="G247" s="10">
        <f>IFERROR(SUMIFS('Base bordo'!G$2:G$746,'Base bordo'!C$2:C$746,A247,'Base bordo'!B$2:B$746,B247,'Base bordo'!F$2:F$746,"CARREGAMENTO"),0)</f>
        <v>0</v>
      </c>
      <c r="H247" s="10">
        <f>IFERROR(SUMIFS('Base bordo'!G$2:G$746,'Base bordo'!C$2:C$746,A247,'Base bordo'!B$2:B$746,B247,'Base bordo'!F$2:F$746,"AGUARDANDO TRANSBORDO"),0)</f>
        <v>0.42222222222222222</v>
      </c>
      <c r="I247" s="10">
        <f>IFERROR(SUMIFS('Base bordo'!G$2:G$746,'Base bordo'!C$2:C$746,A247,'Base bordo'!B$2:B$746,B247,'Base bordo'!F$2:F$746,"PÁTIO INTERNO"),0)+IFERROR(SUMIFS('Base bordo'!G$2:G$746,'Base bordo'!C$2:C$746,A247,'Base bordo'!B$2:B$746,B247,'Base bordo'!F$2:F$746,"PÁTIO EXTERNO"),0)+IFERROR(SUMIFS('Base bordo'!G$2:G$746,'Base bordo'!C$2:C$746,A247,'Base bordo'!B$2:B$746,B247,'Base bordo'!F$2:F$746,"PATIO - RESERVA"),0)+IFERROR(SUMIFS('Base bordo'!G$2:G$746,'Base bordo'!C$2:C$746,A247,'Base bordo'!B$2:B$746,B247,'Base bordo'!F$2:F$746,"MANOBRA CARRETAS-PATIO"),0)</f>
        <v>2.931111111111111</v>
      </c>
      <c r="J247" s="10">
        <f>IFERROR(SUMIFS('Base bordo'!G$2:G$746,'Base bordo'!C$2:C$746,A247,'Base bordo'!B$2:B$746,B247,'Base bordo'!F$2:F$746,"BALANÇA - ENTRADA"),0)+IFERROR(SUMIFS('Base bordo'!G$2:G$746,'Base bordo'!C$2:C$746,A247,'Base bordo'!B$2:B$746,B247,'Base bordo'!F$2:F$746,"BALANÇA - SAÍDA"),0)</f>
        <v>9.5833333333333326E-2</v>
      </c>
      <c r="K247" s="10">
        <f>IFERROR(SUMIFS('Base bordo'!G$2:G$746,'Base bordo'!C$2:C$746,A247,'Base bordo'!B$2:B$746,B247,'Base bordo'!F$2:F$746,"MAN PREVENTIVA - MECANICA"),0)+IFERROR(SUMIFS('Base bordo'!G$2:G$746,'Base bordo'!C$2:C$746,A247,'Base bordo'!B$2:B$746,B247,'Base bordo'!F$2:F$746,"MAN CORRETIVA - MECANICA"),0)</f>
        <v>0</v>
      </c>
      <c r="L247" s="10">
        <f>IFERROR(SUMIFS('Base bordo'!G$2:G$746,'Base bordo'!C$2:C$746,A247,'Base bordo'!B$2:B$746,B247,'Base bordo'!F$2:F$746,"MANUTENCAO - T O"),0)+IFERROR(SUMIFS('Base bordo'!G$2:G$746,'Base bordo'!C$2:C$746,A247,'Base bordo'!B$2:B$746,B247,'Base bordo'!F$2:F$746,"MANUTENCAO BORRACHARIA"),0)+IFERROR(SUMIFS('Base bordo'!G$2:G$746,'Base bordo'!C$2:C$746,A247,'Base bordo'!B$2:B$746,B247,'Base bordo'!F$2:F$746,"MANUTENCAO EXTERNA  CONCESSIONARIA"),0)+IFERROR(SUMIFS('Base bordo'!G$2:G$746,'Base bordo'!C$2:C$746,A247,'Base bordo'!B$2:B$746,B247,'Base bordo'!F$2:F$746,"MANUTENCAO TELEMETRIA"),0)</f>
        <v>0</v>
      </c>
      <c r="M247" s="10">
        <f>IFERROR(SUMIFS('Base bordo'!G$2:G$746,'Base bordo'!C$2:C$746,A247,'Base bordo'!B$2:B$746,B247,'Base bordo'!F$2:F$746,"AGUARDANDO MANUTENCAO"),0)</f>
        <v>0</v>
      </c>
      <c r="N247" s="10">
        <f>IFERROR(SUMIFS('Base bordo'!G$2:G$746,'Base bordo'!C$2:C$746,A247,'Base bordo'!B$2:B$746,B247,'Base bordo'!F$2:F$746,"SEM APONTAMENTO"),0)</f>
        <v>0</v>
      </c>
      <c r="O247" s="10">
        <f t="shared" si="30"/>
        <v>0</v>
      </c>
      <c r="P247" s="10">
        <f>IFERROR(SUMIFS('Base bordo'!G$2:G$746,'Base bordo'!C$2:C$746,A247,'Base bordo'!B$2:B$746,B247),0)</f>
        <v>10.040555555555555</v>
      </c>
      <c r="Q247" s="10">
        <f>IFERROR(SUMIFS('Base bordo'!H$2:H$746,'Base bordo'!C$2:C$746,A247,'Base bordo'!B$2:B$746,B247,'Base bordo'!F$2:F$746,"DESLOCAMENTO VAZIO"),0)</f>
        <v>230432.85</v>
      </c>
      <c r="R247" s="10">
        <f>IFERROR(SUMIFS('Base bordo'!I$2:I$746,'Base bordo'!C$2:C$746,A247,'Base bordo'!B$2:B$746,B247,'Base bordo'!F$2:F$746,"DESLOCAMENTO VAZIO"),0)</f>
        <v>7451</v>
      </c>
      <c r="S247" s="30">
        <f t="shared" si="31"/>
        <v>30.926432693598176</v>
      </c>
      <c r="T247" s="10">
        <f>IFERROR(SUMIFS('Base bordo'!H$2:H$746,'Base bordo'!C$2:C$746,A247,'Base bordo'!B$2:B$746,B247,'Base bordo'!F$2:F$746,"DESLOCAMENTO CARREGADO"),0)</f>
        <v>396489.03</v>
      </c>
      <c r="U247" s="10">
        <f>IFERROR(SUMIFS('Base bordo'!I$2:I$746,'Base bordo'!C$2:C$746,A247,'Base bordo'!B$2:B$746,B247,'Base bordo'!F$2:F$746,"DESLOCAMENTO CARREGADO"),0)</f>
        <v>16278</v>
      </c>
      <c r="V247" s="30">
        <f t="shared" si="32"/>
        <v>24.357355326207152</v>
      </c>
      <c r="W247" s="9">
        <f t="shared" si="33"/>
        <v>0.2061362253084712</v>
      </c>
      <c r="X247" s="9">
        <f t="shared" si="34"/>
        <v>0.45034028661539316</v>
      </c>
      <c r="Y247" s="9">
        <f t="shared" si="35"/>
        <v>0.34352348807613575</v>
      </c>
    </row>
    <row r="248" spans="1:25" ht="15" customHeight="1" x14ac:dyDescent="0.35">
      <c r="A248" s="52">
        <v>8013473</v>
      </c>
      <c r="B248" s="51">
        <v>46118</v>
      </c>
      <c r="C248" s="7" t="s">
        <v>124</v>
      </c>
      <c r="D248" s="10">
        <f>IFERROR(SUMIFS('Base bordo'!G$2:G$746,'Base bordo'!C$2:C$746,A248,'Base bordo'!B$2:B$746,B248,'Base bordo'!F$2:F$746,"DESLOCAMENTO VAZIO"),0)</f>
        <v>1.5997222222222223</v>
      </c>
      <c r="E248" s="10">
        <f>IFERROR(SUMIFS('Base bordo'!G$2:G$746,'Base bordo'!C$2:C$746,A248,'Base bordo'!B$2:B$746,B248,'Base bordo'!F$2:F$746,"DESLOCAMENTO CARREGADO"),0)</f>
        <v>3.9169444444444443</v>
      </c>
      <c r="F248" s="10">
        <f>IFERROR(SUMIFS('Base bordo'!G$2:G$746,'Base bordo'!C$2:C$746,A248,'Base bordo'!B$2:B$746,B248,'Base bordo'!F$2:F$746,"DESLOCAMENTO"),0)</f>
        <v>0</v>
      </c>
      <c r="G248" s="10">
        <f>IFERROR(SUMIFS('Base bordo'!G$2:G$746,'Base bordo'!C$2:C$746,A248,'Base bordo'!B$2:B$746,B248,'Base bordo'!F$2:F$746,"CARREGAMENTO"),0)</f>
        <v>0</v>
      </c>
      <c r="H248" s="10">
        <f>IFERROR(SUMIFS('Base bordo'!G$2:G$746,'Base bordo'!C$2:C$746,A248,'Base bordo'!B$2:B$746,B248,'Base bordo'!F$2:F$746,"AGUARDANDO TRANSBORDO"),0)</f>
        <v>0.18527777777777779</v>
      </c>
      <c r="I248" s="10">
        <f>IFERROR(SUMIFS('Base bordo'!G$2:G$746,'Base bordo'!C$2:C$746,A248,'Base bordo'!B$2:B$746,B248,'Base bordo'!F$2:F$746,"PÁTIO INTERNO"),0)+IFERROR(SUMIFS('Base bordo'!G$2:G$746,'Base bordo'!C$2:C$746,A248,'Base bordo'!B$2:B$746,B248,'Base bordo'!F$2:F$746,"PÁTIO EXTERNO"),0)+IFERROR(SUMIFS('Base bordo'!G$2:G$746,'Base bordo'!C$2:C$746,A248,'Base bordo'!B$2:B$746,B248,'Base bordo'!F$2:F$746,"PATIO - RESERVA"),0)+IFERROR(SUMIFS('Base bordo'!G$2:G$746,'Base bordo'!C$2:C$746,A248,'Base bordo'!B$2:B$746,B248,'Base bordo'!F$2:F$746,"MANOBRA CARRETAS-PATIO"),0)</f>
        <v>10.403611111111111</v>
      </c>
      <c r="J248" s="10">
        <f>IFERROR(SUMIFS('Base bordo'!G$2:G$746,'Base bordo'!C$2:C$746,A248,'Base bordo'!B$2:B$746,B248,'Base bordo'!F$2:F$746,"BALANÇA - ENTRADA"),0)+IFERROR(SUMIFS('Base bordo'!G$2:G$746,'Base bordo'!C$2:C$746,A248,'Base bordo'!B$2:B$746,B248,'Base bordo'!F$2:F$746,"BALANÇA - SAÍDA"),0)</f>
        <v>5.8055555555555555E-2</v>
      </c>
      <c r="K248" s="10">
        <f>IFERROR(SUMIFS('Base bordo'!G$2:G$746,'Base bordo'!C$2:C$746,A248,'Base bordo'!B$2:B$746,B248,'Base bordo'!F$2:F$746,"MAN PREVENTIVA - MECANICA"),0)+IFERROR(SUMIFS('Base bordo'!G$2:G$746,'Base bordo'!C$2:C$746,A248,'Base bordo'!B$2:B$746,B248,'Base bordo'!F$2:F$746,"MAN CORRETIVA - MECANICA"),0)</f>
        <v>0</v>
      </c>
      <c r="L248" s="10">
        <f>IFERROR(SUMIFS('Base bordo'!G$2:G$746,'Base bordo'!C$2:C$746,A248,'Base bordo'!B$2:B$746,B248,'Base bordo'!F$2:F$746,"MANUTENCAO - T O"),0)+IFERROR(SUMIFS('Base bordo'!G$2:G$746,'Base bordo'!C$2:C$746,A248,'Base bordo'!B$2:B$746,B248,'Base bordo'!F$2:F$746,"MANUTENCAO BORRACHARIA"),0)+IFERROR(SUMIFS('Base bordo'!G$2:G$746,'Base bordo'!C$2:C$746,A248,'Base bordo'!B$2:B$746,B248,'Base bordo'!F$2:F$746,"MANUTENCAO EXTERNA  CONCESSIONARIA"),0)+IFERROR(SUMIFS('Base bordo'!G$2:G$746,'Base bordo'!C$2:C$746,A248,'Base bordo'!B$2:B$746,B248,'Base bordo'!F$2:F$746,"MANUTENCAO TELEMETRIA"),0)</f>
        <v>0</v>
      </c>
      <c r="M248" s="10">
        <f>IFERROR(SUMIFS('Base bordo'!G$2:G$746,'Base bordo'!C$2:C$746,A248,'Base bordo'!B$2:B$746,B248,'Base bordo'!F$2:F$746,"AGUARDANDO MANUTENCAO"),0)</f>
        <v>0</v>
      </c>
      <c r="N248" s="10">
        <f>IFERROR(SUMIFS('Base bordo'!G$2:G$746,'Base bordo'!C$2:C$746,A248,'Base bordo'!B$2:B$746,B248,'Base bordo'!F$2:F$746,"SEM APONTAMENTO"),0)</f>
        <v>0</v>
      </c>
      <c r="O248" s="10">
        <f t="shared" si="30"/>
        <v>3.5527136788005009E-15</v>
      </c>
      <c r="P248" s="10">
        <f>IFERROR(SUMIFS('Base bordo'!G$2:G$746,'Base bordo'!C$2:C$746,A248,'Base bordo'!B$2:B$746,B248),0)</f>
        <v>16.163611111111113</v>
      </c>
      <c r="Q248" s="10">
        <f>IFERROR(SUMIFS('Base bordo'!H$2:H$746,'Base bordo'!C$2:C$746,A248,'Base bordo'!B$2:B$746,B248,'Base bordo'!F$2:F$746,"DESLOCAMENTO VAZIO"),0)</f>
        <v>187793.3</v>
      </c>
      <c r="R248" s="10">
        <f>IFERROR(SUMIFS('Base bordo'!I$2:I$746,'Base bordo'!C$2:C$746,A248,'Base bordo'!B$2:B$746,B248,'Base bordo'!F$2:F$746,"DESLOCAMENTO VAZIO"),0)</f>
        <v>5759</v>
      </c>
      <c r="S248" s="30">
        <f t="shared" si="31"/>
        <v>32.608664698732419</v>
      </c>
      <c r="T248" s="10">
        <f>IFERROR(SUMIFS('Base bordo'!H$2:H$746,'Base bordo'!C$2:C$746,A248,'Base bordo'!B$2:B$746,B248,'Base bordo'!F$2:F$746,"DESLOCAMENTO CARREGADO"),0)</f>
        <v>380848.11</v>
      </c>
      <c r="U248" s="10">
        <f>IFERROR(SUMIFS('Base bordo'!I$2:I$746,'Base bordo'!C$2:C$746,A248,'Base bordo'!B$2:B$746,B248,'Base bordo'!F$2:F$746,"DESLOCAMENTO CARREGADO"),0)</f>
        <v>14101</v>
      </c>
      <c r="V248" s="30">
        <f t="shared" si="32"/>
        <v>27.008588752570738</v>
      </c>
      <c r="W248" s="9">
        <f t="shared" si="33"/>
        <v>9.8970595817078816E-2</v>
      </c>
      <c r="X248" s="9">
        <f t="shared" si="34"/>
        <v>0.24233102476413065</v>
      </c>
      <c r="Y248" s="9">
        <f t="shared" si="35"/>
        <v>0.6586983794187905</v>
      </c>
    </row>
    <row r="249" spans="1:25" ht="15" customHeight="1" x14ac:dyDescent="0.35">
      <c r="A249" s="52">
        <v>8013468</v>
      </c>
      <c r="B249" s="51">
        <v>46118</v>
      </c>
      <c r="C249" s="7" t="s">
        <v>124</v>
      </c>
      <c r="D249" s="10">
        <f>IFERROR(SUMIFS('Base bordo'!G$2:G$746,'Base bordo'!C$2:C$746,A249,'Base bordo'!B$2:B$746,B249,'Base bordo'!F$2:F$746,"DESLOCAMENTO VAZIO"),0)</f>
        <v>0.6841666666666667</v>
      </c>
      <c r="E249" s="10">
        <f>IFERROR(SUMIFS('Base bordo'!G$2:G$746,'Base bordo'!C$2:C$746,A249,'Base bordo'!B$2:B$746,B249,'Base bordo'!F$2:F$746,"DESLOCAMENTO CARREGADO"),0)</f>
        <v>1.9422222222222223</v>
      </c>
      <c r="F249" s="10">
        <f>IFERROR(SUMIFS('Base bordo'!G$2:G$746,'Base bordo'!C$2:C$746,A249,'Base bordo'!B$2:B$746,B249,'Base bordo'!F$2:F$746,"DESLOCAMENTO"),0)</f>
        <v>0</v>
      </c>
      <c r="G249" s="10">
        <f>IFERROR(SUMIFS('Base bordo'!G$2:G$746,'Base bordo'!C$2:C$746,A249,'Base bordo'!B$2:B$746,B249,'Base bordo'!F$2:F$746,"CARREGAMENTO"),0)</f>
        <v>1.653888888888889</v>
      </c>
      <c r="H249" s="10">
        <f>IFERROR(SUMIFS('Base bordo'!G$2:G$746,'Base bordo'!C$2:C$746,A249,'Base bordo'!B$2:B$746,B249,'Base bordo'!F$2:F$746,"AGUARDANDO TRANSBORDO"),0)</f>
        <v>7.9522222222222219</v>
      </c>
      <c r="I249" s="10">
        <f>IFERROR(SUMIFS('Base bordo'!G$2:G$746,'Base bordo'!C$2:C$746,A249,'Base bordo'!B$2:B$746,B249,'Base bordo'!F$2:F$746,"PÁTIO INTERNO"),0)+IFERROR(SUMIFS('Base bordo'!G$2:G$746,'Base bordo'!C$2:C$746,A249,'Base bordo'!B$2:B$746,B249,'Base bordo'!F$2:F$746,"PÁTIO EXTERNO"),0)+IFERROR(SUMIFS('Base bordo'!G$2:G$746,'Base bordo'!C$2:C$746,A249,'Base bordo'!B$2:B$746,B249,'Base bordo'!F$2:F$746,"PATIO - RESERVA"),0)+IFERROR(SUMIFS('Base bordo'!G$2:G$746,'Base bordo'!C$2:C$746,A249,'Base bordo'!B$2:B$746,B249,'Base bordo'!F$2:F$746,"MANOBRA CARRETAS-PATIO"),0)</f>
        <v>3.6688888888888886</v>
      </c>
      <c r="J249" s="10">
        <f>IFERROR(SUMIFS('Base bordo'!G$2:G$746,'Base bordo'!C$2:C$746,A249,'Base bordo'!B$2:B$746,B249,'Base bordo'!F$2:F$746,"BALANÇA - ENTRADA"),0)+IFERROR(SUMIFS('Base bordo'!G$2:G$746,'Base bordo'!C$2:C$746,A249,'Base bordo'!B$2:B$746,B249,'Base bordo'!F$2:F$746,"BALANÇA - SAÍDA"),0)</f>
        <v>0.11305555555555556</v>
      </c>
      <c r="K249" s="10">
        <f>IFERROR(SUMIFS('Base bordo'!G$2:G$746,'Base bordo'!C$2:C$746,A249,'Base bordo'!B$2:B$746,B249,'Base bordo'!F$2:F$746,"MAN PREVENTIVA - MECANICA"),0)+IFERROR(SUMIFS('Base bordo'!G$2:G$746,'Base bordo'!C$2:C$746,A249,'Base bordo'!B$2:B$746,B249,'Base bordo'!F$2:F$746,"MAN CORRETIVA - MECANICA"),0)</f>
        <v>0</v>
      </c>
      <c r="L249" s="10">
        <f>IFERROR(SUMIFS('Base bordo'!G$2:G$746,'Base bordo'!C$2:C$746,A249,'Base bordo'!B$2:B$746,B249,'Base bordo'!F$2:F$746,"MANUTENCAO - T O"),0)+IFERROR(SUMIFS('Base bordo'!G$2:G$746,'Base bordo'!C$2:C$746,A249,'Base bordo'!B$2:B$746,B249,'Base bordo'!F$2:F$746,"MANUTENCAO BORRACHARIA"),0)+IFERROR(SUMIFS('Base bordo'!G$2:G$746,'Base bordo'!C$2:C$746,A249,'Base bordo'!B$2:B$746,B249,'Base bordo'!F$2:F$746,"MANUTENCAO EXTERNA  CONCESSIONARIA"),0)+IFERROR(SUMIFS('Base bordo'!G$2:G$746,'Base bordo'!C$2:C$746,A249,'Base bordo'!B$2:B$746,B249,'Base bordo'!F$2:F$746,"MANUTENCAO TELEMETRIA"),0)</f>
        <v>0</v>
      </c>
      <c r="M249" s="10">
        <f>IFERROR(SUMIFS('Base bordo'!G$2:G$746,'Base bordo'!C$2:C$746,A249,'Base bordo'!B$2:B$746,B249,'Base bordo'!F$2:F$746,"AGUARDANDO MANUTENCAO"),0)</f>
        <v>2.0486111111111112</v>
      </c>
      <c r="N249" s="10">
        <f>IFERROR(SUMIFS('Base bordo'!G$2:G$746,'Base bordo'!C$2:C$746,A249,'Base bordo'!B$2:B$746,B249,'Base bordo'!F$2:F$746,"SEM APONTAMENTO"),0)</f>
        <v>0</v>
      </c>
      <c r="O249" s="10">
        <f t="shared" si="30"/>
        <v>5.9369444444444461</v>
      </c>
      <c r="P249" s="10">
        <f>IFERROR(SUMIFS('Base bordo'!G$2:G$746,'Base bordo'!C$2:C$746,A249,'Base bordo'!B$2:B$746,B249),0)</f>
        <v>24</v>
      </c>
      <c r="Q249" s="10">
        <f>IFERROR(SUMIFS('Base bordo'!H$2:H$746,'Base bordo'!C$2:C$746,A249,'Base bordo'!B$2:B$746,B249,'Base bordo'!F$2:F$746,"DESLOCAMENTO VAZIO"),0)</f>
        <v>33045.270000000004</v>
      </c>
      <c r="R249" s="10">
        <f>IFERROR(SUMIFS('Base bordo'!I$2:I$746,'Base bordo'!C$2:C$746,A249,'Base bordo'!B$2:B$746,B249,'Base bordo'!F$2:F$746,"DESLOCAMENTO VAZIO"),0)</f>
        <v>2463</v>
      </c>
      <c r="S249" s="30">
        <f t="shared" si="31"/>
        <v>13.416674786845313</v>
      </c>
      <c r="T249" s="10">
        <f>IFERROR(SUMIFS('Base bordo'!H$2:H$746,'Base bordo'!C$2:C$746,A249,'Base bordo'!B$2:B$746,B249,'Base bordo'!F$2:F$746,"DESLOCAMENTO CARREGADO"),0)</f>
        <v>213859.12</v>
      </c>
      <c r="U249" s="10">
        <f>IFERROR(SUMIFS('Base bordo'!I$2:I$746,'Base bordo'!C$2:C$746,A249,'Base bordo'!B$2:B$746,B249,'Base bordo'!F$2:F$746,"DESLOCAMENTO CARREGADO"),0)</f>
        <v>6992</v>
      </c>
      <c r="V249" s="30">
        <f t="shared" si="32"/>
        <v>30.586258581235697</v>
      </c>
      <c r="W249" s="9">
        <f t="shared" si="33"/>
        <v>2.8506944444444446E-2</v>
      </c>
      <c r="X249" s="9">
        <f t="shared" si="34"/>
        <v>8.0925925925925929E-2</v>
      </c>
      <c r="Y249" s="9">
        <f t="shared" si="35"/>
        <v>0.89056712962962958</v>
      </c>
    </row>
    <row r="250" spans="1:25" ht="15" customHeight="1" x14ac:dyDescent="0.35">
      <c r="A250" s="52">
        <v>8013469</v>
      </c>
      <c r="B250" s="51">
        <v>46118</v>
      </c>
      <c r="C250" s="7" t="s">
        <v>124</v>
      </c>
      <c r="D250" s="10">
        <f>IFERROR(SUMIFS('Base bordo'!G$2:G$746,'Base bordo'!C$2:C$746,A250,'Base bordo'!B$2:B$746,B250,'Base bordo'!F$2:F$746,"DESLOCAMENTO VAZIO"),0)</f>
        <v>2.1594444444444445</v>
      </c>
      <c r="E250" s="10">
        <f>IFERROR(SUMIFS('Base bordo'!G$2:G$746,'Base bordo'!C$2:C$746,A250,'Base bordo'!B$2:B$746,B250,'Base bordo'!F$2:F$746,"DESLOCAMENTO CARREGADO"),0)</f>
        <v>2.4455555555555555</v>
      </c>
      <c r="F250" s="10">
        <f>IFERROR(SUMIFS('Base bordo'!G$2:G$746,'Base bordo'!C$2:C$746,A250,'Base bordo'!B$2:B$746,B250,'Base bordo'!F$2:F$746,"DESLOCAMENTO"),0)</f>
        <v>0.63083333333333336</v>
      </c>
      <c r="G250" s="10">
        <f>IFERROR(SUMIFS('Base bordo'!G$2:G$746,'Base bordo'!C$2:C$746,A250,'Base bordo'!B$2:B$746,B250,'Base bordo'!F$2:F$746,"CARREGAMENTO"),0)</f>
        <v>0.96722222222222221</v>
      </c>
      <c r="H250" s="10">
        <f>IFERROR(SUMIFS('Base bordo'!G$2:G$746,'Base bordo'!C$2:C$746,A250,'Base bordo'!B$2:B$746,B250,'Base bordo'!F$2:F$746,"AGUARDANDO TRANSBORDO"),0)</f>
        <v>0.91111111111111109</v>
      </c>
      <c r="I250" s="10">
        <f>IFERROR(SUMIFS('Base bordo'!G$2:G$746,'Base bordo'!C$2:C$746,A250,'Base bordo'!B$2:B$746,B250,'Base bordo'!F$2:F$746,"PÁTIO INTERNO"),0)+IFERROR(SUMIFS('Base bordo'!G$2:G$746,'Base bordo'!C$2:C$746,A250,'Base bordo'!B$2:B$746,B250,'Base bordo'!F$2:F$746,"PÁTIO EXTERNO"),0)+IFERROR(SUMIFS('Base bordo'!G$2:G$746,'Base bordo'!C$2:C$746,A250,'Base bordo'!B$2:B$746,B250,'Base bordo'!F$2:F$746,"PATIO - RESERVA"),0)+IFERROR(SUMIFS('Base bordo'!G$2:G$746,'Base bordo'!C$2:C$746,A250,'Base bordo'!B$2:B$746,B250,'Base bordo'!F$2:F$746,"MANOBRA CARRETAS-PATIO"),0)</f>
        <v>6.1047222222222217</v>
      </c>
      <c r="J250" s="10">
        <f>IFERROR(SUMIFS('Base bordo'!G$2:G$746,'Base bordo'!C$2:C$746,A250,'Base bordo'!B$2:B$746,B250,'Base bordo'!F$2:F$746,"BALANÇA - ENTRADA"),0)+IFERROR(SUMIFS('Base bordo'!G$2:G$746,'Base bordo'!C$2:C$746,A250,'Base bordo'!B$2:B$746,B250,'Base bordo'!F$2:F$746,"BALANÇA - SAÍDA"),0)</f>
        <v>6.8055555555555564E-2</v>
      </c>
      <c r="K250" s="10">
        <f>IFERROR(SUMIFS('Base bordo'!G$2:G$746,'Base bordo'!C$2:C$746,A250,'Base bordo'!B$2:B$746,B250,'Base bordo'!F$2:F$746,"MAN PREVENTIVA - MECANICA"),0)+IFERROR(SUMIFS('Base bordo'!G$2:G$746,'Base bordo'!C$2:C$746,A250,'Base bordo'!B$2:B$746,B250,'Base bordo'!F$2:F$746,"MAN CORRETIVA - MECANICA"),0)</f>
        <v>0.40166666666666667</v>
      </c>
      <c r="L250" s="10">
        <f>IFERROR(SUMIFS('Base bordo'!G$2:G$746,'Base bordo'!C$2:C$746,A250,'Base bordo'!B$2:B$746,B250,'Base bordo'!F$2:F$746,"MANUTENCAO - T O"),0)+IFERROR(SUMIFS('Base bordo'!G$2:G$746,'Base bordo'!C$2:C$746,A250,'Base bordo'!B$2:B$746,B250,'Base bordo'!F$2:F$746,"MANUTENCAO BORRACHARIA"),0)+IFERROR(SUMIFS('Base bordo'!G$2:G$746,'Base bordo'!C$2:C$746,A250,'Base bordo'!B$2:B$746,B250,'Base bordo'!F$2:F$746,"MANUTENCAO EXTERNA  CONCESSIONARIA"),0)+IFERROR(SUMIFS('Base bordo'!G$2:G$746,'Base bordo'!C$2:C$746,A250,'Base bordo'!B$2:B$746,B250,'Base bordo'!F$2:F$746,"MANUTENCAO TELEMETRIA"),0)</f>
        <v>1.5977777777777777</v>
      </c>
      <c r="M250" s="10">
        <f>IFERROR(SUMIFS('Base bordo'!G$2:G$746,'Base bordo'!C$2:C$746,A250,'Base bordo'!B$2:B$746,B250,'Base bordo'!F$2:F$746,"AGUARDANDO MANUTENCAO"),0)</f>
        <v>2.0836111111111113</v>
      </c>
      <c r="N250" s="10">
        <f>IFERROR(SUMIFS('Base bordo'!G$2:G$746,'Base bordo'!C$2:C$746,A250,'Base bordo'!B$2:B$746,B250,'Base bordo'!F$2:F$746,"SEM APONTAMENTO"),0)</f>
        <v>5.4166666666666669E-2</v>
      </c>
      <c r="O250" s="10">
        <f t="shared" si="30"/>
        <v>6.5758333333333354</v>
      </c>
      <c r="P250" s="10">
        <f>IFERROR(SUMIFS('Base bordo'!G$2:G$746,'Base bordo'!C$2:C$746,A250,'Base bordo'!B$2:B$746,B250),0)</f>
        <v>24.000000000000004</v>
      </c>
      <c r="Q250" s="10">
        <f>IFERROR(SUMIFS('Base bordo'!H$2:H$746,'Base bordo'!C$2:C$746,A250,'Base bordo'!B$2:B$746,B250,'Base bordo'!F$2:F$746,"DESLOCAMENTO VAZIO"),0)</f>
        <v>182003.76000000004</v>
      </c>
      <c r="R250" s="10">
        <f>IFERROR(SUMIFS('Base bordo'!I$2:I$746,'Base bordo'!C$2:C$746,A250,'Base bordo'!B$2:B$746,B250,'Base bordo'!F$2:F$746,"DESLOCAMENTO VAZIO"),0)</f>
        <v>7774</v>
      </c>
      <c r="S250" s="30">
        <f t="shared" si="31"/>
        <v>23.411854900951894</v>
      </c>
      <c r="T250" s="10">
        <f>IFERROR(SUMIFS('Base bordo'!H$2:H$746,'Base bordo'!C$2:C$746,A250,'Base bordo'!B$2:B$746,B250,'Base bordo'!F$2:F$746,"DESLOCAMENTO CARREGADO"),0)</f>
        <v>235509.89</v>
      </c>
      <c r="U250" s="10">
        <f>IFERROR(SUMIFS('Base bordo'!I$2:I$746,'Base bordo'!C$2:C$746,A250,'Base bordo'!B$2:B$746,B250,'Base bordo'!F$2:F$746,"DESLOCAMENTO CARREGADO"),0)</f>
        <v>8804</v>
      </c>
      <c r="V250" s="30">
        <f t="shared" si="32"/>
        <v>26.750328259881872</v>
      </c>
      <c r="W250" s="9">
        <f t="shared" si="33"/>
        <v>8.9976851851851836E-2</v>
      </c>
      <c r="X250" s="9">
        <f t="shared" si="34"/>
        <v>0.10189814814814813</v>
      </c>
      <c r="Y250" s="9">
        <f t="shared" si="35"/>
        <v>0.80812499999999998</v>
      </c>
    </row>
    <row r="251" spans="1:25" ht="15" customHeight="1" x14ac:dyDescent="0.35">
      <c r="A251" s="52">
        <v>8013485</v>
      </c>
      <c r="B251" s="51">
        <v>46123</v>
      </c>
      <c r="C251" s="7" t="s">
        <v>124</v>
      </c>
      <c r="D251" s="10">
        <f>IFERROR(SUMIFS('Base bordo'!G$2:G$746,'Base bordo'!C$2:C$746,A251,'Base bordo'!B$2:B$746,B251,'Base bordo'!F$2:F$746,"DESLOCAMENTO VAZIO"),0)</f>
        <v>1.8255555555555556</v>
      </c>
      <c r="E251" s="10">
        <f>IFERROR(SUMIFS('Base bordo'!G$2:G$746,'Base bordo'!C$2:C$746,A251,'Base bordo'!B$2:B$746,B251,'Base bordo'!F$2:F$746,"DESLOCAMENTO CARREGADO"),0)</f>
        <v>2.5369444444444444</v>
      </c>
      <c r="F251" s="10">
        <f>IFERROR(SUMIFS('Base bordo'!G$2:G$746,'Base bordo'!C$2:C$746,A251,'Base bordo'!B$2:B$746,B251,'Base bordo'!F$2:F$746,"DESLOCAMENTO"),0)</f>
        <v>0.6694444444444444</v>
      </c>
      <c r="G251" s="10">
        <f>IFERROR(SUMIFS('Base bordo'!G$2:G$746,'Base bordo'!C$2:C$746,A251,'Base bordo'!B$2:B$746,B251,'Base bordo'!F$2:F$746,"CARREGAMENTO"),0)</f>
        <v>0</v>
      </c>
      <c r="H251" s="10">
        <f>IFERROR(SUMIFS('Base bordo'!G$2:G$746,'Base bordo'!C$2:C$746,A251,'Base bordo'!B$2:B$746,B251,'Base bordo'!F$2:F$746,"AGUARDANDO TRANSBORDO"),0)</f>
        <v>0.45916666666666667</v>
      </c>
      <c r="I251" s="10">
        <f>IFERROR(SUMIFS('Base bordo'!G$2:G$746,'Base bordo'!C$2:C$746,A251,'Base bordo'!B$2:B$746,B251,'Base bordo'!F$2:F$746,"PÁTIO INTERNO"),0)+IFERROR(SUMIFS('Base bordo'!G$2:G$746,'Base bordo'!C$2:C$746,A251,'Base bordo'!B$2:B$746,B251,'Base bordo'!F$2:F$746,"PÁTIO EXTERNO"),0)+IFERROR(SUMIFS('Base bordo'!G$2:G$746,'Base bordo'!C$2:C$746,A251,'Base bordo'!B$2:B$746,B251,'Base bordo'!F$2:F$746,"PATIO - RESERVA"),0)+IFERROR(SUMIFS('Base bordo'!G$2:G$746,'Base bordo'!C$2:C$746,A251,'Base bordo'!B$2:B$746,B251,'Base bordo'!F$2:F$746,"MANOBRA CARRETAS-PATIO"),0)</f>
        <v>4.2497222222222222</v>
      </c>
      <c r="J251" s="10">
        <f>IFERROR(SUMIFS('Base bordo'!G$2:G$746,'Base bordo'!C$2:C$746,A251,'Base bordo'!B$2:B$746,B251,'Base bordo'!F$2:F$746,"BALANÇA - ENTRADA"),0)+IFERROR(SUMIFS('Base bordo'!G$2:G$746,'Base bordo'!C$2:C$746,A251,'Base bordo'!B$2:B$746,B251,'Base bordo'!F$2:F$746,"BALANÇA - SAÍDA"),0)</f>
        <v>0</v>
      </c>
      <c r="K251" s="10">
        <f>IFERROR(SUMIFS('Base bordo'!G$2:G$746,'Base bordo'!C$2:C$746,A251,'Base bordo'!B$2:B$746,B251,'Base bordo'!F$2:F$746,"MAN PREVENTIVA - MECANICA"),0)+IFERROR(SUMIFS('Base bordo'!G$2:G$746,'Base bordo'!C$2:C$746,A251,'Base bordo'!B$2:B$746,B251,'Base bordo'!F$2:F$746,"MAN CORRETIVA - MECANICA"),0)</f>
        <v>0</v>
      </c>
      <c r="L251" s="10">
        <f>IFERROR(SUMIFS('Base bordo'!G$2:G$746,'Base bordo'!C$2:C$746,A251,'Base bordo'!B$2:B$746,B251,'Base bordo'!F$2:F$746,"MANUTENCAO - T O"),0)+IFERROR(SUMIFS('Base bordo'!G$2:G$746,'Base bordo'!C$2:C$746,A251,'Base bordo'!B$2:B$746,B251,'Base bordo'!F$2:F$746,"MANUTENCAO BORRACHARIA"),0)+IFERROR(SUMIFS('Base bordo'!G$2:G$746,'Base bordo'!C$2:C$746,A251,'Base bordo'!B$2:B$746,B251,'Base bordo'!F$2:F$746,"MANUTENCAO EXTERNA  CONCESSIONARIA"),0)+IFERROR(SUMIFS('Base bordo'!G$2:G$746,'Base bordo'!C$2:C$746,A251,'Base bordo'!B$2:B$746,B251,'Base bordo'!F$2:F$746,"MANUTENCAO TELEMETRIA"),0)</f>
        <v>0</v>
      </c>
      <c r="M251" s="10">
        <f>IFERROR(SUMIFS('Base bordo'!G$2:G$746,'Base bordo'!C$2:C$746,A251,'Base bordo'!B$2:B$746,B251,'Base bordo'!F$2:F$746,"AGUARDANDO MANUTENCAO"),0)</f>
        <v>0</v>
      </c>
      <c r="N251" s="10">
        <f>IFERROR(SUMIFS('Base bordo'!G$2:G$746,'Base bordo'!C$2:C$746,A251,'Base bordo'!B$2:B$746,B251,'Base bordo'!F$2:F$746,"SEM APONTAMENTO"),0)</f>
        <v>0</v>
      </c>
      <c r="O251" s="10">
        <f t="shared" si="30"/>
        <v>0.10194444444444528</v>
      </c>
      <c r="P251" s="10">
        <f>IFERROR(SUMIFS('Base bordo'!G$2:G$746,'Base bordo'!C$2:C$746,A251,'Base bordo'!B$2:B$746,B251),0)</f>
        <v>9.8427777777777781</v>
      </c>
      <c r="Q251" s="10">
        <f>IFERROR(SUMIFS('Base bordo'!H$2:H$746,'Base bordo'!C$2:C$746,A251,'Base bordo'!B$2:B$746,B251,'Base bordo'!F$2:F$746,"DESLOCAMENTO VAZIO"),0)</f>
        <v>203208.90000000002</v>
      </c>
      <c r="R251" s="10">
        <f>IFERROR(SUMIFS('Base bordo'!I$2:I$746,'Base bordo'!C$2:C$746,A251,'Base bordo'!B$2:B$746,B251,'Base bordo'!F$2:F$746,"DESLOCAMENTO VAZIO"),0)</f>
        <v>6572</v>
      </c>
      <c r="S251" s="30">
        <f t="shared" si="31"/>
        <v>30.920404747413272</v>
      </c>
      <c r="T251" s="10">
        <f>IFERROR(SUMIFS('Base bordo'!H$2:H$746,'Base bordo'!C$2:C$746,A251,'Base bordo'!B$2:B$746,B251,'Base bordo'!F$2:F$746,"DESLOCAMENTO CARREGADO"),0)</f>
        <v>202982.89</v>
      </c>
      <c r="U251" s="10">
        <f>IFERROR(SUMIFS('Base bordo'!I$2:I$746,'Base bordo'!C$2:C$746,A251,'Base bordo'!B$2:B$746,B251,'Base bordo'!F$2:F$746,"DESLOCAMENTO CARREGADO"),0)</f>
        <v>9133</v>
      </c>
      <c r="V251" s="30">
        <f t="shared" si="32"/>
        <v>22.225215153837734</v>
      </c>
      <c r="W251" s="9">
        <f t="shared" si="33"/>
        <v>0.18547158096743241</v>
      </c>
      <c r="X251" s="9">
        <f t="shared" si="34"/>
        <v>0.25774679686177115</v>
      </c>
      <c r="Y251" s="9">
        <f t="shared" si="35"/>
        <v>0.55678162217079641</v>
      </c>
    </row>
    <row r="252" spans="1:25" ht="15" customHeight="1" x14ac:dyDescent="0.35">
      <c r="A252" s="52">
        <v>8013483</v>
      </c>
      <c r="B252" s="51">
        <v>46118</v>
      </c>
      <c r="C252" s="7" t="s">
        <v>124</v>
      </c>
      <c r="D252" s="10">
        <f>IFERROR(SUMIFS('Base bordo'!G$2:G$746,'Base bordo'!C$2:C$746,A252,'Base bordo'!B$2:B$746,B252,'Base bordo'!F$2:F$746,"DESLOCAMENTO VAZIO"),0)</f>
        <v>2.4136111111111109</v>
      </c>
      <c r="E252" s="10">
        <f>IFERROR(SUMIFS('Base bordo'!G$2:G$746,'Base bordo'!C$2:C$746,A252,'Base bordo'!B$2:B$746,B252,'Base bordo'!F$2:F$746,"DESLOCAMENTO CARREGADO"),0)</f>
        <v>0.74972222222222218</v>
      </c>
      <c r="F252" s="10">
        <f>IFERROR(SUMIFS('Base bordo'!G$2:G$746,'Base bordo'!C$2:C$746,A252,'Base bordo'!B$2:B$746,B252,'Base bordo'!F$2:F$746,"DESLOCAMENTO"),0)</f>
        <v>0</v>
      </c>
      <c r="G252" s="10">
        <f>IFERROR(SUMIFS('Base bordo'!G$2:G$746,'Base bordo'!C$2:C$746,A252,'Base bordo'!B$2:B$746,B252,'Base bordo'!F$2:F$746,"CARREGAMENTO"),0)</f>
        <v>0</v>
      </c>
      <c r="H252" s="10">
        <f>IFERROR(SUMIFS('Base bordo'!G$2:G$746,'Base bordo'!C$2:C$746,A252,'Base bordo'!B$2:B$746,B252,'Base bordo'!F$2:F$746,"AGUARDANDO TRANSBORDO"),0)</f>
        <v>0.18666666666666668</v>
      </c>
      <c r="I252" s="10">
        <f>IFERROR(SUMIFS('Base bordo'!G$2:G$746,'Base bordo'!C$2:C$746,A252,'Base bordo'!B$2:B$746,B252,'Base bordo'!F$2:F$746,"PÁTIO INTERNO"),0)+IFERROR(SUMIFS('Base bordo'!G$2:G$746,'Base bordo'!C$2:C$746,A252,'Base bordo'!B$2:B$746,B252,'Base bordo'!F$2:F$746,"PÁTIO EXTERNO"),0)+IFERROR(SUMIFS('Base bordo'!G$2:G$746,'Base bordo'!C$2:C$746,A252,'Base bordo'!B$2:B$746,B252,'Base bordo'!F$2:F$746,"PATIO - RESERVA"),0)+IFERROR(SUMIFS('Base bordo'!G$2:G$746,'Base bordo'!C$2:C$746,A252,'Base bordo'!B$2:B$746,B252,'Base bordo'!F$2:F$746,"MANOBRA CARRETAS-PATIO"),0)</f>
        <v>11.716111111111111</v>
      </c>
      <c r="J252" s="10">
        <f>IFERROR(SUMIFS('Base bordo'!G$2:G$746,'Base bordo'!C$2:C$746,A252,'Base bordo'!B$2:B$746,B252,'Base bordo'!F$2:F$746,"BALANÇA - ENTRADA"),0)+IFERROR(SUMIFS('Base bordo'!G$2:G$746,'Base bordo'!C$2:C$746,A252,'Base bordo'!B$2:B$746,B252,'Base bordo'!F$2:F$746,"BALANÇA - SAÍDA"),0)</f>
        <v>4.7500000000000001E-2</v>
      </c>
      <c r="K252" s="10">
        <f>IFERROR(SUMIFS('Base bordo'!G$2:G$746,'Base bordo'!C$2:C$746,A252,'Base bordo'!B$2:B$746,B252,'Base bordo'!F$2:F$746,"MAN PREVENTIVA - MECANICA"),0)+IFERROR(SUMIFS('Base bordo'!G$2:G$746,'Base bordo'!C$2:C$746,A252,'Base bordo'!B$2:B$746,B252,'Base bordo'!F$2:F$746,"MAN CORRETIVA - MECANICA"),0)</f>
        <v>0</v>
      </c>
      <c r="L252" s="10">
        <f>IFERROR(SUMIFS('Base bordo'!G$2:G$746,'Base bordo'!C$2:C$746,A252,'Base bordo'!B$2:B$746,B252,'Base bordo'!F$2:F$746,"MANUTENCAO - T O"),0)+IFERROR(SUMIFS('Base bordo'!G$2:G$746,'Base bordo'!C$2:C$746,A252,'Base bordo'!B$2:B$746,B252,'Base bordo'!F$2:F$746,"MANUTENCAO BORRACHARIA"),0)+IFERROR(SUMIFS('Base bordo'!G$2:G$746,'Base bordo'!C$2:C$746,A252,'Base bordo'!B$2:B$746,B252,'Base bordo'!F$2:F$746,"MANUTENCAO EXTERNA  CONCESSIONARIA"),0)+IFERROR(SUMIFS('Base bordo'!G$2:G$746,'Base bordo'!C$2:C$746,A252,'Base bordo'!B$2:B$746,B252,'Base bordo'!F$2:F$746,"MANUTENCAO TELEMETRIA"),0)</f>
        <v>3.4908333333333332</v>
      </c>
      <c r="M252" s="10">
        <f>IFERROR(SUMIFS('Base bordo'!G$2:G$746,'Base bordo'!C$2:C$746,A252,'Base bordo'!B$2:B$746,B252,'Base bordo'!F$2:F$746,"AGUARDANDO MANUTENCAO"),0)</f>
        <v>0</v>
      </c>
      <c r="N252" s="10">
        <f>IFERROR(SUMIFS('Base bordo'!G$2:G$746,'Base bordo'!C$2:C$746,A252,'Base bordo'!B$2:B$746,B252,'Base bordo'!F$2:F$746,"SEM APONTAMENTO"),0)</f>
        <v>0</v>
      </c>
      <c r="O252" s="10">
        <f t="shared" si="30"/>
        <v>0</v>
      </c>
      <c r="P252" s="10">
        <f>IFERROR(SUMIFS('Base bordo'!G$2:G$746,'Base bordo'!C$2:C$746,A252,'Base bordo'!B$2:B$746,B252),0)</f>
        <v>18.604444444444443</v>
      </c>
      <c r="Q252" s="10">
        <f>IFERROR(SUMIFS('Base bordo'!H$2:H$746,'Base bordo'!C$2:C$746,A252,'Base bordo'!B$2:B$746,B252,'Base bordo'!F$2:F$746,"DESLOCAMENTO VAZIO"),0)</f>
        <v>164736.31</v>
      </c>
      <c r="R252" s="10">
        <f>IFERROR(SUMIFS('Base bordo'!I$2:I$746,'Base bordo'!C$2:C$746,A252,'Base bordo'!B$2:B$746,B252,'Base bordo'!F$2:F$746,"DESLOCAMENTO VAZIO"),0)</f>
        <v>8689</v>
      </c>
      <c r="S252" s="30">
        <f t="shared" si="31"/>
        <v>18.959179422258028</v>
      </c>
      <c r="T252" s="10">
        <f>IFERROR(SUMIFS('Base bordo'!H$2:H$746,'Base bordo'!C$2:C$746,A252,'Base bordo'!B$2:B$746,B252,'Base bordo'!F$2:F$746,"DESLOCAMENTO CARREGADO"),0)</f>
        <v>65187.479999999996</v>
      </c>
      <c r="U252" s="10">
        <f>IFERROR(SUMIFS('Base bordo'!I$2:I$746,'Base bordo'!C$2:C$746,A252,'Base bordo'!B$2:B$746,B252,'Base bordo'!F$2:F$746,"DESLOCAMENTO CARREGADO"),0)</f>
        <v>2699</v>
      </c>
      <c r="V252" s="30">
        <f t="shared" si="32"/>
        <v>24.152456465357538</v>
      </c>
      <c r="W252" s="9">
        <f t="shared" si="33"/>
        <v>0.12973303870043001</v>
      </c>
      <c r="X252" s="9">
        <f t="shared" si="34"/>
        <v>4.0298017200191112E-2</v>
      </c>
      <c r="Y252" s="9">
        <f t="shared" si="35"/>
        <v>0.82996894409937894</v>
      </c>
    </row>
    <row r="253" spans="1:25" ht="15" customHeight="1" x14ac:dyDescent="0.35">
      <c r="A253" s="52">
        <v>8013485</v>
      </c>
      <c r="B253" s="51">
        <v>46123</v>
      </c>
      <c r="C253" s="7" t="s">
        <v>124</v>
      </c>
      <c r="D253" s="10">
        <f>IFERROR(SUMIFS('Base bordo'!G$2:G$746,'Base bordo'!C$2:C$746,A253,'Base bordo'!B$2:B$746,B253,'Base bordo'!F$2:F$746,"DESLOCAMENTO VAZIO"),0)</f>
        <v>1.8255555555555556</v>
      </c>
      <c r="E253" s="10">
        <f>IFERROR(SUMIFS('Base bordo'!G$2:G$746,'Base bordo'!C$2:C$746,A253,'Base bordo'!B$2:B$746,B253,'Base bordo'!F$2:F$746,"DESLOCAMENTO CARREGADO"),0)</f>
        <v>2.5369444444444444</v>
      </c>
      <c r="F253" s="10">
        <f>IFERROR(SUMIFS('Base bordo'!G$2:G$746,'Base bordo'!C$2:C$746,A253,'Base bordo'!B$2:B$746,B253,'Base bordo'!F$2:F$746,"DESLOCAMENTO"),0)</f>
        <v>0.6694444444444444</v>
      </c>
      <c r="G253" s="10">
        <f>IFERROR(SUMIFS('Base bordo'!G$2:G$746,'Base bordo'!C$2:C$746,A253,'Base bordo'!B$2:B$746,B253,'Base bordo'!F$2:F$746,"CARREGAMENTO"),0)</f>
        <v>0</v>
      </c>
      <c r="H253" s="10">
        <f>IFERROR(SUMIFS('Base bordo'!G$2:G$746,'Base bordo'!C$2:C$746,A253,'Base bordo'!B$2:B$746,B253,'Base bordo'!F$2:F$746,"AGUARDANDO TRANSBORDO"),0)</f>
        <v>0.45916666666666667</v>
      </c>
      <c r="I253" s="10">
        <f>IFERROR(SUMIFS('Base bordo'!G$2:G$746,'Base bordo'!C$2:C$746,A253,'Base bordo'!B$2:B$746,B253,'Base bordo'!F$2:F$746,"PÁTIO INTERNO"),0)+IFERROR(SUMIFS('Base bordo'!G$2:G$746,'Base bordo'!C$2:C$746,A253,'Base bordo'!B$2:B$746,B253,'Base bordo'!F$2:F$746,"PÁTIO EXTERNO"),0)+IFERROR(SUMIFS('Base bordo'!G$2:G$746,'Base bordo'!C$2:C$746,A253,'Base bordo'!B$2:B$746,B253,'Base bordo'!F$2:F$746,"PATIO - RESERVA"),0)+IFERROR(SUMIFS('Base bordo'!G$2:G$746,'Base bordo'!C$2:C$746,A253,'Base bordo'!B$2:B$746,B253,'Base bordo'!F$2:F$746,"MANOBRA CARRETAS-PATIO"),0)</f>
        <v>4.2497222222222222</v>
      </c>
      <c r="J253" s="10">
        <f>IFERROR(SUMIFS('Base bordo'!G$2:G$746,'Base bordo'!C$2:C$746,A253,'Base bordo'!B$2:B$746,B253,'Base bordo'!F$2:F$746,"BALANÇA - ENTRADA"),0)+IFERROR(SUMIFS('Base bordo'!G$2:G$746,'Base bordo'!C$2:C$746,A253,'Base bordo'!B$2:B$746,B253,'Base bordo'!F$2:F$746,"BALANÇA - SAÍDA"),0)</f>
        <v>0</v>
      </c>
      <c r="K253" s="10">
        <f>IFERROR(SUMIFS('Base bordo'!G$2:G$746,'Base bordo'!C$2:C$746,A253,'Base bordo'!B$2:B$746,B253,'Base bordo'!F$2:F$746,"MAN PREVENTIVA - MECANICA"),0)+IFERROR(SUMIFS('Base bordo'!G$2:G$746,'Base bordo'!C$2:C$746,A253,'Base bordo'!B$2:B$746,B253,'Base bordo'!F$2:F$746,"MAN CORRETIVA - MECANICA"),0)</f>
        <v>0</v>
      </c>
      <c r="L253" s="10">
        <f>IFERROR(SUMIFS('Base bordo'!G$2:G$746,'Base bordo'!C$2:C$746,A253,'Base bordo'!B$2:B$746,B253,'Base bordo'!F$2:F$746,"MANUTENCAO - T O"),0)+IFERROR(SUMIFS('Base bordo'!G$2:G$746,'Base bordo'!C$2:C$746,A253,'Base bordo'!B$2:B$746,B253,'Base bordo'!F$2:F$746,"MANUTENCAO BORRACHARIA"),0)+IFERROR(SUMIFS('Base bordo'!G$2:G$746,'Base bordo'!C$2:C$746,A253,'Base bordo'!B$2:B$746,B253,'Base bordo'!F$2:F$746,"MANUTENCAO EXTERNA  CONCESSIONARIA"),0)+IFERROR(SUMIFS('Base bordo'!G$2:G$746,'Base bordo'!C$2:C$746,A253,'Base bordo'!B$2:B$746,B253,'Base bordo'!F$2:F$746,"MANUTENCAO TELEMETRIA"),0)</f>
        <v>0</v>
      </c>
      <c r="M253" s="10">
        <f>IFERROR(SUMIFS('Base bordo'!G$2:G$746,'Base bordo'!C$2:C$746,A253,'Base bordo'!B$2:B$746,B253,'Base bordo'!F$2:F$746,"AGUARDANDO MANUTENCAO"),0)</f>
        <v>0</v>
      </c>
      <c r="N253" s="10">
        <f>IFERROR(SUMIFS('Base bordo'!G$2:G$746,'Base bordo'!C$2:C$746,A253,'Base bordo'!B$2:B$746,B253,'Base bordo'!F$2:F$746,"SEM APONTAMENTO"),0)</f>
        <v>0</v>
      </c>
      <c r="O253" s="10">
        <f t="shared" si="30"/>
        <v>0.10194444444444528</v>
      </c>
      <c r="P253" s="10">
        <f>IFERROR(SUMIFS('Base bordo'!G$2:G$746,'Base bordo'!C$2:C$746,A253,'Base bordo'!B$2:B$746,B253),0)</f>
        <v>9.8427777777777781</v>
      </c>
      <c r="Q253" s="10">
        <f>IFERROR(SUMIFS('Base bordo'!H$2:H$746,'Base bordo'!C$2:C$746,A253,'Base bordo'!B$2:B$746,B253,'Base bordo'!F$2:F$746,"DESLOCAMENTO VAZIO"),0)</f>
        <v>203208.90000000002</v>
      </c>
      <c r="R253" s="10">
        <f>IFERROR(SUMIFS('Base bordo'!I$2:I$746,'Base bordo'!C$2:C$746,A253,'Base bordo'!B$2:B$746,B253,'Base bordo'!F$2:F$746,"DESLOCAMENTO VAZIO"),0)</f>
        <v>6572</v>
      </c>
      <c r="S253" s="30">
        <f t="shared" si="31"/>
        <v>30.920404747413272</v>
      </c>
      <c r="T253" s="10">
        <f>IFERROR(SUMIFS('Base bordo'!H$2:H$746,'Base bordo'!C$2:C$746,A253,'Base bordo'!B$2:B$746,B253,'Base bordo'!F$2:F$746,"DESLOCAMENTO CARREGADO"),0)</f>
        <v>202982.89</v>
      </c>
      <c r="U253" s="10">
        <f>IFERROR(SUMIFS('Base bordo'!I$2:I$746,'Base bordo'!C$2:C$746,A253,'Base bordo'!B$2:B$746,B253,'Base bordo'!F$2:F$746,"DESLOCAMENTO CARREGADO"),0)</f>
        <v>9133</v>
      </c>
      <c r="V253" s="30">
        <f t="shared" si="32"/>
        <v>22.225215153837734</v>
      </c>
      <c r="W253" s="9">
        <f t="shared" si="33"/>
        <v>0.18547158096743241</v>
      </c>
      <c r="X253" s="9">
        <f t="shared" si="34"/>
        <v>0.25774679686177115</v>
      </c>
      <c r="Y253" s="9">
        <f t="shared" si="35"/>
        <v>0.55678162217079641</v>
      </c>
    </row>
    <row r="254" spans="1:25" ht="15" customHeight="1" x14ac:dyDescent="0.35">
      <c r="A254" s="52">
        <v>8013485</v>
      </c>
      <c r="B254" s="51">
        <v>46118</v>
      </c>
      <c r="C254" s="7" t="s">
        <v>124</v>
      </c>
      <c r="D254" s="10">
        <f>IFERROR(SUMIFS('Base bordo'!G$2:G$746,'Base bordo'!C$2:C$746,A254,'Base bordo'!B$2:B$746,B254,'Base bordo'!F$2:F$746,"DESLOCAMENTO VAZIO"),0)</f>
        <v>0.89111111111111108</v>
      </c>
      <c r="E254" s="10">
        <f>IFERROR(SUMIFS('Base bordo'!G$2:G$746,'Base bordo'!C$2:C$746,A254,'Base bordo'!B$2:B$746,B254,'Base bordo'!F$2:F$746,"DESLOCAMENTO CARREGADO"),0)</f>
        <v>0.77444444444444449</v>
      </c>
      <c r="F254" s="10">
        <f>IFERROR(SUMIFS('Base bordo'!G$2:G$746,'Base bordo'!C$2:C$746,A254,'Base bordo'!B$2:B$746,B254,'Base bordo'!F$2:F$746,"DESLOCAMENTO"),0)</f>
        <v>1.0216666666666667</v>
      </c>
      <c r="G254" s="10">
        <f>IFERROR(SUMIFS('Base bordo'!G$2:G$746,'Base bordo'!C$2:C$746,A254,'Base bordo'!B$2:B$746,B254,'Base bordo'!F$2:F$746,"CARREGAMENTO"),0)</f>
        <v>0</v>
      </c>
      <c r="H254" s="10">
        <f>IFERROR(SUMIFS('Base bordo'!G$2:G$746,'Base bordo'!C$2:C$746,A254,'Base bordo'!B$2:B$746,B254,'Base bordo'!F$2:F$746,"AGUARDANDO TRANSBORDO"),0)</f>
        <v>0.33083333333333331</v>
      </c>
      <c r="I254" s="10">
        <f>IFERROR(SUMIFS('Base bordo'!G$2:G$746,'Base bordo'!C$2:C$746,A254,'Base bordo'!B$2:B$746,B254,'Base bordo'!F$2:F$746,"PÁTIO INTERNO"),0)+IFERROR(SUMIFS('Base bordo'!G$2:G$746,'Base bordo'!C$2:C$746,A254,'Base bordo'!B$2:B$746,B254,'Base bordo'!F$2:F$746,"PÁTIO EXTERNO"),0)+IFERROR(SUMIFS('Base bordo'!G$2:G$746,'Base bordo'!C$2:C$746,A254,'Base bordo'!B$2:B$746,B254,'Base bordo'!F$2:F$746,"PATIO - RESERVA"),0)+IFERROR(SUMIFS('Base bordo'!G$2:G$746,'Base bordo'!C$2:C$746,A254,'Base bordo'!B$2:B$746,B254,'Base bordo'!F$2:F$746,"MANOBRA CARRETAS-PATIO"),0)</f>
        <v>10.650555555555554</v>
      </c>
      <c r="J254" s="10">
        <f>IFERROR(SUMIFS('Base bordo'!G$2:G$746,'Base bordo'!C$2:C$746,A254,'Base bordo'!B$2:B$746,B254,'Base bordo'!F$2:F$746,"BALANÇA - ENTRADA"),0)+IFERROR(SUMIFS('Base bordo'!G$2:G$746,'Base bordo'!C$2:C$746,A254,'Base bordo'!B$2:B$746,B254,'Base bordo'!F$2:F$746,"BALANÇA - SAÍDA"),0)</f>
        <v>3.6388888888888887E-2</v>
      </c>
      <c r="K254" s="10">
        <f>IFERROR(SUMIFS('Base bordo'!G$2:G$746,'Base bordo'!C$2:C$746,A254,'Base bordo'!B$2:B$746,B254,'Base bordo'!F$2:F$746,"MAN PREVENTIVA - MECANICA"),0)+IFERROR(SUMIFS('Base bordo'!G$2:G$746,'Base bordo'!C$2:C$746,A254,'Base bordo'!B$2:B$746,B254,'Base bordo'!F$2:F$746,"MAN CORRETIVA - MECANICA"),0)</f>
        <v>0</v>
      </c>
      <c r="L254" s="10">
        <f>IFERROR(SUMIFS('Base bordo'!G$2:G$746,'Base bordo'!C$2:C$746,A254,'Base bordo'!B$2:B$746,B254,'Base bordo'!F$2:F$746,"MANUTENCAO - T O"),0)+IFERROR(SUMIFS('Base bordo'!G$2:G$746,'Base bordo'!C$2:C$746,A254,'Base bordo'!B$2:B$746,B254,'Base bordo'!F$2:F$746,"MANUTENCAO BORRACHARIA"),0)+IFERROR(SUMIFS('Base bordo'!G$2:G$746,'Base bordo'!C$2:C$746,A254,'Base bordo'!B$2:B$746,B254,'Base bordo'!F$2:F$746,"MANUTENCAO EXTERNA  CONCESSIONARIA"),0)+IFERROR(SUMIFS('Base bordo'!G$2:G$746,'Base bordo'!C$2:C$746,A254,'Base bordo'!B$2:B$746,B254,'Base bordo'!F$2:F$746,"MANUTENCAO TELEMETRIA"),0)</f>
        <v>0</v>
      </c>
      <c r="M254" s="10">
        <f>IFERROR(SUMIFS('Base bordo'!G$2:G$746,'Base bordo'!C$2:C$746,A254,'Base bordo'!B$2:B$746,B254,'Base bordo'!F$2:F$746,"AGUARDANDO MANUTENCAO"),0)</f>
        <v>0</v>
      </c>
      <c r="N254" s="10">
        <f>IFERROR(SUMIFS('Base bordo'!G$2:G$746,'Base bordo'!C$2:C$746,A254,'Base bordo'!B$2:B$746,B254,'Base bordo'!F$2:F$746,"SEM APONTAMENTO"),0)</f>
        <v>0</v>
      </c>
      <c r="O254" s="10">
        <f t="shared" si="30"/>
        <v>-1.7763568394002505E-15</v>
      </c>
      <c r="P254" s="10">
        <f>IFERROR(SUMIFS('Base bordo'!G$2:G$746,'Base bordo'!C$2:C$746,A254,'Base bordo'!B$2:B$746,B254),0)</f>
        <v>13.704999999999997</v>
      </c>
      <c r="Q254" s="10">
        <f>IFERROR(SUMIFS('Base bordo'!H$2:H$746,'Base bordo'!C$2:C$746,A254,'Base bordo'!B$2:B$746,B254,'Base bordo'!F$2:F$746,"DESLOCAMENTO VAZIO"),0)</f>
        <v>68224.05</v>
      </c>
      <c r="R254" s="10">
        <f>IFERROR(SUMIFS('Base bordo'!I$2:I$746,'Base bordo'!C$2:C$746,A254,'Base bordo'!B$2:B$746,B254,'Base bordo'!F$2:F$746,"DESLOCAMENTO VAZIO"),0)</f>
        <v>3208</v>
      </c>
      <c r="S254" s="30">
        <f t="shared" si="31"/>
        <v>21.266848503740651</v>
      </c>
      <c r="T254" s="10">
        <f>IFERROR(SUMIFS('Base bordo'!H$2:H$746,'Base bordo'!C$2:C$746,A254,'Base bordo'!B$2:B$746,B254,'Base bordo'!F$2:F$746,"DESLOCAMENTO CARREGADO"),0)</f>
        <v>68053.69</v>
      </c>
      <c r="U254" s="10">
        <f>IFERROR(SUMIFS('Base bordo'!I$2:I$746,'Base bordo'!C$2:C$746,A254,'Base bordo'!B$2:B$746,B254,'Base bordo'!F$2:F$746,"DESLOCAMENTO CARREGADO"),0)</f>
        <v>2788</v>
      </c>
      <c r="V254" s="30">
        <f t="shared" si="32"/>
        <v>24.40950143472023</v>
      </c>
      <c r="W254" s="9">
        <f t="shared" si="33"/>
        <v>6.5020876403583464E-2</v>
      </c>
      <c r="X254" s="9">
        <f t="shared" si="34"/>
        <v>5.6508168146256456E-2</v>
      </c>
      <c r="Y254" s="9">
        <f t="shared" si="35"/>
        <v>0.87847095545016007</v>
      </c>
    </row>
    <row r="255" spans="1:25" ht="15" customHeight="1" x14ac:dyDescent="0.35">
      <c r="A255" s="52">
        <v>8013469</v>
      </c>
      <c r="B255" s="51">
        <v>46118</v>
      </c>
      <c r="C255" s="7" t="s">
        <v>124</v>
      </c>
      <c r="D255" s="10">
        <f>IFERROR(SUMIFS('Base bordo'!G$2:G$746,'Base bordo'!C$2:C$746,A255,'Base bordo'!B$2:B$746,B255,'Base bordo'!F$2:F$746,"DESLOCAMENTO VAZIO"),0)</f>
        <v>2.1594444444444445</v>
      </c>
      <c r="E255" s="10">
        <f>IFERROR(SUMIFS('Base bordo'!G$2:G$746,'Base bordo'!C$2:C$746,A255,'Base bordo'!B$2:B$746,B255,'Base bordo'!F$2:F$746,"DESLOCAMENTO CARREGADO"),0)</f>
        <v>2.4455555555555555</v>
      </c>
      <c r="F255" s="10">
        <f>IFERROR(SUMIFS('Base bordo'!G$2:G$746,'Base bordo'!C$2:C$746,A255,'Base bordo'!B$2:B$746,B255,'Base bordo'!F$2:F$746,"DESLOCAMENTO"),0)</f>
        <v>0.63083333333333336</v>
      </c>
      <c r="G255" s="10">
        <f>IFERROR(SUMIFS('Base bordo'!G$2:G$746,'Base bordo'!C$2:C$746,A255,'Base bordo'!B$2:B$746,B255,'Base bordo'!F$2:F$746,"CARREGAMENTO"),0)</f>
        <v>0.96722222222222221</v>
      </c>
      <c r="H255" s="10">
        <f>IFERROR(SUMIFS('Base bordo'!G$2:G$746,'Base bordo'!C$2:C$746,A255,'Base bordo'!B$2:B$746,B255,'Base bordo'!F$2:F$746,"AGUARDANDO TRANSBORDO"),0)</f>
        <v>0.91111111111111109</v>
      </c>
      <c r="I255" s="10">
        <f>IFERROR(SUMIFS('Base bordo'!G$2:G$746,'Base bordo'!C$2:C$746,A255,'Base bordo'!B$2:B$746,B255,'Base bordo'!F$2:F$746,"PÁTIO INTERNO"),0)+IFERROR(SUMIFS('Base bordo'!G$2:G$746,'Base bordo'!C$2:C$746,A255,'Base bordo'!B$2:B$746,B255,'Base bordo'!F$2:F$746,"PÁTIO EXTERNO"),0)+IFERROR(SUMIFS('Base bordo'!G$2:G$746,'Base bordo'!C$2:C$746,A255,'Base bordo'!B$2:B$746,B255,'Base bordo'!F$2:F$746,"PATIO - RESERVA"),0)+IFERROR(SUMIFS('Base bordo'!G$2:G$746,'Base bordo'!C$2:C$746,A255,'Base bordo'!B$2:B$746,B255,'Base bordo'!F$2:F$746,"MANOBRA CARRETAS-PATIO"),0)</f>
        <v>6.1047222222222217</v>
      </c>
      <c r="J255" s="10">
        <f>IFERROR(SUMIFS('Base bordo'!G$2:G$746,'Base bordo'!C$2:C$746,A255,'Base bordo'!B$2:B$746,B255,'Base bordo'!F$2:F$746,"BALANÇA - ENTRADA"),0)+IFERROR(SUMIFS('Base bordo'!G$2:G$746,'Base bordo'!C$2:C$746,A255,'Base bordo'!B$2:B$746,B255,'Base bordo'!F$2:F$746,"BALANÇA - SAÍDA"),0)</f>
        <v>6.8055555555555564E-2</v>
      </c>
      <c r="K255" s="10">
        <f>IFERROR(SUMIFS('Base bordo'!G$2:G$746,'Base bordo'!C$2:C$746,A255,'Base bordo'!B$2:B$746,B255,'Base bordo'!F$2:F$746,"MAN PREVENTIVA - MECANICA"),0)+IFERROR(SUMIFS('Base bordo'!G$2:G$746,'Base bordo'!C$2:C$746,A255,'Base bordo'!B$2:B$746,B255,'Base bordo'!F$2:F$746,"MAN CORRETIVA - MECANICA"),0)</f>
        <v>0.40166666666666667</v>
      </c>
      <c r="L255" s="10">
        <f>IFERROR(SUMIFS('Base bordo'!G$2:G$746,'Base bordo'!C$2:C$746,A255,'Base bordo'!B$2:B$746,B255,'Base bordo'!F$2:F$746,"MANUTENCAO - T O"),0)+IFERROR(SUMIFS('Base bordo'!G$2:G$746,'Base bordo'!C$2:C$746,A255,'Base bordo'!B$2:B$746,B255,'Base bordo'!F$2:F$746,"MANUTENCAO BORRACHARIA"),0)+IFERROR(SUMIFS('Base bordo'!G$2:G$746,'Base bordo'!C$2:C$746,A255,'Base bordo'!B$2:B$746,B255,'Base bordo'!F$2:F$746,"MANUTENCAO EXTERNA  CONCESSIONARIA"),0)+IFERROR(SUMIFS('Base bordo'!G$2:G$746,'Base bordo'!C$2:C$746,A255,'Base bordo'!B$2:B$746,B255,'Base bordo'!F$2:F$746,"MANUTENCAO TELEMETRIA"),0)</f>
        <v>1.5977777777777777</v>
      </c>
      <c r="M255" s="10">
        <f>IFERROR(SUMIFS('Base bordo'!G$2:G$746,'Base bordo'!C$2:C$746,A255,'Base bordo'!B$2:B$746,B255,'Base bordo'!F$2:F$746,"AGUARDANDO MANUTENCAO"),0)</f>
        <v>2.0836111111111113</v>
      </c>
      <c r="N255" s="10">
        <f>IFERROR(SUMIFS('Base bordo'!G$2:G$746,'Base bordo'!C$2:C$746,A255,'Base bordo'!B$2:B$746,B255,'Base bordo'!F$2:F$746,"SEM APONTAMENTO"),0)</f>
        <v>5.4166666666666669E-2</v>
      </c>
      <c r="O255" s="10">
        <f t="shared" si="30"/>
        <v>6.5758333333333354</v>
      </c>
      <c r="P255" s="10">
        <f>IFERROR(SUMIFS('Base bordo'!G$2:G$746,'Base bordo'!C$2:C$746,A255,'Base bordo'!B$2:B$746,B255),0)</f>
        <v>24.000000000000004</v>
      </c>
      <c r="Q255" s="10">
        <f>IFERROR(SUMIFS('Base bordo'!H$2:H$746,'Base bordo'!C$2:C$746,A255,'Base bordo'!B$2:B$746,B255,'Base bordo'!F$2:F$746,"DESLOCAMENTO VAZIO"),0)</f>
        <v>182003.76000000004</v>
      </c>
      <c r="R255" s="10">
        <f>IFERROR(SUMIFS('Base bordo'!I$2:I$746,'Base bordo'!C$2:C$746,A255,'Base bordo'!B$2:B$746,B255,'Base bordo'!F$2:F$746,"DESLOCAMENTO VAZIO"),0)</f>
        <v>7774</v>
      </c>
      <c r="S255" s="30">
        <f t="shared" si="31"/>
        <v>23.411854900951894</v>
      </c>
      <c r="T255" s="10">
        <f>IFERROR(SUMIFS('Base bordo'!H$2:H$746,'Base bordo'!C$2:C$746,A255,'Base bordo'!B$2:B$746,B255,'Base bordo'!F$2:F$746,"DESLOCAMENTO CARREGADO"),0)</f>
        <v>235509.89</v>
      </c>
      <c r="U255" s="10">
        <f>IFERROR(SUMIFS('Base bordo'!I$2:I$746,'Base bordo'!C$2:C$746,A255,'Base bordo'!B$2:B$746,B255,'Base bordo'!F$2:F$746,"DESLOCAMENTO CARREGADO"),0)</f>
        <v>8804</v>
      </c>
      <c r="V255" s="30">
        <f t="shared" si="32"/>
        <v>26.750328259881872</v>
      </c>
      <c r="W255" s="9">
        <f t="shared" si="33"/>
        <v>8.9976851851851836E-2</v>
      </c>
      <c r="X255" s="9">
        <f t="shared" si="34"/>
        <v>0.10189814814814813</v>
      </c>
      <c r="Y255" s="9">
        <f t="shared" si="35"/>
        <v>0.80812499999999998</v>
      </c>
    </row>
    <row r="256" spans="1:25" ht="15" customHeight="1" x14ac:dyDescent="0.35">
      <c r="A256" s="52">
        <v>8013474</v>
      </c>
      <c r="B256" s="51">
        <v>46117</v>
      </c>
      <c r="C256" s="7" t="s">
        <v>124</v>
      </c>
      <c r="D256" s="10">
        <f>IFERROR(SUMIFS('Base bordo'!G$2:G$746,'Base bordo'!C$2:C$746,A256,'Base bordo'!B$2:B$746,B256,'Base bordo'!F$2:F$746,"DESLOCAMENTO VAZIO"),0)</f>
        <v>0.8372222222222222</v>
      </c>
      <c r="E256" s="10">
        <f>IFERROR(SUMIFS('Base bordo'!G$2:G$746,'Base bordo'!C$2:C$746,A256,'Base bordo'!B$2:B$746,B256,'Base bordo'!F$2:F$746,"DESLOCAMENTO CARREGADO"),0)</f>
        <v>0</v>
      </c>
      <c r="F256" s="10">
        <f>IFERROR(SUMIFS('Base bordo'!G$2:G$746,'Base bordo'!C$2:C$746,A256,'Base bordo'!B$2:B$746,B256,'Base bordo'!F$2:F$746,"DESLOCAMENTO"),0)</f>
        <v>3.8191666666666668</v>
      </c>
      <c r="G256" s="10">
        <f>IFERROR(SUMIFS('Base bordo'!G$2:G$746,'Base bordo'!C$2:C$746,A256,'Base bordo'!B$2:B$746,B256,'Base bordo'!F$2:F$746,"CARREGAMENTO"),0)</f>
        <v>0</v>
      </c>
      <c r="H256" s="10">
        <f>IFERROR(SUMIFS('Base bordo'!G$2:G$746,'Base bordo'!C$2:C$746,A256,'Base bordo'!B$2:B$746,B256,'Base bordo'!F$2:F$746,"AGUARDANDO TRANSBORDO"),0)</f>
        <v>0.20972222222222223</v>
      </c>
      <c r="I256" s="10">
        <f>IFERROR(SUMIFS('Base bordo'!G$2:G$746,'Base bordo'!C$2:C$746,A256,'Base bordo'!B$2:B$746,B256,'Base bordo'!F$2:F$746,"PÁTIO INTERNO"),0)+IFERROR(SUMIFS('Base bordo'!G$2:G$746,'Base bordo'!C$2:C$746,A256,'Base bordo'!B$2:B$746,B256,'Base bordo'!F$2:F$746,"PÁTIO EXTERNO"),0)+IFERROR(SUMIFS('Base bordo'!G$2:G$746,'Base bordo'!C$2:C$746,A256,'Base bordo'!B$2:B$746,B256,'Base bordo'!F$2:F$746,"PATIO - RESERVA"),0)+IFERROR(SUMIFS('Base bordo'!G$2:G$746,'Base bordo'!C$2:C$746,A256,'Base bordo'!B$2:B$746,B256,'Base bordo'!F$2:F$746,"MANOBRA CARRETAS-PATIO"),0)</f>
        <v>0</v>
      </c>
      <c r="J256" s="10">
        <f>IFERROR(SUMIFS('Base bordo'!G$2:G$746,'Base bordo'!C$2:C$746,A256,'Base bordo'!B$2:B$746,B256,'Base bordo'!F$2:F$746,"BALANÇA - ENTRADA"),0)+IFERROR(SUMIFS('Base bordo'!G$2:G$746,'Base bordo'!C$2:C$746,A256,'Base bordo'!B$2:B$746,B256,'Base bordo'!F$2:F$746,"BALANÇA - SAÍDA"),0)</f>
        <v>0</v>
      </c>
      <c r="K256" s="10">
        <f>IFERROR(SUMIFS('Base bordo'!G$2:G$746,'Base bordo'!C$2:C$746,A256,'Base bordo'!B$2:B$746,B256,'Base bordo'!F$2:F$746,"MAN PREVENTIVA - MECANICA"),0)+IFERROR(SUMIFS('Base bordo'!G$2:G$746,'Base bordo'!C$2:C$746,A256,'Base bordo'!B$2:B$746,B256,'Base bordo'!F$2:F$746,"MAN CORRETIVA - MECANICA"),0)</f>
        <v>0</v>
      </c>
      <c r="L256" s="10">
        <f>IFERROR(SUMIFS('Base bordo'!G$2:G$746,'Base bordo'!C$2:C$746,A256,'Base bordo'!B$2:B$746,B256,'Base bordo'!F$2:F$746,"MANUTENCAO - T O"),0)+IFERROR(SUMIFS('Base bordo'!G$2:G$746,'Base bordo'!C$2:C$746,A256,'Base bordo'!B$2:B$746,B256,'Base bordo'!F$2:F$746,"MANUTENCAO BORRACHARIA"),0)+IFERROR(SUMIFS('Base bordo'!G$2:G$746,'Base bordo'!C$2:C$746,A256,'Base bordo'!B$2:B$746,B256,'Base bordo'!F$2:F$746,"MANUTENCAO EXTERNA  CONCESSIONARIA"),0)+IFERROR(SUMIFS('Base bordo'!G$2:G$746,'Base bordo'!C$2:C$746,A256,'Base bordo'!B$2:B$746,B256,'Base bordo'!F$2:F$746,"MANUTENCAO TELEMETRIA"),0)</f>
        <v>17.169722222222223</v>
      </c>
      <c r="M256" s="10">
        <f>IFERROR(SUMIFS('Base bordo'!G$2:G$746,'Base bordo'!C$2:C$746,A256,'Base bordo'!B$2:B$746,B256,'Base bordo'!F$2:F$746,"AGUARDANDO MANUTENCAO"),0)</f>
        <v>0</v>
      </c>
      <c r="N256" s="10">
        <f>IFERROR(SUMIFS('Base bordo'!G$2:G$746,'Base bordo'!C$2:C$746,A256,'Base bordo'!B$2:B$746,B256,'Base bordo'!F$2:F$746,"SEM APONTAMENTO"),0)</f>
        <v>0</v>
      </c>
      <c r="O256" s="10">
        <f t="shared" si="30"/>
        <v>1.9641666666666637</v>
      </c>
      <c r="P256" s="10">
        <f>IFERROR(SUMIFS('Base bordo'!G$2:G$746,'Base bordo'!C$2:C$746,A256,'Base bordo'!B$2:B$746,B256),0)</f>
        <v>24</v>
      </c>
      <c r="Q256" s="10">
        <f>IFERROR(SUMIFS('Base bordo'!H$2:H$746,'Base bordo'!C$2:C$746,A256,'Base bordo'!B$2:B$746,B256,'Base bordo'!F$2:F$746,"DESLOCAMENTO VAZIO"),0)</f>
        <v>105617.31</v>
      </c>
      <c r="R256" s="10">
        <f>IFERROR(SUMIFS('Base bordo'!I$2:I$746,'Base bordo'!C$2:C$746,A256,'Base bordo'!B$2:B$746,B256,'Base bordo'!F$2:F$746,"DESLOCAMENTO VAZIO"),0)</f>
        <v>3014</v>
      </c>
      <c r="S256" s="30">
        <f t="shared" si="31"/>
        <v>35.042239548772393</v>
      </c>
      <c r="T256" s="10">
        <f>IFERROR(SUMIFS('Base bordo'!H$2:H$746,'Base bordo'!C$2:C$746,A256,'Base bordo'!B$2:B$746,B256,'Base bordo'!F$2:F$746,"DESLOCAMENTO CARREGADO"),0)</f>
        <v>0</v>
      </c>
      <c r="U256" s="10">
        <f>IFERROR(SUMIFS('Base bordo'!I$2:I$746,'Base bordo'!C$2:C$746,A256,'Base bordo'!B$2:B$746,B256,'Base bordo'!F$2:F$746,"DESLOCAMENTO CARREGADO"),0)</f>
        <v>0</v>
      </c>
      <c r="V256" s="30" t="str">
        <f t="shared" si="32"/>
        <v/>
      </c>
      <c r="W256" s="9">
        <f t="shared" si="33"/>
        <v>3.4884259259259261E-2</v>
      </c>
      <c r="X256" s="9">
        <f t="shared" si="34"/>
        <v>0</v>
      </c>
      <c r="Y256" s="9">
        <f t="shared" si="35"/>
        <v>0.96511574074074069</v>
      </c>
    </row>
    <row r="257" spans="1:25" ht="15" customHeight="1" x14ac:dyDescent="0.35">
      <c r="A257" s="52">
        <v>8013484</v>
      </c>
      <c r="B257" s="51">
        <v>46117</v>
      </c>
      <c r="C257" s="7" t="s">
        <v>124</v>
      </c>
      <c r="D257" s="10">
        <f>IFERROR(SUMIFS('Base bordo'!G$2:G$746,'Base bordo'!C$2:C$746,A257,'Base bordo'!B$2:B$746,B257,'Base bordo'!F$2:F$746,"DESLOCAMENTO VAZIO"),0)</f>
        <v>1.8608333333333333</v>
      </c>
      <c r="E257" s="10">
        <f>IFERROR(SUMIFS('Base bordo'!G$2:G$746,'Base bordo'!C$2:C$746,A257,'Base bordo'!B$2:B$746,B257,'Base bordo'!F$2:F$746,"DESLOCAMENTO CARREGADO"),0)</f>
        <v>0</v>
      </c>
      <c r="F257" s="10">
        <f>IFERROR(SUMIFS('Base bordo'!G$2:G$746,'Base bordo'!C$2:C$746,A257,'Base bordo'!B$2:B$746,B257,'Base bordo'!F$2:F$746,"DESLOCAMENTO"),0)</f>
        <v>0.1438888888888889</v>
      </c>
      <c r="G257" s="10">
        <f>IFERROR(SUMIFS('Base bordo'!G$2:G$746,'Base bordo'!C$2:C$746,A257,'Base bordo'!B$2:B$746,B257,'Base bordo'!F$2:F$746,"CARREGAMENTO"),0)</f>
        <v>4.3816666666666668</v>
      </c>
      <c r="H257" s="10">
        <f>IFERROR(SUMIFS('Base bordo'!G$2:G$746,'Base bordo'!C$2:C$746,A257,'Base bordo'!B$2:B$746,B257,'Base bordo'!F$2:F$746,"AGUARDANDO TRANSBORDO"),0)</f>
        <v>0.39111111111111113</v>
      </c>
      <c r="I257" s="10">
        <f>IFERROR(SUMIFS('Base bordo'!G$2:G$746,'Base bordo'!C$2:C$746,A257,'Base bordo'!B$2:B$746,B257,'Base bordo'!F$2:F$746,"PÁTIO INTERNO"),0)+IFERROR(SUMIFS('Base bordo'!G$2:G$746,'Base bordo'!C$2:C$746,A257,'Base bordo'!B$2:B$746,B257,'Base bordo'!F$2:F$746,"PÁTIO EXTERNO"),0)+IFERROR(SUMIFS('Base bordo'!G$2:G$746,'Base bordo'!C$2:C$746,A257,'Base bordo'!B$2:B$746,B257,'Base bordo'!F$2:F$746,"PATIO - RESERVA"),0)+IFERROR(SUMIFS('Base bordo'!G$2:G$746,'Base bordo'!C$2:C$746,A257,'Base bordo'!B$2:B$746,B257,'Base bordo'!F$2:F$746,"MANOBRA CARRETAS-PATIO"),0)</f>
        <v>0</v>
      </c>
      <c r="J257" s="10">
        <f>IFERROR(SUMIFS('Base bordo'!G$2:G$746,'Base bordo'!C$2:C$746,A257,'Base bordo'!B$2:B$746,B257,'Base bordo'!F$2:F$746,"BALANÇA - ENTRADA"),0)+IFERROR(SUMIFS('Base bordo'!G$2:G$746,'Base bordo'!C$2:C$746,A257,'Base bordo'!B$2:B$746,B257,'Base bordo'!F$2:F$746,"BALANÇA - SAÍDA"),0)</f>
        <v>0</v>
      </c>
      <c r="K257" s="10">
        <f>IFERROR(SUMIFS('Base bordo'!G$2:G$746,'Base bordo'!C$2:C$746,A257,'Base bordo'!B$2:B$746,B257,'Base bordo'!F$2:F$746,"MAN PREVENTIVA - MECANICA"),0)+IFERROR(SUMIFS('Base bordo'!G$2:G$746,'Base bordo'!C$2:C$746,A257,'Base bordo'!B$2:B$746,B257,'Base bordo'!F$2:F$746,"MAN CORRETIVA - MECANICA"),0)</f>
        <v>8.5516666666666659</v>
      </c>
      <c r="L257" s="10">
        <f>IFERROR(SUMIFS('Base bordo'!G$2:G$746,'Base bordo'!C$2:C$746,A257,'Base bordo'!B$2:B$746,B257,'Base bordo'!F$2:F$746,"MANUTENCAO - T O"),0)+IFERROR(SUMIFS('Base bordo'!G$2:G$746,'Base bordo'!C$2:C$746,A257,'Base bordo'!B$2:B$746,B257,'Base bordo'!F$2:F$746,"MANUTENCAO BORRACHARIA"),0)+IFERROR(SUMIFS('Base bordo'!G$2:G$746,'Base bordo'!C$2:C$746,A257,'Base bordo'!B$2:B$746,B257,'Base bordo'!F$2:F$746,"MANUTENCAO EXTERNA  CONCESSIONARIA"),0)+IFERROR(SUMIFS('Base bordo'!G$2:G$746,'Base bordo'!C$2:C$746,A257,'Base bordo'!B$2:B$746,B257,'Base bordo'!F$2:F$746,"MANUTENCAO TELEMETRIA"),0)</f>
        <v>8.6052777777777774</v>
      </c>
      <c r="M257" s="10">
        <f>IFERROR(SUMIFS('Base bordo'!G$2:G$746,'Base bordo'!C$2:C$746,A257,'Base bordo'!B$2:B$746,B257,'Base bordo'!F$2:F$746,"AGUARDANDO MANUTENCAO"),0)</f>
        <v>0</v>
      </c>
      <c r="N257" s="10">
        <f>IFERROR(SUMIFS('Base bordo'!G$2:G$746,'Base bordo'!C$2:C$746,A257,'Base bordo'!B$2:B$746,B257,'Base bordo'!F$2:F$746,"SEM APONTAMENTO"),0)</f>
        <v>0</v>
      </c>
      <c r="O257" s="10">
        <f t="shared" si="30"/>
        <v>6.5555555555555145E-2</v>
      </c>
      <c r="P257" s="10">
        <f>IFERROR(SUMIFS('Base bordo'!G$2:G$746,'Base bordo'!C$2:C$746,A257,'Base bordo'!B$2:B$746,B257),0)</f>
        <v>24</v>
      </c>
      <c r="Q257" s="10">
        <f>IFERROR(SUMIFS('Base bordo'!H$2:H$746,'Base bordo'!C$2:C$746,A257,'Base bordo'!B$2:B$746,B257,'Base bordo'!F$2:F$746,"DESLOCAMENTO VAZIO"),0)</f>
        <v>251172.82</v>
      </c>
      <c r="R257" s="10">
        <f>IFERROR(SUMIFS('Base bordo'!I$2:I$746,'Base bordo'!C$2:C$746,A257,'Base bordo'!B$2:B$746,B257,'Base bordo'!F$2:F$746,"DESLOCAMENTO VAZIO"),0)</f>
        <v>6699</v>
      </c>
      <c r="S257" s="30">
        <f t="shared" si="31"/>
        <v>37.494076727869832</v>
      </c>
      <c r="T257" s="10">
        <f>IFERROR(SUMIFS('Base bordo'!H$2:H$746,'Base bordo'!C$2:C$746,A257,'Base bordo'!B$2:B$746,B257,'Base bordo'!F$2:F$746,"DESLOCAMENTO CARREGADO"),0)</f>
        <v>0</v>
      </c>
      <c r="U257" s="10">
        <f>IFERROR(SUMIFS('Base bordo'!I$2:I$746,'Base bordo'!C$2:C$746,A257,'Base bordo'!B$2:B$746,B257,'Base bordo'!F$2:F$746,"DESLOCAMENTO CARREGADO"),0)</f>
        <v>0</v>
      </c>
      <c r="V257" s="30" t="str">
        <f t="shared" si="32"/>
        <v/>
      </c>
      <c r="W257" s="9">
        <f t="shared" si="33"/>
        <v>7.7534722222222227E-2</v>
      </c>
      <c r="X257" s="9">
        <f t="shared" si="34"/>
        <v>0</v>
      </c>
      <c r="Y257" s="9">
        <f t="shared" si="35"/>
        <v>0.92246527777777776</v>
      </c>
    </row>
    <row r="258" spans="1:25" ht="15" customHeight="1" x14ac:dyDescent="0.35">
      <c r="A258" s="52">
        <v>8013485</v>
      </c>
      <c r="B258" s="51">
        <v>46119</v>
      </c>
      <c r="C258" s="7" t="s">
        <v>124</v>
      </c>
      <c r="D258" s="10">
        <f>IFERROR(SUMIFS('Base bordo'!G$2:G$746,'Base bordo'!C$2:C$746,A258,'Base bordo'!B$2:B$746,B258,'Base bordo'!F$2:F$746,"DESLOCAMENTO VAZIO"),0)</f>
        <v>2.2908333333333335</v>
      </c>
      <c r="E258" s="10">
        <f>IFERROR(SUMIFS('Base bordo'!G$2:G$746,'Base bordo'!C$2:C$746,A258,'Base bordo'!B$2:B$746,B258,'Base bordo'!F$2:F$746,"DESLOCAMENTO CARREGADO"),0)</f>
        <v>1.8202777777777779</v>
      </c>
      <c r="F258" s="10">
        <f>IFERROR(SUMIFS('Base bordo'!G$2:G$746,'Base bordo'!C$2:C$746,A258,'Base bordo'!B$2:B$746,B258,'Base bordo'!F$2:F$746,"DESLOCAMENTO"),0)</f>
        <v>0</v>
      </c>
      <c r="G258" s="10">
        <f>IFERROR(SUMIFS('Base bordo'!G$2:G$746,'Base bordo'!C$2:C$746,A258,'Base bordo'!B$2:B$746,B258,'Base bordo'!F$2:F$746,"CARREGAMENTO"),0)</f>
        <v>0</v>
      </c>
      <c r="H258" s="10">
        <f>IFERROR(SUMIFS('Base bordo'!G$2:G$746,'Base bordo'!C$2:C$746,A258,'Base bordo'!B$2:B$746,B258,'Base bordo'!F$2:F$746,"AGUARDANDO TRANSBORDO"),0)</f>
        <v>0</v>
      </c>
      <c r="I258" s="10">
        <f>IFERROR(SUMIFS('Base bordo'!G$2:G$746,'Base bordo'!C$2:C$746,A258,'Base bordo'!B$2:B$746,B258,'Base bordo'!F$2:F$746,"PÁTIO INTERNO"),0)+IFERROR(SUMIFS('Base bordo'!G$2:G$746,'Base bordo'!C$2:C$746,A258,'Base bordo'!B$2:B$746,B258,'Base bordo'!F$2:F$746,"PÁTIO EXTERNO"),0)+IFERROR(SUMIFS('Base bordo'!G$2:G$746,'Base bordo'!C$2:C$746,A258,'Base bordo'!B$2:B$746,B258,'Base bordo'!F$2:F$746,"PATIO - RESERVA"),0)+IFERROR(SUMIFS('Base bordo'!G$2:G$746,'Base bordo'!C$2:C$746,A258,'Base bordo'!B$2:B$746,B258,'Base bordo'!F$2:F$746,"MANOBRA CARRETAS-PATIO"),0)</f>
        <v>1.9913888888888889</v>
      </c>
      <c r="J258" s="10">
        <f>IFERROR(SUMIFS('Base bordo'!G$2:G$746,'Base bordo'!C$2:C$746,A258,'Base bordo'!B$2:B$746,B258,'Base bordo'!F$2:F$746,"BALANÇA - ENTRADA"),0)+IFERROR(SUMIFS('Base bordo'!G$2:G$746,'Base bordo'!C$2:C$746,A258,'Base bordo'!B$2:B$746,B258,'Base bordo'!F$2:F$746,"BALANÇA - SAÍDA"),0)</f>
        <v>0.02</v>
      </c>
      <c r="K258" s="10">
        <f>IFERROR(SUMIFS('Base bordo'!G$2:G$746,'Base bordo'!C$2:C$746,A258,'Base bordo'!B$2:B$746,B258,'Base bordo'!F$2:F$746,"MAN PREVENTIVA - MECANICA"),0)+IFERROR(SUMIFS('Base bordo'!G$2:G$746,'Base bordo'!C$2:C$746,A258,'Base bordo'!B$2:B$746,B258,'Base bordo'!F$2:F$746,"MAN CORRETIVA - MECANICA"),0)</f>
        <v>0</v>
      </c>
      <c r="L258" s="10">
        <f>IFERROR(SUMIFS('Base bordo'!G$2:G$746,'Base bordo'!C$2:C$746,A258,'Base bordo'!B$2:B$746,B258,'Base bordo'!F$2:F$746,"MANUTENCAO - T O"),0)+IFERROR(SUMIFS('Base bordo'!G$2:G$746,'Base bordo'!C$2:C$746,A258,'Base bordo'!B$2:B$746,B258,'Base bordo'!F$2:F$746,"MANUTENCAO BORRACHARIA"),0)+IFERROR(SUMIFS('Base bordo'!G$2:G$746,'Base bordo'!C$2:C$746,A258,'Base bordo'!B$2:B$746,B258,'Base bordo'!F$2:F$746,"MANUTENCAO EXTERNA  CONCESSIONARIA"),0)+IFERROR(SUMIFS('Base bordo'!G$2:G$746,'Base bordo'!C$2:C$746,A258,'Base bordo'!B$2:B$746,B258,'Base bordo'!F$2:F$746,"MANUTENCAO TELEMETRIA"),0)</f>
        <v>0</v>
      </c>
      <c r="M258" s="10">
        <f>IFERROR(SUMIFS('Base bordo'!G$2:G$746,'Base bordo'!C$2:C$746,A258,'Base bordo'!B$2:B$746,B258,'Base bordo'!F$2:F$746,"AGUARDANDO MANUTENCAO"),0)</f>
        <v>0</v>
      </c>
      <c r="N258" s="10">
        <f>IFERROR(SUMIFS('Base bordo'!G$2:G$746,'Base bordo'!C$2:C$746,A258,'Base bordo'!B$2:B$746,B258,'Base bordo'!F$2:F$746,"SEM APONTAMENTO"),0)</f>
        <v>0</v>
      </c>
      <c r="O258" s="10">
        <f t="shared" si="30"/>
        <v>2.4166666666666003E-2</v>
      </c>
      <c r="P258" s="10">
        <f>IFERROR(SUMIFS('Base bordo'!G$2:G$746,'Base bordo'!C$2:C$746,A258,'Base bordo'!B$2:B$746,B258),0)</f>
        <v>6.1466666666666665</v>
      </c>
      <c r="Q258" s="10">
        <f>IFERROR(SUMIFS('Base bordo'!H$2:H$746,'Base bordo'!C$2:C$746,A258,'Base bordo'!B$2:B$746,B258,'Base bordo'!F$2:F$746,"DESLOCAMENTO VAZIO"),0)</f>
        <v>213698.84</v>
      </c>
      <c r="R258" s="10">
        <f>IFERROR(SUMIFS('Base bordo'!I$2:I$746,'Base bordo'!C$2:C$746,A258,'Base bordo'!B$2:B$746,B258,'Base bordo'!F$2:F$746,"DESLOCAMENTO VAZIO"),0)</f>
        <v>8247</v>
      </c>
      <c r="S258" s="30">
        <f t="shared" si="31"/>
        <v>25.912312356008243</v>
      </c>
      <c r="T258" s="10">
        <f>IFERROR(SUMIFS('Base bordo'!H$2:H$746,'Base bordo'!C$2:C$746,A258,'Base bordo'!B$2:B$746,B258,'Base bordo'!F$2:F$746,"DESLOCAMENTO CARREGADO"),0)</f>
        <v>171355.69999999998</v>
      </c>
      <c r="U258" s="10">
        <f>IFERROR(SUMIFS('Base bordo'!I$2:I$746,'Base bordo'!C$2:C$746,A258,'Base bordo'!B$2:B$746,B258,'Base bordo'!F$2:F$746,"DESLOCAMENTO CARREGADO"),0)</f>
        <v>6497</v>
      </c>
      <c r="V258" s="30">
        <f t="shared" si="32"/>
        <v>26.374588271509925</v>
      </c>
      <c r="W258" s="9">
        <f t="shared" si="33"/>
        <v>0.37269522776572672</v>
      </c>
      <c r="X258" s="9">
        <f t="shared" si="34"/>
        <v>0.29614063629790316</v>
      </c>
      <c r="Y258" s="9">
        <f t="shared" si="35"/>
        <v>0.33116413593637006</v>
      </c>
    </row>
    <row r="259" spans="1:25" ht="15" customHeight="1" x14ac:dyDescent="0.35">
      <c r="A259" s="52">
        <v>8013478</v>
      </c>
      <c r="B259" s="51">
        <v>46117</v>
      </c>
      <c r="C259" s="7" t="s">
        <v>124</v>
      </c>
      <c r="D259" s="10">
        <f>IFERROR(SUMIFS('Base bordo'!G$2:G$746,'Base bordo'!C$2:C$746,A259,'Base bordo'!B$2:B$746,B259,'Base bordo'!F$2:F$746,"DESLOCAMENTO VAZIO"),0)</f>
        <v>3.3080555555555557</v>
      </c>
      <c r="E259" s="10">
        <f>IFERROR(SUMIFS('Base bordo'!G$2:G$746,'Base bordo'!C$2:C$746,A259,'Base bordo'!B$2:B$746,B259,'Base bordo'!F$2:F$746,"DESLOCAMENTO CARREGADO"),0)</f>
        <v>0.25666666666666665</v>
      </c>
      <c r="F259" s="10">
        <f>IFERROR(SUMIFS('Base bordo'!G$2:G$746,'Base bordo'!C$2:C$746,A259,'Base bordo'!B$2:B$746,B259,'Base bordo'!F$2:F$746,"DESLOCAMENTO"),0)</f>
        <v>0.71666666666666667</v>
      </c>
      <c r="G259" s="10">
        <f>IFERROR(SUMIFS('Base bordo'!G$2:G$746,'Base bordo'!C$2:C$746,A259,'Base bordo'!B$2:B$746,B259,'Base bordo'!F$2:F$746,"CARREGAMENTO"),0)</f>
        <v>7.4722222222222218E-2</v>
      </c>
      <c r="H259" s="10">
        <f>IFERROR(SUMIFS('Base bordo'!G$2:G$746,'Base bordo'!C$2:C$746,A259,'Base bordo'!B$2:B$746,B259,'Base bordo'!F$2:F$746,"AGUARDANDO TRANSBORDO"),0)</f>
        <v>0.18472222222222223</v>
      </c>
      <c r="I259" s="10">
        <f>IFERROR(SUMIFS('Base bordo'!G$2:G$746,'Base bordo'!C$2:C$746,A259,'Base bordo'!B$2:B$746,B259,'Base bordo'!F$2:F$746,"PÁTIO INTERNO"),0)+IFERROR(SUMIFS('Base bordo'!G$2:G$746,'Base bordo'!C$2:C$746,A259,'Base bordo'!B$2:B$746,B259,'Base bordo'!F$2:F$746,"PÁTIO EXTERNO"),0)+IFERROR(SUMIFS('Base bordo'!G$2:G$746,'Base bordo'!C$2:C$746,A259,'Base bordo'!B$2:B$746,B259,'Base bordo'!F$2:F$746,"PATIO - RESERVA"),0)+IFERROR(SUMIFS('Base bordo'!G$2:G$746,'Base bordo'!C$2:C$746,A259,'Base bordo'!B$2:B$746,B259,'Base bordo'!F$2:F$746,"MANOBRA CARRETAS-PATIO"),0)</f>
        <v>0</v>
      </c>
      <c r="J259" s="10">
        <f>IFERROR(SUMIFS('Base bordo'!G$2:G$746,'Base bordo'!C$2:C$746,A259,'Base bordo'!B$2:B$746,B259,'Base bordo'!F$2:F$746,"BALANÇA - ENTRADA"),0)+IFERROR(SUMIFS('Base bordo'!G$2:G$746,'Base bordo'!C$2:C$746,A259,'Base bordo'!B$2:B$746,B259,'Base bordo'!F$2:F$746,"BALANÇA - SAÍDA"),0)</f>
        <v>0</v>
      </c>
      <c r="K259" s="10">
        <f>IFERROR(SUMIFS('Base bordo'!G$2:G$746,'Base bordo'!C$2:C$746,A259,'Base bordo'!B$2:B$746,B259,'Base bordo'!F$2:F$746,"MAN PREVENTIVA - MECANICA"),0)+IFERROR(SUMIFS('Base bordo'!G$2:G$746,'Base bordo'!C$2:C$746,A259,'Base bordo'!B$2:B$746,B259,'Base bordo'!F$2:F$746,"MAN CORRETIVA - MECANICA"),0)</f>
        <v>0</v>
      </c>
      <c r="L259" s="10">
        <f>IFERROR(SUMIFS('Base bordo'!G$2:G$746,'Base bordo'!C$2:C$746,A259,'Base bordo'!B$2:B$746,B259,'Base bordo'!F$2:F$746,"MANUTENCAO - T O"),0)+IFERROR(SUMIFS('Base bordo'!G$2:G$746,'Base bordo'!C$2:C$746,A259,'Base bordo'!B$2:B$746,B259,'Base bordo'!F$2:F$746,"MANUTENCAO BORRACHARIA"),0)+IFERROR(SUMIFS('Base bordo'!G$2:G$746,'Base bordo'!C$2:C$746,A259,'Base bordo'!B$2:B$746,B259,'Base bordo'!F$2:F$746,"MANUTENCAO EXTERNA  CONCESSIONARIA"),0)+IFERROR(SUMIFS('Base bordo'!G$2:G$746,'Base bordo'!C$2:C$746,A259,'Base bordo'!B$2:B$746,B259,'Base bordo'!F$2:F$746,"MANUTENCAO TELEMETRIA"),0)</f>
        <v>15.166944444444445</v>
      </c>
      <c r="M259" s="10">
        <f>IFERROR(SUMIFS('Base bordo'!G$2:G$746,'Base bordo'!C$2:C$746,A259,'Base bordo'!B$2:B$746,B259,'Base bordo'!F$2:F$746,"AGUARDANDO MANUTENCAO"),0)</f>
        <v>0</v>
      </c>
      <c r="N259" s="10">
        <f>IFERROR(SUMIFS('Base bordo'!G$2:G$746,'Base bordo'!C$2:C$746,A259,'Base bordo'!B$2:B$746,B259,'Base bordo'!F$2:F$746,"SEM APONTAMENTO"),0)</f>
        <v>0.64555555555555555</v>
      </c>
      <c r="O259" s="10">
        <f t="shared" si="30"/>
        <v>3.6466666666666683</v>
      </c>
      <c r="P259" s="10">
        <f>IFERROR(SUMIFS('Base bordo'!G$2:G$746,'Base bordo'!C$2:C$746,A259,'Base bordo'!B$2:B$746,B259),0)</f>
        <v>24.000000000000004</v>
      </c>
      <c r="Q259" s="10">
        <f>IFERROR(SUMIFS('Base bordo'!H$2:H$746,'Base bordo'!C$2:C$746,A259,'Base bordo'!B$2:B$746,B259,'Base bordo'!F$2:F$746,"DESLOCAMENTO VAZIO"),0)</f>
        <v>327757.84999999998</v>
      </c>
      <c r="R259" s="10">
        <f>IFERROR(SUMIFS('Base bordo'!I$2:I$746,'Base bordo'!C$2:C$746,A259,'Base bordo'!B$2:B$746,B259,'Base bordo'!F$2:F$746,"DESLOCAMENTO VAZIO"),0)</f>
        <v>11909</v>
      </c>
      <c r="S259" s="30">
        <f t="shared" si="31"/>
        <v>27.521861617264253</v>
      </c>
      <c r="T259" s="10">
        <f>IFERROR(SUMIFS('Base bordo'!H$2:H$746,'Base bordo'!C$2:C$746,A259,'Base bordo'!B$2:B$746,B259,'Base bordo'!F$2:F$746,"DESLOCAMENTO CARREGADO"),0)</f>
        <v>25650.240000000002</v>
      </c>
      <c r="U259" s="10">
        <f>IFERROR(SUMIFS('Base bordo'!I$2:I$746,'Base bordo'!C$2:C$746,A259,'Base bordo'!B$2:B$746,B259,'Base bordo'!F$2:F$746,"DESLOCAMENTO CARREGADO"),0)</f>
        <v>924</v>
      </c>
      <c r="V259" s="30">
        <f t="shared" si="32"/>
        <v>27.76</v>
      </c>
      <c r="W259" s="9">
        <f t="shared" si="33"/>
        <v>0.13783564814814814</v>
      </c>
      <c r="X259" s="9">
        <f t="shared" si="34"/>
        <v>1.0694444444444442E-2</v>
      </c>
      <c r="Y259" s="9">
        <f t="shared" si="35"/>
        <v>0.85146990740740747</v>
      </c>
    </row>
    <row r="260" spans="1:25" ht="15" customHeight="1" x14ac:dyDescent="0.35">
      <c r="A260" s="52">
        <v>8013461</v>
      </c>
      <c r="B260" s="51">
        <v>46118</v>
      </c>
      <c r="C260" s="7" t="s">
        <v>124</v>
      </c>
      <c r="D260" s="10">
        <f>IFERROR(SUMIFS('Base bordo'!G$2:G$746,'Base bordo'!C$2:C$746,A260,'Base bordo'!B$2:B$746,B260,'Base bordo'!F$2:F$746,"DESLOCAMENTO VAZIO"),0)</f>
        <v>1.6119444444444444</v>
      </c>
      <c r="E260" s="10">
        <f>IFERROR(SUMIFS('Base bordo'!G$2:G$746,'Base bordo'!C$2:C$746,A260,'Base bordo'!B$2:B$746,B260,'Base bordo'!F$2:F$746,"DESLOCAMENTO CARREGADO"),0)</f>
        <v>3.9649999999999999</v>
      </c>
      <c r="F260" s="10">
        <f>IFERROR(SUMIFS('Base bordo'!G$2:G$746,'Base bordo'!C$2:C$746,A260,'Base bordo'!B$2:B$746,B260,'Base bordo'!F$2:F$746,"DESLOCAMENTO"),0)</f>
        <v>0.61416666666666664</v>
      </c>
      <c r="G260" s="10">
        <f>IFERROR(SUMIFS('Base bordo'!G$2:G$746,'Base bordo'!C$2:C$746,A260,'Base bordo'!B$2:B$746,B260,'Base bordo'!F$2:F$746,"CARREGAMENTO"),0)</f>
        <v>0.68666666666666665</v>
      </c>
      <c r="H260" s="10">
        <f>IFERROR(SUMIFS('Base bordo'!G$2:G$746,'Base bordo'!C$2:C$746,A260,'Base bordo'!B$2:B$746,B260,'Base bordo'!F$2:F$746,"AGUARDANDO TRANSBORDO"),0)</f>
        <v>0.5033333333333333</v>
      </c>
      <c r="I260" s="10">
        <f>IFERROR(SUMIFS('Base bordo'!G$2:G$746,'Base bordo'!C$2:C$746,A260,'Base bordo'!B$2:B$746,B260,'Base bordo'!F$2:F$746,"PÁTIO INTERNO"),0)+IFERROR(SUMIFS('Base bordo'!G$2:G$746,'Base bordo'!C$2:C$746,A260,'Base bordo'!B$2:B$746,B260,'Base bordo'!F$2:F$746,"PÁTIO EXTERNO"),0)+IFERROR(SUMIFS('Base bordo'!G$2:G$746,'Base bordo'!C$2:C$746,A260,'Base bordo'!B$2:B$746,B260,'Base bordo'!F$2:F$746,"PATIO - RESERVA"),0)+IFERROR(SUMIFS('Base bordo'!G$2:G$746,'Base bordo'!C$2:C$746,A260,'Base bordo'!B$2:B$746,B260,'Base bordo'!F$2:F$746,"MANOBRA CARRETAS-PATIO"),0)</f>
        <v>13.577499999999999</v>
      </c>
      <c r="J260" s="10">
        <f>IFERROR(SUMIFS('Base bordo'!G$2:G$746,'Base bordo'!C$2:C$746,A260,'Base bordo'!B$2:B$746,B260,'Base bordo'!F$2:F$746,"BALANÇA - ENTRADA"),0)+IFERROR(SUMIFS('Base bordo'!G$2:G$746,'Base bordo'!C$2:C$746,A260,'Base bordo'!B$2:B$746,B260,'Base bordo'!F$2:F$746,"BALANÇA - SAÍDA"),0)</f>
        <v>0.18777777777777779</v>
      </c>
      <c r="K260" s="10">
        <f>IFERROR(SUMIFS('Base bordo'!G$2:G$746,'Base bordo'!C$2:C$746,A260,'Base bordo'!B$2:B$746,B260,'Base bordo'!F$2:F$746,"MAN PREVENTIVA - MECANICA"),0)+IFERROR(SUMIFS('Base bordo'!G$2:G$746,'Base bordo'!C$2:C$746,A260,'Base bordo'!B$2:B$746,B260,'Base bordo'!F$2:F$746,"MAN CORRETIVA - MECANICA"),0)</f>
        <v>0</v>
      </c>
      <c r="L260" s="10">
        <f>IFERROR(SUMIFS('Base bordo'!G$2:G$746,'Base bordo'!C$2:C$746,A260,'Base bordo'!B$2:B$746,B260,'Base bordo'!F$2:F$746,"MANUTENCAO - T O"),0)+IFERROR(SUMIFS('Base bordo'!G$2:G$746,'Base bordo'!C$2:C$746,A260,'Base bordo'!B$2:B$746,B260,'Base bordo'!F$2:F$746,"MANUTENCAO BORRACHARIA"),0)+IFERROR(SUMIFS('Base bordo'!G$2:G$746,'Base bordo'!C$2:C$746,A260,'Base bordo'!B$2:B$746,B260,'Base bordo'!F$2:F$746,"MANUTENCAO EXTERNA  CONCESSIONARIA"),0)+IFERROR(SUMIFS('Base bordo'!G$2:G$746,'Base bordo'!C$2:C$746,A260,'Base bordo'!B$2:B$746,B260,'Base bordo'!F$2:F$746,"MANUTENCAO TELEMETRIA"),0)</f>
        <v>0</v>
      </c>
      <c r="M260" s="10">
        <f>IFERROR(SUMIFS('Base bordo'!G$2:G$746,'Base bordo'!C$2:C$746,A260,'Base bordo'!B$2:B$746,B260,'Base bordo'!F$2:F$746,"AGUARDANDO MANUTENCAO"),0)</f>
        <v>0</v>
      </c>
      <c r="N260" s="10">
        <f>IFERROR(SUMIFS('Base bordo'!G$2:G$746,'Base bordo'!C$2:C$746,A260,'Base bordo'!B$2:B$746,B260,'Base bordo'!F$2:F$746,"SEM APONTAMENTO"),0)</f>
        <v>0.28888888888888886</v>
      </c>
      <c r="O260" s="10">
        <f t="shared" si="30"/>
        <v>2.5647222222222226</v>
      </c>
      <c r="P260" s="10">
        <f>IFERROR(SUMIFS('Base bordo'!G$2:G$746,'Base bordo'!C$2:C$746,A260,'Base bordo'!B$2:B$746,B260),0)</f>
        <v>24</v>
      </c>
      <c r="Q260" s="10">
        <f>IFERROR(SUMIFS('Base bordo'!H$2:H$746,'Base bordo'!C$2:C$746,A260,'Base bordo'!B$2:B$746,B260,'Base bordo'!F$2:F$746,"DESLOCAMENTO VAZIO"),0)</f>
        <v>187022.74</v>
      </c>
      <c r="R260" s="10">
        <f>IFERROR(SUMIFS('Base bordo'!I$2:I$746,'Base bordo'!C$2:C$746,A260,'Base bordo'!B$2:B$746,B260,'Base bordo'!F$2:F$746,"DESLOCAMENTO VAZIO"),0)</f>
        <v>5803</v>
      </c>
      <c r="S260" s="30">
        <f t="shared" si="31"/>
        <v>32.228630018955712</v>
      </c>
      <c r="T260" s="10">
        <f>IFERROR(SUMIFS('Base bordo'!H$2:H$746,'Base bordo'!C$2:C$746,A260,'Base bordo'!B$2:B$746,B260,'Base bordo'!F$2:F$746,"DESLOCAMENTO CARREGADO"),0)</f>
        <v>411676.06999999995</v>
      </c>
      <c r="U260" s="10">
        <f>IFERROR(SUMIFS('Base bordo'!I$2:I$746,'Base bordo'!C$2:C$746,A260,'Base bordo'!B$2:B$746,B260,'Base bordo'!F$2:F$746,"DESLOCAMENTO CARREGADO"),0)</f>
        <v>14242</v>
      </c>
      <c r="V260" s="30">
        <f t="shared" si="32"/>
        <v>28.905776576323547</v>
      </c>
      <c r="W260" s="9">
        <f t="shared" si="33"/>
        <v>6.716435185185185E-2</v>
      </c>
      <c r="X260" s="9">
        <f t="shared" si="34"/>
        <v>0.16520833333333332</v>
      </c>
      <c r="Y260" s="9">
        <f t="shared" si="35"/>
        <v>0.76762731481481483</v>
      </c>
    </row>
    <row r="261" spans="1:25" ht="15" customHeight="1" x14ac:dyDescent="0.35">
      <c r="A261" s="52">
        <v>8013474</v>
      </c>
      <c r="B261" s="51">
        <v>46124</v>
      </c>
      <c r="C261" s="7" t="s">
        <v>124</v>
      </c>
      <c r="D261" s="10">
        <f>IFERROR(SUMIFS('Base bordo'!G$2:G$746,'Base bordo'!C$2:C$746,A261,'Base bordo'!B$2:B$746,B261,'Base bordo'!F$2:F$746,"DESLOCAMENTO VAZIO"),0)</f>
        <v>4.3047222222222219</v>
      </c>
      <c r="E261" s="10">
        <f>IFERROR(SUMIFS('Base bordo'!G$2:G$746,'Base bordo'!C$2:C$746,A261,'Base bordo'!B$2:B$746,B261,'Base bordo'!F$2:F$746,"DESLOCAMENTO CARREGADO"),0)</f>
        <v>5.5750000000000002</v>
      </c>
      <c r="F261" s="10">
        <f>IFERROR(SUMIFS('Base bordo'!G$2:G$746,'Base bordo'!C$2:C$746,A261,'Base bordo'!B$2:B$746,B261,'Base bordo'!F$2:F$746,"DESLOCAMENTO"),0)</f>
        <v>0</v>
      </c>
      <c r="G261" s="10">
        <f>IFERROR(SUMIFS('Base bordo'!G$2:G$746,'Base bordo'!C$2:C$746,A261,'Base bordo'!B$2:B$746,B261,'Base bordo'!F$2:F$746,"CARREGAMENTO"),0)</f>
        <v>0</v>
      </c>
      <c r="H261" s="10">
        <f>IFERROR(SUMIFS('Base bordo'!G$2:G$746,'Base bordo'!C$2:C$746,A261,'Base bordo'!B$2:B$746,B261,'Base bordo'!F$2:F$746,"AGUARDANDO TRANSBORDO"),0)</f>
        <v>0.92527777777777775</v>
      </c>
      <c r="I261" s="10">
        <f>IFERROR(SUMIFS('Base bordo'!G$2:G$746,'Base bordo'!C$2:C$746,A261,'Base bordo'!B$2:B$746,B261,'Base bordo'!F$2:F$746,"PÁTIO INTERNO"),0)+IFERROR(SUMIFS('Base bordo'!G$2:G$746,'Base bordo'!C$2:C$746,A261,'Base bordo'!B$2:B$746,B261,'Base bordo'!F$2:F$746,"PÁTIO EXTERNO"),0)+IFERROR(SUMIFS('Base bordo'!G$2:G$746,'Base bordo'!C$2:C$746,A261,'Base bordo'!B$2:B$746,B261,'Base bordo'!F$2:F$746,"PATIO - RESERVA"),0)+IFERROR(SUMIFS('Base bordo'!G$2:G$746,'Base bordo'!C$2:C$746,A261,'Base bordo'!B$2:B$746,B261,'Base bordo'!F$2:F$746,"MANOBRA CARRETAS-PATIO"),0)</f>
        <v>1.7619444444444445</v>
      </c>
      <c r="J261" s="10">
        <f>IFERROR(SUMIFS('Base bordo'!G$2:G$746,'Base bordo'!C$2:C$746,A261,'Base bordo'!B$2:B$746,B261,'Base bordo'!F$2:F$746,"BALANÇA - ENTRADA"),0)+IFERROR(SUMIFS('Base bordo'!G$2:G$746,'Base bordo'!C$2:C$746,A261,'Base bordo'!B$2:B$746,B261,'Base bordo'!F$2:F$746,"BALANÇA - SAÍDA"),0)</f>
        <v>9.6944444444444444E-2</v>
      </c>
      <c r="K261" s="10">
        <f>IFERROR(SUMIFS('Base bordo'!G$2:G$746,'Base bordo'!C$2:C$746,A261,'Base bordo'!B$2:B$746,B261,'Base bordo'!F$2:F$746,"MAN PREVENTIVA - MECANICA"),0)+IFERROR(SUMIFS('Base bordo'!G$2:G$746,'Base bordo'!C$2:C$746,A261,'Base bordo'!B$2:B$746,B261,'Base bordo'!F$2:F$746,"MAN CORRETIVA - MECANICA"),0)</f>
        <v>0</v>
      </c>
      <c r="L261" s="10">
        <f>IFERROR(SUMIFS('Base bordo'!G$2:G$746,'Base bordo'!C$2:C$746,A261,'Base bordo'!B$2:B$746,B261,'Base bordo'!F$2:F$746,"MANUTENCAO - T O"),0)+IFERROR(SUMIFS('Base bordo'!G$2:G$746,'Base bordo'!C$2:C$746,A261,'Base bordo'!B$2:B$746,B261,'Base bordo'!F$2:F$746,"MANUTENCAO BORRACHARIA"),0)+IFERROR(SUMIFS('Base bordo'!G$2:G$746,'Base bordo'!C$2:C$746,A261,'Base bordo'!B$2:B$746,B261,'Base bordo'!F$2:F$746,"MANUTENCAO EXTERNA  CONCESSIONARIA"),0)+IFERROR(SUMIFS('Base bordo'!G$2:G$746,'Base bordo'!C$2:C$746,A261,'Base bordo'!B$2:B$746,B261,'Base bordo'!F$2:F$746,"MANUTENCAO TELEMETRIA"),0)</f>
        <v>0</v>
      </c>
      <c r="M261" s="10">
        <f>IFERROR(SUMIFS('Base bordo'!G$2:G$746,'Base bordo'!C$2:C$746,A261,'Base bordo'!B$2:B$746,B261,'Base bordo'!F$2:F$746,"AGUARDANDO MANUTENCAO"),0)</f>
        <v>0</v>
      </c>
      <c r="N261" s="10">
        <f>IFERROR(SUMIFS('Base bordo'!G$2:G$746,'Base bordo'!C$2:C$746,A261,'Base bordo'!B$2:B$746,B261,'Base bordo'!F$2:F$746,"SEM APONTAMENTO"),0)</f>
        <v>0</v>
      </c>
      <c r="O261" s="10">
        <f t="shared" si="30"/>
        <v>0</v>
      </c>
      <c r="P261" s="10">
        <f>IFERROR(SUMIFS('Base bordo'!G$2:G$746,'Base bordo'!C$2:C$746,A261,'Base bordo'!B$2:B$746,B261),0)</f>
        <v>12.66388888888889</v>
      </c>
      <c r="Q261" s="10">
        <f>IFERROR(SUMIFS('Base bordo'!H$2:H$746,'Base bordo'!C$2:C$746,A261,'Base bordo'!B$2:B$746,B261,'Base bordo'!F$2:F$746,"DESLOCAMENTO VAZIO"),0)</f>
        <v>535356.59</v>
      </c>
      <c r="R261" s="10">
        <f>IFERROR(SUMIFS('Base bordo'!I$2:I$746,'Base bordo'!C$2:C$746,A261,'Base bordo'!B$2:B$746,B261,'Base bordo'!F$2:F$746,"DESLOCAMENTO VAZIO"),0)</f>
        <v>15497</v>
      </c>
      <c r="S261" s="30">
        <f t="shared" si="31"/>
        <v>34.545821126669679</v>
      </c>
      <c r="T261" s="10">
        <f>IFERROR(SUMIFS('Base bordo'!H$2:H$746,'Base bordo'!C$2:C$746,A261,'Base bordo'!B$2:B$746,B261,'Base bordo'!F$2:F$746,"DESLOCAMENTO CARREGADO"),0)</f>
        <v>488002.63</v>
      </c>
      <c r="U261" s="10">
        <f>IFERROR(SUMIFS('Base bordo'!I$2:I$746,'Base bordo'!C$2:C$746,A261,'Base bordo'!B$2:B$746,B261,'Base bordo'!F$2:F$746,"DESLOCAMENTO CARREGADO"),0)</f>
        <v>20070</v>
      </c>
      <c r="V261" s="30">
        <f t="shared" si="32"/>
        <v>24.31502889885401</v>
      </c>
      <c r="W261" s="9">
        <f t="shared" si="33"/>
        <v>0.33992103531476198</v>
      </c>
      <c r="X261" s="9">
        <f t="shared" si="34"/>
        <v>0.44022812020179863</v>
      </c>
      <c r="Y261" s="9">
        <f t="shared" si="35"/>
        <v>0.21985084448343939</v>
      </c>
    </row>
    <row r="262" spans="1:25" ht="15" customHeight="1" x14ac:dyDescent="0.35">
      <c r="A262" s="52">
        <v>8013486</v>
      </c>
      <c r="B262" s="51">
        <v>46119</v>
      </c>
      <c r="C262" s="7" t="s">
        <v>124</v>
      </c>
      <c r="D262" s="10">
        <f>IFERROR(SUMIFS('Base bordo'!G$2:G$746,'Base bordo'!C$2:C$746,A262,'Base bordo'!B$2:B$746,B262,'Base bordo'!F$2:F$746,"DESLOCAMENTO VAZIO"),0)</f>
        <v>0.33</v>
      </c>
      <c r="E262" s="10">
        <f>IFERROR(SUMIFS('Base bordo'!G$2:G$746,'Base bordo'!C$2:C$746,A262,'Base bordo'!B$2:B$746,B262,'Base bordo'!F$2:F$746,"DESLOCAMENTO CARREGADO"),0)</f>
        <v>0</v>
      </c>
      <c r="F262" s="10">
        <f>IFERROR(SUMIFS('Base bordo'!G$2:G$746,'Base bordo'!C$2:C$746,A262,'Base bordo'!B$2:B$746,B262,'Base bordo'!F$2:F$746,"DESLOCAMENTO"),0)</f>
        <v>0</v>
      </c>
      <c r="G262" s="10">
        <f>IFERROR(SUMIFS('Base bordo'!G$2:G$746,'Base bordo'!C$2:C$746,A262,'Base bordo'!B$2:B$746,B262,'Base bordo'!F$2:F$746,"CARREGAMENTO"),0)</f>
        <v>0</v>
      </c>
      <c r="H262" s="10">
        <f>IFERROR(SUMIFS('Base bordo'!G$2:G$746,'Base bordo'!C$2:C$746,A262,'Base bordo'!B$2:B$746,B262,'Base bordo'!F$2:F$746,"AGUARDANDO TRANSBORDO"),0)</f>
        <v>8.666666666666667E-2</v>
      </c>
      <c r="I262" s="10">
        <f>IFERROR(SUMIFS('Base bordo'!G$2:G$746,'Base bordo'!C$2:C$746,A262,'Base bordo'!B$2:B$746,B262,'Base bordo'!F$2:F$746,"PÁTIO INTERNO"),0)+IFERROR(SUMIFS('Base bordo'!G$2:G$746,'Base bordo'!C$2:C$746,A262,'Base bordo'!B$2:B$746,B262,'Base bordo'!F$2:F$746,"PÁTIO EXTERNO"),0)+IFERROR(SUMIFS('Base bordo'!G$2:G$746,'Base bordo'!C$2:C$746,A262,'Base bordo'!B$2:B$746,B262,'Base bordo'!F$2:F$746,"PATIO - RESERVA"),0)+IFERROR(SUMIFS('Base bordo'!G$2:G$746,'Base bordo'!C$2:C$746,A262,'Base bordo'!B$2:B$746,B262,'Base bordo'!F$2:F$746,"MANOBRA CARRETAS-PATIO"),0)</f>
        <v>12.1875</v>
      </c>
      <c r="J262" s="10">
        <f>IFERROR(SUMIFS('Base bordo'!G$2:G$746,'Base bordo'!C$2:C$746,A262,'Base bordo'!B$2:B$746,B262,'Base bordo'!F$2:F$746,"BALANÇA - ENTRADA"),0)+IFERROR(SUMIFS('Base bordo'!G$2:G$746,'Base bordo'!C$2:C$746,A262,'Base bordo'!B$2:B$746,B262,'Base bordo'!F$2:F$746,"BALANÇA - SAÍDA"),0)</f>
        <v>1.0555555555555556E-2</v>
      </c>
      <c r="K262" s="10">
        <f>IFERROR(SUMIFS('Base bordo'!G$2:G$746,'Base bordo'!C$2:C$746,A262,'Base bordo'!B$2:B$746,B262,'Base bordo'!F$2:F$746,"MAN PREVENTIVA - MECANICA"),0)+IFERROR(SUMIFS('Base bordo'!G$2:G$746,'Base bordo'!C$2:C$746,A262,'Base bordo'!B$2:B$746,B262,'Base bordo'!F$2:F$746,"MAN CORRETIVA - MECANICA"),0)</f>
        <v>0</v>
      </c>
      <c r="L262" s="10">
        <f>IFERROR(SUMIFS('Base bordo'!G$2:G$746,'Base bordo'!C$2:C$746,A262,'Base bordo'!B$2:B$746,B262,'Base bordo'!F$2:F$746,"MANUTENCAO - T O"),0)+IFERROR(SUMIFS('Base bordo'!G$2:G$746,'Base bordo'!C$2:C$746,A262,'Base bordo'!B$2:B$746,B262,'Base bordo'!F$2:F$746,"MANUTENCAO BORRACHARIA"),0)+IFERROR(SUMIFS('Base bordo'!G$2:G$746,'Base bordo'!C$2:C$746,A262,'Base bordo'!B$2:B$746,B262,'Base bordo'!F$2:F$746,"MANUTENCAO EXTERNA  CONCESSIONARIA"),0)+IFERROR(SUMIFS('Base bordo'!G$2:G$746,'Base bordo'!C$2:C$746,A262,'Base bordo'!B$2:B$746,B262,'Base bordo'!F$2:F$746,"MANUTENCAO TELEMETRIA"),0)</f>
        <v>0</v>
      </c>
      <c r="M262" s="10">
        <f>IFERROR(SUMIFS('Base bordo'!G$2:G$746,'Base bordo'!C$2:C$746,A262,'Base bordo'!B$2:B$746,B262,'Base bordo'!F$2:F$746,"AGUARDANDO MANUTENCAO"),0)</f>
        <v>0</v>
      </c>
      <c r="N262" s="10">
        <f>IFERROR(SUMIFS('Base bordo'!G$2:G$746,'Base bordo'!C$2:C$746,A262,'Base bordo'!B$2:B$746,B262,'Base bordo'!F$2:F$746,"SEM APONTAMENTO"),0)</f>
        <v>0</v>
      </c>
      <c r="O262" s="10">
        <f t="shared" si="30"/>
        <v>0</v>
      </c>
      <c r="P262" s="10">
        <f>IFERROR(SUMIFS('Base bordo'!G$2:G$746,'Base bordo'!C$2:C$746,A262,'Base bordo'!B$2:B$746,B262),0)</f>
        <v>12.614722222222222</v>
      </c>
      <c r="Q262" s="10">
        <f>IFERROR(SUMIFS('Base bordo'!H$2:H$746,'Base bordo'!C$2:C$746,A262,'Base bordo'!B$2:B$746,B262,'Base bordo'!F$2:F$746,"DESLOCAMENTO VAZIO"),0)</f>
        <v>7895.41</v>
      </c>
      <c r="R262" s="10">
        <f>IFERROR(SUMIFS('Base bordo'!I$2:I$746,'Base bordo'!C$2:C$746,A262,'Base bordo'!B$2:B$746,B262,'Base bordo'!F$2:F$746,"DESLOCAMENTO VAZIO"),0)</f>
        <v>1188</v>
      </c>
      <c r="S262" s="30">
        <f t="shared" si="31"/>
        <v>6.6459680134680132</v>
      </c>
      <c r="T262" s="10">
        <f>IFERROR(SUMIFS('Base bordo'!H$2:H$746,'Base bordo'!C$2:C$746,A262,'Base bordo'!B$2:B$746,B262,'Base bordo'!F$2:F$746,"DESLOCAMENTO CARREGADO"),0)</f>
        <v>0</v>
      </c>
      <c r="U262" s="10">
        <f>IFERROR(SUMIFS('Base bordo'!I$2:I$746,'Base bordo'!C$2:C$746,A262,'Base bordo'!B$2:B$746,B262,'Base bordo'!F$2:F$746,"DESLOCAMENTO CARREGADO"),0)</f>
        <v>0</v>
      </c>
      <c r="V262" s="30" t="str">
        <f t="shared" si="32"/>
        <v/>
      </c>
      <c r="W262" s="9">
        <f t="shared" si="33"/>
        <v>2.6159910157884308E-2</v>
      </c>
      <c r="X262" s="9">
        <f t="shared" si="34"/>
        <v>0</v>
      </c>
      <c r="Y262" s="9">
        <f t="shared" si="35"/>
        <v>0.97384008984211567</v>
      </c>
    </row>
    <row r="263" spans="1:25" ht="15" customHeight="1" x14ac:dyDescent="0.35">
      <c r="A263" s="52">
        <v>8013473</v>
      </c>
      <c r="B263" s="51">
        <v>46119</v>
      </c>
      <c r="C263" s="7" t="s">
        <v>124</v>
      </c>
      <c r="D263" s="10">
        <f>IFERROR(SUMIFS('Base bordo'!G$2:G$746,'Base bordo'!C$2:C$746,A263,'Base bordo'!B$2:B$746,B263,'Base bordo'!F$2:F$746,"DESLOCAMENTO VAZIO"),0)</f>
        <v>9.0277777777777776E-2</v>
      </c>
      <c r="E263" s="10">
        <f>IFERROR(SUMIFS('Base bordo'!G$2:G$746,'Base bordo'!C$2:C$746,A263,'Base bordo'!B$2:B$746,B263,'Base bordo'!F$2:F$746,"DESLOCAMENTO CARREGADO"),0)</f>
        <v>0</v>
      </c>
      <c r="F263" s="10">
        <f>IFERROR(SUMIFS('Base bordo'!G$2:G$746,'Base bordo'!C$2:C$746,A263,'Base bordo'!B$2:B$746,B263,'Base bordo'!F$2:F$746,"DESLOCAMENTO"),0)</f>
        <v>0</v>
      </c>
      <c r="G263" s="10">
        <f>IFERROR(SUMIFS('Base bordo'!G$2:G$746,'Base bordo'!C$2:C$746,A263,'Base bordo'!B$2:B$746,B263,'Base bordo'!F$2:F$746,"CARREGAMENTO"),0)</f>
        <v>0</v>
      </c>
      <c r="H263" s="10">
        <f>IFERROR(SUMIFS('Base bordo'!G$2:G$746,'Base bordo'!C$2:C$746,A263,'Base bordo'!B$2:B$746,B263,'Base bordo'!F$2:F$746,"AGUARDANDO TRANSBORDO"),0)</f>
        <v>0</v>
      </c>
      <c r="I263" s="10">
        <f>IFERROR(SUMIFS('Base bordo'!G$2:G$746,'Base bordo'!C$2:C$746,A263,'Base bordo'!B$2:B$746,B263,'Base bordo'!F$2:F$746,"PÁTIO INTERNO"),0)+IFERROR(SUMIFS('Base bordo'!G$2:G$746,'Base bordo'!C$2:C$746,A263,'Base bordo'!B$2:B$746,B263,'Base bordo'!F$2:F$746,"PÁTIO EXTERNO"),0)+IFERROR(SUMIFS('Base bordo'!G$2:G$746,'Base bordo'!C$2:C$746,A263,'Base bordo'!B$2:B$746,B263,'Base bordo'!F$2:F$746,"PATIO - RESERVA"),0)+IFERROR(SUMIFS('Base bordo'!G$2:G$746,'Base bordo'!C$2:C$746,A263,'Base bordo'!B$2:B$746,B263,'Base bordo'!F$2:F$746,"MANOBRA CARRETAS-PATIO"),0)</f>
        <v>21.094999999999999</v>
      </c>
      <c r="J263" s="10">
        <f>IFERROR(SUMIFS('Base bordo'!G$2:G$746,'Base bordo'!C$2:C$746,A263,'Base bordo'!B$2:B$746,B263,'Base bordo'!F$2:F$746,"BALANÇA - ENTRADA"),0)+IFERROR(SUMIFS('Base bordo'!G$2:G$746,'Base bordo'!C$2:C$746,A263,'Base bordo'!B$2:B$746,B263,'Base bordo'!F$2:F$746,"BALANÇA - SAÍDA"),0)</f>
        <v>8.1111111111111106E-2</v>
      </c>
      <c r="K263" s="10">
        <f>IFERROR(SUMIFS('Base bordo'!G$2:G$746,'Base bordo'!C$2:C$746,A263,'Base bordo'!B$2:B$746,B263,'Base bordo'!F$2:F$746,"MAN PREVENTIVA - MECANICA"),0)+IFERROR(SUMIFS('Base bordo'!G$2:G$746,'Base bordo'!C$2:C$746,A263,'Base bordo'!B$2:B$746,B263,'Base bordo'!F$2:F$746,"MAN CORRETIVA - MECANICA"),0)</f>
        <v>0</v>
      </c>
      <c r="L263" s="10">
        <f>IFERROR(SUMIFS('Base bordo'!G$2:G$746,'Base bordo'!C$2:C$746,A263,'Base bordo'!B$2:B$746,B263,'Base bordo'!F$2:F$746,"MANUTENCAO - T O"),0)+IFERROR(SUMIFS('Base bordo'!G$2:G$746,'Base bordo'!C$2:C$746,A263,'Base bordo'!B$2:B$746,B263,'Base bordo'!F$2:F$746,"MANUTENCAO BORRACHARIA"),0)+IFERROR(SUMIFS('Base bordo'!G$2:G$746,'Base bordo'!C$2:C$746,A263,'Base bordo'!B$2:B$746,B263,'Base bordo'!F$2:F$746,"MANUTENCAO EXTERNA  CONCESSIONARIA"),0)+IFERROR(SUMIFS('Base bordo'!G$2:G$746,'Base bordo'!C$2:C$746,A263,'Base bordo'!B$2:B$746,B263,'Base bordo'!F$2:F$746,"MANUTENCAO TELEMETRIA"),0)</f>
        <v>0</v>
      </c>
      <c r="M263" s="10">
        <f>IFERROR(SUMIFS('Base bordo'!G$2:G$746,'Base bordo'!C$2:C$746,A263,'Base bordo'!B$2:B$746,B263,'Base bordo'!F$2:F$746,"AGUARDANDO MANUTENCAO"),0)</f>
        <v>0</v>
      </c>
      <c r="N263" s="10">
        <f>IFERROR(SUMIFS('Base bordo'!G$2:G$746,'Base bordo'!C$2:C$746,A263,'Base bordo'!B$2:B$746,B263,'Base bordo'!F$2:F$746,"SEM APONTAMENTO"),0)</f>
        <v>0</v>
      </c>
      <c r="O263" s="10">
        <f t="shared" si="30"/>
        <v>0</v>
      </c>
      <c r="P263" s="10">
        <f>IFERROR(SUMIFS('Base bordo'!G$2:G$746,'Base bordo'!C$2:C$746,A263,'Base bordo'!B$2:B$746,B263),0)</f>
        <v>21.266388888888887</v>
      </c>
      <c r="Q263" s="10">
        <f>IFERROR(SUMIFS('Base bordo'!H$2:H$746,'Base bordo'!C$2:C$746,A263,'Base bordo'!B$2:B$746,B263,'Base bordo'!F$2:F$746,"DESLOCAMENTO VAZIO"),0)</f>
        <v>2236.9</v>
      </c>
      <c r="R263" s="10">
        <f>IFERROR(SUMIFS('Base bordo'!I$2:I$746,'Base bordo'!C$2:C$746,A263,'Base bordo'!B$2:B$746,B263,'Base bordo'!F$2:F$746,"DESLOCAMENTO VAZIO"),0)</f>
        <v>325</v>
      </c>
      <c r="S263" s="30">
        <f t="shared" si="31"/>
        <v>6.882769230769231</v>
      </c>
      <c r="T263" s="10">
        <f>IFERROR(SUMIFS('Base bordo'!H$2:H$746,'Base bordo'!C$2:C$746,A263,'Base bordo'!B$2:B$746,B263,'Base bordo'!F$2:F$746,"DESLOCAMENTO CARREGADO"),0)</f>
        <v>0</v>
      </c>
      <c r="U263" s="10">
        <f>IFERROR(SUMIFS('Base bordo'!I$2:I$746,'Base bordo'!C$2:C$746,A263,'Base bordo'!B$2:B$746,B263,'Base bordo'!F$2:F$746,"DESLOCAMENTO CARREGADO"),0)</f>
        <v>0</v>
      </c>
      <c r="V263" s="30" t="str">
        <f t="shared" si="32"/>
        <v/>
      </c>
      <c r="W263" s="9">
        <f t="shared" si="33"/>
        <v>4.2450920205331834E-3</v>
      </c>
      <c r="X263" s="9">
        <f t="shared" si="34"/>
        <v>0</v>
      </c>
      <c r="Y263" s="9">
        <f t="shared" si="35"/>
        <v>0.99575490797946686</v>
      </c>
    </row>
    <row r="264" spans="1:25" ht="15" customHeight="1" x14ac:dyDescent="0.35">
      <c r="A264" s="52">
        <v>8013486</v>
      </c>
      <c r="B264" s="51">
        <v>46118</v>
      </c>
      <c r="C264" s="7" t="s">
        <v>124</v>
      </c>
      <c r="D264" s="10">
        <f>IFERROR(SUMIFS('Base bordo'!G$2:G$746,'Base bordo'!C$2:C$746,A264,'Base bordo'!B$2:B$746,B264,'Base bordo'!F$2:F$746,"DESLOCAMENTO VAZIO"),0)</f>
        <v>0.90972222222222221</v>
      </c>
      <c r="E264" s="10">
        <f>IFERROR(SUMIFS('Base bordo'!G$2:G$746,'Base bordo'!C$2:C$746,A264,'Base bordo'!B$2:B$746,B264,'Base bordo'!F$2:F$746,"DESLOCAMENTO CARREGADO"),0)</f>
        <v>1.7558333333333334</v>
      </c>
      <c r="F264" s="10">
        <f>IFERROR(SUMIFS('Base bordo'!G$2:G$746,'Base bordo'!C$2:C$746,A264,'Base bordo'!B$2:B$746,B264,'Base bordo'!F$2:F$746,"DESLOCAMENTO"),0)</f>
        <v>6.0436111111111108</v>
      </c>
      <c r="G264" s="10">
        <f>IFERROR(SUMIFS('Base bordo'!G$2:G$746,'Base bordo'!C$2:C$746,A264,'Base bordo'!B$2:B$746,B264,'Base bordo'!F$2:F$746,"CARREGAMENTO"),0)</f>
        <v>0</v>
      </c>
      <c r="H264" s="10">
        <f>IFERROR(SUMIFS('Base bordo'!G$2:G$746,'Base bordo'!C$2:C$746,A264,'Base bordo'!B$2:B$746,B264,'Base bordo'!F$2:F$746,"AGUARDANDO TRANSBORDO"),0)</f>
        <v>0</v>
      </c>
      <c r="I264" s="10">
        <f>IFERROR(SUMIFS('Base bordo'!G$2:G$746,'Base bordo'!C$2:C$746,A264,'Base bordo'!B$2:B$746,B264,'Base bordo'!F$2:F$746,"PÁTIO INTERNO"),0)+IFERROR(SUMIFS('Base bordo'!G$2:G$746,'Base bordo'!C$2:C$746,A264,'Base bordo'!B$2:B$746,B264,'Base bordo'!F$2:F$746,"PÁTIO EXTERNO"),0)+IFERROR(SUMIFS('Base bordo'!G$2:G$746,'Base bordo'!C$2:C$746,A264,'Base bordo'!B$2:B$746,B264,'Base bordo'!F$2:F$746,"PATIO - RESERVA"),0)+IFERROR(SUMIFS('Base bordo'!G$2:G$746,'Base bordo'!C$2:C$746,A264,'Base bordo'!B$2:B$746,B264,'Base bordo'!F$2:F$746,"MANOBRA CARRETAS-PATIO"),0)</f>
        <v>3.7905555555555552</v>
      </c>
      <c r="J264" s="10">
        <f>IFERROR(SUMIFS('Base bordo'!G$2:G$746,'Base bordo'!C$2:C$746,A264,'Base bordo'!B$2:B$746,B264,'Base bordo'!F$2:F$746,"BALANÇA - ENTRADA"),0)+IFERROR(SUMIFS('Base bordo'!G$2:G$746,'Base bordo'!C$2:C$746,A264,'Base bordo'!B$2:B$746,B264,'Base bordo'!F$2:F$746,"BALANÇA - SAÍDA"),0)</f>
        <v>5.6666666666666664E-2</v>
      </c>
      <c r="K264" s="10">
        <f>IFERROR(SUMIFS('Base bordo'!G$2:G$746,'Base bordo'!C$2:C$746,A264,'Base bordo'!B$2:B$746,B264,'Base bordo'!F$2:F$746,"MAN PREVENTIVA - MECANICA"),0)+IFERROR(SUMIFS('Base bordo'!G$2:G$746,'Base bordo'!C$2:C$746,A264,'Base bordo'!B$2:B$746,B264,'Base bordo'!F$2:F$746,"MAN CORRETIVA - MECANICA"),0)</f>
        <v>0</v>
      </c>
      <c r="L264" s="10">
        <f>IFERROR(SUMIFS('Base bordo'!G$2:G$746,'Base bordo'!C$2:C$746,A264,'Base bordo'!B$2:B$746,B264,'Base bordo'!F$2:F$746,"MANUTENCAO - T O"),0)+IFERROR(SUMIFS('Base bordo'!G$2:G$746,'Base bordo'!C$2:C$746,A264,'Base bordo'!B$2:B$746,B264,'Base bordo'!F$2:F$746,"MANUTENCAO BORRACHARIA"),0)+IFERROR(SUMIFS('Base bordo'!G$2:G$746,'Base bordo'!C$2:C$746,A264,'Base bordo'!B$2:B$746,B264,'Base bordo'!F$2:F$746,"MANUTENCAO EXTERNA  CONCESSIONARIA"),0)+IFERROR(SUMIFS('Base bordo'!G$2:G$746,'Base bordo'!C$2:C$746,A264,'Base bordo'!B$2:B$746,B264,'Base bordo'!F$2:F$746,"MANUTENCAO TELEMETRIA"),0)</f>
        <v>9.4491666666666667</v>
      </c>
      <c r="M264" s="10">
        <f>IFERROR(SUMIFS('Base bordo'!G$2:G$746,'Base bordo'!C$2:C$746,A264,'Base bordo'!B$2:B$746,B264,'Base bordo'!F$2:F$746,"AGUARDANDO MANUTENCAO"),0)</f>
        <v>0</v>
      </c>
      <c r="N264" s="10">
        <f>IFERROR(SUMIFS('Base bordo'!G$2:G$746,'Base bordo'!C$2:C$746,A264,'Base bordo'!B$2:B$746,B264,'Base bordo'!F$2:F$746,"SEM APONTAMENTO"),0)</f>
        <v>0</v>
      </c>
      <c r="O264" s="10">
        <f t="shared" si="30"/>
        <v>0.20222222222222541</v>
      </c>
      <c r="P264" s="10">
        <f>IFERROR(SUMIFS('Base bordo'!G$2:G$746,'Base bordo'!C$2:C$746,A264,'Base bordo'!B$2:B$746,B264),0)</f>
        <v>22.207777777777778</v>
      </c>
      <c r="Q264" s="10">
        <f>IFERROR(SUMIFS('Base bordo'!H$2:H$746,'Base bordo'!C$2:C$746,A264,'Base bordo'!B$2:B$746,B264,'Base bordo'!F$2:F$746,"DESLOCAMENTO VAZIO"),0)</f>
        <v>86336.93</v>
      </c>
      <c r="R264" s="10">
        <f>IFERROR(SUMIFS('Base bordo'!I$2:I$746,'Base bordo'!C$2:C$746,A264,'Base bordo'!B$2:B$746,B264,'Base bordo'!F$2:F$746,"DESLOCAMENTO VAZIO"),0)</f>
        <v>3275</v>
      </c>
      <c r="S264" s="30">
        <f t="shared" si="31"/>
        <v>26.362421374045798</v>
      </c>
      <c r="T264" s="10">
        <f>IFERROR(SUMIFS('Base bordo'!H$2:H$746,'Base bordo'!C$2:C$746,A264,'Base bordo'!B$2:B$746,B264,'Base bordo'!F$2:F$746,"DESLOCAMENTO CARREGADO"),0)</f>
        <v>166427.58000000002</v>
      </c>
      <c r="U264" s="10">
        <f>IFERROR(SUMIFS('Base bordo'!I$2:I$746,'Base bordo'!C$2:C$746,A264,'Base bordo'!B$2:B$746,B264,'Base bordo'!F$2:F$746,"DESLOCAMENTO CARREGADO"),0)</f>
        <v>6321</v>
      </c>
      <c r="V264" s="30">
        <f t="shared" si="32"/>
        <v>26.329311817750359</v>
      </c>
      <c r="W264" s="9">
        <f t="shared" si="33"/>
        <v>4.0964126682343519E-2</v>
      </c>
      <c r="X264" s="9">
        <f t="shared" si="34"/>
        <v>7.9063891529494168E-2</v>
      </c>
      <c r="Y264" s="9">
        <f t="shared" si="35"/>
        <v>0.87997198178816227</v>
      </c>
    </row>
    <row r="265" spans="1:25" ht="15" customHeight="1" x14ac:dyDescent="0.35">
      <c r="A265" s="52">
        <v>8013460</v>
      </c>
      <c r="B265" s="51">
        <v>46118</v>
      </c>
      <c r="C265" s="7" t="s">
        <v>124</v>
      </c>
      <c r="D265" s="10">
        <f>IFERROR(SUMIFS('Base bordo'!G$2:G$746,'Base bordo'!C$2:C$746,A265,'Base bordo'!B$2:B$746,B265,'Base bordo'!F$2:F$746,"DESLOCAMENTO VAZIO"),0)</f>
        <v>1.5016666666666667</v>
      </c>
      <c r="E265" s="10">
        <f>IFERROR(SUMIFS('Base bordo'!G$2:G$746,'Base bordo'!C$2:C$746,A265,'Base bordo'!B$2:B$746,B265,'Base bordo'!F$2:F$746,"DESLOCAMENTO CARREGADO"),0)</f>
        <v>1.5738888888888889</v>
      </c>
      <c r="F265" s="10">
        <f>IFERROR(SUMIFS('Base bordo'!G$2:G$746,'Base bordo'!C$2:C$746,A265,'Base bordo'!B$2:B$746,B265,'Base bordo'!F$2:F$746,"DESLOCAMENTO"),0)</f>
        <v>0.6744444444444444</v>
      </c>
      <c r="G265" s="10">
        <f>IFERROR(SUMIFS('Base bordo'!G$2:G$746,'Base bordo'!C$2:C$746,A265,'Base bordo'!B$2:B$746,B265,'Base bordo'!F$2:F$746,"CARREGAMENTO"),0)</f>
        <v>1.0088888888888889</v>
      </c>
      <c r="H265" s="10">
        <f>IFERROR(SUMIFS('Base bordo'!G$2:G$746,'Base bordo'!C$2:C$746,A265,'Base bordo'!B$2:B$746,B265,'Base bordo'!F$2:F$746,"AGUARDANDO TRANSBORDO"),0)</f>
        <v>8.4444444444444447E-2</v>
      </c>
      <c r="I265" s="10">
        <f>IFERROR(SUMIFS('Base bordo'!G$2:G$746,'Base bordo'!C$2:C$746,A265,'Base bordo'!B$2:B$746,B265,'Base bordo'!F$2:F$746,"PÁTIO INTERNO"),0)+IFERROR(SUMIFS('Base bordo'!G$2:G$746,'Base bordo'!C$2:C$746,A265,'Base bordo'!B$2:B$746,B265,'Base bordo'!F$2:F$746,"PÁTIO EXTERNO"),0)+IFERROR(SUMIFS('Base bordo'!G$2:G$746,'Base bordo'!C$2:C$746,A265,'Base bordo'!B$2:B$746,B265,'Base bordo'!F$2:F$746,"PATIO - RESERVA"),0)+IFERROR(SUMIFS('Base bordo'!G$2:G$746,'Base bordo'!C$2:C$746,A265,'Base bordo'!B$2:B$746,B265,'Base bordo'!F$2:F$746,"MANOBRA CARRETAS-PATIO"),0)</f>
        <v>16.206388888888888</v>
      </c>
      <c r="J265" s="10">
        <f>IFERROR(SUMIFS('Base bordo'!G$2:G$746,'Base bordo'!C$2:C$746,A265,'Base bordo'!B$2:B$746,B265,'Base bordo'!F$2:F$746,"BALANÇA - ENTRADA"),0)+IFERROR(SUMIFS('Base bordo'!G$2:G$746,'Base bordo'!C$2:C$746,A265,'Base bordo'!B$2:B$746,B265,'Base bordo'!F$2:F$746,"BALANÇA - SAÍDA"),0)</f>
        <v>0.24055555555555555</v>
      </c>
      <c r="K265" s="10">
        <f>IFERROR(SUMIFS('Base bordo'!G$2:G$746,'Base bordo'!C$2:C$746,A265,'Base bordo'!B$2:B$746,B265,'Base bordo'!F$2:F$746,"MAN PREVENTIVA - MECANICA"),0)+IFERROR(SUMIFS('Base bordo'!G$2:G$746,'Base bordo'!C$2:C$746,A265,'Base bordo'!B$2:B$746,B265,'Base bordo'!F$2:F$746,"MAN CORRETIVA - MECANICA"),0)</f>
        <v>0</v>
      </c>
      <c r="L265" s="10">
        <f>IFERROR(SUMIFS('Base bordo'!G$2:G$746,'Base bordo'!C$2:C$746,A265,'Base bordo'!B$2:B$746,B265,'Base bordo'!F$2:F$746,"MANUTENCAO - T O"),0)+IFERROR(SUMIFS('Base bordo'!G$2:G$746,'Base bordo'!C$2:C$746,A265,'Base bordo'!B$2:B$746,B265,'Base bordo'!F$2:F$746,"MANUTENCAO BORRACHARIA"),0)+IFERROR(SUMIFS('Base bordo'!G$2:G$746,'Base bordo'!C$2:C$746,A265,'Base bordo'!B$2:B$746,B265,'Base bordo'!F$2:F$746,"MANUTENCAO EXTERNA  CONCESSIONARIA"),0)+IFERROR(SUMIFS('Base bordo'!G$2:G$746,'Base bordo'!C$2:C$746,A265,'Base bordo'!B$2:B$746,B265,'Base bordo'!F$2:F$746,"MANUTENCAO TELEMETRIA"),0)</f>
        <v>0.9719444444444445</v>
      </c>
      <c r="M265" s="10">
        <f>IFERROR(SUMIFS('Base bordo'!G$2:G$746,'Base bordo'!C$2:C$746,A265,'Base bordo'!B$2:B$746,B265,'Base bordo'!F$2:F$746,"AGUARDANDO MANUTENCAO"),0)</f>
        <v>0</v>
      </c>
      <c r="N265" s="10">
        <f>IFERROR(SUMIFS('Base bordo'!G$2:G$746,'Base bordo'!C$2:C$746,A265,'Base bordo'!B$2:B$746,B265,'Base bordo'!F$2:F$746,"SEM APONTAMENTO"),0)</f>
        <v>0.83916666666666662</v>
      </c>
      <c r="O265" s="10">
        <f t="shared" si="30"/>
        <v>0.89861111111111569</v>
      </c>
      <c r="P265" s="10">
        <f>IFERROR(SUMIFS('Base bordo'!G$2:G$746,'Base bordo'!C$2:C$746,A265,'Base bordo'!B$2:B$746,B265),0)</f>
        <v>24.000000000000004</v>
      </c>
      <c r="Q265" s="10">
        <f>IFERROR(SUMIFS('Base bordo'!H$2:H$746,'Base bordo'!C$2:C$746,A265,'Base bordo'!B$2:B$746,B265,'Base bordo'!F$2:F$746,"DESLOCAMENTO VAZIO"),0)</f>
        <v>102676.29</v>
      </c>
      <c r="R265" s="10">
        <f>IFERROR(SUMIFS('Base bordo'!I$2:I$746,'Base bordo'!C$2:C$746,A265,'Base bordo'!B$2:B$746,B265,'Base bordo'!F$2:F$746,"DESLOCAMENTO VAZIO"),0)</f>
        <v>5406</v>
      </c>
      <c r="S265" s="30">
        <f t="shared" si="31"/>
        <v>18.993024417314093</v>
      </c>
      <c r="T265" s="10">
        <f>IFERROR(SUMIFS('Base bordo'!H$2:H$746,'Base bordo'!C$2:C$746,A265,'Base bordo'!B$2:B$746,B265,'Base bordo'!F$2:F$746,"DESLOCAMENTO CARREGADO"),0)</f>
        <v>136256.08000000002</v>
      </c>
      <c r="U265" s="10">
        <f>IFERROR(SUMIFS('Base bordo'!I$2:I$746,'Base bordo'!C$2:C$746,A265,'Base bordo'!B$2:B$746,B265,'Base bordo'!F$2:F$746,"DESLOCAMENTO CARREGADO"),0)</f>
        <v>5660</v>
      </c>
      <c r="V265" s="30">
        <f t="shared" si="32"/>
        <v>24.073512367491169</v>
      </c>
      <c r="W265" s="9">
        <f t="shared" si="33"/>
        <v>6.2569444444444441E-2</v>
      </c>
      <c r="X265" s="9">
        <f t="shared" si="34"/>
        <v>6.5578703703703695E-2</v>
      </c>
      <c r="Y265" s="9">
        <f t="shared" si="35"/>
        <v>0.87185185185185188</v>
      </c>
    </row>
    <row r="266" spans="1:25" ht="15" customHeight="1" x14ac:dyDescent="0.35">
      <c r="A266" s="52">
        <v>8013486</v>
      </c>
      <c r="B266" s="51">
        <v>46117</v>
      </c>
      <c r="C266" s="7" t="s">
        <v>124</v>
      </c>
      <c r="D266" s="10">
        <f>IFERROR(SUMIFS('Base bordo'!G$2:G$746,'Base bordo'!C$2:C$746,A266,'Base bordo'!B$2:B$746,B266,'Base bordo'!F$2:F$746,"DESLOCAMENTO VAZIO"),0)</f>
        <v>0.89027777777777772</v>
      </c>
      <c r="E266" s="10">
        <f>IFERROR(SUMIFS('Base bordo'!G$2:G$746,'Base bordo'!C$2:C$746,A266,'Base bordo'!B$2:B$746,B266,'Base bordo'!F$2:F$746,"DESLOCAMENTO CARREGADO"),0)</f>
        <v>0</v>
      </c>
      <c r="F266" s="10">
        <f>IFERROR(SUMIFS('Base bordo'!G$2:G$746,'Base bordo'!C$2:C$746,A266,'Base bordo'!B$2:B$746,B266,'Base bordo'!F$2:F$746,"DESLOCAMENTO"),0)</f>
        <v>0.19472222222222221</v>
      </c>
      <c r="G266" s="10">
        <f>IFERROR(SUMIFS('Base bordo'!G$2:G$746,'Base bordo'!C$2:C$746,A266,'Base bordo'!B$2:B$746,B266,'Base bordo'!F$2:F$746,"CARREGAMENTO"),0)</f>
        <v>0</v>
      </c>
      <c r="H266" s="10">
        <f>IFERROR(SUMIFS('Base bordo'!G$2:G$746,'Base bordo'!C$2:C$746,A266,'Base bordo'!B$2:B$746,B266,'Base bordo'!F$2:F$746,"AGUARDANDO TRANSBORDO"),0)</f>
        <v>0</v>
      </c>
      <c r="I266" s="10">
        <f>IFERROR(SUMIFS('Base bordo'!G$2:G$746,'Base bordo'!C$2:C$746,A266,'Base bordo'!B$2:B$746,B266,'Base bordo'!F$2:F$746,"PÁTIO INTERNO"),0)+IFERROR(SUMIFS('Base bordo'!G$2:G$746,'Base bordo'!C$2:C$746,A266,'Base bordo'!B$2:B$746,B266,'Base bordo'!F$2:F$746,"PÁTIO EXTERNO"),0)+IFERROR(SUMIFS('Base bordo'!G$2:G$746,'Base bordo'!C$2:C$746,A266,'Base bordo'!B$2:B$746,B266,'Base bordo'!F$2:F$746,"PATIO - RESERVA"),0)+IFERROR(SUMIFS('Base bordo'!G$2:G$746,'Base bordo'!C$2:C$746,A266,'Base bordo'!B$2:B$746,B266,'Base bordo'!F$2:F$746,"MANOBRA CARRETAS-PATIO"),0)</f>
        <v>0</v>
      </c>
      <c r="J266" s="10">
        <f>IFERROR(SUMIFS('Base bordo'!G$2:G$746,'Base bordo'!C$2:C$746,A266,'Base bordo'!B$2:B$746,B266,'Base bordo'!F$2:F$746,"BALANÇA - ENTRADA"),0)+IFERROR(SUMIFS('Base bordo'!G$2:G$746,'Base bordo'!C$2:C$746,A266,'Base bordo'!B$2:B$746,B266,'Base bordo'!F$2:F$746,"BALANÇA - SAÍDA"),0)</f>
        <v>0</v>
      </c>
      <c r="K266" s="10">
        <f>IFERROR(SUMIFS('Base bordo'!G$2:G$746,'Base bordo'!C$2:C$746,A266,'Base bordo'!B$2:B$746,B266,'Base bordo'!F$2:F$746,"MAN PREVENTIVA - MECANICA"),0)+IFERROR(SUMIFS('Base bordo'!G$2:G$746,'Base bordo'!C$2:C$746,A266,'Base bordo'!B$2:B$746,B266,'Base bordo'!F$2:F$746,"MAN CORRETIVA - MECANICA"),0)</f>
        <v>0</v>
      </c>
      <c r="L266" s="10">
        <f>IFERROR(SUMIFS('Base bordo'!G$2:G$746,'Base bordo'!C$2:C$746,A266,'Base bordo'!B$2:B$746,B266,'Base bordo'!F$2:F$746,"MANUTENCAO - T O"),0)+IFERROR(SUMIFS('Base bordo'!G$2:G$746,'Base bordo'!C$2:C$746,A266,'Base bordo'!B$2:B$746,B266,'Base bordo'!F$2:F$746,"MANUTENCAO BORRACHARIA"),0)+IFERROR(SUMIFS('Base bordo'!G$2:G$746,'Base bordo'!C$2:C$746,A266,'Base bordo'!B$2:B$746,B266,'Base bordo'!F$2:F$746,"MANUTENCAO EXTERNA  CONCESSIONARIA"),0)+IFERROR(SUMIFS('Base bordo'!G$2:G$746,'Base bordo'!C$2:C$746,A266,'Base bordo'!B$2:B$746,B266,'Base bordo'!F$2:F$746,"MANUTENCAO TELEMETRIA"),0)</f>
        <v>22.465277777777779</v>
      </c>
      <c r="M266" s="10">
        <f>IFERROR(SUMIFS('Base bordo'!G$2:G$746,'Base bordo'!C$2:C$746,A266,'Base bordo'!B$2:B$746,B266,'Base bordo'!F$2:F$746,"AGUARDANDO MANUTENCAO"),0)</f>
        <v>0</v>
      </c>
      <c r="N266" s="10">
        <f>IFERROR(SUMIFS('Base bordo'!G$2:G$746,'Base bordo'!C$2:C$746,A266,'Base bordo'!B$2:B$746,B266,'Base bordo'!F$2:F$746,"SEM APONTAMENTO"),0)</f>
        <v>0</v>
      </c>
      <c r="O266" s="10">
        <f t="shared" si="30"/>
        <v>0.44972222222222058</v>
      </c>
      <c r="P266" s="10">
        <f>IFERROR(SUMIFS('Base bordo'!G$2:G$746,'Base bordo'!C$2:C$746,A266,'Base bordo'!B$2:B$746,B266),0)</f>
        <v>24</v>
      </c>
      <c r="Q266" s="10">
        <f>IFERROR(SUMIFS('Base bordo'!H$2:H$746,'Base bordo'!C$2:C$746,A266,'Base bordo'!B$2:B$746,B266,'Base bordo'!F$2:F$746,"DESLOCAMENTO VAZIO"),0)</f>
        <v>94654.959999999992</v>
      </c>
      <c r="R266" s="10">
        <f>IFERROR(SUMIFS('Base bordo'!I$2:I$746,'Base bordo'!C$2:C$746,A266,'Base bordo'!B$2:B$746,B266,'Base bordo'!F$2:F$746,"DESLOCAMENTO VAZIO"),0)</f>
        <v>3205</v>
      </c>
      <c r="S266" s="30">
        <f t="shared" si="31"/>
        <v>29.533528861154444</v>
      </c>
      <c r="T266" s="10">
        <f>IFERROR(SUMIFS('Base bordo'!H$2:H$746,'Base bordo'!C$2:C$746,A266,'Base bordo'!B$2:B$746,B266,'Base bordo'!F$2:F$746,"DESLOCAMENTO CARREGADO"),0)</f>
        <v>0</v>
      </c>
      <c r="U266" s="10">
        <f>IFERROR(SUMIFS('Base bordo'!I$2:I$746,'Base bordo'!C$2:C$746,A266,'Base bordo'!B$2:B$746,B266,'Base bordo'!F$2:F$746,"DESLOCAMENTO CARREGADO"),0)</f>
        <v>0</v>
      </c>
      <c r="V266" s="30" t="str">
        <f t="shared" si="32"/>
        <v/>
      </c>
      <c r="W266" s="9">
        <f t="shared" si="33"/>
        <v>3.7094907407407403E-2</v>
      </c>
      <c r="X266" s="9">
        <f t="shared" si="34"/>
        <v>0</v>
      </c>
      <c r="Y266" s="9">
        <f t="shared" si="35"/>
        <v>0.9629050925925926</v>
      </c>
    </row>
    <row r="267" spans="1:25" ht="15" customHeight="1" x14ac:dyDescent="0.35">
      <c r="A267" s="52">
        <v>8013484</v>
      </c>
      <c r="B267" s="51">
        <v>46124</v>
      </c>
      <c r="C267" s="7" t="s">
        <v>124</v>
      </c>
      <c r="D267" s="10">
        <f>IFERROR(SUMIFS('Base bordo'!G$2:G$746,'Base bordo'!C$2:C$746,A267,'Base bordo'!B$2:B$746,B267,'Base bordo'!F$2:F$746,"DESLOCAMENTO VAZIO"),0)</f>
        <v>2.078611111111111</v>
      </c>
      <c r="E267" s="10">
        <f>IFERROR(SUMIFS('Base bordo'!G$2:G$746,'Base bordo'!C$2:C$746,A267,'Base bordo'!B$2:B$746,B267,'Base bordo'!F$2:F$746,"DESLOCAMENTO CARREGADO"),0)</f>
        <v>2.0197222222222222</v>
      </c>
      <c r="F267" s="10">
        <f>IFERROR(SUMIFS('Base bordo'!G$2:G$746,'Base bordo'!C$2:C$746,A267,'Base bordo'!B$2:B$746,B267,'Base bordo'!F$2:F$746,"DESLOCAMENTO"),0)</f>
        <v>0.28999999999999998</v>
      </c>
      <c r="G267" s="10">
        <f>IFERROR(SUMIFS('Base bordo'!G$2:G$746,'Base bordo'!C$2:C$746,A267,'Base bordo'!B$2:B$746,B267,'Base bordo'!F$2:F$746,"CARREGAMENTO"),0)</f>
        <v>0</v>
      </c>
      <c r="H267" s="10">
        <f>IFERROR(SUMIFS('Base bordo'!G$2:G$746,'Base bordo'!C$2:C$746,A267,'Base bordo'!B$2:B$746,B267,'Base bordo'!F$2:F$746,"AGUARDANDO TRANSBORDO"),0)</f>
        <v>0.16944444444444445</v>
      </c>
      <c r="I267" s="10">
        <f>IFERROR(SUMIFS('Base bordo'!G$2:G$746,'Base bordo'!C$2:C$746,A267,'Base bordo'!B$2:B$746,B267,'Base bordo'!F$2:F$746,"PÁTIO INTERNO"),0)+IFERROR(SUMIFS('Base bordo'!G$2:G$746,'Base bordo'!C$2:C$746,A267,'Base bordo'!B$2:B$746,B267,'Base bordo'!F$2:F$746,"PÁTIO EXTERNO"),0)+IFERROR(SUMIFS('Base bordo'!G$2:G$746,'Base bordo'!C$2:C$746,A267,'Base bordo'!B$2:B$746,B267,'Base bordo'!F$2:F$746,"PATIO - RESERVA"),0)+IFERROR(SUMIFS('Base bordo'!G$2:G$746,'Base bordo'!C$2:C$746,A267,'Base bordo'!B$2:B$746,B267,'Base bordo'!F$2:F$746,"MANOBRA CARRETAS-PATIO"),0)</f>
        <v>10.112499999999999</v>
      </c>
      <c r="J267" s="10">
        <f>IFERROR(SUMIFS('Base bordo'!G$2:G$746,'Base bordo'!C$2:C$746,A267,'Base bordo'!B$2:B$746,B267,'Base bordo'!F$2:F$746,"BALANÇA - ENTRADA"),0)+IFERROR(SUMIFS('Base bordo'!G$2:G$746,'Base bordo'!C$2:C$746,A267,'Base bordo'!B$2:B$746,B267,'Base bordo'!F$2:F$746,"BALANÇA - SAÍDA"),0)</f>
        <v>0.13666666666666666</v>
      </c>
      <c r="K267" s="10">
        <f>IFERROR(SUMIFS('Base bordo'!G$2:G$746,'Base bordo'!C$2:C$746,A267,'Base bordo'!B$2:B$746,B267,'Base bordo'!F$2:F$746,"MAN PREVENTIVA - MECANICA"),0)+IFERROR(SUMIFS('Base bordo'!G$2:G$746,'Base bordo'!C$2:C$746,A267,'Base bordo'!B$2:B$746,B267,'Base bordo'!F$2:F$746,"MAN CORRETIVA - MECANICA"),0)</f>
        <v>0</v>
      </c>
      <c r="L267" s="10">
        <f>IFERROR(SUMIFS('Base bordo'!G$2:G$746,'Base bordo'!C$2:C$746,A267,'Base bordo'!B$2:B$746,B267,'Base bordo'!F$2:F$746,"MANUTENCAO - T O"),0)+IFERROR(SUMIFS('Base bordo'!G$2:G$746,'Base bordo'!C$2:C$746,A267,'Base bordo'!B$2:B$746,B267,'Base bordo'!F$2:F$746,"MANUTENCAO BORRACHARIA"),0)+IFERROR(SUMIFS('Base bordo'!G$2:G$746,'Base bordo'!C$2:C$746,A267,'Base bordo'!B$2:B$746,B267,'Base bordo'!F$2:F$746,"MANUTENCAO EXTERNA  CONCESSIONARIA"),0)+IFERROR(SUMIFS('Base bordo'!G$2:G$746,'Base bordo'!C$2:C$746,A267,'Base bordo'!B$2:B$746,B267,'Base bordo'!F$2:F$746,"MANUTENCAO TELEMETRIA"),0)</f>
        <v>0.28944444444444445</v>
      </c>
      <c r="M267" s="10">
        <f>IFERROR(SUMIFS('Base bordo'!G$2:G$746,'Base bordo'!C$2:C$746,A267,'Base bordo'!B$2:B$746,B267,'Base bordo'!F$2:F$746,"AGUARDANDO MANUTENCAO"),0)</f>
        <v>0</v>
      </c>
      <c r="N267" s="10">
        <f>IFERROR(SUMIFS('Base bordo'!G$2:G$746,'Base bordo'!C$2:C$746,A267,'Base bordo'!B$2:B$746,B267,'Base bordo'!F$2:F$746,"SEM APONTAMENTO"),0)</f>
        <v>0</v>
      </c>
      <c r="O267" s="10">
        <f t="shared" si="30"/>
        <v>0</v>
      </c>
      <c r="P267" s="10">
        <f>IFERROR(SUMIFS('Base bordo'!G$2:G$746,'Base bordo'!C$2:C$746,A267,'Base bordo'!B$2:B$746,B267),0)</f>
        <v>15.096388888888889</v>
      </c>
      <c r="Q267" s="10">
        <f>IFERROR(SUMIFS('Base bordo'!H$2:H$746,'Base bordo'!C$2:C$746,A267,'Base bordo'!B$2:B$746,B267,'Base bordo'!F$2:F$746,"DESLOCAMENTO VAZIO"),0)</f>
        <v>217205.70999999996</v>
      </c>
      <c r="R267" s="10">
        <f>IFERROR(SUMIFS('Base bordo'!I$2:I$746,'Base bordo'!C$2:C$746,A267,'Base bordo'!B$2:B$746,B267,'Base bordo'!F$2:F$746,"DESLOCAMENTO VAZIO"),0)</f>
        <v>7483</v>
      </c>
      <c r="S267" s="30">
        <f t="shared" si="31"/>
        <v>29.026554857677397</v>
      </c>
      <c r="T267" s="10">
        <f>IFERROR(SUMIFS('Base bordo'!H$2:H$746,'Base bordo'!C$2:C$746,A267,'Base bordo'!B$2:B$746,B267,'Base bordo'!F$2:F$746,"DESLOCAMENTO CARREGADO"),0)</f>
        <v>176129.33000000002</v>
      </c>
      <c r="U267" s="10">
        <f>IFERROR(SUMIFS('Base bordo'!I$2:I$746,'Base bordo'!C$2:C$746,A267,'Base bordo'!B$2:B$746,B267,'Base bordo'!F$2:F$746,"DESLOCAMENTO CARREGADO"),0)</f>
        <v>7271</v>
      </c>
      <c r="V267" s="30">
        <f t="shared" si="32"/>
        <v>24.22353596479164</v>
      </c>
      <c r="W267" s="9">
        <f t="shared" si="33"/>
        <v>0.13768929287725173</v>
      </c>
      <c r="X267" s="9">
        <f t="shared" si="34"/>
        <v>0.13378843358419049</v>
      </c>
      <c r="Y267" s="9">
        <f t="shared" si="35"/>
        <v>0.72852227353855781</v>
      </c>
    </row>
    <row r="268" spans="1:25" ht="15" customHeight="1" x14ac:dyDescent="0.35">
      <c r="A268" s="52">
        <v>8013461</v>
      </c>
      <c r="B268" s="51">
        <v>46118</v>
      </c>
      <c r="C268" s="7" t="s">
        <v>124</v>
      </c>
      <c r="D268" s="10">
        <f>IFERROR(SUMIFS('Base bordo'!G$2:G$746,'Base bordo'!C$2:C$746,A268,'Base bordo'!B$2:B$746,B268,'Base bordo'!F$2:F$746,"DESLOCAMENTO VAZIO"),0)</f>
        <v>1.6119444444444444</v>
      </c>
      <c r="E268" s="10">
        <f>IFERROR(SUMIFS('Base bordo'!G$2:G$746,'Base bordo'!C$2:C$746,A268,'Base bordo'!B$2:B$746,B268,'Base bordo'!F$2:F$746,"DESLOCAMENTO CARREGADO"),0)</f>
        <v>3.9649999999999999</v>
      </c>
      <c r="F268" s="10">
        <f>IFERROR(SUMIFS('Base bordo'!G$2:G$746,'Base bordo'!C$2:C$746,A268,'Base bordo'!B$2:B$746,B268,'Base bordo'!F$2:F$746,"DESLOCAMENTO"),0)</f>
        <v>0.61416666666666664</v>
      </c>
      <c r="G268" s="10">
        <f>IFERROR(SUMIFS('Base bordo'!G$2:G$746,'Base bordo'!C$2:C$746,A268,'Base bordo'!B$2:B$746,B268,'Base bordo'!F$2:F$746,"CARREGAMENTO"),0)</f>
        <v>0.68666666666666665</v>
      </c>
      <c r="H268" s="10">
        <f>IFERROR(SUMIFS('Base bordo'!G$2:G$746,'Base bordo'!C$2:C$746,A268,'Base bordo'!B$2:B$746,B268,'Base bordo'!F$2:F$746,"AGUARDANDO TRANSBORDO"),0)</f>
        <v>0.5033333333333333</v>
      </c>
      <c r="I268" s="10">
        <f>IFERROR(SUMIFS('Base bordo'!G$2:G$746,'Base bordo'!C$2:C$746,A268,'Base bordo'!B$2:B$746,B268,'Base bordo'!F$2:F$746,"PÁTIO INTERNO"),0)+IFERROR(SUMIFS('Base bordo'!G$2:G$746,'Base bordo'!C$2:C$746,A268,'Base bordo'!B$2:B$746,B268,'Base bordo'!F$2:F$746,"PÁTIO EXTERNO"),0)+IFERROR(SUMIFS('Base bordo'!G$2:G$746,'Base bordo'!C$2:C$746,A268,'Base bordo'!B$2:B$746,B268,'Base bordo'!F$2:F$746,"PATIO - RESERVA"),0)+IFERROR(SUMIFS('Base bordo'!G$2:G$746,'Base bordo'!C$2:C$746,A268,'Base bordo'!B$2:B$746,B268,'Base bordo'!F$2:F$746,"MANOBRA CARRETAS-PATIO"),0)</f>
        <v>13.577499999999999</v>
      </c>
      <c r="J268" s="10">
        <f>IFERROR(SUMIFS('Base bordo'!G$2:G$746,'Base bordo'!C$2:C$746,A268,'Base bordo'!B$2:B$746,B268,'Base bordo'!F$2:F$746,"BALANÇA - ENTRADA"),0)+IFERROR(SUMIFS('Base bordo'!G$2:G$746,'Base bordo'!C$2:C$746,A268,'Base bordo'!B$2:B$746,B268,'Base bordo'!F$2:F$746,"BALANÇA - SAÍDA"),0)</f>
        <v>0.18777777777777779</v>
      </c>
      <c r="K268" s="10">
        <f>IFERROR(SUMIFS('Base bordo'!G$2:G$746,'Base bordo'!C$2:C$746,A268,'Base bordo'!B$2:B$746,B268,'Base bordo'!F$2:F$746,"MAN PREVENTIVA - MECANICA"),0)+IFERROR(SUMIFS('Base bordo'!G$2:G$746,'Base bordo'!C$2:C$746,A268,'Base bordo'!B$2:B$746,B268,'Base bordo'!F$2:F$746,"MAN CORRETIVA - MECANICA"),0)</f>
        <v>0</v>
      </c>
      <c r="L268" s="10">
        <f>IFERROR(SUMIFS('Base bordo'!G$2:G$746,'Base bordo'!C$2:C$746,A268,'Base bordo'!B$2:B$746,B268,'Base bordo'!F$2:F$746,"MANUTENCAO - T O"),0)+IFERROR(SUMIFS('Base bordo'!G$2:G$746,'Base bordo'!C$2:C$746,A268,'Base bordo'!B$2:B$746,B268,'Base bordo'!F$2:F$746,"MANUTENCAO BORRACHARIA"),0)+IFERROR(SUMIFS('Base bordo'!G$2:G$746,'Base bordo'!C$2:C$746,A268,'Base bordo'!B$2:B$746,B268,'Base bordo'!F$2:F$746,"MANUTENCAO EXTERNA  CONCESSIONARIA"),0)+IFERROR(SUMIFS('Base bordo'!G$2:G$746,'Base bordo'!C$2:C$746,A268,'Base bordo'!B$2:B$746,B268,'Base bordo'!F$2:F$746,"MANUTENCAO TELEMETRIA"),0)</f>
        <v>0</v>
      </c>
      <c r="M268" s="10">
        <f>IFERROR(SUMIFS('Base bordo'!G$2:G$746,'Base bordo'!C$2:C$746,A268,'Base bordo'!B$2:B$746,B268,'Base bordo'!F$2:F$746,"AGUARDANDO MANUTENCAO"),0)</f>
        <v>0</v>
      </c>
      <c r="N268" s="10">
        <f>IFERROR(SUMIFS('Base bordo'!G$2:G$746,'Base bordo'!C$2:C$746,A268,'Base bordo'!B$2:B$746,B268,'Base bordo'!F$2:F$746,"SEM APONTAMENTO"),0)</f>
        <v>0.28888888888888886</v>
      </c>
      <c r="O268" s="10">
        <f t="shared" si="30"/>
        <v>2.5647222222222226</v>
      </c>
      <c r="P268" s="10">
        <f>IFERROR(SUMIFS('Base bordo'!G$2:G$746,'Base bordo'!C$2:C$746,A268,'Base bordo'!B$2:B$746,B268),0)</f>
        <v>24</v>
      </c>
      <c r="Q268" s="10">
        <f>IFERROR(SUMIFS('Base bordo'!H$2:H$746,'Base bordo'!C$2:C$746,A268,'Base bordo'!B$2:B$746,B268,'Base bordo'!F$2:F$746,"DESLOCAMENTO VAZIO"),0)</f>
        <v>187022.74</v>
      </c>
      <c r="R268" s="10">
        <f>IFERROR(SUMIFS('Base bordo'!I$2:I$746,'Base bordo'!C$2:C$746,A268,'Base bordo'!B$2:B$746,B268,'Base bordo'!F$2:F$746,"DESLOCAMENTO VAZIO"),0)</f>
        <v>5803</v>
      </c>
      <c r="S268" s="30">
        <f t="shared" si="31"/>
        <v>32.228630018955712</v>
      </c>
      <c r="T268" s="10">
        <f>IFERROR(SUMIFS('Base bordo'!H$2:H$746,'Base bordo'!C$2:C$746,A268,'Base bordo'!B$2:B$746,B268,'Base bordo'!F$2:F$746,"DESLOCAMENTO CARREGADO"),0)</f>
        <v>411676.06999999995</v>
      </c>
      <c r="U268" s="10">
        <f>IFERROR(SUMIFS('Base bordo'!I$2:I$746,'Base bordo'!C$2:C$746,A268,'Base bordo'!B$2:B$746,B268,'Base bordo'!F$2:F$746,"DESLOCAMENTO CARREGADO"),0)</f>
        <v>14242</v>
      </c>
      <c r="V268" s="30">
        <f t="shared" si="32"/>
        <v>28.905776576323547</v>
      </c>
      <c r="W268" s="9">
        <f t="shared" si="33"/>
        <v>6.716435185185185E-2</v>
      </c>
      <c r="X268" s="9">
        <f t="shared" si="34"/>
        <v>0.16520833333333332</v>
      </c>
      <c r="Y268" s="9">
        <f t="shared" si="35"/>
        <v>0.76762731481481483</v>
      </c>
    </row>
    <row r="269" spans="1:25" ht="15" customHeight="1" x14ac:dyDescent="0.35">
      <c r="A269" s="52">
        <v>8013475</v>
      </c>
      <c r="B269" s="51">
        <v>46117</v>
      </c>
      <c r="C269" s="7" t="s">
        <v>124</v>
      </c>
      <c r="D269" s="10">
        <f>IFERROR(SUMIFS('Base bordo'!G$2:G$746,'Base bordo'!C$2:C$746,A269,'Base bordo'!B$2:B$746,B269,'Base bordo'!F$2:F$746,"DESLOCAMENTO VAZIO"),0)</f>
        <v>1.4697222222222222</v>
      </c>
      <c r="E269" s="10">
        <f>IFERROR(SUMIFS('Base bordo'!G$2:G$746,'Base bordo'!C$2:C$746,A269,'Base bordo'!B$2:B$746,B269,'Base bordo'!F$2:F$746,"DESLOCAMENTO CARREGADO"),0)</f>
        <v>0</v>
      </c>
      <c r="F269" s="10">
        <f>IFERROR(SUMIFS('Base bordo'!G$2:G$746,'Base bordo'!C$2:C$746,A269,'Base bordo'!B$2:B$746,B269,'Base bordo'!F$2:F$746,"DESLOCAMENTO"),0)</f>
        <v>0.17444444444444446</v>
      </c>
      <c r="G269" s="10">
        <f>IFERROR(SUMIFS('Base bordo'!G$2:G$746,'Base bordo'!C$2:C$746,A269,'Base bordo'!B$2:B$746,B269,'Base bordo'!F$2:F$746,"CARREGAMENTO"),0)</f>
        <v>0</v>
      </c>
      <c r="H269" s="10">
        <f>IFERROR(SUMIFS('Base bordo'!G$2:G$746,'Base bordo'!C$2:C$746,A269,'Base bordo'!B$2:B$746,B269,'Base bordo'!F$2:F$746,"AGUARDANDO TRANSBORDO"),0)</f>
        <v>3.2597222222222224</v>
      </c>
      <c r="I269" s="10">
        <f>IFERROR(SUMIFS('Base bordo'!G$2:G$746,'Base bordo'!C$2:C$746,A269,'Base bordo'!B$2:B$746,B269,'Base bordo'!F$2:F$746,"PÁTIO INTERNO"),0)+IFERROR(SUMIFS('Base bordo'!G$2:G$746,'Base bordo'!C$2:C$746,A269,'Base bordo'!B$2:B$746,B269,'Base bordo'!F$2:F$746,"PÁTIO EXTERNO"),0)+IFERROR(SUMIFS('Base bordo'!G$2:G$746,'Base bordo'!C$2:C$746,A269,'Base bordo'!B$2:B$746,B269,'Base bordo'!F$2:F$746,"PATIO - RESERVA"),0)+IFERROR(SUMIFS('Base bordo'!G$2:G$746,'Base bordo'!C$2:C$746,A269,'Base bordo'!B$2:B$746,B269,'Base bordo'!F$2:F$746,"MANOBRA CARRETAS-PATIO"),0)</f>
        <v>0</v>
      </c>
      <c r="J269" s="10">
        <f>IFERROR(SUMIFS('Base bordo'!G$2:G$746,'Base bordo'!C$2:C$746,A269,'Base bordo'!B$2:B$746,B269,'Base bordo'!F$2:F$746,"BALANÇA - ENTRADA"),0)+IFERROR(SUMIFS('Base bordo'!G$2:G$746,'Base bordo'!C$2:C$746,A269,'Base bordo'!B$2:B$746,B269,'Base bordo'!F$2:F$746,"BALANÇA - SAÍDA"),0)</f>
        <v>0</v>
      </c>
      <c r="K269" s="10">
        <f>IFERROR(SUMIFS('Base bordo'!G$2:G$746,'Base bordo'!C$2:C$746,A269,'Base bordo'!B$2:B$746,B269,'Base bordo'!F$2:F$746,"MAN PREVENTIVA - MECANICA"),0)+IFERROR(SUMIFS('Base bordo'!G$2:G$746,'Base bordo'!C$2:C$746,A269,'Base bordo'!B$2:B$746,B269,'Base bordo'!F$2:F$746,"MAN CORRETIVA - MECANICA"),0)</f>
        <v>0</v>
      </c>
      <c r="L269" s="10">
        <f>IFERROR(SUMIFS('Base bordo'!G$2:G$746,'Base bordo'!C$2:C$746,A269,'Base bordo'!B$2:B$746,B269,'Base bordo'!F$2:F$746,"MANUTENCAO - T O"),0)+IFERROR(SUMIFS('Base bordo'!G$2:G$746,'Base bordo'!C$2:C$746,A269,'Base bordo'!B$2:B$746,B269,'Base bordo'!F$2:F$746,"MANUTENCAO BORRACHARIA"),0)+IFERROR(SUMIFS('Base bordo'!G$2:G$746,'Base bordo'!C$2:C$746,A269,'Base bordo'!B$2:B$746,B269,'Base bordo'!F$2:F$746,"MANUTENCAO EXTERNA  CONCESSIONARIA"),0)+IFERROR(SUMIFS('Base bordo'!G$2:G$746,'Base bordo'!C$2:C$746,A269,'Base bordo'!B$2:B$746,B269,'Base bordo'!F$2:F$746,"MANUTENCAO TELEMETRIA"),0)</f>
        <v>18.858611111111109</v>
      </c>
      <c r="M269" s="10">
        <f>IFERROR(SUMIFS('Base bordo'!G$2:G$746,'Base bordo'!C$2:C$746,A269,'Base bordo'!B$2:B$746,B269,'Base bordo'!F$2:F$746,"AGUARDANDO MANUTENCAO"),0)</f>
        <v>0</v>
      </c>
      <c r="N269" s="10">
        <f>IFERROR(SUMIFS('Base bordo'!G$2:G$746,'Base bordo'!C$2:C$746,A269,'Base bordo'!B$2:B$746,B269,'Base bordo'!F$2:F$746,"SEM APONTAMENTO"),0)</f>
        <v>0</v>
      </c>
      <c r="O269" s="10">
        <f t="shared" si="30"/>
        <v>0.23749999999999716</v>
      </c>
      <c r="P269" s="10">
        <f>IFERROR(SUMIFS('Base bordo'!G$2:G$746,'Base bordo'!C$2:C$746,A269,'Base bordo'!B$2:B$746,B269),0)</f>
        <v>23.999999999999996</v>
      </c>
      <c r="Q269" s="10">
        <f>IFERROR(SUMIFS('Base bordo'!H$2:H$746,'Base bordo'!C$2:C$746,A269,'Base bordo'!B$2:B$746,B269,'Base bordo'!F$2:F$746,"DESLOCAMENTO VAZIO"),0)</f>
        <v>139140.03999999998</v>
      </c>
      <c r="R269" s="10">
        <f>IFERROR(SUMIFS('Base bordo'!I$2:I$746,'Base bordo'!C$2:C$746,A269,'Base bordo'!B$2:B$746,B269,'Base bordo'!F$2:F$746,"DESLOCAMENTO VAZIO"),0)</f>
        <v>5291</v>
      </c>
      <c r="S269" s="30">
        <f t="shared" si="31"/>
        <v>26.297493857493855</v>
      </c>
      <c r="T269" s="10">
        <f>IFERROR(SUMIFS('Base bordo'!H$2:H$746,'Base bordo'!C$2:C$746,A269,'Base bordo'!B$2:B$746,B269,'Base bordo'!F$2:F$746,"DESLOCAMENTO CARREGADO"),0)</f>
        <v>0</v>
      </c>
      <c r="U269" s="10">
        <f>IFERROR(SUMIFS('Base bordo'!I$2:I$746,'Base bordo'!C$2:C$746,A269,'Base bordo'!B$2:B$746,B269,'Base bordo'!F$2:F$746,"DESLOCAMENTO CARREGADO"),0)</f>
        <v>0</v>
      </c>
      <c r="V269" s="30" t="str">
        <f t="shared" si="32"/>
        <v/>
      </c>
      <c r="W269" s="9">
        <f t="shared" si="33"/>
        <v>6.1238425925925932E-2</v>
      </c>
      <c r="X269" s="9">
        <f t="shared" si="34"/>
        <v>0</v>
      </c>
      <c r="Y269" s="9">
        <f t="shared" si="35"/>
        <v>0.93876157407407401</v>
      </c>
    </row>
    <row r="270" spans="1:25" ht="15" customHeight="1" x14ac:dyDescent="0.35">
      <c r="A270" s="52">
        <v>8013483</v>
      </c>
      <c r="B270" s="51">
        <v>46120</v>
      </c>
      <c r="C270" s="7" t="s">
        <v>124</v>
      </c>
      <c r="D270" s="10">
        <f>IFERROR(SUMIFS('Base bordo'!G$2:G$746,'Base bordo'!C$2:C$746,A270,'Base bordo'!B$2:B$746,B270,'Base bordo'!F$2:F$746,"DESLOCAMENTO VAZIO"),0)</f>
        <v>0.56499999999999995</v>
      </c>
      <c r="E270" s="10">
        <f>IFERROR(SUMIFS('Base bordo'!G$2:G$746,'Base bordo'!C$2:C$746,A270,'Base bordo'!B$2:B$746,B270,'Base bordo'!F$2:F$746,"DESLOCAMENTO CARREGADO"),0)</f>
        <v>0</v>
      </c>
      <c r="F270" s="10">
        <f>IFERROR(SUMIFS('Base bordo'!G$2:G$746,'Base bordo'!C$2:C$746,A270,'Base bordo'!B$2:B$746,B270,'Base bordo'!F$2:F$746,"DESLOCAMENTO"),0)</f>
        <v>0.22194444444444444</v>
      </c>
      <c r="G270" s="10">
        <f>IFERROR(SUMIFS('Base bordo'!G$2:G$746,'Base bordo'!C$2:C$746,A270,'Base bordo'!B$2:B$746,B270,'Base bordo'!F$2:F$746,"CARREGAMENTO"),0)</f>
        <v>0</v>
      </c>
      <c r="H270" s="10">
        <f>IFERROR(SUMIFS('Base bordo'!G$2:G$746,'Base bordo'!C$2:C$746,A270,'Base bordo'!B$2:B$746,B270,'Base bordo'!F$2:F$746,"AGUARDANDO TRANSBORDO"),0)</f>
        <v>0</v>
      </c>
      <c r="I270" s="10">
        <f>IFERROR(SUMIFS('Base bordo'!G$2:G$746,'Base bordo'!C$2:C$746,A270,'Base bordo'!B$2:B$746,B270,'Base bordo'!F$2:F$746,"PÁTIO INTERNO"),0)+IFERROR(SUMIFS('Base bordo'!G$2:G$746,'Base bordo'!C$2:C$746,A270,'Base bordo'!B$2:B$746,B270,'Base bordo'!F$2:F$746,"PÁTIO EXTERNO"),0)+IFERROR(SUMIFS('Base bordo'!G$2:G$746,'Base bordo'!C$2:C$746,A270,'Base bordo'!B$2:B$746,B270,'Base bordo'!F$2:F$746,"PATIO - RESERVA"),0)+IFERROR(SUMIFS('Base bordo'!G$2:G$746,'Base bordo'!C$2:C$746,A270,'Base bordo'!B$2:B$746,B270,'Base bordo'!F$2:F$746,"MANOBRA CARRETAS-PATIO"),0)</f>
        <v>0</v>
      </c>
      <c r="J270" s="10">
        <f>IFERROR(SUMIFS('Base bordo'!G$2:G$746,'Base bordo'!C$2:C$746,A270,'Base bordo'!B$2:B$746,B270,'Base bordo'!F$2:F$746,"BALANÇA - ENTRADA"),0)+IFERROR(SUMIFS('Base bordo'!G$2:G$746,'Base bordo'!C$2:C$746,A270,'Base bordo'!B$2:B$746,B270,'Base bordo'!F$2:F$746,"BALANÇA - SAÍDA"),0)</f>
        <v>0</v>
      </c>
      <c r="K270" s="10">
        <f>IFERROR(SUMIFS('Base bordo'!G$2:G$746,'Base bordo'!C$2:C$746,A270,'Base bordo'!B$2:B$746,B270,'Base bordo'!F$2:F$746,"MAN PREVENTIVA - MECANICA"),0)+IFERROR(SUMIFS('Base bordo'!G$2:G$746,'Base bordo'!C$2:C$746,A270,'Base bordo'!B$2:B$746,B270,'Base bordo'!F$2:F$746,"MAN CORRETIVA - MECANICA"),0)</f>
        <v>0</v>
      </c>
      <c r="L270" s="10">
        <f>IFERROR(SUMIFS('Base bordo'!G$2:G$746,'Base bordo'!C$2:C$746,A270,'Base bordo'!B$2:B$746,B270,'Base bordo'!F$2:F$746,"MANUTENCAO - T O"),0)+IFERROR(SUMIFS('Base bordo'!G$2:G$746,'Base bordo'!C$2:C$746,A270,'Base bordo'!B$2:B$746,B270,'Base bordo'!F$2:F$746,"MANUTENCAO BORRACHARIA"),0)+IFERROR(SUMIFS('Base bordo'!G$2:G$746,'Base bordo'!C$2:C$746,A270,'Base bordo'!B$2:B$746,B270,'Base bordo'!F$2:F$746,"MANUTENCAO EXTERNA  CONCESSIONARIA"),0)+IFERROR(SUMIFS('Base bordo'!G$2:G$746,'Base bordo'!C$2:C$746,A270,'Base bordo'!B$2:B$746,B270,'Base bordo'!F$2:F$746,"MANUTENCAO TELEMETRIA"),0)</f>
        <v>0.40805555555555556</v>
      </c>
      <c r="M270" s="10">
        <f>IFERROR(SUMIFS('Base bordo'!G$2:G$746,'Base bordo'!C$2:C$746,A270,'Base bordo'!B$2:B$746,B270,'Base bordo'!F$2:F$746,"AGUARDANDO MANUTENCAO"),0)</f>
        <v>0</v>
      </c>
      <c r="N270" s="10">
        <f>IFERROR(SUMIFS('Base bordo'!G$2:G$746,'Base bordo'!C$2:C$746,A270,'Base bordo'!B$2:B$746,B270,'Base bordo'!F$2:F$746,"SEM APONTAMENTO"),0)</f>
        <v>0</v>
      </c>
      <c r="O270" s="10">
        <f t="shared" si="30"/>
        <v>0</v>
      </c>
      <c r="P270" s="10">
        <f>IFERROR(SUMIFS('Base bordo'!G$2:G$746,'Base bordo'!C$2:C$746,A270,'Base bordo'!B$2:B$746,B270),0)</f>
        <v>1.1950000000000001</v>
      </c>
      <c r="Q270" s="10">
        <f>IFERROR(SUMIFS('Base bordo'!H$2:H$746,'Base bordo'!C$2:C$746,A270,'Base bordo'!B$2:B$746,B270,'Base bordo'!F$2:F$746,"DESLOCAMENTO VAZIO"),0)</f>
        <v>40171.5</v>
      </c>
      <c r="R270" s="10">
        <f>IFERROR(SUMIFS('Base bordo'!I$2:I$746,'Base bordo'!C$2:C$746,A270,'Base bordo'!B$2:B$746,B270,'Base bordo'!F$2:F$746,"DESLOCAMENTO VAZIO"),0)</f>
        <v>2034</v>
      </c>
      <c r="S270" s="30">
        <f t="shared" si="31"/>
        <v>19.75</v>
      </c>
      <c r="T270" s="10">
        <f>IFERROR(SUMIFS('Base bordo'!H$2:H$746,'Base bordo'!C$2:C$746,A270,'Base bordo'!B$2:B$746,B270,'Base bordo'!F$2:F$746,"DESLOCAMENTO CARREGADO"),0)</f>
        <v>0</v>
      </c>
      <c r="U270" s="10">
        <f>IFERROR(SUMIFS('Base bordo'!I$2:I$746,'Base bordo'!C$2:C$746,A270,'Base bordo'!B$2:B$746,B270,'Base bordo'!F$2:F$746,"DESLOCAMENTO CARREGADO"),0)</f>
        <v>0</v>
      </c>
      <c r="V270" s="30" t="str">
        <f t="shared" si="32"/>
        <v/>
      </c>
      <c r="W270" s="9">
        <f t="shared" si="33"/>
        <v>0.47280334728033468</v>
      </c>
      <c r="X270" s="9">
        <f t="shared" si="34"/>
        <v>0</v>
      </c>
      <c r="Y270" s="9">
        <f t="shared" si="35"/>
        <v>0.52719665271966532</v>
      </c>
    </row>
    <row r="271" spans="1:25" ht="15" customHeight="1" x14ac:dyDescent="0.35">
      <c r="A271" s="52">
        <v>8013472</v>
      </c>
      <c r="B271" s="51">
        <v>46123</v>
      </c>
      <c r="C271" s="7" t="s">
        <v>124</v>
      </c>
      <c r="D271" s="10">
        <f>IFERROR(SUMIFS('Base bordo'!G$2:G$746,'Base bordo'!C$2:C$746,A271,'Base bordo'!B$2:B$746,B271,'Base bordo'!F$2:F$746,"DESLOCAMENTO VAZIO"),0)</f>
        <v>2.9125000000000001</v>
      </c>
      <c r="E271" s="10">
        <f>IFERROR(SUMIFS('Base bordo'!G$2:G$746,'Base bordo'!C$2:C$746,A271,'Base bordo'!B$2:B$746,B271,'Base bordo'!F$2:F$746,"DESLOCAMENTO CARREGADO"),0)</f>
        <v>4.025555555555556</v>
      </c>
      <c r="F271" s="10">
        <f>IFERROR(SUMIFS('Base bordo'!G$2:G$746,'Base bordo'!C$2:C$746,A271,'Base bordo'!B$2:B$746,B271,'Base bordo'!F$2:F$746,"DESLOCAMENTO"),0)</f>
        <v>0</v>
      </c>
      <c r="G271" s="10">
        <f>IFERROR(SUMIFS('Base bordo'!G$2:G$746,'Base bordo'!C$2:C$746,A271,'Base bordo'!B$2:B$746,B271,'Base bordo'!F$2:F$746,"CARREGAMENTO"),0)</f>
        <v>0</v>
      </c>
      <c r="H271" s="10">
        <f>IFERROR(SUMIFS('Base bordo'!G$2:G$746,'Base bordo'!C$2:C$746,A271,'Base bordo'!B$2:B$746,B271,'Base bordo'!F$2:F$746,"AGUARDANDO TRANSBORDO"),0)</f>
        <v>0</v>
      </c>
      <c r="I271" s="10">
        <f>IFERROR(SUMIFS('Base bordo'!G$2:G$746,'Base bordo'!C$2:C$746,A271,'Base bordo'!B$2:B$746,B271,'Base bordo'!F$2:F$746,"PÁTIO INTERNO"),0)+IFERROR(SUMIFS('Base bordo'!G$2:G$746,'Base bordo'!C$2:C$746,A271,'Base bordo'!B$2:B$746,B271,'Base bordo'!F$2:F$746,"PÁTIO EXTERNO"),0)+IFERROR(SUMIFS('Base bordo'!G$2:G$746,'Base bordo'!C$2:C$746,A271,'Base bordo'!B$2:B$746,B271,'Base bordo'!F$2:F$746,"PATIO - RESERVA"),0)+IFERROR(SUMIFS('Base bordo'!G$2:G$746,'Base bordo'!C$2:C$746,A271,'Base bordo'!B$2:B$746,B271,'Base bordo'!F$2:F$746,"MANOBRA CARRETAS-PATIO"),0)</f>
        <v>1.0555555555555556</v>
      </c>
      <c r="J271" s="10">
        <f>IFERROR(SUMIFS('Base bordo'!G$2:G$746,'Base bordo'!C$2:C$746,A271,'Base bordo'!B$2:B$746,B271,'Base bordo'!F$2:F$746,"BALANÇA - ENTRADA"),0)+IFERROR(SUMIFS('Base bordo'!G$2:G$746,'Base bordo'!C$2:C$746,A271,'Base bordo'!B$2:B$746,B271,'Base bordo'!F$2:F$746,"BALANÇA - SAÍDA"),0)</f>
        <v>0</v>
      </c>
      <c r="K271" s="10">
        <f>IFERROR(SUMIFS('Base bordo'!G$2:G$746,'Base bordo'!C$2:C$746,A271,'Base bordo'!B$2:B$746,B271,'Base bordo'!F$2:F$746,"MAN PREVENTIVA - MECANICA"),0)+IFERROR(SUMIFS('Base bordo'!G$2:G$746,'Base bordo'!C$2:C$746,A271,'Base bordo'!B$2:B$746,B271,'Base bordo'!F$2:F$746,"MAN CORRETIVA - MECANICA"),0)</f>
        <v>0</v>
      </c>
      <c r="L271" s="10">
        <f>IFERROR(SUMIFS('Base bordo'!G$2:G$746,'Base bordo'!C$2:C$746,A271,'Base bordo'!B$2:B$746,B271,'Base bordo'!F$2:F$746,"MANUTENCAO - T O"),0)+IFERROR(SUMIFS('Base bordo'!G$2:G$746,'Base bordo'!C$2:C$746,A271,'Base bordo'!B$2:B$746,B271,'Base bordo'!F$2:F$746,"MANUTENCAO BORRACHARIA"),0)+IFERROR(SUMIFS('Base bordo'!G$2:G$746,'Base bordo'!C$2:C$746,A271,'Base bordo'!B$2:B$746,B271,'Base bordo'!F$2:F$746,"MANUTENCAO EXTERNA  CONCESSIONARIA"),0)+IFERROR(SUMIFS('Base bordo'!G$2:G$746,'Base bordo'!C$2:C$746,A271,'Base bordo'!B$2:B$746,B271,'Base bordo'!F$2:F$746,"MANUTENCAO TELEMETRIA"),0)</f>
        <v>0</v>
      </c>
      <c r="M271" s="10">
        <f>IFERROR(SUMIFS('Base bordo'!G$2:G$746,'Base bordo'!C$2:C$746,A271,'Base bordo'!B$2:B$746,B271,'Base bordo'!F$2:F$746,"AGUARDANDO MANUTENCAO"),0)</f>
        <v>0</v>
      </c>
      <c r="N271" s="10">
        <f>IFERROR(SUMIFS('Base bordo'!G$2:G$746,'Base bordo'!C$2:C$746,A271,'Base bordo'!B$2:B$746,B271,'Base bordo'!F$2:F$746,"SEM APONTAMENTO"),0)</f>
        <v>0</v>
      </c>
      <c r="O271" s="10">
        <f t="shared" ref="O271:O334" si="36">IFERROR(P271-SUM(D271:N271),0)</f>
        <v>5.4444444444444073E-2</v>
      </c>
      <c r="P271" s="10">
        <f>IFERROR(SUMIFS('Base bordo'!G$2:G$746,'Base bordo'!C$2:C$746,A271,'Base bordo'!B$2:B$746,B271),0)</f>
        <v>8.0480555555555551</v>
      </c>
      <c r="Q271" s="10">
        <f>IFERROR(SUMIFS('Base bordo'!H$2:H$746,'Base bordo'!C$2:C$746,A271,'Base bordo'!B$2:B$746,B271,'Base bordo'!F$2:F$746,"DESLOCAMENTO VAZIO"),0)</f>
        <v>341096.53</v>
      </c>
      <c r="R271" s="10">
        <f>IFERROR(SUMIFS('Base bordo'!I$2:I$746,'Base bordo'!C$2:C$746,A271,'Base bordo'!B$2:B$746,B271,'Base bordo'!F$2:F$746,"DESLOCAMENTO VAZIO"),0)</f>
        <v>10485</v>
      </c>
      <c r="S271" s="30">
        <f t="shared" ref="S271:S334" si="37">IFERROR(Q271/R271,"")</f>
        <v>32.531857892226995</v>
      </c>
      <c r="T271" s="10">
        <f>IFERROR(SUMIFS('Base bordo'!H$2:H$746,'Base bordo'!C$2:C$746,A271,'Base bordo'!B$2:B$746,B271,'Base bordo'!F$2:F$746,"DESLOCAMENTO CARREGADO"),0)</f>
        <v>344294.46</v>
      </c>
      <c r="U271" s="10">
        <f>IFERROR(SUMIFS('Base bordo'!I$2:I$746,'Base bordo'!C$2:C$746,A271,'Base bordo'!B$2:B$746,B271,'Base bordo'!F$2:F$746,"DESLOCAMENTO CARREGADO"),0)</f>
        <v>14479</v>
      </c>
      <c r="V271" s="30">
        <f t="shared" ref="V271:V334" si="38">IFERROR(T271/U271,"")</f>
        <v>23.778883900821882</v>
      </c>
      <c r="W271" s="9">
        <f t="shared" ref="W271:W334" si="39">IFERROR(D271/P271,0)</f>
        <v>0.36188865495461292</v>
      </c>
      <c r="X271" s="9">
        <f t="shared" ref="X271:X334" si="40">IFERROR(E271/P271,0)</f>
        <v>0.50018983191247035</v>
      </c>
      <c r="Y271" s="9">
        <f t="shared" ref="Y271:Y334" si="41">IFERROR(1-((D271+E271)/P271),0)</f>
        <v>0.13792151313291678</v>
      </c>
    </row>
    <row r="272" spans="1:25" ht="15" customHeight="1" x14ac:dyDescent="0.35">
      <c r="A272" s="52">
        <v>8013461</v>
      </c>
      <c r="B272" s="51">
        <v>46117</v>
      </c>
      <c r="C272" s="7" t="s">
        <v>124</v>
      </c>
      <c r="D272" s="10">
        <f>IFERROR(SUMIFS('Base bordo'!G$2:G$746,'Base bordo'!C$2:C$746,A272,'Base bordo'!B$2:B$746,B272,'Base bordo'!F$2:F$746,"DESLOCAMENTO VAZIO"),0)</f>
        <v>4.035277777777778</v>
      </c>
      <c r="E272" s="10">
        <f>IFERROR(SUMIFS('Base bordo'!G$2:G$746,'Base bordo'!C$2:C$746,A272,'Base bordo'!B$2:B$746,B272,'Base bordo'!F$2:F$746,"DESLOCAMENTO CARREGADO"),0)</f>
        <v>0.74527777777777782</v>
      </c>
      <c r="F272" s="10">
        <f>IFERROR(SUMIFS('Base bordo'!G$2:G$746,'Base bordo'!C$2:C$746,A272,'Base bordo'!B$2:B$746,B272,'Base bordo'!F$2:F$746,"DESLOCAMENTO"),0)</f>
        <v>0.7155555555555555</v>
      </c>
      <c r="G272" s="10">
        <f>IFERROR(SUMIFS('Base bordo'!G$2:G$746,'Base bordo'!C$2:C$746,A272,'Base bordo'!B$2:B$746,B272,'Base bordo'!F$2:F$746,"CARREGAMENTO"),0)</f>
        <v>0.18611111111111112</v>
      </c>
      <c r="H272" s="10">
        <f>IFERROR(SUMIFS('Base bordo'!G$2:G$746,'Base bordo'!C$2:C$746,A272,'Base bordo'!B$2:B$746,B272,'Base bordo'!F$2:F$746,"AGUARDANDO TRANSBORDO"),0)</f>
        <v>0.22416666666666665</v>
      </c>
      <c r="I272" s="10">
        <f>IFERROR(SUMIFS('Base bordo'!G$2:G$746,'Base bordo'!C$2:C$746,A272,'Base bordo'!B$2:B$746,B272,'Base bordo'!F$2:F$746,"PÁTIO INTERNO"),0)+IFERROR(SUMIFS('Base bordo'!G$2:G$746,'Base bordo'!C$2:C$746,A272,'Base bordo'!B$2:B$746,B272,'Base bordo'!F$2:F$746,"PÁTIO EXTERNO"),0)+IFERROR(SUMIFS('Base bordo'!G$2:G$746,'Base bordo'!C$2:C$746,A272,'Base bordo'!B$2:B$746,B272,'Base bordo'!F$2:F$746,"PATIO - RESERVA"),0)+IFERROR(SUMIFS('Base bordo'!G$2:G$746,'Base bordo'!C$2:C$746,A272,'Base bordo'!B$2:B$746,B272,'Base bordo'!F$2:F$746,"MANOBRA CARRETAS-PATIO"),0)</f>
        <v>0</v>
      </c>
      <c r="J272" s="10">
        <f>IFERROR(SUMIFS('Base bordo'!G$2:G$746,'Base bordo'!C$2:C$746,A272,'Base bordo'!B$2:B$746,B272,'Base bordo'!F$2:F$746,"BALANÇA - ENTRADA"),0)+IFERROR(SUMIFS('Base bordo'!G$2:G$746,'Base bordo'!C$2:C$746,A272,'Base bordo'!B$2:B$746,B272,'Base bordo'!F$2:F$746,"BALANÇA - SAÍDA"),0)</f>
        <v>0</v>
      </c>
      <c r="K272" s="10">
        <f>IFERROR(SUMIFS('Base bordo'!G$2:G$746,'Base bordo'!C$2:C$746,A272,'Base bordo'!B$2:B$746,B272,'Base bordo'!F$2:F$746,"MAN PREVENTIVA - MECANICA"),0)+IFERROR(SUMIFS('Base bordo'!G$2:G$746,'Base bordo'!C$2:C$746,A272,'Base bordo'!B$2:B$746,B272,'Base bordo'!F$2:F$746,"MAN CORRETIVA - MECANICA"),0)</f>
        <v>0</v>
      </c>
      <c r="L272" s="10">
        <f>IFERROR(SUMIFS('Base bordo'!G$2:G$746,'Base bordo'!C$2:C$746,A272,'Base bordo'!B$2:B$746,B272,'Base bordo'!F$2:F$746,"MANUTENCAO - T O"),0)+IFERROR(SUMIFS('Base bordo'!G$2:G$746,'Base bordo'!C$2:C$746,A272,'Base bordo'!B$2:B$746,B272,'Base bordo'!F$2:F$746,"MANUTENCAO BORRACHARIA"),0)+IFERROR(SUMIFS('Base bordo'!G$2:G$746,'Base bordo'!C$2:C$746,A272,'Base bordo'!B$2:B$746,B272,'Base bordo'!F$2:F$746,"MANUTENCAO EXTERNA  CONCESSIONARIA"),0)+IFERROR(SUMIFS('Base bordo'!G$2:G$746,'Base bordo'!C$2:C$746,A272,'Base bordo'!B$2:B$746,B272,'Base bordo'!F$2:F$746,"MANUTENCAO TELEMETRIA"),0)</f>
        <v>8.9302777777777784</v>
      </c>
      <c r="M272" s="10">
        <f>IFERROR(SUMIFS('Base bordo'!G$2:G$746,'Base bordo'!C$2:C$746,A272,'Base bordo'!B$2:B$746,B272,'Base bordo'!F$2:F$746,"AGUARDANDO MANUTENCAO"),0)</f>
        <v>0</v>
      </c>
      <c r="N272" s="10">
        <f>IFERROR(SUMIFS('Base bordo'!G$2:G$746,'Base bordo'!C$2:C$746,A272,'Base bordo'!B$2:B$746,B272,'Base bordo'!F$2:F$746,"SEM APONTAMENTO"),0)</f>
        <v>0.91388888888888886</v>
      </c>
      <c r="O272" s="10">
        <f t="shared" si="36"/>
        <v>8.2494444444444426</v>
      </c>
      <c r="P272" s="10">
        <f>IFERROR(SUMIFS('Base bordo'!G$2:G$746,'Base bordo'!C$2:C$746,A272,'Base bordo'!B$2:B$746,B272),0)</f>
        <v>24</v>
      </c>
      <c r="Q272" s="10">
        <f>IFERROR(SUMIFS('Base bordo'!H$2:H$746,'Base bordo'!C$2:C$746,A272,'Base bordo'!B$2:B$746,B272,'Base bordo'!F$2:F$746,"DESLOCAMENTO VAZIO"),0)</f>
        <v>619414.3600000001</v>
      </c>
      <c r="R272" s="10">
        <f>IFERROR(SUMIFS('Base bordo'!I$2:I$746,'Base bordo'!C$2:C$746,A272,'Base bordo'!B$2:B$746,B272,'Base bordo'!F$2:F$746,"DESLOCAMENTO VAZIO"),0)</f>
        <v>14527</v>
      </c>
      <c r="S272" s="30">
        <f t="shared" si="37"/>
        <v>42.638835272251676</v>
      </c>
      <c r="T272" s="10">
        <f>IFERROR(SUMIFS('Base bordo'!H$2:H$746,'Base bordo'!C$2:C$746,A272,'Base bordo'!B$2:B$746,B272,'Base bordo'!F$2:F$746,"DESLOCAMENTO CARREGADO"),0)</f>
        <v>37451.120000000003</v>
      </c>
      <c r="U272" s="10">
        <f>IFERROR(SUMIFS('Base bordo'!I$2:I$746,'Base bordo'!C$2:C$746,A272,'Base bordo'!B$2:B$746,B272,'Base bordo'!F$2:F$746,"DESLOCAMENTO CARREGADO"),0)</f>
        <v>2683</v>
      </c>
      <c r="V272" s="30">
        <f t="shared" si="38"/>
        <v>13.958673127096535</v>
      </c>
      <c r="W272" s="9">
        <f t="shared" si="39"/>
        <v>0.16813657407407409</v>
      </c>
      <c r="X272" s="9">
        <f t="shared" si="40"/>
        <v>3.1053240740740742E-2</v>
      </c>
      <c r="Y272" s="9">
        <f t="shared" si="41"/>
        <v>0.80081018518518521</v>
      </c>
    </row>
    <row r="273" spans="1:25" ht="15" customHeight="1" x14ac:dyDescent="0.35">
      <c r="A273" s="52">
        <v>8013462</v>
      </c>
      <c r="B273" s="51">
        <v>46123</v>
      </c>
      <c r="C273" s="7" t="s">
        <v>124</v>
      </c>
      <c r="D273" s="10">
        <f>IFERROR(SUMIFS('Base bordo'!G$2:G$746,'Base bordo'!C$2:C$746,A273,'Base bordo'!B$2:B$746,B273,'Base bordo'!F$2:F$746,"DESLOCAMENTO VAZIO"),0)</f>
        <v>2.4444444444444446E-2</v>
      </c>
      <c r="E273" s="10">
        <f>IFERROR(SUMIFS('Base bordo'!G$2:G$746,'Base bordo'!C$2:C$746,A273,'Base bordo'!B$2:B$746,B273,'Base bordo'!F$2:F$746,"DESLOCAMENTO CARREGADO"),0)</f>
        <v>2.9533333333333331</v>
      </c>
      <c r="F273" s="10">
        <f>IFERROR(SUMIFS('Base bordo'!G$2:G$746,'Base bordo'!C$2:C$746,A273,'Base bordo'!B$2:B$746,B273,'Base bordo'!F$2:F$746,"DESLOCAMENTO"),0)</f>
        <v>0.32861111111111113</v>
      </c>
      <c r="G273" s="10">
        <f>IFERROR(SUMIFS('Base bordo'!G$2:G$746,'Base bordo'!C$2:C$746,A273,'Base bordo'!B$2:B$746,B273,'Base bordo'!F$2:F$746,"CARREGAMENTO"),0)</f>
        <v>0</v>
      </c>
      <c r="H273" s="10">
        <f>IFERROR(SUMIFS('Base bordo'!G$2:G$746,'Base bordo'!C$2:C$746,A273,'Base bordo'!B$2:B$746,B273,'Base bordo'!F$2:F$746,"AGUARDANDO TRANSBORDO"),0)</f>
        <v>0</v>
      </c>
      <c r="I273" s="10">
        <f>IFERROR(SUMIFS('Base bordo'!G$2:G$746,'Base bordo'!C$2:C$746,A273,'Base bordo'!B$2:B$746,B273,'Base bordo'!F$2:F$746,"PÁTIO INTERNO"),0)+IFERROR(SUMIFS('Base bordo'!G$2:G$746,'Base bordo'!C$2:C$746,A273,'Base bordo'!B$2:B$746,B273,'Base bordo'!F$2:F$746,"PÁTIO EXTERNO"),0)+IFERROR(SUMIFS('Base bordo'!G$2:G$746,'Base bordo'!C$2:C$746,A273,'Base bordo'!B$2:B$746,B273,'Base bordo'!F$2:F$746,"PATIO - RESERVA"),0)+IFERROR(SUMIFS('Base bordo'!G$2:G$746,'Base bordo'!C$2:C$746,A273,'Base bordo'!B$2:B$746,B273,'Base bordo'!F$2:F$746,"MANOBRA CARRETAS-PATIO"),0)</f>
        <v>5.2366666666666664</v>
      </c>
      <c r="J273" s="10">
        <f>IFERROR(SUMIFS('Base bordo'!G$2:G$746,'Base bordo'!C$2:C$746,A273,'Base bordo'!B$2:B$746,B273,'Base bordo'!F$2:F$746,"BALANÇA - ENTRADA"),0)+IFERROR(SUMIFS('Base bordo'!G$2:G$746,'Base bordo'!C$2:C$746,A273,'Base bordo'!B$2:B$746,B273,'Base bordo'!F$2:F$746,"BALANÇA - SAÍDA"),0)</f>
        <v>0</v>
      </c>
      <c r="K273" s="10">
        <f>IFERROR(SUMIFS('Base bordo'!G$2:G$746,'Base bordo'!C$2:C$746,A273,'Base bordo'!B$2:B$746,B273,'Base bordo'!F$2:F$746,"MAN PREVENTIVA - MECANICA"),0)+IFERROR(SUMIFS('Base bordo'!G$2:G$746,'Base bordo'!C$2:C$746,A273,'Base bordo'!B$2:B$746,B273,'Base bordo'!F$2:F$746,"MAN CORRETIVA - MECANICA"),0)</f>
        <v>0</v>
      </c>
      <c r="L273" s="10">
        <f>IFERROR(SUMIFS('Base bordo'!G$2:G$746,'Base bordo'!C$2:C$746,A273,'Base bordo'!B$2:B$746,B273,'Base bordo'!F$2:F$746,"MANUTENCAO - T O"),0)+IFERROR(SUMIFS('Base bordo'!G$2:G$746,'Base bordo'!C$2:C$746,A273,'Base bordo'!B$2:B$746,B273,'Base bordo'!F$2:F$746,"MANUTENCAO BORRACHARIA"),0)+IFERROR(SUMIFS('Base bordo'!G$2:G$746,'Base bordo'!C$2:C$746,A273,'Base bordo'!B$2:B$746,B273,'Base bordo'!F$2:F$746,"MANUTENCAO EXTERNA  CONCESSIONARIA"),0)+IFERROR(SUMIFS('Base bordo'!G$2:G$746,'Base bordo'!C$2:C$746,A273,'Base bordo'!B$2:B$746,B273,'Base bordo'!F$2:F$746,"MANUTENCAO TELEMETRIA"),0)</f>
        <v>0</v>
      </c>
      <c r="M273" s="10">
        <f>IFERROR(SUMIFS('Base bordo'!G$2:G$746,'Base bordo'!C$2:C$746,A273,'Base bordo'!B$2:B$746,B273,'Base bordo'!F$2:F$746,"AGUARDANDO MANUTENCAO"),0)</f>
        <v>0</v>
      </c>
      <c r="N273" s="10">
        <f>IFERROR(SUMIFS('Base bordo'!G$2:G$746,'Base bordo'!C$2:C$746,A273,'Base bordo'!B$2:B$746,B273,'Base bordo'!F$2:F$746,"SEM APONTAMENTO"),0)</f>
        <v>0</v>
      </c>
      <c r="O273" s="10">
        <f t="shared" si="36"/>
        <v>0</v>
      </c>
      <c r="P273" s="10">
        <f>IFERROR(SUMIFS('Base bordo'!G$2:G$746,'Base bordo'!C$2:C$746,A273,'Base bordo'!B$2:B$746,B273),0)</f>
        <v>8.5430555555555543</v>
      </c>
      <c r="Q273" s="10">
        <f>IFERROR(SUMIFS('Base bordo'!H$2:H$746,'Base bordo'!C$2:C$746,A273,'Base bordo'!B$2:B$746,B273,'Base bordo'!F$2:F$746,"DESLOCAMENTO VAZIO"),0)</f>
        <v>880</v>
      </c>
      <c r="R273" s="10">
        <f>IFERROR(SUMIFS('Base bordo'!I$2:I$746,'Base bordo'!C$2:C$746,A273,'Base bordo'!B$2:B$746,B273,'Base bordo'!F$2:F$746,"DESLOCAMENTO VAZIO"),0)</f>
        <v>88</v>
      </c>
      <c r="S273" s="30">
        <f t="shared" si="37"/>
        <v>10</v>
      </c>
      <c r="T273" s="10">
        <f>IFERROR(SUMIFS('Base bordo'!H$2:H$746,'Base bordo'!C$2:C$746,A273,'Base bordo'!B$2:B$746,B273,'Base bordo'!F$2:F$746,"DESLOCAMENTO CARREGADO"),0)</f>
        <v>244097.37999999998</v>
      </c>
      <c r="U273" s="10">
        <f>IFERROR(SUMIFS('Base bordo'!I$2:I$746,'Base bordo'!C$2:C$746,A273,'Base bordo'!B$2:B$746,B273,'Base bordo'!F$2:F$746,"DESLOCAMENTO CARREGADO"),0)</f>
        <v>10632</v>
      </c>
      <c r="V273" s="30">
        <f t="shared" si="38"/>
        <v>22.958745297215948</v>
      </c>
      <c r="W273" s="9">
        <f t="shared" si="39"/>
        <v>2.8613233620549509E-3</v>
      </c>
      <c r="X273" s="9">
        <f t="shared" si="40"/>
        <v>0.3456998861973663</v>
      </c>
      <c r="Y273" s="9">
        <f t="shared" si="41"/>
        <v>0.65143879044057873</v>
      </c>
    </row>
    <row r="274" spans="1:25" ht="15" customHeight="1" x14ac:dyDescent="0.35">
      <c r="A274" s="52">
        <v>8013485</v>
      </c>
      <c r="B274" s="51">
        <v>46121</v>
      </c>
      <c r="C274" s="7" t="s">
        <v>124</v>
      </c>
      <c r="D274" s="10">
        <f>IFERROR(SUMIFS('Base bordo'!G$2:G$746,'Base bordo'!C$2:C$746,A274,'Base bordo'!B$2:B$746,B274,'Base bordo'!F$2:F$746,"DESLOCAMENTO VAZIO"),0)</f>
        <v>0</v>
      </c>
      <c r="E274" s="10">
        <f>IFERROR(SUMIFS('Base bordo'!G$2:G$746,'Base bordo'!C$2:C$746,A274,'Base bordo'!B$2:B$746,B274,'Base bordo'!F$2:F$746,"DESLOCAMENTO CARREGADO"),0)</f>
        <v>7.3888888888888893E-2</v>
      </c>
      <c r="F274" s="10">
        <f>IFERROR(SUMIFS('Base bordo'!G$2:G$746,'Base bordo'!C$2:C$746,A274,'Base bordo'!B$2:B$746,B274,'Base bordo'!F$2:F$746,"DESLOCAMENTO"),0)</f>
        <v>0.89222222222222225</v>
      </c>
      <c r="G274" s="10">
        <f>IFERROR(SUMIFS('Base bordo'!G$2:G$746,'Base bordo'!C$2:C$746,A274,'Base bordo'!B$2:B$746,B274,'Base bordo'!F$2:F$746,"CARREGAMENTO"),0)</f>
        <v>0</v>
      </c>
      <c r="H274" s="10">
        <f>IFERROR(SUMIFS('Base bordo'!G$2:G$746,'Base bordo'!C$2:C$746,A274,'Base bordo'!B$2:B$746,B274,'Base bordo'!F$2:F$746,"AGUARDANDO TRANSBORDO"),0)</f>
        <v>0</v>
      </c>
      <c r="I274" s="10">
        <f>IFERROR(SUMIFS('Base bordo'!G$2:G$746,'Base bordo'!C$2:C$746,A274,'Base bordo'!B$2:B$746,B274,'Base bordo'!F$2:F$746,"PÁTIO INTERNO"),0)+IFERROR(SUMIFS('Base bordo'!G$2:G$746,'Base bordo'!C$2:C$746,A274,'Base bordo'!B$2:B$746,B274,'Base bordo'!F$2:F$746,"PÁTIO EXTERNO"),0)+IFERROR(SUMIFS('Base bordo'!G$2:G$746,'Base bordo'!C$2:C$746,A274,'Base bordo'!B$2:B$746,B274,'Base bordo'!F$2:F$746,"PATIO - RESERVA"),0)+IFERROR(SUMIFS('Base bordo'!G$2:G$746,'Base bordo'!C$2:C$746,A274,'Base bordo'!B$2:B$746,B274,'Base bordo'!F$2:F$746,"MANOBRA CARRETAS-PATIO"),0)</f>
        <v>0</v>
      </c>
      <c r="J274" s="10">
        <f>IFERROR(SUMIFS('Base bordo'!G$2:G$746,'Base bordo'!C$2:C$746,A274,'Base bordo'!B$2:B$746,B274,'Base bordo'!F$2:F$746,"BALANÇA - ENTRADA"),0)+IFERROR(SUMIFS('Base bordo'!G$2:G$746,'Base bordo'!C$2:C$746,A274,'Base bordo'!B$2:B$746,B274,'Base bordo'!F$2:F$746,"BALANÇA - SAÍDA"),0)</f>
        <v>0</v>
      </c>
      <c r="K274" s="10">
        <f>IFERROR(SUMIFS('Base bordo'!G$2:G$746,'Base bordo'!C$2:C$746,A274,'Base bordo'!B$2:B$746,B274,'Base bordo'!F$2:F$746,"MAN PREVENTIVA - MECANICA"),0)+IFERROR(SUMIFS('Base bordo'!G$2:G$746,'Base bordo'!C$2:C$746,A274,'Base bordo'!B$2:B$746,B274,'Base bordo'!F$2:F$746,"MAN CORRETIVA - MECANICA"),0)</f>
        <v>0</v>
      </c>
      <c r="L274" s="10">
        <f>IFERROR(SUMIFS('Base bordo'!G$2:G$746,'Base bordo'!C$2:C$746,A274,'Base bordo'!B$2:B$746,B274,'Base bordo'!F$2:F$746,"MANUTENCAO - T O"),0)+IFERROR(SUMIFS('Base bordo'!G$2:G$746,'Base bordo'!C$2:C$746,A274,'Base bordo'!B$2:B$746,B274,'Base bordo'!F$2:F$746,"MANUTENCAO BORRACHARIA"),0)+IFERROR(SUMIFS('Base bordo'!G$2:G$746,'Base bordo'!C$2:C$746,A274,'Base bordo'!B$2:B$746,B274,'Base bordo'!F$2:F$746,"MANUTENCAO EXTERNA  CONCESSIONARIA"),0)+IFERROR(SUMIFS('Base bordo'!G$2:G$746,'Base bordo'!C$2:C$746,A274,'Base bordo'!B$2:B$746,B274,'Base bordo'!F$2:F$746,"MANUTENCAO TELEMETRIA"),0)</f>
        <v>0</v>
      </c>
      <c r="M274" s="10">
        <f>IFERROR(SUMIFS('Base bordo'!G$2:G$746,'Base bordo'!C$2:C$746,A274,'Base bordo'!B$2:B$746,B274,'Base bordo'!F$2:F$746,"AGUARDANDO MANUTENCAO"),0)</f>
        <v>0</v>
      </c>
      <c r="N274" s="10">
        <f>IFERROR(SUMIFS('Base bordo'!G$2:G$746,'Base bordo'!C$2:C$746,A274,'Base bordo'!B$2:B$746,B274,'Base bordo'!F$2:F$746,"SEM APONTAMENTO"),0)</f>
        <v>0</v>
      </c>
      <c r="O274" s="10">
        <f t="shared" si="36"/>
        <v>0</v>
      </c>
      <c r="P274" s="10">
        <f>IFERROR(SUMIFS('Base bordo'!G$2:G$746,'Base bordo'!C$2:C$746,A274,'Base bordo'!B$2:B$746,B274),0)</f>
        <v>0.96611111111111114</v>
      </c>
      <c r="Q274" s="10">
        <f>IFERROR(SUMIFS('Base bordo'!H$2:H$746,'Base bordo'!C$2:C$746,A274,'Base bordo'!B$2:B$746,B274,'Base bordo'!F$2:F$746,"DESLOCAMENTO VAZIO"),0)</f>
        <v>0</v>
      </c>
      <c r="R274" s="10">
        <f>IFERROR(SUMIFS('Base bordo'!I$2:I$746,'Base bordo'!C$2:C$746,A274,'Base bordo'!B$2:B$746,B274,'Base bordo'!F$2:F$746,"DESLOCAMENTO VAZIO"),0)</f>
        <v>0</v>
      </c>
      <c r="S274" s="30" t="str">
        <f t="shared" si="37"/>
        <v/>
      </c>
      <c r="T274" s="10">
        <f>IFERROR(SUMIFS('Base bordo'!H$2:H$746,'Base bordo'!C$2:C$746,A274,'Base bordo'!B$2:B$746,B274,'Base bordo'!F$2:F$746,"DESLOCAMENTO CARREGADO"),0)</f>
        <v>5423.74</v>
      </c>
      <c r="U274" s="10">
        <f>IFERROR(SUMIFS('Base bordo'!I$2:I$746,'Base bordo'!C$2:C$746,A274,'Base bordo'!B$2:B$746,B274,'Base bordo'!F$2:F$746,"DESLOCAMENTO CARREGADO"),0)</f>
        <v>266</v>
      </c>
      <c r="V274" s="30">
        <f t="shared" si="38"/>
        <v>20.39</v>
      </c>
      <c r="W274" s="9">
        <f t="shared" si="39"/>
        <v>0</v>
      </c>
      <c r="X274" s="9">
        <f t="shared" si="40"/>
        <v>7.648073605520414E-2</v>
      </c>
      <c r="Y274" s="9">
        <f t="shared" si="41"/>
        <v>0.92351926394479589</v>
      </c>
    </row>
    <row r="275" spans="1:25" ht="15" customHeight="1" x14ac:dyDescent="0.35">
      <c r="A275" s="52">
        <v>8013462</v>
      </c>
      <c r="B275" s="51">
        <v>46117</v>
      </c>
      <c r="C275" s="7" t="s">
        <v>124</v>
      </c>
      <c r="D275" s="10">
        <f>IFERROR(SUMIFS('Base bordo'!G$2:G$746,'Base bordo'!C$2:C$746,A275,'Base bordo'!B$2:B$746,B275,'Base bordo'!F$2:F$746,"DESLOCAMENTO VAZIO"),0)</f>
        <v>1.3697222222222223</v>
      </c>
      <c r="E275" s="10">
        <f>IFERROR(SUMIFS('Base bordo'!G$2:G$746,'Base bordo'!C$2:C$746,A275,'Base bordo'!B$2:B$746,B275,'Base bordo'!F$2:F$746,"DESLOCAMENTO CARREGADO"),0)</f>
        <v>1.7716666666666667</v>
      </c>
      <c r="F275" s="10">
        <f>IFERROR(SUMIFS('Base bordo'!G$2:G$746,'Base bordo'!C$2:C$746,A275,'Base bordo'!B$2:B$746,B275,'Base bordo'!F$2:F$746,"DESLOCAMENTO"),0)</f>
        <v>1.0772222222222223</v>
      </c>
      <c r="G275" s="10">
        <f>IFERROR(SUMIFS('Base bordo'!G$2:G$746,'Base bordo'!C$2:C$746,A275,'Base bordo'!B$2:B$746,B275,'Base bordo'!F$2:F$746,"CARREGAMENTO"),0)</f>
        <v>0.32777777777777778</v>
      </c>
      <c r="H275" s="10">
        <f>IFERROR(SUMIFS('Base bordo'!G$2:G$746,'Base bordo'!C$2:C$746,A275,'Base bordo'!B$2:B$746,B275,'Base bordo'!F$2:F$746,"AGUARDANDO TRANSBORDO"),0)</f>
        <v>0.98277777777777775</v>
      </c>
      <c r="I275" s="10">
        <f>IFERROR(SUMIFS('Base bordo'!G$2:G$746,'Base bordo'!C$2:C$746,A275,'Base bordo'!B$2:B$746,B275,'Base bordo'!F$2:F$746,"PÁTIO INTERNO"),0)+IFERROR(SUMIFS('Base bordo'!G$2:G$746,'Base bordo'!C$2:C$746,A275,'Base bordo'!B$2:B$746,B275,'Base bordo'!F$2:F$746,"PÁTIO EXTERNO"),0)+IFERROR(SUMIFS('Base bordo'!G$2:G$746,'Base bordo'!C$2:C$746,A275,'Base bordo'!B$2:B$746,B275,'Base bordo'!F$2:F$746,"PATIO - RESERVA"),0)+IFERROR(SUMIFS('Base bordo'!G$2:G$746,'Base bordo'!C$2:C$746,A275,'Base bordo'!B$2:B$746,B275,'Base bordo'!F$2:F$746,"MANOBRA CARRETAS-PATIO"),0)</f>
        <v>0</v>
      </c>
      <c r="J275" s="10">
        <f>IFERROR(SUMIFS('Base bordo'!G$2:G$746,'Base bordo'!C$2:C$746,A275,'Base bordo'!B$2:B$746,B275,'Base bordo'!F$2:F$746,"BALANÇA - ENTRADA"),0)+IFERROR(SUMIFS('Base bordo'!G$2:G$746,'Base bordo'!C$2:C$746,A275,'Base bordo'!B$2:B$746,B275,'Base bordo'!F$2:F$746,"BALANÇA - SAÍDA"),0)</f>
        <v>0</v>
      </c>
      <c r="K275" s="10">
        <f>IFERROR(SUMIFS('Base bordo'!G$2:G$746,'Base bordo'!C$2:C$746,A275,'Base bordo'!B$2:B$746,B275,'Base bordo'!F$2:F$746,"MAN PREVENTIVA - MECANICA"),0)+IFERROR(SUMIFS('Base bordo'!G$2:G$746,'Base bordo'!C$2:C$746,A275,'Base bordo'!B$2:B$746,B275,'Base bordo'!F$2:F$746,"MAN CORRETIVA - MECANICA"),0)</f>
        <v>4.6944444444444441E-2</v>
      </c>
      <c r="L275" s="10">
        <f>IFERROR(SUMIFS('Base bordo'!G$2:G$746,'Base bordo'!C$2:C$746,A275,'Base bordo'!B$2:B$746,B275,'Base bordo'!F$2:F$746,"MANUTENCAO - T O"),0)+IFERROR(SUMIFS('Base bordo'!G$2:G$746,'Base bordo'!C$2:C$746,A275,'Base bordo'!B$2:B$746,B275,'Base bordo'!F$2:F$746,"MANUTENCAO BORRACHARIA"),0)+IFERROR(SUMIFS('Base bordo'!G$2:G$746,'Base bordo'!C$2:C$746,A275,'Base bordo'!B$2:B$746,B275,'Base bordo'!F$2:F$746,"MANUTENCAO EXTERNA  CONCESSIONARIA"),0)+IFERROR(SUMIFS('Base bordo'!G$2:G$746,'Base bordo'!C$2:C$746,A275,'Base bordo'!B$2:B$746,B275,'Base bordo'!F$2:F$746,"MANUTENCAO TELEMETRIA"),0)</f>
        <v>4.0702777777777781</v>
      </c>
      <c r="M275" s="10">
        <f>IFERROR(SUMIFS('Base bordo'!G$2:G$746,'Base bordo'!C$2:C$746,A275,'Base bordo'!B$2:B$746,B275,'Base bordo'!F$2:F$746,"AGUARDANDO MANUTENCAO"),0)</f>
        <v>0</v>
      </c>
      <c r="N275" s="10">
        <f>IFERROR(SUMIFS('Base bordo'!G$2:G$746,'Base bordo'!C$2:C$746,A275,'Base bordo'!B$2:B$746,B275,'Base bordo'!F$2:F$746,"SEM APONTAMENTO"),0)</f>
        <v>0</v>
      </c>
      <c r="O275" s="10">
        <f t="shared" si="36"/>
        <v>2.6524999999999981</v>
      </c>
      <c r="P275" s="10">
        <f>IFERROR(SUMIFS('Base bordo'!G$2:G$746,'Base bordo'!C$2:C$746,A275,'Base bordo'!B$2:B$746,B275),0)</f>
        <v>12.298888888888888</v>
      </c>
      <c r="Q275" s="10">
        <f>IFERROR(SUMIFS('Base bordo'!H$2:H$746,'Base bordo'!C$2:C$746,A275,'Base bordo'!B$2:B$746,B275,'Base bordo'!F$2:F$746,"DESLOCAMENTO VAZIO"),0)</f>
        <v>96755.57</v>
      </c>
      <c r="R275" s="10">
        <f>IFERROR(SUMIFS('Base bordo'!I$2:I$746,'Base bordo'!C$2:C$746,A275,'Base bordo'!B$2:B$746,B275,'Base bordo'!F$2:F$746,"DESLOCAMENTO VAZIO"),0)</f>
        <v>4931</v>
      </c>
      <c r="S275" s="30">
        <f t="shared" si="37"/>
        <v>19.621896167106065</v>
      </c>
      <c r="T275" s="10">
        <f>IFERROR(SUMIFS('Base bordo'!H$2:H$746,'Base bordo'!C$2:C$746,A275,'Base bordo'!B$2:B$746,B275,'Base bordo'!F$2:F$746,"DESLOCAMENTO CARREGADO"),0)</f>
        <v>170850.02000000002</v>
      </c>
      <c r="U275" s="10">
        <f>IFERROR(SUMIFS('Base bordo'!I$2:I$746,'Base bordo'!C$2:C$746,A275,'Base bordo'!B$2:B$746,B275,'Base bordo'!F$2:F$746,"DESLOCAMENTO CARREGADO"),0)</f>
        <v>6378</v>
      </c>
      <c r="V275" s="30">
        <f t="shared" si="38"/>
        <v>26.787397303229856</v>
      </c>
      <c r="W275" s="9">
        <f t="shared" si="39"/>
        <v>0.1113695907489385</v>
      </c>
      <c r="X275" s="9">
        <f t="shared" si="40"/>
        <v>0.14405095311229563</v>
      </c>
      <c r="Y275" s="9">
        <f t="shared" si="41"/>
        <v>0.74457945613876597</v>
      </c>
    </row>
    <row r="276" spans="1:25" ht="15" customHeight="1" x14ac:dyDescent="0.35">
      <c r="A276" s="52">
        <v>8013460</v>
      </c>
      <c r="B276" s="51">
        <v>46118</v>
      </c>
      <c r="C276" s="7" t="s">
        <v>124</v>
      </c>
      <c r="D276" s="10">
        <f>IFERROR(SUMIFS('Base bordo'!G$2:G$746,'Base bordo'!C$2:C$746,A276,'Base bordo'!B$2:B$746,B276,'Base bordo'!F$2:F$746,"DESLOCAMENTO VAZIO"),0)</f>
        <v>1.5016666666666667</v>
      </c>
      <c r="E276" s="10">
        <f>IFERROR(SUMIFS('Base bordo'!G$2:G$746,'Base bordo'!C$2:C$746,A276,'Base bordo'!B$2:B$746,B276,'Base bordo'!F$2:F$746,"DESLOCAMENTO CARREGADO"),0)</f>
        <v>1.5738888888888889</v>
      </c>
      <c r="F276" s="10">
        <f>IFERROR(SUMIFS('Base bordo'!G$2:G$746,'Base bordo'!C$2:C$746,A276,'Base bordo'!B$2:B$746,B276,'Base bordo'!F$2:F$746,"DESLOCAMENTO"),0)</f>
        <v>0.6744444444444444</v>
      </c>
      <c r="G276" s="10">
        <f>IFERROR(SUMIFS('Base bordo'!G$2:G$746,'Base bordo'!C$2:C$746,A276,'Base bordo'!B$2:B$746,B276,'Base bordo'!F$2:F$746,"CARREGAMENTO"),0)</f>
        <v>1.0088888888888889</v>
      </c>
      <c r="H276" s="10">
        <f>IFERROR(SUMIFS('Base bordo'!G$2:G$746,'Base bordo'!C$2:C$746,A276,'Base bordo'!B$2:B$746,B276,'Base bordo'!F$2:F$746,"AGUARDANDO TRANSBORDO"),0)</f>
        <v>8.4444444444444447E-2</v>
      </c>
      <c r="I276" s="10">
        <f>IFERROR(SUMIFS('Base bordo'!G$2:G$746,'Base bordo'!C$2:C$746,A276,'Base bordo'!B$2:B$746,B276,'Base bordo'!F$2:F$746,"PÁTIO INTERNO"),0)+IFERROR(SUMIFS('Base bordo'!G$2:G$746,'Base bordo'!C$2:C$746,A276,'Base bordo'!B$2:B$746,B276,'Base bordo'!F$2:F$746,"PÁTIO EXTERNO"),0)+IFERROR(SUMIFS('Base bordo'!G$2:G$746,'Base bordo'!C$2:C$746,A276,'Base bordo'!B$2:B$746,B276,'Base bordo'!F$2:F$746,"PATIO - RESERVA"),0)+IFERROR(SUMIFS('Base bordo'!G$2:G$746,'Base bordo'!C$2:C$746,A276,'Base bordo'!B$2:B$746,B276,'Base bordo'!F$2:F$746,"MANOBRA CARRETAS-PATIO"),0)</f>
        <v>16.206388888888888</v>
      </c>
      <c r="J276" s="10">
        <f>IFERROR(SUMIFS('Base bordo'!G$2:G$746,'Base bordo'!C$2:C$746,A276,'Base bordo'!B$2:B$746,B276,'Base bordo'!F$2:F$746,"BALANÇA - ENTRADA"),0)+IFERROR(SUMIFS('Base bordo'!G$2:G$746,'Base bordo'!C$2:C$746,A276,'Base bordo'!B$2:B$746,B276,'Base bordo'!F$2:F$746,"BALANÇA - SAÍDA"),0)</f>
        <v>0.24055555555555555</v>
      </c>
      <c r="K276" s="10">
        <f>IFERROR(SUMIFS('Base bordo'!G$2:G$746,'Base bordo'!C$2:C$746,A276,'Base bordo'!B$2:B$746,B276,'Base bordo'!F$2:F$746,"MAN PREVENTIVA - MECANICA"),0)+IFERROR(SUMIFS('Base bordo'!G$2:G$746,'Base bordo'!C$2:C$746,A276,'Base bordo'!B$2:B$746,B276,'Base bordo'!F$2:F$746,"MAN CORRETIVA - MECANICA"),0)</f>
        <v>0</v>
      </c>
      <c r="L276" s="10">
        <f>IFERROR(SUMIFS('Base bordo'!G$2:G$746,'Base bordo'!C$2:C$746,A276,'Base bordo'!B$2:B$746,B276,'Base bordo'!F$2:F$746,"MANUTENCAO - T O"),0)+IFERROR(SUMIFS('Base bordo'!G$2:G$746,'Base bordo'!C$2:C$746,A276,'Base bordo'!B$2:B$746,B276,'Base bordo'!F$2:F$746,"MANUTENCAO BORRACHARIA"),0)+IFERROR(SUMIFS('Base bordo'!G$2:G$746,'Base bordo'!C$2:C$746,A276,'Base bordo'!B$2:B$746,B276,'Base bordo'!F$2:F$746,"MANUTENCAO EXTERNA  CONCESSIONARIA"),0)+IFERROR(SUMIFS('Base bordo'!G$2:G$746,'Base bordo'!C$2:C$746,A276,'Base bordo'!B$2:B$746,B276,'Base bordo'!F$2:F$746,"MANUTENCAO TELEMETRIA"),0)</f>
        <v>0.9719444444444445</v>
      </c>
      <c r="M276" s="10">
        <f>IFERROR(SUMIFS('Base bordo'!G$2:G$746,'Base bordo'!C$2:C$746,A276,'Base bordo'!B$2:B$746,B276,'Base bordo'!F$2:F$746,"AGUARDANDO MANUTENCAO"),0)</f>
        <v>0</v>
      </c>
      <c r="N276" s="10">
        <f>IFERROR(SUMIFS('Base bordo'!G$2:G$746,'Base bordo'!C$2:C$746,A276,'Base bordo'!B$2:B$746,B276,'Base bordo'!F$2:F$746,"SEM APONTAMENTO"),0)</f>
        <v>0.83916666666666662</v>
      </c>
      <c r="O276" s="10">
        <f t="shared" si="36"/>
        <v>0.89861111111111569</v>
      </c>
      <c r="P276" s="10">
        <f>IFERROR(SUMIFS('Base bordo'!G$2:G$746,'Base bordo'!C$2:C$746,A276,'Base bordo'!B$2:B$746,B276),0)</f>
        <v>24.000000000000004</v>
      </c>
      <c r="Q276" s="10">
        <f>IFERROR(SUMIFS('Base bordo'!H$2:H$746,'Base bordo'!C$2:C$746,A276,'Base bordo'!B$2:B$746,B276,'Base bordo'!F$2:F$746,"DESLOCAMENTO VAZIO"),0)</f>
        <v>102676.29</v>
      </c>
      <c r="R276" s="10">
        <f>IFERROR(SUMIFS('Base bordo'!I$2:I$746,'Base bordo'!C$2:C$746,A276,'Base bordo'!B$2:B$746,B276,'Base bordo'!F$2:F$746,"DESLOCAMENTO VAZIO"),0)</f>
        <v>5406</v>
      </c>
      <c r="S276" s="30">
        <f t="shared" si="37"/>
        <v>18.993024417314093</v>
      </c>
      <c r="T276" s="10">
        <f>IFERROR(SUMIFS('Base bordo'!H$2:H$746,'Base bordo'!C$2:C$746,A276,'Base bordo'!B$2:B$746,B276,'Base bordo'!F$2:F$746,"DESLOCAMENTO CARREGADO"),0)</f>
        <v>136256.08000000002</v>
      </c>
      <c r="U276" s="10">
        <f>IFERROR(SUMIFS('Base bordo'!I$2:I$746,'Base bordo'!C$2:C$746,A276,'Base bordo'!B$2:B$746,B276,'Base bordo'!F$2:F$746,"DESLOCAMENTO CARREGADO"),0)</f>
        <v>5660</v>
      </c>
      <c r="V276" s="30">
        <f t="shared" si="38"/>
        <v>24.073512367491169</v>
      </c>
      <c r="W276" s="9">
        <f t="shared" si="39"/>
        <v>6.2569444444444441E-2</v>
      </c>
      <c r="X276" s="9">
        <f t="shared" si="40"/>
        <v>6.5578703703703695E-2</v>
      </c>
      <c r="Y276" s="9">
        <f t="shared" si="41"/>
        <v>0.87185185185185188</v>
      </c>
    </row>
    <row r="277" spans="1:25" ht="15" customHeight="1" x14ac:dyDescent="0.35">
      <c r="A277" s="52">
        <v>8013462</v>
      </c>
      <c r="B277" s="51">
        <v>46118</v>
      </c>
      <c r="C277" s="7" t="s">
        <v>124</v>
      </c>
      <c r="D277" s="10">
        <f>IFERROR(SUMIFS('Base bordo'!G$2:G$746,'Base bordo'!C$2:C$746,A277,'Base bordo'!B$2:B$746,B277,'Base bordo'!F$2:F$746,"DESLOCAMENTO VAZIO"),0)</f>
        <v>2.9716666666666667</v>
      </c>
      <c r="E277" s="10">
        <f>IFERROR(SUMIFS('Base bordo'!G$2:G$746,'Base bordo'!C$2:C$746,A277,'Base bordo'!B$2:B$746,B277,'Base bordo'!F$2:F$746,"DESLOCAMENTO CARREGADO"),0)</f>
        <v>3.6794444444444445</v>
      </c>
      <c r="F277" s="10">
        <f>IFERROR(SUMIFS('Base bordo'!G$2:G$746,'Base bordo'!C$2:C$746,A277,'Base bordo'!B$2:B$746,B277,'Base bordo'!F$2:F$746,"DESLOCAMENTO"),0)</f>
        <v>0.29694444444444446</v>
      </c>
      <c r="G277" s="10">
        <f>IFERROR(SUMIFS('Base bordo'!G$2:G$746,'Base bordo'!C$2:C$746,A277,'Base bordo'!B$2:B$746,B277,'Base bordo'!F$2:F$746,"CARREGAMENTO"),0)</f>
        <v>0.64583333333333337</v>
      </c>
      <c r="H277" s="10">
        <f>IFERROR(SUMIFS('Base bordo'!G$2:G$746,'Base bordo'!C$2:C$746,A277,'Base bordo'!B$2:B$746,B277,'Base bordo'!F$2:F$746,"AGUARDANDO TRANSBORDO"),0)</f>
        <v>9.6666666666666665E-2</v>
      </c>
      <c r="I277" s="10">
        <f>IFERROR(SUMIFS('Base bordo'!G$2:G$746,'Base bordo'!C$2:C$746,A277,'Base bordo'!B$2:B$746,B277,'Base bordo'!F$2:F$746,"PÁTIO INTERNO"),0)+IFERROR(SUMIFS('Base bordo'!G$2:G$746,'Base bordo'!C$2:C$746,A277,'Base bordo'!B$2:B$746,B277,'Base bordo'!F$2:F$746,"PÁTIO EXTERNO"),0)+IFERROR(SUMIFS('Base bordo'!G$2:G$746,'Base bordo'!C$2:C$746,A277,'Base bordo'!B$2:B$746,B277,'Base bordo'!F$2:F$746,"PATIO - RESERVA"),0)+IFERROR(SUMIFS('Base bordo'!G$2:G$746,'Base bordo'!C$2:C$746,A277,'Base bordo'!B$2:B$746,B277,'Base bordo'!F$2:F$746,"MANOBRA CARRETAS-PATIO"),0)</f>
        <v>9.5841666666666665</v>
      </c>
      <c r="J277" s="10">
        <f>IFERROR(SUMIFS('Base bordo'!G$2:G$746,'Base bordo'!C$2:C$746,A277,'Base bordo'!B$2:B$746,B277,'Base bordo'!F$2:F$746,"BALANÇA - ENTRADA"),0)+IFERROR(SUMIFS('Base bordo'!G$2:G$746,'Base bordo'!C$2:C$746,A277,'Base bordo'!B$2:B$746,B277,'Base bordo'!F$2:F$746,"BALANÇA - SAÍDA"),0)</f>
        <v>4.1944444444444444E-2</v>
      </c>
      <c r="K277" s="10">
        <f>IFERROR(SUMIFS('Base bordo'!G$2:G$746,'Base bordo'!C$2:C$746,A277,'Base bordo'!B$2:B$746,B277,'Base bordo'!F$2:F$746,"MAN PREVENTIVA - MECANICA"),0)+IFERROR(SUMIFS('Base bordo'!G$2:G$746,'Base bordo'!C$2:C$746,A277,'Base bordo'!B$2:B$746,B277,'Base bordo'!F$2:F$746,"MAN CORRETIVA - MECANICA"),0)</f>
        <v>0</v>
      </c>
      <c r="L277" s="10">
        <f>IFERROR(SUMIFS('Base bordo'!G$2:G$746,'Base bordo'!C$2:C$746,A277,'Base bordo'!B$2:B$746,B277,'Base bordo'!F$2:F$746,"MANUTENCAO - T O"),0)+IFERROR(SUMIFS('Base bordo'!G$2:G$746,'Base bordo'!C$2:C$746,A277,'Base bordo'!B$2:B$746,B277,'Base bordo'!F$2:F$746,"MANUTENCAO BORRACHARIA"),0)+IFERROR(SUMIFS('Base bordo'!G$2:G$746,'Base bordo'!C$2:C$746,A277,'Base bordo'!B$2:B$746,B277,'Base bordo'!F$2:F$746,"MANUTENCAO EXTERNA  CONCESSIONARIA"),0)+IFERROR(SUMIFS('Base bordo'!G$2:G$746,'Base bordo'!C$2:C$746,A277,'Base bordo'!B$2:B$746,B277,'Base bordo'!F$2:F$746,"MANUTENCAO TELEMETRIA"),0)</f>
        <v>1.6502777777777777</v>
      </c>
      <c r="M277" s="10">
        <f>IFERROR(SUMIFS('Base bordo'!G$2:G$746,'Base bordo'!C$2:C$746,A277,'Base bordo'!B$2:B$746,B277,'Base bordo'!F$2:F$746,"AGUARDANDO MANUTENCAO"),0)</f>
        <v>3.7263888888888888</v>
      </c>
      <c r="N277" s="10">
        <f>IFERROR(SUMIFS('Base bordo'!G$2:G$746,'Base bordo'!C$2:C$746,A277,'Base bordo'!B$2:B$746,B277,'Base bordo'!F$2:F$746,"SEM APONTAMENTO"),0)</f>
        <v>0</v>
      </c>
      <c r="O277" s="10">
        <f t="shared" si="36"/>
        <v>1.3066666666666684</v>
      </c>
      <c r="P277" s="10">
        <f>IFERROR(SUMIFS('Base bordo'!G$2:G$746,'Base bordo'!C$2:C$746,A277,'Base bordo'!B$2:B$746,B277),0)</f>
        <v>24</v>
      </c>
      <c r="Q277" s="10">
        <f>IFERROR(SUMIFS('Base bordo'!H$2:H$746,'Base bordo'!C$2:C$746,A277,'Base bordo'!B$2:B$746,B277,'Base bordo'!F$2:F$746,"DESLOCAMENTO VAZIO"),0)</f>
        <v>362928.54000000004</v>
      </c>
      <c r="R277" s="10">
        <f>IFERROR(SUMIFS('Base bordo'!I$2:I$746,'Base bordo'!C$2:C$746,A277,'Base bordo'!B$2:B$746,B277,'Base bordo'!F$2:F$746,"DESLOCAMENTO VAZIO"),0)</f>
        <v>10698</v>
      </c>
      <c r="S277" s="30">
        <f t="shared" si="37"/>
        <v>33.924896242288284</v>
      </c>
      <c r="T277" s="10">
        <f>IFERROR(SUMIFS('Base bordo'!H$2:H$746,'Base bordo'!C$2:C$746,A277,'Base bordo'!B$2:B$746,B277,'Base bordo'!F$2:F$746,"DESLOCAMENTO CARREGADO"),0)</f>
        <v>342744.39</v>
      </c>
      <c r="U277" s="10">
        <f>IFERROR(SUMIFS('Base bordo'!I$2:I$746,'Base bordo'!C$2:C$746,A277,'Base bordo'!B$2:B$746,B277,'Base bordo'!F$2:F$746,"DESLOCAMENTO CARREGADO"),0)</f>
        <v>13234</v>
      </c>
      <c r="V277" s="30">
        <f t="shared" si="38"/>
        <v>25.89877512467886</v>
      </c>
      <c r="W277" s="9">
        <f t="shared" si="39"/>
        <v>0.12381944444444444</v>
      </c>
      <c r="X277" s="9">
        <f t="shared" si="40"/>
        <v>0.15331018518518519</v>
      </c>
      <c r="Y277" s="9">
        <f t="shared" si="41"/>
        <v>0.72287037037037027</v>
      </c>
    </row>
    <row r="278" spans="1:25" ht="15" customHeight="1" x14ac:dyDescent="0.35">
      <c r="A278" s="52">
        <v>8013481</v>
      </c>
      <c r="B278" s="51">
        <v>46119</v>
      </c>
      <c r="C278" s="7" t="s">
        <v>124</v>
      </c>
      <c r="D278" s="10">
        <f>IFERROR(SUMIFS('Base bordo'!G$2:G$746,'Base bordo'!C$2:C$746,A278,'Base bordo'!B$2:B$746,B278,'Base bordo'!F$2:F$746,"DESLOCAMENTO VAZIO"),0)</f>
        <v>1.5449999999999999</v>
      </c>
      <c r="E278" s="10">
        <f>IFERROR(SUMIFS('Base bordo'!G$2:G$746,'Base bordo'!C$2:C$746,A278,'Base bordo'!B$2:B$746,B278,'Base bordo'!F$2:F$746,"DESLOCAMENTO CARREGADO"),0)</f>
        <v>0</v>
      </c>
      <c r="F278" s="10">
        <f>IFERROR(SUMIFS('Base bordo'!G$2:G$746,'Base bordo'!C$2:C$746,A278,'Base bordo'!B$2:B$746,B278,'Base bordo'!F$2:F$746,"DESLOCAMENTO"),0)</f>
        <v>0</v>
      </c>
      <c r="G278" s="10">
        <f>IFERROR(SUMIFS('Base bordo'!G$2:G$746,'Base bordo'!C$2:C$746,A278,'Base bordo'!B$2:B$746,B278,'Base bordo'!F$2:F$746,"CARREGAMENTO"),0)</f>
        <v>0</v>
      </c>
      <c r="H278" s="10">
        <f>IFERROR(SUMIFS('Base bordo'!G$2:G$746,'Base bordo'!C$2:C$746,A278,'Base bordo'!B$2:B$746,B278,'Base bordo'!F$2:F$746,"AGUARDANDO TRANSBORDO"),0)</f>
        <v>0.85944444444444446</v>
      </c>
      <c r="I278" s="10">
        <f>IFERROR(SUMIFS('Base bordo'!G$2:G$746,'Base bordo'!C$2:C$746,A278,'Base bordo'!B$2:B$746,B278,'Base bordo'!F$2:F$746,"PÁTIO INTERNO"),0)+IFERROR(SUMIFS('Base bordo'!G$2:G$746,'Base bordo'!C$2:C$746,A278,'Base bordo'!B$2:B$746,B278,'Base bordo'!F$2:F$746,"PÁTIO EXTERNO"),0)+IFERROR(SUMIFS('Base bordo'!G$2:G$746,'Base bordo'!C$2:C$746,A278,'Base bordo'!B$2:B$746,B278,'Base bordo'!F$2:F$746,"PATIO - RESERVA"),0)+IFERROR(SUMIFS('Base bordo'!G$2:G$746,'Base bordo'!C$2:C$746,A278,'Base bordo'!B$2:B$746,B278,'Base bordo'!F$2:F$746,"MANOBRA CARRETAS-PATIO"),0)</f>
        <v>19.031666666666666</v>
      </c>
      <c r="J278" s="10">
        <f>IFERROR(SUMIFS('Base bordo'!G$2:G$746,'Base bordo'!C$2:C$746,A278,'Base bordo'!B$2:B$746,B278,'Base bordo'!F$2:F$746,"BALANÇA - ENTRADA"),0)+IFERROR(SUMIFS('Base bordo'!G$2:G$746,'Base bordo'!C$2:C$746,A278,'Base bordo'!B$2:B$746,B278,'Base bordo'!F$2:F$746,"BALANÇA - SAÍDA"),0)</f>
        <v>3.4722222222222224E-2</v>
      </c>
      <c r="K278" s="10">
        <f>IFERROR(SUMIFS('Base bordo'!G$2:G$746,'Base bordo'!C$2:C$746,A278,'Base bordo'!B$2:B$746,B278,'Base bordo'!F$2:F$746,"MAN PREVENTIVA - MECANICA"),0)+IFERROR(SUMIFS('Base bordo'!G$2:G$746,'Base bordo'!C$2:C$746,A278,'Base bordo'!B$2:B$746,B278,'Base bordo'!F$2:F$746,"MAN CORRETIVA - MECANICA"),0)</f>
        <v>0</v>
      </c>
      <c r="L278" s="10">
        <f>IFERROR(SUMIFS('Base bordo'!G$2:G$746,'Base bordo'!C$2:C$746,A278,'Base bordo'!B$2:B$746,B278,'Base bordo'!F$2:F$746,"MANUTENCAO - T O"),0)+IFERROR(SUMIFS('Base bordo'!G$2:G$746,'Base bordo'!C$2:C$746,A278,'Base bordo'!B$2:B$746,B278,'Base bordo'!F$2:F$746,"MANUTENCAO BORRACHARIA"),0)+IFERROR(SUMIFS('Base bordo'!G$2:G$746,'Base bordo'!C$2:C$746,A278,'Base bordo'!B$2:B$746,B278,'Base bordo'!F$2:F$746,"MANUTENCAO EXTERNA  CONCESSIONARIA"),0)+IFERROR(SUMIFS('Base bordo'!G$2:G$746,'Base bordo'!C$2:C$746,A278,'Base bordo'!B$2:B$746,B278,'Base bordo'!F$2:F$746,"MANUTENCAO TELEMETRIA"),0)</f>
        <v>0</v>
      </c>
      <c r="M278" s="10">
        <f>IFERROR(SUMIFS('Base bordo'!G$2:G$746,'Base bordo'!C$2:C$746,A278,'Base bordo'!B$2:B$746,B278,'Base bordo'!F$2:F$746,"AGUARDANDO MANUTENCAO"),0)</f>
        <v>0</v>
      </c>
      <c r="N278" s="10">
        <f>IFERROR(SUMIFS('Base bordo'!G$2:G$746,'Base bordo'!C$2:C$746,A278,'Base bordo'!B$2:B$746,B278,'Base bordo'!F$2:F$746,"SEM APONTAMENTO"),0)</f>
        <v>0</v>
      </c>
      <c r="O278" s="10">
        <f t="shared" si="36"/>
        <v>0</v>
      </c>
      <c r="P278" s="10">
        <f>IFERROR(SUMIFS('Base bordo'!G$2:G$746,'Base bordo'!C$2:C$746,A278,'Base bordo'!B$2:B$746,B278),0)</f>
        <v>21.470833333333331</v>
      </c>
      <c r="Q278" s="10">
        <f>IFERROR(SUMIFS('Base bordo'!H$2:H$746,'Base bordo'!C$2:C$746,A278,'Base bordo'!B$2:B$746,B278,'Base bordo'!F$2:F$746,"DESLOCAMENTO VAZIO"),0)</f>
        <v>180874.72000000003</v>
      </c>
      <c r="R278" s="10">
        <f>IFERROR(SUMIFS('Base bordo'!I$2:I$746,'Base bordo'!C$2:C$746,A278,'Base bordo'!B$2:B$746,B278,'Base bordo'!F$2:F$746,"DESLOCAMENTO VAZIO"),0)</f>
        <v>5562</v>
      </c>
      <c r="S278" s="30">
        <f t="shared" si="37"/>
        <v>32.519726717008275</v>
      </c>
      <c r="T278" s="10">
        <f>IFERROR(SUMIFS('Base bordo'!H$2:H$746,'Base bordo'!C$2:C$746,A278,'Base bordo'!B$2:B$746,B278,'Base bordo'!F$2:F$746,"DESLOCAMENTO CARREGADO"),0)</f>
        <v>0</v>
      </c>
      <c r="U278" s="10">
        <f>IFERROR(SUMIFS('Base bordo'!I$2:I$746,'Base bordo'!C$2:C$746,A278,'Base bordo'!B$2:B$746,B278,'Base bordo'!F$2:F$746,"DESLOCAMENTO CARREGADO"),0)</f>
        <v>0</v>
      </c>
      <c r="V278" s="30" t="str">
        <f t="shared" si="38"/>
        <v/>
      </c>
      <c r="W278" s="9">
        <f t="shared" si="39"/>
        <v>7.195808267028915E-2</v>
      </c>
      <c r="X278" s="9">
        <f t="shared" si="40"/>
        <v>0</v>
      </c>
      <c r="Y278" s="9">
        <f t="shared" si="41"/>
        <v>0.92804191732971086</v>
      </c>
    </row>
    <row r="279" spans="1:25" ht="15" customHeight="1" x14ac:dyDescent="0.35">
      <c r="A279" s="52">
        <v>8013474</v>
      </c>
      <c r="B279" s="51">
        <v>46119</v>
      </c>
      <c r="C279" s="7" t="s">
        <v>124</v>
      </c>
      <c r="D279" s="10">
        <f>IFERROR(SUMIFS('Base bordo'!G$2:G$746,'Base bordo'!C$2:C$746,A279,'Base bordo'!B$2:B$746,B279,'Base bordo'!F$2:F$746,"DESLOCAMENTO VAZIO"),0)</f>
        <v>1.3672222222222221</v>
      </c>
      <c r="E279" s="10">
        <f>IFERROR(SUMIFS('Base bordo'!G$2:G$746,'Base bordo'!C$2:C$746,A279,'Base bordo'!B$2:B$746,B279,'Base bordo'!F$2:F$746,"DESLOCAMENTO CARREGADO"),0)</f>
        <v>2.1927777777777777</v>
      </c>
      <c r="F279" s="10">
        <f>IFERROR(SUMIFS('Base bordo'!G$2:G$746,'Base bordo'!C$2:C$746,A279,'Base bordo'!B$2:B$746,B279,'Base bordo'!F$2:F$746,"DESLOCAMENTO"),0)</f>
        <v>0</v>
      </c>
      <c r="G279" s="10">
        <f>IFERROR(SUMIFS('Base bordo'!G$2:G$746,'Base bordo'!C$2:C$746,A279,'Base bordo'!B$2:B$746,B279,'Base bordo'!F$2:F$746,"CARREGAMENTO"),0)</f>
        <v>0</v>
      </c>
      <c r="H279" s="10">
        <f>IFERROR(SUMIFS('Base bordo'!G$2:G$746,'Base bordo'!C$2:C$746,A279,'Base bordo'!B$2:B$746,B279,'Base bordo'!F$2:F$746,"AGUARDANDO TRANSBORDO"),0)</f>
        <v>0.30111111111111111</v>
      </c>
      <c r="I279" s="10">
        <f>IFERROR(SUMIFS('Base bordo'!G$2:G$746,'Base bordo'!C$2:C$746,A279,'Base bordo'!B$2:B$746,B279,'Base bordo'!F$2:F$746,"PÁTIO INTERNO"),0)+IFERROR(SUMIFS('Base bordo'!G$2:G$746,'Base bordo'!C$2:C$746,A279,'Base bordo'!B$2:B$746,B279,'Base bordo'!F$2:F$746,"PÁTIO EXTERNO"),0)+IFERROR(SUMIFS('Base bordo'!G$2:G$746,'Base bordo'!C$2:C$746,A279,'Base bordo'!B$2:B$746,B279,'Base bordo'!F$2:F$746,"PATIO - RESERVA"),0)+IFERROR(SUMIFS('Base bordo'!G$2:G$746,'Base bordo'!C$2:C$746,A279,'Base bordo'!B$2:B$746,B279,'Base bordo'!F$2:F$746,"MANOBRA CARRETAS-PATIO"),0)</f>
        <v>19.229166666666668</v>
      </c>
      <c r="J279" s="10">
        <f>IFERROR(SUMIFS('Base bordo'!G$2:G$746,'Base bordo'!C$2:C$746,A279,'Base bordo'!B$2:B$746,B279,'Base bordo'!F$2:F$746,"BALANÇA - ENTRADA"),0)+IFERROR(SUMIFS('Base bordo'!G$2:G$746,'Base bordo'!C$2:C$746,A279,'Base bordo'!B$2:B$746,B279,'Base bordo'!F$2:F$746,"BALANÇA - SAÍDA"),0)</f>
        <v>2.8611111111111108E-2</v>
      </c>
      <c r="K279" s="10">
        <f>IFERROR(SUMIFS('Base bordo'!G$2:G$746,'Base bordo'!C$2:C$746,A279,'Base bordo'!B$2:B$746,B279,'Base bordo'!F$2:F$746,"MAN PREVENTIVA - MECANICA"),0)+IFERROR(SUMIFS('Base bordo'!G$2:G$746,'Base bordo'!C$2:C$746,A279,'Base bordo'!B$2:B$746,B279,'Base bordo'!F$2:F$746,"MAN CORRETIVA - MECANICA"),0)</f>
        <v>0</v>
      </c>
      <c r="L279" s="10">
        <f>IFERROR(SUMIFS('Base bordo'!G$2:G$746,'Base bordo'!C$2:C$746,A279,'Base bordo'!B$2:B$746,B279,'Base bordo'!F$2:F$746,"MANUTENCAO - T O"),0)+IFERROR(SUMIFS('Base bordo'!G$2:G$746,'Base bordo'!C$2:C$746,A279,'Base bordo'!B$2:B$746,B279,'Base bordo'!F$2:F$746,"MANUTENCAO BORRACHARIA"),0)+IFERROR(SUMIFS('Base bordo'!G$2:G$746,'Base bordo'!C$2:C$746,A279,'Base bordo'!B$2:B$746,B279,'Base bordo'!F$2:F$746,"MANUTENCAO EXTERNA  CONCESSIONARIA"),0)+IFERROR(SUMIFS('Base bordo'!G$2:G$746,'Base bordo'!C$2:C$746,A279,'Base bordo'!B$2:B$746,B279,'Base bordo'!F$2:F$746,"MANUTENCAO TELEMETRIA"),0)</f>
        <v>0</v>
      </c>
      <c r="M279" s="10">
        <f>IFERROR(SUMIFS('Base bordo'!G$2:G$746,'Base bordo'!C$2:C$746,A279,'Base bordo'!B$2:B$746,B279,'Base bordo'!F$2:F$746,"AGUARDANDO MANUTENCAO"),0)</f>
        <v>0</v>
      </c>
      <c r="N279" s="10">
        <f>IFERROR(SUMIFS('Base bordo'!G$2:G$746,'Base bordo'!C$2:C$746,A279,'Base bordo'!B$2:B$746,B279,'Base bordo'!F$2:F$746,"SEM APONTAMENTO"),0)</f>
        <v>0</v>
      </c>
      <c r="O279" s="10">
        <f t="shared" si="36"/>
        <v>0</v>
      </c>
      <c r="P279" s="10">
        <f>IFERROR(SUMIFS('Base bordo'!G$2:G$746,'Base bordo'!C$2:C$746,A279,'Base bordo'!B$2:B$746,B279),0)</f>
        <v>23.11888888888889</v>
      </c>
      <c r="Q279" s="10">
        <f>IFERROR(SUMIFS('Base bordo'!H$2:H$746,'Base bordo'!C$2:C$746,A279,'Base bordo'!B$2:B$746,B279,'Base bordo'!F$2:F$746,"DESLOCAMENTO VAZIO"),0)</f>
        <v>176172.38</v>
      </c>
      <c r="R279" s="10">
        <f>IFERROR(SUMIFS('Base bordo'!I$2:I$746,'Base bordo'!C$2:C$746,A279,'Base bordo'!B$2:B$746,B279,'Base bordo'!F$2:F$746,"DESLOCAMENTO VAZIO"),0)</f>
        <v>4922</v>
      </c>
      <c r="S279" s="30">
        <f t="shared" si="37"/>
        <v>35.792844372206424</v>
      </c>
      <c r="T279" s="10">
        <f>IFERROR(SUMIFS('Base bordo'!H$2:H$746,'Base bordo'!C$2:C$746,A279,'Base bordo'!B$2:B$746,B279,'Base bordo'!F$2:F$746,"DESLOCAMENTO CARREGADO"),0)</f>
        <v>181456.72999999998</v>
      </c>
      <c r="U279" s="10">
        <f>IFERROR(SUMIFS('Base bordo'!I$2:I$746,'Base bordo'!C$2:C$746,A279,'Base bordo'!B$2:B$746,B279,'Base bordo'!F$2:F$746,"DESLOCAMENTO CARREGADO"),0)</f>
        <v>7894</v>
      </c>
      <c r="V279" s="30">
        <f t="shared" si="38"/>
        <v>22.986664555358498</v>
      </c>
      <c r="W279" s="9">
        <f t="shared" si="39"/>
        <v>5.913875138174652E-2</v>
      </c>
      <c r="X279" s="9">
        <f t="shared" si="40"/>
        <v>9.4847887730090827E-2</v>
      </c>
      <c r="Y279" s="9">
        <f t="shared" si="41"/>
        <v>0.84601336088816259</v>
      </c>
    </row>
    <row r="280" spans="1:25" ht="15" customHeight="1" x14ac:dyDescent="0.35">
      <c r="A280" s="52">
        <v>8013484</v>
      </c>
      <c r="B280" s="51">
        <v>46120</v>
      </c>
      <c r="C280" s="7" t="s">
        <v>124</v>
      </c>
      <c r="D280" s="10">
        <f>IFERROR(SUMIFS('Base bordo'!G$2:G$746,'Base bordo'!C$2:C$746,A280,'Base bordo'!B$2:B$746,B280,'Base bordo'!F$2:F$746,"DESLOCAMENTO VAZIO"),0)</f>
        <v>2.2777777777777779E-2</v>
      </c>
      <c r="E280" s="10">
        <f>IFERROR(SUMIFS('Base bordo'!G$2:G$746,'Base bordo'!C$2:C$746,A280,'Base bordo'!B$2:B$746,B280,'Base bordo'!F$2:F$746,"DESLOCAMENTO CARREGADO"),0)</f>
        <v>0.14916666666666667</v>
      </c>
      <c r="F280" s="10">
        <f>IFERROR(SUMIFS('Base bordo'!G$2:G$746,'Base bordo'!C$2:C$746,A280,'Base bordo'!B$2:B$746,B280,'Base bordo'!F$2:F$746,"DESLOCAMENTO"),0)</f>
        <v>0</v>
      </c>
      <c r="G280" s="10">
        <f>IFERROR(SUMIFS('Base bordo'!G$2:G$746,'Base bordo'!C$2:C$746,A280,'Base bordo'!B$2:B$746,B280,'Base bordo'!F$2:F$746,"CARREGAMENTO"),0)</f>
        <v>0</v>
      </c>
      <c r="H280" s="10">
        <f>IFERROR(SUMIFS('Base bordo'!G$2:G$746,'Base bordo'!C$2:C$746,A280,'Base bordo'!B$2:B$746,B280,'Base bordo'!F$2:F$746,"AGUARDANDO TRANSBORDO"),0)</f>
        <v>0.80249999999999999</v>
      </c>
      <c r="I280" s="10">
        <f>IFERROR(SUMIFS('Base bordo'!G$2:G$746,'Base bordo'!C$2:C$746,A280,'Base bordo'!B$2:B$746,B280,'Base bordo'!F$2:F$746,"PÁTIO INTERNO"),0)+IFERROR(SUMIFS('Base bordo'!G$2:G$746,'Base bordo'!C$2:C$746,A280,'Base bordo'!B$2:B$746,B280,'Base bordo'!F$2:F$746,"PÁTIO EXTERNO"),0)+IFERROR(SUMIFS('Base bordo'!G$2:G$746,'Base bordo'!C$2:C$746,A280,'Base bordo'!B$2:B$746,B280,'Base bordo'!F$2:F$746,"PATIO - RESERVA"),0)+IFERROR(SUMIFS('Base bordo'!G$2:G$746,'Base bordo'!C$2:C$746,A280,'Base bordo'!B$2:B$746,B280,'Base bordo'!F$2:F$746,"MANOBRA CARRETAS-PATIO"),0)</f>
        <v>0</v>
      </c>
      <c r="J280" s="10">
        <f>IFERROR(SUMIFS('Base bordo'!G$2:G$746,'Base bordo'!C$2:C$746,A280,'Base bordo'!B$2:B$746,B280,'Base bordo'!F$2:F$746,"BALANÇA - ENTRADA"),0)+IFERROR(SUMIFS('Base bordo'!G$2:G$746,'Base bordo'!C$2:C$746,A280,'Base bordo'!B$2:B$746,B280,'Base bordo'!F$2:F$746,"BALANÇA - SAÍDA"),0)</f>
        <v>0</v>
      </c>
      <c r="K280" s="10">
        <f>IFERROR(SUMIFS('Base bordo'!G$2:G$746,'Base bordo'!C$2:C$746,A280,'Base bordo'!B$2:B$746,B280,'Base bordo'!F$2:F$746,"MAN PREVENTIVA - MECANICA"),0)+IFERROR(SUMIFS('Base bordo'!G$2:G$746,'Base bordo'!C$2:C$746,A280,'Base bordo'!B$2:B$746,B280,'Base bordo'!F$2:F$746,"MAN CORRETIVA - MECANICA"),0)</f>
        <v>0</v>
      </c>
      <c r="L280" s="10">
        <f>IFERROR(SUMIFS('Base bordo'!G$2:G$746,'Base bordo'!C$2:C$746,A280,'Base bordo'!B$2:B$746,B280,'Base bordo'!F$2:F$746,"MANUTENCAO - T O"),0)+IFERROR(SUMIFS('Base bordo'!G$2:G$746,'Base bordo'!C$2:C$746,A280,'Base bordo'!B$2:B$746,B280,'Base bordo'!F$2:F$746,"MANUTENCAO BORRACHARIA"),0)+IFERROR(SUMIFS('Base bordo'!G$2:G$746,'Base bordo'!C$2:C$746,A280,'Base bordo'!B$2:B$746,B280,'Base bordo'!F$2:F$746,"MANUTENCAO EXTERNA  CONCESSIONARIA"),0)+IFERROR(SUMIFS('Base bordo'!G$2:G$746,'Base bordo'!C$2:C$746,A280,'Base bordo'!B$2:B$746,B280,'Base bordo'!F$2:F$746,"MANUTENCAO TELEMETRIA"),0)</f>
        <v>0</v>
      </c>
      <c r="M280" s="10">
        <f>IFERROR(SUMIFS('Base bordo'!G$2:G$746,'Base bordo'!C$2:C$746,A280,'Base bordo'!B$2:B$746,B280,'Base bordo'!F$2:F$746,"AGUARDANDO MANUTENCAO"),0)</f>
        <v>0</v>
      </c>
      <c r="N280" s="10">
        <f>IFERROR(SUMIFS('Base bordo'!G$2:G$746,'Base bordo'!C$2:C$746,A280,'Base bordo'!B$2:B$746,B280,'Base bordo'!F$2:F$746,"SEM APONTAMENTO"),0)</f>
        <v>0</v>
      </c>
      <c r="O280" s="10">
        <f t="shared" si="36"/>
        <v>0</v>
      </c>
      <c r="P280" s="10">
        <f>IFERROR(SUMIFS('Base bordo'!G$2:G$746,'Base bordo'!C$2:C$746,A280,'Base bordo'!B$2:B$746,B280),0)</f>
        <v>0.97444444444444445</v>
      </c>
      <c r="Q280" s="10">
        <f>IFERROR(SUMIFS('Base bordo'!H$2:H$746,'Base bordo'!C$2:C$746,A280,'Base bordo'!B$2:B$746,B280,'Base bordo'!F$2:F$746,"DESLOCAMENTO VAZIO"),0)</f>
        <v>1785.96</v>
      </c>
      <c r="R280" s="10">
        <f>IFERROR(SUMIFS('Base bordo'!I$2:I$746,'Base bordo'!C$2:C$746,A280,'Base bordo'!B$2:B$746,B280,'Base bordo'!F$2:F$746,"DESLOCAMENTO VAZIO"),0)</f>
        <v>82</v>
      </c>
      <c r="S280" s="30">
        <f t="shared" si="37"/>
        <v>21.78</v>
      </c>
      <c r="T280" s="10">
        <f>IFERROR(SUMIFS('Base bordo'!H$2:H$746,'Base bordo'!C$2:C$746,A280,'Base bordo'!B$2:B$746,B280,'Base bordo'!F$2:F$746,"DESLOCAMENTO CARREGADO"),0)</f>
        <v>5157.47</v>
      </c>
      <c r="U280" s="10">
        <f>IFERROR(SUMIFS('Base bordo'!I$2:I$746,'Base bordo'!C$2:C$746,A280,'Base bordo'!B$2:B$746,B280,'Base bordo'!F$2:F$746,"DESLOCAMENTO CARREGADO"),0)</f>
        <v>537</v>
      </c>
      <c r="V280" s="30">
        <f t="shared" si="38"/>
        <v>9.6042271880819374</v>
      </c>
      <c r="W280" s="9">
        <f t="shared" si="39"/>
        <v>2.3375142531356901E-2</v>
      </c>
      <c r="X280" s="9">
        <f t="shared" si="40"/>
        <v>0.15307867730900798</v>
      </c>
      <c r="Y280" s="9">
        <f t="shared" si="41"/>
        <v>0.8235461801596351</v>
      </c>
    </row>
    <row r="281" spans="1:25" ht="15" customHeight="1" x14ac:dyDescent="0.35">
      <c r="A281" s="52">
        <v>8013462</v>
      </c>
      <c r="B281" s="51">
        <v>46120</v>
      </c>
      <c r="C281" s="7" t="s">
        <v>124</v>
      </c>
      <c r="D281" s="10">
        <f>IFERROR(SUMIFS('Base bordo'!G$2:G$746,'Base bordo'!C$2:C$746,A281,'Base bordo'!B$2:B$746,B281,'Base bordo'!F$2:F$746,"DESLOCAMENTO VAZIO"),0)</f>
        <v>0.12333333333333334</v>
      </c>
      <c r="E281" s="10">
        <f>IFERROR(SUMIFS('Base bordo'!G$2:G$746,'Base bordo'!C$2:C$746,A281,'Base bordo'!B$2:B$746,B281,'Base bordo'!F$2:F$746,"DESLOCAMENTO CARREGADO"),0)</f>
        <v>0</v>
      </c>
      <c r="F281" s="10">
        <f>IFERROR(SUMIFS('Base bordo'!G$2:G$746,'Base bordo'!C$2:C$746,A281,'Base bordo'!B$2:B$746,B281,'Base bordo'!F$2:F$746,"DESLOCAMENTO"),0)</f>
        <v>0</v>
      </c>
      <c r="G281" s="10">
        <f>IFERROR(SUMIFS('Base bordo'!G$2:G$746,'Base bordo'!C$2:C$746,A281,'Base bordo'!B$2:B$746,B281,'Base bordo'!F$2:F$746,"CARREGAMENTO"),0)</f>
        <v>0</v>
      </c>
      <c r="H281" s="10">
        <f>IFERROR(SUMIFS('Base bordo'!G$2:G$746,'Base bordo'!C$2:C$746,A281,'Base bordo'!B$2:B$746,B281,'Base bordo'!F$2:F$746,"AGUARDANDO TRANSBORDO"),0)</f>
        <v>0</v>
      </c>
      <c r="I281" s="10">
        <f>IFERROR(SUMIFS('Base bordo'!G$2:G$746,'Base bordo'!C$2:C$746,A281,'Base bordo'!B$2:B$746,B281,'Base bordo'!F$2:F$746,"PÁTIO INTERNO"),0)+IFERROR(SUMIFS('Base bordo'!G$2:G$746,'Base bordo'!C$2:C$746,A281,'Base bordo'!B$2:B$746,B281,'Base bordo'!F$2:F$746,"PÁTIO EXTERNO"),0)+IFERROR(SUMIFS('Base bordo'!G$2:G$746,'Base bordo'!C$2:C$746,A281,'Base bordo'!B$2:B$746,B281,'Base bordo'!F$2:F$746,"PATIO - RESERVA"),0)+IFERROR(SUMIFS('Base bordo'!G$2:G$746,'Base bordo'!C$2:C$746,A281,'Base bordo'!B$2:B$746,B281,'Base bordo'!F$2:F$746,"MANOBRA CARRETAS-PATIO"),0)</f>
        <v>0</v>
      </c>
      <c r="J281" s="10">
        <f>IFERROR(SUMIFS('Base bordo'!G$2:G$746,'Base bordo'!C$2:C$746,A281,'Base bordo'!B$2:B$746,B281,'Base bordo'!F$2:F$746,"BALANÇA - ENTRADA"),0)+IFERROR(SUMIFS('Base bordo'!G$2:G$746,'Base bordo'!C$2:C$746,A281,'Base bordo'!B$2:B$746,B281,'Base bordo'!F$2:F$746,"BALANÇA - SAÍDA"),0)</f>
        <v>0</v>
      </c>
      <c r="K281" s="10">
        <f>IFERROR(SUMIFS('Base bordo'!G$2:G$746,'Base bordo'!C$2:C$746,A281,'Base bordo'!B$2:B$746,B281,'Base bordo'!F$2:F$746,"MAN PREVENTIVA - MECANICA"),0)+IFERROR(SUMIFS('Base bordo'!G$2:G$746,'Base bordo'!C$2:C$746,A281,'Base bordo'!B$2:B$746,B281,'Base bordo'!F$2:F$746,"MAN CORRETIVA - MECANICA"),0)</f>
        <v>0</v>
      </c>
      <c r="L281" s="10">
        <f>IFERROR(SUMIFS('Base bordo'!G$2:G$746,'Base bordo'!C$2:C$746,A281,'Base bordo'!B$2:B$746,B281,'Base bordo'!F$2:F$746,"MANUTENCAO - T O"),0)+IFERROR(SUMIFS('Base bordo'!G$2:G$746,'Base bordo'!C$2:C$746,A281,'Base bordo'!B$2:B$746,B281,'Base bordo'!F$2:F$746,"MANUTENCAO BORRACHARIA"),0)+IFERROR(SUMIFS('Base bordo'!G$2:G$746,'Base bordo'!C$2:C$746,A281,'Base bordo'!B$2:B$746,B281,'Base bordo'!F$2:F$746,"MANUTENCAO EXTERNA  CONCESSIONARIA"),0)+IFERROR(SUMIFS('Base bordo'!G$2:G$746,'Base bordo'!C$2:C$746,A281,'Base bordo'!B$2:B$746,B281,'Base bordo'!F$2:F$746,"MANUTENCAO TELEMETRIA"),0)</f>
        <v>0</v>
      </c>
      <c r="M281" s="10">
        <f>IFERROR(SUMIFS('Base bordo'!G$2:G$746,'Base bordo'!C$2:C$746,A281,'Base bordo'!B$2:B$746,B281,'Base bordo'!F$2:F$746,"AGUARDANDO MANUTENCAO"),0)</f>
        <v>0</v>
      </c>
      <c r="N281" s="10">
        <f>IFERROR(SUMIFS('Base bordo'!G$2:G$746,'Base bordo'!C$2:C$746,A281,'Base bordo'!B$2:B$746,B281,'Base bordo'!F$2:F$746,"SEM APONTAMENTO"),0)</f>
        <v>0</v>
      </c>
      <c r="O281" s="10">
        <f t="shared" si="36"/>
        <v>0</v>
      </c>
      <c r="P281" s="10">
        <f>IFERROR(SUMIFS('Base bordo'!G$2:G$746,'Base bordo'!C$2:C$746,A281,'Base bordo'!B$2:B$746,B281),0)</f>
        <v>0.12333333333333334</v>
      </c>
      <c r="Q281" s="10">
        <f>IFERROR(SUMIFS('Base bordo'!H$2:H$746,'Base bordo'!C$2:C$746,A281,'Base bordo'!B$2:B$746,B281,'Base bordo'!F$2:F$746,"DESLOCAMENTO VAZIO"),0)</f>
        <v>5128.2000000000007</v>
      </c>
      <c r="R281" s="10">
        <f>IFERROR(SUMIFS('Base bordo'!I$2:I$746,'Base bordo'!C$2:C$746,A281,'Base bordo'!B$2:B$746,B281,'Base bordo'!F$2:F$746,"DESLOCAMENTO VAZIO"),0)</f>
        <v>444</v>
      </c>
      <c r="S281" s="30">
        <f t="shared" si="37"/>
        <v>11.550000000000002</v>
      </c>
      <c r="T281" s="10">
        <f>IFERROR(SUMIFS('Base bordo'!H$2:H$746,'Base bordo'!C$2:C$746,A281,'Base bordo'!B$2:B$746,B281,'Base bordo'!F$2:F$746,"DESLOCAMENTO CARREGADO"),0)</f>
        <v>0</v>
      </c>
      <c r="U281" s="10">
        <f>IFERROR(SUMIFS('Base bordo'!I$2:I$746,'Base bordo'!C$2:C$746,A281,'Base bordo'!B$2:B$746,B281,'Base bordo'!F$2:F$746,"DESLOCAMENTO CARREGADO"),0)</f>
        <v>0</v>
      </c>
      <c r="V281" s="30" t="str">
        <f t="shared" si="38"/>
        <v/>
      </c>
      <c r="W281" s="9">
        <f t="shared" si="39"/>
        <v>1</v>
      </c>
      <c r="X281" s="9">
        <f t="shared" si="40"/>
        <v>0</v>
      </c>
      <c r="Y281" s="9">
        <f t="shared" si="41"/>
        <v>0</v>
      </c>
    </row>
    <row r="282" spans="1:25" ht="15" customHeight="1" x14ac:dyDescent="0.35">
      <c r="A282" s="52">
        <v>8013485</v>
      </c>
      <c r="B282" s="51">
        <v>46119</v>
      </c>
      <c r="C282" s="7" t="s">
        <v>124</v>
      </c>
      <c r="D282" s="10">
        <f>IFERROR(SUMIFS('Base bordo'!G$2:G$746,'Base bordo'!C$2:C$746,A282,'Base bordo'!B$2:B$746,B282,'Base bordo'!F$2:F$746,"DESLOCAMENTO VAZIO"),0)</f>
        <v>2.2908333333333335</v>
      </c>
      <c r="E282" s="10">
        <f>IFERROR(SUMIFS('Base bordo'!G$2:G$746,'Base bordo'!C$2:C$746,A282,'Base bordo'!B$2:B$746,B282,'Base bordo'!F$2:F$746,"DESLOCAMENTO CARREGADO"),0)</f>
        <v>1.8202777777777779</v>
      </c>
      <c r="F282" s="10">
        <f>IFERROR(SUMIFS('Base bordo'!G$2:G$746,'Base bordo'!C$2:C$746,A282,'Base bordo'!B$2:B$746,B282,'Base bordo'!F$2:F$746,"DESLOCAMENTO"),0)</f>
        <v>0</v>
      </c>
      <c r="G282" s="10">
        <f>IFERROR(SUMIFS('Base bordo'!G$2:G$746,'Base bordo'!C$2:C$746,A282,'Base bordo'!B$2:B$746,B282,'Base bordo'!F$2:F$746,"CARREGAMENTO"),0)</f>
        <v>0</v>
      </c>
      <c r="H282" s="10">
        <f>IFERROR(SUMIFS('Base bordo'!G$2:G$746,'Base bordo'!C$2:C$746,A282,'Base bordo'!B$2:B$746,B282,'Base bordo'!F$2:F$746,"AGUARDANDO TRANSBORDO"),0)</f>
        <v>0</v>
      </c>
      <c r="I282" s="10">
        <f>IFERROR(SUMIFS('Base bordo'!G$2:G$746,'Base bordo'!C$2:C$746,A282,'Base bordo'!B$2:B$746,B282,'Base bordo'!F$2:F$746,"PÁTIO INTERNO"),0)+IFERROR(SUMIFS('Base bordo'!G$2:G$746,'Base bordo'!C$2:C$746,A282,'Base bordo'!B$2:B$746,B282,'Base bordo'!F$2:F$746,"PÁTIO EXTERNO"),0)+IFERROR(SUMIFS('Base bordo'!G$2:G$746,'Base bordo'!C$2:C$746,A282,'Base bordo'!B$2:B$746,B282,'Base bordo'!F$2:F$746,"PATIO - RESERVA"),0)+IFERROR(SUMIFS('Base bordo'!G$2:G$746,'Base bordo'!C$2:C$746,A282,'Base bordo'!B$2:B$746,B282,'Base bordo'!F$2:F$746,"MANOBRA CARRETAS-PATIO"),0)</f>
        <v>1.9913888888888889</v>
      </c>
      <c r="J282" s="10">
        <f>IFERROR(SUMIFS('Base bordo'!G$2:G$746,'Base bordo'!C$2:C$746,A282,'Base bordo'!B$2:B$746,B282,'Base bordo'!F$2:F$746,"BALANÇA - ENTRADA"),0)+IFERROR(SUMIFS('Base bordo'!G$2:G$746,'Base bordo'!C$2:C$746,A282,'Base bordo'!B$2:B$746,B282,'Base bordo'!F$2:F$746,"BALANÇA - SAÍDA"),0)</f>
        <v>0.02</v>
      </c>
      <c r="K282" s="10">
        <f>IFERROR(SUMIFS('Base bordo'!G$2:G$746,'Base bordo'!C$2:C$746,A282,'Base bordo'!B$2:B$746,B282,'Base bordo'!F$2:F$746,"MAN PREVENTIVA - MECANICA"),0)+IFERROR(SUMIFS('Base bordo'!G$2:G$746,'Base bordo'!C$2:C$746,A282,'Base bordo'!B$2:B$746,B282,'Base bordo'!F$2:F$746,"MAN CORRETIVA - MECANICA"),0)</f>
        <v>0</v>
      </c>
      <c r="L282" s="10">
        <f>IFERROR(SUMIFS('Base bordo'!G$2:G$746,'Base bordo'!C$2:C$746,A282,'Base bordo'!B$2:B$746,B282,'Base bordo'!F$2:F$746,"MANUTENCAO - T O"),0)+IFERROR(SUMIFS('Base bordo'!G$2:G$746,'Base bordo'!C$2:C$746,A282,'Base bordo'!B$2:B$746,B282,'Base bordo'!F$2:F$746,"MANUTENCAO BORRACHARIA"),0)+IFERROR(SUMIFS('Base bordo'!G$2:G$746,'Base bordo'!C$2:C$746,A282,'Base bordo'!B$2:B$746,B282,'Base bordo'!F$2:F$746,"MANUTENCAO EXTERNA  CONCESSIONARIA"),0)+IFERROR(SUMIFS('Base bordo'!G$2:G$746,'Base bordo'!C$2:C$746,A282,'Base bordo'!B$2:B$746,B282,'Base bordo'!F$2:F$746,"MANUTENCAO TELEMETRIA"),0)</f>
        <v>0</v>
      </c>
      <c r="M282" s="10">
        <f>IFERROR(SUMIFS('Base bordo'!G$2:G$746,'Base bordo'!C$2:C$746,A282,'Base bordo'!B$2:B$746,B282,'Base bordo'!F$2:F$746,"AGUARDANDO MANUTENCAO"),0)</f>
        <v>0</v>
      </c>
      <c r="N282" s="10">
        <f>IFERROR(SUMIFS('Base bordo'!G$2:G$746,'Base bordo'!C$2:C$746,A282,'Base bordo'!B$2:B$746,B282,'Base bordo'!F$2:F$746,"SEM APONTAMENTO"),0)</f>
        <v>0</v>
      </c>
      <c r="O282" s="10">
        <f t="shared" si="36"/>
        <v>2.4166666666666003E-2</v>
      </c>
      <c r="P282" s="10">
        <f>IFERROR(SUMIFS('Base bordo'!G$2:G$746,'Base bordo'!C$2:C$746,A282,'Base bordo'!B$2:B$746,B282),0)</f>
        <v>6.1466666666666665</v>
      </c>
      <c r="Q282" s="10">
        <f>IFERROR(SUMIFS('Base bordo'!H$2:H$746,'Base bordo'!C$2:C$746,A282,'Base bordo'!B$2:B$746,B282,'Base bordo'!F$2:F$746,"DESLOCAMENTO VAZIO"),0)</f>
        <v>213698.84</v>
      </c>
      <c r="R282" s="10">
        <f>IFERROR(SUMIFS('Base bordo'!I$2:I$746,'Base bordo'!C$2:C$746,A282,'Base bordo'!B$2:B$746,B282,'Base bordo'!F$2:F$746,"DESLOCAMENTO VAZIO"),0)</f>
        <v>8247</v>
      </c>
      <c r="S282" s="30">
        <f t="shared" si="37"/>
        <v>25.912312356008243</v>
      </c>
      <c r="T282" s="10">
        <f>IFERROR(SUMIFS('Base bordo'!H$2:H$746,'Base bordo'!C$2:C$746,A282,'Base bordo'!B$2:B$746,B282,'Base bordo'!F$2:F$746,"DESLOCAMENTO CARREGADO"),0)</f>
        <v>171355.69999999998</v>
      </c>
      <c r="U282" s="10">
        <f>IFERROR(SUMIFS('Base bordo'!I$2:I$746,'Base bordo'!C$2:C$746,A282,'Base bordo'!B$2:B$746,B282,'Base bordo'!F$2:F$746,"DESLOCAMENTO CARREGADO"),0)</f>
        <v>6497</v>
      </c>
      <c r="V282" s="30">
        <f t="shared" si="38"/>
        <v>26.374588271509925</v>
      </c>
      <c r="W282" s="9">
        <f t="shared" si="39"/>
        <v>0.37269522776572672</v>
      </c>
      <c r="X282" s="9">
        <f t="shared" si="40"/>
        <v>0.29614063629790316</v>
      </c>
      <c r="Y282" s="9">
        <f t="shared" si="41"/>
        <v>0.33116413593637006</v>
      </c>
    </row>
    <row r="283" spans="1:25" ht="15" customHeight="1" x14ac:dyDescent="0.35">
      <c r="A283" s="52">
        <v>8013461</v>
      </c>
      <c r="B283" s="51">
        <v>46124</v>
      </c>
      <c r="C283" s="7" t="s">
        <v>124</v>
      </c>
      <c r="D283" s="10">
        <f>IFERROR(SUMIFS('Base bordo'!G$2:G$746,'Base bordo'!C$2:C$746,A283,'Base bordo'!B$2:B$746,B283,'Base bordo'!F$2:F$746,"DESLOCAMENTO VAZIO"),0)</f>
        <v>2.7680555555555557</v>
      </c>
      <c r="E283" s="10">
        <f>IFERROR(SUMIFS('Base bordo'!G$2:G$746,'Base bordo'!C$2:C$746,A283,'Base bordo'!B$2:B$746,B283,'Base bordo'!F$2:F$746,"DESLOCAMENTO CARREGADO"),0)</f>
        <v>1.8997222222222223</v>
      </c>
      <c r="F283" s="10">
        <f>IFERROR(SUMIFS('Base bordo'!G$2:G$746,'Base bordo'!C$2:C$746,A283,'Base bordo'!B$2:B$746,B283,'Base bordo'!F$2:F$746,"DESLOCAMENTO"),0)</f>
        <v>0</v>
      </c>
      <c r="G283" s="10">
        <f>IFERROR(SUMIFS('Base bordo'!G$2:G$746,'Base bordo'!C$2:C$746,A283,'Base bordo'!B$2:B$746,B283,'Base bordo'!F$2:F$746,"CARREGAMENTO"),0)</f>
        <v>0</v>
      </c>
      <c r="H283" s="10">
        <f>IFERROR(SUMIFS('Base bordo'!G$2:G$746,'Base bordo'!C$2:C$746,A283,'Base bordo'!B$2:B$746,B283,'Base bordo'!F$2:F$746,"AGUARDANDO TRANSBORDO"),0)</f>
        <v>0.61305555555555558</v>
      </c>
      <c r="I283" s="10">
        <f>IFERROR(SUMIFS('Base bordo'!G$2:G$746,'Base bordo'!C$2:C$746,A283,'Base bordo'!B$2:B$746,B283,'Base bordo'!F$2:F$746,"PÁTIO INTERNO"),0)+IFERROR(SUMIFS('Base bordo'!G$2:G$746,'Base bordo'!C$2:C$746,A283,'Base bordo'!B$2:B$746,B283,'Base bordo'!F$2:F$746,"PÁTIO EXTERNO"),0)+IFERROR(SUMIFS('Base bordo'!G$2:G$746,'Base bordo'!C$2:C$746,A283,'Base bordo'!B$2:B$746,B283,'Base bordo'!F$2:F$746,"PATIO - RESERVA"),0)+IFERROR(SUMIFS('Base bordo'!G$2:G$746,'Base bordo'!C$2:C$746,A283,'Base bordo'!B$2:B$746,B283,'Base bordo'!F$2:F$746,"MANOBRA CARRETAS-PATIO"),0)</f>
        <v>4.3969444444444443</v>
      </c>
      <c r="J283" s="10">
        <f>IFERROR(SUMIFS('Base bordo'!G$2:G$746,'Base bordo'!C$2:C$746,A283,'Base bordo'!B$2:B$746,B283,'Base bordo'!F$2:F$746,"BALANÇA - ENTRADA"),0)+IFERROR(SUMIFS('Base bordo'!G$2:G$746,'Base bordo'!C$2:C$746,A283,'Base bordo'!B$2:B$746,B283,'Base bordo'!F$2:F$746,"BALANÇA - SAÍDA"),0)</f>
        <v>0.3175</v>
      </c>
      <c r="K283" s="10">
        <f>IFERROR(SUMIFS('Base bordo'!G$2:G$746,'Base bordo'!C$2:C$746,A283,'Base bordo'!B$2:B$746,B283,'Base bordo'!F$2:F$746,"MAN PREVENTIVA - MECANICA"),0)+IFERROR(SUMIFS('Base bordo'!G$2:G$746,'Base bordo'!C$2:C$746,A283,'Base bordo'!B$2:B$746,B283,'Base bordo'!F$2:F$746,"MAN CORRETIVA - MECANICA"),0)</f>
        <v>0</v>
      </c>
      <c r="L283" s="10">
        <f>IFERROR(SUMIFS('Base bordo'!G$2:G$746,'Base bordo'!C$2:C$746,A283,'Base bordo'!B$2:B$746,B283,'Base bordo'!F$2:F$746,"MANUTENCAO - T O"),0)+IFERROR(SUMIFS('Base bordo'!G$2:G$746,'Base bordo'!C$2:C$746,A283,'Base bordo'!B$2:B$746,B283,'Base bordo'!F$2:F$746,"MANUTENCAO BORRACHARIA"),0)+IFERROR(SUMIFS('Base bordo'!G$2:G$746,'Base bordo'!C$2:C$746,A283,'Base bordo'!B$2:B$746,B283,'Base bordo'!F$2:F$746,"MANUTENCAO EXTERNA  CONCESSIONARIA"),0)+IFERROR(SUMIFS('Base bordo'!G$2:G$746,'Base bordo'!C$2:C$746,A283,'Base bordo'!B$2:B$746,B283,'Base bordo'!F$2:F$746,"MANUTENCAO TELEMETRIA"),0)</f>
        <v>0</v>
      </c>
      <c r="M283" s="10">
        <f>IFERROR(SUMIFS('Base bordo'!G$2:G$746,'Base bordo'!C$2:C$746,A283,'Base bordo'!B$2:B$746,B283,'Base bordo'!F$2:F$746,"AGUARDANDO MANUTENCAO"),0)</f>
        <v>0</v>
      </c>
      <c r="N283" s="10">
        <f>IFERROR(SUMIFS('Base bordo'!G$2:G$746,'Base bordo'!C$2:C$746,A283,'Base bordo'!B$2:B$746,B283,'Base bordo'!F$2:F$746,"SEM APONTAMENTO"),0)</f>
        <v>0</v>
      </c>
      <c r="O283" s="10">
        <f t="shared" si="36"/>
        <v>1.7763568394002505E-15</v>
      </c>
      <c r="P283" s="10">
        <f>IFERROR(SUMIFS('Base bordo'!G$2:G$746,'Base bordo'!C$2:C$746,A283,'Base bordo'!B$2:B$746,B283),0)</f>
        <v>9.9952777777777797</v>
      </c>
      <c r="Q283" s="10">
        <f>IFERROR(SUMIFS('Base bordo'!H$2:H$746,'Base bordo'!C$2:C$746,A283,'Base bordo'!B$2:B$746,B283,'Base bordo'!F$2:F$746,"DESLOCAMENTO VAZIO"),0)</f>
        <v>281004.56</v>
      </c>
      <c r="R283" s="10">
        <f>IFERROR(SUMIFS('Base bordo'!I$2:I$746,'Base bordo'!C$2:C$746,A283,'Base bordo'!B$2:B$746,B283,'Base bordo'!F$2:F$746,"DESLOCAMENTO VAZIO"),0)</f>
        <v>9965</v>
      </c>
      <c r="S283" s="30">
        <f t="shared" si="37"/>
        <v>28.199153035624686</v>
      </c>
      <c r="T283" s="10">
        <f>IFERROR(SUMIFS('Base bordo'!H$2:H$746,'Base bordo'!C$2:C$746,A283,'Base bordo'!B$2:B$746,B283,'Base bordo'!F$2:F$746,"DESLOCAMENTO CARREGADO"),0)</f>
        <v>117740.31000000001</v>
      </c>
      <c r="U283" s="10">
        <f>IFERROR(SUMIFS('Base bordo'!I$2:I$746,'Base bordo'!C$2:C$746,A283,'Base bordo'!B$2:B$746,B283,'Base bordo'!F$2:F$746,"DESLOCAMENTO CARREGADO"),0)</f>
        <v>6839</v>
      </c>
      <c r="V283" s="30">
        <f t="shared" si="38"/>
        <v>17.216012574937857</v>
      </c>
      <c r="W283" s="9">
        <f t="shared" si="39"/>
        <v>0.27693633104521576</v>
      </c>
      <c r="X283" s="9">
        <f t="shared" si="40"/>
        <v>0.19006197370980737</v>
      </c>
      <c r="Y283" s="9">
        <f t="shared" si="41"/>
        <v>0.53300169524497676</v>
      </c>
    </row>
    <row r="284" spans="1:25" ht="15" customHeight="1" x14ac:dyDescent="0.35">
      <c r="A284" s="52">
        <v>8013484</v>
      </c>
      <c r="B284" s="51">
        <v>46118</v>
      </c>
      <c r="C284" s="7" t="s">
        <v>124</v>
      </c>
      <c r="D284" s="10">
        <f>IFERROR(SUMIFS('Base bordo'!G$2:G$746,'Base bordo'!C$2:C$746,A284,'Base bordo'!B$2:B$746,B284,'Base bordo'!F$2:F$746,"DESLOCAMENTO VAZIO"),0)</f>
        <v>0.14777777777777779</v>
      </c>
      <c r="E284" s="10">
        <f>IFERROR(SUMIFS('Base bordo'!G$2:G$746,'Base bordo'!C$2:C$746,A284,'Base bordo'!B$2:B$746,B284,'Base bordo'!F$2:F$746,"DESLOCAMENTO CARREGADO"),0)</f>
        <v>3.3405555555555555</v>
      </c>
      <c r="F284" s="10">
        <f>IFERROR(SUMIFS('Base bordo'!G$2:G$746,'Base bordo'!C$2:C$746,A284,'Base bordo'!B$2:B$746,B284,'Base bordo'!F$2:F$746,"DESLOCAMENTO"),0)</f>
        <v>0</v>
      </c>
      <c r="G284" s="10">
        <f>IFERROR(SUMIFS('Base bordo'!G$2:G$746,'Base bordo'!C$2:C$746,A284,'Base bordo'!B$2:B$746,B284,'Base bordo'!F$2:F$746,"CARREGAMENTO"),0)</f>
        <v>0</v>
      </c>
      <c r="H284" s="10">
        <f>IFERROR(SUMIFS('Base bordo'!G$2:G$746,'Base bordo'!C$2:C$746,A284,'Base bordo'!B$2:B$746,B284,'Base bordo'!F$2:F$746,"AGUARDANDO TRANSBORDO"),0)</f>
        <v>0</v>
      </c>
      <c r="I284" s="10">
        <f>IFERROR(SUMIFS('Base bordo'!G$2:G$746,'Base bordo'!C$2:C$746,A284,'Base bordo'!B$2:B$746,B284,'Base bordo'!F$2:F$746,"PÁTIO INTERNO"),0)+IFERROR(SUMIFS('Base bordo'!G$2:G$746,'Base bordo'!C$2:C$746,A284,'Base bordo'!B$2:B$746,B284,'Base bordo'!F$2:F$746,"PÁTIO EXTERNO"),0)+IFERROR(SUMIFS('Base bordo'!G$2:G$746,'Base bordo'!C$2:C$746,A284,'Base bordo'!B$2:B$746,B284,'Base bordo'!F$2:F$746,"PATIO - RESERVA"),0)+IFERROR(SUMIFS('Base bordo'!G$2:G$746,'Base bordo'!C$2:C$746,A284,'Base bordo'!B$2:B$746,B284,'Base bordo'!F$2:F$746,"MANOBRA CARRETAS-PATIO"),0)</f>
        <v>6.0491666666666664</v>
      </c>
      <c r="J284" s="10">
        <f>IFERROR(SUMIFS('Base bordo'!G$2:G$746,'Base bordo'!C$2:C$746,A284,'Base bordo'!B$2:B$746,B284,'Base bordo'!F$2:F$746,"BALANÇA - ENTRADA"),0)+IFERROR(SUMIFS('Base bordo'!G$2:G$746,'Base bordo'!C$2:C$746,A284,'Base bordo'!B$2:B$746,B284,'Base bordo'!F$2:F$746,"BALANÇA - SAÍDA"),0)</f>
        <v>4.1944444444444444E-2</v>
      </c>
      <c r="K284" s="10">
        <f>IFERROR(SUMIFS('Base bordo'!G$2:G$746,'Base bordo'!C$2:C$746,A284,'Base bordo'!B$2:B$746,B284,'Base bordo'!F$2:F$746,"MAN PREVENTIVA - MECANICA"),0)+IFERROR(SUMIFS('Base bordo'!G$2:G$746,'Base bordo'!C$2:C$746,A284,'Base bordo'!B$2:B$746,B284,'Base bordo'!F$2:F$746,"MAN CORRETIVA - MECANICA"),0)</f>
        <v>0</v>
      </c>
      <c r="L284" s="10">
        <f>IFERROR(SUMIFS('Base bordo'!G$2:G$746,'Base bordo'!C$2:C$746,A284,'Base bordo'!B$2:B$746,B284,'Base bordo'!F$2:F$746,"MANUTENCAO - T O"),0)+IFERROR(SUMIFS('Base bordo'!G$2:G$746,'Base bordo'!C$2:C$746,A284,'Base bordo'!B$2:B$746,B284,'Base bordo'!F$2:F$746,"MANUTENCAO BORRACHARIA"),0)+IFERROR(SUMIFS('Base bordo'!G$2:G$746,'Base bordo'!C$2:C$746,A284,'Base bordo'!B$2:B$746,B284,'Base bordo'!F$2:F$746,"MANUTENCAO EXTERNA  CONCESSIONARIA"),0)+IFERROR(SUMIFS('Base bordo'!G$2:G$746,'Base bordo'!C$2:C$746,A284,'Base bordo'!B$2:B$746,B284,'Base bordo'!F$2:F$746,"MANUTENCAO TELEMETRIA"),0)</f>
        <v>0</v>
      </c>
      <c r="M284" s="10">
        <f>IFERROR(SUMIFS('Base bordo'!G$2:G$746,'Base bordo'!C$2:C$746,A284,'Base bordo'!B$2:B$746,B284,'Base bordo'!F$2:F$746,"AGUARDANDO MANUTENCAO"),0)</f>
        <v>0</v>
      </c>
      <c r="N284" s="10">
        <f>IFERROR(SUMIFS('Base bordo'!G$2:G$746,'Base bordo'!C$2:C$746,A284,'Base bordo'!B$2:B$746,B284,'Base bordo'!F$2:F$746,"SEM APONTAMENTO"),0)</f>
        <v>0</v>
      </c>
      <c r="O284" s="10">
        <f t="shared" si="36"/>
        <v>0</v>
      </c>
      <c r="P284" s="10">
        <f>IFERROR(SUMIFS('Base bordo'!G$2:G$746,'Base bordo'!C$2:C$746,A284,'Base bordo'!B$2:B$746,B284),0)</f>
        <v>9.5794444444444444</v>
      </c>
      <c r="Q284" s="10">
        <f>IFERROR(SUMIFS('Base bordo'!H$2:H$746,'Base bordo'!C$2:C$746,A284,'Base bordo'!B$2:B$746,B284,'Base bordo'!F$2:F$746,"DESLOCAMENTO VAZIO"),0)</f>
        <v>4979.08</v>
      </c>
      <c r="R284" s="10">
        <f>IFERROR(SUMIFS('Base bordo'!I$2:I$746,'Base bordo'!C$2:C$746,A284,'Base bordo'!B$2:B$746,B284,'Base bordo'!F$2:F$746,"DESLOCAMENTO VAZIO"),0)</f>
        <v>532</v>
      </c>
      <c r="S284" s="30">
        <f t="shared" si="37"/>
        <v>9.3591729323308268</v>
      </c>
      <c r="T284" s="10">
        <f>IFERROR(SUMIFS('Base bordo'!H$2:H$746,'Base bordo'!C$2:C$746,A284,'Base bordo'!B$2:B$746,B284,'Base bordo'!F$2:F$746,"DESLOCAMENTO CARREGADO"),0)</f>
        <v>214024.57</v>
      </c>
      <c r="U284" s="10">
        <f>IFERROR(SUMIFS('Base bordo'!I$2:I$746,'Base bordo'!C$2:C$746,A284,'Base bordo'!B$2:B$746,B284,'Base bordo'!F$2:F$746,"DESLOCAMENTO CARREGADO"),0)</f>
        <v>12026</v>
      </c>
      <c r="V284" s="30">
        <f t="shared" si="38"/>
        <v>17.796821054382171</v>
      </c>
      <c r="W284" s="9">
        <f t="shared" si="39"/>
        <v>1.5426549904308995E-2</v>
      </c>
      <c r="X284" s="9">
        <f t="shared" si="40"/>
        <v>0.34872122020530072</v>
      </c>
      <c r="Y284" s="9">
        <f t="shared" si="41"/>
        <v>0.63585222989039036</v>
      </c>
    </row>
    <row r="285" spans="1:25" ht="15" customHeight="1" x14ac:dyDescent="0.35">
      <c r="A285" s="52">
        <v>8013476</v>
      </c>
      <c r="B285" s="51">
        <v>46124</v>
      </c>
      <c r="C285" s="7" t="s">
        <v>124</v>
      </c>
      <c r="D285" s="10">
        <f>IFERROR(SUMIFS('Base bordo'!G$2:G$746,'Base bordo'!C$2:C$746,A285,'Base bordo'!B$2:B$746,B285,'Base bordo'!F$2:F$746,"DESLOCAMENTO VAZIO"),0)</f>
        <v>2.296388888888889</v>
      </c>
      <c r="E285" s="10">
        <f>IFERROR(SUMIFS('Base bordo'!G$2:G$746,'Base bordo'!C$2:C$746,A285,'Base bordo'!B$2:B$746,B285,'Base bordo'!F$2:F$746,"DESLOCAMENTO CARREGADO"),0)</f>
        <v>2.1016666666666666</v>
      </c>
      <c r="F285" s="10">
        <f>IFERROR(SUMIFS('Base bordo'!G$2:G$746,'Base bordo'!C$2:C$746,A285,'Base bordo'!B$2:B$746,B285,'Base bordo'!F$2:F$746,"DESLOCAMENTO"),0)</f>
        <v>0</v>
      </c>
      <c r="G285" s="10">
        <f>IFERROR(SUMIFS('Base bordo'!G$2:G$746,'Base bordo'!C$2:C$746,A285,'Base bordo'!B$2:B$746,B285,'Base bordo'!F$2:F$746,"CARREGAMENTO"),0)</f>
        <v>0</v>
      </c>
      <c r="H285" s="10">
        <f>IFERROR(SUMIFS('Base bordo'!G$2:G$746,'Base bordo'!C$2:C$746,A285,'Base bordo'!B$2:B$746,B285,'Base bordo'!F$2:F$746,"AGUARDANDO TRANSBORDO"),0)</f>
        <v>0.23694444444444446</v>
      </c>
      <c r="I285" s="10">
        <f>IFERROR(SUMIFS('Base bordo'!G$2:G$746,'Base bordo'!C$2:C$746,A285,'Base bordo'!B$2:B$746,B285,'Base bordo'!F$2:F$746,"PÁTIO INTERNO"),0)+IFERROR(SUMIFS('Base bordo'!G$2:G$746,'Base bordo'!C$2:C$746,A285,'Base bordo'!B$2:B$746,B285,'Base bordo'!F$2:F$746,"PÁTIO EXTERNO"),0)+IFERROR(SUMIFS('Base bordo'!G$2:G$746,'Base bordo'!C$2:C$746,A285,'Base bordo'!B$2:B$746,B285,'Base bordo'!F$2:F$746,"PATIO - RESERVA"),0)+IFERROR(SUMIFS('Base bordo'!G$2:G$746,'Base bordo'!C$2:C$746,A285,'Base bordo'!B$2:B$746,B285,'Base bordo'!F$2:F$746,"MANOBRA CARRETAS-PATIO"),0)</f>
        <v>5.0583333333333336</v>
      </c>
      <c r="J285" s="10">
        <f>IFERROR(SUMIFS('Base bordo'!G$2:G$746,'Base bordo'!C$2:C$746,A285,'Base bordo'!B$2:B$746,B285,'Base bordo'!F$2:F$746,"BALANÇA - ENTRADA"),0)+IFERROR(SUMIFS('Base bordo'!G$2:G$746,'Base bordo'!C$2:C$746,A285,'Base bordo'!B$2:B$746,B285,'Base bordo'!F$2:F$746,"BALANÇA - SAÍDA"),0)</f>
        <v>0.23805555555555558</v>
      </c>
      <c r="K285" s="10">
        <f>IFERROR(SUMIFS('Base bordo'!G$2:G$746,'Base bordo'!C$2:C$746,A285,'Base bordo'!B$2:B$746,B285,'Base bordo'!F$2:F$746,"MAN PREVENTIVA - MECANICA"),0)+IFERROR(SUMIFS('Base bordo'!G$2:G$746,'Base bordo'!C$2:C$746,A285,'Base bordo'!B$2:B$746,B285,'Base bordo'!F$2:F$746,"MAN CORRETIVA - MECANICA"),0)</f>
        <v>0</v>
      </c>
      <c r="L285" s="10">
        <f>IFERROR(SUMIFS('Base bordo'!G$2:G$746,'Base bordo'!C$2:C$746,A285,'Base bordo'!B$2:B$746,B285,'Base bordo'!F$2:F$746,"MANUTENCAO - T O"),0)+IFERROR(SUMIFS('Base bordo'!G$2:G$746,'Base bordo'!C$2:C$746,A285,'Base bordo'!B$2:B$746,B285,'Base bordo'!F$2:F$746,"MANUTENCAO BORRACHARIA"),0)+IFERROR(SUMIFS('Base bordo'!G$2:G$746,'Base bordo'!C$2:C$746,A285,'Base bordo'!B$2:B$746,B285,'Base bordo'!F$2:F$746,"MANUTENCAO EXTERNA  CONCESSIONARIA"),0)+IFERROR(SUMIFS('Base bordo'!G$2:G$746,'Base bordo'!C$2:C$746,A285,'Base bordo'!B$2:B$746,B285,'Base bordo'!F$2:F$746,"MANUTENCAO TELEMETRIA"),0)</f>
        <v>0</v>
      </c>
      <c r="M285" s="10">
        <f>IFERROR(SUMIFS('Base bordo'!G$2:G$746,'Base bordo'!C$2:C$746,A285,'Base bordo'!B$2:B$746,B285,'Base bordo'!F$2:F$746,"AGUARDANDO MANUTENCAO"),0)</f>
        <v>0</v>
      </c>
      <c r="N285" s="10">
        <f>IFERROR(SUMIFS('Base bordo'!G$2:G$746,'Base bordo'!C$2:C$746,A285,'Base bordo'!B$2:B$746,B285,'Base bordo'!F$2:F$746,"SEM APONTAMENTO"),0)</f>
        <v>0</v>
      </c>
      <c r="O285" s="10">
        <f t="shared" si="36"/>
        <v>0</v>
      </c>
      <c r="P285" s="10">
        <f>IFERROR(SUMIFS('Base bordo'!G$2:G$746,'Base bordo'!C$2:C$746,A285,'Base bordo'!B$2:B$746,B285),0)</f>
        <v>9.9313888888888897</v>
      </c>
      <c r="Q285" s="10">
        <f>IFERROR(SUMIFS('Base bordo'!H$2:H$746,'Base bordo'!C$2:C$746,A285,'Base bordo'!B$2:B$746,B285,'Base bordo'!F$2:F$746,"DESLOCAMENTO VAZIO"),0)</f>
        <v>272442.8</v>
      </c>
      <c r="R285" s="10">
        <f>IFERROR(SUMIFS('Base bordo'!I$2:I$746,'Base bordo'!C$2:C$746,A285,'Base bordo'!B$2:B$746,B285,'Base bordo'!F$2:F$746,"DESLOCAMENTO VAZIO"),0)</f>
        <v>8267</v>
      </c>
      <c r="S285" s="30">
        <f t="shared" si="37"/>
        <v>32.955461473327688</v>
      </c>
      <c r="T285" s="10">
        <f>IFERROR(SUMIFS('Base bordo'!H$2:H$746,'Base bordo'!C$2:C$746,A285,'Base bordo'!B$2:B$746,B285,'Base bordo'!F$2:F$746,"DESLOCAMENTO CARREGADO"),0)</f>
        <v>216680.51</v>
      </c>
      <c r="U285" s="10">
        <f>IFERROR(SUMIFS('Base bordo'!I$2:I$746,'Base bordo'!C$2:C$746,A285,'Base bordo'!B$2:B$746,B285,'Base bordo'!F$2:F$746,"DESLOCAMENTO CARREGADO"),0)</f>
        <v>7566</v>
      </c>
      <c r="V285" s="30">
        <f t="shared" si="38"/>
        <v>28.638713983610891</v>
      </c>
      <c r="W285" s="9">
        <f t="shared" si="39"/>
        <v>0.23122535171873687</v>
      </c>
      <c r="X285" s="9">
        <f t="shared" si="40"/>
        <v>0.21161860543171199</v>
      </c>
      <c r="Y285" s="9">
        <f t="shared" si="41"/>
        <v>0.55715604284955111</v>
      </c>
    </row>
    <row r="286" spans="1:25" ht="15" customHeight="1" x14ac:dyDescent="0.35">
      <c r="A286" s="52">
        <v>8013461</v>
      </c>
      <c r="B286" s="51">
        <v>46119</v>
      </c>
      <c r="C286" s="7" t="s">
        <v>124</v>
      </c>
      <c r="D286" s="10">
        <f>IFERROR(SUMIFS('Base bordo'!G$2:G$746,'Base bordo'!C$2:C$746,A286,'Base bordo'!B$2:B$746,B286,'Base bordo'!F$2:F$746,"DESLOCAMENTO VAZIO"),0)</f>
        <v>1.4069444444444446</v>
      </c>
      <c r="E286" s="10">
        <f>IFERROR(SUMIFS('Base bordo'!G$2:G$746,'Base bordo'!C$2:C$746,A286,'Base bordo'!B$2:B$746,B286,'Base bordo'!F$2:F$746,"DESLOCAMENTO CARREGADO"),0)</f>
        <v>1.8011111111111111</v>
      </c>
      <c r="F286" s="10">
        <f>IFERROR(SUMIFS('Base bordo'!G$2:G$746,'Base bordo'!C$2:C$746,A286,'Base bordo'!B$2:B$746,B286,'Base bordo'!F$2:F$746,"DESLOCAMENTO"),0)</f>
        <v>0</v>
      </c>
      <c r="G286" s="10">
        <f>IFERROR(SUMIFS('Base bordo'!G$2:G$746,'Base bordo'!C$2:C$746,A286,'Base bordo'!B$2:B$746,B286,'Base bordo'!F$2:F$746,"CARREGAMENTO"),0)</f>
        <v>0</v>
      </c>
      <c r="H286" s="10">
        <f>IFERROR(SUMIFS('Base bordo'!G$2:G$746,'Base bordo'!C$2:C$746,A286,'Base bordo'!B$2:B$746,B286,'Base bordo'!F$2:F$746,"AGUARDANDO TRANSBORDO"),0)</f>
        <v>0.2011111111111111</v>
      </c>
      <c r="I286" s="10">
        <f>IFERROR(SUMIFS('Base bordo'!G$2:G$746,'Base bordo'!C$2:C$746,A286,'Base bordo'!B$2:B$746,B286,'Base bordo'!F$2:F$746,"PÁTIO INTERNO"),0)+IFERROR(SUMIFS('Base bordo'!G$2:G$746,'Base bordo'!C$2:C$746,A286,'Base bordo'!B$2:B$746,B286,'Base bordo'!F$2:F$746,"PÁTIO EXTERNO"),0)+IFERROR(SUMIFS('Base bordo'!G$2:G$746,'Base bordo'!C$2:C$746,A286,'Base bordo'!B$2:B$746,B286,'Base bordo'!F$2:F$746,"PATIO - RESERVA"),0)+IFERROR(SUMIFS('Base bordo'!G$2:G$746,'Base bordo'!C$2:C$746,A286,'Base bordo'!B$2:B$746,B286,'Base bordo'!F$2:F$746,"MANOBRA CARRETAS-PATIO"),0)</f>
        <v>8.8375000000000004</v>
      </c>
      <c r="J286" s="10">
        <f>IFERROR(SUMIFS('Base bordo'!G$2:G$746,'Base bordo'!C$2:C$746,A286,'Base bordo'!B$2:B$746,B286,'Base bordo'!F$2:F$746,"BALANÇA - ENTRADA"),0)+IFERROR(SUMIFS('Base bordo'!G$2:G$746,'Base bordo'!C$2:C$746,A286,'Base bordo'!B$2:B$746,B286,'Base bordo'!F$2:F$746,"BALANÇA - SAÍDA"),0)</f>
        <v>0.15</v>
      </c>
      <c r="K286" s="10">
        <f>IFERROR(SUMIFS('Base bordo'!G$2:G$746,'Base bordo'!C$2:C$746,A286,'Base bordo'!B$2:B$746,B286,'Base bordo'!F$2:F$746,"MAN PREVENTIVA - MECANICA"),0)+IFERROR(SUMIFS('Base bordo'!G$2:G$746,'Base bordo'!C$2:C$746,A286,'Base bordo'!B$2:B$746,B286,'Base bordo'!F$2:F$746,"MAN CORRETIVA - MECANICA"),0)</f>
        <v>0</v>
      </c>
      <c r="L286" s="10">
        <f>IFERROR(SUMIFS('Base bordo'!G$2:G$746,'Base bordo'!C$2:C$746,A286,'Base bordo'!B$2:B$746,B286,'Base bordo'!F$2:F$746,"MANUTENCAO - T O"),0)+IFERROR(SUMIFS('Base bordo'!G$2:G$746,'Base bordo'!C$2:C$746,A286,'Base bordo'!B$2:B$746,B286,'Base bordo'!F$2:F$746,"MANUTENCAO BORRACHARIA"),0)+IFERROR(SUMIFS('Base bordo'!G$2:G$746,'Base bordo'!C$2:C$746,A286,'Base bordo'!B$2:B$746,B286,'Base bordo'!F$2:F$746,"MANUTENCAO EXTERNA  CONCESSIONARIA"),0)+IFERROR(SUMIFS('Base bordo'!G$2:G$746,'Base bordo'!C$2:C$746,A286,'Base bordo'!B$2:B$746,B286,'Base bordo'!F$2:F$746,"MANUTENCAO TELEMETRIA"),0)</f>
        <v>0</v>
      </c>
      <c r="M286" s="10">
        <f>IFERROR(SUMIFS('Base bordo'!G$2:G$746,'Base bordo'!C$2:C$746,A286,'Base bordo'!B$2:B$746,B286,'Base bordo'!F$2:F$746,"AGUARDANDO MANUTENCAO"),0)</f>
        <v>0</v>
      </c>
      <c r="N286" s="10">
        <f>IFERROR(SUMIFS('Base bordo'!G$2:G$746,'Base bordo'!C$2:C$746,A286,'Base bordo'!B$2:B$746,B286,'Base bordo'!F$2:F$746,"SEM APONTAMENTO"),0)</f>
        <v>0</v>
      </c>
      <c r="O286" s="10">
        <f t="shared" si="36"/>
        <v>0.18333333333333357</v>
      </c>
      <c r="P286" s="10">
        <f>IFERROR(SUMIFS('Base bordo'!G$2:G$746,'Base bordo'!C$2:C$746,A286,'Base bordo'!B$2:B$746,B286),0)</f>
        <v>12.58</v>
      </c>
      <c r="Q286" s="10">
        <f>IFERROR(SUMIFS('Base bordo'!H$2:H$746,'Base bordo'!C$2:C$746,A286,'Base bordo'!B$2:B$746,B286,'Base bordo'!F$2:F$746,"DESLOCAMENTO VAZIO"),0)</f>
        <v>177546.48</v>
      </c>
      <c r="R286" s="10">
        <f>IFERROR(SUMIFS('Base bordo'!I$2:I$746,'Base bordo'!C$2:C$746,A286,'Base bordo'!B$2:B$746,B286,'Base bordo'!F$2:F$746,"DESLOCAMENTO VAZIO"),0)</f>
        <v>5065</v>
      </c>
      <c r="S286" s="30">
        <f t="shared" si="37"/>
        <v>35.05359921026654</v>
      </c>
      <c r="T286" s="10">
        <f>IFERROR(SUMIFS('Base bordo'!H$2:H$746,'Base bordo'!C$2:C$746,A286,'Base bordo'!B$2:B$746,B286,'Base bordo'!F$2:F$746,"DESLOCAMENTO CARREGADO"),0)</f>
        <v>173551.50000000003</v>
      </c>
      <c r="U286" s="10">
        <f>IFERROR(SUMIFS('Base bordo'!I$2:I$746,'Base bordo'!C$2:C$746,A286,'Base bordo'!B$2:B$746,B286,'Base bordo'!F$2:F$746,"DESLOCAMENTO CARREGADO"),0)</f>
        <v>6484</v>
      </c>
      <c r="V286" s="30">
        <f t="shared" si="38"/>
        <v>26.766116594694637</v>
      </c>
      <c r="W286" s="9">
        <f t="shared" si="39"/>
        <v>0.11183978095742803</v>
      </c>
      <c r="X286" s="9">
        <f t="shared" si="40"/>
        <v>0.14317258434905494</v>
      </c>
      <c r="Y286" s="9">
        <f t="shared" si="41"/>
        <v>0.74498763469351703</v>
      </c>
    </row>
    <row r="287" spans="1:25" ht="15" customHeight="1" x14ac:dyDescent="0.35">
      <c r="A287" s="52">
        <v>8013465</v>
      </c>
      <c r="B287" s="51">
        <v>46124</v>
      </c>
      <c r="C287" s="7" t="s">
        <v>124</v>
      </c>
      <c r="D287" s="10">
        <f>IFERROR(SUMIFS('Base bordo'!G$2:G$746,'Base bordo'!C$2:C$746,A287,'Base bordo'!B$2:B$746,B287,'Base bordo'!F$2:F$746,"DESLOCAMENTO VAZIO"),0)</f>
        <v>2.6761111111111111</v>
      </c>
      <c r="E287" s="10">
        <f>IFERROR(SUMIFS('Base bordo'!G$2:G$746,'Base bordo'!C$2:C$746,A287,'Base bordo'!B$2:B$746,B287,'Base bordo'!F$2:F$746,"DESLOCAMENTO CARREGADO"),0)</f>
        <v>5.5052777777777777</v>
      </c>
      <c r="F287" s="10">
        <f>IFERROR(SUMIFS('Base bordo'!G$2:G$746,'Base bordo'!C$2:C$746,A287,'Base bordo'!B$2:B$746,B287,'Base bordo'!F$2:F$746,"DESLOCAMENTO"),0)</f>
        <v>0</v>
      </c>
      <c r="G287" s="10">
        <f>IFERROR(SUMIFS('Base bordo'!G$2:G$746,'Base bordo'!C$2:C$746,A287,'Base bordo'!B$2:B$746,B287,'Base bordo'!F$2:F$746,"CARREGAMENTO"),0)</f>
        <v>0</v>
      </c>
      <c r="H287" s="10">
        <f>IFERROR(SUMIFS('Base bordo'!G$2:G$746,'Base bordo'!C$2:C$746,A287,'Base bordo'!B$2:B$746,B287,'Base bordo'!F$2:F$746,"AGUARDANDO TRANSBORDO"),0)</f>
        <v>0.45055555555555554</v>
      </c>
      <c r="I287" s="10">
        <f>IFERROR(SUMIFS('Base bordo'!G$2:G$746,'Base bordo'!C$2:C$746,A287,'Base bordo'!B$2:B$746,B287,'Base bordo'!F$2:F$746,"PÁTIO INTERNO"),0)+IFERROR(SUMIFS('Base bordo'!G$2:G$746,'Base bordo'!C$2:C$746,A287,'Base bordo'!B$2:B$746,B287,'Base bordo'!F$2:F$746,"PÁTIO EXTERNO"),0)+IFERROR(SUMIFS('Base bordo'!G$2:G$746,'Base bordo'!C$2:C$746,A287,'Base bordo'!B$2:B$746,B287,'Base bordo'!F$2:F$746,"PATIO - RESERVA"),0)+IFERROR(SUMIFS('Base bordo'!G$2:G$746,'Base bordo'!C$2:C$746,A287,'Base bordo'!B$2:B$746,B287,'Base bordo'!F$2:F$746,"MANOBRA CARRETAS-PATIO"),0)</f>
        <v>2.5047222222222221</v>
      </c>
      <c r="J287" s="10">
        <f>IFERROR(SUMIFS('Base bordo'!G$2:G$746,'Base bordo'!C$2:C$746,A287,'Base bordo'!B$2:B$746,B287,'Base bordo'!F$2:F$746,"BALANÇA - ENTRADA"),0)+IFERROR(SUMIFS('Base bordo'!G$2:G$746,'Base bordo'!C$2:C$746,A287,'Base bordo'!B$2:B$746,B287,'Base bordo'!F$2:F$746,"BALANÇA - SAÍDA"),0)</f>
        <v>0</v>
      </c>
      <c r="K287" s="10">
        <f>IFERROR(SUMIFS('Base bordo'!G$2:G$746,'Base bordo'!C$2:C$746,A287,'Base bordo'!B$2:B$746,B287,'Base bordo'!F$2:F$746,"MAN PREVENTIVA - MECANICA"),0)+IFERROR(SUMIFS('Base bordo'!G$2:G$746,'Base bordo'!C$2:C$746,A287,'Base bordo'!B$2:B$746,B287,'Base bordo'!F$2:F$746,"MAN CORRETIVA - MECANICA"),0)</f>
        <v>0</v>
      </c>
      <c r="L287" s="10">
        <f>IFERROR(SUMIFS('Base bordo'!G$2:G$746,'Base bordo'!C$2:C$746,A287,'Base bordo'!B$2:B$746,B287,'Base bordo'!F$2:F$746,"MANUTENCAO - T O"),0)+IFERROR(SUMIFS('Base bordo'!G$2:G$746,'Base bordo'!C$2:C$746,A287,'Base bordo'!B$2:B$746,B287,'Base bordo'!F$2:F$746,"MANUTENCAO BORRACHARIA"),0)+IFERROR(SUMIFS('Base bordo'!G$2:G$746,'Base bordo'!C$2:C$746,A287,'Base bordo'!B$2:B$746,B287,'Base bordo'!F$2:F$746,"MANUTENCAO EXTERNA  CONCESSIONARIA"),0)+IFERROR(SUMIFS('Base bordo'!G$2:G$746,'Base bordo'!C$2:C$746,A287,'Base bordo'!B$2:B$746,B287,'Base bordo'!F$2:F$746,"MANUTENCAO TELEMETRIA"),0)</f>
        <v>0</v>
      </c>
      <c r="M287" s="10">
        <f>IFERROR(SUMIFS('Base bordo'!G$2:G$746,'Base bordo'!C$2:C$746,A287,'Base bordo'!B$2:B$746,B287,'Base bordo'!F$2:F$746,"AGUARDANDO MANUTENCAO"),0)</f>
        <v>0</v>
      </c>
      <c r="N287" s="10">
        <f>IFERROR(SUMIFS('Base bordo'!G$2:G$746,'Base bordo'!C$2:C$746,A287,'Base bordo'!B$2:B$746,B287,'Base bordo'!F$2:F$746,"SEM APONTAMENTO"),0)</f>
        <v>0</v>
      </c>
      <c r="O287" s="10">
        <f t="shared" si="36"/>
        <v>2.1111111111110858E-2</v>
      </c>
      <c r="P287" s="10">
        <f>IFERROR(SUMIFS('Base bordo'!G$2:G$746,'Base bordo'!C$2:C$746,A287,'Base bordo'!B$2:B$746,B287),0)</f>
        <v>11.157777777777778</v>
      </c>
      <c r="Q287" s="10">
        <f>IFERROR(SUMIFS('Base bordo'!H$2:H$746,'Base bordo'!C$2:C$746,A287,'Base bordo'!B$2:B$746,B287,'Base bordo'!F$2:F$746,"DESLOCAMENTO VAZIO"),0)</f>
        <v>384446.33</v>
      </c>
      <c r="R287" s="10">
        <f>IFERROR(SUMIFS('Base bordo'!I$2:I$746,'Base bordo'!C$2:C$746,A287,'Base bordo'!B$2:B$746,B287,'Base bordo'!F$2:F$746,"DESLOCAMENTO VAZIO"),0)</f>
        <v>9634</v>
      </c>
      <c r="S287" s="30">
        <f t="shared" si="37"/>
        <v>39.905161926510274</v>
      </c>
      <c r="T287" s="10">
        <f>IFERROR(SUMIFS('Base bordo'!H$2:H$746,'Base bordo'!C$2:C$746,A287,'Base bordo'!B$2:B$746,B287,'Base bordo'!F$2:F$746,"DESLOCAMENTO CARREGADO"),0)</f>
        <v>426423.94999999995</v>
      </c>
      <c r="U287" s="10">
        <f>IFERROR(SUMIFS('Base bordo'!I$2:I$746,'Base bordo'!C$2:C$746,A287,'Base bordo'!B$2:B$746,B287,'Base bordo'!F$2:F$746,"DESLOCAMENTO CARREGADO"),0)</f>
        <v>19819</v>
      </c>
      <c r="V287" s="30">
        <f t="shared" si="38"/>
        <v>21.515916544729802</v>
      </c>
      <c r="W287" s="9">
        <f t="shared" si="39"/>
        <v>0.23984266082453695</v>
      </c>
      <c r="X287" s="9">
        <f t="shared" si="40"/>
        <v>0.49340270862378011</v>
      </c>
      <c r="Y287" s="9">
        <f t="shared" si="41"/>
        <v>0.2667546305516828</v>
      </c>
    </row>
    <row r="288" spans="1:25" ht="15" customHeight="1" x14ac:dyDescent="0.35">
      <c r="A288" s="52">
        <v>8013470</v>
      </c>
      <c r="B288" s="51">
        <v>46118</v>
      </c>
      <c r="C288" s="7" t="s">
        <v>124</v>
      </c>
      <c r="D288" s="10">
        <f>IFERROR(SUMIFS('Base bordo'!G$2:G$746,'Base bordo'!C$2:C$746,A288,'Base bordo'!B$2:B$746,B288,'Base bordo'!F$2:F$746,"DESLOCAMENTO VAZIO"),0)</f>
        <v>1.7397222222222222</v>
      </c>
      <c r="E288" s="10">
        <f>IFERROR(SUMIFS('Base bordo'!G$2:G$746,'Base bordo'!C$2:C$746,A288,'Base bordo'!B$2:B$746,B288,'Base bordo'!F$2:F$746,"DESLOCAMENTO CARREGADO"),0)</f>
        <v>3.5305555555555554</v>
      </c>
      <c r="F288" s="10">
        <f>IFERROR(SUMIFS('Base bordo'!G$2:G$746,'Base bordo'!C$2:C$746,A288,'Base bordo'!B$2:B$746,B288,'Base bordo'!F$2:F$746,"DESLOCAMENTO"),0)</f>
        <v>0</v>
      </c>
      <c r="G288" s="10">
        <f>IFERROR(SUMIFS('Base bordo'!G$2:G$746,'Base bordo'!C$2:C$746,A288,'Base bordo'!B$2:B$746,B288,'Base bordo'!F$2:F$746,"CARREGAMENTO"),0)</f>
        <v>2.911111111111111</v>
      </c>
      <c r="H288" s="10">
        <f>IFERROR(SUMIFS('Base bordo'!G$2:G$746,'Base bordo'!C$2:C$746,A288,'Base bordo'!B$2:B$746,B288,'Base bordo'!F$2:F$746,"AGUARDANDO TRANSBORDO"),0)</f>
        <v>0.85194444444444439</v>
      </c>
      <c r="I288" s="10">
        <f>IFERROR(SUMIFS('Base bordo'!G$2:G$746,'Base bordo'!C$2:C$746,A288,'Base bordo'!B$2:B$746,B288,'Base bordo'!F$2:F$746,"PÁTIO INTERNO"),0)+IFERROR(SUMIFS('Base bordo'!G$2:G$746,'Base bordo'!C$2:C$746,A288,'Base bordo'!B$2:B$746,B288,'Base bordo'!F$2:F$746,"PÁTIO EXTERNO"),0)+IFERROR(SUMIFS('Base bordo'!G$2:G$746,'Base bordo'!C$2:C$746,A288,'Base bordo'!B$2:B$746,B288,'Base bordo'!F$2:F$746,"PATIO - RESERVA"),0)+IFERROR(SUMIFS('Base bordo'!G$2:G$746,'Base bordo'!C$2:C$746,A288,'Base bordo'!B$2:B$746,B288,'Base bordo'!F$2:F$746,"MANOBRA CARRETAS-PATIO"),0)</f>
        <v>7.8380555555555551</v>
      </c>
      <c r="J288" s="10">
        <f>IFERROR(SUMIFS('Base bordo'!G$2:G$746,'Base bordo'!C$2:C$746,A288,'Base bordo'!B$2:B$746,B288,'Base bordo'!F$2:F$746,"BALANÇA - ENTRADA"),0)+IFERROR(SUMIFS('Base bordo'!G$2:G$746,'Base bordo'!C$2:C$746,A288,'Base bordo'!B$2:B$746,B288,'Base bordo'!F$2:F$746,"BALANÇA - SAÍDA"),0)</f>
        <v>6.4722222222222223E-2</v>
      </c>
      <c r="K288" s="10">
        <f>IFERROR(SUMIFS('Base bordo'!G$2:G$746,'Base bordo'!C$2:C$746,A288,'Base bordo'!B$2:B$746,B288,'Base bordo'!F$2:F$746,"MAN PREVENTIVA - MECANICA"),0)+IFERROR(SUMIFS('Base bordo'!G$2:G$746,'Base bordo'!C$2:C$746,A288,'Base bordo'!B$2:B$746,B288,'Base bordo'!F$2:F$746,"MAN CORRETIVA - MECANICA"),0)</f>
        <v>0</v>
      </c>
      <c r="L288" s="10">
        <f>IFERROR(SUMIFS('Base bordo'!G$2:G$746,'Base bordo'!C$2:C$746,A288,'Base bordo'!B$2:B$746,B288,'Base bordo'!F$2:F$746,"MANUTENCAO - T O"),0)+IFERROR(SUMIFS('Base bordo'!G$2:G$746,'Base bordo'!C$2:C$746,A288,'Base bordo'!B$2:B$746,B288,'Base bordo'!F$2:F$746,"MANUTENCAO BORRACHARIA"),0)+IFERROR(SUMIFS('Base bordo'!G$2:G$746,'Base bordo'!C$2:C$746,A288,'Base bordo'!B$2:B$746,B288,'Base bordo'!F$2:F$746,"MANUTENCAO EXTERNA  CONCESSIONARIA"),0)+IFERROR(SUMIFS('Base bordo'!G$2:G$746,'Base bordo'!C$2:C$746,A288,'Base bordo'!B$2:B$746,B288,'Base bordo'!F$2:F$746,"MANUTENCAO TELEMETRIA"),0)</f>
        <v>0</v>
      </c>
      <c r="M288" s="10">
        <f>IFERROR(SUMIFS('Base bordo'!G$2:G$746,'Base bordo'!C$2:C$746,A288,'Base bordo'!B$2:B$746,B288,'Base bordo'!F$2:F$746,"AGUARDANDO MANUTENCAO"),0)</f>
        <v>1.013611111111111</v>
      </c>
      <c r="N288" s="10">
        <f>IFERROR(SUMIFS('Base bordo'!G$2:G$746,'Base bordo'!C$2:C$746,A288,'Base bordo'!B$2:B$746,B288,'Base bordo'!F$2:F$746,"SEM APONTAMENTO"),0)</f>
        <v>0.85111111111111115</v>
      </c>
      <c r="O288" s="10">
        <f t="shared" si="36"/>
        <v>5.1991666666666667</v>
      </c>
      <c r="P288" s="10">
        <f>IFERROR(SUMIFS('Base bordo'!G$2:G$746,'Base bordo'!C$2:C$746,A288,'Base bordo'!B$2:B$746,B288),0)</f>
        <v>24</v>
      </c>
      <c r="Q288" s="10">
        <f>IFERROR(SUMIFS('Base bordo'!H$2:H$746,'Base bordo'!C$2:C$746,A288,'Base bordo'!B$2:B$746,B288,'Base bordo'!F$2:F$746,"DESLOCAMENTO VAZIO"),0)</f>
        <v>195041.98</v>
      </c>
      <c r="R288" s="10">
        <f>IFERROR(SUMIFS('Base bordo'!I$2:I$746,'Base bordo'!C$2:C$746,A288,'Base bordo'!B$2:B$746,B288,'Base bordo'!F$2:F$746,"DESLOCAMENTO VAZIO"),0)</f>
        <v>6263</v>
      </c>
      <c r="S288" s="30">
        <f t="shared" si="37"/>
        <v>31.141941561551974</v>
      </c>
      <c r="T288" s="10">
        <f>IFERROR(SUMIFS('Base bordo'!H$2:H$746,'Base bordo'!C$2:C$746,A288,'Base bordo'!B$2:B$746,B288,'Base bordo'!F$2:F$746,"DESLOCAMENTO CARREGADO"),0)</f>
        <v>332481.22999999992</v>
      </c>
      <c r="U288" s="10">
        <f>IFERROR(SUMIFS('Base bordo'!I$2:I$746,'Base bordo'!C$2:C$746,A288,'Base bordo'!B$2:B$746,B288,'Base bordo'!F$2:F$746,"DESLOCAMENTO CARREGADO"),0)</f>
        <v>12710</v>
      </c>
      <c r="V288" s="30">
        <f t="shared" si="38"/>
        <v>26.15902675059008</v>
      </c>
      <c r="W288" s="9">
        <f t="shared" si="39"/>
        <v>7.2488425925925928E-2</v>
      </c>
      <c r="X288" s="9">
        <f t="shared" si="40"/>
        <v>0.14710648148148148</v>
      </c>
      <c r="Y288" s="9">
        <f t="shared" si="41"/>
        <v>0.78040509259259261</v>
      </c>
    </row>
    <row r="289" spans="1:25" ht="15" customHeight="1" x14ac:dyDescent="0.35">
      <c r="A289" s="52">
        <v>8013475</v>
      </c>
      <c r="B289" s="51">
        <v>46118</v>
      </c>
      <c r="C289" s="7" t="s">
        <v>124</v>
      </c>
      <c r="D289" s="10">
        <f>IFERROR(SUMIFS('Base bordo'!G$2:G$746,'Base bordo'!C$2:C$746,A289,'Base bordo'!B$2:B$746,B289,'Base bordo'!F$2:F$746,"DESLOCAMENTO VAZIO"),0)</f>
        <v>1.6019444444444444</v>
      </c>
      <c r="E289" s="10">
        <f>IFERROR(SUMIFS('Base bordo'!G$2:G$746,'Base bordo'!C$2:C$746,A289,'Base bordo'!B$2:B$746,B289,'Base bordo'!F$2:F$746,"DESLOCAMENTO CARREGADO"),0)</f>
        <v>2.0350000000000001</v>
      </c>
      <c r="F289" s="10">
        <f>IFERROR(SUMIFS('Base bordo'!G$2:G$746,'Base bordo'!C$2:C$746,A289,'Base bordo'!B$2:B$746,B289,'Base bordo'!F$2:F$746,"DESLOCAMENTO"),0)</f>
        <v>1.1069444444444445</v>
      </c>
      <c r="G289" s="10">
        <f>IFERROR(SUMIFS('Base bordo'!G$2:G$746,'Base bordo'!C$2:C$746,A289,'Base bordo'!B$2:B$746,B289,'Base bordo'!F$2:F$746,"CARREGAMENTO"),0)</f>
        <v>0</v>
      </c>
      <c r="H289" s="10">
        <f>IFERROR(SUMIFS('Base bordo'!G$2:G$746,'Base bordo'!C$2:C$746,A289,'Base bordo'!B$2:B$746,B289,'Base bordo'!F$2:F$746,"AGUARDANDO TRANSBORDO"),0)</f>
        <v>0.62972222222222218</v>
      </c>
      <c r="I289" s="10">
        <f>IFERROR(SUMIFS('Base bordo'!G$2:G$746,'Base bordo'!C$2:C$746,A289,'Base bordo'!B$2:B$746,B289,'Base bordo'!F$2:F$746,"PÁTIO INTERNO"),0)+IFERROR(SUMIFS('Base bordo'!G$2:G$746,'Base bordo'!C$2:C$746,A289,'Base bordo'!B$2:B$746,B289,'Base bordo'!F$2:F$746,"PÁTIO EXTERNO"),0)+IFERROR(SUMIFS('Base bordo'!G$2:G$746,'Base bordo'!C$2:C$746,A289,'Base bordo'!B$2:B$746,B289,'Base bordo'!F$2:F$746,"PATIO - RESERVA"),0)+IFERROR(SUMIFS('Base bordo'!G$2:G$746,'Base bordo'!C$2:C$746,A289,'Base bordo'!B$2:B$746,B289,'Base bordo'!F$2:F$746,"MANOBRA CARRETAS-PATIO"),0)</f>
        <v>16.014166666666668</v>
      </c>
      <c r="J289" s="10">
        <f>IFERROR(SUMIFS('Base bordo'!G$2:G$746,'Base bordo'!C$2:C$746,A289,'Base bordo'!B$2:B$746,B289,'Base bordo'!F$2:F$746,"BALANÇA - ENTRADA"),0)+IFERROR(SUMIFS('Base bordo'!G$2:G$746,'Base bordo'!C$2:C$746,A289,'Base bordo'!B$2:B$746,B289,'Base bordo'!F$2:F$746,"BALANÇA - SAÍDA"),0)</f>
        <v>4.8333333333333332E-2</v>
      </c>
      <c r="K289" s="10">
        <f>IFERROR(SUMIFS('Base bordo'!G$2:G$746,'Base bordo'!C$2:C$746,A289,'Base bordo'!B$2:B$746,B289,'Base bordo'!F$2:F$746,"MAN PREVENTIVA - MECANICA"),0)+IFERROR(SUMIFS('Base bordo'!G$2:G$746,'Base bordo'!C$2:C$746,A289,'Base bordo'!B$2:B$746,B289,'Base bordo'!F$2:F$746,"MAN CORRETIVA - MECANICA"),0)</f>
        <v>0</v>
      </c>
      <c r="L289" s="10">
        <f>IFERROR(SUMIFS('Base bordo'!G$2:G$746,'Base bordo'!C$2:C$746,A289,'Base bordo'!B$2:B$746,B289,'Base bordo'!F$2:F$746,"MANUTENCAO - T O"),0)+IFERROR(SUMIFS('Base bordo'!G$2:G$746,'Base bordo'!C$2:C$746,A289,'Base bordo'!B$2:B$746,B289,'Base bordo'!F$2:F$746,"MANUTENCAO BORRACHARIA"),0)+IFERROR(SUMIFS('Base bordo'!G$2:G$746,'Base bordo'!C$2:C$746,A289,'Base bordo'!B$2:B$746,B289,'Base bordo'!F$2:F$746,"MANUTENCAO EXTERNA  CONCESSIONARIA"),0)+IFERROR(SUMIFS('Base bordo'!G$2:G$746,'Base bordo'!C$2:C$746,A289,'Base bordo'!B$2:B$746,B289,'Base bordo'!F$2:F$746,"MANUTENCAO TELEMETRIA"),0)</f>
        <v>1.9430555555555555</v>
      </c>
      <c r="M289" s="10">
        <f>IFERROR(SUMIFS('Base bordo'!G$2:G$746,'Base bordo'!C$2:C$746,A289,'Base bordo'!B$2:B$746,B289,'Base bordo'!F$2:F$746,"AGUARDANDO MANUTENCAO"),0)</f>
        <v>0</v>
      </c>
      <c r="N289" s="10">
        <f>IFERROR(SUMIFS('Base bordo'!G$2:G$746,'Base bordo'!C$2:C$746,A289,'Base bordo'!B$2:B$746,B289,'Base bordo'!F$2:F$746,"SEM APONTAMENTO"),0)</f>
        <v>0</v>
      </c>
      <c r="O289" s="10">
        <f t="shared" si="36"/>
        <v>3.5527136788005009E-15</v>
      </c>
      <c r="P289" s="10">
        <f>IFERROR(SUMIFS('Base bordo'!G$2:G$746,'Base bordo'!C$2:C$746,A289,'Base bordo'!B$2:B$746,B289),0)</f>
        <v>23.37916666666667</v>
      </c>
      <c r="Q289" s="10">
        <f>IFERROR(SUMIFS('Base bordo'!H$2:H$746,'Base bordo'!C$2:C$746,A289,'Base bordo'!B$2:B$746,B289,'Base bordo'!F$2:F$746,"DESLOCAMENTO VAZIO"),0)</f>
        <v>173822.73</v>
      </c>
      <c r="R289" s="10">
        <f>IFERROR(SUMIFS('Base bordo'!I$2:I$746,'Base bordo'!C$2:C$746,A289,'Base bordo'!B$2:B$746,B289,'Base bordo'!F$2:F$746,"DESLOCAMENTO VAZIO"),0)</f>
        <v>5767</v>
      </c>
      <c r="S289" s="30">
        <f t="shared" si="37"/>
        <v>30.140927692040925</v>
      </c>
      <c r="T289" s="10">
        <f>IFERROR(SUMIFS('Base bordo'!H$2:H$746,'Base bordo'!C$2:C$746,A289,'Base bordo'!B$2:B$746,B289,'Base bordo'!F$2:F$746,"DESLOCAMENTO CARREGADO"),0)</f>
        <v>172046.47</v>
      </c>
      <c r="U289" s="10">
        <f>IFERROR(SUMIFS('Base bordo'!I$2:I$746,'Base bordo'!C$2:C$746,A289,'Base bordo'!B$2:B$746,B289,'Base bordo'!F$2:F$746,"DESLOCAMENTO CARREGADO"),0)</f>
        <v>7326</v>
      </c>
      <c r="V289" s="30">
        <f t="shared" si="38"/>
        <v>23.484366639366641</v>
      </c>
      <c r="W289" s="9">
        <f t="shared" si="39"/>
        <v>6.8520168716212193E-2</v>
      </c>
      <c r="X289" s="9">
        <f t="shared" si="40"/>
        <v>8.7043307788273031E-2</v>
      </c>
      <c r="Y289" s="9">
        <f t="shared" si="41"/>
        <v>0.84443652349551479</v>
      </c>
    </row>
    <row r="290" spans="1:25" ht="15" customHeight="1" x14ac:dyDescent="0.35">
      <c r="A290" s="52">
        <v>8013475</v>
      </c>
      <c r="B290" s="51">
        <v>46119</v>
      </c>
      <c r="C290" s="7" t="s">
        <v>124</v>
      </c>
      <c r="D290" s="10">
        <f>IFERROR(SUMIFS('Base bordo'!G$2:G$746,'Base bordo'!C$2:C$746,A290,'Base bordo'!B$2:B$746,B290,'Base bordo'!F$2:F$746,"DESLOCAMENTO VAZIO"),0)</f>
        <v>0.33277777777777778</v>
      </c>
      <c r="E290" s="10">
        <f>IFERROR(SUMIFS('Base bordo'!G$2:G$746,'Base bordo'!C$2:C$746,A290,'Base bordo'!B$2:B$746,B290,'Base bordo'!F$2:F$746,"DESLOCAMENTO CARREGADO"),0)</f>
        <v>0</v>
      </c>
      <c r="F290" s="10">
        <f>IFERROR(SUMIFS('Base bordo'!G$2:G$746,'Base bordo'!C$2:C$746,A290,'Base bordo'!B$2:B$746,B290,'Base bordo'!F$2:F$746,"DESLOCAMENTO"),0)</f>
        <v>0</v>
      </c>
      <c r="G290" s="10">
        <f>IFERROR(SUMIFS('Base bordo'!G$2:G$746,'Base bordo'!C$2:C$746,A290,'Base bordo'!B$2:B$746,B290,'Base bordo'!F$2:F$746,"CARREGAMENTO"),0)</f>
        <v>0</v>
      </c>
      <c r="H290" s="10">
        <f>IFERROR(SUMIFS('Base bordo'!G$2:G$746,'Base bordo'!C$2:C$746,A290,'Base bordo'!B$2:B$746,B290,'Base bordo'!F$2:F$746,"AGUARDANDO TRANSBORDO"),0)</f>
        <v>0</v>
      </c>
      <c r="I290" s="10">
        <f>IFERROR(SUMIFS('Base bordo'!G$2:G$746,'Base bordo'!C$2:C$746,A290,'Base bordo'!B$2:B$746,B290,'Base bordo'!F$2:F$746,"PÁTIO INTERNO"),0)+IFERROR(SUMIFS('Base bordo'!G$2:G$746,'Base bordo'!C$2:C$746,A290,'Base bordo'!B$2:B$746,B290,'Base bordo'!F$2:F$746,"PÁTIO EXTERNO"),0)+IFERROR(SUMIFS('Base bordo'!G$2:G$746,'Base bordo'!C$2:C$746,A290,'Base bordo'!B$2:B$746,B290,'Base bordo'!F$2:F$746,"PATIO - RESERVA"),0)+IFERROR(SUMIFS('Base bordo'!G$2:G$746,'Base bordo'!C$2:C$746,A290,'Base bordo'!B$2:B$746,B290,'Base bordo'!F$2:F$746,"MANOBRA CARRETAS-PATIO"),0)</f>
        <v>19.261111111111113</v>
      </c>
      <c r="J290" s="10">
        <f>IFERROR(SUMIFS('Base bordo'!G$2:G$746,'Base bordo'!C$2:C$746,A290,'Base bordo'!B$2:B$746,B290,'Base bordo'!F$2:F$746,"BALANÇA - ENTRADA"),0)+IFERROR(SUMIFS('Base bordo'!G$2:G$746,'Base bordo'!C$2:C$746,A290,'Base bordo'!B$2:B$746,B290,'Base bordo'!F$2:F$746,"BALANÇA - SAÍDA"),0)</f>
        <v>4.3333333333333335E-2</v>
      </c>
      <c r="K290" s="10">
        <f>IFERROR(SUMIFS('Base bordo'!G$2:G$746,'Base bordo'!C$2:C$746,A290,'Base bordo'!B$2:B$746,B290,'Base bordo'!F$2:F$746,"MAN PREVENTIVA - MECANICA"),0)+IFERROR(SUMIFS('Base bordo'!G$2:G$746,'Base bordo'!C$2:C$746,A290,'Base bordo'!B$2:B$746,B290,'Base bordo'!F$2:F$746,"MAN CORRETIVA - MECANICA"),0)</f>
        <v>0</v>
      </c>
      <c r="L290" s="10">
        <f>IFERROR(SUMIFS('Base bordo'!G$2:G$746,'Base bordo'!C$2:C$746,A290,'Base bordo'!B$2:B$746,B290,'Base bordo'!F$2:F$746,"MANUTENCAO - T O"),0)+IFERROR(SUMIFS('Base bordo'!G$2:G$746,'Base bordo'!C$2:C$746,A290,'Base bordo'!B$2:B$746,B290,'Base bordo'!F$2:F$746,"MANUTENCAO BORRACHARIA"),0)+IFERROR(SUMIFS('Base bordo'!G$2:G$746,'Base bordo'!C$2:C$746,A290,'Base bordo'!B$2:B$746,B290,'Base bordo'!F$2:F$746,"MANUTENCAO EXTERNA  CONCESSIONARIA"),0)+IFERROR(SUMIFS('Base bordo'!G$2:G$746,'Base bordo'!C$2:C$746,A290,'Base bordo'!B$2:B$746,B290,'Base bordo'!F$2:F$746,"MANUTENCAO TELEMETRIA"),0)</f>
        <v>0</v>
      </c>
      <c r="M290" s="10">
        <f>IFERROR(SUMIFS('Base bordo'!G$2:G$746,'Base bordo'!C$2:C$746,A290,'Base bordo'!B$2:B$746,B290,'Base bordo'!F$2:F$746,"AGUARDANDO MANUTENCAO"),0)</f>
        <v>0</v>
      </c>
      <c r="N290" s="10">
        <f>IFERROR(SUMIFS('Base bordo'!G$2:G$746,'Base bordo'!C$2:C$746,A290,'Base bordo'!B$2:B$746,B290,'Base bordo'!F$2:F$746,"SEM APONTAMENTO"),0)</f>
        <v>0</v>
      </c>
      <c r="O290" s="10">
        <f t="shared" si="36"/>
        <v>0</v>
      </c>
      <c r="P290" s="10">
        <f>IFERROR(SUMIFS('Base bordo'!G$2:G$746,'Base bordo'!C$2:C$746,A290,'Base bordo'!B$2:B$746,B290),0)</f>
        <v>19.637222222222224</v>
      </c>
      <c r="Q290" s="10">
        <f>IFERROR(SUMIFS('Base bordo'!H$2:H$746,'Base bordo'!C$2:C$746,A290,'Base bordo'!B$2:B$746,B290,'Base bordo'!F$2:F$746,"DESLOCAMENTO VAZIO"),0)</f>
        <v>26042.560000000001</v>
      </c>
      <c r="R290" s="10">
        <f>IFERROR(SUMIFS('Base bordo'!I$2:I$746,'Base bordo'!C$2:C$746,A290,'Base bordo'!B$2:B$746,B290,'Base bordo'!F$2:F$746,"DESLOCAMENTO VAZIO"),0)</f>
        <v>1198</v>
      </c>
      <c r="S290" s="30">
        <f t="shared" si="37"/>
        <v>21.738363939899834</v>
      </c>
      <c r="T290" s="10">
        <f>IFERROR(SUMIFS('Base bordo'!H$2:H$746,'Base bordo'!C$2:C$746,A290,'Base bordo'!B$2:B$746,B290,'Base bordo'!F$2:F$746,"DESLOCAMENTO CARREGADO"),0)</f>
        <v>0</v>
      </c>
      <c r="U290" s="10">
        <f>IFERROR(SUMIFS('Base bordo'!I$2:I$746,'Base bordo'!C$2:C$746,A290,'Base bordo'!B$2:B$746,B290,'Base bordo'!F$2:F$746,"DESLOCAMENTO CARREGADO"),0)</f>
        <v>0</v>
      </c>
      <c r="V290" s="30" t="str">
        <f t="shared" si="38"/>
        <v/>
      </c>
      <c r="W290" s="9">
        <f t="shared" si="39"/>
        <v>1.694627549721334E-2</v>
      </c>
      <c r="X290" s="9">
        <f t="shared" si="40"/>
        <v>0</v>
      </c>
      <c r="Y290" s="9">
        <f t="shared" si="41"/>
        <v>0.98305372450278661</v>
      </c>
    </row>
    <row r="291" spans="1:25" ht="15" customHeight="1" x14ac:dyDescent="0.35">
      <c r="A291" s="52">
        <v>8013468</v>
      </c>
      <c r="B291" s="51">
        <v>46119</v>
      </c>
      <c r="C291" s="7" t="s">
        <v>124</v>
      </c>
      <c r="D291" s="10">
        <f>IFERROR(SUMIFS('Base bordo'!G$2:G$746,'Base bordo'!C$2:C$746,A291,'Base bordo'!B$2:B$746,B291,'Base bordo'!F$2:F$746,"DESLOCAMENTO VAZIO"),0)</f>
        <v>1.4213888888888888</v>
      </c>
      <c r="E291" s="10">
        <f>IFERROR(SUMIFS('Base bordo'!G$2:G$746,'Base bordo'!C$2:C$746,A291,'Base bordo'!B$2:B$746,B291,'Base bordo'!F$2:F$746,"DESLOCAMENTO CARREGADO"),0)</f>
        <v>1.9991666666666668</v>
      </c>
      <c r="F291" s="10">
        <f>IFERROR(SUMIFS('Base bordo'!G$2:G$746,'Base bordo'!C$2:C$746,A291,'Base bordo'!B$2:B$746,B291,'Base bordo'!F$2:F$746,"DESLOCAMENTO"),0)</f>
        <v>0</v>
      </c>
      <c r="G291" s="10">
        <f>IFERROR(SUMIFS('Base bordo'!G$2:G$746,'Base bordo'!C$2:C$746,A291,'Base bordo'!B$2:B$746,B291,'Base bordo'!F$2:F$746,"CARREGAMENTO"),0)</f>
        <v>0</v>
      </c>
      <c r="H291" s="10">
        <f>IFERROR(SUMIFS('Base bordo'!G$2:G$746,'Base bordo'!C$2:C$746,A291,'Base bordo'!B$2:B$746,B291,'Base bordo'!F$2:F$746,"AGUARDANDO TRANSBORDO"),0)</f>
        <v>0.63555555555555554</v>
      </c>
      <c r="I291" s="10">
        <f>IFERROR(SUMIFS('Base bordo'!G$2:G$746,'Base bordo'!C$2:C$746,A291,'Base bordo'!B$2:B$746,B291,'Base bordo'!F$2:F$746,"PÁTIO INTERNO"),0)+IFERROR(SUMIFS('Base bordo'!G$2:G$746,'Base bordo'!C$2:C$746,A291,'Base bordo'!B$2:B$746,B291,'Base bordo'!F$2:F$746,"PÁTIO EXTERNO"),0)+IFERROR(SUMIFS('Base bordo'!G$2:G$746,'Base bordo'!C$2:C$746,A291,'Base bordo'!B$2:B$746,B291,'Base bordo'!F$2:F$746,"PATIO - RESERVA"),0)+IFERROR(SUMIFS('Base bordo'!G$2:G$746,'Base bordo'!C$2:C$746,A291,'Base bordo'!B$2:B$746,B291,'Base bordo'!F$2:F$746,"MANOBRA CARRETAS-PATIO"),0)</f>
        <v>0.58444444444444443</v>
      </c>
      <c r="J291" s="10">
        <f>IFERROR(SUMIFS('Base bordo'!G$2:G$746,'Base bordo'!C$2:C$746,A291,'Base bordo'!B$2:B$746,B291,'Base bordo'!F$2:F$746,"BALANÇA - ENTRADA"),0)+IFERROR(SUMIFS('Base bordo'!G$2:G$746,'Base bordo'!C$2:C$746,A291,'Base bordo'!B$2:B$746,B291,'Base bordo'!F$2:F$746,"BALANÇA - SAÍDA"),0)</f>
        <v>5.5555555555555558E-3</v>
      </c>
      <c r="K291" s="10">
        <f>IFERROR(SUMIFS('Base bordo'!G$2:G$746,'Base bordo'!C$2:C$746,A291,'Base bordo'!B$2:B$746,B291,'Base bordo'!F$2:F$746,"MAN PREVENTIVA - MECANICA"),0)+IFERROR(SUMIFS('Base bordo'!G$2:G$746,'Base bordo'!C$2:C$746,A291,'Base bordo'!B$2:B$746,B291,'Base bordo'!F$2:F$746,"MAN CORRETIVA - MECANICA"),0)</f>
        <v>0</v>
      </c>
      <c r="L291" s="10">
        <f>IFERROR(SUMIFS('Base bordo'!G$2:G$746,'Base bordo'!C$2:C$746,A291,'Base bordo'!B$2:B$746,B291,'Base bordo'!F$2:F$746,"MANUTENCAO - T O"),0)+IFERROR(SUMIFS('Base bordo'!G$2:G$746,'Base bordo'!C$2:C$746,A291,'Base bordo'!B$2:B$746,B291,'Base bordo'!F$2:F$746,"MANUTENCAO BORRACHARIA"),0)+IFERROR(SUMIFS('Base bordo'!G$2:G$746,'Base bordo'!C$2:C$746,A291,'Base bordo'!B$2:B$746,B291,'Base bordo'!F$2:F$746,"MANUTENCAO EXTERNA  CONCESSIONARIA"),0)+IFERROR(SUMIFS('Base bordo'!G$2:G$746,'Base bordo'!C$2:C$746,A291,'Base bordo'!B$2:B$746,B291,'Base bordo'!F$2:F$746,"MANUTENCAO TELEMETRIA"),0)</f>
        <v>0</v>
      </c>
      <c r="M291" s="10">
        <f>IFERROR(SUMIFS('Base bordo'!G$2:G$746,'Base bordo'!C$2:C$746,A291,'Base bordo'!B$2:B$746,B291,'Base bordo'!F$2:F$746,"AGUARDANDO MANUTENCAO"),0)</f>
        <v>0</v>
      </c>
      <c r="N291" s="10">
        <f>IFERROR(SUMIFS('Base bordo'!G$2:G$746,'Base bordo'!C$2:C$746,A291,'Base bordo'!B$2:B$746,B291,'Base bordo'!F$2:F$746,"SEM APONTAMENTO"),0)</f>
        <v>0</v>
      </c>
      <c r="O291" s="10">
        <f t="shared" si="36"/>
        <v>0</v>
      </c>
      <c r="P291" s="10">
        <f>IFERROR(SUMIFS('Base bordo'!G$2:G$746,'Base bordo'!C$2:C$746,A291,'Base bordo'!B$2:B$746,B291),0)</f>
        <v>4.6461111111111109</v>
      </c>
      <c r="Q291" s="10">
        <f>IFERROR(SUMIFS('Base bordo'!H$2:H$746,'Base bordo'!C$2:C$746,A291,'Base bordo'!B$2:B$746,B291,'Base bordo'!F$2:F$746,"DESLOCAMENTO VAZIO"),0)</f>
        <v>179137.35</v>
      </c>
      <c r="R291" s="10">
        <f>IFERROR(SUMIFS('Base bordo'!I$2:I$746,'Base bordo'!C$2:C$746,A291,'Base bordo'!B$2:B$746,B291,'Base bordo'!F$2:F$746,"DESLOCAMENTO VAZIO"),0)</f>
        <v>5117</v>
      </c>
      <c r="S291" s="30">
        <f t="shared" si="37"/>
        <v>35.008276333789333</v>
      </c>
      <c r="T291" s="10">
        <f>IFERROR(SUMIFS('Base bordo'!H$2:H$746,'Base bordo'!C$2:C$746,A291,'Base bordo'!B$2:B$746,B291,'Base bordo'!F$2:F$746,"DESLOCAMENTO CARREGADO"),0)</f>
        <v>170577.91</v>
      </c>
      <c r="U291" s="10">
        <f>IFERROR(SUMIFS('Base bordo'!I$2:I$746,'Base bordo'!C$2:C$746,A291,'Base bordo'!B$2:B$746,B291,'Base bordo'!F$2:F$746,"DESLOCAMENTO CARREGADO"),0)</f>
        <v>7197</v>
      </c>
      <c r="V291" s="30">
        <f t="shared" si="38"/>
        <v>23.701251910518273</v>
      </c>
      <c r="W291" s="9">
        <f t="shared" si="39"/>
        <v>0.30593088604567736</v>
      </c>
      <c r="X291" s="9">
        <f t="shared" si="40"/>
        <v>0.43028817410020331</v>
      </c>
      <c r="Y291" s="9">
        <f t="shared" si="41"/>
        <v>0.26378093985411932</v>
      </c>
    </row>
    <row r="292" spans="1:25" ht="15" customHeight="1" x14ac:dyDescent="0.35">
      <c r="A292" s="52">
        <v>8013484</v>
      </c>
      <c r="B292" s="51">
        <v>46119</v>
      </c>
      <c r="C292" s="7" t="s">
        <v>124</v>
      </c>
      <c r="D292" s="10">
        <f>IFERROR(SUMIFS('Base bordo'!G$2:G$746,'Base bordo'!C$2:C$746,A292,'Base bordo'!B$2:B$746,B292,'Base bordo'!F$2:F$746,"DESLOCAMENTO VAZIO"),0)</f>
        <v>1.3769444444444445</v>
      </c>
      <c r="E292" s="10">
        <f>IFERROR(SUMIFS('Base bordo'!G$2:G$746,'Base bordo'!C$2:C$746,A292,'Base bordo'!B$2:B$746,B292,'Base bordo'!F$2:F$746,"DESLOCAMENTO CARREGADO"),0)</f>
        <v>0</v>
      </c>
      <c r="F292" s="10">
        <f>IFERROR(SUMIFS('Base bordo'!G$2:G$746,'Base bordo'!C$2:C$746,A292,'Base bordo'!B$2:B$746,B292,'Base bordo'!F$2:F$746,"DESLOCAMENTO"),0)</f>
        <v>0</v>
      </c>
      <c r="G292" s="10">
        <f>IFERROR(SUMIFS('Base bordo'!G$2:G$746,'Base bordo'!C$2:C$746,A292,'Base bordo'!B$2:B$746,B292,'Base bordo'!F$2:F$746,"CARREGAMENTO"),0)</f>
        <v>0</v>
      </c>
      <c r="H292" s="10">
        <f>IFERROR(SUMIFS('Base bordo'!G$2:G$746,'Base bordo'!C$2:C$746,A292,'Base bordo'!B$2:B$746,B292,'Base bordo'!F$2:F$746,"AGUARDANDO TRANSBORDO"),0)</f>
        <v>0</v>
      </c>
      <c r="I292" s="10">
        <f>IFERROR(SUMIFS('Base bordo'!G$2:G$746,'Base bordo'!C$2:C$746,A292,'Base bordo'!B$2:B$746,B292,'Base bordo'!F$2:F$746,"PÁTIO INTERNO"),0)+IFERROR(SUMIFS('Base bordo'!G$2:G$746,'Base bordo'!C$2:C$746,A292,'Base bordo'!B$2:B$746,B292,'Base bordo'!F$2:F$746,"PÁTIO EXTERNO"),0)+IFERROR(SUMIFS('Base bordo'!G$2:G$746,'Base bordo'!C$2:C$746,A292,'Base bordo'!B$2:B$746,B292,'Base bordo'!F$2:F$746,"PATIO - RESERVA"),0)+IFERROR(SUMIFS('Base bordo'!G$2:G$746,'Base bordo'!C$2:C$746,A292,'Base bordo'!B$2:B$746,B292,'Base bordo'!F$2:F$746,"MANOBRA CARRETAS-PATIO"),0)</f>
        <v>1.4436111111111112</v>
      </c>
      <c r="J292" s="10">
        <f>IFERROR(SUMIFS('Base bordo'!G$2:G$746,'Base bordo'!C$2:C$746,A292,'Base bordo'!B$2:B$746,B292,'Base bordo'!F$2:F$746,"BALANÇA - ENTRADA"),0)+IFERROR(SUMIFS('Base bordo'!G$2:G$746,'Base bordo'!C$2:C$746,A292,'Base bordo'!B$2:B$746,B292,'Base bordo'!F$2:F$746,"BALANÇA - SAÍDA"),0)</f>
        <v>1.6111111111111111E-2</v>
      </c>
      <c r="K292" s="10">
        <f>IFERROR(SUMIFS('Base bordo'!G$2:G$746,'Base bordo'!C$2:C$746,A292,'Base bordo'!B$2:B$746,B292,'Base bordo'!F$2:F$746,"MAN PREVENTIVA - MECANICA"),0)+IFERROR(SUMIFS('Base bordo'!G$2:G$746,'Base bordo'!C$2:C$746,A292,'Base bordo'!B$2:B$746,B292,'Base bordo'!F$2:F$746,"MAN CORRETIVA - MECANICA"),0)</f>
        <v>0</v>
      </c>
      <c r="L292" s="10">
        <f>IFERROR(SUMIFS('Base bordo'!G$2:G$746,'Base bordo'!C$2:C$746,A292,'Base bordo'!B$2:B$746,B292,'Base bordo'!F$2:F$746,"MANUTENCAO - T O"),0)+IFERROR(SUMIFS('Base bordo'!G$2:G$746,'Base bordo'!C$2:C$746,A292,'Base bordo'!B$2:B$746,B292,'Base bordo'!F$2:F$746,"MANUTENCAO BORRACHARIA"),0)+IFERROR(SUMIFS('Base bordo'!G$2:G$746,'Base bordo'!C$2:C$746,A292,'Base bordo'!B$2:B$746,B292,'Base bordo'!F$2:F$746,"MANUTENCAO EXTERNA  CONCESSIONARIA"),0)+IFERROR(SUMIFS('Base bordo'!G$2:G$746,'Base bordo'!C$2:C$746,A292,'Base bordo'!B$2:B$746,B292,'Base bordo'!F$2:F$746,"MANUTENCAO TELEMETRIA"),0)</f>
        <v>0</v>
      </c>
      <c r="M292" s="10">
        <f>IFERROR(SUMIFS('Base bordo'!G$2:G$746,'Base bordo'!C$2:C$746,A292,'Base bordo'!B$2:B$746,B292,'Base bordo'!F$2:F$746,"AGUARDANDO MANUTENCAO"),0)</f>
        <v>0</v>
      </c>
      <c r="N292" s="10">
        <f>IFERROR(SUMIFS('Base bordo'!G$2:G$746,'Base bordo'!C$2:C$746,A292,'Base bordo'!B$2:B$746,B292,'Base bordo'!F$2:F$746,"SEM APONTAMENTO"),0)</f>
        <v>0</v>
      </c>
      <c r="O292" s="10">
        <f t="shared" si="36"/>
        <v>0</v>
      </c>
      <c r="P292" s="10">
        <f>IFERROR(SUMIFS('Base bordo'!G$2:G$746,'Base bordo'!C$2:C$746,A292,'Base bordo'!B$2:B$746,B292),0)</f>
        <v>2.8366666666666669</v>
      </c>
      <c r="Q292" s="10">
        <f>IFERROR(SUMIFS('Base bordo'!H$2:H$746,'Base bordo'!C$2:C$746,A292,'Base bordo'!B$2:B$746,B292,'Base bordo'!F$2:F$746,"DESLOCAMENTO VAZIO"),0)</f>
        <v>174540.98</v>
      </c>
      <c r="R292" s="10">
        <f>IFERROR(SUMIFS('Base bordo'!I$2:I$746,'Base bordo'!C$2:C$746,A292,'Base bordo'!B$2:B$746,B292,'Base bordo'!F$2:F$746,"DESLOCAMENTO VAZIO"),0)</f>
        <v>4957</v>
      </c>
      <c r="S292" s="30">
        <f t="shared" si="37"/>
        <v>35.211010691950776</v>
      </c>
      <c r="T292" s="10">
        <f>IFERROR(SUMIFS('Base bordo'!H$2:H$746,'Base bordo'!C$2:C$746,A292,'Base bordo'!B$2:B$746,B292,'Base bordo'!F$2:F$746,"DESLOCAMENTO CARREGADO"),0)</f>
        <v>0</v>
      </c>
      <c r="U292" s="10">
        <f>IFERROR(SUMIFS('Base bordo'!I$2:I$746,'Base bordo'!C$2:C$746,A292,'Base bordo'!B$2:B$746,B292,'Base bordo'!F$2:F$746,"DESLOCAMENTO CARREGADO"),0)</f>
        <v>0</v>
      </c>
      <c r="V292" s="30" t="str">
        <f t="shared" si="38"/>
        <v/>
      </c>
      <c r="W292" s="9">
        <f t="shared" si="39"/>
        <v>0.48540932236584411</v>
      </c>
      <c r="X292" s="9">
        <f t="shared" si="40"/>
        <v>0</v>
      </c>
      <c r="Y292" s="9">
        <f t="shared" si="41"/>
        <v>0.51459067763415589</v>
      </c>
    </row>
    <row r="293" spans="1:25" ht="15" customHeight="1" x14ac:dyDescent="0.35">
      <c r="A293" s="52">
        <v>8013460</v>
      </c>
      <c r="B293" s="51">
        <v>46119</v>
      </c>
      <c r="C293" s="7" t="s">
        <v>124</v>
      </c>
      <c r="D293" s="10">
        <f>IFERROR(SUMIFS('Base bordo'!G$2:G$746,'Base bordo'!C$2:C$746,A293,'Base bordo'!B$2:B$746,B293,'Base bordo'!F$2:F$746,"DESLOCAMENTO VAZIO"),0)</f>
        <v>7.5555555555555556E-2</v>
      </c>
      <c r="E293" s="10">
        <f>IFERROR(SUMIFS('Base bordo'!G$2:G$746,'Base bordo'!C$2:C$746,A293,'Base bordo'!B$2:B$746,B293,'Base bordo'!F$2:F$746,"DESLOCAMENTO CARREGADO"),0)</f>
        <v>0</v>
      </c>
      <c r="F293" s="10">
        <f>IFERROR(SUMIFS('Base bordo'!G$2:G$746,'Base bordo'!C$2:C$746,A293,'Base bordo'!B$2:B$746,B293,'Base bordo'!F$2:F$746,"DESLOCAMENTO"),0)</f>
        <v>0</v>
      </c>
      <c r="G293" s="10">
        <f>IFERROR(SUMIFS('Base bordo'!G$2:G$746,'Base bordo'!C$2:C$746,A293,'Base bordo'!B$2:B$746,B293,'Base bordo'!F$2:F$746,"CARREGAMENTO"),0)</f>
        <v>0</v>
      </c>
      <c r="H293" s="10">
        <f>IFERROR(SUMIFS('Base bordo'!G$2:G$746,'Base bordo'!C$2:C$746,A293,'Base bordo'!B$2:B$746,B293,'Base bordo'!F$2:F$746,"AGUARDANDO TRANSBORDO"),0)</f>
        <v>0</v>
      </c>
      <c r="I293" s="10">
        <f>IFERROR(SUMIFS('Base bordo'!G$2:G$746,'Base bordo'!C$2:C$746,A293,'Base bordo'!B$2:B$746,B293,'Base bordo'!F$2:F$746,"PÁTIO INTERNO"),0)+IFERROR(SUMIFS('Base bordo'!G$2:G$746,'Base bordo'!C$2:C$746,A293,'Base bordo'!B$2:B$746,B293,'Base bordo'!F$2:F$746,"PÁTIO EXTERNO"),0)+IFERROR(SUMIFS('Base bordo'!G$2:G$746,'Base bordo'!C$2:C$746,A293,'Base bordo'!B$2:B$746,B293,'Base bordo'!F$2:F$746,"PATIO - RESERVA"),0)+IFERROR(SUMIFS('Base bordo'!G$2:G$746,'Base bordo'!C$2:C$746,A293,'Base bordo'!B$2:B$746,B293,'Base bordo'!F$2:F$746,"MANOBRA CARRETAS-PATIO"),0)</f>
        <v>21.27138888888889</v>
      </c>
      <c r="J293" s="10">
        <f>IFERROR(SUMIFS('Base bordo'!G$2:G$746,'Base bordo'!C$2:C$746,A293,'Base bordo'!B$2:B$746,B293,'Base bordo'!F$2:F$746,"BALANÇA - ENTRADA"),0)+IFERROR(SUMIFS('Base bordo'!G$2:G$746,'Base bordo'!C$2:C$746,A293,'Base bordo'!B$2:B$746,B293,'Base bordo'!F$2:F$746,"BALANÇA - SAÍDA"),0)</f>
        <v>5.0000000000000001E-3</v>
      </c>
      <c r="K293" s="10">
        <f>IFERROR(SUMIFS('Base bordo'!G$2:G$746,'Base bordo'!C$2:C$746,A293,'Base bordo'!B$2:B$746,B293,'Base bordo'!F$2:F$746,"MAN PREVENTIVA - MECANICA"),0)+IFERROR(SUMIFS('Base bordo'!G$2:G$746,'Base bordo'!C$2:C$746,A293,'Base bordo'!B$2:B$746,B293,'Base bordo'!F$2:F$746,"MAN CORRETIVA - MECANICA"),0)</f>
        <v>0</v>
      </c>
      <c r="L293" s="10">
        <f>IFERROR(SUMIFS('Base bordo'!G$2:G$746,'Base bordo'!C$2:C$746,A293,'Base bordo'!B$2:B$746,B293,'Base bordo'!F$2:F$746,"MANUTENCAO - T O"),0)+IFERROR(SUMIFS('Base bordo'!G$2:G$746,'Base bordo'!C$2:C$746,A293,'Base bordo'!B$2:B$746,B293,'Base bordo'!F$2:F$746,"MANUTENCAO BORRACHARIA"),0)+IFERROR(SUMIFS('Base bordo'!G$2:G$746,'Base bordo'!C$2:C$746,A293,'Base bordo'!B$2:B$746,B293,'Base bordo'!F$2:F$746,"MANUTENCAO EXTERNA  CONCESSIONARIA"),0)+IFERROR(SUMIFS('Base bordo'!G$2:G$746,'Base bordo'!C$2:C$746,A293,'Base bordo'!B$2:B$746,B293,'Base bordo'!F$2:F$746,"MANUTENCAO TELEMETRIA"),0)</f>
        <v>0</v>
      </c>
      <c r="M293" s="10">
        <f>IFERROR(SUMIFS('Base bordo'!G$2:G$746,'Base bordo'!C$2:C$746,A293,'Base bordo'!B$2:B$746,B293,'Base bordo'!F$2:F$746,"AGUARDANDO MANUTENCAO"),0)</f>
        <v>0</v>
      </c>
      <c r="N293" s="10">
        <f>IFERROR(SUMIFS('Base bordo'!G$2:G$746,'Base bordo'!C$2:C$746,A293,'Base bordo'!B$2:B$746,B293,'Base bordo'!F$2:F$746,"SEM APONTAMENTO"),0)</f>
        <v>0</v>
      </c>
      <c r="O293" s="10">
        <f t="shared" si="36"/>
        <v>0</v>
      </c>
      <c r="P293" s="10">
        <f>IFERROR(SUMIFS('Base bordo'!G$2:G$746,'Base bordo'!C$2:C$746,A293,'Base bordo'!B$2:B$746,B293),0)</f>
        <v>21.351944444444445</v>
      </c>
      <c r="Q293" s="10">
        <f>IFERROR(SUMIFS('Base bordo'!H$2:H$746,'Base bordo'!C$2:C$746,A293,'Base bordo'!B$2:B$746,B293,'Base bordo'!F$2:F$746,"DESLOCAMENTO VAZIO"),0)</f>
        <v>1805.94</v>
      </c>
      <c r="R293" s="10">
        <f>IFERROR(SUMIFS('Base bordo'!I$2:I$746,'Base bordo'!C$2:C$746,A293,'Base bordo'!B$2:B$746,B293,'Base bordo'!F$2:F$746,"DESLOCAMENTO VAZIO"),0)</f>
        <v>272</v>
      </c>
      <c r="S293" s="30">
        <f t="shared" si="37"/>
        <v>6.6394852941176472</v>
      </c>
      <c r="T293" s="10">
        <f>IFERROR(SUMIFS('Base bordo'!H$2:H$746,'Base bordo'!C$2:C$746,A293,'Base bordo'!B$2:B$746,B293,'Base bordo'!F$2:F$746,"DESLOCAMENTO CARREGADO"),0)</f>
        <v>0</v>
      </c>
      <c r="U293" s="10">
        <f>IFERROR(SUMIFS('Base bordo'!I$2:I$746,'Base bordo'!C$2:C$746,A293,'Base bordo'!B$2:B$746,B293,'Base bordo'!F$2:F$746,"DESLOCAMENTO CARREGADO"),0)</f>
        <v>0</v>
      </c>
      <c r="V293" s="30" t="str">
        <f t="shared" si="38"/>
        <v/>
      </c>
      <c r="W293" s="9">
        <f t="shared" si="39"/>
        <v>3.5385796245462941E-3</v>
      </c>
      <c r="X293" s="9">
        <f t="shared" si="40"/>
        <v>0</v>
      </c>
      <c r="Y293" s="9">
        <f t="shared" si="41"/>
        <v>0.99646142037545371</v>
      </c>
    </row>
    <row r="294" spans="1:25" ht="15" customHeight="1" x14ac:dyDescent="0.35">
      <c r="A294" s="52">
        <v>8013462</v>
      </c>
      <c r="B294" s="51">
        <v>46118</v>
      </c>
      <c r="C294" s="7" t="s">
        <v>124</v>
      </c>
      <c r="D294" s="10">
        <f>IFERROR(SUMIFS('Base bordo'!G$2:G$746,'Base bordo'!C$2:C$746,A294,'Base bordo'!B$2:B$746,B294,'Base bordo'!F$2:F$746,"DESLOCAMENTO VAZIO"),0)</f>
        <v>2.9716666666666667</v>
      </c>
      <c r="E294" s="10">
        <f>IFERROR(SUMIFS('Base bordo'!G$2:G$746,'Base bordo'!C$2:C$746,A294,'Base bordo'!B$2:B$746,B294,'Base bordo'!F$2:F$746,"DESLOCAMENTO CARREGADO"),0)</f>
        <v>3.6794444444444445</v>
      </c>
      <c r="F294" s="10">
        <f>IFERROR(SUMIFS('Base bordo'!G$2:G$746,'Base bordo'!C$2:C$746,A294,'Base bordo'!B$2:B$746,B294,'Base bordo'!F$2:F$746,"DESLOCAMENTO"),0)</f>
        <v>0.29694444444444446</v>
      </c>
      <c r="G294" s="10">
        <f>IFERROR(SUMIFS('Base bordo'!G$2:G$746,'Base bordo'!C$2:C$746,A294,'Base bordo'!B$2:B$746,B294,'Base bordo'!F$2:F$746,"CARREGAMENTO"),0)</f>
        <v>0.64583333333333337</v>
      </c>
      <c r="H294" s="10">
        <f>IFERROR(SUMIFS('Base bordo'!G$2:G$746,'Base bordo'!C$2:C$746,A294,'Base bordo'!B$2:B$746,B294,'Base bordo'!F$2:F$746,"AGUARDANDO TRANSBORDO"),0)</f>
        <v>9.6666666666666665E-2</v>
      </c>
      <c r="I294" s="10">
        <f>IFERROR(SUMIFS('Base bordo'!G$2:G$746,'Base bordo'!C$2:C$746,A294,'Base bordo'!B$2:B$746,B294,'Base bordo'!F$2:F$746,"PÁTIO INTERNO"),0)+IFERROR(SUMIFS('Base bordo'!G$2:G$746,'Base bordo'!C$2:C$746,A294,'Base bordo'!B$2:B$746,B294,'Base bordo'!F$2:F$746,"PÁTIO EXTERNO"),0)+IFERROR(SUMIFS('Base bordo'!G$2:G$746,'Base bordo'!C$2:C$746,A294,'Base bordo'!B$2:B$746,B294,'Base bordo'!F$2:F$746,"PATIO - RESERVA"),0)+IFERROR(SUMIFS('Base bordo'!G$2:G$746,'Base bordo'!C$2:C$746,A294,'Base bordo'!B$2:B$746,B294,'Base bordo'!F$2:F$746,"MANOBRA CARRETAS-PATIO"),0)</f>
        <v>9.5841666666666665</v>
      </c>
      <c r="J294" s="10">
        <f>IFERROR(SUMIFS('Base bordo'!G$2:G$746,'Base bordo'!C$2:C$746,A294,'Base bordo'!B$2:B$746,B294,'Base bordo'!F$2:F$746,"BALANÇA - ENTRADA"),0)+IFERROR(SUMIFS('Base bordo'!G$2:G$746,'Base bordo'!C$2:C$746,A294,'Base bordo'!B$2:B$746,B294,'Base bordo'!F$2:F$746,"BALANÇA - SAÍDA"),0)</f>
        <v>4.1944444444444444E-2</v>
      </c>
      <c r="K294" s="10">
        <f>IFERROR(SUMIFS('Base bordo'!G$2:G$746,'Base bordo'!C$2:C$746,A294,'Base bordo'!B$2:B$746,B294,'Base bordo'!F$2:F$746,"MAN PREVENTIVA - MECANICA"),0)+IFERROR(SUMIFS('Base bordo'!G$2:G$746,'Base bordo'!C$2:C$746,A294,'Base bordo'!B$2:B$746,B294,'Base bordo'!F$2:F$746,"MAN CORRETIVA - MECANICA"),0)</f>
        <v>0</v>
      </c>
      <c r="L294" s="10">
        <f>IFERROR(SUMIFS('Base bordo'!G$2:G$746,'Base bordo'!C$2:C$746,A294,'Base bordo'!B$2:B$746,B294,'Base bordo'!F$2:F$746,"MANUTENCAO - T O"),0)+IFERROR(SUMIFS('Base bordo'!G$2:G$746,'Base bordo'!C$2:C$746,A294,'Base bordo'!B$2:B$746,B294,'Base bordo'!F$2:F$746,"MANUTENCAO BORRACHARIA"),0)+IFERROR(SUMIFS('Base bordo'!G$2:G$746,'Base bordo'!C$2:C$746,A294,'Base bordo'!B$2:B$746,B294,'Base bordo'!F$2:F$746,"MANUTENCAO EXTERNA  CONCESSIONARIA"),0)+IFERROR(SUMIFS('Base bordo'!G$2:G$746,'Base bordo'!C$2:C$746,A294,'Base bordo'!B$2:B$746,B294,'Base bordo'!F$2:F$746,"MANUTENCAO TELEMETRIA"),0)</f>
        <v>1.6502777777777777</v>
      </c>
      <c r="M294" s="10">
        <f>IFERROR(SUMIFS('Base bordo'!G$2:G$746,'Base bordo'!C$2:C$746,A294,'Base bordo'!B$2:B$746,B294,'Base bordo'!F$2:F$746,"AGUARDANDO MANUTENCAO"),0)</f>
        <v>3.7263888888888888</v>
      </c>
      <c r="N294" s="10">
        <f>IFERROR(SUMIFS('Base bordo'!G$2:G$746,'Base bordo'!C$2:C$746,A294,'Base bordo'!B$2:B$746,B294,'Base bordo'!F$2:F$746,"SEM APONTAMENTO"),0)</f>
        <v>0</v>
      </c>
      <c r="O294" s="10">
        <f t="shared" si="36"/>
        <v>1.3066666666666684</v>
      </c>
      <c r="P294" s="10">
        <f>IFERROR(SUMIFS('Base bordo'!G$2:G$746,'Base bordo'!C$2:C$746,A294,'Base bordo'!B$2:B$746,B294),0)</f>
        <v>24</v>
      </c>
      <c r="Q294" s="10">
        <f>IFERROR(SUMIFS('Base bordo'!H$2:H$746,'Base bordo'!C$2:C$746,A294,'Base bordo'!B$2:B$746,B294,'Base bordo'!F$2:F$746,"DESLOCAMENTO VAZIO"),0)</f>
        <v>362928.54000000004</v>
      </c>
      <c r="R294" s="10">
        <f>IFERROR(SUMIFS('Base bordo'!I$2:I$746,'Base bordo'!C$2:C$746,A294,'Base bordo'!B$2:B$746,B294,'Base bordo'!F$2:F$746,"DESLOCAMENTO VAZIO"),0)</f>
        <v>10698</v>
      </c>
      <c r="S294" s="30">
        <f t="shared" si="37"/>
        <v>33.924896242288284</v>
      </c>
      <c r="T294" s="10">
        <f>IFERROR(SUMIFS('Base bordo'!H$2:H$746,'Base bordo'!C$2:C$746,A294,'Base bordo'!B$2:B$746,B294,'Base bordo'!F$2:F$746,"DESLOCAMENTO CARREGADO"),0)</f>
        <v>342744.39</v>
      </c>
      <c r="U294" s="10">
        <f>IFERROR(SUMIFS('Base bordo'!I$2:I$746,'Base bordo'!C$2:C$746,A294,'Base bordo'!B$2:B$746,B294,'Base bordo'!F$2:F$746,"DESLOCAMENTO CARREGADO"),0)</f>
        <v>13234</v>
      </c>
      <c r="V294" s="30">
        <f t="shared" si="38"/>
        <v>25.89877512467886</v>
      </c>
      <c r="W294" s="9">
        <f t="shared" si="39"/>
        <v>0.12381944444444444</v>
      </c>
      <c r="X294" s="9">
        <f t="shared" si="40"/>
        <v>0.15331018518518519</v>
      </c>
      <c r="Y294" s="9">
        <f t="shared" si="41"/>
        <v>0.72287037037037027</v>
      </c>
    </row>
    <row r="295" spans="1:25" ht="15" customHeight="1" x14ac:dyDescent="0.35">
      <c r="A295" s="52">
        <v>8013472</v>
      </c>
      <c r="B295" s="51">
        <v>46118</v>
      </c>
      <c r="C295" s="7" t="s">
        <v>124</v>
      </c>
      <c r="D295" s="10">
        <f>IFERROR(SUMIFS('Base bordo'!G$2:G$746,'Base bordo'!C$2:C$746,A295,'Base bordo'!B$2:B$746,B295,'Base bordo'!F$2:F$746,"DESLOCAMENTO VAZIO"),0)</f>
        <v>1.75</v>
      </c>
      <c r="E295" s="10">
        <f>IFERROR(SUMIFS('Base bordo'!G$2:G$746,'Base bordo'!C$2:C$746,A295,'Base bordo'!B$2:B$746,B295,'Base bordo'!F$2:F$746,"DESLOCAMENTO CARREGADO"),0)</f>
        <v>2.4983333333333335</v>
      </c>
      <c r="F295" s="10">
        <f>IFERROR(SUMIFS('Base bordo'!G$2:G$746,'Base bordo'!C$2:C$746,A295,'Base bordo'!B$2:B$746,B295,'Base bordo'!F$2:F$746,"DESLOCAMENTO"),0)</f>
        <v>1.1605555555555556</v>
      </c>
      <c r="G295" s="10">
        <f>IFERROR(SUMIFS('Base bordo'!G$2:G$746,'Base bordo'!C$2:C$746,A295,'Base bordo'!B$2:B$746,B295,'Base bordo'!F$2:F$746,"CARREGAMENTO"),0)</f>
        <v>0</v>
      </c>
      <c r="H295" s="10">
        <f>IFERROR(SUMIFS('Base bordo'!G$2:G$746,'Base bordo'!C$2:C$746,A295,'Base bordo'!B$2:B$746,B295,'Base bordo'!F$2:F$746,"AGUARDANDO TRANSBORDO"),0)</f>
        <v>0</v>
      </c>
      <c r="I295" s="10">
        <f>IFERROR(SUMIFS('Base bordo'!G$2:G$746,'Base bordo'!C$2:C$746,A295,'Base bordo'!B$2:B$746,B295,'Base bordo'!F$2:F$746,"PÁTIO INTERNO"),0)+IFERROR(SUMIFS('Base bordo'!G$2:G$746,'Base bordo'!C$2:C$746,A295,'Base bordo'!B$2:B$746,B295,'Base bordo'!F$2:F$746,"PÁTIO EXTERNO"),0)+IFERROR(SUMIFS('Base bordo'!G$2:G$746,'Base bordo'!C$2:C$746,A295,'Base bordo'!B$2:B$746,B295,'Base bordo'!F$2:F$746,"PATIO - RESERVA"),0)+IFERROR(SUMIFS('Base bordo'!G$2:G$746,'Base bordo'!C$2:C$746,A295,'Base bordo'!B$2:B$746,B295,'Base bordo'!F$2:F$746,"MANOBRA CARRETAS-PATIO"),0)</f>
        <v>6.2741666666666669</v>
      </c>
      <c r="J295" s="10">
        <f>IFERROR(SUMIFS('Base bordo'!G$2:G$746,'Base bordo'!C$2:C$746,A295,'Base bordo'!B$2:B$746,B295,'Base bordo'!F$2:F$746,"BALANÇA - ENTRADA"),0)+IFERROR(SUMIFS('Base bordo'!G$2:G$746,'Base bordo'!C$2:C$746,A295,'Base bordo'!B$2:B$746,B295,'Base bordo'!F$2:F$746,"BALANÇA - SAÍDA"),0)</f>
        <v>1.2222222222222223E-2</v>
      </c>
      <c r="K295" s="10">
        <f>IFERROR(SUMIFS('Base bordo'!G$2:G$746,'Base bordo'!C$2:C$746,A295,'Base bordo'!B$2:B$746,B295,'Base bordo'!F$2:F$746,"MAN PREVENTIVA - MECANICA"),0)+IFERROR(SUMIFS('Base bordo'!G$2:G$746,'Base bordo'!C$2:C$746,A295,'Base bordo'!B$2:B$746,B295,'Base bordo'!F$2:F$746,"MAN CORRETIVA - MECANICA"),0)</f>
        <v>0</v>
      </c>
      <c r="L295" s="10">
        <f>IFERROR(SUMIFS('Base bordo'!G$2:G$746,'Base bordo'!C$2:C$746,A295,'Base bordo'!B$2:B$746,B295,'Base bordo'!F$2:F$746,"MANUTENCAO - T O"),0)+IFERROR(SUMIFS('Base bordo'!G$2:G$746,'Base bordo'!C$2:C$746,A295,'Base bordo'!B$2:B$746,B295,'Base bordo'!F$2:F$746,"MANUTENCAO BORRACHARIA"),0)+IFERROR(SUMIFS('Base bordo'!G$2:G$746,'Base bordo'!C$2:C$746,A295,'Base bordo'!B$2:B$746,B295,'Base bordo'!F$2:F$746,"MANUTENCAO EXTERNA  CONCESSIONARIA"),0)+IFERROR(SUMIFS('Base bordo'!G$2:G$746,'Base bordo'!C$2:C$746,A295,'Base bordo'!B$2:B$746,B295,'Base bordo'!F$2:F$746,"MANUTENCAO TELEMETRIA"),0)</f>
        <v>2.3786111111111112</v>
      </c>
      <c r="M295" s="10">
        <f>IFERROR(SUMIFS('Base bordo'!G$2:G$746,'Base bordo'!C$2:C$746,A295,'Base bordo'!B$2:B$746,B295,'Base bordo'!F$2:F$746,"AGUARDANDO MANUTENCAO"),0)</f>
        <v>5.3633333333333333</v>
      </c>
      <c r="N295" s="10">
        <f>IFERROR(SUMIFS('Base bordo'!G$2:G$746,'Base bordo'!C$2:C$746,A295,'Base bordo'!B$2:B$746,B295,'Base bordo'!F$2:F$746,"SEM APONTAMENTO"),0)</f>
        <v>0</v>
      </c>
      <c r="O295" s="10">
        <f t="shared" si="36"/>
        <v>0</v>
      </c>
      <c r="P295" s="10">
        <f>IFERROR(SUMIFS('Base bordo'!G$2:G$746,'Base bordo'!C$2:C$746,A295,'Base bordo'!B$2:B$746,B295),0)</f>
        <v>19.437222222222221</v>
      </c>
      <c r="Q295" s="10">
        <f>IFERROR(SUMIFS('Base bordo'!H$2:H$746,'Base bordo'!C$2:C$746,A295,'Base bordo'!B$2:B$746,B295,'Base bordo'!F$2:F$746,"DESLOCAMENTO VAZIO"),0)</f>
        <v>117213.39</v>
      </c>
      <c r="R295" s="10">
        <f>IFERROR(SUMIFS('Base bordo'!I$2:I$746,'Base bordo'!C$2:C$746,A295,'Base bordo'!B$2:B$746,B295,'Base bordo'!F$2:F$746,"DESLOCAMENTO VAZIO"),0)</f>
        <v>6300</v>
      </c>
      <c r="S295" s="30">
        <f t="shared" si="37"/>
        <v>18.6053</v>
      </c>
      <c r="T295" s="10">
        <f>IFERROR(SUMIFS('Base bordo'!H$2:H$746,'Base bordo'!C$2:C$746,A295,'Base bordo'!B$2:B$746,B295,'Base bordo'!F$2:F$746,"DESLOCAMENTO CARREGADO"),0)</f>
        <v>206109.95</v>
      </c>
      <c r="U295" s="10">
        <f>IFERROR(SUMIFS('Base bordo'!I$2:I$746,'Base bordo'!C$2:C$746,A295,'Base bordo'!B$2:B$746,B295,'Base bordo'!F$2:F$746,"DESLOCAMENTO CARREGADO"),0)</f>
        <v>8677</v>
      </c>
      <c r="V295" s="30">
        <f t="shared" si="38"/>
        <v>23.753595712803964</v>
      </c>
      <c r="W295" s="9">
        <f t="shared" si="39"/>
        <v>9.0033440992368596E-2</v>
      </c>
      <c r="X295" s="9">
        <f t="shared" si="40"/>
        <v>0.128533455283391</v>
      </c>
      <c r="Y295" s="9">
        <f t="shared" si="41"/>
        <v>0.78143310372424046</v>
      </c>
    </row>
    <row r="296" spans="1:25" ht="15" customHeight="1" x14ac:dyDescent="0.35">
      <c r="A296" s="52">
        <v>8013483</v>
      </c>
      <c r="B296" s="51">
        <v>46123</v>
      </c>
      <c r="C296" s="7" t="s">
        <v>124</v>
      </c>
      <c r="D296" s="10">
        <f>IFERROR(SUMIFS('Base bordo'!G$2:G$746,'Base bordo'!C$2:C$746,A296,'Base bordo'!B$2:B$746,B296,'Base bordo'!F$2:F$746,"DESLOCAMENTO VAZIO"),0)</f>
        <v>2.875</v>
      </c>
      <c r="E296" s="10">
        <f>IFERROR(SUMIFS('Base bordo'!G$2:G$746,'Base bordo'!C$2:C$746,A296,'Base bordo'!B$2:B$746,B296,'Base bordo'!F$2:F$746,"DESLOCAMENTO CARREGADO"),0)</f>
        <v>1.3638888888888889</v>
      </c>
      <c r="F296" s="10">
        <f>IFERROR(SUMIFS('Base bordo'!G$2:G$746,'Base bordo'!C$2:C$746,A296,'Base bordo'!B$2:B$746,B296,'Base bordo'!F$2:F$746,"DESLOCAMENTO"),0)</f>
        <v>0.20861111111111111</v>
      </c>
      <c r="G296" s="10">
        <f>IFERROR(SUMIFS('Base bordo'!G$2:G$746,'Base bordo'!C$2:C$746,A296,'Base bordo'!B$2:B$746,B296,'Base bordo'!F$2:F$746,"CARREGAMENTO"),0)</f>
        <v>0</v>
      </c>
      <c r="H296" s="10">
        <f>IFERROR(SUMIFS('Base bordo'!G$2:G$746,'Base bordo'!C$2:C$746,A296,'Base bordo'!B$2:B$746,B296,'Base bordo'!F$2:F$746,"AGUARDANDO TRANSBORDO"),0)</f>
        <v>0.54722222222222228</v>
      </c>
      <c r="I296" s="10">
        <f>IFERROR(SUMIFS('Base bordo'!G$2:G$746,'Base bordo'!C$2:C$746,A296,'Base bordo'!B$2:B$746,B296,'Base bordo'!F$2:F$746,"PÁTIO INTERNO"),0)+IFERROR(SUMIFS('Base bordo'!G$2:G$746,'Base bordo'!C$2:C$746,A296,'Base bordo'!B$2:B$746,B296,'Base bordo'!F$2:F$746,"PÁTIO EXTERNO"),0)+IFERROR(SUMIFS('Base bordo'!G$2:G$746,'Base bordo'!C$2:C$746,A296,'Base bordo'!B$2:B$746,B296,'Base bordo'!F$2:F$746,"PATIO - RESERVA"),0)+IFERROR(SUMIFS('Base bordo'!G$2:G$746,'Base bordo'!C$2:C$746,A296,'Base bordo'!B$2:B$746,B296,'Base bordo'!F$2:F$746,"MANOBRA CARRETAS-PATIO"),0)</f>
        <v>0.5708333333333333</v>
      </c>
      <c r="J296" s="10">
        <f>IFERROR(SUMIFS('Base bordo'!G$2:G$746,'Base bordo'!C$2:C$746,A296,'Base bordo'!B$2:B$746,B296,'Base bordo'!F$2:F$746,"BALANÇA - ENTRADA"),0)+IFERROR(SUMIFS('Base bordo'!G$2:G$746,'Base bordo'!C$2:C$746,A296,'Base bordo'!B$2:B$746,B296,'Base bordo'!F$2:F$746,"BALANÇA - SAÍDA"),0)</f>
        <v>0</v>
      </c>
      <c r="K296" s="10">
        <f>IFERROR(SUMIFS('Base bordo'!G$2:G$746,'Base bordo'!C$2:C$746,A296,'Base bordo'!B$2:B$746,B296,'Base bordo'!F$2:F$746,"MAN PREVENTIVA - MECANICA"),0)+IFERROR(SUMIFS('Base bordo'!G$2:G$746,'Base bordo'!C$2:C$746,A296,'Base bordo'!B$2:B$746,B296,'Base bordo'!F$2:F$746,"MAN CORRETIVA - MECANICA"),0)</f>
        <v>0</v>
      </c>
      <c r="L296" s="10">
        <f>IFERROR(SUMIFS('Base bordo'!G$2:G$746,'Base bordo'!C$2:C$746,A296,'Base bordo'!B$2:B$746,B296,'Base bordo'!F$2:F$746,"MANUTENCAO - T O"),0)+IFERROR(SUMIFS('Base bordo'!G$2:G$746,'Base bordo'!C$2:C$746,A296,'Base bordo'!B$2:B$746,B296,'Base bordo'!F$2:F$746,"MANUTENCAO BORRACHARIA"),0)+IFERROR(SUMIFS('Base bordo'!G$2:G$746,'Base bordo'!C$2:C$746,A296,'Base bordo'!B$2:B$746,B296,'Base bordo'!F$2:F$746,"MANUTENCAO EXTERNA  CONCESSIONARIA"),0)+IFERROR(SUMIFS('Base bordo'!G$2:G$746,'Base bordo'!C$2:C$746,A296,'Base bordo'!B$2:B$746,B296,'Base bordo'!F$2:F$746,"MANUTENCAO TELEMETRIA"),0)</f>
        <v>0</v>
      </c>
      <c r="M296" s="10">
        <f>IFERROR(SUMIFS('Base bordo'!G$2:G$746,'Base bordo'!C$2:C$746,A296,'Base bordo'!B$2:B$746,B296,'Base bordo'!F$2:F$746,"AGUARDANDO MANUTENCAO"),0)</f>
        <v>0</v>
      </c>
      <c r="N296" s="10">
        <f>IFERROR(SUMIFS('Base bordo'!G$2:G$746,'Base bordo'!C$2:C$746,A296,'Base bordo'!B$2:B$746,B296,'Base bordo'!F$2:F$746,"SEM APONTAMENTO"),0)</f>
        <v>0</v>
      </c>
      <c r="O296" s="10">
        <f t="shared" si="36"/>
        <v>0.27361111111111125</v>
      </c>
      <c r="P296" s="10">
        <f>IFERROR(SUMIFS('Base bordo'!G$2:G$746,'Base bordo'!C$2:C$746,A296,'Base bordo'!B$2:B$746,B296),0)</f>
        <v>5.8391666666666664</v>
      </c>
      <c r="Q296" s="10">
        <f>IFERROR(SUMIFS('Base bordo'!H$2:H$746,'Base bordo'!C$2:C$746,A296,'Base bordo'!B$2:B$746,B296,'Base bordo'!F$2:F$746,"DESLOCAMENTO VAZIO"),0)</f>
        <v>352932.77</v>
      </c>
      <c r="R296" s="10">
        <f>IFERROR(SUMIFS('Base bordo'!I$2:I$746,'Base bordo'!C$2:C$746,A296,'Base bordo'!B$2:B$746,B296,'Base bordo'!F$2:F$746,"DESLOCAMENTO VAZIO"),0)</f>
        <v>10350</v>
      </c>
      <c r="S296" s="30">
        <f t="shared" si="37"/>
        <v>34.099784541062803</v>
      </c>
      <c r="T296" s="10">
        <f>IFERROR(SUMIFS('Base bordo'!H$2:H$746,'Base bordo'!C$2:C$746,A296,'Base bordo'!B$2:B$746,B296,'Base bordo'!F$2:F$746,"DESLOCAMENTO CARREGADO"),0)</f>
        <v>73870.23000000001</v>
      </c>
      <c r="U296" s="10">
        <f>IFERROR(SUMIFS('Base bordo'!I$2:I$746,'Base bordo'!C$2:C$746,A296,'Base bordo'!B$2:B$746,B296,'Base bordo'!F$2:F$746,"DESLOCAMENTO CARREGADO"),0)</f>
        <v>4910</v>
      </c>
      <c r="V296" s="30">
        <f t="shared" si="38"/>
        <v>15.044853360488801</v>
      </c>
      <c r="W296" s="9">
        <f t="shared" si="39"/>
        <v>0.49236477807906381</v>
      </c>
      <c r="X296" s="9">
        <f t="shared" si="40"/>
        <v>0.23357594786166216</v>
      </c>
      <c r="Y296" s="9">
        <f t="shared" si="41"/>
        <v>0.27405927405927399</v>
      </c>
    </row>
    <row r="297" spans="1:25" ht="15" customHeight="1" x14ac:dyDescent="0.35">
      <c r="A297" s="52">
        <v>8013468</v>
      </c>
      <c r="B297" s="51">
        <v>46124</v>
      </c>
      <c r="C297" s="7" t="s">
        <v>124</v>
      </c>
      <c r="D297" s="10">
        <f>IFERROR(SUMIFS('Base bordo'!G$2:G$746,'Base bordo'!C$2:C$746,A297,'Base bordo'!B$2:B$746,B297,'Base bordo'!F$2:F$746,"DESLOCAMENTO VAZIO"),0)</f>
        <v>2.4347222222222222</v>
      </c>
      <c r="E297" s="10">
        <f>IFERROR(SUMIFS('Base bordo'!G$2:G$746,'Base bordo'!C$2:C$746,A297,'Base bordo'!B$2:B$746,B297,'Base bordo'!F$2:F$746,"DESLOCAMENTO CARREGADO"),0)</f>
        <v>3.8097222222222222</v>
      </c>
      <c r="F297" s="10">
        <f>IFERROR(SUMIFS('Base bordo'!G$2:G$746,'Base bordo'!C$2:C$746,A297,'Base bordo'!B$2:B$746,B297,'Base bordo'!F$2:F$746,"DESLOCAMENTO"),0)</f>
        <v>0</v>
      </c>
      <c r="G297" s="10">
        <f>IFERROR(SUMIFS('Base bordo'!G$2:G$746,'Base bordo'!C$2:C$746,A297,'Base bordo'!B$2:B$746,B297,'Base bordo'!F$2:F$746,"CARREGAMENTO"),0)</f>
        <v>0</v>
      </c>
      <c r="H297" s="10">
        <f>IFERROR(SUMIFS('Base bordo'!G$2:G$746,'Base bordo'!C$2:C$746,A297,'Base bordo'!B$2:B$746,B297,'Base bordo'!F$2:F$746,"AGUARDANDO TRANSBORDO"),0)</f>
        <v>0.71027777777777779</v>
      </c>
      <c r="I297" s="10">
        <f>IFERROR(SUMIFS('Base bordo'!G$2:G$746,'Base bordo'!C$2:C$746,A297,'Base bordo'!B$2:B$746,B297,'Base bordo'!F$2:F$746,"PÁTIO INTERNO"),0)+IFERROR(SUMIFS('Base bordo'!G$2:G$746,'Base bordo'!C$2:C$746,A297,'Base bordo'!B$2:B$746,B297,'Base bordo'!F$2:F$746,"PÁTIO EXTERNO"),0)+IFERROR(SUMIFS('Base bordo'!G$2:G$746,'Base bordo'!C$2:C$746,A297,'Base bordo'!B$2:B$746,B297,'Base bordo'!F$2:F$746,"PATIO - RESERVA"),0)+IFERROR(SUMIFS('Base bordo'!G$2:G$746,'Base bordo'!C$2:C$746,A297,'Base bordo'!B$2:B$746,B297,'Base bordo'!F$2:F$746,"MANOBRA CARRETAS-PATIO"),0)</f>
        <v>5.4283333333333337</v>
      </c>
      <c r="J297" s="10">
        <f>IFERROR(SUMIFS('Base bordo'!G$2:G$746,'Base bordo'!C$2:C$746,A297,'Base bordo'!B$2:B$746,B297,'Base bordo'!F$2:F$746,"BALANÇA - ENTRADA"),0)+IFERROR(SUMIFS('Base bordo'!G$2:G$746,'Base bordo'!C$2:C$746,A297,'Base bordo'!B$2:B$746,B297,'Base bordo'!F$2:F$746,"BALANÇA - SAÍDA"),0)</f>
        <v>0.4177777777777778</v>
      </c>
      <c r="K297" s="10">
        <f>IFERROR(SUMIFS('Base bordo'!G$2:G$746,'Base bordo'!C$2:C$746,A297,'Base bordo'!B$2:B$746,B297,'Base bordo'!F$2:F$746,"MAN PREVENTIVA - MECANICA"),0)+IFERROR(SUMIFS('Base bordo'!G$2:G$746,'Base bordo'!C$2:C$746,A297,'Base bordo'!B$2:B$746,B297,'Base bordo'!F$2:F$746,"MAN CORRETIVA - MECANICA"),0)</f>
        <v>0</v>
      </c>
      <c r="L297" s="10">
        <f>IFERROR(SUMIFS('Base bordo'!G$2:G$746,'Base bordo'!C$2:C$746,A297,'Base bordo'!B$2:B$746,B297,'Base bordo'!F$2:F$746,"MANUTENCAO - T O"),0)+IFERROR(SUMIFS('Base bordo'!G$2:G$746,'Base bordo'!C$2:C$746,A297,'Base bordo'!B$2:B$746,B297,'Base bordo'!F$2:F$746,"MANUTENCAO BORRACHARIA"),0)+IFERROR(SUMIFS('Base bordo'!G$2:G$746,'Base bordo'!C$2:C$746,A297,'Base bordo'!B$2:B$746,B297,'Base bordo'!F$2:F$746,"MANUTENCAO EXTERNA  CONCESSIONARIA"),0)+IFERROR(SUMIFS('Base bordo'!G$2:G$746,'Base bordo'!C$2:C$746,A297,'Base bordo'!B$2:B$746,B297,'Base bordo'!F$2:F$746,"MANUTENCAO TELEMETRIA"),0)</f>
        <v>0</v>
      </c>
      <c r="M297" s="10">
        <f>IFERROR(SUMIFS('Base bordo'!G$2:G$746,'Base bordo'!C$2:C$746,A297,'Base bordo'!B$2:B$746,B297,'Base bordo'!F$2:F$746,"AGUARDANDO MANUTENCAO"),0)</f>
        <v>0</v>
      </c>
      <c r="N297" s="10">
        <f>IFERROR(SUMIFS('Base bordo'!G$2:G$746,'Base bordo'!C$2:C$746,A297,'Base bordo'!B$2:B$746,B297,'Base bordo'!F$2:F$746,"SEM APONTAMENTO"),0)</f>
        <v>0</v>
      </c>
      <c r="O297" s="10">
        <f t="shared" si="36"/>
        <v>1.7763568394002505E-15</v>
      </c>
      <c r="P297" s="10">
        <f>IFERROR(SUMIFS('Base bordo'!G$2:G$746,'Base bordo'!C$2:C$746,A297,'Base bordo'!B$2:B$746,B297),0)</f>
        <v>12.800833333333335</v>
      </c>
      <c r="Q297" s="10">
        <f>IFERROR(SUMIFS('Base bordo'!H$2:H$746,'Base bordo'!C$2:C$746,A297,'Base bordo'!B$2:B$746,B297,'Base bordo'!F$2:F$746,"DESLOCAMENTO VAZIO"),0)</f>
        <v>322127.41000000003</v>
      </c>
      <c r="R297" s="10">
        <f>IFERROR(SUMIFS('Base bordo'!I$2:I$746,'Base bordo'!C$2:C$746,A297,'Base bordo'!B$2:B$746,B297,'Base bordo'!F$2:F$746,"DESLOCAMENTO VAZIO"),0)</f>
        <v>8765</v>
      </c>
      <c r="S297" s="30">
        <f t="shared" si="37"/>
        <v>36.751558471192247</v>
      </c>
      <c r="T297" s="10">
        <f>IFERROR(SUMIFS('Base bordo'!H$2:H$746,'Base bordo'!C$2:C$746,A297,'Base bordo'!B$2:B$746,B297,'Base bordo'!F$2:F$746,"DESLOCAMENTO CARREGADO"),0)</f>
        <v>341587.70999999996</v>
      </c>
      <c r="U297" s="10">
        <f>IFERROR(SUMIFS('Base bordo'!I$2:I$746,'Base bordo'!C$2:C$746,A297,'Base bordo'!B$2:B$746,B297,'Base bordo'!F$2:F$746,"DESLOCAMENTO CARREGADO"),0)</f>
        <v>13715</v>
      </c>
      <c r="V297" s="30">
        <f t="shared" si="38"/>
        <v>24.906139992708709</v>
      </c>
      <c r="W297" s="9">
        <f t="shared" si="39"/>
        <v>0.19020029077968012</v>
      </c>
      <c r="X297" s="9">
        <f t="shared" si="40"/>
        <v>0.29761517262331005</v>
      </c>
      <c r="Y297" s="9">
        <f t="shared" si="41"/>
        <v>0.5121845365970098</v>
      </c>
    </row>
    <row r="298" spans="1:25" ht="15" customHeight="1" x14ac:dyDescent="0.35">
      <c r="A298" s="52">
        <v>8013484</v>
      </c>
      <c r="B298" s="51">
        <v>46124</v>
      </c>
      <c r="C298" s="7" t="s">
        <v>124</v>
      </c>
      <c r="D298" s="10">
        <f>IFERROR(SUMIFS('Base bordo'!G$2:G$746,'Base bordo'!C$2:C$746,A298,'Base bordo'!B$2:B$746,B298,'Base bordo'!F$2:F$746,"DESLOCAMENTO VAZIO"),0)</f>
        <v>2.078611111111111</v>
      </c>
      <c r="E298" s="10">
        <f>IFERROR(SUMIFS('Base bordo'!G$2:G$746,'Base bordo'!C$2:C$746,A298,'Base bordo'!B$2:B$746,B298,'Base bordo'!F$2:F$746,"DESLOCAMENTO CARREGADO"),0)</f>
        <v>2.0197222222222222</v>
      </c>
      <c r="F298" s="10">
        <f>IFERROR(SUMIFS('Base bordo'!G$2:G$746,'Base bordo'!C$2:C$746,A298,'Base bordo'!B$2:B$746,B298,'Base bordo'!F$2:F$746,"DESLOCAMENTO"),0)</f>
        <v>0.28999999999999998</v>
      </c>
      <c r="G298" s="10">
        <f>IFERROR(SUMIFS('Base bordo'!G$2:G$746,'Base bordo'!C$2:C$746,A298,'Base bordo'!B$2:B$746,B298,'Base bordo'!F$2:F$746,"CARREGAMENTO"),0)</f>
        <v>0</v>
      </c>
      <c r="H298" s="10">
        <f>IFERROR(SUMIFS('Base bordo'!G$2:G$746,'Base bordo'!C$2:C$746,A298,'Base bordo'!B$2:B$746,B298,'Base bordo'!F$2:F$746,"AGUARDANDO TRANSBORDO"),0)</f>
        <v>0.16944444444444445</v>
      </c>
      <c r="I298" s="10">
        <f>IFERROR(SUMIFS('Base bordo'!G$2:G$746,'Base bordo'!C$2:C$746,A298,'Base bordo'!B$2:B$746,B298,'Base bordo'!F$2:F$746,"PÁTIO INTERNO"),0)+IFERROR(SUMIFS('Base bordo'!G$2:G$746,'Base bordo'!C$2:C$746,A298,'Base bordo'!B$2:B$746,B298,'Base bordo'!F$2:F$746,"PÁTIO EXTERNO"),0)+IFERROR(SUMIFS('Base bordo'!G$2:G$746,'Base bordo'!C$2:C$746,A298,'Base bordo'!B$2:B$746,B298,'Base bordo'!F$2:F$746,"PATIO - RESERVA"),0)+IFERROR(SUMIFS('Base bordo'!G$2:G$746,'Base bordo'!C$2:C$746,A298,'Base bordo'!B$2:B$746,B298,'Base bordo'!F$2:F$746,"MANOBRA CARRETAS-PATIO"),0)</f>
        <v>10.112499999999999</v>
      </c>
      <c r="J298" s="10">
        <f>IFERROR(SUMIFS('Base bordo'!G$2:G$746,'Base bordo'!C$2:C$746,A298,'Base bordo'!B$2:B$746,B298,'Base bordo'!F$2:F$746,"BALANÇA - ENTRADA"),0)+IFERROR(SUMIFS('Base bordo'!G$2:G$746,'Base bordo'!C$2:C$746,A298,'Base bordo'!B$2:B$746,B298,'Base bordo'!F$2:F$746,"BALANÇA - SAÍDA"),0)</f>
        <v>0.13666666666666666</v>
      </c>
      <c r="K298" s="10">
        <f>IFERROR(SUMIFS('Base bordo'!G$2:G$746,'Base bordo'!C$2:C$746,A298,'Base bordo'!B$2:B$746,B298,'Base bordo'!F$2:F$746,"MAN PREVENTIVA - MECANICA"),0)+IFERROR(SUMIFS('Base bordo'!G$2:G$746,'Base bordo'!C$2:C$746,A298,'Base bordo'!B$2:B$746,B298,'Base bordo'!F$2:F$746,"MAN CORRETIVA - MECANICA"),0)</f>
        <v>0</v>
      </c>
      <c r="L298" s="10">
        <f>IFERROR(SUMIFS('Base bordo'!G$2:G$746,'Base bordo'!C$2:C$746,A298,'Base bordo'!B$2:B$746,B298,'Base bordo'!F$2:F$746,"MANUTENCAO - T O"),0)+IFERROR(SUMIFS('Base bordo'!G$2:G$746,'Base bordo'!C$2:C$746,A298,'Base bordo'!B$2:B$746,B298,'Base bordo'!F$2:F$746,"MANUTENCAO BORRACHARIA"),0)+IFERROR(SUMIFS('Base bordo'!G$2:G$746,'Base bordo'!C$2:C$746,A298,'Base bordo'!B$2:B$746,B298,'Base bordo'!F$2:F$746,"MANUTENCAO EXTERNA  CONCESSIONARIA"),0)+IFERROR(SUMIFS('Base bordo'!G$2:G$746,'Base bordo'!C$2:C$746,A298,'Base bordo'!B$2:B$746,B298,'Base bordo'!F$2:F$746,"MANUTENCAO TELEMETRIA"),0)</f>
        <v>0.28944444444444445</v>
      </c>
      <c r="M298" s="10">
        <f>IFERROR(SUMIFS('Base bordo'!G$2:G$746,'Base bordo'!C$2:C$746,A298,'Base bordo'!B$2:B$746,B298,'Base bordo'!F$2:F$746,"AGUARDANDO MANUTENCAO"),0)</f>
        <v>0</v>
      </c>
      <c r="N298" s="10">
        <f>IFERROR(SUMIFS('Base bordo'!G$2:G$746,'Base bordo'!C$2:C$746,A298,'Base bordo'!B$2:B$746,B298,'Base bordo'!F$2:F$746,"SEM APONTAMENTO"),0)</f>
        <v>0</v>
      </c>
      <c r="O298" s="10">
        <f t="shared" si="36"/>
        <v>0</v>
      </c>
      <c r="P298" s="10">
        <f>IFERROR(SUMIFS('Base bordo'!G$2:G$746,'Base bordo'!C$2:C$746,A298,'Base bordo'!B$2:B$746,B298),0)</f>
        <v>15.096388888888889</v>
      </c>
      <c r="Q298" s="10">
        <f>IFERROR(SUMIFS('Base bordo'!H$2:H$746,'Base bordo'!C$2:C$746,A298,'Base bordo'!B$2:B$746,B298,'Base bordo'!F$2:F$746,"DESLOCAMENTO VAZIO"),0)</f>
        <v>217205.70999999996</v>
      </c>
      <c r="R298" s="10">
        <f>IFERROR(SUMIFS('Base bordo'!I$2:I$746,'Base bordo'!C$2:C$746,A298,'Base bordo'!B$2:B$746,B298,'Base bordo'!F$2:F$746,"DESLOCAMENTO VAZIO"),0)</f>
        <v>7483</v>
      </c>
      <c r="S298" s="30">
        <f t="shared" si="37"/>
        <v>29.026554857677397</v>
      </c>
      <c r="T298" s="10">
        <f>IFERROR(SUMIFS('Base bordo'!H$2:H$746,'Base bordo'!C$2:C$746,A298,'Base bordo'!B$2:B$746,B298,'Base bordo'!F$2:F$746,"DESLOCAMENTO CARREGADO"),0)</f>
        <v>176129.33000000002</v>
      </c>
      <c r="U298" s="10">
        <f>IFERROR(SUMIFS('Base bordo'!I$2:I$746,'Base bordo'!C$2:C$746,A298,'Base bordo'!B$2:B$746,B298,'Base bordo'!F$2:F$746,"DESLOCAMENTO CARREGADO"),0)</f>
        <v>7271</v>
      </c>
      <c r="V298" s="30">
        <f t="shared" si="38"/>
        <v>24.22353596479164</v>
      </c>
      <c r="W298" s="9">
        <f t="shared" si="39"/>
        <v>0.13768929287725173</v>
      </c>
      <c r="X298" s="9">
        <f t="shared" si="40"/>
        <v>0.13378843358419049</v>
      </c>
      <c r="Y298" s="9">
        <f t="shared" si="41"/>
        <v>0.72852227353855781</v>
      </c>
    </row>
    <row r="299" spans="1:25" ht="15" customHeight="1" x14ac:dyDescent="0.35">
      <c r="A299" s="52">
        <v>8013462</v>
      </c>
      <c r="B299" s="51">
        <v>46124</v>
      </c>
      <c r="C299" s="7" t="s">
        <v>124</v>
      </c>
      <c r="D299" s="10">
        <f>IFERROR(SUMIFS('Base bordo'!G$2:G$746,'Base bordo'!C$2:C$746,A299,'Base bordo'!B$2:B$746,B299,'Base bordo'!F$2:F$746,"DESLOCAMENTO VAZIO"),0)</f>
        <v>2.6541666666666668</v>
      </c>
      <c r="E299" s="10">
        <f>IFERROR(SUMIFS('Base bordo'!G$2:G$746,'Base bordo'!C$2:C$746,A299,'Base bordo'!B$2:B$746,B299,'Base bordo'!F$2:F$746,"DESLOCAMENTO CARREGADO"),0)</f>
        <v>2.0155555555555558</v>
      </c>
      <c r="F299" s="10">
        <f>IFERROR(SUMIFS('Base bordo'!G$2:G$746,'Base bordo'!C$2:C$746,A299,'Base bordo'!B$2:B$746,B299,'Base bordo'!F$2:F$746,"DESLOCAMENTO"),0)</f>
        <v>0</v>
      </c>
      <c r="G299" s="10">
        <f>IFERROR(SUMIFS('Base bordo'!G$2:G$746,'Base bordo'!C$2:C$746,A299,'Base bordo'!B$2:B$746,B299,'Base bordo'!F$2:F$746,"CARREGAMENTO"),0)</f>
        <v>0</v>
      </c>
      <c r="H299" s="10">
        <f>IFERROR(SUMIFS('Base bordo'!G$2:G$746,'Base bordo'!C$2:C$746,A299,'Base bordo'!B$2:B$746,B299,'Base bordo'!F$2:F$746,"AGUARDANDO TRANSBORDO"),0)</f>
        <v>0.33611111111111114</v>
      </c>
      <c r="I299" s="10">
        <f>IFERROR(SUMIFS('Base bordo'!G$2:G$746,'Base bordo'!C$2:C$746,A299,'Base bordo'!B$2:B$746,B299,'Base bordo'!F$2:F$746,"PÁTIO INTERNO"),0)+IFERROR(SUMIFS('Base bordo'!G$2:G$746,'Base bordo'!C$2:C$746,A299,'Base bordo'!B$2:B$746,B299,'Base bordo'!F$2:F$746,"PÁTIO EXTERNO"),0)+IFERROR(SUMIFS('Base bordo'!G$2:G$746,'Base bordo'!C$2:C$746,A299,'Base bordo'!B$2:B$746,B299,'Base bordo'!F$2:F$746,"PATIO - RESERVA"),0)+IFERROR(SUMIFS('Base bordo'!G$2:G$746,'Base bordo'!C$2:C$746,A299,'Base bordo'!B$2:B$746,B299,'Base bordo'!F$2:F$746,"MANOBRA CARRETAS-PATIO"),0)</f>
        <v>10.451944444444445</v>
      </c>
      <c r="J299" s="10">
        <f>IFERROR(SUMIFS('Base bordo'!G$2:G$746,'Base bordo'!C$2:C$746,A299,'Base bordo'!B$2:B$746,B299,'Base bordo'!F$2:F$746,"BALANÇA - ENTRADA"),0)+IFERROR(SUMIFS('Base bordo'!G$2:G$746,'Base bordo'!C$2:C$746,A299,'Base bordo'!B$2:B$746,B299,'Base bordo'!F$2:F$746,"BALANÇA - SAÍDA"),0)</f>
        <v>0.15138888888888888</v>
      </c>
      <c r="K299" s="10">
        <f>IFERROR(SUMIFS('Base bordo'!G$2:G$746,'Base bordo'!C$2:C$746,A299,'Base bordo'!B$2:B$746,B299,'Base bordo'!F$2:F$746,"MAN PREVENTIVA - MECANICA"),0)+IFERROR(SUMIFS('Base bordo'!G$2:G$746,'Base bordo'!C$2:C$746,A299,'Base bordo'!B$2:B$746,B299,'Base bordo'!F$2:F$746,"MAN CORRETIVA - MECANICA"),0)</f>
        <v>0</v>
      </c>
      <c r="L299" s="10">
        <f>IFERROR(SUMIFS('Base bordo'!G$2:G$746,'Base bordo'!C$2:C$746,A299,'Base bordo'!B$2:B$746,B299,'Base bordo'!F$2:F$746,"MANUTENCAO - T O"),0)+IFERROR(SUMIFS('Base bordo'!G$2:G$746,'Base bordo'!C$2:C$746,A299,'Base bordo'!B$2:B$746,B299,'Base bordo'!F$2:F$746,"MANUTENCAO BORRACHARIA"),0)+IFERROR(SUMIFS('Base bordo'!G$2:G$746,'Base bordo'!C$2:C$746,A299,'Base bordo'!B$2:B$746,B299,'Base bordo'!F$2:F$746,"MANUTENCAO EXTERNA  CONCESSIONARIA"),0)+IFERROR(SUMIFS('Base bordo'!G$2:G$746,'Base bordo'!C$2:C$746,A299,'Base bordo'!B$2:B$746,B299,'Base bordo'!F$2:F$746,"MANUTENCAO TELEMETRIA"),0)</f>
        <v>0</v>
      </c>
      <c r="M299" s="10">
        <f>IFERROR(SUMIFS('Base bordo'!G$2:G$746,'Base bordo'!C$2:C$746,A299,'Base bordo'!B$2:B$746,B299,'Base bordo'!F$2:F$746,"AGUARDANDO MANUTENCAO"),0)</f>
        <v>0</v>
      </c>
      <c r="N299" s="10">
        <f>IFERROR(SUMIFS('Base bordo'!G$2:G$746,'Base bordo'!C$2:C$746,A299,'Base bordo'!B$2:B$746,B299,'Base bordo'!F$2:F$746,"SEM APONTAMENTO"),0)</f>
        <v>0</v>
      </c>
      <c r="O299" s="10">
        <f t="shared" si="36"/>
        <v>0</v>
      </c>
      <c r="P299" s="10">
        <f>IFERROR(SUMIFS('Base bordo'!G$2:G$746,'Base bordo'!C$2:C$746,A299,'Base bordo'!B$2:B$746,B299),0)</f>
        <v>15.609166666666667</v>
      </c>
      <c r="Q299" s="10">
        <f>IFERROR(SUMIFS('Base bordo'!H$2:H$746,'Base bordo'!C$2:C$746,A299,'Base bordo'!B$2:B$746,B299,'Base bordo'!F$2:F$746,"DESLOCAMENTO VAZIO"),0)</f>
        <v>401876.54000000004</v>
      </c>
      <c r="R299" s="10">
        <f>IFERROR(SUMIFS('Base bordo'!I$2:I$746,'Base bordo'!C$2:C$746,A299,'Base bordo'!B$2:B$746,B299,'Base bordo'!F$2:F$746,"DESLOCAMENTO VAZIO"),0)</f>
        <v>9555</v>
      </c>
      <c r="S299" s="30">
        <f t="shared" si="37"/>
        <v>42.05929251700681</v>
      </c>
      <c r="T299" s="10">
        <f>IFERROR(SUMIFS('Base bordo'!H$2:H$746,'Base bordo'!C$2:C$746,A299,'Base bordo'!B$2:B$746,B299,'Base bordo'!F$2:F$746,"DESLOCAMENTO CARREGADO"),0)</f>
        <v>198098.78999999998</v>
      </c>
      <c r="U299" s="10">
        <f>IFERROR(SUMIFS('Base bordo'!I$2:I$746,'Base bordo'!C$2:C$746,A299,'Base bordo'!B$2:B$746,B299,'Base bordo'!F$2:F$746,"DESLOCAMENTO CARREGADO"),0)</f>
        <v>7256</v>
      </c>
      <c r="V299" s="30">
        <f t="shared" si="38"/>
        <v>27.301376791620726</v>
      </c>
      <c r="W299" s="9">
        <f t="shared" si="39"/>
        <v>0.1700389728257968</v>
      </c>
      <c r="X299" s="9">
        <f t="shared" si="40"/>
        <v>0.12912640364458208</v>
      </c>
      <c r="Y299" s="9">
        <f t="shared" si="41"/>
        <v>0.700834623529621</v>
      </c>
    </row>
    <row r="300" spans="1:25" ht="15" customHeight="1" x14ac:dyDescent="0.35">
      <c r="A300" s="52">
        <v>8013474</v>
      </c>
      <c r="B300" s="51">
        <v>46118</v>
      </c>
      <c r="C300" s="7" t="s">
        <v>124</v>
      </c>
      <c r="D300" s="10">
        <f>IFERROR(SUMIFS('Base bordo'!G$2:G$746,'Base bordo'!C$2:C$746,A300,'Base bordo'!B$2:B$746,B300,'Base bordo'!F$2:F$746,"DESLOCAMENTO VAZIO"),0)</f>
        <v>0.72111111111111115</v>
      </c>
      <c r="E300" s="10">
        <f>IFERROR(SUMIFS('Base bordo'!G$2:G$746,'Base bordo'!C$2:C$746,A300,'Base bordo'!B$2:B$746,B300,'Base bordo'!F$2:F$746,"DESLOCAMENTO CARREGADO"),0)</f>
        <v>0.97972222222222227</v>
      </c>
      <c r="F300" s="10">
        <f>IFERROR(SUMIFS('Base bordo'!G$2:G$746,'Base bordo'!C$2:C$746,A300,'Base bordo'!B$2:B$746,B300,'Base bordo'!F$2:F$746,"DESLOCAMENTO"),0)</f>
        <v>0</v>
      </c>
      <c r="G300" s="10">
        <f>IFERROR(SUMIFS('Base bordo'!G$2:G$746,'Base bordo'!C$2:C$746,A300,'Base bordo'!B$2:B$746,B300,'Base bordo'!F$2:F$746,"CARREGAMENTO"),0)</f>
        <v>0</v>
      </c>
      <c r="H300" s="10">
        <f>IFERROR(SUMIFS('Base bordo'!G$2:G$746,'Base bordo'!C$2:C$746,A300,'Base bordo'!B$2:B$746,B300,'Base bordo'!F$2:F$746,"AGUARDANDO TRANSBORDO"),0)</f>
        <v>0.20861111111111111</v>
      </c>
      <c r="I300" s="10">
        <f>IFERROR(SUMIFS('Base bordo'!G$2:G$746,'Base bordo'!C$2:C$746,A300,'Base bordo'!B$2:B$746,B300,'Base bordo'!F$2:F$746,"PÁTIO INTERNO"),0)+IFERROR(SUMIFS('Base bordo'!G$2:G$746,'Base bordo'!C$2:C$746,A300,'Base bordo'!B$2:B$746,B300,'Base bordo'!F$2:F$746,"PÁTIO EXTERNO"),0)+IFERROR(SUMIFS('Base bordo'!G$2:G$746,'Base bordo'!C$2:C$746,A300,'Base bordo'!B$2:B$746,B300,'Base bordo'!F$2:F$746,"PATIO - RESERVA"),0)+IFERROR(SUMIFS('Base bordo'!G$2:G$746,'Base bordo'!C$2:C$746,A300,'Base bordo'!B$2:B$746,B300,'Base bordo'!F$2:F$746,"MANOBRA CARRETAS-PATIO"),0)</f>
        <v>8.4474999999999998</v>
      </c>
      <c r="J300" s="10">
        <f>IFERROR(SUMIFS('Base bordo'!G$2:G$746,'Base bordo'!C$2:C$746,A300,'Base bordo'!B$2:B$746,B300,'Base bordo'!F$2:F$746,"BALANÇA - ENTRADA"),0)+IFERROR(SUMIFS('Base bordo'!G$2:G$746,'Base bordo'!C$2:C$746,A300,'Base bordo'!B$2:B$746,B300,'Base bordo'!F$2:F$746,"BALANÇA - SAÍDA"),0)</f>
        <v>6.3611111111111118E-2</v>
      </c>
      <c r="K300" s="10">
        <f>IFERROR(SUMIFS('Base bordo'!G$2:G$746,'Base bordo'!C$2:C$746,A300,'Base bordo'!B$2:B$746,B300,'Base bordo'!F$2:F$746,"MAN PREVENTIVA - MECANICA"),0)+IFERROR(SUMIFS('Base bordo'!G$2:G$746,'Base bordo'!C$2:C$746,A300,'Base bordo'!B$2:B$746,B300,'Base bordo'!F$2:F$746,"MAN CORRETIVA - MECANICA"),0)</f>
        <v>0</v>
      </c>
      <c r="L300" s="10">
        <f>IFERROR(SUMIFS('Base bordo'!G$2:G$746,'Base bordo'!C$2:C$746,A300,'Base bordo'!B$2:B$746,B300,'Base bordo'!F$2:F$746,"MANUTENCAO - T O"),0)+IFERROR(SUMIFS('Base bordo'!G$2:G$746,'Base bordo'!C$2:C$746,A300,'Base bordo'!B$2:B$746,B300,'Base bordo'!F$2:F$746,"MANUTENCAO BORRACHARIA"),0)+IFERROR(SUMIFS('Base bordo'!G$2:G$746,'Base bordo'!C$2:C$746,A300,'Base bordo'!B$2:B$746,B300,'Base bordo'!F$2:F$746,"MANUTENCAO EXTERNA  CONCESSIONARIA"),0)+IFERROR(SUMIFS('Base bordo'!G$2:G$746,'Base bordo'!C$2:C$746,A300,'Base bordo'!B$2:B$746,B300,'Base bordo'!F$2:F$746,"MANUTENCAO TELEMETRIA"),0)</f>
        <v>8.77</v>
      </c>
      <c r="M300" s="10">
        <f>IFERROR(SUMIFS('Base bordo'!G$2:G$746,'Base bordo'!C$2:C$746,A300,'Base bordo'!B$2:B$746,B300,'Base bordo'!F$2:F$746,"AGUARDANDO MANUTENCAO"),0)</f>
        <v>0</v>
      </c>
      <c r="N300" s="10">
        <f>IFERROR(SUMIFS('Base bordo'!G$2:G$746,'Base bordo'!C$2:C$746,A300,'Base bordo'!B$2:B$746,B300,'Base bordo'!F$2:F$746,"SEM APONTAMENTO"),0)</f>
        <v>0</v>
      </c>
      <c r="O300" s="10">
        <f t="shared" si="36"/>
        <v>0</v>
      </c>
      <c r="P300" s="10">
        <f>IFERROR(SUMIFS('Base bordo'!G$2:G$746,'Base bordo'!C$2:C$746,A300,'Base bordo'!B$2:B$746,B300),0)</f>
        <v>19.190555555555555</v>
      </c>
      <c r="Q300" s="10">
        <f>IFERROR(SUMIFS('Base bordo'!H$2:H$746,'Base bordo'!C$2:C$746,A300,'Base bordo'!B$2:B$746,B300,'Base bordo'!F$2:F$746,"DESLOCAMENTO VAZIO"),0)</f>
        <v>70252.17</v>
      </c>
      <c r="R300" s="10">
        <f>IFERROR(SUMIFS('Base bordo'!I$2:I$746,'Base bordo'!C$2:C$746,A300,'Base bordo'!B$2:B$746,B300,'Base bordo'!F$2:F$746,"DESLOCAMENTO VAZIO"),0)</f>
        <v>2596</v>
      </c>
      <c r="S300" s="30">
        <f t="shared" si="37"/>
        <v>27.061698767334359</v>
      </c>
      <c r="T300" s="10">
        <f>IFERROR(SUMIFS('Base bordo'!H$2:H$746,'Base bordo'!C$2:C$746,A300,'Base bordo'!B$2:B$746,B300,'Base bordo'!F$2:F$746,"DESLOCAMENTO CARREGADO"),0)</f>
        <v>68679.02</v>
      </c>
      <c r="U300" s="10">
        <f>IFERROR(SUMIFS('Base bordo'!I$2:I$746,'Base bordo'!C$2:C$746,A300,'Base bordo'!B$2:B$746,B300,'Base bordo'!F$2:F$746,"DESLOCAMENTO CARREGADO"),0)</f>
        <v>3527</v>
      </c>
      <c r="V300" s="30">
        <f t="shared" si="38"/>
        <v>19.472361780550045</v>
      </c>
      <c r="W300" s="9">
        <f t="shared" si="39"/>
        <v>3.7576354109370928E-2</v>
      </c>
      <c r="X300" s="9">
        <f t="shared" si="40"/>
        <v>5.1052311611614512E-2</v>
      </c>
      <c r="Y300" s="9">
        <f t="shared" si="41"/>
        <v>0.91137133427901451</v>
      </c>
    </row>
    <row r="301" spans="1:25" ht="15" customHeight="1" x14ac:dyDescent="0.35">
      <c r="A301" s="52">
        <v>8013481</v>
      </c>
      <c r="B301" s="51">
        <v>46124</v>
      </c>
      <c r="C301" s="7" t="s">
        <v>124</v>
      </c>
      <c r="D301" s="10">
        <f>IFERROR(SUMIFS('Base bordo'!G$2:G$746,'Base bordo'!C$2:C$746,A301,'Base bordo'!B$2:B$746,B301,'Base bordo'!F$2:F$746,"DESLOCAMENTO VAZIO"),0)</f>
        <v>1.6861111111111111</v>
      </c>
      <c r="E301" s="10">
        <f>IFERROR(SUMIFS('Base bordo'!G$2:G$746,'Base bordo'!C$2:C$746,A301,'Base bordo'!B$2:B$746,B301,'Base bordo'!F$2:F$746,"DESLOCAMENTO CARREGADO"),0)</f>
        <v>2.4669444444444446</v>
      </c>
      <c r="F301" s="10">
        <f>IFERROR(SUMIFS('Base bordo'!G$2:G$746,'Base bordo'!C$2:C$746,A301,'Base bordo'!B$2:B$746,B301,'Base bordo'!F$2:F$746,"DESLOCAMENTO"),0)</f>
        <v>0</v>
      </c>
      <c r="G301" s="10">
        <f>IFERROR(SUMIFS('Base bordo'!G$2:G$746,'Base bordo'!C$2:C$746,A301,'Base bordo'!B$2:B$746,B301,'Base bordo'!F$2:F$746,"CARREGAMENTO"),0)</f>
        <v>0</v>
      </c>
      <c r="H301" s="10">
        <f>IFERROR(SUMIFS('Base bordo'!G$2:G$746,'Base bordo'!C$2:C$746,A301,'Base bordo'!B$2:B$746,B301,'Base bordo'!F$2:F$746,"AGUARDANDO TRANSBORDO"),0)</f>
        <v>0</v>
      </c>
      <c r="I301" s="10">
        <f>IFERROR(SUMIFS('Base bordo'!G$2:G$746,'Base bordo'!C$2:C$746,A301,'Base bordo'!B$2:B$746,B301,'Base bordo'!F$2:F$746,"PÁTIO INTERNO"),0)+IFERROR(SUMIFS('Base bordo'!G$2:G$746,'Base bordo'!C$2:C$746,A301,'Base bordo'!B$2:B$746,B301,'Base bordo'!F$2:F$746,"PÁTIO EXTERNO"),0)+IFERROR(SUMIFS('Base bordo'!G$2:G$746,'Base bordo'!C$2:C$746,A301,'Base bordo'!B$2:B$746,B301,'Base bordo'!F$2:F$746,"PATIO - RESERVA"),0)+IFERROR(SUMIFS('Base bordo'!G$2:G$746,'Base bordo'!C$2:C$746,A301,'Base bordo'!B$2:B$746,B301,'Base bordo'!F$2:F$746,"MANOBRA CARRETAS-PATIO"),0)</f>
        <v>14.274166666666666</v>
      </c>
      <c r="J301" s="10">
        <f>IFERROR(SUMIFS('Base bordo'!G$2:G$746,'Base bordo'!C$2:C$746,A301,'Base bordo'!B$2:B$746,B301,'Base bordo'!F$2:F$746,"BALANÇA - ENTRADA"),0)+IFERROR(SUMIFS('Base bordo'!G$2:G$746,'Base bordo'!C$2:C$746,A301,'Base bordo'!B$2:B$746,B301,'Base bordo'!F$2:F$746,"BALANÇA - SAÍDA"),0)</f>
        <v>7.4166666666666659E-2</v>
      </c>
      <c r="K301" s="10">
        <f>IFERROR(SUMIFS('Base bordo'!G$2:G$746,'Base bordo'!C$2:C$746,A301,'Base bordo'!B$2:B$746,B301,'Base bordo'!F$2:F$746,"MAN PREVENTIVA - MECANICA"),0)+IFERROR(SUMIFS('Base bordo'!G$2:G$746,'Base bordo'!C$2:C$746,A301,'Base bordo'!B$2:B$746,B301,'Base bordo'!F$2:F$746,"MAN CORRETIVA - MECANICA"),0)</f>
        <v>0</v>
      </c>
      <c r="L301" s="10">
        <f>IFERROR(SUMIFS('Base bordo'!G$2:G$746,'Base bordo'!C$2:C$746,A301,'Base bordo'!B$2:B$746,B301,'Base bordo'!F$2:F$746,"MANUTENCAO - T O"),0)+IFERROR(SUMIFS('Base bordo'!G$2:G$746,'Base bordo'!C$2:C$746,A301,'Base bordo'!B$2:B$746,B301,'Base bordo'!F$2:F$746,"MANUTENCAO BORRACHARIA"),0)+IFERROR(SUMIFS('Base bordo'!G$2:G$746,'Base bordo'!C$2:C$746,A301,'Base bordo'!B$2:B$746,B301,'Base bordo'!F$2:F$746,"MANUTENCAO EXTERNA  CONCESSIONARIA"),0)+IFERROR(SUMIFS('Base bordo'!G$2:G$746,'Base bordo'!C$2:C$746,A301,'Base bordo'!B$2:B$746,B301,'Base bordo'!F$2:F$746,"MANUTENCAO TELEMETRIA"),0)</f>
        <v>0</v>
      </c>
      <c r="M301" s="10">
        <f>IFERROR(SUMIFS('Base bordo'!G$2:G$746,'Base bordo'!C$2:C$746,A301,'Base bordo'!B$2:B$746,B301,'Base bordo'!F$2:F$746,"AGUARDANDO MANUTENCAO"),0)</f>
        <v>0</v>
      </c>
      <c r="N301" s="10">
        <f>IFERROR(SUMIFS('Base bordo'!G$2:G$746,'Base bordo'!C$2:C$746,A301,'Base bordo'!B$2:B$746,B301,'Base bordo'!F$2:F$746,"SEM APONTAMENTO"),0)</f>
        <v>0</v>
      </c>
      <c r="O301" s="10">
        <f t="shared" si="36"/>
        <v>0</v>
      </c>
      <c r="P301" s="10">
        <f>IFERROR(SUMIFS('Base bordo'!G$2:G$746,'Base bordo'!C$2:C$746,A301,'Base bordo'!B$2:B$746,B301),0)</f>
        <v>18.501388888888886</v>
      </c>
      <c r="Q301" s="10">
        <f>IFERROR(SUMIFS('Base bordo'!H$2:H$746,'Base bordo'!C$2:C$746,A301,'Base bordo'!B$2:B$746,B301,'Base bordo'!F$2:F$746,"DESLOCAMENTO VAZIO"),0)</f>
        <v>216936.43</v>
      </c>
      <c r="R301" s="10">
        <f>IFERROR(SUMIFS('Base bordo'!I$2:I$746,'Base bordo'!C$2:C$746,A301,'Base bordo'!B$2:B$746,B301,'Base bordo'!F$2:F$746,"DESLOCAMENTO VAZIO"),0)</f>
        <v>6070</v>
      </c>
      <c r="S301" s="30">
        <f t="shared" si="37"/>
        <v>35.739115321252058</v>
      </c>
      <c r="T301" s="10">
        <f>IFERROR(SUMIFS('Base bordo'!H$2:H$746,'Base bordo'!C$2:C$746,A301,'Base bordo'!B$2:B$746,B301,'Base bordo'!F$2:F$746,"DESLOCAMENTO CARREGADO"),0)</f>
        <v>221432.38999999998</v>
      </c>
      <c r="U301" s="10">
        <f>IFERROR(SUMIFS('Base bordo'!I$2:I$746,'Base bordo'!C$2:C$746,A301,'Base bordo'!B$2:B$746,B301,'Base bordo'!F$2:F$746,"DESLOCAMENTO CARREGADO"),0)</f>
        <v>8881</v>
      </c>
      <c r="V301" s="30">
        <f t="shared" si="38"/>
        <v>24.933272154036707</v>
      </c>
      <c r="W301" s="9">
        <f t="shared" si="39"/>
        <v>9.1134299226784787E-2</v>
      </c>
      <c r="X301" s="9">
        <f t="shared" si="40"/>
        <v>0.13333833796261543</v>
      </c>
      <c r="Y301" s="9">
        <f t="shared" si="41"/>
        <v>0.77552736281059975</v>
      </c>
    </row>
    <row r="302" spans="1:25" ht="15" customHeight="1" x14ac:dyDescent="0.35">
      <c r="A302" s="52">
        <v>8013482</v>
      </c>
      <c r="B302" s="51">
        <v>46119</v>
      </c>
      <c r="C302" s="7" t="s">
        <v>124</v>
      </c>
      <c r="D302" s="10">
        <f>IFERROR(SUMIFS('Base bordo'!G$2:G$746,'Base bordo'!C$2:C$746,A302,'Base bordo'!B$2:B$746,B302,'Base bordo'!F$2:F$746,"DESLOCAMENTO VAZIO"),0)</f>
        <v>0.10249999999999999</v>
      </c>
      <c r="E302" s="10">
        <f>IFERROR(SUMIFS('Base bordo'!G$2:G$746,'Base bordo'!C$2:C$746,A302,'Base bordo'!B$2:B$746,B302,'Base bordo'!F$2:F$746,"DESLOCAMENTO CARREGADO"),0)</f>
        <v>0</v>
      </c>
      <c r="F302" s="10">
        <f>IFERROR(SUMIFS('Base bordo'!G$2:G$746,'Base bordo'!C$2:C$746,A302,'Base bordo'!B$2:B$746,B302,'Base bordo'!F$2:F$746,"DESLOCAMENTO"),0)</f>
        <v>0</v>
      </c>
      <c r="G302" s="10">
        <f>IFERROR(SUMIFS('Base bordo'!G$2:G$746,'Base bordo'!C$2:C$746,A302,'Base bordo'!B$2:B$746,B302,'Base bordo'!F$2:F$746,"CARREGAMENTO"),0)</f>
        <v>0</v>
      </c>
      <c r="H302" s="10">
        <f>IFERROR(SUMIFS('Base bordo'!G$2:G$746,'Base bordo'!C$2:C$746,A302,'Base bordo'!B$2:B$746,B302,'Base bordo'!F$2:F$746,"AGUARDANDO TRANSBORDO"),0)</f>
        <v>0</v>
      </c>
      <c r="I302" s="10">
        <f>IFERROR(SUMIFS('Base bordo'!G$2:G$746,'Base bordo'!C$2:C$746,A302,'Base bordo'!B$2:B$746,B302,'Base bordo'!F$2:F$746,"PÁTIO INTERNO"),0)+IFERROR(SUMIFS('Base bordo'!G$2:G$746,'Base bordo'!C$2:C$746,A302,'Base bordo'!B$2:B$746,B302,'Base bordo'!F$2:F$746,"PÁTIO EXTERNO"),0)+IFERROR(SUMIFS('Base bordo'!G$2:G$746,'Base bordo'!C$2:C$746,A302,'Base bordo'!B$2:B$746,B302,'Base bordo'!F$2:F$746,"PATIO - RESERVA"),0)+IFERROR(SUMIFS('Base bordo'!G$2:G$746,'Base bordo'!C$2:C$746,A302,'Base bordo'!B$2:B$746,B302,'Base bordo'!F$2:F$746,"MANOBRA CARRETAS-PATIO"),0)</f>
        <v>0.68638888888888894</v>
      </c>
      <c r="J302" s="10">
        <f>IFERROR(SUMIFS('Base bordo'!G$2:G$746,'Base bordo'!C$2:C$746,A302,'Base bordo'!B$2:B$746,B302,'Base bordo'!F$2:F$746,"BALANÇA - ENTRADA"),0)+IFERROR(SUMIFS('Base bordo'!G$2:G$746,'Base bordo'!C$2:C$746,A302,'Base bordo'!B$2:B$746,B302,'Base bordo'!F$2:F$746,"BALANÇA - SAÍDA"),0)</f>
        <v>8.3333333333333332E-3</v>
      </c>
      <c r="K302" s="10">
        <f>IFERROR(SUMIFS('Base bordo'!G$2:G$746,'Base bordo'!C$2:C$746,A302,'Base bordo'!B$2:B$746,B302,'Base bordo'!F$2:F$746,"MAN PREVENTIVA - MECANICA"),0)+IFERROR(SUMIFS('Base bordo'!G$2:G$746,'Base bordo'!C$2:C$746,A302,'Base bordo'!B$2:B$746,B302,'Base bordo'!F$2:F$746,"MAN CORRETIVA - MECANICA"),0)</f>
        <v>0</v>
      </c>
      <c r="L302" s="10">
        <f>IFERROR(SUMIFS('Base bordo'!G$2:G$746,'Base bordo'!C$2:C$746,A302,'Base bordo'!B$2:B$746,B302,'Base bordo'!F$2:F$746,"MANUTENCAO - T O"),0)+IFERROR(SUMIFS('Base bordo'!G$2:G$746,'Base bordo'!C$2:C$746,A302,'Base bordo'!B$2:B$746,B302,'Base bordo'!F$2:F$746,"MANUTENCAO BORRACHARIA"),0)+IFERROR(SUMIFS('Base bordo'!G$2:G$746,'Base bordo'!C$2:C$746,A302,'Base bordo'!B$2:B$746,B302,'Base bordo'!F$2:F$746,"MANUTENCAO EXTERNA  CONCESSIONARIA"),0)+IFERROR(SUMIFS('Base bordo'!G$2:G$746,'Base bordo'!C$2:C$746,A302,'Base bordo'!B$2:B$746,B302,'Base bordo'!F$2:F$746,"MANUTENCAO TELEMETRIA"),0)</f>
        <v>0</v>
      </c>
      <c r="M302" s="10">
        <f>IFERROR(SUMIFS('Base bordo'!G$2:G$746,'Base bordo'!C$2:C$746,A302,'Base bordo'!B$2:B$746,B302,'Base bordo'!F$2:F$746,"AGUARDANDO MANUTENCAO"),0)</f>
        <v>0</v>
      </c>
      <c r="N302" s="10">
        <f>IFERROR(SUMIFS('Base bordo'!G$2:G$746,'Base bordo'!C$2:C$746,A302,'Base bordo'!B$2:B$746,B302,'Base bordo'!F$2:F$746,"SEM APONTAMENTO"),0)</f>
        <v>0</v>
      </c>
      <c r="O302" s="10">
        <f t="shared" si="36"/>
        <v>0</v>
      </c>
      <c r="P302" s="10">
        <f>IFERROR(SUMIFS('Base bordo'!G$2:G$746,'Base bordo'!C$2:C$746,A302,'Base bordo'!B$2:B$746,B302),0)</f>
        <v>0.79722222222222228</v>
      </c>
      <c r="Q302" s="10">
        <f>IFERROR(SUMIFS('Base bordo'!H$2:H$746,'Base bordo'!C$2:C$746,A302,'Base bordo'!B$2:B$746,B302,'Base bordo'!F$2:F$746,"DESLOCAMENTO VAZIO"),0)</f>
        <v>4022.1</v>
      </c>
      <c r="R302" s="10">
        <f>IFERROR(SUMIFS('Base bordo'!I$2:I$746,'Base bordo'!C$2:C$746,A302,'Base bordo'!B$2:B$746,B302,'Base bordo'!F$2:F$746,"DESLOCAMENTO VAZIO"),0)</f>
        <v>369</v>
      </c>
      <c r="S302" s="30">
        <f t="shared" si="37"/>
        <v>10.9</v>
      </c>
      <c r="T302" s="10">
        <f>IFERROR(SUMIFS('Base bordo'!H$2:H$746,'Base bordo'!C$2:C$746,A302,'Base bordo'!B$2:B$746,B302,'Base bordo'!F$2:F$746,"DESLOCAMENTO CARREGADO"),0)</f>
        <v>0</v>
      </c>
      <c r="U302" s="10">
        <f>IFERROR(SUMIFS('Base bordo'!I$2:I$746,'Base bordo'!C$2:C$746,A302,'Base bordo'!B$2:B$746,B302,'Base bordo'!F$2:F$746,"DESLOCAMENTO CARREGADO"),0)</f>
        <v>0</v>
      </c>
      <c r="V302" s="30" t="str">
        <f t="shared" si="38"/>
        <v/>
      </c>
      <c r="W302" s="9">
        <f t="shared" si="39"/>
        <v>0.12857142857142856</v>
      </c>
      <c r="X302" s="9">
        <f t="shared" si="40"/>
        <v>0</v>
      </c>
      <c r="Y302" s="9">
        <f t="shared" si="41"/>
        <v>0.87142857142857144</v>
      </c>
    </row>
    <row r="303" spans="1:25" ht="15" customHeight="1" x14ac:dyDescent="0.35">
      <c r="A303" s="52">
        <v>8013475</v>
      </c>
      <c r="B303" s="51">
        <v>46124</v>
      </c>
      <c r="C303" s="7" t="s">
        <v>124</v>
      </c>
      <c r="D303" s="10">
        <f>IFERROR(SUMIFS('Base bordo'!G$2:G$746,'Base bordo'!C$2:C$746,A303,'Base bordo'!B$2:B$746,B303,'Base bordo'!F$2:F$746,"DESLOCAMENTO VAZIO"),0)</f>
        <v>0.7005555555555556</v>
      </c>
      <c r="E303" s="10">
        <f>IFERROR(SUMIFS('Base bordo'!G$2:G$746,'Base bordo'!C$2:C$746,A303,'Base bordo'!B$2:B$746,B303,'Base bordo'!F$2:F$746,"DESLOCAMENTO CARREGADO"),0)</f>
        <v>0.60333333333333339</v>
      </c>
      <c r="F303" s="10">
        <f>IFERROR(SUMIFS('Base bordo'!G$2:G$746,'Base bordo'!C$2:C$746,A303,'Base bordo'!B$2:B$746,B303,'Base bordo'!F$2:F$746,"DESLOCAMENTO"),0)</f>
        <v>0</v>
      </c>
      <c r="G303" s="10">
        <f>IFERROR(SUMIFS('Base bordo'!G$2:G$746,'Base bordo'!C$2:C$746,A303,'Base bordo'!B$2:B$746,B303,'Base bordo'!F$2:F$746,"CARREGAMENTO"),0)</f>
        <v>0</v>
      </c>
      <c r="H303" s="10">
        <f>IFERROR(SUMIFS('Base bordo'!G$2:G$746,'Base bordo'!C$2:C$746,A303,'Base bordo'!B$2:B$746,B303,'Base bordo'!F$2:F$746,"AGUARDANDO TRANSBORDO"),0)</f>
        <v>0.57722222222222219</v>
      </c>
      <c r="I303" s="10">
        <f>IFERROR(SUMIFS('Base bordo'!G$2:G$746,'Base bordo'!C$2:C$746,A303,'Base bordo'!B$2:B$746,B303,'Base bordo'!F$2:F$746,"PÁTIO INTERNO"),0)+IFERROR(SUMIFS('Base bordo'!G$2:G$746,'Base bordo'!C$2:C$746,A303,'Base bordo'!B$2:B$746,B303,'Base bordo'!F$2:F$746,"PÁTIO EXTERNO"),0)+IFERROR(SUMIFS('Base bordo'!G$2:G$746,'Base bordo'!C$2:C$746,A303,'Base bordo'!B$2:B$746,B303,'Base bordo'!F$2:F$746,"PATIO - RESERVA"),0)+IFERROR(SUMIFS('Base bordo'!G$2:G$746,'Base bordo'!C$2:C$746,A303,'Base bordo'!B$2:B$746,B303,'Base bordo'!F$2:F$746,"MANOBRA CARRETAS-PATIO"),0)</f>
        <v>5.7852777777777771</v>
      </c>
      <c r="J303" s="10">
        <f>IFERROR(SUMIFS('Base bordo'!G$2:G$746,'Base bordo'!C$2:C$746,A303,'Base bordo'!B$2:B$746,B303,'Base bordo'!F$2:F$746,"BALANÇA - ENTRADA"),0)+IFERROR(SUMIFS('Base bordo'!G$2:G$746,'Base bordo'!C$2:C$746,A303,'Base bordo'!B$2:B$746,B303,'Base bordo'!F$2:F$746,"BALANÇA - SAÍDA"),0)</f>
        <v>7.8611111111111104E-2</v>
      </c>
      <c r="K303" s="10">
        <f>IFERROR(SUMIFS('Base bordo'!G$2:G$746,'Base bordo'!C$2:C$746,A303,'Base bordo'!B$2:B$746,B303,'Base bordo'!F$2:F$746,"MAN PREVENTIVA - MECANICA"),0)+IFERROR(SUMIFS('Base bordo'!G$2:G$746,'Base bordo'!C$2:C$746,A303,'Base bordo'!B$2:B$746,B303,'Base bordo'!F$2:F$746,"MAN CORRETIVA - MECANICA"),0)</f>
        <v>0</v>
      </c>
      <c r="L303" s="10">
        <f>IFERROR(SUMIFS('Base bordo'!G$2:G$746,'Base bordo'!C$2:C$746,A303,'Base bordo'!B$2:B$746,B303,'Base bordo'!F$2:F$746,"MANUTENCAO - T O"),0)+IFERROR(SUMIFS('Base bordo'!G$2:G$746,'Base bordo'!C$2:C$746,A303,'Base bordo'!B$2:B$746,B303,'Base bordo'!F$2:F$746,"MANUTENCAO BORRACHARIA"),0)+IFERROR(SUMIFS('Base bordo'!G$2:G$746,'Base bordo'!C$2:C$746,A303,'Base bordo'!B$2:B$746,B303,'Base bordo'!F$2:F$746,"MANUTENCAO EXTERNA  CONCESSIONARIA"),0)+IFERROR(SUMIFS('Base bordo'!G$2:G$746,'Base bordo'!C$2:C$746,A303,'Base bordo'!B$2:B$746,B303,'Base bordo'!F$2:F$746,"MANUTENCAO TELEMETRIA"),0)</f>
        <v>0</v>
      </c>
      <c r="M303" s="10">
        <f>IFERROR(SUMIFS('Base bordo'!G$2:G$746,'Base bordo'!C$2:C$746,A303,'Base bordo'!B$2:B$746,B303,'Base bordo'!F$2:F$746,"AGUARDANDO MANUTENCAO"),0)</f>
        <v>0</v>
      </c>
      <c r="N303" s="10">
        <f>IFERROR(SUMIFS('Base bordo'!G$2:G$746,'Base bordo'!C$2:C$746,A303,'Base bordo'!B$2:B$746,B303,'Base bordo'!F$2:F$746,"SEM APONTAMENTO"),0)</f>
        <v>0</v>
      </c>
      <c r="O303" s="10">
        <f t="shared" si="36"/>
        <v>-8.8817841970012523E-16</v>
      </c>
      <c r="P303" s="10">
        <f>IFERROR(SUMIFS('Base bordo'!G$2:G$746,'Base bordo'!C$2:C$746,A303,'Base bordo'!B$2:B$746,B303),0)</f>
        <v>7.7449999999999983</v>
      </c>
      <c r="Q303" s="10">
        <f>IFERROR(SUMIFS('Base bordo'!H$2:H$746,'Base bordo'!C$2:C$746,A303,'Base bordo'!B$2:B$746,B303,'Base bordo'!F$2:F$746,"DESLOCAMENTO VAZIO"),0)</f>
        <v>56346.78</v>
      </c>
      <c r="R303" s="10">
        <f>IFERROR(SUMIFS('Base bordo'!I$2:I$746,'Base bordo'!C$2:C$746,A303,'Base bordo'!B$2:B$746,B303,'Base bordo'!F$2:F$746,"DESLOCAMENTO VAZIO"),0)</f>
        <v>2522</v>
      </c>
      <c r="S303" s="30">
        <f t="shared" si="37"/>
        <v>22.342101506740683</v>
      </c>
      <c r="T303" s="10">
        <f>IFERROR(SUMIFS('Base bordo'!H$2:H$746,'Base bordo'!C$2:C$746,A303,'Base bordo'!B$2:B$746,B303,'Base bordo'!F$2:F$746,"DESLOCAMENTO CARREGADO"),0)</f>
        <v>41086.33</v>
      </c>
      <c r="U303" s="10">
        <f>IFERROR(SUMIFS('Base bordo'!I$2:I$746,'Base bordo'!C$2:C$746,A303,'Base bordo'!B$2:B$746,B303,'Base bordo'!F$2:F$746,"DESLOCAMENTO CARREGADO"),0)</f>
        <v>2172</v>
      </c>
      <c r="V303" s="30">
        <f t="shared" si="38"/>
        <v>18.916358195211789</v>
      </c>
      <c r="W303" s="9">
        <f t="shared" si="39"/>
        <v>9.0452621763144711E-2</v>
      </c>
      <c r="X303" s="9">
        <f t="shared" si="40"/>
        <v>7.7899720249623439E-2</v>
      </c>
      <c r="Y303" s="9">
        <f t="shared" si="41"/>
        <v>0.83164765798723184</v>
      </c>
    </row>
    <row r="304" spans="1:25" ht="15" customHeight="1" x14ac:dyDescent="0.35">
      <c r="A304" s="52">
        <v>8013474</v>
      </c>
      <c r="B304" s="51">
        <v>46119</v>
      </c>
      <c r="C304" s="7" t="s">
        <v>124</v>
      </c>
      <c r="D304" s="10">
        <f>IFERROR(SUMIFS('Base bordo'!G$2:G$746,'Base bordo'!C$2:C$746,A304,'Base bordo'!B$2:B$746,B304,'Base bordo'!F$2:F$746,"DESLOCAMENTO VAZIO"),0)</f>
        <v>1.3672222222222221</v>
      </c>
      <c r="E304" s="10">
        <f>IFERROR(SUMIFS('Base bordo'!G$2:G$746,'Base bordo'!C$2:C$746,A304,'Base bordo'!B$2:B$746,B304,'Base bordo'!F$2:F$746,"DESLOCAMENTO CARREGADO"),0)</f>
        <v>2.1927777777777777</v>
      </c>
      <c r="F304" s="10">
        <f>IFERROR(SUMIFS('Base bordo'!G$2:G$746,'Base bordo'!C$2:C$746,A304,'Base bordo'!B$2:B$746,B304,'Base bordo'!F$2:F$746,"DESLOCAMENTO"),0)</f>
        <v>0</v>
      </c>
      <c r="G304" s="10">
        <f>IFERROR(SUMIFS('Base bordo'!G$2:G$746,'Base bordo'!C$2:C$746,A304,'Base bordo'!B$2:B$746,B304,'Base bordo'!F$2:F$746,"CARREGAMENTO"),0)</f>
        <v>0</v>
      </c>
      <c r="H304" s="10">
        <f>IFERROR(SUMIFS('Base bordo'!G$2:G$746,'Base bordo'!C$2:C$746,A304,'Base bordo'!B$2:B$746,B304,'Base bordo'!F$2:F$746,"AGUARDANDO TRANSBORDO"),0)</f>
        <v>0.30111111111111111</v>
      </c>
      <c r="I304" s="10">
        <f>IFERROR(SUMIFS('Base bordo'!G$2:G$746,'Base bordo'!C$2:C$746,A304,'Base bordo'!B$2:B$746,B304,'Base bordo'!F$2:F$746,"PÁTIO INTERNO"),0)+IFERROR(SUMIFS('Base bordo'!G$2:G$746,'Base bordo'!C$2:C$746,A304,'Base bordo'!B$2:B$746,B304,'Base bordo'!F$2:F$746,"PÁTIO EXTERNO"),0)+IFERROR(SUMIFS('Base bordo'!G$2:G$746,'Base bordo'!C$2:C$746,A304,'Base bordo'!B$2:B$746,B304,'Base bordo'!F$2:F$746,"PATIO - RESERVA"),0)+IFERROR(SUMIFS('Base bordo'!G$2:G$746,'Base bordo'!C$2:C$746,A304,'Base bordo'!B$2:B$746,B304,'Base bordo'!F$2:F$746,"MANOBRA CARRETAS-PATIO"),0)</f>
        <v>19.229166666666668</v>
      </c>
      <c r="J304" s="10">
        <f>IFERROR(SUMIFS('Base bordo'!G$2:G$746,'Base bordo'!C$2:C$746,A304,'Base bordo'!B$2:B$746,B304,'Base bordo'!F$2:F$746,"BALANÇA - ENTRADA"),0)+IFERROR(SUMIFS('Base bordo'!G$2:G$746,'Base bordo'!C$2:C$746,A304,'Base bordo'!B$2:B$746,B304,'Base bordo'!F$2:F$746,"BALANÇA - SAÍDA"),0)</f>
        <v>2.8611111111111108E-2</v>
      </c>
      <c r="K304" s="10">
        <f>IFERROR(SUMIFS('Base bordo'!G$2:G$746,'Base bordo'!C$2:C$746,A304,'Base bordo'!B$2:B$746,B304,'Base bordo'!F$2:F$746,"MAN PREVENTIVA - MECANICA"),0)+IFERROR(SUMIFS('Base bordo'!G$2:G$746,'Base bordo'!C$2:C$746,A304,'Base bordo'!B$2:B$746,B304,'Base bordo'!F$2:F$746,"MAN CORRETIVA - MECANICA"),0)</f>
        <v>0</v>
      </c>
      <c r="L304" s="10">
        <f>IFERROR(SUMIFS('Base bordo'!G$2:G$746,'Base bordo'!C$2:C$746,A304,'Base bordo'!B$2:B$746,B304,'Base bordo'!F$2:F$746,"MANUTENCAO - T O"),0)+IFERROR(SUMIFS('Base bordo'!G$2:G$746,'Base bordo'!C$2:C$746,A304,'Base bordo'!B$2:B$746,B304,'Base bordo'!F$2:F$746,"MANUTENCAO BORRACHARIA"),0)+IFERROR(SUMIFS('Base bordo'!G$2:G$746,'Base bordo'!C$2:C$746,A304,'Base bordo'!B$2:B$746,B304,'Base bordo'!F$2:F$746,"MANUTENCAO EXTERNA  CONCESSIONARIA"),0)+IFERROR(SUMIFS('Base bordo'!G$2:G$746,'Base bordo'!C$2:C$746,A304,'Base bordo'!B$2:B$746,B304,'Base bordo'!F$2:F$746,"MANUTENCAO TELEMETRIA"),0)</f>
        <v>0</v>
      </c>
      <c r="M304" s="10">
        <f>IFERROR(SUMIFS('Base bordo'!G$2:G$746,'Base bordo'!C$2:C$746,A304,'Base bordo'!B$2:B$746,B304,'Base bordo'!F$2:F$746,"AGUARDANDO MANUTENCAO"),0)</f>
        <v>0</v>
      </c>
      <c r="N304" s="10">
        <f>IFERROR(SUMIFS('Base bordo'!G$2:G$746,'Base bordo'!C$2:C$746,A304,'Base bordo'!B$2:B$746,B304,'Base bordo'!F$2:F$746,"SEM APONTAMENTO"),0)</f>
        <v>0</v>
      </c>
      <c r="O304" s="10">
        <f t="shared" si="36"/>
        <v>0</v>
      </c>
      <c r="P304" s="10">
        <f>IFERROR(SUMIFS('Base bordo'!G$2:G$746,'Base bordo'!C$2:C$746,A304,'Base bordo'!B$2:B$746,B304),0)</f>
        <v>23.11888888888889</v>
      </c>
      <c r="Q304" s="10">
        <f>IFERROR(SUMIFS('Base bordo'!H$2:H$746,'Base bordo'!C$2:C$746,A304,'Base bordo'!B$2:B$746,B304,'Base bordo'!F$2:F$746,"DESLOCAMENTO VAZIO"),0)</f>
        <v>176172.38</v>
      </c>
      <c r="R304" s="10">
        <f>IFERROR(SUMIFS('Base bordo'!I$2:I$746,'Base bordo'!C$2:C$746,A304,'Base bordo'!B$2:B$746,B304,'Base bordo'!F$2:F$746,"DESLOCAMENTO VAZIO"),0)</f>
        <v>4922</v>
      </c>
      <c r="S304" s="30">
        <f t="shared" si="37"/>
        <v>35.792844372206424</v>
      </c>
      <c r="T304" s="10">
        <f>IFERROR(SUMIFS('Base bordo'!H$2:H$746,'Base bordo'!C$2:C$746,A304,'Base bordo'!B$2:B$746,B304,'Base bordo'!F$2:F$746,"DESLOCAMENTO CARREGADO"),0)</f>
        <v>181456.72999999998</v>
      </c>
      <c r="U304" s="10">
        <f>IFERROR(SUMIFS('Base bordo'!I$2:I$746,'Base bordo'!C$2:C$746,A304,'Base bordo'!B$2:B$746,B304,'Base bordo'!F$2:F$746,"DESLOCAMENTO CARREGADO"),0)</f>
        <v>7894</v>
      </c>
      <c r="V304" s="30">
        <f t="shared" si="38"/>
        <v>22.986664555358498</v>
      </c>
      <c r="W304" s="9">
        <f t="shared" si="39"/>
        <v>5.913875138174652E-2</v>
      </c>
      <c r="X304" s="9">
        <f t="shared" si="40"/>
        <v>9.4847887730090827E-2</v>
      </c>
      <c r="Y304" s="9">
        <f t="shared" si="41"/>
        <v>0.84601336088816259</v>
      </c>
    </row>
    <row r="305" spans="1:25" ht="15" customHeight="1" x14ac:dyDescent="0.35">
      <c r="A305" s="52">
        <v>8013465</v>
      </c>
      <c r="B305" s="51">
        <v>46119</v>
      </c>
      <c r="C305" s="7" t="s">
        <v>124</v>
      </c>
      <c r="D305" s="10">
        <f>IFERROR(SUMIFS('Base bordo'!G$2:G$746,'Base bordo'!C$2:C$746,A305,'Base bordo'!B$2:B$746,B305,'Base bordo'!F$2:F$746,"DESLOCAMENTO VAZIO"),0)</f>
        <v>1.5244444444444445</v>
      </c>
      <c r="E305" s="10">
        <f>IFERROR(SUMIFS('Base bordo'!G$2:G$746,'Base bordo'!C$2:C$746,A305,'Base bordo'!B$2:B$746,B305,'Base bordo'!F$2:F$746,"DESLOCAMENTO CARREGADO"),0)</f>
        <v>1.4430555555555555</v>
      </c>
      <c r="F305" s="10">
        <f>IFERROR(SUMIFS('Base bordo'!G$2:G$746,'Base bordo'!C$2:C$746,A305,'Base bordo'!B$2:B$746,B305,'Base bordo'!F$2:F$746,"DESLOCAMENTO"),0)</f>
        <v>0</v>
      </c>
      <c r="G305" s="10">
        <f>IFERROR(SUMIFS('Base bordo'!G$2:G$746,'Base bordo'!C$2:C$746,A305,'Base bordo'!B$2:B$746,B305,'Base bordo'!F$2:F$746,"CARREGAMENTO"),0)</f>
        <v>0</v>
      </c>
      <c r="H305" s="10">
        <f>IFERROR(SUMIFS('Base bordo'!G$2:G$746,'Base bordo'!C$2:C$746,A305,'Base bordo'!B$2:B$746,B305,'Base bordo'!F$2:F$746,"AGUARDANDO TRANSBORDO"),0)</f>
        <v>1.4722222222222223</v>
      </c>
      <c r="I305" s="10">
        <f>IFERROR(SUMIFS('Base bordo'!G$2:G$746,'Base bordo'!C$2:C$746,A305,'Base bordo'!B$2:B$746,B305,'Base bordo'!F$2:F$746,"PÁTIO INTERNO"),0)+IFERROR(SUMIFS('Base bordo'!G$2:G$746,'Base bordo'!C$2:C$746,A305,'Base bordo'!B$2:B$746,B305,'Base bordo'!F$2:F$746,"PÁTIO EXTERNO"),0)+IFERROR(SUMIFS('Base bordo'!G$2:G$746,'Base bordo'!C$2:C$746,A305,'Base bordo'!B$2:B$746,B305,'Base bordo'!F$2:F$746,"PATIO - RESERVA"),0)+IFERROR(SUMIFS('Base bordo'!G$2:G$746,'Base bordo'!C$2:C$746,A305,'Base bordo'!B$2:B$746,B305,'Base bordo'!F$2:F$746,"MANOBRA CARRETAS-PATIO"),0)</f>
        <v>0</v>
      </c>
      <c r="J305" s="10">
        <f>IFERROR(SUMIFS('Base bordo'!G$2:G$746,'Base bordo'!C$2:C$746,A305,'Base bordo'!B$2:B$746,B305,'Base bordo'!F$2:F$746,"BALANÇA - ENTRADA"),0)+IFERROR(SUMIFS('Base bordo'!G$2:G$746,'Base bordo'!C$2:C$746,A305,'Base bordo'!B$2:B$746,B305,'Base bordo'!F$2:F$746,"BALANÇA - SAÍDA"),0)</f>
        <v>0</v>
      </c>
      <c r="K305" s="10">
        <f>IFERROR(SUMIFS('Base bordo'!G$2:G$746,'Base bordo'!C$2:C$746,A305,'Base bordo'!B$2:B$746,B305,'Base bordo'!F$2:F$746,"MAN PREVENTIVA - MECANICA"),0)+IFERROR(SUMIFS('Base bordo'!G$2:G$746,'Base bordo'!C$2:C$746,A305,'Base bordo'!B$2:B$746,B305,'Base bordo'!F$2:F$746,"MAN CORRETIVA - MECANICA"),0)</f>
        <v>0</v>
      </c>
      <c r="L305" s="10">
        <f>IFERROR(SUMIFS('Base bordo'!G$2:G$746,'Base bordo'!C$2:C$746,A305,'Base bordo'!B$2:B$746,B305,'Base bordo'!F$2:F$746,"MANUTENCAO - T O"),0)+IFERROR(SUMIFS('Base bordo'!G$2:G$746,'Base bordo'!C$2:C$746,A305,'Base bordo'!B$2:B$746,B305,'Base bordo'!F$2:F$746,"MANUTENCAO BORRACHARIA"),0)+IFERROR(SUMIFS('Base bordo'!G$2:G$746,'Base bordo'!C$2:C$746,A305,'Base bordo'!B$2:B$746,B305,'Base bordo'!F$2:F$746,"MANUTENCAO EXTERNA  CONCESSIONARIA"),0)+IFERROR(SUMIFS('Base bordo'!G$2:G$746,'Base bordo'!C$2:C$746,A305,'Base bordo'!B$2:B$746,B305,'Base bordo'!F$2:F$746,"MANUTENCAO TELEMETRIA"),0)</f>
        <v>0</v>
      </c>
      <c r="M305" s="10">
        <f>IFERROR(SUMIFS('Base bordo'!G$2:G$746,'Base bordo'!C$2:C$746,A305,'Base bordo'!B$2:B$746,B305,'Base bordo'!F$2:F$746,"AGUARDANDO MANUTENCAO"),0)</f>
        <v>0</v>
      </c>
      <c r="N305" s="10">
        <f>IFERROR(SUMIFS('Base bordo'!G$2:G$746,'Base bordo'!C$2:C$746,A305,'Base bordo'!B$2:B$746,B305,'Base bordo'!F$2:F$746,"SEM APONTAMENTO"),0)</f>
        <v>0</v>
      </c>
      <c r="O305" s="10">
        <f t="shared" si="36"/>
        <v>0</v>
      </c>
      <c r="P305" s="10">
        <f>IFERROR(SUMIFS('Base bordo'!G$2:G$746,'Base bordo'!C$2:C$746,A305,'Base bordo'!B$2:B$746,B305),0)</f>
        <v>4.4397222222222226</v>
      </c>
      <c r="Q305" s="10">
        <f>IFERROR(SUMIFS('Base bordo'!H$2:H$746,'Base bordo'!C$2:C$746,A305,'Base bordo'!B$2:B$746,B305,'Base bordo'!F$2:F$746,"DESLOCAMENTO VAZIO"),0)</f>
        <v>173737.47</v>
      </c>
      <c r="R305" s="10">
        <f>IFERROR(SUMIFS('Base bordo'!I$2:I$746,'Base bordo'!C$2:C$746,A305,'Base bordo'!B$2:B$746,B305,'Base bordo'!F$2:F$746,"DESLOCAMENTO VAZIO"),0)</f>
        <v>5488</v>
      </c>
      <c r="S305" s="30">
        <f t="shared" si="37"/>
        <v>31.657702259475219</v>
      </c>
      <c r="T305" s="10">
        <f>IFERROR(SUMIFS('Base bordo'!H$2:H$746,'Base bordo'!C$2:C$746,A305,'Base bordo'!B$2:B$746,B305,'Base bordo'!F$2:F$746,"DESLOCAMENTO CARREGADO"),0)</f>
        <v>130358.20999999999</v>
      </c>
      <c r="U305" s="10">
        <f>IFERROR(SUMIFS('Base bordo'!I$2:I$746,'Base bordo'!C$2:C$746,A305,'Base bordo'!B$2:B$746,B305,'Base bordo'!F$2:F$746,"DESLOCAMENTO CARREGADO"),0)</f>
        <v>5195</v>
      </c>
      <c r="V305" s="30">
        <f t="shared" si="38"/>
        <v>25.093014436958612</v>
      </c>
      <c r="W305" s="9">
        <f t="shared" si="39"/>
        <v>0.34336482512669708</v>
      </c>
      <c r="X305" s="9">
        <f t="shared" si="40"/>
        <v>0.32503284740036287</v>
      </c>
      <c r="Y305" s="9">
        <f t="shared" si="41"/>
        <v>0.33160232747294005</v>
      </c>
    </row>
    <row r="306" spans="1:25" ht="15" customHeight="1" x14ac:dyDescent="0.35">
      <c r="A306" s="52">
        <v>8013485</v>
      </c>
      <c r="B306" s="51">
        <v>46117</v>
      </c>
      <c r="C306" s="7" t="s">
        <v>124</v>
      </c>
      <c r="D306" s="10">
        <f>IFERROR(SUMIFS('Base bordo'!G$2:G$746,'Base bordo'!C$2:C$746,A306,'Base bordo'!B$2:B$746,B306,'Base bordo'!F$2:F$746,"DESLOCAMENTO VAZIO"),0)</f>
        <v>1.9294444444444445</v>
      </c>
      <c r="E306" s="10">
        <f>IFERROR(SUMIFS('Base bordo'!G$2:G$746,'Base bordo'!C$2:C$746,A306,'Base bordo'!B$2:B$746,B306,'Base bordo'!F$2:F$746,"DESLOCAMENTO CARREGADO"),0)</f>
        <v>1.6919444444444445</v>
      </c>
      <c r="F306" s="10">
        <f>IFERROR(SUMIFS('Base bordo'!G$2:G$746,'Base bordo'!C$2:C$746,A306,'Base bordo'!B$2:B$746,B306,'Base bordo'!F$2:F$746,"DESLOCAMENTO"),0)</f>
        <v>0</v>
      </c>
      <c r="G306" s="10">
        <f>IFERROR(SUMIFS('Base bordo'!G$2:G$746,'Base bordo'!C$2:C$746,A306,'Base bordo'!B$2:B$746,B306,'Base bordo'!F$2:F$746,"CARREGAMENTO"),0)</f>
        <v>0.57138888888888884</v>
      </c>
      <c r="H306" s="10">
        <f>IFERROR(SUMIFS('Base bordo'!G$2:G$746,'Base bordo'!C$2:C$746,A306,'Base bordo'!B$2:B$746,B306,'Base bordo'!F$2:F$746,"AGUARDANDO TRANSBORDO"),0)</f>
        <v>0</v>
      </c>
      <c r="I306" s="10">
        <f>IFERROR(SUMIFS('Base bordo'!G$2:G$746,'Base bordo'!C$2:C$746,A306,'Base bordo'!B$2:B$746,B306,'Base bordo'!F$2:F$746,"PÁTIO INTERNO"),0)+IFERROR(SUMIFS('Base bordo'!G$2:G$746,'Base bordo'!C$2:C$746,A306,'Base bordo'!B$2:B$746,B306,'Base bordo'!F$2:F$746,"PÁTIO EXTERNO"),0)+IFERROR(SUMIFS('Base bordo'!G$2:G$746,'Base bordo'!C$2:C$746,A306,'Base bordo'!B$2:B$746,B306,'Base bordo'!F$2:F$746,"PATIO - RESERVA"),0)+IFERROR(SUMIFS('Base bordo'!G$2:G$746,'Base bordo'!C$2:C$746,A306,'Base bordo'!B$2:B$746,B306,'Base bordo'!F$2:F$746,"MANOBRA CARRETAS-PATIO"),0)</f>
        <v>0.93222222222222217</v>
      </c>
      <c r="J306" s="10">
        <f>IFERROR(SUMIFS('Base bordo'!G$2:G$746,'Base bordo'!C$2:C$746,A306,'Base bordo'!B$2:B$746,B306,'Base bordo'!F$2:F$746,"BALANÇA - ENTRADA"),0)+IFERROR(SUMIFS('Base bordo'!G$2:G$746,'Base bordo'!C$2:C$746,A306,'Base bordo'!B$2:B$746,B306,'Base bordo'!F$2:F$746,"BALANÇA - SAÍDA"),0)</f>
        <v>0</v>
      </c>
      <c r="K306" s="10">
        <f>IFERROR(SUMIFS('Base bordo'!G$2:G$746,'Base bordo'!C$2:C$746,A306,'Base bordo'!B$2:B$746,B306,'Base bordo'!F$2:F$746,"MAN PREVENTIVA - MECANICA"),0)+IFERROR(SUMIFS('Base bordo'!G$2:G$746,'Base bordo'!C$2:C$746,A306,'Base bordo'!B$2:B$746,B306,'Base bordo'!F$2:F$746,"MAN CORRETIVA - MECANICA"),0)</f>
        <v>0</v>
      </c>
      <c r="L306" s="10">
        <f>IFERROR(SUMIFS('Base bordo'!G$2:G$746,'Base bordo'!C$2:C$746,A306,'Base bordo'!B$2:B$746,B306,'Base bordo'!F$2:F$746,"MANUTENCAO - T O"),0)+IFERROR(SUMIFS('Base bordo'!G$2:G$746,'Base bordo'!C$2:C$746,A306,'Base bordo'!B$2:B$746,B306,'Base bordo'!F$2:F$746,"MANUTENCAO BORRACHARIA"),0)+IFERROR(SUMIFS('Base bordo'!G$2:G$746,'Base bordo'!C$2:C$746,A306,'Base bordo'!B$2:B$746,B306,'Base bordo'!F$2:F$746,"MANUTENCAO EXTERNA  CONCESSIONARIA"),0)+IFERROR(SUMIFS('Base bordo'!G$2:G$746,'Base bordo'!C$2:C$746,A306,'Base bordo'!B$2:B$746,B306,'Base bordo'!F$2:F$746,"MANUTENCAO TELEMETRIA"),0)</f>
        <v>8.8805555555555564</v>
      </c>
      <c r="M306" s="10">
        <f>IFERROR(SUMIFS('Base bordo'!G$2:G$746,'Base bordo'!C$2:C$746,A306,'Base bordo'!B$2:B$746,B306,'Base bordo'!F$2:F$746,"AGUARDANDO MANUTENCAO"),0)</f>
        <v>0</v>
      </c>
      <c r="N306" s="10">
        <f>IFERROR(SUMIFS('Base bordo'!G$2:G$746,'Base bordo'!C$2:C$746,A306,'Base bordo'!B$2:B$746,B306,'Base bordo'!F$2:F$746,"SEM APONTAMENTO"),0)</f>
        <v>0</v>
      </c>
      <c r="O306" s="10">
        <f t="shared" si="36"/>
        <v>4.9944444444444471</v>
      </c>
      <c r="P306" s="10">
        <f>IFERROR(SUMIFS('Base bordo'!G$2:G$746,'Base bordo'!C$2:C$746,A306,'Base bordo'!B$2:B$746,B306),0)</f>
        <v>19.000000000000004</v>
      </c>
      <c r="Q306" s="10">
        <f>IFERROR(SUMIFS('Base bordo'!H$2:H$746,'Base bordo'!C$2:C$746,A306,'Base bordo'!B$2:B$746,B306,'Base bordo'!F$2:F$746,"DESLOCAMENTO VAZIO"),0)</f>
        <v>200216.06000000003</v>
      </c>
      <c r="R306" s="10">
        <f>IFERROR(SUMIFS('Base bordo'!I$2:I$746,'Base bordo'!C$2:C$746,A306,'Base bordo'!B$2:B$746,B306,'Base bordo'!F$2:F$746,"DESLOCAMENTO VAZIO"),0)</f>
        <v>6946</v>
      </c>
      <c r="S306" s="30">
        <f t="shared" si="37"/>
        <v>28.82465591707458</v>
      </c>
      <c r="T306" s="10">
        <f>IFERROR(SUMIFS('Base bordo'!H$2:H$746,'Base bordo'!C$2:C$746,A306,'Base bordo'!B$2:B$746,B306,'Base bordo'!F$2:F$746,"DESLOCAMENTO CARREGADO"),0)</f>
        <v>167185.25</v>
      </c>
      <c r="U306" s="10">
        <f>IFERROR(SUMIFS('Base bordo'!I$2:I$746,'Base bordo'!C$2:C$746,A306,'Base bordo'!B$2:B$746,B306,'Base bordo'!F$2:F$746,"DESLOCAMENTO CARREGADO"),0)</f>
        <v>6091</v>
      </c>
      <c r="V306" s="30">
        <f t="shared" si="38"/>
        <v>27.447914956493186</v>
      </c>
      <c r="W306" s="9">
        <f t="shared" si="39"/>
        <v>0.10154970760233917</v>
      </c>
      <c r="X306" s="9">
        <f t="shared" si="40"/>
        <v>8.904970760233917E-2</v>
      </c>
      <c r="Y306" s="9">
        <f t="shared" si="41"/>
        <v>0.80940058479532162</v>
      </c>
    </row>
    <row r="307" spans="1:25" ht="15" customHeight="1" x14ac:dyDescent="0.35">
      <c r="A307" s="52">
        <v>8013478</v>
      </c>
      <c r="B307" s="51">
        <v>46118</v>
      </c>
      <c r="C307" s="7" t="s">
        <v>124</v>
      </c>
      <c r="D307" s="10">
        <f>IFERROR(SUMIFS('Base bordo'!G$2:G$746,'Base bordo'!C$2:C$746,A307,'Base bordo'!B$2:B$746,B307,'Base bordo'!F$2:F$746,"DESLOCAMENTO VAZIO"),0)</f>
        <v>2.2297222222222222</v>
      </c>
      <c r="E307" s="10">
        <f>IFERROR(SUMIFS('Base bordo'!G$2:G$746,'Base bordo'!C$2:C$746,A307,'Base bordo'!B$2:B$746,B307,'Base bordo'!F$2:F$746,"DESLOCAMENTO CARREGADO"),0)</f>
        <v>1.9061111111111111</v>
      </c>
      <c r="F307" s="10">
        <f>IFERROR(SUMIFS('Base bordo'!G$2:G$746,'Base bordo'!C$2:C$746,A307,'Base bordo'!B$2:B$746,B307,'Base bordo'!F$2:F$746,"DESLOCAMENTO"),0)</f>
        <v>0</v>
      </c>
      <c r="G307" s="10">
        <f>IFERROR(SUMIFS('Base bordo'!G$2:G$746,'Base bordo'!C$2:C$746,A307,'Base bordo'!B$2:B$746,B307,'Base bordo'!F$2:F$746,"CARREGAMENTO"),0)</f>
        <v>0</v>
      </c>
      <c r="H307" s="10">
        <f>IFERROR(SUMIFS('Base bordo'!G$2:G$746,'Base bordo'!C$2:C$746,A307,'Base bordo'!B$2:B$746,B307,'Base bordo'!F$2:F$746,"AGUARDANDO TRANSBORDO"),0)</f>
        <v>0.90749999999999997</v>
      </c>
      <c r="I307" s="10">
        <f>IFERROR(SUMIFS('Base bordo'!G$2:G$746,'Base bordo'!C$2:C$746,A307,'Base bordo'!B$2:B$746,B307,'Base bordo'!F$2:F$746,"PÁTIO INTERNO"),0)+IFERROR(SUMIFS('Base bordo'!G$2:G$746,'Base bordo'!C$2:C$746,A307,'Base bordo'!B$2:B$746,B307,'Base bordo'!F$2:F$746,"PÁTIO EXTERNO"),0)+IFERROR(SUMIFS('Base bordo'!G$2:G$746,'Base bordo'!C$2:C$746,A307,'Base bordo'!B$2:B$746,B307,'Base bordo'!F$2:F$746,"PATIO - RESERVA"),0)+IFERROR(SUMIFS('Base bordo'!G$2:G$746,'Base bordo'!C$2:C$746,A307,'Base bordo'!B$2:B$746,B307,'Base bordo'!F$2:F$746,"MANOBRA CARRETAS-PATIO"),0)</f>
        <v>3.8741666666666665</v>
      </c>
      <c r="J307" s="10">
        <f>IFERROR(SUMIFS('Base bordo'!G$2:G$746,'Base bordo'!C$2:C$746,A307,'Base bordo'!B$2:B$746,B307,'Base bordo'!F$2:F$746,"BALANÇA - ENTRADA"),0)+IFERROR(SUMIFS('Base bordo'!G$2:G$746,'Base bordo'!C$2:C$746,A307,'Base bordo'!B$2:B$746,B307,'Base bordo'!F$2:F$746,"BALANÇA - SAÍDA"),0)</f>
        <v>1.1944444444444445E-2</v>
      </c>
      <c r="K307" s="10">
        <f>IFERROR(SUMIFS('Base bordo'!G$2:G$746,'Base bordo'!C$2:C$746,A307,'Base bordo'!B$2:B$746,B307,'Base bordo'!F$2:F$746,"MAN PREVENTIVA - MECANICA"),0)+IFERROR(SUMIFS('Base bordo'!G$2:G$746,'Base bordo'!C$2:C$746,A307,'Base bordo'!B$2:B$746,B307,'Base bordo'!F$2:F$746,"MAN CORRETIVA - MECANICA"),0)</f>
        <v>0</v>
      </c>
      <c r="L307" s="10">
        <f>IFERROR(SUMIFS('Base bordo'!G$2:G$746,'Base bordo'!C$2:C$746,A307,'Base bordo'!B$2:B$746,B307,'Base bordo'!F$2:F$746,"MANUTENCAO - T O"),0)+IFERROR(SUMIFS('Base bordo'!G$2:G$746,'Base bordo'!C$2:C$746,A307,'Base bordo'!B$2:B$746,B307,'Base bordo'!F$2:F$746,"MANUTENCAO BORRACHARIA"),0)+IFERROR(SUMIFS('Base bordo'!G$2:G$746,'Base bordo'!C$2:C$746,A307,'Base bordo'!B$2:B$746,B307,'Base bordo'!F$2:F$746,"MANUTENCAO EXTERNA  CONCESSIONARIA"),0)+IFERROR(SUMIFS('Base bordo'!G$2:G$746,'Base bordo'!C$2:C$746,A307,'Base bordo'!B$2:B$746,B307,'Base bordo'!F$2:F$746,"MANUTENCAO TELEMETRIA"),0)</f>
        <v>0</v>
      </c>
      <c r="M307" s="10">
        <f>IFERROR(SUMIFS('Base bordo'!G$2:G$746,'Base bordo'!C$2:C$746,A307,'Base bordo'!B$2:B$746,B307,'Base bordo'!F$2:F$746,"AGUARDANDO MANUTENCAO"),0)</f>
        <v>0</v>
      </c>
      <c r="N307" s="10">
        <f>IFERROR(SUMIFS('Base bordo'!G$2:G$746,'Base bordo'!C$2:C$746,A307,'Base bordo'!B$2:B$746,B307,'Base bordo'!F$2:F$746,"SEM APONTAMENTO"),0)</f>
        <v>0</v>
      </c>
      <c r="O307" s="10">
        <f t="shared" si="36"/>
        <v>2.3333333333331652E-2</v>
      </c>
      <c r="P307" s="10">
        <f>IFERROR(SUMIFS('Base bordo'!G$2:G$746,'Base bordo'!C$2:C$746,A307,'Base bordo'!B$2:B$746,B307),0)</f>
        <v>8.9527777777777757</v>
      </c>
      <c r="Q307" s="10">
        <f>IFERROR(SUMIFS('Base bordo'!H$2:H$746,'Base bordo'!C$2:C$746,A307,'Base bordo'!B$2:B$746,B307,'Base bordo'!F$2:F$746,"DESLOCAMENTO VAZIO"),0)</f>
        <v>290634.14</v>
      </c>
      <c r="R307" s="10">
        <f>IFERROR(SUMIFS('Base bordo'!I$2:I$746,'Base bordo'!C$2:C$746,A307,'Base bordo'!B$2:B$746,B307,'Base bordo'!F$2:F$746,"DESLOCAMENTO VAZIO"),0)</f>
        <v>8027</v>
      </c>
      <c r="S307" s="30">
        <f t="shared" si="37"/>
        <v>36.207068643328768</v>
      </c>
      <c r="T307" s="10">
        <f>IFERROR(SUMIFS('Base bordo'!H$2:H$746,'Base bordo'!C$2:C$746,A307,'Base bordo'!B$2:B$746,B307,'Base bordo'!F$2:F$746,"DESLOCAMENTO CARREGADO"),0)</f>
        <v>165552.33000000002</v>
      </c>
      <c r="U307" s="10">
        <f>IFERROR(SUMIFS('Base bordo'!I$2:I$746,'Base bordo'!C$2:C$746,A307,'Base bordo'!B$2:B$746,B307,'Base bordo'!F$2:F$746,"DESLOCAMENTO CARREGADO"),0)</f>
        <v>6862</v>
      </c>
      <c r="V307" s="30">
        <f t="shared" si="38"/>
        <v>24.125958904109591</v>
      </c>
      <c r="W307" s="9">
        <f t="shared" si="39"/>
        <v>0.24905367669872794</v>
      </c>
      <c r="X307" s="9">
        <f t="shared" si="40"/>
        <v>0.21290722928948189</v>
      </c>
      <c r="Y307" s="9">
        <f t="shared" si="41"/>
        <v>0.53803909401179018</v>
      </c>
    </row>
    <row r="308" spans="1:25" ht="15" customHeight="1" x14ac:dyDescent="0.35">
      <c r="A308" s="52">
        <v>8013472</v>
      </c>
      <c r="B308" s="51">
        <v>46118</v>
      </c>
      <c r="C308" s="7" t="s">
        <v>124</v>
      </c>
      <c r="D308" s="10">
        <f>IFERROR(SUMIFS('Base bordo'!G$2:G$746,'Base bordo'!C$2:C$746,A308,'Base bordo'!B$2:B$746,B308,'Base bordo'!F$2:F$746,"DESLOCAMENTO VAZIO"),0)</f>
        <v>1.75</v>
      </c>
      <c r="E308" s="10">
        <f>IFERROR(SUMIFS('Base bordo'!G$2:G$746,'Base bordo'!C$2:C$746,A308,'Base bordo'!B$2:B$746,B308,'Base bordo'!F$2:F$746,"DESLOCAMENTO CARREGADO"),0)</f>
        <v>2.4983333333333335</v>
      </c>
      <c r="F308" s="10">
        <f>IFERROR(SUMIFS('Base bordo'!G$2:G$746,'Base bordo'!C$2:C$746,A308,'Base bordo'!B$2:B$746,B308,'Base bordo'!F$2:F$746,"DESLOCAMENTO"),0)</f>
        <v>1.1605555555555556</v>
      </c>
      <c r="G308" s="10">
        <f>IFERROR(SUMIFS('Base bordo'!G$2:G$746,'Base bordo'!C$2:C$746,A308,'Base bordo'!B$2:B$746,B308,'Base bordo'!F$2:F$746,"CARREGAMENTO"),0)</f>
        <v>0</v>
      </c>
      <c r="H308" s="10">
        <f>IFERROR(SUMIFS('Base bordo'!G$2:G$746,'Base bordo'!C$2:C$746,A308,'Base bordo'!B$2:B$746,B308,'Base bordo'!F$2:F$746,"AGUARDANDO TRANSBORDO"),0)</f>
        <v>0</v>
      </c>
      <c r="I308" s="10">
        <f>IFERROR(SUMIFS('Base bordo'!G$2:G$746,'Base bordo'!C$2:C$746,A308,'Base bordo'!B$2:B$746,B308,'Base bordo'!F$2:F$746,"PÁTIO INTERNO"),0)+IFERROR(SUMIFS('Base bordo'!G$2:G$746,'Base bordo'!C$2:C$746,A308,'Base bordo'!B$2:B$746,B308,'Base bordo'!F$2:F$746,"PÁTIO EXTERNO"),0)+IFERROR(SUMIFS('Base bordo'!G$2:G$746,'Base bordo'!C$2:C$746,A308,'Base bordo'!B$2:B$746,B308,'Base bordo'!F$2:F$746,"PATIO - RESERVA"),0)+IFERROR(SUMIFS('Base bordo'!G$2:G$746,'Base bordo'!C$2:C$746,A308,'Base bordo'!B$2:B$746,B308,'Base bordo'!F$2:F$746,"MANOBRA CARRETAS-PATIO"),0)</f>
        <v>6.2741666666666669</v>
      </c>
      <c r="J308" s="10">
        <f>IFERROR(SUMIFS('Base bordo'!G$2:G$746,'Base bordo'!C$2:C$746,A308,'Base bordo'!B$2:B$746,B308,'Base bordo'!F$2:F$746,"BALANÇA - ENTRADA"),0)+IFERROR(SUMIFS('Base bordo'!G$2:G$746,'Base bordo'!C$2:C$746,A308,'Base bordo'!B$2:B$746,B308,'Base bordo'!F$2:F$746,"BALANÇA - SAÍDA"),0)</f>
        <v>1.2222222222222223E-2</v>
      </c>
      <c r="K308" s="10">
        <f>IFERROR(SUMIFS('Base bordo'!G$2:G$746,'Base bordo'!C$2:C$746,A308,'Base bordo'!B$2:B$746,B308,'Base bordo'!F$2:F$746,"MAN PREVENTIVA - MECANICA"),0)+IFERROR(SUMIFS('Base bordo'!G$2:G$746,'Base bordo'!C$2:C$746,A308,'Base bordo'!B$2:B$746,B308,'Base bordo'!F$2:F$746,"MAN CORRETIVA - MECANICA"),0)</f>
        <v>0</v>
      </c>
      <c r="L308" s="10">
        <f>IFERROR(SUMIFS('Base bordo'!G$2:G$746,'Base bordo'!C$2:C$746,A308,'Base bordo'!B$2:B$746,B308,'Base bordo'!F$2:F$746,"MANUTENCAO - T O"),0)+IFERROR(SUMIFS('Base bordo'!G$2:G$746,'Base bordo'!C$2:C$746,A308,'Base bordo'!B$2:B$746,B308,'Base bordo'!F$2:F$746,"MANUTENCAO BORRACHARIA"),0)+IFERROR(SUMIFS('Base bordo'!G$2:G$746,'Base bordo'!C$2:C$746,A308,'Base bordo'!B$2:B$746,B308,'Base bordo'!F$2:F$746,"MANUTENCAO EXTERNA  CONCESSIONARIA"),0)+IFERROR(SUMIFS('Base bordo'!G$2:G$746,'Base bordo'!C$2:C$746,A308,'Base bordo'!B$2:B$746,B308,'Base bordo'!F$2:F$746,"MANUTENCAO TELEMETRIA"),0)</f>
        <v>2.3786111111111112</v>
      </c>
      <c r="M308" s="10">
        <f>IFERROR(SUMIFS('Base bordo'!G$2:G$746,'Base bordo'!C$2:C$746,A308,'Base bordo'!B$2:B$746,B308,'Base bordo'!F$2:F$746,"AGUARDANDO MANUTENCAO"),0)</f>
        <v>5.3633333333333333</v>
      </c>
      <c r="N308" s="10">
        <f>IFERROR(SUMIFS('Base bordo'!G$2:G$746,'Base bordo'!C$2:C$746,A308,'Base bordo'!B$2:B$746,B308,'Base bordo'!F$2:F$746,"SEM APONTAMENTO"),0)</f>
        <v>0</v>
      </c>
      <c r="O308" s="10">
        <f t="shared" si="36"/>
        <v>0</v>
      </c>
      <c r="P308" s="10">
        <f>IFERROR(SUMIFS('Base bordo'!G$2:G$746,'Base bordo'!C$2:C$746,A308,'Base bordo'!B$2:B$746,B308),0)</f>
        <v>19.437222222222221</v>
      </c>
      <c r="Q308" s="10">
        <f>IFERROR(SUMIFS('Base bordo'!H$2:H$746,'Base bordo'!C$2:C$746,A308,'Base bordo'!B$2:B$746,B308,'Base bordo'!F$2:F$746,"DESLOCAMENTO VAZIO"),0)</f>
        <v>117213.39</v>
      </c>
      <c r="R308" s="10">
        <f>IFERROR(SUMIFS('Base bordo'!I$2:I$746,'Base bordo'!C$2:C$746,A308,'Base bordo'!B$2:B$746,B308,'Base bordo'!F$2:F$746,"DESLOCAMENTO VAZIO"),0)</f>
        <v>6300</v>
      </c>
      <c r="S308" s="30">
        <f t="shared" si="37"/>
        <v>18.6053</v>
      </c>
      <c r="T308" s="10">
        <f>IFERROR(SUMIFS('Base bordo'!H$2:H$746,'Base bordo'!C$2:C$746,A308,'Base bordo'!B$2:B$746,B308,'Base bordo'!F$2:F$746,"DESLOCAMENTO CARREGADO"),0)</f>
        <v>206109.95</v>
      </c>
      <c r="U308" s="10">
        <f>IFERROR(SUMIFS('Base bordo'!I$2:I$746,'Base bordo'!C$2:C$746,A308,'Base bordo'!B$2:B$746,B308,'Base bordo'!F$2:F$746,"DESLOCAMENTO CARREGADO"),0)</f>
        <v>8677</v>
      </c>
      <c r="V308" s="30">
        <f t="shared" si="38"/>
        <v>23.753595712803964</v>
      </c>
      <c r="W308" s="9">
        <f t="shared" si="39"/>
        <v>9.0033440992368596E-2</v>
      </c>
      <c r="X308" s="9">
        <f t="shared" si="40"/>
        <v>0.128533455283391</v>
      </c>
      <c r="Y308" s="9">
        <f t="shared" si="41"/>
        <v>0.78143310372424046</v>
      </c>
    </row>
    <row r="309" spans="1:25" ht="15" customHeight="1" x14ac:dyDescent="0.35">
      <c r="A309" s="52">
        <v>8013472</v>
      </c>
      <c r="B309" s="51">
        <v>46117</v>
      </c>
      <c r="C309" s="7" t="s">
        <v>124</v>
      </c>
      <c r="D309" s="10">
        <f>IFERROR(SUMIFS('Base bordo'!G$2:G$746,'Base bordo'!C$2:C$746,A309,'Base bordo'!B$2:B$746,B309,'Base bordo'!F$2:F$746,"DESLOCAMENTO VAZIO"),0)</f>
        <v>1.5952777777777778</v>
      </c>
      <c r="E309" s="10">
        <f>IFERROR(SUMIFS('Base bordo'!G$2:G$746,'Base bordo'!C$2:C$746,A309,'Base bordo'!B$2:B$746,B309,'Base bordo'!F$2:F$746,"DESLOCAMENTO CARREGADO"),0)</f>
        <v>0</v>
      </c>
      <c r="F309" s="10">
        <f>IFERROR(SUMIFS('Base bordo'!G$2:G$746,'Base bordo'!C$2:C$746,A309,'Base bordo'!B$2:B$746,B309,'Base bordo'!F$2:F$746,"DESLOCAMENTO"),0)</f>
        <v>6.8641666666666667</v>
      </c>
      <c r="G309" s="10">
        <f>IFERROR(SUMIFS('Base bordo'!G$2:G$746,'Base bordo'!C$2:C$746,A309,'Base bordo'!B$2:B$746,B309,'Base bordo'!F$2:F$746,"CARREGAMENTO"),0)</f>
        <v>0.42805555555555558</v>
      </c>
      <c r="H309" s="10">
        <f>IFERROR(SUMIFS('Base bordo'!G$2:G$746,'Base bordo'!C$2:C$746,A309,'Base bordo'!B$2:B$746,B309,'Base bordo'!F$2:F$746,"AGUARDANDO TRANSBORDO"),0)</f>
        <v>0.26416666666666666</v>
      </c>
      <c r="I309" s="10">
        <f>IFERROR(SUMIFS('Base bordo'!G$2:G$746,'Base bordo'!C$2:C$746,A309,'Base bordo'!B$2:B$746,B309,'Base bordo'!F$2:F$746,"PÁTIO INTERNO"),0)+IFERROR(SUMIFS('Base bordo'!G$2:G$746,'Base bordo'!C$2:C$746,A309,'Base bordo'!B$2:B$746,B309,'Base bordo'!F$2:F$746,"PÁTIO EXTERNO"),0)+IFERROR(SUMIFS('Base bordo'!G$2:G$746,'Base bordo'!C$2:C$746,A309,'Base bordo'!B$2:B$746,B309,'Base bordo'!F$2:F$746,"PATIO - RESERVA"),0)+IFERROR(SUMIFS('Base bordo'!G$2:G$746,'Base bordo'!C$2:C$746,A309,'Base bordo'!B$2:B$746,B309,'Base bordo'!F$2:F$746,"MANOBRA CARRETAS-PATIO"),0)</f>
        <v>0</v>
      </c>
      <c r="J309" s="10">
        <f>IFERROR(SUMIFS('Base bordo'!G$2:G$746,'Base bordo'!C$2:C$746,A309,'Base bordo'!B$2:B$746,B309,'Base bordo'!F$2:F$746,"BALANÇA - ENTRADA"),0)+IFERROR(SUMIFS('Base bordo'!G$2:G$746,'Base bordo'!C$2:C$746,A309,'Base bordo'!B$2:B$746,B309,'Base bordo'!F$2:F$746,"BALANÇA - SAÍDA"),0)</f>
        <v>0</v>
      </c>
      <c r="K309" s="10">
        <f>IFERROR(SUMIFS('Base bordo'!G$2:G$746,'Base bordo'!C$2:C$746,A309,'Base bordo'!B$2:B$746,B309,'Base bordo'!F$2:F$746,"MAN PREVENTIVA - MECANICA"),0)+IFERROR(SUMIFS('Base bordo'!G$2:G$746,'Base bordo'!C$2:C$746,A309,'Base bordo'!B$2:B$746,B309,'Base bordo'!F$2:F$746,"MAN CORRETIVA - MECANICA"),0)</f>
        <v>0</v>
      </c>
      <c r="L309" s="10">
        <f>IFERROR(SUMIFS('Base bordo'!G$2:G$746,'Base bordo'!C$2:C$746,A309,'Base bordo'!B$2:B$746,B309,'Base bordo'!F$2:F$746,"MANUTENCAO - T O"),0)+IFERROR(SUMIFS('Base bordo'!G$2:G$746,'Base bordo'!C$2:C$746,A309,'Base bordo'!B$2:B$746,B309,'Base bordo'!F$2:F$746,"MANUTENCAO BORRACHARIA"),0)+IFERROR(SUMIFS('Base bordo'!G$2:G$746,'Base bordo'!C$2:C$746,A309,'Base bordo'!B$2:B$746,B309,'Base bordo'!F$2:F$746,"MANUTENCAO EXTERNA  CONCESSIONARIA"),0)+IFERROR(SUMIFS('Base bordo'!G$2:G$746,'Base bordo'!C$2:C$746,A309,'Base bordo'!B$2:B$746,B309,'Base bordo'!F$2:F$746,"MANUTENCAO TELEMETRIA"),0)</f>
        <v>1.0469444444444445</v>
      </c>
      <c r="M309" s="10">
        <f>IFERROR(SUMIFS('Base bordo'!G$2:G$746,'Base bordo'!C$2:C$746,A309,'Base bordo'!B$2:B$746,B309,'Base bordo'!F$2:F$746,"AGUARDANDO MANUTENCAO"),0)</f>
        <v>0</v>
      </c>
      <c r="N309" s="10">
        <f>IFERROR(SUMIFS('Base bordo'!G$2:G$746,'Base bordo'!C$2:C$746,A309,'Base bordo'!B$2:B$746,B309,'Base bordo'!F$2:F$746,"SEM APONTAMENTO"),0)</f>
        <v>6.7500000000000004E-2</v>
      </c>
      <c r="O309" s="10">
        <f t="shared" si="36"/>
        <v>0</v>
      </c>
      <c r="P309" s="10">
        <f>IFERROR(SUMIFS('Base bordo'!G$2:G$746,'Base bordo'!C$2:C$746,A309,'Base bordo'!B$2:B$746,B309),0)</f>
        <v>10.266111111111112</v>
      </c>
      <c r="Q309" s="10">
        <f>IFERROR(SUMIFS('Base bordo'!H$2:H$746,'Base bordo'!C$2:C$746,A309,'Base bordo'!B$2:B$746,B309,'Base bordo'!F$2:F$746,"DESLOCAMENTO VAZIO"),0)</f>
        <v>176836.76</v>
      </c>
      <c r="R309" s="10">
        <f>IFERROR(SUMIFS('Base bordo'!I$2:I$746,'Base bordo'!C$2:C$746,A309,'Base bordo'!B$2:B$746,B309,'Base bordo'!F$2:F$746,"DESLOCAMENTO VAZIO"),0)</f>
        <v>5743</v>
      </c>
      <c r="S309" s="30">
        <f t="shared" si="37"/>
        <v>30.791704683963086</v>
      </c>
      <c r="T309" s="10">
        <f>IFERROR(SUMIFS('Base bordo'!H$2:H$746,'Base bordo'!C$2:C$746,A309,'Base bordo'!B$2:B$746,B309,'Base bordo'!F$2:F$746,"DESLOCAMENTO CARREGADO"),0)</f>
        <v>0</v>
      </c>
      <c r="U309" s="10">
        <f>IFERROR(SUMIFS('Base bordo'!I$2:I$746,'Base bordo'!C$2:C$746,A309,'Base bordo'!B$2:B$746,B309,'Base bordo'!F$2:F$746,"DESLOCAMENTO CARREGADO"),0)</f>
        <v>0</v>
      </c>
      <c r="V309" s="30" t="str">
        <f t="shared" si="38"/>
        <v/>
      </c>
      <c r="W309" s="9">
        <f t="shared" si="39"/>
        <v>0.15539260782509876</v>
      </c>
      <c r="X309" s="9">
        <f t="shared" si="40"/>
        <v>0</v>
      </c>
      <c r="Y309" s="9">
        <f t="shared" si="41"/>
        <v>0.84460739217490122</v>
      </c>
    </row>
    <row r="310" spans="1:25" ht="15" customHeight="1" x14ac:dyDescent="0.35">
      <c r="A310" s="52">
        <v>8013468</v>
      </c>
      <c r="B310" s="51">
        <v>46123</v>
      </c>
      <c r="C310" s="7" t="s">
        <v>124</v>
      </c>
      <c r="D310" s="10">
        <f>IFERROR(SUMIFS('Base bordo'!G$2:G$746,'Base bordo'!C$2:C$746,A310,'Base bordo'!B$2:B$746,B310,'Base bordo'!F$2:F$746,"DESLOCAMENTO VAZIO"),0)</f>
        <v>1.9583333333333333</v>
      </c>
      <c r="E310" s="10">
        <f>IFERROR(SUMIFS('Base bordo'!G$2:G$746,'Base bordo'!C$2:C$746,A310,'Base bordo'!B$2:B$746,B310,'Base bordo'!F$2:F$746,"DESLOCAMENTO CARREGADO"),0)</f>
        <v>2.1616666666666666</v>
      </c>
      <c r="F310" s="10">
        <f>IFERROR(SUMIFS('Base bordo'!G$2:G$746,'Base bordo'!C$2:C$746,A310,'Base bordo'!B$2:B$746,B310,'Base bordo'!F$2:F$746,"DESLOCAMENTO"),0)</f>
        <v>0</v>
      </c>
      <c r="G310" s="10">
        <f>IFERROR(SUMIFS('Base bordo'!G$2:G$746,'Base bordo'!C$2:C$746,A310,'Base bordo'!B$2:B$746,B310,'Base bordo'!F$2:F$746,"CARREGAMENTO"),0)</f>
        <v>0</v>
      </c>
      <c r="H310" s="10">
        <f>IFERROR(SUMIFS('Base bordo'!G$2:G$746,'Base bordo'!C$2:C$746,A310,'Base bordo'!B$2:B$746,B310,'Base bordo'!F$2:F$746,"AGUARDANDO TRANSBORDO"),0)</f>
        <v>0.82333333333333336</v>
      </c>
      <c r="I310" s="10">
        <f>IFERROR(SUMIFS('Base bordo'!G$2:G$746,'Base bordo'!C$2:C$746,A310,'Base bordo'!B$2:B$746,B310,'Base bordo'!F$2:F$746,"PÁTIO INTERNO"),0)+IFERROR(SUMIFS('Base bordo'!G$2:G$746,'Base bordo'!C$2:C$746,A310,'Base bordo'!B$2:B$746,B310,'Base bordo'!F$2:F$746,"PÁTIO EXTERNO"),0)+IFERROR(SUMIFS('Base bordo'!G$2:G$746,'Base bordo'!C$2:C$746,A310,'Base bordo'!B$2:B$746,B310,'Base bordo'!F$2:F$746,"PATIO - RESERVA"),0)+IFERROR(SUMIFS('Base bordo'!G$2:G$746,'Base bordo'!C$2:C$746,A310,'Base bordo'!B$2:B$746,B310,'Base bordo'!F$2:F$746,"MANOBRA CARRETAS-PATIO"),0)</f>
        <v>3.9758333333333336</v>
      </c>
      <c r="J310" s="10">
        <f>IFERROR(SUMIFS('Base bordo'!G$2:G$746,'Base bordo'!C$2:C$746,A310,'Base bordo'!B$2:B$746,B310,'Base bordo'!F$2:F$746,"BALANÇA - ENTRADA"),0)+IFERROR(SUMIFS('Base bordo'!G$2:G$746,'Base bordo'!C$2:C$746,A310,'Base bordo'!B$2:B$746,B310,'Base bordo'!F$2:F$746,"BALANÇA - SAÍDA"),0)</f>
        <v>0</v>
      </c>
      <c r="K310" s="10">
        <f>IFERROR(SUMIFS('Base bordo'!G$2:G$746,'Base bordo'!C$2:C$746,A310,'Base bordo'!B$2:B$746,B310,'Base bordo'!F$2:F$746,"MAN PREVENTIVA - MECANICA"),0)+IFERROR(SUMIFS('Base bordo'!G$2:G$746,'Base bordo'!C$2:C$746,A310,'Base bordo'!B$2:B$746,B310,'Base bordo'!F$2:F$746,"MAN CORRETIVA - MECANICA"),0)</f>
        <v>0</v>
      </c>
      <c r="L310" s="10">
        <f>IFERROR(SUMIFS('Base bordo'!G$2:G$746,'Base bordo'!C$2:C$746,A310,'Base bordo'!B$2:B$746,B310,'Base bordo'!F$2:F$746,"MANUTENCAO - T O"),0)+IFERROR(SUMIFS('Base bordo'!G$2:G$746,'Base bordo'!C$2:C$746,A310,'Base bordo'!B$2:B$746,B310,'Base bordo'!F$2:F$746,"MANUTENCAO BORRACHARIA"),0)+IFERROR(SUMIFS('Base bordo'!G$2:G$746,'Base bordo'!C$2:C$746,A310,'Base bordo'!B$2:B$746,B310,'Base bordo'!F$2:F$746,"MANUTENCAO EXTERNA  CONCESSIONARIA"),0)+IFERROR(SUMIFS('Base bordo'!G$2:G$746,'Base bordo'!C$2:C$746,A310,'Base bordo'!B$2:B$746,B310,'Base bordo'!F$2:F$746,"MANUTENCAO TELEMETRIA"),0)</f>
        <v>0</v>
      </c>
      <c r="M310" s="10">
        <f>IFERROR(SUMIFS('Base bordo'!G$2:G$746,'Base bordo'!C$2:C$746,A310,'Base bordo'!B$2:B$746,B310,'Base bordo'!F$2:F$746,"AGUARDANDO MANUTENCAO"),0)</f>
        <v>0</v>
      </c>
      <c r="N310" s="10">
        <f>IFERROR(SUMIFS('Base bordo'!G$2:G$746,'Base bordo'!C$2:C$746,A310,'Base bordo'!B$2:B$746,B310,'Base bordo'!F$2:F$746,"SEM APONTAMENTO"),0)</f>
        <v>0</v>
      </c>
      <c r="O310" s="10">
        <f t="shared" si="36"/>
        <v>0.26222222222222236</v>
      </c>
      <c r="P310" s="10">
        <f>IFERROR(SUMIFS('Base bordo'!G$2:G$746,'Base bordo'!C$2:C$746,A310,'Base bordo'!B$2:B$746,B310),0)</f>
        <v>9.1813888888888897</v>
      </c>
      <c r="Q310" s="10">
        <f>IFERROR(SUMIFS('Base bordo'!H$2:H$746,'Base bordo'!C$2:C$746,A310,'Base bordo'!B$2:B$746,B310,'Base bordo'!F$2:F$746,"DESLOCAMENTO VAZIO"),0)</f>
        <v>221588.27</v>
      </c>
      <c r="R310" s="10">
        <f>IFERROR(SUMIFS('Base bordo'!I$2:I$746,'Base bordo'!C$2:C$746,A310,'Base bordo'!B$2:B$746,B310,'Base bordo'!F$2:F$746,"DESLOCAMENTO VAZIO"),0)</f>
        <v>7050</v>
      </c>
      <c r="S310" s="30">
        <f t="shared" si="37"/>
        <v>31.430960283687941</v>
      </c>
      <c r="T310" s="10">
        <f>IFERROR(SUMIFS('Base bordo'!H$2:H$746,'Base bordo'!C$2:C$746,A310,'Base bordo'!B$2:B$746,B310,'Base bordo'!F$2:F$746,"DESLOCAMENTO CARREGADO"),0)</f>
        <v>177589.6</v>
      </c>
      <c r="U310" s="10">
        <f>IFERROR(SUMIFS('Base bordo'!I$2:I$746,'Base bordo'!C$2:C$746,A310,'Base bordo'!B$2:B$746,B310,'Base bordo'!F$2:F$746,"DESLOCAMENTO CARREGADO"),0)</f>
        <v>7782</v>
      </c>
      <c r="V310" s="30">
        <f t="shared" si="38"/>
        <v>22.820560267283476</v>
      </c>
      <c r="W310" s="9">
        <f t="shared" si="39"/>
        <v>0.21329380086527694</v>
      </c>
      <c r="X310" s="9">
        <f t="shared" si="40"/>
        <v>0.23544005082745889</v>
      </c>
      <c r="Y310" s="9">
        <f t="shared" si="41"/>
        <v>0.55126614830726406</v>
      </c>
    </row>
    <row r="311" spans="1:25" ht="15" customHeight="1" x14ac:dyDescent="0.35">
      <c r="A311" s="52">
        <v>8013481</v>
      </c>
      <c r="B311" s="51">
        <v>46119</v>
      </c>
      <c r="C311" s="7" t="s">
        <v>124</v>
      </c>
      <c r="D311" s="10">
        <f>IFERROR(SUMIFS('Base bordo'!G$2:G$746,'Base bordo'!C$2:C$746,A311,'Base bordo'!B$2:B$746,B311,'Base bordo'!F$2:F$746,"DESLOCAMENTO VAZIO"),0)</f>
        <v>1.5449999999999999</v>
      </c>
      <c r="E311" s="10">
        <f>IFERROR(SUMIFS('Base bordo'!G$2:G$746,'Base bordo'!C$2:C$746,A311,'Base bordo'!B$2:B$746,B311,'Base bordo'!F$2:F$746,"DESLOCAMENTO CARREGADO"),0)</f>
        <v>0</v>
      </c>
      <c r="F311" s="10">
        <f>IFERROR(SUMIFS('Base bordo'!G$2:G$746,'Base bordo'!C$2:C$746,A311,'Base bordo'!B$2:B$746,B311,'Base bordo'!F$2:F$746,"DESLOCAMENTO"),0)</f>
        <v>0</v>
      </c>
      <c r="G311" s="10">
        <f>IFERROR(SUMIFS('Base bordo'!G$2:G$746,'Base bordo'!C$2:C$746,A311,'Base bordo'!B$2:B$746,B311,'Base bordo'!F$2:F$746,"CARREGAMENTO"),0)</f>
        <v>0</v>
      </c>
      <c r="H311" s="10">
        <f>IFERROR(SUMIFS('Base bordo'!G$2:G$746,'Base bordo'!C$2:C$746,A311,'Base bordo'!B$2:B$746,B311,'Base bordo'!F$2:F$746,"AGUARDANDO TRANSBORDO"),0)</f>
        <v>0.85944444444444446</v>
      </c>
      <c r="I311" s="10">
        <f>IFERROR(SUMIFS('Base bordo'!G$2:G$746,'Base bordo'!C$2:C$746,A311,'Base bordo'!B$2:B$746,B311,'Base bordo'!F$2:F$746,"PÁTIO INTERNO"),0)+IFERROR(SUMIFS('Base bordo'!G$2:G$746,'Base bordo'!C$2:C$746,A311,'Base bordo'!B$2:B$746,B311,'Base bordo'!F$2:F$746,"PÁTIO EXTERNO"),0)+IFERROR(SUMIFS('Base bordo'!G$2:G$746,'Base bordo'!C$2:C$746,A311,'Base bordo'!B$2:B$746,B311,'Base bordo'!F$2:F$746,"PATIO - RESERVA"),0)+IFERROR(SUMIFS('Base bordo'!G$2:G$746,'Base bordo'!C$2:C$746,A311,'Base bordo'!B$2:B$746,B311,'Base bordo'!F$2:F$746,"MANOBRA CARRETAS-PATIO"),0)</f>
        <v>19.031666666666666</v>
      </c>
      <c r="J311" s="10">
        <f>IFERROR(SUMIFS('Base bordo'!G$2:G$746,'Base bordo'!C$2:C$746,A311,'Base bordo'!B$2:B$746,B311,'Base bordo'!F$2:F$746,"BALANÇA - ENTRADA"),0)+IFERROR(SUMIFS('Base bordo'!G$2:G$746,'Base bordo'!C$2:C$746,A311,'Base bordo'!B$2:B$746,B311,'Base bordo'!F$2:F$746,"BALANÇA - SAÍDA"),0)</f>
        <v>3.4722222222222224E-2</v>
      </c>
      <c r="K311" s="10">
        <f>IFERROR(SUMIFS('Base bordo'!G$2:G$746,'Base bordo'!C$2:C$746,A311,'Base bordo'!B$2:B$746,B311,'Base bordo'!F$2:F$746,"MAN PREVENTIVA - MECANICA"),0)+IFERROR(SUMIFS('Base bordo'!G$2:G$746,'Base bordo'!C$2:C$746,A311,'Base bordo'!B$2:B$746,B311,'Base bordo'!F$2:F$746,"MAN CORRETIVA - MECANICA"),0)</f>
        <v>0</v>
      </c>
      <c r="L311" s="10">
        <f>IFERROR(SUMIFS('Base bordo'!G$2:G$746,'Base bordo'!C$2:C$746,A311,'Base bordo'!B$2:B$746,B311,'Base bordo'!F$2:F$746,"MANUTENCAO - T O"),0)+IFERROR(SUMIFS('Base bordo'!G$2:G$746,'Base bordo'!C$2:C$746,A311,'Base bordo'!B$2:B$746,B311,'Base bordo'!F$2:F$746,"MANUTENCAO BORRACHARIA"),0)+IFERROR(SUMIFS('Base bordo'!G$2:G$746,'Base bordo'!C$2:C$746,A311,'Base bordo'!B$2:B$746,B311,'Base bordo'!F$2:F$746,"MANUTENCAO EXTERNA  CONCESSIONARIA"),0)+IFERROR(SUMIFS('Base bordo'!G$2:G$746,'Base bordo'!C$2:C$746,A311,'Base bordo'!B$2:B$746,B311,'Base bordo'!F$2:F$746,"MANUTENCAO TELEMETRIA"),0)</f>
        <v>0</v>
      </c>
      <c r="M311" s="10">
        <f>IFERROR(SUMIFS('Base bordo'!G$2:G$746,'Base bordo'!C$2:C$746,A311,'Base bordo'!B$2:B$746,B311,'Base bordo'!F$2:F$746,"AGUARDANDO MANUTENCAO"),0)</f>
        <v>0</v>
      </c>
      <c r="N311" s="10">
        <f>IFERROR(SUMIFS('Base bordo'!G$2:G$746,'Base bordo'!C$2:C$746,A311,'Base bordo'!B$2:B$746,B311,'Base bordo'!F$2:F$746,"SEM APONTAMENTO"),0)</f>
        <v>0</v>
      </c>
      <c r="O311" s="10">
        <f t="shared" si="36"/>
        <v>0</v>
      </c>
      <c r="P311" s="10">
        <f>IFERROR(SUMIFS('Base bordo'!G$2:G$746,'Base bordo'!C$2:C$746,A311,'Base bordo'!B$2:B$746,B311),0)</f>
        <v>21.470833333333331</v>
      </c>
      <c r="Q311" s="10">
        <f>IFERROR(SUMIFS('Base bordo'!H$2:H$746,'Base bordo'!C$2:C$746,A311,'Base bordo'!B$2:B$746,B311,'Base bordo'!F$2:F$746,"DESLOCAMENTO VAZIO"),0)</f>
        <v>180874.72000000003</v>
      </c>
      <c r="R311" s="10">
        <f>IFERROR(SUMIFS('Base bordo'!I$2:I$746,'Base bordo'!C$2:C$746,A311,'Base bordo'!B$2:B$746,B311,'Base bordo'!F$2:F$746,"DESLOCAMENTO VAZIO"),0)</f>
        <v>5562</v>
      </c>
      <c r="S311" s="30">
        <f t="shared" si="37"/>
        <v>32.519726717008275</v>
      </c>
      <c r="T311" s="10">
        <f>IFERROR(SUMIFS('Base bordo'!H$2:H$746,'Base bordo'!C$2:C$746,A311,'Base bordo'!B$2:B$746,B311,'Base bordo'!F$2:F$746,"DESLOCAMENTO CARREGADO"),0)</f>
        <v>0</v>
      </c>
      <c r="U311" s="10">
        <f>IFERROR(SUMIFS('Base bordo'!I$2:I$746,'Base bordo'!C$2:C$746,A311,'Base bordo'!B$2:B$746,B311,'Base bordo'!F$2:F$746,"DESLOCAMENTO CARREGADO"),0)</f>
        <v>0</v>
      </c>
      <c r="V311" s="30" t="str">
        <f t="shared" si="38"/>
        <v/>
      </c>
      <c r="W311" s="9">
        <f t="shared" si="39"/>
        <v>7.195808267028915E-2</v>
      </c>
      <c r="X311" s="9">
        <f t="shared" si="40"/>
        <v>0</v>
      </c>
      <c r="Y311" s="9">
        <f t="shared" si="41"/>
        <v>0.92804191732971086</v>
      </c>
    </row>
    <row r="312" spans="1:25" ht="15" customHeight="1" x14ac:dyDescent="0.35">
      <c r="A312" s="52">
        <v>8013460</v>
      </c>
      <c r="B312" s="51">
        <v>46119</v>
      </c>
      <c r="C312" s="7" t="s">
        <v>124</v>
      </c>
      <c r="D312" s="10">
        <f>IFERROR(SUMIFS('Base bordo'!G$2:G$746,'Base bordo'!C$2:C$746,A312,'Base bordo'!B$2:B$746,B312,'Base bordo'!F$2:F$746,"DESLOCAMENTO VAZIO"),0)</f>
        <v>7.5555555555555556E-2</v>
      </c>
      <c r="E312" s="10">
        <f>IFERROR(SUMIFS('Base bordo'!G$2:G$746,'Base bordo'!C$2:C$746,A312,'Base bordo'!B$2:B$746,B312,'Base bordo'!F$2:F$746,"DESLOCAMENTO CARREGADO"),0)</f>
        <v>0</v>
      </c>
      <c r="F312" s="10">
        <f>IFERROR(SUMIFS('Base bordo'!G$2:G$746,'Base bordo'!C$2:C$746,A312,'Base bordo'!B$2:B$746,B312,'Base bordo'!F$2:F$746,"DESLOCAMENTO"),0)</f>
        <v>0</v>
      </c>
      <c r="G312" s="10">
        <f>IFERROR(SUMIFS('Base bordo'!G$2:G$746,'Base bordo'!C$2:C$746,A312,'Base bordo'!B$2:B$746,B312,'Base bordo'!F$2:F$746,"CARREGAMENTO"),0)</f>
        <v>0</v>
      </c>
      <c r="H312" s="10">
        <f>IFERROR(SUMIFS('Base bordo'!G$2:G$746,'Base bordo'!C$2:C$746,A312,'Base bordo'!B$2:B$746,B312,'Base bordo'!F$2:F$746,"AGUARDANDO TRANSBORDO"),0)</f>
        <v>0</v>
      </c>
      <c r="I312" s="10">
        <f>IFERROR(SUMIFS('Base bordo'!G$2:G$746,'Base bordo'!C$2:C$746,A312,'Base bordo'!B$2:B$746,B312,'Base bordo'!F$2:F$746,"PÁTIO INTERNO"),0)+IFERROR(SUMIFS('Base bordo'!G$2:G$746,'Base bordo'!C$2:C$746,A312,'Base bordo'!B$2:B$746,B312,'Base bordo'!F$2:F$746,"PÁTIO EXTERNO"),0)+IFERROR(SUMIFS('Base bordo'!G$2:G$746,'Base bordo'!C$2:C$746,A312,'Base bordo'!B$2:B$746,B312,'Base bordo'!F$2:F$746,"PATIO - RESERVA"),0)+IFERROR(SUMIFS('Base bordo'!G$2:G$746,'Base bordo'!C$2:C$746,A312,'Base bordo'!B$2:B$746,B312,'Base bordo'!F$2:F$746,"MANOBRA CARRETAS-PATIO"),0)</f>
        <v>21.27138888888889</v>
      </c>
      <c r="J312" s="10">
        <f>IFERROR(SUMIFS('Base bordo'!G$2:G$746,'Base bordo'!C$2:C$746,A312,'Base bordo'!B$2:B$746,B312,'Base bordo'!F$2:F$746,"BALANÇA - ENTRADA"),0)+IFERROR(SUMIFS('Base bordo'!G$2:G$746,'Base bordo'!C$2:C$746,A312,'Base bordo'!B$2:B$746,B312,'Base bordo'!F$2:F$746,"BALANÇA - SAÍDA"),0)</f>
        <v>5.0000000000000001E-3</v>
      </c>
      <c r="K312" s="10">
        <f>IFERROR(SUMIFS('Base bordo'!G$2:G$746,'Base bordo'!C$2:C$746,A312,'Base bordo'!B$2:B$746,B312,'Base bordo'!F$2:F$746,"MAN PREVENTIVA - MECANICA"),0)+IFERROR(SUMIFS('Base bordo'!G$2:G$746,'Base bordo'!C$2:C$746,A312,'Base bordo'!B$2:B$746,B312,'Base bordo'!F$2:F$746,"MAN CORRETIVA - MECANICA"),0)</f>
        <v>0</v>
      </c>
      <c r="L312" s="10">
        <f>IFERROR(SUMIFS('Base bordo'!G$2:G$746,'Base bordo'!C$2:C$746,A312,'Base bordo'!B$2:B$746,B312,'Base bordo'!F$2:F$746,"MANUTENCAO - T O"),0)+IFERROR(SUMIFS('Base bordo'!G$2:G$746,'Base bordo'!C$2:C$746,A312,'Base bordo'!B$2:B$746,B312,'Base bordo'!F$2:F$746,"MANUTENCAO BORRACHARIA"),0)+IFERROR(SUMIFS('Base bordo'!G$2:G$746,'Base bordo'!C$2:C$746,A312,'Base bordo'!B$2:B$746,B312,'Base bordo'!F$2:F$746,"MANUTENCAO EXTERNA  CONCESSIONARIA"),0)+IFERROR(SUMIFS('Base bordo'!G$2:G$746,'Base bordo'!C$2:C$746,A312,'Base bordo'!B$2:B$746,B312,'Base bordo'!F$2:F$746,"MANUTENCAO TELEMETRIA"),0)</f>
        <v>0</v>
      </c>
      <c r="M312" s="10">
        <f>IFERROR(SUMIFS('Base bordo'!G$2:G$746,'Base bordo'!C$2:C$746,A312,'Base bordo'!B$2:B$746,B312,'Base bordo'!F$2:F$746,"AGUARDANDO MANUTENCAO"),0)</f>
        <v>0</v>
      </c>
      <c r="N312" s="10">
        <f>IFERROR(SUMIFS('Base bordo'!G$2:G$746,'Base bordo'!C$2:C$746,A312,'Base bordo'!B$2:B$746,B312,'Base bordo'!F$2:F$746,"SEM APONTAMENTO"),0)</f>
        <v>0</v>
      </c>
      <c r="O312" s="10">
        <f t="shared" si="36"/>
        <v>0</v>
      </c>
      <c r="P312" s="10">
        <f>IFERROR(SUMIFS('Base bordo'!G$2:G$746,'Base bordo'!C$2:C$746,A312,'Base bordo'!B$2:B$746,B312),0)</f>
        <v>21.351944444444445</v>
      </c>
      <c r="Q312" s="10">
        <f>IFERROR(SUMIFS('Base bordo'!H$2:H$746,'Base bordo'!C$2:C$746,A312,'Base bordo'!B$2:B$746,B312,'Base bordo'!F$2:F$746,"DESLOCAMENTO VAZIO"),0)</f>
        <v>1805.94</v>
      </c>
      <c r="R312" s="10">
        <f>IFERROR(SUMIFS('Base bordo'!I$2:I$746,'Base bordo'!C$2:C$746,A312,'Base bordo'!B$2:B$746,B312,'Base bordo'!F$2:F$746,"DESLOCAMENTO VAZIO"),0)</f>
        <v>272</v>
      </c>
      <c r="S312" s="30">
        <f t="shared" si="37"/>
        <v>6.6394852941176472</v>
      </c>
      <c r="T312" s="10">
        <f>IFERROR(SUMIFS('Base bordo'!H$2:H$746,'Base bordo'!C$2:C$746,A312,'Base bordo'!B$2:B$746,B312,'Base bordo'!F$2:F$746,"DESLOCAMENTO CARREGADO"),0)</f>
        <v>0</v>
      </c>
      <c r="U312" s="10">
        <f>IFERROR(SUMIFS('Base bordo'!I$2:I$746,'Base bordo'!C$2:C$746,A312,'Base bordo'!B$2:B$746,B312,'Base bordo'!F$2:F$746,"DESLOCAMENTO CARREGADO"),0)</f>
        <v>0</v>
      </c>
      <c r="V312" s="30" t="str">
        <f t="shared" si="38"/>
        <v/>
      </c>
      <c r="W312" s="9">
        <f t="shared" si="39"/>
        <v>3.5385796245462941E-3</v>
      </c>
      <c r="X312" s="9">
        <f t="shared" si="40"/>
        <v>0</v>
      </c>
      <c r="Y312" s="9">
        <f t="shared" si="41"/>
        <v>0.99646142037545371</v>
      </c>
    </row>
    <row r="313" spans="1:25" ht="15" customHeight="1" x14ac:dyDescent="0.35">
      <c r="A313" s="52">
        <v>8013484</v>
      </c>
      <c r="B313" s="51">
        <v>46123</v>
      </c>
      <c r="C313" s="7" t="s">
        <v>124</v>
      </c>
      <c r="D313" s="10">
        <f>IFERROR(SUMIFS('Base bordo'!G$2:G$746,'Base bordo'!C$2:C$746,A313,'Base bordo'!B$2:B$746,B313,'Base bordo'!F$2:F$746,"DESLOCAMENTO VAZIO"),0)</f>
        <v>1.3186111111111112</v>
      </c>
      <c r="E313" s="10">
        <f>IFERROR(SUMIFS('Base bordo'!G$2:G$746,'Base bordo'!C$2:C$746,A313,'Base bordo'!B$2:B$746,B313,'Base bordo'!F$2:F$746,"DESLOCAMENTO CARREGADO"),0)</f>
        <v>2.0469444444444442</v>
      </c>
      <c r="F313" s="10">
        <f>IFERROR(SUMIFS('Base bordo'!G$2:G$746,'Base bordo'!C$2:C$746,A313,'Base bordo'!B$2:B$746,B313,'Base bordo'!F$2:F$746,"DESLOCAMENTO"),0)</f>
        <v>0</v>
      </c>
      <c r="G313" s="10">
        <f>IFERROR(SUMIFS('Base bordo'!G$2:G$746,'Base bordo'!C$2:C$746,A313,'Base bordo'!B$2:B$746,B313,'Base bordo'!F$2:F$746,"CARREGAMENTO"),0)</f>
        <v>0</v>
      </c>
      <c r="H313" s="10">
        <f>IFERROR(SUMIFS('Base bordo'!G$2:G$746,'Base bordo'!C$2:C$746,A313,'Base bordo'!B$2:B$746,B313,'Base bordo'!F$2:F$746,"AGUARDANDO TRANSBORDO"),0)</f>
        <v>0.2688888888888889</v>
      </c>
      <c r="I313" s="10">
        <f>IFERROR(SUMIFS('Base bordo'!G$2:G$746,'Base bordo'!C$2:C$746,A313,'Base bordo'!B$2:B$746,B313,'Base bordo'!F$2:F$746,"PÁTIO INTERNO"),0)+IFERROR(SUMIFS('Base bordo'!G$2:G$746,'Base bordo'!C$2:C$746,A313,'Base bordo'!B$2:B$746,B313,'Base bordo'!F$2:F$746,"PÁTIO EXTERNO"),0)+IFERROR(SUMIFS('Base bordo'!G$2:G$746,'Base bordo'!C$2:C$746,A313,'Base bordo'!B$2:B$746,B313,'Base bordo'!F$2:F$746,"PATIO - RESERVA"),0)+IFERROR(SUMIFS('Base bordo'!G$2:G$746,'Base bordo'!C$2:C$746,A313,'Base bordo'!B$2:B$746,B313,'Base bordo'!F$2:F$746,"MANOBRA CARRETAS-PATIO"),0)</f>
        <v>2.7616666666666667</v>
      </c>
      <c r="J313" s="10">
        <f>IFERROR(SUMIFS('Base bordo'!G$2:G$746,'Base bordo'!C$2:C$746,A313,'Base bordo'!B$2:B$746,B313,'Base bordo'!F$2:F$746,"BALANÇA - ENTRADA"),0)+IFERROR(SUMIFS('Base bordo'!G$2:G$746,'Base bordo'!C$2:C$746,A313,'Base bordo'!B$2:B$746,B313,'Base bordo'!F$2:F$746,"BALANÇA - SAÍDA"),0)</f>
        <v>2.4722222222222222E-2</v>
      </c>
      <c r="K313" s="10">
        <f>IFERROR(SUMIFS('Base bordo'!G$2:G$746,'Base bordo'!C$2:C$746,A313,'Base bordo'!B$2:B$746,B313,'Base bordo'!F$2:F$746,"MAN PREVENTIVA - MECANICA"),0)+IFERROR(SUMIFS('Base bordo'!G$2:G$746,'Base bordo'!C$2:C$746,A313,'Base bordo'!B$2:B$746,B313,'Base bordo'!F$2:F$746,"MAN CORRETIVA - MECANICA"),0)</f>
        <v>0</v>
      </c>
      <c r="L313" s="10">
        <f>IFERROR(SUMIFS('Base bordo'!G$2:G$746,'Base bordo'!C$2:C$746,A313,'Base bordo'!B$2:B$746,B313,'Base bordo'!F$2:F$746,"MANUTENCAO - T O"),0)+IFERROR(SUMIFS('Base bordo'!G$2:G$746,'Base bordo'!C$2:C$746,A313,'Base bordo'!B$2:B$746,B313,'Base bordo'!F$2:F$746,"MANUTENCAO BORRACHARIA"),0)+IFERROR(SUMIFS('Base bordo'!G$2:G$746,'Base bordo'!C$2:C$746,A313,'Base bordo'!B$2:B$746,B313,'Base bordo'!F$2:F$746,"MANUTENCAO EXTERNA  CONCESSIONARIA"),0)+IFERROR(SUMIFS('Base bordo'!G$2:G$746,'Base bordo'!C$2:C$746,A313,'Base bordo'!B$2:B$746,B313,'Base bordo'!F$2:F$746,"MANUTENCAO TELEMETRIA"),0)</f>
        <v>0</v>
      </c>
      <c r="M313" s="10">
        <f>IFERROR(SUMIFS('Base bordo'!G$2:G$746,'Base bordo'!C$2:C$746,A313,'Base bordo'!B$2:B$746,B313,'Base bordo'!F$2:F$746,"AGUARDANDO MANUTENCAO"),0)</f>
        <v>0</v>
      </c>
      <c r="N313" s="10">
        <f>IFERROR(SUMIFS('Base bordo'!G$2:G$746,'Base bordo'!C$2:C$746,A313,'Base bordo'!B$2:B$746,B313,'Base bordo'!F$2:F$746,"SEM APONTAMENTO"),0)</f>
        <v>0</v>
      </c>
      <c r="O313" s="10">
        <f t="shared" si="36"/>
        <v>0.68777777777777871</v>
      </c>
      <c r="P313" s="10">
        <f>IFERROR(SUMIFS('Base bordo'!G$2:G$746,'Base bordo'!C$2:C$746,A313,'Base bordo'!B$2:B$746,B313),0)</f>
        <v>7.1086111111111121</v>
      </c>
      <c r="Q313" s="10">
        <f>IFERROR(SUMIFS('Base bordo'!H$2:H$746,'Base bordo'!C$2:C$746,A313,'Base bordo'!B$2:B$746,B313,'Base bordo'!F$2:F$746,"DESLOCAMENTO VAZIO"),0)</f>
        <v>173939.91999999998</v>
      </c>
      <c r="R313" s="10">
        <f>IFERROR(SUMIFS('Base bordo'!I$2:I$746,'Base bordo'!C$2:C$746,A313,'Base bordo'!B$2:B$746,B313,'Base bordo'!F$2:F$746,"DESLOCAMENTO VAZIO"),0)</f>
        <v>4747</v>
      </c>
      <c r="S313" s="30">
        <f t="shared" si="37"/>
        <v>36.642072888139872</v>
      </c>
      <c r="T313" s="10">
        <f>IFERROR(SUMIFS('Base bordo'!H$2:H$746,'Base bordo'!C$2:C$746,A313,'Base bordo'!B$2:B$746,B313,'Base bordo'!F$2:F$746,"DESLOCAMENTO CARREGADO"),0)</f>
        <v>184357.02</v>
      </c>
      <c r="U313" s="10">
        <f>IFERROR(SUMIFS('Base bordo'!I$2:I$746,'Base bordo'!C$2:C$746,A313,'Base bordo'!B$2:B$746,B313,'Base bordo'!F$2:F$746,"DESLOCAMENTO CARREGADO"),0)</f>
        <v>7369</v>
      </c>
      <c r="V313" s="30">
        <f t="shared" si="38"/>
        <v>25.017915592346313</v>
      </c>
      <c r="W313" s="9">
        <f t="shared" si="39"/>
        <v>0.18549490055097492</v>
      </c>
      <c r="X313" s="9">
        <f t="shared" si="40"/>
        <v>0.28795279590481021</v>
      </c>
      <c r="Y313" s="9">
        <f t="shared" si="41"/>
        <v>0.52655230354421478</v>
      </c>
    </row>
    <row r="314" spans="1:25" ht="15" customHeight="1" x14ac:dyDescent="0.35">
      <c r="A314" s="52">
        <v>8013484</v>
      </c>
      <c r="B314" s="51">
        <v>46118</v>
      </c>
      <c r="C314" s="7" t="s">
        <v>124</v>
      </c>
      <c r="D314" s="10">
        <f>IFERROR(SUMIFS('Base bordo'!G$2:G$746,'Base bordo'!C$2:C$746,A314,'Base bordo'!B$2:B$746,B314,'Base bordo'!F$2:F$746,"DESLOCAMENTO VAZIO"),0)</f>
        <v>0.14777777777777779</v>
      </c>
      <c r="E314" s="10">
        <f>IFERROR(SUMIFS('Base bordo'!G$2:G$746,'Base bordo'!C$2:C$746,A314,'Base bordo'!B$2:B$746,B314,'Base bordo'!F$2:F$746,"DESLOCAMENTO CARREGADO"),0)</f>
        <v>3.3405555555555555</v>
      </c>
      <c r="F314" s="10">
        <f>IFERROR(SUMIFS('Base bordo'!G$2:G$746,'Base bordo'!C$2:C$746,A314,'Base bordo'!B$2:B$746,B314,'Base bordo'!F$2:F$746,"DESLOCAMENTO"),0)</f>
        <v>0</v>
      </c>
      <c r="G314" s="10">
        <f>IFERROR(SUMIFS('Base bordo'!G$2:G$746,'Base bordo'!C$2:C$746,A314,'Base bordo'!B$2:B$746,B314,'Base bordo'!F$2:F$746,"CARREGAMENTO"),0)</f>
        <v>0</v>
      </c>
      <c r="H314" s="10">
        <f>IFERROR(SUMIFS('Base bordo'!G$2:G$746,'Base bordo'!C$2:C$746,A314,'Base bordo'!B$2:B$746,B314,'Base bordo'!F$2:F$746,"AGUARDANDO TRANSBORDO"),0)</f>
        <v>0</v>
      </c>
      <c r="I314" s="10">
        <f>IFERROR(SUMIFS('Base bordo'!G$2:G$746,'Base bordo'!C$2:C$746,A314,'Base bordo'!B$2:B$746,B314,'Base bordo'!F$2:F$746,"PÁTIO INTERNO"),0)+IFERROR(SUMIFS('Base bordo'!G$2:G$746,'Base bordo'!C$2:C$746,A314,'Base bordo'!B$2:B$746,B314,'Base bordo'!F$2:F$746,"PÁTIO EXTERNO"),0)+IFERROR(SUMIFS('Base bordo'!G$2:G$746,'Base bordo'!C$2:C$746,A314,'Base bordo'!B$2:B$746,B314,'Base bordo'!F$2:F$746,"PATIO - RESERVA"),0)+IFERROR(SUMIFS('Base bordo'!G$2:G$746,'Base bordo'!C$2:C$746,A314,'Base bordo'!B$2:B$746,B314,'Base bordo'!F$2:F$746,"MANOBRA CARRETAS-PATIO"),0)</f>
        <v>6.0491666666666664</v>
      </c>
      <c r="J314" s="10">
        <f>IFERROR(SUMIFS('Base bordo'!G$2:G$746,'Base bordo'!C$2:C$746,A314,'Base bordo'!B$2:B$746,B314,'Base bordo'!F$2:F$746,"BALANÇA - ENTRADA"),0)+IFERROR(SUMIFS('Base bordo'!G$2:G$746,'Base bordo'!C$2:C$746,A314,'Base bordo'!B$2:B$746,B314,'Base bordo'!F$2:F$746,"BALANÇA - SAÍDA"),0)</f>
        <v>4.1944444444444444E-2</v>
      </c>
      <c r="K314" s="10">
        <f>IFERROR(SUMIFS('Base bordo'!G$2:G$746,'Base bordo'!C$2:C$746,A314,'Base bordo'!B$2:B$746,B314,'Base bordo'!F$2:F$746,"MAN PREVENTIVA - MECANICA"),0)+IFERROR(SUMIFS('Base bordo'!G$2:G$746,'Base bordo'!C$2:C$746,A314,'Base bordo'!B$2:B$746,B314,'Base bordo'!F$2:F$746,"MAN CORRETIVA - MECANICA"),0)</f>
        <v>0</v>
      </c>
      <c r="L314" s="10">
        <f>IFERROR(SUMIFS('Base bordo'!G$2:G$746,'Base bordo'!C$2:C$746,A314,'Base bordo'!B$2:B$746,B314,'Base bordo'!F$2:F$746,"MANUTENCAO - T O"),0)+IFERROR(SUMIFS('Base bordo'!G$2:G$746,'Base bordo'!C$2:C$746,A314,'Base bordo'!B$2:B$746,B314,'Base bordo'!F$2:F$746,"MANUTENCAO BORRACHARIA"),0)+IFERROR(SUMIFS('Base bordo'!G$2:G$746,'Base bordo'!C$2:C$746,A314,'Base bordo'!B$2:B$746,B314,'Base bordo'!F$2:F$746,"MANUTENCAO EXTERNA  CONCESSIONARIA"),0)+IFERROR(SUMIFS('Base bordo'!G$2:G$746,'Base bordo'!C$2:C$746,A314,'Base bordo'!B$2:B$746,B314,'Base bordo'!F$2:F$746,"MANUTENCAO TELEMETRIA"),0)</f>
        <v>0</v>
      </c>
      <c r="M314" s="10">
        <f>IFERROR(SUMIFS('Base bordo'!G$2:G$746,'Base bordo'!C$2:C$746,A314,'Base bordo'!B$2:B$746,B314,'Base bordo'!F$2:F$746,"AGUARDANDO MANUTENCAO"),0)</f>
        <v>0</v>
      </c>
      <c r="N314" s="10">
        <f>IFERROR(SUMIFS('Base bordo'!G$2:G$746,'Base bordo'!C$2:C$746,A314,'Base bordo'!B$2:B$746,B314,'Base bordo'!F$2:F$746,"SEM APONTAMENTO"),0)</f>
        <v>0</v>
      </c>
      <c r="O314" s="10">
        <f t="shared" si="36"/>
        <v>0</v>
      </c>
      <c r="P314" s="10">
        <f>IFERROR(SUMIFS('Base bordo'!G$2:G$746,'Base bordo'!C$2:C$746,A314,'Base bordo'!B$2:B$746,B314),0)</f>
        <v>9.5794444444444444</v>
      </c>
      <c r="Q314" s="10">
        <f>IFERROR(SUMIFS('Base bordo'!H$2:H$746,'Base bordo'!C$2:C$746,A314,'Base bordo'!B$2:B$746,B314,'Base bordo'!F$2:F$746,"DESLOCAMENTO VAZIO"),0)</f>
        <v>4979.08</v>
      </c>
      <c r="R314" s="10">
        <f>IFERROR(SUMIFS('Base bordo'!I$2:I$746,'Base bordo'!C$2:C$746,A314,'Base bordo'!B$2:B$746,B314,'Base bordo'!F$2:F$746,"DESLOCAMENTO VAZIO"),0)</f>
        <v>532</v>
      </c>
      <c r="S314" s="30">
        <f t="shared" si="37"/>
        <v>9.3591729323308268</v>
      </c>
      <c r="T314" s="10">
        <f>IFERROR(SUMIFS('Base bordo'!H$2:H$746,'Base bordo'!C$2:C$746,A314,'Base bordo'!B$2:B$746,B314,'Base bordo'!F$2:F$746,"DESLOCAMENTO CARREGADO"),0)</f>
        <v>214024.57</v>
      </c>
      <c r="U314" s="10">
        <f>IFERROR(SUMIFS('Base bordo'!I$2:I$746,'Base bordo'!C$2:C$746,A314,'Base bordo'!B$2:B$746,B314,'Base bordo'!F$2:F$746,"DESLOCAMENTO CARREGADO"),0)</f>
        <v>12026</v>
      </c>
      <c r="V314" s="30">
        <f t="shared" si="38"/>
        <v>17.796821054382171</v>
      </c>
      <c r="W314" s="9">
        <f t="shared" si="39"/>
        <v>1.5426549904308995E-2</v>
      </c>
      <c r="X314" s="9">
        <f t="shared" si="40"/>
        <v>0.34872122020530072</v>
      </c>
      <c r="Y314" s="9">
        <f t="shared" si="41"/>
        <v>0.63585222989039036</v>
      </c>
    </row>
    <row r="315" spans="1:25" ht="15" customHeight="1" x14ac:dyDescent="0.35">
      <c r="A315" s="52">
        <v>8013476</v>
      </c>
      <c r="B315" s="51">
        <v>46124</v>
      </c>
      <c r="C315" s="7" t="s">
        <v>124</v>
      </c>
      <c r="D315" s="10">
        <f>IFERROR(SUMIFS('Base bordo'!G$2:G$746,'Base bordo'!C$2:C$746,A315,'Base bordo'!B$2:B$746,B315,'Base bordo'!F$2:F$746,"DESLOCAMENTO VAZIO"),0)</f>
        <v>2.296388888888889</v>
      </c>
      <c r="E315" s="10">
        <f>IFERROR(SUMIFS('Base bordo'!G$2:G$746,'Base bordo'!C$2:C$746,A315,'Base bordo'!B$2:B$746,B315,'Base bordo'!F$2:F$746,"DESLOCAMENTO CARREGADO"),0)</f>
        <v>2.1016666666666666</v>
      </c>
      <c r="F315" s="10">
        <f>IFERROR(SUMIFS('Base bordo'!G$2:G$746,'Base bordo'!C$2:C$746,A315,'Base bordo'!B$2:B$746,B315,'Base bordo'!F$2:F$746,"DESLOCAMENTO"),0)</f>
        <v>0</v>
      </c>
      <c r="G315" s="10">
        <f>IFERROR(SUMIFS('Base bordo'!G$2:G$746,'Base bordo'!C$2:C$746,A315,'Base bordo'!B$2:B$746,B315,'Base bordo'!F$2:F$746,"CARREGAMENTO"),0)</f>
        <v>0</v>
      </c>
      <c r="H315" s="10">
        <f>IFERROR(SUMIFS('Base bordo'!G$2:G$746,'Base bordo'!C$2:C$746,A315,'Base bordo'!B$2:B$746,B315,'Base bordo'!F$2:F$746,"AGUARDANDO TRANSBORDO"),0)</f>
        <v>0.23694444444444446</v>
      </c>
      <c r="I315" s="10">
        <f>IFERROR(SUMIFS('Base bordo'!G$2:G$746,'Base bordo'!C$2:C$746,A315,'Base bordo'!B$2:B$746,B315,'Base bordo'!F$2:F$746,"PÁTIO INTERNO"),0)+IFERROR(SUMIFS('Base bordo'!G$2:G$746,'Base bordo'!C$2:C$746,A315,'Base bordo'!B$2:B$746,B315,'Base bordo'!F$2:F$746,"PÁTIO EXTERNO"),0)+IFERROR(SUMIFS('Base bordo'!G$2:G$746,'Base bordo'!C$2:C$746,A315,'Base bordo'!B$2:B$746,B315,'Base bordo'!F$2:F$746,"PATIO - RESERVA"),0)+IFERROR(SUMIFS('Base bordo'!G$2:G$746,'Base bordo'!C$2:C$746,A315,'Base bordo'!B$2:B$746,B315,'Base bordo'!F$2:F$746,"MANOBRA CARRETAS-PATIO"),0)</f>
        <v>5.0583333333333336</v>
      </c>
      <c r="J315" s="10">
        <f>IFERROR(SUMIFS('Base bordo'!G$2:G$746,'Base bordo'!C$2:C$746,A315,'Base bordo'!B$2:B$746,B315,'Base bordo'!F$2:F$746,"BALANÇA - ENTRADA"),0)+IFERROR(SUMIFS('Base bordo'!G$2:G$746,'Base bordo'!C$2:C$746,A315,'Base bordo'!B$2:B$746,B315,'Base bordo'!F$2:F$746,"BALANÇA - SAÍDA"),0)</f>
        <v>0.23805555555555558</v>
      </c>
      <c r="K315" s="10">
        <f>IFERROR(SUMIFS('Base bordo'!G$2:G$746,'Base bordo'!C$2:C$746,A315,'Base bordo'!B$2:B$746,B315,'Base bordo'!F$2:F$746,"MAN PREVENTIVA - MECANICA"),0)+IFERROR(SUMIFS('Base bordo'!G$2:G$746,'Base bordo'!C$2:C$746,A315,'Base bordo'!B$2:B$746,B315,'Base bordo'!F$2:F$746,"MAN CORRETIVA - MECANICA"),0)</f>
        <v>0</v>
      </c>
      <c r="L315" s="10">
        <f>IFERROR(SUMIFS('Base bordo'!G$2:G$746,'Base bordo'!C$2:C$746,A315,'Base bordo'!B$2:B$746,B315,'Base bordo'!F$2:F$746,"MANUTENCAO - T O"),0)+IFERROR(SUMIFS('Base bordo'!G$2:G$746,'Base bordo'!C$2:C$746,A315,'Base bordo'!B$2:B$746,B315,'Base bordo'!F$2:F$746,"MANUTENCAO BORRACHARIA"),0)+IFERROR(SUMIFS('Base bordo'!G$2:G$746,'Base bordo'!C$2:C$746,A315,'Base bordo'!B$2:B$746,B315,'Base bordo'!F$2:F$746,"MANUTENCAO EXTERNA  CONCESSIONARIA"),0)+IFERROR(SUMIFS('Base bordo'!G$2:G$746,'Base bordo'!C$2:C$746,A315,'Base bordo'!B$2:B$746,B315,'Base bordo'!F$2:F$746,"MANUTENCAO TELEMETRIA"),0)</f>
        <v>0</v>
      </c>
      <c r="M315" s="10">
        <f>IFERROR(SUMIFS('Base bordo'!G$2:G$746,'Base bordo'!C$2:C$746,A315,'Base bordo'!B$2:B$746,B315,'Base bordo'!F$2:F$746,"AGUARDANDO MANUTENCAO"),0)</f>
        <v>0</v>
      </c>
      <c r="N315" s="10">
        <f>IFERROR(SUMIFS('Base bordo'!G$2:G$746,'Base bordo'!C$2:C$746,A315,'Base bordo'!B$2:B$746,B315,'Base bordo'!F$2:F$746,"SEM APONTAMENTO"),0)</f>
        <v>0</v>
      </c>
      <c r="O315" s="10">
        <f t="shared" si="36"/>
        <v>0</v>
      </c>
      <c r="P315" s="10">
        <f>IFERROR(SUMIFS('Base bordo'!G$2:G$746,'Base bordo'!C$2:C$746,A315,'Base bordo'!B$2:B$746,B315),0)</f>
        <v>9.9313888888888897</v>
      </c>
      <c r="Q315" s="10">
        <f>IFERROR(SUMIFS('Base bordo'!H$2:H$746,'Base bordo'!C$2:C$746,A315,'Base bordo'!B$2:B$746,B315,'Base bordo'!F$2:F$746,"DESLOCAMENTO VAZIO"),0)</f>
        <v>272442.8</v>
      </c>
      <c r="R315" s="10">
        <f>IFERROR(SUMIFS('Base bordo'!I$2:I$746,'Base bordo'!C$2:C$746,A315,'Base bordo'!B$2:B$746,B315,'Base bordo'!F$2:F$746,"DESLOCAMENTO VAZIO"),0)</f>
        <v>8267</v>
      </c>
      <c r="S315" s="30">
        <f t="shared" si="37"/>
        <v>32.955461473327688</v>
      </c>
      <c r="T315" s="10">
        <f>IFERROR(SUMIFS('Base bordo'!H$2:H$746,'Base bordo'!C$2:C$746,A315,'Base bordo'!B$2:B$746,B315,'Base bordo'!F$2:F$746,"DESLOCAMENTO CARREGADO"),0)</f>
        <v>216680.51</v>
      </c>
      <c r="U315" s="10">
        <f>IFERROR(SUMIFS('Base bordo'!I$2:I$746,'Base bordo'!C$2:C$746,A315,'Base bordo'!B$2:B$746,B315,'Base bordo'!F$2:F$746,"DESLOCAMENTO CARREGADO"),0)</f>
        <v>7566</v>
      </c>
      <c r="V315" s="30">
        <f t="shared" si="38"/>
        <v>28.638713983610891</v>
      </c>
      <c r="W315" s="9">
        <f t="shared" si="39"/>
        <v>0.23122535171873687</v>
      </c>
      <c r="X315" s="9">
        <f t="shared" si="40"/>
        <v>0.21161860543171199</v>
      </c>
      <c r="Y315" s="9">
        <f t="shared" si="41"/>
        <v>0.55715604284955111</v>
      </c>
    </row>
    <row r="316" spans="1:25" ht="15" customHeight="1" x14ac:dyDescent="0.35">
      <c r="A316" s="52">
        <v>8013460</v>
      </c>
      <c r="B316" s="51">
        <v>46117</v>
      </c>
      <c r="C316" s="7" t="s">
        <v>124</v>
      </c>
      <c r="D316" s="10">
        <f>IFERROR(SUMIFS('Base bordo'!G$2:G$746,'Base bordo'!C$2:C$746,A316,'Base bordo'!B$2:B$746,B316,'Base bordo'!F$2:F$746,"DESLOCAMENTO VAZIO"),0)</f>
        <v>5.2069444444444448</v>
      </c>
      <c r="E316" s="10">
        <f>IFERROR(SUMIFS('Base bordo'!G$2:G$746,'Base bordo'!C$2:C$746,A316,'Base bordo'!B$2:B$746,B316,'Base bordo'!F$2:F$746,"DESLOCAMENTO CARREGADO"),0)</f>
        <v>0.55944444444444441</v>
      </c>
      <c r="F316" s="10">
        <f>IFERROR(SUMIFS('Base bordo'!G$2:G$746,'Base bordo'!C$2:C$746,A316,'Base bordo'!B$2:B$746,B316,'Base bordo'!F$2:F$746,"DESLOCAMENTO"),0)</f>
        <v>3.0825</v>
      </c>
      <c r="G316" s="10">
        <f>IFERROR(SUMIFS('Base bordo'!G$2:G$746,'Base bordo'!C$2:C$746,A316,'Base bordo'!B$2:B$746,B316,'Base bordo'!F$2:F$746,"CARREGAMENTO"),0)</f>
        <v>2.5000000000000001E-3</v>
      </c>
      <c r="H316" s="10">
        <f>IFERROR(SUMIFS('Base bordo'!G$2:G$746,'Base bordo'!C$2:C$746,A316,'Base bordo'!B$2:B$746,B316,'Base bordo'!F$2:F$746,"AGUARDANDO TRANSBORDO"),0)</f>
        <v>1.0013888888888889</v>
      </c>
      <c r="I316" s="10">
        <f>IFERROR(SUMIFS('Base bordo'!G$2:G$746,'Base bordo'!C$2:C$746,A316,'Base bordo'!B$2:B$746,B316,'Base bordo'!F$2:F$746,"PÁTIO INTERNO"),0)+IFERROR(SUMIFS('Base bordo'!G$2:G$746,'Base bordo'!C$2:C$746,A316,'Base bordo'!B$2:B$746,B316,'Base bordo'!F$2:F$746,"PÁTIO EXTERNO"),0)+IFERROR(SUMIFS('Base bordo'!G$2:G$746,'Base bordo'!C$2:C$746,A316,'Base bordo'!B$2:B$746,B316,'Base bordo'!F$2:F$746,"PATIO - RESERVA"),0)+IFERROR(SUMIFS('Base bordo'!G$2:G$746,'Base bordo'!C$2:C$746,A316,'Base bordo'!B$2:B$746,B316,'Base bordo'!F$2:F$746,"MANOBRA CARRETAS-PATIO"),0)</f>
        <v>0.54972222222222222</v>
      </c>
      <c r="J316" s="10">
        <f>IFERROR(SUMIFS('Base bordo'!G$2:G$746,'Base bordo'!C$2:C$746,A316,'Base bordo'!B$2:B$746,B316,'Base bordo'!F$2:F$746,"BALANÇA - ENTRADA"),0)+IFERROR(SUMIFS('Base bordo'!G$2:G$746,'Base bordo'!C$2:C$746,A316,'Base bordo'!B$2:B$746,B316,'Base bordo'!F$2:F$746,"BALANÇA - SAÍDA"),0)</f>
        <v>0</v>
      </c>
      <c r="K316" s="10">
        <f>IFERROR(SUMIFS('Base bordo'!G$2:G$746,'Base bordo'!C$2:C$746,A316,'Base bordo'!B$2:B$746,B316,'Base bordo'!F$2:F$746,"MAN PREVENTIVA - MECANICA"),0)+IFERROR(SUMIFS('Base bordo'!G$2:G$746,'Base bordo'!C$2:C$746,A316,'Base bordo'!B$2:B$746,B316,'Base bordo'!F$2:F$746,"MAN CORRETIVA - MECANICA"),0)</f>
        <v>0</v>
      </c>
      <c r="L316" s="10">
        <f>IFERROR(SUMIFS('Base bordo'!G$2:G$746,'Base bordo'!C$2:C$746,A316,'Base bordo'!B$2:B$746,B316,'Base bordo'!F$2:F$746,"MANUTENCAO - T O"),0)+IFERROR(SUMIFS('Base bordo'!G$2:G$746,'Base bordo'!C$2:C$746,A316,'Base bordo'!B$2:B$746,B316,'Base bordo'!F$2:F$746,"MANUTENCAO BORRACHARIA"),0)+IFERROR(SUMIFS('Base bordo'!G$2:G$746,'Base bordo'!C$2:C$746,A316,'Base bordo'!B$2:B$746,B316,'Base bordo'!F$2:F$746,"MANUTENCAO EXTERNA  CONCESSIONARIA"),0)+IFERROR(SUMIFS('Base bordo'!G$2:G$746,'Base bordo'!C$2:C$746,A316,'Base bordo'!B$2:B$746,B316,'Base bordo'!F$2:F$746,"MANUTENCAO TELEMETRIA"),0)</f>
        <v>10.766111111111112</v>
      </c>
      <c r="M316" s="10">
        <f>IFERROR(SUMIFS('Base bordo'!G$2:G$746,'Base bordo'!C$2:C$746,A316,'Base bordo'!B$2:B$746,B316,'Base bordo'!F$2:F$746,"AGUARDANDO MANUTENCAO"),0)</f>
        <v>0</v>
      </c>
      <c r="N316" s="10">
        <f>IFERROR(SUMIFS('Base bordo'!G$2:G$746,'Base bordo'!C$2:C$746,A316,'Base bordo'!B$2:B$746,B316,'Base bordo'!F$2:F$746,"SEM APONTAMENTO"),0)</f>
        <v>0.29444444444444445</v>
      </c>
      <c r="O316" s="10">
        <f t="shared" si="36"/>
        <v>2.536944444444444</v>
      </c>
      <c r="P316" s="10">
        <f>IFERROR(SUMIFS('Base bordo'!G$2:G$746,'Base bordo'!C$2:C$746,A316,'Base bordo'!B$2:B$746,B316),0)</f>
        <v>24</v>
      </c>
      <c r="Q316" s="10">
        <f>IFERROR(SUMIFS('Base bordo'!H$2:H$746,'Base bordo'!C$2:C$746,A316,'Base bordo'!B$2:B$746,B316,'Base bordo'!F$2:F$746,"DESLOCAMENTO VAZIO"),0)</f>
        <v>595925.09</v>
      </c>
      <c r="R316" s="10">
        <f>IFERROR(SUMIFS('Base bordo'!I$2:I$746,'Base bordo'!C$2:C$746,A316,'Base bordo'!B$2:B$746,B316,'Base bordo'!F$2:F$746,"DESLOCAMENTO VAZIO"),0)</f>
        <v>18745</v>
      </c>
      <c r="S316" s="30">
        <f t="shared" si="37"/>
        <v>31.791149106428378</v>
      </c>
      <c r="T316" s="10">
        <f>IFERROR(SUMIFS('Base bordo'!H$2:H$746,'Base bordo'!C$2:C$746,A316,'Base bordo'!B$2:B$746,B316,'Base bordo'!F$2:F$746,"DESLOCAMENTO CARREGADO"),0)</f>
        <v>52858.36</v>
      </c>
      <c r="U316" s="10">
        <f>IFERROR(SUMIFS('Base bordo'!I$2:I$746,'Base bordo'!C$2:C$746,A316,'Base bordo'!B$2:B$746,B316,'Base bordo'!F$2:F$746,"DESLOCAMENTO CARREGADO"),0)</f>
        <v>2014</v>
      </c>
      <c r="V316" s="30">
        <f t="shared" si="38"/>
        <v>26.245461767626615</v>
      </c>
      <c r="W316" s="9">
        <f t="shared" si="39"/>
        <v>0.21695601851851853</v>
      </c>
      <c r="X316" s="9">
        <f t="shared" si="40"/>
        <v>2.3310185185185184E-2</v>
      </c>
      <c r="Y316" s="9">
        <f t="shared" si="41"/>
        <v>0.75973379629629634</v>
      </c>
    </row>
    <row r="317" spans="1:25" ht="15" customHeight="1" x14ac:dyDescent="0.35">
      <c r="A317" s="52">
        <v>8013460</v>
      </c>
      <c r="B317" s="51">
        <v>46123</v>
      </c>
      <c r="C317" s="7" t="s">
        <v>124</v>
      </c>
      <c r="D317" s="10">
        <f>IFERROR(SUMIFS('Base bordo'!G$2:G$746,'Base bordo'!C$2:C$746,A317,'Base bordo'!B$2:B$746,B317,'Base bordo'!F$2:F$746,"DESLOCAMENTO VAZIO"),0)</f>
        <v>1.8969444444444445</v>
      </c>
      <c r="E317" s="10">
        <f>IFERROR(SUMIFS('Base bordo'!G$2:G$746,'Base bordo'!C$2:C$746,A317,'Base bordo'!B$2:B$746,B317,'Base bordo'!F$2:F$746,"DESLOCAMENTO CARREGADO"),0)</f>
        <v>2.5080555555555555</v>
      </c>
      <c r="F317" s="10">
        <f>IFERROR(SUMIFS('Base bordo'!G$2:G$746,'Base bordo'!C$2:C$746,A317,'Base bordo'!B$2:B$746,B317,'Base bordo'!F$2:F$746,"DESLOCAMENTO"),0)</f>
        <v>0</v>
      </c>
      <c r="G317" s="10">
        <f>IFERROR(SUMIFS('Base bordo'!G$2:G$746,'Base bordo'!C$2:C$746,A317,'Base bordo'!B$2:B$746,B317,'Base bordo'!F$2:F$746,"CARREGAMENTO"),0)</f>
        <v>0</v>
      </c>
      <c r="H317" s="10">
        <f>IFERROR(SUMIFS('Base bordo'!G$2:G$746,'Base bordo'!C$2:C$746,A317,'Base bordo'!B$2:B$746,B317,'Base bordo'!F$2:F$746,"AGUARDANDO TRANSBORDO"),0)</f>
        <v>0</v>
      </c>
      <c r="I317" s="10">
        <f>IFERROR(SUMIFS('Base bordo'!G$2:G$746,'Base bordo'!C$2:C$746,A317,'Base bordo'!B$2:B$746,B317,'Base bordo'!F$2:F$746,"PÁTIO INTERNO"),0)+IFERROR(SUMIFS('Base bordo'!G$2:G$746,'Base bordo'!C$2:C$746,A317,'Base bordo'!B$2:B$746,B317,'Base bordo'!F$2:F$746,"PÁTIO EXTERNO"),0)+IFERROR(SUMIFS('Base bordo'!G$2:G$746,'Base bordo'!C$2:C$746,A317,'Base bordo'!B$2:B$746,B317,'Base bordo'!F$2:F$746,"PATIO - RESERVA"),0)+IFERROR(SUMIFS('Base bordo'!G$2:G$746,'Base bordo'!C$2:C$746,A317,'Base bordo'!B$2:B$746,B317,'Base bordo'!F$2:F$746,"MANOBRA CARRETAS-PATIO"),0)</f>
        <v>2.3761111111111113</v>
      </c>
      <c r="J317" s="10">
        <f>IFERROR(SUMIFS('Base bordo'!G$2:G$746,'Base bordo'!C$2:C$746,A317,'Base bordo'!B$2:B$746,B317,'Base bordo'!F$2:F$746,"BALANÇA - ENTRADA"),0)+IFERROR(SUMIFS('Base bordo'!G$2:G$746,'Base bordo'!C$2:C$746,A317,'Base bordo'!B$2:B$746,B317,'Base bordo'!F$2:F$746,"BALANÇA - SAÍDA"),0)</f>
        <v>0</v>
      </c>
      <c r="K317" s="10">
        <f>IFERROR(SUMIFS('Base bordo'!G$2:G$746,'Base bordo'!C$2:C$746,A317,'Base bordo'!B$2:B$746,B317,'Base bordo'!F$2:F$746,"MAN PREVENTIVA - MECANICA"),0)+IFERROR(SUMIFS('Base bordo'!G$2:G$746,'Base bordo'!C$2:C$746,A317,'Base bordo'!B$2:B$746,B317,'Base bordo'!F$2:F$746,"MAN CORRETIVA - MECANICA"),0)</f>
        <v>0</v>
      </c>
      <c r="L317" s="10">
        <f>IFERROR(SUMIFS('Base bordo'!G$2:G$746,'Base bordo'!C$2:C$746,A317,'Base bordo'!B$2:B$746,B317,'Base bordo'!F$2:F$746,"MANUTENCAO - T O"),0)+IFERROR(SUMIFS('Base bordo'!G$2:G$746,'Base bordo'!C$2:C$746,A317,'Base bordo'!B$2:B$746,B317,'Base bordo'!F$2:F$746,"MANUTENCAO BORRACHARIA"),0)+IFERROR(SUMIFS('Base bordo'!G$2:G$746,'Base bordo'!C$2:C$746,A317,'Base bordo'!B$2:B$746,B317,'Base bordo'!F$2:F$746,"MANUTENCAO EXTERNA  CONCESSIONARIA"),0)+IFERROR(SUMIFS('Base bordo'!G$2:G$746,'Base bordo'!C$2:C$746,A317,'Base bordo'!B$2:B$746,B317,'Base bordo'!F$2:F$746,"MANUTENCAO TELEMETRIA"),0)</f>
        <v>0</v>
      </c>
      <c r="M317" s="10">
        <f>IFERROR(SUMIFS('Base bordo'!G$2:G$746,'Base bordo'!C$2:C$746,A317,'Base bordo'!B$2:B$746,B317,'Base bordo'!F$2:F$746,"AGUARDANDO MANUTENCAO"),0)</f>
        <v>0</v>
      </c>
      <c r="N317" s="10">
        <f>IFERROR(SUMIFS('Base bordo'!G$2:G$746,'Base bordo'!C$2:C$746,A317,'Base bordo'!B$2:B$746,B317,'Base bordo'!F$2:F$746,"SEM APONTAMENTO"),0)</f>
        <v>0</v>
      </c>
      <c r="O317" s="10">
        <f t="shared" si="36"/>
        <v>0.44861111111111196</v>
      </c>
      <c r="P317" s="10">
        <f>IFERROR(SUMIFS('Base bordo'!G$2:G$746,'Base bordo'!C$2:C$746,A317,'Base bordo'!B$2:B$746,B317),0)</f>
        <v>7.2297222222222235</v>
      </c>
      <c r="Q317" s="10">
        <f>IFERROR(SUMIFS('Base bordo'!H$2:H$746,'Base bordo'!C$2:C$746,A317,'Base bordo'!B$2:B$746,B317,'Base bordo'!F$2:F$746,"DESLOCAMENTO VAZIO"),0)</f>
        <v>236918.97</v>
      </c>
      <c r="R317" s="10">
        <f>IFERROR(SUMIFS('Base bordo'!I$2:I$746,'Base bordo'!C$2:C$746,A317,'Base bordo'!B$2:B$746,B317,'Base bordo'!F$2:F$746,"DESLOCAMENTO VAZIO"),0)</f>
        <v>6829</v>
      </c>
      <c r="S317" s="30">
        <f t="shared" si="37"/>
        <v>34.693069263435348</v>
      </c>
      <c r="T317" s="10">
        <f>IFERROR(SUMIFS('Base bordo'!H$2:H$746,'Base bordo'!C$2:C$746,A317,'Base bordo'!B$2:B$746,B317,'Base bordo'!F$2:F$746,"DESLOCAMENTO CARREGADO"),0)</f>
        <v>208531.69</v>
      </c>
      <c r="U317" s="10">
        <f>IFERROR(SUMIFS('Base bordo'!I$2:I$746,'Base bordo'!C$2:C$746,A317,'Base bordo'!B$2:B$746,B317,'Base bordo'!F$2:F$746,"DESLOCAMENTO CARREGADO"),0)</f>
        <v>8999</v>
      </c>
      <c r="V317" s="30">
        <f t="shared" si="38"/>
        <v>23.172762529169908</v>
      </c>
      <c r="W317" s="9">
        <f t="shared" si="39"/>
        <v>0.26238137318938021</v>
      </c>
      <c r="X317" s="9">
        <f t="shared" si="40"/>
        <v>0.34690897913704993</v>
      </c>
      <c r="Y317" s="9">
        <f t="shared" si="41"/>
        <v>0.39070964767356986</v>
      </c>
    </row>
    <row r="318" spans="1:25" ht="15" customHeight="1" x14ac:dyDescent="0.35">
      <c r="A318" s="52">
        <v>8013462</v>
      </c>
      <c r="B318" s="51">
        <v>46124</v>
      </c>
      <c r="C318" s="7" t="s">
        <v>124</v>
      </c>
      <c r="D318" s="10">
        <f>IFERROR(SUMIFS('Base bordo'!G$2:G$746,'Base bordo'!C$2:C$746,A318,'Base bordo'!B$2:B$746,B318,'Base bordo'!F$2:F$746,"DESLOCAMENTO VAZIO"),0)</f>
        <v>2.6541666666666668</v>
      </c>
      <c r="E318" s="10">
        <f>IFERROR(SUMIFS('Base bordo'!G$2:G$746,'Base bordo'!C$2:C$746,A318,'Base bordo'!B$2:B$746,B318,'Base bordo'!F$2:F$746,"DESLOCAMENTO CARREGADO"),0)</f>
        <v>2.0155555555555558</v>
      </c>
      <c r="F318" s="10">
        <f>IFERROR(SUMIFS('Base bordo'!G$2:G$746,'Base bordo'!C$2:C$746,A318,'Base bordo'!B$2:B$746,B318,'Base bordo'!F$2:F$746,"DESLOCAMENTO"),0)</f>
        <v>0</v>
      </c>
      <c r="G318" s="10">
        <f>IFERROR(SUMIFS('Base bordo'!G$2:G$746,'Base bordo'!C$2:C$746,A318,'Base bordo'!B$2:B$746,B318,'Base bordo'!F$2:F$746,"CARREGAMENTO"),0)</f>
        <v>0</v>
      </c>
      <c r="H318" s="10">
        <f>IFERROR(SUMIFS('Base bordo'!G$2:G$746,'Base bordo'!C$2:C$746,A318,'Base bordo'!B$2:B$746,B318,'Base bordo'!F$2:F$746,"AGUARDANDO TRANSBORDO"),0)</f>
        <v>0.33611111111111114</v>
      </c>
      <c r="I318" s="10">
        <f>IFERROR(SUMIFS('Base bordo'!G$2:G$746,'Base bordo'!C$2:C$746,A318,'Base bordo'!B$2:B$746,B318,'Base bordo'!F$2:F$746,"PÁTIO INTERNO"),0)+IFERROR(SUMIFS('Base bordo'!G$2:G$746,'Base bordo'!C$2:C$746,A318,'Base bordo'!B$2:B$746,B318,'Base bordo'!F$2:F$746,"PÁTIO EXTERNO"),0)+IFERROR(SUMIFS('Base bordo'!G$2:G$746,'Base bordo'!C$2:C$746,A318,'Base bordo'!B$2:B$746,B318,'Base bordo'!F$2:F$746,"PATIO - RESERVA"),0)+IFERROR(SUMIFS('Base bordo'!G$2:G$746,'Base bordo'!C$2:C$746,A318,'Base bordo'!B$2:B$746,B318,'Base bordo'!F$2:F$746,"MANOBRA CARRETAS-PATIO"),0)</f>
        <v>10.451944444444445</v>
      </c>
      <c r="J318" s="10">
        <f>IFERROR(SUMIFS('Base bordo'!G$2:G$746,'Base bordo'!C$2:C$746,A318,'Base bordo'!B$2:B$746,B318,'Base bordo'!F$2:F$746,"BALANÇA - ENTRADA"),0)+IFERROR(SUMIFS('Base bordo'!G$2:G$746,'Base bordo'!C$2:C$746,A318,'Base bordo'!B$2:B$746,B318,'Base bordo'!F$2:F$746,"BALANÇA - SAÍDA"),0)</f>
        <v>0.15138888888888888</v>
      </c>
      <c r="K318" s="10">
        <f>IFERROR(SUMIFS('Base bordo'!G$2:G$746,'Base bordo'!C$2:C$746,A318,'Base bordo'!B$2:B$746,B318,'Base bordo'!F$2:F$746,"MAN PREVENTIVA - MECANICA"),0)+IFERROR(SUMIFS('Base bordo'!G$2:G$746,'Base bordo'!C$2:C$746,A318,'Base bordo'!B$2:B$746,B318,'Base bordo'!F$2:F$746,"MAN CORRETIVA - MECANICA"),0)</f>
        <v>0</v>
      </c>
      <c r="L318" s="10">
        <f>IFERROR(SUMIFS('Base bordo'!G$2:G$746,'Base bordo'!C$2:C$746,A318,'Base bordo'!B$2:B$746,B318,'Base bordo'!F$2:F$746,"MANUTENCAO - T O"),0)+IFERROR(SUMIFS('Base bordo'!G$2:G$746,'Base bordo'!C$2:C$746,A318,'Base bordo'!B$2:B$746,B318,'Base bordo'!F$2:F$746,"MANUTENCAO BORRACHARIA"),0)+IFERROR(SUMIFS('Base bordo'!G$2:G$746,'Base bordo'!C$2:C$746,A318,'Base bordo'!B$2:B$746,B318,'Base bordo'!F$2:F$746,"MANUTENCAO EXTERNA  CONCESSIONARIA"),0)+IFERROR(SUMIFS('Base bordo'!G$2:G$746,'Base bordo'!C$2:C$746,A318,'Base bordo'!B$2:B$746,B318,'Base bordo'!F$2:F$746,"MANUTENCAO TELEMETRIA"),0)</f>
        <v>0</v>
      </c>
      <c r="M318" s="10">
        <f>IFERROR(SUMIFS('Base bordo'!G$2:G$746,'Base bordo'!C$2:C$746,A318,'Base bordo'!B$2:B$746,B318,'Base bordo'!F$2:F$746,"AGUARDANDO MANUTENCAO"),0)</f>
        <v>0</v>
      </c>
      <c r="N318" s="10">
        <f>IFERROR(SUMIFS('Base bordo'!G$2:G$746,'Base bordo'!C$2:C$746,A318,'Base bordo'!B$2:B$746,B318,'Base bordo'!F$2:F$746,"SEM APONTAMENTO"),0)</f>
        <v>0</v>
      </c>
      <c r="O318" s="10">
        <f t="shared" si="36"/>
        <v>0</v>
      </c>
      <c r="P318" s="10">
        <f>IFERROR(SUMIFS('Base bordo'!G$2:G$746,'Base bordo'!C$2:C$746,A318,'Base bordo'!B$2:B$746,B318),0)</f>
        <v>15.609166666666667</v>
      </c>
      <c r="Q318" s="10">
        <f>IFERROR(SUMIFS('Base bordo'!H$2:H$746,'Base bordo'!C$2:C$746,A318,'Base bordo'!B$2:B$746,B318,'Base bordo'!F$2:F$746,"DESLOCAMENTO VAZIO"),0)</f>
        <v>401876.54000000004</v>
      </c>
      <c r="R318" s="10">
        <f>IFERROR(SUMIFS('Base bordo'!I$2:I$746,'Base bordo'!C$2:C$746,A318,'Base bordo'!B$2:B$746,B318,'Base bordo'!F$2:F$746,"DESLOCAMENTO VAZIO"),0)</f>
        <v>9555</v>
      </c>
      <c r="S318" s="30">
        <f t="shared" si="37"/>
        <v>42.05929251700681</v>
      </c>
      <c r="T318" s="10">
        <f>IFERROR(SUMIFS('Base bordo'!H$2:H$746,'Base bordo'!C$2:C$746,A318,'Base bordo'!B$2:B$746,B318,'Base bordo'!F$2:F$746,"DESLOCAMENTO CARREGADO"),0)</f>
        <v>198098.78999999998</v>
      </c>
      <c r="U318" s="10">
        <f>IFERROR(SUMIFS('Base bordo'!I$2:I$746,'Base bordo'!C$2:C$746,A318,'Base bordo'!B$2:B$746,B318,'Base bordo'!F$2:F$746,"DESLOCAMENTO CARREGADO"),0)</f>
        <v>7256</v>
      </c>
      <c r="V318" s="30">
        <f t="shared" si="38"/>
        <v>27.301376791620726</v>
      </c>
      <c r="W318" s="9">
        <f t="shared" si="39"/>
        <v>0.1700389728257968</v>
      </c>
      <c r="X318" s="9">
        <f t="shared" si="40"/>
        <v>0.12912640364458208</v>
      </c>
      <c r="Y318" s="9">
        <f t="shared" si="41"/>
        <v>0.700834623529621</v>
      </c>
    </row>
    <row r="319" spans="1:25" ht="15" customHeight="1" x14ac:dyDescent="0.35">
      <c r="A319" s="52">
        <v>8013482</v>
      </c>
      <c r="B319" s="51">
        <v>46118</v>
      </c>
      <c r="C319" s="7" t="s">
        <v>124</v>
      </c>
      <c r="D319" s="10">
        <f>IFERROR(SUMIFS('Base bordo'!G$2:G$746,'Base bordo'!C$2:C$746,A319,'Base bordo'!B$2:B$746,B319,'Base bordo'!F$2:F$746,"DESLOCAMENTO VAZIO"),0)</f>
        <v>0.37861111111111112</v>
      </c>
      <c r="E319" s="10">
        <f>IFERROR(SUMIFS('Base bordo'!G$2:G$746,'Base bordo'!C$2:C$746,A319,'Base bordo'!B$2:B$746,B319,'Base bordo'!F$2:F$746,"DESLOCAMENTO CARREGADO"),0)</f>
        <v>2.5222222222222221</v>
      </c>
      <c r="F319" s="10">
        <f>IFERROR(SUMIFS('Base bordo'!G$2:G$746,'Base bordo'!C$2:C$746,A319,'Base bordo'!B$2:B$746,B319,'Base bordo'!F$2:F$746,"DESLOCAMENTO"),0)</f>
        <v>0</v>
      </c>
      <c r="G319" s="10">
        <f>IFERROR(SUMIFS('Base bordo'!G$2:G$746,'Base bordo'!C$2:C$746,A319,'Base bordo'!B$2:B$746,B319,'Base bordo'!F$2:F$746,"CARREGAMENTO"),0)</f>
        <v>0</v>
      </c>
      <c r="H319" s="10">
        <f>IFERROR(SUMIFS('Base bordo'!G$2:G$746,'Base bordo'!C$2:C$746,A319,'Base bordo'!B$2:B$746,B319,'Base bordo'!F$2:F$746,"AGUARDANDO TRANSBORDO"),0)</f>
        <v>5.0149999999999997</v>
      </c>
      <c r="I319" s="10">
        <f>IFERROR(SUMIFS('Base bordo'!G$2:G$746,'Base bordo'!C$2:C$746,A319,'Base bordo'!B$2:B$746,B319,'Base bordo'!F$2:F$746,"PÁTIO INTERNO"),0)+IFERROR(SUMIFS('Base bordo'!G$2:G$746,'Base bordo'!C$2:C$746,A319,'Base bordo'!B$2:B$746,B319,'Base bordo'!F$2:F$746,"PÁTIO EXTERNO"),0)+IFERROR(SUMIFS('Base bordo'!G$2:G$746,'Base bordo'!C$2:C$746,A319,'Base bordo'!B$2:B$746,B319,'Base bordo'!F$2:F$746,"PATIO - RESERVA"),0)+IFERROR(SUMIFS('Base bordo'!G$2:G$746,'Base bordo'!C$2:C$746,A319,'Base bordo'!B$2:B$746,B319,'Base bordo'!F$2:F$746,"MANOBRA CARRETAS-PATIO"),0)</f>
        <v>3.0661111111111108</v>
      </c>
      <c r="J319" s="10">
        <f>IFERROR(SUMIFS('Base bordo'!G$2:G$746,'Base bordo'!C$2:C$746,A319,'Base bordo'!B$2:B$746,B319,'Base bordo'!F$2:F$746,"BALANÇA - ENTRADA"),0)+IFERROR(SUMIFS('Base bordo'!G$2:G$746,'Base bordo'!C$2:C$746,A319,'Base bordo'!B$2:B$746,B319,'Base bordo'!F$2:F$746,"BALANÇA - SAÍDA"),0)</f>
        <v>0.14555555555555555</v>
      </c>
      <c r="K319" s="10">
        <f>IFERROR(SUMIFS('Base bordo'!G$2:G$746,'Base bordo'!C$2:C$746,A319,'Base bordo'!B$2:B$746,B319,'Base bordo'!F$2:F$746,"MAN PREVENTIVA - MECANICA"),0)+IFERROR(SUMIFS('Base bordo'!G$2:G$746,'Base bordo'!C$2:C$746,A319,'Base bordo'!B$2:B$746,B319,'Base bordo'!F$2:F$746,"MAN CORRETIVA - MECANICA"),0)</f>
        <v>0</v>
      </c>
      <c r="L319" s="10">
        <f>IFERROR(SUMIFS('Base bordo'!G$2:G$746,'Base bordo'!C$2:C$746,A319,'Base bordo'!B$2:B$746,B319,'Base bordo'!F$2:F$746,"MANUTENCAO - T O"),0)+IFERROR(SUMIFS('Base bordo'!G$2:G$746,'Base bordo'!C$2:C$746,A319,'Base bordo'!B$2:B$746,B319,'Base bordo'!F$2:F$746,"MANUTENCAO BORRACHARIA"),0)+IFERROR(SUMIFS('Base bordo'!G$2:G$746,'Base bordo'!C$2:C$746,A319,'Base bordo'!B$2:B$746,B319,'Base bordo'!F$2:F$746,"MANUTENCAO EXTERNA  CONCESSIONARIA"),0)+IFERROR(SUMIFS('Base bordo'!G$2:G$746,'Base bordo'!C$2:C$746,A319,'Base bordo'!B$2:B$746,B319,'Base bordo'!F$2:F$746,"MANUTENCAO TELEMETRIA"),0)</f>
        <v>0</v>
      </c>
      <c r="M319" s="10">
        <f>IFERROR(SUMIFS('Base bordo'!G$2:G$746,'Base bordo'!C$2:C$746,A319,'Base bordo'!B$2:B$746,B319,'Base bordo'!F$2:F$746,"AGUARDANDO MANUTENCAO"),0)</f>
        <v>0</v>
      </c>
      <c r="N319" s="10">
        <f>IFERROR(SUMIFS('Base bordo'!G$2:G$746,'Base bordo'!C$2:C$746,A319,'Base bordo'!B$2:B$746,B319,'Base bordo'!F$2:F$746,"SEM APONTAMENTO"),0)</f>
        <v>0</v>
      </c>
      <c r="O319" s="10">
        <f t="shared" si="36"/>
        <v>0</v>
      </c>
      <c r="P319" s="10">
        <f>IFERROR(SUMIFS('Base bordo'!G$2:G$746,'Base bordo'!C$2:C$746,A319,'Base bordo'!B$2:B$746,B319),0)</f>
        <v>11.1275</v>
      </c>
      <c r="Q319" s="10">
        <f>IFERROR(SUMIFS('Base bordo'!H$2:H$746,'Base bordo'!C$2:C$746,A319,'Base bordo'!B$2:B$746,B319,'Base bordo'!F$2:F$746,"DESLOCAMENTO VAZIO"),0)</f>
        <v>7195.82</v>
      </c>
      <c r="R319" s="10">
        <f>IFERROR(SUMIFS('Base bordo'!I$2:I$746,'Base bordo'!C$2:C$746,A319,'Base bordo'!B$2:B$746,B319,'Base bordo'!F$2:F$746,"DESLOCAMENTO VAZIO"),0)</f>
        <v>1363</v>
      </c>
      <c r="S319" s="30">
        <f t="shared" si="37"/>
        <v>5.2793983859134261</v>
      </c>
      <c r="T319" s="10">
        <f>IFERROR(SUMIFS('Base bordo'!H$2:H$746,'Base bordo'!C$2:C$746,A319,'Base bordo'!B$2:B$746,B319,'Base bordo'!F$2:F$746,"DESLOCAMENTO CARREGADO"),0)</f>
        <v>221650.07</v>
      </c>
      <c r="U319" s="10">
        <f>IFERROR(SUMIFS('Base bordo'!I$2:I$746,'Base bordo'!C$2:C$746,A319,'Base bordo'!B$2:B$746,B319,'Base bordo'!F$2:F$746,"DESLOCAMENTO CARREGADO"),0)</f>
        <v>9080</v>
      </c>
      <c r="V319" s="30">
        <f t="shared" si="38"/>
        <v>24.410800660792951</v>
      </c>
      <c r="W319" s="9">
        <f t="shared" si="39"/>
        <v>3.4024813400234659E-2</v>
      </c>
      <c r="X319" s="9">
        <f t="shared" si="40"/>
        <v>0.22666566813949424</v>
      </c>
      <c r="Y319" s="9">
        <f t="shared" si="41"/>
        <v>0.73930951846027115</v>
      </c>
    </row>
    <row r="320" spans="1:25" ht="15" customHeight="1" x14ac:dyDescent="0.35">
      <c r="A320" s="52">
        <v>8013468</v>
      </c>
      <c r="B320" s="51">
        <v>46123</v>
      </c>
      <c r="C320" s="7" t="s">
        <v>124</v>
      </c>
      <c r="D320" s="10">
        <f>IFERROR(SUMIFS('Base bordo'!G$2:G$746,'Base bordo'!C$2:C$746,A320,'Base bordo'!B$2:B$746,B320,'Base bordo'!F$2:F$746,"DESLOCAMENTO VAZIO"),0)</f>
        <v>1.9583333333333333</v>
      </c>
      <c r="E320" s="10">
        <f>IFERROR(SUMIFS('Base bordo'!G$2:G$746,'Base bordo'!C$2:C$746,A320,'Base bordo'!B$2:B$746,B320,'Base bordo'!F$2:F$746,"DESLOCAMENTO CARREGADO"),0)</f>
        <v>2.1616666666666666</v>
      </c>
      <c r="F320" s="10">
        <f>IFERROR(SUMIFS('Base bordo'!G$2:G$746,'Base bordo'!C$2:C$746,A320,'Base bordo'!B$2:B$746,B320,'Base bordo'!F$2:F$746,"DESLOCAMENTO"),0)</f>
        <v>0</v>
      </c>
      <c r="G320" s="10">
        <f>IFERROR(SUMIFS('Base bordo'!G$2:G$746,'Base bordo'!C$2:C$746,A320,'Base bordo'!B$2:B$746,B320,'Base bordo'!F$2:F$746,"CARREGAMENTO"),0)</f>
        <v>0</v>
      </c>
      <c r="H320" s="10">
        <f>IFERROR(SUMIFS('Base bordo'!G$2:G$746,'Base bordo'!C$2:C$746,A320,'Base bordo'!B$2:B$746,B320,'Base bordo'!F$2:F$746,"AGUARDANDO TRANSBORDO"),0)</f>
        <v>0.82333333333333336</v>
      </c>
      <c r="I320" s="10">
        <f>IFERROR(SUMIFS('Base bordo'!G$2:G$746,'Base bordo'!C$2:C$746,A320,'Base bordo'!B$2:B$746,B320,'Base bordo'!F$2:F$746,"PÁTIO INTERNO"),0)+IFERROR(SUMIFS('Base bordo'!G$2:G$746,'Base bordo'!C$2:C$746,A320,'Base bordo'!B$2:B$746,B320,'Base bordo'!F$2:F$746,"PÁTIO EXTERNO"),0)+IFERROR(SUMIFS('Base bordo'!G$2:G$746,'Base bordo'!C$2:C$746,A320,'Base bordo'!B$2:B$746,B320,'Base bordo'!F$2:F$746,"PATIO - RESERVA"),0)+IFERROR(SUMIFS('Base bordo'!G$2:G$746,'Base bordo'!C$2:C$746,A320,'Base bordo'!B$2:B$746,B320,'Base bordo'!F$2:F$746,"MANOBRA CARRETAS-PATIO"),0)</f>
        <v>3.9758333333333336</v>
      </c>
      <c r="J320" s="10">
        <f>IFERROR(SUMIFS('Base bordo'!G$2:G$746,'Base bordo'!C$2:C$746,A320,'Base bordo'!B$2:B$746,B320,'Base bordo'!F$2:F$746,"BALANÇA - ENTRADA"),0)+IFERROR(SUMIFS('Base bordo'!G$2:G$746,'Base bordo'!C$2:C$746,A320,'Base bordo'!B$2:B$746,B320,'Base bordo'!F$2:F$746,"BALANÇA - SAÍDA"),0)</f>
        <v>0</v>
      </c>
      <c r="K320" s="10">
        <f>IFERROR(SUMIFS('Base bordo'!G$2:G$746,'Base bordo'!C$2:C$746,A320,'Base bordo'!B$2:B$746,B320,'Base bordo'!F$2:F$746,"MAN PREVENTIVA - MECANICA"),0)+IFERROR(SUMIFS('Base bordo'!G$2:G$746,'Base bordo'!C$2:C$746,A320,'Base bordo'!B$2:B$746,B320,'Base bordo'!F$2:F$746,"MAN CORRETIVA - MECANICA"),0)</f>
        <v>0</v>
      </c>
      <c r="L320" s="10">
        <f>IFERROR(SUMIFS('Base bordo'!G$2:G$746,'Base bordo'!C$2:C$746,A320,'Base bordo'!B$2:B$746,B320,'Base bordo'!F$2:F$746,"MANUTENCAO - T O"),0)+IFERROR(SUMIFS('Base bordo'!G$2:G$746,'Base bordo'!C$2:C$746,A320,'Base bordo'!B$2:B$746,B320,'Base bordo'!F$2:F$746,"MANUTENCAO BORRACHARIA"),0)+IFERROR(SUMIFS('Base bordo'!G$2:G$746,'Base bordo'!C$2:C$746,A320,'Base bordo'!B$2:B$746,B320,'Base bordo'!F$2:F$746,"MANUTENCAO EXTERNA  CONCESSIONARIA"),0)+IFERROR(SUMIFS('Base bordo'!G$2:G$746,'Base bordo'!C$2:C$746,A320,'Base bordo'!B$2:B$746,B320,'Base bordo'!F$2:F$746,"MANUTENCAO TELEMETRIA"),0)</f>
        <v>0</v>
      </c>
      <c r="M320" s="10">
        <f>IFERROR(SUMIFS('Base bordo'!G$2:G$746,'Base bordo'!C$2:C$746,A320,'Base bordo'!B$2:B$746,B320,'Base bordo'!F$2:F$746,"AGUARDANDO MANUTENCAO"),0)</f>
        <v>0</v>
      </c>
      <c r="N320" s="10">
        <f>IFERROR(SUMIFS('Base bordo'!G$2:G$746,'Base bordo'!C$2:C$746,A320,'Base bordo'!B$2:B$746,B320,'Base bordo'!F$2:F$746,"SEM APONTAMENTO"),0)</f>
        <v>0</v>
      </c>
      <c r="O320" s="10">
        <f t="shared" si="36"/>
        <v>0.26222222222222236</v>
      </c>
      <c r="P320" s="10">
        <f>IFERROR(SUMIFS('Base bordo'!G$2:G$746,'Base bordo'!C$2:C$746,A320,'Base bordo'!B$2:B$746,B320),0)</f>
        <v>9.1813888888888897</v>
      </c>
      <c r="Q320" s="10">
        <f>IFERROR(SUMIFS('Base bordo'!H$2:H$746,'Base bordo'!C$2:C$746,A320,'Base bordo'!B$2:B$746,B320,'Base bordo'!F$2:F$746,"DESLOCAMENTO VAZIO"),0)</f>
        <v>221588.27</v>
      </c>
      <c r="R320" s="10">
        <f>IFERROR(SUMIFS('Base bordo'!I$2:I$746,'Base bordo'!C$2:C$746,A320,'Base bordo'!B$2:B$746,B320,'Base bordo'!F$2:F$746,"DESLOCAMENTO VAZIO"),0)</f>
        <v>7050</v>
      </c>
      <c r="S320" s="30">
        <f t="shared" si="37"/>
        <v>31.430960283687941</v>
      </c>
      <c r="T320" s="10">
        <f>IFERROR(SUMIFS('Base bordo'!H$2:H$746,'Base bordo'!C$2:C$746,A320,'Base bordo'!B$2:B$746,B320,'Base bordo'!F$2:F$746,"DESLOCAMENTO CARREGADO"),0)</f>
        <v>177589.6</v>
      </c>
      <c r="U320" s="10">
        <f>IFERROR(SUMIFS('Base bordo'!I$2:I$746,'Base bordo'!C$2:C$746,A320,'Base bordo'!B$2:B$746,B320,'Base bordo'!F$2:F$746,"DESLOCAMENTO CARREGADO"),0)</f>
        <v>7782</v>
      </c>
      <c r="V320" s="30">
        <f t="shared" si="38"/>
        <v>22.820560267283476</v>
      </c>
      <c r="W320" s="9">
        <f t="shared" si="39"/>
        <v>0.21329380086527694</v>
      </c>
      <c r="X320" s="9">
        <f t="shared" si="40"/>
        <v>0.23544005082745889</v>
      </c>
      <c r="Y320" s="9">
        <f t="shared" si="41"/>
        <v>0.55126614830726406</v>
      </c>
    </row>
    <row r="321" spans="1:25" ht="15" customHeight="1" x14ac:dyDescent="0.35">
      <c r="A321" s="52">
        <v>8013470</v>
      </c>
      <c r="B321" s="51">
        <v>46117</v>
      </c>
      <c r="C321" s="7" t="s">
        <v>124</v>
      </c>
      <c r="D321" s="10">
        <f>IFERROR(SUMIFS('Base bordo'!G$2:G$746,'Base bordo'!C$2:C$746,A321,'Base bordo'!B$2:B$746,B321,'Base bordo'!F$2:F$746,"DESLOCAMENTO VAZIO"),0)</f>
        <v>5.2283333333333335</v>
      </c>
      <c r="E321" s="10">
        <f>IFERROR(SUMIFS('Base bordo'!G$2:G$746,'Base bordo'!C$2:C$746,A321,'Base bordo'!B$2:B$746,B321,'Base bordo'!F$2:F$746,"DESLOCAMENTO CARREGADO"),0)</f>
        <v>1.9622222222222223</v>
      </c>
      <c r="F321" s="10">
        <f>IFERROR(SUMIFS('Base bordo'!G$2:G$746,'Base bordo'!C$2:C$746,A321,'Base bordo'!B$2:B$746,B321,'Base bordo'!F$2:F$746,"DESLOCAMENTO"),0)</f>
        <v>0</v>
      </c>
      <c r="G321" s="10">
        <f>IFERROR(SUMIFS('Base bordo'!G$2:G$746,'Base bordo'!C$2:C$746,A321,'Base bordo'!B$2:B$746,B321,'Base bordo'!F$2:F$746,"CARREGAMENTO"),0)</f>
        <v>1.6741666666666666</v>
      </c>
      <c r="H321" s="10">
        <f>IFERROR(SUMIFS('Base bordo'!G$2:G$746,'Base bordo'!C$2:C$746,A321,'Base bordo'!B$2:B$746,B321,'Base bordo'!F$2:F$746,"AGUARDANDO TRANSBORDO"),0)</f>
        <v>0.22305555555555556</v>
      </c>
      <c r="I321" s="10">
        <f>IFERROR(SUMIFS('Base bordo'!G$2:G$746,'Base bordo'!C$2:C$746,A321,'Base bordo'!B$2:B$746,B321,'Base bordo'!F$2:F$746,"PÁTIO INTERNO"),0)+IFERROR(SUMIFS('Base bordo'!G$2:G$746,'Base bordo'!C$2:C$746,A321,'Base bordo'!B$2:B$746,B321,'Base bordo'!F$2:F$746,"PÁTIO EXTERNO"),0)+IFERROR(SUMIFS('Base bordo'!G$2:G$746,'Base bordo'!C$2:C$746,A321,'Base bordo'!B$2:B$746,B321,'Base bordo'!F$2:F$746,"PATIO - RESERVA"),0)+IFERROR(SUMIFS('Base bordo'!G$2:G$746,'Base bordo'!C$2:C$746,A321,'Base bordo'!B$2:B$746,B321,'Base bordo'!F$2:F$746,"MANOBRA CARRETAS-PATIO"),0)</f>
        <v>0.64583333333333337</v>
      </c>
      <c r="J321" s="10">
        <f>IFERROR(SUMIFS('Base bordo'!G$2:G$746,'Base bordo'!C$2:C$746,A321,'Base bordo'!B$2:B$746,B321,'Base bordo'!F$2:F$746,"BALANÇA - ENTRADA"),0)+IFERROR(SUMIFS('Base bordo'!G$2:G$746,'Base bordo'!C$2:C$746,A321,'Base bordo'!B$2:B$746,B321,'Base bordo'!F$2:F$746,"BALANÇA - SAÍDA"),0)</f>
        <v>0</v>
      </c>
      <c r="K321" s="10">
        <f>IFERROR(SUMIFS('Base bordo'!G$2:G$746,'Base bordo'!C$2:C$746,A321,'Base bordo'!B$2:B$746,B321,'Base bordo'!F$2:F$746,"MAN PREVENTIVA - MECANICA"),0)+IFERROR(SUMIFS('Base bordo'!G$2:G$746,'Base bordo'!C$2:C$746,A321,'Base bordo'!B$2:B$746,B321,'Base bordo'!F$2:F$746,"MAN CORRETIVA - MECANICA"),0)</f>
        <v>0</v>
      </c>
      <c r="L321" s="10">
        <f>IFERROR(SUMIFS('Base bordo'!G$2:G$746,'Base bordo'!C$2:C$746,A321,'Base bordo'!B$2:B$746,B321,'Base bordo'!F$2:F$746,"MANUTENCAO - T O"),0)+IFERROR(SUMIFS('Base bordo'!G$2:G$746,'Base bordo'!C$2:C$746,A321,'Base bordo'!B$2:B$746,B321,'Base bordo'!F$2:F$746,"MANUTENCAO BORRACHARIA"),0)+IFERROR(SUMIFS('Base bordo'!G$2:G$746,'Base bordo'!C$2:C$746,A321,'Base bordo'!B$2:B$746,B321,'Base bordo'!F$2:F$746,"MANUTENCAO EXTERNA  CONCESSIONARIA"),0)+IFERROR(SUMIFS('Base bordo'!G$2:G$746,'Base bordo'!C$2:C$746,A321,'Base bordo'!B$2:B$746,B321,'Base bordo'!F$2:F$746,"MANUTENCAO TELEMETRIA"),0)</f>
        <v>11.065555555555555</v>
      </c>
      <c r="M321" s="10">
        <f>IFERROR(SUMIFS('Base bordo'!G$2:G$746,'Base bordo'!C$2:C$746,A321,'Base bordo'!B$2:B$746,B321,'Base bordo'!F$2:F$746,"AGUARDANDO MANUTENCAO"),0)</f>
        <v>0.04</v>
      </c>
      <c r="N321" s="10">
        <f>IFERROR(SUMIFS('Base bordo'!G$2:G$746,'Base bordo'!C$2:C$746,A321,'Base bordo'!B$2:B$746,B321,'Base bordo'!F$2:F$746,"SEM APONTAMENTO"),0)</f>
        <v>0</v>
      </c>
      <c r="O321" s="10">
        <f t="shared" si="36"/>
        <v>3.1608333333333327</v>
      </c>
      <c r="P321" s="10">
        <f>IFERROR(SUMIFS('Base bordo'!G$2:G$746,'Base bordo'!C$2:C$746,A321,'Base bordo'!B$2:B$746,B321),0)</f>
        <v>24</v>
      </c>
      <c r="Q321" s="10">
        <f>IFERROR(SUMIFS('Base bordo'!H$2:H$746,'Base bordo'!C$2:C$746,A321,'Base bordo'!B$2:B$746,B321,'Base bordo'!F$2:F$746,"DESLOCAMENTO VAZIO"),0)</f>
        <v>586699.78999999992</v>
      </c>
      <c r="R321" s="10">
        <f>IFERROR(SUMIFS('Base bordo'!I$2:I$746,'Base bordo'!C$2:C$746,A321,'Base bordo'!B$2:B$746,B321,'Base bordo'!F$2:F$746,"DESLOCAMENTO VAZIO"),0)</f>
        <v>18822</v>
      </c>
      <c r="S321" s="30">
        <f t="shared" si="37"/>
        <v>31.170958984167459</v>
      </c>
      <c r="T321" s="10">
        <f>IFERROR(SUMIFS('Base bordo'!H$2:H$746,'Base bordo'!C$2:C$746,A321,'Base bordo'!B$2:B$746,B321,'Base bordo'!F$2:F$746,"DESLOCAMENTO CARREGADO"),0)</f>
        <v>166963.32</v>
      </c>
      <c r="U321" s="10">
        <f>IFERROR(SUMIFS('Base bordo'!I$2:I$746,'Base bordo'!C$2:C$746,A321,'Base bordo'!B$2:B$746,B321,'Base bordo'!F$2:F$746,"DESLOCAMENTO CARREGADO"),0)</f>
        <v>7064</v>
      </c>
      <c r="V321" s="30">
        <f t="shared" si="38"/>
        <v>23.635804077010192</v>
      </c>
      <c r="W321" s="9">
        <f t="shared" si="39"/>
        <v>0.21784722222222222</v>
      </c>
      <c r="X321" s="9">
        <f t="shared" si="40"/>
        <v>8.1759259259259268E-2</v>
      </c>
      <c r="Y321" s="9">
        <f t="shared" si="41"/>
        <v>0.7003935185185185</v>
      </c>
    </row>
    <row r="322" spans="1:25" ht="15" customHeight="1" x14ac:dyDescent="0.35">
      <c r="A322" s="52">
        <v>8013476</v>
      </c>
      <c r="B322" s="51">
        <v>46118</v>
      </c>
      <c r="C322" s="7" t="s">
        <v>124</v>
      </c>
      <c r="D322" s="10">
        <f>IFERROR(SUMIFS('Base bordo'!G$2:G$746,'Base bordo'!C$2:C$746,A322,'Base bordo'!B$2:B$746,B322,'Base bordo'!F$2:F$746,"DESLOCAMENTO VAZIO"),0)</f>
        <v>0.76361111111111113</v>
      </c>
      <c r="E322" s="10">
        <f>IFERROR(SUMIFS('Base bordo'!G$2:G$746,'Base bordo'!C$2:C$746,A322,'Base bordo'!B$2:B$746,B322,'Base bordo'!F$2:F$746,"DESLOCAMENTO CARREGADO"),0)</f>
        <v>0.6594444444444445</v>
      </c>
      <c r="F322" s="10">
        <f>IFERROR(SUMIFS('Base bordo'!G$2:G$746,'Base bordo'!C$2:C$746,A322,'Base bordo'!B$2:B$746,B322,'Base bordo'!F$2:F$746,"DESLOCAMENTO"),0)</f>
        <v>0</v>
      </c>
      <c r="G322" s="10">
        <f>IFERROR(SUMIFS('Base bordo'!G$2:G$746,'Base bordo'!C$2:C$746,A322,'Base bordo'!B$2:B$746,B322,'Base bordo'!F$2:F$746,"CARREGAMENTO"),0)</f>
        <v>0</v>
      </c>
      <c r="H322" s="10">
        <f>IFERROR(SUMIFS('Base bordo'!G$2:G$746,'Base bordo'!C$2:C$746,A322,'Base bordo'!B$2:B$746,B322,'Base bordo'!F$2:F$746,"AGUARDANDO TRANSBORDO"),0)</f>
        <v>1.1111111111111112</v>
      </c>
      <c r="I322" s="10">
        <f>IFERROR(SUMIFS('Base bordo'!G$2:G$746,'Base bordo'!C$2:C$746,A322,'Base bordo'!B$2:B$746,B322,'Base bordo'!F$2:F$746,"PÁTIO INTERNO"),0)+IFERROR(SUMIFS('Base bordo'!G$2:G$746,'Base bordo'!C$2:C$746,A322,'Base bordo'!B$2:B$746,B322,'Base bordo'!F$2:F$746,"PÁTIO EXTERNO"),0)+IFERROR(SUMIFS('Base bordo'!G$2:G$746,'Base bordo'!C$2:C$746,A322,'Base bordo'!B$2:B$746,B322,'Base bordo'!F$2:F$746,"PATIO - RESERVA"),0)+IFERROR(SUMIFS('Base bordo'!G$2:G$746,'Base bordo'!C$2:C$746,A322,'Base bordo'!B$2:B$746,B322,'Base bordo'!F$2:F$746,"MANOBRA CARRETAS-PATIO"),0)</f>
        <v>5.693888888888889</v>
      </c>
      <c r="J322" s="10">
        <f>IFERROR(SUMIFS('Base bordo'!G$2:G$746,'Base bordo'!C$2:C$746,A322,'Base bordo'!B$2:B$746,B322,'Base bordo'!F$2:F$746,"BALANÇA - ENTRADA"),0)+IFERROR(SUMIFS('Base bordo'!G$2:G$746,'Base bordo'!C$2:C$746,A322,'Base bordo'!B$2:B$746,B322,'Base bordo'!F$2:F$746,"BALANÇA - SAÍDA"),0)</f>
        <v>0.11305555555555555</v>
      </c>
      <c r="K322" s="10">
        <f>IFERROR(SUMIFS('Base bordo'!G$2:G$746,'Base bordo'!C$2:C$746,A322,'Base bordo'!B$2:B$746,B322,'Base bordo'!F$2:F$746,"MAN PREVENTIVA - MECANICA"),0)+IFERROR(SUMIFS('Base bordo'!G$2:G$746,'Base bordo'!C$2:C$746,A322,'Base bordo'!B$2:B$746,B322,'Base bordo'!F$2:F$746,"MAN CORRETIVA - MECANICA"),0)</f>
        <v>0</v>
      </c>
      <c r="L322" s="10">
        <f>IFERROR(SUMIFS('Base bordo'!G$2:G$746,'Base bordo'!C$2:C$746,A322,'Base bordo'!B$2:B$746,B322,'Base bordo'!F$2:F$746,"MANUTENCAO - T O"),0)+IFERROR(SUMIFS('Base bordo'!G$2:G$746,'Base bordo'!C$2:C$746,A322,'Base bordo'!B$2:B$746,B322,'Base bordo'!F$2:F$746,"MANUTENCAO BORRACHARIA"),0)+IFERROR(SUMIFS('Base bordo'!G$2:G$746,'Base bordo'!C$2:C$746,A322,'Base bordo'!B$2:B$746,B322,'Base bordo'!F$2:F$746,"MANUTENCAO EXTERNA  CONCESSIONARIA"),0)+IFERROR(SUMIFS('Base bordo'!G$2:G$746,'Base bordo'!C$2:C$746,A322,'Base bordo'!B$2:B$746,B322,'Base bordo'!F$2:F$746,"MANUTENCAO TELEMETRIA"),0)</f>
        <v>2.7313888888888891</v>
      </c>
      <c r="M322" s="10">
        <f>IFERROR(SUMIFS('Base bordo'!G$2:G$746,'Base bordo'!C$2:C$746,A322,'Base bordo'!B$2:B$746,B322,'Base bordo'!F$2:F$746,"AGUARDANDO MANUTENCAO"),0)</f>
        <v>0</v>
      </c>
      <c r="N322" s="10">
        <f>IFERROR(SUMIFS('Base bordo'!G$2:G$746,'Base bordo'!C$2:C$746,A322,'Base bordo'!B$2:B$746,B322,'Base bordo'!F$2:F$746,"SEM APONTAMENTO"),0)</f>
        <v>0</v>
      </c>
      <c r="O322" s="10">
        <f t="shared" si="36"/>
        <v>0</v>
      </c>
      <c r="P322" s="10">
        <f>IFERROR(SUMIFS('Base bordo'!G$2:G$746,'Base bordo'!C$2:C$746,A322,'Base bordo'!B$2:B$746,B322),0)</f>
        <v>11.072500000000002</v>
      </c>
      <c r="Q322" s="10">
        <f>IFERROR(SUMIFS('Base bordo'!H$2:H$746,'Base bordo'!C$2:C$746,A322,'Base bordo'!B$2:B$746,B322,'Base bordo'!F$2:F$746,"DESLOCAMENTO VAZIO"),0)</f>
        <v>69562.86</v>
      </c>
      <c r="R322" s="10">
        <f>IFERROR(SUMIFS('Base bordo'!I$2:I$746,'Base bordo'!C$2:C$746,A322,'Base bordo'!B$2:B$746,B322,'Base bordo'!F$2:F$746,"DESLOCAMENTO VAZIO"),0)</f>
        <v>2749</v>
      </c>
      <c r="S322" s="30">
        <f t="shared" si="37"/>
        <v>25.30478719534376</v>
      </c>
      <c r="T322" s="10">
        <f>IFERROR(SUMIFS('Base bordo'!H$2:H$746,'Base bordo'!C$2:C$746,A322,'Base bordo'!B$2:B$746,B322,'Base bordo'!F$2:F$746,"DESLOCAMENTO CARREGADO"),0)</f>
        <v>60370.82</v>
      </c>
      <c r="U322" s="10">
        <f>IFERROR(SUMIFS('Base bordo'!I$2:I$746,'Base bordo'!C$2:C$746,A322,'Base bordo'!B$2:B$746,B322,'Base bordo'!F$2:F$746,"DESLOCAMENTO CARREGADO"),0)</f>
        <v>2374</v>
      </c>
      <c r="V322" s="30">
        <f t="shared" si="38"/>
        <v>25.43</v>
      </c>
      <c r="W322" s="9">
        <f t="shared" si="39"/>
        <v>6.8964652166277812E-2</v>
      </c>
      <c r="X322" s="9">
        <f t="shared" si="40"/>
        <v>5.955696043752038E-2</v>
      </c>
      <c r="Y322" s="9">
        <f t="shared" si="41"/>
        <v>0.87147838739620176</v>
      </c>
    </row>
    <row r="323" spans="1:25" ht="15" customHeight="1" x14ac:dyDescent="0.35">
      <c r="A323" s="52">
        <v>8013476</v>
      </c>
      <c r="B323" s="51">
        <v>46119</v>
      </c>
      <c r="C323" s="7" t="s">
        <v>124</v>
      </c>
      <c r="D323" s="10">
        <f>IFERROR(SUMIFS('Base bordo'!G$2:G$746,'Base bordo'!C$2:C$746,A323,'Base bordo'!B$2:B$746,B323,'Base bordo'!F$2:F$746,"DESLOCAMENTO VAZIO"),0)</f>
        <v>1.5263888888888888</v>
      </c>
      <c r="E323" s="10">
        <f>IFERROR(SUMIFS('Base bordo'!G$2:G$746,'Base bordo'!C$2:C$746,A323,'Base bordo'!B$2:B$746,B323,'Base bordo'!F$2:F$746,"DESLOCAMENTO CARREGADO"),0)</f>
        <v>0.64083333333333337</v>
      </c>
      <c r="F323" s="10">
        <f>IFERROR(SUMIFS('Base bordo'!G$2:G$746,'Base bordo'!C$2:C$746,A323,'Base bordo'!B$2:B$746,B323,'Base bordo'!F$2:F$746,"DESLOCAMENTO"),0)</f>
        <v>0</v>
      </c>
      <c r="G323" s="10">
        <f>IFERROR(SUMIFS('Base bordo'!G$2:G$746,'Base bordo'!C$2:C$746,A323,'Base bordo'!B$2:B$746,B323,'Base bordo'!F$2:F$746,"CARREGAMENTO"),0)</f>
        <v>0</v>
      </c>
      <c r="H323" s="10">
        <f>IFERROR(SUMIFS('Base bordo'!G$2:G$746,'Base bordo'!C$2:C$746,A323,'Base bordo'!B$2:B$746,B323,'Base bordo'!F$2:F$746,"AGUARDANDO TRANSBORDO"),0)</f>
        <v>0.96361111111111108</v>
      </c>
      <c r="I323" s="10">
        <f>IFERROR(SUMIFS('Base bordo'!G$2:G$746,'Base bordo'!C$2:C$746,A323,'Base bordo'!B$2:B$746,B323,'Base bordo'!F$2:F$746,"PÁTIO INTERNO"),0)+IFERROR(SUMIFS('Base bordo'!G$2:G$746,'Base bordo'!C$2:C$746,A323,'Base bordo'!B$2:B$746,B323,'Base bordo'!F$2:F$746,"PÁTIO EXTERNO"),0)+IFERROR(SUMIFS('Base bordo'!G$2:G$746,'Base bordo'!C$2:C$746,A323,'Base bordo'!B$2:B$746,B323,'Base bordo'!F$2:F$746,"PATIO - RESERVA"),0)+IFERROR(SUMIFS('Base bordo'!G$2:G$746,'Base bordo'!C$2:C$746,A323,'Base bordo'!B$2:B$746,B323,'Base bordo'!F$2:F$746,"MANOBRA CARRETAS-PATIO"),0)</f>
        <v>9.7777777777777783E-2</v>
      </c>
      <c r="J323" s="10">
        <f>IFERROR(SUMIFS('Base bordo'!G$2:G$746,'Base bordo'!C$2:C$746,A323,'Base bordo'!B$2:B$746,B323,'Base bordo'!F$2:F$746,"BALANÇA - ENTRADA"),0)+IFERROR(SUMIFS('Base bordo'!G$2:G$746,'Base bordo'!C$2:C$746,A323,'Base bordo'!B$2:B$746,B323,'Base bordo'!F$2:F$746,"BALANÇA - SAÍDA"),0)</f>
        <v>7.7777777777777776E-3</v>
      </c>
      <c r="K323" s="10">
        <f>IFERROR(SUMIFS('Base bordo'!G$2:G$746,'Base bordo'!C$2:C$746,A323,'Base bordo'!B$2:B$746,B323,'Base bordo'!F$2:F$746,"MAN PREVENTIVA - MECANICA"),0)+IFERROR(SUMIFS('Base bordo'!G$2:G$746,'Base bordo'!C$2:C$746,A323,'Base bordo'!B$2:B$746,B323,'Base bordo'!F$2:F$746,"MAN CORRETIVA - MECANICA"),0)</f>
        <v>0</v>
      </c>
      <c r="L323" s="10">
        <f>IFERROR(SUMIFS('Base bordo'!G$2:G$746,'Base bordo'!C$2:C$746,A323,'Base bordo'!B$2:B$746,B323,'Base bordo'!F$2:F$746,"MANUTENCAO - T O"),0)+IFERROR(SUMIFS('Base bordo'!G$2:G$746,'Base bordo'!C$2:C$746,A323,'Base bordo'!B$2:B$746,B323,'Base bordo'!F$2:F$746,"MANUTENCAO BORRACHARIA"),0)+IFERROR(SUMIFS('Base bordo'!G$2:G$746,'Base bordo'!C$2:C$746,A323,'Base bordo'!B$2:B$746,B323,'Base bordo'!F$2:F$746,"MANUTENCAO EXTERNA  CONCESSIONARIA"),0)+IFERROR(SUMIFS('Base bordo'!G$2:G$746,'Base bordo'!C$2:C$746,A323,'Base bordo'!B$2:B$746,B323,'Base bordo'!F$2:F$746,"MANUTENCAO TELEMETRIA"),0)</f>
        <v>0</v>
      </c>
      <c r="M323" s="10">
        <f>IFERROR(SUMIFS('Base bordo'!G$2:G$746,'Base bordo'!C$2:C$746,A323,'Base bordo'!B$2:B$746,B323,'Base bordo'!F$2:F$746,"AGUARDANDO MANUTENCAO"),0)</f>
        <v>0</v>
      </c>
      <c r="N323" s="10">
        <f>IFERROR(SUMIFS('Base bordo'!G$2:G$746,'Base bordo'!C$2:C$746,A323,'Base bordo'!B$2:B$746,B323,'Base bordo'!F$2:F$746,"SEM APONTAMENTO"),0)</f>
        <v>0</v>
      </c>
      <c r="O323" s="10">
        <f t="shared" si="36"/>
        <v>0</v>
      </c>
      <c r="P323" s="10">
        <f>IFERROR(SUMIFS('Base bordo'!G$2:G$746,'Base bordo'!C$2:C$746,A323,'Base bordo'!B$2:B$746,B323),0)</f>
        <v>3.236388888888889</v>
      </c>
      <c r="Q323" s="10">
        <f>IFERROR(SUMIFS('Base bordo'!H$2:H$746,'Base bordo'!C$2:C$746,A323,'Base bordo'!B$2:B$746,B323,'Base bordo'!F$2:F$746,"DESLOCAMENTO VAZIO"),0)</f>
        <v>181446.87000000002</v>
      </c>
      <c r="R323" s="10">
        <f>IFERROR(SUMIFS('Base bordo'!I$2:I$746,'Base bordo'!C$2:C$746,A323,'Base bordo'!B$2:B$746,B323,'Base bordo'!F$2:F$746,"DESLOCAMENTO VAZIO"),0)</f>
        <v>5495</v>
      </c>
      <c r="S323" s="30">
        <f t="shared" si="37"/>
        <v>33.020358507734308</v>
      </c>
      <c r="T323" s="10">
        <f>IFERROR(SUMIFS('Base bordo'!H$2:H$746,'Base bordo'!C$2:C$746,A323,'Base bordo'!B$2:B$746,B323,'Base bordo'!F$2:F$746,"DESLOCAMENTO CARREGADO"),0)</f>
        <v>34581.93</v>
      </c>
      <c r="U323" s="10">
        <f>IFERROR(SUMIFS('Base bordo'!I$2:I$746,'Base bordo'!C$2:C$746,A323,'Base bordo'!B$2:B$746,B323,'Base bordo'!F$2:F$746,"DESLOCAMENTO CARREGADO"),0)</f>
        <v>2307</v>
      </c>
      <c r="V323" s="30">
        <f t="shared" si="38"/>
        <v>14.99</v>
      </c>
      <c r="W323" s="9">
        <f t="shared" si="39"/>
        <v>0.47163333619431802</v>
      </c>
      <c r="X323" s="9">
        <f t="shared" si="40"/>
        <v>0.19800875461333792</v>
      </c>
      <c r="Y323" s="9">
        <f t="shared" si="41"/>
        <v>0.33035790919234409</v>
      </c>
    </row>
    <row r="324" spans="1:25" ht="15" customHeight="1" x14ac:dyDescent="0.35">
      <c r="A324" s="52">
        <v>8013468</v>
      </c>
      <c r="B324" s="51">
        <v>46117</v>
      </c>
      <c r="C324" s="7" t="s">
        <v>124</v>
      </c>
      <c r="D324" s="10">
        <f>IFERROR(SUMIFS('Base bordo'!G$2:G$746,'Base bordo'!C$2:C$746,A324,'Base bordo'!B$2:B$746,B324,'Base bordo'!F$2:F$746,"DESLOCAMENTO VAZIO"),0)</f>
        <v>1.7458333333333333</v>
      </c>
      <c r="E324" s="10">
        <f>IFERROR(SUMIFS('Base bordo'!G$2:G$746,'Base bordo'!C$2:C$746,A324,'Base bordo'!B$2:B$746,B324,'Base bordo'!F$2:F$746,"DESLOCAMENTO CARREGADO"),0)</f>
        <v>1.6383333333333334</v>
      </c>
      <c r="F324" s="10">
        <f>IFERROR(SUMIFS('Base bordo'!G$2:G$746,'Base bordo'!C$2:C$746,A324,'Base bordo'!B$2:B$746,B324,'Base bordo'!F$2:F$746,"DESLOCAMENTO"),0)</f>
        <v>5.6772222222222224</v>
      </c>
      <c r="G324" s="10">
        <f>IFERROR(SUMIFS('Base bordo'!G$2:G$746,'Base bordo'!C$2:C$746,A324,'Base bordo'!B$2:B$746,B324,'Base bordo'!F$2:F$746,"CARREGAMENTO"),0)</f>
        <v>1.2477777777777779</v>
      </c>
      <c r="H324" s="10">
        <f>IFERROR(SUMIFS('Base bordo'!G$2:G$746,'Base bordo'!C$2:C$746,A324,'Base bordo'!B$2:B$746,B324,'Base bordo'!F$2:F$746,"AGUARDANDO TRANSBORDO"),0)</f>
        <v>0.42</v>
      </c>
      <c r="I324" s="10">
        <f>IFERROR(SUMIFS('Base bordo'!G$2:G$746,'Base bordo'!C$2:C$746,A324,'Base bordo'!B$2:B$746,B324,'Base bordo'!F$2:F$746,"PÁTIO INTERNO"),0)+IFERROR(SUMIFS('Base bordo'!G$2:G$746,'Base bordo'!C$2:C$746,A324,'Base bordo'!B$2:B$746,B324,'Base bordo'!F$2:F$746,"PÁTIO EXTERNO"),0)+IFERROR(SUMIFS('Base bordo'!G$2:G$746,'Base bordo'!C$2:C$746,A324,'Base bordo'!B$2:B$746,B324,'Base bordo'!F$2:F$746,"PATIO - RESERVA"),0)+IFERROR(SUMIFS('Base bordo'!G$2:G$746,'Base bordo'!C$2:C$746,A324,'Base bordo'!B$2:B$746,B324,'Base bordo'!F$2:F$746,"MANOBRA CARRETAS-PATIO"),0)</f>
        <v>1.9175</v>
      </c>
      <c r="J324" s="10">
        <f>IFERROR(SUMIFS('Base bordo'!G$2:G$746,'Base bordo'!C$2:C$746,A324,'Base bordo'!B$2:B$746,B324,'Base bordo'!F$2:F$746,"BALANÇA - ENTRADA"),0)+IFERROR(SUMIFS('Base bordo'!G$2:G$746,'Base bordo'!C$2:C$746,A324,'Base bordo'!B$2:B$746,B324,'Base bordo'!F$2:F$746,"BALANÇA - SAÍDA"),0)</f>
        <v>0</v>
      </c>
      <c r="K324" s="10">
        <f>IFERROR(SUMIFS('Base bordo'!G$2:G$746,'Base bordo'!C$2:C$746,A324,'Base bordo'!B$2:B$746,B324,'Base bordo'!F$2:F$746,"MAN PREVENTIVA - MECANICA"),0)+IFERROR(SUMIFS('Base bordo'!G$2:G$746,'Base bordo'!C$2:C$746,A324,'Base bordo'!B$2:B$746,B324,'Base bordo'!F$2:F$746,"MAN CORRETIVA - MECANICA"),0)</f>
        <v>0</v>
      </c>
      <c r="L324" s="10">
        <f>IFERROR(SUMIFS('Base bordo'!G$2:G$746,'Base bordo'!C$2:C$746,A324,'Base bordo'!B$2:B$746,B324,'Base bordo'!F$2:F$746,"MANUTENCAO - T O"),0)+IFERROR(SUMIFS('Base bordo'!G$2:G$746,'Base bordo'!C$2:C$746,A324,'Base bordo'!B$2:B$746,B324,'Base bordo'!F$2:F$746,"MANUTENCAO BORRACHARIA"),0)+IFERROR(SUMIFS('Base bordo'!G$2:G$746,'Base bordo'!C$2:C$746,A324,'Base bordo'!B$2:B$746,B324,'Base bordo'!F$2:F$746,"MANUTENCAO EXTERNA  CONCESSIONARIA"),0)+IFERROR(SUMIFS('Base bordo'!G$2:G$746,'Base bordo'!C$2:C$746,A324,'Base bordo'!B$2:B$746,B324,'Base bordo'!F$2:F$746,"MANUTENCAO TELEMETRIA"),0)</f>
        <v>8.4913888888888884</v>
      </c>
      <c r="M324" s="10">
        <f>IFERROR(SUMIFS('Base bordo'!G$2:G$746,'Base bordo'!C$2:C$746,A324,'Base bordo'!B$2:B$746,B324,'Base bordo'!F$2:F$746,"AGUARDANDO MANUTENCAO"),0)</f>
        <v>0</v>
      </c>
      <c r="N324" s="10">
        <f>IFERROR(SUMIFS('Base bordo'!G$2:G$746,'Base bordo'!C$2:C$746,A324,'Base bordo'!B$2:B$746,B324,'Base bordo'!F$2:F$746,"SEM APONTAMENTO"),0)</f>
        <v>0.34805555555555556</v>
      </c>
      <c r="O324" s="10">
        <f t="shared" si="36"/>
        <v>2.5138888888888928</v>
      </c>
      <c r="P324" s="10">
        <f>IFERROR(SUMIFS('Base bordo'!G$2:G$746,'Base bordo'!C$2:C$746,A324,'Base bordo'!B$2:B$746,B324),0)</f>
        <v>24</v>
      </c>
      <c r="Q324" s="10">
        <f>IFERROR(SUMIFS('Base bordo'!H$2:H$746,'Base bordo'!C$2:C$746,A324,'Base bordo'!B$2:B$746,B324,'Base bordo'!F$2:F$746,"DESLOCAMENTO VAZIO"),0)</f>
        <v>150540.29999999999</v>
      </c>
      <c r="R324" s="10">
        <f>IFERROR(SUMIFS('Base bordo'!I$2:I$746,'Base bordo'!C$2:C$746,A324,'Base bordo'!B$2:B$746,B324,'Base bordo'!F$2:F$746,"DESLOCAMENTO VAZIO"),0)</f>
        <v>6285</v>
      </c>
      <c r="S324" s="30">
        <f t="shared" si="37"/>
        <v>23.952315035799522</v>
      </c>
      <c r="T324" s="10">
        <f>IFERROR(SUMIFS('Base bordo'!H$2:H$746,'Base bordo'!C$2:C$746,A324,'Base bordo'!B$2:B$746,B324,'Base bordo'!F$2:F$746,"DESLOCAMENTO CARREGADO"),0)</f>
        <v>183503.40999999997</v>
      </c>
      <c r="U324" s="10">
        <f>IFERROR(SUMIFS('Base bordo'!I$2:I$746,'Base bordo'!C$2:C$746,A324,'Base bordo'!B$2:B$746,B324,'Base bordo'!F$2:F$746,"DESLOCAMENTO CARREGADO"),0)</f>
        <v>5898</v>
      </c>
      <c r="V324" s="30">
        <f t="shared" si="38"/>
        <v>31.112819599864356</v>
      </c>
      <c r="W324" s="9">
        <f t="shared" si="39"/>
        <v>7.2743055555555561E-2</v>
      </c>
      <c r="X324" s="9">
        <f t="shared" si="40"/>
        <v>6.8263888888888888E-2</v>
      </c>
      <c r="Y324" s="9">
        <f t="shared" si="41"/>
        <v>0.85899305555555561</v>
      </c>
    </row>
    <row r="325" spans="1:25" ht="15" customHeight="1" x14ac:dyDescent="0.35">
      <c r="A325" s="52">
        <v>8013485</v>
      </c>
      <c r="B325" s="51">
        <v>46118</v>
      </c>
      <c r="C325" s="7" t="s">
        <v>124</v>
      </c>
      <c r="D325" s="10">
        <f>IFERROR(SUMIFS('Base bordo'!G$2:G$746,'Base bordo'!C$2:C$746,A325,'Base bordo'!B$2:B$746,B325,'Base bordo'!F$2:F$746,"DESLOCAMENTO VAZIO"),0)</f>
        <v>0.89111111111111108</v>
      </c>
      <c r="E325" s="10">
        <f>IFERROR(SUMIFS('Base bordo'!G$2:G$746,'Base bordo'!C$2:C$746,A325,'Base bordo'!B$2:B$746,B325,'Base bordo'!F$2:F$746,"DESLOCAMENTO CARREGADO"),0)</f>
        <v>0.77444444444444449</v>
      </c>
      <c r="F325" s="10">
        <f>IFERROR(SUMIFS('Base bordo'!G$2:G$746,'Base bordo'!C$2:C$746,A325,'Base bordo'!B$2:B$746,B325,'Base bordo'!F$2:F$746,"DESLOCAMENTO"),0)</f>
        <v>1.0216666666666667</v>
      </c>
      <c r="G325" s="10">
        <f>IFERROR(SUMIFS('Base bordo'!G$2:G$746,'Base bordo'!C$2:C$746,A325,'Base bordo'!B$2:B$746,B325,'Base bordo'!F$2:F$746,"CARREGAMENTO"),0)</f>
        <v>0</v>
      </c>
      <c r="H325" s="10">
        <f>IFERROR(SUMIFS('Base bordo'!G$2:G$746,'Base bordo'!C$2:C$746,A325,'Base bordo'!B$2:B$746,B325,'Base bordo'!F$2:F$746,"AGUARDANDO TRANSBORDO"),0)</f>
        <v>0.33083333333333331</v>
      </c>
      <c r="I325" s="10">
        <f>IFERROR(SUMIFS('Base bordo'!G$2:G$746,'Base bordo'!C$2:C$746,A325,'Base bordo'!B$2:B$746,B325,'Base bordo'!F$2:F$746,"PÁTIO INTERNO"),0)+IFERROR(SUMIFS('Base bordo'!G$2:G$746,'Base bordo'!C$2:C$746,A325,'Base bordo'!B$2:B$746,B325,'Base bordo'!F$2:F$746,"PÁTIO EXTERNO"),0)+IFERROR(SUMIFS('Base bordo'!G$2:G$746,'Base bordo'!C$2:C$746,A325,'Base bordo'!B$2:B$746,B325,'Base bordo'!F$2:F$746,"PATIO - RESERVA"),0)+IFERROR(SUMIFS('Base bordo'!G$2:G$746,'Base bordo'!C$2:C$746,A325,'Base bordo'!B$2:B$746,B325,'Base bordo'!F$2:F$746,"MANOBRA CARRETAS-PATIO"),0)</f>
        <v>10.650555555555554</v>
      </c>
      <c r="J325" s="10">
        <f>IFERROR(SUMIFS('Base bordo'!G$2:G$746,'Base bordo'!C$2:C$746,A325,'Base bordo'!B$2:B$746,B325,'Base bordo'!F$2:F$746,"BALANÇA - ENTRADA"),0)+IFERROR(SUMIFS('Base bordo'!G$2:G$746,'Base bordo'!C$2:C$746,A325,'Base bordo'!B$2:B$746,B325,'Base bordo'!F$2:F$746,"BALANÇA - SAÍDA"),0)</f>
        <v>3.6388888888888887E-2</v>
      </c>
      <c r="K325" s="10">
        <f>IFERROR(SUMIFS('Base bordo'!G$2:G$746,'Base bordo'!C$2:C$746,A325,'Base bordo'!B$2:B$746,B325,'Base bordo'!F$2:F$746,"MAN PREVENTIVA - MECANICA"),0)+IFERROR(SUMIFS('Base bordo'!G$2:G$746,'Base bordo'!C$2:C$746,A325,'Base bordo'!B$2:B$746,B325,'Base bordo'!F$2:F$746,"MAN CORRETIVA - MECANICA"),0)</f>
        <v>0</v>
      </c>
      <c r="L325" s="10">
        <f>IFERROR(SUMIFS('Base bordo'!G$2:G$746,'Base bordo'!C$2:C$746,A325,'Base bordo'!B$2:B$746,B325,'Base bordo'!F$2:F$746,"MANUTENCAO - T O"),0)+IFERROR(SUMIFS('Base bordo'!G$2:G$746,'Base bordo'!C$2:C$746,A325,'Base bordo'!B$2:B$746,B325,'Base bordo'!F$2:F$746,"MANUTENCAO BORRACHARIA"),0)+IFERROR(SUMIFS('Base bordo'!G$2:G$746,'Base bordo'!C$2:C$746,A325,'Base bordo'!B$2:B$746,B325,'Base bordo'!F$2:F$746,"MANUTENCAO EXTERNA  CONCESSIONARIA"),0)+IFERROR(SUMIFS('Base bordo'!G$2:G$746,'Base bordo'!C$2:C$746,A325,'Base bordo'!B$2:B$746,B325,'Base bordo'!F$2:F$746,"MANUTENCAO TELEMETRIA"),0)</f>
        <v>0</v>
      </c>
      <c r="M325" s="10">
        <f>IFERROR(SUMIFS('Base bordo'!G$2:G$746,'Base bordo'!C$2:C$746,A325,'Base bordo'!B$2:B$746,B325,'Base bordo'!F$2:F$746,"AGUARDANDO MANUTENCAO"),0)</f>
        <v>0</v>
      </c>
      <c r="N325" s="10">
        <f>IFERROR(SUMIFS('Base bordo'!G$2:G$746,'Base bordo'!C$2:C$746,A325,'Base bordo'!B$2:B$746,B325,'Base bordo'!F$2:F$746,"SEM APONTAMENTO"),0)</f>
        <v>0</v>
      </c>
      <c r="O325" s="10">
        <f t="shared" si="36"/>
        <v>-1.7763568394002505E-15</v>
      </c>
      <c r="P325" s="10">
        <f>IFERROR(SUMIFS('Base bordo'!G$2:G$746,'Base bordo'!C$2:C$746,A325,'Base bordo'!B$2:B$746,B325),0)</f>
        <v>13.704999999999997</v>
      </c>
      <c r="Q325" s="10">
        <f>IFERROR(SUMIFS('Base bordo'!H$2:H$746,'Base bordo'!C$2:C$746,A325,'Base bordo'!B$2:B$746,B325,'Base bordo'!F$2:F$746,"DESLOCAMENTO VAZIO"),0)</f>
        <v>68224.05</v>
      </c>
      <c r="R325" s="10">
        <f>IFERROR(SUMIFS('Base bordo'!I$2:I$746,'Base bordo'!C$2:C$746,A325,'Base bordo'!B$2:B$746,B325,'Base bordo'!F$2:F$746,"DESLOCAMENTO VAZIO"),0)</f>
        <v>3208</v>
      </c>
      <c r="S325" s="30">
        <f t="shared" si="37"/>
        <v>21.266848503740651</v>
      </c>
      <c r="T325" s="10">
        <f>IFERROR(SUMIFS('Base bordo'!H$2:H$746,'Base bordo'!C$2:C$746,A325,'Base bordo'!B$2:B$746,B325,'Base bordo'!F$2:F$746,"DESLOCAMENTO CARREGADO"),0)</f>
        <v>68053.69</v>
      </c>
      <c r="U325" s="10">
        <f>IFERROR(SUMIFS('Base bordo'!I$2:I$746,'Base bordo'!C$2:C$746,A325,'Base bordo'!B$2:B$746,B325,'Base bordo'!F$2:F$746,"DESLOCAMENTO CARREGADO"),0)</f>
        <v>2788</v>
      </c>
      <c r="V325" s="30">
        <f t="shared" si="38"/>
        <v>24.40950143472023</v>
      </c>
      <c r="W325" s="9">
        <f t="shared" si="39"/>
        <v>6.5020876403583464E-2</v>
      </c>
      <c r="X325" s="9">
        <f t="shared" si="40"/>
        <v>5.6508168146256456E-2</v>
      </c>
      <c r="Y325" s="9">
        <f t="shared" si="41"/>
        <v>0.87847095545016007</v>
      </c>
    </row>
    <row r="326" spans="1:25" ht="15" customHeight="1" x14ac:dyDescent="0.35">
      <c r="A326" s="52">
        <v>8013470</v>
      </c>
      <c r="B326" s="51">
        <v>46119</v>
      </c>
      <c r="C326" s="7" t="s">
        <v>124</v>
      </c>
      <c r="D326" s="10">
        <f>IFERROR(SUMIFS('Base bordo'!G$2:G$746,'Base bordo'!C$2:C$746,A326,'Base bordo'!B$2:B$746,B326,'Base bordo'!F$2:F$746,"DESLOCAMENTO VAZIO"),0)</f>
        <v>1.5986111111111112</v>
      </c>
      <c r="E326" s="10">
        <f>IFERROR(SUMIFS('Base bordo'!G$2:G$746,'Base bordo'!C$2:C$746,A326,'Base bordo'!B$2:B$746,B326,'Base bordo'!F$2:F$746,"DESLOCAMENTO CARREGADO"),0)</f>
        <v>1.4394444444444445</v>
      </c>
      <c r="F326" s="10">
        <f>IFERROR(SUMIFS('Base bordo'!G$2:G$746,'Base bordo'!C$2:C$746,A326,'Base bordo'!B$2:B$746,B326,'Base bordo'!F$2:F$746,"DESLOCAMENTO"),0)</f>
        <v>0</v>
      </c>
      <c r="G326" s="10">
        <f>IFERROR(SUMIFS('Base bordo'!G$2:G$746,'Base bordo'!C$2:C$746,A326,'Base bordo'!B$2:B$746,B326,'Base bordo'!F$2:F$746,"CARREGAMENTO"),0)</f>
        <v>0</v>
      </c>
      <c r="H326" s="10">
        <f>IFERROR(SUMIFS('Base bordo'!G$2:G$746,'Base bordo'!C$2:C$746,A326,'Base bordo'!B$2:B$746,B326,'Base bordo'!F$2:F$746,"AGUARDANDO TRANSBORDO"),0)</f>
        <v>0</v>
      </c>
      <c r="I326" s="10">
        <f>IFERROR(SUMIFS('Base bordo'!G$2:G$746,'Base bordo'!C$2:C$746,A326,'Base bordo'!B$2:B$746,B326,'Base bordo'!F$2:F$746,"PÁTIO INTERNO"),0)+IFERROR(SUMIFS('Base bordo'!G$2:G$746,'Base bordo'!C$2:C$746,A326,'Base bordo'!B$2:B$746,B326,'Base bordo'!F$2:F$746,"PÁTIO EXTERNO"),0)+IFERROR(SUMIFS('Base bordo'!G$2:G$746,'Base bordo'!C$2:C$746,A326,'Base bordo'!B$2:B$746,B326,'Base bordo'!F$2:F$746,"PATIO - RESERVA"),0)+IFERROR(SUMIFS('Base bordo'!G$2:G$746,'Base bordo'!C$2:C$746,A326,'Base bordo'!B$2:B$746,B326,'Base bordo'!F$2:F$746,"MANOBRA CARRETAS-PATIO"),0)</f>
        <v>9.555555555555556E-2</v>
      </c>
      <c r="J326" s="10">
        <f>IFERROR(SUMIFS('Base bordo'!G$2:G$746,'Base bordo'!C$2:C$746,A326,'Base bordo'!B$2:B$746,B326,'Base bordo'!F$2:F$746,"BALANÇA - ENTRADA"),0)+IFERROR(SUMIFS('Base bordo'!G$2:G$746,'Base bordo'!C$2:C$746,A326,'Base bordo'!B$2:B$746,B326,'Base bordo'!F$2:F$746,"BALANÇA - SAÍDA"),0)</f>
        <v>1.2222222222222223E-2</v>
      </c>
      <c r="K326" s="10">
        <f>IFERROR(SUMIFS('Base bordo'!G$2:G$746,'Base bordo'!C$2:C$746,A326,'Base bordo'!B$2:B$746,B326,'Base bordo'!F$2:F$746,"MAN PREVENTIVA - MECANICA"),0)+IFERROR(SUMIFS('Base bordo'!G$2:G$746,'Base bordo'!C$2:C$746,A326,'Base bordo'!B$2:B$746,B326,'Base bordo'!F$2:F$746,"MAN CORRETIVA - MECANICA"),0)</f>
        <v>0</v>
      </c>
      <c r="L326" s="10">
        <f>IFERROR(SUMIFS('Base bordo'!G$2:G$746,'Base bordo'!C$2:C$746,A326,'Base bordo'!B$2:B$746,B326,'Base bordo'!F$2:F$746,"MANUTENCAO - T O"),0)+IFERROR(SUMIFS('Base bordo'!G$2:G$746,'Base bordo'!C$2:C$746,A326,'Base bordo'!B$2:B$746,B326,'Base bordo'!F$2:F$746,"MANUTENCAO BORRACHARIA"),0)+IFERROR(SUMIFS('Base bordo'!G$2:G$746,'Base bordo'!C$2:C$746,A326,'Base bordo'!B$2:B$746,B326,'Base bordo'!F$2:F$746,"MANUTENCAO EXTERNA  CONCESSIONARIA"),0)+IFERROR(SUMIFS('Base bordo'!G$2:G$746,'Base bordo'!C$2:C$746,A326,'Base bordo'!B$2:B$746,B326,'Base bordo'!F$2:F$746,"MANUTENCAO TELEMETRIA"),0)</f>
        <v>0</v>
      </c>
      <c r="M326" s="10">
        <f>IFERROR(SUMIFS('Base bordo'!G$2:G$746,'Base bordo'!C$2:C$746,A326,'Base bordo'!B$2:B$746,B326,'Base bordo'!F$2:F$746,"AGUARDANDO MANUTENCAO"),0)</f>
        <v>0</v>
      </c>
      <c r="N326" s="10">
        <f>IFERROR(SUMIFS('Base bordo'!G$2:G$746,'Base bordo'!C$2:C$746,A326,'Base bordo'!B$2:B$746,B326,'Base bordo'!F$2:F$746,"SEM APONTAMENTO"),0)</f>
        <v>0</v>
      </c>
      <c r="O326" s="10">
        <f t="shared" si="36"/>
        <v>0</v>
      </c>
      <c r="P326" s="10">
        <f>IFERROR(SUMIFS('Base bordo'!G$2:G$746,'Base bordo'!C$2:C$746,A326,'Base bordo'!B$2:B$746,B326),0)</f>
        <v>3.1458333333333335</v>
      </c>
      <c r="Q326" s="10">
        <f>IFERROR(SUMIFS('Base bordo'!H$2:H$746,'Base bordo'!C$2:C$746,A326,'Base bordo'!B$2:B$746,B326,'Base bordo'!F$2:F$746,"DESLOCAMENTO VAZIO"),0)</f>
        <v>177776.33999999997</v>
      </c>
      <c r="R326" s="10">
        <f>IFERROR(SUMIFS('Base bordo'!I$2:I$746,'Base bordo'!C$2:C$746,A326,'Base bordo'!B$2:B$746,B326,'Base bordo'!F$2:F$746,"DESLOCAMENTO VAZIO"),0)</f>
        <v>5755</v>
      </c>
      <c r="S326" s="30">
        <f t="shared" si="37"/>
        <v>30.890762814943521</v>
      </c>
      <c r="T326" s="10">
        <f>IFERROR(SUMIFS('Base bordo'!H$2:H$746,'Base bordo'!C$2:C$746,A326,'Base bordo'!B$2:B$746,B326,'Base bordo'!F$2:F$746,"DESLOCAMENTO CARREGADO"),0)</f>
        <v>96305.44</v>
      </c>
      <c r="U326" s="10">
        <f>IFERROR(SUMIFS('Base bordo'!I$2:I$746,'Base bordo'!C$2:C$746,A326,'Base bordo'!B$2:B$746,B326,'Base bordo'!F$2:F$746,"DESLOCAMENTO CARREGADO"),0)</f>
        <v>5182</v>
      </c>
      <c r="V326" s="30">
        <f t="shared" si="38"/>
        <v>18.584608259359321</v>
      </c>
      <c r="W326" s="9">
        <f t="shared" si="39"/>
        <v>0.50816777041942607</v>
      </c>
      <c r="X326" s="9">
        <f t="shared" si="40"/>
        <v>0.45757174392935984</v>
      </c>
      <c r="Y326" s="9">
        <f t="shared" si="41"/>
        <v>3.426048565121409E-2</v>
      </c>
    </row>
    <row r="327" spans="1:25" ht="15" customHeight="1" x14ac:dyDescent="0.35">
      <c r="A327" s="52">
        <v>8013474</v>
      </c>
      <c r="B327" s="51">
        <v>46117</v>
      </c>
      <c r="C327" s="7" t="s">
        <v>124</v>
      </c>
      <c r="D327" s="10">
        <f>IFERROR(SUMIFS('Base bordo'!G$2:G$746,'Base bordo'!C$2:C$746,A327,'Base bordo'!B$2:B$746,B327,'Base bordo'!F$2:F$746,"DESLOCAMENTO VAZIO"),0)</f>
        <v>0.8372222222222222</v>
      </c>
      <c r="E327" s="10">
        <f>IFERROR(SUMIFS('Base bordo'!G$2:G$746,'Base bordo'!C$2:C$746,A327,'Base bordo'!B$2:B$746,B327,'Base bordo'!F$2:F$746,"DESLOCAMENTO CARREGADO"),0)</f>
        <v>0</v>
      </c>
      <c r="F327" s="10">
        <f>IFERROR(SUMIFS('Base bordo'!G$2:G$746,'Base bordo'!C$2:C$746,A327,'Base bordo'!B$2:B$746,B327,'Base bordo'!F$2:F$746,"DESLOCAMENTO"),0)</f>
        <v>3.8191666666666668</v>
      </c>
      <c r="G327" s="10">
        <f>IFERROR(SUMIFS('Base bordo'!G$2:G$746,'Base bordo'!C$2:C$746,A327,'Base bordo'!B$2:B$746,B327,'Base bordo'!F$2:F$746,"CARREGAMENTO"),0)</f>
        <v>0</v>
      </c>
      <c r="H327" s="10">
        <f>IFERROR(SUMIFS('Base bordo'!G$2:G$746,'Base bordo'!C$2:C$746,A327,'Base bordo'!B$2:B$746,B327,'Base bordo'!F$2:F$746,"AGUARDANDO TRANSBORDO"),0)</f>
        <v>0.20972222222222223</v>
      </c>
      <c r="I327" s="10">
        <f>IFERROR(SUMIFS('Base bordo'!G$2:G$746,'Base bordo'!C$2:C$746,A327,'Base bordo'!B$2:B$746,B327,'Base bordo'!F$2:F$746,"PÁTIO INTERNO"),0)+IFERROR(SUMIFS('Base bordo'!G$2:G$746,'Base bordo'!C$2:C$746,A327,'Base bordo'!B$2:B$746,B327,'Base bordo'!F$2:F$746,"PÁTIO EXTERNO"),0)+IFERROR(SUMIFS('Base bordo'!G$2:G$746,'Base bordo'!C$2:C$746,A327,'Base bordo'!B$2:B$746,B327,'Base bordo'!F$2:F$746,"PATIO - RESERVA"),0)+IFERROR(SUMIFS('Base bordo'!G$2:G$746,'Base bordo'!C$2:C$746,A327,'Base bordo'!B$2:B$746,B327,'Base bordo'!F$2:F$746,"MANOBRA CARRETAS-PATIO"),0)</f>
        <v>0</v>
      </c>
      <c r="J327" s="10">
        <f>IFERROR(SUMIFS('Base bordo'!G$2:G$746,'Base bordo'!C$2:C$746,A327,'Base bordo'!B$2:B$746,B327,'Base bordo'!F$2:F$746,"BALANÇA - ENTRADA"),0)+IFERROR(SUMIFS('Base bordo'!G$2:G$746,'Base bordo'!C$2:C$746,A327,'Base bordo'!B$2:B$746,B327,'Base bordo'!F$2:F$746,"BALANÇA - SAÍDA"),0)</f>
        <v>0</v>
      </c>
      <c r="K327" s="10">
        <f>IFERROR(SUMIFS('Base bordo'!G$2:G$746,'Base bordo'!C$2:C$746,A327,'Base bordo'!B$2:B$746,B327,'Base bordo'!F$2:F$746,"MAN PREVENTIVA - MECANICA"),0)+IFERROR(SUMIFS('Base bordo'!G$2:G$746,'Base bordo'!C$2:C$746,A327,'Base bordo'!B$2:B$746,B327,'Base bordo'!F$2:F$746,"MAN CORRETIVA - MECANICA"),0)</f>
        <v>0</v>
      </c>
      <c r="L327" s="10">
        <f>IFERROR(SUMIFS('Base bordo'!G$2:G$746,'Base bordo'!C$2:C$746,A327,'Base bordo'!B$2:B$746,B327,'Base bordo'!F$2:F$746,"MANUTENCAO - T O"),0)+IFERROR(SUMIFS('Base bordo'!G$2:G$746,'Base bordo'!C$2:C$746,A327,'Base bordo'!B$2:B$746,B327,'Base bordo'!F$2:F$746,"MANUTENCAO BORRACHARIA"),0)+IFERROR(SUMIFS('Base bordo'!G$2:G$746,'Base bordo'!C$2:C$746,A327,'Base bordo'!B$2:B$746,B327,'Base bordo'!F$2:F$746,"MANUTENCAO EXTERNA  CONCESSIONARIA"),0)+IFERROR(SUMIFS('Base bordo'!G$2:G$746,'Base bordo'!C$2:C$746,A327,'Base bordo'!B$2:B$746,B327,'Base bordo'!F$2:F$746,"MANUTENCAO TELEMETRIA"),0)</f>
        <v>17.169722222222223</v>
      </c>
      <c r="M327" s="10">
        <f>IFERROR(SUMIFS('Base bordo'!G$2:G$746,'Base bordo'!C$2:C$746,A327,'Base bordo'!B$2:B$746,B327,'Base bordo'!F$2:F$746,"AGUARDANDO MANUTENCAO"),0)</f>
        <v>0</v>
      </c>
      <c r="N327" s="10">
        <f>IFERROR(SUMIFS('Base bordo'!G$2:G$746,'Base bordo'!C$2:C$746,A327,'Base bordo'!B$2:B$746,B327,'Base bordo'!F$2:F$746,"SEM APONTAMENTO"),0)</f>
        <v>0</v>
      </c>
      <c r="O327" s="10">
        <f t="shared" si="36"/>
        <v>1.9641666666666637</v>
      </c>
      <c r="P327" s="10">
        <f>IFERROR(SUMIFS('Base bordo'!G$2:G$746,'Base bordo'!C$2:C$746,A327,'Base bordo'!B$2:B$746,B327),0)</f>
        <v>24</v>
      </c>
      <c r="Q327" s="10">
        <f>IFERROR(SUMIFS('Base bordo'!H$2:H$746,'Base bordo'!C$2:C$746,A327,'Base bordo'!B$2:B$746,B327,'Base bordo'!F$2:F$746,"DESLOCAMENTO VAZIO"),0)</f>
        <v>105617.31</v>
      </c>
      <c r="R327" s="10">
        <f>IFERROR(SUMIFS('Base bordo'!I$2:I$746,'Base bordo'!C$2:C$746,A327,'Base bordo'!B$2:B$746,B327,'Base bordo'!F$2:F$746,"DESLOCAMENTO VAZIO"),0)</f>
        <v>3014</v>
      </c>
      <c r="S327" s="30">
        <f t="shared" si="37"/>
        <v>35.042239548772393</v>
      </c>
      <c r="T327" s="10">
        <f>IFERROR(SUMIFS('Base bordo'!H$2:H$746,'Base bordo'!C$2:C$746,A327,'Base bordo'!B$2:B$746,B327,'Base bordo'!F$2:F$746,"DESLOCAMENTO CARREGADO"),0)</f>
        <v>0</v>
      </c>
      <c r="U327" s="10">
        <f>IFERROR(SUMIFS('Base bordo'!I$2:I$746,'Base bordo'!C$2:C$746,A327,'Base bordo'!B$2:B$746,B327,'Base bordo'!F$2:F$746,"DESLOCAMENTO CARREGADO"),0)</f>
        <v>0</v>
      </c>
      <c r="V327" s="30" t="str">
        <f t="shared" si="38"/>
        <v/>
      </c>
      <c r="W327" s="9">
        <f t="shared" si="39"/>
        <v>3.4884259259259261E-2</v>
      </c>
      <c r="X327" s="9">
        <f t="shared" si="40"/>
        <v>0</v>
      </c>
      <c r="Y327" s="9">
        <f t="shared" si="41"/>
        <v>0.96511574074074069</v>
      </c>
    </row>
    <row r="328" spans="1:25" ht="15" customHeight="1" x14ac:dyDescent="0.35">
      <c r="A328" s="52">
        <v>8013476</v>
      </c>
      <c r="B328" s="51">
        <v>46118</v>
      </c>
      <c r="C328" s="7" t="s">
        <v>124</v>
      </c>
      <c r="D328" s="10">
        <f>IFERROR(SUMIFS('Base bordo'!G$2:G$746,'Base bordo'!C$2:C$746,A328,'Base bordo'!B$2:B$746,B328,'Base bordo'!F$2:F$746,"DESLOCAMENTO VAZIO"),0)</f>
        <v>0.76361111111111113</v>
      </c>
      <c r="E328" s="10">
        <f>IFERROR(SUMIFS('Base bordo'!G$2:G$746,'Base bordo'!C$2:C$746,A328,'Base bordo'!B$2:B$746,B328,'Base bordo'!F$2:F$746,"DESLOCAMENTO CARREGADO"),0)</f>
        <v>0.6594444444444445</v>
      </c>
      <c r="F328" s="10">
        <f>IFERROR(SUMIFS('Base bordo'!G$2:G$746,'Base bordo'!C$2:C$746,A328,'Base bordo'!B$2:B$746,B328,'Base bordo'!F$2:F$746,"DESLOCAMENTO"),0)</f>
        <v>0</v>
      </c>
      <c r="G328" s="10">
        <f>IFERROR(SUMIFS('Base bordo'!G$2:G$746,'Base bordo'!C$2:C$746,A328,'Base bordo'!B$2:B$746,B328,'Base bordo'!F$2:F$746,"CARREGAMENTO"),0)</f>
        <v>0</v>
      </c>
      <c r="H328" s="10">
        <f>IFERROR(SUMIFS('Base bordo'!G$2:G$746,'Base bordo'!C$2:C$746,A328,'Base bordo'!B$2:B$746,B328,'Base bordo'!F$2:F$746,"AGUARDANDO TRANSBORDO"),0)</f>
        <v>1.1111111111111112</v>
      </c>
      <c r="I328" s="10">
        <f>IFERROR(SUMIFS('Base bordo'!G$2:G$746,'Base bordo'!C$2:C$746,A328,'Base bordo'!B$2:B$746,B328,'Base bordo'!F$2:F$746,"PÁTIO INTERNO"),0)+IFERROR(SUMIFS('Base bordo'!G$2:G$746,'Base bordo'!C$2:C$746,A328,'Base bordo'!B$2:B$746,B328,'Base bordo'!F$2:F$746,"PÁTIO EXTERNO"),0)+IFERROR(SUMIFS('Base bordo'!G$2:G$746,'Base bordo'!C$2:C$746,A328,'Base bordo'!B$2:B$746,B328,'Base bordo'!F$2:F$746,"PATIO - RESERVA"),0)+IFERROR(SUMIFS('Base bordo'!G$2:G$746,'Base bordo'!C$2:C$746,A328,'Base bordo'!B$2:B$746,B328,'Base bordo'!F$2:F$746,"MANOBRA CARRETAS-PATIO"),0)</f>
        <v>5.693888888888889</v>
      </c>
      <c r="J328" s="10">
        <f>IFERROR(SUMIFS('Base bordo'!G$2:G$746,'Base bordo'!C$2:C$746,A328,'Base bordo'!B$2:B$746,B328,'Base bordo'!F$2:F$746,"BALANÇA - ENTRADA"),0)+IFERROR(SUMIFS('Base bordo'!G$2:G$746,'Base bordo'!C$2:C$746,A328,'Base bordo'!B$2:B$746,B328,'Base bordo'!F$2:F$746,"BALANÇA - SAÍDA"),0)</f>
        <v>0.11305555555555555</v>
      </c>
      <c r="K328" s="10">
        <f>IFERROR(SUMIFS('Base bordo'!G$2:G$746,'Base bordo'!C$2:C$746,A328,'Base bordo'!B$2:B$746,B328,'Base bordo'!F$2:F$746,"MAN PREVENTIVA - MECANICA"),0)+IFERROR(SUMIFS('Base bordo'!G$2:G$746,'Base bordo'!C$2:C$746,A328,'Base bordo'!B$2:B$746,B328,'Base bordo'!F$2:F$746,"MAN CORRETIVA - MECANICA"),0)</f>
        <v>0</v>
      </c>
      <c r="L328" s="10">
        <f>IFERROR(SUMIFS('Base bordo'!G$2:G$746,'Base bordo'!C$2:C$746,A328,'Base bordo'!B$2:B$746,B328,'Base bordo'!F$2:F$746,"MANUTENCAO - T O"),0)+IFERROR(SUMIFS('Base bordo'!G$2:G$746,'Base bordo'!C$2:C$746,A328,'Base bordo'!B$2:B$746,B328,'Base bordo'!F$2:F$746,"MANUTENCAO BORRACHARIA"),0)+IFERROR(SUMIFS('Base bordo'!G$2:G$746,'Base bordo'!C$2:C$746,A328,'Base bordo'!B$2:B$746,B328,'Base bordo'!F$2:F$746,"MANUTENCAO EXTERNA  CONCESSIONARIA"),0)+IFERROR(SUMIFS('Base bordo'!G$2:G$746,'Base bordo'!C$2:C$746,A328,'Base bordo'!B$2:B$746,B328,'Base bordo'!F$2:F$746,"MANUTENCAO TELEMETRIA"),0)</f>
        <v>2.7313888888888891</v>
      </c>
      <c r="M328" s="10">
        <f>IFERROR(SUMIFS('Base bordo'!G$2:G$746,'Base bordo'!C$2:C$746,A328,'Base bordo'!B$2:B$746,B328,'Base bordo'!F$2:F$746,"AGUARDANDO MANUTENCAO"),0)</f>
        <v>0</v>
      </c>
      <c r="N328" s="10">
        <f>IFERROR(SUMIFS('Base bordo'!G$2:G$746,'Base bordo'!C$2:C$746,A328,'Base bordo'!B$2:B$746,B328,'Base bordo'!F$2:F$746,"SEM APONTAMENTO"),0)</f>
        <v>0</v>
      </c>
      <c r="O328" s="10">
        <f t="shared" si="36"/>
        <v>0</v>
      </c>
      <c r="P328" s="10">
        <f>IFERROR(SUMIFS('Base bordo'!G$2:G$746,'Base bordo'!C$2:C$746,A328,'Base bordo'!B$2:B$746,B328),0)</f>
        <v>11.072500000000002</v>
      </c>
      <c r="Q328" s="10">
        <f>IFERROR(SUMIFS('Base bordo'!H$2:H$746,'Base bordo'!C$2:C$746,A328,'Base bordo'!B$2:B$746,B328,'Base bordo'!F$2:F$746,"DESLOCAMENTO VAZIO"),0)</f>
        <v>69562.86</v>
      </c>
      <c r="R328" s="10">
        <f>IFERROR(SUMIFS('Base bordo'!I$2:I$746,'Base bordo'!C$2:C$746,A328,'Base bordo'!B$2:B$746,B328,'Base bordo'!F$2:F$746,"DESLOCAMENTO VAZIO"),0)</f>
        <v>2749</v>
      </c>
      <c r="S328" s="30">
        <f t="shared" si="37"/>
        <v>25.30478719534376</v>
      </c>
      <c r="T328" s="10">
        <f>IFERROR(SUMIFS('Base bordo'!H$2:H$746,'Base bordo'!C$2:C$746,A328,'Base bordo'!B$2:B$746,B328,'Base bordo'!F$2:F$746,"DESLOCAMENTO CARREGADO"),0)</f>
        <v>60370.82</v>
      </c>
      <c r="U328" s="10">
        <f>IFERROR(SUMIFS('Base bordo'!I$2:I$746,'Base bordo'!C$2:C$746,A328,'Base bordo'!B$2:B$746,B328,'Base bordo'!F$2:F$746,"DESLOCAMENTO CARREGADO"),0)</f>
        <v>2374</v>
      </c>
      <c r="V328" s="30">
        <f t="shared" si="38"/>
        <v>25.43</v>
      </c>
      <c r="W328" s="9">
        <f t="shared" si="39"/>
        <v>6.8964652166277812E-2</v>
      </c>
      <c r="X328" s="9">
        <f t="shared" si="40"/>
        <v>5.955696043752038E-2</v>
      </c>
      <c r="Y328" s="9">
        <f t="shared" si="41"/>
        <v>0.87147838739620176</v>
      </c>
    </row>
    <row r="329" spans="1:25" ht="15" customHeight="1" x14ac:dyDescent="0.35">
      <c r="A329" s="52">
        <v>8013469</v>
      </c>
      <c r="B329" s="51">
        <v>46117</v>
      </c>
      <c r="C329" s="7" t="s">
        <v>124</v>
      </c>
      <c r="D329" s="10">
        <f>IFERROR(SUMIFS('Base bordo'!G$2:G$746,'Base bordo'!C$2:C$746,A329,'Base bordo'!B$2:B$746,B329,'Base bordo'!F$2:F$746,"DESLOCAMENTO VAZIO"),0)</f>
        <v>0.81472222222222224</v>
      </c>
      <c r="E329" s="10">
        <f>IFERROR(SUMIFS('Base bordo'!G$2:G$746,'Base bordo'!C$2:C$746,A329,'Base bordo'!B$2:B$746,B329,'Base bordo'!F$2:F$746,"DESLOCAMENTO CARREGADO"),0)</f>
        <v>0.8913888888888889</v>
      </c>
      <c r="F329" s="10">
        <f>IFERROR(SUMIFS('Base bordo'!G$2:G$746,'Base bordo'!C$2:C$746,A329,'Base bordo'!B$2:B$746,B329,'Base bordo'!F$2:F$746,"DESLOCAMENTO"),0)</f>
        <v>0.54305555555555551</v>
      </c>
      <c r="G329" s="10">
        <f>IFERROR(SUMIFS('Base bordo'!G$2:G$746,'Base bordo'!C$2:C$746,A329,'Base bordo'!B$2:B$746,B329,'Base bordo'!F$2:F$746,"CARREGAMENTO"),0)</f>
        <v>4.5863888888888891</v>
      </c>
      <c r="H329" s="10">
        <f>IFERROR(SUMIFS('Base bordo'!G$2:G$746,'Base bordo'!C$2:C$746,A329,'Base bordo'!B$2:B$746,B329,'Base bordo'!F$2:F$746,"AGUARDANDO TRANSBORDO"),0)</f>
        <v>0.11166666666666666</v>
      </c>
      <c r="I329" s="10">
        <f>IFERROR(SUMIFS('Base bordo'!G$2:G$746,'Base bordo'!C$2:C$746,A329,'Base bordo'!B$2:B$746,B329,'Base bordo'!F$2:F$746,"PÁTIO INTERNO"),0)+IFERROR(SUMIFS('Base bordo'!G$2:G$746,'Base bordo'!C$2:C$746,A329,'Base bordo'!B$2:B$746,B329,'Base bordo'!F$2:F$746,"PÁTIO EXTERNO"),0)+IFERROR(SUMIFS('Base bordo'!G$2:G$746,'Base bordo'!C$2:C$746,A329,'Base bordo'!B$2:B$746,B329,'Base bordo'!F$2:F$746,"PATIO - RESERVA"),0)+IFERROR(SUMIFS('Base bordo'!G$2:G$746,'Base bordo'!C$2:C$746,A329,'Base bordo'!B$2:B$746,B329,'Base bordo'!F$2:F$746,"MANOBRA CARRETAS-PATIO"),0)</f>
        <v>2.3947222222222222</v>
      </c>
      <c r="J329" s="10">
        <f>IFERROR(SUMIFS('Base bordo'!G$2:G$746,'Base bordo'!C$2:C$746,A329,'Base bordo'!B$2:B$746,B329,'Base bordo'!F$2:F$746,"BALANÇA - ENTRADA"),0)+IFERROR(SUMIFS('Base bordo'!G$2:G$746,'Base bordo'!C$2:C$746,A329,'Base bordo'!B$2:B$746,B329,'Base bordo'!F$2:F$746,"BALANÇA - SAÍDA"),0)</f>
        <v>0</v>
      </c>
      <c r="K329" s="10">
        <f>IFERROR(SUMIFS('Base bordo'!G$2:G$746,'Base bordo'!C$2:C$746,A329,'Base bordo'!B$2:B$746,B329,'Base bordo'!F$2:F$746,"MAN PREVENTIVA - MECANICA"),0)+IFERROR(SUMIFS('Base bordo'!G$2:G$746,'Base bordo'!C$2:C$746,A329,'Base bordo'!B$2:B$746,B329,'Base bordo'!F$2:F$746,"MAN CORRETIVA - MECANICA"),0)</f>
        <v>0</v>
      </c>
      <c r="L329" s="10">
        <f>IFERROR(SUMIFS('Base bordo'!G$2:G$746,'Base bordo'!C$2:C$746,A329,'Base bordo'!B$2:B$746,B329,'Base bordo'!F$2:F$746,"MANUTENCAO - T O"),0)+IFERROR(SUMIFS('Base bordo'!G$2:G$746,'Base bordo'!C$2:C$746,A329,'Base bordo'!B$2:B$746,B329,'Base bordo'!F$2:F$746,"MANUTENCAO BORRACHARIA"),0)+IFERROR(SUMIFS('Base bordo'!G$2:G$746,'Base bordo'!C$2:C$746,A329,'Base bordo'!B$2:B$746,B329,'Base bordo'!F$2:F$746,"MANUTENCAO EXTERNA  CONCESSIONARIA"),0)+IFERROR(SUMIFS('Base bordo'!G$2:G$746,'Base bordo'!C$2:C$746,A329,'Base bordo'!B$2:B$746,B329,'Base bordo'!F$2:F$746,"MANUTENCAO TELEMETRIA"),0)</f>
        <v>3.4688888888888889</v>
      </c>
      <c r="M329" s="10">
        <f>IFERROR(SUMIFS('Base bordo'!G$2:G$746,'Base bordo'!C$2:C$746,A329,'Base bordo'!B$2:B$746,B329,'Base bordo'!F$2:F$746,"AGUARDANDO MANUTENCAO"),0)</f>
        <v>0</v>
      </c>
      <c r="N329" s="10">
        <f>IFERROR(SUMIFS('Base bordo'!G$2:G$746,'Base bordo'!C$2:C$746,A329,'Base bordo'!B$2:B$746,B329,'Base bordo'!F$2:F$746,"SEM APONTAMENTO"),0)</f>
        <v>0</v>
      </c>
      <c r="O329" s="10">
        <f t="shared" si="36"/>
        <v>0.61500000000000021</v>
      </c>
      <c r="P329" s="10">
        <f>IFERROR(SUMIFS('Base bordo'!G$2:G$746,'Base bordo'!C$2:C$746,A329,'Base bordo'!B$2:B$746,B329),0)</f>
        <v>13.425833333333333</v>
      </c>
      <c r="Q329" s="10">
        <f>IFERROR(SUMIFS('Base bordo'!H$2:H$746,'Base bordo'!C$2:C$746,A329,'Base bordo'!B$2:B$746,B329,'Base bordo'!F$2:F$746,"DESLOCAMENTO VAZIO"),0)</f>
        <v>93170.91</v>
      </c>
      <c r="R329" s="10">
        <f>IFERROR(SUMIFS('Base bordo'!I$2:I$746,'Base bordo'!C$2:C$746,A329,'Base bordo'!B$2:B$746,B329,'Base bordo'!F$2:F$746,"DESLOCAMENTO VAZIO"),0)</f>
        <v>2933</v>
      </c>
      <c r="S329" s="30">
        <f t="shared" si="37"/>
        <v>31.766420047732698</v>
      </c>
      <c r="T329" s="10">
        <f>IFERROR(SUMIFS('Base bordo'!H$2:H$746,'Base bordo'!C$2:C$746,A329,'Base bordo'!B$2:B$746,B329,'Base bordo'!F$2:F$746,"DESLOCAMENTO CARREGADO"),0)</f>
        <v>68258.340000000011</v>
      </c>
      <c r="U329" s="10">
        <f>IFERROR(SUMIFS('Base bordo'!I$2:I$746,'Base bordo'!C$2:C$746,A329,'Base bordo'!B$2:B$746,B329,'Base bordo'!F$2:F$746,"DESLOCAMENTO CARREGADO"),0)</f>
        <v>3204</v>
      </c>
      <c r="V329" s="30">
        <f t="shared" si="38"/>
        <v>21.304101123595508</v>
      </c>
      <c r="W329" s="9">
        <f t="shared" si="39"/>
        <v>6.0683177125359485E-2</v>
      </c>
      <c r="X329" s="9">
        <f t="shared" si="40"/>
        <v>6.639356133490576E-2</v>
      </c>
      <c r="Y329" s="9">
        <f t="shared" si="41"/>
        <v>0.87292326153973476</v>
      </c>
    </row>
    <row r="330" spans="1:25" ht="15" customHeight="1" x14ac:dyDescent="0.35">
      <c r="A330" s="52">
        <v>8013481</v>
      </c>
      <c r="B330" s="51">
        <v>46120</v>
      </c>
      <c r="C330" s="7" t="s">
        <v>124</v>
      </c>
      <c r="D330" s="10">
        <f>IFERROR(SUMIFS('Base bordo'!G$2:G$746,'Base bordo'!C$2:C$746,A330,'Base bordo'!B$2:B$746,B330,'Base bordo'!F$2:F$746,"DESLOCAMENTO VAZIO"),0)</f>
        <v>0</v>
      </c>
      <c r="E330" s="10">
        <f>IFERROR(SUMIFS('Base bordo'!G$2:G$746,'Base bordo'!C$2:C$746,A330,'Base bordo'!B$2:B$746,B330,'Base bordo'!F$2:F$746,"DESLOCAMENTO CARREGADO"),0)</f>
        <v>2.0550000000000002</v>
      </c>
      <c r="F330" s="10">
        <f>IFERROR(SUMIFS('Base bordo'!G$2:G$746,'Base bordo'!C$2:C$746,A330,'Base bordo'!B$2:B$746,B330,'Base bordo'!F$2:F$746,"DESLOCAMENTO"),0)</f>
        <v>0</v>
      </c>
      <c r="G330" s="10">
        <f>IFERROR(SUMIFS('Base bordo'!G$2:G$746,'Base bordo'!C$2:C$746,A330,'Base bordo'!B$2:B$746,B330,'Base bordo'!F$2:F$746,"CARREGAMENTO"),0)</f>
        <v>0</v>
      </c>
      <c r="H330" s="10">
        <f>IFERROR(SUMIFS('Base bordo'!G$2:G$746,'Base bordo'!C$2:C$746,A330,'Base bordo'!B$2:B$746,B330,'Base bordo'!F$2:F$746,"AGUARDANDO TRANSBORDO"),0)</f>
        <v>0</v>
      </c>
      <c r="I330" s="10">
        <f>IFERROR(SUMIFS('Base bordo'!G$2:G$746,'Base bordo'!C$2:C$746,A330,'Base bordo'!B$2:B$746,B330,'Base bordo'!F$2:F$746,"PÁTIO INTERNO"),0)+IFERROR(SUMIFS('Base bordo'!G$2:G$746,'Base bordo'!C$2:C$746,A330,'Base bordo'!B$2:B$746,B330,'Base bordo'!F$2:F$746,"PÁTIO EXTERNO"),0)+IFERROR(SUMIFS('Base bordo'!G$2:G$746,'Base bordo'!C$2:C$746,A330,'Base bordo'!B$2:B$746,B330,'Base bordo'!F$2:F$746,"PATIO - RESERVA"),0)+IFERROR(SUMIFS('Base bordo'!G$2:G$746,'Base bordo'!C$2:C$746,A330,'Base bordo'!B$2:B$746,B330,'Base bordo'!F$2:F$746,"MANOBRA CARRETAS-PATIO"),0)</f>
        <v>0.18194444444444444</v>
      </c>
      <c r="J330" s="10">
        <f>IFERROR(SUMIFS('Base bordo'!G$2:G$746,'Base bordo'!C$2:C$746,A330,'Base bordo'!B$2:B$746,B330,'Base bordo'!F$2:F$746,"BALANÇA - ENTRADA"),0)+IFERROR(SUMIFS('Base bordo'!G$2:G$746,'Base bordo'!C$2:C$746,A330,'Base bordo'!B$2:B$746,B330,'Base bordo'!F$2:F$746,"BALANÇA - SAÍDA"),0)</f>
        <v>0</v>
      </c>
      <c r="K330" s="10">
        <f>IFERROR(SUMIFS('Base bordo'!G$2:G$746,'Base bordo'!C$2:C$746,A330,'Base bordo'!B$2:B$746,B330,'Base bordo'!F$2:F$746,"MAN PREVENTIVA - MECANICA"),0)+IFERROR(SUMIFS('Base bordo'!G$2:G$746,'Base bordo'!C$2:C$746,A330,'Base bordo'!B$2:B$746,B330,'Base bordo'!F$2:F$746,"MAN CORRETIVA - MECANICA"),0)</f>
        <v>0</v>
      </c>
      <c r="L330" s="10">
        <f>IFERROR(SUMIFS('Base bordo'!G$2:G$746,'Base bordo'!C$2:C$746,A330,'Base bordo'!B$2:B$746,B330,'Base bordo'!F$2:F$746,"MANUTENCAO - T O"),0)+IFERROR(SUMIFS('Base bordo'!G$2:G$746,'Base bordo'!C$2:C$746,A330,'Base bordo'!B$2:B$746,B330,'Base bordo'!F$2:F$746,"MANUTENCAO BORRACHARIA"),0)+IFERROR(SUMIFS('Base bordo'!G$2:G$746,'Base bordo'!C$2:C$746,A330,'Base bordo'!B$2:B$746,B330,'Base bordo'!F$2:F$746,"MANUTENCAO EXTERNA  CONCESSIONARIA"),0)+IFERROR(SUMIFS('Base bordo'!G$2:G$746,'Base bordo'!C$2:C$746,A330,'Base bordo'!B$2:B$746,B330,'Base bordo'!F$2:F$746,"MANUTENCAO TELEMETRIA"),0)</f>
        <v>0</v>
      </c>
      <c r="M330" s="10">
        <f>IFERROR(SUMIFS('Base bordo'!G$2:G$746,'Base bordo'!C$2:C$746,A330,'Base bordo'!B$2:B$746,B330,'Base bordo'!F$2:F$746,"AGUARDANDO MANUTENCAO"),0)</f>
        <v>0</v>
      </c>
      <c r="N330" s="10">
        <f>IFERROR(SUMIFS('Base bordo'!G$2:G$746,'Base bordo'!C$2:C$746,A330,'Base bordo'!B$2:B$746,B330,'Base bordo'!F$2:F$746,"SEM APONTAMENTO"),0)</f>
        <v>0</v>
      </c>
      <c r="O330" s="10">
        <f t="shared" si="36"/>
        <v>0</v>
      </c>
      <c r="P330" s="10">
        <f>IFERROR(SUMIFS('Base bordo'!G$2:G$746,'Base bordo'!C$2:C$746,A330,'Base bordo'!B$2:B$746,B330),0)</f>
        <v>2.2369444444444446</v>
      </c>
      <c r="Q330" s="10">
        <f>IFERROR(SUMIFS('Base bordo'!H$2:H$746,'Base bordo'!C$2:C$746,A330,'Base bordo'!B$2:B$746,B330,'Base bordo'!F$2:F$746,"DESLOCAMENTO VAZIO"),0)</f>
        <v>0</v>
      </c>
      <c r="R330" s="10">
        <f>IFERROR(SUMIFS('Base bordo'!I$2:I$746,'Base bordo'!C$2:C$746,A330,'Base bordo'!B$2:B$746,B330,'Base bordo'!F$2:F$746,"DESLOCAMENTO VAZIO"),0)</f>
        <v>0</v>
      </c>
      <c r="S330" s="30" t="str">
        <f t="shared" si="37"/>
        <v/>
      </c>
      <c r="T330" s="10">
        <f>IFERROR(SUMIFS('Base bordo'!H$2:H$746,'Base bordo'!C$2:C$746,A330,'Base bordo'!B$2:B$746,B330,'Base bordo'!F$2:F$746,"DESLOCAMENTO CARREGADO"),0)</f>
        <v>178228.94999999998</v>
      </c>
      <c r="U330" s="10">
        <f>IFERROR(SUMIFS('Base bordo'!I$2:I$746,'Base bordo'!C$2:C$746,A330,'Base bordo'!B$2:B$746,B330,'Base bordo'!F$2:F$746,"DESLOCAMENTO CARREGADO"),0)</f>
        <v>7398</v>
      </c>
      <c r="V330" s="30">
        <f t="shared" si="38"/>
        <v>24.091504460665043</v>
      </c>
      <c r="W330" s="9">
        <f t="shared" si="39"/>
        <v>0</v>
      </c>
      <c r="X330" s="9">
        <f t="shared" si="40"/>
        <v>0.91866385198062839</v>
      </c>
      <c r="Y330" s="9">
        <f t="shared" si="41"/>
        <v>8.1336148019371612E-2</v>
      </c>
    </row>
    <row r="331" spans="1:25" ht="15" customHeight="1" x14ac:dyDescent="0.35">
      <c r="A331" s="52">
        <v>8013460</v>
      </c>
      <c r="B331" s="51">
        <v>46117</v>
      </c>
      <c r="C331" s="7" t="s">
        <v>124</v>
      </c>
      <c r="D331" s="10">
        <f>IFERROR(SUMIFS('Base bordo'!G$2:G$746,'Base bordo'!C$2:C$746,A331,'Base bordo'!B$2:B$746,B331,'Base bordo'!F$2:F$746,"DESLOCAMENTO VAZIO"),0)</f>
        <v>5.2069444444444448</v>
      </c>
      <c r="E331" s="10">
        <f>IFERROR(SUMIFS('Base bordo'!G$2:G$746,'Base bordo'!C$2:C$746,A331,'Base bordo'!B$2:B$746,B331,'Base bordo'!F$2:F$746,"DESLOCAMENTO CARREGADO"),0)</f>
        <v>0.55944444444444441</v>
      </c>
      <c r="F331" s="10">
        <f>IFERROR(SUMIFS('Base bordo'!G$2:G$746,'Base bordo'!C$2:C$746,A331,'Base bordo'!B$2:B$746,B331,'Base bordo'!F$2:F$746,"DESLOCAMENTO"),0)</f>
        <v>3.0825</v>
      </c>
      <c r="G331" s="10">
        <f>IFERROR(SUMIFS('Base bordo'!G$2:G$746,'Base bordo'!C$2:C$746,A331,'Base bordo'!B$2:B$746,B331,'Base bordo'!F$2:F$746,"CARREGAMENTO"),0)</f>
        <v>2.5000000000000001E-3</v>
      </c>
      <c r="H331" s="10">
        <f>IFERROR(SUMIFS('Base bordo'!G$2:G$746,'Base bordo'!C$2:C$746,A331,'Base bordo'!B$2:B$746,B331,'Base bordo'!F$2:F$746,"AGUARDANDO TRANSBORDO"),0)</f>
        <v>1.0013888888888889</v>
      </c>
      <c r="I331" s="10">
        <f>IFERROR(SUMIFS('Base bordo'!G$2:G$746,'Base bordo'!C$2:C$746,A331,'Base bordo'!B$2:B$746,B331,'Base bordo'!F$2:F$746,"PÁTIO INTERNO"),0)+IFERROR(SUMIFS('Base bordo'!G$2:G$746,'Base bordo'!C$2:C$746,A331,'Base bordo'!B$2:B$746,B331,'Base bordo'!F$2:F$746,"PÁTIO EXTERNO"),0)+IFERROR(SUMIFS('Base bordo'!G$2:G$746,'Base bordo'!C$2:C$746,A331,'Base bordo'!B$2:B$746,B331,'Base bordo'!F$2:F$746,"PATIO - RESERVA"),0)+IFERROR(SUMIFS('Base bordo'!G$2:G$746,'Base bordo'!C$2:C$746,A331,'Base bordo'!B$2:B$746,B331,'Base bordo'!F$2:F$746,"MANOBRA CARRETAS-PATIO"),0)</f>
        <v>0.54972222222222222</v>
      </c>
      <c r="J331" s="10">
        <f>IFERROR(SUMIFS('Base bordo'!G$2:G$746,'Base bordo'!C$2:C$746,A331,'Base bordo'!B$2:B$746,B331,'Base bordo'!F$2:F$746,"BALANÇA - ENTRADA"),0)+IFERROR(SUMIFS('Base bordo'!G$2:G$746,'Base bordo'!C$2:C$746,A331,'Base bordo'!B$2:B$746,B331,'Base bordo'!F$2:F$746,"BALANÇA - SAÍDA"),0)</f>
        <v>0</v>
      </c>
      <c r="K331" s="10">
        <f>IFERROR(SUMIFS('Base bordo'!G$2:G$746,'Base bordo'!C$2:C$746,A331,'Base bordo'!B$2:B$746,B331,'Base bordo'!F$2:F$746,"MAN PREVENTIVA - MECANICA"),0)+IFERROR(SUMIFS('Base bordo'!G$2:G$746,'Base bordo'!C$2:C$746,A331,'Base bordo'!B$2:B$746,B331,'Base bordo'!F$2:F$746,"MAN CORRETIVA - MECANICA"),0)</f>
        <v>0</v>
      </c>
      <c r="L331" s="10">
        <f>IFERROR(SUMIFS('Base bordo'!G$2:G$746,'Base bordo'!C$2:C$746,A331,'Base bordo'!B$2:B$746,B331,'Base bordo'!F$2:F$746,"MANUTENCAO - T O"),0)+IFERROR(SUMIFS('Base bordo'!G$2:G$746,'Base bordo'!C$2:C$746,A331,'Base bordo'!B$2:B$746,B331,'Base bordo'!F$2:F$746,"MANUTENCAO BORRACHARIA"),0)+IFERROR(SUMIFS('Base bordo'!G$2:G$746,'Base bordo'!C$2:C$746,A331,'Base bordo'!B$2:B$746,B331,'Base bordo'!F$2:F$746,"MANUTENCAO EXTERNA  CONCESSIONARIA"),0)+IFERROR(SUMIFS('Base bordo'!G$2:G$746,'Base bordo'!C$2:C$746,A331,'Base bordo'!B$2:B$746,B331,'Base bordo'!F$2:F$746,"MANUTENCAO TELEMETRIA"),0)</f>
        <v>10.766111111111112</v>
      </c>
      <c r="M331" s="10">
        <f>IFERROR(SUMIFS('Base bordo'!G$2:G$746,'Base bordo'!C$2:C$746,A331,'Base bordo'!B$2:B$746,B331,'Base bordo'!F$2:F$746,"AGUARDANDO MANUTENCAO"),0)</f>
        <v>0</v>
      </c>
      <c r="N331" s="10">
        <f>IFERROR(SUMIFS('Base bordo'!G$2:G$746,'Base bordo'!C$2:C$746,A331,'Base bordo'!B$2:B$746,B331,'Base bordo'!F$2:F$746,"SEM APONTAMENTO"),0)</f>
        <v>0.29444444444444445</v>
      </c>
      <c r="O331" s="10">
        <f t="shared" si="36"/>
        <v>2.536944444444444</v>
      </c>
      <c r="P331" s="10">
        <f>IFERROR(SUMIFS('Base bordo'!G$2:G$746,'Base bordo'!C$2:C$746,A331,'Base bordo'!B$2:B$746,B331),0)</f>
        <v>24</v>
      </c>
      <c r="Q331" s="10">
        <f>IFERROR(SUMIFS('Base bordo'!H$2:H$746,'Base bordo'!C$2:C$746,A331,'Base bordo'!B$2:B$746,B331,'Base bordo'!F$2:F$746,"DESLOCAMENTO VAZIO"),0)</f>
        <v>595925.09</v>
      </c>
      <c r="R331" s="10">
        <f>IFERROR(SUMIFS('Base bordo'!I$2:I$746,'Base bordo'!C$2:C$746,A331,'Base bordo'!B$2:B$746,B331,'Base bordo'!F$2:F$746,"DESLOCAMENTO VAZIO"),0)</f>
        <v>18745</v>
      </c>
      <c r="S331" s="30">
        <f t="shared" si="37"/>
        <v>31.791149106428378</v>
      </c>
      <c r="T331" s="10">
        <f>IFERROR(SUMIFS('Base bordo'!H$2:H$746,'Base bordo'!C$2:C$746,A331,'Base bordo'!B$2:B$746,B331,'Base bordo'!F$2:F$746,"DESLOCAMENTO CARREGADO"),0)</f>
        <v>52858.36</v>
      </c>
      <c r="U331" s="10">
        <f>IFERROR(SUMIFS('Base bordo'!I$2:I$746,'Base bordo'!C$2:C$746,A331,'Base bordo'!B$2:B$746,B331,'Base bordo'!F$2:F$746,"DESLOCAMENTO CARREGADO"),0)</f>
        <v>2014</v>
      </c>
      <c r="V331" s="30">
        <f t="shared" si="38"/>
        <v>26.245461767626615</v>
      </c>
      <c r="W331" s="9">
        <f t="shared" si="39"/>
        <v>0.21695601851851853</v>
      </c>
      <c r="X331" s="9">
        <f t="shared" si="40"/>
        <v>2.3310185185185184E-2</v>
      </c>
      <c r="Y331" s="9">
        <f t="shared" si="41"/>
        <v>0.75973379629629634</v>
      </c>
    </row>
    <row r="332" spans="1:25" ht="15" customHeight="1" x14ac:dyDescent="0.35">
      <c r="A332" s="52">
        <v>8013478</v>
      </c>
      <c r="B332" s="51">
        <v>46123</v>
      </c>
      <c r="C332" s="7" t="s">
        <v>124</v>
      </c>
      <c r="D332" s="10">
        <f>IFERROR(SUMIFS('Base bordo'!G$2:G$746,'Base bordo'!C$2:C$746,A332,'Base bordo'!B$2:B$746,B332,'Base bordo'!F$2:F$746,"DESLOCAMENTO VAZIO"),0)</f>
        <v>2.4488888888888889</v>
      </c>
      <c r="E332" s="10">
        <f>IFERROR(SUMIFS('Base bordo'!G$2:G$746,'Base bordo'!C$2:C$746,A332,'Base bordo'!B$2:B$746,B332,'Base bordo'!F$2:F$746,"DESLOCAMENTO CARREGADO"),0)</f>
        <v>2.4197222222222221</v>
      </c>
      <c r="F332" s="10">
        <f>IFERROR(SUMIFS('Base bordo'!G$2:G$746,'Base bordo'!C$2:C$746,A332,'Base bordo'!B$2:B$746,B332,'Base bordo'!F$2:F$746,"DESLOCAMENTO"),0)</f>
        <v>0</v>
      </c>
      <c r="G332" s="10">
        <f>IFERROR(SUMIFS('Base bordo'!G$2:G$746,'Base bordo'!C$2:C$746,A332,'Base bordo'!B$2:B$746,B332,'Base bordo'!F$2:F$746,"CARREGAMENTO"),0)</f>
        <v>0</v>
      </c>
      <c r="H332" s="10">
        <f>IFERROR(SUMIFS('Base bordo'!G$2:G$746,'Base bordo'!C$2:C$746,A332,'Base bordo'!B$2:B$746,B332,'Base bordo'!F$2:F$746,"AGUARDANDO TRANSBORDO"),0)</f>
        <v>0.2013888888888889</v>
      </c>
      <c r="I332" s="10">
        <f>IFERROR(SUMIFS('Base bordo'!G$2:G$746,'Base bordo'!C$2:C$746,A332,'Base bordo'!B$2:B$746,B332,'Base bordo'!F$2:F$746,"PÁTIO INTERNO"),0)+IFERROR(SUMIFS('Base bordo'!G$2:G$746,'Base bordo'!C$2:C$746,A332,'Base bordo'!B$2:B$746,B332,'Base bordo'!F$2:F$746,"PÁTIO EXTERNO"),0)+IFERROR(SUMIFS('Base bordo'!G$2:G$746,'Base bordo'!C$2:C$746,A332,'Base bordo'!B$2:B$746,B332,'Base bordo'!F$2:F$746,"PATIO - RESERVA"),0)+IFERROR(SUMIFS('Base bordo'!G$2:G$746,'Base bordo'!C$2:C$746,A332,'Base bordo'!B$2:B$746,B332,'Base bordo'!F$2:F$746,"MANOBRA CARRETAS-PATIO"),0)</f>
        <v>0.60305555555555557</v>
      </c>
      <c r="J332" s="10">
        <f>IFERROR(SUMIFS('Base bordo'!G$2:G$746,'Base bordo'!C$2:C$746,A332,'Base bordo'!B$2:B$746,B332,'Base bordo'!F$2:F$746,"BALANÇA - ENTRADA"),0)+IFERROR(SUMIFS('Base bordo'!G$2:G$746,'Base bordo'!C$2:C$746,A332,'Base bordo'!B$2:B$746,B332,'Base bordo'!F$2:F$746,"BALANÇA - SAÍDA"),0)</f>
        <v>0</v>
      </c>
      <c r="K332" s="10">
        <f>IFERROR(SUMIFS('Base bordo'!G$2:G$746,'Base bordo'!C$2:C$746,A332,'Base bordo'!B$2:B$746,B332,'Base bordo'!F$2:F$746,"MAN PREVENTIVA - MECANICA"),0)+IFERROR(SUMIFS('Base bordo'!G$2:G$746,'Base bordo'!C$2:C$746,A332,'Base bordo'!B$2:B$746,B332,'Base bordo'!F$2:F$746,"MAN CORRETIVA - MECANICA"),0)</f>
        <v>0</v>
      </c>
      <c r="L332" s="10">
        <f>IFERROR(SUMIFS('Base bordo'!G$2:G$746,'Base bordo'!C$2:C$746,A332,'Base bordo'!B$2:B$746,B332,'Base bordo'!F$2:F$746,"MANUTENCAO - T O"),0)+IFERROR(SUMIFS('Base bordo'!G$2:G$746,'Base bordo'!C$2:C$746,A332,'Base bordo'!B$2:B$746,B332,'Base bordo'!F$2:F$746,"MANUTENCAO BORRACHARIA"),0)+IFERROR(SUMIFS('Base bordo'!G$2:G$746,'Base bordo'!C$2:C$746,A332,'Base bordo'!B$2:B$746,B332,'Base bordo'!F$2:F$746,"MANUTENCAO EXTERNA  CONCESSIONARIA"),0)+IFERROR(SUMIFS('Base bordo'!G$2:G$746,'Base bordo'!C$2:C$746,A332,'Base bordo'!B$2:B$746,B332,'Base bordo'!F$2:F$746,"MANUTENCAO TELEMETRIA"),0)</f>
        <v>0</v>
      </c>
      <c r="M332" s="10">
        <f>IFERROR(SUMIFS('Base bordo'!G$2:G$746,'Base bordo'!C$2:C$746,A332,'Base bordo'!B$2:B$746,B332,'Base bordo'!F$2:F$746,"AGUARDANDO MANUTENCAO"),0)</f>
        <v>0</v>
      </c>
      <c r="N332" s="10">
        <f>IFERROR(SUMIFS('Base bordo'!G$2:G$746,'Base bordo'!C$2:C$746,A332,'Base bordo'!B$2:B$746,B332,'Base bordo'!F$2:F$746,"SEM APONTAMENTO"),0)</f>
        <v>0</v>
      </c>
      <c r="O332" s="10">
        <f t="shared" si="36"/>
        <v>0.14583333333333304</v>
      </c>
      <c r="P332" s="10">
        <f>IFERROR(SUMIFS('Base bordo'!G$2:G$746,'Base bordo'!C$2:C$746,A332,'Base bordo'!B$2:B$746,B332),0)</f>
        <v>5.818888888888889</v>
      </c>
      <c r="Q332" s="10">
        <f>IFERROR(SUMIFS('Base bordo'!H$2:H$746,'Base bordo'!C$2:C$746,A332,'Base bordo'!B$2:B$746,B332,'Base bordo'!F$2:F$746,"DESLOCAMENTO VAZIO"),0)</f>
        <v>265991.25</v>
      </c>
      <c r="R332" s="10">
        <f>IFERROR(SUMIFS('Base bordo'!I$2:I$746,'Base bordo'!C$2:C$746,A332,'Base bordo'!B$2:B$746,B332,'Base bordo'!F$2:F$746,"DESLOCAMENTO VAZIO"),0)</f>
        <v>8816</v>
      </c>
      <c r="S332" s="30">
        <f t="shared" si="37"/>
        <v>30.171421279491835</v>
      </c>
      <c r="T332" s="10">
        <f>IFERROR(SUMIFS('Base bordo'!H$2:H$746,'Base bordo'!C$2:C$746,A332,'Base bordo'!B$2:B$746,B332,'Base bordo'!F$2:F$746,"DESLOCAMENTO CARREGADO"),0)</f>
        <v>247310.05000000002</v>
      </c>
      <c r="U332" s="10">
        <f>IFERROR(SUMIFS('Base bordo'!I$2:I$746,'Base bordo'!C$2:C$746,A332,'Base bordo'!B$2:B$746,B332,'Base bordo'!F$2:F$746,"DESLOCAMENTO CARREGADO"),0)</f>
        <v>8705</v>
      </c>
      <c r="V332" s="30">
        <f t="shared" si="38"/>
        <v>28.410114876507755</v>
      </c>
      <c r="W332" s="9">
        <f t="shared" si="39"/>
        <v>0.42085163261409203</v>
      </c>
      <c r="X332" s="9">
        <f t="shared" si="40"/>
        <v>0.41583922092801218</v>
      </c>
      <c r="Y332" s="9">
        <f t="shared" si="41"/>
        <v>0.16330914645789574</v>
      </c>
    </row>
    <row r="333" spans="1:25" ht="15" customHeight="1" x14ac:dyDescent="0.35">
      <c r="A333" s="52">
        <v>8013486</v>
      </c>
      <c r="B333" s="51">
        <v>46116</v>
      </c>
      <c r="C333" s="7" t="s">
        <v>124</v>
      </c>
      <c r="D333" s="10">
        <f>IFERROR(SUMIFS('Base bordo'!G$2:G$746,'Base bordo'!C$2:C$746,A333,'Base bordo'!B$2:B$746,B333,'Base bordo'!F$2:F$746,"DESLOCAMENTO VAZIO"),0)</f>
        <v>0.19138888888888889</v>
      </c>
      <c r="E333" s="10">
        <f>IFERROR(SUMIFS('Base bordo'!G$2:G$746,'Base bordo'!C$2:C$746,A333,'Base bordo'!B$2:B$746,B333,'Base bordo'!F$2:F$746,"DESLOCAMENTO CARREGADO"),0)</f>
        <v>0</v>
      </c>
      <c r="F333" s="10">
        <f>IFERROR(SUMIFS('Base bordo'!G$2:G$746,'Base bordo'!C$2:C$746,A333,'Base bordo'!B$2:B$746,B333,'Base bordo'!F$2:F$746,"DESLOCAMENTO"),0)</f>
        <v>0</v>
      </c>
      <c r="G333" s="10">
        <f>IFERROR(SUMIFS('Base bordo'!G$2:G$746,'Base bordo'!C$2:C$746,A333,'Base bordo'!B$2:B$746,B333,'Base bordo'!F$2:F$746,"CARREGAMENTO"),0)</f>
        <v>0</v>
      </c>
      <c r="H333" s="10">
        <f>IFERROR(SUMIFS('Base bordo'!G$2:G$746,'Base bordo'!C$2:C$746,A333,'Base bordo'!B$2:B$746,B333,'Base bordo'!F$2:F$746,"AGUARDANDO TRANSBORDO"),0)</f>
        <v>0</v>
      </c>
      <c r="I333" s="10">
        <f>IFERROR(SUMIFS('Base bordo'!G$2:G$746,'Base bordo'!C$2:C$746,A333,'Base bordo'!B$2:B$746,B333,'Base bordo'!F$2:F$746,"PÁTIO INTERNO"),0)+IFERROR(SUMIFS('Base bordo'!G$2:G$746,'Base bordo'!C$2:C$746,A333,'Base bordo'!B$2:B$746,B333,'Base bordo'!F$2:F$746,"PÁTIO EXTERNO"),0)+IFERROR(SUMIFS('Base bordo'!G$2:G$746,'Base bordo'!C$2:C$746,A333,'Base bordo'!B$2:B$746,B333,'Base bordo'!F$2:F$746,"PATIO - RESERVA"),0)+IFERROR(SUMIFS('Base bordo'!G$2:G$746,'Base bordo'!C$2:C$746,A333,'Base bordo'!B$2:B$746,B333,'Base bordo'!F$2:F$746,"MANOBRA CARRETAS-PATIO"),0)</f>
        <v>0</v>
      </c>
      <c r="J333" s="10">
        <f>IFERROR(SUMIFS('Base bordo'!G$2:G$746,'Base bordo'!C$2:C$746,A333,'Base bordo'!B$2:B$746,B333,'Base bordo'!F$2:F$746,"BALANÇA - ENTRADA"),0)+IFERROR(SUMIFS('Base bordo'!G$2:G$746,'Base bordo'!C$2:C$746,A333,'Base bordo'!B$2:B$746,B333,'Base bordo'!F$2:F$746,"BALANÇA - SAÍDA"),0)</f>
        <v>0</v>
      </c>
      <c r="K333" s="10">
        <f>IFERROR(SUMIFS('Base bordo'!G$2:G$746,'Base bordo'!C$2:C$746,A333,'Base bordo'!B$2:B$746,B333,'Base bordo'!F$2:F$746,"MAN PREVENTIVA - MECANICA"),0)+IFERROR(SUMIFS('Base bordo'!G$2:G$746,'Base bordo'!C$2:C$746,A333,'Base bordo'!B$2:B$746,B333,'Base bordo'!F$2:F$746,"MAN CORRETIVA - MECANICA"),0)</f>
        <v>0</v>
      </c>
      <c r="L333" s="10">
        <f>IFERROR(SUMIFS('Base bordo'!G$2:G$746,'Base bordo'!C$2:C$746,A333,'Base bordo'!B$2:B$746,B333,'Base bordo'!F$2:F$746,"MANUTENCAO - T O"),0)+IFERROR(SUMIFS('Base bordo'!G$2:G$746,'Base bordo'!C$2:C$746,A333,'Base bordo'!B$2:B$746,B333,'Base bordo'!F$2:F$746,"MANUTENCAO BORRACHARIA"),0)+IFERROR(SUMIFS('Base bordo'!G$2:G$746,'Base bordo'!C$2:C$746,A333,'Base bordo'!B$2:B$746,B333,'Base bordo'!F$2:F$746,"MANUTENCAO EXTERNA  CONCESSIONARIA"),0)+IFERROR(SUMIFS('Base bordo'!G$2:G$746,'Base bordo'!C$2:C$746,A333,'Base bordo'!B$2:B$746,B333,'Base bordo'!F$2:F$746,"MANUTENCAO TELEMETRIA"),0)</f>
        <v>4.2016666666666671</v>
      </c>
      <c r="M333" s="10">
        <f>IFERROR(SUMIFS('Base bordo'!G$2:G$746,'Base bordo'!C$2:C$746,A333,'Base bordo'!B$2:B$746,B333,'Base bordo'!F$2:F$746,"AGUARDANDO MANUTENCAO"),0)</f>
        <v>0</v>
      </c>
      <c r="N333" s="10">
        <f>IFERROR(SUMIFS('Base bordo'!G$2:G$746,'Base bordo'!C$2:C$746,A333,'Base bordo'!B$2:B$746,B333,'Base bordo'!F$2:F$746,"SEM APONTAMENTO"),0)</f>
        <v>0</v>
      </c>
      <c r="O333" s="10">
        <f t="shared" si="36"/>
        <v>0</v>
      </c>
      <c r="P333" s="10">
        <f>IFERROR(SUMIFS('Base bordo'!G$2:G$746,'Base bordo'!C$2:C$746,A333,'Base bordo'!B$2:B$746,B333),0)</f>
        <v>4.3930555555555557</v>
      </c>
      <c r="Q333" s="10">
        <f>IFERROR(SUMIFS('Base bordo'!H$2:H$746,'Base bordo'!C$2:C$746,A333,'Base bordo'!B$2:B$746,B333,'Base bordo'!F$2:F$746,"DESLOCAMENTO VAZIO"),0)</f>
        <v>2742.22</v>
      </c>
      <c r="R333" s="10">
        <f>IFERROR(SUMIFS('Base bordo'!I$2:I$746,'Base bordo'!C$2:C$746,A333,'Base bordo'!B$2:B$746,B333,'Base bordo'!F$2:F$746,"DESLOCAMENTO VAZIO"),0)</f>
        <v>689</v>
      </c>
      <c r="S333" s="30">
        <f t="shared" si="37"/>
        <v>3.9799999999999995</v>
      </c>
      <c r="T333" s="10">
        <f>IFERROR(SUMIFS('Base bordo'!H$2:H$746,'Base bordo'!C$2:C$746,A333,'Base bordo'!B$2:B$746,B333,'Base bordo'!F$2:F$746,"DESLOCAMENTO CARREGADO"),0)</f>
        <v>0</v>
      </c>
      <c r="U333" s="10">
        <f>IFERROR(SUMIFS('Base bordo'!I$2:I$746,'Base bordo'!C$2:C$746,A333,'Base bordo'!B$2:B$746,B333,'Base bordo'!F$2:F$746,"DESLOCAMENTO CARREGADO"),0)</f>
        <v>0</v>
      </c>
      <c r="V333" s="30" t="str">
        <f t="shared" si="38"/>
        <v/>
      </c>
      <c r="W333" s="9">
        <f t="shared" si="39"/>
        <v>4.3566234587417006E-2</v>
      </c>
      <c r="X333" s="9">
        <f t="shared" si="40"/>
        <v>0</v>
      </c>
      <c r="Y333" s="9">
        <f t="shared" si="41"/>
        <v>0.95643376541258296</v>
      </c>
    </row>
    <row r="334" spans="1:25" ht="15" customHeight="1" x14ac:dyDescent="0.35">
      <c r="A334" s="52">
        <v>8013462</v>
      </c>
      <c r="B334" s="51">
        <v>46119</v>
      </c>
      <c r="C334" s="7" t="s">
        <v>124</v>
      </c>
      <c r="D334" s="10">
        <f>IFERROR(SUMIFS('Base bordo'!G$2:G$746,'Base bordo'!C$2:C$746,A334,'Base bordo'!B$2:B$746,B334,'Base bordo'!F$2:F$746,"DESLOCAMENTO VAZIO"),0)</f>
        <v>0.22444444444444445</v>
      </c>
      <c r="E334" s="10">
        <f>IFERROR(SUMIFS('Base bordo'!G$2:G$746,'Base bordo'!C$2:C$746,A334,'Base bordo'!B$2:B$746,B334,'Base bordo'!F$2:F$746,"DESLOCAMENTO CARREGADO"),0)</f>
        <v>1.1399999999999999</v>
      </c>
      <c r="F334" s="10">
        <f>IFERROR(SUMIFS('Base bordo'!G$2:G$746,'Base bordo'!C$2:C$746,A334,'Base bordo'!B$2:B$746,B334,'Base bordo'!F$2:F$746,"DESLOCAMENTO"),0)</f>
        <v>0</v>
      </c>
      <c r="G334" s="10">
        <f>IFERROR(SUMIFS('Base bordo'!G$2:G$746,'Base bordo'!C$2:C$746,A334,'Base bordo'!B$2:B$746,B334,'Base bordo'!F$2:F$746,"CARREGAMENTO"),0)</f>
        <v>0</v>
      </c>
      <c r="H334" s="10">
        <f>IFERROR(SUMIFS('Base bordo'!G$2:G$746,'Base bordo'!C$2:C$746,A334,'Base bordo'!B$2:B$746,B334,'Base bordo'!F$2:F$746,"AGUARDANDO TRANSBORDO"),0)</f>
        <v>0</v>
      </c>
      <c r="I334" s="10">
        <f>IFERROR(SUMIFS('Base bordo'!G$2:G$746,'Base bordo'!C$2:C$746,A334,'Base bordo'!B$2:B$746,B334,'Base bordo'!F$2:F$746,"PÁTIO INTERNO"),0)+IFERROR(SUMIFS('Base bordo'!G$2:G$746,'Base bordo'!C$2:C$746,A334,'Base bordo'!B$2:B$746,B334,'Base bordo'!F$2:F$746,"PÁTIO EXTERNO"),0)+IFERROR(SUMIFS('Base bordo'!G$2:G$746,'Base bordo'!C$2:C$746,A334,'Base bordo'!B$2:B$746,B334,'Base bordo'!F$2:F$746,"PATIO - RESERVA"),0)+IFERROR(SUMIFS('Base bordo'!G$2:G$746,'Base bordo'!C$2:C$746,A334,'Base bordo'!B$2:B$746,B334,'Base bordo'!F$2:F$746,"MANOBRA CARRETAS-PATIO"),0)</f>
        <v>19.001944444444444</v>
      </c>
      <c r="J334" s="10">
        <f>IFERROR(SUMIFS('Base bordo'!G$2:G$746,'Base bordo'!C$2:C$746,A334,'Base bordo'!B$2:B$746,B334,'Base bordo'!F$2:F$746,"BALANÇA - ENTRADA"),0)+IFERROR(SUMIFS('Base bordo'!G$2:G$746,'Base bordo'!C$2:C$746,A334,'Base bordo'!B$2:B$746,B334,'Base bordo'!F$2:F$746,"BALANÇA - SAÍDA"),0)</f>
        <v>4.9444444444444444E-2</v>
      </c>
      <c r="K334" s="10">
        <f>IFERROR(SUMIFS('Base bordo'!G$2:G$746,'Base bordo'!C$2:C$746,A334,'Base bordo'!B$2:B$746,B334,'Base bordo'!F$2:F$746,"MAN PREVENTIVA - MECANICA"),0)+IFERROR(SUMIFS('Base bordo'!G$2:G$746,'Base bordo'!C$2:C$746,A334,'Base bordo'!B$2:B$746,B334,'Base bordo'!F$2:F$746,"MAN CORRETIVA - MECANICA"),0)</f>
        <v>0</v>
      </c>
      <c r="L334" s="10">
        <f>IFERROR(SUMIFS('Base bordo'!G$2:G$746,'Base bordo'!C$2:C$746,A334,'Base bordo'!B$2:B$746,B334,'Base bordo'!F$2:F$746,"MANUTENCAO - T O"),0)+IFERROR(SUMIFS('Base bordo'!G$2:G$746,'Base bordo'!C$2:C$746,A334,'Base bordo'!B$2:B$746,B334,'Base bordo'!F$2:F$746,"MANUTENCAO BORRACHARIA"),0)+IFERROR(SUMIFS('Base bordo'!G$2:G$746,'Base bordo'!C$2:C$746,A334,'Base bordo'!B$2:B$746,B334,'Base bordo'!F$2:F$746,"MANUTENCAO EXTERNA  CONCESSIONARIA"),0)+IFERROR(SUMIFS('Base bordo'!G$2:G$746,'Base bordo'!C$2:C$746,A334,'Base bordo'!B$2:B$746,B334,'Base bordo'!F$2:F$746,"MANUTENCAO TELEMETRIA"),0)</f>
        <v>0</v>
      </c>
      <c r="M334" s="10">
        <f>IFERROR(SUMIFS('Base bordo'!G$2:G$746,'Base bordo'!C$2:C$746,A334,'Base bordo'!B$2:B$746,B334,'Base bordo'!F$2:F$746,"AGUARDANDO MANUTENCAO"),0)</f>
        <v>0</v>
      </c>
      <c r="N334" s="10">
        <f>IFERROR(SUMIFS('Base bordo'!G$2:G$746,'Base bordo'!C$2:C$746,A334,'Base bordo'!B$2:B$746,B334,'Base bordo'!F$2:F$746,"SEM APONTAMENTO"),0)</f>
        <v>0</v>
      </c>
      <c r="O334" s="10">
        <f t="shared" si="36"/>
        <v>0</v>
      </c>
      <c r="P334" s="10">
        <f>IFERROR(SUMIFS('Base bordo'!G$2:G$746,'Base bordo'!C$2:C$746,A334,'Base bordo'!B$2:B$746,B334),0)</f>
        <v>20.415833333333332</v>
      </c>
      <c r="Q334" s="10">
        <f>IFERROR(SUMIFS('Base bordo'!H$2:H$746,'Base bordo'!C$2:C$746,A334,'Base bordo'!B$2:B$746,B334,'Base bordo'!F$2:F$746,"DESLOCAMENTO VAZIO"),0)</f>
        <v>12426.57</v>
      </c>
      <c r="R334" s="10">
        <f>IFERROR(SUMIFS('Base bordo'!I$2:I$746,'Base bordo'!C$2:C$746,A334,'Base bordo'!B$2:B$746,B334,'Base bordo'!F$2:F$746,"DESLOCAMENTO VAZIO"),0)</f>
        <v>808</v>
      </c>
      <c r="S334" s="30">
        <f t="shared" si="37"/>
        <v>15.379418316831682</v>
      </c>
      <c r="T334" s="10">
        <f>IFERROR(SUMIFS('Base bordo'!H$2:H$746,'Base bordo'!C$2:C$746,A334,'Base bordo'!B$2:B$746,B334,'Base bordo'!F$2:F$746,"DESLOCAMENTO CARREGADO"),0)</f>
        <v>100320.48</v>
      </c>
      <c r="U334" s="10">
        <f>IFERROR(SUMIFS('Base bordo'!I$2:I$746,'Base bordo'!C$2:C$746,A334,'Base bordo'!B$2:B$746,B334,'Base bordo'!F$2:F$746,"DESLOCAMENTO CARREGADO"),0)</f>
        <v>4104</v>
      </c>
      <c r="V334" s="30">
        <f t="shared" si="38"/>
        <v>24.444561403508771</v>
      </c>
      <c r="W334" s="9">
        <f t="shared" si="39"/>
        <v>1.0993645999156429E-2</v>
      </c>
      <c r="X334" s="9">
        <f t="shared" si="40"/>
        <v>5.583901383729948E-2</v>
      </c>
      <c r="Y334" s="9">
        <f t="shared" si="41"/>
        <v>0.93316734016354408</v>
      </c>
    </row>
    <row r="335" spans="1:25" ht="15" customHeight="1" x14ac:dyDescent="0.35">
      <c r="A335" s="52">
        <v>8013485</v>
      </c>
      <c r="B335" s="51">
        <v>46124</v>
      </c>
      <c r="C335" s="7" t="s">
        <v>124</v>
      </c>
      <c r="D335" s="10">
        <f>IFERROR(SUMIFS('Base bordo'!G$2:G$746,'Base bordo'!C$2:C$746,A335,'Base bordo'!B$2:B$746,B335,'Base bordo'!F$2:F$746,"DESLOCAMENTO VAZIO"),0)</f>
        <v>1.7575000000000001</v>
      </c>
      <c r="E335" s="10">
        <f>IFERROR(SUMIFS('Base bordo'!G$2:G$746,'Base bordo'!C$2:C$746,A335,'Base bordo'!B$2:B$746,B335,'Base bordo'!F$2:F$746,"DESLOCAMENTO CARREGADO"),0)</f>
        <v>0.59722222222222221</v>
      </c>
      <c r="F335" s="10">
        <f>IFERROR(SUMIFS('Base bordo'!G$2:G$746,'Base bordo'!C$2:C$746,A335,'Base bordo'!B$2:B$746,B335,'Base bordo'!F$2:F$746,"DESLOCAMENTO"),0)</f>
        <v>0</v>
      </c>
      <c r="G335" s="10">
        <f>IFERROR(SUMIFS('Base bordo'!G$2:G$746,'Base bordo'!C$2:C$746,A335,'Base bordo'!B$2:B$746,B335,'Base bordo'!F$2:F$746,"CARREGAMENTO"),0)</f>
        <v>0</v>
      </c>
      <c r="H335" s="10">
        <f>IFERROR(SUMIFS('Base bordo'!G$2:G$746,'Base bordo'!C$2:C$746,A335,'Base bordo'!B$2:B$746,B335,'Base bordo'!F$2:F$746,"AGUARDANDO TRANSBORDO"),0)</f>
        <v>0.35833333333333334</v>
      </c>
      <c r="I335" s="10">
        <f>IFERROR(SUMIFS('Base bordo'!G$2:G$746,'Base bordo'!C$2:C$746,A335,'Base bordo'!B$2:B$746,B335,'Base bordo'!F$2:F$746,"PÁTIO INTERNO"),0)+IFERROR(SUMIFS('Base bordo'!G$2:G$746,'Base bordo'!C$2:C$746,A335,'Base bordo'!B$2:B$746,B335,'Base bordo'!F$2:F$746,"PÁTIO EXTERNO"),0)+IFERROR(SUMIFS('Base bordo'!G$2:G$746,'Base bordo'!C$2:C$746,A335,'Base bordo'!B$2:B$746,B335,'Base bordo'!F$2:F$746,"PATIO - RESERVA"),0)+IFERROR(SUMIFS('Base bordo'!G$2:G$746,'Base bordo'!C$2:C$746,A335,'Base bordo'!B$2:B$746,B335,'Base bordo'!F$2:F$746,"MANOBRA CARRETAS-PATIO"),0)</f>
        <v>4.17</v>
      </c>
      <c r="J335" s="10">
        <f>IFERROR(SUMIFS('Base bordo'!G$2:G$746,'Base bordo'!C$2:C$746,A335,'Base bordo'!B$2:B$746,B335,'Base bordo'!F$2:F$746,"BALANÇA - ENTRADA"),0)+IFERROR(SUMIFS('Base bordo'!G$2:G$746,'Base bordo'!C$2:C$746,A335,'Base bordo'!B$2:B$746,B335,'Base bordo'!F$2:F$746,"BALANÇA - SAÍDA"),0)</f>
        <v>0.19083333333333333</v>
      </c>
      <c r="K335" s="10">
        <f>IFERROR(SUMIFS('Base bordo'!G$2:G$746,'Base bordo'!C$2:C$746,A335,'Base bordo'!B$2:B$746,B335,'Base bordo'!F$2:F$746,"MAN PREVENTIVA - MECANICA"),0)+IFERROR(SUMIFS('Base bordo'!G$2:G$746,'Base bordo'!C$2:C$746,A335,'Base bordo'!B$2:B$746,B335,'Base bordo'!F$2:F$746,"MAN CORRETIVA - MECANICA"),0)</f>
        <v>0</v>
      </c>
      <c r="L335" s="10">
        <f>IFERROR(SUMIFS('Base bordo'!G$2:G$746,'Base bordo'!C$2:C$746,A335,'Base bordo'!B$2:B$746,B335,'Base bordo'!F$2:F$746,"MANUTENCAO - T O"),0)+IFERROR(SUMIFS('Base bordo'!G$2:G$746,'Base bordo'!C$2:C$746,A335,'Base bordo'!B$2:B$746,B335,'Base bordo'!F$2:F$746,"MANUTENCAO BORRACHARIA"),0)+IFERROR(SUMIFS('Base bordo'!G$2:G$746,'Base bordo'!C$2:C$746,A335,'Base bordo'!B$2:B$746,B335,'Base bordo'!F$2:F$746,"MANUTENCAO EXTERNA  CONCESSIONARIA"),0)+IFERROR(SUMIFS('Base bordo'!G$2:G$746,'Base bordo'!C$2:C$746,A335,'Base bordo'!B$2:B$746,B335,'Base bordo'!F$2:F$746,"MANUTENCAO TELEMETRIA"),0)</f>
        <v>0</v>
      </c>
      <c r="M335" s="10">
        <f>IFERROR(SUMIFS('Base bordo'!G$2:G$746,'Base bordo'!C$2:C$746,A335,'Base bordo'!B$2:B$746,B335,'Base bordo'!F$2:F$746,"AGUARDANDO MANUTENCAO"),0)</f>
        <v>0</v>
      </c>
      <c r="N335" s="10">
        <f>IFERROR(SUMIFS('Base bordo'!G$2:G$746,'Base bordo'!C$2:C$746,A335,'Base bordo'!B$2:B$746,B335,'Base bordo'!F$2:F$746,"SEM APONTAMENTO"),0)</f>
        <v>0</v>
      </c>
      <c r="O335" s="10">
        <f t="shared" ref="O335:O398" si="42">IFERROR(P335-SUM(D335:N335),0)</f>
        <v>8.8817841970012523E-16</v>
      </c>
      <c r="P335" s="10">
        <f>IFERROR(SUMIFS('Base bordo'!G$2:G$746,'Base bordo'!C$2:C$746,A335,'Base bordo'!B$2:B$746,B335),0)</f>
        <v>7.0738888888888898</v>
      </c>
      <c r="Q335" s="10">
        <f>IFERROR(SUMIFS('Base bordo'!H$2:H$746,'Base bordo'!C$2:C$746,A335,'Base bordo'!B$2:B$746,B335,'Base bordo'!F$2:F$746,"DESLOCAMENTO VAZIO"),0)</f>
        <v>57117.96</v>
      </c>
      <c r="R335" s="10">
        <f>IFERROR(SUMIFS('Base bordo'!I$2:I$746,'Base bordo'!C$2:C$746,A335,'Base bordo'!B$2:B$746,B335,'Base bordo'!F$2:F$746,"DESLOCAMENTO VAZIO"),0)</f>
        <v>2727</v>
      </c>
      <c r="S335" s="30">
        <f t="shared" ref="S335:S398" si="43">IFERROR(Q335/R335,"")</f>
        <v>20.945346534653464</v>
      </c>
      <c r="T335" s="10">
        <f>IFERROR(SUMIFS('Base bordo'!H$2:H$746,'Base bordo'!C$2:C$746,A335,'Base bordo'!B$2:B$746,B335,'Base bordo'!F$2:F$746,"DESLOCAMENTO CARREGADO"),0)</f>
        <v>40859.899999999994</v>
      </c>
      <c r="U335" s="10">
        <f>IFERROR(SUMIFS('Base bordo'!I$2:I$746,'Base bordo'!C$2:C$746,A335,'Base bordo'!B$2:B$746,B335,'Base bordo'!F$2:F$746,"DESLOCAMENTO CARREGADO"),0)</f>
        <v>2150</v>
      </c>
      <c r="V335" s="30">
        <f t="shared" ref="V335:V398" si="44">IFERROR(T335/U335,"")</f>
        <v>19.004604651162786</v>
      </c>
      <c r="W335" s="9">
        <f t="shared" ref="W335:W398" si="45">IFERROR(D335/P335,0)</f>
        <v>0.24844891227519042</v>
      </c>
      <c r="X335" s="9">
        <f t="shared" ref="X335:X398" si="46">IFERROR(E335/P335,0)</f>
        <v>8.4426293882038789E-2</v>
      </c>
      <c r="Y335" s="9">
        <f t="shared" ref="Y335:Y398" si="47">IFERROR(1-((D335+E335)/P335),0)</f>
        <v>0.66712479384277079</v>
      </c>
    </row>
    <row r="336" spans="1:25" ht="15" customHeight="1" x14ac:dyDescent="0.35">
      <c r="A336" s="52">
        <v>8013469</v>
      </c>
      <c r="B336" s="51">
        <v>46117</v>
      </c>
      <c r="C336" s="7" t="s">
        <v>124</v>
      </c>
      <c r="D336" s="10">
        <f>IFERROR(SUMIFS('Base bordo'!G$2:G$746,'Base bordo'!C$2:C$746,A336,'Base bordo'!B$2:B$746,B336,'Base bordo'!F$2:F$746,"DESLOCAMENTO VAZIO"),0)</f>
        <v>0.81472222222222224</v>
      </c>
      <c r="E336" s="10">
        <f>IFERROR(SUMIFS('Base bordo'!G$2:G$746,'Base bordo'!C$2:C$746,A336,'Base bordo'!B$2:B$746,B336,'Base bordo'!F$2:F$746,"DESLOCAMENTO CARREGADO"),0)</f>
        <v>0.8913888888888889</v>
      </c>
      <c r="F336" s="10">
        <f>IFERROR(SUMIFS('Base bordo'!G$2:G$746,'Base bordo'!C$2:C$746,A336,'Base bordo'!B$2:B$746,B336,'Base bordo'!F$2:F$746,"DESLOCAMENTO"),0)</f>
        <v>0.54305555555555551</v>
      </c>
      <c r="G336" s="10">
        <f>IFERROR(SUMIFS('Base bordo'!G$2:G$746,'Base bordo'!C$2:C$746,A336,'Base bordo'!B$2:B$746,B336,'Base bordo'!F$2:F$746,"CARREGAMENTO"),0)</f>
        <v>4.5863888888888891</v>
      </c>
      <c r="H336" s="10">
        <f>IFERROR(SUMIFS('Base bordo'!G$2:G$746,'Base bordo'!C$2:C$746,A336,'Base bordo'!B$2:B$746,B336,'Base bordo'!F$2:F$746,"AGUARDANDO TRANSBORDO"),0)</f>
        <v>0.11166666666666666</v>
      </c>
      <c r="I336" s="10">
        <f>IFERROR(SUMIFS('Base bordo'!G$2:G$746,'Base bordo'!C$2:C$746,A336,'Base bordo'!B$2:B$746,B336,'Base bordo'!F$2:F$746,"PÁTIO INTERNO"),0)+IFERROR(SUMIFS('Base bordo'!G$2:G$746,'Base bordo'!C$2:C$746,A336,'Base bordo'!B$2:B$746,B336,'Base bordo'!F$2:F$746,"PÁTIO EXTERNO"),0)+IFERROR(SUMIFS('Base bordo'!G$2:G$746,'Base bordo'!C$2:C$746,A336,'Base bordo'!B$2:B$746,B336,'Base bordo'!F$2:F$746,"PATIO - RESERVA"),0)+IFERROR(SUMIFS('Base bordo'!G$2:G$746,'Base bordo'!C$2:C$746,A336,'Base bordo'!B$2:B$746,B336,'Base bordo'!F$2:F$746,"MANOBRA CARRETAS-PATIO"),0)</f>
        <v>2.3947222222222222</v>
      </c>
      <c r="J336" s="10">
        <f>IFERROR(SUMIFS('Base bordo'!G$2:G$746,'Base bordo'!C$2:C$746,A336,'Base bordo'!B$2:B$746,B336,'Base bordo'!F$2:F$746,"BALANÇA - ENTRADA"),0)+IFERROR(SUMIFS('Base bordo'!G$2:G$746,'Base bordo'!C$2:C$746,A336,'Base bordo'!B$2:B$746,B336,'Base bordo'!F$2:F$746,"BALANÇA - SAÍDA"),0)</f>
        <v>0</v>
      </c>
      <c r="K336" s="10">
        <f>IFERROR(SUMIFS('Base bordo'!G$2:G$746,'Base bordo'!C$2:C$746,A336,'Base bordo'!B$2:B$746,B336,'Base bordo'!F$2:F$746,"MAN PREVENTIVA - MECANICA"),0)+IFERROR(SUMIFS('Base bordo'!G$2:G$746,'Base bordo'!C$2:C$746,A336,'Base bordo'!B$2:B$746,B336,'Base bordo'!F$2:F$746,"MAN CORRETIVA - MECANICA"),0)</f>
        <v>0</v>
      </c>
      <c r="L336" s="10">
        <f>IFERROR(SUMIFS('Base bordo'!G$2:G$746,'Base bordo'!C$2:C$746,A336,'Base bordo'!B$2:B$746,B336,'Base bordo'!F$2:F$746,"MANUTENCAO - T O"),0)+IFERROR(SUMIFS('Base bordo'!G$2:G$746,'Base bordo'!C$2:C$746,A336,'Base bordo'!B$2:B$746,B336,'Base bordo'!F$2:F$746,"MANUTENCAO BORRACHARIA"),0)+IFERROR(SUMIFS('Base bordo'!G$2:G$746,'Base bordo'!C$2:C$746,A336,'Base bordo'!B$2:B$746,B336,'Base bordo'!F$2:F$746,"MANUTENCAO EXTERNA  CONCESSIONARIA"),0)+IFERROR(SUMIFS('Base bordo'!G$2:G$746,'Base bordo'!C$2:C$746,A336,'Base bordo'!B$2:B$746,B336,'Base bordo'!F$2:F$746,"MANUTENCAO TELEMETRIA"),0)</f>
        <v>3.4688888888888889</v>
      </c>
      <c r="M336" s="10">
        <f>IFERROR(SUMIFS('Base bordo'!G$2:G$746,'Base bordo'!C$2:C$746,A336,'Base bordo'!B$2:B$746,B336,'Base bordo'!F$2:F$746,"AGUARDANDO MANUTENCAO"),0)</f>
        <v>0</v>
      </c>
      <c r="N336" s="10">
        <f>IFERROR(SUMIFS('Base bordo'!G$2:G$746,'Base bordo'!C$2:C$746,A336,'Base bordo'!B$2:B$746,B336,'Base bordo'!F$2:F$746,"SEM APONTAMENTO"),0)</f>
        <v>0</v>
      </c>
      <c r="O336" s="10">
        <f t="shared" si="42"/>
        <v>0.61500000000000021</v>
      </c>
      <c r="P336" s="10">
        <f>IFERROR(SUMIFS('Base bordo'!G$2:G$746,'Base bordo'!C$2:C$746,A336,'Base bordo'!B$2:B$746,B336),0)</f>
        <v>13.425833333333333</v>
      </c>
      <c r="Q336" s="10">
        <f>IFERROR(SUMIFS('Base bordo'!H$2:H$746,'Base bordo'!C$2:C$746,A336,'Base bordo'!B$2:B$746,B336,'Base bordo'!F$2:F$746,"DESLOCAMENTO VAZIO"),0)</f>
        <v>93170.91</v>
      </c>
      <c r="R336" s="10">
        <f>IFERROR(SUMIFS('Base bordo'!I$2:I$746,'Base bordo'!C$2:C$746,A336,'Base bordo'!B$2:B$746,B336,'Base bordo'!F$2:F$746,"DESLOCAMENTO VAZIO"),0)</f>
        <v>2933</v>
      </c>
      <c r="S336" s="30">
        <f t="shared" si="43"/>
        <v>31.766420047732698</v>
      </c>
      <c r="T336" s="10">
        <f>IFERROR(SUMIFS('Base bordo'!H$2:H$746,'Base bordo'!C$2:C$746,A336,'Base bordo'!B$2:B$746,B336,'Base bordo'!F$2:F$746,"DESLOCAMENTO CARREGADO"),0)</f>
        <v>68258.340000000011</v>
      </c>
      <c r="U336" s="10">
        <f>IFERROR(SUMIFS('Base bordo'!I$2:I$746,'Base bordo'!C$2:C$746,A336,'Base bordo'!B$2:B$746,B336,'Base bordo'!F$2:F$746,"DESLOCAMENTO CARREGADO"),0)</f>
        <v>3204</v>
      </c>
      <c r="V336" s="30">
        <f t="shared" si="44"/>
        <v>21.304101123595508</v>
      </c>
      <c r="W336" s="9">
        <f t="shared" si="45"/>
        <v>6.0683177125359485E-2</v>
      </c>
      <c r="X336" s="9">
        <f t="shared" si="46"/>
        <v>6.639356133490576E-2</v>
      </c>
      <c r="Y336" s="9">
        <f t="shared" si="47"/>
        <v>0.87292326153973476</v>
      </c>
    </row>
    <row r="337" spans="1:25" ht="15" customHeight="1" x14ac:dyDescent="0.35">
      <c r="A337" s="52">
        <v>8013468</v>
      </c>
      <c r="B337" s="51">
        <v>46118</v>
      </c>
      <c r="C337" s="7" t="s">
        <v>124</v>
      </c>
      <c r="D337" s="10">
        <f>IFERROR(SUMIFS('Base bordo'!G$2:G$746,'Base bordo'!C$2:C$746,A337,'Base bordo'!B$2:B$746,B337,'Base bordo'!F$2:F$746,"DESLOCAMENTO VAZIO"),0)</f>
        <v>0.6841666666666667</v>
      </c>
      <c r="E337" s="10">
        <f>IFERROR(SUMIFS('Base bordo'!G$2:G$746,'Base bordo'!C$2:C$746,A337,'Base bordo'!B$2:B$746,B337,'Base bordo'!F$2:F$746,"DESLOCAMENTO CARREGADO"),0)</f>
        <v>1.9422222222222223</v>
      </c>
      <c r="F337" s="10">
        <f>IFERROR(SUMIFS('Base bordo'!G$2:G$746,'Base bordo'!C$2:C$746,A337,'Base bordo'!B$2:B$746,B337,'Base bordo'!F$2:F$746,"DESLOCAMENTO"),0)</f>
        <v>0</v>
      </c>
      <c r="G337" s="10">
        <f>IFERROR(SUMIFS('Base bordo'!G$2:G$746,'Base bordo'!C$2:C$746,A337,'Base bordo'!B$2:B$746,B337,'Base bordo'!F$2:F$746,"CARREGAMENTO"),0)</f>
        <v>1.653888888888889</v>
      </c>
      <c r="H337" s="10">
        <f>IFERROR(SUMIFS('Base bordo'!G$2:G$746,'Base bordo'!C$2:C$746,A337,'Base bordo'!B$2:B$746,B337,'Base bordo'!F$2:F$746,"AGUARDANDO TRANSBORDO"),0)</f>
        <v>7.9522222222222219</v>
      </c>
      <c r="I337" s="10">
        <f>IFERROR(SUMIFS('Base bordo'!G$2:G$746,'Base bordo'!C$2:C$746,A337,'Base bordo'!B$2:B$746,B337,'Base bordo'!F$2:F$746,"PÁTIO INTERNO"),0)+IFERROR(SUMIFS('Base bordo'!G$2:G$746,'Base bordo'!C$2:C$746,A337,'Base bordo'!B$2:B$746,B337,'Base bordo'!F$2:F$746,"PÁTIO EXTERNO"),0)+IFERROR(SUMIFS('Base bordo'!G$2:G$746,'Base bordo'!C$2:C$746,A337,'Base bordo'!B$2:B$746,B337,'Base bordo'!F$2:F$746,"PATIO - RESERVA"),0)+IFERROR(SUMIFS('Base bordo'!G$2:G$746,'Base bordo'!C$2:C$746,A337,'Base bordo'!B$2:B$746,B337,'Base bordo'!F$2:F$746,"MANOBRA CARRETAS-PATIO"),0)</f>
        <v>3.6688888888888886</v>
      </c>
      <c r="J337" s="10">
        <f>IFERROR(SUMIFS('Base bordo'!G$2:G$746,'Base bordo'!C$2:C$746,A337,'Base bordo'!B$2:B$746,B337,'Base bordo'!F$2:F$746,"BALANÇA - ENTRADA"),0)+IFERROR(SUMIFS('Base bordo'!G$2:G$746,'Base bordo'!C$2:C$746,A337,'Base bordo'!B$2:B$746,B337,'Base bordo'!F$2:F$746,"BALANÇA - SAÍDA"),0)</f>
        <v>0.11305555555555556</v>
      </c>
      <c r="K337" s="10">
        <f>IFERROR(SUMIFS('Base bordo'!G$2:G$746,'Base bordo'!C$2:C$746,A337,'Base bordo'!B$2:B$746,B337,'Base bordo'!F$2:F$746,"MAN PREVENTIVA - MECANICA"),0)+IFERROR(SUMIFS('Base bordo'!G$2:G$746,'Base bordo'!C$2:C$746,A337,'Base bordo'!B$2:B$746,B337,'Base bordo'!F$2:F$746,"MAN CORRETIVA - MECANICA"),0)</f>
        <v>0</v>
      </c>
      <c r="L337" s="10">
        <f>IFERROR(SUMIFS('Base bordo'!G$2:G$746,'Base bordo'!C$2:C$746,A337,'Base bordo'!B$2:B$746,B337,'Base bordo'!F$2:F$746,"MANUTENCAO - T O"),0)+IFERROR(SUMIFS('Base bordo'!G$2:G$746,'Base bordo'!C$2:C$746,A337,'Base bordo'!B$2:B$746,B337,'Base bordo'!F$2:F$746,"MANUTENCAO BORRACHARIA"),0)+IFERROR(SUMIFS('Base bordo'!G$2:G$746,'Base bordo'!C$2:C$746,A337,'Base bordo'!B$2:B$746,B337,'Base bordo'!F$2:F$746,"MANUTENCAO EXTERNA  CONCESSIONARIA"),0)+IFERROR(SUMIFS('Base bordo'!G$2:G$746,'Base bordo'!C$2:C$746,A337,'Base bordo'!B$2:B$746,B337,'Base bordo'!F$2:F$746,"MANUTENCAO TELEMETRIA"),0)</f>
        <v>0</v>
      </c>
      <c r="M337" s="10">
        <f>IFERROR(SUMIFS('Base bordo'!G$2:G$746,'Base bordo'!C$2:C$746,A337,'Base bordo'!B$2:B$746,B337,'Base bordo'!F$2:F$746,"AGUARDANDO MANUTENCAO"),0)</f>
        <v>2.0486111111111112</v>
      </c>
      <c r="N337" s="10">
        <f>IFERROR(SUMIFS('Base bordo'!G$2:G$746,'Base bordo'!C$2:C$746,A337,'Base bordo'!B$2:B$746,B337,'Base bordo'!F$2:F$746,"SEM APONTAMENTO"),0)</f>
        <v>0</v>
      </c>
      <c r="O337" s="10">
        <f t="shared" si="42"/>
        <v>5.9369444444444461</v>
      </c>
      <c r="P337" s="10">
        <f>IFERROR(SUMIFS('Base bordo'!G$2:G$746,'Base bordo'!C$2:C$746,A337,'Base bordo'!B$2:B$746,B337),0)</f>
        <v>24</v>
      </c>
      <c r="Q337" s="10">
        <f>IFERROR(SUMIFS('Base bordo'!H$2:H$746,'Base bordo'!C$2:C$746,A337,'Base bordo'!B$2:B$746,B337,'Base bordo'!F$2:F$746,"DESLOCAMENTO VAZIO"),0)</f>
        <v>33045.270000000004</v>
      </c>
      <c r="R337" s="10">
        <f>IFERROR(SUMIFS('Base bordo'!I$2:I$746,'Base bordo'!C$2:C$746,A337,'Base bordo'!B$2:B$746,B337,'Base bordo'!F$2:F$746,"DESLOCAMENTO VAZIO"),0)</f>
        <v>2463</v>
      </c>
      <c r="S337" s="30">
        <f t="shared" si="43"/>
        <v>13.416674786845313</v>
      </c>
      <c r="T337" s="10">
        <f>IFERROR(SUMIFS('Base bordo'!H$2:H$746,'Base bordo'!C$2:C$746,A337,'Base bordo'!B$2:B$746,B337,'Base bordo'!F$2:F$746,"DESLOCAMENTO CARREGADO"),0)</f>
        <v>213859.12</v>
      </c>
      <c r="U337" s="10">
        <f>IFERROR(SUMIFS('Base bordo'!I$2:I$746,'Base bordo'!C$2:C$746,A337,'Base bordo'!B$2:B$746,B337,'Base bordo'!F$2:F$746,"DESLOCAMENTO CARREGADO"),0)</f>
        <v>6992</v>
      </c>
      <c r="V337" s="30">
        <f t="shared" si="44"/>
        <v>30.586258581235697</v>
      </c>
      <c r="W337" s="9">
        <f t="shared" si="45"/>
        <v>2.8506944444444446E-2</v>
      </c>
      <c r="X337" s="9">
        <f t="shared" si="46"/>
        <v>8.0925925925925929E-2</v>
      </c>
      <c r="Y337" s="9">
        <f t="shared" si="47"/>
        <v>0.89056712962962958</v>
      </c>
    </row>
    <row r="338" spans="1:25" ht="15" customHeight="1" x14ac:dyDescent="0.35">
      <c r="A338" s="52">
        <v>8013486</v>
      </c>
      <c r="B338" s="51">
        <v>46124</v>
      </c>
      <c r="C338" s="7" t="s">
        <v>124</v>
      </c>
      <c r="D338" s="10">
        <f>IFERROR(SUMIFS('Base bordo'!G$2:G$746,'Base bordo'!C$2:C$746,A338,'Base bordo'!B$2:B$746,B338,'Base bordo'!F$2:F$746,"DESLOCAMENTO VAZIO"),0)</f>
        <v>1.6141666666666667</v>
      </c>
      <c r="E338" s="10">
        <f>IFERROR(SUMIFS('Base bordo'!G$2:G$746,'Base bordo'!C$2:C$746,A338,'Base bordo'!B$2:B$746,B338,'Base bordo'!F$2:F$746,"DESLOCAMENTO CARREGADO"),0)</f>
        <v>9.7500000000000003E-2</v>
      </c>
      <c r="F338" s="10">
        <f>IFERROR(SUMIFS('Base bordo'!G$2:G$746,'Base bordo'!C$2:C$746,A338,'Base bordo'!B$2:B$746,B338,'Base bordo'!F$2:F$746,"DESLOCAMENTO"),0)</f>
        <v>0</v>
      </c>
      <c r="G338" s="10">
        <f>IFERROR(SUMIFS('Base bordo'!G$2:G$746,'Base bordo'!C$2:C$746,A338,'Base bordo'!B$2:B$746,B338,'Base bordo'!F$2:F$746,"CARREGAMENTO"),0)</f>
        <v>0</v>
      </c>
      <c r="H338" s="10">
        <f>IFERROR(SUMIFS('Base bordo'!G$2:G$746,'Base bordo'!C$2:C$746,A338,'Base bordo'!B$2:B$746,B338,'Base bordo'!F$2:F$746,"AGUARDANDO TRANSBORDO"),0)</f>
        <v>0.10888888888888888</v>
      </c>
      <c r="I338" s="10">
        <f>IFERROR(SUMIFS('Base bordo'!G$2:G$746,'Base bordo'!C$2:C$746,A338,'Base bordo'!B$2:B$746,B338,'Base bordo'!F$2:F$746,"PÁTIO INTERNO"),0)+IFERROR(SUMIFS('Base bordo'!G$2:G$746,'Base bordo'!C$2:C$746,A338,'Base bordo'!B$2:B$746,B338,'Base bordo'!F$2:F$746,"PÁTIO EXTERNO"),0)+IFERROR(SUMIFS('Base bordo'!G$2:G$746,'Base bordo'!C$2:C$746,A338,'Base bordo'!B$2:B$746,B338,'Base bordo'!F$2:F$746,"PATIO - RESERVA"),0)+IFERROR(SUMIFS('Base bordo'!G$2:G$746,'Base bordo'!C$2:C$746,A338,'Base bordo'!B$2:B$746,B338,'Base bordo'!F$2:F$746,"MANOBRA CARRETAS-PATIO"),0)</f>
        <v>4.8677777777777784</v>
      </c>
      <c r="J338" s="10">
        <f>IFERROR(SUMIFS('Base bordo'!G$2:G$746,'Base bordo'!C$2:C$746,A338,'Base bordo'!B$2:B$746,B338,'Base bordo'!F$2:F$746,"BALANÇA - ENTRADA"),0)+IFERROR(SUMIFS('Base bordo'!G$2:G$746,'Base bordo'!C$2:C$746,A338,'Base bordo'!B$2:B$746,B338,'Base bordo'!F$2:F$746,"BALANÇA - SAÍDA"),0)</f>
        <v>0.14000000000000001</v>
      </c>
      <c r="K338" s="10">
        <f>IFERROR(SUMIFS('Base bordo'!G$2:G$746,'Base bordo'!C$2:C$746,A338,'Base bordo'!B$2:B$746,B338,'Base bordo'!F$2:F$746,"MAN PREVENTIVA - MECANICA"),0)+IFERROR(SUMIFS('Base bordo'!G$2:G$746,'Base bordo'!C$2:C$746,A338,'Base bordo'!B$2:B$746,B338,'Base bordo'!F$2:F$746,"MAN CORRETIVA - MECANICA"),0)</f>
        <v>0</v>
      </c>
      <c r="L338" s="10">
        <f>IFERROR(SUMIFS('Base bordo'!G$2:G$746,'Base bordo'!C$2:C$746,A338,'Base bordo'!B$2:B$746,B338,'Base bordo'!F$2:F$746,"MANUTENCAO - T O"),0)+IFERROR(SUMIFS('Base bordo'!G$2:G$746,'Base bordo'!C$2:C$746,A338,'Base bordo'!B$2:B$746,B338,'Base bordo'!F$2:F$746,"MANUTENCAO BORRACHARIA"),0)+IFERROR(SUMIFS('Base bordo'!G$2:G$746,'Base bordo'!C$2:C$746,A338,'Base bordo'!B$2:B$746,B338,'Base bordo'!F$2:F$746,"MANUTENCAO EXTERNA  CONCESSIONARIA"),0)+IFERROR(SUMIFS('Base bordo'!G$2:G$746,'Base bordo'!C$2:C$746,A338,'Base bordo'!B$2:B$746,B338,'Base bordo'!F$2:F$746,"MANUTENCAO TELEMETRIA"),0)</f>
        <v>0</v>
      </c>
      <c r="M338" s="10">
        <f>IFERROR(SUMIFS('Base bordo'!G$2:G$746,'Base bordo'!C$2:C$746,A338,'Base bordo'!B$2:B$746,B338,'Base bordo'!F$2:F$746,"AGUARDANDO MANUTENCAO"),0)</f>
        <v>0</v>
      </c>
      <c r="N338" s="10">
        <f>IFERROR(SUMIFS('Base bordo'!G$2:G$746,'Base bordo'!C$2:C$746,A338,'Base bordo'!B$2:B$746,B338,'Base bordo'!F$2:F$746,"SEM APONTAMENTO"),0)</f>
        <v>0</v>
      </c>
      <c r="O338" s="10">
        <f t="shared" si="42"/>
        <v>1.4722222222222747E-2</v>
      </c>
      <c r="P338" s="10">
        <f>IFERROR(SUMIFS('Base bordo'!G$2:G$746,'Base bordo'!C$2:C$746,A338,'Base bordo'!B$2:B$746,B338),0)</f>
        <v>6.8430555555555568</v>
      </c>
      <c r="Q338" s="10">
        <f>IFERROR(SUMIFS('Base bordo'!H$2:H$746,'Base bordo'!C$2:C$746,A338,'Base bordo'!B$2:B$746,B338,'Base bordo'!F$2:F$746,"DESLOCAMENTO VAZIO"),0)</f>
        <v>181720.6</v>
      </c>
      <c r="R338" s="10">
        <f>IFERROR(SUMIFS('Base bordo'!I$2:I$746,'Base bordo'!C$2:C$746,A338,'Base bordo'!B$2:B$746,B338,'Base bordo'!F$2:F$746,"DESLOCAMENTO VAZIO"),0)</f>
        <v>5811</v>
      </c>
      <c r="S338" s="30">
        <f t="shared" si="43"/>
        <v>31.271829289278955</v>
      </c>
      <c r="T338" s="10">
        <f>IFERROR(SUMIFS('Base bordo'!H$2:H$746,'Base bordo'!C$2:C$746,A338,'Base bordo'!B$2:B$746,B338,'Base bordo'!F$2:F$746,"DESLOCAMENTO CARREGADO"),0)</f>
        <v>2571.7599999999998</v>
      </c>
      <c r="U338" s="10">
        <f>IFERROR(SUMIFS('Base bordo'!I$2:I$746,'Base bordo'!C$2:C$746,A338,'Base bordo'!B$2:B$746,B338,'Base bordo'!F$2:F$746,"DESLOCAMENTO CARREGADO"),0)</f>
        <v>332</v>
      </c>
      <c r="V338" s="30">
        <f t="shared" si="44"/>
        <v>7.7462650602409635</v>
      </c>
      <c r="W338" s="9">
        <f t="shared" si="45"/>
        <v>0.23588390501319259</v>
      </c>
      <c r="X338" s="9">
        <f t="shared" si="46"/>
        <v>1.4248021108179418E-2</v>
      </c>
      <c r="Y338" s="9">
        <f t="shared" si="47"/>
        <v>0.74986807387862808</v>
      </c>
    </row>
    <row r="339" spans="1:25" ht="15" customHeight="1" x14ac:dyDescent="0.35">
      <c r="A339" s="52">
        <v>8013483</v>
      </c>
      <c r="B339" s="51">
        <v>46121</v>
      </c>
      <c r="C339" s="7" t="s">
        <v>124</v>
      </c>
      <c r="D339" s="10">
        <f>IFERROR(SUMIFS('Base bordo'!G$2:G$746,'Base bordo'!C$2:C$746,A339,'Base bordo'!B$2:B$746,B339,'Base bordo'!F$2:F$746,"DESLOCAMENTO VAZIO"),0)</f>
        <v>0</v>
      </c>
      <c r="E339" s="10">
        <f>IFERROR(SUMIFS('Base bordo'!G$2:G$746,'Base bordo'!C$2:C$746,A339,'Base bordo'!B$2:B$746,B339,'Base bordo'!F$2:F$746,"DESLOCAMENTO CARREGADO"),0)</f>
        <v>0</v>
      </c>
      <c r="F339" s="10">
        <f>IFERROR(SUMIFS('Base bordo'!G$2:G$746,'Base bordo'!C$2:C$746,A339,'Base bordo'!B$2:B$746,B339,'Base bordo'!F$2:F$746,"DESLOCAMENTO"),0)</f>
        <v>0.12111111111111111</v>
      </c>
      <c r="G339" s="10">
        <f>IFERROR(SUMIFS('Base bordo'!G$2:G$746,'Base bordo'!C$2:C$746,A339,'Base bordo'!B$2:B$746,B339,'Base bordo'!F$2:F$746,"CARREGAMENTO"),0)</f>
        <v>0</v>
      </c>
      <c r="H339" s="10">
        <f>IFERROR(SUMIFS('Base bordo'!G$2:G$746,'Base bordo'!C$2:C$746,A339,'Base bordo'!B$2:B$746,B339,'Base bordo'!F$2:F$746,"AGUARDANDO TRANSBORDO"),0)</f>
        <v>0</v>
      </c>
      <c r="I339" s="10">
        <f>IFERROR(SUMIFS('Base bordo'!G$2:G$746,'Base bordo'!C$2:C$746,A339,'Base bordo'!B$2:B$746,B339,'Base bordo'!F$2:F$746,"PÁTIO INTERNO"),0)+IFERROR(SUMIFS('Base bordo'!G$2:G$746,'Base bordo'!C$2:C$746,A339,'Base bordo'!B$2:B$746,B339,'Base bordo'!F$2:F$746,"PÁTIO EXTERNO"),0)+IFERROR(SUMIFS('Base bordo'!G$2:G$746,'Base bordo'!C$2:C$746,A339,'Base bordo'!B$2:B$746,B339,'Base bordo'!F$2:F$746,"PATIO - RESERVA"),0)+IFERROR(SUMIFS('Base bordo'!G$2:G$746,'Base bordo'!C$2:C$746,A339,'Base bordo'!B$2:B$746,B339,'Base bordo'!F$2:F$746,"MANOBRA CARRETAS-PATIO"),0)</f>
        <v>0</v>
      </c>
      <c r="J339" s="10">
        <f>IFERROR(SUMIFS('Base bordo'!G$2:G$746,'Base bordo'!C$2:C$746,A339,'Base bordo'!B$2:B$746,B339,'Base bordo'!F$2:F$746,"BALANÇA - ENTRADA"),0)+IFERROR(SUMIFS('Base bordo'!G$2:G$746,'Base bordo'!C$2:C$746,A339,'Base bordo'!B$2:B$746,B339,'Base bordo'!F$2:F$746,"BALANÇA - SAÍDA"),0)</f>
        <v>0</v>
      </c>
      <c r="K339" s="10">
        <f>IFERROR(SUMIFS('Base bordo'!G$2:G$746,'Base bordo'!C$2:C$746,A339,'Base bordo'!B$2:B$746,B339,'Base bordo'!F$2:F$746,"MAN PREVENTIVA - MECANICA"),0)+IFERROR(SUMIFS('Base bordo'!G$2:G$746,'Base bordo'!C$2:C$746,A339,'Base bordo'!B$2:B$746,B339,'Base bordo'!F$2:F$746,"MAN CORRETIVA - MECANICA"),0)</f>
        <v>0</v>
      </c>
      <c r="L339" s="10">
        <f>IFERROR(SUMIFS('Base bordo'!G$2:G$746,'Base bordo'!C$2:C$746,A339,'Base bordo'!B$2:B$746,B339,'Base bordo'!F$2:F$746,"MANUTENCAO - T O"),0)+IFERROR(SUMIFS('Base bordo'!G$2:G$746,'Base bordo'!C$2:C$746,A339,'Base bordo'!B$2:B$746,B339,'Base bordo'!F$2:F$746,"MANUTENCAO BORRACHARIA"),0)+IFERROR(SUMIFS('Base bordo'!G$2:G$746,'Base bordo'!C$2:C$746,A339,'Base bordo'!B$2:B$746,B339,'Base bordo'!F$2:F$746,"MANUTENCAO EXTERNA  CONCESSIONARIA"),0)+IFERROR(SUMIFS('Base bordo'!G$2:G$746,'Base bordo'!C$2:C$746,A339,'Base bordo'!B$2:B$746,B339,'Base bordo'!F$2:F$746,"MANUTENCAO TELEMETRIA"),0)</f>
        <v>0</v>
      </c>
      <c r="M339" s="10">
        <f>IFERROR(SUMIFS('Base bordo'!G$2:G$746,'Base bordo'!C$2:C$746,A339,'Base bordo'!B$2:B$746,B339,'Base bordo'!F$2:F$746,"AGUARDANDO MANUTENCAO"),0)</f>
        <v>0</v>
      </c>
      <c r="N339" s="10">
        <f>IFERROR(SUMIFS('Base bordo'!G$2:G$746,'Base bordo'!C$2:C$746,A339,'Base bordo'!B$2:B$746,B339,'Base bordo'!F$2:F$746,"SEM APONTAMENTO"),0)</f>
        <v>0</v>
      </c>
      <c r="O339" s="10">
        <f t="shared" si="42"/>
        <v>0</v>
      </c>
      <c r="P339" s="10">
        <f>IFERROR(SUMIFS('Base bordo'!G$2:G$746,'Base bordo'!C$2:C$746,A339,'Base bordo'!B$2:B$746,B339),0)</f>
        <v>0.12111111111111111</v>
      </c>
      <c r="Q339" s="10">
        <f>IFERROR(SUMIFS('Base bordo'!H$2:H$746,'Base bordo'!C$2:C$746,A339,'Base bordo'!B$2:B$746,B339,'Base bordo'!F$2:F$746,"DESLOCAMENTO VAZIO"),0)</f>
        <v>0</v>
      </c>
      <c r="R339" s="10">
        <f>IFERROR(SUMIFS('Base bordo'!I$2:I$746,'Base bordo'!C$2:C$746,A339,'Base bordo'!B$2:B$746,B339,'Base bordo'!F$2:F$746,"DESLOCAMENTO VAZIO"),0)</f>
        <v>0</v>
      </c>
      <c r="S339" s="30" t="str">
        <f t="shared" si="43"/>
        <v/>
      </c>
      <c r="T339" s="10">
        <f>IFERROR(SUMIFS('Base bordo'!H$2:H$746,'Base bordo'!C$2:C$746,A339,'Base bordo'!B$2:B$746,B339,'Base bordo'!F$2:F$746,"DESLOCAMENTO CARREGADO"),0)</f>
        <v>0</v>
      </c>
      <c r="U339" s="10">
        <f>IFERROR(SUMIFS('Base bordo'!I$2:I$746,'Base bordo'!C$2:C$746,A339,'Base bordo'!B$2:B$746,B339,'Base bordo'!F$2:F$746,"DESLOCAMENTO CARREGADO"),0)</f>
        <v>0</v>
      </c>
      <c r="V339" s="30" t="str">
        <f t="shared" si="44"/>
        <v/>
      </c>
      <c r="W339" s="9">
        <f t="shared" si="45"/>
        <v>0</v>
      </c>
      <c r="X339" s="9">
        <f t="shared" si="46"/>
        <v>0</v>
      </c>
      <c r="Y339" s="9">
        <f t="shared" si="47"/>
        <v>1</v>
      </c>
    </row>
    <row r="340" spans="1:25" ht="15" customHeight="1" x14ac:dyDescent="0.35">
      <c r="A340" s="52">
        <v>8013483</v>
      </c>
      <c r="B340" s="51">
        <v>46122</v>
      </c>
      <c r="C340" s="7" t="s">
        <v>124</v>
      </c>
      <c r="D340" s="10">
        <f>IFERROR(SUMIFS('Base bordo'!G$2:G$746,'Base bordo'!C$2:C$746,A340,'Base bordo'!B$2:B$746,B340,'Base bordo'!F$2:F$746,"DESLOCAMENTO VAZIO"),0)</f>
        <v>0</v>
      </c>
      <c r="E340" s="10">
        <f>IFERROR(SUMIFS('Base bordo'!G$2:G$746,'Base bordo'!C$2:C$746,A340,'Base bordo'!B$2:B$746,B340,'Base bordo'!F$2:F$746,"DESLOCAMENTO CARREGADO"),0)</f>
        <v>0</v>
      </c>
      <c r="F340" s="10">
        <f>IFERROR(SUMIFS('Base bordo'!G$2:G$746,'Base bordo'!C$2:C$746,A340,'Base bordo'!B$2:B$746,B340,'Base bordo'!F$2:F$746,"DESLOCAMENTO"),0)</f>
        <v>7.208333333333333</v>
      </c>
      <c r="G340" s="10">
        <f>IFERROR(SUMIFS('Base bordo'!G$2:G$746,'Base bordo'!C$2:C$746,A340,'Base bordo'!B$2:B$746,B340,'Base bordo'!F$2:F$746,"CARREGAMENTO"),0)</f>
        <v>0</v>
      </c>
      <c r="H340" s="10">
        <f>IFERROR(SUMIFS('Base bordo'!G$2:G$746,'Base bordo'!C$2:C$746,A340,'Base bordo'!B$2:B$746,B340,'Base bordo'!F$2:F$746,"AGUARDANDO TRANSBORDO"),0)</f>
        <v>0</v>
      </c>
      <c r="I340" s="10">
        <f>IFERROR(SUMIFS('Base bordo'!G$2:G$746,'Base bordo'!C$2:C$746,A340,'Base bordo'!B$2:B$746,B340,'Base bordo'!F$2:F$746,"PÁTIO INTERNO"),0)+IFERROR(SUMIFS('Base bordo'!G$2:G$746,'Base bordo'!C$2:C$746,A340,'Base bordo'!B$2:B$746,B340,'Base bordo'!F$2:F$746,"PÁTIO EXTERNO"),0)+IFERROR(SUMIFS('Base bordo'!G$2:G$746,'Base bordo'!C$2:C$746,A340,'Base bordo'!B$2:B$746,B340,'Base bordo'!F$2:F$746,"PATIO - RESERVA"),0)+IFERROR(SUMIFS('Base bordo'!G$2:G$746,'Base bordo'!C$2:C$746,A340,'Base bordo'!B$2:B$746,B340,'Base bordo'!F$2:F$746,"MANOBRA CARRETAS-PATIO"),0)</f>
        <v>0</v>
      </c>
      <c r="J340" s="10">
        <f>IFERROR(SUMIFS('Base bordo'!G$2:G$746,'Base bordo'!C$2:C$746,A340,'Base bordo'!B$2:B$746,B340,'Base bordo'!F$2:F$746,"BALANÇA - ENTRADA"),0)+IFERROR(SUMIFS('Base bordo'!G$2:G$746,'Base bordo'!C$2:C$746,A340,'Base bordo'!B$2:B$746,B340,'Base bordo'!F$2:F$746,"BALANÇA - SAÍDA"),0)</f>
        <v>0</v>
      </c>
      <c r="K340" s="10">
        <f>IFERROR(SUMIFS('Base bordo'!G$2:G$746,'Base bordo'!C$2:C$746,A340,'Base bordo'!B$2:B$746,B340,'Base bordo'!F$2:F$746,"MAN PREVENTIVA - MECANICA"),0)+IFERROR(SUMIFS('Base bordo'!G$2:G$746,'Base bordo'!C$2:C$746,A340,'Base bordo'!B$2:B$746,B340,'Base bordo'!F$2:F$746,"MAN CORRETIVA - MECANICA"),0)</f>
        <v>0</v>
      </c>
      <c r="L340" s="10">
        <f>IFERROR(SUMIFS('Base bordo'!G$2:G$746,'Base bordo'!C$2:C$746,A340,'Base bordo'!B$2:B$746,B340,'Base bordo'!F$2:F$746,"MANUTENCAO - T O"),0)+IFERROR(SUMIFS('Base bordo'!G$2:G$746,'Base bordo'!C$2:C$746,A340,'Base bordo'!B$2:B$746,B340,'Base bordo'!F$2:F$746,"MANUTENCAO BORRACHARIA"),0)+IFERROR(SUMIFS('Base bordo'!G$2:G$746,'Base bordo'!C$2:C$746,A340,'Base bordo'!B$2:B$746,B340,'Base bordo'!F$2:F$746,"MANUTENCAO EXTERNA  CONCESSIONARIA"),0)+IFERROR(SUMIFS('Base bordo'!G$2:G$746,'Base bordo'!C$2:C$746,A340,'Base bordo'!B$2:B$746,B340,'Base bordo'!F$2:F$746,"MANUTENCAO TELEMETRIA"),0)</f>
        <v>0</v>
      </c>
      <c r="M340" s="10">
        <f>IFERROR(SUMIFS('Base bordo'!G$2:G$746,'Base bordo'!C$2:C$746,A340,'Base bordo'!B$2:B$746,B340,'Base bordo'!F$2:F$746,"AGUARDANDO MANUTENCAO"),0)</f>
        <v>0</v>
      </c>
      <c r="N340" s="10">
        <f>IFERROR(SUMIFS('Base bordo'!G$2:G$746,'Base bordo'!C$2:C$746,A340,'Base bordo'!B$2:B$746,B340,'Base bordo'!F$2:F$746,"SEM APONTAMENTO"),0)</f>
        <v>0</v>
      </c>
      <c r="O340" s="10">
        <f t="shared" si="42"/>
        <v>0</v>
      </c>
      <c r="P340" s="10">
        <f>IFERROR(SUMIFS('Base bordo'!G$2:G$746,'Base bordo'!C$2:C$746,A340,'Base bordo'!B$2:B$746,B340),0)</f>
        <v>7.208333333333333</v>
      </c>
      <c r="Q340" s="10">
        <f>IFERROR(SUMIFS('Base bordo'!H$2:H$746,'Base bordo'!C$2:C$746,A340,'Base bordo'!B$2:B$746,B340,'Base bordo'!F$2:F$746,"DESLOCAMENTO VAZIO"),0)</f>
        <v>0</v>
      </c>
      <c r="R340" s="10">
        <f>IFERROR(SUMIFS('Base bordo'!I$2:I$746,'Base bordo'!C$2:C$746,A340,'Base bordo'!B$2:B$746,B340,'Base bordo'!F$2:F$746,"DESLOCAMENTO VAZIO"),0)</f>
        <v>0</v>
      </c>
      <c r="S340" s="30" t="str">
        <f t="shared" si="43"/>
        <v/>
      </c>
      <c r="T340" s="10">
        <f>IFERROR(SUMIFS('Base bordo'!H$2:H$746,'Base bordo'!C$2:C$746,A340,'Base bordo'!B$2:B$746,B340,'Base bordo'!F$2:F$746,"DESLOCAMENTO CARREGADO"),0)</f>
        <v>0</v>
      </c>
      <c r="U340" s="10">
        <f>IFERROR(SUMIFS('Base bordo'!I$2:I$746,'Base bordo'!C$2:C$746,A340,'Base bordo'!B$2:B$746,B340,'Base bordo'!F$2:F$746,"DESLOCAMENTO CARREGADO"),0)</f>
        <v>0</v>
      </c>
      <c r="V340" s="30" t="str">
        <f t="shared" si="44"/>
        <v/>
      </c>
      <c r="W340" s="9">
        <f t="shared" si="45"/>
        <v>0</v>
      </c>
      <c r="X340" s="9">
        <f t="shared" si="46"/>
        <v>0</v>
      </c>
      <c r="Y340" s="9">
        <f t="shared" si="47"/>
        <v>1</v>
      </c>
    </row>
    <row r="341" spans="1:25" ht="15" customHeight="1" x14ac:dyDescent="0.35">
      <c r="A341" s="52">
        <v>8013473</v>
      </c>
      <c r="B341" s="51">
        <v>46119</v>
      </c>
      <c r="C341" s="7" t="s">
        <v>124</v>
      </c>
      <c r="D341" s="10">
        <f>IFERROR(SUMIFS('Base bordo'!G$2:G$746,'Base bordo'!C$2:C$746,A341,'Base bordo'!B$2:B$746,B341,'Base bordo'!F$2:F$746,"DESLOCAMENTO VAZIO"),0)</f>
        <v>9.0277777777777776E-2</v>
      </c>
      <c r="E341" s="10">
        <f>IFERROR(SUMIFS('Base bordo'!G$2:G$746,'Base bordo'!C$2:C$746,A341,'Base bordo'!B$2:B$746,B341,'Base bordo'!F$2:F$746,"DESLOCAMENTO CARREGADO"),0)</f>
        <v>0</v>
      </c>
      <c r="F341" s="10">
        <f>IFERROR(SUMIFS('Base bordo'!G$2:G$746,'Base bordo'!C$2:C$746,A341,'Base bordo'!B$2:B$746,B341,'Base bordo'!F$2:F$746,"DESLOCAMENTO"),0)</f>
        <v>0</v>
      </c>
      <c r="G341" s="10">
        <f>IFERROR(SUMIFS('Base bordo'!G$2:G$746,'Base bordo'!C$2:C$746,A341,'Base bordo'!B$2:B$746,B341,'Base bordo'!F$2:F$746,"CARREGAMENTO"),0)</f>
        <v>0</v>
      </c>
      <c r="H341" s="10">
        <f>IFERROR(SUMIFS('Base bordo'!G$2:G$746,'Base bordo'!C$2:C$746,A341,'Base bordo'!B$2:B$746,B341,'Base bordo'!F$2:F$746,"AGUARDANDO TRANSBORDO"),0)</f>
        <v>0</v>
      </c>
      <c r="I341" s="10">
        <f>IFERROR(SUMIFS('Base bordo'!G$2:G$746,'Base bordo'!C$2:C$746,A341,'Base bordo'!B$2:B$746,B341,'Base bordo'!F$2:F$746,"PÁTIO INTERNO"),0)+IFERROR(SUMIFS('Base bordo'!G$2:G$746,'Base bordo'!C$2:C$746,A341,'Base bordo'!B$2:B$746,B341,'Base bordo'!F$2:F$746,"PÁTIO EXTERNO"),0)+IFERROR(SUMIFS('Base bordo'!G$2:G$746,'Base bordo'!C$2:C$746,A341,'Base bordo'!B$2:B$746,B341,'Base bordo'!F$2:F$746,"PATIO - RESERVA"),0)+IFERROR(SUMIFS('Base bordo'!G$2:G$746,'Base bordo'!C$2:C$746,A341,'Base bordo'!B$2:B$746,B341,'Base bordo'!F$2:F$746,"MANOBRA CARRETAS-PATIO"),0)</f>
        <v>21.094999999999999</v>
      </c>
      <c r="J341" s="10">
        <f>IFERROR(SUMIFS('Base bordo'!G$2:G$746,'Base bordo'!C$2:C$746,A341,'Base bordo'!B$2:B$746,B341,'Base bordo'!F$2:F$746,"BALANÇA - ENTRADA"),0)+IFERROR(SUMIFS('Base bordo'!G$2:G$746,'Base bordo'!C$2:C$746,A341,'Base bordo'!B$2:B$746,B341,'Base bordo'!F$2:F$746,"BALANÇA - SAÍDA"),0)</f>
        <v>8.1111111111111106E-2</v>
      </c>
      <c r="K341" s="10">
        <f>IFERROR(SUMIFS('Base bordo'!G$2:G$746,'Base bordo'!C$2:C$746,A341,'Base bordo'!B$2:B$746,B341,'Base bordo'!F$2:F$746,"MAN PREVENTIVA - MECANICA"),0)+IFERROR(SUMIFS('Base bordo'!G$2:G$746,'Base bordo'!C$2:C$746,A341,'Base bordo'!B$2:B$746,B341,'Base bordo'!F$2:F$746,"MAN CORRETIVA - MECANICA"),0)</f>
        <v>0</v>
      </c>
      <c r="L341" s="10">
        <f>IFERROR(SUMIFS('Base bordo'!G$2:G$746,'Base bordo'!C$2:C$746,A341,'Base bordo'!B$2:B$746,B341,'Base bordo'!F$2:F$746,"MANUTENCAO - T O"),0)+IFERROR(SUMIFS('Base bordo'!G$2:G$746,'Base bordo'!C$2:C$746,A341,'Base bordo'!B$2:B$746,B341,'Base bordo'!F$2:F$746,"MANUTENCAO BORRACHARIA"),0)+IFERROR(SUMIFS('Base bordo'!G$2:G$746,'Base bordo'!C$2:C$746,A341,'Base bordo'!B$2:B$746,B341,'Base bordo'!F$2:F$746,"MANUTENCAO EXTERNA  CONCESSIONARIA"),0)+IFERROR(SUMIFS('Base bordo'!G$2:G$746,'Base bordo'!C$2:C$746,A341,'Base bordo'!B$2:B$746,B341,'Base bordo'!F$2:F$746,"MANUTENCAO TELEMETRIA"),0)</f>
        <v>0</v>
      </c>
      <c r="M341" s="10">
        <f>IFERROR(SUMIFS('Base bordo'!G$2:G$746,'Base bordo'!C$2:C$746,A341,'Base bordo'!B$2:B$746,B341,'Base bordo'!F$2:F$746,"AGUARDANDO MANUTENCAO"),0)</f>
        <v>0</v>
      </c>
      <c r="N341" s="10">
        <f>IFERROR(SUMIFS('Base bordo'!G$2:G$746,'Base bordo'!C$2:C$746,A341,'Base bordo'!B$2:B$746,B341,'Base bordo'!F$2:F$746,"SEM APONTAMENTO"),0)</f>
        <v>0</v>
      </c>
      <c r="O341" s="10">
        <f t="shared" si="42"/>
        <v>0</v>
      </c>
      <c r="P341" s="10">
        <f>IFERROR(SUMIFS('Base bordo'!G$2:G$746,'Base bordo'!C$2:C$746,A341,'Base bordo'!B$2:B$746,B341),0)</f>
        <v>21.266388888888887</v>
      </c>
      <c r="Q341" s="10">
        <f>IFERROR(SUMIFS('Base bordo'!H$2:H$746,'Base bordo'!C$2:C$746,A341,'Base bordo'!B$2:B$746,B341,'Base bordo'!F$2:F$746,"DESLOCAMENTO VAZIO"),0)</f>
        <v>2236.9</v>
      </c>
      <c r="R341" s="10">
        <f>IFERROR(SUMIFS('Base bordo'!I$2:I$746,'Base bordo'!C$2:C$746,A341,'Base bordo'!B$2:B$746,B341,'Base bordo'!F$2:F$746,"DESLOCAMENTO VAZIO"),0)</f>
        <v>325</v>
      </c>
      <c r="S341" s="30">
        <f t="shared" si="43"/>
        <v>6.882769230769231</v>
      </c>
      <c r="T341" s="10">
        <f>IFERROR(SUMIFS('Base bordo'!H$2:H$746,'Base bordo'!C$2:C$746,A341,'Base bordo'!B$2:B$746,B341,'Base bordo'!F$2:F$746,"DESLOCAMENTO CARREGADO"),0)</f>
        <v>0</v>
      </c>
      <c r="U341" s="10">
        <f>IFERROR(SUMIFS('Base bordo'!I$2:I$746,'Base bordo'!C$2:C$746,A341,'Base bordo'!B$2:B$746,B341,'Base bordo'!F$2:F$746,"DESLOCAMENTO CARREGADO"),0)</f>
        <v>0</v>
      </c>
      <c r="V341" s="30" t="str">
        <f t="shared" si="44"/>
        <v/>
      </c>
      <c r="W341" s="9">
        <f t="shared" si="45"/>
        <v>4.2450920205331834E-3</v>
      </c>
      <c r="X341" s="9">
        <f t="shared" si="46"/>
        <v>0</v>
      </c>
      <c r="Y341" s="9">
        <f t="shared" si="47"/>
        <v>0.99575490797946686</v>
      </c>
    </row>
    <row r="342" spans="1:25" ht="15" customHeight="1" x14ac:dyDescent="0.35">
      <c r="A342" s="52">
        <v>8013469</v>
      </c>
      <c r="B342" s="51">
        <v>46117</v>
      </c>
      <c r="C342" s="7" t="s">
        <v>124</v>
      </c>
      <c r="D342" s="10">
        <f>IFERROR(SUMIFS('Base bordo'!G$2:G$746,'Base bordo'!C$2:C$746,A342,'Base bordo'!B$2:B$746,B342,'Base bordo'!F$2:F$746,"DESLOCAMENTO VAZIO"),0)</f>
        <v>0.81472222222222224</v>
      </c>
      <c r="E342" s="10">
        <f>IFERROR(SUMIFS('Base bordo'!G$2:G$746,'Base bordo'!C$2:C$746,A342,'Base bordo'!B$2:B$746,B342,'Base bordo'!F$2:F$746,"DESLOCAMENTO CARREGADO"),0)</f>
        <v>0.8913888888888889</v>
      </c>
      <c r="F342" s="10">
        <f>IFERROR(SUMIFS('Base bordo'!G$2:G$746,'Base bordo'!C$2:C$746,A342,'Base bordo'!B$2:B$746,B342,'Base bordo'!F$2:F$746,"DESLOCAMENTO"),0)</f>
        <v>0.54305555555555551</v>
      </c>
      <c r="G342" s="10">
        <f>IFERROR(SUMIFS('Base bordo'!G$2:G$746,'Base bordo'!C$2:C$746,A342,'Base bordo'!B$2:B$746,B342,'Base bordo'!F$2:F$746,"CARREGAMENTO"),0)</f>
        <v>4.5863888888888891</v>
      </c>
      <c r="H342" s="10">
        <f>IFERROR(SUMIFS('Base bordo'!G$2:G$746,'Base bordo'!C$2:C$746,A342,'Base bordo'!B$2:B$746,B342,'Base bordo'!F$2:F$746,"AGUARDANDO TRANSBORDO"),0)</f>
        <v>0.11166666666666666</v>
      </c>
      <c r="I342" s="10">
        <f>IFERROR(SUMIFS('Base bordo'!G$2:G$746,'Base bordo'!C$2:C$746,A342,'Base bordo'!B$2:B$746,B342,'Base bordo'!F$2:F$746,"PÁTIO INTERNO"),0)+IFERROR(SUMIFS('Base bordo'!G$2:G$746,'Base bordo'!C$2:C$746,A342,'Base bordo'!B$2:B$746,B342,'Base bordo'!F$2:F$746,"PÁTIO EXTERNO"),0)+IFERROR(SUMIFS('Base bordo'!G$2:G$746,'Base bordo'!C$2:C$746,A342,'Base bordo'!B$2:B$746,B342,'Base bordo'!F$2:F$746,"PATIO - RESERVA"),0)+IFERROR(SUMIFS('Base bordo'!G$2:G$746,'Base bordo'!C$2:C$746,A342,'Base bordo'!B$2:B$746,B342,'Base bordo'!F$2:F$746,"MANOBRA CARRETAS-PATIO"),0)</f>
        <v>2.3947222222222222</v>
      </c>
      <c r="J342" s="10">
        <f>IFERROR(SUMIFS('Base bordo'!G$2:G$746,'Base bordo'!C$2:C$746,A342,'Base bordo'!B$2:B$746,B342,'Base bordo'!F$2:F$746,"BALANÇA - ENTRADA"),0)+IFERROR(SUMIFS('Base bordo'!G$2:G$746,'Base bordo'!C$2:C$746,A342,'Base bordo'!B$2:B$746,B342,'Base bordo'!F$2:F$746,"BALANÇA - SAÍDA"),0)</f>
        <v>0</v>
      </c>
      <c r="K342" s="10">
        <f>IFERROR(SUMIFS('Base bordo'!G$2:G$746,'Base bordo'!C$2:C$746,A342,'Base bordo'!B$2:B$746,B342,'Base bordo'!F$2:F$746,"MAN PREVENTIVA - MECANICA"),0)+IFERROR(SUMIFS('Base bordo'!G$2:G$746,'Base bordo'!C$2:C$746,A342,'Base bordo'!B$2:B$746,B342,'Base bordo'!F$2:F$746,"MAN CORRETIVA - MECANICA"),0)</f>
        <v>0</v>
      </c>
      <c r="L342" s="10">
        <f>IFERROR(SUMIFS('Base bordo'!G$2:G$746,'Base bordo'!C$2:C$746,A342,'Base bordo'!B$2:B$746,B342,'Base bordo'!F$2:F$746,"MANUTENCAO - T O"),0)+IFERROR(SUMIFS('Base bordo'!G$2:G$746,'Base bordo'!C$2:C$746,A342,'Base bordo'!B$2:B$746,B342,'Base bordo'!F$2:F$746,"MANUTENCAO BORRACHARIA"),0)+IFERROR(SUMIFS('Base bordo'!G$2:G$746,'Base bordo'!C$2:C$746,A342,'Base bordo'!B$2:B$746,B342,'Base bordo'!F$2:F$746,"MANUTENCAO EXTERNA  CONCESSIONARIA"),0)+IFERROR(SUMIFS('Base bordo'!G$2:G$746,'Base bordo'!C$2:C$746,A342,'Base bordo'!B$2:B$746,B342,'Base bordo'!F$2:F$746,"MANUTENCAO TELEMETRIA"),0)</f>
        <v>3.4688888888888889</v>
      </c>
      <c r="M342" s="10">
        <f>IFERROR(SUMIFS('Base bordo'!G$2:G$746,'Base bordo'!C$2:C$746,A342,'Base bordo'!B$2:B$746,B342,'Base bordo'!F$2:F$746,"AGUARDANDO MANUTENCAO"),0)</f>
        <v>0</v>
      </c>
      <c r="N342" s="10">
        <f>IFERROR(SUMIFS('Base bordo'!G$2:G$746,'Base bordo'!C$2:C$746,A342,'Base bordo'!B$2:B$746,B342,'Base bordo'!F$2:F$746,"SEM APONTAMENTO"),0)</f>
        <v>0</v>
      </c>
      <c r="O342" s="10">
        <f t="shared" si="42"/>
        <v>0.61500000000000021</v>
      </c>
      <c r="P342" s="10">
        <f>IFERROR(SUMIFS('Base bordo'!G$2:G$746,'Base bordo'!C$2:C$746,A342,'Base bordo'!B$2:B$746,B342),0)</f>
        <v>13.425833333333333</v>
      </c>
      <c r="Q342" s="10">
        <f>IFERROR(SUMIFS('Base bordo'!H$2:H$746,'Base bordo'!C$2:C$746,A342,'Base bordo'!B$2:B$746,B342,'Base bordo'!F$2:F$746,"DESLOCAMENTO VAZIO"),0)</f>
        <v>93170.91</v>
      </c>
      <c r="R342" s="10">
        <f>IFERROR(SUMIFS('Base bordo'!I$2:I$746,'Base bordo'!C$2:C$746,A342,'Base bordo'!B$2:B$746,B342,'Base bordo'!F$2:F$746,"DESLOCAMENTO VAZIO"),0)</f>
        <v>2933</v>
      </c>
      <c r="S342" s="30">
        <f t="shared" si="43"/>
        <v>31.766420047732698</v>
      </c>
      <c r="T342" s="10">
        <f>IFERROR(SUMIFS('Base bordo'!H$2:H$746,'Base bordo'!C$2:C$746,A342,'Base bordo'!B$2:B$746,B342,'Base bordo'!F$2:F$746,"DESLOCAMENTO CARREGADO"),0)</f>
        <v>68258.340000000011</v>
      </c>
      <c r="U342" s="10">
        <f>IFERROR(SUMIFS('Base bordo'!I$2:I$746,'Base bordo'!C$2:C$746,A342,'Base bordo'!B$2:B$746,B342,'Base bordo'!F$2:F$746,"DESLOCAMENTO CARREGADO"),0)</f>
        <v>3204</v>
      </c>
      <c r="V342" s="30">
        <f t="shared" si="44"/>
        <v>21.304101123595508</v>
      </c>
      <c r="W342" s="9">
        <f t="shared" si="45"/>
        <v>6.0683177125359485E-2</v>
      </c>
      <c r="X342" s="9">
        <f t="shared" si="46"/>
        <v>6.639356133490576E-2</v>
      </c>
      <c r="Y342" s="9">
        <f t="shared" si="47"/>
        <v>0.87292326153973476</v>
      </c>
    </row>
    <row r="343" spans="1:25" ht="15" customHeight="1" x14ac:dyDescent="0.35">
      <c r="A343" s="52">
        <v>8013483</v>
      </c>
      <c r="B343" s="51">
        <v>46123</v>
      </c>
      <c r="C343" s="7" t="s">
        <v>124</v>
      </c>
      <c r="D343" s="10">
        <f>IFERROR(SUMIFS('Base bordo'!G$2:G$746,'Base bordo'!C$2:C$746,A343,'Base bordo'!B$2:B$746,B343,'Base bordo'!F$2:F$746,"DESLOCAMENTO VAZIO"),0)</f>
        <v>2.875</v>
      </c>
      <c r="E343" s="10">
        <f>IFERROR(SUMIFS('Base bordo'!G$2:G$746,'Base bordo'!C$2:C$746,A343,'Base bordo'!B$2:B$746,B343,'Base bordo'!F$2:F$746,"DESLOCAMENTO CARREGADO"),0)</f>
        <v>1.3638888888888889</v>
      </c>
      <c r="F343" s="10">
        <f>IFERROR(SUMIFS('Base bordo'!G$2:G$746,'Base bordo'!C$2:C$746,A343,'Base bordo'!B$2:B$746,B343,'Base bordo'!F$2:F$746,"DESLOCAMENTO"),0)</f>
        <v>0.20861111111111111</v>
      </c>
      <c r="G343" s="10">
        <f>IFERROR(SUMIFS('Base bordo'!G$2:G$746,'Base bordo'!C$2:C$746,A343,'Base bordo'!B$2:B$746,B343,'Base bordo'!F$2:F$746,"CARREGAMENTO"),0)</f>
        <v>0</v>
      </c>
      <c r="H343" s="10">
        <f>IFERROR(SUMIFS('Base bordo'!G$2:G$746,'Base bordo'!C$2:C$746,A343,'Base bordo'!B$2:B$746,B343,'Base bordo'!F$2:F$746,"AGUARDANDO TRANSBORDO"),0)</f>
        <v>0.54722222222222228</v>
      </c>
      <c r="I343" s="10">
        <f>IFERROR(SUMIFS('Base bordo'!G$2:G$746,'Base bordo'!C$2:C$746,A343,'Base bordo'!B$2:B$746,B343,'Base bordo'!F$2:F$746,"PÁTIO INTERNO"),0)+IFERROR(SUMIFS('Base bordo'!G$2:G$746,'Base bordo'!C$2:C$746,A343,'Base bordo'!B$2:B$746,B343,'Base bordo'!F$2:F$746,"PÁTIO EXTERNO"),0)+IFERROR(SUMIFS('Base bordo'!G$2:G$746,'Base bordo'!C$2:C$746,A343,'Base bordo'!B$2:B$746,B343,'Base bordo'!F$2:F$746,"PATIO - RESERVA"),0)+IFERROR(SUMIFS('Base bordo'!G$2:G$746,'Base bordo'!C$2:C$746,A343,'Base bordo'!B$2:B$746,B343,'Base bordo'!F$2:F$746,"MANOBRA CARRETAS-PATIO"),0)</f>
        <v>0.5708333333333333</v>
      </c>
      <c r="J343" s="10">
        <f>IFERROR(SUMIFS('Base bordo'!G$2:G$746,'Base bordo'!C$2:C$746,A343,'Base bordo'!B$2:B$746,B343,'Base bordo'!F$2:F$746,"BALANÇA - ENTRADA"),0)+IFERROR(SUMIFS('Base bordo'!G$2:G$746,'Base bordo'!C$2:C$746,A343,'Base bordo'!B$2:B$746,B343,'Base bordo'!F$2:F$746,"BALANÇA - SAÍDA"),0)</f>
        <v>0</v>
      </c>
      <c r="K343" s="10">
        <f>IFERROR(SUMIFS('Base bordo'!G$2:G$746,'Base bordo'!C$2:C$746,A343,'Base bordo'!B$2:B$746,B343,'Base bordo'!F$2:F$746,"MAN PREVENTIVA - MECANICA"),0)+IFERROR(SUMIFS('Base bordo'!G$2:G$746,'Base bordo'!C$2:C$746,A343,'Base bordo'!B$2:B$746,B343,'Base bordo'!F$2:F$746,"MAN CORRETIVA - MECANICA"),0)</f>
        <v>0</v>
      </c>
      <c r="L343" s="10">
        <f>IFERROR(SUMIFS('Base bordo'!G$2:G$746,'Base bordo'!C$2:C$746,A343,'Base bordo'!B$2:B$746,B343,'Base bordo'!F$2:F$746,"MANUTENCAO - T O"),0)+IFERROR(SUMIFS('Base bordo'!G$2:G$746,'Base bordo'!C$2:C$746,A343,'Base bordo'!B$2:B$746,B343,'Base bordo'!F$2:F$746,"MANUTENCAO BORRACHARIA"),0)+IFERROR(SUMIFS('Base bordo'!G$2:G$746,'Base bordo'!C$2:C$746,A343,'Base bordo'!B$2:B$746,B343,'Base bordo'!F$2:F$746,"MANUTENCAO EXTERNA  CONCESSIONARIA"),0)+IFERROR(SUMIFS('Base bordo'!G$2:G$746,'Base bordo'!C$2:C$746,A343,'Base bordo'!B$2:B$746,B343,'Base bordo'!F$2:F$746,"MANUTENCAO TELEMETRIA"),0)</f>
        <v>0</v>
      </c>
      <c r="M343" s="10">
        <f>IFERROR(SUMIFS('Base bordo'!G$2:G$746,'Base bordo'!C$2:C$746,A343,'Base bordo'!B$2:B$746,B343,'Base bordo'!F$2:F$746,"AGUARDANDO MANUTENCAO"),0)</f>
        <v>0</v>
      </c>
      <c r="N343" s="10">
        <f>IFERROR(SUMIFS('Base bordo'!G$2:G$746,'Base bordo'!C$2:C$746,A343,'Base bordo'!B$2:B$746,B343,'Base bordo'!F$2:F$746,"SEM APONTAMENTO"),0)</f>
        <v>0</v>
      </c>
      <c r="O343" s="10">
        <f t="shared" si="42"/>
        <v>0.27361111111111125</v>
      </c>
      <c r="P343" s="10">
        <f>IFERROR(SUMIFS('Base bordo'!G$2:G$746,'Base bordo'!C$2:C$746,A343,'Base bordo'!B$2:B$746,B343),0)</f>
        <v>5.8391666666666664</v>
      </c>
      <c r="Q343" s="10">
        <f>IFERROR(SUMIFS('Base bordo'!H$2:H$746,'Base bordo'!C$2:C$746,A343,'Base bordo'!B$2:B$746,B343,'Base bordo'!F$2:F$746,"DESLOCAMENTO VAZIO"),0)</f>
        <v>352932.77</v>
      </c>
      <c r="R343" s="10">
        <f>IFERROR(SUMIFS('Base bordo'!I$2:I$746,'Base bordo'!C$2:C$746,A343,'Base bordo'!B$2:B$746,B343,'Base bordo'!F$2:F$746,"DESLOCAMENTO VAZIO"),0)</f>
        <v>10350</v>
      </c>
      <c r="S343" s="30">
        <f t="shared" si="43"/>
        <v>34.099784541062803</v>
      </c>
      <c r="T343" s="10">
        <f>IFERROR(SUMIFS('Base bordo'!H$2:H$746,'Base bordo'!C$2:C$746,A343,'Base bordo'!B$2:B$746,B343,'Base bordo'!F$2:F$746,"DESLOCAMENTO CARREGADO"),0)</f>
        <v>73870.23000000001</v>
      </c>
      <c r="U343" s="10">
        <f>IFERROR(SUMIFS('Base bordo'!I$2:I$746,'Base bordo'!C$2:C$746,A343,'Base bordo'!B$2:B$746,B343,'Base bordo'!F$2:F$746,"DESLOCAMENTO CARREGADO"),0)</f>
        <v>4910</v>
      </c>
      <c r="V343" s="30">
        <f t="shared" si="44"/>
        <v>15.044853360488801</v>
      </c>
      <c r="W343" s="9">
        <f t="shared" si="45"/>
        <v>0.49236477807906381</v>
      </c>
      <c r="X343" s="9">
        <f t="shared" si="46"/>
        <v>0.23357594786166216</v>
      </c>
      <c r="Y343" s="9">
        <f t="shared" si="47"/>
        <v>0.27405927405927399</v>
      </c>
    </row>
    <row r="344" spans="1:25" ht="15" customHeight="1" x14ac:dyDescent="0.35">
      <c r="A344" s="52">
        <v>8013469</v>
      </c>
      <c r="B344" s="51">
        <v>46123</v>
      </c>
      <c r="C344" s="7" t="s">
        <v>124</v>
      </c>
      <c r="D344" s="10">
        <f>IFERROR(SUMIFS('Base bordo'!G$2:G$746,'Base bordo'!C$2:C$746,A344,'Base bordo'!B$2:B$746,B344,'Base bordo'!F$2:F$746,"DESLOCAMENTO VAZIO"),0)</f>
        <v>1.6805555555555556</v>
      </c>
      <c r="E344" s="10">
        <f>IFERROR(SUMIFS('Base bordo'!G$2:G$746,'Base bordo'!C$2:C$746,A344,'Base bordo'!B$2:B$746,B344,'Base bordo'!F$2:F$746,"DESLOCAMENTO CARREGADO"),0)</f>
        <v>2.6211111111111109</v>
      </c>
      <c r="F344" s="10">
        <f>IFERROR(SUMIFS('Base bordo'!G$2:G$746,'Base bordo'!C$2:C$746,A344,'Base bordo'!B$2:B$746,B344,'Base bordo'!F$2:F$746,"DESLOCAMENTO"),0)</f>
        <v>0</v>
      </c>
      <c r="G344" s="10">
        <f>IFERROR(SUMIFS('Base bordo'!G$2:G$746,'Base bordo'!C$2:C$746,A344,'Base bordo'!B$2:B$746,B344,'Base bordo'!F$2:F$746,"CARREGAMENTO"),0)</f>
        <v>0</v>
      </c>
      <c r="H344" s="10">
        <f>IFERROR(SUMIFS('Base bordo'!G$2:G$746,'Base bordo'!C$2:C$746,A344,'Base bordo'!B$2:B$746,B344,'Base bordo'!F$2:F$746,"AGUARDANDO TRANSBORDO"),0)</f>
        <v>0.38972222222222225</v>
      </c>
      <c r="I344" s="10">
        <f>IFERROR(SUMIFS('Base bordo'!G$2:G$746,'Base bordo'!C$2:C$746,A344,'Base bordo'!B$2:B$746,B344,'Base bordo'!F$2:F$746,"PÁTIO INTERNO"),0)+IFERROR(SUMIFS('Base bordo'!G$2:G$746,'Base bordo'!C$2:C$746,A344,'Base bordo'!B$2:B$746,B344,'Base bordo'!F$2:F$746,"PÁTIO EXTERNO"),0)+IFERROR(SUMIFS('Base bordo'!G$2:G$746,'Base bordo'!C$2:C$746,A344,'Base bordo'!B$2:B$746,B344,'Base bordo'!F$2:F$746,"PATIO - RESERVA"),0)+IFERROR(SUMIFS('Base bordo'!G$2:G$746,'Base bordo'!C$2:C$746,A344,'Base bordo'!B$2:B$746,B344,'Base bordo'!F$2:F$746,"MANOBRA CARRETAS-PATIO"),0)</f>
        <v>0.80083333333333329</v>
      </c>
      <c r="J344" s="10">
        <f>IFERROR(SUMIFS('Base bordo'!G$2:G$746,'Base bordo'!C$2:C$746,A344,'Base bordo'!B$2:B$746,B344,'Base bordo'!F$2:F$746,"BALANÇA - ENTRADA"),0)+IFERROR(SUMIFS('Base bordo'!G$2:G$746,'Base bordo'!C$2:C$746,A344,'Base bordo'!B$2:B$746,B344,'Base bordo'!F$2:F$746,"BALANÇA - SAÍDA"),0)</f>
        <v>0</v>
      </c>
      <c r="K344" s="10">
        <f>IFERROR(SUMIFS('Base bordo'!G$2:G$746,'Base bordo'!C$2:C$746,A344,'Base bordo'!B$2:B$746,B344,'Base bordo'!F$2:F$746,"MAN PREVENTIVA - MECANICA"),0)+IFERROR(SUMIFS('Base bordo'!G$2:G$746,'Base bordo'!C$2:C$746,A344,'Base bordo'!B$2:B$746,B344,'Base bordo'!F$2:F$746,"MAN CORRETIVA - MECANICA"),0)</f>
        <v>0</v>
      </c>
      <c r="L344" s="10">
        <f>IFERROR(SUMIFS('Base bordo'!G$2:G$746,'Base bordo'!C$2:C$746,A344,'Base bordo'!B$2:B$746,B344,'Base bordo'!F$2:F$746,"MANUTENCAO - T O"),0)+IFERROR(SUMIFS('Base bordo'!G$2:G$746,'Base bordo'!C$2:C$746,A344,'Base bordo'!B$2:B$746,B344,'Base bordo'!F$2:F$746,"MANUTENCAO BORRACHARIA"),0)+IFERROR(SUMIFS('Base bordo'!G$2:G$746,'Base bordo'!C$2:C$746,A344,'Base bordo'!B$2:B$746,B344,'Base bordo'!F$2:F$746,"MANUTENCAO EXTERNA  CONCESSIONARIA"),0)+IFERROR(SUMIFS('Base bordo'!G$2:G$746,'Base bordo'!C$2:C$746,A344,'Base bordo'!B$2:B$746,B344,'Base bordo'!F$2:F$746,"MANUTENCAO TELEMETRIA"),0)</f>
        <v>0</v>
      </c>
      <c r="M344" s="10">
        <f>IFERROR(SUMIFS('Base bordo'!G$2:G$746,'Base bordo'!C$2:C$746,A344,'Base bordo'!B$2:B$746,B344,'Base bordo'!F$2:F$746,"AGUARDANDO MANUTENCAO"),0)</f>
        <v>0</v>
      </c>
      <c r="N344" s="10">
        <f>IFERROR(SUMIFS('Base bordo'!G$2:G$746,'Base bordo'!C$2:C$746,A344,'Base bordo'!B$2:B$746,B344,'Base bordo'!F$2:F$746,"SEM APONTAMENTO"),0)</f>
        <v>0</v>
      </c>
      <c r="O344" s="10">
        <f t="shared" si="42"/>
        <v>3.0000000000000249E-2</v>
      </c>
      <c r="P344" s="10">
        <f>IFERROR(SUMIFS('Base bordo'!G$2:G$746,'Base bordo'!C$2:C$746,A344,'Base bordo'!B$2:B$746,B344),0)</f>
        <v>5.5222222222222221</v>
      </c>
      <c r="Q344" s="10">
        <f>IFERROR(SUMIFS('Base bordo'!H$2:H$746,'Base bordo'!C$2:C$746,A344,'Base bordo'!B$2:B$746,B344,'Base bordo'!F$2:F$746,"DESLOCAMENTO VAZIO"),0)</f>
        <v>213585.12</v>
      </c>
      <c r="R344" s="10">
        <f>IFERROR(SUMIFS('Base bordo'!I$2:I$746,'Base bordo'!C$2:C$746,A344,'Base bordo'!B$2:B$746,B344,'Base bordo'!F$2:F$746,"DESLOCAMENTO VAZIO"),0)</f>
        <v>6050</v>
      </c>
      <c r="S344" s="30">
        <f t="shared" si="43"/>
        <v>35.303325619834709</v>
      </c>
      <c r="T344" s="10">
        <f>IFERROR(SUMIFS('Base bordo'!H$2:H$746,'Base bordo'!C$2:C$746,A344,'Base bordo'!B$2:B$746,B344,'Base bordo'!F$2:F$746,"DESLOCAMENTO CARREGADO"),0)</f>
        <v>215978.22</v>
      </c>
      <c r="U344" s="10">
        <f>IFERROR(SUMIFS('Base bordo'!I$2:I$746,'Base bordo'!C$2:C$746,A344,'Base bordo'!B$2:B$746,B344,'Base bordo'!F$2:F$746,"DESLOCAMENTO CARREGADO"),0)</f>
        <v>9408</v>
      </c>
      <c r="V344" s="30">
        <f t="shared" si="44"/>
        <v>22.95686862244898</v>
      </c>
      <c r="W344" s="9">
        <f t="shared" si="45"/>
        <v>0.30432595573440646</v>
      </c>
      <c r="X344" s="9">
        <f t="shared" si="46"/>
        <v>0.47464788732394364</v>
      </c>
      <c r="Y344" s="9">
        <f t="shared" si="47"/>
        <v>0.22102615694164984</v>
      </c>
    </row>
    <row r="345" spans="1:25" ht="15" customHeight="1" x14ac:dyDescent="0.35">
      <c r="A345" s="52">
        <v>8013460</v>
      </c>
      <c r="B345" s="51">
        <v>46122</v>
      </c>
      <c r="C345" s="7" t="s">
        <v>124</v>
      </c>
      <c r="D345" s="10">
        <f>IFERROR(SUMIFS('Base bordo'!G$2:G$746,'Base bordo'!C$2:C$746,A345,'Base bordo'!B$2:B$746,B345,'Base bordo'!F$2:F$746,"DESLOCAMENTO VAZIO"),0)</f>
        <v>8.2777777777777783E-2</v>
      </c>
      <c r="E345" s="10">
        <f>IFERROR(SUMIFS('Base bordo'!G$2:G$746,'Base bordo'!C$2:C$746,A345,'Base bordo'!B$2:B$746,B345,'Base bordo'!F$2:F$746,"DESLOCAMENTO CARREGADO"),0)</f>
        <v>0</v>
      </c>
      <c r="F345" s="10">
        <f>IFERROR(SUMIFS('Base bordo'!G$2:G$746,'Base bordo'!C$2:C$746,A345,'Base bordo'!B$2:B$746,B345,'Base bordo'!F$2:F$746,"DESLOCAMENTO"),0)</f>
        <v>0</v>
      </c>
      <c r="G345" s="10">
        <f>IFERROR(SUMIFS('Base bordo'!G$2:G$746,'Base bordo'!C$2:C$746,A345,'Base bordo'!B$2:B$746,B345,'Base bordo'!F$2:F$746,"CARREGAMENTO"),0)</f>
        <v>0</v>
      </c>
      <c r="H345" s="10">
        <f>IFERROR(SUMIFS('Base bordo'!G$2:G$746,'Base bordo'!C$2:C$746,A345,'Base bordo'!B$2:B$746,B345,'Base bordo'!F$2:F$746,"AGUARDANDO TRANSBORDO"),0)</f>
        <v>0</v>
      </c>
      <c r="I345" s="10">
        <f>IFERROR(SUMIFS('Base bordo'!G$2:G$746,'Base bordo'!C$2:C$746,A345,'Base bordo'!B$2:B$746,B345,'Base bordo'!F$2:F$746,"PÁTIO INTERNO"),0)+IFERROR(SUMIFS('Base bordo'!G$2:G$746,'Base bordo'!C$2:C$746,A345,'Base bordo'!B$2:B$746,B345,'Base bordo'!F$2:F$746,"PÁTIO EXTERNO"),0)+IFERROR(SUMIFS('Base bordo'!G$2:G$746,'Base bordo'!C$2:C$746,A345,'Base bordo'!B$2:B$746,B345,'Base bordo'!F$2:F$746,"PATIO - RESERVA"),0)+IFERROR(SUMIFS('Base bordo'!G$2:G$746,'Base bordo'!C$2:C$746,A345,'Base bordo'!B$2:B$746,B345,'Base bordo'!F$2:F$746,"MANOBRA CARRETAS-PATIO"),0)</f>
        <v>0</v>
      </c>
      <c r="J345" s="10">
        <f>IFERROR(SUMIFS('Base bordo'!G$2:G$746,'Base bordo'!C$2:C$746,A345,'Base bordo'!B$2:B$746,B345,'Base bordo'!F$2:F$746,"BALANÇA - ENTRADA"),0)+IFERROR(SUMIFS('Base bordo'!G$2:G$746,'Base bordo'!C$2:C$746,A345,'Base bordo'!B$2:B$746,B345,'Base bordo'!F$2:F$746,"BALANÇA - SAÍDA"),0)</f>
        <v>0</v>
      </c>
      <c r="K345" s="10">
        <f>IFERROR(SUMIFS('Base bordo'!G$2:G$746,'Base bordo'!C$2:C$746,A345,'Base bordo'!B$2:B$746,B345,'Base bordo'!F$2:F$746,"MAN PREVENTIVA - MECANICA"),0)+IFERROR(SUMIFS('Base bordo'!G$2:G$746,'Base bordo'!C$2:C$746,A345,'Base bordo'!B$2:B$746,B345,'Base bordo'!F$2:F$746,"MAN CORRETIVA - MECANICA"),0)</f>
        <v>0</v>
      </c>
      <c r="L345" s="10">
        <f>IFERROR(SUMIFS('Base bordo'!G$2:G$746,'Base bordo'!C$2:C$746,A345,'Base bordo'!B$2:B$746,B345,'Base bordo'!F$2:F$746,"MANUTENCAO - T O"),0)+IFERROR(SUMIFS('Base bordo'!G$2:G$746,'Base bordo'!C$2:C$746,A345,'Base bordo'!B$2:B$746,B345,'Base bordo'!F$2:F$746,"MANUTENCAO BORRACHARIA"),0)+IFERROR(SUMIFS('Base bordo'!G$2:G$746,'Base bordo'!C$2:C$746,A345,'Base bordo'!B$2:B$746,B345,'Base bordo'!F$2:F$746,"MANUTENCAO EXTERNA  CONCESSIONARIA"),0)+IFERROR(SUMIFS('Base bordo'!G$2:G$746,'Base bordo'!C$2:C$746,A345,'Base bordo'!B$2:B$746,B345,'Base bordo'!F$2:F$746,"MANUTENCAO TELEMETRIA"),0)</f>
        <v>0</v>
      </c>
      <c r="M345" s="10">
        <f>IFERROR(SUMIFS('Base bordo'!G$2:G$746,'Base bordo'!C$2:C$746,A345,'Base bordo'!B$2:B$746,B345,'Base bordo'!F$2:F$746,"AGUARDANDO MANUTENCAO"),0)</f>
        <v>0</v>
      </c>
      <c r="N345" s="10">
        <f>IFERROR(SUMIFS('Base bordo'!G$2:G$746,'Base bordo'!C$2:C$746,A345,'Base bordo'!B$2:B$746,B345,'Base bordo'!F$2:F$746,"SEM APONTAMENTO"),0)</f>
        <v>0</v>
      </c>
      <c r="O345" s="10">
        <f t="shared" si="42"/>
        <v>0</v>
      </c>
      <c r="P345" s="10">
        <f>IFERROR(SUMIFS('Base bordo'!G$2:G$746,'Base bordo'!C$2:C$746,A345,'Base bordo'!B$2:B$746,B345),0)</f>
        <v>8.2777777777777783E-2</v>
      </c>
      <c r="Q345" s="10">
        <f>IFERROR(SUMIFS('Base bordo'!H$2:H$746,'Base bordo'!C$2:C$746,A345,'Base bordo'!B$2:B$746,B345,'Base bordo'!F$2:F$746,"DESLOCAMENTO VAZIO"),0)</f>
        <v>2154.54</v>
      </c>
      <c r="R345" s="10">
        <f>IFERROR(SUMIFS('Base bordo'!I$2:I$746,'Base bordo'!C$2:C$746,A345,'Base bordo'!B$2:B$746,B345,'Base bordo'!F$2:F$746,"DESLOCAMENTO VAZIO"),0)</f>
        <v>298</v>
      </c>
      <c r="S345" s="30">
        <f t="shared" si="43"/>
        <v>7.2299999999999995</v>
      </c>
      <c r="T345" s="10">
        <f>IFERROR(SUMIFS('Base bordo'!H$2:H$746,'Base bordo'!C$2:C$746,A345,'Base bordo'!B$2:B$746,B345,'Base bordo'!F$2:F$746,"DESLOCAMENTO CARREGADO"),0)</f>
        <v>0</v>
      </c>
      <c r="U345" s="10">
        <f>IFERROR(SUMIFS('Base bordo'!I$2:I$746,'Base bordo'!C$2:C$746,A345,'Base bordo'!B$2:B$746,B345,'Base bordo'!F$2:F$746,"DESLOCAMENTO CARREGADO"),0)</f>
        <v>0</v>
      </c>
      <c r="V345" s="30" t="str">
        <f t="shared" si="44"/>
        <v/>
      </c>
      <c r="W345" s="9">
        <f t="shared" si="45"/>
        <v>1</v>
      </c>
      <c r="X345" s="9">
        <f t="shared" si="46"/>
        <v>0</v>
      </c>
      <c r="Y345" s="9">
        <f t="shared" si="47"/>
        <v>0</v>
      </c>
    </row>
    <row r="346" spans="1:25" ht="15" customHeight="1" x14ac:dyDescent="0.35">
      <c r="A346" s="52">
        <v>8013476</v>
      </c>
      <c r="B346" s="51">
        <v>46123</v>
      </c>
      <c r="C346" s="7" t="s">
        <v>124</v>
      </c>
      <c r="D346" s="10">
        <f>IFERROR(SUMIFS('Base bordo'!G$2:G$746,'Base bordo'!C$2:C$746,A346,'Base bordo'!B$2:B$746,B346,'Base bordo'!F$2:F$746,"DESLOCAMENTO VAZIO"),0)</f>
        <v>1.3552777777777778</v>
      </c>
      <c r="E346" s="10">
        <f>IFERROR(SUMIFS('Base bordo'!G$2:G$746,'Base bordo'!C$2:C$746,A346,'Base bordo'!B$2:B$746,B346,'Base bordo'!F$2:F$746,"DESLOCAMENTO CARREGADO"),0)</f>
        <v>1.9111111111111112</v>
      </c>
      <c r="F346" s="10">
        <f>IFERROR(SUMIFS('Base bordo'!G$2:G$746,'Base bordo'!C$2:C$746,A346,'Base bordo'!B$2:B$746,B346,'Base bordo'!F$2:F$746,"DESLOCAMENTO"),0)</f>
        <v>0</v>
      </c>
      <c r="G346" s="10">
        <f>IFERROR(SUMIFS('Base bordo'!G$2:G$746,'Base bordo'!C$2:C$746,A346,'Base bordo'!B$2:B$746,B346,'Base bordo'!F$2:F$746,"CARREGAMENTO"),0)</f>
        <v>0</v>
      </c>
      <c r="H346" s="10">
        <f>IFERROR(SUMIFS('Base bordo'!G$2:G$746,'Base bordo'!C$2:C$746,A346,'Base bordo'!B$2:B$746,B346,'Base bordo'!F$2:F$746,"AGUARDANDO TRANSBORDO"),0)</f>
        <v>0.59861111111111109</v>
      </c>
      <c r="I346" s="10">
        <f>IFERROR(SUMIFS('Base bordo'!G$2:G$746,'Base bordo'!C$2:C$746,A346,'Base bordo'!B$2:B$746,B346,'Base bordo'!F$2:F$746,"PÁTIO INTERNO"),0)+IFERROR(SUMIFS('Base bordo'!G$2:G$746,'Base bordo'!C$2:C$746,A346,'Base bordo'!B$2:B$746,B346,'Base bordo'!F$2:F$746,"PÁTIO EXTERNO"),0)+IFERROR(SUMIFS('Base bordo'!G$2:G$746,'Base bordo'!C$2:C$746,A346,'Base bordo'!B$2:B$746,B346,'Base bordo'!F$2:F$746,"PATIO - RESERVA"),0)+IFERROR(SUMIFS('Base bordo'!G$2:G$746,'Base bordo'!C$2:C$746,A346,'Base bordo'!B$2:B$746,B346,'Base bordo'!F$2:F$746,"MANOBRA CARRETAS-PATIO"),0)</f>
        <v>0</v>
      </c>
      <c r="J346" s="10">
        <f>IFERROR(SUMIFS('Base bordo'!G$2:G$746,'Base bordo'!C$2:C$746,A346,'Base bordo'!B$2:B$746,B346,'Base bordo'!F$2:F$746,"BALANÇA - ENTRADA"),0)+IFERROR(SUMIFS('Base bordo'!G$2:G$746,'Base bordo'!C$2:C$746,A346,'Base bordo'!B$2:B$746,B346,'Base bordo'!F$2:F$746,"BALANÇA - SAÍDA"),0)</f>
        <v>0</v>
      </c>
      <c r="K346" s="10">
        <f>IFERROR(SUMIFS('Base bordo'!G$2:G$746,'Base bordo'!C$2:C$746,A346,'Base bordo'!B$2:B$746,B346,'Base bordo'!F$2:F$746,"MAN PREVENTIVA - MECANICA"),0)+IFERROR(SUMIFS('Base bordo'!G$2:G$746,'Base bordo'!C$2:C$746,A346,'Base bordo'!B$2:B$746,B346,'Base bordo'!F$2:F$746,"MAN CORRETIVA - MECANICA"),0)</f>
        <v>0</v>
      </c>
      <c r="L346" s="10">
        <f>IFERROR(SUMIFS('Base bordo'!G$2:G$746,'Base bordo'!C$2:C$746,A346,'Base bordo'!B$2:B$746,B346,'Base bordo'!F$2:F$746,"MANUTENCAO - T O"),0)+IFERROR(SUMIFS('Base bordo'!G$2:G$746,'Base bordo'!C$2:C$746,A346,'Base bordo'!B$2:B$746,B346,'Base bordo'!F$2:F$746,"MANUTENCAO BORRACHARIA"),0)+IFERROR(SUMIFS('Base bordo'!G$2:G$746,'Base bordo'!C$2:C$746,A346,'Base bordo'!B$2:B$746,B346,'Base bordo'!F$2:F$746,"MANUTENCAO EXTERNA  CONCESSIONARIA"),0)+IFERROR(SUMIFS('Base bordo'!G$2:G$746,'Base bordo'!C$2:C$746,A346,'Base bordo'!B$2:B$746,B346,'Base bordo'!F$2:F$746,"MANUTENCAO TELEMETRIA"),0)</f>
        <v>0</v>
      </c>
      <c r="M346" s="10">
        <f>IFERROR(SUMIFS('Base bordo'!G$2:G$746,'Base bordo'!C$2:C$746,A346,'Base bordo'!B$2:B$746,B346,'Base bordo'!F$2:F$746,"AGUARDANDO MANUTENCAO"),0)</f>
        <v>0</v>
      </c>
      <c r="N346" s="10">
        <f>IFERROR(SUMIFS('Base bordo'!G$2:G$746,'Base bordo'!C$2:C$746,A346,'Base bordo'!B$2:B$746,B346,'Base bordo'!F$2:F$746,"SEM APONTAMENTO"),0)</f>
        <v>0</v>
      </c>
      <c r="O346" s="10">
        <f t="shared" si="42"/>
        <v>4.7222222222220722E-3</v>
      </c>
      <c r="P346" s="10">
        <f>IFERROR(SUMIFS('Base bordo'!G$2:G$746,'Base bordo'!C$2:C$746,A346,'Base bordo'!B$2:B$746,B346),0)</f>
        <v>3.8697222222222218</v>
      </c>
      <c r="Q346" s="10">
        <f>IFERROR(SUMIFS('Base bordo'!H$2:H$746,'Base bordo'!C$2:C$746,A346,'Base bordo'!B$2:B$746,B346,'Base bordo'!F$2:F$746,"DESLOCAMENTO VAZIO"),0)</f>
        <v>175902.06</v>
      </c>
      <c r="R346" s="10">
        <f>IFERROR(SUMIFS('Base bordo'!I$2:I$746,'Base bordo'!C$2:C$746,A346,'Base bordo'!B$2:B$746,B346,'Base bordo'!F$2:F$746,"DESLOCAMENTO VAZIO"),0)</f>
        <v>4879</v>
      </c>
      <c r="S346" s="30">
        <f t="shared" si="43"/>
        <v>36.052891986062718</v>
      </c>
      <c r="T346" s="10">
        <f>IFERROR(SUMIFS('Base bordo'!H$2:H$746,'Base bordo'!C$2:C$746,A346,'Base bordo'!B$2:B$746,B346,'Base bordo'!F$2:F$746,"DESLOCAMENTO CARREGADO"),0)</f>
        <v>178464.26</v>
      </c>
      <c r="U346" s="10">
        <f>IFERROR(SUMIFS('Base bordo'!I$2:I$746,'Base bordo'!C$2:C$746,A346,'Base bordo'!B$2:B$746,B346,'Base bordo'!F$2:F$746,"DESLOCAMENTO CARREGADO"),0)</f>
        <v>6880</v>
      </c>
      <c r="V346" s="30">
        <f t="shared" si="44"/>
        <v>25.939572674418606</v>
      </c>
      <c r="W346" s="9">
        <f t="shared" si="45"/>
        <v>0.35022611442107532</v>
      </c>
      <c r="X346" s="9">
        <f t="shared" si="46"/>
        <v>0.49386260857081338</v>
      </c>
      <c r="Y346" s="9">
        <f t="shared" si="47"/>
        <v>0.15591127700811136</v>
      </c>
    </row>
    <row r="347" spans="1:25" ht="15" customHeight="1" x14ac:dyDescent="0.35">
      <c r="A347" s="52">
        <v>8013473</v>
      </c>
      <c r="B347" s="51">
        <v>46122</v>
      </c>
      <c r="C347" s="7" t="s">
        <v>124</v>
      </c>
      <c r="D347" s="10">
        <f>IFERROR(SUMIFS('Base bordo'!G$2:G$746,'Base bordo'!C$2:C$746,A347,'Base bordo'!B$2:B$746,B347,'Base bordo'!F$2:F$746,"DESLOCAMENTO VAZIO"),0)</f>
        <v>7.9444444444444443E-2</v>
      </c>
      <c r="E347" s="10">
        <f>IFERROR(SUMIFS('Base bordo'!G$2:G$746,'Base bordo'!C$2:C$746,A347,'Base bordo'!B$2:B$746,B347,'Base bordo'!F$2:F$746,"DESLOCAMENTO CARREGADO"),0)</f>
        <v>0</v>
      </c>
      <c r="F347" s="10">
        <f>IFERROR(SUMIFS('Base bordo'!G$2:G$746,'Base bordo'!C$2:C$746,A347,'Base bordo'!B$2:B$746,B347,'Base bordo'!F$2:F$746,"DESLOCAMENTO"),0)</f>
        <v>0</v>
      </c>
      <c r="G347" s="10">
        <f>IFERROR(SUMIFS('Base bordo'!G$2:G$746,'Base bordo'!C$2:C$746,A347,'Base bordo'!B$2:B$746,B347,'Base bordo'!F$2:F$746,"CARREGAMENTO"),0)</f>
        <v>0</v>
      </c>
      <c r="H347" s="10">
        <f>IFERROR(SUMIFS('Base bordo'!G$2:G$746,'Base bordo'!C$2:C$746,A347,'Base bordo'!B$2:B$746,B347,'Base bordo'!F$2:F$746,"AGUARDANDO TRANSBORDO"),0)</f>
        <v>0</v>
      </c>
      <c r="I347" s="10">
        <f>IFERROR(SUMIFS('Base bordo'!G$2:G$746,'Base bordo'!C$2:C$746,A347,'Base bordo'!B$2:B$746,B347,'Base bordo'!F$2:F$746,"PÁTIO INTERNO"),0)+IFERROR(SUMIFS('Base bordo'!G$2:G$746,'Base bordo'!C$2:C$746,A347,'Base bordo'!B$2:B$746,B347,'Base bordo'!F$2:F$746,"PÁTIO EXTERNO"),0)+IFERROR(SUMIFS('Base bordo'!G$2:G$746,'Base bordo'!C$2:C$746,A347,'Base bordo'!B$2:B$746,B347,'Base bordo'!F$2:F$746,"PATIO - RESERVA"),0)+IFERROR(SUMIFS('Base bordo'!G$2:G$746,'Base bordo'!C$2:C$746,A347,'Base bordo'!B$2:B$746,B347,'Base bordo'!F$2:F$746,"MANOBRA CARRETAS-PATIO"),0)</f>
        <v>0</v>
      </c>
      <c r="J347" s="10">
        <f>IFERROR(SUMIFS('Base bordo'!G$2:G$746,'Base bordo'!C$2:C$746,A347,'Base bordo'!B$2:B$746,B347,'Base bordo'!F$2:F$746,"BALANÇA - ENTRADA"),0)+IFERROR(SUMIFS('Base bordo'!G$2:G$746,'Base bordo'!C$2:C$746,A347,'Base bordo'!B$2:B$746,B347,'Base bordo'!F$2:F$746,"BALANÇA - SAÍDA"),0)</f>
        <v>0</v>
      </c>
      <c r="K347" s="10">
        <f>IFERROR(SUMIFS('Base bordo'!G$2:G$746,'Base bordo'!C$2:C$746,A347,'Base bordo'!B$2:B$746,B347,'Base bordo'!F$2:F$746,"MAN PREVENTIVA - MECANICA"),0)+IFERROR(SUMIFS('Base bordo'!G$2:G$746,'Base bordo'!C$2:C$746,A347,'Base bordo'!B$2:B$746,B347,'Base bordo'!F$2:F$746,"MAN CORRETIVA - MECANICA"),0)</f>
        <v>0</v>
      </c>
      <c r="L347" s="10">
        <f>IFERROR(SUMIFS('Base bordo'!G$2:G$746,'Base bordo'!C$2:C$746,A347,'Base bordo'!B$2:B$746,B347,'Base bordo'!F$2:F$746,"MANUTENCAO - T O"),0)+IFERROR(SUMIFS('Base bordo'!G$2:G$746,'Base bordo'!C$2:C$746,A347,'Base bordo'!B$2:B$746,B347,'Base bordo'!F$2:F$746,"MANUTENCAO BORRACHARIA"),0)+IFERROR(SUMIFS('Base bordo'!G$2:G$746,'Base bordo'!C$2:C$746,A347,'Base bordo'!B$2:B$746,B347,'Base bordo'!F$2:F$746,"MANUTENCAO EXTERNA  CONCESSIONARIA"),0)+IFERROR(SUMIFS('Base bordo'!G$2:G$746,'Base bordo'!C$2:C$746,A347,'Base bordo'!B$2:B$746,B347,'Base bordo'!F$2:F$746,"MANUTENCAO TELEMETRIA"),0)</f>
        <v>0</v>
      </c>
      <c r="M347" s="10">
        <f>IFERROR(SUMIFS('Base bordo'!G$2:G$746,'Base bordo'!C$2:C$746,A347,'Base bordo'!B$2:B$746,B347,'Base bordo'!F$2:F$746,"AGUARDANDO MANUTENCAO"),0)</f>
        <v>0</v>
      </c>
      <c r="N347" s="10">
        <f>IFERROR(SUMIFS('Base bordo'!G$2:G$746,'Base bordo'!C$2:C$746,A347,'Base bordo'!B$2:B$746,B347,'Base bordo'!F$2:F$746,"SEM APONTAMENTO"),0)</f>
        <v>0</v>
      </c>
      <c r="O347" s="10">
        <f t="shared" si="42"/>
        <v>0</v>
      </c>
      <c r="P347" s="10">
        <f>IFERROR(SUMIFS('Base bordo'!G$2:G$746,'Base bordo'!C$2:C$746,A347,'Base bordo'!B$2:B$746,B347),0)</f>
        <v>7.9444444444444443E-2</v>
      </c>
      <c r="Q347" s="10">
        <f>IFERROR(SUMIFS('Base bordo'!H$2:H$746,'Base bordo'!C$2:C$746,A347,'Base bordo'!B$2:B$746,B347,'Base bordo'!F$2:F$746,"DESLOCAMENTO VAZIO"),0)</f>
        <v>2113.54</v>
      </c>
      <c r="R347" s="10">
        <f>IFERROR(SUMIFS('Base bordo'!I$2:I$746,'Base bordo'!C$2:C$746,A347,'Base bordo'!B$2:B$746,B347,'Base bordo'!F$2:F$746,"DESLOCAMENTO VAZIO"),0)</f>
        <v>286</v>
      </c>
      <c r="S347" s="30">
        <f t="shared" si="43"/>
        <v>7.39</v>
      </c>
      <c r="T347" s="10">
        <f>IFERROR(SUMIFS('Base bordo'!H$2:H$746,'Base bordo'!C$2:C$746,A347,'Base bordo'!B$2:B$746,B347,'Base bordo'!F$2:F$746,"DESLOCAMENTO CARREGADO"),0)</f>
        <v>0</v>
      </c>
      <c r="U347" s="10">
        <f>IFERROR(SUMIFS('Base bordo'!I$2:I$746,'Base bordo'!C$2:C$746,A347,'Base bordo'!B$2:B$746,B347,'Base bordo'!F$2:F$746,"DESLOCAMENTO CARREGADO"),0)</f>
        <v>0</v>
      </c>
      <c r="V347" s="30" t="str">
        <f t="shared" si="44"/>
        <v/>
      </c>
      <c r="W347" s="9">
        <f t="shared" si="45"/>
        <v>1</v>
      </c>
      <c r="X347" s="9">
        <f t="shared" si="46"/>
        <v>0</v>
      </c>
      <c r="Y347" s="9">
        <f t="shared" si="47"/>
        <v>0</v>
      </c>
    </row>
    <row r="348" spans="1:25" ht="15" customHeight="1" x14ac:dyDescent="0.35">
      <c r="A348" s="52">
        <v>8013485</v>
      </c>
      <c r="B348" s="51">
        <v>46119</v>
      </c>
      <c r="C348" s="7" t="s">
        <v>124</v>
      </c>
      <c r="D348" s="10">
        <f>IFERROR(SUMIFS('Base bordo'!G$2:G$746,'Base bordo'!C$2:C$746,A348,'Base bordo'!B$2:B$746,B348,'Base bordo'!F$2:F$746,"DESLOCAMENTO VAZIO"),0)</f>
        <v>2.2908333333333335</v>
      </c>
      <c r="E348" s="10">
        <f>IFERROR(SUMIFS('Base bordo'!G$2:G$746,'Base bordo'!C$2:C$746,A348,'Base bordo'!B$2:B$746,B348,'Base bordo'!F$2:F$746,"DESLOCAMENTO CARREGADO"),0)</f>
        <v>1.8202777777777779</v>
      </c>
      <c r="F348" s="10">
        <f>IFERROR(SUMIFS('Base bordo'!G$2:G$746,'Base bordo'!C$2:C$746,A348,'Base bordo'!B$2:B$746,B348,'Base bordo'!F$2:F$746,"DESLOCAMENTO"),0)</f>
        <v>0</v>
      </c>
      <c r="G348" s="10">
        <f>IFERROR(SUMIFS('Base bordo'!G$2:G$746,'Base bordo'!C$2:C$746,A348,'Base bordo'!B$2:B$746,B348,'Base bordo'!F$2:F$746,"CARREGAMENTO"),0)</f>
        <v>0</v>
      </c>
      <c r="H348" s="10">
        <f>IFERROR(SUMIFS('Base bordo'!G$2:G$746,'Base bordo'!C$2:C$746,A348,'Base bordo'!B$2:B$746,B348,'Base bordo'!F$2:F$746,"AGUARDANDO TRANSBORDO"),0)</f>
        <v>0</v>
      </c>
      <c r="I348" s="10">
        <f>IFERROR(SUMIFS('Base bordo'!G$2:G$746,'Base bordo'!C$2:C$746,A348,'Base bordo'!B$2:B$746,B348,'Base bordo'!F$2:F$746,"PÁTIO INTERNO"),0)+IFERROR(SUMIFS('Base bordo'!G$2:G$746,'Base bordo'!C$2:C$746,A348,'Base bordo'!B$2:B$746,B348,'Base bordo'!F$2:F$746,"PÁTIO EXTERNO"),0)+IFERROR(SUMIFS('Base bordo'!G$2:G$746,'Base bordo'!C$2:C$746,A348,'Base bordo'!B$2:B$746,B348,'Base bordo'!F$2:F$746,"PATIO - RESERVA"),0)+IFERROR(SUMIFS('Base bordo'!G$2:G$746,'Base bordo'!C$2:C$746,A348,'Base bordo'!B$2:B$746,B348,'Base bordo'!F$2:F$746,"MANOBRA CARRETAS-PATIO"),0)</f>
        <v>1.9913888888888889</v>
      </c>
      <c r="J348" s="10">
        <f>IFERROR(SUMIFS('Base bordo'!G$2:G$746,'Base bordo'!C$2:C$746,A348,'Base bordo'!B$2:B$746,B348,'Base bordo'!F$2:F$746,"BALANÇA - ENTRADA"),0)+IFERROR(SUMIFS('Base bordo'!G$2:G$746,'Base bordo'!C$2:C$746,A348,'Base bordo'!B$2:B$746,B348,'Base bordo'!F$2:F$746,"BALANÇA - SAÍDA"),0)</f>
        <v>0.02</v>
      </c>
      <c r="K348" s="10">
        <f>IFERROR(SUMIFS('Base bordo'!G$2:G$746,'Base bordo'!C$2:C$746,A348,'Base bordo'!B$2:B$746,B348,'Base bordo'!F$2:F$746,"MAN PREVENTIVA - MECANICA"),0)+IFERROR(SUMIFS('Base bordo'!G$2:G$746,'Base bordo'!C$2:C$746,A348,'Base bordo'!B$2:B$746,B348,'Base bordo'!F$2:F$746,"MAN CORRETIVA - MECANICA"),0)</f>
        <v>0</v>
      </c>
      <c r="L348" s="10">
        <f>IFERROR(SUMIFS('Base bordo'!G$2:G$746,'Base bordo'!C$2:C$746,A348,'Base bordo'!B$2:B$746,B348,'Base bordo'!F$2:F$746,"MANUTENCAO - T O"),0)+IFERROR(SUMIFS('Base bordo'!G$2:G$746,'Base bordo'!C$2:C$746,A348,'Base bordo'!B$2:B$746,B348,'Base bordo'!F$2:F$746,"MANUTENCAO BORRACHARIA"),0)+IFERROR(SUMIFS('Base bordo'!G$2:G$746,'Base bordo'!C$2:C$746,A348,'Base bordo'!B$2:B$746,B348,'Base bordo'!F$2:F$746,"MANUTENCAO EXTERNA  CONCESSIONARIA"),0)+IFERROR(SUMIFS('Base bordo'!G$2:G$746,'Base bordo'!C$2:C$746,A348,'Base bordo'!B$2:B$746,B348,'Base bordo'!F$2:F$746,"MANUTENCAO TELEMETRIA"),0)</f>
        <v>0</v>
      </c>
      <c r="M348" s="10">
        <f>IFERROR(SUMIFS('Base bordo'!G$2:G$746,'Base bordo'!C$2:C$746,A348,'Base bordo'!B$2:B$746,B348,'Base bordo'!F$2:F$746,"AGUARDANDO MANUTENCAO"),0)</f>
        <v>0</v>
      </c>
      <c r="N348" s="10">
        <f>IFERROR(SUMIFS('Base bordo'!G$2:G$746,'Base bordo'!C$2:C$746,A348,'Base bordo'!B$2:B$746,B348,'Base bordo'!F$2:F$746,"SEM APONTAMENTO"),0)</f>
        <v>0</v>
      </c>
      <c r="O348" s="10">
        <f t="shared" si="42"/>
        <v>2.4166666666666003E-2</v>
      </c>
      <c r="P348" s="10">
        <f>IFERROR(SUMIFS('Base bordo'!G$2:G$746,'Base bordo'!C$2:C$746,A348,'Base bordo'!B$2:B$746,B348),0)</f>
        <v>6.1466666666666665</v>
      </c>
      <c r="Q348" s="10">
        <f>IFERROR(SUMIFS('Base bordo'!H$2:H$746,'Base bordo'!C$2:C$746,A348,'Base bordo'!B$2:B$746,B348,'Base bordo'!F$2:F$746,"DESLOCAMENTO VAZIO"),0)</f>
        <v>213698.84</v>
      </c>
      <c r="R348" s="10">
        <f>IFERROR(SUMIFS('Base bordo'!I$2:I$746,'Base bordo'!C$2:C$746,A348,'Base bordo'!B$2:B$746,B348,'Base bordo'!F$2:F$746,"DESLOCAMENTO VAZIO"),0)</f>
        <v>8247</v>
      </c>
      <c r="S348" s="30">
        <f t="shared" si="43"/>
        <v>25.912312356008243</v>
      </c>
      <c r="T348" s="10">
        <f>IFERROR(SUMIFS('Base bordo'!H$2:H$746,'Base bordo'!C$2:C$746,A348,'Base bordo'!B$2:B$746,B348,'Base bordo'!F$2:F$746,"DESLOCAMENTO CARREGADO"),0)</f>
        <v>171355.69999999998</v>
      </c>
      <c r="U348" s="10">
        <f>IFERROR(SUMIFS('Base bordo'!I$2:I$746,'Base bordo'!C$2:C$746,A348,'Base bordo'!B$2:B$746,B348,'Base bordo'!F$2:F$746,"DESLOCAMENTO CARREGADO"),0)</f>
        <v>6497</v>
      </c>
      <c r="V348" s="30">
        <f t="shared" si="44"/>
        <v>26.374588271509925</v>
      </c>
      <c r="W348" s="9">
        <f t="shared" si="45"/>
        <v>0.37269522776572672</v>
      </c>
      <c r="X348" s="9">
        <f t="shared" si="46"/>
        <v>0.29614063629790316</v>
      </c>
      <c r="Y348" s="9">
        <f t="shared" si="47"/>
        <v>0.33116413593637006</v>
      </c>
    </row>
    <row r="349" spans="1:25" ht="15" customHeight="1" x14ac:dyDescent="0.35">
      <c r="A349" s="52">
        <v>8013475</v>
      </c>
      <c r="B349" s="51">
        <v>46124</v>
      </c>
      <c r="C349" s="7" t="s">
        <v>124</v>
      </c>
      <c r="D349" s="10">
        <f>IFERROR(SUMIFS('Base bordo'!G$2:G$746,'Base bordo'!C$2:C$746,A349,'Base bordo'!B$2:B$746,B349,'Base bordo'!F$2:F$746,"DESLOCAMENTO VAZIO"),0)</f>
        <v>0.7005555555555556</v>
      </c>
      <c r="E349" s="10">
        <f>IFERROR(SUMIFS('Base bordo'!G$2:G$746,'Base bordo'!C$2:C$746,A349,'Base bordo'!B$2:B$746,B349,'Base bordo'!F$2:F$746,"DESLOCAMENTO CARREGADO"),0)</f>
        <v>0.60333333333333339</v>
      </c>
      <c r="F349" s="10">
        <f>IFERROR(SUMIFS('Base bordo'!G$2:G$746,'Base bordo'!C$2:C$746,A349,'Base bordo'!B$2:B$746,B349,'Base bordo'!F$2:F$746,"DESLOCAMENTO"),0)</f>
        <v>0</v>
      </c>
      <c r="G349" s="10">
        <f>IFERROR(SUMIFS('Base bordo'!G$2:G$746,'Base bordo'!C$2:C$746,A349,'Base bordo'!B$2:B$746,B349,'Base bordo'!F$2:F$746,"CARREGAMENTO"),0)</f>
        <v>0</v>
      </c>
      <c r="H349" s="10">
        <f>IFERROR(SUMIFS('Base bordo'!G$2:G$746,'Base bordo'!C$2:C$746,A349,'Base bordo'!B$2:B$746,B349,'Base bordo'!F$2:F$746,"AGUARDANDO TRANSBORDO"),0)</f>
        <v>0.57722222222222219</v>
      </c>
      <c r="I349" s="10">
        <f>IFERROR(SUMIFS('Base bordo'!G$2:G$746,'Base bordo'!C$2:C$746,A349,'Base bordo'!B$2:B$746,B349,'Base bordo'!F$2:F$746,"PÁTIO INTERNO"),0)+IFERROR(SUMIFS('Base bordo'!G$2:G$746,'Base bordo'!C$2:C$746,A349,'Base bordo'!B$2:B$746,B349,'Base bordo'!F$2:F$746,"PÁTIO EXTERNO"),0)+IFERROR(SUMIFS('Base bordo'!G$2:G$746,'Base bordo'!C$2:C$746,A349,'Base bordo'!B$2:B$746,B349,'Base bordo'!F$2:F$746,"PATIO - RESERVA"),0)+IFERROR(SUMIFS('Base bordo'!G$2:G$746,'Base bordo'!C$2:C$746,A349,'Base bordo'!B$2:B$746,B349,'Base bordo'!F$2:F$746,"MANOBRA CARRETAS-PATIO"),0)</f>
        <v>5.7852777777777771</v>
      </c>
      <c r="J349" s="10">
        <f>IFERROR(SUMIFS('Base bordo'!G$2:G$746,'Base bordo'!C$2:C$746,A349,'Base bordo'!B$2:B$746,B349,'Base bordo'!F$2:F$746,"BALANÇA - ENTRADA"),0)+IFERROR(SUMIFS('Base bordo'!G$2:G$746,'Base bordo'!C$2:C$746,A349,'Base bordo'!B$2:B$746,B349,'Base bordo'!F$2:F$746,"BALANÇA - SAÍDA"),0)</f>
        <v>7.8611111111111104E-2</v>
      </c>
      <c r="K349" s="10">
        <f>IFERROR(SUMIFS('Base bordo'!G$2:G$746,'Base bordo'!C$2:C$746,A349,'Base bordo'!B$2:B$746,B349,'Base bordo'!F$2:F$746,"MAN PREVENTIVA - MECANICA"),0)+IFERROR(SUMIFS('Base bordo'!G$2:G$746,'Base bordo'!C$2:C$746,A349,'Base bordo'!B$2:B$746,B349,'Base bordo'!F$2:F$746,"MAN CORRETIVA - MECANICA"),0)</f>
        <v>0</v>
      </c>
      <c r="L349" s="10">
        <f>IFERROR(SUMIFS('Base bordo'!G$2:G$746,'Base bordo'!C$2:C$746,A349,'Base bordo'!B$2:B$746,B349,'Base bordo'!F$2:F$746,"MANUTENCAO - T O"),0)+IFERROR(SUMIFS('Base bordo'!G$2:G$746,'Base bordo'!C$2:C$746,A349,'Base bordo'!B$2:B$746,B349,'Base bordo'!F$2:F$746,"MANUTENCAO BORRACHARIA"),0)+IFERROR(SUMIFS('Base bordo'!G$2:G$746,'Base bordo'!C$2:C$746,A349,'Base bordo'!B$2:B$746,B349,'Base bordo'!F$2:F$746,"MANUTENCAO EXTERNA  CONCESSIONARIA"),0)+IFERROR(SUMIFS('Base bordo'!G$2:G$746,'Base bordo'!C$2:C$746,A349,'Base bordo'!B$2:B$746,B349,'Base bordo'!F$2:F$746,"MANUTENCAO TELEMETRIA"),0)</f>
        <v>0</v>
      </c>
      <c r="M349" s="10">
        <f>IFERROR(SUMIFS('Base bordo'!G$2:G$746,'Base bordo'!C$2:C$746,A349,'Base bordo'!B$2:B$746,B349,'Base bordo'!F$2:F$746,"AGUARDANDO MANUTENCAO"),0)</f>
        <v>0</v>
      </c>
      <c r="N349" s="10">
        <f>IFERROR(SUMIFS('Base bordo'!G$2:G$746,'Base bordo'!C$2:C$746,A349,'Base bordo'!B$2:B$746,B349,'Base bordo'!F$2:F$746,"SEM APONTAMENTO"),0)</f>
        <v>0</v>
      </c>
      <c r="O349" s="10">
        <f t="shared" si="42"/>
        <v>-8.8817841970012523E-16</v>
      </c>
      <c r="P349" s="10">
        <f>IFERROR(SUMIFS('Base bordo'!G$2:G$746,'Base bordo'!C$2:C$746,A349,'Base bordo'!B$2:B$746,B349),0)</f>
        <v>7.7449999999999983</v>
      </c>
      <c r="Q349" s="10">
        <f>IFERROR(SUMIFS('Base bordo'!H$2:H$746,'Base bordo'!C$2:C$746,A349,'Base bordo'!B$2:B$746,B349,'Base bordo'!F$2:F$746,"DESLOCAMENTO VAZIO"),0)</f>
        <v>56346.78</v>
      </c>
      <c r="R349" s="10">
        <f>IFERROR(SUMIFS('Base bordo'!I$2:I$746,'Base bordo'!C$2:C$746,A349,'Base bordo'!B$2:B$746,B349,'Base bordo'!F$2:F$746,"DESLOCAMENTO VAZIO"),0)</f>
        <v>2522</v>
      </c>
      <c r="S349" s="30">
        <f t="shared" si="43"/>
        <v>22.342101506740683</v>
      </c>
      <c r="T349" s="10">
        <f>IFERROR(SUMIFS('Base bordo'!H$2:H$746,'Base bordo'!C$2:C$746,A349,'Base bordo'!B$2:B$746,B349,'Base bordo'!F$2:F$746,"DESLOCAMENTO CARREGADO"),0)</f>
        <v>41086.33</v>
      </c>
      <c r="U349" s="10">
        <f>IFERROR(SUMIFS('Base bordo'!I$2:I$746,'Base bordo'!C$2:C$746,A349,'Base bordo'!B$2:B$746,B349,'Base bordo'!F$2:F$746,"DESLOCAMENTO CARREGADO"),0)</f>
        <v>2172</v>
      </c>
      <c r="V349" s="30">
        <f t="shared" si="44"/>
        <v>18.916358195211789</v>
      </c>
      <c r="W349" s="9">
        <f t="shared" si="45"/>
        <v>9.0452621763144711E-2</v>
      </c>
      <c r="X349" s="9">
        <f t="shared" si="46"/>
        <v>7.7899720249623439E-2</v>
      </c>
      <c r="Y349" s="9">
        <f t="shared" si="47"/>
        <v>0.83164765798723184</v>
      </c>
    </row>
    <row r="350" spans="1:25" ht="15" customHeight="1" x14ac:dyDescent="0.35">
      <c r="A350" s="52">
        <v>8013476</v>
      </c>
      <c r="B350" s="51">
        <v>46120</v>
      </c>
      <c r="C350" s="7" t="s">
        <v>124</v>
      </c>
      <c r="D350" s="10">
        <f>IFERROR(SUMIFS('Base bordo'!G$2:G$746,'Base bordo'!C$2:C$746,A350,'Base bordo'!B$2:B$746,B350,'Base bordo'!F$2:F$746,"DESLOCAMENTO VAZIO"),0)</f>
        <v>0</v>
      </c>
      <c r="E350" s="10">
        <f>IFERROR(SUMIFS('Base bordo'!G$2:G$746,'Base bordo'!C$2:C$746,A350,'Base bordo'!B$2:B$746,B350,'Base bordo'!F$2:F$746,"DESLOCAMENTO CARREGADO"),0)</f>
        <v>1.5577777777777777</v>
      </c>
      <c r="F350" s="10">
        <f>IFERROR(SUMIFS('Base bordo'!G$2:G$746,'Base bordo'!C$2:C$746,A350,'Base bordo'!B$2:B$746,B350,'Base bordo'!F$2:F$746,"DESLOCAMENTO"),0)</f>
        <v>0</v>
      </c>
      <c r="G350" s="10">
        <f>IFERROR(SUMIFS('Base bordo'!G$2:G$746,'Base bordo'!C$2:C$746,A350,'Base bordo'!B$2:B$746,B350,'Base bordo'!F$2:F$746,"CARREGAMENTO"),0)</f>
        <v>0</v>
      </c>
      <c r="H350" s="10">
        <f>IFERROR(SUMIFS('Base bordo'!G$2:G$746,'Base bordo'!C$2:C$746,A350,'Base bordo'!B$2:B$746,B350,'Base bordo'!F$2:F$746,"AGUARDANDO TRANSBORDO"),0)</f>
        <v>0</v>
      </c>
      <c r="I350" s="10">
        <f>IFERROR(SUMIFS('Base bordo'!G$2:G$746,'Base bordo'!C$2:C$746,A350,'Base bordo'!B$2:B$746,B350,'Base bordo'!F$2:F$746,"PÁTIO INTERNO"),0)+IFERROR(SUMIFS('Base bordo'!G$2:G$746,'Base bordo'!C$2:C$746,A350,'Base bordo'!B$2:B$746,B350,'Base bordo'!F$2:F$746,"PÁTIO EXTERNO"),0)+IFERROR(SUMIFS('Base bordo'!G$2:G$746,'Base bordo'!C$2:C$746,A350,'Base bordo'!B$2:B$746,B350,'Base bordo'!F$2:F$746,"PATIO - RESERVA"),0)+IFERROR(SUMIFS('Base bordo'!G$2:G$746,'Base bordo'!C$2:C$746,A350,'Base bordo'!B$2:B$746,B350,'Base bordo'!F$2:F$746,"MANOBRA CARRETAS-PATIO"),0)</f>
        <v>0.27555555555555555</v>
      </c>
      <c r="J350" s="10">
        <f>IFERROR(SUMIFS('Base bordo'!G$2:G$746,'Base bordo'!C$2:C$746,A350,'Base bordo'!B$2:B$746,B350,'Base bordo'!F$2:F$746,"BALANÇA - ENTRADA"),0)+IFERROR(SUMIFS('Base bordo'!G$2:G$746,'Base bordo'!C$2:C$746,A350,'Base bordo'!B$2:B$746,B350,'Base bordo'!F$2:F$746,"BALANÇA - SAÍDA"),0)</f>
        <v>0</v>
      </c>
      <c r="K350" s="10">
        <f>IFERROR(SUMIFS('Base bordo'!G$2:G$746,'Base bordo'!C$2:C$746,A350,'Base bordo'!B$2:B$746,B350,'Base bordo'!F$2:F$746,"MAN PREVENTIVA - MECANICA"),0)+IFERROR(SUMIFS('Base bordo'!G$2:G$746,'Base bordo'!C$2:C$746,A350,'Base bordo'!B$2:B$746,B350,'Base bordo'!F$2:F$746,"MAN CORRETIVA - MECANICA"),0)</f>
        <v>0</v>
      </c>
      <c r="L350" s="10">
        <f>IFERROR(SUMIFS('Base bordo'!G$2:G$746,'Base bordo'!C$2:C$746,A350,'Base bordo'!B$2:B$746,B350,'Base bordo'!F$2:F$746,"MANUTENCAO - T O"),0)+IFERROR(SUMIFS('Base bordo'!G$2:G$746,'Base bordo'!C$2:C$746,A350,'Base bordo'!B$2:B$746,B350,'Base bordo'!F$2:F$746,"MANUTENCAO BORRACHARIA"),0)+IFERROR(SUMIFS('Base bordo'!G$2:G$746,'Base bordo'!C$2:C$746,A350,'Base bordo'!B$2:B$746,B350,'Base bordo'!F$2:F$746,"MANUTENCAO EXTERNA  CONCESSIONARIA"),0)+IFERROR(SUMIFS('Base bordo'!G$2:G$746,'Base bordo'!C$2:C$746,A350,'Base bordo'!B$2:B$746,B350,'Base bordo'!F$2:F$746,"MANUTENCAO TELEMETRIA"),0)</f>
        <v>0</v>
      </c>
      <c r="M350" s="10">
        <f>IFERROR(SUMIFS('Base bordo'!G$2:G$746,'Base bordo'!C$2:C$746,A350,'Base bordo'!B$2:B$746,B350,'Base bordo'!F$2:F$746,"AGUARDANDO MANUTENCAO"),0)</f>
        <v>0</v>
      </c>
      <c r="N350" s="10">
        <f>IFERROR(SUMIFS('Base bordo'!G$2:G$746,'Base bordo'!C$2:C$746,A350,'Base bordo'!B$2:B$746,B350,'Base bordo'!F$2:F$746,"SEM APONTAMENTO"),0)</f>
        <v>0</v>
      </c>
      <c r="O350" s="10">
        <f t="shared" si="42"/>
        <v>0</v>
      </c>
      <c r="P350" s="10">
        <f>IFERROR(SUMIFS('Base bordo'!G$2:G$746,'Base bordo'!C$2:C$746,A350,'Base bordo'!B$2:B$746,B350),0)</f>
        <v>1.8333333333333333</v>
      </c>
      <c r="Q350" s="10">
        <f>IFERROR(SUMIFS('Base bordo'!H$2:H$746,'Base bordo'!C$2:C$746,A350,'Base bordo'!B$2:B$746,B350,'Base bordo'!F$2:F$746,"DESLOCAMENTO VAZIO"),0)</f>
        <v>0</v>
      </c>
      <c r="R350" s="10">
        <f>IFERROR(SUMIFS('Base bordo'!I$2:I$746,'Base bordo'!C$2:C$746,A350,'Base bordo'!B$2:B$746,B350,'Base bordo'!F$2:F$746,"DESLOCAMENTO VAZIO"),0)</f>
        <v>0</v>
      </c>
      <c r="S350" s="30" t="str">
        <f t="shared" si="43"/>
        <v/>
      </c>
      <c r="T350" s="10">
        <f>IFERROR(SUMIFS('Base bordo'!H$2:H$746,'Base bordo'!C$2:C$746,A350,'Base bordo'!B$2:B$746,B350,'Base bordo'!F$2:F$746,"DESLOCAMENTO CARREGADO"),0)</f>
        <v>147812.13999999998</v>
      </c>
      <c r="U350" s="10">
        <f>IFERROR(SUMIFS('Base bordo'!I$2:I$746,'Base bordo'!C$2:C$746,A350,'Base bordo'!B$2:B$746,B350,'Base bordo'!F$2:F$746,"DESLOCAMENTO CARREGADO"),0)</f>
        <v>5608</v>
      </c>
      <c r="V350" s="30">
        <f t="shared" si="44"/>
        <v>26.357371611982877</v>
      </c>
      <c r="W350" s="9">
        <f t="shared" si="45"/>
        <v>0</v>
      </c>
      <c r="X350" s="9">
        <f t="shared" si="46"/>
        <v>0.84969696969696973</v>
      </c>
      <c r="Y350" s="9">
        <f t="shared" si="47"/>
        <v>0.15030303030303027</v>
      </c>
    </row>
    <row r="351" spans="1:25" ht="15" customHeight="1" x14ac:dyDescent="0.35">
      <c r="A351" s="52">
        <v>8013460</v>
      </c>
      <c r="B351" s="51">
        <v>46123</v>
      </c>
      <c r="C351" s="7" t="s">
        <v>124</v>
      </c>
      <c r="D351" s="10">
        <f>IFERROR(SUMIFS('Base bordo'!G$2:G$746,'Base bordo'!C$2:C$746,A351,'Base bordo'!B$2:B$746,B351,'Base bordo'!F$2:F$746,"DESLOCAMENTO VAZIO"),0)</f>
        <v>1.8969444444444445</v>
      </c>
      <c r="E351" s="10">
        <f>IFERROR(SUMIFS('Base bordo'!G$2:G$746,'Base bordo'!C$2:C$746,A351,'Base bordo'!B$2:B$746,B351,'Base bordo'!F$2:F$746,"DESLOCAMENTO CARREGADO"),0)</f>
        <v>2.5080555555555555</v>
      </c>
      <c r="F351" s="10">
        <f>IFERROR(SUMIFS('Base bordo'!G$2:G$746,'Base bordo'!C$2:C$746,A351,'Base bordo'!B$2:B$746,B351,'Base bordo'!F$2:F$746,"DESLOCAMENTO"),0)</f>
        <v>0</v>
      </c>
      <c r="G351" s="10">
        <f>IFERROR(SUMIFS('Base bordo'!G$2:G$746,'Base bordo'!C$2:C$746,A351,'Base bordo'!B$2:B$746,B351,'Base bordo'!F$2:F$746,"CARREGAMENTO"),0)</f>
        <v>0</v>
      </c>
      <c r="H351" s="10">
        <f>IFERROR(SUMIFS('Base bordo'!G$2:G$746,'Base bordo'!C$2:C$746,A351,'Base bordo'!B$2:B$746,B351,'Base bordo'!F$2:F$746,"AGUARDANDO TRANSBORDO"),0)</f>
        <v>0</v>
      </c>
      <c r="I351" s="10">
        <f>IFERROR(SUMIFS('Base bordo'!G$2:G$746,'Base bordo'!C$2:C$746,A351,'Base bordo'!B$2:B$746,B351,'Base bordo'!F$2:F$746,"PÁTIO INTERNO"),0)+IFERROR(SUMIFS('Base bordo'!G$2:G$746,'Base bordo'!C$2:C$746,A351,'Base bordo'!B$2:B$746,B351,'Base bordo'!F$2:F$746,"PÁTIO EXTERNO"),0)+IFERROR(SUMIFS('Base bordo'!G$2:G$746,'Base bordo'!C$2:C$746,A351,'Base bordo'!B$2:B$746,B351,'Base bordo'!F$2:F$746,"PATIO - RESERVA"),0)+IFERROR(SUMIFS('Base bordo'!G$2:G$746,'Base bordo'!C$2:C$746,A351,'Base bordo'!B$2:B$746,B351,'Base bordo'!F$2:F$746,"MANOBRA CARRETAS-PATIO"),0)</f>
        <v>2.3761111111111113</v>
      </c>
      <c r="J351" s="10">
        <f>IFERROR(SUMIFS('Base bordo'!G$2:G$746,'Base bordo'!C$2:C$746,A351,'Base bordo'!B$2:B$746,B351,'Base bordo'!F$2:F$746,"BALANÇA - ENTRADA"),0)+IFERROR(SUMIFS('Base bordo'!G$2:G$746,'Base bordo'!C$2:C$746,A351,'Base bordo'!B$2:B$746,B351,'Base bordo'!F$2:F$746,"BALANÇA - SAÍDA"),0)</f>
        <v>0</v>
      </c>
      <c r="K351" s="10">
        <f>IFERROR(SUMIFS('Base bordo'!G$2:G$746,'Base bordo'!C$2:C$746,A351,'Base bordo'!B$2:B$746,B351,'Base bordo'!F$2:F$746,"MAN PREVENTIVA - MECANICA"),0)+IFERROR(SUMIFS('Base bordo'!G$2:G$746,'Base bordo'!C$2:C$746,A351,'Base bordo'!B$2:B$746,B351,'Base bordo'!F$2:F$746,"MAN CORRETIVA - MECANICA"),0)</f>
        <v>0</v>
      </c>
      <c r="L351" s="10">
        <f>IFERROR(SUMIFS('Base bordo'!G$2:G$746,'Base bordo'!C$2:C$746,A351,'Base bordo'!B$2:B$746,B351,'Base bordo'!F$2:F$746,"MANUTENCAO - T O"),0)+IFERROR(SUMIFS('Base bordo'!G$2:G$746,'Base bordo'!C$2:C$746,A351,'Base bordo'!B$2:B$746,B351,'Base bordo'!F$2:F$746,"MANUTENCAO BORRACHARIA"),0)+IFERROR(SUMIFS('Base bordo'!G$2:G$746,'Base bordo'!C$2:C$746,A351,'Base bordo'!B$2:B$746,B351,'Base bordo'!F$2:F$746,"MANUTENCAO EXTERNA  CONCESSIONARIA"),0)+IFERROR(SUMIFS('Base bordo'!G$2:G$746,'Base bordo'!C$2:C$746,A351,'Base bordo'!B$2:B$746,B351,'Base bordo'!F$2:F$746,"MANUTENCAO TELEMETRIA"),0)</f>
        <v>0</v>
      </c>
      <c r="M351" s="10">
        <f>IFERROR(SUMIFS('Base bordo'!G$2:G$746,'Base bordo'!C$2:C$746,A351,'Base bordo'!B$2:B$746,B351,'Base bordo'!F$2:F$746,"AGUARDANDO MANUTENCAO"),0)</f>
        <v>0</v>
      </c>
      <c r="N351" s="10">
        <f>IFERROR(SUMIFS('Base bordo'!G$2:G$746,'Base bordo'!C$2:C$746,A351,'Base bordo'!B$2:B$746,B351,'Base bordo'!F$2:F$746,"SEM APONTAMENTO"),0)</f>
        <v>0</v>
      </c>
      <c r="O351" s="10">
        <f t="shared" si="42"/>
        <v>0.44861111111111196</v>
      </c>
      <c r="P351" s="10">
        <f>IFERROR(SUMIFS('Base bordo'!G$2:G$746,'Base bordo'!C$2:C$746,A351,'Base bordo'!B$2:B$746,B351),0)</f>
        <v>7.2297222222222235</v>
      </c>
      <c r="Q351" s="10">
        <f>IFERROR(SUMIFS('Base bordo'!H$2:H$746,'Base bordo'!C$2:C$746,A351,'Base bordo'!B$2:B$746,B351,'Base bordo'!F$2:F$746,"DESLOCAMENTO VAZIO"),0)</f>
        <v>236918.97</v>
      </c>
      <c r="R351" s="10">
        <f>IFERROR(SUMIFS('Base bordo'!I$2:I$746,'Base bordo'!C$2:C$746,A351,'Base bordo'!B$2:B$746,B351,'Base bordo'!F$2:F$746,"DESLOCAMENTO VAZIO"),0)</f>
        <v>6829</v>
      </c>
      <c r="S351" s="30">
        <f t="shared" si="43"/>
        <v>34.693069263435348</v>
      </c>
      <c r="T351" s="10">
        <f>IFERROR(SUMIFS('Base bordo'!H$2:H$746,'Base bordo'!C$2:C$746,A351,'Base bordo'!B$2:B$746,B351,'Base bordo'!F$2:F$746,"DESLOCAMENTO CARREGADO"),0)</f>
        <v>208531.69</v>
      </c>
      <c r="U351" s="10">
        <f>IFERROR(SUMIFS('Base bordo'!I$2:I$746,'Base bordo'!C$2:C$746,A351,'Base bordo'!B$2:B$746,B351,'Base bordo'!F$2:F$746,"DESLOCAMENTO CARREGADO"),0)</f>
        <v>8999</v>
      </c>
      <c r="V351" s="30">
        <f t="shared" si="44"/>
        <v>23.172762529169908</v>
      </c>
      <c r="W351" s="9">
        <f t="shared" si="45"/>
        <v>0.26238137318938021</v>
      </c>
      <c r="X351" s="9">
        <f t="shared" si="46"/>
        <v>0.34690897913704993</v>
      </c>
      <c r="Y351" s="9">
        <f t="shared" si="47"/>
        <v>0.39070964767356986</v>
      </c>
    </row>
    <row r="352" spans="1:25" ht="15" customHeight="1" x14ac:dyDescent="0.35">
      <c r="A352" s="52">
        <v>8013478</v>
      </c>
      <c r="B352" s="51">
        <v>46118</v>
      </c>
      <c r="C352" s="7" t="s">
        <v>124</v>
      </c>
      <c r="D352" s="10">
        <f>IFERROR(SUMIFS('Base bordo'!G$2:G$746,'Base bordo'!C$2:C$746,A352,'Base bordo'!B$2:B$746,B352,'Base bordo'!F$2:F$746,"DESLOCAMENTO VAZIO"),0)</f>
        <v>2.2297222222222222</v>
      </c>
      <c r="E352" s="10">
        <f>IFERROR(SUMIFS('Base bordo'!G$2:G$746,'Base bordo'!C$2:C$746,A352,'Base bordo'!B$2:B$746,B352,'Base bordo'!F$2:F$746,"DESLOCAMENTO CARREGADO"),0)</f>
        <v>1.9061111111111111</v>
      </c>
      <c r="F352" s="10">
        <f>IFERROR(SUMIFS('Base bordo'!G$2:G$746,'Base bordo'!C$2:C$746,A352,'Base bordo'!B$2:B$746,B352,'Base bordo'!F$2:F$746,"DESLOCAMENTO"),0)</f>
        <v>0</v>
      </c>
      <c r="G352" s="10">
        <f>IFERROR(SUMIFS('Base bordo'!G$2:G$746,'Base bordo'!C$2:C$746,A352,'Base bordo'!B$2:B$746,B352,'Base bordo'!F$2:F$746,"CARREGAMENTO"),0)</f>
        <v>0</v>
      </c>
      <c r="H352" s="10">
        <f>IFERROR(SUMIFS('Base bordo'!G$2:G$746,'Base bordo'!C$2:C$746,A352,'Base bordo'!B$2:B$746,B352,'Base bordo'!F$2:F$746,"AGUARDANDO TRANSBORDO"),0)</f>
        <v>0.90749999999999997</v>
      </c>
      <c r="I352" s="10">
        <f>IFERROR(SUMIFS('Base bordo'!G$2:G$746,'Base bordo'!C$2:C$746,A352,'Base bordo'!B$2:B$746,B352,'Base bordo'!F$2:F$746,"PÁTIO INTERNO"),0)+IFERROR(SUMIFS('Base bordo'!G$2:G$746,'Base bordo'!C$2:C$746,A352,'Base bordo'!B$2:B$746,B352,'Base bordo'!F$2:F$746,"PÁTIO EXTERNO"),0)+IFERROR(SUMIFS('Base bordo'!G$2:G$746,'Base bordo'!C$2:C$746,A352,'Base bordo'!B$2:B$746,B352,'Base bordo'!F$2:F$746,"PATIO - RESERVA"),0)+IFERROR(SUMIFS('Base bordo'!G$2:G$746,'Base bordo'!C$2:C$746,A352,'Base bordo'!B$2:B$746,B352,'Base bordo'!F$2:F$746,"MANOBRA CARRETAS-PATIO"),0)</f>
        <v>3.8741666666666665</v>
      </c>
      <c r="J352" s="10">
        <f>IFERROR(SUMIFS('Base bordo'!G$2:G$746,'Base bordo'!C$2:C$746,A352,'Base bordo'!B$2:B$746,B352,'Base bordo'!F$2:F$746,"BALANÇA - ENTRADA"),0)+IFERROR(SUMIFS('Base bordo'!G$2:G$746,'Base bordo'!C$2:C$746,A352,'Base bordo'!B$2:B$746,B352,'Base bordo'!F$2:F$746,"BALANÇA - SAÍDA"),0)</f>
        <v>1.1944444444444445E-2</v>
      </c>
      <c r="K352" s="10">
        <f>IFERROR(SUMIFS('Base bordo'!G$2:G$746,'Base bordo'!C$2:C$746,A352,'Base bordo'!B$2:B$746,B352,'Base bordo'!F$2:F$746,"MAN PREVENTIVA - MECANICA"),0)+IFERROR(SUMIFS('Base bordo'!G$2:G$746,'Base bordo'!C$2:C$746,A352,'Base bordo'!B$2:B$746,B352,'Base bordo'!F$2:F$746,"MAN CORRETIVA - MECANICA"),0)</f>
        <v>0</v>
      </c>
      <c r="L352" s="10">
        <f>IFERROR(SUMIFS('Base bordo'!G$2:G$746,'Base bordo'!C$2:C$746,A352,'Base bordo'!B$2:B$746,B352,'Base bordo'!F$2:F$746,"MANUTENCAO - T O"),0)+IFERROR(SUMIFS('Base bordo'!G$2:G$746,'Base bordo'!C$2:C$746,A352,'Base bordo'!B$2:B$746,B352,'Base bordo'!F$2:F$746,"MANUTENCAO BORRACHARIA"),0)+IFERROR(SUMIFS('Base bordo'!G$2:G$746,'Base bordo'!C$2:C$746,A352,'Base bordo'!B$2:B$746,B352,'Base bordo'!F$2:F$746,"MANUTENCAO EXTERNA  CONCESSIONARIA"),0)+IFERROR(SUMIFS('Base bordo'!G$2:G$746,'Base bordo'!C$2:C$746,A352,'Base bordo'!B$2:B$746,B352,'Base bordo'!F$2:F$746,"MANUTENCAO TELEMETRIA"),0)</f>
        <v>0</v>
      </c>
      <c r="M352" s="10">
        <f>IFERROR(SUMIFS('Base bordo'!G$2:G$746,'Base bordo'!C$2:C$746,A352,'Base bordo'!B$2:B$746,B352,'Base bordo'!F$2:F$746,"AGUARDANDO MANUTENCAO"),0)</f>
        <v>0</v>
      </c>
      <c r="N352" s="10">
        <f>IFERROR(SUMIFS('Base bordo'!G$2:G$746,'Base bordo'!C$2:C$746,A352,'Base bordo'!B$2:B$746,B352,'Base bordo'!F$2:F$746,"SEM APONTAMENTO"),0)</f>
        <v>0</v>
      </c>
      <c r="O352" s="10">
        <f t="shared" si="42"/>
        <v>2.3333333333331652E-2</v>
      </c>
      <c r="P352" s="10">
        <f>IFERROR(SUMIFS('Base bordo'!G$2:G$746,'Base bordo'!C$2:C$746,A352,'Base bordo'!B$2:B$746,B352),0)</f>
        <v>8.9527777777777757</v>
      </c>
      <c r="Q352" s="10">
        <f>IFERROR(SUMIFS('Base bordo'!H$2:H$746,'Base bordo'!C$2:C$746,A352,'Base bordo'!B$2:B$746,B352,'Base bordo'!F$2:F$746,"DESLOCAMENTO VAZIO"),0)</f>
        <v>290634.14</v>
      </c>
      <c r="R352" s="10">
        <f>IFERROR(SUMIFS('Base bordo'!I$2:I$746,'Base bordo'!C$2:C$746,A352,'Base bordo'!B$2:B$746,B352,'Base bordo'!F$2:F$746,"DESLOCAMENTO VAZIO"),0)</f>
        <v>8027</v>
      </c>
      <c r="S352" s="30">
        <f t="shared" si="43"/>
        <v>36.207068643328768</v>
      </c>
      <c r="T352" s="10">
        <f>IFERROR(SUMIFS('Base bordo'!H$2:H$746,'Base bordo'!C$2:C$746,A352,'Base bordo'!B$2:B$746,B352,'Base bordo'!F$2:F$746,"DESLOCAMENTO CARREGADO"),0)</f>
        <v>165552.33000000002</v>
      </c>
      <c r="U352" s="10">
        <f>IFERROR(SUMIFS('Base bordo'!I$2:I$746,'Base bordo'!C$2:C$746,A352,'Base bordo'!B$2:B$746,B352,'Base bordo'!F$2:F$746,"DESLOCAMENTO CARREGADO"),0)</f>
        <v>6862</v>
      </c>
      <c r="V352" s="30">
        <f t="shared" si="44"/>
        <v>24.125958904109591</v>
      </c>
      <c r="W352" s="9">
        <f t="shared" si="45"/>
        <v>0.24905367669872794</v>
      </c>
      <c r="X352" s="9">
        <f t="shared" si="46"/>
        <v>0.21290722928948189</v>
      </c>
      <c r="Y352" s="9">
        <f t="shared" si="47"/>
        <v>0.53803909401179018</v>
      </c>
    </row>
    <row r="353" spans="1:25" ht="15" customHeight="1" x14ac:dyDescent="0.35">
      <c r="A353" s="52">
        <v>8013481</v>
      </c>
      <c r="B353" s="51">
        <v>46118</v>
      </c>
      <c r="C353" s="7" t="s">
        <v>124</v>
      </c>
      <c r="D353" s="10">
        <f>IFERROR(SUMIFS('Base bordo'!G$2:G$746,'Base bordo'!C$2:C$746,A353,'Base bordo'!B$2:B$746,B353,'Base bordo'!F$2:F$746,"DESLOCAMENTO VAZIO"),0)</f>
        <v>0.8288888888888889</v>
      </c>
      <c r="E353" s="10">
        <f>IFERROR(SUMIFS('Base bordo'!G$2:G$746,'Base bordo'!C$2:C$746,A353,'Base bordo'!B$2:B$746,B353,'Base bordo'!F$2:F$746,"DESLOCAMENTO CARREGADO"),0)</f>
        <v>4.8333333333333332E-2</v>
      </c>
      <c r="F353" s="10">
        <f>IFERROR(SUMIFS('Base bordo'!G$2:G$746,'Base bordo'!C$2:C$746,A353,'Base bordo'!B$2:B$746,B353,'Base bordo'!F$2:F$746,"DESLOCAMENTO"),0)</f>
        <v>0</v>
      </c>
      <c r="G353" s="10">
        <f>IFERROR(SUMIFS('Base bordo'!G$2:G$746,'Base bordo'!C$2:C$746,A353,'Base bordo'!B$2:B$746,B353,'Base bordo'!F$2:F$746,"CARREGAMENTO"),0)</f>
        <v>0</v>
      </c>
      <c r="H353" s="10">
        <f>IFERROR(SUMIFS('Base bordo'!G$2:G$746,'Base bordo'!C$2:C$746,A353,'Base bordo'!B$2:B$746,B353,'Base bordo'!F$2:F$746,"AGUARDANDO TRANSBORDO"),0)</f>
        <v>0</v>
      </c>
      <c r="I353" s="10">
        <f>IFERROR(SUMIFS('Base bordo'!G$2:G$746,'Base bordo'!C$2:C$746,A353,'Base bordo'!B$2:B$746,B353,'Base bordo'!F$2:F$746,"PÁTIO INTERNO"),0)+IFERROR(SUMIFS('Base bordo'!G$2:G$746,'Base bordo'!C$2:C$746,A353,'Base bordo'!B$2:B$746,B353,'Base bordo'!F$2:F$746,"PÁTIO EXTERNO"),0)+IFERROR(SUMIFS('Base bordo'!G$2:G$746,'Base bordo'!C$2:C$746,A353,'Base bordo'!B$2:B$746,B353,'Base bordo'!F$2:F$746,"PATIO - RESERVA"),0)+IFERROR(SUMIFS('Base bordo'!G$2:G$746,'Base bordo'!C$2:C$746,A353,'Base bordo'!B$2:B$746,B353,'Base bordo'!F$2:F$746,"MANOBRA CARRETAS-PATIO"),0)</f>
        <v>2.8108333333333335</v>
      </c>
      <c r="J353" s="10">
        <f>IFERROR(SUMIFS('Base bordo'!G$2:G$746,'Base bordo'!C$2:C$746,A353,'Base bordo'!B$2:B$746,B353,'Base bordo'!F$2:F$746,"BALANÇA - ENTRADA"),0)+IFERROR(SUMIFS('Base bordo'!G$2:G$746,'Base bordo'!C$2:C$746,A353,'Base bordo'!B$2:B$746,B353,'Base bordo'!F$2:F$746,"BALANÇA - SAÍDA"),0)</f>
        <v>3.3333333333333333E-2</v>
      </c>
      <c r="K353" s="10">
        <f>IFERROR(SUMIFS('Base bordo'!G$2:G$746,'Base bordo'!C$2:C$746,A353,'Base bordo'!B$2:B$746,B353,'Base bordo'!F$2:F$746,"MAN PREVENTIVA - MECANICA"),0)+IFERROR(SUMIFS('Base bordo'!G$2:G$746,'Base bordo'!C$2:C$746,A353,'Base bordo'!B$2:B$746,B353,'Base bordo'!F$2:F$746,"MAN CORRETIVA - MECANICA"),0)</f>
        <v>0</v>
      </c>
      <c r="L353" s="10">
        <f>IFERROR(SUMIFS('Base bordo'!G$2:G$746,'Base bordo'!C$2:C$746,A353,'Base bordo'!B$2:B$746,B353,'Base bordo'!F$2:F$746,"MANUTENCAO - T O"),0)+IFERROR(SUMIFS('Base bordo'!G$2:G$746,'Base bordo'!C$2:C$746,A353,'Base bordo'!B$2:B$746,B353,'Base bordo'!F$2:F$746,"MANUTENCAO BORRACHARIA"),0)+IFERROR(SUMIFS('Base bordo'!G$2:G$746,'Base bordo'!C$2:C$746,A353,'Base bordo'!B$2:B$746,B353,'Base bordo'!F$2:F$746,"MANUTENCAO EXTERNA  CONCESSIONARIA"),0)+IFERROR(SUMIFS('Base bordo'!G$2:G$746,'Base bordo'!C$2:C$746,A353,'Base bordo'!B$2:B$746,B353,'Base bordo'!F$2:F$746,"MANUTENCAO TELEMETRIA"),0)</f>
        <v>0</v>
      </c>
      <c r="M353" s="10">
        <f>IFERROR(SUMIFS('Base bordo'!G$2:G$746,'Base bordo'!C$2:C$746,A353,'Base bordo'!B$2:B$746,B353,'Base bordo'!F$2:F$746,"AGUARDANDO MANUTENCAO"),0)</f>
        <v>0</v>
      </c>
      <c r="N353" s="10">
        <f>IFERROR(SUMIFS('Base bordo'!G$2:G$746,'Base bordo'!C$2:C$746,A353,'Base bordo'!B$2:B$746,B353,'Base bordo'!F$2:F$746,"SEM APONTAMENTO"),0)</f>
        <v>0</v>
      </c>
      <c r="O353" s="10">
        <f t="shared" si="42"/>
        <v>0</v>
      </c>
      <c r="P353" s="10">
        <f>IFERROR(SUMIFS('Base bordo'!G$2:G$746,'Base bordo'!C$2:C$746,A353,'Base bordo'!B$2:B$746,B353),0)</f>
        <v>3.7213888888888889</v>
      </c>
      <c r="Q353" s="10">
        <f>IFERROR(SUMIFS('Base bordo'!H$2:H$746,'Base bordo'!C$2:C$746,A353,'Base bordo'!B$2:B$746,B353,'Base bordo'!F$2:F$746,"DESLOCAMENTO VAZIO"),0)</f>
        <v>65601.72</v>
      </c>
      <c r="R353" s="10">
        <f>IFERROR(SUMIFS('Base bordo'!I$2:I$746,'Base bordo'!C$2:C$746,A353,'Base bordo'!B$2:B$746,B353,'Base bordo'!F$2:F$746,"DESLOCAMENTO VAZIO"),0)</f>
        <v>2984</v>
      </c>
      <c r="S353" s="30">
        <f t="shared" si="43"/>
        <v>21.984490616621983</v>
      </c>
      <c r="T353" s="10">
        <f>IFERROR(SUMIFS('Base bordo'!H$2:H$746,'Base bordo'!C$2:C$746,A353,'Base bordo'!B$2:B$746,B353,'Base bordo'!F$2:F$746,"DESLOCAMENTO CARREGADO"),0)</f>
        <v>501.05</v>
      </c>
      <c r="U353" s="10">
        <f>IFERROR(SUMIFS('Base bordo'!I$2:I$746,'Base bordo'!C$2:C$746,A353,'Base bordo'!B$2:B$746,B353,'Base bordo'!F$2:F$746,"DESLOCAMENTO CARREGADO"),0)</f>
        <v>174</v>
      </c>
      <c r="V353" s="30">
        <f t="shared" si="44"/>
        <v>2.8795977011494251</v>
      </c>
      <c r="W353" s="9">
        <f t="shared" si="45"/>
        <v>0.22273643352989475</v>
      </c>
      <c r="X353" s="9">
        <f t="shared" si="46"/>
        <v>1.2987982384115847E-2</v>
      </c>
      <c r="Y353" s="9">
        <f t="shared" si="47"/>
        <v>0.76427558408598939</v>
      </c>
    </row>
    <row r="354" spans="1:25" ht="15" customHeight="1" x14ac:dyDescent="0.35">
      <c r="A354" s="52">
        <v>8013461</v>
      </c>
      <c r="B354" s="51">
        <v>46119</v>
      </c>
      <c r="C354" s="7" t="s">
        <v>124</v>
      </c>
      <c r="D354" s="10">
        <f>IFERROR(SUMIFS('Base bordo'!G$2:G$746,'Base bordo'!C$2:C$746,A354,'Base bordo'!B$2:B$746,B354,'Base bordo'!F$2:F$746,"DESLOCAMENTO VAZIO"),0)</f>
        <v>1.4069444444444446</v>
      </c>
      <c r="E354" s="10">
        <f>IFERROR(SUMIFS('Base bordo'!G$2:G$746,'Base bordo'!C$2:C$746,A354,'Base bordo'!B$2:B$746,B354,'Base bordo'!F$2:F$746,"DESLOCAMENTO CARREGADO"),0)</f>
        <v>1.8011111111111111</v>
      </c>
      <c r="F354" s="10">
        <f>IFERROR(SUMIFS('Base bordo'!G$2:G$746,'Base bordo'!C$2:C$746,A354,'Base bordo'!B$2:B$746,B354,'Base bordo'!F$2:F$746,"DESLOCAMENTO"),0)</f>
        <v>0</v>
      </c>
      <c r="G354" s="10">
        <f>IFERROR(SUMIFS('Base bordo'!G$2:G$746,'Base bordo'!C$2:C$746,A354,'Base bordo'!B$2:B$746,B354,'Base bordo'!F$2:F$746,"CARREGAMENTO"),0)</f>
        <v>0</v>
      </c>
      <c r="H354" s="10">
        <f>IFERROR(SUMIFS('Base bordo'!G$2:G$746,'Base bordo'!C$2:C$746,A354,'Base bordo'!B$2:B$746,B354,'Base bordo'!F$2:F$746,"AGUARDANDO TRANSBORDO"),0)</f>
        <v>0.2011111111111111</v>
      </c>
      <c r="I354" s="10">
        <f>IFERROR(SUMIFS('Base bordo'!G$2:G$746,'Base bordo'!C$2:C$746,A354,'Base bordo'!B$2:B$746,B354,'Base bordo'!F$2:F$746,"PÁTIO INTERNO"),0)+IFERROR(SUMIFS('Base bordo'!G$2:G$746,'Base bordo'!C$2:C$746,A354,'Base bordo'!B$2:B$746,B354,'Base bordo'!F$2:F$746,"PÁTIO EXTERNO"),0)+IFERROR(SUMIFS('Base bordo'!G$2:G$746,'Base bordo'!C$2:C$746,A354,'Base bordo'!B$2:B$746,B354,'Base bordo'!F$2:F$746,"PATIO - RESERVA"),0)+IFERROR(SUMIFS('Base bordo'!G$2:G$746,'Base bordo'!C$2:C$746,A354,'Base bordo'!B$2:B$746,B354,'Base bordo'!F$2:F$746,"MANOBRA CARRETAS-PATIO"),0)</f>
        <v>8.8375000000000004</v>
      </c>
      <c r="J354" s="10">
        <f>IFERROR(SUMIFS('Base bordo'!G$2:G$746,'Base bordo'!C$2:C$746,A354,'Base bordo'!B$2:B$746,B354,'Base bordo'!F$2:F$746,"BALANÇA - ENTRADA"),0)+IFERROR(SUMIFS('Base bordo'!G$2:G$746,'Base bordo'!C$2:C$746,A354,'Base bordo'!B$2:B$746,B354,'Base bordo'!F$2:F$746,"BALANÇA - SAÍDA"),0)</f>
        <v>0.15</v>
      </c>
      <c r="K354" s="10">
        <f>IFERROR(SUMIFS('Base bordo'!G$2:G$746,'Base bordo'!C$2:C$746,A354,'Base bordo'!B$2:B$746,B354,'Base bordo'!F$2:F$746,"MAN PREVENTIVA - MECANICA"),0)+IFERROR(SUMIFS('Base bordo'!G$2:G$746,'Base bordo'!C$2:C$746,A354,'Base bordo'!B$2:B$746,B354,'Base bordo'!F$2:F$746,"MAN CORRETIVA - MECANICA"),0)</f>
        <v>0</v>
      </c>
      <c r="L354" s="10">
        <f>IFERROR(SUMIFS('Base bordo'!G$2:G$746,'Base bordo'!C$2:C$746,A354,'Base bordo'!B$2:B$746,B354,'Base bordo'!F$2:F$746,"MANUTENCAO - T O"),0)+IFERROR(SUMIFS('Base bordo'!G$2:G$746,'Base bordo'!C$2:C$746,A354,'Base bordo'!B$2:B$746,B354,'Base bordo'!F$2:F$746,"MANUTENCAO BORRACHARIA"),0)+IFERROR(SUMIFS('Base bordo'!G$2:G$746,'Base bordo'!C$2:C$746,A354,'Base bordo'!B$2:B$746,B354,'Base bordo'!F$2:F$746,"MANUTENCAO EXTERNA  CONCESSIONARIA"),0)+IFERROR(SUMIFS('Base bordo'!G$2:G$746,'Base bordo'!C$2:C$746,A354,'Base bordo'!B$2:B$746,B354,'Base bordo'!F$2:F$746,"MANUTENCAO TELEMETRIA"),0)</f>
        <v>0</v>
      </c>
      <c r="M354" s="10">
        <f>IFERROR(SUMIFS('Base bordo'!G$2:G$746,'Base bordo'!C$2:C$746,A354,'Base bordo'!B$2:B$746,B354,'Base bordo'!F$2:F$746,"AGUARDANDO MANUTENCAO"),0)</f>
        <v>0</v>
      </c>
      <c r="N354" s="10">
        <f>IFERROR(SUMIFS('Base bordo'!G$2:G$746,'Base bordo'!C$2:C$746,A354,'Base bordo'!B$2:B$746,B354,'Base bordo'!F$2:F$746,"SEM APONTAMENTO"),0)</f>
        <v>0</v>
      </c>
      <c r="O354" s="10">
        <f t="shared" si="42"/>
        <v>0.18333333333333357</v>
      </c>
      <c r="P354" s="10">
        <f>IFERROR(SUMIFS('Base bordo'!G$2:G$746,'Base bordo'!C$2:C$746,A354,'Base bordo'!B$2:B$746,B354),0)</f>
        <v>12.58</v>
      </c>
      <c r="Q354" s="10">
        <f>IFERROR(SUMIFS('Base bordo'!H$2:H$746,'Base bordo'!C$2:C$746,A354,'Base bordo'!B$2:B$746,B354,'Base bordo'!F$2:F$746,"DESLOCAMENTO VAZIO"),0)</f>
        <v>177546.48</v>
      </c>
      <c r="R354" s="10">
        <f>IFERROR(SUMIFS('Base bordo'!I$2:I$746,'Base bordo'!C$2:C$746,A354,'Base bordo'!B$2:B$746,B354,'Base bordo'!F$2:F$746,"DESLOCAMENTO VAZIO"),0)</f>
        <v>5065</v>
      </c>
      <c r="S354" s="30">
        <f t="shared" si="43"/>
        <v>35.05359921026654</v>
      </c>
      <c r="T354" s="10">
        <f>IFERROR(SUMIFS('Base bordo'!H$2:H$746,'Base bordo'!C$2:C$746,A354,'Base bordo'!B$2:B$746,B354,'Base bordo'!F$2:F$746,"DESLOCAMENTO CARREGADO"),0)</f>
        <v>173551.50000000003</v>
      </c>
      <c r="U354" s="10">
        <f>IFERROR(SUMIFS('Base bordo'!I$2:I$746,'Base bordo'!C$2:C$746,A354,'Base bordo'!B$2:B$746,B354,'Base bordo'!F$2:F$746,"DESLOCAMENTO CARREGADO"),0)</f>
        <v>6484</v>
      </c>
      <c r="V354" s="30">
        <f t="shared" si="44"/>
        <v>26.766116594694637</v>
      </c>
      <c r="W354" s="9">
        <f t="shared" si="45"/>
        <v>0.11183978095742803</v>
      </c>
      <c r="X354" s="9">
        <f t="shared" si="46"/>
        <v>0.14317258434905494</v>
      </c>
      <c r="Y354" s="9">
        <f t="shared" si="47"/>
        <v>0.74498763469351703</v>
      </c>
    </row>
    <row r="355" spans="1:25" ht="15" customHeight="1" x14ac:dyDescent="0.35">
      <c r="A355" s="52">
        <v>8013474</v>
      </c>
      <c r="B355" s="51">
        <v>46118</v>
      </c>
      <c r="C355" s="7" t="s">
        <v>124</v>
      </c>
      <c r="D355" s="10">
        <f>IFERROR(SUMIFS('Base bordo'!G$2:G$746,'Base bordo'!C$2:C$746,A355,'Base bordo'!B$2:B$746,B355,'Base bordo'!F$2:F$746,"DESLOCAMENTO VAZIO"),0)</f>
        <v>0.72111111111111115</v>
      </c>
      <c r="E355" s="10">
        <f>IFERROR(SUMIFS('Base bordo'!G$2:G$746,'Base bordo'!C$2:C$746,A355,'Base bordo'!B$2:B$746,B355,'Base bordo'!F$2:F$746,"DESLOCAMENTO CARREGADO"),0)</f>
        <v>0.97972222222222227</v>
      </c>
      <c r="F355" s="10">
        <f>IFERROR(SUMIFS('Base bordo'!G$2:G$746,'Base bordo'!C$2:C$746,A355,'Base bordo'!B$2:B$746,B355,'Base bordo'!F$2:F$746,"DESLOCAMENTO"),0)</f>
        <v>0</v>
      </c>
      <c r="G355" s="10">
        <f>IFERROR(SUMIFS('Base bordo'!G$2:G$746,'Base bordo'!C$2:C$746,A355,'Base bordo'!B$2:B$746,B355,'Base bordo'!F$2:F$746,"CARREGAMENTO"),0)</f>
        <v>0</v>
      </c>
      <c r="H355" s="10">
        <f>IFERROR(SUMIFS('Base bordo'!G$2:G$746,'Base bordo'!C$2:C$746,A355,'Base bordo'!B$2:B$746,B355,'Base bordo'!F$2:F$746,"AGUARDANDO TRANSBORDO"),0)</f>
        <v>0.20861111111111111</v>
      </c>
      <c r="I355" s="10">
        <f>IFERROR(SUMIFS('Base bordo'!G$2:G$746,'Base bordo'!C$2:C$746,A355,'Base bordo'!B$2:B$746,B355,'Base bordo'!F$2:F$746,"PÁTIO INTERNO"),0)+IFERROR(SUMIFS('Base bordo'!G$2:G$746,'Base bordo'!C$2:C$746,A355,'Base bordo'!B$2:B$746,B355,'Base bordo'!F$2:F$746,"PÁTIO EXTERNO"),0)+IFERROR(SUMIFS('Base bordo'!G$2:G$746,'Base bordo'!C$2:C$746,A355,'Base bordo'!B$2:B$746,B355,'Base bordo'!F$2:F$746,"PATIO - RESERVA"),0)+IFERROR(SUMIFS('Base bordo'!G$2:G$746,'Base bordo'!C$2:C$746,A355,'Base bordo'!B$2:B$746,B355,'Base bordo'!F$2:F$746,"MANOBRA CARRETAS-PATIO"),0)</f>
        <v>8.4474999999999998</v>
      </c>
      <c r="J355" s="10">
        <f>IFERROR(SUMIFS('Base bordo'!G$2:G$746,'Base bordo'!C$2:C$746,A355,'Base bordo'!B$2:B$746,B355,'Base bordo'!F$2:F$746,"BALANÇA - ENTRADA"),0)+IFERROR(SUMIFS('Base bordo'!G$2:G$746,'Base bordo'!C$2:C$746,A355,'Base bordo'!B$2:B$746,B355,'Base bordo'!F$2:F$746,"BALANÇA - SAÍDA"),0)</f>
        <v>6.3611111111111118E-2</v>
      </c>
      <c r="K355" s="10">
        <f>IFERROR(SUMIFS('Base bordo'!G$2:G$746,'Base bordo'!C$2:C$746,A355,'Base bordo'!B$2:B$746,B355,'Base bordo'!F$2:F$746,"MAN PREVENTIVA - MECANICA"),0)+IFERROR(SUMIFS('Base bordo'!G$2:G$746,'Base bordo'!C$2:C$746,A355,'Base bordo'!B$2:B$746,B355,'Base bordo'!F$2:F$746,"MAN CORRETIVA - MECANICA"),0)</f>
        <v>0</v>
      </c>
      <c r="L355" s="10">
        <f>IFERROR(SUMIFS('Base bordo'!G$2:G$746,'Base bordo'!C$2:C$746,A355,'Base bordo'!B$2:B$746,B355,'Base bordo'!F$2:F$746,"MANUTENCAO - T O"),0)+IFERROR(SUMIFS('Base bordo'!G$2:G$746,'Base bordo'!C$2:C$746,A355,'Base bordo'!B$2:B$746,B355,'Base bordo'!F$2:F$746,"MANUTENCAO BORRACHARIA"),0)+IFERROR(SUMIFS('Base bordo'!G$2:G$746,'Base bordo'!C$2:C$746,A355,'Base bordo'!B$2:B$746,B355,'Base bordo'!F$2:F$746,"MANUTENCAO EXTERNA  CONCESSIONARIA"),0)+IFERROR(SUMIFS('Base bordo'!G$2:G$746,'Base bordo'!C$2:C$746,A355,'Base bordo'!B$2:B$746,B355,'Base bordo'!F$2:F$746,"MANUTENCAO TELEMETRIA"),0)</f>
        <v>8.77</v>
      </c>
      <c r="M355" s="10">
        <f>IFERROR(SUMIFS('Base bordo'!G$2:G$746,'Base bordo'!C$2:C$746,A355,'Base bordo'!B$2:B$746,B355,'Base bordo'!F$2:F$746,"AGUARDANDO MANUTENCAO"),0)</f>
        <v>0</v>
      </c>
      <c r="N355" s="10">
        <f>IFERROR(SUMIFS('Base bordo'!G$2:G$746,'Base bordo'!C$2:C$746,A355,'Base bordo'!B$2:B$746,B355,'Base bordo'!F$2:F$746,"SEM APONTAMENTO"),0)</f>
        <v>0</v>
      </c>
      <c r="O355" s="10">
        <f t="shared" si="42"/>
        <v>0</v>
      </c>
      <c r="P355" s="10">
        <f>IFERROR(SUMIFS('Base bordo'!G$2:G$746,'Base bordo'!C$2:C$746,A355,'Base bordo'!B$2:B$746,B355),0)</f>
        <v>19.190555555555555</v>
      </c>
      <c r="Q355" s="10">
        <f>IFERROR(SUMIFS('Base bordo'!H$2:H$746,'Base bordo'!C$2:C$746,A355,'Base bordo'!B$2:B$746,B355,'Base bordo'!F$2:F$746,"DESLOCAMENTO VAZIO"),0)</f>
        <v>70252.17</v>
      </c>
      <c r="R355" s="10">
        <f>IFERROR(SUMIFS('Base bordo'!I$2:I$746,'Base bordo'!C$2:C$746,A355,'Base bordo'!B$2:B$746,B355,'Base bordo'!F$2:F$746,"DESLOCAMENTO VAZIO"),0)</f>
        <v>2596</v>
      </c>
      <c r="S355" s="30">
        <f t="shared" si="43"/>
        <v>27.061698767334359</v>
      </c>
      <c r="T355" s="10">
        <f>IFERROR(SUMIFS('Base bordo'!H$2:H$746,'Base bordo'!C$2:C$746,A355,'Base bordo'!B$2:B$746,B355,'Base bordo'!F$2:F$746,"DESLOCAMENTO CARREGADO"),0)</f>
        <v>68679.02</v>
      </c>
      <c r="U355" s="10">
        <f>IFERROR(SUMIFS('Base bordo'!I$2:I$746,'Base bordo'!C$2:C$746,A355,'Base bordo'!B$2:B$746,B355,'Base bordo'!F$2:F$746,"DESLOCAMENTO CARREGADO"),0)</f>
        <v>3527</v>
      </c>
      <c r="V355" s="30">
        <f t="shared" si="44"/>
        <v>19.472361780550045</v>
      </c>
      <c r="W355" s="9">
        <f t="shared" si="45"/>
        <v>3.7576354109370928E-2</v>
      </c>
      <c r="X355" s="9">
        <f t="shared" si="46"/>
        <v>5.1052311611614512E-2</v>
      </c>
      <c r="Y355" s="9">
        <f t="shared" si="47"/>
        <v>0.91137133427901451</v>
      </c>
    </row>
    <row r="356" spans="1:25" ht="15" customHeight="1" x14ac:dyDescent="0.35">
      <c r="A356" s="52">
        <v>8013468</v>
      </c>
      <c r="B356" s="51">
        <v>46118</v>
      </c>
      <c r="C356" s="7" t="s">
        <v>124</v>
      </c>
      <c r="D356" s="10">
        <f>IFERROR(SUMIFS('Base bordo'!G$2:G$746,'Base bordo'!C$2:C$746,A356,'Base bordo'!B$2:B$746,B356,'Base bordo'!F$2:F$746,"DESLOCAMENTO VAZIO"),0)</f>
        <v>0.6841666666666667</v>
      </c>
      <c r="E356" s="10">
        <f>IFERROR(SUMIFS('Base bordo'!G$2:G$746,'Base bordo'!C$2:C$746,A356,'Base bordo'!B$2:B$746,B356,'Base bordo'!F$2:F$746,"DESLOCAMENTO CARREGADO"),0)</f>
        <v>1.9422222222222223</v>
      </c>
      <c r="F356" s="10">
        <f>IFERROR(SUMIFS('Base bordo'!G$2:G$746,'Base bordo'!C$2:C$746,A356,'Base bordo'!B$2:B$746,B356,'Base bordo'!F$2:F$746,"DESLOCAMENTO"),0)</f>
        <v>0</v>
      </c>
      <c r="G356" s="10">
        <f>IFERROR(SUMIFS('Base bordo'!G$2:G$746,'Base bordo'!C$2:C$746,A356,'Base bordo'!B$2:B$746,B356,'Base bordo'!F$2:F$746,"CARREGAMENTO"),0)</f>
        <v>1.653888888888889</v>
      </c>
      <c r="H356" s="10">
        <f>IFERROR(SUMIFS('Base bordo'!G$2:G$746,'Base bordo'!C$2:C$746,A356,'Base bordo'!B$2:B$746,B356,'Base bordo'!F$2:F$746,"AGUARDANDO TRANSBORDO"),0)</f>
        <v>7.9522222222222219</v>
      </c>
      <c r="I356" s="10">
        <f>IFERROR(SUMIFS('Base bordo'!G$2:G$746,'Base bordo'!C$2:C$746,A356,'Base bordo'!B$2:B$746,B356,'Base bordo'!F$2:F$746,"PÁTIO INTERNO"),0)+IFERROR(SUMIFS('Base bordo'!G$2:G$746,'Base bordo'!C$2:C$746,A356,'Base bordo'!B$2:B$746,B356,'Base bordo'!F$2:F$746,"PÁTIO EXTERNO"),0)+IFERROR(SUMIFS('Base bordo'!G$2:G$746,'Base bordo'!C$2:C$746,A356,'Base bordo'!B$2:B$746,B356,'Base bordo'!F$2:F$746,"PATIO - RESERVA"),0)+IFERROR(SUMIFS('Base bordo'!G$2:G$746,'Base bordo'!C$2:C$746,A356,'Base bordo'!B$2:B$746,B356,'Base bordo'!F$2:F$746,"MANOBRA CARRETAS-PATIO"),0)</f>
        <v>3.6688888888888886</v>
      </c>
      <c r="J356" s="10">
        <f>IFERROR(SUMIFS('Base bordo'!G$2:G$746,'Base bordo'!C$2:C$746,A356,'Base bordo'!B$2:B$746,B356,'Base bordo'!F$2:F$746,"BALANÇA - ENTRADA"),0)+IFERROR(SUMIFS('Base bordo'!G$2:G$746,'Base bordo'!C$2:C$746,A356,'Base bordo'!B$2:B$746,B356,'Base bordo'!F$2:F$746,"BALANÇA - SAÍDA"),0)</f>
        <v>0.11305555555555556</v>
      </c>
      <c r="K356" s="10">
        <f>IFERROR(SUMIFS('Base bordo'!G$2:G$746,'Base bordo'!C$2:C$746,A356,'Base bordo'!B$2:B$746,B356,'Base bordo'!F$2:F$746,"MAN PREVENTIVA - MECANICA"),0)+IFERROR(SUMIFS('Base bordo'!G$2:G$746,'Base bordo'!C$2:C$746,A356,'Base bordo'!B$2:B$746,B356,'Base bordo'!F$2:F$746,"MAN CORRETIVA - MECANICA"),0)</f>
        <v>0</v>
      </c>
      <c r="L356" s="10">
        <f>IFERROR(SUMIFS('Base bordo'!G$2:G$746,'Base bordo'!C$2:C$746,A356,'Base bordo'!B$2:B$746,B356,'Base bordo'!F$2:F$746,"MANUTENCAO - T O"),0)+IFERROR(SUMIFS('Base bordo'!G$2:G$746,'Base bordo'!C$2:C$746,A356,'Base bordo'!B$2:B$746,B356,'Base bordo'!F$2:F$746,"MANUTENCAO BORRACHARIA"),0)+IFERROR(SUMIFS('Base bordo'!G$2:G$746,'Base bordo'!C$2:C$746,A356,'Base bordo'!B$2:B$746,B356,'Base bordo'!F$2:F$746,"MANUTENCAO EXTERNA  CONCESSIONARIA"),0)+IFERROR(SUMIFS('Base bordo'!G$2:G$746,'Base bordo'!C$2:C$746,A356,'Base bordo'!B$2:B$746,B356,'Base bordo'!F$2:F$746,"MANUTENCAO TELEMETRIA"),0)</f>
        <v>0</v>
      </c>
      <c r="M356" s="10">
        <f>IFERROR(SUMIFS('Base bordo'!G$2:G$746,'Base bordo'!C$2:C$746,A356,'Base bordo'!B$2:B$746,B356,'Base bordo'!F$2:F$746,"AGUARDANDO MANUTENCAO"),0)</f>
        <v>2.0486111111111112</v>
      </c>
      <c r="N356" s="10">
        <f>IFERROR(SUMIFS('Base bordo'!G$2:G$746,'Base bordo'!C$2:C$746,A356,'Base bordo'!B$2:B$746,B356,'Base bordo'!F$2:F$746,"SEM APONTAMENTO"),0)</f>
        <v>0</v>
      </c>
      <c r="O356" s="10">
        <f t="shared" si="42"/>
        <v>5.9369444444444461</v>
      </c>
      <c r="P356" s="10">
        <f>IFERROR(SUMIFS('Base bordo'!G$2:G$746,'Base bordo'!C$2:C$746,A356,'Base bordo'!B$2:B$746,B356),0)</f>
        <v>24</v>
      </c>
      <c r="Q356" s="10">
        <f>IFERROR(SUMIFS('Base bordo'!H$2:H$746,'Base bordo'!C$2:C$746,A356,'Base bordo'!B$2:B$746,B356,'Base bordo'!F$2:F$746,"DESLOCAMENTO VAZIO"),0)</f>
        <v>33045.270000000004</v>
      </c>
      <c r="R356" s="10">
        <f>IFERROR(SUMIFS('Base bordo'!I$2:I$746,'Base bordo'!C$2:C$746,A356,'Base bordo'!B$2:B$746,B356,'Base bordo'!F$2:F$746,"DESLOCAMENTO VAZIO"),0)</f>
        <v>2463</v>
      </c>
      <c r="S356" s="30">
        <f t="shared" si="43"/>
        <v>13.416674786845313</v>
      </c>
      <c r="T356" s="10">
        <f>IFERROR(SUMIFS('Base bordo'!H$2:H$746,'Base bordo'!C$2:C$746,A356,'Base bordo'!B$2:B$746,B356,'Base bordo'!F$2:F$746,"DESLOCAMENTO CARREGADO"),0)</f>
        <v>213859.12</v>
      </c>
      <c r="U356" s="10">
        <f>IFERROR(SUMIFS('Base bordo'!I$2:I$746,'Base bordo'!C$2:C$746,A356,'Base bordo'!B$2:B$746,B356,'Base bordo'!F$2:F$746,"DESLOCAMENTO CARREGADO"),0)</f>
        <v>6992</v>
      </c>
      <c r="V356" s="30">
        <f t="shared" si="44"/>
        <v>30.586258581235697</v>
      </c>
      <c r="W356" s="9">
        <f t="shared" si="45"/>
        <v>2.8506944444444446E-2</v>
      </c>
      <c r="X356" s="9">
        <f t="shared" si="46"/>
        <v>8.0925925925925929E-2</v>
      </c>
      <c r="Y356" s="9">
        <f t="shared" si="47"/>
        <v>0.89056712962962958</v>
      </c>
    </row>
    <row r="357" spans="1:25" ht="15" customHeight="1" x14ac:dyDescent="0.35">
      <c r="A357" s="52">
        <v>8013484</v>
      </c>
      <c r="B357" s="51">
        <v>46123</v>
      </c>
      <c r="C357" s="7" t="s">
        <v>124</v>
      </c>
      <c r="D357" s="10">
        <f>IFERROR(SUMIFS('Base bordo'!G$2:G$746,'Base bordo'!C$2:C$746,A357,'Base bordo'!B$2:B$746,B357,'Base bordo'!F$2:F$746,"DESLOCAMENTO VAZIO"),0)</f>
        <v>1.3186111111111112</v>
      </c>
      <c r="E357" s="10">
        <f>IFERROR(SUMIFS('Base bordo'!G$2:G$746,'Base bordo'!C$2:C$746,A357,'Base bordo'!B$2:B$746,B357,'Base bordo'!F$2:F$746,"DESLOCAMENTO CARREGADO"),0)</f>
        <v>2.0469444444444442</v>
      </c>
      <c r="F357" s="10">
        <f>IFERROR(SUMIFS('Base bordo'!G$2:G$746,'Base bordo'!C$2:C$746,A357,'Base bordo'!B$2:B$746,B357,'Base bordo'!F$2:F$746,"DESLOCAMENTO"),0)</f>
        <v>0</v>
      </c>
      <c r="G357" s="10">
        <f>IFERROR(SUMIFS('Base bordo'!G$2:G$746,'Base bordo'!C$2:C$746,A357,'Base bordo'!B$2:B$746,B357,'Base bordo'!F$2:F$746,"CARREGAMENTO"),0)</f>
        <v>0</v>
      </c>
      <c r="H357" s="10">
        <f>IFERROR(SUMIFS('Base bordo'!G$2:G$746,'Base bordo'!C$2:C$746,A357,'Base bordo'!B$2:B$746,B357,'Base bordo'!F$2:F$746,"AGUARDANDO TRANSBORDO"),0)</f>
        <v>0.2688888888888889</v>
      </c>
      <c r="I357" s="10">
        <f>IFERROR(SUMIFS('Base bordo'!G$2:G$746,'Base bordo'!C$2:C$746,A357,'Base bordo'!B$2:B$746,B357,'Base bordo'!F$2:F$746,"PÁTIO INTERNO"),0)+IFERROR(SUMIFS('Base bordo'!G$2:G$746,'Base bordo'!C$2:C$746,A357,'Base bordo'!B$2:B$746,B357,'Base bordo'!F$2:F$746,"PÁTIO EXTERNO"),0)+IFERROR(SUMIFS('Base bordo'!G$2:G$746,'Base bordo'!C$2:C$746,A357,'Base bordo'!B$2:B$746,B357,'Base bordo'!F$2:F$746,"PATIO - RESERVA"),0)+IFERROR(SUMIFS('Base bordo'!G$2:G$746,'Base bordo'!C$2:C$746,A357,'Base bordo'!B$2:B$746,B357,'Base bordo'!F$2:F$746,"MANOBRA CARRETAS-PATIO"),0)</f>
        <v>2.7616666666666667</v>
      </c>
      <c r="J357" s="10">
        <f>IFERROR(SUMIFS('Base bordo'!G$2:G$746,'Base bordo'!C$2:C$746,A357,'Base bordo'!B$2:B$746,B357,'Base bordo'!F$2:F$746,"BALANÇA - ENTRADA"),0)+IFERROR(SUMIFS('Base bordo'!G$2:G$746,'Base bordo'!C$2:C$746,A357,'Base bordo'!B$2:B$746,B357,'Base bordo'!F$2:F$746,"BALANÇA - SAÍDA"),0)</f>
        <v>2.4722222222222222E-2</v>
      </c>
      <c r="K357" s="10">
        <f>IFERROR(SUMIFS('Base bordo'!G$2:G$746,'Base bordo'!C$2:C$746,A357,'Base bordo'!B$2:B$746,B357,'Base bordo'!F$2:F$746,"MAN PREVENTIVA - MECANICA"),0)+IFERROR(SUMIFS('Base bordo'!G$2:G$746,'Base bordo'!C$2:C$746,A357,'Base bordo'!B$2:B$746,B357,'Base bordo'!F$2:F$746,"MAN CORRETIVA - MECANICA"),0)</f>
        <v>0</v>
      </c>
      <c r="L357" s="10">
        <f>IFERROR(SUMIFS('Base bordo'!G$2:G$746,'Base bordo'!C$2:C$746,A357,'Base bordo'!B$2:B$746,B357,'Base bordo'!F$2:F$746,"MANUTENCAO - T O"),0)+IFERROR(SUMIFS('Base bordo'!G$2:G$746,'Base bordo'!C$2:C$746,A357,'Base bordo'!B$2:B$746,B357,'Base bordo'!F$2:F$746,"MANUTENCAO BORRACHARIA"),0)+IFERROR(SUMIFS('Base bordo'!G$2:G$746,'Base bordo'!C$2:C$746,A357,'Base bordo'!B$2:B$746,B357,'Base bordo'!F$2:F$746,"MANUTENCAO EXTERNA  CONCESSIONARIA"),0)+IFERROR(SUMIFS('Base bordo'!G$2:G$746,'Base bordo'!C$2:C$746,A357,'Base bordo'!B$2:B$746,B357,'Base bordo'!F$2:F$746,"MANUTENCAO TELEMETRIA"),0)</f>
        <v>0</v>
      </c>
      <c r="M357" s="10">
        <f>IFERROR(SUMIFS('Base bordo'!G$2:G$746,'Base bordo'!C$2:C$746,A357,'Base bordo'!B$2:B$746,B357,'Base bordo'!F$2:F$746,"AGUARDANDO MANUTENCAO"),0)</f>
        <v>0</v>
      </c>
      <c r="N357" s="10">
        <f>IFERROR(SUMIFS('Base bordo'!G$2:G$746,'Base bordo'!C$2:C$746,A357,'Base bordo'!B$2:B$746,B357,'Base bordo'!F$2:F$746,"SEM APONTAMENTO"),0)</f>
        <v>0</v>
      </c>
      <c r="O357" s="10">
        <f t="shared" si="42"/>
        <v>0.68777777777777871</v>
      </c>
      <c r="P357" s="10">
        <f>IFERROR(SUMIFS('Base bordo'!G$2:G$746,'Base bordo'!C$2:C$746,A357,'Base bordo'!B$2:B$746,B357),0)</f>
        <v>7.1086111111111121</v>
      </c>
      <c r="Q357" s="10">
        <f>IFERROR(SUMIFS('Base bordo'!H$2:H$746,'Base bordo'!C$2:C$746,A357,'Base bordo'!B$2:B$746,B357,'Base bordo'!F$2:F$746,"DESLOCAMENTO VAZIO"),0)</f>
        <v>173939.91999999998</v>
      </c>
      <c r="R357" s="10">
        <f>IFERROR(SUMIFS('Base bordo'!I$2:I$746,'Base bordo'!C$2:C$746,A357,'Base bordo'!B$2:B$746,B357,'Base bordo'!F$2:F$746,"DESLOCAMENTO VAZIO"),0)</f>
        <v>4747</v>
      </c>
      <c r="S357" s="30">
        <f t="shared" si="43"/>
        <v>36.642072888139872</v>
      </c>
      <c r="T357" s="10">
        <f>IFERROR(SUMIFS('Base bordo'!H$2:H$746,'Base bordo'!C$2:C$746,A357,'Base bordo'!B$2:B$746,B357,'Base bordo'!F$2:F$746,"DESLOCAMENTO CARREGADO"),0)</f>
        <v>184357.02</v>
      </c>
      <c r="U357" s="10">
        <f>IFERROR(SUMIFS('Base bordo'!I$2:I$746,'Base bordo'!C$2:C$746,A357,'Base bordo'!B$2:B$746,B357,'Base bordo'!F$2:F$746,"DESLOCAMENTO CARREGADO"),0)</f>
        <v>7369</v>
      </c>
      <c r="V357" s="30">
        <f t="shared" si="44"/>
        <v>25.017915592346313</v>
      </c>
      <c r="W357" s="9">
        <f t="shared" si="45"/>
        <v>0.18549490055097492</v>
      </c>
      <c r="X357" s="9">
        <f t="shared" si="46"/>
        <v>0.28795279590481021</v>
      </c>
      <c r="Y357" s="9">
        <f t="shared" si="47"/>
        <v>0.52655230354421478</v>
      </c>
    </row>
    <row r="358" spans="1:25" ht="15" customHeight="1" x14ac:dyDescent="0.35">
      <c r="A358" s="52">
        <v>8013481</v>
      </c>
      <c r="B358" s="51">
        <v>46118</v>
      </c>
      <c r="C358" s="7" t="s">
        <v>124</v>
      </c>
      <c r="D358" s="10">
        <f>IFERROR(SUMIFS('Base bordo'!G$2:G$746,'Base bordo'!C$2:C$746,A358,'Base bordo'!B$2:B$746,B358,'Base bordo'!F$2:F$746,"DESLOCAMENTO VAZIO"),0)</f>
        <v>0.8288888888888889</v>
      </c>
      <c r="E358" s="10">
        <f>IFERROR(SUMIFS('Base bordo'!G$2:G$746,'Base bordo'!C$2:C$746,A358,'Base bordo'!B$2:B$746,B358,'Base bordo'!F$2:F$746,"DESLOCAMENTO CARREGADO"),0)</f>
        <v>4.8333333333333332E-2</v>
      </c>
      <c r="F358" s="10">
        <f>IFERROR(SUMIFS('Base bordo'!G$2:G$746,'Base bordo'!C$2:C$746,A358,'Base bordo'!B$2:B$746,B358,'Base bordo'!F$2:F$746,"DESLOCAMENTO"),0)</f>
        <v>0</v>
      </c>
      <c r="G358" s="10">
        <f>IFERROR(SUMIFS('Base bordo'!G$2:G$746,'Base bordo'!C$2:C$746,A358,'Base bordo'!B$2:B$746,B358,'Base bordo'!F$2:F$746,"CARREGAMENTO"),0)</f>
        <v>0</v>
      </c>
      <c r="H358" s="10">
        <f>IFERROR(SUMIFS('Base bordo'!G$2:G$746,'Base bordo'!C$2:C$746,A358,'Base bordo'!B$2:B$746,B358,'Base bordo'!F$2:F$746,"AGUARDANDO TRANSBORDO"),0)</f>
        <v>0</v>
      </c>
      <c r="I358" s="10">
        <f>IFERROR(SUMIFS('Base bordo'!G$2:G$746,'Base bordo'!C$2:C$746,A358,'Base bordo'!B$2:B$746,B358,'Base bordo'!F$2:F$746,"PÁTIO INTERNO"),0)+IFERROR(SUMIFS('Base bordo'!G$2:G$746,'Base bordo'!C$2:C$746,A358,'Base bordo'!B$2:B$746,B358,'Base bordo'!F$2:F$746,"PÁTIO EXTERNO"),0)+IFERROR(SUMIFS('Base bordo'!G$2:G$746,'Base bordo'!C$2:C$746,A358,'Base bordo'!B$2:B$746,B358,'Base bordo'!F$2:F$746,"PATIO - RESERVA"),0)+IFERROR(SUMIFS('Base bordo'!G$2:G$746,'Base bordo'!C$2:C$746,A358,'Base bordo'!B$2:B$746,B358,'Base bordo'!F$2:F$746,"MANOBRA CARRETAS-PATIO"),0)</f>
        <v>2.8108333333333335</v>
      </c>
      <c r="J358" s="10">
        <f>IFERROR(SUMIFS('Base bordo'!G$2:G$746,'Base bordo'!C$2:C$746,A358,'Base bordo'!B$2:B$746,B358,'Base bordo'!F$2:F$746,"BALANÇA - ENTRADA"),0)+IFERROR(SUMIFS('Base bordo'!G$2:G$746,'Base bordo'!C$2:C$746,A358,'Base bordo'!B$2:B$746,B358,'Base bordo'!F$2:F$746,"BALANÇA - SAÍDA"),0)</f>
        <v>3.3333333333333333E-2</v>
      </c>
      <c r="K358" s="10">
        <f>IFERROR(SUMIFS('Base bordo'!G$2:G$746,'Base bordo'!C$2:C$746,A358,'Base bordo'!B$2:B$746,B358,'Base bordo'!F$2:F$746,"MAN PREVENTIVA - MECANICA"),0)+IFERROR(SUMIFS('Base bordo'!G$2:G$746,'Base bordo'!C$2:C$746,A358,'Base bordo'!B$2:B$746,B358,'Base bordo'!F$2:F$746,"MAN CORRETIVA - MECANICA"),0)</f>
        <v>0</v>
      </c>
      <c r="L358" s="10">
        <f>IFERROR(SUMIFS('Base bordo'!G$2:G$746,'Base bordo'!C$2:C$746,A358,'Base bordo'!B$2:B$746,B358,'Base bordo'!F$2:F$746,"MANUTENCAO - T O"),0)+IFERROR(SUMIFS('Base bordo'!G$2:G$746,'Base bordo'!C$2:C$746,A358,'Base bordo'!B$2:B$746,B358,'Base bordo'!F$2:F$746,"MANUTENCAO BORRACHARIA"),0)+IFERROR(SUMIFS('Base bordo'!G$2:G$746,'Base bordo'!C$2:C$746,A358,'Base bordo'!B$2:B$746,B358,'Base bordo'!F$2:F$746,"MANUTENCAO EXTERNA  CONCESSIONARIA"),0)+IFERROR(SUMIFS('Base bordo'!G$2:G$746,'Base bordo'!C$2:C$746,A358,'Base bordo'!B$2:B$746,B358,'Base bordo'!F$2:F$746,"MANUTENCAO TELEMETRIA"),0)</f>
        <v>0</v>
      </c>
      <c r="M358" s="10">
        <f>IFERROR(SUMIFS('Base bordo'!G$2:G$746,'Base bordo'!C$2:C$746,A358,'Base bordo'!B$2:B$746,B358,'Base bordo'!F$2:F$746,"AGUARDANDO MANUTENCAO"),0)</f>
        <v>0</v>
      </c>
      <c r="N358" s="10">
        <f>IFERROR(SUMIFS('Base bordo'!G$2:G$746,'Base bordo'!C$2:C$746,A358,'Base bordo'!B$2:B$746,B358,'Base bordo'!F$2:F$746,"SEM APONTAMENTO"),0)</f>
        <v>0</v>
      </c>
      <c r="O358" s="10">
        <f t="shared" si="42"/>
        <v>0</v>
      </c>
      <c r="P358" s="10">
        <f>IFERROR(SUMIFS('Base bordo'!G$2:G$746,'Base bordo'!C$2:C$746,A358,'Base bordo'!B$2:B$746,B358),0)</f>
        <v>3.7213888888888889</v>
      </c>
      <c r="Q358" s="10">
        <f>IFERROR(SUMIFS('Base bordo'!H$2:H$746,'Base bordo'!C$2:C$746,A358,'Base bordo'!B$2:B$746,B358,'Base bordo'!F$2:F$746,"DESLOCAMENTO VAZIO"),0)</f>
        <v>65601.72</v>
      </c>
      <c r="R358" s="10">
        <f>IFERROR(SUMIFS('Base bordo'!I$2:I$746,'Base bordo'!C$2:C$746,A358,'Base bordo'!B$2:B$746,B358,'Base bordo'!F$2:F$746,"DESLOCAMENTO VAZIO"),0)</f>
        <v>2984</v>
      </c>
      <c r="S358" s="30">
        <f t="shared" si="43"/>
        <v>21.984490616621983</v>
      </c>
      <c r="T358" s="10">
        <f>IFERROR(SUMIFS('Base bordo'!H$2:H$746,'Base bordo'!C$2:C$746,A358,'Base bordo'!B$2:B$746,B358,'Base bordo'!F$2:F$746,"DESLOCAMENTO CARREGADO"),0)</f>
        <v>501.05</v>
      </c>
      <c r="U358" s="10">
        <f>IFERROR(SUMIFS('Base bordo'!I$2:I$746,'Base bordo'!C$2:C$746,A358,'Base bordo'!B$2:B$746,B358,'Base bordo'!F$2:F$746,"DESLOCAMENTO CARREGADO"),0)</f>
        <v>174</v>
      </c>
      <c r="V358" s="30">
        <f t="shared" si="44"/>
        <v>2.8795977011494251</v>
      </c>
      <c r="W358" s="9">
        <f t="shared" si="45"/>
        <v>0.22273643352989475</v>
      </c>
      <c r="X358" s="9">
        <f t="shared" si="46"/>
        <v>1.2987982384115847E-2</v>
      </c>
      <c r="Y358" s="9">
        <f t="shared" si="47"/>
        <v>0.76427558408598939</v>
      </c>
    </row>
    <row r="359" spans="1:25" ht="15" customHeight="1" x14ac:dyDescent="0.35">
      <c r="A359" s="52">
        <v>8013461</v>
      </c>
      <c r="B359" s="51">
        <v>46124</v>
      </c>
      <c r="C359" s="7" t="s">
        <v>124</v>
      </c>
      <c r="D359" s="10">
        <f>IFERROR(SUMIFS('Base bordo'!G$2:G$746,'Base bordo'!C$2:C$746,A359,'Base bordo'!B$2:B$746,B359,'Base bordo'!F$2:F$746,"DESLOCAMENTO VAZIO"),0)</f>
        <v>2.7680555555555557</v>
      </c>
      <c r="E359" s="10">
        <f>IFERROR(SUMIFS('Base bordo'!G$2:G$746,'Base bordo'!C$2:C$746,A359,'Base bordo'!B$2:B$746,B359,'Base bordo'!F$2:F$746,"DESLOCAMENTO CARREGADO"),0)</f>
        <v>1.8997222222222223</v>
      </c>
      <c r="F359" s="10">
        <f>IFERROR(SUMIFS('Base bordo'!G$2:G$746,'Base bordo'!C$2:C$746,A359,'Base bordo'!B$2:B$746,B359,'Base bordo'!F$2:F$746,"DESLOCAMENTO"),0)</f>
        <v>0</v>
      </c>
      <c r="G359" s="10">
        <f>IFERROR(SUMIFS('Base bordo'!G$2:G$746,'Base bordo'!C$2:C$746,A359,'Base bordo'!B$2:B$746,B359,'Base bordo'!F$2:F$746,"CARREGAMENTO"),0)</f>
        <v>0</v>
      </c>
      <c r="H359" s="10">
        <f>IFERROR(SUMIFS('Base bordo'!G$2:G$746,'Base bordo'!C$2:C$746,A359,'Base bordo'!B$2:B$746,B359,'Base bordo'!F$2:F$746,"AGUARDANDO TRANSBORDO"),0)</f>
        <v>0.61305555555555558</v>
      </c>
      <c r="I359" s="10">
        <f>IFERROR(SUMIFS('Base bordo'!G$2:G$746,'Base bordo'!C$2:C$746,A359,'Base bordo'!B$2:B$746,B359,'Base bordo'!F$2:F$746,"PÁTIO INTERNO"),0)+IFERROR(SUMIFS('Base bordo'!G$2:G$746,'Base bordo'!C$2:C$746,A359,'Base bordo'!B$2:B$746,B359,'Base bordo'!F$2:F$746,"PÁTIO EXTERNO"),0)+IFERROR(SUMIFS('Base bordo'!G$2:G$746,'Base bordo'!C$2:C$746,A359,'Base bordo'!B$2:B$746,B359,'Base bordo'!F$2:F$746,"PATIO - RESERVA"),0)+IFERROR(SUMIFS('Base bordo'!G$2:G$746,'Base bordo'!C$2:C$746,A359,'Base bordo'!B$2:B$746,B359,'Base bordo'!F$2:F$746,"MANOBRA CARRETAS-PATIO"),0)</f>
        <v>4.3969444444444443</v>
      </c>
      <c r="J359" s="10">
        <f>IFERROR(SUMIFS('Base bordo'!G$2:G$746,'Base bordo'!C$2:C$746,A359,'Base bordo'!B$2:B$746,B359,'Base bordo'!F$2:F$746,"BALANÇA - ENTRADA"),0)+IFERROR(SUMIFS('Base bordo'!G$2:G$746,'Base bordo'!C$2:C$746,A359,'Base bordo'!B$2:B$746,B359,'Base bordo'!F$2:F$746,"BALANÇA - SAÍDA"),0)</f>
        <v>0.3175</v>
      </c>
      <c r="K359" s="10">
        <f>IFERROR(SUMIFS('Base bordo'!G$2:G$746,'Base bordo'!C$2:C$746,A359,'Base bordo'!B$2:B$746,B359,'Base bordo'!F$2:F$746,"MAN PREVENTIVA - MECANICA"),0)+IFERROR(SUMIFS('Base bordo'!G$2:G$746,'Base bordo'!C$2:C$746,A359,'Base bordo'!B$2:B$746,B359,'Base bordo'!F$2:F$746,"MAN CORRETIVA - MECANICA"),0)</f>
        <v>0</v>
      </c>
      <c r="L359" s="10">
        <f>IFERROR(SUMIFS('Base bordo'!G$2:G$746,'Base bordo'!C$2:C$746,A359,'Base bordo'!B$2:B$746,B359,'Base bordo'!F$2:F$746,"MANUTENCAO - T O"),0)+IFERROR(SUMIFS('Base bordo'!G$2:G$746,'Base bordo'!C$2:C$746,A359,'Base bordo'!B$2:B$746,B359,'Base bordo'!F$2:F$746,"MANUTENCAO BORRACHARIA"),0)+IFERROR(SUMIFS('Base bordo'!G$2:G$746,'Base bordo'!C$2:C$746,A359,'Base bordo'!B$2:B$746,B359,'Base bordo'!F$2:F$746,"MANUTENCAO EXTERNA  CONCESSIONARIA"),0)+IFERROR(SUMIFS('Base bordo'!G$2:G$746,'Base bordo'!C$2:C$746,A359,'Base bordo'!B$2:B$746,B359,'Base bordo'!F$2:F$746,"MANUTENCAO TELEMETRIA"),0)</f>
        <v>0</v>
      </c>
      <c r="M359" s="10">
        <f>IFERROR(SUMIFS('Base bordo'!G$2:G$746,'Base bordo'!C$2:C$746,A359,'Base bordo'!B$2:B$746,B359,'Base bordo'!F$2:F$746,"AGUARDANDO MANUTENCAO"),0)</f>
        <v>0</v>
      </c>
      <c r="N359" s="10">
        <f>IFERROR(SUMIFS('Base bordo'!G$2:G$746,'Base bordo'!C$2:C$746,A359,'Base bordo'!B$2:B$746,B359,'Base bordo'!F$2:F$746,"SEM APONTAMENTO"),0)</f>
        <v>0</v>
      </c>
      <c r="O359" s="10">
        <f t="shared" si="42"/>
        <v>1.7763568394002505E-15</v>
      </c>
      <c r="P359" s="10">
        <f>IFERROR(SUMIFS('Base bordo'!G$2:G$746,'Base bordo'!C$2:C$746,A359,'Base bordo'!B$2:B$746,B359),0)</f>
        <v>9.9952777777777797</v>
      </c>
      <c r="Q359" s="10">
        <f>IFERROR(SUMIFS('Base bordo'!H$2:H$746,'Base bordo'!C$2:C$746,A359,'Base bordo'!B$2:B$746,B359,'Base bordo'!F$2:F$746,"DESLOCAMENTO VAZIO"),0)</f>
        <v>281004.56</v>
      </c>
      <c r="R359" s="10">
        <f>IFERROR(SUMIFS('Base bordo'!I$2:I$746,'Base bordo'!C$2:C$746,A359,'Base bordo'!B$2:B$746,B359,'Base bordo'!F$2:F$746,"DESLOCAMENTO VAZIO"),0)</f>
        <v>9965</v>
      </c>
      <c r="S359" s="30">
        <f t="shared" si="43"/>
        <v>28.199153035624686</v>
      </c>
      <c r="T359" s="10">
        <f>IFERROR(SUMIFS('Base bordo'!H$2:H$746,'Base bordo'!C$2:C$746,A359,'Base bordo'!B$2:B$746,B359,'Base bordo'!F$2:F$746,"DESLOCAMENTO CARREGADO"),0)</f>
        <v>117740.31000000001</v>
      </c>
      <c r="U359" s="10">
        <f>IFERROR(SUMIFS('Base bordo'!I$2:I$746,'Base bordo'!C$2:C$746,A359,'Base bordo'!B$2:B$746,B359,'Base bordo'!F$2:F$746,"DESLOCAMENTO CARREGADO"),0)</f>
        <v>6839</v>
      </c>
      <c r="V359" s="30">
        <f t="shared" si="44"/>
        <v>17.216012574937857</v>
      </c>
      <c r="W359" s="9">
        <f t="shared" si="45"/>
        <v>0.27693633104521576</v>
      </c>
      <c r="X359" s="9">
        <f t="shared" si="46"/>
        <v>0.19006197370980737</v>
      </c>
      <c r="Y359" s="9">
        <f t="shared" si="47"/>
        <v>0.53300169524497676</v>
      </c>
    </row>
    <row r="360" spans="1:25" ht="15" customHeight="1" x14ac:dyDescent="0.35">
      <c r="A360" s="52">
        <v>8013474</v>
      </c>
      <c r="B360" s="51">
        <v>46119</v>
      </c>
      <c r="C360" s="7" t="s">
        <v>124</v>
      </c>
      <c r="D360" s="10">
        <f>IFERROR(SUMIFS('Base bordo'!G$2:G$746,'Base bordo'!C$2:C$746,A360,'Base bordo'!B$2:B$746,B360,'Base bordo'!F$2:F$746,"DESLOCAMENTO VAZIO"),0)</f>
        <v>1.3672222222222221</v>
      </c>
      <c r="E360" s="10">
        <f>IFERROR(SUMIFS('Base bordo'!G$2:G$746,'Base bordo'!C$2:C$746,A360,'Base bordo'!B$2:B$746,B360,'Base bordo'!F$2:F$746,"DESLOCAMENTO CARREGADO"),0)</f>
        <v>2.1927777777777777</v>
      </c>
      <c r="F360" s="10">
        <f>IFERROR(SUMIFS('Base bordo'!G$2:G$746,'Base bordo'!C$2:C$746,A360,'Base bordo'!B$2:B$746,B360,'Base bordo'!F$2:F$746,"DESLOCAMENTO"),0)</f>
        <v>0</v>
      </c>
      <c r="G360" s="10">
        <f>IFERROR(SUMIFS('Base bordo'!G$2:G$746,'Base bordo'!C$2:C$746,A360,'Base bordo'!B$2:B$746,B360,'Base bordo'!F$2:F$746,"CARREGAMENTO"),0)</f>
        <v>0</v>
      </c>
      <c r="H360" s="10">
        <f>IFERROR(SUMIFS('Base bordo'!G$2:G$746,'Base bordo'!C$2:C$746,A360,'Base bordo'!B$2:B$746,B360,'Base bordo'!F$2:F$746,"AGUARDANDO TRANSBORDO"),0)</f>
        <v>0.30111111111111111</v>
      </c>
      <c r="I360" s="10">
        <f>IFERROR(SUMIFS('Base bordo'!G$2:G$746,'Base bordo'!C$2:C$746,A360,'Base bordo'!B$2:B$746,B360,'Base bordo'!F$2:F$746,"PÁTIO INTERNO"),0)+IFERROR(SUMIFS('Base bordo'!G$2:G$746,'Base bordo'!C$2:C$746,A360,'Base bordo'!B$2:B$746,B360,'Base bordo'!F$2:F$746,"PÁTIO EXTERNO"),0)+IFERROR(SUMIFS('Base bordo'!G$2:G$746,'Base bordo'!C$2:C$746,A360,'Base bordo'!B$2:B$746,B360,'Base bordo'!F$2:F$746,"PATIO - RESERVA"),0)+IFERROR(SUMIFS('Base bordo'!G$2:G$746,'Base bordo'!C$2:C$746,A360,'Base bordo'!B$2:B$746,B360,'Base bordo'!F$2:F$746,"MANOBRA CARRETAS-PATIO"),0)</f>
        <v>19.229166666666668</v>
      </c>
      <c r="J360" s="10">
        <f>IFERROR(SUMIFS('Base bordo'!G$2:G$746,'Base bordo'!C$2:C$746,A360,'Base bordo'!B$2:B$746,B360,'Base bordo'!F$2:F$746,"BALANÇA - ENTRADA"),0)+IFERROR(SUMIFS('Base bordo'!G$2:G$746,'Base bordo'!C$2:C$746,A360,'Base bordo'!B$2:B$746,B360,'Base bordo'!F$2:F$746,"BALANÇA - SAÍDA"),0)</f>
        <v>2.8611111111111108E-2</v>
      </c>
      <c r="K360" s="10">
        <f>IFERROR(SUMIFS('Base bordo'!G$2:G$746,'Base bordo'!C$2:C$746,A360,'Base bordo'!B$2:B$746,B360,'Base bordo'!F$2:F$746,"MAN PREVENTIVA - MECANICA"),0)+IFERROR(SUMIFS('Base bordo'!G$2:G$746,'Base bordo'!C$2:C$746,A360,'Base bordo'!B$2:B$746,B360,'Base bordo'!F$2:F$746,"MAN CORRETIVA - MECANICA"),0)</f>
        <v>0</v>
      </c>
      <c r="L360" s="10">
        <f>IFERROR(SUMIFS('Base bordo'!G$2:G$746,'Base bordo'!C$2:C$746,A360,'Base bordo'!B$2:B$746,B360,'Base bordo'!F$2:F$746,"MANUTENCAO - T O"),0)+IFERROR(SUMIFS('Base bordo'!G$2:G$746,'Base bordo'!C$2:C$746,A360,'Base bordo'!B$2:B$746,B360,'Base bordo'!F$2:F$746,"MANUTENCAO BORRACHARIA"),0)+IFERROR(SUMIFS('Base bordo'!G$2:G$746,'Base bordo'!C$2:C$746,A360,'Base bordo'!B$2:B$746,B360,'Base bordo'!F$2:F$746,"MANUTENCAO EXTERNA  CONCESSIONARIA"),0)+IFERROR(SUMIFS('Base bordo'!G$2:G$746,'Base bordo'!C$2:C$746,A360,'Base bordo'!B$2:B$746,B360,'Base bordo'!F$2:F$746,"MANUTENCAO TELEMETRIA"),0)</f>
        <v>0</v>
      </c>
      <c r="M360" s="10">
        <f>IFERROR(SUMIFS('Base bordo'!G$2:G$746,'Base bordo'!C$2:C$746,A360,'Base bordo'!B$2:B$746,B360,'Base bordo'!F$2:F$746,"AGUARDANDO MANUTENCAO"),0)</f>
        <v>0</v>
      </c>
      <c r="N360" s="10">
        <f>IFERROR(SUMIFS('Base bordo'!G$2:G$746,'Base bordo'!C$2:C$746,A360,'Base bordo'!B$2:B$746,B360,'Base bordo'!F$2:F$746,"SEM APONTAMENTO"),0)</f>
        <v>0</v>
      </c>
      <c r="O360" s="10">
        <f t="shared" si="42"/>
        <v>0</v>
      </c>
      <c r="P360" s="10">
        <f>IFERROR(SUMIFS('Base bordo'!G$2:G$746,'Base bordo'!C$2:C$746,A360,'Base bordo'!B$2:B$746,B360),0)</f>
        <v>23.11888888888889</v>
      </c>
      <c r="Q360" s="10">
        <f>IFERROR(SUMIFS('Base bordo'!H$2:H$746,'Base bordo'!C$2:C$746,A360,'Base bordo'!B$2:B$746,B360,'Base bordo'!F$2:F$746,"DESLOCAMENTO VAZIO"),0)</f>
        <v>176172.38</v>
      </c>
      <c r="R360" s="10">
        <f>IFERROR(SUMIFS('Base bordo'!I$2:I$746,'Base bordo'!C$2:C$746,A360,'Base bordo'!B$2:B$746,B360,'Base bordo'!F$2:F$746,"DESLOCAMENTO VAZIO"),0)</f>
        <v>4922</v>
      </c>
      <c r="S360" s="30">
        <f t="shared" si="43"/>
        <v>35.792844372206424</v>
      </c>
      <c r="T360" s="10">
        <f>IFERROR(SUMIFS('Base bordo'!H$2:H$746,'Base bordo'!C$2:C$746,A360,'Base bordo'!B$2:B$746,B360,'Base bordo'!F$2:F$746,"DESLOCAMENTO CARREGADO"),0)</f>
        <v>181456.72999999998</v>
      </c>
      <c r="U360" s="10">
        <f>IFERROR(SUMIFS('Base bordo'!I$2:I$746,'Base bordo'!C$2:C$746,A360,'Base bordo'!B$2:B$746,B360,'Base bordo'!F$2:F$746,"DESLOCAMENTO CARREGADO"),0)</f>
        <v>7894</v>
      </c>
      <c r="V360" s="30">
        <f t="shared" si="44"/>
        <v>22.986664555358498</v>
      </c>
      <c r="W360" s="9">
        <f t="shared" si="45"/>
        <v>5.913875138174652E-2</v>
      </c>
      <c r="X360" s="9">
        <f t="shared" si="46"/>
        <v>9.4847887730090827E-2</v>
      </c>
      <c r="Y360" s="9">
        <f t="shared" si="47"/>
        <v>0.84601336088816259</v>
      </c>
    </row>
    <row r="361" spans="1:25" ht="15" customHeight="1" x14ac:dyDescent="0.35">
      <c r="A361" s="52">
        <v>8013460</v>
      </c>
      <c r="B361" s="51">
        <v>46119</v>
      </c>
      <c r="C361" s="7" t="s">
        <v>124</v>
      </c>
      <c r="D361" s="10">
        <f>IFERROR(SUMIFS('Base bordo'!G$2:G$746,'Base bordo'!C$2:C$746,A361,'Base bordo'!B$2:B$746,B361,'Base bordo'!F$2:F$746,"DESLOCAMENTO VAZIO"),0)</f>
        <v>7.5555555555555556E-2</v>
      </c>
      <c r="E361" s="10">
        <f>IFERROR(SUMIFS('Base bordo'!G$2:G$746,'Base bordo'!C$2:C$746,A361,'Base bordo'!B$2:B$746,B361,'Base bordo'!F$2:F$746,"DESLOCAMENTO CARREGADO"),0)</f>
        <v>0</v>
      </c>
      <c r="F361" s="10">
        <f>IFERROR(SUMIFS('Base bordo'!G$2:G$746,'Base bordo'!C$2:C$746,A361,'Base bordo'!B$2:B$746,B361,'Base bordo'!F$2:F$746,"DESLOCAMENTO"),0)</f>
        <v>0</v>
      </c>
      <c r="G361" s="10">
        <f>IFERROR(SUMIFS('Base bordo'!G$2:G$746,'Base bordo'!C$2:C$746,A361,'Base bordo'!B$2:B$746,B361,'Base bordo'!F$2:F$746,"CARREGAMENTO"),0)</f>
        <v>0</v>
      </c>
      <c r="H361" s="10">
        <f>IFERROR(SUMIFS('Base bordo'!G$2:G$746,'Base bordo'!C$2:C$746,A361,'Base bordo'!B$2:B$746,B361,'Base bordo'!F$2:F$746,"AGUARDANDO TRANSBORDO"),0)</f>
        <v>0</v>
      </c>
      <c r="I361" s="10">
        <f>IFERROR(SUMIFS('Base bordo'!G$2:G$746,'Base bordo'!C$2:C$746,A361,'Base bordo'!B$2:B$746,B361,'Base bordo'!F$2:F$746,"PÁTIO INTERNO"),0)+IFERROR(SUMIFS('Base bordo'!G$2:G$746,'Base bordo'!C$2:C$746,A361,'Base bordo'!B$2:B$746,B361,'Base bordo'!F$2:F$746,"PÁTIO EXTERNO"),0)+IFERROR(SUMIFS('Base bordo'!G$2:G$746,'Base bordo'!C$2:C$746,A361,'Base bordo'!B$2:B$746,B361,'Base bordo'!F$2:F$746,"PATIO - RESERVA"),0)+IFERROR(SUMIFS('Base bordo'!G$2:G$746,'Base bordo'!C$2:C$746,A361,'Base bordo'!B$2:B$746,B361,'Base bordo'!F$2:F$746,"MANOBRA CARRETAS-PATIO"),0)</f>
        <v>21.27138888888889</v>
      </c>
      <c r="J361" s="10">
        <f>IFERROR(SUMIFS('Base bordo'!G$2:G$746,'Base bordo'!C$2:C$746,A361,'Base bordo'!B$2:B$746,B361,'Base bordo'!F$2:F$746,"BALANÇA - ENTRADA"),0)+IFERROR(SUMIFS('Base bordo'!G$2:G$746,'Base bordo'!C$2:C$746,A361,'Base bordo'!B$2:B$746,B361,'Base bordo'!F$2:F$746,"BALANÇA - SAÍDA"),0)</f>
        <v>5.0000000000000001E-3</v>
      </c>
      <c r="K361" s="10">
        <f>IFERROR(SUMIFS('Base bordo'!G$2:G$746,'Base bordo'!C$2:C$746,A361,'Base bordo'!B$2:B$746,B361,'Base bordo'!F$2:F$746,"MAN PREVENTIVA - MECANICA"),0)+IFERROR(SUMIFS('Base bordo'!G$2:G$746,'Base bordo'!C$2:C$746,A361,'Base bordo'!B$2:B$746,B361,'Base bordo'!F$2:F$746,"MAN CORRETIVA - MECANICA"),0)</f>
        <v>0</v>
      </c>
      <c r="L361" s="10">
        <f>IFERROR(SUMIFS('Base bordo'!G$2:G$746,'Base bordo'!C$2:C$746,A361,'Base bordo'!B$2:B$746,B361,'Base bordo'!F$2:F$746,"MANUTENCAO - T O"),0)+IFERROR(SUMIFS('Base bordo'!G$2:G$746,'Base bordo'!C$2:C$746,A361,'Base bordo'!B$2:B$746,B361,'Base bordo'!F$2:F$746,"MANUTENCAO BORRACHARIA"),0)+IFERROR(SUMIFS('Base bordo'!G$2:G$746,'Base bordo'!C$2:C$746,A361,'Base bordo'!B$2:B$746,B361,'Base bordo'!F$2:F$746,"MANUTENCAO EXTERNA  CONCESSIONARIA"),0)+IFERROR(SUMIFS('Base bordo'!G$2:G$746,'Base bordo'!C$2:C$746,A361,'Base bordo'!B$2:B$746,B361,'Base bordo'!F$2:F$746,"MANUTENCAO TELEMETRIA"),0)</f>
        <v>0</v>
      </c>
      <c r="M361" s="10">
        <f>IFERROR(SUMIFS('Base bordo'!G$2:G$746,'Base bordo'!C$2:C$746,A361,'Base bordo'!B$2:B$746,B361,'Base bordo'!F$2:F$746,"AGUARDANDO MANUTENCAO"),0)</f>
        <v>0</v>
      </c>
      <c r="N361" s="10">
        <f>IFERROR(SUMIFS('Base bordo'!G$2:G$746,'Base bordo'!C$2:C$746,A361,'Base bordo'!B$2:B$746,B361,'Base bordo'!F$2:F$746,"SEM APONTAMENTO"),0)</f>
        <v>0</v>
      </c>
      <c r="O361" s="10">
        <f t="shared" si="42"/>
        <v>0</v>
      </c>
      <c r="P361" s="10">
        <f>IFERROR(SUMIFS('Base bordo'!G$2:G$746,'Base bordo'!C$2:C$746,A361,'Base bordo'!B$2:B$746,B361),0)</f>
        <v>21.351944444444445</v>
      </c>
      <c r="Q361" s="10">
        <f>IFERROR(SUMIFS('Base bordo'!H$2:H$746,'Base bordo'!C$2:C$746,A361,'Base bordo'!B$2:B$746,B361,'Base bordo'!F$2:F$746,"DESLOCAMENTO VAZIO"),0)</f>
        <v>1805.94</v>
      </c>
      <c r="R361" s="10">
        <f>IFERROR(SUMIFS('Base bordo'!I$2:I$746,'Base bordo'!C$2:C$746,A361,'Base bordo'!B$2:B$746,B361,'Base bordo'!F$2:F$746,"DESLOCAMENTO VAZIO"),0)</f>
        <v>272</v>
      </c>
      <c r="S361" s="30">
        <f t="shared" si="43"/>
        <v>6.6394852941176472</v>
      </c>
      <c r="T361" s="10">
        <f>IFERROR(SUMIFS('Base bordo'!H$2:H$746,'Base bordo'!C$2:C$746,A361,'Base bordo'!B$2:B$746,B361,'Base bordo'!F$2:F$746,"DESLOCAMENTO CARREGADO"),0)</f>
        <v>0</v>
      </c>
      <c r="U361" s="10">
        <f>IFERROR(SUMIFS('Base bordo'!I$2:I$746,'Base bordo'!C$2:C$746,A361,'Base bordo'!B$2:B$746,B361,'Base bordo'!F$2:F$746,"DESLOCAMENTO CARREGADO"),0)</f>
        <v>0</v>
      </c>
      <c r="V361" s="30" t="str">
        <f t="shared" si="44"/>
        <v/>
      </c>
      <c r="W361" s="9">
        <f t="shared" si="45"/>
        <v>3.5385796245462941E-3</v>
      </c>
      <c r="X361" s="9">
        <f t="shared" si="46"/>
        <v>0</v>
      </c>
      <c r="Y361" s="9">
        <f t="shared" si="47"/>
        <v>0.99646142037545371</v>
      </c>
    </row>
    <row r="362" spans="1:25" ht="15" customHeight="1" x14ac:dyDescent="0.35">
      <c r="A362" s="52">
        <v>8013470</v>
      </c>
      <c r="B362" s="51">
        <v>46123</v>
      </c>
      <c r="C362" s="7" t="s">
        <v>124</v>
      </c>
      <c r="D362" s="10">
        <f>IFERROR(SUMIFS('Base bordo'!G$2:G$746,'Base bordo'!C$2:C$746,A362,'Base bordo'!B$2:B$746,B362,'Base bordo'!F$2:F$746,"DESLOCAMENTO VAZIO"),0)</f>
        <v>1.4894444444444443</v>
      </c>
      <c r="E362" s="10">
        <f>IFERROR(SUMIFS('Base bordo'!G$2:G$746,'Base bordo'!C$2:C$746,A362,'Base bordo'!B$2:B$746,B362,'Base bordo'!F$2:F$746,"DESLOCAMENTO CARREGADO"),0)</f>
        <v>2.7725</v>
      </c>
      <c r="F362" s="10">
        <f>IFERROR(SUMIFS('Base bordo'!G$2:G$746,'Base bordo'!C$2:C$746,A362,'Base bordo'!B$2:B$746,B362,'Base bordo'!F$2:F$746,"DESLOCAMENTO"),0)</f>
        <v>1.1813888888888888</v>
      </c>
      <c r="G362" s="10">
        <f>IFERROR(SUMIFS('Base bordo'!G$2:G$746,'Base bordo'!C$2:C$746,A362,'Base bordo'!B$2:B$746,B362,'Base bordo'!F$2:F$746,"CARREGAMENTO"),0)</f>
        <v>0</v>
      </c>
      <c r="H362" s="10">
        <f>IFERROR(SUMIFS('Base bordo'!G$2:G$746,'Base bordo'!C$2:C$746,A362,'Base bordo'!B$2:B$746,B362,'Base bordo'!F$2:F$746,"AGUARDANDO TRANSBORDO"),0)</f>
        <v>0.10722222222222222</v>
      </c>
      <c r="I362" s="10">
        <f>IFERROR(SUMIFS('Base bordo'!G$2:G$746,'Base bordo'!C$2:C$746,A362,'Base bordo'!B$2:B$746,B362,'Base bordo'!F$2:F$746,"PÁTIO INTERNO"),0)+IFERROR(SUMIFS('Base bordo'!G$2:G$746,'Base bordo'!C$2:C$746,A362,'Base bordo'!B$2:B$746,B362,'Base bordo'!F$2:F$746,"PÁTIO EXTERNO"),0)+IFERROR(SUMIFS('Base bordo'!G$2:G$746,'Base bordo'!C$2:C$746,A362,'Base bordo'!B$2:B$746,B362,'Base bordo'!F$2:F$746,"PATIO - RESERVA"),0)+IFERROR(SUMIFS('Base bordo'!G$2:G$746,'Base bordo'!C$2:C$746,A362,'Base bordo'!B$2:B$746,B362,'Base bordo'!F$2:F$746,"MANOBRA CARRETAS-PATIO"),0)</f>
        <v>0.56472222222222224</v>
      </c>
      <c r="J362" s="10">
        <f>IFERROR(SUMIFS('Base bordo'!G$2:G$746,'Base bordo'!C$2:C$746,A362,'Base bordo'!B$2:B$746,B362,'Base bordo'!F$2:F$746,"BALANÇA - ENTRADA"),0)+IFERROR(SUMIFS('Base bordo'!G$2:G$746,'Base bordo'!C$2:C$746,A362,'Base bordo'!B$2:B$746,B362,'Base bordo'!F$2:F$746,"BALANÇA - SAÍDA"),0)</f>
        <v>0</v>
      </c>
      <c r="K362" s="10">
        <f>IFERROR(SUMIFS('Base bordo'!G$2:G$746,'Base bordo'!C$2:C$746,A362,'Base bordo'!B$2:B$746,B362,'Base bordo'!F$2:F$746,"MAN PREVENTIVA - MECANICA"),0)+IFERROR(SUMIFS('Base bordo'!G$2:G$746,'Base bordo'!C$2:C$746,A362,'Base bordo'!B$2:B$746,B362,'Base bordo'!F$2:F$746,"MAN CORRETIVA - MECANICA"),0)</f>
        <v>0</v>
      </c>
      <c r="L362" s="10">
        <f>IFERROR(SUMIFS('Base bordo'!G$2:G$746,'Base bordo'!C$2:C$746,A362,'Base bordo'!B$2:B$746,B362,'Base bordo'!F$2:F$746,"MANUTENCAO - T O"),0)+IFERROR(SUMIFS('Base bordo'!G$2:G$746,'Base bordo'!C$2:C$746,A362,'Base bordo'!B$2:B$746,B362,'Base bordo'!F$2:F$746,"MANUTENCAO BORRACHARIA"),0)+IFERROR(SUMIFS('Base bordo'!G$2:G$746,'Base bordo'!C$2:C$746,A362,'Base bordo'!B$2:B$746,B362,'Base bordo'!F$2:F$746,"MANUTENCAO EXTERNA  CONCESSIONARIA"),0)+IFERROR(SUMIFS('Base bordo'!G$2:G$746,'Base bordo'!C$2:C$746,A362,'Base bordo'!B$2:B$746,B362,'Base bordo'!F$2:F$746,"MANUTENCAO TELEMETRIA"),0)</f>
        <v>0</v>
      </c>
      <c r="M362" s="10">
        <f>IFERROR(SUMIFS('Base bordo'!G$2:G$746,'Base bordo'!C$2:C$746,A362,'Base bordo'!B$2:B$746,B362,'Base bordo'!F$2:F$746,"AGUARDANDO MANUTENCAO"),0)</f>
        <v>0</v>
      </c>
      <c r="N362" s="10">
        <f>IFERROR(SUMIFS('Base bordo'!G$2:G$746,'Base bordo'!C$2:C$746,A362,'Base bordo'!B$2:B$746,B362,'Base bordo'!F$2:F$746,"SEM APONTAMENTO"),0)</f>
        <v>0</v>
      </c>
      <c r="O362" s="10">
        <f t="shared" si="42"/>
        <v>4.6666666666666856E-2</v>
      </c>
      <c r="P362" s="10">
        <f>IFERROR(SUMIFS('Base bordo'!G$2:G$746,'Base bordo'!C$2:C$746,A362,'Base bordo'!B$2:B$746,B362),0)</f>
        <v>6.1619444444444449</v>
      </c>
      <c r="Q362" s="10">
        <f>IFERROR(SUMIFS('Base bordo'!H$2:H$746,'Base bordo'!C$2:C$746,A362,'Base bordo'!B$2:B$746,B362,'Base bordo'!F$2:F$746,"DESLOCAMENTO VAZIO"),0)</f>
        <v>174958.3</v>
      </c>
      <c r="R362" s="10">
        <f>IFERROR(SUMIFS('Base bordo'!I$2:I$746,'Base bordo'!C$2:C$746,A362,'Base bordo'!B$2:B$746,B362,'Base bordo'!F$2:F$746,"DESLOCAMENTO VAZIO"),0)</f>
        <v>5362</v>
      </c>
      <c r="S362" s="30">
        <f t="shared" si="43"/>
        <v>32.629298769115998</v>
      </c>
      <c r="T362" s="10">
        <f>IFERROR(SUMIFS('Base bordo'!H$2:H$746,'Base bordo'!C$2:C$746,A362,'Base bordo'!B$2:B$746,B362,'Base bordo'!F$2:F$746,"DESLOCAMENTO CARREGADO"),0)</f>
        <v>211588.94</v>
      </c>
      <c r="U362" s="10">
        <f>IFERROR(SUMIFS('Base bordo'!I$2:I$746,'Base bordo'!C$2:C$746,A362,'Base bordo'!B$2:B$746,B362,'Base bordo'!F$2:F$746,"DESLOCAMENTO CARREGADO"),0)</f>
        <v>9967</v>
      </c>
      <c r="V362" s="30">
        <f t="shared" si="44"/>
        <v>21.228949533460419</v>
      </c>
      <c r="W362" s="9">
        <f t="shared" si="45"/>
        <v>0.24171662985168821</v>
      </c>
      <c r="X362" s="9">
        <f t="shared" si="46"/>
        <v>0.44993914258666545</v>
      </c>
      <c r="Y362" s="9">
        <f t="shared" si="47"/>
        <v>0.30834422756164637</v>
      </c>
    </row>
    <row r="363" spans="1:25" ht="15" customHeight="1" x14ac:dyDescent="0.35">
      <c r="A363" s="52">
        <v>8013484</v>
      </c>
      <c r="B363" s="51">
        <v>46120</v>
      </c>
      <c r="C363" s="7" t="s">
        <v>124</v>
      </c>
      <c r="D363" s="10">
        <f>IFERROR(SUMIFS('Base bordo'!G$2:G$746,'Base bordo'!C$2:C$746,A363,'Base bordo'!B$2:B$746,B363,'Base bordo'!F$2:F$746,"DESLOCAMENTO VAZIO"),0)</f>
        <v>2.2777777777777779E-2</v>
      </c>
      <c r="E363" s="10">
        <f>IFERROR(SUMIFS('Base bordo'!G$2:G$746,'Base bordo'!C$2:C$746,A363,'Base bordo'!B$2:B$746,B363,'Base bordo'!F$2:F$746,"DESLOCAMENTO CARREGADO"),0)</f>
        <v>0.14916666666666667</v>
      </c>
      <c r="F363" s="10">
        <f>IFERROR(SUMIFS('Base bordo'!G$2:G$746,'Base bordo'!C$2:C$746,A363,'Base bordo'!B$2:B$746,B363,'Base bordo'!F$2:F$746,"DESLOCAMENTO"),0)</f>
        <v>0</v>
      </c>
      <c r="G363" s="10">
        <f>IFERROR(SUMIFS('Base bordo'!G$2:G$746,'Base bordo'!C$2:C$746,A363,'Base bordo'!B$2:B$746,B363,'Base bordo'!F$2:F$746,"CARREGAMENTO"),0)</f>
        <v>0</v>
      </c>
      <c r="H363" s="10">
        <f>IFERROR(SUMIFS('Base bordo'!G$2:G$746,'Base bordo'!C$2:C$746,A363,'Base bordo'!B$2:B$746,B363,'Base bordo'!F$2:F$746,"AGUARDANDO TRANSBORDO"),0)</f>
        <v>0.80249999999999999</v>
      </c>
      <c r="I363" s="10">
        <f>IFERROR(SUMIFS('Base bordo'!G$2:G$746,'Base bordo'!C$2:C$746,A363,'Base bordo'!B$2:B$746,B363,'Base bordo'!F$2:F$746,"PÁTIO INTERNO"),0)+IFERROR(SUMIFS('Base bordo'!G$2:G$746,'Base bordo'!C$2:C$746,A363,'Base bordo'!B$2:B$746,B363,'Base bordo'!F$2:F$746,"PÁTIO EXTERNO"),0)+IFERROR(SUMIFS('Base bordo'!G$2:G$746,'Base bordo'!C$2:C$746,A363,'Base bordo'!B$2:B$746,B363,'Base bordo'!F$2:F$746,"PATIO - RESERVA"),0)+IFERROR(SUMIFS('Base bordo'!G$2:G$746,'Base bordo'!C$2:C$746,A363,'Base bordo'!B$2:B$746,B363,'Base bordo'!F$2:F$746,"MANOBRA CARRETAS-PATIO"),0)</f>
        <v>0</v>
      </c>
      <c r="J363" s="10">
        <f>IFERROR(SUMIFS('Base bordo'!G$2:G$746,'Base bordo'!C$2:C$746,A363,'Base bordo'!B$2:B$746,B363,'Base bordo'!F$2:F$746,"BALANÇA - ENTRADA"),0)+IFERROR(SUMIFS('Base bordo'!G$2:G$746,'Base bordo'!C$2:C$746,A363,'Base bordo'!B$2:B$746,B363,'Base bordo'!F$2:F$746,"BALANÇA - SAÍDA"),0)</f>
        <v>0</v>
      </c>
      <c r="K363" s="10">
        <f>IFERROR(SUMIFS('Base bordo'!G$2:G$746,'Base bordo'!C$2:C$746,A363,'Base bordo'!B$2:B$746,B363,'Base bordo'!F$2:F$746,"MAN PREVENTIVA - MECANICA"),0)+IFERROR(SUMIFS('Base bordo'!G$2:G$746,'Base bordo'!C$2:C$746,A363,'Base bordo'!B$2:B$746,B363,'Base bordo'!F$2:F$746,"MAN CORRETIVA - MECANICA"),0)</f>
        <v>0</v>
      </c>
      <c r="L363" s="10">
        <f>IFERROR(SUMIFS('Base bordo'!G$2:G$746,'Base bordo'!C$2:C$746,A363,'Base bordo'!B$2:B$746,B363,'Base bordo'!F$2:F$746,"MANUTENCAO - T O"),0)+IFERROR(SUMIFS('Base bordo'!G$2:G$746,'Base bordo'!C$2:C$746,A363,'Base bordo'!B$2:B$746,B363,'Base bordo'!F$2:F$746,"MANUTENCAO BORRACHARIA"),0)+IFERROR(SUMIFS('Base bordo'!G$2:G$746,'Base bordo'!C$2:C$746,A363,'Base bordo'!B$2:B$746,B363,'Base bordo'!F$2:F$746,"MANUTENCAO EXTERNA  CONCESSIONARIA"),0)+IFERROR(SUMIFS('Base bordo'!G$2:G$746,'Base bordo'!C$2:C$746,A363,'Base bordo'!B$2:B$746,B363,'Base bordo'!F$2:F$746,"MANUTENCAO TELEMETRIA"),0)</f>
        <v>0</v>
      </c>
      <c r="M363" s="10">
        <f>IFERROR(SUMIFS('Base bordo'!G$2:G$746,'Base bordo'!C$2:C$746,A363,'Base bordo'!B$2:B$746,B363,'Base bordo'!F$2:F$746,"AGUARDANDO MANUTENCAO"),0)</f>
        <v>0</v>
      </c>
      <c r="N363" s="10">
        <f>IFERROR(SUMIFS('Base bordo'!G$2:G$746,'Base bordo'!C$2:C$746,A363,'Base bordo'!B$2:B$746,B363,'Base bordo'!F$2:F$746,"SEM APONTAMENTO"),0)</f>
        <v>0</v>
      </c>
      <c r="O363" s="10">
        <f t="shared" si="42"/>
        <v>0</v>
      </c>
      <c r="P363" s="10">
        <f>IFERROR(SUMIFS('Base bordo'!G$2:G$746,'Base bordo'!C$2:C$746,A363,'Base bordo'!B$2:B$746,B363),0)</f>
        <v>0.97444444444444445</v>
      </c>
      <c r="Q363" s="10">
        <f>IFERROR(SUMIFS('Base bordo'!H$2:H$746,'Base bordo'!C$2:C$746,A363,'Base bordo'!B$2:B$746,B363,'Base bordo'!F$2:F$746,"DESLOCAMENTO VAZIO"),0)</f>
        <v>1785.96</v>
      </c>
      <c r="R363" s="10">
        <f>IFERROR(SUMIFS('Base bordo'!I$2:I$746,'Base bordo'!C$2:C$746,A363,'Base bordo'!B$2:B$746,B363,'Base bordo'!F$2:F$746,"DESLOCAMENTO VAZIO"),0)</f>
        <v>82</v>
      </c>
      <c r="S363" s="30">
        <f t="shared" si="43"/>
        <v>21.78</v>
      </c>
      <c r="T363" s="10">
        <f>IFERROR(SUMIFS('Base bordo'!H$2:H$746,'Base bordo'!C$2:C$746,A363,'Base bordo'!B$2:B$746,B363,'Base bordo'!F$2:F$746,"DESLOCAMENTO CARREGADO"),0)</f>
        <v>5157.47</v>
      </c>
      <c r="U363" s="10">
        <f>IFERROR(SUMIFS('Base bordo'!I$2:I$746,'Base bordo'!C$2:C$746,A363,'Base bordo'!B$2:B$746,B363,'Base bordo'!F$2:F$746,"DESLOCAMENTO CARREGADO"),0)</f>
        <v>537</v>
      </c>
      <c r="V363" s="30">
        <f t="shared" si="44"/>
        <v>9.6042271880819374</v>
      </c>
      <c r="W363" s="9">
        <f t="shared" si="45"/>
        <v>2.3375142531356901E-2</v>
      </c>
      <c r="X363" s="9">
        <f t="shared" si="46"/>
        <v>0.15307867730900798</v>
      </c>
      <c r="Y363" s="9">
        <f t="shared" si="47"/>
        <v>0.8235461801596351</v>
      </c>
    </row>
    <row r="364" spans="1:25" ht="15" customHeight="1" x14ac:dyDescent="0.35">
      <c r="A364" s="52">
        <v>8013475</v>
      </c>
      <c r="B364" s="51">
        <v>46118</v>
      </c>
      <c r="C364" s="7" t="s">
        <v>124</v>
      </c>
      <c r="D364" s="10">
        <f>IFERROR(SUMIFS('Base bordo'!G$2:G$746,'Base bordo'!C$2:C$746,A364,'Base bordo'!B$2:B$746,B364,'Base bordo'!F$2:F$746,"DESLOCAMENTO VAZIO"),0)</f>
        <v>1.6019444444444444</v>
      </c>
      <c r="E364" s="10">
        <f>IFERROR(SUMIFS('Base bordo'!G$2:G$746,'Base bordo'!C$2:C$746,A364,'Base bordo'!B$2:B$746,B364,'Base bordo'!F$2:F$746,"DESLOCAMENTO CARREGADO"),0)</f>
        <v>2.0350000000000001</v>
      </c>
      <c r="F364" s="10">
        <f>IFERROR(SUMIFS('Base bordo'!G$2:G$746,'Base bordo'!C$2:C$746,A364,'Base bordo'!B$2:B$746,B364,'Base bordo'!F$2:F$746,"DESLOCAMENTO"),0)</f>
        <v>1.1069444444444445</v>
      </c>
      <c r="G364" s="10">
        <f>IFERROR(SUMIFS('Base bordo'!G$2:G$746,'Base bordo'!C$2:C$746,A364,'Base bordo'!B$2:B$746,B364,'Base bordo'!F$2:F$746,"CARREGAMENTO"),0)</f>
        <v>0</v>
      </c>
      <c r="H364" s="10">
        <f>IFERROR(SUMIFS('Base bordo'!G$2:G$746,'Base bordo'!C$2:C$746,A364,'Base bordo'!B$2:B$746,B364,'Base bordo'!F$2:F$746,"AGUARDANDO TRANSBORDO"),0)</f>
        <v>0.62972222222222218</v>
      </c>
      <c r="I364" s="10">
        <f>IFERROR(SUMIFS('Base bordo'!G$2:G$746,'Base bordo'!C$2:C$746,A364,'Base bordo'!B$2:B$746,B364,'Base bordo'!F$2:F$746,"PÁTIO INTERNO"),0)+IFERROR(SUMIFS('Base bordo'!G$2:G$746,'Base bordo'!C$2:C$746,A364,'Base bordo'!B$2:B$746,B364,'Base bordo'!F$2:F$746,"PÁTIO EXTERNO"),0)+IFERROR(SUMIFS('Base bordo'!G$2:G$746,'Base bordo'!C$2:C$746,A364,'Base bordo'!B$2:B$746,B364,'Base bordo'!F$2:F$746,"PATIO - RESERVA"),0)+IFERROR(SUMIFS('Base bordo'!G$2:G$746,'Base bordo'!C$2:C$746,A364,'Base bordo'!B$2:B$746,B364,'Base bordo'!F$2:F$746,"MANOBRA CARRETAS-PATIO"),0)</f>
        <v>16.014166666666668</v>
      </c>
      <c r="J364" s="10">
        <f>IFERROR(SUMIFS('Base bordo'!G$2:G$746,'Base bordo'!C$2:C$746,A364,'Base bordo'!B$2:B$746,B364,'Base bordo'!F$2:F$746,"BALANÇA - ENTRADA"),0)+IFERROR(SUMIFS('Base bordo'!G$2:G$746,'Base bordo'!C$2:C$746,A364,'Base bordo'!B$2:B$746,B364,'Base bordo'!F$2:F$746,"BALANÇA - SAÍDA"),0)</f>
        <v>4.8333333333333332E-2</v>
      </c>
      <c r="K364" s="10">
        <f>IFERROR(SUMIFS('Base bordo'!G$2:G$746,'Base bordo'!C$2:C$746,A364,'Base bordo'!B$2:B$746,B364,'Base bordo'!F$2:F$746,"MAN PREVENTIVA - MECANICA"),0)+IFERROR(SUMIFS('Base bordo'!G$2:G$746,'Base bordo'!C$2:C$746,A364,'Base bordo'!B$2:B$746,B364,'Base bordo'!F$2:F$746,"MAN CORRETIVA - MECANICA"),0)</f>
        <v>0</v>
      </c>
      <c r="L364" s="10">
        <f>IFERROR(SUMIFS('Base bordo'!G$2:G$746,'Base bordo'!C$2:C$746,A364,'Base bordo'!B$2:B$746,B364,'Base bordo'!F$2:F$746,"MANUTENCAO - T O"),0)+IFERROR(SUMIFS('Base bordo'!G$2:G$746,'Base bordo'!C$2:C$746,A364,'Base bordo'!B$2:B$746,B364,'Base bordo'!F$2:F$746,"MANUTENCAO BORRACHARIA"),0)+IFERROR(SUMIFS('Base bordo'!G$2:G$746,'Base bordo'!C$2:C$746,A364,'Base bordo'!B$2:B$746,B364,'Base bordo'!F$2:F$746,"MANUTENCAO EXTERNA  CONCESSIONARIA"),0)+IFERROR(SUMIFS('Base bordo'!G$2:G$746,'Base bordo'!C$2:C$746,A364,'Base bordo'!B$2:B$746,B364,'Base bordo'!F$2:F$746,"MANUTENCAO TELEMETRIA"),0)</f>
        <v>1.9430555555555555</v>
      </c>
      <c r="M364" s="10">
        <f>IFERROR(SUMIFS('Base bordo'!G$2:G$746,'Base bordo'!C$2:C$746,A364,'Base bordo'!B$2:B$746,B364,'Base bordo'!F$2:F$746,"AGUARDANDO MANUTENCAO"),0)</f>
        <v>0</v>
      </c>
      <c r="N364" s="10">
        <f>IFERROR(SUMIFS('Base bordo'!G$2:G$746,'Base bordo'!C$2:C$746,A364,'Base bordo'!B$2:B$746,B364,'Base bordo'!F$2:F$746,"SEM APONTAMENTO"),0)</f>
        <v>0</v>
      </c>
      <c r="O364" s="10">
        <f t="shared" si="42"/>
        <v>3.5527136788005009E-15</v>
      </c>
      <c r="P364" s="10">
        <f>IFERROR(SUMIFS('Base bordo'!G$2:G$746,'Base bordo'!C$2:C$746,A364,'Base bordo'!B$2:B$746,B364),0)</f>
        <v>23.37916666666667</v>
      </c>
      <c r="Q364" s="10">
        <f>IFERROR(SUMIFS('Base bordo'!H$2:H$746,'Base bordo'!C$2:C$746,A364,'Base bordo'!B$2:B$746,B364,'Base bordo'!F$2:F$746,"DESLOCAMENTO VAZIO"),0)</f>
        <v>173822.73</v>
      </c>
      <c r="R364" s="10">
        <f>IFERROR(SUMIFS('Base bordo'!I$2:I$746,'Base bordo'!C$2:C$746,A364,'Base bordo'!B$2:B$746,B364,'Base bordo'!F$2:F$746,"DESLOCAMENTO VAZIO"),0)</f>
        <v>5767</v>
      </c>
      <c r="S364" s="30">
        <f t="shared" si="43"/>
        <v>30.140927692040925</v>
      </c>
      <c r="T364" s="10">
        <f>IFERROR(SUMIFS('Base bordo'!H$2:H$746,'Base bordo'!C$2:C$746,A364,'Base bordo'!B$2:B$746,B364,'Base bordo'!F$2:F$746,"DESLOCAMENTO CARREGADO"),0)</f>
        <v>172046.47</v>
      </c>
      <c r="U364" s="10">
        <f>IFERROR(SUMIFS('Base bordo'!I$2:I$746,'Base bordo'!C$2:C$746,A364,'Base bordo'!B$2:B$746,B364,'Base bordo'!F$2:F$746,"DESLOCAMENTO CARREGADO"),0)</f>
        <v>7326</v>
      </c>
      <c r="V364" s="30">
        <f t="shared" si="44"/>
        <v>23.484366639366641</v>
      </c>
      <c r="W364" s="9">
        <f t="shared" si="45"/>
        <v>6.8520168716212193E-2</v>
      </c>
      <c r="X364" s="9">
        <f t="shared" si="46"/>
        <v>8.7043307788273031E-2</v>
      </c>
      <c r="Y364" s="9">
        <f t="shared" si="47"/>
        <v>0.84443652349551479</v>
      </c>
    </row>
    <row r="365" spans="1:25" ht="15" customHeight="1" x14ac:dyDescent="0.35">
      <c r="A365" s="52">
        <v>8013481</v>
      </c>
      <c r="B365" s="51">
        <v>46117</v>
      </c>
      <c r="C365" s="7" t="s">
        <v>124</v>
      </c>
      <c r="D365" s="10">
        <f>IFERROR(SUMIFS('Base bordo'!G$2:G$746,'Base bordo'!C$2:C$746,A365,'Base bordo'!B$2:B$746,B365,'Base bordo'!F$2:F$746,"DESLOCAMENTO VAZIO"),0)</f>
        <v>2.3438888888888889</v>
      </c>
      <c r="E365" s="10">
        <f>IFERROR(SUMIFS('Base bordo'!G$2:G$746,'Base bordo'!C$2:C$746,A365,'Base bordo'!B$2:B$746,B365,'Base bordo'!F$2:F$746,"DESLOCAMENTO CARREGADO"),0)</f>
        <v>1.878611111111111</v>
      </c>
      <c r="F365" s="10">
        <f>IFERROR(SUMIFS('Base bordo'!G$2:G$746,'Base bordo'!C$2:C$746,A365,'Base bordo'!B$2:B$746,B365,'Base bordo'!F$2:F$746,"DESLOCAMENTO"),0)</f>
        <v>0</v>
      </c>
      <c r="G365" s="10">
        <f>IFERROR(SUMIFS('Base bordo'!G$2:G$746,'Base bordo'!C$2:C$746,A365,'Base bordo'!B$2:B$746,B365,'Base bordo'!F$2:F$746,"CARREGAMENTO"),0)</f>
        <v>0.21305555555555555</v>
      </c>
      <c r="H365" s="10">
        <f>IFERROR(SUMIFS('Base bordo'!G$2:G$746,'Base bordo'!C$2:C$746,A365,'Base bordo'!B$2:B$746,B365,'Base bordo'!F$2:F$746,"AGUARDANDO TRANSBORDO"),0)</f>
        <v>0</v>
      </c>
      <c r="I365" s="10">
        <f>IFERROR(SUMIFS('Base bordo'!G$2:G$746,'Base bordo'!C$2:C$746,A365,'Base bordo'!B$2:B$746,B365,'Base bordo'!F$2:F$746,"PÁTIO INTERNO"),0)+IFERROR(SUMIFS('Base bordo'!G$2:G$746,'Base bordo'!C$2:C$746,A365,'Base bordo'!B$2:B$746,B365,'Base bordo'!F$2:F$746,"PÁTIO EXTERNO"),0)+IFERROR(SUMIFS('Base bordo'!G$2:G$746,'Base bordo'!C$2:C$746,A365,'Base bordo'!B$2:B$746,B365,'Base bordo'!F$2:F$746,"PATIO - RESERVA"),0)+IFERROR(SUMIFS('Base bordo'!G$2:G$746,'Base bordo'!C$2:C$746,A365,'Base bordo'!B$2:B$746,B365,'Base bordo'!F$2:F$746,"MANOBRA CARRETAS-PATIO"),0)</f>
        <v>0.14222222222222222</v>
      </c>
      <c r="J365" s="10">
        <f>IFERROR(SUMIFS('Base bordo'!G$2:G$746,'Base bordo'!C$2:C$746,A365,'Base bordo'!B$2:B$746,B365,'Base bordo'!F$2:F$746,"BALANÇA - ENTRADA"),0)+IFERROR(SUMIFS('Base bordo'!G$2:G$746,'Base bordo'!C$2:C$746,A365,'Base bordo'!B$2:B$746,B365,'Base bordo'!F$2:F$746,"BALANÇA - SAÍDA"),0)</f>
        <v>0</v>
      </c>
      <c r="K365" s="10">
        <f>IFERROR(SUMIFS('Base bordo'!G$2:G$746,'Base bordo'!C$2:C$746,A365,'Base bordo'!B$2:B$746,B365,'Base bordo'!F$2:F$746,"MAN PREVENTIVA - MECANICA"),0)+IFERROR(SUMIFS('Base bordo'!G$2:G$746,'Base bordo'!C$2:C$746,A365,'Base bordo'!B$2:B$746,B365,'Base bordo'!F$2:F$746,"MAN CORRETIVA - MECANICA"),0)</f>
        <v>0</v>
      </c>
      <c r="L365" s="10">
        <f>IFERROR(SUMIFS('Base bordo'!G$2:G$746,'Base bordo'!C$2:C$746,A365,'Base bordo'!B$2:B$746,B365,'Base bordo'!F$2:F$746,"MANUTENCAO - T O"),0)+IFERROR(SUMIFS('Base bordo'!G$2:G$746,'Base bordo'!C$2:C$746,A365,'Base bordo'!B$2:B$746,B365,'Base bordo'!F$2:F$746,"MANUTENCAO BORRACHARIA"),0)+IFERROR(SUMIFS('Base bordo'!G$2:G$746,'Base bordo'!C$2:C$746,A365,'Base bordo'!B$2:B$746,B365,'Base bordo'!F$2:F$746,"MANUTENCAO EXTERNA  CONCESSIONARIA"),0)+IFERROR(SUMIFS('Base bordo'!G$2:G$746,'Base bordo'!C$2:C$746,A365,'Base bordo'!B$2:B$746,B365,'Base bordo'!F$2:F$746,"MANUTENCAO TELEMETRIA"),0)</f>
        <v>19.126944444444444</v>
      </c>
      <c r="M365" s="10">
        <f>IFERROR(SUMIFS('Base bordo'!G$2:G$746,'Base bordo'!C$2:C$746,A365,'Base bordo'!B$2:B$746,B365,'Base bordo'!F$2:F$746,"AGUARDANDO MANUTENCAO"),0)</f>
        <v>0</v>
      </c>
      <c r="N365" s="10">
        <f>IFERROR(SUMIFS('Base bordo'!G$2:G$746,'Base bordo'!C$2:C$746,A365,'Base bordo'!B$2:B$746,B365,'Base bordo'!F$2:F$746,"SEM APONTAMENTO"),0)</f>
        <v>8.0277777777777781E-2</v>
      </c>
      <c r="O365" s="10">
        <f t="shared" si="42"/>
        <v>0.21499999999999986</v>
      </c>
      <c r="P365" s="10">
        <f>IFERROR(SUMIFS('Base bordo'!G$2:G$746,'Base bordo'!C$2:C$746,A365,'Base bordo'!B$2:B$746,B365),0)</f>
        <v>24</v>
      </c>
      <c r="Q365" s="10">
        <f>IFERROR(SUMIFS('Base bordo'!H$2:H$746,'Base bordo'!C$2:C$746,A365,'Base bordo'!B$2:B$746,B365,'Base bordo'!F$2:F$746,"DESLOCAMENTO VAZIO"),0)</f>
        <v>230189.18</v>
      </c>
      <c r="R365" s="10">
        <f>IFERROR(SUMIFS('Base bordo'!I$2:I$746,'Base bordo'!C$2:C$746,A365,'Base bordo'!B$2:B$746,B365,'Base bordo'!F$2:F$746,"DESLOCAMENTO VAZIO"),0)</f>
        <v>8438</v>
      </c>
      <c r="S365" s="30">
        <f t="shared" si="43"/>
        <v>27.28006399620763</v>
      </c>
      <c r="T365" s="10">
        <f>IFERROR(SUMIFS('Base bordo'!H$2:H$746,'Base bordo'!C$2:C$746,A365,'Base bordo'!B$2:B$746,B365,'Base bordo'!F$2:F$746,"DESLOCAMENTO CARREGADO"),0)</f>
        <v>169494.41999999998</v>
      </c>
      <c r="U365" s="10">
        <f>IFERROR(SUMIFS('Base bordo'!I$2:I$746,'Base bordo'!C$2:C$746,A365,'Base bordo'!B$2:B$746,B365,'Base bordo'!F$2:F$746,"DESLOCAMENTO CARREGADO"),0)</f>
        <v>6763</v>
      </c>
      <c r="V365" s="30">
        <f t="shared" si="44"/>
        <v>25.062016856424663</v>
      </c>
      <c r="W365" s="9">
        <f t="shared" si="45"/>
        <v>9.7662037037037033E-2</v>
      </c>
      <c r="X365" s="9">
        <f t="shared" si="46"/>
        <v>7.8275462962962963E-2</v>
      </c>
      <c r="Y365" s="9">
        <f t="shared" si="47"/>
        <v>0.82406250000000003</v>
      </c>
    </row>
    <row r="366" spans="1:25" ht="15" customHeight="1" x14ac:dyDescent="0.35">
      <c r="A366" s="52">
        <v>8013486</v>
      </c>
      <c r="B366" s="51">
        <v>46118</v>
      </c>
      <c r="C366" s="7" t="s">
        <v>124</v>
      </c>
      <c r="D366" s="10">
        <f>IFERROR(SUMIFS('Base bordo'!G$2:G$746,'Base bordo'!C$2:C$746,A366,'Base bordo'!B$2:B$746,B366,'Base bordo'!F$2:F$746,"DESLOCAMENTO VAZIO"),0)</f>
        <v>0.90972222222222221</v>
      </c>
      <c r="E366" s="10">
        <f>IFERROR(SUMIFS('Base bordo'!G$2:G$746,'Base bordo'!C$2:C$746,A366,'Base bordo'!B$2:B$746,B366,'Base bordo'!F$2:F$746,"DESLOCAMENTO CARREGADO"),0)</f>
        <v>1.7558333333333334</v>
      </c>
      <c r="F366" s="10">
        <f>IFERROR(SUMIFS('Base bordo'!G$2:G$746,'Base bordo'!C$2:C$746,A366,'Base bordo'!B$2:B$746,B366,'Base bordo'!F$2:F$746,"DESLOCAMENTO"),0)</f>
        <v>6.0436111111111108</v>
      </c>
      <c r="G366" s="10">
        <f>IFERROR(SUMIFS('Base bordo'!G$2:G$746,'Base bordo'!C$2:C$746,A366,'Base bordo'!B$2:B$746,B366,'Base bordo'!F$2:F$746,"CARREGAMENTO"),0)</f>
        <v>0</v>
      </c>
      <c r="H366" s="10">
        <f>IFERROR(SUMIFS('Base bordo'!G$2:G$746,'Base bordo'!C$2:C$746,A366,'Base bordo'!B$2:B$746,B366,'Base bordo'!F$2:F$746,"AGUARDANDO TRANSBORDO"),0)</f>
        <v>0</v>
      </c>
      <c r="I366" s="10">
        <f>IFERROR(SUMIFS('Base bordo'!G$2:G$746,'Base bordo'!C$2:C$746,A366,'Base bordo'!B$2:B$746,B366,'Base bordo'!F$2:F$746,"PÁTIO INTERNO"),0)+IFERROR(SUMIFS('Base bordo'!G$2:G$746,'Base bordo'!C$2:C$746,A366,'Base bordo'!B$2:B$746,B366,'Base bordo'!F$2:F$746,"PÁTIO EXTERNO"),0)+IFERROR(SUMIFS('Base bordo'!G$2:G$746,'Base bordo'!C$2:C$746,A366,'Base bordo'!B$2:B$746,B366,'Base bordo'!F$2:F$746,"PATIO - RESERVA"),0)+IFERROR(SUMIFS('Base bordo'!G$2:G$746,'Base bordo'!C$2:C$746,A366,'Base bordo'!B$2:B$746,B366,'Base bordo'!F$2:F$746,"MANOBRA CARRETAS-PATIO"),0)</f>
        <v>3.7905555555555552</v>
      </c>
      <c r="J366" s="10">
        <f>IFERROR(SUMIFS('Base bordo'!G$2:G$746,'Base bordo'!C$2:C$746,A366,'Base bordo'!B$2:B$746,B366,'Base bordo'!F$2:F$746,"BALANÇA - ENTRADA"),0)+IFERROR(SUMIFS('Base bordo'!G$2:G$746,'Base bordo'!C$2:C$746,A366,'Base bordo'!B$2:B$746,B366,'Base bordo'!F$2:F$746,"BALANÇA - SAÍDA"),0)</f>
        <v>5.6666666666666664E-2</v>
      </c>
      <c r="K366" s="10">
        <f>IFERROR(SUMIFS('Base bordo'!G$2:G$746,'Base bordo'!C$2:C$746,A366,'Base bordo'!B$2:B$746,B366,'Base bordo'!F$2:F$746,"MAN PREVENTIVA - MECANICA"),0)+IFERROR(SUMIFS('Base bordo'!G$2:G$746,'Base bordo'!C$2:C$746,A366,'Base bordo'!B$2:B$746,B366,'Base bordo'!F$2:F$746,"MAN CORRETIVA - MECANICA"),0)</f>
        <v>0</v>
      </c>
      <c r="L366" s="10">
        <f>IFERROR(SUMIFS('Base bordo'!G$2:G$746,'Base bordo'!C$2:C$746,A366,'Base bordo'!B$2:B$746,B366,'Base bordo'!F$2:F$746,"MANUTENCAO - T O"),0)+IFERROR(SUMIFS('Base bordo'!G$2:G$746,'Base bordo'!C$2:C$746,A366,'Base bordo'!B$2:B$746,B366,'Base bordo'!F$2:F$746,"MANUTENCAO BORRACHARIA"),0)+IFERROR(SUMIFS('Base bordo'!G$2:G$746,'Base bordo'!C$2:C$746,A366,'Base bordo'!B$2:B$746,B366,'Base bordo'!F$2:F$746,"MANUTENCAO EXTERNA  CONCESSIONARIA"),0)+IFERROR(SUMIFS('Base bordo'!G$2:G$746,'Base bordo'!C$2:C$746,A366,'Base bordo'!B$2:B$746,B366,'Base bordo'!F$2:F$746,"MANUTENCAO TELEMETRIA"),0)</f>
        <v>9.4491666666666667</v>
      </c>
      <c r="M366" s="10">
        <f>IFERROR(SUMIFS('Base bordo'!G$2:G$746,'Base bordo'!C$2:C$746,A366,'Base bordo'!B$2:B$746,B366,'Base bordo'!F$2:F$746,"AGUARDANDO MANUTENCAO"),0)</f>
        <v>0</v>
      </c>
      <c r="N366" s="10">
        <f>IFERROR(SUMIFS('Base bordo'!G$2:G$746,'Base bordo'!C$2:C$746,A366,'Base bordo'!B$2:B$746,B366,'Base bordo'!F$2:F$746,"SEM APONTAMENTO"),0)</f>
        <v>0</v>
      </c>
      <c r="O366" s="10">
        <f t="shared" si="42"/>
        <v>0.20222222222222541</v>
      </c>
      <c r="P366" s="10">
        <f>IFERROR(SUMIFS('Base bordo'!G$2:G$746,'Base bordo'!C$2:C$746,A366,'Base bordo'!B$2:B$746,B366),0)</f>
        <v>22.207777777777778</v>
      </c>
      <c r="Q366" s="10">
        <f>IFERROR(SUMIFS('Base bordo'!H$2:H$746,'Base bordo'!C$2:C$746,A366,'Base bordo'!B$2:B$746,B366,'Base bordo'!F$2:F$746,"DESLOCAMENTO VAZIO"),0)</f>
        <v>86336.93</v>
      </c>
      <c r="R366" s="10">
        <f>IFERROR(SUMIFS('Base bordo'!I$2:I$746,'Base bordo'!C$2:C$746,A366,'Base bordo'!B$2:B$746,B366,'Base bordo'!F$2:F$746,"DESLOCAMENTO VAZIO"),0)</f>
        <v>3275</v>
      </c>
      <c r="S366" s="30">
        <f t="shared" si="43"/>
        <v>26.362421374045798</v>
      </c>
      <c r="T366" s="10">
        <f>IFERROR(SUMIFS('Base bordo'!H$2:H$746,'Base bordo'!C$2:C$746,A366,'Base bordo'!B$2:B$746,B366,'Base bordo'!F$2:F$746,"DESLOCAMENTO CARREGADO"),0)</f>
        <v>166427.58000000002</v>
      </c>
      <c r="U366" s="10">
        <f>IFERROR(SUMIFS('Base bordo'!I$2:I$746,'Base bordo'!C$2:C$746,A366,'Base bordo'!B$2:B$746,B366,'Base bordo'!F$2:F$746,"DESLOCAMENTO CARREGADO"),0)</f>
        <v>6321</v>
      </c>
      <c r="V366" s="30">
        <f t="shared" si="44"/>
        <v>26.329311817750359</v>
      </c>
      <c r="W366" s="9">
        <f t="shared" si="45"/>
        <v>4.0964126682343519E-2</v>
      </c>
      <c r="X366" s="9">
        <f t="shared" si="46"/>
        <v>7.9063891529494168E-2</v>
      </c>
      <c r="Y366" s="9">
        <f t="shared" si="47"/>
        <v>0.87997198178816227</v>
      </c>
    </row>
    <row r="367" spans="1:25" ht="15" customHeight="1" x14ac:dyDescent="0.35">
      <c r="A367" s="52">
        <v>8013473</v>
      </c>
      <c r="B367" s="51">
        <v>46123</v>
      </c>
      <c r="C367" s="7" t="s">
        <v>124</v>
      </c>
      <c r="D367" s="10">
        <f>IFERROR(SUMIFS('Base bordo'!G$2:G$746,'Base bordo'!C$2:C$746,A367,'Base bordo'!B$2:B$746,B367,'Base bordo'!F$2:F$746,"DESLOCAMENTO VAZIO"),0)</f>
        <v>2.2419444444444445</v>
      </c>
      <c r="E367" s="10">
        <f>IFERROR(SUMIFS('Base bordo'!G$2:G$746,'Base bordo'!C$2:C$746,A367,'Base bordo'!B$2:B$746,B367,'Base bordo'!F$2:F$746,"DESLOCAMENTO CARREGADO"),0)</f>
        <v>2.7183333333333333</v>
      </c>
      <c r="F367" s="10">
        <f>IFERROR(SUMIFS('Base bordo'!G$2:G$746,'Base bordo'!C$2:C$746,A367,'Base bordo'!B$2:B$746,B367,'Base bordo'!F$2:F$746,"DESLOCAMENTO"),0)</f>
        <v>0</v>
      </c>
      <c r="G367" s="10">
        <f>IFERROR(SUMIFS('Base bordo'!G$2:G$746,'Base bordo'!C$2:C$746,A367,'Base bordo'!B$2:B$746,B367,'Base bordo'!F$2:F$746,"CARREGAMENTO"),0)</f>
        <v>0</v>
      </c>
      <c r="H367" s="10">
        <f>IFERROR(SUMIFS('Base bordo'!G$2:G$746,'Base bordo'!C$2:C$746,A367,'Base bordo'!B$2:B$746,B367,'Base bordo'!F$2:F$746,"AGUARDANDO TRANSBORDO"),0)</f>
        <v>1.3844444444444444</v>
      </c>
      <c r="I367" s="10">
        <f>IFERROR(SUMIFS('Base bordo'!G$2:G$746,'Base bordo'!C$2:C$746,A367,'Base bordo'!B$2:B$746,B367,'Base bordo'!F$2:F$746,"PÁTIO INTERNO"),0)+IFERROR(SUMIFS('Base bordo'!G$2:G$746,'Base bordo'!C$2:C$746,A367,'Base bordo'!B$2:B$746,B367,'Base bordo'!F$2:F$746,"PÁTIO EXTERNO"),0)+IFERROR(SUMIFS('Base bordo'!G$2:G$746,'Base bordo'!C$2:C$746,A367,'Base bordo'!B$2:B$746,B367,'Base bordo'!F$2:F$746,"PATIO - RESERVA"),0)+IFERROR(SUMIFS('Base bordo'!G$2:G$746,'Base bordo'!C$2:C$746,A367,'Base bordo'!B$2:B$746,B367,'Base bordo'!F$2:F$746,"MANOBRA CARRETAS-PATIO"),0)</f>
        <v>0.63833333333333331</v>
      </c>
      <c r="J367" s="10">
        <f>IFERROR(SUMIFS('Base bordo'!G$2:G$746,'Base bordo'!C$2:C$746,A367,'Base bordo'!B$2:B$746,B367,'Base bordo'!F$2:F$746,"BALANÇA - ENTRADA"),0)+IFERROR(SUMIFS('Base bordo'!G$2:G$746,'Base bordo'!C$2:C$746,A367,'Base bordo'!B$2:B$746,B367,'Base bordo'!F$2:F$746,"BALANÇA - SAÍDA"),0)</f>
        <v>0</v>
      </c>
      <c r="K367" s="10">
        <f>IFERROR(SUMIFS('Base bordo'!G$2:G$746,'Base bordo'!C$2:C$746,A367,'Base bordo'!B$2:B$746,B367,'Base bordo'!F$2:F$746,"MAN PREVENTIVA - MECANICA"),0)+IFERROR(SUMIFS('Base bordo'!G$2:G$746,'Base bordo'!C$2:C$746,A367,'Base bordo'!B$2:B$746,B367,'Base bordo'!F$2:F$746,"MAN CORRETIVA - MECANICA"),0)</f>
        <v>0</v>
      </c>
      <c r="L367" s="10">
        <f>IFERROR(SUMIFS('Base bordo'!G$2:G$746,'Base bordo'!C$2:C$746,A367,'Base bordo'!B$2:B$746,B367,'Base bordo'!F$2:F$746,"MANUTENCAO - T O"),0)+IFERROR(SUMIFS('Base bordo'!G$2:G$746,'Base bordo'!C$2:C$746,A367,'Base bordo'!B$2:B$746,B367,'Base bordo'!F$2:F$746,"MANUTENCAO BORRACHARIA"),0)+IFERROR(SUMIFS('Base bordo'!G$2:G$746,'Base bordo'!C$2:C$746,A367,'Base bordo'!B$2:B$746,B367,'Base bordo'!F$2:F$746,"MANUTENCAO EXTERNA  CONCESSIONARIA"),0)+IFERROR(SUMIFS('Base bordo'!G$2:G$746,'Base bordo'!C$2:C$746,A367,'Base bordo'!B$2:B$746,B367,'Base bordo'!F$2:F$746,"MANUTENCAO TELEMETRIA"),0)</f>
        <v>0</v>
      </c>
      <c r="M367" s="10">
        <f>IFERROR(SUMIFS('Base bordo'!G$2:G$746,'Base bordo'!C$2:C$746,A367,'Base bordo'!B$2:B$746,B367,'Base bordo'!F$2:F$746,"AGUARDANDO MANUTENCAO"),0)</f>
        <v>0</v>
      </c>
      <c r="N367" s="10">
        <f>IFERROR(SUMIFS('Base bordo'!G$2:G$746,'Base bordo'!C$2:C$746,A367,'Base bordo'!B$2:B$746,B367,'Base bordo'!F$2:F$746,"SEM APONTAMENTO"),0)</f>
        <v>0</v>
      </c>
      <c r="O367" s="10">
        <f t="shared" si="42"/>
        <v>0.22777777777777786</v>
      </c>
      <c r="P367" s="10">
        <f>IFERROR(SUMIFS('Base bordo'!G$2:G$746,'Base bordo'!C$2:C$746,A367,'Base bordo'!B$2:B$746,B367),0)</f>
        <v>7.2108333333333334</v>
      </c>
      <c r="Q367" s="10">
        <f>IFERROR(SUMIFS('Base bordo'!H$2:H$746,'Base bordo'!C$2:C$746,A367,'Base bordo'!B$2:B$746,B367,'Base bordo'!F$2:F$746,"DESLOCAMENTO VAZIO"),0)</f>
        <v>253000.22999999998</v>
      </c>
      <c r="R367" s="10">
        <f>IFERROR(SUMIFS('Base bordo'!I$2:I$746,'Base bordo'!C$2:C$746,A367,'Base bordo'!B$2:B$746,B367,'Base bordo'!F$2:F$746,"DESLOCAMENTO VAZIO"),0)</f>
        <v>8071</v>
      </c>
      <c r="S367" s="30">
        <f t="shared" si="43"/>
        <v>31.346825672159582</v>
      </c>
      <c r="T367" s="10">
        <f>IFERROR(SUMIFS('Base bordo'!H$2:H$746,'Base bordo'!C$2:C$746,A367,'Base bordo'!B$2:B$746,B367,'Base bordo'!F$2:F$746,"DESLOCAMENTO CARREGADO"),0)</f>
        <v>222192.59000000003</v>
      </c>
      <c r="U367" s="10">
        <f>IFERROR(SUMIFS('Base bordo'!I$2:I$746,'Base bordo'!C$2:C$746,A367,'Base bordo'!B$2:B$746,B367,'Base bordo'!F$2:F$746,"DESLOCAMENTO CARREGADO"),0)</f>
        <v>9786</v>
      </c>
      <c r="V367" s="30">
        <f t="shared" si="44"/>
        <v>22.705149192724303</v>
      </c>
      <c r="W367" s="9">
        <f t="shared" si="45"/>
        <v>0.31091336338071573</v>
      </c>
      <c r="X367" s="9">
        <f t="shared" si="46"/>
        <v>0.37697908239916789</v>
      </c>
      <c r="Y367" s="9">
        <f t="shared" si="47"/>
        <v>0.31210755422011638</v>
      </c>
    </row>
    <row r="368" spans="1:25" ht="15" customHeight="1" x14ac:dyDescent="0.35">
      <c r="A368" s="52">
        <v>8013483</v>
      </c>
      <c r="B368" s="51">
        <v>46118</v>
      </c>
      <c r="C368" s="7" t="s">
        <v>124</v>
      </c>
      <c r="D368" s="10">
        <f>IFERROR(SUMIFS('Base bordo'!G$2:G$746,'Base bordo'!C$2:C$746,A368,'Base bordo'!B$2:B$746,B368,'Base bordo'!F$2:F$746,"DESLOCAMENTO VAZIO"),0)</f>
        <v>2.4136111111111109</v>
      </c>
      <c r="E368" s="10">
        <f>IFERROR(SUMIFS('Base bordo'!G$2:G$746,'Base bordo'!C$2:C$746,A368,'Base bordo'!B$2:B$746,B368,'Base bordo'!F$2:F$746,"DESLOCAMENTO CARREGADO"),0)</f>
        <v>0.74972222222222218</v>
      </c>
      <c r="F368" s="10">
        <f>IFERROR(SUMIFS('Base bordo'!G$2:G$746,'Base bordo'!C$2:C$746,A368,'Base bordo'!B$2:B$746,B368,'Base bordo'!F$2:F$746,"DESLOCAMENTO"),0)</f>
        <v>0</v>
      </c>
      <c r="G368" s="10">
        <f>IFERROR(SUMIFS('Base bordo'!G$2:G$746,'Base bordo'!C$2:C$746,A368,'Base bordo'!B$2:B$746,B368,'Base bordo'!F$2:F$746,"CARREGAMENTO"),0)</f>
        <v>0</v>
      </c>
      <c r="H368" s="10">
        <f>IFERROR(SUMIFS('Base bordo'!G$2:G$746,'Base bordo'!C$2:C$746,A368,'Base bordo'!B$2:B$746,B368,'Base bordo'!F$2:F$746,"AGUARDANDO TRANSBORDO"),0)</f>
        <v>0.18666666666666668</v>
      </c>
      <c r="I368" s="10">
        <f>IFERROR(SUMIFS('Base bordo'!G$2:G$746,'Base bordo'!C$2:C$746,A368,'Base bordo'!B$2:B$746,B368,'Base bordo'!F$2:F$746,"PÁTIO INTERNO"),0)+IFERROR(SUMIFS('Base bordo'!G$2:G$746,'Base bordo'!C$2:C$746,A368,'Base bordo'!B$2:B$746,B368,'Base bordo'!F$2:F$746,"PÁTIO EXTERNO"),0)+IFERROR(SUMIFS('Base bordo'!G$2:G$746,'Base bordo'!C$2:C$746,A368,'Base bordo'!B$2:B$746,B368,'Base bordo'!F$2:F$746,"PATIO - RESERVA"),0)+IFERROR(SUMIFS('Base bordo'!G$2:G$746,'Base bordo'!C$2:C$746,A368,'Base bordo'!B$2:B$746,B368,'Base bordo'!F$2:F$746,"MANOBRA CARRETAS-PATIO"),0)</f>
        <v>11.716111111111111</v>
      </c>
      <c r="J368" s="10">
        <f>IFERROR(SUMIFS('Base bordo'!G$2:G$746,'Base bordo'!C$2:C$746,A368,'Base bordo'!B$2:B$746,B368,'Base bordo'!F$2:F$746,"BALANÇA - ENTRADA"),0)+IFERROR(SUMIFS('Base bordo'!G$2:G$746,'Base bordo'!C$2:C$746,A368,'Base bordo'!B$2:B$746,B368,'Base bordo'!F$2:F$746,"BALANÇA - SAÍDA"),0)</f>
        <v>4.7500000000000001E-2</v>
      </c>
      <c r="K368" s="10">
        <f>IFERROR(SUMIFS('Base bordo'!G$2:G$746,'Base bordo'!C$2:C$746,A368,'Base bordo'!B$2:B$746,B368,'Base bordo'!F$2:F$746,"MAN PREVENTIVA - MECANICA"),0)+IFERROR(SUMIFS('Base bordo'!G$2:G$746,'Base bordo'!C$2:C$746,A368,'Base bordo'!B$2:B$746,B368,'Base bordo'!F$2:F$746,"MAN CORRETIVA - MECANICA"),0)</f>
        <v>0</v>
      </c>
      <c r="L368" s="10">
        <f>IFERROR(SUMIFS('Base bordo'!G$2:G$746,'Base bordo'!C$2:C$746,A368,'Base bordo'!B$2:B$746,B368,'Base bordo'!F$2:F$746,"MANUTENCAO - T O"),0)+IFERROR(SUMIFS('Base bordo'!G$2:G$746,'Base bordo'!C$2:C$746,A368,'Base bordo'!B$2:B$746,B368,'Base bordo'!F$2:F$746,"MANUTENCAO BORRACHARIA"),0)+IFERROR(SUMIFS('Base bordo'!G$2:G$746,'Base bordo'!C$2:C$746,A368,'Base bordo'!B$2:B$746,B368,'Base bordo'!F$2:F$746,"MANUTENCAO EXTERNA  CONCESSIONARIA"),0)+IFERROR(SUMIFS('Base bordo'!G$2:G$746,'Base bordo'!C$2:C$746,A368,'Base bordo'!B$2:B$746,B368,'Base bordo'!F$2:F$746,"MANUTENCAO TELEMETRIA"),0)</f>
        <v>3.4908333333333332</v>
      </c>
      <c r="M368" s="10">
        <f>IFERROR(SUMIFS('Base bordo'!G$2:G$746,'Base bordo'!C$2:C$746,A368,'Base bordo'!B$2:B$746,B368,'Base bordo'!F$2:F$746,"AGUARDANDO MANUTENCAO"),0)</f>
        <v>0</v>
      </c>
      <c r="N368" s="10">
        <f>IFERROR(SUMIFS('Base bordo'!G$2:G$746,'Base bordo'!C$2:C$746,A368,'Base bordo'!B$2:B$746,B368,'Base bordo'!F$2:F$746,"SEM APONTAMENTO"),0)</f>
        <v>0</v>
      </c>
      <c r="O368" s="10">
        <f t="shared" si="42"/>
        <v>0</v>
      </c>
      <c r="P368" s="10">
        <f>IFERROR(SUMIFS('Base bordo'!G$2:G$746,'Base bordo'!C$2:C$746,A368,'Base bordo'!B$2:B$746,B368),0)</f>
        <v>18.604444444444443</v>
      </c>
      <c r="Q368" s="10">
        <f>IFERROR(SUMIFS('Base bordo'!H$2:H$746,'Base bordo'!C$2:C$746,A368,'Base bordo'!B$2:B$746,B368,'Base bordo'!F$2:F$746,"DESLOCAMENTO VAZIO"),0)</f>
        <v>164736.31</v>
      </c>
      <c r="R368" s="10">
        <f>IFERROR(SUMIFS('Base bordo'!I$2:I$746,'Base bordo'!C$2:C$746,A368,'Base bordo'!B$2:B$746,B368,'Base bordo'!F$2:F$746,"DESLOCAMENTO VAZIO"),0)</f>
        <v>8689</v>
      </c>
      <c r="S368" s="30">
        <f t="shared" si="43"/>
        <v>18.959179422258028</v>
      </c>
      <c r="T368" s="10">
        <f>IFERROR(SUMIFS('Base bordo'!H$2:H$746,'Base bordo'!C$2:C$746,A368,'Base bordo'!B$2:B$746,B368,'Base bordo'!F$2:F$746,"DESLOCAMENTO CARREGADO"),0)</f>
        <v>65187.479999999996</v>
      </c>
      <c r="U368" s="10">
        <f>IFERROR(SUMIFS('Base bordo'!I$2:I$746,'Base bordo'!C$2:C$746,A368,'Base bordo'!B$2:B$746,B368,'Base bordo'!F$2:F$746,"DESLOCAMENTO CARREGADO"),0)</f>
        <v>2699</v>
      </c>
      <c r="V368" s="30">
        <f t="shared" si="44"/>
        <v>24.152456465357538</v>
      </c>
      <c r="W368" s="9">
        <f t="shared" si="45"/>
        <v>0.12973303870043001</v>
      </c>
      <c r="X368" s="9">
        <f t="shared" si="46"/>
        <v>4.0298017200191112E-2</v>
      </c>
      <c r="Y368" s="9">
        <f t="shared" si="47"/>
        <v>0.82996894409937894</v>
      </c>
    </row>
    <row r="369" spans="1:25" ht="15" customHeight="1" x14ac:dyDescent="0.35">
      <c r="A369" s="52">
        <v>8013486</v>
      </c>
      <c r="B369" s="51">
        <v>46119</v>
      </c>
      <c r="C369" s="7" t="s">
        <v>124</v>
      </c>
      <c r="D369" s="10">
        <f>IFERROR(SUMIFS('Base bordo'!G$2:G$746,'Base bordo'!C$2:C$746,A369,'Base bordo'!B$2:B$746,B369,'Base bordo'!F$2:F$746,"DESLOCAMENTO VAZIO"),0)</f>
        <v>0.33</v>
      </c>
      <c r="E369" s="10">
        <f>IFERROR(SUMIFS('Base bordo'!G$2:G$746,'Base bordo'!C$2:C$746,A369,'Base bordo'!B$2:B$746,B369,'Base bordo'!F$2:F$746,"DESLOCAMENTO CARREGADO"),0)</f>
        <v>0</v>
      </c>
      <c r="F369" s="10">
        <f>IFERROR(SUMIFS('Base bordo'!G$2:G$746,'Base bordo'!C$2:C$746,A369,'Base bordo'!B$2:B$746,B369,'Base bordo'!F$2:F$746,"DESLOCAMENTO"),0)</f>
        <v>0</v>
      </c>
      <c r="G369" s="10">
        <f>IFERROR(SUMIFS('Base bordo'!G$2:G$746,'Base bordo'!C$2:C$746,A369,'Base bordo'!B$2:B$746,B369,'Base bordo'!F$2:F$746,"CARREGAMENTO"),0)</f>
        <v>0</v>
      </c>
      <c r="H369" s="10">
        <f>IFERROR(SUMIFS('Base bordo'!G$2:G$746,'Base bordo'!C$2:C$746,A369,'Base bordo'!B$2:B$746,B369,'Base bordo'!F$2:F$746,"AGUARDANDO TRANSBORDO"),0)</f>
        <v>8.666666666666667E-2</v>
      </c>
      <c r="I369" s="10">
        <f>IFERROR(SUMIFS('Base bordo'!G$2:G$746,'Base bordo'!C$2:C$746,A369,'Base bordo'!B$2:B$746,B369,'Base bordo'!F$2:F$746,"PÁTIO INTERNO"),0)+IFERROR(SUMIFS('Base bordo'!G$2:G$746,'Base bordo'!C$2:C$746,A369,'Base bordo'!B$2:B$746,B369,'Base bordo'!F$2:F$746,"PÁTIO EXTERNO"),0)+IFERROR(SUMIFS('Base bordo'!G$2:G$746,'Base bordo'!C$2:C$746,A369,'Base bordo'!B$2:B$746,B369,'Base bordo'!F$2:F$746,"PATIO - RESERVA"),0)+IFERROR(SUMIFS('Base bordo'!G$2:G$746,'Base bordo'!C$2:C$746,A369,'Base bordo'!B$2:B$746,B369,'Base bordo'!F$2:F$746,"MANOBRA CARRETAS-PATIO"),0)</f>
        <v>12.1875</v>
      </c>
      <c r="J369" s="10">
        <f>IFERROR(SUMIFS('Base bordo'!G$2:G$746,'Base bordo'!C$2:C$746,A369,'Base bordo'!B$2:B$746,B369,'Base bordo'!F$2:F$746,"BALANÇA - ENTRADA"),0)+IFERROR(SUMIFS('Base bordo'!G$2:G$746,'Base bordo'!C$2:C$746,A369,'Base bordo'!B$2:B$746,B369,'Base bordo'!F$2:F$746,"BALANÇA - SAÍDA"),0)</f>
        <v>1.0555555555555556E-2</v>
      </c>
      <c r="K369" s="10">
        <f>IFERROR(SUMIFS('Base bordo'!G$2:G$746,'Base bordo'!C$2:C$746,A369,'Base bordo'!B$2:B$746,B369,'Base bordo'!F$2:F$746,"MAN PREVENTIVA - MECANICA"),0)+IFERROR(SUMIFS('Base bordo'!G$2:G$746,'Base bordo'!C$2:C$746,A369,'Base bordo'!B$2:B$746,B369,'Base bordo'!F$2:F$746,"MAN CORRETIVA - MECANICA"),0)</f>
        <v>0</v>
      </c>
      <c r="L369" s="10">
        <f>IFERROR(SUMIFS('Base bordo'!G$2:G$746,'Base bordo'!C$2:C$746,A369,'Base bordo'!B$2:B$746,B369,'Base bordo'!F$2:F$746,"MANUTENCAO - T O"),0)+IFERROR(SUMIFS('Base bordo'!G$2:G$746,'Base bordo'!C$2:C$746,A369,'Base bordo'!B$2:B$746,B369,'Base bordo'!F$2:F$746,"MANUTENCAO BORRACHARIA"),0)+IFERROR(SUMIFS('Base bordo'!G$2:G$746,'Base bordo'!C$2:C$746,A369,'Base bordo'!B$2:B$746,B369,'Base bordo'!F$2:F$746,"MANUTENCAO EXTERNA  CONCESSIONARIA"),0)+IFERROR(SUMIFS('Base bordo'!G$2:G$746,'Base bordo'!C$2:C$746,A369,'Base bordo'!B$2:B$746,B369,'Base bordo'!F$2:F$746,"MANUTENCAO TELEMETRIA"),0)</f>
        <v>0</v>
      </c>
      <c r="M369" s="10">
        <f>IFERROR(SUMIFS('Base bordo'!G$2:G$746,'Base bordo'!C$2:C$746,A369,'Base bordo'!B$2:B$746,B369,'Base bordo'!F$2:F$746,"AGUARDANDO MANUTENCAO"),0)</f>
        <v>0</v>
      </c>
      <c r="N369" s="10">
        <f>IFERROR(SUMIFS('Base bordo'!G$2:G$746,'Base bordo'!C$2:C$746,A369,'Base bordo'!B$2:B$746,B369,'Base bordo'!F$2:F$746,"SEM APONTAMENTO"),0)</f>
        <v>0</v>
      </c>
      <c r="O369" s="10">
        <f t="shared" si="42"/>
        <v>0</v>
      </c>
      <c r="P369" s="10">
        <f>IFERROR(SUMIFS('Base bordo'!G$2:G$746,'Base bordo'!C$2:C$746,A369,'Base bordo'!B$2:B$746,B369),0)</f>
        <v>12.614722222222222</v>
      </c>
      <c r="Q369" s="10">
        <f>IFERROR(SUMIFS('Base bordo'!H$2:H$746,'Base bordo'!C$2:C$746,A369,'Base bordo'!B$2:B$746,B369,'Base bordo'!F$2:F$746,"DESLOCAMENTO VAZIO"),0)</f>
        <v>7895.41</v>
      </c>
      <c r="R369" s="10">
        <f>IFERROR(SUMIFS('Base bordo'!I$2:I$746,'Base bordo'!C$2:C$746,A369,'Base bordo'!B$2:B$746,B369,'Base bordo'!F$2:F$746,"DESLOCAMENTO VAZIO"),0)</f>
        <v>1188</v>
      </c>
      <c r="S369" s="30">
        <f t="shared" si="43"/>
        <v>6.6459680134680132</v>
      </c>
      <c r="T369" s="10">
        <f>IFERROR(SUMIFS('Base bordo'!H$2:H$746,'Base bordo'!C$2:C$746,A369,'Base bordo'!B$2:B$746,B369,'Base bordo'!F$2:F$746,"DESLOCAMENTO CARREGADO"),0)</f>
        <v>0</v>
      </c>
      <c r="U369" s="10">
        <f>IFERROR(SUMIFS('Base bordo'!I$2:I$746,'Base bordo'!C$2:C$746,A369,'Base bordo'!B$2:B$746,B369,'Base bordo'!F$2:F$746,"DESLOCAMENTO CARREGADO"),0)</f>
        <v>0</v>
      </c>
      <c r="V369" s="30" t="str">
        <f t="shared" si="44"/>
        <v/>
      </c>
      <c r="W369" s="9">
        <f t="shared" si="45"/>
        <v>2.6159910157884308E-2</v>
      </c>
      <c r="X369" s="9">
        <f t="shared" si="46"/>
        <v>0</v>
      </c>
      <c r="Y369" s="9">
        <f t="shared" si="47"/>
        <v>0.97384008984211567</v>
      </c>
    </row>
    <row r="370" spans="1:25" ht="15" customHeight="1" x14ac:dyDescent="0.35">
      <c r="A370" s="52">
        <v>8013482</v>
      </c>
      <c r="B370" s="51">
        <v>46124</v>
      </c>
      <c r="C370" s="7" t="s">
        <v>124</v>
      </c>
      <c r="D370" s="10">
        <f>IFERROR(SUMIFS('Base bordo'!G$2:G$746,'Base bordo'!C$2:C$746,A370,'Base bordo'!B$2:B$746,B370,'Base bordo'!F$2:F$746,"DESLOCAMENTO VAZIO"),0)</f>
        <v>3.1158333333333332</v>
      </c>
      <c r="E370" s="10">
        <f>IFERROR(SUMIFS('Base bordo'!G$2:G$746,'Base bordo'!C$2:C$746,A370,'Base bordo'!B$2:B$746,B370,'Base bordo'!F$2:F$746,"DESLOCAMENTO CARREGADO"),0)</f>
        <v>4.7358333333333329</v>
      </c>
      <c r="F370" s="10">
        <f>IFERROR(SUMIFS('Base bordo'!G$2:G$746,'Base bordo'!C$2:C$746,A370,'Base bordo'!B$2:B$746,B370,'Base bordo'!F$2:F$746,"DESLOCAMENTO"),0)</f>
        <v>0</v>
      </c>
      <c r="G370" s="10">
        <f>IFERROR(SUMIFS('Base bordo'!G$2:G$746,'Base bordo'!C$2:C$746,A370,'Base bordo'!B$2:B$746,B370,'Base bordo'!F$2:F$746,"CARREGAMENTO"),0)</f>
        <v>0</v>
      </c>
      <c r="H370" s="10">
        <f>IFERROR(SUMIFS('Base bordo'!G$2:G$746,'Base bordo'!C$2:C$746,A370,'Base bordo'!B$2:B$746,B370,'Base bordo'!F$2:F$746,"AGUARDANDO TRANSBORDO"),0)</f>
        <v>0.68361111111111106</v>
      </c>
      <c r="I370" s="10">
        <f>IFERROR(SUMIFS('Base bordo'!G$2:G$746,'Base bordo'!C$2:C$746,A370,'Base bordo'!B$2:B$746,B370,'Base bordo'!F$2:F$746,"PÁTIO INTERNO"),0)+IFERROR(SUMIFS('Base bordo'!G$2:G$746,'Base bordo'!C$2:C$746,A370,'Base bordo'!B$2:B$746,B370,'Base bordo'!F$2:F$746,"PÁTIO EXTERNO"),0)+IFERROR(SUMIFS('Base bordo'!G$2:G$746,'Base bordo'!C$2:C$746,A370,'Base bordo'!B$2:B$746,B370,'Base bordo'!F$2:F$746,"PATIO - RESERVA"),0)+IFERROR(SUMIFS('Base bordo'!G$2:G$746,'Base bordo'!C$2:C$746,A370,'Base bordo'!B$2:B$746,B370,'Base bordo'!F$2:F$746,"MANOBRA CARRETAS-PATIO"),0)</f>
        <v>3.3277777777777775</v>
      </c>
      <c r="J370" s="10">
        <f>IFERROR(SUMIFS('Base bordo'!G$2:G$746,'Base bordo'!C$2:C$746,A370,'Base bordo'!B$2:B$746,B370,'Base bordo'!F$2:F$746,"BALANÇA - ENTRADA"),0)+IFERROR(SUMIFS('Base bordo'!G$2:G$746,'Base bordo'!C$2:C$746,A370,'Base bordo'!B$2:B$746,B370,'Base bordo'!F$2:F$746,"BALANÇA - SAÍDA"),0)</f>
        <v>0.1336111111111111</v>
      </c>
      <c r="K370" s="10">
        <f>IFERROR(SUMIFS('Base bordo'!G$2:G$746,'Base bordo'!C$2:C$746,A370,'Base bordo'!B$2:B$746,B370,'Base bordo'!F$2:F$746,"MAN PREVENTIVA - MECANICA"),0)+IFERROR(SUMIFS('Base bordo'!G$2:G$746,'Base bordo'!C$2:C$746,A370,'Base bordo'!B$2:B$746,B370,'Base bordo'!F$2:F$746,"MAN CORRETIVA - MECANICA"),0)</f>
        <v>0</v>
      </c>
      <c r="L370" s="10">
        <f>IFERROR(SUMIFS('Base bordo'!G$2:G$746,'Base bordo'!C$2:C$746,A370,'Base bordo'!B$2:B$746,B370,'Base bordo'!F$2:F$746,"MANUTENCAO - T O"),0)+IFERROR(SUMIFS('Base bordo'!G$2:G$746,'Base bordo'!C$2:C$746,A370,'Base bordo'!B$2:B$746,B370,'Base bordo'!F$2:F$746,"MANUTENCAO BORRACHARIA"),0)+IFERROR(SUMIFS('Base bordo'!G$2:G$746,'Base bordo'!C$2:C$746,A370,'Base bordo'!B$2:B$746,B370,'Base bordo'!F$2:F$746,"MANUTENCAO EXTERNA  CONCESSIONARIA"),0)+IFERROR(SUMIFS('Base bordo'!G$2:G$746,'Base bordo'!C$2:C$746,A370,'Base bordo'!B$2:B$746,B370,'Base bordo'!F$2:F$746,"MANUTENCAO TELEMETRIA"),0)</f>
        <v>0</v>
      </c>
      <c r="M370" s="10">
        <f>IFERROR(SUMIFS('Base bordo'!G$2:G$746,'Base bordo'!C$2:C$746,A370,'Base bordo'!B$2:B$746,B370,'Base bordo'!F$2:F$746,"AGUARDANDO MANUTENCAO"),0)</f>
        <v>0</v>
      </c>
      <c r="N370" s="10">
        <f>IFERROR(SUMIFS('Base bordo'!G$2:G$746,'Base bordo'!C$2:C$746,A370,'Base bordo'!B$2:B$746,B370,'Base bordo'!F$2:F$746,"SEM APONTAMENTO"),0)</f>
        <v>0</v>
      </c>
      <c r="O370" s="10">
        <f t="shared" si="42"/>
        <v>0</v>
      </c>
      <c r="P370" s="10">
        <f>IFERROR(SUMIFS('Base bordo'!G$2:G$746,'Base bordo'!C$2:C$746,A370,'Base bordo'!B$2:B$746,B370),0)</f>
        <v>11.996666666666666</v>
      </c>
      <c r="Q370" s="10">
        <f>IFERROR(SUMIFS('Base bordo'!H$2:H$746,'Base bordo'!C$2:C$746,A370,'Base bordo'!B$2:B$746,B370,'Base bordo'!F$2:F$746,"DESLOCAMENTO VAZIO"),0)</f>
        <v>368512.23</v>
      </c>
      <c r="R370" s="10">
        <f>IFERROR(SUMIFS('Base bordo'!I$2:I$746,'Base bordo'!C$2:C$746,A370,'Base bordo'!B$2:B$746,B370,'Base bordo'!F$2:F$746,"DESLOCAMENTO VAZIO"),0)</f>
        <v>11217</v>
      </c>
      <c r="S370" s="30">
        <f t="shared" si="43"/>
        <v>32.853011500401173</v>
      </c>
      <c r="T370" s="10">
        <f>IFERROR(SUMIFS('Base bordo'!H$2:H$746,'Base bordo'!C$2:C$746,A370,'Base bordo'!B$2:B$746,B370,'Base bordo'!F$2:F$746,"DESLOCAMENTO CARREGADO"),0)</f>
        <v>421365.02999999997</v>
      </c>
      <c r="U370" s="10">
        <f>IFERROR(SUMIFS('Base bordo'!I$2:I$746,'Base bordo'!C$2:C$746,A370,'Base bordo'!B$2:B$746,B370,'Base bordo'!F$2:F$746,"DESLOCAMENTO CARREGADO"),0)</f>
        <v>17049</v>
      </c>
      <c r="V370" s="30">
        <f t="shared" si="44"/>
        <v>24.714941052261128</v>
      </c>
      <c r="W370" s="9">
        <f t="shared" si="45"/>
        <v>0.25972492358988608</v>
      </c>
      <c r="X370" s="9">
        <f t="shared" si="46"/>
        <v>0.39476243400944705</v>
      </c>
      <c r="Y370" s="9">
        <f t="shared" si="47"/>
        <v>0.34551264240066681</v>
      </c>
    </row>
    <row r="371" spans="1:25" ht="15" customHeight="1" x14ac:dyDescent="0.35">
      <c r="A371" s="52">
        <v>8013472</v>
      </c>
      <c r="B371" s="51">
        <v>46124</v>
      </c>
      <c r="C371" s="7" t="s">
        <v>124</v>
      </c>
      <c r="D371" s="10">
        <f>IFERROR(SUMIFS('Base bordo'!G$2:G$746,'Base bordo'!C$2:C$746,A371,'Base bordo'!B$2:B$746,B371,'Base bordo'!F$2:F$746,"DESLOCAMENTO VAZIO"),0)</f>
        <v>3.0741666666666667</v>
      </c>
      <c r="E371" s="10">
        <f>IFERROR(SUMIFS('Base bordo'!G$2:G$746,'Base bordo'!C$2:C$746,A371,'Base bordo'!B$2:B$746,B371,'Base bordo'!F$2:F$746,"DESLOCAMENTO CARREGADO"),0)</f>
        <v>4.4763888888888888</v>
      </c>
      <c r="F371" s="10">
        <f>IFERROR(SUMIFS('Base bordo'!G$2:G$746,'Base bordo'!C$2:C$746,A371,'Base bordo'!B$2:B$746,B371,'Base bordo'!F$2:F$746,"DESLOCAMENTO"),0)</f>
        <v>0</v>
      </c>
      <c r="G371" s="10">
        <f>IFERROR(SUMIFS('Base bordo'!G$2:G$746,'Base bordo'!C$2:C$746,A371,'Base bordo'!B$2:B$746,B371,'Base bordo'!F$2:F$746,"CARREGAMENTO"),0)</f>
        <v>0</v>
      </c>
      <c r="H371" s="10">
        <f>IFERROR(SUMIFS('Base bordo'!G$2:G$746,'Base bordo'!C$2:C$746,A371,'Base bordo'!B$2:B$746,B371,'Base bordo'!F$2:F$746,"AGUARDANDO TRANSBORDO"),0)</f>
        <v>0.55777777777777782</v>
      </c>
      <c r="I371" s="10">
        <f>IFERROR(SUMIFS('Base bordo'!G$2:G$746,'Base bordo'!C$2:C$746,A371,'Base bordo'!B$2:B$746,B371,'Base bordo'!F$2:F$746,"PÁTIO INTERNO"),0)+IFERROR(SUMIFS('Base bordo'!G$2:G$746,'Base bordo'!C$2:C$746,A371,'Base bordo'!B$2:B$746,B371,'Base bordo'!F$2:F$746,"PÁTIO EXTERNO"),0)+IFERROR(SUMIFS('Base bordo'!G$2:G$746,'Base bordo'!C$2:C$746,A371,'Base bordo'!B$2:B$746,B371,'Base bordo'!F$2:F$746,"PATIO - RESERVA"),0)+IFERROR(SUMIFS('Base bordo'!G$2:G$746,'Base bordo'!C$2:C$746,A371,'Base bordo'!B$2:B$746,B371,'Base bordo'!F$2:F$746,"MANOBRA CARRETAS-PATIO"),0)</f>
        <v>4.0902777777777777</v>
      </c>
      <c r="J371" s="10">
        <f>IFERROR(SUMIFS('Base bordo'!G$2:G$746,'Base bordo'!C$2:C$746,A371,'Base bordo'!B$2:B$746,B371,'Base bordo'!F$2:F$746,"BALANÇA - ENTRADA"),0)+IFERROR(SUMIFS('Base bordo'!G$2:G$746,'Base bordo'!C$2:C$746,A371,'Base bordo'!B$2:B$746,B371,'Base bordo'!F$2:F$746,"BALANÇA - SAÍDA"),0)</f>
        <v>5.5555555555555552E-2</v>
      </c>
      <c r="K371" s="10">
        <f>IFERROR(SUMIFS('Base bordo'!G$2:G$746,'Base bordo'!C$2:C$746,A371,'Base bordo'!B$2:B$746,B371,'Base bordo'!F$2:F$746,"MAN PREVENTIVA - MECANICA"),0)+IFERROR(SUMIFS('Base bordo'!G$2:G$746,'Base bordo'!C$2:C$746,A371,'Base bordo'!B$2:B$746,B371,'Base bordo'!F$2:F$746,"MAN CORRETIVA - MECANICA"),0)</f>
        <v>0</v>
      </c>
      <c r="L371" s="10">
        <f>IFERROR(SUMIFS('Base bordo'!G$2:G$746,'Base bordo'!C$2:C$746,A371,'Base bordo'!B$2:B$746,B371,'Base bordo'!F$2:F$746,"MANUTENCAO - T O"),0)+IFERROR(SUMIFS('Base bordo'!G$2:G$746,'Base bordo'!C$2:C$746,A371,'Base bordo'!B$2:B$746,B371,'Base bordo'!F$2:F$746,"MANUTENCAO BORRACHARIA"),0)+IFERROR(SUMIFS('Base bordo'!G$2:G$746,'Base bordo'!C$2:C$746,A371,'Base bordo'!B$2:B$746,B371,'Base bordo'!F$2:F$746,"MANUTENCAO EXTERNA  CONCESSIONARIA"),0)+IFERROR(SUMIFS('Base bordo'!G$2:G$746,'Base bordo'!C$2:C$746,A371,'Base bordo'!B$2:B$746,B371,'Base bordo'!F$2:F$746,"MANUTENCAO TELEMETRIA"),0)</f>
        <v>0</v>
      </c>
      <c r="M371" s="10">
        <f>IFERROR(SUMIFS('Base bordo'!G$2:G$746,'Base bordo'!C$2:C$746,A371,'Base bordo'!B$2:B$746,B371,'Base bordo'!F$2:F$746,"AGUARDANDO MANUTENCAO"),0)</f>
        <v>0</v>
      </c>
      <c r="N371" s="10">
        <f>IFERROR(SUMIFS('Base bordo'!G$2:G$746,'Base bordo'!C$2:C$746,A371,'Base bordo'!B$2:B$746,B371,'Base bordo'!F$2:F$746,"SEM APONTAMENTO"),0)</f>
        <v>0</v>
      </c>
      <c r="O371" s="10">
        <f t="shared" si="42"/>
        <v>3.5527136788005009E-15</v>
      </c>
      <c r="P371" s="10">
        <f>IFERROR(SUMIFS('Base bordo'!G$2:G$746,'Base bordo'!C$2:C$746,A371,'Base bordo'!B$2:B$746,B371),0)</f>
        <v>12.254166666666668</v>
      </c>
      <c r="Q371" s="10">
        <f>IFERROR(SUMIFS('Base bordo'!H$2:H$746,'Base bordo'!C$2:C$746,A371,'Base bordo'!B$2:B$746,B371,'Base bordo'!F$2:F$746,"DESLOCAMENTO VAZIO"),0)</f>
        <v>415361.29000000004</v>
      </c>
      <c r="R371" s="10">
        <f>IFERROR(SUMIFS('Base bordo'!I$2:I$746,'Base bordo'!C$2:C$746,A371,'Base bordo'!B$2:B$746,B371,'Base bordo'!F$2:F$746,"DESLOCAMENTO VAZIO"),0)</f>
        <v>11067</v>
      </c>
      <c r="S371" s="30">
        <f t="shared" si="43"/>
        <v>37.531516219390987</v>
      </c>
      <c r="T371" s="10">
        <f>IFERROR(SUMIFS('Base bordo'!H$2:H$746,'Base bordo'!C$2:C$746,A371,'Base bordo'!B$2:B$746,B371,'Base bordo'!F$2:F$746,"DESLOCAMENTO CARREGADO"),0)</f>
        <v>393703.57999999996</v>
      </c>
      <c r="U371" s="10">
        <f>IFERROR(SUMIFS('Base bordo'!I$2:I$746,'Base bordo'!C$2:C$746,A371,'Base bordo'!B$2:B$746,B371,'Base bordo'!F$2:F$746,"DESLOCAMENTO CARREGADO"),0)</f>
        <v>16115</v>
      </c>
      <c r="V371" s="30">
        <f t="shared" si="44"/>
        <v>24.430876822835863</v>
      </c>
      <c r="W371" s="9">
        <f t="shared" si="45"/>
        <v>0.25086705202312137</v>
      </c>
      <c r="X371" s="9">
        <f t="shared" si="46"/>
        <v>0.36529525104839616</v>
      </c>
      <c r="Y371" s="9">
        <f t="shared" si="47"/>
        <v>0.38383769692848246</v>
      </c>
    </row>
    <row r="372" spans="1:25" ht="15" customHeight="1" x14ac:dyDescent="0.35">
      <c r="A372" s="52">
        <v>8013482</v>
      </c>
      <c r="B372" s="51">
        <v>46118</v>
      </c>
      <c r="C372" s="7" t="s">
        <v>124</v>
      </c>
      <c r="D372" s="10">
        <f>IFERROR(SUMIFS('Base bordo'!G$2:G$746,'Base bordo'!C$2:C$746,A372,'Base bordo'!B$2:B$746,B372,'Base bordo'!F$2:F$746,"DESLOCAMENTO VAZIO"),0)</f>
        <v>0.37861111111111112</v>
      </c>
      <c r="E372" s="10">
        <f>IFERROR(SUMIFS('Base bordo'!G$2:G$746,'Base bordo'!C$2:C$746,A372,'Base bordo'!B$2:B$746,B372,'Base bordo'!F$2:F$746,"DESLOCAMENTO CARREGADO"),0)</f>
        <v>2.5222222222222221</v>
      </c>
      <c r="F372" s="10">
        <f>IFERROR(SUMIFS('Base bordo'!G$2:G$746,'Base bordo'!C$2:C$746,A372,'Base bordo'!B$2:B$746,B372,'Base bordo'!F$2:F$746,"DESLOCAMENTO"),0)</f>
        <v>0</v>
      </c>
      <c r="G372" s="10">
        <f>IFERROR(SUMIFS('Base bordo'!G$2:G$746,'Base bordo'!C$2:C$746,A372,'Base bordo'!B$2:B$746,B372,'Base bordo'!F$2:F$746,"CARREGAMENTO"),0)</f>
        <v>0</v>
      </c>
      <c r="H372" s="10">
        <f>IFERROR(SUMIFS('Base bordo'!G$2:G$746,'Base bordo'!C$2:C$746,A372,'Base bordo'!B$2:B$746,B372,'Base bordo'!F$2:F$746,"AGUARDANDO TRANSBORDO"),0)</f>
        <v>5.0149999999999997</v>
      </c>
      <c r="I372" s="10">
        <f>IFERROR(SUMIFS('Base bordo'!G$2:G$746,'Base bordo'!C$2:C$746,A372,'Base bordo'!B$2:B$746,B372,'Base bordo'!F$2:F$746,"PÁTIO INTERNO"),0)+IFERROR(SUMIFS('Base bordo'!G$2:G$746,'Base bordo'!C$2:C$746,A372,'Base bordo'!B$2:B$746,B372,'Base bordo'!F$2:F$746,"PÁTIO EXTERNO"),0)+IFERROR(SUMIFS('Base bordo'!G$2:G$746,'Base bordo'!C$2:C$746,A372,'Base bordo'!B$2:B$746,B372,'Base bordo'!F$2:F$746,"PATIO - RESERVA"),0)+IFERROR(SUMIFS('Base bordo'!G$2:G$746,'Base bordo'!C$2:C$746,A372,'Base bordo'!B$2:B$746,B372,'Base bordo'!F$2:F$746,"MANOBRA CARRETAS-PATIO"),0)</f>
        <v>3.0661111111111108</v>
      </c>
      <c r="J372" s="10">
        <f>IFERROR(SUMIFS('Base bordo'!G$2:G$746,'Base bordo'!C$2:C$746,A372,'Base bordo'!B$2:B$746,B372,'Base bordo'!F$2:F$746,"BALANÇA - ENTRADA"),0)+IFERROR(SUMIFS('Base bordo'!G$2:G$746,'Base bordo'!C$2:C$746,A372,'Base bordo'!B$2:B$746,B372,'Base bordo'!F$2:F$746,"BALANÇA - SAÍDA"),0)</f>
        <v>0.14555555555555555</v>
      </c>
      <c r="K372" s="10">
        <f>IFERROR(SUMIFS('Base bordo'!G$2:G$746,'Base bordo'!C$2:C$746,A372,'Base bordo'!B$2:B$746,B372,'Base bordo'!F$2:F$746,"MAN PREVENTIVA - MECANICA"),0)+IFERROR(SUMIFS('Base bordo'!G$2:G$746,'Base bordo'!C$2:C$746,A372,'Base bordo'!B$2:B$746,B372,'Base bordo'!F$2:F$746,"MAN CORRETIVA - MECANICA"),0)</f>
        <v>0</v>
      </c>
      <c r="L372" s="10">
        <f>IFERROR(SUMIFS('Base bordo'!G$2:G$746,'Base bordo'!C$2:C$746,A372,'Base bordo'!B$2:B$746,B372,'Base bordo'!F$2:F$746,"MANUTENCAO - T O"),0)+IFERROR(SUMIFS('Base bordo'!G$2:G$746,'Base bordo'!C$2:C$746,A372,'Base bordo'!B$2:B$746,B372,'Base bordo'!F$2:F$746,"MANUTENCAO BORRACHARIA"),0)+IFERROR(SUMIFS('Base bordo'!G$2:G$746,'Base bordo'!C$2:C$746,A372,'Base bordo'!B$2:B$746,B372,'Base bordo'!F$2:F$746,"MANUTENCAO EXTERNA  CONCESSIONARIA"),0)+IFERROR(SUMIFS('Base bordo'!G$2:G$746,'Base bordo'!C$2:C$746,A372,'Base bordo'!B$2:B$746,B372,'Base bordo'!F$2:F$746,"MANUTENCAO TELEMETRIA"),0)</f>
        <v>0</v>
      </c>
      <c r="M372" s="10">
        <f>IFERROR(SUMIFS('Base bordo'!G$2:G$746,'Base bordo'!C$2:C$746,A372,'Base bordo'!B$2:B$746,B372,'Base bordo'!F$2:F$746,"AGUARDANDO MANUTENCAO"),0)</f>
        <v>0</v>
      </c>
      <c r="N372" s="10">
        <f>IFERROR(SUMIFS('Base bordo'!G$2:G$746,'Base bordo'!C$2:C$746,A372,'Base bordo'!B$2:B$746,B372,'Base bordo'!F$2:F$746,"SEM APONTAMENTO"),0)</f>
        <v>0</v>
      </c>
      <c r="O372" s="10">
        <f t="shared" si="42"/>
        <v>0</v>
      </c>
      <c r="P372" s="10">
        <f>IFERROR(SUMIFS('Base bordo'!G$2:G$746,'Base bordo'!C$2:C$746,A372,'Base bordo'!B$2:B$746,B372),0)</f>
        <v>11.1275</v>
      </c>
      <c r="Q372" s="10">
        <f>IFERROR(SUMIFS('Base bordo'!H$2:H$746,'Base bordo'!C$2:C$746,A372,'Base bordo'!B$2:B$746,B372,'Base bordo'!F$2:F$746,"DESLOCAMENTO VAZIO"),0)</f>
        <v>7195.82</v>
      </c>
      <c r="R372" s="10">
        <f>IFERROR(SUMIFS('Base bordo'!I$2:I$746,'Base bordo'!C$2:C$746,A372,'Base bordo'!B$2:B$746,B372,'Base bordo'!F$2:F$746,"DESLOCAMENTO VAZIO"),0)</f>
        <v>1363</v>
      </c>
      <c r="S372" s="30">
        <f t="shared" si="43"/>
        <v>5.2793983859134261</v>
      </c>
      <c r="T372" s="10">
        <f>IFERROR(SUMIFS('Base bordo'!H$2:H$746,'Base bordo'!C$2:C$746,A372,'Base bordo'!B$2:B$746,B372,'Base bordo'!F$2:F$746,"DESLOCAMENTO CARREGADO"),0)</f>
        <v>221650.07</v>
      </c>
      <c r="U372" s="10">
        <f>IFERROR(SUMIFS('Base bordo'!I$2:I$746,'Base bordo'!C$2:C$746,A372,'Base bordo'!B$2:B$746,B372,'Base bordo'!F$2:F$746,"DESLOCAMENTO CARREGADO"),0)</f>
        <v>9080</v>
      </c>
      <c r="V372" s="30">
        <f t="shared" si="44"/>
        <v>24.410800660792951</v>
      </c>
      <c r="W372" s="9">
        <f t="shared" si="45"/>
        <v>3.4024813400234659E-2</v>
      </c>
      <c r="X372" s="9">
        <f t="shared" si="46"/>
        <v>0.22666566813949424</v>
      </c>
      <c r="Y372" s="9">
        <f t="shared" si="47"/>
        <v>0.73930951846027115</v>
      </c>
    </row>
    <row r="373" spans="1:25" ht="15" customHeight="1" x14ac:dyDescent="0.35">
      <c r="A373" s="52">
        <v>8013485</v>
      </c>
      <c r="B373" s="51">
        <v>46124</v>
      </c>
      <c r="C373" s="7" t="s">
        <v>124</v>
      </c>
      <c r="D373" s="10">
        <f>IFERROR(SUMIFS('Base bordo'!G$2:G$746,'Base bordo'!C$2:C$746,A373,'Base bordo'!B$2:B$746,B373,'Base bordo'!F$2:F$746,"DESLOCAMENTO VAZIO"),0)</f>
        <v>1.7575000000000001</v>
      </c>
      <c r="E373" s="10">
        <f>IFERROR(SUMIFS('Base bordo'!G$2:G$746,'Base bordo'!C$2:C$746,A373,'Base bordo'!B$2:B$746,B373,'Base bordo'!F$2:F$746,"DESLOCAMENTO CARREGADO"),0)</f>
        <v>0.59722222222222221</v>
      </c>
      <c r="F373" s="10">
        <f>IFERROR(SUMIFS('Base bordo'!G$2:G$746,'Base bordo'!C$2:C$746,A373,'Base bordo'!B$2:B$746,B373,'Base bordo'!F$2:F$746,"DESLOCAMENTO"),0)</f>
        <v>0</v>
      </c>
      <c r="G373" s="10">
        <f>IFERROR(SUMIFS('Base bordo'!G$2:G$746,'Base bordo'!C$2:C$746,A373,'Base bordo'!B$2:B$746,B373,'Base bordo'!F$2:F$746,"CARREGAMENTO"),0)</f>
        <v>0</v>
      </c>
      <c r="H373" s="10">
        <f>IFERROR(SUMIFS('Base bordo'!G$2:G$746,'Base bordo'!C$2:C$746,A373,'Base bordo'!B$2:B$746,B373,'Base bordo'!F$2:F$746,"AGUARDANDO TRANSBORDO"),0)</f>
        <v>0.35833333333333334</v>
      </c>
      <c r="I373" s="10">
        <f>IFERROR(SUMIFS('Base bordo'!G$2:G$746,'Base bordo'!C$2:C$746,A373,'Base bordo'!B$2:B$746,B373,'Base bordo'!F$2:F$746,"PÁTIO INTERNO"),0)+IFERROR(SUMIFS('Base bordo'!G$2:G$746,'Base bordo'!C$2:C$746,A373,'Base bordo'!B$2:B$746,B373,'Base bordo'!F$2:F$746,"PÁTIO EXTERNO"),0)+IFERROR(SUMIFS('Base bordo'!G$2:G$746,'Base bordo'!C$2:C$746,A373,'Base bordo'!B$2:B$746,B373,'Base bordo'!F$2:F$746,"PATIO - RESERVA"),0)+IFERROR(SUMIFS('Base bordo'!G$2:G$746,'Base bordo'!C$2:C$746,A373,'Base bordo'!B$2:B$746,B373,'Base bordo'!F$2:F$746,"MANOBRA CARRETAS-PATIO"),0)</f>
        <v>4.17</v>
      </c>
      <c r="J373" s="10">
        <f>IFERROR(SUMIFS('Base bordo'!G$2:G$746,'Base bordo'!C$2:C$746,A373,'Base bordo'!B$2:B$746,B373,'Base bordo'!F$2:F$746,"BALANÇA - ENTRADA"),0)+IFERROR(SUMIFS('Base bordo'!G$2:G$746,'Base bordo'!C$2:C$746,A373,'Base bordo'!B$2:B$746,B373,'Base bordo'!F$2:F$746,"BALANÇA - SAÍDA"),0)</f>
        <v>0.19083333333333333</v>
      </c>
      <c r="K373" s="10">
        <f>IFERROR(SUMIFS('Base bordo'!G$2:G$746,'Base bordo'!C$2:C$746,A373,'Base bordo'!B$2:B$746,B373,'Base bordo'!F$2:F$746,"MAN PREVENTIVA - MECANICA"),0)+IFERROR(SUMIFS('Base bordo'!G$2:G$746,'Base bordo'!C$2:C$746,A373,'Base bordo'!B$2:B$746,B373,'Base bordo'!F$2:F$746,"MAN CORRETIVA - MECANICA"),0)</f>
        <v>0</v>
      </c>
      <c r="L373" s="10">
        <f>IFERROR(SUMIFS('Base bordo'!G$2:G$746,'Base bordo'!C$2:C$746,A373,'Base bordo'!B$2:B$746,B373,'Base bordo'!F$2:F$746,"MANUTENCAO - T O"),0)+IFERROR(SUMIFS('Base bordo'!G$2:G$746,'Base bordo'!C$2:C$746,A373,'Base bordo'!B$2:B$746,B373,'Base bordo'!F$2:F$746,"MANUTENCAO BORRACHARIA"),0)+IFERROR(SUMIFS('Base bordo'!G$2:G$746,'Base bordo'!C$2:C$746,A373,'Base bordo'!B$2:B$746,B373,'Base bordo'!F$2:F$746,"MANUTENCAO EXTERNA  CONCESSIONARIA"),0)+IFERROR(SUMIFS('Base bordo'!G$2:G$746,'Base bordo'!C$2:C$746,A373,'Base bordo'!B$2:B$746,B373,'Base bordo'!F$2:F$746,"MANUTENCAO TELEMETRIA"),0)</f>
        <v>0</v>
      </c>
      <c r="M373" s="10">
        <f>IFERROR(SUMIFS('Base bordo'!G$2:G$746,'Base bordo'!C$2:C$746,A373,'Base bordo'!B$2:B$746,B373,'Base bordo'!F$2:F$746,"AGUARDANDO MANUTENCAO"),0)</f>
        <v>0</v>
      </c>
      <c r="N373" s="10">
        <f>IFERROR(SUMIFS('Base bordo'!G$2:G$746,'Base bordo'!C$2:C$746,A373,'Base bordo'!B$2:B$746,B373,'Base bordo'!F$2:F$746,"SEM APONTAMENTO"),0)</f>
        <v>0</v>
      </c>
      <c r="O373" s="10">
        <f t="shared" si="42"/>
        <v>8.8817841970012523E-16</v>
      </c>
      <c r="P373" s="10">
        <f>IFERROR(SUMIFS('Base bordo'!G$2:G$746,'Base bordo'!C$2:C$746,A373,'Base bordo'!B$2:B$746,B373),0)</f>
        <v>7.0738888888888898</v>
      </c>
      <c r="Q373" s="10">
        <f>IFERROR(SUMIFS('Base bordo'!H$2:H$746,'Base bordo'!C$2:C$746,A373,'Base bordo'!B$2:B$746,B373,'Base bordo'!F$2:F$746,"DESLOCAMENTO VAZIO"),0)</f>
        <v>57117.96</v>
      </c>
      <c r="R373" s="10">
        <f>IFERROR(SUMIFS('Base bordo'!I$2:I$746,'Base bordo'!C$2:C$746,A373,'Base bordo'!B$2:B$746,B373,'Base bordo'!F$2:F$746,"DESLOCAMENTO VAZIO"),0)</f>
        <v>2727</v>
      </c>
      <c r="S373" s="30">
        <f t="shared" si="43"/>
        <v>20.945346534653464</v>
      </c>
      <c r="T373" s="10">
        <f>IFERROR(SUMIFS('Base bordo'!H$2:H$746,'Base bordo'!C$2:C$746,A373,'Base bordo'!B$2:B$746,B373,'Base bordo'!F$2:F$746,"DESLOCAMENTO CARREGADO"),0)</f>
        <v>40859.899999999994</v>
      </c>
      <c r="U373" s="10">
        <f>IFERROR(SUMIFS('Base bordo'!I$2:I$746,'Base bordo'!C$2:C$746,A373,'Base bordo'!B$2:B$746,B373,'Base bordo'!F$2:F$746,"DESLOCAMENTO CARREGADO"),0)</f>
        <v>2150</v>
      </c>
      <c r="V373" s="30">
        <f t="shared" si="44"/>
        <v>19.004604651162786</v>
      </c>
      <c r="W373" s="9">
        <f t="shared" si="45"/>
        <v>0.24844891227519042</v>
      </c>
      <c r="X373" s="9">
        <f t="shared" si="46"/>
        <v>8.4426293882038789E-2</v>
      </c>
      <c r="Y373" s="9">
        <f t="shared" si="47"/>
        <v>0.66712479384277079</v>
      </c>
    </row>
    <row r="374" spans="1:25" ht="15" customHeight="1" x14ac:dyDescent="0.35">
      <c r="A374" s="52">
        <v>8013470</v>
      </c>
      <c r="B374" s="51">
        <v>46118</v>
      </c>
      <c r="C374" s="7" t="s">
        <v>124</v>
      </c>
      <c r="D374" s="10">
        <f>IFERROR(SUMIFS('Base bordo'!G$2:G$746,'Base bordo'!C$2:C$746,A374,'Base bordo'!B$2:B$746,B374,'Base bordo'!F$2:F$746,"DESLOCAMENTO VAZIO"),0)</f>
        <v>1.7397222222222222</v>
      </c>
      <c r="E374" s="10">
        <f>IFERROR(SUMIFS('Base bordo'!G$2:G$746,'Base bordo'!C$2:C$746,A374,'Base bordo'!B$2:B$746,B374,'Base bordo'!F$2:F$746,"DESLOCAMENTO CARREGADO"),0)</f>
        <v>3.5305555555555554</v>
      </c>
      <c r="F374" s="10">
        <f>IFERROR(SUMIFS('Base bordo'!G$2:G$746,'Base bordo'!C$2:C$746,A374,'Base bordo'!B$2:B$746,B374,'Base bordo'!F$2:F$746,"DESLOCAMENTO"),0)</f>
        <v>0</v>
      </c>
      <c r="G374" s="10">
        <f>IFERROR(SUMIFS('Base bordo'!G$2:G$746,'Base bordo'!C$2:C$746,A374,'Base bordo'!B$2:B$746,B374,'Base bordo'!F$2:F$746,"CARREGAMENTO"),0)</f>
        <v>2.911111111111111</v>
      </c>
      <c r="H374" s="10">
        <f>IFERROR(SUMIFS('Base bordo'!G$2:G$746,'Base bordo'!C$2:C$746,A374,'Base bordo'!B$2:B$746,B374,'Base bordo'!F$2:F$746,"AGUARDANDO TRANSBORDO"),0)</f>
        <v>0.85194444444444439</v>
      </c>
      <c r="I374" s="10">
        <f>IFERROR(SUMIFS('Base bordo'!G$2:G$746,'Base bordo'!C$2:C$746,A374,'Base bordo'!B$2:B$746,B374,'Base bordo'!F$2:F$746,"PÁTIO INTERNO"),0)+IFERROR(SUMIFS('Base bordo'!G$2:G$746,'Base bordo'!C$2:C$746,A374,'Base bordo'!B$2:B$746,B374,'Base bordo'!F$2:F$746,"PÁTIO EXTERNO"),0)+IFERROR(SUMIFS('Base bordo'!G$2:G$746,'Base bordo'!C$2:C$746,A374,'Base bordo'!B$2:B$746,B374,'Base bordo'!F$2:F$746,"PATIO - RESERVA"),0)+IFERROR(SUMIFS('Base bordo'!G$2:G$746,'Base bordo'!C$2:C$746,A374,'Base bordo'!B$2:B$746,B374,'Base bordo'!F$2:F$746,"MANOBRA CARRETAS-PATIO"),0)</f>
        <v>7.8380555555555551</v>
      </c>
      <c r="J374" s="10">
        <f>IFERROR(SUMIFS('Base bordo'!G$2:G$746,'Base bordo'!C$2:C$746,A374,'Base bordo'!B$2:B$746,B374,'Base bordo'!F$2:F$746,"BALANÇA - ENTRADA"),0)+IFERROR(SUMIFS('Base bordo'!G$2:G$746,'Base bordo'!C$2:C$746,A374,'Base bordo'!B$2:B$746,B374,'Base bordo'!F$2:F$746,"BALANÇA - SAÍDA"),0)</f>
        <v>6.4722222222222223E-2</v>
      </c>
      <c r="K374" s="10">
        <f>IFERROR(SUMIFS('Base bordo'!G$2:G$746,'Base bordo'!C$2:C$746,A374,'Base bordo'!B$2:B$746,B374,'Base bordo'!F$2:F$746,"MAN PREVENTIVA - MECANICA"),0)+IFERROR(SUMIFS('Base bordo'!G$2:G$746,'Base bordo'!C$2:C$746,A374,'Base bordo'!B$2:B$746,B374,'Base bordo'!F$2:F$746,"MAN CORRETIVA - MECANICA"),0)</f>
        <v>0</v>
      </c>
      <c r="L374" s="10">
        <f>IFERROR(SUMIFS('Base bordo'!G$2:G$746,'Base bordo'!C$2:C$746,A374,'Base bordo'!B$2:B$746,B374,'Base bordo'!F$2:F$746,"MANUTENCAO - T O"),0)+IFERROR(SUMIFS('Base bordo'!G$2:G$746,'Base bordo'!C$2:C$746,A374,'Base bordo'!B$2:B$746,B374,'Base bordo'!F$2:F$746,"MANUTENCAO BORRACHARIA"),0)+IFERROR(SUMIFS('Base bordo'!G$2:G$746,'Base bordo'!C$2:C$746,A374,'Base bordo'!B$2:B$746,B374,'Base bordo'!F$2:F$746,"MANUTENCAO EXTERNA  CONCESSIONARIA"),0)+IFERROR(SUMIFS('Base bordo'!G$2:G$746,'Base bordo'!C$2:C$746,A374,'Base bordo'!B$2:B$746,B374,'Base bordo'!F$2:F$746,"MANUTENCAO TELEMETRIA"),0)</f>
        <v>0</v>
      </c>
      <c r="M374" s="10">
        <f>IFERROR(SUMIFS('Base bordo'!G$2:G$746,'Base bordo'!C$2:C$746,A374,'Base bordo'!B$2:B$746,B374,'Base bordo'!F$2:F$746,"AGUARDANDO MANUTENCAO"),0)</f>
        <v>1.013611111111111</v>
      </c>
      <c r="N374" s="10">
        <f>IFERROR(SUMIFS('Base bordo'!G$2:G$746,'Base bordo'!C$2:C$746,A374,'Base bordo'!B$2:B$746,B374,'Base bordo'!F$2:F$746,"SEM APONTAMENTO"),0)</f>
        <v>0.85111111111111115</v>
      </c>
      <c r="O374" s="10">
        <f t="shared" si="42"/>
        <v>5.1991666666666667</v>
      </c>
      <c r="P374" s="10">
        <f>IFERROR(SUMIFS('Base bordo'!G$2:G$746,'Base bordo'!C$2:C$746,A374,'Base bordo'!B$2:B$746,B374),0)</f>
        <v>24</v>
      </c>
      <c r="Q374" s="10">
        <f>IFERROR(SUMIFS('Base bordo'!H$2:H$746,'Base bordo'!C$2:C$746,A374,'Base bordo'!B$2:B$746,B374,'Base bordo'!F$2:F$746,"DESLOCAMENTO VAZIO"),0)</f>
        <v>195041.98</v>
      </c>
      <c r="R374" s="10">
        <f>IFERROR(SUMIFS('Base bordo'!I$2:I$746,'Base bordo'!C$2:C$746,A374,'Base bordo'!B$2:B$746,B374,'Base bordo'!F$2:F$746,"DESLOCAMENTO VAZIO"),0)</f>
        <v>6263</v>
      </c>
      <c r="S374" s="30">
        <f t="shared" si="43"/>
        <v>31.141941561551974</v>
      </c>
      <c r="T374" s="10">
        <f>IFERROR(SUMIFS('Base bordo'!H$2:H$746,'Base bordo'!C$2:C$746,A374,'Base bordo'!B$2:B$746,B374,'Base bordo'!F$2:F$746,"DESLOCAMENTO CARREGADO"),0)</f>
        <v>332481.22999999992</v>
      </c>
      <c r="U374" s="10">
        <f>IFERROR(SUMIFS('Base bordo'!I$2:I$746,'Base bordo'!C$2:C$746,A374,'Base bordo'!B$2:B$746,B374,'Base bordo'!F$2:F$746,"DESLOCAMENTO CARREGADO"),0)</f>
        <v>12710</v>
      </c>
      <c r="V374" s="30">
        <f t="shared" si="44"/>
        <v>26.15902675059008</v>
      </c>
      <c r="W374" s="9">
        <f t="shared" si="45"/>
        <v>7.2488425925925928E-2</v>
      </c>
      <c r="X374" s="9">
        <f t="shared" si="46"/>
        <v>0.14710648148148148</v>
      </c>
      <c r="Y374" s="9">
        <f t="shared" si="47"/>
        <v>0.78040509259259261</v>
      </c>
    </row>
    <row r="375" spans="1:25" ht="15" customHeight="1" x14ac:dyDescent="0.35">
      <c r="A375" s="52">
        <v>8013469</v>
      </c>
      <c r="B375" s="51">
        <v>46118</v>
      </c>
      <c r="C375" s="7" t="s">
        <v>124</v>
      </c>
      <c r="D375" s="10">
        <f>IFERROR(SUMIFS('Base bordo'!G$2:G$746,'Base bordo'!C$2:C$746,A375,'Base bordo'!B$2:B$746,B375,'Base bordo'!F$2:F$746,"DESLOCAMENTO VAZIO"),0)</f>
        <v>2.1594444444444445</v>
      </c>
      <c r="E375" s="10">
        <f>IFERROR(SUMIFS('Base bordo'!G$2:G$746,'Base bordo'!C$2:C$746,A375,'Base bordo'!B$2:B$746,B375,'Base bordo'!F$2:F$746,"DESLOCAMENTO CARREGADO"),0)</f>
        <v>2.4455555555555555</v>
      </c>
      <c r="F375" s="10">
        <f>IFERROR(SUMIFS('Base bordo'!G$2:G$746,'Base bordo'!C$2:C$746,A375,'Base bordo'!B$2:B$746,B375,'Base bordo'!F$2:F$746,"DESLOCAMENTO"),0)</f>
        <v>0.63083333333333336</v>
      </c>
      <c r="G375" s="10">
        <f>IFERROR(SUMIFS('Base bordo'!G$2:G$746,'Base bordo'!C$2:C$746,A375,'Base bordo'!B$2:B$746,B375,'Base bordo'!F$2:F$746,"CARREGAMENTO"),0)</f>
        <v>0.96722222222222221</v>
      </c>
      <c r="H375" s="10">
        <f>IFERROR(SUMIFS('Base bordo'!G$2:G$746,'Base bordo'!C$2:C$746,A375,'Base bordo'!B$2:B$746,B375,'Base bordo'!F$2:F$746,"AGUARDANDO TRANSBORDO"),0)</f>
        <v>0.91111111111111109</v>
      </c>
      <c r="I375" s="10">
        <f>IFERROR(SUMIFS('Base bordo'!G$2:G$746,'Base bordo'!C$2:C$746,A375,'Base bordo'!B$2:B$746,B375,'Base bordo'!F$2:F$746,"PÁTIO INTERNO"),0)+IFERROR(SUMIFS('Base bordo'!G$2:G$746,'Base bordo'!C$2:C$746,A375,'Base bordo'!B$2:B$746,B375,'Base bordo'!F$2:F$746,"PÁTIO EXTERNO"),0)+IFERROR(SUMIFS('Base bordo'!G$2:G$746,'Base bordo'!C$2:C$746,A375,'Base bordo'!B$2:B$746,B375,'Base bordo'!F$2:F$746,"PATIO - RESERVA"),0)+IFERROR(SUMIFS('Base bordo'!G$2:G$746,'Base bordo'!C$2:C$746,A375,'Base bordo'!B$2:B$746,B375,'Base bordo'!F$2:F$746,"MANOBRA CARRETAS-PATIO"),0)</f>
        <v>6.1047222222222217</v>
      </c>
      <c r="J375" s="10">
        <f>IFERROR(SUMIFS('Base bordo'!G$2:G$746,'Base bordo'!C$2:C$746,A375,'Base bordo'!B$2:B$746,B375,'Base bordo'!F$2:F$746,"BALANÇA - ENTRADA"),0)+IFERROR(SUMIFS('Base bordo'!G$2:G$746,'Base bordo'!C$2:C$746,A375,'Base bordo'!B$2:B$746,B375,'Base bordo'!F$2:F$746,"BALANÇA - SAÍDA"),0)</f>
        <v>6.8055555555555564E-2</v>
      </c>
      <c r="K375" s="10">
        <f>IFERROR(SUMIFS('Base bordo'!G$2:G$746,'Base bordo'!C$2:C$746,A375,'Base bordo'!B$2:B$746,B375,'Base bordo'!F$2:F$746,"MAN PREVENTIVA - MECANICA"),0)+IFERROR(SUMIFS('Base bordo'!G$2:G$746,'Base bordo'!C$2:C$746,A375,'Base bordo'!B$2:B$746,B375,'Base bordo'!F$2:F$746,"MAN CORRETIVA - MECANICA"),0)</f>
        <v>0.40166666666666667</v>
      </c>
      <c r="L375" s="10">
        <f>IFERROR(SUMIFS('Base bordo'!G$2:G$746,'Base bordo'!C$2:C$746,A375,'Base bordo'!B$2:B$746,B375,'Base bordo'!F$2:F$746,"MANUTENCAO - T O"),0)+IFERROR(SUMIFS('Base bordo'!G$2:G$746,'Base bordo'!C$2:C$746,A375,'Base bordo'!B$2:B$746,B375,'Base bordo'!F$2:F$746,"MANUTENCAO BORRACHARIA"),0)+IFERROR(SUMIFS('Base bordo'!G$2:G$746,'Base bordo'!C$2:C$746,A375,'Base bordo'!B$2:B$746,B375,'Base bordo'!F$2:F$746,"MANUTENCAO EXTERNA  CONCESSIONARIA"),0)+IFERROR(SUMIFS('Base bordo'!G$2:G$746,'Base bordo'!C$2:C$746,A375,'Base bordo'!B$2:B$746,B375,'Base bordo'!F$2:F$746,"MANUTENCAO TELEMETRIA"),0)</f>
        <v>1.5977777777777777</v>
      </c>
      <c r="M375" s="10">
        <f>IFERROR(SUMIFS('Base bordo'!G$2:G$746,'Base bordo'!C$2:C$746,A375,'Base bordo'!B$2:B$746,B375,'Base bordo'!F$2:F$746,"AGUARDANDO MANUTENCAO"),0)</f>
        <v>2.0836111111111113</v>
      </c>
      <c r="N375" s="10">
        <f>IFERROR(SUMIFS('Base bordo'!G$2:G$746,'Base bordo'!C$2:C$746,A375,'Base bordo'!B$2:B$746,B375,'Base bordo'!F$2:F$746,"SEM APONTAMENTO"),0)</f>
        <v>5.4166666666666669E-2</v>
      </c>
      <c r="O375" s="10">
        <f t="shared" si="42"/>
        <v>6.5758333333333354</v>
      </c>
      <c r="P375" s="10">
        <f>IFERROR(SUMIFS('Base bordo'!G$2:G$746,'Base bordo'!C$2:C$746,A375,'Base bordo'!B$2:B$746,B375),0)</f>
        <v>24.000000000000004</v>
      </c>
      <c r="Q375" s="10">
        <f>IFERROR(SUMIFS('Base bordo'!H$2:H$746,'Base bordo'!C$2:C$746,A375,'Base bordo'!B$2:B$746,B375,'Base bordo'!F$2:F$746,"DESLOCAMENTO VAZIO"),0)</f>
        <v>182003.76000000004</v>
      </c>
      <c r="R375" s="10">
        <f>IFERROR(SUMIFS('Base bordo'!I$2:I$746,'Base bordo'!C$2:C$746,A375,'Base bordo'!B$2:B$746,B375,'Base bordo'!F$2:F$746,"DESLOCAMENTO VAZIO"),0)</f>
        <v>7774</v>
      </c>
      <c r="S375" s="30">
        <f t="shared" si="43"/>
        <v>23.411854900951894</v>
      </c>
      <c r="T375" s="10">
        <f>IFERROR(SUMIFS('Base bordo'!H$2:H$746,'Base bordo'!C$2:C$746,A375,'Base bordo'!B$2:B$746,B375,'Base bordo'!F$2:F$746,"DESLOCAMENTO CARREGADO"),0)</f>
        <v>235509.89</v>
      </c>
      <c r="U375" s="10">
        <f>IFERROR(SUMIFS('Base bordo'!I$2:I$746,'Base bordo'!C$2:C$746,A375,'Base bordo'!B$2:B$746,B375,'Base bordo'!F$2:F$746,"DESLOCAMENTO CARREGADO"),0)</f>
        <v>8804</v>
      </c>
      <c r="V375" s="30">
        <f t="shared" si="44"/>
        <v>26.750328259881872</v>
      </c>
      <c r="W375" s="9">
        <f t="shared" si="45"/>
        <v>8.9976851851851836E-2</v>
      </c>
      <c r="X375" s="9">
        <f t="shared" si="46"/>
        <v>0.10189814814814813</v>
      </c>
      <c r="Y375" s="9">
        <f t="shared" si="47"/>
        <v>0.80812499999999998</v>
      </c>
    </row>
    <row r="376" spans="1:25" ht="15" customHeight="1" x14ac:dyDescent="0.35">
      <c r="A376" s="52">
        <v>8013473</v>
      </c>
      <c r="B376" s="51">
        <v>46124</v>
      </c>
      <c r="C376" s="7" t="s">
        <v>124</v>
      </c>
      <c r="D376" s="10">
        <f>IFERROR(SUMIFS('Base bordo'!G$2:G$746,'Base bordo'!C$2:C$746,A376,'Base bordo'!B$2:B$746,B376,'Base bordo'!F$2:F$746,"DESLOCAMENTO VAZIO"),0)</f>
        <v>3.3650000000000002</v>
      </c>
      <c r="E376" s="10">
        <f>IFERROR(SUMIFS('Base bordo'!G$2:G$746,'Base bordo'!C$2:C$746,A376,'Base bordo'!B$2:B$746,B376,'Base bordo'!F$2:F$746,"DESLOCAMENTO CARREGADO"),0)</f>
        <v>4.0566666666666666</v>
      </c>
      <c r="F376" s="10">
        <f>IFERROR(SUMIFS('Base bordo'!G$2:G$746,'Base bordo'!C$2:C$746,A376,'Base bordo'!B$2:B$746,B376,'Base bordo'!F$2:F$746,"DESLOCAMENTO"),0)</f>
        <v>0</v>
      </c>
      <c r="G376" s="10">
        <f>IFERROR(SUMIFS('Base bordo'!G$2:G$746,'Base bordo'!C$2:C$746,A376,'Base bordo'!B$2:B$746,B376,'Base bordo'!F$2:F$746,"CARREGAMENTO"),0)</f>
        <v>0</v>
      </c>
      <c r="H376" s="10">
        <f>IFERROR(SUMIFS('Base bordo'!G$2:G$746,'Base bordo'!C$2:C$746,A376,'Base bordo'!B$2:B$746,B376,'Base bordo'!F$2:F$746,"AGUARDANDO TRANSBORDO"),0)</f>
        <v>0.39333333333333331</v>
      </c>
      <c r="I376" s="10">
        <f>IFERROR(SUMIFS('Base bordo'!G$2:G$746,'Base bordo'!C$2:C$746,A376,'Base bordo'!B$2:B$746,B376,'Base bordo'!F$2:F$746,"PÁTIO INTERNO"),0)+IFERROR(SUMIFS('Base bordo'!G$2:G$746,'Base bordo'!C$2:C$746,A376,'Base bordo'!B$2:B$746,B376,'Base bordo'!F$2:F$746,"PÁTIO EXTERNO"),0)+IFERROR(SUMIFS('Base bordo'!G$2:G$746,'Base bordo'!C$2:C$746,A376,'Base bordo'!B$2:B$746,B376,'Base bordo'!F$2:F$746,"PATIO - RESERVA"),0)+IFERROR(SUMIFS('Base bordo'!G$2:G$746,'Base bordo'!C$2:C$746,A376,'Base bordo'!B$2:B$746,B376,'Base bordo'!F$2:F$746,"MANOBRA CARRETAS-PATIO"),0)</f>
        <v>4.1744444444444442</v>
      </c>
      <c r="J376" s="10">
        <f>IFERROR(SUMIFS('Base bordo'!G$2:G$746,'Base bordo'!C$2:C$746,A376,'Base bordo'!B$2:B$746,B376,'Base bordo'!F$2:F$746,"BALANÇA - ENTRADA"),0)+IFERROR(SUMIFS('Base bordo'!G$2:G$746,'Base bordo'!C$2:C$746,A376,'Base bordo'!B$2:B$746,B376,'Base bordo'!F$2:F$746,"BALANÇA - SAÍDA"),0)</f>
        <v>0.27249999999999996</v>
      </c>
      <c r="K376" s="10">
        <f>IFERROR(SUMIFS('Base bordo'!G$2:G$746,'Base bordo'!C$2:C$746,A376,'Base bordo'!B$2:B$746,B376,'Base bordo'!F$2:F$746,"MAN PREVENTIVA - MECANICA"),0)+IFERROR(SUMIFS('Base bordo'!G$2:G$746,'Base bordo'!C$2:C$746,A376,'Base bordo'!B$2:B$746,B376,'Base bordo'!F$2:F$746,"MAN CORRETIVA - MECANICA"),0)</f>
        <v>0</v>
      </c>
      <c r="L376" s="10">
        <f>IFERROR(SUMIFS('Base bordo'!G$2:G$746,'Base bordo'!C$2:C$746,A376,'Base bordo'!B$2:B$746,B376,'Base bordo'!F$2:F$746,"MANUTENCAO - T O"),0)+IFERROR(SUMIFS('Base bordo'!G$2:G$746,'Base bordo'!C$2:C$746,A376,'Base bordo'!B$2:B$746,B376,'Base bordo'!F$2:F$746,"MANUTENCAO BORRACHARIA"),0)+IFERROR(SUMIFS('Base bordo'!G$2:G$746,'Base bordo'!C$2:C$746,A376,'Base bordo'!B$2:B$746,B376,'Base bordo'!F$2:F$746,"MANUTENCAO EXTERNA  CONCESSIONARIA"),0)+IFERROR(SUMIFS('Base bordo'!G$2:G$746,'Base bordo'!C$2:C$746,A376,'Base bordo'!B$2:B$746,B376,'Base bordo'!F$2:F$746,"MANUTENCAO TELEMETRIA"),0)</f>
        <v>0</v>
      </c>
      <c r="M376" s="10">
        <f>IFERROR(SUMIFS('Base bordo'!G$2:G$746,'Base bordo'!C$2:C$746,A376,'Base bordo'!B$2:B$746,B376,'Base bordo'!F$2:F$746,"AGUARDANDO MANUTENCAO"),0)</f>
        <v>0</v>
      </c>
      <c r="N376" s="10">
        <f>IFERROR(SUMIFS('Base bordo'!G$2:G$746,'Base bordo'!C$2:C$746,A376,'Base bordo'!B$2:B$746,B376,'Base bordo'!F$2:F$746,"SEM APONTAMENTO"),0)</f>
        <v>0</v>
      </c>
      <c r="O376" s="10">
        <f t="shared" si="42"/>
        <v>0.26305555555555138</v>
      </c>
      <c r="P376" s="10">
        <f>IFERROR(SUMIFS('Base bordo'!G$2:G$746,'Base bordo'!C$2:C$746,A376,'Base bordo'!B$2:B$746,B376),0)</f>
        <v>12.524999999999997</v>
      </c>
      <c r="Q376" s="10">
        <f>IFERROR(SUMIFS('Base bordo'!H$2:H$746,'Base bordo'!C$2:C$746,A376,'Base bordo'!B$2:B$746,B376,'Base bordo'!F$2:F$746,"DESLOCAMENTO VAZIO"),0)</f>
        <v>427465.79</v>
      </c>
      <c r="R376" s="10">
        <f>IFERROR(SUMIFS('Base bordo'!I$2:I$746,'Base bordo'!C$2:C$746,A376,'Base bordo'!B$2:B$746,B376,'Base bordo'!F$2:F$746,"DESLOCAMENTO VAZIO"),0)</f>
        <v>12114</v>
      </c>
      <c r="S376" s="30">
        <f t="shared" si="43"/>
        <v>35.286923394419681</v>
      </c>
      <c r="T376" s="10">
        <f>IFERROR(SUMIFS('Base bordo'!H$2:H$746,'Base bordo'!C$2:C$746,A376,'Base bordo'!B$2:B$746,B376,'Base bordo'!F$2:F$746,"DESLOCAMENTO CARREGADO"),0)</f>
        <v>388337.10000000003</v>
      </c>
      <c r="U376" s="10">
        <f>IFERROR(SUMIFS('Base bordo'!I$2:I$746,'Base bordo'!C$2:C$746,A376,'Base bordo'!B$2:B$746,B376,'Base bordo'!F$2:F$746,"DESLOCAMENTO CARREGADO"),0)</f>
        <v>14604</v>
      </c>
      <c r="V376" s="30">
        <f t="shared" si="44"/>
        <v>26.591146261298277</v>
      </c>
      <c r="W376" s="9">
        <f t="shared" si="45"/>
        <v>0.26866267465069871</v>
      </c>
      <c r="X376" s="9">
        <f t="shared" si="46"/>
        <v>0.32388556220891557</v>
      </c>
      <c r="Y376" s="9">
        <f t="shared" si="47"/>
        <v>0.40745176314038578</v>
      </c>
    </row>
    <row r="377" spans="1:25" ht="15" customHeight="1" x14ac:dyDescent="0.35">
      <c r="A377" s="52">
        <v>8013473</v>
      </c>
      <c r="B377" s="51">
        <v>46119</v>
      </c>
      <c r="C377" s="7" t="s">
        <v>124</v>
      </c>
      <c r="D377" s="10">
        <f>IFERROR(SUMIFS('Base bordo'!G$2:G$746,'Base bordo'!C$2:C$746,A377,'Base bordo'!B$2:B$746,B377,'Base bordo'!F$2:F$746,"DESLOCAMENTO VAZIO"),0)</f>
        <v>9.0277777777777776E-2</v>
      </c>
      <c r="E377" s="10">
        <f>IFERROR(SUMIFS('Base bordo'!G$2:G$746,'Base bordo'!C$2:C$746,A377,'Base bordo'!B$2:B$746,B377,'Base bordo'!F$2:F$746,"DESLOCAMENTO CARREGADO"),0)</f>
        <v>0</v>
      </c>
      <c r="F377" s="10">
        <f>IFERROR(SUMIFS('Base bordo'!G$2:G$746,'Base bordo'!C$2:C$746,A377,'Base bordo'!B$2:B$746,B377,'Base bordo'!F$2:F$746,"DESLOCAMENTO"),0)</f>
        <v>0</v>
      </c>
      <c r="G377" s="10">
        <f>IFERROR(SUMIFS('Base bordo'!G$2:G$746,'Base bordo'!C$2:C$746,A377,'Base bordo'!B$2:B$746,B377,'Base bordo'!F$2:F$746,"CARREGAMENTO"),0)</f>
        <v>0</v>
      </c>
      <c r="H377" s="10">
        <f>IFERROR(SUMIFS('Base bordo'!G$2:G$746,'Base bordo'!C$2:C$746,A377,'Base bordo'!B$2:B$746,B377,'Base bordo'!F$2:F$746,"AGUARDANDO TRANSBORDO"),0)</f>
        <v>0</v>
      </c>
      <c r="I377" s="10">
        <f>IFERROR(SUMIFS('Base bordo'!G$2:G$746,'Base bordo'!C$2:C$746,A377,'Base bordo'!B$2:B$746,B377,'Base bordo'!F$2:F$746,"PÁTIO INTERNO"),0)+IFERROR(SUMIFS('Base bordo'!G$2:G$746,'Base bordo'!C$2:C$746,A377,'Base bordo'!B$2:B$746,B377,'Base bordo'!F$2:F$746,"PÁTIO EXTERNO"),0)+IFERROR(SUMIFS('Base bordo'!G$2:G$746,'Base bordo'!C$2:C$746,A377,'Base bordo'!B$2:B$746,B377,'Base bordo'!F$2:F$746,"PATIO - RESERVA"),0)+IFERROR(SUMIFS('Base bordo'!G$2:G$746,'Base bordo'!C$2:C$746,A377,'Base bordo'!B$2:B$746,B377,'Base bordo'!F$2:F$746,"MANOBRA CARRETAS-PATIO"),0)</f>
        <v>21.094999999999999</v>
      </c>
      <c r="J377" s="10">
        <f>IFERROR(SUMIFS('Base bordo'!G$2:G$746,'Base bordo'!C$2:C$746,A377,'Base bordo'!B$2:B$746,B377,'Base bordo'!F$2:F$746,"BALANÇA - ENTRADA"),0)+IFERROR(SUMIFS('Base bordo'!G$2:G$746,'Base bordo'!C$2:C$746,A377,'Base bordo'!B$2:B$746,B377,'Base bordo'!F$2:F$746,"BALANÇA - SAÍDA"),0)</f>
        <v>8.1111111111111106E-2</v>
      </c>
      <c r="K377" s="10">
        <f>IFERROR(SUMIFS('Base bordo'!G$2:G$746,'Base bordo'!C$2:C$746,A377,'Base bordo'!B$2:B$746,B377,'Base bordo'!F$2:F$746,"MAN PREVENTIVA - MECANICA"),0)+IFERROR(SUMIFS('Base bordo'!G$2:G$746,'Base bordo'!C$2:C$746,A377,'Base bordo'!B$2:B$746,B377,'Base bordo'!F$2:F$746,"MAN CORRETIVA - MECANICA"),0)</f>
        <v>0</v>
      </c>
      <c r="L377" s="10">
        <f>IFERROR(SUMIFS('Base bordo'!G$2:G$746,'Base bordo'!C$2:C$746,A377,'Base bordo'!B$2:B$746,B377,'Base bordo'!F$2:F$746,"MANUTENCAO - T O"),0)+IFERROR(SUMIFS('Base bordo'!G$2:G$746,'Base bordo'!C$2:C$746,A377,'Base bordo'!B$2:B$746,B377,'Base bordo'!F$2:F$746,"MANUTENCAO BORRACHARIA"),0)+IFERROR(SUMIFS('Base bordo'!G$2:G$746,'Base bordo'!C$2:C$746,A377,'Base bordo'!B$2:B$746,B377,'Base bordo'!F$2:F$746,"MANUTENCAO EXTERNA  CONCESSIONARIA"),0)+IFERROR(SUMIFS('Base bordo'!G$2:G$746,'Base bordo'!C$2:C$746,A377,'Base bordo'!B$2:B$746,B377,'Base bordo'!F$2:F$746,"MANUTENCAO TELEMETRIA"),0)</f>
        <v>0</v>
      </c>
      <c r="M377" s="10">
        <f>IFERROR(SUMIFS('Base bordo'!G$2:G$746,'Base bordo'!C$2:C$746,A377,'Base bordo'!B$2:B$746,B377,'Base bordo'!F$2:F$746,"AGUARDANDO MANUTENCAO"),0)</f>
        <v>0</v>
      </c>
      <c r="N377" s="10">
        <f>IFERROR(SUMIFS('Base bordo'!G$2:G$746,'Base bordo'!C$2:C$746,A377,'Base bordo'!B$2:B$746,B377,'Base bordo'!F$2:F$746,"SEM APONTAMENTO"),0)</f>
        <v>0</v>
      </c>
      <c r="O377" s="10">
        <f t="shared" si="42"/>
        <v>0</v>
      </c>
      <c r="P377" s="10">
        <f>IFERROR(SUMIFS('Base bordo'!G$2:G$746,'Base bordo'!C$2:C$746,A377,'Base bordo'!B$2:B$746,B377),0)</f>
        <v>21.266388888888887</v>
      </c>
      <c r="Q377" s="10">
        <f>IFERROR(SUMIFS('Base bordo'!H$2:H$746,'Base bordo'!C$2:C$746,A377,'Base bordo'!B$2:B$746,B377,'Base bordo'!F$2:F$746,"DESLOCAMENTO VAZIO"),0)</f>
        <v>2236.9</v>
      </c>
      <c r="R377" s="10">
        <f>IFERROR(SUMIFS('Base bordo'!I$2:I$746,'Base bordo'!C$2:C$746,A377,'Base bordo'!B$2:B$746,B377,'Base bordo'!F$2:F$746,"DESLOCAMENTO VAZIO"),0)</f>
        <v>325</v>
      </c>
      <c r="S377" s="30">
        <f t="shared" si="43"/>
        <v>6.882769230769231</v>
      </c>
      <c r="T377" s="10">
        <f>IFERROR(SUMIFS('Base bordo'!H$2:H$746,'Base bordo'!C$2:C$746,A377,'Base bordo'!B$2:B$746,B377,'Base bordo'!F$2:F$746,"DESLOCAMENTO CARREGADO"),0)</f>
        <v>0</v>
      </c>
      <c r="U377" s="10">
        <f>IFERROR(SUMIFS('Base bordo'!I$2:I$746,'Base bordo'!C$2:C$746,A377,'Base bordo'!B$2:B$746,B377,'Base bordo'!F$2:F$746,"DESLOCAMENTO CARREGADO"),0)</f>
        <v>0</v>
      </c>
      <c r="V377" s="30" t="str">
        <f t="shared" si="44"/>
        <v/>
      </c>
      <c r="W377" s="9">
        <f t="shared" si="45"/>
        <v>4.2450920205331834E-3</v>
      </c>
      <c r="X377" s="9">
        <f t="shared" si="46"/>
        <v>0</v>
      </c>
      <c r="Y377" s="9">
        <f t="shared" si="47"/>
        <v>0.99575490797946686</v>
      </c>
    </row>
    <row r="378" spans="1:25" ht="15" customHeight="1" x14ac:dyDescent="0.35">
      <c r="A378" s="52">
        <v>8013485</v>
      </c>
      <c r="B378" s="51">
        <v>46124</v>
      </c>
      <c r="C378" s="7" t="s">
        <v>124</v>
      </c>
      <c r="D378" s="10">
        <f>IFERROR(SUMIFS('Base bordo'!G$2:G$746,'Base bordo'!C$2:C$746,A378,'Base bordo'!B$2:B$746,B378,'Base bordo'!F$2:F$746,"DESLOCAMENTO VAZIO"),0)</f>
        <v>1.7575000000000001</v>
      </c>
      <c r="E378" s="10">
        <f>IFERROR(SUMIFS('Base bordo'!G$2:G$746,'Base bordo'!C$2:C$746,A378,'Base bordo'!B$2:B$746,B378,'Base bordo'!F$2:F$746,"DESLOCAMENTO CARREGADO"),0)</f>
        <v>0.59722222222222221</v>
      </c>
      <c r="F378" s="10">
        <f>IFERROR(SUMIFS('Base bordo'!G$2:G$746,'Base bordo'!C$2:C$746,A378,'Base bordo'!B$2:B$746,B378,'Base bordo'!F$2:F$746,"DESLOCAMENTO"),0)</f>
        <v>0</v>
      </c>
      <c r="G378" s="10">
        <f>IFERROR(SUMIFS('Base bordo'!G$2:G$746,'Base bordo'!C$2:C$746,A378,'Base bordo'!B$2:B$746,B378,'Base bordo'!F$2:F$746,"CARREGAMENTO"),0)</f>
        <v>0</v>
      </c>
      <c r="H378" s="10">
        <f>IFERROR(SUMIFS('Base bordo'!G$2:G$746,'Base bordo'!C$2:C$746,A378,'Base bordo'!B$2:B$746,B378,'Base bordo'!F$2:F$746,"AGUARDANDO TRANSBORDO"),0)</f>
        <v>0.35833333333333334</v>
      </c>
      <c r="I378" s="10">
        <f>IFERROR(SUMIFS('Base bordo'!G$2:G$746,'Base bordo'!C$2:C$746,A378,'Base bordo'!B$2:B$746,B378,'Base bordo'!F$2:F$746,"PÁTIO INTERNO"),0)+IFERROR(SUMIFS('Base bordo'!G$2:G$746,'Base bordo'!C$2:C$746,A378,'Base bordo'!B$2:B$746,B378,'Base bordo'!F$2:F$746,"PÁTIO EXTERNO"),0)+IFERROR(SUMIFS('Base bordo'!G$2:G$746,'Base bordo'!C$2:C$746,A378,'Base bordo'!B$2:B$746,B378,'Base bordo'!F$2:F$746,"PATIO - RESERVA"),0)+IFERROR(SUMIFS('Base bordo'!G$2:G$746,'Base bordo'!C$2:C$746,A378,'Base bordo'!B$2:B$746,B378,'Base bordo'!F$2:F$746,"MANOBRA CARRETAS-PATIO"),0)</f>
        <v>4.17</v>
      </c>
      <c r="J378" s="10">
        <f>IFERROR(SUMIFS('Base bordo'!G$2:G$746,'Base bordo'!C$2:C$746,A378,'Base bordo'!B$2:B$746,B378,'Base bordo'!F$2:F$746,"BALANÇA - ENTRADA"),0)+IFERROR(SUMIFS('Base bordo'!G$2:G$746,'Base bordo'!C$2:C$746,A378,'Base bordo'!B$2:B$746,B378,'Base bordo'!F$2:F$746,"BALANÇA - SAÍDA"),0)</f>
        <v>0.19083333333333333</v>
      </c>
      <c r="K378" s="10">
        <f>IFERROR(SUMIFS('Base bordo'!G$2:G$746,'Base bordo'!C$2:C$746,A378,'Base bordo'!B$2:B$746,B378,'Base bordo'!F$2:F$746,"MAN PREVENTIVA - MECANICA"),0)+IFERROR(SUMIFS('Base bordo'!G$2:G$746,'Base bordo'!C$2:C$746,A378,'Base bordo'!B$2:B$746,B378,'Base bordo'!F$2:F$746,"MAN CORRETIVA - MECANICA"),0)</f>
        <v>0</v>
      </c>
      <c r="L378" s="10">
        <f>IFERROR(SUMIFS('Base bordo'!G$2:G$746,'Base bordo'!C$2:C$746,A378,'Base bordo'!B$2:B$746,B378,'Base bordo'!F$2:F$746,"MANUTENCAO - T O"),0)+IFERROR(SUMIFS('Base bordo'!G$2:G$746,'Base bordo'!C$2:C$746,A378,'Base bordo'!B$2:B$746,B378,'Base bordo'!F$2:F$746,"MANUTENCAO BORRACHARIA"),0)+IFERROR(SUMIFS('Base bordo'!G$2:G$746,'Base bordo'!C$2:C$746,A378,'Base bordo'!B$2:B$746,B378,'Base bordo'!F$2:F$746,"MANUTENCAO EXTERNA  CONCESSIONARIA"),0)+IFERROR(SUMIFS('Base bordo'!G$2:G$746,'Base bordo'!C$2:C$746,A378,'Base bordo'!B$2:B$746,B378,'Base bordo'!F$2:F$746,"MANUTENCAO TELEMETRIA"),0)</f>
        <v>0</v>
      </c>
      <c r="M378" s="10">
        <f>IFERROR(SUMIFS('Base bordo'!G$2:G$746,'Base bordo'!C$2:C$746,A378,'Base bordo'!B$2:B$746,B378,'Base bordo'!F$2:F$746,"AGUARDANDO MANUTENCAO"),0)</f>
        <v>0</v>
      </c>
      <c r="N378" s="10">
        <f>IFERROR(SUMIFS('Base bordo'!G$2:G$746,'Base bordo'!C$2:C$746,A378,'Base bordo'!B$2:B$746,B378,'Base bordo'!F$2:F$746,"SEM APONTAMENTO"),0)</f>
        <v>0</v>
      </c>
      <c r="O378" s="10">
        <f t="shared" si="42"/>
        <v>8.8817841970012523E-16</v>
      </c>
      <c r="P378" s="10">
        <f>IFERROR(SUMIFS('Base bordo'!G$2:G$746,'Base bordo'!C$2:C$746,A378,'Base bordo'!B$2:B$746,B378),0)</f>
        <v>7.0738888888888898</v>
      </c>
      <c r="Q378" s="10">
        <f>IFERROR(SUMIFS('Base bordo'!H$2:H$746,'Base bordo'!C$2:C$746,A378,'Base bordo'!B$2:B$746,B378,'Base bordo'!F$2:F$746,"DESLOCAMENTO VAZIO"),0)</f>
        <v>57117.96</v>
      </c>
      <c r="R378" s="10">
        <f>IFERROR(SUMIFS('Base bordo'!I$2:I$746,'Base bordo'!C$2:C$746,A378,'Base bordo'!B$2:B$746,B378,'Base bordo'!F$2:F$746,"DESLOCAMENTO VAZIO"),0)</f>
        <v>2727</v>
      </c>
      <c r="S378" s="30">
        <f t="shared" si="43"/>
        <v>20.945346534653464</v>
      </c>
      <c r="T378" s="10">
        <f>IFERROR(SUMIFS('Base bordo'!H$2:H$746,'Base bordo'!C$2:C$746,A378,'Base bordo'!B$2:B$746,B378,'Base bordo'!F$2:F$746,"DESLOCAMENTO CARREGADO"),0)</f>
        <v>40859.899999999994</v>
      </c>
      <c r="U378" s="10">
        <f>IFERROR(SUMIFS('Base bordo'!I$2:I$746,'Base bordo'!C$2:C$746,A378,'Base bordo'!B$2:B$746,B378,'Base bordo'!F$2:F$746,"DESLOCAMENTO CARREGADO"),0)</f>
        <v>2150</v>
      </c>
      <c r="V378" s="30">
        <f t="shared" si="44"/>
        <v>19.004604651162786</v>
      </c>
      <c r="W378" s="9">
        <f t="shared" si="45"/>
        <v>0.24844891227519042</v>
      </c>
      <c r="X378" s="9">
        <f t="shared" si="46"/>
        <v>8.4426293882038789E-2</v>
      </c>
      <c r="Y378" s="9">
        <f t="shared" si="47"/>
        <v>0.66712479384277079</v>
      </c>
    </row>
    <row r="379" spans="1:25" ht="15" customHeight="1" x14ac:dyDescent="0.35">
      <c r="A379" s="52">
        <v>8013470</v>
      </c>
      <c r="B379" s="51">
        <v>46120</v>
      </c>
      <c r="C379" s="7" t="s">
        <v>124</v>
      </c>
      <c r="D379" s="10">
        <f>IFERROR(SUMIFS('Base bordo'!G$2:G$746,'Base bordo'!C$2:C$746,A379,'Base bordo'!B$2:B$746,B379,'Base bordo'!F$2:F$746,"DESLOCAMENTO VAZIO"),0)</f>
        <v>0</v>
      </c>
      <c r="E379" s="10">
        <f>IFERROR(SUMIFS('Base bordo'!G$2:G$746,'Base bordo'!C$2:C$746,A379,'Base bordo'!B$2:B$746,B379,'Base bordo'!F$2:F$746,"DESLOCAMENTO CARREGADO"),0)</f>
        <v>0.90500000000000003</v>
      </c>
      <c r="F379" s="10">
        <f>IFERROR(SUMIFS('Base bordo'!G$2:G$746,'Base bordo'!C$2:C$746,A379,'Base bordo'!B$2:B$746,B379,'Base bordo'!F$2:F$746,"DESLOCAMENTO"),0)</f>
        <v>0</v>
      </c>
      <c r="G379" s="10">
        <f>IFERROR(SUMIFS('Base bordo'!G$2:G$746,'Base bordo'!C$2:C$746,A379,'Base bordo'!B$2:B$746,B379,'Base bordo'!F$2:F$746,"CARREGAMENTO"),0)</f>
        <v>0</v>
      </c>
      <c r="H379" s="10">
        <f>IFERROR(SUMIFS('Base bordo'!G$2:G$746,'Base bordo'!C$2:C$746,A379,'Base bordo'!B$2:B$746,B379,'Base bordo'!F$2:F$746,"AGUARDANDO TRANSBORDO"),0)</f>
        <v>0</v>
      </c>
      <c r="I379" s="10">
        <f>IFERROR(SUMIFS('Base bordo'!G$2:G$746,'Base bordo'!C$2:C$746,A379,'Base bordo'!B$2:B$746,B379,'Base bordo'!F$2:F$746,"PÁTIO INTERNO"),0)+IFERROR(SUMIFS('Base bordo'!G$2:G$746,'Base bordo'!C$2:C$746,A379,'Base bordo'!B$2:B$746,B379,'Base bordo'!F$2:F$746,"PÁTIO EXTERNO"),0)+IFERROR(SUMIFS('Base bordo'!G$2:G$746,'Base bordo'!C$2:C$746,A379,'Base bordo'!B$2:B$746,B379,'Base bordo'!F$2:F$746,"PATIO - RESERVA"),0)+IFERROR(SUMIFS('Base bordo'!G$2:G$746,'Base bordo'!C$2:C$746,A379,'Base bordo'!B$2:B$746,B379,'Base bordo'!F$2:F$746,"MANOBRA CARRETAS-PATIO"),0)</f>
        <v>3.3147222222222221</v>
      </c>
      <c r="J379" s="10">
        <f>IFERROR(SUMIFS('Base bordo'!G$2:G$746,'Base bordo'!C$2:C$746,A379,'Base bordo'!B$2:B$746,B379,'Base bordo'!F$2:F$746,"BALANÇA - ENTRADA"),0)+IFERROR(SUMIFS('Base bordo'!G$2:G$746,'Base bordo'!C$2:C$746,A379,'Base bordo'!B$2:B$746,B379,'Base bordo'!F$2:F$746,"BALANÇA - SAÍDA"),0)</f>
        <v>0</v>
      </c>
      <c r="K379" s="10">
        <f>IFERROR(SUMIFS('Base bordo'!G$2:G$746,'Base bordo'!C$2:C$746,A379,'Base bordo'!B$2:B$746,B379,'Base bordo'!F$2:F$746,"MAN PREVENTIVA - MECANICA"),0)+IFERROR(SUMIFS('Base bordo'!G$2:G$746,'Base bordo'!C$2:C$746,A379,'Base bordo'!B$2:B$746,B379,'Base bordo'!F$2:F$746,"MAN CORRETIVA - MECANICA"),0)</f>
        <v>0</v>
      </c>
      <c r="L379" s="10">
        <f>IFERROR(SUMIFS('Base bordo'!G$2:G$746,'Base bordo'!C$2:C$746,A379,'Base bordo'!B$2:B$746,B379,'Base bordo'!F$2:F$746,"MANUTENCAO - T O"),0)+IFERROR(SUMIFS('Base bordo'!G$2:G$746,'Base bordo'!C$2:C$746,A379,'Base bordo'!B$2:B$746,B379,'Base bordo'!F$2:F$746,"MANUTENCAO BORRACHARIA"),0)+IFERROR(SUMIFS('Base bordo'!G$2:G$746,'Base bordo'!C$2:C$746,A379,'Base bordo'!B$2:B$746,B379,'Base bordo'!F$2:F$746,"MANUTENCAO EXTERNA  CONCESSIONARIA"),0)+IFERROR(SUMIFS('Base bordo'!G$2:G$746,'Base bordo'!C$2:C$746,A379,'Base bordo'!B$2:B$746,B379,'Base bordo'!F$2:F$746,"MANUTENCAO TELEMETRIA"),0)</f>
        <v>0</v>
      </c>
      <c r="M379" s="10">
        <f>IFERROR(SUMIFS('Base bordo'!G$2:G$746,'Base bordo'!C$2:C$746,A379,'Base bordo'!B$2:B$746,B379,'Base bordo'!F$2:F$746,"AGUARDANDO MANUTENCAO"),0)</f>
        <v>0</v>
      </c>
      <c r="N379" s="10">
        <f>IFERROR(SUMIFS('Base bordo'!G$2:G$746,'Base bordo'!C$2:C$746,A379,'Base bordo'!B$2:B$746,B379,'Base bordo'!F$2:F$746,"SEM APONTAMENTO"),0)</f>
        <v>0</v>
      </c>
      <c r="O379" s="10">
        <f t="shared" si="42"/>
        <v>0</v>
      </c>
      <c r="P379" s="10">
        <f>IFERROR(SUMIFS('Base bordo'!G$2:G$746,'Base bordo'!C$2:C$746,A379,'Base bordo'!B$2:B$746,B379),0)</f>
        <v>4.2197222222222219</v>
      </c>
      <c r="Q379" s="10">
        <f>IFERROR(SUMIFS('Base bordo'!H$2:H$746,'Base bordo'!C$2:C$746,A379,'Base bordo'!B$2:B$746,B379,'Base bordo'!F$2:F$746,"DESLOCAMENTO VAZIO"),0)</f>
        <v>0</v>
      </c>
      <c r="R379" s="10">
        <f>IFERROR(SUMIFS('Base bordo'!I$2:I$746,'Base bordo'!C$2:C$746,A379,'Base bordo'!B$2:B$746,B379,'Base bordo'!F$2:F$746,"DESLOCAMENTO VAZIO"),0)</f>
        <v>0</v>
      </c>
      <c r="S379" s="30" t="str">
        <f t="shared" si="43"/>
        <v/>
      </c>
      <c r="T379" s="10">
        <f>IFERROR(SUMIFS('Base bordo'!H$2:H$746,'Base bordo'!C$2:C$746,A379,'Base bordo'!B$2:B$746,B379,'Base bordo'!F$2:F$746,"DESLOCAMENTO CARREGADO"),0)</f>
        <v>81971.28</v>
      </c>
      <c r="U379" s="10">
        <f>IFERROR(SUMIFS('Base bordo'!I$2:I$746,'Base bordo'!C$2:C$746,A379,'Base bordo'!B$2:B$746,B379,'Base bordo'!F$2:F$746,"DESLOCAMENTO CARREGADO"),0)</f>
        <v>3258</v>
      </c>
      <c r="V379" s="30">
        <f t="shared" si="44"/>
        <v>25.16</v>
      </c>
      <c r="W379" s="9">
        <f t="shared" si="45"/>
        <v>0</v>
      </c>
      <c r="X379" s="9">
        <f t="shared" si="46"/>
        <v>0.21446909354222898</v>
      </c>
      <c r="Y379" s="9">
        <f t="shared" si="47"/>
        <v>0.78553090645777102</v>
      </c>
    </row>
    <row r="380" spans="1:25" ht="15" customHeight="1" x14ac:dyDescent="0.35">
      <c r="A380" s="52">
        <v>8013483</v>
      </c>
      <c r="B380" s="51">
        <v>46118</v>
      </c>
      <c r="C380" s="7" t="s">
        <v>124</v>
      </c>
      <c r="D380" s="10">
        <f>IFERROR(SUMIFS('Base bordo'!G$2:G$746,'Base bordo'!C$2:C$746,A380,'Base bordo'!B$2:B$746,B380,'Base bordo'!F$2:F$746,"DESLOCAMENTO VAZIO"),0)</f>
        <v>2.4136111111111109</v>
      </c>
      <c r="E380" s="10">
        <f>IFERROR(SUMIFS('Base bordo'!G$2:G$746,'Base bordo'!C$2:C$746,A380,'Base bordo'!B$2:B$746,B380,'Base bordo'!F$2:F$746,"DESLOCAMENTO CARREGADO"),0)</f>
        <v>0.74972222222222218</v>
      </c>
      <c r="F380" s="10">
        <f>IFERROR(SUMIFS('Base bordo'!G$2:G$746,'Base bordo'!C$2:C$746,A380,'Base bordo'!B$2:B$746,B380,'Base bordo'!F$2:F$746,"DESLOCAMENTO"),0)</f>
        <v>0</v>
      </c>
      <c r="G380" s="10">
        <f>IFERROR(SUMIFS('Base bordo'!G$2:G$746,'Base bordo'!C$2:C$746,A380,'Base bordo'!B$2:B$746,B380,'Base bordo'!F$2:F$746,"CARREGAMENTO"),0)</f>
        <v>0</v>
      </c>
      <c r="H380" s="10">
        <f>IFERROR(SUMIFS('Base bordo'!G$2:G$746,'Base bordo'!C$2:C$746,A380,'Base bordo'!B$2:B$746,B380,'Base bordo'!F$2:F$746,"AGUARDANDO TRANSBORDO"),0)</f>
        <v>0.18666666666666668</v>
      </c>
      <c r="I380" s="10">
        <f>IFERROR(SUMIFS('Base bordo'!G$2:G$746,'Base bordo'!C$2:C$746,A380,'Base bordo'!B$2:B$746,B380,'Base bordo'!F$2:F$746,"PÁTIO INTERNO"),0)+IFERROR(SUMIFS('Base bordo'!G$2:G$746,'Base bordo'!C$2:C$746,A380,'Base bordo'!B$2:B$746,B380,'Base bordo'!F$2:F$746,"PÁTIO EXTERNO"),0)+IFERROR(SUMIFS('Base bordo'!G$2:G$746,'Base bordo'!C$2:C$746,A380,'Base bordo'!B$2:B$746,B380,'Base bordo'!F$2:F$746,"PATIO - RESERVA"),0)+IFERROR(SUMIFS('Base bordo'!G$2:G$746,'Base bordo'!C$2:C$746,A380,'Base bordo'!B$2:B$746,B380,'Base bordo'!F$2:F$746,"MANOBRA CARRETAS-PATIO"),0)</f>
        <v>11.716111111111111</v>
      </c>
      <c r="J380" s="10">
        <f>IFERROR(SUMIFS('Base bordo'!G$2:G$746,'Base bordo'!C$2:C$746,A380,'Base bordo'!B$2:B$746,B380,'Base bordo'!F$2:F$746,"BALANÇA - ENTRADA"),0)+IFERROR(SUMIFS('Base bordo'!G$2:G$746,'Base bordo'!C$2:C$746,A380,'Base bordo'!B$2:B$746,B380,'Base bordo'!F$2:F$746,"BALANÇA - SAÍDA"),0)</f>
        <v>4.7500000000000001E-2</v>
      </c>
      <c r="K380" s="10">
        <f>IFERROR(SUMIFS('Base bordo'!G$2:G$746,'Base bordo'!C$2:C$746,A380,'Base bordo'!B$2:B$746,B380,'Base bordo'!F$2:F$746,"MAN PREVENTIVA - MECANICA"),0)+IFERROR(SUMIFS('Base bordo'!G$2:G$746,'Base bordo'!C$2:C$746,A380,'Base bordo'!B$2:B$746,B380,'Base bordo'!F$2:F$746,"MAN CORRETIVA - MECANICA"),0)</f>
        <v>0</v>
      </c>
      <c r="L380" s="10">
        <f>IFERROR(SUMIFS('Base bordo'!G$2:G$746,'Base bordo'!C$2:C$746,A380,'Base bordo'!B$2:B$746,B380,'Base bordo'!F$2:F$746,"MANUTENCAO - T O"),0)+IFERROR(SUMIFS('Base bordo'!G$2:G$746,'Base bordo'!C$2:C$746,A380,'Base bordo'!B$2:B$746,B380,'Base bordo'!F$2:F$746,"MANUTENCAO BORRACHARIA"),0)+IFERROR(SUMIFS('Base bordo'!G$2:G$746,'Base bordo'!C$2:C$746,A380,'Base bordo'!B$2:B$746,B380,'Base bordo'!F$2:F$746,"MANUTENCAO EXTERNA  CONCESSIONARIA"),0)+IFERROR(SUMIFS('Base bordo'!G$2:G$746,'Base bordo'!C$2:C$746,A380,'Base bordo'!B$2:B$746,B380,'Base bordo'!F$2:F$746,"MANUTENCAO TELEMETRIA"),0)</f>
        <v>3.4908333333333332</v>
      </c>
      <c r="M380" s="10">
        <f>IFERROR(SUMIFS('Base bordo'!G$2:G$746,'Base bordo'!C$2:C$746,A380,'Base bordo'!B$2:B$746,B380,'Base bordo'!F$2:F$746,"AGUARDANDO MANUTENCAO"),0)</f>
        <v>0</v>
      </c>
      <c r="N380" s="10">
        <f>IFERROR(SUMIFS('Base bordo'!G$2:G$746,'Base bordo'!C$2:C$746,A380,'Base bordo'!B$2:B$746,B380,'Base bordo'!F$2:F$746,"SEM APONTAMENTO"),0)</f>
        <v>0</v>
      </c>
      <c r="O380" s="10">
        <f t="shared" si="42"/>
        <v>0</v>
      </c>
      <c r="P380" s="10">
        <f>IFERROR(SUMIFS('Base bordo'!G$2:G$746,'Base bordo'!C$2:C$746,A380,'Base bordo'!B$2:B$746,B380),0)</f>
        <v>18.604444444444443</v>
      </c>
      <c r="Q380" s="10">
        <f>IFERROR(SUMIFS('Base bordo'!H$2:H$746,'Base bordo'!C$2:C$746,A380,'Base bordo'!B$2:B$746,B380,'Base bordo'!F$2:F$746,"DESLOCAMENTO VAZIO"),0)</f>
        <v>164736.31</v>
      </c>
      <c r="R380" s="10">
        <f>IFERROR(SUMIFS('Base bordo'!I$2:I$746,'Base bordo'!C$2:C$746,A380,'Base bordo'!B$2:B$746,B380,'Base bordo'!F$2:F$746,"DESLOCAMENTO VAZIO"),0)</f>
        <v>8689</v>
      </c>
      <c r="S380" s="30">
        <f t="shared" si="43"/>
        <v>18.959179422258028</v>
      </c>
      <c r="T380" s="10">
        <f>IFERROR(SUMIFS('Base bordo'!H$2:H$746,'Base bordo'!C$2:C$746,A380,'Base bordo'!B$2:B$746,B380,'Base bordo'!F$2:F$746,"DESLOCAMENTO CARREGADO"),0)</f>
        <v>65187.479999999996</v>
      </c>
      <c r="U380" s="10">
        <f>IFERROR(SUMIFS('Base bordo'!I$2:I$746,'Base bordo'!C$2:C$746,A380,'Base bordo'!B$2:B$746,B380,'Base bordo'!F$2:F$746,"DESLOCAMENTO CARREGADO"),0)</f>
        <v>2699</v>
      </c>
      <c r="V380" s="30">
        <f t="shared" si="44"/>
        <v>24.152456465357538</v>
      </c>
      <c r="W380" s="9">
        <f t="shared" si="45"/>
        <v>0.12973303870043001</v>
      </c>
      <c r="X380" s="9">
        <f t="shared" si="46"/>
        <v>4.0298017200191112E-2</v>
      </c>
      <c r="Y380" s="9">
        <f t="shared" si="47"/>
        <v>0.82996894409937894</v>
      </c>
    </row>
    <row r="381" spans="1:25" ht="15" customHeight="1" x14ac:dyDescent="0.35">
      <c r="A381" s="52">
        <v>8013484</v>
      </c>
      <c r="B381" s="51">
        <v>46118</v>
      </c>
      <c r="C381" s="7" t="s">
        <v>124</v>
      </c>
      <c r="D381" s="10">
        <f>IFERROR(SUMIFS('Base bordo'!G$2:G$746,'Base bordo'!C$2:C$746,A381,'Base bordo'!B$2:B$746,B381,'Base bordo'!F$2:F$746,"DESLOCAMENTO VAZIO"),0)</f>
        <v>0.14777777777777779</v>
      </c>
      <c r="E381" s="10">
        <f>IFERROR(SUMIFS('Base bordo'!G$2:G$746,'Base bordo'!C$2:C$746,A381,'Base bordo'!B$2:B$746,B381,'Base bordo'!F$2:F$746,"DESLOCAMENTO CARREGADO"),0)</f>
        <v>3.3405555555555555</v>
      </c>
      <c r="F381" s="10">
        <f>IFERROR(SUMIFS('Base bordo'!G$2:G$746,'Base bordo'!C$2:C$746,A381,'Base bordo'!B$2:B$746,B381,'Base bordo'!F$2:F$746,"DESLOCAMENTO"),0)</f>
        <v>0</v>
      </c>
      <c r="G381" s="10">
        <f>IFERROR(SUMIFS('Base bordo'!G$2:G$746,'Base bordo'!C$2:C$746,A381,'Base bordo'!B$2:B$746,B381,'Base bordo'!F$2:F$746,"CARREGAMENTO"),0)</f>
        <v>0</v>
      </c>
      <c r="H381" s="10">
        <f>IFERROR(SUMIFS('Base bordo'!G$2:G$746,'Base bordo'!C$2:C$746,A381,'Base bordo'!B$2:B$746,B381,'Base bordo'!F$2:F$746,"AGUARDANDO TRANSBORDO"),0)</f>
        <v>0</v>
      </c>
      <c r="I381" s="10">
        <f>IFERROR(SUMIFS('Base bordo'!G$2:G$746,'Base bordo'!C$2:C$746,A381,'Base bordo'!B$2:B$746,B381,'Base bordo'!F$2:F$746,"PÁTIO INTERNO"),0)+IFERROR(SUMIFS('Base bordo'!G$2:G$746,'Base bordo'!C$2:C$746,A381,'Base bordo'!B$2:B$746,B381,'Base bordo'!F$2:F$746,"PÁTIO EXTERNO"),0)+IFERROR(SUMIFS('Base bordo'!G$2:G$746,'Base bordo'!C$2:C$746,A381,'Base bordo'!B$2:B$746,B381,'Base bordo'!F$2:F$746,"PATIO - RESERVA"),0)+IFERROR(SUMIFS('Base bordo'!G$2:G$746,'Base bordo'!C$2:C$746,A381,'Base bordo'!B$2:B$746,B381,'Base bordo'!F$2:F$746,"MANOBRA CARRETAS-PATIO"),0)</f>
        <v>6.0491666666666664</v>
      </c>
      <c r="J381" s="10">
        <f>IFERROR(SUMIFS('Base bordo'!G$2:G$746,'Base bordo'!C$2:C$746,A381,'Base bordo'!B$2:B$746,B381,'Base bordo'!F$2:F$746,"BALANÇA - ENTRADA"),0)+IFERROR(SUMIFS('Base bordo'!G$2:G$746,'Base bordo'!C$2:C$746,A381,'Base bordo'!B$2:B$746,B381,'Base bordo'!F$2:F$746,"BALANÇA - SAÍDA"),0)</f>
        <v>4.1944444444444444E-2</v>
      </c>
      <c r="K381" s="10">
        <f>IFERROR(SUMIFS('Base bordo'!G$2:G$746,'Base bordo'!C$2:C$746,A381,'Base bordo'!B$2:B$746,B381,'Base bordo'!F$2:F$746,"MAN PREVENTIVA - MECANICA"),0)+IFERROR(SUMIFS('Base bordo'!G$2:G$746,'Base bordo'!C$2:C$746,A381,'Base bordo'!B$2:B$746,B381,'Base bordo'!F$2:F$746,"MAN CORRETIVA - MECANICA"),0)</f>
        <v>0</v>
      </c>
      <c r="L381" s="10">
        <f>IFERROR(SUMIFS('Base bordo'!G$2:G$746,'Base bordo'!C$2:C$746,A381,'Base bordo'!B$2:B$746,B381,'Base bordo'!F$2:F$746,"MANUTENCAO - T O"),0)+IFERROR(SUMIFS('Base bordo'!G$2:G$746,'Base bordo'!C$2:C$746,A381,'Base bordo'!B$2:B$746,B381,'Base bordo'!F$2:F$746,"MANUTENCAO BORRACHARIA"),0)+IFERROR(SUMIFS('Base bordo'!G$2:G$746,'Base bordo'!C$2:C$746,A381,'Base bordo'!B$2:B$746,B381,'Base bordo'!F$2:F$746,"MANUTENCAO EXTERNA  CONCESSIONARIA"),0)+IFERROR(SUMIFS('Base bordo'!G$2:G$746,'Base bordo'!C$2:C$746,A381,'Base bordo'!B$2:B$746,B381,'Base bordo'!F$2:F$746,"MANUTENCAO TELEMETRIA"),0)</f>
        <v>0</v>
      </c>
      <c r="M381" s="10">
        <f>IFERROR(SUMIFS('Base bordo'!G$2:G$746,'Base bordo'!C$2:C$746,A381,'Base bordo'!B$2:B$746,B381,'Base bordo'!F$2:F$746,"AGUARDANDO MANUTENCAO"),0)</f>
        <v>0</v>
      </c>
      <c r="N381" s="10">
        <f>IFERROR(SUMIFS('Base bordo'!G$2:G$746,'Base bordo'!C$2:C$746,A381,'Base bordo'!B$2:B$746,B381,'Base bordo'!F$2:F$746,"SEM APONTAMENTO"),0)</f>
        <v>0</v>
      </c>
      <c r="O381" s="10">
        <f t="shared" si="42"/>
        <v>0</v>
      </c>
      <c r="P381" s="10">
        <f>IFERROR(SUMIFS('Base bordo'!G$2:G$746,'Base bordo'!C$2:C$746,A381,'Base bordo'!B$2:B$746,B381),0)</f>
        <v>9.5794444444444444</v>
      </c>
      <c r="Q381" s="10">
        <f>IFERROR(SUMIFS('Base bordo'!H$2:H$746,'Base bordo'!C$2:C$746,A381,'Base bordo'!B$2:B$746,B381,'Base bordo'!F$2:F$746,"DESLOCAMENTO VAZIO"),0)</f>
        <v>4979.08</v>
      </c>
      <c r="R381" s="10">
        <f>IFERROR(SUMIFS('Base bordo'!I$2:I$746,'Base bordo'!C$2:C$746,A381,'Base bordo'!B$2:B$746,B381,'Base bordo'!F$2:F$746,"DESLOCAMENTO VAZIO"),0)</f>
        <v>532</v>
      </c>
      <c r="S381" s="30">
        <f t="shared" si="43"/>
        <v>9.3591729323308268</v>
      </c>
      <c r="T381" s="10">
        <f>IFERROR(SUMIFS('Base bordo'!H$2:H$746,'Base bordo'!C$2:C$746,A381,'Base bordo'!B$2:B$746,B381,'Base bordo'!F$2:F$746,"DESLOCAMENTO CARREGADO"),0)</f>
        <v>214024.57</v>
      </c>
      <c r="U381" s="10">
        <f>IFERROR(SUMIFS('Base bordo'!I$2:I$746,'Base bordo'!C$2:C$746,A381,'Base bordo'!B$2:B$746,B381,'Base bordo'!F$2:F$746,"DESLOCAMENTO CARREGADO"),0)</f>
        <v>12026</v>
      </c>
      <c r="V381" s="30">
        <f t="shared" si="44"/>
        <v>17.796821054382171</v>
      </c>
      <c r="W381" s="9">
        <f t="shared" si="45"/>
        <v>1.5426549904308995E-2</v>
      </c>
      <c r="X381" s="9">
        <f t="shared" si="46"/>
        <v>0.34872122020530072</v>
      </c>
      <c r="Y381" s="9">
        <f t="shared" si="47"/>
        <v>0.63585222989039036</v>
      </c>
    </row>
    <row r="382" spans="1:25" ht="15" customHeight="1" x14ac:dyDescent="0.35">
      <c r="A382" s="52">
        <v>8013468</v>
      </c>
      <c r="B382" s="51">
        <v>46120</v>
      </c>
      <c r="C382" s="7" t="s">
        <v>124</v>
      </c>
      <c r="D382" s="10">
        <f>IFERROR(SUMIFS('Base bordo'!G$2:G$746,'Base bordo'!C$2:C$746,A382,'Base bordo'!B$2:B$746,B382,'Base bordo'!F$2:F$746,"DESLOCAMENTO VAZIO"),0)</f>
        <v>0</v>
      </c>
      <c r="E382" s="10">
        <f>IFERROR(SUMIFS('Base bordo'!G$2:G$746,'Base bordo'!C$2:C$746,A382,'Base bordo'!B$2:B$746,B382,'Base bordo'!F$2:F$746,"DESLOCAMENTO CARREGADO"),0)</f>
        <v>0.18833333333333332</v>
      </c>
      <c r="F382" s="10">
        <f>IFERROR(SUMIFS('Base bordo'!G$2:G$746,'Base bordo'!C$2:C$746,A382,'Base bordo'!B$2:B$746,B382,'Base bordo'!F$2:F$746,"DESLOCAMENTO"),0)</f>
        <v>0</v>
      </c>
      <c r="G382" s="10">
        <f>IFERROR(SUMIFS('Base bordo'!G$2:G$746,'Base bordo'!C$2:C$746,A382,'Base bordo'!B$2:B$746,B382,'Base bordo'!F$2:F$746,"CARREGAMENTO"),0)</f>
        <v>0</v>
      </c>
      <c r="H382" s="10">
        <f>IFERROR(SUMIFS('Base bordo'!G$2:G$746,'Base bordo'!C$2:C$746,A382,'Base bordo'!B$2:B$746,B382,'Base bordo'!F$2:F$746,"AGUARDANDO TRANSBORDO"),0)</f>
        <v>0</v>
      </c>
      <c r="I382" s="10">
        <f>IFERROR(SUMIFS('Base bordo'!G$2:G$746,'Base bordo'!C$2:C$746,A382,'Base bordo'!B$2:B$746,B382,'Base bordo'!F$2:F$746,"PÁTIO INTERNO"),0)+IFERROR(SUMIFS('Base bordo'!G$2:G$746,'Base bordo'!C$2:C$746,A382,'Base bordo'!B$2:B$746,B382,'Base bordo'!F$2:F$746,"PÁTIO EXTERNO"),0)+IFERROR(SUMIFS('Base bordo'!G$2:G$746,'Base bordo'!C$2:C$746,A382,'Base bordo'!B$2:B$746,B382,'Base bordo'!F$2:F$746,"PATIO - RESERVA"),0)+IFERROR(SUMIFS('Base bordo'!G$2:G$746,'Base bordo'!C$2:C$746,A382,'Base bordo'!B$2:B$746,B382,'Base bordo'!F$2:F$746,"MANOBRA CARRETAS-PATIO"),0)</f>
        <v>2.0605555555555557</v>
      </c>
      <c r="J382" s="10">
        <f>IFERROR(SUMIFS('Base bordo'!G$2:G$746,'Base bordo'!C$2:C$746,A382,'Base bordo'!B$2:B$746,B382,'Base bordo'!F$2:F$746,"BALANÇA - ENTRADA"),0)+IFERROR(SUMIFS('Base bordo'!G$2:G$746,'Base bordo'!C$2:C$746,A382,'Base bordo'!B$2:B$746,B382,'Base bordo'!F$2:F$746,"BALANÇA - SAÍDA"),0)</f>
        <v>0</v>
      </c>
      <c r="K382" s="10">
        <f>IFERROR(SUMIFS('Base bordo'!G$2:G$746,'Base bordo'!C$2:C$746,A382,'Base bordo'!B$2:B$746,B382,'Base bordo'!F$2:F$746,"MAN PREVENTIVA - MECANICA"),0)+IFERROR(SUMIFS('Base bordo'!G$2:G$746,'Base bordo'!C$2:C$746,A382,'Base bordo'!B$2:B$746,B382,'Base bordo'!F$2:F$746,"MAN CORRETIVA - MECANICA"),0)</f>
        <v>0</v>
      </c>
      <c r="L382" s="10">
        <f>IFERROR(SUMIFS('Base bordo'!G$2:G$746,'Base bordo'!C$2:C$746,A382,'Base bordo'!B$2:B$746,B382,'Base bordo'!F$2:F$746,"MANUTENCAO - T O"),0)+IFERROR(SUMIFS('Base bordo'!G$2:G$746,'Base bordo'!C$2:C$746,A382,'Base bordo'!B$2:B$746,B382,'Base bordo'!F$2:F$746,"MANUTENCAO BORRACHARIA"),0)+IFERROR(SUMIFS('Base bordo'!G$2:G$746,'Base bordo'!C$2:C$746,A382,'Base bordo'!B$2:B$746,B382,'Base bordo'!F$2:F$746,"MANUTENCAO EXTERNA  CONCESSIONARIA"),0)+IFERROR(SUMIFS('Base bordo'!G$2:G$746,'Base bordo'!C$2:C$746,A382,'Base bordo'!B$2:B$746,B382,'Base bordo'!F$2:F$746,"MANUTENCAO TELEMETRIA"),0)</f>
        <v>0</v>
      </c>
      <c r="M382" s="10">
        <f>IFERROR(SUMIFS('Base bordo'!G$2:G$746,'Base bordo'!C$2:C$746,A382,'Base bordo'!B$2:B$746,B382,'Base bordo'!F$2:F$746,"AGUARDANDO MANUTENCAO"),0)</f>
        <v>0</v>
      </c>
      <c r="N382" s="10">
        <f>IFERROR(SUMIFS('Base bordo'!G$2:G$746,'Base bordo'!C$2:C$746,A382,'Base bordo'!B$2:B$746,B382,'Base bordo'!F$2:F$746,"SEM APONTAMENTO"),0)</f>
        <v>0</v>
      </c>
      <c r="O382" s="10">
        <f t="shared" si="42"/>
        <v>0</v>
      </c>
      <c r="P382" s="10">
        <f>IFERROR(SUMIFS('Base bordo'!G$2:G$746,'Base bordo'!C$2:C$746,A382,'Base bordo'!B$2:B$746,B382),0)</f>
        <v>2.2488888888888892</v>
      </c>
      <c r="Q382" s="10">
        <f>IFERROR(SUMIFS('Base bordo'!H$2:H$746,'Base bordo'!C$2:C$746,A382,'Base bordo'!B$2:B$746,B382,'Base bordo'!F$2:F$746,"DESLOCAMENTO VAZIO"),0)</f>
        <v>0</v>
      </c>
      <c r="R382" s="10">
        <f>IFERROR(SUMIFS('Base bordo'!I$2:I$746,'Base bordo'!C$2:C$746,A382,'Base bordo'!B$2:B$746,B382,'Base bordo'!F$2:F$746,"DESLOCAMENTO VAZIO"),0)</f>
        <v>0</v>
      </c>
      <c r="S382" s="30" t="str">
        <f t="shared" si="43"/>
        <v/>
      </c>
      <c r="T382" s="10">
        <f>IFERROR(SUMIFS('Base bordo'!H$2:H$746,'Base bordo'!C$2:C$746,A382,'Base bordo'!B$2:B$746,B382,'Base bordo'!F$2:F$746,"DESLOCAMENTO CARREGADO"),0)</f>
        <v>13892.22</v>
      </c>
      <c r="U382" s="10">
        <f>IFERROR(SUMIFS('Base bordo'!I$2:I$746,'Base bordo'!C$2:C$746,A382,'Base bordo'!B$2:B$746,B382,'Base bordo'!F$2:F$746,"DESLOCAMENTO CARREGADO"),0)</f>
        <v>678</v>
      </c>
      <c r="V382" s="30">
        <f t="shared" si="44"/>
        <v>20.49</v>
      </c>
      <c r="W382" s="9">
        <f t="shared" si="45"/>
        <v>0</v>
      </c>
      <c r="X382" s="9">
        <f t="shared" si="46"/>
        <v>8.3745059288537538E-2</v>
      </c>
      <c r="Y382" s="9">
        <f t="shared" si="47"/>
        <v>0.91625494071146241</v>
      </c>
    </row>
    <row r="383" spans="1:25" ht="15" customHeight="1" x14ac:dyDescent="0.35">
      <c r="A383" s="52">
        <v>8013469</v>
      </c>
      <c r="B383" s="51">
        <v>46119</v>
      </c>
      <c r="C383" s="7" t="s">
        <v>124</v>
      </c>
      <c r="D383" s="10">
        <f>IFERROR(SUMIFS('Base bordo'!G$2:G$746,'Base bordo'!C$2:C$746,A383,'Base bordo'!B$2:B$746,B383,'Base bordo'!F$2:F$746,"DESLOCAMENTO VAZIO"),0)</f>
        <v>0.25611111111111112</v>
      </c>
      <c r="E383" s="10">
        <f>IFERROR(SUMIFS('Base bordo'!G$2:G$746,'Base bordo'!C$2:C$746,A383,'Base bordo'!B$2:B$746,B383,'Base bordo'!F$2:F$746,"DESLOCAMENTO CARREGADO"),0)</f>
        <v>1.7777777777777778E-2</v>
      </c>
      <c r="F383" s="10">
        <f>IFERROR(SUMIFS('Base bordo'!G$2:G$746,'Base bordo'!C$2:C$746,A383,'Base bordo'!B$2:B$746,B383,'Base bordo'!F$2:F$746,"DESLOCAMENTO"),0)</f>
        <v>0</v>
      </c>
      <c r="G383" s="10">
        <f>IFERROR(SUMIFS('Base bordo'!G$2:G$746,'Base bordo'!C$2:C$746,A383,'Base bordo'!B$2:B$746,B383,'Base bordo'!F$2:F$746,"CARREGAMENTO"),0)</f>
        <v>0</v>
      </c>
      <c r="H383" s="10">
        <f>IFERROR(SUMIFS('Base bordo'!G$2:G$746,'Base bordo'!C$2:C$746,A383,'Base bordo'!B$2:B$746,B383,'Base bordo'!F$2:F$746,"AGUARDANDO TRANSBORDO"),0)</f>
        <v>0</v>
      </c>
      <c r="I383" s="10">
        <f>IFERROR(SUMIFS('Base bordo'!G$2:G$746,'Base bordo'!C$2:C$746,A383,'Base bordo'!B$2:B$746,B383,'Base bordo'!F$2:F$746,"PÁTIO INTERNO"),0)+IFERROR(SUMIFS('Base bordo'!G$2:G$746,'Base bordo'!C$2:C$746,A383,'Base bordo'!B$2:B$746,B383,'Base bordo'!F$2:F$746,"PÁTIO EXTERNO"),0)+IFERROR(SUMIFS('Base bordo'!G$2:G$746,'Base bordo'!C$2:C$746,A383,'Base bordo'!B$2:B$746,B383,'Base bordo'!F$2:F$746,"PATIO - RESERVA"),0)+IFERROR(SUMIFS('Base bordo'!G$2:G$746,'Base bordo'!C$2:C$746,A383,'Base bordo'!B$2:B$746,B383,'Base bordo'!F$2:F$746,"MANOBRA CARRETAS-PATIO"),0)</f>
        <v>9.2025000000000006</v>
      </c>
      <c r="J383" s="10">
        <f>IFERROR(SUMIFS('Base bordo'!G$2:G$746,'Base bordo'!C$2:C$746,A383,'Base bordo'!B$2:B$746,B383,'Base bordo'!F$2:F$746,"BALANÇA - ENTRADA"),0)+IFERROR(SUMIFS('Base bordo'!G$2:G$746,'Base bordo'!C$2:C$746,A383,'Base bordo'!B$2:B$746,B383,'Base bordo'!F$2:F$746,"BALANÇA - SAÍDA"),0)</f>
        <v>5.3055555555555557E-2</v>
      </c>
      <c r="K383" s="10">
        <f>IFERROR(SUMIFS('Base bordo'!G$2:G$746,'Base bordo'!C$2:C$746,A383,'Base bordo'!B$2:B$746,B383,'Base bordo'!F$2:F$746,"MAN PREVENTIVA - MECANICA"),0)+IFERROR(SUMIFS('Base bordo'!G$2:G$746,'Base bordo'!C$2:C$746,A383,'Base bordo'!B$2:B$746,B383,'Base bordo'!F$2:F$746,"MAN CORRETIVA - MECANICA"),0)</f>
        <v>0</v>
      </c>
      <c r="L383" s="10">
        <f>IFERROR(SUMIFS('Base bordo'!G$2:G$746,'Base bordo'!C$2:C$746,A383,'Base bordo'!B$2:B$746,B383,'Base bordo'!F$2:F$746,"MANUTENCAO - T O"),0)+IFERROR(SUMIFS('Base bordo'!G$2:G$746,'Base bordo'!C$2:C$746,A383,'Base bordo'!B$2:B$746,B383,'Base bordo'!F$2:F$746,"MANUTENCAO BORRACHARIA"),0)+IFERROR(SUMIFS('Base bordo'!G$2:G$746,'Base bordo'!C$2:C$746,A383,'Base bordo'!B$2:B$746,B383,'Base bordo'!F$2:F$746,"MANUTENCAO EXTERNA  CONCESSIONARIA"),0)+IFERROR(SUMIFS('Base bordo'!G$2:G$746,'Base bordo'!C$2:C$746,A383,'Base bordo'!B$2:B$746,B383,'Base bordo'!F$2:F$746,"MANUTENCAO TELEMETRIA"),0)</f>
        <v>0</v>
      </c>
      <c r="M383" s="10">
        <f>IFERROR(SUMIFS('Base bordo'!G$2:G$746,'Base bordo'!C$2:C$746,A383,'Base bordo'!B$2:B$746,B383,'Base bordo'!F$2:F$746,"AGUARDANDO MANUTENCAO"),0)</f>
        <v>0</v>
      </c>
      <c r="N383" s="10">
        <f>IFERROR(SUMIFS('Base bordo'!G$2:G$746,'Base bordo'!C$2:C$746,A383,'Base bordo'!B$2:B$746,B383,'Base bordo'!F$2:F$746,"SEM APONTAMENTO"),0)</f>
        <v>0</v>
      </c>
      <c r="O383" s="10">
        <f t="shared" si="42"/>
        <v>-3.5527136788005009E-15</v>
      </c>
      <c r="P383" s="10">
        <f>IFERROR(SUMIFS('Base bordo'!G$2:G$746,'Base bordo'!C$2:C$746,A383,'Base bordo'!B$2:B$746,B383),0)</f>
        <v>9.5294444444444419</v>
      </c>
      <c r="Q383" s="10">
        <f>IFERROR(SUMIFS('Base bordo'!H$2:H$746,'Base bordo'!C$2:C$746,A383,'Base bordo'!B$2:B$746,B383,'Base bordo'!F$2:F$746,"DESLOCAMENTO VAZIO"),0)</f>
        <v>8165.6500000000015</v>
      </c>
      <c r="R383" s="10">
        <f>IFERROR(SUMIFS('Base bordo'!I$2:I$746,'Base bordo'!C$2:C$746,A383,'Base bordo'!B$2:B$746,B383,'Base bordo'!F$2:F$746,"DESLOCAMENTO VAZIO"),0)</f>
        <v>922</v>
      </c>
      <c r="S383" s="30">
        <f t="shared" si="43"/>
        <v>8.8564533622559676</v>
      </c>
      <c r="T383" s="10">
        <f>IFERROR(SUMIFS('Base bordo'!H$2:H$746,'Base bordo'!C$2:C$746,A383,'Base bordo'!B$2:B$746,B383,'Base bordo'!F$2:F$746,"DESLOCAMENTO CARREGADO"),0)</f>
        <v>245.12</v>
      </c>
      <c r="U383" s="10">
        <f>IFERROR(SUMIFS('Base bordo'!I$2:I$746,'Base bordo'!C$2:C$746,A383,'Base bordo'!B$2:B$746,B383,'Base bordo'!F$2:F$746,"DESLOCAMENTO CARREGADO"),0)</f>
        <v>64</v>
      </c>
      <c r="V383" s="30">
        <f t="shared" si="44"/>
        <v>3.83</v>
      </c>
      <c r="W383" s="9">
        <f t="shared" si="45"/>
        <v>2.6875765172273081E-2</v>
      </c>
      <c r="X383" s="9">
        <f t="shared" si="46"/>
        <v>1.8655628752987821E-3</v>
      </c>
      <c r="Y383" s="9">
        <f t="shared" si="47"/>
        <v>0.9712586719524281</v>
      </c>
    </row>
    <row r="384" spans="1:25" ht="15" customHeight="1" x14ac:dyDescent="0.35">
      <c r="A384" s="52">
        <v>8013461</v>
      </c>
      <c r="B384" s="51">
        <v>46124</v>
      </c>
      <c r="C384" s="7" t="s">
        <v>124</v>
      </c>
      <c r="D384" s="10">
        <f>IFERROR(SUMIFS('Base bordo'!G$2:G$746,'Base bordo'!C$2:C$746,A384,'Base bordo'!B$2:B$746,B384,'Base bordo'!F$2:F$746,"DESLOCAMENTO VAZIO"),0)</f>
        <v>2.7680555555555557</v>
      </c>
      <c r="E384" s="10">
        <f>IFERROR(SUMIFS('Base bordo'!G$2:G$746,'Base bordo'!C$2:C$746,A384,'Base bordo'!B$2:B$746,B384,'Base bordo'!F$2:F$746,"DESLOCAMENTO CARREGADO"),0)</f>
        <v>1.8997222222222223</v>
      </c>
      <c r="F384" s="10">
        <f>IFERROR(SUMIFS('Base bordo'!G$2:G$746,'Base bordo'!C$2:C$746,A384,'Base bordo'!B$2:B$746,B384,'Base bordo'!F$2:F$746,"DESLOCAMENTO"),0)</f>
        <v>0</v>
      </c>
      <c r="G384" s="10">
        <f>IFERROR(SUMIFS('Base bordo'!G$2:G$746,'Base bordo'!C$2:C$746,A384,'Base bordo'!B$2:B$746,B384,'Base bordo'!F$2:F$746,"CARREGAMENTO"),0)</f>
        <v>0</v>
      </c>
      <c r="H384" s="10">
        <f>IFERROR(SUMIFS('Base bordo'!G$2:G$746,'Base bordo'!C$2:C$746,A384,'Base bordo'!B$2:B$746,B384,'Base bordo'!F$2:F$746,"AGUARDANDO TRANSBORDO"),0)</f>
        <v>0.61305555555555558</v>
      </c>
      <c r="I384" s="10">
        <f>IFERROR(SUMIFS('Base bordo'!G$2:G$746,'Base bordo'!C$2:C$746,A384,'Base bordo'!B$2:B$746,B384,'Base bordo'!F$2:F$746,"PÁTIO INTERNO"),0)+IFERROR(SUMIFS('Base bordo'!G$2:G$746,'Base bordo'!C$2:C$746,A384,'Base bordo'!B$2:B$746,B384,'Base bordo'!F$2:F$746,"PÁTIO EXTERNO"),0)+IFERROR(SUMIFS('Base bordo'!G$2:G$746,'Base bordo'!C$2:C$746,A384,'Base bordo'!B$2:B$746,B384,'Base bordo'!F$2:F$746,"PATIO - RESERVA"),0)+IFERROR(SUMIFS('Base bordo'!G$2:G$746,'Base bordo'!C$2:C$746,A384,'Base bordo'!B$2:B$746,B384,'Base bordo'!F$2:F$746,"MANOBRA CARRETAS-PATIO"),0)</f>
        <v>4.3969444444444443</v>
      </c>
      <c r="J384" s="10">
        <f>IFERROR(SUMIFS('Base bordo'!G$2:G$746,'Base bordo'!C$2:C$746,A384,'Base bordo'!B$2:B$746,B384,'Base bordo'!F$2:F$746,"BALANÇA - ENTRADA"),0)+IFERROR(SUMIFS('Base bordo'!G$2:G$746,'Base bordo'!C$2:C$746,A384,'Base bordo'!B$2:B$746,B384,'Base bordo'!F$2:F$746,"BALANÇA - SAÍDA"),0)</f>
        <v>0.3175</v>
      </c>
      <c r="K384" s="10">
        <f>IFERROR(SUMIFS('Base bordo'!G$2:G$746,'Base bordo'!C$2:C$746,A384,'Base bordo'!B$2:B$746,B384,'Base bordo'!F$2:F$746,"MAN PREVENTIVA - MECANICA"),0)+IFERROR(SUMIFS('Base bordo'!G$2:G$746,'Base bordo'!C$2:C$746,A384,'Base bordo'!B$2:B$746,B384,'Base bordo'!F$2:F$746,"MAN CORRETIVA - MECANICA"),0)</f>
        <v>0</v>
      </c>
      <c r="L384" s="10">
        <f>IFERROR(SUMIFS('Base bordo'!G$2:G$746,'Base bordo'!C$2:C$746,A384,'Base bordo'!B$2:B$746,B384,'Base bordo'!F$2:F$746,"MANUTENCAO - T O"),0)+IFERROR(SUMIFS('Base bordo'!G$2:G$746,'Base bordo'!C$2:C$746,A384,'Base bordo'!B$2:B$746,B384,'Base bordo'!F$2:F$746,"MANUTENCAO BORRACHARIA"),0)+IFERROR(SUMIFS('Base bordo'!G$2:G$746,'Base bordo'!C$2:C$746,A384,'Base bordo'!B$2:B$746,B384,'Base bordo'!F$2:F$746,"MANUTENCAO EXTERNA  CONCESSIONARIA"),0)+IFERROR(SUMIFS('Base bordo'!G$2:G$746,'Base bordo'!C$2:C$746,A384,'Base bordo'!B$2:B$746,B384,'Base bordo'!F$2:F$746,"MANUTENCAO TELEMETRIA"),0)</f>
        <v>0</v>
      </c>
      <c r="M384" s="10">
        <f>IFERROR(SUMIFS('Base bordo'!G$2:G$746,'Base bordo'!C$2:C$746,A384,'Base bordo'!B$2:B$746,B384,'Base bordo'!F$2:F$746,"AGUARDANDO MANUTENCAO"),0)</f>
        <v>0</v>
      </c>
      <c r="N384" s="10">
        <f>IFERROR(SUMIFS('Base bordo'!G$2:G$746,'Base bordo'!C$2:C$746,A384,'Base bordo'!B$2:B$746,B384,'Base bordo'!F$2:F$746,"SEM APONTAMENTO"),0)</f>
        <v>0</v>
      </c>
      <c r="O384" s="10">
        <f t="shared" si="42"/>
        <v>1.7763568394002505E-15</v>
      </c>
      <c r="P384" s="10">
        <f>IFERROR(SUMIFS('Base bordo'!G$2:G$746,'Base bordo'!C$2:C$746,A384,'Base bordo'!B$2:B$746,B384),0)</f>
        <v>9.9952777777777797</v>
      </c>
      <c r="Q384" s="10">
        <f>IFERROR(SUMIFS('Base bordo'!H$2:H$746,'Base bordo'!C$2:C$746,A384,'Base bordo'!B$2:B$746,B384,'Base bordo'!F$2:F$746,"DESLOCAMENTO VAZIO"),0)</f>
        <v>281004.56</v>
      </c>
      <c r="R384" s="10">
        <f>IFERROR(SUMIFS('Base bordo'!I$2:I$746,'Base bordo'!C$2:C$746,A384,'Base bordo'!B$2:B$746,B384,'Base bordo'!F$2:F$746,"DESLOCAMENTO VAZIO"),0)</f>
        <v>9965</v>
      </c>
      <c r="S384" s="30">
        <f t="shared" si="43"/>
        <v>28.199153035624686</v>
      </c>
      <c r="T384" s="10">
        <f>IFERROR(SUMIFS('Base bordo'!H$2:H$746,'Base bordo'!C$2:C$746,A384,'Base bordo'!B$2:B$746,B384,'Base bordo'!F$2:F$746,"DESLOCAMENTO CARREGADO"),0)</f>
        <v>117740.31000000001</v>
      </c>
      <c r="U384" s="10">
        <f>IFERROR(SUMIFS('Base bordo'!I$2:I$746,'Base bordo'!C$2:C$746,A384,'Base bordo'!B$2:B$746,B384,'Base bordo'!F$2:F$746,"DESLOCAMENTO CARREGADO"),0)</f>
        <v>6839</v>
      </c>
      <c r="V384" s="30">
        <f t="shared" si="44"/>
        <v>17.216012574937857</v>
      </c>
      <c r="W384" s="9">
        <f t="shared" si="45"/>
        <v>0.27693633104521576</v>
      </c>
      <c r="X384" s="9">
        <f t="shared" si="46"/>
        <v>0.19006197370980737</v>
      </c>
      <c r="Y384" s="9">
        <f t="shared" si="47"/>
        <v>0.53300169524497676</v>
      </c>
    </row>
    <row r="385" spans="1:25" ht="15" customHeight="1" x14ac:dyDescent="0.35">
      <c r="A385" s="52">
        <v>8013486</v>
      </c>
      <c r="B385" s="51">
        <v>46118</v>
      </c>
      <c r="C385" s="7" t="s">
        <v>124</v>
      </c>
      <c r="D385" s="10">
        <f>IFERROR(SUMIFS('Base bordo'!G$2:G$746,'Base bordo'!C$2:C$746,A385,'Base bordo'!B$2:B$746,B385,'Base bordo'!F$2:F$746,"DESLOCAMENTO VAZIO"),0)</f>
        <v>0.90972222222222221</v>
      </c>
      <c r="E385" s="10">
        <f>IFERROR(SUMIFS('Base bordo'!G$2:G$746,'Base bordo'!C$2:C$746,A385,'Base bordo'!B$2:B$746,B385,'Base bordo'!F$2:F$746,"DESLOCAMENTO CARREGADO"),0)</f>
        <v>1.7558333333333334</v>
      </c>
      <c r="F385" s="10">
        <f>IFERROR(SUMIFS('Base bordo'!G$2:G$746,'Base bordo'!C$2:C$746,A385,'Base bordo'!B$2:B$746,B385,'Base bordo'!F$2:F$746,"DESLOCAMENTO"),0)</f>
        <v>6.0436111111111108</v>
      </c>
      <c r="G385" s="10">
        <f>IFERROR(SUMIFS('Base bordo'!G$2:G$746,'Base bordo'!C$2:C$746,A385,'Base bordo'!B$2:B$746,B385,'Base bordo'!F$2:F$746,"CARREGAMENTO"),0)</f>
        <v>0</v>
      </c>
      <c r="H385" s="10">
        <f>IFERROR(SUMIFS('Base bordo'!G$2:G$746,'Base bordo'!C$2:C$746,A385,'Base bordo'!B$2:B$746,B385,'Base bordo'!F$2:F$746,"AGUARDANDO TRANSBORDO"),0)</f>
        <v>0</v>
      </c>
      <c r="I385" s="10">
        <f>IFERROR(SUMIFS('Base bordo'!G$2:G$746,'Base bordo'!C$2:C$746,A385,'Base bordo'!B$2:B$746,B385,'Base bordo'!F$2:F$746,"PÁTIO INTERNO"),0)+IFERROR(SUMIFS('Base bordo'!G$2:G$746,'Base bordo'!C$2:C$746,A385,'Base bordo'!B$2:B$746,B385,'Base bordo'!F$2:F$746,"PÁTIO EXTERNO"),0)+IFERROR(SUMIFS('Base bordo'!G$2:G$746,'Base bordo'!C$2:C$746,A385,'Base bordo'!B$2:B$746,B385,'Base bordo'!F$2:F$746,"PATIO - RESERVA"),0)+IFERROR(SUMIFS('Base bordo'!G$2:G$746,'Base bordo'!C$2:C$746,A385,'Base bordo'!B$2:B$746,B385,'Base bordo'!F$2:F$746,"MANOBRA CARRETAS-PATIO"),0)</f>
        <v>3.7905555555555552</v>
      </c>
      <c r="J385" s="10">
        <f>IFERROR(SUMIFS('Base bordo'!G$2:G$746,'Base bordo'!C$2:C$746,A385,'Base bordo'!B$2:B$746,B385,'Base bordo'!F$2:F$746,"BALANÇA - ENTRADA"),0)+IFERROR(SUMIFS('Base bordo'!G$2:G$746,'Base bordo'!C$2:C$746,A385,'Base bordo'!B$2:B$746,B385,'Base bordo'!F$2:F$746,"BALANÇA - SAÍDA"),0)</f>
        <v>5.6666666666666664E-2</v>
      </c>
      <c r="K385" s="10">
        <f>IFERROR(SUMIFS('Base bordo'!G$2:G$746,'Base bordo'!C$2:C$746,A385,'Base bordo'!B$2:B$746,B385,'Base bordo'!F$2:F$746,"MAN PREVENTIVA - MECANICA"),0)+IFERROR(SUMIFS('Base bordo'!G$2:G$746,'Base bordo'!C$2:C$746,A385,'Base bordo'!B$2:B$746,B385,'Base bordo'!F$2:F$746,"MAN CORRETIVA - MECANICA"),0)</f>
        <v>0</v>
      </c>
      <c r="L385" s="10">
        <f>IFERROR(SUMIFS('Base bordo'!G$2:G$746,'Base bordo'!C$2:C$746,A385,'Base bordo'!B$2:B$746,B385,'Base bordo'!F$2:F$746,"MANUTENCAO - T O"),0)+IFERROR(SUMIFS('Base bordo'!G$2:G$746,'Base bordo'!C$2:C$746,A385,'Base bordo'!B$2:B$746,B385,'Base bordo'!F$2:F$746,"MANUTENCAO BORRACHARIA"),0)+IFERROR(SUMIFS('Base bordo'!G$2:G$746,'Base bordo'!C$2:C$746,A385,'Base bordo'!B$2:B$746,B385,'Base bordo'!F$2:F$746,"MANUTENCAO EXTERNA  CONCESSIONARIA"),0)+IFERROR(SUMIFS('Base bordo'!G$2:G$746,'Base bordo'!C$2:C$746,A385,'Base bordo'!B$2:B$746,B385,'Base bordo'!F$2:F$746,"MANUTENCAO TELEMETRIA"),0)</f>
        <v>9.4491666666666667</v>
      </c>
      <c r="M385" s="10">
        <f>IFERROR(SUMIFS('Base bordo'!G$2:G$746,'Base bordo'!C$2:C$746,A385,'Base bordo'!B$2:B$746,B385,'Base bordo'!F$2:F$746,"AGUARDANDO MANUTENCAO"),0)</f>
        <v>0</v>
      </c>
      <c r="N385" s="10">
        <f>IFERROR(SUMIFS('Base bordo'!G$2:G$746,'Base bordo'!C$2:C$746,A385,'Base bordo'!B$2:B$746,B385,'Base bordo'!F$2:F$746,"SEM APONTAMENTO"),0)</f>
        <v>0</v>
      </c>
      <c r="O385" s="10">
        <f t="shared" si="42"/>
        <v>0.20222222222222541</v>
      </c>
      <c r="P385" s="10">
        <f>IFERROR(SUMIFS('Base bordo'!G$2:G$746,'Base bordo'!C$2:C$746,A385,'Base bordo'!B$2:B$746,B385),0)</f>
        <v>22.207777777777778</v>
      </c>
      <c r="Q385" s="10">
        <f>IFERROR(SUMIFS('Base bordo'!H$2:H$746,'Base bordo'!C$2:C$746,A385,'Base bordo'!B$2:B$746,B385,'Base bordo'!F$2:F$746,"DESLOCAMENTO VAZIO"),0)</f>
        <v>86336.93</v>
      </c>
      <c r="R385" s="10">
        <f>IFERROR(SUMIFS('Base bordo'!I$2:I$746,'Base bordo'!C$2:C$746,A385,'Base bordo'!B$2:B$746,B385,'Base bordo'!F$2:F$746,"DESLOCAMENTO VAZIO"),0)</f>
        <v>3275</v>
      </c>
      <c r="S385" s="30">
        <f t="shared" si="43"/>
        <v>26.362421374045798</v>
      </c>
      <c r="T385" s="10">
        <f>IFERROR(SUMIFS('Base bordo'!H$2:H$746,'Base bordo'!C$2:C$746,A385,'Base bordo'!B$2:B$746,B385,'Base bordo'!F$2:F$746,"DESLOCAMENTO CARREGADO"),0)</f>
        <v>166427.58000000002</v>
      </c>
      <c r="U385" s="10">
        <f>IFERROR(SUMIFS('Base bordo'!I$2:I$746,'Base bordo'!C$2:C$746,A385,'Base bordo'!B$2:B$746,B385,'Base bordo'!F$2:F$746,"DESLOCAMENTO CARREGADO"),0)</f>
        <v>6321</v>
      </c>
      <c r="V385" s="30">
        <f t="shared" si="44"/>
        <v>26.329311817750359</v>
      </c>
      <c r="W385" s="9">
        <f t="shared" si="45"/>
        <v>4.0964126682343519E-2</v>
      </c>
      <c r="X385" s="9">
        <f t="shared" si="46"/>
        <v>7.9063891529494168E-2</v>
      </c>
      <c r="Y385" s="9">
        <f t="shared" si="47"/>
        <v>0.87997198178816227</v>
      </c>
    </row>
    <row r="386" spans="1:25" ht="15" customHeight="1" x14ac:dyDescent="0.35">
      <c r="A386" s="52">
        <v>8013473</v>
      </c>
      <c r="B386" s="51">
        <v>46124</v>
      </c>
      <c r="C386" s="7" t="s">
        <v>124</v>
      </c>
      <c r="D386" s="10">
        <f>IFERROR(SUMIFS('Base bordo'!G$2:G$746,'Base bordo'!C$2:C$746,A386,'Base bordo'!B$2:B$746,B386,'Base bordo'!F$2:F$746,"DESLOCAMENTO VAZIO"),0)</f>
        <v>3.3650000000000002</v>
      </c>
      <c r="E386" s="10">
        <f>IFERROR(SUMIFS('Base bordo'!G$2:G$746,'Base bordo'!C$2:C$746,A386,'Base bordo'!B$2:B$746,B386,'Base bordo'!F$2:F$746,"DESLOCAMENTO CARREGADO"),0)</f>
        <v>4.0566666666666666</v>
      </c>
      <c r="F386" s="10">
        <f>IFERROR(SUMIFS('Base bordo'!G$2:G$746,'Base bordo'!C$2:C$746,A386,'Base bordo'!B$2:B$746,B386,'Base bordo'!F$2:F$746,"DESLOCAMENTO"),0)</f>
        <v>0</v>
      </c>
      <c r="G386" s="10">
        <f>IFERROR(SUMIFS('Base bordo'!G$2:G$746,'Base bordo'!C$2:C$746,A386,'Base bordo'!B$2:B$746,B386,'Base bordo'!F$2:F$746,"CARREGAMENTO"),0)</f>
        <v>0</v>
      </c>
      <c r="H386" s="10">
        <f>IFERROR(SUMIFS('Base bordo'!G$2:G$746,'Base bordo'!C$2:C$746,A386,'Base bordo'!B$2:B$746,B386,'Base bordo'!F$2:F$746,"AGUARDANDO TRANSBORDO"),0)</f>
        <v>0.39333333333333331</v>
      </c>
      <c r="I386" s="10">
        <f>IFERROR(SUMIFS('Base bordo'!G$2:G$746,'Base bordo'!C$2:C$746,A386,'Base bordo'!B$2:B$746,B386,'Base bordo'!F$2:F$746,"PÁTIO INTERNO"),0)+IFERROR(SUMIFS('Base bordo'!G$2:G$746,'Base bordo'!C$2:C$746,A386,'Base bordo'!B$2:B$746,B386,'Base bordo'!F$2:F$746,"PÁTIO EXTERNO"),0)+IFERROR(SUMIFS('Base bordo'!G$2:G$746,'Base bordo'!C$2:C$746,A386,'Base bordo'!B$2:B$746,B386,'Base bordo'!F$2:F$746,"PATIO - RESERVA"),0)+IFERROR(SUMIFS('Base bordo'!G$2:G$746,'Base bordo'!C$2:C$746,A386,'Base bordo'!B$2:B$746,B386,'Base bordo'!F$2:F$746,"MANOBRA CARRETAS-PATIO"),0)</f>
        <v>4.1744444444444442</v>
      </c>
      <c r="J386" s="10">
        <f>IFERROR(SUMIFS('Base bordo'!G$2:G$746,'Base bordo'!C$2:C$746,A386,'Base bordo'!B$2:B$746,B386,'Base bordo'!F$2:F$746,"BALANÇA - ENTRADA"),0)+IFERROR(SUMIFS('Base bordo'!G$2:G$746,'Base bordo'!C$2:C$746,A386,'Base bordo'!B$2:B$746,B386,'Base bordo'!F$2:F$746,"BALANÇA - SAÍDA"),0)</f>
        <v>0.27249999999999996</v>
      </c>
      <c r="K386" s="10">
        <f>IFERROR(SUMIFS('Base bordo'!G$2:G$746,'Base bordo'!C$2:C$746,A386,'Base bordo'!B$2:B$746,B386,'Base bordo'!F$2:F$746,"MAN PREVENTIVA - MECANICA"),0)+IFERROR(SUMIFS('Base bordo'!G$2:G$746,'Base bordo'!C$2:C$746,A386,'Base bordo'!B$2:B$746,B386,'Base bordo'!F$2:F$746,"MAN CORRETIVA - MECANICA"),0)</f>
        <v>0</v>
      </c>
      <c r="L386" s="10">
        <f>IFERROR(SUMIFS('Base bordo'!G$2:G$746,'Base bordo'!C$2:C$746,A386,'Base bordo'!B$2:B$746,B386,'Base bordo'!F$2:F$746,"MANUTENCAO - T O"),0)+IFERROR(SUMIFS('Base bordo'!G$2:G$746,'Base bordo'!C$2:C$746,A386,'Base bordo'!B$2:B$746,B386,'Base bordo'!F$2:F$746,"MANUTENCAO BORRACHARIA"),0)+IFERROR(SUMIFS('Base bordo'!G$2:G$746,'Base bordo'!C$2:C$746,A386,'Base bordo'!B$2:B$746,B386,'Base bordo'!F$2:F$746,"MANUTENCAO EXTERNA  CONCESSIONARIA"),0)+IFERROR(SUMIFS('Base bordo'!G$2:G$746,'Base bordo'!C$2:C$746,A386,'Base bordo'!B$2:B$746,B386,'Base bordo'!F$2:F$746,"MANUTENCAO TELEMETRIA"),0)</f>
        <v>0</v>
      </c>
      <c r="M386" s="10">
        <f>IFERROR(SUMIFS('Base bordo'!G$2:G$746,'Base bordo'!C$2:C$746,A386,'Base bordo'!B$2:B$746,B386,'Base bordo'!F$2:F$746,"AGUARDANDO MANUTENCAO"),0)</f>
        <v>0</v>
      </c>
      <c r="N386" s="10">
        <f>IFERROR(SUMIFS('Base bordo'!G$2:G$746,'Base bordo'!C$2:C$746,A386,'Base bordo'!B$2:B$746,B386,'Base bordo'!F$2:F$746,"SEM APONTAMENTO"),0)</f>
        <v>0</v>
      </c>
      <c r="O386" s="10">
        <f t="shared" si="42"/>
        <v>0.26305555555555138</v>
      </c>
      <c r="P386" s="10">
        <f>IFERROR(SUMIFS('Base bordo'!G$2:G$746,'Base bordo'!C$2:C$746,A386,'Base bordo'!B$2:B$746,B386),0)</f>
        <v>12.524999999999997</v>
      </c>
      <c r="Q386" s="10">
        <f>IFERROR(SUMIFS('Base bordo'!H$2:H$746,'Base bordo'!C$2:C$746,A386,'Base bordo'!B$2:B$746,B386,'Base bordo'!F$2:F$746,"DESLOCAMENTO VAZIO"),0)</f>
        <v>427465.79</v>
      </c>
      <c r="R386" s="10">
        <f>IFERROR(SUMIFS('Base bordo'!I$2:I$746,'Base bordo'!C$2:C$746,A386,'Base bordo'!B$2:B$746,B386,'Base bordo'!F$2:F$746,"DESLOCAMENTO VAZIO"),0)</f>
        <v>12114</v>
      </c>
      <c r="S386" s="30">
        <f t="shared" si="43"/>
        <v>35.286923394419681</v>
      </c>
      <c r="T386" s="10">
        <f>IFERROR(SUMIFS('Base bordo'!H$2:H$746,'Base bordo'!C$2:C$746,A386,'Base bordo'!B$2:B$746,B386,'Base bordo'!F$2:F$746,"DESLOCAMENTO CARREGADO"),0)</f>
        <v>388337.10000000003</v>
      </c>
      <c r="U386" s="10">
        <f>IFERROR(SUMIFS('Base bordo'!I$2:I$746,'Base bordo'!C$2:C$746,A386,'Base bordo'!B$2:B$746,B386,'Base bordo'!F$2:F$746,"DESLOCAMENTO CARREGADO"),0)</f>
        <v>14604</v>
      </c>
      <c r="V386" s="30">
        <f t="shared" si="44"/>
        <v>26.591146261298277</v>
      </c>
      <c r="W386" s="9">
        <f t="shared" si="45"/>
        <v>0.26866267465069871</v>
      </c>
      <c r="X386" s="9">
        <f t="shared" si="46"/>
        <v>0.32388556220891557</v>
      </c>
      <c r="Y386" s="9">
        <f t="shared" si="47"/>
        <v>0.40745176314038578</v>
      </c>
    </row>
    <row r="387" spans="1:25" ht="15" customHeight="1" x14ac:dyDescent="0.35">
      <c r="A387" s="52">
        <v>8013473</v>
      </c>
      <c r="B387" s="51">
        <v>46124</v>
      </c>
      <c r="C387" s="7" t="s">
        <v>124</v>
      </c>
      <c r="D387" s="10">
        <f>IFERROR(SUMIFS('Base bordo'!G$2:G$746,'Base bordo'!C$2:C$746,A387,'Base bordo'!B$2:B$746,B387,'Base bordo'!F$2:F$746,"DESLOCAMENTO VAZIO"),0)</f>
        <v>3.3650000000000002</v>
      </c>
      <c r="E387" s="10">
        <f>IFERROR(SUMIFS('Base bordo'!G$2:G$746,'Base bordo'!C$2:C$746,A387,'Base bordo'!B$2:B$746,B387,'Base bordo'!F$2:F$746,"DESLOCAMENTO CARREGADO"),0)</f>
        <v>4.0566666666666666</v>
      </c>
      <c r="F387" s="10">
        <f>IFERROR(SUMIFS('Base bordo'!G$2:G$746,'Base bordo'!C$2:C$746,A387,'Base bordo'!B$2:B$746,B387,'Base bordo'!F$2:F$746,"DESLOCAMENTO"),0)</f>
        <v>0</v>
      </c>
      <c r="G387" s="10">
        <f>IFERROR(SUMIFS('Base bordo'!G$2:G$746,'Base bordo'!C$2:C$746,A387,'Base bordo'!B$2:B$746,B387,'Base bordo'!F$2:F$746,"CARREGAMENTO"),0)</f>
        <v>0</v>
      </c>
      <c r="H387" s="10">
        <f>IFERROR(SUMIFS('Base bordo'!G$2:G$746,'Base bordo'!C$2:C$746,A387,'Base bordo'!B$2:B$746,B387,'Base bordo'!F$2:F$746,"AGUARDANDO TRANSBORDO"),0)</f>
        <v>0.39333333333333331</v>
      </c>
      <c r="I387" s="10">
        <f>IFERROR(SUMIFS('Base bordo'!G$2:G$746,'Base bordo'!C$2:C$746,A387,'Base bordo'!B$2:B$746,B387,'Base bordo'!F$2:F$746,"PÁTIO INTERNO"),0)+IFERROR(SUMIFS('Base bordo'!G$2:G$746,'Base bordo'!C$2:C$746,A387,'Base bordo'!B$2:B$746,B387,'Base bordo'!F$2:F$746,"PÁTIO EXTERNO"),0)+IFERROR(SUMIFS('Base bordo'!G$2:G$746,'Base bordo'!C$2:C$746,A387,'Base bordo'!B$2:B$746,B387,'Base bordo'!F$2:F$746,"PATIO - RESERVA"),0)+IFERROR(SUMIFS('Base bordo'!G$2:G$746,'Base bordo'!C$2:C$746,A387,'Base bordo'!B$2:B$746,B387,'Base bordo'!F$2:F$746,"MANOBRA CARRETAS-PATIO"),0)</f>
        <v>4.1744444444444442</v>
      </c>
      <c r="J387" s="10">
        <f>IFERROR(SUMIFS('Base bordo'!G$2:G$746,'Base bordo'!C$2:C$746,A387,'Base bordo'!B$2:B$746,B387,'Base bordo'!F$2:F$746,"BALANÇA - ENTRADA"),0)+IFERROR(SUMIFS('Base bordo'!G$2:G$746,'Base bordo'!C$2:C$746,A387,'Base bordo'!B$2:B$746,B387,'Base bordo'!F$2:F$746,"BALANÇA - SAÍDA"),0)</f>
        <v>0.27249999999999996</v>
      </c>
      <c r="K387" s="10">
        <f>IFERROR(SUMIFS('Base bordo'!G$2:G$746,'Base bordo'!C$2:C$746,A387,'Base bordo'!B$2:B$746,B387,'Base bordo'!F$2:F$746,"MAN PREVENTIVA - MECANICA"),0)+IFERROR(SUMIFS('Base bordo'!G$2:G$746,'Base bordo'!C$2:C$746,A387,'Base bordo'!B$2:B$746,B387,'Base bordo'!F$2:F$746,"MAN CORRETIVA - MECANICA"),0)</f>
        <v>0</v>
      </c>
      <c r="L387" s="10">
        <f>IFERROR(SUMIFS('Base bordo'!G$2:G$746,'Base bordo'!C$2:C$746,A387,'Base bordo'!B$2:B$746,B387,'Base bordo'!F$2:F$746,"MANUTENCAO - T O"),0)+IFERROR(SUMIFS('Base bordo'!G$2:G$746,'Base bordo'!C$2:C$746,A387,'Base bordo'!B$2:B$746,B387,'Base bordo'!F$2:F$746,"MANUTENCAO BORRACHARIA"),0)+IFERROR(SUMIFS('Base bordo'!G$2:G$746,'Base bordo'!C$2:C$746,A387,'Base bordo'!B$2:B$746,B387,'Base bordo'!F$2:F$746,"MANUTENCAO EXTERNA  CONCESSIONARIA"),0)+IFERROR(SUMIFS('Base bordo'!G$2:G$746,'Base bordo'!C$2:C$746,A387,'Base bordo'!B$2:B$746,B387,'Base bordo'!F$2:F$746,"MANUTENCAO TELEMETRIA"),0)</f>
        <v>0</v>
      </c>
      <c r="M387" s="10">
        <f>IFERROR(SUMIFS('Base bordo'!G$2:G$746,'Base bordo'!C$2:C$746,A387,'Base bordo'!B$2:B$746,B387,'Base bordo'!F$2:F$746,"AGUARDANDO MANUTENCAO"),0)</f>
        <v>0</v>
      </c>
      <c r="N387" s="10">
        <f>IFERROR(SUMIFS('Base bordo'!G$2:G$746,'Base bordo'!C$2:C$746,A387,'Base bordo'!B$2:B$746,B387,'Base bordo'!F$2:F$746,"SEM APONTAMENTO"),0)</f>
        <v>0</v>
      </c>
      <c r="O387" s="10">
        <f t="shared" si="42"/>
        <v>0.26305555555555138</v>
      </c>
      <c r="P387" s="10">
        <f>IFERROR(SUMIFS('Base bordo'!G$2:G$746,'Base bordo'!C$2:C$746,A387,'Base bordo'!B$2:B$746,B387),0)</f>
        <v>12.524999999999997</v>
      </c>
      <c r="Q387" s="10">
        <f>IFERROR(SUMIFS('Base bordo'!H$2:H$746,'Base bordo'!C$2:C$746,A387,'Base bordo'!B$2:B$746,B387,'Base bordo'!F$2:F$746,"DESLOCAMENTO VAZIO"),0)</f>
        <v>427465.79</v>
      </c>
      <c r="R387" s="10">
        <f>IFERROR(SUMIFS('Base bordo'!I$2:I$746,'Base bordo'!C$2:C$746,A387,'Base bordo'!B$2:B$746,B387,'Base bordo'!F$2:F$746,"DESLOCAMENTO VAZIO"),0)</f>
        <v>12114</v>
      </c>
      <c r="S387" s="30">
        <f t="shared" si="43"/>
        <v>35.286923394419681</v>
      </c>
      <c r="T387" s="10">
        <f>IFERROR(SUMIFS('Base bordo'!H$2:H$746,'Base bordo'!C$2:C$746,A387,'Base bordo'!B$2:B$746,B387,'Base bordo'!F$2:F$746,"DESLOCAMENTO CARREGADO"),0)</f>
        <v>388337.10000000003</v>
      </c>
      <c r="U387" s="10">
        <f>IFERROR(SUMIFS('Base bordo'!I$2:I$746,'Base bordo'!C$2:C$746,A387,'Base bordo'!B$2:B$746,B387,'Base bordo'!F$2:F$746,"DESLOCAMENTO CARREGADO"),0)</f>
        <v>14604</v>
      </c>
      <c r="V387" s="30">
        <f t="shared" si="44"/>
        <v>26.591146261298277</v>
      </c>
      <c r="W387" s="9">
        <f t="shared" si="45"/>
        <v>0.26866267465069871</v>
      </c>
      <c r="X387" s="9">
        <f t="shared" si="46"/>
        <v>0.32388556220891557</v>
      </c>
      <c r="Y387" s="9">
        <f t="shared" si="47"/>
        <v>0.40745176314038578</v>
      </c>
    </row>
    <row r="388" spans="1:25" ht="15" customHeight="1" x14ac:dyDescent="0.35">
      <c r="A388" s="52">
        <v>8013486</v>
      </c>
      <c r="B388" s="51">
        <v>46119</v>
      </c>
      <c r="C388" s="7" t="s">
        <v>124</v>
      </c>
      <c r="D388" s="10">
        <f>IFERROR(SUMIFS('Base bordo'!G$2:G$746,'Base bordo'!C$2:C$746,A388,'Base bordo'!B$2:B$746,B388,'Base bordo'!F$2:F$746,"DESLOCAMENTO VAZIO"),0)</f>
        <v>0.33</v>
      </c>
      <c r="E388" s="10">
        <f>IFERROR(SUMIFS('Base bordo'!G$2:G$746,'Base bordo'!C$2:C$746,A388,'Base bordo'!B$2:B$746,B388,'Base bordo'!F$2:F$746,"DESLOCAMENTO CARREGADO"),0)</f>
        <v>0</v>
      </c>
      <c r="F388" s="10">
        <f>IFERROR(SUMIFS('Base bordo'!G$2:G$746,'Base bordo'!C$2:C$746,A388,'Base bordo'!B$2:B$746,B388,'Base bordo'!F$2:F$746,"DESLOCAMENTO"),0)</f>
        <v>0</v>
      </c>
      <c r="G388" s="10">
        <f>IFERROR(SUMIFS('Base bordo'!G$2:G$746,'Base bordo'!C$2:C$746,A388,'Base bordo'!B$2:B$746,B388,'Base bordo'!F$2:F$746,"CARREGAMENTO"),0)</f>
        <v>0</v>
      </c>
      <c r="H388" s="10">
        <f>IFERROR(SUMIFS('Base bordo'!G$2:G$746,'Base bordo'!C$2:C$746,A388,'Base bordo'!B$2:B$746,B388,'Base bordo'!F$2:F$746,"AGUARDANDO TRANSBORDO"),0)</f>
        <v>8.666666666666667E-2</v>
      </c>
      <c r="I388" s="10">
        <f>IFERROR(SUMIFS('Base bordo'!G$2:G$746,'Base bordo'!C$2:C$746,A388,'Base bordo'!B$2:B$746,B388,'Base bordo'!F$2:F$746,"PÁTIO INTERNO"),0)+IFERROR(SUMIFS('Base bordo'!G$2:G$746,'Base bordo'!C$2:C$746,A388,'Base bordo'!B$2:B$746,B388,'Base bordo'!F$2:F$746,"PÁTIO EXTERNO"),0)+IFERROR(SUMIFS('Base bordo'!G$2:G$746,'Base bordo'!C$2:C$746,A388,'Base bordo'!B$2:B$746,B388,'Base bordo'!F$2:F$746,"PATIO - RESERVA"),0)+IFERROR(SUMIFS('Base bordo'!G$2:G$746,'Base bordo'!C$2:C$746,A388,'Base bordo'!B$2:B$746,B388,'Base bordo'!F$2:F$746,"MANOBRA CARRETAS-PATIO"),0)</f>
        <v>12.1875</v>
      </c>
      <c r="J388" s="10">
        <f>IFERROR(SUMIFS('Base bordo'!G$2:G$746,'Base bordo'!C$2:C$746,A388,'Base bordo'!B$2:B$746,B388,'Base bordo'!F$2:F$746,"BALANÇA - ENTRADA"),0)+IFERROR(SUMIFS('Base bordo'!G$2:G$746,'Base bordo'!C$2:C$746,A388,'Base bordo'!B$2:B$746,B388,'Base bordo'!F$2:F$746,"BALANÇA - SAÍDA"),0)</f>
        <v>1.0555555555555556E-2</v>
      </c>
      <c r="K388" s="10">
        <f>IFERROR(SUMIFS('Base bordo'!G$2:G$746,'Base bordo'!C$2:C$746,A388,'Base bordo'!B$2:B$746,B388,'Base bordo'!F$2:F$746,"MAN PREVENTIVA - MECANICA"),0)+IFERROR(SUMIFS('Base bordo'!G$2:G$746,'Base bordo'!C$2:C$746,A388,'Base bordo'!B$2:B$746,B388,'Base bordo'!F$2:F$746,"MAN CORRETIVA - MECANICA"),0)</f>
        <v>0</v>
      </c>
      <c r="L388" s="10">
        <f>IFERROR(SUMIFS('Base bordo'!G$2:G$746,'Base bordo'!C$2:C$746,A388,'Base bordo'!B$2:B$746,B388,'Base bordo'!F$2:F$746,"MANUTENCAO - T O"),0)+IFERROR(SUMIFS('Base bordo'!G$2:G$746,'Base bordo'!C$2:C$746,A388,'Base bordo'!B$2:B$746,B388,'Base bordo'!F$2:F$746,"MANUTENCAO BORRACHARIA"),0)+IFERROR(SUMIFS('Base bordo'!G$2:G$746,'Base bordo'!C$2:C$746,A388,'Base bordo'!B$2:B$746,B388,'Base bordo'!F$2:F$746,"MANUTENCAO EXTERNA  CONCESSIONARIA"),0)+IFERROR(SUMIFS('Base bordo'!G$2:G$746,'Base bordo'!C$2:C$746,A388,'Base bordo'!B$2:B$746,B388,'Base bordo'!F$2:F$746,"MANUTENCAO TELEMETRIA"),0)</f>
        <v>0</v>
      </c>
      <c r="M388" s="10">
        <f>IFERROR(SUMIFS('Base bordo'!G$2:G$746,'Base bordo'!C$2:C$746,A388,'Base bordo'!B$2:B$746,B388,'Base bordo'!F$2:F$746,"AGUARDANDO MANUTENCAO"),0)</f>
        <v>0</v>
      </c>
      <c r="N388" s="10">
        <f>IFERROR(SUMIFS('Base bordo'!G$2:G$746,'Base bordo'!C$2:C$746,A388,'Base bordo'!B$2:B$746,B388,'Base bordo'!F$2:F$746,"SEM APONTAMENTO"),0)</f>
        <v>0</v>
      </c>
      <c r="O388" s="10">
        <f t="shared" si="42"/>
        <v>0</v>
      </c>
      <c r="P388" s="10">
        <f>IFERROR(SUMIFS('Base bordo'!G$2:G$746,'Base bordo'!C$2:C$746,A388,'Base bordo'!B$2:B$746,B388),0)</f>
        <v>12.614722222222222</v>
      </c>
      <c r="Q388" s="10">
        <f>IFERROR(SUMIFS('Base bordo'!H$2:H$746,'Base bordo'!C$2:C$746,A388,'Base bordo'!B$2:B$746,B388,'Base bordo'!F$2:F$746,"DESLOCAMENTO VAZIO"),0)</f>
        <v>7895.41</v>
      </c>
      <c r="R388" s="10">
        <f>IFERROR(SUMIFS('Base bordo'!I$2:I$746,'Base bordo'!C$2:C$746,A388,'Base bordo'!B$2:B$746,B388,'Base bordo'!F$2:F$746,"DESLOCAMENTO VAZIO"),0)</f>
        <v>1188</v>
      </c>
      <c r="S388" s="30">
        <f t="shared" si="43"/>
        <v>6.6459680134680132</v>
      </c>
      <c r="T388" s="10">
        <f>IFERROR(SUMIFS('Base bordo'!H$2:H$746,'Base bordo'!C$2:C$746,A388,'Base bordo'!B$2:B$746,B388,'Base bordo'!F$2:F$746,"DESLOCAMENTO CARREGADO"),0)</f>
        <v>0</v>
      </c>
      <c r="U388" s="10">
        <f>IFERROR(SUMIFS('Base bordo'!I$2:I$746,'Base bordo'!C$2:C$746,A388,'Base bordo'!B$2:B$746,B388,'Base bordo'!F$2:F$746,"DESLOCAMENTO CARREGADO"),0)</f>
        <v>0</v>
      </c>
      <c r="V388" s="30" t="str">
        <f t="shared" si="44"/>
        <v/>
      </c>
      <c r="W388" s="9">
        <f t="shared" si="45"/>
        <v>2.6159910157884308E-2</v>
      </c>
      <c r="X388" s="9">
        <f t="shared" si="46"/>
        <v>0</v>
      </c>
      <c r="Y388" s="9">
        <f t="shared" si="47"/>
        <v>0.97384008984211567</v>
      </c>
    </row>
    <row r="389" spans="1:25" ht="15" customHeight="1" x14ac:dyDescent="0.35">
      <c r="A389" s="52">
        <v>8013481</v>
      </c>
      <c r="B389" s="51">
        <v>46123</v>
      </c>
      <c r="C389" s="7" t="s">
        <v>124</v>
      </c>
      <c r="D389" s="10">
        <f>IFERROR(SUMIFS('Base bordo'!G$2:G$746,'Base bordo'!C$2:C$746,A389,'Base bordo'!B$2:B$746,B389,'Base bordo'!F$2:F$746,"DESLOCAMENTO VAZIO"),0)</f>
        <v>0.49583333333333335</v>
      </c>
      <c r="E389" s="10">
        <f>IFERROR(SUMIFS('Base bordo'!G$2:G$746,'Base bordo'!C$2:C$746,A389,'Base bordo'!B$2:B$746,B389,'Base bordo'!F$2:F$746,"DESLOCAMENTO CARREGADO"),0)</f>
        <v>0.5872222222222222</v>
      </c>
      <c r="F389" s="10">
        <f>IFERROR(SUMIFS('Base bordo'!G$2:G$746,'Base bordo'!C$2:C$746,A389,'Base bordo'!B$2:B$746,B389,'Base bordo'!F$2:F$746,"DESLOCAMENTO"),0)</f>
        <v>0</v>
      </c>
      <c r="G389" s="10">
        <f>IFERROR(SUMIFS('Base bordo'!G$2:G$746,'Base bordo'!C$2:C$746,A389,'Base bordo'!B$2:B$746,B389,'Base bordo'!F$2:F$746,"CARREGAMENTO"),0)</f>
        <v>0</v>
      </c>
      <c r="H389" s="10">
        <f>IFERROR(SUMIFS('Base bordo'!G$2:G$746,'Base bordo'!C$2:C$746,A389,'Base bordo'!B$2:B$746,B389,'Base bordo'!F$2:F$746,"AGUARDANDO TRANSBORDO"),0)</f>
        <v>0.16916666666666666</v>
      </c>
      <c r="I389" s="10">
        <f>IFERROR(SUMIFS('Base bordo'!G$2:G$746,'Base bordo'!C$2:C$746,A389,'Base bordo'!B$2:B$746,B389,'Base bordo'!F$2:F$746,"PÁTIO INTERNO"),0)+IFERROR(SUMIFS('Base bordo'!G$2:G$746,'Base bordo'!C$2:C$746,A389,'Base bordo'!B$2:B$746,B389,'Base bordo'!F$2:F$746,"PÁTIO EXTERNO"),0)+IFERROR(SUMIFS('Base bordo'!G$2:G$746,'Base bordo'!C$2:C$746,A389,'Base bordo'!B$2:B$746,B389,'Base bordo'!F$2:F$746,"PATIO - RESERVA"),0)+IFERROR(SUMIFS('Base bordo'!G$2:G$746,'Base bordo'!C$2:C$746,A389,'Base bordo'!B$2:B$746,B389,'Base bordo'!F$2:F$746,"MANOBRA CARRETAS-PATIO"),0)</f>
        <v>2.4105555555555553</v>
      </c>
      <c r="J389" s="10">
        <f>IFERROR(SUMIFS('Base bordo'!G$2:G$746,'Base bordo'!C$2:C$746,A389,'Base bordo'!B$2:B$746,B389,'Base bordo'!F$2:F$746,"BALANÇA - ENTRADA"),0)+IFERROR(SUMIFS('Base bordo'!G$2:G$746,'Base bordo'!C$2:C$746,A389,'Base bordo'!B$2:B$746,B389,'Base bordo'!F$2:F$746,"BALANÇA - SAÍDA"),0)</f>
        <v>0</v>
      </c>
      <c r="K389" s="10">
        <f>IFERROR(SUMIFS('Base bordo'!G$2:G$746,'Base bordo'!C$2:C$746,A389,'Base bordo'!B$2:B$746,B389,'Base bordo'!F$2:F$746,"MAN PREVENTIVA - MECANICA"),0)+IFERROR(SUMIFS('Base bordo'!G$2:G$746,'Base bordo'!C$2:C$746,A389,'Base bordo'!B$2:B$746,B389,'Base bordo'!F$2:F$746,"MAN CORRETIVA - MECANICA"),0)</f>
        <v>0</v>
      </c>
      <c r="L389" s="10">
        <f>IFERROR(SUMIFS('Base bordo'!G$2:G$746,'Base bordo'!C$2:C$746,A389,'Base bordo'!B$2:B$746,B389,'Base bordo'!F$2:F$746,"MANUTENCAO - T O"),0)+IFERROR(SUMIFS('Base bordo'!G$2:G$746,'Base bordo'!C$2:C$746,A389,'Base bordo'!B$2:B$746,B389,'Base bordo'!F$2:F$746,"MANUTENCAO BORRACHARIA"),0)+IFERROR(SUMIFS('Base bordo'!G$2:G$746,'Base bordo'!C$2:C$746,A389,'Base bordo'!B$2:B$746,B389,'Base bordo'!F$2:F$746,"MANUTENCAO EXTERNA  CONCESSIONARIA"),0)+IFERROR(SUMIFS('Base bordo'!G$2:G$746,'Base bordo'!C$2:C$746,A389,'Base bordo'!B$2:B$746,B389,'Base bordo'!F$2:F$746,"MANUTENCAO TELEMETRIA"),0)</f>
        <v>0</v>
      </c>
      <c r="M389" s="10">
        <f>IFERROR(SUMIFS('Base bordo'!G$2:G$746,'Base bordo'!C$2:C$746,A389,'Base bordo'!B$2:B$746,B389,'Base bordo'!F$2:F$746,"AGUARDANDO MANUTENCAO"),0)</f>
        <v>0</v>
      </c>
      <c r="N389" s="10">
        <f>IFERROR(SUMIFS('Base bordo'!G$2:G$746,'Base bordo'!C$2:C$746,A389,'Base bordo'!B$2:B$746,B389,'Base bordo'!F$2:F$746,"SEM APONTAMENTO"),0)</f>
        <v>0</v>
      </c>
      <c r="O389" s="10">
        <f t="shared" si="42"/>
        <v>5.833333333333357E-3</v>
      </c>
      <c r="P389" s="10">
        <f>IFERROR(SUMIFS('Base bordo'!G$2:G$746,'Base bordo'!C$2:C$746,A389,'Base bordo'!B$2:B$746,B389),0)</f>
        <v>3.6686111111111108</v>
      </c>
      <c r="Q389" s="10">
        <f>IFERROR(SUMIFS('Base bordo'!H$2:H$746,'Base bordo'!C$2:C$746,A389,'Base bordo'!B$2:B$746,B389,'Base bordo'!F$2:F$746,"DESLOCAMENTO VAZIO"),0)</f>
        <v>49686.55</v>
      </c>
      <c r="R389" s="10">
        <f>IFERROR(SUMIFS('Base bordo'!I$2:I$746,'Base bordo'!C$2:C$746,A389,'Base bordo'!B$2:B$746,B389,'Base bordo'!F$2:F$746,"DESLOCAMENTO VAZIO"),0)</f>
        <v>1785</v>
      </c>
      <c r="S389" s="30">
        <f t="shared" si="43"/>
        <v>27.83560224089636</v>
      </c>
      <c r="T389" s="10">
        <f>IFERROR(SUMIFS('Base bordo'!H$2:H$746,'Base bordo'!C$2:C$746,A389,'Base bordo'!B$2:B$746,B389,'Base bordo'!F$2:F$746,"DESLOCAMENTO CARREGADO"),0)</f>
        <v>40544.140000000007</v>
      </c>
      <c r="U389" s="10">
        <f>IFERROR(SUMIFS('Base bordo'!I$2:I$746,'Base bordo'!C$2:C$746,A389,'Base bordo'!B$2:B$746,B389,'Base bordo'!F$2:F$746,"DESLOCAMENTO CARREGADO"),0)</f>
        <v>2114</v>
      </c>
      <c r="V389" s="30">
        <f t="shared" si="44"/>
        <v>19.178874172185434</v>
      </c>
      <c r="W389" s="9">
        <f t="shared" si="45"/>
        <v>0.13515559930339974</v>
      </c>
      <c r="X389" s="9">
        <f t="shared" si="46"/>
        <v>0.16006663133186946</v>
      </c>
      <c r="Y389" s="9">
        <f t="shared" si="47"/>
        <v>0.7047777693647308</v>
      </c>
    </row>
    <row r="390" spans="1:25" ht="15" customHeight="1" x14ac:dyDescent="0.35">
      <c r="A390" s="52">
        <v>8013483</v>
      </c>
      <c r="B390" s="51">
        <v>46124</v>
      </c>
      <c r="C390" s="7" t="s">
        <v>124</v>
      </c>
      <c r="D390" s="10">
        <f>IFERROR(SUMIFS('Base bordo'!G$2:G$746,'Base bordo'!C$2:C$746,A390,'Base bordo'!B$2:B$746,B390,'Base bordo'!F$2:F$746,"DESLOCAMENTO VAZIO"),0)</f>
        <v>3.0661111111111112</v>
      </c>
      <c r="E390" s="10">
        <f>IFERROR(SUMIFS('Base bordo'!G$2:G$746,'Base bordo'!C$2:C$746,A390,'Base bordo'!B$2:B$746,B390,'Base bordo'!F$2:F$746,"DESLOCAMENTO CARREGADO"),0)</f>
        <v>5.7730555555555556</v>
      </c>
      <c r="F390" s="10">
        <f>IFERROR(SUMIFS('Base bordo'!G$2:G$746,'Base bordo'!C$2:C$746,A390,'Base bordo'!B$2:B$746,B390,'Base bordo'!F$2:F$746,"DESLOCAMENTO"),0)</f>
        <v>0</v>
      </c>
      <c r="G390" s="10">
        <f>IFERROR(SUMIFS('Base bordo'!G$2:G$746,'Base bordo'!C$2:C$746,A390,'Base bordo'!B$2:B$746,B390,'Base bordo'!F$2:F$746,"CARREGAMENTO"),0)</f>
        <v>0</v>
      </c>
      <c r="H390" s="10">
        <f>IFERROR(SUMIFS('Base bordo'!G$2:G$746,'Base bordo'!C$2:C$746,A390,'Base bordo'!B$2:B$746,B390,'Base bordo'!F$2:F$746,"AGUARDANDO TRANSBORDO"),0)</f>
        <v>0.55083333333333329</v>
      </c>
      <c r="I390" s="10">
        <f>IFERROR(SUMIFS('Base bordo'!G$2:G$746,'Base bordo'!C$2:C$746,A390,'Base bordo'!B$2:B$746,B390,'Base bordo'!F$2:F$746,"PÁTIO INTERNO"),0)+IFERROR(SUMIFS('Base bordo'!G$2:G$746,'Base bordo'!C$2:C$746,A390,'Base bordo'!B$2:B$746,B390,'Base bordo'!F$2:F$746,"PÁTIO EXTERNO"),0)+IFERROR(SUMIFS('Base bordo'!G$2:G$746,'Base bordo'!C$2:C$746,A390,'Base bordo'!B$2:B$746,B390,'Base bordo'!F$2:F$746,"PATIO - RESERVA"),0)+IFERROR(SUMIFS('Base bordo'!G$2:G$746,'Base bordo'!C$2:C$746,A390,'Base bordo'!B$2:B$746,B390,'Base bordo'!F$2:F$746,"MANOBRA CARRETAS-PATIO"),0)</f>
        <v>6.1611111111111114</v>
      </c>
      <c r="J390" s="10">
        <f>IFERROR(SUMIFS('Base bordo'!G$2:G$746,'Base bordo'!C$2:C$746,A390,'Base bordo'!B$2:B$746,B390,'Base bordo'!F$2:F$746,"BALANÇA - ENTRADA"),0)+IFERROR(SUMIFS('Base bordo'!G$2:G$746,'Base bordo'!C$2:C$746,A390,'Base bordo'!B$2:B$746,B390,'Base bordo'!F$2:F$746,"BALANÇA - SAÍDA"),0)</f>
        <v>0.17694444444444446</v>
      </c>
      <c r="K390" s="10">
        <f>IFERROR(SUMIFS('Base bordo'!G$2:G$746,'Base bordo'!C$2:C$746,A390,'Base bordo'!B$2:B$746,B390,'Base bordo'!F$2:F$746,"MAN PREVENTIVA - MECANICA"),0)+IFERROR(SUMIFS('Base bordo'!G$2:G$746,'Base bordo'!C$2:C$746,A390,'Base bordo'!B$2:B$746,B390,'Base bordo'!F$2:F$746,"MAN CORRETIVA - MECANICA"),0)</f>
        <v>0</v>
      </c>
      <c r="L390" s="10">
        <f>IFERROR(SUMIFS('Base bordo'!G$2:G$746,'Base bordo'!C$2:C$746,A390,'Base bordo'!B$2:B$746,B390,'Base bordo'!F$2:F$746,"MANUTENCAO - T O"),0)+IFERROR(SUMIFS('Base bordo'!G$2:G$746,'Base bordo'!C$2:C$746,A390,'Base bordo'!B$2:B$746,B390,'Base bordo'!F$2:F$746,"MANUTENCAO BORRACHARIA"),0)+IFERROR(SUMIFS('Base bordo'!G$2:G$746,'Base bordo'!C$2:C$746,A390,'Base bordo'!B$2:B$746,B390,'Base bordo'!F$2:F$746,"MANUTENCAO EXTERNA  CONCESSIONARIA"),0)+IFERROR(SUMIFS('Base bordo'!G$2:G$746,'Base bordo'!C$2:C$746,A390,'Base bordo'!B$2:B$746,B390,'Base bordo'!F$2:F$746,"MANUTENCAO TELEMETRIA"),0)</f>
        <v>0</v>
      </c>
      <c r="M390" s="10">
        <f>IFERROR(SUMIFS('Base bordo'!G$2:G$746,'Base bordo'!C$2:C$746,A390,'Base bordo'!B$2:B$746,B390,'Base bordo'!F$2:F$746,"AGUARDANDO MANUTENCAO"),0)</f>
        <v>0</v>
      </c>
      <c r="N390" s="10">
        <f>IFERROR(SUMIFS('Base bordo'!G$2:G$746,'Base bordo'!C$2:C$746,A390,'Base bordo'!B$2:B$746,B390,'Base bordo'!F$2:F$746,"SEM APONTAMENTO"),0)</f>
        <v>0</v>
      </c>
      <c r="O390" s="10">
        <f t="shared" si="42"/>
        <v>-1.7763568394002505E-15</v>
      </c>
      <c r="P390" s="10">
        <f>IFERROR(SUMIFS('Base bordo'!G$2:G$746,'Base bordo'!C$2:C$746,A390,'Base bordo'!B$2:B$746,B390),0)</f>
        <v>15.728055555555555</v>
      </c>
      <c r="Q390" s="10">
        <f>IFERROR(SUMIFS('Base bordo'!H$2:H$746,'Base bordo'!C$2:C$746,A390,'Base bordo'!B$2:B$746,B390,'Base bordo'!F$2:F$746,"DESLOCAMENTO VAZIO"),0)</f>
        <v>357738.43000000005</v>
      </c>
      <c r="R390" s="10">
        <f>IFERROR(SUMIFS('Base bordo'!I$2:I$746,'Base bordo'!C$2:C$746,A390,'Base bordo'!B$2:B$746,B390,'Base bordo'!F$2:F$746,"DESLOCAMENTO VAZIO"),0)</f>
        <v>11038</v>
      </c>
      <c r="S390" s="30">
        <f t="shared" si="43"/>
        <v>32.409714622214175</v>
      </c>
      <c r="T390" s="10">
        <f>IFERROR(SUMIFS('Base bordo'!H$2:H$746,'Base bordo'!C$2:C$746,A390,'Base bordo'!B$2:B$746,B390,'Base bordo'!F$2:F$746,"DESLOCAMENTO CARREGADO"),0)</f>
        <v>519150.98000000004</v>
      </c>
      <c r="U390" s="10">
        <f>IFERROR(SUMIFS('Base bordo'!I$2:I$746,'Base bordo'!C$2:C$746,A390,'Base bordo'!B$2:B$746,B390,'Base bordo'!F$2:F$746,"DESLOCAMENTO CARREGADO"),0)</f>
        <v>20783</v>
      </c>
      <c r="V390" s="30">
        <f t="shared" si="44"/>
        <v>24.979597748159556</v>
      </c>
      <c r="W390" s="9">
        <f t="shared" si="45"/>
        <v>0.19494533830204344</v>
      </c>
      <c r="X390" s="9">
        <f t="shared" si="46"/>
        <v>0.36705462637537312</v>
      </c>
      <c r="Y390" s="9">
        <f t="shared" si="47"/>
        <v>0.43800003532258347</v>
      </c>
    </row>
    <row r="391" spans="1:25" ht="15" customHeight="1" x14ac:dyDescent="0.35">
      <c r="A391" s="52">
        <v>8013476</v>
      </c>
      <c r="B391" s="51">
        <v>46118</v>
      </c>
      <c r="C391" s="7" t="s">
        <v>124</v>
      </c>
      <c r="D391" s="10">
        <f>IFERROR(SUMIFS('Base bordo'!G$2:G$746,'Base bordo'!C$2:C$746,A391,'Base bordo'!B$2:B$746,B391,'Base bordo'!F$2:F$746,"DESLOCAMENTO VAZIO"),0)</f>
        <v>0.76361111111111113</v>
      </c>
      <c r="E391" s="10">
        <f>IFERROR(SUMIFS('Base bordo'!G$2:G$746,'Base bordo'!C$2:C$746,A391,'Base bordo'!B$2:B$746,B391,'Base bordo'!F$2:F$746,"DESLOCAMENTO CARREGADO"),0)</f>
        <v>0.6594444444444445</v>
      </c>
      <c r="F391" s="10">
        <f>IFERROR(SUMIFS('Base bordo'!G$2:G$746,'Base bordo'!C$2:C$746,A391,'Base bordo'!B$2:B$746,B391,'Base bordo'!F$2:F$746,"DESLOCAMENTO"),0)</f>
        <v>0</v>
      </c>
      <c r="G391" s="10">
        <f>IFERROR(SUMIFS('Base bordo'!G$2:G$746,'Base bordo'!C$2:C$746,A391,'Base bordo'!B$2:B$746,B391,'Base bordo'!F$2:F$746,"CARREGAMENTO"),0)</f>
        <v>0</v>
      </c>
      <c r="H391" s="10">
        <f>IFERROR(SUMIFS('Base bordo'!G$2:G$746,'Base bordo'!C$2:C$746,A391,'Base bordo'!B$2:B$746,B391,'Base bordo'!F$2:F$746,"AGUARDANDO TRANSBORDO"),0)</f>
        <v>1.1111111111111112</v>
      </c>
      <c r="I391" s="10">
        <f>IFERROR(SUMIFS('Base bordo'!G$2:G$746,'Base bordo'!C$2:C$746,A391,'Base bordo'!B$2:B$746,B391,'Base bordo'!F$2:F$746,"PÁTIO INTERNO"),0)+IFERROR(SUMIFS('Base bordo'!G$2:G$746,'Base bordo'!C$2:C$746,A391,'Base bordo'!B$2:B$746,B391,'Base bordo'!F$2:F$746,"PÁTIO EXTERNO"),0)+IFERROR(SUMIFS('Base bordo'!G$2:G$746,'Base bordo'!C$2:C$746,A391,'Base bordo'!B$2:B$746,B391,'Base bordo'!F$2:F$746,"PATIO - RESERVA"),0)+IFERROR(SUMIFS('Base bordo'!G$2:G$746,'Base bordo'!C$2:C$746,A391,'Base bordo'!B$2:B$746,B391,'Base bordo'!F$2:F$746,"MANOBRA CARRETAS-PATIO"),0)</f>
        <v>5.693888888888889</v>
      </c>
      <c r="J391" s="10">
        <f>IFERROR(SUMIFS('Base bordo'!G$2:G$746,'Base bordo'!C$2:C$746,A391,'Base bordo'!B$2:B$746,B391,'Base bordo'!F$2:F$746,"BALANÇA - ENTRADA"),0)+IFERROR(SUMIFS('Base bordo'!G$2:G$746,'Base bordo'!C$2:C$746,A391,'Base bordo'!B$2:B$746,B391,'Base bordo'!F$2:F$746,"BALANÇA - SAÍDA"),0)</f>
        <v>0.11305555555555555</v>
      </c>
      <c r="K391" s="10">
        <f>IFERROR(SUMIFS('Base bordo'!G$2:G$746,'Base bordo'!C$2:C$746,A391,'Base bordo'!B$2:B$746,B391,'Base bordo'!F$2:F$746,"MAN PREVENTIVA - MECANICA"),0)+IFERROR(SUMIFS('Base bordo'!G$2:G$746,'Base bordo'!C$2:C$746,A391,'Base bordo'!B$2:B$746,B391,'Base bordo'!F$2:F$746,"MAN CORRETIVA - MECANICA"),0)</f>
        <v>0</v>
      </c>
      <c r="L391" s="10">
        <f>IFERROR(SUMIFS('Base bordo'!G$2:G$746,'Base bordo'!C$2:C$746,A391,'Base bordo'!B$2:B$746,B391,'Base bordo'!F$2:F$746,"MANUTENCAO - T O"),0)+IFERROR(SUMIFS('Base bordo'!G$2:G$746,'Base bordo'!C$2:C$746,A391,'Base bordo'!B$2:B$746,B391,'Base bordo'!F$2:F$746,"MANUTENCAO BORRACHARIA"),0)+IFERROR(SUMIFS('Base bordo'!G$2:G$746,'Base bordo'!C$2:C$746,A391,'Base bordo'!B$2:B$746,B391,'Base bordo'!F$2:F$746,"MANUTENCAO EXTERNA  CONCESSIONARIA"),0)+IFERROR(SUMIFS('Base bordo'!G$2:G$746,'Base bordo'!C$2:C$746,A391,'Base bordo'!B$2:B$746,B391,'Base bordo'!F$2:F$746,"MANUTENCAO TELEMETRIA"),0)</f>
        <v>2.7313888888888891</v>
      </c>
      <c r="M391" s="10">
        <f>IFERROR(SUMIFS('Base bordo'!G$2:G$746,'Base bordo'!C$2:C$746,A391,'Base bordo'!B$2:B$746,B391,'Base bordo'!F$2:F$746,"AGUARDANDO MANUTENCAO"),0)</f>
        <v>0</v>
      </c>
      <c r="N391" s="10">
        <f>IFERROR(SUMIFS('Base bordo'!G$2:G$746,'Base bordo'!C$2:C$746,A391,'Base bordo'!B$2:B$746,B391,'Base bordo'!F$2:F$746,"SEM APONTAMENTO"),0)</f>
        <v>0</v>
      </c>
      <c r="O391" s="10">
        <f t="shared" si="42"/>
        <v>0</v>
      </c>
      <c r="P391" s="10">
        <f>IFERROR(SUMIFS('Base bordo'!G$2:G$746,'Base bordo'!C$2:C$746,A391,'Base bordo'!B$2:B$746,B391),0)</f>
        <v>11.072500000000002</v>
      </c>
      <c r="Q391" s="10">
        <f>IFERROR(SUMIFS('Base bordo'!H$2:H$746,'Base bordo'!C$2:C$746,A391,'Base bordo'!B$2:B$746,B391,'Base bordo'!F$2:F$746,"DESLOCAMENTO VAZIO"),0)</f>
        <v>69562.86</v>
      </c>
      <c r="R391" s="10">
        <f>IFERROR(SUMIFS('Base bordo'!I$2:I$746,'Base bordo'!C$2:C$746,A391,'Base bordo'!B$2:B$746,B391,'Base bordo'!F$2:F$746,"DESLOCAMENTO VAZIO"),0)</f>
        <v>2749</v>
      </c>
      <c r="S391" s="30">
        <f t="shared" si="43"/>
        <v>25.30478719534376</v>
      </c>
      <c r="T391" s="10">
        <f>IFERROR(SUMIFS('Base bordo'!H$2:H$746,'Base bordo'!C$2:C$746,A391,'Base bordo'!B$2:B$746,B391,'Base bordo'!F$2:F$746,"DESLOCAMENTO CARREGADO"),0)</f>
        <v>60370.82</v>
      </c>
      <c r="U391" s="10">
        <f>IFERROR(SUMIFS('Base bordo'!I$2:I$746,'Base bordo'!C$2:C$746,A391,'Base bordo'!B$2:B$746,B391,'Base bordo'!F$2:F$746,"DESLOCAMENTO CARREGADO"),0)</f>
        <v>2374</v>
      </c>
      <c r="V391" s="30">
        <f t="shared" si="44"/>
        <v>25.43</v>
      </c>
      <c r="W391" s="9">
        <f t="shared" si="45"/>
        <v>6.8964652166277812E-2</v>
      </c>
      <c r="X391" s="9">
        <f t="shared" si="46"/>
        <v>5.955696043752038E-2</v>
      </c>
      <c r="Y391" s="9">
        <f t="shared" si="47"/>
        <v>0.87147838739620176</v>
      </c>
    </row>
    <row r="392" spans="1:25" ht="15" customHeight="1" x14ac:dyDescent="0.35">
      <c r="A392" s="52">
        <v>8013486</v>
      </c>
      <c r="B392" s="51">
        <v>46124</v>
      </c>
      <c r="C392" s="7" t="s">
        <v>124</v>
      </c>
      <c r="D392" s="10">
        <f>IFERROR(SUMIFS('Base bordo'!G$2:G$746,'Base bordo'!C$2:C$746,A392,'Base bordo'!B$2:B$746,B392,'Base bordo'!F$2:F$746,"DESLOCAMENTO VAZIO"),0)</f>
        <v>1.6141666666666667</v>
      </c>
      <c r="E392" s="10">
        <f>IFERROR(SUMIFS('Base bordo'!G$2:G$746,'Base bordo'!C$2:C$746,A392,'Base bordo'!B$2:B$746,B392,'Base bordo'!F$2:F$746,"DESLOCAMENTO CARREGADO"),0)</f>
        <v>9.7500000000000003E-2</v>
      </c>
      <c r="F392" s="10">
        <f>IFERROR(SUMIFS('Base bordo'!G$2:G$746,'Base bordo'!C$2:C$746,A392,'Base bordo'!B$2:B$746,B392,'Base bordo'!F$2:F$746,"DESLOCAMENTO"),0)</f>
        <v>0</v>
      </c>
      <c r="G392" s="10">
        <f>IFERROR(SUMIFS('Base bordo'!G$2:G$746,'Base bordo'!C$2:C$746,A392,'Base bordo'!B$2:B$746,B392,'Base bordo'!F$2:F$746,"CARREGAMENTO"),0)</f>
        <v>0</v>
      </c>
      <c r="H392" s="10">
        <f>IFERROR(SUMIFS('Base bordo'!G$2:G$746,'Base bordo'!C$2:C$746,A392,'Base bordo'!B$2:B$746,B392,'Base bordo'!F$2:F$746,"AGUARDANDO TRANSBORDO"),0)</f>
        <v>0.10888888888888888</v>
      </c>
      <c r="I392" s="10">
        <f>IFERROR(SUMIFS('Base bordo'!G$2:G$746,'Base bordo'!C$2:C$746,A392,'Base bordo'!B$2:B$746,B392,'Base bordo'!F$2:F$746,"PÁTIO INTERNO"),0)+IFERROR(SUMIFS('Base bordo'!G$2:G$746,'Base bordo'!C$2:C$746,A392,'Base bordo'!B$2:B$746,B392,'Base bordo'!F$2:F$746,"PÁTIO EXTERNO"),0)+IFERROR(SUMIFS('Base bordo'!G$2:G$746,'Base bordo'!C$2:C$746,A392,'Base bordo'!B$2:B$746,B392,'Base bordo'!F$2:F$746,"PATIO - RESERVA"),0)+IFERROR(SUMIFS('Base bordo'!G$2:G$746,'Base bordo'!C$2:C$746,A392,'Base bordo'!B$2:B$746,B392,'Base bordo'!F$2:F$746,"MANOBRA CARRETAS-PATIO"),0)</f>
        <v>4.8677777777777784</v>
      </c>
      <c r="J392" s="10">
        <f>IFERROR(SUMIFS('Base bordo'!G$2:G$746,'Base bordo'!C$2:C$746,A392,'Base bordo'!B$2:B$746,B392,'Base bordo'!F$2:F$746,"BALANÇA - ENTRADA"),0)+IFERROR(SUMIFS('Base bordo'!G$2:G$746,'Base bordo'!C$2:C$746,A392,'Base bordo'!B$2:B$746,B392,'Base bordo'!F$2:F$746,"BALANÇA - SAÍDA"),0)</f>
        <v>0.14000000000000001</v>
      </c>
      <c r="K392" s="10">
        <f>IFERROR(SUMIFS('Base bordo'!G$2:G$746,'Base bordo'!C$2:C$746,A392,'Base bordo'!B$2:B$746,B392,'Base bordo'!F$2:F$746,"MAN PREVENTIVA - MECANICA"),0)+IFERROR(SUMIFS('Base bordo'!G$2:G$746,'Base bordo'!C$2:C$746,A392,'Base bordo'!B$2:B$746,B392,'Base bordo'!F$2:F$746,"MAN CORRETIVA - MECANICA"),0)</f>
        <v>0</v>
      </c>
      <c r="L392" s="10">
        <f>IFERROR(SUMIFS('Base bordo'!G$2:G$746,'Base bordo'!C$2:C$746,A392,'Base bordo'!B$2:B$746,B392,'Base bordo'!F$2:F$746,"MANUTENCAO - T O"),0)+IFERROR(SUMIFS('Base bordo'!G$2:G$746,'Base bordo'!C$2:C$746,A392,'Base bordo'!B$2:B$746,B392,'Base bordo'!F$2:F$746,"MANUTENCAO BORRACHARIA"),0)+IFERROR(SUMIFS('Base bordo'!G$2:G$746,'Base bordo'!C$2:C$746,A392,'Base bordo'!B$2:B$746,B392,'Base bordo'!F$2:F$746,"MANUTENCAO EXTERNA  CONCESSIONARIA"),0)+IFERROR(SUMIFS('Base bordo'!G$2:G$746,'Base bordo'!C$2:C$746,A392,'Base bordo'!B$2:B$746,B392,'Base bordo'!F$2:F$746,"MANUTENCAO TELEMETRIA"),0)</f>
        <v>0</v>
      </c>
      <c r="M392" s="10">
        <f>IFERROR(SUMIFS('Base bordo'!G$2:G$746,'Base bordo'!C$2:C$746,A392,'Base bordo'!B$2:B$746,B392,'Base bordo'!F$2:F$746,"AGUARDANDO MANUTENCAO"),0)</f>
        <v>0</v>
      </c>
      <c r="N392" s="10">
        <f>IFERROR(SUMIFS('Base bordo'!G$2:G$746,'Base bordo'!C$2:C$746,A392,'Base bordo'!B$2:B$746,B392,'Base bordo'!F$2:F$746,"SEM APONTAMENTO"),0)</f>
        <v>0</v>
      </c>
      <c r="O392" s="10">
        <f t="shared" si="42"/>
        <v>1.4722222222222747E-2</v>
      </c>
      <c r="P392" s="10">
        <f>IFERROR(SUMIFS('Base bordo'!G$2:G$746,'Base bordo'!C$2:C$746,A392,'Base bordo'!B$2:B$746,B392),0)</f>
        <v>6.8430555555555568</v>
      </c>
      <c r="Q392" s="10">
        <f>IFERROR(SUMIFS('Base bordo'!H$2:H$746,'Base bordo'!C$2:C$746,A392,'Base bordo'!B$2:B$746,B392,'Base bordo'!F$2:F$746,"DESLOCAMENTO VAZIO"),0)</f>
        <v>181720.6</v>
      </c>
      <c r="R392" s="10">
        <f>IFERROR(SUMIFS('Base bordo'!I$2:I$746,'Base bordo'!C$2:C$746,A392,'Base bordo'!B$2:B$746,B392,'Base bordo'!F$2:F$746,"DESLOCAMENTO VAZIO"),0)</f>
        <v>5811</v>
      </c>
      <c r="S392" s="30">
        <f t="shared" si="43"/>
        <v>31.271829289278955</v>
      </c>
      <c r="T392" s="10">
        <f>IFERROR(SUMIFS('Base bordo'!H$2:H$746,'Base bordo'!C$2:C$746,A392,'Base bordo'!B$2:B$746,B392,'Base bordo'!F$2:F$746,"DESLOCAMENTO CARREGADO"),0)</f>
        <v>2571.7599999999998</v>
      </c>
      <c r="U392" s="10">
        <f>IFERROR(SUMIFS('Base bordo'!I$2:I$746,'Base bordo'!C$2:C$746,A392,'Base bordo'!B$2:B$746,B392,'Base bordo'!F$2:F$746,"DESLOCAMENTO CARREGADO"),0)</f>
        <v>332</v>
      </c>
      <c r="V392" s="30">
        <f t="shared" si="44"/>
        <v>7.7462650602409635</v>
      </c>
      <c r="W392" s="9">
        <f t="shared" si="45"/>
        <v>0.23588390501319259</v>
      </c>
      <c r="X392" s="9">
        <f t="shared" si="46"/>
        <v>1.4248021108179418E-2</v>
      </c>
      <c r="Y392" s="9">
        <f t="shared" si="47"/>
        <v>0.74986807387862808</v>
      </c>
    </row>
    <row r="393" spans="1:25" ht="15" customHeight="1" x14ac:dyDescent="0.35">
      <c r="A393" s="52">
        <v>8013470</v>
      </c>
      <c r="B393" s="51">
        <v>46124</v>
      </c>
      <c r="C393" s="7" t="s">
        <v>124</v>
      </c>
      <c r="D393" s="10">
        <f>IFERROR(SUMIFS('Base bordo'!G$2:G$746,'Base bordo'!C$2:C$746,A393,'Base bordo'!B$2:B$746,B393,'Base bordo'!F$2:F$746,"DESLOCAMENTO VAZIO"),0)</f>
        <v>2.2769444444444447</v>
      </c>
      <c r="E393" s="10">
        <f>IFERROR(SUMIFS('Base bordo'!G$2:G$746,'Base bordo'!C$2:C$746,A393,'Base bordo'!B$2:B$746,B393,'Base bordo'!F$2:F$746,"DESLOCAMENTO CARREGADO"),0)</f>
        <v>6.3111111111111109</v>
      </c>
      <c r="F393" s="10">
        <f>IFERROR(SUMIFS('Base bordo'!G$2:G$746,'Base bordo'!C$2:C$746,A393,'Base bordo'!B$2:B$746,B393,'Base bordo'!F$2:F$746,"DESLOCAMENTO"),0)</f>
        <v>0</v>
      </c>
      <c r="G393" s="10">
        <f>IFERROR(SUMIFS('Base bordo'!G$2:G$746,'Base bordo'!C$2:C$746,A393,'Base bordo'!B$2:B$746,B393,'Base bordo'!F$2:F$746,"CARREGAMENTO"),0)</f>
        <v>0</v>
      </c>
      <c r="H393" s="10">
        <f>IFERROR(SUMIFS('Base bordo'!G$2:G$746,'Base bordo'!C$2:C$746,A393,'Base bordo'!B$2:B$746,B393,'Base bordo'!F$2:F$746,"AGUARDANDO TRANSBORDO"),0)</f>
        <v>0.24416666666666667</v>
      </c>
      <c r="I393" s="10">
        <f>IFERROR(SUMIFS('Base bordo'!G$2:G$746,'Base bordo'!C$2:C$746,A393,'Base bordo'!B$2:B$746,B393,'Base bordo'!F$2:F$746,"PÁTIO INTERNO"),0)+IFERROR(SUMIFS('Base bordo'!G$2:G$746,'Base bordo'!C$2:C$746,A393,'Base bordo'!B$2:B$746,B393,'Base bordo'!F$2:F$746,"PÁTIO EXTERNO"),0)+IFERROR(SUMIFS('Base bordo'!G$2:G$746,'Base bordo'!C$2:C$746,A393,'Base bordo'!B$2:B$746,B393,'Base bordo'!F$2:F$746,"PATIO - RESERVA"),0)+IFERROR(SUMIFS('Base bordo'!G$2:G$746,'Base bordo'!C$2:C$746,A393,'Base bordo'!B$2:B$746,B393,'Base bordo'!F$2:F$746,"MANOBRA CARRETAS-PATIO"),0)</f>
        <v>3.2016666666666667</v>
      </c>
      <c r="J393" s="10">
        <f>IFERROR(SUMIFS('Base bordo'!G$2:G$746,'Base bordo'!C$2:C$746,A393,'Base bordo'!B$2:B$746,B393,'Base bordo'!F$2:F$746,"BALANÇA - ENTRADA"),0)+IFERROR(SUMIFS('Base bordo'!G$2:G$746,'Base bordo'!C$2:C$746,A393,'Base bordo'!B$2:B$746,B393,'Base bordo'!F$2:F$746,"BALANÇA - SAÍDA"),0)</f>
        <v>0.21722222222222221</v>
      </c>
      <c r="K393" s="10">
        <f>IFERROR(SUMIFS('Base bordo'!G$2:G$746,'Base bordo'!C$2:C$746,A393,'Base bordo'!B$2:B$746,B393,'Base bordo'!F$2:F$746,"MAN PREVENTIVA - MECANICA"),0)+IFERROR(SUMIFS('Base bordo'!G$2:G$746,'Base bordo'!C$2:C$746,A393,'Base bordo'!B$2:B$746,B393,'Base bordo'!F$2:F$746,"MAN CORRETIVA - MECANICA"),0)</f>
        <v>0</v>
      </c>
      <c r="L393" s="10">
        <f>IFERROR(SUMIFS('Base bordo'!G$2:G$746,'Base bordo'!C$2:C$746,A393,'Base bordo'!B$2:B$746,B393,'Base bordo'!F$2:F$746,"MANUTENCAO - T O"),0)+IFERROR(SUMIFS('Base bordo'!G$2:G$746,'Base bordo'!C$2:C$746,A393,'Base bordo'!B$2:B$746,B393,'Base bordo'!F$2:F$746,"MANUTENCAO BORRACHARIA"),0)+IFERROR(SUMIFS('Base bordo'!G$2:G$746,'Base bordo'!C$2:C$746,A393,'Base bordo'!B$2:B$746,B393,'Base bordo'!F$2:F$746,"MANUTENCAO EXTERNA  CONCESSIONARIA"),0)+IFERROR(SUMIFS('Base bordo'!G$2:G$746,'Base bordo'!C$2:C$746,A393,'Base bordo'!B$2:B$746,B393,'Base bordo'!F$2:F$746,"MANUTENCAO TELEMETRIA"),0)</f>
        <v>0</v>
      </c>
      <c r="M393" s="10">
        <f>IFERROR(SUMIFS('Base bordo'!G$2:G$746,'Base bordo'!C$2:C$746,A393,'Base bordo'!B$2:B$746,B393,'Base bordo'!F$2:F$746,"AGUARDANDO MANUTENCAO"),0)</f>
        <v>0</v>
      </c>
      <c r="N393" s="10">
        <f>IFERROR(SUMIFS('Base bordo'!G$2:G$746,'Base bordo'!C$2:C$746,A393,'Base bordo'!B$2:B$746,B393,'Base bordo'!F$2:F$746,"SEM APONTAMENTO"),0)</f>
        <v>0</v>
      </c>
      <c r="O393" s="10">
        <f t="shared" si="42"/>
        <v>6.3333333333332575E-2</v>
      </c>
      <c r="P393" s="10">
        <f>IFERROR(SUMIFS('Base bordo'!G$2:G$746,'Base bordo'!C$2:C$746,A393,'Base bordo'!B$2:B$746,B393),0)</f>
        <v>12.314444444444444</v>
      </c>
      <c r="Q393" s="10">
        <f>IFERROR(SUMIFS('Base bordo'!H$2:H$746,'Base bordo'!C$2:C$746,A393,'Base bordo'!B$2:B$746,B393,'Base bordo'!F$2:F$746,"DESLOCAMENTO VAZIO"),0)</f>
        <v>282969.98000000004</v>
      </c>
      <c r="R393" s="10">
        <f>IFERROR(SUMIFS('Base bordo'!I$2:I$746,'Base bordo'!C$2:C$746,A393,'Base bordo'!B$2:B$746,B393,'Base bordo'!F$2:F$746,"DESLOCAMENTO VAZIO"),0)</f>
        <v>8186</v>
      </c>
      <c r="S393" s="30">
        <f t="shared" si="43"/>
        <v>34.567551917908631</v>
      </c>
      <c r="T393" s="10">
        <f>IFERROR(SUMIFS('Base bordo'!H$2:H$746,'Base bordo'!C$2:C$746,A393,'Base bordo'!B$2:B$746,B393,'Base bordo'!F$2:F$746,"DESLOCAMENTO CARREGADO"),0)</f>
        <v>649243.22</v>
      </c>
      <c r="U393" s="10">
        <f>IFERROR(SUMIFS('Base bordo'!I$2:I$746,'Base bordo'!C$2:C$746,A393,'Base bordo'!B$2:B$746,B393,'Base bordo'!F$2:F$746,"DESLOCAMENTO CARREGADO"),0)</f>
        <v>22720</v>
      </c>
      <c r="V393" s="30">
        <f t="shared" si="44"/>
        <v>28.575845950704224</v>
      </c>
      <c r="W393" s="9">
        <f t="shared" si="45"/>
        <v>0.18490029775331593</v>
      </c>
      <c r="X393" s="9">
        <f t="shared" si="46"/>
        <v>0.51249661643959221</v>
      </c>
      <c r="Y393" s="9">
        <f t="shared" si="47"/>
        <v>0.30260308580709183</v>
      </c>
    </row>
    <row r="394" spans="1:25" ht="15" customHeight="1" x14ac:dyDescent="0.35">
      <c r="A394" s="52">
        <v>8013472</v>
      </c>
      <c r="B394" s="51">
        <v>46118</v>
      </c>
      <c r="C394" s="7" t="s">
        <v>124</v>
      </c>
      <c r="D394" s="10">
        <f>IFERROR(SUMIFS('Base bordo'!G$2:G$746,'Base bordo'!C$2:C$746,A394,'Base bordo'!B$2:B$746,B394,'Base bordo'!F$2:F$746,"DESLOCAMENTO VAZIO"),0)</f>
        <v>1.75</v>
      </c>
      <c r="E394" s="10">
        <f>IFERROR(SUMIFS('Base bordo'!G$2:G$746,'Base bordo'!C$2:C$746,A394,'Base bordo'!B$2:B$746,B394,'Base bordo'!F$2:F$746,"DESLOCAMENTO CARREGADO"),0)</f>
        <v>2.4983333333333335</v>
      </c>
      <c r="F394" s="10">
        <f>IFERROR(SUMIFS('Base bordo'!G$2:G$746,'Base bordo'!C$2:C$746,A394,'Base bordo'!B$2:B$746,B394,'Base bordo'!F$2:F$746,"DESLOCAMENTO"),0)</f>
        <v>1.1605555555555556</v>
      </c>
      <c r="G394" s="10">
        <f>IFERROR(SUMIFS('Base bordo'!G$2:G$746,'Base bordo'!C$2:C$746,A394,'Base bordo'!B$2:B$746,B394,'Base bordo'!F$2:F$746,"CARREGAMENTO"),0)</f>
        <v>0</v>
      </c>
      <c r="H394" s="10">
        <f>IFERROR(SUMIFS('Base bordo'!G$2:G$746,'Base bordo'!C$2:C$746,A394,'Base bordo'!B$2:B$746,B394,'Base bordo'!F$2:F$746,"AGUARDANDO TRANSBORDO"),0)</f>
        <v>0</v>
      </c>
      <c r="I394" s="10">
        <f>IFERROR(SUMIFS('Base bordo'!G$2:G$746,'Base bordo'!C$2:C$746,A394,'Base bordo'!B$2:B$746,B394,'Base bordo'!F$2:F$746,"PÁTIO INTERNO"),0)+IFERROR(SUMIFS('Base bordo'!G$2:G$746,'Base bordo'!C$2:C$746,A394,'Base bordo'!B$2:B$746,B394,'Base bordo'!F$2:F$746,"PÁTIO EXTERNO"),0)+IFERROR(SUMIFS('Base bordo'!G$2:G$746,'Base bordo'!C$2:C$746,A394,'Base bordo'!B$2:B$746,B394,'Base bordo'!F$2:F$746,"PATIO - RESERVA"),0)+IFERROR(SUMIFS('Base bordo'!G$2:G$746,'Base bordo'!C$2:C$746,A394,'Base bordo'!B$2:B$746,B394,'Base bordo'!F$2:F$746,"MANOBRA CARRETAS-PATIO"),0)</f>
        <v>6.2741666666666669</v>
      </c>
      <c r="J394" s="10">
        <f>IFERROR(SUMIFS('Base bordo'!G$2:G$746,'Base bordo'!C$2:C$746,A394,'Base bordo'!B$2:B$746,B394,'Base bordo'!F$2:F$746,"BALANÇA - ENTRADA"),0)+IFERROR(SUMIFS('Base bordo'!G$2:G$746,'Base bordo'!C$2:C$746,A394,'Base bordo'!B$2:B$746,B394,'Base bordo'!F$2:F$746,"BALANÇA - SAÍDA"),0)</f>
        <v>1.2222222222222223E-2</v>
      </c>
      <c r="K394" s="10">
        <f>IFERROR(SUMIFS('Base bordo'!G$2:G$746,'Base bordo'!C$2:C$746,A394,'Base bordo'!B$2:B$746,B394,'Base bordo'!F$2:F$746,"MAN PREVENTIVA - MECANICA"),0)+IFERROR(SUMIFS('Base bordo'!G$2:G$746,'Base bordo'!C$2:C$746,A394,'Base bordo'!B$2:B$746,B394,'Base bordo'!F$2:F$746,"MAN CORRETIVA - MECANICA"),0)</f>
        <v>0</v>
      </c>
      <c r="L394" s="10">
        <f>IFERROR(SUMIFS('Base bordo'!G$2:G$746,'Base bordo'!C$2:C$746,A394,'Base bordo'!B$2:B$746,B394,'Base bordo'!F$2:F$746,"MANUTENCAO - T O"),0)+IFERROR(SUMIFS('Base bordo'!G$2:G$746,'Base bordo'!C$2:C$746,A394,'Base bordo'!B$2:B$746,B394,'Base bordo'!F$2:F$746,"MANUTENCAO BORRACHARIA"),0)+IFERROR(SUMIFS('Base bordo'!G$2:G$746,'Base bordo'!C$2:C$746,A394,'Base bordo'!B$2:B$746,B394,'Base bordo'!F$2:F$746,"MANUTENCAO EXTERNA  CONCESSIONARIA"),0)+IFERROR(SUMIFS('Base bordo'!G$2:G$746,'Base bordo'!C$2:C$746,A394,'Base bordo'!B$2:B$746,B394,'Base bordo'!F$2:F$746,"MANUTENCAO TELEMETRIA"),0)</f>
        <v>2.3786111111111112</v>
      </c>
      <c r="M394" s="10">
        <f>IFERROR(SUMIFS('Base bordo'!G$2:G$746,'Base bordo'!C$2:C$746,A394,'Base bordo'!B$2:B$746,B394,'Base bordo'!F$2:F$746,"AGUARDANDO MANUTENCAO"),0)</f>
        <v>5.3633333333333333</v>
      </c>
      <c r="N394" s="10">
        <f>IFERROR(SUMIFS('Base bordo'!G$2:G$746,'Base bordo'!C$2:C$746,A394,'Base bordo'!B$2:B$746,B394,'Base bordo'!F$2:F$746,"SEM APONTAMENTO"),0)</f>
        <v>0</v>
      </c>
      <c r="O394" s="10">
        <f t="shared" si="42"/>
        <v>0</v>
      </c>
      <c r="P394" s="10">
        <f>IFERROR(SUMIFS('Base bordo'!G$2:G$746,'Base bordo'!C$2:C$746,A394,'Base bordo'!B$2:B$746,B394),0)</f>
        <v>19.437222222222221</v>
      </c>
      <c r="Q394" s="10">
        <f>IFERROR(SUMIFS('Base bordo'!H$2:H$746,'Base bordo'!C$2:C$746,A394,'Base bordo'!B$2:B$746,B394,'Base bordo'!F$2:F$746,"DESLOCAMENTO VAZIO"),0)</f>
        <v>117213.39</v>
      </c>
      <c r="R394" s="10">
        <f>IFERROR(SUMIFS('Base bordo'!I$2:I$746,'Base bordo'!C$2:C$746,A394,'Base bordo'!B$2:B$746,B394,'Base bordo'!F$2:F$746,"DESLOCAMENTO VAZIO"),0)</f>
        <v>6300</v>
      </c>
      <c r="S394" s="30">
        <f t="shared" si="43"/>
        <v>18.6053</v>
      </c>
      <c r="T394" s="10">
        <f>IFERROR(SUMIFS('Base bordo'!H$2:H$746,'Base bordo'!C$2:C$746,A394,'Base bordo'!B$2:B$746,B394,'Base bordo'!F$2:F$746,"DESLOCAMENTO CARREGADO"),0)</f>
        <v>206109.95</v>
      </c>
      <c r="U394" s="10">
        <f>IFERROR(SUMIFS('Base bordo'!I$2:I$746,'Base bordo'!C$2:C$746,A394,'Base bordo'!B$2:B$746,B394,'Base bordo'!F$2:F$746,"DESLOCAMENTO CARREGADO"),0)</f>
        <v>8677</v>
      </c>
      <c r="V394" s="30">
        <f t="shared" si="44"/>
        <v>23.753595712803964</v>
      </c>
      <c r="W394" s="9">
        <f t="shared" si="45"/>
        <v>9.0033440992368596E-2</v>
      </c>
      <c r="X394" s="9">
        <f t="shared" si="46"/>
        <v>0.128533455283391</v>
      </c>
      <c r="Y394" s="9">
        <f t="shared" si="47"/>
        <v>0.78143310372424046</v>
      </c>
    </row>
    <row r="395" spans="1:25" ht="15" customHeight="1" x14ac:dyDescent="0.35">
      <c r="A395" s="52">
        <v>8013484</v>
      </c>
      <c r="B395" s="51">
        <v>46122</v>
      </c>
      <c r="C395" s="7" t="s">
        <v>124</v>
      </c>
      <c r="D395" s="10">
        <f>IFERROR(SUMIFS('Base bordo'!G$2:G$746,'Base bordo'!C$2:C$746,A395,'Base bordo'!B$2:B$746,B395,'Base bordo'!F$2:F$746,"DESLOCAMENTO VAZIO"),0)</f>
        <v>0</v>
      </c>
      <c r="E395" s="10">
        <f>IFERROR(SUMIFS('Base bordo'!G$2:G$746,'Base bordo'!C$2:C$746,A395,'Base bordo'!B$2:B$746,B395,'Base bordo'!F$2:F$746,"DESLOCAMENTO CARREGADO"),0)</f>
        <v>1.8913888888888888</v>
      </c>
      <c r="F395" s="10">
        <f>IFERROR(SUMIFS('Base bordo'!G$2:G$746,'Base bordo'!C$2:C$746,A395,'Base bordo'!B$2:B$746,B395,'Base bordo'!F$2:F$746,"DESLOCAMENTO"),0)</f>
        <v>0</v>
      </c>
      <c r="G395" s="10">
        <f>IFERROR(SUMIFS('Base bordo'!G$2:G$746,'Base bordo'!C$2:C$746,A395,'Base bordo'!B$2:B$746,B395,'Base bordo'!F$2:F$746,"CARREGAMENTO"),0)</f>
        <v>0</v>
      </c>
      <c r="H395" s="10">
        <f>IFERROR(SUMIFS('Base bordo'!G$2:G$746,'Base bordo'!C$2:C$746,A395,'Base bordo'!B$2:B$746,B395,'Base bordo'!F$2:F$746,"AGUARDANDO TRANSBORDO"),0)</f>
        <v>0</v>
      </c>
      <c r="I395" s="10">
        <f>IFERROR(SUMIFS('Base bordo'!G$2:G$746,'Base bordo'!C$2:C$746,A395,'Base bordo'!B$2:B$746,B395,'Base bordo'!F$2:F$746,"PÁTIO INTERNO"),0)+IFERROR(SUMIFS('Base bordo'!G$2:G$746,'Base bordo'!C$2:C$746,A395,'Base bordo'!B$2:B$746,B395,'Base bordo'!F$2:F$746,"PÁTIO EXTERNO"),0)+IFERROR(SUMIFS('Base bordo'!G$2:G$746,'Base bordo'!C$2:C$746,A395,'Base bordo'!B$2:B$746,B395,'Base bordo'!F$2:F$746,"PATIO - RESERVA"),0)+IFERROR(SUMIFS('Base bordo'!G$2:G$746,'Base bordo'!C$2:C$746,A395,'Base bordo'!B$2:B$746,B395,'Base bordo'!F$2:F$746,"MANOBRA CARRETAS-PATIO"),0)</f>
        <v>0.15055555555555555</v>
      </c>
      <c r="J395" s="10">
        <f>IFERROR(SUMIFS('Base bordo'!G$2:G$746,'Base bordo'!C$2:C$746,A395,'Base bordo'!B$2:B$746,B395,'Base bordo'!F$2:F$746,"BALANÇA - ENTRADA"),0)+IFERROR(SUMIFS('Base bordo'!G$2:G$746,'Base bordo'!C$2:C$746,A395,'Base bordo'!B$2:B$746,B395,'Base bordo'!F$2:F$746,"BALANÇA - SAÍDA"),0)</f>
        <v>0</v>
      </c>
      <c r="K395" s="10">
        <f>IFERROR(SUMIFS('Base bordo'!G$2:G$746,'Base bordo'!C$2:C$746,A395,'Base bordo'!B$2:B$746,B395,'Base bordo'!F$2:F$746,"MAN PREVENTIVA - MECANICA"),0)+IFERROR(SUMIFS('Base bordo'!G$2:G$746,'Base bordo'!C$2:C$746,A395,'Base bordo'!B$2:B$746,B395,'Base bordo'!F$2:F$746,"MAN CORRETIVA - MECANICA"),0)</f>
        <v>0</v>
      </c>
      <c r="L395" s="10">
        <f>IFERROR(SUMIFS('Base bordo'!G$2:G$746,'Base bordo'!C$2:C$746,A395,'Base bordo'!B$2:B$746,B395,'Base bordo'!F$2:F$746,"MANUTENCAO - T O"),0)+IFERROR(SUMIFS('Base bordo'!G$2:G$746,'Base bordo'!C$2:C$746,A395,'Base bordo'!B$2:B$746,B395,'Base bordo'!F$2:F$746,"MANUTENCAO BORRACHARIA"),0)+IFERROR(SUMIFS('Base bordo'!G$2:G$746,'Base bordo'!C$2:C$746,A395,'Base bordo'!B$2:B$746,B395,'Base bordo'!F$2:F$746,"MANUTENCAO EXTERNA  CONCESSIONARIA"),0)+IFERROR(SUMIFS('Base bordo'!G$2:G$746,'Base bordo'!C$2:C$746,A395,'Base bordo'!B$2:B$746,B395,'Base bordo'!F$2:F$746,"MANUTENCAO TELEMETRIA"),0)</f>
        <v>0</v>
      </c>
      <c r="M395" s="10">
        <f>IFERROR(SUMIFS('Base bordo'!G$2:G$746,'Base bordo'!C$2:C$746,A395,'Base bordo'!B$2:B$746,B395,'Base bordo'!F$2:F$746,"AGUARDANDO MANUTENCAO"),0)</f>
        <v>0</v>
      </c>
      <c r="N395" s="10">
        <f>IFERROR(SUMIFS('Base bordo'!G$2:G$746,'Base bordo'!C$2:C$746,A395,'Base bordo'!B$2:B$746,B395,'Base bordo'!F$2:F$746,"SEM APONTAMENTO"),0)</f>
        <v>0</v>
      </c>
      <c r="O395" s="10">
        <f t="shared" si="42"/>
        <v>0</v>
      </c>
      <c r="P395" s="10">
        <f>IFERROR(SUMIFS('Base bordo'!G$2:G$746,'Base bordo'!C$2:C$746,A395,'Base bordo'!B$2:B$746,B395),0)</f>
        <v>2.0419444444444443</v>
      </c>
      <c r="Q395" s="10">
        <f>IFERROR(SUMIFS('Base bordo'!H$2:H$746,'Base bordo'!C$2:C$746,A395,'Base bordo'!B$2:B$746,B395,'Base bordo'!F$2:F$746,"DESLOCAMENTO VAZIO"),0)</f>
        <v>0</v>
      </c>
      <c r="R395" s="10">
        <f>IFERROR(SUMIFS('Base bordo'!I$2:I$746,'Base bordo'!C$2:C$746,A395,'Base bordo'!B$2:B$746,B395,'Base bordo'!F$2:F$746,"DESLOCAMENTO VAZIO"),0)</f>
        <v>0</v>
      </c>
      <c r="S395" s="30" t="str">
        <f t="shared" si="43"/>
        <v/>
      </c>
      <c r="T395" s="10">
        <f>IFERROR(SUMIFS('Base bordo'!H$2:H$746,'Base bordo'!C$2:C$746,A395,'Base bordo'!B$2:B$746,B395,'Base bordo'!F$2:F$746,"DESLOCAMENTO CARREGADO"),0)</f>
        <v>169799.59</v>
      </c>
      <c r="U395" s="10">
        <f>IFERROR(SUMIFS('Base bordo'!I$2:I$746,'Base bordo'!C$2:C$746,A395,'Base bordo'!B$2:B$746,B395,'Base bordo'!F$2:F$746,"DESLOCAMENTO CARREGADO"),0)</f>
        <v>6809</v>
      </c>
      <c r="V395" s="30">
        <f t="shared" si="44"/>
        <v>24.937522396827728</v>
      </c>
      <c r="W395" s="9">
        <f t="shared" si="45"/>
        <v>0</v>
      </c>
      <c r="X395" s="9">
        <f t="shared" si="46"/>
        <v>0.92626853489321181</v>
      </c>
      <c r="Y395" s="9">
        <f t="shared" si="47"/>
        <v>7.3731465106788185E-2</v>
      </c>
    </row>
    <row r="396" spans="1:25" ht="15" customHeight="1" x14ac:dyDescent="0.35">
      <c r="A396" s="52">
        <v>8013485</v>
      </c>
      <c r="B396" s="51">
        <v>46123</v>
      </c>
      <c r="C396" s="7" t="s">
        <v>124</v>
      </c>
      <c r="D396" s="10">
        <f>IFERROR(SUMIFS('Base bordo'!G$2:G$746,'Base bordo'!C$2:C$746,A396,'Base bordo'!B$2:B$746,B396,'Base bordo'!F$2:F$746,"DESLOCAMENTO VAZIO"),0)</f>
        <v>1.8255555555555556</v>
      </c>
      <c r="E396" s="10">
        <f>IFERROR(SUMIFS('Base bordo'!G$2:G$746,'Base bordo'!C$2:C$746,A396,'Base bordo'!B$2:B$746,B396,'Base bordo'!F$2:F$746,"DESLOCAMENTO CARREGADO"),0)</f>
        <v>2.5369444444444444</v>
      </c>
      <c r="F396" s="10">
        <f>IFERROR(SUMIFS('Base bordo'!G$2:G$746,'Base bordo'!C$2:C$746,A396,'Base bordo'!B$2:B$746,B396,'Base bordo'!F$2:F$746,"DESLOCAMENTO"),0)</f>
        <v>0.6694444444444444</v>
      </c>
      <c r="G396" s="10">
        <f>IFERROR(SUMIFS('Base bordo'!G$2:G$746,'Base bordo'!C$2:C$746,A396,'Base bordo'!B$2:B$746,B396,'Base bordo'!F$2:F$746,"CARREGAMENTO"),0)</f>
        <v>0</v>
      </c>
      <c r="H396" s="10">
        <f>IFERROR(SUMIFS('Base bordo'!G$2:G$746,'Base bordo'!C$2:C$746,A396,'Base bordo'!B$2:B$746,B396,'Base bordo'!F$2:F$746,"AGUARDANDO TRANSBORDO"),0)</f>
        <v>0.45916666666666667</v>
      </c>
      <c r="I396" s="10">
        <f>IFERROR(SUMIFS('Base bordo'!G$2:G$746,'Base bordo'!C$2:C$746,A396,'Base bordo'!B$2:B$746,B396,'Base bordo'!F$2:F$746,"PÁTIO INTERNO"),0)+IFERROR(SUMIFS('Base bordo'!G$2:G$746,'Base bordo'!C$2:C$746,A396,'Base bordo'!B$2:B$746,B396,'Base bordo'!F$2:F$746,"PÁTIO EXTERNO"),0)+IFERROR(SUMIFS('Base bordo'!G$2:G$746,'Base bordo'!C$2:C$746,A396,'Base bordo'!B$2:B$746,B396,'Base bordo'!F$2:F$746,"PATIO - RESERVA"),0)+IFERROR(SUMIFS('Base bordo'!G$2:G$746,'Base bordo'!C$2:C$746,A396,'Base bordo'!B$2:B$746,B396,'Base bordo'!F$2:F$746,"MANOBRA CARRETAS-PATIO"),0)</f>
        <v>4.2497222222222222</v>
      </c>
      <c r="J396" s="10">
        <f>IFERROR(SUMIFS('Base bordo'!G$2:G$746,'Base bordo'!C$2:C$746,A396,'Base bordo'!B$2:B$746,B396,'Base bordo'!F$2:F$746,"BALANÇA - ENTRADA"),0)+IFERROR(SUMIFS('Base bordo'!G$2:G$746,'Base bordo'!C$2:C$746,A396,'Base bordo'!B$2:B$746,B396,'Base bordo'!F$2:F$746,"BALANÇA - SAÍDA"),0)</f>
        <v>0</v>
      </c>
      <c r="K396" s="10">
        <f>IFERROR(SUMIFS('Base bordo'!G$2:G$746,'Base bordo'!C$2:C$746,A396,'Base bordo'!B$2:B$746,B396,'Base bordo'!F$2:F$746,"MAN PREVENTIVA - MECANICA"),0)+IFERROR(SUMIFS('Base bordo'!G$2:G$746,'Base bordo'!C$2:C$746,A396,'Base bordo'!B$2:B$746,B396,'Base bordo'!F$2:F$746,"MAN CORRETIVA - MECANICA"),0)</f>
        <v>0</v>
      </c>
      <c r="L396" s="10">
        <f>IFERROR(SUMIFS('Base bordo'!G$2:G$746,'Base bordo'!C$2:C$746,A396,'Base bordo'!B$2:B$746,B396,'Base bordo'!F$2:F$746,"MANUTENCAO - T O"),0)+IFERROR(SUMIFS('Base bordo'!G$2:G$746,'Base bordo'!C$2:C$746,A396,'Base bordo'!B$2:B$746,B396,'Base bordo'!F$2:F$746,"MANUTENCAO BORRACHARIA"),0)+IFERROR(SUMIFS('Base bordo'!G$2:G$746,'Base bordo'!C$2:C$746,A396,'Base bordo'!B$2:B$746,B396,'Base bordo'!F$2:F$746,"MANUTENCAO EXTERNA  CONCESSIONARIA"),0)+IFERROR(SUMIFS('Base bordo'!G$2:G$746,'Base bordo'!C$2:C$746,A396,'Base bordo'!B$2:B$746,B396,'Base bordo'!F$2:F$746,"MANUTENCAO TELEMETRIA"),0)</f>
        <v>0</v>
      </c>
      <c r="M396" s="10">
        <f>IFERROR(SUMIFS('Base bordo'!G$2:G$746,'Base bordo'!C$2:C$746,A396,'Base bordo'!B$2:B$746,B396,'Base bordo'!F$2:F$746,"AGUARDANDO MANUTENCAO"),0)</f>
        <v>0</v>
      </c>
      <c r="N396" s="10">
        <f>IFERROR(SUMIFS('Base bordo'!G$2:G$746,'Base bordo'!C$2:C$746,A396,'Base bordo'!B$2:B$746,B396,'Base bordo'!F$2:F$746,"SEM APONTAMENTO"),0)</f>
        <v>0</v>
      </c>
      <c r="O396" s="10">
        <f t="shared" si="42"/>
        <v>0.10194444444444528</v>
      </c>
      <c r="P396" s="10">
        <f>IFERROR(SUMIFS('Base bordo'!G$2:G$746,'Base bordo'!C$2:C$746,A396,'Base bordo'!B$2:B$746,B396),0)</f>
        <v>9.8427777777777781</v>
      </c>
      <c r="Q396" s="10">
        <f>IFERROR(SUMIFS('Base bordo'!H$2:H$746,'Base bordo'!C$2:C$746,A396,'Base bordo'!B$2:B$746,B396,'Base bordo'!F$2:F$746,"DESLOCAMENTO VAZIO"),0)</f>
        <v>203208.90000000002</v>
      </c>
      <c r="R396" s="10">
        <f>IFERROR(SUMIFS('Base bordo'!I$2:I$746,'Base bordo'!C$2:C$746,A396,'Base bordo'!B$2:B$746,B396,'Base bordo'!F$2:F$746,"DESLOCAMENTO VAZIO"),0)</f>
        <v>6572</v>
      </c>
      <c r="S396" s="30">
        <f t="shared" si="43"/>
        <v>30.920404747413272</v>
      </c>
      <c r="T396" s="10">
        <f>IFERROR(SUMIFS('Base bordo'!H$2:H$746,'Base bordo'!C$2:C$746,A396,'Base bordo'!B$2:B$746,B396,'Base bordo'!F$2:F$746,"DESLOCAMENTO CARREGADO"),0)</f>
        <v>202982.89</v>
      </c>
      <c r="U396" s="10">
        <f>IFERROR(SUMIFS('Base bordo'!I$2:I$746,'Base bordo'!C$2:C$746,A396,'Base bordo'!B$2:B$746,B396,'Base bordo'!F$2:F$746,"DESLOCAMENTO CARREGADO"),0)</f>
        <v>9133</v>
      </c>
      <c r="V396" s="30">
        <f t="shared" si="44"/>
        <v>22.225215153837734</v>
      </c>
      <c r="W396" s="9">
        <f t="shared" si="45"/>
        <v>0.18547158096743241</v>
      </c>
      <c r="X396" s="9">
        <f t="shared" si="46"/>
        <v>0.25774679686177115</v>
      </c>
      <c r="Y396" s="9">
        <f t="shared" si="47"/>
        <v>0.55678162217079641</v>
      </c>
    </row>
    <row r="397" spans="1:25" ht="15" customHeight="1" x14ac:dyDescent="0.35">
      <c r="A397" s="52">
        <v>8013462</v>
      </c>
      <c r="B397" s="51">
        <v>46118</v>
      </c>
      <c r="C397" s="7" t="s">
        <v>124</v>
      </c>
      <c r="D397" s="10">
        <f>IFERROR(SUMIFS('Base bordo'!G$2:G$746,'Base bordo'!C$2:C$746,A397,'Base bordo'!B$2:B$746,B397,'Base bordo'!F$2:F$746,"DESLOCAMENTO VAZIO"),0)</f>
        <v>2.9716666666666667</v>
      </c>
      <c r="E397" s="10">
        <f>IFERROR(SUMIFS('Base bordo'!G$2:G$746,'Base bordo'!C$2:C$746,A397,'Base bordo'!B$2:B$746,B397,'Base bordo'!F$2:F$746,"DESLOCAMENTO CARREGADO"),0)</f>
        <v>3.6794444444444445</v>
      </c>
      <c r="F397" s="10">
        <f>IFERROR(SUMIFS('Base bordo'!G$2:G$746,'Base bordo'!C$2:C$746,A397,'Base bordo'!B$2:B$746,B397,'Base bordo'!F$2:F$746,"DESLOCAMENTO"),0)</f>
        <v>0.29694444444444446</v>
      </c>
      <c r="G397" s="10">
        <f>IFERROR(SUMIFS('Base bordo'!G$2:G$746,'Base bordo'!C$2:C$746,A397,'Base bordo'!B$2:B$746,B397,'Base bordo'!F$2:F$746,"CARREGAMENTO"),0)</f>
        <v>0.64583333333333337</v>
      </c>
      <c r="H397" s="10">
        <f>IFERROR(SUMIFS('Base bordo'!G$2:G$746,'Base bordo'!C$2:C$746,A397,'Base bordo'!B$2:B$746,B397,'Base bordo'!F$2:F$746,"AGUARDANDO TRANSBORDO"),0)</f>
        <v>9.6666666666666665E-2</v>
      </c>
      <c r="I397" s="10">
        <f>IFERROR(SUMIFS('Base bordo'!G$2:G$746,'Base bordo'!C$2:C$746,A397,'Base bordo'!B$2:B$746,B397,'Base bordo'!F$2:F$746,"PÁTIO INTERNO"),0)+IFERROR(SUMIFS('Base bordo'!G$2:G$746,'Base bordo'!C$2:C$746,A397,'Base bordo'!B$2:B$746,B397,'Base bordo'!F$2:F$746,"PÁTIO EXTERNO"),0)+IFERROR(SUMIFS('Base bordo'!G$2:G$746,'Base bordo'!C$2:C$746,A397,'Base bordo'!B$2:B$746,B397,'Base bordo'!F$2:F$746,"PATIO - RESERVA"),0)+IFERROR(SUMIFS('Base bordo'!G$2:G$746,'Base bordo'!C$2:C$746,A397,'Base bordo'!B$2:B$746,B397,'Base bordo'!F$2:F$746,"MANOBRA CARRETAS-PATIO"),0)</f>
        <v>9.5841666666666665</v>
      </c>
      <c r="J397" s="10">
        <f>IFERROR(SUMIFS('Base bordo'!G$2:G$746,'Base bordo'!C$2:C$746,A397,'Base bordo'!B$2:B$746,B397,'Base bordo'!F$2:F$746,"BALANÇA - ENTRADA"),0)+IFERROR(SUMIFS('Base bordo'!G$2:G$746,'Base bordo'!C$2:C$746,A397,'Base bordo'!B$2:B$746,B397,'Base bordo'!F$2:F$746,"BALANÇA - SAÍDA"),0)</f>
        <v>4.1944444444444444E-2</v>
      </c>
      <c r="K397" s="10">
        <f>IFERROR(SUMIFS('Base bordo'!G$2:G$746,'Base bordo'!C$2:C$746,A397,'Base bordo'!B$2:B$746,B397,'Base bordo'!F$2:F$746,"MAN PREVENTIVA - MECANICA"),0)+IFERROR(SUMIFS('Base bordo'!G$2:G$746,'Base bordo'!C$2:C$746,A397,'Base bordo'!B$2:B$746,B397,'Base bordo'!F$2:F$746,"MAN CORRETIVA - MECANICA"),0)</f>
        <v>0</v>
      </c>
      <c r="L397" s="10">
        <f>IFERROR(SUMIFS('Base bordo'!G$2:G$746,'Base bordo'!C$2:C$746,A397,'Base bordo'!B$2:B$746,B397,'Base bordo'!F$2:F$746,"MANUTENCAO - T O"),0)+IFERROR(SUMIFS('Base bordo'!G$2:G$746,'Base bordo'!C$2:C$746,A397,'Base bordo'!B$2:B$746,B397,'Base bordo'!F$2:F$746,"MANUTENCAO BORRACHARIA"),0)+IFERROR(SUMIFS('Base bordo'!G$2:G$746,'Base bordo'!C$2:C$746,A397,'Base bordo'!B$2:B$746,B397,'Base bordo'!F$2:F$746,"MANUTENCAO EXTERNA  CONCESSIONARIA"),0)+IFERROR(SUMIFS('Base bordo'!G$2:G$746,'Base bordo'!C$2:C$746,A397,'Base bordo'!B$2:B$746,B397,'Base bordo'!F$2:F$746,"MANUTENCAO TELEMETRIA"),0)</f>
        <v>1.6502777777777777</v>
      </c>
      <c r="M397" s="10">
        <f>IFERROR(SUMIFS('Base bordo'!G$2:G$746,'Base bordo'!C$2:C$746,A397,'Base bordo'!B$2:B$746,B397,'Base bordo'!F$2:F$746,"AGUARDANDO MANUTENCAO"),0)</f>
        <v>3.7263888888888888</v>
      </c>
      <c r="N397" s="10">
        <f>IFERROR(SUMIFS('Base bordo'!G$2:G$746,'Base bordo'!C$2:C$746,A397,'Base bordo'!B$2:B$746,B397,'Base bordo'!F$2:F$746,"SEM APONTAMENTO"),0)</f>
        <v>0</v>
      </c>
      <c r="O397" s="10">
        <f t="shared" si="42"/>
        <v>1.3066666666666684</v>
      </c>
      <c r="P397" s="10">
        <f>IFERROR(SUMIFS('Base bordo'!G$2:G$746,'Base bordo'!C$2:C$746,A397,'Base bordo'!B$2:B$746,B397),0)</f>
        <v>24</v>
      </c>
      <c r="Q397" s="10">
        <f>IFERROR(SUMIFS('Base bordo'!H$2:H$746,'Base bordo'!C$2:C$746,A397,'Base bordo'!B$2:B$746,B397,'Base bordo'!F$2:F$746,"DESLOCAMENTO VAZIO"),0)</f>
        <v>362928.54000000004</v>
      </c>
      <c r="R397" s="10">
        <f>IFERROR(SUMIFS('Base bordo'!I$2:I$746,'Base bordo'!C$2:C$746,A397,'Base bordo'!B$2:B$746,B397,'Base bordo'!F$2:F$746,"DESLOCAMENTO VAZIO"),0)</f>
        <v>10698</v>
      </c>
      <c r="S397" s="30">
        <f t="shared" si="43"/>
        <v>33.924896242288284</v>
      </c>
      <c r="T397" s="10">
        <f>IFERROR(SUMIFS('Base bordo'!H$2:H$746,'Base bordo'!C$2:C$746,A397,'Base bordo'!B$2:B$746,B397,'Base bordo'!F$2:F$746,"DESLOCAMENTO CARREGADO"),0)</f>
        <v>342744.39</v>
      </c>
      <c r="U397" s="10">
        <f>IFERROR(SUMIFS('Base bordo'!I$2:I$746,'Base bordo'!C$2:C$746,A397,'Base bordo'!B$2:B$746,B397,'Base bordo'!F$2:F$746,"DESLOCAMENTO CARREGADO"),0)</f>
        <v>13234</v>
      </c>
      <c r="V397" s="30">
        <f t="shared" si="44"/>
        <v>25.89877512467886</v>
      </c>
      <c r="W397" s="9">
        <f t="shared" si="45"/>
        <v>0.12381944444444444</v>
      </c>
      <c r="X397" s="9">
        <f t="shared" si="46"/>
        <v>0.15331018518518519</v>
      </c>
      <c r="Y397" s="9">
        <f t="shared" si="47"/>
        <v>0.72287037037037027</v>
      </c>
    </row>
    <row r="398" spans="1:25" ht="15" customHeight="1" x14ac:dyDescent="0.35">
      <c r="A398" s="52">
        <v>8013460</v>
      </c>
      <c r="B398" s="51">
        <v>46124</v>
      </c>
      <c r="C398" s="7" t="s">
        <v>124</v>
      </c>
      <c r="D398" s="10">
        <f>IFERROR(SUMIFS('Base bordo'!G$2:G$746,'Base bordo'!C$2:C$746,A398,'Base bordo'!B$2:B$746,B398,'Base bordo'!F$2:F$746,"DESLOCAMENTO VAZIO"),0)</f>
        <v>3.2269444444444444</v>
      </c>
      <c r="E398" s="10">
        <f>IFERROR(SUMIFS('Base bordo'!G$2:G$746,'Base bordo'!C$2:C$746,A398,'Base bordo'!B$2:B$746,B398,'Base bordo'!F$2:F$746,"DESLOCAMENTO CARREGADO"),0)</f>
        <v>4.5991666666666671</v>
      </c>
      <c r="F398" s="10">
        <f>IFERROR(SUMIFS('Base bordo'!G$2:G$746,'Base bordo'!C$2:C$746,A398,'Base bordo'!B$2:B$746,B398,'Base bordo'!F$2:F$746,"DESLOCAMENTO"),0)</f>
        <v>0</v>
      </c>
      <c r="G398" s="10">
        <f>IFERROR(SUMIFS('Base bordo'!G$2:G$746,'Base bordo'!C$2:C$746,A398,'Base bordo'!B$2:B$746,B398,'Base bordo'!F$2:F$746,"CARREGAMENTO"),0)</f>
        <v>0</v>
      </c>
      <c r="H398" s="10">
        <f>IFERROR(SUMIFS('Base bordo'!G$2:G$746,'Base bordo'!C$2:C$746,A398,'Base bordo'!B$2:B$746,B398,'Base bordo'!F$2:F$746,"AGUARDANDO TRANSBORDO"),0)</f>
        <v>0.1763888888888889</v>
      </c>
      <c r="I398" s="10">
        <f>IFERROR(SUMIFS('Base bordo'!G$2:G$746,'Base bordo'!C$2:C$746,A398,'Base bordo'!B$2:B$746,B398,'Base bordo'!F$2:F$746,"PÁTIO INTERNO"),0)+IFERROR(SUMIFS('Base bordo'!G$2:G$746,'Base bordo'!C$2:C$746,A398,'Base bordo'!B$2:B$746,B398,'Base bordo'!F$2:F$746,"PÁTIO EXTERNO"),0)+IFERROR(SUMIFS('Base bordo'!G$2:G$746,'Base bordo'!C$2:C$746,A398,'Base bordo'!B$2:B$746,B398,'Base bordo'!F$2:F$746,"PATIO - RESERVA"),0)+IFERROR(SUMIFS('Base bordo'!G$2:G$746,'Base bordo'!C$2:C$746,A398,'Base bordo'!B$2:B$746,B398,'Base bordo'!F$2:F$746,"MANOBRA CARRETAS-PATIO"),0)</f>
        <v>8.8005555555555546</v>
      </c>
      <c r="J398" s="10">
        <f>IFERROR(SUMIFS('Base bordo'!G$2:G$746,'Base bordo'!C$2:C$746,A398,'Base bordo'!B$2:B$746,B398,'Base bordo'!F$2:F$746,"BALANÇA - ENTRADA"),0)+IFERROR(SUMIFS('Base bordo'!G$2:G$746,'Base bordo'!C$2:C$746,A398,'Base bordo'!B$2:B$746,B398,'Base bordo'!F$2:F$746,"BALANÇA - SAÍDA"),0)</f>
        <v>0.12222222222222223</v>
      </c>
      <c r="K398" s="10">
        <f>IFERROR(SUMIFS('Base bordo'!G$2:G$746,'Base bordo'!C$2:C$746,A398,'Base bordo'!B$2:B$746,B398,'Base bordo'!F$2:F$746,"MAN PREVENTIVA - MECANICA"),0)+IFERROR(SUMIFS('Base bordo'!G$2:G$746,'Base bordo'!C$2:C$746,A398,'Base bordo'!B$2:B$746,B398,'Base bordo'!F$2:F$746,"MAN CORRETIVA - MECANICA"),0)</f>
        <v>0</v>
      </c>
      <c r="L398" s="10">
        <f>IFERROR(SUMIFS('Base bordo'!G$2:G$746,'Base bordo'!C$2:C$746,A398,'Base bordo'!B$2:B$746,B398,'Base bordo'!F$2:F$746,"MANUTENCAO - T O"),0)+IFERROR(SUMIFS('Base bordo'!G$2:G$746,'Base bordo'!C$2:C$746,A398,'Base bordo'!B$2:B$746,B398,'Base bordo'!F$2:F$746,"MANUTENCAO BORRACHARIA"),0)+IFERROR(SUMIFS('Base bordo'!G$2:G$746,'Base bordo'!C$2:C$746,A398,'Base bordo'!B$2:B$746,B398,'Base bordo'!F$2:F$746,"MANUTENCAO EXTERNA  CONCESSIONARIA"),0)+IFERROR(SUMIFS('Base bordo'!G$2:G$746,'Base bordo'!C$2:C$746,A398,'Base bordo'!B$2:B$746,B398,'Base bordo'!F$2:F$746,"MANUTENCAO TELEMETRIA"),0)</f>
        <v>0</v>
      </c>
      <c r="M398" s="10">
        <f>IFERROR(SUMIFS('Base bordo'!G$2:G$746,'Base bordo'!C$2:C$746,A398,'Base bordo'!B$2:B$746,B398,'Base bordo'!F$2:F$746,"AGUARDANDO MANUTENCAO"),0)</f>
        <v>0</v>
      </c>
      <c r="N398" s="10">
        <f>IFERROR(SUMIFS('Base bordo'!G$2:G$746,'Base bordo'!C$2:C$746,A398,'Base bordo'!B$2:B$746,B398,'Base bordo'!F$2:F$746,"SEM APONTAMENTO"),0)</f>
        <v>0</v>
      </c>
      <c r="O398" s="10">
        <f t="shared" si="42"/>
        <v>0</v>
      </c>
      <c r="P398" s="10">
        <f>IFERROR(SUMIFS('Base bordo'!G$2:G$746,'Base bordo'!C$2:C$746,A398,'Base bordo'!B$2:B$746,B398),0)</f>
        <v>16.925277777777776</v>
      </c>
      <c r="Q398" s="10">
        <f>IFERROR(SUMIFS('Base bordo'!H$2:H$746,'Base bordo'!C$2:C$746,A398,'Base bordo'!B$2:B$746,B398,'Base bordo'!F$2:F$746,"DESLOCAMENTO VAZIO"),0)</f>
        <v>360275.76</v>
      </c>
      <c r="R398" s="10">
        <f>IFERROR(SUMIFS('Base bordo'!I$2:I$746,'Base bordo'!C$2:C$746,A398,'Base bordo'!B$2:B$746,B398,'Base bordo'!F$2:F$746,"DESLOCAMENTO VAZIO"),0)</f>
        <v>11617</v>
      </c>
      <c r="S398" s="30">
        <f t="shared" si="43"/>
        <v>31.012805371438411</v>
      </c>
      <c r="T398" s="10">
        <f>IFERROR(SUMIFS('Base bordo'!H$2:H$746,'Base bordo'!C$2:C$746,A398,'Base bordo'!B$2:B$746,B398,'Base bordo'!F$2:F$746,"DESLOCAMENTO CARREGADO"),0)</f>
        <v>354323.07999999996</v>
      </c>
      <c r="U398" s="10">
        <f>IFERROR(SUMIFS('Base bordo'!I$2:I$746,'Base bordo'!C$2:C$746,A398,'Base bordo'!B$2:B$746,B398,'Base bordo'!F$2:F$746,"DESLOCAMENTO CARREGADO"),0)</f>
        <v>16557</v>
      </c>
      <c r="V398" s="30">
        <f t="shared" si="44"/>
        <v>21.400198103521166</v>
      </c>
      <c r="W398" s="9">
        <f t="shared" si="45"/>
        <v>0.19065828560174625</v>
      </c>
      <c r="X398" s="9">
        <f t="shared" si="46"/>
        <v>0.27173360030198096</v>
      </c>
      <c r="Y398" s="9">
        <f t="shared" si="47"/>
        <v>0.53760811409627274</v>
      </c>
    </row>
    <row r="399" spans="1:25" ht="15" customHeight="1" x14ac:dyDescent="0.35">
      <c r="A399" s="52">
        <v>8013473</v>
      </c>
      <c r="B399" s="51">
        <v>46124</v>
      </c>
      <c r="C399" s="7" t="s">
        <v>124</v>
      </c>
      <c r="D399" s="10">
        <f>IFERROR(SUMIFS('Base bordo'!G$2:G$746,'Base bordo'!C$2:C$746,A399,'Base bordo'!B$2:B$746,B399,'Base bordo'!F$2:F$746,"DESLOCAMENTO VAZIO"),0)</f>
        <v>3.3650000000000002</v>
      </c>
      <c r="E399" s="10">
        <f>IFERROR(SUMIFS('Base bordo'!G$2:G$746,'Base bordo'!C$2:C$746,A399,'Base bordo'!B$2:B$746,B399,'Base bordo'!F$2:F$746,"DESLOCAMENTO CARREGADO"),0)</f>
        <v>4.0566666666666666</v>
      </c>
      <c r="F399" s="10">
        <f>IFERROR(SUMIFS('Base bordo'!G$2:G$746,'Base bordo'!C$2:C$746,A399,'Base bordo'!B$2:B$746,B399,'Base bordo'!F$2:F$746,"DESLOCAMENTO"),0)</f>
        <v>0</v>
      </c>
      <c r="G399" s="10">
        <f>IFERROR(SUMIFS('Base bordo'!G$2:G$746,'Base bordo'!C$2:C$746,A399,'Base bordo'!B$2:B$746,B399,'Base bordo'!F$2:F$746,"CARREGAMENTO"),0)</f>
        <v>0</v>
      </c>
      <c r="H399" s="10">
        <f>IFERROR(SUMIFS('Base bordo'!G$2:G$746,'Base bordo'!C$2:C$746,A399,'Base bordo'!B$2:B$746,B399,'Base bordo'!F$2:F$746,"AGUARDANDO TRANSBORDO"),0)</f>
        <v>0.39333333333333331</v>
      </c>
      <c r="I399" s="10">
        <f>IFERROR(SUMIFS('Base bordo'!G$2:G$746,'Base bordo'!C$2:C$746,A399,'Base bordo'!B$2:B$746,B399,'Base bordo'!F$2:F$746,"PÁTIO INTERNO"),0)+IFERROR(SUMIFS('Base bordo'!G$2:G$746,'Base bordo'!C$2:C$746,A399,'Base bordo'!B$2:B$746,B399,'Base bordo'!F$2:F$746,"PÁTIO EXTERNO"),0)+IFERROR(SUMIFS('Base bordo'!G$2:G$746,'Base bordo'!C$2:C$746,A399,'Base bordo'!B$2:B$746,B399,'Base bordo'!F$2:F$746,"PATIO - RESERVA"),0)+IFERROR(SUMIFS('Base bordo'!G$2:G$746,'Base bordo'!C$2:C$746,A399,'Base bordo'!B$2:B$746,B399,'Base bordo'!F$2:F$746,"MANOBRA CARRETAS-PATIO"),0)</f>
        <v>4.1744444444444442</v>
      </c>
      <c r="J399" s="10">
        <f>IFERROR(SUMIFS('Base bordo'!G$2:G$746,'Base bordo'!C$2:C$746,A399,'Base bordo'!B$2:B$746,B399,'Base bordo'!F$2:F$746,"BALANÇA - ENTRADA"),0)+IFERROR(SUMIFS('Base bordo'!G$2:G$746,'Base bordo'!C$2:C$746,A399,'Base bordo'!B$2:B$746,B399,'Base bordo'!F$2:F$746,"BALANÇA - SAÍDA"),0)</f>
        <v>0.27249999999999996</v>
      </c>
      <c r="K399" s="10">
        <f>IFERROR(SUMIFS('Base bordo'!G$2:G$746,'Base bordo'!C$2:C$746,A399,'Base bordo'!B$2:B$746,B399,'Base bordo'!F$2:F$746,"MAN PREVENTIVA - MECANICA"),0)+IFERROR(SUMIFS('Base bordo'!G$2:G$746,'Base bordo'!C$2:C$746,A399,'Base bordo'!B$2:B$746,B399,'Base bordo'!F$2:F$746,"MAN CORRETIVA - MECANICA"),0)</f>
        <v>0</v>
      </c>
      <c r="L399" s="10">
        <f>IFERROR(SUMIFS('Base bordo'!G$2:G$746,'Base bordo'!C$2:C$746,A399,'Base bordo'!B$2:B$746,B399,'Base bordo'!F$2:F$746,"MANUTENCAO - T O"),0)+IFERROR(SUMIFS('Base bordo'!G$2:G$746,'Base bordo'!C$2:C$746,A399,'Base bordo'!B$2:B$746,B399,'Base bordo'!F$2:F$746,"MANUTENCAO BORRACHARIA"),0)+IFERROR(SUMIFS('Base bordo'!G$2:G$746,'Base bordo'!C$2:C$746,A399,'Base bordo'!B$2:B$746,B399,'Base bordo'!F$2:F$746,"MANUTENCAO EXTERNA  CONCESSIONARIA"),0)+IFERROR(SUMIFS('Base bordo'!G$2:G$746,'Base bordo'!C$2:C$746,A399,'Base bordo'!B$2:B$746,B399,'Base bordo'!F$2:F$746,"MANUTENCAO TELEMETRIA"),0)</f>
        <v>0</v>
      </c>
      <c r="M399" s="10">
        <f>IFERROR(SUMIFS('Base bordo'!G$2:G$746,'Base bordo'!C$2:C$746,A399,'Base bordo'!B$2:B$746,B399,'Base bordo'!F$2:F$746,"AGUARDANDO MANUTENCAO"),0)</f>
        <v>0</v>
      </c>
      <c r="N399" s="10">
        <f>IFERROR(SUMIFS('Base bordo'!G$2:G$746,'Base bordo'!C$2:C$746,A399,'Base bordo'!B$2:B$746,B399,'Base bordo'!F$2:F$746,"SEM APONTAMENTO"),0)</f>
        <v>0</v>
      </c>
      <c r="O399" s="10">
        <f t="shared" ref="O399:O462" si="48">IFERROR(P399-SUM(D399:N399),0)</f>
        <v>0.26305555555555138</v>
      </c>
      <c r="P399" s="10">
        <f>IFERROR(SUMIFS('Base bordo'!G$2:G$746,'Base bordo'!C$2:C$746,A399,'Base bordo'!B$2:B$746,B399),0)</f>
        <v>12.524999999999997</v>
      </c>
      <c r="Q399" s="10">
        <f>IFERROR(SUMIFS('Base bordo'!H$2:H$746,'Base bordo'!C$2:C$746,A399,'Base bordo'!B$2:B$746,B399,'Base bordo'!F$2:F$746,"DESLOCAMENTO VAZIO"),0)</f>
        <v>427465.79</v>
      </c>
      <c r="R399" s="10">
        <f>IFERROR(SUMIFS('Base bordo'!I$2:I$746,'Base bordo'!C$2:C$746,A399,'Base bordo'!B$2:B$746,B399,'Base bordo'!F$2:F$746,"DESLOCAMENTO VAZIO"),0)</f>
        <v>12114</v>
      </c>
      <c r="S399" s="30">
        <f t="shared" ref="S399:S462" si="49">IFERROR(Q399/R399,"")</f>
        <v>35.286923394419681</v>
      </c>
      <c r="T399" s="10">
        <f>IFERROR(SUMIFS('Base bordo'!H$2:H$746,'Base bordo'!C$2:C$746,A399,'Base bordo'!B$2:B$746,B399,'Base bordo'!F$2:F$746,"DESLOCAMENTO CARREGADO"),0)</f>
        <v>388337.10000000003</v>
      </c>
      <c r="U399" s="10">
        <f>IFERROR(SUMIFS('Base bordo'!I$2:I$746,'Base bordo'!C$2:C$746,A399,'Base bordo'!B$2:B$746,B399,'Base bordo'!F$2:F$746,"DESLOCAMENTO CARREGADO"),0)</f>
        <v>14604</v>
      </c>
      <c r="V399" s="30">
        <f t="shared" ref="V399:V462" si="50">IFERROR(T399/U399,"")</f>
        <v>26.591146261298277</v>
      </c>
      <c r="W399" s="9">
        <f t="shared" ref="W399:W462" si="51">IFERROR(D399/P399,0)</f>
        <v>0.26866267465069871</v>
      </c>
      <c r="X399" s="9">
        <f t="shared" ref="X399:X462" si="52">IFERROR(E399/P399,0)</f>
        <v>0.32388556220891557</v>
      </c>
      <c r="Y399" s="9">
        <f t="shared" ref="Y399:Y462" si="53">IFERROR(1-((D399+E399)/P399),0)</f>
        <v>0.40745176314038578</v>
      </c>
    </row>
    <row r="400" spans="1:25" ht="15" customHeight="1" x14ac:dyDescent="0.35">
      <c r="A400" s="52">
        <v>8013468</v>
      </c>
      <c r="B400" s="51">
        <v>46124</v>
      </c>
      <c r="C400" s="7" t="s">
        <v>124</v>
      </c>
      <c r="D400" s="10">
        <f>IFERROR(SUMIFS('Base bordo'!G$2:G$746,'Base bordo'!C$2:C$746,A400,'Base bordo'!B$2:B$746,B400,'Base bordo'!F$2:F$746,"DESLOCAMENTO VAZIO"),0)</f>
        <v>2.4347222222222222</v>
      </c>
      <c r="E400" s="10">
        <f>IFERROR(SUMIFS('Base bordo'!G$2:G$746,'Base bordo'!C$2:C$746,A400,'Base bordo'!B$2:B$746,B400,'Base bordo'!F$2:F$746,"DESLOCAMENTO CARREGADO"),0)</f>
        <v>3.8097222222222222</v>
      </c>
      <c r="F400" s="10">
        <f>IFERROR(SUMIFS('Base bordo'!G$2:G$746,'Base bordo'!C$2:C$746,A400,'Base bordo'!B$2:B$746,B400,'Base bordo'!F$2:F$746,"DESLOCAMENTO"),0)</f>
        <v>0</v>
      </c>
      <c r="G400" s="10">
        <f>IFERROR(SUMIFS('Base bordo'!G$2:G$746,'Base bordo'!C$2:C$746,A400,'Base bordo'!B$2:B$746,B400,'Base bordo'!F$2:F$746,"CARREGAMENTO"),0)</f>
        <v>0</v>
      </c>
      <c r="H400" s="10">
        <f>IFERROR(SUMIFS('Base bordo'!G$2:G$746,'Base bordo'!C$2:C$746,A400,'Base bordo'!B$2:B$746,B400,'Base bordo'!F$2:F$746,"AGUARDANDO TRANSBORDO"),0)</f>
        <v>0.71027777777777779</v>
      </c>
      <c r="I400" s="10">
        <f>IFERROR(SUMIFS('Base bordo'!G$2:G$746,'Base bordo'!C$2:C$746,A400,'Base bordo'!B$2:B$746,B400,'Base bordo'!F$2:F$746,"PÁTIO INTERNO"),0)+IFERROR(SUMIFS('Base bordo'!G$2:G$746,'Base bordo'!C$2:C$746,A400,'Base bordo'!B$2:B$746,B400,'Base bordo'!F$2:F$746,"PÁTIO EXTERNO"),0)+IFERROR(SUMIFS('Base bordo'!G$2:G$746,'Base bordo'!C$2:C$746,A400,'Base bordo'!B$2:B$746,B400,'Base bordo'!F$2:F$746,"PATIO - RESERVA"),0)+IFERROR(SUMIFS('Base bordo'!G$2:G$746,'Base bordo'!C$2:C$746,A400,'Base bordo'!B$2:B$746,B400,'Base bordo'!F$2:F$746,"MANOBRA CARRETAS-PATIO"),0)</f>
        <v>5.4283333333333337</v>
      </c>
      <c r="J400" s="10">
        <f>IFERROR(SUMIFS('Base bordo'!G$2:G$746,'Base bordo'!C$2:C$746,A400,'Base bordo'!B$2:B$746,B400,'Base bordo'!F$2:F$746,"BALANÇA - ENTRADA"),0)+IFERROR(SUMIFS('Base bordo'!G$2:G$746,'Base bordo'!C$2:C$746,A400,'Base bordo'!B$2:B$746,B400,'Base bordo'!F$2:F$746,"BALANÇA - SAÍDA"),0)</f>
        <v>0.4177777777777778</v>
      </c>
      <c r="K400" s="10">
        <f>IFERROR(SUMIFS('Base bordo'!G$2:G$746,'Base bordo'!C$2:C$746,A400,'Base bordo'!B$2:B$746,B400,'Base bordo'!F$2:F$746,"MAN PREVENTIVA - MECANICA"),0)+IFERROR(SUMIFS('Base bordo'!G$2:G$746,'Base bordo'!C$2:C$746,A400,'Base bordo'!B$2:B$746,B400,'Base bordo'!F$2:F$746,"MAN CORRETIVA - MECANICA"),0)</f>
        <v>0</v>
      </c>
      <c r="L400" s="10">
        <f>IFERROR(SUMIFS('Base bordo'!G$2:G$746,'Base bordo'!C$2:C$746,A400,'Base bordo'!B$2:B$746,B400,'Base bordo'!F$2:F$746,"MANUTENCAO - T O"),0)+IFERROR(SUMIFS('Base bordo'!G$2:G$746,'Base bordo'!C$2:C$746,A400,'Base bordo'!B$2:B$746,B400,'Base bordo'!F$2:F$746,"MANUTENCAO BORRACHARIA"),0)+IFERROR(SUMIFS('Base bordo'!G$2:G$746,'Base bordo'!C$2:C$746,A400,'Base bordo'!B$2:B$746,B400,'Base bordo'!F$2:F$746,"MANUTENCAO EXTERNA  CONCESSIONARIA"),0)+IFERROR(SUMIFS('Base bordo'!G$2:G$746,'Base bordo'!C$2:C$746,A400,'Base bordo'!B$2:B$746,B400,'Base bordo'!F$2:F$746,"MANUTENCAO TELEMETRIA"),0)</f>
        <v>0</v>
      </c>
      <c r="M400" s="10">
        <f>IFERROR(SUMIFS('Base bordo'!G$2:G$746,'Base bordo'!C$2:C$746,A400,'Base bordo'!B$2:B$746,B400,'Base bordo'!F$2:F$746,"AGUARDANDO MANUTENCAO"),0)</f>
        <v>0</v>
      </c>
      <c r="N400" s="10">
        <f>IFERROR(SUMIFS('Base bordo'!G$2:G$746,'Base bordo'!C$2:C$746,A400,'Base bordo'!B$2:B$746,B400,'Base bordo'!F$2:F$746,"SEM APONTAMENTO"),0)</f>
        <v>0</v>
      </c>
      <c r="O400" s="10">
        <f t="shared" si="48"/>
        <v>1.7763568394002505E-15</v>
      </c>
      <c r="P400" s="10">
        <f>IFERROR(SUMIFS('Base bordo'!G$2:G$746,'Base bordo'!C$2:C$746,A400,'Base bordo'!B$2:B$746,B400),0)</f>
        <v>12.800833333333335</v>
      </c>
      <c r="Q400" s="10">
        <f>IFERROR(SUMIFS('Base bordo'!H$2:H$746,'Base bordo'!C$2:C$746,A400,'Base bordo'!B$2:B$746,B400,'Base bordo'!F$2:F$746,"DESLOCAMENTO VAZIO"),0)</f>
        <v>322127.41000000003</v>
      </c>
      <c r="R400" s="10">
        <f>IFERROR(SUMIFS('Base bordo'!I$2:I$746,'Base bordo'!C$2:C$746,A400,'Base bordo'!B$2:B$746,B400,'Base bordo'!F$2:F$746,"DESLOCAMENTO VAZIO"),0)</f>
        <v>8765</v>
      </c>
      <c r="S400" s="30">
        <f t="shared" si="49"/>
        <v>36.751558471192247</v>
      </c>
      <c r="T400" s="10">
        <f>IFERROR(SUMIFS('Base bordo'!H$2:H$746,'Base bordo'!C$2:C$746,A400,'Base bordo'!B$2:B$746,B400,'Base bordo'!F$2:F$746,"DESLOCAMENTO CARREGADO"),0)</f>
        <v>341587.70999999996</v>
      </c>
      <c r="U400" s="10">
        <f>IFERROR(SUMIFS('Base bordo'!I$2:I$746,'Base bordo'!C$2:C$746,A400,'Base bordo'!B$2:B$746,B400,'Base bordo'!F$2:F$746,"DESLOCAMENTO CARREGADO"),0)</f>
        <v>13715</v>
      </c>
      <c r="V400" s="30">
        <f t="shared" si="50"/>
        <v>24.906139992708709</v>
      </c>
      <c r="W400" s="9">
        <f t="shared" si="51"/>
        <v>0.19020029077968012</v>
      </c>
      <c r="X400" s="9">
        <f t="shared" si="52"/>
        <v>0.29761517262331005</v>
      </c>
      <c r="Y400" s="9">
        <f t="shared" si="53"/>
        <v>0.5121845365970098</v>
      </c>
    </row>
    <row r="401" spans="1:25" ht="15" customHeight="1" x14ac:dyDescent="0.35">
      <c r="A401" s="52">
        <v>8013461</v>
      </c>
      <c r="B401" s="51">
        <v>46117</v>
      </c>
      <c r="C401" s="7" t="s">
        <v>124</v>
      </c>
      <c r="D401" s="10">
        <f>IFERROR(SUMIFS('Base bordo'!G$2:G$746,'Base bordo'!C$2:C$746,A401,'Base bordo'!B$2:B$746,B401,'Base bordo'!F$2:F$746,"DESLOCAMENTO VAZIO"),0)</f>
        <v>4.035277777777778</v>
      </c>
      <c r="E401" s="10">
        <f>IFERROR(SUMIFS('Base bordo'!G$2:G$746,'Base bordo'!C$2:C$746,A401,'Base bordo'!B$2:B$746,B401,'Base bordo'!F$2:F$746,"DESLOCAMENTO CARREGADO"),0)</f>
        <v>0.74527777777777782</v>
      </c>
      <c r="F401" s="10">
        <f>IFERROR(SUMIFS('Base bordo'!G$2:G$746,'Base bordo'!C$2:C$746,A401,'Base bordo'!B$2:B$746,B401,'Base bordo'!F$2:F$746,"DESLOCAMENTO"),0)</f>
        <v>0.7155555555555555</v>
      </c>
      <c r="G401" s="10">
        <f>IFERROR(SUMIFS('Base bordo'!G$2:G$746,'Base bordo'!C$2:C$746,A401,'Base bordo'!B$2:B$746,B401,'Base bordo'!F$2:F$746,"CARREGAMENTO"),0)</f>
        <v>0.18611111111111112</v>
      </c>
      <c r="H401" s="10">
        <f>IFERROR(SUMIFS('Base bordo'!G$2:G$746,'Base bordo'!C$2:C$746,A401,'Base bordo'!B$2:B$746,B401,'Base bordo'!F$2:F$746,"AGUARDANDO TRANSBORDO"),0)</f>
        <v>0.22416666666666665</v>
      </c>
      <c r="I401" s="10">
        <f>IFERROR(SUMIFS('Base bordo'!G$2:G$746,'Base bordo'!C$2:C$746,A401,'Base bordo'!B$2:B$746,B401,'Base bordo'!F$2:F$746,"PÁTIO INTERNO"),0)+IFERROR(SUMIFS('Base bordo'!G$2:G$746,'Base bordo'!C$2:C$746,A401,'Base bordo'!B$2:B$746,B401,'Base bordo'!F$2:F$746,"PÁTIO EXTERNO"),0)+IFERROR(SUMIFS('Base bordo'!G$2:G$746,'Base bordo'!C$2:C$746,A401,'Base bordo'!B$2:B$746,B401,'Base bordo'!F$2:F$746,"PATIO - RESERVA"),0)+IFERROR(SUMIFS('Base bordo'!G$2:G$746,'Base bordo'!C$2:C$746,A401,'Base bordo'!B$2:B$746,B401,'Base bordo'!F$2:F$746,"MANOBRA CARRETAS-PATIO"),0)</f>
        <v>0</v>
      </c>
      <c r="J401" s="10">
        <f>IFERROR(SUMIFS('Base bordo'!G$2:G$746,'Base bordo'!C$2:C$746,A401,'Base bordo'!B$2:B$746,B401,'Base bordo'!F$2:F$746,"BALANÇA - ENTRADA"),0)+IFERROR(SUMIFS('Base bordo'!G$2:G$746,'Base bordo'!C$2:C$746,A401,'Base bordo'!B$2:B$746,B401,'Base bordo'!F$2:F$746,"BALANÇA - SAÍDA"),0)</f>
        <v>0</v>
      </c>
      <c r="K401" s="10">
        <f>IFERROR(SUMIFS('Base bordo'!G$2:G$746,'Base bordo'!C$2:C$746,A401,'Base bordo'!B$2:B$746,B401,'Base bordo'!F$2:F$746,"MAN PREVENTIVA - MECANICA"),0)+IFERROR(SUMIFS('Base bordo'!G$2:G$746,'Base bordo'!C$2:C$746,A401,'Base bordo'!B$2:B$746,B401,'Base bordo'!F$2:F$746,"MAN CORRETIVA - MECANICA"),0)</f>
        <v>0</v>
      </c>
      <c r="L401" s="10">
        <f>IFERROR(SUMIFS('Base bordo'!G$2:G$746,'Base bordo'!C$2:C$746,A401,'Base bordo'!B$2:B$746,B401,'Base bordo'!F$2:F$746,"MANUTENCAO - T O"),0)+IFERROR(SUMIFS('Base bordo'!G$2:G$746,'Base bordo'!C$2:C$746,A401,'Base bordo'!B$2:B$746,B401,'Base bordo'!F$2:F$746,"MANUTENCAO BORRACHARIA"),0)+IFERROR(SUMIFS('Base bordo'!G$2:G$746,'Base bordo'!C$2:C$746,A401,'Base bordo'!B$2:B$746,B401,'Base bordo'!F$2:F$746,"MANUTENCAO EXTERNA  CONCESSIONARIA"),0)+IFERROR(SUMIFS('Base bordo'!G$2:G$746,'Base bordo'!C$2:C$746,A401,'Base bordo'!B$2:B$746,B401,'Base bordo'!F$2:F$746,"MANUTENCAO TELEMETRIA"),0)</f>
        <v>8.9302777777777784</v>
      </c>
      <c r="M401" s="10">
        <f>IFERROR(SUMIFS('Base bordo'!G$2:G$746,'Base bordo'!C$2:C$746,A401,'Base bordo'!B$2:B$746,B401,'Base bordo'!F$2:F$746,"AGUARDANDO MANUTENCAO"),0)</f>
        <v>0</v>
      </c>
      <c r="N401" s="10">
        <f>IFERROR(SUMIFS('Base bordo'!G$2:G$746,'Base bordo'!C$2:C$746,A401,'Base bordo'!B$2:B$746,B401,'Base bordo'!F$2:F$746,"SEM APONTAMENTO"),0)</f>
        <v>0.91388888888888886</v>
      </c>
      <c r="O401" s="10">
        <f t="shared" si="48"/>
        <v>8.2494444444444426</v>
      </c>
      <c r="P401" s="10">
        <f>IFERROR(SUMIFS('Base bordo'!G$2:G$746,'Base bordo'!C$2:C$746,A401,'Base bordo'!B$2:B$746,B401),0)</f>
        <v>24</v>
      </c>
      <c r="Q401" s="10">
        <f>IFERROR(SUMIFS('Base bordo'!H$2:H$746,'Base bordo'!C$2:C$746,A401,'Base bordo'!B$2:B$746,B401,'Base bordo'!F$2:F$746,"DESLOCAMENTO VAZIO"),0)</f>
        <v>619414.3600000001</v>
      </c>
      <c r="R401" s="10">
        <f>IFERROR(SUMIFS('Base bordo'!I$2:I$746,'Base bordo'!C$2:C$746,A401,'Base bordo'!B$2:B$746,B401,'Base bordo'!F$2:F$746,"DESLOCAMENTO VAZIO"),0)</f>
        <v>14527</v>
      </c>
      <c r="S401" s="30">
        <f t="shared" si="49"/>
        <v>42.638835272251676</v>
      </c>
      <c r="T401" s="10">
        <f>IFERROR(SUMIFS('Base bordo'!H$2:H$746,'Base bordo'!C$2:C$746,A401,'Base bordo'!B$2:B$746,B401,'Base bordo'!F$2:F$746,"DESLOCAMENTO CARREGADO"),0)</f>
        <v>37451.120000000003</v>
      </c>
      <c r="U401" s="10">
        <f>IFERROR(SUMIFS('Base bordo'!I$2:I$746,'Base bordo'!C$2:C$746,A401,'Base bordo'!B$2:B$746,B401,'Base bordo'!F$2:F$746,"DESLOCAMENTO CARREGADO"),0)</f>
        <v>2683</v>
      </c>
      <c r="V401" s="30">
        <f t="shared" si="50"/>
        <v>13.958673127096535</v>
      </c>
      <c r="W401" s="9">
        <f t="shared" si="51"/>
        <v>0.16813657407407409</v>
      </c>
      <c r="X401" s="9">
        <f t="shared" si="52"/>
        <v>3.1053240740740742E-2</v>
      </c>
      <c r="Y401" s="9">
        <f t="shared" si="53"/>
        <v>0.80081018518518521</v>
      </c>
    </row>
    <row r="402" spans="1:25" ht="15" customHeight="1" x14ac:dyDescent="0.35">
      <c r="A402" s="52">
        <v>8013469</v>
      </c>
      <c r="B402" s="51">
        <v>46123</v>
      </c>
      <c r="C402" s="7" t="s">
        <v>124</v>
      </c>
      <c r="D402" s="10">
        <f>IFERROR(SUMIFS('Base bordo'!G$2:G$746,'Base bordo'!C$2:C$746,A402,'Base bordo'!B$2:B$746,B402,'Base bordo'!F$2:F$746,"DESLOCAMENTO VAZIO"),0)</f>
        <v>1.6805555555555556</v>
      </c>
      <c r="E402" s="10">
        <f>IFERROR(SUMIFS('Base bordo'!G$2:G$746,'Base bordo'!C$2:C$746,A402,'Base bordo'!B$2:B$746,B402,'Base bordo'!F$2:F$746,"DESLOCAMENTO CARREGADO"),0)</f>
        <v>2.6211111111111109</v>
      </c>
      <c r="F402" s="10">
        <f>IFERROR(SUMIFS('Base bordo'!G$2:G$746,'Base bordo'!C$2:C$746,A402,'Base bordo'!B$2:B$746,B402,'Base bordo'!F$2:F$746,"DESLOCAMENTO"),0)</f>
        <v>0</v>
      </c>
      <c r="G402" s="10">
        <f>IFERROR(SUMIFS('Base bordo'!G$2:G$746,'Base bordo'!C$2:C$746,A402,'Base bordo'!B$2:B$746,B402,'Base bordo'!F$2:F$746,"CARREGAMENTO"),0)</f>
        <v>0</v>
      </c>
      <c r="H402" s="10">
        <f>IFERROR(SUMIFS('Base bordo'!G$2:G$746,'Base bordo'!C$2:C$746,A402,'Base bordo'!B$2:B$746,B402,'Base bordo'!F$2:F$746,"AGUARDANDO TRANSBORDO"),0)</f>
        <v>0.38972222222222225</v>
      </c>
      <c r="I402" s="10">
        <f>IFERROR(SUMIFS('Base bordo'!G$2:G$746,'Base bordo'!C$2:C$746,A402,'Base bordo'!B$2:B$746,B402,'Base bordo'!F$2:F$746,"PÁTIO INTERNO"),0)+IFERROR(SUMIFS('Base bordo'!G$2:G$746,'Base bordo'!C$2:C$746,A402,'Base bordo'!B$2:B$746,B402,'Base bordo'!F$2:F$746,"PÁTIO EXTERNO"),0)+IFERROR(SUMIFS('Base bordo'!G$2:G$746,'Base bordo'!C$2:C$746,A402,'Base bordo'!B$2:B$746,B402,'Base bordo'!F$2:F$746,"PATIO - RESERVA"),0)+IFERROR(SUMIFS('Base bordo'!G$2:G$746,'Base bordo'!C$2:C$746,A402,'Base bordo'!B$2:B$746,B402,'Base bordo'!F$2:F$746,"MANOBRA CARRETAS-PATIO"),0)</f>
        <v>0.80083333333333329</v>
      </c>
      <c r="J402" s="10">
        <f>IFERROR(SUMIFS('Base bordo'!G$2:G$746,'Base bordo'!C$2:C$746,A402,'Base bordo'!B$2:B$746,B402,'Base bordo'!F$2:F$746,"BALANÇA - ENTRADA"),0)+IFERROR(SUMIFS('Base bordo'!G$2:G$746,'Base bordo'!C$2:C$746,A402,'Base bordo'!B$2:B$746,B402,'Base bordo'!F$2:F$746,"BALANÇA - SAÍDA"),0)</f>
        <v>0</v>
      </c>
      <c r="K402" s="10">
        <f>IFERROR(SUMIFS('Base bordo'!G$2:G$746,'Base bordo'!C$2:C$746,A402,'Base bordo'!B$2:B$746,B402,'Base bordo'!F$2:F$746,"MAN PREVENTIVA - MECANICA"),0)+IFERROR(SUMIFS('Base bordo'!G$2:G$746,'Base bordo'!C$2:C$746,A402,'Base bordo'!B$2:B$746,B402,'Base bordo'!F$2:F$746,"MAN CORRETIVA - MECANICA"),0)</f>
        <v>0</v>
      </c>
      <c r="L402" s="10">
        <f>IFERROR(SUMIFS('Base bordo'!G$2:G$746,'Base bordo'!C$2:C$746,A402,'Base bordo'!B$2:B$746,B402,'Base bordo'!F$2:F$746,"MANUTENCAO - T O"),0)+IFERROR(SUMIFS('Base bordo'!G$2:G$746,'Base bordo'!C$2:C$746,A402,'Base bordo'!B$2:B$746,B402,'Base bordo'!F$2:F$746,"MANUTENCAO BORRACHARIA"),0)+IFERROR(SUMIFS('Base bordo'!G$2:G$746,'Base bordo'!C$2:C$746,A402,'Base bordo'!B$2:B$746,B402,'Base bordo'!F$2:F$746,"MANUTENCAO EXTERNA  CONCESSIONARIA"),0)+IFERROR(SUMIFS('Base bordo'!G$2:G$746,'Base bordo'!C$2:C$746,A402,'Base bordo'!B$2:B$746,B402,'Base bordo'!F$2:F$746,"MANUTENCAO TELEMETRIA"),0)</f>
        <v>0</v>
      </c>
      <c r="M402" s="10">
        <f>IFERROR(SUMIFS('Base bordo'!G$2:G$746,'Base bordo'!C$2:C$746,A402,'Base bordo'!B$2:B$746,B402,'Base bordo'!F$2:F$746,"AGUARDANDO MANUTENCAO"),0)</f>
        <v>0</v>
      </c>
      <c r="N402" s="10">
        <f>IFERROR(SUMIFS('Base bordo'!G$2:G$746,'Base bordo'!C$2:C$746,A402,'Base bordo'!B$2:B$746,B402,'Base bordo'!F$2:F$746,"SEM APONTAMENTO"),0)</f>
        <v>0</v>
      </c>
      <c r="O402" s="10">
        <f t="shared" si="48"/>
        <v>3.0000000000000249E-2</v>
      </c>
      <c r="P402" s="10">
        <f>IFERROR(SUMIFS('Base bordo'!G$2:G$746,'Base bordo'!C$2:C$746,A402,'Base bordo'!B$2:B$746,B402),0)</f>
        <v>5.5222222222222221</v>
      </c>
      <c r="Q402" s="10">
        <f>IFERROR(SUMIFS('Base bordo'!H$2:H$746,'Base bordo'!C$2:C$746,A402,'Base bordo'!B$2:B$746,B402,'Base bordo'!F$2:F$746,"DESLOCAMENTO VAZIO"),0)</f>
        <v>213585.12</v>
      </c>
      <c r="R402" s="10">
        <f>IFERROR(SUMIFS('Base bordo'!I$2:I$746,'Base bordo'!C$2:C$746,A402,'Base bordo'!B$2:B$746,B402,'Base bordo'!F$2:F$746,"DESLOCAMENTO VAZIO"),0)</f>
        <v>6050</v>
      </c>
      <c r="S402" s="30">
        <f t="shared" si="49"/>
        <v>35.303325619834709</v>
      </c>
      <c r="T402" s="10">
        <f>IFERROR(SUMIFS('Base bordo'!H$2:H$746,'Base bordo'!C$2:C$746,A402,'Base bordo'!B$2:B$746,B402,'Base bordo'!F$2:F$746,"DESLOCAMENTO CARREGADO"),0)</f>
        <v>215978.22</v>
      </c>
      <c r="U402" s="10">
        <f>IFERROR(SUMIFS('Base bordo'!I$2:I$746,'Base bordo'!C$2:C$746,A402,'Base bordo'!B$2:B$746,B402,'Base bordo'!F$2:F$746,"DESLOCAMENTO CARREGADO"),0)</f>
        <v>9408</v>
      </c>
      <c r="V402" s="30">
        <f t="shared" si="50"/>
        <v>22.95686862244898</v>
      </c>
      <c r="W402" s="9">
        <f t="shared" si="51"/>
        <v>0.30432595573440646</v>
      </c>
      <c r="X402" s="9">
        <f t="shared" si="52"/>
        <v>0.47464788732394364</v>
      </c>
      <c r="Y402" s="9">
        <f t="shared" si="53"/>
        <v>0.22102615694164984</v>
      </c>
    </row>
    <row r="403" spans="1:25" ht="15" customHeight="1" x14ac:dyDescent="0.35">
      <c r="A403" s="52">
        <v>8013475</v>
      </c>
      <c r="B403" s="51">
        <v>46119</v>
      </c>
      <c r="C403" s="7" t="s">
        <v>124</v>
      </c>
      <c r="D403" s="10">
        <f>IFERROR(SUMIFS('Base bordo'!G$2:G$746,'Base bordo'!C$2:C$746,A403,'Base bordo'!B$2:B$746,B403,'Base bordo'!F$2:F$746,"DESLOCAMENTO VAZIO"),0)</f>
        <v>0.33277777777777778</v>
      </c>
      <c r="E403" s="10">
        <f>IFERROR(SUMIFS('Base bordo'!G$2:G$746,'Base bordo'!C$2:C$746,A403,'Base bordo'!B$2:B$746,B403,'Base bordo'!F$2:F$746,"DESLOCAMENTO CARREGADO"),0)</f>
        <v>0</v>
      </c>
      <c r="F403" s="10">
        <f>IFERROR(SUMIFS('Base bordo'!G$2:G$746,'Base bordo'!C$2:C$746,A403,'Base bordo'!B$2:B$746,B403,'Base bordo'!F$2:F$746,"DESLOCAMENTO"),0)</f>
        <v>0</v>
      </c>
      <c r="G403" s="10">
        <f>IFERROR(SUMIFS('Base bordo'!G$2:G$746,'Base bordo'!C$2:C$746,A403,'Base bordo'!B$2:B$746,B403,'Base bordo'!F$2:F$746,"CARREGAMENTO"),0)</f>
        <v>0</v>
      </c>
      <c r="H403" s="10">
        <f>IFERROR(SUMIFS('Base bordo'!G$2:G$746,'Base bordo'!C$2:C$746,A403,'Base bordo'!B$2:B$746,B403,'Base bordo'!F$2:F$746,"AGUARDANDO TRANSBORDO"),0)</f>
        <v>0</v>
      </c>
      <c r="I403" s="10">
        <f>IFERROR(SUMIFS('Base bordo'!G$2:G$746,'Base bordo'!C$2:C$746,A403,'Base bordo'!B$2:B$746,B403,'Base bordo'!F$2:F$746,"PÁTIO INTERNO"),0)+IFERROR(SUMIFS('Base bordo'!G$2:G$746,'Base bordo'!C$2:C$746,A403,'Base bordo'!B$2:B$746,B403,'Base bordo'!F$2:F$746,"PÁTIO EXTERNO"),0)+IFERROR(SUMIFS('Base bordo'!G$2:G$746,'Base bordo'!C$2:C$746,A403,'Base bordo'!B$2:B$746,B403,'Base bordo'!F$2:F$746,"PATIO - RESERVA"),0)+IFERROR(SUMIFS('Base bordo'!G$2:G$746,'Base bordo'!C$2:C$746,A403,'Base bordo'!B$2:B$746,B403,'Base bordo'!F$2:F$746,"MANOBRA CARRETAS-PATIO"),0)</f>
        <v>19.261111111111113</v>
      </c>
      <c r="J403" s="10">
        <f>IFERROR(SUMIFS('Base bordo'!G$2:G$746,'Base bordo'!C$2:C$746,A403,'Base bordo'!B$2:B$746,B403,'Base bordo'!F$2:F$746,"BALANÇA - ENTRADA"),0)+IFERROR(SUMIFS('Base bordo'!G$2:G$746,'Base bordo'!C$2:C$746,A403,'Base bordo'!B$2:B$746,B403,'Base bordo'!F$2:F$746,"BALANÇA - SAÍDA"),0)</f>
        <v>4.3333333333333335E-2</v>
      </c>
      <c r="K403" s="10">
        <f>IFERROR(SUMIFS('Base bordo'!G$2:G$746,'Base bordo'!C$2:C$746,A403,'Base bordo'!B$2:B$746,B403,'Base bordo'!F$2:F$746,"MAN PREVENTIVA - MECANICA"),0)+IFERROR(SUMIFS('Base bordo'!G$2:G$746,'Base bordo'!C$2:C$746,A403,'Base bordo'!B$2:B$746,B403,'Base bordo'!F$2:F$746,"MAN CORRETIVA - MECANICA"),0)</f>
        <v>0</v>
      </c>
      <c r="L403" s="10">
        <f>IFERROR(SUMIFS('Base bordo'!G$2:G$746,'Base bordo'!C$2:C$746,A403,'Base bordo'!B$2:B$746,B403,'Base bordo'!F$2:F$746,"MANUTENCAO - T O"),0)+IFERROR(SUMIFS('Base bordo'!G$2:G$746,'Base bordo'!C$2:C$746,A403,'Base bordo'!B$2:B$746,B403,'Base bordo'!F$2:F$746,"MANUTENCAO BORRACHARIA"),0)+IFERROR(SUMIFS('Base bordo'!G$2:G$746,'Base bordo'!C$2:C$746,A403,'Base bordo'!B$2:B$746,B403,'Base bordo'!F$2:F$746,"MANUTENCAO EXTERNA  CONCESSIONARIA"),0)+IFERROR(SUMIFS('Base bordo'!G$2:G$746,'Base bordo'!C$2:C$746,A403,'Base bordo'!B$2:B$746,B403,'Base bordo'!F$2:F$746,"MANUTENCAO TELEMETRIA"),0)</f>
        <v>0</v>
      </c>
      <c r="M403" s="10">
        <f>IFERROR(SUMIFS('Base bordo'!G$2:G$746,'Base bordo'!C$2:C$746,A403,'Base bordo'!B$2:B$746,B403,'Base bordo'!F$2:F$746,"AGUARDANDO MANUTENCAO"),0)</f>
        <v>0</v>
      </c>
      <c r="N403" s="10">
        <f>IFERROR(SUMIFS('Base bordo'!G$2:G$746,'Base bordo'!C$2:C$746,A403,'Base bordo'!B$2:B$746,B403,'Base bordo'!F$2:F$746,"SEM APONTAMENTO"),0)</f>
        <v>0</v>
      </c>
      <c r="O403" s="10">
        <f t="shared" si="48"/>
        <v>0</v>
      </c>
      <c r="P403" s="10">
        <f>IFERROR(SUMIFS('Base bordo'!G$2:G$746,'Base bordo'!C$2:C$746,A403,'Base bordo'!B$2:B$746,B403),0)</f>
        <v>19.637222222222224</v>
      </c>
      <c r="Q403" s="10">
        <f>IFERROR(SUMIFS('Base bordo'!H$2:H$746,'Base bordo'!C$2:C$746,A403,'Base bordo'!B$2:B$746,B403,'Base bordo'!F$2:F$746,"DESLOCAMENTO VAZIO"),0)</f>
        <v>26042.560000000001</v>
      </c>
      <c r="R403" s="10">
        <f>IFERROR(SUMIFS('Base bordo'!I$2:I$746,'Base bordo'!C$2:C$746,A403,'Base bordo'!B$2:B$746,B403,'Base bordo'!F$2:F$746,"DESLOCAMENTO VAZIO"),0)</f>
        <v>1198</v>
      </c>
      <c r="S403" s="30">
        <f t="shared" si="49"/>
        <v>21.738363939899834</v>
      </c>
      <c r="T403" s="10">
        <f>IFERROR(SUMIFS('Base bordo'!H$2:H$746,'Base bordo'!C$2:C$746,A403,'Base bordo'!B$2:B$746,B403,'Base bordo'!F$2:F$746,"DESLOCAMENTO CARREGADO"),0)</f>
        <v>0</v>
      </c>
      <c r="U403" s="10">
        <f>IFERROR(SUMIFS('Base bordo'!I$2:I$746,'Base bordo'!C$2:C$746,A403,'Base bordo'!B$2:B$746,B403,'Base bordo'!F$2:F$746,"DESLOCAMENTO CARREGADO"),0)</f>
        <v>0</v>
      </c>
      <c r="V403" s="30" t="str">
        <f t="shared" si="50"/>
        <v/>
      </c>
      <c r="W403" s="9">
        <f t="shared" si="51"/>
        <v>1.694627549721334E-2</v>
      </c>
      <c r="X403" s="9">
        <f t="shared" si="52"/>
        <v>0</v>
      </c>
      <c r="Y403" s="9">
        <f t="shared" si="53"/>
        <v>0.98305372450278661</v>
      </c>
    </row>
    <row r="404" spans="1:25" ht="15" customHeight="1" x14ac:dyDescent="0.35">
      <c r="A404" s="52">
        <v>8013484</v>
      </c>
      <c r="B404" s="51">
        <v>46116</v>
      </c>
      <c r="C404" s="7" t="s">
        <v>124</v>
      </c>
      <c r="D404" s="10">
        <f>IFERROR(SUMIFS('Base bordo'!G$2:G$746,'Base bordo'!C$2:C$746,A404,'Base bordo'!B$2:B$746,B404,'Base bordo'!F$2:F$746,"DESLOCAMENTO VAZIO"),0)</f>
        <v>0</v>
      </c>
      <c r="E404" s="10">
        <f>IFERROR(SUMIFS('Base bordo'!G$2:G$746,'Base bordo'!C$2:C$746,A404,'Base bordo'!B$2:B$746,B404,'Base bordo'!F$2:F$746,"DESLOCAMENTO CARREGADO"),0)</f>
        <v>0</v>
      </c>
      <c r="F404" s="10">
        <f>IFERROR(SUMIFS('Base bordo'!G$2:G$746,'Base bordo'!C$2:C$746,A404,'Base bordo'!B$2:B$746,B404,'Base bordo'!F$2:F$746,"DESLOCAMENTO"),0)</f>
        <v>0</v>
      </c>
      <c r="G404" s="10">
        <f>IFERROR(SUMIFS('Base bordo'!G$2:G$746,'Base bordo'!C$2:C$746,A404,'Base bordo'!B$2:B$746,B404,'Base bordo'!F$2:F$746,"CARREGAMENTO"),0)</f>
        <v>0</v>
      </c>
      <c r="H404" s="10">
        <f>IFERROR(SUMIFS('Base bordo'!G$2:G$746,'Base bordo'!C$2:C$746,A404,'Base bordo'!B$2:B$746,B404,'Base bordo'!F$2:F$746,"AGUARDANDO TRANSBORDO"),0)</f>
        <v>0</v>
      </c>
      <c r="I404" s="10">
        <f>IFERROR(SUMIFS('Base bordo'!G$2:G$746,'Base bordo'!C$2:C$746,A404,'Base bordo'!B$2:B$746,B404,'Base bordo'!F$2:F$746,"PÁTIO INTERNO"),0)+IFERROR(SUMIFS('Base bordo'!G$2:G$746,'Base bordo'!C$2:C$746,A404,'Base bordo'!B$2:B$746,B404,'Base bordo'!F$2:F$746,"PÁTIO EXTERNO"),0)+IFERROR(SUMIFS('Base bordo'!G$2:G$746,'Base bordo'!C$2:C$746,A404,'Base bordo'!B$2:B$746,B404,'Base bordo'!F$2:F$746,"PATIO - RESERVA"),0)+IFERROR(SUMIFS('Base bordo'!G$2:G$746,'Base bordo'!C$2:C$746,A404,'Base bordo'!B$2:B$746,B404,'Base bordo'!F$2:F$746,"MANOBRA CARRETAS-PATIO"),0)</f>
        <v>0</v>
      </c>
      <c r="J404" s="10">
        <f>IFERROR(SUMIFS('Base bordo'!G$2:G$746,'Base bordo'!C$2:C$746,A404,'Base bordo'!B$2:B$746,B404,'Base bordo'!F$2:F$746,"BALANÇA - ENTRADA"),0)+IFERROR(SUMIFS('Base bordo'!G$2:G$746,'Base bordo'!C$2:C$746,A404,'Base bordo'!B$2:B$746,B404,'Base bordo'!F$2:F$746,"BALANÇA - SAÍDA"),0)</f>
        <v>0</v>
      </c>
      <c r="K404" s="10">
        <f>IFERROR(SUMIFS('Base bordo'!G$2:G$746,'Base bordo'!C$2:C$746,A404,'Base bordo'!B$2:B$746,B404,'Base bordo'!F$2:F$746,"MAN PREVENTIVA - MECANICA"),0)+IFERROR(SUMIFS('Base bordo'!G$2:G$746,'Base bordo'!C$2:C$746,A404,'Base bordo'!B$2:B$746,B404,'Base bordo'!F$2:F$746,"MAN CORRETIVA - MECANICA"),0)</f>
        <v>4.110555555555556</v>
      </c>
      <c r="L404" s="10">
        <f>IFERROR(SUMIFS('Base bordo'!G$2:G$746,'Base bordo'!C$2:C$746,A404,'Base bordo'!B$2:B$746,B404,'Base bordo'!F$2:F$746,"MANUTENCAO - T O"),0)+IFERROR(SUMIFS('Base bordo'!G$2:G$746,'Base bordo'!C$2:C$746,A404,'Base bordo'!B$2:B$746,B404,'Base bordo'!F$2:F$746,"MANUTENCAO BORRACHARIA"),0)+IFERROR(SUMIFS('Base bordo'!G$2:G$746,'Base bordo'!C$2:C$746,A404,'Base bordo'!B$2:B$746,B404,'Base bordo'!F$2:F$746,"MANUTENCAO EXTERNA  CONCESSIONARIA"),0)+IFERROR(SUMIFS('Base bordo'!G$2:G$746,'Base bordo'!C$2:C$746,A404,'Base bordo'!B$2:B$746,B404,'Base bordo'!F$2:F$746,"MANUTENCAO TELEMETRIA"),0)</f>
        <v>5.3997222222222225</v>
      </c>
      <c r="M404" s="10">
        <f>IFERROR(SUMIFS('Base bordo'!G$2:G$746,'Base bordo'!C$2:C$746,A404,'Base bordo'!B$2:B$746,B404,'Base bordo'!F$2:F$746,"AGUARDANDO MANUTENCAO"),0)</f>
        <v>0</v>
      </c>
      <c r="N404" s="10">
        <f>IFERROR(SUMIFS('Base bordo'!G$2:G$746,'Base bordo'!C$2:C$746,A404,'Base bordo'!B$2:B$746,B404,'Base bordo'!F$2:F$746,"SEM APONTAMENTO"),0)</f>
        <v>0</v>
      </c>
      <c r="O404" s="10">
        <f t="shared" si="48"/>
        <v>0</v>
      </c>
      <c r="P404" s="10">
        <f>IFERROR(SUMIFS('Base bordo'!G$2:G$746,'Base bordo'!C$2:C$746,A404,'Base bordo'!B$2:B$746,B404),0)</f>
        <v>9.5102777777777785</v>
      </c>
      <c r="Q404" s="10">
        <f>IFERROR(SUMIFS('Base bordo'!H$2:H$746,'Base bordo'!C$2:C$746,A404,'Base bordo'!B$2:B$746,B404,'Base bordo'!F$2:F$746,"DESLOCAMENTO VAZIO"),0)</f>
        <v>0</v>
      </c>
      <c r="R404" s="10">
        <f>IFERROR(SUMIFS('Base bordo'!I$2:I$746,'Base bordo'!C$2:C$746,A404,'Base bordo'!B$2:B$746,B404,'Base bordo'!F$2:F$746,"DESLOCAMENTO VAZIO"),0)</f>
        <v>0</v>
      </c>
      <c r="S404" s="30" t="str">
        <f t="shared" si="49"/>
        <v/>
      </c>
      <c r="T404" s="10">
        <f>IFERROR(SUMIFS('Base bordo'!H$2:H$746,'Base bordo'!C$2:C$746,A404,'Base bordo'!B$2:B$746,B404,'Base bordo'!F$2:F$746,"DESLOCAMENTO CARREGADO"),0)</f>
        <v>0</v>
      </c>
      <c r="U404" s="10">
        <f>IFERROR(SUMIFS('Base bordo'!I$2:I$746,'Base bordo'!C$2:C$746,A404,'Base bordo'!B$2:B$746,B404,'Base bordo'!F$2:F$746,"DESLOCAMENTO CARREGADO"),0)</f>
        <v>0</v>
      </c>
      <c r="V404" s="30" t="str">
        <f t="shared" si="50"/>
        <v/>
      </c>
      <c r="W404" s="9">
        <f t="shared" si="51"/>
        <v>0</v>
      </c>
      <c r="X404" s="9">
        <f t="shared" si="52"/>
        <v>0</v>
      </c>
      <c r="Y404" s="9">
        <f t="shared" si="53"/>
        <v>1</v>
      </c>
    </row>
    <row r="405" spans="1:25" ht="15" customHeight="1" x14ac:dyDescent="0.35">
      <c r="A405" s="52">
        <v>8013478</v>
      </c>
      <c r="B405" s="51">
        <v>46124</v>
      </c>
      <c r="C405" s="7" t="s">
        <v>124</v>
      </c>
      <c r="D405" s="10">
        <f>IFERROR(SUMIFS('Base bordo'!G$2:G$746,'Base bordo'!C$2:C$746,A405,'Base bordo'!B$2:B$746,B405,'Base bordo'!F$2:F$746,"DESLOCAMENTO VAZIO"),0)</f>
        <v>2.069722222222222</v>
      </c>
      <c r="E405" s="10">
        <f>IFERROR(SUMIFS('Base bordo'!G$2:G$746,'Base bordo'!C$2:C$746,A405,'Base bordo'!B$2:B$746,B405,'Base bordo'!F$2:F$746,"DESLOCAMENTO CARREGADO"),0)</f>
        <v>4.5216666666666665</v>
      </c>
      <c r="F405" s="10">
        <f>IFERROR(SUMIFS('Base bordo'!G$2:G$746,'Base bordo'!C$2:C$746,A405,'Base bordo'!B$2:B$746,B405,'Base bordo'!F$2:F$746,"DESLOCAMENTO"),0)</f>
        <v>0</v>
      </c>
      <c r="G405" s="10">
        <f>IFERROR(SUMIFS('Base bordo'!G$2:G$746,'Base bordo'!C$2:C$746,A405,'Base bordo'!B$2:B$746,B405,'Base bordo'!F$2:F$746,"CARREGAMENTO"),0)</f>
        <v>0</v>
      </c>
      <c r="H405" s="10">
        <f>IFERROR(SUMIFS('Base bordo'!G$2:G$746,'Base bordo'!C$2:C$746,A405,'Base bordo'!B$2:B$746,B405,'Base bordo'!F$2:F$746,"AGUARDANDO TRANSBORDO"),0)</f>
        <v>0.42222222222222222</v>
      </c>
      <c r="I405" s="10">
        <f>IFERROR(SUMIFS('Base bordo'!G$2:G$746,'Base bordo'!C$2:C$746,A405,'Base bordo'!B$2:B$746,B405,'Base bordo'!F$2:F$746,"PÁTIO INTERNO"),0)+IFERROR(SUMIFS('Base bordo'!G$2:G$746,'Base bordo'!C$2:C$746,A405,'Base bordo'!B$2:B$746,B405,'Base bordo'!F$2:F$746,"PÁTIO EXTERNO"),0)+IFERROR(SUMIFS('Base bordo'!G$2:G$746,'Base bordo'!C$2:C$746,A405,'Base bordo'!B$2:B$746,B405,'Base bordo'!F$2:F$746,"PATIO - RESERVA"),0)+IFERROR(SUMIFS('Base bordo'!G$2:G$746,'Base bordo'!C$2:C$746,A405,'Base bordo'!B$2:B$746,B405,'Base bordo'!F$2:F$746,"MANOBRA CARRETAS-PATIO"),0)</f>
        <v>2.931111111111111</v>
      </c>
      <c r="J405" s="10">
        <f>IFERROR(SUMIFS('Base bordo'!G$2:G$746,'Base bordo'!C$2:C$746,A405,'Base bordo'!B$2:B$746,B405,'Base bordo'!F$2:F$746,"BALANÇA - ENTRADA"),0)+IFERROR(SUMIFS('Base bordo'!G$2:G$746,'Base bordo'!C$2:C$746,A405,'Base bordo'!B$2:B$746,B405,'Base bordo'!F$2:F$746,"BALANÇA - SAÍDA"),0)</f>
        <v>9.5833333333333326E-2</v>
      </c>
      <c r="K405" s="10">
        <f>IFERROR(SUMIFS('Base bordo'!G$2:G$746,'Base bordo'!C$2:C$746,A405,'Base bordo'!B$2:B$746,B405,'Base bordo'!F$2:F$746,"MAN PREVENTIVA - MECANICA"),0)+IFERROR(SUMIFS('Base bordo'!G$2:G$746,'Base bordo'!C$2:C$746,A405,'Base bordo'!B$2:B$746,B405,'Base bordo'!F$2:F$746,"MAN CORRETIVA - MECANICA"),0)</f>
        <v>0</v>
      </c>
      <c r="L405" s="10">
        <f>IFERROR(SUMIFS('Base bordo'!G$2:G$746,'Base bordo'!C$2:C$746,A405,'Base bordo'!B$2:B$746,B405,'Base bordo'!F$2:F$746,"MANUTENCAO - T O"),0)+IFERROR(SUMIFS('Base bordo'!G$2:G$746,'Base bordo'!C$2:C$746,A405,'Base bordo'!B$2:B$746,B405,'Base bordo'!F$2:F$746,"MANUTENCAO BORRACHARIA"),0)+IFERROR(SUMIFS('Base bordo'!G$2:G$746,'Base bordo'!C$2:C$746,A405,'Base bordo'!B$2:B$746,B405,'Base bordo'!F$2:F$746,"MANUTENCAO EXTERNA  CONCESSIONARIA"),0)+IFERROR(SUMIFS('Base bordo'!G$2:G$746,'Base bordo'!C$2:C$746,A405,'Base bordo'!B$2:B$746,B405,'Base bordo'!F$2:F$746,"MANUTENCAO TELEMETRIA"),0)</f>
        <v>0</v>
      </c>
      <c r="M405" s="10">
        <f>IFERROR(SUMIFS('Base bordo'!G$2:G$746,'Base bordo'!C$2:C$746,A405,'Base bordo'!B$2:B$746,B405,'Base bordo'!F$2:F$746,"AGUARDANDO MANUTENCAO"),0)</f>
        <v>0</v>
      </c>
      <c r="N405" s="10">
        <f>IFERROR(SUMIFS('Base bordo'!G$2:G$746,'Base bordo'!C$2:C$746,A405,'Base bordo'!B$2:B$746,B405,'Base bordo'!F$2:F$746,"SEM APONTAMENTO"),0)</f>
        <v>0</v>
      </c>
      <c r="O405" s="10">
        <f t="shared" si="48"/>
        <v>0</v>
      </c>
      <c r="P405" s="10">
        <f>IFERROR(SUMIFS('Base bordo'!G$2:G$746,'Base bordo'!C$2:C$746,A405,'Base bordo'!B$2:B$746,B405),0)</f>
        <v>10.040555555555555</v>
      </c>
      <c r="Q405" s="10">
        <f>IFERROR(SUMIFS('Base bordo'!H$2:H$746,'Base bordo'!C$2:C$746,A405,'Base bordo'!B$2:B$746,B405,'Base bordo'!F$2:F$746,"DESLOCAMENTO VAZIO"),0)</f>
        <v>230432.85</v>
      </c>
      <c r="R405" s="10">
        <f>IFERROR(SUMIFS('Base bordo'!I$2:I$746,'Base bordo'!C$2:C$746,A405,'Base bordo'!B$2:B$746,B405,'Base bordo'!F$2:F$746,"DESLOCAMENTO VAZIO"),0)</f>
        <v>7451</v>
      </c>
      <c r="S405" s="30">
        <f t="shared" si="49"/>
        <v>30.926432693598176</v>
      </c>
      <c r="T405" s="10">
        <f>IFERROR(SUMIFS('Base bordo'!H$2:H$746,'Base bordo'!C$2:C$746,A405,'Base bordo'!B$2:B$746,B405,'Base bordo'!F$2:F$746,"DESLOCAMENTO CARREGADO"),0)</f>
        <v>396489.03</v>
      </c>
      <c r="U405" s="10">
        <f>IFERROR(SUMIFS('Base bordo'!I$2:I$746,'Base bordo'!C$2:C$746,A405,'Base bordo'!B$2:B$746,B405,'Base bordo'!F$2:F$746,"DESLOCAMENTO CARREGADO"),0)</f>
        <v>16278</v>
      </c>
      <c r="V405" s="30">
        <f t="shared" si="50"/>
        <v>24.357355326207152</v>
      </c>
      <c r="W405" s="9">
        <f t="shared" si="51"/>
        <v>0.2061362253084712</v>
      </c>
      <c r="X405" s="9">
        <f t="shared" si="52"/>
        <v>0.45034028661539316</v>
      </c>
      <c r="Y405" s="9">
        <f t="shared" si="53"/>
        <v>0.34352348807613575</v>
      </c>
    </row>
    <row r="406" spans="1:25" ht="15" customHeight="1" x14ac:dyDescent="0.35">
      <c r="A406" s="52">
        <v>8013484</v>
      </c>
      <c r="B406" s="51">
        <v>46124</v>
      </c>
      <c r="C406" s="7" t="s">
        <v>124</v>
      </c>
      <c r="D406" s="10">
        <f>IFERROR(SUMIFS('Base bordo'!G$2:G$746,'Base bordo'!C$2:C$746,A406,'Base bordo'!B$2:B$746,B406,'Base bordo'!F$2:F$746,"DESLOCAMENTO VAZIO"),0)</f>
        <v>2.078611111111111</v>
      </c>
      <c r="E406" s="10">
        <f>IFERROR(SUMIFS('Base bordo'!G$2:G$746,'Base bordo'!C$2:C$746,A406,'Base bordo'!B$2:B$746,B406,'Base bordo'!F$2:F$746,"DESLOCAMENTO CARREGADO"),0)</f>
        <v>2.0197222222222222</v>
      </c>
      <c r="F406" s="10">
        <f>IFERROR(SUMIFS('Base bordo'!G$2:G$746,'Base bordo'!C$2:C$746,A406,'Base bordo'!B$2:B$746,B406,'Base bordo'!F$2:F$746,"DESLOCAMENTO"),0)</f>
        <v>0.28999999999999998</v>
      </c>
      <c r="G406" s="10">
        <f>IFERROR(SUMIFS('Base bordo'!G$2:G$746,'Base bordo'!C$2:C$746,A406,'Base bordo'!B$2:B$746,B406,'Base bordo'!F$2:F$746,"CARREGAMENTO"),0)</f>
        <v>0</v>
      </c>
      <c r="H406" s="10">
        <f>IFERROR(SUMIFS('Base bordo'!G$2:G$746,'Base bordo'!C$2:C$746,A406,'Base bordo'!B$2:B$746,B406,'Base bordo'!F$2:F$746,"AGUARDANDO TRANSBORDO"),0)</f>
        <v>0.16944444444444445</v>
      </c>
      <c r="I406" s="10">
        <f>IFERROR(SUMIFS('Base bordo'!G$2:G$746,'Base bordo'!C$2:C$746,A406,'Base bordo'!B$2:B$746,B406,'Base bordo'!F$2:F$746,"PÁTIO INTERNO"),0)+IFERROR(SUMIFS('Base bordo'!G$2:G$746,'Base bordo'!C$2:C$746,A406,'Base bordo'!B$2:B$746,B406,'Base bordo'!F$2:F$746,"PÁTIO EXTERNO"),0)+IFERROR(SUMIFS('Base bordo'!G$2:G$746,'Base bordo'!C$2:C$746,A406,'Base bordo'!B$2:B$746,B406,'Base bordo'!F$2:F$746,"PATIO - RESERVA"),0)+IFERROR(SUMIFS('Base bordo'!G$2:G$746,'Base bordo'!C$2:C$746,A406,'Base bordo'!B$2:B$746,B406,'Base bordo'!F$2:F$746,"MANOBRA CARRETAS-PATIO"),0)</f>
        <v>10.112499999999999</v>
      </c>
      <c r="J406" s="10">
        <f>IFERROR(SUMIFS('Base bordo'!G$2:G$746,'Base bordo'!C$2:C$746,A406,'Base bordo'!B$2:B$746,B406,'Base bordo'!F$2:F$746,"BALANÇA - ENTRADA"),0)+IFERROR(SUMIFS('Base bordo'!G$2:G$746,'Base bordo'!C$2:C$746,A406,'Base bordo'!B$2:B$746,B406,'Base bordo'!F$2:F$746,"BALANÇA - SAÍDA"),0)</f>
        <v>0.13666666666666666</v>
      </c>
      <c r="K406" s="10">
        <f>IFERROR(SUMIFS('Base bordo'!G$2:G$746,'Base bordo'!C$2:C$746,A406,'Base bordo'!B$2:B$746,B406,'Base bordo'!F$2:F$746,"MAN PREVENTIVA - MECANICA"),0)+IFERROR(SUMIFS('Base bordo'!G$2:G$746,'Base bordo'!C$2:C$746,A406,'Base bordo'!B$2:B$746,B406,'Base bordo'!F$2:F$746,"MAN CORRETIVA - MECANICA"),0)</f>
        <v>0</v>
      </c>
      <c r="L406" s="10">
        <f>IFERROR(SUMIFS('Base bordo'!G$2:G$746,'Base bordo'!C$2:C$746,A406,'Base bordo'!B$2:B$746,B406,'Base bordo'!F$2:F$746,"MANUTENCAO - T O"),0)+IFERROR(SUMIFS('Base bordo'!G$2:G$746,'Base bordo'!C$2:C$746,A406,'Base bordo'!B$2:B$746,B406,'Base bordo'!F$2:F$746,"MANUTENCAO BORRACHARIA"),0)+IFERROR(SUMIFS('Base bordo'!G$2:G$746,'Base bordo'!C$2:C$746,A406,'Base bordo'!B$2:B$746,B406,'Base bordo'!F$2:F$746,"MANUTENCAO EXTERNA  CONCESSIONARIA"),0)+IFERROR(SUMIFS('Base bordo'!G$2:G$746,'Base bordo'!C$2:C$746,A406,'Base bordo'!B$2:B$746,B406,'Base bordo'!F$2:F$746,"MANUTENCAO TELEMETRIA"),0)</f>
        <v>0.28944444444444445</v>
      </c>
      <c r="M406" s="10">
        <f>IFERROR(SUMIFS('Base bordo'!G$2:G$746,'Base bordo'!C$2:C$746,A406,'Base bordo'!B$2:B$746,B406,'Base bordo'!F$2:F$746,"AGUARDANDO MANUTENCAO"),0)</f>
        <v>0</v>
      </c>
      <c r="N406" s="10">
        <f>IFERROR(SUMIFS('Base bordo'!G$2:G$746,'Base bordo'!C$2:C$746,A406,'Base bordo'!B$2:B$746,B406,'Base bordo'!F$2:F$746,"SEM APONTAMENTO"),0)</f>
        <v>0</v>
      </c>
      <c r="O406" s="10">
        <f t="shared" si="48"/>
        <v>0</v>
      </c>
      <c r="P406" s="10">
        <f>IFERROR(SUMIFS('Base bordo'!G$2:G$746,'Base bordo'!C$2:C$746,A406,'Base bordo'!B$2:B$746,B406),0)</f>
        <v>15.096388888888889</v>
      </c>
      <c r="Q406" s="10">
        <f>IFERROR(SUMIFS('Base bordo'!H$2:H$746,'Base bordo'!C$2:C$746,A406,'Base bordo'!B$2:B$746,B406,'Base bordo'!F$2:F$746,"DESLOCAMENTO VAZIO"),0)</f>
        <v>217205.70999999996</v>
      </c>
      <c r="R406" s="10">
        <f>IFERROR(SUMIFS('Base bordo'!I$2:I$746,'Base bordo'!C$2:C$746,A406,'Base bordo'!B$2:B$746,B406,'Base bordo'!F$2:F$746,"DESLOCAMENTO VAZIO"),0)</f>
        <v>7483</v>
      </c>
      <c r="S406" s="30">
        <f t="shared" si="49"/>
        <v>29.026554857677397</v>
      </c>
      <c r="T406" s="10">
        <f>IFERROR(SUMIFS('Base bordo'!H$2:H$746,'Base bordo'!C$2:C$746,A406,'Base bordo'!B$2:B$746,B406,'Base bordo'!F$2:F$746,"DESLOCAMENTO CARREGADO"),0)</f>
        <v>176129.33000000002</v>
      </c>
      <c r="U406" s="10">
        <f>IFERROR(SUMIFS('Base bordo'!I$2:I$746,'Base bordo'!C$2:C$746,A406,'Base bordo'!B$2:B$746,B406,'Base bordo'!F$2:F$746,"DESLOCAMENTO CARREGADO"),0)</f>
        <v>7271</v>
      </c>
      <c r="V406" s="30">
        <f t="shared" si="50"/>
        <v>24.22353596479164</v>
      </c>
      <c r="W406" s="9">
        <f t="shared" si="51"/>
        <v>0.13768929287725173</v>
      </c>
      <c r="X406" s="9">
        <f t="shared" si="52"/>
        <v>0.13378843358419049</v>
      </c>
      <c r="Y406" s="9">
        <f t="shared" si="53"/>
        <v>0.72852227353855781</v>
      </c>
    </row>
    <row r="407" spans="1:25" ht="15" customHeight="1" x14ac:dyDescent="0.35">
      <c r="A407" s="52">
        <v>8013472</v>
      </c>
      <c r="B407" s="51">
        <v>46119</v>
      </c>
      <c r="C407" s="7" t="s">
        <v>124</v>
      </c>
      <c r="D407" s="10">
        <f>IFERROR(SUMIFS('Base bordo'!G$2:G$746,'Base bordo'!C$2:C$746,A407,'Base bordo'!B$2:B$746,B407,'Base bordo'!F$2:F$746,"DESLOCAMENTO VAZIO"),0)</f>
        <v>0.42138888888888887</v>
      </c>
      <c r="E407" s="10">
        <f>IFERROR(SUMIFS('Base bordo'!G$2:G$746,'Base bordo'!C$2:C$746,A407,'Base bordo'!B$2:B$746,B407,'Base bordo'!F$2:F$746,"DESLOCAMENTO CARREGADO"),0)</f>
        <v>0</v>
      </c>
      <c r="F407" s="10">
        <f>IFERROR(SUMIFS('Base bordo'!G$2:G$746,'Base bordo'!C$2:C$746,A407,'Base bordo'!B$2:B$746,B407,'Base bordo'!F$2:F$746,"DESLOCAMENTO"),0)</f>
        <v>0</v>
      </c>
      <c r="G407" s="10">
        <f>IFERROR(SUMIFS('Base bordo'!G$2:G$746,'Base bordo'!C$2:C$746,A407,'Base bordo'!B$2:B$746,B407,'Base bordo'!F$2:F$746,"CARREGAMENTO"),0)</f>
        <v>0</v>
      </c>
      <c r="H407" s="10">
        <f>IFERROR(SUMIFS('Base bordo'!G$2:G$746,'Base bordo'!C$2:C$746,A407,'Base bordo'!B$2:B$746,B407,'Base bordo'!F$2:F$746,"AGUARDANDO TRANSBORDO"),0)</f>
        <v>0</v>
      </c>
      <c r="I407" s="10">
        <f>IFERROR(SUMIFS('Base bordo'!G$2:G$746,'Base bordo'!C$2:C$746,A407,'Base bordo'!B$2:B$746,B407,'Base bordo'!F$2:F$746,"PÁTIO INTERNO"),0)+IFERROR(SUMIFS('Base bordo'!G$2:G$746,'Base bordo'!C$2:C$746,A407,'Base bordo'!B$2:B$746,B407,'Base bordo'!F$2:F$746,"PÁTIO EXTERNO"),0)+IFERROR(SUMIFS('Base bordo'!G$2:G$746,'Base bordo'!C$2:C$746,A407,'Base bordo'!B$2:B$746,B407,'Base bordo'!F$2:F$746,"PATIO - RESERVA"),0)+IFERROR(SUMIFS('Base bordo'!G$2:G$746,'Base bordo'!C$2:C$746,A407,'Base bordo'!B$2:B$746,B407,'Base bordo'!F$2:F$746,"MANOBRA CARRETAS-PATIO"),0)</f>
        <v>2.1247222222222222</v>
      </c>
      <c r="J407" s="10">
        <f>IFERROR(SUMIFS('Base bordo'!G$2:G$746,'Base bordo'!C$2:C$746,A407,'Base bordo'!B$2:B$746,B407,'Base bordo'!F$2:F$746,"BALANÇA - ENTRADA"),0)+IFERROR(SUMIFS('Base bordo'!G$2:G$746,'Base bordo'!C$2:C$746,A407,'Base bordo'!B$2:B$746,B407,'Base bordo'!F$2:F$746,"BALANÇA - SAÍDA"),0)</f>
        <v>0.10361111111111111</v>
      </c>
      <c r="K407" s="10">
        <f>IFERROR(SUMIFS('Base bordo'!G$2:G$746,'Base bordo'!C$2:C$746,A407,'Base bordo'!B$2:B$746,B407,'Base bordo'!F$2:F$746,"MAN PREVENTIVA - MECANICA"),0)+IFERROR(SUMIFS('Base bordo'!G$2:G$746,'Base bordo'!C$2:C$746,A407,'Base bordo'!B$2:B$746,B407,'Base bordo'!F$2:F$746,"MAN CORRETIVA - MECANICA"),0)</f>
        <v>0</v>
      </c>
      <c r="L407" s="10">
        <f>IFERROR(SUMIFS('Base bordo'!G$2:G$746,'Base bordo'!C$2:C$746,A407,'Base bordo'!B$2:B$746,B407,'Base bordo'!F$2:F$746,"MANUTENCAO - T O"),0)+IFERROR(SUMIFS('Base bordo'!G$2:G$746,'Base bordo'!C$2:C$746,A407,'Base bordo'!B$2:B$746,B407,'Base bordo'!F$2:F$746,"MANUTENCAO BORRACHARIA"),0)+IFERROR(SUMIFS('Base bordo'!G$2:G$746,'Base bordo'!C$2:C$746,A407,'Base bordo'!B$2:B$746,B407,'Base bordo'!F$2:F$746,"MANUTENCAO EXTERNA  CONCESSIONARIA"),0)+IFERROR(SUMIFS('Base bordo'!G$2:G$746,'Base bordo'!C$2:C$746,A407,'Base bordo'!B$2:B$746,B407,'Base bordo'!F$2:F$746,"MANUTENCAO TELEMETRIA"),0)</f>
        <v>0</v>
      </c>
      <c r="M407" s="10">
        <f>IFERROR(SUMIFS('Base bordo'!G$2:G$746,'Base bordo'!C$2:C$746,A407,'Base bordo'!B$2:B$746,B407,'Base bordo'!F$2:F$746,"AGUARDANDO MANUTENCAO"),0)</f>
        <v>0</v>
      </c>
      <c r="N407" s="10">
        <f>IFERROR(SUMIFS('Base bordo'!G$2:G$746,'Base bordo'!C$2:C$746,A407,'Base bordo'!B$2:B$746,B407,'Base bordo'!F$2:F$746,"SEM APONTAMENTO"),0)</f>
        <v>0</v>
      </c>
      <c r="O407" s="10">
        <f t="shared" si="48"/>
        <v>-4.4408920985006262E-16</v>
      </c>
      <c r="P407" s="10">
        <f>IFERROR(SUMIFS('Base bordo'!G$2:G$746,'Base bordo'!C$2:C$746,A407,'Base bordo'!B$2:B$746,B407),0)</f>
        <v>2.6497222222222221</v>
      </c>
      <c r="Q407" s="10">
        <f>IFERROR(SUMIFS('Base bordo'!H$2:H$746,'Base bordo'!C$2:C$746,A407,'Base bordo'!B$2:B$746,B407,'Base bordo'!F$2:F$746,"DESLOCAMENTO VAZIO"),0)</f>
        <v>15178.23</v>
      </c>
      <c r="R407" s="10">
        <f>IFERROR(SUMIFS('Base bordo'!I$2:I$746,'Base bordo'!C$2:C$746,A407,'Base bordo'!B$2:B$746,B407,'Base bordo'!F$2:F$746,"DESLOCAMENTO VAZIO"),0)</f>
        <v>1517</v>
      </c>
      <c r="S407" s="30">
        <f t="shared" si="49"/>
        <v>10.00542518127884</v>
      </c>
      <c r="T407" s="10">
        <f>IFERROR(SUMIFS('Base bordo'!H$2:H$746,'Base bordo'!C$2:C$746,A407,'Base bordo'!B$2:B$746,B407,'Base bordo'!F$2:F$746,"DESLOCAMENTO CARREGADO"),0)</f>
        <v>0</v>
      </c>
      <c r="U407" s="10">
        <f>IFERROR(SUMIFS('Base bordo'!I$2:I$746,'Base bordo'!C$2:C$746,A407,'Base bordo'!B$2:B$746,B407,'Base bordo'!F$2:F$746,"DESLOCAMENTO CARREGADO"),0)</f>
        <v>0</v>
      </c>
      <c r="V407" s="30" t="str">
        <f t="shared" si="50"/>
        <v/>
      </c>
      <c r="W407" s="9">
        <f t="shared" si="51"/>
        <v>0.15903134500471747</v>
      </c>
      <c r="X407" s="9">
        <f t="shared" si="52"/>
        <v>0</v>
      </c>
      <c r="Y407" s="9">
        <f t="shared" si="53"/>
        <v>0.84096865499528251</v>
      </c>
    </row>
    <row r="408" spans="1:25" ht="15" customHeight="1" x14ac:dyDescent="0.35">
      <c r="A408" s="52">
        <v>8013484</v>
      </c>
      <c r="B408" s="51">
        <v>46117</v>
      </c>
      <c r="C408" s="7" t="s">
        <v>124</v>
      </c>
      <c r="D408" s="10">
        <f>IFERROR(SUMIFS('Base bordo'!G$2:G$746,'Base bordo'!C$2:C$746,A408,'Base bordo'!B$2:B$746,B408,'Base bordo'!F$2:F$746,"DESLOCAMENTO VAZIO"),0)</f>
        <v>1.8608333333333333</v>
      </c>
      <c r="E408" s="10">
        <f>IFERROR(SUMIFS('Base bordo'!G$2:G$746,'Base bordo'!C$2:C$746,A408,'Base bordo'!B$2:B$746,B408,'Base bordo'!F$2:F$746,"DESLOCAMENTO CARREGADO"),0)</f>
        <v>0</v>
      </c>
      <c r="F408" s="10">
        <f>IFERROR(SUMIFS('Base bordo'!G$2:G$746,'Base bordo'!C$2:C$746,A408,'Base bordo'!B$2:B$746,B408,'Base bordo'!F$2:F$746,"DESLOCAMENTO"),0)</f>
        <v>0.1438888888888889</v>
      </c>
      <c r="G408" s="10">
        <f>IFERROR(SUMIFS('Base bordo'!G$2:G$746,'Base bordo'!C$2:C$746,A408,'Base bordo'!B$2:B$746,B408,'Base bordo'!F$2:F$746,"CARREGAMENTO"),0)</f>
        <v>4.3816666666666668</v>
      </c>
      <c r="H408" s="10">
        <f>IFERROR(SUMIFS('Base bordo'!G$2:G$746,'Base bordo'!C$2:C$746,A408,'Base bordo'!B$2:B$746,B408,'Base bordo'!F$2:F$746,"AGUARDANDO TRANSBORDO"),0)</f>
        <v>0.39111111111111113</v>
      </c>
      <c r="I408" s="10">
        <f>IFERROR(SUMIFS('Base bordo'!G$2:G$746,'Base bordo'!C$2:C$746,A408,'Base bordo'!B$2:B$746,B408,'Base bordo'!F$2:F$746,"PÁTIO INTERNO"),0)+IFERROR(SUMIFS('Base bordo'!G$2:G$746,'Base bordo'!C$2:C$746,A408,'Base bordo'!B$2:B$746,B408,'Base bordo'!F$2:F$746,"PÁTIO EXTERNO"),0)+IFERROR(SUMIFS('Base bordo'!G$2:G$746,'Base bordo'!C$2:C$746,A408,'Base bordo'!B$2:B$746,B408,'Base bordo'!F$2:F$746,"PATIO - RESERVA"),0)+IFERROR(SUMIFS('Base bordo'!G$2:G$746,'Base bordo'!C$2:C$746,A408,'Base bordo'!B$2:B$746,B408,'Base bordo'!F$2:F$746,"MANOBRA CARRETAS-PATIO"),0)</f>
        <v>0</v>
      </c>
      <c r="J408" s="10">
        <f>IFERROR(SUMIFS('Base bordo'!G$2:G$746,'Base bordo'!C$2:C$746,A408,'Base bordo'!B$2:B$746,B408,'Base bordo'!F$2:F$746,"BALANÇA - ENTRADA"),0)+IFERROR(SUMIFS('Base bordo'!G$2:G$746,'Base bordo'!C$2:C$746,A408,'Base bordo'!B$2:B$746,B408,'Base bordo'!F$2:F$746,"BALANÇA - SAÍDA"),0)</f>
        <v>0</v>
      </c>
      <c r="K408" s="10">
        <f>IFERROR(SUMIFS('Base bordo'!G$2:G$746,'Base bordo'!C$2:C$746,A408,'Base bordo'!B$2:B$746,B408,'Base bordo'!F$2:F$746,"MAN PREVENTIVA - MECANICA"),0)+IFERROR(SUMIFS('Base bordo'!G$2:G$746,'Base bordo'!C$2:C$746,A408,'Base bordo'!B$2:B$746,B408,'Base bordo'!F$2:F$746,"MAN CORRETIVA - MECANICA"),0)</f>
        <v>8.5516666666666659</v>
      </c>
      <c r="L408" s="10">
        <f>IFERROR(SUMIFS('Base bordo'!G$2:G$746,'Base bordo'!C$2:C$746,A408,'Base bordo'!B$2:B$746,B408,'Base bordo'!F$2:F$746,"MANUTENCAO - T O"),0)+IFERROR(SUMIFS('Base bordo'!G$2:G$746,'Base bordo'!C$2:C$746,A408,'Base bordo'!B$2:B$746,B408,'Base bordo'!F$2:F$746,"MANUTENCAO BORRACHARIA"),0)+IFERROR(SUMIFS('Base bordo'!G$2:G$746,'Base bordo'!C$2:C$746,A408,'Base bordo'!B$2:B$746,B408,'Base bordo'!F$2:F$746,"MANUTENCAO EXTERNA  CONCESSIONARIA"),0)+IFERROR(SUMIFS('Base bordo'!G$2:G$746,'Base bordo'!C$2:C$746,A408,'Base bordo'!B$2:B$746,B408,'Base bordo'!F$2:F$746,"MANUTENCAO TELEMETRIA"),0)</f>
        <v>8.6052777777777774</v>
      </c>
      <c r="M408" s="10">
        <f>IFERROR(SUMIFS('Base bordo'!G$2:G$746,'Base bordo'!C$2:C$746,A408,'Base bordo'!B$2:B$746,B408,'Base bordo'!F$2:F$746,"AGUARDANDO MANUTENCAO"),0)</f>
        <v>0</v>
      </c>
      <c r="N408" s="10">
        <f>IFERROR(SUMIFS('Base bordo'!G$2:G$746,'Base bordo'!C$2:C$746,A408,'Base bordo'!B$2:B$746,B408,'Base bordo'!F$2:F$746,"SEM APONTAMENTO"),0)</f>
        <v>0</v>
      </c>
      <c r="O408" s="10">
        <f t="shared" si="48"/>
        <v>6.5555555555555145E-2</v>
      </c>
      <c r="P408" s="10">
        <f>IFERROR(SUMIFS('Base bordo'!G$2:G$746,'Base bordo'!C$2:C$746,A408,'Base bordo'!B$2:B$746,B408),0)</f>
        <v>24</v>
      </c>
      <c r="Q408" s="10">
        <f>IFERROR(SUMIFS('Base bordo'!H$2:H$746,'Base bordo'!C$2:C$746,A408,'Base bordo'!B$2:B$746,B408,'Base bordo'!F$2:F$746,"DESLOCAMENTO VAZIO"),0)</f>
        <v>251172.82</v>
      </c>
      <c r="R408" s="10">
        <f>IFERROR(SUMIFS('Base bordo'!I$2:I$746,'Base bordo'!C$2:C$746,A408,'Base bordo'!B$2:B$746,B408,'Base bordo'!F$2:F$746,"DESLOCAMENTO VAZIO"),0)</f>
        <v>6699</v>
      </c>
      <c r="S408" s="30">
        <f t="shared" si="49"/>
        <v>37.494076727869832</v>
      </c>
      <c r="T408" s="10">
        <f>IFERROR(SUMIFS('Base bordo'!H$2:H$746,'Base bordo'!C$2:C$746,A408,'Base bordo'!B$2:B$746,B408,'Base bordo'!F$2:F$746,"DESLOCAMENTO CARREGADO"),0)</f>
        <v>0</v>
      </c>
      <c r="U408" s="10">
        <f>IFERROR(SUMIFS('Base bordo'!I$2:I$746,'Base bordo'!C$2:C$746,A408,'Base bordo'!B$2:B$746,B408,'Base bordo'!F$2:F$746,"DESLOCAMENTO CARREGADO"),0)</f>
        <v>0</v>
      </c>
      <c r="V408" s="30" t="str">
        <f t="shared" si="50"/>
        <v/>
      </c>
      <c r="W408" s="9">
        <f t="shared" si="51"/>
        <v>7.7534722222222227E-2</v>
      </c>
      <c r="X408" s="9">
        <f t="shared" si="52"/>
        <v>0</v>
      </c>
      <c r="Y408" s="9">
        <f t="shared" si="53"/>
        <v>0.92246527777777776</v>
      </c>
    </row>
    <row r="409" spans="1:25" ht="15" customHeight="1" x14ac:dyDescent="0.35">
      <c r="A409" s="52">
        <v>8013475</v>
      </c>
      <c r="B409" s="51">
        <v>46123</v>
      </c>
      <c r="C409" s="7" t="s">
        <v>124</v>
      </c>
      <c r="D409" s="10">
        <f>IFERROR(SUMIFS('Base bordo'!G$2:G$746,'Base bordo'!C$2:C$746,A409,'Base bordo'!B$2:B$746,B409,'Base bordo'!F$2:F$746,"DESLOCAMENTO VAZIO"),0)</f>
        <v>3.0555555555555557E-3</v>
      </c>
      <c r="E409" s="10">
        <f>IFERROR(SUMIFS('Base bordo'!G$2:G$746,'Base bordo'!C$2:C$746,A409,'Base bordo'!B$2:B$746,B409,'Base bordo'!F$2:F$746,"DESLOCAMENTO CARREGADO"),0)</f>
        <v>2.8611111111111111E-2</v>
      </c>
      <c r="F409" s="10">
        <f>IFERROR(SUMIFS('Base bordo'!G$2:G$746,'Base bordo'!C$2:C$746,A409,'Base bordo'!B$2:B$746,B409,'Base bordo'!F$2:F$746,"DESLOCAMENTO"),0)</f>
        <v>0</v>
      </c>
      <c r="G409" s="10">
        <f>IFERROR(SUMIFS('Base bordo'!G$2:G$746,'Base bordo'!C$2:C$746,A409,'Base bordo'!B$2:B$746,B409,'Base bordo'!F$2:F$746,"CARREGAMENTO"),0)</f>
        <v>0</v>
      </c>
      <c r="H409" s="10">
        <f>IFERROR(SUMIFS('Base bordo'!G$2:G$746,'Base bordo'!C$2:C$746,A409,'Base bordo'!B$2:B$746,B409,'Base bordo'!F$2:F$746,"AGUARDANDO TRANSBORDO"),0)</f>
        <v>0</v>
      </c>
      <c r="I409" s="10">
        <f>IFERROR(SUMIFS('Base bordo'!G$2:G$746,'Base bordo'!C$2:C$746,A409,'Base bordo'!B$2:B$746,B409,'Base bordo'!F$2:F$746,"PÁTIO INTERNO"),0)+IFERROR(SUMIFS('Base bordo'!G$2:G$746,'Base bordo'!C$2:C$746,A409,'Base bordo'!B$2:B$746,B409,'Base bordo'!F$2:F$746,"PÁTIO EXTERNO"),0)+IFERROR(SUMIFS('Base bordo'!G$2:G$746,'Base bordo'!C$2:C$746,A409,'Base bordo'!B$2:B$746,B409,'Base bordo'!F$2:F$746,"PATIO - RESERVA"),0)+IFERROR(SUMIFS('Base bordo'!G$2:G$746,'Base bordo'!C$2:C$746,A409,'Base bordo'!B$2:B$746,B409,'Base bordo'!F$2:F$746,"MANOBRA CARRETAS-PATIO"),0)</f>
        <v>2.75E-2</v>
      </c>
      <c r="J409" s="10">
        <f>IFERROR(SUMIFS('Base bordo'!G$2:G$746,'Base bordo'!C$2:C$746,A409,'Base bordo'!B$2:B$746,B409,'Base bordo'!F$2:F$746,"BALANÇA - ENTRADA"),0)+IFERROR(SUMIFS('Base bordo'!G$2:G$746,'Base bordo'!C$2:C$746,A409,'Base bordo'!B$2:B$746,B409,'Base bordo'!F$2:F$746,"BALANÇA - SAÍDA"),0)</f>
        <v>0</v>
      </c>
      <c r="K409" s="10">
        <f>IFERROR(SUMIFS('Base bordo'!G$2:G$746,'Base bordo'!C$2:C$746,A409,'Base bordo'!B$2:B$746,B409,'Base bordo'!F$2:F$746,"MAN PREVENTIVA - MECANICA"),0)+IFERROR(SUMIFS('Base bordo'!G$2:G$746,'Base bordo'!C$2:C$746,A409,'Base bordo'!B$2:B$746,B409,'Base bordo'!F$2:F$746,"MAN CORRETIVA - MECANICA"),0)</f>
        <v>0</v>
      </c>
      <c r="L409" s="10">
        <f>IFERROR(SUMIFS('Base bordo'!G$2:G$746,'Base bordo'!C$2:C$746,A409,'Base bordo'!B$2:B$746,B409,'Base bordo'!F$2:F$746,"MANUTENCAO - T O"),0)+IFERROR(SUMIFS('Base bordo'!G$2:G$746,'Base bordo'!C$2:C$746,A409,'Base bordo'!B$2:B$746,B409,'Base bordo'!F$2:F$746,"MANUTENCAO BORRACHARIA"),0)+IFERROR(SUMIFS('Base bordo'!G$2:G$746,'Base bordo'!C$2:C$746,A409,'Base bordo'!B$2:B$746,B409,'Base bordo'!F$2:F$746,"MANUTENCAO EXTERNA  CONCESSIONARIA"),0)+IFERROR(SUMIFS('Base bordo'!G$2:G$746,'Base bordo'!C$2:C$746,A409,'Base bordo'!B$2:B$746,B409,'Base bordo'!F$2:F$746,"MANUTENCAO TELEMETRIA"),0)</f>
        <v>0</v>
      </c>
      <c r="M409" s="10">
        <f>IFERROR(SUMIFS('Base bordo'!G$2:G$746,'Base bordo'!C$2:C$746,A409,'Base bordo'!B$2:B$746,B409,'Base bordo'!F$2:F$746,"AGUARDANDO MANUTENCAO"),0)</f>
        <v>0</v>
      </c>
      <c r="N409" s="10">
        <f>IFERROR(SUMIFS('Base bordo'!G$2:G$746,'Base bordo'!C$2:C$746,A409,'Base bordo'!B$2:B$746,B409,'Base bordo'!F$2:F$746,"SEM APONTAMENTO"),0)</f>
        <v>0</v>
      </c>
      <c r="O409" s="10">
        <f t="shared" si="48"/>
        <v>-6.9388939039072284E-18</v>
      </c>
      <c r="P409" s="10">
        <f>IFERROR(SUMIFS('Base bordo'!G$2:G$746,'Base bordo'!C$2:C$746,A409,'Base bordo'!B$2:B$746,B409),0)</f>
        <v>5.9166666666666666E-2</v>
      </c>
      <c r="Q409" s="10">
        <f>IFERROR(SUMIFS('Base bordo'!H$2:H$746,'Base bordo'!C$2:C$746,A409,'Base bordo'!B$2:B$746,B409,'Base bordo'!F$2:F$746,"DESLOCAMENTO VAZIO"),0)</f>
        <v>40.92</v>
      </c>
      <c r="R409" s="10">
        <f>IFERROR(SUMIFS('Base bordo'!I$2:I$746,'Base bordo'!C$2:C$746,A409,'Base bordo'!B$2:B$746,B409,'Base bordo'!F$2:F$746,"DESLOCAMENTO VAZIO"),0)</f>
        <v>11</v>
      </c>
      <c r="S409" s="30">
        <f t="shared" si="49"/>
        <v>3.72</v>
      </c>
      <c r="T409" s="10">
        <f>IFERROR(SUMIFS('Base bordo'!H$2:H$746,'Base bordo'!C$2:C$746,A409,'Base bordo'!B$2:B$746,B409,'Base bordo'!F$2:F$746,"DESLOCAMENTO CARREGADO"),0)</f>
        <v>386.25</v>
      </c>
      <c r="U409" s="10">
        <f>IFERROR(SUMIFS('Base bordo'!I$2:I$746,'Base bordo'!C$2:C$746,A409,'Base bordo'!B$2:B$746,B409,'Base bordo'!F$2:F$746,"DESLOCAMENTO CARREGADO"),0)</f>
        <v>103</v>
      </c>
      <c r="V409" s="30">
        <f t="shared" si="50"/>
        <v>3.75</v>
      </c>
      <c r="W409" s="9">
        <f t="shared" si="51"/>
        <v>5.1643192488262914E-2</v>
      </c>
      <c r="X409" s="9">
        <f t="shared" si="52"/>
        <v>0.48356807511737088</v>
      </c>
      <c r="Y409" s="9">
        <f t="shared" si="53"/>
        <v>0.46478873239436613</v>
      </c>
    </row>
    <row r="410" spans="1:25" ht="15" customHeight="1" x14ac:dyDescent="0.35">
      <c r="A410" s="52">
        <v>8013473</v>
      </c>
      <c r="B410" s="51">
        <v>46117</v>
      </c>
      <c r="C410" s="7" t="s">
        <v>124</v>
      </c>
      <c r="D410" s="10">
        <f>IFERROR(SUMIFS('Base bordo'!G$2:G$746,'Base bordo'!C$2:C$746,A410,'Base bordo'!B$2:B$746,B410,'Base bordo'!F$2:F$746,"DESLOCAMENTO VAZIO"),0)</f>
        <v>1.3711111111111112</v>
      </c>
      <c r="E410" s="10">
        <f>IFERROR(SUMIFS('Base bordo'!G$2:G$746,'Base bordo'!C$2:C$746,A410,'Base bordo'!B$2:B$746,B410,'Base bordo'!F$2:F$746,"DESLOCAMENTO CARREGADO"),0)</f>
        <v>0</v>
      </c>
      <c r="F410" s="10">
        <f>IFERROR(SUMIFS('Base bordo'!G$2:G$746,'Base bordo'!C$2:C$746,A410,'Base bordo'!B$2:B$746,B410,'Base bordo'!F$2:F$746,"DESLOCAMENTO"),0)</f>
        <v>0</v>
      </c>
      <c r="G410" s="10">
        <f>IFERROR(SUMIFS('Base bordo'!G$2:G$746,'Base bordo'!C$2:C$746,A410,'Base bordo'!B$2:B$746,B410,'Base bordo'!F$2:F$746,"CARREGAMENTO"),0)</f>
        <v>3.9011111111111112</v>
      </c>
      <c r="H410" s="10">
        <f>IFERROR(SUMIFS('Base bordo'!G$2:G$746,'Base bordo'!C$2:C$746,A410,'Base bordo'!B$2:B$746,B410,'Base bordo'!F$2:F$746,"AGUARDANDO TRANSBORDO"),0)</f>
        <v>0.88972222222222219</v>
      </c>
      <c r="I410" s="10">
        <f>IFERROR(SUMIFS('Base bordo'!G$2:G$746,'Base bordo'!C$2:C$746,A410,'Base bordo'!B$2:B$746,B410,'Base bordo'!F$2:F$746,"PÁTIO INTERNO"),0)+IFERROR(SUMIFS('Base bordo'!G$2:G$746,'Base bordo'!C$2:C$746,A410,'Base bordo'!B$2:B$746,B410,'Base bordo'!F$2:F$746,"PÁTIO EXTERNO"),0)+IFERROR(SUMIFS('Base bordo'!G$2:G$746,'Base bordo'!C$2:C$746,A410,'Base bordo'!B$2:B$746,B410,'Base bordo'!F$2:F$746,"PATIO - RESERVA"),0)+IFERROR(SUMIFS('Base bordo'!G$2:G$746,'Base bordo'!C$2:C$746,A410,'Base bordo'!B$2:B$746,B410,'Base bordo'!F$2:F$746,"MANOBRA CARRETAS-PATIO"),0)</f>
        <v>0</v>
      </c>
      <c r="J410" s="10">
        <f>IFERROR(SUMIFS('Base bordo'!G$2:G$746,'Base bordo'!C$2:C$746,A410,'Base bordo'!B$2:B$746,B410,'Base bordo'!F$2:F$746,"BALANÇA - ENTRADA"),0)+IFERROR(SUMIFS('Base bordo'!G$2:G$746,'Base bordo'!C$2:C$746,A410,'Base bordo'!B$2:B$746,B410,'Base bordo'!F$2:F$746,"BALANÇA - SAÍDA"),0)</f>
        <v>0</v>
      </c>
      <c r="K410" s="10">
        <f>IFERROR(SUMIFS('Base bordo'!G$2:G$746,'Base bordo'!C$2:C$746,A410,'Base bordo'!B$2:B$746,B410,'Base bordo'!F$2:F$746,"MAN PREVENTIVA - MECANICA"),0)+IFERROR(SUMIFS('Base bordo'!G$2:G$746,'Base bordo'!C$2:C$746,A410,'Base bordo'!B$2:B$746,B410,'Base bordo'!F$2:F$746,"MAN CORRETIVA - MECANICA"),0)</f>
        <v>0</v>
      </c>
      <c r="L410" s="10">
        <f>IFERROR(SUMIFS('Base bordo'!G$2:G$746,'Base bordo'!C$2:C$746,A410,'Base bordo'!B$2:B$746,B410,'Base bordo'!F$2:F$746,"MANUTENCAO - T O"),0)+IFERROR(SUMIFS('Base bordo'!G$2:G$746,'Base bordo'!C$2:C$746,A410,'Base bordo'!B$2:B$746,B410,'Base bordo'!F$2:F$746,"MANUTENCAO BORRACHARIA"),0)+IFERROR(SUMIFS('Base bordo'!G$2:G$746,'Base bordo'!C$2:C$746,A410,'Base bordo'!B$2:B$746,B410,'Base bordo'!F$2:F$746,"MANUTENCAO EXTERNA  CONCESSIONARIA"),0)+IFERROR(SUMIFS('Base bordo'!G$2:G$746,'Base bordo'!C$2:C$746,A410,'Base bordo'!B$2:B$746,B410,'Base bordo'!F$2:F$746,"MANUTENCAO TELEMETRIA"),0)</f>
        <v>17.566666666666666</v>
      </c>
      <c r="M410" s="10">
        <f>IFERROR(SUMIFS('Base bordo'!G$2:G$746,'Base bordo'!C$2:C$746,A410,'Base bordo'!B$2:B$746,B410,'Base bordo'!F$2:F$746,"AGUARDANDO MANUTENCAO"),0)</f>
        <v>0</v>
      </c>
      <c r="N410" s="10">
        <f>IFERROR(SUMIFS('Base bordo'!G$2:G$746,'Base bordo'!C$2:C$746,A410,'Base bordo'!B$2:B$746,B410,'Base bordo'!F$2:F$746,"SEM APONTAMENTO"),0)</f>
        <v>0</v>
      </c>
      <c r="O410" s="10">
        <f t="shared" si="48"/>
        <v>0.27138888888888957</v>
      </c>
      <c r="P410" s="10">
        <f>IFERROR(SUMIFS('Base bordo'!G$2:G$746,'Base bordo'!C$2:C$746,A410,'Base bordo'!B$2:B$746,B410),0)</f>
        <v>24</v>
      </c>
      <c r="Q410" s="10">
        <f>IFERROR(SUMIFS('Base bordo'!H$2:H$746,'Base bordo'!C$2:C$746,A410,'Base bordo'!B$2:B$746,B410,'Base bordo'!F$2:F$746,"DESLOCAMENTO VAZIO"),0)</f>
        <v>219779.48</v>
      </c>
      <c r="R410" s="10">
        <f>IFERROR(SUMIFS('Base bordo'!I$2:I$746,'Base bordo'!C$2:C$746,A410,'Base bordo'!B$2:B$746,B410,'Base bordo'!F$2:F$746,"DESLOCAMENTO VAZIO"),0)</f>
        <v>4936</v>
      </c>
      <c r="S410" s="30">
        <f t="shared" si="49"/>
        <v>44.525826580226905</v>
      </c>
      <c r="T410" s="10">
        <f>IFERROR(SUMIFS('Base bordo'!H$2:H$746,'Base bordo'!C$2:C$746,A410,'Base bordo'!B$2:B$746,B410,'Base bordo'!F$2:F$746,"DESLOCAMENTO CARREGADO"),0)</f>
        <v>0</v>
      </c>
      <c r="U410" s="10">
        <f>IFERROR(SUMIFS('Base bordo'!I$2:I$746,'Base bordo'!C$2:C$746,A410,'Base bordo'!B$2:B$746,B410,'Base bordo'!F$2:F$746,"DESLOCAMENTO CARREGADO"),0)</f>
        <v>0</v>
      </c>
      <c r="V410" s="30" t="str">
        <f t="shared" si="50"/>
        <v/>
      </c>
      <c r="W410" s="9">
        <f t="shared" si="51"/>
        <v>5.7129629629629634E-2</v>
      </c>
      <c r="X410" s="9">
        <f t="shared" si="52"/>
        <v>0</v>
      </c>
      <c r="Y410" s="9">
        <f t="shared" si="53"/>
        <v>0.94287037037037036</v>
      </c>
    </row>
    <row r="411" spans="1:25" ht="15" customHeight="1" x14ac:dyDescent="0.35">
      <c r="A411" s="52">
        <v>8013460</v>
      </c>
      <c r="B411" s="51">
        <v>46124</v>
      </c>
      <c r="C411" s="7" t="s">
        <v>124</v>
      </c>
      <c r="D411" s="10">
        <f>IFERROR(SUMIFS('Base bordo'!G$2:G$746,'Base bordo'!C$2:C$746,A411,'Base bordo'!B$2:B$746,B411,'Base bordo'!F$2:F$746,"DESLOCAMENTO VAZIO"),0)</f>
        <v>3.2269444444444444</v>
      </c>
      <c r="E411" s="10">
        <f>IFERROR(SUMIFS('Base bordo'!G$2:G$746,'Base bordo'!C$2:C$746,A411,'Base bordo'!B$2:B$746,B411,'Base bordo'!F$2:F$746,"DESLOCAMENTO CARREGADO"),0)</f>
        <v>4.5991666666666671</v>
      </c>
      <c r="F411" s="10">
        <f>IFERROR(SUMIFS('Base bordo'!G$2:G$746,'Base bordo'!C$2:C$746,A411,'Base bordo'!B$2:B$746,B411,'Base bordo'!F$2:F$746,"DESLOCAMENTO"),0)</f>
        <v>0</v>
      </c>
      <c r="G411" s="10">
        <f>IFERROR(SUMIFS('Base bordo'!G$2:G$746,'Base bordo'!C$2:C$746,A411,'Base bordo'!B$2:B$746,B411,'Base bordo'!F$2:F$746,"CARREGAMENTO"),0)</f>
        <v>0</v>
      </c>
      <c r="H411" s="10">
        <f>IFERROR(SUMIFS('Base bordo'!G$2:G$746,'Base bordo'!C$2:C$746,A411,'Base bordo'!B$2:B$746,B411,'Base bordo'!F$2:F$746,"AGUARDANDO TRANSBORDO"),0)</f>
        <v>0.1763888888888889</v>
      </c>
      <c r="I411" s="10">
        <f>IFERROR(SUMIFS('Base bordo'!G$2:G$746,'Base bordo'!C$2:C$746,A411,'Base bordo'!B$2:B$746,B411,'Base bordo'!F$2:F$746,"PÁTIO INTERNO"),0)+IFERROR(SUMIFS('Base bordo'!G$2:G$746,'Base bordo'!C$2:C$746,A411,'Base bordo'!B$2:B$746,B411,'Base bordo'!F$2:F$746,"PÁTIO EXTERNO"),0)+IFERROR(SUMIFS('Base bordo'!G$2:G$746,'Base bordo'!C$2:C$746,A411,'Base bordo'!B$2:B$746,B411,'Base bordo'!F$2:F$746,"PATIO - RESERVA"),0)+IFERROR(SUMIFS('Base bordo'!G$2:G$746,'Base bordo'!C$2:C$746,A411,'Base bordo'!B$2:B$746,B411,'Base bordo'!F$2:F$746,"MANOBRA CARRETAS-PATIO"),0)</f>
        <v>8.8005555555555546</v>
      </c>
      <c r="J411" s="10">
        <f>IFERROR(SUMIFS('Base bordo'!G$2:G$746,'Base bordo'!C$2:C$746,A411,'Base bordo'!B$2:B$746,B411,'Base bordo'!F$2:F$746,"BALANÇA - ENTRADA"),0)+IFERROR(SUMIFS('Base bordo'!G$2:G$746,'Base bordo'!C$2:C$746,A411,'Base bordo'!B$2:B$746,B411,'Base bordo'!F$2:F$746,"BALANÇA - SAÍDA"),0)</f>
        <v>0.12222222222222223</v>
      </c>
      <c r="K411" s="10">
        <f>IFERROR(SUMIFS('Base bordo'!G$2:G$746,'Base bordo'!C$2:C$746,A411,'Base bordo'!B$2:B$746,B411,'Base bordo'!F$2:F$746,"MAN PREVENTIVA - MECANICA"),0)+IFERROR(SUMIFS('Base bordo'!G$2:G$746,'Base bordo'!C$2:C$746,A411,'Base bordo'!B$2:B$746,B411,'Base bordo'!F$2:F$746,"MAN CORRETIVA - MECANICA"),0)</f>
        <v>0</v>
      </c>
      <c r="L411" s="10">
        <f>IFERROR(SUMIFS('Base bordo'!G$2:G$746,'Base bordo'!C$2:C$746,A411,'Base bordo'!B$2:B$746,B411,'Base bordo'!F$2:F$746,"MANUTENCAO - T O"),0)+IFERROR(SUMIFS('Base bordo'!G$2:G$746,'Base bordo'!C$2:C$746,A411,'Base bordo'!B$2:B$746,B411,'Base bordo'!F$2:F$746,"MANUTENCAO BORRACHARIA"),0)+IFERROR(SUMIFS('Base bordo'!G$2:G$746,'Base bordo'!C$2:C$746,A411,'Base bordo'!B$2:B$746,B411,'Base bordo'!F$2:F$746,"MANUTENCAO EXTERNA  CONCESSIONARIA"),0)+IFERROR(SUMIFS('Base bordo'!G$2:G$746,'Base bordo'!C$2:C$746,A411,'Base bordo'!B$2:B$746,B411,'Base bordo'!F$2:F$746,"MANUTENCAO TELEMETRIA"),0)</f>
        <v>0</v>
      </c>
      <c r="M411" s="10">
        <f>IFERROR(SUMIFS('Base bordo'!G$2:G$746,'Base bordo'!C$2:C$746,A411,'Base bordo'!B$2:B$746,B411,'Base bordo'!F$2:F$746,"AGUARDANDO MANUTENCAO"),0)</f>
        <v>0</v>
      </c>
      <c r="N411" s="10">
        <f>IFERROR(SUMIFS('Base bordo'!G$2:G$746,'Base bordo'!C$2:C$746,A411,'Base bordo'!B$2:B$746,B411,'Base bordo'!F$2:F$746,"SEM APONTAMENTO"),0)</f>
        <v>0</v>
      </c>
      <c r="O411" s="10">
        <f t="shared" si="48"/>
        <v>0</v>
      </c>
      <c r="P411" s="10">
        <f>IFERROR(SUMIFS('Base bordo'!G$2:G$746,'Base bordo'!C$2:C$746,A411,'Base bordo'!B$2:B$746,B411),0)</f>
        <v>16.925277777777776</v>
      </c>
      <c r="Q411" s="10">
        <f>IFERROR(SUMIFS('Base bordo'!H$2:H$746,'Base bordo'!C$2:C$746,A411,'Base bordo'!B$2:B$746,B411,'Base bordo'!F$2:F$746,"DESLOCAMENTO VAZIO"),0)</f>
        <v>360275.76</v>
      </c>
      <c r="R411" s="10">
        <f>IFERROR(SUMIFS('Base bordo'!I$2:I$746,'Base bordo'!C$2:C$746,A411,'Base bordo'!B$2:B$746,B411,'Base bordo'!F$2:F$746,"DESLOCAMENTO VAZIO"),0)</f>
        <v>11617</v>
      </c>
      <c r="S411" s="30">
        <f t="shared" si="49"/>
        <v>31.012805371438411</v>
      </c>
      <c r="T411" s="10">
        <f>IFERROR(SUMIFS('Base bordo'!H$2:H$746,'Base bordo'!C$2:C$746,A411,'Base bordo'!B$2:B$746,B411,'Base bordo'!F$2:F$746,"DESLOCAMENTO CARREGADO"),0)</f>
        <v>354323.07999999996</v>
      </c>
      <c r="U411" s="10">
        <f>IFERROR(SUMIFS('Base bordo'!I$2:I$746,'Base bordo'!C$2:C$746,A411,'Base bordo'!B$2:B$746,B411,'Base bordo'!F$2:F$746,"DESLOCAMENTO CARREGADO"),0)</f>
        <v>16557</v>
      </c>
      <c r="V411" s="30">
        <f t="shared" si="50"/>
        <v>21.400198103521166</v>
      </c>
      <c r="W411" s="9">
        <f t="shared" si="51"/>
        <v>0.19065828560174625</v>
      </c>
      <c r="X411" s="9">
        <f t="shared" si="52"/>
        <v>0.27173360030198096</v>
      </c>
      <c r="Y411" s="9">
        <f t="shared" si="53"/>
        <v>0.53760811409627274</v>
      </c>
    </row>
    <row r="412" spans="1:25" ht="15" customHeight="1" x14ac:dyDescent="0.35">
      <c r="A412" s="52">
        <v>8013470</v>
      </c>
      <c r="B412" s="51">
        <v>46124</v>
      </c>
      <c r="C412" s="7" t="s">
        <v>124</v>
      </c>
      <c r="D412" s="10">
        <f>IFERROR(SUMIFS('Base bordo'!G$2:G$746,'Base bordo'!C$2:C$746,A412,'Base bordo'!B$2:B$746,B412,'Base bordo'!F$2:F$746,"DESLOCAMENTO VAZIO"),0)</f>
        <v>2.2769444444444447</v>
      </c>
      <c r="E412" s="10">
        <f>IFERROR(SUMIFS('Base bordo'!G$2:G$746,'Base bordo'!C$2:C$746,A412,'Base bordo'!B$2:B$746,B412,'Base bordo'!F$2:F$746,"DESLOCAMENTO CARREGADO"),0)</f>
        <v>6.3111111111111109</v>
      </c>
      <c r="F412" s="10">
        <f>IFERROR(SUMIFS('Base bordo'!G$2:G$746,'Base bordo'!C$2:C$746,A412,'Base bordo'!B$2:B$746,B412,'Base bordo'!F$2:F$746,"DESLOCAMENTO"),0)</f>
        <v>0</v>
      </c>
      <c r="G412" s="10">
        <f>IFERROR(SUMIFS('Base bordo'!G$2:G$746,'Base bordo'!C$2:C$746,A412,'Base bordo'!B$2:B$746,B412,'Base bordo'!F$2:F$746,"CARREGAMENTO"),0)</f>
        <v>0</v>
      </c>
      <c r="H412" s="10">
        <f>IFERROR(SUMIFS('Base bordo'!G$2:G$746,'Base bordo'!C$2:C$746,A412,'Base bordo'!B$2:B$746,B412,'Base bordo'!F$2:F$746,"AGUARDANDO TRANSBORDO"),0)</f>
        <v>0.24416666666666667</v>
      </c>
      <c r="I412" s="10">
        <f>IFERROR(SUMIFS('Base bordo'!G$2:G$746,'Base bordo'!C$2:C$746,A412,'Base bordo'!B$2:B$746,B412,'Base bordo'!F$2:F$746,"PÁTIO INTERNO"),0)+IFERROR(SUMIFS('Base bordo'!G$2:G$746,'Base bordo'!C$2:C$746,A412,'Base bordo'!B$2:B$746,B412,'Base bordo'!F$2:F$746,"PÁTIO EXTERNO"),0)+IFERROR(SUMIFS('Base bordo'!G$2:G$746,'Base bordo'!C$2:C$746,A412,'Base bordo'!B$2:B$746,B412,'Base bordo'!F$2:F$746,"PATIO - RESERVA"),0)+IFERROR(SUMIFS('Base bordo'!G$2:G$746,'Base bordo'!C$2:C$746,A412,'Base bordo'!B$2:B$746,B412,'Base bordo'!F$2:F$746,"MANOBRA CARRETAS-PATIO"),0)</f>
        <v>3.2016666666666667</v>
      </c>
      <c r="J412" s="10">
        <f>IFERROR(SUMIFS('Base bordo'!G$2:G$746,'Base bordo'!C$2:C$746,A412,'Base bordo'!B$2:B$746,B412,'Base bordo'!F$2:F$746,"BALANÇA - ENTRADA"),0)+IFERROR(SUMIFS('Base bordo'!G$2:G$746,'Base bordo'!C$2:C$746,A412,'Base bordo'!B$2:B$746,B412,'Base bordo'!F$2:F$746,"BALANÇA - SAÍDA"),0)</f>
        <v>0.21722222222222221</v>
      </c>
      <c r="K412" s="10">
        <f>IFERROR(SUMIFS('Base bordo'!G$2:G$746,'Base bordo'!C$2:C$746,A412,'Base bordo'!B$2:B$746,B412,'Base bordo'!F$2:F$746,"MAN PREVENTIVA - MECANICA"),0)+IFERROR(SUMIFS('Base bordo'!G$2:G$746,'Base bordo'!C$2:C$746,A412,'Base bordo'!B$2:B$746,B412,'Base bordo'!F$2:F$746,"MAN CORRETIVA - MECANICA"),0)</f>
        <v>0</v>
      </c>
      <c r="L412" s="10">
        <f>IFERROR(SUMIFS('Base bordo'!G$2:G$746,'Base bordo'!C$2:C$746,A412,'Base bordo'!B$2:B$746,B412,'Base bordo'!F$2:F$746,"MANUTENCAO - T O"),0)+IFERROR(SUMIFS('Base bordo'!G$2:G$746,'Base bordo'!C$2:C$746,A412,'Base bordo'!B$2:B$746,B412,'Base bordo'!F$2:F$746,"MANUTENCAO BORRACHARIA"),0)+IFERROR(SUMIFS('Base bordo'!G$2:G$746,'Base bordo'!C$2:C$746,A412,'Base bordo'!B$2:B$746,B412,'Base bordo'!F$2:F$746,"MANUTENCAO EXTERNA  CONCESSIONARIA"),0)+IFERROR(SUMIFS('Base bordo'!G$2:G$746,'Base bordo'!C$2:C$746,A412,'Base bordo'!B$2:B$746,B412,'Base bordo'!F$2:F$746,"MANUTENCAO TELEMETRIA"),0)</f>
        <v>0</v>
      </c>
      <c r="M412" s="10">
        <f>IFERROR(SUMIFS('Base bordo'!G$2:G$746,'Base bordo'!C$2:C$746,A412,'Base bordo'!B$2:B$746,B412,'Base bordo'!F$2:F$746,"AGUARDANDO MANUTENCAO"),0)</f>
        <v>0</v>
      </c>
      <c r="N412" s="10">
        <f>IFERROR(SUMIFS('Base bordo'!G$2:G$746,'Base bordo'!C$2:C$746,A412,'Base bordo'!B$2:B$746,B412,'Base bordo'!F$2:F$746,"SEM APONTAMENTO"),0)</f>
        <v>0</v>
      </c>
      <c r="O412" s="10">
        <f t="shared" si="48"/>
        <v>6.3333333333332575E-2</v>
      </c>
      <c r="P412" s="10">
        <f>IFERROR(SUMIFS('Base bordo'!G$2:G$746,'Base bordo'!C$2:C$746,A412,'Base bordo'!B$2:B$746,B412),0)</f>
        <v>12.314444444444444</v>
      </c>
      <c r="Q412" s="10">
        <f>IFERROR(SUMIFS('Base bordo'!H$2:H$746,'Base bordo'!C$2:C$746,A412,'Base bordo'!B$2:B$746,B412,'Base bordo'!F$2:F$746,"DESLOCAMENTO VAZIO"),0)</f>
        <v>282969.98000000004</v>
      </c>
      <c r="R412" s="10">
        <f>IFERROR(SUMIFS('Base bordo'!I$2:I$746,'Base bordo'!C$2:C$746,A412,'Base bordo'!B$2:B$746,B412,'Base bordo'!F$2:F$746,"DESLOCAMENTO VAZIO"),0)</f>
        <v>8186</v>
      </c>
      <c r="S412" s="30">
        <f t="shared" si="49"/>
        <v>34.567551917908631</v>
      </c>
      <c r="T412" s="10">
        <f>IFERROR(SUMIFS('Base bordo'!H$2:H$746,'Base bordo'!C$2:C$746,A412,'Base bordo'!B$2:B$746,B412,'Base bordo'!F$2:F$746,"DESLOCAMENTO CARREGADO"),0)</f>
        <v>649243.22</v>
      </c>
      <c r="U412" s="10">
        <f>IFERROR(SUMIFS('Base bordo'!I$2:I$746,'Base bordo'!C$2:C$746,A412,'Base bordo'!B$2:B$746,B412,'Base bordo'!F$2:F$746,"DESLOCAMENTO CARREGADO"),0)</f>
        <v>22720</v>
      </c>
      <c r="V412" s="30">
        <f t="shared" si="50"/>
        <v>28.575845950704224</v>
      </c>
      <c r="W412" s="9">
        <f t="shared" si="51"/>
        <v>0.18490029775331593</v>
      </c>
      <c r="X412" s="9">
        <f t="shared" si="52"/>
        <v>0.51249661643959221</v>
      </c>
      <c r="Y412" s="9">
        <f t="shared" si="53"/>
        <v>0.30260308580709183</v>
      </c>
    </row>
    <row r="413" spans="1:25" ht="15" customHeight="1" x14ac:dyDescent="0.35">
      <c r="A413" s="52">
        <v>8013478</v>
      </c>
      <c r="B413" s="51">
        <v>46123</v>
      </c>
      <c r="C413" s="7" t="s">
        <v>124</v>
      </c>
      <c r="D413" s="10">
        <f>IFERROR(SUMIFS('Base bordo'!G$2:G$746,'Base bordo'!C$2:C$746,A413,'Base bordo'!B$2:B$746,B413,'Base bordo'!F$2:F$746,"DESLOCAMENTO VAZIO"),0)</f>
        <v>2.4488888888888889</v>
      </c>
      <c r="E413" s="10">
        <f>IFERROR(SUMIFS('Base bordo'!G$2:G$746,'Base bordo'!C$2:C$746,A413,'Base bordo'!B$2:B$746,B413,'Base bordo'!F$2:F$746,"DESLOCAMENTO CARREGADO"),0)</f>
        <v>2.4197222222222221</v>
      </c>
      <c r="F413" s="10">
        <f>IFERROR(SUMIFS('Base bordo'!G$2:G$746,'Base bordo'!C$2:C$746,A413,'Base bordo'!B$2:B$746,B413,'Base bordo'!F$2:F$746,"DESLOCAMENTO"),0)</f>
        <v>0</v>
      </c>
      <c r="G413" s="10">
        <f>IFERROR(SUMIFS('Base bordo'!G$2:G$746,'Base bordo'!C$2:C$746,A413,'Base bordo'!B$2:B$746,B413,'Base bordo'!F$2:F$746,"CARREGAMENTO"),0)</f>
        <v>0</v>
      </c>
      <c r="H413" s="10">
        <f>IFERROR(SUMIFS('Base bordo'!G$2:G$746,'Base bordo'!C$2:C$746,A413,'Base bordo'!B$2:B$746,B413,'Base bordo'!F$2:F$746,"AGUARDANDO TRANSBORDO"),0)</f>
        <v>0.2013888888888889</v>
      </c>
      <c r="I413" s="10">
        <f>IFERROR(SUMIFS('Base bordo'!G$2:G$746,'Base bordo'!C$2:C$746,A413,'Base bordo'!B$2:B$746,B413,'Base bordo'!F$2:F$746,"PÁTIO INTERNO"),0)+IFERROR(SUMIFS('Base bordo'!G$2:G$746,'Base bordo'!C$2:C$746,A413,'Base bordo'!B$2:B$746,B413,'Base bordo'!F$2:F$746,"PÁTIO EXTERNO"),0)+IFERROR(SUMIFS('Base bordo'!G$2:G$746,'Base bordo'!C$2:C$746,A413,'Base bordo'!B$2:B$746,B413,'Base bordo'!F$2:F$746,"PATIO - RESERVA"),0)+IFERROR(SUMIFS('Base bordo'!G$2:G$746,'Base bordo'!C$2:C$746,A413,'Base bordo'!B$2:B$746,B413,'Base bordo'!F$2:F$746,"MANOBRA CARRETAS-PATIO"),0)</f>
        <v>0.60305555555555557</v>
      </c>
      <c r="J413" s="10">
        <f>IFERROR(SUMIFS('Base bordo'!G$2:G$746,'Base bordo'!C$2:C$746,A413,'Base bordo'!B$2:B$746,B413,'Base bordo'!F$2:F$746,"BALANÇA - ENTRADA"),0)+IFERROR(SUMIFS('Base bordo'!G$2:G$746,'Base bordo'!C$2:C$746,A413,'Base bordo'!B$2:B$746,B413,'Base bordo'!F$2:F$746,"BALANÇA - SAÍDA"),0)</f>
        <v>0</v>
      </c>
      <c r="K413" s="10">
        <f>IFERROR(SUMIFS('Base bordo'!G$2:G$746,'Base bordo'!C$2:C$746,A413,'Base bordo'!B$2:B$746,B413,'Base bordo'!F$2:F$746,"MAN PREVENTIVA - MECANICA"),0)+IFERROR(SUMIFS('Base bordo'!G$2:G$746,'Base bordo'!C$2:C$746,A413,'Base bordo'!B$2:B$746,B413,'Base bordo'!F$2:F$746,"MAN CORRETIVA - MECANICA"),0)</f>
        <v>0</v>
      </c>
      <c r="L413" s="10">
        <f>IFERROR(SUMIFS('Base bordo'!G$2:G$746,'Base bordo'!C$2:C$746,A413,'Base bordo'!B$2:B$746,B413,'Base bordo'!F$2:F$746,"MANUTENCAO - T O"),0)+IFERROR(SUMIFS('Base bordo'!G$2:G$746,'Base bordo'!C$2:C$746,A413,'Base bordo'!B$2:B$746,B413,'Base bordo'!F$2:F$746,"MANUTENCAO BORRACHARIA"),0)+IFERROR(SUMIFS('Base bordo'!G$2:G$746,'Base bordo'!C$2:C$746,A413,'Base bordo'!B$2:B$746,B413,'Base bordo'!F$2:F$746,"MANUTENCAO EXTERNA  CONCESSIONARIA"),0)+IFERROR(SUMIFS('Base bordo'!G$2:G$746,'Base bordo'!C$2:C$746,A413,'Base bordo'!B$2:B$746,B413,'Base bordo'!F$2:F$746,"MANUTENCAO TELEMETRIA"),0)</f>
        <v>0</v>
      </c>
      <c r="M413" s="10">
        <f>IFERROR(SUMIFS('Base bordo'!G$2:G$746,'Base bordo'!C$2:C$746,A413,'Base bordo'!B$2:B$746,B413,'Base bordo'!F$2:F$746,"AGUARDANDO MANUTENCAO"),0)</f>
        <v>0</v>
      </c>
      <c r="N413" s="10">
        <f>IFERROR(SUMIFS('Base bordo'!G$2:G$746,'Base bordo'!C$2:C$746,A413,'Base bordo'!B$2:B$746,B413,'Base bordo'!F$2:F$746,"SEM APONTAMENTO"),0)</f>
        <v>0</v>
      </c>
      <c r="O413" s="10">
        <f t="shared" si="48"/>
        <v>0.14583333333333304</v>
      </c>
      <c r="P413" s="10">
        <f>IFERROR(SUMIFS('Base bordo'!G$2:G$746,'Base bordo'!C$2:C$746,A413,'Base bordo'!B$2:B$746,B413),0)</f>
        <v>5.818888888888889</v>
      </c>
      <c r="Q413" s="10">
        <f>IFERROR(SUMIFS('Base bordo'!H$2:H$746,'Base bordo'!C$2:C$746,A413,'Base bordo'!B$2:B$746,B413,'Base bordo'!F$2:F$746,"DESLOCAMENTO VAZIO"),0)</f>
        <v>265991.25</v>
      </c>
      <c r="R413" s="10">
        <f>IFERROR(SUMIFS('Base bordo'!I$2:I$746,'Base bordo'!C$2:C$746,A413,'Base bordo'!B$2:B$746,B413,'Base bordo'!F$2:F$746,"DESLOCAMENTO VAZIO"),0)</f>
        <v>8816</v>
      </c>
      <c r="S413" s="30">
        <f t="shared" si="49"/>
        <v>30.171421279491835</v>
      </c>
      <c r="T413" s="10">
        <f>IFERROR(SUMIFS('Base bordo'!H$2:H$746,'Base bordo'!C$2:C$746,A413,'Base bordo'!B$2:B$746,B413,'Base bordo'!F$2:F$746,"DESLOCAMENTO CARREGADO"),0)</f>
        <v>247310.05000000002</v>
      </c>
      <c r="U413" s="10">
        <f>IFERROR(SUMIFS('Base bordo'!I$2:I$746,'Base bordo'!C$2:C$746,A413,'Base bordo'!B$2:B$746,B413,'Base bordo'!F$2:F$746,"DESLOCAMENTO CARREGADO"),0)</f>
        <v>8705</v>
      </c>
      <c r="V413" s="30">
        <f t="shared" si="50"/>
        <v>28.410114876507755</v>
      </c>
      <c r="W413" s="9">
        <f t="shared" si="51"/>
        <v>0.42085163261409203</v>
      </c>
      <c r="X413" s="9">
        <f t="shared" si="52"/>
        <v>0.41583922092801218</v>
      </c>
      <c r="Y413" s="9">
        <f t="shared" si="53"/>
        <v>0.16330914645789574</v>
      </c>
    </row>
    <row r="414" spans="1:25" ht="15" customHeight="1" x14ac:dyDescent="0.35">
      <c r="A414" s="52">
        <v>8013462</v>
      </c>
      <c r="B414" s="51">
        <v>46123</v>
      </c>
      <c r="C414" s="7" t="s">
        <v>124</v>
      </c>
      <c r="D414" s="10">
        <f>IFERROR(SUMIFS('Base bordo'!G$2:G$746,'Base bordo'!C$2:C$746,A414,'Base bordo'!B$2:B$746,B414,'Base bordo'!F$2:F$746,"DESLOCAMENTO VAZIO"),0)</f>
        <v>2.4444444444444446E-2</v>
      </c>
      <c r="E414" s="10">
        <f>IFERROR(SUMIFS('Base bordo'!G$2:G$746,'Base bordo'!C$2:C$746,A414,'Base bordo'!B$2:B$746,B414,'Base bordo'!F$2:F$746,"DESLOCAMENTO CARREGADO"),0)</f>
        <v>2.9533333333333331</v>
      </c>
      <c r="F414" s="10">
        <f>IFERROR(SUMIFS('Base bordo'!G$2:G$746,'Base bordo'!C$2:C$746,A414,'Base bordo'!B$2:B$746,B414,'Base bordo'!F$2:F$746,"DESLOCAMENTO"),0)</f>
        <v>0.32861111111111113</v>
      </c>
      <c r="G414" s="10">
        <f>IFERROR(SUMIFS('Base bordo'!G$2:G$746,'Base bordo'!C$2:C$746,A414,'Base bordo'!B$2:B$746,B414,'Base bordo'!F$2:F$746,"CARREGAMENTO"),0)</f>
        <v>0</v>
      </c>
      <c r="H414" s="10">
        <f>IFERROR(SUMIFS('Base bordo'!G$2:G$746,'Base bordo'!C$2:C$746,A414,'Base bordo'!B$2:B$746,B414,'Base bordo'!F$2:F$746,"AGUARDANDO TRANSBORDO"),0)</f>
        <v>0</v>
      </c>
      <c r="I414" s="10">
        <f>IFERROR(SUMIFS('Base bordo'!G$2:G$746,'Base bordo'!C$2:C$746,A414,'Base bordo'!B$2:B$746,B414,'Base bordo'!F$2:F$746,"PÁTIO INTERNO"),0)+IFERROR(SUMIFS('Base bordo'!G$2:G$746,'Base bordo'!C$2:C$746,A414,'Base bordo'!B$2:B$746,B414,'Base bordo'!F$2:F$746,"PÁTIO EXTERNO"),0)+IFERROR(SUMIFS('Base bordo'!G$2:G$746,'Base bordo'!C$2:C$746,A414,'Base bordo'!B$2:B$746,B414,'Base bordo'!F$2:F$746,"PATIO - RESERVA"),0)+IFERROR(SUMIFS('Base bordo'!G$2:G$746,'Base bordo'!C$2:C$746,A414,'Base bordo'!B$2:B$746,B414,'Base bordo'!F$2:F$746,"MANOBRA CARRETAS-PATIO"),0)</f>
        <v>5.2366666666666664</v>
      </c>
      <c r="J414" s="10">
        <f>IFERROR(SUMIFS('Base bordo'!G$2:G$746,'Base bordo'!C$2:C$746,A414,'Base bordo'!B$2:B$746,B414,'Base bordo'!F$2:F$746,"BALANÇA - ENTRADA"),0)+IFERROR(SUMIFS('Base bordo'!G$2:G$746,'Base bordo'!C$2:C$746,A414,'Base bordo'!B$2:B$746,B414,'Base bordo'!F$2:F$746,"BALANÇA - SAÍDA"),0)</f>
        <v>0</v>
      </c>
      <c r="K414" s="10">
        <f>IFERROR(SUMIFS('Base bordo'!G$2:G$746,'Base bordo'!C$2:C$746,A414,'Base bordo'!B$2:B$746,B414,'Base bordo'!F$2:F$746,"MAN PREVENTIVA - MECANICA"),0)+IFERROR(SUMIFS('Base bordo'!G$2:G$746,'Base bordo'!C$2:C$746,A414,'Base bordo'!B$2:B$746,B414,'Base bordo'!F$2:F$746,"MAN CORRETIVA - MECANICA"),0)</f>
        <v>0</v>
      </c>
      <c r="L414" s="10">
        <f>IFERROR(SUMIFS('Base bordo'!G$2:G$746,'Base bordo'!C$2:C$746,A414,'Base bordo'!B$2:B$746,B414,'Base bordo'!F$2:F$746,"MANUTENCAO - T O"),0)+IFERROR(SUMIFS('Base bordo'!G$2:G$746,'Base bordo'!C$2:C$746,A414,'Base bordo'!B$2:B$746,B414,'Base bordo'!F$2:F$746,"MANUTENCAO BORRACHARIA"),0)+IFERROR(SUMIFS('Base bordo'!G$2:G$746,'Base bordo'!C$2:C$746,A414,'Base bordo'!B$2:B$746,B414,'Base bordo'!F$2:F$746,"MANUTENCAO EXTERNA  CONCESSIONARIA"),0)+IFERROR(SUMIFS('Base bordo'!G$2:G$746,'Base bordo'!C$2:C$746,A414,'Base bordo'!B$2:B$746,B414,'Base bordo'!F$2:F$746,"MANUTENCAO TELEMETRIA"),0)</f>
        <v>0</v>
      </c>
      <c r="M414" s="10">
        <f>IFERROR(SUMIFS('Base bordo'!G$2:G$746,'Base bordo'!C$2:C$746,A414,'Base bordo'!B$2:B$746,B414,'Base bordo'!F$2:F$746,"AGUARDANDO MANUTENCAO"),0)</f>
        <v>0</v>
      </c>
      <c r="N414" s="10">
        <f>IFERROR(SUMIFS('Base bordo'!G$2:G$746,'Base bordo'!C$2:C$746,A414,'Base bordo'!B$2:B$746,B414,'Base bordo'!F$2:F$746,"SEM APONTAMENTO"),0)</f>
        <v>0</v>
      </c>
      <c r="O414" s="10">
        <f t="shared" si="48"/>
        <v>0</v>
      </c>
      <c r="P414" s="10">
        <f>IFERROR(SUMIFS('Base bordo'!G$2:G$746,'Base bordo'!C$2:C$746,A414,'Base bordo'!B$2:B$746,B414),0)</f>
        <v>8.5430555555555543</v>
      </c>
      <c r="Q414" s="10">
        <f>IFERROR(SUMIFS('Base bordo'!H$2:H$746,'Base bordo'!C$2:C$746,A414,'Base bordo'!B$2:B$746,B414,'Base bordo'!F$2:F$746,"DESLOCAMENTO VAZIO"),0)</f>
        <v>880</v>
      </c>
      <c r="R414" s="10">
        <f>IFERROR(SUMIFS('Base bordo'!I$2:I$746,'Base bordo'!C$2:C$746,A414,'Base bordo'!B$2:B$746,B414,'Base bordo'!F$2:F$746,"DESLOCAMENTO VAZIO"),0)</f>
        <v>88</v>
      </c>
      <c r="S414" s="30">
        <f t="shared" si="49"/>
        <v>10</v>
      </c>
      <c r="T414" s="10">
        <f>IFERROR(SUMIFS('Base bordo'!H$2:H$746,'Base bordo'!C$2:C$746,A414,'Base bordo'!B$2:B$746,B414,'Base bordo'!F$2:F$746,"DESLOCAMENTO CARREGADO"),0)</f>
        <v>244097.37999999998</v>
      </c>
      <c r="U414" s="10">
        <f>IFERROR(SUMIFS('Base bordo'!I$2:I$746,'Base bordo'!C$2:C$746,A414,'Base bordo'!B$2:B$746,B414,'Base bordo'!F$2:F$746,"DESLOCAMENTO CARREGADO"),0)</f>
        <v>10632</v>
      </c>
      <c r="V414" s="30">
        <f t="shared" si="50"/>
        <v>22.958745297215948</v>
      </c>
      <c r="W414" s="9">
        <f t="shared" si="51"/>
        <v>2.8613233620549509E-3</v>
      </c>
      <c r="X414" s="9">
        <f t="shared" si="52"/>
        <v>0.3456998861973663</v>
      </c>
      <c r="Y414" s="9">
        <f t="shared" si="53"/>
        <v>0.65143879044057873</v>
      </c>
    </row>
    <row r="415" spans="1:25" ht="15" customHeight="1" x14ac:dyDescent="0.35">
      <c r="A415" s="52">
        <v>8013474</v>
      </c>
      <c r="B415" s="51">
        <v>46124</v>
      </c>
      <c r="C415" s="7" t="s">
        <v>124</v>
      </c>
      <c r="D415" s="10">
        <f>IFERROR(SUMIFS('Base bordo'!G$2:G$746,'Base bordo'!C$2:C$746,A415,'Base bordo'!B$2:B$746,B415,'Base bordo'!F$2:F$746,"DESLOCAMENTO VAZIO"),0)</f>
        <v>4.3047222222222219</v>
      </c>
      <c r="E415" s="10">
        <f>IFERROR(SUMIFS('Base bordo'!G$2:G$746,'Base bordo'!C$2:C$746,A415,'Base bordo'!B$2:B$746,B415,'Base bordo'!F$2:F$746,"DESLOCAMENTO CARREGADO"),0)</f>
        <v>5.5750000000000002</v>
      </c>
      <c r="F415" s="10">
        <f>IFERROR(SUMIFS('Base bordo'!G$2:G$746,'Base bordo'!C$2:C$746,A415,'Base bordo'!B$2:B$746,B415,'Base bordo'!F$2:F$746,"DESLOCAMENTO"),0)</f>
        <v>0</v>
      </c>
      <c r="G415" s="10">
        <f>IFERROR(SUMIFS('Base bordo'!G$2:G$746,'Base bordo'!C$2:C$746,A415,'Base bordo'!B$2:B$746,B415,'Base bordo'!F$2:F$746,"CARREGAMENTO"),0)</f>
        <v>0</v>
      </c>
      <c r="H415" s="10">
        <f>IFERROR(SUMIFS('Base bordo'!G$2:G$746,'Base bordo'!C$2:C$746,A415,'Base bordo'!B$2:B$746,B415,'Base bordo'!F$2:F$746,"AGUARDANDO TRANSBORDO"),0)</f>
        <v>0.92527777777777775</v>
      </c>
      <c r="I415" s="10">
        <f>IFERROR(SUMIFS('Base bordo'!G$2:G$746,'Base bordo'!C$2:C$746,A415,'Base bordo'!B$2:B$746,B415,'Base bordo'!F$2:F$746,"PÁTIO INTERNO"),0)+IFERROR(SUMIFS('Base bordo'!G$2:G$746,'Base bordo'!C$2:C$746,A415,'Base bordo'!B$2:B$746,B415,'Base bordo'!F$2:F$746,"PÁTIO EXTERNO"),0)+IFERROR(SUMIFS('Base bordo'!G$2:G$746,'Base bordo'!C$2:C$746,A415,'Base bordo'!B$2:B$746,B415,'Base bordo'!F$2:F$746,"PATIO - RESERVA"),0)+IFERROR(SUMIFS('Base bordo'!G$2:G$746,'Base bordo'!C$2:C$746,A415,'Base bordo'!B$2:B$746,B415,'Base bordo'!F$2:F$746,"MANOBRA CARRETAS-PATIO"),0)</f>
        <v>1.7619444444444445</v>
      </c>
      <c r="J415" s="10">
        <f>IFERROR(SUMIFS('Base bordo'!G$2:G$746,'Base bordo'!C$2:C$746,A415,'Base bordo'!B$2:B$746,B415,'Base bordo'!F$2:F$746,"BALANÇA - ENTRADA"),0)+IFERROR(SUMIFS('Base bordo'!G$2:G$746,'Base bordo'!C$2:C$746,A415,'Base bordo'!B$2:B$746,B415,'Base bordo'!F$2:F$746,"BALANÇA - SAÍDA"),0)</f>
        <v>9.6944444444444444E-2</v>
      </c>
      <c r="K415" s="10">
        <f>IFERROR(SUMIFS('Base bordo'!G$2:G$746,'Base bordo'!C$2:C$746,A415,'Base bordo'!B$2:B$746,B415,'Base bordo'!F$2:F$746,"MAN PREVENTIVA - MECANICA"),0)+IFERROR(SUMIFS('Base bordo'!G$2:G$746,'Base bordo'!C$2:C$746,A415,'Base bordo'!B$2:B$746,B415,'Base bordo'!F$2:F$746,"MAN CORRETIVA - MECANICA"),0)</f>
        <v>0</v>
      </c>
      <c r="L415" s="10">
        <f>IFERROR(SUMIFS('Base bordo'!G$2:G$746,'Base bordo'!C$2:C$746,A415,'Base bordo'!B$2:B$746,B415,'Base bordo'!F$2:F$746,"MANUTENCAO - T O"),0)+IFERROR(SUMIFS('Base bordo'!G$2:G$746,'Base bordo'!C$2:C$746,A415,'Base bordo'!B$2:B$746,B415,'Base bordo'!F$2:F$746,"MANUTENCAO BORRACHARIA"),0)+IFERROR(SUMIFS('Base bordo'!G$2:G$746,'Base bordo'!C$2:C$746,A415,'Base bordo'!B$2:B$746,B415,'Base bordo'!F$2:F$746,"MANUTENCAO EXTERNA  CONCESSIONARIA"),0)+IFERROR(SUMIFS('Base bordo'!G$2:G$746,'Base bordo'!C$2:C$746,A415,'Base bordo'!B$2:B$746,B415,'Base bordo'!F$2:F$746,"MANUTENCAO TELEMETRIA"),0)</f>
        <v>0</v>
      </c>
      <c r="M415" s="10">
        <f>IFERROR(SUMIFS('Base bordo'!G$2:G$746,'Base bordo'!C$2:C$746,A415,'Base bordo'!B$2:B$746,B415,'Base bordo'!F$2:F$746,"AGUARDANDO MANUTENCAO"),0)</f>
        <v>0</v>
      </c>
      <c r="N415" s="10">
        <f>IFERROR(SUMIFS('Base bordo'!G$2:G$746,'Base bordo'!C$2:C$746,A415,'Base bordo'!B$2:B$746,B415,'Base bordo'!F$2:F$746,"SEM APONTAMENTO"),0)</f>
        <v>0</v>
      </c>
      <c r="O415" s="10">
        <f t="shared" si="48"/>
        <v>0</v>
      </c>
      <c r="P415" s="10">
        <f>IFERROR(SUMIFS('Base bordo'!G$2:G$746,'Base bordo'!C$2:C$746,A415,'Base bordo'!B$2:B$746,B415),0)</f>
        <v>12.66388888888889</v>
      </c>
      <c r="Q415" s="10">
        <f>IFERROR(SUMIFS('Base bordo'!H$2:H$746,'Base bordo'!C$2:C$746,A415,'Base bordo'!B$2:B$746,B415,'Base bordo'!F$2:F$746,"DESLOCAMENTO VAZIO"),0)</f>
        <v>535356.59</v>
      </c>
      <c r="R415" s="10">
        <f>IFERROR(SUMIFS('Base bordo'!I$2:I$746,'Base bordo'!C$2:C$746,A415,'Base bordo'!B$2:B$746,B415,'Base bordo'!F$2:F$746,"DESLOCAMENTO VAZIO"),0)</f>
        <v>15497</v>
      </c>
      <c r="S415" s="30">
        <f t="shared" si="49"/>
        <v>34.545821126669679</v>
      </c>
      <c r="T415" s="10">
        <f>IFERROR(SUMIFS('Base bordo'!H$2:H$746,'Base bordo'!C$2:C$746,A415,'Base bordo'!B$2:B$746,B415,'Base bordo'!F$2:F$746,"DESLOCAMENTO CARREGADO"),0)</f>
        <v>488002.63</v>
      </c>
      <c r="U415" s="10">
        <f>IFERROR(SUMIFS('Base bordo'!I$2:I$746,'Base bordo'!C$2:C$746,A415,'Base bordo'!B$2:B$746,B415,'Base bordo'!F$2:F$746,"DESLOCAMENTO CARREGADO"),0)</f>
        <v>20070</v>
      </c>
      <c r="V415" s="30">
        <f t="shared" si="50"/>
        <v>24.31502889885401</v>
      </c>
      <c r="W415" s="9">
        <f t="shared" si="51"/>
        <v>0.33992103531476198</v>
      </c>
      <c r="X415" s="9">
        <f t="shared" si="52"/>
        <v>0.44022812020179863</v>
      </c>
      <c r="Y415" s="9">
        <f t="shared" si="53"/>
        <v>0.21985084448343939</v>
      </c>
    </row>
    <row r="416" spans="1:25" ht="15" customHeight="1" x14ac:dyDescent="0.35">
      <c r="A416" s="52">
        <v>8013468</v>
      </c>
      <c r="B416" s="51">
        <v>46124</v>
      </c>
      <c r="C416" s="7" t="s">
        <v>124</v>
      </c>
      <c r="D416" s="10">
        <f>IFERROR(SUMIFS('Base bordo'!G$2:G$746,'Base bordo'!C$2:C$746,A416,'Base bordo'!B$2:B$746,B416,'Base bordo'!F$2:F$746,"DESLOCAMENTO VAZIO"),0)</f>
        <v>2.4347222222222222</v>
      </c>
      <c r="E416" s="10">
        <f>IFERROR(SUMIFS('Base bordo'!G$2:G$746,'Base bordo'!C$2:C$746,A416,'Base bordo'!B$2:B$746,B416,'Base bordo'!F$2:F$746,"DESLOCAMENTO CARREGADO"),0)</f>
        <v>3.8097222222222222</v>
      </c>
      <c r="F416" s="10">
        <f>IFERROR(SUMIFS('Base bordo'!G$2:G$746,'Base bordo'!C$2:C$746,A416,'Base bordo'!B$2:B$746,B416,'Base bordo'!F$2:F$746,"DESLOCAMENTO"),0)</f>
        <v>0</v>
      </c>
      <c r="G416" s="10">
        <f>IFERROR(SUMIFS('Base bordo'!G$2:G$746,'Base bordo'!C$2:C$746,A416,'Base bordo'!B$2:B$746,B416,'Base bordo'!F$2:F$746,"CARREGAMENTO"),0)</f>
        <v>0</v>
      </c>
      <c r="H416" s="10">
        <f>IFERROR(SUMIFS('Base bordo'!G$2:G$746,'Base bordo'!C$2:C$746,A416,'Base bordo'!B$2:B$746,B416,'Base bordo'!F$2:F$746,"AGUARDANDO TRANSBORDO"),0)</f>
        <v>0.71027777777777779</v>
      </c>
      <c r="I416" s="10">
        <f>IFERROR(SUMIFS('Base bordo'!G$2:G$746,'Base bordo'!C$2:C$746,A416,'Base bordo'!B$2:B$746,B416,'Base bordo'!F$2:F$746,"PÁTIO INTERNO"),0)+IFERROR(SUMIFS('Base bordo'!G$2:G$746,'Base bordo'!C$2:C$746,A416,'Base bordo'!B$2:B$746,B416,'Base bordo'!F$2:F$746,"PÁTIO EXTERNO"),0)+IFERROR(SUMIFS('Base bordo'!G$2:G$746,'Base bordo'!C$2:C$746,A416,'Base bordo'!B$2:B$746,B416,'Base bordo'!F$2:F$746,"PATIO - RESERVA"),0)+IFERROR(SUMIFS('Base bordo'!G$2:G$746,'Base bordo'!C$2:C$746,A416,'Base bordo'!B$2:B$746,B416,'Base bordo'!F$2:F$746,"MANOBRA CARRETAS-PATIO"),0)</f>
        <v>5.4283333333333337</v>
      </c>
      <c r="J416" s="10">
        <f>IFERROR(SUMIFS('Base bordo'!G$2:G$746,'Base bordo'!C$2:C$746,A416,'Base bordo'!B$2:B$746,B416,'Base bordo'!F$2:F$746,"BALANÇA - ENTRADA"),0)+IFERROR(SUMIFS('Base bordo'!G$2:G$746,'Base bordo'!C$2:C$746,A416,'Base bordo'!B$2:B$746,B416,'Base bordo'!F$2:F$746,"BALANÇA - SAÍDA"),0)</f>
        <v>0.4177777777777778</v>
      </c>
      <c r="K416" s="10">
        <f>IFERROR(SUMIFS('Base bordo'!G$2:G$746,'Base bordo'!C$2:C$746,A416,'Base bordo'!B$2:B$746,B416,'Base bordo'!F$2:F$746,"MAN PREVENTIVA - MECANICA"),0)+IFERROR(SUMIFS('Base bordo'!G$2:G$746,'Base bordo'!C$2:C$746,A416,'Base bordo'!B$2:B$746,B416,'Base bordo'!F$2:F$746,"MAN CORRETIVA - MECANICA"),0)</f>
        <v>0</v>
      </c>
      <c r="L416" s="10">
        <f>IFERROR(SUMIFS('Base bordo'!G$2:G$746,'Base bordo'!C$2:C$746,A416,'Base bordo'!B$2:B$746,B416,'Base bordo'!F$2:F$746,"MANUTENCAO - T O"),0)+IFERROR(SUMIFS('Base bordo'!G$2:G$746,'Base bordo'!C$2:C$746,A416,'Base bordo'!B$2:B$746,B416,'Base bordo'!F$2:F$746,"MANUTENCAO BORRACHARIA"),0)+IFERROR(SUMIFS('Base bordo'!G$2:G$746,'Base bordo'!C$2:C$746,A416,'Base bordo'!B$2:B$746,B416,'Base bordo'!F$2:F$746,"MANUTENCAO EXTERNA  CONCESSIONARIA"),0)+IFERROR(SUMIFS('Base bordo'!G$2:G$746,'Base bordo'!C$2:C$746,A416,'Base bordo'!B$2:B$746,B416,'Base bordo'!F$2:F$746,"MANUTENCAO TELEMETRIA"),0)</f>
        <v>0</v>
      </c>
      <c r="M416" s="10">
        <f>IFERROR(SUMIFS('Base bordo'!G$2:G$746,'Base bordo'!C$2:C$746,A416,'Base bordo'!B$2:B$746,B416,'Base bordo'!F$2:F$746,"AGUARDANDO MANUTENCAO"),0)</f>
        <v>0</v>
      </c>
      <c r="N416" s="10">
        <f>IFERROR(SUMIFS('Base bordo'!G$2:G$746,'Base bordo'!C$2:C$746,A416,'Base bordo'!B$2:B$746,B416,'Base bordo'!F$2:F$746,"SEM APONTAMENTO"),0)</f>
        <v>0</v>
      </c>
      <c r="O416" s="10">
        <f t="shared" si="48"/>
        <v>1.7763568394002505E-15</v>
      </c>
      <c r="P416" s="10">
        <f>IFERROR(SUMIFS('Base bordo'!G$2:G$746,'Base bordo'!C$2:C$746,A416,'Base bordo'!B$2:B$746,B416),0)</f>
        <v>12.800833333333335</v>
      </c>
      <c r="Q416" s="10">
        <f>IFERROR(SUMIFS('Base bordo'!H$2:H$746,'Base bordo'!C$2:C$746,A416,'Base bordo'!B$2:B$746,B416,'Base bordo'!F$2:F$746,"DESLOCAMENTO VAZIO"),0)</f>
        <v>322127.41000000003</v>
      </c>
      <c r="R416" s="10">
        <f>IFERROR(SUMIFS('Base bordo'!I$2:I$746,'Base bordo'!C$2:C$746,A416,'Base bordo'!B$2:B$746,B416,'Base bordo'!F$2:F$746,"DESLOCAMENTO VAZIO"),0)</f>
        <v>8765</v>
      </c>
      <c r="S416" s="30">
        <f t="shared" si="49"/>
        <v>36.751558471192247</v>
      </c>
      <c r="T416" s="10">
        <f>IFERROR(SUMIFS('Base bordo'!H$2:H$746,'Base bordo'!C$2:C$746,A416,'Base bordo'!B$2:B$746,B416,'Base bordo'!F$2:F$746,"DESLOCAMENTO CARREGADO"),0)</f>
        <v>341587.70999999996</v>
      </c>
      <c r="U416" s="10">
        <f>IFERROR(SUMIFS('Base bordo'!I$2:I$746,'Base bordo'!C$2:C$746,A416,'Base bordo'!B$2:B$746,B416,'Base bordo'!F$2:F$746,"DESLOCAMENTO CARREGADO"),0)</f>
        <v>13715</v>
      </c>
      <c r="V416" s="30">
        <f t="shared" si="50"/>
        <v>24.906139992708709</v>
      </c>
      <c r="W416" s="9">
        <f t="shared" si="51"/>
        <v>0.19020029077968012</v>
      </c>
      <c r="X416" s="9">
        <f t="shared" si="52"/>
        <v>0.29761517262331005</v>
      </c>
      <c r="Y416" s="9">
        <f t="shared" si="53"/>
        <v>0.5121845365970098</v>
      </c>
    </row>
    <row r="417" spans="1:25" ht="15" customHeight="1" x14ac:dyDescent="0.35">
      <c r="A417" s="52">
        <v>8013468</v>
      </c>
      <c r="B417" s="51">
        <v>46119</v>
      </c>
      <c r="C417" s="7" t="s">
        <v>124</v>
      </c>
      <c r="D417" s="10">
        <f>IFERROR(SUMIFS('Base bordo'!G$2:G$746,'Base bordo'!C$2:C$746,A417,'Base bordo'!B$2:B$746,B417,'Base bordo'!F$2:F$746,"DESLOCAMENTO VAZIO"),0)</f>
        <v>1.4213888888888888</v>
      </c>
      <c r="E417" s="10">
        <f>IFERROR(SUMIFS('Base bordo'!G$2:G$746,'Base bordo'!C$2:C$746,A417,'Base bordo'!B$2:B$746,B417,'Base bordo'!F$2:F$746,"DESLOCAMENTO CARREGADO"),0)</f>
        <v>1.9991666666666668</v>
      </c>
      <c r="F417" s="10">
        <f>IFERROR(SUMIFS('Base bordo'!G$2:G$746,'Base bordo'!C$2:C$746,A417,'Base bordo'!B$2:B$746,B417,'Base bordo'!F$2:F$746,"DESLOCAMENTO"),0)</f>
        <v>0</v>
      </c>
      <c r="G417" s="10">
        <f>IFERROR(SUMIFS('Base bordo'!G$2:G$746,'Base bordo'!C$2:C$746,A417,'Base bordo'!B$2:B$746,B417,'Base bordo'!F$2:F$746,"CARREGAMENTO"),0)</f>
        <v>0</v>
      </c>
      <c r="H417" s="10">
        <f>IFERROR(SUMIFS('Base bordo'!G$2:G$746,'Base bordo'!C$2:C$746,A417,'Base bordo'!B$2:B$746,B417,'Base bordo'!F$2:F$746,"AGUARDANDO TRANSBORDO"),0)</f>
        <v>0.63555555555555554</v>
      </c>
      <c r="I417" s="10">
        <f>IFERROR(SUMIFS('Base bordo'!G$2:G$746,'Base bordo'!C$2:C$746,A417,'Base bordo'!B$2:B$746,B417,'Base bordo'!F$2:F$746,"PÁTIO INTERNO"),0)+IFERROR(SUMIFS('Base bordo'!G$2:G$746,'Base bordo'!C$2:C$746,A417,'Base bordo'!B$2:B$746,B417,'Base bordo'!F$2:F$746,"PÁTIO EXTERNO"),0)+IFERROR(SUMIFS('Base bordo'!G$2:G$746,'Base bordo'!C$2:C$746,A417,'Base bordo'!B$2:B$746,B417,'Base bordo'!F$2:F$746,"PATIO - RESERVA"),0)+IFERROR(SUMIFS('Base bordo'!G$2:G$746,'Base bordo'!C$2:C$746,A417,'Base bordo'!B$2:B$746,B417,'Base bordo'!F$2:F$746,"MANOBRA CARRETAS-PATIO"),0)</f>
        <v>0.58444444444444443</v>
      </c>
      <c r="J417" s="10">
        <f>IFERROR(SUMIFS('Base bordo'!G$2:G$746,'Base bordo'!C$2:C$746,A417,'Base bordo'!B$2:B$746,B417,'Base bordo'!F$2:F$746,"BALANÇA - ENTRADA"),0)+IFERROR(SUMIFS('Base bordo'!G$2:G$746,'Base bordo'!C$2:C$746,A417,'Base bordo'!B$2:B$746,B417,'Base bordo'!F$2:F$746,"BALANÇA - SAÍDA"),0)</f>
        <v>5.5555555555555558E-3</v>
      </c>
      <c r="K417" s="10">
        <f>IFERROR(SUMIFS('Base bordo'!G$2:G$746,'Base bordo'!C$2:C$746,A417,'Base bordo'!B$2:B$746,B417,'Base bordo'!F$2:F$746,"MAN PREVENTIVA - MECANICA"),0)+IFERROR(SUMIFS('Base bordo'!G$2:G$746,'Base bordo'!C$2:C$746,A417,'Base bordo'!B$2:B$746,B417,'Base bordo'!F$2:F$746,"MAN CORRETIVA - MECANICA"),0)</f>
        <v>0</v>
      </c>
      <c r="L417" s="10">
        <f>IFERROR(SUMIFS('Base bordo'!G$2:G$746,'Base bordo'!C$2:C$746,A417,'Base bordo'!B$2:B$746,B417,'Base bordo'!F$2:F$746,"MANUTENCAO - T O"),0)+IFERROR(SUMIFS('Base bordo'!G$2:G$746,'Base bordo'!C$2:C$746,A417,'Base bordo'!B$2:B$746,B417,'Base bordo'!F$2:F$746,"MANUTENCAO BORRACHARIA"),0)+IFERROR(SUMIFS('Base bordo'!G$2:G$746,'Base bordo'!C$2:C$746,A417,'Base bordo'!B$2:B$746,B417,'Base bordo'!F$2:F$746,"MANUTENCAO EXTERNA  CONCESSIONARIA"),0)+IFERROR(SUMIFS('Base bordo'!G$2:G$746,'Base bordo'!C$2:C$746,A417,'Base bordo'!B$2:B$746,B417,'Base bordo'!F$2:F$746,"MANUTENCAO TELEMETRIA"),0)</f>
        <v>0</v>
      </c>
      <c r="M417" s="10">
        <f>IFERROR(SUMIFS('Base bordo'!G$2:G$746,'Base bordo'!C$2:C$746,A417,'Base bordo'!B$2:B$746,B417,'Base bordo'!F$2:F$746,"AGUARDANDO MANUTENCAO"),0)</f>
        <v>0</v>
      </c>
      <c r="N417" s="10">
        <f>IFERROR(SUMIFS('Base bordo'!G$2:G$746,'Base bordo'!C$2:C$746,A417,'Base bordo'!B$2:B$746,B417,'Base bordo'!F$2:F$746,"SEM APONTAMENTO"),0)</f>
        <v>0</v>
      </c>
      <c r="O417" s="10">
        <f t="shared" si="48"/>
        <v>0</v>
      </c>
      <c r="P417" s="10">
        <f>IFERROR(SUMIFS('Base bordo'!G$2:G$746,'Base bordo'!C$2:C$746,A417,'Base bordo'!B$2:B$746,B417),0)</f>
        <v>4.6461111111111109</v>
      </c>
      <c r="Q417" s="10">
        <f>IFERROR(SUMIFS('Base bordo'!H$2:H$746,'Base bordo'!C$2:C$746,A417,'Base bordo'!B$2:B$746,B417,'Base bordo'!F$2:F$746,"DESLOCAMENTO VAZIO"),0)</f>
        <v>179137.35</v>
      </c>
      <c r="R417" s="10">
        <f>IFERROR(SUMIFS('Base bordo'!I$2:I$746,'Base bordo'!C$2:C$746,A417,'Base bordo'!B$2:B$746,B417,'Base bordo'!F$2:F$746,"DESLOCAMENTO VAZIO"),0)</f>
        <v>5117</v>
      </c>
      <c r="S417" s="30">
        <f t="shared" si="49"/>
        <v>35.008276333789333</v>
      </c>
      <c r="T417" s="10">
        <f>IFERROR(SUMIFS('Base bordo'!H$2:H$746,'Base bordo'!C$2:C$746,A417,'Base bordo'!B$2:B$746,B417,'Base bordo'!F$2:F$746,"DESLOCAMENTO CARREGADO"),0)</f>
        <v>170577.91</v>
      </c>
      <c r="U417" s="10">
        <f>IFERROR(SUMIFS('Base bordo'!I$2:I$746,'Base bordo'!C$2:C$746,A417,'Base bordo'!B$2:B$746,B417,'Base bordo'!F$2:F$746,"DESLOCAMENTO CARREGADO"),0)</f>
        <v>7197</v>
      </c>
      <c r="V417" s="30">
        <f t="shared" si="50"/>
        <v>23.701251910518273</v>
      </c>
      <c r="W417" s="9">
        <f t="shared" si="51"/>
        <v>0.30593088604567736</v>
      </c>
      <c r="X417" s="9">
        <f t="shared" si="52"/>
        <v>0.43028817410020331</v>
      </c>
      <c r="Y417" s="9">
        <f t="shared" si="53"/>
        <v>0.26378093985411932</v>
      </c>
    </row>
    <row r="418" spans="1:25" ht="15" customHeight="1" x14ac:dyDescent="0.35">
      <c r="A418" s="52">
        <v>8013462</v>
      </c>
      <c r="B418" s="51">
        <v>46124</v>
      </c>
      <c r="C418" s="7" t="s">
        <v>124</v>
      </c>
      <c r="D418" s="10">
        <f>IFERROR(SUMIFS('Base bordo'!G$2:G$746,'Base bordo'!C$2:C$746,A418,'Base bordo'!B$2:B$746,B418,'Base bordo'!F$2:F$746,"DESLOCAMENTO VAZIO"),0)</f>
        <v>2.6541666666666668</v>
      </c>
      <c r="E418" s="10">
        <f>IFERROR(SUMIFS('Base bordo'!G$2:G$746,'Base bordo'!C$2:C$746,A418,'Base bordo'!B$2:B$746,B418,'Base bordo'!F$2:F$746,"DESLOCAMENTO CARREGADO"),0)</f>
        <v>2.0155555555555558</v>
      </c>
      <c r="F418" s="10">
        <f>IFERROR(SUMIFS('Base bordo'!G$2:G$746,'Base bordo'!C$2:C$746,A418,'Base bordo'!B$2:B$746,B418,'Base bordo'!F$2:F$746,"DESLOCAMENTO"),0)</f>
        <v>0</v>
      </c>
      <c r="G418" s="10">
        <f>IFERROR(SUMIFS('Base bordo'!G$2:G$746,'Base bordo'!C$2:C$746,A418,'Base bordo'!B$2:B$746,B418,'Base bordo'!F$2:F$746,"CARREGAMENTO"),0)</f>
        <v>0</v>
      </c>
      <c r="H418" s="10">
        <f>IFERROR(SUMIFS('Base bordo'!G$2:G$746,'Base bordo'!C$2:C$746,A418,'Base bordo'!B$2:B$746,B418,'Base bordo'!F$2:F$746,"AGUARDANDO TRANSBORDO"),0)</f>
        <v>0.33611111111111114</v>
      </c>
      <c r="I418" s="10">
        <f>IFERROR(SUMIFS('Base bordo'!G$2:G$746,'Base bordo'!C$2:C$746,A418,'Base bordo'!B$2:B$746,B418,'Base bordo'!F$2:F$746,"PÁTIO INTERNO"),0)+IFERROR(SUMIFS('Base bordo'!G$2:G$746,'Base bordo'!C$2:C$746,A418,'Base bordo'!B$2:B$746,B418,'Base bordo'!F$2:F$746,"PÁTIO EXTERNO"),0)+IFERROR(SUMIFS('Base bordo'!G$2:G$746,'Base bordo'!C$2:C$746,A418,'Base bordo'!B$2:B$746,B418,'Base bordo'!F$2:F$746,"PATIO - RESERVA"),0)+IFERROR(SUMIFS('Base bordo'!G$2:G$746,'Base bordo'!C$2:C$746,A418,'Base bordo'!B$2:B$746,B418,'Base bordo'!F$2:F$746,"MANOBRA CARRETAS-PATIO"),0)</f>
        <v>10.451944444444445</v>
      </c>
      <c r="J418" s="10">
        <f>IFERROR(SUMIFS('Base bordo'!G$2:G$746,'Base bordo'!C$2:C$746,A418,'Base bordo'!B$2:B$746,B418,'Base bordo'!F$2:F$746,"BALANÇA - ENTRADA"),0)+IFERROR(SUMIFS('Base bordo'!G$2:G$746,'Base bordo'!C$2:C$746,A418,'Base bordo'!B$2:B$746,B418,'Base bordo'!F$2:F$746,"BALANÇA - SAÍDA"),0)</f>
        <v>0.15138888888888888</v>
      </c>
      <c r="K418" s="10">
        <f>IFERROR(SUMIFS('Base bordo'!G$2:G$746,'Base bordo'!C$2:C$746,A418,'Base bordo'!B$2:B$746,B418,'Base bordo'!F$2:F$746,"MAN PREVENTIVA - MECANICA"),0)+IFERROR(SUMIFS('Base bordo'!G$2:G$746,'Base bordo'!C$2:C$746,A418,'Base bordo'!B$2:B$746,B418,'Base bordo'!F$2:F$746,"MAN CORRETIVA - MECANICA"),0)</f>
        <v>0</v>
      </c>
      <c r="L418" s="10">
        <f>IFERROR(SUMIFS('Base bordo'!G$2:G$746,'Base bordo'!C$2:C$746,A418,'Base bordo'!B$2:B$746,B418,'Base bordo'!F$2:F$746,"MANUTENCAO - T O"),0)+IFERROR(SUMIFS('Base bordo'!G$2:G$746,'Base bordo'!C$2:C$746,A418,'Base bordo'!B$2:B$746,B418,'Base bordo'!F$2:F$746,"MANUTENCAO BORRACHARIA"),0)+IFERROR(SUMIFS('Base bordo'!G$2:G$746,'Base bordo'!C$2:C$746,A418,'Base bordo'!B$2:B$746,B418,'Base bordo'!F$2:F$746,"MANUTENCAO EXTERNA  CONCESSIONARIA"),0)+IFERROR(SUMIFS('Base bordo'!G$2:G$746,'Base bordo'!C$2:C$746,A418,'Base bordo'!B$2:B$746,B418,'Base bordo'!F$2:F$746,"MANUTENCAO TELEMETRIA"),0)</f>
        <v>0</v>
      </c>
      <c r="M418" s="10">
        <f>IFERROR(SUMIFS('Base bordo'!G$2:G$746,'Base bordo'!C$2:C$746,A418,'Base bordo'!B$2:B$746,B418,'Base bordo'!F$2:F$746,"AGUARDANDO MANUTENCAO"),0)</f>
        <v>0</v>
      </c>
      <c r="N418" s="10">
        <f>IFERROR(SUMIFS('Base bordo'!G$2:G$746,'Base bordo'!C$2:C$746,A418,'Base bordo'!B$2:B$746,B418,'Base bordo'!F$2:F$746,"SEM APONTAMENTO"),0)</f>
        <v>0</v>
      </c>
      <c r="O418" s="10">
        <f t="shared" si="48"/>
        <v>0</v>
      </c>
      <c r="P418" s="10">
        <f>IFERROR(SUMIFS('Base bordo'!G$2:G$746,'Base bordo'!C$2:C$746,A418,'Base bordo'!B$2:B$746,B418),0)</f>
        <v>15.609166666666667</v>
      </c>
      <c r="Q418" s="10">
        <f>IFERROR(SUMIFS('Base bordo'!H$2:H$746,'Base bordo'!C$2:C$746,A418,'Base bordo'!B$2:B$746,B418,'Base bordo'!F$2:F$746,"DESLOCAMENTO VAZIO"),0)</f>
        <v>401876.54000000004</v>
      </c>
      <c r="R418" s="10">
        <f>IFERROR(SUMIFS('Base bordo'!I$2:I$746,'Base bordo'!C$2:C$746,A418,'Base bordo'!B$2:B$746,B418,'Base bordo'!F$2:F$746,"DESLOCAMENTO VAZIO"),0)</f>
        <v>9555</v>
      </c>
      <c r="S418" s="30">
        <f t="shared" si="49"/>
        <v>42.05929251700681</v>
      </c>
      <c r="T418" s="10">
        <f>IFERROR(SUMIFS('Base bordo'!H$2:H$746,'Base bordo'!C$2:C$746,A418,'Base bordo'!B$2:B$746,B418,'Base bordo'!F$2:F$746,"DESLOCAMENTO CARREGADO"),0)</f>
        <v>198098.78999999998</v>
      </c>
      <c r="U418" s="10">
        <f>IFERROR(SUMIFS('Base bordo'!I$2:I$746,'Base bordo'!C$2:C$746,A418,'Base bordo'!B$2:B$746,B418,'Base bordo'!F$2:F$746,"DESLOCAMENTO CARREGADO"),0)</f>
        <v>7256</v>
      </c>
      <c r="V418" s="30">
        <f t="shared" si="50"/>
        <v>27.301376791620726</v>
      </c>
      <c r="W418" s="9">
        <f t="shared" si="51"/>
        <v>0.1700389728257968</v>
      </c>
      <c r="X418" s="9">
        <f t="shared" si="52"/>
        <v>0.12912640364458208</v>
      </c>
      <c r="Y418" s="9">
        <f t="shared" si="53"/>
        <v>0.700834623529621</v>
      </c>
    </row>
    <row r="419" spans="1:25" ht="15" customHeight="1" x14ac:dyDescent="0.35">
      <c r="A419" s="52">
        <v>8013475</v>
      </c>
      <c r="B419" s="51">
        <v>46118</v>
      </c>
      <c r="C419" s="7" t="s">
        <v>124</v>
      </c>
      <c r="D419" s="10">
        <f>IFERROR(SUMIFS('Base bordo'!G$2:G$746,'Base bordo'!C$2:C$746,A419,'Base bordo'!B$2:B$746,B419,'Base bordo'!F$2:F$746,"DESLOCAMENTO VAZIO"),0)</f>
        <v>1.6019444444444444</v>
      </c>
      <c r="E419" s="10">
        <f>IFERROR(SUMIFS('Base bordo'!G$2:G$746,'Base bordo'!C$2:C$746,A419,'Base bordo'!B$2:B$746,B419,'Base bordo'!F$2:F$746,"DESLOCAMENTO CARREGADO"),0)</f>
        <v>2.0350000000000001</v>
      </c>
      <c r="F419" s="10">
        <f>IFERROR(SUMIFS('Base bordo'!G$2:G$746,'Base bordo'!C$2:C$746,A419,'Base bordo'!B$2:B$746,B419,'Base bordo'!F$2:F$746,"DESLOCAMENTO"),0)</f>
        <v>1.1069444444444445</v>
      </c>
      <c r="G419" s="10">
        <f>IFERROR(SUMIFS('Base bordo'!G$2:G$746,'Base bordo'!C$2:C$746,A419,'Base bordo'!B$2:B$746,B419,'Base bordo'!F$2:F$746,"CARREGAMENTO"),0)</f>
        <v>0</v>
      </c>
      <c r="H419" s="10">
        <f>IFERROR(SUMIFS('Base bordo'!G$2:G$746,'Base bordo'!C$2:C$746,A419,'Base bordo'!B$2:B$746,B419,'Base bordo'!F$2:F$746,"AGUARDANDO TRANSBORDO"),0)</f>
        <v>0.62972222222222218</v>
      </c>
      <c r="I419" s="10">
        <f>IFERROR(SUMIFS('Base bordo'!G$2:G$746,'Base bordo'!C$2:C$746,A419,'Base bordo'!B$2:B$746,B419,'Base bordo'!F$2:F$746,"PÁTIO INTERNO"),0)+IFERROR(SUMIFS('Base bordo'!G$2:G$746,'Base bordo'!C$2:C$746,A419,'Base bordo'!B$2:B$746,B419,'Base bordo'!F$2:F$746,"PÁTIO EXTERNO"),0)+IFERROR(SUMIFS('Base bordo'!G$2:G$746,'Base bordo'!C$2:C$746,A419,'Base bordo'!B$2:B$746,B419,'Base bordo'!F$2:F$746,"PATIO - RESERVA"),0)+IFERROR(SUMIFS('Base bordo'!G$2:G$746,'Base bordo'!C$2:C$746,A419,'Base bordo'!B$2:B$746,B419,'Base bordo'!F$2:F$746,"MANOBRA CARRETAS-PATIO"),0)</f>
        <v>16.014166666666668</v>
      </c>
      <c r="J419" s="10">
        <f>IFERROR(SUMIFS('Base bordo'!G$2:G$746,'Base bordo'!C$2:C$746,A419,'Base bordo'!B$2:B$746,B419,'Base bordo'!F$2:F$746,"BALANÇA - ENTRADA"),0)+IFERROR(SUMIFS('Base bordo'!G$2:G$746,'Base bordo'!C$2:C$746,A419,'Base bordo'!B$2:B$746,B419,'Base bordo'!F$2:F$746,"BALANÇA - SAÍDA"),0)</f>
        <v>4.8333333333333332E-2</v>
      </c>
      <c r="K419" s="10">
        <f>IFERROR(SUMIFS('Base bordo'!G$2:G$746,'Base bordo'!C$2:C$746,A419,'Base bordo'!B$2:B$746,B419,'Base bordo'!F$2:F$746,"MAN PREVENTIVA - MECANICA"),0)+IFERROR(SUMIFS('Base bordo'!G$2:G$746,'Base bordo'!C$2:C$746,A419,'Base bordo'!B$2:B$746,B419,'Base bordo'!F$2:F$746,"MAN CORRETIVA - MECANICA"),0)</f>
        <v>0</v>
      </c>
      <c r="L419" s="10">
        <f>IFERROR(SUMIFS('Base bordo'!G$2:G$746,'Base bordo'!C$2:C$746,A419,'Base bordo'!B$2:B$746,B419,'Base bordo'!F$2:F$746,"MANUTENCAO - T O"),0)+IFERROR(SUMIFS('Base bordo'!G$2:G$746,'Base bordo'!C$2:C$746,A419,'Base bordo'!B$2:B$746,B419,'Base bordo'!F$2:F$746,"MANUTENCAO BORRACHARIA"),0)+IFERROR(SUMIFS('Base bordo'!G$2:G$746,'Base bordo'!C$2:C$746,A419,'Base bordo'!B$2:B$746,B419,'Base bordo'!F$2:F$746,"MANUTENCAO EXTERNA  CONCESSIONARIA"),0)+IFERROR(SUMIFS('Base bordo'!G$2:G$746,'Base bordo'!C$2:C$746,A419,'Base bordo'!B$2:B$746,B419,'Base bordo'!F$2:F$746,"MANUTENCAO TELEMETRIA"),0)</f>
        <v>1.9430555555555555</v>
      </c>
      <c r="M419" s="10">
        <f>IFERROR(SUMIFS('Base bordo'!G$2:G$746,'Base bordo'!C$2:C$746,A419,'Base bordo'!B$2:B$746,B419,'Base bordo'!F$2:F$746,"AGUARDANDO MANUTENCAO"),0)</f>
        <v>0</v>
      </c>
      <c r="N419" s="10">
        <f>IFERROR(SUMIFS('Base bordo'!G$2:G$746,'Base bordo'!C$2:C$746,A419,'Base bordo'!B$2:B$746,B419,'Base bordo'!F$2:F$746,"SEM APONTAMENTO"),0)</f>
        <v>0</v>
      </c>
      <c r="O419" s="10">
        <f t="shared" si="48"/>
        <v>3.5527136788005009E-15</v>
      </c>
      <c r="P419" s="10">
        <f>IFERROR(SUMIFS('Base bordo'!G$2:G$746,'Base bordo'!C$2:C$746,A419,'Base bordo'!B$2:B$746,B419),0)</f>
        <v>23.37916666666667</v>
      </c>
      <c r="Q419" s="10">
        <f>IFERROR(SUMIFS('Base bordo'!H$2:H$746,'Base bordo'!C$2:C$746,A419,'Base bordo'!B$2:B$746,B419,'Base bordo'!F$2:F$746,"DESLOCAMENTO VAZIO"),0)</f>
        <v>173822.73</v>
      </c>
      <c r="R419" s="10">
        <f>IFERROR(SUMIFS('Base bordo'!I$2:I$746,'Base bordo'!C$2:C$746,A419,'Base bordo'!B$2:B$746,B419,'Base bordo'!F$2:F$746,"DESLOCAMENTO VAZIO"),0)</f>
        <v>5767</v>
      </c>
      <c r="S419" s="30">
        <f t="shared" si="49"/>
        <v>30.140927692040925</v>
      </c>
      <c r="T419" s="10">
        <f>IFERROR(SUMIFS('Base bordo'!H$2:H$746,'Base bordo'!C$2:C$746,A419,'Base bordo'!B$2:B$746,B419,'Base bordo'!F$2:F$746,"DESLOCAMENTO CARREGADO"),0)</f>
        <v>172046.47</v>
      </c>
      <c r="U419" s="10">
        <f>IFERROR(SUMIFS('Base bordo'!I$2:I$746,'Base bordo'!C$2:C$746,A419,'Base bordo'!B$2:B$746,B419,'Base bordo'!F$2:F$746,"DESLOCAMENTO CARREGADO"),0)</f>
        <v>7326</v>
      </c>
      <c r="V419" s="30">
        <f t="shared" si="50"/>
        <v>23.484366639366641</v>
      </c>
      <c r="W419" s="9">
        <f t="shared" si="51"/>
        <v>6.8520168716212193E-2</v>
      </c>
      <c r="X419" s="9">
        <f t="shared" si="52"/>
        <v>8.7043307788273031E-2</v>
      </c>
      <c r="Y419" s="9">
        <f t="shared" si="53"/>
        <v>0.84443652349551479</v>
      </c>
    </row>
    <row r="420" spans="1:25" ht="15" customHeight="1" x14ac:dyDescent="0.35">
      <c r="A420" s="52">
        <v>8013476</v>
      </c>
      <c r="B420" s="51">
        <v>46124</v>
      </c>
      <c r="C420" s="7" t="s">
        <v>124</v>
      </c>
      <c r="D420" s="10">
        <f>IFERROR(SUMIFS('Base bordo'!G$2:G$746,'Base bordo'!C$2:C$746,A420,'Base bordo'!B$2:B$746,B420,'Base bordo'!F$2:F$746,"DESLOCAMENTO VAZIO"),0)</f>
        <v>2.296388888888889</v>
      </c>
      <c r="E420" s="10">
        <f>IFERROR(SUMIFS('Base bordo'!G$2:G$746,'Base bordo'!C$2:C$746,A420,'Base bordo'!B$2:B$746,B420,'Base bordo'!F$2:F$746,"DESLOCAMENTO CARREGADO"),0)</f>
        <v>2.1016666666666666</v>
      </c>
      <c r="F420" s="10">
        <f>IFERROR(SUMIFS('Base bordo'!G$2:G$746,'Base bordo'!C$2:C$746,A420,'Base bordo'!B$2:B$746,B420,'Base bordo'!F$2:F$746,"DESLOCAMENTO"),0)</f>
        <v>0</v>
      </c>
      <c r="G420" s="10">
        <f>IFERROR(SUMIFS('Base bordo'!G$2:G$746,'Base bordo'!C$2:C$746,A420,'Base bordo'!B$2:B$746,B420,'Base bordo'!F$2:F$746,"CARREGAMENTO"),0)</f>
        <v>0</v>
      </c>
      <c r="H420" s="10">
        <f>IFERROR(SUMIFS('Base bordo'!G$2:G$746,'Base bordo'!C$2:C$746,A420,'Base bordo'!B$2:B$746,B420,'Base bordo'!F$2:F$746,"AGUARDANDO TRANSBORDO"),0)</f>
        <v>0.23694444444444446</v>
      </c>
      <c r="I420" s="10">
        <f>IFERROR(SUMIFS('Base bordo'!G$2:G$746,'Base bordo'!C$2:C$746,A420,'Base bordo'!B$2:B$746,B420,'Base bordo'!F$2:F$746,"PÁTIO INTERNO"),0)+IFERROR(SUMIFS('Base bordo'!G$2:G$746,'Base bordo'!C$2:C$746,A420,'Base bordo'!B$2:B$746,B420,'Base bordo'!F$2:F$746,"PÁTIO EXTERNO"),0)+IFERROR(SUMIFS('Base bordo'!G$2:G$746,'Base bordo'!C$2:C$746,A420,'Base bordo'!B$2:B$746,B420,'Base bordo'!F$2:F$746,"PATIO - RESERVA"),0)+IFERROR(SUMIFS('Base bordo'!G$2:G$746,'Base bordo'!C$2:C$746,A420,'Base bordo'!B$2:B$746,B420,'Base bordo'!F$2:F$746,"MANOBRA CARRETAS-PATIO"),0)</f>
        <v>5.0583333333333336</v>
      </c>
      <c r="J420" s="10">
        <f>IFERROR(SUMIFS('Base bordo'!G$2:G$746,'Base bordo'!C$2:C$746,A420,'Base bordo'!B$2:B$746,B420,'Base bordo'!F$2:F$746,"BALANÇA - ENTRADA"),0)+IFERROR(SUMIFS('Base bordo'!G$2:G$746,'Base bordo'!C$2:C$746,A420,'Base bordo'!B$2:B$746,B420,'Base bordo'!F$2:F$746,"BALANÇA - SAÍDA"),0)</f>
        <v>0.23805555555555558</v>
      </c>
      <c r="K420" s="10">
        <f>IFERROR(SUMIFS('Base bordo'!G$2:G$746,'Base bordo'!C$2:C$746,A420,'Base bordo'!B$2:B$746,B420,'Base bordo'!F$2:F$746,"MAN PREVENTIVA - MECANICA"),0)+IFERROR(SUMIFS('Base bordo'!G$2:G$746,'Base bordo'!C$2:C$746,A420,'Base bordo'!B$2:B$746,B420,'Base bordo'!F$2:F$746,"MAN CORRETIVA - MECANICA"),0)</f>
        <v>0</v>
      </c>
      <c r="L420" s="10">
        <f>IFERROR(SUMIFS('Base bordo'!G$2:G$746,'Base bordo'!C$2:C$746,A420,'Base bordo'!B$2:B$746,B420,'Base bordo'!F$2:F$746,"MANUTENCAO - T O"),0)+IFERROR(SUMIFS('Base bordo'!G$2:G$746,'Base bordo'!C$2:C$746,A420,'Base bordo'!B$2:B$746,B420,'Base bordo'!F$2:F$746,"MANUTENCAO BORRACHARIA"),0)+IFERROR(SUMIFS('Base bordo'!G$2:G$746,'Base bordo'!C$2:C$746,A420,'Base bordo'!B$2:B$746,B420,'Base bordo'!F$2:F$746,"MANUTENCAO EXTERNA  CONCESSIONARIA"),0)+IFERROR(SUMIFS('Base bordo'!G$2:G$746,'Base bordo'!C$2:C$746,A420,'Base bordo'!B$2:B$746,B420,'Base bordo'!F$2:F$746,"MANUTENCAO TELEMETRIA"),0)</f>
        <v>0</v>
      </c>
      <c r="M420" s="10">
        <f>IFERROR(SUMIFS('Base bordo'!G$2:G$746,'Base bordo'!C$2:C$746,A420,'Base bordo'!B$2:B$746,B420,'Base bordo'!F$2:F$746,"AGUARDANDO MANUTENCAO"),0)</f>
        <v>0</v>
      </c>
      <c r="N420" s="10">
        <f>IFERROR(SUMIFS('Base bordo'!G$2:G$746,'Base bordo'!C$2:C$746,A420,'Base bordo'!B$2:B$746,B420,'Base bordo'!F$2:F$746,"SEM APONTAMENTO"),0)</f>
        <v>0</v>
      </c>
      <c r="O420" s="10">
        <f t="shared" si="48"/>
        <v>0</v>
      </c>
      <c r="P420" s="10">
        <f>IFERROR(SUMIFS('Base bordo'!G$2:G$746,'Base bordo'!C$2:C$746,A420,'Base bordo'!B$2:B$746,B420),0)</f>
        <v>9.9313888888888897</v>
      </c>
      <c r="Q420" s="10">
        <f>IFERROR(SUMIFS('Base bordo'!H$2:H$746,'Base bordo'!C$2:C$746,A420,'Base bordo'!B$2:B$746,B420,'Base bordo'!F$2:F$746,"DESLOCAMENTO VAZIO"),0)</f>
        <v>272442.8</v>
      </c>
      <c r="R420" s="10">
        <f>IFERROR(SUMIFS('Base bordo'!I$2:I$746,'Base bordo'!C$2:C$746,A420,'Base bordo'!B$2:B$746,B420,'Base bordo'!F$2:F$746,"DESLOCAMENTO VAZIO"),0)</f>
        <v>8267</v>
      </c>
      <c r="S420" s="30">
        <f t="shared" si="49"/>
        <v>32.955461473327688</v>
      </c>
      <c r="T420" s="10">
        <f>IFERROR(SUMIFS('Base bordo'!H$2:H$746,'Base bordo'!C$2:C$746,A420,'Base bordo'!B$2:B$746,B420,'Base bordo'!F$2:F$746,"DESLOCAMENTO CARREGADO"),0)</f>
        <v>216680.51</v>
      </c>
      <c r="U420" s="10">
        <f>IFERROR(SUMIFS('Base bordo'!I$2:I$746,'Base bordo'!C$2:C$746,A420,'Base bordo'!B$2:B$746,B420,'Base bordo'!F$2:F$746,"DESLOCAMENTO CARREGADO"),0)</f>
        <v>7566</v>
      </c>
      <c r="V420" s="30">
        <f t="shared" si="50"/>
        <v>28.638713983610891</v>
      </c>
      <c r="W420" s="9">
        <f t="shared" si="51"/>
        <v>0.23122535171873687</v>
      </c>
      <c r="X420" s="9">
        <f t="shared" si="52"/>
        <v>0.21161860543171199</v>
      </c>
      <c r="Y420" s="9">
        <f t="shared" si="53"/>
        <v>0.55715604284955111</v>
      </c>
    </row>
    <row r="421" spans="1:25" ht="15" customHeight="1" x14ac:dyDescent="0.35">
      <c r="A421" s="52">
        <v>8013482</v>
      </c>
      <c r="B421" s="51">
        <v>46124</v>
      </c>
      <c r="C421" s="7" t="s">
        <v>124</v>
      </c>
      <c r="D421" s="10">
        <f>IFERROR(SUMIFS('Base bordo'!G$2:G$746,'Base bordo'!C$2:C$746,A421,'Base bordo'!B$2:B$746,B421,'Base bordo'!F$2:F$746,"DESLOCAMENTO VAZIO"),0)</f>
        <v>3.1158333333333332</v>
      </c>
      <c r="E421" s="10">
        <f>IFERROR(SUMIFS('Base bordo'!G$2:G$746,'Base bordo'!C$2:C$746,A421,'Base bordo'!B$2:B$746,B421,'Base bordo'!F$2:F$746,"DESLOCAMENTO CARREGADO"),0)</f>
        <v>4.7358333333333329</v>
      </c>
      <c r="F421" s="10">
        <f>IFERROR(SUMIFS('Base bordo'!G$2:G$746,'Base bordo'!C$2:C$746,A421,'Base bordo'!B$2:B$746,B421,'Base bordo'!F$2:F$746,"DESLOCAMENTO"),0)</f>
        <v>0</v>
      </c>
      <c r="G421" s="10">
        <f>IFERROR(SUMIFS('Base bordo'!G$2:G$746,'Base bordo'!C$2:C$746,A421,'Base bordo'!B$2:B$746,B421,'Base bordo'!F$2:F$746,"CARREGAMENTO"),0)</f>
        <v>0</v>
      </c>
      <c r="H421" s="10">
        <f>IFERROR(SUMIFS('Base bordo'!G$2:G$746,'Base bordo'!C$2:C$746,A421,'Base bordo'!B$2:B$746,B421,'Base bordo'!F$2:F$746,"AGUARDANDO TRANSBORDO"),0)</f>
        <v>0.68361111111111106</v>
      </c>
      <c r="I421" s="10">
        <f>IFERROR(SUMIFS('Base bordo'!G$2:G$746,'Base bordo'!C$2:C$746,A421,'Base bordo'!B$2:B$746,B421,'Base bordo'!F$2:F$746,"PÁTIO INTERNO"),0)+IFERROR(SUMIFS('Base bordo'!G$2:G$746,'Base bordo'!C$2:C$746,A421,'Base bordo'!B$2:B$746,B421,'Base bordo'!F$2:F$746,"PÁTIO EXTERNO"),0)+IFERROR(SUMIFS('Base bordo'!G$2:G$746,'Base bordo'!C$2:C$746,A421,'Base bordo'!B$2:B$746,B421,'Base bordo'!F$2:F$746,"PATIO - RESERVA"),0)+IFERROR(SUMIFS('Base bordo'!G$2:G$746,'Base bordo'!C$2:C$746,A421,'Base bordo'!B$2:B$746,B421,'Base bordo'!F$2:F$746,"MANOBRA CARRETAS-PATIO"),0)</f>
        <v>3.3277777777777775</v>
      </c>
      <c r="J421" s="10">
        <f>IFERROR(SUMIFS('Base bordo'!G$2:G$746,'Base bordo'!C$2:C$746,A421,'Base bordo'!B$2:B$746,B421,'Base bordo'!F$2:F$746,"BALANÇA - ENTRADA"),0)+IFERROR(SUMIFS('Base bordo'!G$2:G$746,'Base bordo'!C$2:C$746,A421,'Base bordo'!B$2:B$746,B421,'Base bordo'!F$2:F$746,"BALANÇA - SAÍDA"),0)</f>
        <v>0.1336111111111111</v>
      </c>
      <c r="K421" s="10">
        <f>IFERROR(SUMIFS('Base bordo'!G$2:G$746,'Base bordo'!C$2:C$746,A421,'Base bordo'!B$2:B$746,B421,'Base bordo'!F$2:F$746,"MAN PREVENTIVA - MECANICA"),0)+IFERROR(SUMIFS('Base bordo'!G$2:G$746,'Base bordo'!C$2:C$746,A421,'Base bordo'!B$2:B$746,B421,'Base bordo'!F$2:F$746,"MAN CORRETIVA - MECANICA"),0)</f>
        <v>0</v>
      </c>
      <c r="L421" s="10">
        <f>IFERROR(SUMIFS('Base bordo'!G$2:G$746,'Base bordo'!C$2:C$746,A421,'Base bordo'!B$2:B$746,B421,'Base bordo'!F$2:F$746,"MANUTENCAO - T O"),0)+IFERROR(SUMIFS('Base bordo'!G$2:G$746,'Base bordo'!C$2:C$746,A421,'Base bordo'!B$2:B$746,B421,'Base bordo'!F$2:F$746,"MANUTENCAO BORRACHARIA"),0)+IFERROR(SUMIFS('Base bordo'!G$2:G$746,'Base bordo'!C$2:C$746,A421,'Base bordo'!B$2:B$746,B421,'Base bordo'!F$2:F$746,"MANUTENCAO EXTERNA  CONCESSIONARIA"),0)+IFERROR(SUMIFS('Base bordo'!G$2:G$746,'Base bordo'!C$2:C$746,A421,'Base bordo'!B$2:B$746,B421,'Base bordo'!F$2:F$746,"MANUTENCAO TELEMETRIA"),0)</f>
        <v>0</v>
      </c>
      <c r="M421" s="10">
        <f>IFERROR(SUMIFS('Base bordo'!G$2:G$746,'Base bordo'!C$2:C$746,A421,'Base bordo'!B$2:B$746,B421,'Base bordo'!F$2:F$746,"AGUARDANDO MANUTENCAO"),0)</f>
        <v>0</v>
      </c>
      <c r="N421" s="10">
        <f>IFERROR(SUMIFS('Base bordo'!G$2:G$746,'Base bordo'!C$2:C$746,A421,'Base bordo'!B$2:B$746,B421,'Base bordo'!F$2:F$746,"SEM APONTAMENTO"),0)</f>
        <v>0</v>
      </c>
      <c r="O421" s="10">
        <f t="shared" si="48"/>
        <v>0</v>
      </c>
      <c r="P421" s="10">
        <f>IFERROR(SUMIFS('Base bordo'!G$2:G$746,'Base bordo'!C$2:C$746,A421,'Base bordo'!B$2:B$746,B421),0)</f>
        <v>11.996666666666666</v>
      </c>
      <c r="Q421" s="10">
        <f>IFERROR(SUMIFS('Base bordo'!H$2:H$746,'Base bordo'!C$2:C$746,A421,'Base bordo'!B$2:B$746,B421,'Base bordo'!F$2:F$746,"DESLOCAMENTO VAZIO"),0)</f>
        <v>368512.23</v>
      </c>
      <c r="R421" s="10">
        <f>IFERROR(SUMIFS('Base bordo'!I$2:I$746,'Base bordo'!C$2:C$746,A421,'Base bordo'!B$2:B$746,B421,'Base bordo'!F$2:F$746,"DESLOCAMENTO VAZIO"),0)</f>
        <v>11217</v>
      </c>
      <c r="S421" s="30">
        <f t="shared" si="49"/>
        <v>32.853011500401173</v>
      </c>
      <c r="T421" s="10">
        <f>IFERROR(SUMIFS('Base bordo'!H$2:H$746,'Base bordo'!C$2:C$746,A421,'Base bordo'!B$2:B$746,B421,'Base bordo'!F$2:F$746,"DESLOCAMENTO CARREGADO"),0)</f>
        <v>421365.02999999997</v>
      </c>
      <c r="U421" s="10">
        <f>IFERROR(SUMIFS('Base bordo'!I$2:I$746,'Base bordo'!C$2:C$746,A421,'Base bordo'!B$2:B$746,B421,'Base bordo'!F$2:F$746,"DESLOCAMENTO CARREGADO"),0)</f>
        <v>17049</v>
      </c>
      <c r="V421" s="30">
        <f t="shared" si="50"/>
        <v>24.714941052261128</v>
      </c>
      <c r="W421" s="9">
        <f t="shared" si="51"/>
        <v>0.25972492358988608</v>
      </c>
      <c r="X421" s="9">
        <f t="shared" si="52"/>
        <v>0.39476243400944705</v>
      </c>
      <c r="Y421" s="9">
        <f t="shared" si="53"/>
        <v>0.34551264240066681</v>
      </c>
    </row>
    <row r="422" spans="1:25" ht="15" customHeight="1" x14ac:dyDescent="0.35">
      <c r="A422" s="52">
        <v>8013483</v>
      </c>
      <c r="B422" s="51">
        <v>46117</v>
      </c>
      <c r="C422" s="7" t="s">
        <v>124</v>
      </c>
      <c r="D422" s="10">
        <f>IFERROR(SUMIFS('Base bordo'!G$2:G$746,'Base bordo'!C$2:C$746,A422,'Base bordo'!B$2:B$746,B422,'Base bordo'!F$2:F$746,"DESLOCAMENTO VAZIO"),0)</f>
        <v>0.3947222222222222</v>
      </c>
      <c r="E422" s="10">
        <f>IFERROR(SUMIFS('Base bordo'!G$2:G$746,'Base bordo'!C$2:C$746,A422,'Base bordo'!B$2:B$746,B422,'Base bordo'!F$2:F$746,"DESLOCAMENTO CARREGADO"),0)</f>
        <v>2.7777777777777776E-2</v>
      </c>
      <c r="F422" s="10">
        <f>IFERROR(SUMIFS('Base bordo'!G$2:G$746,'Base bordo'!C$2:C$746,A422,'Base bordo'!B$2:B$746,B422,'Base bordo'!F$2:F$746,"DESLOCAMENTO"),0)</f>
        <v>0</v>
      </c>
      <c r="G422" s="10">
        <f>IFERROR(SUMIFS('Base bordo'!G$2:G$746,'Base bordo'!C$2:C$746,A422,'Base bordo'!B$2:B$746,B422,'Base bordo'!F$2:F$746,"CARREGAMENTO"),0)</f>
        <v>0</v>
      </c>
      <c r="H422" s="10">
        <f>IFERROR(SUMIFS('Base bordo'!G$2:G$746,'Base bordo'!C$2:C$746,A422,'Base bordo'!B$2:B$746,B422,'Base bordo'!F$2:F$746,"AGUARDANDO TRANSBORDO"),0)</f>
        <v>0</v>
      </c>
      <c r="I422" s="10">
        <f>IFERROR(SUMIFS('Base bordo'!G$2:G$746,'Base bordo'!C$2:C$746,A422,'Base bordo'!B$2:B$746,B422,'Base bordo'!F$2:F$746,"PÁTIO INTERNO"),0)+IFERROR(SUMIFS('Base bordo'!G$2:G$746,'Base bordo'!C$2:C$746,A422,'Base bordo'!B$2:B$746,B422,'Base bordo'!F$2:F$746,"PÁTIO EXTERNO"),0)+IFERROR(SUMIFS('Base bordo'!G$2:G$746,'Base bordo'!C$2:C$746,A422,'Base bordo'!B$2:B$746,B422,'Base bordo'!F$2:F$746,"PATIO - RESERVA"),0)+IFERROR(SUMIFS('Base bordo'!G$2:G$746,'Base bordo'!C$2:C$746,A422,'Base bordo'!B$2:B$746,B422,'Base bordo'!F$2:F$746,"MANOBRA CARRETAS-PATIO"),0)</f>
        <v>0</v>
      </c>
      <c r="J422" s="10">
        <f>IFERROR(SUMIFS('Base bordo'!G$2:G$746,'Base bordo'!C$2:C$746,A422,'Base bordo'!B$2:B$746,B422,'Base bordo'!F$2:F$746,"BALANÇA - ENTRADA"),0)+IFERROR(SUMIFS('Base bordo'!G$2:G$746,'Base bordo'!C$2:C$746,A422,'Base bordo'!B$2:B$746,B422,'Base bordo'!F$2:F$746,"BALANÇA - SAÍDA"),0)</f>
        <v>0</v>
      </c>
      <c r="K422" s="10">
        <f>IFERROR(SUMIFS('Base bordo'!G$2:G$746,'Base bordo'!C$2:C$746,A422,'Base bordo'!B$2:B$746,B422,'Base bordo'!F$2:F$746,"MAN PREVENTIVA - MECANICA"),0)+IFERROR(SUMIFS('Base bordo'!G$2:G$746,'Base bordo'!C$2:C$746,A422,'Base bordo'!B$2:B$746,B422,'Base bordo'!F$2:F$746,"MAN CORRETIVA - MECANICA"),0)</f>
        <v>0</v>
      </c>
      <c r="L422" s="10">
        <f>IFERROR(SUMIFS('Base bordo'!G$2:G$746,'Base bordo'!C$2:C$746,A422,'Base bordo'!B$2:B$746,B422,'Base bordo'!F$2:F$746,"MANUTENCAO - T O"),0)+IFERROR(SUMIFS('Base bordo'!G$2:G$746,'Base bordo'!C$2:C$746,A422,'Base bordo'!B$2:B$746,B422,'Base bordo'!F$2:F$746,"MANUTENCAO BORRACHARIA"),0)+IFERROR(SUMIFS('Base bordo'!G$2:G$746,'Base bordo'!C$2:C$746,A422,'Base bordo'!B$2:B$746,B422,'Base bordo'!F$2:F$746,"MANUTENCAO EXTERNA  CONCESSIONARIA"),0)+IFERROR(SUMIFS('Base bordo'!G$2:G$746,'Base bordo'!C$2:C$746,A422,'Base bordo'!B$2:B$746,B422,'Base bordo'!F$2:F$746,"MANUTENCAO TELEMETRIA"),0)</f>
        <v>22.371944444444445</v>
      </c>
      <c r="M422" s="10">
        <f>IFERROR(SUMIFS('Base bordo'!G$2:G$746,'Base bordo'!C$2:C$746,A422,'Base bordo'!B$2:B$746,B422,'Base bordo'!F$2:F$746,"AGUARDANDO MANUTENCAO"),0)</f>
        <v>0</v>
      </c>
      <c r="N422" s="10">
        <f>IFERROR(SUMIFS('Base bordo'!G$2:G$746,'Base bordo'!C$2:C$746,A422,'Base bordo'!B$2:B$746,B422,'Base bordo'!F$2:F$746,"SEM APONTAMENTO"),0)</f>
        <v>1.0611111111111111</v>
      </c>
      <c r="O422" s="10">
        <f t="shared" si="48"/>
        <v>0.14444444444444571</v>
      </c>
      <c r="P422" s="10">
        <f>IFERROR(SUMIFS('Base bordo'!G$2:G$746,'Base bordo'!C$2:C$746,A422,'Base bordo'!B$2:B$746,B422),0)</f>
        <v>24</v>
      </c>
      <c r="Q422" s="10">
        <f>IFERROR(SUMIFS('Base bordo'!H$2:H$746,'Base bordo'!C$2:C$746,A422,'Base bordo'!B$2:B$746,B422,'Base bordo'!F$2:F$746,"DESLOCAMENTO VAZIO"),0)</f>
        <v>41838.400000000001</v>
      </c>
      <c r="R422" s="10">
        <f>IFERROR(SUMIFS('Base bordo'!I$2:I$746,'Base bordo'!C$2:C$746,A422,'Base bordo'!B$2:B$746,B422,'Base bordo'!F$2:F$746,"DESLOCAMENTO VAZIO"),0)</f>
        <v>1421</v>
      </c>
      <c r="S422" s="30">
        <f t="shared" si="49"/>
        <v>29.442927515833922</v>
      </c>
      <c r="T422" s="10">
        <f>IFERROR(SUMIFS('Base bordo'!H$2:H$746,'Base bordo'!C$2:C$746,A422,'Base bordo'!B$2:B$746,B422,'Base bordo'!F$2:F$746,"DESLOCAMENTO CARREGADO"),0)</f>
        <v>785.48</v>
      </c>
      <c r="U422" s="10">
        <f>IFERROR(SUMIFS('Base bordo'!I$2:I$746,'Base bordo'!C$2:C$746,A422,'Base bordo'!B$2:B$746,B422,'Base bordo'!F$2:F$746,"DESLOCAMENTO CARREGADO"),0)</f>
        <v>100</v>
      </c>
      <c r="V422" s="30">
        <f t="shared" si="50"/>
        <v>7.8548</v>
      </c>
      <c r="W422" s="9">
        <f t="shared" si="51"/>
        <v>1.6446759259259258E-2</v>
      </c>
      <c r="X422" s="9">
        <f t="shared" si="52"/>
        <v>1.1574074074074073E-3</v>
      </c>
      <c r="Y422" s="9">
        <f t="shared" si="53"/>
        <v>0.98239583333333336</v>
      </c>
    </row>
    <row r="423" spans="1:25" ht="15" customHeight="1" x14ac:dyDescent="0.35">
      <c r="A423" s="52">
        <v>8013473</v>
      </c>
      <c r="B423" s="51">
        <v>46123</v>
      </c>
      <c r="C423" s="7" t="s">
        <v>124</v>
      </c>
      <c r="D423" s="10">
        <f>IFERROR(SUMIFS('Base bordo'!G$2:G$746,'Base bordo'!C$2:C$746,A423,'Base bordo'!B$2:B$746,B423,'Base bordo'!F$2:F$746,"DESLOCAMENTO VAZIO"),0)</f>
        <v>2.2419444444444445</v>
      </c>
      <c r="E423" s="10">
        <f>IFERROR(SUMIFS('Base bordo'!G$2:G$746,'Base bordo'!C$2:C$746,A423,'Base bordo'!B$2:B$746,B423,'Base bordo'!F$2:F$746,"DESLOCAMENTO CARREGADO"),0)</f>
        <v>2.7183333333333333</v>
      </c>
      <c r="F423" s="10">
        <f>IFERROR(SUMIFS('Base bordo'!G$2:G$746,'Base bordo'!C$2:C$746,A423,'Base bordo'!B$2:B$746,B423,'Base bordo'!F$2:F$746,"DESLOCAMENTO"),0)</f>
        <v>0</v>
      </c>
      <c r="G423" s="10">
        <f>IFERROR(SUMIFS('Base bordo'!G$2:G$746,'Base bordo'!C$2:C$746,A423,'Base bordo'!B$2:B$746,B423,'Base bordo'!F$2:F$746,"CARREGAMENTO"),0)</f>
        <v>0</v>
      </c>
      <c r="H423" s="10">
        <f>IFERROR(SUMIFS('Base bordo'!G$2:G$746,'Base bordo'!C$2:C$746,A423,'Base bordo'!B$2:B$746,B423,'Base bordo'!F$2:F$746,"AGUARDANDO TRANSBORDO"),0)</f>
        <v>1.3844444444444444</v>
      </c>
      <c r="I423" s="10">
        <f>IFERROR(SUMIFS('Base bordo'!G$2:G$746,'Base bordo'!C$2:C$746,A423,'Base bordo'!B$2:B$746,B423,'Base bordo'!F$2:F$746,"PÁTIO INTERNO"),0)+IFERROR(SUMIFS('Base bordo'!G$2:G$746,'Base bordo'!C$2:C$746,A423,'Base bordo'!B$2:B$746,B423,'Base bordo'!F$2:F$746,"PÁTIO EXTERNO"),0)+IFERROR(SUMIFS('Base bordo'!G$2:G$746,'Base bordo'!C$2:C$746,A423,'Base bordo'!B$2:B$746,B423,'Base bordo'!F$2:F$746,"PATIO - RESERVA"),0)+IFERROR(SUMIFS('Base bordo'!G$2:G$746,'Base bordo'!C$2:C$746,A423,'Base bordo'!B$2:B$746,B423,'Base bordo'!F$2:F$746,"MANOBRA CARRETAS-PATIO"),0)</f>
        <v>0.63833333333333331</v>
      </c>
      <c r="J423" s="10">
        <f>IFERROR(SUMIFS('Base bordo'!G$2:G$746,'Base bordo'!C$2:C$746,A423,'Base bordo'!B$2:B$746,B423,'Base bordo'!F$2:F$746,"BALANÇA - ENTRADA"),0)+IFERROR(SUMIFS('Base bordo'!G$2:G$746,'Base bordo'!C$2:C$746,A423,'Base bordo'!B$2:B$746,B423,'Base bordo'!F$2:F$746,"BALANÇA - SAÍDA"),0)</f>
        <v>0</v>
      </c>
      <c r="K423" s="10">
        <f>IFERROR(SUMIFS('Base bordo'!G$2:G$746,'Base bordo'!C$2:C$746,A423,'Base bordo'!B$2:B$746,B423,'Base bordo'!F$2:F$746,"MAN PREVENTIVA - MECANICA"),0)+IFERROR(SUMIFS('Base bordo'!G$2:G$746,'Base bordo'!C$2:C$746,A423,'Base bordo'!B$2:B$746,B423,'Base bordo'!F$2:F$746,"MAN CORRETIVA - MECANICA"),0)</f>
        <v>0</v>
      </c>
      <c r="L423" s="10">
        <f>IFERROR(SUMIFS('Base bordo'!G$2:G$746,'Base bordo'!C$2:C$746,A423,'Base bordo'!B$2:B$746,B423,'Base bordo'!F$2:F$746,"MANUTENCAO - T O"),0)+IFERROR(SUMIFS('Base bordo'!G$2:G$746,'Base bordo'!C$2:C$746,A423,'Base bordo'!B$2:B$746,B423,'Base bordo'!F$2:F$746,"MANUTENCAO BORRACHARIA"),0)+IFERROR(SUMIFS('Base bordo'!G$2:G$746,'Base bordo'!C$2:C$746,A423,'Base bordo'!B$2:B$746,B423,'Base bordo'!F$2:F$746,"MANUTENCAO EXTERNA  CONCESSIONARIA"),0)+IFERROR(SUMIFS('Base bordo'!G$2:G$746,'Base bordo'!C$2:C$746,A423,'Base bordo'!B$2:B$746,B423,'Base bordo'!F$2:F$746,"MANUTENCAO TELEMETRIA"),0)</f>
        <v>0</v>
      </c>
      <c r="M423" s="10">
        <f>IFERROR(SUMIFS('Base bordo'!G$2:G$746,'Base bordo'!C$2:C$746,A423,'Base bordo'!B$2:B$746,B423,'Base bordo'!F$2:F$746,"AGUARDANDO MANUTENCAO"),0)</f>
        <v>0</v>
      </c>
      <c r="N423" s="10">
        <f>IFERROR(SUMIFS('Base bordo'!G$2:G$746,'Base bordo'!C$2:C$746,A423,'Base bordo'!B$2:B$746,B423,'Base bordo'!F$2:F$746,"SEM APONTAMENTO"),0)</f>
        <v>0</v>
      </c>
      <c r="O423" s="10">
        <f t="shared" si="48"/>
        <v>0.22777777777777786</v>
      </c>
      <c r="P423" s="10">
        <f>IFERROR(SUMIFS('Base bordo'!G$2:G$746,'Base bordo'!C$2:C$746,A423,'Base bordo'!B$2:B$746,B423),0)</f>
        <v>7.2108333333333334</v>
      </c>
      <c r="Q423" s="10">
        <f>IFERROR(SUMIFS('Base bordo'!H$2:H$746,'Base bordo'!C$2:C$746,A423,'Base bordo'!B$2:B$746,B423,'Base bordo'!F$2:F$746,"DESLOCAMENTO VAZIO"),0)</f>
        <v>253000.22999999998</v>
      </c>
      <c r="R423" s="10">
        <f>IFERROR(SUMIFS('Base bordo'!I$2:I$746,'Base bordo'!C$2:C$746,A423,'Base bordo'!B$2:B$746,B423,'Base bordo'!F$2:F$746,"DESLOCAMENTO VAZIO"),0)</f>
        <v>8071</v>
      </c>
      <c r="S423" s="30">
        <f t="shared" si="49"/>
        <v>31.346825672159582</v>
      </c>
      <c r="T423" s="10">
        <f>IFERROR(SUMIFS('Base bordo'!H$2:H$746,'Base bordo'!C$2:C$746,A423,'Base bordo'!B$2:B$746,B423,'Base bordo'!F$2:F$746,"DESLOCAMENTO CARREGADO"),0)</f>
        <v>222192.59000000003</v>
      </c>
      <c r="U423" s="10">
        <f>IFERROR(SUMIFS('Base bordo'!I$2:I$746,'Base bordo'!C$2:C$746,A423,'Base bordo'!B$2:B$746,B423,'Base bordo'!F$2:F$746,"DESLOCAMENTO CARREGADO"),0)</f>
        <v>9786</v>
      </c>
      <c r="V423" s="30">
        <f t="shared" si="50"/>
        <v>22.705149192724303</v>
      </c>
      <c r="W423" s="9">
        <f t="shared" si="51"/>
        <v>0.31091336338071573</v>
      </c>
      <c r="X423" s="9">
        <f t="shared" si="52"/>
        <v>0.37697908239916789</v>
      </c>
      <c r="Y423" s="9">
        <f t="shared" si="53"/>
        <v>0.31210755422011638</v>
      </c>
    </row>
    <row r="424" spans="1:25" ht="15" customHeight="1" x14ac:dyDescent="0.35">
      <c r="A424" s="52">
        <v>8013484</v>
      </c>
      <c r="B424" s="51">
        <v>46123</v>
      </c>
      <c r="C424" s="7" t="s">
        <v>124</v>
      </c>
      <c r="D424" s="10">
        <f>IFERROR(SUMIFS('Base bordo'!G$2:G$746,'Base bordo'!C$2:C$746,A424,'Base bordo'!B$2:B$746,B424,'Base bordo'!F$2:F$746,"DESLOCAMENTO VAZIO"),0)</f>
        <v>1.3186111111111112</v>
      </c>
      <c r="E424" s="10">
        <f>IFERROR(SUMIFS('Base bordo'!G$2:G$746,'Base bordo'!C$2:C$746,A424,'Base bordo'!B$2:B$746,B424,'Base bordo'!F$2:F$746,"DESLOCAMENTO CARREGADO"),0)</f>
        <v>2.0469444444444442</v>
      </c>
      <c r="F424" s="10">
        <f>IFERROR(SUMIFS('Base bordo'!G$2:G$746,'Base bordo'!C$2:C$746,A424,'Base bordo'!B$2:B$746,B424,'Base bordo'!F$2:F$746,"DESLOCAMENTO"),0)</f>
        <v>0</v>
      </c>
      <c r="G424" s="10">
        <f>IFERROR(SUMIFS('Base bordo'!G$2:G$746,'Base bordo'!C$2:C$746,A424,'Base bordo'!B$2:B$746,B424,'Base bordo'!F$2:F$746,"CARREGAMENTO"),0)</f>
        <v>0</v>
      </c>
      <c r="H424" s="10">
        <f>IFERROR(SUMIFS('Base bordo'!G$2:G$746,'Base bordo'!C$2:C$746,A424,'Base bordo'!B$2:B$746,B424,'Base bordo'!F$2:F$746,"AGUARDANDO TRANSBORDO"),0)</f>
        <v>0.2688888888888889</v>
      </c>
      <c r="I424" s="10">
        <f>IFERROR(SUMIFS('Base bordo'!G$2:G$746,'Base bordo'!C$2:C$746,A424,'Base bordo'!B$2:B$746,B424,'Base bordo'!F$2:F$746,"PÁTIO INTERNO"),0)+IFERROR(SUMIFS('Base bordo'!G$2:G$746,'Base bordo'!C$2:C$746,A424,'Base bordo'!B$2:B$746,B424,'Base bordo'!F$2:F$746,"PÁTIO EXTERNO"),0)+IFERROR(SUMIFS('Base bordo'!G$2:G$746,'Base bordo'!C$2:C$746,A424,'Base bordo'!B$2:B$746,B424,'Base bordo'!F$2:F$746,"PATIO - RESERVA"),0)+IFERROR(SUMIFS('Base bordo'!G$2:G$746,'Base bordo'!C$2:C$746,A424,'Base bordo'!B$2:B$746,B424,'Base bordo'!F$2:F$746,"MANOBRA CARRETAS-PATIO"),0)</f>
        <v>2.7616666666666667</v>
      </c>
      <c r="J424" s="10">
        <f>IFERROR(SUMIFS('Base bordo'!G$2:G$746,'Base bordo'!C$2:C$746,A424,'Base bordo'!B$2:B$746,B424,'Base bordo'!F$2:F$746,"BALANÇA - ENTRADA"),0)+IFERROR(SUMIFS('Base bordo'!G$2:G$746,'Base bordo'!C$2:C$746,A424,'Base bordo'!B$2:B$746,B424,'Base bordo'!F$2:F$746,"BALANÇA - SAÍDA"),0)</f>
        <v>2.4722222222222222E-2</v>
      </c>
      <c r="K424" s="10">
        <f>IFERROR(SUMIFS('Base bordo'!G$2:G$746,'Base bordo'!C$2:C$746,A424,'Base bordo'!B$2:B$746,B424,'Base bordo'!F$2:F$746,"MAN PREVENTIVA - MECANICA"),0)+IFERROR(SUMIFS('Base bordo'!G$2:G$746,'Base bordo'!C$2:C$746,A424,'Base bordo'!B$2:B$746,B424,'Base bordo'!F$2:F$746,"MAN CORRETIVA - MECANICA"),0)</f>
        <v>0</v>
      </c>
      <c r="L424" s="10">
        <f>IFERROR(SUMIFS('Base bordo'!G$2:G$746,'Base bordo'!C$2:C$746,A424,'Base bordo'!B$2:B$746,B424,'Base bordo'!F$2:F$746,"MANUTENCAO - T O"),0)+IFERROR(SUMIFS('Base bordo'!G$2:G$746,'Base bordo'!C$2:C$746,A424,'Base bordo'!B$2:B$746,B424,'Base bordo'!F$2:F$746,"MANUTENCAO BORRACHARIA"),0)+IFERROR(SUMIFS('Base bordo'!G$2:G$746,'Base bordo'!C$2:C$746,A424,'Base bordo'!B$2:B$746,B424,'Base bordo'!F$2:F$746,"MANUTENCAO EXTERNA  CONCESSIONARIA"),0)+IFERROR(SUMIFS('Base bordo'!G$2:G$746,'Base bordo'!C$2:C$746,A424,'Base bordo'!B$2:B$746,B424,'Base bordo'!F$2:F$746,"MANUTENCAO TELEMETRIA"),0)</f>
        <v>0</v>
      </c>
      <c r="M424" s="10">
        <f>IFERROR(SUMIFS('Base bordo'!G$2:G$746,'Base bordo'!C$2:C$746,A424,'Base bordo'!B$2:B$746,B424,'Base bordo'!F$2:F$746,"AGUARDANDO MANUTENCAO"),0)</f>
        <v>0</v>
      </c>
      <c r="N424" s="10">
        <f>IFERROR(SUMIFS('Base bordo'!G$2:G$746,'Base bordo'!C$2:C$746,A424,'Base bordo'!B$2:B$746,B424,'Base bordo'!F$2:F$746,"SEM APONTAMENTO"),0)</f>
        <v>0</v>
      </c>
      <c r="O424" s="10">
        <f t="shared" si="48"/>
        <v>0.68777777777777871</v>
      </c>
      <c r="P424" s="10">
        <f>IFERROR(SUMIFS('Base bordo'!G$2:G$746,'Base bordo'!C$2:C$746,A424,'Base bordo'!B$2:B$746,B424),0)</f>
        <v>7.1086111111111121</v>
      </c>
      <c r="Q424" s="10">
        <f>IFERROR(SUMIFS('Base bordo'!H$2:H$746,'Base bordo'!C$2:C$746,A424,'Base bordo'!B$2:B$746,B424,'Base bordo'!F$2:F$746,"DESLOCAMENTO VAZIO"),0)</f>
        <v>173939.91999999998</v>
      </c>
      <c r="R424" s="10">
        <f>IFERROR(SUMIFS('Base bordo'!I$2:I$746,'Base bordo'!C$2:C$746,A424,'Base bordo'!B$2:B$746,B424,'Base bordo'!F$2:F$746,"DESLOCAMENTO VAZIO"),0)</f>
        <v>4747</v>
      </c>
      <c r="S424" s="30">
        <f t="shared" si="49"/>
        <v>36.642072888139872</v>
      </c>
      <c r="T424" s="10">
        <f>IFERROR(SUMIFS('Base bordo'!H$2:H$746,'Base bordo'!C$2:C$746,A424,'Base bordo'!B$2:B$746,B424,'Base bordo'!F$2:F$746,"DESLOCAMENTO CARREGADO"),0)</f>
        <v>184357.02</v>
      </c>
      <c r="U424" s="10">
        <f>IFERROR(SUMIFS('Base bordo'!I$2:I$746,'Base bordo'!C$2:C$746,A424,'Base bordo'!B$2:B$746,B424,'Base bordo'!F$2:F$746,"DESLOCAMENTO CARREGADO"),0)</f>
        <v>7369</v>
      </c>
      <c r="V424" s="30">
        <f t="shared" si="50"/>
        <v>25.017915592346313</v>
      </c>
      <c r="W424" s="9">
        <f t="shared" si="51"/>
        <v>0.18549490055097492</v>
      </c>
      <c r="X424" s="9">
        <f t="shared" si="52"/>
        <v>0.28795279590481021</v>
      </c>
      <c r="Y424" s="9">
        <f t="shared" si="53"/>
        <v>0.52655230354421478</v>
      </c>
    </row>
    <row r="425" spans="1:25" ht="15" customHeight="1" x14ac:dyDescent="0.35">
      <c r="A425" s="52">
        <v>8013465</v>
      </c>
      <c r="B425" s="51">
        <v>46123</v>
      </c>
      <c r="C425" s="7" t="s">
        <v>124</v>
      </c>
      <c r="D425" s="10">
        <f>IFERROR(SUMIFS('Base bordo'!G$2:G$746,'Base bordo'!C$2:C$746,A425,'Base bordo'!B$2:B$746,B425,'Base bordo'!F$2:F$746,"DESLOCAMENTO VAZIO"),0)</f>
        <v>2.3111111111111109</v>
      </c>
      <c r="E425" s="10">
        <f>IFERROR(SUMIFS('Base bordo'!G$2:G$746,'Base bordo'!C$2:C$746,A425,'Base bordo'!B$2:B$746,B425,'Base bordo'!F$2:F$746,"DESLOCAMENTO CARREGADO"),0)</f>
        <v>1.8591666666666666</v>
      </c>
      <c r="F425" s="10">
        <f>IFERROR(SUMIFS('Base bordo'!G$2:G$746,'Base bordo'!C$2:C$746,A425,'Base bordo'!B$2:B$746,B425,'Base bordo'!F$2:F$746,"DESLOCAMENTO"),0)</f>
        <v>0</v>
      </c>
      <c r="G425" s="10">
        <f>IFERROR(SUMIFS('Base bordo'!G$2:G$746,'Base bordo'!C$2:C$746,A425,'Base bordo'!B$2:B$746,B425,'Base bordo'!F$2:F$746,"CARREGAMENTO"),0)</f>
        <v>0</v>
      </c>
      <c r="H425" s="10">
        <f>IFERROR(SUMIFS('Base bordo'!G$2:G$746,'Base bordo'!C$2:C$746,A425,'Base bordo'!B$2:B$746,B425,'Base bordo'!F$2:F$746,"AGUARDANDO TRANSBORDO"),0)</f>
        <v>0.3552777777777778</v>
      </c>
      <c r="I425" s="10">
        <f>IFERROR(SUMIFS('Base bordo'!G$2:G$746,'Base bordo'!C$2:C$746,A425,'Base bordo'!B$2:B$746,B425,'Base bordo'!F$2:F$746,"PÁTIO INTERNO"),0)+IFERROR(SUMIFS('Base bordo'!G$2:G$746,'Base bordo'!C$2:C$746,A425,'Base bordo'!B$2:B$746,B425,'Base bordo'!F$2:F$746,"PÁTIO EXTERNO"),0)+IFERROR(SUMIFS('Base bordo'!G$2:G$746,'Base bordo'!C$2:C$746,A425,'Base bordo'!B$2:B$746,B425,'Base bordo'!F$2:F$746,"PATIO - RESERVA"),0)+IFERROR(SUMIFS('Base bordo'!G$2:G$746,'Base bordo'!C$2:C$746,A425,'Base bordo'!B$2:B$746,B425,'Base bordo'!F$2:F$746,"MANOBRA CARRETAS-PATIO"),0)</f>
        <v>0</v>
      </c>
      <c r="J425" s="10">
        <f>IFERROR(SUMIFS('Base bordo'!G$2:G$746,'Base bordo'!C$2:C$746,A425,'Base bordo'!B$2:B$746,B425,'Base bordo'!F$2:F$746,"BALANÇA - ENTRADA"),0)+IFERROR(SUMIFS('Base bordo'!G$2:G$746,'Base bordo'!C$2:C$746,A425,'Base bordo'!B$2:B$746,B425,'Base bordo'!F$2:F$746,"BALANÇA - SAÍDA"),0)</f>
        <v>0</v>
      </c>
      <c r="K425" s="10">
        <f>IFERROR(SUMIFS('Base bordo'!G$2:G$746,'Base bordo'!C$2:C$746,A425,'Base bordo'!B$2:B$746,B425,'Base bordo'!F$2:F$746,"MAN PREVENTIVA - MECANICA"),0)+IFERROR(SUMIFS('Base bordo'!G$2:G$746,'Base bordo'!C$2:C$746,A425,'Base bordo'!B$2:B$746,B425,'Base bordo'!F$2:F$746,"MAN CORRETIVA - MECANICA"),0)</f>
        <v>0</v>
      </c>
      <c r="L425" s="10">
        <f>IFERROR(SUMIFS('Base bordo'!G$2:G$746,'Base bordo'!C$2:C$746,A425,'Base bordo'!B$2:B$746,B425,'Base bordo'!F$2:F$746,"MANUTENCAO - T O"),0)+IFERROR(SUMIFS('Base bordo'!G$2:G$746,'Base bordo'!C$2:C$746,A425,'Base bordo'!B$2:B$746,B425,'Base bordo'!F$2:F$746,"MANUTENCAO BORRACHARIA"),0)+IFERROR(SUMIFS('Base bordo'!G$2:G$746,'Base bordo'!C$2:C$746,A425,'Base bordo'!B$2:B$746,B425,'Base bordo'!F$2:F$746,"MANUTENCAO EXTERNA  CONCESSIONARIA"),0)+IFERROR(SUMIFS('Base bordo'!G$2:G$746,'Base bordo'!C$2:C$746,A425,'Base bordo'!B$2:B$746,B425,'Base bordo'!F$2:F$746,"MANUTENCAO TELEMETRIA"),0)</f>
        <v>0</v>
      </c>
      <c r="M425" s="10">
        <f>IFERROR(SUMIFS('Base bordo'!G$2:G$746,'Base bordo'!C$2:C$746,A425,'Base bordo'!B$2:B$746,B425,'Base bordo'!F$2:F$746,"AGUARDANDO MANUTENCAO"),0)</f>
        <v>0</v>
      </c>
      <c r="N425" s="10">
        <f>IFERROR(SUMIFS('Base bordo'!G$2:G$746,'Base bordo'!C$2:C$746,A425,'Base bordo'!B$2:B$746,B425,'Base bordo'!F$2:F$746,"SEM APONTAMENTO"),0)</f>
        <v>0</v>
      </c>
      <c r="O425" s="10">
        <f t="shared" si="48"/>
        <v>0</v>
      </c>
      <c r="P425" s="10">
        <f>IFERROR(SUMIFS('Base bordo'!G$2:G$746,'Base bordo'!C$2:C$746,A425,'Base bordo'!B$2:B$746,B425),0)</f>
        <v>4.525555555555556</v>
      </c>
      <c r="Q425" s="10">
        <f>IFERROR(SUMIFS('Base bordo'!H$2:H$746,'Base bordo'!C$2:C$746,A425,'Base bordo'!B$2:B$746,B425,'Base bordo'!F$2:F$746,"DESLOCAMENTO VAZIO"),0)</f>
        <v>278148.95</v>
      </c>
      <c r="R425" s="10">
        <f>IFERROR(SUMIFS('Base bordo'!I$2:I$746,'Base bordo'!C$2:C$746,A425,'Base bordo'!B$2:B$746,B425,'Base bordo'!F$2:F$746,"DESLOCAMENTO VAZIO"),0)</f>
        <v>8320</v>
      </c>
      <c r="S425" s="30">
        <f t="shared" si="49"/>
        <v>33.431364182692306</v>
      </c>
      <c r="T425" s="10">
        <f>IFERROR(SUMIFS('Base bordo'!H$2:H$746,'Base bordo'!C$2:C$746,A425,'Base bordo'!B$2:B$746,B425,'Base bordo'!F$2:F$746,"DESLOCAMENTO CARREGADO"),0)</f>
        <v>177737.80000000002</v>
      </c>
      <c r="U425" s="10">
        <f>IFERROR(SUMIFS('Base bordo'!I$2:I$746,'Base bordo'!C$2:C$746,A425,'Base bordo'!B$2:B$746,B425,'Base bordo'!F$2:F$746,"DESLOCAMENTO CARREGADO"),0)</f>
        <v>6683</v>
      </c>
      <c r="V425" s="30">
        <f t="shared" si="50"/>
        <v>26.595510998054767</v>
      </c>
      <c r="W425" s="9">
        <f t="shared" si="51"/>
        <v>0.51068008838693824</v>
      </c>
      <c r="X425" s="9">
        <f t="shared" si="52"/>
        <v>0.41081512398723297</v>
      </c>
      <c r="Y425" s="9">
        <f t="shared" si="53"/>
        <v>7.8504787625828687E-2</v>
      </c>
    </row>
    <row r="426" spans="1:25" ht="15" customHeight="1" x14ac:dyDescent="0.35">
      <c r="A426" s="52">
        <v>8013476</v>
      </c>
      <c r="B426" s="51">
        <v>46124</v>
      </c>
      <c r="C426" s="7" t="s">
        <v>124</v>
      </c>
      <c r="D426" s="10">
        <f>IFERROR(SUMIFS('Base bordo'!G$2:G$746,'Base bordo'!C$2:C$746,A426,'Base bordo'!B$2:B$746,B426,'Base bordo'!F$2:F$746,"DESLOCAMENTO VAZIO"),0)</f>
        <v>2.296388888888889</v>
      </c>
      <c r="E426" s="10">
        <f>IFERROR(SUMIFS('Base bordo'!G$2:G$746,'Base bordo'!C$2:C$746,A426,'Base bordo'!B$2:B$746,B426,'Base bordo'!F$2:F$746,"DESLOCAMENTO CARREGADO"),0)</f>
        <v>2.1016666666666666</v>
      </c>
      <c r="F426" s="10">
        <f>IFERROR(SUMIFS('Base bordo'!G$2:G$746,'Base bordo'!C$2:C$746,A426,'Base bordo'!B$2:B$746,B426,'Base bordo'!F$2:F$746,"DESLOCAMENTO"),0)</f>
        <v>0</v>
      </c>
      <c r="G426" s="10">
        <f>IFERROR(SUMIFS('Base bordo'!G$2:G$746,'Base bordo'!C$2:C$746,A426,'Base bordo'!B$2:B$746,B426,'Base bordo'!F$2:F$746,"CARREGAMENTO"),0)</f>
        <v>0</v>
      </c>
      <c r="H426" s="10">
        <f>IFERROR(SUMIFS('Base bordo'!G$2:G$746,'Base bordo'!C$2:C$746,A426,'Base bordo'!B$2:B$746,B426,'Base bordo'!F$2:F$746,"AGUARDANDO TRANSBORDO"),0)</f>
        <v>0.23694444444444446</v>
      </c>
      <c r="I426" s="10">
        <f>IFERROR(SUMIFS('Base bordo'!G$2:G$746,'Base bordo'!C$2:C$746,A426,'Base bordo'!B$2:B$746,B426,'Base bordo'!F$2:F$746,"PÁTIO INTERNO"),0)+IFERROR(SUMIFS('Base bordo'!G$2:G$746,'Base bordo'!C$2:C$746,A426,'Base bordo'!B$2:B$746,B426,'Base bordo'!F$2:F$746,"PÁTIO EXTERNO"),0)+IFERROR(SUMIFS('Base bordo'!G$2:G$746,'Base bordo'!C$2:C$746,A426,'Base bordo'!B$2:B$746,B426,'Base bordo'!F$2:F$746,"PATIO - RESERVA"),0)+IFERROR(SUMIFS('Base bordo'!G$2:G$746,'Base bordo'!C$2:C$746,A426,'Base bordo'!B$2:B$746,B426,'Base bordo'!F$2:F$746,"MANOBRA CARRETAS-PATIO"),0)</f>
        <v>5.0583333333333336</v>
      </c>
      <c r="J426" s="10">
        <f>IFERROR(SUMIFS('Base bordo'!G$2:G$746,'Base bordo'!C$2:C$746,A426,'Base bordo'!B$2:B$746,B426,'Base bordo'!F$2:F$746,"BALANÇA - ENTRADA"),0)+IFERROR(SUMIFS('Base bordo'!G$2:G$746,'Base bordo'!C$2:C$746,A426,'Base bordo'!B$2:B$746,B426,'Base bordo'!F$2:F$746,"BALANÇA - SAÍDA"),0)</f>
        <v>0.23805555555555558</v>
      </c>
      <c r="K426" s="10">
        <f>IFERROR(SUMIFS('Base bordo'!G$2:G$746,'Base bordo'!C$2:C$746,A426,'Base bordo'!B$2:B$746,B426,'Base bordo'!F$2:F$746,"MAN PREVENTIVA - MECANICA"),0)+IFERROR(SUMIFS('Base bordo'!G$2:G$746,'Base bordo'!C$2:C$746,A426,'Base bordo'!B$2:B$746,B426,'Base bordo'!F$2:F$746,"MAN CORRETIVA - MECANICA"),0)</f>
        <v>0</v>
      </c>
      <c r="L426" s="10">
        <f>IFERROR(SUMIFS('Base bordo'!G$2:G$746,'Base bordo'!C$2:C$746,A426,'Base bordo'!B$2:B$746,B426,'Base bordo'!F$2:F$746,"MANUTENCAO - T O"),0)+IFERROR(SUMIFS('Base bordo'!G$2:G$746,'Base bordo'!C$2:C$746,A426,'Base bordo'!B$2:B$746,B426,'Base bordo'!F$2:F$746,"MANUTENCAO BORRACHARIA"),0)+IFERROR(SUMIFS('Base bordo'!G$2:G$746,'Base bordo'!C$2:C$746,A426,'Base bordo'!B$2:B$746,B426,'Base bordo'!F$2:F$746,"MANUTENCAO EXTERNA  CONCESSIONARIA"),0)+IFERROR(SUMIFS('Base bordo'!G$2:G$746,'Base bordo'!C$2:C$746,A426,'Base bordo'!B$2:B$746,B426,'Base bordo'!F$2:F$746,"MANUTENCAO TELEMETRIA"),0)</f>
        <v>0</v>
      </c>
      <c r="M426" s="10">
        <f>IFERROR(SUMIFS('Base bordo'!G$2:G$746,'Base bordo'!C$2:C$746,A426,'Base bordo'!B$2:B$746,B426,'Base bordo'!F$2:F$746,"AGUARDANDO MANUTENCAO"),0)</f>
        <v>0</v>
      </c>
      <c r="N426" s="10">
        <f>IFERROR(SUMIFS('Base bordo'!G$2:G$746,'Base bordo'!C$2:C$746,A426,'Base bordo'!B$2:B$746,B426,'Base bordo'!F$2:F$746,"SEM APONTAMENTO"),0)</f>
        <v>0</v>
      </c>
      <c r="O426" s="10">
        <f t="shared" si="48"/>
        <v>0</v>
      </c>
      <c r="P426" s="10">
        <f>IFERROR(SUMIFS('Base bordo'!G$2:G$746,'Base bordo'!C$2:C$746,A426,'Base bordo'!B$2:B$746,B426),0)</f>
        <v>9.9313888888888897</v>
      </c>
      <c r="Q426" s="10">
        <f>IFERROR(SUMIFS('Base bordo'!H$2:H$746,'Base bordo'!C$2:C$746,A426,'Base bordo'!B$2:B$746,B426,'Base bordo'!F$2:F$746,"DESLOCAMENTO VAZIO"),0)</f>
        <v>272442.8</v>
      </c>
      <c r="R426" s="10">
        <f>IFERROR(SUMIFS('Base bordo'!I$2:I$746,'Base bordo'!C$2:C$746,A426,'Base bordo'!B$2:B$746,B426,'Base bordo'!F$2:F$746,"DESLOCAMENTO VAZIO"),0)</f>
        <v>8267</v>
      </c>
      <c r="S426" s="30">
        <f t="shared" si="49"/>
        <v>32.955461473327688</v>
      </c>
      <c r="T426" s="10">
        <f>IFERROR(SUMIFS('Base bordo'!H$2:H$746,'Base bordo'!C$2:C$746,A426,'Base bordo'!B$2:B$746,B426,'Base bordo'!F$2:F$746,"DESLOCAMENTO CARREGADO"),0)</f>
        <v>216680.51</v>
      </c>
      <c r="U426" s="10">
        <f>IFERROR(SUMIFS('Base bordo'!I$2:I$746,'Base bordo'!C$2:C$746,A426,'Base bordo'!B$2:B$746,B426,'Base bordo'!F$2:F$746,"DESLOCAMENTO CARREGADO"),0)</f>
        <v>7566</v>
      </c>
      <c r="V426" s="30">
        <f t="shared" si="50"/>
        <v>28.638713983610891</v>
      </c>
      <c r="W426" s="9">
        <f t="shared" si="51"/>
        <v>0.23122535171873687</v>
      </c>
      <c r="X426" s="9">
        <f t="shared" si="52"/>
        <v>0.21161860543171199</v>
      </c>
      <c r="Y426" s="9">
        <f t="shared" si="53"/>
        <v>0.55715604284955111</v>
      </c>
    </row>
    <row r="427" spans="1:25" ht="15" customHeight="1" x14ac:dyDescent="0.35">
      <c r="A427" s="52">
        <v>8013472</v>
      </c>
      <c r="B427" s="51">
        <v>46123</v>
      </c>
      <c r="C427" s="7" t="s">
        <v>124</v>
      </c>
      <c r="D427" s="10">
        <f>IFERROR(SUMIFS('Base bordo'!G$2:G$746,'Base bordo'!C$2:C$746,A427,'Base bordo'!B$2:B$746,B427,'Base bordo'!F$2:F$746,"DESLOCAMENTO VAZIO"),0)</f>
        <v>2.9125000000000001</v>
      </c>
      <c r="E427" s="10">
        <f>IFERROR(SUMIFS('Base bordo'!G$2:G$746,'Base bordo'!C$2:C$746,A427,'Base bordo'!B$2:B$746,B427,'Base bordo'!F$2:F$746,"DESLOCAMENTO CARREGADO"),0)</f>
        <v>4.025555555555556</v>
      </c>
      <c r="F427" s="10">
        <f>IFERROR(SUMIFS('Base bordo'!G$2:G$746,'Base bordo'!C$2:C$746,A427,'Base bordo'!B$2:B$746,B427,'Base bordo'!F$2:F$746,"DESLOCAMENTO"),0)</f>
        <v>0</v>
      </c>
      <c r="G427" s="10">
        <f>IFERROR(SUMIFS('Base bordo'!G$2:G$746,'Base bordo'!C$2:C$746,A427,'Base bordo'!B$2:B$746,B427,'Base bordo'!F$2:F$746,"CARREGAMENTO"),0)</f>
        <v>0</v>
      </c>
      <c r="H427" s="10">
        <f>IFERROR(SUMIFS('Base bordo'!G$2:G$746,'Base bordo'!C$2:C$746,A427,'Base bordo'!B$2:B$746,B427,'Base bordo'!F$2:F$746,"AGUARDANDO TRANSBORDO"),0)</f>
        <v>0</v>
      </c>
      <c r="I427" s="10">
        <f>IFERROR(SUMIFS('Base bordo'!G$2:G$746,'Base bordo'!C$2:C$746,A427,'Base bordo'!B$2:B$746,B427,'Base bordo'!F$2:F$746,"PÁTIO INTERNO"),0)+IFERROR(SUMIFS('Base bordo'!G$2:G$746,'Base bordo'!C$2:C$746,A427,'Base bordo'!B$2:B$746,B427,'Base bordo'!F$2:F$746,"PÁTIO EXTERNO"),0)+IFERROR(SUMIFS('Base bordo'!G$2:G$746,'Base bordo'!C$2:C$746,A427,'Base bordo'!B$2:B$746,B427,'Base bordo'!F$2:F$746,"PATIO - RESERVA"),0)+IFERROR(SUMIFS('Base bordo'!G$2:G$746,'Base bordo'!C$2:C$746,A427,'Base bordo'!B$2:B$746,B427,'Base bordo'!F$2:F$746,"MANOBRA CARRETAS-PATIO"),0)</f>
        <v>1.0555555555555556</v>
      </c>
      <c r="J427" s="10">
        <f>IFERROR(SUMIFS('Base bordo'!G$2:G$746,'Base bordo'!C$2:C$746,A427,'Base bordo'!B$2:B$746,B427,'Base bordo'!F$2:F$746,"BALANÇA - ENTRADA"),0)+IFERROR(SUMIFS('Base bordo'!G$2:G$746,'Base bordo'!C$2:C$746,A427,'Base bordo'!B$2:B$746,B427,'Base bordo'!F$2:F$746,"BALANÇA - SAÍDA"),0)</f>
        <v>0</v>
      </c>
      <c r="K427" s="10">
        <f>IFERROR(SUMIFS('Base bordo'!G$2:G$746,'Base bordo'!C$2:C$746,A427,'Base bordo'!B$2:B$746,B427,'Base bordo'!F$2:F$746,"MAN PREVENTIVA - MECANICA"),0)+IFERROR(SUMIFS('Base bordo'!G$2:G$746,'Base bordo'!C$2:C$746,A427,'Base bordo'!B$2:B$746,B427,'Base bordo'!F$2:F$746,"MAN CORRETIVA - MECANICA"),0)</f>
        <v>0</v>
      </c>
      <c r="L427" s="10">
        <f>IFERROR(SUMIFS('Base bordo'!G$2:G$746,'Base bordo'!C$2:C$746,A427,'Base bordo'!B$2:B$746,B427,'Base bordo'!F$2:F$746,"MANUTENCAO - T O"),0)+IFERROR(SUMIFS('Base bordo'!G$2:G$746,'Base bordo'!C$2:C$746,A427,'Base bordo'!B$2:B$746,B427,'Base bordo'!F$2:F$746,"MANUTENCAO BORRACHARIA"),0)+IFERROR(SUMIFS('Base bordo'!G$2:G$746,'Base bordo'!C$2:C$746,A427,'Base bordo'!B$2:B$746,B427,'Base bordo'!F$2:F$746,"MANUTENCAO EXTERNA  CONCESSIONARIA"),0)+IFERROR(SUMIFS('Base bordo'!G$2:G$746,'Base bordo'!C$2:C$746,A427,'Base bordo'!B$2:B$746,B427,'Base bordo'!F$2:F$746,"MANUTENCAO TELEMETRIA"),0)</f>
        <v>0</v>
      </c>
      <c r="M427" s="10">
        <f>IFERROR(SUMIFS('Base bordo'!G$2:G$746,'Base bordo'!C$2:C$746,A427,'Base bordo'!B$2:B$746,B427,'Base bordo'!F$2:F$746,"AGUARDANDO MANUTENCAO"),0)</f>
        <v>0</v>
      </c>
      <c r="N427" s="10">
        <f>IFERROR(SUMIFS('Base bordo'!G$2:G$746,'Base bordo'!C$2:C$746,A427,'Base bordo'!B$2:B$746,B427,'Base bordo'!F$2:F$746,"SEM APONTAMENTO"),0)</f>
        <v>0</v>
      </c>
      <c r="O427" s="10">
        <f t="shared" si="48"/>
        <v>5.4444444444444073E-2</v>
      </c>
      <c r="P427" s="10">
        <f>IFERROR(SUMIFS('Base bordo'!G$2:G$746,'Base bordo'!C$2:C$746,A427,'Base bordo'!B$2:B$746,B427),0)</f>
        <v>8.0480555555555551</v>
      </c>
      <c r="Q427" s="10">
        <f>IFERROR(SUMIFS('Base bordo'!H$2:H$746,'Base bordo'!C$2:C$746,A427,'Base bordo'!B$2:B$746,B427,'Base bordo'!F$2:F$746,"DESLOCAMENTO VAZIO"),0)</f>
        <v>341096.53</v>
      </c>
      <c r="R427" s="10">
        <f>IFERROR(SUMIFS('Base bordo'!I$2:I$746,'Base bordo'!C$2:C$746,A427,'Base bordo'!B$2:B$746,B427,'Base bordo'!F$2:F$746,"DESLOCAMENTO VAZIO"),0)</f>
        <v>10485</v>
      </c>
      <c r="S427" s="30">
        <f t="shared" si="49"/>
        <v>32.531857892226995</v>
      </c>
      <c r="T427" s="10">
        <f>IFERROR(SUMIFS('Base bordo'!H$2:H$746,'Base bordo'!C$2:C$746,A427,'Base bordo'!B$2:B$746,B427,'Base bordo'!F$2:F$746,"DESLOCAMENTO CARREGADO"),0)</f>
        <v>344294.46</v>
      </c>
      <c r="U427" s="10">
        <f>IFERROR(SUMIFS('Base bordo'!I$2:I$746,'Base bordo'!C$2:C$746,A427,'Base bordo'!B$2:B$746,B427,'Base bordo'!F$2:F$746,"DESLOCAMENTO CARREGADO"),0)</f>
        <v>14479</v>
      </c>
      <c r="V427" s="30">
        <f t="shared" si="50"/>
        <v>23.778883900821882</v>
      </c>
      <c r="W427" s="9">
        <f t="shared" si="51"/>
        <v>0.36188865495461292</v>
      </c>
      <c r="X427" s="9">
        <f t="shared" si="52"/>
        <v>0.50018983191247035</v>
      </c>
      <c r="Y427" s="9">
        <f t="shared" si="53"/>
        <v>0.13792151313291678</v>
      </c>
    </row>
    <row r="428" spans="1:25" ht="15" customHeight="1" x14ac:dyDescent="0.35">
      <c r="A428" s="52">
        <v>8013478</v>
      </c>
      <c r="B428" s="51">
        <v>46124</v>
      </c>
      <c r="C428" s="7" t="s">
        <v>124</v>
      </c>
      <c r="D428" s="10">
        <f>IFERROR(SUMIFS('Base bordo'!G$2:G$746,'Base bordo'!C$2:C$746,A428,'Base bordo'!B$2:B$746,B428,'Base bordo'!F$2:F$746,"DESLOCAMENTO VAZIO"),0)</f>
        <v>2.069722222222222</v>
      </c>
      <c r="E428" s="10">
        <f>IFERROR(SUMIFS('Base bordo'!G$2:G$746,'Base bordo'!C$2:C$746,A428,'Base bordo'!B$2:B$746,B428,'Base bordo'!F$2:F$746,"DESLOCAMENTO CARREGADO"),0)</f>
        <v>4.5216666666666665</v>
      </c>
      <c r="F428" s="10">
        <f>IFERROR(SUMIFS('Base bordo'!G$2:G$746,'Base bordo'!C$2:C$746,A428,'Base bordo'!B$2:B$746,B428,'Base bordo'!F$2:F$746,"DESLOCAMENTO"),0)</f>
        <v>0</v>
      </c>
      <c r="G428" s="10">
        <f>IFERROR(SUMIFS('Base bordo'!G$2:G$746,'Base bordo'!C$2:C$746,A428,'Base bordo'!B$2:B$746,B428,'Base bordo'!F$2:F$746,"CARREGAMENTO"),0)</f>
        <v>0</v>
      </c>
      <c r="H428" s="10">
        <f>IFERROR(SUMIFS('Base bordo'!G$2:G$746,'Base bordo'!C$2:C$746,A428,'Base bordo'!B$2:B$746,B428,'Base bordo'!F$2:F$746,"AGUARDANDO TRANSBORDO"),0)</f>
        <v>0.42222222222222222</v>
      </c>
      <c r="I428" s="10">
        <f>IFERROR(SUMIFS('Base bordo'!G$2:G$746,'Base bordo'!C$2:C$746,A428,'Base bordo'!B$2:B$746,B428,'Base bordo'!F$2:F$746,"PÁTIO INTERNO"),0)+IFERROR(SUMIFS('Base bordo'!G$2:G$746,'Base bordo'!C$2:C$746,A428,'Base bordo'!B$2:B$746,B428,'Base bordo'!F$2:F$746,"PÁTIO EXTERNO"),0)+IFERROR(SUMIFS('Base bordo'!G$2:G$746,'Base bordo'!C$2:C$746,A428,'Base bordo'!B$2:B$746,B428,'Base bordo'!F$2:F$746,"PATIO - RESERVA"),0)+IFERROR(SUMIFS('Base bordo'!G$2:G$746,'Base bordo'!C$2:C$746,A428,'Base bordo'!B$2:B$746,B428,'Base bordo'!F$2:F$746,"MANOBRA CARRETAS-PATIO"),0)</f>
        <v>2.931111111111111</v>
      </c>
      <c r="J428" s="10">
        <f>IFERROR(SUMIFS('Base bordo'!G$2:G$746,'Base bordo'!C$2:C$746,A428,'Base bordo'!B$2:B$746,B428,'Base bordo'!F$2:F$746,"BALANÇA - ENTRADA"),0)+IFERROR(SUMIFS('Base bordo'!G$2:G$746,'Base bordo'!C$2:C$746,A428,'Base bordo'!B$2:B$746,B428,'Base bordo'!F$2:F$746,"BALANÇA - SAÍDA"),0)</f>
        <v>9.5833333333333326E-2</v>
      </c>
      <c r="K428" s="10">
        <f>IFERROR(SUMIFS('Base bordo'!G$2:G$746,'Base bordo'!C$2:C$746,A428,'Base bordo'!B$2:B$746,B428,'Base bordo'!F$2:F$746,"MAN PREVENTIVA - MECANICA"),0)+IFERROR(SUMIFS('Base bordo'!G$2:G$746,'Base bordo'!C$2:C$746,A428,'Base bordo'!B$2:B$746,B428,'Base bordo'!F$2:F$746,"MAN CORRETIVA - MECANICA"),0)</f>
        <v>0</v>
      </c>
      <c r="L428" s="10">
        <f>IFERROR(SUMIFS('Base bordo'!G$2:G$746,'Base bordo'!C$2:C$746,A428,'Base bordo'!B$2:B$746,B428,'Base bordo'!F$2:F$746,"MANUTENCAO - T O"),0)+IFERROR(SUMIFS('Base bordo'!G$2:G$746,'Base bordo'!C$2:C$746,A428,'Base bordo'!B$2:B$746,B428,'Base bordo'!F$2:F$746,"MANUTENCAO BORRACHARIA"),0)+IFERROR(SUMIFS('Base bordo'!G$2:G$746,'Base bordo'!C$2:C$746,A428,'Base bordo'!B$2:B$746,B428,'Base bordo'!F$2:F$746,"MANUTENCAO EXTERNA  CONCESSIONARIA"),0)+IFERROR(SUMIFS('Base bordo'!G$2:G$746,'Base bordo'!C$2:C$746,A428,'Base bordo'!B$2:B$746,B428,'Base bordo'!F$2:F$746,"MANUTENCAO TELEMETRIA"),0)</f>
        <v>0</v>
      </c>
      <c r="M428" s="10">
        <f>IFERROR(SUMIFS('Base bordo'!G$2:G$746,'Base bordo'!C$2:C$746,A428,'Base bordo'!B$2:B$746,B428,'Base bordo'!F$2:F$746,"AGUARDANDO MANUTENCAO"),0)</f>
        <v>0</v>
      </c>
      <c r="N428" s="10">
        <f>IFERROR(SUMIFS('Base bordo'!G$2:G$746,'Base bordo'!C$2:C$746,A428,'Base bordo'!B$2:B$746,B428,'Base bordo'!F$2:F$746,"SEM APONTAMENTO"),0)</f>
        <v>0</v>
      </c>
      <c r="O428" s="10">
        <f t="shared" si="48"/>
        <v>0</v>
      </c>
      <c r="P428" s="10">
        <f>IFERROR(SUMIFS('Base bordo'!G$2:G$746,'Base bordo'!C$2:C$746,A428,'Base bordo'!B$2:B$746,B428),0)</f>
        <v>10.040555555555555</v>
      </c>
      <c r="Q428" s="10">
        <f>IFERROR(SUMIFS('Base bordo'!H$2:H$746,'Base bordo'!C$2:C$746,A428,'Base bordo'!B$2:B$746,B428,'Base bordo'!F$2:F$746,"DESLOCAMENTO VAZIO"),0)</f>
        <v>230432.85</v>
      </c>
      <c r="R428" s="10">
        <f>IFERROR(SUMIFS('Base bordo'!I$2:I$746,'Base bordo'!C$2:C$746,A428,'Base bordo'!B$2:B$746,B428,'Base bordo'!F$2:F$746,"DESLOCAMENTO VAZIO"),0)</f>
        <v>7451</v>
      </c>
      <c r="S428" s="30">
        <f t="shared" si="49"/>
        <v>30.926432693598176</v>
      </c>
      <c r="T428" s="10">
        <f>IFERROR(SUMIFS('Base bordo'!H$2:H$746,'Base bordo'!C$2:C$746,A428,'Base bordo'!B$2:B$746,B428,'Base bordo'!F$2:F$746,"DESLOCAMENTO CARREGADO"),0)</f>
        <v>396489.03</v>
      </c>
      <c r="U428" s="10">
        <f>IFERROR(SUMIFS('Base bordo'!I$2:I$746,'Base bordo'!C$2:C$746,A428,'Base bordo'!B$2:B$746,B428,'Base bordo'!F$2:F$746,"DESLOCAMENTO CARREGADO"),0)</f>
        <v>16278</v>
      </c>
      <c r="V428" s="30">
        <f t="shared" si="50"/>
        <v>24.357355326207152</v>
      </c>
      <c r="W428" s="9">
        <f t="shared" si="51"/>
        <v>0.2061362253084712</v>
      </c>
      <c r="X428" s="9">
        <f t="shared" si="52"/>
        <v>0.45034028661539316</v>
      </c>
      <c r="Y428" s="9">
        <f t="shared" si="53"/>
        <v>0.34352348807613575</v>
      </c>
    </row>
    <row r="429" spans="1:25" ht="15" customHeight="1" x14ac:dyDescent="0.35">
      <c r="A429" s="52">
        <v>8013462</v>
      </c>
      <c r="B429" s="51">
        <v>46124</v>
      </c>
      <c r="C429" s="7" t="s">
        <v>124</v>
      </c>
      <c r="D429" s="10">
        <f>IFERROR(SUMIFS('Base bordo'!G$2:G$746,'Base bordo'!C$2:C$746,A429,'Base bordo'!B$2:B$746,B429,'Base bordo'!F$2:F$746,"DESLOCAMENTO VAZIO"),0)</f>
        <v>2.6541666666666668</v>
      </c>
      <c r="E429" s="10">
        <f>IFERROR(SUMIFS('Base bordo'!G$2:G$746,'Base bordo'!C$2:C$746,A429,'Base bordo'!B$2:B$746,B429,'Base bordo'!F$2:F$746,"DESLOCAMENTO CARREGADO"),0)</f>
        <v>2.0155555555555558</v>
      </c>
      <c r="F429" s="10">
        <f>IFERROR(SUMIFS('Base bordo'!G$2:G$746,'Base bordo'!C$2:C$746,A429,'Base bordo'!B$2:B$746,B429,'Base bordo'!F$2:F$746,"DESLOCAMENTO"),0)</f>
        <v>0</v>
      </c>
      <c r="G429" s="10">
        <f>IFERROR(SUMIFS('Base bordo'!G$2:G$746,'Base bordo'!C$2:C$746,A429,'Base bordo'!B$2:B$746,B429,'Base bordo'!F$2:F$746,"CARREGAMENTO"),0)</f>
        <v>0</v>
      </c>
      <c r="H429" s="10">
        <f>IFERROR(SUMIFS('Base bordo'!G$2:G$746,'Base bordo'!C$2:C$746,A429,'Base bordo'!B$2:B$746,B429,'Base bordo'!F$2:F$746,"AGUARDANDO TRANSBORDO"),0)</f>
        <v>0.33611111111111114</v>
      </c>
      <c r="I429" s="10">
        <f>IFERROR(SUMIFS('Base bordo'!G$2:G$746,'Base bordo'!C$2:C$746,A429,'Base bordo'!B$2:B$746,B429,'Base bordo'!F$2:F$746,"PÁTIO INTERNO"),0)+IFERROR(SUMIFS('Base bordo'!G$2:G$746,'Base bordo'!C$2:C$746,A429,'Base bordo'!B$2:B$746,B429,'Base bordo'!F$2:F$746,"PÁTIO EXTERNO"),0)+IFERROR(SUMIFS('Base bordo'!G$2:G$746,'Base bordo'!C$2:C$746,A429,'Base bordo'!B$2:B$746,B429,'Base bordo'!F$2:F$746,"PATIO - RESERVA"),0)+IFERROR(SUMIFS('Base bordo'!G$2:G$746,'Base bordo'!C$2:C$746,A429,'Base bordo'!B$2:B$746,B429,'Base bordo'!F$2:F$746,"MANOBRA CARRETAS-PATIO"),0)</f>
        <v>10.451944444444445</v>
      </c>
      <c r="J429" s="10">
        <f>IFERROR(SUMIFS('Base bordo'!G$2:G$746,'Base bordo'!C$2:C$746,A429,'Base bordo'!B$2:B$746,B429,'Base bordo'!F$2:F$746,"BALANÇA - ENTRADA"),0)+IFERROR(SUMIFS('Base bordo'!G$2:G$746,'Base bordo'!C$2:C$746,A429,'Base bordo'!B$2:B$746,B429,'Base bordo'!F$2:F$746,"BALANÇA - SAÍDA"),0)</f>
        <v>0.15138888888888888</v>
      </c>
      <c r="K429" s="10">
        <f>IFERROR(SUMIFS('Base bordo'!G$2:G$746,'Base bordo'!C$2:C$746,A429,'Base bordo'!B$2:B$746,B429,'Base bordo'!F$2:F$746,"MAN PREVENTIVA - MECANICA"),0)+IFERROR(SUMIFS('Base bordo'!G$2:G$746,'Base bordo'!C$2:C$746,A429,'Base bordo'!B$2:B$746,B429,'Base bordo'!F$2:F$746,"MAN CORRETIVA - MECANICA"),0)</f>
        <v>0</v>
      </c>
      <c r="L429" s="10">
        <f>IFERROR(SUMIFS('Base bordo'!G$2:G$746,'Base bordo'!C$2:C$746,A429,'Base bordo'!B$2:B$746,B429,'Base bordo'!F$2:F$746,"MANUTENCAO - T O"),0)+IFERROR(SUMIFS('Base bordo'!G$2:G$746,'Base bordo'!C$2:C$746,A429,'Base bordo'!B$2:B$746,B429,'Base bordo'!F$2:F$746,"MANUTENCAO BORRACHARIA"),0)+IFERROR(SUMIFS('Base bordo'!G$2:G$746,'Base bordo'!C$2:C$746,A429,'Base bordo'!B$2:B$746,B429,'Base bordo'!F$2:F$746,"MANUTENCAO EXTERNA  CONCESSIONARIA"),0)+IFERROR(SUMIFS('Base bordo'!G$2:G$746,'Base bordo'!C$2:C$746,A429,'Base bordo'!B$2:B$746,B429,'Base bordo'!F$2:F$746,"MANUTENCAO TELEMETRIA"),0)</f>
        <v>0</v>
      </c>
      <c r="M429" s="10">
        <f>IFERROR(SUMIFS('Base bordo'!G$2:G$746,'Base bordo'!C$2:C$746,A429,'Base bordo'!B$2:B$746,B429,'Base bordo'!F$2:F$746,"AGUARDANDO MANUTENCAO"),0)</f>
        <v>0</v>
      </c>
      <c r="N429" s="10">
        <f>IFERROR(SUMIFS('Base bordo'!G$2:G$746,'Base bordo'!C$2:C$746,A429,'Base bordo'!B$2:B$746,B429,'Base bordo'!F$2:F$746,"SEM APONTAMENTO"),0)</f>
        <v>0</v>
      </c>
      <c r="O429" s="10">
        <f t="shared" si="48"/>
        <v>0</v>
      </c>
      <c r="P429" s="10">
        <f>IFERROR(SUMIFS('Base bordo'!G$2:G$746,'Base bordo'!C$2:C$746,A429,'Base bordo'!B$2:B$746,B429),0)</f>
        <v>15.609166666666667</v>
      </c>
      <c r="Q429" s="10">
        <f>IFERROR(SUMIFS('Base bordo'!H$2:H$746,'Base bordo'!C$2:C$746,A429,'Base bordo'!B$2:B$746,B429,'Base bordo'!F$2:F$746,"DESLOCAMENTO VAZIO"),0)</f>
        <v>401876.54000000004</v>
      </c>
      <c r="R429" s="10">
        <f>IFERROR(SUMIFS('Base bordo'!I$2:I$746,'Base bordo'!C$2:C$746,A429,'Base bordo'!B$2:B$746,B429,'Base bordo'!F$2:F$746,"DESLOCAMENTO VAZIO"),0)</f>
        <v>9555</v>
      </c>
      <c r="S429" s="30">
        <f t="shared" si="49"/>
        <v>42.05929251700681</v>
      </c>
      <c r="T429" s="10">
        <f>IFERROR(SUMIFS('Base bordo'!H$2:H$746,'Base bordo'!C$2:C$746,A429,'Base bordo'!B$2:B$746,B429,'Base bordo'!F$2:F$746,"DESLOCAMENTO CARREGADO"),0)</f>
        <v>198098.78999999998</v>
      </c>
      <c r="U429" s="10">
        <f>IFERROR(SUMIFS('Base bordo'!I$2:I$746,'Base bordo'!C$2:C$746,A429,'Base bordo'!B$2:B$746,B429,'Base bordo'!F$2:F$746,"DESLOCAMENTO CARREGADO"),0)</f>
        <v>7256</v>
      </c>
      <c r="V429" s="30">
        <f t="shared" si="50"/>
        <v>27.301376791620726</v>
      </c>
      <c r="W429" s="9">
        <f t="shared" si="51"/>
        <v>0.1700389728257968</v>
      </c>
      <c r="X429" s="9">
        <f t="shared" si="52"/>
        <v>0.12912640364458208</v>
      </c>
      <c r="Y429" s="9">
        <f t="shared" si="53"/>
        <v>0.700834623529621</v>
      </c>
    </row>
    <row r="430" spans="1:25" ht="15" customHeight="1" x14ac:dyDescent="0.35">
      <c r="A430" s="52">
        <v>8013483</v>
      </c>
      <c r="B430" s="51">
        <v>46124</v>
      </c>
      <c r="C430" s="7" t="s">
        <v>124</v>
      </c>
      <c r="D430" s="10">
        <f>IFERROR(SUMIFS('Base bordo'!G$2:G$746,'Base bordo'!C$2:C$746,A430,'Base bordo'!B$2:B$746,B430,'Base bordo'!F$2:F$746,"DESLOCAMENTO VAZIO"),0)</f>
        <v>3.0661111111111112</v>
      </c>
      <c r="E430" s="10">
        <f>IFERROR(SUMIFS('Base bordo'!G$2:G$746,'Base bordo'!C$2:C$746,A430,'Base bordo'!B$2:B$746,B430,'Base bordo'!F$2:F$746,"DESLOCAMENTO CARREGADO"),0)</f>
        <v>5.7730555555555556</v>
      </c>
      <c r="F430" s="10">
        <f>IFERROR(SUMIFS('Base bordo'!G$2:G$746,'Base bordo'!C$2:C$746,A430,'Base bordo'!B$2:B$746,B430,'Base bordo'!F$2:F$746,"DESLOCAMENTO"),0)</f>
        <v>0</v>
      </c>
      <c r="G430" s="10">
        <f>IFERROR(SUMIFS('Base bordo'!G$2:G$746,'Base bordo'!C$2:C$746,A430,'Base bordo'!B$2:B$746,B430,'Base bordo'!F$2:F$746,"CARREGAMENTO"),0)</f>
        <v>0</v>
      </c>
      <c r="H430" s="10">
        <f>IFERROR(SUMIFS('Base bordo'!G$2:G$746,'Base bordo'!C$2:C$746,A430,'Base bordo'!B$2:B$746,B430,'Base bordo'!F$2:F$746,"AGUARDANDO TRANSBORDO"),0)</f>
        <v>0.55083333333333329</v>
      </c>
      <c r="I430" s="10">
        <f>IFERROR(SUMIFS('Base bordo'!G$2:G$746,'Base bordo'!C$2:C$746,A430,'Base bordo'!B$2:B$746,B430,'Base bordo'!F$2:F$746,"PÁTIO INTERNO"),0)+IFERROR(SUMIFS('Base bordo'!G$2:G$746,'Base bordo'!C$2:C$746,A430,'Base bordo'!B$2:B$746,B430,'Base bordo'!F$2:F$746,"PÁTIO EXTERNO"),0)+IFERROR(SUMIFS('Base bordo'!G$2:G$746,'Base bordo'!C$2:C$746,A430,'Base bordo'!B$2:B$746,B430,'Base bordo'!F$2:F$746,"PATIO - RESERVA"),0)+IFERROR(SUMIFS('Base bordo'!G$2:G$746,'Base bordo'!C$2:C$746,A430,'Base bordo'!B$2:B$746,B430,'Base bordo'!F$2:F$746,"MANOBRA CARRETAS-PATIO"),0)</f>
        <v>6.1611111111111114</v>
      </c>
      <c r="J430" s="10">
        <f>IFERROR(SUMIFS('Base bordo'!G$2:G$746,'Base bordo'!C$2:C$746,A430,'Base bordo'!B$2:B$746,B430,'Base bordo'!F$2:F$746,"BALANÇA - ENTRADA"),0)+IFERROR(SUMIFS('Base bordo'!G$2:G$746,'Base bordo'!C$2:C$746,A430,'Base bordo'!B$2:B$746,B430,'Base bordo'!F$2:F$746,"BALANÇA - SAÍDA"),0)</f>
        <v>0.17694444444444446</v>
      </c>
      <c r="K430" s="10">
        <f>IFERROR(SUMIFS('Base bordo'!G$2:G$746,'Base bordo'!C$2:C$746,A430,'Base bordo'!B$2:B$746,B430,'Base bordo'!F$2:F$746,"MAN PREVENTIVA - MECANICA"),0)+IFERROR(SUMIFS('Base bordo'!G$2:G$746,'Base bordo'!C$2:C$746,A430,'Base bordo'!B$2:B$746,B430,'Base bordo'!F$2:F$746,"MAN CORRETIVA - MECANICA"),0)</f>
        <v>0</v>
      </c>
      <c r="L430" s="10">
        <f>IFERROR(SUMIFS('Base bordo'!G$2:G$746,'Base bordo'!C$2:C$746,A430,'Base bordo'!B$2:B$746,B430,'Base bordo'!F$2:F$746,"MANUTENCAO - T O"),0)+IFERROR(SUMIFS('Base bordo'!G$2:G$746,'Base bordo'!C$2:C$746,A430,'Base bordo'!B$2:B$746,B430,'Base bordo'!F$2:F$746,"MANUTENCAO BORRACHARIA"),0)+IFERROR(SUMIFS('Base bordo'!G$2:G$746,'Base bordo'!C$2:C$746,A430,'Base bordo'!B$2:B$746,B430,'Base bordo'!F$2:F$746,"MANUTENCAO EXTERNA  CONCESSIONARIA"),0)+IFERROR(SUMIFS('Base bordo'!G$2:G$746,'Base bordo'!C$2:C$746,A430,'Base bordo'!B$2:B$746,B430,'Base bordo'!F$2:F$746,"MANUTENCAO TELEMETRIA"),0)</f>
        <v>0</v>
      </c>
      <c r="M430" s="10">
        <f>IFERROR(SUMIFS('Base bordo'!G$2:G$746,'Base bordo'!C$2:C$746,A430,'Base bordo'!B$2:B$746,B430,'Base bordo'!F$2:F$746,"AGUARDANDO MANUTENCAO"),0)</f>
        <v>0</v>
      </c>
      <c r="N430" s="10">
        <f>IFERROR(SUMIFS('Base bordo'!G$2:G$746,'Base bordo'!C$2:C$746,A430,'Base bordo'!B$2:B$746,B430,'Base bordo'!F$2:F$746,"SEM APONTAMENTO"),0)</f>
        <v>0</v>
      </c>
      <c r="O430" s="10">
        <f t="shared" si="48"/>
        <v>-1.7763568394002505E-15</v>
      </c>
      <c r="P430" s="10">
        <f>IFERROR(SUMIFS('Base bordo'!G$2:G$746,'Base bordo'!C$2:C$746,A430,'Base bordo'!B$2:B$746,B430),0)</f>
        <v>15.728055555555555</v>
      </c>
      <c r="Q430" s="10">
        <f>IFERROR(SUMIFS('Base bordo'!H$2:H$746,'Base bordo'!C$2:C$746,A430,'Base bordo'!B$2:B$746,B430,'Base bordo'!F$2:F$746,"DESLOCAMENTO VAZIO"),0)</f>
        <v>357738.43000000005</v>
      </c>
      <c r="R430" s="10">
        <f>IFERROR(SUMIFS('Base bordo'!I$2:I$746,'Base bordo'!C$2:C$746,A430,'Base bordo'!B$2:B$746,B430,'Base bordo'!F$2:F$746,"DESLOCAMENTO VAZIO"),0)</f>
        <v>11038</v>
      </c>
      <c r="S430" s="30">
        <f t="shared" si="49"/>
        <v>32.409714622214175</v>
      </c>
      <c r="T430" s="10">
        <f>IFERROR(SUMIFS('Base bordo'!H$2:H$746,'Base bordo'!C$2:C$746,A430,'Base bordo'!B$2:B$746,B430,'Base bordo'!F$2:F$746,"DESLOCAMENTO CARREGADO"),0)</f>
        <v>519150.98000000004</v>
      </c>
      <c r="U430" s="10">
        <f>IFERROR(SUMIFS('Base bordo'!I$2:I$746,'Base bordo'!C$2:C$746,A430,'Base bordo'!B$2:B$746,B430,'Base bordo'!F$2:F$746,"DESLOCAMENTO CARREGADO"),0)</f>
        <v>20783</v>
      </c>
      <c r="V430" s="30">
        <f t="shared" si="50"/>
        <v>24.979597748159556</v>
      </c>
      <c r="W430" s="9">
        <f t="shared" si="51"/>
        <v>0.19494533830204344</v>
      </c>
      <c r="X430" s="9">
        <f t="shared" si="52"/>
        <v>0.36705462637537312</v>
      </c>
      <c r="Y430" s="9">
        <f t="shared" si="53"/>
        <v>0.43800003532258347</v>
      </c>
    </row>
    <row r="431" spans="1:25" ht="15" customHeight="1" x14ac:dyDescent="0.35">
      <c r="A431" s="52">
        <v>8013470</v>
      </c>
      <c r="B431" s="51">
        <v>46124</v>
      </c>
      <c r="C431" s="7" t="s">
        <v>124</v>
      </c>
      <c r="D431" s="10">
        <f>IFERROR(SUMIFS('Base bordo'!G$2:G$746,'Base bordo'!C$2:C$746,A431,'Base bordo'!B$2:B$746,B431,'Base bordo'!F$2:F$746,"DESLOCAMENTO VAZIO"),0)</f>
        <v>2.2769444444444447</v>
      </c>
      <c r="E431" s="10">
        <f>IFERROR(SUMIFS('Base bordo'!G$2:G$746,'Base bordo'!C$2:C$746,A431,'Base bordo'!B$2:B$746,B431,'Base bordo'!F$2:F$746,"DESLOCAMENTO CARREGADO"),0)</f>
        <v>6.3111111111111109</v>
      </c>
      <c r="F431" s="10">
        <f>IFERROR(SUMIFS('Base bordo'!G$2:G$746,'Base bordo'!C$2:C$746,A431,'Base bordo'!B$2:B$746,B431,'Base bordo'!F$2:F$746,"DESLOCAMENTO"),0)</f>
        <v>0</v>
      </c>
      <c r="G431" s="10">
        <f>IFERROR(SUMIFS('Base bordo'!G$2:G$746,'Base bordo'!C$2:C$746,A431,'Base bordo'!B$2:B$746,B431,'Base bordo'!F$2:F$746,"CARREGAMENTO"),0)</f>
        <v>0</v>
      </c>
      <c r="H431" s="10">
        <f>IFERROR(SUMIFS('Base bordo'!G$2:G$746,'Base bordo'!C$2:C$746,A431,'Base bordo'!B$2:B$746,B431,'Base bordo'!F$2:F$746,"AGUARDANDO TRANSBORDO"),0)</f>
        <v>0.24416666666666667</v>
      </c>
      <c r="I431" s="10">
        <f>IFERROR(SUMIFS('Base bordo'!G$2:G$746,'Base bordo'!C$2:C$746,A431,'Base bordo'!B$2:B$746,B431,'Base bordo'!F$2:F$746,"PÁTIO INTERNO"),0)+IFERROR(SUMIFS('Base bordo'!G$2:G$746,'Base bordo'!C$2:C$746,A431,'Base bordo'!B$2:B$746,B431,'Base bordo'!F$2:F$746,"PÁTIO EXTERNO"),0)+IFERROR(SUMIFS('Base bordo'!G$2:G$746,'Base bordo'!C$2:C$746,A431,'Base bordo'!B$2:B$746,B431,'Base bordo'!F$2:F$746,"PATIO - RESERVA"),0)+IFERROR(SUMIFS('Base bordo'!G$2:G$746,'Base bordo'!C$2:C$746,A431,'Base bordo'!B$2:B$746,B431,'Base bordo'!F$2:F$746,"MANOBRA CARRETAS-PATIO"),0)</f>
        <v>3.2016666666666667</v>
      </c>
      <c r="J431" s="10">
        <f>IFERROR(SUMIFS('Base bordo'!G$2:G$746,'Base bordo'!C$2:C$746,A431,'Base bordo'!B$2:B$746,B431,'Base bordo'!F$2:F$746,"BALANÇA - ENTRADA"),0)+IFERROR(SUMIFS('Base bordo'!G$2:G$746,'Base bordo'!C$2:C$746,A431,'Base bordo'!B$2:B$746,B431,'Base bordo'!F$2:F$746,"BALANÇA - SAÍDA"),0)</f>
        <v>0.21722222222222221</v>
      </c>
      <c r="K431" s="10">
        <f>IFERROR(SUMIFS('Base bordo'!G$2:G$746,'Base bordo'!C$2:C$746,A431,'Base bordo'!B$2:B$746,B431,'Base bordo'!F$2:F$746,"MAN PREVENTIVA - MECANICA"),0)+IFERROR(SUMIFS('Base bordo'!G$2:G$746,'Base bordo'!C$2:C$746,A431,'Base bordo'!B$2:B$746,B431,'Base bordo'!F$2:F$746,"MAN CORRETIVA - MECANICA"),0)</f>
        <v>0</v>
      </c>
      <c r="L431" s="10">
        <f>IFERROR(SUMIFS('Base bordo'!G$2:G$746,'Base bordo'!C$2:C$746,A431,'Base bordo'!B$2:B$746,B431,'Base bordo'!F$2:F$746,"MANUTENCAO - T O"),0)+IFERROR(SUMIFS('Base bordo'!G$2:G$746,'Base bordo'!C$2:C$746,A431,'Base bordo'!B$2:B$746,B431,'Base bordo'!F$2:F$746,"MANUTENCAO BORRACHARIA"),0)+IFERROR(SUMIFS('Base bordo'!G$2:G$746,'Base bordo'!C$2:C$746,A431,'Base bordo'!B$2:B$746,B431,'Base bordo'!F$2:F$746,"MANUTENCAO EXTERNA  CONCESSIONARIA"),0)+IFERROR(SUMIFS('Base bordo'!G$2:G$746,'Base bordo'!C$2:C$746,A431,'Base bordo'!B$2:B$746,B431,'Base bordo'!F$2:F$746,"MANUTENCAO TELEMETRIA"),0)</f>
        <v>0</v>
      </c>
      <c r="M431" s="10">
        <f>IFERROR(SUMIFS('Base bordo'!G$2:G$746,'Base bordo'!C$2:C$746,A431,'Base bordo'!B$2:B$746,B431,'Base bordo'!F$2:F$746,"AGUARDANDO MANUTENCAO"),0)</f>
        <v>0</v>
      </c>
      <c r="N431" s="10">
        <f>IFERROR(SUMIFS('Base bordo'!G$2:G$746,'Base bordo'!C$2:C$746,A431,'Base bordo'!B$2:B$746,B431,'Base bordo'!F$2:F$746,"SEM APONTAMENTO"),0)</f>
        <v>0</v>
      </c>
      <c r="O431" s="10">
        <f t="shared" si="48"/>
        <v>6.3333333333332575E-2</v>
      </c>
      <c r="P431" s="10">
        <f>IFERROR(SUMIFS('Base bordo'!G$2:G$746,'Base bordo'!C$2:C$746,A431,'Base bordo'!B$2:B$746,B431),0)</f>
        <v>12.314444444444444</v>
      </c>
      <c r="Q431" s="10">
        <f>IFERROR(SUMIFS('Base bordo'!H$2:H$746,'Base bordo'!C$2:C$746,A431,'Base bordo'!B$2:B$746,B431,'Base bordo'!F$2:F$746,"DESLOCAMENTO VAZIO"),0)</f>
        <v>282969.98000000004</v>
      </c>
      <c r="R431" s="10">
        <f>IFERROR(SUMIFS('Base bordo'!I$2:I$746,'Base bordo'!C$2:C$746,A431,'Base bordo'!B$2:B$746,B431,'Base bordo'!F$2:F$746,"DESLOCAMENTO VAZIO"),0)</f>
        <v>8186</v>
      </c>
      <c r="S431" s="30">
        <f t="shared" si="49"/>
        <v>34.567551917908631</v>
      </c>
      <c r="T431" s="10">
        <f>IFERROR(SUMIFS('Base bordo'!H$2:H$746,'Base bordo'!C$2:C$746,A431,'Base bordo'!B$2:B$746,B431,'Base bordo'!F$2:F$746,"DESLOCAMENTO CARREGADO"),0)</f>
        <v>649243.22</v>
      </c>
      <c r="U431" s="10">
        <f>IFERROR(SUMIFS('Base bordo'!I$2:I$746,'Base bordo'!C$2:C$746,A431,'Base bordo'!B$2:B$746,B431,'Base bordo'!F$2:F$746,"DESLOCAMENTO CARREGADO"),0)</f>
        <v>22720</v>
      </c>
      <c r="V431" s="30">
        <f t="shared" si="50"/>
        <v>28.575845950704224</v>
      </c>
      <c r="W431" s="9">
        <f t="shared" si="51"/>
        <v>0.18490029775331593</v>
      </c>
      <c r="X431" s="9">
        <f t="shared" si="52"/>
        <v>0.51249661643959221</v>
      </c>
      <c r="Y431" s="9">
        <f t="shared" si="53"/>
        <v>0.30260308580709183</v>
      </c>
    </row>
    <row r="432" spans="1:25" ht="15" customHeight="1" x14ac:dyDescent="0.35">
      <c r="A432" s="52">
        <v>8013475</v>
      </c>
      <c r="B432" s="51">
        <v>46124</v>
      </c>
      <c r="C432" s="7" t="s">
        <v>124</v>
      </c>
      <c r="D432" s="10">
        <f>IFERROR(SUMIFS('Base bordo'!G$2:G$746,'Base bordo'!C$2:C$746,A432,'Base bordo'!B$2:B$746,B432,'Base bordo'!F$2:F$746,"DESLOCAMENTO VAZIO"),0)</f>
        <v>0.7005555555555556</v>
      </c>
      <c r="E432" s="10">
        <f>IFERROR(SUMIFS('Base bordo'!G$2:G$746,'Base bordo'!C$2:C$746,A432,'Base bordo'!B$2:B$746,B432,'Base bordo'!F$2:F$746,"DESLOCAMENTO CARREGADO"),0)</f>
        <v>0.60333333333333339</v>
      </c>
      <c r="F432" s="10">
        <f>IFERROR(SUMIFS('Base bordo'!G$2:G$746,'Base bordo'!C$2:C$746,A432,'Base bordo'!B$2:B$746,B432,'Base bordo'!F$2:F$746,"DESLOCAMENTO"),0)</f>
        <v>0</v>
      </c>
      <c r="G432" s="10">
        <f>IFERROR(SUMIFS('Base bordo'!G$2:G$746,'Base bordo'!C$2:C$746,A432,'Base bordo'!B$2:B$746,B432,'Base bordo'!F$2:F$746,"CARREGAMENTO"),0)</f>
        <v>0</v>
      </c>
      <c r="H432" s="10">
        <f>IFERROR(SUMIFS('Base bordo'!G$2:G$746,'Base bordo'!C$2:C$746,A432,'Base bordo'!B$2:B$746,B432,'Base bordo'!F$2:F$746,"AGUARDANDO TRANSBORDO"),0)</f>
        <v>0.57722222222222219</v>
      </c>
      <c r="I432" s="10">
        <f>IFERROR(SUMIFS('Base bordo'!G$2:G$746,'Base bordo'!C$2:C$746,A432,'Base bordo'!B$2:B$746,B432,'Base bordo'!F$2:F$746,"PÁTIO INTERNO"),0)+IFERROR(SUMIFS('Base bordo'!G$2:G$746,'Base bordo'!C$2:C$746,A432,'Base bordo'!B$2:B$746,B432,'Base bordo'!F$2:F$746,"PÁTIO EXTERNO"),0)+IFERROR(SUMIFS('Base bordo'!G$2:G$746,'Base bordo'!C$2:C$746,A432,'Base bordo'!B$2:B$746,B432,'Base bordo'!F$2:F$746,"PATIO - RESERVA"),0)+IFERROR(SUMIFS('Base bordo'!G$2:G$746,'Base bordo'!C$2:C$746,A432,'Base bordo'!B$2:B$746,B432,'Base bordo'!F$2:F$746,"MANOBRA CARRETAS-PATIO"),0)</f>
        <v>5.7852777777777771</v>
      </c>
      <c r="J432" s="10">
        <f>IFERROR(SUMIFS('Base bordo'!G$2:G$746,'Base bordo'!C$2:C$746,A432,'Base bordo'!B$2:B$746,B432,'Base bordo'!F$2:F$746,"BALANÇA - ENTRADA"),0)+IFERROR(SUMIFS('Base bordo'!G$2:G$746,'Base bordo'!C$2:C$746,A432,'Base bordo'!B$2:B$746,B432,'Base bordo'!F$2:F$746,"BALANÇA - SAÍDA"),0)</f>
        <v>7.8611111111111104E-2</v>
      </c>
      <c r="K432" s="10">
        <f>IFERROR(SUMIFS('Base bordo'!G$2:G$746,'Base bordo'!C$2:C$746,A432,'Base bordo'!B$2:B$746,B432,'Base bordo'!F$2:F$746,"MAN PREVENTIVA - MECANICA"),0)+IFERROR(SUMIFS('Base bordo'!G$2:G$746,'Base bordo'!C$2:C$746,A432,'Base bordo'!B$2:B$746,B432,'Base bordo'!F$2:F$746,"MAN CORRETIVA - MECANICA"),0)</f>
        <v>0</v>
      </c>
      <c r="L432" s="10">
        <f>IFERROR(SUMIFS('Base bordo'!G$2:G$746,'Base bordo'!C$2:C$746,A432,'Base bordo'!B$2:B$746,B432,'Base bordo'!F$2:F$746,"MANUTENCAO - T O"),0)+IFERROR(SUMIFS('Base bordo'!G$2:G$746,'Base bordo'!C$2:C$746,A432,'Base bordo'!B$2:B$746,B432,'Base bordo'!F$2:F$746,"MANUTENCAO BORRACHARIA"),0)+IFERROR(SUMIFS('Base bordo'!G$2:G$746,'Base bordo'!C$2:C$746,A432,'Base bordo'!B$2:B$746,B432,'Base bordo'!F$2:F$746,"MANUTENCAO EXTERNA  CONCESSIONARIA"),0)+IFERROR(SUMIFS('Base bordo'!G$2:G$746,'Base bordo'!C$2:C$746,A432,'Base bordo'!B$2:B$746,B432,'Base bordo'!F$2:F$746,"MANUTENCAO TELEMETRIA"),0)</f>
        <v>0</v>
      </c>
      <c r="M432" s="10">
        <f>IFERROR(SUMIFS('Base bordo'!G$2:G$746,'Base bordo'!C$2:C$746,A432,'Base bordo'!B$2:B$746,B432,'Base bordo'!F$2:F$746,"AGUARDANDO MANUTENCAO"),0)</f>
        <v>0</v>
      </c>
      <c r="N432" s="10">
        <f>IFERROR(SUMIFS('Base bordo'!G$2:G$746,'Base bordo'!C$2:C$746,A432,'Base bordo'!B$2:B$746,B432,'Base bordo'!F$2:F$746,"SEM APONTAMENTO"),0)</f>
        <v>0</v>
      </c>
      <c r="O432" s="10">
        <f t="shared" si="48"/>
        <v>-8.8817841970012523E-16</v>
      </c>
      <c r="P432" s="10">
        <f>IFERROR(SUMIFS('Base bordo'!G$2:G$746,'Base bordo'!C$2:C$746,A432,'Base bordo'!B$2:B$746,B432),0)</f>
        <v>7.7449999999999983</v>
      </c>
      <c r="Q432" s="10">
        <f>IFERROR(SUMIFS('Base bordo'!H$2:H$746,'Base bordo'!C$2:C$746,A432,'Base bordo'!B$2:B$746,B432,'Base bordo'!F$2:F$746,"DESLOCAMENTO VAZIO"),0)</f>
        <v>56346.78</v>
      </c>
      <c r="R432" s="10">
        <f>IFERROR(SUMIFS('Base bordo'!I$2:I$746,'Base bordo'!C$2:C$746,A432,'Base bordo'!B$2:B$746,B432,'Base bordo'!F$2:F$746,"DESLOCAMENTO VAZIO"),0)</f>
        <v>2522</v>
      </c>
      <c r="S432" s="30">
        <f t="shared" si="49"/>
        <v>22.342101506740683</v>
      </c>
      <c r="T432" s="10">
        <f>IFERROR(SUMIFS('Base bordo'!H$2:H$746,'Base bordo'!C$2:C$746,A432,'Base bordo'!B$2:B$746,B432,'Base bordo'!F$2:F$746,"DESLOCAMENTO CARREGADO"),0)</f>
        <v>41086.33</v>
      </c>
      <c r="U432" s="10">
        <f>IFERROR(SUMIFS('Base bordo'!I$2:I$746,'Base bordo'!C$2:C$746,A432,'Base bordo'!B$2:B$746,B432,'Base bordo'!F$2:F$746,"DESLOCAMENTO CARREGADO"),0)</f>
        <v>2172</v>
      </c>
      <c r="V432" s="30">
        <f t="shared" si="50"/>
        <v>18.916358195211789</v>
      </c>
      <c r="W432" s="9">
        <f t="shared" si="51"/>
        <v>9.0452621763144711E-2</v>
      </c>
      <c r="X432" s="9">
        <f t="shared" si="52"/>
        <v>7.7899720249623439E-2</v>
      </c>
      <c r="Y432" s="9">
        <f t="shared" si="53"/>
        <v>0.83164765798723184</v>
      </c>
    </row>
    <row r="433" spans="1:25" ht="15" customHeight="1" x14ac:dyDescent="0.35">
      <c r="A433" s="52">
        <v>8013484</v>
      </c>
      <c r="B433" s="51">
        <v>46124</v>
      </c>
      <c r="C433" s="7" t="s">
        <v>124</v>
      </c>
      <c r="D433" s="10">
        <f>IFERROR(SUMIFS('Base bordo'!G$2:G$746,'Base bordo'!C$2:C$746,A433,'Base bordo'!B$2:B$746,B433,'Base bordo'!F$2:F$746,"DESLOCAMENTO VAZIO"),0)</f>
        <v>2.078611111111111</v>
      </c>
      <c r="E433" s="10">
        <f>IFERROR(SUMIFS('Base bordo'!G$2:G$746,'Base bordo'!C$2:C$746,A433,'Base bordo'!B$2:B$746,B433,'Base bordo'!F$2:F$746,"DESLOCAMENTO CARREGADO"),0)</f>
        <v>2.0197222222222222</v>
      </c>
      <c r="F433" s="10">
        <f>IFERROR(SUMIFS('Base bordo'!G$2:G$746,'Base bordo'!C$2:C$746,A433,'Base bordo'!B$2:B$746,B433,'Base bordo'!F$2:F$746,"DESLOCAMENTO"),0)</f>
        <v>0.28999999999999998</v>
      </c>
      <c r="G433" s="10">
        <f>IFERROR(SUMIFS('Base bordo'!G$2:G$746,'Base bordo'!C$2:C$746,A433,'Base bordo'!B$2:B$746,B433,'Base bordo'!F$2:F$746,"CARREGAMENTO"),0)</f>
        <v>0</v>
      </c>
      <c r="H433" s="10">
        <f>IFERROR(SUMIFS('Base bordo'!G$2:G$746,'Base bordo'!C$2:C$746,A433,'Base bordo'!B$2:B$746,B433,'Base bordo'!F$2:F$746,"AGUARDANDO TRANSBORDO"),0)</f>
        <v>0.16944444444444445</v>
      </c>
      <c r="I433" s="10">
        <f>IFERROR(SUMIFS('Base bordo'!G$2:G$746,'Base bordo'!C$2:C$746,A433,'Base bordo'!B$2:B$746,B433,'Base bordo'!F$2:F$746,"PÁTIO INTERNO"),0)+IFERROR(SUMIFS('Base bordo'!G$2:G$746,'Base bordo'!C$2:C$746,A433,'Base bordo'!B$2:B$746,B433,'Base bordo'!F$2:F$746,"PÁTIO EXTERNO"),0)+IFERROR(SUMIFS('Base bordo'!G$2:G$746,'Base bordo'!C$2:C$746,A433,'Base bordo'!B$2:B$746,B433,'Base bordo'!F$2:F$746,"PATIO - RESERVA"),0)+IFERROR(SUMIFS('Base bordo'!G$2:G$746,'Base bordo'!C$2:C$746,A433,'Base bordo'!B$2:B$746,B433,'Base bordo'!F$2:F$746,"MANOBRA CARRETAS-PATIO"),0)</f>
        <v>10.112499999999999</v>
      </c>
      <c r="J433" s="10">
        <f>IFERROR(SUMIFS('Base bordo'!G$2:G$746,'Base bordo'!C$2:C$746,A433,'Base bordo'!B$2:B$746,B433,'Base bordo'!F$2:F$746,"BALANÇA - ENTRADA"),0)+IFERROR(SUMIFS('Base bordo'!G$2:G$746,'Base bordo'!C$2:C$746,A433,'Base bordo'!B$2:B$746,B433,'Base bordo'!F$2:F$746,"BALANÇA - SAÍDA"),0)</f>
        <v>0.13666666666666666</v>
      </c>
      <c r="K433" s="10">
        <f>IFERROR(SUMIFS('Base bordo'!G$2:G$746,'Base bordo'!C$2:C$746,A433,'Base bordo'!B$2:B$746,B433,'Base bordo'!F$2:F$746,"MAN PREVENTIVA - MECANICA"),0)+IFERROR(SUMIFS('Base bordo'!G$2:G$746,'Base bordo'!C$2:C$746,A433,'Base bordo'!B$2:B$746,B433,'Base bordo'!F$2:F$746,"MAN CORRETIVA - MECANICA"),0)</f>
        <v>0</v>
      </c>
      <c r="L433" s="10">
        <f>IFERROR(SUMIFS('Base bordo'!G$2:G$746,'Base bordo'!C$2:C$746,A433,'Base bordo'!B$2:B$746,B433,'Base bordo'!F$2:F$746,"MANUTENCAO - T O"),0)+IFERROR(SUMIFS('Base bordo'!G$2:G$746,'Base bordo'!C$2:C$746,A433,'Base bordo'!B$2:B$746,B433,'Base bordo'!F$2:F$746,"MANUTENCAO BORRACHARIA"),0)+IFERROR(SUMIFS('Base bordo'!G$2:G$746,'Base bordo'!C$2:C$746,A433,'Base bordo'!B$2:B$746,B433,'Base bordo'!F$2:F$746,"MANUTENCAO EXTERNA  CONCESSIONARIA"),0)+IFERROR(SUMIFS('Base bordo'!G$2:G$746,'Base bordo'!C$2:C$746,A433,'Base bordo'!B$2:B$746,B433,'Base bordo'!F$2:F$746,"MANUTENCAO TELEMETRIA"),0)</f>
        <v>0.28944444444444445</v>
      </c>
      <c r="M433" s="10">
        <f>IFERROR(SUMIFS('Base bordo'!G$2:G$746,'Base bordo'!C$2:C$746,A433,'Base bordo'!B$2:B$746,B433,'Base bordo'!F$2:F$746,"AGUARDANDO MANUTENCAO"),0)</f>
        <v>0</v>
      </c>
      <c r="N433" s="10">
        <f>IFERROR(SUMIFS('Base bordo'!G$2:G$746,'Base bordo'!C$2:C$746,A433,'Base bordo'!B$2:B$746,B433,'Base bordo'!F$2:F$746,"SEM APONTAMENTO"),0)</f>
        <v>0</v>
      </c>
      <c r="O433" s="10">
        <f t="shared" si="48"/>
        <v>0</v>
      </c>
      <c r="P433" s="10">
        <f>IFERROR(SUMIFS('Base bordo'!G$2:G$746,'Base bordo'!C$2:C$746,A433,'Base bordo'!B$2:B$746,B433),0)</f>
        <v>15.096388888888889</v>
      </c>
      <c r="Q433" s="10">
        <f>IFERROR(SUMIFS('Base bordo'!H$2:H$746,'Base bordo'!C$2:C$746,A433,'Base bordo'!B$2:B$746,B433,'Base bordo'!F$2:F$746,"DESLOCAMENTO VAZIO"),0)</f>
        <v>217205.70999999996</v>
      </c>
      <c r="R433" s="10">
        <f>IFERROR(SUMIFS('Base bordo'!I$2:I$746,'Base bordo'!C$2:C$746,A433,'Base bordo'!B$2:B$746,B433,'Base bordo'!F$2:F$746,"DESLOCAMENTO VAZIO"),0)</f>
        <v>7483</v>
      </c>
      <c r="S433" s="30">
        <f t="shared" si="49"/>
        <v>29.026554857677397</v>
      </c>
      <c r="T433" s="10">
        <f>IFERROR(SUMIFS('Base bordo'!H$2:H$746,'Base bordo'!C$2:C$746,A433,'Base bordo'!B$2:B$746,B433,'Base bordo'!F$2:F$746,"DESLOCAMENTO CARREGADO"),0)</f>
        <v>176129.33000000002</v>
      </c>
      <c r="U433" s="10">
        <f>IFERROR(SUMIFS('Base bordo'!I$2:I$746,'Base bordo'!C$2:C$746,A433,'Base bordo'!B$2:B$746,B433,'Base bordo'!F$2:F$746,"DESLOCAMENTO CARREGADO"),0)</f>
        <v>7271</v>
      </c>
      <c r="V433" s="30">
        <f t="shared" si="50"/>
        <v>24.22353596479164</v>
      </c>
      <c r="W433" s="9">
        <f t="shared" si="51"/>
        <v>0.13768929287725173</v>
      </c>
      <c r="X433" s="9">
        <f t="shared" si="52"/>
        <v>0.13378843358419049</v>
      </c>
      <c r="Y433" s="9">
        <f t="shared" si="53"/>
        <v>0.72852227353855781</v>
      </c>
    </row>
    <row r="434" spans="1:25" ht="15" customHeight="1" x14ac:dyDescent="0.35">
      <c r="A434" s="52">
        <v>8013485</v>
      </c>
      <c r="B434" s="51">
        <v>46118</v>
      </c>
      <c r="C434" s="7" t="s">
        <v>124</v>
      </c>
      <c r="D434" s="10">
        <f>IFERROR(SUMIFS('Base bordo'!G$2:G$746,'Base bordo'!C$2:C$746,A434,'Base bordo'!B$2:B$746,B434,'Base bordo'!F$2:F$746,"DESLOCAMENTO VAZIO"),0)</f>
        <v>0.89111111111111108</v>
      </c>
      <c r="E434" s="10">
        <f>IFERROR(SUMIFS('Base bordo'!G$2:G$746,'Base bordo'!C$2:C$746,A434,'Base bordo'!B$2:B$746,B434,'Base bordo'!F$2:F$746,"DESLOCAMENTO CARREGADO"),0)</f>
        <v>0.77444444444444449</v>
      </c>
      <c r="F434" s="10">
        <f>IFERROR(SUMIFS('Base bordo'!G$2:G$746,'Base bordo'!C$2:C$746,A434,'Base bordo'!B$2:B$746,B434,'Base bordo'!F$2:F$746,"DESLOCAMENTO"),0)</f>
        <v>1.0216666666666667</v>
      </c>
      <c r="G434" s="10">
        <f>IFERROR(SUMIFS('Base bordo'!G$2:G$746,'Base bordo'!C$2:C$746,A434,'Base bordo'!B$2:B$746,B434,'Base bordo'!F$2:F$746,"CARREGAMENTO"),0)</f>
        <v>0</v>
      </c>
      <c r="H434" s="10">
        <f>IFERROR(SUMIFS('Base bordo'!G$2:G$746,'Base bordo'!C$2:C$746,A434,'Base bordo'!B$2:B$746,B434,'Base bordo'!F$2:F$746,"AGUARDANDO TRANSBORDO"),0)</f>
        <v>0.33083333333333331</v>
      </c>
      <c r="I434" s="10">
        <f>IFERROR(SUMIFS('Base bordo'!G$2:G$746,'Base bordo'!C$2:C$746,A434,'Base bordo'!B$2:B$746,B434,'Base bordo'!F$2:F$746,"PÁTIO INTERNO"),0)+IFERROR(SUMIFS('Base bordo'!G$2:G$746,'Base bordo'!C$2:C$746,A434,'Base bordo'!B$2:B$746,B434,'Base bordo'!F$2:F$746,"PÁTIO EXTERNO"),0)+IFERROR(SUMIFS('Base bordo'!G$2:G$746,'Base bordo'!C$2:C$746,A434,'Base bordo'!B$2:B$746,B434,'Base bordo'!F$2:F$746,"PATIO - RESERVA"),0)+IFERROR(SUMIFS('Base bordo'!G$2:G$746,'Base bordo'!C$2:C$746,A434,'Base bordo'!B$2:B$746,B434,'Base bordo'!F$2:F$746,"MANOBRA CARRETAS-PATIO"),0)</f>
        <v>10.650555555555554</v>
      </c>
      <c r="J434" s="10">
        <f>IFERROR(SUMIFS('Base bordo'!G$2:G$746,'Base bordo'!C$2:C$746,A434,'Base bordo'!B$2:B$746,B434,'Base bordo'!F$2:F$746,"BALANÇA - ENTRADA"),0)+IFERROR(SUMIFS('Base bordo'!G$2:G$746,'Base bordo'!C$2:C$746,A434,'Base bordo'!B$2:B$746,B434,'Base bordo'!F$2:F$746,"BALANÇA - SAÍDA"),0)</f>
        <v>3.6388888888888887E-2</v>
      </c>
      <c r="K434" s="10">
        <f>IFERROR(SUMIFS('Base bordo'!G$2:G$746,'Base bordo'!C$2:C$746,A434,'Base bordo'!B$2:B$746,B434,'Base bordo'!F$2:F$746,"MAN PREVENTIVA - MECANICA"),0)+IFERROR(SUMIFS('Base bordo'!G$2:G$746,'Base bordo'!C$2:C$746,A434,'Base bordo'!B$2:B$746,B434,'Base bordo'!F$2:F$746,"MAN CORRETIVA - MECANICA"),0)</f>
        <v>0</v>
      </c>
      <c r="L434" s="10">
        <f>IFERROR(SUMIFS('Base bordo'!G$2:G$746,'Base bordo'!C$2:C$746,A434,'Base bordo'!B$2:B$746,B434,'Base bordo'!F$2:F$746,"MANUTENCAO - T O"),0)+IFERROR(SUMIFS('Base bordo'!G$2:G$746,'Base bordo'!C$2:C$746,A434,'Base bordo'!B$2:B$746,B434,'Base bordo'!F$2:F$746,"MANUTENCAO BORRACHARIA"),0)+IFERROR(SUMIFS('Base bordo'!G$2:G$746,'Base bordo'!C$2:C$746,A434,'Base bordo'!B$2:B$746,B434,'Base bordo'!F$2:F$746,"MANUTENCAO EXTERNA  CONCESSIONARIA"),0)+IFERROR(SUMIFS('Base bordo'!G$2:G$746,'Base bordo'!C$2:C$746,A434,'Base bordo'!B$2:B$746,B434,'Base bordo'!F$2:F$746,"MANUTENCAO TELEMETRIA"),0)</f>
        <v>0</v>
      </c>
      <c r="M434" s="10">
        <f>IFERROR(SUMIFS('Base bordo'!G$2:G$746,'Base bordo'!C$2:C$746,A434,'Base bordo'!B$2:B$746,B434,'Base bordo'!F$2:F$746,"AGUARDANDO MANUTENCAO"),0)</f>
        <v>0</v>
      </c>
      <c r="N434" s="10">
        <f>IFERROR(SUMIFS('Base bordo'!G$2:G$746,'Base bordo'!C$2:C$746,A434,'Base bordo'!B$2:B$746,B434,'Base bordo'!F$2:F$746,"SEM APONTAMENTO"),0)</f>
        <v>0</v>
      </c>
      <c r="O434" s="10">
        <f t="shared" si="48"/>
        <v>-1.7763568394002505E-15</v>
      </c>
      <c r="P434" s="10">
        <f>IFERROR(SUMIFS('Base bordo'!G$2:G$746,'Base bordo'!C$2:C$746,A434,'Base bordo'!B$2:B$746,B434),0)</f>
        <v>13.704999999999997</v>
      </c>
      <c r="Q434" s="10">
        <f>IFERROR(SUMIFS('Base bordo'!H$2:H$746,'Base bordo'!C$2:C$746,A434,'Base bordo'!B$2:B$746,B434,'Base bordo'!F$2:F$746,"DESLOCAMENTO VAZIO"),0)</f>
        <v>68224.05</v>
      </c>
      <c r="R434" s="10">
        <f>IFERROR(SUMIFS('Base bordo'!I$2:I$746,'Base bordo'!C$2:C$746,A434,'Base bordo'!B$2:B$746,B434,'Base bordo'!F$2:F$746,"DESLOCAMENTO VAZIO"),0)</f>
        <v>3208</v>
      </c>
      <c r="S434" s="30">
        <f t="shared" si="49"/>
        <v>21.266848503740651</v>
      </c>
      <c r="T434" s="10">
        <f>IFERROR(SUMIFS('Base bordo'!H$2:H$746,'Base bordo'!C$2:C$746,A434,'Base bordo'!B$2:B$746,B434,'Base bordo'!F$2:F$746,"DESLOCAMENTO CARREGADO"),0)</f>
        <v>68053.69</v>
      </c>
      <c r="U434" s="10">
        <f>IFERROR(SUMIFS('Base bordo'!I$2:I$746,'Base bordo'!C$2:C$746,A434,'Base bordo'!B$2:B$746,B434,'Base bordo'!F$2:F$746,"DESLOCAMENTO CARREGADO"),0)</f>
        <v>2788</v>
      </c>
      <c r="V434" s="30">
        <f t="shared" si="50"/>
        <v>24.40950143472023</v>
      </c>
      <c r="W434" s="9">
        <f t="shared" si="51"/>
        <v>6.5020876403583464E-2</v>
      </c>
      <c r="X434" s="9">
        <f t="shared" si="52"/>
        <v>5.6508168146256456E-2</v>
      </c>
      <c r="Y434" s="9">
        <f t="shared" si="53"/>
        <v>0.87847095545016007</v>
      </c>
    </row>
    <row r="435" spans="1:25" ht="15" customHeight="1" x14ac:dyDescent="0.35">
      <c r="A435" s="52">
        <v>8013460</v>
      </c>
      <c r="B435" s="51">
        <v>46116</v>
      </c>
      <c r="C435" s="7" t="s">
        <v>124</v>
      </c>
      <c r="D435" s="10">
        <f>IFERROR(SUMIFS('Base bordo'!G$2:G$746,'Base bordo'!C$2:C$746,A435,'Base bordo'!B$2:B$746,B435,'Base bordo'!F$2:F$746,"DESLOCAMENTO VAZIO"),0)</f>
        <v>2.9722222222222223E-2</v>
      </c>
      <c r="E435" s="10">
        <f>IFERROR(SUMIFS('Base bordo'!G$2:G$746,'Base bordo'!C$2:C$746,A435,'Base bordo'!B$2:B$746,B435,'Base bordo'!F$2:F$746,"DESLOCAMENTO CARREGADO"),0)</f>
        <v>0</v>
      </c>
      <c r="F435" s="10">
        <f>IFERROR(SUMIFS('Base bordo'!G$2:G$746,'Base bordo'!C$2:C$746,A435,'Base bordo'!B$2:B$746,B435,'Base bordo'!F$2:F$746,"DESLOCAMENTO"),0)</f>
        <v>0</v>
      </c>
      <c r="G435" s="10">
        <f>IFERROR(SUMIFS('Base bordo'!G$2:G$746,'Base bordo'!C$2:C$746,A435,'Base bordo'!B$2:B$746,B435,'Base bordo'!F$2:F$746,"CARREGAMENTO"),0)</f>
        <v>0</v>
      </c>
      <c r="H435" s="10">
        <f>IFERROR(SUMIFS('Base bordo'!G$2:G$746,'Base bordo'!C$2:C$746,A435,'Base bordo'!B$2:B$746,B435,'Base bordo'!F$2:F$746,"AGUARDANDO TRANSBORDO"),0)</f>
        <v>0</v>
      </c>
      <c r="I435" s="10">
        <f>IFERROR(SUMIFS('Base bordo'!G$2:G$746,'Base bordo'!C$2:C$746,A435,'Base bordo'!B$2:B$746,B435,'Base bordo'!F$2:F$746,"PÁTIO INTERNO"),0)+IFERROR(SUMIFS('Base bordo'!G$2:G$746,'Base bordo'!C$2:C$746,A435,'Base bordo'!B$2:B$746,B435,'Base bordo'!F$2:F$746,"PÁTIO EXTERNO"),0)+IFERROR(SUMIFS('Base bordo'!G$2:G$746,'Base bordo'!C$2:C$746,A435,'Base bordo'!B$2:B$746,B435,'Base bordo'!F$2:F$746,"PATIO - RESERVA"),0)+IFERROR(SUMIFS('Base bordo'!G$2:G$746,'Base bordo'!C$2:C$746,A435,'Base bordo'!B$2:B$746,B435,'Base bordo'!F$2:F$746,"MANOBRA CARRETAS-PATIO"),0)</f>
        <v>0</v>
      </c>
      <c r="J435" s="10">
        <f>IFERROR(SUMIFS('Base bordo'!G$2:G$746,'Base bordo'!C$2:C$746,A435,'Base bordo'!B$2:B$746,B435,'Base bordo'!F$2:F$746,"BALANÇA - ENTRADA"),0)+IFERROR(SUMIFS('Base bordo'!G$2:G$746,'Base bordo'!C$2:C$746,A435,'Base bordo'!B$2:B$746,B435,'Base bordo'!F$2:F$746,"BALANÇA - SAÍDA"),0)</f>
        <v>0</v>
      </c>
      <c r="K435" s="10">
        <f>IFERROR(SUMIFS('Base bordo'!G$2:G$746,'Base bordo'!C$2:C$746,A435,'Base bordo'!B$2:B$746,B435,'Base bordo'!F$2:F$746,"MAN PREVENTIVA - MECANICA"),0)+IFERROR(SUMIFS('Base bordo'!G$2:G$746,'Base bordo'!C$2:C$746,A435,'Base bordo'!B$2:B$746,B435,'Base bordo'!F$2:F$746,"MAN CORRETIVA - MECANICA"),0)</f>
        <v>0</v>
      </c>
      <c r="L435" s="10">
        <f>IFERROR(SUMIFS('Base bordo'!G$2:G$746,'Base bordo'!C$2:C$746,A435,'Base bordo'!B$2:B$746,B435,'Base bordo'!F$2:F$746,"MANUTENCAO - T O"),0)+IFERROR(SUMIFS('Base bordo'!G$2:G$746,'Base bordo'!C$2:C$746,A435,'Base bordo'!B$2:B$746,B435,'Base bordo'!F$2:F$746,"MANUTENCAO BORRACHARIA"),0)+IFERROR(SUMIFS('Base bordo'!G$2:G$746,'Base bordo'!C$2:C$746,A435,'Base bordo'!B$2:B$746,B435,'Base bordo'!F$2:F$746,"MANUTENCAO EXTERNA  CONCESSIONARIA"),0)+IFERROR(SUMIFS('Base bordo'!G$2:G$746,'Base bordo'!C$2:C$746,A435,'Base bordo'!B$2:B$746,B435,'Base bordo'!F$2:F$746,"MANUTENCAO TELEMETRIA"),0)</f>
        <v>4.5788888888888888</v>
      </c>
      <c r="M435" s="10">
        <f>IFERROR(SUMIFS('Base bordo'!G$2:G$746,'Base bordo'!C$2:C$746,A435,'Base bordo'!B$2:B$746,B435,'Base bordo'!F$2:F$746,"AGUARDANDO MANUTENCAO"),0)</f>
        <v>0</v>
      </c>
      <c r="N435" s="10">
        <f>IFERROR(SUMIFS('Base bordo'!G$2:G$746,'Base bordo'!C$2:C$746,A435,'Base bordo'!B$2:B$746,B435,'Base bordo'!F$2:F$746,"SEM APONTAMENTO"),0)</f>
        <v>0</v>
      </c>
      <c r="O435" s="10">
        <f t="shared" si="48"/>
        <v>0</v>
      </c>
      <c r="P435" s="10">
        <f>IFERROR(SUMIFS('Base bordo'!G$2:G$746,'Base bordo'!C$2:C$746,A435,'Base bordo'!B$2:B$746,B435),0)</f>
        <v>4.6086111111111112</v>
      </c>
      <c r="Q435" s="10">
        <f>IFERROR(SUMIFS('Base bordo'!H$2:H$746,'Base bordo'!C$2:C$746,A435,'Base bordo'!B$2:B$746,B435,'Base bordo'!F$2:F$746,"DESLOCAMENTO VAZIO"),0)</f>
        <v>601.34</v>
      </c>
      <c r="R435" s="10">
        <f>IFERROR(SUMIFS('Base bordo'!I$2:I$746,'Base bordo'!C$2:C$746,A435,'Base bordo'!B$2:B$746,B435,'Base bordo'!F$2:F$746,"DESLOCAMENTO VAZIO"),0)</f>
        <v>107</v>
      </c>
      <c r="S435" s="30">
        <f t="shared" si="49"/>
        <v>5.62</v>
      </c>
      <c r="T435" s="10">
        <f>IFERROR(SUMIFS('Base bordo'!H$2:H$746,'Base bordo'!C$2:C$746,A435,'Base bordo'!B$2:B$746,B435,'Base bordo'!F$2:F$746,"DESLOCAMENTO CARREGADO"),0)</f>
        <v>0</v>
      </c>
      <c r="U435" s="10">
        <f>IFERROR(SUMIFS('Base bordo'!I$2:I$746,'Base bordo'!C$2:C$746,A435,'Base bordo'!B$2:B$746,B435,'Base bordo'!F$2:F$746,"DESLOCAMENTO CARREGADO"),0)</f>
        <v>0</v>
      </c>
      <c r="V435" s="30" t="str">
        <f t="shared" si="50"/>
        <v/>
      </c>
      <c r="W435" s="9">
        <f t="shared" si="51"/>
        <v>6.4492797299740825E-3</v>
      </c>
      <c r="X435" s="9">
        <f t="shared" si="52"/>
        <v>0</v>
      </c>
      <c r="Y435" s="9">
        <f t="shared" si="53"/>
        <v>0.99355072027002589</v>
      </c>
    </row>
    <row r="436" spans="1:25" ht="15" customHeight="1" x14ac:dyDescent="0.35">
      <c r="A436" s="52">
        <v>8013473</v>
      </c>
      <c r="B436" s="51">
        <v>46119</v>
      </c>
      <c r="C436" s="7" t="s">
        <v>124</v>
      </c>
      <c r="D436" s="10">
        <f>IFERROR(SUMIFS('Base bordo'!G$2:G$746,'Base bordo'!C$2:C$746,A436,'Base bordo'!B$2:B$746,B436,'Base bordo'!F$2:F$746,"DESLOCAMENTO VAZIO"),0)</f>
        <v>9.0277777777777776E-2</v>
      </c>
      <c r="E436" s="10">
        <f>IFERROR(SUMIFS('Base bordo'!G$2:G$746,'Base bordo'!C$2:C$746,A436,'Base bordo'!B$2:B$746,B436,'Base bordo'!F$2:F$746,"DESLOCAMENTO CARREGADO"),0)</f>
        <v>0</v>
      </c>
      <c r="F436" s="10">
        <f>IFERROR(SUMIFS('Base bordo'!G$2:G$746,'Base bordo'!C$2:C$746,A436,'Base bordo'!B$2:B$746,B436,'Base bordo'!F$2:F$746,"DESLOCAMENTO"),0)</f>
        <v>0</v>
      </c>
      <c r="G436" s="10">
        <f>IFERROR(SUMIFS('Base bordo'!G$2:G$746,'Base bordo'!C$2:C$746,A436,'Base bordo'!B$2:B$746,B436,'Base bordo'!F$2:F$746,"CARREGAMENTO"),0)</f>
        <v>0</v>
      </c>
      <c r="H436" s="10">
        <f>IFERROR(SUMIFS('Base bordo'!G$2:G$746,'Base bordo'!C$2:C$746,A436,'Base bordo'!B$2:B$746,B436,'Base bordo'!F$2:F$746,"AGUARDANDO TRANSBORDO"),0)</f>
        <v>0</v>
      </c>
      <c r="I436" s="10">
        <f>IFERROR(SUMIFS('Base bordo'!G$2:G$746,'Base bordo'!C$2:C$746,A436,'Base bordo'!B$2:B$746,B436,'Base bordo'!F$2:F$746,"PÁTIO INTERNO"),0)+IFERROR(SUMIFS('Base bordo'!G$2:G$746,'Base bordo'!C$2:C$746,A436,'Base bordo'!B$2:B$746,B436,'Base bordo'!F$2:F$746,"PÁTIO EXTERNO"),0)+IFERROR(SUMIFS('Base bordo'!G$2:G$746,'Base bordo'!C$2:C$746,A436,'Base bordo'!B$2:B$746,B436,'Base bordo'!F$2:F$746,"PATIO - RESERVA"),0)+IFERROR(SUMIFS('Base bordo'!G$2:G$746,'Base bordo'!C$2:C$746,A436,'Base bordo'!B$2:B$746,B436,'Base bordo'!F$2:F$746,"MANOBRA CARRETAS-PATIO"),0)</f>
        <v>21.094999999999999</v>
      </c>
      <c r="J436" s="10">
        <f>IFERROR(SUMIFS('Base bordo'!G$2:G$746,'Base bordo'!C$2:C$746,A436,'Base bordo'!B$2:B$746,B436,'Base bordo'!F$2:F$746,"BALANÇA - ENTRADA"),0)+IFERROR(SUMIFS('Base bordo'!G$2:G$746,'Base bordo'!C$2:C$746,A436,'Base bordo'!B$2:B$746,B436,'Base bordo'!F$2:F$746,"BALANÇA - SAÍDA"),0)</f>
        <v>8.1111111111111106E-2</v>
      </c>
      <c r="K436" s="10">
        <f>IFERROR(SUMIFS('Base bordo'!G$2:G$746,'Base bordo'!C$2:C$746,A436,'Base bordo'!B$2:B$746,B436,'Base bordo'!F$2:F$746,"MAN PREVENTIVA - MECANICA"),0)+IFERROR(SUMIFS('Base bordo'!G$2:G$746,'Base bordo'!C$2:C$746,A436,'Base bordo'!B$2:B$746,B436,'Base bordo'!F$2:F$746,"MAN CORRETIVA - MECANICA"),0)</f>
        <v>0</v>
      </c>
      <c r="L436" s="10">
        <f>IFERROR(SUMIFS('Base bordo'!G$2:G$746,'Base bordo'!C$2:C$746,A436,'Base bordo'!B$2:B$746,B436,'Base bordo'!F$2:F$746,"MANUTENCAO - T O"),0)+IFERROR(SUMIFS('Base bordo'!G$2:G$746,'Base bordo'!C$2:C$746,A436,'Base bordo'!B$2:B$746,B436,'Base bordo'!F$2:F$746,"MANUTENCAO BORRACHARIA"),0)+IFERROR(SUMIFS('Base bordo'!G$2:G$746,'Base bordo'!C$2:C$746,A436,'Base bordo'!B$2:B$746,B436,'Base bordo'!F$2:F$746,"MANUTENCAO EXTERNA  CONCESSIONARIA"),0)+IFERROR(SUMIFS('Base bordo'!G$2:G$746,'Base bordo'!C$2:C$746,A436,'Base bordo'!B$2:B$746,B436,'Base bordo'!F$2:F$746,"MANUTENCAO TELEMETRIA"),0)</f>
        <v>0</v>
      </c>
      <c r="M436" s="10">
        <f>IFERROR(SUMIFS('Base bordo'!G$2:G$746,'Base bordo'!C$2:C$746,A436,'Base bordo'!B$2:B$746,B436,'Base bordo'!F$2:F$746,"AGUARDANDO MANUTENCAO"),0)</f>
        <v>0</v>
      </c>
      <c r="N436" s="10">
        <f>IFERROR(SUMIFS('Base bordo'!G$2:G$746,'Base bordo'!C$2:C$746,A436,'Base bordo'!B$2:B$746,B436,'Base bordo'!F$2:F$746,"SEM APONTAMENTO"),0)</f>
        <v>0</v>
      </c>
      <c r="O436" s="10">
        <f t="shared" si="48"/>
        <v>0</v>
      </c>
      <c r="P436" s="10">
        <f>IFERROR(SUMIFS('Base bordo'!G$2:G$746,'Base bordo'!C$2:C$746,A436,'Base bordo'!B$2:B$746,B436),0)</f>
        <v>21.266388888888887</v>
      </c>
      <c r="Q436" s="10">
        <f>IFERROR(SUMIFS('Base bordo'!H$2:H$746,'Base bordo'!C$2:C$746,A436,'Base bordo'!B$2:B$746,B436,'Base bordo'!F$2:F$746,"DESLOCAMENTO VAZIO"),0)</f>
        <v>2236.9</v>
      </c>
      <c r="R436" s="10">
        <f>IFERROR(SUMIFS('Base bordo'!I$2:I$746,'Base bordo'!C$2:C$746,A436,'Base bordo'!B$2:B$746,B436,'Base bordo'!F$2:F$746,"DESLOCAMENTO VAZIO"),0)</f>
        <v>325</v>
      </c>
      <c r="S436" s="30">
        <f t="shared" si="49"/>
        <v>6.882769230769231</v>
      </c>
      <c r="T436" s="10">
        <f>IFERROR(SUMIFS('Base bordo'!H$2:H$746,'Base bordo'!C$2:C$746,A436,'Base bordo'!B$2:B$746,B436,'Base bordo'!F$2:F$746,"DESLOCAMENTO CARREGADO"),0)</f>
        <v>0</v>
      </c>
      <c r="U436" s="10">
        <f>IFERROR(SUMIFS('Base bordo'!I$2:I$746,'Base bordo'!C$2:C$746,A436,'Base bordo'!B$2:B$746,B436,'Base bordo'!F$2:F$746,"DESLOCAMENTO CARREGADO"),0)</f>
        <v>0</v>
      </c>
      <c r="V436" s="30" t="str">
        <f t="shared" si="50"/>
        <v/>
      </c>
      <c r="W436" s="9">
        <f t="shared" si="51"/>
        <v>4.2450920205331834E-3</v>
      </c>
      <c r="X436" s="9">
        <f t="shared" si="52"/>
        <v>0</v>
      </c>
      <c r="Y436" s="9">
        <f t="shared" si="53"/>
        <v>0.99575490797946686</v>
      </c>
    </row>
    <row r="437" spans="1:25" ht="15" customHeight="1" x14ac:dyDescent="0.35">
      <c r="A437" s="52">
        <v>8013474</v>
      </c>
      <c r="B437" s="51">
        <v>46118</v>
      </c>
      <c r="C437" s="7" t="s">
        <v>124</v>
      </c>
      <c r="D437" s="10">
        <f>IFERROR(SUMIFS('Base bordo'!G$2:G$746,'Base bordo'!C$2:C$746,A437,'Base bordo'!B$2:B$746,B437,'Base bordo'!F$2:F$746,"DESLOCAMENTO VAZIO"),0)</f>
        <v>0.72111111111111115</v>
      </c>
      <c r="E437" s="10">
        <f>IFERROR(SUMIFS('Base bordo'!G$2:G$746,'Base bordo'!C$2:C$746,A437,'Base bordo'!B$2:B$746,B437,'Base bordo'!F$2:F$746,"DESLOCAMENTO CARREGADO"),0)</f>
        <v>0.97972222222222227</v>
      </c>
      <c r="F437" s="10">
        <f>IFERROR(SUMIFS('Base bordo'!G$2:G$746,'Base bordo'!C$2:C$746,A437,'Base bordo'!B$2:B$746,B437,'Base bordo'!F$2:F$746,"DESLOCAMENTO"),0)</f>
        <v>0</v>
      </c>
      <c r="G437" s="10">
        <f>IFERROR(SUMIFS('Base bordo'!G$2:G$746,'Base bordo'!C$2:C$746,A437,'Base bordo'!B$2:B$746,B437,'Base bordo'!F$2:F$746,"CARREGAMENTO"),0)</f>
        <v>0</v>
      </c>
      <c r="H437" s="10">
        <f>IFERROR(SUMIFS('Base bordo'!G$2:G$746,'Base bordo'!C$2:C$746,A437,'Base bordo'!B$2:B$746,B437,'Base bordo'!F$2:F$746,"AGUARDANDO TRANSBORDO"),0)</f>
        <v>0.20861111111111111</v>
      </c>
      <c r="I437" s="10">
        <f>IFERROR(SUMIFS('Base bordo'!G$2:G$746,'Base bordo'!C$2:C$746,A437,'Base bordo'!B$2:B$746,B437,'Base bordo'!F$2:F$746,"PÁTIO INTERNO"),0)+IFERROR(SUMIFS('Base bordo'!G$2:G$746,'Base bordo'!C$2:C$746,A437,'Base bordo'!B$2:B$746,B437,'Base bordo'!F$2:F$746,"PÁTIO EXTERNO"),0)+IFERROR(SUMIFS('Base bordo'!G$2:G$746,'Base bordo'!C$2:C$746,A437,'Base bordo'!B$2:B$746,B437,'Base bordo'!F$2:F$746,"PATIO - RESERVA"),0)+IFERROR(SUMIFS('Base bordo'!G$2:G$746,'Base bordo'!C$2:C$746,A437,'Base bordo'!B$2:B$746,B437,'Base bordo'!F$2:F$746,"MANOBRA CARRETAS-PATIO"),0)</f>
        <v>8.4474999999999998</v>
      </c>
      <c r="J437" s="10">
        <f>IFERROR(SUMIFS('Base bordo'!G$2:G$746,'Base bordo'!C$2:C$746,A437,'Base bordo'!B$2:B$746,B437,'Base bordo'!F$2:F$746,"BALANÇA - ENTRADA"),0)+IFERROR(SUMIFS('Base bordo'!G$2:G$746,'Base bordo'!C$2:C$746,A437,'Base bordo'!B$2:B$746,B437,'Base bordo'!F$2:F$746,"BALANÇA - SAÍDA"),0)</f>
        <v>6.3611111111111118E-2</v>
      </c>
      <c r="K437" s="10">
        <f>IFERROR(SUMIFS('Base bordo'!G$2:G$746,'Base bordo'!C$2:C$746,A437,'Base bordo'!B$2:B$746,B437,'Base bordo'!F$2:F$746,"MAN PREVENTIVA - MECANICA"),0)+IFERROR(SUMIFS('Base bordo'!G$2:G$746,'Base bordo'!C$2:C$746,A437,'Base bordo'!B$2:B$746,B437,'Base bordo'!F$2:F$746,"MAN CORRETIVA - MECANICA"),0)</f>
        <v>0</v>
      </c>
      <c r="L437" s="10">
        <f>IFERROR(SUMIFS('Base bordo'!G$2:G$746,'Base bordo'!C$2:C$746,A437,'Base bordo'!B$2:B$746,B437,'Base bordo'!F$2:F$746,"MANUTENCAO - T O"),0)+IFERROR(SUMIFS('Base bordo'!G$2:G$746,'Base bordo'!C$2:C$746,A437,'Base bordo'!B$2:B$746,B437,'Base bordo'!F$2:F$746,"MANUTENCAO BORRACHARIA"),0)+IFERROR(SUMIFS('Base bordo'!G$2:G$746,'Base bordo'!C$2:C$746,A437,'Base bordo'!B$2:B$746,B437,'Base bordo'!F$2:F$746,"MANUTENCAO EXTERNA  CONCESSIONARIA"),0)+IFERROR(SUMIFS('Base bordo'!G$2:G$746,'Base bordo'!C$2:C$746,A437,'Base bordo'!B$2:B$746,B437,'Base bordo'!F$2:F$746,"MANUTENCAO TELEMETRIA"),0)</f>
        <v>8.77</v>
      </c>
      <c r="M437" s="10">
        <f>IFERROR(SUMIFS('Base bordo'!G$2:G$746,'Base bordo'!C$2:C$746,A437,'Base bordo'!B$2:B$746,B437,'Base bordo'!F$2:F$746,"AGUARDANDO MANUTENCAO"),0)</f>
        <v>0</v>
      </c>
      <c r="N437" s="10">
        <f>IFERROR(SUMIFS('Base bordo'!G$2:G$746,'Base bordo'!C$2:C$746,A437,'Base bordo'!B$2:B$746,B437,'Base bordo'!F$2:F$746,"SEM APONTAMENTO"),0)</f>
        <v>0</v>
      </c>
      <c r="O437" s="10">
        <f t="shared" si="48"/>
        <v>0</v>
      </c>
      <c r="P437" s="10">
        <f>IFERROR(SUMIFS('Base bordo'!G$2:G$746,'Base bordo'!C$2:C$746,A437,'Base bordo'!B$2:B$746,B437),0)</f>
        <v>19.190555555555555</v>
      </c>
      <c r="Q437" s="10">
        <f>IFERROR(SUMIFS('Base bordo'!H$2:H$746,'Base bordo'!C$2:C$746,A437,'Base bordo'!B$2:B$746,B437,'Base bordo'!F$2:F$746,"DESLOCAMENTO VAZIO"),0)</f>
        <v>70252.17</v>
      </c>
      <c r="R437" s="10">
        <f>IFERROR(SUMIFS('Base bordo'!I$2:I$746,'Base bordo'!C$2:C$746,A437,'Base bordo'!B$2:B$746,B437,'Base bordo'!F$2:F$746,"DESLOCAMENTO VAZIO"),0)</f>
        <v>2596</v>
      </c>
      <c r="S437" s="30">
        <f t="shared" si="49"/>
        <v>27.061698767334359</v>
      </c>
      <c r="T437" s="10">
        <f>IFERROR(SUMIFS('Base bordo'!H$2:H$746,'Base bordo'!C$2:C$746,A437,'Base bordo'!B$2:B$746,B437,'Base bordo'!F$2:F$746,"DESLOCAMENTO CARREGADO"),0)</f>
        <v>68679.02</v>
      </c>
      <c r="U437" s="10">
        <f>IFERROR(SUMIFS('Base bordo'!I$2:I$746,'Base bordo'!C$2:C$746,A437,'Base bordo'!B$2:B$746,B437,'Base bordo'!F$2:F$746,"DESLOCAMENTO CARREGADO"),0)</f>
        <v>3527</v>
      </c>
      <c r="V437" s="30">
        <f t="shared" si="50"/>
        <v>19.472361780550045</v>
      </c>
      <c r="W437" s="9">
        <f t="shared" si="51"/>
        <v>3.7576354109370928E-2</v>
      </c>
      <c r="X437" s="9">
        <f t="shared" si="52"/>
        <v>5.1052311611614512E-2</v>
      </c>
      <c r="Y437" s="9">
        <f t="shared" si="53"/>
        <v>0.91137133427901451</v>
      </c>
    </row>
    <row r="438" spans="1:25" ht="15" customHeight="1" x14ac:dyDescent="0.35">
      <c r="A438" s="52">
        <v>8013470</v>
      </c>
      <c r="B438" s="51">
        <v>46123</v>
      </c>
      <c r="C438" s="7" t="s">
        <v>124</v>
      </c>
      <c r="D438" s="10">
        <f>IFERROR(SUMIFS('Base bordo'!G$2:G$746,'Base bordo'!C$2:C$746,A438,'Base bordo'!B$2:B$746,B438,'Base bordo'!F$2:F$746,"DESLOCAMENTO VAZIO"),0)</f>
        <v>1.4894444444444443</v>
      </c>
      <c r="E438" s="10">
        <f>IFERROR(SUMIFS('Base bordo'!G$2:G$746,'Base bordo'!C$2:C$746,A438,'Base bordo'!B$2:B$746,B438,'Base bordo'!F$2:F$746,"DESLOCAMENTO CARREGADO"),0)</f>
        <v>2.7725</v>
      </c>
      <c r="F438" s="10">
        <f>IFERROR(SUMIFS('Base bordo'!G$2:G$746,'Base bordo'!C$2:C$746,A438,'Base bordo'!B$2:B$746,B438,'Base bordo'!F$2:F$746,"DESLOCAMENTO"),0)</f>
        <v>1.1813888888888888</v>
      </c>
      <c r="G438" s="10">
        <f>IFERROR(SUMIFS('Base bordo'!G$2:G$746,'Base bordo'!C$2:C$746,A438,'Base bordo'!B$2:B$746,B438,'Base bordo'!F$2:F$746,"CARREGAMENTO"),0)</f>
        <v>0</v>
      </c>
      <c r="H438" s="10">
        <f>IFERROR(SUMIFS('Base bordo'!G$2:G$746,'Base bordo'!C$2:C$746,A438,'Base bordo'!B$2:B$746,B438,'Base bordo'!F$2:F$746,"AGUARDANDO TRANSBORDO"),0)</f>
        <v>0.10722222222222222</v>
      </c>
      <c r="I438" s="10">
        <f>IFERROR(SUMIFS('Base bordo'!G$2:G$746,'Base bordo'!C$2:C$746,A438,'Base bordo'!B$2:B$746,B438,'Base bordo'!F$2:F$746,"PÁTIO INTERNO"),0)+IFERROR(SUMIFS('Base bordo'!G$2:G$746,'Base bordo'!C$2:C$746,A438,'Base bordo'!B$2:B$746,B438,'Base bordo'!F$2:F$746,"PÁTIO EXTERNO"),0)+IFERROR(SUMIFS('Base bordo'!G$2:G$746,'Base bordo'!C$2:C$746,A438,'Base bordo'!B$2:B$746,B438,'Base bordo'!F$2:F$746,"PATIO - RESERVA"),0)+IFERROR(SUMIFS('Base bordo'!G$2:G$746,'Base bordo'!C$2:C$746,A438,'Base bordo'!B$2:B$746,B438,'Base bordo'!F$2:F$746,"MANOBRA CARRETAS-PATIO"),0)</f>
        <v>0.56472222222222224</v>
      </c>
      <c r="J438" s="10">
        <f>IFERROR(SUMIFS('Base bordo'!G$2:G$746,'Base bordo'!C$2:C$746,A438,'Base bordo'!B$2:B$746,B438,'Base bordo'!F$2:F$746,"BALANÇA - ENTRADA"),0)+IFERROR(SUMIFS('Base bordo'!G$2:G$746,'Base bordo'!C$2:C$746,A438,'Base bordo'!B$2:B$746,B438,'Base bordo'!F$2:F$746,"BALANÇA - SAÍDA"),0)</f>
        <v>0</v>
      </c>
      <c r="K438" s="10">
        <f>IFERROR(SUMIFS('Base bordo'!G$2:G$746,'Base bordo'!C$2:C$746,A438,'Base bordo'!B$2:B$746,B438,'Base bordo'!F$2:F$746,"MAN PREVENTIVA - MECANICA"),0)+IFERROR(SUMIFS('Base bordo'!G$2:G$746,'Base bordo'!C$2:C$746,A438,'Base bordo'!B$2:B$746,B438,'Base bordo'!F$2:F$746,"MAN CORRETIVA - MECANICA"),0)</f>
        <v>0</v>
      </c>
      <c r="L438" s="10">
        <f>IFERROR(SUMIFS('Base bordo'!G$2:G$746,'Base bordo'!C$2:C$746,A438,'Base bordo'!B$2:B$746,B438,'Base bordo'!F$2:F$746,"MANUTENCAO - T O"),0)+IFERROR(SUMIFS('Base bordo'!G$2:G$746,'Base bordo'!C$2:C$746,A438,'Base bordo'!B$2:B$746,B438,'Base bordo'!F$2:F$746,"MANUTENCAO BORRACHARIA"),0)+IFERROR(SUMIFS('Base bordo'!G$2:G$746,'Base bordo'!C$2:C$746,A438,'Base bordo'!B$2:B$746,B438,'Base bordo'!F$2:F$746,"MANUTENCAO EXTERNA  CONCESSIONARIA"),0)+IFERROR(SUMIFS('Base bordo'!G$2:G$746,'Base bordo'!C$2:C$746,A438,'Base bordo'!B$2:B$746,B438,'Base bordo'!F$2:F$746,"MANUTENCAO TELEMETRIA"),0)</f>
        <v>0</v>
      </c>
      <c r="M438" s="10">
        <f>IFERROR(SUMIFS('Base bordo'!G$2:G$746,'Base bordo'!C$2:C$746,A438,'Base bordo'!B$2:B$746,B438,'Base bordo'!F$2:F$746,"AGUARDANDO MANUTENCAO"),0)</f>
        <v>0</v>
      </c>
      <c r="N438" s="10">
        <f>IFERROR(SUMIFS('Base bordo'!G$2:G$746,'Base bordo'!C$2:C$746,A438,'Base bordo'!B$2:B$746,B438,'Base bordo'!F$2:F$746,"SEM APONTAMENTO"),0)</f>
        <v>0</v>
      </c>
      <c r="O438" s="10">
        <f t="shared" si="48"/>
        <v>4.6666666666666856E-2</v>
      </c>
      <c r="P438" s="10">
        <f>IFERROR(SUMIFS('Base bordo'!G$2:G$746,'Base bordo'!C$2:C$746,A438,'Base bordo'!B$2:B$746,B438),0)</f>
        <v>6.1619444444444449</v>
      </c>
      <c r="Q438" s="10">
        <f>IFERROR(SUMIFS('Base bordo'!H$2:H$746,'Base bordo'!C$2:C$746,A438,'Base bordo'!B$2:B$746,B438,'Base bordo'!F$2:F$746,"DESLOCAMENTO VAZIO"),0)</f>
        <v>174958.3</v>
      </c>
      <c r="R438" s="10">
        <f>IFERROR(SUMIFS('Base bordo'!I$2:I$746,'Base bordo'!C$2:C$746,A438,'Base bordo'!B$2:B$746,B438,'Base bordo'!F$2:F$746,"DESLOCAMENTO VAZIO"),0)</f>
        <v>5362</v>
      </c>
      <c r="S438" s="30">
        <f t="shared" si="49"/>
        <v>32.629298769115998</v>
      </c>
      <c r="T438" s="10">
        <f>IFERROR(SUMIFS('Base bordo'!H$2:H$746,'Base bordo'!C$2:C$746,A438,'Base bordo'!B$2:B$746,B438,'Base bordo'!F$2:F$746,"DESLOCAMENTO CARREGADO"),0)</f>
        <v>211588.94</v>
      </c>
      <c r="U438" s="10">
        <f>IFERROR(SUMIFS('Base bordo'!I$2:I$746,'Base bordo'!C$2:C$746,A438,'Base bordo'!B$2:B$746,B438,'Base bordo'!F$2:F$746,"DESLOCAMENTO CARREGADO"),0)</f>
        <v>9967</v>
      </c>
      <c r="V438" s="30">
        <f t="shared" si="50"/>
        <v>21.228949533460419</v>
      </c>
      <c r="W438" s="9">
        <f t="shared" si="51"/>
        <v>0.24171662985168821</v>
      </c>
      <c r="X438" s="9">
        <f t="shared" si="52"/>
        <v>0.44993914258666545</v>
      </c>
      <c r="Y438" s="9">
        <f t="shared" si="53"/>
        <v>0.30834422756164637</v>
      </c>
    </row>
    <row r="439" spans="1:25" ht="15" customHeight="1" x14ac:dyDescent="0.35">
      <c r="A439" s="52">
        <v>8013478</v>
      </c>
      <c r="B439" s="51">
        <v>46124</v>
      </c>
      <c r="C439" s="7" t="s">
        <v>124</v>
      </c>
      <c r="D439" s="10">
        <f>IFERROR(SUMIFS('Base bordo'!G$2:G$746,'Base bordo'!C$2:C$746,A439,'Base bordo'!B$2:B$746,B439,'Base bordo'!F$2:F$746,"DESLOCAMENTO VAZIO"),0)</f>
        <v>2.069722222222222</v>
      </c>
      <c r="E439" s="10">
        <f>IFERROR(SUMIFS('Base bordo'!G$2:G$746,'Base bordo'!C$2:C$746,A439,'Base bordo'!B$2:B$746,B439,'Base bordo'!F$2:F$746,"DESLOCAMENTO CARREGADO"),0)</f>
        <v>4.5216666666666665</v>
      </c>
      <c r="F439" s="10">
        <f>IFERROR(SUMIFS('Base bordo'!G$2:G$746,'Base bordo'!C$2:C$746,A439,'Base bordo'!B$2:B$746,B439,'Base bordo'!F$2:F$746,"DESLOCAMENTO"),0)</f>
        <v>0</v>
      </c>
      <c r="G439" s="10">
        <f>IFERROR(SUMIFS('Base bordo'!G$2:G$746,'Base bordo'!C$2:C$746,A439,'Base bordo'!B$2:B$746,B439,'Base bordo'!F$2:F$746,"CARREGAMENTO"),0)</f>
        <v>0</v>
      </c>
      <c r="H439" s="10">
        <f>IFERROR(SUMIFS('Base bordo'!G$2:G$746,'Base bordo'!C$2:C$746,A439,'Base bordo'!B$2:B$746,B439,'Base bordo'!F$2:F$746,"AGUARDANDO TRANSBORDO"),0)</f>
        <v>0.42222222222222222</v>
      </c>
      <c r="I439" s="10">
        <f>IFERROR(SUMIFS('Base bordo'!G$2:G$746,'Base bordo'!C$2:C$746,A439,'Base bordo'!B$2:B$746,B439,'Base bordo'!F$2:F$746,"PÁTIO INTERNO"),0)+IFERROR(SUMIFS('Base bordo'!G$2:G$746,'Base bordo'!C$2:C$746,A439,'Base bordo'!B$2:B$746,B439,'Base bordo'!F$2:F$746,"PÁTIO EXTERNO"),0)+IFERROR(SUMIFS('Base bordo'!G$2:G$746,'Base bordo'!C$2:C$746,A439,'Base bordo'!B$2:B$746,B439,'Base bordo'!F$2:F$746,"PATIO - RESERVA"),0)+IFERROR(SUMIFS('Base bordo'!G$2:G$746,'Base bordo'!C$2:C$746,A439,'Base bordo'!B$2:B$746,B439,'Base bordo'!F$2:F$746,"MANOBRA CARRETAS-PATIO"),0)</f>
        <v>2.931111111111111</v>
      </c>
      <c r="J439" s="10">
        <f>IFERROR(SUMIFS('Base bordo'!G$2:G$746,'Base bordo'!C$2:C$746,A439,'Base bordo'!B$2:B$746,B439,'Base bordo'!F$2:F$746,"BALANÇA - ENTRADA"),0)+IFERROR(SUMIFS('Base bordo'!G$2:G$746,'Base bordo'!C$2:C$746,A439,'Base bordo'!B$2:B$746,B439,'Base bordo'!F$2:F$746,"BALANÇA - SAÍDA"),0)</f>
        <v>9.5833333333333326E-2</v>
      </c>
      <c r="K439" s="10">
        <f>IFERROR(SUMIFS('Base bordo'!G$2:G$746,'Base bordo'!C$2:C$746,A439,'Base bordo'!B$2:B$746,B439,'Base bordo'!F$2:F$746,"MAN PREVENTIVA - MECANICA"),0)+IFERROR(SUMIFS('Base bordo'!G$2:G$746,'Base bordo'!C$2:C$746,A439,'Base bordo'!B$2:B$746,B439,'Base bordo'!F$2:F$746,"MAN CORRETIVA - MECANICA"),0)</f>
        <v>0</v>
      </c>
      <c r="L439" s="10">
        <f>IFERROR(SUMIFS('Base bordo'!G$2:G$746,'Base bordo'!C$2:C$746,A439,'Base bordo'!B$2:B$746,B439,'Base bordo'!F$2:F$746,"MANUTENCAO - T O"),0)+IFERROR(SUMIFS('Base bordo'!G$2:G$746,'Base bordo'!C$2:C$746,A439,'Base bordo'!B$2:B$746,B439,'Base bordo'!F$2:F$746,"MANUTENCAO BORRACHARIA"),0)+IFERROR(SUMIFS('Base bordo'!G$2:G$746,'Base bordo'!C$2:C$746,A439,'Base bordo'!B$2:B$746,B439,'Base bordo'!F$2:F$746,"MANUTENCAO EXTERNA  CONCESSIONARIA"),0)+IFERROR(SUMIFS('Base bordo'!G$2:G$746,'Base bordo'!C$2:C$746,A439,'Base bordo'!B$2:B$746,B439,'Base bordo'!F$2:F$746,"MANUTENCAO TELEMETRIA"),0)</f>
        <v>0</v>
      </c>
      <c r="M439" s="10">
        <f>IFERROR(SUMIFS('Base bordo'!G$2:G$746,'Base bordo'!C$2:C$746,A439,'Base bordo'!B$2:B$746,B439,'Base bordo'!F$2:F$746,"AGUARDANDO MANUTENCAO"),0)</f>
        <v>0</v>
      </c>
      <c r="N439" s="10">
        <f>IFERROR(SUMIFS('Base bordo'!G$2:G$746,'Base bordo'!C$2:C$746,A439,'Base bordo'!B$2:B$746,B439,'Base bordo'!F$2:F$746,"SEM APONTAMENTO"),0)</f>
        <v>0</v>
      </c>
      <c r="O439" s="10">
        <f t="shared" si="48"/>
        <v>0</v>
      </c>
      <c r="P439" s="10">
        <f>IFERROR(SUMIFS('Base bordo'!G$2:G$746,'Base bordo'!C$2:C$746,A439,'Base bordo'!B$2:B$746,B439),0)</f>
        <v>10.040555555555555</v>
      </c>
      <c r="Q439" s="10">
        <f>IFERROR(SUMIFS('Base bordo'!H$2:H$746,'Base bordo'!C$2:C$746,A439,'Base bordo'!B$2:B$746,B439,'Base bordo'!F$2:F$746,"DESLOCAMENTO VAZIO"),0)</f>
        <v>230432.85</v>
      </c>
      <c r="R439" s="10">
        <f>IFERROR(SUMIFS('Base bordo'!I$2:I$746,'Base bordo'!C$2:C$746,A439,'Base bordo'!B$2:B$746,B439,'Base bordo'!F$2:F$746,"DESLOCAMENTO VAZIO"),0)</f>
        <v>7451</v>
      </c>
      <c r="S439" s="30">
        <f t="shared" si="49"/>
        <v>30.926432693598176</v>
      </c>
      <c r="T439" s="10">
        <f>IFERROR(SUMIFS('Base bordo'!H$2:H$746,'Base bordo'!C$2:C$746,A439,'Base bordo'!B$2:B$746,B439,'Base bordo'!F$2:F$746,"DESLOCAMENTO CARREGADO"),0)</f>
        <v>396489.03</v>
      </c>
      <c r="U439" s="10">
        <f>IFERROR(SUMIFS('Base bordo'!I$2:I$746,'Base bordo'!C$2:C$746,A439,'Base bordo'!B$2:B$746,B439,'Base bordo'!F$2:F$746,"DESLOCAMENTO CARREGADO"),0)</f>
        <v>16278</v>
      </c>
      <c r="V439" s="30">
        <f t="shared" si="50"/>
        <v>24.357355326207152</v>
      </c>
      <c r="W439" s="9">
        <f t="shared" si="51"/>
        <v>0.2061362253084712</v>
      </c>
      <c r="X439" s="9">
        <f t="shared" si="52"/>
        <v>0.45034028661539316</v>
      </c>
      <c r="Y439" s="9">
        <f t="shared" si="53"/>
        <v>0.34352348807613575</v>
      </c>
    </row>
    <row r="440" spans="1:25" ht="15" customHeight="1" x14ac:dyDescent="0.35">
      <c r="A440" s="52">
        <v>8013481</v>
      </c>
      <c r="B440" s="51">
        <v>46124</v>
      </c>
      <c r="C440" s="7" t="s">
        <v>124</v>
      </c>
      <c r="D440" s="10">
        <f>IFERROR(SUMIFS('Base bordo'!G$2:G$746,'Base bordo'!C$2:C$746,A440,'Base bordo'!B$2:B$746,B440,'Base bordo'!F$2:F$746,"DESLOCAMENTO VAZIO"),0)</f>
        <v>1.6861111111111111</v>
      </c>
      <c r="E440" s="10">
        <f>IFERROR(SUMIFS('Base bordo'!G$2:G$746,'Base bordo'!C$2:C$746,A440,'Base bordo'!B$2:B$746,B440,'Base bordo'!F$2:F$746,"DESLOCAMENTO CARREGADO"),0)</f>
        <v>2.4669444444444446</v>
      </c>
      <c r="F440" s="10">
        <f>IFERROR(SUMIFS('Base bordo'!G$2:G$746,'Base bordo'!C$2:C$746,A440,'Base bordo'!B$2:B$746,B440,'Base bordo'!F$2:F$746,"DESLOCAMENTO"),0)</f>
        <v>0</v>
      </c>
      <c r="G440" s="10">
        <f>IFERROR(SUMIFS('Base bordo'!G$2:G$746,'Base bordo'!C$2:C$746,A440,'Base bordo'!B$2:B$746,B440,'Base bordo'!F$2:F$746,"CARREGAMENTO"),0)</f>
        <v>0</v>
      </c>
      <c r="H440" s="10">
        <f>IFERROR(SUMIFS('Base bordo'!G$2:G$746,'Base bordo'!C$2:C$746,A440,'Base bordo'!B$2:B$746,B440,'Base bordo'!F$2:F$746,"AGUARDANDO TRANSBORDO"),0)</f>
        <v>0</v>
      </c>
      <c r="I440" s="10">
        <f>IFERROR(SUMIFS('Base bordo'!G$2:G$746,'Base bordo'!C$2:C$746,A440,'Base bordo'!B$2:B$746,B440,'Base bordo'!F$2:F$746,"PÁTIO INTERNO"),0)+IFERROR(SUMIFS('Base bordo'!G$2:G$746,'Base bordo'!C$2:C$746,A440,'Base bordo'!B$2:B$746,B440,'Base bordo'!F$2:F$746,"PÁTIO EXTERNO"),0)+IFERROR(SUMIFS('Base bordo'!G$2:G$746,'Base bordo'!C$2:C$746,A440,'Base bordo'!B$2:B$746,B440,'Base bordo'!F$2:F$746,"PATIO - RESERVA"),0)+IFERROR(SUMIFS('Base bordo'!G$2:G$746,'Base bordo'!C$2:C$746,A440,'Base bordo'!B$2:B$746,B440,'Base bordo'!F$2:F$746,"MANOBRA CARRETAS-PATIO"),0)</f>
        <v>14.274166666666666</v>
      </c>
      <c r="J440" s="10">
        <f>IFERROR(SUMIFS('Base bordo'!G$2:G$746,'Base bordo'!C$2:C$746,A440,'Base bordo'!B$2:B$746,B440,'Base bordo'!F$2:F$746,"BALANÇA - ENTRADA"),0)+IFERROR(SUMIFS('Base bordo'!G$2:G$746,'Base bordo'!C$2:C$746,A440,'Base bordo'!B$2:B$746,B440,'Base bordo'!F$2:F$746,"BALANÇA - SAÍDA"),0)</f>
        <v>7.4166666666666659E-2</v>
      </c>
      <c r="K440" s="10">
        <f>IFERROR(SUMIFS('Base bordo'!G$2:G$746,'Base bordo'!C$2:C$746,A440,'Base bordo'!B$2:B$746,B440,'Base bordo'!F$2:F$746,"MAN PREVENTIVA - MECANICA"),0)+IFERROR(SUMIFS('Base bordo'!G$2:G$746,'Base bordo'!C$2:C$746,A440,'Base bordo'!B$2:B$746,B440,'Base bordo'!F$2:F$746,"MAN CORRETIVA - MECANICA"),0)</f>
        <v>0</v>
      </c>
      <c r="L440" s="10">
        <f>IFERROR(SUMIFS('Base bordo'!G$2:G$746,'Base bordo'!C$2:C$746,A440,'Base bordo'!B$2:B$746,B440,'Base bordo'!F$2:F$746,"MANUTENCAO - T O"),0)+IFERROR(SUMIFS('Base bordo'!G$2:G$746,'Base bordo'!C$2:C$746,A440,'Base bordo'!B$2:B$746,B440,'Base bordo'!F$2:F$746,"MANUTENCAO BORRACHARIA"),0)+IFERROR(SUMIFS('Base bordo'!G$2:G$746,'Base bordo'!C$2:C$746,A440,'Base bordo'!B$2:B$746,B440,'Base bordo'!F$2:F$746,"MANUTENCAO EXTERNA  CONCESSIONARIA"),0)+IFERROR(SUMIFS('Base bordo'!G$2:G$746,'Base bordo'!C$2:C$746,A440,'Base bordo'!B$2:B$746,B440,'Base bordo'!F$2:F$746,"MANUTENCAO TELEMETRIA"),0)</f>
        <v>0</v>
      </c>
      <c r="M440" s="10">
        <f>IFERROR(SUMIFS('Base bordo'!G$2:G$746,'Base bordo'!C$2:C$746,A440,'Base bordo'!B$2:B$746,B440,'Base bordo'!F$2:F$746,"AGUARDANDO MANUTENCAO"),0)</f>
        <v>0</v>
      </c>
      <c r="N440" s="10">
        <f>IFERROR(SUMIFS('Base bordo'!G$2:G$746,'Base bordo'!C$2:C$746,A440,'Base bordo'!B$2:B$746,B440,'Base bordo'!F$2:F$746,"SEM APONTAMENTO"),0)</f>
        <v>0</v>
      </c>
      <c r="O440" s="10">
        <f t="shared" si="48"/>
        <v>0</v>
      </c>
      <c r="P440" s="10">
        <f>IFERROR(SUMIFS('Base bordo'!G$2:G$746,'Base bordo'!C$2:C$746,A440,'Base bordo'!B$2:B$746,B440),0)</f>
        <v>18.501388888888886</v>
      </c>
      <c r="Q440" s="10">
        <f>IFERROR(SUMIFS('Base bordo'!H$2:H$746,'Base bordo'!C$2:C$746,A440,'Base bordo'!B$2:B$746,B440,'Base bordo'!F$2:F$746,"DESLOCAMENTO VAZIO"),0)</f>
        <v>216936.43</v>
      </c>
      <c r="R440" s="10">
        <f>IFERROR(SUMIFS('Base bordo'!I$2:I$746,'Base bordo'!C$2:C$746,A440,'Base bordo'!B$2:B$746,B440,'Base bordo'!F$2:F$746,"DESLOCAMENTO VAZIO"),0)</f>
        <v>6070</v>
      </c>
      <c r="S440" s="30">
        <f t="shared" si="49"/>
        <v>35.739115321252058</v>
      </c>
      <c r="T440" s="10">
        <f>IFERROR(SUMIFS('Base bordo'!H$2:H$746,'Base bordo'!C$2:C$746,A440,'Base bordo'!B$2:B$746,B440,'Base bordo'!F$2:F$746,"DESLOCAMENTO CARREGADO"),0)</f>
        <v>221432.38999999998</v>
      </c>
      <c r="U440" s="10">
        <f>IFERROR(SUMIFS('Base bordo'!I$2:I$746,'Base bordo'!C$2:C$746,A440,'Base bordo'!B$2:B$746,B440,'Base bordo'!F$2:F$746,"DESLOCAMENTO CARREGADO"),0)</f>
        <v>8881</v>
      </c>
      <c r="V440" s="30">
        <f t="shared" si="50"/>
        <v>24.933272154036707</v>
      </c>
      <c r="W440" s="9">
        <f t="shared" si="51"/>
        <v>9.1134299226784787E-2</v>
      </c>
      <c r="X440" s="9">
        <f t="shared" si="52"/>
        <v>0.13333833796261543</v>
      </c>
      <c r="Y440" s="9">
        <f t="shared" si="53"/>
        <v>0.77552736281059975</v>
      </c>
    </row>
    <row r="441" spans="1:25" ht="15" customHeight="1" x14ac:dyDescent="0.35">
      <c r="A441" s="52">
        <v>8013469</v>
      </c>
      <c r="B441" s="51">
        <v>46118</v>
      </c>
      <c r="C441" s="7" t="s">
        <v>124</v>
      </c>
      <c r="D441" s="10">
        <f>IFERROR(SUMIFS('Base bordo'!G$2:G$746,'Base bordo'!C$2:C$746,A441,'Base bordo'!B$2:B$746,B441,'Base bordo'!F$2:F$746,"DESLOCAMENTO VAZIO"),0)</f>
        <v>2.1594444444444445</v>
      </c>
      <c r="E441" s="10">
        <f>IFERROR(SUMIFS('Base bordo'!G$2:G$746,'Base bordo'!C$2:C$746,A441,'Base bordo'!B$2:B$746,B441,'Base bordo'!F$2:F$746,"DESLOCAMENTO CARREGADO"),0)</f>
        <v>2.4455555555555555</v>
      </c>
      <c r="F441" s="10">
        <f>IFERROR(SUMIFS('Base bordo'!G$2:G$746,'Base bordo'!C$2:C$746,A441,'Base bordo'!B$2:B$746,B441,'Base bordo'!F$2:F$746,"DESLOCAMENTO"),0)</f>
        <v>0.63083333333333336</v>
      </c>
      <c r="G441" s="10">
        <f>IFERROR(SUMIFS('Base bordo'!G$2:G$746,'Base bordo'!C$2:C$746,A441,'Base bordo'!B$2:B$746,B441,'Base bordo'!F$2:F$746,"CARREGAMENTO"),0)</f>
        <v>0.96722222222222221</v>
      </c>
      <c r="H441" s="10">
        <f>IFERROR(SUMIFS('Base bordo'!G$2:G$746,'Base bordo'!C$2:C$746,A441,'Base bordo'!B$2:B$746,B441,'Base bordo'!F$2:F$746,"AGUARDANDO TRANSBORDO"),0)</f>
        <v>0.91111111111111109</v>
      </c>
      <c r="I441" s="10">
        <f>IFERROR(SUMIFS('Base bordo'!G$2:G$746,'Base bordo'!C$2:C$746,A441,'Base bordo'!B$2:B$746,B441,'Base bordo'!F$2:F$746,"PÁTIO INTERNO"),0)+IFERROR(SUMIFS('Base bordo'!G$2:G$746,'Base bordo'!C$2:C$746,A441,'Base bordo'!B$2:B$746,B441,'Base bordo'!F$2:F$746,"PÁTIO EXTERNO"),0)+IFERROR(SUMIFS('Base bordo'!G$2:G$746,'Base bordo'!C$2:C$746,A441,'Base bordo'!B$2:B$746,B441,'Base bordo'!F$2:F$746,"PATIO - RESERVA"),0)+IFERROR(SUMIFS('Base bordo'!G$2:G$746,'Base bordo'!C$2:C$746,A441,'Base bordo'!B$2:B$746,B441,'Base bordo'!F$2:F$746,"MANOBRA CARRETAS-PATIO"),0)</f>
        <v>6.1047222222222217</v>
      </c>
      <c r="J441" s="10">
        <f>IFERROR(SUMIFS('Base bordo'!G$2:G$746,'Base bordo'!C$2:C$746,A441,'Base bordo'!B$2:B$746,B441,'Base bordo'!F$2:F$746,"BALANÇA - ENTRADA"),0)+IFERROR(SUMIFS('Base bordo'!G$2:G$746,'Base bordo'!C$2:C$746,A441,'Base bordo'!B$2:B$746,B441,'Base bordo'!F$2:F$746,"BALANÇA - SAÍDA"),0)</f>
        <v>6.8055555555555564E-2</v>
      </c>
      <c r="K441" s="10">
        <f>IFERROR(SUMIFS('Base bordo'!G$2:G$746,'Base bordo'!C$2:C$746,A441,'Base bordo'!B$2:B$746,B441,'Base bordo'!F$2:F$746,"MAN PREVENTIVA - MECANICA"),0)+IFERROR(SUMIFS('Base bordo'!G$2:G$746,'Base bordo'!C$2:C$746,A441,'Base bordo'!B$2:B$746,B441,'Base bordo'!F$2:F$746,"MAN CORRETIVA - MECANICA"),0)</f>
        <v>0.40166666666666667</v>
      </c>
      <c r="L441" s="10">
        <f>IFERROR(SUMIFS('Base bordo'!G$2:G$746,'Base bordo'!C$2:C$746,A441,'Base bordo'!B$2:B$746,B441,'Base bordo'!F$2:F$746,"MANUTENCAO - T O"),0)+IFERROR(SUMIFS('Base bordo'!G$2:G$746,'Base bordo'!C$2:C$746,A441,'Base bordo'!B$2:B$746,B441,'Base bordo'!F$2:F$746,"MANUTENCAO BORRACHARIA"),0)+IFERROR(SUMIFS('Base bordo'!G$2:G$746,'Base bordo'!C$2:C$746,A441,'Base bordo'!B$2:B$746,B441,'Base bordo'!F$2:F$746,"MANUTENCAO EXTERNA  CONCESSIONARIA"),0)+IFERROR(SUMIFS('Base bordo'!G$2:G$746,'Base bordo'!C$2:C$746,A441,'Base bordo'!B$2:B$746,B441,'Base bordo'!F$2:F$746,"MANUTENCAO TELEMETRIA"),0)</f>
        <v>1.5977777777777777</v>
      </c>
      <c r="M441" s="10">
        <f>IFERROR(SUMIFS('Base bordo'!G$2:G$746,'Base bordo'!C$2:C$746,A441,'Base bordo'!B$2:B$746,B441,'Base bordo'!F$2:F$746,"AGUARDANDO MANUTENCAO"),0)</f>
        <v>2.0836111111111113</v>
      </c>
      <c r="N441" s="10">
        <f>IFERROR(SUMIFS('Base bordo'!G$2:G$746,'Base bordo'!C$2:C$746,A441,'Base bordo'!B$2:B$746,B441,'Base bordo'!F$2:F$746,"SEM APONTAMENTO"),0)</f>
        <v>5.4166666666666669E-2</v>
      </c>
      <c r="O441" s="10">
        <f t="shared" si="48"/>
        <v>6.5758333333333354</v>
      </c>
      <c r="P441" s="10">
        <f>IFERROR(SUMIFS('Base bordo'!G$2:G$746,'Base bordo'!C$2:C$746,A441,'Base bordo'!B$2:B$746,B441),0)</f>
        <v>24.000000000000004</v>
      </c>
      <c r="Q441" s="10">
        <f>IFERROR(SUMIFS('Base bordo'!H$2:H$746,'Base bordo'!C$2:C$746,A441,'Base bordo'!B$2:B$746,B441,'Base bordo'!F$2:F$746,"DESLOCAMENTO VAZIO"),0)</f>
        <v>182003.76000000004</v>
      </c>
      <c r="R441" s="10">
        <f>IFERROR(SUMIFS('Base bordo'!I$2:I$746,'Base bordo'!C$2:C$746,A441,'Base bordo'!B$2:B$746,B441,'Base bordo'!F$2:F$746,"DESLOCAMENTO VAZIO"),0)</f>
        <v>7774</v>
      </c>
      <c r="S441" s="30">
        <f t="shared" si="49"/>
        <v>23.411854900951894</v>
      </c>
      <c r="T441" s="10">
        <f>IFERROR(SUMIFS('Base bordo'!H$2:H$746,'Base bordo'!C$2:C$746,A441,'Base bordo'!B$2:B$746,B441,'Base bordo'!F$2:F$746,"DESLOCAMENTO CARREGADO"),0)</f>
        <v>235509.89</v>
      </c>
      <c r="U441" s="10">
        <f>IFERROR(SUMIFS('Base bordo'!I$2:I$746,'Base bordo'!C$2:C$746,A441,'Base bordo'!B$2:B$746,B441,'Base bordo'!F$2:F$746,"DESLOCAMENTO CARREGADO"),0)</f>
        <v>8804</v>
      </c>
      <c r="V441" s="30">
        <f t="shared" si="50"/>
        <v>26.750328259881872</v>
      </c>
      <c r="W441" s="9">
        <f t="shared" si="51"/>
        <v>8.9976851851851836E-2</v>
      </c>
      <c r="X441" s="9">
        <f t="shared" si="52"/>
        <v>0.10189814814814813</v>
      </c>
      <c r="Y441" s="9">
        <f t="shared" si="53"/>
        <v>0.80812499999999998</v>
      </c>
    </row>
    <row r="442" spans="1:25" ht="15" customHeight="1" x14ac:dyDescent="0.35">
      <c r="A442" s="52">
        <v>8013482</v>
      </c>
      <c r="B442" s="51">
        <v>46118</v>
      </c>
      <c r="C442" s="7" t="s">
        <v>124</v>
      </c>
      <c r="D442" s="10">
        <f>IFERROR(SUMIFS('Base bordo'!G$2:G$746,'Base bordo'!C$2:C$746,A442,'Base bordo'!B$2:B$746,B442,'Base bordo'!F$2:F$746,"DESLOCAMENTO VAZIO"),0)</f>
        <v>0.37861111111111112</v>
      </c>
      <c r="E442" s="10">
        <f>IFERROR(SUMIFS('Base bordo'!G$2:G$746,'Base bordo'!C$2:C$746,A442,'Base bordo'!B$2:B$746,B442,'Base bordo'!F$2:F$746,"DESLOCAMENTO CARREGADO"),0)</f>
        <v>2.5222222222222221</v>
      </c>
      <c r="F442" s="10">
        <f>IFERROR(SUMIFS('Base bordo'!G$2:G$746,'Base bordo'!C$2:C$746,A442,'Base bordo'!B$2:B$746,B442,'Base bordo'!F$2:F$746,"DESLOCAMENTO"),0)</f>
        <v>0</v>
      </c>
      <c r="G442" s="10">
        <f>IFERROR(SUMIFS('Base bordo'!G$2:G$746,'Base bordo'!C$2:C$746,A442,'Base bordo'!B$2:B$746,B442,'Base bordo'!F$2:F$746,"CARREGAMENTO"),0)</f>
        <v>0</v>
      </c>
      <c r="H442" s="10">
        <f>IFERROR(SUMIFS('Base bordo'!G$2:G$746,'Base bordo'!C$2:C$746,A442,'Base bordo'!B$2:B$746,B442,'Base bordo'!F$2:F$746,"AGUARDANDO TRANSBORDO"),0)</f>
        <v>5.0149999999999997</v>
      </c>
      <c r="I442" s="10">
        <f>IFERROR(SUMIFS('Base bordo'!G$2:G$746,'Base bordo'!C$2:C$746,A442,'Base bordo'!B$2:B$746,B442,'Base bordo'!F$2:F$746,"PÁTIO INTERNO"),0)+IFERROR(SUMIFS('Base bordo'!G$2:G$746,'Base bordo'!C$2:C$746,A442,'Base bordo'!B$2:B$746,B442,'Base bordo'!F$2:F$746,"PÁTIO EXTERNO"),0)+IFERROR(SUMIFS('Base bordo'!G$2:G$746,'Base bordo'!C$2:C$746,A442,'Base bordo'!B$2:B$746,B442,'Base bordo'!F$2:F$746,"PATIO - RESERVA"),0)+IFERROR(SUMIFS('Base bordo'!G$2:G$746,'Base bordo'!C$2:C$746,A442,'Base bordo'!B$2:B$746,B442,'Base bordo'!F$2:F$746,"MANOBRA CARRETAS-PATIO"),0)</f>
        <v>3.0661111111111108</v>
      </c>
      <c r="J442" s="10">
        <f>IFERROR(SUMIFS('Base bordo'!G$2:G$746,'Base bordo'!C$2:C$746,A442,'Base bordo'!B$2:B$746,B442,'Base bordo'!F$2:F$746,"BALANÇA - ENTRADA"),0)+IFERROR(SUMIFS('Base bordo'!G$2:G$746,'Base bordo'!C$2:C$746,A442,'Base bordo'!B$2:B$746,B442,'Base bordo'!F$2:F$746,"BALANÇA - SAÍDA"),0)</f>
        <v>0.14555555555555555</v>
      </c>
      <c r="K442" s="10">
        <f>IFERROR(SUMIFS('Base bordo'!G$2:G$746,'Base bordo'!C$2:C$746,A442,'Base bordo'!B$2:B$746,B442,'Base bordo'!F$2:F$746,"MAN PREVENTIVA - MECANICA"),0)+IFERROR(SUMIFS('Base bordo'!G$2:G$746,'Base bordo'!C$2:C$746,A442,'Base bordo'!B$2:B$746,B442,'Base bordo'!F$2:F$746,"MAN CORRETIVA - MECANICA"),0)</f>
        <v>0</v>
      </c>
      <c r="L442" s="10">
        <f>IFERROR(SUMIFS('Base bordo'!G$2:G$746,'Base bordo'!C$2:C$746,A442,'Base bordo'!B$2:B$746,B442,'Base bordo'!F$2:F$746,"MANUTENCAO - T O"),0)+IFERROR(SUMIFS('Base bordo'!G$2:G$746,'Base bordo'!C$2:C$746,A442,'Base bordo'!B$2:B$746,B442,'Base bordo'!F$2:F$746,"MANUTENCAO BORRACHARIA"),0)+IFERROR(SUMIFS('Base bordo'!G$2:G$746,'Base bordo'!C$2:C$746,A442,'Base bordo'!B$2:B$746,B442,'Base bordo'!F$2:F$746,"MANUTENCAO EXTERNA  CONCESSIONARIA"),0)+IFERROR(SUMIFS('Base bordo'!G$2:G$746,'Base bordo'!C$2:C$746,A442,'Base bordo'!B$2:B$746,B442,'Base bordo'!F$2:F$746,"MANUTENCAO TELEMETRIA"),0)</f>
        <v>0</v>
      </c>
      <c r="M442" s="10">
        <f>IFERROR(SUMIFS('Base bordo'!G$2:G$746,'Base bordo'!C$2:C$746,A442,'Base bordo'!B$2:B$746,B442,'Base bordo'!F$2:F$746,"AGUARDANDO MANUTENCAO"),0)</f>
        <v>0</v>
      </c>
      <c r="N442" s="10">
        <f>IFERROR(SUMIFS('Base bordo'!G$2:G$746,'Base bordo'!C$2:C$746,A442,'Base bordo'!B$2:B$746,B442,'Base bordo'!F$2:F$746,"SEM APONTAMENTO"),0)</f>
        <v>0</v>
      </c>
      <c r="O442" s="10">
        <f t="shared" si="48"/>
        <v>0</v>
      </c>
      <c r="P442" s="10">
        <f>IFERROR(SUMIFS('Base bordo'!G$2:G$746,'Base bordo'!C$2:C$746,A442,'Base bordo'!B$2:B$746,B442),0)</f>
        <v>11.1275</v>
      </c>
      <c r="Q442" s="10">
        <f>IFERROR(SUMIFS('Base bordo'!H$2:H$746,'Base bordo'!C$2:C$746,A442,'Base bordo'!B$2:B$746,B442,'Base bordo'!F$2:F$746,"DESLOCAMENTO VAZIO"),0)</f>
        <v>7195.82</v>
      </c>
      <c r="R442" s="10">
        <f>IFERROR(SUMIFS('Base bordo'!I$2:I$746,'Base bordo'!C$2:C$746,A442,'Base bordo'!B$2:B$746,B442,'Base bordo'!F$2:F$746,"DESLOCAMENTO VAZIO"),0)</f>
        <v>1363</v>
      </c>
      <c r="S442" s="30">
        <f t="shared" si="49"/>
        <v>5.2793983859134261</v>
      </c>
      <c r="T442" s="10">
        <f>IFERROR(SUMIFS('Base bordo'!H$2:H$746,'Base bordo'!C$2:C$746,A442,'Base bordo'!B$2:B$746,B442,'Base bordo'!F$2:F$746,"DESLOCAMENTO CARREGADO"),0)</f>
        <v>221650.07</v>
      </c>
      <c r="U442" s="10">
        <f>IFERROR(SUMIFS('Base bordo'!I$2:I$746,'Base bordo'!C$2:C$746,A442,'Base bordo'!B$2:B$746,B442,'Base bordo'!F$2:F$746,"DESLOCAMENTO CARREGADO"),0)</f>
        <v>9080</v>
      </c>
      <c r="V442" s="30">
        <f t="shared" si="50"/>
        <v>24.410800660792951</v>
      </c>
      <c r="W442" s="9">
        <f t="shared" si="51"/>
        <v>3.4024813400234659E-2</v>
      </c>
      <c r="X442" s="9">
        <f t="shared" si="52"/>
        <v>0.22666566813949424</v>
      </c>
      <c r="Y442" s="9">
        <f t="shared" si="53"/>
        <v>0.73930951846027115</v>
      </c>
    </row>
    <row r="443" spans="1:25" ht="15" customHeight="1" x14ac:dyDescent="0.35">
      <c r="A443" s="52">
        <v>8013472</v>
      </c>
      <c r="B443" s="51">
        <v>46124</v>
      </c>
      <c r="C443" s="7" t="s">
        <v>124</v>
      </c>
      <c r="D443" s="10">
        <f>IFERROR(SUMIFS('Base bordo'!G$2:G$746,'Base bordo'!C$2:C$746,A443,'Base bordo'!B$2:B$746,B443,'Base bordo'!F$2:F$746,"DESLOCAMENTO VAZIO"),0)</f>
        <v>3.0741666666666667</v>
      </c>
      <c r="E443" s="10">
        <f>IFERROR(SUMIFS('Base bordo'!G$2:G$746,'Base bordo'!C$2:C$746,A443,'Base bordo'!B$2:B$746,B443,'Base bordo'!F$2:F$746,"DESLOCAMENTO CARREGADO"),0)</f>
        <v>4.4763888888888888</v>
      </c>
      <c r="F443" s="10">
        <f>IFERROR(SUMIFS('Base bordo'!G$2:G$746,'Base bordo'!C$2:C$746,A443,'Base bordo'!B$2:B$746,B443,'Base bordo'!F$2:F$746,"DESLOCAMENTO"),0)</f>
        <v>0</v>
      </c>
      <c r="G443" s="10">
        <f>IFERROR(SUMIFS('Base bordo'!G$2:G$746,'Base bordo'!C$2:C$746,A443,'Base bordo'!B$2:B$746,B443,'Base bordo'!F$2:F$746,"CARREGAMENTO"),0)</f>
        <v>0</v>
      </c>
      <c r="H443" s="10">
        <f>IFERROR(SUMIFS('Base bordo'!G$2:G$746,'Base bordo'!C$2:C$746,A443,'Base bordo'!B$2:B$746,B443,'Base bordo'!F$2:F$746,"AGUARDANDO TRANSBORDO"),0)</f>
        <v>0.55777777777777782</v>
      </c>
      <c r="I443" s="10">
        <f>IFERROR(SUMIFS('Base bordo'!G$2:G$746,'Base bordo'!C$2:C$746,A443,'Base bordo'!B$2:B$746,B443,'Base bordo'!F$2:F$746,"PÁTIO INTERNO"),0)+IFERROR(SUMIFS('Base bordo'!G$2:G$746,'Base bordo'!C$2:C$746,A443,'Base bordo'!B$2:B$746,B443,'Base bordo'!F$2:F$746,"PÁTIO EXTERNO"),0)+IFERROR(SUMIFS('Base bordo'!G$2:G$746,'Base bordo'!C$2:C$746,A443,'Base bordo'!B$2:B$746,B443,'Base bordo'!F$2:F$746,"PATIO - RESERVA"),0)+IFERROR(SUMIFS('Base bordo'!G$2:G$746,'Base bordo'!C$2:C$746,A443,'Base bordo'!B$2:B$746,B443,'Base bordo'!F$2:F$746,"MANOBRA CARRETAS-PATIO"),0)</f>
        <v>4.0902777777777777</v>
      </c>
      <c r="J443" s="10">
        <f>IFERROR(SUMIFS('Base bordo'!G$2:G$746,'Base bordo'!C$2:C$746,A443,'Base bordo'!B$2:B$746,B443,'Base bordo'!F$2:F$746,"BALANÇA - ENTRADA"),0)+IFERROR(SUMIFS('Base bordo'!G$2:G$746,'Base bordo'!C$2:C$746,A443,'Base bordo'!B$2:B$746,B443,'Base bordo'!F$2:F$746,"BALANÇA - SAÍDA"),0)</f>
        <v>5.5555555555555552E-2</v>
      </c>
      <c r="K443" s="10">
        <f>IFERROR(SUMIFS('Base bordo'!G$2:G$746,'Base bordo'!C$2:C$746,A443,'Base bordo'!B$2:B$746,B443,'Base bordo'!F$2:F$746,"MAN PREVENTIVA - MECANICA"),0)+IFERROR(SUMIFS('Base bordo'!G$2:G$746,'Base bordo'!C$2:C$746,A443,'Base bordo'!B$2:B$746,B443,'Base bordo'!F$2:F$746,"MAN CORRETIVA - MECANICA"),0)</f>
        <v>0</v>
      </c>
      <c r="L443" s="10">
        <f>IFERROR(SUMIFS('Base bordo'!G$2:G$746,'Base bordo'!C$2:C$746,A443,'Base bordo'!B$2:B$746,B443,'Base bordo'!F$2:F$746,"MANUTENCAO - T O"),0)+IFERROR(SUMIFS('Base bordo'!G$2:G$746,'Base bordo'!C$2:C$746,A443,'Base bordo'!B$2:B$746,B443,'Base bordo'!F$2:F$746,"MANUTENCAO BORRACHARIA"),0)+IFERROR(SUMIFS('Base bordo'!G$2:G$746,'Base bordo'!C$2:C$746,A443,'Base bordo'!B$2:B$746,B443,'Base bordo'!F$2:F$746,"MANUTENCAO EXTERNA  CONCESSIONARIA"),0)+IFERROR(SUMIFS('Base bordo'!G$2:G$746,'Base bordo'!C$2:C$746,A443,'Base bordo'!B$2:B$746,B443,'Base bordo'!F$2:F$746,"MANUTENCAO TELEMETRIA"),0)</f>
        <v>0</v>
      </c>
      <c r="M443" s="10">
        <f>IFERROR(SUMIFS('Base bordo'!G$2:G$746,'Base bordo'!C$2:C$746,A443,'Base bordo'!B$2:B$746,B443,'Base bordo'!F$2:F$746,"AGUARDANDO MANUTENCAO"),0)</f>
        <v>0</v>
      </c>
      <c r="N443" s="10">
        <f>IFERROR(SUMIFS('Base bordo'!G$2:G$746,'Base bordo'!C$2:C$746,A443,'Base bordo'!B$2:B$746,B443,'Base bordo'!F$2:F$746,"SEM APONTAMENTO"),0)</f>
        <v>0</v>
      </c>
      <c r="O443" s="10">
        <f t="shared" si="48"/>
        <v>3.5527136788005009E-15</v>
      </c>
      <c r="P443" s="10">
        <f>IFERROR(SUMIFS('Base bordo'!G$2:G$746,'Base bordo'!C$2:C$746,A443,'Base bordo'!B$2:B$746,B443),0)</f>
        <v>12.254166666666668</v>
      </c>
      <c r="Q443" s="10">
        <f>IFERROR(SUMIFS('Base bordo'!H$2:H$746,'Base bordo'!C$2:C$746,A443,'Base bordo'!B$2:B$746,B443,'Base bordo'!F$2:F$746,"DESLOCAMENTO VAZIO"),0)</f>
        <v>415361.29000000004</v>
      </c>
      <c r="R443" s="10">
        <f>IFERROR(SUMIFS('Base bordo'!I$2:I$746,'Base bordo'!C$2:C$746,A443,'Base bordo'!B$2:B$746,B443,'Base bordo'!F$2:F$746,"DESLOCAMENTO VAZIO"),0)</f>
        <v>11067</v>
      </c>
      <c r="S443" s="30">
        <f t="shared" si="49"/>
        <v>37.531516219390987</v>
      </c>
      <c r="T443" s="10">
        <f>IFERROR(SUMIFS('Base bordo'!H$2:H$746,'Base bordo'!C$2:C$746,A443,'Base bordo'!B$2:B$746,B443,'Base bordo'!F$2:F$746,"DESLOCAMENTO CARREGADO"),0)</f>
        <v>393703.57999999996</v>
      </c>
      <c r="U443" s="10">
        <f>IFERROR(SUMIFS('Base bordo'!I$2:I$746,'Base bordo'!C$2:C$746,A443,'Base bordo'!B$2:B$746,B443,'Base bordo'!F$2:F$746,"DESLOCAMENTO CARREGADO"),0)</f>
        <v>16115</v>
      </c>
      <c r="V443" s="30">
        <f t="shared" si="50"/>
        <v>24.430876822835863</v>
      </c>
      <c r="W443" s="9">
        <f t="shared" si="51"/>
        <v>0.25086705202312137</v>
      </c>
      <c r="X443" s="9">
        <f t="shared" si="52"/>
        <v>0.36529525104839616</v>
      </c>
      <c r="Y443" s="9">
        <f t="shared" si="53"/>
        <v>0.38383769692848246</v>
      </c>
    </row>
    <row r="444" spans="1:25" ht="15" customHeight="1" x14ac:dyDescent="0.35">
      <c r="A444" s="52">
        <v>8013473</v>
      </c>
      <c r="B444" s="51">
        <v>46117</v>
      </c>
      <c r="C444" s="7" t="s">
        <v>124</v>
      </c>
      <c r="D444" s="10">
        <f>IFERROR(SUMIFS('Base bordo'!G$2:G$746,'Base bordo'!C$2:C$746,A444,'Base bordo'!B$2:B$746,B444,'Base bordo'!F$2:F$746,"DESLOCAMENTO VAZIO"),0)</f>
        <v>1.3711111111111112</v>
      </c>
      <c r="E444" s="10">
        <f>IFERROR(SUMIFS('Base bordo'!G$2:G$746,'Base bordo'!C$2:C$746,A444,'Base bordo'!B$2:B$746,B444,'Base bordo'!F$2:F$746,"DESLOCAMENTO CARREGADO"),0)</f>
        <v>0</v>
      </c>
      <c r="F444" s="10">
        <f>IFERROR(SUMIFS('Base bordo'!G$2:G$746,'Base bordo'!C$2:C$746,A444,'Base bordo'!B$2:B$746,B444,'Base bordo'!F$2:F$746,"DESLOCAMENTO"),0)</f>
        <v>0</v>
      </c>
      <c r="G444" s="10">
        <f>IFERROR(SUMIFS('Base bordo'!G$2:G$746,'Base bordo'!C$2:C$746,A444,'Base bordo'!B$2:B$746,B444,'Base bordo'!F$2:F$746,"CARREGAMENTO"),0)</f>
        <v>3.9011111111111112</v>
      </c>
      <c r="H444" s="10">
        <f>IFERROR(SUMIFS('Base bordo'!G$2:G$746,'Base bordo'!C$2:C$746,A444,'Base bordo'!B$2:B$746,B444,'Base bordo'!F$2:F$746,"AGUARDANDO TRANSBORDO"),0)</f>
        <v>0.88972222222222219</v>
      </c>
      <c r="I444" s="10">
        <f>IFERROR(SUMIFS('Base bordo'!G$2:G$746,'Base bordo'!C$2:C$746,A444,'Base bordo'!B$2:B$746,B444,'Base bordo'!F$2:F$746,"PÁTIO INTERNO"),0)+IFERROR(SUMIFS('Base bordo'!G$2:G$746,'Base bordo'!C$2:C$746,A444,'Base bordo'!B$2:B$746,B444,'Base bordo'!F$2:F$746,"PÁTIO EXTERNO"),0)+IFERROR(SUMIFS('Base bordo'!G$2:G$746,'Base bordo'!C$2:C$746,A444,'Base bordo'!B$2:B$746,B444,'Base bordo'!F$2:F$746,"PATIO - RESERVA"),0)+IFERROR(SUMIFS('Base bordo'!G$2:G$746,'Base bordo'!C$2:C$746,A444,'Base bordo'!B$2:B$746,B444,'Base bordo'!F$2:F$746,"MANOBRA CARRETAS-PATIO"),0)</f>
        <v>0</v>
      </c>
      <c r="J444" s="10">
        <f>IFERROR(SUMIFS('Base bordo'!G$2:G$746,'Base bordo'!C$2:C$746,A444,'Base bordo'!B$2:B$746,B444,'Base bordo'!F$2:F$746,"BALANÇA - ENTRADA"),0)+IFERROR(SUMIFS('Base bordo'!G$2:G$746,'Base bordo'!C$2:C$746,A444,'Base bordo'!B$2:B$746,B444,'Base bordo'!F$2:F$746,"BALANÇA - SAÍDA"),0)</f>
        <v>0</v>
      </c>
      <c r="K444" s="10">
        <f>IFERROR(SUMIFS('Base bordo'!G$2:G$746,'Base bordo'!C$2:C$746,A444,'Base bordo'!B$2:B$746,B444,'Base bordo'!F$2:F$746,"MAN PREVENTIVA - MECANICA"),0)+IFERROR(SUMIFS('Base bordo'!G$2:G$746,'Base bordo'!C$2:C$746,A444,'Base bordo'!B$2:B$746,B444,'Base bordo'!F$2:F$746,"MAN CORRETIVA - MECANICA"),0)</f>
        <v>0</v>
      </c>
      <c r="L444" s="10">
        <f>IFERROR(SUMIFS('Base bordo'!G$2:G$746,'Base bordo'!C$2:C$746,A444,'Base bordo'!B$2:B$746,B444,'Base bordo'!F$2:F$746,"MANUTENCAO - T O"),0)+IFERROR(SUMIFS('Base bordo'!G$2:G$746,'Base bordo'!C$2:C$746,A444,'Base bordo'!B$2:B$746,B444,'Base bordo'!F$2:F$746,"MANUTENCAO BORRACHARIA"),0)+IFERROR(SUMIFS('Base bordo'!G$2:G$746,'Base bordo'!C$2:C$746,A444,'Base bordo'!B$2:B$746,B444,'Base bordo'!F$2:F$746,"MANUTENCAO EXTERNA  CONCESSIONARIA"),0)+IFERROR(SUMIFS('Base bordo'!G$2:G$746,'Base bordo'!C$2:C$746,A444,'Base bordo'!B$2:B$746,B444,'Base bordo'!F$2:F$746,"MANUTENCAO TELEMETRIA"),0)</f>
        <v>17.566666666666666</v>
      </c>
      <c r="M444" s="10">
        <f>IFERROR(SUMIFS('Base bordo'!G$2:G$746,'Base bordo'!C$2:C$746,A444,'Base bordo'!B$2:B$746,B444,'Base bordo'!F$2:F$746,"AGUARDANDO MANUTENCAO"),0)</f>
        <v>0</v>
      </c>
      <c r="N444" s="10">
        <f>IFERROR(SUMIFS('Base bordo'!G$2:G$746,'Base bordo'!C$2:C$746,A444,'Base bordo'!B$2:B$746,B444,'Base bordo'!F$2:F$746,"SEM APONTAMENTO"),0)</f>
        <v>0</v>
      </c>
      <c r="O444" s="10">
        <f t="shared" si="48"/>
        <v>0.27138888888888957</v>
      </c>
      <c r="P444" s="10">
        <f>IFERROR(SUMIFS('Base bordo'!G$2:G$746,'Base bordo'!C$2:C$746,A444,'Base bordo'!B$2:B$746,B444),0)</f>
        <v>24</v>
      </c>
      <c r="Q444" s="10">
        <f>IFERROR(SUMIFS('Base bordo'!H$2:H$746,'Base bordo'!C$2:C$746,A444,'Base bordo'!B$2:B$746,B444,'Base bordo'!F$2:F$746,"DESLOCAMENTO VAZIO"),0)</f>
        <v>219779.48</v>
      </c>
      <c r="R444" s="10">
        <f>IFERROR(SUMIFS('Base bordo'!I$2:I$746,'Base bordo'!C$2:C$746,A444,'Base bordo'!B$2:B$746,B444,'Base bordo'!F$2:F$746,"DESLOCAMENTO VAZIO"),0)</f>
        <v>4936</v>
      </c>
      <c r="S444" s="30">
        <f t="shared" si="49"/>
        <v>44.525826580226905</v>
      </c>
      <c r="T444" s="10">
        <f>IFERROR(SUMIFS('Base bordo'!H$2:H$746,'Base bordo'!C$2:C$746,A444,'Base bordo'!B$2:B$746,B444,'Base bordo'!F$2:F$746,"DESLOCAMENTO CARREGADO"),0)</f>
        <v>0</v>
      </c>
      <c r="U444" s="10">
        <f>IFERROR(SUMIFS('Base bordo'!I$2:I$746,'Base bordo'!C$2:C$746,A444,'Base bordo'!B$2:B$746,B444,'Base bordo'!F$2:F$746,"DESLOCAMENTO CARREGADO"),0)</f>
        <v>0</v>
      </c>
      <c r="V444" s="30" t="str">
        <f t="shared" si="50"/>
        <v/>
      </c>
      <c r="W444" s="9">
        <f t="shared" si="51"/>
        <v>5.7129629629629634E-2</v>
      </c>
      <c r="X444" s="9">
        <f t="shared" si="52"/>
        <v>0</v>
      </c>
      <c r="Y444" s="9">
        <f t="shared" si="53"/>
        <v>0.94287037037037036</v>
      </c>
    </row>
    <row r="445" spans="1:25" ht="15" customHeight="1" x14ac:dyDescent="0.35">
      <c r="A445" s="52">
        <v>8013469</v>
      </c>
      <c r="B445" s="51">
        <v>46124</v>
      </c>
      <c r="C445" s="7" t="s">
        <v>124</v>
      </c>
      <c r="D445" s="10">
        <f>IFERROR(SUMIFS('Base bordo'!G$2:G$746,'Base bordo'!C$2:C$746,A445,'Base bordo'!B$2:B$746,B445,'Base bordo'!F$2:F$746,"DESLOCAMENTO VAZIO"),0)</f>
        <v>2.4083333333333332</v>
      </c>
      <c r="E445" s="10">
        <f>IFERROR(SUMIFS('Base bordo'!G$2:G$746,'Base bordo'!C$2:C$746,A445,'Base bordo'!B$2:B$746,B445,'Base bordo'!F$2:F$746,"DESLOCAMENTO CARREGADO"),0)</f>
        <v>1.3047222222222221</v>
      </c>
      <c r="F445" s="10">
        <f>IFERROR(SUMIFS('Base bordo'!G$2:G$746,'Base bordo'!C$2:C$746,A445,'Base bordo'!B$2:B$746,B445,'Base bordo'!F$2:F$746,"DESLOCAMENTO"),0)</f>
        <v>0</v>
      </c>
      <c r="G445" s="10">
        <f>IFERROR(SUMIFS('Base bordo'!G$2:G$746,'Base bordo'!C$2:C$746,A445,'Base bordo'!B$2:B$746,B445,'Base bordo'!F$2:F$746,"CARREGAMENTO"),0)</f>
        <v>0</v>
      </c>
      <c r="H445" s="10">
        <f>IFERROR(SUMIFS('Base bordo'!G$2:G$746,'Base bordo'!C$2:C$746,A445,'Base bordo'!B$2:B$746,B445,'Base bordo'!F$2:F$746,"AGUARDANDO TRANSBORDO"),0)</f>
        <v>0</v>
      </c>
      <c r="I445" s="10">
        <f>IFERROR(SUMIFS('Base bordo'!G$2:G$746,'Base bordo'!C$2:C$746,A445,'Base bordo'!B$2:B$746,B445,'Base bordo'!F$2:F$746,"PÁTIO INTERNO"),0)+IFERROR(SUMIFS('Base bordo'!G$2:G$746,'Base bordo'!C$2:C$746,A445,'Base bordo'!B$2:B$746,B445,'Base bordo'!F$2:F$746,"PÁTIO EXTERNO"),0)+IFERROR(SUMIFS('Base bordo'!G$2:G$746,'Base bordo'!C$2:C$746,A445,'Base bordo'!B$2:B$746,B445,'Base bordo'!F$2:F$746,"PATIO - RESERVA"),0)+IFERROR(SUMIFS('Base bordo'!G$2:G$746,'Base bordo'!C$2:C$746,A445,'Base bordo'!B$2:B$746,B445,'Base bordo'!F$2:F$746,"MANOBRA CARRETAS-PATIO"),0)</f>
        <v>6.987222222222222</v>
      </c>
      <c r="J445" s="10">
        <f>IFERROR(SUMIFS('Base bordo'!G$2:G$746,'Base bordo'!C$2:C$746,A445,'Base bordo'!B$2:B$746,B445,'Base bordo'!F$2:F$746,"BALANÇA - ENTRADA"),0)+IFERROR(SUMIFS('Base bordo'!G$2:G$746,'Base bordo'!C$2:C$746,A445,'Base bordo'!B$2:B$746,B445,'Base bordo'!F$2:F$746,"BALANÇA - SAÍDA"),0)</f>
        <v>0.10888888888888888</v>
      </c>
      <c r="K445" s="10">
        <f>IFERROR(SUMIFS('Base bordo'!G$2:G$746,'Base bordo'!C$2:C$746,A445,'Base bordo'!B$2:B$746,B445,'Base bordo'!F$2:F$746,"MAN PREVENTIVA - MECANICA"),0)+IFERROR(SUMIFS('Base bordo'!G$2:G$746,'Base bordo'!C$2:C$746,A445,'Base bordo'!B$2:B$746,B445,'Base bordo'!F$2:F$746,"MAN CORRETIVA - MECANICA"),0)</f>
        <v>0</v>
      </c>
      <c r="L445" s="10">
        <f>IFERROR(SUMIFS('Base bordo'!G$2:G$746,'Base bordo'!C$2:C$746,A445,'Base bordo'!B$2:B$746,B445,'Base bordo'!F$2:F$746,"MANUTENCAO - T O"),0)+IFERROR(SUMIFS('Base bordo'!G$2:G$746,'Base bordo'!C$2:C$746,A445,'Base bordo'!B$2:B$746,B445,'Base bordo'!F$2:F$746,"MANUTENCAO BORRACHARIA"),0)+IFERROR(SUMIFS('Base bordo'!G$2:G$746,'Base bordo'!C$2:C$746,A445,'Base bordo'!B$2:B$746,B445,'Base bordo'!F$2:F$746,"MANUTENCAO EXTERNA  CONCESSIONARIA"),0)+IFERROR(SUMIFS('Base bordo'!G$2:G$746,'Base bordo'!C$2:C$746,A445,'Base bordo'!B$2:B$746,B445,'Base bordo'!F$2:F$746,"MANUTENCAO TELEMETRIA"),0)</f>
        <v>0</v>
      </c>
      <c r="M445" s="10">
        <f>IFERROR(SUMIFS('Base bordo'!G$2:G$746,'Base bordo'!C$2:C$746,A445,'Base bordo'!B$2:B$746,B445,'Base bordo'!F$2:F$746,"AGUARDANDO MANUTENCAO"),0)</f>
        <v>0</v>
      </c>
      <c r="N445" s="10">
        <f>IFERROR(SUMIFS('Base bordo'!G$2:G$746,'Base bordo'!C$2:C$746,A445,'Base bordo'!B$2:B$746,B445,'Base bordo'!F$2:F$746,"SEM APONTAMENTO"),0)</f>
        <v>0</v>
      </c>
      <c r="O445" s="10">
        <f t="shared" si="48"/>
        <v>1.7763568394002505E-15</v>
      </c>
      <c r="P445" s="10">
        <f>IFERROR(SUMIFS('Base bordo'!G$2:G$746,'Base bordo'!C$2:C$746,A445,'Base bordo'!B$2:B$746,B445),0)</f>
        <v>10.809166666666668</v>
      </c>
      <c r="Q445" s="10">
        <f>IFERROR(SUMIFS('Base bordo'!H$2:H$746,'Base bordo'!C$2:C$746,A445,'Base bordo'!B$2:B$746,B445,'Base bordo'!F$2:F$746,"DESLOCAMENTO VAZIO"),0)</f>
        <v>279312.71000000002</v>
      </c>
      <c r="R445" s="10">
        <f>IFERROR(SUMIFS('Base bordo'!I$2:I$746,'Base bordo'!C$2:C$746,A445,'Base bordo'!B$2:B$746,B445,'Base bordo'!F$2:F$746,"DESLOCAMENTO VAZIO"),0)</f>
        <v>8670</v>
      </c>
      <c r="S445" s="30">
        <f t="shared" si="49"/>
        <v>32.215998846597465</v>
      </c>
      <c r="T445" s="10">
        <f>IFERROR(SUMIFS('Base bordo'!H$2:H$746,'Base bordo'!C$2:C$746,A445,'Base bordo'!B$2:B$746,B445,'Base bordo'!F$2:F$746,"DESLOCAMENTO CARREGADO"),0)</f>
        <v>82241.990000000005</v>
      </c>
      <c r="U445" s="10">
        <f>IFERROR(SUMIFS('Base bordo'!I$2:I$746,'Base bordo'!C$2:C$746,A445,'Base bordo'!B$2:B$746,B445,'Base bordo'!F$2:F$746,"DESLOCAMENTO CARREGADO"),0)</f>
        <v>4697</v>
      </c>
      <c r="V445" s="30">
        <f t="shared" si="50"/>
        <v>17.50947200340643</v>
      </c>
      <c r="W445" s="9">
        <f t="shared" si="51"/>
        <v>0.22280471821756223</v>
      </c>
      <c r="X445" s="9">
        <f t="shared" si="52"/>
        <v>0.12070516279906456</v>
      </c>
      <c r="Y445" s="9">
        <f t="shared" si="53"/>
        <v>0.65649011898337317</v>
      </c>
    </row>
    <row r="446" spans="1:25" ht="15" customHeight="1" x14ac:dyDescent="0.35">
      <c r="A446" s="52">
        <v>8013461</v>
      </c>
      <c r="B446" s="51">
        <v>46119</v>
      </c>
      <c r="C446" s="7" t="s">
        <v>124</v>
      </c>
      <c r="D446" s="10">
        <f>IFERROR(SUMIFS('Base bordo'!G$2:G$746,'Base bordo'!C$2:C$746,A446,'Base bordo'!B$2:B$746,B446,'Base bordo'!F$2:F$746,"DESLOCAMENTO VAZIO"),0)</f>
        <v>1.4069444444444446</v>
      </c>
      <c r="E446" s="10">
        <f>IFERROR(SUMIFS('Base bordo'!G$2:G$746,'Base bordo'!C$2:C$746,A446,'Base bordo'!B$2:B$746,B446,'Base bordo'!F$2:F$746,"DESLOCAMENTO CARREGADO"),0)</f>
        <v>1.8011111111111111</v>
      </c>
      <c r="F446" s="10">
        <f>IFERROR(SUMIFS('Base bordo'!G$2:G$746,'Base bordo'!C$2:C$746,A446,'Base bordo'!B$2:B$746,B446,'Base bordo'!F$2:F$746,"DESLOCAMENTO"),0)</f>
        <v>0</v>
      </c>
      <c r="G446" s="10">
        <f>IFERROR(SUMIFS('Base bordo'!G$2:G$746,'Base bordo'!C$2:C$746,A446,'Base bordo'!B$2:B$746,B446,'Base bordo'!F$2:F$746,"CARREGAMENTO"),0)</f>
        <v>0</v>
      </c>
      <c r="H446" s="10">
        <f>IFERROR(SUMIFS('Base bordo'!G$2:G$746,'Base bordo'!C$2:C$746,A446,'Base bordo'!B$2:B$746,B446,'Base bordo'!F$2:F$746,"AGUARDANDO TRANSBORDO"),0)</f>
        <v>0.2011111111111111</v>
      </c>
      <c r="I446" s="10">
        <f>IFERROR(SUMIFS('Base bordo'!G$2:G$746,'Base bordo'!C$2:C$746,A446,'Base bordo'!B$2:B$746,B446,'Base bordo'!F$2:F$746,"PÁTIO INTERNO"),0)+IFERROR(SUMIFS('Base bordo'!G$2:G$746,'Base bordo'!C$2:C$746,A446,'Base bordo'!B$2:B$746,B446,'Base bordo'!F$2:F$746,"PÁTIO EXTERNO"),0)+IFERROR(SUMIFS('Base bordo'!G$2:G$746,'Base bordo'!C$2:C$746,A446,'Base bordo'!B$2:B$746,B446,'Base bordo'!F$2:F$746,"PATIO - RESERVA"),0)+IFERROR(SUMIFS('Base bordo'!G$2:G$746,'Base bordo'!C$2:C$746,A446,'Base bordo'!B$2:B$746,B446,'Base bordo'!F$2:F$746,"MANOBRA CARRETAS-PATIO"),0)</f>
        <v>8.8375000000000004</v>
      </c>
      <c r="J446" s="10">
        <f>IFERROR(SUMIFS('Base bordo'!G$2:G$746,'Base bordo'!C$2:C$746,A446,'Base bordo'!B$2:B$746,B446,'Base bordo'!F$2:F$746,"BALANÇA - ENTRADA"),0)+IFERROR(SUMIFS('Base bordo'!G$2:G$746,'Base bordo'!C$2:C$746,A446,'Base bordo'!B$2:B$746,B446,'Base bordo'!F$2:F$746,"BALANÇA - SAÍDA"),0)</f>
        <v>0.15</v>
      </c>
      <c r="K446" s="10">
        <f>IFERROR(SUMIFS('Base bordo'!G$2:G$746,'Base bordo'!C$2:C$746,A446,'Base bordo'!B$2:B$746,B446,'Base bordo'!F$2:F$746,"MAN PREVENTIVA - MECANICA"),0)+IFERROR(SUMIFS('Base bordo'!G$2:G$746,'Base bordo'!C$2:C$746,A446,'Base bordo'!B$2:B$746,B446,'Base bordo'!F$2:F$746,"MAN CORRETIVA - MECANICA"),0)</f>
        <v>0</v>
      </c>
      <c r="L446" s="10">
        <f>IFERROR(SUMIFS('Base bordo'!G$2:G$746,'Base bordo'!C$2:C$746,A446,'Base bordo'!B$2:B$746,B446,'Base bordo'!F$2:F$746,"MANUTENCAO - T O"),0)+IFERROR(SUMIFS('Base bordo'!G$2:G$746,'Base bordo'!C$2:C$746,A446,'Base bordo'!B$2:B$746,B446,'Base bordo'!F$2:F$746,"MANUTENCAO BORRACHARIA"),0)+IFERROR(SUMIFS('Base bordo'!G$2:G$746,'Base bordo'!C$2:C$746,A446,'Base bordo'!B$2:B$746,B446,'Base bordo'!F$2:F$746,"MANUTENCAO EXTERNA  CONCESSIONARIA"),0)+IFERROR(SUMIFS('Base bordo'!G$2:G$746,'Base bordo'!C$2:C$746,A446,'Base bordo'!B$2:B$746,B446,'Base bordo'!F$2:F$746,"MANUTENCAO TELEMETRIA"),0)</f>
        <v>0</v>
      </c>
      <c r="M446" s="10">
        <f>IFERROR(SUMIFS('Base bordo'!G$2:G$746,'Base bordo'!C$2:C$746,A446,'Base bordo'!B$2:B$746,B446,'Base bordo'!F$2:F$746,"AGUARDANDO MANUTENCAO"),0)</f>
        <v>0</v>
      </c>
      <c r="N446" s="10">
        <f>IFERROR(SUMIFS('Base bordo'!G$2:G$746,'Base bordo'!C$2:C$746,A446,'Base bordo'!B$2:B$746,B446,'Base bordo'!F$2:F$746,"SEM APONTAMENTO"),0)</f>
        <v>0</v>
      </c>
      <c r="O446" s="10">
        <f t="shared" si="48"/>
        <v>0.18333333333333357</v>
      </c>
      <c r="P446" s="10">
        <f>IFERROR(SUMIFS('Base bordo'!G$2:G$746,'Base bordo'!C$2:C$746,A446,'Base bordo'!B$2:B$746,B446),0)</f>
        <v>12.58</v>
      </c>
      <c r="Q446" s="10">
        <f>IFERROR(SUMIFS('Base bordo'!H$2:H$746,'Base bordo'!C$2:C$746,A446,'Base bordo'!B$2:B$746,B446,'Base bordo'!F$2:F$746,"DESLOCAMENTO VAZIO"),0)</f>
        <v>177546.48</v>
      </c>
      <c r="R446" s="10">
        <f>IFERROR(SUMIFS('Base bordo'!I$2:I$746,'Base bordo'!C$2:C$746,A446,'Base bordo'!B$2:B$746,B446,'Base bordo'!F$2:F$746,"DESLOCAMENTO VAZIO"),0)</f>
        <v>5065</v>
      </c>
      <c r="S446" s="30">
        <f t="shared" si="49"/>
        <v>35.05359921026654</v>
      </c>
      <c r="T446" s="10">
        <f>IFERROR(SUMIFS('Base bordo'!H$2:H$746,'Base bordo'!C$2:C$746,A446,'Base bordo'!B$2:B$746,B446,'Base bordo'!F$2:F$746,"DESLOCAMENTO CARREGADO"),0)</f>
        <v>173551.50000000003</v>
      </c>
      <c r="U446" s="10">
        <f>IFERROR(SUMIFS('Base bordo'!I$2:I$746,'Base bordo'!C$2:C$746,A446,'Base bordo'!B$2:B$746,B446,'Base bordo'!F$2:F$746,"DESLOCAMENTO CARREGADO"),0)</f>
        <v>6484</v>
      </c>
      <c r="V446" s="30">
        <f t="shared" si="50"/>
        <v>26.766116594694637</v>
      </c>
      <c r="W446" s="9">
        <f t="shared" si="51"/>
        <v>0.11183978095742803</v>
      </c>
      <c r="X446" s="9">
        <f t="shared" si="52"/>
        <v>0.14317258434905494</v>
      </c>
      <c r="Y446" s="9">
        <f t="shared" si="53"/>
        <v>0.74498763469351703</v>
      </c>
    </row>
    <row r="447" spans="1:25" ht="15" customHeight="1" x14ac:dyDescent="0.35">
      <c r="A447" s="52">
        <v>8013470</v>
      </c>
      <c r="B447" s="51">
        <v>46118</v>
      </c>
      <c r="C447" s="7" t="s">
        <v>124</v>
      </c>
      <c r="D447" s="10">
        <f>IFERROR(SUMIFS('Base bordo'!G$2:G$746,'Base bordo'!C$2:C$746,A447,'Base bordo'!B$2:B$746,B447,'Base bordo'!F$2:F$746,"DESLOCAMENTO VAZIO"),0)</f>
        <v>1.7397222222222222</v>
      </c>
      <c r="E447" s="10">
        <f>IFERROR(SUMIFS('Base bordo'!G$2:G$746,'Base bordo'!C$2:C$746,A447,'Base bordo'!B$2:B$746,B447,'Base bordo'!F$2:F$746,"DESLOCAMENTO CARREGADO"),0)</f>
        <v>3.5305555555555554</v>
      </c>
      <c r="F447" s="10">
        <f>IFERROR(SUMIFS('Base bordo'!G$2:G$746,'Base bordo'!C$2:C$746,A447,'Base bordo'!B$2:B$746,B447,'Base bordo'!F$2:F$746,"DESLOCAMENTO"),0)</f>
        <v>0</v>
      </c>
      <c r="G447" s="10">
        <f>IFERROR(SUMIFS('Base bordo'!G$2:G$746,'Base bordo'!C$2:C$746,A447,'Base bordo'!B$2:B$746,B447,'Base bordo'!F$2:F$746,"CARREGAMENTO"),0)</f>
        <v>2.911111111111111</v>
      </c>
      <c r="H447" s="10">
        <f>IFERROR(SUMIFS('Base bordo'!G$2:G$746,'Base bordo'!C$2:C$746,A447,'Base bordo'!B$2:B$746,B447,'Base bordo'!F$2:F$746,"AGUARDANDO TRANSBORDO"),0)</f>
        <v>0.85194444444444439</v>
      </c>
      <c r="I447" s="10">
        <f>IFERROR(SUMIFS('Base bordo'!G$2:G$746,'Base bordo'!C$2:C$746,A447,'Base bordo'!B$2:B$746,B447,'Base bordo'!F$2:F$746,"PÁTIO INTERNO"),0)+IFERROR(SUMIFS('Base bordo'!G$2:G$746,'Base bordo'!C$2:C$746,A447,'Base bordo'!B$2:B$746,B447,'Base bordo'!F$2:F$746,"PÁTIO EXTERNO"),0)+IFERROR(SUMIFS('Base bordo'!G$2:G$746,'Base bordo'!C$2:C$746,A447,'Base bordo'!B$2:B$746,B447,'Base bordo'!F$2:F$746,"PATIO - RESERVA"),0)+IFERROR(SUMIFS('Base bordo'!G$2:G$746,'Base bordo'!C$2:C$746,A447,'Base bordo'!B$2:B$746,B447,'Base bordo'!F$2:F$746,"MANOBRA CARRETAS-PATIO"),0)</f>
        <v>7.8380555555555551</v>
      </c>
      <c r="J447" s="10">
        <f>IFERROR(SUMIFS('Base bordo'!G$2:G$746,'Base bordo'!C$2:C$746,A447,'Base bordo'!B$2:B$746,B447,'Base bordo'!F$2:F$746,"BALANÇA - ENTRADA"),0)+IFERROR(SUMIFS('Base bordo'!G$2:G$746,'Base bordo'!C$2:C$746,A447,'Base bordo'!B$2:B$746,B447,'Base bordo'!F$2:F$746,"BALANÇA - SAÍDA"),0)</f>
        <v>6.4722222222222223E-2</v>
      </c>
      <c r="K447" s="10">
        <f>IFERROR(SUMIFS('Base bordo'!G$2:G$746,'Base bordo'!C$2:C$746,A447,'Base bordo'!B$2:B$746,B447,'Base bordo'!F$2:F$746,"MAN PREVENTIVA - MECANICA"),0)+IFERROR(SUMIFS('Base bordo'!G$2:G$746,'Base bordo'!C$2:C$746,A447,'Base bordo'!B$2:B$746,B447,'Base bordo'!F$2:F$746,"MAN CORRETIVA - MECANICA"),0)</f>
        <v>0</v>
      </c>
      <c r="L447" s="10">
        <f>IFERROR(SUMIFS('Base bordo'!G$2:G$746,'Base bordo'!C$2:C$746,A447,'Base bordo'!B$2:B$746,B447,'Base bordo'!F$2:F$746,"MANUTENCAO - T O"),0)+IFERROR(SUMIFS('Base bordo'!G$2:G$746,'Base bordo'!C$2:C$746,A447,'Base bordo'!B$2:B$746,B447,'Base bordo'!F$2:F$746,"MANUTENCAO BORRACHARIA"),0)+IFERROR(SUMIFS('Base bordo'!G$2:G$746,'Base bordo'!C$2:C$746,A447,'Base bordo'!B$2:B$746,B447,'Base bordo'!F$2:F$746,"MANUTENCAO EXTERNA  CONCESSIONARIA"),0)+IFERROR(SUMIFS('Base bordo'!G$2:G$746,'Base bordo'!C$2:C$746,A447,'Base bordo'!B$2:B$746,B447,'Base bordo'!F$2:F$746,"MANUTENCAO TELEMETRIA"),0)</f>
        <v>0</v>
      </c>
      <c r="M447" s="10">
        <f>IFERROR(SUMIFS('Base bordo'!G$2:G$746,'Base bordo'!C$2:C$746,A447,'Base bordo'!B$2:B$746,B447,'Base bordo'!F$2:F$746,"AGUARDANDO MANUTENCAO"),0)</f>
        <v>1.013611111111111</v>
      </c>
      <c r="N447" s="10">
        <f>IFERROR(SUMIFS('Base bordo'!G$2:G$746,'Base bordo'!C$2:C$746,A447,'Base bordo'!B$2:B$746,B447,'Base bordo'!F$2:F$746,"SEM APONTAMENTO"),0)</f>
        <v>0.85111111111111115</v>
      </c>
      <c r="O447" s="10">
        <f t="shared" si="48"/>
        <v>5.1991666666666667</v>
      </c>
      <c r="P447" s="10">
        <f>IFERROR(SUMIFS('Base bordo'!G$2:G$746,'Base bordo'!C$2:C$746,A447,'Base bordo'!B$2:B$746,B447),0)</f>
        <v>24</v>
      </c>
      <c r="Q447" s="10">
        <f>IFERROR(SUMIFS('Base bordo'!H$2:H$746,'Base bordo'!C$2:C$746,A447,'Base bordo'!B$2:B$746,B447,'Base bordo'!F$2:F$746,"DESLOCAMENTO VAZIO"),0)</f>
        <v>195041.98</v>
      </c>
      <c r="R447" s="10">
        <f>IFERROR(SUMIFS('Base bordo'!I$2:I$746,'Base bordo'!C$2:C$746,A447,'Base bordo'!B$2:B$746,B447,'Base bordo'!F$2:F$746,"DESLOCAMENTO VAZIO"),0)</f>
        <v>6263</v>
      </c>
      <c r="S447" s="30">
        <f t="shared" si="49"/>
        <v>31.141941561551974</v>
      </c>
      <c r="T447" s="10">
        <f>IFERROR(SUMIFS('Base bordo'!H$2:H$746,'Base bordo'!C$2:C$746,A447,'Base bordo'!B$2:B$746,B447,'Base bordo'!F$2:F$746,"DESLOCAMENTO CARREGADO"),0)</f>
        <v>332481.22999999992</v>
      </c>
      <c r="U447" s="10">
        <f>IFERROR(SUMIFS('Base bordo'!I$2:I$746,'Base bordo'!C$2:C$746,A447,'Base bordo'!B$2:B$746,B447,'Base bordo'!F$2:F$746,"DESLOCAMENTO CARREGADO"),0)</f>
        <v>12710</v>
      </c>
      <c r="V447" s="30">
        <f t="shared" si="50"/>
        <v>26.15902675059008</v>
      </c>
      <c r="W447" s="9">
        <f t="shared" si="51"/>
        <v>7.2488425925925928E-2</v>
      </c>
      <c r="X447" s="9">
        <f t="shared" si="52"/>
        <v>0.14710648148148148</v>
      </c>
      <c r="Y447" s="9">
        <f t="shared" si="53"/>
        <v>0.78040509259259261</v>
      </c>
    </row>
    <row r="448" spans="1:25" ht="15" customHeight="1" x14ac:dyDescent="0.35">
      <c r="A448" s="52">
        <v>8013461</v>
      </c>
      <c r="B448" s="51">
        <v>46119</v>
      </c>
      <c r="C448" s="7" t="s">
        <v>124</v>
      </c>
      <c r="D448" s="10">
        <f>IFERROR(SUMIFS('Base bordo'!G$2:G$746,'Base bordo'!C$2:C$746,A448,'Base bordo'!B$2:B$746,B448,'Base bordo'!F$2:F$746,"DESLOCAMENTO VAZIO"),0)</f>
        <v>1.4069444444444446</v>
      </c>
      <c r="E448" s="10">
        <f>IFERROR(SUMIFS('Base bordo'!G$2:G$746,'Base bordo'!C$2:C$746,A448,'Base bordo'!B$2:B$746,B448,'Base bordo'!F$2:F$746,"DESLOCAMENTO CARREGADO"),0)</f>
        <v>1.8011111111111111</v>
      </c>
      <c r="F448" s="10">
        <f>IFERROR(SUMIFS('Base bordo'!G$2:G$746,'Base bordo'!C$2:C$746,A448,'Base bordo'!B$2:B$746,B448,'Base bordo'!F$2:F$746,"DESLOCAMENTO"),0)</f>
        <v>0</v>
      </c>
      <c r="G448" s="10">
        <f>IFERROR(SUMIFS('Base bordo'!G$2:G$746,'Base bordo'!C$2:C$746,A448,'Base bordo'!B$2:B$746,B448,'Base bordo'!F$2:F$746,"CARREGAMENTO"),0)</f>
        <v>0</v>
      </c>
      <c r="H448" s="10">
        <f>IFERROR(SUMIFS('Base bordo'!G$2:G$746,'Base bordo'!C$2:C$746,A448,'Base bordo'!B$2:B$746,B448,'Base bordo'!F$2:F$746,"AGUARDANDO TRANSBORDO"),0)</f>
        <v>0.2011111111111111</v>
      </c>
      <c r="I448" s="10">
        <f>IFERROR(SUMIFS('Base bordo'!G$2:G$746,'Base bordo'!C$2:C$746,A448,'Base bordo'!B$2:B$746,B448,'Base bordo'!F$2:F$746,"PÁTIO INTERNO"),0)+IFERROR(SUMIFS('Base bordo'!G$2:G$746,'Base bordo'!C$2:C$746,A448,'Base bordo'!B$2:B$746,B448,'Base bordo'!F$2:F$746,"PÁTIO EXTERNO"),0)+IFERROR(SUMIFS('Base bordo'!G$2:G$746,'Base bordo'!C$2:C$746,A448,'Base bordo'!B$2:B$746,B448,'Base bordo'!F$2:F$746,"PATIO - RESERVA"),0)+IFERROR(SUMIFS('Base bordo'!G$2:G$746,'Base bordo'!C$2:C$746,A448,'Base bordo'!B$2:B$746,B448,'Base bordo'!F$2:F$746,"MANOBRA CARRETAS-PATIO"),0)</f>
        <v>8.8375000000000004</v>
      </c>
      <c r="J448" s="10">
        <f>IFERROR(SUMIFS('Base bordo'!G$2:G$746,'Base bordo'!C$2:C$746,A448,'Base bordo'!B$2:B$746,B448,'Base bordo'!F$2:F$746,"BALANÇA - ENTRADA"),0)+IFERROR(SUMIFS('Base bordo'!G$2:G$746,'Base bordo'!C$2:C$746,A448,'Base bordo'!B$2:B$746,B448,'Base bordo'!F$2:F$746,"BALANÇA - SAÍDA"),0)</f>
        <v>0.15</v>
      </c>
      <c r="K448" s="10">
        <f>IFERROR(SUMIFS('Base bordo'!G$2:G$746,'Base bordo'!C$2:C$746,A448,'Base bordo'!B$2:B$746,B448,'Base bordo'!F$2:F$746,"MAN PREVENTIVA - MECANICA"),0)+IFERROR(SUMIFS('Base bordo'!G$2:G$746,'Base bordo'!C$2:C$746,A448,'Base bordo'!B$2:B$746,B448,'Base bordo'!F$2:F$746,"MAN CORRETIVA - MECANICA"),0)</f>
        <v>0</v>
      </c>
      <c r="L448" s="10">
        <f>IFERROR(SUMIFS('Base bordo'!G$2:G$746,'Base bordo'!C$2:C$746,A448,'Base bordo'!B$2:B$746,B448,'Base bordo'!F$2:F$746,"MANUTENCAO - T O"),0)+IFERROR(SUMIFS('Base bordo'!G$2:G$746,'Base bordo'!C$2:C$746,A448,'Base bordo'!B$2:B$746,B448,'Base bordo'!F$2:F$746,"MANUTENCAO BORRACHARIA"),0)+IFERROR(SUMIFS('Base bordo'!G$2:G$746,'Base bordo'!C$2:C$746,A448,'Base bordo'!B$2:B$746,B448,'Base bordo'!F$2:F$746,"MANUTENCAO EXTERNA  CONCESSIONARIA"),0)+IFERROR(SUMIFS('Base bordo'!G$2:G$746,'Base bordo'!C$2:C$746,A448,'Base bordo'!B$2:B$746,B448,'Base bordo'!F$2:F$746,"MANUTENCAO TELEMETRIA"),0)</f>
        <v>0</v>
      </c>
      <c r="M448" s="10">
        <f>IFERROR(SUMIFS('Base bordo'!G$2:G$746,'Base bordo'!C$2:C$746,A448,'Base bordo'!B$2:B$746,B448,'Base bordo'!F$2:F$746,"AGUARDANDO MANUTENCAO"),0)</f>
        <v>0</v>
      </c>
      <c r="N448" s="10">
        <f>IFERROR(SUMIFS('Base bordo'!G$2:G$746,'Base bordo'!C$2:C$746,A448,'Base bordo'!B$2:B$746,B448,'Base bordo'!F$2:F$746,"SEM APONTAMENTO"),0)</f>
        <v>0</v>
      </c>
      <c r="O448" s="10">
        <f t="shared" si="48"/>
        <v>0.18333333333333357</v>
      </c>
      <c r="P448" s="10">
        <f>IFERROR(SUMIFS('Base bordo'!G$2:G$746,'Base bordo'!C$2:C$746,A448,'Base bordo'!B$2:B$746,B448),0)</f>
        <v>12.58</v>
      </c>
      <c r="Q448" s="10">
        <f>IFERROR(SUMIFS('Base bordo'!H$2:H$746,'Base bordo'!C$2:C$746,A448,'Base bordo'!B$2:B$746,B448,'Base bordo'!F$2:F$746,"DESLOCAMENTO VAZIO"),0)</f>
        <v>177546.48</v>
      </c>
      <c r="R448" s="10">
        <f>IFERROR(SUMIFS('Base bordo'!I$2:I$746,'Base bordo'!C$2:C$746,A448,'Base bordo'!B$2:B$746,B448,'Base bordo'!F$2:F$746,"DESLOCAMENTO VAZIO"),0)</f>
        <v>5065</v>
      </c>
      <c r="S448" s="30">
        <f t="shared" si="49"/>
        <v>35.05359921026654</v>
      </c>
      <c r="T448" s="10">
        <f>IFERROR(SUMIFS('Base bordo'!H$2:H$746,'Base bordo'!C$2:C$746,A448,'Base bordo'!B$2:B$746,B448,'Base bordo'!F$2:F$746,"DESLOCAMENTO CARREGADO"),0)</f>
        <v>173551.50000000003</v>
      </c>
      <c r="U448" s="10">
        <f>IFERROR(SUMIFS('Base bordo'!I$2:I$746,'Base bordo'!C$2:C$746,A448,'Base bordo'!B$2:B$746,B448,'Base bordo'!F$2:F$746,"DESLOCAMENTO CARREGADO"),0)</f>
        <v>6484</v>
      </c>
      <c r="V448" s="30">
        <f t="shared" si="50"/>
        <v>26.766116594694637</v>
      </c>
      <c r="W448" s="9">
        <f t="shared" si="51"/>
        <v>0.11183978095742803</v>
      </c>
      <c r="X448" s="9">
        <f t="shared" si="52"/>
        <v>0.14317258434905494</v>
      </c>
      <c r="Y448" s="9">
        <f t="shared" si="53"/>
        <v>0.74498763469351703</v>
      </c>
    </row>
    <row r="449" spans="1:25" ht="15" customHeight="1" x14ac:dyDescent="0.35">
      <c r="A449" s="52">
        <v>8013475</v>
      </c>
      <c r="B449" s="51">
        <v>46124</v>
      </c>
      <c r="C449" s="7" t="s">
        <v>124</v>
      </c>
      <c r="D449" s="10">
        <f>IFERROR(SUMIFS('Base bordo'!G$2:G$746,'Base bordo'!C$2:C$746,A449,'Base bordo'!B$2:B$746,B449,'Base bordo'!F$2:F$746,"DESLOCAMENTO VAZIO"),0)</f>
        <v>0.7005555555555556</v>
      </c>
      <c r="E449" s="10">
        <f>IFERROR(SUMIFS('Base bordo'!G$2:G$746,'Base bordo'!C$2:C$746,A449,'Base bordo'!B$2:B$746,B449,'Base bordo'!F$2:F$746,"DESLOCAMENTO CARREGADO"),0)</f>
        <v>0.60333333333333339</v>
      </c>
      <c r="F449" s="10">
        <f>IFERROR(SUMIFS('Base bordo'!G$2:G$746,'Base bordo'!C$2:C$746,A449,'Base bordo'!B$2:B$746,B449,'Base bordo'!F$2:F$746,"DESLOCAMENTO"),0)</f>
        <v>0</v>
      </c>
      <c r="G449" s="10">
        <f>IFERROR(SUMIFS('Base bordo'!G$2:G$746,'Base bordo'!C$2:C$746,A449,'Base bordo'!B$2:B$746,B449,'Base bordo'!F$2:F$746,"CARREGAMENTO"),0)</f>
        <v>0</v>
      </c>
      <c r="H449" s="10">
        <f>IFERROR(SUMIFS('Base bordo'!G$2:G$746,'Base bordo'!C$2:C$746,A449,'Base bordo'!B$2:B$746,B449,'Base bordo'!F$2:F$746,"AGUARDANDO TRANSBORDO"),0)</f>
        <v>0.57722222222222219</v>
      </c>
      <c r="I449" s="10">
        <f>IFERROR(SUMIFS('Base bordo'!G$2:G$746,'Base bordo'!C$2:C$746,A449,'Base bordo'!B$2:B$746,B449,'Base bordo'!F$2:F$746,"PÁTIO INTERNO"),0)+IFERROR(SUMIFS('Base bordo'!G$2:G$746,'Base bordo'!C$2:C$746,A449,'Base bordo'!B$2:B$746,B449,'Base bordo'!F$2:F$746,"PÁTIO EXTERNO"),0)+IFERROR(SUMIFS('Base bordo'!G$2:G$746,'Base bordo'!C$2:C$746,A449,'Base bordo'!B$2:B$746,B449,'Base bordo'!F$2:F$746,"PATIO - RESERVA"),0)+IFERROR(SUMIFS('Base bordo'!G$2:G$746,'Base bordo'!C$2:C$746,A449,'Base bordo'!B$2:B$746,B449,'Base bordo'!F$2:F$746,"MANOBRA CARRETAS-PATIO"),0)</f>
        <v>5.7852777777777771</v>
      </c>
      <c r="J449" s="10">
        <f>IFERROR(SUMIFS('Base bordo'!G$2:G$746,'Base bordo'!C$2:C$746,A449,'Base bordo'!B$2:B$746,B449,'Base bordo'!F$2:F$746,"BALANÇA - ENTRADA"),0)+IFERROR(SUMIFS('Base bordo'!G$2:G$746,'Base bordo'!C$2:C$746,A449,'Base bordo'!B$2:B$746,B449,'Base bordo'!F$2:F$746,"BALANÇA - SAÍDA"),0)</f>
        <v>7.8611111111111104E-2</v>
      </c>
      <c r="K449" s="10">
        <f>IFERROR(SUMIFS('Base bordo'!G$2:G$746,'Base bordo'!C$2:C$746,A449,'Base bordo'!B$2:B$746,B449,'Base bordo'!F$2:F$746,"MAN PREVENTIVA - MECANICA"),0)+IFERROR(SUMIFS('Base bordo'!G$2:G$746,'Base bordo'!C$2:C$746,A449,'Base bordo'!B$2:B$746,B449,'Base bordo'!F$2:F$746,"MAN CORRETIVA - MECANICA"),0)</f>
        <v>0</v>
      </c>
      <c r="L449" s="10">
        <f>IFERROR(SUMIFS('Base bordo'!G$2:G$746,'Base bordo'!C$2:C$746,A449,'Base bordo'!B$2:B$746,B449,'Base bordo'!F$2:F$746,"MANUTENCAO - T O"),0)+IFERROR(SUMIFS('Base bordo'!G$2:G$746,'Base bordo'!C$2:C$746,A449,'Base bordo'!B$2:B$746,B449,'Base bordo'!F$2:F$746,"MANUTENCAO BORRACHARIA"),0)+IFERROR(SUMIFS('Base bordo'!G$2:G$746,'Base bordo'!C$2:C$746,A449,'Base bordo'!B$2:B$746,B449,'Base bordo'!F$2:F$746,"MANUTENCAO EXTERNA  CONCESSIONARIA"),0)+IFERROR(SUMIFS('Base bordo'!G$2:G$746,'Base bordo'!C$2:C$746,A449,'Base bordo'!B$2:B$746,B449,'Base bordo'!F$2:F$746,"MANUTENCAO TELEMETRIA"),0)</f>
        <v>0</v>
      </c>
      <c r="M449" s="10">
        <f>IFERROR(SUMIFS('Base bordo'!G$2:G$746,'Base bordo'!C$2:C$746,A449,'Base bordo'!B$2:B$746,B449,'Base bordo'!F$2:F$746,"AGUARDANDO MANUTENCAO"),0)</f>
        <v>0</v>
      </c>
      <c r="N449" s="10">
        <f>IFERROR(SUMIFS('Base bordo'!G$2:G$746,'Base bordo'!C$2:C$746,A449,'Base bordo'!B$2:B$746,B449,'Base bordo'!F$2:F$746,"SEM APONTAMENTO"),0)</f>
        <v>0</v>
      </c>
      <c r="O449" s="10">
        <f t="shared" si="48"/>
        <v>-8.8817841970012523E-16</v>
      </c>
      <c r="P449" s="10">
        <f>IFERROR(SUMIFS('Base bordo'!G$2:G$746,'Base bordo'!C$2:C$746,A449,'Base bordo'!B$2:B$746,B449),0)</f>
        <v>7.7449999999999983</v>
      </c>
      <c r="Q449" s="10">
        <f>IFERROR(SUMIFS('Base bordo'!H$2:H$746,'Base bordo'!C$2:C$746,A449,'Base bordo'!B$2:B$746,B449,'Base bordo'!F$2:F$746,"DESLOCAMENTO VAZIO"),0)</f>
        <v>56346.78</v>
      </c>
      <c r="R449" s="10">
        <f>IFERROR(SUMIFS('Base bordo'!I$2:I$746,'Base bordo'!C$2:C$746,A449,'Base bordo'!B$2:B$746,B449,'Base bordo'!F$2:F$746,"DESLOCAMENTO VAZIO"),0)</f>
        <v>2522</v>
      </c>
      <c r="S449" s="30">
        <f t="shared" si="49"/>
        <v>22.342101506740683</v>
      </c>
      <c r="T449" s="10">
        <f>IFERROR(SUMIFS('Base bordo'!H$2:H$746,'Base bordo'!C$2:C$746,A449,'Base bordo'!B$2:B$746,B449,'Base bordo'!F$2:F$746,"DESLOCAMENTO CARREGADO"),0)</f>
        <v>41086.33</v>
      </c>
      <c r="U449" s="10">
        <f>IFERROR(SUMIFS('Base bordo'!I$2:I$746,'Base bordo'!C$2:C$746,A449,'Base bordo'!B$2:B$746,B449,'Base bordo'!F$2:F$746,"DESLOCAMENTO CARREGADO"),0)</f>
        <v>2172</v>
      </c>
      <c r="V449" s="30">
        <f t="shared" si="50"/>
        <v>18.916358195211789</v>
      </c>
      <c r="W449" s="9">
        <f t="shared" si="51"/>
        <v>9.0452621763144711E-2</v>
      </c>
      <c r="X449" s="9">
        <f t="shared" si="52"/>
        <v>7.7899720249623439E-2</v>
      </c>
      <c r="Y449" s="9">
        <f t="shared" si="53"/>
        <v>0.83164765798723184</v>
      </c>
    </row>
    <row r="450" spans="1:25" ht="15" customHeight="1" x14ac:dyDescent="0.35">
      <c r="A450" s="52">
        <v>8013483</v>
      </c>
      <c r="B450" s="51">
        <v>46117</v>
      </c>
      <c r="C450" s="7" t="s">
        <v>124</v>
      </c>
      <c r="D450" s="10">
        <f>IFERROR(SUMIFS('Base bordo'!G$2:G$746,'Base bordo'!C$2:C$746,A450,'Base bordo'!B$2:B$746,B450,'Base bordo'!F$2:F$746,"DESLOCAMENTO VAZIO"),0)</f>
        <v>0.3947222222222222</v>
      </c>
      <c r="E450" s="10">
        <f>IFERROR(SUMIFS('Base bordo'!G$2:G$746,'Base bordo'!C$2:C$746,A450,'Base bordo'!B$2:B$746,B450,'Base bordo'!F$2:F$746,"DESLOCAMENTO CARREGADO"),0)</f>
        <v>2.7777777777777776E-2</v>
      </c>
      <c r="F450" s="10">
        <f>IFERROR(SUMIFS('Base bordo'!G$2:G$746,'Base bordo'!C$2:C$746,A450,'Base bordo'!B$2:B$746,B450,'Base bordo'!F$2:F$746,"DESLOCAMENTO"),0)</f>
        <v>0</v>
      </c>
      <c r="G450" s="10">
        <f>IFERROR(SUMIFS('Base bordo'!G$2:G$746,'Base bordo'!C$2:C$746,A450,'Base bordo'!B$2:B$746,B450,'Base bordo'!F$2:F$746,"CARREGAMENTO"),0)</f>
        <v>0</v>
      </c>
      <c r="H450" s="10">
        <f>IFERROR(SUMIFS('Base bordo'!G$2:G$746,'Base bordo'!C$2:C$746,A450,'Base bordo'!B$2:B$746,B450,'Base bordo'!F$2:F$746,"AGUARDANDO TRANSBORDO"),0)</f>
        <v>0</v>
      </c>
      <c r="I450" s="10">
        <f>IFERROR(SUMIFS('Base bordo'!G$2:G$746,'Base bordo'!C$2:C$746,A450,'Base bordo'!B$2:B$746,B450,'Base bordo'!F$2:F$746,"PÁTIO INTERNO"),0)+IFERROR(SUMIFS('Base bordo'!G$2:G$746,'Base bordo'!C$2:C$746,A450,'Base bordo'!B$2:B$746,B450,'Base bordo'!F$2:F$746,"PÁTIO EXTERNO"),0)+IFERROR(SUMIFS('Base bordo'!G$2:G$746,'Base bordo'!C$2:C$746,A450,'Base bordo'!B$2:B$746,B450,'Base bordo'!F$2:F$746,"PATIO - RESERVA"),0)+IFERROR(SUMIFS('Base bordo'!G$2:G$746,'Base bordo'!C$2:C$746,A450,'Base bordo'!B$2:B$746,B450,'Base bordo'!F$2:F$746,"MANOBRA CARRETAS-PATIO"),0)</f>
        <v>0</v>
      </c>
      <c r="J450" s="10">
        <f>IFERROR(SUMIFS('Base bordo'!G$2:G$746,'Base bordo'!C$2:C$746,A450,'Base bordo'!B$2:B$746,B450,'Base bordo'!F$2:F$746,"BALANÇA - ENTRADA"),0)+IFERROR(SUMIFS('Base bordo'!G$2:G$746,'Base bordo'!C$2:C$746,A450,'Base bordo'!B$2:B$746,B450,'Base bordo'!F$2:F$746,"BALANÇA - SAÍDA"),0)</f>
        <v>0</v>
      </c>
      <c r="K450" s="10">
        <f>IFERROR(SUMIFS('Base bordo'!G$2:G$746,'Base bordo'!C$2:C$746,A450,'Base bordo'!B$2:B$746,B450,'Base bordo'!F$2:F$746,"MAN PREVENTIVA - MECANICA"),0)+IFERROR(SUMIFS('Base bordo'!G$2:G$746,'Base bordo'!C$2:C$746,A450,'Base bordo'!B$2:B$746,B450,'Base bordo'!F$2:F$746,"MAN CORRETIVA - MECANICA"),0)</f>
        <v>0</v>
      </c>
      <c r="L450" s="10">
        <f>IFERROR(SUMIFS('Base bordo'!G$2:G$746,'Base bordo'!C$2:C$746,A450,'Base bordo'!B$2:B$746,B450,'Base bordo'!F$2:F$746,"MANUTENCAO - T O"),0)+IFERROR(SUMIFS('Base bordo'!G$2:G$746,'Base bordo'!C$2:C$746,A450,'Base bordo'!B$2:B$746,B450,'Base bordo'!F$2:F$746,"MANUTENCAO BORRACHARIA"),0)+IFERROR(SUMIFS('Base bordo'!G$2:G$746,'Base bordo'!C$2:C$746,A450,'Base bordo'!B$2:B$746,B450,'Base bordo'!F$2:F$746,"MANUTENCAO EXTERNA  CONCESSIONARIA"),0)+IFERROR(SUMIFS('Base bordo'!G$2:G$746,'Base bordo'!C$2:C$746,A450,'Base bordo'!B$2:B$746,B450,'Base bordo'!F$2:F$746,"MANUTENCAO TELEMETRIA"),0)</f>
        <v>22.371944444444445</v>
      </c>
      <c r="M450" s="10">
        <f>IFERROR(SUMIFS('Base bordo'!G$2:G$746,'Base bordo'!C$2:C$746,A450,'Base bordo'!B$2:B$746,B450,'Base bordo'!F$2:F$746,"AGUARDANDO MANUTENCAO"),0)</f>
        <v>0</v>
      </c>
      <c r="N450" s="10">
        <f>IFERROR(SUMIFS('Base bordo'!G$2:G$746,'Base bordo'!C$2:C$746,A450,'Base bordo'!B$2:B$746,B450,'Base bordo'!F$2:F$746,"SEM APONTAMENTO"),0)</f>
        <v>1.0611111111111111</v>
      </c>
      <c r="O450" s="10">
        <f t="shared" si="48"/>
        <v>0.14444444444444571</v>
      </c>
      <c r="P450" s="10">
        <f>IFERROR(SUMIFS('Base bordo'!G$2:G$746,'Base bordo'!C$2:C$746,A450,'Base bordo'!B$2:B$746,B450),0)</f>
        <v>24</v>
      </c>
      <c r="Q450" s="10">
        <f>IFERROR(SUMIFS('Base bordo'!H$2:H$746,'Base bordo'!C$2:C$746,A450,'Base bordo'!B$2:B$746,B450,'Base bordo'!F$2:F$746,"DESLOCAMENTO VAZIO"),0)</f>
        <v>41838.400000000001</v>
      </c>
      <c r="R450" s="10">
        <f>IFERROR(SUMIFS('Base bordo'!I$2:I$746,'Base bordo'!C$2:C$746,A450,'Base bordo'!B$2:B$746,B450,'Base bordo'!F$2:F$746,"DESLOCAMENTO VAZIO"),0)</f>
        <v>1421</v>
      </c>
      <c r="S450" s="30">
        <f t="shared" si="49"/>
        <v>29.442927515833922</v>
      </c>
      <c r="T450" s="10">
        <f>IFERROR(SUMIFS('Base bordo'!H$2:H$746,'Base bordo'!C$2:C$746,A450,'Base bordo'!B$2:B$746,B450,'Base bordo'!F$2:F$746,"DESLOCAMENTO CARREGADO"),0)</f>
        <v>785.48</v>
      </c>
      <c r="U450" s="10">
        <f>IFERROR(SUMIFS('Base bordo'!I$2:I$746,'Base bordo'!C$2:C$746,A450,'Base bordo'!B$2:B$746,B450,'Base bordo'!F$2:F$746,"DESLOCAMENTO CARREGADO"),0)</f>
        <v>100</v>
      </c>
      <c r="V450" s="30">
        <f t="shared" si="50"/>
        <v>7.8548</v>
      </c>
      <c r="W450" s="9">
        <f t="shared" si="51"/>
        <v>1.6446759259259258E-2</v>
      </c>
      <c r="X450" s="9">
        <f t="shared" si="52"/>
        <v>1.1574074074074073E-3</v>
      </c>
      <c r="Y450" s="9">
        <f t="shared" si="53"/>
        <v>0.98239583333333336</v>
      </c>
    </row>
    <row r="451" spans="1:25" ht="15" customHeight="1" x14ac:dyDescent="0.35">
      <c r="A451" s="52">
        <v>8013468</v>
      </c>
      <c r="B451" s="51">
        <v>46123</v>
      </c>
      <c r="C451" s="7" t="s">
        <v>124</v>
      </c>
      <c r="D451" s="10">
        <f>IFERROR(SUMIFS('Base bordo'!G$2:G$746,'Base bordo'!C$2:C$746,A451,'Base bordo'!B$2:B$746,B451,'Base bordo'!F$2:F$746,"DESLOCAMENTO VAZIO"),0)</f>
        <v>1.9583333333333333</v>
      </c>
      <c r="E451" s="10">
        <f>IFERROR(SUMIFS('Base bordo'!G$2:G$746,'Base bordo'!C$2:C$746,A451,'Base bordo'!B$2:B$746,B451,'Base bordo'!F$2:F$746,"DESLOCAMENTO CARREGADO"),0)</f>
        <v>2.1616666666666666</v>
      </c>
      <c r="F451" s="10">
        <f>IFERROR(SUMIFS('Base bordo'!G$2:G$746,'Base bordo'!C$2:C$746,A451,'Base bordo'!B$2:B$746,B451,'Base bordo'!F$2:F$746,"DESLOCAMENTO"),0)</f>
        <v>0</v>
      </c>
      <c r="G451" s="10">
        <f>IFERROR(SUMIFS('Base bordo'!G$2:G$746,'Base bordo'!C$2:C$746,A451,'Base bordo'!B$2:B$746,B451,'Base bordo'!F$2:F$746,"CARREGAMENTO"),0)</f>
        <v>0</v>
      </c>
      <c r="H451" s="10">
        <f>IFERROR(SUMIFS('Base bordo'!G$2:G$746,'Base bordo'!C$2:C$746,A451,'Base bordo'!B$2:B$746,B451,'Base bordo'!F$2:F$746,"AGUARDANDO TRANSBORDO"),0)</f>
        <v>0.82333333333333336</v>
      </c>
      <c r="I451" s="10">
        <f>IFERROR(SUMIFS('Base bordo'!G$2:G$746,'Base bordo'!C$2:C$746,A451,'Base bordo'!B$2:B$746,B451,'Base bordo'!F$2:F$746,"PÁTIO INTERNO"),0)+IFERROR(SUMIFS('Base bordo'!G$2:G$746,'Base bordo'!C$2:C$746,A451,'Base bordo'!B$2:B$746,B451,'Base bordo'!F$2:F$746,"PÁTIO EXTERNO"),0)+IFERROR(SUMIFS('Base bordo'!G$2:G$746,'Base bordo'!C$2:C$746,A451,'Base bordo'!B$2:B$746,B451,'Base bordo'!F$2:F$746,"PATIO - RESERVA"),0)+IFERROR(SUMIFS('Base bordo'!G$2:G$746,'Base bordo'!C$2:C$746,A451,'Base bordo'!B$2:B$746,B451,'Base bordo'!F$2:F$746,"MANOBRA CARRETAS-PATIO"),0)</f>
        <v>3.9758333333333336</v>
      </c>
      <c r="J451" s="10">
        <f>IFERROR(SUMIFS('Base bordo'!G$2:G$746,'Base bordo'!C$2:C$746,A451,'Base bordo'!B$2:B$746,B451,'Base bordo'!F$2:F$746,"BALANÇA - ENTRADA"),0)+IFERROR(SUMIFS('Base bordo'!G$2:G$746,'Base bordo'!C$2:C$746,A451,'Base bordo'!B$2:B$746,B451,'Base bordo'!F$2:F$746,"BALANÇA - SAÍDA"),0)</f>
        <v>0</v>
      </c>
      <c r="K451" s="10">
        <f>IFERROR(SUMIFS('Base bordo'!G$2:G$746,'Base bordo'!C$2:C$746,A451,'Base bordo'!B$2:B$746,B451,'Base bordo'!F$2:F$746,"MAN PREVENTIVA - MECANICA"),0)+IFERROR(SUMIFS('Base bordo'!G$2:G$746,'Base bordo'!C$2:C$746,A451,'Base bordo'!B$2:B$746,B451,'Base bordo'!F$2:F$746,"MAN CORRETIVA - MECANICA"),0)</f>
        <v>0</v>
      </c>
      <c r="L451" s="10">
        <f>IFERROR(SUMIFS('Base bordo'!G$2:G$746,'Base bordo'!C$2:C$746,A451,'Base bordo'!B$2:B$746,B451,'Base bordo'!F$2:F$746,"MANUTENCAO - T O"),0)+IFERROR(SUMIFS('Base bordo'!G$2:G$746,'Base bordo'!C$2:C$746,A451,'Base bordo'!B$2:B$746,B451,'Base bordo'!F$2:F$746,"MANUTENCAO BORRACHARIA"),0)+IFERROR(SUMIFS('Base bordo'!G$2:G$746,'Base bordo'!C$2:C$746,A451,'Base bordo'!B$2:B$746,B451,'Base bordo'!F$2:F$746,"MANUTENCAO EXTERNA  CONCESSIONARIA"),0)+IFERROR(SUMIFS('Base bordo'!G$2:G$746,'Base bordo'!C$2:C$746,A451,'Base bordo'!B$2:B$746,B451,'Base bordo'!F$2:F$746,"MANUTENCAO TELEMETRIA"),0)</f>
        <v>0</v>
      </c>
      <c r="M451" s="10">
        <f>IFERROR(SUMIFS('Base bordo'!G$2:G$746,'Base bordo'!C$2:C$746,A451,'Base bordo'!B$2:B$746,B451,'Base bordo'!F$2:F$746,"AGUARDANDO MANUTENCAO"),0)</f>
        <v>0</v>
      </c>
      <c r="N451" s="10">
        <f>IFERROR(SUMIFS('Base bordo'!G$2:G$746,'Base bordo'!C$2:C$746,A451,'Base bordo'!B$2:B$746,B451,'Base bordo'!F$2:F$746,"SEM APONTAMENTO"),0)</f>
        <v>0</v>
      </c>
      <c r="O451" s="10">
        <f t="shared" si="48"/>
        <v>0.26222222222222236</v>
      </c>
      <c r="P451" s="10">
        <f>IFERROR(SUMIFS('Base bordo'!G$2:G$746,'Base bordo'!C$2:C$746,A451,'Base bordo'!B$2:B$746,B451),0)</f>
        <v>9.1813888888888897</v>
      </c>
      <c r="Q451" s="10">
        <f>IFERROR(SUMIFS('Base bordo'!H$2:H$746,'Base bordo'!C$2:C$746,A451,'Base bordo'!B$2:B$746,B451,'Base bordo'!F$2:F$746,"DESLOCAMENTO VAZIO"),0)</f>
        <v>221588.27</v>
      </c>
      <c r="R451" s="10">
        <f>IFERROR(SUMIFS('Base bordo'!I$2:I$746,'Base bordo'!C$2:C$746,A451,'Base bordo'!B$2:B$746,B451,'Base bordo'!F$2:F$746,"DESLOCAMENTO VAZIO"),0)</f>
        <v>7050</v>
      </c>
      <c r="S451" s="30">
        <f t="shared" si="49"/>
        <v>31.430960283687941</v>
      </c>
      <c r="T451" s="10">
        <f>IFERROR(SUMIFS('Base bordo'!H$2:H$746,'Base bordo'!C$2:C$746,A451,'Base bordo'!B$2:B$746,B451,'Base bordo'!F$2:F$746,"DESLOCAMENTO CARREGADO"),0)</f>
        <v>177589.6</v>
      </c>
      <c r="U451" s="10">
        <f>IFERROR(SUMIFS('Base bordo'!I$2:I$746,'Base bordo'!C$2:C$746,A451,'Base bordo'!B$2:B$746,B451,'Base bordo'!F$2:F$746,"DESLOCAMENTO CARREGADO"),0)</f>
        <v>7782</v>
      </c>
      <c r="V451" s="30">
        <f t="shared" si="50"/>
        <v>22.820560267283476</v>
      </c>
      <c r="W451" s="9">
        <f t="shared" si="51"/>
        <v>0.21329380086527694</v>
      </c>
      <c r="X451" s="9">
        <f t="shared" si="52"/>
        <v>0.23544005082745889</v>
      </c>
      <c r="Y451" s="9">
        <f t="shared" si="53"/>
        <v>0.55126614830726406</v>
      </c>
    </row>
    <row r="452" spans="1:25" ht="15" customHeight="1" x14ac:dyDescent="0.35">
      <c r="A452" s="52">
        <v>8013473</v>
      </c>
      <c r="B452" s="51">
        <v>46118</v>
      </c>
      <c r="C452" s="7" t="s">
        <v>124</v>
      </c>
      <c r="D452" s="10">
        <f>IFERROR(SUMIFS('Base bordo'!G$2:G$746,'Base bordo'!C$2:C$746,A452,'Base bordo'!B$2:B$746,B452,'Base bordo'!F$2:F$746,"DESLOCAMENTO VAZIO"),0)</f>
        <v>1.5997222222222223</v>
      </c>
      <c r="E452" s="10">
        <f>IFERROR(SUMIFS('Base bordo'!G$2:G$746,'Base bordo'!C$2:C$746,A452,'Base bordo'!B$2:B$746,B452,'Base bordo'!F$2:F$746,"DESLOCAMENTO CARREGADO"),0)</f>
        <v>3.9169444444444443</v>
      </c>
      <c r="F452" s="10">
        <f>IFERROR(SUMIFS('Base bordo'!G$2:G$746,'Base bordo'!C$2:C$746,A452,'Base bordo'!B$2:B$746,B452,'Base bordo'!F$2:F$746,"DESLOCAMENTO"),0)</f>
        <v>0</v>
      </c>
      <c r="G452" s="10">
        <f>IFERROR(SUMIFS('Base bordo'!G$2:G$746,'Base bordo'!C$2:C$746,A452,'Base bordo'!B$2:B$746,B452,'Base bordo'!F$2:F$746,"CARREGAMENTO"),0)</f>
        <v>0</v>
      </c>
      <c r="H452" s="10">
        <f>IFERROR(SUMIFS('Base bordo'!G$2:G$746,'Base bordo'!C$2:C$746,A452,'Base bordo'!B$2:B$746,B452,'Base bordo'!F$2:F$746,"AGUARDANDO TRANSBORDO"),0)</f>
        <v>0.18527777777777779</v>
      </c>
      <c r="I452" s="10">
        <f>IFERROR(SUMIFS('Base bordo'!G$2:G$746,'Base bordo'!C$2:C$746,A452,'Base bordo'!B$2:B$746,B452,'Base bordo'!F$2:F$746,"PÁTIO INTERNO"),0)+IFERROR(SUMIFS('Base bordo'!G$2:G$746,'Base bordo'!C$2:C$746,A452,'Base bordo'!B$2:B$746,B452,'Base bordo'!F$2:F$746,"PÁTIO EXTERNO"),0)+IFERROR(SUMIFS('Base bordo'!G$2:G$746,'Base bordo'!C$2:C$746,A452,'Base bordo'!B$2:B$746,B452,'Base bordo'!F$2:F$746,"PATIO - RESERVA"),0)+IFERROR(SUMIFS('Base bordo'!G$2:G$746,'Base bordo'!C$2:C$746,A452,'Base bordo'!B$2:B$746,B452,'Base bordo'!F$2:F$746,"MANOBRA CARRETAS-PATIO"),0)</f>
        <v>10.403611111111111</v>
      </c>
      <c r="J452" s="10">
        <f>IFERROR(SUMIFS('Base bordo'!G$2:G$746,'Base bordo'!C$2:C$746,A452,'Base bordo'!B$2:B$746,B452,'Base bordo'!F$2:F$746,"BALANÇA - ENTRADA"),0)+IFERROR(SUMIFS('Base bordo'!G$2:G$746,'Base bordo'!C$2:C$746,A452,'Base bordo'!B$2:B$746,B452,'Base bordo'!F$2:F$746,"BALANÇA - SAÍDA"),0)</f>
        <v>5.8055555555555555E-2</v>
      </c>
      <c r="K452" s="10">
        <f>IFERROR(SUMIFS('Base bordo'!G$2:G$746,'Base bordo'!C$2:C$746,A452,'Base bordo'!B$2:B$746,B452,'Base bordo'!F$2:F$746,"MAN PREVENTIVA - MECANICA"),0)+IFERROR(SUMIFS('Base bordo'!G$2:G$746,'Base bordo'!C$2:C$746,A452,'Base bordo'!B$2:B$746,B452,'Base bordo'!F$2:F$746,"MAN CORRETIVA - MECANICA"),0)</f>
        <v>0</v>
      </c>
      <c r="L452" s="10">
        <f>IFERROR(SUMIFS('Base bordo'!G$2:G$746,'Base bordo'!C$2:C$746,A452,'Base bordo'!B$2:B$746,B452,'Base bordo'!F$2:F$746,"MANUTENCAO - T O"),0)+IFERROR(SUMIFS('Base bordo'!G$2:G$746,'Base bordo'!C$2:C$746,A452,'Base bordo'!B$2:B$746,B452,'Base bordo'!F$2:F$746,"MANUTENCAO BORRACHARIA"),0)+IFERROR(SUMIFS('Base bordo'!G$2:G$746,'Base bordo'!C$2:C$746,A452,'Base bordo'!B$2:B$746,B452,'Base bordo'!F$2:F$746,"MANUTENCAO EXTERNA  CONCESSIONARIA"),0)+IFERROR(SUMIFS('Base bordo'!G$2:G$746,'Base bordo'!C$2:C$746,A452,'Base bordo'!B$2:B$746,B452,'Base bordo'!F$2:F$746,"MANUTENCAO TELEMETRIA"),0)</f>
        <v>0</v>
      </c>
      <c r="M452" s="10">
        <f>IFERROR(SUMIFS('Base bordo'!G$2:G$746,'Base bordo'!C$2:C$746,A452,'Base bordo'!B$2:B$746,B452,'Base bordo'!F$2:F$746,"AGUARDANDO MANUTENCAO"),0)</f>
        <v>0</v>
      </c>
      <c r="N452" s="10">
        <f>IFERROR(SUMIFS('Base bordo'!G$2:G$746,'Base bordo'!C$2:C$746,A452,'Base bordo'!B$2:B$746,B452,'Base bordo'!F$2:F$746,"SEM APONTAMENTO"),0)</f>
        <v>0</v>
      </c>
      <c r="O452" s="10">
        <f t="shared" si="48"/>
        <v>3.5527136788005009E-15</v>
      </c>
      <c r="P452" s="10">
        <f>IFERROR(SUMIFS('Base bordo'!G$2:G$746,'Base bordo'!C$2:C$746,A452,'Base bordo'!B$2:B$746,B452),0)</f>
        <v>16.163611111111113</v>
      </c>
      <c r="Q452" s="10">
        <f>IFERROR(SUMIFS('Base bordo'!H$2:H$746,'Base bordo'!C$2:C$746,A452,'Base bordo'!B$2:B$746,B452,'Base bordo'!F$2:F$746,"DESLOCAMENTO VAZIO"),0)</f>
        <v>187793.3</v>
      </c>
      <c r="R452" s="10">
        <f>IFERROR(SUMIFS('Base bordo'!I$2:I$746,'Base bordo'!C$2:C$746,A452,'Base bordo'!B$2:B$746,B452,'Base bordo'!F$2:F$746,"DESLOCAMENTO VAZIO"),0)</f>
        <v>5759</v>
      </c>
      <c r="S452" s="30">
        <f t="shared" si="49"/>
        <v>32.608664698732419</v>
      </c>
      <c r="T452" s="10">
        <f>IFERROR(SUMIFS('Base bordo'!H$2:H$746,'Base bordo'!C$2:C$746,A452,'Base bordo'!B$2:B$746,B452,'Base bordo'!F$2:F$746,"DESLOCAMENTO CARREGADO"),0)</f>
        <v>380848.11</v>
      </c>
      <c r="U452" s="10">
        <f>IFERROR(SUMIFS('Base bordo'!I$2:I$746,'Base bordo'!C$2:C$746,A452,'Base bordo'!B$2:B$746,B452,'Base bordo'!F$2:F$746,"DESLOCAMENTO CARREGADO"),0)</f>
        <v>14101</v>
      </c>
      <c r="V452" s="30">
        <f t="shared" si="50"/>
        <v>27.008588752570738</v>
      </c>
      <c r="W452" s="9">
        <f t="shared" si="51"/>
        <v>9.8970595817078816E-2</v>
      </c>
      <c r="X452" s="9">
        <f t="shared" si="52"/>
        <v>0.24233102476413065</v>
      </c>
      <c r="Y452" s="9">
        <f t="shared" si="53"/>
        <v>0.6586983794187905</v>
      </c>
    </row>
    <row r="453" spans="1:25" ht="15" customHeight="1" x14ac:dyDescent="0.35">
      <c r="A453" s="52">
        <v>8013481</v>
      </c>
      <c r="B453" s="51">
        <v>46118</v>
      </c>
      <c r="C453" s="7" t="s">
        <v>124</v>
      </c>
      <c r="D453" s="10">
        <f>IFERROR(SUMIFS('Base bordo'!G$2:G$746,'Base bordo'!C$2:C$746,A453,'Base bordo'!B$2:B$746,B453,'Base bordo'!F$2:F$746,"DESLOCAMENTO VAZIO"),0)</f>
        <v>0.8288888888888889</v>
      </c>
      <c r="E453" s="10">
        <f>IFERROR(SUMIFS('Base bordo'!G$2:G$746,'Base bordo'!C$2:C$746,A453,'Base bordo'!B$2:B$746,B453,'Base bordo'!F$2:F$746,"DESLOCAMENTO CARREGADO"),0)</f>
        <v>4.8333333333333332E-2</v>
      </c>
      <c r="F453" s="10">
        <f>IFERROR(SUMIFS('Base bordo'!G$2:G$746,'Base bordo'!C$2:C$746,A453,'Base bordo'!B$2:B$746,B453,'Base bordo'!F$2:F$746,"DESLOCAMENTO"),0)</f>
        <v>0</v>
      </c>
      <c r="G453" s="10">
        <f>IFERROR(SUMIFS('Base bordo'!G$2:G$746,'Base bordo'!C$2:C$746,A453,'Base bordo'!B$2:B$746,B453,'Base bordo'!F$2:F$746,"CARREGAMENTO"),0)</f>
        <v>0</v>
      </c>
      <c r="H453" s="10">
        <f>IFERROR(SUMIFS('Base bordo'!G$2:G$746,'Base bordo'!C$2:C$746,A453,'Base bordo'!B$2:B$746,B453,'Base bordo'!F$2:F$746,"AGUARDANDO TRANSBORDO"),0)</f>
        <v>0</v>
      </c>
      <c r="I453" s="10">
        <f>IFERROR(SUMIFS('Base bordo'!G$2:G$746,'Base bordo'!C$2:C$746,A453,'Base bordo'!B$2:B$746,B453,'Base bordo'!F$2:F$746,"PÁTIO INTERNO"),0)+IFERROR(SUMIFS('Base bordo'!G$2:G$746,'Base bordo'!C$2:C$746,A453,'Base bordo'!B$2:B$746,B453,'Base bordo'!F$2:F$746,"PÁTIO EXTERNO"),0)+IFERROR(SUMIFS('Base bordo'!G$2:G$746,'Base bordo'!C$2:C$746,A453,'Base bordo'!B$2:B$746,B453,'Base bordo'!F$2:F$746,"PATIO - RESERVA"),0)+IFERROR(SUMIFS('Base bordo'!G$2:G$746,'Base bordo'!C$2:C$746,A453,'Base bordo'!B$2:B$746,B453,'Base bordo'!F$2:F$746,"MANOBRA CARRETAS-PATIO"),0)</f>
        <v>2.8108333333333335</v>
      </c>
      <c r="J453" s="10">
        <f>IFERROR(SUMIFS('Base bordo'!G$2:G$746,'Base bordo'!C$2:C$746,A453,'Base bordo'!B$2:B$746,B453,'Base bordo'!F$2:F$746,"BALANÇA - ENTRADA"),0)+IFERROR(SUMIFS('Base bordo'!G$2:G$746,'Base bordo'!C$2:C$746,A453,'Base bordo'!B$2:B$746,B453,'Base bordo'!F$2:F$746,"BALANÇA - SAÍDA"),0)</f>
        <v>3.3333333333333333E-2</v>
      </c>
      <c r="K453" s="10">
        <f>IFERROR(SUMIFS('Base bordo'!G$2:G$746,'Base bordo'!C$2:C$746,A453,'Base bordo'!B$2:B$746,B453,'Base bordo'!F$2:F$746,"MAN PREVENTIVA - MECANICA"),0)+IFERROR(SUMIFS('Base bordo'!G$2:G$746,'Base bordo'!C$2:C$746,A453,'Base bordo'!B$2:B$746,B453,'Base bordo'!F$2:F$746,"MAN CORRETIVA - MECANICA"),0)</f>
        <v>0</v>
      </c>
      <c r="L453" s="10">
        <f>IFERROR(SUMIFS('Base bordo'!G$2:G$746,'Base bordo'!C$2:C$746,A453,'Base bordo'!B$2:B$746,B453,'Base bordo'!F$2:F$746,"MANUTENCAO - T O"),0)+IFERROR(SUMIFS('Base bordo'!G$2:G$746,'Base bordo'!C$2:C$746,A453,'Base bordo'!B$2:B$746,B453,'Base bordo'!F$2:F$746,"MANUTENCAO BORRACHARIA"),0)+IFERROR(SUMIFS('Base bordo'!G$2:G$746,'Base bordo'!C$2:C$746,A453,'Base bordo'!B$2:B$746,B453,'Base bordo'!F$2:F$746,"MANUTENCAO EXTERNA  CONCESSIONARIA"),0)+IFERROR(SUMIFS('Base bordo'!G$2:G$746,'Base bordo'!C$2:C$746,A453,'Base bordo'!B$2:B$746,B453,'Base bordo'!F$2:F$746,"MANUTENCAO TELEMETRIA"),0)</f>
        <v>0</v>
      </c>
      <c r="M453" s="10">
        <f>IFERROR(SUMIFS('Base bordo'!G$2:G$746,'Base bordo'!C$2:C$746,A453,'Base bordo'!B$2:B$746,B453,'Base bordo'!F$2:F$746,"AGUARDANDO MANUTENCAO"),0)</f>
        <v>0</v>
      </c>
      <c r="N453" s="10">
        <f>IFERROR(SUMIFS('Base bordo'!G$2:G$746,'Base bordo'!C$2:C$746,A453,'Base bordo'!B$2:B$746,B453,'Base bordo'!F$2:F$746,"SEM APONTAMENTO"),0)</f>
        <v>0</v>
      </c>
      <c r="O453" s="10">
        <f t="shared" si="48"/>
        <v>0</v>
      </c>
      <c r="P453" s="10">
        <f>IFERROR(SUMIFS('Base bordo'!G$2:G$746,'Base bordo'!C$2:C$746,A453,'Base bordo'!B$2:B$746,B453),0)</f>
        <v>3.7213888888888889</v>
      </c>
      <c r="Q453" s="10">
        <f>IFERROR(SUMIFS('Base bordo'!H$2:H$746,'Base bordo'!C$2:C$746,A453,'Base bordo'!B$2:B$746,B453,'Base bordo'!F$2:F$746,"DESLOCAMENTO VAZIO"),0)</f>
        <v>65601.72</v>
      </c>
      <c r="R453" s="10">
        <f>IFERROR(SUMIFS('Base bordo'!I$2:I$746,'Base bordo'!C$2:C$746,A453,'Base bordo'!B$2:B$746,B453,'Base bordo'!F$2:F$746,"DESLOCAMENTO VAZIO"),0)</f>
        <v>2984</v>
      </c>
      <c r="S453" s="30">
        <f t="shared" si="49"/>
        <v>21.984490616621983</v>
      </c>
      <c r="T453" s="10">
        <f>IFERROR(SUMIFS('Base bordo'!H$2:H$746,'Base bordo'!C$2:C$746,A453,'Base bordo'!B$2:B$746,B453,'Base bordo'!F$2:F$746,"DESLOCAMENTO CARREGADO"),0)</f>
        <v>501.05</v>
      </c>
      <c r="U453" s="10">
        <f>IFERROR(SUMIFS('Base bordo'!I$2:I$746,'Base bordo'!C$2:C$746,A453,'Base bordo'!B$2:B$746,B453,'Base bordo'!F$2:F$746,"DESLOCAMENTO CARREGADO"),0)</f>
        <v>174</v>
      </c>
      <c r="V453" s="30">
        <f t="shared" si="50"/>
        <v>2.8795977011494251</v>
      </c>
      <c r="W453" s="9">
        <f t="shared" si="51"/>
        <v>0.22273643352989475</v>
      </c>
      <c r="X453" s="9">
        <f t="shared" si="52"/>
        <v>1.2987982384115847E-2</v>
      </c>
      <c r="Y453" s="9">
        <f t="shared" si="53"/>
        <v>0.76427558408598939</v>
      </c>
    </row>
    <row r="454" spans="1:25" ht="15" customHeight="1" x14ac:dyDescent="0.35">
      <c r="A454" s="52">
        <v>8013476</v>
      </c>
      <c r="B454" s="51">
        <v>46119</v>
      </c>
      <c r="C454" s="7" t="s">
        <v>124</v>
      </c>
      <c r="D454" s="10">
        <f>IFERROR(SUMIFS('Base bordo'!G$2:G$746,'Base bordo'!C$2:C$746,A454,'Base bordo'!B$2:B$746,B454,'Base bordo'!F$2:F$746,"DESLOCAMENTO VAZIO"),0)</f>
        <v>1.5263888888888888</v>
      </c>
      <c r="E454" s="10">
        <f>IFERROR(SUMIFS('Base bordo'!G$2:G$746,'Base bordo'!C$2:C$746,A454,'Base bordo'!B$2:B$746,B454,'Base bordo'!F$2:F$746,"DESLOCAMENTO CARREGADO"),0)</f>
        <v>0.64083333333333337</v>
      </c>
      <c r="F454" s="10">
        <f>IFERROR(SUMIFS('Base bordo'!G$2:G$746,'Base bordo'!C$2:C$746,A454,'Base bordo'!B$2:B$746,B454,'Base bordo'!F$2:F$746,"DESLOCAMENTO"),0)</f>
        <v>0</v>
      </c>
      <c r="G454" s="10">
        <f>IFERROR(SUMIFS('Base bordo'!G$2:G$746,'Base bordo'!C$2:C$746,A454,'Base bordo'!B$2:B$746,B454,'Base bordo'!F$2:F$746,"CARREGAMENTO"),0)</f>
        <v>0</v>
      </c>
      <c r="H454" s="10">
        <f>IFERROR(SUMIFS('Base bordo'!G$2:G$746,'Base bordo'!C$2:C$746,A454,'Base bordo'!B$2:B$746,B454,'Base bordo'!F$2:F$746,"AGUARDANDO TRANSBORDO"),0)</f>
        <v>0.96361111111111108</v>
      </c>
      <c r="I454" s="10">
        <f>IFERROR(SUMIFS('Base bordo'!G$2:G$746,'Base bordo'!C$2:C$746,A454,'Base bordo'!B$2:B$746,B454,'Base bordo'!F$2:F$746,"PÁTIO INTERNO"),0)+IFERROR(SUMIFS('Base bordo'!G$2:G$746,'Base bordo'!C$2:C$746,A454,'Base bordo'!B$2:B$746,B454,'Base bordo'!F$2:F$746,"PÁTIO EXTERNO"),0)+IFERROR(SUMIFS('Base bordo'!G$2:G$746,'Base bordo'!C$2:C$746,A454,'Base bordo'!B$2:B$746,B454,'Base bordo'!F$2:F$746,"PATIO - RESERVA"),0)+IFERROR(SUMIFS('Base bordo'!G$2:G$746,'Base bordo'!C$2:C$746,A454,'Base bordo'!B$2:B$746,B454,'Base bordo'!F$2:F$746,"MANOBRA CARRETAS-PATIO"),0)</f>
        <v>9.7777777777777783E-2</v>
      </c>
      <c r="J454" s="10">
        <f>IFERROR(SUMIFS('Base bordo'!G$2:G$746,'Base bordo'!C$2:C$746,A454,'Base bordo'!B$2:B$746,B454,'Base bordo'!F$2:F$746,"BALANÇA - ENTRADA"),0)+IFERROR(SUMIFS('Base bordo'!G$2:G$746,'Base bordo'!C$2:C$746,A454,'Base bordo'!B$2:B$746,B454,'Base bordo'!F$2:F$746,"BALANÇA - SAÍDA"),0)</f>
        <v>7.7777777777777776E-3</v>
      </c>
      <c r="K454" s="10">
        <f>IFERROR(SUMIFS('Base bordo'!G$2:G$746,'Base bordo'!C$2:C$746,A454,'Base bordo'!B$2:B$746,B454,'Base bordo'!F$2:F$746,"MAN PREVENTIVA - MECANICA"),0)+IFERROR(SUMIFS('Base bordo'!G$2:G$746,'Base bordo'!C$2:C$746,A454,'Base bordo'!B$2:B$746,B454,'Base bordo'!F$2:F$746,"MAN CORRETIVA - MECANICA"),0)</f>
        <v>0</v>
      </c>
      <c r="L454" s="10">
        <f>IFERROR(SUMIFS('Base bordo'!G$2:G$746,'Base bordo'!C$2:C$746,A454,'Base bordo'!B$2:B$746,B454,'Base bordo'!F$2:F$746,"MANUTENCAO - T O"),0)+IFERROR(SUMIFS('Base bordo'!G$2:G$746,'Base bordo'!C$2:C$746,A454,'Base bordo'!B$2:B$746,B454,'Base bordo'!F$2:F$746,"MANUTENCAO BORRACHARIA"),0)+IFERROR(SUMIFS('Base bordo'!G$2:G$746,'Base bordo'!C$2:C$746,A454,'Base bordo'!B$2:B$746,B454,'Base bordo'!F$2:F$746,"MANUTENCAO EXTERNA  CONCESSIONARIA"),0)+IFERROR(SUMIFS('Base bordo'!G$2:G$746,'Base bordo'!C$2:C$746,A454,'Base bordo'!B$2:B$746,B454,'Base bordo'!F$2:F$746,"MANUTENCAO TELEMETRIA"),0)</f>
        <v>0</v>
      </c>
      <c r="M454" s="10">
        <f>IFERROR(SUMIFS('Base bordo'!G$2:G$746,'Base bordo'!C$2:C$746,A454,'Base bordo'!B$2:B$746,B454,'Base bordo'!F$2:F$746,"AGUARDANDO MANUTENCAO"),0)</f>
        <v>0</v>
      </c>
      <c r="N454" s="10">
        <f>IFERROR(SUMIFS('Base bordo'!G$2:G$746,'Base bordo'!C$2:C$746,A454,'Base bordo'!B$2:B$746,B454,'Base bordo'!F$2:F$746,"SEM APONTAMENTO"),0)</f>
        <v>0</v>
      </c>
      <c r="O454" s="10">
        <f t="shared" si="48"/>
        <v>0</v>
      </c>
      <c r="P454" s="10">
        <f>IFERROR(SUMIFS('Base bordo'!G$2:G$746,'Base bordo'!C$2:C$746,A454,'Base bordo'!B$2:B$746,B454),0)</f>
        <v>3.236388888888889</v>
      </c>
      <c r="Q454" s="10">
        <f>IFERROR(SUMIFS('Base bordo'!H$2:H$746,'Base bordo'!C$2:C$746,A454,'Base bordo'!B$2:B$746,B454,'Base bordo'!F$2:F$746,"DESLOCAMENTO VAZIO"),0)</f>
        <v>181446.87000000002</v>
      </c>
      <c r="R454" s="10">
        <f>IFERROR(SUMIFS('Base bordo'!I$2:I$746,'Base bordo'!C$2:C$746,A454,'Base bordo'!B$2:B$746,B454,'Base bordo'!F$2:F$746,"DESLOCAMENTO VAZIO"),0)</f>
        <v>5495</v>
      </c>
      <c r="S454" s="30">
        <f t="shared" si="49"/>
        <v>33.020358507734308</v>
      </c>
      <c r="T454" s="10">
        <f>IFERROR(SUMIFS('Base bordo'!H$2:H$746,'Base bordo'!C$2:C$746,A454,'Base bordo'!B$2:B$746,B454,'Base bordo'!F$2:F$746,"DESLOCAMENTO CARREGADO"),0)</f>
        <v>34581.93</v>
      </c>
      <c r="U454" s="10">
        <f>IFERROR(SUMIFS('Base bordo'!I$2:I$746,'Base bordo'!C$2:C$746,A454,'Base bordo'!B$2:B$746,B454,'Base bordo'!F$2:F$746,"DESLOCAMENTO CARREGADO"),0)</f>
        <v>2307</v>
      </c>
      <c r="V454" s="30">
        <f t="shared" si="50"/>
        <v>14.99</v>
      </c>
      <c r="W454" s="9">
        <f t="shared" si="51"/>
        <v>0.47163333619431802</v>
      </c>
      <c r="X454" s="9">
        <f t="shared" si="52"/>
        <v>0.19800875461333792</v>
      </c>
      <c r="Y454" s="9">
        <f t="shared" si="53"/>
        <v>0.33035790919234409</v>
      </c>
    </row>
    <row r="455" spans="1:25" ht="15" customHeight="1" x14ac:dyDescent="0.35">
      <c r="A455" s="52">
        <v>8013462</v>
      </c>
      <c r="B455" s="51">
        <v>46119</v>
      </c>
      <c r="C455" s="7" t="s">
        <v>124</v>
      </c>
      <c r="D455" s="10">
        <f>IFERROR(SUMIFS('Base bordo'!G$2:G$746,'Base bordo'!C$2:C$746,A455,'Base bordo'!B$2:B$746,B455,'Base bordo'!F$2:F$746,"DESLOCAMENTO VAZIO"),0)</f>
        <v>0.22444444444444445</v>
      </c>
      <c r="E455" s="10">
        <f>IFERROR(SUMIFS('Base bordo'!G$2:G$746,'Base bordo'!C$2:C$746,A455,'Base bordo'!B$2:B$746,B455,'Base bordo'!F$2:F$746,"DESLOCAMENTO CARREGADO"),0)</f>
        <v>1.1399999999999999</v>
      </c>
      <c r="F455" s="10">
        <f>IFERROR(SUMIFS('Base bordo'!G$2:G$746,'Base bordo'!C$2:C$746,A455,'Base bordo'!B$2:B$746,B455,'Base bordo'!F$2:F$746,"DESLOCAMENTO"),0)</f>
        <v>0</v>
      </c>
      <c r="G455" s="10">
        <f>IFERROR(SUMIFS('Base bordo'!G$2:G$746,'Base bordo'!C$2:C$746,A455,'Base bordo'!B$2:B$746,B455,'Base bordo'!F$2:F$746,"CARREGAMENTO"),0)</f>
        <v>0</v>
      </c>
      <c r="H455" s="10">
        <f>IFERROR(SUMIFS('Base bordo'!G$2:G$746,'Base bordo'!C$2:C$746,A455,'Base bordo'!B$2:B$746,B455,'Base bordo'!F$2:F$746,"AGUARDANDO TRANSBORDO"),0)</f>
        <v>0</v>
      </c>
      <c r="I455" s="10">
        <f>IFERROR(SUMIFS('Base bordo'!G$2:G$746,'Base bordo'!C$2:C$746,A455,'Base bordo'!B$2:B$746,B455,'Base bordo'!F$2:F$746,"PÁTIO INTERNO"),0)+IFERROR(SUMIFS('Base bordo'!G$2:G$746,'Base bordo'!C$2:C$746,A455,'Base bordo'!B$2:B$746,B455,'Base bordo'!F$2:F$746,"PÁTIO EXTERNO"),0)+IFERROR(SUMIFS('Base bordo'!G$2:G$746,'Base bordo'!C$2:C$746,A455,'Base bordo'!B$2:B$746,B455,'Base bordo'!F$2:F$746,"PATIO - RESERVA"),0)+IFERROR(SUMIFS('Base bordo'!G$2:G$746,'Base bordo'!C$2:C$746,A455,'Base bordo'!B$2:B$746,B455,'Base bordo'!F$2:F$746,"MANOBRA CARRETAS-PATIO"),0)</f>
        <v>19.001944444444444</v>
      </c>
      <c r="J455" s="10">
        <f>IFERROR(SUMIFS('Base bordo'!G$2:G$746,'Base bordo'!C$2:C$746,A455,'Base bordo'!B$2:B$746,B455,'Base bordo'!F$2:F$746,"BALANÇA - ENTRADA"),0)+IFERROR(SUMIFS('Base bordo'!G$2:G$746,'Base bordo'!C$2:C$746,A455,'Base bordo'!B$2:B$746,B455,'Base bordo'!F$2:F$746,"BALANÇA - SAÍDA"),0)</f>
        <v>4.9444444444444444E-2</v>
      </c>
      <c r="K455" s="10">
        <f>IFERROR(SUMIFS('Base bordo'!G$2:G$746,'Base bordo'!C$2:C$746,A455,'Base bordo'!B$2:B$746,B455,'Base bordo'!F$2:F$746,"MAN PREVENTIVA - MECANICA"),0)+IFERROR(SUMIFS('Base bordo'!G$2:G$746,'Base bordo'!C$2:C$746,A455,'Base bordo'!B$2:B$746,B455,'Base bordo'!F$2:F$746,"MAN CORRETIVA - MECANICA"),0)</f>
        <v>0</v>
      </c>
      <c r="L455" s="10">
        <f>IFERROR(SUMIFS('Base bordo'!G$2:G$746,'Base bordo'!C$2:C$746,A455,'Base bordo'!B$2:B$746,B455,'Base bordo'!F$2:F$746,"MANUTENCAO - T O"),0)+IFERROR(SUMIFS('Base bordo'!G$2:G$746,'Base bordo'!C$2:C$746,A455,'Base bordo'!B$2:B$746,B455,'Base bordo'!F$2:F$746,"MANUTENCAO BORRACHARIA"),0)+IFERROR(SUMIFS('Base bordo'!G$2:G$746,'Base bordo'!C$2:C$746,A455,'Base bordo'!B$2:B$746,B455,'Base bordo'!F$2:F$746,"MANUTENCAO EXTERNA  CONCESSIONARIA"),0)+IFERROR(SUMIFS('Base bordo'!G$2:G$746,'Base bordo'!C$2:C$746,A455,'Base bordo'!B$2:B$746,B455,'Base bordo'!F$2:F$746,"MANUTENCAO TELEMETRIA"),0)</f>
        <v>0</v>
      </c>
      <c r="M455" s="10">
        <f>IFERROR(SUMIFS('Base bordo'!G$2:G$746,'Base bordo'!C$2:C$746,A455,'Base bordo'!B$2:B$746,B455,'Base bordo'!F$2:F$746,"AGUARDANDO MANUTENCAO"),0)</f>
        <v>0</v>
      </c>
      <c r="N455" s="10">
        <f>IFERROR(SUMIFS('Base bordo'!G$2:G$746,'Base bordo'!C$2:C$746,A455,'Base bordo'!B$2:B$746,B455,'Base bordo'!F$2:F$746,"SEM APONTAMENTO"),0)</f>
        <v>0</v>
      </c>
      <c r="O455" s="10">
        <f t="shared" si="48"/>
        <v>0</v>
      </c>
      <c r="P455" s="10">
        <f>IFERROR(SUMIFS('Base bordo'!G$2:G$746,'Base bordo'!C$2:C$746,A455,'Base bordo'!B$2:B$746,B455),0)</f>
        <v>20.415833333333332</v>
      </c>
      <c r="Q455" s="10">
        <f>IFERROR(SUMIFS('Base bordo'!H$2:H$746,'Base bordo'!C$2:C$746,A455,'Base bordo'!B$2:B$746,B455,'Base bordo'!F$2:F$746,"DESLOCAMENTO VAZIO"),0)</f>
        <v>12426.57</v>
      </c>
      <c r="R455" s="10">
        <f>IFERROR(SUMIFS('Base bordo'!I$2:I$746,'Base bordo'!C$2:C$746,A455,'Base bordo'!B$2:B$746,B455,'Base bordo'!F$2:F$746,"DESLOCAMENTO VAZIO"),0)</f>
        <v>808</v>
      </c>
      <c r="S455" s="30">
        <f t="shared" si="49"/>
        <v>15.379418316831682</v>
      </c>
      <c r="T455" s="10">
        <f>IFERROR(SUMIFS('Base bordo'!H$2:H$746,'Base bordo'!C$2:C$746,A455,'Base bordo'!B$2:B$746,B455,'Base bordo'!F$2:F$746,"DESLOCAMENTO CARREGADO"),0)</f>
        <v>100320.48</v>
      </c>
      <c r="U455" s="10">
        <f>IFERROR(SUMIFS('Base bordo'!I$2:I$746,'Base bordo'!C$2:C$746,A455,'Base bordo'!B$2:B$746,B455,'Base bordo'!F$2:F$746,"DESLOCAMENTO CARREGADO"),0)</f>
        <v>4104</v>
      </c>
      <c r="V455" s="30">
        <f t="shared" si="50"/>
        <v>24.444561403508771</v>
      </c>
      <c r="W455" s="9">
        <f t="shared" si="51"/>
        <v>1.0993645999156429E-2</v>
      </c>
      <c r="X455" s="9">
        <f t="shared" si="52"/>
        <v>5.583901383729948E-2</v>
      </c>
      <c r="Y455" s="9">
        <f t="shared" si="53"/>
        <v>0.93316734016354408</v>
      </c>
    </row>
    <row r="456" spans="1:25" ht="15" customHeight="1" x14ac:dyDescent="0.35">
      <c r="A456" s="52">
        <v>8013474</v>
      </c>
      <c r="B456" s="51">
        <v>46124</v>
      </c>
      <c r="C456" s="7" t="s">
        <v>124</v>
      </c>
      <c r="D456" s="10">
        <f>IFERROR(SUMIFS('Base bordo'!G$2:G$746,'Base bordo'!C$2:C$746,A456,'Base bordo'!B$2:B$746,B456,'Base bordo'!F$2:F$746,"DESLOCAMENTO VAZIO"),0)</f>
        <v>4.3047222222222219</v>
      </c>
      <c r="E456" s="10">
        <f>IFERROR(SUMIFS('Base bordo'!G$2:G$746,'Base bordo'!C$2:C$746,A456,'Base bordo'!B$2:B$746,B456,'Base bordo'!F$2:F$746,"DESLOCAMENTO CARREGADO"),0)</f>
        <v>5.5750000000000002</v>
      </c>
      <c r="F456" s="10">
        <f>IFERROR(SUMIFS('Base bordo'!G$2:G$746,'Base bordo'!C$2:C$746,A456,'Base bordo'!B$2:B$746,B456,'Base bordo'!F$2:F$746,"DESLOCAMENTO"),0)</f>
        <v>0</v>
      </c>
      <c r="G456" s="10">
        <f>IFERROR(SUMIFS('Base bordo'!G$2:G$746,'Base bordo'!C$2:C$746,A456,'Base bordo'!B$2:B$746,B456,'Base bordo'!F$2:F$746,"CARREGAMENTO"),0)</f>
        <v>0</v>
      </c>
      <c r="H456" s="10">
        <f>IFERROR(SUMIFS('Base bordo'!G$2:G$746,'Base bordo'!C$2:C$746,A456,'Base bordo'!B$2:B$746,B456,'Base bordo'!F$2:F$746,"AGUARDANDO TRANSBORDO"),0)</f>
        <v>0.92527777777777775</v>
      </c>
      <c r="I456" s="10">
        <f>IFERROR(SUMIFS('Base bordo'!G$2:G$746,'Base bordo'!C$2:C$746,A456,'Base bordo'!B$2:B$746,B456,'Base bordo'!F$2:F$746,"PÁTIO INTERNO"),0)+IFERROR(SUMIFS('Base bordo'!G$2:G$746,'Base bordo'!C$2:C$746,A456,'Base bordo'!B$2:B$746,B456,'Base bordo'!F$2:F$746,"PÁTIO EXTERNO"),0)+IFERROR(SUMIFS('Base bordo'!G$2:G$746,'Base bordo'!C$2:C$746,A456,'Base bordo'!B$2:B$746,B456,'Base bordo'!F$2:F$746,"PATIO - RESERVA"),0)+IFERROR(SUMIFS('Base bordo'!G$2:G$746,'Base bordo'!C$2:C$746,A456,'Base bordo'!B$2:B$746,B456,'Base bordo'!F$2:F$746,"MANOBRA CARRETAS-PATIO"),0)</f>
        <v>1.7619444444444445</v>
      </c>
      <c r="J456" s="10">
        <f>IFERROR(SUMIFS('Base bordo'!G$2:G$746,'Base bordo'!C$2:C$746,A456,'Base bordo'!B$2:B$746,B456,'Base bordo'!F$2:F$746,"BALANÇA - ENTRADA"),0)+IFERROR(SUMIFS('Base bordo'!G$2:G$746,'Base bordo'!C$2:C$746,A456,'Base bordo'!B$2:B$746,B456,'Base bordo'!F$2:F$746,"BALANÇA - SAÍDA"),0)</f>
        <v>9.6944444444444444E-2</v>
      </c>
      <c r="K456" s="10">
        <f>IFERROR(SUMIFS('Base bordo'!G$2:G$746,'Base bordo'!C$2:C$746,A456,'Base bordo'!B$2:B$746,B456,'Base bordo'!F$2:F$746,"MAN PREVENTIVA - MECANICA"),0)+IFERROR(SUMIFS('Base bordo'!G$2:G$746,'Base bordo'!C$2:C$746,A456,'Base bordo'!B$2:B$746,B456,'Base bordo'!F$2:F$746,"MAN CORRETIVA - MECANICA"),0)</f>
        <v>0</v>
      </c>
      <c r="L456" s="10">
        <f>IFERROR(SUMIFS('Base bordo'!G$2:G$746,'Base bordo'!C$2:C$746,A456,'Base bordo'!B$2:B$746,B456,'Base bordo'!F$2:F$746,"MANUTENCAO - T O"),0)+IFERROR(SUMIFS('Base bordo'!G$2:G$746,'Base bordo'!C$2:C$746,A456,'Base bordo'!B$2:B$746,B456,'Base bordo'!F$2:F$746,"MANUTENCAO BORRACHARIA"),0)+IFERROR(SUMIFS('Base bordo'!G$2:G$746,'Base bordo'!C$2:C$746,A456,'Base bordo'!B$2:B$746,B456,'Base bordo'!F$2:F$746,"MANUTENCAO EXTERNA  CONCESSIONARIA"),0)+IFERROR(SUMIFS('Base bordo'!G$2:G$746,'Base bordo'!C$2:C$746,A456,'Base bordo'!B$2:B$746,B456,'Base bordo'!F$2:F$746,"MANUTENCAO TELEMETRIA"),0)</f>
        <v>0</v>
      </c>
      <c r="M456" s="10">
        <f>IFERROR(SUMIFS('Base bordo'!G$2:G$746,'Base bordo'!C$2:C$746,A456,'Base bordo'!B$2:B$746,B456,'Base bordo'!F$2:F$746,"AGUARDANDO MANUTENCAO"),0)</f>
        <v>0</v>
      </c>
      <c r="N456" s="10">
        <f>IFERROR(SUMIFS('Base bordo'!G$2:G$746,'Base bordo'!C$2:C$746,A456,'Base bordo'!B$2:B$746,B456,'Base bordo'!F$2:F$746,"SEM APONTAMENTO"),0)</f>
        <v>0</v>
      </c>
      <c r="O456" s="10">
        <f t="shared" si="48"/>
        <v>0</v>
      </c>
      <c r="P456" s="10">
        <f>IFERROR(SUMIFS('Base bordo'!G$2:G$746,'Base bordo'!C$2:C$746,A456,'Base bordo'!B$2:B$746,B456),0)</f>
        <v>12.66388888888889</v>
      </c>
      <c r="Q456" s="10">
        <f>IFERROR(SUMIFS('Base bordo'!H$2:H$746,'Base bordo'!C$2:C$746,A456,'Base bordo'!B$2:B$746,B456,'Base bordo'!F$2:F$746,"DESLOCAMENTO VAZIO"),0)</f>
        <v>535356.59</v>
      </c>
      <c r="R456" s="10">
        <f>IFERROR(SUMIFS('Base bordo'!I$2:I$746,'Base bordo'!C$2:C$746,A456,'Base bordo'!B$2:B$746,B456,'Base bordo'!F$2:F$746,"DESLOCAMENTO VAZIO"),0)</f>
        <v>15497</v>
      </c>
      <c r="S456" s="30">
        <f t="shared" si="49"/>
        <v>34.545821126669679</v>
      </c>
      <c r="T456" s="10">
        <f>IFERROR(SUMIFS('Base bordo'!H$2:H$746,'Base bordo'!C$2:C$746,A456,'Base bordo'!B$2:B$746,B456,'Base bordo'!F$2:F$746,"DESLOCAMENTO CARREGADO"),0)</f>
        <v>488002.63</v>
      </c>
      <c r="U456" s="10">
        <f>IFERROR(SUMIFS('Base bordo'!I$2:I$746,'Base bordo'!C$2:C$746,A456,'Base bordo'!B$2:B$746,B456,'Base bordo'!F$2:F$746,"DESLOCAMENTO CARREGADO"),0)</f>
        <v>20070</v>
      </c>
      <c r="V456" s="30">
        <f t="shared" si="50"/>
        <v>24.31502889885401</v>
      </c>
      <c r="W456" s="9">
        <f t="shared" si="51"/>
        <v>0.33992103531476198</v>
      </c>
      <c r="X456" s="9">
        <f t="shared" si="52"/>
        <v>0.44022812020179863</v>
      </c>
      <c r="Y456" s="9">
        <f t="shared" si="53"/>
        <v>0.21985084448343939</v>
      </c>
    </row>
    <row r="457" spans="1:25" ht="15" customHeight="1" x14ac:dyDescent="0.35">
      <c r="A457" s="52">
        <v>8013483</v>
      </c>
      <c r="B457" s="51">
        <v>46124</v>
      </c>
      <c r="C457" s="7" t="s">
        <v>124</v>
      </c>
      <c r="D457" s="10">
        <f>IFERROR(SUMIFS('Base bordo'!G$2:G$746,'Base bordo'!C$2:C$746,A457,'Base bordo'!B$2:B$746,B457,'Base bordo'!F$2:F$746,"DESLOCAMENTO VAZIO"),0)</f>
        <v>3.0661111111111112</v>
      </c>
      <c r="E457" s="10">
        <f>IFERROR(SUMIFS('Base bordo'!G$2:G$746,'Base bordo'!C$2:C$746,A457,'Base bordo'!B$2:B$746,B457,'Base bordo'!F$2:F$746,"DESLOCAMENTO CARREGADO"),0)</f>
        <v>5.7730555555555556</v>
      </c>
      <c r="F457" s="10">
        <f>IFERROR(SUMIFS('Base bordo'!G$2:G$746,'Base bordo'!C$2:C$746,A457,'Base bordo'!B$2:B$746,B457,'Base bordo'!F$2:F$746,"DESLOCAMENTO"),0)</f>
        <v>0</v>
      </c>
      <c r="G457" s="10">
        <f>IFERROR(SUMIFS('Base bordo'!G$2:G$746,'Base bordo'!C$2:C$746,A457,'Base bordo'!B$2:B$746,B457,'Base bordo'!F$2:F$746,"CARREGAMENTO"),0)</f>
        <v>0</v>
      </c>
      <c r="H457" s="10">
        <f>IFERROR(SUMIFS('Base bordo'!G$2:G$746,'Base bordo'!C$2:C$746,A457,'Base bordo'!B$2:B$746,B457,'Base bordo'!F$2:F$746,"AGUARDANDO TRANSBORDO"),0)</f>
        <v>0.55083333333333329</v>
      </c>
      <c r="I457" s="10">
        <f>IFERROR(SUMIFS('Base bordo'!G$2:G$746,'Base bordo'!C$2:C$746,A457,'Base bordo'!B$2:B$746,B457,'Base bordo'!F$2:F$746,"PÁTIO INTERNO"),0)+IFERROR(SUMIFS('Base bordo'!G$2:G$746,'Base bordo'!C$2:C$746,A457,'Base bordo'!B$2:B$746,B457,'Base bordo'!F$2:F$746,"PÁTIO EXTERNO"),0)+IFERROR(SUMIFS('Base bordo'!G$2:G$746,'Base bordo'!C$2:C$746,A457,'Base bordo'!B$2:B$746,B457,'Base bordo'!F$2:F$746,"PATIO - RESERVA"),0)+IFERROR(SUMIFS('Base bordo'!G$2:G$746,'Base bordo'!C$2:C$746,A457,'Base bordo'!B$2:B$746,B457,'Base bordo'!F$2:F$746,"MANOBRA CARRETAS-PATIO"),0)</f>
        <v>6.1611111111111114</v>
      </c>
      <c r="J457" s="10">
        <f>IFERROR(SUMIFS('Base bordo'!G$2:G$746,'Base bordo'!C$2:C$746,A457,'Base bordo'!B$2:B$746,B457,'Base bordo'!F$2:F$746,"BALANÇA - ENTRADA"),0)+IFERROR(SUMIFS('Base bordo'!G$2:G$746,'Base bordo'!C$2:C$746,A457,'Base bordo'!B$2:B$746,B457,'Base bordo'!F$2:F$746,"BALANÇA - SAÍDA"),0)</f>
        <v>0.17694444444444446</v>
      </c>
      <c r="K457" s="10">
        <f>IFERROR(SUMIFS('Base bordo'!G$2:G$746,'Base bordo'!C$2:C$746,A457,'Base bordo'!B$2:B$746,B457,'Base bordo'!F$2:F$746,"MAN PREVENTIVA - MECANICA"),0)+IFERROR(SUMIFS('Base bordo'!G$2:G$746,'Base bordo'!C$2:C$746,A457,'Base bordo'!B$2:B$746,B457,'Base bordo'!F$2:F$746,"MAN CORRETIVA - MECANICA"),0)</f>
        <v>0</v>
      </c>
      <c r="L457" s="10">
        <f>IFERROR(SUMIFS('Base bordo'!G$2:G$746,'Base bordo'!C$2:C$746,A457,'Base bordo'!B$2:B$746,B457,'Base bordo'!F$2:F$746,"MANUTENCAO - T O"),0)+IFERROR(SUMIFS('Base bordo'!G$2:G$746,'Base bordo'!C$2:C$746,A457,'Base bordo'!B$2:B$746,B457,'Base bordo'!F$2:F$746,"MANUTENCAO BORRACHARIA"),0)+IFERROR(SUMIFS('Base bordo'!G$2:G$746,'Base bordo'!C$2:C$746,A457,'Base bordo'!B$2:B$746,B457,'Base bordo'!F$2:F$746,"MANUTENCAO EXTERNA  CONCESSIONARIA"),0)+IFERROR(SUMIFS('Base bordo'!G$2:G$746,'Base bordo'!C$2:C$746,A457,'Base bordo'!B$2:B$746,B457,'Base bordo'!F$2:F$746,"MANUTENCAO TELEMETRIA"),0)</f>
        <v>0</v>
      </c>
      <c r="M457" s="10">
        <f>IFERROR(SUMIFS('Base bordo'!G$2:G$746,'Base bordo'!C$2:C$746,A457,'Base bordo'!B$2:B$746,B457,'Base bordo'!F$2:F$746,"AGUARDANDO MANUTENCAO"),0)</f>
        <v>0</v>
      </c>
      <c r="N457" s="10">
        <f>IFERROR(SUMIFS('Base bordo'!G$2:G$746,'Base bordo'!C$2:C$746,A457,'Base bordo'!B$2:B$746,B457,'Base bordo'!F$2:F$746,"SEM APONTAMENTO"),0)</f>
        <v>0</v>
      </c>
      <c r="O457" s="10">
        <f t="shared" si="48"/>
        <v>-1.7763568394002505E-15</v>
      </c>
      <c r="P457" s="10">
        <f>IFERROR(SUMIFS('Base bordo'!G$2:G$746,'Base bordo'!C$2:C$746,A457,'Base bordo'!B$2:B$746,B457),0)</f>
        <v>15.728055555555555</v>
      </c>
      <c r="Q457" s="10">
        <f>IFERROR(SUMIFS('Base bordo'!H$2:H$746,'Base bordo'!C$2:C$746,A457,'Base bordo'!B$2:B$746,B457,'Base bordo'!F$2:F$746,"DESLOCAMENTO VAZIO"),0)</f>
        <v>357738.43000000005</v>
      </c>
      <c r="R457" s="10">
        <f>IFERROR(SUMIFS('Base bordo'!I$2:I$746,'Base bordo'!C$2:C$746,A457,'Base bordo'!B$2:B$746,B457,'Base bordo'!F$2:F$746,"DESLOCAMENTO VAZIO"),0)</f>
        <v>11038</v>
      </c>
      <c r="S457" s="30">
        <f t="shared" si="49"/>
        <v>32.409714622214175</v>
      </c>
      <c r="T457" s="10">
        <f>IFERROR(SUMIFS('Base bordo'!H$2:H$746,'Base bordo'!C$2:C$746,A457,'Base bordo'!B$2:B$746,B457,'Base bordo'!F$2:F$746,"DESLOCAMENTO CARREGADO"),0)</f>
        <v>519150.98000000004</v>
      </c>
      <c r="U457" s="10">
        <f>IFERROR(SUMIFS('Base bordo'!I$2:I$746,'Base bordo'!C$2:C$746,A457,'Base bordo'!B$2:B$746,B457,'Base bordo'!F$2:F$746,"DESLOCAMENTO CARREGADO"),0)</f>
        <v>20783</v>
      </c>
      <c r="V457" s="30">
        <f t="shared" si="50"/>
        <v>24.979597748159556</v>
      </c>
      <c r="W457" s="9">
        <f t="shared" si="51"/>
        <v>0.19494533830204344</v>
      </c>
      <c r="X457" s="9">
        <f t="shared" si="52"/>
        <v>0.36705462637537312</v>
      </c>
      <c r="Y457" s="9">
        <f t="shared" si="53"/>
        <v>0.43800003532258347</v>
      </c>
    </row>
    <row r="458" spans="1:25" ht="15" customHeight="1" x14ac:dyDescent="0.35">
      <c r="A458" s="52">
        <v>8013474</v>
      </c>
      <c r="B458" s="51">
        <v>46124</v>
      </c>
      <c r="C458" s="7" t="s">
        <v>124</v>
      </c>
      <c r="D458" s="10">
        <f>IFERROR(SUMIFS('Base bordo'!G$2:G$746,'Base bordo'!C$2:C$746,A458,'Base bordo'!B$2:B$746,B458,'Base bordo'!F$2:F$746,"DESLOCAMENTO VAZIO"),0)</f>
        <v>4.3047222222222219</v>
      </c>
      <c r="E458" s="10">
        <f>IFERROR(SUMIFS('Base bordo'!G$2:G$746,'Base bordo'!C$2:C$746,A458,'Base bordo'!B$2:B$746,B458,'Base bordo'!F$2:F$746,"DESLOCAMENTO CARREGADO"),0)</f>
        <v>5.5750000000000002</v>
      </c>
      <c r="F458" s="10">
        <f>IFERROR(SUMIFS('Base bordo'!G$2:G$746,'Base bordo'!C$2:C$746,A458,'Base bordo'!B$2:B$746,B458,'Base bordo'!F$2:F$746,"DESLOCAMENTO"),0)</f>
        <v>0</v>
      </c>
      <c r="G458" s="10">
        <f>IFERROR(SUMIFS('Base bordo'!G$2:G$746,'Base bordo'!C$2:C$746,A458,'Base bordo'!B$2:B$746,B458,'Base bordo'!F$2:F$746,"CARREGAMENTO"),0)</f>
        <v>0</v>
      </c>
      <c r="H458" s="10">
        <f>IFERROR(SUMIFS('Base bordo'!G$2:G$746,'Base bordo'!C$2:C$746,A458,'Base bordo'!B$2:B$746,B458,'Base bordo'!F$2:F$746,"AGUARDANDO TRANSBORDO"),0)</f>
        <v>0.92527777777777775</v>
      </c>
      <c r="I458" s="10">
        <f>IFERROR(SUMIFS('Base bordo'!G$2:G$746,'Base bordo'!C$2:C$746,A458,'Base bordo'!B$2:B$746,B458,'Base bordo'!F$2:F$746,"PÁTIO INTERNO"),0)+IFERROR(SUMIFS('Base bordo'!G$2:G$746,'Base bordo'!C$2:C$746,A458,'Base bordo'!B$2:B$746,B458,'Base bordo'!F$2:F$746,"PÁTIO EXTERNO"),0)+IFERROR(SUMIFS('Base bordo'!G$2:G$746,'Base bordo'!C$2:C$746,A458,'Base bordo'!B$2:B$746,B458,'Base bordo'!F$2:F$746,"PATIO - RESERVA"),0)+IFERROR(SUMIFS('Base bordo'!G$2:G$746,'Base bordo'!C$2:C$746,A458,'Base bordo'!B$2:B$746,B458,'Base bordo'!F$2:F$746,"MANOBRA CARRETAS-PATIO"),0)</f>
        <v>1.7619444444444445</v>
      </c>
      <c r="J458" s="10">
        <f>IFERROR(SUMIFS('Base bordo'!G$2:G$746,'Base bordo'!C$2:C$746,A458,'Base bordo'!B$2:B$746,B458,'Base bordo'!F$2:F$746,"BALANÇA - ENTRADA"),0)+IFERROR(SUMIFS('Base bordo'!G$2:G$746,'Base bordo'!C$2:C$746,A458,'Base bordo'!B$2:B$746,B458,'Base bordo'!F$2:F$746,"BALANÇA - SAÍDA"),0)</f>
        <v>9.6944444444444444E-2</v>
      </c>
      <c r="K458" s="10">
        <f>IFERROR(SUMIFS('Base bordo'!G$2:G$746,'Base bordo'!C$2:C$746,A458,'Base bordo'!B$2:B$746,B458,'Base bordo'!F$2:F$746,"MAN PREVENTIVA - MECANICA"),0)+IFERROR(SUMIFS('Base bordo'!G$2:G$746,'Base bordo'!C$2:C$746,A458,'Base bordo'!B$2:B$746,B458,'Base bordo'!F$2:F$746,"MAN CORRETIVA - MECANICA"),0)</f>
        <v>0</v>
      </c>
      <c r="L458" s="10">
        <f>IFERROR(SUMIFS('Base bordo'!G$2:G$746,'Base bordo'!C$2:C$746,A458,'Base bordo'!B$2:B$746,B458,'Base bordo'!F$2:F$746,"MANUTENCAO - T O"),0)+IFERROR(SUMIFS('Base bordo'!G$2:G$746,'Base bordo'!C$2:C$746,A458,'Base bordo'!B$2:B$746,B458,'Base bordo'!F$2:F$746,"MANUTENCAO BORRACHARIA"),0)+IFERROR(SUMIFS('Base bordo'!G$2:G$746,'Base bordo'!C$2:C$746,A458,'Base bordo'!B$2:B$746,B458,'Base bordo'!F$2:F$746,"MANUTENCAO EXTERNA  CONCESSIONARIA"),0)+IFERROR(SUMIFS('Base bordo'!G$2:G$746,'Base bordo'!C$2:C$746,A458,'Base bordo'!B$2:B$746,B458,'Base bordo'!F$2:F$746,"MANUTENCAO TELEMETRIA"),0)</f>
        <v>0</v>
      </c>
      <c r="M458" s="10">
        <f>IFERROR(SUMIFS('Base bordo'!G$2:G$746,'Base bordo'!C$2:C$746,A458,'Base bordo'!B$2:B$746,B458,'Base bordo'!F$2:F$746,"AGUARDANDO MANUTENCAO"),0)</f>
        <v>0</v>
      </c>
      <c r="N458" s="10">
        <f>IFERROR(SUMIFS('Base bordo'!G$2:G$746,'Base bordo'!C$2:C$746,A458,'Base bordo'!B$2:B$746,B458,'Base bordo'!F$2:F$746,"SEM APONTAMENTO"),0)</f>
        <v>0</v>
      </c>
      <c r="O458" s="10">
        <f t="shared" si="48"/>
        <v>0</v>
      </c>
      <c r="P458" s="10">
        <f>IFERROR(SUMIFS('Base bordo'!G$2:G$746,'Base bordo'!C$2:C$746,A458,'Base bordo'!B$2:B$746,B458),0)</f>
        <v>12.66388888888889</v>
      </c>
      <c r="Q458" s="10">
        <f>IFERROR(SUMIFS('Base bordo'!H$2:H$746,'Base bordo'!C$2:C$746,A458,'Base bordo'!B$2:B$746,B458,'Base bordo'!F$2:F$746,"DESLOCAMENTO VAZIO"),0)</f>
        <v>535356.59</v>
      </c>
      <c r="R458" s="10">
        <f>IFERROR(SUMIFS('Base bordo'!I$2:I$746,'Base bordo'!C$2:C$746,A458,'Base bordo'!B$2:B$746,B458,'Base bordo'!F$2:F$746,"DESLOCAMENTO VAZIO"),0)</f>
        <v>15497</v>
      </c>
      <c r="S458" s="30">
        <f t="shared" si="49"/>
        <v>34.545821126669679</v>
      </c>
      <c r="T458" s="10">
        <f>IFERROR(SUMIFS('Base bordo'!H$2:H$746,'Base bordo'!C$2:C$746,A458,'Base bordo'!B$2:B$746,B458,'Base bordo'!F$2:F$746,"DESLOCAMENTO CARREGADO"),0)</f>
        <v>488002.63</v>
      </c>
      <c r="U458" s="10">
        <f>IFERROR(SUMIFS('Base bordo'!I$2:I$746,'Base bordo'!C$2:C$746,A458,'Base bordo'!B$2:B$746,B458,'Base bordo'!F$2:F$746,"DESLOCAMENTO CARREGADO"),0)</f>
        <v>20070</v>
      </c>
      <c r="V458" s="30">
        <f t="shared" si="50"/>
        <v>24.31502889885401</v>
      </c>
      <c r="W458" s="9">
        <f t="shared" si="51"/>
        <v>0.33992103531476198</v>
      </c>
      <c r="X458" s="9">
        <f t="shared" si="52"/>
        <v>0.44022812020179863</v>
      </c>
      <c r="Y458" s="9">
        <f t="shared" si="53"/>
        <v>0.21985084448343939</v>
      </c>
    </row>
    <row r="459" spans="1:25" ht="15" customHeight="1" x14ac:dyDescent="0.35">
      <c r="A459" s="52">
        <v>8013470</v>
      </c>
      <c r="B459" s="51">
        <v>46124</v>
      </c>
      <c r="C459" s="7" t="s">
        <v>124</v>
      </c>
      <c r="D459" s="10">
        <f>IFERROR(SUMIFS('Base bordo'!G$2:G$746,'Base bordo'!C$2:C$746,A459,'Base bordo'!B$2:B$746,B459,'Base bordo'!F$2:F$746,"DESLOCAMENTO VAZIO"),0)</f>
        <v>2.2769444444444447</v>
      </c>
      <c r="E459" s="10">
        <f>IFERROR(SUMIFS('Base bordo'!G$2:G$746,'Base bordo'!C$2:C$746,A459,'Base bordo'!B$2:B$746,B459,'Base bordo'!F$2:F$746,"DESLOCAMENTO CARREGADO"),0)</f>
        <v>6.3111111111111109</v>
      </c>
      <c r="F459" s="10">
        <f>IFERROR(SUMIFS('Base bordo'!G$2:G$746,'Base bordo'!C$2:C$746,A459,'Base bordo'!B$2:B$746,B459,'Base bordo'!F$2:F$746,"DESLOCAMENTO"),0)</f>
        <v>0</v>
      </c>
      <c r="G459" s="10">
        <f>IFERROR(SUMIFS('Base bordo'!G$2:G$746,'Base bordo'!C$2:C$746,A459,'Base bordo'!B$2:B$746,B459,'Base bordo'!F$2:F$746,"CARREGAMENTO"),0)</f>
        <v>0</v>
      </c>
      <c r="H459" s="10">
        <f>IFERROR(SUMIFS('Base bordo'!G$2:G$746,'Base bordo'!C$2:C$746,A459,'Base bordo'!B$2:B$746,B459,'Base bordo'!F$2:F$746,"AGUARDANDO TRANSBORDO"),0)</f>
        <v>0.24416666666666667</v>
      </c>
      <c r="I459" s="10">
        <f>IFERROR(SUMIFS('Base bordo'!G$2:G$746,'Base bordo'!C$2:C$746,A459,'Base bordo'!B$2:B$746,B459,'Base bordo'!F$2:F$746,"PÁTIO INTERNO"),0)+IFERROR(SUMIFS('Base bordo'!G$2:G$746,'Base bordo'!C$2:C$746,A459,'Base bordo'!B$2:B$746,B459,'Base bordo'!F$2:F$746,"PÁTIO EXTERNO"),0)+IFERROR(SUMIFS('Base bordo'!G$2:G$746,'Base bordo'!C$2:C$746,A459,'Base bordo'!B$2:B$746,B459,'Base bordo'!F$2:F$746,"PATIO - RESERVA"),0)+IFERROR(SUMIFS('Base bordo'!G$2:G$746,'Base bordo'!C$2:C$746,A459,'Base bordo'!B$2:B$746,B459,'Base bordo'!F$2:F$746,"MANOBRA CARRETAS-PATIO"),0)</f>
        <v>3.2016666666666667</v>
      </c>
      <c r="J459" s="10">
        <f>IFERROR(SUMIFS('Base bordo'!G$2:G$746,'Base bordo'!C$2:C$746,A459,'Base bordo'!B$2:B$746,B459,'Base bordo'!F$2:F$746,"BALANÇA - ENTRADA"),0)+IFERROR(SUMIFS('Base bordo'!G$2:G$746,'Base bordo'!C$2:C$746,A459,'Base bordo'!B$2:B$746,B459,'Base bordo'!F$2:F$746,"BALANÇA - SAÍDA"),0)</f>
        <v>0.21722222222222221</v>
      </c>
      <c r="K459" s="10">
        <f>IFERROR(SUMIFS('Base bordo'!G$2:G$746,'Base bordo'!C$2:C$746,A459,'Base bordo'!B$2:B$746,B459,'Base bordo'!F$2:F$746,"MAN PREVENTIVA - MECANICA"),0)+IFERROR(SUMIFS('Base bordo'!G$2:G$746,'Base bordo'!C$2:C$746,A459,'Base bordo'!B$2:B$746,B459,'Base bordo'!F$2:F$746,"MAN CORRETIVA - MECANICA"),0)</f>
        <v>0</v>
      </c>
      <c r="L459" s="10">
        <f>IFERROR(SUMIFS('Base bordo'!G$2:G$746,'Base bordo'!C$2:C$746,A459,'Base bordo'!B$2:B$746,B459,'Base bordo'!F$2:F$746,"MANUTENCAO - T O"),0)+IFERROR(SUMIFS('Base bordo'!G$2:G$746,'Base bordo'!C$2:C$746,A459,'Base bordo'!B$2:B$746,B459,'Base bordo'!F$2:F$746,"MANUTENCAO BORRACHARIA"),0)+IFERROR(SUMIFS('Base bordo'!G$2:G$746,'Base bordo'!C$2:C$746,A459,'Base bordo'!B$2:B$746,B459,'Base bordo'!F$2:F$746,"MANUTENCAO EXTERNA  CONCESSIONARIA"),0)+IFERROR(SUMIFS('Base bordo'!G$2:G$746,'Base bordo'!C$2:C$746,A459,'Base bordo'!B$2:B$746,B459,'Base bordo'!F$2:F$746,"MANUTENCAO TELEMETRIA"),0)</f>
        <v>0</v>
      </c>
      <c r="M459" s="10">
        <f>IFERROR(SUMIFS('Base bordo'!G$2:G$746,'Base bordo'!C$2:C$746,A459,'Base bordo'!B$2:B$746,B459,'Base bordo'!F$2:F$746,"AGUARDANDO MANUTENCAO"),0)</f>
        <v>0</v>
      </c>
      <c r="N459" s="10">
        <f>IFERROR(SUMIFS('Base bordo'!G$2:G$746,'Base bordo'!C$2:C$746,A459,'Base bordo'!B$2:B$746,B459,'Base bordo'!F$2:F$746,"SEM APONTAMENTO"),0)</f>
        <v>0</v>
      </c>
      <c r="O459" s="10">
        <f t="shared" si="48"/>
        <v>6.3333333333332575E-2</v>
      </c>
      <c r="P459" s="10">
        <f>IFERROR(SUMIFS('Base bordo'!G$2:G$746,'Base bordo'!C$2:C$746,A459,'Base bordo'!B$2:B$746,B459),0)</f>
        <v>12.314444444444444</v>
      </c>
      <c r="Q459" s="10">
        <f>IFERROR(SUMIFS('Base bordo'!H$2:H$746,'Base bordo'!C$2:C$746,A459,'Base bordo'!B$2:B$746,B459,'Base bordo'!F$2:F$746,"DESLOCAMENTO VAZIO"),0)</f>
        <v>282969.98000000004</v>
      </c>
      <c r="R459" s="10">
        <f>IFERROR(SUMIFS('Base bordo'!I$2:I$746,'Base bordo'!C$2:C$746,A459,'Base bordo'!B$2:B$746,B459,'Base bordo'!F$2:F$746,"DESLOCAMENTO VAZIO"),0)</f>
        <v>8186</v>
      </c>
      <c r="S459" s="30">
        <f t="shared" si="49"/>
        <v>34.567551917908631</v>
      </c>
      <c r="T459" s="10">
        <f>IFERROR(SUMIFS('Base bordo'!H$2:H$746,'Base bordo'!C$2:C$746,A459,'Base bordo'!B$2:B$746,B459,'Base bordo'!F$2:F$746,"DESLOCAMENTO CARREGADO"),0)</f>
        <v>649243.22</v>
      </c>
      <c r="U459" s="10">
        <f>IFERROR(SUMIFS('Base bordo'!I$2:I$746,'Base bordo'!C$2:C$746,A459,'Base bordo'!B$2:B$746,B459,'Base bordo'!F$2:F$746,"DESLOCAMENTO CARREGADO"),0)</f>
        <v>22720</v>
      </c>
      <c r="V459" s="30">
        <f t="shared" si="50"/>
        <v>28.575845950704224</v>
      </c>
      <c r="W459" s="9">
        <f t="shared" si="51"/>
        <v>0.18490029775331593</v>
      </c>
      <c r="X459" s="9">
        <f t="shared" si="52"/>
        <v>0.51249661643959221</v>
      </c>
      <c r="Y459" s="9">
        <f t="shared" si="53"/>
        <v>0.30260308580709183</v>
      </c>
    </row>
    <row r="460" spans="1:25" ht="15" customHeight="1" x14ac:dyDescent="0.35">
      <c r="A460" s="52">
        <v>8013465</v>
      </c>
      <c r="B460" s="51">
        <v>46116</v>
      </c>
      <c r="C460" s="7" t="s">
        <v>124</v>
      </c>
      <c r="D460" s="10">
        <f>IFERROR(SUMIFS('Base bordo'!G$2:G$746,'Base bordo'!C$2:C$746,A460,'Base bordo'!B$2:B$746,B460,'Base bordo'!F$2:F$746,"DESLOCAMENTO VAZIO"),0)</f>
        <v>4.0833333333333333E-2</v>
      </c>
      <c r="E460" s="10">
        <f>IFERROR(SUMIFS('Base bordo'!G$2:G$746,'Base bordo'!C$2:C$746,A460,'Base bordo'!B$2:B$746,B460,'Base bordo'!F$2:F$746,"DESLOCAMENTO CARREGADO"),0)</f>
        <v>0</v>
      </c>
      <c r="F460" s="10">
        <f>IFERROR(SUMIFS('Base bordo'!G$2:G$746,'Base bordo'!C$2:C$746,A460,'Base bordo'!B$2:B$746,B460,'Base bordo'!F$2:F$746,"DESLOCAMENTO"),0)</f>
        <v>1.1111111111111112E-2</v>
      </c>
      <c r="G460" s="10">
        <f>IFERROR(SUMIFS('Base bordo'!G$2:G$746,'Base bordo'!C$2:C$746,A460,'Base bordo'!B$2:B$746,B460,'Base bordo'!F$2:F$746,"CARREGAMENTO"),0)</f>
        <v>0</v>
      </c>
      <c r="H460" s="10">
        <f>IFERROR(SUMIFS('Base bordo'!G$2:G$746,'Base bordo'!C$2:C$746,A460,'Base bordo'!B$2:B$746,B460,'Base bordo'!F$2:F$746,"AGUARDANDO TRANSBORDO"),0)</f>
        <v>0</v>
      </c>
      <c r="I460" s="10">
        <f>IFERROR(SUMIFS('Base bordo'!G$2:G$746,'Base bordo'!C$2:C$746,A460,'Base bordo'!B$2:B$746,B460,'Base bordo'!F$2:F$746,"PÁTIO INTERNO"),0)+IFERROR(SUMIFS('Base bordo'!G$2:G$746,'Base bordo'!C$2:C$746,A460,'Base bordo'!B$2:B$746,B460,'Base bordo'!F$2:F$746,"PÁTIO EXTERNO"),0)+IFERROR(SUMIFS('Base bordo'!G$2:G$746,'Base bordo'!C$2:C$746,A460,'Base bordo'!B$2:B$746,B460,'Base bordo'!F$2:F$746,"PATIO - RESERVA"),0)+IFERROR(SUMIFS('Base bordo'!G$2:G$746,'Base bordo'!C$2:C$746,A460,'Base bordo'!B$2:B$746,B460,'Base bordo'!F$2:F$746,"MANOBRA CARRETAS-PATIO"),0)</f>
        <v>0</v>
      </c>
      <c r="J460" s="10">
        <f>IFERROR(SUMIFS('Base bordo'!G$2:G$746,'Base bordo'!C$2:C$746,A460,'Base bordo'!B$2:B$746,B460,'Base bordo'!F$2:F$746,"BALANÇA - ENTRADA"),0)+IFERROR(SUMIFS('Base bordo'!G$2:G$746,'Base bordo'!C$2:C$746,A460,'Base bordo'!B$2:B$746,B460,'Base bordo'!F$2:F$746,"BALANÇA - SAÍDA"),0)</f>
        <v>0</v>
      </c>
      <c r="K460" s="10">
        <f>IFERROR(SUMIFS('Base bordo'!G$2:G$746,'Base bordo'!C$2:C$746,A460,'Base bordo'!B$2:B$746,B460,'Base bordo'!F$2:F$746,"MAN PREVENTIVA - MECANICA"),0)+IFERROR(SUMIFS('Base bordo'!G$2:G$746,'Base bordo'!C$2:C$746,A460,'Base bordo'!B$2:B$746,B460,'Base bordo'!F$2:F$746,"MAN CORRETIVA - MECANICA"),0)</f>
        <v>0</v>
      </c>
      <c r="L460" s="10">
        <f>IFERROR(SUMIFS('Base bordo'!G$2:G$746,'Base bordo'!C$2:C$746,A460,'Base bordo'!B$2:B$746,B460,'Base bordo'!F$2:F$746,"MANUTENCAO - T O"),0)+IFERROR(SUMIFS('Base bordo'!G$2:G$746,'Base bordo'!C$2:C$746,A460,'Base bordo'!B$2:B$746,B460,'Base bordo'!F$2:F$746,"MANUTENCAO BORRACHARIA"),0)+IFERROR(SUMIFS('Base bordo'!G$2:G$746,'Base bordo'!C$2:C$746,A460,'Base bordo'!B$2:B$746,B460,'Base bordo'!F$2:F$746,"MANUTENCAO EXTERNA  CONCESSIONARIA"),0)+IFERROR(SUMIFS('Base bordo'!G$2:G$746,'Base bordo'!C$2:C$746,A460,'Base bordo'!B$2:B$746,B460,'Base bordo'!F$2:F$746,"MANUTENCAO TELEMETRIA"),0)</f>
        <v>4.1519444444444442</v>
      </c>
      <c r="M460" s="10">
        <f>IFERROR(SUMIFS('Base bordo'!G$2:G$746,'Base bordo'!C$2:C$746,A460,'Base bordo'!B$2:B$746,B460,'Base bordo'!F$2:F$746,"AGUARDANDO MANUTENCAO"),0)</f>
        <v>0</v>
      </c>
      <c r="N460" s="10">
        <f>IFERROR(SUMIFS('Base bordo'!G$2:G$746,'Base bordo'!C$2:C$746,A460,'Base bordo'!B$2:B$746,B460,'Base bordo'!F$2:F$746,"SEM APONTAMENTO"),0)</f>
        <v>0</v>
      </c>
      <c r="O460" s="10">
        <f t="shared" si="48"/>
        <v>0</v>
      </c>
      <c r="P460" s="10">
        <f>IFERROR(SUMIFS('Base bordo'!G$2:G$746,'Base bordo'!C$2:C$746,A460,'Base bordo'!B$2:B$746,B460),0)</f>
        <v>4.2038888888888888</v>
      </c>
      <c r="Q460" s="10">
        <f>IFERROR(SUMIFS('Base bordo'!H$2:H$746,'Base bordo'!C$2:C$746,A460,'Base bordo'!B$2:B$746,B460,'Base bordo'!F$2:F$746,"DESLOCAMENTO VAZIO"),0)</f>
        <v>435.12</v>
      </c>
      <c r="R460" s="10">
        <f>IFERROR(SUMIFS('Base bordo'!I$2:I$746,'Base bordo'!C$2:C$746,A460,'Base bordo'!B$2:B$746,B460,'Base bordo'!F$2:F$746,"DESLOCAMENTO VAZIO"),0)</f>
        <v>147</v>
      </c>
      <c r="S460" s="30">
        <f t="shared" si="49"/>
        <v>2.96</v>
      </c>
      <c r="T460" s="10">
        <f>IFERROR(SUMIFS('Base bordo'!H$2:H$746,'Base bordo'!C$2:C$746,A460,'Base bordo'!B$2:B$746,B460,'Base bordo'!F$2:F$746,"DESLOCAMENTO CARREGADO"),0)</f>
        <v>0</v>
      </c>
      <c r="U460" s="10">
        <f>IFERROR(SUMIFS('Base bordo'!I$2:I$746,'Base bordo'!C$2:C$746,A460,'Base bordo'!B$2:B$746,B460,'Base bordo'!F$2:F$746,"DESLOCAMENTO CARREGADO"),0)</f>
        <v>0</v>
      </c>
      <c r="V460" s="30" t="str">
        <f t="shared" si="50"/>
        <v/>
      </c>
      <c r="W460" s="9">
        <f t="shared" si="51"/>
        <v>9.7132284921369102E-3</v>
      </c>
      <c r="X460" s="9">
        <f t="shared" si="52"/>
        <v>0</v>
      </c>
      <c r="Y460" s="9">
        <f t="shared" si="53"/>
        <v>0.99028677150786304</v>
      </c>
    </row>
    <row r="461" spans="1:25" ht="15" customHeight="1" x14ac:dyDescent="0.35">
      <c r="A461" s="52">
        <v>8013473</v>
      </c>
      <c r="B461" s="51">
        <v>46123</v>
      </c>
      <c r="C461" s="7" t="s">
        <v>124</v>
      </c>
      <c r="D461" s="10">
        <f>IFERROR(SUMIFS('Base bordo'!G$2:G$746,'Base bordo'!C$2:C$746,A461,'Base bordo'!B$2:B$746,B461,'Base bordo'!F$2:F$746,"DESLOCAMENTO VAZIO"),0)</f>
        <v>2.2419444444444445</v>
      </c>
      <c r="E461" s="10">
        <f>IFERROR(SUMIFS('Base bordo'!G$2:G$746,'Base bordo'!C$2:C$746,A461,'Base bordo'!B$2:B$746,B461,'Base bordo'!F$2:F$746,"DESLOCAMENTO CARREGADO"),0)</f>
        <v>2.7183333333333333</v>
      </c>
      <c r="F461" s="10">
        <f>IFERROR(SUMIFS('Base bordo'!G$2:G$746,'Base bordo'!C$2:C$746,A461,'Base bordo'!B$2:B$746,B461,'Base bordo'!F$2:F$746,"DESLOCAMENTO"),0)</f>
        <v>0</v>
      </c>
      <c r="G461" s="10">
        <f>IFERROR(SUMIFS('Base bordo'!G$2:G$746,'Base bordo'!C$2:C$746,A461,'Base bordo'!B$2:B$746,B461,'Base bordo'!F$2:F$746,"CARREGAMENTO"),0)</f>
        <v>0</v>
      </c>
      <c r="H461" s="10">
        <f>IFERROR(SUMIFS('Base bordo'!G$2:G$746,'Base bordo'!C$2:C$746,A461,'Base bordo'!B$2:B$746,B461,'Base bordo'!F$2:F$746,"AGUARDANDO TRANSBORDO"),0)</f>
        <v>1.3844444444444444</v>
      </c>
      <c r="I461" s="10">
        <f>IFERROR(SUMIFS('Base bordo'!G$2:G$746,'Base bordo'!C$2:C$746,A461,'Base bordo'!B$2:B$746,B461,'Base bordo'!F$2:F$746,"PÁTIO INTERNO"),0)+IFERROR(SUMIFS('Base bordo'!G$2:G$746,'Base bordo'!C$2:C$746,A461,'Base bordo'!B$2:B$746,B461,'Base bordo'!F$2:F$746,"PÁTIO EXTERNO"),0)+IFERROR(SUMIFS('Base bordo'!G$2:G$746,'Base bordo'!C$2:C$746,A461,'Base bordo'!B$2:B$746,B461,'Base bordo'!F$2:F$746,"PATIO - RESERVA"),0)+IFERROR(SUMIFS('Base bordo'!G$2:G$746,'Base bordo'!C$2:C$746,A461,'Base bordo'!B$2:B$746,B461,'Base bordo'!F$2:F$746,"MANOBRA CARRETAS-PATIO"),0)</f>
        <v>0.63833333333333331</v>
      </c>
      <c r="J461" s="10">
        <f>IFERROR(SUMIFS('Base bordo'!G$2:G$746,'Base bordo'!C$2:C$746,A461,'Base bordo'!B$2:B$746,B461,'Base bordo'!F$2:F$746,"BALANÇA - ENTRADA"),0)+IFERROR(SUMIFS('Base bordo'!G$2:G$746,'Base bordo'!C$2:C$746,A461,'Base bordo'!B$2:B$746,B461,'Base bordo'!F$2:F$746,"BALANÇA - SAÍDA"),0)</f>
        <v>0</v>
      </c>
      <c r="K461" s="10">
        <f>IFERROR(SUMIFS('Base bordo'!G$2:G$746,'Base bordo'!C$2:C$746,A461,'Base bordo'!B$2:B$746,B461,'Base bordo'!F$2:F$746,"MAN PREVENTIVA - MECANICA"),0)+IFERROR(SUMIFS('Base bordo'!G$2:G$746,'Base bordo'!C$2:C$746,A461,'Base bordo'!B$2:B$746,B461,'Base bordo'!F$2:F$746,"MAN CORRETIVA - MECANICA"),0)</f>
        <v>0</v>
      </c>
      <c r="L461" s="10">
        <f>IFERROR(SUMIFS('Base bordo'!G$2:G$746,'Base bordo'!C$2:C$746,A461,'Base bordo'!B$2:B$746,B461,'Base bordo'!F$2:F$746,"MANUTENCAO - T O"),0)+IFERROR(SUMIFS('Base bordo'!G$2:G$746,'Base bordo'!C$2:C$746,A461,'Base bordo'!B$2:B$746,B461,'Base bordo'!F$2:F$746,"MANUTENCAO BORRACHARIA"),0)+IFERROR(SUMIFS('Base bordo'!G$2:G$746,'Base bordo'!C$2:C$746,A461,'Base bordo'!B$2:B$746,B461,'Base bordo'!F$2:F$746,"MANUTENCAO EXTERNA  CONCESSIONARIA"),0)+IFERROR(SUMIFS('Base bordo'!G$2:G$746,'Base bordo'!C$2:C$746,A461,'Base bordo'!B$2:B$746,B461,'Base bordo'!F$2:F$746,"MANUTENCAO TELEMETRIA"),0)</f>
        <v>0</v>
      </c>
      <c r="M461" s="10">
        <f>IFERROR(SUMIFS('Base bordo'!G$2:G$746,'Base bordo'!C$2:C$746,A461,'Base bordo'!B$2:B$746,B461,'Base bordo'!F$2:F$746,"AGUARDANDO MANUTENCAO"),0)</f>
        <v>0</v>
      </c>
      <c r="N461" s="10">
        <f>IFERROR(SUMIFS('Base bordo'!G$2:G$746,'Base bordo'!C$2:C$746,A461,'Base bordo'!B$2:B$746,B461,'Base bordo'!F$2:F$746,"SEM APONTAMENTO"),0)</f>
        <v>0</v>
      </c>
      <c r="O461" s="10">
        <f t="shared" si="48"/>
        <v>0.22777777777777786</v>
      </c>
      <c r="P461" s="10">
        <f>IFERROR(SUMIFS('Base bordo'!G$2:G$746,'Base bordo'!C$2:C$746,A461,'Base bordo'!B$2:B$746,B461),0)</f>
        <v>7.2108333333333334</v>
      </c>
      <c r="Q461" s="10">
        <f>IFERROR(SUMIFS('Base bordo'!H$2:H$746,'Base bordo'!C$2:C$746,A461,'Base bordo'!B$2:B$746,B461,'Base bordo'!F$2:F$746,"DESLOCAMENTO VAZIO"),0)</f>
        <v>253000.22999999998</v>
      </c>
      <c r="R461" s="10">
        <f>IFERROR(SUMIFS('Base bordo'!I$2:I$746,'Base bordo'!C$2:C$746,A461,'Base bordo'!B$2:B$746,B461,'Base bordo'!F$2:F$746,"DESLOCAMENTO VAZIO"),0)</f>
        <v>8071</v>
      </c>
      <c r="S461" s="30">
        <f t="shared" si="49"/>
        <v>31.346825672159582</v>
      </c>
      <c r="T461" s="10">
        <f>IFERROR(SUMIFS('Base bordo'!H$2:H$746,'Base bordo'!C$2:C$746,A461,'Base bordo'!B$2:B$746,B461,'Base bordo'!F$2:F$746,"DESLOCAMENTO CARREGADO"),0)</f>
        <v>222192.59000000003</v>
      </c>
      <c r="U461" s="10">
        <f>IFERROR(SUMIFS('Base bordo'!I$2:I$746,'Base bordo'!C$2:C$746,A461,'Base bordo'!B$2:B$746,B461,'Base bordo'!F$2:F$746,"DESLOCAMENTO CARREGADO"),0)</f>
        <v>9786</v>
      </c>
      <c r="V461" s="30">
        <f t="shared" si="50"/>
        <v>22.705149192724303</v>
      </c>
      <c r="W461" s="9">
        <f t="shared" si="51"/>
        <v>0.31091336338071573</v>
      </c>
      <c r="X461" s="9">
        <f t="shared" si="52"/>
        <v>0.37697908239916789</v>
      </c>
      <c r="Y461" s="9">
        <f t="shared" si="53"/>
        <v>0.31210755422011638</v>
      </c>
    </row>
    <row r="462" spans="1:25" ht="15" customHeight="1" x14ac:dyDescent="0.35">
      <c r="A462" s="52">
        <v>8013484</v>
      </c>
      <c r="B462" s="51">
        <v>46124</v>
      </c>
      <c r="C462" s="7" t="s">
        <v>124</v>
      </c>
      <c r="D462" s="10">
        <f>IFERROR(SUMIFS('Base bordo'!G$2:G$746,'Base bordo'!C$2:C$746,A462,'Base bordo'!B$2:B$746,B462,'Base bordo'!F$2:F$746,"DESLOCAMENTO VAZIO"),0)</f>
        <v>2.078611111111111</v>
      </c>
      <c r="E462" s="10">
        <f>IFERROR(SUMIFS('Base bordo'!G$2:G$746,'Base bordo'!C$2:C$746,A462,'Base bordo'!B$2:B$746,B462,'Base bordo'!F$2:F$746,"DESLOCAMENTO CARREGADO"),0)</f>
        <v>2.0197222222222222</v>
      </c>
      <c r="F462" s="10">
        <f>IFERROR(SUMIFS('Base bordo'!G$2:G$746,'Base bordo'!C$2:C$746,A462,'Base bordo'!B$2:B$746,B462,'Base bordo'!F$2:F$746,"DESLOCAMENTO"),0)</f>
        <v>0.28999999999999998</v>
      </c>
      <c r="G462" s="10">
        <f>IFERROR(SUMIFS('Base bordo'!G$2:G$746,'Base bordo'!C$2:C$746,A462,'Base bordo'!B$2:B$746,B462,'Base bordo'!F$2:F$746,"CARREGAMENTO"),0)</f>
        <v>0</v>
      </c>
      <c r="H462" s="10">
        <f>IFERROR(SUMIFS('Base bordo'!G$2:G$746,'Base bordo'!C$2:C$746,A462,'Base bordo'!B$2:B$746,B462,'Base bordo'!F$2:F$746,"AGUARDANDO TRANSBORDO"),0)</f>
        <v>0.16944444444444445</v>
      </c>
      <c r="I462" s="10">
        <f>IFERROR(SUMIFS('Base bordo'!G$2:G$746,'Base bordo'!C$2:C$746,A462,'Base bordo'!B$2:B$746,B462,'Base bordo'!F$2:F$746,"PÁTIO INTERNO"),0)+IFERROR(SUMIFS('Base bordo'!G$2:G$746,'Base bordo'!C$2:C$746,A462,'Base bordo'!B$2:B$746,B462,'Base bordo'!F$2:F$746,"PÁTIO EXTERNO"),0)+IFERROR(SUMIFS('Base bordo'!G$2:G$746,'Base bordo'!C$2:C$746,A462,'Base bordo'!B$2:B$746,B462,'Base bordo'!F$2:F$746,"PATIO - RESERVA"),0)+IFERROR(SUMIFS('Base bordo'!G$2:G$746,'Base bordo'!C$2:C$746,A462,'Base bordo'!B$2:B$746,B462,'Base bordo'!F$2:F$746,"MANOBRA CARRETAS-PATIO"),0)</f>
        <v>10.112499999999999</v>
      </c>
      <c r="J462" s="10">
        <f>IFERROR(SUMIFS('Base bordo'!G$2:G$746,'Base bordo'!C$2:C$746,A462,'Base bordo'!B$2:B$746,B462,'Base bordo'!F$2:F$746,"BALANÇA - ENTRADA"),0)+IFERROR(SUMIFS('Base bordo'!G$2:G$746,'Base bordo'!C$2:C$746,A462,'Base bordo'!B$2:B$746,B462,'Base bordo'!F$2:F$746,"BALANÇA - SAÍDA"),0)</f>
        <v>0.13666666666666666</v>
      </c>
      <c r="K462" s="10">
        <f>IFERROR(SUMIFS('Base bordo'!G$2:G$746,'Base bordo'!C$2:C$746,A462,'Base bordo'!B$2:B$746,B462,'Base bordo'!F$2:F$746,"MAN PREVENTIVA - MECANICA"),0)+IFERROR(SUMIFS('Base bordo'!G$2:G$746,'Base bordo'!C$2:C$746,A462,'Base bordo'!B$2:B$746,B462,'Base bordo'!F$2:F$746,"MAN CORRETIVA - MECANICA"),0)</f>
        <v>0</v>
      </c>
      <c r="L462" s="10">
        <f>IFERROR(SUMIFS('Base bordo'!G$2:G$746,'Base bordo'!C$2:C$746,A462,'Base bordo'!B$2:B$746,B462,'Base bordo'!F$2:F$746,"MANUTENCAO - T O"),0)+IFERROR(SUMIFS('Base bordo'!G$2:G$746,'Base bordo'!C$2:C$746,A462,'Base bordo'!B$2:B$746,B462,'Base bordo'!F$2:F$746,"MANUTENCAO BORRACHARIA"),0)+IFERROR(SUMIFS('Base bordo'!G$2:G$746,'Base bordo'!C$2:C$746,A462,'Base bordo'!B$2:B$746,B462,'Base bordo'!F$2:F$746,"MANUTENCAO EXTERNA  CONCESSIONARIA"),0)+IFERROR(SUMIFS('Base bordo'!G$2:G$746,'Base bordo'!C$2:C$746,A462,'Base bordo'!B$2:B$746,B462,'Base bordo'!F$2:F$746,"MANUTENCAO TELEMETRIA"),0)</f>
        <v>0.28944444444444445</v>
      </c>
      <c r="M462" s="10">
        <f>IFERROR(SUMIFS('Base bordo'!G$2:G$746,'Base bordo'!C$2:C$746,A462,'Base bordo'!B$2:B$746,B462,'Base bordo'!F$2:F$746,"AGUARDANDO MANUTENCAO"),0)</f>
        <v>0</v>
      </c>
      <c r="N462" s="10">
        <f>IFERROR(SUMIFS('Base bordo'!G$2:G$746,'Base bordo'!C$2:C$746,A462,'Base bordo'!B$2:B$746,B462,'Base bordo'!F$2:F$746,"SEM APONTAMENTO"),0)</f>
        <v>0</v>
      </c>
      <c r="O462" s="10">
        <f t="shared" si="48"/>
        <v>0</v>
      </c>
      <c r="P462" s="10">
        <f>IFERROR(SUMIFS('Base bordo'!G$2:G$746,'Base bordo'!C$2:C$746,A462,'Base bordo'!B$2:B$746,B462),0)</f>
        <v>15.096388888888889</v>
      </c>
      <c r="Q462" s="10">
        <f>IFERROR(SUMIFS('Base bordo'!H$2:H$746,'Base bordo'!C$2:C$746,A462,'Base bordo'!B$2:B$746,B462,'Base bordo'!F$2:F$746,"DESLOCAMENTO VAZIO"),0)</f>
        <v>217205.70999999996</v>
      </c>
      <c r="R462" s="10">
        <f>IFERROR(SUMIFS('Base bordo'!I$2:I$746,'Base bordo'!C$2:C$746,A462,'Base bordo'!B$2:B$746,B462,'Base bordo'!F$2:F$746,"DESLOCAMENTO VAZIO"),0)</f>
        <v>7483</v>
      </c>
      <c r="S462" s="30">
        <f t="shared" si="49"/>
        <v>29.026554857677397</v>
      </c>
      <c r="T462" s="10">
        <f>IFERROR(SUMIFS('Base bordo'!H$2:H$746,'Base bordo'!C$2:C$746,A462,'Base bordo'!B$2:B$746,B462,'Base bordo'!F$2:F$746,"DESLOCAMENTO CARREGADO"),0)</f>
        <v>176129.33000000002</v>
      </c>
      <c r="U462" s="10">
        <f>IFERROR(SUMIFS('Base bordo'!I$2:I$746,'Base bordo'!C$2:C$746,A462,'Base bordo'!B$2:B$746,B462,'Base bordo'!F$2:F$746,"DESLOCAMENTO CARREGADO"),0)</f>
        <v>7271</v>
      </c>
      <c r="V462" s="30">
        <f t="shared" si="50"/>
        <v>24.22353596479164</v>
      </c>
      <c r="W462" s="9">
        <f t="shared" si="51"/>
        <v>0.13768929287725173</v>
      </c>
      <c r="X462" s="9">
        <f t="shared" si="52"/>
        <v>0.13378843358419049</v>
      </c>
      <c r="Y462" s="9">
        <f t="shared" si="53"/>
        <v>0.72852227353855781</v>
      </c>
    </row>
    <row r="463" spans="1:25" ht="15" customHeight="1" x14ac:dyDescent="0.35">
      <c r="A463" s="52">
        <v>8013468</v>
      </c>
      <c r="B463" s="51">
        <v>46118</v>
      </c>
      <c r="C463" s="7" t="s">
        <v>124</v>
      </c>
      <c r="D463" s="10">
        <f>IFERROR(SUMIFS('Base bordo'!G$2:G$746,'Base bordo'!C$2:C$746,A463,'Base bordo'!B$2:B$746,B463,'Base bordo'!F$2:F$746,"DESLOCAMENTO VAZIO"),0)</f>
        <v>0.6841666666666667</v>
      </c>
      <c r="E463" s="10">
        <f>IFERROR(SUMIFS('Base bordo'!G$2:G$746,'Base bordo'!C$2:C$746,A463,'Base bordo'!B$2:B$746,B463,'Base bordo'!F$2:F$746,"DESLOCAMENTO CARREGADO"),0)</f>
        <v>1.9422222222222223</v>
      </c>
      <c r="F463" s="10">
        <f>IFERROR(SUMIFS('Base bordo'!G$2:G$746,'Base bordo'!C$2:C$746,A463,'Base bordo'!B$2:B$746,B463,'Base bordo'!F$2:F$746,"DESLOCAMENTO"),0)</f>
        <v>0</v>
      </c>
      <c r="G463" s="10">
        <f>IFERROR(SUMIFS('Base bordo'!G$2:G$746,'Base bordo'!C$2:C$746,A463,'Base bordo'!B$2:B$746,B463,'Base bordo'!F$2:F$746,"CARREGAMENTO"),0)</f>
        <v>1.653888888888889</v>
      </c>
      <c r="H463" s="10">
        <f>IFERROR(SUMIFS('Base bordo'!G$2:G$746,'Base bordo'!C$2:C$746,A463,'Base bordo'!B$2:B$746,B463,'Base bordo'!F$2:F$746,"AGUARDANDO TRANSBORDO"),0)</f>
        <v>7.9522222222222219</v>
      </c>
      <c r="I463" s="10">
        <f>IFERROR(SUMIFS('Base bordo'!G$2:G$746,'Base bordo'!C$2:C$746,A463,'Base bordo'!B$2:B$746,B463,'Base bordo'!F$2:F$746,"PÁTIO INTERNO"),0)+IFERROR(SUMIFS('Base bordo'!G$2:G$746,'Base bordo'!C$2:C$746,A463,'Base bordo'!B$2:B$746,B463,'Base bordo'!F$2:F$746,"PÁTIO EXTERNO"),0)+IFERROR(SUMIFS('Base bordo'!G$2:G$746,'Base bordo'!C$2:C$746,A463,'Base bordo'!B$2:B$746,B463,'Base bordo'!F$2:F$746,"PATIO - RESERVA"),0)+IFERROR(SUMIFS('Base bordo'!G$2:G$746,'Base bordo'!C$2:C$746,A463,'Base bordo'!B$2:B$746,B463,'Base bordo'!F$2:F$746,"MANOBRA CARRETAS-PATIO"),0)</f>
        <v>3.6688888888888886</v>
      </c>
      <c r="J463" s="10">
        <f>IFERROR(SUMIFS('Base bordo'!G$2:G$746,'Base bordo'!C$2:C$746,A463,'Base bordo'!B$2:B$746,B463,'Base bordo'!F$2:F$746,"BALANÇA - ENTRADA"),0)+IFERROR(SUMIFS('Base bordo'!G$2:G$746,'Base bordo'!C$2:C$746,A463,'Base bordo'!B$2:B$746,B463,'Base bordo'!F$2:F$746,"BALANÇA - SAÍDA"),0)</f>
        <v>0.11305555555555556</v>
      </c>
      <c r="K463" s="10">
        <f>IFERROR(SUMIFS('Base bordo'!G$2:G$746,'Base bordo'!C$2:C$746,A463,'Base bordo'!B$2:B$746,B463,'Base bordo'!F$2:F$746,"MAN PREVENTIVA - MECANICA"),0)+IFERROR(SUMIFS('Base bordo'!G$2:G$746,'Base bordo'!C$2:C$746,A463,'Base bordo'!B$2:B$746,B463,'Base bordo'!F$2:F$746,"MAN CORRETIVA - MECANICA"),0)</f>
        <v>0</v>
      </c>
      <c r="L463" s="10">
        <f>IFERROR(SUMIFS('Base bordo'!G$2:G$746,'Base bordo'!C$2:C$746,A463,'Base bordo'!B$2:B$746,B463,'Base bordo'!F$2:F$746,"MANUTENCAO - T O"),0)+IFERROR(SUMIFS('Base bordo'!G$2:G$746,'Base bordo'!C$2:C$746,A463,'Base bordo'!B$2:B$746,B463,'Base bordo'!F$2:F$746,"MANUTENCAO BORRACHARIA"),0)+IFERROR(SUMIFS('Base bordo'!G$2:G$746,'Base bordo'!C$2:C$746,A463,'Base bordo'!B$2:B$746,B463,'Base bordo'!F$2:F$746,"MANUTENCAO EXTERNA  CONCESSIONARIA"),0)+IFERROR(SUMIFS('Base bordo'!G$2:G$746,'Base bordo'!C$2:C$746,A463,'Base bordo'!B$2:B$746,B463,'Base bordo'!F$2:F$746,"MANUTENCAO TELEMETRIA"),0)</f>
        <v>0</v>
      </c>
      <c r="M463" s="10">
        <f>IFERROR(SUMIFS('Base bordo'!G$2:G$746,'Base bordo'!C$2:C$746,A463,'Base bordo'!B$2:B$746,B463,'Base bordo'!F$2:F$746,"AGUARDANDO MANUTENCAO"),0)</f>
        <v>2.0486111111111112</v>
      </c>
      <c r="N463" s="10">
        <f>IFERROR(SUMIFS('Base bordo'!G$2:G$746,'Base bordo'!C$2:C$746,A463,'Base bordo'!B$2:B$746,B463,'Base bordo'!F$2:F$746,"SEM APONTAMENTO"),0)</f>
        <v>0</v>
      </c>
      <c r="O463" s="10">
        <f t="shared" ref="O463:O526" si="54">IFERROR(P463-SUM(D463:N463),0)</f>
        <v>5.9369444444444461</v>
      </c>
      <c r="P463" s="10">
        <f>IFERROR(SUMIFS('Base bordo'!G$2:G$746,'Base bordo'!C$2:C$746,A463,'Base bordo'!B$2:B$746,B463),0)</f>
        <v>24</v>
      </c>
      <c r="Q463" s="10">
        <f>IFERROR(SUMIFS('Base bordo'!H$2:H$746,'Base bordo'!C$2:C$746,A463,'Base bordo'!B$2:B$746,B463,'Base bordo'!F$2:F$746,"DESLOCAMENTO VAZIO"),0)</f>
        <v>33045.270000000004</v>
      </c>
      <c r="R463" s="10">
        <f>IFERROR(SUMIFS('Base bordo'!I$2:I$746,'Base bordo'!C$2:C$746,A463,'Base bordo'!B$2:B$746,B463,'Base bordo'!F$2:F$746,"DESLOCAMENTO VAZIO"),0)</f>
        <v>2463</v>
      </c>
      <c r="S463" s="30">
        <f t="shared" ref="S463:S526" si="55">IFERROR(Q463/R463,"")</f>
        <v>13.416674786845313</v>
      </c>
      <c r="T463" s="10">
        <f>IFERROR(SUMIFS('Base bordo'!H$2:H$746,'Base bordo'!C$2:C$746,A463,'Base bordo'!B$2:B$746,B463,'Base bordo'!F$2:F$746,"DESLOCAMENTO CARREGADO"),0)</f>
        <v>213859.12</v>
      </c>
      <c r="U463" s="10">
        <f>IFERROR(SUMIFS('Base bordo'!I$2:I$746,'Base bordo'!C$2:C$746,A463,'Base bordo'!B$2:B$746,B463,'Base bordo'!F$2:F$746,"DESLOCAMENTO CARREGADO"),0)</f>
        <v>6992</v>
      </c>
      <c r="V463" s="30">
        <f t="shared" ref="V463:V526" si="56">IFERROR(T463/U463,"")</f>
        <v>30.586258581235697</v>
      </c>
      <c r="W463" s="9">
        <f t="shared" ref="W463:W526" si="57">IFERROR(D463/P463,0)</f>
        <v>2.8506944444444446E-2</v>
      </c>
      <c r="X463" s="9">
        <f t="shared" ref="X463:X526" si="58">IFERROR(E463/P463,0)</f>
        <v>8.0925925925925929E-2</v>
      </c>
      <c r="Y463" s="9">
        <f t="shared" ref="Y463:Y526" si="59">IFERROR(1-((D463+E463)/P463),0)</f>
        <v>0.89056712962962958</v>
      </c>
    </row>
    <row r="464" spans="1:25" ht="15" customHeight="1" x14ac:dyDescent="0.35">
      <c r="A464" s="52">
        <v>8013472</v>
      </c>
      <c r="B464" s="51">
        <v>46117</v>
      </c>
      <c r="C464" s="7" t="s">
        <v>124</v>
      </c>
      <c r="D464" s="10">
        <f>IFERROR(SUMIFS('Base bordo'!G$2:G$746,'Base bordo'!C$2:C$746,A464,'Base bordo'!B$2:B$746,B464,'Base bordo'!F$2:F$746,"DESLOCAMENTO VAZIO"),0)</f>
        <v>1.5952777777777778</v>
      </c>
      <c r="E464" s="10">
        <f>IFERROR(SUMIFS('Base bordo'!G$2:G$746,'Base bordo'!C$2:C$746,A464,'Base bordo'!B$2:B$746,B464,'Base bordo'!F$2:F$746,"DESLOCAMENTO CARREGADO"),0)</f>
        <v>0</v>
      </c>
      <c r="F464" s="10">
        <f>IFERROR(SUMIFS('Base bordo'!G$2:G$746,'Base bordo'!C$2:C$746,A464,'Base bordo'!B$2:B$746,B464,'Base bordo'!F$2:F$746,"DESLOCAMENTO"),0)</f>
        <v>6.8641666666666667</v>
      </c>
      <c r="G464" s="10">
        <f>IFERROR(SUMIFS('Base bordo'!G$2:G$746,'Base bordo'!C$2:C$746,A464,'Base bordo'!B$2:B$746,B464,'Base bordo'!F$2:F$746,"CARREGAMENTO"),0)</f>
        <v>0.42805555555555558</v>
      </c>
      <c r="H464" s="10">
        <f>IFERROR(SUMIFS('Base bordo'!G$2:G$746,'Base bordo'!C$2:C$746,A464,'Base bordo'!B$2:B$746,B464,'Base bordo'!F$2:F$746,"AGUARDANDO TRANSBORDO"),0)</f>
        <v>0.26416666666666666</v>
      </c>
      <c r="I464" s="10">
        <f>IFERROR(SUMIFS('Base bordo'!G$2:G$746,'Base bordo'!C$2:C$746,A464,'Base bordo'!B$2:B$746,B464,'Base bordo'!F$2:F$746,"PÁTIO INTERNO"),0)+IFERROR(SUMIFS('Base bordo'!G$2:G$746,'Base bordo'!C$2:C$746,A464,'Base bordo'!B$2:B$746,B464,'Base bordo'!F$2:F$746,"PÁTIO EXTERNO"),0)+IFERROR(SUMIFS('Base bordo'!G$2:G$746,'Base bordo'!C$2:C$746,A464,'Base bordo'!B$2:B$746,B464,'Base bordo'!F$2:F$746,"PATIO - RESERVA"),0)+IFERROR(SUMIFS('Base bordo'!G$2:G$746,'Base bordo'!C$2:C$746,A464,'Base bordo'!B$2:B$746,B464,'Base bordo'!F$2:F$746,"MANOBRA CARRETAS-PATIO"),0)</f>
        <v>0</v>
      </c>
      <c r="J464" s="10">
        <f>IFERROR(SUMIFS('Base bordo'!G$2:G$746,'Base bordo'!C$2:C$746,A464,'Base bordo'!B$2:B$746,B464,'Base bordo'!F$2:F$746,"BALANÇA - ENTRADA"),0)+IFERROR(SUMIFS('Base bordo'!G$2:G$746,'Base bordo'!C$2:C$746,A464,'Base bordo'!B$2:B$746,B464,'Base bordo'!F$2:F$746,"BALANÇA - SAÍDA"),0)</f>
        <v>0</v>
      </c>
      <c r="K464" s="10">
        <f>IFERROR(SUMIFS('Base bordo'!G$2:G$746,'Base bordo'!C$2:C$746,A464,'Base bordo'!B$2:B$746,B464,'Base bordo'!F$2:F$746,"MAN PREVENTIVA - MECANICA"),0)+IFERROR(SUMIFS('Base bordo'!G$2:G$746,'Base bordo'!C$2:C$746,A464,'Base bordo'!B$2:B$746,B464,'Base bordo'!F$2:F$746,"MAN CORRETIVA - MECANICA"),0)</f>
        <v>0</v>
      </c>
      <c r="L464" s="10">
        <f>IFERROR(SUMIFS('Base bordo'!G$2:G$746,'Base bordo'!C$2:C$746,A464,'Base bordo'!B$2:B$746,B464,'Base bordo'!F$2:F$746,"MANUTENCAO - T O"),0)+IFERROR(SUMIFS('Base bordo'!G$2:G$746,'Base bordo'!C$2:C$746,A464,'Base bordo'!B$2:B$746,B464,'Base bordo'!F$2:F$746,"MANUTENCAO BORRACHARIA"),0)+IFERROR(SUMIFS('Base bordo'!G$2:G$746,'Base bordo'!C$2:C$746,A464,'Base bordo'!B$2:B$746,B464,'Base bordo'!F$2:F$746,"MANUTENCAO EXTERNA  CONCESSIONARIA"),0)+IFERROR(SUMIFS('Base bordo'!G$2:G$746,'Base bordo'!C$2:C$746,A464,'Base bordo'!B$2:B$746,B464,'Base bordo'!F$2:F$746,"MANUTENCAO TELEMETRIA"),0)</f>
        <v>1.0469444444444445</v>
      </c>
      <c r="M464" s="10">
        <f>IFERROR(SUMIFS('Base bordo'!G$2:G$746,'Base bordo'!C$2:C$746,A464,'Base bordo'!B$2:B$746,B464,'Base bordo'!F$2:F$746,"AGUARDANDO MANUTENCAO"),0)</f>
        <v>0</v>
      </c>
      <c r="N464" s="10">
        <f>IFERROR(SUMIFS('Base bordo'!G$2:G$746,'Base bordo'!C$2:C$746,A464,'Base bordo'!B$2:B$746,B464,'Base bordo'!F$2:F$746,"SEM APONTAMENTO"),0)</f>
        <v>6.7500000000000004E-2</v>
      </c>
      <c r="O464" s="10">
        <f t="shared" si="54"/>
        <v>0</v>
      </c>
      <c r="P464" s="10">
        <f>IFERROR(SUMIFS('Base bordo'!G$2:G$746,'Base bordo'!C$2:C$746,A464,'Base bordo'!B$2:B$746,B464),0)</f>
        <v>10.266111111111112</v>
      </c>
      <c r="Q464" s="10">
        <f>IFERROR(SUMIFS('Base bordo'!H$2:H$746,'Base bordo'!C$2:C$746,A464,'Base bordo'!B$2:B$746,B464,'Base bordo'!F$2:F$746,"DESLOCAMENTO VAZIO"),0)</f>
        <v>176836.76</v>
      </c>
      <c r="R464" s="10">
        <f>IFERROR(SUMIFS('Base bordo'!I$2:I$746,'Base bordo'!C$2:C$746,A464,'Base bordo'!B$2:B$746,B464,'Base bordo'!F$2:F$746,"DESLOCAMENTO VAZIO"),0)</f>
        <v>5743</v>
      </c>
      <c r="S464" s="30">
        <f t="shared" si="55"/>
        <v>30.791704683963086</v>
      </c>
      <c r="T464" s="10">
        <f>IFERROR(SUMIFS('Base bordo'!H$2:H$746,'Base bordo'!C$2:C$746,A464,'Base bordo'!B$2:B$746,B464,'Base bordo'!F$2:F$746,"DESLOCAMENTO CARREGADO"),0)</f>
        <v>0</v>
      </c>
      <c r="U464" s="10">
        <f>IFERROR(SUMIFS('Base bordo'!I$2:I$746,'Base bordo'!C$2:C$746,A464,'Base bordo'!B$2:B$746,B464,'Base bordo'!F$2:F$746,"DESLOCAMENTO CARREGADO"),0)</f>
        <v>0</v>
      </c>
      <c r="V464" s="30" t="str">
        <f t="shared" si="56"/>
        <v/>
      </c>
      <c r="W464" s="9">
        <f t="shared" si="57"/>
        <v>0.15539260782509876</v>
      </c>
      <c r="X464" s="9">
        <f t="shared" si="58"/>
        <v>0</v>
      </c>
      <c r="Y464" s="9">
        <f t="shared" si="59"/>
        <v>0.84460739217490122</v>
      </c>
    </row>
    <row r="465" spans="1:25" ht="15" customHeight="1" x14ac:dyDescent="0.35">
      <c r="A465" s="52">
        <v>8013469</v>
      </c>
      <c r="B465" s="51">
        <v>46123</v>
      </c>
      <c r="C465" s="7" t="s">
        <v>124</v>
      </c>
      <c r="D465" s="10">
        <f>IFERROR(SUMIFS('Base bordo'!G$2:G$746,'Base bordo'!C$2:C$746,A465,'Base bordo'!B$2:B$746,B465,'Base bordo'!F$2:F$746,"DESLOCAMENTO VAZIO"),0)</f>
        <v>1.6805555555555556</v>
      </c>
      <c r="E465" s="10">
        <f>IFERROR(SUMIFS('Base bordo'!G$2:G$746,'Base bordo'!C$2:C$746,A465,'Base bordo'!B$2:B$746,B465,'Base bordo'!F$2:F$746,"DESLOCAMENTO CARREGADO"),0)</f>
        <v>2.6211111111111109</v>
      </c>
      <c r="F465" s="10">
        <f>IFERROR(SUMIFS('Base bordo'!G$2:G$746,'Base bordo'!C$2:C$746,A465,'Base bordo'!B$2:B$746,B465,'Base bordo'!F$2:F$746,"DESLOCAMENTO"),0)</f>
        <v>0</v>
      </c>
      <c r="G465" s="10">
        <f>IFERROR(SUMIFS('Base bordo'!G$2:G$746,'Base bordo'!C$2:C$746,A465,'Base bordo'!B$2:B$746,B465,'Base bordo'!F$2:F$746,"CARREGAMENTO"),0)</f>
        <v>0</v>
      </c>
      <c r="H465" s="10">
        <f>IFERROR(SUMIFS('Base bordo'!G$2:G$746,'Base bordo'!C$2:C$746,A465,'Base bordo'!B$2:B$746,B465,'Base bordo'!F$2:F$746,"AGUARDANDO TRANSBORDO"),0)</f>
        <v>0.38972222222222225</v>
      </c>
      <c r="I465" s="10">
        <f>IFERROR(SUMIFS('Base bordo'!G$2:G$746,'Base bordo'!C$2:C$746,A465,'Base bordo'!B$2:B$746,B465,'Base bordo'!F$2:F$746,"PÁTIO INTERNO"),0)+IFERROR(SUMIFS('Base bordo'!G$2:G$746,'Base bordo'!C$2:C$746,A465,'Base bordo'!B$2:B$746,B465,'Base bordo'!F$2:F$746,"PÁTIO EXTERNO"),0)+IFERROR(SUMIFS('Base bordo'!G$2:G$746,'Base bordo'!C$2:C$746,A465,'Base bordo'!B$2:B$746,B465,'Base bordo'!F$2:F$746,"PATIO - RESERVA"),0)+IFERROR(SUMIFS('Base bordo'!G$2:G$746,'Base bordo'!C$2:C$746,A465,'Base bordo'!B$2:B$746,B465,'Base bordo'!F$2:F$746,"MANOBRA CARRETAS-PATIO"),0)</f>
        <v>0.80083333333333329</v>
      </c>
      <c r="J465" s="10">
        <f>IFERROR(SUMIFS('Base bordo'!G$2:G$746,'Base bordo'!C$2:C$746,A465,'Base bordo'!B$2:B$746,B465,'Base bordo'!F$2:F$746,"BALANÇA - ENTRADA"),0)+IFERROR(SUMIFS('Base bordo'!G$2:G$746,'Base bordo'!C$2:C$746,A465,'Base bordo'!B$2:B$746,B465,'Base bordo'!F$2:F$746,"BALANÇA - SAÍDA"),0)</f>
        <v>0</v>
      </c>
      <c r="K465" s="10">
        <f>IFERROR(SUMIFS('Base bordo'!G$2:G$746,'Base bordo'!C$2:C$746,A465,'Base bordo'!B$2:B$746,B465,'Base bordo'!F$2:F$746,"MAN PREVENTIVA - MECANICA"),0)+IFERROR(SUMIFS('Base bordo'!G$2:G$746,'Base bordo'!C$2:C$746,A465,'Base bordo'!B$2:B$746,B465,'Base bordo'!F$2:F$746,"MAN CORRETIVA - MECANICA"),0)</f>
        <v>0</v>
      </c>
      <c r="L465" s="10">
        <f>IFERROR(SUMIFS('Base bordo'!G$2:G$746,'Base bordo'!C$2:C$746,A465,'Base bordo'!B$2:B$746,B465,'Base bordo'!F$2:F$746,"MANUTENCAO - T O"),0)+IFERROR(SUMIFS('Base bordo'!G$2:G$746,'Base bordo'!C$2:C$746,A465,'Base bordo'!B$2:B$746,B465,'Base bordo'!F$2:F$746,"MANUTENCAO BORRACHARIA"),0)+IFERROR(SUMIFS('Base bordo'!G$2:G$746,'Base bordo'!C$2:C$746,A465,'Base bordo'!B$2:B$746,B465,'Base bordo'!F$2:F$746,"MANUTENCAO EXTERNA  CONCESSIONARIA"),0)+IFERROR(SUMIFS('Base bordo'!G$2:G$746,'Base bordo'!C$2:C$746,A465,'Base bordo'!B$2:B$746,B465,'Base bordo'!F$2:F$746,"MANUTENCAO TELEMETRIA"),0)</f>
        <v>0</v>
      </c>
      <c r="M465" s="10">
        <f>IFERROR(SUMIFS('Base bordo'!G$2:G$746,'Base bordo'!C$2:C$746,A465,'Base bordo'!B$2:B$746,B465,'Base bordo'!F$2:F$746,"AGUARDANDO MANUTENCAO"),0)</f>
        <v>0</v>
      </c>
      <c r="N465" s="10">
        <f>IFERROR(SUMIFS('Base bordo'!G$2:G$746,'Base bordo'!C$2:C$746,A465,'Base bordo'!B$2:B$746,B465,'Base bordo'!F$2:F$746,"SEM APONTAMENTO"),0)</f>
        <v>0</v>
      </c>
      <c r="O465" s="10">
        <f t="shared" si="54"/>
        <v>3.0000000000000249E-2</v>
      </c>
      <c r="P465" s="10">
        <f>IFERROR(SUMIFS('Base bordo'!G$2:G$746,'Base bordo'!C$2:C$746,A465,'Base bordo'!B$2:B$746,B465),0)</f>
        <v>5.5222222222222221</v>
      </c>
      <c r="Q465" s="10">
        <f>IFERROR(SUMIFS('Base bordo'!H$2:H$746,'Base bordo'!C$2:C$746,A465,'Base bordo'!B$2:B$746,B465,'Base bordo'!F$2:F$746,"DESLOCAMENTO VAZIO"),0)</f>
        <v>213585.12</v>
      </c>
      <c r="R465" s="10">
        <f>IFERROR(SUMIFS('Base bordo'!I$2:I$746,'Base bordo'!C$2:C$746,A465,'Base bordo'!B$2:B$746,B465,'Base bordo'!F$2:F$746,"DESLOCAMENTO VAZIO"),0)</f>
        <v>6050</v>
      </c>
      <c r="S465" s="30">
        <f t="shared" si="55"/>
        <v>35.303325619834709</v>
      </c>
      <c r="T465" s="10">
        <f>IFERROR(SUMIFS('Base bordo'!H$2:H$746,'Base bordo'!C$2:C$746,A465,'Base bordo'!B$2:B$746,B465,'Base bordo'!F$2:F$746,"DESLOCAMENTO CARREGADO"),0)</f>
        <v>215978.22</v>
      </c>
      <c r="U465" s="10">
        <f>IFERROR(SUMIFS('Base bordo'!I$2:I$746,'Base bordo'!C$2:C$746,A465,'Base bordo'!B$2:B$746,B465,'Base bordo'!F$2:F$746,"DESLOCAMENTO CARREGADO"),0)</f>
        <v>9408</v>
      </c>
      <c r="V465" s="30">
        <f t="shared" si="56"/>
        <v>22.95686862244898</v>
      </c>
      <c r="W465" s="9">
        <f t="shared" si="57"/>
        <v>0.30432595573440646</v>
      </c>
      <c r="X465" s="9">
        <f t="shared" si="58"/>
        <v>0.47464788732394364</v>
      </c>
      <c r="Y465" s="9">
        <f t="shared" si="59"/>
        <v>0.22102615694164984</v>
      </c>
    </row>
    <row r="466" spans="1:25" ht="15" customHeight="1" x14ac:dyDescent="0.35">
      <c r="A466" s="52">
        <v>8013469</v>
      </c>
      <c r="B466" s="51">
        <v>46124</v>
      </c>
      <c r="C466" s="7" t="s">
        <v>124</v>
      </c>
      <c r="D466" s="10">
        <f>IFERROR(SUMIFS('Base bordo'!G$2:G$746,'Base bordo'!C$2:C$746,A466,'Base bordo'!B$2:B$746,B466,'Base bordo'!F$2:F$746,"DESLOCAMENTO VAZIO"),0)</f>
        <v>2.4083333333333332</v>
      </c>
      <c r="E466" s="10">
        <f>IFERROR(SUMIFS('Base bordo'!G$2:G$746,'Base bordo'!C$2:C$746,A466,'Base bordo'!B$2:B$746,B466,'Base bordo'!F$2:F$746,"DESLOCAMENTO CARREGADO"),0)</f>
        <v>1.3047222222222221</v>
      </c>
      <c r="F466" s="10">
        <f>IFERROR(SUMIFS('Base bordo'!G$2:G$746,'Base bordo'!C$2:C$746,A466,'Base bordo'!B$2:B$746,B466,'Base bordo'!F$2:F$746,"DESLOCAMENTO"),0)</f>
        <v>0</v>
      </c>
      <c r="G466" s="10">
        <f>IFERROR(SUMIFS('Base bordo'!G$2:G$746,'Base bordo'!C$2:C$746,A466,'Base bordo'!B$2:B$746,B466,'Base bordo'!F$2:F$746,"CARREGAMENTO"),0)</f>
        <v>0</v>
      </c>
      <c r="H466" s="10">
        <f>IFERROR(SUMIFS('Base bordo'!G$2:G$746,'Base bordo'!C$2:C$746,A466,'Base bordo'!B$2:B$746,B466,'Base bordo'!F$2:F$746,"AGUARDANDO TRANSBORDO"),0)</f>
        <v>0</v>
      </c>
      <c r="I466" s="10">
        <f>IFERROR(SUMIFS('Base bordo'!G$2:G$746,'Base bordo'!C$2:C$746,A466,'Base bordo'!B$2:B$746,B466,'Base bordo'!F$2:F$746,"PÁTIO INTERNO"),0)+IFERROR(SUMIFS('Base bordo'!G$2:G$746,'Base bordo'!C$2:C$746,A466,'Base bordo'!B$2:B$746,B466,'Base bordo'!F$2:F$746,"PÁTIO EXTERNO"),0)+IFERROR(SUMIFS('Base bordo'!G$2:G$746,'Base bordo'!C$2:C$746,A466,'Base bordo'!B$2:B$746,B466,'Base bordo'!F$2:F$746,"PATIO - RESERVA"),0)+IFERROR(SUMIFS('Base bordo'!G$2:G$746,'Base bordo'!C$2:C$746,A466,'Base bordo'!B$2:B$746,B466,'Base bordo'!F$2:F$746,"MANOBRA CARRETAS-PATIO"),0)</f>
        <v>6.987222222222222</v>
      </c>
      <c r="J466" s="10">
        <f>IFERROR(SUMIFS('Base bordo'!G$2:G$746,'Base bordo'!C$2:C$746,A466,'Base bordo'!B$2:B$746,B466,'Base bordo'!F$2:F$746,"BALANÇA - ENTRADA"),0)+IFERROR(SUMIFS('Base bordo'!G$2:G$746,'Base bordo'!C$2:C$746,A466,'Base bordo'!B$2:B$746,B466,'Base bordo'!F$2:F$746,"BALANÇA - SAÍDA"),0)</f>
        <v>0.10888888888888888</v>
      </c>
      <c r="K466" s="10">
        <f>IFERROR(SUMIFS('Base bordo'!G$2:G$746,'Base bordo'!C$2:C$746,A466,'Base bordo'!B$2:B$746,B466,'Base bordo'!F$2:F$746,"MAN PREVENTIVA - MECANICA"),0)+IFERROR(SUMIFS('Base bordo'!G$2:G$746,'Base bordo'!C$2:C$746,A466,'Base bordo'!B$2:B$746,B466,'Base bordo'!F$2:F$746,"MAN CORRETIVA - MECANICA"),0)</f>
        <v>0</v>
      </c>
      <c r="L466" s="10">
        <f>IFERROR(SUMIFS('Base bordo'!G$2:G$746,'Base bordo'!C$2:C$746,A466,'Base bordo'!B$2:B$746,B466,'Base bordo'!F$2:F$746,"MANUTENCAO - T O"),0)+IFERROR(SUMIFS('Base bordo'!G$2:G$746,'Base bordo'!C$2:C$746,A466,'Base bordo'!B$2:B$746,B466,'Base bordo'!F$2:F$746,"MANUTENCAO BORRACHARIA"),0)+IFERROR(SUMIFS('Base bordo'!G$2:G$746,'Base bordo'!C$2:C$746,A466,'Base bordo'!B$2:B$746,B466,'Base bordo'!F$2:F$746,"MANUTENCAO EXTERNA  CONCESSIONARIA"),0)+IFERROR(SUMIFS('Base bordo'!G$2:G$746,'Base bordo'!C$2:C$746,A466,'Base bordo'!B$2:B$746,B466,'Base bordo'!F$2:F$746,"MANUTENCAO TELEMETRIA"),0)</f>
        <v>0</v>
      </c>
      <c r="M466" s="10">
        <f>IFERROR(SUMIFS('Base bordo'!G$2:G$746,'Base bordo'!C$2:C$746,A466,'Base bordo'!B$2:B$746,B466,'Base bordo'!F$2:F$746,"AGUARDANDO MANUTENCAO"),0)</f>
        <v>0</v>
      </c>
      <c r="N466" s="10">
        <f>IFERROR(SUMIFS('Base bordo'!G$2:G$746,'Base bordo'!C$2:C$746,A466,'Base bordo'!B$2:B$746,B466,'Base bordo'!F$2:F$746,"SEM APONTAMENTO"),0)</f>
        <v>0</v>
      </c>
      <c r="O466" s="10">
        <f t="shared" si="54"/>
        <v>1.7763568394002505E-15</v>
      </c>
      <c r="P466" s="10">
        <f>IFERROR(SUMIFS('Base bordo'!G$2:G$746,'Base bordo'!C$2:C$746,A466,'Base bordo'!B$2:B$746,B466),0)</f>
        <v>10.809166666666668</v>
      </c>
      <c r="Q466" s="10">
        <f>IFERROR(SUMIFS('Base bordo'!H$2:H$746,'Base bordo'!C$2:C$746,A466,'Base bordo'!B$2:B$746,B466,'Base bordo'!F$2:F$746,"DESLOCAMENTO VAZIO"),0)</f>
        <v>279312.71000000002</v>
      </c>
      <c r="R466" s="10">
        <f>IFERROR(SUMIFS('Base bordo'!I$2:I$746,'Base bordo'!C$2:C$746,A466,'Base bordo'!B$2:B$746,B466,'Base bordo'!F$2:F$746,"DESLOCAMENTO VAZIO"),0)</f>
        <v>8670</v>
      </c>
      <c r="S466" s="30">
        <f t="shared" si="55"/>
        <v>32.215998846597465</v>
      </c>
      <c r="T466" s="10">
        <f>IFERROR(SUMIFS('Base bordo'!H$2:H$746,'Base bordo'!C$2:C$746,A466,'Base bordo'!B$2:B$746,B466,'Base bordo'!F$2:F$746,"DESLOCAMENTO CARREGADO"),0)</f>
        <v>82241.990000000005</v>
      </c>
      <c r="U466" s="10">
        <f>IFERROR(SUMIFS('Base bordo'!I$2:I$746,'Base bordo'!C$2:C$746,A466,'Base bordo'!B$2:B$746,B466,'Base bordo'!F$2:F$746,"DESLOCAMENTO CARREGADO"),0)</f>
        <v>4697</v>
      </c>
      <c r="V466" s="30">
        <f t="shared" si="56"/>
        <v>17.50947200340643</v>
      </c>
      <c r="W466" s="9">
        <f t="shared" si="57"/>
        <v>0.22280471821756223</v>
      </c>
      <c r="X466" s="9">
        <f t="shared" si="58"/>
        <v>0.12070516279906456</v>
      </c>
      <c r="Y466" s="9">
        <f t="shared" si="59"/>
        <v>0.65649011898337317</v>
      </c>
    </row>
    <row r="467" spans="1:25" ht="15" customHeight="1" x14ac:dyDescent="0.35">
      <c r="A467" s="52">
        <v>8013481</v>
      </c>
      <c r="B467" s="51">
        <v>46123</v>
      </c>
      <c r="C467" s="7" t="s">
        <v>124</v>
      </c>
      <c r="D467" s="10">
        <f>IFERROR(SUMIFS('Base bordo'!G$2:G$746,'Base bordo'!C$2:C$746,A467,'Base bordo'!B$2:B$746,B467,'Base bordo'!F$2:F$746,"DESLOCAMENTO VAZIO"),0)</f>
        <v>0.49583333333333335</v>
      </c>
      <c r="E467" s="10">
        <f>IFERROR(SUMIFS('Base bordo'!G$2:G$746,'Base bordo'!C$2:C$746,A467,'Base bordo'!B$2:B$746,B467,'Base bordo'!F$2:F$746,"DESLOCAMENTO CARREGADO"),0)</f>
        <v>0.5872222222222222</v>
      </c>
      <c r="F467" s="10">
        <f>IFERROR(SUMIFS('Base bordo'!G$2:G$746,'Base bordo'!C$2:C$746,A467,'Base bordo'!B$2:B$746,B467,'Base bordo'!F$2:F$746,"DESLOCAMENTO"),0)</f>
        <v>0</v>
      </c>
      <c r="G467" s="10">
        <f>IFERROR(SUMIFS('Base bordo'!G$2:G$746,'Base bordo'!C$2:C$746,A467,'Base bordo'!B$2:B$746,B467,'Base bordo'!F$2:F$746,"CARREGAMENTO"),0)</f>
        <v>0</v>
      </c>
      <c r="H467" s="10">
        <f>IFERROR(SUMIFS('Base bordo'!G$2:G$746,'Base bordo'!C$2:C$746,A467,'Base bordo'!B$2:B$746,B467,'Base bordo'!F$2:F$746,"AGUARDANDO TRANSBORDO"),0)</f>
        <v>0.16916666666666666</v>
      </c>
      <c r="I467" s="10">
        <f>IFERROR(SUMIFS('Base bordo'!G$2:G$746,'Base bordo'!C$2:C$746,A467,'Base bordo'!B$2:B$746,B467,'Base bordo'!F$2:F$746,"PÁTIO INTERNO"),0)+IFERROR(SUMIFS('Base bordo'!G$2:G$746,'Base bordo'!C$2:C$746,A467,'Base bordo'!B$2:B$746,B467,'Base bordo'!F$2:F$746,"PÁTIO EXTERNO"),0)+IFERROR(SUMIFS('Base bordo'!G$2:G$746,'Base bordo'!C$2:C$746,A467,'Base bordo'!B$2:B$746,B467,'Base bordo'!F$2:F$746,"PATIO - RESERVA"),0)+IFERROR(SUMIFS('Base bordo'!G$2:G$746,'Base bordo'!C$2:C$746,A467,'Base bordo'!B$2:B$746,B467,'Base bordo'!F$2:F$746,"MANOBRA CARRETAS-PATIO"),0)</f>
        <v>2.4105555555555553</v>
      </c>
      <c r="J467" s="10">
        <f>IFERROR(SUMIFS('Base bordo'!G$2:G$746,'Base bordo'!C$2:C$746,A467,'Base bordo'!B$2:B$746,B467,'Base bordo'!F$2:F$746,"BALANÇA - ENTRADA"),0)+IFERROR(SUMIFS('Base bordo'!G$2:G$746,'Base bordo'!C$2:C$746,A467,'Base bordo'!B$2:B$746,B467,'Base bordo'!F$2:F$746,"BALANÇA - SAÍDA"),0)</f>
        <v>0</v>
      </c>
      <c r="K467" s="10">
        <f>IFERROR(SUMIFS('Base bordo'!G$2:G$746,'Base bordo'!C$2:C$746,A467,'Base bordo'!B$2:B$746,B467,'Base bordo'!F$2:F$746,"MAN PREVENTIVA - MECANICA"),0)+IFERROR(SUMIFS('Base bordo'!G$2:G$746,'Base bordo'!C$2:C$746,A467,'Base bordo'!B$2:B$746,B467,'Base bordo'!F$2:F$746,"MAN CORRETIVA - MECANICA"),0)</f>
        <v>0</v>
      </c>
      <c r="L467" s="10">
        <f>IFERROR(SUMIFS('Base bordo'!G$2:G$746,'Base bordo'!C$2:C$746,A467,'Base bordo'!B$2:B$746,B467,'Base bordo'!F$2:F$746,"MANUTENCAO - T O"),0)+IFERROR(SUMIFS('Base bordo'!G$2:G$746,'Base bordo'!C$2:C$746,A467,'Base bordo'!B$2:B$746,B467,'Base bordo'!F$2:F$746,"MANUTENCAO BORRACHARIA"),0)+IFERROR(SUMIFS('Base bordo'!G$2:G$746,'Base bordo'!C$2:C$746,A467,'Base bordo'!B$2:B$746,B467,'Base bordo'!F$2:F$746,"MANUTENCAO EXTERNA  CONCESSIONARIA"),0)+IFERROR(SUMIFS('Base bordo'!G$2:G$746,'Base bordo'!C$2:C$746,A467,'Base bordo'!B$2:B$746,B467,'Base bordo'!F$2:F$746,"MANUTENCAO TELEMETRIA"),0)</f>
        <v>0</v>
      </c>
      <c r="M467" s="10">
        <f>IFERROR(SUMIFS('Base bordo'!G$2:G$746,'Base bordo'!C$2:C$746,A467,'Base bordo'!B$2:B$746,B467,'Base bordo'!F$2:F$746,"AGUARDANDO MANUTENCAO"),0)</f>
        <v>0</v>
      </c>
      <c r="N467" s="10">
        <f>IFERROR(SUMIFS('Base bordo'!G$2:G$746,'Base bordo'!C$2:C$746,A467,'Base bordo'!B$2:B$746,B467,'Base bordo'!F$2:F$746,"SEM APONTAMENTO"),0)</f>
        <v>0</v>
      </c>
      <c r="O467" s="10">
        <f t="shared" si="54"/>
        <v>5.833333333333357E-3</v>
      </c>
      <c r="P467" s="10">
        <f>IFERROR(SUMIFS('Base bordo'!G$2:G$746,'Base bordo'!C$2:C$746,A467,'Base bordo'!B$2:B$746,B467),0)</f>
        <v>3.6686111111111108</v>
      </c>
      <c r="Q467" s="10">
        <f>IFERROR(SUMIFS('Base bordo'!H$2:H$746,'Base bordo'!C$2:C$746,A467,'Base bordo'!B$2:B$746,B467,'Base bordo'!F$2:F$746,"DESLOCAMENTO VAZIO"),0)</f>
        <v>49686.55</v>
      </c>
      <c r="R467" s="10">
        <f>IFERROR(SUMIFS('Base bordo'!I$2:I$746,'Base bordo'!C$2:C$746,A467,'Base bordo'!B$2:B$746,B467,'Base bordo'!F$2:F$746,"DESLOCAMENTO VAZIO"),0)</f>
        <v>1785</v>
      </c>
      <c r="S467" s="30">
        <f t="shared" si="55"/>
        <v>27.83560224089636</v>
      </c>
      <c r="T467" s="10">
        <f>IFERROR(SUMIFS('Base bordo'!H$2:H$746,'Base bordo'!C$2:C$746,A467,'Base bordo'!B$2:B$746,B467,'Base bordo'!F$2:F$746,"DESLOCAMENTO CARREGADO"),0)</f>
        <v>40544.140000000007</v>
      </c>
      <c r="U467" s="10">
        <f>IFERROR(SUMIFS('Base bordo'!I$2:I$746,'Base bordo'!C$2:C$746,A467,'Base bordo'!B$2:B$746,B467,'Base bordo'!F$2:F$746,"DESLOCAMENTO CARREGADO"),0)</f>
        <v>2114</v>
      </c>
      <c r="V467" s="30">
        <f t="shared" si="56"/>
        <v>19.178874172185434</v>
      </c>
      <c r="W467" s="9">
        <f t="shared" si="57"/>
        <v>0.13515559930339974</v>
      </c>
      <c r="X467" s="9">
        <f t="shared" si="58"/>
        <v>0.16006663133186946</v>
      </c>
      <c r="Y467" s="9">
        <f t="shared" si="59"/>
        <v>0.7047777693647308</v>
      </c>
    </row>
    <row r="468" spans="1:25" ht="15" customHeight="1" x14ac:dyDescent="0.35">
      <c r="A468" s="52">
        <v>8013482</v>
      </c>
      <c r="B468" s="51">
        <v>46123</v>
      </c>
      <c r="C468" s="7" t="s">
        <v>124</v>
      </c>
      <c r="D468" s="10">
        <f>IFERROR(SUMIFS('Base bordo'!G$2:G$746,'Base bordo'!C$2:C$746,A468,'Base bordo'!B$2:B$746,B468,'Base bordo'!F$2:F$746,"DESLOCAMENTO VAZIO"),0)</f>
        <v>1.418611111111111</v>
      </c>
      <c r="E468" s="10">
        <f>IFERROR(SUMIFS('Base bordo'!G$2:G$746,'Base bordo'!C$2:C$746,A468,'Base bordo'!B$2:B$746,B468,'Base bordo'!F$2:F$746,"DESLOCAMENTO CARREGADO"),0)</f>
        <v>1.481111111111111</v>
      </c>
      <c r="F468" s="10">
        <f>IFERROR(SUMIFS('Base bordo'!G$2:G$746,'Base bordo'!C$2:C$746,A468,'Base bordo'!B$2:B$746,B468,'Base bordo'!F$2:F$746,"DESLOCAMENTO"),0)</f>
        <v>0</v>
      </c>
      <c r="G468" s="10">
        <f>IFERROR(SUMIFS('Base bordo'!G$2:G$746,'Base bordo'!C$2:C$746,A468,'Base bordo'!B$2:B$746,B468,'Base bordo'!F$2:F$746,"CARREGAMENTO"),0)</f>
        <v>0</v>
      </c>
      <c r="H468" s="10">
        <f>IFERROR(SUMIFS('Base bordo'!G$2:G$746,'Base bordo'!C$2:C$746,A468,'Base bordo'!B$2:B$746,B468,'Base bordo'!F$2:F$746,"AGUARDANDO TRANSBORDO"),0)</f>
        <v>0.2361111111111111</v>
      </c>
      <c r="I468" s="10">
        <f>IFERROR(SUMIFS('Base bordo'!G$2:G$746,'Base bordo'!C$2:C$746,A468,'Base bordo'!B$2:B$746,B468,'Base bordo'!F$2:F$746,"PÁTIO INTERNO"),0)+IFERROR(SUMIFS('Base bordo'!G$2:G$746,'Base bordo'!C$2:C$746,A468,'Base bordo'!B$2:B$746,B468,'Base bordo'!F$2:F$746,"PÁTIO EXTERNO"),0)+IFERROR(SUMIFS('Base bordo'!G$2:G$746,'Base bordo'!C$2:C$746,A468,'Base bordo'!B$2:B$746,B468,'Base bordo'!F$2:F$746,"PATIO - RESERVA"),0)+IFERROR(SUMIFS('Base bordo'!G$2:G$746,'Base bordo'!C$2:C$746,A468,'Base bordo'!B$2:B$746,B468,'Base bordo'!F$2:F$746,"MANOBRA CARRETAS-PATIO"),0)</f>
        <v>0</v>
      </c>
      <c r="J468" s="10">
        <f>IFERROR(SUMIFS('Base bordo'!G$2:G$746,'Base bordo'!C$2:C$746,A468,'Base bordo'!B$2:B$746,B468,'Base bordo'!F$2:F$746,"BALANÇA - ENTRADA"),0)+IFERROR(SUMIFS('Base bordo'!G$2:G$746,'Base bordo'!C$2:C$746,A468,'Base bordo'!B$2:B$746,B468,'Base bordo'!F$2:F$746,"BALANÇA - SAÍDA"),0)</f>
        <v>0</v>
      </c>
      <c r="K468" s="10">
        <f>IFERROR(SUMIFS('Base bordo'!G$2:G$746,'Base bordo'!C$2:C$746,A468,'Base bordo'!B$2:B$746,B468,'Base bordo'!F$2:F$746,"MAN PREVENTIVA - MECANICA"),0)+IFERROR(SUMIFS('Base bordo'!G$2:G$746,'Base bordo'!C$2:C$746,A468,'Base bordo'!B$2:B$746,B468,'Base bordo'!F$2:F$746,"MAN CORRETIVA - MECANICA"),0)</f>
        <v>0</v>
      </c>
      <c r="L468" s="10">
        <f>IFERROR(SUMIFS('Base bordo'!G$2:G$746,'Base bordo'!C$2:C$746,A468,'Base bordo'!B$2:B$746,B468,'Base bordo'!F$2:F$746,"MANUTENCAO - T O"),0)+IFERROR(SUMIFS('Base bordo'!G$2:G$746,'Base bordo'!C$2:C$746,A468,'Base bordo'!B$2:B$746,B468,'Base bordo'!F$2:F$746,"MANUTENCAO BORRACHARIA"),0)+IFERROR(SUMIFS('Base bordo'!G$2:G$746,'Base bordo'!C$2:C$746,A468,'Base bordo'!B$2:B$746,B468,'Base bordo'!F$2:F$746,"MANUTENCAO EXTERNA  CONCESSIONARIA"),0)+IFERROR(SUMIFS('Base bordo'!G$2:G$746,'Base bordo'!C$2:C$746,A468,'Base bordo'!B$2:B$746,B468,'Base bordo'!F$2:F$746,"MANUTENCAO TELEMETRIA"),0)</f>
        <v>0</v>
      </c>
      <c r="M468" s="10">
        <f>IFERROR(SUMIFS('Base bordo'!G$2:G$746,'Base bordo'!C$2:C$746,A468,'Base bordo'!B$2:B$746,B468,'Base bordo'!F$2:F$746,"AGUARDANDO MANUTENCAO"),0)</f>
        <v>0</v>
      </c>
      <c r="N468" s="10">
        <f>IFERROR(SUMIFS('Base bordo'!G$2:G$746,'Base bordo'!C$2:C$746,A468,'Base bordo'!B$2:B$746,B468,'Base bordo'!F$2:F$746,"SEM APONTAMENTO"),0)</f>
        <v>0</v>
      </c>
      <c r="O468" s="10">
        <f t="shared" si="54"/>
        <v>6.1111111111111782E-3</v>
      </c>
      <c r="P468" s="10">
        <f>IFERROR(SUMIFS('Base bordo'!G$2:G$746,'Base bordo'!C$2:C$746,A468,'Base bordo'!B$2:B$746,B468),0)</f>
        <v>3.1419444444444444</v>
      </c>
      <c r="Q468" s="10">
        <f>IFERROR(SUMIFS('Base bordo'!H$2:H$746,'Base bordo'!C$2:C$746,A468,'Base bordo'!B$2:B$746,B468,'Base bordo'!F$2:F$746,"DESLOCAMENTO VAZIO"),0)</f>
        <v>176641.12</v>
      </c>
      <c r="R468" s="10">
        <f>IFERROR(SUMIFS('Base bordo'!I$2:I$746,'Base bordo'!C$2:C$746,A468,'Base bordo'!B$2:B$746,B468,'Base bordo'!F$2:F$746,"DESLOCAMENTO VAZIO"),0)</f>
        <v>5107</v>
      </c>
      <c r="S468" s="30">
        <f t="shared" si="55"/>
        <v>34.588039945173293</v>
      </c>
      <c r="T468" s="10">
        <f>IFERROR(SUMIFS('Base bordo'!H$2:H$746,'Base bordo'!C$2:C$746,A468,'Base bordo'!B$2:B$746,B468,'Base bordo'!F$2:F$746,"DESLOCAMENTO CARREGADO"),0)</f>
        <v>111130.40000000001</v>
      </c>
      <c r="U468" s="10">
        <f>IFERROR(SUMIFS('Base bordo'!I$2:I$746,'Base bordo'!C$2:C$746,A468,'Base bordo'!B$2:B$746,B468,'Base bordo'!F$2:F$746,"DESLOCAMENTO CARREGADO"),0)</f>
        <v>5332</v>
      </c>
      <c r="V468" s="30">
        <f t="shared" si="56"/>
        <v>20.842160540135037</v>
      </c>
      <c r="W468" s="9">
        <f t="shared" si="57"/>
        <v>0.45150738219432407</v>
      </c>
      <c r="X468" s="9">
        <f t="shared" si="58"/>
        <v>0.47139952258863049</v>
      </c>
      <c r="Y468" s="9">
        <f t="shared" si="59"/>
        <v>7.7093095217045438E-2</v>
      </c>
    </row>
    <row r="469" spans="1:25" ht="15" customHeight="1" x14ac:dyDescent="0.35">
      <c r="A469" s="52">
        <v>8013486</v>
      </c>
      <c r="B469" s="51">
        <v>46124</v>
      </c>
      <c r="C469" s="7" t="s">
        <v>124</v>
      </c>
      <c r="D469" s="10">
        <f>IFERROR(SUMIFS('Base bordo'!G$2:G$746,'Base bordo'!C$2:C$746,A469,'Base bordo'!B$2:B$746,B469,'Base bordo'!F$2:F$746,"DESLOCAMENTO VAZIO"),0)</f>
        <v>1.6141666666666667</v>
      </c>
      <c r="E469" s="10">
        <f>IFERROR(SUMIFS('Base bordo'!G$2:G$746,'Base bordo'!C$2:C$746,A469,'Base bordo'!B$2:B$746,B469,'Base bordo'!F$2:F$746,"DESLOCAMENTO CARREGADO"),0)</f>
        <v>9.7500000000000003E-2</v>
      </c>
      <c r="F469" s="10">
        <f>IFERROR(SUMIFS('Base bordo'!G$2:G$746,'Base bordo'!C$2:C$746,A469,'Base bordo'!B$2:B$746,B469,'Base bordo'!F$2:F$746,"DESLOCAMENTO"),0)</f>
        <v>0</v>
      </c>
      <c r="G469" s="10">
        <f>IFERROR(SUMIFS('Base bordo'!G$2:G$746,'Base bordo'!C$2:C$746,A469,'Base bordo'!B$2:B$746,B469,'Base bordo'!F$2:F$746,"CARREGAMENTO"),0)</f>
        <v>0</v>
      </c>
      <c r="H469" s="10">
        <f>IFERROR(SUMIFS('Base bordo'!G$2:G$746,'Base bordo'!C$2:C$746,A469,'Base bordo'!B$2:B$746,B469,'Base bordo'!F$2:F$746,"AGUARDANDO TRANSBORDO"),0)</f>
        <v>0.10888888888888888</v>
      </c>
      <c r="I469" s="10">
        <f>IFERROR(SUMIFS('Base bordo'!G$2:G$746,'Base bordo'!C$2:C$746,A469,'Base bordo'!B$2:B$746,B469,'Base bordo'!F$2:F$746,"PÁTIO INTERNO"),0)+IFERROR(SUMIFS('Base bordo'!G$2:G$746,'Base bordo'!C$2:C$746,A469,'Base bordo'!B$2:B$746,B469,'Base bordo'!F$2:F$746,"PÁTIO EXTERNO"),0)+IFERROR(SUMIFS('Base bordo'!G$2:G$746,'Base bordo'!C$2:C$746,A469,'Base bordo'!B$2:B$746,B469,'Base bordo'!F$2:F$746,"PATIO - RESERVA"),0)+IFERROR(SUMIFS('Base bordo'!G$2:G$746,'Base bordo'!C$2:C$746,A469,'Base bordo'!B$2:B$746,B469,'Base bordo'!F$2:F$746,"MANOBRA CARRETAS-PATIO"),0)</f>
        <v>4.8677777777777784</v>
      </c>
      <c r="J469" s="10">
        <f>IFERROR(SUMIFS('Base bordo'!G$2:G$746,'Base bordo'!C$2:C$746,A469,'Base bordo'!B$2:B$746,B469,'Base bordo'!F$2:F$746,"BALANÇA - ENTRADA"),0)+IFERROR(SUMIFS('Base bordo'!G$2:G$746,'Base bordo'!C$2:C$746,A469,'Base bordo'!B$2:B$746,B469,'Base bordo'!F$2:F$746,"BALANÇA - SAÍDA"),0)</f>
        <v>0.14000000000000001</v>
      </c>
      <c r="K469" s="10">
        <f>IFERROR(SUMIFS('Base bordo'!G$2:G$746,'Base bordo'!C$2:C$746,A469,'Base bordo'!B$2:B$746,B469,'Base bordo'!F$2:F$746,"MAN PREVENTIVA - MECANICA"),0)+IFERROR(SUMIFS('Base bordo'!G$2:G$746,'Base bordo'!C$2:C$746,A469,'Base bordo'!B$2:B$746,B469,'Base bordo'!F$2:F$746,"MAN CORRETIVA - MECANICA"),0)</f>
        <v>0</v>
      </c>
      <c r="L469" s="10">
        <f>IFERROR(SUMIFS('Base bordo'!G$2:G$746,'Base bordo'!C$2:C$746,A469,'Base bordo'!B$2:B$746,B469,'Base bordo'!F$2:F$746,"MANUTENCAO - T O"),0)+IFERROR(SUMIFS('Base bordo'!G$2:G$746,'Base bordo'!C$2:C$746,A469,'Base bordo'!B$2:B$746,B469,'Base bordo'!F$2:F$746,"MANUTENCAO BORRACHARIA"),0)+IFERROR(SUMIFS('Base bordo'!G$2:G$746,'Base bordo'!C$2:C$746,A469,'Base bordo'!B$2:B$746,B469,'Base bordo'!F$2:F$746,"MANUTENCAO EXTERNA  CONCESSIONARIA"),0)+IFERROR(SUMIFS('Base bordo'!G$2:G$746,'Base bordo'!C$2:C$746,A469,'Base bordo'!B$2:B$746,B469,'Base bordo'!F$2:F$746,"MANUTENCAO TELEMETRIA"),0)</f>
        <v>0</v>
      </c>
      <c r="M469" s="10">
        <f>IFERROR(SUMIFS('Base bordo'!G$2:G$746,'Base bordo'!C$2:C$746,A469,'Base bordo'!B$2:B$746,B469,'Base bordo'!F$2:F$746,"AGUARDANDO MANUTENCAO"),0)</f>
        <v>0</v>
      </c>
      <c r="N469" s="10">
        <f>IFERROR(SUMIFS('Base bordo'!G$2:G$746,'Base bordo'!C$2:C$746,A469,'Base bordo'!B$2:B$746,B469,'Base bordo'!F$2:F$746,"SEM APONTAMENTO"),0)</f>
        <v>0</v>
      </c>
      <c r="O469" s="10">
        <f t="shared" si="54"/>
        <v>1.4722222222222747E-2</v>
      </c>
      <c r="P469" s="10">
        <f>IFERROR(SUMIFS('Base bordo'!G$2:G$746,'Base bordo'!C$2:C$746,A469,'Base bordo'!B$2:B$746,B469),0)</f>
        <v>6.8430555555555568</v>
      </c>
      <c r="Q469" s="10">
        <f>IFERROR(SUMIFS('Base bordo'!H$2:H$746,'Base bordo'!C$2:C$746,A469,'Base bordo'!B$2:B$746,B469,'Base bordo'!F$2:F$746,"DESLOCAMENTO VAZIO"),0)</f>
        <v>181720.6</v>
      </c>
      <c r="R469" s="10">
        <f>IFERROR(SUMIFS('Base bordo'!I$2:I$746,'Base bordo'!C$2:C$746,A469,'Base bordo'!B$2:B$746,B469,'Base bordo'!F$2:F$746,"DESLOCAMENTO VAZIO"),0)</f>
        <v>5811</v>
      </c>
      <c r="S469" s="30">
        <f t="shared" si="55"/>
        <v>31.271829289278955</v>
      </c>
      <c r="T469" s="10">
        <f>IFERROR(SUMIFS('Base bordo'!H$2:H$746,'Base bordo'!C$2:C$746,A469,'Base bordo'!B$2:B$746,B469,'Base bordo'!F$2:F$746,"DESLOCAMENTO CARREGADO"),0)</f>
        <v>2571.7599999999998</v>
      </c>
      <c r="U469" s="10">
        <f>IFERROR(SUMIFS('Base bordo'!I$2:I$746,'Base bordo'!C$2:C$746,A469,'Base bordo'!B$2:B$746,B469,'Base bordo'!F$2:F$746,"DESLOCAMENTO CARREGADO"),0)</f>
        <v>332</v>
      </c>
      <c r="V469" s="30">
        <f t="shared" si="56"/>
        <v>7.7462650602409635</v>
      </c>
      <c r="W469" s="9">
        <f t="shared" si="57"/>
        <v>0.23588390501319259</v>
      </c>
      <c r="X469" s="9">
        <f t="shared" si="58"/>
        <v>1.4248021108179418E-2</v>
      </c>
      <c r="Y469" s="9">
        <f t="shared" si="59"/>
        <v>0.74986807387862808</v>
      </c>
    </row>
    <row r="470" spans="1:25" ht="15" customHeight="1" x14ac:dyDescent="0.35">
      <c r="A470" s="52">
        <v>8013460</v>
      </c>
      <c r="B470" s="51">
        <v>46124</v>
      </c>
      <c r="C470" s="7" t="s">
        <v>124</v>
      </c>
      <c r="D470" s="10">
        <f>IFERROR(SUMIFS('Base bordo'!G$2:G$746,'Base bordo'!C$2:C$746,A470,'Base bordo'!B$2:B$746,B470,'Base bordo'!F$2:F$746,"DESLOCAMENTO VAZIO"),0)</f>
        <v>3.2269444444444444</v>
      </c>
      <c r="E470" s="10">
        <f>IFERROR(SUMIFS('Base bordo'!G$2:G$746,'Base bordo'!C$2:C$746,A470,'Base bordo'!B$2:B$746,B470,'Base bordo'!F$2:F$746,"DESLOCAMENTO CARREGADO"),0)</f>
        <v>4.5991666666666671</v>
      </c>
      <c r="F470" s="10">
        <f>IFERROR(SUMIFS('Base bordo'!G$2:G$746,'Base bordo'!C$2:C$746,A470,'Base bordo'!B$2:B$746,B470,'Base bordo'!F$2:F$746,"DESLOCAMENTO"),0)</f>
        <v>0</v>
      </c>
      <c r="G470" s="10">
        <f>IFERROR(SUMIFS('Base bordo'!G$2:G$746,'Base bordo'!C$2:C$746,A470,'Base bordo'!B$2:B$746,B470,'Base bordo'!F$2:F$746,"CARREGAMENTO"),0)</f>
        <v>0</v>
      </c>
      <c r="H470" s="10">
        <f>IFERROR(SUMIFS('Base bordo'!G$2:G$746,'Base bordo'!C$2:C$746,A470,'Base bordo'!B$2:B$746,B470,'Base bordo'!F$2:F$746,"AGUARDANDO TRANSBORDO"),0)</f>
        <v>0.1763888888888889</v>
      </c>
      <c r="I470" s="10">
        <f>IFERROR(SUMIFS('Base bordo'!G$2:G$746,'Base bordo'!C$2:C$746,A470,'Base bordo'!B$2:B$746,B470,'Base bordo'!F$2:F$746,"PÁTIO INTERNO"),0)+IFERROR(SUMIFS('Base bordo'!G$2:G$746,'Base bordo'!C$2:C$746,A470,'Base bordo'!B$2:B$746,B470,'Base bordo'!F$2:F$746,"PÁTIO EXTERNO"),0)+IFERROR(SUMIFS('Base bordo'!G$2:G$746,'Base bordo'!C$2:C$746,A470,'Base bordo'!B$2:B$746,B470,'Base bordo'!F$2:F$746,"PATIO - RESERVA"),0)+IFERROR(SUMIFS('Base bordo'!G$2:G$746,'Base bordo'!C$2:C$746,A470,'Base bordo'!B$2:B$746,B470,'Base bordo'!F$2:F$746,"MANOBRA CARRETAS-PATIO"),0)</f>
        <v>8.8005555555555546</v>
      </c>
      <c r="J470" s="10">
        <f>IFERROR(SUMIFS('Base bordo'!G$2:G$746,'Base bordo'!C$2:C$746,A470,'Base bordo'!B$2:B$746,B470,'Base bordo'!F$2:F$746,"BALANÇA - ENTRADA"),0)+IFERROR(SUMIFS('Base bordo'!G$2:G$746,'Base bordo'!C$2:C$746,A470,'Base bordo'!B$2:B$746,B470,'Base bordo'!F$2:F$746,"BALANÇA - SAÍDA"),0)</f>
        <v>0.12222222222222223</v>
      </c>
      <c r="K470" s="10">
        <f>IFERROR(SUMIFS('Base bordo'!G$2:G$746,'Base bordo'!C$2:C$746,A470,'Base bordo'!B$2:B$746,B470,'Base bordo'!F$2:F$746,"MAN PREVENTIVA - MECANICA"),0)+IFERROR(SUMIFS('Base bordo'!G$2:G$746,'Base bordo'!C$2:C$746,A470,'Base bordo'!B$2:B$746,B470,'Base bordo'!F$2:F$746,"MAN CORRETIVA - MECANICA"),0)</f>
        <v>0</v>
      </c>
      <c r="L470" s="10">
        <f>IFERROR(SUMIFS('Base bordo'!G$2:G$746,'Base bordo'!C$2:C$746,A470,'Base bordo'!B$2:B$746,B470,'Base bordo'!F$2:F$746,"MANUTENCAO - T O"),0)+IFERROR(SUMIFS('Base bordo'!G$2:G$746,'Base bordo'!C$2:C$746,A470,'Base bordo'!B$2:B$746,B470,'Base bordo'!F$2:F$746,"MANUTENCAO BORRACHARIA"),0)+IFERROR(SUMIFS('Base bordo'!G$2:G$746,'Base bordo'!C$2:C$746,A470,'Base bordo'!B$2:B$746,B470,'Base bordo'!F$2:F$746,"MANUTENCAO EXTERNA  CONCESSIONARIA"),0)+IFERROR(SUMIFS('Base bordo'!G$2:G$746,'Base bordo'!C$2:C$746,A470,'Base bordo'!B$2:B$746,B470,'Base bordo'!F$2:F$746,"MANUTENCAO TELEMETRIA"),0)</f>
        <v>0</v>
      </c>
      <c r="M470" s="10">
        <f>IFERROR(SUMIFS('Base bordo'!G$2:G$746,'Base bordo'!C$2:C$746,A470,'Base bordo'!B$2:B$746,B470,'Base bordo'!F$2:F$746,"AGUARDANDO MANUTENCAO"),0)</f>
        <v>0</v>
      </c>
      <c r="N470" s="10">
        <f>IFERROR(SUMIFS('Base bordo'!G$2:G$746,'Base bordo'!C$2:C$746,A470,'Base bordo'!B$2:B$746,B470,'Base bordo'!F$2:F$746,"SEM APONTAMENTO"),0)</f>
        <v>0</v>
      </c>
      <c r="O470" s="10">
        <f t="shared" si="54"/>
        <v>0</v>
      </c>
      <c r="P470" s="10">
        <f>IFERROR(SUMIFS('Base bordo'!G$2:G$746,'Base bordo'!C$2:C$746,A470,'Base bordo'!B$2:B$746,B470),0)</f>
        <v>16.925277777777776</v>
      </c>
      <c r="Q470" s="10">
        <f>IFERROR(SUMIFS('Base bordo'!H$2:H$746,'Base bordo'!C$2:C$746,A470,'Base bordo'!B$2:B$746,B470,'Base bordo'!F$2:F$746,"DESLOCAMENTO VAZIO"),0)</f>
        <v>360275.76</v>
      </c>
      <c r="R470" s="10">
        <f>IFERROR(SUMIFS('Base bordo'!I$2:I$746,'Base bordo'!C$2:C$746,A470,'Base bordo'!B$2:B$746,B470,'Base bordo'!F$2:F$746,"DESLOCAMENTO VAZIO"),0)</f>
        <v>11617</v>
      </c>
      <c r="S470" s="30">
        <f t="shared" si="55"/>
        <v>31.012805371438411</v>
      </c>
      <c r="T470" s="10">
        <f>IFERROR(SUMIFS('Base bordo'!H$2:H$746,'Base bordo'!C$2:C$746,A470,'Base bordo'!B$2:B$746,B470,'Base bordo'!F$2:F$746,"DESLOCAMENTO CARREGADO"),0)</f>
        <v>354323.07999999996</v>
      </c>
      <c r="U470" s="10">
        <f>IFERROR(SUMIFS('Base bordo'!I$2:I$746,'Base bordo'!C$2:C$746,A470,'Base bordo'!B$2:B$746,B470,'Base bordo'!F$2:F$746,"DESLOCAMENTO CARREGADO"),0)</f>
        <v>16557</v>
      </c>
      <c r="V470" s="30">
        <f t="shared" si="56"/>
        <v>21.400198103521166</v>
      </c>
      <c r="W470" s="9">
        <f t="shared" si="57"/>
        <v>0.19065828560174625</v>
      </c>
      <c r="X470" s="9">
        <f t="shared" si="58"/>
        <v>0.27173360030198096</v>
      </c>
      <c r="Y470" s="9">
        <f t="shared" si="59"/>
        <v>0.53760811409627274</v>
      </c>
    </row>
    <row r="471" spans="1:25" ht="15" customHeight="1" x14ac:dyDescent="0.35">
      <c r="A471" s="52">
        <v>8013475</v>
      </c>
      <c r="B471" s="51">
        <v>46123</v>
      </c>
      <c r="C471" s="7" t="s">
        <v>124</v>
      </c>
      <c r="D471" s="10">
        <f>IFERROR(SUMIFS('Base bordo'!G$2:G$746,'Base bordo'!C$2:C$746,A471,'Base bordo'!B$2:B$746,B471,'Base bordo'!F$2:F$746,"DESLOCAMENTO VAZIO"),0)</f>
        <v>3.0555555555555557E-3</v>
      </c>
      <c r="E471" s="10">
        <f>IFERROR(SUMIFS('Base bordo'!G$2:G$746,'Base bordo'!C$2:C$746,A471,'Base bordo'!B$2:B$746,B471,'Base bordo'!F$2:F$746,"DESLOCAMENTO CARREGADO"),0)</f>
        <v>2.8611111111111111E-2</v>
      </c>
      <c r="F471" s="10">
        <f>IFERROR(SUMIFS('Base bordo'!G$2:G$746,'Base bordo'!C$2:C$746,A471,'Base bordo'!B$2:B$746,B471,'Base bordo'!F$2:F$746,"DESLOCAMENTO"),0)</f>
        <v>0</v>
      </c>
      <c r="G471" s="10">
        <f>IFERROR(SUMIFS('Base bordo'!G$2:G$746,'Base bordo'!C$2:C$746,A471,'Base bordo'!B$2:B$746,B471,'Base bordo'!F$2:F$746,"CARREGAMENTO"),0)</f>
        <v>0</v>
      </c>
      <c r="H471" s="10">
        <f>IFERROR(SUMIFS('Base bordo'!G$2:G$746,'Base bordo'!C$2:C$746,A471,'Base bordo'!B$2:B$746,B471,'Base bordo'!F$2:F$746,"AGUARDANDO TRANSBORDO"),0)</f>
        <v>0</v>
      </c>
      <c r="I471" s="10">
        <f>IFERROR(SUMIFS('Base bordo'!G$2:G$746,'Base bordo'!C$2:C$746,A471,'Base bordo'!B$2:B$746,B471,'Base bordo'!F$2:F$746,"PÁTIO INTERNO"),0)+IFERROR(SUMIFS('Base bordo'!G$2:G$746,'Base bordo'!C$2:C$746,A471,'Base bordo'!B$2:B$746,B471,'Base bordo'!F$2:F$746,"PÁTIO EXTERNO"),0)+IFERROR(SUMIFS('Base bordo'!G$2:G$746,'Base bordo'!C$2:C$746,A471,'Base bordo'!B$2:B$746,B471,'Base bordo'!F$2:F$746,"PATIO - RESERVA"),0)+IFERROR(SUMIFS('Base bordo'!G$2:G$746,'Base bordo'!C$2:C$746,A471,'Base bordo'!B$2:B$746,B471,'Base bordo'!F$2:F$746,"MANOBRA CARRETAS-PATIO"),0)</f>
        <v>2.75E-2</v>
      </c>
      <c r="J471" s="10">
        <f>IFERROR(SUMIFS('Base bordo'!G$2:G$746,'Base bordo'!C$2:C$746,A471,'Base bordo'!B$2:B$746,B471,'Base bordo'!F$2:F$746,"BALANÇA - ENTRADA"),0)+IFERROR(SUMIFS('Base bordo'!G$2:G$746,'Base bordo'!C$2:C$746,A471,'Base bordo'!B$2:B$746,B471,'Base bordo'!F$2:F$746,"BALANÇA - SAÍDA"),0)</f>
        <v>0</v>
      </c>
      <c r="K471" s="10">
        <f>IFERROR(SUMIFS('Base bordo'!G$2:G$746,'Base bordo'!C$2:C$746,A471,'Base bordo'!B$2:B$746,B471,'Base bordo'!F$2:F$746,"MAN PREVENTIVA - MECANICA"),0)+IFERROR(SUMIFS('Base bordo'!G$2:G$746,'Base bordo'!C$2:C$746,A471,'Base bordo'!B$2:B$746,B471,'Base bordo'!F$2:F$746,"MAN CORRETIVA - MECANICA"),0)</f>
        <v>0</v>
      </c>
      <c r="L471" s="10">
        <f>IFERROR(SUMIFS('Base bordo'!G$2:G$746,'Base bordo'!C$2:C$746,A471,'Base bordo'!B$2:B$746,B471,'Base bordo'!F$2:F$746,"MANUTENCAO - T O"),0)+IFERROR(SUMIFS('Base bordo'!G$2:G$746,'Base bordo'!C$2:C$746,A471,'Base bordo'!B$2:B$746,B471,'Base bordo'!F$2:F$746,"MANUTENCAO BORRACHARIA"),0)+IFERROR(SUMIFS('Base bordo'!G$2:G$746,'Base bordo'!C$2:C$746,A471,'Base bordo'!B$2:B$746,B471,'Base bordo'!F$2:F$746,"MANUTENCAO EXTERNA  CONCESSIONARIA"),0)+IFERROR(SUMIFS('Base bordo'!G$2:G$746,'Base bordo'!C$2:C$746,A471,'Base bordo'!B$2:B$746,B471,'Base bordo'!F$2:F$746,"MANUTENCAO TELEMETRIA"),0)</f>
        <v>0</v>
      </c>
      <c r="M471" s="10">
        <f>IFERROR(SUMIFS('Base bordo'!G$2:G$746,'Base bordo'!C$2:C$746,A471,'Base bordo'!B$2:B$746,B471,'Base bordo'!F$2:F$746,"AGUARDANDO MANUTENCAO"),0)</f>
        <v>0</v>
      </c>
      <c r="N471" s="10">
        <f>IFERROR(SUMIFS('Base bordo'!G$2:G$746,'Base bordo'!C$2:C$746,A471,'Base bordo'!B$2:B$746,B471,'Base bordo'!F$2:F$746,"SEM APONTAMENTO"),0)</f>
        <v>0</v>
      </c>
      <c r="O471" s="10">
        <f t="shared" si="54"/>
        <v>-6.9388939039072284E-18</v>
      </c>
      <c r="P471" s="10">
        <f>IFERROR(SUMIFS('Base bordo'!G$2:G$746,'Base bordo'!C$2:C$746,A471,'Base bordo'!B$2:B$746,B471),0)</f>
        <v>5.9166666666666666E-2</v>
      </c>
      <c r="Q471" s="10">
        <f>IFERROR(SUMIFS('Base bordo'!H$2:H$746,'Base bordo'!C$2:C$746,A471,'Base bordo'!B$2:B$746,B471,'Base bordo'!F$2:F$746,"DESLOCAMENTO VAZIO"),0)</f>
        <v>40.92</v>
      </c>
      <c r="R471" s="10">
        <f>IFERROR(SUMIFS('Base bordo'!I$2:I$746,'Base bordo'!C$2:C$746,A471,'Base bordo'!B$2:B$746,B471,'Base bordo'!F$2:F$746,"DESLOCAMENTO VAZIO"),0)</f>
        <v>11</v>
      </c>
      <c r="S471" s="30">
        <f t="shared" si="55"/>
        <v>3.72</v>
      </c>
      <c r="T471" s="10">
        <f>IFERROR(SUMIFS('Base bordo'!H$2:H$746,'Base bordo'!C$2:C$746,A471,'Base bordo'!B$2:B$746,B471,'Base bordo'!F$2:F$746,"DESLOCAMENTO CARREGADO"),0)</f>
        <v>386.25</v>
      </c>
      <c r="U471" s="10">
        <f>IFERROR(SUMIFS('Base bordo'!I$2:I$746,'Base bordo'!C$2:C$746,A471,'Base bordo'!B$2:B$746,B471,'Base bordo'!F$2:F$746,"DESLOCAMENTO CARREGADO"),0)</f>
        <v>103</v>
      </c>
      <c r="V471" s="30">
        <f t="shared" si="56"/>
        <v>3.75</v>
      </c>
      <c r="W471" s="9">
        <f t="shared" si="57"/>
        <v>5.1643192488262914E-2</v>
      </c>
      <c r="X471" s="9">
        <f t="shared" si="58"/>
        <v>0.48356807511737088</v>
      </c>
      <c r="Y471" s="9">
        <f t="shared" si="59"/>
        <v>0.46478873239436613</v>
      </c>
    </row>
    <row r="472" spans="1:25" ht="15" customHeight="1" x14ac:dyDescent="0.35">
      <c r="A472" s="52">
        <v>8013461</v>
      </c>
      <c r="B472" s="51">
        <v>46118</v>
      </c>
      <c r="C472" s="7" t="s">
        <v>124</v>
      </c>
      <c r="D472" s="10">
        <f>IFERROR(SUMIFS('Base bordo'!G$2:G$746,'Base bordo'!C$2:C$746,A472,'Base bordo'!B$2:B$746,B472,'Base bordo'!F$2:F$746,"DESLOCAMENTO VAZIO"),0)</f>
        <v>1.6119444444444444</v>
      </c>
      <c r="E472" s="10">
        <f>IFERROR(SUMIFS('Base bordo'!G$2:G$746,'Base bordo'!C$2:C$746,A472,'Base bordo'!B$2:B$746,B472,'Base bordo'!F$2:F$746,"DESLOCAMENTO CARREGADO"),0)</f>
        <v>3.9649999999999999</v>
      </c>
      <c r="F472" s="10">
        <f>IFERROR(SUMIFS('Base bordo'!G$2:G$746,'Base bordo'!C$2:C$746,A472,'Base bordo'!B$2:B$746,B472,'Base bordo'!F$2:F$746,"DESLOCAMENTO"),0)</f>
        <v>0.61416666666666664</v>
      </c>
      <c r="G472" s="10">
        <f>IFERROR(SUMIFS('Base bordo'!G$2:G$746,'Base bordo'!C$2:C$746,A472,'Base bordo'!B$2:B$746,B472,'Base bordo'!F$2:F$746,"CARREGAMENTO"),0)</f>
        <v>0.68666666666666665</v>
      </c>
      <c r="H472" s="10">
        <f>IFERROR(SUMIFS('Base bordo'!G$2:G$746,'Base bordo'!C$2:C$746,A472,'Base bordo'!B$2:B$746,B472,'Base bordo'!F$2:F$746,"AGUARDANDO TRANSBORDO"),0)</f>
        <v>0.5033333333333333</v>
      </c>
      <c r="I472" s="10">
        <f>IFERROR(SUMIFS('Base bordo'!G$2:G$746,'Base bordo'!C$2:C$746,A472,'Base bordo'!B$2:B$746,B472,'Base bordo'!F$2:F$746,"PÁTIO INTERNO"),0)+IFERROR(SUMIFS('Base bordo'!G$2:G$746,'Base bordo'!C$2:C$746,A472,'Base bordo'!B$2:B$746,B472,'Base bordo'!F$2:F$746,"PÁTIO EXTERNO"),0)+IFERROR(SUMIFS('Base bordo'!G$2:G$746,'Base bordo'!C$2:C$746,A472,'Base bordo'!B$2:B$746,B472,'Base bordo'!F$2:F$746,"PATIO - RESERVA"),0)+IFERROR(SUMIFS('Base bordo'!G$2:G$746,'Base bordo'!C$2:C$746,A472,'Base bordo'!B$2:B$746,B472,'Base bordo'!F$2:F$746,"MANOBRA CARRETAS-PATIO"),0)</f>
        <v>13.577499999999999</v>
      </c>
      <c r="J472" s="10">
        <f>IFERROR(SUMIFS('Base bordo'!G$2:G$746,'Base bordo'!C$2:C$746,A472,'Base bordo'!B$2:B$746,B472,'Base bordo'!F$2:F$746,"BALANÇA - ENTRADA"),0)+IFERROR(SUMIFS('Base bordo'!G$2:G$746,'Base bordo'!C$2:C$746,A472,'Base bordo'!B$2:B$746,B472,'Base bordo'!F$2:F$746,"BALANÇA - SAÍDA"),0)</f>
        <v>0.18777777777777779</v>
      </c>
      <c r="K472" s="10">
        <f>IFERROR(SUMIFS('Base bordo'!G$2:G$746,'Base bordo'!C$2:C$746,A472,'Base bordo'!B$2:B$746,B472,'Base bordo'!F$2:F$746,"MAN PREVENTIVA - MECANICA"),0)+IFERROR(SUMIFS('Base bordo'!G$2:G$746,'Base bordo'!C$2:C$746,A472,'Base bordo'!B$2:B$746,B472,'Base bordo'!F$2:F$746,"MAN CORRETIVA - MECANICA"),0)</f>
        <v>0</v>
      </c>
      <c r="L472" s="10">
        <f>IFERROR(SUMIFS('Base bordo'!G$2:G$746,'Base bordo'!C$2:C$746,A472,'Base bordo'!B$2:B$746,B472,'Base bordo'!F$2:F$746,"MANUTENCAO - T O"),0)+IFERROR(SUMIFS('Base bordo'!G$2:G$746,'Base bordo'!C$2:C$746,A472,'Base bordo'!B$2:B$746,B472,'Base bordo'!F$2:F$746,"MANUTENCAO BORRACHARIA"),0)+IFERROR(SUMIFS('Base bordo'!G$2:G$746,'Base bordo'!C$2:C$746,A472,'Base bordo'!B$2:B$746,B472,'Base bordo'!F$2:F$746,"MANUTENCAO EXTERNA  CONCESSIONARIA"),0)+IFERROR(SUMIFS('Base bordo'!G$2:G$746,'Base bordo'!C$2:C$746,A472,'Base bordo'!B$2:B$746,B472,'Base bordo'!F$2:F$746,"MANUTENCAO TELEMETRIA"),0)</f>
        <v>0</v>
      </c>
      <c r="M472" s="10">
        <f>IFERROR(SUMIFS('Base bordo'!G$2:G$746,'Base bordo'!C$2:C$746,A472,'Base bordo'!B$2:B$746,B472,'Base bordo'!F$2:F$746,"AGUARDANDO MANUTENCAO"),0)</f>
        <v>0</v>
      </c>
      <c r="N472" s="10">
        <f>IFERROR(SUMIFS('Base bordo'!G$2:G$746,'Base bordo'!C$2:C$746,A472,'Base bordo'!B$2:B$746,B472,'Base bordo'!F$2:F$746,"SEM APONTAMENTO"),0)</f>
        <v>0.28888888888888886</v>
      </c>
      <c r="O472" s="10">
        <f t="shared" si="54"/>
        <v>2.5647222222222226</v>
      </c>
      <c r="P472" s="10">
        <f>IFERROR(SUMIFS('Base bordo'!G$2:G$746,'Base bordo'!C$2:C$746,A472,'Base bordo'!B$2:B$746,B472),0)</f>
        <v>24</v>
      </c>
      <c r="Q472" s="10">
        <f>IFERROR(SUMIFS('Base bordo'!H$2:H$746,'Base bordo'!C$2:C$746,A472,'Base bordo'!B$2:B$746,B472,'Base bordo'!F$2:F$746,"DESLOCAMENTO VAZIO"),0)</f>
        <v>187022.74</v>
      </c>
      <c r="R472" s="10">
        <f>IFERROR(SUMIFS('Base bordo'!I$2:I$746,'Base bordo'!C$2:C$746,A472,'Base bordo'!B$2:B$746,B472,'Base bordo'!F$2:F$746,"DESLOCAMENTO VAZIO"),0)</f>
        <v>5803</v>
      </c>
      <c r="S472" s="30">
        <f t="shared" si="55"/>
        <v>32.228630018955712</v>
      </c>
      <c r="T472" s="10">
        <f>IFERROR(SUMIFS('Base bordo'!H$2:H$746,'Base bordo'!C$2:C$746,A472,'Base bordo'!B$2:B$746,B472,'Base bordo'!F$2:F$746,"DESLOCAMENTO CARREGADO"),0)</f>
        <v>411676.06999999995</v>
      </c>
      <c r="U472" s="10">
        <f>IFERROR(SUMIFS('Base bordo'!I$2:I$746,'Base bordo'!C$2:C$746,A472,'Base bordo'!B$2:B$746,B472,'Base bordo'!F$2:F$746,"DESLOCAMENTO CARREGADO"),0)</f>
        <v>14242</v>
      </c>
      <c r="V472" s="30">
        <f t="shared" si="56"/>
        <v>28.905776576323547</v>
      </c>
      <c r="W472" s="9">
        <f t="shared" si="57"/>
        <v>6.716435185185185E-2</v>
      </c>
      <c r="X472" s="9">
        <f t="shared" si="58"/>
        <v>0.16520833333333332</v>
      </c>
      <c r="Y472" s="9">
        <f t="shared" si="59"/>
        <v>0.76762731481481483</v>
      </c>
    </row>
    <row r="473" spans="1:25" ht="15" customHeight="1" x14ac:dyDescent="0.35">
      <c r="A473" s="52">
        <v>8013476</v>
      </c>
      <c r="B473" s="51">
        <v>46118</v>
      </c>
      <c r="C473" s="7" t="s">
        <v>124</v>
      </c>
      <c r="D473" s="10">
        <f>IFERROR(SUMIFS('Base bordo'!G$2:G$746,'Base bordo'!C$2:C$746,A473,'Base bordo'!B$2:B$746,B473,'Base bordo'!F$2:F$746,"DESLOCAMENTO VAZIO"),0)</f>
        <v>0.76361111111111113</v>
      </c>
      <c r="E473" s="10">
        <f>IFERROR(SUMIFS('Base bordo'!G$2:G$746,'Base bordo'!C$2:C$746,A473,'Base bordo'!B$2:B$746,B473,'Base bordo'!F$2:F$746,"DESLOCAMENTO CARREGADO"),0)</f>
        <v>0.6594444444444445</v>
      </c>
      <c r="F473" s="10">
        <f>IFERROR(SUMIFS('Base bordo'!G$2:G$746,'Base bordo'!C$2:C$746,A473,'Base bordo'!B$2:B$746,B473,'Base bordo'!F$2:F$746,"DESLOCAMENTO"),0)</f>
        <v>0</v>
      </c>
      <c r="G473" s="10">
        <f>IFERROR(SUMIFS('Base bordo'!G$2:G$746,'Base bordo'!C$2:C$746,A473,'Base bordo'!B$2:B$746,B473,'Base bordo'!F$2:F$746,"CARREGAMENTO"),0)</f>
        <v>0</v>
      </c>
      <c r="H473" s="10">
        <f>IFERROR(SUMIFS('Base bordo'!G$2:G$746,'Base bordo'!C$2:C$746,A473,'Base bordo'!B$2:B$746,B473,'Base bordo'!F$2:F$746,"AGUARDANDO TRANSBORDO"),0)</f>
        <v>1.1111111111111112</v>
      </c>
      <c r="I473" s="10">
        <f>IFERROR(SUMIFS('Base bordo'!G$2:G$746,'Base bordo'!C$2:C$746,A473,'Base bordo'!B$2:B$746,B473,'Base bordo'!F$2:F$746,"PÁTIO INTERNO"),0)+IFERROR(SUMIFS('Base bordo'!G$2:G$746,'Base bordo'!C$2:C$746,A473,'Base bordo'!B$2:B$746,B473,'Base bordo'!F$2:F$746,"PÁTIO EXTERNO"),0)+IFERROR(SUMIFS('Base bordo'!G$2:G$746,'Base bordo'!C$2:C$746,A473,'Base bordo'!B$2:B$746,B473,'Base bordo'!F$2:F$746,"PATIO - RESERVA"),0)+IFERROR(SUMIFS('Base bordo'!G$2:G$746,'Base bordo'!C$2:C$746,A473,'Base bordo'!B$2:B$746,B473,'Base bordo'!F$2:F$746,"MANOBRA CARRETAS-PATIO"),0)</f>
        <v>5.693888888888889</v>
      </c>
      <c r="J473" s="10">
        <f>IFERROR(SUMIFS('Base bordo'!G$2:G$746,'Base bordo'!C$2:C$746,A473,'Base bordo'!B$2:B$746,B473,'Base bordo'!F$2:F$746,"BALANÇA - ENTRADA"),0)+IFERROR(SUMIFS('Base bordo'!G$2:G$746,'Base bordo'!C$2:C$746,A473,'Base bordo'!B$2:B$746,B473,'Base bordo'!F$2:F$746,"BALANÇA - SAÍDA"),0)</f>
        <v>0.11305555555555555</v>
      </c>
      <c r="K473" s="10">
        <f>IFERROR(SUMIFS('Base bordo'!G$2:G$746,'Base bordo'!C$2:C$746,A473,'Base bordo'!B$2:B$746,B473,'Base bordo'!F$2:F$746,"MAN PREVENTIVA - MECANICA"),0)+IFERROR(SUMIFS('Base bordo'!G$2:G$746,'Base bordo'!C$2:C$746,A473,'Base bordo'!B$2:B$746,B473,'Base bordo'!F$2:F$746,"MAN CORRETIVA - MECANICA"),0)</f>
        <v>0</v>
      </c>
      <c r="L473" s="10">
        <f>IFERROR(SUMIFS('Base bordo'!G$2:G$746,'Base bordo'!C$2:C$746,A473,'Base bordo'!B$2:B$746,B473,'Base bordo'!F$2:F$746,"MANUTENCAO - T O"),0)+IFERROR(SUMIFS('Base bordo'!G$2:G$746,'Base bordo'!C$2:C$746,A473,'Base bordo'!B$2:B$746,B473,'Base bordo'!F$2:F$746,"MANUTENCAO BORRACHARIA"),0)+IFERROR(SUMIFS('Base bordo'!G$2:G$746,'Base bordo'!C$2:C$746,A473,'Base bordo'!B$2:B$746,B473,'Base bordo'!F$2:F$746,"MANUTENCAO EXTERNA  CONCESSIONARIA"),0)+IFERROR(SUMIFS('Base bordo'!G$2:G$746,'Base bordo'!C$2:C$746,A473,'Base bordo'!B$2:B$746,B473,'Base bordo'!F$2:F$746,"MANUTENCAO TELEMETRIA"),0)</f>
        <v>2.7313888888888891</v>
      </c>
      <c r="M473" s="10">
        <f>IFERROR(SUMIFS('Base bordo'!G$2:G$746,'Base bordo'!C$2:C$746,A473,'Base bordo'!B$2:B$746,B473,'Base bordo'!F$2:F$746,"AGUARDANDO MANUTENCAO"),0)</f>
        <v>0</v>
      </c>
      <c r="N473" s="10">
        <f>IFERROR(SUMIFS('Base bordo'!G$2:G$746,'Base bordo'!C$2:C$746,A473,'Base bordo'!B$2:B$746,B473,'Base bordo'!F$2:F$746,"SEM APONTAMENTO"),0)</f>
        <v>0</v>
      </c>
      <c r="O473" s="10">
        <f t="shared" si="54"/>
        <v>0</v>
      </c>
      <c r="P473" s="10">
        <f>IFERROR(SUMIFS('Base bordo'!G$2:G$746,'Base bordo'!C$2:C$746,A473,'Base bordo'!B$2:B$746,B473),0)</f>
        <v>11.072500000000002</v>
      </c>
      <c r="Q473" s="10">
        <f>IFERROR(SUMIFS('Base bordo'!H$2:H$746,'Base bordo'!C$2:C$746,A473,'Base bordo'!B$2:B$746,B473,'Base bordo'!F$2:F$746,"DESLOCAMENTO VAZIO"),0)</f>
        <v>69562.86</v>
      </c>
      <c r="R473" s="10">
        <f>IFERROR(SUMIFS('Base bordo'!I$2:I$746,'Base bordo'!C$2:C$746,A473,'Base bordo'!B$2:B$746,B473,'Base bordo'!F$2:F$746,"DESLOCAMENTO VAZIO"),0)</f>
        <v>2749</v>
      </c>
      <c r="S473" s="30">
        <f t="shared" si="55"/>
        <v>25.30478719534376</v>
      </c>
      <c r="T473" s="10">
        <f>IFERROR(SUMIFS('Base bordo'!H$2:H$746,'Base bordo'!C$2:C$746,A473,'Base bordo'!B$2:B$746,B473,'Base bordo'!F$2:F$746,"DESLOCAMENTO CARREGADO"),0)</f>
        <v>60370.82</v>
      </c>
      <c r="U473" s="10">
        <f>IFERROR(SUMIFS('Base bordo'!I$2:I$746,'Base bordo'!C$2:C$746,A473,'Base bordo'!B$2:B$746,B473,'Base bordo'!F$2:F$746,"DESLOCAMENTO CARREGADO"),0)</f>
        <v>2374</v>
      </c>
      <c r="V473" s="30">
        <f t="shared" si="56"/>
        <v>25.43</v>
      </c>
      <c r="W473" s="9">
        <f t="shared" si="57"/>
        <v>6.8964652166277812E-2</v>
      </c>
      <c r="X473" s="9">
        <f t="shared" si="58"/>
        <v>5.955696043752038E-2</v>
      </c>
      <c r="Y473" s="9">
        <f t="shared" si="59"/>
        <v>0.87147838739620176</v>
      </c>
    </row>
    <row r="474" spans="1:25" ht="15" customHeight="1" x14ac:dyDescent="0.35">
      <c r="A474" s="52">
        <v>8013484</v>
      </c>
      <c r="B474" s="51">
        <v>46120</v>
      </c>
      <c r="C474" s="7" t="s">
        <v>124</v>
      </c>
      <c r="D474" s="10">
        <f>IFERROR(SUMIFS('Base bordo'!G$2:G$746,'Base bordo'!C$2:C$746,A474,'Base bordo'!B$2:B$746,B474,'Base bordo'!F$2:F$746,"DESLOCAMENTO VAZIO"),0)</f>
        <v>2.2777777777777779E-2</v>
      </c>
      <c r="E474" s="10">
        <f>IFERROR(SUMIFS('Base bordo'!G$2:G$746,'Base bordo'!C$2:C$746,A474,'Base bordo'!B$2:B$746,B474,'Base bordo'!F$2:F$746,"DESLOCAMENTO CARREGADO"),0)</f>
        <v>0.14916666666666667</v>
      </c>
      <c r="F474" s="10">
        <f>IFERROR(SUMIFS('Base bordo'!G$2:G$746,'Base bordo'!C$2:C$746,A474,'Base bordo'!B$2:B$746,B474,'Base bordo'!F$2:F$746,"DESLOCAMENTO"),0)</f>
        <v>0</v>
      </c>
      <c r="G474" s="10">
        <f>IFERROR(SUMIFS('Base bordo'!G$2:G$746,'Base bordo'!C$2:C$746,A474,'Base bordo'!B$2:B$746,B474,'Base bordo'!F$2:F$746,"CARREGAMENTO"),0)</f>
        <v>0</v>
      </c>
      <c r="H474" s="10">
        <f>IFERROR(SUMIFS('Base bordo'!G$2:G$746,'Base bordo'!C$2:C$746,A474,'Base bordo'!B$2:B$746,B474,'Base bordo'!F$2:F$746,"AGUARDANDO TRANSBORDO"),0)</f>
        <v>0.80249999999999999</v>
      </c>
      <c r="I474" s="10">
        <f>IFERROR(SUMIFS('Base bordo'!G$2:G$746,'Base bordo'!C$2:C$746,A474,'Base bordo'!B$2:B$746,B474,'Base bordo'!F$2:F$746,"PÁTIO INTERNO"),0)+IFERROR(SUMIFS('Base bordo'!G$2:G$746,'Base bordo'!C$2:C$746,A474,'Base bordo'!B$2:B$746,B474,'Base bordo'!F$2:F$746,"PÁTIO EXTERNO"),0)+IFERROR(SUMIFS('Base bordo'!G$2:G$746,'Base bordo'!C$2:C$746,A474,'Base bordo'!B$2:B$746,B474,'Base bordo'!F$2:F$746,"PATIO - RESERVA"),0)+IFERROR(SUMIFS('Base bordo'!G$2:G$746,'Base bordo'!C$2:C$746,A474,'Base bordo'!B$2:B$746,B474,'Base bordo'!F$2:F$746,"MANOBRA CARRETAS-PATIO"),0)</f>
        <v>0</v>
      </c>
      <c r="J474" s="10">
        <f>IFERROR(SUMIFS('Base bordo'!G$2:G$746,'Base bordo'!C$2:C$746,A474,'Base bordo'!B$2:B$746,B474,'Base bordo'!F$2:F$746,"BALANÇA - ENTRADA"),0)+IFERROR(SUMIFS('Base bordo'!G$2:G$746,'Base bordo'!C$2:C$746,A474,'Base bordo'!B$2:B$746,B474,'Base bordo'!F$2:F$746,"BALANÇA - SAÍDA"),0)</f>
        <v>0</v>
      </c>
      <c r="K474" s="10">
        <f>IFERROR(SUMIFS('Base bordo'!G$2:G$746,'Base bordo'!C$2:C$746,A474,'Base bordo'!B$2:B$746,B474,'Base bordo'!F$2:F$746,"MAN PREVENTIVA - MECANICA"),0)+IFERROR(SUMIFS('Base bordo'!G$2:G$746,'Base bordo'!C$2:C$746,A474,'Base bordo'!B$2:B$746,B474,'Base bordo'!F$2:F$746,"MAN CORRETIVA - MECANICA"),0)</f>
        <v>0</v>
      </c>
      <c r="L474" s="10">
        <f>IFERROR(SUMIFS('Base bordo'!G$2:G$746,'Base bordo'!C$2:C$746,A474,'Base bordo'!B$2:B$746,B474,'Base bordo'!F$2:F$746,"MANUTENCAO - T O"),0)+IFERROR(SUMIFS('Base bordo'!G$2:G$746,'Base bordo'!C$2:C$746,A474,'Base bordo'!B$2:B$746,B474,'Base bordo'!F$2:F$746,"MANUTENCAO BORRACHARIA"),0)+IFERROR(SUMIFS('Base bordo'!G$2:G$746,'Base bordo'!C$2:C$746,A474,'Base bordo'!B$2:B$746,B474,'Base bordo'!F$2:F$746,"MANUTENCAO EXTERNA  CONCESSIONARIA"),0)+IFERROR(SUMIFS('Base bordo'!G$2:G$746,'Base bordo'!C$2:C$746,A474,'Base bordo'!B$2:B$746,B474,'Base bordo'!F$2:F$746,"MANUTENCAO TELEMETRIA"),0)</f>
        <v>0</v>
      </c>
      <c r="M474" s="10">
        <f>IFERROR(SUMIFS('Base bordo'!G$2:G$746,'Base bordo'!C$2:C$746,A474,'Base bordo'!B$2:B$746,B474,'Base bordo'!F$2:F$746,"AGUARDANDO MANUTENCAO"),0)</f>
        <v>0</v>
      </c>
      <c r="N474" s="10">
        <f>IFERROR(SUMIFS('Base bordo'!G$2:G$746,'Base bordo'!C$2:C$746,A474,'Base bordo'!B$2:B$746,B474,'Base bordo'!F$2:F$746,"SEM APONTAMENTO"),0)</f>
        <v>0</v>
      </c>
      <c r="O474" s="10">
        <f t="shared" si="54"/>
        <v>0</v>
      </c>
      <c r="P474" s="10">
        <f>IFERROR(SUMIFS('Base bordo'!G$2:G$746,'Base bordo'!C$2:C$746,A474,'Base bordo'!B$2:B$746,B474),0)</f>
        <v>0.97444444444444445</v>
      </c>
      <c r="Q474" s="10">
        <f>IFERROR(SUMIFS('Base bordo'!H$2:H$746,'Base bordo'!C$2:C$746,A474,'Base bordo'!B$2:B$746,B474,'Base bordo'!F$2:F$746,"DESLOCAMENTO VAZIO"),0)</f>
        <v>1785.96</v>
      </c>
      <c r="R474" s="10">
        <f>IFERROR(SUMIFS('Base bordo'!I$2:I$746,'Base bordo'!C$2:C$746,A474,'Base bordo'!B$2:B$746,B474,'Base bordo'!F$2:F$746,"DESLOCAMENTO VAZIO"),0)</f>
        <v>82</v>
      </c>
      <c r="S474" s="30">
        <f t="shared" si="55"/>
        <v>21.78</v>
      </c>
      <c r="T474" s="10">
        <f>IFERROR(SUMIFS('Base bordo'!H$2:H$746,'Base bordo'!C$2:C$746,A474,'Base bordo'!B$2:B$746,B474,'Base bordo'!F$2:F$746,"DESLOCAMENTO CARREGADO"),0)</f>
        <v>5157.47</v>
      </c>
      <c r="U474" s="10">
        <f>IFERROR(SUMIFS('Base bordo'!I$2:I$746,'Base bordo'!C$2:C$746,A474,'Base bordo'!B$2:B$746,B474,'Base bordo'!F$2:F$746,"DESLOCAMENTO CARREGADO"),0)</f>
        <v>537</v>
      </c>
      <c r="V474" s="30">
        <f t="shared" si="56"/>
        <v>9.6042271880819374</v>
      </c>
      <c r="W474" s="9">
        <f t="shared" si="57"/>
        <v>2.3375142531356901E-2</v>
      </c>
      <c r="X474" s="9">
        <f t="shared" si="58"/>
        <v>0.15307867730900798</v>
      </c>
      <c r="Y474" s="9">
        <f t="shared" si="59"/>
        <v>0.8235461801596351</v>
      </c>
    </row>
    <row r="475" spans="1:25" ht="15" customHeight="1" x14ac:dyDescent="0.35">
      <c r="A475" s="52">
        <v>8013475</v>
      </c>
      <c r="B475" s="51">
        <v>46118</v>
      </c>
      <c r="C475" s="7" t="s">
        <v>124</v>
      </c>
      <c r="D475" s="10">
        <f>IFERROR(SUMIFS('Base bordo'!G$2:G$746,'Base bordo'!C$2:C$746,A475,'Base bordo'!B$2:B$746,B475,'Base bordo'!F$2:F$746,"DESLOCAMENTO VAZIO"),0)</f>
        <v>1.6019444444444444</v>
      </c>
      <c r="E475" s="10">
        <f>IFERROR(SUMIFS('Base bordo'!G$2:G$746,'Base bordo'!C$2:C$746,A475,'Base bordo'!B$2:B$746,B475,'Base bordo'!F$2:F$746,"DESLOCAMENTO CARREGADO"),0)</f>
        <v>2.0350000000000001</v>
      </c>
      <c r="F475" s="10">
        <f>IFERROR(SUMIFS('Base bordo'!G$2:G$746,'Base bordo'!C$2:C$746,A475,'Base bordo'!B$2:B$746,B475,'Base bordo'!F$2:F$746,"DESLOCAMENTO"),0)</f>
        <v>1.1069444444444445</v>
      </c>
      <c r="G475" s="10">
        <f>IFERROR(SUMIFS('Base bordo'!G$2:G$746,'Base bordo'!C$2:C$746,A475,'Base bordo'!B$2:B$746,B475,'Base bordo'!F$2:F$746,"CARREGAMENTO"),0)</f>
        <v>0</v>
      </c>
      <c r="H475" s="10">
        <f>IFERROR(SUMIFS('Base bordo'!G$2:G$746,'Base bordo'!C$2:C$746,A475,'Base bordo'!B$2:B$746,B475,'Base bordo'!F$2:F$746,"AGUARDANDO TRANSBORDO"),0)</f>
        <v>0.62972222222222218</v>
      </c>
      <c r="I475" s="10">
        <f>IFERROR(SUMIFS('Base bordo'!G$2:G$746,'Base bordo'!C$2:C$746,A475,'Base bordo'!B$2:B$746,B475,'Base bordo'!F$2:F$746,"PÁTIO INTERNO"),0)+IFERROR(SUMIFS('Base bordo'!G$2:G$746,'Base bordo'!C$2:C$746,A475,'Base bordo'!B$2:B$746,B475,'Base bordo'!F$2:F$746,"PÁTIO EXTERNO"),0)+IFERROR(SUMIFS('Base bordo'!G$2:G$746,'Base bordo'!C$2:C$746,A475,'Base bordo'!B$2:B$746,B475,'Base bordo'!F$2:F$746,"PATIO - RESERVA"),0)+IFERROR(SUMIFS('Base bordo'!G$2:G$746,'Base bordo'!C$2:C$746,A475,'Base bordo'!B$2:B$746,B475,'Base bordo'!F$2:F$746,"MANOBRA CARRETAS-PATIO"),0)</f>
        <v>16.014166666666668</v>
      </c>
      <c r="J475" s="10">
        <f>IFERROR(SUMIFS('Base bordo'!G$2:G$746,'Base bordo'!C$2:C$746,A475,'Base bordo'!B$2:B$746,B475,'Base bordo'!F$2:F$746,"BALANÇA - ENTRADA"),0)+IFERROR(SUMIFS('Base bordo'!G$2:G$746,'Base bordo'!C$2:C$746,A475,'Base bordo'!B$2:B$746,B475,'Base bordo'!F$2:F$746,"BALANÇA - SAÍDA"),0)</f>
        <v>4.8333333333333332E-2</v>
      </c>
      <c r="K475" s="10">
        <f>IFERROR(SUMIFS('Base bordo'!G$2:G$746,'Base bordo'!C$2:C$746,A475,'Base bordo'!B$2:B$746,B475,'Base bordo'!F$2:F$746,"MAN PREVENTIVA - MECANICA"),0)+IFERROR(SUMIFS('Base bordo'!G$2:G$746,'Base bordo'!C$2:C$746,A475,'Base bordo'!B$2:B$746,B475,'Base bordo'!F$2:F$746,"MAN CORRETIVA - MECANICA"),0)</f>
        <v>0</v>
      </c>
      <c r="L475" s="10">
        <f>IFERROR(SUMIFS('Base bordo'!G$2:G$746,'Base bordo'!C$2:C$746,A475,'Base bordo'!B$2:B$746,B475,'Base bordo'!F$2:F$746,"MANUTENCAO - T O"),0)+IFERROR(SUMIFS('Base bordo'!G$2:G$746,'Base bordo'!C$2:C$746,A475,'Base bordo'!B$2:B$746,B475,'Base bordo'!F$2:F$746,"MANUTENCAO BORRACHARIA"),0)+IFERROR(SUMIFS('Base bordo'!G$2:G$746,'Base bordo'!C$2:C$746,A475,'Base bordo'!B$2:B$746,B475,'Base bordo'!F$2:F$746,"MANUTENCAO EXTERNA  CONCESSIONARIA"),0)+IFERROR(SUMIFS('Base bordo'!G$2:G$746,'Base bordo'!C$2:C$746,A475,'Base bordo'!B$2:B$746,B475,'Base bordo'!F$2:F$746,"MANUTENCAO TELEMETRIA"),0)</f>
        <v>1.9430555555555555</v>
      </c>
      <c r="M475" s="10">
        <f>IFERROR(SUMIFS('Base bordo'!G$2:G$746,'Base bordo'!C$2:C$746,A475,'Base bordo'!B$2:B$746,B475,'Base bordo'!F$2:F$746,"AGUARDANDO MANUTENCAO"),0)</f>
        <v>0</v>
      </c>
      <c r="N475" s="10">
        <f>IFERROR(SUMIFS('Base bordo'!G$2:G$746,'Base bordo'!C$2:C$746,A475,'Base bordo'!B$2:B$746,B475,'Base bordo'!F$2:F$746,"SEM APONTAMENTO"),0)</f>
        <v>0</v>
      </c>
      <c r="O475" s="10">
        <f t="shared" si="54"/>
        <v>3.5527136788005009E-15</v>
      </c>
      <c r="P475" s="10">
        <f>IFERROR(SUMIFS('Base bordo'!G$2:G$746,'Base bordo'!C$2:C$746,A475,'Base bordo'!B$2:B$746,B475),0)</f>
        <v>23.37916666666667</v>
      </c>
      <c r="Q475" s="10">
        <f>IFERROR(SUMIFS('Base bordo'!H$2:H$746,'Base bordo'!C$2:C$746,A475,'Base bordo'!B$2:B$746,B475,'Base bordo'!F$2:F$746,"DESLOCAMENTO VAZIO"),0)</f>
        <v>173822.73</v>
      </c>
      <c r="R475" s="10">
        <f>IFERROR(SUMIFS('Base bordo'!I$2:I$746,'Base bordo'!C$2:C$746,A475,'Base bordo'!B$2:B$746,B475,'Base bordo'!F$2:F$746,"DESLOCAMENTO VAZIO"),0)</f>
        <v>5767</v>
      </c>
      <c r="S475" s="30">
        <f t="shared" si="55"/>
        <v>30.140927692040925</v>
      </c>
      <c r="T475" s="10">
        <f>IFERROR(SUMIFS('Base bordo'!H$2:H$746,'Base bordo'!C$2:C$746,A475,'Base bordo'!B$2:B$746,B475,'Base bordo'!F$2:F$746,"DESLOCAMENTO CARREGADO"),0)</f>
        <v>172046.47</v>
      </c>
      <c r="U475" s="10">
        <f>IFERROR(SUMIFS('Base bordo'!I$2:I$746,'Base bordo'!C$2:C$746,A475,'Base bordo'!B$2:B$746,B475,'Base bordo'!F$2:F$746,"DESLOCAMENTO CARREGADO"),0)</f>
        <v>7326</v>
      </c>
      <c r="V475" s="30">
        <f t="shared" si="56"/>
        <v>23.484366639366641</v>
      </c>
      <c r="W475" s="9">
        <f t="shared" si="57"/>
        <v>6.8520168716212193E-2</v>
      </c>
      <c r="X475" s="9">
        <f t="shared" si="58"/>
        <v>8.7043307788273031E-2</v>
      </c>
      <c r="Y475" s="9">
        <f t="shared" si="59"/>
        <v>0.84443652349551479</v>
      </c>
    </row>
    <row r="476" spans="1:25" ht="15" customHeight="1" x14ac:dyDescent="0.35">
      <c r="A476" s="52">
        <v>8013465</v>
      </c>
      <c r="B476" s="51">
        <v>46124</v>
      </c>
      <c r="C476" s="7" t="s">
        <v>124</v>
      </c>
      <c r="D476" s="10">
        <f>IFERROR(SUMIFS('Base bordo'!G$2:G$746,'Base bordo'!C$2:C$746,A476,'Base bordo'!B$2:B$746,B476,'Base bordo'!F$2:F$746,"DESLOCAMENTO VAZIO"),0)</f>
        <v>2.6761111111111111</v>
      </c>
      <c r="E476" s="10">
        <f>IFERROR(SUMIFS('Base bordo'!G$2:G$746,'Base bordo'!C$2:C$746,A476,'Base bordo'!B$2:B$746,B476,'Base bordo'!F$2:F$746,"DESLOCAMENTO CARREGADO"),0)</f>
        <v>5.5052777777777777</v>
      </c>
      <c r="F476" s="10">
        <f>IFERROR(SUMIFS('Base bordo'!G$2:G$746,'Base bordo'!C$2:C$746,A476,'Base bordo'!B$2:B$746,B476,'Base bordo'!F$2:F$746,"DESLOCAMENTO"),0)</f>
        <v>0</v>
      </c>
      <c r="G476" s="10">
        <f>IFERROR(SUMIFS('Base bordo'!G$2:G$746,'Base bordo'!C$2:C$746,A476,'Base bordo'!B$2:B$746,B476,'Base bordo'!F$2:F$746,"CARREGAMENTO"),0)</f>
        <v>0</v>
      </c>
      <c r="H476" s="10">
        <f>IFERROR(SUMIFS('Base bordo'!G$2:G$746,'Base bordo'!C$2:C$746,A476,'Base bordo'!B$2:B$746,B476,'Base bordo'!F$2:F$746,"AGUARDANDO TRANSBORDO"),0)</f>
        <v>0.45055555555555554</v>
      </c>
      <c r="I476" s="10">
        <f>IFERROR(SUMIFS('Base bordo'!G$2:G$746,'Base bordo'!C$2:C$746,A476,'Base bordo'!B$2:B$746,B476,'Base bordo'!F$2:F$746,"PÁTIO INTERNO"),0)+IFERROR(SUMIFS('Base bordo'!G$2:G$746,'Base bordo'!C$2:C$746,A476,'Base bordo'!B$2:B$746,B476,'Base bordo'!F$2:F$746,"PÁTIO EXTERNO"),0)+IFERROR(SUMIFS('Base bordo'!G$2:G$746,'Base bordo'!C$2:C$746,A476,'Base bordo'!B$2:B$746,B476,'Base bordo'!F$2:F$746,"PATIO - RESERVA"),0)+IFERROR(SUMIFS('Base bordo'!G$2:G$746,'Base bordo'!C$2:C$746,A476,'Base bordo'!B$2:B$746,B476,'Base bordo'!F$2:F$746,"MANOBRA CARRETAS-PATIO"),0)</f>
        <v>2.5047222222222221</v>
      </c>
      <c r="J476" s="10">
        <f>IFERROR(SUMIFS('Base bordo'!G$2:G$746,'Base bordo'!C$2:C$746,A476,'Base bordo'!B$2:B$746,B476,'Base bordo'!F$2:F$746,"BALANÇA - ENTRADA"),0)+IFERROR(SUMIFS('Base bordo'!G$2:G$746,'Base bordo'!C$2:C$746,A476,'Base bordo'!B$2:B$746,B476,'Base bordo'!F$2:F$746,"BALANÇA - SAÍDA"),0)</f>
        <v>0</v>
      </c>
      <c r="K476" s="10">
        <f>IFERROR(SUMIFS('Base bordo'!G$2:G$746,'Base bordo'!C$2:C$746,A476,'Base bordo'!B$2:B$746,B476,'Base bordo'!F$2:F$746,"MAN PREVENTIVA - MECANICA"),0)+IFERROR(SUMIFS('Base bordo'!G$2:G$746,'Base bordo'!C$2:C$746,A476,'Base bordo'!B$2:B$746,B476,'Base bordo'!F$2:F$746,"MAN CORRETIVA - MECANICA"),0)</f>
        <v>0</v>
      </c>
      <c r="L476" s="10">
        <f>IFERROR(SUMIFS('Base bordo'!G$2:G$746,'Base bordo'!C$2:C$746,A476,'Base bordo'!B$2:B$746,B476,'Base bordo'!F$2:F$746,"MANUTENCAO - T O"),0)+IFERROR(SUMIFS('Base bordo'!G$2:G$746,'Base bordo'!C$2:C$746,A476,'Base bordo'!B$2:B$746,B476,'Base bordo'!F$2:F$746,"MANUTENCAO BORRACHARIA"),0)+IFERROR(SUMIFS('Base bordo'!G$2:G$746,'Base bordo'!C$2:C$746,A476,'Base bordo'!B$2:B$746,B476,'Base bordo'!F$2:F$746,"MANUTENCAO EXTERNA  CONCESSIONARIA"),0)+IFERROR(SUMIFS('Base bordo'!G$2:G$746,'Base bordo'!C$2:C$746,A476,'Base bordo'!B$2:B$746,B476,'Base bordo'!F$2:F$746,"MANUTENCAO TELEMETRIA"),0)</f>
        <v>0</v>
      </c>
      <c r="M476" s="10">
        <f>IFERROR(SUMIFS('Base bordo'!G$2:G$746,'Base bordo'!C$2:C$746,A476,'Base bordo'!B$2:B$746,B476,'Base bordo'!F$2:F$746,"AGUARDANDO MANUTENCAO"),0)</f>
        <v>0</v>
      </c>
      <c r="N476" s="10">
        <f>IFERROR(SUMIFS('Base bordo'!G$2:G$746,'Base bordo'!C$2:C$746,A476,'Base bordo'!B$2:B$746,B476,'Base bordo'!F$2:F$746,"SEM APONTAMENTO"),0)</f>
        <v>0</v>
      </c>
      <c r="O476" s="10">
        <f t="shared" si="54"/>
        <v>2.1111111111110858E-2</v>
      </c>
      <c r="P476" s="10">
        <f>IFERROR(SUMIFS('Base bordo'!G$2:G$746,'Base bordo'!C$2:C$746,A476,'Base bordo'!B$2:B$746,B476),0)</f>
        <v>11.157777777777778</v>
      </c>
      <c r="Q476" s="10">
        <f>IFERROR(SUMIFS('Base bordo'!H$2:H$746,'Base bordo'!C$2:C$746,A476,'Base bordo'!B$2:B$746,B476,'Base bordo'!F$2:F$746,"DESLOCAMENTO VAZIO"),0)</f>
        <v>384446.33</v>
      </c>
      <c r="R476" s="10">
        <f>IFERROR(SUMIFS('Base bordo'!I$2:I$746,'Base bordo'!C$2:C$746,A476,'Base bordo'!B$2:B$746,B476,'Base bordo'!F$2:F$746,"DESLOCAMENTO VAZIO"),0)</f>
        <v>9634</v>
      </c>
      <c r="S476" s="30">
        <f t="shared" si="55"/>
        <v>39.905161926510274</v>
      </c>
      <c r="T476" s="10">
        <f>IFERROR(SUMIFS('Base bordo'!H$2:H$746,'Base bordo'!C$2:C$746,A476,'Base bordo'!B$2:B$746,B476,'Base bordo'!F$2:F$746,"DESLOCAMENTO CARREGADO"),0)</f>
        <v>426423.94999999995</v>
      </c>
      <c r="U476" s="10">
        <f>IFERROR(SUMIFS('Base bordo'!I$2:I$746,'Base bordo'!C$2:C$746,A476,'Base bordo'!B$2:B$746,B476,'Base bordo'!F$2:F$746,"DESLOCAMENTO CARREGADO"),0)</f>
        <v>19819</v>
      </c>
      <c r="V476" s="30">
        <f t="shared" si="56"/>
        <v>21.515916544729802</v>
      </c>
      <c r="W476" s="9">
        <f t="shared" si="57"/>
        <v>0.23984266082453695</v>
      </c>
      <c r="X476" s="9">
        <f t="shared" si="58"/>
        <v>0.49340270862378011</v>
      </c>
      <c r="Y476" s="9">
        <f t="shared" si="59"/>
        <v>0.2667546305516828</v>
      </c>
    </row>
    <row r="477" spans="1:25" ht="15" customHeight="1" x14ac:dyDescent="0.35">
      <c r="A477" s="52">
        <v>8013474</v>
      </c>
      <c r="B477" s="51">
        <v>46118</v>
      </c>
      <c r="C477" s="7" t="s">
        <v>124</v>
      </c>
      <c r="D477" s="10">
        <f>IFERROR(SUMIFS('Base bordo'!G$2:G$746,'Base bordo'!C$2:C$746,A477,'Base bordo'!B$2:B$746,B477,'Base bordo'!F$2:F$746,"DESLOCAMENTO VAZIO"),0)</f>
        <v>0.72111111111111115</v>
      </c>
      <c r="E477" s="10">
        <f>IFERROR(SUMIFS('Base bordo'!G$2:G$746,'Base bordo'!C$2:C$746,A477,'Base bordo'!B$2:B$746,B477,'Base bordo'!F$2:F$746,"DESLOCAMENTO CARREGADO"),0)</f>
        <v>0.97972222222222227</v>
      </c>
      <c r="F477" s="10">
        <f>IFERROR(SUMIFS('Base bordo'!G$2:G$746,'Base bordo'!C$2:C$746,A477,'Base bordo'!B$2:B$746,B477,'Base bordo'!F$2:F$746,"DESLOCAMENTO"),0)</f>
        <v>0</v>
      </c>
      <c r="G477" s="10">
        <f>IFERROR(SUMIFS('Base bordo'!G$2:G$746,'Base bordo'!C$2:C$746,A477,'Base bordo'!B$2:B$746,B477,'Base bordo'!F$2:F$746,"CARREGAMENTO"),0)</f>
        <v>0</v>
      </c>
      <c r="H477" s="10">
        <f>IFERROR(SUMIFS('Base bordo'!G$2:G$746,'Base bordo'!C$2:C$746,A477,'Base bordo'!B$2:B$746,B477,'Base bordo'!F$2:F$746,"AGUARDANDO TRANSBORDO"),0)</f>
        <v>0.20861111111111111</v>
      </c>
      <c r="I477" s="10">
        <f>IFERROR(SUMIFS('Base bordo'!G$2:G$746,'Base bordo'!C$2:C$746,A477,'Base bordo'!B$2:B$746,B477,'Base bordo'!F$2:F$746,"PÁTIO INTERNO"),0)+IFERROR(SUMIFS('Base bordo'!G$2:G$746,'Base bordo'!C$2:C$746,A477,'Base bordo'!B$2:B$746,B477,'Base bordo'!F$2:F$746,"PÁTIO EXTERNO"),0)+IFERROR(SUMIFS('Base bordo'!G$2:G$746,'Base bordo'!C$2:C$746,A477,'Base bordo'!B$2:B$746,B477,'Base bordo'!F$2:F$746,"PATIO - RESERVA"),0)+IFERROR(SUMIFS('Base bordo'!G$2:G$746,'Base bordo'!C$2:C$746,A477,'Base bordo'!B$2:B$746,B477,'Base bordo'!F$2:F$746,"MANOBRA CARRETAS-PATIO"),0)</f>
        <v>8.4474999999999998</v>
      </c>
      <c r="J477" s="10">
        <f>IFERROR(SUMIFS('Base bordo'!G$2:G$746,'Base bordo'!C$2:C$746,A477,'Base bordo'!B$2:B$746,B477,'Base bordo'!F$2:F$746,"BALANÇA - ENTRADA"),0)+IFERROR(SUMIFS('Base bordo'!G$2:G$746,'Base bordo'!C$2:C$746,A477,'Base bordo'!B$2:B$746,B477,'Base bordo'!F$2:F$746,"BALANÇA - SAÍDA"),0)</f>
        <v>6.3611111111111118E-2</v>
      </c>
      <c r="K477" s="10">
        <f>IFERROR(SUMIFS('Base bordo'!G$2:G$746,'Base bordo'!C$2:C$746,A477,'Base bordo'!B$2:B$746,B477,'Base bordo'!F$2:F$746,"MAN PREVENTIVA - MECANICA"),0)+IFERROR(SUMIFS('Base bordo'!G$2:G$746,'Base bordo'!C$2:C$746,A477,'Base bordo'!B$2:B$746,B477,'Base bordo'!F$2:F$746,"MAN CORRETIVA - MECANICA"),0)</f>
        <v>0</v>
      </c>
      <c r="L477" s="10">
        <f>IFERROR(SUMIFS('Base bordo'!G$2:G$746,'Base bordo'!C$2:C$746,A477,'Base bordo'!B$2:B$746,B477,'Base bordo'!F$2:F$746,"MANUTENCAO - T O"),0)+IFERROR(SUMIFS('Base bordo'!G$2:G$746,'Base bordo'!C$2:C$746,A477,'Base bordo'!B$2:B$746,B477,'Base bordo'!F$2:F$746,"MANUTENCAO BORRACHARIA"),0)+IFERROR(SUMIFS('Base bordo'!G$2:G$746,'Base bordo'!C$2:C$746,A477,'Base bordo'!B$2:B$746,B477,'Base bordo'!F$2:F$746,"MANUTENCAO EXTERNA  CONCESSIONARIA"),0)+IFERROR(SUMIFS('Base bordo'!G$2:G$746,'Base bordo'!C$2:C$746,A477,'Base bordo'!B$2:B$746,B477,'Base bordo'!F$2:F$746,"MANUTENCAO TELEMETRIA"),0)</f>
        <v>8.77</v>
      </c>
      <c r="M477" s="10">
        <f>IFERROR(SUMIFS('Base bordo'!G$2:G$746,'Base bordo'!C$2:C$746,A477,'Base bordo'!B$2:B$746,B477,'Base bordo'!F$2:F$746,"AGUARDANDO MANUTENCAO"),0)</f>
        <v>0</v>
      </c>
      <c r="N477" s="10">
        <f>IFERROR(SUMIFS('Base bordo'!G$2:G$746,'Base bordo'!C$2:C$746,A477,'Base bordo'!B$2:B$746,B477,'Base bordo'!F$2:F$746,"SEM APONTAMENTO"),0)</f>
        <v>0</v>
      </c>
      <c r="O477" s="10">
        <f t="shared" si="54"/>
        <v>0</v>
      </c>
      <c r="P477" s="10">
        <f>IFERROR(SUMIFS('Base bordo'!G$2:G$746,'Base bordo'!C$2:C$746,A477,'Base bordo'!B$2:B$746,B477),0)</f>
        <v>19.190555555555555</v>
      </c>
      <c r="Q477" s="10">
        <f>IFERROR(SUMIFS('Base bordo'!H$2:H$746,'Base bordo'!C$2:C$746,A477,'Base bordo'!B$2:B$746,B477,'Base bordo'!F$2:F$746,"DESLOCAMENTO VAZIO"),0)</f>
        <v>70252.17</v>
      </c>
      <c r="R477" s="10">
        <f>IFERROR(SUMIFS('Base bordo'!I$2:I$746,'Base bordo'!C$2:C$746,A477,'Base bordo'!B$2:B$746,B477,'Base bordo'!F$2:F$746,"DESLOCAMENTO VAZIO"),0)</f>
        <v>2596</v>
      </c>
      <c r="S477" s="30">
        <f t="shared" si="55"/>
        <v>27.061698767334359</v>
      </c>
      <c r="T477" s="10">
        <f>IFERROR(SUMIFS('Base bordo'!H$2:H$746,'Base bordo'!C$2:C$746,A477,'Base bordo'!B$2:B$746,B477,'Base bordo'!F$2:F$746,"DESLOCAMENTO CARREGADO"),0)</f>
        <v>68679.02</v>
      </c>
      <c r="U477" s="10">
        <f>IFERROR(SUMIFS('Base bordo'!I$2:I$746,'Base bordo'!C$2:C$746,A477,'Base bordo'!B$2:B$746,B477,'Base bordo'!F$2:F$746,"DESLOCAMENTO CARREGADO"),0)</f>
        <v>3527</v>
      </c>
      <c r="V477" s="30">
        <f t="shared" si="56"/>
        <v>19.472361780550045</v>
      </c>
      <c r="W477" s="9">
        <f t="shared" si="57"/>
        <v>3.7576354109370928E-2</v>
      </c>
      <c r="X477" s="9">
        <f t="shared" si="58"/>
        <v>5.1052311611614512E-2</v>
      </c>
      <c r="Y477" s="9">
        <f t="shared" si="59"/>
        <v>0.91137133427901451</v>
      </c>
    </row>
    <row r="478" spans="1:25" ht="15" customHeight="1" x14ac:dyDescent="0.35">
      <c r="A478" s="52">
        <v>8013473</v>
      </c>
      <c r="B478" s="51">
        <v>46118</v>
      </c>
      <c r="C478" s="7" t="s">
        <v>124</v>
      </c>
      <c r="D478" s="10">
        <f>IFERROR(SUMIFS('Base bordo'!G$2:G$746,'Base bordo'!C$2:C$746,A478,'Base bordo'!B$2:B$746,B478,'Base bordo'!F$2:F$746,"DESLOCAMENTO VAZIO"),0)</f>
        <v>1.5997222222222223</v>
      </c>
      <c r="E478" s="10">
        <f>IFERROR(SUMIFS('Base bordo'!G$2:G$746,'Base bordo'!C$2:C$746,A478,'Base bordo'!B$2:B$746,B478,'Base bordo'!F$2:F$746,"DESLOCAMENTO CARREGADO"),0)</f>
        <v>3.9169444444444443</v>
      </c>
      <c r="F478" s="10">
        <f>IFERROR(SUMIFS('Base bordo'!G$2:G$746,'Base bordo'!C$2:C$746,A478,'Base bordo'!B$2:B$746,B478,'Base bordo'!F$2:F$746,"DESLOCAMENTO"),0)</f>
        <v>0</v>
      </c>
      <c r="G478" s="10">
        <f>IFERROR(SUMIFS('Base bordo'!G$2:G$746,'Base bordo'!C$2:C$746,A478,'Base bordo'!B$2:B$746,B478,'Base bordo'!F$2:F$746,"CARREGAMENTO"),0)</f>
        <v>0</v>
      </c>
      <c r="H478" s="10">
        <f>IFERROR(SUMIFS('Base bordo'!G$2:G$746,'Base bordo'!C$2:C$746,A478,'Base bordo'!B$2:B$746,B478,'Base bordo'!F$2:F$746,"AGUARDANDO TRANSBORDO"),0)</f>
        <v>0.18527777777777779</v>
      </c>
      <c r="I478" s="10">
        <f>IFERROR(SUMIFS('Base bordo'!G$2:G$746,'Base bordo'!C$2:C$746,A478,'Base bordo'!B$2:B$746,B478,'Base bordo'!F$2:F$746,"PÁTIO INTERNO"),0)+IFERROR(SUMIFS('Base bordo'!G$2:G$746,'Base bordo'!C$2:C$746,A478,'Base bordo'!B$2:B$746,B478,'Base bordo'!F$2:F$746,"PÁTIO EXTERNO"),0)+IFERROR(SUMIFS('Base bordo'!G$2:G$746,'Base bordo'!C$2:C$746,A478,'Base bordo'!B$2:B$746,B478,'Base bordo'!F$2:F$746,"PATIO - RESERVA"),0)+IFERROR(SUMIFS('Base bordo'!G$2:G$746,'Base bordo'!C$2:C$746,A478,'Base bordo'!B$2:B$746,B478,'Base bordo'!F$2:F$746,"MANOBRA CARRETAS-PATIO"),0)</f>
        <v>10.403611111111111</v>
      </c>
      <c r="J478" s="10">
        <f>IFERROR(SUMIFS('Base bordo'!G$2:G$746,'Base bordo'!C$2:C$746,A478,'Base bordo'!B$2:B$746,B478,'Base bordo'!F$2:F$746,"BALANÇA - ENTRADA"),0)+IFERROR(SUMIFS('Base bordo'!G$2:G$746,'Base bordo'!C$2:C$746,A478,'Base bordo'!B$2:B$746,B478,'Base bordo'!F$2:F$746,"BALANÇA - SAÍDA"),0)</f>
        <v>5.8055555555555555E-2</v>
      </c>
      <c r="K478" s="10">
        <f>IFERROR(SUMIFS('Base bordo'!G$2:G$746,'Base bordo'!C$2:C$746,A478,'Base bordo'!B$2:B$746,B478,'Base bordo'!F$2:F$746,"MAN PREVENTIVA - MECANICA"),0)+IFERROR(SUMIFS('Base bordo'!G$2:G$746,'Base bordo'!C$2:C$746,A478,'Base bordo'!B$2:B$746,B478,'Base bordo'!F$2:F$746,"MAN CORRETIVA - MECANICA"),0)</f>
        <v>0</v>
      </c>
      <c r="L478" s="10">
        <f>IFERROR(SUMIFS('Base bordo'!G$2:G$746,'Base bordo'!C$2:C$746,A478,'Base bordo'!B$2:B$746,B478,'Base bordo'!F$2:F$746,"MANUTENCAO - T O"),0)+IFERROR(SUMIFS('Base bordo'!G$2:G$746,'Base bordo'!C$2:C$746,A478,'Base bordo'!B$2:B$746,B478,'Base bordo'!F$2:F$746,"MANUTENCAO BORRACHARIA"),0)+IFERROR(SUMIFS('Base bordo'!G$2:G$746,'Base bordo'!C$2:C$746,A478,'Base bordo'!B$2:B$746,B478,'Base bordo'!F$2:F$746,"MANUTENCAO EXTERNA  CONCESSIONARIA"),0)+IFERROR(SUMIFS('Base bordo'!G$2:G$746,'Base bordo'!C$2:C$746,A478,'Base bordo'!B$2:B$746,B478,'Base bordo'!F$2:F$746,"MANUTENCAO TELEMETRIA"),0)</f>
        <v>0</v>
      </c>
      <c r="M478" s="10">
        <f>IFERROR(SUMIFS('Base bordo'!G$2:G$746,'Base bordo'!C$2:C$746,A478,'Base bordo'!B$2:B$746,B478,'Base bordo'!F$2:F$746,"AGUARDANDO MANUTENCAO"),0)</f>
        <v>0</v>
      </c>
      <c r="N478" s="10">
        <f>IFERROR(SUMIFS('Base bordo'!G$2:G$746,'Base bordo'!C$2:C$746,A478,'Base bordo'!B$2:B$746,B478,'Base bordo'!F$2:F$746,"SEM APONTAMENTO"),0)</f>
        <v>0</v>
      </c>
      <c r="O478" s="10">
        <f t="shared" si="54"/>
        <v>3.5527136788005009E-15</v>
      </c>
      <c r="P478" s="10">
        <f>IFERROR(SUMIFS('Base bordo'!G$2:G$746,'Base bordo'!C$2:C$746,A478,'Base bordo'!B$2:B$746,B478),0)</f>
        <v>16.163611111111113</v>
      </c>
      <c r="Q478" s="10">
        <f>IFERROR(SUMIFS('Base bordo'!H$2:H$746,'Base bordo'!C$2:C$746,A478,'Base bordo'!B$2:B$746,B478,'Base bordo'!F$2:F$746,"DESLOCAMENTO VAZIO"),0)</f>
        <v>187793.3</v>
      </c>
      <c r="R478" s="10">
        <f>IFERROR(SUMIFS('Base bordo'!I$2:I$746,'Base bordo'!C$2:C$746,A478,'Base bordo'!B$2:B$746,B478,'Base bordo'!F$2:F$746,"DESLOCAMENTO VAZIO"),0)</f>
        <v>5759</v>
      </c>
      <c r="S478" s="30">
        <f t="shared" si="55"/>
        <v>32.608664698732419</v>
      </c>
      <c r="T478" s="10">
        <f>IFERROR(SUMIFS('Base bordo'!H$2:H$746,'Base bordo'!C$2:C$746,A478,'Base bordo'!B$2:B$746,B478,'Base bordo'!F$2:F$746,"DESLOCAMENTO CARREGADO"),0)</f>
        <v>380848.11</v>
      </c>
      <c r="U478" s="10">
        <f>IFERROR(SUMIFS('Base bordo'!I$2:I$746,'Base bordo'!C$2:C$746,A478,'Base bordo'!B$2:B$746,B478,'Base bordo'!F$2:F$746,"DESLOCAMENTO CARREGADO"),0)</f>
        <v>14101</v>
      </c>
      <c r="V478" s="30">
        <f t="shared" si="56"/>
        <v>27.008588752570738</v>
      </c>
      <c r="W478" s="9">
        <f t="shared" si="57"/>
        <v>9.8970595817078816E-2</v>
      </c>
      <c r="X478" s="9">
        <f t="shared" si="58"/>
        <v>0.24233102476413065</v>
      </c>
      <c r="Y478" s="9">
        <f t="shared" si="59"/>
        <v>0.6586983794187905</v>
      </c>
    </row>
    <row r="479" spans="1:25" ht="15" customHeight="1" x14ac:dyDescent="0.35">
      <c r="A479" s="52">
        <v>8013462</v>
      </c>
      <c r="B479" s="51">
        <v>46118</v>
      </c>
      <c r="C479" s="7" t="s">
        <v>124</v>
      </c>
      <c r="D479" s="10">
        <f>IFERROR(SUMIFS('Base bordo'!G$2:G$746,'Base bordo'!C$2:C$746,A479,'Base bordo'!B$2:B$746,B479,'Base bordo'!F$2:F$746,"DESLOCAMENTO VAZIO"),0)</f>
        <v>2.9716666666666667</v>
      </c>
      <c r="E479" s="10">
        <f>IFERROR(SUMIFS('Base bordo'!G$2:G$746,'Base bordo'!C$2:C$746,A479,'Base bordo'!B$2:B$746,B479,'Base bordo'!F$2:F$746,"DESLOCAMENTO CARREGADO"),0)</f>
        <v>3.6794444444444445</v>
      </c>
      <c r="F479" s="10">
        <f>IFERROR(SUMIFS('Base bordo'!G$2:G$746,'Base bordo'!C$2:C$746,A479,'Base bordo'!B$2:B$746,B479,'Base bordo'!F$2:F$746,"DESLOCAMENTO"),0)</f>
        <v>0.29694444444444446</v>
      </c>
      <c r="G479" s="10">
        <f>IFERROR(SUMIFS('Base bordo'!G$2:G$746,'Base bordo'!C$2:C$746,A479,'Base bordo'!B$2:B$746,B479,'Base bordo'!F$2:F$746,"CARREGAMENTO"),0)</f>
        <v>0.64583333333333337</v>
      </c>
      <c r="H479" s="10">
        <f>IFERROR(SUMIFS('Base bordo'!G$2:G$746,'Base bordo'!C$2:C$746,A479,'Base bordo'!B$2:B$746,B479,'Base bordo'!F$2:F$746,"AGUARDANDO TRANSBORDO"),0)</f>
        <v>9.6666666666666665E-2</v>
      </c>
      <c r="I479" s="10">
        <f>IFERROR(SUMIFS('Base bordo'!G$2:G$746,'Base bordo'!C$2:C$746,A479,'Base bordo'!B$2:B$746,B479,'Base bordo'!F$2:F$746,"PÁTIO INTERNO"),0)+IFERROR(SUMIFS('Base bordo'!G$2:G$746,'Base bordo'!C$2:C$746,A479,'Base bordo'!B$2:B$746,B479,'Base bordo'!F$2:F$746,"PÁTIO EXTERNO"),0)+IFERROR(SUMIFS('Base bordo'!G$2:G$746,'Base bordo'!C$2:C$746,A479,'Base bordo'!B$2:B$746,B479,'Base bordo'!F$2:F$746,"PATIO - RESERVA"),0)+IFERROR(SUMIFS('Base bordo'!G$2:G$746,'Base bordo'!C$2:C$746,A479,'Base bordo'!B$2:B$746,B479,'Base bordo'!F$2:F$746,"MANOBRA CARRETAS-PATIO"),0)</f>
        <v>9.5841666666666665</v>
      </c>
      <c r="J479" s="10">
        <f>IFERROR(SUMIFS('Base bordo'!G$2:G$746,'Base bordo'!C$2:C$746,A479,'Base bordo'!B$2:B$746,B479,'Base bordo'!F$2:F$746,"BALANÇA - ENTRADA"),0)+IFERROR(SUMIFS('Base bordo'!G$2:G$746,'Base bordo'!C$2:C$746,A479,'Base bordo'!B$2:B$746,B479,'Base bordo'!F$2:F$746,"BALANÇA - SAÍDA"),0)</f>
        <v>4.1944444444444444E-2</v>
      </c>
      <c r="K479" s="10">
        <f>IFERROR(SUMIFS('Base bordo'!G$2:G$746,'Base bordo'!C$2:C$746,A479,'Base bordo'!B$2:B$746,B479,'Base bordo'!F$2:F$746,"MAN PREVENTIVA - MECANICA"),0)+IFERROR(SUMIFS('Base bordo'!G$2:G$746,'Base bordo'!C$2:C$746,A479,'Base bordo'!B$2:B$746,B479,'Base bordo'!F$2:F$746,"MAN CORRETIVA - MECANICA"),0)</f>
        <v>0</v>
      </c>
      <c r="L479" s="10">
        <f>IFERROR(SUMIFS('Base bordo'!G$2:G$746,'Base bordo'!C$2:C$746,A479,'Base bordo'!B$2:B$746,B479,'Base bordo'!F$2:F$746,"MANUTENCAO - T O"),0)+IFERROR(SUMIFS('Base bordo'!G$2:G$746,'Base bordo'!C$2:C$746,A479,'Base bordo'!B$2:B$746,B479,'Base bordo'!F$2:F$746,"MANUTENCAO BORRACHARIA"),0)+IFERROR(SUMIFS('Base bordo'!G$2:G$746,'Base bordo'!C$2:C$746,A479,'Base bordo'!B$2:B$746,B479,'Base bordo'!F$2:F$746,"MANUTENCAO EXTERNA  CONCESSIONARIA"),0)+IFERROR(SUMIFS('Base bordo'!G$2:G$746,'Base bordo'!C$2:C$746,A479,'Base bordo'!B$2:B$746,B479,'Base bordo'!F$2:F$746,"MANUTENCAO TELEMETRIA"),0)</f>
        <v>1.6502777777777777</v>
      </c>
      <c r="M479" s="10">
        <f>IFERROR(SUMIFS('Base bordo'!G$2:G$746,'Base bordo'!C$2:C$746,A479,'Base bordo'!B$2:B$746,B479,'Base bordo'!F$2:F$746,"AGUARDANDO MANUTENCAO"),0)</f>
        <v>3.7263888888888888</v>
      </c>
      <c r="N479" s="10">
        <f>IFERROR(SUMIFS('Base bordo'!G$2:G$746,'Base bordo'!C$2:C$746,A479,'Base bordo'!B$2:B$746,B479,'Base bordo'!F$2:F$746,"SEM APONTAMENTO"),0)</f>
        <v>0</v>
      </c>
      <c r="O479" s="10">
        <f t="shared" si="54"/>
        <v>1.3066666666666684</v>
      </c>
      <c r="P479" s="10">
        <f>IFERROR(SUMIFS('Base bordo'!G$2:G$746,'Base bordo'!C$2:C$746,A479,'Base bordo'!B$2:B$746,B479),0)</f>
        <v>24</v>
      </c>
      <c r="Q479" s="10">
        <f>IFERROR(SUMIFS('Base bordo'!H$2:H$746,'Base bordo'!C$2:C$746,A479,'Base bordo'!B$2:B$746,B479,'Base bordo'!F$2:F$746,"DESLOCAMENTO VAZIO"),0)</f>
        <v>362928.54000000004</v>
      </c>
      <c r="R479" s="10">
        <f>IFERROR(SUMIFS('Base bordo'!I$2:I$746,'Base bordo'!C$2:C$746,A479,'Base bordo'!B$2:B$746,B479,'Base bordo'!F$2:F$746,"DESLOCAMENTO VAZIO"),0)</f>
        <v>10698</v>
      </c>
      <c r="S479" s="30">
        <f t="shared" si="55"/>
        <v>33.924896242288284</v>
      </c>
      <c r="T479" s="10">
        <f>IFERROR(SUMIFS('Base bordo'!H$2:H$746,'Base bordo'!C$2:C$746,A479,'Base bordo'!B$2:B$746,B479,'Base bordo'!F$2:F$746,"DESLOCAMENTO CARREGADO"),0)</f>
        <v>342744.39</v>
      </c>
      <c r="U479" s="10">
        <f>IFERROR(SUMIFS('Base bordo'!I$2:I$746,'Base bordo'!C$2:C$746,A479,'Base bordo'!B$2:B$746,B479,'Base bordo'!F$2:F$746,"DESLOCAMENTO CARREGADO"),0)</f>
        <v>13234</v>
      </c>
      <c r="V479" s="30">
        <f t="shared" si="56"/>
        <v>25.89877512467886</v>
      </c>
      <c r="W479" s="9">
        <f t="shared" si="57"/>
        <v>0.12381944444444444</v>
      </c>
      <c r="X479" s="9">
        <f t="shared" si="58"/>
        <v>0.15331018518518519</v>
      </c>
      <c r="Y479" s="9">
        <f t="shared" si="59"/>
        <v>0.72287037037037027</v>
      </c>
    </row>
    <row r="480" spans="1:25" ht="15" customHeight="1" x14ac:dyDescent="0.35">
      <c r="A480" s="52">
        <v>8013476</v>
      </c>
      <c r="B480" s="51">
        <v>46118</v>
      </c>
      <c r="C480" s="7" t="s">
        <v>124</v>
      </c>
      <c r="D480" s="10">
        <f>IFERROR(SUMIFS('Base bordo'!G$2:G$746,'Base bordo'!C$2:C$746,A480,'Base bordo'!B$2:B$746,B480,'Base bordo'!F$2:F$746,"DESLOCAMENTO VAZIO"),0)</f>
        <v>0.76361111111111113</v>
      </c>
      <c r="E480" s="10">
        <f>IFERROR(SUMIFS('Base bordo'!G$2:G$746,'Base bordo'!C$2:C$746,A480,'Base bordo'!B$2:B$746,B480,'Base bordo'!F$2:F$746,"DESLOCAMENTO CARREGADO"),0)</f>
        <v>0.6594444444444445</v>
      </c>
      <c r="F480" s="10">
        <f>IFERROR(SUMIFS('Base bordo'!G$2:G$746,'Base bordo'!C$2:C$746,A480,'Base bordo'!B$2:B$746,B480,'Base bordo'!F$2:F$746,"DESLOCAMENTO"),0)</f>
        <v>0</v>
      </c>
      <c r="G480" s="10">
        <f>IFERROR(SUMIFS('Base bordo'!G$2:G$746,'Base bordo'!C$2:C$746,A480,'Base bordo'!B$2:B$746,B480,'Base bordo'!F$2:F$746,"CARREGAMENTO"),0)</f>
        <v>0</v>
      </c>
      <c r="H480" s="10">
        <f>IFERROR(SUMIFS('Base bordo'!G$2:G$746,'Base bordo'!C$2:C$746,A480,'Base bordo'!B$2:B$746,B480,'Base bordo'!F$2:F$746,"AGUARDANDO TRANSBORDO"),0)</f>
        <v>1.1111111111111112</v>
      </c>
      <c r="I480" s="10">
        <f>IFERROR(SUMIFS('Base bordo'!G$2:G$746,'Base bordo'!C$2:C$746,A480,'Base bordo'!B$2:B$746,B480,'Base bordo'!F$2:F$746,"PÁTIO INTERNO"),0)+IFERROR(SUMIFS('Base bordo'!G$2:G$746,'Base bordo'!C$2:C$746,A480,'Base bordo'!B$2:B$746,B480,'Base bordo'!F$2:F$746,"PÁTIO EXTERNO"),0)+IFERROR(SUMIFS('Base bordo'!G$2:G$746,'Base bordo'!C$2:C$746,A480,'Base bordo'!B$2:B$746,B480,'Base bordo'!F$2:F$746,"PATIO - RESERVA"),0)+IFERROR(SUMIFS('Base bordo'!G$2:G$746,'Base bordo'!C$2:C$746,A480,'Base bordo'!B$2:B$746,B480,'Base bordo'!F$2:F$746,"MANOBRA CARRETAS-PATIO"),0)</f>
        <v>5.693888888888889</v>
      </c>
      <c r="J480" s="10">
        <f>IFERROR(SUMIFS('Base bordo'!G$2:G$746,'Base bordo'!C$2:C$746,A480,'Base bordo'!B$2:B$746,B480,'Base bordo'!F$2:F$746,"BALANÇA - ENTRADA"),0)+IFERROR(SUMIFS('Base bordo'!G$2:G$746,'Base bordo'!C$2:C$746,A480,'Base bordo'!B$2:B$746,B480,'Base bordo'!F$2:F$746,"BALANÇA - SAÍDA"),0)</f>
        <v>0.11305555555555555</v>
      </c>
      <c r="K480" s="10">
        <f>IFERROR(SUMIFS('Base bordo'!G$2:G$746,'Base bordo'!C$2:C$746,A480,'Base bordo'!B$2:B$746,B480,'Base bordo'!F$2:F$746,"MAN PREVENTIVA - MECANICA"),0)+IFERROR(SUMIFS('Base bordo'!G$2:G$746,'Base bordo'!C$2:C$746,A480,'Base bordo'!B$2:B$746,B480,'Base bordo'!F$2:F$746,"MAN CORRETIVA - MECANICA"),0)</f>
        <v>0</v>
      </c>
      <c r="L480" s="10">
        <f>IFERROR(SUMIFS('Base bordo'!G$2:G$746,'Base bordo'!C$2:C$746,A480,'Base bordo'!B$2:B$746,B480,'Base bordo'!F$2:F$746,"MANUTENCAO - T O"),0)+IFERROR(SUMIFS('Base bordo'!G$2:G$746,'Base bordo'!C$2:C$746,A480,'Base bordo'!B$2:B$746,B480,'Base bordo'!F$2:F$746,"MANUTENCAO BORRACHARIA"),0)+IFERROR(SUMIFS('Base bordo'!G$2:G$746,'Base bordo'!C$2:C$746,A480,'Base bordo'!B$2:B$746,B480,'Base bordo'!F$2:F$746,"MANUTENCAO EXTERNA  CONCESSIONARIA"),0)+IFERROR(SUMIFS('Base bordo'!G$2:G$746,'Base bordo'!C$2:C$746,A480,'Base bordo'!B$2:B$746,B480,'Base bordo'!F$2:F$746,"MANUTENCAO TELEMETRIA"),0)</f>
        <v>2.7313888888888891</v>
      </c>
      <c r="M480" s="10">
        <f>IFERROR(SUMIFS('Base bordo'!G$2:G$746,'Base bordo'!C$2:C$746,A480,'Base bordo'!B$2:B$746,B480,'Base bordo'!F$2:F$746,"AGUARDANDO MANUTENCAO"),0)</f>
        <v>0</v>
      </c>
      <c r="N480" s="10">
        <f>IFERROR(SUMIFS('Base bordo'!G$2:G$746,'Base bordo'!C$2:C$746,A480,'Base bordo'!B$2:B$746,B480,'Base bordo'!F$2:F$746,"SEM APONTAMENTO"),0)</f>
        <v>0</v>
      </c>
      <c r="O480" s="10">
        <f t="shared" si="54"/>
        <v>0</v>
      </c>
      <c r="P480" s="10">
        <f>IFERROR(SUMIFS('Base bordo'!G$2:G$746,'Base bordo'!C$2:C$746,A480,'Base bordo'!B$2:B$746,B480),0)</f>
        <v>11.072500000000002</v>
      </c>
      <c r="Q480" s="10">
        <f>IFERROR(SUMIFS('Base bordo'!H$2:H$746,'Base bordo'!C$2:C$746,A480,'Base bordo'!B$2:B$746,B480,'Base bordo'!F$2:F$746,"DESLOCAMENTO VAZIO"),0)</f>
        <v>69562.86</v>
      </c>
      <c r="R480" s="10">
        <f>IFERROR(SUMIFS('Base bordo'!I$2:I$746,'Base bordo'!C$2:C$746,A480,'Base bordo'!B$2:B$746,B480,'Base bordo'!F$2:F$746,"DESLOCAMENTO VAZIO"),0)</f>
        <v>2749</v>
      </c>
      <c r="S480" s="30">
        <f t="shared" si="55"/>
        <v>25.30478719534376</v>
      </c>
      <c r="T480" s="10">
        <f>IFERROR(SUMIFS('Base bordo'!H$2:H$746,'Base bordo'!C$2:C$746,A480,'Base bordo'!B$2:B$746,B480,'Base bordo'!F$2:F$746,"DESLOCAMENTO CARREGADO"),0)</f>
        <v>60370.82</v>
      </c>
      <c r="U480" s="10">
        <f>IFERROR(SUMIFS('Base bordo'!I$2:I$746,'Base bordo'!C$2:C$746,A480,'Base bordo'!B$2:B$746,B480,'Base bordo'!F$2:F$746,"DESLOCAMENTO CARREGADO"),0)</f>
        <v>2374</v>
      </c>
      <c r="V480" s="30">
        <f t="shared" si="56"/>
        <v>25.43</v>
      </c>
      <c r="W480" s="9">
        <f t="shared" si="57"/>
        <v>6.8964652166277812E-2</v>
      </c>
      <c r="X480" s="9">
        <f t="shared" si="58"/>
        <v>5.955696043752038E-2</v>
      </c>
      <c r="Y480" s="9">
        <f t="shared" si="59"/>
        <v>0.87147838739620176</v>
      </c>
    </row>
    <row r="481" spans="1:25" ht="15" customHeight="1" x14ac:dyDescent="0.35">
      <c r="A481" s="52">
        <v>8013484</v>
      </c>
      <c r="B481" s="51">
        <v>46118</v>
      </c>
      <c r="C481" s="7" t="s">
        <v>124</v>
      </c>
      <c r="D481" s="10">
        <f>IFERROR(SUMIFS('Base bordo'!G$2:G$746,'Base bordo'!C$2:C$746,A481,'Base bordo'!B$2:B$746,B481,'Base bordo'!F$2:F$746,"DESLOCAMENTO VAZIO"),0)</f>
        <v>0.14777777777777779</v>
      </c>
      <c r="E481" s="10">
        <f>IFERROR(SUMIFS('Base bordo'!G$2:G$746,'Base bordo'!C$2:C$746,A481,'Base bordo'!B$2:B$746,B481,'Base bordo'!F$2:F$746,"DESLOCAMENTO CARREGADO"),0)</f>
        <v>3.3405555555555555</v>
      </c>
      <c r="F481" s="10">
        <f>IFERROR(SUMIFS('Base bordo'!G$2:G$746,'Base bordo'!C$2:C$746,A481,'Base bordo'!B$2:B$746,B481,'Base bordo'!F$2:F$746,"DESLOCAMENTO"),0)</f>
        <v>0</v>
      </c>
      <c r="G481" s="10">
        <f>IFERROR(SUMIFS('Base bordo'!G$2:G$746,'Base bordo'!C$2:C$746,A481,'Base bordo'!B$2:B$746,B481,'Base bordo'!F$2:F$746,"CARREGAMENTO"),0)</f>
        <v>0</v>
      </c>
      <c r="H481" s="10">
        <f>IFERROR(SUMIFS('Base bordo'!G$2:G$746,'Base bordo'!C$2:C$746,A481,'Base bordo'!B$2:B$746,B481,'Base bordo'!F$2:F$746,"AGUARDANDO TRANSBORDO"),0)</f>
        <v>0</v>
      </c>
      <c r="I481" s="10">
        <f>IFERROR(SUMIFS('Base bordo'!G$2:G$746,'Base bordo'!C$2:C$746,A481,'Base bordo'!B$2:B$746,B481,'Base bordo'!F$2:F$746,"PÁTIO INTERNO"),0)+IFERROR(SUMIFS('Base bordo'!G$2:G$746,'Base bordo'!C$2:C$746,A481,'Base bordo'!B$2:B$746,B481,'Base bordo'!F$2:F$746,"PÁTIO EXTERNO"),0)+IFERROR(SUMIFS('Base bordo'!G$2:G$746,'Base bordo'!C$2:C$746,A481,'Base bordo'!B$2:B$746,B481,'Base bordo'!F$2:F$746,"PATIO - RESERVA"),0)+IFERROR(SUMIFS('Base bordo'!G$2:G$746,'Base bordo'!C$2:C$746,A481,'Base bordo'!B$2:B$746,B481,'Base bordo'!F$2:F$746,"MANOBRA CARRETAS-PATIO"),0)</f>
        <v>6.0491666666666664</v>
      </c>
      <c r="J481" s="10">
        <f>IFERROR(SUMIFS('Base bordo'!G$2:G$746,'Base bordo'!C$2:C$746,A481,'Base bordo'!B$2:B$746,B481,'Base bordo'!F$2:F$746,"BALANÇA - ENTRADA"),0)+IFERROR(SUMIFS('Base bordo'!G$2:G$746,'Base bordo'!C$2:C$746,A481,'Base bordo'!B$2:B$746,B481,'Base bordo'!F$2:F$746,"BALANÇA - SAÍDA"),0)</f>
        <v>4.1944444444444444E-2</v>
      </c>
      <c r="K481" s="10">
        <f>IFERROR(SUMIFS('Base bordo'!G$2:G$746,'Base bordo'!C$2:C$746,A481,'Base bordo'!B$2:B$746,B481,'Base bordo'!F$2:F$746,"MAN PREVENTIVA - MECANICA"),0)+IFERROR(SUMIFS('Base bordo'!G$2:G$746,'Base bordo'!C$2:C$746,A481,'Base bordo'!B$2:B$746,B481,'Base bordo'!F$2:F$746,"MAN CORRETIVA - MECANICA"),0)</f>
        <v>0</v>
      </c>
      <c r="L481" s="10">
        <f>IFERROR(SUMIFS('Base bordo'!G$2:G$746,'Base bordo'!C$2:C$746,A481,'Base bordo'!B$2:B$746,B481,'Base bordo'!F$2:F$746,"MANUTENCAO - T O"),0)+IFERROR(SUMIFS('Base bordo'!G$2:G$746,'Base bordo'!C$2:C$746,A481,'Base bordo'!B$2:B$746,B481,'Base bordo'!F$2:F$746,"MANUTENCAO BORRACHARIA"),0)+IFERROR(SUMIFS('Base bordo'!G$2:G$746,'Base bordo'!C$2:C$746,A481,'Base bordo'!B$2:B$746,B481,'Base bordo'!F$2:F$746,"MANUTENCAO EXTERNA  CONCESSIONARIA"),0)+IFERROR(SUMIFS('Base bordo'!G$2:G$746,'Base bordo'!C$2:C$746,A481,'Base bordo'!B$2:B$746,B481,'Base bordo'!F$2:F$746,"MANUTENCAO TELEMETRIA"),0)</f>
        <v>0</v>
      </c>
      <c r="M481" s="10">
        <f>IFERROR(SUMIFS('Base bordo'!G$2:G$746,'Base bordo'!C$2:C$746,A481,'Base bordo'!B$2:B$746,B481,'Base bordo'!F$2:F$746,"AGUARDANDO MANUTENCAO"),0)</f>
        <v>0</v>
      </c>
      <c r="N481" s="10">
        <f>IFERROR(SUMIFS('Base bordo'!G$2:G$746,'Base bordo'!C$2:C$746,A481,'Base bordo'!B$2:B$746,B481,'Base bordo'!F$2:F$746,"SEM APONTAMENTO"),0)</f>
        <v>0</v>
      </c>
      <c r="O481" s="10">
        <f t="shared" si="54"/>
        <v>0</v>
      </c>
      <c r="P481" s="10">
        <f>IFERROR(SUMIFS('Base bordo'!G$2:G$746,'Base bordo'!C$2:C$746,A481,'Base bordo'!B$2:B$746,B481),0)</f>
        <v>9.5794444444444444</v>
      </c>
      <c r="Q481" s="10">
        <f>IFERROR(SUMIFS('Base bordo'!H$2:H$746,'Base bordo'!C$2:C$746,A481,'Base bordo'!B$2:B$746,B481,'Base bordo'!F$2:F$746,"DESLOCAMENTO VAZIO"),0)</f>
        <v>4979.08</v>
      </c>
      <c r="R481" s="10">
        <f>IFERROR(SUMIFS('Base bordo'!I$2:I$746,'Base bordo'!C$2:C$746,A481,'Base bordo'!B$2:B$746,B481,'Base bordo'!F$2:F$746,"DESLOCAMENTO VAZIO"),0)</f>
        <v>532</v>
      </c>
      <c r="S481" s="30">
        <f t="shared" si="55"/>
        <v>9.3591729323308268</v>
      </c>
      <c r="T481" s="10">
        <f>IFERROR(SUMIFS('Base bordo'!H$2:H$746,'Base bordo'!C$2:C$746,A481,'Base bordo'!B$2:B$746,B481,'Base bordo'!F$2:F$746,"DESLOCAMENTO CARREGADO"),0)</f>
        <v>214024.57</v>
      </c>
      <c r="U481" s="10">
        <f>IFERROR(SUMIFS('Base bordo'!I$2:I$746,'Base bordo'!C$2:C$746,A481,'Base bordo'!B$2:B$746,B481,'Base bordo'!F$2:F$746,"DESLOCAMENTO CARREGADO"),0)</f>
        <v>12026</v>
      </c>
      <c r="V481" s="30">
        <f t="shared" si="56"/>
        <v>17.796821054382171</v>
      </c>
      <c r="W481" s="9">
        <f t="shared" si="57"/>
        <v>1.5426549904308995E-2</v>
      </c>
      <c r="X481" s="9">
        <f t="shared" si="58"/>
        <v>0.34872122020530072</v>
      </c>
      <c r="Y481" s="9">
        <f t="shared" si="59"/>
        <v>0.63585222989039036</v>
      </c>
    </row>
    <row r="482" spans="1:25" ht="15" customHeight="1" x14ac:dyDescent="0.35">
      <c r="A482" s="52">
        <v>8013482</v>
      </c>
      <c r="B482" s="51">
        <v>46118</v>
      </c>
      <c r="C482" s="7" t="s">
        <v>124</v>
      </c>
      <c r="D482" s="10">
        <f>IFERROR(SUMIFS('Base bordo'!G$2:G$746,'Base bordo'!C$2:C$746,A482,'Base bordo'!B$2:B$746,B482,'Base bordo'!F$2:F$746,"DESLOCAMENTO VAZIO"),0)</f>
        <v>0.37861111111111112</v>
      </c>
      <c r="E482" s="10">
        <f>IFERROR(SUMIFS('Base bordo'!G$2:G$746,'Base bordo'!C$2:C$746,A482,'Base bordo'!B$2:B$746,B482,'Base bordo'!F$2:F$746,"DESLOCAMENTO CARREGADO"),0)</f>
        <v>2.5222222222222221</v>
      </c>
      <c r="F482" s="10">
        <f>IFERROR(SUMIFS('Base bordo'!G$2:G$746,'Base bordo'!C$2:C$746,A482,'Base bordo'!B$2:B$746,B482,'Base bordo'!F$2:F$746,"DESLOCAMENTO"),0)</f>
        <v>0</v>
      </c>
      <c r="G482" s="10">
        <f>IFERROR(SUMIFS('Base bordo'!G$2:G$746,'Base bordo'!C$2:C$746,A482,'Base bordo'!B$2:B$746,B482,'Base bordo'!F$2:F$746,"CARREGAMENTO"),0)</f>
        <v>0</v>
      </c>
      <c r="H482" s="10">
        <f>IFERROR(SUMIFS('Base bordo'!G$2:G$746,'Base bordo'!C$2:C$746,A482,'Base bordo'!B$2:B$746,B482,'Base bordo'!F$2:F$746,"AGUARDANDO TRANSBORDO"),0)</f>
        <v>5.0149999999999997</v>
      </c>
      <c r="I482" s="10">
        <f>IFERROR(SUMIFS('Base bordo'!G$2:G$746,'Base bordo'!C$2:C$746,A482,'Base bordo'!B$2:B$746,B482,'Base bordo'!F$2:F$746,"PÁTIO INTERNO"),0)+IFERROR(SUMIFS('Base bordo'!G$2:G$746,'Base bordo'!C$2:C$746,A482,'Base bordo'!B$2:B$746,B482,'Base bordo'!F$2:F$746,"PÁTIO EXTERNO"),0)+IFERROR(SUMIFS('Base bordo'!G$2:G$746,'Base bordo'!C$2:C$746,A482,'Base bordo'!B$2:B$746,B482,'Base bordo'!F$2:F$746,"PATIO - RESERVA"),0)+IFERROR(SUMIFS('Base bordo'!G$2:G$746,'Base bordo'!C$2:C$746,A482,'Base bordo'!B$2:B$746,B482,'Base bordo'!F$2:F$746,"MANOBRA CARRETAS-PATIO"),0)</f>
        <v>3.0661111111111108</v>
      </c>
      <c r="J482" s="10">
        <f>IFERROR(SUMIFS('Base bordo'!G$2:G$746,'Base bordo'!C$2:C$746,A482,'Base bordo'!B$2:B$746,B482,'Base bordo'!F$2:F$746,"BALANÇA - ENTRADA"),0)+IFERROR(SUMIFS('Base bordo'!G$2:G$746,'Base bordo'!C$2:C$746,A482,'Base bordo'!B$2:B$746,B482,'Base bordo'!F$2:F$746,"BALANÇA - SAÍDA"),0)</f>
        <v>0.14555555555555555</v>
      </c>
      <c r="K482" s="10">
        <f>IFERROR(SUMIFS('Base bordo'!G$2:G$746,'Base bordo'!C$2:C$746,A482,'Base bordo'!B$2:B$746,B482,'Base bordo'!F$2:F$746,"MAN PREVENTIVA - MECANICA"),0)+IFERROR(SUMIFS('Base bordo'!G$2:G$746,'Base bordo'!C$2:C$746,A482,'Base bordo'!B$2:B$746,B482,'Base bordo'!F$2:F$746,"MAN CORRETIVA - MECANICA"),0)</f>
        <v>0</v>
      </c>
      <c r="L482" s="10">
        <f>IFERROR(SUMIFS('Base bordo'!G$2:G$746,'Base bordo'!C$2:C$746,A482,'Base bordo'!B$2:B$746,B482,'Base bordo'!F$2:F$746,"MANUTENCAO - T O"),0)+IFERROR(SUMIFS('Base bordo'!G$2:G$746,'Base bordo'!C$2:C$746,A482,'Base bordo'!B$2:B$746,B482,'Base bordo'!F$2:F$746,"MANUTENCAO BORRACHARIA"),0)+IFERROR(SUMIFS('Base bordo'!G$2:G$746,'Base bordo'!C$2:C$746,A482,'Base bordo'!B$2:B$746,B482,'Base bordo'!F$2:F$746,"MANUTENCAO EXTERNA  CONCESSIONARIA"),0)+IFERROR(SUMIFS('Base bordo'!G$2:G$746,'Base bordo'!C$2:C$746,A482,'Base bordo'!B$2:B$746,B482,'Base bordo'!F$2:F$746,"MANUTENCAO TELEMETRIA"),0)</f>
        <v>0</v>
      </c>
      <c r="M482" s="10">
        <f>IFERROR(SUMIFS('Base bordo'!G$2:G$746,'Base bordo'!C$2:C$746,A482,'Base bordo'!B$2:B$746,B482,'Base bordo'!F$2:F$746,"AGUARDANDO MANUTENCAO"),0)</f>
        <v>0</v>
      </c>
      <c r="N482" s="10">
        <f>IFERROR(SUMIFS('Base bordo'!G$2:G$746,'Base bordo'!C$2:C$746,A482,'Base bordo'!B$2:B$746,B482,'Base bordo'!F$2:F$746,"SEM APONTAMENTO"),0)</f>
        <v>0</v>
      </c>
      <c r="O482" s="10">
        <f t="shared" si="54"/>
        <v>0</v>
      </c>
      <c r="P482" s="10">
        <f>IFERROR(SUMIFS('Base bordo'!G$2:G$746,'Base bordo'!C$2:C$746,A482,'Base bordo'!B$2:B$746,B482),0)</f>
        <v>11.1275</v>
      </c>
      <c r="Q482" s="10">
        <f>IFERROR(SUMIFS('Base bordo'!H$2:H$746,'Base bordo'!C$2:C$746,A482,'Base bordo'!B$2:B$746,B482,'Base bordo'!F$2:F$746,"DESLOCAMENTO VAZIO"),0)</f>
        <v>7195.82</v>
      </c>
      <c r="R482" s="10">
        <f>IFERROR(SUMIFS('Base bordo'!I$2:I$746,'Base bordo'!C$2:C$746,A482,'Base bordo'!B$2:B$746,B482,'Base bordo'!F$2:F$746,"DESLOCAMENTO VAZIO"),0)</f>
        <v>1363</v>
      </c>
      <c r="S482" s="30">
        <f t="shared" si="55"/>
        <v>5.2793983859134261</v>
      </c>
      <c r="T482" s="10">
        <f>IFERROR(SUMIFS('Base bordo'!H$2:H$746,'Base bordo'!C$2:C$746,A482,'Base bordo'!B$2:B$746,B482,'Base bordo'!F$2:F$746,"DESLOCAMENTO CARREGADO"),0)</f>
        <v>221650.07</v>
      </c>
      <c r="U482" s="10">
        <f>IFERROR(SUMIFS('Base bordo'!I$2:I$746,'Base bordo'!C$2:C$746,A482,'Base bordo'!B$2:B$746,B482,'Base bordo'!F$2:F$746,"DESLOCAMENTO CARREGADO"),0)</f>
        <v>9080</v>
      </c>
      <c r="V482" s="30">
        <f t="shared" si="56"/>
        <v>24.410800660792951</v>
      </c>
      <c r="W482" s="9">
        <f t="shared" si="57"/>
        <v>3.4024813400234659E-2</v>
      </c>
      <c r="X482" s="9">
        <f t="shared" si="58"/>
        <v>0.22666566813949424</v>
      </c>
      <c r="Y482" s="9">
        <f t="shared" si="59"/>
        <v>0.73930951846027115</v>
      </c>
    </row>
    <row r="483" spans="1:25" ht="15" customHeight="1" x14ac:dyDescent="0.35">
      <c r="A483" s="52">
        <v>8013472</v>
      </c>
      <c r="B483" s="51">
        <v>46124</v>
      </c>
      <c r="C483" s="7" t="s">
        <v>124</v>
      </c>
      <c r="D483" s="10">
        <f>IFERROR(SUMIFS('Base bordo'!G$2:G$746,'Base bordo'!C$2:C$746,A483,'Base bordo'!B$2:B$746,B483,'Base bordo'!F$2:F$746,"DESLOCAMENTO VAZIO"),0)</f>
        <v>3.0741666666666667</v>
      </c>
      <c r="E483" s="10">
        <f>IFERROR(SUMIFS('Base bordo'!G$2:G$746,'Base bordo'!C$2:C$746,A483,'Base bordo'!B$2:B$746,B483,'Base bordo'!F$2:F$746,"DESLOCAMENTO CARREGADO"),0)</f>
        <v>4.4763888888888888</v>
      </c>
      <c r="F483" s="10">
        <f>IFERROR(SUMIFS('Base bordo'!G$2:G$746,'Base bordo'!C$2:C$746,A483,'Base bordo'!B$2:B$746,B483,'Base bordo'!F$2:F$746,"DESLOCAMENTO"),0)</f>
        <v>0</v>
      </c>
      <c r="G483" s="10">
        <f>IFERROR(SUMIFS('Base bordo'!G$2:G$746,'Base bordo'!C$2:C$746,A483,'Base bordo'!B$2:B$746,B483,'Base bordo'!F$2:F$746,"CARREGAMENTO"),0)</f>
        <v>0</v>
      </c>
      <c r="H483" s="10">
        <f>IFERROR(SUMIFS('Base bordo'!G$2:G$746,'Base bordo'!C$2:C$746,A483,'Base bordo'!B$2:B$746,B483,'Base bordo'!F$2:F$746,"AGUARDANDO TRANSBORDO"),0)</f>
        <v>0.55777777777777782</v>
      </c>
      <c r="I483" s="10">
        <f>IFERROR(SUMIFS('Base bordo'!G$2:G$746,'Base bordo'!C$2:C$746,A483,'Base bordo'!B$2:B$746,B483,'Base bordo'!F$2:F$746,"PÁTIO INTERNO"),0)+IFERROR(SUMIFS('Base bordo'!G$2:G$746,'Base bordo'!C$2:C$746,A483,'Base bordo'!B$2:B$746,B483,'Base bordo'!F$2:F$746,"PÁTIO EXTERNO"),0)+IFERROR(SUMIFS('Base bordo'!G$2:G$746,'Base bordo'!C$2:C$746,A483,'Base bordo'!B$2:B$746,B483,'Base bordo'!F$2:F$746,"PATIO - RESERVA"),0)+IFERROR(SUMIFS('Base bordo'!G$2:G$746,'Base bordo'!C$2:C$746,A483,'Base bordo'!B$2:B$746,B483,'Base bordo'!F$2:F$746,"MANOBRA CARRETAS-PATIO"),0)</f>
        <v>4.0902777777777777</v>
      </c>
      <c r="J483" s="10">
        <f>IFERROR(SUMIFS('Base bordo'!G$2:G$746,'Base bordo'!C$2:C$746,A483,'Base bordo'!B$2:B$746,B483,'Base bordo'!F$2:F$746,"BALANÇA - ENTRADA"),0)+IFERROR(SUMIFS('Base bordo'!G$2:G$746,'Base bordo'!C$2:C$746,A483,'Base bordo'!B$2:B$746,B483,'Base bordo'!F$2:F$746,"BALANÇA - SAÍDA"),0)</f>
        <v>5.5555555555555552E-2</v>
      </c>
      <c r="K483" s="10">
        <f>IFERROR(SUMIFS('Base bordo'!G$2:G$746,'Base bordo'!C$2:C$746,A483,'Base bordo'!B$2:B$746,B483,'Base bordo'!F$2:F$746,"MAN PREVENTIVA - MECANICA"),0)+IFERROR(SUMIFS('Base bordo'!G$2:G$746,'Base bordo'!C$2:C$746,A483,'Base bordo'!B$2:B$746,B483,'Base bordo'!F$2:F$746,"MAN CORRETIVA - MECANICA"),0)</f>
        <v>0</v>
      </c>
      <c r="L483" s="10">
        <f>IFERROR(SUMIFS('Base bordo'!G$2:G$746,'Base bordo'!C$2:C$746,A483,'Base bordo'!B$2:B$746,B483,'Base bordo'!F$2:F$746,"MANUTENCAO - T O"),0)+IFERROR(SUMIFS('Base bordo'!G$2:G$746,'Base bordo'!C$2:C$746,A483,'Base bordo'!B$2:B$746,B483,'Base bordo'!F$2:F$746,"MANUTENCAO BORRACHARIA"),0)+IFERROR(SUMIFS('Base bordo'!G$2:G$746,'Base bordo'!C$2:C$746,A483,'Base bordo'!B$2:B$746,B483,'Base bordo'!F$2:F$746,"MANUTENCAO EXTERNA  CONCESSIONARIA"),0)+IFERROR(SUMIFS('Base bordo'!G$2:G$746,'Base bordo'!C$2:C$746,A483,'Base bordo'!B$2:B$746,B483,'Base bordo'!F$2:F$746,"MANUTENCAO TELEMETRIA"),0)</f>
        <v>0</v>
      </c>
      <c r="M483" s="10">
        <f>IFERROR(SUMIFS('Base bordo'!G$2:G$746,'Base bordo'!C$2:C$746,A483,'Base bordo'!B$2:B$746,B483,'Base bordo'!F$2:F$746,"AGUARDANDO MANUTENCAO"),0)</f>
        <v>0</v>
      </c>
      <c r="N483" s="10">
        <f>IFERROR(SUMIFS('Base bordo'!G$2:G$746,'Base bordo'!C$2:C$746,A483,'Base bordo'!B$2:B$746,B483,'Base bordo'!F$2:F$746,"SEM APONTAMENTO"),0)</f>
        <v>0</v>
      </c>
      <c r="O483" s="10">
        <f t="shared" si="54"/>
        <v>3.5527136788005009E-15</v>
      </c>
      <c r="P483" s="10">
        <f>IFERROR(SUMIFS('Base bordo'!G$2:G$746,'Base bordo'!C$2:C$746,A483,'Base bordo'!B$2:B$746,B483),0)</f>
        <v>12.254166666666668</v>
      </c>
      <c r="Q483" s="10">
        <f>IFERROR(SUMIFS('Base bordo'!H$2:H$746,'Base bordo'!C$2:C$746,A483,'Base bordo'!B$2:B$746,B483,'Base bordo'!F$2:F$746,"DESLOCAMENTO VAZIO"),0)</f>
        <v>415361.29000000004</v>
      </c>
      <c r="R483" s="10">
        <f>IFERROR(SUMIFS('Base bordo'!I$2:I$746,'Base bordo'!C$2:C$746,A483,'Base bordo'!B$2:B$746,B483,'Base bordo'!F$2:F$746,"DESLOCAMENTO VAZIO"),0)</f>
        <v>11067</v>
      </c>
      <c r="S483" s="30">
        <f t="shared" si="55"/>
        <v>37.531516219390987</v>
      </c>
      <c r="T483" s="10">
        <f>IFERROR(SUMIFS('Base bordo'!H$2:H$746,'Base bordo'!C$2:C$746,A483,'Base bordo'!B$2:B$746,B483,'Base bordo'!F$2:F$746,"DESLOCAMENTO CARREGADO"),0)</f>
        <v>393703.57999999996</v>
      </c>
      <c r="U483" s="10">
        <f>IFERROR(SUMIFS('Base bordo'!I$2:I$746,'Base bordo'!C$2:C$746,A483,'Base bordo'!B$2:B$746,B483,'Base bordo'!F$2:F$746,"DESLOCAMENTO CARREGADO"),0)</f>
        <v>16115</v>
      </c>
      <c r="V483" s="30">
        <f t="shared" si="56"/>
        <v>24.430876822835863</v>
      </c>
      <c r="W483" s="9">
        <f t="shared" si="57"/>
        <v>0.25086705202312137</v>
      </c>
      <c r="X483" s="9">
        <f t="shared" si="58"/>
        <v>0.36529525104839616</v>
      </c>
      <c r="Y483" s="9">
        <f t="shared" si="59"/>
        <v>0.38383769692848246</v>
      </c>
    </row>
    <row r="484" spans="1:25" ht="15" customHeight="1" x14ac:dyDescent="0.35">
      <c r="A484" s="52">
        <v>8013461</v>
      </c>
      <c r="B484" s="51">
        <v>46124</v>
      </c>
      <c r="C484" s="7" t="s">
        <v>124</v>
      </c>
      <c r="D484" s="10">
        <f>IFERROR(SUMIFS('Base bordo'!G$2:G$746,'Base bordo'!C$2:C$746,A484,'Base bordo'!B$2:B$746,B484,'Base bordo'!F$2:F$746,"DESLOCAMENTO VAZIO"),0)</f>
        <v>2.7680555555555557</v>
      </c>
      <c r="E484" s="10">
        <f>IFERROR(SUMIFS('Base bordo'!G$2:G$746,'Base bordo'!C$2:C$746,A484,'Base bordo'!B$2:B$746,B484,'Base bordo'!F$2:F$746,"DESLOCAMENTO CARREGADO"),0)</f>
        <v>1.8997222222222223</v>
      </c>
      <c r="F484" s="10">
        <f>IFERROR(SUMIFS('Base bordo'!G$2:G$746,'Base bordo'!C$2:C$746,A484,'Base bordo'!B$2:B$746,B484,'Base bordo'!F$2:F$746,"DESLOCAMENTO"),0)</f>
        <v>0</v>
      </c>
      <c r="G484" s="10">
        <f>IFERROR(SUMIFS('Base bordo'!G$2:G$746,'Base bordo'!C$2:C$746,A484,'Base bordo'!B$2:B$746,B484,'Base bordo'!F$2:F$746,"CARREGAMENTO"),0)</f>
        <v>0</v>
      </c>
      <c r="H484" s="10">
        <f>IFERROR(SUMIFS('Base bordo'!G$2:G$746,'Base bordo'!C$2:C$746,A484,'Base bordo'!B$2:B$746,B484,'Base bordo'!F$2:F$746,"AGUARDANDO TRANSBORDO"),0)</f>
        <v>0.61305555555555558</v>
      </c>
      <c r="I484" s="10">
        <f>IFERROR(SUMIFS('Base bordo'!G$2:G$746,'Base bordo'!C$2:C$746,A484,'Base bordo'!B$2:B$746,B484,'Base bordo'!F$2:F$746,"PÁTIO INTERNO"),0)+IFERROR(SUMIFS('Base bordo'!G$2:G$746,'Base bordo'!C$2:C$746,A484,'Base bordo'!B$2:B$746,B484,'Base bordo'!F$2:F$746,"PÁTIO EXTERNO"),0)+IFERROR(SUMIFS('Base bordo'!G$2:G$746,'Base bordo'!C$2:C$746,A484,'Base bordo'!B$2:B$746,B484,'Base bordo'!F$2:F$746,"PATIO - RESERVA"),0)+IFERROR(SUMIFS('Base bordo'!G$2:G$746,'Base bordo'!C$2:C$746,A484,'Base bordo'!B$2:B$746,B484,'Base bordo'!F$2:F$746,"MANOBRA CARRETAS-PATIO"),0)</f>
        <v>4.3969444444444443</v>
      </c>
      <c r="J484" s="10">
        <f>IFERROR(SUMIFS('Base bordo'!G$2:G$746,'Base bordo'!C$2:C$746,A484,'Base bordo'!B$2:B$746,B484,'Base bordo'!F$2:F$746,"BALANÇA - ENTRADA"),0)+IFERROR(SUMIFS('Base bordo'!G$2:G$746,'Base bordo'!C$2:C$746,A484,'Base bordo'!B$2:B$746,B484,'Base bordo'!F$2:F$746,"BALANÇA - SAÍDA"),0)</f>
        <v>0.3175</v>
      </c>
      <c r="K484" s="10">
        <f>IFERROR(SUMIFS('Base bordo'!G$2:G$746,'Base bordo'!C$2:C$746,A484,'Base bordo'!B$2:B$746,B484,'Base bordo'!F$2:F$746,"MAN PREVENTIVA - MECANICA"),0)+IFERROR(SUMIFS('Base bordo'!G$2:G$746,'Base bordo'!C$2:C$746,A484,'Base bordo'!B$2:B$746,B484,'Base bordo'!F$2:F$746,"MAN CORRETIVA - MECANICA"),0)</f>
        <v>0</v>
      </c>
      <c r="L484" s="10">
        <f>IFERROR(SUMIFS('Base bordo'!G$2:G$746,'Base bordo'!C$2:C$746,A484,'Base bordo'!B$2:B$746,B484,'Base bordo'!F$2:F$746,"MANUTENCAO - T O"),0)+IFERROR(SUMIFS('Base bordo'!G$2:G$746,'Base bordo'!C$2:C$746,A484,'Base bordo'!B$2:B$746,B484,'Base bordo'!F$2:F$746,"MANUTENCAO BORRACHARIA"),0)+IFERROR(SUMIFS('Base bordo'!G$2:G$746,'Base bordo'!C$2:C$746,A484,'Base bordo'!B$2:B$746,B484,'Base bordo'!F$2:F$746,"MANUTENCAO EXTERNA  CONCESSIONARIA"),0)+IFERROR(SUMIFS('Base bordo'!G$2:G$746,'Base bordo'!C$2:C$746,A484,'Base bordo'!B$2:B$746,B484,'Base bordo'!F$2:F$746,"MANUTENCAO TELEMETRIA"),0)</f>
        <v>0</v>
      </c>
      <c r="M484" s="10">
        <f>IFERROR(SUMIFS('Base bordo'!G$2:G$746,'Base bordo'!C$2:C$746,A484,'Base bordo'!B$2:B$746,B484,'Base bordo'!F$2:F$746,"AGUARDANDO MANUTENCAO"),0)</f>
        <v>0</v>
      </c>
      <c r="N484" s="10">
        <f>IFERROR(SUMIFS('Base bordo'!G$2:G$746,'Base bordo'!C$2:C$746,A484,'Base bordo'!B$2:B$746,B484,'Base bordo'!F$2:F$746,"SEM APONTAMENTO"),0)</f>
        <v>0</v>
      </c>
      <c r="O484" s="10">
        <f t="shared" si="54"/>
        <v>1.7763568394002505E-15</v>
      </c>
      <c r="P484" s="10">
        <f>IFERROR(SUMIFS('Base bordo'!G$2:G$746,'Base bordo'!C$2:C$746,A484,'Base bordo'!B$2:B$746,B484),0)</f>
        <v>9.9952777777777797</v>
      </c>
      <c r="Q484" s="10">
        <f>IFERROR(SUMIFS('Base bordo'!H$2:H$746,'Base bordo'!C$2:C$746,A484,'Base bordo'!B$2:B$746,B484,'Base bordo'!F$2:F$746,"DESLOCAMENTO VAZIO"),0)</f>
        <v>281004.56</v>
      </c>
      <c r="R484" s="10">
        <f>IFERROR(SUMIFS('Base bordo'!I$2:I$746,'Base bordo'!C$2:C$746,A484,'Base bordo'!B$2:B$746,B484,'Base bordo'!F$2:F$746,"DESLOCAMENTO VAZIO"),0)</f>
        <v>9965</v>
      </c>
      <c r="S484" s="30">
        <f t="shared" si="55"/>
        <v>28.199153035624686</v>
      </c>
      <c r="T484" s="10">
        <f>IFERROR(SUMIFS('Base bordo'!H$2:H$746,'Base bordo'!C$2:C$746,A484,'Base bordo'!B$2:B$746,B484,'Base bordo'!F$2:F$746,"DESLOCAMENTO CARREGADO"),0)</f>
        <v>117740.31000000001</v>
      </c>
      <c r="U484" s="10">
        <f>IFERROR(SUMIFS('Base bordo'!I$2:I$746,'Base bordo'!C$2:C$746,A484,'Base bordo'!B$2:B$746,B484,'Base bordo'!F$2:F$746,"DESLOCAMENTO CARREGADO"),0)</f>
        <v>6839</v>
      </c>
      <c r="V484" s="30">
        <f t="shared" si="56"/>
        <v>17.216012574937857</v>
      </c>
      <c r="W484" s="9">
        <f t="shared" si="57"/>
        <v>0.27693633104521576</v>
      </c>
      <c r="X484" s="9">
        <f t="shared" si="58"/>
        <v>0.19006197370980737</v>
      </c>
      <c r="Y484" s="9">
        <f t="shared" si="59"/>
        <v>0.53300169524497676</v>
      </c>
    </row>
    <row r="485" spans="1:25" ht="15" customHeight="1" x14ac:dyDescent="0.35">
      <c r="A485" s="52">
        <v>8013485</v>
      </c>
      <c r="B485" s="51">
        <v>46118</v>
      </c>
      <c r="C485" s="7" t="s">
        <v>124</v>
      </c>
      <c r="D485" s="10">
        <f>IFERROR(SUMIFS('Base bordo'!G$2:G$746,'Base bordo'!C$2:C$746,A485,'Base bordo'!B$2:B$746,B485,'Base bordo'!F$2:F$746,"DESLOCAMENTO VAZIO"),0)</f>
        <v>0.89111111111111108</v>
      </c>
      <c r="E485" s="10">
        <f>IFERROR(SUMIFS('Base bordo'!G$2:G$746,'Base bordo'!C$2:C$746,A485,'Base bordo'!B$2:B$746,B485,'Base bordo'!F$2:F$746,"DESLOCAMENTO CARREGADO"),0)</f>
        <v>0.77444444444444449</v>
      </c>
      <c r="F485" s="10">
        <f>IFERROR(SUMIFS('Base bordo'!G$2:G$746,'Base bordo'!C$2:C$746,A485,'Base bordo'!B$2:B$746,B485,'Base bordo'!F$2:F$746,"DESLOCAMENTO"),0)</f>
        <v>1.0216666666666667</v>
      </c>
      <c r="G485" s="10">
        <f>IFERROR(SUMIFS('Base bordo'!G$2:G$746,'Base bordo'!C$2:C$746,A485,'Base bordo'!B$2:B$746,B485,'Base bordo'!F$2:F$746,"CARREGAMENTO"),0)</f>
        <v>0</v>
      </c>
      <c r="H485" s="10">
        <f>IFERROR(SUMIFS('Base bordo'!G$2:G$746,'Base bordo'!C$2:C$746,A485,'Base bordo'!B$2:B$746,B485,'Base bordo'!F$2:F$746,"AGUARDANDO TRANSBORDO"),0)</f>
        <v>0.33083333333333331</v>
      </c>
      <c r="I485" s="10">
        <f>IFERROR(SUMIFS('Base bordo'!G$2:G$746,'Base bordo'!C$2:C$746,A485,'Base bordo'!B$2:B$746,B485,'Base bordo'!F$2:F$746,"PÁTIO INTERNO"),0)+IFERROR(SUMIFS('Base bordo'!G$2:G$746,'Base bordo'!C$2:C$746,A485,'Base bordo'!B$2:B$746,B485,'Base bordo'!F$2:F$746,"PÁTIO EXTERNO"),0)+IFERROR(SUMIFS('Base bordo'!G$2:G$746,'Base bordo'!C$2:C$746,A485,'Base bordo'!B$2:B$746,B485,'Base bordo'!F$2:F$746,"PATIO - RESERVA"),0)+IFERROR(SUMIFS('Base bordo'!G$2:G$746,'Base bordo'!C$2:C$746,A485,'Base bordo'!B$2:B$746,B485,'Base bordo'!F$2:F$746,"MANOBRA CARRETAS-PATIO"),0)</f>
        <v>10.650555555555554</v>
      </c>
      <c r="J485" s="10">
        <f>IFERROR(SUMIFS('Base bordo'!G$2:G$746,'Base bordo'!C$2:C$746,A485,'Base bordo'!B$2:B$746,B485,'Base bordo'!F$2:F$746,"BALANÇA - ENTRADA"),0)+IFERROR(SUMIFS('Base bordo'!G$2:G$746,'Base bordo'!C$2:C$746,A485,'Base bordo'!B$2:B$746,B485,'Base bordo'!F$2:F$746,"BALANÇA - SAÍDA"),0)</f>
        <v>3.6388888888888887E-2</v>
      </c>
      <c r="K485" s="10">
        <f>IFERROR(SUMIFS('Base bordo'!G$2:G$746,'Base bordo'!C$2:C$746,A485,'Base bordo'!B$2:B$746,B485,'Base bordo'!F$2:F$746,"MAN PREVENTIVA - MECANICA"),0)+IFERROR(SUMIFS('Base bordo'!G$2:G$746,'Base bordo'!C$2:C$746,A485,'Base bordo'!B$2:B$746,B485,'Base bordo'!F$2:F$746,"MAN CORRETIVA - MECANICA"),0)</f>
        <v>0</v>
      </c>
      <c r="L485" s="10">
        <f>IFERROR(SUMIFS('Base bordo'!G$2:G$746,'Base bordo'!C$2:C$746,A485,'Base bordo'!B$2:B$746,B485,'Base bordo'!F$2:F$746,"MANUTENCAO - T O"),0)+IFERROR(SUMIFS('Base bordo'!G$2:G$746,'Base bordo'!C$2:C$746,A485,'Base bordo'!B$2:B$746,B485,'Base bordo'!F$2:F$746,"MANUTENCAO BORRACHARIA"),0)+IFERROR(SUMIFS('Base bordo'!G$2:G$746,'Base bordo'!C$2:C$746,A485,'Base bordo'!B$2:B$746,B485,'Base bordo'!F$2:F$746,"MANUTENCAO EXTERNA  CONCESSIONARIA"),0)+IFERROR(SUMIFS('Base bordo'!G$2:G$746,'Base bordo'!C$2:C$746,A485,'Base bordo'!B$2:B$746,B485,'Base bordo'!F$2:F$746,"MANUTENCAO TELEMETRIA"),0)</f>
        <v>0</v>
      </c>
      <c r="M485" s="10">
        <f>IFERROR(SUMIFS('Base bordo'!G$2:G$746,'Base bordo'!C$2:C$746,A485,'Base bordo'!B$2:B$746,B485,'Base bordo'!F$2:F$746,"AGUARDANDO MANUTENCAO"),0)</f>
        <v>0</v>
      </c>
      <c r="N485" s="10">
        <f>IFERROR(SUMIFS('Base bordo'!G$2:G$746,'Base bordo'!C$2:C$746,A485,'Base bordo'!B$2:B$746,B485,'Base bordo'!F$2:F$746,"SEM APONTAMENTO"),0)</f>
        <v>0</v>
      </c>
      <c r="O485" s="10">
        <f t="shared" si="54"/>
        <v>-1.7763568394002505E-15</v>
      </c>
      <c r="P485" s="10">
        <f>IFERROR(SUMIFS('Base bordo'!G$2:G$746,'Base bordo'!C$2:C$746,A485,'Base bordo'!B$2:B$746,B485),0)</f>
        <v>13.704999999999997</v>
      </c>
      <c r="Q485" s="10">
        <f>IFERROR(SUMIFS('Base bordo'!H$2:H$746,'Base bordo'!C$2:C$746,A485,'Base bordo'!B$2:B$746,B485,'Base bordo'!F$2:F$746,"DESLOCAMENTO VAZIO"),0)</f>
        <v>68224.05</v>
      </c>
      <c r="R485" s="10">
        <f>IFERROR(SUMIFS('Base bordo'!I$2:I$746,'Base bordo'!C$2:C$746,A485,'Base bordo'!B$2:B$746,B485,'Base bordo'!F$2:F$746,"DESLOCAMENTO VAZIO"),0)</f>
        <v>3208</v>
      </c>
      <c r="S485" s="30">
        <f t="shared" si="55"/>
        <v>21.266848503740651</v>
      </c>
      <c r="T485" s="10">
        <f>IFERROR(SUMIFS('Base bordo'!H$2:H$746,'Base bordo'!C$2:C$746,A485,'Base bordo'!B$2:B$746,B485,'Base bordo'!F$2:F$746,"DESLOCAMENTO CARREGADO"),0)</f>
        <v>68053.69</v>
      </c>
      <c r="U485" s="10">
        <f>IFERROR(SUMIFS('Base bordo'!I$2:I$746,'Base bordo'!C$2:C$746,A485,'Base bordo'!B$2:B$746,B485,'Base bordo'!F$2:F$746,"DESLOCAMENTO CARREGADO"),0)</f>
        <v>2788</v>
      </c>
      <c r="V485" s="30">
        <f t="shared" si="56"/>
        <v>24.40950143472023</v>
      </c>
      <c r="W485" s="9">
        <f t="shared" si="57"/>
        <v>6.5020876403583464E-2</v>
      </c>
      <c r="X485" s="9">
        <f t="shared" si="58"/>
        <v>5.6508168146256456E-2</v>
      </c>
      <c r="Y485" s="9">
        <f t="shared" si="59"/>
        <v>0.87847095545016007</v>
      </c>
    </row>
    <row r="486" spans="1:25" ht="15" customHeight="1" x14ac:dyDescent="0.35">
      <c r="A486" s="52">
        <v>8013483</v>
      </c>
      <c r="B486" s="51">
        <v>46118</v>
      </c>
      <c r="C486" s="7" t="s">
        <v>124</v>
      </c>
      <c r="D486" s="10">
        <f>IFERROR(SUMIFS('Base bordo'!G$2:G$746,'Base bordo'!C$2:C$746,A486,'Base bordo'!B$2:B$746,B486,'Base bordo'!F$2:F$746,"DESLOCAMENTO VAZIO"),0)</f>
        <v>2.4136111111111109</v>
      </c>
      <c r="E486" s="10">
        <f>IFERROR(SUMIFS('Base bordo'!G$2:G$746,'Base bordo'!C$2:C$746,A486,'Base bordo'!B$2:B$746,B486,'Base bordo'!F$2:F$746,"DESLOCAMENTO CARREGADO"),0)</f>
        <v>0.74972222222222218</v>
      </c>
      <c r="F486" s="10">
        <f>IFERROR(SUMIFS('Base bordo'!G$2:G$746,'Base bordo'!C$2:C$746,A486,'Base bordo'!B$2:B$746,B486,'Base bordo'!F$2:F$746,"DESLOCAMENTO"),0)</f>
        <v>0</v>
      </c>
      <c r="G486" s="10">
        <f>IFERROR(SUMIFS('Base bordo'!G$2:G$746,'Base bordo'!C$2:C$746,A486,'Base bordo'!B$2:B$746,B486,'Base bordo'!F$2:F$746,"CARREGAMENTO"),0)</f>
        <v>0</v>
      </c>
      <c r="H486" s="10">
        <f>IFERROR(SUMIFS('Base bordo'!G$2:G$746,'Base bordo'!C$2:C$746,A486,'Base bordo'!B$2:B$746,B486,'Base bordo'!F$2:F$746,"AGUARDANDO TRANSBORDO"),0)</f>
        <v>0.18666666666666668</v>
      </c>
      <c r="I486" s="10">
        <f>IFERROR(SUMIFS('Base bordo'!G$2:G$746,'Base bordo'!C$2:C$746,A486,'Base bordo'!B$2:B$746,B486,'Base bordo'!F$2:F$746,"PÁTIO INTERNO"),0)+IFERROR(SUMIFS('Base bordo'!G$2:G$746,'Base bordo'!C$2:C$746,A486,'Base bordo'!B$2:B$746,B486,'Base bordo'!F$2:F$746,"PÁTIO EXTERNO"),0)+IFERROR(SUMIFS('Base bordo'!G$2:G$746,'Base bordo'!C$2:C$746,A486,'Base bordo'!B$2:B$746,B486,'Base bordo'!F$2:F$746,"PATIO - RESERVA"),0)+IFERROR(SUMIFS('Base bordo'!G$2:G$746,'Base bordo'!C$2:C$746,A486,'Base bordo'!B$2:B$746,B486,'Base bordo'!F$2:F$746,"MANOBRA CARRETAS-PATIO"),0)</f>
        <v>11.716111111111111</v>
      </c>
      <c r="J486" s="10">
        <f>IFERROR(SUMIFS('Base bordo'!G$2:G$746,'Base bordo'!C$2:C$746,A486,'Base bordo'!B$2:B$746,B486,'Base bordo'!F$2:F$746,"BALANÇA - ENTRADA"),0)+IFERROR(SUMIFS('Base bordo'!G$2:G$746,'Base bordo'!C$2:C$746,A486,'Base bordo'!B$2:B$746,B486,'Base bordo'!F$2:F$746,"BALANÇA - SAÍDA"),0)</f>
        <v>4.7500000000000001E-2</v>
      </c>
      <c r="K486" s="10">
        <f>IFERROR(SUMIFS('Base bordo'!G$2:G$746,'Base bordo'!C$2:C$746,A486,'Base bordo'!B$2:B$746,B486,'Base bordo'!F$2:F$746,"MAN PREVENTIVA - MECANICA"),0)+IFERROR(SUMIFS('Base bordo'!G$2:G$746,'Base bordo'!C$2:C$746,A486,'Base bordo'!B$2:B$746,B486,'Base bordo'!F$2:F$746,"MAN CORRETIVA - MECANICA"),0)</f>
        <v>0</v>
      </c>
      <c r="L486" s="10">
        <f>IFERROR(SUMIFS('Base bordo'!G$2:G$746,'Base bordo'!C$2:C$746,A486,'Base bordo'!B$2:B$746,B486,'Base bordo'!F$2:F$746,"MANUTENCAO - T O"),0)+IFERROR(SUMIFS('Base bordo'!G$2:G$746,'Base bordo'!C$2:C$746,A486,'Base bordo'!B$2:B$746,B486,'Base bordo'!F$2:F$746,"MANUTENCAO BORRACHARIA"),0)+IFERROR(SUMIFS('Base bordo'!G$2:G$746,'Base bordo'!C$2:C$746,A486,'Base bordo'!B$2:B$746,B486,'Base bordo'!F$2:F$746,"MANUTENCAO EXTERNA  CONCESSIONARIA"),0)+IFERROR(SUMIFS('Base bordo'!G$2:G$746,'Base bordo'!C$2:C$746,A486,'Base bordo'!B$2:B$746,B486,'Base bordo'!F$2:F$746,"MANUTENCAO TELEMETRIA"),0)</f>
        <v>3.4908333333333332</v>
      </c>
      <c r="M486" s="10">
        <f>IFERROR(SUMIFS('Base bordo'!G$2:G$746,'Base bordo'!C$2:C$746,A486,'Base bordo'!B$2:B$746,B486,'Base bordo'!F$2:F$746,"AGUARDANDO MANUTENCAO"),0)</f>
        <v>0</v>
      </c>
      <c r="N486" s="10">
        <f>IFERROR(SUMIFS('Base bordo'!G$2:G$746,'Base bordo'!C$2:C$746,A486,'Base bordo'!B$2:B$746,B486,'Base bordo'!F$2:F$746,"SEM APONTAMENTO"),0)</f>
        <v>0</v>
      </c>
      <c r="O486" s="10">
        <f t="shared" si="54"/>
        <v>0</v>
      </c>
      <c r="P486" s="10">
        <f>IFERROR(SUMIFS('Base bordo'!G$2:G$746,'Base bordo'!C$2:C$746,A486,'Base bordo'!B$2:B$746,B486),0)</f>
        <v>18.604444444444443</v>
      </c>
      <c r="Q486" s="10">
        <f>IFERROR(SUMIFS('Base bordo'!H$2:H$746,'Base bordo'!C$2:C$746,A486,'Base bordo'!B$2:B$746,B486,'Base bordo'!F$2:F$746,"DESLOCAMENTO VAZIO"),0)</f>
        <v>164736.31</v>
      </c>
      <c r="R486" s="10">
        <f>IFERROR(SUMIFS('Base bordo'!I$2:I$746,'Base bordo'!C$2:C$746,A486,'Base bordo'!B$2:B$746,B486,'Base bordo'!F$2:F$746,"DESLOCAMENTO VAZIO"),0)</f>
        <v>8689</v>
      </c>
      <c r="S486" s="30">
        <f t="shared" si="55"/>
        <v>18.959179422258028</v>
      </c>
      <c r="T486" s="10">
        <f>IFERROR(SUMIFS('Base bordo'!H$2:H$746,'Base bordo'!C$2:C$746,A486,'Base bordo'!B$2:B$746,B486,'Base bordo'!F$2:F$746,"DESLOCAMENTO CARREGADO"),0)</f>
        <v>65187.479999999996</v>
      </c>
      <c r="U486" s="10">
        <f>IFERROR(SUMIFS('Base bordo'!I$2:I$746,'Base bordo'!C$2:C$746,A486,'Base bordo'!B$2:B$746,B486,'Base bordo'!F$2:F$746,"DESLOCAMENTO CARREGADO"),0)</f>
        <v>2699</v>
      </c>
      <c r="V486" s="30">
        <f t="shared" si="56"/>
        <v>24.152456465357538</v>
      </c>
      <c r="W486" s="9">
        <f t="shared" si="57"/>
        <v>0.12973303870043001</v>
      </c>
      <c r="X486" s="9">
        <f t="shared" si="58"/>
        <v>4.0298017200191112E-2</v>
      </c>
      <c r="Y486" s="9">
        <f t="shared" si="59"/>
        <v>0.82996894409937894</v>
      </c>
    </row>
    <row r="487" spans="1:25" ht="15" customHeight="1" x14ac:dyDescent="0.35">
      <c r="A487" s="52">
        <v>8013472</v>
      </c>
      <c r="B487" s="51">
        <v>46123</v>
      </c>
      <c r="C487" s="7" t="s">
        <v>124</v>
      </c>
      <c r="D487" s="10">
        <f>IFERROR(SUMIFS('Base bordo'!G$2:G$746,'Base bordo'!C$2:C$746,A487,'Base bordo'!B$2:B$746,B487,'Base bordo'!F$2:F$746,"DESLOCAMENTO VAZIO"),0)</f>
        <v>2.9125000000000001</v>
      </c>
      <c r="E487" s="10">
        <f>IFERROR(SUMIFS('Base bordo'!G$2:G$746,'Base bordo'!C$2:C$746,A487,'Base bordo'!B$2:B$746,B487,'Base bordo'!F$2:F$746,"DESLOCAMENTO CARREGADO"),0)</f>
        <v>4.025555555555556</v>
      </c>
      <c r="F487" s="10">
        <f>IFERROR(SUMIFS('Base bordo'!G$2:G$746,'Base bordo'!C$2:C$746,A487,'Base bordo'!B$2:B$746,B487,'Base bordo'!F$2:F$746,"DESLOCAMENTO"),0)</f>
        <v>0</v>
      </c>
      <c r="G487" s="10">
        <f>IFERROR(SUMIFS('Base bordo'!G$2:G$746,'Base bordo'!C$2:C$746,A487,'Base bordo'!B$2:B$746,B487,'Base bordo'!F$2:F$746,"CARREGAMENTO"),0)</f>
        <v>0</v>
      </c>
      <c r="H487" s="10">
        <f>IFERROR(SUMIFS('Base bordo'!G$2:G$746,'Base bordo'!C$2:C$746,A487,'Base bordo'!B$2:B$746,B487,'Base bordo'!F$2:F$746,"AGUARDANDO TRANSBORDO"),0)</f>
        <v>0</v>
      </c>
      <c r="I487" s="10">
        <f>IFERROR(SUMIFS('Base bordo'!G$2:G$746,'Base bordo'!C$2:C$746,A487,'Base bordo'!B$2:B$746,B487,'Base bordo'!F$2:F$746,"PÁTIO INTERNO"),0)+IFERROR(SUMIFS('Base bordo'!G$2:G$746,'Base bordo'!C$2:C$746,A487,'Base bordo'!B$2:B$746,B487,'Base bordo'!F$2:F$746,"PÁTIO EXTERNO"),0)+IFERROR(SUMIFS('Base bordo'!G$2:G$746,'Base bordo'!C$2:C$746,A487,'Base bordo'!B$2:B$746,B487,'Base bordo'!F$2:F$746,"PATIO - RESERVA"),0)+IFERROR(SUMIFS('Base bordo'!G$2:G$746,'Base bordo'!C$2:C$746,A487,'Base bordo'!B$2:B$746,B487,'Base bordo'!F$2:F$746,"MANOBRA CARRETAS-PATIO"),0)</f>
        <v>1.0555555555555556</v>
      </c>
      <c r="J487" s="10">
        <f>IFERROR(SUMIFS('Base bordo'!G$2:G$746,'Base bordo'!C$2:C$746,A487,'Base bordo'!B$2:B$746,B487,'Base bordo'!F$2:F$746,"BALANÇA - ENTRADA"),0)+IFERROR(SUMIFS('Base bordo'!G$2:G$746,'Base bordo'!C$2:C$746,A487,'Base bordo'!B$2:B$746,B487,'Base bordo'!F$2:F$746,"BALANÇA - SAÍDA"),0)</f>
        <v>0</v>
      </c>
      <c r="K487" s="10">
        <f>IFERROR(SUMIFS('Base bordo'!G$2:G$746,'Base bordo'!C$2:C$746,A487,'Base bordo'!B$2:B$746,B487,'Base bordo'!F$2:F$746,"MAN PREVENTIVA - MECANICA"),0)+IFERROR(SUMIFS('Base bordo'!G$2:G$746,'Base bordo'!C$2:C$746,A487,'Base bordo'!B$2:B$746,B487,'Base bordo'!F$2:F$746,"MAN CORRETIVA - MECANICA"),0)</f>
        <v>0</v>
      </c>
      <c r="L487" s="10">
        <f>IFERROR(SUMIFS('Base bordo'!G$2:G$746,'Base bordo'!C$2:C$746,A487,'Base bordo'!B$2:B$746,B487,'Base bordo'!F$2:F$746,"MANUTENCAO - T O"),0)+IFERROR(SUMIFS('Base bordo'!G$2:G$746,'Base bordo'!C$2:C$746,A487,'Base bordo'!B$2:B$746,B487,'Base bordo'!F$2:F$746,"MANUTENCAO BORRACHARIA"),0)+IFERROR(SUMIFS('Base bordo'!G$2:G$746,'Base bordo'!C$2:C$746,A487,'Base bordo'!B$2:B$746,B487,'Base bordo'!F$2:F$746,"MANUTENCAO EXTERNA  CONCESSIONARIA"),0)+IFERROR(SUMIFS('Base bordo'!G$2:G$746,'Base bordo'!C$2:C$746,A487,'Base bordo'!B$2:B$746,B487,'Base bordo'!F$2:F$746,"MANUTENCAO TELEMETRIA"),0)</f>
        <v>0</v>
      </c>
      <c r="M487" s="10">
        <f>IFERROR(SUMIFS('Base bordo'!G$2:G$746,'Base bordo'!C$2:C$746,A487,'Base bordo'!B$2:B$746,B487,'Base bordo'!F$2:F$746,"AGUARDANDO MANUTENCAO"),0)</f>
        <v>0</v>
      </c>
      <c r="N487" s="10">
        <f>IFERROR(SUMIFS('Base bordo'!G$2:G$746,'Base bordo'!C$2:C$746,A487,'Base bordo'!B$2:B$746,B487,'Base bordo'!F$2:F$746,"SEM APONTAMENTO"),0)</f>
        <v>0</v>
      </c>
      <c r="O487" s="10">
        <f t="shared" si="54"/>
        <v>5.4444444444444073E-2</v>
      </c>
      <c r="P487" s="10">
        <f>IFERROR(SUMIFS('Base bordo'!G$2:G$746,'Base bordo'!C$2:C$746,A487,'Base bordo'!B$2:B$746,B487),0)</f>
        <v>8.0480555555555551</v>
      </c>
      <c r="Q487" s="10">
        <f>IFERROR(SUMIFS('Base bordo'!H$2:H$746,'Base bordo'!C$2:C$746,A487,'Base bordo'!B$2:B$746,B487,'Base bordo'!F$2:F$746,"DESLOCAMENTO VAZIO"),0)</f>
        <v>341096.53</v>
      </c>
      <c r="R487" s="10">
        <f>IFERROR(SUMIFS('Base bordo'!I$2:I$746,'Base bordo'!C$2:C$746,A487,'Base bordo'!B$2:B$746,B487,'Base bordo'!F$2:F$746,"DESLOCAMENTO VAZIO"),0)</f>
        <v>10485</v>
      </c>
      <c r="S487" s="30">
        <f t="shared" si="55"/>
        <v>32.531857892226995</v>
      </c>
      <c r="T487" s="10">
        <f>IFERROR(SUMIFS('Base bordo'!H$2:H$746,'Base bordo'!C$2:C$746,A487,'Base bordo'!B$2:B$746,B487,'Base bordo'!F$2:F$746,"DESLOCAMENTO CARREGADO"),0)</f>
        <v>344294.46</v>
      </c>
      <c r="U487" s="10">
        <f>IFERROR(SUMIFS('Base bordo'!I$2:I$746,'Base bordo'!C$2:C$746,A487,'Base bordo'!B$2:B$746,B487,'Base bordo'!F$2:F$746,"DESLOCAMENTO CARREGADO"),0)</f>
        <v>14479</v>
      </c>
      <c r="V487" s="30">
        <f t="shared" si="56"/>
        <v>23.778883900821882</v>
      </c>
      <c r="W487" s="9">
        <f t="shared" si="57"/>
        <v>0.36188865495461292</v>
      </c>
      <c r="X487" s="9">
        <f t="shared" si="58"/>
        <v>0.50018983191247035</v>
      </c>
      <c r="Y487" s="9">
        <f t="shared" si="59"/>
        <v>0.13792151313291678</v>
      </c>
    </row>
    <row r="488" spans="1:25" ht="15" customHeight="1" x14ac:dyDescent="0.35">
      <c r="A488" s="52">
        <v>8013460</v>
      </c>
      <c r="B488" s="51">
        <v>46118</v>
      </c>
      <c r="C488" s="7" t="s">
        <v>124</v>
      </c>
      <c r="D488" s="10">
        <f>IFERROR(SUMIFS('Base bordo'!G$2:G$746,'Base bordo'!C$2:C$746,A488,'Base bordo'!B$2:B$746,B488,'Base bordo'!F$2:F$746,"DESLOCAMENTO VAZIO"),0)</f>
        <v>1.5016666666666667</v>
      </c>
      <c r="E488" s="10">
        <f>IFERROR(SUMIFS('Base bordo'!G$2:G$746,'Base bordo'!C$2:C$746,A488,'Base bordo'!B$2:B$746,B488,'Base bordo'!F$2:F$746,"DESLOCAMENTO CARREGADO"),0)</f>
        <v>1.5738888888888889</v>
      </c>
      <c r="F488" s="10">
        <f>IFERROR(SUMIFS('Base bordo'!G$2:G$746,'Base bordo'!C$2:C$746,A488,'Base bordo'!B$2:B$746,B488,'Base bordo'!F$2:F$746,"DESLOCAMENTO"),0)</f>
        <v>0.6744444444444444</v>
      </c>
      <c r="G488" s="10">
        <f>IFERROR(SUMIFS('Base bordo'!G$2:G$746,'Base bordo'!C$2:C$746,A488,'Base bordo'!B$2:B$746,B488,'Base bordo'!F$2:F$746,"CARREGAMENTO"),0)</f>
        <v>1.0088888888888889</v>
      </c>
      <c r="H488" s="10">
        <f>IFERROR(SUMIFS('Base bordo'!G$2:G$746,'Base bordo'!C$2:C$746,A488,'Base bordo'!B$2:B$746,B488,'Base bordo'!F$2:F$746,"AGUARDANDO TRANSBORDO"),0)</f>
        <v>8.4444444444444447E-2</v>
      </c>
      <c r="I488" s="10">
        <f>IFERROR(SUMIFS('Base bordo'!G$2:G$746,'Base bordo'!C$2:C$746,A488,'Base bordo'!B$2:B$746,B488,'Base bordo'!F$2:F$746,"PÁTIO INTERNO"),0)+IFERROR(SUMIFS('Base bordo'!G$2:G$746,'Base bordo'!C$2:C$746,A488,'Base bordo'!B$2:B$746,B488,'Base bordo'!F$2:F$746,"PÁTIO EXTERNO"),0)+IFERROR(SUMIFS('Base bordo'!G$2:G$746,'Base bordo'!C$2:C$746,A488,'Base bordo'!B$2:B$746,B488,'Base bordo'!F$2:F$746,"PATIO - RESERVA"),0)+IFERROR(SUMIFS('Base bordo'!G$2:G$746,'Base bordo'!C$2:C$746,A488,'Base bordo'!B$2:B$746,B488,'Base bordo'!F$2:F$746,"MANOBRA CARRETAS-PATIO"),0)</f>
        <v>16.206388888888888</v>
      </c>
      <c r="J488" s="10">
        <f>IFERROR(SUMIFS('Base bordo'!G$2:G$746,'Base bordo'!C$2:C$746,A488,'Base bordo'!B$2:B$746,B488,'Base bordo'!F$2:F$746,"BALANÇA - ENTRADA"),0)+IFERROR(SUMIFS('Base bordo'!G$2:G$746,'Base bordo'!C$2:C$746,A488,'Base bordo'!B$2:B$746,B488,'Base bordo'!F$2:F$746,"BALANÇA - SAÍDA"),0)</f>
        <v>0.24055555555555555</v>
      </c>
      <c r="K488" s="10">
        <f>IFERROR(SUMIFS('Base bordo'!G$2:G$746,'Base bordo'!C$2:C$746,A488,'Base bordo'!B$2:B$746,B488,'Base bordo'!F$2:F$746,"MAN PREVENTIVA - MECANICA"),0)+IFERROR(SUMIFS('Base bordo'!G$2:G$746,'Base bordo'!C$2:C$746,A488,'Base bordo'!B$2:B$746,B488,'Base bordo'!F$2:F$746,"MAN CORRETIVA - MECANICA"),0)</f>
        <v>0</v>
      </c>
      <c r="L488" s="10">
        <f>IFERROR(SUMIFS('Base bordo'!G$2:G$746,'Base bordo'!C$2:C$746,A488,'Base bordo'!B$2:B$746,B488,'Base bordo'!F$2:F$746,"MANUTENCAO - T O"),0)+IFERROR(SUMIFS('Base bordo'!G$2:G$746,'Base bordo'!C$2:C$746,A488,'Base bordo'!B$2:B$746,B488,'Base bordo'!F$2:F$746,"MANUTENCAO BORRACHARIA"),0)+IFERROR(SUMIFS('Base bordo'!G$2:G$746,'Base bordo'!C$2:C$746,A488,'Base bordo'!B$2:B$746,B488,'Base bordo'!F$2:F$746,"MANUTENCAO EXTERNA  CONCESSIONARIA"),0)+IFERROR(SUMIFS('Base bordo'!G$2:G$746,'Base bordo'!C$2:C$746,A488,'Base bordo'!B$2:B$746,B488,'Base bordo'!F$2:F$746,"MANUTENCAO TELEMETRIA"),0)</f>
        <v>0.9719444444444445</v>
      </c>
      <c r="M488" s="10">
        <f>IFERROR(SUMIFS('Base bordo'!G$2:G$746,'Base bordo'!C$2:C$746,A488,'Base bordo'!B$2:B$746,B488,'Base bordo'!F$2:F$746,"AGUARDANDO MANUTENCAO"),0)</f>
        <v>0</v>
      </c>
      <c r="N488" s="10">
        <f>IFERROR(SUMIFS('Base bordo'!G$2:G$746,'Base bordo'!C$2:C$746,A488,'Base bordo'!B$2:B$746,B488,'Base bordo'!F$2:F$746,"SEM APONTAMENTO"),0)</f>
        <v>0.83916666666666662</v>
      </c>
      <c r="O488" s="10">
        <f t="shared" si="54"/>
        <v>0.89861111111111569</v>
      </c>
      <c r="P488" s="10">
        <f>IFERROR(SUMIFS('Base bordo'!G$2:G$746,'Base bordo'!C$2:C$746,A488,'Base bordo'!B$2:B$746,B488),0)</f>
        <v>24.000000000000004</v>
      </c>
      <c r="Q488" s="10">
        <f>IFERROR(SUMIFS('Base bordo'!H$2:H$746,'Base bordo'!C$2:C$746,A488,'Base bordo'!B$2:B$746,B488,'Base bordo'!F$2:F$746,"DESLOCAMENTO VAZIO"),0)</f>
        <v>102676.29</v>
      </c>
      <c r="R488" s="10">
        <f>IFERROR(SUMIFS('Base bordo'!I$2:I$746,'Base bordo'!C$2:C$746,A488,'Base bordo'!B$2:B$746,B488,'Base bordo'!F$2:F$746,"DESLOCAMENTO VAZIO"),0)</f>
        <v>5406</v>
      </c>
      <c r="S488" s="30">
        <f t="shared" si="55"/>
        <v>18.993024417314093</v>
      </c>
      <c r="T488" s="10">
        <f>IFERROR(SUMIFS('Base bordo'!H$2:H$746,'Base bordo'!C$2:C$746,A488,'Base bordo'!B$2:B$746,B488,'Base bordo'!F$2:F$746,"DESLOCAMENTO CARREGADO"),0)</f>
        <v>136256.08000000002</v>
      </c>
      <c r="U488" s="10">
        <f>IFERROR(SUMIFS('Base bordo'!I$2:I$746,'Base bordo'!C$2:C$746,A488,'Base bordo'!B$2:B$746,B488,'Base bordo'!F$2:F$746,"DESLOCAMENTO CARREGADO"),0)</f>
        <v>5660</v>
      </c>
      <c r="V488" s="30">
        <f t="shared" si="56"/>
        <v>24.073512367491169</v>
      </c>
      <c r="W488" s="9">
        <f t="shared" si="57"/>
        <v>6.2569444444444441E-2</v>
      </c>
      <c r="X488" s="9">
        <f t="shared" si="58"/>
        <v>6.5578703703703695E-2</v>
      </c>
      <c r="Y488" s="9">
        <f t="shared" si="59"/>
        <v>0.87185185185185188</v>
      </c>
    </row>
    <row r="489" spans="1:25" ht="15" customHeight="1" x14ac:dyDescent="0.35">
      <c r="A489" s="52">
        <v>8013469</v>
      </c>
      <c r="B489" s="51">
        <v>46119</v>
      </c>
      <c r="C489" s="7" t="s">
        <v>124</v>
      </c>
      <c r="D489" s="10">
        <f>IFERROR(SUMIFS('Base bordo'!G$2:G$746,'Base bordo'!C$2:C$746,A489,'Base bordo'!B$2:B$746,B489,'Base bordo'!F$2:F$746,"DESLOCAMENTO VAZIO"),0)</f>
        <v>0.25611111111111112</v>
      </c>
      <c r="E489" s="10">
        <f>IFERROR(SUMIFS('Base bordo'!G$2:G$746,'Base bordo'!C$2:C$746,A489,'Base bordo'!B$2:B$746,B489,'Base bordo'!F$2:F$746,"DESLOCAMENTO CARREGADO"),0)</f>
        <v>1.7777777777777778E-2</v>
      </c>
      <c r="F489" s="10">
        <f>IFERROR(SUMIFS('Base bordo'!G$2:G$746,'Base bordo'!C$2:C$746,A489,'Base bordo'!B$2:B$746,B489,'Base bordo'!F$2:F$746,"DESLOCAMENTO"),0)</f>
        <v>0</v>
      </c>
      <c r="G489" s="10">
        <f>IFERROR(SUMIFS('Base bordo'!G$2:G$746,'Base bordo'!C$2:C$746,A489,'Base bordo'!B$2:B$746,B489,'Base bordo'!F$2:F$746,"CARREGAMENTO"),0)</f>
        <v>0</v>
      </c>
      <c r="H489" s="10">
        <f>IFERROR(SUMIFS('Base bordo'!G$2:G$746,'Base bordo'!C$2:C$746,A489,'Base bordo'!B$2:B$746,B489,'Base bordo'!F$2:F$746,"AGUARDANDO TRANSBORDO"),0)</f>
        <v>0</v>
      </c>
      <c r="I489" s="10">
        <f>IFERROR(SUMIFS('Base bordo'!G$2:G$746,'Base bordo'!C$2:C$746,A489,'Base bordo'!B$2:B$746,B489,'Base bordo'!F$2:F$746,"PÁTIO INTERNO"),0)+IFERROR(SUMIFS('Base bordo'!G$2:G$746,'Base bordo'!C$2:C$746,A489,'Base bordo'!B$2:B$746,B489,'Base bordo'!F$2:F$746,"PÁTIO EXTERNO"),0)+IFERROR(SUMIFS('Base bordo'!G$2:G$746,'Base bordo'!C$2:C$746,A489,'Base bordo'!B$2:B$746,B489,'Base bordo'!F$2:F$746,"PATIO - RESERVA"),0)+IFERROR(SUMIFS('Base bordo'!G$2:G$746,'Base bordo'!C$2:C$746,A489,'Base bordo'!B$2:B$746,B489,'Base bordo'!F$2:F$746,"MANOBRA CARRETAS-PATIO"),0)</f>
        <v>9.2025000000000006</v>
      </c>
      <c r="J489" s="10">
        <f>IFERROR(SUMIFS('Base bordo'!G$2:G$746,'Base bordo'!C$2:C$746,A489,'Base bordo'!B$2:B$746,B489,'Base bordo'!F$2:F$746,"BALANÇA - ENTRADA"),0)+IFERROR(SUMIFS('Base bordo'!G$2:G$746,'Base bordo'!C$2:C$746,A489,'Base bordo'!B$2:B$746,B489,'Base bordo'!F$2:F$746,"BALANÇA - SAÍDA"),0)</f>
        <v>5.3055555555555557E-2</v>
      </c>
      <c r="K489" s="10">
        <f>IFERROR(SUMIFS('Base bordo'!G$2:G$746,'Base bordo'!C$2:C$746,A489,'Base bordo'!B$2:B$746,B489,'Base bordo'!F$2:F$746,"MAN PREVENTIVA - MECANICA"),0)+IFERROR(SUMIFS('Base bordo'!G$2:G$746,'Base bordo'!C$2:C$746,A489,'Base bordo'!B$2:B$746,B489,'Base bordo'!F$2:F$746,"MAN CORRETIVA - MECANICA"),0)</f>
        <v>0</v>
      </c>
      <c r="L489" s="10">
        <f>IFERROR(SUMIFS('Base bordo'!G$2:G$746,'Base bordo'!C$2:C$746,A489,'Base bordo'!B$2:B$746,B489,'Base bordo'!F$2:F$746,"MANUTENCAO - T O"),0)+IFERROR(SUMIFS('Base bordo'!G$2:G$746,'Base bordo'!C$2:C$746,A489,'Base bordo'!B$2:B$746,B489,'Base bordo'!F$2:F$746,"MANUTENCAO BORRACHARIA"),0)+IFERROR(SUMIFS('Base bordo'!G$2:G$746,'Base bordo'!C$2:C$746,A489,'Base bordo'!B$2:B$746,B489,'Base bordo'!F$2:F$746,"MANUTENCAO EXTERNA  CONCESSIONARIA"),0)+IFERROR(SUMIFS('Base bordo'!G$2:G$746,'Base bordo'!C$2:C$746,A489,'Base bordo'!B$2:B$746,B489,'Base bordo'!F$2:F$746,"MANUTENCAO TELEMETRIA"),0)</f>
        <v>0</v>
      </c>
      <c r="M489" s="10">
        <f>IFERROR(SUMIFS('Base bordo'!G$2:G$746,'Base bordo'!C$2:C$746,A489,'Base bordo'!B$2:B$746,B489,'Base bordo'!F$2:F$746,"AGUARDANDO MANUTENCAO"),0)</f>
        <v>0</v>
      </c>
      <c r="N489" s="10">
        <f>IFERROR(SUMIFS('Base bordo'!G$2:G$746,'Base bordo'!C$2:C$746,A489,'Base bordo'!B$2:B$746,B489,'Base bordo'!F$2:F$746,"SEM APONTAMENTO"),0)</f>
        <v>0</v>
      </c>
      <c r="O489" s="10">
        <f t="shared" si="54"/>
        <v>-3.5527136788005009E-15</v>
      </c>
      <c r="P489" s="10">
        <f>IFERROR(SUMIFS('Base bordo'!G$2:G$746,'Base bordo'!C$2:C$746,A489,'Base bordo'!B$2:B$746,B489),0)</f>
        <v>9.5294444444444419</v>
      </c>
      <c r="Q489" s="10">
        <f>IFERROR(SUMIFS('Base bordo'!H$2:H$746,'Base bordo'!C$2:C$746,A489,'Base bordo'!B$2:B$746,B489,'Base bordo'!F$2:F$746,"DESLOCAMENTO VAZIO"),0)</f>
        <v>8165.6500000000015</v>
      </c>
      <c r="R489" s="10">
        <f>IFERROR(SUMIFS('Base bordo'!I$2:I$746,'Base bordo'!C$2:C$746,A489,'Base bordo'!B$2:B$746,B489,'Base bordo'!F$2:F$746,"DESLOCAMENTO VAZIO"),0)</f>
        <v>922</v>
      </c>
      <c r="S489" s="30">
        <f t="shared" si="55"/>
        <v>8.8564533622559676</v>
      </c>
      <c r="T489" s="10">
        <f>IFERROR(SUMIFS('Base bordo'!H$2:H$746,'Base bordo'!C$2:C$746,A489,'Base bordo'!B$2:B$746,B489,'Base bordo'!F$2:F$746,"DESLOCAMENTO CARREGADO"),0)</f>
        <v>245.12</v>
      </c>
      <c r="U489" s="10">
        <f>IFERROR(SUMIFS('Base bordo'!I$2:I$746,'Base bordo'!C$2:C$746,A489,'Base bordo'!B$2:B$746,B489,'Base bordo'!F$2:F$746,"DESLOCAMENTO CARREGADO"),0)</f>
        <v>64</v>
      </c>
      <c r="V489" s="30">
        <f t="shared" si="56"/>
        <v>3.83</v>
      </c>
      <c r="W489" s="9">
        <f t="shared" si="57"/>
        <v>2.6875765172273081E-2</v>
      </c>
      <c r="X489" s="9">
        <f t="shared" si="58"/>
        <v>1.8655628752987821E-3</v>
      </c>
      <c r="Y489" s="9">
        <f t="shared" si="59"/>
        <v>0.9712586719524281</v>
      </c>
    </row>
    <row r="490" spans="1:25" ht="15" customHeight="1" x14ac:dyDescent="0.35">
      <c r="A490" s="52">
        <v>8013482</v>
      </c>
      <c r="B490" s="51">
        <v>46117</v>
      </c>
      <c r="C490" s="7" t="s">
        <v>124</v>
      </c>
      <c r="D490" s="10">
        <f>IFERROR(SUMIFS('Base bordo'!G$2:G$746,'Base bordo'!C$2:C$746,A490,'Base bordo'!B$2:B$746,B490,'Base bordo'!F$2:F$746,"DESLOCAMENTO VAZIO"),0)</f>
        <v>1.7844444444444445</v>
      </c>
      <c r="E490" s="10">
        <f>IFERROR(SUMIFS('Base bordo'!G$2:G$746,'Base bordo'!C$2:C$746,A490,'Base bordo'!B$2:B$746,B490,'Base bordo'!F$2:F$746,"DESLOCAMENTO CARREGADO"),0)</f>
        <v>0</v>
      </c>
      <c r="F490" s="10">
        <f>IFERROR(SUMIFS('Base bordo'!G$2:G$746,'Base bordo'!C$2:C$746,A490,'Base bordo'!B$2:B$746,B490,'Base bordo'!F$2:F$746,"DESLOCAMENTO"),0)</f>
        <v>0</v>
      </c>
      <c r="G490" s="10">
        <f>IFERROR(SUMIFS('Base bordo'!G$2:G$746,'Base bordo'!C$2:C$746,A490,'Base bordo'!B$2:B$746,B490,'Base bordo'!F$2:F$746,"CARREGAMENTO"),0)</f>
        <v>0</v>
      </c>
      <c r="H490" s="10">
        <f>IFERROR(SUMIFS('Base bordo'!G$2:G$746,'Base bordo'!C$2:C$746,A490,'Base bordo'!B$2:B$746,B490,'Base bordo'!F$2:F$746,"AGUARDANDO TRANSBORDO"),0)</f>
        <v>3.6680555555555556</v>
      </c>
      <c r="I490" s="10">
        <f>IFERROR(SUMIFS('Base bordo'!G$2:G$746,'Base bordo'!C$2:C$746,A490,'Base bordo'!B$2:B$746,B490,'Base bordo'!F$2:F$746,"PÁTIO INTERNO"),0)+IFERROR(SUMIFS('Base bordo'!G$2:G$746,'Base bordo'!C$2:C$746,A490,'Base bordo'!B$2:B$746,B490,'Base bordo'!F$2:F$746,"PÁTIO EXTERNO"),0)+IFERROR(SUMIFS('Base bordo'!G$2:G$746,'Base bordo'!C$2:C$746,A490,'Base bordo'!B$2:B$746,B490,'Base bordo'!F$2:F$746,"PATIO - RESERVA"),0)+IFERROR(SUMIFS('Base bordo'!G$2:G$746,'Base bordo'!C$2:C$746,A490,'Base bordo'!B$2:B$746,B490,'Base bordo'!F$2:F$746,"MANOBRA CARRETAS-PATIO"),0)</f>
        <v>0</v>
      </c>
      <c r="J490" s="10">
        <f>IFERROR(SUMIFS('Base bordo'!G$2:G$746,'Base bordo'!C$2:C$746,A490,'Base bordo'!B$2:B$746,B490,'Base bordo'!F$2:F$746,"BALANÇA - ENTRADA"),0)+IFERROR(SUMIFS('Base bordo'!G$2:G$746,'Base bordo'!C$2:C$746,A490,'Base bordo'!B$2:B$746,B490,'Base bordo'!F$2:F$746,"BALANÇA - SAÍDA"),0)</f>
        <v>0</v>
      </c>
      <c r="K490" s="10">
        <f>IFERROR(SUMIFS('Base bordo'!G$2:G$746,'Base bordo'!C$2:C$746,A490,'Base bordo'!B$2:B$746,B490,'Base bordo'!F$2:F$746,"MAN PREVENTIVA - MECANICA"),0)+IFERROR(SUMIFS('Base bordo'!G$2:G$746,'Base bordo'!C$2:C$746,A490,'Base bordo'!B$2:B$746,B490,'Base bordo'!F$2:F$746,"MAN CORRETIVA - MECANICA"),0)</f>
        <v>0</v>
      </c>
      <c r="L490" s="10">
        <f>IFERROR(SUMIFS('Base bordo'!G$2:G$746,'Base bordo'!C$2:C$746,A490,'Base bordo'!B$2:B$746,B490,'Base bordo'!F$2:F$746,"MANUTENCAO - T O"),0)+IFERROR(SUMIFS('Base bordo'!G$2:G$746,'Base bordo'!C$2:C$746,A490,'Base bordo'!B$2:B$746,B490,'Base bordo'!F$2:F$746,"MANUTENCAO BORRACHARIA"),0)+IFERROR(SUMIFS('Base bordo'!G$2:G$746,'Base bordo'!C$2:C$746,A490,'Base bordo'!B$2:B$746,B490,'Base bordo'!F$2:F$746,"MANUTENCAO EXTERNA  CONCESSIONARIA"),0)+IFERROR(SUMIFS('Base bordo'!G$2:G$746,'Base bordo'!C$2:C$746,A490,'Base bordo'!B$2:B$746,B490,'Base bordo'!F$2:F$746,"MANUTENCAO TELEMETRIA"),0)</f>
        <v>18.442222222222224</v>
      </c>
      <c r="M490" s="10">
        <f>IFERROR(SUMIFS('Base bordo'!G$2:G$746,'Base bordo'!C$2:C$746,A490,'Base bordo'!B$2:B$746,B490,'Base bordo'!F$2:F$746,"AGUARDANDO MANUTENCAO"),0)</f>
        <v>0</v>
      </c>
      <c r="N490" s="10">
        <f>IFERROR(SUMIFS('Base bordo'!G$2:G$746,'Base bordo'!C$2:C$746,A490,'Base bordo'!B$2:B$746,B490,'Base bordo'!F$2:F$746,"SEM APONTAMENTO"),0)</f>
        <v>0</v>
      </c>
      <c r="O490" s="10">
        <f t="shared" si="54"/>
        <v>0.10527777777777558</v>
      </c>
      <c r="P490" s="10">
        <f>IFERROR(SUMIFS('Base bordo'!G$2:G$746,'Base bordo'!C$2:C$746,A490,'Base bordo'!B$2:B$746,B490),0)</f>
        <v>24</v>
      </c>
      <c r="Q490" s="10">
        <f>IFERROR(SUMIFS('Base bordo'!H$2:H$746,'Base bordo'!C$2:C$746,A490,'Base bordo'!B$2:B$746,B490,'Base bordo'!F$2:F$746,"DESLOCAMENTO VAZIO"),0)</f>
        <v>267139.11</v>
      </c>
      <c r="R490" s="10">
        <f>IFERROR(SUMIFS('Base bordo'!I$2:I$746,'Base bordo'!C$2:C$746,A490,'Base bordo'!B$2:B$746,B490,'Base bordo'!F$2:F$746,"DESLOCAMENTO VAZIO"),0)</f>
        <v>6424</v>
      </c>
      <c r="S490" s="30">
        <f t="shared" si="55"/>
        <v>41.584543897882938</v>
      </c>
      <c r="T490" s="10">
        <f>IFERROR(SUMIFS('Base bordo'!H$2:H$746,'Base bordo'!C$2:C$746,A490,'Base bordo'!B$2:B$746,B490,'Base bordo'!F$2:F$746,"DESLOCAMENTO CARREGADO"),0)</f>
        <v>0</v>
      </c>
      <c r="U490" s="10">
        <f>IFERROR(SUMIFS('Base bordo'!I$2:I$746,'Base bordo'!C$2:C$746,A490,'Base bordo'!B$2:B$746,B490,'Base bordo'!F$2:F$746,"DESLOCAMENTO CARREGADO"),0)</f>
        <v>0</v>
      </c>
      <c r="V490" s="30" t="str">
        <f t="shared" si="56"/>
        <v/>
      </c>
      <c r="W490" s="9">
        <f t="shared" si="57"/>
        <v>7.435185185185185E-2</v>
      </c>
      <c r="X490" s="9">
        <f t="shared" si="58"/>
        <v>0</v>
      </c>
      <c r="Y490" s="9">
        <f t="shared" si="59"/>
        <v>0.92564814814814811</v>
      </c>
    </row>
    <row r="491" spans="1:25" ht="15" customHeight="1" x14ac:dyDescent="0.35">
      <c r="A491" s="52">
        <v>8013476</v>
      </c>
      <c r="B491" s="51">
        <v>46124</v>
      </c>
      <c r="C491" s="7" t="s">
        <v>124</v>
      </c>
      <c r="D491" s="10">
        <f>IFERROR(SUMIFS('Base bordo'!G$2:G$746,'Base bordo'!C$2:C$746,A491,'Base bordo'!B$2:B$746,B491,'Base bordo'!F$2:F$746,"DESLOCAMENTO VAZIO"),0)</f>
        <v>2.296388888888889</v>
      </c>
      <c r="E491" s="10">
        <f>IFERROR(SUMIFS('Base bordo'!G$2:G$746,'Base bordo'!C$2:C$746,A491,'Base bordo'!B$2:B$746,B491,'Base bordo'!F$2:F$746,"DESLOCAMENTO CARREGADO"),0)</f>
        <v>2.1016666666666666</v>
      </c>
      <c r="F491" s="10">
        <f>IFERROR(SUMIFS('Base bordo'!G$2:G$746,'Base bordo'!C$2:C$746,A491,'Base bordo'!B$2:B$746,B491,'Base bordo'!F$2:F$746,"DESLOCAMENTO"),0)</f>
        <v>0</v>
      </c>
      <c r="G491" s="10">
        <f>IFERROR(SUMIFS('Base bordo'!G$2:G$746,'Base bordo'!C$2:C$746,A491,'Base bordo'!B$2:B$746,B491,'Base bordo'!F$2:F$746,"CARREGAMENTO"),0)</f>
        <v>0</v>
      </c>
      <c r="H491" s="10">
        <f>IFERROR(SUMIFS('Base bordo'!G$2:G$746,'Base bordo'!C$2:C$746,A491,'Base bordo'!B$2:B$746,B491,'Base bordo'!F$2:F$746,"AGUARDANDO TRANSBORDO"),0)</f>
        <v>0.23694444444444446</v>
      </c>
      <c r="I491" s="10">
        <f>IFERROR(SUMIFS('Base bordo'!G$2:G$746,'Base bordo'!C$2:C$746,A491,'Base bordo'!B$2:B$746,B491,'Base bordo'!F$2:F$746,"PÁTIO INTERNO"),0)+IFERROR(SUMIFS('Base bordo'!G$2:G$746,'Base bordo'!C$2:C$746,A491,'Base bordo'!B$2:B$746,B491,'Base bordo'!F$2:F$746,"PÁTIO EXTERNO"),0)+IFERROR(SUMIFS('Base bordo'!G$2:G$746,'Base bordo'!C$2:C$746,A491,'Base bordo'!B$2:B$746,B491,'Base bordo'!F$2:F$746,"PATIO - RESERVA"),0)+IFERROR(SUMIFS('Base bordo'!G$2:G$746,'Base bordo'!C$2:C$746,A491,'Base bordo'!B$2:B$746,B491,'Base bordo'!F$2:F$746,"MANOBRA CARRETAS-PATIO"),0)</f>
        <v>5.0583333333333336</v>
      </c>
      <c r="J491" s="10">
        <f>IFERROR(SUMIFS('Base bordo'!G$2:G$746,'Base bordo'!C$2:C$746,A491,'Base bordo'!B$2:B$746,B491,'Base bordo'!F$2:F$746,"BALANÇA - ENTRADA"),0)+IFERROR(SUMIFS('Base bordo'!G$2:G$746,'Base bordo'!C$2:C$746,A491,'Base bordo'!B$2:B$746,B491,'Base bordo'!F$2:F$746,"BALANÇA - SAÍDA"),0)</f>
        <v>0.23805555555555558</v>
      </c>
      <c r="K491" s="10">
        <f>IFERROR(SUMIFS('Base bordo'!G$2:G$746,'Base bordo'!C$2:C$746,A491,'Base bordo'!B$2:B$746,B491,'Base bordo'!F$2:F$746,"MAN PREVENTIVA - MECANICA"),0)+IFERROR(SUMIFS('Base bordo'!G$2:G$746,'Base bordo'!C$2:C$746,A491,'Base bordo'!B$2:B$746,B491,'Base bordo'!F$2:F$746,"MAN CORRETIVA - MECANICA"),0)</f>
        <v>0</v>
      </c>
      <c r="L491" s="10">
        <f>IFERROR(SUMIFS('Base bordo'!G$2:G$746,'Base bordo'!C$2:C$746,A491,'Base bordo'!B$2:B$746,B491,'Base bordo'!F$2:F$746,"MANUTENCAO - T O"),0)+IFERROR(SUMIFS('Base bordo'!G$2:G$746,'Base bordo'!C$2:C$746,A491,'Base bordo'!B$2:B$746,B491,'Base bordo'!F$2:F$746,"MANUTENCAO BORRACHARIA"),0)+IFERROR(SUMIFS('Base bordo'!G$2:G$746,'Base bordo'!C$2:C$746,A491,'Base bordo'!B$2:B$746,B491,'Base bordo'!F$2:F$746,"MANUTENCAO EXTERNA  CONCESSIONARIA"),0)+IFERROR(SUMIFS('Base bordo'!G$2:G$746,'Base bordo'!C$2:C$746,A491,'Base bordo'!B$2:B$746,B491,'Base bordo'!F$2:F$746,"MANUTENCAO TELEMETRIA"),0)</f>
        <v>0</v>
      </c>
      <c r="M491" s="10">
        <f>IFERROR(SUMIFS('Base bordo'!G$2:G$746,'Base bordo'!C$2:C$746,A491,'Base bordo'!B$2:B$746,B491,'Base bordo'!F$2:F$746,"AGUARDANDO MANUTENCAO"),0)</f>
        <v>0</v>
      </c>
      <c r="N491" s="10">
        <f>IFERROR(SUMIFS('Base bordo'!G$2:G$746,'Base bordo'!C$2:C$746,A491,'Base bordo'!B$2:B$746,B491,'Base bordo'!F$2:F$746,"SEM APONTAMENTO"),0)</f>
        <v>0</v>
      </c>
      <c r="O491" s="10">
        <f t="shared" si="54"/>
        <v>0</v>
      </c>
      <c r="P491" s="10">
        <f>IFERROR(SUMIFS('Base bordo'!G$2:G$746,'Base bordo'!C$2:C$746,A491,'Base bordo'!B$2:B$746,B491),0)</f>
        <v>9.9313888888888897</v>
      </c>
      <c r="Q491" s="10">
        <f>IFERROR(SUMIFS('Base bordo'!H$2:H$746,'Base bordo'!C$2:C$746,A491,'Base bordo'!B$2:B$746,B491,'Base bordo'!F$2:F$746,"DESLOCAMENTO VAZIO"),0)</f>
        <v>272442.8</v>
      </c>
      <c r="R491" s="10">
        <f>IFERROR(SUMIFS('Base bordo'!I$2:I$746,'Base bordo'!C$2:C$746,A491,'Base bordo'!B$2:B$746,B491,'Base bordo'!F$2:F$746,"DESLOCAMENTO VAZIO"),0)</f>
        <v>8267</v>
      </c>
      <c r="S491" s="30">
        <f t="shared" si="55"/>
        <v>32.955461473327688</v>
      </c>
      <c r="T491" s="10">
        <f>IFERROR(SUMIFS('Base bordo'!H$2:H$746,'Base bordo'!C$2:C$746,A491,'Base bordo'!B$2:B$746,B491,'Base bordo'!F$2:F$746,"DESLOCAMENTO CARREGADO"),0)</f>
        <v>216680.51</v>
      </c>
      <c r="U491" s="10">
        <f>IFERROR(SUMIFS('Base bordo'!I$2:I$746,'Base bordo'!C$2:C$746,A491,'Base bordo'!B$2:B$746,B491,'Base bordo'!F$2:F$746,"DESLOCAMENTO CARREGADO"),0)</f>
        <v>7566</v>
      </c>
      <c r="V491" s="30">
        <f t="shared" si="56"/>
        <v>28.638713983610891</v>
      </c>
      <c r="W491" s="9">
        <f t="shared" si="57"/>
        <v>0.23122535171873687</v>
      </c>
      <c r="X491" s="9">
        <f t="shared" si="58"/>
        <v>0.21161860543171199</v>
      </c>
      <c r="Y491" s="9">
        <f t="shared" si="59"/>
        <v>0.55715604284955111</v>
      </c>
    </row>
    <row r="492" spans="1:25" ht="15" customHeight="1" x14ac:dyDescent="0.35">
      <c r="A492" s="52">
        <v>8013481</v>
      </c>
      <c r="B492" s="51">
        <v>46119</v>
      </c>
      <c r="C492" s="7" t="s">
        <v>124</v>
      </c>
      <c r="D492" s="10">
        <f>IFERROR(SUMIFS('Base bordo'!G$2:G$746,'Base bordo'!C$2:C$746,A492,'Base bordo'!B$2:B$746,B492,'Base bordo'!F$2:F$746,"DESLOCAMENTO VAZIO"),0)</f>
        <v>1.5449999999999999</v>
      </c>
      <c r="E492" s="10">
        <f>IFERROR(SUMIFS('Base bordo'!G$2:G$746,'Base bordo'!C$2:C$746,A492,'Base bordo'!B$2:B$746,B492,'Base bordo'!F$2:F$746,"DESLOCAMENTO CARREGADO"),0)</f>
        <v>0</v>
      </c>
      <c r="F492" s="10">
        <f>IFERROR(SUMIFS('Base bordo'!G$2:G$746,'Base bordo'!C$2:C$746,A492,'Base bordo'!B$2:B$746,B492,'Base bordo'!F$2:F$746,"DESLOCAMENTO"),0)</f>
        <v>0</v>
      </c>
      <c r="G492" s="10">
        <f>IFERROR(SUMIFS('Base bordo'!G$2:G$746,'Base bordo'!C$2:C$746,A492,'Base bordo'!B$2:B$746,B492,'Base bordo'!F$2:F$746,"CARREGAMENTO"),0)</f>
        <v>0</v>
      </c>
      <c r="H492" s="10">
        <f>IFERROR(SUMIFS('Base bordo'!G$2:G$746,'Base bordo'!C$2:C$746,A492,'Base bordo'!B$2:B$746,B492,'Base bordo'!F$2:F$746,"AGUARDANDO TRANSBORDO"),0)</f>
        <v>0.85944444444444446</v>
      </c>
      <c r="I492" s="10">
        <f>IFERROR(SUMIFS('Base bordo'!G$2:G$746,'Base bordo'!C$2:C$746,A492,'Base bordo'!B$2:B$746,B492,'Base bordo'!F$2:F$746,"PÁTIO INTERNO"),0)+IFERROR(SUMIFS('Base bordo'!G$2:G$746,'Base bordo'!C$2:C$746,A492,'Base bordo'!B$2:B$746,B492,'Base bordo'!F$2:F$746,"PÁTIO EXTERNO"),0)+IFERROR(SUMIFS('Base bordo'!G$2:G$746,'Base bordo'!C$2:C$746,A492,'Base bordo'!B$2:B$746,B492,'Base bordo'!F$2:F$746,"PATIO - RESERVA"),0)+IFERROR(SUMIFS('Base bordo'!G$2:G$746,'Base bordo'!C$2:C$746,A492,'Base bordo'!B$2:B$746,B492,'Base bordo'!F$2:F$746,"MANOBRA CARRETAS-PATIO"),0)</f>
        <v>19.031666666666666</v>
      </c>
      <c r="J492" s="10">
        <f>IFERROR(SUMIFS('Base bordo'!G$2:G$746,'Base bordo'!C$2:C$746,A492,'Base bordo'!B$2:B$746,B492,'Base bordo'!F$2:F$746,"BALANÇA - ENTRADA"),0)+IFERROR(SUMIFS('Base bordo'!G$2:G$746,'Base bordo'!C$2:C$746,A492,'Base bordo'!B$2:B$746,B492,'Base bordo'!F$2:F$746,"BALANÇA - SAÍDA"),0)</f>
        <v>3.4722222222222224E-2</v>
      </c>
      <c r="K492" s="10">
        <f>IFERROR(SUMIFS('Base bordo'!G$2:G$746,'Base bordo'!C$2:C$746,A492,'Base bordo'!B$2:B$746,B492,'Base bordo'!F$2:F$746,"MAN PREVENTIVA - MECANICA"),0)+IFERROR(SUMIFS('Base bordo'!G$2:G$746,'Base bordo'!C$2:C$746,A492,'Base bordo'!B$2:B$746,B492,'Base bordo'!F$2:F$746,"MAN CORRETIVA - MECANICA"),0)</f>
        <v>0</v>
      </c>
      <c r="L492" s="10">
        <f>IFERROR(SUMIFS('Base bordo'!G$2:G$746,'Base bordo'!C$2:C$746,A492,'Base bordo'!B$2:B$746,B492,'Base bordo'!F$2:F$746,"MANUTENCAO - T O"),0)+IFERROR(SUMIFS('Base bordo'!G$2:G$746,'Base bordo'!C$2:C$746,A492,'Base bordo'!B$2:B$746,B492,'Base bordo'!F$2:F$746,"MANUTENCAO BORRACHARIA"),0)+IFERROR(SUMIFS('Base bordo'!G$2:G$746,'Base bordo'!C$2:C$746,A492,'Base bordo'!B$2:B$746,B492,'Base bordo'!F$2:F$746,"MANUTENCAO EXTERNA  CONCESSIONARIA"),0)+IFERROR(SUMIFS('Base bordo'!G$2:G$746,'Base bordo'!C$2:C$746,A492,'Base bordo'!B$2:B$746,B492,'Base bordo'!F$2:F$746,"MANUTENCAO TELEMETRIA"),0)</f>
        <v>0</v>
      </c>
      <c r="M492" s="10">
        <f>IFERROR(SUMIFS('Base bordo'!G$2:G$746,'Base bordo'!C$2:C$746,A492,'Base bordo'!B$2:B$746,B492,'Base bordo'!F$2:F$746,"AGUARDANDO MANUTENCAO"),0)</f>
        <v>0</v>
      </c>
      <c r="N492" s="10">
        <f>IFERROR(SUMIFS('Base bordo'!G$2:G$746,'Base bordo'!C$2:C$746,A492,'Base bordo'!B$2:B$746,B492,'Base bordo'!F$2:F$746,"SEM APONTAMENTO"),0)</f>
        <v>0</v>
      </c>
      <c r="O492" s="10">
        <f t="shared" si="54"/>
        <v>0</v>
      </c>
      <c r="P492" s="10">
        <f>IFERROR(SUMIFS('Base bordo'!G$2:G$746,'Base bordo'!C$2:C$746,A492,'Base bordo'!B$2:B$746,B492),0)</f>
        <v>21.470833333333331</v>
      </c>
      <c r="Q492" s="10">
        <f>IFERROR(SUMIFS('Base bordo'!H$2:H$746,'Base bordo'!C$2:C$746,A492,'Base bordo'!B$2:B$746,B492,'Base bordo'!F$2:F$746,"DESLOCAMENTO VAZIO"),0)</f>
        <v>180874.72000000003</v>
      </c>
      <c r="R492" s="10">
        <f>IFERROR(SUMIFS('Base bordo'!I$2:I$746,'Base bordo'!C$2:C$746,A492,'Base bordo'!B$2:B$746,B492,'Base bordo'!F$2:F$746,"DESLOCAMENTO VAZIO"),0)</f>
        <v>5562</v>
      </c>
      <c r="S492" s="30">
        <f t="shared" si="55"/>
        <v>32.519726717008275</v>
      </c>
      <c r="T492" s="10">
        <f>IFERROR(SUMIFS('Base bordo'!H$2:H$746,'Base bordo'!C$2:C$746,A492,'Base bordo'!B$2:B$746,B492,'Base bordo'!F$2:F$746,"DESLOCAMENTO CARREGADO"),0)</f>
        <v>0</v>
      </c>
      <c r="U492" s="10">
        <f>IFERROR(SUMIFS('Base bordo'!I$2:I$746,'Base bordo'!C$2:C$746,A492,'Base bordo'!B$2:B$746,B492,'Base bordo'!F$2:F$746,"DESLOCAMENTO CARREGADO"),0)</f>
        <v>0</v>
      </c>
      <c r="V492" s="30" t="str">
        <f t="shared" si="56"/>
        <v/>
      </c>
      <c r="W492" s="9">
        <f t="shared" si="57"/>
        <v>7.195808267028915E-2</v>
      </c>
      <c r="X492" s="9">
        <f t="shared" si="58"/>
        <v>0</v>
      </c>
      <c r="Y492" s="9">
        <f t="shared" si="59"/>
        <v>0.92804191732971086</v>
      </c>
    </row>
    <row r="493" spans="1:25" ht="15" customHeight="1" x14ac:dyDescent="0.35">
      <c r="A493" s="52">
        <v>8013469</v>
      </c>
      <c r="B493" s="51">
        <v>46119</v>
      </c>
      <c r="C493" s="7" t="s">
        <v>124</v>
      </c>
      <c r="D493" s="10">
        <f>IFERROR(SUMIFS('Base bordo'!G$2:G$746,'Base bordo'!C$2:C$746,A493,'Base bordo'!B$2:B$746,B493,'Base bordo'!F$2:F$746,"DESLOCAMENTO VAZIO"),0)</f>
        <v>0.25611111111111112</v>
      </c>
      <c r="E493" s="10">
        <f>IFERROR(SUMIFS('Base bordo'!G$2:G$746,'Base bordo'!C$2:C$746,A493,'Base bordo'!B$2:B$746,B493,'Base bordo'!F$2:F$746,"DESLOCAMENTO CARREGADO"),0)</f>
        <v>1.7777777777777778E-2</v>
      </c>
      <c r="F493" s="10">
        <f>IFERROR(SUMIFS('Base bordo'!G$2:G$746,'Base bordo'!C$2:C$746,A493,'Base bordo'!B$2:B$746,B493,'Base bordo'!F$2:F$746,"DESLOCAMENTO"),0)</f>
        <v>0</v>
      </c>
      <c r="G493" s="10">
        <f>IFERROR(SUMIFS('Base bordo'!G$2:G$746,'Base bordo'!C$2:C$746,A493,'Base bordo'!B$2:B$746,B493,'Base bordo'!F$2:F$746,"CARREGAMENTO"),0)</f>
        <v>0</v>
      </c>
      <c r="H493" s="10">
        <f>IFERROR(SUMIFS('Base bordo'!G$2:G$746,'Base bordo'!C$2:C$746,A493,'Base bordo'!B$2:B$746,B493,'Base bordo'!F$2:F$746,"AGUARDANDO TRANSBORDO"),0)</f>
        <v>0</v>
      </c>
      <c r="I493" s="10">
        <f>IFERROR(SUMIFS('Base bordo'!G$2:G$746,'Base bordo'!C$2:C$746,A493,'Base bordo'!B$2:B$746,B493,'Base bordo'!F$2:F$746,"PÁTIO INTERNO"),0)+IFERROR(SUMIFS('Base bordo'!G$2:G$746,'Base bordo'!C$2:C$746,A493,'Base bordo'!B$2:B$746,B493,'Base bordo'!F$2:F$746,"PÁTIO EXTERNO"),0)+IFERROR(SUMIFS('Base bordo'!G$2:G$746,'Base bordo'!C$2:C$746,A493,'Base bordo'!B$2:B$746,B493,'Base bordo'!F$2:F$746,"PATIO - RESERVA"),0)+IFERROR(SUMIFS('Base bordo'!G$2:G$746,'Base bordo'!C$2:C$746,A493,'Base bordo'!B$2:B$746,B493,'Base bordo'!F$2:F$746,"MANOBRA CARRETAS-PATIO"),0)</f>
        <v>9.2025000000000006</v>
      </c>
      <c r="J493" s="10">
        <f>IFERROR(SUMIFS('Base bordo'!G$2:G$746,'Base bordo'!C$2:C$746,A493,'Base bordo'!B$2:B$746,B493,'Base bordo'!F$2:F$746,"BALANÇA - ENTRADA"),0)+IFERROR(SUMIFS('Base bordo'!G$2:G$746,'Base bordo'!C$2:C$746,A493,'Base bordo'!B$2:B$746,B493,'Base bordo'!F$2:F$746,"BALANÇA - SAÍDA"),0)</f>
        <v>5.3055555555555557E-2</v>
      </c>
      <c r="K493" s="10">
        <f>IFERROR(SUMIFS('Base bordo'!G$2:G$746,'Base bordo'!C$2:C$746,A493,'Base bordo'!B$2:B$746,B493,'Base bordo'!F$2:F$746,"MAN PREVENTIVA - MECANICA"),0)+IFERROR(SUMIFS('Base bordo'!G$2:G$746,'Base bordo'!C$2:C$746,A493,'Base bordo'!B$2:B$746,B493,'Base bordo'!F$2:F$746,"MAN CORRETIVA - MECANICA"),0)</f>
        <v>0</v>
      </c>
      <c r="L493" s="10">
        <f>IFERROR(SUMIFS('Base bordo'!G$2:G$746,'Base bordo'!C$2:C$746,A493,'Base bordo'!B$2:B$746,B493,'Base bordo'!F$2:F$746,"MANUTENCAO - T O"),0)+IFERROR(SUMIFS('Base bordo'!G$2:G$746,'Base bordo'!C$2:C$746,A493,'Base bordo'!B$2:B$746,B493,'Base bordo'!F$2:F$746,"MANUTENCAO BORRACHARIA"),0)+IFERROR(SUMIFS('Base bordo'!G$2:G$746,'Base bordo'!C$2:C$746,A493,'Base bordo'!B$2:B$746,B493,'Base bordo'!F$2:F$746,"MANUTENCAO EXTERNA  CONCESSIONARIA"),0)+IFERROR(SUMIFS('Base bordo'!G$2:G$746,'Base bordo'!C$2:C$746,A493,'Base bordo'!B$2:B$746,B493,'Base bordo'!F$2:F$746,"MANUTENCAO TELEMETRIA"),0)</f>
        <v>0</v>
      </c>
      <c r="M493" s="10">
        <f>IFERROR(SUMIFS('Base bordo'!G$2:G$746,'Base bordo'!C$2:C$746,A493,'Base bordo'!B$2:B$746,B493,'Base bordo'!F$2:F$746,"AGUARDANDO MANUTENCAO"),0)</f>
        <v>0</v>
      </c>
      <c r="N493" s="10">
        <f>IFERROR(SUMIFS('Base bordo'!G$2:G$746,'Base bordo'!C$2:C$746,A493,'Base bordo'!B$2:B$746,B493,'Base bordo'!F$2:F$746,"SEM APONTAMENTO"),0)</f>
        <v>0</v>
      </c>
      <c r="O493" s="10">
        <f t="shared" si="54"/>
        <v>-3.5527136788005009E-15</v>
      </c>
      <c r="P493" s="10">
        <f>IFERROR(SUMIFS('Base bordo'!G$2:G$746,'Base bordo'!C$2:C$746,A493,'Base bordo'!B$2:B$746,B493),0)</f>
        <v>9.5294444444444419</v>
      </c>
      <c r="Q493" s="10">
        <f>IFERROR(SUMIFS('Base bordo'!H$2:H$746,'Base bordo'!C$2:C$746,A493,'Base bordo'!B$2:B$746,B493,'Base bordo'!F$2:F$746,"DESLOCAMENTO VAZIO"),0)</f>
        <v>8165.6500000000015</v>
      </c>
      <c r="R493" s="10">
        <f>IFERROR(SUMIFS('Base bordo'!I$2:I$746,'Base bordo'!C$2:C$746,A493,'Base bordo'!B$2:B$746,B493,'Base bordo'!F$2:F$746,"DESLOCAMENTO VAZIO"),0)</f>
        <v>922</v>
      </c>
      <c r="S493" s="30">
        <f t="shared" si="55"/>
        <v>8.8564533622559676</v>
      </c>
      <c r="T493" s="10">
        <f>IFERROR(SUMIFS('Base bordo'!H$2:H$746,'Base bordo'!C$2:C$746,A493,'Base bordo'!B$2:B$746,B493,'Base bordo'!F$2:F$746,"DESLOCAMENTO CARREGADO"),0)</f>
        <v>245.12</v>
      </c>
      <c r="U493" s="10">
        <f>IFERROR(SUMIFS('Base bordo'!I$2:I$746,'Base bordo'!C$2:C$746,A493,'Base bordo'!B$2:B$746,B493,'Base bordo'!F$2:F$746,"DESLOCAMENTO CARREGADO"),0)</f>
        <v>64</v>
      </c>
      <c r="V493" s="30">
        <f t="shared" si="56"/>
        <v>3.83</v>
      </c>
      <c r="W493" s="9">
        <f t="shared" si="57"/>
        <v>2.6875765172273081E-2</v>
      </c>
      <c r="X493" s="9">
        <f t="shared" si="58"/>
        <v>1.8655628752987821E-3</v>
      </c>
      <c r="Y493" s="9">
        <f t="shared" si="59"/>
        <v>0.9712586719524281</v>
      </c>
    </row>
    <row r="494" spans="1:25" ht="15" customHeight="1" x14ac:dyDescent="0.35">
      <c r="A494" s="52">
        <v>8013481</v>
      </c>
      <c r="B494" s="51">
        <v>46118</v>
      </c>
      <c r="C494" s="7" t="s">
        <v>124</v>
      </c>
      <c r="D494" s="10">
        <f>IFERROR(SUMIFS('Base bordo'!G$2:G$746,'Base bordo'!C$2:C$746,A494,'Base bordo'!B$2:B$746,B494,'Base bordo'!F$2:F$746,"DESLOCAMENTO VAZIO"),0)</f>
        <v>0.8288888888888889</v>
      </c>
      <c r="E494" s="10">
        <f>IFERROR(SUMIFS('Base bordo'!G$2:G$746,'Base bordo'!C$2:C$746,A494,'Base bordo'!B$2:B$746,B494,'Base bordo'!F$2:F$746,"DESLOCAMENTO CARREGADO"),0)</f>
        <v>4.8333333333333332E-2</v>
      </c>
      <c r="F494" s="10">
        <f>IFERROR(SUMIFS('Base bordo'!G$2:G$746,'Base bordo'!C$2:C$746,A494,'Base bordo'!B$2:B$746,B494,'Base bordo'!F$2:F$746,"DESLOCAMENTO"),0)</f>
        <v>0</v>
      </c>
      <c r="G494" s="10">
        <f>IFERROR(SUMIFS('Base bordo'!G$2:G$746,'Base bordo'!C$2:C$746,A494,'Base bordo'!B$2:B$746,B494,'Base bordo'!F$2:F$746,"CARREGAMENTO"),0)</f>
        <v>0</v>
      </c>
      <c r="H494" s="10">
        <f>IFERROR(SUMIFS('Base bordo'!G$2:G$746,'Base bordo'!C$2:C$746,A494,'Base bordo'!B$2:B$746,B494,'Base bordo'!F$2:F$746,"AGUARDANDO TRANSBORDO"),0)</f>
        <v>0</v>
      </c>
      <c r="I494" s="10">
        <f>IFERROR(SUMIFS('Base bordo'!G$2:G$746,'Base bordo'!C$2:C$746,A494,'Base bordo'!B$2:B$746,B494,'Base bordo'!F$2:F$746,"PÁTIO INTERNO"),0)+IFERROR(SUMIFS('Base bordo'!G$2:G$746,'Base bordo'!C$2:C$746,A494,'Base bordo'!B$2:B$746,B494,'Base bordo'!F$2:F$746,"PÁTIO EXTERNO"),0)+IFERROR(SUMIFS('Base bordo'!G$2:G$746,'Base bordo'!C$2:C$746,A494,'Base bordo'!B$2:B$746,B494,'Base bordo'!F$2:F$746,"PATIO - RESERVA"),0)+IFERROR(SUMIFS('Base bordo'!G$2:G$746,'Base bordo'!C$2:C$746,A494,'Base bordo'!B$2:B$746,B494,'Base bordo'!F$2:F$746,"MANOBRA CARRETAS-PATIO"),0)</f>
        <v>2.8108333333333335</v>
      </c>
      <c r="J494" s="10">
        <f>IFERROR(SUMIFS('Base bordo'!G$2:G$746,'Base bordo'!C$2:C$746,A494,'Base bordo'!B$2:B$746,B494,'Base bordo'!F$2:F$746,"BALANÇA - ENTRADA"),0)+IFERROR(SUMIFS('Base bordo'!G$2:G$746,'Base bordo'!C$2:C$746,A494,'Base bordo'!B$2:B$746,B494,'Base bordo'!F$2:F$746,"BALANÇA - SAÍDA"),0)</f>
        <v>3.3333333333333333E-2</v>
      </c>
      <c r="K494" s="10">
        <f>IFERROR(SUMIFS('Base bordo'!G$2:G$746,'Base bordo'!C$2:C$746,A494,'Base bordo'!B$2:B$746,B494,'Base bordo'!F$2:F$746,"MAN PREVENTIVA - MECANICA"),0)+IFERROR(SUMIFS('Base bordo'!G$2:G$746,'Base bordo'!C$2:C$746,A494,'Base bordo'!B$2:B$746,B494,'Base bordo'!F$2:F$746,"MAN CORRETIVA - MECANICA"),0)</f>
        <v>0</v>
      </c>
      <c r="L494" s="10">
        <f>IFERROR(SUMIFS('Base bordo'!G$2:G$746,'Base bordo'!C$2:C$746,A494,'Base bordo'!B$2:B$746,B494,'Base bordo'!F$2:F$746,"MANUTENCAO - T O"),0)+IFERROR(SUMIFS('Base bordo'!G$2:G$746,'Base bordo'!C$2:C$746,A494,'Base bordo'!B$2:B$746,B494,'Base bordo'!F$2:F$746,"MANUTENCAO BORRACHARIA"),0)+IFERROR(SUMIFS('Base bordo'!G$2:G$746,'Base bordo'!C$2:C$746,A494,'Base bordo'!B$2:B$746,B494,'Base bordo'!F$2:F$746,"MANUTENCAO EXTERNA  CONCESSIONARIA"),0)+IFERROR(SUMIFS('Base bordo'!G$2:G$746,'Base bordo'!C$2:C$746,A494,'Base bordo'!B$2:B$746,B494,'Base bordo'!F$2:F$746,"MANUTENCAO TELEMETRIA"),0)</f>
        <v>0</v>
      </c>
      <c r="M494" s="10">
        <f>IFERROR(SUMIFS('Base bordo'!G$2:G$746,'Base bordo'!C$2:C$746,A494,'Base bordo'!B$2:B$746,B494,'Base bordo'!F$2:F$746,"AGUARDANDO MANUTENCAO"),0)</f>
        <v>0</v>
      </c>
      <c r="N494" s="10">
        <f>IFERROR(SUMIFS('Base bordo'!G$2:G$746,'Base bordo'!C$2:C$746,A494,'Base bordo'!B$2:B$746,B494,'Base bordo'!F$2:F$746,"SEM APONTAMENTO"),0)</f>
        <v>0</v>
      </c>
      <c r="O494" s="10">
        <f t="shared" si="54"/>
        <v>0</v>
      </c>
      <c r="P494" s="10">
        <f>IFERROR(SUMIFS('Base bordo'!G$2:G$746,'Base bordo'!C$2:C$746,A494,'Base bordo'!B$2:B$746,B494),0)</f>
        <v>3.7213888888888889</v>
      </c>
      <c r="Q494" s="10">
        <f>IFERROR(SUMIFS('Base bordo'!H$2:H$746,'Base bordo'!C$2:C$746,A494,'Base bordo'!B$2:B$746,B494,'Base bordo'!F$2:F$746,"DESLOCAMENTO VAZIO"),0)</f>
        <v>65601.72</v>
      </c>
      <c r="R494" s="10">
        <f>IFERROR(SUMIFS('Base bordo'!I$2:I$746,'Base bordo'!C$2:C$746,A494,'Base bordo'!B$2:B$746,B494,'Base bordo'!F$2:F$746,"DESLOCAMENTO VAZIO"),0)</f>
        <v>2984</v>
      </c>
      <c r="S494" s="30">
        <f t="shared" si="55"/>
        <v>21.984490616621983</v>
      </c>
      <c r="T494" s="10">
        <f>IFERROR(SUMIFS('Base bordo'!H$2:H$746,'Base bordo'!C$2:C$746,A494,'Base bordo'!B$2:B$746,B494,'Base bordo'!F$2:F$746,"DESLOCAMENTO CARREGADO"),0)</f>
        <v>501.05</v>
      </c>
      <c r="U494" s="10">
        <f>IFERROR(SUMIFS('Base bordo'!I$2:I$746,'Base bordo'!C$2:C$746,A494,'Base bordo'!B$2:B$746,B494,'Base bordo'!F$2:F$746,"DESLOCAMENTO CARREGADO"),0)</f>
        <v>174</v>
      </c>
      <c r="V494" s="30">
        <f t="shared" si="56"/>
        <v>2.8795977011494251</v>
      </c>
      <c r="W494" s="9">
        <f t="shared" si="57"/>
        <v>0.22273643352989475</v>
      </c>
      <c r="X494" s="9">
        <f t="shared" si="58"/>
        <v>1.2987982384115847E-2</v>
      </c>
      <c r="Y494" s="9">
        <f t="shared" si="59"/>
        <v>0.76427558408598939</v>
      </c>
    </row>
    <row r="495" spans="1:25" ht="15" customHeight="1" x14ac:dyDescent="0.35">
      <c r="A495" s="52">
        <v>8013484</v>
      </c>
      <c r="B495" s="51">
        <v>46123</v>
      </c>
      <c r="C495" s="7" t="s">
        <v>124</v>
      </c>
      <c r="D495" s="10">
        <f>IFERROR(SUMIFS('Base bordo'!G$2:G$746,'Base bordo'!C$2:C$746,A495,'Base bordo'!B$2:B$746,B495,'Base bordo'!F$2:F$746,"DESLOCAMENTO VAZIO"),0)</f>
        <v>1.3186111111111112</v>
      </c>
      <c r="E495" s="10">
        <f>IFERROR(SUMIFS('Base bordo'!G$2:G$746,'Base bordo'!C$2:C$746,A495,'Base bordo'!B$2:B$746,B495,'Base bordo'!F$2:F$746,"DESLOCAMENTO CARREGADO"),0)</f>
        <v>2.0469444444444442</v>
      </c>
      <c r="F495" s="10">
        <f>IFERROR(SUMIFS('Base bordo'!G$2:G$746,'Base bordo'!C$2:C$746,A495,'Base bordo'!B$2:B$746,B495,'Base bordo'!F$2:F$746,"DESLOCAMENTO"),0)</f>
        <v>0</v>
      </c>
      <c r="G495" s="10">
        <f>IFERROR(SUMIFS('Base bordo'!G$2:G$746,'Base bordo'!C$2:C$746,A495,'Base bordo'!B$2:B$746,B495,'Base bordo'!F$2:F$746,"CARREGAMENTO"),0)</f>
        <v>0</v>
      </c>
      <c r="H495" s="10">
        <f>IFERROR(SUMIFS('Base bordo'!G$2:G$746,'Base bordo'!C$2:C$746,A495,'Base bordo'!B$2:B$746,B495,'Base bordo'!F$2:F$746,"AGUARDANDO TRANSBORDO"),0)</f>
        <v>0.2688888888888889</v>
      </c>
      <c r="I495" s="10">
        <f>IFERROR(SUMIFS('Base bordo'!G$2:G$746,'Base bordo'!C$2:C$746,A495,'Base bordo'!B$2:B$746,B495,'Base bordo'!F$2:F$746,"PÁTIO INTERNO"),0)+IFERROR(SUMIFS('Base bordo'!G$2:G$746,'Base bordo'!C$2:C$746,A495,'Base bordo'!B$2:B$746,B495,'Base bordo'!F$2:F$746,"PÁTIO EXTERNO"),0)+IFERROR(SUMIFS('Base bordo'!G$2:G$746,'Base bordo'!C$2:C$746,A495,'Base bordo'!B$2:B$746,B495,'Base bordo'!F$2:F$746,"PATIO - RESERVA"),0)+IFERROR(SUMIFS('Base bordo'!G$2:G$746,'Base bordo'!C$2:C$746,A495,'Base bordo'!B$2:B$746,B495,'Base bordo'!F$2:F$746,"MANOBRA CARRETAS-PATIO"),0)</f>
        <v>2.7616666666666667</v>
      </c>
      <c r="J495" s="10">
        <f>IFERROR(SUMIFS('Base bordo'!G$2:G$746,'Base bordo'!C$2:C$746,A495,'Base bordo'!B$2:B$746,B495,'Base bordo'!F$2:F$746,"BALANÇA - ENTRADA"),0)+IFERROR(SUMIFS('Base bordo'!G$2:G$746,'Base bordo'!C$2:C$746,A495,'Base bordo'!B$2:B$746,B495,'Base bordo'!F$2:F$746,"BALANÇA - SAÍDA"),0)</f>
        <v>2.4722222222222222E-2</v>
      </c>
      <c r="K495" s="10">
        <f>IFERROR(SUMIFS('Base bordo'!G$2:G$746,'Base bordo'!C$2:C$746,A495,'Base bordo'!B$2:B$746,B495,'Base bordo'!F$2:F$746,"MAN PREVENTIVA - MECANICA"),0)+IFERROR(SUMIFS('Base bordo'!G$2:G$746,'Base bordo'!C$2:C$746,A495,'Base bordo'!B$2:B$746,B495,'Base bordo'!F$2:F$746,"MAN CORRETIVA - MECANICA"),0)</f>
        <v>0</v>
      </c>
      <c r="L495" s="10">
        <f>IFERROR(SUMIFS('Base bordo'!G$2:G$746,'Base bordo'!C$2:C$746,A495,'Base bordo'!B$2:B$746,B495,'Base bordo'!F$2:F$746,"MANUTENCAO - T O"),0)+IFERROR(SUMIFS('Base bordo'!G$2:G$746,'Base bordo'!C$2:C$746,A495,'Base bordo'!B$2:B$746,B495,'Base bordo'!F$2:F$746,"MANUTENCAO BORRACHARIA"),0)+IFERROR(SUMIFS('Base bordo'!G$2:G$746,'Base bordo'!C$2:C$746,A495,'Base bordo'!B$2:B$746,B495,'Base bordo'!F$2:F$746,"MANUTENCAO EXTERNA  CONCESSIONARIA"),0)+IFERROR(SUMIFS('Base bordo'!G$2:G$746,'Base bordo'!C$2:C$746,A495,'Base bordo'!B$2:B$746,B495,'Base bordo'!F$2:F$746,"MANUTENCAO TELEMETRIA"),0)</f>
        <v>0</v>
      </c>
      <c r="M495" s="10">
        <f>IFERROR(SUMIFS('Base bordo'!G$2:G$746,'Base bordo'!C$2:C$746,A495,'Base bordo'!B$2:B$746,B495,'Base bordo'!F$2:F$746,"AGUARDANDO MANUTENCAO"),0)</f>
        <v>0</v>
      </c>
      <c r="N495" s="10">
        <f>IFERROR(SUMIFS('Base bordo'!G$2:G$746,'Base bordo'!C$2:C$746,A495,'Base bordo'!B$2:B$746,B495,'Base bordo'!F$2:F$746,"SEM APONTAMENTO"),0)</f>
        <v>0</v>
      </c>
      <c r="O495" s="10">
        <f t="shared" si="54"/>
        <v>0.68777777777777871</v>
      </c>
      <c r="P495" s="10">
        <f>IFERROR(SUMIFS('Base bordo'!G$2:G$746,'Base bordo'!C$2:C$746,A495,'Base bordo'!B$2:B$746,B495),0)</f>
        <v>7.1086111111111121</v>
      </c>
      <c r="Q495" s="10">
        <f>IFERROR(SUMIFS('Base bordo'!H$2:H$746,'Base bordo'!C$2:C$746,A495,'Base bordo'!B$2:B$746,B495,'Base bordo'!F$2:F$746,"DESLOCAMENTO VAZIO"),0)</f>
        <v>173939.91999999998</v>
      </c>
      <c r="R495" s="10">
        <f>IFERROR(SUMIFS('Base bordo'!I$2:I$746,'Base bordo'!C$2:C$746,A495,'Base bordo'!B$2:B$746,B495,'Base bordo'!F$2:F$746,"DESLOCAMENTO VAZIO"),0)</f>
        <v>4747</v>
      </c>
      <c r="S495" s="30">
        <f t="shared" si="55"/>
        <v>36.642072888139872</v>
      </c>
      <c r="T495" s="10">
        <f>IFERROR(SUMIFS('Base bordo'!H$2:H$746,'Base bordo'!C$2:C$746,A495,'Base bordo'!B$2:B$746,B495,'Base bordo'!F$2:F$746,"DESLOCAMENTO CARREGADO"),0)</f>
        <v>184357.02</v>
      </c>
      <c r="U495" s="10">
        <f>IFERROR(SUMIFS('Base bordo'!I$2:I$746,'Base bordo'!C$2:C$746,A495,'Base bordo'!B$2:B$746,B495,'Base bordo'!F$2:F$746,"DESLOCAMENTO CARREGADO"),0)</f>
        <v>7369</v>
      </c>
      <c r="V495" s="30">
        <f t="shared" si="56"/>
        <v>25.017915592346313</v>
      </c>
      <c r="W495" s="9">
        <f t="shared" si="57"/>
        <v>0.18549490055097492</v>
      </c>
      <c r="X495" s="9">
        <f t="shared" si="58"/>
        <v>0.28795279590481021</v>
      </c>
      <c r="Y495" s="9">
        <f t="shared" si="59"/>
        <v>0.52655230354421478</v>
      </c>
    </row>
    <row r="496" spans="1:25" ht="15" customHeight="1" x14ac:dyDescent="0.35">
      <c r="A496" s="52">
        <v>8013485</v>
      </c>
      <c r="B496" s="51">
        <v>46119</v>
      </c>
      <c r="C496" s="7" t="s">
        <v>124</v>
      </c>
      <c r="D496" s="10">
        <f>IFERROR(SUMIFS('Base bordo'!G$2:G$746,'Base bordo'!C$2:C$746,A496,'Base bordo'!B$2:B$746,B496,'Base bordo'!F$2:F$746,"DESLOCAMENTO VAZIO"),0)</f>
        <v>2.2908333333333335</v>
      </c>
      <c r="E496" s="10">
        <f>IFERROR(SUMIFS('Base bordo'!G$2:G$746,'Base bordo'!C$2:C$746,A496,'Base bordo'!B$2:B$746,B496,'Base bordo'!F$2:F$746,"DESLOCAMENTO CARREGADO"),0)</f>
        <v>1.8202777777777779</v>
      </c>
      <c r="F496" s="10">
        <f>IFERROR(SUMIFS('Base bordo'!G$2:G$746,'Base bordo'!C$2:C$746,A496,'Base bordo'!B$2:B$746,B496,'Base bordo'!F$2:F$746,"DESLOCAMENTO"),0)</f>
        <v>0</v>
      </c>
      <c r="G496" s="10">
        <f>IFERROR(SUMIFS('Base bordo'!G$2:G$746,'Base bordo'!C$2:C$746,A496,'Base bordo'!B$2:B$746,B496,'Base bordo'!F$2:F$746,"CARREGAMENTO"),0)</f>
        <v>0</v>
      </c>
      <c r="H496" s="10">
        <f>IFERROR(SUMIFS('Base bordo'!G$2:G$746,'Base bordo'!C$2:C$746,A496,'Base bordo'!B$2:B$746,B496,'Base bordo'!F$2:F$746,"AGUARDANDO TRANSBORDO"),0)</f>
        <v>0</v>
      </c>
      <c r="I496" s="10">
        <f>IFERROR(SUMIFS('Base bordo'!G$2:G$746,'Base bordo'!C$2:C$746,A496,'Base bordo'!B$2:B$746,B496,'Base bordo'!F$2:F$746,"PÁTIO INTERNO"),0)+IFERROR(SUMIFS('Base bordo'!G$2:G$746,'Base bordo'!C$2:C$746,A496,'Base bordo'!B$2:B$746,B496,'Base bordo'!F$2:F$746,"PÁTIO EXTERNO"),0)+IFERROR(SUMIFS('Base bordo'!G$2:G$746,'Base bordo'!C$2:C$746,A496,'Base bordo'!B$2:B$746,B496,'Base bordo'!F$2:F$746,"PATIO - RESERVA"),0)+IFERROR(SUMIFS('Base bordo'!G$2:G$746,'Base bordo'!C$2:C$746,A496,'Base bordo'!B$2:B$746,B496,'Base bordo'!F$2:F$746,"MANOBRA CARRETAS-PATIO"),0)</f>
        <v>1.9913888888888889</v>
      </c>
      <c r="J496" s="10">
        <f>IFERROR(SUMIFS('Base bordo'!G$2:G$746,'Base bordo'!C$2:C$746,A496,'Base bordo'!B$2:B$746,B496,'Base bordo'!F$2:F$746,"BALANÇA - ENTRADA"),0)+IFERROR(SUMIFS('Base bordo'!G$2:G$746,'Base bordo'!C$2:C$746,A496,'Base bordo'!B$2:B$746,B496,'Base bordo'!F$2:F$746,"BALANÇA - SAÍDA"),0)</f>
        <v>0.02</v>
      </c>
      <c r="K496" s="10">
        <f>IFERROR(SUMIFS('Base bordo'!G$2:G$746,'Base bordo'!C$2:C$746,A496,'Base bordo'!B$2:B$746,B496,'Base bordo'!F$2:F$746,"MAN PREVENTIVA - MECANICA"),0)+IFERROR(SUMIFS('Base bordo'!G$2:G$746,'Base bordo'!C$2:C$746,A496,'Base bordo'!B$2:B$746,B496,'Base bordo'!F$2:F$746,"MAN CORRETIVA - MECANICA"),0)</f>
        <v>0</v>
      </c>
      <c r="L496" s="10">
        <f>IFERROR(SUMIFS('Base bordo'!G$2:G$746,'Base bordo'!C$2:C$746,A496,'Base bordo'!B$2:B$746,B496,'Base bordo'!F$2:F$746,"MANUTENCAO - T O"),0)+IFERROR(SUMIFS('Base bordo'!G$2:G$746,'Base bordo'!C$2:C$746,A496,'Base bordo'!B$2:B$746,B496,'Base bordo'!F$2:F$746,"MANUTENCAO BORRACHARIA"),0)+IFERROR(SUMIFS('Base bordo'!G$2:G$746,'Base bordo'!C$2:C$746,A496,'Base bordo'!B$2:B$746,B496,'Base bordo'!F$2:F$746,"MANUTENCAO EXTERNA  CONCESSIONARIA"),0)+IFERROR(SUMIFS('Base bordo'!G$2:G$746,'Base bordo'!C$2:C$746,A496,'Base bordo'!B$2:B$746,B496,'Base bordo'!F$2:F$746,"MANUTENCAO TELEMETRIA"),0)</f>
        <v>0</v>
      </c>
      <c r="M496" s="10">
        <f>IFERROR(SUMIFS('Base bordo'!G$2:G$746,'Base bordo'!C$2:C$746,A496,'Base bordo'!B$2:B$746,B496,'Base bordo'!F$2:F$746,"AGUARDANDO MANUTENCAO"),0)</f>
        <v>0</v>
      </c>
      <c r="N496" s="10">
        <f>IFERROR(SUMIFS('Base bordo'!G$2:G$746,'Base bordo'!C$2:C$746,A496,'Base bordo'!B$2:B$746,B496,'Base bordo'!F$2:F$746,"SEM APONTAMENTO"),0)</f>
        <v>0</v>
      </c>
      <c r="O496" s="10">
        <f t="shared" si="54"/>
        <v>2.4166666666666003E-2</v>
      </c>
      <c r="P496" s="10">
        <f>IFERROR(SUMIFS('Base bordo'!G$2:G$746,'Base bordo'!C$2:C$746,A496,'Base bordo'!B$2:B$746,B496),0)</f>
        <v>6.1466666666666665</v>
      </c>
      <c r="Q496" s="10">
        <f>IFERROR(SUMIFS('Base bordo'!H$2:H$746,'Base bordo'!C$2:C$746,A496,'Base bordo'!B$2:B$746,B496,'Base bordo'!F$2:F$746,"DESLOCAMENTO VAZIO"),0)</f>
        <v>213698.84</v>
      </c>
      <c r="R496" s="10">
        <f>IFERROR(SUMIFS('Base bordo'!I$2:I$746,'Base bordo'!C$2:C$746,A496,'Base bordo'!B$2:B$746,B496,'Base bordo'!F$2:F$746,"DESLOCAMENTO VAZIO"),0)</f>
        <v>8247</v>
      </c>
      <c r="S496" s="30">
        <f t="shared" si="55"/>
        <v>25.912312356008243</v>
      </c>
      <c r="T496" s="10">
        <f>IFERROR(SUMIFS('Base bordo'!H$2:H$746,'Base bordo'!C$2:C$746,A496,'Base bordo'!B$2:B$746,B496,'Base bordo'!F$2:F$746,"DESLOCAMENTO CARREGADO"),0)</f>
        <v>171355.69999999998</v>
      </c>
      <c r="U496" s="10">
        <f>IFERROR(SUMIFS('Base bordo'!I$2:I$746,'Base bordo'!C$2:C$746,A496,'Base bordo'!B$2:B$746,B496,'Base bordo'!F$2:F$746,"DESLOCAMENTO CARREGADO"),0)</f>
        <v>6497</v>
      </c>
      <c r="V496" s="30">
        <f t="shared" si="56"/>
        <v>26.374588271509925</v>
      </c>
      <c r="W496" s="9">
        <f t="shared" si="57"/>
        <v>0.37269522776572672</v>
      </c>
      <c r="X496" s="9">
        <f t="shared" si="58"/>
        <v>0.29614063629790316</v>
      </c>
      <c r="Y496" s="9">
        <f t="shared" si="59"/>
        <v>0.33116413593637006</v>
      </c>
    </row>
    <row r="497" spans="1:25" ht="15" customHeight="1" x14ac:dyDescent="0.35">
      <c r="A497" s="52">
        <v>8013482</v>
      </c>
      <c r="B497" s="51">
        <v>46124</v>
      </c>
      <c r="C497" s="7" t="s">
        <v>124</v>
      </c>
      <c r="D497" s="10">
        <f>IFERROR(SUMIFS('Base bordo'!G$2:G$746,'Base bordo'!C$2:C$746,A497,'Base bordo'!B$2:B$746,B497,'Base bordo'!F$2:F$746,"DESLOCAMENTO VAZIO"),0)</f>
        <v>3.1158333333333332</v>
      </c>
      <c r="E497" s="10">
        <f>IFERROR(SUMIFS('Base bordo'!G$2:G$746,'Base bordo'!C$2:C$746,A497,'Base bordo'!B$2:B$746,B497,'Base bordo'!F$2:F$746,"DESLOCAMENTO CARREGADO"),0)</f>
        <v>4.7358333333333329</v>
      </c>
      <c r="F497" s="10">
        <f>IFERROR(SUMIFS('Base bordo'!G$2:G$746,'Base bordo'!C$2:C$746,A497,'Base bordo'!B$2:B$746,B497,'Base bordo'!F$2:F$746,"DESLOCAMENTO"),0)</f>
        <v>0</v>
      </c>
      <c r="G497" s="10">
        <f>IFERROR(SUMIFS('Base bordo'!G$2:G$746,'Base bordo'!C$2:C$746,A497,'Base bordo'!B$2:B$746,B497,'Base bordo'!F$2:F$746,"CARREGAMENTO"),0)</f>
        <v>0</v>
      </c>
      <c r="H497" s="10">
        <f>IFERROR(SUMIFS('Base bordo'!G$2:G$746,'Base bordo'!C$2:C$746,A497,'Base bordo'!B$2:B$746,B497,'Base bordo'!F$2:F$746,"AGUARDANDO TRANSBORDO"),0)</f>
        <v>0.68361111111111106</v>
      </c>
      <c r="I497" s="10">
        <f>IFERROR(SUMIFS('Base bordo'!G$2:G$746,'Base bordo'!C$2:C$746,A497,'Base bordo'!B$2:B$746,B497,'Base bordo'!F$2:F$746,"PÁTIO INTERNO"),0)+IFERROR(SUMIFS('Base bordo'!G$2:G$746,'Base bordo'!C$2:C$746,A497,'Base bordo'!B$2:B$746,B497,'Base bordo'!F$2:F$746,"PÁTIO EXTERNO"),0)+IFERROR(SUMIFS('Base bordo'!G$2:G$746,'Base bordo'!C$2:C$746,A497,'Base bordo'!B$2:B$746,B497,'Base bordo'!F$2:F$746,"PATIO - RESERVA"),0)+IFERROR(SUMIFS('Base bordo'!G$2:G$746,'Base bordo'!C$2:C$746,A497,'Base bordo'!B$2:B$746,B497,'Base bordo'!F$2:F$746,"MANOBRA CARRETAS-PATIO"),0)</f>
        <v>3.3277777777777775</v>
      </c>
      <c r="J497" s="10">
        <f>IFERROR(SUMIFS('Base bordo'!G$2:G$746,'Base bordo'!C$2:C$746,A497,'Base bordo'!B$2:B$746,B497,'Base bordo'!F$2:F$746,"BALANÇA - ENTRADA"),0)+IFERROR(SUMIFS('Base bordo'!G$2:G$746,'Base bordo'!C$2:C$746,A497,'Base bordo'!B$2:B$746,B497,'Base bordo'!F$2:F$746,"BALANÇA - SAÍDA"),0)</f>
        <v>0.1336111111111111</v>
      </c>
      <c r="K497" s="10">
        <f>IFERROR(SUMIFS('Base bordo'!G$2:G$746,'Base bordo'!C$2:C$746,A497,'Base bordo'!B$2:B$746,B497,'Base bordo'!F$2:F$746,"MAN PREVENTIVA - MECANICA"),0)+IFERROR(SUMIFS('Base bordo'!G$2:G$746,'Base bordo'!C$2:C$746,A497,'Base bordo'!B$2:B$746,B497,'Base bordo'!F$2:F$746,"MAN CORRETIVA - MECANICA"),0)</f>
        <v>0</v>
      </c>
      <c r="L497" s="10">
        <f>IFERROR(SUMIFS('Base bordo'!G$2:G$746,'Base bordo'!C$2:C$746,A497,'Base bordo'!B$2:B$746,B497,'Base bordo'!F$2:F$746,"MANUTENCAO - T O"),0)+IFERROR(SUMIFS('Base bordo'!G$2:G$746,'Base bordo'!C$2:C$746,A497,'Base bordo'!B$2:B$746,B497,'Base bordo'!F$2:F$746,"MANUTENCAO BORRACHARIA"),0)+IFERROR(SUMIFS('Base bordo'!G$2:G$746,'Base bordo'!C$2:C$746,A497,'Base bordo'!B$2:B$746,B497,'Base bordo'!F$2:F$746,"MANUTENCAO EXTERNA  CONCESSIONARIA"),0)+IFERROR(SUMIFS('Base bordo'!G$2:G$746,'Base bordo'!C$2:C$746,A497,'Base bordo'!B$2:B$746,B497,'Base bordo'!F$2:F$746,"MANUTENCAO TELEMETRIA"),0)</f>
        <v>0</v>
      </c>
      <c r="M497" s="10">
        <f>IFERROR(SUMIFS('Base bordo'!G$2:G$746,'Base bordo'!C$2:C$746,A497,'Base bordo'!B$2:B$746,B497,'Base bordo'!F$2:F$746,"AGUARDANDO MANUTENCAO"),0)</f>
        <v>0</v>
      </c>
      <c r="N497" s="10">
        <f>IFERROR(SUMIFS('Base bordo'!G$2:G$746,'Base bordo'!C$2:C$746,A497,'Base bordo'!B$2:B$746,B497,'Base bordo'!F$2:F$746,"SEM APONTAMENTO"),0)</f>
        <v>0</v>
      </c>
      <c r="O497" s="10">
        <f t="shared" si="54"/>
        <v>0</v>
      </c>
      <c r="P497" s="10">
        <f>IFERROR(SUMIFS('Base bordo'!G$2:G$746,'Base bordo'!C$2:C$746,A497,'Base bordo'!B$2:B$746,B497),0)</f>
        <v>11.996666666666666</v>
      </c>
      <c r="Q497" s="10">
        <f>IFERROR(SUMIFS('Base bordo'!H$2:H$746,'Base bordo'!C$2:C$746,A497,'Base bordo'!B$2:B$746,B497,'Base bordo'!F$2:F$746,"DESLOCAMENTO VAZIO"),0)</f>
        <v>368512.23</v>
      </c>
      <c r="R497" s="10">
        <f>IFERROR(SUMIFS('Base bordo'!I$2:I$746,'Base bordo'!C$2:C$746,A497,'Base bordo'!B$2:B$746,B497,'Base bordo'!F$2:F$746,"DESLOCAMENTO VAZIO"),0)</f>
        <v>11217</v>
      </c>
      <c r="S497" s="30">
        <f t="shared" si="55"/>
        <v>32.853011500401173</v>
      </c>
      <c r="T497" s="10">
        <f>IFERROR(SUMIFS('Base bordo'!H$2:H$746,'Base bordo'!C$2:C$746,A497,'Base bordo'!B$2:B$746,B497,'Base bordo'!F$2:F$746,"DESLOCAMENTO CARREGADO"),0)</f>
        <v>421365.02999999997</v>
      </c>
      <c r="U497" s="10">
        <f>IFERROR(SUMIFS('Base bordo'!I$2:I$746,'Base bordo'!C$2:C$746,A497,'Base bordo'!B$2:B$746,B497,'Base bordo'!F$2:F$746,"DESLOCAMENTO CARREGADO"),0)</f>
        <v>17049</v>
      </c>
      <c r="V497" s="30">
        <f t="shared" si="56"/>
        <v>24.714941052261128</v>
      </c>
      <c r="W497" s="9">
        <f t="shared" si="57"/>
        <v>0.25972492358988608</v>
      </c>
      <c r="X497" s="9">
        <f t="shared" si="58"/>
        <v>0.39476243400944705</v>
      </c>
      <c r="Y497" s="9">
        <f t="shared" si="59"/>
        <v>0.34551264240066681</v>
      </c>
    </row>
    <row r="498" spans="1:25" ht="15" customHeight="1" x14ac:dyDescent="0.35">
      <c r="A498" s="52">
        <v>8013472</v>
      </c>
      <c r="B498" s="51">
        <v>46117</v>
      </c>
      <c r="C498" s="7" t="s">
        <v>124</v>
      </c>
      <c r="D498" s="10">
        <f>IFERROR(SUMIFS('Base bordo'!G$2:G$746,'Base bordo'!C$2:C$746,A498,'Base bordo'!B$2:B$746,B498,'Base bordo'!F$2:F$746,"DESLOCAMENTO VAZIO"),0)</f>
        <v>1.5952777777777778</v>
      </c>
      <c r="E498" s="10">
        <f>IFERROR(SUMIFS('Base bordo'!G$2:G$746,'Base bordo'!C$2:C$746,A498,'Base bordo'!B$2:B$746,B498,'Base bordo'!F$2:F$746,"DESLOCAMENTO CARREGADO"),0)</f>
        <v>0</v>
      </c>
      <c r="F498" s="10">
        <f>IFERROR(SUMIFS('Base bordo'!G$2:G$746,'Base bordo'!C$2:C$746,A498,'Base bordo'!B$2:B$746,B498,'Base bordo'!F$2:F$746,"DESLOCAMENTO"),0)</f>
        <v>6.8641666666666667</v>
      </c>
      <c r="G498" s="10">
        <f>IFERROR(SUMIFS('Base bordo'!G$2:G$746,'Base bordo'!C$2:C$746,A498,'Base bordo'!B$2:B$746,B498,'Base bordo'!F$2:F$746,"CARREGAMENTO"),0)</f>
        <v>0.42805555555555558</v>
      </c>
      <c r="H498" s="10">
        <f>IFERROR(SUMIFS('Base bordo'!G$2:G$746,'Base bordo'!C$2:C$746,A498,'Base bordo'!B$2:B$746,B498,'Base bordo'!F$2:F$746,"AGUARDANDO TRANSBORDO"),0)</f>
        <v>0.26416666666666666</v>
      </c>
      <c r="I498" s="10">
        <f>IFERROR(SUMIFS('Base bordo'!G$2:G$746,'Base bordo'!C$2:C$746,A498,'Base bordo'!B$2:B$746,B498,'Base bordo'!F$2:F$746,"PÁTIO INTERNO"),0)+IFERROR(SUMIFS('Base bordo'!G$2:G$746,'Base bordo'!C$2:C$746,A498,'Base bordo'!B$2:B$746,B498,'Base bordo'!F$2:F$746,"PÁTIO EXTERNO"),0)+IFERROR(SUMIFS('Base bordo'!G$2:G$746,'Base bordo'!C$2:C$746,A498,'Base bordo'!B$2:B$746,B498,'Base bordo'!F$2:F$746,"PATIO - RESERVA"),0)+IFERROR(SUMIFS('Base bordo'!G$2:G$746,'Base bordo'!C$2:C$746,A498,'Base bordo'!B$2:B$746,B498,'Base bordo'!F$2:F$746,"MANOBRA CARRETAS-PATIO"),0)</f>
        <v>0</v>
      </c>
      <c r="J498" s="10">
        <f>IFERROR(SUMIFS('Base bordo'!G$2:G$746,'Base bordo'!C$2:C$746,A498,'Base bordo'!B$2:B$746,B498,'Base bordo'!F$2:F$746,"BALANÇA - ENTRADA"),0)+IFERROR(SUMIFS('Base bordo'!G$2:G$746,'Base bordo'!C$2:C$746,A498,'Base bordo'!B$2:B$746,B498,'Base bordo'!F$2:F$746,"BALANÇA - SAÍDA"),0)</f>
        <v>0</v>
      </c>
      <c r="K498" s="10">
        <f>IFERROR(SUMIFS('Base bordo'!G$2:G$746,'Base bordo'!C$2:C$746,A498,'Base bordo'!B$2:B$746,B498,'Base bordo'!F$2:F$746,"MAN PREVENTIVA - MECANICA"),0)+IFERROR(SUMIFS('Base bordo'!G$2:G$746,'Base bordo'!C$2:C$746,A498,'Base bordo'!B$2:B$746,B498,'Base bordo'!F$2:F$746,"MAN CORRETIVA - MECANICA"),0)</f>
        <v>0</v>
      </c>
      <c r="L498" s="10">
        <f>IFERROR(SUMIFS('Base bordo'!G$2:G$746,'Base bordo'!C$2:C$746,A498,'Base bordo'!B$2:B$746,B498,'Base bordo'!F$2:F$746,"MANUTENCAO - T O"),0)+IFERROR(SUMIFS('Base bordo'!G$2:G$746,'Base bordo'!C$2:C$746,A498,'Base bordo'!B$2:B$746,B498,'Base bordo'!F$2:F$746,"MANUTENCAO BORRACHARIA"),0)+IFERROR(SUMIFS('Base bordo'!G$2:G$746,'Base bordo'!C$2:C$746,A498,'Base bordo'!B$2:B$746,B498,'Base bordo'!F$2:F$746,"MANUTENCAO EXTERNA  CONCESSIONARIA"),0)+IFERROR(SUMIFS('Base bordo'!G$2:G$746,'Base bordo'!C$2:C$746,A498,'Base bordo'!B$2:B$746,B498,'Base bordo'!F$2:F$746,"MANUTENCAO TELEMETRIA"),0)</f>
        <v>1.0469444444444445</v>
      </c>
      <c r="M498" s="10">
        <f>IFERROR(SUMIFS('Base bordo'!G$2:G$746,'Base bordo'!C$2:C$746,A498,'Base bordo'!B$2:B$746,B498,'Base bordo'!F$2:F$746,"AGUARDANDO MANUTENCAO"),0)</f>
        <v>0</v>
      </c>
      <c r="N498" s="10">
        <f>IFERROR(SUMIFS('Base bordo'!G$2:G$746,'Base bordo'!C$2:C$746,A498,'Base bordo'!B$2:B$746,B498,'Base bordo'!F$2:F$746,"SEM APONTAMENTO"),0)</f>
        <v>6.7500000000000004E-2</v>
      </c>
      <c r="O498" s="10">
        <f t="shared" si="54"/>
        <v>0</v>
      </c>
      <c r="P498" s="10">
        <f>IFERROR(SUMIFS('Base bordo'!G$2:G$746,'Base bordo'!C$2:C$746,A498,'Base bordo'!B$2:B$746,B498),0)</f>
        <v>10.266111111111112</v>
      </c>
      <c r="Q498" s="10">
        <f>IFERROR(SUMIFS('Base bordo'!H$2:H$746,'Base bordo'!C$2:C$746,A498,'Base bordo'!B$2:B$746,B498,'Base bordo'!F$2:F$746,"DESLOCAMENTO VAZIO"),0)</f>
        <v>176836.76</v>
      </c>
      <c r="R498" s="10">
        <f>IFERROR(SUMIFS('Base bordo'!I$2:I$746,'Base bordo'!C$2:C$746,A498,'Base bordo'!B$2:B$746,B498,'Base bordo'!F$2:F$746,"DESLOCAMENTO VAZIO"),0)</f>
        <v>5743</v>
      </c>
      <c r="S498" s="30">
        <f t="shared" si="55"/>
        <v>30.791704683963086</v>
      </c>
      <c r="T498" s="10">
        <f>IFERROR(SUMIFS('Base bordo'!H$2:H$746,'Base bordo'!C$2:C$746,A498,'Base bordo'!B$2:B$746,B498,'Base bordo'!F$2:F$746,"DESLOCAMENTO CARREGADO"),0)</f>
        <v>0</v>
      </c>
      <c r="U498" s="10">
        <f>IFERROR(SUMIFS('Base bordo'!I$2:I$746,'Base bordo'!C$2:C$746,A498,'Base bordo'!B$2:B$746,B498,'Base bordo'!F$2:F$746,"DESLOCAMENTO CARREGADO"),0)</f>
        <v>0</v>
      </c>
      <c r="V498" s="30" t="str">
        <f t="shared" si="56"/>
        <v/>
      </c>
      <c r="W498" s="9">
        <f t="shared" si="57"/>
        <v>0.15539260782509876</v>
      </c>
      <c r="X498" s="9">
        <f t="shared" si="58"/>
        <v>0</v>
      </c>
      <c r="Y498" s="9">
        <f t="shared" si="59"/>
        <v>0.84460739217490122</v>
      </c>
    </row>
    <row r="499" spans="1:25" ht="15" customHeight="1" x14ac:dyDescent="0.35">
      <c r="A499" s="52">
        <v>8013486</v>
      </c>
      <c r="B499" s="51">
        <v>46124</v>
      </c>
      <c r="C499" s="7" t="s">
        <v>124</v>
      </c>
      <c r="D499" s="10">
        <f>IFERROR(SUMIFS('Base bordo'!G$2:G$746,'Base bordo'!C$2:C$746,A499,'Base bordo'!B$2:B$746,B499,'Base bordo'!F$2:F$746,"DESLOCAMENTO VAZIO"),0)</f>
        <v>1.6141666666666667</v>
      </c>
      <c r="E499" s="10">
        <f>IFERROR(SUMIFS('Base bordo'!G$2:G$746,'Base bordo'!C$2:C$746,A499,'Base bordo'!B$2:B$746,B499,'Base bordo'!F$2:F$746,"DESLOCAMENTO CARREGADO"),0)</f>
        <v>9.7500000000000003E-2</v>
      </c>
      <c r="F499" s="10">
        <f>IFERROR(SUMIFS('Base bordo'!G$2:G$746,'Base bordo'!C$2:C$746,A499,'Base bordo'!B$2:B$746,B499,'Base bordo'!F$2:F$746,"DESLOCAMENTO"),0)</f>
        <v>0</v>
      </c>
      <c r="G499" s="10">
        <f>IFERROR(SUMIFS('Base bordo'!G$2:G$746,'Base bordo'!C$2:C$746,A499,'Base bordo'!B$2:B$746,B499,'Base bordo'!F$2:F$746,"CARREGAMENTO"),0)</f>
        <v>0</v>
      </c>
      <c r="H499" s="10">
        <f>IFERROR(SUMIFS('Base bordo'!G$2:G$746,'Base bordo'!C$2:C$746,A499,'Base bordo'!B$2:B$746,B499,'Base bordo'!F$2:F$746,"AGUARDANDO TRANSBORDO"),0)</f>
        <v>0.10888888888888888</v>
      </c>
      <c r="I499" s="10">
        <f>IFERROR(SUMIFS('Base bordo'!G$2:G$746,'Base bordo'!C$2:C$746,A499,'Base bordo'!B$2:B$746,B499,'Base bordo'!F$2:F$746,"PÁTIO INTERNO"),0)+IFERROR(SUMIFS('Base bordo'!G$2:G$746,'Base bordo'!C$2:C$746,A499,'Base bordo'!B$2:B$746,B499,'Base bordo'!F$2:F$746,"PÁTIO EXTERNO"),0)+IFERROR(SUMIFS('Base bordo'!G$2:G$746,'Base bordo'!C$2:C$746,A499,'Base bordo'!B$2:B$746,B499,'Base bordo'!F$2:F$746,"PATIO - RESERVA"),0)+IFERROR(SUMIFS('Base bordo'!G$2:G$746,'Base bordo'!C$2:C$746,A499,'Base bordo'!B$2:B$746,B499,'Base bordo'!F$2:F$746,"MANOBRA CARRETAS-PATIO"),0)</f>
        <v>4.8677777777777784</v>
      </c>
      <c r="J499" s="10">
        <f>IFERROR(SUMIFS('Base bordo'!G$2:G$746,'Base bordo'!C$2:C$746,A499,'Base bordo'!B$2:B$746,B499,'Base bordo'!F$2:F$746,"BALANÇA - ENTRADA"),0)+IFERROR(SUMIFS('Base bordo'!G$2:G$746,'Base bordo'!C$2:C$746,A499,'Base bordo'!B$2:B$746,B499,'Base bordo'!F$2:F$746,"BALANÇA - SAÍDA"),0)</f>
        <v>0.14000000000000001</v>
      </c>
      <c r="K499" s="10">
        <f>IFERROR(SUMIFS('Base bordo'!G$2:G$746,'Base bordo'!C$2:C$746,A499,'Base bordo'!B$2:B$746,B499,'Base bordo'!F$2:F$746,"MAN PREVENTIVA - MECANICA"),0)+IFERROR(SUMIFS('Base bordo'!G$2:G$746,'Base bordo'!C$2:C$746,A499,'Base bordo'!B$2:B$746,B499,'Base bordo'!F$2:F$746,"MAN CORRETIVA - MECANICA"),0)</f>
        <v>0</v>
      </c>
      <c r="L499" s="10">
        <f>IFERROR(SUMIFS('Base bordo'!G$2:G$746,'Base bordo'!C$2:C$746,A499,'Base bordo'!B$2:B$746,B499,'Base bordo'!F$2:F$746,"MANUTENCAO - T O"),0)+IFERROR(SUMIFS('Base bordo'!G$2:G$746,'Base bordo'!C$2:C$746,A499,'Base bordo'!B$2:B$746,B499,'Base bordo'!F$2:F$746,"MANUTENCAO BORRACHARIA"),0)+IFERROR(SUMIFS('Base bordo'!G$2:G$746,'Base bordo'!C$2:C$746,A499,'Base bordo'!B$2:B$746,B499,'Base bordo'!F$2:F$746,"MANUTENCAO EXTERNA  CONCESSIONARIA"),0)+IFERROR(SUMIFS('Base bordo'!G$2:G$746,'Base bordo'!C$2:C$746,A499,'Base bordo'!B$2:B$746,B499,'Base bordo'!F$2:F$746,"MANUTENCAO TELEMETRIA"),0)</f>
        <v>0</v>
      </c>
      <c r="M499" s="10">
        <f>IFERROR(SUMIFS('Base bordo'!G$2:G$746,'Base bordo'!C$2:C$746,A499,'Base bordo'!B$2:B$746,B499,'Base bordo'!F$2:F$746,"AGUARDANDO MANUTENCAO"),0)</f>
        <v>0</v>
      </c>
      <c r="N499" s="10">
        <f>IFERROR(SUMIFS('Base bordo'!G$2:G$746,'Base bordo'!C$2:C$746,A499,'Base bordo'!B$2:B$746,B499,'Base bordo'!F$2:F$746,"SEM APONTAMENTO"),0)</f>
        <v>0</v>
      </c>
      <c r="O499" s="10">
        <f t="shared" si="54"/>
        <v>1.4722222222222747E-2</v>
      </c>
      <c r="P499" s="10">
        <f>IFERROR(SUMIFS('Base bordo'!G$2:G$746,'Base bordo'!C$2:C$746,A499,'Base bordo'!B$2:B$746,B499),0)</f>
        <v>6.8430555555555568</v>
      </c>
      <c r="Q499" s="10">
        <f>IFERROR(SUMIFS('Base bordo'!H$2:H$746,'Base bordo'!C$2:C$746,A499,'Base bordo'!B$2:B$746,B499,'Base bordo'!F$2:F$746,"DESLOCAMENTO VAZIO"),0)</f>
        <v>181720.6</v>
      </c>
      <c r="R499" s="10">
        <f>IFERROR(SUMIFS('Base bordo'!I$2:I$746,'Base bordo'!C$2:C$746,A499,'Base bordo'!B$2:B$746,B499,'Base bordo'!F$2:F$746,"DESLOCAMENTO VAZIO"),0)</f>
        <v>5811</v>
      </c>
      <c r="S499" s="30">
        <f t="shared" si="55"/>
        <v>31.271829289278955</v>
      </c>
      <c r="T499" s="10">
        <f>IFERROR(SUMIFS('Base bordo'!H$2:H$746,'Base bordo'!C$2:C$746,A499,'Base bordo'!B$2:B$746,B499,'Base bordo'!F$2:F$746,"DESLOCAMENTO CARREGADO"),0)</f>
        <v>2571.7599999999998</v>
      </c>
      <c r="U499" s="10">
        <f>IFERROR(SUMIFS('Base bordo'!I$2:I$746,'Base bordo'!C$2:C$746,A499,'Base bordo'!B$2:B$746,B499,'Base bordo'!F$2:F$746,"DESLOCAMENTO CARREGADO"),0)</f>
        <v>332</v>
      </c>
      <c r="V499" s="30">
        <f t="shared" si="56"/>
        <v>7.7462650602409635</v>
      </c>
      <c r="W499" s="9">
        <f t="shared" si="57"/>
        <v>0.23588390501319259</v>
      </c>
      <c r="X499" s="9">
        <f t="shared" si="58"/>
        <v>1.4248021108179418E-2</v>
      </c>
      <c r="Y499" s="9">
        <f t="shared" si="59"/>
        <v>0.74986807387862808</v>
      </c>
    </row>
    <row r="500" spans="1:25" ht="15" customHeight="1" x14ac:dyDescent="0.35">
      <c r="A500" s="52">
        <v>8013475</v>
      </c>
      <c r="B500" s="51">
        <v>46117</v>
      </c>
      <c r="C500" s="7" t="s">
        <v>124</v>
      </c>
      <c r="D500" s="10">
        <f>IFERROR(SUMIFS('Base bordo'!G$2:G$746,'Base bordo'!C$2:C$746,A500,'Base bordo'!B$2:B$746,B500,'Base bordo'!F$2:F$746,"DESLOCAMENTO VAZIO"),0)</f>
        <v>1.4697222222222222</v>
      </c>
      <c r="E500" s="10">
        <f>IFERROR(SUMIFS('Base bordo'!G$2:G$746,'Base bordo'!C$2:C$746,A500,'Base bordo'!B$2:B$746,B500,'Base bordo'!F$2:F$746,"DESLOCAMENTO CARREGADO"),0)</f>
        <v>0</v>
      </c>
      <c r="F500" s="10">
        <f>IFERROR(SUMIFS('Base bordo'!G$2:G$746,'Base bordo'!C$2:C$746,A500,'Base bordo'!B$2:B$746,B500,'Base bordo'!F$2:F$746,"DESLOCAMENTO"),0)</f>
        <v>0.17444444444444446</v>
      </c>
      <c r="G500" s="10">
        <f>IFERROR(SUMIFS('Base bordo'!G$2:G$746,'Base bordo'!C$2:C$746,A500,'Base bordo'!B$2:B$746,B500,'Base bordo'!F$2:F$746,"CARREGAMENTO"),0)</f>
        <v>0</v>
      </c>
      <c r="H500" s="10">
        <f>IFERROR(SUMIFS('Base bordo'!G$2:G$746,'Base bordo'!C$2:C$746,A500,'Base bordo'!B$2:B$746,B500,'Base bordo'!F$2:F$746,"AGUARDANDO TRANSBORDO"),0)</f>
        <v>3.2597222222222224</v>
      </c>
      <c r="I500" s="10">
        <f>IFERROR(SUMIFS('Base bordo'!G$2:G$746,'Base bordo'!C$2:C$746,A500,'Base bordo'!B$2:B$746,B500,'Base bordo'!F$2:F$746,"PÁTIO INTERNO"),0)+IFERROR(SUMIFS('Base bordo'!G$2:G$746,'Base bordo'!C$2:C$746,A500,'Base bordo'!B$2:B$746,B500,'Base bordo'!F$2:F$746,"PÁTIO EXTERNO"),0)+IFERROR(SUMIFS('Base bordo'!G$2:G$746,'Base bordo'!C$2:C$746,A500,'Base bordo'!B$2:B$746,B500,'Base bordo'!F$2:F$746,"PATIO - RESERVA"),0)+IFERROR(SUMIFS('Base bordo'!G$2:G$746,'Base bordo'!C$2:C$746,A500,'Base bordo'!B$2:B$746,B500,'Base bordo'!F$2:F$746,"MANOBRA CARRETAS-PATIO"),0)</f>
        <v>0</v>
      </c>
      <c r="J500" s="10">
        <f>IFERROR(SUMIFS('Base bordo'!G$2:G$746,'Base bordo'!C$2:C$746,A500,'Base bordo'!B$2:B$746,B500,'Base bordo'!F$2:F$746,"BALANÇA - ENTRADA"),0)+IFERROR(SUMIFS('Base bordo'!G$2:G$746,'Base bordo'!C$2:C$746,A500,'Base bordo'!B$2:B$746,B500,'Base bordo'!F$2:F$746,"BALANÇA - SAÍDA"),0)</f>
        <v>0</v>
      </c>
      <c r="K500" s="10">
        <f>IFERROR(SUMIFS('Base bordo'!G$2:G$746,'Base bordo'!C$2:C$746,A500,'Base bordo'!B$2:B$746,B500,'Base bordo'!F$2:F$746,"MAN PREVENTIVA - MECANICA"),0)+IFERROR(SUMIFS('Base bordo'!G$2:G$746,'Base bordo'!C$2:C$746,A500,'Base bordo'!B$2:B$746,B500,'Base bordo'!F$2:F$746,"MAN CORRETIVA - MECANICA"),0)</f>
        <v>0</v>
      </c>
      <c r="L500" s="10">
        <f>IFERROR(SUMIFS('Base bordo'!G$2:G$746,'Base bordo'!C$2:C$746,A500,'Base bordo'!B$2:B$746,B500,'Base bordo'!F$2:F$746,"MANUTENCAO - T O"),0)+IFERROR(SUMIFS('Base bordo'!G$2:G$746,'Base bordo'!C$2:C$746,A500,'Base bordo'!B$2:B$746,B500,'Base bordo'!F$2:F$746,"MANUTENCAO BORRACHARIA"),0)+IFERROR(SUMIFS('Base bordo'!G$2:G$746,'Base bordo'!C$2:C$746,A500,'Base bordo'!B$2:B$746,B500,'Base bordo'!F$2:F$746,"MANUTENCAO EXTERNA  CONCESSIONARIA"),0)+IFERROR(SUMIFS('Base bordo'!G$2:G$746,'Base bordo'!C$2:C$746,A500,'Base bordo'!B$2:B$746,B500,'Base bordo'!F$2:F$746,"MANUTENCAO TELEMETRIA"),0)</f>
        <v>18.858611111111109</v>
      </c>
      <c r="M500" s="10">
        <f>IFERROR(SUMIFS('Base bordo'!G$2:G$746,'Base bordo'!C$2:C$746,A500,'Base bordo'!B$2:B$746,B500,'Base bordo'!F$2:F$746,"AGUARDANDO MANUTENCAO"),0)</f>
        <v>0</v>
      </c>
      <c r="N500" s="10">
        <f>IFERROR(SUMIFS('Base bordo'!G$2:G$746,'Base bordo'!C$2:C$746,A500,'Base bordo'!B$2:B$746,B500,'Base bordo'!F$2:F$746,"SEM APONTAMENTO"),0)</f>
        <v>0</v>
      </c>
      <c r="O500" s="10">
        <f t="shared" si="54"/>
        <v>0.23749999999999716</v>
      </c>
      <c r="P500" s="10">
        <f>IFERROR(SUMIFS('Base bordo'!G$2:G$746,'Base bordo'!C$2:C$746,A500,'Base bordo'!B$2:B$746,B500),0)</f>
        <v>23.999999999999996</v>
      </c>
      <c r="Q500" s="10">
        <f>IFERROR(SUMIFS('Base bordo'!H$2:H$746,'Base bordo'!C$2:C$746,A500,'Base bordo'!B$2:B$746,B500,'Base bordo'!F$2:F$746,"DESLOCAMENTO VAZIO"),0)</f>
        <v>139140.03999999998</v>
      </c>
      <c r="R500" s="10">
        <f>IFERROR(SUMIFS('Base bordo'!I$2:I$746,'Base bordo'!C$2:C$746,A500,'Base bordo'!B$2:B$746,B500,'Base bordo'!F$2:F$746,"DESLOCAMENTO VAZIO"),0)</f>
        <v>5291</v>
      </c>
      <c r="S500" s="30">
        <f t="shared" si="55"/>
        <v>26.297493857493855</v>
      </c>
      <c r="T500" s="10">
        <f>IFERROR(SUMIFS('Base bordo'!H$2:H$746,'Base bordo'!C$2:C$746,A500,'Base bordo'!B$2:B$746,B500,'Base bordo'!F$2:F$746,"DESLOCAMENTO CARREGADO"),0)</f>
        <v>0</v>
      </c>
      <c r="U500" s="10">
        <f>IFERROR(SUMIFS('Base bordo'!I$2:I$746,'Base bordo'!C$2:C$746,A500,'Base bordo'!B$2:B$746,B500,'Base bordo'!F$2:F$746,"DESLOCAMENTO CARREGADO"),0)</f>
        <v>0</v>
      </c>
      <c r="V500" s="30" t="str">
        <f t="shared" si="56"/>
        <v/>
      </c>
      <c r="W500" s="9">
        <f t="shared" si="57"/>
        <v>6.1238425925925932E-2</v>
      </c>
      <c r="X500" s="9">
        <f t="shared" si="58"/>
        <v>0</v>
      </c>
      <c r="Y500" s="9">
        <f t="shared" si="59"/>
        <v>0.93876157407407401</v>
      </c>
    </row>
    <row r="501" spans="1:25" ht="15" customHeight="1" x14ac:dyDescent="0.35">
      <c r="A501" s="52">
        <v>8013475</v>
      </c>
      <c r="B501" s="51">
        <v>46118</v>
      </c>
      <c r="C501" s="7" t="s">
        <v>124</v>
      </c>
      <c r="D501" s="10">
        <f>IFERROR(SUMIFS('Base bordo'!G$2:G$746,'Base bordo'!C$2:C$746,A501,'Base bordo'!B$2:B$746,B501,'Base bordo'!F$2:F$746,"DESLOCAMENTO VAZIO"),0)</f>
        <v>1.6019444444444444</v>
      </c>
      <c r="E501" s="10">
        <f>IFERROR(SUMIFS('Base bordo'!G$2:G$746,'Base bordo'!C$2:C$746,A501,'Base bordo'!B$2:B$746,B501,'Base bordo'!F$2:F$746,"DESLOCAMENTO CARREGADO"),0)</f>
        <v>2.0350000000000001</v>
      </c>
      <c r="F501" s="10">
        <f>IFERROR(SUMIFS('Base bordo'!G$2:G$746,'Base bordo'!C$2:C$746,A501,'Base bordo'!B$2:B$746,B501,'Base bordo'!F$2:F$746,"DESLOCAMENTO"),0)</f>
        <v>1.1069444444444445</v>
      </c>
      <c r="G501" s="10">
        <f>IFERROR(SUMIFS('Base bordo'!G$2:G$746,'Base bordo'!C$2:C$746,A501,'Base bordo'!B$2:B$746,B501,'Base bordo'!F$2:F$746,"CARREGAMENTO"),0)</f>
        <v>0</v>
      </c>
      <c r="H501" s="10">
        <f>IFERROR(SUMIFS('Base bordo'!G$2:G$746,'Base bordo'!C$2:C$746,A501,'Base bordo'!B$2:B$746,B501,'Base bordo'!F$2:F$746,"AGUARDANDO TRANSBORDO"),0)</f>
        <v>0.62972222222222218</v>
      </c>
      <c r="I501" s="10">
        <f>IFERROR(SUMIFS('Base bordo'!G$2:G$746,'Base bordo'!C$2:C$746,A501,'Base bordo'!B$2:B$746,B501,'Base bordo'!F$2:F$746,"PÁTIO INTERNO"),0)+IFERROR(SUMIFS('Base bordo'!G$2:G$746,'Base bordo'!C$2:C$746,A501,'Base bordo'!B$2:B$746,B501,'Base bordo'!F$2:F$746,"PÁTIO EXTERNO"),0)+IFERROR(SUMIFS('Base bordo'!G$2:G$746,'Base bordo'!C$2:C$746,A501,'Base bordo'!B$2:B$746,B501,'Base bordo'!F$2:F$746,"PATIO - RESERVA"),0)+IFERROR(SUMIFS('Base bordo'!G$2:G$746,'Base bordo'!C$2:C$746,A501,'Base bordo'!B$2:B$746,B501,'Base bordo'!F$2:F$746,"MANOBRA CARRETAS-PATIO"),0)</f>
        <v>16.014166666666668</v>
      </c>
      <c r="J501" s="10">
        <f>IFERROR(SUMIFS('Base bordo'!G$2:G$746,'Base bordo'!C$2:C$746,A501,'Base bordo'!B$2:B$746,B501,'Base bordo'!F$2:F$746,"BALANÇA - ENTRADA"),0)+IFERROR(SUMIFS('Base bordo'!G$2:G$746,'Base bordo'!C$2:C$746,A501,'Base bordo'!B$2:B$746,B501,'Base bordo'!F$2:F$746,"BALANÇA - SAÍDA"),0)</f>
        <v>4.8333333333333332E-2</v>
      </c>
      <c r="K501" s="10">
        <f>IFERROR(SUMIFS('Base bordo'!G$2:G$746,'Base bordo'!C$2:C$746,A501,'Base bordo'!B$2:B$746,B501,'Base bordo'!F$2:F$746,"MAN PREVENTIVA - MECANICA"),0)+IFERROR(SUMIFS('Base bordo'!G$2:G$746,'Base bordo'!C$2:C$746,A501,'Base bordo'!B$2:B$746,B501,'Base bordo'!F$2:F$746,"MAN CORRETIVA - MECANICA"),0)</f>
        <v>0</v>
      </c>
      <c r="L501" s="10">
        <f>IFERROR(SUMIFS('Base bordo'!G$2:G$746,'Base bordo'!C$2:C$746,A501,'Base bordo'!B$2:B$746,B501,'Base bordo'!F$2:F$746,"MANUTENCAO - T O"),0)+IFERROR(SUMIFS('Base bordo'!G$2:G$746,'Base bordo'!C$2:C$746,A501,'Base bordo'!B$2:B$746,B501,'Base bordo'!F$2:F$746,"MANUTENCAO BORRACHARIA"),0)+IFERROR(SUMIFS('Base bordo'!G$2:G$746,'Base bordo'!C$2:C$746,A501,'Base bordo'!B$2:B$746,B501,'Base bordo'!F$2:F$746,"MANUTENCAO EXTERNA  CONCESSIONARIA"),0)+IFERROR(SUMIFS('Base bordo'!G$2:G$746,'Base bordo'!C$2:C$746,A501,'Base bordo'!B$2:B$746,B501,'Base bordo'!F$2:F$746,"MANUTENCAO TELEMETRIA"),0)</f>
        <v>1.9430555555555555</v>
      </c>
      <c r="M501" s="10">
        <f>IFERROR(SUMIFS('Base bordo'!G$2:G$746,'Base bordo'!C$2:C$746,A501,'Base bordo'!B$2:B$746,B501,'Base bordo'!F$2:F$746,"AGUARDANDO MANUTENCAO"),0)</f>
        <v>0</v>
      </c>
      <c r="N501" s="10">
        <f>IFERROR(SUMIFS('Base bordo'!G$2:G$746,'Base bordo'!C$2:C$746,A501,'Base bordo'!B$2:B$746,B501,'Base bordo'!F$2:F$746,"SEM APONTAMENTO"),0)</f>
        <v>0</v>
      </c>
      <c r="O501" s="10">
        <f t="shared" si="54"/>
        <v>3.5527136788005009E-15</v>
      </c>
      <c r="P501" s="10">
        <f>IFERROR(SUMIFS('Base bordo'!G$2:G$746,'Base bordo'!C$2:C$746,A501,'Base bordo'!B$2:B$746,B501),0)</f>
        <v>23.37916666666667</v>
      </c>
      <c r="Q501" s="10">
        <f>IFERROR(SUMIFS('Base bordo'!H$2:H$746,'Base bordo'!C$2:C$746,A501,'Base bordo'!B$2:B$746,B501,'Base bordo'!F$2:F$746,"DESLOCAMENTO VAZIO"),0)</f>
        <v>173822.73</v>
      </c>
      <c r="R501" s="10">
        <f>IFERROR(SUMIFS('Base bordo'!I$2:I$746,'Base bordo'!C$2:C$746,A501,'Base bordo'!B$2:B$746,B501,'Base bordo'!F$2:F$746,"DESLOCAMENTO VAZIO"),0)</f>
        <v>5767</v>
      </c>
      <c r="S501" s="30">
        <f t="shared" si="55"/>
        <v>30.140927692040925</v>
      </c>
      <c r="T501" s="10">
        <f>IFERROR(SUMIFS('Base bordo'!H$2:H$746,'Base bordo'!C$2:C$746,A501,'Base bordo'!B$2:B$746,B501,'Base bordo'!F$2:F$746,"DESLOCAMENTO CARREGADO"),0)</f>
        <v>172046.47</v>
      </c>
      <c r="U501" s="10">
        <f>IFERROR(SUMIFS('Base bordo'!I$2:I$746,'Base bordo'!C$2:C$746,A501,'Base bordo'!B$2:B$746,B501,'Base bordo'!F$2:F$746,"DESLOCAMENTO CARREGADO"),0)</f>
        <v>7326</v>
      </c>
      <c r="V501" s="30">
        <f t="shared" si="56"/>
        <v>23.484366639366641</v>
      </c>
      <c r="W501" s="9">
        <f t="shared" si="57"/>
        <v>6.8520168716212193E-2</v>
      </c>
      <c r="X501" s="9">
        <f t="shared" si="58"/>
        <v>8.7043307788273031E-2</v>
      </c>
      <c r="Y501" s="9">
        <f t="shared" si="59"/>
        <v>0.84443652349551479</v>
      </c>
    </row>
    <row r="502" spans="1:25" ht="15" customHeight="1" x14ac:dyDescent="0.35">
      <c r="A502" s="52">
        <v>8013461</v>
      </c>
      <c r="B502" s="51">
        <v>46118</v>
      </c>
      <c r="C502" s="7" t="s">
        <v>124</v>
      </c>
      <c r="D502" s="10">
        <f>IFERROR(SUMIFS('Base bordo'!G$2:G$746,'Base bordo'!C$2:C$746,A502,'Base bordo'!B$2:B$746,B502,'Base bordo'!F$2:F$746,"DESLOCAMENTO VAZIO"),0)</f>
        <v>1.6119444444444444</v>
      </c>
      <c r="E502" s="10">
        <f>IFERROR(SUMIFS('Base bordo'!G$2:G$746,'Base bordo'!C$2:C$746,A502,'Base bordo'!B$2:B$746,B502,'Base bordo'!F$2:F$746,"DESLOCAMENTO CARREGADO"),0)</f>
        <v>3.9649999999999999</v>
      </c>
      <c r="F502" s="10">
        <f>IFERROR(SUMIFS('Base bordo'!G$2:G$746,'Base bordo'!C$2:C$746,A502,'Base bordo'!B$2:B$746,B502,'Base bordo'!F$2:F$746,"DESLOCAMENTO"),0)</f>
        <v>0.61416666666666664</v>
      </c>
      <c r="G502" s="10">
        <f>IFERROR(SUMIFS('Base bordo'!G$2:G$746,'Base bordo'!C$2:C$746,A502,'Base bordo'!B$2:B$746,B502,'Base bordo'!F$2:F$746,"CARREGAMENTO"),0)</f>
        <v>0.68666666666666665</v>
      </c>
      <c r="H502" s="10">
        <f>IFERROR(SUMIFS('Base bordo'!G$2:G$746,'Base bordo'!C$2:C$746,A502,'Base bordo'!B$2:B$746,B502,'Base bordo'!F$2:F$746,"AGUARDANDO TRANSBORDO"),0)</f>
        <v>0.5033333333333333</v>
      </c>
      <c r="I502" s="10">
        <f>IFERROR(SUMIFS('Base bordo'!G$2:G$746,'Base bordo'!C$2:C$746,A502,'Base bordo'!B$2:B$746,B502,'Base bordo'!F$2:F$746,"PÁTIO INTERNO"),0)+IFERROR(SUMIFS('Base bordo'!G$2:G$746,'Base bordo'!C$2:C$746,A502,'Base bordo'!B$2:B$746,B502,'Base bordo'!F$2:F$746,"PÁTIO EXTERNO"),0)+IFERROR(SUMIFS('Base bordo'!G$2:G$746,'Base bordo'!C$2:C$746,A502,'Base bordo'!B$2:B$746,B502,'Base bordo'!F$2:F$746,"PATIO - RESERVA"),0)+IFERROR(SUMIFS('Base bordo'!G$2:G$746,'Base bordo'!C$2:C$746,A502,'Base bordo'!B$2:B$746,B502,'Base bordo'!F$2:F$746,"MANOBRA CARRETAS-PATIO"),0)</f>
        <v>13.577499999999999</v>
      </c>
      <c r="J502" s="10">
        <f>IFERROR(SUMIFS('Base bordo'!G$2:G$746,'Base bordo'!C$2:C$746,A502,'Base bordo'!B$2:B$746,B502,'Base bordo'!F$2:F$746,"BALANÇA - ENTRADA"),0)+IFERROR(SUMIFS('Base bordo'!G$2:G$746,'Base bordo'!C$2:C$746,A502,'Base bordo'!B$2:B$746,B502,'Base bordo'!F$2:F$746,"BALANÇA - SAÍDA"),0)</f>
        <v>0.18777777777777779</v>
      </c>
      <c r="K502" s="10">
        <f>IFERROR(SUMIFS('Base bordo'!G$2:G$746,'Base bordo'!C$2:C$746,A502,'Base bordo'!B$2:B$746,B502,'Base bordo'!F$2:F$746,"MAN PREVENTIVA - MECANICA"),0)+IFERROR(SUMIFS('Base bordo'!G$2:G$746,'Base bordo'!C$2:C$746,A502,'Base bordo'!B$2:B$746,B502,'Base bordo'!F$2:F$746,"MAN CORRETIVA - MECANICA"),0)</f>
        <v>0</v>
      </c>
      <c r="L502" s="10">
        <f>IFERROR(SUMIFS('Base bordo'!G$2:G$746,'Base bordo'!C$2:C$746,A502,'Base bordo'!B$2:B$746,B502,'Base bordo'!F$2:F$746,"MANUTENCAO - T O"),0)+IFERROR(SUMIFS('Base bordo'!G$2:G$746,'Base bordo'!C$2:C$746,A502,'Base bordo'!B$2:B$746,B502,'Base bordo'!F$2:F$746,"MANUTENCAO BORRACHARIA"),0)+IFERROR(SUMIFS('Base bordo'!G$2:G$746,'Base bordo'!C$2:C$746,A502,'Base bordo'!B$2:B$746,B502,'Base bordo'!F$2:F$746,"MANUTENCAO EXTERNA  CONCESSIONARIA"),0)+IFERROR(SUMIFS('Base bordo'!G$2:G$746,'Base bordo'!C$2:C$746,A502,'Base bordo'!B$2:B$746,B502,'Base bordo'!F$2:F$746,"MANUTENCAO TELEMETRIA"),0)</f>
        <v>0</v>
      </c>
      <c r="M502" s="10">
        <f>IFERROR(SUMIFS('Base bordo'!G$2:G$746,'Base bordo'!C$2:C$746,A502,'Base bordo'!B$2:B$746,B502,'Base bordo'!F$2:F$746,"AGUARDANDO MANUTENCAO"),0)</f>
        <v>0</v>
      </c>
      <c r="N502" s="10">
        <f>IFERROR(SUMIFS('Base bordo'!G$2:G$746,'Base bordo'!C$2:C$746,A502,'Base bordo'!B$2:B$746,B502,'Base bordo'!F$2:F$746,"SEM APONTAMENTO"),0)</f>
        <v>0.28888888888888886</v>
      </c>
      <c r="O502" s="10">
        <f t="shared" si="54"/>
        <v>2.5647222222222226</v>
      </c>
      <c r="P502" s="10">
        <f>IFERROR(SUMIFS('Base bordo'!G$2:G$746,'Base bordo'!C$2:C$746,A502,'Base bordo'!B$2:B$746,B502),0)</f>
        <v>24</v>
      </c>
      <c r="Q502" s="10">
        <f>IFERROR(SUMIFS('Base bordo'!H$2:H$746,'Base bordo'!C$2:C$746,A502,'Base bordo'!B$2:B$746,B502,'Base bordo'!F$2:F$746,"DESLOCAMENTO VAZIO"),0)</f>
        <v>187022.74</v>
      </c>
      <c r="R502" s="10">
        <f>IFERROR(SUMIFS('Base bordo'!I$2:I$746,'Base bordo'!C$2:C$746,A502,'Base bordo'!B$2:B$746,B502,'Base bordo'!F$2:F$746,"DESLOCAMENTO VAZIO"),0)</f>
        <v>5803</v>
      </c>
      <c r="S502" s="30">
        <f t="shared" si="55"/>
        <v>32.228630018955712</v>
      </c>
      <c r="T502" s="10">
        <f>IFERROR(SUMIFS('Base bordo'!H$2:H$746,'Base bordo'!C$2:C$746,A502,'Base bordo'!B$2:B$746,B502,'Base bordo'!F$2:F$746,"DESLOCAMENTO CARREGADO"),0)</f>
        <v>411676.06999999995</v>
      </c>
      <c r="U502" s="10">
        <f>IFERROR(SUMIFS('Base bordo'!I$2:I$746,'Base bordo'!C$2:C$746,A502,'Base bordo'!B$2:B$746,B502,'Base bordo'!F$2:F$746,"DESLOCAMENTO CARREGADO"),0)</f>
        <v>14242</v>
      </c>
      <c r="V502" s="30">
        <f t="shared" si="56"/>
        <v>28.905776576323547</v>
      </c>
      <c r="W502" s="9">
        <f t="shared" si="57"/>
        <v>6.716435185185185E-2</v>
      </c>
      <c r="X502" s="9">
        <f t="shared" si="58"/>
        <v>0.16520833333333332</v>
      </c>
      <c r="Y502" s="9">
        <f t="shared" si="59"/>
        <v>0.76762731481481483</v>
      </c>
    </row>
    <row r="503" spans="1:25" ht="15" customHeight="1" x14ac:dyDescent="0.35">
      <c r="A503" s="52">
        <v>8013474</v>
      </c>
      <c r="B503" s="51">
        <v>46119</v>
      </c>
      <c r="C503" s="7" t="s">
        <v>124</v>
      </c>
      <c r="D503" s="10">
        <f>IFERROR(SUMIFS('Base bordo'!G$2:G$746,'Base bordo'!C$2:C$746,A503,'Base bordo'!B$2:B$746,B503,'Base bordo'!F$2:F$746,"DESLOCAMENTO VAZIO"),0)</f>
        <v>1.3672222222222221</v>
      </c>
      <c r="E503" s="10">
        <f>IFERROR(SUMIFS('Base bordo'!G$2:G$746,'Base bordo'!C$2:C$746,A503,'Base bordo'!B$2:B$746,B503,'Base bordo'!F$2:F$746,"DESLOCAMENTO CARREGADO"),0)</f>
        <v>2.1927777777777777</v>
      </c>
      <c r="F503" s="10">
        <f>IFERROR(SUMIFS('Base bordo'!G$2:G$746,'Base bordo'!C$2:C$746,A503,'Base bordo'!B$2:B$746,B503,'Base bordo'!F$2:F$746,"DESLOCAMENTO"),0)</f>
        <v>0</v>
      </c>
      <c r="G503" s="10">
        <f>IFERROR(SUMIFS('Base bordo'!G$2:G$746,'Base bordo'!C$2:C$746,A503,'Base bordo'!B$2:B$746,B503,'Base bordo'!F$2:F$746,"CARREGAMENTO"),0)</f>
        <v>0</v>
      </c>
      <c r="H503" s="10">
        <f>IFERROR(SUMIFS('Base bordo'!G$2:G$746,'Base bordo'!C$2:C$746,A503,'Base bordo'!B$2:B$746,B503,'Base bordo'!F$2:F$746,"AGUARDANDO TRANSBORDO"),0)</f>
        <v>0.30111111111111111</v>
      </c>
      <c r="I503" s="10">
        <f>IFERROR(SUMIFS('Base bordo'!G$2:G$746,'Base bordo'!C$2:C$746,A503,'Base bordo'!B$2:B$746,B503,'Base bordo'!F$2:F$746,"PÁTIO INTERNO"),0)+IFERROR(SUMIFS('Base bordo'!G$2:G$746,'Base bordo'!C$2:C$746,A503,'Base bordo'!B$2:B$746,B503,'Base bordo'!F$2:F$746,"PÁTIO EXTERNO"),0)+IFERROR(SUMIFS('Base bordo'!G$2:G$746,'Base bordo'!C$2:C$746,A503,'Base bordo'!B$2:B$746,B503,'Base bordo'!F$2:F$746,"PATIO - RESERVA"),0)+IFERROR(SUMIFS('Base bordo'!G$2:G$746,'Base bordo'!C$2:C$746,A503,'Base bordo'!B$2:B$746,B503,'Base bordo'!F$2:F$746,"MANOBRA CARRETAS-PATIO"),0)</f>
        <v>19.229166666666668</v>
      </c>
      <c r="J503" s="10">
        <f>IFERROR(SUMIFS('Base bordo'!G$2:G$746,'Base bordo'!C$2:C$746,A503,'Base bordo'!B$2:B$746,B503,'Base bordo'!F$2:F$746,"BALANÇA - ENTRADA"),0)+IFERROR(SUMIFS('Base bordo'!G$2:G$746,'Base bordo'!C$2:C$746,A503,'Base bordo'!B$2:B$746,B503,'Base bordo'!F$2:F$746,"BALANÇA - SAÍDA"),0)</f>
        <v>2.8611111111111108E-2</v>
      </c>
      <c r="K503" s="10">
        <f>IFERROR(SUMIFS('Base bordo'!G$2:G$746,'Base bordo'!C$2:C$746,A503,'Base bordo'!B$2:B$746,B503,'Base bordo'!F$2:F$746,"MAN PREVENTIVA - MECANICA"),0)+IFERROR(SUMIFS('Base bordo'!G$2:G$746,'Base bordo'!C$2:C$746,A503,'Base bordo'!B$2:B$746,B503,'Base bordo'!F$2:F$746,"MAN CORRETIVA - MECANICA"),0)</f>
        <v>0</v>
      </c>
      <c r="L503" s="10">
        <f>IFERROR(SUMIFS('Base bordo'!G$2:G$746,'Base bordo'!C$2:C$746,A503,'Base bordo'!B$2:B$746,B503,'Base bordo'!F$2:F$746,"MANUTENCAO - T O"),0)+IFERROR(SUMIFS('Base bordo'!G$2:G$746,'Base bordo'!C$2:C$746,A503,'Base bordo'!B$2:B$746,B503,'Base bordo'!F$2:F$746,"MANUTENCAO BORRACHARIA"),0)+IFERROR(SUMIFS('Base bordo'!G$2:G$746,'Base bordo'!C$2:C$746,A503,'Base bordo'!B$2:B$746,B503,'Base bordo'!F$2:F$746,"MANUTENCAO EXTERNA  CONCESSIONARIA"),0)+IFERROR(SUMIFS('Base bordo'!G$2:G$746,'Base bordo'!C$2:C$746,A503,'Base bordo'!B$2:B$746,B503,'Base bordo'!F$2:F$746,"MANUTENCAO TELEMETRIA"),0)</f>
        <v>0</v>
      </c>
      <c r="M503" s="10">
        <f>IFERROR(SUMIFS('Base bordo'!G$2:G$746,'Base bordo'!C$2:C$746,A503,'Base bordo'!B$2:B$746,B503,'Base bordo'!F$2:F$746,"AGUARDANDO MANUTENCAO"),0)</f>
        <v>0</v>
      </c>
      <c r="N503" s="10">
        <f>IFERROR(SUMIFS('Base bordo'!G$2:G$746,'Base bordo'!C$2:C$746,A503,'Base bordo'!B$2:B$746,B503,'Base bordo'!F$2:F$746,"SEM APONTAMENTO"),0)</f>
        <v>0</v>
      </c>
      <c r="O503" s="10">
        <f t="shared" si="54"/>
        <v>0</v>
      </c>
      <c r="P503" s="10">
        <f>IFERROR(SUMIFS('Base bordo'!G$2:G$746,'Base bordo'!C$2:C$746,A503,'Base bordo'!B$2:B$746,B503),0)</f>
        <v>23.11888888888889</v>
      </c>
      <c r="Q503" s="10">
        <f>IFERROR(SUMIFS('Base bordo'!H$2:H$746,'Base bordo'!C$2:C$746,A503,'Base bordo'!B$2:B$746,B503,'Base bordo'!F$2:F$746,"DESLOCAMENTO VAZIO"),0)</f>
        <v>176172.38</v>
      </c>
      <c r="R503" s="10">
        <f>IFERROR(SUMIFS('Base bordo'!I$2:I$746,'Base bordo'!C$2:C$746,A503,'Base bordo'!B$2:B$746,B503,'Base bordo'!F$2:F$746,"DESLOCAMENTO VAZIO"),0)</f>
        <v>4922</v>
      </c>
      <c r="S503" s="30">
        <f t="shared" si="55"/>
        <v>35.792844372206424</v>
      </c>
      <c r="T503" s="10">
        <f>IFERROR(SUMIFS('Base bordo'!H$2:H$746,'Base bordo'!C$2:C$746,A503,'Base bordo'!B$2:B$746,B503,'Base bordo'!F$2:F$746,"DESLOCAMENTO CARREGADO"),0)</f>
        <v>181456.72999999998</v>
      </c>
      <c r="U503" s="10">
        <f>IFERROR(SUMIFS('Base bordo'!I$2:I$746,'Base bordo'!C$2:C$746,A503,'Base bordo'!B$2:B$746,B503,'Base bordo'!F$2:F$746,"DESLOCAMENTO CARREGADO"),0)</f>
        <v>7894</v>
      </c>
      <c r="V503" s="30">
        <f t="shared" si="56"/>
        <v>22.986664555358498</v>
      </c>
      <c r="W503" s="9">
        <f t="shared" si="57"/>
        <v>5.913875138174652E-2</v>
      </c>
      <c r="X503" s="9">
        <f t="shared" si="58"/>
        <v>9.4847887730090827E-2</v>
      </c>
      <c r="Y503" s="9">
        <f t="shared" si="59"/>
        <v>0.84601336088816259</v>
      </c>
    </row>
    <row r="504" spans="1:25" ht="15" customHeight="1" x14ac:dyDescent="0.35">
      <c r="A504" s="52">
        <v>8013486</v>
      </c>
      <c r="B504" s="51">
        <v>46124</v>
      </c>
      <c r="C504" s="7" t="s">
        <v>124</v>
      </c>
      <c r="D504" s="10">
        <f>IFERROR(SUMIFS('Base bordo'!G$2:G$746,'Base bordo'!C$2:C$746,A504,'Base bordo'!B$2:B$746,B504,'Base bordo'!F$2:F$746,"DESLOCAMENTO VAZIO"),0)</f>
        <v>1.6141666666666667</v>
      </c>
      <c r="E504" s="10">
        <f>IFERROR(SUMIFS('Base bordo'!G$2:G$746,'Base bordo'!C$2:C$746,A504,'Base bordo'!B$2:B$746,B504,'Base bordo'!F$2:F$746,"DESLOCAMENTO CARREGADO"),0)</f>
        <v>9.7500000000000003E-2</v>
      </c>
      <c r="F504" s="10">
        <f>IFERROR(SUMIFS('Base bordo'!G$2:G$746,'Base bordo'!C$2:C$746,A504,'Base bordo'!B$2:B$746,B504,'Base bordo'!F$2:F$746,"DESLOCAMENTO"),0)</f>
        <v>0</v>
      </c>
      <c r="G504" s="10">
        <f>IFERROR(SUMIFS('Base bordo'!G$2:G$746,'Base bordo'!C$2:C$746,A504,'Base bordo'!B$2:B$746,B504,'Base bordo'!F$2:F$746,"CARREGAMENTO"),0)</f>
        <v>0</v>
      </c>
      <c r="H504" s="10">
        <f>IFERROR(SUMIFS('Base bordo'!G$2:G$746,'Base bordo'!C$2:C$746,A504,'Base bordo'!B$2:B$746,B504,'Base bordo'!F$2:F$746,"AGUARDANDO TRANSBORDO"),0)</f>
        <v>0.10888888888888888</v>
      </c>
      <c r="I504" s="10">
        <f>IFERROR(SUMIFS('Base bordo'!G$2:G$746,'Base bordo'!C$2:C$746,A504,'Base bordo'!B$2:B$746,B504,'Base bordo'!F$2:F$746,"PÁTIO INTERNO"),0)+IFERROR(SUMIFS('Base bordo'!G$2:G$746,'Base bordo'!C$2:C$746,A504,'Base bordo'!B$2:B$746,B504,'Base bordo'!F$2:F$746,"PÁTIO EXTERNO"),0)+IFERROR(SUMIFS('Base bordo'!G$2:G$746,'Base bordo'!C$2:C$746,A504,'Base bordo'!B$2:B$746,B504,'Base bordo'!F$2:F$746,"PATIO - RESERVA"),0)+IFERROR(SUMIFS('Base bordo'!G$2:G$746,'Base bordo'!C$2:C$746,A504,'Base bordo'!B$2:B$746,B504,'Base bordo'!F$2:F$746,"MANOBRA CARRETAS-PATIO"),0)</f>
        <v>4.8677777777777784</v>
      </c>
      <c r="J504" s="10">
        <f>IFERROR(SUMIFS('Base bordo'!G$2:G$746,'Base bordo'!C$2:C$746,A504,'Base bordo'!B$2:B$746,B504,'Base bordo'!F$2:F$746,"BALANÇA - ENTRADA"),0)+IFERROR(SUMIFS('Base bordo'!G$2:G$746,'Base bordo'!C$2:C$746,A504,'Base bordo'!B$2:B$746,B504,'Base bordo'!F$2:F$746,"BALANÇA - SAÍDA"),0)</f>
        <v>0.14000000000000001</v>
      </c>
      <c r="K504" s="10">
        <f>IFERROR(SUMIFS('Base bordo'!G$2:G$746,'Base bordo'!C$2:C$746,A504,'Base bordo'!B$2:B$746,B504,'Base bordo'!F$2:F$746,"MAN PREVENTIVA - MECANICA"),0)+IFERROR(SUMIFS('Base bordo'!G$2:G$746,'Base bordo'!C$2:C$746,A504,'Base bordo'!B$2:B$746,B504,'Base bordo'!F$2:F$746,"MAN CORRETIVA - MECANICA"),0)</f>
        <v>0</v>
      </c>
      <c r="L504" s="10">
        <f>IFERROR(SUMIFS('Base bordo'!G$2:G$746,'Base bordo'!C$2:C$746,A504,'Base bordo'!B$2:B$746,B504,'Base bordo'!F$2:F$746,"MANUTENCAO - T O"),0)+IFERROR(SUMIFS('Base bordo'!G$2:G$746,'Base bordo'!C$2:C$746,A504,'Base bordo'!B$2:B$746,B504,'Base bordo'!F$2:F$746,"MANUTENCAO BORRACHARIA"),0)+IFERROR(SUMIFS('Base bordo'!G$2:G$746,'Base bordo'!C$2:C$746,A504,'Base bordo'!B$2:B$746,B504,'Base bordo'!F$2:F$746,"MANUTENCAO EXTERNA  CONCESSIONARIA"),0)+IFERROR(SUMIFS('Base bordo'!G$2:G$746,'Base bordo'!C$2:C$746,A504,'Base bordo'!B$2:B$746,B504,'Base bordo'!F$2:F$746,"MANUTENCAO TELEMETRIA"),0)</f>
        <v>0</v>
      </c>
      <c r="M504" s="10">
        <f>IFERROR(SUMIFS('Base bordo'!G$2:G$746,'Base bordo'!C$2:C$746,A504,'Base bordo'!B$2:B$746,B504,'Base bordo'!F$2:F$746,"AGUARDANDO MANUTENCAO"),0)</f>
        <v>0</v>
      </c>
      <c r="N504" s="10">
        <f>IFERROR(SUMIFS('Base bordo'!G$2:G$746,'Base bordo'!C$2:C$746,A504,'Base bordo'!B$2:B$746,B504,'Base bordo'!F$2:F$746,"SEM APONTAMENTO"),0)</f>
        <v>0</v>
      </c>
      <c r="O504" s="10">
        <f t="shared" si="54"/>
        <v>1.4722222222222747E-2</v>
      </c>
      <c r="P504" s="10">
        <f>IFERROR(SUMIFS('Base bordo'!G$2:G$746,'Base bordo'!C$2:C$746,A504,'Base bordo'!B$2:B$746,B504),0)</f>
        <v>6.8430555555555568</v>
      </c>
      <c r="Q504" s="10">
        <f>IFERROR(SUMIFS('Base bordo'!H$2:H$746,'Base bordo'!C$2:C$746,A504,'Base bordo'!B$2:B$746,B504,'Base bordo'!F$2:F$746,"DESLOCAMENTO VAZIO"),0)</f>
        <v>181720.6</v>
      </c>
      <c r="R504" s="10">
        <f>IFERROR(SUMIFS('Base bordo'!I$2:I$746,'Base bordo'!C$2:C$746,A504,'Base bordo'!B$2:B$746,B504,'Base bordo'!F$2:F$746,"DESLOCAMENTO VAZIO"),0)</f>
        <v>5811</v>
      </c>
      <c r="S504" s="30">
        <f t="shared" si="55"/>
        <v>31.271829289278955</v>
      </c>
      <c r="T504" s="10">
        <f>IFERROR(SUMIFS('Base bordo'!H$2:H$746,'Base bordo'!C$2:C$746,A504,'Base bordo'!B$2:B$746,B504,'Base bordo'!F$2:F$746,"DESLOCAMENTO CARREGADO"),0)</f>
        <v>2571.7599999999998</v>
      </c>
      <c r="U504" s="10">
        <f>IFERROR(SUMIFS('Base bordo'!I$2:I$746,'Base bordo'!C$2:C$746,A504,'Base bordo'!B$2:B$746,B504,'Base bordo'!F$2:F$746,"DESLOCAMENTO CARREGADO"),0)</f>
        <v>332</v>
      </c>
      <c r="V504" s="30">
        <f t="shared" si="56"/>
        <v>7.7462650602409635</v>
      </c>
      <c r="W504" s="9">
        <f t="shared" si="57"/>
        <v>0.23588390501319259</v>
      </c>
      <c r="X504" s="9">
        <f t="shared" si="58"/>
        <v>1.4248021108179418E-2</v>
      </c>
      <c r="Y504" s="9">
        <f t="shared" si="59"/>
        <v>0.74986807387862808</v>
      </c>
    </row>
    <row r="505" spans="1:25" ht="15" customHeight="1" x14ac:dyDescent="0.35">
      <c r="A505" s="52">
        <v>8013485</v>
      </c>
      <c r="B505" s="51">
        <v>46119</v>
      </c>
      <c r="C505" s="7" t="s">
        <v>124</v>
      </c>
      <c r="D505" s="10">
        <f>IFERROR(SUMIFS('Base bordo'!G$2:G$746,'Base bordo'!C$2:C$746,A505,'Base bordo'!B$2:B$746,B505,'Base bordo'!F$2:F$746,"DESLOCAMENTO VAZIO"),0)</f>
        <v>2.2908333333333335</v>
      </c>
      <c r="E505" s="10">
        <f>IFERROR(SUMIFS('Base bordo'!G$2:G$746,'Base bordo'!C$2:C$746,A505,'Base bordo'!B$2:B$746,B505,'Base bordo'!F$2:F$746,"DESLOCAMENTO CARREGADO"),0)</f>
        <v>1.8202777777777779</v>
      </c>
      <c r="F505" s="10">
        <f>IFERROR(SUMIFS('Base bordo'!G$2:G$746,'Base bordo'!C$2:C$746,A505,'Base bordo'!B$2:B$746,B505,'Base bordo'!F$2:F$746,"DESLOCAMENTO"),0)</f>
        <v>0</v>
      </c>
      <c r="G505" s="10">
        <f>IFERROR(SUMIFS('Base bordo'!G$2:G$746,'Base bordo'!C$2:C$746,A505,'Base bordo'!B$2:B$746,B505,'Base bordo'!F$2:F$746,"CARREGAMENTO"),0)</f>
        <v>0</v>
      </c>
      <c r="H505" s="10">
        <f>IFERROR(SUMIFS('Base bordo'!G$2:G$746,'Base bordo'!C$2:C$746,A505,'Base bordo'!B$2:B$746,B505,'Base bordo'!F$2:F$746,"AGUARDANDO TRANSBORDO"),0)</f>
        <v>0</v>
      </c>
      <c r="I505" s="10">
        <f>IFERROR(SUMIFS('Base bordo'!G$2:G$746,'Base bordo'!C$2:C$746,A505,'Base bordo'!B$2:B$746,B505,'Base bordo'!F$2:F$746,"PÁTIO INTERNO"),0)+IFERROR(SUMIFS('Base bordo'!G$2:G$746,'Base bordo'!C$2:C$746,A505,'Base bordo'!B$2:B$746,B505,'Base bordo'!F$2:F$746,"PÁTIO EXTERNO"),0)+IFERROR(SUMIFS('Base bordo'!G$2:G$746,'Base bordo'!C$2:C$746,A505,'Base bordo'!B$2:B$746,B505,'Base bordo'!F$2:F$746,"PATIO - RESERVA"),0)+IFERROR(SUMIFS('Base bordo'!G$2:G$746,'Base bordo'!C$2:C$746,A505,'Base bordo'!B$2:B$746,B505,'Base bordo'!F$2:F$746,"MANOBRA CARRETAS-PATIO"),0)</f>
        <v>1.9913888888888889</v>
      </c>
      <c r="J505" s="10">
        <f>IFERROR(SUMIFS('Base bordo'!G$2:G$746,'Base bordo'!C$2:C$746,A505,'Base bordo'!B$2:B$746,B505,'Base bordo'!F$2:F$746,"BALANÇA - ENTRADA"),0)+IFERROR(SUMIFS('Base bordo'!G$2:G$746,'Base bordo'!C$2:C$746,A505,'Base bordo'!B$2:B$746,B505,'Base bordo'!F$2:F$746,"BALANÇA - SAÍDA"),0)</f>
        <v>0.02</v>
      </c>
      <c r="K505" s="10">
        <f>IFERROR(SUMIFS('Base bordo'!G$2:G$746,'Base bordo'!C$2:C$746,A505,'Base bordo'!B$2:B$746,B505,'Base bordo'!F$2:F$746,"MAN PREVENTIVA - MECANICA"),0)+IFERROR(SUMIFS('Base bordo'!G$2:G$746,'Base bordo'!C$2:C$746,A505,'Base bordo'!B$2:B$746,B505,'Base bordo'!F$2:F$746,"MAN CORRETIVA - MECANICA"),0)</f>
        <v>0</v>
      </c>
      <c r="L505" s="10">
        <f>IFERROR(SUMIFS('Base bordo'!G$2:G$746,'Base bordo'!C$2:C$746,A505,'Base bordo'!B$2:B$746,B505,'Base bordo'!F$2:F$746,"MANUTENCAO - T O"),0)+IFERROR(SUMIFS('Base bordo'!G$2:G$746,'Base bordo'!C$2:C$746,A505,'Base bordo'!B$2:B$746,B505,'Base bordo'!F$2:F$746,"MANUTENCAO BORRACHARIA"),0)+IFERROR(SUMIFS('Base bordo'!G$2:G$746,'Base bordo'!C$2:C$746,A505,'Base bordo'!B$2:B$746,B505,'Base bordo'!F$2:F$746,"MANUTENCAO EXTERNA  CONCESSIONARIA"),0)+IFERROR(SUMIFS('Base bordo'!G$2:G$746,'Base bordo'!C$2:C$746,A505,'Base bordo'!B$2:B$746,B505,'Base bordo'!F$2:F$746,"MANUTENCAO TELEMETRIA"),0)</f>
        <v>0</v>
      </c>
      <c r="M505" s="10">
        <f>IFERROR(SUMIFS('Base bordo'!G$2:G$746,'Base bordo'!C$2:C$746,A505,'Base bordo'!B$2:B$746,B505,'Base bordo'!F$2:F$746,"AGUARDANDO MANUTENCAO"),0)</f>
        <v>0</v>
      </c>
      <c r="N505" s="10">
        <f>IFERROR(SUMIFS('Base bordo'!G$2:G$746,'Base bordo'!C$2:C$746,A505,'Base bordo'!B$2:B$746,B505,'Base bordo'!F$2:F$746,"SEM APONTAMENTO"),0)</f>
        <v>0</v>
      </c>
      <c r="O505" s="10">
        <f t="shared" si="54"/>
        <v>2.4166666666666003E-2</v>
      </c>
      <c r="P505" s="10">
        <f>IFERROR(SUMIFS('Base bordo'!G$2:G$746,'Base bordo'!C$2:C$746,A505,'Base bordo'!B$2:B$746,B505),0)</f>
        <v>6.1466666666666665</v>
      </c>
      <c r="Q505" s="10">
        <f>IFERROR(SUMIFS('Base bordo'!H$2:H$746,'Base bordo'!C$2:C$746,A505,'Base bordo'!B$2:B$746,B505,'Base bordo'!F$2:F$746,"DESLOCAMENTO VAZIO"),0)</f>
        <v>213698.84</v>
      </c>
      <c r="R505" s="10">
        <f>IFERROR(SUMIFS('Base bordo'!I$2:I$746,'Base bordo'!C$2:C$746,A505,'Base bordo'!B$2:B$746,B505,'Base bordo'!F$2:F$746,"DESLOCAMENTO VAZIO"),0)</f>
        <v>8247</v>
      </c>
      <c r="S505" s="30">
        <f t="shared" si="55"/>
        <v>25.912312356008243</v>
      </c>
      <c r="T505" s="10">
        <f>IFERROR(SUMIFS('Base bordo'!H$2:H$746,'Base bordo'!C$2:C$746,A505,'Base bordo'!B$2:B$746,B505,'Base bordo'!F$2:F$746,"DESLOCAMENTO CARREGADO"),0)</f>
        <v>171355.69999999998</v>
      </c>
      <c r="U505" s="10">
        <f>IFERROR(SUMIFS('Base bordo'!I$2:I$746,'Base bordo'!C$2:C$746,A505,'Base bordo'!B$2:B$746,B505,'Base bordo'!F$2:F$746,"DESLOCAMENTO CARREGADO"),0)</f>
        <v>6497</v>
      </c>
      <c r="V505" s="30">
        <f t="shared" si="56"/>
        <v>26.374588271509925</v>
      </c>
      <c r="W505" s="9">
        <f t="shared" si="57"/>
        <v>0.37269522776572672</v>
      </c>
      <c r="X505" s="9">
        <f t="shared" si="58"/>
        <v>0.29614063629790316</v>
      </c>
      <c r="Y505" s="9">
        <f t="shared" si="59"/>
        <v>0.33116413593637006</v>
      </c>
    </row>
    <row r="506" spans="1:25" ht="15" customHeight="1" x14ac:dyDescent="0.35">
      <c r="A506" s="52">
        <v>8013469</v>
      </c>
      <c r="B506" s="51">
        <v>46119</v>
      </c>
      <c r="C506" s="7" t="s">
        <v>124</v>
      </c>
      <c r="D506" s="10">
        <f>IFERROR(SUMIFS('Base bordo'!G$2:G$746,'Base bordo'!C$2:C$746,A506,'Base bordo'!B$2:B$746,B506,'Base bordo'!F$2:F$746,"DESLOCAMENTO VAZIO"),0)</f>
        <v>0.25611111111111112</v>
      </c>
      <c r="E506" s="10">
        <f>IFERROR(SUMIFS('Base bordo'!G$2:G$746,'Base bordo'!C$2:C$746,A506,'Base bordo'!B$2:B$746,B506,'Base bordo'!F$2:F$746,"DESLOCAMENTO CARREGADO"),0)</f>
        <v>1.7777777777777778E-2</v>
      </c>
      <c r="F506" s="10">
        <f>IFERROR(SUMIFS('Base bordo'!G$2:G$746,'Base bordo'!C$2:C$746,A506,'Base bordo'!B$2:B$746,B506,'Base bordo'!F$2:F$746,"DESLOCAMENTO"),0)</f>
        <v>0</v>
      </c>
      <c r="G506" s="10">
        <f>IFERROR(SUMIFS('Base bordo'!G$2:G$746,'Base bordo'!C$2:C$746,A506,'Base bordo'!B$2:B$746,B506,'Base bordo'!F$2:F$746,"CARREGAMENTO"),0)</f>
        <v>0</v>
      </c>
      <c r="H506" s="10">
        <f>IFERROR(SUMIFS('Base bordo'!G$2:G$746,'Base bordo'!C$2:C$746,A506,'Base bordo'!B$2:B$746,B506,'Base bordo'!F$2:F$746,"AGUARDANDO TRANSBORDO"),0)</f>
        <v>0</v>
      </c>
      <c r="I506" s="10">
        <f>IFERROR(SUMIFS('Base bordo'!G$2:G$746,'Base bordo'!C$2:C$746,A506,'Base bordo'!B$2:B$746,B506,'Base bordo'!F$2:F$746,"PÁTIO INTERNO"),0)+IFERROR(SUMIFS('Base bordo'!G$2:G$746,'Base bordo'!C$2:C$746,A506,'Base bordo'!B$2:B$746,B506,'Base bordo'!F$2:F$746,"PÁTIO EXTERNO"),0)+IFERROR(SUMIFS('Base bordo'!G$2:G$746,'Base bordo'!C$2:C$746,A506,'Base bordo'!B$2:B$746,B506,'Base bordo'!F$2:F$746,"PATIO - RESERVA"),0)+IFERROR(SUMIFS('Base bordo'!G$2:G$746,'Base bordo'!C$2:C$746,A506,'Base bordo'!B$2:B$746,B506,'Base bordo'!F$2:F$746,"MANOBRA CARRETAS-PATIO"),0)</f>
        <v>9.2025000000000006</v>
      </c>
      <c r="J506" s="10">
        <f>IFERROR(SUMIFS('Base bordo'!G$2:G$746,'Base bordo'!C$2:C$746,A506,'Base bordo'!B$2:B$746,B506,'Base bordo'!F$2:F$746,"BALANÇA - ENTRADA"),0)+IFERROR(SUMIFS('Base bordo'!G$2:G$746,'Base bordo'!C$2:C$746,A506,'Base bordo'!B$2:B$746,B506,'Base bordo'!F$2:F$746,"BALANÇA - SAÍDA"),0)</f>
        <v>5.3055555555555557E-2</v>
      </c>
      <c r="K506" s="10">
        <f>IFERROR(SUMIFS('Base bordo'!G$2:G$746,'Base bordo'!C$2:C$746,A506,'Base bordo'!B$2:B$746,B506,'Base bordo'!F$2:F$746,"MAN PREVENTIVA - MECANICA"),0)+IFERROR(SUMIFS('Base bordo'!G$2:G$746,'Base bordo'!C$2:C$746,A506,'Base bordo'!B$2:B$746,B506,'Base bordo'!F$2:F$746,"MAN CORRETIVA - MECANICA"),0)</f>
        <v>0</v>
      </c>
      <c r="L506" s="10">
        <f>IFERROR(SUMIFS('Base bordo'!G$2:G$746,'Base bordo'!C$2:C$746,A506,'Base bordo'!B$2:B$746,B506,'Base bordo'!F$2:F$746,"MANUTENCAO - T O"),0)+IFERROR(SUMIFS('Base bordo'!G$2:G$746,'Base bordo'!C$2:C$746,A506,'Base bordo'!B$2:B$746,B506,'Base bordo'!F$2:F$746,"MANUTENCAO BORRACHARIA"),0)+IFERROR(SUMIFS('Base bordo'!G$2:G$746,'Base bordo'!C$2:C$746,A506,'Base bordo'!B$2:B$746,B506,'Base bordo'!F$2:F$746,"MANUTENCAO EXTERNA  CONCESSIONARIA"),0)+IFERROR(SUMIFS('Base bordo'!G$2:G$746,'Base bordo'!C$2:C$746,A506,'Base bordo'!B$2:B$746,B506,'Base bordo'!F$2:F$746,"MANUTENCAO TELEMETRIA"),0)</f>
        <v>0</v>
      </c>
      <c r="M506" s="10">
        <f>IFERROR(SUMIFS('Base bordo'!G$2:G$746,'Base bordo'!C$2:C$746,A506,'Base bordo'!B$2:B$746,B506,'Base bordo'!F$2:F$746,"AGUARDANDO MANUTENCAO"),0)</f>
        <v>0</v>
      </c>
      <c r="N506" s="10">
        <f>IFERROR(SUMIFS('Base bordo'!G$2:G$746,'Base bordo'!C$2:C$746,A506,'Base bordo'!B$2:B$746,B506,'Base bordo'!F$2:F$746,"SEM APONTAMENTO"),0)</f>
        <v>0</v>
      </c>
      <c r="O506" s="10">
        <f t="shared" si="54"/>
        <v>-3.5527136788005009E-15</v>
      </c>
      <c r="P506" s="10">
        <f>IFERROR(SUMIFS('Base bordo'!G$2:G$746,'Base bordo'!C$2:C$746,A506,'Base bordo'!B$2:B$746,B506),0)</f>
        <v>9.5294444444444419</v>
      </c>
      <c r="Q506" s="10">
        <f>IFERROR(SUMIFS('Base bordo'!H$2:H$746,'Base bordo'!C$2:C$746,A506,'Base bordo'!B$2:B$746,B506,'Base bordo'!F$2:F$746,"DESLOCAMENTO VAZIO"),0)</f>
        <v>8165.6500000000015</v>
      </c>
      <c r="R506" s="10">
        <f>IFERROR(SUMIFS('Base bordo'!I$2:I$746,'Base bordo'!C$2:C$746,A506,'Base bordo'!B$2:B$746,B506,'Base bordo'!F$2:F$746,"DESLOCAMENTO VAZIO"),0)</f>
        <v>922</v>
      </c>
      <c r="S506" s="30">
        <f t="shared" si="55"/>
        <v>8.8564533622559676</v>
      </c>
      <c r="T506" s="10">
        <f>IFERROR(SUMIFS('Base bordo'!H$2:H$746,'Base bordo'!C$2:C$746,A506,'Base bordo'!B$2:B$746,B506,'Base bordo'!F$2:F$746,"DESLOCAMENTO CARREGADO"),0)</f>
        <v>245.12</v>
      </c>
      <c r="U506" s="10">
        <f>IFERROR(SUMIFS('Base bordo'!I$2:I$746,'Base bordo'!C$2:C$746,A506,'Base bordo'!B$2:B$746,B506,'Base bordo'!F$2:F$746,"DESLOCAMENTO CARREGADO"),0)</f>
        <v>64</v>
      </c>
      <c r="V506" s="30">
        <f t="shared" si="56"/>
        <v>3.83</v>
      </c>
      <c r="W506" s="9">
        <f t="shared" si="57"/>
        <v>2.6875765172273081E-2</v>
      </c>
      <c r="X506" s="9">
        <f t="shared" si="58"/>
        <v>1.8655628752987821E-3</v>
      </c>
      <c r="Y506" s="9">
        <f t="shared" si="59"/>
        <v>0.9712586719524281</v>
      </c>
    </row>
    <row r="507" spans="1:25" ht="15" customHeight="1" x14ac:dyDescent="0.35">
      <c r="A507" s="52">
        <v>8013484</v>
      </c>
      <c r="B507" s="51">
        <v>46119</v>
      </c>
      <c r="C507" s="7" t="s">
        <v>124</v>
      </c>
      <c r="D507" s="10">
        <f>IFERROR(SUMIFS('Base bordo'!G$2:G$746,'Base bordo'!C$2:C$746,A507,'Base bordo'!B$2:B$746,B507,'Base bordo'!F$2:F$746,"DESLOCAMENTO VAZIO"),0)</f>
        <v>1.3769444444444445</v>
      </c>
      <c r="E507" s="10">
        <f>IFERROR(SUMIFS('Base bordo'!G$2:G$746,'Base bordo'!C$2:C$746,A507,'Base bordo'!B$2:B$746,B507,'Base bordo'!F$2:F$746,"DESLOCAMENTO CARREGADO"),0)</f>
        <v>0</v>
      </c>
      <c r="F507" s="10">
        <f>IFERROR(SUMIFS('Base bordo'!G$2:G$746,'Base bordo'!C$2:C$746,A507,'Base bordo'!B$2:B$746,B507,'Base bordo'!F$2:F$746,"DESLOCAMENTO"),0)</f>
        <v>0</v>
      </c>
      <c r="G507" s="10">
        <f>IFERROR(SUMIFS('Base bordo'!G$2:G$746,'Base bordo'!C$2:C$746,A507,'Base bordo'!B$2:B$746,B507,'Base bordo'!F$2:F$746,"CARREGAMENTO"),0)</f>
        <v>0</v>
      </c>
      <c r="H507" s="10">
        <f>IFERROR(SUMIFS('Base bordo'!G$2:G$746,'Base bordo'!C$2:C$746,A507,'Base bordo'!B$2:B$746,B507,'Base bordo'!F$2:F$746,"AGUARDANDO TRANSBORDO"),0)</f>
        <v>0</v>
      </c>
      <c r="I507" s="10">
        <f>IFERROR(SUMIFS('Base bordo'!G$2:G$746,'Base bordo'!C$2:C$746,A507,'Base bordo'!B$2:B$746,B507,'Base bordo'!F$2:F$746,"PÁTIO INTERNO"),0)+IFERROR(SUMIFS('Base bordo'!G$2:G$746,'Base bordo'!C$2:C$746,A507,'Base bordo'!B$2:B$746,B507,'Base bordo'!F$2:F$746,"PÁTIO EXTERNO"),0)+IFERROR(SUMIFS('Base bordo'!G$2:G$746,'Base bordo'!C$2:C$746,A507,'Base bordo'!B$2:B$746,B507,'Base bordo'!F$2:F$746,"PATIO - RESERVA"),0)+IFERROR(SUMIFS('Base bordo'!G$2:G$746,'Base bordo'!C$2:C$746,A507,'Base bordo'!B$2:B$746,B507,'Base bordo'!F$2:F$746,"MANOBRA CARRETAS-PATIO"),0)</f>
        <v>1.4436111111111112</v>
      </c>
      <c r="J507" s="10">
        <f>IFERROR(SUMIFS('Base bordo'!G$2:G$746,'Base bordo'!C$2:C$746,A507,'Base bordo'!B$2:B$746,B507,'Base bordo'!F$2:F$746,"BALANÇA - ENTRADA"),0)+IFERROR(SUMIFS('Base bordo'!G$2:G$746,'Base bordo'!C$2:C$746,A507,'Base bordo'!B$2:B$746,B507,'Base bordo'!F$2:F$746,"BALANÇA - SAÍDA"),0)</f>
        <v>1.6111111111111111E-2</v>
      </c>
      <c r="K507" s="10">
        <f>IFERROR(SUMIFS('Base bordo'!G$2:G$746,'Base bordo'!C$2:C$746,A507,'Base bordo'!B$2:B$746,B507,'Base bordo'!F$2:F$746,"MAN PREVENTIVA - MECANICA"),0)+IFERROR(SUMIFS('Base bordo'!G$2:G$746,'Base bordo'!C$2:C$746,A507,'Base bordo'!B$2:B$746,B507,'Base bordo'!F$2:F$746,"MAN CORRETIVA - MECANICA"),0)</f>
        <v>0</v>
      </c>
      <c r="L507" s="10">
        <f>IFERROR(SUMIFS('Base bordo'!G$2:G$746,'Base bordo'!C$2:C$746,A507,'Base bordo'!B$2:B$746,B507,'Base bordo'!F$2:F$746,"MANUTENCAO - T O"),0)+IFERROR(SUMIFS('Base bordo'!G$2:G$746,'Base bordo'!C$2:C$746,A507,'Base bordo'!B$2:B$746,B507,'Base bordo'!F$2:F$746,"MANUTENCAO BORRACHARIA"),0)+IFERROR(SUMIFS('Base bordo'!G$2:G$746,'Base bordo'!C$2:C$746,A507,'Base bordo'!B$2:B$746,B507,'Base bordo'!F$2:F$746,"MANUTENCAO EXTERNA  CONCESSIONARIA"),0)+IFERROR(SUMIFS('Base bordo'!G$2:G$746,'Base bordo'!C$2:C$746,A507,'Base bordo'!B$2:B$746,B507,'Base bordo'!F$2:F$746,"MANUTENCAO TELEMETRIA"),0)</f>
        <v>0</v>
      </c>
      <c r="M507" s="10">
        <f>IFERROR(SUMIFS('Base bordo'!G$2:G$746,'Base bordo'!C$2:C$746,A507,'Base bordo'!B$2:B$746,B507,'Base bordo'!F$2:F$746,"AGUARDANDO MANUTENCAO"),0)</f>
        <v>0</v>
      </c>
      <c r="N507" s="10">
        <f>IFERROR(SUMIFS('Base bordo'!G$2:G$746,'Base bordo'!C$2:C$746,A507,'Base bordo'!B$2:B$746,B507,'Base bordo'!F$2:F$746,"SEM APONTAMENTO"),0)</f>
        <v>0</v>
      </c>
      <c r="O507" s="10">
        <f t="shared" si="54"/>
        <v>0</v>
      </c>
      <c r="P507" s="10">
        <f>IFERROR(SUMIFS('Base bordo'!G$2:G$746,'Base bordo'!C$2:C$746,A507,'Base bordo'!B$2:B$746,B507),0)</f>
        <v>2.8366666666666669</v>
      </c>
      <c r="Q507" s="10">
        <f>IFERROR(SUMIFS('Base bordo'!H$2:H$746,'Base bordo'!C$2:C$746,A507,'Base bordo'!B$2:B$746,B507,'Base bordo'!F$2:F$746,"DESLOCAMENTO VAZIO"),0)</f>
        <v>174540.98</v>
      </c>
      <c r="R507" s="10">
        <f>IFERROR(SUMIFS('Base bordo'!I$2:I$746,'Base bordo'!C$2:C$746,A507,'Base bordo'!B$2:B$746,B507,'Base bordo'!F$2:F$746,"DESLOCAMENTO VAZIO"),0)</f>
        <v>4957</v>
      </c>
      <c r="S507" s="30">
        <f t="shared" si="55"/>
        <v>35.211010691950776</v>
      </c>
      <c r="T507" s="10">
        <f>IFERROR(SUMIFS('Base bordo'!H$2:H$746,'Base bordo'!C$2:C$746,A507,'Base bordo'!B$2:B$746,B507,'Base bordo'!F$2:F$746,"DESLOCAMENTO CARREGADO"),0)</f>
        <v>0</v>
      </c>
      <c r="U507" s="10">
        <f>IFERROR(SUMIFS('Base bordo'!I$2:I$746,'Base bordo'!C$2:C$746,A507,'Base bordo'!B$2:B$746,B507,'Base bordo'!F$2:F$746,"DESLOCAMENTO CARREGADO"),0)</f>
        <v>0</v>
      </c>
      <c r="V507" s="30" t="str">
        <f t="shared" si="56"/>
        <v/>
      </c>
      <c r="W507" s="9">
        <f t="shared" si="57"/>
        <v>0.48540932236584411</v>
      </c>
      <c r="X507" s="9">
        <f t="shared" si="58"/>
        <v>0</v>
      </c>
      <c r="Y507" s="9">
        <f t="shared" si="59"/>
        <v>0.51459067763415589</v>
      </c>
    </row>
    <row r="508" spans="1:25" ht="15" customHeight="1" x14ac:dyDescent="0.35">
      <c r="A508" s="52">
        <v>8013478</v>
      </c>
      <c r="B508" s="51">
        <v>46123</v>
      </c>
      <c r="C508" s="7" t="s">
        <v>124</v>
      </c>
      <c r="D508" s="10">
        <f>IFERROR(SUMIFS('Base bordo'!G$2:G$746,'Base bordo'!C$2:C$746,A508,'Base bordo'!B$2:B$746,B508,'Base bordo'!F$2:F$746,"DESLOCAMENTO VAZIO"),0)</f>
        <v>2.4488888888888889</v>
      </c>
      <c r="E508" s="10">
        <f>IFERROR(SUMIFS('Base bordo'!G$2:G$746,'Base bordo'!C$2:C$746,A508,'Base bordo'!B$2:B$746,B508,'Base bordo'!F$2:F$746,"DESLOCAMENTO CARREGADO"),0)</f>
        <v>2.4197222222222221</v>
      </c>
      <c r="F508" s="10">
        <f>IFERROR(SUMIFS('Base bordo'!G$2:G$746,'Base bordo'!C$2:C$746,A508,'Base bordo'!B$2:B$746,B508,'Base bordo'!F$2:F$746,"DESLOCAMENTO"),0)</f>
        <v>0</v>
      </c>
      <c r="G508" s="10">
        <f>IFERROR(SUMIFS('Base bordo'!G$2:G$746,'Base bordo'!C$2:C$746,A508,'Base bordo'!B$2:B$746,B508,'Base bordo'!F$2:F$746,"CARREGAMENTO"),0)</f>
        <v>0</v>
      </c>
      <c r="H508" s="10">
        <f>IFERROR(SUMIFS('Base bordo'!G$2:G$746,'Base bordo'!C$2:C$746,A508,'Base bordo'!B$2:B$746,B508,'Base bordo'!F$2:F$746,"AGUARDANDO TRANSBORDO"),0)</f>
        <v>0.2013888888888889</v>
      </c>
      <c r="I508" s="10">
        <f>IFERROR(SUMIFS('Base bordo'!G$2:G$746,'Base bordo'!C$2:C$746,A508,'Base bordo'!B$2:B$746,B508,'Base bordo'!F$2:F$746,"PÁTIO INTERNO"),0)+IFERROR(SUMIFS('Base bordo'!G$2:G$746,'Base bordo'!C$2:C$746,A508,'Base bordo'!B$2:B$746,B508,'Base bordo'!F$2:F$746,"PÁTIO EXTERNO"),0)+IFERROR(SUMIFS('Base bordo'!G$2:G$746,'Base bordo'!C$2:C$746,A508,'Base bordo'!B$2:B$746,B508,'Base bordo'!F$2:F$746,"PATIO - RESERVA"),0)+IFERROR(SUMIFS('Base bordo'!G$2:G$746,'Base bordo'!C$2:C$746,A508,'Base bordo'!B$2:B$746,B508,'Base bordo'!F$2:F$746,"MANOBRA CARRETAS-PATIO"),0)</f>
        <v>0.60305555555555557</v>
      </c>
      <c r="J508" s="10">
        <f>IFERROR(SUMIFS('Base bordo'!G$2:G$746,'Base bordo'!C$2:C$746,A508,'Base bordo'!B$2:B$746,B508,'Base bordo'!F$2:F$746,"BALANÇA - ENTRADA"),0)+IFERROR(SUMIFS('Base bordo'!G$2:G$746,'Base bordo'!C$2:C$746,A508,'Base bordo'!B$2:B$746,B508,'Base bordo'!F$2:F$746,"BALANÇA - SAÍDA"),0)</f>
        <v>0</v>
      </c>
      <c r="K508" s="10">
        <f>IFERROR(SUMIFS('Base bordo'!G$2:G$746,'Base bordo'!C$2:C$746,A508,'Base bordo'!B$2:B$746,B508,'Base bordo'!F$2:F$746,"MAN PREVENTIVA - MECANICA"),0)+IFERROR(SUMIFS('Base bordo'!G$2:G$746,'Base bordo'!C$2:C$746,A508,'Base bordo'!B$2:B$746,B508,'Base bordo'!F$2:F$746,"MAN CORRETIVA - MECANICA"),0)</f>
        <v>0</v>
      </c>
      <c r="L508" s="10">
        <f>IFERROR(SUMIFS('Base bordo'!G$2:G$746,'Base bordo'!C$2:C$746,A508,'Base bordo'!B$2:B$746,B508,'Base bordo'!F$2:F$746,"MANUTENCAO - T O"),0)+IFERROR(SUMIFS('Base bordo'!G$2:G$746,'Base bordo'!C$2:C$746,A508,'Base bordo'!B$2:B$746,B508,'Base bordo'!F$2:F$746,"MANUTENCAO BORRACHARIA"),0)+IFERROR(SUMIFS('Base bordo'!G$2:G$746,'Base bordo'!C$2:C$746,A508,'Base bordo'!B$2:B$746,B508,'Base bordo'!F$2:F$746,"MANUTENCAO EXTERNA  CONCESSIONARIA"),0)+IFERROR(SUMIFS('Base bordo'!G$2:G$746,'Base bordo'!C$2:C$746,A508,'Base bordo'!B$2:B$746,B508,'Base bordo'!F$2:F$746,"MANUTENCAO TELEMETRIA"),0)</f>
        <v>0</v>
      </c>
      <c r="M508" s="10">
        <f>IFERROR(SUMIFS('Base bordo'!G$2:G$746,'Base bordo'!C$2:C$746,A508,'Base bordo'!B$2:B$746,B508,'Base bordo'!F$2:F$746,"AGUARDANDO MANUTENCAO"),0)</f>
        <v>0</v>
      </c>
      <c r="N508" s="10">
        <f>IFERROR(SUMIFS('Base bordo'!G$2:G$746,'Base bordo'!C$2:C$746,A508,'Base bordo'!B$2:B$746,B508,'Base bordo'!F$2:F$746,"SEM APONTAMENTO"),0)</f>
        <v>0</v>
      </c>
      <c r="O508" s="10">
        <f t="shared" si="54"/>
        <v>0.14583333333333304</v>
      </c>
      <c r="P508" s="10">
        <f>IFERROR(SUMIFS('Base bordo'!G$2:G$746,'Base bordo'!C$2:C$746,A508,'Base bordo'!B$2:B$746,B508),0)</f>
        <v>5.818888888888889</v>
      </c>
      <c r="Q508" s="10">
        <f>IFERROR(SUMIFS('Base bordo'!H$2:H$746,'Base bordo'!C$2:C$746,A508,'Base bordo'!B$2:B$746,B508,'Base bordo'!F$2:F$746,"DESLOCAMENTO VAZIO"),0)</f>
        <v>265991.25</v>
      </c>
      <c r="R508" s="10">
        <f>IFERROR(SUMIFS('Base bordo'!I$2:I$746,'Base bordo'!C$2:C$746,A508,'Base bordo'!B$2:B$746,B508,'Base bordo'!F$2:F$746,"DESLOCAMENTO VAZIO"),0)</f>
        <v>8816</v>
      </c>
      <c r="S508" s="30">
        <f t="shared" si="55"/>
        <v>30.171421279491835</v>
      </c>
      <c r="T508" s="10">
        <f>IFERROR(SUMIFS('Base bordo'!H$2:H$746,'Base bordo'!C$2:C$746,A508,'Base bordo'!B$2:B$746,B508,'Base bordo'!F$2:F$746,"DESLOCAMENTO CARREGADO"),0)</f>
        <v>247310.05000000002</v>
      </c>
      <c r="U508" s="10">
        <f>IFERROR(SUMIFS('Base bordo'!I$2:I$746,'Base bordo'!C$2:C$746,A508,'Base bordo'!B$2:B$746,B508,'Base bordo'!F$2:F$746,"DESLOCAMENTO CARREGADO"),0)</f>
        <v>8705</v>
      </c>
      <c r="V508" s="30">
        <f t="shared" si="56"/>
        <v>28.410114876507755</v>
      </c>
      <c r="W508" s="9">
        <f t="shared" si="57"/>
        <v>0.42085163261409203</v>
      </c>
      <c r="X508" s="9">
        <f t="shared" si="58"/>
        <v>0.41583922092801218</v>
      </c>
      <c r="Y508" s="9">
        <f t="shared" si="59"/>
        <v>0.16330914645789574</v>
      </c>
    </row>
    <row r="509" spans="1:25" ht="15" customHeight="1" x14ac:dyDescent="0.35">
      <c r="A509" s="52">
        <v>8013470</v>
      </c>
      <c r="B509" s="51">
        <v>46123</v>
      </c>
      <c r="C509" s="7" t="s">
        <v>124</v>
      </c>
      <c r="D509" s="10">
        <f>IFERROR(SUMIFS('Base bordo'!G$2:G$746,'Base bordo'!C$2:C$746,A509,'Base bordo'!B$2:B$746,B509,'Base bordo'!F$2:F$746,"DESLOCAMENTO VAZIO"),0)</f>
        <v>1.4894444444444443</v>
      </c>
      <c r="E509" s="10">
        <f>IFERROR(SUMIFS('Base bordo'!G$2:G$746,'Base bordo'!C$2:C$746,A509,'Base bordo'!B$2:B$746,B509,'Base bordo'!F$2:F$746,"DESLOCAMENTO CARREGADO"),0)</f>
        <v>2.7725</v>
      </c>
      <c r="F509" s="10">
        <f>IFERROR(SUMIFS('Base bordo'!G$2:G$746,'Base bordo'!C$2:C$746,A509,'Base bordo'!B$2:B$746,B509,'Base bordo'!F$2:F$746,"DESLOCAMENTO"),0)</f>
        <v>1.1813888888888888</v>
      </c>
      <c r="G509" s="10">
        <f>IFERROR(SUMIFS('Base bordo'!G$2:G$746,'Base bordo'!C$2:C$746,A509,'Base bordo'!B$2:B$746,B509,'Base bordo'!F$2:F$746,"CARREGAMENTO"),0)</f>
        <v>0</v>
      </c>
      <c r="H509" s="10">
        <f>IFERROR(SUMIFS('Base bordo'!G$2:G$746,'Base bordo'!C$2:C$746,A509,'Base bordo'!B$2:B$746,B509,'Base bordo'!F$2:F$746,"AGUARDANDO TRANSBORDO"),0)</f>
        <v>0.10722222222222222</v>
      </c>
      <c r="I509" s="10">
        <f>IFERROR(SUMIFS('Base bordo'!G$2:G$746,'Base bordo'!C$2:C$746,A509,'Base bordo'!B$2:B$746,B509,'Base bordo'!F$2:F$746,"PÁTIO INTERNO"),0)+IFERROR(SUMIFS('Base bordo'!G$2:G$746,'Base bordo'!C$2:C$746,A509,'Base bordo'!B$2:B$746,B509,'Base bordo'!F$2:F$746,"PÁTIO EXTERNO"),0)+IFERROR(SUMIFS('Base bordo'!G$2:G$746,'Base bordo'!C$2:C$746,A509,'Base bordo'!B$2:B$746,B509,'Base bordo'!F$2:F$746,"PATIO - RESERVA"),0)+IFERROR(SUMIFS('Base bordo'!G$2:G$746,'Base bordo'!C$2:C$746,A509,'Base bordo'!B$2:B$746,B509,'Base bordo'!F$2:F$746,"MANOBRA CARRETAS-PATIO"),0)</f>
        <v>0.56472222222222224</v>
      </c>
      <c r="J509" s="10">
        <f>IFERROR(SUMIFS('Base bordo'!G$2:G$746,'Base bordo'!C$2:C$746,A509,'Base bordo'!B$2:B$746,B509,'Base bordo'!F$2:F$746,"BALANÇA - ENTRADA"),0)+IFERROR(SUMIFS('Base bordo'!G$2:G$746,'Base bordo'!C$2:C$746,A509,'Base bordo'!B$2:B$746,B509,'Base bordo'!F$2:F$746,"BALANÇA - SAÍDA"),0)</f>
        <v>0</v>
      </c>
      <c r="K509" s="10">
        <f>IFERROR(SUMIFS('Base bordo'!G$2:G$746,'Base bordo'!C$2:C$746,A509,'Base bordo'!B$2:B$746,B509,'Base bordo'!F$2:F$746,"MAN PREVENTIVA - MECANICA"),0)+IFERROR(SUMIFS('Base bordo'!G$2:G$746,'Base bordo'!C$2:C$746,A509,'Base bordo'!B$2:B$746,B509,'Base bordo'!F$2:F$746,"MAN CORRETIVA - MECANICA"),0)</f>
        <v>0</v>
      </c>
      <c r="L509" s="10">
        <f>IFERROR(SUMIFS('Base bordo'!G$2:G$746,'Base bordo'!C$2:C$746,A509,'Base bordo'!B$2:B$746,B509,'Base bordo'!F$2:F$746,"MANUTENCAO - T O"),0)+IFERROR(SUMIFS('Base bordo'!G$2:G$746,'Base bordo'!C$2:C$746,A509,'Base bordo'!B$2:B$746,B509,'Base bordo'!F$2:F$746,"MANUTENCAO BORRACHARIA"),0)+IFERROR(SUMIFS('Base bordo'!G$2:G$746,'Base bordo'!C$2:C$746,A509,'Base bordo'!B$2:B$746,B509,'Base bordo'!F$2:F$746,"MANUTENCAO EXTERNA  CONCESSIONARIA"),0)+IFERROR(SUMIFS('Base bordo'!G$2:G$746,'Base bordo'!C$2:C$746,A509,'Base bordo'!B$2:B$746,B509,'Base bordo'!F$2:F$746,"MANUTENCAO TELEMETRIA"),0)</f>
        <v>0</v>
      </c>
      <c r="M509" s="10">
        <f>IFERROR(SUMIFS('Base bordo'!G$2:G$746,'Base bordo'!C$2:C$746,A509,'Base bordo'!B$2:B$746,B509,'Base bordo'!F$2:F$746,"AGUARDANDO MANUTENCAO"),0)</f>
        <v>0</v>
      </c>
      <c r="N509" s="10">
        <f>IFERROR(SUMIFS('Base bordo'!G$2:G$746,'Base bordo'!C$2:C$746,A509,'Base bordo'!B$2:B$746,B509,'Base bordo'!F$2:F$746,"SEM APONTAMENTO"),0)</f>
        <v>0</v>
      </c>
      <c r="O509" s="10">
        <f t="shared" si="54"/>
        <v>4.6666666666666856E-2</v>
      </c>
      <c r="P509" s="10">
        <f>IFERROR(SUMIFS('Base bordo'!G$2:G$746,'Base bordo'!C$2:C$746,A509,'Base bordo'!B$2:B$746,B509),0)</f>
        <v>6.1619444444444449</v>
      </c>
      <c r="Q509" s="10">
        <f>IFERROR(SUMIFS('Base bordo'!H$2:H$746,'Base bordo'!C$2:C$746,A509,'Base bordo'!B$2:B$746,B509,'Base bordo'!F$2:F$746,"DESLOCAMENTO VAZIO"),0)</f>
        <v>174958.3</v>
      </c>
      <c r="R509" s="10">
        <f>IFERROR(SUMIFS('Base bordo'!I$2:I$746,'Base bordo'!C$2:C$746,A509,'Base bordo'!B$2:B$746,B509,'Base bordo'!F$2:F$746,"DESLOCAMENTO VAZIO"),0)</f>
        <v>5362</v>
      </c>
      <c r="S509" s="30">
        <f t="shared" si="55"/>
        <v>32.629298769115998</v>
      </c>
      <c r="T509" s="10">
        <f>IFERROR(SUMIFS('Base bordo'!H$2:H$746,'Base bordo'!C$2:C$746,A509,'Base bordo'!B$2:B$746,B509,'Base bordo'!F$2:F$746,"DESLOCAMENTO CARREGADO"),0)</f>
        <v>211588.94</v>
      </c>
      <c r="U509" s="10">
        <f>IFERROR(SUMIFS('Base bordo'!I$2:I$746,'Base bordo'!C$2:C$746,A509,'Base bordo'!B$2:B$746,B509,'Base bordo'!F$2:F$746,"DESLOCAMENTO CARREGADO"),0)</f>
        <v>9967</v>
      </c>
      <c r="V509" s="30">
        <f t="shared" si="56"/>
        <v>21.228949533460419</v>
      </c>
      <c r="W509" s="9">
        <f t="shared" si="57"/>
        <v>0.24171662985168821</v>
      </c>
      <c r="X509" s="9">
        <f t="shared" si="58"/>
        <v>0.44993914258666545</v>
      </c>
      <c r="Y509" s="9">
        <f t="shared" si="59"/>
        <v>0.30834422756164637</v>
      </c>
    </row>
    <row r="510" spans="1:25" ht="15" customHeight="1" x14ac:dyDescent="0.35">
      <c r="A510" s="52">
        <v>8013476</v>
      </c>
      <c r="B510" s="51">
        <v>46118</v>
      </c>
      <c r="C510" s="7" t="s">
        <v>124</v>
      </c>
      <c r="D510" s="10">
        <f>IFERROR(SUMIFS('Base bordo'!G$2:G$746,'Base bordo'!C$2:C$746,A510,'Base bordo'!B$2:B$746,B510,'Base bordo'!F$2:F$746,"DESLOCAMENTO VAZIO"),0)</f>
        <v>0.76361111111111113</v>
      </c>
      <c r="E510" s="10">
        <f>IFERROR(SUMIFS('Base bordo'!G$2:G$746,'Base bordo'!C$2:C$746,A510,'Base bordo'!B$2:B$746,B510,'Base bordo'!F$2:F$746,"DESLOCAMENTO CARREGADO"),0)</f>
        <v>0.6594444444444445</v>
      </c>
      <c r="F510" s="10">
        <f>IFERROR(SUMIFS('Base bordo'!G$2:G$746,'Base bordo'!C$2:C$746,A510,'Base bordo'!B$2:B$746,B510,'Base bordo'!F$2:F$746,"DESLOCAMENTO"),0)</f>
        <v>0</v>
      </c>
      <c r="G510" s="10">
        <f>IFERROR(SUMIFS('Base bordo'!G$2:G$746,'Base bordo'!C$2:C$746,A510,'Base bordo'!B$2:B$746,B510,'Base bordo'!F$2:F$746,"CARREGAMENTO"),0)</f>
        <v>0</v>
      </c>
      <c r="H510" s="10">
        <f>IFERROR(SUMIFS('Base bordo'!G$2:G$746,'Base bordo'!C$2:C$746,A510,'Base bordo'!B$2:B$746,B510,'Base bordo'!F$2:F$746,"AGUARDANDO TRANSBORDO"),0)</f>
        <v>1.1111111111111112</v>
      </c>
      <c r="I510" s="10">
        <f>IFERROR(SUMIFS('Base bordo'!G$2:G$746,'Base bordo'!C$2:C$746,A510,'Base bordo'!B$2:B$746,B510,'Base bordo'!F$2:F$746,"PÁTIO INTERNO"),0)+IFERROR(SUMIFS('Base bordo'!G$2:G$746,'Base bordo'!C$2:C$746,A510,'Base bordo'!B$2:B$746,B510,'Base bordo'!F$2:F$746,"PÁTIO EXTERNO"),0)+IFERROR(SUMIFS('Base bordo'!G$2:G$746,'Base bordo'!C$2:C$746,A510,'Base bordo'!B$2:B$746,B510,'Base bordo'!F$2:F$746,"PATIO - RESERVA"),0)+IFERROR(SUMIFS('Base bordo'!G$2:G$746,'Base bordo'!C$2:C$746,A510,'Base bordo'!B$2:B$746,B510,'Base bordo'!F$2:F$746,"MANOBRA CARRETAS-PATIO"),0)</f>
        <v>5.693888888888889</v>
      </c>
      <c r="J510" s="10">
        <f>IFERROR(SUMIFS('Base bordo'!G$2:G$746,'Base bordo'!C$2:C$746,A510,'Base bordo'!B$2:B$746,B510,'Base bordo'!F$2:F$746,"BALANÇA - ENTRADA"),0)+IFERROR(SUMIFS('Base bordo'!G$2:G$746,'Base bordo'!C$2:C$746,A510,'Base bordo'!B$2:B$746,B510,'Base bordo'!F$2:F$746,"BALANÇA - SAÍDA"),0)</f>
        <v>0.11305555555555555</v>
      </c>
      <c r="K510" s="10">
        <f>IFERROR(SUMIFS('Base bordo'!G$2:G$746,'Base bordo'!C$2:C$746,A510,'Base bordo'!B$2:B$746,B510,'Base bordo'!F$2:F$746,"MAN PREVENTIVA - MECANICA"),0)+IFERROR(SUMIFS('Base bordo'!G$2:G$746,'Base bordo'!C$2:C$746,A510,'Base bordo'!B$2:B$746,B510,'Base bordo'!F$2:F$746,"MAN CORRETIVA - MECANICA"),0)</f>
        <v>0</v>
      </c>
      <c r="L510" s="10">
        <f>IFERROR(SUMIFS('Base bordo'!G$2:G$746,'Base bordo'!C$2:C$746,A510,'Base bordo'!B$2:B$746,B510,'Base bordo'!F$2:F$746,"MANUTENCAO - T O"),0)+IFERROR(SUMIFS('Base bordo'!G$2:G$746,'Base bordo'!C$2:C$746,A510,'Base bordo'!B$2:B$746,B510,'Base bordo'!F$2:F$746,"MANUTENCAO BORRACHARIA"),0)+IFERROR(SUMIFS('Base bordo'!G$2:G$746,'Base bordo'!C$2:C$746,A510,'Base bordo'!B$2:B$746,B510,'Base bordo'!F$2:F$746,"MANUTENCAO EXTERNA  CONCESSIONARIA"),0)+IFERROR(SUMIFS('Base bordo'!G$2:G$746,'Base bordo'!C$2:C$746,A510,'Base bordo'!B$2:B$746,B510,'Base bordo'!F$2:F$746,"MANUTENCAO TELEMETRIA"),0)</f>
        <v>2.7313888888888891</v>
      </c>
      <c r="M510" s="10">
        <f>IFERROR(SUMIFS('Base bordo'!G$2:G$746,'Base bordo'!C$2:C$746,A510,'Base bordo'!B$2:B$746,B510,'Base bordo'!F$2:F$746,"AGUARDANDO MANUTENCAO"),0)</f>
        <v>0</v>
      </c>
      <c r="N510" s="10">
        <f>IFERROR(SUMIFS('Base bordo'!G$2:G$746,'Base bordo'!C$2:C$746,A510,'Base bordo'!B$2:B$746,B510,'Base bordo'!F$2:F$746,"SEM APONTAMENTO"),0)</f>
        <v>0</v>
      </c>
      <c r="O510" s="10">
        <f t="shared" si="54"/>
        <v>0</v>
      </c>
      <c r="P510" s="10">
        <f>IFERROR(SUMIFS('Base bordo'!G$2:G$746,'Base bordo'!C$2:C$746,A510,'Base bordo'!B$2:B$746,B510),0)</f>
        <v>11.072500000000002</v>
      </c>
      <c r="Q510" s="10">
        <f>IFERROR(SUMIFS('Base bordo'!H$2:H$746,'Base bordo'!C$2:C$746,A510,'Base bordo'!B$2:B$746,B510,'Base bordo'!F$2:F$746,"DESLOCAMENTO VAZIO"),0)</f>
        <v>69562.86</v>
      </c>
      <c r="R510" s="10">
        <f>IFERROR(SUMIFS('Base bordo'!I$2:I$746,'Base bordo'!C$2:C$746,A510,'Base bordo'!B$2:B$746,B510,'Base bordo'!F$2:F$746,"DESLOCAMENTO VAZIO"),0)</f>
        <v>2749</v>
      </c>
      <c r="S510" s="30">
        <f t="shared" si="55"/>
        <v>25.30478719534376</v>
      </c>
      <c r="T510" s="10">
        <f>IFERROR(SUMIFS('Base bordo'!H$2:H$746,'Base bordo'!C$2:C$746,A510,'Base bordo'!B$2:B$746,B510,'Base bordo'!F$2:F$746,"DESLOCAMENTO CARREGADO"),0)</f>
        <v>60370.82</v>
      </c>
      <c r="U510" s="10">
        <f>IFERROR(SUMIFS('Base bordo'!I$2:I$746,'Base bordo'!C$2:C$746,A510,'Base bordo'!B$2:B$746,B510,'Base bordo'!F$2:F$746,"DESLOCAMENTO CARREGADO"),0)</f>
        <v>2374</v>
      </c>
      <c r="V510" s="30">
        <f t="shared" si="56"/>
        <v>25.43</v>
      </c>
      <c r="W510" s="9">
        <f t="shared" si="57"/>
        <v>6.8964652166277812E-2</v>
      </c>
      <c r="X510" s="9">
        <f t="shared" si="58"/>
        <v>5.955696043752038E-2</v>
      </c>
      <c r="Y510" s="9">
        <f t="shared" si="59"/>
        <v>0.87147838739620176</v>
      </c>
    </row>
    <row r="511" spans="1:25" ht="15" customHeight="1" x14ac:dyDescent="0.35">
      <c r="A511" s="52">
        <v>8013462</v>
      </c>
      <c r="B511" s="51">
        <v>46118</v>
      </c>
      <c r="C511" s="7" t="s">
        <v>124</v>
      </c>
      <c r="D511" s="10">
        <f>IFERROR(SUMIFS('Base bordo'!G$2:G$746,'Base bordo'!C$2:C$746,A511,'Base bordo'!B$2:B$746,B511,'Base bordo'!F$2:F$746,"DESLOCAMENTO VAZIO"),0)</f>
        <v>2.9716666666666667</v>
      </c>
      <c r="E511" s="10">
        <f>IFERROR(SUMIFS('Base bordo'!G$2:G$746,'Base bordo'!C$2:C$746,A511,'Base bordo'!B$2:B$746,B511,'Base bordo'!F$2:F$746,"DESLOCAMENTO CARREGADO"),0)</f>
        <v>3.6794444444444445</v>
      </c>
      <c r="F511" s="10">
        <f>IFERROR(SUMIFS('Base bordo'!G$2:G$746,'Base bordo'!C$2:C$746,A511,'Base bordo'!B$2:B$746,B511,'Base bordo'!F$2:F$746,"DESLOCAMENTO"),0)</f>
        <v>0.29694444444444446</v>
      </c>
      <c r="G511" s="10">
        <f>IFERROR(SUMIFS('Base bordo'!G$2:G$746,'Base bordo'!C$2:C$746,A511,'Base bordo'!B$2:B$746,B511,'Base bordo'!F$2:F$746,"CARREGAMENTO"),0)</f>
        <v>0.64583333333333337</v>
      </c>
      <c r="H511" s="10">
        <f>IFERROR(SUMIFS('Base bordo'!G$2:G$746,'Base bordo'!C$2:C$746,A511,'Base bordo'!B$2:B$746,B511,'Base bordo'!F$2:F$746,"AGUARDANDO TRANSBORDO"),0)</f>
        <v>9.6666666666666665E-2</v>
      </c>
      <c r="I511" s="10">
        <f>IFERROR(SUMIFS('Base bordo'!G$2:G$746,'Base bordo'!C$2:C$746,A511,'Base bordo'!B$2:B$746,B511,'Base bordo'!F$2:F$746,"PÁTIO INTERNO"),0)+IFERROR(SUMIFS('Base bordo'!G$2:G$746,'Base bordo'!C$2:C$746,A511,'Base bordo'!B$2:B$746,B511,'Base bordo'!F$2:F$746,"PÁTIO EXTERNO"),0)+IFERROR(SUMIFS('Base bordo'!G$2:G$746,'Base bordo'!C$2:C$746,A511,'Base bordo'!B$2:B$746,B511,'Base bordo'!F$2:F$746,"PATIO - RESERVA"),0)+IFERROR(SUMIFS('Base bordo'!G$2:G$746,'Base bordo'!C$2:C$746,A511,'Base bordo'!B$2:B$746,B511,'Base bordo'!F$2:F$746,"MANOBRA CARRETAS-PATIO"),0)</f>
        <v>9.5841666666666665</v>
      </c>
      <c r="J511" s="10">
        <f>IFERROR(SUMIFS('Base bordo'!G$2:G$746,'Base bordo'!C$2:C$746,A511,'Base bordo'!B$2:B$746,B511,'Base bordo'!F$2:F$746,"BALANÇA - ENTRADA"),0)+IFERROR(SUMIFS('Base bordo'!G$2:G$746,'Base bordo'!C$2:C$746,A511,'Base bordo'!B$2:B$746,B511,'Base bordo'!F$2:F$746,"BALANÇA - SAÍDA"),0)</f>
        <v>4.1944444444444444E-2</v>
      </c>
      <c r="K511" s="10">
        <f>IFERROR(SUMIFS('Base bordo'!G$2:G$746,'Base bordo'!C$2:C$746,A511,'Base bordo'!B$2:B$746,B511,'Base bordo'!F$2:F$746,"MAN PREVENTIVA - MECANICA"),0)+IFERROR(SUMIFS('Base bordo'!G$2:G$746,'Base bordo'!C$2:C$746,A511,'Base bordo'!B$2:B$746,B511,'Base bordo'!F$2:F$746,"MAN CORRETIVA - MECANICA"),0)</f>
        <v>0</v>
      </c>
      <c r="L511" s="10">
        <f>IFERROR(SUMIFS('Base bordo'!G$2:G$746,'Base bordo'!C$2:C$746,A511,'Base bordo'!B$2:B$746,B511,'Base bordo'!F$2:F$746,"MANUTENCAO - T O"),0)+IFERROR(SUMIFS('Base bordo'!G$2:G$746,'Base bordo'!C$2:C$746,A511,'Base bordo'!B$2:B$746,B511,'Base bordo'!F$2:F$746,"MANUTENCAO BORRACHARIA"),0)+IFERROR(SUMIFS('Base bordo'!G$2:G$746,'Base bordo'!C$2:C$746,A511,'Base bordo'!B$2:B$746,B511,'Base bordo'!F$2:F$746,"MANUTENCAO EXTERNA  CONCESSIONARIA"),0)+IFERROR(SUMIFS('Base bordo'!G$2:G$746,'Base bordo'!C$2:C$746,A511,'Base bordo'!B$2:B$746,B511,'Base bordo'!F$2:F$746,"MANUTENCAO TELEMETRIA"),0)</f>
        <v>1.6502777777777777</v>
      </c>
      <c r="M511" s="10">
        <f>IFERROR(SUMIFS('Base bordo'!G$2:G$746,'Base bordo'!C$2:C$746,A511,'Base bordo'!B$2:B$746,B511,'Base bordo'!F$2:F$746,"AGUARDANDO MANUTENCAO"),0)</f>
        <v>3.7263888888888888</v>
      </c>
      <c r="N511" s="10">
        <f>IFERROR(SUMIFS('Base bordo'!G$2:G$746,'Base bordo'!C$2:C$746,A511,'Base bordo'!B$2:B$746,B511,'Base bordo'!F$2:F$746,"SEM APONTAMENTO"),0)</f>
        <v>0</v>
      </c>
      <c r="O511" s="10">
        <f t="shared" si="54"/>
        <v>1.3066666666666684</v>
      </c>
      <c r="P511" s="10">
        <f>IFERROR(SUMIFS('Base bordo'!G$2:G$746,'Base bordo'!C$2:C$746,A511,'Base bordo'!B$2:B$746,B511),0)</f>
        <v>24</v>
      </c>
      <c r="Q511" s="10">
        <f>IFERROR(SUMIFS('Base bordo'!H$2:H$746,'Base bordo'!C$2:C$746,A511,'Base bordo'!B$2:B$746,B511,'Base bordo'!F$2:F$746,"DESLOCAMENTO VAZIO"),0)</f>
        <v>362928.54000000004</v>
      </c>
      <c r="R511" s="10">
        <f>IFERROR(SUMIFS('Base bordo'!I$2:I$746,'Base bordo'!C$2:C$746,A511,'Base bordo'!B$2:B$746,B511,'Base bordo'!F$2:F$746,"DESLOCAMENTO VAZIO"),0)</f>
        <v>10698</v>
      </c>
      <c r="S511" s="30">
        <f t="shared" si="55"/>
        <v>33.924896242288284</v>
      </c>
      <c r="T511" s="10">
        <f>IFERROR(SUMIFS('Base bordo'!H$2:H$746,'Base bordo'!C$2:C$746,A511,'Base bordo'!B$2:B$746,B511,'Base bordo'!F$2:F$746,"DESLOCAMENTO CARREGADO"),0)</f>
        <v>342744.39</v>
      </c>
      <c r="U511" s="10">
        <f>IFERROR(SUMIFS('Base bordo'!I$2:I$746,'Base bordo'!C$2:C$746,A511,'Base bordo'!B$2:B$746,B511,'Base bordo'!F$2:F$746,"DESLOCAMENTO CARREGADO"),0)</f>
        <v>13234</v>
      </c>
      <c r="V511" s="30">
        <f t="shared" si="56"/>
        <v>25.89877512467886</v>
      </c>
      <c r="W511" s="9">
        <f t="shared" si="57"/>
        <v>0.12381944444444444</v>
      </c>
      <c r="X511" s="9">
        <f t="shared" si="58"/>
        <v>0.15331018518518519</v>
      </c>
      <c r="Y511" s="9">
        <f t="shared" si="59"/>
        <v>0.72287037037037027</v>
      </c>
    </row>
    <row r="512" spans="1:25" ht="15" customHeight="1" x14ac:dyDescent="0.35">
      <c r="A512" s="52">
        <v>8013469</v>
      </c>
      <c r="B512" s="51">
        <v>46117</v>
      </c>
      <c r="C512" s="7" t="s">
        <v>124</v>
      </c>
      <c r="D512" s="10">
        <f>IFERROR(SUMIFS('Base bordo'!G$2:G$746,'Base bordo'!C$2:C$746,A512,'Base bordo'!B$2:B$746,B512,'Base bordo'!F$2:F$746,"DESLOCAMENTO VAZIO"),0)</f>
        <v>0.81472222222222224</v>
      </c>
      <c r="E512" s="10">
        <f>IFERROR(SUMIFS('Base bordo'!G$2:G$746,'Base bordo'!C$2:C$746,A512,'Base bordo'!B$2:B$746,B512,'Base bordo'!F$2:F$746,"DESLOCAMENTO CARREGADO"),0)</f>
        <v>0.8913888888888889</v>
      </c>
      <c r="F512" s="10">
        <f>IFERROR(SUMIFS('Base bordo'!G$2:G$746,'Base bordo'!C$2:C$746,A512,'Base bordo'!B$2:B$746,B512,'Base bordo'!F$2:F$746,"DESLOCAMENTO"),0)</f>
        <v>0.54305555555555551</v>
      </c>
      <c r="G512" s="10">
        <f>IFERROR(SUMIFS('Base bordo'!G$2:G$746,'Base bordo'!C$2:C$746,A512,'Base bordo'!B$2:B$746,B512,'Base bordo'!F$2:F$746,"CARREGAMENTO"),0)</f>
        <v>4.5863888888888891</v>
      </c>
      <c r="H512" s="10">
        <f>IFERROR(SUMIFS('Base bordo'!G$2:G$746,'Base bordo'!C$2:C$746,A512,'Base bordo'!B$2:B$746,B512,'Base bordo'!F$2:F$746,"AGUARDANDO TRANSBORDO"),0)</f>
        <v>0.11166666666666666</v>
      </c>
      <c r="I512" s="10">
        <f>IFERROR(SUMIFS('Base bordo'!G$2:G$746,'Base bordo'!C$2:C$746,A512,'Base bordo'!B$2:B$746,B512,'Base bordo'!F$2:F$746,"PÁTIO INTERNO"),0)+IFERROR(SUMIFS('Base bordo'!G$2:G$746,'Base bordo'!C$2:C$746,A512,'Base bordo'!B$2:B$746,B512,'Base bordo'!F$2:F$746,"PÁTIO EXTERNO"),0)+IFERROR(SUMIFS('Base bordo'!G$2:G$746,'Base bordo'!C$2:C$746,A512,'Base bordo'!B$2:B$746,B512,'Base bordo'!F$2:F$746,"PATIO - RESERVA"),0)+IFERROR(SUMIFS('Base bordo'!G$2:G$746,'Base bordo'!C$2:C$746,A512,'Base bordo'!B$2:B$746,B512,'Base bordo'!F$2:F$746,"MANOBRA CARRETAS-PATIO"),0)</f>
        <v>2.3947222222222222</v>
      </c>
      <c r="J512" s="10">
        <f>IFERROR(SUMIFS('Base bordo'!G$2:G$746,'Base bordo'!C$2:C$746,A512,'Base bordo'!B$2:B$746,B512,'Base bordo'!F$2:F$746,"BALANÇA - ENTRADA"),0)+IFERROR(SUMIFS('Base bordo'!G$2:G$746,'Base bordo'!C$2:C$746,A512,'Base bordo'!B$2:B$746,B512,'Base bordo'!F$2:F$746,"BALANÇA - SAÍDA"),0)</f>
        <v>0</v>
      </c>
      <c r="K512" s="10">
        <f>IFERROR(SUMIFS('Base bordo'!G$2:G$746,'Base bordo'!C$2:C$746,A512,'Base bordo'!B$2:B$746,B512,'Base bordo'!F$2:F$746,"MAN PREVENTIVA - MECANICA"),0)+IFERROR(SUMIFS('Base bordo'!G$2:G$746,'Base bordo'!C$2:C$746,A512,'Base bordo'!B$2:B$746,B512,'Base bordo'!F$2:F$746,"MAN CORRETIVA - MECANICA"),0)</f>
        <v>0</v>
      </c>
      <c r="L512" s="10">
        <f>IFERROR(SUMIFS('Base bordo'!G$2:G$746,'Base bordo'!C$2:C$746,A512,'Base bordo'!B$2:B$746,B512,'Base bordo'!F$2:F$746,"MANUTENCAO - T O"),0)+IFERROR(SUMIFS('Base bordo'!G$2:G$746,'Base bordo'!C$2:C$746,A512,'Base bordo'!B$2:B$746,B512,'Base bordo'!F$2:F$746,"MANUTENCAO BORRACHARIA"),0)+IFERROR(SUMIFS('Base bordo'!G$2:G$746,'Base bordo'!C$2:C$746,A512,'Base bordo'!B$2:B$746,B512,'Base bordo'!F$2:F$746,"MANUTENCAO EXTERNA  CONCESSIONARIA"),0)+IFERROR(SUMIFS('Base bordo'!G$2:G$746,'Base bordo'!C$2:C$746,A512,'Base bordo'!B$2:B$746,B512,'Base bordo'!F$2:F$746,"MANUTENCAO TELEMETRIA"),0)</f>
        <v>3.4688888888888889</v>
      </c>
      <c r="M512" s="10">
        <f>IFERROR(SUMIFS('Base bordo'!G$2:G$746,'Base bordo'!C$2:C$746,A512,'Base bordo'!B$2:B$746,B512,'Base bordo'!F$2:F$746,"AGUARDANDO MANUTENCAO"),0)</f>
        <v>0</v>
      </c>
      <c r="N512" s="10">
        <f>IFERROR(SUMIFS('Base bordo'!G$2:G$746,'Base bordo'!C$2:C$746,A512,'Base bordo'!B$2:B$746,B512,'Base bordo'!F$2:F$746,"SEM APONTAMENTO"),0)</f>
        <v>0</v>
      </c>
      <c r="O512" s="10">
        <f t="shared" si="54"/>
        <v>0.61500000000000021</v>
      </c>
      <c r="P512" s="10">
        <f>IFERROR(SUMIFS('Base bordo'!G$2:G$746,'Base bordo'!C$2:C$746,A512,'Base bordo'!B$2:B$746,B512),0)</f>
        <v>13.425833333333333</v>
      </c>
      <c r="Q512" s="10">
        <f>IFERROR(SUMIFS('Base bordo'!H$2:H$746,'Base bordo'!C$2:C$746,A512,'Base bordo'!B$2:B$746,B512,'Base bordo'!F$2:F$746,"DESLOCAMENTO VAZIO"),0)</f>
        <v>93170.91</v>
      </c>
      <c r="R512" s="10">
        <f>IFERROR(SUMIFS('Base bordo'!I$2:I$746,'Base bordo'!C$2:C$746,A512,'Base bordo'!B$2:B$746,B512,'Base bordo'!F$2:F$746,"DESLOCAMENTO VAZIO"),0)</f>
        <v>2933</v>
      </c>
      <c r="S512" s="30">
        <f t="shared" si="55"/>
        <v>31.766420047732698</v>
      </c>
      <c r="T512" s="10">
        <f>IFERROR(SUMIFS('Base bordo'!H$2:H$746,'Base bordo'!C$2:C$746,A512,'Base bordo'!B$2:B$746,B512,'Base bordo'!F$2:F$746,"DESLOCAMENTO CARREGADO"),0)</f>
        <v>68258.340000000011</v>
      </c>
      <c r="U512" s="10">
        <f>IFERROR(SUMIFS('Base bordo'!I$2:I$746,'Base bordo'!C$2:C$746,A512,'Base bordo'!B$2:B$746,B512,'Base bordo'!F$2:F$746,"DESLOCAMENTO CARREGADO"),0)</f>
        <v>3204</v>
      </c>
      <c r="V512" s="30">
        <f t="shared" si="56"/>
        <v>21.304101123595508</v>
      </c>
      <c r="W512" s="9">
        <f t="shared" si="57"/>
        <v>6.0683177125359485E-2</v>
      </c>
      <c r="X512" s="9">
        <f t="shared" si="58"/>
        <v>6.639356133490576E-2</v>
      </c>
      <c r="Y512" s="9">
        <f t="shared" si="59"/>
        <v>0.87292326153973476</v>
      </c>
    </row>
    <row r="513" spans="1:25" ht="15" customHeight="1" x14ac:dyDescent="0.35">
      <c r="A513" s="52">
        <v>8013470</v>
      </c>
      <c r="B513" s="51">
        <v>46118</v>
      </c>
      <c r="C513" s="7" t="s">
        <v>124</v>
      </c>
      <c r="D513" s="10">
        <f>IFERROR(SUMIFS('Base bordo'!G$2:G$746,'Base bordo'!C$2:C$746,A513,'Base bordo'!B$2:B$746,B513,'Base bordo'!F$2:F$746,"DESLOCAMENTO VAZIO"),0)</f>
        <v>1.7397222222222222</v>
      </c>
      <c r="E513" s="10">
        <f>IFERROR(SUMIFS('Base bordo'!G$2:G$746,'Base bordo'!C$2:C$746,A513,'Base bordo'!B$2:B$746,B513,'Base bordo'!F$2:F$746,"DESLOCAMENTO CARREGADO"),0)</f>
        <v>3.5305555555555554</v>
      </c>
      <c r="F513" s="10">
        <f>IFERROR(SUMIFS('Base bordo'!G$2:G$746,'Base bordo'!C$2:C$746,A513,'Base bordo'!B$2:B$746,B513,'Base bordo'!F$2:F$746,"DESLOCAMENTO"),0)</f>
        <v>0</v>
      </c>
      <c r="G513" s="10">
        <f>IFERROR(SUMIFS('Base bordo'!G$2:G$746,'Base bordo'!C$2:C$746,A513,'Base bordo'!B$2:B$746,B513,'Base bordo'!F$2:F$746,"CARREGAMENTO"),0)</f>
        <v>2.911111111111111</v>
      </c>
      <c r="H513" s="10">
        <f>IFERROR(SUMIFS('Base bordo'!G$2:G$746,'Base bordo'!C$2:C$746,A513,'Base bordo'!B$2:B$746,B513,'Base bordo'!F$2:F$746,"AGUARDANDO TRANSBORDO"),0)</f>
        <v>0.85194444444444439</v>
      </c>
      <c r="I513" s="10">
        <f>IFERROR(SUMIFS('Base bordo'!G$2:G$746,'Base bordo'!C$2:C$746,A513,'Base bordo'!B$2:B$746,B513,'Base bordo'!F$2:F$746,"PÁTIO INTERNO"),0)+IFERROR(SUMIFS('Base bordo'!G$2:G$746,'Base bordo'!C$2:C$746,A513,'Base bordo'!B$2:B$746,B513,'Base bordo'!F$2:F$746,"PÁTIO EXTERNO"),0)+IFERROR(SUMIFS('Base bordo'!G$2:G$746,'Base bordo'!C$2:C$746,A513,'Base bordo'!B$2:B$746,B513,'Base bordo'!F$2:F$746,"PATIO - RESERVA"),0)+IFERROR(SUMIFS('Base bordo'!G$2:G$746,'Base bordo'!C$2:C$746,A513,'Base bordo'!B$2:B$746,B513,'Base bordo'!F$2:F$746,"MANOBRA CARRETAS-PATIO"),0)</f>
        <v>7.8380555555555551</v>
      </c>
      <c r="J513" s="10">
        <f>IFERROR(SUMIFS('Base bordo'!G$2:G$746,'Base bordo'!C$2:C$746,A513,'Base bordo'!B$2:B$746,B513,'Base bordo'!F$2:F$746,"BALANÇA - ENTRADA"),0)+IFERROR(SUMIFS('Base bordo'!G$2:G$746,'Base bordo'!C$2:C$746,A513,'Base bordo'!B$2:B$746,B513,'Base bordo'!F$2:F$746,"BALANÇA - SAÍDA"),0)</f>
        <v>6.4722222222222223E-2</v>
      </c>
      <c r="K513" s="10">
        <f>IFERROR(SUMIFS('Base bordo'!G$2:G$746,'Base bordo'!C$2:C$746,A513,'Base bordo'!B$2:B$746,B513,'Base bordo'!F$2:F$746,"MAN PREVENTIVA - MECANICA"),0)+IFERROR(SUMIFS('Base bordo'!G$2:G$746,'Base bordo'!C$2:C$746,A513,'Base bordo'!B$2:B$746,B513,'Base bordo'!F$2:F$746,"MAN CORRETIVA - MECANICA"),0)</f>
        <v>0</v>
      </c>
      <c r="L513" s="10">
        <f>IFERROR(SUMIFS('Base bordo'!G$2:G$746,'Base bordo'!C$2:C$746,A513,'Base bordo'!B$2:B$746,B513,'Base bordo'!F$2:F$746,"MANUTENCAO - T O"),0)+IFERROR(SUMIFS('Base bordo'!G$2:G$746,'Base bordo'!C$2:C$746,A513,'Base bordo'!B$2:B$746,B513,'Base bordo'!F$2:F$746,"MANUTENCAO BORRACHARIA"),0)+IFERROR(SUMIFS('Base bordo'!G$2:G$746,'Base bordo'!C$2:C$746,A513,'Base bordo'!B$2:B$746,B513,'Base bordo'!F$2:F$746,"MANUTENCAO EXTERNA  CONCESSIONARIA"),0)+IFERROR(SUMIFS('Base bordo'!G$2:G$746,'Base bordo'!C$2:C$746,A513,'Base bordo'!B$2:B$746,B513,'Base bordo'!F$2:F$746,"MANUTENCAO TELEMETRIA"),0)</f>
        <v>0</v>
      </c>
      <c r="M513" s="10">
        <f>IFERROR(SUMIFS('Base bordo'!G$2:G$746,'Base bordo'!C$2:C$746,A513,'Base bordo'!B$2:B$746,B513,'Base bordo'!F$2:F$746,"AGUARDANDO MANUTENCAO"),0)</f>
        <v>1.013611111111111</v>
      </c>
      <c r="N513" s="10">
        <f>IFERROR(SUMIFS('Base bordo'!G$2:G$746,'Base bordo'!C$2:C$746,A513,'Base bordo'!B$2:B$746,B513,'Base bordo'!F$2:F$746,"SEM APONTAMENTO"),0)</f>
        <v>0.85111111111111115</v>
      </c>
      <c r="O513" s="10">
        <f t="shared" si="54"/>
        <v>5.1991666666666667</v>
      </c>
      <c r="P513" s="10">
        <f>IFERROR(SUMIFS('Base bordo'!G$2:G$746,'Base bordo'!C$2:C$746,A513,'Base bordo'!B$2:B$746,B513),0)</f>
        <v>24</v>
      </c>
      <c r="Q513" s="10">
        <f>IFERROR(SUMIFS('Base bordo'!H$2:H$746,'Base bordo'!C$2:C$746,A513,'Base bordo'!B$2:B$746,B513,'Base bordo'!F$2:F$746,"DESLOCAMENTO VAZIO"),0)</f>
        <v>195041.98</v>
      </c>
      <c r="R513" s="10">
        <f>IFERROR(SUMIFS('Base bordo'!I$2:I$746,'Base bordo'!C$2:C$746,A513,'Base bordo'!B$2:B$746,B513,'Base bordo'!F$2:F$746,"DESLOCAMENTO VAZIO"),0)</f>
        <v>6263</v>
      </c>
      <c r="S513" s="30">
        <f t="shared" si="55"/>
        <v>31.141941561551974</v>
      </c>
      <c r="T513" s="10">
        <f>IFERROR(SUMIFS('Base bordo'!H$2:H$746,'Base bordo'!C$2:C$746,A513,'Base bordo'!B$2:B$746,B513,'Base bordo'!F$2:F$746,"DESLOCAMENTO CARREGADO"),0)</f>
        <v>332481.22999999992</v>
      </c>
      <c r="U513" s="10">
        <f>IFERROR(SUMIFS('Base bordo'!I$2:I$746,'Base bordo'!C$2:C$746,A513,'Base bordo'!B$2:B$746,B513,'Base bordo'!F$2:F$746,"DESLOCAMENTO CARREGADO"),0)</f>
        <v>12710</v>
      </c>
      <c r="V513" s="30">
        <f t="shared" si="56"/>
        <v>26.15902675059008</v>
      </c>
      <c r="W513" s="9">
        <f t="shared" si="57"/>
        <v>7.2488425925925928E-2</v>
      </c>
      <c r="X513" s="9">
        <f t="shared" si="58"/>
        <v>0.14710648148148148</v>
      </c>
      <c r="Y513" s="9">
        <f t="shared" si="59"/>
        <v>0.78040509259259261</v>
      </c>
    </row>
    <row r="514" spans="1:25" ht="15" customHeight="1" x14ac:dyDescent="0.35">
      <c r="A514" s="52">
        <v>8013473</v>
      </c>
      <c r="B514" s="51">
        <v>46118</v>
      </c>
      <c r="C514" s="7" t="s">
        <v>124</v>
      </c>
      <c r="D514" s="10">
        <f>IFERROR(SUMIFS('Base bordo'!G$2:G$746,'Base bordo'!C$2:C$746,A514,'Base bordo'!B$2:B$746,B514,'Base bordo'!F$2:F$746,"DESLOCAMENTO VAZIO"),0)</f>
        <v>1.5997222222222223</v>
      </c>
      <c r="E514" s="10">
        <f>IFERROR(SUMIFS('Base bordo'!G$2:G$746,'Base bordo'!C$2:C$746,A514,'Base bordo'!B$2:B$746,B514,'Base bordo'!F$2:F$746,"DESLOCAMENTO CARREGADO"),0)</f>
        <v>3.9169444444444443</v>
      </c>
      <c r="F514" s="10">
        <f>IFERROR(SUMIFS('Base bordo'!G$2:G$746,'Base bordo'!C$2:C$746,A514,'Base bordo'!B$2:B$746,B514,'Base bordo'!F$2:F$746,"DESLOCAMENTO"),0)</f>
        <v>0</v>
      </c>
      <c r="G514" s="10">
        <f>IFERROR(SUMIFS('Base bordo'!G$2:G$746,'Base bordo'!C$2:C$746,A514,'Base bordo'!B$2:B$746,B514,'Base bordo'!F$2:F$746,"CARREGAMENTO"),0)</f>
        <v>0</v>
      </c>
      <c r="H514" s="10">
        <f>IFERROR(SUMIFS('Base bordo'!G$2:G$746,'Base bordo'!C$2:C$746,A514,'Base bordo'!B$2:B$746,B514,'Base bordo'!F$2:F$746,"AGUARDANDO TRANSBORDO"),0)</f>
        <v>0.18527777777777779</v>
      </c>
      <c r="I514" s="10">
        <f>IFERROR(SUMIFS('Base bordo'!G$2:G$746,'Base bordo'!C$2:C$746,A514,'Base bordo'!B$2:B$746,B514,'Base bordo'!F$2:F$746,"PÁTIO INTERNO"),0)+IFERROR(SUMIFS('Base bordo'!G$2:G$746,'Base bordo'!C$2:C$746,A514,'Base bordo'!B$2:B$746,B514,'Base bordo'!F$2:F$746,"PÁTIO EXTERNO"),0)+IFERROR(SUMIFS('Base bordo'!G$2:G$746,'Base bordo'!C$2:C$746,A514,'Base bordo'!B$2:B$746,B514,'Base bordo'!F$2:F$746,"PATIO - RESERVA"),0)+IFERROR(SUMIFS('Base bordo'!G$2:G$746,'Base bordo'!C$2:C$746,A514,'Base bordo'!B$2:B$746,B514,'Base bordo'!F$2:F$746,"MANOBRA CARRETAS-PATIO"),0)</f>
        <v>10.403611111111111</v>
      </c>
      <c r="J514" s="10">
        <f>IFERROR(SUMIFS('Base bordo'!G$2:G$746,'Base bordo'!C$2:C$746,A514,'Base bordo'!B$2:B$746,B514,'Base bordo'!F$2:F$746,"BALANÇA - ENTRADA"),0)+IFERROR(SUMIFS('Base bordo'!G$2:G$746,'Base bordo'!C$2:C$746,A514,'Base bordo'!B$2:B$746,B514,'Base bordo'!F$2:F$746,"BALANÇA - SAÍDA"),0)</f>
        <v>5.8055555555555555E-2</v>
      </c>
      <c r="K514" s="10">
        <f>IFERROR(SUMIFS('Base bordo'!G$2:G$746,'Base bordo'!C$2:C$746,A514,'Base bordo'!B$2:B$746,B514,'Base bordo'!F$2:F$746,"MAN PREVENTIVA - MECANICA"),0)+IFERROR(SUMIFS('Base bordo'!G$2:G$746,'Base bordo'!C$2:C$746,A514,'Base bordo'!B$2:B$746,B514,'Base bordo'!F$2:F$746,"MAN CORRETIVA - MECANICA"),0)</f>
        <v>0</v>
      </c>
      <c r="L514" s="10">
        <f>IFERROR(SUMIFS('Base bordo'!G$2:G$746,'Base bordo'!C$2:C$746,A514,'Base bordo'!B$2:B$746,B514,'Base bordo'!F$2:F$746,"MANUTENCAO - T O"),0)+IFERROR(SUMIFS('Base bordo'!G$2:G$746,'Base bordo'!C$2:C$746,A514,'Base bordo'!B$2:B$746,B514,'Base bordo'!F$2:F$746,"MANUTENCAO BORRACHARIA"),0)+IFERROR(SUMIFS('Base bordo'!G$2:G$746,'Base bordo'!C$2:C$746,A514,'Base bordo'!B$2:B$746,B514,'Base bordo'!F$2:F$746,"MANUTENCAO EXTERNA  CONCESSIONARIA"),0)+IFERROR(SUMIFS('Base bordo'!G$2:G$746,'Base bordo'!C$2:C$746,A514,'Base bordo'!B$2:B$746,B514,'Base bordo'!F$2:F$746,"MANUTENCAO TELEMETRIA"),0)</f>
        <v>0</v>
      </c>
      <c r="M514" s="10">
        <f>IFERROR(SUMIFS('Base bordo'!G$2:G$746,'Base bordo'!C$2:C$746,A514,'Base bordo'!B$2:B$746,B514,'Base bordo'!F$2:F$746,"AGUARDANDO MANUTENCAO"),0)</f>
        <v>0</v>
      </c>
      <c r="N514" s="10">
        <f>IFERROR(SUMIFS('Base bordo'!G$2:G$746,'Base bordo'!C$2:C$746,A514,'Base bordo'!B$2:B$746,B514,'Base bordo'!F$2:F$746,"SEM APONTAMENTO"),0)</f>
        <v>0</v>
      </c>
      <c r="O514" s="10">
        <f t="shared" si="54"/>
        <v>3.5527136788005009E-15</v>
      </c>
      <c r="P514" s="10">
        <f>IFERROR(SUMIFS('Base bordo'!G$2:G$746,'Base bordo'!C$2:C$746,A514,'Base bordo'!B$2:B$746,B514),0)</f>
        <v>16.163611111111113</v>
      </c>
      <c r="Q514" s="10">
        <f>IFERROR(SUMIFS('Base bordo'!H$2:H$746,'Base bordo'!C$2:C$746,A514,'Base bordo'!B$2:B$746,B514,'Base bordo'!F$2:F$746,"DESLOCAMENTO VAZIO"),0)</f>
        <v>187793.3</v>
      </c>
      <c r="R514" s="10">
        <f>IFERROR(SUMIFS('Base bordo'!I$2:I$746,'Base bordo'!C$2:C$746,A514,'Base bordo'!B$2:B$746,B514,'Base bordo'!F$2:F$746,"DESLOCAMENTO VAZIO"),0)</f>
        <v>5759</v>
      </c>
      <c r="S514" s="30">
        <f t="shared" si="55"/>
        <v>32.608664698732419</v>
      </c>
      <c r="T514" s="10">
        <f>IFERROR(SUMIFS('Base bordo'!H$2:H$746,'Base bordo'!C$2:C$746,A514,'Base bordo'!B$2:B$746,B514,'Base bordo'!F$2:F$746,"DESLOCAMENTO CARREGADO"),0)</f>
        <v>380848.11</v>
      </c>
      <c r="U514" s="10">
        <f>IFERROR(SUMIFS('Base bordo'!I$2:I$746,'Base bordo'!C$2:C$746,A514,'Base bordo'!B$2:B$746,B514,'Base bordo'!F$2:F$746,"DESLOCAMENTO CARREGADO"),0)</f>
        <v>14101</v>
      </c>
      <c r="V514" s="30">
        <f t="shared" si="56"/>
        <v>27.008588752570738</v>
      </c>
      <c r="W514" s="9">
        <f t="shared" si="57"/>
        <v>9.8970595817078816E-2</v>
      </c>
      <c r="X514" s="9">
        <f t="shared" si="58"/>
        <v>0.24233102476413065</v>
      </c>
      <c r="Y514" s="9">
        <f t="shared" si="59"/>
        <v>0.6586983794187905</v>
      </c>
    </row>
    <row r="515" spans="1:25" ht="15" customHeight="1" x14ac:dyDescent="0.35">
      <c r="A515" s="52">
        <v>8013483</v>
      </c>
      <c r="B515" s="51">
        <v>46118</v>
      </c>
      <c r="C515" s="7" t="s">
        <v>124</v>
      </c>
      <c r="D515" s="10">
        <f>IFERROR(SUMIFS('Base bordo'!G$2:G$746,'Base bordo'!C$2:C$746,A515,'Base bordo'!B$2:B$746,B515,'Base bordo'!F$2:F$746,"DESLOCAMENTO VAZIO"),0)</f>
        <v>2.4136111111111109</v>
      </c>
      <c r="E515" s="10">
        <f>IFERROR(SUMIFS('Base bordo'!G$2:G$746,'Base bordo'!C$2:C$746,A515,'Base bordo'!B$2:B$746,B515,'Base bordo'!F$2:F$746,"DESLOCAMENTO CARREGADO"),0)</f>
        <v>0.74972222222222218</v>
      </c>
      <c r="F515" s="10">
        <f>IFERROR(SUMIFS('Base bordo'!G$2:G$746,'Base bordo'!C$2:C$746,A515,'Base bordo'!B$2:B$746,B515,'Base bordo'!F$2:F$746,"DESLOCAMENTO"),0)</f>
        <v>0</v>
      </c>
      <c r="G515" s="10">
        <f>IFERROR(SUMIFS('Base bordo'!G$2:G$746,'Base bordo'!C$2:C$746,A515,'Base bordo'!B$2:B$746,B515,'Base bordo'!F$2:F$746,"CARREGAMENTO"),0)</f>
        <v>0</v>
      </c>
      <c r="H515" s="10">
        <f>IFERROR(SUMIFS('Base bordo'!G$2:G$746,'Base bordo'!C$2:C$746,A515,'Base bordo'!B$2:B$746,B515,'Base bordo'!F$2:F$746,"AGUARDANDO TRANSBORDO"),0)</f>
        <v>0.18666666666666668</v>
      </c>
      <c r="I515" s="10">
        <f>IFERROR(SUMIFS('Base bordo'!G$2:G$746,'Base bordo'!C$2:C$746,A515,'Base bordo'!B$2:B$746,B515,'Base bordo'!F$2:F$746,"PÁTIO INTERNO"),0)+IFERROR(SUMIFS('Base bordo'!G$2:G$746,'Base bordo'!C$2:C$746,A515,'Base bordo'!B$2:B$746,B515,'Base bordo'!F$2:F$746,"PÁTIO EXTERNO"),0)+IFERROR(SUMIFS('Base bordo'!G$2:G$746,'Base bordo'!C$2:C$746,A515,'Base bordo'!B$2:B$746,B515,'Base bordo'!F$2:F$746,"PATIO - RESERVA"),0)+IFERROR(SUMIFS('Base bordo'!G$2:G$746,'Base bordo'!C$2:C$746,A515,'Base bordo'!B$2:B$746,B515,'Base bordo'!F$2:F$746,"MANOBRA CARRETAS-PATIO"),0)</f>
        <v>11.716111111111111</v>
      </c>
      <c r="J515" s="10">
        <f>IFERROR(SUMIFS('Base bordo'!G$2:G$746,'Base bordo'!C$2:C$746,A515,'Base bordo'!B$2:B$746,B515,'Base bordo'!F$2:F$746,"BALANÇA - ENTRADA"),0)+IFERROR(SUMIFS('Base bordo'!G$2:G$746,'Base bordo'!C$2:C$746,A515,'Base bordo'!B$2:B$746,B515,'Base bordo'!F$2:F$746,"BALANÇA - SAÍDA"),0)</f>
        <v>4.7500000000000001E-2</v>
      </c>
      <c r="K515" s="10">
        <f>IFERROR(SUMIFS('Base bordo'!G$2:G$746,'Base bordo'!C$2:C$746,A515,'Base bordo'!B$2:B$746,B515,'Base bordo'!F$2:F$746,"MAN PREVENTIVA - MECANICA"),0)+IFERROR(SUMIFS('Base bordo'!G$2:G$746,'Base bordo'!C$2:C$746,A515,'Base bordo'!B$2:B$746,B515,'Base bordo'!F$2:F$746,"MAN CORRETIVA - MECANICA"),0)</f>
        <v>0</v>
      </c>
      <c r="L515" s="10">
        <f>IFERROR(SUMIFS('Base bordo'!G$2:G$746,'Base bordo'!C$2:C$746,A515,'Base bordo'!B$2:B$746,B515,'Base bordo'!F$2:F$746,"MANUTENCAO - T O"),0)+IFERROR(SUMIFS('Base bordo'!G$2:G$746,'Base bordo'!C$2:C$746,A515,'Base bordo'!B$2:B$746,B515,'Base bordo'!F$2:F$746,"MANUTENCAO BORRACHARIA"),0)+IFERROR(SUMIFS('Base bordo'!G$2:G$746,'Base bordo'!C$2:C$746,A515,'Base bordo'!B$2:B$746,B515,'Base bordo'!F$2:F$746,"MANUTENCAO EXTERNA  CONCESSIONARIA"),0)+IFERROR(SUMIFS('Base bordo'!G$2:G$746,'Base bordo'!C$2:C$746,A515,'Base bordo'!B$2:B$746,B515,'Base bordo'!F$2:F$746,"MANUTENCAO TELEMETRIA"),0)</f>
        <v>3.4908333333333332</v>
      </c>
      <c r="M515" s="10">
        <f>IFERROR(SUMIFS('Base bordo'!G$2:G$746,'Base bordo'!C$2:C$746,A515,'Base bordo'!B$2:B$746,B515,'Base bordo'!F$2:F$746,"AGUARDANDO MANUTENCAO"),0)</f>
        <v>0</v>
      </c>
      <c r="N515" s="10">
        <f>IFERROR(SUMIFS('Base bordo'!G$2:G$746,'Base bordo'!C$2:C$746,A515,'Base bordo'!B$2:B$746,B515,'Base bordo'!F$2:F$746,"SEM APONTAMENTO"),0)</f>
        <v>0</v>
      </c>
      <c r="O515" s="10">
        <f t="shared" si="54"/>
        <v>0</v>
      </c>
      <c r="P515" s="10">
        <f>IFERROR(SUMIFS('Base bordo'!G$2:G$746,'Base bordo'!C$2:C$746,A515,'Base bordo'!B$2:B$746,B515),0)</f>
        <v>18.604444444444443</v>
      </c>
      <c r="Q515" s="10">
        <f>IFERROR(SUMIFS('Base bordo'!H$2:H$746,'Base bordo'!C$2:C$746,A515,'Base bordo'!B$2:B$746,B515,'Base bordo'!F$2:F$746,"DESLOCAMENTO VAZIO"),0)</f>
        <v>164736.31</v>
      </c>
      <c r="R515" s="10">
        <f>IFERROR(SUMIFS('Base bordo'!I$2:I$746,'Base bordo'!C$2:C$746,A515,'Base bordo'!B$2:B$746,B515,'Base bordo'!F$2:F$746,"DESLOCAMENTO VAZIO"),0)</f>
        <v>8689</v>
      </c>
      <c r="S515" s="30">
        <f t="shared" si="55"/>
        <v>18.959179422258028</v>
      </c>
      <c r="T515" s="10">
        <f>IFERROR(SUMIFS('Base bordo'!H$2:H$746,'Base bordo'!C$2:C$746,A515,'Base bordo'!B$2:B$746,B515,'Base bordo'!F$2:F$746,"DESLOCAMENTO CARREGADO"),0)</f>
        <v>65187.479999999996</v>
      </c>
      <c r="U515" s="10">
        <f>IFERROR(SUMIFS('Base bordo'!I$2:I$746,'Base bordo'!C$2:C$746,A515,'Base bordo'!B$2:B$746,B515,'Base bordo'!F$2:F$746,"DESLOCAMENTO CARREGADO"),0)</f>
        <v>2699</v>
      </c>
      <c r="V515" s="30">
        <f t="shared" si="56"/>
        <v>24.152456465357538</v>
      </c>
      <c r="W515" s="9">
        <f t="shared" si="57"/>
        <v>0.12973303870043001</v>
      </c>
      <c r="X515" s="9">
        <f t="shared" si="58"/>
        <v>4.0298017200191112E-2</v>
      </c>
      <c r="Y515" s="9">
        <f t="shared" si="59"/>
        <v>0.82996894409937894</v>
      </c>
    </row>
    <row r="516" spans="1:25" ht="15" customHeight="1" x14ac:dyDescent="0.35">
      <c r="A516" s="52">
        <v>8013486</v>
      </c>
      <c r="B516" s="51">
        <v>46124</v>
      </c>
      <c r="C516" s="7" t="s">
        <v>124</v>
      </c>
      <c r="D516" s="10">
        <f>IFERROR(SUMIFS('Base bordo'!G$2:G$746,'Base bordo'!C$2:C$746,A516,'Base bordo'!B$2:B$746,B516,'Base bordo'!F$2:F$746,"DESLOCAMENTO VAZIO"),0)</f>
        <v>1.6141666666666667</v>
      </c>
      <c r="E516" s="10">
        <f>IFERROR(SUMIFS('Base bordo'!G$2:G$746,'Base bordo'!C$2:C$746,A516,'Base bordo'!B$2:B$746,B516,'Base bordo'!F$2:F$746,"DESLOCAMENTO CARREGADO"),0)</f>
        <v>9.7500000000000003E-2</v>
      </c>
      <c r="F516" s="10">
        <f>IFERROR(SUMIFS('Base bordo'!G$2:G$746,'Base bordo'!C$2:C$746,A516,'Base bordo'!B$2:B$746,B516,'Base bordo'!F$2:F$746,"DESLOCAMENTO"),0)</f>
        <v>0</v>
      </c>
      <c r="G516" s="10">
        <f>IFERROR(SUMIFS('Base bordo'!G$2:G$746,'Base bordo'!C$2:C$746,A516,'Base bordo'!B$2:B$746,B516,'Base bordo'!F$2:F$746,"CARREGAMENTO"),0)</f>
        <v>0</v>
      </c>
      <c r="H516" s="10">
        <f>IFERROR(SUMIFS('Base bordo'!G$2:G$746,'Base bordo'!C$2:C$746,A516,'Base bordo'!B$2:B$746,B516,'Base bordo'!F$2:F$746,"AGUARDANDO TRANSBORDO"),0)</f>
        <v>0.10888888888888888</v>
      </c>
      <c r="I516" s="10">
        <f>IFERROR(SUMIFS('Base bordo'!G$2:G$746,'Base bordo'!C$2:C$746,A516,'Base bordo'!B$2:B$746,B516,'Base bordo'!F$2:F$746,"PÁTIO INTERNO"),0)+IFERROR(SUMIFS('Base bordo'!G$2:G$746,'Base bordo'!C$2:C$746,A516,'Base bordo'!B$2:B$746,B516,'Base bordo'!F$2:F$746,"PÁTIO EXTERNO"),0)+IFERROR(SUMIFS('Base bordo'!G$2:G$746,'Base bordo'!C$2:C$746,A516,'Base bordo'!B$2:B$746,B516,'Base bordo'!F$2:F$746,"PATIO - RESERVA"),0)+IFERROR(SUMIFS('Base bordo'!G$2:G$746,'Base bordo'!C$2:C$746,A516,'Base bordo'!B$2:B$746,B516,'Base bordo'!F$2:F$746,"MANOBRA CARRETAS-PATIO"),0)</f>
        <v>4.8677777777777784</v>
      </c>
      <c r="J516" s="10">
        <f>IFERROR(SUMIFS('Base bordo'!G$2:G$746,'Base bordo'!C$2:C$746,A516,'Base bordo'!B$2:B$746,B516,'Base bordo'!F$2:F$746,"BALANÇA - ENTRADA"),0)+IFERROR(SUMIFS('Base bordo'!G$2:G$746,'Base bordo'!C$2:C$746,A516,'Base bordo'!B$2:B$746,B516,'Base bordo'!F$2:F$746,"BALANÇA - SAÍDA"),0)</f>
        <v>0.14000000000000001</v>
      </c>
      <c r="K516" s="10">
        <f>IFERROR(SUMIFS('Base bordo'!G$2:G$746,'Base bordo'!C$2:C$746,A516,'Base bordo'!B$2:B$746,B516,'Base bordo'!F$2:F$746,"MAN PREVENTIVA - MECANICA"),0)+IFERROR(SUMIFS('Base bordo'!G$2:G$746,'Base bordo'!C$2:C$746,A516,'Base bordo'!B$2:B$746,B516,'Base bordo'!F$2:F$746,"MAN CORRETIVA - MECANICA"),0)</f>
        <v>0</v>
      </c>
      <c r="L516" s="10">
        <f>IFERROR(SUMIFS('Base bordo'!G$2:G$746,'Base bordo'!C$2:C$746,A516,'Base bordo'!B$2:B$746,B516,'Base bordo'!F$2:F$746,"MANUTENCAO - T O"),0)+IFERROR(SUMIFS('Base bordo'!G$2:G$746,'Base bordo'!C$2:C$746,A516,'Base bordo'!B$2:B$746,B516,'Base bordo'!F$2:F$746,"MANUTENCAO BORRACHARIA"),0)+IFERROR(SUMIFS('Base bordo'!G$2:G$746,'Base bordo'!C$2:C$746,A516,'Base bordo'!B$2:B$746,B516,'Base bordo'!F$2:F$746,"MANUTENCAO EXTERNA  CONCESSIONARIA"),0)+IFERROR(SUMIFS('Base bordo'!G$2:G$746,'Base bordo'!C$2:C$746,A516,'Base bordo'!B$2:B$746,B516,'Base bordo'!F$2:F$746,"MANUTENCAO TELEMETRIA"),0)</f>
        <v>0</v>
      </c>
      <c r="M516" s="10">
        <f>IFERROR(SUMIFS('Base bordo'!G$2:G$746,'Base bordo'!C$2:C$746,A516,'Base bordo'!B$2:B$746,B516,'Base bordo'!F$2:F$746,"AGUARDANDO MANUTENCAO"),0)</f>
        <v>0</v>
      </c>
      <c r="N516" s="10">
        <f>IFERROR(SUMIFS('Base bordo'!G$2:G$746,'Base bordo'!C$2:C$746,A516,'Base bordo'!B$2:B$746,B516,'Base bordo'!F$2:F$746,"SEM APONTAMENTO"),0)</f>
        <v>0</v>
      </c>
      <c r="O516" s="10">
        <f t="shared" si="54"/>
        <v>1.4722222222222747E-2</v>
      </c>
      <c r="P516" s="10">
        <f>IFERROR(SUMIFS('Base bordo'!G$2:G$746,'Base bordo'!C$2:C$746,A516,'Base bordo'!B$2:B$746,B516),0)</f>
        <v>6.8430555555555568</v>
      </c>
      <c r="Q516" s="10">
        <f>IFERROR(SUMIFS('Base bordo'!H$2:H$746,'Base bordo'!C$2:C$746,A516,'Base bordo'!B$2:B$746,B516,'Base bordo'!F$2:F$746,"DESLOCAMENTO VAZIO"),0)</f>
        <v>181720.6</v>
      </c>
      <c r="R516" s="10">
        <f>IFERROR(SUMIFS('Base bordo'!I$2:I$746,'Base bordo'!C$2:C$746,A516,'Base bordo'!B$2:B$746,B516,'Base bordo'!F$2:F$746,"DESLOCAMENTO VAZIO"),0)</f>
        <v>5811</v>
      </c>
      <c r="S516" s="30">
        <f t="shared" si="55"/>
        <v>31.271829289278955</v>
      </c>
      <c r="T516" s="10">
        <f>IFERROR(SUMIFS('Base bordo'!H$2:H$746,'Base bordo'!C$2:C$746,A516,'Base bordo'!B$2:B$746,B516,'Base bordo'!F$2:F$746,"DESLOCAMENTO CARREGADO"),0)</f>
        <v>2571.7599999999998</v>
      </c>
      <c r="U516" s="10">
        <f>IFERROR(SUMIFS('Base bordo'!I$2:I$746,'Base bordo'!C$2:C$746,A516,'Base bordo'!B$2:B$746,B516,'Base bordo'!F$2:F$746,"DESLOCAMENTO CARREGADO"),0)</f>
        <v>332</v>
      </c>
      <c r="V516" s="30">
        <f t="shared" si="56"/>
        <v>7.7462650602409635</v>
      </c>
      <c r="W516" s="9">
        <f t="shared" si="57"/>
        <v>0.23588390501319259</v>
      </c>
      <c r="X516" s="9">
        <f t="shared" si="58"/>
        <v>1.4248021108179418E-2</v>
      </c>
      <c r="Y516" s="9">
        <f t="shared" si="59"/>
        <v>0.74986807387862808</v>
      </c>
    </row>
    <row r="517" spans="1:25" ht="15" customHeight="1" x14ac:dyDescent="0.35">
      <c r="A517" s="52">
        <v>8013482</v>
      </c>
      <c r="B517" s="51">
        <v>46118</v>
      </c>
      <c r="C517" s="7" t="s">
        <v>124</v>
      </c>
      <c r="D517" s="10">
        <f>IFERROR(SUMIFS('Base bordo'!G$2:G$746,'Base bordo'!C$2:C$746,A517,'Base bordo'!B$2:B$746,B517,'Base bordo'!F$2:F$746,"DESLOCAMENTO VAZIO"),0)</f>
        <v>0.37861111111111112</v>
      </c>
      <c r="E517" s="10">
        <f>IFERROR(SUMIFS('Base bordo'!G$2:G$746,'Base bordo'!C$2:C$746,A517,'Base bordo'!B$2:B$746,B517,'Base bordo'!F$2:F$746,"DESLOCAMENTO CARREGADO"),0)</f>
        <v>2.5222222222222221</v>
      </c>
      <c r="F517" s="10">
        <f>IFERROR(SUMIFS('Base bordo'!G$2:G$746,'Base bordo'!C$2:C$746,A517,'Base bordo'!B$2:B$746,B517,'Base bordo'!F$2:F$746,"DESLOCAMENTO"),0)</f>
        <v>0</v>
      </c>
      <c r="G517" s="10">
        <f>IFERROR(SUMIFS('Base bordo'!G$2:G$746,'Base bordo'!C$2:C$746,A517,'Base bordo'!B$2:B$746,B517,'Base bordo'!F$2:F$746,"CARREGAMENTO"),0)</f>
        <v>0</v>
      </c>
      <c r="H517" s="10">
        <f>IFERROR(SUMIFS('Base bordo'!G$2:G$746,'Base bordo'!C$2:C$746,A517,'Base bordo'!B$2:B$746,B517,'Base bordo'!F$2:F$746,"AGUARDANDO TRANSBORDO"),0)</f>
        <v>5.0149999999999997</v>
      </c>
      <c r="I517" s="10">
        <f>IFERROR(SUMIFS('Base bordo'!G$2:G$746,'Base bordo'!C$2:C$746,A517,'Base bordo'!B$2:B$746,B517,'Base bordo'!F$2:F$746,"PÁTIO INTERNO"),0)+IFERROR(SUMIFS('Base bordo'!G$2:G$746,'Base bordo'!C$2:C$746,A517,'Base bordo'!B$2:B$746,B517,'Base bordo'!F$2:F$746,"PÁTIO EXTERNO"),0)+IFERROR(SUMIFS('Base bordo'!G$2:G$746,'Base bordo'!C$2:C$746,A517,'Base bordo'!B$2:B$746,B517,'Base bordo'!F$2:F$746,"PATIO - RESERVA"),0)+IFERROR(SUMIFS('Base bordo'!G$2:G$746,'Base bordo'!C$2:C$746,A517,'Base bordo'!B$2:B$746,B517,'Base bordo'!F$2:F$746,"MANOBRA CARRETAS-PATIO"),0)</f>
        <v>3.0661111111111108</v>
      </c>
      <c r="J517" s="10">
        <f>IFERROR(SUMIFS('Base bordo'!G$2:G$746,'Base bordo'!C$2:C$746,A517,'Base bordo'!B$2:B$746,B517,'Base bordo'!F$2:F$746,"BALANÇA - ENTRADA"),0)+IFERROR(SUMIFS('Base bordo'!G$2:G$746,'Base bordo'!C$2:C$746,A517,'Base bordo'!B$2:B$746,B517,'Base bordo'!F$2:F$746,"BALANÇA - SAÍDA"),0)</f>
        <v>0.14555555555555555</v>
      </c>
      <c r="K517" s="10">
        <f>IFERROR(SUMIFS('Base bordo'!G$2:G$746,'Base bordo'!C$2:C$746,A517,'Base bordo'!B$2:B$746,B517,'Base bordo'!F$2:F$746,"MAN PREVENTIVA - MECANICA"),0)+IFERROR(SUMIFS('Base bordo'!G$2:G$746,'Base bordo'!C$2:C$746,A517,'Base bordo'!B$2:B$746,B517,'Base bordo'!F$2:F$746,"MAN CORRETIVA - MECANICA"),0)</f>
        <v>0</v>
      </c>
      <c r="L517" s="10">
        <f>IFERROR(SUMIFS('Base bordo'!G$2:G$746,'Base bordo'!C$2:C$746,A517,'Base bordo'!B$2:B$746,B517,'Base bordo'!F$2:F$746,"MANUTENCAO - T O"),0)+IFERROR(SUMIFS('Base bordo'!G$2:G$746,'Base bordo'!C$2:C$746,A517,'Base bordo'!B$2:B$746,B517,'Base bordo'!F$2:F$746,"MANUTENCAO BORRACHARIA"),0)+IFERROR(SUMIFS('Base bordo'!G$2:G$746,'Base bordo'!C$2:C$746,A517,'Base bordo'!B$2:B$746,B517,'Base bordo'!F$2:F$746,"MANUTENCAO EXTERNA  CONCESSIONARIA"),0)+IFERROR(SUMIFS('Base bordo'!G$2:G$746,'Base bordo'!C$2:C$746,A517,'Base bordo'!B$2:B$746,B517,'Base bordo'!F$2:F$746,"MANUTENCAO TELEMETRIA"),0)</f>
        <v>0</v>
      </c>
      <c r="M517" s="10">
        <f>IFERROR(SUMIFS('Base bordo'!G$2:G$746,'Base bordo'!C$2:C$746,A517,'Base bordo'!B$2:B$746,B517,'Base bordo'!F$2:F$746,"AGUARDANDO MANUTENCAO"),0)</f>
        <v>0</v>
      </c>
      <c r="N517" s="10">
        <f>IFERROR(SUMIFS('Base bordo'!G$2:G$746,'Base bordo'!C$2:C$746,A517,'Base bordo'!B$2:B$746,B517,'Base bordo'!F$2:F$746,"SEM APONTAMENTO"),0)</f>
        <v>0</v>
      </c>
      <c r="O517" s="10">
        <f t="shared" si="54"/>
        <v>0</v>
      </c>
      <c r="P517" s="10">
        <f>IFERROR(SUMIFS('Base bordo'!G$2:G$746,'Base bordo'!C$2:C$746,A517,'Base bordo'!B$2:B$746,B517),0)</f>
        <v>11.1275</v>
      </c>
      <c r="Q517" s="10">
        <f>IFERROR(SUMIFS('Base bordo'!H$2:H$746,'Base bordo'!C$2:C$746,A517,'Base bordo'!B$2:B$746,B517,'Base bordo'!F$2:F$746,"DESLOCAMENTO VAZIO"),0)</f>
        <v>7195.82</v>
      </c>
      <c r="R517" s="10">
        <f>IFERROR(SUMIFS('Base bordo'!I$2:I$746,'Base bordo'!C$2:C$746,A517,'Base bordo'!B$2:B$746,B517,'Base bordo'!F$2:F$746,"DESLOCAMENTO VAZIO"),0)</f>
        <v>1363</v>
      </c>
      <c r="S517" s="30">
        <f t="shared" si="55"/>
        <v>5.2793983859134261</v>
      </c>
      <c r="T517" s="10">
        <f>IFERROR(SUMIFS('Base bordo'!H$2:H$746,'Base bordo'!C$2:C$746,A517,'Base bordo'!B$2:B$746,B517,'Base bordo'!F$2:F$746,"DESLOCAMENTO CARREGADO"),0)</f>
        <v>221650.07</v>
      </c>
      <c r="U517" s="10">
        <f>IFERROR(SUMIFS('Base bordo'!I$2:I$746,'Base bordo'!C$2:C$746,A517,'Base bordo'!B$2:B$746,B517,'Base bordo'!F$2:F$746,"DESLOCAMENTO CARREGADO"),0)</f>
        <v>9080</v>
      </c>
      <c r="V517" s="30">
        <f t="shared" si="56"/>
        <v>24.410800660792951</v>
      </c>
      <c r="W517" s="9">
        <f t="shared" si="57"/>
        <v>3.4024813400234659E-2</v>
      </c>
      <c r="X517" s="9">
        <f t="shared" si="58"/>
        <v>0.22666566813949424</v>
      </c>
      <c r="Y517" s="9">
        <f t="shared" si="59"/>
        <v>0.73930951846027115</v>
      </c>
    </row>
    <row r="518" spans="1:25" ht="15" customHeight="1" x14ac:dyDescent="0.35">
      <c r="A518" s="52">
        <v>8013461</v>
      </c>
      <c r="B518" s="51">
        <v>46124</v>
      </c>
      <c r="C518" s="7" t="s">
        <v>124</v>
      </c>
      <c r="D518" s="10">
        <f>IFERROR(SUMIFS('Base bordo'!G$2:G$746,'Base bordo'!C$2:C$746,A518,'Base bordo'!B$2:B$746,B518,'Base bordo'!F$2:F$746,"DESLOCAMENTO VAZIO"),0)</f>
        <v>2.7680555555555557</v>
      </c>
      <c r="E518" s="10">
        <f>IFERROR(SUMIFS('Base bordo'!G$2:G$746,'Base bordo'!C$2:C$746,A518,'Base bordo'!B$2:B$746,B518,'Base bordo'!F$2:F$746,"DESLOCAMENTO CARREGADO"),0)</f>
        <v>1.8997222222222223</v>
      </c>
      <c r="F518" s="10">
        <f>IFERROR(SUMIFS('Base bordo'!G$2:G$746,'Base bordo'!C$2:C$746,A518,'Base bordo'!B$2:B$746,B518,'Base bordo'!F$2:F$746,"DESLOCAMENTO"),0)</f>
        <v>0</v>
      </c>
      <c r="G518" s="10">
        <f>IFERROR(SUMIFS('Base bordo'!G$2:G$746,'Base bordo'!C$2:C$746,A518,'Base bordo'!B$2:B$746,B518,'Base bordo'!F$2:F$746,"CARREGAMENTO"),0)</f>
        <v>0</v>
      </c>
      <c r="H518" s="10">
        <f>IFERROR(SUMIFS('Base bordo'!G$2:G$746,'Base bordo'!C$2:C$746,A518,'Base bordo'!B$2:B$746,B518,'Base bordo'!F$2:F$746,"AGUARDANDO TRANSBORDO"),0)</f>
        <v>0.61305555555555558</v>
      </c>
      <c r="I518" s="10">
        <f>IFERROR(SUMIFS('Base bordo'!G$2:G$746,'Base bordo'!C$2:C$746,A518,'Base bordo'!B$2:B$746,B518,'Base bordo'!F$2:F$746,"PÁTIO INTERNO"),0)+IFERROR(SUMIFS('Base bordo'!G$2:G$746,'Base bordo'!C$2:C$746,A518,'Base bordo'!B$2:B$746,B518,'Base bordo'!F$2:F$746,"PÁTIO EXTERNO"),0)+IFERROR(SUMIFS('Base bordo'!G$2:G$746,'Base bordo'!C$2:C$746,A518,'Base bordo'!B$2:B$746,B518,'Base bordo'!F$2:F$746,"PATIO - RESERVA"),0)+IFERROR(SUMIFS('Base bordo'!G$2:G$746,'Base bordo'!C$2:C$746,A518,'Base bordo'!B$2:B$746,B518,'Base bordo'!F$2:F$746,"MANOBRA CARRETAS-PATIO"),0)</f>
        <v>4.3969444444444443</v>
      </c>
      <c r="J518" s="10">
        <f>IFERROR(SUMIFS('Base bordo'!G$2:G$746,'Base bordo'!C$2:C$746,A518,'Base bordo'!B$2:B$746,B518,'Base bordo'!F$2:F$746,"BALANÇA - ENTRADA"),0)+IFERROR(SUMIFS('Base bordo'!G$2:G$746,'Base bordo'!C$2:C$746,A518,'Base bordo'!B$2:B$746,B518,'Base bordo'!F$2:F$746,"BALANÇA - SAÍDA"),0)</f>
        <v>0.3175</v>
      </c>
      <c r="K518" s="10">
        <f>IFERROR(SUMIFS('Base bordo'!G$2:G$746,'Base bordo'!C$2:C$746,A518,'Base bordo'!B$2:B$746,B518,'Base bordo'!F$2:F$746,"MAN PREVENTIVA - MECANICA"),0)+IFERROR(SUMIFS('Base bordo'!G$2:G$746,'Base bordo'!C$2:C$746,A518,'Base bordo'!B$2:B$746,B518,'Base bordo'!F$2:F$746,"MAN CORRETIVA - MECANICA"),0)</f>
        <v>0</v>
      </c>
      <c r="L518" s="10">
        <f>IFERROR(SUMIFS('Base bordo'!G$2:G$746,'Base bordo'!C$2:C$746,A518,'Base bordo'!B$2:B$746,B518,'Base bordo'!F$2:F$746,"MANUTENCAO - T O"),0)+IFERROR(SUMIFS('Base bordo'!G$2:G$746,'Base bordo'!C$2:C$746,A518,'Base bordo'!B$2:B$746,B518,'Base bordo'!F$2:F$746,"MANUTENCAO BORRACHARIA"),0)+IFERROR(SUMIFS('Base bordo'!G$2:G$746,'Base bordo'!C$2:C$746,A518,'Base bordo'!B$2:B$746,B518,'Base bordo'!F$2:F$746,"MANUTENCAO EXTERNA  CONCESSIONARIA"),0)+IFERROR(SUMIFS('Base bordo'!G$2:G$746,'Base bordo'!C$2:C$746,A518,'Base bordo'!B$2:B$746,B518,'Base bordo'!F$2:F$746,"MANUTENCAO TELEMETRIA"),0)</f>
        <v>0</v>
      </c>
      <c r="M518" s="10">
        <f>IFERROR(SUMIFS('Base bordo'!G$2:G$746,'Base bordo'!C$2:C$746,A518,'Base bordo'!B$2:B$746,B518,'Base bordo'!F$2:F$746,"AGUARDANDO MANUTENCAO"),0)</f>
        <v>0</v>
      </c>
      <c r="N518" s="10">
        <f>IFERROR(SUMIFS('Base bordo'!G$2:G$746,'Base bordo'!C$2:C$746,A518,'Base bordo'!B$2:B$746,B518,'Base bordo'!F$2:F$746,"SEM APONTAMENTO"),0)</f>
        <v>0</v>
      </c>
      <c r="O518" s="10">
        <f t="shared" si="54"/>
        <v>1.7763568394002505E-15</v>
      </c>
      <c r="P518" s="10">
        <f>IFERROR(SUMIFS('Base bordo'!G$2:G$746,'Base bordo'!C$2:C$746,A518,'Base bordo'!B$2:B$746,B518),0)</f>
        <v>9.9952777777777797</v>
      </c>
      <c r="Q518" s="10">
        <f>IFERROR(SUMIFS('Base bordo'!H$2:H$746,'Base bordo'!C$2:C$746,A518,'Base bordo'!B$2:B$746,B518,'Base bordo'!F$2:F$746,"DESLOCAMENTO VAZIO"),0)</f>
        <v>281004.56</v>
      </c>
      <c r="R518" s="10">
        <f>IFERROR(SUMIFS('Base bordo'!I$2:I$746,'Base bordo'!C$2:C$746,A518,'Base bordo'!B$2:B$746,B518,'Base bordo'!F$2:F$746,"DESLOCAMENTO VAZIO"),0)</f>
        <v>9965</v>
      </c>
      <c r="S518" s="30">
        <f t="shared" si="55"/>
        <v>28.199153035624686</v>
      </c>
      <c r="T518" s="10">
        <f>IFERROR(SUMIFS('Base bordo'!H$2:H$746,'Base bordo'!C$2:C$746,A518,'Base bordo'!B$2:B$746,B518,'Base bordo'!F$2:F$746,"DESLOCAMENTO CARREGADO"),0)</f>
        <v>117740.31000000001</v>
      </c>
      <c r="U518" s="10">
        <f>IFERROR(SUMIFS('Base bordo'!I$2:I$746,'Base bordo'!C$2:C$746,A518,'Base bordo'!B$2:B$746,B518,'Base bordo'!F$2:F$746,"DESLOCAMENTO CARREGADO"),0)</f>
        <v>6839</v>
      </c>
      <c r="V518" s="30">
        <f t="shared" si="56"/>
        <v>17.216012574937857</v>
      </c>
      <c r="W518" s="9">
        <f t="shared" si="57"/>
        <v>0.27693633104521576</v>
      </c>
      <c r="X518" s="9">
        <f t="shared" si="58"/>
        <v>0.19006197370980737</v>
      </c>
      <c r="Y518" s="9">
        <f t="shared" si="59"/>
        <v>0.53300169524497676</v>
      </c>
    </row>
    <row r="519" spans="1:25" ht="15" customHeight="1" x14ac:dyDescent="0.35">
      <c r="A519" s="52">
        <v>8013473</v>
      </c>
      <c r="B519" s="51">
        <v>46124</v>
      </c>
      <c r="C519" s="7" t="s">
        <v>124</v>
      </c>
      <c r="D519" s="10">
        <f>IFERROR(SUMIFS('Base bordo'!G$2:G$746,'Base bordo'!C$2:C$746,A519,'Base bordo'!B$2:B$746,B519,'Base bordo'!F$2:F$746,"DESLOCAMENTO VAZIO"),0)</f>
        <v>3.3650000000000002</v>
      </c>
      <c r="E519" s="10">
        <f>IFERROR(SUMIFS('Base bordo'!G$2:G$746,'Base bordo'!C$2:C$746,A519,'Base bordo'!B$2:B$746,B519,'Base bordo'!F$2:F$746,"DESLOCAMENTO CARREGADO"),0)</f>
        <v>4.0566666666666666</v>
      </c>
      <c r="F519" s="10">
        <f>IFERROR(SUMIFS('Base bordo'!G$2:G$746,'Base bordo'!C$2:C$746,A519,'Base bordo'!B$2:B$746,B519,'Base bordo'!F$2:F$746,"DESLOCAMENTO"),0)</f>
        <v>0</v>
      </c>
      <c r="G519" s="10">
        <f>IFERROR(SUMIFS('Base bordo'!G$2:G$746,'Base bordo'!C$2:C$746,A519,'Base bordo'!B$2:B$746,B519,'Base bordo'!F$2:F$746,"CARREGAMENTO"),0)</f>
        <v>0</v>
      </c>
      <c r="H519" s="10">
        <f>IFERROR(SUMIFS('Base bordo'!G$2:G$746,'Base bordo'!C$2:C$746,A519,'Base bordo'!B$2:B$746,B519,'Base bordo'!F$2:F$746,"AGUARDANDO TRANSBORDO"),0)</f>
        <v>0.39333333333333331</v>
      </c>
      <c r="I519" s="10">
        <f>IFERROR(SUMIFS('Base bordo'!G$2:G$746,'Base bordo'!C$2:C$746,A519,'Base bordo'!B$2:B$746,B519,'Base bordo'!F$2:F$746,"PÁTIO INTERNO"),0)+IFERROR(SUMIFS('Base bordo'!G$2:G$746,'Base bordo'!C$2:C$746,A519,'Base bordo'!B$2:B$746,B519,'Base bordo'!F$2:F$746,"PÁTIO EXTERNO"),0)+IFERROR(SUMIFS('Base bordo'!G$2:G$746,'Base bordo'!C$2:C$746,A519,'Base bordo'!B$2:B$746,B519,'Base bordo'!F$2:F$746,"PATIO - RESERVA"),0)+IFERROR(SUMIFS('Base bordo'!G$2:G$746,'Base bordo'!C$2:C$746,A519,'Base bordo'!B$2:B$746,B519,'Base bordo'!F$2:F$746,"MANOBRA CARRETAS-PATIO"),0)</f>
        <v>4.1744444444444442</v>
      </c>
      <c r="J519" s="10">
        <f>IFERROR(SUMIFS('Base bordo'!G$2:G$746,'Base bordo'!C$2:C$746,A519,'Base bordo'!B$2:B$746,B519,'Base bordo'!F$2:F$746,"BALANÇA - ENTRADA"),0)+IFERROR(SUMIFS('Base bordo'!G$2:G$746,'Base bordo'!C$2:C$746,A519,'Base bordo'!B$2:B$746,B519,'Base bordo'!F$2:F$746,"BALANÇA - SAÍDA"),0)</f>
        <v>0.27249999999999996</v>
      </c>
      <c r="K519" s="10">
        <f>IFERROR(SUMIFS('Base bordo'!G$2:G$746,'Base bordo'!C$2:C$746,A519,'Base bordo'!B$2:B$746,B519,'Base bordo'!F$2:F$746,"MAN PREVENTIVA - MECANICA"),0)+IFERROR(SUMIFS('Base bordo'!G$2:G$746,'Base bordo'!C$2:C$746,A519,'Base bordo'!B$2:B$746,B519,'Base bordo'!F$2:F$746,"MAN CORRETIVA - MECANICA"),0)</f>
        <v>0</v>
      </c>
      <c r="L519" s="10">
        <f>IFERROR(SUMIFS('Base bordo'!G$2:G$746,'Base bordo'!C$2:C$746,A519,'Base bordo'!B$2:B$746,B519,'Base bordo'!F$2:F$746,"MANUTENCAO - T O"),0)+IFERROR(SUMIFS('Base bordo'!G$2:G$746,'Base bordo'!C$2:C$746,A519,'Base bordo'!B$2:B$746,B519,'Base bordo'!F$2:F$746,"MANUTENCAO BORRACHARIA"),0)+IFERROR(SUMIFS('Base bordo'!G$2:G$746,'Base bordo'!C$2:C$746,A519,'Base bordo'!B$2:B$746,B519,'Base bordo'!F$2:F$746,"MANUTENCAO EXTERNA  CONCESSIONARIA"),0)+IFERROR(SUMIFS('Base bordo'!G$2:G$746,'Base bordo'!C$2:C$746,A519,'Base bordo'!B$2:B$746,B519,'Base bordo'!F$2:F$746,"MANUTENCAO TELEMETRIA"),0)</f>
        <v>0</v>
      </c>
      <c r="M519" s="10">
        <f>IFERROR(SUMIFS('Base bordo'!G$2:G$746,'Base bordo'!C$2:C$746,A519,'Base bordo'!B$2:B$746,B519,'Base bordo'!F$2:F$746,"AGUARDANDO MANUTENCAO"),0)</f>
        <v>0</v>
      </c>
      <c r="N519" s="10">
        <f>IFERROR(SUMIFS('Base bordo'!G$2:G$746,'Base bordo'!C$2:C$746,A519,'Base bordo'!B$2:B$746,B519,'Base bordo'!F$2:F$746,"SEM APONTAMENTO"),0)</f>
        <v>0</v>
      </c>
      <c r="O519" s="10">
        <f t="shared" si="54"/>
        <v>0.26305555555555138</v>
      </c>
      <c r="P519" s="10">
        <f>IFERROR(SUMIFS('Base bordo'!G$2:G$746,'Base bordo'!C$2:C$746,A519,'Base bordo'!B$2:B$746,B519),0)</f>
        <v>12.524999999999997</v>
      </c>
      <c r="Q519" s="10">
        <f>IFERROR(SUMIFS('Base bordo'!H$2:H$746,'Base bordo'!C$2:C$746,A519,'Base bordo'!B$2:B$746,B519,'Base bordo'!F$2:F$746,"DESLOCAMENTO VAZIO"),0)</f>
        <v>427465.79</v>
      </c>
      <c r="R519" s="10">
        <f>IFERROR(SUMIFS('Base bordo'!I$2:I$746,'Base bordo'!C$2:C$746,A519,'Base bordo'!B$2:B$746,B519,'Base bordo'!F$2:F$746,"DESLOCAMENTO VAZIO"),0)</f>
        <v>12114</v>
      </c>
      <c r="S519" s="30">
        <f t="shared" si="55"/>
        <v>35.286923394419681</v>
      </c>
      <c r="T519" s="10">
        <f>IFERROR(SUMIFS('Base bordo'!H$2:H$746,'Base bordo'!C$2:C$746,A519,'Base bordo'!B$2:B$746,B519,'Base bordo'!F$2:F$746,"DESLOCAMENTO CARREGADO"),0)</f>
        <v>388337.10000000003</v>
      </c>
      <c r="U519" s="10">
        <f>IFERROR(SUMIFS('Base bordo'!I$2:I$746,'Base bordo'!C$2:C$746,A519,'Base bordo'!B$2:B$746,B519,'Base bordo'!F$2:F$746,"DESLOCAMENTO CARREGADO"),0)</f>
        <v>14604</v>
      </c>
      <c r="V519" s="30">
        <f t="shared" si="56"/>
        <v>26.591146261298277</v>
      </c>
      <c r="W519" s="9">
        <f t="shared" si="57"/>
        <v>0.26866267465069871</v>
      </c>
      <c r="X519" s="9">
        <f t="shared" si="58"/>
        <v>0.32388556220891557</v>
      </c>
      <c r="Y519" s="9">
        <f t="shared" si="59"/>
        <v>0.40745176314038578</v>
      </c>
    </row>
    <row r="520" spans="1:25" ht="15" customHeight="1" x14ac:dyDescent="0.35">
      <c r="A520" s="52">
        <v>8013472</v>
      </c>
      <c r="B520" s="51">
        <v>46119</v>
      </c>
      <c r="C520" s="7" t="s">
        <v>124</v>
      </c>
      <c r="D520" s="10">
        <f>IFERROR(SUMIFS('Base bordo'!G$2:G$746,'Base bordo'!C$2:C$746,A520,'Base bordo'!B$2:B$746,B520,'Base bordo'!F$2:F$746,"DESLOCAMENTO VAZIO"),0)</f>
        <v>0.42138888888888887</v>
      </c>
      <c r="E520" s="10">
        <f>IFERROR(SUMIFS('Base bordo'!G$2:G$746,'Base bordo'!C$2:C$746,A520,'Base bordo'!B$2:B$746,B520,'Base bordo'!F$2:F$746,"DESLOCAMENTO CARREGADO"),0)</f>
        <v>0</v>
      </c>
      <c r="F520" s="10">
        <f>IFERROR(SUMIFS('Base bordo'!G$2:G$746,'Base bordo'!C$2:C$746,A520,'Base bordo'!B$2:B$746,B520,'Base bordo'!F$2:F$746,"DESLOCAMENTO"),0)</f>
        <v>0</v>
      </c>
      <c r="G520" s="10">
        <f>IFERROR(SUMIFS('Base bordo'!G$2:G$746,'Base bordo'!C$2:C$746,A520,'Base bordo'!B$2:B$746,B520,'Base bordo'!F$2:F$746,"CARREGAMENTO"),0)</f>
        <v>0</v>
      </c>
      <c r="H520" s="10">
        <f>IFERROR(SUMIFS('Base bordo'!G$2:G$746,'Base bordo'!C$2:C$746,A520,'Base bordo'!B$2:B$746,B520,'Base bordo'!F$2:F$746,"AGUARDANDO TRANSBORDO"),0)</f>
        <v>0</v>
      </c>
      <c r="I520" s="10">
        <f>IFERROR(SUMIFS('Base bordo'!G$2:G$746,'Base bordo'!C$2:C$746,A520,'Base bordo'!B$2:B$746,B520,'Base bordo'!F$2:F$746,"PÁTIO INTERNO"),0)+IFERROR(SUMIFS('Base bordo'!G$2:G$746,'Base bordo'!C$2:C$746,A520,'Base bordo'!B$2:B$746,B520,'Base bordo'!F$2:F$746,"PÁTIO EXTERNO"),0)+IFERROR(SUMIFS('Base bordo'!G$2:G$746,'Base bordo'!C$2:C$746,A520,'Base bordo'!B$2:B$746,B520,'Base bordo'!F$2:F$746,"PATIO - RESERVA"),0)+IFERROR(SUMIFS('Base bordo'!G$2:G$746,'Base bordo'!C$2:C$746,A520,'Base bordo'!B$2:B$746,B520,'Base bordo'!F$2:F$746,"MANOBRA CARRETAS-PATIO"),0)</f>
        <v>2.1247222222222222</v>
      </c>
      <c r="J520" s="10">
        <f>IFERROR(SUMIFS('Base bordo'!G$2:G$746,'Base bordo'!C$2:C$746,A520,'Base bordo'!B$2:B$746,B520,'Base bordo'!F$2:F$746,"BALANÇA - ENTRADA"),0)+IFERROR(SUMIFS('Base bordo'!G$2:G$746,'Base bordo'!C$2:C$746,A520,'Base bordo'!B$2:B$746,B520,'Base bordo'!F$2:F$746,"BALANÇA - SAÍDA"),0)</f>
        <v>0.10361111111111111</v>
      </c>
      <c r="K520" s="10">
        <f>IFERROR(SUMIFS('Base bordo'!G$2:G$746,'Base bordo'!C$2:C$746,A520,'Base bordo'!B$2:B$746,B520,'Base bordo'!F$2:F$746,"MAN PREVENTIVA - MECANICA"),0)+IFERROR(SUMIFS('Base bordo'!G$2:G$746,'Base bordo'!C$2:C$746,A520,'Base bordo'!B$2:B$746,B520,'Base bordo'!F$2:F$746,"MAN CORRETIVA - MECANICA"),0)</f>
        <v>0</v>
      </c>
      <c r="L520" s="10">
        <f>IFERROR(SUMIFS('Base bordo'!G$2:G$746,'Base bordo'!C$2:C$746,A520,'Base bordo'!B$2:B$746,B520,'Base bordo'!F$2:F$746,"MANUTENCAO - T O"),0)+IFERROR(SUMIFS('Base bordo'!G$2:G$746,'Base bordo'!C$2:C$746,A520,'Base bordo'!B$2:B$746,B520,'Base bordo'!F$2:F$746,"MANUTENCAO BORRACHARIA"),0)+IFERROR(SUMIFS('Base bordo'!G$2:G$746,'Base bordo'!C$2:C$746,A520,'Base bordo'!B$2:B$746,B520,'Base bordo'!F$2:F$746,"MANUTENCAO EXTERNA  CONCESSIONARIA"),0)+IFERROR(SUMIFS('Base bordo'!G$2:G$746,'Base bordo'!C$2:C$746,A520,'Base bordo'!B$2:B$746,B520,'Base bordo'!F$2:F$746,"MANUTENCAO TELEMETRIA"),0)</f>
        <v>0</v>
      </c>
      <c r="M520" s="10">
        <f>IFERROR(SUMIFS('Base bordo'!G$2:G$746,'Base bordo'!C$2:C$746,A520,'Base bordo'!B$2:B$746,B520,'Base bordo'!F$2:F$746,"AGUARDANDO MANUTENCAO"),0)</f>
        <v>0</v>
      </c>
      <c r="N520" s="10">
        <f>IFERROR(SUMIFS('Base bordo'!G$2:G$746,'Base bordo'!C$2:C$746,A520,'Base bordo'!B$2:B$746,B520,'Base bordo'!F$2:F$746,"SEM APONTAMENTO"),0)</f>
        <v>0</v>
      </c>
      <c r="O520" s="10">
        <f t="shared" si="54"/>
        <v>-4.4408920985006262E-16</v>
      </c>
      <c r="P520" s="10">
        <f>IFERROR(SUMIFS('Base bordo'!G$2:G$746,'Base bordo'!C$2:C$746,A520,'Base bordo'!B$2:B$746,B520),0)</f>
        <v>2.6497222222222221</v>
      </c>
      <c r="Q520" s="10">
        <f>IFERROR(SUMIFS('Base bordo'!H$2:H$746,'Base bordo'!C$2:C$746,A520,'Base bordo'!B$2:B$746,B520,'Base bordo'!F$2:F$746,"DESLOCAMENTO VAZIO"),0)</f>
        <v>15178.23</v>
      </c>
      <c r="R520" s="10">
        <f>IFERROR(SUMIFS('Base bordo'!I$2:I$746,'Base bordo'!C$2:C$746,A520,'Base bordo'!B$2:B$746,B520,'Base bordo'!F$2:F$746,"DESLOCAMENTO VAZIO"),0)</f>
        <v>1517</v>
      </c>
      <c r="S520" s="30">
        <f t="shared" si="55"/>
        <v>10.00542518127884</v>
      </c>
      <c r="T520" s="10">
        <f>IFERROR(SUMIFS('Base bordo'!H$2:H$746,'Base bordo'!C$2:C$746,A520,'Base bordo'!B$2:B$746,B520,'Base bordo'!F$2:F$746,"DESLOCAMENTO CARREGADO"),0)</f>
        <v>0</v>
      </c>
      <c r="U520" s="10">
        <f>IFERROR(SUMIFS('Base bordo'!I$2:I$746,'Base bordo'!C$2:C$746,A520,'Base bordo'!B$2:B$746,B520,'Base bordo'!F$2:F$746,"DESLOCAMENTO CARREGADO"),0)</f>
        <v>0</v>
      </c>
      <c r="V520" s="30" t="str">
        <f t="shared" si="56"/>
        <v/>
      </c>
      <c r="W520" s="9">
        <f t="shared" si="57"/>
        <v>0.15903134500471747</v>
      </c>
      <c r="X520" s="9">
        <f t="shared" si="58"/>
        <v>0</v>
      </c>
      <c r="Y520" s="9">
        <f t="shared" si="59"/>
        <v>0.84096865499528251</v>
      </c>
    </row>
    <row r="521" spans="1:25" ht="15" customHeight="1" x14ac:dyDescent="0.35">
      <c r="A521" s="52">
        <v>8013484</v>
      </c>
      <c r="B521" s="51">
        <v>46118</v>
      </c>
      <c r="C521" s="7" t="s">
        <v>124</v>
      </c>
      <c r="D521" s="10">
        <f>IFERROR(SUMIFS('Base bordo'!G$2:G$746,'Base bordo'!C$2:C$746,A521,'Base bordo'!B$2:B$746,B521,'Base bordo'!F$2:F$746,"DESLOCAMENTO VAZIO"),0)</f>
        <v>0.14777777777777779</v>
      </c>
      <c r="E521" s="10">
        <f>IFERROR(SUMIFS('Base bordo'!G$2:G$746,'Base bordo'!C$2:C$746,A521,'Base bordo'!B$2:B$746,B521,'Base bordo'!F$2:F$746,"DESLOCAMENTO CARREGADO"),0)</f>
        <v>3.3405555555555555</v>
      </c>
      <c r="F521" s="10">
        <f>IFERROR(SUMIFS('Base bordo'!G$2:G$746,'Base bordo'!C$2:C$746,A521,'Base bordo'!B$2:B$746,B521,'Base bordo'!F$2:F$746,"DESLOCAMENTO"),0)</f>
        <v>0</v>
      </c>
      <c r="G521" s="10">
        <f>IFERROR(SUMIFS('Base bordo'!G$2:G$746,'Base bordo'!C$2:C$746,A521,'Base bordo'!B$2:B$746,B521,'Base bordo'!F$2:F$746,"CARREGAMENTO"),0)</f>
        <v>0</v>
      </c>
      <c r="H521" s="10">
        <f>IFERROR(SUMIFS('Base bordo'!G$2:G$746,'Base bordo'!C$2:C$746,A521,'Base bordo'!B$2:B$746,B521,'Base bordo'!F$2:F$746,"AGUARDANDO TRANSBORDO"),0)</f>
        <v>0</v>
      </c>
      <c r="I521" s="10">
        <f>IFERROR(SUMIFS('Base bordo'!G$2:G$746,'Base bordo'!C$2:C$746,A521,'Base bordo'!B$2:B$746,B521,'Base bordo'!F$2:F$746,"PÁTIO INTERNO"),0)+IFERROR(SUMIFS('Base bordo'!G$2:G$746,'Base bordo'!C$2:C$746,A521,'Base bordo'!B$2:B$746,B521,'Base bordo'!F$2:F$746,"PÁTIO EXTERNO"),0)+IFERROR(SUMIFS('Base bordo'!G$2:G$746,'Base bordo'!C$2:C$746,A521,'Base bordo'!B$2:B$746,B521,'Base bordo'!F$2:F$746,"PATIO - RESERVA"),0)+IFERROR(SUMIFS('Base bordo'!G$2:G$746,'Base bordo'!C$2:C$746,A521,'Base bordo'!B$2:B$746,B521,'Base bordo'!F$2:F$746,"MANOBRA CARRETAS-PATIO"),0)</f>
        <v>6.0491666666666664</v>
      </c>
      <c r="J521" s="10">
        <f>IFERROR(SUMIFS('Base bordo'!G$2:G$746,'Base bordo'!C$2:C$746,A521,'Base bordo'!B$2:B$746,B521,'Base bordo'!F$2:F$746,"BALANÇA - ENTRADA"),0)+IFERROR(SUMIFS('Base bordo'!G$2:G$746,'Base bordo'!C$2:C$746,A521,'Base bordo'!B$2:B$746,B521,'Base bordo'!F$2:F$746,"BALANÇA - SAÍDA"),0)</f>
        <v>4.1944444444444444E-2</v>
      </c>
      <c r="K521" s="10">
        <f>IFERROR(SUMIFS('Base bordo'!G$2:G$746,'Base bordo'!C$2:C$746,A521,'Base bordo'!B$2:B$746,B521,'Base bordo'!F$2:F$746,"MAN PREVENTIVA - MECANICA"),0)+IFERROR(SUMIFS('Base bordo'!G$2:G$746,'Base bordo'!C$2:C$746,A521,'Base bordo'!B$2:B$746,B521,'Base bordo'!F$2:F$746,"MAN CORRETIVA - MECANICA"),0)</f>
        <v>0</v>
      </c>
      <c r="L521" s="10">
        <f>IFERROR(SUMIFS('Base bordo'!G$2:G$746,'Base bordo'!C$2:C$746,A521,'Base bordo'!B$2:B$746,B521,'Base bordo'!F$2:F$746,"MANUTENCAO - T O"),0)+IFERROR(SUMIFS('Base bordo'!G$2:G$746,'Base bordo'!C$2:C$746,A521,'Base bordo'!B$2:B$746,B521,'Base bordo'!F$2:F$746,"MANUTENCAO BORRACHARIA"),0)+IFERROR(SUMIFS('Base bordo'!G$2:G$746,'Base bordo'!C$2:C$746,A521,'Base bordo'!B$2:B$746,B521,'Base bordo'!F$2:F$746,"MANUTENCAO EXTERNA  CONCESSIONARIA"),0)+IFERROR(SUMIFS('Base bordo'!G$2:G$746,'Base bordo'!C$2:C$746,A521,'Base bordo'!B$2:B$746,B521,'Base bordo'!F$2:F$746,"MANUTENCAO TELEMETRIA"),0)</f>
        <v>0</v>
      </c>
      <c r="M521" s="10">
        <f>IFERROR(SUMIFS('Base bordo'!G$2:G$746,'Base bordo'!C$2:C$746,A521,'Base bordo'!B$2:B$746,B521,'Base bordo'!F$2:F$746,"AGUARDANDO MANUTENCAO"),0)</f>
        <v>0</v>
      </c>
      <c r="N521" s="10">
        <f>IFERROR(SUMIFS('Base bordo'!G$2:G$746,'Base bordo'!C$2:C$746,A521,'Base bordo'!B$2:B$746,B521,'Base bordo'!F$2:F$746,"SEM APONTAMENTO"),0)</f>
        <v>0</v>
      </c>
      <c r="O521" s="10">
        <f t="shared" si="54"/>
        <v>0</v>
      </c>
      <c r="P521" s="10">
        <f>IFERROR(SUMIFS('Base bordo'!G$2:G$746,'Base bordo'!C$2:C$746,A521,'Base bordo'!B$2:B$746,B521),0)</f>
        <v>9.5794444444444444</v>
      </c>
      <c r="Q521" s="10">
        <f>IFERROR(SUMIFS('Base bordo'!H$2:H$746,'Base bordo'!C$2:C$746,A521,'Base bordo'!B$2:B$746,B521,'Base bordo'!F$2:F$746,"DESLOCAMENTO VAZIO"),0)</f>
        <v>4979.08</v>
      </c>
      <c r="R521" s="10">
        <f>IFERROR(SUMIFS('Base bordo'!I$2:I$746,'Base bordo'!C$2:C$746,A521,'Base bordo'!B$2:B$746,B521,'Base bordo'!F$2:F$746,"DESLOCAMENTO VAZIO"),0)</f>
        <v>532</v>
      </c>
      <c r="S521" s="30">
        <f t="shared" si="55"/>
        <v>9.3591729323308268</v>
      </c>
      <c r="T521" s="10">
        <f>IFERROR(SUMIFS('Base bordo'!H$2:H$746,'Base bordo'!C$2:C$746,A521,'Base bordo'!B$2:B$746,B521,'Base bordo'!F$2:F$746,"DESLOCAMENTO CARREGADO"),0)</f>
        <v>214024.57</v>
      </c>
      <c r="U521" s="10">
        <f>IFERROR(SUMIFS('Base bordo'!I$2:I$746,'Base bordo'!C$2:C$746,A521,'Base bordo'!B$2:B$746,B521,'Base bordo'!F$2:F$746,"DESLOCAMENTO CARREGADO"),0)</f>
        <v>12026</v>
      </c>
      <c r="V521" s="30">
        <f t="shared" si="56"/>
        <v>17.796821054382171</v>
      </c>
      <c r="W521" s="9">
        <f t="shared" si="57"/>
        <v>1.5426549904308995E-2</v>
      </c>
      <c r="X521" s="9">
        <f t="shared" si="58"/>
        <v>0.34872122020530072</v>
      </c>
      <c r="Y521" s="9">
        <f t="shared" si="59"/>
        <v>0.63585222989039036</v>
      </c>
    </row>
    <row r="522" spans="1:25" ht="15" customHeight="1" x14ac:dyDescent="0.35">
      <c r="A522" s="52">
        <v>8013462</v>
      </c>
      <c r="B522" s="51">
        <v>46118</v>
      </c>
      <c r="C522" s="7" t="s">
        <v>124</v>
      </c>
      <c r="D522" s="10">
        <f>IFERROR(SUMIFS('Base bordo'!G$2:G$746,'Base bordo'!C$2:C$746,A522,'Base bordo'!B$2:B$746,B522,'Base bordo'!F$2:F$746,"DESLOCAMENTO VAZIO"),0)</f>
        <v>2.9716666666666667</v>
      </c>
      <c r="E522" s="10">
        <f>IFERROR(SUMIFS('Base bordo'!G$2:G$746,'Base bordo'!C$2:C$746,A522,'Base bordo'!B$2:B$746,B522,'Base bordo'!F$2:F$746,"DESLOCAMENTO CARREGADO"),0)</f>
        <v>3.6794444444444445</v>
      </c>
      <c r="F522" s="10">
        <f>IFERROR(SUMIFS('Base bordo'!G$2:G$746,'Base bordo'!C$2:C$746,A522,'Base bordo'!B$2:B$746,B522,'Base bordo'!F$2:F$746,"DESLOCAMENTO"),0)</f>
        <v>0.29694444444444446</v>
      </c>
      <c r="G522" s="10">
        <f>IFERROR(SUMIFS('Base bordo'!G$2:G$746,'Base bordo'!C$2:C$746,A522,'Base bordo'!B$2:B$746,B522,'Base bordo'!F$2:F$746,"CARREGAMENTO"),0)</f>
        <v>0.64583333333333337</v>
      </c>
      <c r="H522" s="10">
        <f>IFERROR(SUMIFS('Base bordo'!G$2:G$746,'Base bordo'!C$2:C$746,A522,'Base bordo'!B$2:B$746,B522,'Base bordo'!F$2:F$746,"AGUARDANDO TRANSBORDO"),0)</f>
        <v>9.6666666666666665E-2</v>
      </c>
      <c r="I522" s="10">
        <f>IFERROR(SUMIFS('Base bordo'!G$2:G$746,'Base bordo'!C$2:C$746,A522,'Base bordo'!B$2:B$746,B522,'Base bordo'!F$2:F$746,"PÁTIO INTERNO"),0)+IFERROR(SUMIFS('Base bordo'!G$2:G$746,'Base bordo'!C$2:C$746,A522,'Base bordo'!B$2:B$746,B522,'Base bordo'!F$2:F$746,"PÁTIO EXTERNO"),0)+IFERROR(SUMIFS('Base bordo'!G$2:G$746,'Base bordo'!C$2:C$746,A522,'Base bordo'!B$2:B$746,B522,'Base bordo'!F$2:F$746,"PATIO - RESERVA"),0)+IFERROR(SUMIFS('Base bordo'!G$2:G$746,'Base bordo'!C$2:C$746,A522,'Base bordo'!B$2:B$746,B522,'Base bordo'!F$2:F$746,"MANOBRA CARRETAS-PATIO"),0)</f>
        <v>9.5841666666666665</v>
      </c>
      <c r="J522" s="10">
        <f>IFERROR(SUMIFS('Base bordo'!G$2:G$746,'Base bordo'!C$2:C$746,A522,'Base bordo'!B$2:B$746,B522,'Base bordo'!F$2:F$746,"BALANÇA - ENTRADA"),0)+IFERROR(SUMIFS('Base bordo'!G$2:G$746,'Base bordo'!C$2:C$746,A522,'Base bordo'!B$2:B$746,B522,'Base bordo'!F$2:F$746,"BALANÇA - SAÍDA"),0)</f>
        <v>4.1944444444444444E-2</v>
      </c>
      <c r="K522" s="10">
        <f>IFERROR(SUMIFS('Base bordo'!G$2:G$746,'Base bordo'!C$2:C$746,A522,'Base bordo'!B$2:B$746,B522,'Base bordo'!F$2:F$746,"MAN PREVENTIVA - MECANICA"),0)+IFERROR(SUMIFS('Base bordo'!G$2:G$746,'Base bordo'!C$2:C$746,A522,'Base bordo'!B$2:B$746,B522,'Base bordo'!F$2:F$746,"MAN CORRETIVA - MECANICA"),0)</f>
        <v>0</v>
      </c>
      <c r="L522" s="10">
        <f>IFERROR(SUMIFS('Base bordo'!G$2:G$746,'Base bordo'!C$2:C$746,A522,'Base bordo'!B$2:B$746,B522,'Base bordo'!F$2:F$746,"MANUTENCAO - T O"),0)+IFERROR(SUMIFS('Base bordo'!G$2:G$746,'Base bordo'!C$2:C$746,A522,'Base bordo'!B$2:B$746,B522,'Base bordo'!F$2:F$746,"MANUTENCAO BORRACHARIA"),0)+IFERROR(SUMIFS('Base bordo'!G$2:G$746,'Base bordo'!C$2:C$746,A522,'Base bordo'!B$2:B$746,B522,'Base bordo'!F$2:F$746,"MANUTENCAO EXTERNA  CONCESSIONARIA"),0)+IFERROR(SUMIFS('Base bordo'!G$2:G$746,'Base bordo'!C$2:C$746,A522,'Base bordo'!B$2:B$746,B522,'Base bordo'!F$2:F$746,"MANUTENCAO TELEMETRIA"),0)</f>
        <v>1.6502777777777777</v>
      </c>
      <c r="M522" s="10">
        <f>IFERROR(SUMIFS('Base bordo'!G$2:G$746,'Base bordo'!C$2:C$746,A522,'Base bordo'!B$2:B$746,B522,'Base bordo'!F$2:F$746,"AGUARDANDO MANUTENCAO"),0)</f>
        <v>3.7263888888888888</v>
      </c>
      <c r="N522" s="10">
        <f>IFERROR(SUMIFS('Base bordo'!G$2:G$746,'Base bordo'!C$2:C$746,A522,'Base bordo'!B$2:B$746,B522,'Base bordo'!F$2:F$746,"SEM APONTAMENTO"),0)</f>
        <v>0</v>
      </c>
      <c r="O522" s="10">
        <f t="shared" si="54"/>
        <v>1.3066666666666684</v>
      </c>
      <c r="P522" s="10">
        <f>IFERROR(SUMIFS('Base bordo'!G$2:G$746,'Base bordo'!C$2:C$746,A522,'Base bordo'!B$2:B$746,B522),0)</f>
        <v>24</v>
      </c>
      <c r="Q522" s="10">
        <f>IFERROR(SUMIFS('Base bordo'!H$2:H$746,'Base bordo'!C$2:C$746,A522,'Base bordo'!B$2:B$746,B522,'Base bordo'!F$2:F$746,"DESLOCAMENTO VAZIO"),0)</f>
        <v>362928.54000000004</v>
      </c>
      <c r="R522" s="10">
        <f>IFERROR(SUMIFS('Base bordo'!I$2:I$746,'Base bordo'!C$2:C$746,A522,'Base bordo'!B$2:B$746,B522,'Base bordo'!F$2:F$746,"DESLOCAMENTO VAZIO"),0)</f>
        <v>10698</v>
      </c>
      <c r="S522" s="30">
        <f t="shared" si="55"/>
        <v>33.924896242288284</v>
      </c>
      <c r="T522" s="10">
        <f>IFERROR(SUMIFS('Base bordo'!H$2:H$746,'Base bordo'!C$2:C$746,A522,'Base bordo'!B$2:B$746,B522,'Base bordo'!F$2:F$746,"DESLOCAMENTO CARREGADO"),0)</f>
        <v>342744.39</v>
      </c>
      <c r="U522" s="10">
        <f>IFERROR(SUMIFS('Base bordo'!I$2:I$746,'Base bordo'!C$2:C$746,A522,'Base bordo'!B$2:B$746,B522,'Base bordo'!F$2:F$746,"DESLOCAMENTO CARREGADO"),0)</f>
        <v>13234</v>
      </c>
      <c r="V522" s="30">
        <f t="shared" si="56"/>
        <v>25.89877512467886</v>
      </c>
      <c r="W522" s="9">
        <f t="shared" si="57"/>
        <v>0.12381944444444444</v>
      </c>
      <c r="X522" s="9">
        <f t="shared" si="58"/>
        <v>0.15331018518518519</v>
      </c>
      <c r="Y522" s="9">
        <f t="shared" si="59"/>
        <v>0.72287037037037027</v>
      </c>
    </row>
    <row r="523" spans="1:25" ht="15" customHeight="1" x14ac:dyDescent="0.35">
      <c r="A523" s="52">
        <v>8013486</v>
      </c>
      <c r="B523" s="51">
        <v>46122</v>
      </c>
      <c r="C523" s="7" t="s">
        <v>124</v>
      </c>
      <c r="D523" s="10">
        <f>IFERROR(SUMIFS('Base bordo'!G$2:G$746,'Base bordo'!C$2:C$746,A523,'Base bordo'!B$2:B$746,B523,'Base bordo'!F$2:F$746,"DESLOCAMENTO VAZIO"),0)</f>
        <v>0</v>
      </c>
      <c r="E523" s="10">
        <f>IFERROR(SUMIFS('Base bordo'!G$2:G$746,'Base bordo'!C$2:C$746,A523,'Base bordo'!B$2:B$746,B523,'Base bordo'!F$2:F$746,"DESLOCAMENTO CARREGADO"),0)</f>
        <v>0</v>
      </c>
      <c r="F523" s="10">
        <f>IFERROR(SUMIFS('Base bordo'!G$2:G$746,'Base bordo'!C$2:C$746,A523,'Base bordo'!B$2:B$746,B523,'Base bordo'!F$2:F$746,"DESLOCAMENTO"),0)</f>
        <v>0</v>
      </c>
      <c r="G523" s="10">
        <f>IFERROR(SUMIFS('Base bordo'!G$2:G$746,'Base bordo'!C$2:C$746,A523,'Base bordo'!B$2:B$746,B523,'Base bordo'!F$2:F$746,"CARREGAMENTO"),0)</f>
        <v>0</v>
      </c>
      <c r="H523" s="10">
        <f>IFERROR(SUMIFS('Base bordo'!G$2:G$746,'Base bordo'!C$2:C$746,A523,'Base bordo'!B$2:B$746,B523,'Base bordo'!F$2:F$746,"AGUARDANDO TRANSBORDO"),0)</f>
        <v>0</v>
      </c>
      <c r="I523" s="10">
        <f>IFERROR(SUMIFS('Base bordo'!G$2:G$746,'Base bordo'!C$2:C$746,A523,'Base bordo'!B$2:B$746,B523,'Base bordo'!F$2:F$746,"PÁTIO INTERNO"),0)+IFERROR(SUMIFS('Base bordo'!G$2:G$746,'Base bordo'!C$2:C$746,A523,'Base bordo'!B$2:B$746,B523,'Base bordo'!F$2:F$746,"PÁTIO EXTERNO"),0)+IFERROR(SUMIFS('Base bordo'!G$2:G$746,'Base bordo'!C$2:C$746,A523,'Base bordo'!B$2:B$746,B523,'Base bordo'!F$2:F$746,"PATIO - RESERVA"),0)+IFERROR(SUMIFS('Base bordo'!G$2:G$746,'Base bordo'!C$2:C$746,A523,'Base bordo'!B$2:B$746,B523,'Base bordo'!F$2:F$746,"MANOBRA CARRETAS-PATIO"),0)</f>
        <v>1.806111111111111</v>
      </c>
      <c r="J523" s="10">
        <f>IFERROR(SUMIFS('Base bordo'!G$2:G$746,'Base bordo'!C$2:C$746,A523,'Base bordo'!B$2:B$746,B523,'Base bordo'!F$2:F$746,"BALANÇA - ENTRADA"),0)+IFERROR(SUMIFS('Base bordo'!G$2:G$746,'Base bordo'!C$2:C$746,A523,'Base bordo'!B$2:B$746,B523,'Base bordo'!F$2:F$746,"BALANÇA - SAÍDA"),0)</f>
        <v>0</v>
      </c>
      <c r="K523" s="10">
        <f>IFERROR(SUMIFS('Base bordo'!G$2:G$746,'Base bordo'!C$2:C$746,A523,'Base bordo'!B$2:B$746,B523,'Base bordo'!F$2:F$746,"MAN PREVENTIVA - MECANICA"),0)+IFERROR(SUMIFS('Base bordo'!G$2:G$746,'Base bordo'!C$2:C$746,A523,'Base bordo'!B$2:B$746,B523,'Base bordo'!F$2:F$746,"MAN CORRETIVA - MECANICA"),0)</f>
        <v>0</v>
      </c>
      <c r="L523" s="10">
        <f>IFERROR(SUMIFS('Base bordo'!G$2:G$746,'Base bordo'!C$2:C$746,A523,'Base bordo'!B$2:B$746,B523,'Base bordo'!F$2:F$746,"MANUTENCAO - T O"),0)+IFERROR(SUMIFS('Base bordo'!G$2:G$746,'Base bordo'!C$2:C$746,A523,'Base bordo'!B$2:B$746,B523,'Base bordo'!F$2:F$746,"MANUTENCAO BORRACHARIA"),0)+IFERROR(SUMIFS('Base bordo'!G$2:G$746,'Base bordo'!C$2:C$746,A523,'Base bordo'!B$2:B$746,B523,'Base bordo'!F$2:F$746,"MANUTENCAO EXTERNA  CONCESSIONARIA"),0)+IFERROR(SUMIFS('Base bordo'!G$2:G$746,'Base bordo'!C$2:C$746,A523,'Base bordo'!B$2:B$746,B523,'Base bordo'!F$2:F$746,"MANUTENCAO TELEMETRIA"),0)</f>
        <v>0</v>
      </c>
      <c r="M523" s="10">
        <f>IFERROR(SUMIFS('Base bordo'!G$2:G$746,'Base bordo'!C$2:C$746,A523,'Base bordo'!B$2:B$746,B523,'Base bordo'!F$2:F$746,"AGUARDANDO MANUTENCAO"),0)</f>
        <v>0</v>
      </c>
      <c r="N523" s="10">
        <f>IFERROR(SUMIFS('Base bordo'!G$2:G$746,'Base bordo'!C$2:C$746,A523,'Base bordo'!B$2:B$746,B523,'Base bordo'!F$2:F$746,"SEM APONTAMENTO"),0)</f>
        <v>0</v>
      </c>
      <c r="O523" s="10">
        <f t="shared" si="54"/>
        <v>0</v>
      </c>
      <c r="P523" s="10">
        <f>IFERROR(SUMIFS('Base bordo'!G$2:G$746,'Base bordo'!C$2:C$746,A523,'Base bordo'!B$2:B$746,B523),0)</f>
        <v>1.806111111111111</v>
      </c>
      <c r="Q523" s="10">
        <f>IFERROR(SUMIFS('Base bordo'!H$2:H$746,'Base bordo'!C$2:C$746,A523,'Base bordo'!B$2:B$746,B523,'Base bordo'!F$2:F$746,"DESLOCAMENTO VAZIO"),0)</f>
        <v>0</v>
      </c>
      <c r="R523" s="10">
        <f>IFERROR(SUMIFS('Base bordo'!I$2:I$746,'Base bordo'!C$2:C$746,A523,'Base bordo'!B$2:B$746,B523,'Base bordo'!F$2:F$746,"DESLOCAMENTO VAZIO"),0)</f>
        <v>0</v>
      </c>
      <c r="S523" s="30" t="str">
        <f t="shared" si="55"/>
        <v/>
      </c>
      <c r="T523" s="10">
        <f>IFERROR(SUMIFS('Base bordo'!H$2:H$746,'Base bordo'!C$2:C$746,A523,'Base bordo'!B$2:B$746,B523,'Base bordo'!F$2:F$746,"DESLOCAMENTO CARREGADO"),0)</f>
        <v>0</v>
      </c>
      <c r="U523" s="10">
        <f>IFERROR(SUMIFS('Base bordo'!I$2:I$746,'Base bordo'!C$2:C$746,A523,'Base bordo'!B$2:B$746,B523,'Base bordo'!F$2:F$746,"DESLOCAMENTO CARREGADO"),0)</f>
        <v>0</v>
      </c>
      <c r="V523" s="30" t="str">
        <f t="shared" si="56"/>
        <v/>
      </c>
      <c r="W523" s="9">
        <f t="shared" si="57"/>
        <v>0</v>
      </c>
      <c r="X523" s="9">
        <f t="shared" si="58"/>
        <v>0</v>
      </c>
      <c r="Y523" s="9">
        <f t="shared" si="59"/>
        <v>1</v>
      </c>
    </row>
    <row r="524" spans="1:25" ht="15" customHeight="1" x14ac:dyDescent="0.35">
      <c r="A524" s="52">
        <v>8013486</v>
      </c>
      <c r="B524" s="51">
        <v>46119</v>
      </c>
      <c r="C524" s="7" t="s">
        <v>124</v>
      </c>
      <c r="D524" s="10">
        <f>IFERROR(SUMIFS('Base bordo'!G$2:G$746,'Base bordo'!C$2:C$746,A524,'Base bordo'!B$2:B$746,B524,'Base bordo'!F$2:F$746,"DESLOCAMENTO VAZIO"),0)</f>
        <v>0.33</v>
      </c>
      <c r="E524" s="10">
        <f>IFERROR(SUMIFS('Base bordo'!G$2:G$746,'Base bordo'!C$2:C$746,A524,'Base bordo'!B$2:B$746,B524,'Base bordo'!F$2:F$746,"DESLOCAMENTO CARREGADO"),0)</f>
        <v>0</v>
      </c>
      <c r="F524" s="10">
        <f>IFERROR(SUMIFS('Base bordo'!G$2:G$746,'Base bordo'!C$2:C$746,A524,'Base bordo'!B$2:B$746,B524,'Base bordo'!F$2:F$746,"DESLOCAMENTO"),0)</f>
        <v>0</v>
      </c>
      <c r="G524" s="10">
        <f>IFERROR(SUMIFS('Base bordo'!G$2:G$746,'Base bordo'!C$2:C$746,A524,'Base bordo'!B$2:B$746,B524,'Base bordo'!F$2:F$746,"CARREGAMENTO"),0)</f>
        <v>0</v>
      </c>
      <c r="H524" s="10">
        <f>IFERROR(SUMIFS('Base bordo'!G$2:G$746,'Base bordo'!C$2:C$746,A524,'Base bordo'!B$2:B$746,B524,'Base bordo'!F$2:F$746,"AGUARDANDO TRANSBORDO"),0)</f>
        <v>8.666666666666667E-2</v>
      </c>
      <c r="I524" s="10">
        <f>IFERROR(SUMIFS('Base bordo'!G$2:G$746,'Base bordo'!C$2:C$746,A524,'Base bordo'!B$2:B$746,B524,'Base bordo'!F$2:F$746,"PÁTIO INTERNO"),0)+IFERROR(SUMIFS('Base bordo'!G$2:G$746,'Base bordo'!C$2:C$746,A524,'Base bordo'!B$2:B$746,B524,'Base bordo'!F$2:F$746,"PÁTIO EXTERNO"),0)+IFERROR(SUMIFS('Base bordo'!G$2:G$746,'Base bordo'!C$2:C$746,A524,'Base bordo'!B$2:B$746,B524,'Base bordo'!F$2:F$746,"PATIO - RESERVA"),0)+IFERROR(SUMIFS('Base bordo'!G$2:G$746,'Base bordo'!C$2:C$746,A524,'Base bordo'!B$2:B$746,B524,'Base bordo'!F$2:F$746,"MANOBRA CARRETAS-PATIO"),0)</f>
        <v>12.1875</v>
      </c>
      <c r="J524" s="10">
        <f>IFERROR(SUMIFS('Base bordo'!G$2:G$746,'Base bordo'!C$2:C$746,A524,'Base bordo'!B$2:B$746,B524,'Base bordo'!F$2:F$746,"BALANÇA - ENTRADA"),0)+IFERROR(SUMIFS('Base bordo'!G$2:G$746,'Base bordo'!C$2:C$746,A524,'Base bordo'!B$2:B$746,B524,'Base bordo'!F$2:F$746,"BALANÇA - SAÍDA"),0)</f>
        <v>1.0555555555555556E-2</v>
      </c>
      <c r="K524" s="10">
        <f>IFERROR(SUMIFS('Base bordo'!G$2:G$746,'Base bordo'!C$2:C$746,A524,'Base bordo'!B$2:B$746,B524,'Base bordo'!F$2:F$746,"MAN PREVENTIVA - MECANICA"),0)+IFERROR(SUMIFS('Base bordo'!G$2:G$746,'Base bordo'!C$2:C$746,A524,'Base bordo'!B$2:B$746,B524,'Base bordo'!F$2:F$746,"MAN CORRETIVA - MECANICA"),0)</f>
        <v>0</v>
      </c>
      <c r="L524" s="10">
        <f>IFERROR(SUMIFS('Base bordo'!G$2:G$746,'Base bordo'!C$2:C$746,A524,'Base bordo'!B$2:B$746,B524,'Base bordo'!F$2:F$746,"MANUTENCAO - T O"),0)+IFERROR(SUMIFS('Base bordo'!G$2:G$746,'Base bordo'!C$2:C$746,A524,'Base bordo'!B$2:B$746,B524,'Base bordo'!F$2:F$746,"MANUTENCAO BORRACHARIA"),0)+IFERROR(SUMIFS('Base bordo'!G$2:G$746,'Base bordo'!C$2:C$746,A524,'Base bordo'!B$2:B$746,B524,'Base bordo'!F$2:F$746,"MANUTENCAO EXTERNA  CONCESSIONARIA"),0)+IFERROR(SUMIFS('Base bordo'!G$2:G$746,'Base bordo'!C$2:C$746,A524,'Base bordo'!B$2:B$746,B524,'Base bordo'!F$2:F$746,"MANUTENCAO TELEMETRIA"),0)</f>
        <v>0</v>
      </c>
      <c r="M524" s="10">
        <f>IFERROR(SUMIFS('Base bordo'!G$2:G$746,'Base bordo'!C$2:C$746,A524,'Base bordo'!B$2:B$746,B524,'Base bordo'!F$2:F$746,"AGUARDANDO MANUTENCAO"),0)</f>
        <v>0</v>
      </c>
      <c r="N524" s="10">
        <f>IFERROR(SUMIFS('Base bordo'!G$2:G$746,'Base bordo'!C$2:C$746,A524,'Base bordo'!B$2:B$746,B524,'Base bordo'!F$2:F$746,"SEM APONTAMENTO"),0)</f>
        <v>0</v>
      </c>
      <c r="O524" s="10">
        <f t="shared" si="54"/>
        <v>0</v>
      </c>
      <c r="P524" s="10">
        <f>IFERROR(SUMIFS('Base bordo'!G$2:G$746,'Base bordo'!C$2:C$746,A524,'Base bordo'!B$2:B$746,B524),0)</f>
        <v>12.614722222222222</v>
      </c>
      <c r="Q524" s="10">
        <f>IFERROR(SUMIFS('Base bordo'!H$2:H$746,'Base bordo'!C$2:C$746,A524,'Base bordo'!B$2:B$746,B524,'Base bordo'!F$2:F$746,"DESLOCAMENTO VAZIO"),0)</f>
        <v>7895.41</v>
      </c>
      <c r="R524" s="10">
        <f>IFERROR(SUMIFS('Base bordo'!I$2:I$746,'Base bordo'!C$2:C$746,A524,'Base bordo'!B$2:B$746,B524,'Base bordo'!F$2:F$746,"DESLOCAMENTO VAZIO"),0)</f>
        <v>1188</v>
      </c>
      <c r="S524" s="30">
        <f t="shared" si="55"/>
        <v>6.6459680134680132</v>
      </c>
      <c r="T524" s="10">
        <f>IFERROR(SUMIFS('Base bordo'!H$2:H$746,'Base bordo'!C$2:C$746,A524,'Base bordo'!B$2:B$746,B524,'Base bordo'!F$2:F$746,"DESLOCAMENTO CARREGADO"),0)</f>
        <v>0</v>
      </c>
      <c r="U524" s="10">
        <f>IFERROR(SUMIFS('Base bordo'!I$2:I$746,'Base bordo'!C$2:C$746,A524,'Base bordo'!B$2:B$746,B524,'Base bordo'!F$2:F$746,"DESLOCAMENTO CARREGADO"),0)</f>
        <v>0</v>
      </c>
      <c r="V524" s="30" t="str">
        <f t="shared" si="56"/>
        <v/>
      </c>
      <c r="W524" s="9">
        <f t="shared" si="57"/>
        <v>2.6159910157884308E-2</v>
      </c>
      <c r="X524" s="9">
        <f t="shared" si="58"/>
        <v>0</v>
      </c>
      <c r="Y524" s="9">
        <f t="shared" si="59"/>
        <v>0.97384008984211567</v>
      </c>
    </row>
    <row r="525" spans="1:25" ht="15" customHeight="1" x14ac:dyDescent="0.35">
      <c r="A525" s="52">
        <v>8013460</v>
      </c>
      <c r="B525" s="51">
        <v>46118</v>
      </c>
      <c r="C525" s="7" t="s">
        <v>124</v>
      </c>
      <c r="D525" s="10">
        <f>IFERROR(SUMIFS('Base bordo'!G$2:G$746,'Base bordo'!C$2:C$746,A525,'Base bordo'!B$2:B$746,B525,'Base bordo'!F$2:F$746,"DESLOCAMENTO VAZIO"),0)</f>
        <v>1.5016666666666667</v>
      </c>
      <c r="E525" s="10">
        <f>IFERROR(SUMIFS('Base bordo'!G$2:G$746,'Base bordo'!C$2:C$746,A525,'Base bordo'!B$2:B$746,B525,'Base bordo'!F$2:F$746,"DESLOCAMENTO CARREGADO"),0)</f>
        <v>1.5738888888888889</v>
      </c>
      <c r="F525" s="10">
        <f>IFERROR(SUMIFS('Base bordo'!G$2:G$746,'Base bordo'!C$2:C$746,A525,'Base bordo'!B$2:B$746,B525,'Base bordo'!F$2:F$746,"DESLOCAMENTO"),0)</f>
        <v>0.6744444444444444</v>
      </c>
      <c r="G525" s="10">
        <f>IFERROR(SUMIFS('Base bordo'!G$2:G$746,'Base bordo'!C$2:C$746,A525,'Base bordo'!B$2:B$746,B525,'Base bordo'!F$2:F$746,"CARREGAMENTO"),0)</f>
        <v>1.0088888888888889</v>
      </c>
      <c r="H525" s="10">
        <f>IFERROR(SUMIFS('Base bordo'!G$2:G$746,'Base bordo'!C$2:C$746,A525,'Base bordo'!B$2:B$746,B525,'Base bordo'!F$2:F$746,"AGUARDANDO TRANSBORDO"),0)</f>
        <v>8.4444444444444447E-2</v>
      </c>
      <c r="I525" s="10">
        <f>IFERROR(SUMIFS('Base bordo'!G$2:G$746,'Base bordo'!C$2:C$746,A525,'Base bordo'!B$2:B$746,B525,'Base bordo'!F$2:F$746,"PÁTIO INTERNO"),0)+IFERROR(SUMIFS('Base bordo'!G$2:G$746,'Base bordo'!C$2:C$746,A525,'Base bordo'!B$2:B$746,B525,'Base bordo'!F$2:F$746,"PÁTIO EXTERNO"),0)+IFERROR(SUMIFS('Base bordo'!G$2:G$746,'Base bordo'!C$2:C$746,A525,'Base bordo'!B$2:B$746,B525,'Base bordo'!F$2:F$746,"PATIO - RESERVA"),0)+IFERROR(SUMIFS('Base bordo'!G$2:G$746,'Base bordo'!C$2:C$746,A525,'Base bordo'!B$2:B$746,B525,'Base bordo'!F$2:F$746,"MANOBRA CARRETAS-PATIO"),0)</f>
        <v>16.206388888888888</v>
      </c>
      <c r="J525" s="10">
        <f>IFERROR(SUMIFS('Base bordo'!G$2:G$746,'Base bordo'!C$2:C$746,A525,'Base bordo'!B$2:B$746,B525,'Base bordo'!F$2:F$746,"BALANÇA - ENTRADA"),0)+IFERROR(SUMIFS('Base bordo'!G$2:G$746,'Base bordo'!C$2:C$746,A525,'Base bordo'!B$2:B$746,B525,'Base bordo'!F$2:F$746,"BALANÇA - SAÍDA"),0)</f>
        <v>0.24055555555555555</v>
      </c>
      <c r="K525" s="10">
        <f>IFERROR(SUMIFS('Base bordo'!G$2:G$746,'Base bordo'!C$2:C$746,A525,'Base bordo'!B$2:B$746,B525,'Base bordo'!F$2:F$746,"MAN PREVENTIVA - MECANICA"),0)+IFERROR(SUMIFS('Base bordo'!G$2:G$746,'Base bordo'!C$2:C$746,A525,'Base bordo'!B$2:B$746,B525,'Base bordo'!F$2:F$746,"MAN CORRETIVA - MECANICA"),0)</f>
        <v>0</v>
      </c>
      <c r="L525" s="10">
        <f>IFERROR(SUMIFS('Base bordo'!G$2:G$746,'Base bordo'!C$2:C$746,A525,'Base bordo'!B$2:B$746,B525,'Base bordo'!F$2:F$746,"MANUTENCAO - T O"),0)+IFERROR(SUMIFS('Base bordo'!G$2:G$746,'Base bordo'!C$2:C$746,A525,'Base bordo'!B$2:B$746,B525,'Base bordo'!F$2:F$746,"MANUTENCAO BORRACHARIA"),0)+IFERROR(SUMIFS('Base bordo'!G$2:G$746,'Base bordo'!C$2:C$746,A525,'Base bordo'!B$2:B$746,B525,'Base bordo'!F$2:F$746,"MANUTENCAO EXTERNA  CONCESSIONARIA"),0)+IFERROR(SUMIFS('Base bordo'!G$2:G$746,'Base bordo'!C$2:C$746,A525,'Base bordo'!B$2:B$746,B525,'Base bordo'!F$2:F$746,"MANUTENCAO TELEMETRIA"),0)</f>
        <v>0.9719444444444445</v>
      </c>
      <c r="M525" s="10">
        <f>IFERROR(SUMIFS('Base bordo'!G$2:G$746,'Base bordo'!C$2:C$746,A525,'Base bordo'!B$2:B$746,B525,'Base bordo'!F$2:F$746,"AGUARDANDO MANUTENCAO"),0)</f>
        <v>0</v>
      </c>
      <c r="N525" s="10">
        <f>IFERROR(SUMIFS('Base bordo'!G$2:G$746,'Base bordo'!C$2:C$746,A525,'Base bordo'!B$2:B$746,B525,'Base bordo'!F$2:F$746,"SEM APONTAMENTO"),0)</f>
        <v>0.83916666666666662</v>
      </c>
      <c r="O525" s="10">
        <f t="shared" si="54"/>
        <v>0.89861111111111569</v>
      </c>
      <c r="P525" s="10">
        <f>IFERROR(SUMIFS('Base bordo'!G$2:G$746,'Base bordo'!C$2:C$746,A525,'Base bordo'!B$2:B$746,B525),0)</f>
        <v>24.000000000000004</v>
      </c>
      <c r="Q525" s="10">
        <f>IFERROR(SUMIFS('Base bordo'!H$2:H$746,'Base bordo'!C$2:C$746,A525,'Base bordo'!B$2:B$746,B525,'Base bordo'!F$2:F$746,"DESLOCAMENTO VAZIO"),0)</f>
        <v>102676.29</v>
      </c>
      <c r="R525" s="10">
        <f>IFERROR(SUMIFS('Base bordo'!I$2:I$746,'Base bordo'!C$2:C$746,A525,'Base bordo'!B$2:B$746,B525,'Base bordo'!F$2:F$746,"DESLOCAMENTO VAZIO"),0)</f>
        <v>5406</v>
      </c>
      <c r="S525" s="30">
        <f t="shared" si="55"/>
        <v>18.993024417314093</v>
      </c>
      <c r="T525" s="10">
        <f>IFERROR(SUMIFS('Base bordo'!H$2:H$746,'Base bordo'!C$2:C$746,A525,'Base bordo'!B$2:B$746,B525,'Base bordo'!F$2:F$746,"DESLOCAMENTO CARREGADO"),0)</f>
        <v>136256.08000000002</v>
      </c>
      <c r="U525" s="10">
        <f>IFERROR(SUMIFS('Base bordo'!I$2:I$746,'Base bordo'!C$2:C$746,A525,'Base bordo'!B$2:B$746,B525,'Base bordo'!F$2:F$746,"DESLOCAMENTO CARREGADO"),0)</f>
        <v>5660</v>
      </c>
      <c r="V525" s="30">
        <f t="shared" si="56"/>
        <v>24.073512367491169</v>
      </c>
      <c r="W525" s="9">
        <f t="shared" si="57"/>
        <v>6.2569444444444441E-2</v>
      </c>
      <c r="X525" s="9">
        <f t="shared" si="58"/>
        <v>6.5578703703703695E-2</v>
      </c>
      <c r="Y525" s="9">
        <f t="shared" si="59"/>
        <v>0.87185185185185188</v>
      </c>
    </row>
    <row r="526" spans="1:25" ht="15" customHeight="1" x14ac:dyDescent="0.35">
      <c r="A526" s="52">
        <v>8013478</v>
      </c>
      <c r="B526" s="51">
        <v>46122</v>
      </c>
      <c r="C526" s="7" t="s">
        <v>124</v>
      </c>
      <c r="D526" s="10">
        <f>IFERROR(SUMIFS('Base bordo'!G$2:G$746,'Base bordo'!C$2:C$746,A526,'Base bordo'!B$2:B$746,B526,'Base bordo'!F$2:F$746,"DESLOCAMENTO VAZIO"),0)</f>
        <v>1.1111111111111112E-2</v>
      </c>
      <c r="E526" s="10">
        <f>IFERROR(SUMIFS('Base bordo'!G$2:G$746,'Base bordo'!C$2:C$746,A526,'Base bordo'!B$2:B$746,B526,'Base bordo'!F$2:F$746,"DESLOCAMENTO CARREGADO"),0)</f>
        <v>0</v>
      </c>
      <c r="F526" s="10">
        <f>IFERROR(SUMIFS('Base bordo'!G$2:G$746,'Base bordo'!C$2:C$746,A526,'Base bordo'!B$2:B$746,B526,'Base bordo'!F$2:F$746,"DESLOCAMENTO"),0)</f>
        <v>0</v>
      </c>
      <c r="G526" s="10">
        <f>IFERROR(SUMIFS('Base bordo'!G$2:G$746,'Base bordo'!C$2:C$746,A526,'Base bordo'!B$2:B$746,B526,'Base bordo'!F$2:F$746,"CARREGAMENTO"),0)</f>
        <v>0</v>
      </c>
      <c r="H526" s="10">
        <f>IFERROR(SUMIFS('Base bordo'!G$2:G$746,'Base bordo'!C$2:C$746,A526,'Base bordo'!B$2:B$746,B526,'Base bordo'!F$2:F$746,"AGUARDANDO TRANSBORDO"),0)</f>
        <v>0</v>
      </c>
      <c r="I526" s="10">
        <f>IFERROR(SUMIFS('Base bordo'!G$2:G$746,'Base bordo'!C$2:C$746,A526,'Base bordo'!B$2:B$746,B526,'Base bordo'!F$2:F$746,"PÁTIO INTERNO"),0)+IFERROR(SUMIFS('Base bordo'!G$2:G$746,'Base bordo'!C$2:C$746,A526,'Base bordo'!B$2:B$746,B526,'Base bordo'!F$2:F$746,"PÁTIO EXTERNO"),0)+IFERROR(SUMIFS('Base bordo'!G$2:G$746,'Base bordo'!C$2:C$746,A526,'Base bordo'!B$2:B$746,B526,'Base bordo'!F$2:F$746,"PATIO - RESERVA"),0)+IFERROR(SUMIFS('Base bordo'!G$2:G$746,'Base bordo'!C$2:C$746,A526,'Base bordo'!B$2:B$746,B526,'Base bordo'!F$2:F$746,"MANOBRA CARRETAS-PATIO"),0)</f>
        <v>0</v>
      </c>
      <c r="J526" s="10">
        <f>IFERROR(SUMIFS('Base bordo'!G$2:G$746,'Base bordo'!C$2:C$746,A526,'Base bordo'!B$2:B$746,B526,'Base bordo'!F$2:F$746,"BALANÇA - ENTRADA"),0)+IFERROR(SUMIFS('Base bordo'!G$2:G$746,'Base bordo'!C$2:C$746,A526,'Base bordo'!B$2:B$746,B526,'Base bordo'!F$2:F$746,"BALANÇA - SAÍDA"),0)</f>
        <v>0</v>
      </c>
      <c r="K526" s="10">
        <f>IFERROR(SUMIFS('Base bordo'!G$2:G$746,'Base bordo'!C$2:C$746,A526,'Base bordo'!B$2:B$746,B526,'Base bordo'!F$2:F$746,"MAN PREVENTIVA - MECANICA"),0)+IFERROR(SUMIFS('Base bordo'!G$2:G$746,'Base bordo'!C$2:C$746,A526,'Base bordo'!B$2:B$746,B526,'Base bordo'!F$2:F$746,"MAN CORRETIVA - MECANICA"),0)</f>
        <v>0</v>
      </c>
      <c r="L526" s="10">
        <f>IFERROR(SUMIFS('Base bordo'!G$2:G$746,'Base bordo'!C$2:C$746,A526,'Base bordo'!B$2:B$746,B526,'Base bordo'!F$2:F$746,"MANUTENCAO - T O"),0)+IFERROR(SUMIFS('Base bordo'!G$2:G$746,'Base bordo'!C$2:C$746,A526,'Base bordo'!B$2:B$746,B526,'Base bordo'!F$2:F$746,"MANUTENCAO BORRACHARIA"),0)+IFERROR(SUMIFS('Base bordo'!G$2:G$746,'Base bordo'!C$2:C$746,A526,'Base bordo'!B$2:B$746,B526,'Base bordo'!F$2:F$746,"MANUTENCAO EXTERNA  CONCESSIONARIA"),0)+IFERROR(SUMIFS('Base bordo'!G$2:G$746,'Base bordo'!C$2:C$746,A526,'Base bordo'!B$2:B$746,B526,'Base bordo'!F$2:F$746,"MANUTENCAO TELEMETRIA"),0)</f>
        <v>0</v>
      </c>
      <c r="M526" s="10">
        <f>IFERROR(SUMIFS('Base bordo'!G$2:G$746,'Base bordo'!C$2:C$746,A526,'Base bordo'!B$2:B$746,B526,'Base bordo'!F$2:F$746,"AGUARDANDO MANUTENCAO"),0)</f>
        <v>0</v>
      </c>
      <c r="N526" s="10">
        <f>IFERROR(SUMIFS('Base bordo'!G$2:G$746,'Base bordo'!C$2:C$746,A526,'Base bordo'!B$2:B$746,B526,'Base bordo'!F$2:F$746,"SEM APONTAMENTO"),0)</f>
        <v>0</v>
      </c>
      <c r="O526" s="10">
        <f t="shared" si="54"/>
        <v>0</v>
      </c>
      <c r="P526" s="10">
        <f>IFERROR(SUMIFS('Base bordo'!G$2:G$746,'Base bordo'!C$2:C$746,A526,'Base bordo'!B$2:B$746,B526),0)</f>
        <v>1.1111111111111112E-2</v>
      </c>
      <c r="Q526" s="10">
        <f>IFERROR(SUMIFS('Base bordo'!H$2:H$746,'Base bordo'!C$2:C$746,A526,'Base bordo'!B$2:B$746,B526,'Base bordo'!F$2:F$746,"DESLOCAMENTO VAZIO"),0)</f>
        <v>108.4</v>
      </c>
      <c r="R526" s="10">
        <f>IFERROR(SUMIFS('Base bordo'!I$2:I$746,'Base bordo'!C$2:C$746,A526,'Base bordo'!B$2:B$746,B526,'Base bordo'!F$2:F$746,"DESLOCAMENTO VAZIO"),0)</f>
        <v>40</v>
      </c>
      <c r="S526" s="30">
        <f t="shared" si="55"/>
        <v>2.71</v>
      </c>
      <c r="T526" s="10">
        <f>IFERROR(SUMIFS('Base bordo'!H$2:H$746,'Base bordo'!C$2:C$746,A526,'Base bordo'!B$2:B$746,B526,'Base bordo'!F$2:F$746,"DESLOCAMENTO CARREGADO"),0)</f>
        <v>0</v>
      </c>
      <c r="U526" s="10">
        <f>IFERROR(SUMIFS('Base bordo'!I$2:I$746,'Base bordo'!C$2:C$746,A526,'Base bordo'!B$2:B$746,B526,'Base bordo'!F$2:F$746,"DESLOCAMENTO CARREGADO"),0)</f>
        <v>0</v>
      </c>
      <c r="V526" s="30" t="str">
        <f t="shared" si="56"/>
        <v/>
      </c>
      <c r="W526" s="9">
        <f t="shared" si="57"/>
        <v>1</v>
      </c>
      <c r="X526" s="9">
        <f t="shared" si="58"/>
        <v>0</v>
      </c>
      <c r="Y526" s="9">
        <f t="shared" si="59"/>
        <v>0</v>
      </c>
    </row>
    <row r="527" spans="1:25" ht="15" customHeight="1" x14ac:dyDescent="0.35">
      <c r="A527" s="52">
        <v>8013472</v>
      </c>
      <c r="B527" s="51">
        <v>46118</v>
      </c>
      <c r="C527" s="7" t="s">
        <v>124</v>
      </c>
      <c r="D527" s="10">
        <f>IFERROR(SUMIFS('Base bordo'!G$2:G$746,'Base bordo'!C$2:C$746,A527,'Base bordo'!B$2:B$746,B527,'Base bordo'!F$2:F$746,"DESLOCAMENTO VAZIO"),0)</f>
        <v>1.75</v>
      </c>
      <c r="E527" s="10">
        <f>IFERROR(SUMIFS('Base bordo'!G$2:G$746,'Base bordo'!C$2:C$746,A527,'Base bordo'!B$2:B$746,B527,'Base bordo'!F$2:F$746,"DESLOCAMENTO CARREGADO"),0)</f>
        <v>2.4983333333333335</v>
      </c>
      <c r="F527" s="10">
        <f>IFERROR(SUMIFS('Base bordo'!G$2:G$746,'Base bordo'!C$2:C$746,A527,'Base bordo'!B$2:B$746,B527,'Base bordo'!F$2:F$746,"DESLOCAMENTO"),0)</f>
        <v>1.1605555555555556</v>
      </c>
      <c r="G527" s="10">
        <f>IFERROR(SUMIFS('Base bordo'!G$2:G$746,'Base bordo'!C$2:C$746,A527,'Base bordo'!B$2:B$746,B527,'Base bordo'!F$2:F$746,"CARREGAMENTO"),0)</f>
        <v>0</v>
      </c>
      <c r="H527" s="10">
        <f>IFERROR(SUMIFS('Base bordo'!G$2:G$746,'Base bordo'!C$2:C$746,A527,'Base bordo'!B$2:B$746,B527,'Base bordo'!F$2:F$746,"AGUARDANDO TRANSBORDO"),0)</f>
        <v>0</v>
      </c>
      <c r="I527" s="10">
        <f>IFERROR(SUMIFS('Base bordo'!G$2:G$746,'Base bordo'!C$2:C$746,A527,'Base bordo'!B$2:B$746,B527,'Base bordo'!F$2:F$746,"PÁTIO INTERNO"),0)+IFERROR(SUMIFS('Base bordo'!G$2:G$746,'Base bordo'!C$2:C$746,A527,'Base bordo'!B$2:B$746,B527,'Base bordo'!F$2:F$746,"PÁTIO EXTERNO"),0)+IFERROR(SUMIFS('Base bordo'!G$2:G$746,'Base bordo'!C$2:C$746,A527,'Base bordo'!B$2:B$746,B527,'Base bordo'!F$2:F$746,"PATIO - RESERVA"),0)+IFERROR(SUMIFS('Base bordo'!G$2:G$746,'Base bordo'!C$2:C$746,A527,'Base bordo'!B$2:B$746,B527,'Base bordo'!F$2:F$746,"MANOBRA CARRETAS-PATIO"),0)</f>
        <v>6.2741666666666669</v>
      </c>
      <c r="J527" s="10">
        <f>IFERROR(SUMIFS('Base bordo'!G$2:G$746,'Base bordo'!C$2:C$746,A527,'Base bordo'!B$2:B$746,B527,'Base bordo'!F$2:F$746,"BALANÇA - ENTRADA"),0)+IFERROR(SUMIFS('Base bordo'!G$2:G$746,'Base bordo'!C$2:C$746,A527,'Base bordo'!B$2:B$746,B527,'Base bordo'!F$2:F$746,"BALANÇA - SAÍDA"),0)</f>
        <v>1.2222222222222223E-2</v>
      </c>
      <c r="K527" s="10">
        <f>IFERROR(SUMIFS('Base bordo'!G$2:G$746,'Base bordo'!C$2:C$746,A527,'Base bordo'!B$2:B$746,B527,'Base bordo'!F$2:F$746,"MAN PREVENTIVA - MECANICA"),0)+IFERROR(SUMIFS('Base bordo'!G$2:G$746,'Base bordo'!C$2:C$746,A527,'Base bordo'!B$2:B$746,B527,'Base bordo'!F$2:F$746,"MAN CORRETIVA - MECANICA"),0)</f>
        <v>0</v>
      </c>
      <c r="L527" s="10">
        <f>IFERROR(SUMIFS('Base bordo'!G$2:G$746,'Base bordo'!C$2:C$746,A527,'Base bordo'!B$2:B$746,B527,'Base bordo'!F$2:F$746,"MANUTENCAO - T O"),0)+IFERROR(SUMIFS('Base bordo'!G$2:G$746,'Base bordo'!C$2:C$746,A527,'Base bordo'!B$2:B$746,B527,'Base bordo'!F$2:F$746,"MANUTENCAO BORRACHARIA"),0)+IFERROR(SUMIFS('Base bordo'!G$2:G$746,'Base bordo'!C$2:C$746,A527,'Base bordo'!B$2:B$746,B527,'Base bordo'!F$2:F$746,"MANUTENCAO EXTERNA  CONCESSIONARIA"),0)+IFERROR(SUMIFS('Base bordo'!G$2:G$746,'Base bordo'!C$2:C$746,A527,'Base bordo'!B$2:B$746,B527,'Base bordo'!F$2:F$746,"MANUTENCAO TELEMETRIA"),0)</f>
        <v>2.3786111111111112</v>
      </c>
      <c r="M527" s="10">
        <f>IFERROR(SUMIFS('Base bordo'!G$2:G$746,'Base bordo'!C$2:C$746,A527,'Base bordo'!B$2:B$746,B527,'Base bordo'!F$2:F$746,"AGUARDANDO MANUTENCAO"),0)</f>
        <v>5.3633333333333333</v>
      </c>
      <c r="N527" s="10">
        <f>IFERROR(SUMIFS('Base bordo'!G$2:G$746,'Base bordo'!C$2:C$746,A527,'Base bordo'!B$2:B$746,B527,'Base bordo'!F$2:F$746,"SEM APONTAMENTO"),0)</f>
        <v>0</v>
      </c>
      <c r="O527" s="10">
        <f t="shared" ref="O527:O590" si="60">IFERROR(P527-SUM(D527:N527),0)</f>
        <v>0</v>
      </c>
      <c r="P527" s="10">
        <f>IFERROR(SUMIFS('Base bordo'!G$2:G$746,'Base bordo'!C$2:C$746,A527,'Base bordo'!B$2:B$746,B527),0)</f>
        <v>19.437222222222221</v>
      </c>
      <c r="Q527" s="10">
        <f>IFERROR(SUMIFS('Base bordo'!H$2:H$746,'Base bordo'!C$2:C$746,A527,'Base bordo'!B$2:B$746,B527,'Base bordo'!F$2:F$746,"DESLOCAMENTO VAZIO"),0)</f>
        <v>117213.39</v>
      </c>
      <c r="R527" s="10">
        <f>IFERROR(SUMIFS('Base bordo'!I$2:I$746,'Base bordo'!C$2:C$746,A527,'Base bordo'!B$2:B$746,B527,'Base bordo'!F$2:F$746,"DESLOCAMENTO VAZIO"),0)</f>
        <v>6300</v>
      </c>
      <c r="S527" s="30">
        <f t="shared" ref="S527:S590" si="61">IFERROR(Q527/R527,"")</f>
        <v>18.6053</v>
      </c>
      <c r="T527" s="10">
        <f>IFERROR(SUMIFS('Base bordo'!H$2:H$746,'Base bordo'!C$2:C$746,A527,'Base bordo'!B$2:B$746,B527,'Base bordo'!F$2:F$746,"DESLOCAMENTO CARREGADO"),0)</f>
        <v>206109.95</v>
      </c>
      <c r="U527" s="10">
        <f>IFERROR(SUMIFS('Base bordo'!I$2:I$746,'Base bordo'!C$2:C$746,A527,'Base bordo'!B$2:B$746,B527,'Base bordo'!F$2:F$746,"DESLOCAMENTO CARREGADO"),0)</f>
        <v>8677</v>
      </c>
      <c r="V527" s="30">
        <f t="shared" ref="V527:V590" si="62">IFERROR(T527/U527,"")</f>
        <v>23.753595712803964</v>
      </c>
      <c r="W527" s="9">
        <f t="shared" ref="W527:W590" si="63">IFERROR(D527/P527,0)</f>
        <v>9.0033440992368596E-2</v>
      </c>
      <c r="X527" s="9">
        <f t="shared" ref="X527:X590" si="64">IFERROR(E527/P527,0)</f>
        <v>0.128533455283391</v>
      </c>
      <c r="Y527" s="9">
        <f t="shared" ref="Y527:Y590" si="65">IFERROR(1-((D527+E527)/P527),0)</f>
        <v>0.78143310372424046</v>
      </c>
    </row>
    <row r="528" spans="1:25" ht="15" customHeight="1" x14ac:dyDescent="0.35">
      <c r="A528" s="52">
        <v>8013475</v>
      </c>
      <c r="B528" s="51">
        <v>46124</v>
      </c>
      <c r="C528" s="7" t="s">
        <v>124</v>
      </c>
      <c r="D528" s="10">
        <f>IFERROR(SUMIFS('Base bordo'!G$2:G$746,'Base bordo'!C$2:C$746,A528,'Base bordo'!B$2:B$746,B528,'Base bordo'!F$2:F$746,"DESLOCAMENTO VAZIO"),0)</f>
        <v>0.7005555555555556</v>
      </c>
      <c r="E528" s="10">
        <f>IFERROR(SUMIFS('Base bordo'!G$2:G$746,'Base bordo'!C$2:C$746,A528,'Base bordo'!B$2:B$746,B528,'Base bordo'!F$2:F$746,"DESLOCAMENTO CARREGADO"),0)</f>
        <v>0.60333333333333339</v>
      </c>
      <c r="F528" s="10">
        <f>IFERROR(SUMIFS('Base bordo'!G$2:G$746,'Base bordo'!C$2:C$746,A528,'Base bordo'!B$2:B$746,B528,'Base bordo'!F$2:F$746,"DESLOCAMENTO"),0)</f>
        <v>0</v>
      </c>
      <c r="G528" s="10">
        <f>IFERROR(SUMIFS('Base bordo'!G$2:G$746,'Base bordo'!C$2:C$746,A528,'Base bordo'!B$2:B$746,B528,'Base bordo'!F$2:F$746,"CARREGAMENTO"),0)</f>
        <v>0</v>
      </c>
      <c r="H528" s="10">
        <f>IFERROR(SUMIFS('Base bordo'!G$2:G$746,'Base bordo'!C$2:C$746,A528,'Base bordo'!B$2:B$746,B528,'Base bordo'!F$2:F$746,"AGUARDANDO TRANSBORDO"),0)</f>
        <v>0.57722222222222219</v>
      </c>
      <c r="I528" s="10">
        <f>IFERROR(SUMIFS('Base bordo'!G$2:G$746,'Base bordo'!C$2:C$746,A528,'Base bordo'!B$2:B$746,B528,'Base bordo'!F$2:F$746,"PÁTIO INTERNO"),0)+IFERROR(SUMIFS('Base bordo'!G$2:G$746,'Base bordo'!C$2:C$746,A528,'Base bordo'!B$2:B$746,B528,'Base bordo'!F$2:F$746,"PÁTIO EXTERNO"),0)+IFERROR(SUMIFS('Base bordo'!G$2:G$746,'Base bordo'!C$2:C$746,A528,'Base bordo'!B$2:B$746,B528,'Base bordo'!F$2:F$746,"PATIO - RESERVA"),0)+IFERROR(SUMIFS('Base bordo'!G$2:G$746,'Base bordo'!C$2:C$746,A528,'Base bordo'!B$2:B$746,B528,'Base bordo'!F$2:F$746,"MANOBRA CARRETAS-PATIO"),0)</f>
        <v>5.7852777777777771</v>
      </c>
      <c r="J528" s="10">
        <f>IFERROR(SUMIFS('Base bordo'!G$2:G$746,'Base bordo'!C$2:C$746,A528,'Base bordo'!B$2:B$746,B528,'Base bordo'!F$2:F$746,"BALANÇA - ENTRADA"),0)+IFERROR(SUMIFS('Base bordo'!G$2:G$746,'Base bordo'!C$2:C$746,A528,'Base bordo'!B$2:B$746,B528,'Base bordo'!F$2:F$746,"BALANÇA - SAÍDA"),0)</f>
        <v>7.8611111111111104E-2</v>
      </c>
      <c r="K528" s="10">
        <f>IFERROR(SUMIFS('Base bordo'!G$2:G$746,'Base bordo'!C$2:C$746,A528,'Base bordo'!B$2:B$746,B528,'Base bordo'!F$2:F$746,"MAN PREVENTIVA - MECANICA"),0)+IFERROR(SUMIFS('Base bordo'!G$2:G$746,'Base bordo'!C$2:C$746,A528,'Base bordo'!B$2:B$746,B528,'Base bordo'!F$2:F$746,"MAN CORRETIVA - MECANICA"),0)</f>
        <v>0</v>
      </c>
      <c r="L528" s="10">
        <f>IFERROR(SUMIFS('Base bordo'!G$2:G$746,'Base bordo'!C$2:C$746,A528,'Base bordo'!B$2:B$746,B528,'Base bordo'!F$2:F$746,"MANUTENCAO - T O"),0)+IFERROR(SUMIFS('Base bordo'!G$2:G$746,'Base bordo'!C$2:C$746,A528,'Base bordo'!B$2:B$746,B528,'Base bordo'!F$2:F$746,"MANUTENCAO BORRACHARIA"),0)+IFERROR(SUMIFS('Base bordo'!G$2:G$746,'Base bordo'!C$2:C$746,A528,'Base bordo'!B$2:B$746,B528,'Base bordo'!F$2:F$746,"MANUTENCAO EXTERNA  CONCESSIONARIA"),0)+IFERROR(SUMIFS('Base bordo'!G$2:G$746,'Base bordo'!C$2:C$746,A528,'Base bordo'!B$2:B$746,B528,'Base bordo'!F$2:F$746,"MANUTENCAO TELEMETRIA"),0)</f>
        <v>0</v>
      </c>
      <c r="M528" s="10">
        <f>IFERROR(SUMIFS('Base bordo'!G$2:G$746,'Base bordo'!C$2:C$746,A528,'Base bordo'!B$2:B$746,B528,'Base bordo'!F$2:F$746,"AGUARDANDO MANUTENCAO"),0)</f>
        <v>0</v>
      </c>
      <c r="N528" s="10">
        <f>IFERROR(SUMIFS('Base bordo'!G$2:G$746,'Base bordo'!C$2:C$746,A528,'Base bordo'!B$2:B$746,B528,'Base bordo'!F$2:F$746,"SEM APONTAMENTO"),0)</f>
        <v>0</v>
      </c>
      <c r="O528" s="10">
        <f t="shared" si="60"/>
        <v>-8.8817841970012523E-16</v>
      </c>
      <c r="P528" s="10">
        <f>IFERROR(SUMIFS('Base bordo'!G$2:G$746,'Base bordo'!C$2:C$746,A528,'Base bordo'!B$2:B$746,B528),0)</f>
        <v>7.7449999999999983</v>
      </c>
      <c r="Q528" s="10">
        <f>IFERROR(SUMIFS('Base bordo'!H$2:H$746,'Base bordo'!C$2:C$746,A528,'Base bordo'!B$2:B$746,B528,'Base bordo'!F$2:F$746,"DESLOCAMENTO VAZIO"),0)</f>
        <v>56346.78</v>
      </c>
      <c r="R528" s="10">
        <f>IFERROR(SUMIFS('Base bordo'!I$2:I$746,'Base bordo'!C$2:C$746,A528,'Base bordo'!B$2:B$746,B528,'Base bordo'!F$2:F$746,"DESLOCAMENTO VAZIO"),0)</f>
        <v>2522</v>
      </c>
      <c r="S528" s="30">
        <f t="shared" si="61"/>
        <v>22.342101506740683</v>
      </c>
      <c r="T528" s="10">
        <f>IFERROR(SUMIFS('Base bordo'!H$2:H$746,'Base bordo'!C$2:C$746,A528,'Base bordo'!B$2:B$746,B528,'Base bordo'!F$2:F$746,"DESLOCAMENTO CARREGADO"),0)</f>
        <v>41086.33</v>
      </c>
      <c r="U528" s="10">
        <f>IFERROR(SUMIFS('Base bordo'!I$2:I$746,'Base bordo'!C$2:C$746,A528,'Base bordo'!B$2:B$746,B528,'Base bordo'!F$2:F$746,"DESLOCAMENTO CARREGADO"),0)</f>
        <v>2172</v>
      </c>
      <c r="V528" s="30">
        <f t="shared" si="62"/>
        <v>18.916358195211789</v>
      </c>
      <c r="W528" s="9">
        <f t="shared" si="63"/>
        <v>9.0452621763144711E-2</v>
      </c>
      <c r="X528" s="9">
        <f t="shared" si="64"/>
        <v>7.7899720249623439E-2</v>
      </c>
      <c r="Y528" s="9">
        <f t="shared" si="65"/>
        <v>0.83164765798723184</v>
      </c>
    </row>
    <row r="529" spans="1:25" ht="15" customHeight="1" x14ac:dyDescent="0.35">
      <c r="A529" s="52">
        <v>8013462</v>
      </c>
      <c r="B529" s="51">
        <v>46118</v>
      </c>
      <c r="C529" s="7" t="s">
        <v>124</v>
      </c>
      <c r="D529" s="10">
        <f>IFERROR(SUMIFS('Base bordo'!G$2:G$746,'Base bordo'!C$2:C$746,A529,'Base bordo'!B$2:B$746,B529,'Base bordo'!F$2:F$746,"DESLOCAMENTO VAZIO"),0)</f>
        <v>2.9716666666666667</v>
      </c>
      <c r="E529" s="10">
        <f>IFERROR(SUMIFS('Base bordo'!G$2:G$746,'Base bordo'!C$2:C$746,A529,'Base bordo'!B$2:B$746,B529,'Base bordo'!F$2:F$746,"DESLOCAMENTO CARREGADO"),0)</f>
        <v>3.6794444444444445</v>
      </c>
      <c r="F529" s="10">
        <f>IFERROR(SUMIFS('Base bordo'!G$2:G$746,'Base bordo'!C$2:C$746,A529,'Base bordo'!B$2:B$746,B529,'Base bordo'!F$2:F$746,"DESLOCAMENTO"),0)</f>
        <v>0.29694444444444446</v>
      </c>
      <c r="G529" s="10">
        <f>IFERROR(SUMIFS('Base bordo'!G$2:G$746,'Base bordo'!C$2:C$746,A529,'Base bordo'!B$2:B$746,B529,'Base bordo'!F$2:F$746,"CARREGAMENTO"),0)</f>
        <v>0.64583333333333337</v>
      </c>
      <c r="H529" s="10">
        <f>IFERROR(SUMIFS('Base bordo'!G$2:G$746,'Base bordo'!C$2:C$746,A529,'Base bordo'!B$2:B$746,B529,'Base bordo'!F$2:F$746,"AGUARDANDO TRANSBORDO"),0)</f>
        <v>9.6666666666666665E-2</v>
      </c>
      <c r="I529" s="10">
        <f>IFERROR(SUMIFS('Base bordo'!G$2:G$746,'Base bordo'!C$2:C$746,A529,'Base bordo'!B$2:B$746,B529,'Base bordo'!F$2:F$746,"PÁTIO INTERNO"),0)+IFERROR(SUMIFS('Base bordo'!G$2:G$746,'Base bordo'!C$2:C$746,A529,'Base bordo'!B$2:B$746,B529,'Base bordo'!F$2:F$746,"PÁTIO EXTERNO"),0)+IFERROR(SUMIFS('Base bordo'!G$2:G$746,'Base bordo'!C$2:C$746,A529,'Base bordo'!B$2:B$746,B529,'Base bordo'!F$2:F$746,"PATIO - RESERVA"),0)+IFERROR(SUMIFS('Base bordo'!G$2:G$746,'Base bordo'!C$2:C$746,A529,'Base bordo'!B$2:B$746,B529,'Base bordo'!F$2:F$746,"MANOBRA CARRETAS-PATIO"),0)</f>
        <v>9.5841666666666665</v>
      </c>
      <c r="J529" s="10">
        <f>IFERROR(SUMIFS('Base bordo'!G$2:G$746,'Base bordo'!C$2:C$746,A529,'Base bordo'!B$2:B$746,B529,'Base bordo'!F$2:F$746,"BALANÇA - ENTRADA"),0)+IFERROR(SUMIFS('Base bordo'!G$2:G$746,'Base bordo'!C$2:C$746,A529,'Base bordo'!B$2:B$746,B529,'Base bordo'!F$2:F$746,"BALANÇA - SAÍDA"),0)</f>
        <v>4.1944444444444444E-2</v>
      </c>
      <c r="K529" s="10">
        <f>IFERROR(SUMIFS('Base bordo'!G$2:G$746,'Base bordo'!C$2:C$746,A529,'Base bordo'!B$2:B$746,B529,'Base bordo'!F$2:F$746,"MAN PREVENTIVA - MECANICA"),0)+IFERROR(SUMIFS('Base bordo'!G$2:G$746,'Base bordo'!C$2:C$746,A529,'Base bordo'!B$2:B$746,B529,'Base bordo'!F$2:F$746,"MAN CORRETIVA - MECANICA"),0)</f>
        <v>0</v>
      </c>
      <c r="L529" s="10">
        <f>IFERROR(SUMIFS('Base bordo'!G$2:G$746,'Base bordo'!C$2:C$746,A529,'Base bordo'!B$2:B$746,B529,'Base bordo'!F$2:F$746,"MANUTENCAO - T O"),0)+IFERROR(SUMIFS('Base bordo'!G$2:G$746,'Base bordo'!C$2:C$746,A529,'Base bordo'!B$2:B$746,B529,'Base bordo'!F$2:F$746,"MANUTENCAO BORRACHARIA"),0)+IFERROR(SUMIFS('Base bordo'!G$2:G$746,'Base bordo'!C$2:C$746,A529,'Base bordo'!B$2:B$746,B529,'Base bordo'!F$2:F$746,"MANUTENCAO EXTERNA  CONCESSIONARIA"),0)+IFERROR(SUMIFS('Base bordo'!G$2:G$746,'Base bordo'!C$2:C$746,A529,'Base bordo'!B$2:B$746,B529,'Base bordo'!F$2:F$746,"MANUTENCAO TELEMETRIA"),0)</f>
        <v>1.6502777777777777</v>
      </c>
      <c r="M529" s="10">
        <f>IFERROR(SUMIFS('Base bordo'!G$2:G$746,'Base bordo'!C$2:C$746,A529,'Base bordo'!B$2:B$746,B529,'Base bordo'!F$2:F$746,"AGUARDANDO MANUTENCAO"),0)</f>
        <v>3.7263888888888888</v>
      </c>
      <c r="N529" s="10">
        <f>IFERROR(SUMIFS('Base bordo'!G$2:G$746,'Base bordo'!C$2:C$746,A529,'Base bordo'!B$2:B$746,B529,'Base bordo'!F$2:F$746,"SEM APONTAMENTO"),0)</f>
        <v>0</v>
      </c>
      <c r="O529" s="10">
        <f t="shared" si="60"/>
        <v>1.3066666666666684</v>
      </c>
      <c r="P529" s="10">
        <f>IFERROR(SUMIFS('Base bordo'!G$2:G$746,'Base bordo'!C$2:C$746,A529,'Base bordo'!B$2:B$746,B529),0)</f>
        <v>24</v>
      </c>
      <c r="Q529" s="10">
        <f>IFERROR(SUMIFS('Base bordo'!H$2:H$746,'Base bordo'!C$2:C$746,A529,'Base bordo'!B$2:B$746,B529,'Base bordo'!F$2:F$746,"DESLOCAMENTO VAZIO"),0)</f>
        <v>362928.54000000004</v>
      </c>
      <c r="R529" s="10">
        <f>IFERROR(SUMIFS('Base bordo'!I$2:I$746,'Base bordo'!C$2:C$746,A529,'Base bordo'!B$2:B$746,B529,'Base bordo'!F$2:F$746,"DESLOCAMENTO VAZIO"),0)</f>
        <v>10698</v>
      </c>
      <c r="S529" s="30">
        <f t="shared" si="61"/>
        <v>33.924896242288284</v>
      </c>
      <c r="T529" s="10">
        <f>IFERROR(SUMIFS('Base bordo'!H$2:H$746,'Base bordo'!C$2:C$746,A529,'Base bordo'!B$2:B$746,B529,'Base bordo'!F$2:F$746,"DESLOCAMENTO CARREGADO"),0)</f>
        <v>342744.39</v>
      </c>
      <c r="U529" s="10">
        <f>IFERROR(SUMIFS('Base bordo'!I$2:I$746,'Base bordo'!C$2:C$746,A529,'Base bordo'!B$2:B$746,B529,'Base bordo'!F$2:F$746,"DESLOCAMENTO CARREGADO"),0)</f>
        <v>13234</v>
      </c>
      <c r="V529" s="30">
        <f t="shared" si="62"/>
        <v>25.89877512467886</v>
      </c>
      <c r="W529" s="9">
        <f t="shared" si="63"/>
        <v>0.12381944444444444</v>
      </c>
      <c r="X529" s="9">
        <f t="shared" si="64"/>
        <v>0.15331018518518519</v>
      </c>
      <c r="Y529" s="9">
        <f t="shared" si="65"/>
        <v>0.72287037037037027</v>
      </c>
    </row>
    <row r="530" spans="1:25" ht="15" customHeight="1" x14ac:dyDescent="0.35">
      <c r="A530" s="52">
        <v>8013486</v>
      </c>
      <c r="B530" s="51">
        <v>46120</v>
      </c>
      <c r="C530" s="7" t="s">
        <v>124</v>
      </c>
      <c r="D530" s="10">
        <f>IFERROR(SUMIFS('Base bordo'!G$2:G$746,'Base bordo'!C$2:C$746,A530,'Base bordo'!B$2:B$746,B530,'Base bordo'!F$2:F$746,"DESLOCAMENTO VAZIO"),0)</f>
        <v>0</v>
      </c>
      <c r="E530" s="10">
        <f>IFERROR(SUMIFS('Base bordo'!G$2:G$746,'Base bordo'!C$2:C$746,A530,'Base bordo'!B$2:B$746,B530,'Base bordo'!F$2:F$746,"DESLOCAMENTO CARREGADO"),0)</f>
        <v>0</v>
      </c>
      <c r="F530" s="10">
        <f>IFERROR(SUMIFS('Base bordo'!G$2:G$746,'Base bordo'!C$2:C$746,A530,'Base bordo'!B$2:B$746,B530,'Base bordo'!F$2:F$746,"DESLOCAMENTO"),0)</f>
        <v>0</v>
      </c>
      <c r="G530" s="10">
        <f>IFERROR(SUMIFS('Base bordo'!G$2:G$746,'Base bordo'!C$2:C$746,A530,'Base bordo'!B$2:B$746,B530,'Base bordo'!F$2:F$746,"CARREGAMENTO"),0)</f>
        <v>0</v>
      </c>
      <c r="H530" s="10">
        <f>IFERROR(SUMIFS('Base bordo'!G$2:G$746,'Base bordo'!C$2:C$746,A530,'Base bordo'!B$2:B$746,B530,'Base bordo'!F$2:F$746,"AGUARDANDO TRANSBORDO"),0)</f>
        <v>0</v>
      </c>
      <c r="I530" s="10">
        <f>IFERROR(SUMIFS('Base bordo'!G$2:G$746,'Base bordo'!C$2:C$746,A530,'Base bordo'!B$2:B$746,B530,'Base bordo'!F$2:F$746,"PÁTIO INTERNO"),0)+IFERROR(SUMIFS('Base bordo'!G$2:G$746,'Base bordo'!C$2:C$746,A530,'Base bordo'!B$2:B$746,B530,'Base bordo'!F$2:F$746,"PÁTIO EXTERNO"),0)+IFERROR(SUMIFS('Base bordo'!G$2:G$746,'Base bordo'!C$2:C$746,A530,'Base bordo'!B$2:B$746,B530,'Base bordo'!F$2:F$746,"PATIO - RESERVA"),0)+IFERROR(SUMIFS('Base bordo'!G$2:G$746,'Base bordo'!C$2:C$746,A530,'Base bordo'!B$2:B$746,B530,'Base bordo'!F$2:F$746,"MANOBRA CARRETAS-PATIO"),0)</f>
        <v>8.3333333333333332E-3</v>
      </c>
      <c r="J530" s="10">
        <f>IFERROR(SUMIFS('Base bordo'!G$2:G$746,'Base bordo'!C$2:C$746,A530,'Base bordo'!B$2:B$746,B530,'Base bordo'!F$2:F$746,"BALANÇA - ENTRADA"),0)+IFERROR(SUMIFS('Base bordo'!G$2:G$746,'Base bordo'!C$2:C$746,A530,'Base bordo'!B$2:B$746,B530,'Base bordo'!F$2:F$746,"BALANÇA - SAÍDA"),0)</f>
        <v>0</v>
      </c>
      <c r="K530" s="10">
        <f>IFERROR(SUMIFS('Base bordo'!G$2:G$746,'Base bordo'!C$2:C$746,A530,'Base bordo'!B$2:B$746,B530,'Base bordo'!F$2:F$746,"MAN PREVENTIVA - MECANICA"),0)+IFERROR(SUMIFS('Base bordo'!G$2:G$746,'Base bordo'!C$2:C$746,A530,'Base bordo'!B$2:B$746,B530,'Base bordo'!F$2:F$746,"MAN CORRETIVA - MECANICA"),0)</f>
        <v>0</v>
      </c>
      <c r="L530" s="10">
        <f>IFERROR(SUMIFS('Base bordo'!G$2:G$746,'Base bordo'!C$2:C$746,A530,'Base bordo'!B$2:B$746,B530,'Base bordo'!F$2:F$746,"MANUTENCAO - T O"),0)+IFERROR(SUMIFS('Base bordo'!G$2:G$746,'Base bordo'!C$2:C$746,A530,'Base bordo'!B$2:B$746,B530,'Base bordo'!F$2:F$746,"MANUTENCAO BORRACHARIA"),0)+IFERROR(SUMIFS('Base bordo'!G$2:G$746,'Base bordo'!C$2:C$746,A530,'Base bordo'!B$2:B$746,B530,'Base bordo'!F$2:F$746,"MANUTENCAO EXTERNA  CONCESSIONARIA"),0)+IFERROR(SUMIFS('Base bordo'!G$2:G$746,'Base bordo'!C$2:C$746,A530,'Base bordo'!B$2:B$746,B530,'Base bordo'!F$2:F$746,"MANUTENCAO TELEMETRIA"),0)</f>
        <v>0</v>
      </c>
      <c r="M530" s="10">
        <f>IFERROR(SUMIFS('Base bordo'!G$2:G$746,'Base bordo'!C$2:C$746,A530,'Base bordo'!B$2:B$746,B530,'Base bordo'!F$2:F$746,"AGUARDANDO MANUTENCAO"),0)</f>
        <v>0</v>
      </c>
      <c r="N530" s="10">
        <f>IFERROR(SUMIFS('Base bordo'!G$2:G$746,'Base bordo'!C$2:C$746,A530,'Base bordo'!B$2:B$746,B530,'Base bordo'!F$2:F$746,"SEM APONTAMENTO"),0)</f>
        <v>0</v>
      </c>
      <c r="O530" s="10">
        <f t="shared" si="60"/>
        <v>0</v>
      </c>
      <c r="P530" s="10">
        <f>IFERROR(SUMIFS('Base bordo'!G$2:G$746,'Base bordo'!C$2:C$746,A530,'Base bordo'!B$2:B$746,B530),0)</f>
        <v>8.3333333333333332E-3</v>
      </c>
      <c r="Q530" s="10">
        <f>IFERROR(SUMIFS('Base bordo'!H$2:H$746,'Base bordo'!C$2:C$746,A530,'Base bordo'!B$2:B$746,B530,'Base bordo'!F$2:F$746,"DESLOCAMENTO VAZIO"),0)</f>
        <v>0</v>
      </c>
      <c r="R530" s="10">
        <f>IFERROR(SUMIFS('Base bordo'!I$2:I$746,'Base bordo'!C$2:C$746,A530,'Base bordo'!B$2:B$746,B530,'Base bordo'!F$2:F$746,"DESLOCAMENTO VAZIO"),0)</f>
        <v>0</v>
      </c>
      <c r="S530" s="30" t="str">
        <f t="shared" si="61"/>
        <v/>
      </c>
      <c r="T530" s="10">
        <f>IFERROR(SUMIFS('Base bordo'!H$2:H$746,'Base bordo'!C$2:C$746,A530,'Base bordo'!B$2:B$746,B530,'Base bordo'!F$2:F$746,"DESLOCAMENTO CARREGADO"),0)</f>
        <v>0</v>
      </c>
      <c r="U530" s="10">
        <f>IFERROR(SUMIFS('Base bordo'!I$2:I$746,'Base bordo'!C$2:C$746,A530,'Base bordo'!B$2:B$746,B530,'Base bordo'!F$2:F$746,"DESLOCAMENTO CARREGADO"),0)</f>
        <v>0</v>
      </c>
      <c r="V530" s="30" t="str">
        <f t="shared" si="62"/>
        <v/>
      </c>
      <c r="W530" s="9">
        <f t="shared" si="63"/>
        <v>0</v>
      </c>
      <c r="X530" s="9">
        <f t="shared" si="64"/>
        <v>0</v>
      </c>
      <c r="Y530" s="9">
        <f t="shared" si="65"/>
        <v>1</v>
      </c>
    </row>
    <row r="531" spans="1:25" ht="15" customHeight="1" x14ac:dyDescent="0.35">
      <c r="A531" s="52">
        <v>8013485</v>
      </c>
      <c r="B531" s="51">
        <v>46123</v>
      </c>
      <c r="C531" s="7" t="s">
        <v>124</v>
      </c>
      <c r="D531" s="10">
        <f>IFERROR(SUMIFS('Base bordo'!G$2:G$746,'Base bordo'!C$2:C$746,A531,'Base bordo'!B$2:B$746,B531,'Base bordo'!F$2:F$746,"DESLOCAMENTO VAZIO"),0)</f>
        <v>1.8255555555555556</v>
      </c>
      <c r="E531" s="10">
        <f>IFERROR(SUMIFS('Base bordo'!G$2:G$746,'Base bordo'!C$2:C$746,A531,'Base bordo'!B$2:B$746,B531,'Base bordo'!F$2:F$746,"DESLOCAMENTO CARREGADO"),0)</f>
        <v>2.5369444444444444</v>
      </c>
      <c r="F531" s="10">
        <f>IFERROR(SUMIFS('Base bordo'!G$2:G$746,'Base bordo'!C$2:C$746,A531,'Base bordo'!B$2:B$746,B531,'Base bordo'!F$2:F$746,"DESLOCAMENTO"),0)</f>
        <v>0.6694444444444444</v>
      </c>
      <c r="G531" s="10">
        <f>IFERROR(SUMIFS('Base bordo'!G$2:G$746,'Base bordo'!C$2:C$746,A531,'Base bordo'!B$2:B$746,B531,'Base bordo'!F$2:F$746,"CARREGAMENTO"),0)</f>
        <v>0</v>
      </c>
      <c r="H531" s="10">
        <f>IFERROR(SUMIFS('Base bordo'!G$2:G$746,'Base bordo'!C$2:C$746,A531,'Base bordo'!B$2:B$746,B531,'Base bordo'!F$2:F$746,"AGUARDANDO TRANSBORDO"),0)</f>
        <v>0.45916666666666667</v>
      </c>
      <c r="I531" s="10">
        <f>IFERROR(SUMIFS('Base bordo'!G$2:G$746,'Base bordo'!C$2:C$746,A531,'Base bordo'!B$2:B$746,B531,'Base bordo'!F$2:F$746,"PÁTIO INTERNO"),0)+IFERROR(SUMIFS('Base bordo'!G$2:G$746,'Base bordo'!C$2:C$746,A531,'Base bordo'!B$2:B$746,B531,'Base bordo'!F$2:F$746,"PÁTIO EXTERNO"),0)+IFERROR(SUMIFS('Base bordo'!G$2:G$746,'Base bordo'!C$2:C$746,A531,'Base bordo'!B$2:B$746,B531,'Base bordo'!F$2:F$746,"PATIO - RESERVA"),0)+IFERROR(SUMIFS('Base bordo'!G$2:G$746,'Base bordo'!C$2:C$746,A531,'Base bordo'!B$2:B$746,B531,'Base bordo'!F$2:F$746,"MANOBRA CARRETAS-PATIO"),0)</f>
        <v>4.2497222222222222</v>
      </c>
      <c r="J531" s="10">
        <f>IFERROR(SUMIFS('Base bordo'!G$2:G$746,'Base bordo'!C$2:C$746,A531,'Base bordo'!B$2:B$746,B531,'Base bordo'!F$2:F$746,"BALANÇA - ENTRADA"),0)+IFERROR(SUMIFS('Base bordo'!G$2:G$746,'Base bordo'!C$2:C$746,A531,'Base bordo'!B$2:B$746,B531,'Base bordo'!F$2:F$746,"BALANÇA - SAÍDA"),0)</f>
        <v>0</v>
      </c>
      <c r="K531" s="10">
        <f>IFERROR(SUMIFS('Base bordo'!G$2:G$746,'Base bordo'!C$2:C$746,A531,'Base bordo'!B$2:B$746,B531,'Base bordo'!F$2:F$746,"MAN PREVENTIVA - MECANICA"),0)+IFERROR(SUMIFS('Base bordo'!G$2:G$746,'Base bordo'!C$2:C$746,A531,'Base bordo'!B$2:B$746,B531,'Base bordo'!F$2:F$746,"MAN CORRETIVA - MECANICA"),0)</f>
        <v>0</v>
      </c>
      <c r="L531" s="10">
        <f>IFERROR(SUMIFS('Base bordo'!G$2:G$746,'Base bordo'!C$2:C$746,A531,'Base bordo'!B$2:B$746,B531,'Base bordo'!F$2:F$746,"MANUTENCAO - T O"),0)+IFERROR(SUMIFS('Base bordo'!G$2:G$746,'Base bordo'!C$2:C$746,A531,'Base bordo'!B$2:B$746,B531,'Base bordo'!F$2:F$746,"MANUTENCAO BORRACHARIA"),0)+IFERROR(SUMIFS('Base bordo'!G$2:G$746,'Base bordo'!C$2:C$746,A531,'Base bordo'!B$2:B$746,B531,'Base bordo'!F$2:F$746,"MANUTENCAO EXTERNA  CONCESSIONARIA"),0)+IFERROR(SUMIFS('Base bordo'!G$2:G$746,'Base bordo'!C$2:C$746,A531,'Base bordo'!B$2:B$746,B531,'Base bordo'!F$2:F$746,"MANUTENCAO TELEMETRIA"),0)</f>
        <v>0</v>
      </c>
      <c r="M531" s="10">
        <f>IFERROR(SUMIFS('Base bordo'!G$2:G$746,'Base bordo'!C$2:C$746,A531,'Base bordo'!B$2:B$746,B531,'Base bordo'!F$2:F$746,"AGUARDANDO MANUTENCAO"),0)</f>
        <v>0</v>
      </c>
      <c r="N531" s="10">
        <f>IFERROR(SUMIFS('Base bordo'!G$2:G$746,'Base bordo'!C$2:C$746,A531,'Base bordo'!B$2:B$746,B531,'Base bordo'!F$2:F$746,"SEM APONTAMENTO"),0)</f>
        <v>0</v>
      </c>
      <c r="O531" s="10">
        <f t="shared" si="60"/>
        <v>0.10194444444444528</v>
      </c>
      <c r="P531" s="10">
        <f>IFERROR(SUMIFS('Base bordo'!G$2:G$746,'Base bordo'!C$2:C$746,A531,'Base bordo'!B$2:B$746,B531),0)</f>
        <v>9.8427777777777781</v>
      </c>
      <c r="Q531" s="10">
        <f>IFERROR(SUMIFS('Base bordo'!H$2:H$746,'Base bordo'!C$2:C$746,A531,'Base bordo'!B$2:B$746,B531,'Base bordo'!F$2:F$746,"DESLOCAMENTO VAZIO"),0)</f>
        <v>203208.90000000002</v>
      </c>
      <c r="R531" s="10">
        <f>IFERROR(SUMIFS('Base bordo'!I$2:I$746,'Base bordo'!C$2:C$746,A531,'Base bordo'!B$2:B$746,B531,'Base bordo'!F$2:F$746,"DESLOCAMENTO VAZIO"),0)</f>
        <v>6572</v>
      </c>
      <c r="S531" s="30">
        <f t="shared" si="61"/>
        <v>30.920404747413272</v>
      </c>
      <c r="T531" s="10">
        <f>IFERROR(SUMIFS('Base bordo'!H$2:H$746,'Base bordo'!C$2:C$746,A531,'Base bordo'!B$2:B$746,B531,'Base bordo'!F$2:F$746,"DESLOCAMENTO CARREGADO"),0)</f>
        <v>202982.89</v>
      </c>
      <c r="U531" s="10">
        <f>IFERROR(SUMIFS('Base bordo'!I$2:I$746,'Base bordo'!C$2:C$746,A531,'Base bordo'!B$2:B$746,B531,'Base bordo'!F$2:F$746,"DESLOCAMENTO CARREGADO"),0)</f>
        <v>9133</v>
      </c>
      <c r="V531" s="30">
        <f t="shared" si="62"/>
        <v>22.225215153837734</v>
      </c>
      <c r="W531" s="9">
        <f t="shared" si="63"/>
        <v>0.18547158096743241</v>
      </c>
      <c r="X531" s="9">
        <f t="shared" si="64"/>
        <v>0.25774679686177115</v>
      </c>
      <c r="Y531" s="9">
        <f t="shared" si="65"/>
        <v>0.55678162217079641</v>
      </c>
    </row>
    <row r="532" spans="1:25" ht="15" customHeight="1" x14ac:dyDescent="0.35">
      <c r="A532" s="52">
        <v>8013482</v>
      </c>
      <c r="B532" s="51">
        <v>46119</v>
      </c>
      <c r="C532" s="7" t="s">
        <v>124</v>
      </c>
      <c r="D532" s="10">
        <f>IFERROR(SUMIFS('Base bordo'!G$2:G$746,'Base bordo'!C$2:C$746,A532,'Base bordo'!B$2:B$746,B532,'Base bordo'!F$2:F$746,"DESLOCAMENTO VAZIO"),0)</f>
        <v>0.10249999999999999</v>
      </c>
      <c r="E532" s="10">
        <f>IFERROR(SUMIFS('Base bordo'!G$2:G$746,'Base bordo'!C$2:C$746,A532,'Base bordo'!B$2:B$746,B532,'Base bordo'!F$2:F$746,"DESLOCAMENTO CARREGADO"),0)</f>
        <v>0</v>
      </c>
      <c r="F532" s="10">
        <f>IFERROR(SUMIFS('Base bordo'!G$2:G$746,'Base bordo'!C$2:C$746,A532,'Base bordo'!B$2:B$746,B532,'Base bordo'!F$2:F$746,"DESLOCAMENTO"),0)</f>
        <v>0</v>
      </c>
      <c r="G532" s="10">
        <f>IFERROR(SUMIFS('Base bordo'!G$2:G$746,'Base bordo'!C$2:C$746,A532,'Base bordo'!B$2:B$746,B532,'Base bordo'!F$2:F$746,"CARREGAMENTO"),0)</f>
        <v>0</v>
      </c>
      <c r="H532" s="10">
        <f>IFERROR(SUMIFS('Base bordo'!G$2:G$746,'Base bordo'!C$2:C$746,A532,'Base bordo'!B$2:B$746,B532,'Base bordo'!F$2:F$746,"AGUARDANDO TRANSBORDO"),0)</f>
        <v>0</v>
      </c>
      <c r="I532" s="10">
        <f>IFERROR(SUMIFS('Base bordo'!G$2:G$746,'Base bordo'!C$2:C$746,A532,'Base bordo'!B$2:B$746,B532,'Base bordo'!F$2:F$746,"PÁTIO INTERNO"),0)+IFERROR(SUMIFS('Base bordo'!G$2:G$746,'Base bordo'!C$2:C$746,A532,'Base bordo'!B$2:B$746,B532,'Base bordo'!F$2:F$746,"PÁTIO EXTERNO"),0)+IFERROR(SUMIFS('Base bordo'!G$2:G$746,'Base bordo'!C$2:C$746,A532,'Base bordo'!B$2:B$746,B532,'Base bordo'!F$2:F$746,"PATIO - RESERVA"),0)+IFERROR(SUMIFS('Base bordo'!G$2:G$746,'Base bordo'!C$2:C$746,A532,'Base bordo'!B$2:B$746,B532,'Base bordo'!F$2:F$746,"MANOBRA CARRETAS-PATIO"),0)</f>
        <v>0.68638888888888894</v>
      </c>
      <c r="J532" s="10">
        <f>IFERROR(SUMIFS('Base bordo'!G$2:G$746,'Base bordo'!C$2:C$746,A532,'Base bordo'!B$2:B$746,B532,'Base bordo'!F$2:F$746,"BALANÇA - ENTRADA"),0)+IFERROR(SUMIFS('Base bordo'!G$2:G$746,'Base bordo'!C$2:C$746,A532,'Base bordo'!B$2:B$746,B532,'Base bordo'!F$2:F$746,"BALANÇA - SAÍDA"),0)</f>
        <v>8.3333333333333332E-3</v>
      </c>
      <c r="K532" s="10">
        <f>IFERROR(SUMIFS('Base bordo'!G$2:G$746,'Base bordo'!C$2:C$746,A532,'Base bordo'!B$2:B$746,B532,'Base bordo'!F$2:F$746,"MAN PREVENTIVA - MECANICA"),0)+IFERROR(SUMIFS('Base bordo'!G$2:G$746,'Base bordo'!C$2:C$746,A532,'Base bordo'!B$2:B$746,B532,'Base bordo'!F$2:F$746,"MAN CORRETIVA - MECANICA"),0)</f>
        <v>0</v>
      </c>
      <c r="L532" s="10">
        <f>IFERROR(SUMIFS('Base bordo'!G$2:G$746,'Base bordo'!C$2:C$746,A532,'Base bordo'!B$2:B$746,B532,'Base bordo'!F$2:F$746,"MANUTENCAO - T O"),0)+IFERROR(SUMIFS('Base bordo'!G$2:G$746,'Base bordo'!C$2:C$746,A532,'Base bordo'!B$2:B$746,B532,'Base bordo'!F$2:F$746,"MANUTENCAO BORRACHARIA"),0)+IFERROR(SUMIFS('Base bordo'!G$2:G$746,'Base bordo'!C$2:C$746,A532,'Base bordo'!B$2:B$746,B532,'Base bordo'!F$2:F$746,"MANUTENCAO EXTERNA  CONCESSIONARIA"),0)+IFERROR(SUMIFS('Base bordo'!G$2:G$746,'Base bordo'!C$2:C$746,A532,'Base bordo'!B$2:B$746,B532,'Base bordo'!F$2:F$746,"MANUTENCAO TELEMETRIA"),0)</f>
        <v>0</v>
      </c>
      <c r="M532" s="10">
        <f>IFERROR(SUMIFS('Base bordo'!G$2:G$746,'Base bordo'!C$2:C$746,A532,'Base bordo'!B$2:B$746,B532,'Base bordo'!F$2:F$746,"AGUARDANDO MANUTENCAO"),0)</f>
        <v>0</v>
      </c>
      <c r="N532" s="10">
        <f>IFERROR(SUMIFS('Base bordo'!G$2:G$746,'Base bordo'!C$2:C$746,A532,'Base bordo'!B$2:B$746,B532,'Base bordo'!F$2:F$746,"SEM APONTAMENTO"),0)</f>
        <v>0</v>
      </c>
      <c r="O532" s="10">
        <f t="shared" si="60"/>
        <v>0</v>
      </c>
      <c r="P532" s="10">
        <f>IFERROR(SUMIFS('Base bordo'!G$2:G$746,'Base bordo'!C$2:C$746,A532,'Base bordo'!B$2:B$746,B532),0)</f>
        <v>0.79722222222222228</v>
      </c>
      <c r="Q532" s="10">
        <f>IFERROR(SUMIFS('Base bordo'!H$2:H$746,'Base bordo'!C$2:C$746,A532,'Base bordo'!B$2:B$746,B532,'Base bordo'!F$2:F$746,"DESLOCAMENTO VAZIO"),0)</f>
        <v>4022.1</v>
      </c>
      <c r="R532" s="10">
        <f>IFERROR(SUMIFS('Base bordo'!I$2:I$746,'Base bordo'!C$2:C$746,A532,'Base bordo'!B$2:B$746,B532,'Base bordo'!F$2:F$746,"DESLOCAMENTO VAZIO"),0)</f>
        <v>369</v>
      </c>
      <c r="S532" s="30">
        <f t="shared" si="61"/>
        <v>10.9</v>
      </c>
      <c r="T532" s="10">
        <f>IFERROR(SUMIFS('Base bordo'!H$2:H$746,'Base bordo'!C$2:C$746,A532,'Base bordo'!B$2:B$746,B532,'Base bordo'!F$2:F$746,"DESLOCAMENTO CARREGADO"),0)</f>
        <v>0</v>
      </c>
      <c r="U532" s="10">
        <f>IFERROR(SUMIFS('Base bordo'!I$2:I$746,'Base bordo'!C$2:C$746,A532,'Base bordo'!B$2:B$746,B532,'Base bordo'!F$2:F$746,"DESLOCAMENTO CARREGADO"),0)</f>
        <v>0</v>
      </c>
      <c r="V532" s="30" t="str">
        <f t="shared" si="62"/>
        <v/>
      </c>
      <c r="W532" s="9">
        <f t="shared" si="63"/>
        <v>0.12857142857142856</v>
      </c>
      <c r="X532" s="9">
        <f t="shared" si="64"/>
        <v>0</v>
      </c>
      <c r="Y532" s="9">
        <f t="shared" si="65"/>
        <v>0.87142857142857144</v>
      </c>
    </row>
    <row r="533" spans="1:25" ht="15" customHeight="1" x14ac:dyDescent="0.35">
      <c r="A533" s="52">
        <v>8013461</v>
      </c>
      <c r="B533" s="51">
        <v>46119</v>
      </c>
      <c r="C533" s="7" t="s">
        <v>124</v>
      </c>
      <c r="D533" s="10">
        <f>IFERROR(SUMIFS('Base bordo'!G$2:G$746,'Base bordo'!C$2:C$746,A533,'Base bordo'!B$2:B$746,B533,'Base bordo'!F$2:F$746,"DESLOCAMENTO VAZIO"),0)</f>
        <v>1.4069444444444446</v>
      </c>
      <c r="E533" s="10">
        <f>IFERROR(SUMIFS('Base bordo'!G$2:G$746,'Base bordo'!C$2:C$746,A533,'Base bordo'!B$2:B$746,B533,'Base bordo'!F$2:F$746,"DESLOCAMENTO CARREGADO"),0)</f>
        <v>1.8011111111111111</v>
      </c>
      <c r="F533" s="10">
        <f>IFERROR(SUMIFS('Base bordo'!G$2:G$746,'Base bordo'!C$2:C$746,A533,'Base bordo'!B$2:B$746,B533,'Base bordo'!F$2:F$746,"DESLOCAMENTO"),0)</f>
        <v>0</v>
      </c>
      <c r="G533" s="10">
        <f>IFERROR(SUMIFS('Base bordo'!G$2:G$746,'Base bordo'!C$2:C$746,A533,'Base bordo'!B$2:B$746,B533,'Base bordo'!F$2:F$746,"CARREGAMENTO"),0)</f>
        <v>0</v>
      </c>
      <c r="H533" s="10">
        <f>IFERROR(SUMIFS('Base bordo'!G$2:G$746,'Base bordo'!C$2:C$746,A533,'Base bordo'!B$2:B$746,B533,'Base bordo'!F$2:F$746,"AGUARDANDO TRANSBORDO"),0)</f>
        <v>0.2011111111111111</v>
      </c>
      <c r="I533" s="10">
        <f>IFERROR(SUMIFS('Base bordo'!G$2:G$746,'Base bordo'!C$2:C$746,A533,'Base bordo'!B$2:B$746,B533,'Base bordo'!F$2:F$746,"PÁTIO INTERNO"),0)+IFERROR(SUMIFS('Base bordo'!G$2:G$746,'Base bordo'!C$2:C$746,A533,'Base bordo'!B$2:B$746,B533,'Base bordo'!F$2:F$746,"PÁTIO EXTERNO"),0)+IFERROR(SUMIFS('Base bordo'!G$2:G$746,'Base bordo'!C$2:C$746,A533,'Base bordo'!B$2:B$746,B533,'Base bordo'!F$2:F$746,"PATIO - RESERVA"),0)+IFERROR(SUMIFS('Base bordo'!G$2:G$746,'Base bordo'!C$2:C$746,A533,'Base bordo'!B$2:B$746,B533,'Base bordo'!F$2:F$746,"MANOBRA CARRETAS-PATIO"),0)</f>
        <v>8.8375000000000004</v>
      </c>
      <c r="J533" s="10">
        <f>IFERROR(SUMIFS('Base bordo'!G$2:G$746,'Base bordo'!C$2:C$746,A533,'Base bordo'!B$2:B$746,B533,'Base bordo'!F$2:F$746,"BALANÇA - ENTRADA"),0)+IFERROR(SUMIFS('Base bordo'!G$2:G$746,'Base bordo'!C$2:C$746,A533,'Base bordo'!B$2:B$746,B533,'Base bordo'!F$2:F$746,"BALANÇA - SAÍDA"),0)</f>
        <v>0.15</v>
      </c>
      <c r="K533" s="10">
        <f>IFERROR(SUMIFS('Base bordo'!G$2:G$746,'Base bordo'!C$2:C$746,A533,'Base bordo'!B$2:B$746,B533,'Base bordo'!F$2:F$746,"MAN PREVENTIVA - MECANICA"),0)+IFERROR(SUMIFS('Base bordo'!G$2:G$746,'Base bordo'!C$2:C$746,A533,'Base bordo'!B$2:B$746,B533,'Base bordo'!F$2:F$746,"MAN CORRETIVA - MECANICA"),0)</f>
        <v>0</v>
      </c>
      <c r="L533" s="10">
        <f>IFERROR(SUMIFS('Base bordo'!G$2:G$746,'Base bordo'!C$2:C$746,A533,'Base bordo'!B$2:B$746,B533,'Base bordo'!F$2:F$746,"MANUTENCAO - T O"),0)+IFERROR(SUMIFS('Base bordo'!G$2:G$746,'Base bordo'!C$2:C$746,A533,'Base bordo'!B$2:B$746,B533,'Base bordo'!F$2:F$746,"MANUTENCAO BORRACHARIA"),0)+IFERROR(SUMIFS('Base bordo'!G$2:G$746,'Base bordo'!C$2:C$746,A533,'Base bordo'!B$2:B$746,B533,'Base bordo'!F$2:F$746,"MANUTENCAO EXTERNA  CONCESSIONARIA"),0)+IFERROR(SUMIFS('Base bordo'!G$2:G$746,'Base bordo'!C$2:C$746,A533,'Base bordo'!B$2:B$746,B533,'Base bordo'!F$2:F$746,"MANUTENCAO TELEMETRIA"),0)</f>
        <v>0</v>
      </c>
      <c r="M533" s="10">
        <f>IFERROR(SUMIFS('Base bordo'!G$2:G$746,'Base bordo'!C$2:C$746,A533,'Base bordo'!B$2:B$746,B533,'Base bordo'!F$2:F$746,"AGUARDANDO MANUTENCAO"),0)</f>
        <v>0</v>
      </c>
      <c r="N533" s="10">
        <f>IFERROR(SUMIFS('Base bordo'!G$2:G$746,'Base bordo'!C$2:C$746,A533,'Base bordo'!B$2:B$746,B533,'Base bordo'!F$2:F$746,"SEM APONTAMENTO"),0)</f>
        <v>0</v>
      </c>
      <c r="O533" s="10">
        <f t="shared" si="60"/>
        <v>0.18333333333333357</v>
      </c>
      <c r="P533" s="10">
        <f>IFERROR(SUMIFS('Base bordo'!G$2:G$746,'Base bordo'!C$2:C$746,A533,'Base bordo'!B$2:B$746,B533),0)</f>
        <v>12.58</v>
      </c>
      <c r="Q533" s="10">
        <f>IFERROR(SUMIFS('Base bordo'!H$2:H$746,'Base bordo'!C$2:C$746,A533,'Base bordo'!B$2:B$746,B533,'Base bordo'!F$2:F$746,"DESLOCAMENTO VAZIO"),0)</f>
        <v>177546.48</v>
      </c>
      <c r="R533" s="10">
        <f>IFERROR(SUMIFS('Base bordo'!I$2:I$746,'Base bordo'!C$2:C$746,A533,'Base bordo'!B$2:B$746,B533,'Base bordo'!F$2:F$746,"DESLOCAMENTO VAZIO"),0)</f>
        <v>5065</v>
      </c>
      <c r="S533" s="30">
        <f t="shared" si="61"/>
        <v>35.05359921026654</v>
      </c>
      <c r="T533" s="10">
        <f>IFERROR(SUMIFS('Base bordo'!H$2:H$746,'Base bordo'!C$2:C$746,A533,'Base bordo'!B$2:B$746,B533,'Base bordo'!F$2:F$746,"DESLOCAMENTO CARREGADO"),0)</f>
        <v>173551.50000000003</v>
      </c>
      <c r="U533" s="10">
        <f>IFERROR(SUMIFS('Base bordo'!I$2:I$746,'Base bordo'!C$2:C$746,A533,'Base bordo'!B$2:B$746,B533,'Base bordo'!F$2:F$746,"DESLOCAMENTO CARREGADO"),0)</f>
        <v>6484</v>
      </c>
      <c r="V533" s="30">
        <f t="shared" si="62"/>
        <v>26.766116594694637</v>
      </c>
      <c r="W533" s="9">
        <f t="shared" si="63"/>
        <v>0.11183978095742803</v>
      </c>
      <c r="X533" s="9">
        <f t="shared" si="64"/>
        <v>0.14317258434905494</v>
      </c>
      <c r="Y533" s="9">
        <f t="shared" si="65"/>
        <v>0.74498763469351703</v>
      </c>
    </row>
    <row r="534" spans="1:25" ht="15" customHeight="1" x14ac:dyDescent="0.35">
      <c r="A534" s="52">
        <v>8013469</v>
      </c>
      <c r="B534" s="51">
        <v>46118</v>
      </c>
      <c r="C534" s="7" t="s">
        <v>124</v>
      </c>
      <c r="D534" s="10">
        <f>IFERROR(SUMIFS('Base bordo'!G$2:G$746,'Base bordo'!C$2:C$746,A534,'Base bordo'!B$2:B$746,B534,'Base bordo'!F$2:F$746,"DESLOCAMENTO VAZIO"),0)</f>
        <v>2.1594444444444445</v>
      </c>
      <c r="E534" s="10">
        <f>IFERROR(SUMIFS('Base bordo'!G$2:G$746,'Base bordo'!C$2:C$746,A534,'Base bordo'!B$2:B$746,B534,'Base bordo'!F$2:F$746,"DESLOCAMENTO CARREGADO"),0)</f>
        <v>2.4455555555555555</v>
      </c>
      <c r="F534" s="10">
        <f>IFERROR(SUMIFS('Base bordo'!G$2:G$746,'Base bordo'!C$2:C$746,A534,'Base bordo'!B$2:B$746,B534,'Base bordo'!F$2:F$746,"DESLOCAMENTO"),0)</f>
        <v>0.63083333333333336</v>
      </c>
      <c r="G534" s="10">
        <f>IFERROR(SUMIFS('Base bordo'!G$2:G$746,'Base bordo'!C$2:C$746,A534,'Base bordo'!B$2:B$746,B534,'Base bordo'!F$2:F$746,"CARREGAMENTO"),0)</f>
        <v>0.96722222222222221</v>
      </c>
      <c r="H534" s="10">
        <f>IFERROR(SUMIFS('Base bordo'!G$2:G$746,'Base bordo'!C$2:C$746,A534,'Base bordo'!B$2:B$746,B534,'Base bordo'!F$2:F$746,"AGUARDANDO TRANSBORDO"),0)</f>
        <v>0.91111111111111109</v>
      </c>
      <c r="I534" s="10">
        <f>IFERROR(SUMIFS('Base bordo'!G$2:G$746,'Base bordo'!C$2:C$746,A534,'Base bordo'!B$2:B$746,B534,'Base bordo'!F$2:F$746,"PÁTIO INTERNO"),0)+IFERROR(SUMIFS('Base bordo'!G$2:G$746,'Base bordo'!C$2:C$746,A534,'Base bordo'!B$2:B$746,B534,'Base bordo'!F$2:F$746,"PÁTIO EXTERNO"),0)+IFERROR(SUMIFS('Base bordo'!G$2:G$746,'Base bordo'!C$2:C$746,A534,'Base bordo'!B$2:B$746,B534,'Base bordo'!F$2:F$746,"PATIO - RESERVA"),0)+IFERROR(SUMIFS('Base bordo'!G$2:G$746,'Base bordo'!C$2:C$746,A534,'Base bordo'!B$2:B$746,B534,'Base bordo'!F$2:F$746,"MANOBRA CARRETAS-PATIO"),0)</f>
        <v>6.1047222222222217</v>
      </c>
      <c r="J534" s="10">
        <f>IFERROR(SUMIFS('Base bordo'!G$2:G$746,'Base bordo'!C$2:C$746,A534,'Base bordo'!B$2:B$746,B534,'Base bordo'!F$2:F$746,"BALANÇA - ENTRADA"),0)+IFERROR(SUMIFS('Base bordo'!G$2:G$746,'Base bordo'!C$2:C$746,A534,'Base bordo'!B$2:B$746,B534,'Base bordo'!F$2:F$746,"BALANÇA - SAÍDA"),0)</f>
        <v>6.8055555555555564E-2</v>
      </c>
      <c r="K534" s="10">
        <f>IFERROR(SUMIFS('Base bordo'!G$2:G$746,'Base bordo'!C$2:C$746,A534,'Base bordo'!B$2:B$746,B534,'Base bordo'!F$2:F$746,"MAN PREVENTIVA - MECANICA"),0)+IFERROR(SUMIFS('Base bordo'!G$2:G$746,'Base bordo'!C$2:C$746,A534,'Base bordo'!B$2:B$746,B534,'Base bordo'!F$2:F$746,"MAN CORRETIVA - MECANICA"),0)</f>
        <v>0.40166666666666667</v>
      </c>
      <c r="L534" s="10">
        <f>IFERROR(SUMIFS('Base bordo'!G$2:G$746,'Base bordo'!C$2:C$746,A534,'Base bordo'!B$2:B$746,B534,'Base bordo'!F$2:F$746,"MANUTENCAO - T O"),0)+IFERROR(SUMIFS('Base bordo'!G$2:G$746,'Base bordo'!C$2:C$746,A534,'Base bordo'!B$2:B$746,B534,'Base bordo'!F$2:F$746,"MANUTENCAO BORRACHARIA"),0)+IFERROR(SUMIFS('Base bordo'!G$2:G$746,'Base bordo'!C$2:C$746,A534,'Base bordo'!B$2:B$746,B534,'Base bordo'!F$2:F$746,"MANUTENCAO EXTERNA  CONCESSIONARIA"),0)+IFERROR(SUMIFS('Base bordo'!G$2:G$746,'Base bordo'!C$2:C$746,A534,'Base bordo'!B$2:B$746,B534,'Base bordo'!F$2:F$746,"MANUTENCAO TELEMETRIA"),0)</f>
        <v>1.5977777777777777</v>
      </c>
      <c r="M534" s="10">
        <f>IFERROR(SUMIFS('Base bordo'!G$2:G$746,'Base bordo'!C$2:C$746,A534,'Base bordo'!B$2:B$746,B534,'Base bordo'!F$2:F$746,"AGUARDANDO MANUTENCAO"),0)</f>
        <v>2.0836111111111113</v>
      </c>
      <c r="N534" s="10">
        <f>IFERROR(SUMIFS('Base bordo'!G$2:G$746,'Base bordo'!C$2:C$746,A534,'Base bordo'!B$2:B$746,B534,'Base bordo'!F$2:F$746,"SEM APONTAMENTO"),0)</f>
        <v>5.4166666666666669E-2</v>
      </c>
      <c r="O534" s="10">
        <f t="shared" si="60"/>
        <v>6.5758333333333354</v>
      </c>
      <c r="P534" s="10">
        <f>IFERROR(SUMIFS('Base bordo'!G$2:G$746,'Base bordo'!C$2:C$746,A534,'Base bordo'!B$2:B$746,B534),0)</f>
        <v>24.000000000000004</v>
      </c>
      <c r="Q534" s="10">
        <f>IFERROR(SUMIFS('Base bordo'!H$2:H$746,'Base bordo'!C$2:C$746,A534,'Base bordo'!B$2:B$746,B534,'Base bordo'!F$2:F$746,"DESLOCAMENTO VAZIO"),0)</f>
        <v>182003.76000000004</v>
      </c>
      <c r="R534" s="10">
        <f>IFERROR(SUMIFS('Base bordo'!I$2:I$746,'Base bordo'!C$2:C$746,A534,'Base bordo'!B$2:B$746,B534,'Base bordo'!F$2:F$746,"DESLOCAMENTO VAZIO"),0)</f>
        <v>7774</v>
      </c>
      <c r="S534" s="30">
        <f t="shared" si="61"/>
        <v>23.411854900951894</v>
      </c>
      <c r="T534" s="10">
        <f>IFERROR(SUMIFS('Base bordo'!H$2:H$746,'Base bordo'!C$2:C$746,A534,'Base bordo'!B$2:B$746,B534,'Base bordo'!F$2:F$746,"DESLOCAMENTO CARREGADO"),0)</f>
        <v>235509.89</v>
      </c>
      <c r="U534" s="10">
        <f>IFERROR(SUMIFS('Base bordo'!I$2:I$746,'Base bordo'!C$2:C$746,A534,'Base bordo'!B$2:B$746,B534,'Base bordo'!F$2:F$746,"DESLOCAMENTO CARREGADO"),0)</f>
        <v>8804</v>
      </c>
      <c r="V534" s="30">
        <f t="shared" si="62"/>
        <v>26.750328259881872</v>
      </c>
      <c r="W534" s="9">
        <f t="shared" si="63"/>
        <v>8.9976851851851836E-2</v>
      </c>
      <c r="X534" s="9">
        <f t="shared" si="64"/>
        <v>0.10189814814814813</v>
      </c>
      <c r="Y534" s="9">
        <f t="shared" si="65"/>
        <v>0.80812499999999998</v>
      </c>
    </row>
    <row r="535" spans="1:25" ht="15" customHeight="1" x14ac:dyDescent="0.35">
      <c r="A535" s="52">
        <v>8013478</v>
      </c>
      <c r="B535" s="51">
        <v>46118</v>
      </c>
      <c r="C535" s="7" t="s">
        <v>124</v>
      </c>
      <c r="D535" s="10">
        <f>IFERROR(SUMIFS('Base bordo'!G$2:G$746,'Base bordo'!C$2:C$746,A535,'Base bordo'!B$2:B$746,B535,'Base bordo'!F$2:F$746,"DESLOCAMENTO VAZIO"),0)</f>
        <v>2.2297222222222222</v>
      </c>
      <c r="E535" s="10">
        <f>IFERROR(SUMIFS('Base bordo'!G$2:G$746,'Base bordo'!C$2:C$746,A535,'Base bordo'!B$2:B$746,B535,'Base bordo'!F$2:F$746,"DESLOCAMENTO CARREGADO"),0)</f>
        <v>1.9061111111111111</v>
      </c>
      <c r="F535" s="10">
        <f>IFERROR(SUMIFS('Base bordo'!G$2:G$746,'Base bordo'!C$2:C$746,A535,'Base bordo'!B$2:B$746,B535,'Base bordo'!F$2:F$746,"DESLOCAMENTO"),0)</f>
        <v>0</v>
      </c>
      <c r="G535" s="10">
        <f>IFERROR(SUMIFS('Base bordo'!G$2:G$746,'Base bordo'!C$2:C$746,A535,'Base bordo'!B$2:B$746,B535,'Base bordo'!F$2:F$746,"CARREGAMENTO"),0)</f>
        <v>0</v>
      </c>
      <c r="H535" s="10">
        <f>IFERROR(SUMIFS('Base bordo'!G$2:G$746,'Base bordo'!C$2:C$746,A535,'Base bordo'!B$2:B$746,B535,'Base bordo'!F$2:F$746,"AGUARDANDO TRANSBORDO"),0)</f>
        <v>0.90749999999999997</v>
      </c>
      <c r="I535" s="10">
        <f>IFERROR(SUMIFS('Base bordo'!G$2:G$746,'Base bordo'!C$2:C$746,A535,'Base bordo'!B$2:B$746,B535,'Base bordo'!F$2:F$746,"PÁTIO INTERNO"),0)+IFERROR(SUMIFS('Base bordo'!G$2:G$746,'Base bordo'!C$2:C$746,A535,'Base bordo'!B$2:B$746,B535,'Base bordo'!F$2:F$746,"PÁTIO EXTERNO"),0)+IFERROR(SUMIFS('Base bordo'!G$2:G$746,'Base bordo'!C$2:C$746,A535,'Base bordo'!B$2:B$746,B535,'Base bordo'!F$2:F$746,"PATIO - RESERVA"),0)+IFERROR(SUMIFS('Base bordo'!G$2:G$746,'Base bordo'!C$2:C$746,A535,'Base bordo'!B$2:B$746,B535,'Base bordo'!F$2:F$746,"MANOBRA CARRETAS-PATIO"),0)</f>
        <v>3.8741666666666665</v>
      </c>
      <c r="J535" s="10">
        <f>IFERROR(SUMIFS('Base bordo'!G$2:G$746,'Base bordo'!C$2:C$746,A535,'Base bordo'!B$2:B$746,B535,'Base bordo'!F$2:F$746,"BALANÇA - ENTRADA"),0)+IFERROR(SUMIFS('Base bordo'!G$2:G$746,'Base bordo'!C$2:C$746,A535,'Base bordo'!B$2:B$746,B535,'Base bordo'!F$2:F$746,"BALANÇA - SAÍDA"),0)</f>
        <v>1.1944444444444445E-2</v>
      </c>
      <c r="K535" s="10">
        <f>IFERROR(SUMIFS('Base bordo'!G$2:G$746,'Base bordo'!C$2:C$746,A535,'Base bordo'!B$2:B$746,B535,'Base bordo'!F$2:F$746,"MAN PREVENTIVA - MECANICA"),0)+IFERROR(SUMIFS('Base bordo'!G$2:G$746,'Base bordo'!C$2:C$746,A535,'Base bordo'!B$2:B$746,B535,'Base bordo'!F$2:F$746,"MAN CORRETIVA - MECANICA"),0)</f>
        <v>0</v>
      </c>
      <c r="L535" s="10">
        <f>IFERROR(SUMIFS('Base bordo'!G$2:G$746,'Base bordo'!C$2:C$746,A535,'Base bordo'!B$2:B$746,B535,'Base bordo'!F$2:F$746,"MANUTENCAO - T O"),0)+IFERROR(SUMIFS('Base bordo'!G$2:G$746,'Base bordo'!C$2:C$746,A535,'Base bordo'!B$2:B$746,B535,'Base bordo'!F$2:F$746,"MANUTENCAO BORRACHARIA"),0)+IFERROR(SUMIFS('Base bordo'!G$2:G$746,'Base bordo'!C$2:C$746,A535,'Base bordo'!B$2:B$746,B535,'Base bordo'!F$2:F$746,"MANUTENCAO EXTERNA  CONCESSIONARIA"),0)+IFERROR(SUMIFS('Base bordo'!G$2:G$746,'Base bordo'!C$2:C$746,A535,'Base bordo'!B$2:B$746,B535,'Base bordo'!F$2:F$746,"MANUTENCAO TELEMETRIA"),0)</f>
        <v>0</v>
      </c>
      <c r="M535" s="10">
        <f>IFERROR(SUMIFS('Base bordo'!G$2:G$746,'Base bordo'!C$2:C$746,A535,'Base bordo'!B$2:B$746,B535,'Base bordo'!F$2:F$746,"AGUARDANDO MANUTENCAO"),0)</f>
        <v>0</v>
      </c>
      <c r="N535" s="10">
        <f>IFERROR(SUMIFS('Base bordo'!G$2:G$746,'Base bordo'!C$2:C$746,A535,'Base bordo'!B$2:B$746,B535,'Base bordo'!F$2:F$746,"SEM APONTAMENTO"),0)</f>
        <v>0</v>
      </c>
      <c r="O535" s="10">
        <f t="shared" si="60"/>
        <v>2.3333333333331652E-2</v>
      </c>
      <c r="P535" s="10">
        <f>IFERROR(SUMIFS('Base bordo'!G$2:G$746,'Base bordo'!C$2:C$746,A535,'Base bordo'!B$2:B$746,B535),0)</f>
        <v>8.9527777777777757</v>
      </c>
      <c r="Q535" s="10">
        <f>IFERROR(SUMIFS('Base bordo'!H$2:H$746,'Base bordo'!C$2:C$746,A535,'Base bordo'!B$2:B$746,B535,'Base bordo'!F$2:F$746,"DESLOCAMENTO VAZIO"),0)</f>
        <v>290634.14</v>
      </c>
      <c r="R535" s="10">
        <f>IFERROR(SUMIFS('Base bordo'!I$2:I$746,'Base bordo'!C$2:C$746,A535,'Base bordo'!B$2:B$746,B535,'Base bordo'!F$2:F$746,"DESLOCAMENTO VAZIO"),0)</f>
        <v>8027</v>
      </c>
      <c r="S535" s="30">
        <f t="shared" si="61"/>
        <v>36.207068643328768</v>
      </c>
      <c r="T535" s="10">
        <f>IFERROR(SUMIFS('Base bordo'!H$2:H$746,'Base bordo'!C$2:C$746,A535,'Base bordo'!B$2:B$746,B535,'Base bordo'!F$2:F$746,"DESLOCAMENTO CARREGADO"),0)</f>
        <v>165552.33000000002</v>
      </c>
      <c r="U535" s="10">
        <f>IFERROR(SUMIFS('Base bordo'!I$2:I$746,'Base bordo'!C$2:C$746,A535,'Base bordo'!B$2:B$746,B535,'Base bordo'!F$2:F$746,"DESLOCAMENTO CARREGADO"),0)</f>
        <v>6862</v>
      </c>
      <c r="V535" s="30">
        <f t="shared" si="62"/>
        <v>24.125958904109591</v>
      </c>
      <c r="W535" s="9">
        <f t="shared" si="63"/>
        <v>0.24905367669872794</v>
      </c>
      <c r="X535" s="9">
        <f t="shared" si="64"/>
        <v>0.21290722928948189</v>
      </c>
      <c r="Y535" s="9">
        <f t="shared" si="65"/>
        <v>0.53803909401179018</v>
      </c>
    </row>
    <row r="536" spans="1:25" ht="15" customHeight="1" x14ac:dyDescent="0.35">
      <c r="A536" s="52">
        <v>8013461</v>
      </c>
      <c r="B536" s="51">
        <v>46118</v>
      </c>
      <c r="C536" s="7" t="s">
        <v>124</v>
      </c>
      <c r="D536" s="10">
        <f>IFERROR(SUMIFS('Base bordo'!G$2:G$746,'Base bordo'!C$2:C$746,A536,'Base bordo'!B$2:B$746,B536,'Base bordo'!F$2:F$746,"DESLOCAMENTO VAZIO"),0)</f>
        <v>1.6119444444444444</v>
      </c>
      <c r="E536" s="10">
        <f>IFERROR(SUMIFS('Base bordo'!G$2:G$746,'Base bordo'!C$2:C$746,A536,'Base bordo'!B$2:B$746,B536,'Base bordo'!F$2:F$746,"DESLOCAMENTO CARREGADO"),0)</f>
        <v>3.9649999999999999</v>
      </c>
      <c r="F536" s="10">
        <f>IFERROR(SUMIFS('Base bordo'!G$2:G$746,'Base bordo'!C$2:C$746,A536,'Base bordo'!B$2:B$746,B536,'Base bordo'!F$2:F$746,"DESLOCAMENTO"),0)</f>
        <v>0.61416666666666664</v>
      </c>
      <c r="G536" s="10">
        <f>IFERROR(SUMIFS('Base bordo'!G$2:G$746,'Base bordo'!C$2:C$746,A536,'Base bordo'!B$2:B$746,B536,'Base bordo'!F$2:F$746,"CARREGAMENTO"),0)</f>
        <v>0.68666666666666665</v>
      </c>
      <c r="H536" s="10">
        <f>IFERROR(SUMIFS('Base bordo'!G$2:G$746,'Base bordo'!C$2:C$746,A536,'Base bordo'!B$2:B$746,B536,'Base bordo'!F$2:F$746,"AGUARDANDO TRANSBORDO"),0)</f>
        <v>0.5033333333333333</v>
      </c>
      <c r="I536" s="10">
        <f>IFERROR(SUMIFS('Base bordo'!G$2:G$746,'Base bordo'!C$2:C$746,A536,'Base bordo'!B$2:B$746,B536,'Base bordo'!F$2:F$746,"PÁTIO INTERNO"),0)+IFERROR(SUMIFS('Base bordo'!G$2:G$746,'Base bordo'!C$2:C$746,A536,'Base bordo'!B$2:B$746,B536,'Base bordo'!F$2:F$746,"PÁTIO EXTERNO"),0)+IFERROR(SUMIFS('Base bordo'!G$2:G$746,'Base bordo'!C$2:C$746,A536,'Base bordo'!B$2:B$746,B536,'Base bordo'!F$2:F$746,"PATIO - RESERVA"),0)+IFERROR(SUMIFS('Base bordo'!G$2:G$746,'Base bordo'!C$2:C$746,A536,'Base bordo'!B$2:B$746,B536,'Base bordo'!F$2:F$746,"MANOBRA CARRETAS-PATIO"),0)</f>
        <v>13.577499999999999</v>
      </c>
      <c r="J536" s="10">
        <f>IFERROR(SUMIFS('Base bordo'!G$2:G$746,'Base bordo'!C$2:C$746,A536,'Base bordo'!B$2:B$746,B536,'Base bordo'!F$2:F$746,"BALANÇA - ENTRADA"),0)+IFERROR(SUMIFS('Base bordo'!G$2:G$746,'Base bordo'!C$2:C$746,A536,'Base bordo'!B$2:B$746,B536,'Base bordo'!F$2:F$746,"BALANÇA - SAÍDA"),0)</f>
        <v>0.18777777777777779</v>
      </c>
      <c r="K536" s="10">
        <f>IFERROR(SUMIFS('Base bordo'!G$2:G$746,'Base bordo'!C$2:C$746,A536,'Base bordo'!B$2:B$746,B536,'Base bordo'!F$2:F$746,"MAN PREVENTIVA - MECANICA"),0)+IFERROR(SUMIFS('Base bordo'!G$2:G$746,'Base bordo'!C$2:C$746,A536,'Base bordo'!B$2:B$746,B536,'Base bordo'!F$2:F$746,"MAN CORRETIVA - MECANICA"),0)</f>
        <v>0</v>
      </c>
      <c r="L536" s="10">
        <f>IFERROR(SUMIFS('Base bordo'!G$2:G$746,'Base bordo'!C$2:C$746,A536,'Base bordo'!B$2:B$746,B536,'Base bordo'!F$2:F$746,"MANUTENCAO - T O"),0)+IFERROR(SUMIFS('Base bordo'!G$2:G$746,'Base bordo'!C$2:C$746,A536,'Base bordo'!B$2:B$746,B536,'Base bordo'!F$2:F$746,"MANUTENCAO BORRACHARIA"),0)+IFERROR(SUMIFS('Base bordo'!G$2:G$746,'Base bordo'!C$2:C$746,A536,'Base bordo'!B$2:B$746,B536,'Base bordo'!F$2:F$746,"MANUTENCAO EXTERNA  CONCESSIONARIA"),0)+IFERROR(SUMIFS('Base bordo'!G$2:G$746,'Base bordo'!C$2:C$746,A536,'Base bordo'!B$2:B$746,B536,'Base bordo'!F$2:F$746,"MANUTENCAO TELEMETRIA"),0)</f>
        <v>0</v>
      </c>
      <c r="M536" s="10">
        <f>IFERROR(SUMIFS('Base bordo'!G$2:G$746,'Base bordo'!C$2:C$746,A536,'Base bordo'!B$2:B$746,B536,'Base bordo'!F$2:F$746,"AGUARDANDO MANUTENCAO"),0)</f>
        <v>0</v>
      </c>
      <c r="N536" s="10">
        <f>IFERROR(SUMIFS('Base bordo'!G$2:G$746,'Base bordo'!C$2:C$746,A536,'Base bordo'!B$2:B$746,B536,'Base bordo'!F$2:F$746,"SEM APONTAMENTO"),0)</f>
        <v>0.28888888888888886</v>
      </c>
      <c r="O536" s="10">
        <f t="shared" si="60"/>
        <v>2.5647222222222226</v>
      </c>
      <c r="P536" s="10">
        <f>IFERROR(SUMIFS('Base bordo'!G$2:G$746,'Base bordo'!C$2:C$746,A536,'Base bordo'!B$2:B$746,B536),0)</f>
        <v>24</v>
      </c>
      <c r="Q536" s="10">
        <f>IFERROR(SUMIFS('Base bordo'!H$2:H$746,'Base bordo'!C$2:C$746,A536,'Base bordo'!B$2:B$746,B536,'Base bordo'!F$2:F$746,"DESLOCAMENTO VAZIO"),0)</f>
        <v>187022.74</v>
      </c>
      <c r="R536" s="10">
        <f>IFERROR(SUMIFS('Base bordo'!I$2:I$746,'Base bordo'!C$2:C$746,A536,'Base bordo'!B$2:B$746,B536,'Base bordo'!F$2:F$746,"DESLOCAMENTO VAZIO"),0)</f>
        <v>5803</v>
      </c>
      <c r="S536" s="30">
        <f t="shared" si="61"/>
        <v>32.228630018955712</v>
      </c>
      <c r="T536" s="10">
        <f>IFERROR(SUMIFS('Base bordo'!H$2:H$746,'Base bordo'!C$2:C$746,A536,'Base bordo'!B$2:B$746,B536,'Base bordo'!F$2:F$746,"DESLOCAMENTO CARREGADO"),0)</f>
        <v>411676.06999999995</v>
      </c>
      <c r="U536" s="10">
        <f>IFERROR(SUMIFS('Base bordo'!I$2:I$746,'Base bordo'!C$2:C$746,A536,'Base bordo'!B$2:B$746,B536,'Base bordo'!F$2:F$746,"DESLOCAMENTO CARREGADO"),0)</f>
        <v>14242</v>
      </c>
      <c r="V536" s="30">
        <f t="shared" si="62"/>
        <v>28.905776576323547</v>
      </c>
      <c r="W536" s="9">
        <f t="shared" si="63"/>
        <v>6.716435185185185E-2</v>
      </c>
      <c r="X536" s="9">
        <f t="shared" si="64"/>
        <v>0.16520833333333332</v>
      </c>
      <c r="Y536" s="9">
        <f t="shared" si="65"/>
        <v>0.76762731481481483</v>
      </c>
    </row>
    <row r="537" spans="1:25" ht="15" customHeight="1" x14ac:dyDescent="0.35">
      <c r="A537" s="52">
        <v>8013485</v>
      </c>
      <c r="B537" s="51">
        <v>46124</v>
      </c>
      <c r="C537" s="7" t="s">
        <v>124</v>
      </c>
      <c r="D537" s="10">
        <f>IFERROR(SUMIFS('Base bordo'!G$2:G$746,'Base bordo'!C$2:C$746,A537,'Base bordo'!B$2:B$746,B537,'Base bordo'!F$2:F$746,"DESLOCAMENTO VAZIO"),0)</f>
        <v>1.7575000000000001</v>
      </c>
      <c r="E537" s="10">
        <f>IFERROR(SUMIFS('Base bordo'!G$2:G$746,'Base bordo'!C$2:C$746,A537,'Base bordo'!B$2:B$746,B537,'Base bordo'!F$2:F$746,"DESLOCAMENTO CARREGADO"),0)</f>
        <v>0.59722222222222221</v>
      </c>
      <c r="F537" s="10">
        <f>IFERROR(SUMIFS('Base bordo'!G$2:G$746,'Base bordo'!C$2:C$746,A537,'Base bordo'!B$2:B$746,B537,'Base bordo'!F$2:F$746,"DESLOCAMENTO"),0)</f>
        <v>0</v>
      </c>
      <c r="G537" s="10">
        <f>IFERROR(SUMIFS('Base bordo'!G$2:G$746,'Base bordo'!C$2:C$746,A537,'Base bordo'!B$2:B$746,B537,'Base bordo'!F$2:F$746,"CARREGAMENTO"),0)</f>
        <v>0</v>
      </c>
      <c r="H537" s="10">
        <f>IFERROR(SUMIFS('Base bordo'!G$2:G$746,'Base bordo'!C$2:C$746,A537,'Base bordo'!B$2:B$746,B537,'Base bordo'!F$2:F$746,"AGUARDANDO TRANSBORDO"),0)</f>
        <v>0.35833333333333334</v>
      </c>
      <c r="I537" s="10">
        <f>IFERROR(SUMIFS('Base bordo'!G$2:G$746,'Base bordo'!C$2:C$746,A537,'Base bordo'!B$2:B$746,B537,'Base bordo'!F$2:F$746,"PÁTIO INTERNO"),0)+IFERROR(SUMIFS('Base bordo'!G$2:G$746,'Base bordo'!C$2:C$746,A537,'Base bordo'!B$2:B$746,B537,'Base bordo'!F$2:F$746,"PÁTIO EXTERNO"),0)+IFERROR(SUMIFS('Base bordo'!G$2:G$746,'Base bordo'!C$2:C$746,A537,'Base bordo'!B$2:B$746,B537,'Base bordo'!F$2:F$746,"PATIO - RESERVA"),0)+IFERROR(SUMIFS('Base bordo'!G$2:G$746,'Base bordo'!C$2:C$746,A537,'Base bordo'!B$2:B$746,B537,'Base bordo'!F$2:F$746,"MANOBRA CARRETAS-PATIO"),0)</f>
        <v>4.17</v>
      </c>
      <c r="J537" s="10">
        <f>IFERROR(SUMIFS('Base bordo'!G$2:G$746,'Base bordo'!C$2:C$746,A537,'Base bordo'!B$2:B$746,B537,'Base bordo'!F$2:F$746,"BALANÇA - ENTRADA"),0)+IFERROR(SUMIFS('Base bordo'!G$2:G$746,'Base bordo'!C$2:C$746,A537,'Base bordo'!B$2:B$746,B537,'Base bordo'!F$2:F$746,"BALANÇA - SAÍDA"),0)</f>
        <v>0.19083333333333333</v>
      </c>
      <c r="K537" s="10">
        <f>IFERROR(SUMIFS('Base bordo'!G$2:G$746,'Base bordo'!C$2:C$746,A537,'Base bordo'!B$2:B$746,B537,'Base bordo'!F$2:F$746,"MAN PREVENTIVA - MECANICA"),0)+IFERROR(SUMIFS('Base bordo'!G$2:G$746,'Base bordo'!C$2:C$746,A537,'Base bordo'!B$2:B$746,B537,'Base bordo'!F$2:F$746,"MAN CORRETIVA - MECANICA"),0)</f>
        <v>0</v>
      </c>
      <c r="L537" s="10">
        <f>IFERROR(SUMIFS('Base bordo'!G$2:G$746,'Base bordo'!C$2:C$746,A537,'Base bordo'!B$2:B$746,B537,'Base bordo'!F$2:F$746,"MANUTENCAO - T O"),0)+IFERROR(SUMIFS('Base bordo'!G$2:G$746,'Base bordo'!C$2:C$746,A537,'Base bordo'!B$2:B$746,B537,'Base bordo'!F$2:F$746,"MANUTENCAO BORRACHARIA"),0)+IFERROR(SUMIFS('Base bordo'!G$2:G$746,'Base bordo'!C$2:C$746,A537,'Base bordo'!B$2:B$746,B537,'Base bordo'!F$2:F$746,"MANUTENCAO EXTERNA  CONCESSIONARIA"),0)+IFERROR(SUMIFS('Base bordo'!G$2:G$746,'Base bordo'!C$2:C$746,A537,'Base bordo'!B$2:B$746,B537,'Base bordo'!F$2:F$746,"MANUTENCAO TELEMETRIA"),0)</f>
        <v>0</v>
      </c>
      <c r="M537" s="10">
        <f>IFERROR(SUMIFS('Base bordo'!G$2:G$746,'Base bordo'!C$2:C$746,A537,'Base bordo'!B$2:B$746,B537,'Base bordo'!F$2:F$746,"AGUARDANDO MANUTENCAO"),0)</f>
        <v>0</v>
      </c>
      <c r="N537" s="10">
        <f>IFERROR(SUMIFS('Base bordo'!G$2:G$746,'Base bordo'!C$2:C$746,A537,'Base bordo'!B$2:B$746,B537,'Base bordo'!F$2:F$746,"SEM APONTAMENTO"),0)</f>
        <v>0</v>
      </c>
      <c r="O537" s="10">
        <f t="shared" si="60"/>
        <v>8.8817841970012523E-16</v>
      </c>
      <c r="P537" s="10">
        <f>IFERROR(SUMIFS('Base bordo'!G$2:G$746,'Base bordo'!C$2:C$746,A537,'Base bordo'!B$2:B$746,B537),0)</f>
        <v>7.0738888888888898</v>
      </c>
      <c r="Q537" s="10">
        <f>IFERROR(SUMIFS('Base bordo'!H$2:H$746,'Base bordo'!C$2:C$746,A537,'Base bordo'!B$2:B$746,B537,'Base bordo'!F$2:F$746,"DESLOCAMENTO VAZIO"),0)</f>
        <v>57117.96</v>
      </c>
      <c r="R537" s="10">
        <f>IFERROR(SUMIFS('Base bordo'!I$2:I$746,'Base bordo'!C$2:C$746,A537,'Base bordo'!B$2:B$746,B537,'Base bordo'!F$2:F$746,"DESLOCAMENTO VAZIO"),0)</f>
        <v>2727</v>
      </c>
      <c r="S537" s="30">
        <f t="shared" si="61"/>
        <v>20.945346534653464</v>
      </c>
      <c r="T537" s="10">
        <f>IFERROR(SUMIFS('Base bordo'!H$2:H$746,'Base bordo'!C$2:C$746,A537,'Base bordo'!B$2:B$746,B537,'Base bordo'!F$2:F$746,"DESLOCAMENTO CARREGADO"),0)</f>
        <v>40859.899999999994</v>
      </c>
      <c r="U537" s="10">
        <f>IFERROR(SUMIFS('Base bordo'!I$2:I$746,'Base bordo'!C$2:C$746,A537,'Base bordo'!B$2:B$746,B537,'Base bordo'!F$2:F$746,"DESLOCAMENTO CARREGADO"),0)</f>
        <v>2150</v>
      </c>
      <c r="V537" s="30">
        <f t="shared" si="62"/>
        <v>19.004604651162786</v>
      </c>
      <c r="W537" s="9">
        <f t="shared" si="63"/>
        <v>0.24844891227519042</v>
      </c>
      <c r="X537" s="9">
        <f t="shared" si="64"/>
        <v>8.4426293882038789E-2</v>
      </c>
      <c r="Y537" s="9">
        <f t="shared" si="65"/>
        <v>0.66712479384277079</v>
      </c>
    </row>
    <row r="538" spans="1:25" ht="15" customHeight="1" x14ac:dyDescent="0.35">
      <c r="A538" s="52">
        <v>8013470</v>
      </c>
      <c r="B538" s="51">
        <v>46119</v>
      </c>
      <c r="C538" s="7" t="s">
        <v>124</v>
      </c>
      <c r="D538" s="10">
        <f>IFERROR(SUMIFS('Base bordo'!G$2:G$746,'Base bordo'!C$2:C$746,A538,'Base bordo'!B$2:B$746,B538,'Base bordo'!F$2:F$746,"DESLOCAMENTO VAZIO"),0)</f>
        <v>1.5986111111111112</v>
      </c>
      <c r="E538" s="10">
        <f>IFERROR(SUMIFS('Base bordo'!G$2:G$746,'Base bordo'!C$2:C$746,A538,'Base bordo'!B$2:B$746,B538,'Base bordo'!F$2:F$746,"DESLOCAMENTO CARREGADO"),0)</f>
        <v>1.4394444444444445</v>
      </c>
      <c r="F538" s="10">
        <f>IFERROR(SUMIFS('Base bordo'!G$2:G$746,'Base bordo'!C$2:C$746,A538,'Base bordo'!B$2:B$746,B538,'Base bordo'!F$2:F$746,"DESLOCAMENTO"),0)</f>
        <v>0</v>
      </c>
      <c r="G538" s="10">
        <f>IFERROR(SUMIFS('Base bordo'!G$2:G$746,'Base bordo'!C$2:C$746,A538,'Base bordo'!B$2:B$746,B538,'Base bordo'!F$2:F$746,"CARREGAMENTO"),0)</f>
        <v>0</v>
      </c>
      <c r="H538" s="10">
        <f>IFERROR(SUMIFS('Base bordo'!G$2:G$746,'Base bordo'!C$2:C$746,A538,'Base bordo'!B$2:B$746,B538,'Base bordo'!F$2:F$746,"AGUARDANDO TRANSBORDO"),0)</f>
        <v>0</v>
      </c>
      <c r="I538" s="10">
        <f>IFERROR(SUMIFS('Base bordo'!G$2:G$746,'Base bordo'!C$2:C$746,A538,'Base bordo'!B$2:B$746,B538,'Base bordo'!F$2:F$746,"PÁTIO INTERNO"),0)+IFERROR(SUMIFS('Base bordo'!G$2:G$746,'Base bordo'!C$2:C$746,A538,'Base bordo'!B$2:B$746,B538,'Base bordo'!F$2:F$746,"PÁTIO EXTERNO"),0)+IFERROR(SUMIFS('Base bordo'!G$2:G$746,'Base bordo'!C$2:C$746,A538,'Base bordo'!B$2:B$746,B538,'Base bordo'!F$2:F$746,"PATIO - RESERVA"),0)+IFERROR(SUMIFS('Base bordo'!G$2:G$746,'Base bordo'!C$2:C$746,A538,'Base bordo'!B$2:B$746,B538,'Base bordo'!F$2:F$746,"MANOBRA CARRETAS-PATIO"),0)</f>
        <v>9.555555555555556E-2</v>
      </c>
      <c r="J538" s="10">
        <f>IFERROR(SUMIFS('Base bordo'!G$2:G$746,'Base bordo'!C$2:C$746,A538,'Base bordo'!B$2:B$746,B538,'Base bordo'!F$2:F$746,"BALANÇA - ENTRADA"),0)+IFERROR(SUMIFS('Base bordo'!G$2:G$746,'Base bordo'!C$2:C$746,A538,'Base bordo'!B$2:B$746,B538,'Base bordo'!F$2:F$746,"BALANÇA - SAÍDA"),0)</f>
        <v>1.2222222222222223E-2</v>
      </c>
      <c r="K538" s="10">
        <f>IFERROR(SUMIFS('Base bordo'!G$2:G$746,'Base bordo'!C$2:C$746,A538,'Base bordo'!B$2:B$746,B538,'Base bordo'!F$2:F$746,"MAN PREVENTIVA - MECANICA"),0)+IFERROR(SUMIFS('Base bordo'!G$2:G$746,'Base bordo'!C$2:C$746,A538,'Base bordo'!B$2:B$746,B538,'Base bordo'!F$2:F$746,"MAN CORRETIVA - MECANICA"),0)</f>
        <v>0</v>
      </c>
      <c r="L538" s="10">
        <f>IFERROR(SUMIFS('Base bordo'!G$2:G$746,'Base bordo'!C$2:C$746,A538,'Base bordo'!B$2:B$746,B538,'Base bordo'!F$2:F$746,"MANUTENCAO - T O"),0)+IFERROR(SUMIFS('Base bordo'!G$2:G$746,'Base bordo'!C$2:C$746,A538,'Base bordo'!B$2:B$746,B538,'Base bordo'!F$2:F$746,"MANUTENCAO BORRACHARIA"),0)+IFERROR(SUMIFS('Base bordo'!G$2:G$746,'Base bordo'!C$2:C$746,A538,'Base bordo'!B$2:B$746,B538,'Base bordo'!F$2:F$746,"MANUTENCAO EXTERNA  CONCESSIONARIA"),0)+IFERROR(SUMIFS('Base bordo'!G$2:G$746,'Base bordo'!C$2:C$746,A538,'Base bordo'!B$2:B$746,B538,'Base bordo'!F$2:F$746,"MANUTENCAO TELEMETRIA"),0)</f>
        <v>0</v>
      </c>
      <c r="M538" s="10">
        <f>IFERROR(SUMIFS('Base bordo'!G$2:G$746,'Base bordo'!C$2:C$746,A538,'Base bordo'!B$2:B$746,B538,'Base bordo'!F$2:F$746,"AGUARDANDO MANUTENCAO"),0)</f>
        <v>0</v>
      </c>
      <c r="N538" s="10">
        <f>IFERROR(SUMIFS('Base bordo'!G$2:G$746,'Base bordo'!C$2:C$746,A538,'Base bordo'!B$2:B$746,B538,'Base bordo'!F$2:F$746,"SEM APONTAMENTO"),0)</f>
        <v>0</v>
      </c>
      <c r="O538" s="10">
        <f t="shared" si="60"/>
        <v>0</v>
      </c>
      <c r="P538" s="10">
        <f>IFERROR(SUMIFS('Base bordo'!G$2:G$746,'Base bordo'!C$2:C$746,A538,'Base bordo'!B$2:B$746,B538),0)</f>
        <v>3.1458333333333335</v>
      </c>
      <c r="Q538" s="10">
        <f>IFERROR(SUMIFS('Base bordo'!H$2:H$746,'Base bordo'!C$2:C$746,A538,'Base bordo'!B$2:B$746,B538,'Base bordo'!F$2:F$746,"DESLOCAMENTO VAZIO"),0)</f>
        <v>177776.33999999997</v>
      </c>
      <c r="R538" s="10">
        <f>IFERROR(SUMIFS('Base bordo'!I$2:I$746,'Base bordo'!C$2:C$746,A538,'Base bordo'!B$2:B$746,B538,'Base bordo'!F$2:F$746,"DESLOCAMENTO VAZIO"),0)</f>
        <v>5755</v>
      </c>
      <c r="S538" s="30">
        <f t="shared" si="61"/>
        <v>30.890762814943521</v>
      </c>
      <c r="T538" s="10">
        <f>IFERROR(SUMIFS('Base bordo'!H$2:H$746,'Base bordo'!C$2:C$746,A538,'Base bordo'!B$2:B$746,B538,'Base bordo'!F$2:F$746,"DESLOCAMENTO CARREGADO"),0)</f>
        <v>96305.44</v>
      </c>
      <c r="U538" s="10">
        <f>IFERROR(SUMIFS('Base bordo'!I$2:I$746,'Base bordo'!C$2:C$746,A538,'Base bordo'!B$2:B$746,B538,'Base bordo'!F$2:F$746,"DESLOCAMENTO CARREGADO"),0)</f>
        <v>5182</v>
      </c>
      <c r="V538" s="30">
        <f t="shared" si="62"/>
        <v>18.584608259359321</v>
      </c>
      <c r="W538" s="9">
        <f t="shared" si="63"/>
        <v>0.50816777041942607</v>
      </c>
      <c r="X538" s="9">
        <f t="shared" si="64"/>
        <v>0.45757174392935984</v>
      </c>
      <c r="Y538" s="9">
        <f t="shared" si="65"/>
        <v>3.426048565121409E-2</v>
      </c>
    </row>
    <row r="539" spans="1:25" ht="15" customHeight="1" x14ac:dyDescent="0.35">
      <c r="A539" s="52">
        <v>8013473</v>
      </c>
      <c r="B539" s="51">
        <v>46119</v>
      </c>
      <c r="C539" s="7" t="s">
        <v>124</v>
      </c>
      <c r="D539" s="10">
        <f>IFERROR(SUMIFS('Base bordo'!G$2:G$746,'Base bordo'!C$2:C$746,A539,'Base bordo'!B$2:B$746,B539,'Base bordo'!F$2:F$746,"DESLOCAMENTO VAZIO"),0)</f>
        <v>9.0277777777777776E-2</v>
      </c>
      <c r="E539" s="10">
        <f>IFERROR(SUMIFS('Base bordo'!G$2:G$746,'Base bordo'!C$2:C$746,A539,'Base bordo'!B$2:B$746,B539,'Base bordo'!F$2:F$746,"DESLOCAMENTO CARREGADO"),0)</f>
        <v>0</v>
      </c>
      <c r="F539" s="10">
        <f>IFERROR(SUMIFS('Base bordo'!G$2:G$746,'Base bordo'!C$2:C$746,A539,'Base bordo'!B$2:B$746,B539,'Base bordo'!F$2:F$746,"DESLOCAMENTO"),0)</f>
        <v>0</v>
      </c>
      <c r="G539" s="10">
        <f>IFERROR(SUMIFS('Base bordo'!G$2:G$746,'Base bordo'!C$2:C$746,A539,'Base bordo'!B$2:B$746,B539,'Base bordo'!F$2:F$746,"CARREGAMENTO"),0)</f>
        <v>0</v>
      </c>
      <c r="H539" s="10">
        <f>IFERROR(SUMIFS('Base bordo'!G$2:G$746,'Base bordo'!C$2:C$746,A539,'Base bordo'!B$2:B$746,B539,'Base bordo'!F$2:F$746,"AGUARDANDO TRANSBORDO"),0)</f>
        <v>0</v>
      </c>
      <c r="I539" s="10">
        <f>IFERROR(SUMIFS('Base bordo'!G$2:G$746,'Base bordo'!C$2:C$746,A539,'Base bordo'!B$2:B$746,B539,'Base bordo'!F$2:F$746,"PÁTIO INTERNO"),0)+IFERROR(SUMIFS('Base bordo'!G$2:G$746,'Base bordo'!C$2:C$746,A539,'Base bordo'!B$2:B$746,B539,'Base bordo'!F$2:F$746,"PÁTIO EXTERNO"),0)+IFERROR(SUMIFS('Base bordo'!G$2:G$746,'Base bordo'!C$2:C$746,A539,'Base bordo'!B$2:B$746,B539,'Base bordo'!F$2:F$746,"PATIO - RESERVA"),0)+IFERROR(SUMIFS('Base bordo'!G$2:G$746,'Base bordo'!C$2:C$746,A539,'Base bordo'!B$2:B$746,B539,'Base bordo'!F$2:F$746,"MANOBRA CARRETAS-PATIO"),0)</f>
        <v>21.094999999999999</v>
      </c>
      <c r="J539" s="10">
        <f>IFERROR(SUMIFS('Base bordo'!G$2:G$746,'Base bordo'!C$2:C$746,A539,'Base bordo'!B$2:B$746,B539,'Base bordo'!F$2:F$746,"BALANÇA - ENTRADA"),0)+IFERROR(SUMIFS('Base bordo'!G$2:G$746,'Base bordo'!C$2:C$746,A539,'Base bordo'!B$2:B$746,B539,'Base bordo'!F$2:F$746,"BALANÇA - SAÍDA"),0)</f>
        <v>8.1111111111111106E-2</v>
      </c>
      <c r="K539" s="10">
        <f>IFERROR(SUMIFS('Base bordo'!G$2:G$746,'Base bordo'!C$2:C$746,A539,'Base bordo'!B$2:B$746,B539,'Base bordo'!F$2:F$746,"MAN PREVENTIVA - MECANICA"),0)+IFERROR(SUMIFS('Base bordo'!G$2:G$746,'Base bordo'!C$2:C$746,A539,'Base bordo'!B$2:B$746,B539,'Base bordo'!F$2:F$746,"MAN CORRETIVA - MECANICA"),0)</f>
        <v>0</v>
      </c>
      <c r="L539" s="10">
        <f>IFERROR(SUMIFS('Base bordo'!G$2:G$746,'Base bordo'!C$2:C$746,A539,'Base bordo'!B$2:B$746,B539,'Base bordo'!F$2:F$746,"MANUTENCAO - T O"),0)+IFERROR(SUMIFS('Base bordo'!G$2:G$746,'Base bordo'!C$2:C$746,A539,'Base bordo'!B$2:B$746,B539,'Base bordo'!F$2:F$746,"MANUTENCAO BORRACHARIA"),0)+IFERROR(SUMIFS('Base bordo'!G$2:G$746,'Base bordo'!C$2:C$746,A539,'Base bordo'!B$2:B$746,B539,'Base bordo'!F$2:F$746,"MANUTENCAO EXTERNA  CONCESSIONARIA"),0)+IFERROR(SUMIFS('Base bordo'!G$2:G$746,'Base bordo'!C$2:C$746,A539,'Base bordo'!B$2:B$746,B539,'Base bordo'!F$2:F$746,"MANUTENCAO TELEMETRIA"),0)</f>
        <v>0</v>
      </c>
      <c r="M539" s="10">
        <f>IFERROR(SUMIFS('Base bordo'!G$2:G$746,'Base bordo'!C$2:C$746,A539,'Base bordo'!B$2:B$746,B539,'Base bordo'!F$2:F$746,"AGUARDANDO MANUTENCAO"),0)</f>
        <v>0</v>
      </c>
      <c r="N539" s="10">
        <f>IFERROR(SUMIFS('Base bordo'!G$2:G$746,'Base bordo'!C$2:C$746,A539,'Base bordo'!B$2:B$746,B539,'Base bordo'!F$2:F$746,"SEM APONTAMENTO"),0)</f>
        <v>0</v>
      </c>
      <c r="O539" s="10">
        <f t="shared" si="60"/>
        <v>0</v>
      </c>
      <c r="P539" s="10">
        <f>IFERROR(SUMIFS('Base bordo'!G$2:G$746,'Base bordo'!C$2:C$746,A539,'Base bordo'!B$2:B$746,B539),0)</f>
        <v>21.266388888888887</v>
      </c>
      <c r="Q539" s="10">
        <f>IFERROR(SUMIFS('Base bordo'!H$2:H$746,'Base bordo'!C$2:C$746,A539,'Base bordo'!B$2:B$746,B539,'Base bordo'!F$2:F$746,"DESLOCAMENTO VAZIO"),0)</f>
        <v>2236.9</v>
      </c>
      <c r="R539" s="10">
        <f>IFERROR(SUMIFS('Base bordo'!I$2:I$746,'Base bordo'!C$2:C$746,A539,'Base bordo'!B$2:B$746,B539,'Base bordo'!F$2:F$746,"DESLOCAMENTO VAZIO"),0)</f>
        <v>325</v>
      </c>
      <c r="S539" s="30">
        <f t="shared" si="61"/>
        <v>6.882769230769231</v>
      </c>
      <c r="T539" s="10">
        <f>IFERROR(SUMIFS('Base bordo'!H$2:H$746,'Base bordo'!C$2:C$746,A539,'Base bordo'!B$2:B$746,B539,'Base bordo'!F$2:F$746,"DESLOCAMENTO CARREGADO"),0)</f>
        <v>0</v>
      </c>
      <c r="U539" s="10">
        <f>IFERROR(SUMIFS('Base bordo'!I$2:I$746,'Base bordo'!C$2:C$746,A539,'Base bordo'!B$2:B$746,B539,'Base bordo'!F$2:F$746,"DESLOCAMENTO CARREGADO"),0)</f>
        <v>0</v>
      </c>
      <c r="V539" s="30" t="str">
        <f t="shared" si="62"/>
        <v/>
      </c>
      <c r="W539" s="9">
        <f t="shared" si="63"/>
        <v>4.2450920205331834E-3</v>
      </c>
      <c r="X539" s="9">
        <f t="shared" si="64"/>
        <v>0</v>
      </c>
      <c r="Y539" s="9">
        <f t="shared" si="65"/>
        <v>0.99575490797946686</v>
      </c>
    </row>
    <row r="540" spans="1:25" ht="15" customHeight="1" x14ac:dyDescent="0.35">
      <c r="A540" s="52">
        <v>8013476</v>
      </c>
      <c r="B540" s="51">
        <v>46119</v>
      </c>
      <c r="C540" s="7" t="s">
        <v>124</v>
      </c>
      <c r="D540" s="10">
        <f>IFERROR(SUMIFS('Base bordo'!G$2:G$746,'Base bordo'!C$2:C$746,A540,'Base bordo'!B$2:B$746,B540,'Base bordo'!F$2:F$746,"DESLOCAMENTO VAZIO"),0)</f>
        <v>1.5263888888888888</v>
      </c>
      <c r="E540" s="10">
        <f>IFERROR(SUMIFS('Base bordo'!G$2:G$746,'Base bordo'!C$2:C$746,A540,'Base bordo'!B$2:B$746,B540,'Base bordo'!F$2:F$746,"DESLOCAMENTO CARREGADO"),0)</f>
        <v>0.64083333333333337</v>
      </c>
      <c r="F540" s="10">
        <f>IFERROR(SUMIFS('Base bordo'!G$2:G$746,'Base bordo'!C$2:C$746,A540,'Base bordo'!B$2:B$746,B540,'Base bordo'!F$2:F$746,"DESLOCAMENTO"),0)</f>
        <v>0</v>
      </c>
      <c r="G540" s="10">
        <f>IFERROR(SUMIFS('Base bordo'!G$2:G$746,'Base bordo'!C$2:C$746,A540,'Base bordo'!B$2:B$746,B540,'Base bordo'!F$2:F$746,"CARREGAMENTO"),0)</f>
        <v>0</v>
      </c>
      <c r="H540" s="10">
        <f>IFERROR(SUMIFS('Base bordo'!G$2:G$746,'Base bordo'!C$2:C$746,A540,'Base bordo'!B$2:B$746,B540,'Base bordo'!F$2:F$746,"AGUARDANDO TRANSBORDO"),0)</f>
        <v>0.96361111111111108</v>
      </c>
      <c r="I540" s="10">
        <f>IFERROR(SUMIFS('Base bordo'!G$2:G$746,'Base bordo'!C$2:C$746,A540,'Base bordo'!B$2:B$746,B540,'Base bordo'!F$2:F$746,"PÁTIO INTERNO"),0)+IFERROR(SUMIFS('Base bordo'!G$2:G$746,'Base bordo'!C$2:C$746,A540,'Base bordo'!B$2:B$746,B540,'Base bordo'!F$2:F$746,"PÁTIO EXTERNO"),0)+IFERROR(SUMIFS('Base bordo'!G$2:G$746,'Base bordo'!C$2:C$746,A540,'Base bordo'!B$2:B$746,B540,'Base bordo'!F$2:F$746,"PATIO - RESERVA"),0)+IFERROR(SUMIFS('Base bordo'!G$2:G$746,'Base bordo'!C$2:C$746,A540,'Base bordo'!B$2:B$746,B540,'Base bordo'!F$2:F$746,"MANOBRA CARRETAS-PATIO"),0)</f>
        <v>9.7777777777777783E-2</v>
      </c>
      <c r="J540" s="10">
        <f>IFERROR(SUMIFS('Base bordo'!G$2:G$746,'Base bordo'!C$2:C$746,A540,'Base bordo'!B$2:B$746,B540,'Base bordo'!F$2:F$746,"BALANÇA - ENTRADA"),0)+IFERROR(SUMIFS('Base bordo'!G$2:G$746,'Base bordo'!C$2:C$746,A540,'Base bordo'!B$2:B$746,B540,'Base bordo'!F$2:F$746,"BALANÇA - SAÍDA"),0)</f>
        <v>7.7777777777777776E-3</v>
      </c>
      <c r="K540" s="10">
        <f>IFERROR(SUMIFS('Base bordo'!G$2:G$746,'Base bordo'!C$2:C$746,A540,'Base bordo'!B$2:B$746,B540,'Base bordo'!F$2:F$746,"MAN PREVENTIVA - MECANICA"),0)+IFERROR(SUMIFS('Base bordo'!G$2:G$746,'Base bordo'!C$2:C$746,A540,'Base bordo'!B$2:B$746,B540,'Base bordo'!F$2:F$746,"MAN CORRETIVA - MECANICA"),0)</f>
        <v>0</v>
      </c>
      <c r="L540" s="10">
        <f>IFERROR(SUMIFS('Base bordo'!G$2:G$746,'Base bordo'!C$2:C$746,A540,'Base bordo'!B$2:B$746,B540,'Base bordo'!F$2:F$746,"MANUTENCAO - T O"),0)+IFERROR(SUMIFS('Base bordo'!G$2:G$746,'Base bordo'!C$2:C$746,A540,'Base bordo'!B$2:B$746,B540,'Base bordo'!F$2:F$746,"MANUTENCAO BORRACHARIA"),0)+IFERROR(SUMIFS('Base bordo'!G$2:G$746,'Base bordo'!C$2:C$746,A540,'Base bordo'!B$2:B$746,B540,'Base bordo'!F$2:F$746,"MANUTENCAO EXTERNA  CONCESSIONARIA"),0)+IFERROR(SUMIFS('Base bordo'!G$2:G$746,'Base bordo'!C$2:C$746,A540,'Base bordo'!B$2:B$746,B540,'Base bordo'!F$2:F$746,"MANUTENCAO TELEMETRIA"),0)</f>
        <v>0</v>
      </c>
      <c r="M540" s="10">
        <f>IFERROR(SUMIFS('Base bordo'!G$2:G$746,'Base bordo'!C$2:C$746,A540,'Base bordo'!B$2:B$746,B540,'Base bordo'!F$2:F$746,"AGUARDANDO MANUTENCAO"),0)</f>
        <v>0</v>
      </c>
      <c r="N540" s="10">
        <f>IFERROR(SUMIFS('Base bordo'!G$2:G$746,'Base bordo'!C$2:C$746,A540,'Base bordo'!B$2:B$746,B540,'Base bordo'!F$2:F$746,"SEM APONTAMENTO"),0)</f>
        <v>0</v>
      </c>
      <c r="O540" s="10">
        <f t="shared" si="60"/>
        <v>0</v>
      </c>
      <c r="P540" s="10">
        <f>IFERROR(SUMIFS('Base bordo'!G$2:G$746,'Base bordo'!C$2:C$746,A540,'Base bordo'!B$2:B$746,B540),0)</f>
        <v>3.236388888888889</v>
      </c>
      <c r="Q540" s="10">
        <f>IFERROR(SUMIFS('Base bordo'!H$2:H$746,'Base bordo'!C$2:C$746,A540,'Base bordo'!B$2:B$746,B540,'Base bordo'!F$2:F$746,"DESLOCAMENTO VAZIO"),0)</f>
        <v>181446.87000000002</v>
      </c>
      <c r="R540" s="10">
        <f>IFERROR(SUMIFS('Base bordo'!I$2:I$746,'Base bordo'!C$2:C$746,A540,'Base bordo'!B$2:B$746,B540,'Base bordo'!F$2:F$746,"DESLOCAMENTO VAZIO"),0)</f>
        <v>5495</v>
      </c>
      <c r="S540" s="30">
        <f t="shared" si="61"/>
        <v>33.020358507734308</v>
      </c>
      <c r="T540" s="10">
        <f>IFERROR(SUMIFS('Base bordo'!H$2:H$746,'Base bordo'!C$2:C$746,A540,'Base bordo'!B$2:B$746,B540,'Base bordo'!F$2:F$746,"DESLOCAMENTO CARREGADO"),0)</f>
        <v>34581.93</v>
      </c>
      <c r="U540" s="10">
        <f>IFERROR(SUMIFS('Base bordo'!I$2:I$746,'Base bordo'!C$2:C$746,A540,'Base bordo'!B$2:B$746,B540,'Base bordo'!F$2:F$746,"DESLOCAMENTO CARREGADO"),0)</f>
        <v>2307</v>
      </c>
      <c r="V540" s="30">
        <f t="shared" si="62"/>
        <v>14.99</v>
      </c>
      <c r="W540" s="9">
        <f t="shared" si="63"/>
        <v>0.47163333619431802</v>
      </c>
      <c r="X540" s="9">
        <f t="shared" si="64"/>
        <v>0.19800875461333792</v>
      </c>
      <c r="Y540" s="9">
        <f t="shared" si="65"/>
        <v>0.33035790919234409</v>
      </c>
    </row>
    <row r="541" spans="1:25" ht="15" customHeight="1" x14ac:dyDescent="0.35">
      <c r="A541" s="52">
        <v>8013486</v>
      </c>
      <c r="B541" s="51">
        <v>46118</v>
      </c>
      <c r="C541" s="7" t="s">
        <v>124</v>
      </c>
      <c r="D541" s="10">
        <f>IFERROR(SUMIFS('Base bordo'!G$2:G$746,'Base bordo'!C$2:C$746,A541,'Base bordo'!B$2:B$746,B541,'Base bordo'!F$2:F$746,"DESLOCAMENTO VAZIO"),0)</f>
        <v>0.90972222222222221</v>
      </c>
      <c r="E541" s="10">
        <f>IFERROR(SUMIFS('Base bordo'!G$2:G$746,'Base bordo'!C$2:C$746,A541,'Base bordo'!B$2:B$746,B541,'Base bordo'!F$2:F$746,"DESLOCAMENTO CARREGADO"),0)</f>
        <v>1.7558333333333334</v>
      </c>
      <c r="F541" s="10">
        <f>IFERROR(SUMIFS('Base bordo'!G$2:G$746,'Base bordo'!C$2:C$746,A541,'Base bordo'!B$2:B$746,B541,'Base bordo'!F$2:F$746,"DESLOCAMENTO"),0)</f>
        <v>6.0436111111111108</v>
      </c>
      <c r="G541" s="10">
        <f>IFERROR(SUMIFS('Base bordo'!G$2:G$746,'Base bordo'!C$2:C$746,A541,'Base bordo'!B$2:B$746,B541,'Base bordo'!F$2:F$746,"CARREGAMENTO"),0)</f>
        <v>0</v>
      </c>
      <c r="H541" s="10">
        <f>IFERROR(SUMIFS('Base bordo'!G$2:G$746,'Base bordo'!C$2:C$746,A541,'Base bordo'!B$2:B$746,B541,'Base bordo'!F$2:F$746,"AGUARDANDO TRANSBORDO"),0)</f>
        <v>0</v>
      </c>
      <c r="I541" s="10">
        <f>IFERROR(SUMIFS('Base bordo'!G$2:G$746,'Base bordo'!C$2:C$746,A541,'Base bordo'!B$2:B$746,B541,'Base bordo'!F$2:F$746,"PÁTIO INTERNO"),0)+IFERROR(SUMIFS('Base bordo'!G$2:G$746,'Base bordo'!C$2:C$746,A541,'Base bordo'!B$2:B$746,B541,'Base bordo'!F$2:F$746,"PÁTIO EXTERNO"),0)+IFERROR(SUMIFS('Base bordo'!G$2:G$746,'Base bordo'!C$2:C$746,A541,'Base bordo'!B$2:B$746,B541,'Base bordo'!F$2:F$746,"PATIO - RESERVA"),0)+IFERROR(SUMIFS('Base bordo'!G$2:G$746,'Base bordo'!C$2:C$746,A541,'Base bordo'!B$2:B$746,B541,'Base bordo'!F$2:F$746,"MANOBRA CARRETAS-PATIO"),0)</f>
        <v>3.7905555555555552</v>
      </c>
      <c r="J541" s="10">
        <f>IFERROR(SUMIFS('Base bordo'!G$2:G$746,'Base bordo'!C$2:C$746,A541,'Base bordo'!B$2:B$746,B541,'Base bordo'!F$2:F$746,"BALANÇA - ENTRADA"),0)+IFERROR(SUMIFS('Base bordo'!G$2:G$746,'Base bordo'!C$2:C$746,A541,'Base bordo'!B$2:B$746,B541,'Base bordo'!F$2:F$746,"BALANÇA - SAÍDA"),0)</f>
        <v>5.6666666666666664E-2</v>
      </c>
      <c r="K541" s="10">
        <f>IFERROR(SUMIFS('Base bordo'!G$2:G$746,'Base bordo'!C$2:C$746,A541,'Base bordo'!B$2:B$746,B541,'Base bordo'!F$2:F$746,"MAN PREVENTIVA - MECANICA"),0)+IFERROR(SUMIFS('Base bordo'!G$2:G$746,'Base bordo'!C$2:C$746,A541,'Base bordo'!B$2:B$746,B541,'Base bordo'!F$2:F$746,"MAN CORRETIVA - MECANICA"),0)</f>
        <v>0</v>
      </c>
      <c r="L541" s="10">
        <f>IFERROR(SUMIFS('Base bordo'!G$2:G$746,'Base bordo'!C$2:C$746,A541,'Base bordo'!B$2:B$746,B541,'Base bordo'!F$2:F$746,"MANUTENCAO - T O"),0)+IFERROR(SUMIFS('Base bordo'!G$2:G$746,'Base bordo'!C$2:C$746,A541,'Base bordo'!B$2:B$746,B541,'Base bordo'!F$2:F$746,"MANUTENCAO BORRACHARIA"),0)+IFERROR(SUMIFS('Base bordo'!G$2:G$746,'Base bordo'!C$2:C$746,A541,'Base bordo'!B$2:B$746,B541,'Base bordo'!F$2:F$746,"MANUTENCAO EXTERNA  CONCESSIONARIA"),0)+IFERROR(SUMIFS('Base bordo'!G$2:G$746,'Base bordo'!C$2:C$746,A541,'Base bordo'!B$2:B$746,B541,'Base bordo'!F$2:F$746,"MANUTENCAO TELEMETRIA"),0)</f>
        <v>9.4491666666666667</v>
      </c>
      <c r="M541" s="10">
        <f>IFERROR(SUMIFS('Base bordo'!G$2:G$746,'Base bordo'!C$2:C$746,A541,'Base bordo'!B$2:B$746,B541,'Base bordo'!F$2:F$746,"AGUARDANDO MANUTENCAO"),0)</f>
        <v>0</v>
      </c>
      <c r="N541" s="10">
        <f>IFERROR(SUMIFS('Base bordo'!G$2:G$746,'Base bordo'!C$2:C$746,A541,'Base bordo'!B$2:B$746,B541,'Base bordo'!F$2:F$746,"SEM APONTAMENTO"),0)</f>
        <v>0</v>
      </c>
      <c r="O541" s="10">
        <f t="shared" si="60"/>
        <v>0.20222222222222541</v>
      </c>
      <c r="P541" s="10">
        <f>IFERROR(SUMIFS('Base bordo'!G$2:G$746,'Base bordo'!C$2:C$746,A541,'Base bordo'!B$2:B$746,B541),0)</f>
        <v>22.207777777777778</v>
      </c>
      <c r="Q541" s="10">
        <f>IFERROR(SUMIFS('Base bordo'!H$2:H$746,'Base bordo'!C$2:C$746,A541,'Base bordo'!B$2:B$746,B541,'Base bordo'!F$2:F$746,"DESLOCAMENTO VAZIO"),0)</f>
        <v>86336.93</v>
      </c>
      <c r="R541" s="10">
        <f>IFERROR(SUMIFS('Base bordo'!I$2:I$746,'Base bordo'!C$2:C$746,A541,'Base bordo'!B$2:B$746,B541,'Base bordo'!F$2:F$746,"DESLOCAMENTO VAZIO"),0)</f>
        <v>3275</v>
      </c>
      <c r="S541" s="30">
        <f t="shared" si="61"/>
        <v>26.362421374045798</v>
      </c>
      <c r="T541" s="10">
        <f>IFERROR(SUMIFS('Base bordo'!H$2:H$746,'Base bordo'!C$2:C$746,A541,'Base bordo'!B$2:B$746,B541,'Base bordo'!F$2:F$746,"DESLOCAMENTO CARREGADO"),0)</f>
        <v>166427.58000000002</v>
      </c>
      <c r="U541" s="10">
        <f>IFERROR(SUMIFS('Base bordo'!I$2:I$746,'Base bordo'!C$2:C$746,A541,'Base bordo'!B$2:B$746,B541,'Base bordo'!F$2:F$746,"DESLOCAMENTO CARREGADO"),0)</f>
        <v>6321</v>
      </c>
      <c r="V541" s="30">
        <f t="shared" si="62"/>
        <v>26.329311817750359</v>
      </c>
      <c r="W541" s="9">
        <f t="shared" si="63"/>
        <v>4.0964126682343519E-2</v>
      </c>
      <c r="X541" s="9">
        <f t="shared" si="64"/>
        <v>7.9063891529494168E-2</v>
      </c>
      <c r="Y541" s="9">
        <f t="shared" si="65"/>
        <v>0.87997198178816227</v>
      </c>
    </row>
    <row r="542" spans="1:25" ht="15" customHeight="1" x14ac:dyDescent="0.35">
      <c r="A542" s="52">
        <v>8013474</v>
      </c>
      <c r="B542" s="51">
        <v>46119</v>
      </c>
      <c r="C542" s="7" t="s">
        <v>124</v>
      </c>
      <c r="D542" s="10">
        <f>IFERROR(SUMIFS('Base bordo'!G$2:G$746,'Base bordo'!C$2:C$746,A542,'Base bordo'!B$2:B$746,B542,'Base bordo'!F$2:F$746,"DESLOCAMENTO VAZIO"),0)</f>
        <v>1.3672222222222221</v>
      </c>
      <c r="E542" s="10">
        <f>IFERROR(SUMIFS('Base bordo'!G$2:G$746,'Base bordo'!C$2:C$746,A542,'Base bordo'!B$2:B$746,B542,'Base bordo'!F$2:F$746,"DESLOCAMENTO CARREGADO"),0)</f>
        <v>2.1927777777777777</v>
      </c>
      <c r="F542" s="10">
        <f>IFERROR(SUMIFS('Base bordo'!G$2:G$746,'Base bordo'!C$2:C$746,A542,'Base bordo'!B$2:B$746,B542,'Base bordo'!F$2:F$746,"DESLOCAMENTO"),0)</f>
        <v>0</v>
      </c>
      <c r="G542" s="10">
        <f>IFERROR(SUMIFS('Base bordo'!G$2:G$746,'Base bordo'!C$2:C$746,A542,'Base bordo'!B$2:B$746,B542,'Base bordo'!F$2:F$746,"CARREGAMENTO"),0)</f>
        <v>0</v>
      </c>
      <c r="H542" s="10">
        <f>IFERROR(SUMIFS('Base bordo'!G$2:G$746,'Base bordo'!C$2:C$746,A542,'Base bordo'!B$2:B$746,B542,'Base bordo'!F$2:F$746,"AGUARDANDO TRANSBORDO"),0)</f>
        <v>0.30111111111111111</v>
      </c>
      <c r="I542" s="10">
        <f>IFERROR(SUMIFS('Base bordo'!G$2:G$746,'Base bordo'!C$2:C$746,A542,'Base bordo'!B$2:B$746,B542,'Base bordo'!F$2:F$746,"PÁTIO INTERNO"),0)+IFERROR(SUMIFS('Base bordo'!G$2:G$746,'Base bordo'!C$2:C$746,A542,'Base bordo'!B$2:B$746,B542,'Base bordo'!F$2:F$746,"PÁTIO EXTERNO"),0)+IFERROR(SUMIFS('Base bordo'!G$2:G$746,'Base bordo'!C$2:C$746,A542,'Base bordo'!B$2:B$746,B542,'Base bordo'!F$2:F$746,"PATIO - RESERVA"),0)+IFERROR(SUMIFS('Base bordo'!G$2:G$746,'Base bordo'!C$2:C$746,A542,'Base bordo'!B$2:B$746,B542,'Base bordo'!F$2:F$746,"MANOBRA CARRETAS-PATIO"),0)</f>
        <v>19.229166666666668</v>
      </c>
      <c r="J542" s="10">
        <f>IFERROR(SUMIFS('Base bordo'!G$2:G$746,'Base bordo'!C$2:C$746,A542,'Base bordo'!B$2:B$746,B542,'Base bordo'!F$2:F$746,"BALANÇA - ENTRADA"),0)+IFERROR(SUMIFS('Base bordo'!G$2:G$746,'Base bordo'!C$2:C$746,A542,'Base bordo'!B$2:B$746,B542,'Base bordo'!F$2:F$746,"BALANÇA - SAÍDA"),0)</f>
        <v>2.8611111111111108E-2</v>
      </c>
      <c r="K542" s="10">
        <f>IFERROR(SUMIFS('Base bordo'!G$2:G$746,'Base bordo'!C$2:C$746,A542,'Base bordo'!B$2:B$746,B542,'Base bordo'!F$2:F$746,"MAN PREVENTIVA - MECANICA"),0)+IFERROR(SUMIFS('Base bordo'!G$2:G$746,'Base bordo'!C$2:C$746,A542,'Base bordo'!B$2:B$746,B542,'Base bordo'!F$2:F$746,"MAN CORRETIVA - MECANICA"),0)</f>
        <v>0</v>
      </c>
      <c r="L542" s="10">
        <f>IFERROR(SUMIFS('Base bordo'!G$2:G$746,'Base bordo'!C$2:C$746,A542,'Base bordo'!B$2:B$746,B542,'Base bordo'!F$2:F$746,"MANUTENCAO - T O"),0)+IFERROR(SUMIFS('Base bordo'!G$2:G$746,'Base bordo'!C$2:C$746,A542,'Base bordo'!B$2:B$746,B542,'Base bordo'!F$2:F$746,"MANUTENCAO BORRACHARIA"),0)+IFERROR(SUMIFS('Base bordo'!G$2:G$746,'Base bordo'!C$2:C$746,A542,'Base bordo'!B$2:B$746,B542,'Base bordo'!F$2:F$746,"MANUTENCAO EXTERNA  CONCESSIONARIA"),0)+IFERROR(SUMIFS('Base bordo'!G$2:G$746,'Base bordo'!C$2:C$746,A542,'Base bordo'!B$2:B$746,B542,'Base bordo'!F$2:F$746,"MANUTENCAO TELEMETRIA"),0)</f>
        <v>0</v>
      </c>
      <c r="M542" s="10">
        <f>IFERROR(SUMIFS('Base bordo'!G$2:G$746,'Base bordo'!C$2:C$746,A542,'Base bordo'!B$2:B$746,B542,'Base bordo'!F$2:F$746,"AGUARDANDO MANUTENCAO"),0)</f>
        <v>0</v>
      </c>
      <c r="N542" s="10">
        <f>IFERROR(SUMIFS('Base bordo'!G$2:G$746,'Base bordo'!C$2:C$746,A542,'Base bordo'!B$2:B$746,B542,'Base bordo'!F$2:F$746,"SEM APONTAMENTO"),0)</f>
        <v>0</v>
      </c>
      <c r="O542" s="10">
        <f t="shared" si="60"/>
        <v>0</v>
      </c>
      <c r="P542" s="10">
        <f>IFERROR(SUMIFS('Base bordo'!G$2:G$746,'Base bordo'!C$2:C$746,A542,'Base bordo'!B$2:B$746,B542),0)</f>
        <v>23.11888888888889</v>
      </c>
      <c r="Q542" s="10">
        <f>IFERROR(SUMIFS('Base bordo'!H$2:H$746,'Base bordo'!C$2:C$746,A542,'Base bordo'!B$2:B$746,B542,'Base bordo'!F$2:F$746,"DESLOCAMENTO VAZIO"),0)</f>
        <v>176172.38</v>
      </c>
      <c r="R542" s="10">
        <f>IFERROR(SUMIFS('Base bordo'!I$2:I$746,'Base bordo'!C$2:C$746,A542,'Base bordo'!B$2:B$746,B542,'Base bordo'!F$2:F$746,"DESLOCAMENTO VAZIO"),0)</f>
        <v>4922</v>
      </c>
      <c r="S542" s="30">
        <f t="shared" si="61"/>
        <v>35.792844372206424</v>
      </c>
      <c r="T542" s="10">
        <f>IFERROR(SUMIFS('Base bordo'!H$2:H$746,'Base bordo'!C$2:C$746,A542,'Base bordo'!B$2:B$746,B542,'Base bordo'!F$2:F$746,"DESLOCAMENTO CARREGADO"),0)</f>
        <v>181456.72999999998</v>
      </c>
      <c r="U542" s="10">
        <f>IFERROR(SUMIFS('Base bordo'!I$2:I$746,'Base bordo'!C$2:C$746,A542,'Base bordo'!B$2:B$746,B542,'Base bordo'!F$2:F$746,"DESLOCAMENTO CARREGADO"),0)</f>
        <v>7894</v>
      </c>
      <c r="V542" s="30">
        <f t="shared" si="62"/>
        <v>22.986664555358498</v>
      </c>
      <c r="W542" s="9">
        <f t="shared" si="63"/>
        <v>5.913875138174652E-2</v>
      </c>
      <c r="X542" s="9">
        <f t="shared" si="64"/>
        <v>9.4847887730090827E-2</v>
      </c>
      <c r="Y542" s="9">
        <f t="shared" si="65"/>
        <v>0.84601336088816259</v>
      </c>
    </row>
    <row r="543" spans="1:25" ht="15" customHeight="1" x14ac:dyDescent="0.35">
      <c r="A543" s="52">
        <v>8013485</v>
      </c>
      <c r="B543" s="51">
        <v>46124</v>
      </c>
      <c r="C543" s="7" t="s">
        <v>124</v>
      </c>
      <c r="D543" s="10">
        <f>IFERROR(SUMIFS('Base bordo'!G$2:G$746,'Base bordo'!C$2:C$746,A543,'Base bordo'!B$2:B$746,B543,'Base bordo'!F$2:F$746,"DESLOCAMENTO VAZIO"),0)</f>
        <v>1.7575000000000001</v>
      </c>
      <c r="E543" s="10">
        <f>IFERROR(SUMIFS('Base bordo'!G$2:G$746,'Base bordo'!C$2:C$746,A543,'Base bordo'!B$2:B$746,B543,'Base bordo'!F$2:F$746,"DESLOCAMENTO CARREGADO"),0)</f>
        <v>0.59722222222222221</v>
      </c>
      <c r="F543" s="10">
        <f>IFERROR(SUMIFS('Base bordo'!G$2:G$746,'Base bordo'!C$2:C$746,A543,'Base bordo'!B$2:B$746,B543,'Base bordo'!F$2:F$746,"DESLOCAMENTO"),0)</f>
        <v>0</v>
      </c>
      <c r="G543" s="10">
        <f>IFERROR(SUMIFS('Base bordo'!G$2:G$746,'Base bordo'!C$2:C$746,A543,'Base bordo'!B$2:B$746,B543,'Base bordo'!F$2:F$746,"CARREGAMENTO"),0)</f>
        <v>0</v>
      </c>
      <c r="H543" s="10">
        <f>IFERROR(SUMIFS('Base bordo'!G$2:G$746,'Base bordo'!C$2:C$746,A543,'Base bordo'!B$2:B$746,B543,'Base bordo'!F$2:F$746,"AGUARDANDO TRANSBORDO"),0)</f>
        <v>0.35833333333333334</v>
      </c>
      <c r="I543" s="10">
        <f>IFERROR(SUMIFS('Base bordo'!G$2:G$746,'Base bordo'!C$2:C$746,A543,'Base bordo'!B$2:B$746,B543,'Base bordo'!F$2:F$746,"PÁTIO INTERNO"),0)+IFERROR(SUMIFS('Base bordo'!G$2:G$746,'Base bordo'!C$2:C$746,A543,'Base bordo'!B$2:B$746,B543,'Base bordo'!F$2:F$746,"PÁTIO EXTERNO"),0)+IFERROR(SUMIFS('Base bordo'!G$2:G$746,'Base bordo'!C$2:C$746,A543,'Base bordo'!B$2:B$746,B543,'Base bordo'!F$2:F$746,"PATIO - RESERVA"),0)+IFERROR(SUMIFS('Base bordo'!G$2:G$746,'Base bordo'!C$2:C$746,A543,'Base bordo'!B$2:B$746,B543,'Base bordo'!F$2:F$746,"MANOBRA CARRETAS-PATIO"),0)</f>
        <v>4.17</v>
      </c>
      <c r="J543" s="10">
        <f>IFERROR(SUMIFS('Base bordo'!G$2:G$746,'Base bordo'!C$2:C$746,A543,'Base bordo'!B$2:B$746,B543,'Base bordo'!F$2:F$746,"BALANÇA - ENTRADA"),0)+IFERROR(SUMIFS('Base bordo'!G$2:G$746,'Base bordo'!C$2:C$746,A543,'Base bordo'!B$2:B$746,B543,'Base bordo'!F$2:F$746,"BALANÇA - SAÍDA"),0)</f>
        <v>0.19083333333333333</v>
      </c>
      <c r="K543" s="10">
        <f>IFERROR(SUMIFS('Base bordo'!G$2:G$746,'Base bordo'!C$2:C$746,A543,'Base bordo'!B$2:B$746,B543,'Base bordo'!F$2:F$746,"MAN PREVENTIVA - MECANICA"),0)+IFERROR(SUMIFS('Base bordo'!G$2:G$746,'Base bordo'!C$2:C$746,A543,'Base bordo'!B$2:B$746,B543,'Base bordo'!F$2:F$746,"MAN CORRETIVA - MECANICA"),0)</f>
        <v>0</v>
      </c>
      <c r="L543" s="10">
        <f>IFERROR(SUMIFS('Base bordo'!G$2:G$746,'Base bordo'!C$2:C$746,A543,'Base bordo'!B$2:B$746,B543,'Base bordo'!F$2:F$746,"MANUTENCAO - T O"),0)+IFERROR(SUMIFS('Base bordo'!G$2:G$746,'Base bordo'!C$2:C$746,A543,'Base bordo'!B$2:B$746,B543,'Base bordo'!F$2:F$746,"MANUTENCAO BORRACHARIA"),0)+IFERROR(SUMIFS('Base bordo'!G$2:G$746,'Base bordo'!C$2:C$746,A543,'Base bordo'!B$2:B$746,B543,'Base bordo'!F$2:F$746,"MANUTENCAO EXTERNA  CONCESSIONARIA"),0)+IFERROR(SUMIFS('Base bordo'!G$2:G$746,'Base bordo'!C$2:C$746,A543,'Base bordo'!B$2:B$746,B543,'Base bordo'!F$2:F$746,"MANUTENCAO TELEMETRIA"),0)</f>
        <v>0</v>
      </c>
      <c r="M543" s="10">
        <f>IFERROR(SUMIFS('Base bordo'!G$2:G$746,'Base bordo'!C$2:C$746,A543,'Base bordo'!B$2:B$746,B543,'Base bordo'!F$2:F$746,"AGUARDANDO MANUTENCAO"),0)</f>
        <v>0</v>
      </c>
      <c r="N543" s="10">
        <f>IFERROR(SUMIFS('Base bordo'!G$2:G$746,'Base bordo'!C$2:C$746,A543,'Base bordo'!B$2:B$746,B543,'Base bordo'!F$2:F$746,"SEM APONTAMENTO"),0)</f>
        <v>0</v>
      </c>
      <c r="O543" s="10">
        <f t="shared" si="60"/>
        <v>8.8817841970012523E-16</v>
      </c>
      <c r="P543" s="10">
        <f>IFERROR(SUMIFS('Base bordo'!G$2:G$746,'Base bordo'!C$2:C$746,A543,'Base bordo'!B$2:B$746,B543),0)</f>
        <v>7.0738888888888898</v>
      </c>
      <c r="Q543" s="10">
        <f>IFERROR(SUMIFS('Base bordo'!H$2:H$746,'Base bordo'!C$2:C$746,A543,'Base bordo'!B$2:B$746,B543,'Base bordo'!F$2:F$746,"DESLOCAMENTO VAZIO"),0)</f>
        <v>57117.96</v>
      </c>
      <c r="R543" s="10">
        <f>IFERROR(SUMIFS('Base bordo'!I$2:I$746,'Base bordo'!C$2:C$746,A543,'Base bordo'!B$2:B$746,B543,'Base bordo'!F$2:F$746,"DESLOCAMENTO VAZIO"),0)</f>
        <v>2727</v>
      </c>
      <c r="S543" s="30">
        <f t="shared" si="61"/>
        <v>20.945346534653464</v>
      </c>
      <c r="T543" s="10">
        <f>IFERROR(SUMIFS('Base bordo'!H$2:H$746,'Base bordo'!C$2:C$746,A543,'Base bordo'!B$2:B$746,B543,'Base bordo'!F$2:F$746,"DESLOCAMENTO CARREGADO"),0)</f>
        <v>40859.899999999994</v>
      </c>
      <c r="U543" s="10">
        <f>IFERROR(SUMIFS('Base bordo'!I$2:I$746,'Base bordo'!C$2:C$746,A543,'Base bordo'!B$2:B$746,B543,'Base bordo'!F$2:F$746,"DESLOCAMENTO CARREGADO"),0)</f>
        <v>2150</v>
      </c>
      <c r="V543" s="30">
        <f t="shared" si="62"/>
        <v>19.004604651162786</v>
      </c>
      <c r="W543" s="9">
        <f t="shared" si="63"/>
        <v>0.24844891227519042</v>
      </c>
      <c r="X543" s="9">
        <f t="shared" si="64"/>
        <v>8.4426293882038789E-2</v>
      </c>
      <c r="Y543" s="9">
        <f t="shared" si="65"/>
        <v>0.66712479384277079</v>
      </c>
    </row>
    <row r="544" spans="1:25" ht="15" customHeight="1" x14ac:dyDescent="0.35">
      <c r="A544" s="52">
        <v>8013470</v>
      </c>
      <c r="B544" s="51">
        <v>46118</v>
      </c>
      <c r="C544" s="7" t="s">
        <v>124</v>
      </c>
      <c r="D544" s="10">
        <f>IFERROR(SUMIFS('Base bordo'!G$2:G$746,'Base bordo'!C$2:C$746,A544,'Base bordo'!B$2:B$746,B544,'Base bordo'!F$2:F$746,"DESLOCAMENTO VAZIO"),0)</f>
        <v>1.7397222222222222</v>
      </c>
      <c r="E544" s="10">
        <f>IFERROR(SUMIFS('Base bordo'!G$2:G$746,'Base bordo'!C$2:C$746,A544,'Base bordo'!B$2:B$746,B544,'Base bordo'!F$2:F$746,"DESLOCAMENTO CARREGADO"),0)</f>
        <v>3.5305555555555554</v>
      </c>
      <c r="F544" s="10">
        <f>IFERROR(SUMIFS('Base bordo'!G$2:G$746,'Base bordo'!C$2:C$746,A544,'Base bordo'!B$2:B$746,B544,'Base bordo'!F$2:F$746,"DESLOCAMENTO"),0)</f>
        <v>0</v>
      </c>
      <c r="G544" s="10">
        <f>IFERROR(SUMIFS('Base bordo'!G$2:G$746,'Base bordo'!C$2:C$746,A544,'Base bordo'!B$2:B$746,B544,'Base bordo'!F$2:F$746,"CARREGAMENTO"),0)</f>
        <v>2.911111111111111</v>
      </c>
      <c r="H544" s="10">
        <f>IFERROR(SUMIFS('Base bordo'!G$2:G$746,'Base bordo'!C$2:C$746,A544,'Base bordo'!B$2:B$746,B544,'Base bordo'!F$2:F$746,"AGUARDANDO TRANSBORDO"),0)</f>
        <v>0.85194444444444439</v>
      </c>
      <c r="I544" s="10">
        <f>IFERROR(SUMIFS('Base bordo'!G$2:G$746,'Base bordo'!C$2:C$746,A544,'Base bordo'!B$2:B$746,B544,'Base bordo'!F$2:F$746,"PÁTIO INTERNO"),0)+IFERROR(SUMIFS('Base bordo'!G$2:G$746,'Base bordo'!C$2:C$746,A544,'Base bordo'!B$2:B$746,B544,'Base bordo'!F$2:F$746,"PÁTIO EXTERNO"),0)+IFERROR(SUMIFS('Base bordo'!G$2:G$746,'Base bordo'!C$2:C$746,A544,'Base bordo'!B$2:B$746,B544,'Base bordo'!F$2:F$746,"PATIO - RESERVA"),0)+IFERROR(SUMIFS('Base bordo'!G$2:G$746,'Base bordo'!C$2:C$746,A544,'Base bordo'!B$2:B$746,B544,'Base bordo'!F$2:F$746,"MANOBRA CARRETAS-PATIO"),0)</f>
        <v>7.8380555555555551</v>
      </c>
      <c r="J544" s="10">
        <f>IFERROR(SUMIFS('Base bordo'!G$2:G$746,'Base bordo'!C$2:C$746,A544,'Base bordo'!B$2:B$746,B544,'Base bordo'!F$2:F$746,"BALANÇA - ENTRADA"),0)+IFERROR(SUMIFS('Base bordo'!G$2:G$746,'Base bordo'!C$2:C$746,A544,'Base bordo'!B$2:B$746,B544,'Base bordo'!F$2:F$746,"BALANÇA - SAÍDA"),0)</f>
        <v>6.4722222222222223E-2</v>
      </c>
      <c r="K544" s="10">
        <f>IFERROR(SUMIFS('Base bordo'!G$2:G$746,'Base bordo'!C$2:C$746,A544,'Base bordo'!B$2:B$746,B544,'Base bordo'!F$2:F$746,"MAN PREVENTIVA - MECANICA"),0)+IFERROR(SUMIFS('Base bordo'!G$2:G$746,'Base bordo'!C$2:C$746,A544,'Base bordo'!B$2:B$746,B544,'Base bordo'!F$2:F$746,"MAN CORRETIVA - MECANICA"),0)</f>
        <v>0</v>
      </c>
      <c r="L544" s="10">
        <f>IFERROR(SUMIFS('Base bordo'!G$2:G$746,'Base bordo'!C$2:C$746,A544,'Base bordo'!B$2:B$746,B544,'Base bordo'!F$2:F$746,"MANUTENCAO - T O"),0)+IFERROR(SUMIFS('Base bordo'!G$2:G$746,'Base bordo'!C$2:C$746,A544,'Base bordo'!B$2:B$746,B544,'Base bordo'!F$2:F$746,"MANUTENCAO BORRACHARIA"),0)+IFERROR(SUMIFS('Base bordo'!G$2:G$746,'Base bordo'!C$2:C$746,A544,'Base bordo'!B$2:B$746,B544,'Base bordo'!F$2:F$746,"MANUTENCAO EXTERNA  CONCESSIONARIA"),0)+IFERROR(SUMIFS('Base bordo'!G$2:G$746,'Base bordo'!C$2:C$746,A544,'Base bordo'!B$2:B$746,B544,'Base bordo'!F$2:F$746,"MANUTENCAO TELEMETRIA"),0)</f>
        <v>0</v>
      </c>
      <c r="M544" s="10">
        <f>IFERROR(SUMIFS('Base bordo'!G$2:G$746,'Base bordo'!C$2:C$746,A544,'Base bordo'!B$2:B$746,B544,'Base bordo'!F$2:F$746,"AGUARDANDO MANUTENCAO"),0)</f>
        <v>1.013611111111111</v>
      </c>
      <c r="N544" s="10">
        <f>IFERROR(SUMIFS('Base bordo'!G$2:G$746,'Base bordo'!C$2:C$746,A544,'Base bordo'!B$2:B$746,B544,'Base bordo'!F$2:F$746,"SEM APONTAMENTO"),0)</f>
        <v>0.85111111111111115</v>
      </c>
      <c r="O544" s="10">
        <f t="shared" si="60"/>
        <v>5.1991666666666667</v>
      </c>
      <c r="P544" s="10">
        <f>IFERROR(SUMIFS('Base bordo'!G$2:G$746,'Base bordo'!C$2:C$746,A544,'Base bordo'!B$2:B$746,B544),0)</f>
        <v>24</v>
      </c>
      <c r="Q544" s="10">
        <f>IFERROR(SUMIFS('Base bordo'!H$2:H$746,'Base bordo'!C$2:C$746,A544,'Base bordo'!B$2:B$746,B544,'Base bordo'!F$2:F$746,"DESLOCAMENTO VAZIO"),0)</f>
        <v>195041.98</v>
      </c>
      <c r="R544" s="10">
        <f>IFERROR(SUMIFS('Base bordo'!I$2:I$746,'Base bordo'!C$2:C$746,A544,'Base bordo'!B$2:B$746,B544,'Base bordo'!F$2:F$746,"DESLOCAMENTO VAZIO"),0)</f>
        <v>6263</v>
      </c>
      <c r="S544" s="30">
        <f t="shared" si="61"/>
        <v>31.141941561551974</v>
      </c>
      <c r="T544" s="10">
        <f>IFERROR(SUMIFS('Base bordo'!H$2:H$746,'Base bordo'!C$2:C$746,A544,'Base bordo'!B$2:B$746,B544,'Base bordo'!F$2:F$746,"DESLOCAMENTO CARREGADO"),0)</f>
        <v>332481.22999999992</v>
      </c>
      <c r="U544" s="10">
        <f>IFERROR(SUMIFS('Base bordo'!I$2:I$746,'Base bordo'!C$2:C$746,A544,'Base bordo'!B$2:B$746,B544,'Base bordo'!F$2:F$746,"DESLOCAMENTO CARREGADO"),0)</f>
        <v>12710</v>
      </c>
      <c r="V544" s="30">
        <f t="shared" si="62"/>
        <v>26.15902675059008</v>
      </c>
      <c r="W544" s="9">
        <f t="shared" si="63"/>
        <v>7.2488425925925928E-2</v>
      </c>
      <c r="X544" s="9">
        <f t="shared" si="64"/>
        <v>0.14710648148148148</v>
      </c>
      <c r="Y544" s="9">
        <f t="shared" si="65"/>
        <v>0.78040509259259261</v>
      </c>
    </row>
    <row r="545" spans="1:25" ht="15" customHeight="1" x14ac:dyDescent="0.35">
      <c r="A545" s="52">
        <v>8013474</v>
      </c>
      <c r="B545" s="51">
        <v>46118</v>
      </c>
      <c r="C545" s="7" t="s">
        <v>124</v>
      </c>
      <c r="D545" s="10">
        <f>IFERROR(SUMIFS('Base bordo'!G$2:G$746,'Base bordo'!C$2:C$746,A545,'Base bordo'!B$2:B$746,B545,'Base bordo'!F$2:F$746,"DESLOCAMENTO VAZIO"),0)</f>
        <v>0.72111111111111115</v>
      </c>
      <c r="E545" s="10">
        <f>IFERROR(SUMIFS('Base bordo'!G$2:G$746,'Base bordo'!C$2:C$746,A545,'Base bordo'!B$2:B$746,B545,'Base bordo'!F$2:F$746,"DESLOCAMENTO CARREGADO"),0)</f>
        <v>0.97972222222222227</v>
      </c>
      <c r="F545" s="10">
        <f>IFERROR(SUMIFS('Base bordo'!G$2:G$746,'Base bordo'!C$2:C$746,A545,'Base bordo'!B$2:B$746,B545,'Base bordo'!F$2:F$746,"DESLOCAMENTO"),0)</f>
        <v>0</v>
      </c>
      <c r="G545" s="10">
        <f>IFERROR(SUMIFS('Base bordo'!G$2:G$746,'Base bordo'!C$2:C$746,A545,'Base bordo'!B$2:B$746,B545,'Base bordo'!F$2:F$746,"CARREGAMENTO"),0)</f>
        <v>0</v>
      </c>
      <c r="H545" s="10">
        <f>IFERROR(SUMIFS('Base bordo'!G$2:G$746,'Base bordo'!C$2:C$746,A545,'Base bordo'!B$2:B$746,B545,'Base bordo'!F$2:F$746,"AGUARDANDO TRANSBORDO"),0)</f>
        <v>0.20861111111111111</v>
      </c>
      <c r="I545" s="10">
        <f>IFERROR(SUMIFS('Base bordo'!G$2:G$746,'Base bordo'!C$2:C$746,A545,'Base bordo'!B$2:B$746,B545,'Base bordo'!F$2:F$746,"PÁTIO INTERNO"),0)+IFERROR(SUMIFS('Base bordo'!G$2:G$746,'Base bordo'!C$2:C$746,A545,'Base bordo'!B$2:B$746,B545,'Base bordo'!F$2:F$746,"PÁTIO EXTERNO"),0)+IFERROR(SUMIFS('Base bordo'!G$2:G$746,'Base bordo'!C$2:C$746,A545,'Base bordo'!B$2:B$746,B545,'Base bordo'!F$2:F$746,"PATIO - RESERVA"),0)+IFERROR(SUMIFS('Base bordo'!G$2:G$746,'Base bordo'!C$2:C$746,A545,'Base bordo'!B$2:B$746,B545,'Base bordo'!F$2:F$746,"MANOBRA CARRETAS-PATIO"),0)</f>
        <v>8.4474999999999998</v>
      </c>
      <c r="J545" s="10">
        <f>IFERROR(SUMIFS('Base bordo'!G$2:G$746,'Base bordo'!C$2:C$746,A545,'Base bordo'!B$2:B$746,B545,'Base bordo'!F$2:F$746,"BALANÇA - ENTRADA"),0)+IFERROR(SUMIFS('Base bordo'!G$2:G$746,'Base bordo'!C$2:C$746,A545,'Base bordo'!B$2:B$746,B545,'Base bordo'!F$2:F$746,"BALANÇA - SAÍDA"),0)</f>
        <v>6.3611111111111118E-2</v>
      </c>
      <c r="K545" s="10">
        <f>IFERROR(SUMIFS('Base bordo'!G$2:G$746,'Base bordo'!C$2:C$746,A545,'Base bordo'!B$2:B$746,B545,'Base bordo'!F$2:F$746,"MAN PREVENTIVA - MECANICA"),0)+IFERROR(SUMIFS('Base bordo'!G$2:G$746,'Base bordo'!C$2:C$746,A545,'Base bordo'!B$2:B$746,B545,'Base bordo'!F$2:F$746,"MAN CORRETIVA - MECANICA"),0)</f>
        <v>0</v>
      </c>
      <c r="L545" s="10">
        <f>IFERROR(SUMIFS('Base bordo'!G$2:G$746,'Base bordo'!C$2:C$746,A545,'Base bordo'!B$2:B$746,B545,'Base bordo'!F$2:F$746,"MANUTENCAO - T O"),0)+IFERROR(SUMIFS('Base bordo'!G$2:G$746,'Base bordo'!C$2:C$746,A545,'Base bordo'!B$2:B$746,B545,'Base bordo'!F$2:F$746,"MANUTENCAO BORRACHARIA"),0)+IFERROR(SUMIFS('Base bordo'!G$2:G$746,'Base bordo'!C$2:C$746,A545,'Base bordo'!B$2:B$746,B545,'Base bordo'!F$2:F$746,"MANUTENCAO EXTERNA  CONCESSIONARIA"),0)+IFERROR(SUMIFS('Base bordo'!G$2:G$746,'Base bordo'!C$2:C$746,A545,'Base bordo'!B$2:B$746,B545,'Base bordo'!F$2:F$746,"MANUTENCAO TELEMETRIA"),0)</f>
        <v>8.77</v>
      </c>
      <c r="M545" s="10">
        <f>IFERROR(SUMIFS('Base bordo'!G$2:G$746,'Base bordo'!C$2:C$746,A545,'Base bordo'!B$2:B$746,B545,'Base bordo'!F$2:F$746,"AGUARDANDO MANUTENCAO"),0)</f>
        <v>0</v>
      </c>
      <c r="N545" s="10">
        <f>IFERROR(SUMIFS('Base bordo'!G$2:G$746,'Base bordo'!C$2:C$746,A545,'Base bordo'!B$2:B$746,B545,'Base bordo'!F$2:F$746,"SEM APONTAMENTO"),0)</f>
        <v>0</v>
      </c>
      <c r="O545" s="10">
        <f t="shared" si="60"/>
        <v>0</v>
      </c>
      <c r="P545" s="10">
        <f>IFERROR(SUMIFS('Base bordo'!G$2:G$746,'Base bordo'!C$2:C$746,A545,'Base bordo'!B$2:B$746,B545),0)</f>
        <v>19.190555555555555</v>
      </c>
      <c r="Q545" s="10">
        <f>IFERROR(SUMIFS('Base bordo'!H$2:H$746,'Base bordo'!C$2:C$746,A545,'Base bordo'!B$2:B$746,B545,'Base bordo'!F$2:F$746,"DESLOCAMENTO VAZIO"),0)</f>
        <v>70252.17</v>
      </c>
      <c r="R545" s="10">
        <f>IFERROR(SUMIFS('Base bordo'!I$2:I$746,'Base bordo'!C$2:C$746,A545,'Base bordo'!B$2:B$746,B545,'Base bordo'!F$2:F$746,"DESLOCAMENTO VAZIO"),0)</f>
        <v>2596</v>
      </c>
      <c r="S545" s="30">
        <f t="shared" si="61"/>
        <v>27.061698767334359</v>
      </c>
      <c r="T545" s="10">
        <f>IFERROR(SUMIFS('Base bordo'!H$2:H$746,'Base bordo'!C$2:C$746,A545,'Base bordo'!B$2:B$746,B545,'Base bordo'!F$2:F$746,"DESLOCAMENTO CARREGADO"),0)</f>
        <v>68679.02</v>
      </c>
      <c r="U545" s="10">
        <f>IFERROR(SUMIFS('Base bordo'!I$2:I$746,'Base bordo'!C$2:C$746,A545,'Base bordo'!B$2:B$746,B545,'Base bordo'!F$2:F$746,"DESLOCAMENTO CARREGADO"),0)</f>
        <v>3527</v>
      </c>
      <c r="V545" s="30">
        <f t="shared" si="62"/>
        <v>19.472361780550045</v>
      </c>
      <c r="W545" s="9">
        <f t="shared" si="63"/>
        <v>3.7576354109370928E-2</v>
      </c>
      <c r="X545" s="9">
        <f t="shared" si="64"/>
        <v>5.1052311611614512E-2</v>
      </c>
      <c r="Y545" s="9">
        <f t="shared" si="65"/>
        <v>0.91137133427901451</v>
      </c>
    </row>
    <row r="546" spans="1:25" ht="15" customHeight="1" x14ac:dyDescent="0.35">
      <c r="A546" s="52">
        <v>8013485</v>
      </c>
      <c r="B546" s="51">
        <v>46123</v>
      </c>
      <c r="C546" s="7" t="s">
        <v>124</v>
      </c>
      <c r="D546" s="10">
        <f>IFERROR(SUMIFS('Base bordo'!G$2:G$746,'Base bordo'!C$2:C$746,A546,'Base bordo'!B$2:B$746,B546,'Base bordo'!F$2:F$746,"DESLOCAMENTO VAZIO"),0)</f>
        <v>1.8255555555555556</v>
      </c>
      <c r="E546" s="10">
        <f>IFERROR(SUMIFS('Base bordo'!G$2:G$746,'Base bordo'!C$2:C$746,A546,'Base bordo'!B$2:B$746,B546,'Base bordo'!F$2:F$746,"DESLOCAMENTO CARREGADO"),0)</f>
        <v>2.5369444444444444</v>
      </c>
      <c r="F546" s="10">
        <f>IFERROR(SUMIFS('Base bordo'!G$2:G$746,'Base bordo'!C$2:C$746,A546,'Base bordo'!B$2:B$746,B546,'Base bordo'!F$2:F$746,"DESLOCAMENTO"),0)</f>
        <v>0.6694444444444444</v>
      </c>
      <c r="G546" s="10">
        <f>IFERROR(SUMIFS('Base bordo'!G$2:G$746,'Base bordo'!C$2:C$746,A546,'Base bordo'!B$2:B$746,B546,'Base bordo'!F$2:F$746,"CARREGAMENTO"),0)</f>
        <v>0</v>
      </c>
      <c r="H546" s="10">
        <f>IFERROR(SUMIFS('Base bordo'!G$2:G$746,'Base bordo'!C$2:C$746,A546,'Base bordo'!B$2:B$746,B546,'Base bordo'!F$2:F$746,"AGUARDANDO TRANSBORDO"),0)</f>
        <v>0.45916666666666667</v>
      </c>
      <c r="I546" s="10">
        <f>IFERROR(SUMIFS('Base bordo'!G$2:G$746,'Base bordo'!C$2:C$746,A546,'Base bordo'!B$2:B$746,B546,'Base bordo'!F$2:F$746,"PÁTIO INTERNO"),0)+IFERROR(SUMIFS('Base bordo'!G$2:G$746,'Base bordo'!C$2:C$746,A546,'Base bordo'!B$2:B$746,B546,'Base bordo'!F$2:F$746,"PÁTIO EXTERNO"),0)+IFERROR(SUMIFS('Base bordo'!G$2:G$746,'Base bordo'!C$2:C$746,A546,'Base bordo'!B$2:B$746,B546,'Base bordo'!F$2:F$746,"PATIO - RESERVA"),0)+IFERROR(SUMIFS('Base bordo'!G$2:G$746,'Base bordo'!C$2:C$746,A546,'Base bordo'!B$2:B$746,B546,'Base bordo'!F$2:F$746,"MANOBRA CARRETAS-PATIO"),0)</f>
        <v>4.2497222222222222</v>
      </c>
      <c r="J546" s="10">
        <f>IFERROR(SUMIFS('Base bordo'!G$2:G$746,'Base bordo'!C$2:C$746,A546,'Base bordo'!B$2:B$746,B546,'Base bordo'!F$2:F$746,"BALANÇA - ENTRADA"),0)+IFERROR(SUMIFS('Base bordo'!G$2:G$746,'Base bordo'!C$2:C$746,A546,'Base bordo'!B$2:B$746,B546,'Base bordo'!F$2:F$746,"BALANÇA - SAÍDA"),0)</f>
        <v>0</v>
      </c>
      <c r="K546" s="10">
        <f>IFERROR(SUMIFS('Base bordo'!G$2:G$746,'Base bordo'!C$2:C$746,A546,'Base bordo'!B$2:B$746,B546,'Base bordo'!F$2:F$746,"MAN PREVENTIVA - MECANICA"),0)+IFERROR(SUMIFS('Base bordo'!G$2:G$746,'Base bordo'!C$2:C$746,A546,'Base bordo'!B$2:B$746,B546,'Base bordo'!F$2:F$746,"MAN CORRETIVA - MECANICA"),0)</f>
        <v>0</v>
      </c>
      <c r="L546" s="10">
        <f>IFERROR(SUMIFS('Base bordo'!G$2:G$746,'Base bordo'!C$2:C$746,A546,'Base bordo'!B$2:B$746,B546,'Base bordo'!F$2:F$746,"MANUTENCAO - T O"),0)+IFERROR(SUMIFS('Base bordo'!G$2:G$746,'Base bordo'!C$2:C$746,A546,'Base bordo'!B$2:B$746,B546,'Base bordo'!F$2:F$746,"MANUTENCAO BORRACHARIA"),0)+IFERROR(SUMIFS('Base bordo'!G$2:G$746,'Base bordo'!C$2:C$746,A546,'Base bordo'!B$2:B$746,B546,'Base bordo'!F$2:F$746,"MANUTENCAO EXTERNA  CONCESSIONARIA"),0)+IFERROR(SUMIFS('Base bordo'!G$2:G$746,'Base bordo'!C$2:C$746,A546,'Base bordo'!B$2:B$746,B546,'Base bordo'!F$2:F$746,"MANUTENCAO TELEMETRIA"),0)</f>
        <v>0</v>
      </c>
      <c r="M546" s="10">
        <f>IFERROR(SUMIFS('Base bordo'!G$2:G$746,'Base bordo'!C$2:C$746,A546,'Base bordo'!B$2:B$746,B546,'Base bordo'!F$2:F$746,"AGUARDANDO MANUTENCAO"),0)</f>
        <v>0</v>
      </c>
      <c r="N546" s="10">
        <f>IFERROR(SUMIFS('Base bordo'!G$2:G$746,'Base bordo'!C$2:C$746,A546,'Base bordo'!B$2:B$746,B546,'Base bordo'!F$2:F$746,"SEM APONTAMENTO"),0)</f>
        <v>0</v>
      </c>
      <c r="O546" s="10">
        <f t="shared" si="60"/>
        <v>0.10194444444444528</v>
      </c>
      <c r="P546" s="10">
        <f>IFERROR(SUMIFS('Base bordo'!G$2:G$746,'Base bordo'!C$2:C$746,A546,'Base bordo'!B$2:B$746,B546),0)</f>
        <v>9.8427777777777781</v>
      </c>
      <c r="Q546" s="10">
        <f>IFERROR(SUMIFS('Base bordo'!H$2:H$746,'Base bordo'!C$2:C$746,A546,'Base bordo'!B$2:B$746,B546,'Base bordo'!F$2:F$746,"DESLOCAMENTO VAZIO"),0)</f>
        <v>203208.90000000002</v>
      </c>
      <c r="R546" s="10">
        <f>IFERROR(SUMIFS('Base bordo'!I$2:I$746,'Base bordo'!C$2:C$746,A546,'Base bordo'!B$2:B$746,B546,'Base bordo'!F$2:F$746,"DESLOCAMENTO VAZIO"),0)</f>
        <v>6572</v>
      </c>
      <c r="S546" s="30">
        <f t="shared" si="61"/>
        <v>30.920404747413272</v>
      </c>
      <c r="T546" s="10">
        <f>IFERROR(SUMIFS('Base bordo'!H$2:H$746,'Base bordo'!C$2:C$746,A546,'Base bordo'!B$2:B$746,B546,'Base bordo'!F$2:F$746,"DESLOCAMENTO CARREGADO"),0)</f>
        <v>202982.89</v>
      </c>
      <c r="U546" s="10">
        <f>IFERROR(SUMIFS('Base bordo'!I$2:I$746,'Base bordo'!C$2:C$746,A546,'Base bordo'!B$2:B$746,B546,'Base bordo'!F$2:F$746,"DESLOCAMENTO CARREGADO"),0)</f>
        <v>9133</v>
      </c>
      <c r="V546" s="30">
        <f t="shared" si="62"/>
        <v>22.225215153837734</v>
      </c>
      <c r="W546" s="9">
        <f t="shared" si="63"/>
        <v>0.18547158096743241</v>
      </c>
      <c r="X546" s="9">
        <f t="shared" si="64"/>
        <v>0.25774679686177115</v>
      </c>
      <c r="Y546" s="9">
        <f t="shared" si="65"/>
        <v>0.55678162217079641</v>
      </c>
    </row>
    <row r="547" spans="1:25" ht="15" customHeight="1" x14ac:dyDescent="0.35">
      <c r="A547" s="52">
        <v>8013481</v>
      </c>
      <c r="B547" s="51">
        <v>46124</v>
      </c>
      <c r="C547" s="7" t="s">
        <v>124</v>
      </c>
      <c r="D547" s="10">
        <f>IFERROR(SUMIFS('Base bordo'!G$2:G$746,'Base bordo'!C$2:C$746,A547,'Base bordo'!B$2:B$746,B547,'Base bordo'!F$2:F$746,"DESLOCAMENTO VAZIO"),0)</f>
        <v>1.6861111111111111</v>
      </c>
      <c r="E547" s="10">
        <f>IFERROR(SUMIFS('Base bordo'!G$2:G$746,'Base bordo'!C$2:C$746,A547,'Base bordo'!B$2:B$746,B547,'Base bordo'!F$2:F$746,"DESLOCAMENTO CARREGADO"),0)</f>
        <v>2.4669444444444446</v>
      </c>
      <c r="F547" s="10">
        <f>IFERROR(SUMIFS('Base bordo'!G$2:G$746,'Base bordo'!C$2:C$746,A547,'Base bordo'!B$2:B$746,B547,'Base bordo'!F$2:F$746,"DESLOCAMENTO"),0)</f>
        <v>0</v>
      </c>
      <c r="G547" s="10">
        <f>IFERROR(SUMIFS('Base bordo'!G$2:G$746,'Base bordo'!C$2:C$746,A547,'Base bordo'!B$2:B$746,B547,'Base bordo'!F$2:F$746,"CARREGAMENTO"),0)</f>
        <v>0</v>
      </c>
      <c r="H547" s="10">
        <f>IFERROR(SUMIFS('Base bordo'!G$2:G$746,'Base bordo'!C$2:C$746,A547,'Base bordo'!B$2:B$746,B547,'Base bordo'!F$2:F$746,"AGUARDANDO TRANSBORDO"),0)</f>
        <v>0</v>
      </c>
      <c r="I547" s="10">
        <f>IFERROR(SUMIFS('Base bordo'!G$2:G$746,'Base bordo'!C$2:C$746,A547,'Base bordo'!B$2:B$746,B547,'Base bordo'!F$2:F$746,"PÁTIO INTERNO"),0)+IFERROR(SUMIFS('Base bordo'!G$2:G$746,'Base bordo'!C$2:C$746,A547,'Base bordo'!B$2:B$746,B547,'Base bordo'!F$2:F$746,"PÁTIO EXTERNO"),0)+IFERROR(SUMIFS('Base bordo'!G$2:G$746,'Base bordo'!C$2:C$746,A547,'Base bordo'!B$2:B$746,B547,'Base bordo'!F$2:F$746,"PATIO - RESERVA"),0)+IFERROR(SUMIFS('Base bordo'!G$2:G$746,'Base bordo'!C$2:C$746,A547,'Base bordo'!B$2:B$746,B547,'Base bordo'!F$2:F$746,"MANOBRA CARRETAS-PATIO"),0)</f>
        <v>14.274166666666666</v>
      </c>
      <c r="J547" s="10">
        <f>IFERROR(SUMIFS('Base bordo'!G$2:G$746,'Base bordo'!C$2:C$746,A547,'Base bordo'!B$2:B$746,B547,'Base bordo'!F$2:F$746,"BALANÇA - ENTRADA"),0)+IFERROR(SUMIFS('Base bordo'!G$2:G$746,'Base bordo'!C$2:C$746,A547,'Base bordo'!B$2:B$746,B547,'Base bordo'!F$2:F$746,"BALANÇA - SAÍDA"),0)</f>
        <v>7.4166666666666659E-2</v>
      </c>
      <c r="K547" s="10">
        <f>IFERROR(SUMIFS('Base bordo'!G$2:G$746,'Base bordo'!C$2:C$746,A547,'Base bordo'!B$2:B$746,B547,'Base bordo'!F$2:F$746,"MAN PREVENTIVA - MECANICA"),0)+IFERROR(SUMIFS('Base bordo'!G$2:G$746,'Base bordo'!C$2:C$746,A547,'Base bordo'!B$2:B$746,B547,'Base bordo'!F$2:F$746,"MAN CORRETIVA - MECANICA"),0)</f>
        <v>0</v>
      </c>
      <c r="L547" s="10">
        <f>IFERROR(SUMIFS('Base bordo'!G$2:G$746,'Base bordo'!C$2:C$746,A547,'Base bordo'!B$2:B$746,B547,'Base bordo'!F$2:F$746,"MANUTENCAO - T O"),0)+IFERROR(SUMIFS('Base bordo'!G$2:G$746,'Base bordo'!C$2:C$746,A547,'Base bordo'!B$2:B$746,B547,'Base bordo'!F$2:F$746,"MANUTENCAO BORRACHARIA"),0)+IFERROR(SUMIFS('Base bordo'!G$2:G$746,'Base bordo'!C$2:C$746,A547,'Base bordo'!B$2:B$746,B547,'Base bordo'!F$2:F$746,"MANUTENCAO EXTERNA  CONCESSIONARIA"),0)+IFERROR(SUMIFS('Base bordo'!G$2:G$746,'Base bordo'!C$2:C$746,A547,'Base bordo'!B$2:B$746,B547,'Base bordo'!F$2:F$746,"MANUTENCAO TELEMETRIA"),0)</f>
        <v>0</v>
      </c>
      <c r="M547" s="10">
        <f>IFERROR(SUMIFS('Base bordo'!G$2:G$746,'Base bordo'!C$2:C$746,A547,'Base bordo'!B$2:B$746,B547,'Base bordo'!F$2:F$746,"AGUARDANDO MANUTENCAO"),0)</f>
        <v>0</v>
      </c>
      <c r="N547" s="10">
        <f>IFERROR(SUMIFS('Base bordo'!G$2:G$746,'Base bordo'!C$2:C$746,A547,'Base bordo'!B$2:B$746,B547,'Base bordo'!F$2:F$746,"SEM APONTAMENTO"),0)</f>
        <v>0</v>
      </c>
      <c r="O547" s="10">
        <f t="shared" si="60"/>
        <v>0</v>
      </c>
      <c r="P547" s="10">
        <f>IFERROR(SUMIFS('Base bordo'!G$2:G$746,'Base bordo'!C$2:C$746,A547,'Base bordo'!B$2:B$746,B547),0)</f>
        <v>18.501388888888886</v>
      </c>
      <c r="Q547" s="10">
        <f>IFERROR(SUMIFS('Base bordo'!H$2:H$746,'Base bordo'!C$2:C$746,A547,'Base bordo'!B$2:B$746,B547,'Base bordo'!F$2:F$746,"DESLOCAMENTO VAZIO"),0)</f>
        <v>216936.43</v>
      </c>
      <c r="R547" s="10">
        <f>IFERROR(SUMIFS('Base bordo'!I$2:I$746,'Base bordo'!C$2:C$746,A547,'Base bordo'!B$2:B$746,B547,'Base bordo'!F$2:F$746,"DESLOCAMENTO VAZIO"),0)</f>
        <v>6070</v>
      </c>
      <c r="S547" s="30">
        <f t="shared" si="61"/>
        <v>35.739115321252058</v>
      </c>
      <c r="T547" s="10">
        <f>IFERROR(SUMIFS('Base bordo'!H$2:H$746,'Base bordo'!C$2:C$746,A547,'Base bordo'!B$2:B$746,B547,'Base bordo'!F$2:F$746,"DESLOCAMENTO CARREGADO"),0)</f>
        <v>221432.38999999998</v>
      </c>
      <c r="U547" s="10">
        <f>IFERROR(SUMIFS('Base bordo'!I$2:I$746,'Base bordo'!C$2:C$746,A547,'Base bordo'!B$2:B$746,B547,'Base bordo'!F$2:F$746,"DESLOCAMENTO CARREGADO"),0)</f>
        <v>8881</v>
      </c>
      <c r="V547" s="30">
        <f t="shared" si="62"/>
        <v>24.933272154036707</v>
      </c>
      <c r="W547" s="9">
        <f t="shared" si="63"/>
        <v>9.1134299226784787E-2</v>
      </c>
      <c r="X547" s="9">
        <f t="shared" si="64"/>
        <v>0.13333833796261543</v>
      </c>
      <c r="Y547" s="9">
        <f t="shared" si="65"/>
        <v>0.77552736281059975</v>
      </c>
    </row>
    <row r="548" spans="1:25" ht="15" customHeight="1" x14ac:dyDescent="0.35">
      <c r="A548" s="52">
        <v>8013482</v>
      </c>
      <c r="B548" s="51">
        <v>46123</v>
      </c>
      <c r="C548" s="7" t="s">
        <v>124</v>
      </c>
      <c r="D548" s="10">
        <f>IFERROR(SUMIFS('Base bordo'!G$2:G$746,'Base bordo'!C$2:C$746,A548,'Base bordo'!B$2:B$746,B548,'Base bordo'!F$2:F$746,"DESLOCAMENTO VAZIO"),0)</f>
        <v>1.418611111111111</v>
      </c>
      <c r="E548" s="10">
        <f>IFERROR(SUMIFS('Base bordo'!G$2:G$746,'Base bordo'!C$2:C$746,A548,'Base bordo'!B$2:B$746,B548,'Base bordo'!F$2:F$746,"DESLOCAMENTO CARREGADO"),0)</f>
        <v>1.481111111111111</v>
      </c>
      <c r="F548" s="10">
        <f>IFERROR(SUMIFS('Base bordo'!G$2:G$746,'Base bordo'!C$2:C$746,A548,'Base bordo'!B$2:B$746,B548,'Base bordo'!F$2:F$746,"DESLOCAMENTO"),0)</f>
        <v>0</v>
      </c>
      <c r="G548" s="10">
        <f>IFERROR(SUMIFS('Base bordo'!G$2:G$746,'Base bordo'!C$2:C$746,A548,'Base bordo'!B$2:B$746,B548,'Base bordo'!F$2:F$746,"CARREGAMENTO"),0)</f>
        <v>0</v>
      </c>
      <c r="H548" s="10">
        <f>IFERROR(SUMIFS('Base bordo'!G$2:G$746,'Base bordo'!C$2:C$746,A548,'Base bordo'!B$2:B$746,B548,'Base bordo'!F$2:F$746,"AGUARDANDO TRANSBORDO"),0)</f>
        <v>0.2361111111111111</v>
      </c>
      <c r="I548" s="10">
        <f>IFERROR(SUMIFS('Base bordo'!G$2:G$746,'Base bordo'!C$2:C$746,A548,'Base bordo'!B$2:B$746,B548,'Base bordo'!F$2:F$746,"PÁTIO INTERNO"),0)+IFERROR(SUMIFS('Base bordo'!G$2:G$746,'Base bordo'!C$2:C$746,A548,'Base bordo'!B$2:B$746,B548,'Base bordo'!F$2:F$746,"PÁTIO EXTERNO"),0)+IFERROR(SUMIFS('Base bordo'!G$2:G$746,'Base bordo'!C$2:C$746,A548,'Base bordo'!B$2:B$746,B548,'Base bordo'!F$2:F$746,"PATIO - RESERVA"),0)+IFERROR(SUMIFS('Base bordo'!G$2:G$746,'Base bordo'!C$2:C$746,A548,'Base bordo'!B$2:B$746,B548,'Base bordo'!F$2:F$746,"MANOBRA CARRETAS-PATIO"),0)</f>
        <v>0</v>
      </c>
      <c r="J548" s="10">
        <f>IFERROR(SUMIFS('Base bordo'!G$2:G$746,'Base bordo'!C$2:C$746,A548,'Base bordo'!B$2:B$746,B548,'Base bordo'!F$2:F$746,"BALANÇA - ENTRADA"),0)+IFERROR(SUMIFS('Base bordo'!G$2:G$746,'Base bordo'!C$2:C$746,A548,'Base bordo'!B$2:B$746,B548,'Base bordo'!F$2:F$746,"BALANÇA - SAÍDA"),0)</f>
        <v>0</v>
      </c>
      <c r="K548" s="10">
        <f>IFERROR(SUMIFS('Base bordo'!G$2:G$746,'Base bordo'!C$2:C$746,A548,'Base bordo'!B$2:B$746,B548,'Base bordo'!F$2:F$746,"MAN PREVENTIVA - MECANICA"),0)+IFERROR(SUMIFS('Base bordo'!G$2:G$746,'Base bordo'!C$2:C$746,A548,'Base bordo'!B$2:B$746,B548,'Base bordo'!F$2:F$746,"MAN CORRETIVA - MECANICA"),0)</f>
        <v>0</v>
      </c>
      <c r="L548" s="10">
        <f>IFERROR(SUMIFS('Base bordo'!G$2:G$746,'Base bordo'!C$2:C$746,A548,'Base bordo'!B$2:B$746,B548,'Base bordo'!F$2:F$746,"MANUTENCAO - T O"),0)+IFERROR(SUMIFS('Base bordo'!G$2:G$746,'Base bordo'!C$2:C$746,A548,'Base bordo'!B$2:B$746,B548,'Base bordo'!F$2:F$746,"MANUTENCAO BORRACHARIA"),0)+IFERROR(SUMIFS('Base bordo'!G$2:G$746,'Base bordo'!C$2:C$746,A548,'Base bordo'!B$2:B$746,B548,'Base bordo'!F$2:F$746,"MANUTENCAO EXTERNA  CONCESSIONARIA"),0)+IFERROR(SUMIFS('Base bordo'!G$2:G$746,'Base bordo'!C$2:C$746,A548,'Base bordo'!B$2:B$746,B548,'Base bordo'!F$2:F$746,"MANUTENCAO TELEMETRIA"),0)</f>
        <v>0</v>
      </c>
      <c r="M548" s="10">
        <f>IFERROR(SUMIFS('Base bordo'!G$2:G$746,'Base bordo'!C$2:C$746,A548,'Base bordo'!B$2:B$746,B548,'Base bordo'!F$2:F$746,"AGUARDANDO MANUTENCAO"),0)</f>
        <v>0</v>
      </c>
      <c r="N548" s="10">
        <f>IFERROR(SUMIFS('Base bordo'!G$2:G$746,'Base bordo'!C$2:C$746,A548,'Base bordo'!B$2:B$746,B548,'Base bordo'!F$2:F$746,"SEM APONTAMENTO"),0)</f>
        <v>0</v>
      </c>
      <c r="O548" s="10">
        <f t="shared" si="60"/>
        <v>6.1111111111111782E-3</v>
      </c>
      <c r="P548" s="10">
        <f>IFERROR(SUMIFS('Base bordo'!G$2:G$746,'Base bordo'!C$2:C$746,A548,'Base bordo'!B$2:B$746,B548),0)</f>
        <v>3.1419444444444444</v>
      </c>
      <c r="Q548" s="10">
        <f>IFERROR(SUMIFS('Base bordo'!H$2:H$746,'Base bordo'!C$2:C$746,A548,'Base bordo'!B$2:B$746,B548,'Base bordo'!F$2:F$746,"DESLOCAMENTO VAZIO"),0)</f>
        <v>176641.12</v>
      </c>
      <c r="R548" s="10">
        <f>IFERROR(SUMIFS('Base bordo'!I$2:I$746,'Base bordo'!C$2:C$746,A548,'Base bordo'!B$2:B$746,B548,'Base bordo'!F$2:F$746,"DESLOCAMENTO VAZIO"),0)</f>
        <v>5107</v>
      </c>
      <c r="S548" s="30">
        <f t="shared" si="61"/>
        <v>34.588039945173293</v>
      </c>
      <c r="T548" s="10">
        <f>IFERROR(SUMIFS('Base bordo'!H$2:H$746,'Base bordo'!C$2:C$746,A548,'Base bordo'!B$2:B$746,B548,'Base bordo'!F$2:F$746,"DESLOCAMENTO CARREGADO"),0)</f>
        <v>111130.40000000001</v>
      </c>
      <c r="U548" s="10">
        <f>IFERROR(SUMIFS('Base bordo'!I$2:I$746,'Base bordo'!C$2:C$746,A548,'Base bordo'!B$2:B$746,B548,'Base bordo'!F$2:F$746,"DESLOCAMENTO CARREGADO"),0)</f>
        <v>5332</v>
      </c>
      <c r="V548" s="30">
        <f t="shared" si="62"/>
        <v>20.842160540135037</v>
      </c>
      <c r="W548" s="9">
        <f t="shared" si="63"/>
        <v>0.45150738219432407</v>
      </c>
      <c r="X548" s="9">
        <f t="shared" si="64"/>
        <v>0.47139952258863049</v>
      </c>
      <c r="Y548" s="9">
        <f t="shared" si="65"/>
        <v>7.7093095217045438E-2</v>
      </c>
    </row>
    <row r="549" spans="1:25" ht="15" customHeight="1" x14ac:dyDescent="0.35">
      <c r="A549" s="52">
        <v>8013481</v>
      </c>
      <c r="B549" s="51">
        <v>46123</v>
      </c>
      <c r="C549" s="7" t="s">
        <v>124</v>
      </c>
      <c r="D549" s="10">
        <f>IFERROR(SUMIFS('Base bordo'!G$2:G$746,'Base bordo'!C$2:C$746,A549,'Base bordo'!B$2:B$746,B549,'Base bordo'!F$2:F$746,"DESLOCAMENTO VAZIO"),0)</f>
        <v>0.49583333333333335</v>
      </c>
      <c r="E549" s="10">
        <f>IFERROR(SUMIFS('Base bordo'!G$2:G$746,'Base bordo'!C$2:C$746,A549,'Base bordo'!B$2:B$746,B549,'Base bordo'!F$2:F$746,"DESLOCAMENTO CARREGADO"),0)</f>
        <v>0.5872222222222222</v>
      </c>
      <c r="F549" s="10">
        <f>IFERROR(SUMIFS('Base bordo'!G$2:G$746,'Base bordo'!C$2:C$746,A549,'Base bordo'!B$2:B$746,B549,'Base bordo'!F$2:F$746,"DESLOCAMENTO"),0)</f>
        <v>0</v>
      </c>
      <c r="G549" s="10">
        <f>IFERROR(SUMIFS('Base bordo'!G$2:G$746,'Base bordo'!C$2:C$746,A549,'Base bordo'!B$2:B$746,B549,'Base bordo'!F$2:F$746,"CARREGAMENTO"),0)</f>
        <v>0</v>
      </c>
      <c r="H549" s="10">
        <f>IFERROR(SUMIFS('Base bordo'!G$2:G$746,'Base bordo'!C$2:C$746,A549,'Base bordo'!B$2:B$746,B549,'Base bordo'!F$2:F$746,"AGUARDANDO TRANSBORDO"),0)</f>
        <v>0.16916666666666666</v>
      </c>
      <c r="I549" s="10">
        <f>IFERROR(SUMIFS('Base bordo'!G$2:G$746,'Base bordo'!C$2:C$746,A549,'Base bordo'!B$2:B$746,B549,'Base bordo'!F$2:F$746,"PÁTIO INTERNO"),0)+IFERROR(SUMIFS('Base bordo'!G$2:G$746,'Base bordo'!C$2:C$746,A549,'Base bordo'!B$2:B$746,B549,'Base bordo'!F$2:F$746,"PÁTIO EXTERNO"),0)+IFERROR(SUMIFS('Base bordo'!G$2:G$746,'Base bordo'!C$2:C$746,A549,'Base bordo'!B$2:B$746,B549,'Base bordo'!F$2:F$746,"PATIO - RESERVA"),0)+IFERROR(SUMIFS('Base bordo'!G$2:G$746,'Base bordo'!C$2:C$746,A549,'Base bordo'!B$2:B$746,B549,'Base bordo'!F$2:F$746,"MANOBRA CARRETAS-PATIO"),0)</f>
        <v>2.4105555555555553</v>
      </c>
      <c r="J549" s="10">
        <f>IFERROR(SUMIFS('Base bordo'!G$2:G$746,'Base bordo'!C$2:C$746,A549,'Base bordo'!B$2:B$746,B549,'Base bordo'!F$2:F$746,"BALANÇA - ENTRADA"),0)+IFERROR(SUMIFS('Base bordo'!G$2:G$746,'Base bordo'!C$2:C$746,A549,'Base bordo'!B$2:B$746,B549,'Base bordo'!F$2:F$746,"BALANÇA - SAÍDA"),0)</f>
        <v>0</v>
      </c>
      <c r="K549" s="10">
        <f>IFERROR(SUMIFS('Base bordo'!G$2:G$746,'Base bordo'!C$2:C$746,A549,'Base bordo'!B$2:B$746,B549,'Base bordo'!F$2:F$746,"MAN PREVENTIVA - MECANICA"),0)+IFERROR(SUMIFS('Base bordo'!G$2:G$746,'Base bordo'!C$2:C$746,A549,'Base bordo'!B$2:B$746,B549,'Base bordo'!F$2:F$746,"MAN CORRETIVA - MECANICA"),0)</f>
        <v>0</v>
      </c>
      <c r="L549" s="10">
        <f>IFERROR(SUMIFS('Base bordo'!G$2:G$746,'Base bordo'!C$2:C$746,A549,'Base bordo'!B$2:B$746,B549,'Base bordo'!F$2:F$746,"MANUTENCAO - T O"),0)+IFERROR(SUMIFS('Base bordo'!G$2:G$746,'Base bordo'!C$2:C$746,A549,'Base bordo'!B$2:B$746,B549,'Base bordo'!F$2:F$746,"MANUTENCAO BORRACHARIA"),0)+IFERROR(SUMIFS('Base bordo'!G$2:G$746,'Base bordo'!C$2:C$746,A549,'Base bordo'!B$2:B$746,B549,'Base bordo'!F$2:F$746,"MANUTENCAO EXTERNA  CONCESSIONARIA"),0)+IFERROR(SUMIFS('Base bordo'!G$2:G$746,'Base bordo'!C$2:C$746,A549,'Base bordo'!B$2:B$746,B549,'Base bordo'!F$2:F$746,"MANUTENCAO TELEMETRIA"),0)</f>
        <v>0</v>
      </c>
      <c r="M549" s="10">
        <f>IFERROR(SUMIFS('Base bordo'!G$2:G$746,'Base bordo'!C$2:C$746,A549,'Base bordo'!B$2:B$746,B549,'Base bordo'!F$2:F$746,"AGUARDANDO MANUTENCAO"),0)</f>
        <v>0</v>
      </c>
      <c r="N549" s="10">
        <f>IFERROR(SUMIFS('Base bordo'!G$2:G$746,'Base bordo'!C$2:C$746,A549,'Base bordo'!B$2:B$746,B549,'Base bordo'!F$2:F$746,"SEM APONTAMENTO"),0)</f>
        <v>0</v>
      </c>
      <c r="O549" s="10">
        <f t="shared" si="60"/>
        <v>5.833333333333357E-3</v>
      </c>
      <c r="P549" s="10">
        <f>IFERROR(SUMIFS('Base bordo'!G$2:G$746,'Base bordo'!C$2:C$746,A549,'Base bordo'!B$2:B$746,B549),0)</f>
        <v>3.6686111111111108</v>
      </c>
      <c r="Q549" s="10">
        <f>IFERROR(SUMIFS('Base bordo'!H$2:H$746,'Base bordo'!C$2:C$746,A549,'Base bordo'!B$2:B$746,B549,'Base bordo'!F$2:F$746,"DESLOCAMENTO VAZIO"),0)</f>
        <v>49686.55</v>
      </c>
      <c r="R549" s="10">
        <f>IFERROR(SUMIFS('Base bordo'!I$2:I$746,'Base bordo'!C$2:C$746,A549,'Base bordo'!B$2:B$746,B549,'Base bordo'!F$2:F$746,"DESLOCAMENTO VAZIO"),0)</f>
        <v>1785</v>
      </c>
      <c r="S549" s="30">
        <f t="shared" si="61"/>
        <v>27.83560224089636</v>
      </c>
      <c r="T549" s="10">
        <f>IFERROR(SUMIFS('Base bordo'!H$2:H$746,'Base bordo'!C$2:C$746,A549,'Base bordo'!B$2:B$746,B549,'Base bordo'!F$2:F$746,"DESLOCAMENTO CARREGADO"),0)</f>
        <v>40544.140000000007</v>
      </c>
      <c r="U549" s="10">
        <f>IFERROR(SUMIFS('Base bordo'!I$2:I$746,'Base bordo'!C$2:C$746,A549,'Base bordo'!B$2:B$746,B549,'Base bordo'!F$2:F$746,"DESLOCAMENTO CARREGADO"),0)</f>
        <v>2114</v>
      </c>
      <c r="V549" s="30">
        <f t="shared" si="62"/>
        <v>19.178874172185434</v>
      </c>
      <c r="W549" s="9">
        <f t="shared" si="63"/>
        <v>0.13515559930339974</v>
      </c>
      <c r="X549" s="9">
        <f t="shared" si="64"/>
        <v>0.16006663133186946</v>
      </c>
      <c r="Y549" s="9">
        <f t="shared" si="65"/>
        <v>0.7047777693647308</v>
      </c>
    </row>
    <row r="550" spans="1:25" ht="15" customHeight="1" x14ac:dyDescent="0.35">
      <c r="A550" s="52">
        <v>8013468</v>
      </c>
      <c r="B550" s="51">
        <v>46119</v>
      </c>
      <c r="C550" s="7" t="s">
        <v>124</v>
      </c>
      <c r="D550" s="10">
        <f>IFERROR(SUMIFS('Base bordo'!G$2:G$746,'Base bordo'!C$2:C$746,A550,'Base bordo'!B$2:B$746,B550,'Base bordo'!F$2:F$746,"DESLOCAMENTO VAZIO"),0)</f>
        <v>1.4213888888888888</v>
      </c>
      <c r="E550" s="10">
        <f>IFERROR(SUMIFS('Base bordo'!G$2:G$746,'Base bordo'!C$2:C$746,A550,'Base bordo'!B$2:B$746,B550,'Base bordo'!F$2:F$746,"DESLOCAMENTO CARREGADO"),0)</f>
        <v>1.9991666666666668</v>
      </c>
      <c r="F550" s="10">
        <f>IFERROR(SUMIFS('Base bordo'!G$2:G$746,'Base bordo'!C$2:C$746,A550,'Base bordo'!B$2:B$746,B550,'Base bordo'!F$2:F$746,"DESLOCAMENTO"),0)</f>
        <v>0</v>
      </c>
      <c r="G550" s="10">
        <f>IFERROR(SUMIFS('Base bordo'!G$2:G$746,'Base bordo'!C$2:C$746,A550,'Base bordo'!B$2:B$746,B550,'Base bordo'!F$2:F$746,"CARREGAMENTO"),0)</f>
        <v>0</v>
      </c>
      <c r="H550" s="10">
        <f>IFERROR(SUMIFS('Base bordo'!G$2:G$746,'Base bordo'!C$2:C$746,A550,'Base bordo'!B$2:B$746,B550,'Base bordo'!F$2:F$746,"AGUARDANDO TRANSBORDO"),0)</f>
        <v>0.63555555555555554</v>
      </c>
      <c r="I550" s="10">
        <f>IFERROR(SUMIFS('Base bordo'!G$2:G$746,'Base bordo'!C$2:C$746,A550,'Base bordo'!B$2:B$746,B550,'Base bordo'!F$2:F$746,"PÁTIO INTERNO"),0)+IFERROR(SUMIFS('Base bordo'!G$2:G$746,'Base bordo'!C$2:C$746,A550,'Base bordo'!B$2:B$746,B550,'Base bordo'!F$2:F$746,"PÁTIO EXTERNO"),0)+IFERROR(SUMIFS('Base bordo'!G$2:G$746,'Base bordo'!C$2:C$746,A550,'Base bordo'!B$2:B$746,B550,'Base bordo'!F$2:F$746,"PATIO - RESERVA"),0)+IFERROR(SUMIFS('Base bordo'!G$2:G$746,'Base bordo'!C$2:C$746,A550,'Base bordo'!B$2:B$746,B550,'Base bordo'!F$2:F$746,"MANOBRA CARRETAS-PATIO"),0)</f>
        <v>0.58444444444444443</v>
      </c>
      <c r="J550" s="10">
        <f>IFERROR(SUMIFS('Base bordo'!G$2:G$746,'Base bordo'!C$2:C$746,A550,'Base bordo'!B$2:B$746,B550,'Base bordo'!F$2:F$746,"BALANÇA - ENTRADA"),0)+IFERROR(SUMIFS('Base bordo'!G$2:G$746,'Base bordo'!C$2:C$746,A550,'Base bordo'!B$2:B$746,B550,'Base bordo'!F$2:F$746,"BALANÇA - SAÍDA"),0)</f>
        <v>5.5555555555555558E-3</v>
      </c>
      <c r="K550" s="10">
        <f>IFERROR(SUMIFS('Base bordo'!G$2:G$746,'Base bordo'!C$2:C$746,A550,'Base bordo'!B$2:B$746,B550,'Base bordo'!F$2:F$746,"MAN PREVENTIVA - MECANICA"),0)+IFERROR(SUMIFS('Base bordo'!G$2:G$746,'Base bordo'!C$2:C$746,A550,'Base bordo'!B$2:B$746,B550,'Base bordo'!F$2:F$746,"MAN CORRETIVA - MECANICA"),0)</f>
        <v>0</v>
      </c>
      <c r="L550" s="10">
        <f>IFERROR(SUMIFS('Base bordo'!G$2:G$746,'Base bordo'!C$2:C$746,A550,'Base bordo'!B$2:B$746,B550,'Base bordo'!F$2:F$746,"MANUTENCAO - T O"),0)+IFERROR(SUMIFS('Base bordo'!G$2:G$746,'Base bordo'!C$2:C$746,A550,'Base bordo'!B$2:B$746,B550,'Base bordo'!F$2:F$746,"MANUTENCAO BORRACHARIA"),0)+IFERROR(SUMIFS('Base bordo'!G$2:G$746,'Base bordo'!C$2:C$746,A550,'Base bordo'!B$2:B$746,B550,'Base bordo'!F$2:F$746,"MANUTENCAO EXTERNA  CONCESSIONARIA"),0)+IFERROR(SUMIFS('Base bordo'!G$2:G$746,'Base bordo'!C$2:C$746,A550,'Base bordo'!B$2:B$746,B550,'Base bordo'!F$2:F$746,"MANUTENCAO TELEMETRIA"),0)</f>
        <v>0</v>
      </c>
      <c r="M550" s="10">
        <f>IFERROR(SUMIFS('Base bordo'!G$2:G$746,'Base bordo'!C$2:C$746,A550,'Base bordo'!B$2:B$746,B550,'Base bordo'!F$2:F$746,"AGUARDANDO MANUTENCAO"),0)</f>
        <v>0</v>
      </c>
      <c r="N550" s="10">
        <f>IFERROR(SUMIFS('Base bordo'!G$2:G$746,'Base bordo'!C$2:C$746,A550,'Base bordo'!B$2:B$746,B550,'Base bordo'!F$2:F$746,"SEM APONTAMENTO"),0)</f>
        <v>0</v>
      </c>
      <c r="O550" s="10">
        <f t="shared" si="60"/>
        <v>0</v>
      </c>
      <c r="P550" s="10">
        <f>IFERROR(SUMIFS('Base bordo'!G$2:G$746,'Base bordo'!C$2:C$746,A550,'Base bordo'!B$2:B$746,B550),0)</f>
        <v>4.6461111111111109</v>
      </c>
      <c r="Q550" s="10">
        <f>IFERROR(SUMIFS('Base bordo'!H$2:H$746,'Base bordo'!C$2:C$746,A550,'Base bordo'!B$2:B$746,B550,'Base bordo'!F$2:F$746,"DESLOCAMENTO VAZIO"),0)</f>
        <v>179137.35</v>
      </c>
      <c r="R550" s="10">
        <f>IFERROR(SUMIFS('Base bordo'!I$2:I$746,'Base bordo'!C$2:C$746,A550,'Base bordo'!B$2:B$746,B550,'Base bordo'!F$2:F$746,"DESLOCAMENTO VAZIO"),0)</f>
        <v>5117</v>
      </c>
      <c r="S550" s="30">
        <f t="shared" si="61"/>
        <v>35.008276333789333</v>
      </c>
      <c r="T550" s="10">
        <f>IFERROR(SUMIFS('Base bordo'!H$2:H$746,'Base bordo'!C$2:C$746,A550,'Base bordo'!B$2:B$746,B550,'Base bordo'!F$2:F$746,"DESLOCAMENTO CARREGADO"),0)</f>
        <v>170577.91</v>
      </c>
      <c r="U550" s="10">
        <f>IFERROR(SUMIFS('Base bordo'!I$2:I$746,'Base bordo'!C$2:C$746,A550,'Base bordo'!B$2:B$746,B550,'Base bordo'!F$2:F$746,"DESLOCAMENTO CARREGADO"),0)</f>
        <v>7197</v>
      </c>
      <c r="V550" s="30">
        <f t="shared" si="62"/>
        <v>23.701251910518273</v>
      </c>
      <c r="W550" s="9">
        <f t="shared" si="63"/>
        <v>0.30593088604567736</v>
      </c>
      <c r="X550" s="9">
        <f t="shared" si="64"/>
        <v>0.43028817410020331</v>
      </c>
      <c r="Y550" s="9">
        <f t="shared" si="65"/>
        <v>0.26378093985411932</v>
      </c>
    </row>
    <row r="551" spans="1:25" ht="15" customHeight="1" x14ac:dyDescent="0.35">
      <c r="A551" s="52">
        <v>8013483</v>
      </c>
      <c r="B551" s="51">
        <v>46118</v>
      </c>
      <c r="C551" s="7" t="s">
        <v>124</v>
      </c>
      <c r="D551" s="10">
        <f>IFERROR(SUMIFS('Base bordo'!G$2:G$746,'Base bordo'!C$2:C$746,A551,'Base bordo'!B$2:B$746,B551,'Base bordo'!F$2:F$746,"DESLOCAMENTO VAZIO"),0)</f>
        <v>2.4136111111111109</v>
      </c>
      <c r="E551" s="10">
        <f>IFERROR(SUMIFS('Base bordo'!G$2:G$746,'Base bordo'!C$2:C$746,A551,'Base bordo'!B$2:B$746,B551,'Base bordo'!F$2:F$746,"DESLOCAMENTO CARREGADO"),0)</f>
        <v>0.74972222222222218</v>
      </c>
      <c r="F551" s="10">
        <f>IFERROR(SUMIFS('Base bordo'!G$2:G$746,'Base bordo'!C$2:C$746,A551,'Base bordo'!B$2:B$746,B551,'Base bordo'!F$2:F$746,"DESLOCAMENTO"),0)</f>
        <v>0</v>
      </c>
      <c r="G551" s="10">
        <f>IFERROR(SUMIFS('Base bordo'!G$2:G$746,'Base bordo'!C$2:C$746,A551,'Base bordo'!B$2:B$746,B551,'Base bordo'!F$2:F$746,"CARREGAMENTO"),0)</f>
        <v>0</v>
      </c>
      <c r="H551" s="10">
        <f>IFERROR(SUMIFS('Base bordo'!G$2:G$746,'Base bordo'!C$2:C$746,A551,'Base bordo'!B$2:B$746,B551,'Base bordo'!F$2:F$746,"AGUARDANDO TRANSBORDO"),0)</f>
        <v>0.18666666666666668</v>
      </c>
      <c r="I551" s="10">
        <f>IFERROR(SUMIFS('Base bordo'!G$2:G$746,'Base bordo'!C$2:C$746,A551,'Base bordo'!B$2:B$746,B551,'Base bordo'!F$2:F$746,"PÁTIO INTERNO"),0)+IFERROR(SUMIFS('Base bordo'!G$2:G$746,'Base bordo'!C$2:C$746,A551,'Base bordo'!B$2:B$746,B551,'Base bordo'!F$2:F$746,"PÁTIO EXTERNO"),0)+IFERROR(SUMIFS('Base bordo'!G$2:G$746,'Base bordo'!C$2:C$746,A551,'Base bordo'!B$2:B$746,B551,'Base bordo'!F$2:F$746,"PATIO - RESERVA"),0)+IFERROR(SUMIFS('Base bordo'!G$2:G$746,'Base bordo'!C$2:C$746,A551,'Base bordo'!B$2:B$746,B551,'Base bordo'!F$2:F$746,"MANOBRA CARRETAS-PATIO"),0)</f>
        <v>11.716111111111111</v>
      </c>
      <c r="J551" s="10">
        <f>IFERROR(SUMIFS('Base bordo'!G$2:G$746,'Base bordo'!C$2:C$746,A551,'Base bordo'!B$2:B$746,B551,'Base bordo'!F$2:F$746,"BALANÇA - ENTRADA"),0)+IFERROR(SUMIFS('Base bordo'!G$2:G$746,'Base bordo'!C$2:C$746,A551,'Base bordo'!B$2:B$746,B551,'Base bordo'!F$2:F$746,"BALANÇA - SAÍDA"),0)</f>
        <v>4.7500000000000001E-2</v>
      </c>
      <c r="K551" s="10">
        <f>IFERROR(SUMIFS('Base bordo'!G$2:G$746,'Base bordo'!C$2:C$746,A551,'Base bordo'!B$2:B$746,B551,'Base bordo'!F$2:F$746,"MAN PREVENTIVA - MECANICA"),0)+IFERROR(SUMIFS('Base bordo'!G$2:G$746,'Base bordo'!C$2:C$746,A551,'Base bordo'!B$2:B$746,B551,'Base bordo'!F$2:F$746,"MAN CORRETIVA - MECANICA"),0)</f>
        <v>0</v>
      </c>
      <c r="L551" s="10">
        <f>IFERROR(SUMIFS('Base bordo'!G$2:G$746,'Base bordo'!C$2:C$746,A551,'Base bordo'!B$2:B$746,B551,'Base bordo'!F$2:F$746,"MANUTENCAO - T O"),0)+IFERROR(SUMIFS('Base bordo'!G$2:G$746,'Base bordo'!C$2:C$746,A551,'Base bordo'!B$2:B$746,B551,'Base bordo'!F$2:F$746,"MANUTENCAO BORRACHARIA"),0)+IFERROR(SUMIFS('Base bordo'!G$2:G$746,'Base bordo'!C$2:C$746,A551,'Base bordo'!B$2:B$746,B551,'Base bordo'!F$2:F$746,"MANUTENCAO EXTERNA  CONCESSIONARIA"),0)+IFERROR(SUMIFS('Base bordo'!G$2:G$746,'Base bordo'!C$2:C$746,A551,'Base bordo'!B$2:B$746,B551,'Base bordo'!F$2:F$746,"MANUTENCAO TELEMETRIA"),0)</f>
        <v>3.4908333333333332</v>
      </c>
      <c r="M551" s="10">
        <f>IFERROR(SUMIFS('Base bordo'!G$2:G$746,'Base bordo'!C$2:C$746,A551,'Base bordo'!B$2:B$746,B551,'Base bordo'!F$2:F$746,"AGUARDANDO MANUTENCAO"),0)</f>
        <v>0</v>
      </c>
      <c r="N551" s="10">
        <f>IFERROR(SUMIFS('Base bordo'!G$2:G$746,'Base bordo'!C$2:C$746,A551,'Base bordo'!B$2:B$746,B551,'Base bordo'!F$2:F$746,"SEM APONTAMENTO"),0)</f>
        <v>0</v>
      </c>
      <c r="O551" s="10">
        <f t="shared" si="60"/>
        <v>0</v>
      </c>
      <c r="P551" s="10">
        <f>IFERROR(SUMIFS('Base bordo'!G$2:G$746,'Base bordo'!C$2:C$746,A551,'Base bordo'!B$2:B$746,B551),0)</f>
        <v>18.604444444444443</v>
      </c>
      <c r="Q551" s="10">
        <f>IFERROR(SUMIFS('Base bordo'!H$2:H$746,'Base bordo'!C$2:C$746,A551,'Base bordo'!B$2:B$746,B551,'Base bordo'!F$2:F$746,"DESLOCAMENTO VAZIO"),0)</f>
        <v>164736.31</v>
      </c>
      <c r="R551" s="10">
        <f>IFERROR(SUMIFS('Base bordo'!I$2:I$746,'Base bordo'!C$2:C$746,A551,'Base bordo'!B$2:B$746,B551,'Base bordo'!F$2:F$746,"DESLOCAMENTO VAZIO"),0)</f>
        <v>8689</v>
      </c>
      <c r="S551" s="30">
        <f t="shared" si="61"/>
        <v>18.959179422258028</v>
      </c>
      <c r="T551" s="10">
        <f>IFERROR(SUMIFS('Base bordo'!H$2:H$746,'Base bordo'!C$2:C$746,A551,'Base bordo'!B$2:B$746,B551,'Base bordo'!F$2:F$746,"DESLOCAMENTO CARREGADO"),0)</f>
        <v>65187.479999999996</v>
      </c>
      <c r="U551" s="10">
        <f>IFERROR(SUMIFS('Base bordo'!I$2:I$746,'Base bordo'!C$2:C$746,A551,'Base bordo'!B$2:B$746,B551,'Base bordo'!F$2:F$746,"DESLOCAMENTO CARREGADO"),0)</f>
        <v>2699</v>
      </c>
      <c r="V551" s="30">
        <f t="shared" si="62"/>
        <v>24.152456465357538</v>
      </c>
      <c r="W551" s="9">
        <f t="shared" si="63"/>
        <v>0.12973303870043001</v>
      </c>
      <c r="X551" s="9">
        <f t="shared" si="64"/>
        <v>4.0298017200191112E-2</v>
      </c>
      <c r="Y551" s="9">
        <f t="shared" si="65"/>
        <v>0.82996894409937894</v>
      </c>
    </row>
    <row r="552" spans="1:25" ht="15" customHeight="1" x14ac:dyDescent="0.35">
      <c r="A552" s="52">
        <v>8013468</v>
      </c>
      <c r="B552" s="51">
        <v>46118</v>
      </c>
      <c r="C552" s="7" t="s">
        <v>124</v>
      </c>
      <c r="D552" s="10">
        <f>IFERROR(SUMIFS('Base bordo'!G$2:G$746,'Base bordo'!C$2:C$746,A552,'Base bordo'!B$2:B$746,B552,'Base bordo'!F$2:F$746,"DESLOCAMENTO VAZIO"),0)</f>
        <v>0.6841666666666667</v>
      </c>
      <c r="E552" s="10">
        <f>IFERROR(SUMIFS('Base bordo'!G$2:G$746,'Base bordo'!C$2:C$746,A552,'Base bordo'!B$2:B$746,B552,'Base bordo'!F$2:F$746,"DESLOCAMENTO CARREGADO"),0)</f>
        <v>1.9422222222222223</v>
      </c>
      <c r="F552" s="10">
        <f>IFERROR(SUMIFS('Base bordo'!G$2:G$746,'Base bordo'!C$2:C$746,A552,'Base bordo'!B$2:B$746,B552,'Base bordo'!F$2:F$746,"DESLOCAMENTO"),0)</f>
        <v>0</v>
      </c>
      <c r="G552" s="10">
        <f>IFERROR(SUMIFS('Base bordo'!G$2:G$746,'Base bordo'!C$2:C$746,A552,'Base bordo'!B$2:B$746,B552,'Base bordo'!F$2:F$746,"CARREGAMENTO"),0)</f>
        <v>1.653888888888889</v>
      </c>
      <c r="H552" s="10">
        <f>IFERROR(SUMIFS('Base bordo'!G$2:G$746,'Base bordo'!C$2:C$746,A552,'Base bordo'!B$2:B$746,B552,'Base bordo'!F$2:F$746,"AGUARDANDO TRANSBORDO"),0)</f>
        <v>7.9522222222222219</v>
      </c>
      <c r="I552" s="10">
        <f>IFERROR(SUMIFS('Base bordo'!G$2:G$746,'Base bordo'!C$2:C$746,A552,'Base bordo'!B$2:B$746,B552,'Base bordo'!F$2:F$746,"PÁTIO INTERNO"),0)+IFERROR(SUMIFS('Base bordo'!G$2:G$746,'Base bordo'!C$2:C$746,A552,'Base bordo'!B$2:B$746,B552,'Base bordo'!F$2:F$746,"PÁTIO EXTERNO"),0)+IFERROR(SUMIFS('Base bordo'!G$2:G$746,'Base bordo'!C$2:C$746,A552,'Base bordo'!B$2:B$746,B552,'Base bordo'!F$2:F$746,"PATIO - RESERVA"),0)+IFERROR(SUMIFS('Base bordo'!G$2:G$746,'Base bordo'!C$2:C$746,A552,'Base bordo'!B$2:B$746,B552,'Base bordo'!F$2:F$746,"MANOBRA CARRETAS-PATIO"),0)</f>
        <v>3.6688888888888886</v>
      </c>
      <c r="J552" s="10">
        <f>IFERROR(SUMIFS('Base bordo'!G$2:G$746,'Base bordo'!C$2:C$746,A552,'Base bordo'!B$2:B$746,B552,'Base bordo'!F$2:F$746,"BALANÇA - ENTRADA"),0)+IFERROR(SUMIFS('Base bordo'!G$2:G$746,'Base bordo'!C$2:C$746,A552,'Base bordo'!B$2:B$746,B552,'Base bordo'!F$2:F$746,"BALANÇA - SAÍDA"),0)</f>
        <v>0.11305555555555556</v>
      </c>
      <c r="K552" s="10">
        <f>IFERROR(SUMIFS('Base bordo'!G$2:G$746,'Base bordo'!C$2:C$746,A552,'Base bordo'!B$2:B$746,B552,'Base bordo'!F$2:F$746,"MAN PREVENTIVA - MECANICA"),0)+IFERROR(SUMIFS('Base bordo'!G$2:G$746,'Base bordo'!C$2:C$746,A552,'Base bordo'!B$2:B$746,B552,'Base bordo'!F$2:F$746,"MAN CORRETIVA - MECANICA"),0)</f>
        <v>0</v>
      </c>
      <c r="L552" s="10">
        <f>IFERROR(SUMIFS('Base bordo'!G$2:G$746,'Base bordo'!C$2:C$746,A552,'Base bordo'!B$2:B$746,B552,'Base bordo'!F$2:F$746,"MANUTENCAO - T O"),0)+IFERROR(SUMIFS('Base bordo'!G$2:G$746,'Base bordo'!C$2:C$746,A552,'Base bordo'!B$2:B$746,B552,'Base bordo'!F$2:F$746,"MANUTENCAO BORRACHARIA"),0)+IFERROR(SUMIFS('Base bordo'!G$2:G$746,'Base bordo'!C$2:C$746,A552,'Base bordo'!B$2:B$746,B552,'Base bordo'!F$2:F$746,"MANUTENCAO EXTERNA  CONCESSIONARIA"),0)+IFERROR(SUMIFS('Base bordo'!G$2:G$746,'Base bordo'!C$2:C$746,A552,'Base bordo'!B$2:B$746,B552,'Base bordo'!F$2:F$746,"MANUTENCAO TELEMETRIA"),0)</f>
        <v>0</v>
      </c>
      <c r="M552" s="10">
        <f>IFERROR(SUMIFS('Base bordo'!G$2:G$746,'Base bordo'!C$2:C$746,A552,'Base bordo'!B$2:B$746,B552,'Base bordo'!F$2:F$746,"AGUARDANDO MANUTENCAO"),0)</f>
        <v>2.0486111111111112</v>
      </c>
      <c r="N552" s="10">
        <f>IFERROR(SUMIFS('Base bordo'!G$2:G$746,'Base bordo'!C$2:C$746,A552,'Base bordo'!B$2:B$746,B552,'Base bordo'!F$2:F$746,"SEM APONTAMENTO"),0)</f>
        <v>0</v>
      </c>
      <c r="O552" s="10">
        <f t="shared" si="60"/>
        <v>5.9369444444444461</v>
      </c>
      <c r="P552" s="10">
        <f>IFERROR(SUMIFS('Base bordo'!G$2:G$746,'Base bordo'!C$2:C$746,A552,'Base bordo'!B$2:B$746,B552),0)</f>
        <v>24</v>
      </c>
      <c r="Q552" s="10">
        <f>IFERROR(SUMIFS('Base bordo'!H$2:H$746,'Base bordo'!C$2:C$746,A552,'Base bordo'!B$2:B$746,B552,'Base bordo'!F$2:F$746,"DESLOCAMENTO VAZIO"),0)</f>
        <v>33045.270000000004</v>
      </c>
      <c r="R552" s="10">
        <f>IFERROR(SUMIFS('Base bordo'!I$2:I$746,'Base bordo'!C$2:C$746,A552,'Base bordo'!B$2:B$746,B552,'Base bordo'!F$2:F$746,"DESLOCAMENTO VAZIO"),0)</f>
        <v>2463</v>
      </c>
      <c r="S552" s="30">
        <f t="shared" si="61"/>
        <v>13.416674786845313</v>
      </c>
      <c r="T552" s="10">
        <f>IFERROR(SUMIFS('Base bordo'!H$2:H$746,'Base bordo'!C$2:C$746,A552,'Base bordo'!B$2:B$746,B552,'Base bordo'!F$2:F$746,"DESLOCAMENTO CARREGADO"),0)</f>
        <v>213859.12</v>
      </c>
      <c r="U552" s="10">
        <f>IFERROR(SUMIFS('Base bordo'!I$2:I$746,'Base bordo'!C$2:C$746,A552,'Base bordo'!B$2:B$746,B552,'Base bordo'!F$2:F$746,"DESLOCAMENTO CARREGADO"),0)</f>
        <v>6992</v>
      </c>
      <c r="V552" s="30">
        <f t="shared" si="62"/>
        <v>30.586258581235697</v>
      </c>
      <c r="W552" s="9">
        <f t="shared" si="63"/>
        <v>2.8506944444444446E-2</v>
      </c>
      <c r="X552" s="9">
        <f t="shared" si="64"/>
        <v>8.0925925925925929E-2</v>
      </c>
      <c r="Y552" s="9">
        <f t="shared" si="65"/>
        <v>0.89056712962962958</v>
      </c>
    </row>
    <row r="553" spans="1:25" ht="15" customHeight="1" x14ac:dyDescent="0.35">
      <c r="A553" s="52">
        <v>8013481</v>
      </c>
      <c r="B553" s="51">
        <v>46117</v>
      </c>
      <c r="C553" s="7" t="s">
        <v>124</v>
      </c>
      <c r="D553" s="10">
        <f>IFERROR(SUMIFS('Base bordo'!G$2:G$746,'Base bordo'!C$2:C$746,A553,'Base bordo'!B$2:B$746,B553,'Base bordo'!F$2:F$746,"DESLOCAMENTO VAZIO"),0)</f>
        <v>2.3438888888888889</v>
      </c>
      <c r="E553" s="10">
        <f>IFERROR(SUMIFS('Base bordo'!G$2:G$746,'Base bordo'!C$2:C$746,A553,'Base bordo'!B$2:B$746,B553,'Base bordo'!F$2:F$746,"DESLOCAMENTO CARREGADO"),0)</f>
        <v>1.878611111111111</v>
      </c>
      <c r="F553" s="10">
        <f>IFERROR(SUMIFS('Base bordo'!G$2:G$746,'Base bordo'!C$2:C$746,A553,'Base bordo'!B$2:B$746,B553,'Base bordo'!F$2:F$746,"DESLOCAMENTO"),0)</f>
        <v>0</v>
      </c>
      <c r="G553" s="10">
        <f>IFERROR(SUMIFS('Base bordo'!G$2:G$746,'Base bordo'!C$2:C$746,A553,'Base bordo'!B$2:B$746,B553,'Base bordo'!F$2:F$746,"CARREGAMENTO"),0)</f>
        <v>0.21305555555555555</v>
      </c>
      <c r="H553" s="10">
        <f>IFERROR(SUMIFS('Base bordo'!G$2:G$746,'Base bordo'!C$2:C$746,A553,'Base bordo'!B$2:B$746,B553,'Base bordo'!F$2:F$746,"AGUARDANDO TRANSBORDO"),0)</f>
        <v>0</v>
      </c>
      <c r="I553" s="10">
        <f>IFERROR(SUMIFS('Base bordo'!G$2:G$746,'Base bordo'!C$2:C$746,A553,'Base bordo'!B$2:B$746,B553,'Base bordo'!F$2:F$746,"PÁTIO INTERNO"),0)+IFERROR(SUMIFS('Base bordo'!G$2:G$746,'Base bordo'!C$2:C$746,A553,'Base bordo'!B$2:B$746,B553,'Base bordo'!F$2:F$746,"PÁTIO EXTERNO"),0)+IFERROR(SUMIFS('Base bordo'!G$2:G$746,'Base bordo'!C$2:C$746,A553,'Base bordo'!B$2:B$746,B553,'Base bordo'!F$2:F$746,"PATIO - RESERVA"),0)+IFERROR(SUMIFS('Base bordo'!G$2:G$746,'Base bordo'!C$2:C$746,A553,'Base bordo'!B$2:B$746,B553,'Base bordo'!F$2:F$746,"MANOBRA CARRETAS-PATIO"),0)</f>
        <v>0.14222222222222222</v>
      </c>
      <c r="J553" s="10">
        <f>IFERROR(SUMIFS('Base bordo'!G$2:G$746,'Base bordo'!C$2:C$746,A553,'Base bordo'!B$2:B$746,B553,'Base bordo'!F$2:F$746,"BALANÇA - ENTRADA"),0)+IFERROR(SUMIFS('Base bordo'!G$2:G$746,'Base bordo'!C$2:C$746,A553,'Base bordo'!B$2:B$746,B553,'Base bordo'!F$2:F$746,"BALANÇA - SAÍDA"),0)</f>
        <v>0</v>
      </c>
      <c r="K553" s="10">
        <f>IFERROR(SUMIFS('Base bordo'!G$2:G$746,'Base bordo'!C$2:C$746,A553,'Base bordo'!B$2:B$746,B553,'Base bordo'!F$2:F$746,"MAN PREVENTIVA - MECANICA"),0)+IFERROR(SUMIFS('Base bordo'!G$2:G$746,'Base bordo'!C$2:C$746,A553,'Base bordo'!B$2:B$746,B553,'Base bordo'!F$2:F$746,"MAN CORRETIVA - MECANICA"),0)</f>
        <v>0</v>
      </c>
      <c r="L553" s="10">
        <f>IFERROR(SUMIFS('Base bordo'!G$2:G$746,'Base bordo'!C$2:C$746,A553,'Base bordo'!B$2:B$746,B553,'Base bordo'!F$2:F$746,"MANUTENCAO - T O"),0)+IFERROR(SUMIFS('Base bordo'!G$2:G$746,'Base bordo'!C$2:C$746,A553,'Base bordo'!B$2:B$746,B553,'Base bordo'!F$2:F$746,"MANUTENCAO BORRACHARIA"),0)+IFERROR(SUMIFS('Base bordo'!G$2:G$746,'Base bordo'!C$2:C$746,A553,'Base bordo'!B$2:B$746,B553,'Base bordo'!F$2:F$746,"MANUTENCAO EXTERNA  CONCESSIONARIA"),0)+IFERROR(SUMIFS('Base bordo'!G$2:G$746,'Base bordo'!C$2:C$746,A553,'Base bordo'!B$2:B$746,B553,'Base bordo'!F$2:F$746,"MANUTENCAO TELEMETRIA"),0)</f>
        <v>19.126944444444444</v>
      </c>
      <c r="M553" s="10">
        <f>IFERROR(SUMIFS('Base bordo'!G$2:G$746,'Base bordo'!C$2:C$746,A553,'Base bordo'!B$2:B$746,B553,'Base bordo'!F$2:F$746,"AGUARDANDO MANUTENCAO"),0)</f>
        <v>0</v>
      </c>
      <c r="N553" s="10">
        <f>IFERROR(SUMIFS('Base bordo'!G$2:G$746,'Base bordo'!C$2:C$746,A553,'Base bordo'!B$2:B$746,B553,'Base bordo'!F$2:F$746,"SEM APONTAMENTO"),0)</f>
        <v>8.0277777777777781E-2</v>
      </c>
      <c r="O553" s="10">
        <f t="shared" si="60"/>
        <v>0.21499999999999986</v>
      </c>
      <c r="P553" s="10">
        <f>IFERROR(SUMIFS('Base bordo'!G$2:G$746,'Base bordo'!C$2:C$746,A553,'Base bordo'!B$2:B$746,B553),0)</f>
        <v>24</v>
      </c>
      <c r="Q553" s="10">
        <f>IFERROR(SUMIFS('Base bordo'!H$2:H$746,'Base bordo'!C$2:C$746,A553,'Base bordo'!B$2:B$746,B553,'Base bordo'!F$2:F$746,"DESLOCAMENTO VAZIO"),0)</f>
        <v>230189.18</v>
      </c>
      <c r="R553" s="10">
        <f>IFERROR(SUMIFS('Base bordo'!I$2:I$746,'Base bordo'!C$2:C$746,A553,'Base bordo'!B$2:B$746,B553,'Base bordo'!F$2:F$746,"DESLOCAMENTO VAZIO"),0)</f>
        <v>8438</v>
      </c>
      <c r="S553" s="30">
        <f t="shared" si="61"/>
        <v>27.28006399620763</v>
      </c>
      <c r="T553" s="10">
        <f>IFERROR(SUMIFS('Base bordo'!H$2:H$746,'Base bordo'!C$2:C$746,A553,'Base bordo'!B$2:B$746,B553,'Base bordo'!F$2:F$746,"DESLOCAMENTO CARREGADO"),0)</f>
        <v>169494.41999999998</v>
      </c>
      <c r="U553" s="10">
        <f>IFERROR(SUMIFS('Base bordo'!I$2:I$746,'Base bordo'!C$2:C$746,A553,'Base bordo'!B$2:B$746,B553,'Base bordo'!F$2:F$746,"DESLOCAMENTO CARREGADO"),0)</f>
        <v>6763</v>
      </c>
      <c r="V553" s="30">
        <f t="shared" si="62"/>
        <v>25.062016856424663</v>
      </c>
      <c r="W553" s="9">
        <f t="shared" si="63"/>
        <v>9.7662037037037033E-2</v>
      </c>
      <c r="X553" s="9">
        <f t="shared" si="64"/>
        <v>7.8275462962962963E-2</v>
      </c>
      <c r="Y553" s="9">
        <f t="shared" si="65"/>
        <v>0.82406250000000003</v>
      </c>
    </row>
    <row r="554" spans="1:25" ht="15" customHeight="1" x14ac:dyDescent="0.35">
      <c r="A554" s="52">
        <v>8013468</v>
      </c>
      <c r="B554" s="51">
        <v>46123</v>
      </c>
      <c r="C554" s="7" t="s">
        <v>124</v>
      </c>
      <c r="D554" s="10">
        <f>IFERROR(SUMIFS('Base bordo'!G$2:G$746,'Base bordo'!C$2:C$746,A554,'Base bordo'!B$2:B$746,B554,'Base bordo'!F$2:F$746,"DESLOCAMENTO VAZIO"),0)</f>
        <v>1.9583333333333333</v>
      </c>
      <c r="E554" s="10">
        <f>IFERROR(SUMIFS('Base bordo'!G$2:G$746,'Base bordo'!C$2:C$746,A554,'Base bordo'!B$2:B$746,B554,'Base bordo'!F$2:F$746,"DESLOCAMENTO CARREGADO"),0)</f>
        <v>2.1616666666666666</v>
      </c>
      <c r="F554" s="10">
        <f>IFERROR(SUMIFS('Base bordo'!G$2:G$746,'Base bordo'!C$2:C$746,A554,'Base bordo'!B$2:B$746,B554,'Base bordo'!F$2:F$746,"DESLOCAMENTO"),0)</f>
        <v>0</v>
      </c>
      <c r="G554" s="10">
        <f>IFERROR(SUMIFS('Base bordo'!G$2:G$746,'Base bordo'!C$2:C$746,A554,'Base bordo'!B$2:B$746,B554,'Base bordo'!F$2:F$746,"CARREGAMENTO"),0)</f>
        <v>0</v>
      </c>
      <c r="H554" s="10">
        <f>IFERROR(SUMIFS('Base bordo'!G$2:G$746,'Base bordo'!C$2:C$746,A554,'Base bordo'!B$2:B$746,B554,'Base bordo'!F$2:F$746,"AGUARDANDO TRANSBORDO"),0)</f>
        <v>0.82333333333333336</v>
      </c>
      <c r="I554" s="10">
        <f>IFERROR(SUMIFS('Base bordo'!G$2:G$746,'Base bordo'!C$2:C$746,A554,'Base bordo'!B$2:B$746,B554,'Base bordo'!F$2:F$746,"PÁTIO INTERNO"),0)+IFERROR(SUMIFS('Base bordo'!G$2:G$746,'Base bordo'!C$2:C$746,A554,'Base bordo'!B$2:B$746,B554,'Base bordo'!F$2:F$746,"PÁTIO EXTERNO"),0)+IFERROR(SUMIFS('Base bordo'!G$2:G$746,'Base bordo'!C$2:C$746,A554,'Base bordo'!B$2:B$746,B554,'Base bordo'!F$2:F$746,"PATIO - RESERVA"),0)+IFERROR(SUMIFS('Base bordo'!G$2:G$746,'Base bordo'!C$2:C$746,A554,'Base bordo'!B$2:B$746,B554,'Base bordo'!F$2:F$746,"MANOBRA CARRETAS-PATIO"),0)</f>
        <v>3.9758333333333336</v>
      </c>
      <c r="J554" s="10">
        <f>IFERROR(SUMIFS('Base bordo'!G$2:G$746,'Base bordo'!C$2:C$746,A554,'Base bordo'!B$2:B$746,B554,'Base bordo'!F$2:F$746,"BALANÇA - ENTRADA"),0)+IFERROR(SUMIFS('Base bordo'!G$2:G$746,'Base bordo'!C$2:C$746,A554,'Base bordo'!B$2:B$746,B554,'Base bordo'!F$2:F$746,"BALANÇA - SAÍDA"),0)</f>
        <v>0</v>
      </c>
      <c r="K554" s="10">
        <f>IFERROR(SUMIFS('Base bordo'!G$2:G$746,'Base bordo'!C$2:C$746,A554,'Base bordo'!B$2:B$746,B554,'Base bordo'!F$2:F$746,"MAN PREVENTIVA - MECANICA"),0)+IFERROR(SUMIFS('Base bordo'!G$2:G$746,'Base bordo'!C$2:C$746,A554,'Base bordo'!B$2:B$746,B554,'Base bordo'!F$2:F$746,"MAN CORRETIVA - MECANICA"),0)</f>
        <v>0</v>
      </c>
      <c r="L554" s="10">
        <f>IFERROR(SUMIFS('Base bordo'!G$2:G$746,'Base bordo'!C$2:C$746,A554,'Base bordo'!B$2:B$746,B554,'Base bordo'!F$2:F$746,"MANUTENCAO - T O"),0)+IFERROR(SUMIFS('Base bordo'!G$2:G$746,'Base bordo'!C$2:C$746,A554,'Base bordo'!B$2:B$746,B554,'Base bordo'!F$2:F$746,"MANUTENCAO BORRACHARIA"),0)+IFERROR(SUMIFS('Base bordo'!G$2:G$746,'Base bordo'!C$2:C$746,A554,'Base bordo'!B$2:B$746,B554,'Base bordo'!F$2:F$746,"MANUTENCAO EXTERNA  CONCESSIONARIA"),0)+IFERROR(SUMIFS('Base bordo'!G$2:G$746,'Base bordo'!C$2:C$746,A554,'Base bordo'!B$2:B$746,B554,'Base bordo'!F$2:F$746,"MANUTENCAO TELEMETRIA"),0)</f>
        <v>0</v>
      </c>
      <c r="M554" s="10">
        <f>IFERROR(SUMIFS('Base bordo'!G$2:G$746,'Base bordo'!C$2:C$746,A554,'Base bordo'!B$2:B$746,B554,'Base bordo'!F$2:F$746,"AGUARDANDO MANUTENCAO"),0)</f>
        <v>0</v>
      </c>
      <c r="N554" s="10">
        <f>IFERROR(SUMIFS('Base bordo'!G$2:G$746,'Base bordo'!C$2:C$746,A554,'Base bordo'!B$2:B$746,B554,'Base bordo'!F$2:F$746,"SEM APONTAMENTO"),0)</f>
        <v>0</v>
      </c>
      <c r="O554" s="10">
        <f t="shared" si="60"/>
        <v>0.26222222222222236</v>
      </c>
      <c r="P554" s="10">
        <f>IFERROR(SUMIFS('Base bordo'!G$2:G$746,'Base bordo'!C$2:C$746,A554,'Base bordo'!B$2:B$746,B554),0)</f>
        <v>9.1813888888888897</v>
      </c>
      <c r="Q554" s="10">
        <f>IFERROR(SUMIFS('Base bordo'!H$2:H$746,'Base bordo'!C$2:C$746,A554,'Base bordo'!B$2:B$746,B554,'Base bordo'!F$2:F$746,"DESLOCAMENTO VAZIO"),0)</f>
        <v>221588.27</v>
      </c>
      <c r="R554" s="10">
        <f>IFERROR(SUMIFS('Base bordo'!I$2:I$746,'Base bordo'!C$2:C$746,A554,'Base bordo'!B$2:B$746,B554,'Base bordo'!F$2:F$746,"DESLOCAMENTO VAZIO"),0)</f>
        <v>7050</v>
      </c>
      <c r="S554" s="30">
        <f t="shared" si="61"/>
        <v>31.430960283687941</v>
      </c>
      <c r="T554" s="10">
        <f>IFERROR(SUMIFS('Base bordo'!H$2:H$746,'Base bordo'!C$2:C$746,A554,'Base bordo'!B$2:B$746,B554,'Base bordo'!F$2:F$746,"DESLOCAMENTO CARREGADO"),0)</f>
        <v>177589.6</v>
      </c>
      <c r="U554" s="10">
        <f>IFERROR(SUMIFS('Base bordo'!I$2:I$746,'Base bordo'!C$2:C$746,A554,'Base bordo'!B$2:B$746,B554,'Base bordo'!F$2:F$746,"DESLOCAMENTO CARREGADO"),0)</f>
        <v>7782</v>
      </c>
      <c r="V554" s="30">
        <f t="shared" si="62"/>
        <v>22.820560267283476</v>
      </c>
      <c r="W554" s="9">
        <f t="shared" si="63"/>
        <v>0.21329380086527694</v>
      </c>
      <c r="X554" s="9">
        <f t="shared" si="64"/>
        <v>0.23544005082745889</v>
      </c>
      <c r="Y554" s="9">
        <f t="shared" si="65"/>
        <v>0.55126614830726406</v>
      </c>
    </row>
    <row r="555" spans="1:25" ht="15" customHeight="1" x14ac:dyDescent="0.35">
      <c r="A555" s="52">
        <v>8013475</v>
      </c>
      <c r="B555" s="51">
        <v>46123</v>
      </c>
      <c r="C555" s="7" t="s">
        <v>124</v>
      </c>
      <c r="D555" s="10">
        <f>IFERROR(SUMIFS('Base bordo'!G$2:G$746,'Base bordo'!C$2:C$746,A555,'Base bordo'!B$2:B$746,B555,'Base bordo'!F$2:F$746,"DESLOCAMENTO VAZIO"),0)</f>
        <v>3.0555555555555557E-3</v>
      </c>
      <c r="E555" s="10">
        <f>IFERROR(SUMIFS('Base bordo'!G$2:G$746,'Base bordo'!C$2:C$746,A555,'Base bordo'!B$2:B$746,B555,'Base bordo'!F$2:F$746,"DESLOCAMENTO CARREGADO"),0)</f>
        <v>2.8611111111111111E-2</v>
      </c>
      <c r="F555" s="10">
        <f>IFERROR(SUMIFS('Base bordo'!G$2:G$746,'Base bordo'!C$2:C$746,A555,'Base bordo'!B$2:B$746,B555,'Base bordo'!F$2:F$746,"DESLOCAMENTO"),0)</f>
        <v>0</v>
      </c>
      <c r="G555" s="10">
        <f>IFERROR(SUMIFS('Base bordo'!G$2:G$746,'Base bordo'!C$2:C$746,A555,'Base bordo'!B$2:B$746,B555,'Base bordo'!F$2:F$746,"CARREGAMENTO"),0)</f>
        <v>0</v>
      </c>
      <c r="H555" s="10">
        <f>IFERROR(SUMIFS('Base bordo'!G$2:G$746,'Base bordo'!C$2:C$746,A555,'Base bordo'!B$2:B$746,B555,'Base bordo'!F$2:F$746,"AGUARDANDO TRANSBORDO"),0)</f>
        <v>0</v>
      </c>
      <c r="I555" s="10">
        <f>IFERROR(SUMIFS('Base bordo'!G$2:G$746,'Base bordo'!C$2:C$746,A555,'Base bordo'!B$2:B$746,B555,'Base bordo'!F$2:F$746,"PÁTIO INTERNO"),0)+IFERROR(SUMIFS('Base bordo'!G$2:G$746,'Base bordo'!C$2:C$746,A555,'Base bordo'!B$2:B$746,B555,'Base bordo'!F$2:F$746,"PÁTIO EXTERNO"),0)+IFERROR(SUMIFS('Base bordo'!G$2:G$746,'Base bordo'!C$2:C$746,A555,'Base bordo'!B$2:B$746,B555,'Base bordo'!F$2:F$746,"PATIO - RESERVA"),0)+IFERROR(SUMIFS('Base bordo'!G$2:G$746,'Base bordo'!C$2:C$746,A555,'Base bordo'!B$2:B$746,B555,'Base bordo'!F$2:F$746,"MANOBRA CARRETAS-PATIO"),0)</f>
        <v>2.75E-2</v>
      </c>
      <c r="J555" s="10">
        <f>IFERROR(SUMIFS('Base bordo'!G$2:G$746,'Base bordo'!C$2:C$746,A555,'Base bordo'!B$2:B$746,B555,'Base bordo'!F$2:F$746,"BALANÇA - ENTRADA"),0)+IFERROR(SUMIFS('Base bordo'!G$2:G$746,'Base bordo'!C$2:C$746,A555,'Base bordo'!B$2:B$746,B555,'Base bordo'!F$2:F$746,"BALANÇA - SAÍDA"),0)</f>
        <v>0</v>
      </c>
      <c r="K555" s="10">
        <f>IFERROR(SUMIFS('Base bordo'!G$2:G$746,'Base bordo'!C$2:C$746,A555,'Base bordo'!B$2:B$746,B555,'Base bordo'!F$2:F$746,"MAN PREVENTIVA - MECANICA"),0)+IFERROR(SUMIFS('Base bordo'!G$2:G$746,'Base bordo'!C$2:C$746,A555,'Base bordo'!B$2:B$746,B555,'Base bordo'!F$2:F$746,"MAN CORRETIVA - MECANICA"),0)</f>
        <v>0</v>
      </c>
      <c r="L555" s="10">
        <f>IFERROR(SUMIFS('Base bordo'!G$2:G$746,'Base bordo'!C$2:C$746,A555,'Base bordo'!B$2:B$746,B555,'Base bordo'!F$2:F$746,"MANUTENCAO - T O"),0)+IFERROR(SUMIFS('Base bordo'!G$2:G$746,'Base bordo'!C$2:C$746,A555,'Base bordo'!B$2:B$746,B555,'Base bordo'!F$2:F$746,"MANUTENCAO BORRACHARIA"),0)+IFERROR(SUMIFS('Base bordo'!G$2:G$746,'Base bordo'!C$2:C$746,A555,'Base bordo'!B$2:B$746,B555,'Base bordo'!F$2:F$746,"MANUTENCAO EXTERNA  CONCESSIONARIA"),0)+IFERROR(SUMIFS('Base bordo'!G$2:G$746,'Base bordo'!C$2:C$746,A555,'Base bordo'!B$2:B$746,B555,'Base bordo'!F$2:F$746,"MANUTENCAO TELEMETRIA"),0)</f>
        <v>0</v>
      </c>
      <c r="M555" s="10">
        <f>IFERROR(SUMIFS('Base bordo'!G$2:G$746,'Base bordo'!C$2:C$746,A555,'Base bordo'!B$2:B$746,B555,'Base bordo'!F$2:F$746,"AGUARDANDO MANUTENCAO"),0)</f>
        <v>0</v>
      </c>
      <c r="N555" s="10">
        <f>IFERROR(SUMIFS('Base bordo'!G$2:G$746,'Base bordo'!C$2:C$746,A555,'Base bordo'!B$2:B$746,B555,'Base bordo'!F$2:F$746,"SEM APONTAMENTO"),0)</f>
        <v>0</v>
      </c>
      <c r="O555" s="10">
        <f t="shared" si="60"/>
        <v>-6.9388939039072284E-18</v>
      </c>
      <c r="P555" s="10">
        <f>IFERROR(SUMIFS('Base bordo'!G$2:G$746,'Base bordo'!C$2:C$746,A555,'Base bordo'!B$2:B$746,B555),0)</f>
        <v>5.9166666666666666E-2</v>
      </c>
      <c r="Q555" s="10">
        <f>IFERROR(SUMIFS('Base bordo'!H$2:H$746,'Base bordo'!C$2:C$746,A555,'Base bordo'!B$2:B$746,B555,'Base bordo'!F$2:F$746,"DESLOCAMENTO VAZIO"),0)</f>
        <v>40.92</v>
      </c>
      <c r="R555" s="10">
        <f>IFERROR(SUMIFS('Base bordo'!I$2:I$746,'Base bordo'!C$2:C$746,A555,'Base bordo'!B$2:B$746,B555,'Base bordo'!F$2:F$746,"DESLOCAMENTO VAZIO"),0)</f>
        <v>11</v>
      </c>
      <c r="S555" s="30">
        <f t="shared" si="61"/>
        <v>3.72</v>
      </c>
      <c r="T555" s="10">
        <f>IFERROR(SUMIFS('Base bordo'!H$2:H$746,'Base bordo'!C$2:C$746,A555,'Base bordo'!B$2:B$746,B555,'Base bordo'!F$2:F$746,"DESLOCAMENTO CARREGADO"),0)</f>
        <v>386.25</v>
      </c>
      <c r="U555" s="10">
        <f>IFERROR(SUMIFS('Base bordo'!I$2:I$746,'Base bordo'!C$2:C$746,A555,'Base bordo'!B$2:B$746,B555,'Base bordo'!F$2:F$746,"DESLOCAMENTO CARREGADO"),0)</f>
        <v>103</v>
      </c>
      <c r="V555" s="30">
        <f t="shared" si="62"/>
        <v>3.75</v>
      </c>
      <c r="W555" s="9">
        <f t="shared" si="63"/>
        <v>5.1643192488262914E-2</v>
      </c>
      <c r="X555" s="9">
        <f t="shared" si="64"/>
        <v>0.48356807511737088</v>
      </c>
      <c r="Y555" s="9">
        <f t="shared" si="65"/>
        <v>0.46478873239436613</v>
      </c>
    </row>
    <row r="556" spans="1:25" ht="15" customHeight="1" x14ac:dyDescent="0.35">
      <c r="A556" s="52">
        <v>8013460</v>
      </c>
      <c r="B556" s="51">
        <v>46119</v>
      </c>
      <c r="C556" s="7" t="s">
        <v>124</v>
      </c>
      <c r="D556" s="10">
        <f>IFERROR(SUMIFS('Base bordo'!G$2:G$746,'Base bordo'!C$2:C$746,A556,'Base bordo'!B$2:B$746,B556,'Base bordo'!F$2:F$746,"DESLOCAMENTO VAZIO"),0)</f>
        <v>7.5555555555555556E-2</v>
      </c>
      <c r="E556" s="10">
        <f>IFERROR(SUMIFS('Base bordo'!G$2:G$746,'Base bordo'!C$2:C$746,A556,'Base bordo'!B$2:B$746,B556,'Base bordo'!F$2:F$746,"DESLOCAMENTO CARREGADO"),0)</f>
        <v>0</v>
      </c>
      <c r="F556" s="10">
        <f>IFERROR(SUMIFS('Base bordo'!G$2:G$746,'Base bordo'!C$2:C$746,A556,'Base bordo'!B$2:B$746,B556,'Base bordo'!F$2:F$746,"DESLOCAMENTO"),0)</f>
        <v>0</v>
      </c>
      <c r="G556" s="10">
        <f>IFERROR(SUMIFS('Base bordo'!G$2:G$746,'Base bordo'!C$2:C$746,A556,'Base bordo'!B$2:B$746,B556,'Base bordo'!F$2:F$746,"CARREGAMENTO"),0)</f>
        <v>0</v>
      </c>
      <c r="H556" s="10">
        <f>IFERROR(SUMIFS('Base bordo'!G$2:G$746,'Base bordo'!C$2:C$746,A556,'Base bordo'!B$2:B$746,B556,'Base bordo'!F$2:F$746,"AGUARDANDO TRANSBORDO"),0)</f>
        <v>0</v>
      </c>
      <c r="I556" s="10">
        <f>IFERROR(SUMIFS('Base bordo'!G$2:G$746,'Base bordo'!C$2:C$746,A556,'Base bordo'!B$2:B$746,B556,'Base bordo'!F$2:F$746,"PÁTIO INTERNO"),0)+IFERROR(SUMIFS('Base bordo'!G$2:G$746,'Base bordo'!C$2:C$746,A556,'Base bordo'!B$2:B$746,B556,'Base bordo'!F$2:F$746,"PÁTIO EXTERNO"),0)+IFERROR(SUMIFS('Base bordo'!G$2:G$746,'Base bordo'!C$2:C$746,A556,'Base bordo'!B$2:B$746,B556,'Base bordo'!F$2:F$746,"PATIO - RESERVA"),0)+IFERROR(SUMIFS('Base bordo'!G$2:G$746,'Base bordo'!C$2:C$746,A556,'Base bordo'!B$2:B$746,B556,'Base bordo'!F$2:F$746,"MANOBRA CARRETAS-PATIO"),0)</f>
        <v>21.27138888888889</v>
      </c>
      <c r="J556" s="10">
        <f>IFERROR(SUMIFS('Base bordo'!G$2:G$746,'Base bordo'!C$2:C$746,A556,'Base bordo'!B$2:B$746,B556,'Base bordo'!F$2:F$746,"BALANÇA - ENTRADA"),0)+IFERROR(SUMIFS('Base bordo'!G$2:G$746,'Base bordo'!C$2:C$746,A556,'Base bordo'!B$2:B$746,B556,'Base bordo'!F$2:F$746,"BALANÇA - SAÍDA"),0)</f>
        <v>5.0000000000000001E-3</v>
      </c>
      <c r="K556" s="10">
        <f>IFERROR(SUMIFS('Base bordo'!G$2:G$746,'Base bordo'!C$2:C$746,A556,'Base bordo'!B$2:B$746,B556,'Base bordo'!F$2:F$746,"MAN PREVENTIVA - MECANICA"),0)+IFERROR(SUMIFS('Base bordo'!G$2:G$746,'Base bordo'!C$2:C$746,A556,'Base bordo'!B$2:B$746,B556,'Base bordo'!F$2:F$746,"MAN CORRETIVA - MECANICA"),0)</f>
        <v>0</v>
      </c>
      <c r="L556" s="10">
        <f>IFERROR(SUMIFS('Base bordo'!G$2:G$746,'Base bordo'!C$2:C$746,A556,'Base bordo'!B$2:B$746,B556,'Base bordo'!F$2:F$746,"MANUTENCAO - T O"),0)+IFERROR(SUMIFS('Base bordo'!G$2:G$746,'Base bordo'!C$2:C$746,A556,'Base bordo'!B$2:B$746,B556,'Base bordo'!F$2:F$746,"MANUTENCAO BORRACHARIA"),0)+IFERROR(SUMIFS('Base bordo'!G$2:G$746,'Base bordo'!C$2:C$746,A556,'Base bordo'!B$2:B$746,B556,'Base bordo'!F$2:F$746,"MANUTENCAO EXTERNA  CONCESSIONARIA"),0)+IFERROR(SUMIFS('Base bordo'!G$2:G$746,'Base bordo'!C$2:C$746,A556,'Base bordo'!B$2:B$746,B556,'Base bordo'!F$2:F$746,"MANUTENCAO TELEMETRIA"),0)</f>
        <v>0</v>
      </c>
      <c r="M556" s="10">
        <f>IFERROR(SUMIFS('Base bordo'!G$2:G$746,'Base bordo'!C$2:C$746,A556,'Base bordo'!B$2:B$746,B556,'Base bordo'!F$2:F$746,"AGUARDANDO MANUTENCAO"),0)</f>
        <v>0</v>
      </c>
      <c r="N556" s="10">
        <f>IFERROR(SUMIFS('Base bordo'!G$2:G$746,'Base bordo'!C$2:C$746,A556,'Base bordo'!B$2:B$746,B556,'Base bordo'!F$2:F$746,"SEM APONTAMENTO"),0)</f>
        <v>0</v>
      </c>
      <c r="O556" s="10">
        <f t="shared" si="60"/>
        <v>0</v>
      </c>
      <c r="P556" s="10">
        <f>IFERROR(SUMIFS('Base bordo'!G$2:G$746,'Base bordo'!C$2:C$746,A556,'Base bordo'!B$2:B$746,B556),0)</f>
        <v>21.351944444444445</v>
      </c>
      <c r="Q556" s="10">
        <f>IFERROR(SUMIFS('Base bordo'!H$2:H$746,'Base bordo'!C$2:C$746,A556,'Base bordo'!B$2:B$746,B556,'Base bordo'!F$2:F$746,"DESLOCAMENTO VAZIO"),0)</f>
        <v>1805.94</v>
      </c>
      <c r="R556" s="10">
        <f>IFERROR(SUMIFS('Base bordo'!I$2:I$746,'Base bordo'!C$2:C$746,A556,'Base bordo'!B$2:B$746,B556,'Base bordo'!F$2:F$746,"DESLOCAMENTO VAZIO"),0)</f>
        <v>272</v>
      </c>
      <c r="S556" s="30">
        <f t="shared" si="61"/>
        <v>6.6394852941176472</v>
      </c>
      <c r="T556" s="10">
        <f>IFERROR(SUMIFS('Base bordo'!H$2:H$746,'Base bordo'!C$2:C$746,A556,'Base bordo'!B$2:B$746,B556,'Base bordo'!F$2:F$746,"DESLOCAMENTO CARREGADO"),0)</f>
        <v>0</v>
      </c>
      <c r="U556" s="10">
        <f>IFERROR(SUMIFS('Base bordo'!I$2:I$746,'Base bordo'!C$2:C$746,A556,'Base bordo'!B$2:B$746,B556,'Base bordo'!F$2:F$746,"DESLOCAMENTO CARREGADO"),0)</f>
        <v>0</v>
      </c>
      <c r="V556" s="30" t="str">
        <f t="shared" si="62"/>
        <v/>
      </c>
      <c r="W556" s="9">
        <f t="shared" si="63"/>
        <v>3.5385796245462941E-3</v>
      </c>
      <c r="X556" s="9">
        <f t="shared" si="64"/>
        <v>0</v>
      </c>
      <c r="Y556" s="9">
        <f t="shared" si="65"/>
        <v>0.99646142037545371</v>
      </c>
    </row>
    <row r="557" spans="1:25" ht="15" customHeight="1" x14ac:dyDescent="0.35">
      <c r="A557" s="52">
        <v>8013461</v>
      </c>
      <c r="B557" s="51">
        <v>46118</v>
      </c>
      <c r="C557" s="7" t="s">
        <v>124</v>
      </c>
      <c r="D557" s="10">
        <f>IFERROR(SUMIFS('Base bordo'!G$2:G$746,'Base bordo'!C$2:C$746,A557,'Base bordo'!B$2:B$746,B557,'Base bordo'!F$2:F$746,"DESLOCAMENTO VAZIO"),0)</f>
        <v>1.6119444444444444</v>
      </c>
      <c r="E557" s="10">
        <f>IFERROR(SUMIFS('Base bordo'!G$2:G$746,'Base bordo'!C$2:C$746,A557,'Base bordo'!B$2:B$746,B557,'Base bordo'!F$2:F$746,"DESLOCAMENTO CARREGADO"),0)</f>
        <v>3.9649999999999999</v>
      </c>
      <c r="F557" s="10">
        <f>IFERROR(SUMIFS('Base bordo'!G$2:G$746,'Base bordo'!C$2:C$746,A557,'Base bordo'!B$2:B$746,B557,'Base bordo'!F$2:F$746,"DESLOCAMENTO"),0)</f>
        <v>0.61416666666666664</v>
      </c>
      <c r="G557" s="10">
        <f>IFERROR(SUMIFS('Base bordo'!G$2:G$746,'Base bordo'!C$2:C$746,A557,'Base bordo'!B$2:B$746,B557,'Base bordo'!F$2:F$746,"CARREGAMENTO"),0)</f>
        <v>0.68666666666666665</v>
      </c>
      <c r="H557" s="10">
        <f>IFERROR(SUMIFS('Base bordo'!G$2:G$746,'Base bordo'!C$2:C$746,A557,'Base bordo'!B$2:B$746,B557,'Base bordo'!F$2:F$746,"AGUARDANDO TRANSBORDO"),0)</f>
        <v>0.5033333333333333</v>
      </c>
      <c r="I557" s="10">
        <f>IFERROR(SUMIFS('Base bordo'!G$2:G$746,'Base bordo'!C$2:C$746,A557,'Base bordo'!B$2:B$746,B557,'Base bordo'!F$2:F$746,"PÁTIO INTERNO"),0)+IFERROR(SUMIFS('Base bordo'!G$2:G$746,'Base bordo'!C$2:C$746,A557,'Base bordo'!B$2:B$746,B557,'Base bordo'!F$2:F$746,"PÁTIO EXTERNO"),0)+IFERROR(SUMIFS('Base bordo'!G$2:G$746,'Base bordo'!C$2:C$746,A557,'Base bordo'!B$2:B$746,B557,'Base bordo'!F$2:F$746,"PATIO - RESERVA"),0)+IFERROR(SUMIFS('Base bordo'!G$2:G$746,'Base bordo'!C$2:C$746,A557,'Base bordo'!B$2:B$746,B557,'Base bordo'!F$2:F$746,"MANOBRA CARRETAS-PATIO"),0)</f>
        <v>13.577499999999999</v>
      </c>
      <c r="J557" s="10">
        <f>IFERROR(SUMIFS('Base bordo'!G$2:G$746,'Base bordo'!C$2:C$746,A557,'Base bordo'!B$2:B$746,B557,'Base bordo'!F$2:F$746,"BALANÇA - ENTRADA"),0)+IFERROR(SUMIFS('Base bordo'!G$2:G$746,'Base bordo'!C$2:C$746,A557,'Base bordo'!B$2:B$746,B557,'Base bordo'!F$2:F$746,"BALANÇA - SAÍDA"),0)</f>
        <v>0.18777777777777779</v>
      </c>
      <c r="K557" s="10">
        <f>IFERROR(SUMIFS('Base bordo'!G$2:G$746,'Base bordo'!C$2:C$746,A557,'Base bordo'!B$2:B$746,B557,'Base bordo'!F$2:F$746,"MAN PREVENTIVA - MECANICA"),0)+IFERROR(SUMIFS('Base bordo'!G$2:G$746,'Base bordo'!C$2:C$746,A557,'Base bordo'!B$2:B$746,B557,'Base bordo'!F$2:F$746,"MAN CORRETIVA - MECANICA"),0)</f>
        <v>0</v>
      </c>
      <c r="L557" s="10">
        <f>IFERROR(SUMIFS('Base bordo'!G$2:G$746,'Base bordo'!C$2:C$746,A557,'Base bordo'!B$2:B$746,B557,'Base bordo'!F$2:F$746,"MANUTENCAO - T O"),0)+IFERROR(SUMIFS('Base bordo'!G$2:G$746,'Base bordo'!C$2:C$746,A557,'Base bordo'!B$2:B$746,B557,'Base bordo'!F$2:F$746,"MANUTENCAO BORRACHARIA"),0)+IFERROR(SUMIFS('Base bordo'!G$2:G$746,'Base bordo'!C$2:C$746,A557,'Base bordo'!B$2:B$746,B557,'Base bordo'!F$2:F$746,"MANUTENCAO EXTERNA  CONCESSIONARIA"),0)+IFERROR(SUMIFS('Base bordo'!G$2:G$746,'Base bordo'!C$2:C$746,A557,'Base bordo'!B$2:B$746,B557,'Base bordo'!F$2:F$746,"MANUTENCAO TELEMETRIA"),0)</f>
        <v>0</v>
      </c>
      <c r="M557" s="10">
        <f>IFERROR(SUMIFS('Base bordo'!G$2:G$746,'Base bordo'!C$2:C$746,A557,'Base bordo'!B$2:B$746,B557,'Base bordo'!F$2:F$746,"AGUARDANDO MANUTENCAO"),0)</f>
        <v>0</v>
      </c>
      <c r="N557" s="10">
        <f>IFERROR(SUMIFS('Base bordo'!G$2:G$746,'Base bordo'!C$2:C$746,A557,'Base bordo'!B$2:B$746,B557,'Base bordo'!F$2:F$746,"SEM APONTAMENTO"),0)</f>
        <v>0.28888888888888886</v>
      </c>
      <c r="O557" s="10">
        <f t="shared" si="60"/>
        <v>2.5647222222222226</v>
      </c>
      <c r="P557" s="10">
        <f>IFERROR(SUMIFS('Base bordo'!G$2:G$746,'Base bordo'!C$2:C$746,A557,'Base bordo'!B$2:B$746,B557),0)</f>
        <v>24</v>
      </c>
      <c r="Q557" s="10">
        <f>IFERROR(SUMIFS('Base bordo'!H$2:H$746,'Base bordo'!C$2:C$746,A557,'Base bordo'!B$2:B$746,B557,'Base bordo'!F$2:F$746,"DESLOCAMENTO VAZIO"),0)</f>
        <v>187022.74</v>
      </c>
      <c r="R557" s="10">
        <f>IFERROR(SUMIFS('Base bordo'!I$2:I$746,'Base bordo'!C$2:C$746,A557,'Base bordo'!B$2:B$746,B557,'Base bordo'!F$2:F$746,"DESLOCAMENTO VAZIO"),0)</f>
        <v>5803</v>
      </c>
      <c r="S557" s="30">
        <f t="shared" si="61"/>
        <v>32.228630018955712</v>
      </c>
      <c r="T557" s="10">
        <f>IFERROR(SUMIFS('Base bordo'!H$2:H$746,'Base bordo'!C$2:C$746,A557,'Base bordo'!B$2:B$746,B557,'Base bordo'!F$2:F$746,"DESLOCAMENTO CARREGADO"),0)</f>
        <v>411676.06999999995</v>
      </c>
      <c r="U557" s="10">
        <f>IFERROR(SUMIFS('Base bordo'!I$2:I$746,'Base bordo'!C$2:C$746,A557,'Base bordo'!B$2:B$746,B557,'Base bordo'!F$2:F$746,"DESLOCAMENTO CARREGADO"),0)</f>
        <v>14242</v>
      </c>
      <c r="V557" s="30">
        <f t="shared" si="62"/>
        <v>28.905776576323547</v>
      </c>
      <c r="W557" s="9">
        <f t="shared" si="63"/>
        <v>6.716435185185185E-2</v>
      </c>
      <c r="X557" s="9">
        <f t="shared" si="64"/>
        <v>0.16520833333333332</v>
      </c>
      <c r="Y557" s="9">
        <f t="shared" si="65"/>
        <v>0.76762731481481483</v>
      </c>
    </row>
    <row r="558" spans="1:25" ht="15" customHeight="1" x14ac:dyDescent="0.35">
      <c r="A558" s="52">
        <v>8013461</v>
      </c>
      <c r="B558" s="51">
        <v>46117</v>
      </c>
      <c r="C558" s="7" t="s">
        <v>124</v>
      </c>
      <c r="D558" s="10">
        <f>IFERROR(SUMIFS('Base bordo'!G$2:G$746,'Base bordo'!C$2:C$746,A558,'Base bordo'!B$2:B$746,B558,'Base bordo'!F$2:F$746,"DESLOCAMENTO VAZIO"),0)</f>
        <v>4.035277777777778</v>
      </c>
      <c r="E558" s="10">
        <f>IFERROR(SUMIFS('Base bordo'!G$2:G$746,'Base bordo'!C$2:C$746,A558,'Base bordo'!B$2:B$746,B558,'Base bordo'!F$2:F$746,"DESLOCAMENTO CARREGADO"),0)</f>
        <v>0.74527777777777782</v>
      </c>
      <c r="F558" s="10">
        <f>IFERROR(SUMIFS('Base bordo'!G$2:G$746,'Base bordo'!C$2:C$746,A558,'Base bordo'!B$2:B$746,B558,'Base bordo'!F$2:F$746,"DESLOCAMENTO"),0)</f>
        <v>0.7155555555555555</v>
      </c>
      <c r="G558" s="10">
        <f>IFERROR(SUMIFS('Base bordo'!G$2:G$746,'Base bordo'!C$2:C$746,A558,'Base bordo'!B$2:B$746,B558,'Base bordo'!F$2:F$746,"CARREGAMENTO"),0)</f>
        <v>0.18611111111111112</v>
      </c>
      <c r="H558" s="10">
        <f>IFERROR(SUMIFS('Base bordo'!G$2:G$746,'Base bordo'!C$2:C$746,A558,'Base bordo'!B$2:B$746,B558,'Base bordo'!F$2:F$746,"AGUARDANDO TRANSBORDO"),0)</f>
        <v>0.22416666666666665</v>
      </c>
      <c r="I558" s="10">
        <f>IFERROR(SUMIFS('Base bordo'!G$2:G$746,'Base bordo'!C$2:C$746,A558,'Base bordo'!B$2:B$746,B558,'Base bordo'!F$2:F$746,"PÁTIO INTERNO"),0)+IFERROR(SUMIFS('Base bordo'!G$2:G$746,'Base bordo'!C$2:C$746,A558,'Base bordo'!B$2:B$746,B558,'Base bordo'!F$2:F$746,"PÁTIO EXTERNO"),0)+IFERROR(SUMIFS('Base bordo'!G$2:G$746,'Base bordo'!C$2:C$746,A558,'Base bordo'!B$2:B$746,B558,'Base bordo'!F$2:F$746,"PATIO - RESERVA"),0)+IFERROR(SUMIFS('Base bordo'!G$2:G$746,'Base bordo'!C$2:C$746,A558,'Base bordo'!B$2:B$746,B558,'Base bordo'!F$2:F$746,"MANOBRA CARRETAS-PATIO"),0)</f>
        <v>0</v>
      </c>
      <c r="J558" s="10">
        <f>IFERROR(SUMIFS('Base bordo'!G$2:G$746,'Base bordo'!C$2:C$746,A558,'Base bordo'!B$2:B$746,B558,'Base bordo'!F$2:F$746,"BALANÇA - ENTRADA"),0)+IFERROR(SUMIFS('Base bordo'!G$2:G$746,'Base bordo'!C$2:C$746,A558,'Base bordo'!B$2:B$746,B558,'Base bordo'!F$2:F$746,"BALANÇA - SAÍDA"),0)</f>
        <v>0</v>
      </c>
      <c r="K558" s="10">
        <f>IFERROR(SUMIFS('Base bordo'!G$2:G$746,'Base bordo'!C$2:C$746,A558,'Base bordo'!B$2:B$746,B558,'Base bordo'!F$2:F$746,"MAN PREVENTIVA - MECANICA"),0)+IFERROR(SUMIFS('Base bordo'!G$2:G$746,'Base bordo'!C$2:C$746,A558,'Base bordo'!B$2:B$746,B558,'Base bordo'!F$2:F$746,"MAN CORRETIVA - MECANICA"),0)</f>
        <v>0</v>
      </c>
      <c r="L558" s="10">
        <f>IFERROR(SUMIFS('Base bordo'!G$2:G$746,'Base bordo'!C$2:C$746,A558,'Base bordo'!B$2:B$746,B558,'Base bordo'!F$2:F$746,"MANUTENCAO - T O"),0)+IFERROR(SUMIFS('Base bordo'!G$2:G$746,'Base bordo'!C$2:C$746,A558,'Base bordo'!B$2:B$746,B558,'Base bordo'!F$2:F$746,"MANUTENCAO BORRACHARIA"),0)+IFERROR(SUMIFS('Base bordo'!G$2:G$746,'Base bordo'!C$2:C$746,A558,'Base bordo'!B$2:B$746,B558,'Base bordo'!F$2:F$746,"MANUTENCAO EXTERNA  CONCESSIONARIA"),0)+IFERROR(SUMIFS('Base bordo'!G$2:G$746,'Base bordo'!C$2:C$746,A558,'Base bordo'!B$2:B$746,B558,'Base bordo'!F$2:F$746,"MANUTENCAO TELEMETRIA"),0)</f>
        <v>8.9302777777777784</v>
      </c>
      <c r="M558" s="10">
        <f>IFERROR(SUMIFS('Base bordo'!G$2:G$746,'Base bordo'!C$2:C$746,A558,'Base bordo'!B$2:B$746,B558,'Base bordo'!F$2:F$746,"AGUARDANDO MANUTENCAO"),0)</f>
        <v>0</v>
      </c>
      <c r="N558" s="10">
        <f>IFERROR(SUMIFS('Base bordo'!G$2:G$746,'Base bordo'!C$2:C$746,A558,'Base bordo'!B$2:B$746,B558,'Base bordo'!F$2:F$746,"SEM APONTAMENTO"),0)</f>
        <v>0.91388888888888886</v>
      </c>
      <c r="O558" s="10">
        <f t="shared" si="60"/>
        <v>8.2494444444444426</v>
      </c>
      <c r="P558" s="10">
        <f>IFERROR(SUMIFS('Base bordo'!G$2:G$746,'Base bordo'!C$2:C$746,A558,'Base bordo'!B$2:B$746,B558),0)</f>
        <v>24</v>
      </c>
      <c r="Q558" s="10">
        <f>IFERROR(SUMIFS('Base bordo'!H$2:H$746,'Base bordo'!C$2:C$746,A558,'Base bordo'!B$2:B$746,B558,'Base bordo'!F$2:F$746,"DESLOCAMENTO VAZIO"),0)</f>
        <v>619414.3600000001</v>
      </c>
      <c r="R558" s="10">
        <f>IFERROR(SUMIFS('Base bordo'!I$2:I$746,'Base bordo'!C$2:C$746,A558,'Base bordo'!B$2:B$746,B558,'Base bordo'!F$2:F$746,"DESLOCAMENTO VAZIO"),0)</f>
        <v>14527</v>
      </c>
      <c r="S558" s="30">
        <f t="shared" si="61"/>
        <v>42.638835272251676</v>
      </c>
      <c r="T558" s="10">
        <f>IFERROR(SUMIFS('Base bordo'!H$2:H$746,'Base bordo'!C$2:C$746,A558,'Base bordo'!B$2:B$746,B558,'Base bordo'!F$2:F$746,"DESLOCAMENTO CARREGADO"),0)</f>
        <v>37451.120000000003</v>
      </c>
      <c r="U558" s="10">
        <f>IFERROR(SUMIFS('Base bordo'!I$2:I$746,'Base bordo'!C$2:C$746,A558,'Base bordo'!B$2:B$746,B558,'Base bordo'!F$2:F$746,"DESLOCAMENTO CARREGADO"),0)</f>
        <v>2683</v>
      </c>
      <c r="V558" s="30">
        <f t="shared" si="62"/>
        <v>13.958673127096535</v>
      </c>
      <c r="W558" s="9">
        <f t="shared" si="63"/>
        <v>0.16813657407407409</v>
      </c>
      <c r="X558" s="9">
        <f t="shared" si="64"/>
        <v>3.1053240740740742E-2</v>
      </c>
      <c r="Y558" s="9">
        <f t="shared" si="65"/>
        <v>0.80081018518518521</v>
      </c>
    </row>
    <row r="559" spans="1:25" ht="15" customHeight="1" x14ac:dyDescent="0.35">
      <c r="A559" s="52">
        <v>8013462</v>
      </c>
      <c r="B559" s="51">
        <v>46119</v>
      </c>
      <c r="C559" s="7" t="s">
        <v>124</v>
      </c>
      <c r="D559" s="10">
        <f>IFERROR(SUMIFS('Base bordo'!G$2:G$746,'Base bordo'!C$2:C$746,A559,'Base bordo'!B$2:B$746,B559,'Base bordo'!F$2:F$746,"DESLOCAMENTO VAZIO"),0)</f>
        <v>0.22444444444444445</v>
      </c>
      <c r="E559" s="10">
        <f>IFERROR(SUMIFS('Base bordo'!G$2:G$746,'Base bordo'!C$2:C$746,A559,'Base bordo'!B$2:B$746,B559,'Base bordo'!F$2:F$746,"DESLOCAMENTO CARREGADO"),0)</f>
        <v>1.1399999999999999</v>
      </c>
      <c r="F559" s="10">
        <f>IFERROR(SUMIFS('Base bordo'!G$2:G$746,'Base bordo'!C$2:C$746,A559,'Base bordo'!B$2:B$746,B559,'Base bordo'!F$2:F$746,"DESLOCAMENTO"),0)</f>
        <v>0</v>
      </c>
      <c r="G559" s="10">
        <f>IFERROR(SUMIFS('Base bordo'!G$2:G$746,'Base bordo'!C$2:C$746,A559,'Base bordo'!B$2:B$746,B559,'Base bordo'!F$2:F$746,"CARREGAMENTO"),0)</f>
        <v>0</v>
      </c>
      <c r="H559" s="10">
        <f>IFERROR(SUMIFS('Base bordo'!G$2:G$746,'Base bordo'!C$2:C$746,A559,'Base bordo'!B$2:B$746,B559,'Base bordo'!F$2:F$746,"AGUARDANDO TRANSBORDO"),0)</f>
        <v>0</v>
      </c>
      <c r="I559" s="10">
        <f>IFERROR(SUMIFS('Base bordo'!G$2:G$746,'Base bordo'!C$2:C$746,A559,'Base bordo'!B$2:B$746,B559,'Base bordo'!F$2:F$746,"PÁTIO INTERNO"),0)+IFERROR(SUMIFS('Base bordo'!G$2:G$746,'Base bordo'!C$2:C$746,A559,'Base bordo'!B$2:B$746,B559,'Base bordo'!F$2:F$746,"PÁTIO EXTERNO"),0)+IFERROR(SUMIFS('Base bordo'!G$2:G$746,'Base bordo'!C$2:C$746,A559,'Base bordo'!B$2:B$746,B559,'Base bordo'!F$2:F$746,"PATIO - RESERVA"),0)+IFERROR(SUMIFS('Base bordo'!G$2:G$746,'Base bordo'!C$2:C$746,A559,'Base bordo'!B$2:B$746,B559,'Base bordo'!F$2:F$746,"MANOBRA CARRETAS-PATIO"),0)</f>
        <v>19.001944444444444</v>
      </c>
      <c r="J559" s="10">
        <f>IFERROR(SUMIFS('Base bordo'!G$2:G$746,'Base bordo'!C$2:C$746,A559,'Base bordo'!B$2:B$746,B559,'Base bordo'!F$2:F$746,"BALANÇA - ENTRADA"),0)+IFERROR(SUMIFS('Base bordo'!G$2:G$746,'Base bordo'!C$2:C$746,A559,'Base bordo'!B$2:B$746,B559,'Base bordo'!F$2:F$746,"BALANÇA - SAÍDA"),0)</f>
        <v>4.9444444444444444E-2</v>
      </c>
      <c r="K559" s="10">
        <f>IFERROR(SUMIFS('Base bordo'!G$2:G$746,'Base bordo'!C$2:C$746,A559,'Base bordo'!B$2:B$746,B559,'Base bordo'!F$2:F$746,"MAN PREVENTIVA - MECANICA"),0)+IFERROR(SUMIFS('Base bordo'!G$2:G$746,'Base bordo'!C$2:C$746,A559,'Base bordo'!B$2:B$746,B559,'Base bordo'!F$2:F$746,"MAN CORRETIVA - MECANICA"),0)</f>
        <v>0</v>
      </c>
      <c r="L559" s="10">
        <f>IFERROR(SUMIFS('Base bordo'!G$2:G$746,'Base bordo'!C$2:C$746,A559,'Base bordo'!B$2:B$746,B559,'Base bordo'!F$2:F$746,"MANUTENCAO - T O"),0)+IFERROR(SUMIFS('Base bordo'!G$2:G$746,'Base bordo'!C$2:C$746,A559,'Base bordo'!B$2:B$746,B559,'Base bordo'!F$2:F$746,"MANUTENCAO BORRACHARIA"),0)+IFERROR(SUMIFS('Base bordo'!G$2:G$746,'Base bordo'!C$2:C$746,A559,'Base bordo'!B$2:B$746,B559,'Base bordo'!F$2:F$746,"MANUTENCAO EXTERNA  CONCESSIONARIA"),0)+IFERROR(SUMIFS('Base bordo'!G$2:G$746,'Base bordo'!C$2:C$746,A559,'Base bordo'!B$2:B$746,B559,'Base bordo'!F$2:F$746,"MANUTENCAO TELEMETRIA"),0)</f>
        <v>0</v>
      </c>
      <c r="M559" s="10">
        <f>IFERROR(SUMIFS('Base bordo'!G$2:G$746,'Base bordo'!C$2:C$746,A559,'Base bordo'!B$2:B$746,B559,'Base bordo'!F$2:F$746,"AGUARDANDO MANUTENCAO"),0)</f>
        <v>0</v>
      </c>
      <c r="N559" s="10">
        <f>IFERROR(SUMIFS('Base bordo'!G$2:G$746,'Base bordo'!C$2:C$746,A559,'Base bordo'!B$2:B$746,B559,'Base bordo'!F$2:F$746,"SEM APONTAMENTO"),0)</f>
        <v>0</v>
      </c>
      <c r="O559" s="10">
        <f t="shared" si="60"/>
        <v>0</v>
      </c>
      <c r="P559" s="10">
        <f>IFERROR(SUMIFS('Base bordo'!G$2:G$746,'Base bordo'!C$2:C$746,A559,'Base bordo'!B$2:B$746,B559),0)</f>
        <v>20.415833333333332</v>
      </c>
      <c r="Q559" s="10">
        <f>IFERROR(SUMIFS('Base bordo'!H$2:H$746,'Base bordo'!C$2:C$746,A559,'Base bordo'!B$2:B$746,B559,'Base bordo'!F$2:F$746,"DESLOCAMENTO VAZIO"),0)</f>
        <v>12426.57</v>
      </c>
      <c r="R559" s="10">
        <f>IFERROR(SUMIFS('Base bordo'!I$2:I$746,'Base bordo'!C$2:C$746,A559,'Base bordo'!B$2:B$746,B559,'Base bordo'!F$2:F$746,"DESLOCAMENTO VAZIO"),0)</f>
        <v>808</v>
      </c>
      <c r="S559" s="30">
        <f t="shared" si="61"/>
        <v>15.379418316831682</v>
      </c>
      <c r="T559" s="10">
        <f>IFERROR(SUMIFS('Base bordo'!H$2:H$746,'Base bordo'!C$2:C$746,A559,'Base bordo'!B$2:B$746,B559,'Base bordo'!F$2:F$746,"DESLOCAMENTO CARREGADO"),0)</f>
        <v>100320.48</v>
      </c>
      <c r="U559" s="10">
        <f>IFERROR(SUMIFS('Base bordo'!I$2:I$746,'Base bordo'!C$2:C$746,A559,'Base bordo'!B$2:B$746,B559,'Base bordo'!F$2:F$746,"DESLOCAMENTO CARREGADO"),0)</f>
        <v>4104</v>
      </c>
      <c r="V559" s="30">
        <f t="shared" si="62"/>
        <v>24.444561403508771</v>
      </c>
      <c r="W559" s="9">
        <f t="shared" si="63"/>
        <v>1.0993645999156429E-2</v>
      </c>
      <c r="X559" s="9">
        <f t="shared" si="64"/>
        <v>5.583901383729948E-2</v>
      </c>
      <c r="Y559" s="9">
        <f t="shared" si="65"/>
        <v>0.93316734016354408</v>
      </c>
    </row>
    <row r="560" spans="1:25" ht="15" customHeight="1" x14ac:dyDescent="0.35">
      <c r="A560" s="52">
        <v>8013472</v>
      </c>
      <c r="B560" s="51">
        <v>46119</v>
      </c>
      <c r="C560" s="7" t="s">
        <v>124</v>
      </c>
      <c r="D560" s="10">
        <f>IFERROR(SUMIFS('Base bordo'!G$2:G$746,'Base bordo'!C$2:C$746,A560,'Base bordo'!B$2:B$746,B560,'Base bordo'!F$2:F$746,"DESLOCAMENTO VAZIO"),0)</f>
        <v>0.42138888888888887</v>
      </c>
      <c r="E560" s="10">
        <f>IFERROR(SUMIFS('Base bordo'!G$2:G$746,'Base bordo'!C$2:C$746,A560,'Base bordo'!B$2:B$746,B560,'Base bordo'!F$2:F$746,"DESLOCAMENTO CARREGADO"),0)</f>
        <v>0</v>
      </c>
      <c r="F560" s="10">
        <f>IFERROR(SUMIFS('Base bordo'!G$2:G$746,'Base bordo'!C$2:C$746,A560,'Base bordo'!B$2:B$746,B560,'Base bordo'!F$2:F$746,"DESLOCAMENTO"),0)</f>
        <v>0</v>
      </c>
      <c r="G560" s="10">
        <f>IFERROR(SUMIFS('Base bordo'!G$2:G$746,'Base bordo'!C$2:C$746,A560,'Base bordo'!B$2:B$746,B560,'Base bordo'!F$2:F$746,"CARREGAMENTO"),0)</f>
        <v>0</v>
      </c>
      <c r="H560" s="10">
        <f>IFERROR(SUMIFS('Base bordo'!G$2:G$746,'Base bordo'!C$2:C$746,A560,'Base bordo'!B$2:B$746,B560,'Base bordo'!F$2:F$746,"AGUARDANDO TRANSBORDO"),0)</f>
        <v>0</v>
      </c>
      <c r="I560" s="10">
        <f>IFERROR(SUMIFS('Base bordo'!G$2:G$746,'Base bordo'!C$2:C$746,A560,'Base bordo'!B$2:B$746,B560,'Base bordo'!F$2:F$746,"PÁTIO INTERNO"),0)+IFERROR(SUMIFS('Base bordo'!G$2:G$746,'Base bordo'!C$2:C$746,A560,'Base bordo'!B$2:B$746,B560,'Base bordo'!F$2:F$746,"PÁTIO EXTERNO"),0)+IFERROR(SUMIFS('Base bordo'!G$2:G$746,'Base bordo'!C$2:C$746,A560,'Base bordo'!B$2:B$746,B560,'Base bordo'!F$2:F$746,"PATIO - RESERVA"),0)+IFERROR(SUMIFS('Base bordo'!G$2:G$746,'Base bordo'!C$2:C$746,A560,'Base bordo'!B$2:B$746,B560,'Base bordo'!F$2:F$746,"MANOBRA CARRETAS-PATIO"),0)</f>
        <v>2.1247222222222222</v>
      </c>
      <c r="J560" s="10">
        <f>IFERROR(SUMIFS('Base bordo'!G$2:G$746,'Base bordo'!C$2:C$746,A560,'Base bordo'!B$2:B$746,B560,'Base bordo'!F$2:F$746,"BALANÇA - ENTRADA"),0)+IFERROR(SUMIFS('Base bordo'!G$2:G$746,'Base bordo'!C$2:C$746,A560,'Base bordo'!B$2:B$746,B560,'Base bordo'!F$2:F$746,"BALANÇA - SAÍDA"),0)</f>
        <v>0.10361111111111111</v>
      </c>
      <c r="K560" s="10">
        <f>IFERROR(SUMIFS('Base bordo'!G$2:G$746,'Base bordo'!C$2:C$746,A560,'Base bordo'!B$2:B$746,B560,'Base bordo'!F$2:F$746,"MAN PREVENTIVA - MECANICA"),0)+IFERROR(SUMIFS('Base bordo'!G$2:G$746,'Base bordo'!C$2:C$746,A560,'Base bordo'!B$2:B$746,B560,'Base bordo'!F$2:F$746,"MAN CORRETIVA - MECANICA"),0)</f>
        <v>0</v>
      </c>
      <c r="L560" s="10">
        <f>IFERROR(SUMIFS('Base bordo'!G$2:G$746,'Base bordo'!C$2:C$746,A560,'Base bordo'!B$2:B$746,B560,'Base bordo'!F$2:F$746,"MANUTENCAO - T O"),0)+IFERROR(SUMIFS('Base bordo'!G$2:G$746,'Base bordo'!C$2:C$746,A560,'Base bordo'!B$2:B$746,B560,'Base bordo'!F$2:F$746,"MANUTENCAO BORRACHARIA"),0)+IFERROR(SUMIFS('Base bordo'!G$2:G$746,'Base bordo'!C$2:C$746,A560,'Base bordo'!B$2:B$746,B560,'Base bordo'!F$2:F$746,"MANUTENCAO EXTERNA  CONCESSIONARIA"),0)+IFERROR(SUMIFS('Base bordo'!G$2:G$746,'Base bordo'!C$2:C$746,A560,'Base bordo'!B$2:B$746,B560,'Base bordo'!F$2:F$746,"MANUTENCAO TELEMETRIA"),0)</f>
        <v>0</v>
      </c>
      <c r="M560" s="10">
        <f>IFERROR(SUMIFS('Base bordo'!G$2:G$746,'Base bordo'!C$2:C$746,A560,'Base bordo'!B$2:B$746,B560,'Base bordo'!F$2:F$746,"AGUARDANDO MANUTENCAO"),0)</f>
        <v>0</v>
      </c>
      <c r="N560" s="10">
        <f>IFERROR(SUMIFS('Base bordo'!G$2:G$746,'Base bordo'!C$2:C$746,A560,'Base bordo'!B$2:B$746,B560,'Base bordo'!F$2:F$746,"SEM APONTAMENTO"),0)</f>
        <v>0</v>
      </c>
      <c r="O560" s="10">
        <f t="shared" si="60"/>
        <v>-4.4408920985006262E-16</v>
      </c>
      <c r="P560" s="10">
        <f>IFERROR(SUMIFS('Base bordo'!G$2:G$746,'Base bordo'!C$2:C$746,A560,'Base bordo'!B$2:B$746,B560),0)</f>
        <v>2.6497222222222221</v>
      </c>
      <c r="Q560" s="10">
        <f>IFERROR(SUMIFS('Base bordo'!H$2:H$746,'Base bordo'!C$2:C$746,A560,'Base bordo'!B$2:B$746,B560,'Base bordo'!F$2:F$746,"DESLOCAMENTO VAZIO"),0)</f>
        <v>15178.23</v>
      </c>
      <c r="R560" s="10">
        <f>IFERROR(SUMIFS('Base bordo'!I$2:I$746,'Base bordo'!C$2:C$746,A560,'Base bordo'!B$2:B$746,B560,'Base bordo'!F$2:F$746,"DESLOCAMENTO VAZIO"),0)</f>
        <v>1517</v>
      </c>
      <c r="S560" s="30">
        <f t="shared" si="61"/>
        <v>10.00542518127884</v>
      </c>
      <c r="T560" s="10">
        <f>IFERROR(SUMIFS('Base bordo'!H$2:H$746,'Base bordo'!C$2:C$746,A560,'Base bordo'!B$2:B$746,B560,'Base bordo'!F$2:F$746,"DESLOCAMENTO CARREGADO"),0)</f>
        <v>0</v>
      </c>
      <c r="U560" s="10">
        <f>IFERROR(SUMIFS('Base bordo'!I$2:I$746,'Base bordo'!C$2:C$746,A560,'Base bordo'!B$2:B$746,B560,'Base bordo'!F$2:F$746,"DESLOCAMENTO CARREGADO"),0)</f>
        <v>0</v>
      </c>
      <c r="V560" s="30" t="str">
        <f t="shared" si="62"/>
        <v/>
      </c>
      <c r="W560" s="9">
        <f t="shared" si="63"/>
        <v>0.15903134500471747</v>
      </c>
      <c r="X560" s="9">
        <f t="shared" si="64"/>
        <v>0</v>
      </c>
      <c r="Y560" s="9">
        <f t="shared" si="65"/>
        <v>0.84096865499528251</v>
      </c>
    </row>
    <row r="561" spans="1:25" ht="15" customHeight="1" x14ac:dyDescent="0.35">
      <c r="A561" s="52">
        <v>8013470</v>
      </c>
      <c r="B561" s="51">
        <v>46117</v>
      </c>
      <c r="C561" s="7" t="s">
        <v>124</v>
      </c>
      <c r="D561" s="10">
        <f>IFERROR(SUMIFS('Base bordo'!G$2:G$746,'Base bordo'!C$2:C$746,A561,'Base bordo'!B$2:B$746,B561,'Base bordo'!F$2:F$746,"DESLOCAMENTO VAZIO"),0)</f>
        <v>5.2283333333333335</v>
      </c>
      <c r="E561" s="10">
        <f>IFERROR(SUMIFS('Base bordo'!G$2:G$746,'Base bordo'!C$2:C$746,A561,'Base bordo'!B$2:B$746,B561,'Base bordo'!F$2:F$746,"DESLOCAMENTO CARREGADO"),0)</f>
        <v>1.9622222222222223</v>
      </c>
      <c r="F561" s="10">
        <f>IFERROR(SUMIFS('Base bordo'!G$2:G$746,'Base bordo'!C$2:C$746,A561,'Base bordo'!B$2:B$746,B561,'Base bordo'!F$2:F$746,"DESLOCAMENTO"),0)</f>
        <v>0</v>
      </c>
      <c r="G561" s="10">
        <f>IFERROR(SUMIFS('Base bordo'!G$2:G$746,'Base bordo'!C$2:C$746,A561,'Base bordo'!B$2:B$746,B561,'Base bordo'!F$2:F$746,"CARREGAMENTO"),0)</f>
        <v>1.6741666666666666</v>
      </c>
      <c r="H561" s="10">
        <f>IFERROR(SUMIFS('Base bordo'!G$2:G$746,'Base bordo'!C$2:C$746,A561,'Base bordo'!B$2:B$746,B561,'Base bordo'!F$2:F$746,"AGUARDANDO TRANSBORDO"),0)</f>
        <v>0.22305555555555556</v>
      </c>
      <c r="I561" s="10">
        <f>IFERROR(SUMIFS('Base bordo'!G$2:G$746,'Base bordo'!C$2:C$746,A561,'Base bordo'!B$2:B$746,B561,'Base bordo'!F$2:F$746,"PÁTIO INTERNO"),0)+IFERROR(SUMIFS('Base bordo'!G$2:G$746,'Base bordo'!C$2:C$746,A561,'Base bordo'!B$2:B$746,B561,'Base bordo'!F$2:F$746,"PÁTIO EXTERNO"),0)+IFERROR(SUMIFS('Base bordo'!G$2:G$746,'Base bordo'!C$2:C$746,A561,'Base bordo'!B$2:B$746,B561,'Base bordo'!F$2:F$746,"PATIO - RESERVA"),0)+IFERROR(SUMIFS('Base bordo'!G$2:G$746,'Base bordo'!C$2:C$746,A561,'Base bordo'!B$2:B$746,B561,'Base bordo'!F$2:F$746,"MANOBRA CARRETAS-PATIO"),0)</f>
        <v>0.64583333333333337</v>
      </c>
      <c r="J561" s="10">
        <f>IFERROR(SUMIFS('Base bordo'!G$2:G$746,'Base bordo'!C$2:C$746,A561,'Base bordo'!B$2:B$746,B561,'Base bordo'!F$2:F$746,"BALANÇA - ENTRADA"),0)+IFERROR(SUMIFS('Base bordo'!G$2:G$746,'Base bordo'!C$2:C$746,A561,'Base bordo'!B$2:B$746,B561,'Base bordo'!F$2:F$746,"BALANÇA - SAÍDA"),0)</f>
        <v>0</v>
      </c>
      <c r="K561" s="10">
        <f>IFERROR(SUMIFS('Base bordo'!G$2:G$746,'Base bordo'!C$2:C$746,A561,'Base bordo'!B$2:B$746,B561,'Base bordo'!F$2:F$746,"MAN PREVENTIVA - MECANICA"),0)+IFERROR(SUMIFS('Base bordo'!G$2:G$746,'Base bordo'!C$2:C$746,A561,'Base bordo'!B$2:B$746,B561,'Base bordo'!F$2:F$746,"MAN CORRETIVA - MECANICA"),0)</f>
        <v>0</v>
      </c>
      <c r="L561" s="10">
        <f>IFERROR(SUMIFS('Base bordo'!G$2:G$746,'Base bordo'!C$2:C$746,A561,'Base bordo'!B$2:B$746,B561,'Base bordo'!F$2:F$746,"MANUTENCAO - T O"),0)+IFERROR(SUMIFS('Base bordo'!G$2:G$746,'Base bordo'!C$2:C$746,A561,'Base bordo'!B$2:B$746,B561,'Base bordo'!F$2:F$746,"MANUTENCAO BORRACHARIA"),0)+IFERROR(SUMIFS('Base bordo'!G$2:G$746,'Base bordo'!C$2:C$746,A561,'Base bordo'!B$2:B$746,B561,'Base bordo'!F$2:F$746,"MANUTENCAO EXTERNA  CONCESSIONARIA"),0)+IFERROR(SUMIFS('Base bordo'!G$2:G$746,'Base bordo'!C$2:C$746,A561,'Base bordo'!B$2:B$746,B561,'Base bordo'!F$2:F$746,"MANUTENCAO TELEMETRIA"),0)</f>
        <v>11.065555555555555</v>
      </c>
      <c r="M561" s="10">
        <f>IFERROR(SUMIFS('Base bordo'!G$2:G$746,'Base bordo'!C$2:C$746,A561,'Base bordo'!B$2:B$746,B561,'Base bordo'!F$2:F$746,"AGUARDANDO MANUTENCAO"),0)</f>
        <v>0.04</v>
      </c>
      <c r="N561" s="10">
        <f>IFERROR(SUMIFS('Base bordo'!G$2:G$746,'Base bordo'!C$2:C$746,A561,'Base bordo'!B$2:B$746,B561,'Base bordo'!F$2:F$746,"SEM APONTAMENTO"),0)</f>
        <v>0</v>
      </c>
      <c r="O561" s="10">
        <f t="shared" si="60"/>
        <v>3.1608333333333327</v>
      </c>
      <c r="P561" s="10">
        <f>IFERROR(SUMIFS('Base bordo'!G$2:G$746,'Base bordo'!C$2:C$746,A561,'Base bordo'!B$2:B$746,B561),0)</f>
        <v>24</v>
      </c>
      <c r="Q561" s="10">
        <f>IFERROR(SUMIFS('Base bordo'!H$2:H$746,'Base bordo'!C$2:C$746,A561,'Base bordo'!B$2:B$746,B561,'Base bordo'!F$2:F$746,"DESLOCAMENTO VAZIO"),0)</f>
        <v>586699.78999999992</v>
      </c>
      <c r="R561" s="10">
        <f>IFERROR(SUMIFS('Base bordo'!I$2:I$746,'Base bordo'!C$2:C$746,A561,'Base bordo'!B$2:B$746,B561,'Base bordo'!F$2:F$746,"DESLOCAMENTO VAZIO"),0)</f>
        <v>18822</v>
      </c>
      <c r="S561" s="30">
        <f t="shared" si="61"/>
        <v>31.170958984167459</v>
      </c>
      <c r="T561" s="10">
        <f>IFERROR(SUMIFS('Base bordo'!H$2:H$746,'Base bordo'!C$2:C$746,A561,'Base bordo'!B$2:B$746,B561,'Base bordo'!F$2:F$746,"DESLOCAMENTO CARREGADO"),0)</f>
        <v>166963.32</v>
      </c>
      <c r="U561" s="10">
        <f>IFERROR(SUMIFS('Base bordo'!I$2:I$746,'Base bordo'!C$2:C$746,A561,'Base bordo'!B$2:B$746,B561,'Base bordo'!F$2:F$746,"DESLOCAMENTO CARREGADO"),0)</f>
        <v>7064</v>
      </c>
      <c r="V561" s="30">
        <f t="shared" si="62"/>
        <v>23.635804077010192</v>
      </c>
      <c r="W561" s="9">
        <f t="shared" si="63"/>
        <v>0.21784722222222222</v>
      </c>
      <c r="X561" s="9">
        <f t="shared" si="64"/>
        <v>8.1759259259259268E-2</v>
      </c>
      <c r="Y561" s="9">
        <f t="shared" si="65"/>
        <v>0.7003935185185185</v>
      </c>
    </row>
    <row r="562" spans="1:25" ht="15" customHeight="1" x14ac:dyDescent="0.35">
      <c r="A562" s="52">
        <v>8013470</v>
      </c>
      <c r="B562" s="51">
        <v>46124</v>
      </c>
      <c r="C562" s="7" t="s">
        <v>124</v>
      </c>
      <c r="D562" s="10">
        <f>IFERROR(SUMIFS('Base bordo'!G$2:G$746,'Base bordo'!C$2:C$746,A562,'Base bordo'!B$2:B$746,B562,'Base bordo'!F$2:F$746,"DESLOCAMENTO VAZIO"),0)</f>
        <v>2.2769444444444447</v>
      </c>
      <c r="E562" s="10">
        <f>IFERROR(SUMIFS('Base bordo'!G$2:G$746,'Base bordo'!C$2:C$746,A562,'Base bordo'!B$2:B$746,B562,'Base bordo'!F$2:F$746,"DESLOCAMENTO CARREGADO"),0)</f>
        <v>6.3111111111111109</v>
      </c>
      <c r="F562" s="10">
        <f>IFERROR(SUMIFS('Base bordo'!G$2:G$746,'Base bordo'!C$2:C$746,A562,'Base bordo'!B$2:B$746,B562,'Base bordo'!F$2:F$746,"DESLOCAMENTO"),0)</f>
        <v>0</v>
      </c>
      <c r="G562" s="10">
        <f>IFERROR(SUMIFS('Base bordo'!G$2:G$746,'Base bordo'!C$2:C$746,A562,'Base bordo'!B$2:B$746,B562,'Base bordo'!F$2:F$746,"CARREGAMENTO"),0)</f>
        <v>0</v>
      </c>
      <c r="H562" s="10">
        <f>IFERROR(SUMIFS('Base bordo'!G$2:G$746,'Base bordo'!C$2:C$746,A562,'Base bordo'!B$2:B$746,B562,'Base bordo'!F$2:F$746,"AGUARDANDO TRANSBORDO"),0)</f>
        <v>0.24416666666666667</v>
      </c>
      <c r="I562" s="10">
        <f>IFERROR(SUMIFS('Base bordo'!G$2:G$746,'Base bordo'!C$2:C$746,A562,'Base bordo'!B$2:B$746,B562,'Base bordo'!F$2:F$746,"PÁTIO INTERNO"),0)+IFERROR(SUMIFS('Base bordo'!G$2:G$746,'Base bordo'!C$2:C$746,A562,'Base bordo'!B$2:B$746,B562,'Base bordo'!F$2:F$746,"PÁTIO EXTERNO"),0)+IFERROR(SUMIFS('Base bordo'!G$2:G$746,'Base bordo'!C$2:C$746,A562,'Base bordo'!B$2:B$746,B562,'Base bordo'!F$2:F$746,"PATIO - RESERVA"),0)+IFERROR(SUMIFS('Base bordo'!G$2:G$746,'Base bordo'!C$2:C$746,A562,'Base bordo'!B$2:B$746,B562,'Base bordo'!F$2:F$746,"MANOBRA CARRETAS-PATIO"),0)</f>
        <v>3.2016666666666667</v>
      </c>
      <c r="J562" s="10">
        <f>IFERROR(SUMIFS('Base bordo'!G$2:G$746,'Base bordo'!C$2:C$746,A562,'Base bordo'!B$2:B$746,B562,'Base bordo'!F$2:F$746,"BALANÇA - ENTRADA"),0)+IFERROR(SUMIFS('Base bordo'!G$2:G$746,'Base bordo'!C$2:C$746,A562,'Base bordo'!B$2:B$746,B562,'Base bordo'!F$2:F$746,"BALANÇA - SAÍDA"),0)</f>
        <v>0.21722222222222221</v>
      </c>
      <c r="K562" s="10">
        <f>IFERROR(SUMIFS('Base bordo'!G$2:G$746,'Base bordo'!C$2:C$746,A562,'Base bordo'!B$2:B$746,B562,'Base bordo'!F$2:F$746,"MAN PREVENTIVA - MECANICA"),0)+IFERROR(SUMIFS('Base bordo'!G$2:G$746,'Base bordo'!C$2:C$746,A562,'Base bordo'!B$2:B$746,B562,'Base bordo'!F$2:F$746,"MAN CORRETIVA - MECANICA"),0)</f>
        <v>0</v>
      </c>
      <c r="L562" s="10">
        <f>IFERROR(SUMIFS('Base bordo'!G$2:G$746,'Base bordo'!C$2:C$746,A562,'Base bordo'!B$2:B$746,B562,'Base bordo'!F$2:F$746,"MANUTENCAO - T O"),0)+IFERROR(SUMIFS('Base bordo'!G$2:G$746,'Base bordo'!C$2:C$746,A562,'Base bordo'!B$2:B$746,B562,'Base bordo'!F$2:F$746,"MANUTENCAO BORRACHARIA"),0)+IFERROR(SUMIFS('Base bordo'!G$2:G$746,'Base bordo'!C$2:C$746,A562,'Base bordo'!B$2:B$746,B562,'Base bordo'!F$2:F$746,"MANUTENCAO EXTERNA  CONCESSIONARIA"),0)+IFERROR(SUMIFS('Base bordo'!G$2:G$746,'Base bordo'!C$2:C$746,A562,'Base bordo'!B$2:B$746,B562,'Base bordo'!F$2:F$746,"MANUTENCAO TELEMETRIA"),0)</f>
        <v>0</v>
      </c>
      <c r="M562" s="10">
        <f>IFERROR(SUMIFS('Base bordo'!G$2:G$746,'Base bordo'!C$2:C$746,A562,'Base bordo'!B$2:B$746,B562,'Base bordo'!F$2:F$746,"AGUARDANDO MANUTENCAO"),0)</f>
        <v>0</v>
      </c>
      <c r="N562" s="10">
        <f>IFERROR(SUMIFS('Base bordo'!G$2:G$746,'Base bordo'!C$2:C$746,A562,'Base bordo'!B$2:B$746,B562,'Base bordo'!F$2:F$746,"SEM APONTAMENTO"),0)</f>
        <v>0</v>
      </c>
      <c r="O562" s="10">
        <f t="shared" si="60"/>
        <v>6.3333333333332575E-2</v>
      </c>
      <c r="P562" s="10">
        <f>IFERROR(SUMIFS('Base bordo'!G$2:G$746,'Base bordo'!C$2:C$746,A562,'Base bordo'!B$2:B$746,B562),0)</f>
        <v>12.314444444444444</v>
      </c>
      <c r="Q562" s="10">
        <f>IFERROR(SUMIFS('Base bordo'!H$2:H$746,'Base bordo'!C$2:C$746,A562,'Base bordo'!B$2:B$746,B562,'Base bordo'!F$2:F$746,"DESLOCAMENTO VAZIO"),0)</f>
        <v>282969.98000000004</v>
      </c>
      <c r="R562" s="10">
        <f>IFERROR(SUMIFS('Base bordo'!I$2:I$746,'Base bordo'!C$2:C$746,A562,'Base bordo'!B$2:B$746,B562,'Base bordo'!F$2:F$746,"DESLOCAMENTO VAZIO"),0)</f>
        <v>8186</v>
      </c>
      <c r="S562" s="30">
        <f t="shared" si="61"/>
        <v>34.567551917908631</v>
      </c>
      <c r="T562" s="10">
        <f>IFERROR(SUMIFS('Base bordo'!H$2:H$746,'Base bordo'!C$2:C$746,A562,'Base bordo'!B$2:B$746,B562,'Base bordo'!F$2:F$746,"DESLOCAMENTO CARREGADO"),0)</f>
        <v>649243.22</v>
      </c>
      <c r="U562" s="10">
        <f>IFERROR(SUMIFS('Base bordo'!I$2:I$746,'Base bordo'!C$2:C$746,A562,'Base bordo'!B$2:B$746,B562,'Base bordo'!F$2:F$746,"DESLOCAMENTO CARREGADO"),0)</f>
        <v>22720</v>
      </c>
      <c r="V562" s="30">
        <f t="shared" si="62"/>
        <v>28.575845950704224</v>
      </c>
      <c r="W562" s="9">
        <f t="shared" si="63"/>
        <v>0.18490029775331593</v>
      </c>
      <c r="X562" s="9">
        <f t="shared" si="64"/>
        <v>0.51249661643959221</v>
      </c>
      <c r="Y562" s="9">
        <f t="shared" si="65"/>
        <v>0.30260308580709183</v>
      </c>
    </row>
    <row r="563" spans="1:25" ht="15" customHeight="1" x14ac:dyDescent="0.35">
      <c r="A563" s="52">
        <v>8013472</v>
      </c>
      <c r="B563" s="51">
        <v>46120</v>
      </c>
      <c r="C563" s="7" t="s">
        <v>124</v>
      </c>
      <c r="D563" s="10">
        <f>IFERROR(SUMIFS('Base bordo'!G$2:G$746,'Base bordo'!C$2:C$746,A563,'Base bordo'!B$2:B$746,B563,'Base bordo'!F$2:F$746,"DESLOCAMENTO VAZIO"),0)</f>
        <v>0.57944444444444443</v>
      </c>
      <c r="E563" s="10">
        <f>IFERROR(SUMIFS('Base bordo'!G$2:G$746,'Base bordo'!C$2:C$746,A563,'Base bordo'!B$2:B$746,B563,'Base bordo'!F$2:F$746,"DESLOCAMENTO CARREGADO"),0)</f>
        <v>0</v>
      </c>
      <c r="F563" s="10">
        <f>IFERROR(SUMIFS('Base bordo'!G$2:G$746,'Base bordo'!C$2:C$746,A563,'Base bordo'!B$2:B$746,B563,'Base bordo'!F$2:F$746,"DESLOCAMENTO"),0)</f>
        <v>0</v>
      </c>
      <c r="G563" s="10">
        <f>IFERROR(SUMIFS('Base bordo'!G$2:G$746,'Base bordo'!C$2:C$746,A563,'Base bordo'!B$2:B$746,B563,'Base bordo'!F$2:F$746,"CARREGAMENTO"),0)</f>
        <v>0</v>
      </c>
      <c r="H563" s="10">
        <f>IFERROR(SUMIFS('Base bordo'!G$2:G$746,'Base bordo'!C$2:C$746,A563,'Base bordo'!B$2:B$746,B563,'Base bordo'!F$2:F$746,"AGUARDANDO TRANSBORDO"),0)</f>
        <v>0</v>
      </c>
      <c r="I563" s="10">
        <f>IFERROR(SUMIFS('Base bordo'!G$2:G$746,'Base bordo'!C$2:C$746,A563,'Base bordo'!B$2:B$746,B563,'Base bordo'!F$2:F$746,"PÁTIO INTERNO"),0)+IFERROR(SUMIFS('Base bordo'!G$2:G$746,'Base bordo'!C$2:C$746,A563,'Base bordo'!B$2:B$746,B563,'Base bordo'!F$2:F$746,"PÁTIO EXTERNO"),0)+IFERROR(SUMIFS('Base bordo'!G$2:G$746,'Base bordo'!C$2:C$746,A563,'Base bordo'!B$2:B$746,B563,'Base bordo'!F$2:F$746,"PATIO - RESERVA"),0)+IFERROR(SUMIFS('Base bordo'!G$2:G$746,'Base bordo'!C$2:C$746,A563,'Base bordo'!B$2:B$746,B563,'Base bordo'!F$2:F$746,"MANOBRA CARRETAS-PATIO"),0)</f>
        <v>0</v>
      </c>
      <c r="J563" s="10">
        <f>IFERROR(SUMIFS('Base bordo'!G$2:G$746,'Base bordo'!C$2:C$746,A563,'Base bordo'!B$2:B$746,B563,'Base bordo'!F$2:F$746,"BALANÇA - ENTRADA"),0)+IFERROR(SUMIFS('Base bordo'!G$2:G$746,'Base bordo'!C$2:C$746,A563,'Base bordo'!B$2:B$746,B563,'Base bordo'!F$2:F$746,"BALANÇA - SAÍDA"),0)</f>
        <v>0</v>
      </c>
      <c r="K563" s="10">
        <f>IFERROR(SUMIFS('Base bordo'!G$2:G$746,'Base bordo'!C$2:C$746,A563,'Base bordo'!B$2:B$746,B563,'Base bordo'!F$2:F$746,"MAN PREVENTIVA - MECANICA"),0)+IFERROR(SUMIFS('Base bordo'!G$2:G$746,'Base bordo'!C$2:C$746,A563,'Base bordo'!B$2:B$746,B563,'Base bordo'!F$2:F$746,"MAN CORRETIVA - MECANICA"),0)</f>
        <v>0</v>
      </c>
      <c r="L563" s="10">
        <f>IFERROR(SUMIFS('Base bordo'!G$2:G$746,'Base bordo'!C$2:C$746,A563,'Base bordo'!B$2:B$746,B563,'Base bordo'!F$2:F$746,"MANUTENCAO - T O"),0)+IFERROR(SUMIFS('Base bordo'!G$2:G$746,'Base bordo'!C$2:C$746,A563,'Base bordo'!B$2:B$746,B563,'Base bordo'!F$2:F$746,"MANUTENCAO BORRACHARIA"),0)+IFERROR(SUMIFS('Base bordo'!G$2:G$746,'Base bordo'!C$2:C$746,A563,'Base bordo'!B$2:B$746,B563,'Base bordo'!F$2:F$746,"MANUTENCAO EXTERNA  CONCESSIONARIA"),0)+IFERROR(SUMIFS('Base bordo'!G$2:G$746,'Base bordo'!C$2:C$746,A563,'Base bordo'!B$2:B$746,B563,'Base bordo'!F$2:F$746,"MANUTENCAO TELEMETRIA"),0)</f>
        <v>0</v>
      </c>
      <c r="M563" s="10">
        <f>IFERROR(SUMIFS('Base bordo'!G$2:G$746,'Base bordo'!C$2:C$746,A563,'Base bordo'!B$2:B$746,B563,'Base bordo'!F$2:F$746,"AGUARDANDO MANUTENCAO"),0)</f>
        <v>0</v>
      </c>
      <c r="N563" s="10">
        <f>IFERROR(SUMIFS('Base bordo'!G$2:G$746,'Base bordo'!C$2:C$746,A563,'Base bordo'!B$2:B$746,B563,'Base bordo'!F$2:F$746,"SEM APONTAMENTO"),0)</f>
        <v>0</v>
      </c>
      <c r="O563" s="10">
        <f t="shared" si="60"/>
        <v>7.9047222222222224</v>
      </c>
      <c r="P563" s="10">
        <f>IFERROR(SUMIFS('Base bordo'!G$2:G$746,'Base bordo'!C$2:C$746,A563,'Base bordo'!B$2:B$746,B563),0)</f>
        <v>8.4841666666666669</v>
      </c>
      <c r="Q563" s="10">
        <f>IFERROR(SUMIFS('Base bordo'!H$2:H$746,'Base bordo'!C$2:C$746,A563,'Base bordo'!B$2:B$746,B563,'Base bordo'!F$2:F$746,"DESLOCAMENTO VAZIO"),0)</f>
        <v>71647.22</v>
      </c>
      <c r="R563" s="10">
        <f>IFERROR(SUMIFS('Base bordo'!I$2:I$746,'Base bordo'!C$2:C$746,A563,'Base bordo'!B$2:B$746,B563,'Base bordo'!F$2:F$746,"DESLOCAMENTO VAZIO"),0)</f>
        <v>2086</v>
      </c>
      <c r="S563" s="30">
        <f t="shared" si="61"/>
        <v>34.346701821668262</v>
      </c>
      <c r="T563" s="10">
        <f>IFERROR(SUMIFS('Base bordo'!H$2:H$746,'Base bordo'!C$2:C$746,A563,'Base bordo'!B$2:B$746,B563,'Base bordo'!F$2:F$746,"DESLOCAMENTO CARREGADO"),0)</f>
        <v>0</v>
      </c>
      <c r="U563" s="10">
        <f>IFERROR(SUMIFS('Base bordo'!I$2:I$746,'Base bordo'!C$2:C$746,A563,'Base bordo'!B$2:B$746,B563,'Base bordo'!F$2:F$746,"DESLOCAMENTO CARREGADO"),0)</f>
        <v>0</v>
      </c>
      <c r="V563" s="30" t="str">
        <f t="shared" si="62"/>
        <v/>
      </c>
      <c r="W563" s="9">
        <f t="shared" si="63"/>
        <v>6.8297154830894144E-2</v>
      </c>
      <c r="X563" s="9">
        <f t="shared" si="64"/>
        <v>0</v>
      </c>
      <c r="Y563" s="9">
        <f t="shared" si="65"/>
        <v>0.93170284516910584</v>
      </c>
    </row>
    <row r="564" spans="1:25" ht="15" customHeight="1" x14ac:dyDescent="0.35">
      <c r="A564" s="52">
        <v>8013462</v>
      </c>
      <c r="B564" s="51">
        <v>46117</v>
      </c>
      <c r="C564" s="7" t="s">
        <v>124</v>
      </c>
      <c r="D564" s="10">
        <f>IFERROR(SUMIFS('Base bordo'!G$2:G$746,'Base bordo'!C$2:C$746,A564,'Base bordo'!B$2:B$746,B564,'Base bordo'!F$2:F$746,"DESLOCAMENTO VAZIO"),0)</f>
        <v>1.3697222222222223</v>
      </c>
      <c r="E564" s="10">
        <f>IFERROR(SUMIFS('Base bordo'!G$2:G$746,'Base bordo'!C$2:C$746,A564,'Base bordo'!B$2:B$746,B564,'Base bordo'!F$2:F$746,"DESLOCAMENTO CARREGADO"),0)</f>
        <v>1.7716666666666667</v>
      </c>
      <c r="F564" s="10">
        <f>IFERROR(SUMIFS('Base bordo'!G$2:G$746,'Base bordo'!C$2:C$746,A564,'Base bordo'!B$2:B$746,B564,'Base bordo'!F$2:F$746,"DESLOCAMENTO"),0)</f>
        <v>1.0772222222222223</v>
      </c>
      <c r="G564" s="10">
        <f>IFERROR(SUMIFS('Base bordo'!G$2:G$746,'Base bordo'!C$2:C$746,A564,'Base bordo'!B$2:B$746,B564,'Base bordo'!F$2:F$746,"CARREGAMENTO"),0)</f>
        <v>0.32777777777777778</v>
      </c>
      <c r="H564" s="10">
        <f>IFERROR(SUMIFS('Base bordo'!G$2:G$746,'Base bordo'!C$2:C$746,A564,'Base bordo'!B$2:B$746,B564,'Base bordo'!F$2:F$746,"AGUARDANDO TRANSBORDO"),0)</f>
        <v>0.98277777777777775</v>
      </c>
      <c r="I564" s="10">
        <f>IFERROR(SUMIFS('Base bordo'!G$2:G$746,'Base bordo'!C$2:C$746,A564,'Base bordo'!B$2:B$746,B564,'Base bordo'!F$2:F$746,"PÁTIO INTERNO"),0)+IFERROR(SUMIFS('Base bordo'!G$2:G$746,'Base bordo'!C$2:C$746,A564,'Base bordo'!B$2:B$746,B564,'Base bordo'!F$2:F$746,"PÁTIO EXTERNO"),0)+IFERROR(SUMIFS('Base bordo'!G$2:G$746,'Base bordo'!C$2:C$746,A564,'Base bordo'!B$2:B$746,B564,'Base bordo'!F$2:F$746,"PATIO - RESERVA"),0)+IFERROR(SUMIFS('Base bordo'!G$2:G$746,'Base bordo'!C$2:C$746,A564,'Base bordo'!B$2:B$746,B564,'Base bordo'!F$2:F$746,"MANOBRA CARRETAS-PATIO"),0)</f>
        <v>0</v>
      </c>
      <c r="J564" s="10">
        <f>IFERROR(SUMIFS('Base bordo'!G$2:G$746,'Base bordo'!C$2:C$746,A564,'Base bordo'!B$2:B$746,B564,'Base bordo'!F$2:F$746,"BALANÇA - ENTRADA"),0)+IFERROR(SUMIFS('Base bordo'!G$2:G$746,'Base bordo'!C$2:C$746,A564,'Base bordo'!B$2:B$746,B564,'Base bordo'!F$2:F$746,"BALANÇA - SAÍDA"),0)</f>
        <v>0</v>
      </c>
      <c r="K564" s="10">
        <f>IFERROR(SUMIFS('Base bordo'!G$2:G$746,'Base bordo'!C$2:C$746,A564,'Base bordo'!B$2:B$746,B564,'Base bordo'!F$2:F$746,"MAN PREVENTIVA - MECANICA"),0)+IFERROR(SUMIFS('Base bordo'!G$2:G$746,'Base bordo'!C$2:C$746,A564,'Base bordo'!B$2:B$746,B564,'Base bordo'!F$2:F$746,"MAN CORRETIVA - MECANICA"),0)</f>
        <v>4.6944444444444441E-2</v>
      </c>
      <c r="L564" s="10">
        <f>IFERROR(SUMIFS('Base bordo'!G$2:G$746,'Base bordo'!C$2:C$746,A564,'Base bordo'!B$2:B$746,B564,'Base bordo'!F$2:F$746,"MANUTENCAO - T O"),0)+IFERROR(SUMIFS('Base bordo'!G$2:G$746,'Base bordo'!C$2:C$746,A564,'Base bordo'!B$2:B$746,B564,'Base bordo'!F$2:F$746,"MANUTENCAO BORRACHARIA"),0)+IFERROR(SUMIFS('Base bordo'!G$2:G$746,'Base bordo'!C$2:C$746,A564,'Base bordo'!B$2:B$746,B564,'Base bordo'!F$2:F$746,"MANUTENCAO EXTERNA  CONCESSIONARIA"),0)+IFERROR(SUMIFS('Base bordo'!G$2:G$746,'Base bordo'!C$2:C$746,A564,'Base bordo'!B$2:B$746,B564,'Base bordo'!F$2:F$746,"MANUTENCAO TELEMETRIA"),0)</f>
        <v>4.0702777777777781</v>
      </c>
      <c r="M564" s="10">
        <f>IFERROR(SUMIFS('Base bordo'!G$2:G$746,'Base bordo'!C$2:C$746,A564,'Base bordo'!B$2:B$746,B564,'Base bordo'!F$2:F$746,"AGUARDANDO MANUTENCAO"),0)</f>
        <v>0</v>
      </c>
      <c r="N564" s="10">
        <f>IFERROR(SUMIFS('Base bordo'!G$2:G$746,'Base bordo'!C$2:C$746,A564,'Base bordo'!B$2:B$746,B564,'Base bordo'!F$2:F$746,"SEM APONTAMENTO"),0)</f>
        <v>0</v>
      </c>
      <c r="O564" s="10">
        <f t="shared" si="60"/>
        <v>2.6524999999999981</v>
      </c>
      <c r="P564" s="10">
        <f>IFERROR(SUMIFS('Base bordo'!G$2:G$746,'Base bordo'!C$2:C$746,A564,'Base bordo'!B$2:B$746,B564),0)</f>
        <v>12.298888888888888</v>
      </c>
      <c r="Q564" s="10">
        <f>IFERROR(SUMIFS('Base bordo'!H$2:H$746,'Base bordo'!C$2:C$746,A564,'Base bordo'!B$2:B$746,B564,'Base bordo'!F$2:F$746,"DESLOCAMENTO VAZIO"),0)</f>
        <v>96755.57</v>
      </c>
      <c r="R564" s="10">
        <f>IFERROR(SUMIFS('Base bordo'!I$2:I$746,'Base bordo'!C$2:C$746,A564,'Base bordo'!B$2:B$746,B564,'Base bordo'!F$2:F$746,"DESLOCAMENTO VAZIO"),0)</f>
        <v>4931</v>
      </c>
      <c r="S564" s="30">
        <f t="shared" si="61"/>
        <v>19.621896167106065</v>
      </c>
      <c r="T564" s="10">
        <f>IFERROR(SUMIFS('Base bordo'!H$2:H$746,'Base bordo'!C$2:C$746,A564,'Base bordo'!B$2:B$746,B564,'Base bordo'!F$2:F$746,"DESLOCAMENTO CARREGADO"),0)</f>
        <v>170850.02000000002</v>
      </c>
      <c r="U564" s="10">
        <f>IFERROR(SUMIFS('Base bordo'!I$2:I$746,'Base bordo'!C$2:C$746,A564,'Base bordo'!B$2:B$746,B564,'Base bordo'!F$2:F$746,"DESLOCAMENTO CARREGADO"),0)</f>
        <v>6378</v>
      </c>
      <c r="V564" s="30">
        <f t="shared" si="62"/>
        <v>26.787397303229856</v>
      </c>
      <c r="W564" s="9">
        <f t="shared" si="63"/>
        <v>0.1113695907489385</v>
      </c>
      <c r="X564" s="9">
        <f t="shared" si="64"/>
        <v>0.14405095311229563</v>
      </c>
      <c r="Y564" s="9">
        <f t="shared" si="65"/>
        <v>0.74457945613876597</v>
      </c>
    </row>
    <row r="565" spans="1:25" ht="15" customHeight="1" x14ac:dyDescent="0.35">
      <c r="A565" s="52">
        <v>8013483</v>
      </c>
      <c r="B565" s="51">
        <v>46123</v>
      </c>
      <c r="C565" s="7" t="s">
        <v>124</v>
      </c>
      <c r="D565" s="10">
        <f>IFERROR(SUMIFS('Base bordo'!G$2:G$746,'Base bordo'!C$2:C$746,A565,'Base bordo'!B$2:B$746,B565,'Base bordo'!F$2:F$746,"DESLOCAMENTO VAZIO"),0)</f>
        <v>2.875</v>
      </c>
      <c r="E565" s="10">
        <f>IFERROR(SUMIFS('Base bordo'!G$2:G$746,'Base bordo'!C$2:C$746,A565,'Base bordo'!B$2:B$746,B565,'Base bordo'!F$2:F$746,"DESLOCAMENTO CARREGADO"),0)</f>
        <v>1.3638888888888889</v>
      </c>
      <c r="F565" s="10">
        <f>IFERROR(SUMIFS('Base bordo'!G$2:G$746,'Base bordo'!C$2:C$746,A565,'Base bordo'!B$2:B$746,B565,'Base bordo'!F$2:F$746,"DESLOCAMENTO"),0)</f>
        <v>0.20861111111111111</v>
      </c>
      <c r="G565" s="10">
        <f>IFERROR(SUMIFS('Base bordo'!G$2:G$746,'Base bordo'!C$2:C$746,A565,'Base bordo'!B$2:B$746,B565,'Base bordo'!F$2:F$746,"CARREGAMENTO"),0)</f>
        <v>0</v>
      </c>
      <c r="H565" s="10">
        <f>IFERROR(SUMIFS('Base bordo'!G$2:G$746,'Base bordo'!C$2:C$746,A565,'Base bordo'!B$2:B$746,B565,'Base bordo'!F$2:F$746,"AGUARDANDO TRANSBORDO"),0)</f>
        <v>0.54722222222222228</v>
      </c>
      <c r="I565" s="10">
        <f>IFERROR(SUMIFS('Base bordo'!G$2:G$746,'Base bordo'!C$2:C$746,A565,'Base bordo'!B$2:B$746,B565,'Base bordo'!F$2:F$746,"PÁTIO INTERNO"),0)+IFERROR(SUMIFS('Base bordo'!G$2:G$746,'Base bordo'!C$2:C$746,A565,'Base bordo'!B$2:B$746,B565,'Base bordo'!F$2:F$746,"PÁTIO EXTERNO"),0)+IFERROR(SUMIFS('Base bordo'!G$2:G$746,'Base bordo'!C$2:C$746,A565,'Base bordo'!B$2:B$746,B565,'Base bordo'!F$2:F$746,"PATIO - RESERVA"),0)+IFERROR(SUMIFS('Base bordo'!G$2:G$746,'Base bordo'!C$2:C$746,A565,'Base bordo'!B$2:B$746,B565,'Base bordo'!F$2:F$746,"MANOBRA CARRETAS-PATIO"),0)</f>
        <v>0.5708333333333333</v>
      </c>
      <c r="J565" s="10">
        <f>IFERROR(SUMIFS('Base bordo'!G$2:G$746,'Base bordo'!C$2:C$746,A565,'Base bordo'!B$2:B$746,B565,'Base bordo'!F$2:F$746,"BALANÇA - ENTRADA"),0)+IFERROR(SUMIFS('Base bordo'!G$2:G$746,'Base bordo'!C$2:C$746,A565,'Base bordo'!B$2:B$746,B565,'Base bordo'!F$2:F$746,"BALANÇA - SAÍDA"),0)</f>
        <v>0</v>
      </c>
      <c r="K565" s="10">
        <f>IFERROR(SUMIFS('Base bordo'!G$2:G$746,'Base bordo'!C$2:C$746,A565,'Base bordo'!B$2:B$746,B565,'Base bordo'!F$2:F$746,"MAN PREVENTIVA - MECANICA"),0)+IFERROR(SUMIFS('Base bordo'!G$2:G$746,'Base bordo'!C$2:C$746,A565,'Base bordo'!B$2:B$746,B565,'Base bordo'!F$2:F$746,"MAN CORRETIVA - MECANICA"),0)</f>
        <v>0</v>
      </c>
      <c r="L565" s="10">
        <f>IFERROR(SUMIFS('Base bordo'!G$2:G$746,'Base bordo'!C$2:C$746,A565,'Base bordo'!B$2:B$746,B565,'Base bordo'!F$2:F$746,"MANUTENCAO - T O"),0)+IFERROR(SUMIFS('Base bordo'!G$2:G$746,'Base bordo'!C$2:C$746,A565,'Base bordo'!B$2:B$746,B565,'Base bordo'!F$2:F$746,"MANUTENCAO BORRACHARIA"),0)+IFERROR(SUMIFS('Base bordo'!G$2:G$746,'Base bordo'!C$2:C$746,A565,'Base bordo'!B$2:B$746,B565,'Base bordo'!F$2:F$746,"MANUTENCAO EXTERNA  CONCESSIONARIA"),0)+IFERROR(SUMIFS('Base bordo'!G$2:G$746,'Base bordo'!C$2:C$746,A565,'Base bordo'!B$2:B$746,B565,'Base bordo'!F$2:F$746,"MANUTENCAO TELEMETRIA"),0)</f>
        <v>0</v>
      </c>
      <c r="M565" s="10">
        <f>IFERROR(SUMIFS('Base bordo'!G$2:G$746,'Base bordo'!C$2:C$746,A565,'Base bordo'!B$2:B$746,B565,'Base bordo'!F$2:F$746,"AGUARDANDO MANUTENCAO"),0)</f>
        <v>0</v>
      </c>
      <c r="N565" s="10">
        <f>IFERROR(SUMIFS('Base bordo'!G$2:G$746,'Base bordo'!C$2:C$746,A565,'Base bordo'!B$2:B$746,B565,'Base bordo'!F$2:F$746,"SEM APONTAMENTO"),0)</f>
        <v>0</v>
      </c>
      <c r="O565" s="10">
        <f t="shared" si="60"/>
        <v>0.27361111111111125</v>
      </c>
      <c r="P565" s="10">
        <f>IFERROR(SUMIFS('Base bordo'!G$2:G$746,'Base bordo'!C$2:C$746,A565,'Base bordo'!B$2:B$746,B565),0)</f>
        <v>5.8391666666666664</v>
      </c>
      <c r="Q565" s="10">
        <f>IFERROR(SUMIFS('Base bordo'!H$2:H$746,'Base bordo'!C$2:C$746,A565,'Base bordo'!B$2:B$746,B565,'Base bordo'!F$2:F$746,"DESLOCAMENTO VAZIO"),0)</f>
        <v>352932.77</v>
      </c>
      <c r="R565" s="10">
        <f>IFERROR(SUMIFS('Base bordo'!I$2:I$746,'Base bordo'!C$2:C$746,A565,'Base bordo'!B$2:B$746,B565,'Base bordo'!F$2:F$746,"DESLOCAMENTO VAZIO"),0)</f>
        <v>10350</v>
      </c>
      <c r="S565" s="30">
        <f t="shared" si="61"/>
        <v>34.099784541062803</v>
      </c>
      <c r="T565" s="10">
        <f>IFERROR(SUMIFS('Base bordo'!H$2:H$746,'Base bordo'!C$2:C$746,A565,'Base bordo'!B$2:B$746,B565,'Base bordo'!F$2:F$746,"DESLOCAMENTO CARREGADO"),0)</f>
        <v>73870.23000000001</v>
      </c>
      <c r="U565" s="10">
        <f>IFERROR(SUMIFS('Base bordo'!I$2:I$746,'Base bordo'!C$2:C$746,A565,'Base bordo'!B$2:B$746,B565,'Base bordo'!F$2:F$746,"DESLOCAMENTO CARREGADO"),0)</f>
        <v>4910</v>
      </c>
      <c r="V565" s="30">
        <f t="shared" si="62"/>
        <v>15.044853360488801</v>
      </c>
      <c r="W565" s="9">
        <f t="shared" si="63"/>
        <v>0.49236477807906381</v>
      </c>
      <c r="X565" s="9">
        <f t="shared" si="64"/>
        <v>0.23357594786166216</v>
      </c>
      <c r="Y565" s="9">
        <f t="shared" si="65"/>
        <v>0.27405927405927399</v>
      </c>
    </row>
    <row r="566" spans="1:25" ht="15" customHeight="1" x14ac:dyDescent="0.35">
      <c r="A566" s="52">
        <v>8013484</v>
      </c>
      <c r="B566" s="51">
        <v>46123</v>
      </c>
      <c r="C566" s="7" t="s">
        <v>124</v>
      </c>
      <c r="D566" s="10">
        <f>IFERROR(SUMIFS('Base bordo'!G$2:G$746,'Base bordo'!C$2:C$746,A566,'Base bordo'!B$2:B$746,B566,'Base bordo'!F$2:F$746,"DESLOCAMENTO VAZIO"),0)</f>
        <v>1.3186111111111112</v>
      </c>
      <c r="E566" s="10">
        <f>IFERROR(SUMIFS('Base bordo'!G$2:G$746,'Base bordo'!C$2:C$746,A566,'Base bordo'!B$2:B$746,B566,'Base bordo'!F$2:F$746,"DESLOCAMENTO CARREGADO"),0)</f>
        <v>2.0469444444444442</v>
      </c>
      <c r="F566" s="10">
        <f>IFERROR(SUMIFS('Base bordo'!G$2:G$746,'Base bordo'!C$2:C$746,A566,'Base bordo'!B$2:B$746,B566,'Base bordo'!F$2:F$746,"DESLOCAMENTO"),0)</f>
        <v>0</v>
      </c>
      <c r="G566" s="10">
        <f>IFERROR(SUMIFS('Base bordo'!G$2:G$746,'Base bordo'!C$2:C$746,A566,'Base bordo'!B$2:B$746,B566,'Base bordo'!F$2:F$746,"CARREGAMENTO"),0)</f>
        <v>0</v>
      </c>
      <c r="H566" s="10">
        <f>IFERROR(SUMIFS('Base bordo'!G$2:G$746,'Base bordo'!C$2:C$746,A566,'Base bordo'!B$2:B$746,B566,'Base bordo'!F$2:F$746,"AGUARDANDO TRANSBORDO"),0)</f>
        <v>0.2688888888888889</v>
      </c>
      <c r="I566" s="10">
        <f>IFERROR(SUMIFS('Base bordo'!G$2:G$746,'Base bordo'!C$2:C$746,A566,'Base bordo'!B$2:B$746,B566,'Base bordo'!F$2:F$746,"PÁTIO INTERNO"),0)+IFERROR(SUMIFS('Base bordo'!G$2:G$746,'Base bordo'!C$2:C$746,A566,'Base bordo'!B$2:B$746,B566,'Base bordo'!F$2:F$746,"PÁTIO EXTERNO"),0)+IFERROR(SUMIFS('Base bordo'!G$2:G$746,'Base bordo'!C$2:C$746,A566,'Base bordo'!B$2:B$746,B566,'Base bordo'!F$2:F$746,"PATIO - RESERVA"),0)+IFERROR(SUMIFS('Base bordo'!G$2:G$746,'Base bordo'!C$2:C$746,A566,'Base bordo'!B$2:B$746,B566,'Base bordo'!F$2:F$746,"MANOBRA CARRETAS-PATIO"),0)</f>
        <v>2.7616666666666667</v>
      </c>
      <c r="J566" s="10">
        <f>IFERROR(SUMIFS('Base bordo'!G$2:G$746,'Base bordo'!C$2:C$746,A566,'Base bordo'!B$2:B$746,B566,'Base bordo'!F$2:F$746,"BALANÇA - ENTRADA"),0)+IFERROR(SUMIFS('Base bordo'!G$2:G$746,'Base bordo'!C$2:C$746,A566,'Base bordo'!B$2:B$746,B566,'Base bordo'!F$2:F$746,"BALANÇA - SAÍDA"),0)</f>
        <v>2.4722222222222222E-2</v>
      </c>
      <c r="K566" s="10">
        <f>IFERROR(SUMIFS('Base bordo'!G$2:G$746,'Base bordo'!C$2:C$746,A566,'Base bordo'!B$2:B$746,B566,'Base bordo'!F$2:F$746,"MAN PREVENTIVA - MECANICA"),0)+IFERROR(SUMIFS('Base bordo'!G$2:G$746,'Base bordo'!C$2:C$746,A566,'Base bordo'!B$2:B$746,B566,'Base bordo'!F$2:F$746,"MAN CORRETIVA - MECANICA"),0)</f>
        <v>0</v>
      </c>
      <c r="L566" s="10">
        <f>IFERROR(SUMIFS('Base bordo'!G$2:G$746,'Base bordo'!C$2:C$746,A566,'Base bordo'!B$2:B$746,B566,'Base bordo'!F$2:F$746,"MANUTENCAO - T O"),0)+IFERROR(SUMIFS('Base bordo'!G$2:G$746,'Base bordo'!C$2:C$746,A566,'Base bordo'!B$2:B$746,B566,'Base bordo'!F$2:F$746,"MANUTENCAO BORRACHARIA"),0)+IFERROR(SUMIFS('Base bordo'!G$2:G$746,'Base bordo'!C$2:C$746,A566,'Base bordo'!B$2:B$746,B566,'Base bordo'!F$2:F$746,"MANUTENCAO EXTERNA  CONCESSIONARIA"),0)+IFERROR(SUMIFS('Base bordo'!G$2:G$746,'Base bordo'!C$2:C$746,A566,'Base bordo'!B$2:B$746,B566,'Base bordo'!F$2:F$746,"MANUTENCAO TELEMETRIA"),0)</f>
        <v>0</v>
      </c>
      <c r="M566" s="10">
        <f>IFERROR(SUMIFS('Base bordo'!G$2:G$746,'Base bordo'!C$2:C$746,A566,'Base bordo'!B$2:B$746,B566,'Base bordo'!F$2:F$746,"AGUARDANDO MANUTENCAO"),0)</f>
        <v>0</v>
      </c>
      <c r="N566" s="10">
        <f>IFERROR(SUMIFS('Base bordo'!G$2:G$746,'Base bordo'!C$2:C$746,A566,'Base bordo'!B$2:B$746,B566,'Base bordo'!F$2:F$746,"SEM APONTAMENTO"),0)</f>
        <v>0</v>
      </c>
      <c r="O566" s="10">
        <f t="shared" si="60"/>
        <v>0.68777777777777871</v>
      </c>
      <c r="P566" s="10">
        <f>IFERROR(SUMIFS('Base bordo'!G$2:G$746,'Base bordo'!C$2:C$746,A566,'Base bordo'!B$2:B$746,B566),0)</f>
        <v>7.1086111111111121</v>
      </c>
      <c r="Q566" s="10">
        <f>IFERROR(SUMIFS('Base bordo'!H$2:H$746,'Base bordo'!C$2:C$746,A566,'Base bordo'!B$2:B$746,B566,'Base bordo'!F$2:F$746,"DESLOCAMENTO VAZIO"),0)</f>
        <v>173939.91999999998</v>
      </c>
      <c r="R566" s="10">
        <f>IFERROR(SUMIFS('Base bordo'!I$2:I$746,'Base bordo'!C$2:C$746,A566,'Base bordo'!B$2:B$746,B566,'Base bordo'!F$2:F$746,"DESLOCAMENTO VAZIO"),0)</f>
        <v>4747</v>
      </c>
      <c r="S566" s="30">
        <f t="shared" si="61"/>
        <v>36.642072888139872</v>
      </c>
      <c r="T566" s="10">
        <f>IFERROR(SUMIFS('Base bordo'!H$2:H$746,'Base bordo'!C$2:C$746,A566,'Base bordo'!B$2:B$746,B566,'Base bordo'!F$2:F$746,"DESLOCAMENTO CARREGADO"),0)</f>
        <v>184357.02</v>
      </c>
      <c r="U566" s="10">
        <f>IFERROR(SUMIFS('Base bordo'!I$2:I$746,'Base bordo'!C$2:C$746,A566,'Base bordo'!B$2:B$746,B566,'Base bordo'!F$2:F$746,"DESLOCAMENTO CARREGADO"),0)</f>
        <v>7369</v>
      </c>
      <c r="V566" s="30">
        <f t="shared" si="62"/>
        <v>25.017915592346313</v>
      </c>
      <c r="W566" s="9">
        <f t="shared" si="63"/>
        <v>0.18549490055097492</v>
      </c>
      <c r="X566" s="9">
        <f t="shared" si="64"/>
        <v>0.28795279590481021</v>
      </c>
      <c r="Y566" s="9">
        <f t="shared" si="65"/>
        <v>0.52655230354421478</v>
      </c>
    </row>
    <row r="567" spans="1:25" ht="15" customHeight="1" x14ac:dyDescent="0.35">
      <c r="A567" s="52">
        <v>8013476</v>
      </c>
      <c r="B567" s="51">
        <v>46117</v>
      </c>
      <c r="C567" s="7" t="s">
        <v>124</v>
      </c>
      <c r="D567" s="10">
        <f>IFERROR(SUMIFS('Base bordo'!G$2:G$746,'Base bordo'!C$2:C$746,A567,'Base bordo'!B$2:B$746,B567,'Base bordo'!F$2:F$746,"DESLOCAMENTO VAZIO"),0)</f>
        <v>1.9241666666666666</v>
      </c>
      <c r="E567" s="10">
        <f>IFERROR(SUMIFS('Base bordo'!G$2:G$746,'Base bordo'!C$2:C$746,A567,'Base bordo'!B$2:B$746,B567,'Base bordo'!F$2:F$746,"DESLOCAMENTO CARREGADO"),0)</f>
        <v>0</v>
      </c>
      <c r="F567" s="10">
        <f>IFERROR(SUMIFS('Base bordo'!G$2:G$746,'Base bordo'!C$2:C$746,A567,'Base bordo'!B$2:B$746,B567,'Base bordo'!F$2:F$746,"DESLOCAMENTO"),0)</f>
        <v>0</v>
      </c>
      <c r="G567" s="10">
        <f>IFERROR(SUMIFS('Base bordo'!G$2:G$746,'Base bordo'!C$2:C$746,A567,'Base bordo'!B$2:B$746,B567,'Base bordo'!F$2:F$746,"CARREGAMENTO"),0)</f>
        <v>1.3391666666666666</v>
      </c>
      <c r="H567" s="10">
        <f>IFERROR(SUMIFS('Base bordo'!G$2:G$746,'Base bordo'!C$2:C$746,A567,'Base bordo'!B$2:B$746,B567,'Base bordo'!F$2:F$746,"AGUARDANDO TRANSBORDO"),0)</f>
        <v>0.16555555555555557</v>
      </c>
      <c r="I567" s="10">
        <f>IFERROR(SUMIFS('Base bordo'!G$2:G$746,'Base bordo'!C$2:C$746,A567,'Base bordo'!B$2:B$746,B567,'Base bordo'!F$2:F$746,"PÁTIO INTERNO"),0)+IFERROR(SUMIFS('Base bordo'!G$2:G$746,'Base bordo'!C$2:C$746,A567,'Base bordo'!B$2:B$746,B567,'Base bordo'!F$2:F$746,"PÁTIO EXTERNO"),0)+IFERROR(SUMIFS('Base bordo'!G$2:G$746,'Base bordo'!C$2:C$746,A567,'Base bordo'!B$2:B$746,B567,'Base bordo'!F$2:F$746,"PATIO - RESERVA"),0)+IFERROR(SUMIFS('Base bordo'!G$2:G$746,'Base bordo'!C$2:C$746,A567,'Base bordo'!B$2:B$746,B567,'Base bordo'!F$2:F$746,"MANOBRA CARRETAS-PATIO"),0)</f>
        <v>0</v>
      </c>
      <c r="J567" s="10">
        <f>IFERROR(SUMIFS('Base bordo'!G$2:G$746,'Base bordo'!C$2:C$746,A567,'Base bordo'!B$2:B$746,B567,'Base bordo'!F$2:F$746,"BALANÇA - ENTRADA"),0)+IFERROR(SUMIFS('Base bordo'!G$2:G$746,'Base bordo'!C$2:C$746,A567,'Base bordo'!B$2:B$746,B567,'Base bordo'!F$2:F$746,"BALANÇA - SAÍDA"),0)</f>
        <v>0</v>
      </c>
      <c r="K567" s="10">
        <f>IFERROR(SUMIFS('Base bordo'!G$2:G$746,'Base bordo'!C$2:C$746,A567,'Base bordo'!B$2:B$746,B567,'Base bordo'!F$2:F$746,"MAN PREVENTIVA - MECANICA"),0)+IFERROR(SUMIFS('Base bordo'!G$2:G$746,'Base bordo'!C$2:C$746,A567,'Base bordo'!B$2:B$746,B567,'Base bordo'!F$2:F$746,"MAN CORRETIVA - MECANICA"),0)</f>
        <v>0</v>
      </c>
      <c r="L567" s="10">
        <f>IFERROR(SUMIFS('Base bordo'!G$2:G$746,'Base bordo'!C$2:C$746,A567,'Base bordo'!B$2:B$746,B567,'Base bordo'!F$2:F$746,"MANUTENCAO - T O"),0)+IFERROR(SUMIFS('Base bordo'!G$2:G$746,'Base bordo'!C$2:C$746,A567,'Base bordo'!B$2:B$746,B567,'Base bordo'!F$2:F$746,"MANUTENCAO BORRACHARIA"),0)+IFERROR(SUMIFS('Base bordo'!G$2:G$746,'Base bordo'!C$2:C$746,A567,'Base bordo'!B$2:B$746,B567,'Base bordo'!F$2:F$746,"MANUTENCAO EXTERNA  CONCESSIONARIA"),0)+IFERROR(SUMIFS('Base bordo'!G$2:G$746,'Base bordo'!C$2:C$746,A567,'Base bordo'!B$2:B$746,B567,'Base bordo'!F$2:F$746,"MANUTENCAO TELEMETRIA"),0)</f>
        <v>18.408888888888889</v>
      </c>
      <c r="M567" s="10">
        <f>IFERROR(SUMIFS('Base bordo'!G$2:G$746,'Base bordo'!C$2:C$746,A567,'Base bordo'!B$2:B$746,B567,'Base bordo'!F$2:F$746,"AGUARDANDO MANUTENCAO"),0)</f>
        <v>0</v>
      </c>
      <c r="N567" s="10">
        <f>IFERROR(SUMIFS('Base bordo'!G$2:G$746,'Base bordo'!C$2:C$746,A567,'Base bordo'!B$2:B$746,B567,'Base bordo'!F$2:F$746,"SEM APONTAMENTO"),0)</f>
        <v>0</v>
      </c>
      <c r="O567" s="10">
        <f t="shared" si="60"/>
        <v>0.16222222222222271</v>
      </c>
      <c r="P567" s="10">
        <f>IFERROR(SUMIFS('Base bordo'!G$2:G$746,'Base bordo'!C$2:C$746,A567,'Base bordo'!B$2:B$746,B567),0)</f>
        <v>22</v>
      </c>
      <c r="Q567" s="10">
        <f>IFERROR(SUMIFS('Base bordo'!H$2:H$746,'Base bordo'!C$2:C$746,A567,'Base bordo'!B$2:B$746,B567,'Base bordo'!F$2:F$746,"DESLOCAMENTO VAZIO"),0)</f>
        <v>234348.68000000002</v>
      </c>
      <c r="R567" s="10">
        <f>IFERROR(SUMIFS('Base bordo'!I$2:I$746,'Base bordo'!C$2:C$746,A567,'Base bordo'!B$2:B$746,B567,'Base bordo'!F$2:F$746,"DESLOCAMENTO VAZIO"),0)</f>
        <v>6927</v>
      </c>
      <c r="S567" s="30">
        <f t="shared" si="61"/>
        <v>33.831193879024113</v>
      </c>
      <c r="T567" s="10">
        <f>IFERROR(SUMIFS('Base bordo'!H$2:H$746,'Base bordo'!C$2:C$746,A567,'Base bordo'!B$2:B$746,B567,'Base bordo'!F$2:F$746,"DESLOCAMENTO CARREGADO"),0)</f>
        <v>0</v>
      </c>
      <c r="U567" s="10">
        <f>IFERROR(SUMIFS('Base bordo'!I$2:I$746,'Base bordo'!C$2:C$746,A567,'Base bordo'!B$2:B$746,B567,'Base bordo'!F$2:F$746,"DESLOCAMENTO CARREGADO"),0)</f>
        <v>0</v>
      </c>
      <c r="V567" s="30" t="str">
        <f t="shared" si="62"/>
        <v/>
      </c>
      <c r="W567" s="9">
        <f t="shared" si="63"/>
        <v>8.7462121212121213E-2</v>
      </c>
      <c r="X567" s="9">
        <f t="shared" si="64"/>
        <v>0</v>
      </c>
      <c r="Y567" s="9">
        <f t="shared" si="65"/>
        <v>0.91253787878787884</v>
      </c>
    </row>
    <row r="568" spans="1:25" ht="15" customHeight="1" x14ac:dyDescent="0.35">
      <c r="A568" s="52">
        <v>8013461</v>
      </c>
      <c r="B568" s="51">
        <v>46119</v>
      </c>
      <c r="C568" s="7" t="s">
        <v>124</v>
      </c>
      <c r="D568" s="10">
        <f>IFERROR(SUMIFS('Base bordo'!G$2:G$746,'Base bordo'!C$2:C$746,A568,'Base bordo'!B$2:B$746,B568,'Base bordo'!F$2:F$746,"DESLOCAMENTO VAZIO"),0)</f>
        <v>1.4069444444444446</v>
      </c>
      <c r="E568" s="10">
        <f>IFERROR(SUMIFS('Base bordo'!G$2:G$746,'Base bordo'!C$2:C$746,A568,'Base bordo'!B$2:B$746,B568,'Base bordo'!F$2:F$746,"DESLOCAMENTO CARREGADO"),0)</f>
        <v>1.8011111111111111</v>
      </c>
      <c r="F568" s="10">
        <f>IFERROR(SUMIFS('Base bordo'!G$2:G$746,'Base bordo'!C$2:C$746,A568,'Base bordo'!B$2:B$746,B568,'Base bordo'!F$2:F$746,"DESLOCAMENTO"),0)</f>
        <v>0</v>
      </c>
      <c r="G568" s="10">
        <f>IFERROR(SUMIFS('Base bordo'!G$2:G$746,'Base bordo'!C$2:C$746,A568,'Base bordo'!B$2:B$746,B568,'Base bordo'!F$2:F$746,"CARREGAMENTO"),0)</f>
        <v>0</v>
      </c>
      <c r="H568" s="10">
        <f>IFERROR(SUMIFS('Base bordo'!G$2:G$746,'Base bordo'!C$2:C$746,A568,'Base bordo'!B$2:B$746,B568,'Base bordo'!F$2:F$746,"AGUARDANDO TRANSBORDO"),0)</f>
        <v>0.2011111111111111</v>
      </c>
      <c r="I568" s="10">
        <f>IFERROR(SUMIFS('Base bordo'!G$2:G$746,'Base bordo'!C$2:C$746,A568,'Base bordo'!B$2:B$746,B568,'Base bordo'!F$2:F$746,"PÁTIO INTERNO"),0)+IFERROR(SUMIFS('Base bordo'!G$2:G$746,'Base bordo'!C$2:C$746,A568,'Base bordo'!B$2:B$746,B568,'Base bordo'!F$2:F$746,"PÁTIO EXTERNO"),0)+IFERROR(SUMIFS('Base bordo'!G$2:G$746,'Base bordo'!C$2:C$746,A568,'Base bordo'!B$2:B$746,B568,'Base bordo'!F$2:F$746,"PATIO - RESERVA"),0)+IFERROR(SUMIFS('Base bordo'!G$2:G$746,'Base bordo'!C$2:C$746,A568,'Base bordo'!B$2:B$746,B568,'Base bordo'!F$2:F$746,"MANOBRA CARRETAS-PATIO"),0)</f>
        <v>8.8375000000000004</v>
      </c>
      <c r="J568" s="10">
        <f>IFERROR(SUMIFS('Base bordo'!G$2:G$746,'Base bordo'!C$2:C$746,A568,'Base bordo'!B$2:B$746,B568,'Base bordo'!F$2:F$746,"BALANÇA - ENTRADA"),0)+IFERROR(SUMIFS('Base bordo'!G$2:G$746,'Base bordo'!C$2:C$746,A568,'Base bordo'!B$2:B$746,B568,'Base bordo'!F$2:F$746,"BALANÇA - SAÍDA"),0)</f>
        <v>0.15</v>
      </c>
      <c r="K568" s="10">
        <f>IFERROR(SUMIFS('Base bordo'!G$2:G$746,'Base bordo'!C$2:C$746,A568,'Base bordo'!B$2:B$746,B568,'Base bordo'!F$2:F$746,"MAN PREVENTIVA - MECANICA"),0)+IFERROR(SUMIFS('Base bordo'!G$2:G$746,'Base bordo'!C$2:C$746,A568,'Base bordo'!B$2:B$746,B568,'Base bordo'!F$2:F$746,"MAN CORRETIVA - MECANICA"),0)</f>
        <v>0</v>
      </c>
      <c r="L568" s="10">
        <f>IFERROR(SUMIFS('Base bordo'!G$2:G$746,'Base bordo'!C$2:C$746,A568,'Base bordo'!B$2:B$746,B568,'Base bordo'!F$2:F$746,"MANUTENCAO - T O"),0)+IFERROR(SUMIFS('Base bordo'!G$2:G$746,'Base bordo'!C$2:C$746,A568,'Base bordo'!B$2:B$746,B568,'Base bordo'!F$2:F$746,"MANUTENCAO BORRACHARIA"),0)+IFERROR(SUMIFS('Base bordo'!G$2:G$746,'Base bordo'!C$2:C$746,A568,'Base bordo'!B$2:B$746,B568,'Base bordo'!F$2:F$746,"MANUTENCAO EXTERNA  CONCESSIONARIA"),0)+IFERROR(SUMIFS('Base bordo'!G$2:G$746,'Base bordo'!C$2:C$746,A568,'Base bordo'!B$2:B$746,B568,'Base bordo'!F$2:F$746,"MANUTENCAO TELEMETRIA"),0)</f>
        <v>0</v>
      </c>
      <c r="M568" s="10">
        <f>IFERROR(SUMIFS('Base bordo'!G$2:G$746,'Base bordo'!C$2:C$746,A568,'Base bordo'!B$2:B$746,B568,'Base bordo'!F$2:F$746,"AGUARDANDO MANUTENCAO"),0)</f>
        <v>0</v>
      </c>
      <c r="N568" s="10">
        <f>IFERROR(SUMIFS('Base bordo'!G$2:G$746,'Base bordo'!C$2:C$746,A568,'Base bordo'!B$2:B$746,B568,'Base bordo'!F$2:F$746,"SEM APONTAMENTO"),0)</f>
        <v>0</v>
      </c>
      <c r="O568" s="10">
        <f t="shared" si="60"/>
        <v>0.18333333333333357</v>
      </c>
      <c r="P568" s="10">
        <f>IFERROR(SUMIFS('Base bordo'!G$2:G$746,'Base bordo'!C$2:C$746,A568,'Base bordo'!B$2:B$746,B568),0)</f>
        <v>12.58</v>
      </c>
      <c r="Q568" s="10">
        <f>IFERROR(SUMIFS('Base bordo'!H$2:H$746,'Base bordo'!C$2:C$746,A568,'Base bordo'!B$2:B$746,B568,'Base bordo'!F$2:F$746,"DESLOCAMENTO VAZIO"),0)</f>
        <v>177546.48</v>
      </c>
      <c r="R568" s="10">
        <f>IFERROR(SUMIFS('Base bordo'!I$2:I$746,'Base bordo'!C$2:C$746,A568,'Base bordo'!B$2:B$746,B568,'Base bordo'!F$2:F$746,"DESLOCAMENTO VAZIO"),0)</f>
        <v>5065</v>
      </c>
      <c r="S568" s="30">
        <f t="shared" si="61"/>
        <v>35.05359921026654</v>
      </c>
      <c r="T568" s="10">
        <f>IFERROR(SUMIFS('Base bordo'!H$2:H$746,'Base bordo'!C$2:C$746,A568,'Base bordo'!B$2:B$746,B568,'Base bordo'!F$2:F$746,"DESLOCAMENTO CARREGADO"),0)</f>
        <v>173551.50000000003</v>
      </c>
      <c r="U568" s="10">
        <f>IFERROR(SUMIFS('Base bordo'!I$2:I$746,'Base bordo'!C$2:C$746,A568,'Base bordo'!B$2:B$746,B568,'Base bordo'!F$2:F$746,"DESLOCAMENTO CARREGADO"),0)</f>
        <v>6484</v>
      </c>
      <c r="V568" s="30">
        <f t="shared" si="62"/>
        <v>26.766116594694637</v>
      </c>
      <c r="W568" s="9">
        <f t="shared" si="63"/>
        <v>0.11183978095742803</v>
      </c>
      <c r="X568" s="9">
        <f t="shared" si="64"/>
        <v>0.14317258434905494</v>
      </c>
      <c r="Y568" s="9">
        <f t="shared" si="65"/>
        <v>0.74498763469351703</v>
      </c>
    </row>
    <row r="569" spans="1:25" ht="15" customHeight="1" x14ac:dyDescent="0.35">
      <c r="A569" s="52">
        <v>8013476</v>
      </c>
      <c r="B569" s="51">
        <v>46123</v>
      </c>
      <c r="C569" s="7" t="s">
        <v>124</v>
      </c>
      <c r="D569" s="10">
        <f>IFERROR(SUMIFS('Base bordo'!G$2:G$746,'Base bordo'!C$2:C$746,A569,'Base bordo'!B$2:B$746,B569,'Base bordo'!F$2:F$746,"DESLOCAMENTO VAZIO"),0)</f>
        <v>1.3552777777777778</v>
      </c>
      <c r="E569" s="10">
        <f>IFERROR(SUMIFS('Base bordo'!G$2:G$746,'Base bordo'!C$2:C$746,A569,'Base bordo'!B$2:B$746,B569,'Base bordo'!F$2:F$746,"DESLOCAMENTO CARREGADO"),0)</f>
        <v>1.9111111111111112</v>
      </c>
      <c r="F569" s="10">
        <f>IFERROR(SUMIFS('Base bordo'!G$2:G$746,'Base bordo'!C$2:C$746,A569,'Base bordo'!B$2:B$746,B569,'Base bordo'!F$2:F$746,"DESLOCAMENTO"),0)</f>
        <v>0</v>
      </c>
      <c r="G569" s="10">
        <f>IFERROR(SUMIFS('Base bordo'!G$2:G$746,'Base bordo'!C$2:C$746,A569,'Base bordo'!B$2:B$746,B569,'Base bordo'!F$2:F$746,"CARREGAMENTO"),0)</f>
        <v>0</v>
      </c>
      <c r="H569" s="10">
        <f>IFERROR(SUMIFS('Base bordo'!G$2:G$746,'Base bordo'!C$2:C$746,A569,'Base bordo'!B$2:B$746,B569,'Base bordo'!F$2:F$746,"AGUARDANDO TRANSBORDO"),0)</f>
        <v>0.59861111111111109</v>
      </c>
      <c r="I569" s="10">
        <f>IFERROR(SUMIFS('Base bordo'!G$2:G$746,'Base bordo'!C$2:C$746,A569,'Base bordo'!B$2:B$746,B569,'Base bordo'!F$2:F$746,"PÁTIO INTERNO"),0)+IFERROR(SUMIFS('Base bordo'!G$2:G$746,'Base bordo'!C$2:C$746,A569,'Base bordo'!B$2:B$746,B569,'Base bordo'!F$2:F$746,"PÁTIO EXTERNO"),0)+IFERROR(SUMIFS('Base bordo'!G$2:G$746,'Base bordo'!C$2:C$746,A569,'Base bordo'!B$2:B$746,B569,'Base bordo'!F$2:F$746,"PATIO - RESERVA"),0)+IFERROR(SUMIFS('Base bordo'!G$2:G$746,'Base bordo'!C$2:C$746,A569,'Base bordo'!B$2:B$746,B569,'Base bordo'!F$2:F$746,"MANOBRA CARRETAS-PATIO"),0)</f>
        <v>0</v>
      </c>
      <c r="J569" s="10">
        <f>IFERROR(SUMIFS('Base bordo'!G$2:G$746,'Base bordo'!C$2:C$746,A569,'Base bordo'!B$2:B$746,B569,'Base bordo'!F$2:F$746,"BALANÇA - ENTRADA"),0)+IFERROR(SUMIFS('Base bordo'!G$2:G$746,'Base bordo'!C$2:C$746,A569,'Base bordo'!B$2:B$746,B569,'Base bordo'!F$2:F$746,"BALANÇA - SAÍDA"),0)</f>
        <v>0</v>
      </c>
      <c r="K569" s="10">
        <f>IFERROR(SUMIFS('Base bordo'!G$2:G$746,'Base bordo'!C$2:C$746,A569,'Base bordo'!B$2:B$746,B569,'Base bordo'!F$2:F$746,"MAN PREVENTIVA - MECANICA"),0)+IFERROR(SUMIFS('Base bordo'!G$2:G$746,'Base bordo'!C$2:C$746,A569,'Base bordo'!B$2:B$746,B569,'Base bordo'!F$2:F$746,"MAN CORRETIVA - MECANICA"),0)</f>
        <v>0</v>
      </c>
      <c r="L569" s="10">
        <f>IFERROR(SUMIFS('Base bordo'!G$2:G$746,'Base bordo'!C$2:C$746,A569,'Base bordo'!B$2:B$746,B569,'Base bordo'!F$2:F$746,"MANUTENCAO - T O"),0)+IFERROR(SUMIFS('Base bordo'!G$2:G$746,'Base bordo'!C$2:C$746,A569,'Base bordo'!B$2:B$746,B569,'Base bordo'!F$2:F$746,"MANUTENCAO BORRACHARIA"),0)+IFERROR(SUMIFS('Base bordo'!G$2:G$746,'Base bordo'!C$2:C$746,A569,'Base bordo'!B$2:B$746,B569,'Base bordo'!F$2:F$746,"MANUTENCAO EXTERNA  CONCESSIONARIA"),0)+IFERROR(SUMIFS('Base bordo'!G$2:G$746,'Base bordo'!C$2:C$746,A569,'Base bordo'!B$2:B$746,B569,'Base bordo'!F$2:F$746,"MANUTENCAO TELEMETRIA"),0)</f>
        <v>0</v>
      </c>
      <c r="M569" s="10">
        <f>IFERROR(SUMIFS('Base bordo'!G$2:G$746,'Base bordo'!C$2:C$746,A569,'Base bordo'!B$2:B$746,B569,'Base bordo'!F$2:F$746,"AGUARDANDO MANUTENCAO"),0)</f>
        <v>0</v>
      </c>
      <c r="N569" s="10">
        <f>IFERROR(SUMIFS('Base bordo'!G$2:G$746,'Base bordo'!C$2:C$746,A569,'Base bordo'!B$2:B$746,B569,'Base bordo'!F$2:F$746,"SEM APONTAMENTO"),0)</f>
        <v>0</v>
      </c>
      <c r="O569" s="10">
        <f t="shared" si="60"/>
        <v>4.7222222222220722E-3</v>
      </c>
      <c r="P569" s="10">
        <f>IFERROR(SUMIFS('Base bordo'!G$2:G$746,'Base bordo'!C$2:C$746,A569,'Base bordo'!B$2:B$746,B569),0)</f>
        <v>3.8697222222222218</v>
      </c>
      <c r="Q569" s="10">
        <f>IFERROR(SUMIFS('Base bordo'!H$2:H$746,'Base bordo'!C$2:C$746,A569,'Base bordo'!B$2:B$746,B569,'Base bordo'!F$2:F$746,"DESLOCAMENTO VAZIO"),0)</f>
        <v>175902.06</v>
      </c>
      <c r="R569" s="10">
        <f>IFERROR(SUMIFS('Base bordo'!I$2:I$746,'Base bordo'!C$2:C$746,A569,'Base bordo'!B$2:B$746,B569,'Base bordo'!F$2:F$746,"DESLOCAMENTO VAZIO"),0)</f>
        <v>4879</v>
      </c>
      <c r="S569" s="30">
        <f t="shared" si="61"/>
        <v>36.052891986062718</v>
      </c>
      <c r="T569" s="10">
        <f>IFERROR(SUMIFS('Base bordo'!H$2:H$746,'Base bordo'!C$2:C$746,A569,'Base bordo'!B$2:B$746,B569,'Base bordo'!F$2:F$746,"DESLOCAMENTO CARREGADO"),0)</f>
        <v>178464.26</v>
      </c>
      <c r="U569" s="10">
        <f>IFERROR(SUMIFS('Base bordo'!I$2:I$746,'Base bordo'!C$2:C$746,A569,'Base bordo'!B$2:B$746,B569,'Base bordo'!F$2:F$746,"DESLOCAMENTO CARREGADO"),0)</f>
        <v>6880</v>
      </c>
      <c r="V569" s="30">
        <f t="shared" si="62"/>
        <v>25.939572674418606</v>
      </c>
      <c r="W569" s="9">
        <f t="shared" si="63"/>
        <v>0.35022611442107532</v>
      </c>
      <c r="X569" s="9">
        <f t="shared" si="64"/>
        <v>0.49386260857081338</v>
      </c>
      <c r="Y569" s="9">
        <f t="shared" si="65"/>
        <v>0.15591127700811136</v>
      </c>
    </row>
    <row r="570" spans="1:25" ht="15" customHeight="1" x14ac:dyDescent="0.35">
      <c r="A570" s="52">
        <v>8013478</v>
      </c>
      <c r="B570" s="51">
        <v>46118</v>
      </c>
      <c r="C570" s="7" t="s">
        <v>124</v>
      </c>
      <c r="D570" s="10">
        <f>IFERROR(SUMIFS('Base bordo'!G$2:G$746,'Base bordo'!C$2:C$746,A570,'Base bordo'!B$2:B$746,B570,'Base bordo'!F$2:F$746,"DESLOCAMENTO VAZIO"),0)</f>
        <v>2.2297222222222222</v>
      </c>
      <c r="E570" s="10">
        <f>IFERROR(SUMIFS('Base bordo'!G$2:G$746,'Base bordo'!C$2:C$746,A570,'Base bordo'!B$2:B$746,B570,'Base bordo'!F$2:F$746,"DESLOCAMENTO CARREGADO"),0)</f>
        <v>1.9061111111111111</v>
      </c>
      <c r="F570" s="10">
        <f>IFERROR(SUMIFS('Base bordo'!G$2:G$746,'Base bordo'!C$2:C$746,A570,'Base bordo'!B$2:B$746,B570,'Base bordo'!F$2:F$746,"DESLOCAMENTO"),0)</f>
        <v>0</v>
      </c>
      <c r="G570" s="10">
        <f>IFERROR(SUMIFS('Base bordo'!G$2:G$746,'Base bordo'!C$2:C$746,A570,'Base bordo'!B$2:B$746,B570,'Base bordo'!F$2:F$746,"CARREGAMENTO"),0)</f>
        <v>0</v>
      </c>
      <c r="H570" s="10">
        <f>IFERROR(SUMIFS('Base bordo'!G$2:G$746,'Base bordo'!C$2:C$746,A570,'Base bordo'!B$2:B$746,B570,'Base bordo'!F$2:F$746,"AGUARDANDO TRANSBORDO"),0)</f>
        <v>0.90749999999999997</v>
      </c>
      <c r="I570" s="10">
        <f>IFERROR(SUMIFS('Base bordo'!G$2:G$746,'Base bordo'!C$2:C$746,A570,'Base bordo'!B$2:B$746,B570,'Base bordo'!F$2:F$746,"PÁTIO INTERNO"),0)+IFERROR(SUMIFS('Base bordo'!G$2:G$746,'Base bordo'!C$2:C$746,A570,'Base bordo'!B$2:B$746,B570,'Base bordo'!F$2:F$746,"PÁTIO EXTERNO"),0)+IFERROR(SUMIFS('Base bordo'!G$2:G$746,'Base bordo'!C$2:C$746,A570,'Base bordo'!B$2:B$746,B570,'Base bordo'!F$2:F$746,"PATIO - RESERVA"),0)+IFERROR(SUMIFS('Base bordo'!G$2:G$746,'Base bordo'!C$2:C$746,A570,'Base bordo'!B$2:B$746,B570,'Base bordo'!F$2:F$746,"MANOBRA CARRETAS-PATIO"),0)</f>
        <v>3.8741666666666665</v>
      </c>
      <c r="J570" s="10">
        <f>IFERROR(SUMIFS('Base bordo'!G$2:G$746,'Base bordo'!C$2:C$746,A570,'Base bordo'!B$2:B$746,B570,'Base bordo'!F$2:F$746,"BALANÇA - ENTRADA"),0)+IFERROR(SUMIFS('Base bordo'!G$2:G$746,'Base bordo'!C$2:C$746,A570,'Base bordo'!B$2:B$746,B570,'Base bordo'!F$2:F$746,"BALANÇA - SAÍDA"),0)</f>
        <v>1.1944444444444445E-2</v>
      </c>
      <c r="K570" s="10">
        <f>IFERROR(SUMIFS('Base bordo'!G$2:G$746,'Base bordo'!C$2:C$746,A570,'Base bordo'!B$2:B$746,B570,'Base bordo'!F$2:F$746,"MAN PREVENTIVA - MECANICA"),0)+IFERROR(SUMIFS('Base bordo'!G$2:G$746,'Base bordo'!C$2:C$746,A570,'Base bordo'!B$2:B$746,B570,'Base bordo'!F$2:F$746,"MAN CORRETIVA - MECANICA"),0)</f>
        <v>0</v>
      </c>
      <c r="L570" s="10">
        <f>IFERROR(SUMIFS('Base bordo'!G$2:G$746,'Base bordo'!C$2:C$746,A570,'Base bordo'!B$2:B$746,B570,'Base bordo'!F$2:F$746,"MANUTENCAO - T O"),0)+IFERROR(SUMIFS('Base bordo'!G$2:G$746,'Base bordo'!C$2:C$746,A570,'Base bordo'!B$2:B$746,B570,'Base bordo'!F$2:F$746,"MANUTENCAO BORRACHARIA"),0)+IFERROR(SUMIFS('Base bordo'!G$2:G$746,'Base bordo'!C$2:C$746,A570,'Base bordo'!B$2:B$746,B570,'Base bordo'!F$2:F$746,"MANUTENCAO EXTERNA  CONCESSIONARIA"),0)+IFERROR(SUMIFS('Base bordo'!G$2:G$746,'Base bordo'!C$2:C$746,A570,'Base bordo'!B$2:B$746,B570,'Base bordo'!F$2:F$746,"MANUTENCAO TELEMETRIA"),0)</f>
        <v>0</v>
      </c>
      <c r="M570" s="10">
        <f>IFERROR(SUMIFS('Base bordo'!G$2:G$746,'Base bordo'!C$2:C$746,A570,'Base bordo'!B$2:B$746,B570,'Base bordo'!F$2:F$746,"AGUARDANDO MANUTENCAO"),0)</f>
        <v>0</v>
      </c>
      <c r="N570" s="10">
        <f>IFERROR(SUMIFS('Base bordo'!G$2:G$746,'Base bordo'!C$2:C$746,A570,'Base bordo'!B$2:B$746,B570,'Base bordo'!F$2:F$746,"SEM APONTAMENTO"),0)</f>
        <v>0</v>
      </c>
      <c r="O570" s="10">
        <f t="shared" si="60"/>
        <v>2.3333333333331652E-2</v>
      </c>
      <c r="P570" s="10">
        <f>IFERROR(SUMIFS('Base bordo'!G$2:G$746,'Base bordo'!C$2:C$746,A570,'Base bordo'!B$2:B$746,B570),0)</f>
        <v>8.9527777777777757</v>
      </c>
      <c r="Q570" s="10">
        <f>IFERROR(SUMIFS('Base bordo'!H$2:H$746,'Base bordo'!C$2:C$746,A570,'Base bordo'!B$2:B$746,B570,'Base bordo'!F$2:F$746,"DESLOCAMENTO VAZIO"),0)</f>
        <v>290634.14</v>
      </c>
      <c r="R570" s="10">
        <f>IFERROR(SUMIFS('Base bordo'!I$2:I$746,'Base bordo'!C$2:C$746,A570,'Base bordo'!B$2:B$746,B570,'Base bordo'!F$2:F$746,"DESLOCAMENTO VAZIO"),0)</f>
        <v>8027</v>
      </c>
      <c r="S570" s="30">
        <f t="shared" si="61"/>
        <v>36.207068643328768</v>
      </c>
      <c r="T570" s="10">
        <f>IFERROR(SUMIFS('Base bordo'!H$2:H$746,'Base bordo'!C$2:C$746,A570,'Base bordo'!B$2:B$746,B570,'Base bordo'!F$2:F$746,"DESLOCAMENTO CARREGADO"),0)</f>
        <v>165552.33000000002</v>
      </c>
      <c r="U570" s="10">
        <f>IFERROR(SUMIFS('Base bordo'!I$2:I$746,'Base bordo'!C$2:C$746,A570,'Base bordo'!B$2:B$746,B570,'Base bordo'!F$2:F$746,"DESLOCAMENTO CARREGADO"),0)</f>
        <v>6862</v>
      </c>
      <c r="V570" s="30">
        <f t="shared" si="62"/>
        <v>24.125958904109591</v>
      </c>
      <c r="W570" s="9">
        <f t="shared" si="63"/>
        <v>0.24905367669872794</v>
      </c>
      <c r="X570" s="9">
        <f t="shared" si="64"/>
        <v>0.21290722928948189</v>
      </c>
      <c r="Y570" s="9">
        <f t="shared" si="65"/>
        <v>0.53803909401179018</v>
      </c>
    </row>
    <row r="571" spans="1:25" ht="15" customHeight="1" x14ac:dyDescent="0.35">
      <c r="A571" s="52">
        <v>8013460</v>
      </c>
      <c r="B571" s="51">
        <v>46123</v>
      </c>
      <c r="C571" s="7" t="s">
        <v>124</v>
      </c>
      <c r="D571" s="10">
        <f>IFERROR(SUMIFS('Base bordo'!G$2:G$746,'Base bordo'!C$2:C$746,A571,'Base bordo'!B$2:B$746,B571,'Base bordo'!F$2:F$746,"DESLOCAMENTO VAZIO"),0)</f>
        <v>1.8969444444444445</v>
      </c>
      <c r="E571" s="10">
        <f>IFERROR(SUMIFS('Base bordo'!G$2:G$746,'Base bordo'!C$2:C$746,A571,'Base bordo'!B$2:B$746,B571,'Base bordo'!F$2:F$746,"DESLOCAMENTO CARREGADO"),0)</f>
        <v>2.5080555555555555</v>
      </c>
      <c r="F571" s="10">
        <f>IFERROR(SUMIFS('Base bordo'!G$2:G$746,'Base bordo'!C$2:C$746,A571,'Base bordo'!B$2:B$746,B571,'Base bordo'!F$2:F$746,"DESLOCAMENTO"),0)</f>
        <v>0</v>
      </c>
      <c r="G571" s="10">
        <f>IFERROR(SUMIFS('Base bordo'!G$2:G$746,'Base bordo'!C$2:C$746,A571,'Base bordo'!B$2:B$746,B571,'Base bordo'!F$2:F$746,"CARREGAMENTO"),0)</f>
        <v>0</v>
      </c>
      <c r="H571" s="10">
        <f>IFERROR(SUMIFS('Base bordo'!G$2:G$746,'Base bordo'!C$2:C$746,A571,'Base bordo'!B$2:B$746,B571,'Base bordo'!F$2:F$746,"AGUARDANDO TRANSBORDO"),0)</f>
        <v>0</v>
      </c>
      <c r="I571" s="10">
        <f>IFERROR(SUMIFS('Base bordo'!G$2:G$746,'Base bordo'!C$2:C$746,A571,'Base bordo'!B$2:B$746,B571,'Base bordo'!F$2:F$746,"PÁTIO INTERNO"),0)+IFERROR(SUMIFS('Base bordo'!G$2:G$746,'Base bordo'!C$2:C$746,A571,'Base bordo'!B$2:B$746,B571,'Base bordo'!F$2:F$746,"PÁTIO EXTERNO"),0)+IFERROR(SUMIFS('Base bordo'!G$2:G$746,'Base bordo'!C$2:C$746,A571,'Base bordo'!B$2:B$746,B571,'Base bordo'!F$2:F$746,"PATIO - RESERVA"),0)+IFERROR(SUMIFS('Base bordo'!G$2:G$746,'Base bordo'!C$2:C$746,A571,'Base bordo'!B$2:B$746,B571,'Base bordo'!F$2:F$746,"MANOBRA CARRETAS-PATIO"),0)</f>
        <v>2.3761111111111113</v>
      </c>
      <c r="J571" s="10">
        <f>IFERROR(SUMIFS('Base bordo'!G$2:G$746,'Base bordo'!C$2:C$746,A571,'Base bordo'!B$2:B$746,B571,'Base bordo'!F$2:F$746,"BALANÇA - ENTRADA"),0)+IFERROR(SUMIFS('Base bordo'!G$2:G$746,'Base bordo'!C$2:C$746,A571,'Base bordo'!B$2:B$746,B571,'Base bordo'!F$2:F$746,"BALANÇA - SAÍDA"),0)</f>
        <v>0</v>
      </c>
      <c r="K571" s="10">
        <f>IFERROR(SUMIFS('Base bordo'!G$2:G$746,'Base bordo'!C$2:C$746,A571,'Base bordo'!B$2:B$746,B571,'Base bordo'!F$2:F$746,"MAN PREVENTIVA - MECANICA"),0)+IFERROR(SUMIFS('Base bordo'!G$2:G$746,'Base bordo'!C$2:C$746,A571,'Base bordo'!B$2:B$746,B571,'Base bordo'!F$2:F$746,"MAN CORRETIVA - MECANICA"),0)</f>
        <v>0</v>
      </c>
      <c r="L571" s="10">
        <f>IFERROR(SUMIFS('Base bordo'!G$2:G$746,'Base bordo'!C$2:C$746,A571,'Base bordo'!B$2:B$746,B571,'Base bordo'!F$2:F$746,"MANUTENCAO - T O"),0)+IFERROR(SUMIFS('Base bordo'!G$2:G$746,'Base bordo'!C$2:C$746,A571,'Base bordo'!B$2:B$746,B571,'Base bordo'!F$2:F$746,"MANUTENCAO BORRACHARIA"),0)+IFERROR(SUMIFS('Base bordo'!G$2:G$746,'Base bordo'!C$2:C$746,A571,'Base bordo'!B$2:B$746,B571,'Base bordo'!F$2:F$746,"MANUTENCAO EXTERNA  CONCESSIONARIA"),0)+IFERROR(SUMIFS('Base bordo'!G$2:G$746,'Base bordo'!C$2:C$746,A571,'Base bordo'!B$2:B$746,B571,'Base bordo'!F$2:F$746,"MANUTENCAO TELEMETRIA"),0)</f>
        <v>0</v>
      </c>
      <c r="M571" s="10">
        <f>IFERROR(SUMIFS('Base bordo'!G$2:G$746,'Base bordo'!C$2:C$746,A571,'Base bordo'!B$2:B$746,B571,'Base bordo'!F$2:F$746,"AGUARDANDO MANUTENCAO"),0)</f>
        <v>0</v>
      </c>
      <c r="N571" s="10">
        <f>IFERROR(SUMIFS('Base bordo'!G$2:G$746,'Base bordo'!C$2:C$746,A571,'Base bordo'!B$2:B$746,B571,'Base bordo'!F$2:F$746,"SEM APONTAMENTO"),0)</f>
        <v>0</v>
      </c>
      <c r="O571" s="10">
        <f t="shared" si="60"/>
        <v>0.44861111111111196</v>
      </c>
      <c r="P571" s="10">
        <f>IFERROR(SUMIFS('Base bordo'!G$2:G$746,'Base bordo'!C$2:C$746,A571,'Base bordo'!B$2:B$746,B571),0)</f>
        <v>7.2297222222222235</v>
      </c>
      <c r="Q571" s="10">
        <f>IFERROR(SUMIFS('Base bordo'!H$2:H$746,'Base bordo'!C$2:C$746,A571,'Base bordo'!B$2:B$746,B571,'Base bordo'!F$2:F$746,"DESLOCAMENTO VAZIO"),0)</f>
        <v>236918.97</v>
      </c>
      <c r="R571" s="10">
        <f>IFERROR(SUMIFS('Base bordo'!I$2:I$746,'Base bordo'!C$2:C$746,A571,'Base bordo'!B$2:B$746,B571,'Base bordo'!F$2:F$746,"DESLOCAMENTO VAZIO"),0)</f>
        <v>6829</v>
      </c>
      <c r="S571" s="30">
        <f t="shared" si="61"/>
        <v>34.693069263435348</v>
      </c>
      <c r="T571" s="10">
        <f>IFERROR(SUMIFS('Base bordo'!H$2:H$746,'Base bordo'!C$2:C$746,A571,'Base bordo'!B$2:B$746,B571,'Base bordo'!F$2:F$746,"DESLOCAMENTO CARREGADO"),0)</f>
        <v>208531.69</v>
      </c>
      <c r="U571" s="10">
        <f>IFERROR(SUMIFS('Base bordo'!I$2:I$746,'Base bordo'!C$2:C$746,A571,'Base bordo'!B$2:B$746,B571,'Base bordo'!F$2:F$746,"DESLOCAMENTO CARREGADO"),0)</f>
        <v>8999</v>
      </c>
      <c r="V571" s="30">
        <f t="shared" si="62"/>
        <v>23.172762529169908</v>
      </c>
      <c r="W571" s="9">
        <f t="shared" si="63"/>
        <v>0.26238137318938021</v>
      </c>
      <c r="X571" s="9">
        <f t="shared" si="64"/>
        <v>0.34690897913704993</v>
      </c>
      <c r="Y571" s="9">
        <f t="shared" si="65"/>
        <v>0.39070964767356986</v>
      </c>
    </row>
    <row r="572" spans="1:25" ht="15" customHeight="1" x14ac:dyDescent="0.35">
      <c r="A572" s="52">
        <v>8013469</v>
      </c>
      <c r="B572" s="51">
        <v>46118</v>
      </c>
      <c r="C572" s="7" t="s">
        <v>124</v>
      </c>
      <c r="D572" s="10">
        <f>IFERROR(SUMIFS('Base bordo'!G$2:G$746,'Base bordo'!C$2:C$746,A572,'Base bordo'!B$2:B$746,B572,'Base bordo'!F$2:F$746,"DESLOCAMENTO VAZIO"),0)</f>
        <v>2.1594444444444445</v>
      </c>
      <c r="E572" s="10">
        <f>IFERROR(SUMIFS('Base bordo'!G$2:G$746,'Base bordo'!C$2:C$746,A572,'Base bordo'!B$2:B$746,B572,'Base bordo'!F$2:F$746,"DESLOCAMENTO CARREGADO"),0)</f>
        <v>2.4455555555555555</v>
      </c>
      <c r="F572" s="10">
        <f>IFERROR(SUMIFS('Base bordo'!G$2:G$746,'Base bordo'!C$2:C$746,A572,'Base bordo'!B$2:B$746,B572,'Base bordo'!F$2:F$746,"DESLOCAMENTO"),0)</f>
        <v>0.63083333333333336</v>
      </c>
      <c r="G572" s="10">
        <f>IFERROR(SUMIFS('Base bordo'!G$2:G$746,'Base bordo'!C$2:C$746,A572,'Base bordo'!B$2:B$746,B572,'Base bordo'!F$2:F$746,"CARREGAMENTO"),0)</f>
        <v>0.96722222222222221</v>
      </c>
      <c r="H572" s="10">
        <f>IFERROR(SUMIFS('Base bordo'!G$2:G$746,'Base bordo'!C$2:C$746,A572,'Base bordo'!B$2:B$746,B572,'Base bordo'!F$2:F$746,"AGUARDANDO TRANSBORDO"),0)</f>
        <v>0.91111111111111109</v>
      </c>
      <c r="I572" s="10">
        <f>IFERROR(SUMIFS('Base bordo'!G$2:G$746,'Base bordo'!C$2:C$746,A572,'Base bordo'!B$2:B$746,B572,'Base bordo'!F$2:F$746,"PÁTIO INTERNO"),0)+IFERROR(SUMIFS('Base bordo'!G$2:G$746,'Base bordo'!C$2:C$746,A572,'Base bordo'!B$2:B$746,B572,'Base bordo'!F$2:F$746,"PÁTIO EXTERNO"),0)+IFERROR(SUMIFS('Base bordo'!G$2:G$746,'Base bordo'!C$2:C$746,A572,'Base bordo'!B$2:B$746,B572,'Base bordo'!F$2:F$746,"PATIO - RESERVA"),0)+IFERROR(SUMIFS('Base bordo'!G$2:G$746,'Base bordo'!C$2:C$746,A572,'Base bordo'!B$2:B$746,B572,'Base bordo'!F$2:F$746,"MANOBRA CARRETAS-PATIO"),0)</f>
        <v>6.1047222222222217</v>
      </c>
      <c r="J572" s="10">
        <f>IFERROR(SUMIFS('Base bordo'!G$2:G$746,'Base bordo'!C$2:C$746,A572,'Base bordo'!B$2:B$746,B572,'Base bordo'!F$2:F$746,"BALANÇA - ENTRADA"),0)+IFERROR(SUMIFS('Base bordo'!G$2:G$746,'Base bordo'!C$2:C$746,A572,'Base bordo'!B$2:B$746,B572,'Base bordo'!F$2:F$746,"BALANÇA - SAÍDA"),0)</f>
        <v>6.8055555555555564E-2</v>
      </c>
      <c r="K572" s="10">
        <f>IFERROR(SUMIFS('Base bordo'!G$2:G$746,'Base bordo'!C$2:C$746,A572,'Base bordo'!B$2:B$746,B572,'Base bordo'!F$2:F$746,"MAN PREVENTIVA - MECANICA"),0)+IFERROR(SUMIFS('Base bordo'!G$2:G$746,'Base bordo'!C$2:C$746,A572,'Base bordo'!B$2:B$746,B572,'Base bordo'!F$2:F$746,"MAN CORRETIVA - MECANICA"),0)</f>
        <v>0.40166666666666667</v>
      </c>
      <c r="L572" s="10">
        <f>IFERROR(SUMIFS('Base bordo'!G$2:G$746,'Base bordo'!C$2:C$746,A572,'Base bordo'!B$2:B$746,B572,'Base bordo'!F$2:F$746,"MANUTENCAO - T O"),0)+IFERROR(SUMIFS('Base bordo'!G$2:G$746,'Base bordo'!C$2:C$746,A572,'Base bordo'!B$2:B$746,B572,'Base bordo'!F$2:F$746,"MANUTENCAO BORRACHARIA"),0)+IFERROR(SUMIFS('Base bordo'!G$2:G$746,'Base bordo'!C$2:C$746,A572,'Base bordo'!B$2:B$746,B572,'Base bordo'!F$2:F$746,"MANUTENCAO EXTERNA  CONCESSIONARIA"),0)+IFERROR(SUMIFS('Base bordo'!G$2:G$746,'Base bordo'!C$2:C$746,A572,'Base bordo'!B$2:B$746,B572,'Base bordo'!F$2:F$746,"MANUTENCAO TELEMETRIA"),0)</f>
        <v>1.5977777777777777</v>
      </c>
      <c r="M572" s="10">
        <f>IFERROR(SUMIFS('Base bordo'!G$2:G$746,'Base bordo'!C$2:C$746,A572,'Base bordo'!B$2:B$746,B572,'Base bordo'!F$2:F$746,"AGUARDANDO MANUTENCAO"),0)</f>
        <v>2.0836111111111113</v>
      </c>
      <c r="N572" s="10">
        <f>IFERROR(SUMIFS('Base bordo'!G$2:G$746,'Base bordo'!C$2:C$746,A572,'Base bordo'!B$2:B$746,B572,'Base bordo'!F$2:F$746,"SEM APONTAMENTO"),0)</f>
        <v>5.4166666666666669E-2</v>
      </c>
      <c r="O572" s="10">
        <f t="shared" si="60"/>
        <v>6.5758333333333354</v>
      </c>
      <c r="P572" s="10">
        <f>IFERROR(SUMIFS('Base bordo'!G$2:G$746,'Base bordo'!C$2:C$746,A572,'Base bordo'!B$2:B$746,B572),0)</f>
        <v>24.000000000000004</v>
      </c>
      <c r="Q572" s="10">
        <f>IFERROR(SUMIFS('Base bordo'!H$2:H$746,'Base bordo'!C$2:C$746,A572,'Base bordo'!B$2:B$746,B572,'Base bordo'!F$2:F$746,"DESLOCAMENTO VAZIO"),0)</f>
        <v>182003.76000000004</v>
      </c>
      <c r="R572" s="10">
        <f>IFERROR(SUMIFS('Base bordo'!I$2:I$746,'Base bordo'!C$2:C$746,A572,'Base bordo'!B$2:B$746,B572,'Base bordo'!F$2:F$746,"DESLOCAMENTO VAZIO"),0)</f>
        <v>7774</v>
      </c>
      <c r="S572" s="30">
        <f t="shared" si="61"/>
        <v>23.411854900951894</v>
      </c>
      <c r="T572" s="10">
        <f>IFERROR(SUMIFS('Base bordo'!H$2:H$746,'Base bordo'!C$2:C$746,A572,'Base bordo'!B$2:B$746,B572,'Base bordo'!F$2:F$746,"DESLOCAMENTO CARREGADO"),0)</f>
        <v>235509.89</v>
      </c>
      <c r="U572" s="10">
        <f>IFERROR(SUMIFS('Base bordo'!I$2:I$746,'Base bordo'!C$2:C$746,A572,'Base bordo'!B$2:B$746,B572,'Base bordo'!F$2:F$746,"DESLOCAMENTO CARREGADO"),0)</f>
        <v>8804</v>
      </c>
      <c r="V572" s="30">
        <f t="shared" si="62"/>
        <v>26.750328259881872</v>
      </c>
      <c r="W572" s="9">
        <f t="shared" si="63"/>
        <v>8.9976851851851836E-2</v>
      </c>
      <c r="X572" s="9">
        <f t="shared" si="64"/>
        <v>0.10189814814814813</v>
      </c>
      <c r="Y572" s="9">
        <f t="shared" si="65"/>
        <v>0.80812499999999998</v>
      </c>
    </row>
    <row r="573" spans="1:25" ht="15" customHeight="1" x14ac:dyDescent="0.35">
      <c r="A573" s="52">
        <v>8013486</v>
      </c>
      <c r="B573" s="51">
        <v>46118</v>
      </c>
      <c r="C573" s="7" t="s">
        <v>124</v>
      </c>
      <c r="D573" s="10">
        <f>IFERROR(SUMIFS('Base bordo'!G$2:G$746,'Base bordo'!C$2:C$746,A573,'Base bordo'!B$2:B$746,B573,'Base bordo'!F$2:F$746,"DESLOCAMENTO VAZIO"),0)</f>
        <v>0.90972222222222221</v>
      </c>
      <c r="E573" s="10">
        <f>IFERROR(SUMIFS('Base bordo'!G$2:G$746,'Base bordo'!C$2:C$746,A573,'Base bordo'!B$2:B$746,B573,'Base bordo'!F$2:F$746,"DESLOCAMENTO CARREGADO"),0)</f>
        <v>1.7558333333333334</v>
      </c>
      <c r="F573" s="10">
        <f>IFERROR(SUMIFS('Base bordo'!G$2:G$746,'Base bordo'!C$2:C$746,A573,'Base bordo'!B$2:B$746,B573,'Base bordo'!F$2:F$746,"DESLOCAMENTO"),0)</f>
        <v>6.0436111111111108</v>
      </c>
      <c r="G573" s="10">
        <f>IFERROR(SUMIFS('Base bordo'!G$2:G$746,'Base bordo'!C$2:C$746,A573,'Base bordo'!B$2:B$746,B573,'Base bordo'!F$2:F$746,"CARREGAMENTO"),0)</f>
        <v>0</v>
      </c>
      <c r="H573" s="10">
        <f>IFERROR(SUMIFS('Base bordo'!G$2:G$746,'Base bordo'!C$2:C$746,A573,'Base bordo'!B$2:B$746,B573,'Base bordo'!F$2:F$746,"AGUARDANDO TRANSBORDO"),0)</f>
        <v>0</v>
      </c>
      <c r="I573" s="10">
        <f>IFERROR(SUMIFS('Base bordo'!G$2:G$746,'Base bordo'!C$2:C$746,A573,'Base bordo'!B$2:B$746,B573,'Base bordo'!F$2:F$746,"PÁTIO INTERNO"),0)+IFERROR(SUMIFS('Base bordo'!G$2:G$746,'Base bordo'!C$2:C$746,A573,'Base bordo'!B$2:B$746,B573,'Base bordo'!F$2:F$746,"PÁTIO EXTERNO"),0)+IFERROR(SUMIFS('Base bordo'!G$2:G$746,'Base bordo'!C$2:C$746,A573,'Base bordo'!B$2:B$746,B573,'Base bordo'!F$2:F$746,"PATIO - RESERVA"),0)+IFERROR(SUMIFS('Base bordo'!G$2:G$746,'Base bordo'!C$2:C$746,A573,'Base bordo'!B$2:B$746,B573,'Base bordo'!F$2:F$746,"MANOBRA CARRETAS-PATIO"),0)</f>
        <v>3.7905555555555552</v>
      </c>
      <c r="J573" s="10">
        <f>IFERROR(SUMIFS('Base bordo'!G$2:G$746,'Base bordo'!C$2:C$746,A573,'Base bordo'!B$2:B$746,B573,'Base bordo'!F$2:F$746,"BALANÇA - ENTRADA"),0)+IFERROR(SUMIFS('Base bordo'!G$2:G$746,'Base bordo'!C$2:C$746,A573,'Base bordo'!B$2:B$746,B573,'Base bordo'!F$2:F$746,"BALANÇA - SAÍDA"),0)</f>
        <v>5.6666666666666664E-2</v>
      </c>
      <c r="K573" s="10">
        <f>IFERROR(SUMIFS('Base bordo'!G$2:G$746,'Base bordo'!C$2:C$746,A573,'Base bordo'!B$2:B$746,B573,'Base bordo'!F$2:F$746,"MAN PREVENTIVA - MECANICA"),0)+IFERROR(SUMIFS('Base bordo'!G$2:G$746,'Base bordo'!C$2:C$746,A573,'Base bordo'!B$2:B$746,B573,'Base bordo'!F$2:F$746,"MAN CORRETIVA - MECANICA"),0)</f>
        <v>0</v>
      </c>
      <c r="L573" s="10">
        <f>IFERROR(SUMIFS('Base bordo'!G$2:G$746,'Base bordo'!C$2:C$746,A573,'Base bordo'!B$2:B$746,B573,'Base bordo'!F$2:F$746,"MANUTENCAO - T O"),0)+IFERROR(SUMIFS('Base bordo'!G$2:G$746,'Base bordo'!C$2:C$746,A573,'Base bordo'!B$2:B$746,B573,'Base bordo'!F$2:F$746,"MANUTENCAO BORRACHARIA"),0)+IFERROR(SUMIFS('Base bordo'!G$2:G$746,'Base bordo'!C$2:C$746,A573,'Base bordo'!B$2:B$746,B573,'Base bordo'!F$2:F$746,"MANUTENCAO EXTERNA  CONCESSIONARIA"),0)+IFERROR(SUMIFS('Base bordo'!G$2:G$746,'Base bordo'!C$2:C$746,A573,'Base bordo'!B$2:B$746,B573,'Base bordo'!F$2:F$746,"MANUTENCAO TELEMETRIA"),0)</f>
        <v>9.4491666666666667</v>
      </c>
      <c r="M573" s="10">
        <f>IFERROR(SUMIFS('Base bordo'!G$2:G$746,'Base bordo'!C$2:C$746,A573,'Base bordo'!B$2:B$746,B573,'Base bordo'!F$2:F$746,"AGUARDANDO MANUTENCAO"),0)</f>
        <v>0</v>
      </c>
      <c r="N573" s="10">
        <f>IFERROR(SUMIFS('Base bordo'!G$2:G$746,'Base bordo'!C$2:C$746,A573,'Base bordo'!B$2:B$746,B573,'Base bordo'!F$2:F$746,"SEM APONTAMENTO"),0)</f>
        <v>0</v>
      </c>
      <c r="O573" s="10">
        <f t="shared" si="60"/>
        <v>0.20222222222222541</v>
      </c>
      <c r="P573" s="10">
        <f>IFERROR(SUMIFS('Base bordo'!G$2:G$746,'Base bordo'!C$2:C$746,A573,'Base bordo'!B$2:B$746,B573),0)</f>
        <v>22.207777777777778</v>
      </c>
      <c r="Q573" s="10">
        <f>IFERROR(SUMIFS('Base bordo'!H$2:H$746,'Base bordo'!C$2:C$746,A573,'Base bordo'!B$2:B$746,B573,'Base bordo'!F$2:F$746,"DESLOCAMENTO VAZIO"),0)</f>
        <v>86336.93</v>
      </c>
      <c r="R573" s="10">
        <f>IFERROR(SUMIFS('Base bordo'!I$2:I$746,'Base bordo'!C$2:C$746,A573,'Base bordo'!B$2:B$746,B573,'Base bordo'!F$2:F$746,"DESLOCAMENTO VAZIO"),0)</f>
        <v>3275</v>
      </c>
      <c r="S573" s="30">
        <f t="shared" si="61"/>
        <v>26.362421374045798</v>
      </c>
      <c r="T573" s="10">
        <f>IFERROR(SUMIFS('Base bordo'!H$2:H$746,'Base bordo'!C$2:C$746,A573,'Base bordo'!B$2:B$746,B573,'Base bordo'!F$2:F$746,"DESLOCAMENTO CARREGADO"),0)</f>
        <v>166427.58000000002</v>
      </c>
      <c r="U573" s="10">
        <f>IFERROR(SUMIFS('Base bordo'!I$2:I$746,'Base bordo'!C$2:C$746,A573,'Base bordo'!B$2:B$746,B573,'Base bordo'!F$2:F$746,"DESLOCAMENTO CARREGADO"),0)</f>
        <v>6321</v>
      </c>
      <c r="V573" s="30">
        <f t="shared" si="62"/>
        <v>26.329311817750359</v>
      </c>
      <c r="W573" s="9">
        <f t="shared" si="63"/>
        <v>4.0964126682343519E-2</v>
      </c>
      <c r="X573" s="9">
        <f t="shared" si="64"/>
        <v>7.9063891529494168E-2</v>
      </c>
      <c r="Y573" s="9">
        <f t="shared" si="65"/>
        <v>0.87997198178816227</v>
      </c>
    </row>
    <row r="574" spans="1:25" ht="15" customHeight="1" x14ac:dyDescent="0.35">
      <c r="A574" s="52">
        <v>8013473</v>
      </c>
      <c r="B574" s="51">
        <v>46123</v>
      </c>
      <c r="C574" s="7" t="s">
        <v>124</v>
      </c>
      <c r="D574" s="10">
        <f>IFERROR(SUMIFS('Base bordo'!G$2:G$746,'Base bordo'!C$2:C$746,A574,'Base bordo'!B$2:B$746,B574,'Base bordo'!F$2:F$746,"DESLOCAMENTO VAZIO"),0)</f>
        <v>2.2419444444444445</v>
      </c>
      <c r="E574" s="10">
        <f>IFERROR(SUMIFS('Base bordo'!G$2:G$746,'Base bordo'!C$2:C$746,A574,'Base bordo'!B$2:B$746,B574,'Base bordo'!F$2:F$746,"DESLOCAMENTO CARREGADO"),0)</f>
        <v>2.7183333333333333</v>
      </c>
      <c r="F574" s="10">
        <f>IFERROR(SUMIFS('Base bordo'!G$2:G$746,'Base bordo'!C$2:C$746,A574,'Base bordo'!B$2:B$746,B574,'Base bordo'!F$2:F$746,"DESLOCAMENTO"),0)</f>
        <v>0</v>
      </c>
      <c r="G574" s="10">
        <f>IFERROR(SUMIFS('Base bordo'!G$2:G$746,'Base bordo'!C$2:C$746,A574,'Base bordo'!B$2:B$746,B574,'Base bordo'!F$2:F$746,"CARREGAMENTO"),0)</f>
        <v>0</v>
      </c>
      <c r="H574" s="10">
        <f>IFERROR(SUMIFS('Base bordo'!G$2:G$746,'Base bordo'!C$2:C$746,A574,'Base bordo'!B$2:B$746,B574,'Base bordo'!F$2:F$746,"AGUARDANDO TRANSBORDO"),0)</f>
        <v>1.3844444444444444</v>
      </c>
      <c r="I574" s="10">
        <f>IFERROR(SUMIFS('Base bordo'!G$2:G$746,'Base bordo'!C$2:C$746,A574,'Base bordo'!B$2:B$746,B574,'Base bordo'!F$2:F$746,"PÁTIO INTERNO"),0)+IFERROR(SUMIFS('Base bordo'!G$2:G$746,'Base bordo'!C$2:C$746,A574,'Base bordo'!B$2:B$746,B574,'Base bordo'!F$2:F$746,"PÁTIO EXTERNO"),0)+IFERROR(SUMIFS('Base bordo'!G$2:G$746,'Base bordo'!C$2:C$746,A574,'Base bordo'!B$2:B$746,B574,'Base bordo'!F$2:F$746,"PATIO - RESERVA"),0)+IFERROR(SUMIFS('Base bordo'!G$2:G$746,'Base bordo'!C$2:C$746,A574,'Base bordo'!B$2:B$746,B574,'Base bordo'!F$2:F$746,"MANOBRA CARRETAS-PATIO"),0)</f>
        <v>0.63833333333333331</v>
      </c>
      <c r="J574" s="10">
        <f>IFERROR(SUMIFS('Base bordo'!G$2:G$746,'Base bordo'!C$2:C$746,A574,'Base bordo'!B$2:B$746,B574,'Base bordo'!F$2:F$746,"BALANÇA - ENTRADA"),0)+IFERROR(SUMIFS('Base bordo'!G$2:G$746,'Base bordo'!C$2:C$746,A574,'Base bordo'!B$2:B$746,B574,'Base bordo'!F$2:F$746,"BALANÇA - SAÍDA"),0)</f>
        <v>0</v>
      </c>
      <c r="K574" s="10">
        <f>IFERROR(SUMIFS('Base bordo'!G$2:G$746,'Base bordo'!C$2:C$746,A574,'Base bordo'!B$2:B$746,B574,'Base bordo'!F$2:F$746,"MAN PREVENTIVA - MECANICA"),0)+IFERROR(SUMIFS('Base bordo'!G$2:G$746,'Base bordo'!C$2:C$746,A574,'Base bordo'!B$2:B$746,B574,'Base bordo'!F$2:F$746,"MAN CORRETIVA - MECANICA"),0)</f>
        <v>0</v>
      </c>
      <c r="L574" s="10">
        <f>IFERROR(SUMIFS('Base bordo'!G$2:G$746,'Base bordo'!C$2:C$746,A574,'Base bordo'!B$2:B$746,B574,'Base bordo'!F$2:F$746,"MANUTENCAO - T O"),0)+IFERROR(SUMIFS('Base bordo'!G$2:G$746,'Base bordo'!C$2:C$746,A574,'Base bordo'!B$2:B$746,B574,'Base bordo'!F$2:F$746,"MANUTENCAO BORRACHARIA"),0)+IFERROR(SUMIFS('Base bordo'!G$2:G$746,'Base bordo'!C$2:C$746,A574,'Base bordo'!B$2:B$746,B574,'Base bordo'!F$2:F$746,"MANUTENCAO EXTERNA  CONCESSIONARIA"),0)+IFERROR(SUMIFS('Base bordo'!G$2:G$746,'Base bordo'!C$2:C$746,A574,'Base bordo'!B$2:B$746,B574,'Base bordo'!F$2:F$746,"MANUTENCAO TELEMETRIA"),0)</f>
        <v>0</v>
      </c>
      <c r="M574" s="10">
        <f>IFERROR(SUMIFS('Base bordo'!G$2:G$746,'Base bordo'!C$2:C$746,A574,'Base bordo'!B$2:B$746,B574,'Base bordo'!F$2:F$746,"AGUARDANDO MANUTENCAO"),0)</f>
        <v>0</v>
      </c>
      <c r="N574" s="10">
        <f>IFERROR(SUMIFS('Base bordo'!G$2:G$746,'Base bordo'!C$2:C$746,A574,'Base bordo'!B$2:B$746,B574,'Base bordo'!F$2:F$746,"SEM APONTAMENTO"),0)</f>
        <v>0</v>
      </c>
      <c r="O574" s="10">
        <f t="shared" si="60"/>
        <v>0.22777777777777786</v>
      </c>
      <c r="P574" s="10">
        <f>IFERROR(SUMIFS('Base bordo'!G$2:G$746,'Base bordo'!C$2:C$746,A574,'Base bordo'!B$2:B$746,B574),0)</f>
        <v>7.2108333333333334</v>
      </c>
      <c r="Q574" s="10">
        <f>IFERROR(SUMIFS('Base bordo'!H$2:H$746,'Base bordo'!C$2:C$746,A574,'Base bordo'!B$2:B$746,B574,'Base bordo'!F$2:F$746,"DESLOCAMENTO VAZIO"),0)</f>
        <v>253000.22999999998</v>
      </c>
      <c r="R574" s="10">
        <f>IFERROR(SUMIFS('Base bordo'!I$2:I$746,'Base bordo'!C$2:C$746,A574,'Base bordo'!B$2:B$746,B574,'Base bordo'!F$2:F$746,"DESLOCAMENTO VAZIO"),0)</f>
        <v>8071</v>
      </c>
      <c r="S574" s="30">
        <f t="shared" si="61"/>
        <v>31.346825672159582</v>
      </c>
      <c r="T574" s="10">
        <f>IFERROR(SUMIFS('Base bordo'!H$2:H$746,'Base bordo'!C$2:C$746,A574,'Base bordo'!B$2:B$746,B574,'Base bordo'!F$2:F$746,"DESLOCAMENTO CARREGADO"),0)</f>
        <v>222192.59000000003</v>
      </c>
      <c r="U574" s="10">
        <f>IFERROR(SUMIFS('Base bordo'!I$2:I$746,'Base bordo'!C$2:C$746,A574,'Base bordo'!B$2:B$746,B574,'Base bordo'!F$2:F$746,"DESLOCAMENTO CARREGADO"),0)</f>
        <v>9786</v>
      </c>
      <c r="V574" s="30">
        <f t="shared" si="62"/>
        <v>22.705149192724303</v>
      </c>
      <c r="W574" s="9">
        <f t="shared" si="63"/>
        <v>0.31091336338071573</v>
      </c>
      <c r="X574" s="9">
        <f t="shared" si="64"/>
        <v>0.37697908239916789</v>
      </c>
      <c r="Y574" s="9">
        <f t="shared" si="65"/>
        <v>0.31210755422011638</v>
      </c>
    </row>
    <row r="575" spans="1:25" ht="15" customHeight="1" x14ac:dyDescent="0.35">
      <c r="A575" s="52">
        <v>8013472</v>
      </c>
      <c r="B575" s="51">
        <v>46118</v>
      </c>
      <c r="C575" s="7" t="s">
        <v>124</v>
      </c>
      <c r="D575" s="10">
        <f>IFERROR(SUMIFS('Base bordo'!G$2:G$746,'Base bordo'!C$2:C$746,A575,'Base bordo'!B$2:B$746,B575,'Base bordo'!F$2:F$746,"DESLOCAMENTO VAZIO"),0)</f>
        <v>1.75</v>
      </c>
      <c r="E575" s="10">
        <f>IFERROR(SUMIFS('Base bordo'!G$2:G$746,'Base bordo'!C$2:C$746,A575,'Base bordo'!B$2:B$746,B575,'Base bordo'!F$2:F$746,"DESLOCAMENTO CARREGADO"),0)</f>
        <v>2.4983333333333335</v>
      </c>
      <c r="F575" s="10">
        <f>IFERROR(SUMIFS('Base bordo'!G$2:G$746,'Base bordo'!C$2:C$746,A575,'Base bordo'!B$2:B$746,B575,'Base bordo'!F$2:F$746,"DESLOCAMENTO"),0)</f>
        <v>1.1605555555555556</v>
      </c>
      <c r="G575" s="10">
        <f>IFERROR(SUMIFS('Base bordo'!G$2:G$746,'Base bordo'!C$2:C$746,A575,'Base bordo'!B$2:B$746,B575,'Base bordo'!F$2:F$746,"CARREGAMENTO"),0)</f>
        <v>0</v>
      </c>
      <c r="H575" s="10">
        <f>IFERROR(SUMIFS('Base bordo'!G$2:G$746,'Base bordo'!C$2:C$746,A575,'Base bordo'!B$2:B$746,B575,'Base bordo'!F$2:F$746,"AGUARDANDO TRANSBORDO"),0)</f>
        <v>0</v>
      </c>
      <c r="I575" s="10">
        <f>IFERROR(SUMIFS('Base bordo'!G$2:G$746,'Base bordo'!C$2:C$746,A575,'Base bordo'!B$2:B$746,B575,'Base bordo'!F$2:F$746,"PÁTIO INTERNO"),0)+IFERROR(SUMIFS('Base bordo'!G$2:G$746,'Base bordo'!C$2:C$746,A575,'Base bordo'!B$2:B$746,B575,'Base bordo'!F$2:F$746,"PÁTIO EXTERNO"),0)+IFERROR(SUMIFS('Base bordo'!G$2:G$746,'Base bordo'!C$2:C$746,A575,'Base bordo'!B$2:B$746,B575,'Base bordo'!F$2:F$746,"PATIO - RESERVA"),0)+IFERROR(SUMIFS('Base bordo'!G$2:G$746,'Base bordo'!C$2:C$746,A575,'Base bordo'!B$2:B$746,B575,'Base bordo'!F$2:F$746,"MANOBRA CARRETAS-PATIO"),0)</f>
        <v>6.2741666666666669</v>
      </c>
      <c r="J575" s="10">
        <f>IFERROR(SUMIFS('Base bordo'!G$2:G$746,'Base bordo'!C$2:C$746,A575,'Base bordo'!B$2:B$746,B575,'Base bordo'!F$2:F$746,"BALANÇA - ENTRADA"),0)+IFERROR(SUMIFS('Base bordo'!G$2:G$746,'Base bordo'!C$2:C$746,A575,'Base bordo'!B$2:B$746,B575,'Base bordo'!F$2:F$746,"BALANÇA - SAÍDA"),0)</f>
        <v>1.2222222222222223E-2</v>
      </c>
      <c r="K575" s="10">
        <f>IFERROR(SUMIFS('Base bordo'!G$2:G$746,'Base bordo'!C$2:C$746,A575,'Base bordo'!B$2:B$746,B575,'Base bordo'!F$2:F$746,"MAN PREVENTIVA - MECANICA"),0)+IFERROR(SUMIFS('Base bordo'!G$2:G$746,'Base bordo'!C$2:C$746,A575,'Base bordo'!B$2:B$746,B575,'Base bordo'!F$2:F$746,"MAN CORRETIVA - MECANICA"),0)</f>
        <v>0</v>
      </c>
      <c r="L575" s="10">
        <f>IFERROR(SUMIFS('Base bordo'!G$2:G$746,'Base bordo'!C$2:C$746,A575,'Base bordo'!B$2:B$746,B575,'Base bordo'!F$2:F$746,"MANUTENCAO - T O"),0)+IFERROR(SUMIFS('Base bordo'!G$2:G$746,'Base bordo'!C$2:C$746,A575,'Base bordo'!B$2:B$746,B575,'Base bordo'!F$2:F$746,"MANUTENCAO BORRACHARIA"),0)+IFERROR(SUMIFS('Base bordo'!G$2:G$746,'Base bordo'!C$2:C$746,A575,'Base bordo'!B$2:B$746,B575,'Base bordo'!F$2:F$746,"MANUTENCAO EXTERNA  CONCESSIONARIA"),0)+IFERROR(SUMIFS('Base bordo'!G$2:G$746,'Base bordo'!C$2:C$746,A575,'Base bordo'!B$2:B$746,B575,'Base bordo'!F$2:F$746,"MANUTENCAO TELEMETRIA"),0)</f>
        <v>2.3786111111111112</v>
      </c>
      <c r="M575" s="10">
        <f>IFERROR(SUMIFS('Base bordo'!G$2:G$746,'Base bordo'!C$2:C$746,A575,'Base bordo'!B$2:B$746,B575,'Base bordo'!F$2:F$746,"AGUARDANDO MANUTENCAO"),0)</f>
        <v>5.3633333333333333</v>
      </c>
      <c r="N575" s="10">
        <f>IFERROR(SUMIFS('Base bordo'!G$2:G$746,'Base bordo'!C$2:C$746,A575,'Base bordo'!B$2:B$746,B575,'Base bordo'!F$2:F$746,"SEM APONTAMENTO"),0)</f>
        <v>0</v>
      </c>
      <c r="O575" s="10">
        <f t="shared" si="60"/>
        <v>0</v>
      </c>
      <c r="P575" s="10">
        <f>IFERROR(SUMIFS('Base bordo'!G$2:G$746,'Base bordo'!C$2:C$746,A575,'Base bordo'!B$2:B$746,B575),0)</f>
        <v>19.437222222222221</v>
      </c>
      <c r="Q575" s="10">
        <f>IFERROR(SUMIFS('Base bordo'!H$2:H$746,'Base bordo'!C$2:C$746,A575,'Base bordo'!B$2:B$746,B575,'Base bordo'!F$2:F$746,"DESLOCAMENTO VAZIO"),0)</f>
        <v>117213.39</v>
      </c>
      <c r="R575" s="10">
        <f>IFERROR(SUMIFS('Base bordo'!I$2:I$746,'Base bordo'!C$2:C$746,A575,'Base bordo'!B$2:B$746,B575,'Base bordo'!F$2:F$746,"DESLOCAMENTO VAZIO"),0)</f>
        <v>6300</v>
      </c>
      <c r="S575" s="30">
        <f t="shared" si="61"/>
        <v>18.6053</v>
      </c>
      <c r="T575" s="10">
        <f>IFERROR(SUMIFS('Base bordo'!H$2:H$746,'Base bordo'!C$2:C$746,A575,'Base bordo'!B$2:B$746,B575,'Base bordo'!F$2:F$746,"DESLOCAMENTO CARREGADO"),0)</f>
        <v>206109.95</v>
      </c>
      <c r="U575" s="10">
        <f>IFERROR(SUMIFS('Base bordo'!I$2:I$746,'Base bordo'!C$2:C$746,A575,'Base bordo'!B$2:B$746,B575,'Base bordo'!F$2:F$746,"DESLOCAMENTO CARREGADO"),0)</f>
        <v>8677</v>
      </c>
      <c r="V575" s="30">
        <f t="shared" si="62"/>
        <v>23.753595712803964</v>
      </c>
      <c r="W575" s="9">
        <f t="shared" si="63"/>
        <v>9.0033440992368596E-2</v>
      </c>
      <c r="X575" s="9">
        <f t="shared" si="64"/>
        <v>0.128533455283391</v>
      </c>
      <c r="Y575" s="9">
        <f t="shared" si="65"/>
        <v>0.78143310372424046</v>
      </c>
    </row>
    <row r="576" spans="1:25" ht="15" customHeight="1" x14ac:dyDescent="0.35">
      <c r="A576" s="52">
        <v>8013460</v>
      </c>
      <c r="B576" s="51">
        <v>46116</v>
      </c>
      <c r="C576" s="7" t="s">
        <v>124</v>
      </c>
      <c r="D576" s="10">
        <f>IFERROR(SUMIFS('Base bordo'!G$2:G$746,'Base bordo'!C$2:C$746,A576,'Base bordo'!B$2:B$746,B576,'Base bordo'!F$2:F$746,"DESLOCAMENTO VAZIO"),0)</f>
        <v>2.9722222222222223E-2</v>
      </c>
      <c r="E576" s="10">
        <f>IFERROR(SUMIFS('Base bordo'!G$2:G$746,'Base bordo'!C$2:C$746,A576,'Base bordo'!B$2:B$746,B576,'Base bordo'!F$2:F$746,"DESLOCAMENTO CARREGADO"),0)</f>
        <v>0</v>
      </c>
      <c r="F576" s="10">
        <f>IFERROR(SUMIFS('Base bordo'!G$2:G$746,'Base bordo'!C$2:C$746,A576,'Base bordo'!B$2:B$746,B576,'Base bordo'!F$2:F$746,"DESLOCAMENTO"),0)</f>
        <v>0</v>
      </c>
      <c r="G576" s="10">
        <f>IFERROR(SUMIFS('Base bordo'!G$2:G$746,'Base bordo'!C$2:C$746,A576,'Base bordo'!B$2:B$746,B576,'Base bordo'!F$2:F$746,"CARREGAMENTO"),0)</f>
        <v>0</v>
      </c>
      <c r="H576" s="10">
        <f>IFERROR(SUMIFS('Base bordo'!G$2:G$746,'Base bordo'!C$2:C$746,A576,'Base bordo'!B$2:B$746,B576,'Base bordo'!F$2:F$746,"AGUARDANDO TRANSBORDO"),0)</f>
        <v>0</v>
      </c>
      <c r="I576" s="10">
        <f>IFERROR(SUMIFS('Base bordo'!G$2:G$746,'Base bordo'!C$2:C$746,A576,'Base bordo'!B$2:B$746,B576,'Base bordo'!F$2:F$746,"PÁTIO INTERNO"),0)+IFERROR(SUMIFS('Base bordo'!G$2:G$746,'Base bordo'!C$2:C$746,A576,'Base bordo'!B$2:B$746,B576,'Base bordo'!F$2:F$746,"PÁTIO EXTERNO"),0)+IFERROR(SUMIFS('Base bordo'!G$2:G$746,'Base bordo'!C$2:C$746,A576,'Base bordo'!B$2:B$746,B576,'Base bordo'!F$2:F$746,"PATIO - RESERVA"),0)+IFERROR(SUMIFS('Base bordo'!G$2:G$746,'Base bordo'!C$2:C$746,A576,'Base bordo'!B$2:B$746,B576,'Base bordo'!F$2:F$746,"MANOBRA CARRETAS-PATIO"),0)</f>
        <v>0</v>
      </c>
      <c r="J576" s="10">
        <f>IFERROR(SUMIFS('Base bordo'!G$2:G$746,'Base bordo'!C$2:C$746,A576,'Base bordo'!B$2:B$746,B576,'Base bordo'!F$2:F$746,"BALANÇA - ENTRADA"),0)+IFERROR(SUMIFS('Base bordo'!G$2:G$746,'Base bordo'!C$2:C$746,A576,'Base bordo'!B$2:B$746,B576,'Base bordo'!F$2:F$746,"BALANÇA - SAÍDA"),0)</f>
        <v>0</v>
      </c>
      <c r="K576" s="10">
        <f>IFERROR(SUMIFS('Base bordo'!G$2:G$746,'Base bordo'!C$2:C$746,A576,'Base bordo'!B$2:B$746,B576,'Base bordo'!F$2:F$746,"MAN PREVENTIVA - MECANICA"),0)+IFERROR(SUMIFS('Base bordo'!G$2:G$746,'Base bordo'!C$2:C$746,A576,'Base bordo'!B$2:B$746,B576,'Base bordo'!F$2:F$746,"MAN CORRETIVA - MECANICA"),0)</f>
        <v>0</v>
      </c>
      <c r="L576" s="10">
        <f>IFERROR(SUMIFS('Base bordo'!G$2:G$746,'Base bordo'!C$2:C$746,A576,'Base bordo'!B$2:B$746,B576,'Base bordo'!F$2:F$746,"MANUTENCAO - T O"),0)+IFERROR(SUMIFS('Base bordo'!G$2:G$746,'Base bordo'!C$2:C$746,A576,'Base bordo'!B$2:B$746,B576,'Base bordo'!F$2:F$746,"MANUTENCAO BORRACHARIA"),0)+IFERROR(SUMIFS('Base bordo'!G$2:G$746,'Base bordo'!C$2:C$746,A576,'Base bordo'!B$2:B$746,B576,'Base bordo'!F$2:F$746,"MANUTENCAO EXTERNA  CONCESSIONARIA"),0)+IFERROR(SUMIFS('Base bordo'!G$2:G$746,'Base bordo'!C$2:C$746,A576,'Base bordo'!B$2:B$746,B576,'Base bordo'!F$2:F$746,"MANUTENCAO TELEMETRIA"),0)</f>
        <v>4.5788888888888888</v>
      </c>
      <c r="M576" s="10">
        <f>IFERROR(SUMIFS('Base bordo'!G$2:G$746,'Base bordo'!C$2:C$746,A576,'Base bordo'!B$2:B$746,B576,'Base bordo'!F$2:F$746,"AGUARDANDO MANUTENCAO"),0)</f>
        <v>0</v>
      </c>
      <c r="N576" s="10">
        <f>IFERROR(SUMIFS('Base bordo'!G$2:G$746,'Base bordo'!C$2:C$746,A576,'Base bordo'!B$2:B$746,B576,'Base bordo'!F$2:F$746,"SEM APONTAMENTO"),0)</f>
        <v>0</v>
      </c>
      <c r="O576" s="10">
        <f t="shared" si="60"/>
        <v>0</v>
      </c>
      <c r="P576" s="10">
        <f>IFERROR(SUMIFS('Base bordo'!G$2:G$746,'Base bordo'!C$2:C$746,A576,'Base bordo'!B$2:B$746,B576),0)</f>
        <v>4.6086111111111112</v>
      </c>
      <c r="Q576" s="10">
        <f>IFERROR(SUMIFS('Base bordo'!H$2:H$746,'Base bordo'!C$2:C$746,A576,'Base bordo'!B$2:B$746,B576,'Base bordo'!F$2:F$746,"DESLOCAMENTO VAZIO"),0)</f>
        <v>601.34</v>
      </c>
      <c r="R576" s="10">
        <f>IFERROR(SUMIFS('Base bordo'!I$2:I$746,'Base bordo'!C$2:C$746,A576,'Base bordo'!B$2:B$746,B576,'Base bordo'!F$2:F$746,"DESLOCAMENTO VAZIO"),0)</f>
        <v>107</v>
      </c>
      <c r="S576" s="30">
        <f t="shared" si="61"/>
        <v>5.62</v>
      </c>
      <c r="T576" s="10">
        <f>IFERROR(SUMIFS('Base bordo'!H$2:H$746,'Base bordo'!C$2:C$746,A576,'Base bordo'!B$2:B$746,B576,'Base bordo'!F$2:F$746,"DESLOCAMENTO CARREGADO"),0)</f>
        <v>0</v>
      </c>
      <c r="U576" s="10">
        <f>IFERROR(SUMIFS('Base bordo'!I$2:I$746,'Base bordo'!C$2:C$746,A576,'Base bordo'!B$2:B$746,B576,'Base bordo'!F$2:F$746,"DESLOCAMENTO CARREGADO"),0)</f>
        <v>0</v>
      </c>
      <c r="V576" s="30" t="str">
        <f t="shared" si="62"/>
        <v/>
      </c>
      <c r="W576" s="9">
        <f t="shared" si="63"/>
        <v>6.4492797299740825E-3</v>
      </c>
      <c r="X576" s="9">
        <f t="shared" si="64"/>
        <v>0</v>
      </c>
      <c r="Y576" s="9">
        <f t="shared" si="65"/>
        <v>0.99355072027002589</v>
      </c>
    </row>
    <row r="577" spans="1:25" ht="15" customHeight="1" x14ac:dyDescent="0.35">
      <c r="A577" s="52">
        <v>8013461</v>
      </c>
      <c r="B577" s="51">
        <v>46116</v>
      </c>
      <c r="C577" s="7" t="s">
        <v>124</v>
      </c>
      <c r="D577" s="10">
        <f>IFERROR(SUMIFS('Base bordo'!G$2:G$746,'Base bordo'!C$2:C$746,A577,'Base bordo'!B$2:B$746,B577,'Base bordo'!F$2:F$746,"DESLOCAMENTO VAZIO"),0)</f>
        <v>0</v>
      </c>
      <c r="E577" s="10">
        <f>IFERROR(SUMIFS('Base bordo'!G$2:G$746,'Base bordo'!C$2:C$746,A577,'Base bordo'!B$2:B$746,B577,'Base bordo'!F$2:F$746,"DESLOCAMENTO CARREGADO"),0)</f>
        <v>0</v>
      </c>
      <c r="F577" s="10">
        <f>IFERROR(SUMIFS('Base bordo'!G$2:G$746,'Base bordo'!C$2:C$746,A577,'Base bordo'!B$2:B$746,B577,'Base bordo'!F$2:F$746,"DESLOCAMENTO"),0)</f>
        <v>0</v>
      </c>
      <c r="G577" s="10">
        <f>IFERROR(SUMIFS('Base bordo'!G$2:G$746,'Base bordo'!C$2:C$746,A577,'Base bordo'!B$2:B$746,B577,'Base bordo'!F$2:F$746,"CARREGAMENTO"),0)</f>
        <v>0</v>
      </c>
      <c r="H577" s="10">
        <f>IFERROR(SUMIFS('Base bordo'!G$2:G$746,'Base bordo'!C$2:C$746,A577,'Base bordo'!B$2:B$746,B577,'Base bordo'!F$2:F$746,"AGUARDANDO TRANSBORDO"),0)</f>
        <v>0</v>
      </c>
      <c r="I577" s="10">
        <f>IFERROR(SUMIFS('Base bordo'!G$2:G$746,'Base bordo'!C$2:C$746,A577,'Base bordo'!B$2:B$746,B577,'Base bordo'!F$2:F$746,"PÁTIO INTERNO"),0)+IFERROR(SUMIFS('Base bordo'!G$2:G$746,'Base bordo'!C$2:C$746,A577,'Base bordo'!B$2:B$746,B577,'Base bordo'!F$2:F$746,"PÁTIO EXTERNO"),0)+IFERROR(SUMIFS('Base bordo'!G$2:G$746,'Base bordo'!C$2:C$746,A577,'Base bordo'!B$2:B$746,B577,'Base bordo'!F$2:F$746,"PATIO - RESERVA"),0)+IFERROR(SUMIFS('Base bordo'!G$2:G$746,'Base bordo'!C$2:C$746,A577,'Base bordo'!B$2:B$746,B577,'Base bordo'!F$2:F$746,"MANOBRA CARRETAS-PATIO"),0)</f>
        <v>0</v>
      </c>
      <c r="J577" s="10">
        <f>IFERROR(SUMIFS('Base bordo'!G$2:G$746,'Base bordo'!C$2:C$746,A577,'Base bordo'!B$2:B$746,B577,'Base bordo'!F$2:F$746,"BALANÇA - ENTRADA"),0)+IFERROR(SUMIFS('Base bordo'!G$2:G$746,'Base bordo'!C$2:C$746,A577,'Base bordo'!B$2:B$746,B577,'Base bordo'!F$2:F$746,"BALANÇA - SAÍDA"),0)</f>
        <v>0</v>
      </c>
      <c r="K577" s="10">
        <f>IFERROR(SUMIFS('Base bordo'!G$2:G$746,'Base bordo'!C$2:C$746,A577,'Base bordo'!B$2:B$746,B577,'Base bordo'!F$2:F$746,"MAN PREVENTIVA - MECANICA"),0)+IFERROR(SUMIFS('Base bordo'!G$2:G$746,'Base bordo'!C$2:C$746,A577,'Base bordo'!B$2:B$746,B577,'Base bordo'!F$2:F$746,"MAN CORRETIVA - MECANICA"),0)</f>
        <v>0</v>
      </c>
      <c r="L577" s="10">
        <f>IFERROR(SUMIFS('Base bordo'!G$2:G$746,'Base bordo'!C$2:C$746,A577,'Base bordo'!B$2:B$746,B577,'Base bordo'!F$2:F$746,"MANUTENCAO - T O"),0)+IFERROR(SUMIFS('Base bordo'!G$2:G$746,'Base bordo'!C$2:C$746,A577,'Base bordo'!B$2:B$746,B577,'Base bordo'!F$2:F$746,"MANUTENCAO BORRACHARIA"),0)+IFERROR(SUMIFS('Base bordo'!G$2:G$746,'Base bordo'!C$2:C$746,A577,'Base bordo'!B$2:B$746,B577,'Base bordo'!F$2:F$746,"MANUTENCAO EXTERNA  CONCESSIONARIA"),0)+IFERROR(SUMIFS('Base bordo'!G$2:G$746,'Base bordo'!C$2:C$746,A577,'Base bordo'!B$2:B$746,B577,'Base bordo'!F$2:F$746,"MANUTENCAO TELEMETRIA"),0)</f>
        <v>9.793333333333333</v>
      </c>
      <c r="M577" s="10">
        <f>IFERROR(SUMIFS('Base bordo'!G$2:G$746,'Base bordo'!C$2:C$746,A577,'Base bordo'!B$2:B$746,B577,'Base bordo'!F$2:F$746,"AGUARDANDO MANUTENCAO"),0)</f>
        <v>0</v>
      </c>
      <c r="N577" s="10">
        <f>IFERROR(SUMIFS('Base bordo'!G$2:G$746,'Base bordo'!C$2:C$746,A577,'Base bordo'!B$2:B$746,B577,'Base bordo'!F$2:F$746,"SEM APONTAMENTO"),0)</f>
        <v>0</v>
      </c>
      <c r="O577" s="10">
        <f t="shared" si="60"/>
        <v>0</v>
      </c>
      <c r="P577" s="10">
        <f>IFERROR(SUMIFS('Base bordo'!G$2:G$746,'Base bordo'!C$2:C$746,A577,'Base bordo'!B$2:B$746,B577),0)</f>
        <v>9.793333333333333</v>
      </c>
      <c r="Q577" s="10">
        <f>IFERROR(SUMIFS('Base bordo'!H$2:H$746,'Base bordo'!C$2:C$746,A577,'Base bordo'!B$2:B$746,B577,'Base bordo'!F$2:F$746,"DESLOCAMENTO VAZIO"),0)</f>
        <v>0</v>
      </c>
      <c r="R577" s="10">
        <f>IFERROR(SUMIFS('Base bordo'!I$2:I$746,'Base bordo'!C$2:C$746,A577,'Base bordo'!B$2:B$746,B577,'Base bordo'!F$2:F$746,"DESLOCAMENTO VAZIO"),0)</f>
        <v>0</v>
      </c>
      <c r="S577" s="30" t="str">
        <f t="shared" si="61"/>
        <v/>
      </c>
      <c r="T577" s="10">
        <f>IFERROR(SUMIFS('Base bordo'!H$2:H$746,'Base bordo'!C$2:C$746,A577,'Base bordo'!B$2:B$746,B577,'Base bordo'!F$2:F$746,"DESLOCAMENTO CARREGADO"),0)</f>
        <v>0</v>
      </c>
      <c r="U577" s="10">
        <f>IFERROR(SUMIFS('Base bordo'!I$2:I$746,'Base bordo'!C$2:C$746,A577,'Base bordo'!B$2:B$746,B577,'Base bordo'!F$2:F$746,"DESLOCAMENTO CARREGADO"),0)</f>
        <v>0</v>
      </c>
      <c r="V577" s="30" t="str">
        <f t="shared" si="62"/>
        <v/>
      </c>
      <c r="W577" s="9">
        <f t="shared" si="63"/>
        <v>0</v>
      </c>
      <c r="X577" s="9">
        <f t="shared" si="64"/>
        <v>0</v>
      </c>
      <c r="Y577" s="9">
        <f t="shared" si="65"/>
        <v>1</v>
      </c>
    </row>
    <row r="578" spans="1:25" ht="15" customHeight="1" x14ac:dyDescent="0.35">
      <c r="A578" s="52">
        <v>8013465</v>
      </c>
      <c r="B578" s="51">
        <v>46116</v>
      </c>
      <c r="C578" s="7" t="s">
        <v>124</v>
      </c>
      <c r="D578" s="10">
        <f>IFERROR(SUMIFS('Base bordo'!G$2:G$746,'Base bordo'!C$2:C$746,A578,'Base bordo'!B$2:B$746,B578,'Base bordo'!F$2:F$746,"DESLOCAMENTO VAZIO"),0)</f>
        <v>4.0833333333333333E-2</v>
      </c>
      <c r="E578" s="10">
        <f>IFERROR(SUMIFS('Base bordo'!G$2:G$746,'Base bordo'!C$2:C$746,A578,'Base bordo'!B$2:B$746,B578,'Base bordo'!F$2:F$746,"DESLOCAMENTO CARREGADO"),0)</f>
        <v>0</v>
      </c>
      <c r="F578" s="10">
        <f>IFERROR(SUMIFS('Base bordo'!G$2:G$746,'Base bordo'!C$2:C$746,A578,'Base bordo'!B$2:B$746,B578,'Base bordo'!F$2:F$746,"DESLOCAMENTO"),0)</f>
        <v>1.1111111111111112E-2</v>
      </c>
      <c r="G578" s="10">
        <f>IFERROR(SUMIFS('Base bordo'!G$2:G$746,'Base bordo'!C$2:C$746,A578,'Base bordo'!B$2:B$746,B578,'Base bordo'!F$2:F$746,"CARREGAMENTO"),0)</f>
        <v>0</v>
      </c>
      <c r="H578" s="10">
        <f>IFERROR(SUMIFS('Base bordo'!G$2:G$746,'Base bordo'!C$2:C$746,A578,'Base bordo'!B$2:B$746,B578,'Base bordo'!F$2:F$746,"AGUARDANDO TRANSBORDO"),0)</f>
        <v>0</v>
      </c>
      <c r="I578" s="10">
        <f>IFERROR(SUMIFS('Base bordo'!G$2:G$746,'Base bordo'!C$2:C$746,A578,'Base bordo'!B$2:B$746,B578,'Base bordo'!F$2:F$746,"PÁTIO INTERNO"),0)+IFERROR(SUMIFS('Base bordo'!G$2:G$746,'Base bordo'!C$2:C$746,A578,'Base bordo'!B$2:B$746,B578,'Base bordo'!F$2:F$746,"PÁTIO EXTERNO"),0)+IFERROR(SUMIFS('Base bordo'!G$2:G$746,'Base bordo'!C$2:C$746,A578,'Base bordo'!B$2:B$746,B578,'Base bordo'!F$2:F$746,"PATIO - RESERVA"),0)+IFERROR(SUMIFS('Base bordo'!G$2:G$746,'Base bordo'!C$2:C$746,A578,'Base bordo'!B$2:B$746,B578,'Base bordo'!F$2:F$746,"MANOBRA CARRETAS-PATIO"),0)</f>
        <v>0</v>
      </c>
      <c r="J578" s="10">
        <f>IFERROR(SUMIFS('Base bordo'!G$2:G$746,'Base bordo'!C$2:C$746,A578,'Base bordo'!B$2:B$746,B578,'Base bordo'!F$2:F$746,"BALANÇA - ENTRADA"),0)+IFERROR(SUMIFS('Base bordo'!G$2:G$746,'Base bordo'!C$2:C$746,A578,'Base bordo'!B$2:B$746,B578,'Base bordo'!F$2:F$746,"BALANÇA - SAÍDA"),0)</f>
        <v>0</v>
      </c>
      <c r="K578" s="10">
        <f>IFERROR(SUMIFS('Base bordo'!G$2:G$746,'Base bordo'!C$2:C$746,A578,'Base bordo'!B$2:B$746,B578,'Base bordo'!F$2:F$746,"MAN PREVENTIVA - MECANICA"),0)+IFERROR(SUMIFS('Base bordo'!G$2:G$746,'Base bordo'!C$2:C$746,A578,'Base bordo'!B$2:B$746,B578,'Base bordo'!F$2:F$746,"MAN CORRETIVA - MECANICA"),0)</f>
        <v>0</v>
      </c>
      <c r="L578" s="10">
        <f>IFERROR(SUMIFS('Base bordo'!G$2:G$746,'Base bordo'!C$2:C$746,A578,'Base bordo'!B$2:B$746,B578,'Base bordo'!F$2:F$746,"MANUTENCAO - T O"),0)+IFERROR(SUMIFS('Base bordo'!G$2:G$746,'Base bordo'!C$2:C$746,A578,'Base bordo'!B$2:B$746,B578,'Base bordo'!F$2:F$746,"MANUTENCAO BORRACHARIA"),0)+IFERROR(SUMIFS('Base bordo'!G$2:G$746,'Base bordo'!C$2:C$746,A578,'Base bordo'!B$2:B$746,B578,'Base bordo'!F$2:F$746,"MANUTENCAO EXTERNA  CONCESSIONARIA"),0)+IFERROR(SUMIFS('Base bordo'!G$2:G$746,'Base bordo'!C$2:C$746,A578,'Base bordo'!B$2:B$746,B578,'Base bordo'!F$2:F$746,"MANUTENCAO TELEMETRIA"),0)</f>
        <v>4.1519444444444442</v>
      </c>
      <c r="M578" s="10">
        <f>IFERROR(SUMIFS('Base bordo'!G$2:G$746,'Base bordo'!C$2:C$746,A578,'Base bordo'!B$2:B$746,B578,'Base bordo'!F$2:F$746,"AGUARDANDO MANUTENCAO"),0)</f>
        <v>0</v>
      </c>
      <c r="N578" s="10">
        <f>IFERROR(SUMIFS('Base bordo'!G$2:G$746,'Base bordo'!C$2:C$746,A578,'Base bordo'!B$2:B$746,B578,'Base bordo'!F$2:F$746,"SEM APONTAMENTO"),0)</f>
        <v>0</v>
      </c>
      <c r="O578" s="10">
        <f t="shared" si="60"/>
        <v>0</v>
      </c>
      <c r="P578" s="10">
        <f>IFERROR(SUMIFS('Base bordo'!G$2:G$746,'Base bordo'!C$2:C$746,A578,'Base bordo'!B$2:B$746,B578),0)</f>
        <v>4.2038888888888888</v>
      </c>
      <c r="Q578" s="10">
        <f>IFERROR(SUMIFS('Base bordo'!H$2:H$746,'Base bordo'!C$2:C$746,A578,'Base bordo'!B$2:B$746,B578,'Base bordo'!F$2:F$746,"DESLOCAMENTO VAZIO"),0)</f>
        <v>435.12</v>
      </c>
      <c r="R578" s="10">
        <f>IFERROR(SUMIFS('Base bordo'!I$2:I$746,'Base bordo'!C$2:C$746,A578,'Base bordo'!B$2:B$746,B578,'Base bordo'!F$2:F$746,"DESLOCAMENTO VAZIO"),0)</f>
        <v>147</v>
      </c>
      <c r="S578" s="30">
        <f t="shared" si="61"/>
        <v>2.96</v>
      </c>
      <c r="T578" s="10">
        <f>IFERROR(SUMIFS('Base bordo'!H$2:H$746,'Base bordo'!C$2:C$746,A578,'Base bordo'!B$2:B$746,B578,'Base bordo'!F$2:F$746,"DESLOCAMENTO CARREGADO"),0)</f>
        <v>0</v>
      </c>
      <c r="U578" s="10">
        <f>IFERROR(SUMIFS('Base bordo'!I$2:I$746,'Base bordo'!C$2:C$746,A578,'Base bordo'!B$2:B$746,B578,'Base bordo'!F$2:F$746,"DESLOCAMENTO CARREGADO"),0)</f>
        <v>0</v>
      </c>
      <c r="V578" s="30" t="str">
        <f t="shared" si="62"/>
        <v/>
      </c>
      <c r="W578" s="9">
        <f t="shared" si="63"/>
        <v>9.7132284921369102E-3</v>
      </c>
      <c r="X578" s="9">
        <f t="shared" si="64"/>
        <v>0</v>
      </c>
      <c r="Y578" s="9">
        <f t="shared" si="65"/>
        <v>0.99028677150786304</v>
      </c>
    </row>
    <row r="579" spans="1:25" ht="15" customHeight="1" x14ac:dyDescent="0.35">
      <c r="A579" s="52">
        <v>8013465</v>
      </c>
      <c r="B579" s="51">
        <v>46116</v>
      </c>
      <c r="C579" s="7" t="s">
        <v>124</v>
      </c>
      <c r="D579" s="10">
        <f>IFERROR(SUMIFS('Base bordo'!G$2:G$746,'Base bordo'!C$2:C$746,A579,'Base bordo'!B$2:B$746,B579,'Base bordo'!F$2:F$746,"DESLOCAMENTO VAZIO"),0)</f>
        <v>4.0833333333333333E-2</v>
      </c>
      <c r="E579" s="10">
        <f>IFERROR(SUMIFS('Base bordo'!G$2:G$746,'Base bordo'!C$2:C$746,A579,'Base bordo'!B$2:B$746,B579,'Base bordo'!F$2:F$746,"DESLOCAMENTO CARREGADO"),0)</f>
        <v>0</v>
      </c>
      <c r="F579" s="10">
        <f>IFERROR(SUMIFS('Base bordo'!G$2:G$746,'Base bordo'!C$2:C$746,A579,'Base bordo'!B$2:B$746,B579,'Base bordo'!F$2:F$746,"DESLOCAMENTO"),0)</f>
        <v>1.1111111111111112E-2</v>
      </c>
      <c r="G579" s="10">
        <f>IFERROR(SUMIFS('Base bordo'!G$2:G$746,'Base bordo'!C$2:C$746,A579,'Base bordo'!B$2:B$746,B579,'Base bordo'!F$2:F$746,"CARREGAMENTO"),0)</f>
        <v>0</v>
      </c>
      <c r="H579" s="10">
        <f>IFERROR(SUMIFS('Base bordo'!G$2:G$746,'Base bordo'!C$2:C$746,A579,'Base bordo'!B$2:B$746,B579,'Base bordo'!F$2:F$746,"AGUARDANDO TRANSBORDO"),0)</f>
        <v>0</v>
      </c>
      <c r="I579" s="10">
        <f>IFERROR(SUMIFS('Base bordo'!G$2:G$746,'Base bordo'!C$2:C$746,A579,'Base bordo'!B$2:B$746,B579,'Base bordo'!F$2:F$746,"PÁTIO INTERNO"),0)+IFERROR(SUMIFS('Base bordo'!G$2:G$746,'Base bordo'!C$2:C$746,A579,'Base bordo'!B$2:B$746,B579,'Base bordo'!F$2:F$746,"PÁTIO EXTERNO"),0)+IFERROR(SUMIFS('Base bordo'!G$2:G$746,'Base bordo'!C$2:C$746,A579,'Base bordo'!B$2:B$746,B579,'Base bordo'!F$2:F$746,"PATIO - RESERVA"),0)+IFERROR(SUMIFS('Base bordo'!G$2:G$746,'Base bordo'!C$2:C$746,A579,'Base bordo'!B$2:B$746,B579,'Base bordo'!F$2:F$746,"MANOBRA CARRETAS-PATIO"),0)</f>
        <v>0</v>
      </c>
      <c r="J579" s="10">
        <f>IFERROR(SUMIFS('Base bordo'!G$2:G$746,'Base bordo'!C$2:C$746,A579,'Base bordo'!B$2:B$746,B579,'Base bordo'!F$2:F$746,"BALANÇA - ENTRADA"),0)+IFERROR(SUMIFS('Base bordo'!G$2:G$746,'Base bordo'!C$2:C$746,A579,'Base bordo'!B$2:B$746,B579,'Base bordo'!F$2:F$746,"BALANÇA - SAÍDA"),0)</f>
        <v>0</v>
      </c>
      <c r="K579" s="10">
        <f>IFERROR(SUMIFS('Base bordo'!G$2:G$746,'Base bordo'!C$2:C$746,A579,'Base bordo'!B$2:B$746,B579,'Base bordo'!F$2:F$746,"MAN PREVENTIVA - MECANICA"),0)+IFERROR(SUMIFS('Base bordo'!G$2:G$746,'Base bordo'!C$2:C$746,A579,'Base bordo'!B$2:B$746,B579,'Base bordo'!F$2:F$746,"MAN CORRETIVA - MECANICA"),0)</f>
        <v>0</v>
      </c>
      <c r="L579" s="10">
        <f>IFERROR(SUMIFS('Base bordo'!G$2:G$746,'Base bordo'!C$2:C$746,A579,'Base bordo'!B$2:B$746,B579,'Base bordo'!F$2:F$746,"MANUTENCAO - T O"),0)+IFERROR(SUMIFS('Base bordo'!G$2:G$746,'Base bordo'!C$2:C$746,A579,'Base bordo'!B$2:B$746,B579,'Base bordo'!F$2:F$746,"MANUTENCAO BORRACHARIA"),0)+IFERROR(SUMIFS('Base bordo'!G$2:G$746,'Base bordo'!C$2:C$746,A579,'Base bordo'!B$2:B$746,B579,'Base bordo'!F$2:F$746,"MANUTENCAO EXTERNA  CONCESSIONARIA"),0)+IFERROR(SUMIFS('Base bordo'!G$2:G$746,'Base bordo'!C$2:C$746,A579,'Base bordo'!B$2:B$746,B579,'Base bordo'!F$2:F$746,"MANUTENCAO TELEMETRIA"),0)</f>
        <v>4.1519444444444442</v>
      </c>
      <c r="M579" s="10">
        <f>IFERROR(SUMIFS('Base bordo'!G$2:G$746,'Base bordo'!C$2:C$746,A579,'Base bordo'!B$2:B$746,B579,'Base bordo'!F$2:F$746,"AGUARDANDO MANUTENCAO"),0)</f>
        <v>0</v>
      </c>
      <c r="N579" s="10">
        <f>IFERROR(SUMIFS('Base bordo'!G$2:G$746,'Base bordo'!C$2:C$746,A579,'Base bordo'!B$2:B$746,B579,'Base bordo'!F$2:F$746,"SEM APONTAMENTO"),0)</f>
        <v>0</v>
      </c>
      <c r="O579" s="10">
        <f t="shared" si="60"/>
        <v>0</v>
      </c>
      <c r="P579" s="10">
        <f>IFERROR(SUMIFS('Base bordo'!G$2:G$746,'Base bordo'!C$2:C$746,A579,'Base bordo'!B$2:B$746,B579),0)</f>
        <v>4.2038888888888888</v>
      </c>
      <c r="Q579" s="10">
        <f>IFERROR(SUMIFS('Base bordo'!H$2:H$746,'Base bordo'!C$2:C$746,A579,'Base bordo'!B$2:B$746,B579,'Base bordo'!F$2:F$746,"DESLOCAMENTO VAZIO"),0)</f>
        <v>435.12</v>
      </c>
      <c r="R579" s="10">
        <f>IFERROR(SUMIFS('Base bordo'!I$2:I$746,'Base bordo'!C$2:C$746,A579,'Base bordo'!B$2:B$746,B579,'Base bordo'!F$2:F$746,"DESLOCAMENTO VAZIO"),0)</f>
        <v>147</v>
      </c>
      <c r="S579" s="30">
        <f t="shared" si="61"/>
        <v>2.96</v>
      </c>
      <c r="T579" s="10">
        <f>IFERROR(SUMIFS('Base bordo'!H$2:H$746,'Base bordo'!C$2:C$746,A579,'Base bordo'!B$2:B$746,B579,'Base bordo'!F$2:F$746,"DESLOCAMENTO CARREGADO"),0)</f>
        <v>0</v>
      </c>
      <c r="U579" s="10">
        <f>IFERROR(SUMIFS('Base bordo'!I$2:I$746,'Base bordo'!C$2:C$746,A579,'Base bordo'!B$2:B$746,B579,'Base bordo'!F$2:F$746,"DESLOCAMENTO CARREGADO"),0)</f>
        <v>0</v>
      </c>
      <c r="V579" s="30" t="str">
        <f t="shared" si="62"/>
        <v/>
      </c>
      <c r="W579" s="9">
        <f t="shared" si="63"/>
        <v>9.7132284921369102E-3</v>
      </c>
      <c r="X579" s="9">
        <f t="shared" si="64"/>
        <v>0</v>
      </c>
      <c r="Y579" s="9">
        <f t="shared" si="65"/>
        <v>0.99028677150786304</v>
      </c>
    </row>
    <row r="580" spans="1:25" ht="15" customHeight="1" x14ac:dyDescent="0.35">
      <c r="A580" s="52">
        <v>8013468</v>
      </c>
      <c r="B580" s="51">
        <v>46116</v>
      </c>
      <c r="C580" s="7" t="s">
        <v>124</v>
      </c>
      <c r="D580" s="10">
        <f>IFERROR(SUMIFS('Base bordo'!G$2:G$746,'Base bordo'!C$2:C$746,A580,'Base bordo'!B$2:B$746,B580,'Base bordo'!F$2:F$746,"DESLOCAMENTO VAZIO"),0)</f>
        <v>0</v>
      </c>
      <c r="E580" s="10">
        <f>IFERROR(SUMIFS('Base bordo'!G$2:G$746,'Base bordo'!C$2:C$746,A580,'Base bordo'!B$2:B$746,B580,'Base bordo'!F$2:F$746,"DESLOCAMENTO CARREGADO"),0)</f>
        <v>0</v>
      </c>
      <c r="F580" s="10">
        <f>IFERROR(SUMIFS('Base bordo'!G$2:G$746,'Base bordo'!C$2:C$746,A580,'Base bordo'!B$2:B$746,B580,'Base bordo'!F$2:F$746,"DESLOCAMENTO"),0)</f>
        <v>3.4722222222222224E-2</v>
      </c>
      <c r="G580" s="10">
        <f>IFERROR(SUMIFS('Base bordo'!G$2:G$746,'Base bordo'!C$2:C$746,A580,'Base bordo'!B$2:B$746,B580,'Base bordo'!F$2:F$746,"CARREGAMENTO"),0)</f>
        <v>0</v>
      </c>
      <c r="H580" s="10">
        <f>IFERROR(SUMIFS('Base bordo'!G$2:G$746,'Base bordo'!C$2:C$746,A580,'Base bordo'!B$2:B$746,B580,'Base bordo'!F$2:F$746,"AGUARDANDO TRANSBORDO"),0)</f>
        <v>0</v>
      </c>
      <c r="I580" s="10">
        <f>IFERROR(SUMIFS('Base bordo'!G$2:G$746,'Base bordo'!C$2:C$746,A580,'Base bordo'!B$2:B$746,B580,'Base bordo'!F$2:F$746,"PÁTIO INTERNO"),0)+IFERROR(SUMIFS('Base bordo'!G$2:G$746,'Base bordo'!C$2:C$746,A580,'Base bordo'!B$2:B$746,B580,'Base bordo'!F$2:F$746,"PÁTIO EXTERNO"),0)+IFERROR(SUMIFS('Base bordo'!G$2:G$746,'Base bordo'!C$2:C$746,A580,'Base bordo'!B$2:B$746,B580,'Base bordo'!F$2:F$746,"PATIO - RESERVA"),0)+IFERROR(SUMIFS('Base bordo'!G$2:G$746,'Base bordo'!C$2:C$746,A580,'Base bordo'!B$2:B$746,B580,'Base bordo'!F$2:F$746,"MANOBRA CARRETAS-PATIO"),0)</f>
        <v>0</v>
      </c>
      <c r="J580" s="10">
        <f>IFERROR(SUMIFS('Base bordo'!G$2:G$746,'Base bordo'!C$2:C$746,A580,'Base bordo'!B$2:B$746,B580,'Base bordo'!F$2:F$746,"BALANÇA - ENTRADA"),0)+IFERROR(SUMIFS('Base bordo'!G$2:G$746,'Base bordo'!C$2:C$746,A580,'Base bordo'!B$2:B$746,B580,'Base bordo'!F$2:F$746,"BALANÇA - SAÍDA"),0)</f>
        <v>0</v>
      </c>
      <c r="K580" s="10">
        <f>IFERROR(SUMIFS('Base bordo'!G$2:G$746,'Base bordo'!C$2:C$746,A580,'Base bordo'!B$2:B$746,B580,'Base bordo'!F$2:F$746,"MAN PREVENTIVA - MECANICA"),0)+IFERROR(SUMIFS('Base bordo'!G$2:G$746,'Base bordo'!C$2:C$746,A580,'Base bordo'!B$2:B$746,B580,'Base bordo'!F$2:F$746,"MAN CORRETIVA - MECANICA"),0)</f>
        <v>0</v>
      </c>
      <c r="L580" s="10">
        <f>IFERROR(SUMIFS('Base bordo'!G$2:G$746,'Base bordo'!C$2:C$746,A580,'Base bordo'!B$2:B$746,B580,'Base bordo'!F$2:F$746,"MANUTENCAO - T O"),0)+IFERROR(SUMIFS('Base bordo'!G$2:G$746,'Base bordo'!C$2:C$746,A580,'Base bordo'!B$2:B$746,B580,'Base bordo'!F$2:F$746,"MANUTENCAO BORRACHARIA"),0)+IFERROR(SUMIFS('Base bordo'!G$2:G$746,'Base bordo'!C$2:C$746,A580,'Base bordo'!B$2:B$746,B580,'Base bordo'!F$2:F$746,"MANUTENCAO EXTERNA  CONCESSIONARIA"),0)+IFERROR(SUMIFS('Base bordo'!G$2:G$746,'Base bordo'!C$2:C$746,A580,'Base bordo'!B$2:B$746,B580,'Base bordo'!F$2:F$746,"MANUTENCAO TELEMETRIA"),0)</f>
        <v>0</v>
      </c>
      <c r="M580" s="10">
        <f>IFERROR(SUMIFS('Base bordo'!G$2:G$746,'Base bordo'!C$2:C$746,A580,'Base bordo'!B$2:B$746,B580,'Base bordo'!F$2:F$746,"AGUARDANDO MANUTENCAO"),0)</f>
        <v>0</v>
      </c>
      <c r="N580" s="10">
        <f>IFERROR(SUMIFS('Base bordo'!G$2:G$746,'Base bordo'!C$2:C$746,A580,'Base bordo'!B$2:B$746,B580,'Base bordo'!F$2:F$746,"SEM APONTAMENTO"),0)</f>
        <v>0</v>
      </c>
      <c r="O580" s="10">
        <f t="shared" si="60"/>
        <v>0</v>
      </c>
      <c r="P580" s="10">
        <f>IFERROR(SUMIFS('Base bordo'!G$2:G$746,'Base bordo'!C$2:C$746,A580,'Base bordo'!B$2:B$746,B580),0)</f>
        <v>3.4722222222222224E-2</v>
      </c>
      <c r="Q580" s="10">
        <f>IFERROR(SUMIFS('Base bordo'!H$2:H$746,'Base bordo'!C$2:C$746,A580,'Base bordo'!B$2:B$746,B580,'Base bordo'!F$2:F$746,"DESLOCAMENTO VAZIO"),0)</f>
        <v>0</v>
      </c>
      <c r="R580" s="10">
        <f>IFERROR(SUMIFS('Base bordo'!I$2:I$746,'Base bordo'!C$2:C$746,A580,'Base bordo'!B$2:B$746,B580,'Base bordo'!F$2:F$746,"DESLOCAMENTO VAZIO"),0)</f>
        <v>0</v>
      </c>
      <c r="S580" s="30" t="str">
        <f t="shared" si="61"/>
        <v/>
      </c>
      <c r="T580" s="10">
        <f>IFERROR(SUMIFS('Base bordo'!H$2:H$746,'Base bordo'!C$2:C$746,A580,'Base bordo'!B$2:B$746,B580,'Base bordo'!F$2:F$746,"DESLOCAMENTO CARREGADO"),0)</f>
        <v>0</v>
      </c>
      <c r="U580" s="10">
        <f>IFERROR(SUMIFS('Base bordo'!I$2:I$746,'Base bordo'!C$2:C$746,A580,'Base bordo'!B$2:B$746,B580,'Base bordo'!F$2:F$746,"DESLOCAMENTO CARREGADO"),0)</f>
        <v>0</v>
      </c>
      <c r="V580" s="30" t="str">
        <f t="shared" si="62"/>
        <v/>
      </c>
      <c r="W580" s="9">
        <f t="shared" si="63"/>
        <v>0</v>
      </c>
      <c r="X580" s="9">
        <f t="shared" si="64"/>
        <v>0</v>
      </c>
      <c r="Y580" s="9">
        <f t="shared" si="65"/>
        <v>1</v>
      </c>
    </row>
    <row r="581" spans="1:25" ht="15" customHeight="1" x14ac:dyDescent="0.35">
      <c r="A581" s="52">
        <v>8013470</v>
      </c>
      <c r="B581" s="51">
        <v>46116</v>
      </c>
      <c r="C581" s="7" t="s">
        <v>124</v>
      </c>
      <c r="D581" s="10">
        <f>IFERROR(SUMIFS('Base bordo'!G$2:G$746,'Base bordo'!C$2:C$746,A581,'Base bordo'!B$2:B$746,B581,'Base bordo'!F$2:F$746,"DESLOCAMENTO VAZIO"),0)</f>
        <v>0</v>
      </c>
      <c r="E581" s="10">
        <f>IFERROR(SUMIFS('Base bordo'!G$2:G$746,'Base bordo'!C$2:C$746,A581,'Base bordo'!B$2:B$746,B581,'Base bordo'!F$2:F$746,"DESLOCAMENTO CARREGADO"),0)</f>
        <v>0</v>
      </c>
      <c r="F581" s="10">
        <f>IFERROR(SUMIFS('Base bordo'!G$2:G$746,'Base bordo'!C$2:C$746,A581,'Base bordo'!B$2:B$746,B581,'Base bordo'!F$2:F$746,"DESLOCAMENTO"),0)</f>
        <v>0</v>
      </c>
      <c r="G581" s="10">
        <f>IFERROR(SUMIFS('Base bordo'!G$2:G$746,'Base bordo'!C$2:C$746,A581,'Base bordo'!B$2:B$746,B581,'Base bordo'!F$2:F$746,"CARREGAMENTO"),0)</f>
        <v>0</v>
      </c>
      <c r="H581" s="10">
        <f>IFERROR(SUMIFS('Base bordo'!G$2:G$746,'Base bordo'!C$2:C$746,A581,'Base bordo'!B$2:B$746,B581,'Base bordo'!F$2:F$746,"AGUARDANDO TRANSBORDO"),0)</f>
        <v>0</v>
      </c>
      <c r="I581" s="10">
        <f>IFERROR(SUMIFS('Base bordo'!G$2:G$746,'Base bordo'!C$2:C$746,A581,'Base bordo'!B$2:B$746,B581,'Base bordo'!F$2:F$746,"PÁTIO INTERNO"),0)+IFERROR(SUMIFS('Base bordo'!G$2:G$746,'Base bordo'!C$2:C$746,A581,'Base bordo'!B$2:B$746,B581,'Base bordo'!F$2:F$746,"PÁTIO EXTERNO"),0)+IFERROR(SUMIFS('Base bordo'!G$2:G$746,'Base bordo'!C$2:C$746,A581,'Base bordo'!B$2:B$746,B581,'Base bordo'!F$2:F$746,"PATIO - RESERVA"),0)+IFERROR(SUMIFS('Base bordo'!G$2:G$746,'Base bordo'!C$2:C$746,A581,'Base bordo'!B$2:B$746,B581,'Base bordo'!F$2:F$746,"MANOBRA CARRETAS-PATIO"),0)</f>
        <v>0</v>
      </c>
      <c r="J581" s="10">
        <f>IFERROR(SUMIFS('Base bordo'!G$2:G$746,'Base bordo'!C$2:C$746,A581,'Base bordo'!B$2:B$746,B581,'Base bordo'!F$2:F$746,"BALANÇA - ENTRADA"),0)+IFERROR(SUMIFS('Base bordo'!G$2:G$746,'Base bordo'!C$2:C$746,A581,'Base bordo'!B$2:B$746,B581,'Base bordo'!F$2:F$746,"BALANÇA - SAÍDA"),0)</f>
        <v>0</v>
      </c>
      <c r="K581" s="10">
        <f>IFERROR(SUMIFS('Base bordo'!G$2:G$746,'Base bordo'!C$2:C$746,A581,'Base bordo'!B$2:B$746,B581,'Base bordo'!F$2:F$746,"MAN PREVENTIVA - MECANICA"),0)+IFERROR(SUMIFS('Base bordo'!G$2:G$746,'Base bordo'!C$2:C$746,A581,'Base bordo'!B$2:B$746,B581,'Base bordo'!F$2:F$746,"MAN CORRETIVA - MECANICA"),0)</f>
        <v>0</v>
      </c>
      <c r="L581" s="10">
        <f>IFERROR(SUMIFS('Base bordo'!G$2:G$746,'Base bordo'!C$2:C$746,A581,'Base bordo'!B$2:B$746,B581,'Base bordo'!F$2:F$746,"MANUTENCAO - T O"),0)+IFERROR(SUMIFS('Base bordo'!G$2:G$746,'Base bordo'!C$2:C$746,A581,'Base bordo'!B$2:B$746,B581,'Base bordo'!F$2:F$746,"MANUTENCAO BORRACHARIA"),0)+IFERROR(SUMIFS('Base bordo'!G$2:G$746,'Base bordo'!C$2:C$746,A581,'Base bordo'!B$2:B$746,B581,'Base bordo'!F$2:F$746,"MANUTENCAO EXTERNA  CONCESSIONARIA"),0)+IFERROR(SUMIFS('Base bordo'!G$2:G$746,'Base bordo'!C$2:C$746,A581,'Base bordo'!B$2:B$746,B581,'Base bordo'!F$2:F$746,"MANUTENCAO TELEMETRIA"),0)</f>
        <v>6.6969444444444441</v>
      </c>
      <c r="M581" s="10">
        <f>IFERROR(SUMIFS('Base bordo'!G$2:G$746,'Base bordo'!C$2:C$746,A581,'Base bordo'!B$2:B$746,B581,'Base bordo'!F$2:F$746,"AGUARDANDO MANUTENCAO"),0)</f>
        <v>0</v>
      </c>
      <c r="N581" s="10">
        <f>IFERROR(SUMIFS('Base bordo'!G$2:G$746,'Base bordo'!C$2:C$746,A581,'Base bordo'!B$2:B$746,B581,'Base bordo'!F$2:F$746,"SEM APONTAMENTO"),0)</f>
        <v>0</v>
      </c>
      <c r="O581" s="10">
        <f t="shared" si="60"/>
        <v>0</v>
      </c>
      <c r="P581" s="10">
        <f>IFERROR(SUMIFS('Base bordo'!G$2:G$746,'Base bordo'!C$2:C$746,A581,'Base bordo'!B$2:B$746,B581),0)</f>
        <v>6.6969444444444441</v>
      </c>
      <c r="Q581" s="10">
        <f>IFERROR(SUMIFS('Base bordo'!H$2:H$746,'Base bordo'!C$2:C$746,A581,'Base bordo'!B$2:B$746,B581,'Base bordo'!F$2:F$746,"DESLOCAMENTO VAZIO"),0)</f>
        <v>0</v>
      </c>
      <c r="R581" s="10">
        <f>IFERROR(SUMIFS('Base bordo'!I$2:I$746,'Base bordo'!C$2:C$746,A581,'Base bordo'!B$2:B$746,B581,'Base bordo'!F$2:F$746,"DESLOCAMENTO VAZIO"),0)</f>
        <v>0</v>
      </c>
      <c r="S581" s="30" t="str">
        <f t="shared" si="61"/>
        <v/>
      </c>
      <c r="T581" s="10">
        <f>IFERROR(SUMIFS('Base bordo'!H$2:H$746,'Base bordo'!C$2:C$746,A581,'Base bordo'!B$2:B$746,B581,'Base bordo'!F$2:F$746,"DESLOCAMENTO CARREGADO"),0)</f>
        <v>0</v>
      </c>
      <c r="U581" s="10">
        <f>IFERROR(SUMIFS('Base bordo'!I$2:I$746,'Base bordo'!C$2:C$746,A581,'Base bordo'!B$2:B$746,B581,'Base bordo'!F$2:F$746,"DESLOCAMENTO CARREGADO"),0)</f>
        <v>0</v>
      </c>
      <c r="V581" s="30" t="str">
        <f t="shared" si="62"/>
        <v/>
      </c>
      <c r="W581" s="9">
        <f t="shared" si="63"/>
        <v>0</v>
      </c>
      <c r="X581" s="9">
        <f t="shared" si="64"/>
        <v>0</v>
      </c>
      <c r="Y581" s="9">
        <f t="shared" si="65"/>
        <v>1</v>
      </c>
    </row>
    <row r="582" spans="1:25" ht="15" customHeight="1" x14ac:dyDescent="0.35">
      <c r="A582" s="52">
        <v>8013474</v>
      </c>
      <c r="B582" s="51">
        <v>46116</v>
      </c>
      <c r="C582" s="7" t="s">
        <v>124</v>
      </c>
      <c r="D582" s="10">
        <f>IFERROR(SUMIFS('Base bordo'!G$2:G$746,'Base bordo'!C$2:C$746,A582,'Base bordo'!B$2:B$746,B582,'Base bordo'!F$2:F$746,"DESLOCAMENTO VAZIO"),0)</f>
        <v>0</v>
      </c>
      <c r="E582" s="10">
        <f>IFERROR(SUMIFS('Base bordo'!G$2:G$746,'Base bordo'!C$2:C$746,A582,'Base bordo'!B$2:B$746,B582,'Base bordo'!F$2:F$746,"DESLOCAMENTO CARREGADO"),0)</f>
        <v>0</v>
      </c>
      <c r="F582" s="10">
        <f>IFERROR(SUMIFS('Base bordo'!G$2:G$746,'Base bordo'!C$2:C$746,A582,'Base bordo'!B$2:B$746,B582,'Base bordo'!F$2:F$746,"DESLOCAMENTO"),0)</f>
        <v>0</v>
      </c>
      <c r="G582" s="10">
        <f>IFERROR(SUMIFS('Base bordo'!G$2:G$746,'Base bordo'!C$2:C$746,A582,'Base bordo'!B$2:B$746,B582,'Base bordo'!F$2:F$746,"CARREGAMENTO"),0)</f>
        <v>0</v>
      </c>
      <c r="H582" s="10">
        <f>IFERROR(SUMIFS('Base bordo'!G$2:G$746,'Base bordo'!C$2:C$746,A582,'Base bordo'!B$2:B$746,B582,'Base bordo'!F$2:F$746,"AGUARDANDO TRANSBORDO"),0)</f>
        <v>0</v>
      </c>
      <c r="I582" s="10">
        <f>IFERROR(SUMIFS('Base bordo'!G$2:G$746,'Base bordo'!C$2:C$746,A582,'Base bordo'!B$2:B$746,B582,'Base bordo'!F$2:F$746,"PÁTIO INTERNO"),0)+IFERROR(SUMIFS('Base bordo'!G$2:G$746,'Base bordo'!C$2:C$746,A582,'Base bordo'!B$2:B$746,B582,'Base bordo'!F$2:F$746,"PÁTIO EXTERNO"),0)+IFERROR(SUMIFS('Base bordo'!G$2:G$746,'Base bordo'!C$2:C$746,A582,'Base bordo'!B$2:B$746,B582,'Base bordo'!F$2:F$746,"PATIO - RESERVA"),0)+IFERROR(SUMIFS('Base bordo'!G$2:G$746,'Base bordo'!C$2:C$746,A582,'Base bordo'!B$2:B$746,B582,'Base bordo'!F$2:F$746,"MANOBRA CARRETAS-PATIO"),0)</f>
        <v>0</v>
      </c>
      <c r="J582" s="10">
        <f>IFERROR(SUMIFS('Base bordo'!G$2:G$746,'Base bordo'!C$2:C$746,A582,'Base bordo'!B$2:B$746,B582,'Base bordo'!F$2:F$746,"BALANÇA - ENTRADA"),0)+IFERROR(SUMIFS('Base bordo'!G$2:G$746,'Base bordo'!C$2:C$746,A582,'Base bordo'!B$2:B$746,B582,'Base bordo'!F$2:F$746,"BALANÇA - SAÍDA"),0)</f>
        <v>0</v>
      </c>
      <c r="K582" s="10">
        <f>IFERROR(SUMIFS('Base bordo'!G$2:G$746,'Base bordo'!C$2:C$746,A582,'Base bordo'!B$2:B$746,B582,'Base bordo'!F$2:F$746,"MAN PREVENTIVA - MECANICA"),0)+IFERROR(SUMIFS('Base bordo'!G$2:G$746,'Base bordo'!C$2:C$746,A582,'Base bordo'!B$2:B$746,B582,'Base bordo'!F$2:F$746,"MAN CORRETIVA - MECANICA"),0)</f>
        <v>0</v>
      </c>
      <c r="L582" s="10">
        <f>IFERROR(SUMIFS('Base bordo'!G$2:G$746,'Base bordo'!C$2:C$746,A582,'Base bordo'!B$2:B$746,B582,'Base bordo'!F$2:F$746,"MANUTENCAO - T O"),0)+IFERROR(SUMIFS('Base bordo'!G$2:G$746,'Base bordo'!C$2:C$746,A582,'Base bordo'!B$2:B$746,B582,'Base bordo'!F$2:F$746,"MANUTENCAO BORRACHARIA"),0)+IFERROR(SUMIFS('Base bordo'!G$2:G$746,'Base bordo'!C$2:C$746,A582,'Base bordo'!B$2:B$746,B582,'Base bordo'!F$2:F$746,"MANUTENCAO EXTERNA  CONCESSIONARIA"),0)+IFERROR(SUMIFS('Base bordo'!G$2:G$746,'Base bordo'!C$2:C$746,A582,'Base bordo'!B$2:B$746,B582,'Base bordo'!F$2:F$746,"MANUTENCAO TELEMETRIA"),0)</f>
        <v>0.80694444444444446</v>
      </c>
      <c r="M582" s="10">
        <f>IFERROR(SUMIFS('Base bordo'!G$2:G$746,'Base bordo'!C$2:C$746,A582,'Base bordo'!B$2:B$746,B582,'Base bordo'!F$2:F$746,"AGUARDANDO MANUTENCAO"),0)</f>
        <v>0</v>
      </c>
      <c r="N582" s="10">
        <f>IFERROR(SUMIFS('Base bordo'!G$2:G$746,'Base bordo'!C$2:C$746,A582,'Base bordo'!B$2:B$746,B582,'Base bordo'!F$2:F$746,"SEM APONTAMENTO"),0)</f>
        <v>0</v>
      </c>
      <c r="O582" s="10">
        <f t="shared" si="60"/>
        <v>0</v>
      </c>
      <c r="P582" s="10">
        <f>IFERROR(SUMIFS('Base bordo'!G$2:G$746,'Base bordo'!C$2:C$746,A582,'Base bordo'!B$2:B$746,B582),0)</f>
        <v>0.80694444444444446</v>
      </c>
      <c r="Q582" s="10">
        <f>IFERROR(SUMIFS('Base bordo'!H$2:H$746,'Base bordo'!C$2:C$746,A582,'Base bordo'!B$2:B$746,B582,'Base bordo'!F$2:F$746,"DESLOCAMENTO VAZIO"),0)</f>
        <v>0</v>
      </c>
      <c r="R582" s="10">
        <f>IFERROR(SUMIFS('Base bordo'!I$2:I$746,'Base bordo'!C$2:C$746,A582,'Base bordo'!B$2:B$746,B582,'Base bordo'!F$2:F$746,"DESLOCAMENTO VAZIO"),0)</f>
        <v>0</v>
      </c>
      <c r="S582" s="30" t="str">
        <f t="shared" si="61"/>
        <v/>
      </c>
      <c r="T582" s="10">
        <f>IFERROR(SUMIFS('Base bordo'!H$2:H$746,'Base bordo'!C$2:C$746,A582,'Base bordo'!B$2:B$746,B582,'Base bordo'!F$2:F$746,"DESLOCAMENTO CARREGADO"),0)</f>
        <v>0</v>
      </c>
      <c r="U582" s="10">
        <f>IFERROR(SUMIFS('Base bordo'!I$2:I$746,'Base bordo'!C$2:C$746,A582,'Base bordo'!B$2:B$746,B582,'Base bordo'!F$2:F$746,"DESLOCAMENTO CARREGADO"),0)</f>
        <v>0</v>
      </c>
      <c r="V582" s="30" t="str">
        <f t="shared" si="62"/>
        <v/>
      </c>
      <c r="W582" s="9">
        <f t="shared" si="63"/>
        <v>0</v>
      </c>
      <c r="X582" s="9">
        <f t="shared" si="64"/>
        <v>0</v>
      </c>
      <c r="Y582" s="9">
        <f t="shared" si="65"/>
        <v>1</v>
      </c>
    </row>
    <row r="583" spans="1:25" ht="15" customHeight="1" x14ac:dyDescent="0.35">
      <c r="A583" s="52">
        <v>8013475</v>
      </c>
      <c r="B583" s="51">
        <v>46116</v>
      </c>
      <c r="C583" s="7" t="s">
        <v>124</v>
      </c>
      <c r="D583" s="10">
        <f>IFERROR(SUMIFS('Base bordo'!G$2:G$746,'Base bordo'!C$2:C$746,A583,'Base bordo'!B$2:B$746,B583,'Base bordo'!F$2:F$746,"DESLOCAMENTO VAZIO"),0)</f>
        <v>0</v>
      </c>
      <c r="E583" s="10">
        <f>IFERROR(SUMIFS('Base bordo'!G$2:G$746,'Base bordo'!C$2:C$746,A583,'Base bordo'!B$2:B$746,B583,'Base bordo'!F$2:F$746,"DESLOCAMENTO CARREGADO"),0)</f>
        <v>0</v>
      </c>
      <c r="F583" s="10">
        <f>IFERROR(SUMIFS('Base bordo'!G$2:G$746,'Base bordo'!C$2:C$746,A583,'Base bordo'!B$2:B$746,B583,'Base bordo'!F$2:F$746,"DESLOCAMENTO"),0)</f>
        <v>0</v>
      </c>
      <c r="G583" s="10">
        <f>IFERROR(SUMIFS('Base bordo'!G$2:G$746,'Base bordo'!C$2:C$746,A583,'Base bordo'!B$2:B$746,B583,'Base bordo'!F$2:F$746,"CARREGAMENTO"),0)</f>
        <v>0</v>
      </c>
      <c r="H583" s="10">
        <f>IFERROR(SUMIFS('Base bordo'!G$2:G$746,'Base bordo'!C$2:C$746,A583,'Base bordo'!B$2:B$746,B583,'Base bordo'!F$2:F$746,"AGUARDANDO TRANSBORDO"),0)</f>
        <v>0</v>
      </c>
      <c r="I583" s="10">
        <f>IFERROR(SUMIFS('Base bordo'!G$2:G$746,'Base bordo'!C$2:C$746,A583,'Base bordo'!B$2:B$746,B583,'Base bordo'!F$2:F$746,"PÁTIO INTERNO"),0)+IFERROR(SUMIFS('Base bordo'!G$2:G$746,'Base bordo'!C$2:C$746,A583,'Base bordo'!B$2:B$746,B583,'Base bordo'!F$2:F$746,"PÁTIO EXTERNO"),0)+IFERROR(SUMIFS('Base bordo'!G$2:G$746,'Base bordo'!C$2:C$746,A583,'Base bordo'!B$2:B$746,B583,'Base bordo'!F$2:F$746,"PATIO - RESERVA"),0)+IFERROR(SUMIFS('Base bordo'!G$2:G$746,'Base bordo'!C$2:C$746,A583,'Base bordo'!B$2:B$746,B583,'Base bordo'!F$2:F$746,"MANOBRA CARRETAS-PATIO"),0)</f>
        <v>0</v>
      </c>
      <c r="J583" s="10">
        <f>IFERROR(SUMIFS('Base bordo'!G$2:G$746,'Base bordo'!C$2:C$746,A583,'Base bordo'!B$2:B$746,B583,'Base bordo'!F$2:F$746,"BALANÇA - ENTRADA"),0)+IFERROR(SUMIFS('Base bordo'!G$2:G$746,'Base bordo'!C$2:C$746,A583,'Base bordo'!B$2:B$746,B583,'Base bordo'!F$2:F$746,"BALANÇA - SAÍDA"),0)</f>
        <v>0</v>
      </c>
      <c r="K583" s="10">
        <f>IFERROR(SUMIFS('Base bordo'!G$2:G$746,'Base bordo'!C$2:C$746,A583,'Base bordo'!B$2:B$746,B583,'Base bordo'!F$2:F$746,"MAN PREVENTIVA - MECANICA"),0)+IFERROR(SUMIFS('Base bordo'!G$2:G$746,'Base bordo'!C$2:C$746,A583,'Base bordo'!B$2:B$746,B583,'Base bordo'!F$2:F$746,"MAN CORRETIVA - MECANICA"),0)</f>
        <v>0</v>
      </c>
      <c r="L583" s="10">
        <f>IFERROR(SUMIFS('Base bordo'!G$2:G$746,'Base bordo'!C$2:C$746,A583,'Base bordo'!B$2:B$746,B583,'Base bordo'!F$2:F$746,"MANUTENCAO - T O"),0)+IFERROR(SUMIFS('Base bordo'!G$2:G$746,'Base bordo'!C$2:C$746,A583,'Base bordo'!B$2:B$746,B583,'Base bordo'!F$2:F$746,"MANUTENCAO BORRACHARIA"),0)+IFERROR(SUMIFS('Base bordo'!G$2:G$746,'Base bordo'!C$2:C$746,A583,'Base bordo'!B$2:B$746,B583,'Base bordo'!F$2:F$746,"MANUTENCAO EXTERNA  CONCESSIONARIA"),0)+IFERROR(SUMIFS('Base bordo'!G$2:G$746,'Base bordo'!C$2:C$746,A583,'Base bordo'!B$2:B$746,B583,'Base bordo'!F$2:F$746,"MANUTENCAO TELEMETRIA"),0)</f>
        <v>1.8027777777777778</v>
      </c>
      <c r="M583" s="10">
        <f>IFERROR(SUMIFS('Base bordo'!G$2:G$746,'Base bordo'!C$2:C$746,A583,'Base bordo'!B$2:B$746,B583,'Base bordo'!F$2:F$746,"AGUARDANDO MANUTENCAO"),0)</f>
        <v>0</v>
      </c>
      <c r="N583" s="10">
        <f>IFERROR(SUMIFS('Base bordo'!G$2:G$746,'Base bordo'!C$2:C$746,A583,'Base bordo'!B$2:B$746,B583,'Base bordo'!F$2:F$746,"SEM APONTAMENTO"),0)</f>
        <v>0</v>
      </c>
      <c r="O583" s="10">
        <f t="shared" si="60"/>
        <v>0</v>
      </c>
      <c r="P583" s="10">
        <f>IFERROR(SUMIFS('Base bordo'!G$2:G$746,'Base bordo'!C$2:C$746,A583,'Base bordo'!B$2:B$746,B583),0)</f>
        <v>1.8027777777777778</v>
      </c>
      <c r="Q583" s="10">
        <f>IFERROR(SUMIFS('Base bordo'!H$2:H$746,'Base bordo'!C$2:C$746,A583,'Base bordo'!B$2:B$746,B583,'Base bordo'!F$2:F$746,"DESLOCAMENTO VAZIO"),0)</f>
        <v>0</v>
      </c>
      <c r="R583" s="10">
        <f>IFERROR(SUMIFS('Base bordo'!I$2:I$746,'Base bordo'!C$2:C$746,A583,'Base bordo'!B$2:B$746,B583,'Base bordo'!F$2:F$746,"DESLOCAMENTO VAZIO"),0)</f>
        <v>0</v>
      </c>
      <c r="S583" s="30" t="str">
        <f t="shared" si="61"/>
        <v/>
      </c>
      <c r="T583" s="10">
        <f>IFERROR(SUMIFS('Base bordo'!H$2:H$746,'Base bordo'!C$2:C$746,A583,'Base bordo'!B$2:B$746,B583,'Base bordo'!F$2:F$746,"DESLOCAMENTO CARREGADO"),0)</f>
        <v>0</v>
      </c>
      <c r="U583" s="10">
        <f>IFERROR(SUMIFS('Base bordo'!I$2:I$746,'Base bordo'!C$2:C$746,A583,'Base bordo'!B$2:B$746,B583,'Base bordo'!F$2:F$746,"DESLOCAMENTO CARREGADO"),0)</f>
        <v>0</v>
      </c>
      <c r="V583" s="30" t="str">
        <f t="shared" si="62"/>
        <v/>
      </c>
      <c r="W583" s="9">
        <f t="shared" si="63"/>
        <v>0</v>
      </c>
      <c r="X583" s="9">
        <f t="shared" si="64"/>
        <v>0</v>
      </c>
      <c r="Y583" s="9">
        <f t="shared" si="65"/>
        <v>1</v>
      </c>
    </row>
    <row r="584" spans="1:25" ht="15" customHeight="1" x14ac:dyDescent="0.35">
      <c r="A584" s="52">
        <v>8013482</v>
      </c>
      <c r="B584" s="51">
        <v>46116</v>
      </c>
      <c r="C584" s="7" t="s">
        <v>124</v>
      </c>
      <c r="D584" s="10">
        <f>IFERROR(SUMIFS('Base bordo'!G$2:G$746,'Base bordo'!C$2:C$746,A584,'Base bordo'!B$2:B$746,B584,'Base bordo'!F$2:F$746,"DESLOCAMENTO VAZIO"),0)</f>
        <v>0</v>
      </c>
      <c r="E584" s="10">
        <f>IFERROR(SUMIFS('Base bordo'!G$2:G$746,'Base bordo'!C$2:C$746,A584,'Base bordo'!B$2:B$746,B584,'Base bordo'!F$2:F$746,"DESLOCAMENTO CARREGADO"),0)</f>
        <v>0</v>
      </c>
      <c r="F584" s="10">
        <f>IFERROR(SUMIFS('Base bordo'!G$2:G$746,'Base bordo'!C$2:C$746,A584,'Base bordo'!B$2:B$746,B584,'Base bordo'!F$2:F$746,"DESLOCAMENTO"),0)</f>
        <v>0</v>
      </c>
      <c r="G584" s="10">
        <f>IFERROR(SUMIFS('Base bordo'!G$2:G$746,'Base bordo'!C$2:C$746,A584,'Base bordo'!B$2:B$746,B584,'Base bordo'!F$2:F$746,"CARREGAMENTO"),0)</f>
        <v>0</v>
      </c>
      <c r="H584" s="10">
        <f>IFERROR(SUMIFS('Base bordo'!G$2:G$746,'Base bordo'!C$2:C$746,A584,'Base bordo'!B$2:B$746,B584,'Base bordo'!F$2:F$746,"AGUARDANDO TRANSBORDO"),0)</f>
        <v>0</v>
      </c>
      <c r="I584" s="10">
        <f>IFERROR(SUMIFS('Base bordo'!G$2:G$746,'Base bordo'!C$2:C$746,A584,'Base bordo'!B$2:B$746,B584,'Base bordo'!F$2:F$746,"PÁTIO INTERNO"),0)+IFERROR(SUMIFS('Base bordo'!G$2:G$746,'Base bordo'!C$2:C$746,A584,'Base bordo'!B$2:B$746,B584,'Base bordo'!F$2:F$746,"PÁTIO EXTERNO"),0)+IFERROR(SUMIFS('Base bordo'!G$2:G$746,'Base bordo'!C$2:C$746,A584,'Base bordo'!B$2:B$746,B584,'Base bordo'!F$2:F$746,"PATIO - RESERVA"),0)+IFERROR(SUMIFS('Base bordo'!G$2:G$746,'Base bordo'!C$2:C$746,A584,'Base bordo'!B$2:B$746,B584,'Base bordo'!F$2:F$746,"MANOBRA CARRETAS-PATIO"),0)</f>
        <v>0</v>
      </c>
      <c r="J584" s="10">
        <f>IFERROR(SUMIFS('Base bordo'!G$2:G$746,'Base bordo'!C$2:C$746,A584,'Base bordo'!B$2:B$746,B584,'Base bordo'!F$2:F$746,"BALANÇA - ENTRADA"),0)+IFERROR(SUMIFS('Base bordo'!G$2:G$746,'Base bordo'!C$2:C$746,A584,'Base bordo'!B$2:B$746,B584,'Base bordo'!F$2:F$746,"BALANÇA - SAÍDA"),0)</f>
        <v>0</v>
      </c>
      <c r="K584" s="10">
        <f>IFERROR(SUMIFS('Base bordo'!G$2:G$746,'Base bordo'!C$2:C$746,A584,'Base bordo'!B$2:B$746,B584,'Base bordo'!F$2:F$746,"MAN PREVENTIVA - MECANICA"),0)+IFERROR(SUMIFS('Base bordo'!G$2:G$746,'Base bordo'!C$2:C$746,A584,'Base bordo'!B$2:B$746,B584,'Base bordo'!F$2:F$746,"MAN CORRETIVA - MECANICA"),0)</f>
        <v>0</v>
      </c>
      <c r="L584" s="10">
        <f>IFERROR(SUMIFS('Base bordo'!G$2:G$746,'Base bordo'!C$2:C$746,A584,'Base bordo'!B$2:B$746,B584,'Base bordo'!F$2:F$746,"MANUTENCAO - T O"),0)+IFERROR(SUMIFS('Base bordo'!G$2:G$746,'Base bordo'!C$2:C$746,A584,'Base bordo'!B$2:B$746,B584,'Base bordo'!F$2:F$746,"MANUTENCAO BORRACHARIA"),0)+IFERROR(SUMIFS('Base bordo'!G$2:G$746,'Base bordo'!C$2:C$746,A584,'Base bordo'!B$2:B$746,B584,'Base bordo'!F$2:F$746,"MANUTENCAO EXTERNA  CONCESSIONARIA"),0)+IFERROR(SUMIFS('Base bordo'!G$2:G$746,'Base bordo'!C$2:C$746,A584,'Base bordo'!B$2:B$746,B584,'Base bordo'!F$2:F$746,"MANUTENCAO TELEMETRIA"),0)</f>
        <v>9.2813888888888894</v>
      </c>
      <c r="M584" s="10">
        <f>IFERROR(SUMIFS('Base bordo'!G$2:G$746,'Base bordo'!C$2:C$746,A584,'Base bordo'!B$2:B$746,B584,'Base bordo'!F$2:F$746,"AGUARDANDO MANUTENCAO"),0)</f>
        <v>0</v>
      </c>
      <c r="N584" s="10">
        <f>IFERROR(SUMIFS('Base bordo'!G$2:G$746,'Base bordo'!C$2:C$746,A584,'Base bordo'!B$2:B$746,B584,'Base bordo'!F$2:F$746,"SEM APONTAMENTO"),0)</f>
        <v>0</v>
      </c>
      <c r="O584" s="10">
        <f t="shared" si="60"/>
        <v>0</v>
      </c>
      <c r="P584" s="10">
        <f>IFERROR(SUMIFS('Base bordo'!G$2:G$746,'Base bordo'!C$2:C$746,A584,'Base bordo'!B$2:B$746,B584),0)</f>
        <v>9.2813888888888894</v>
      </c>
      <c r="Q584" s="10">
        <f>IFERROR(SUMIFS('Base bordo'!H$2:H$746,'Base bordo'!C$2:C$746,A584,'Base bordo'!B$2:B$746,B584,'Base bordo'!F$2:F$746,"DESLOCAMENTO VAZIO"),0)</f>
        <v>0</v>
      </c>
      <c r="R584" s="10">
        <f>IFERROR(SUMIFS('Base bordo'!I$2:I$746,'Base bordo'!C$2:C$746,A584,'Base bordo'!B$2:B$746,B584,'Base bordo'!F$2:F$746,"DESLOCAMENTO VAZIO"),0)</f>
        <v>0</v>
      </c>
      <c r="S584" s="30" t="str">
        <f t="shared" si="61"/>
        <v/>
      </c>
      <c r="T584" s="10">
        <f>IFERROR(SUMIFS('Base bordo'!H$2:H$746,'Base bordo'!C$2:C$746,A584,'Base bordo'!B$2:B$746,B584,'Base bordo'!F$2:F$746,"DESLOCAMENTO CARREGADO"),0)</f>
        <v>0</v>
      </c>
      <c r="U584" s="10">
        <f>IFERROR(SUMIFS('Base bordo'!I$2:I$746,'Base bordo'!C$2:C$746,A584,'Base bordo'!B$2:B$746,B584,'Base bordo'!F$2:F$746,"DESLOCAMENTO CARREGADO"),0)</f>
        <v>0</v>
      </c>
      <c r="V584" s="30" t="str">
        <f t="shared" si="62"/>
        <v/>
      </c>
      <c r="W584" s="9">
        <f t="shared" si="63"/>
        <v>0</v>
      </c>
      <c r="X584" s="9">
        <f t="shared" si="64"/>
        <v>0</v>
      </c>
      <c r="Y584" s="9">
        <f t="shared" si="65"/>
        <v>1</v>
      </c>
    </row>
    <row r="585" spans="1:25" ht="15" customHeight="1" x14ac:dyDescent="0.35">
      <c r="A585" s="52">
        <v>8013483</v>
      </c>
      <c r="B585" s="51">
        <v>46116</v>
      </c>
      <c r="C585" s="7" t="s">
        <v>124</v>
      </c>
      <c r="D585" s="10">
        <f>IFERROR(SUMIFS('Base bordo'!G$2:G$746,'Base bordo'!C$2:C$746,A585,'Base bordo'!B$2:B$746,B585,'Base bordo'!F$2:F$746,"DESLOCAMENTO VAZIO"),0)</f>
        <v>0</v>
      </c>
      <c r="E585" s="10">
        <f>IFERROR(SUMIFS('Base bordo'!G$2:G$746,'Base bordo'!C$2:C$746,A585,'Base bordo'!B$2:B$746,B585,'Base bordo'!F$2:F$746,"DESLOCAMENTO CARREGADO"),0)</f>
        <v>0</v>
      </c>
      <c r="F585" s="10">
        <f>IFERROR(SUMIFS('Base bordo'!G$2:G$746,'Base bordo'!C$2:C$746,A585,'Base bordo'!B$2:B$746,B585,'Base bordo'!F$2:F$746,"DESLOCAMENTO"),0)</f>
        <v>0</v>
      </c>
      <c r="G585" s="10">
        <f>IFERROR(SUMIFS('Base bordo'!G$2:G$746,'Base bordo'!C$2:C$746,A585,'Base bordo'!B$2:B$746,B585,'Base bordo'!F$2:F$746,"CARREGAMENTO"),0)</f>
        <v>0</v>
      </c>
      <c r="H585" s="10">
        <f>IFERROR(SUMIFS('Base bordo'!G$2:G$746,'Base bordo'!C$2:C$746,A585,'Base bordo'!B$2:B$746,B585,'Base bordo'!F$2:F$746,"AGUARDANDO TRANSBORDO"),0)</f>
        <v>0</v>
      </c>
      <c r="I585" s="10">
        <f>IFERROR(SUMIFS('Base bordo'!G$2:G$746,'Base bordo'!C$2:C$746,A585,'Base bordo'!B$2:B$746,B585,'Base bordo'!F$2:F$746,"PÁTIO INTERNO"),0)+IFERROR(SUMIFS('Base bordo'!G$2:G$746,'Base bordo'!C$2:C$746,A585,'Base bordo'!B$2:B$746,B585,'Base bordo'!F$2:F$746,"PÁTIO EXTERNO"),0)+IFERROR(SUMIFS('Base bordo'!G$2:G$746,'Base bordo'!C$2:C$746,A585,'Base bordo'!B$2:B$746,B585,'Base bordo'!F$2:F$746,"PATIO - RESERVA"),0)+IFERROR(SUMIFS('Base bordo'!G$2:G$746,'Base bordo'!C$2:C$746,A585,'Base bordo'!B$2:B$746,B585,'Base bordo'!F$2:F$746,"MANOBRA CARRETAS-PATIO"),0)</f>
        <v>0</v>
      </c>
      <c r="J585" s="10">
        <f>IFERROR(SUMIFS('Base bordo'!G$2:G$746,'Base bordo'!C$2:C$746,A585,'Base bordo'!B$2:B$746,B585,'Base bordo'!F$2:F$746,"BALANÇA - ENTRADA"),0)+IFERROR(SUMIFS('Base bordo'!G$2:G$746,'Base bordo'!C$2:C$746,A585,'Base bordo'!B$2:B$746,B585,'Base bordo'!F$2:F$746,"BALANÇA - SAÍDA"),0)</f>
        <v>0</v>
      </c>
      <c r="K585" s="10">
        <f>IFERROR(SUMIFS('Base bordo'!G$2:G$746,'Base bordo'!C$2:C$746,A585,'Base bordo'!B$2:B$746,B585,'Base bordo'!F$2:F$746,"MAN PREVENTIVA - MECANICA"),0)+IFERROR(SUMIFS('Base bordo'!G$2:G$746,'Base bordo'!C$2:C$746,A585,'Base bordo'!B$2:B$746,B585,'Base bordo'!F$2:F$746,"MAN CORRETIVA - MECANICA"),0)</f>
        <v>0</v>
      </c>
      <c r="L585" s="10">
        <f>IFERROR(SUMIFS('Base bordo'!G$2:G$746,'Base bordo'!C$2:C$746,A585,'Base bordo'!B$2:B$746,B585,'Base bordo'!F$2:F$746,"MANUTENCAO - T O"),0)+IFERROR(SUMIFS('Base bordo'!G$2:G$746,'Base bordo'!C$2:C$746,A585,'Base bordo'!B$2:B$746,B585,'Base bordo'!F$2:F$746,"MANUTENCAO BORRACHARIA"),0)+IFERROR(SUMIFS('Base bordo'!G$2:G$746,'Base bordo'!C$2:C$746,A585,'Base bordo'!B$2:B$746,B585,'Base bordo'!F$2:F$746,"MANUTENCAO EXTERNA  CONCESSIONARIA"),0)+IFERROR(SUMIFS('Base bordo'!G$2:G$746,'Base bordo'!C$2:C$746,A585,'Base bordo'!B$2:B$746,B585,'Base bordo'!F$2:F$746,"MANUTENCAO TELEMETRIA"),0)</f>
        <v>2.0166666666666666</v>
      </c>
      <c r="M585" s="10">
        <f>IFERROR(SUMIFS('Base bordo'!G$2:G$746,'Base bordo'!C$2:C$746,A585,'Base bordo'!B$2:B$746,B585,'Base bordo'!F$2:F$746,"AGUARDANDO MANUTENCAO"),0)</f>
        <v>0</v>
      </c>
      <c r="N585" s="10">
        <f>IFERROR(SUMIFS('Base bordo'!G$2:G$746,'Base bordo'!C$2:C$746,A585,'Base bordo'!B$2:B$746,B585,'Base bordo'!F$2:F$746,"SEM APONTAMENTO"),0)</f>
        <v>0</v>
      </c>
      <c r="O585" s="10">
        <f t="shared" si="60"/>
        <v>0</v>
      </c>
      <c r="P585" s="10">
        <f>IFERROR(SUMIFS('Base bordo'!G$2:G$746,'Base bordo'!C$2:C$746,A585,'Base bordo'!B$2:B$746,B585),0)</f>
        <v>2.0166666666666666</v>
      </c>
      <c r="Q585" s="10">
        <f>IFERROR(SUMIFS('Base bordo'!H$2:H$746,'Base bordo'!C$2:C$746,A585,'Base bordo'!B$2:B$746,B585,'Base bordo'!F$2:F$746,"DESLOCAMENTO VAZIO"),0)</f>
        <v>0</v>
      </c>
      <c r="R585" s="10">
        <f>IFERROR(SUMIFS('Base bordo'!I$2:I$746,'Base bordo'!C$2:C$746,A585,'Base bordo'!B$2:B$746,B585,'Base bordo'!F$2:F$746,"DESLOCAMENTO VAZIO"),0)</f>
        <v>0</v>
      </c>
      <c r="S585" s="30" t="str">
        <f t="shared" si="61"/>
        <v/>
      </c>
      <c r="T585" s="10">
        <f>IFERROR(SUMIFS('Base bordo'!H$2:H$746,'Base bordo'!C$2:C$746,A585,'Base bordo'!B$2:B$746,B585,'Base bordo'!F$2:F$746,"DESLOCAMENTO CARREGADO"),0)</f>
        <v>0</v>
      </c>
      <c r="U585" s="10">
        <f>IFERROR(SUMIFS('Base bordo'!I$2:I$746,'Base bordo'!C$2:C$746,A585,'Base bordo'!B$2:B$746,B585,'Base bordo'!F$2:F$746,"DESLOCAMENTO CARREGADO"),0)</f>
        <v>0</v>
      </c>
      <c r="V585" s="30" t="str">
        <f t="shared" si="62"/>
        <v/>
      </c>
      <c r="W585" s="9">
        <f t="shared" si="63"/>
        <v>0</v>
      </c>
      <c r="X585" s="9">
        <f t="shared" si="64"/>
        <v>0</v>
      </c>
      <c r="Y585" s="9">
        <f t="shared" si="65"/>
        <v>1</v>
      </c>
    </row>
    <row r="586" spans="1:25" ht="15" customHeight="1" x14ac:dyDescent="0.35">
      <c r="A586" s="52">
        <v>8013484</v>
      </c>
      <c r="B586" s="51">
        <v>46116</v>
      </c>
      <c r="C586" s="7" t="s">
        <v>124</v>
      </c>
      <c r="D586" s="10">
        <f>IFERROR(SUMIFS('Base bordo'!G$2:G$746,'Base bordo'!C$2:C$746,A586,'Base bordo'!B$2:B$746,B586,'Base bordo'!F$2:F$746,"DESLOCAMENTO VAZIO"),0)</f>
        <v>0</v>
      </c>
      <c r="E586" s="10">
        <f>IFERROR(SUMIFS('Base bordo'!G$2:G$746,'Base bordo'!C$2:C$746,A586,'Base bordo'!B$2:B$746,B586,'Base bordo'!F$2:F$746,"DESLOCAMENTO CARREGADO"),0)</f>
        <v>0</v>
      </c>
      <c r="F586" s="10">
        <f>IFERROR(SUMIFS('Base bordo'!G$2:G$746,'Base bordo'!C$2:C$746,A586,'Base bordo'!B$2:B$746,B586,'Base bordo'!F$2:F$746,"DESLOCAMENTO"),0)</f>
        <v>0</v>
      </c>
      <c r="G586" s="10">
        <f>IFERROR(SUMIFS('Base bordo'!G$2:G$746,'Base bordo'!C$2:C$746,A586,'Base bordo'!B$2:B$746,B586,'Base bordo'!F$2:F$746,"CARREGAMENTO"),0)</f>
        <v>0</v>
      </c>
      <c r="H586" s="10">
        <f>IFERROR(SUMIFS('Base bordo'!G$2:G$746,'Base bordo'!C$2:C$746,A586,'Base bordo'!B$2:B$746,B586,'Base bordo'!F$2:F$746,"AGUARDANDO TRANSBORDO"),0)</f>
        <v>0</v>
      </c>
      <c r="I586" s="10">
        <f>IFERROR(SUMIFS('Base bordo'!G$2:G$746,'Base bordo'!C$2:C$746,A586,'Base bordo'!B$2:B$746,B586,'Base bordo'!F$2:F$746,"PÁTIO INTERNO"),0)+IFERROR(SUMIFS('Base bordo'!G$2:G$746,'Base bordo'!C$2:C$746,A586,'Base bordo'!B$2:B$746,B586,'Base bordo'!F$2:F$746,"PÁTIO EXTERNO"),0)+IFERROR(SUMIFS('Base bordo'!G$2:G$746,'Base bordo'!C$2:C$746,A586,'Base bordo'!B$2:B$746,B586,'Base bordo'!F$2:F$746,"PATIO - RESERVA"),0)+IFERROR(SUMIFS('Base bordo'!G$2:G$746,'Base bordo'!C$2:C$746,A586,'Base bordo'!B$2:B$746,B586,'Base bordo'!F$2:F$746,"MANOBRA CARRETAS-PATIO"),0)</f>
        <v>0</v>
      </c>
      <c r="J586" s="10">
        <f>IFERROR(SUMIFS('Base bordo'!G$2:G$746,'Base bordo'!C$2:C$746,A586,'Base bordo'!B$2:B$746,B586,'Base bordo'!F$2:F$746,"BALANÇA - ENTRADA"),0)+IFERROR(SUMIFS('Base bordo'!G$2:G$746,'Base bordo'!C$2:C$746,A586,'Base bordo'!B$2:B$746,B586,'Base bordo'!F$2:F$746,"BALANÇA - SAÍDA"),0)</f>
        <v>0</v>
      </c>
      <c r="K586" s="10">
        <f>IFERROR(SUMIFS('Base bordo'!G$2:G$746,'Base bordo'!C$2:C$746,A586,'Base bordo'!B$2:B$746,B586,'Base bordo'!F$2:F$746,"MAN PREVENTIVA - MECANICA"),0)+IFERROR(SUMIFS('Base bordo'!G$2:G$746,'Base bordo'!C$2:C$746,A586,'Base bordo'!B$2:B$746,B586,'Base bordo'!F$2:F$746,"MAN CORRETIVA - MECANICA"),0)</f>
        <v>4.110555555555556</v>
      </c>
      <c r="L586" s="10">
        <f>IFERROR(SUMIFS('Base bordo'!G$2:G$746,'Base bordo'!C$2:C$746,A586,'Base bordo'!B$2:B$746,B586,'Base bordo'!F$2:F$746,"MANUTENCAO - T O"),0)+IFERROR(SUMIFS('Base bordo'!G$2:G$746,'Base bordo'!C$2:C$746,A586,'Base bordo'!B$2:B$746,B586,'Base bordo'!F$2:F$746,"MANUTENCAO BORRACHARIA"),0)+IFERROR(SUMIFS('Base bordo'!G$2:G$746,'Base bordo'!C$2:C$746,A586,'Base bordo'!B$2:B$746,B586,'Base bordo'!F$2:F$746,"MANUTENCAO EXTERNA  CONCESSIONARIA"),0)+IFERROR(SUMIFS('Base bordo'!G$2:G$746,'Base bordo'!C$2:C$746,A586,'Base bordo'!B$2:B$746,B586,'Base bordo'!F$2:F$746,"MANUTENCAO TELEMETRIA"),0)</f>
        <v>5.3997222222222225</v>
      </c>
      <c r="M586" s="10">
        <f>IFERROR(SUMIFS('Base bordo'!G$2:G$746,'Base bordo'!C$2:C$746,A586,'Base bordo'!B$2:B$746,B586,'Base bordo'!F$2:F$746,"AGUARDANDO MANUTENCAO"),0)</f>
        <v>0</v>
      </c>
      <c r="N586" s="10">
        <f>IFERROR(SUMIFS('Base bordo'!G$2:G$746,'Base bordo'!C$2:C$746,A586,'Base bordo'!B$2:B$746,B586,'Base bordo'!F$2:F$746,"SEM APONTAMENTO"),0)</f>
        <v>0</v>
      </c>
      <c r="O586" s="10">
        <f t="shared" si="60"/>
        <v>0</v>
      </c>
      <c r="P586" s="10">
        <f>IFERROR(SUMIFS('Base bordo'!G$2:G$746,'Base bordo'!C$2:C$746,A586,'Base bordo'!B$2:B$746,B586),0)</f>
        <v>9.5102777777777785</v>
      </c>
      <c r="Q586" s="10">
        <f>IFERROR(SUMIFS('Base bordo'!H$2:H$746,'Base bordo'!C$2:C$746,A586,'Base bordo'!B$2:B$746,B586,'Base bordo'!F$2:F$746,"DESLOCAMENTO VAZIO"),0)</f>
        <v>0</v>
      </c>
      <c r="R586" s="10">
        <f>IFERROR(SUMIFS('Base bordo'!I$2:I$746,'Base bordo'!C$2:C$746,A586,'Base bordo'!B$2:B$746,B586,'Base bordo'!F$2:F$746,"DESLOCAMENTO VAZIO"),0)</f>
        <v>0</v>
      </c>
      <c r="S586" s="30" t="str">
        <f t="shared" si="61"/>
        <v/>
      </c>
      <c r="T586" s="10">
        <f>IFERROR(SUMIFS('Base bordo'!H$2:H$746,'Base bordo'!C$2:C$746,A586,'Base bordo'!B$2:B$746,B586,'Base bordo'!F$2:F$746,"DESLOCAMENTO CARREGADO"),0)</f>
        <v>0</v>
      </c>
      <c r="U586" s="10">
        <f>IFERROR(SUMIFS('Base bordo'!I$2:I$746,'Base bordo'!C$2:C$746,A586,'Base bordo'!B$2:B$746,B586,'Base bordo'!F$2:F$746,"DESLOCAMENTO CARREGADO"),0)</f>
        <v>0</v>
      </c>
      <c r="V586" s="30" t="str">
        <f t="shared" si="62"/>
        <v/>
      </c>
      <c r="W586" s="9">
        <f t="shared" si="63"/>
        <v>0</v>
      </c>
      <c r="X586" s="9">
        <f t="shared" si="64"/>
        <v>0</v>
      </c>
      <c r="Y586" s="9">
        <f t="shared" si="65"/>
        <v>1</v>
      </c>
    </row>
    <row r="587" spans="1:25" ht="15" customHeight="1" x14ac:dyDescent="0.35">
      <c r="A587" s="52">
        <v>8013486</v>
      </c>
      <c r="B587" s="51">
        <v>46116</v>
      </c>
      <c r="C587" s="7" t="s">
        <v>124</v>
      </c>
      <c r="D587" s="10">
        <f>IFERROR(SUMIFS('Base bordo'!G$2:G$746,'Base bordo'!C$2:C$746,A587,'Base bordo'!B$2:B$746,B587,'Base bordo'!F$2:F$746,"DESLOCAMENTO VAZIO"),0)</f>
        <v>0.19138888888888889</v>
      </c>
      <c r="E587" s="10">
        <f>IFERROR(SUMIFS('Base bordo'!G$2:G$746,'Base bordo'!C$2:C$746,A587,'Base bordo'!B$2:B$746,B587,'Base bordo'!F$2:F$746,"DESLOCAMENTO CARREGADO"),0)</f>
        <v>0</v>
      </c>
      <c r="F587" s="10">
        <f>IFERROR(SUMIFS('Base bordo'!G$2:G$746,'Base bordo'!C$2:C$746,A587,'Base bordo'!B$2:B$746,B587,'Base bordo'!F$2:F$746,"DESLOCAMENTO"),0)</f>
        <v>0</v>
      </c>
      <c r="G587" s="10">
        <f>IFERROR(SUMIFS('Base bordo'!G$2:G$746,'Base bordo'!C$2:C$746,A587,'Base bordo'!B$2:B$746,B587,'Base bordo'!F$2:F$746,"CARREGAMENTO"),0)</f>
        <v>0</v>
      </c>
      <c r="H587" s="10">
        <f>IFERROR(SUMIFS('Base bordo'!G$2:G$746,'Base bordo'!C$2:C$746,A587,'Base bordo'!B$2:B$746,B587,'Base bordo'!F$2:F$746,"AGUARDANDO TRANSBORDO"),0)</f>
        <v>0</v>
      </c>
      <c r="I587" s="10">
        <f>IFERROR(SUMIFS('Base bordo'!G$2:G$746,'Base bordo'!C$2:C$746,A587,'Base bordo'!B$2:B$746,B587,'Base bordo'!F$2:F$746,"PÁTIO INTERNO"),0)+IFERROR(SUMIFS('Base bordo'!G$2:G$746,'Base bordo'!C$2:C$746,A587,'Base bordo'!B$2:B$746,B587,'Base bordo'!F$2:F$746,"PÁTIO EXTERNO"),0)+IFERROR(SUMIFS('Base bordo'!G$2:G$746,'Base bordo'!C$2:C$746,A587,'Base bordo'!B$2:B$746,B587,'Base bordo'!F$2:F$746,"PATIO - RESERVA"),0)+IFERROR(SUMIFS('Base bordo'!G$2:G$746,'Base bordo'!C$2:C$746,A587,'Base bordo'!B$2:B$746,B587,'Base bordo'!F$2:F$746,"MANOBRA CARRETAS-PATIO"),0)</f>
        <v>0</v>
      </c>
      <c r="J587" s="10">
        <f>IFERROR(SUMIFS('Base bordo'!G$2:G$746,'Base bordo'!C$2:C$746,A587,'Base bordo'!B$2:B$746,B587,'Base bordo'!F$2:F$746,"BALANÇA - ENTRADA"),0)+IFERROR(SUMIFS('Base bordo'!G$2:G$746,'Base bordo'!C$2:C$746,A587,'Base bordo'!B$2:B$746,B587,'Base bordo'!F$2:F$746,"BALANÇA - SAÍDA"),0)</f>
        <v>0</v>
      </c>
      <c r="K587" s="10">
        <f>IFERROR(SUMIFS('Base bordo'!G$2:G$746,'Base bordo'!C$2:C$746,A587,'Base bordo'!B$2:B$746,B587,'Base bordo'!F$2:F$746,"MAN PREVENTIVA - MECANICA"),0)+IFERROR(SUMIFS('Base bordo'!G$2:G$746,'Base bordo'!C$2:C$746,A587,'Base bordo'!B$2:B$746,B587,'Base bordo'!F$2:F$746,"MAN CORRETIVA - MECANICA"),0)</f>
        <v>0</v>
      </c>
      <c r="L587" s="10">
        <f>IFERROR(SUMIFS('Base bordo'!G$2:G$746,'Base bordo'!C$2:C$746,A587,'Base bordo'!B$2:B$746,B587,'Base bordo'!F$2:F$746,"MANUTENCAO - T O"),0)+IFERROR(SUMIFS('Base bordo'!G$2:G$746,'Base bordo'!C$2:C$746,A587,'Base bordo'!B$2:B$746,B587,'Base bordo'!F$2:F$746,"MANUTENCAO BORRACHARIA"),0)+IFERROR(SUMIFS('Base bordo'!G$2:G$746,'Base bordo'!C$2:C$746,A587,'Base bordo'!B$2:B$746,B587,'Base bordo'!F$2:F$746,"MANUTENCAO EXTERNA  CONCESSIONARIA"),0)+IFERROR(SUMIFS('Base bordo'!G$2:G$746,'Base bordo'!C$2:C$746,A587,'Base bordo'!B$2:B$746,B587,'Base bordo'!F$2:F$746,"MANUTENCAO TELEMETRIA"),0)</f>
        <v>4.2016666666666671</v>
      </c>
      <c r="M587" s="10">
        <f>IFERROR(SUMIFS('Base bordo'!G$2:G$746,'Base bordo'!C$2:C$746,A587,'Base bordo'!B$2:B$746,B587,'Base bordo'!F$2:F$746,"AGUARDANDO MANUTENCAO"),0)</f>
        <v>0</v>
      </c>
      <c r="N587" s="10">
        <f>IFERROR(SUMIFS('Base bordo'!G$2:G$746,'Base bordo'!C$2:C$746,A587,'Base bordo'!B$2:B$746,B587,'Base bordo'!F$2:F$746,"SEM APONTAMENTO"),0)</f>
        <v>0</v>
      </c>
      <c r="O587" s="10">
        <f t="shared" si="60"/>
        <v>0</v>
      </c>
      <c r="P587" s="10">
        <f>IFERROR(SUMIFS('Base bordo'!G$2:G$746,'Base bordo'!C$2:C$746,A587,'Base bordo'!B$2:B$746,B587),0)</f>
        <v>4.3930555555555557</v>
      </c>
      <c r="Q587" s="10">
        <f>IFERROR(SUMIFS('Base bordo'!H$2:H$746,'Base bordo'!C$2:C$746,A587,'Base bordo'!B$2:B$746,B587,'Base bordo'!F$2:F$746,"DESLOCAMENTO VAZIO"),0)</f>
        <v>2742.22</v>
      </c>
      <c r="R587" s="10">
        <f>IFERROR(SUMIFS('Base bordo'!I$2:I$746,'Base bordo'!C$2:C$746,A587,'Base bordo'!B$2:B$746,B587,'Base bordo'!F$2:F$746,"DESLOCAMENTO VAZIO"),0)</f>
        <v>689</v>
      </c>
      <c r="S587" s="30">
        <f t="shared" si="61"/>
        <v>3.9799999999999995</v>
      </c>
      <c r="T587" s="10">
        <f>IFERROR(SUMIFS('Base bordo'!H$2:H$746,'Base bordo'!C$2:C$746,A587,'Base bordo'!B$2:B$746,B587,'Base bordo'!F$2:F$746,"DESLOCAMENTO CARREGADO"),0)</f>
        <v>0</v>
      </c>
      <c r="U587" s="10">
        <f>IFERROR(SUMIFS('Base bordo'!I$2:I$746,'Base bordo'!C$2:C$746,A587,'Base bordo'!B$2:B$746,B587,'Base bordo'!F$2:F$746,"DESLOCAMENTO CARREGADO"),0)</f>
        <v>0</v>
      </c>
      <c r="V587" s="30" t="str">
        <f t="shared" si="62"/>
        <v/>
      </c>
      <c r="W587" s="9">
        <f t="shared" si="63"/>
        <v>4.3566234587417006E-2</v>
      </c>
      <c r="X587" s="9">
        <f t="shared" si="64"/>
        <v>0</v>
      </c>
      <c r="Y587" s="9">
        <f t="shared" si="65"/>
        <v>0.95643376541258296</v>
      </c>
    </row>
    <row r="588" spans="1:25" ht="15" customHeight="1" x14ac:dyDescent="0.35">
      <c r="A588" s="52">
        <v>8013460</v>
      </c>
      <c r="B588" s="51">
        <v>46117</v>
      </c>
      <c r="C588" s="7" t="s">
        <v>124</v>
      </c>
      <c r="D588" s="10">
        <f>IFERROR(SUMIFS('Base bordo'!G$2:G$746,'Base bordo'!C$2:C$746,A588,'Base bordo'!B$2:B$746,B588,'Base bordo'!F$2:F$746,"DESLOCAMENTO VAZIO"),0)</f>
        <v>5.2069444444444448</v>
      </c>
      <c r="E588" s="10">
        <f>IFERROR(SUMIFS('Base bordo'!G$2:G$746,'Base bordo'!C$2:C$746,A588,'Base bordo'!B$2:B$746,B588,'Base bordo'!F$2:F$746,"DESLOCAMENTO CARREGADO"),0)</f>
        <v>0.55944444444444441</v>
      </c>
      <c r="F588" s="10">
        <f>IFERROR(SUMIFS('Base bordo'!G$2:G$746,'Base bordo'!C$2:C$746,A588,'Base bordo'!B$2:B$746,B588,'Base bordo'!F$2:F$746,"DESLOCAMENTO"),0)</f>
        <v>3.0825</v>
      </c>
      <c r="G588" s="10">
        <f>IFERROR(SUMIFS('Base bordo'!G$2:G$746,'Base bordo'!C$2:C$746,A588,'Base bordo'!B$2:B$746,B588,'Base bordo'!F$2:F$746,"CARREGAMENTO"),0)</f>
        <v>2.5000000000000001E-3</v>
      </c>
      <c r="H588" s="10">
        <f>IFERROR(SUMIFS('Base bordo'!G$2:G$746,'Base bordo'!C$2:C$746,A588,'Base bordo'!B$2:B$746,B588,'Base bordo'!F$2:F$746,"AGUARDANDO TRANSBORDO"),0)</f>
        <v>1.0013888888888889</v>
      </c>
      <c r="I588" s="10">
        <f>IFERROR(SUMIFS('Base bordo'!G$2:G$746,'Base bordo'!C$2:C$746,A588,'Base bordo'!B$2:B$746,B588,'Base bordo'!F$2:F$746,"PÁTIO INTERNO"),0)+IFERROR(SUMIFS('Base bordo'!G$2:G$746,'Base bordo'!C$2:C$746,A588,'Base bordo'!B$2:B$746,B588,'Base bordo'!F$2:F$746,"PÁTIO EXTERNO"),0)+IFERROR(SUMIFS('Base bordo'!G$2:G$746,'Base bordo'!C$2:C$746,A588,'Base bordo'!B$2:B$746,B588,'Base bordo'!F$2:F$746,"PATIO - RESERVA"),0)+IFERROR(SUMIFS('Base bordo'!G$2:G$746,'Base bordo'!C$2:C$746,A588,'Base bordo'!B$2:B$746,B588,'Base bordo'!F$2:F$746,"MANOBRA CARRETAS-PATIO"),0)</f>
        <v>0.54972222222222222</v>
      </c>
      <c r="J588" s="10">
        <f>IFERROR(SUMIFS('Base bordo'!G$2:G$746,'Base bordo'!C$2:C$746,A588,'Base bordo'!B$2:B$746,B588,'Base bordo'!F$2:F$746,"BALANÇA - ENTRADA"),0)+IFERROR(SUMIFS('Base bordo'!G$2:G$746,'Base bordo'!C$2:C$746,A588,'Base bordo'!B$2:B$746,B588,'Base bordo'!F$2:F$746,"BALANÇA - SAÍDA"),0)</f>
        <v>0</v>
      </c>
      <c r="K588" s="10">
        <f>IFERROR(SUMIFS('Base bordo'!G$2:G$746,'Base bordo'!C$2:C$746,A588,'Base bordo'!B$2:B$746,B588,'Base bordo'!F$2:F$746,"MAN PREVENTIVA - MECANICA"),0)+IFERROR(SUMIFS('Base bordo'!G$2:G$746,'Base bordo'!C$2:C$746,A588,'Base bordo'!B$2:B$746,B588,'Base bordo'!F$2:F$746,"MAN CORRETIVA - MECANICA"),0)</f>
        <v>0</v>
      </c>
      <c r="L588" s="10">
        <f>IFERROR(SUMIFS('Base bordo'!G$2:G$746,'Base bordo'!C$2:C$746,A588,'Base bordo'!B$2:B$746,B588,'Base bordo'!F$2:F$746,"MANUTENCAO - T O"),0)+IFERROR(SUMIFS('Base bordo'!G$2:G$746,'Base bordo'!C$2:C$746,A588,'Base bordo'!B$2:B$746,B588,'Base bordo'!F$2:F$746,"MANUTENCAO BORRACHARIA"),0)+IFERROR(SUMIFS('Base bordo'!G$2:G$746,'Base bordo'!C$2:C$746,A588,'Base bordo'!B$2:B$746,B588,'Base bordo'!F$2:F$746,"MANUTENCAO EXTERNA  CONCESSIONARIA"),0)+IFERROR(SUMIFS('Base bordo'!G$2:G$746,'Base bordo'!C$2:C$746,A588,'Base bordo'!B$2:B$746,B588,'Base bordo'!F$2:F$746,"MANUTENCAO TELEMETRIA"),0)</f>
        <v>10.766111111111112</v>
      </c>
      <c r="M588" s="10">
        <f>IFERROR(SUMIFS('Base bordo'!G$2:G$746,'Base bordo'!C$2:C$746,A588,'Base bordo'!B$2:B$746,B588,'Base bordo'!F$2:F$746,"AGUARDANDO MANUTENCAO"),0)</f>
        <v>0</v>
      </c>
      <c r="N588" s="10">
        <f>IFERROR(SUMIFS('Base bordo'!G$2:G$746,'Base bordo'!C$2:C$746,A588,'Base bordo'!B$2:B$746,B588,'Base bordo'!F$2:F$746,"SEM APONTAMENTO"),0)</f>
        <v>0.29444444444444445</v>
      </c>
      <c r="O588" s="10">
        <f t="shared" si="60"/>
        <v>2.536944444444444</v>
      </c>
      <c r="P588" s="10">
        <f>IFERROR(SUMIFS('Base bordo'!G$2:G$746,'Base bordo'!C$2:C$746,A588,'Base bordo'!B$2:B$746,B588),0)</f>
        <v>24</v>
      </c>
      <c r="Q588" s="10">
        <f>IFERROR(SUMIFS('Base bordo'!H$2:H$746,'Base bordo'!C$2:C$746,A588,'Base bordo'!B$2:B$746,B588,'Base bordo'!F$2:F$746,"DESLOCAMENTO VAZIO"),0)</f>
        <v>595925.09</v>
      </c>
      <c r="R588" s="10">
        <f>IFERROR(SUMIFS('Base bordo'!I$2:I$746,'Base bordo'!C$2:C$746,A588,'Base bordo'!B$2:B$746,B588,'Base bordo'!F$2:F$746,"DESLOCAMENTO VAZIO"),0)</f>
        <v>18745</v>
      </c>
      <c r="S588" s="30">
        <f t="shared" si="61"/>
        <v>31.791149106428378</v>
      </c>
      <c r="T588" s="10">
        <f>IFERROR(SUMIFS('Base bordo'!H$2:H$746,'Base bordo'!C$2:C$746,A588,'Base bordo'!B$2:B$746,B588,'Base bordo'!F$2:F$746,"DESLOCAMENTO CARREGADO"),0)</f>
        <v>52858.36</v>
      </c>
      <c r="U588" s="10">
        <f>IFERROR(SUMIFS('Base bordo'!I$2:I$746,'Base bordo'!C$2:C$746,A588,'Base bordo'!B$2:B$746,B588,'Base bordo'!F$2:F$746,"DESLOCAMENTO CARREGADO"),0)</f>
        <v>2014</v>
      </c>
      <c r="V588" s="30">
        <f t="shared" si="62"/>
        <v>26.245461767626615</v>
      </c>
      <c r="W588" s="9">
        <f t="shared" si="63"/>
        <v>0.21695601851851853</v>
      </c>
      <c r="X588" s="9">
        <f t="shared" si="64"/>
        <v>2.3310185185185184E-2</v>
      </c>
      <c r="Y588" s="9">
        <f t="shared" si="65"/>
        <v>0.75973379629629634</v>
      </c>
    </row>
    <row r="589" spans="1:25" ht="15" customHeight="1" x14ac:dyDescent="0.35">
      <c r="A589" s="52">
        <v>8013460</v>
      </c>
      <c r="B589" s="51">
        <v>46117</v>
      </c>
      <c r="C589" s="7" t="s">
        <v>124</v>
      </c>
      <c r="D589" s="10">
        <f>IFERROR(SUMIFS('Base bordo'!G$2:G$746,'Base bordo'!C$2:C$746,A589,'Base bordo'!B$2:B$746,B589,'Base bordo'!F$2:F$746,"DESLOCAMENTO VAZIO"),0)</f>
        <v>5.2069444444444448</v>
      </c>
      <c r="E589" s="10">
        <f>IFERROR(SUMIFS('Base bordo'!G$2:G$746,'Base bordo'!C$2:C$746,A589,'Base bordo'!B$2:B$746,B589,'Base bordo'!F$2:F$746,"DESLOCAMENTO CARREGADO"),0)</f>
        <v>0.55944444444444441</v>
      </c>
      <c r="F589" s="10">
        <f>IFERROR(SUMIFS('Base bordo'!G$2:G$746,'Base bordo'!C$2:C$746,A589,'Base bordo'!B$2:B$746,B589,'Base bordo'!F$2:F$746,"DESLOCAMENTO"),0)</f>
        <v>3.0825</v>
      </c>
      <c r="G589" s="10">
        <f>IFERROR(SUMIFS('Base bordo'!G$2:G$746,'Base bordo'!C$2:C$746,A589,'Base bordo'!B$2:B$746,B589,'Base bordo'!F$2:F$746,"CARREGAMENTO"),0)</f>
        <v>2.5000000000000001E-3</v>
      </c>
      <c r="H589" s="10">
        <f>IFERROR(SUMIFS('Base bordo'!G$2:G$746,'Base bordo'!C$2:C$746,A589,'Base bordo'!B$2:B$746,B589,'Base bordo'!F$2:F$746,"AGUARDANDO TRANSBORDO"),0)</f>
        <v>1.0013888888888889</v>
      </c>
      <c r="I589" s="10">
        <f>IFERROR(SUMIFS('Base bordo'!G$2:G$746,'Base bordo'!C$2:C$746,A589,'Base bordo'!B$2:B$746,B589,'Base bordo'!F$2:F$746,"PÁTIO INTERNO"),0)+IFERROR(SUMIFS('Base bordo'!G$2:G$746,'Base bordo'!C$2:C$746,A589,'Base bordo'!B$2:B$746,B589,'Base bordo'!F$2:F$746,"PÁTIO EXTERNO"),0)+IFERROR(SUMIFS('Base bordo'!G$2:G$746,'Base bordo'!C$2:C$746,A589,'Base bordo'!B$2:B$746,B589,'Base bordo'!F$2:F$746,"PATIO - RESERVA"),0)+IFERROR(SUMIFS('Base bordo'!G$2:G$746,'Base bordo'!C$2:C$746,A589,'Base bordo'!B$2:B$746,B589,'Base bordo'!F$2:F$746,"MANOBRA CARRETAS-PATIO"),0)</f>
        <v>0.54972222222222222</v>
      </c>
      <c r="J589" s="10">
        <f>IFERROR(SUMIFS('Base bordo'!G$2:G$746,'Base bordo'!C$2:C$746,A589,'Base bordo'!B$2:B$746,B589,'Base bordo'!F$2:F$746,"BALANÇA - ENTRADA"),0)+IFERROR(SUMIFS('Base bordo'!G$2:G$746,'Base bordo'!C$2:C$746,A589,'Base bordo'!B$2:B$746,B589,'Base bordo'!F$2:F$746,"BALANÇA - SAÍDA"),0)</f>
        <v>0</v>
      </c>
      <c r="K589" s="10">
        <f>IFERROR(SUMIFS('Base bordo'!G$2:G$746,'Base bordo'!C$2:C$746,A589,'Base bordo'!B$2:B$746,B589,'Base bordo'!F$2:F$746,"MAN PREVENTIVA - MECANICA"),0)+IFERROR(SUMIFS('Base bordo'!G$2:G$746,'Base bordo'!C$2:C$746,A589,'Base bordo'!B$2:B$746,B589,'Base bordo'!F$2:F$746,"MAN CORRETIVA - MECANICA"),0)</f>
        <v>0</v>
      </c>
      <c r="L589" s="10">
        <f>IFERROR(SUMIFS('Base bordo'!G$2:G$746,'Base bordo'!C$2:C$746,A589,'Base bordo'!B$2:B$746,B589,'Base bordo'!F$2:F$746,"MANUTENCAO - T O"),0)+IFERROR(SUMIFS('Base bordo'!G$2:G$746,'Base bordo'!C$2:C$746,A589,'Base bordo'!B$2:B$746,B589,'Base bordo'!F$2:F$746,"MANUTENCAO BORRACHARIA"),0)+IFERROR(SUMIFS('Base bordo'!G$2:G$746,'Base bordo'!C$2:C$746,A589,'Base bordo'!B$2:B$746,B589,'Base bordo'!F$2:F$746,"MANUTENCAO EXTERNA  CONCESSIONARIA"),0)+IFERROR(SUMIFS('Base bordo'!G$2:G$746,'Base bordo'!C$2:C$746,A589,'Base bordo'!B$2:B$746,B589,'Base bordo'!F$2:F$746,"MANUTENCAO TELEMETRIA"),0)</f>
        <v>10.766111111111112</v>
      </c>
      <c r="M589" s="10">
        <f>IFERROR(SUMIFS('Base bordo'!G$2:G$746,'Base bordo'!C$2:C$746,A589,'Base bordo'!B$2:B$746,B589,'Base bordo'!F$2:F$746,"AGUARDANDO MANUTENCAO"),0)</f>
        <v>0</v>
      </c>
      <c r="N589" s="10">
        <f>IFERROR(SUMIFS('Base bordo'!G$2:G$746,'Base bordo'!C$2:C$746,A589,'Base bordo'!B$2:B$746,B589,'Base bordo'!F$2:F$746,"SEM APONTAMENTO"),0)</f>
        <v>0.29444444444444445</v>
      </c>
      <c r="O589" s="10">
        <f t="shared" si="60"/>
        <v>2.536944444444444</v>
      </c>
      <c r="P589" s="10">
        <f>IFERROR(SUMIFS('Base bordo'!G$2:G$746,'Base bordo'!C$2:C$746,A589,'Base bordo'!B$2:B$746,B589),0)</f>
        <v>24</v>
      </c>
      <c r="Q589" s="10">
        <f>IFERROR(SUMIFS('Base bordo'!H$2:H$746,'Base bordo'!C$2:C$746,A589,'Base bordo'!B$2:B$746,B589,'Base bordo'!F$2:F$746,"DESLOCAMENTO VAZIO"),0)</f>
        <v>595925.09</v>
      </c>
      <c r="R589" s="10">
        <f>IFERROR(SUMIFS('Base bordo'!I$2:I$746,'Base bordo'!C$2:C$746,A589,'Base bordo'!B$2:B$746,B589,'Base bordo'!F$2:F$746,"DESLOCAMENTO VAZIO"),0)</f>
        <v>18745</v>
      </c>
      <c r="S589" s="30">
        <f t="shared" si="61"/>
        <v>31.791149106428378</v>
      </c>
      <c r="T589" s="10">
        <f>IFERROR(SUMIFS('Base bordo'!H$2:H$746,'Base bordo'!C$2:C$746,A589,'Base bordo'!B$2:B$746,B589,'Base bordo'!F$2:F$746,"DESLOCAMENTO CARREGADO"),0)</f>
        <v>52858.36</v>
      </c>
      <c r="U589" s="10">
        <f>IFERROR(SUMIFS('Base bordo'!I$2:I$746,'Base bordo'!C$2:C$746,A589,'Base bordo'!B$2:B$746,B589,'Base bordo'!F$2:F$746,"DESLOCAMENTO CARREGADO"),0)</f>
        <v>2014</v>
      </c>
      <c r="V589" s="30">
        <f t="shared" si="62"/>
        <v>26.245461767626615</v>
      </c>
      <c r="W589" s="9">
        <f t="shared" si="63"/>
        <v>0.21695601851851853</v>
      </c>
      <c r="X589" s="9">
        <f t="shared" si="64"/>
        <v>2.3310185185185184E-2</v>
      </c>
      <c r="Y589" s="9">
        <f t="shared" si="65"/>
        <v>0.75973379629629634</v>
      </c>
    </row>
    <row r="590" spans="1:25" ht="15" customHeight="1" x14ac:dyDescent="0.35">
      <c r="A590" s="52">
        <v>8013460</v>
      </c>
      <c r="B590" s="51">
        <v>46117</v>
      </c>
      <c r="C590" s="7" t="s">
        <v>124</v>
      </c>
      <c r="D590" s="10">
        <f>IFERROR(SUMIFS('Base bordo'!G$2:G$746,'Base bordo'!C$2:C$746,A590,'Base bordo'!B$2:B$746,B590,'Base bordo'!F$2:F$746,"DESLOCAMENTO VAZIO"),0)</f>
        <v>5.2069444444444448</v>
      </c>
      <c r="E590" s="10">
        <f>IFERROR(SUMIFS('Base bordo'!G$2:G$746,'Base bordo'!C$2:C$746,A590,'Base bordo'!B$2:B$746,B590,'Base bordo'!F$2:F$746,"DESLOCAMENTO CARREGADO"),0)</f>
        <v>0.55944444444444441</v>
      </c>
      <c r="F590" s="10">
        <f>IFERROR(SUMIFS('Base bordo'!G$2:G$746,'Base bordo'!C$2:C$746,A590,'Base bordo'!B$2:B$746,B590,'Base bordo'!F$2:F$746,"DESLOCAMENTO"),0)</f>
        <v>3.0825</v>
      </c>
      <c r="G590" s="10">
        <f>IFERROR(SUMIFS('Base bordo'!G$2:G$746,'Base bordo'!C$2:C$746,A590,'Base bordo'!B$2:B$746,B590,'Base bordo'!F$2:F$746,"CARREGAMENTO"),0)</f>
        <v>2.5000000000000001E-3</v>
      </c>
      <c r="H590" s="10">
        <f>IFERROR(SUMIFS('Base bordo'!G$2:G$746,'Base bordo'!C$2:C$746,A590,'Base bordo'!B$2:B$746,B590,'Base bordo'!F$2:F$746,"AGUARDANDO TRANSBORDO"),0)</f>
        <v>1.0013888888888889</v>
      </c>
      <c r="I590" s="10">
        <f>IFERROR(SUMIFS('Base bordo'!G$2:G$746,'Base bordo'!C$2:C$746,A590,'Base bordo'!B$2:B$746,B590,'Base bordo'!F$2:F$746,"PÁTIO INTERNO"),0)+IFERROR(SUMIFS('Base bordo'!G$2:G$746,'Base bordo'!C$2:C$746,A590,'Base bordo'!B$2:B$746,B590,'Base bordo'!F$2:F$746,"PÁTIO EXTERNO"),0)+IFERROR(SUMIFS('Base bordo'!G$2:G$746,'Base bordo'!C$2:C$746,A590,'Base bordo'!B$2:B$746,B590,'Base bordo'!F$2:F$746,"PATIO - RESERVA"),0)+IFERROR(SUMIFS('Base bordo'!G$2:G$746,'Base bordo'!C$2:C$746,A590,'Base bordo'!B$2:B$746,B590,'Base bordo'!F$2:F$746,"MANOBRA CARRETAS-PATIO"),0)</f>
        <v>0.54972222222222222</v>
      </c>
      <c r="J590" s="10">
        <f>IFERROR(SUMIFS('Base bordo'!G$2:G$746,'Base bordo'!C$2:C$746,A590,'Base bordo'!B$2:B$746,B590,'Base bordo'!F$2:F$746,"BALANÇA - ENTRADA"),0)+IFERROR(SUMIFS('Base bordo'!G$2:G$746,'Base bordo'!C$2:C$746,A590,'Base bordo'!B$2:B$746,B590,'Base bordo'!F$2:F$746,"BALANÇA - SAÍDA"),0)</f>
        <v>0</v>
      </c>
      <c r="K590" s="10">
        <f>IFERROR(SUMIFS('Base bordo'!G$2:G$746,'Base bordo'!C$2:C$746,A590,'Base bordo'!B$2:B$746,B590,'Base bordo'!F$2:F$746,"MAN PREVENTIVA - MECANICA"),0)+IFERROR(SUMIFS('Base bordo'!G$2:G$746,'Base bordo'!C$2:C$746,A590,'Base bordo'!B$2:B$746,B590,'Base bordo'!F$2:F$746,"MAN CORRETIVA - MECANICA"),0)</f>
        <v>0</v>
      </c>
      <c r="L590" s="10">
        <f>IFERROR(SUMIFS('Base bordo'!G$2:G$746,'Base bordo'!C$2:C$746,A590,'Base bordo'!B$2:B$746,B590,'Base bordo'!F$2:F$746,"MANUTENCAO - T O"),0)+IFERROR(SUMIFS('Base bordo'!G$2:G$746,'Base bordo'!C$2:C$746,A590,'Base bordo'!B$2:B$746,B590,'Base bordo'!F$2:F$746,"MANUTENCAO BORRACHARIA"),0)+IFERROR(SUMIFS('Base bordo'!G$2:G$746,'Base bordo'!C$2:C$746,A590,'Base bordo'!B$2:B$746,B590,'Base bordo'!F$2:F$746,"MANUTENCAO EXTERNA  CONCESSIONARIA"),0)+IFERROR(SUMIFS('Base bordo'!G$2:G$746,'Base bordo'!C$2:C$746,A590,'Base bordo'!B$2:B$746,B590,'Base bordo'!F$2:F$746,"MANUTENCAO TELEMETRIA"),0)</f>
        <v>10.766111111111112</v>
      </c>
      <c r="M590" s="10">
        <f>IFERROR(SUMIFS('Base bordo'!G$2:G$746,'Base bordo'!C$2:C$746,A590,'Base bordo'!B$2:B$746,B590,'Base bordo'!F$2:F$746,"AGUARDANDO MANUTENCAO"),0)</f>
        <v>0</v>
      </c>
      <c r="N590" s="10">
        <f>IFERROR(SUMIFS('Base bordo'!G$2:G$746,'Base bordo'!C$2:C$746,A590,'Base bordo'!B$2:B$746,B590,'Base bordo'!F$2:F$746,"SEM APONTAMENTO"),0)</f>
        <v>0.29444444444444445</v>
      </c>
      <c r="O590" s="10">
        <f t="shared" si="60"/>
        <v>2.536944444444444</v>
      </c>
      <c r="P590" s="10">
        <f>IFERROR(SUMIFS('Base bordo'!G$2:G$746,'Base bordo'!C$2:C$746,A590,'Base bordo'!B$2:B$746,B590),0)</f>
        <v>24</v>
      </c>
      <c r="Q590" s="10">
        <f>IFERROR(SUMIFS('Base bordo'!H$2:H$746,'Base bordo'!C$2:C$746,A590,'Base bordo'!B$2:B$746,B590,'Base bordo'!F$2:F$746,"DESLOCAMENTO VAZIO"),0)</f>
        <v>595925.09</v>
      </c>
      <c r="R590" s="10">
        <f>IFERROR(SUMIFS('Base bordo'!I$2:I$746,'Base bordo'!C$2:C$746,A590,'Base bordo'!B$2:B$746,B590,'Base bordo'!F$2:F$746,"DESLOCAMENTO VAZIO"),0)</f>
        <v>18745</v>
      </c>
      <c r="S590" s="30">
        <f t="shared" si="61"/>
        <v>31.791149106428378</v>
      </c>
      <c r="T590" s="10">
        <f>IFERROR(SUMIFS('Base bordo'!H$2:H$746,'Base bordo'!C$2:C$746,A590,'Base bordo'!B$2:B$746,B590,'Base bordo'!F$2:F$746,"DESLOCAMENTO CARREGADO"),0)</f>
        <v>52858.36</v>
      </c>
      <c r="U590" s="10">
        <f>IFERROR(SUMIFS('Base bordo'!I$2:I$746,'Base bordo'!C$2:C$746,A590,'Base bordo'!B$2:B$746,B590,'Base bordo'!F$2:F$746,"DESLOCAMENTO CARREGADO"),0)</f>
        <v>2014</v>
      </c>
      <c r="V590" s="30">
        <f t="shared" si="62"/>
        <v>26.245461767626615</v>
      </c>
      <c r="W590" s="9">
        <f t="shared" si="63"/>
        <v>0.21695601851851853</v>
      </c>
      <c r="X590" s="9">
        <f t="shared" si="64"/>
        <v>2.3310185185185184E-2</v>
      </c>
      <c r="Y590" s="9">
        <f t="shared" si="65"/>
        <v>0.75973379629629634</v>
      </c>
    </row>
    <row r="591" spans="1:25" ht="15" customHeight="1" x14ac:dyDescent="0.35">
      <c r="A591" s="52">
        <v>8013460</v>
      </c>
      <c r="B591" s="51">
        <v>46117</v>
      </c>
      <c r="C591" s="7" t="s">
        <v>124</v>
      </c>
      <c r="D591" s="10">
        <f>IFERROR(SUMIFS('Base bordo'!G$2:G$746,'Base bordo'!C$2:C$746,A591,'Base bordo'!B$2:B$746,B591,'Base bordo'!F$2:F$746,"DESLOCAMENTO VAZIO"),0)</f>
        <v>5.2069444444444448</v>
      </c>
      <c r="E591" s="10">
        <f>IFERROR(SUMIFS('Base bordo'!G$2:G$746,'Base bordo'!C$2:C$746,A591,'Base bordo'!B$2:B$746,B591,'Base bordo'!F$2:F$746,"DESLOCAMENTO CARREGADO"),0)</f>
        <v>0.55944444444444441</v>
      </c>
      <c r="F591" s="10">
        <f>IFERROR(SUMIFS('Base bordo'!G$2:G$746,'Base bordo'!C$2:C$746,A591,'Base bordo'!B$2:B$746,B591,'Base bordo'!F$2:F$746,"DESLOCAMENTO"),0)</f>
        <v>3.0825</v>
      </c>
      <c r="G591" s="10">
        <f>IFERROR(SUMIFS('Base bordo'!G$2:G$746,'Base bordo'!C$2:C$746,A591,'Base bordo'!B$2:B$746,B591,'Base bordo'!F$2:F$746,"CARREGAMENTO"),0)</f>
        <v>2.5000000000000001E-3</v>
      </c>
      <c r="H591" s="10">
        <f>IFERROR(SUMIFS('Base bordo'!G$2:G$746,'Base bordo'!C$2:C$746,A591,'Base bordo'!B$2:B$746,B591,'Base bordo'!F$2:F$746,"AGUARDANDO TRANSBORDO"),0)</f>
        <v>1.0013888888888889</v>
      </c>
      <c r="I591" s="10">
        <f>IFERROR(SUMIFS('Base bordo'!G$2:G$746,'Base bordo'!C$2:C$746,A591,'Base bordo'!B$2:B$746,B591,'Base bordo'!F$2:F$746,"PÁTIO INTERNO"),0)+IFERROR(SUMIFS('Base bordo'!G$2:G$746,'Base bordo'!C$2:C$746,A591,'Base bordo'!B$2:B$746,B591,'Base bordo'!F$2:F$746,"PÁTIO EXTERNO"),0)+IFERROR(SUMIFS('Base bordo'!G$2:G$746,'Base bordo'!C$2:C$746,A591,'Base bordo'!B$2:B$746,B591,'Base bordo'!F$2:F$746,"PATIO - RESERVA"),0)+IFERROR(SUMIFS('Base bordo'!G$2:G$746,'Base bordo'!C$2:C$746,A591,'Base bordo'!B$2:B$746,B591,'Base bordo'!F$2:F$746,"MANOBRA CARRETAS-PATIO"),0)</f>
        <v>0.54972222222222222</v>
      </c>
      <c r="J591" s="10">
        <f>IFERROR(SUMIFS('Base bordo'!G$2:G$746,'Base bordo'!C$2:C$746,A591,'Base bordo'!B$2:B$746,B591,'Base bordo'!F$2:F$746,"BALANÇA - ENTRADA"),0)+IFERROR(SUMIFS('Base bordo'!G$2:G$746,'Base bordo'!C$2:C$746,A591,'Base bordo'!B$2:B$746,B591,'Base bordo'!F$2:F$746,"BALANÇA - SAÍDA"),0)</f>
        <v>0</v>
      </c>
      <c r="K591" s="10">
        <f>IFERROR(SUMIFS('Base bordo'!G$2:G$746,'Base bordo'!C$2:C$746,A591,'Base bordo'!B$2:B$746,B591,'Base bordo'!F$2:F$746,"MAN PREVENTIVA - MECANICA"),0)+IFERROR(SUMIFS('Base bordo'!G$2:G$746,'Base bordo'!C$2:C$746,A591,'Base bordo'!B$2:B$746,B591,'Base bordo'!F$2:F$746,"MAN CORRETIVA - MECANICA"),0)</f>
        <v>0</v>
      </c>
      <c r="L591" s="10">
        <f>IFERROR(SUMIFS('Base bordo'!G$2:G$746,'Base bordo'!C$2:C$746,A591,'Base bordo'!B$2:B$746,B591,'Base bordo'!F$2:F$746,"MANUTENCAO - T O"),0)+IFERROR(SUMIFS('Base bordo'!G$2:G$746,'Base bordo'!C$2:C$746,A591,'Base bordo'!B$2:B$746,B591,'Base bordo'!F$2:F$746,"MANUTENCAO BORRACHARIA"),0)+IFERROR(SUMIFS('Base bordo'!G$2:G$746,'Base bordo'!C$2:C$746,A591,'Base bordo'!B$2:B$746,B591,'Base bordo'!F$2:F$746,"MANUTENCAO EXTERNA  CONCESSIONARIA"),0)+IFERROR(SUMIFS('Base bordo'!G$2:G$746,'Base bordo'!C$2:C$746,A591,'Base bordo'!B$2:B$746,B591,'Base bordo'!F$2:F$746,"MANUTENCAO TELEMETRIA"),0)</f>
        <v>10.766111111111112</v>
      </c>
      <c r="M591" s="10">
        <f>IFERROR(SUMIFS('Base bordo'!G$2:G$746,'Base bordo'!C$2:C$746,A591,'Base bordo'!B$2:B$746,B591,'Base bordo'!F$2:F$746,"AGUARDANDO MANUTENCAO"),0)</f>
        <v>0</v>
      </c>
      <c r="N591" s="10">
        <f>IFERROR(SUMIFS('Base bordo'!G$2:G$746,'Base bordo'!C$2:C$746,A591,'Base bordo'!B$2:B$746,B591,'Base bordo'!F$2:F$746,"SEM APONTAMENTO"),0)</f>
        <v>0.29444444444444445</v>
      </c>
      <c r="O591" s="10">
        <f t="shared" ref="O591:O654" si="66">IFERROR(P591-SUM(D591:N591),0)</f>
        <v>2.536944444444444</v>
      </c>
      <c r="P591" s="10">
        <f>IFERROR(SUMIFS('Base bordo'!G$2:G$746,'Base bordo'!C$2:C$746,A591,'Base bordo'!B$2:B$746,B591),0)</f>
        <v>24</v>
      </c>
      <c r="Q591" s="10">
        <f>IFERROR(SUMIFS('Base bordo'!H$2:H$746,'Base bordo'!C$2:C$746,A591,'Base bordo'!B$2:B$746,B591,'Base bordo'!F$2:F$746,"DESLOCAMENTO VAZIO"),0)</f>
        <v>595925.09</v>
      </c>
      <c r="R591" s="10">
        <f>IFERROR(SUMIFS('Base bordo'!I$2:I$746,'Base bordo'!C$2:C$746,A591,'Base bordo'!B$2:B$746,B591,'Base bordo'!F$2:F$746,"DESLOCAMENTO VAZIO"),0)</f>
        <v>18745</v>
      </c>
      <c r="S591" s="30">
        <f t="shared" ref="S591:S654" si="67">IFERROR(Q591/R591,"")</f>
        <v>31.791149106428378</v>
      </c>
      <c r="T591" s="10">
        <f>IFERROR(SUMIFS('Base bordo'!H$2:H$746,'Base bordo'!C$2:C$746,A591,'Base bordo'!B$2:B$746,B591,'Base bordo'!F$2:F$746,"DESLOCAMENTO CARREGADO"),0)</f>
        <v>52858.36</v>
      </c>
      <c r="U591" s="10">
        <f>IFERROR(SUMIFS('Base bordo'!I$2:I$746,'Base bordo'!C$2:C$746,A591,'Base bordo'!B$2:B$746,B591,'Base bordo'!F$2:F$746,"DESLOCAMENTO CARREGADO"),0)</f>
        <v>2014</v>
      </c>
      <c r="V591" s="30">
        <f t="shared" ref="V591:V654" si="68">IFERROR(T591/U591,"")</f>
        <v>26.245461767626615</v>
      </c>
      <c r="W591" s="9">
        <f t="shared" ref="W591:W654" si="69">IFERROR(D591/P591,0)</f>
        <v>0.21695601851851853</v>
      </c>
      <c r="X591" s="9">
        <f t="shared" ref="X591:X654" si="70">IFERROR(E591/P591,0)</f>
        <v>2.3310185185185184E-2</v>
      </c>
      <c r="Y591" s="9">
        <f t="shared" ref="Y591:Y654" si="71">IFERROR(1-((D591+E591)/P591),0)</f>
        <v>0.75973379629629634</v>
      </c>
    </row>
    <row r="592" spans="1:25" ht="15" customHeight="1" x14ac:dyDescent="0.35">
      <c r="A592" s="52">
        <v>8013460</v>
      </c>
      <c r="B592" s="51">
        <v>46117</v>
      </c>
      <c r="C592" s="7" t="s">
        <v>124</v>
      </c>
      <c r="D592" s="10">
        <f>IFERROR(SUMIFS('Base bordo'!G$2:G$746,'Base bordo'!C$2:C$746,A592,'Base bordo'!B$2:B$746,B592,'Base bordo'!F$2:F$746,"DESLOCAMENTO VAZIO"),0)</f>
        <v>5.2069444444444448</v>
      </c>
      <c r="E592" s="10">
        <f>IFERROR(SUMIFS('Base bordo'!G$2:G$746,'Base bordo'!C$2:C$746,A592,'Base bordo'!B$2:B$746,B592,'Base bordo'!F$2:F$746,"DESLOCAMENTO CARREGADO"),0)</f>
        <v>0.55944444444444441</v>
      </c>
      <c r="F592" s="10">
        <f>IFERROR(SUMIFS('Base bordo'!G$2:G$746,'Base bordo'!C$2:C$746,A592,'Base bordo'!B$2:B$746,B592,'Base bordo'!F$2:F$746,"DESLOCAMENTO"),0)</f>
        <v>3.0825</v>
      </c>
      <c r="G592" s="10">
        <f>IFERROR(SUMIFS('Base bordo'!G$2:G$746,'Base bordo'!C$2:C$746,A592,'Base bordo'!B$2:B$746,B592,'Base bordo'!F$2:F$746,"CARREGAMENTO"),0)</f>
        <v>2.5000000000000001E-3</v>
      </c>
      <c r="H592" s="10">
        <f>IFERROR(SUMIFS('Base bordo'!G$2:G$746,'Base bordo'!C$2:C$746,A592,'Base bordo'!B$2:B$746,B592,'Base bordo'!F$2:F$746,"AGUARDANDO TRANSBORDO"),0)</f>
        <v>1.0013888888888889</v>
      </c>
      <c r="I592" s="10">
        <f>IFERROR(SUMIFS('Base bordo'!G$2:G$746,'Base bordo'!C$2:C$746,A592,'Base bordo'!B$2:B$746,B592,'Base bordo'!F$2:F$746,"PÁTIO INTERNO"),0)+IFERROR(SUMIFS('Base bordo'!G$2:G$746,'Base bordo'!C$2:C$746,A592,'Base bordo'!B$2:B$746,B592,'Base bordo'!F$2:F$746,"PÁTIO EXTERNO"),0)+IFERROR(SUMIFS('Base bordo'!G$2:G$746,'Base bordo'!C$2:C$746,A592,'Base bordo'!B$2:B$746,B592,'Base bordo'!F$2:F$746,"PATIO - RESERVA"),0)+IFERROR(SUMIFS('Base bordo'!G$2:G$746,'Base bordo'!C$2:C$746,A592,'Base bordo'!B$2:B$746,B592,'Base bordo'!F$2:F$746,"MANOBRA CARRETAS-PATIO"),0)</f>
        <v>0.54972222222222222</v>
      </c>
      <c r="J592" s="10">
        <f>IFERROR(SUMIFS('Base bordo'!G$2:G$746,'Base bordo'!C$2:C$746,A592,'Base bordo'!B$2:B$746,B592,'Base bordo'!F$2:F$746,"BALANÇA - ENTRADA"),0)+IFERROR(SUMIFS('Base bordo'!G$2:G$746,'Base bordo'!C$2:C$746,A592,'Base bordo'!B$2:B$746,B592,'Base bordo'!F$2:F$746,"BALANÇA - SAÍDA"),0)</f>
        <v>0</v>
      </c>
      <c r="K592" s="10">
        <f>IFERROR(SUMIFS('Base bordo'!G$2:G$746,'Base bordo'!C$2:C$746,A592,'Base bordo'!B$2:B$746,B592,'Base bordo'!F$2:F$746,"MAN PREVENTIVA - MECANICA"),0)+IFERROR(SUMIFS('Base bordo'!G$2:G$746,'Base bordo'!C$2:C$746,A592,'Base bordo'!B$2:B$746,B592,'Base bordo'!F$2:F$746,"MAN CORRETIVA - MECANICA"),0)</f>
        <v>0</v>
      </c>
      <c r="L592" s="10">
        <f>IFERROR(SUMIFS('Base bordo'!G$2:G$746,'Base bordo'!C$2:C$746,A592,'Base bordo'!B$2:B$746,B592,'Base bordo'!F$2:F$746,"MANUTENCAO - T O"),0)+IFERROR(SUMIFS('Base bordo'!G$2:G$746,'Base bordo'!C$2:C$746,A592,'Base bordo'!B$2:B$746,B592,'Base bordo'!F$2:F$746,"MANUTENCAO BORRACHARIA"),0)+IFERROR(SUMIFS('Base bordo'!G$2:G$746,'Base bordo'!C$2:C$746,A592,'Base bordo'!B$2:B$746,B592,'Base bordo'!F$2:F$746,"MANUTENCAO EXTERNA  CONCESSIONARIA"),0)+IFERROR(SUMIFS('Base bordo'!G$2:G$746,'Base bordo'!C$2:C$746,A592,'Base bordo'!B$2:B$746,B592,'Base bordo'!F$2:F$746,"MANUTENCAO TELEMETRIA"),0)</f>
        <v>10.766111111111112</v>
      </c>
      <c r="M592" s="10">
        <f>IFERROR(SUMIFS('Base bordo'!G$2:G$746,'Base bordo'!C$2:C$746,A592,'Base bordo'!B$2:B$746,B592,'Base bordo'!F$2:F$746,"AGUARDANDO MANUTENCAO"),0)</f>
        <v>0</v>
      </c>
      <c r="N592" s="10">
        <f>IFERROR(SUMIFS('Base bordo'!G$2:G$746,'Base bordo'!C$2:C$746,A592,'Base bordo'!B$2:B$746,B592,'Base bordo'!F$2:F$746,"SEM APONTAMENTO"),0)</f>
        <v>0.29444444444444445</v>
      </c>
      <c r="O592" s="10">
        <f t="shared" si="66"/>
        <v>2.536944444444444</v>
      </c>
      <c r="P592" s="10">
        <f>IFERROR(SUMIFS('Base bordo'!G$2:G$746,'Base bordo'!C$2:C$746,A592,'Base bordo'!B$2:B$746,B592),0)</f>
        <v>24</v>
      </c>
      <c r="Q592" s="10">
        <f>IFERROR(SUMIFS('Base bordo'!H$2:H$746,'Base bordo'!C$2:C$746,A592,'Base bordo'!B$2:B$746,B592,'Base bordo'!F$2:F$746,"DESLOCAMENTO VAZIO"),0)</f>
        <v>595925.09</v>
      </c>
      <c r="R592" s="10">
        <f>IFERROR(SUMIFS('Base bordo'!I$2:I$746,'Base bordo'!C$2:C$746,A592,'Base bordo'!B$2:B$746,B592,'Base bordo'!F$2:F$746,"DESLOCAMENTO VAZIO"),0)</f>
        <v>18745</v>
      </c>
      <c r="S592" s="30">
        <f t="shared" si="67"/>
        <v>31.791149106428378</v>
      </c>
      <c r="T592" s="10">
        <f>IFERROR(SUMIFS('Base bordo'!H$2:H$746,'Base bordo'!C$2:C$746,A592,'Base bordo'!B$2:B$746,B592,'Base bordo'!F$2:F$746,"DESLOCAMENTO CARREGADO"),0)</f>
        <v>52858.36</v>
      </c>
      <c r="U592" s="10">
        <f>IFERROR(SUMIFS('Base bordo'!I$2:I$746,'Base bordo'!C$2:C$746,A592,'Base bordo'!B$2:B$746,B592,'Base bordo'!F$2:F$746,"DESLOCAMENTO CARREGADO"),0)</f>
        <v>2014</v>
      </c>
      <c r="V592" s="30">
        <f t="shared" si="68"/>
        <v>26.245461767626615</v>
      </c>
      <c r="W592" s="9">
        <f t="shared" si="69"/>
        <v>0.21695601851851853</v>
      </c>
      <c r="X592" s="9">
        <f t="shared" si="70"/>
        <v>2.3310185185185184E-2</v>
      </c>
      <c r="Y592" s="9">
        <f t="shared" si="71"/>
        <v>0.75973379629629634</v>
      </c>
    </row>
    <row r="593" spans="1:25" ht="15" customHeight="1" x14ac:dyDescent="0.35">
      <c r="A593" s="52">
        <v>8013460</v>
      </c>
      <c r="B593" s="51">
        <v>46117</v>
      </c>
      <c r="C593" s="7" t="s">
        <v>124</v>
      </c>
      <c r="D593" s="10">
        <f>IFERROR(SUMIFS('Base bordo'!G$2:G$746,'Base bordo'!C$2:C$746,A593,'Base bordo'!B$2:B$746,B593,'Base bordo'!F$2:F$746,"DESLOCAMENTO VAZIO"),0)</f>
        <v>5.2069444444444448</v>
      </c>
      <c r="E593" s="10">
        <f>IFERROR(SUMIFS('Base bordo'!G$2:G$746,'Base bordo'!C$2:C$746,A593,'Base bordo'!B$2:B$746,B593,'Base bordo'!F$2:F$746,"DESLOCAMENTO CARREGADO"),0)</f>
        <v>0.55944444444444441</v>
      </c>
      <c r="F593" s="10">
        <f>IFERROR(SUMIFS('Base bordo'!G$2:G$746,'Base bordo'!C$2:C$746,A593,'Base bordo'!B$2:B$746,B593,'Base bordo'!F$2:F$746,"DESLOCAMENTO"),0)</f>
        <v>3.0825</v>
      </c>
      <c r="G593" s="10">
        <f>IFERROR(SUMIFS('Base bordo'!G$2:G$746,'Base bordo'!C$2:C$746,A593,'Base bordo'!B$2:B$746,B593,'Base bordo'!F$2:F$746,"CARREGAMENTO"),0)</f>
        <v>2.5000000000000001E-3</v>
      </c>
      <c r="H593" s="10">
        <f>IFERROR(SUMIFS('Base bordo'!G$2:G$746,'Base bordo'!C$2:C$746,A593,'Base bordo'!B$2:B$746,B593,'Base bordo'!F$2:F$746,"AGUARDANDO TRANSBORDO"),0)</f>
        <v>1.0013888888888889</v>
      </c>
      <c r="I593" s="10">
        <f>IFERROR(SUMIFS('Base bordo'!G$2:G$746,'Base bordo'!C$2:C$746,A593,'Base bordo'!B$2:B$746,B593,'Base bordo'!F$2:F$746,"PÁTIO INTERNO"),0)+IFERROR(SUMIFS('Base bordo'!G$2:G$746,'Base bordo'!C$2:C$746,A593,'Base bordo'!B$2:B$746,B593,'Base bordo'!F$2:F$746,"PÁTIO EXTERNO"),0)+IFERROR(SUMIFS('Base bordo'!G$2:G$746,'Base bordo'!C$2:C$746,A593,'Base bordo'!B$2:B$746,B593,'Base bordo'!F$2:F$746,"PATIO - RESERVA"),0)+IFERROR(SUMIFS('Base bordo'!G$2:G$746,'Base bordo'!C$2:C$746,A593,'Base bordo'!B$2:B$746,B593,'Base bordo'!F$2:F$746,"MANOBRA CARRETAS-PATIO"),0)</f>
        <v>0.54972222222222222</v>
      </c>
      <c r="J593" s="10">
        <f>IFERROR(SUMIFS('Base bordo'!G$2:G$746,'Base bordo'!C$2:C$746,A593,'Base bordo'!B$2:B$746,B593,'Base bordo'!F$2:F$746,"BALANÇA - ENTRADA"),0)+IFERROR(SUMIFS('Base bordo'!G$2:G$746,'Base bordo'!C$2:C$746,A593,'Base bordo'!B$2:B$746,B593,'Base bordo'!F$2:F$746,"BALANÇA - SAÍDA"),0)</f>
        <v>0</v>
      </c>
      <c r="K593" s="10">
        <f>IFERROR(SUMIFS('Base bordo'!G$2:G$746,'Base bordo'!C$2:C$746,A593,'Base bordo'!B$2:B$746,B593,'Base bordo'!F$2:F$746,"MAN PREVENTIVA - MECANICA"),0)+IFERROR(SUMIFS('Base bordo'!G$2:G$746,'Base bordo'!C$2:C$746,A593,'Base bordo'!B$2:B$746,B593,'Base bordo'!F$2:F$746,"MAN CORRETIVA - MECANICA"),0)</f>
        <v>0</v>
      </c>
      <c r="L593" s="10">
        <f>IFERROR(SUMIFS('Base bordo'!G$2:G$746,'Base bordo'!C$2:C$746,A593,'Base bordo'!B$2:B$746,B593,'Base bordo'!F$2:F$746,"MANUTENCAO - T O"),0)+IFERROR(SUMIFS('Base bordo'!G$2:G$746,'Base bordo'!C$2:C$746,A593,'Base bordo'!B$2:B$746,B593,'Base bordo'!F$2:F$746,"MANUTENCAO BORRACHARIA"),0)+IFERROR(SUMIFS('Base bordo'!G$2:G$746,'Base bordo'!C$2:C$746,A593,'Base bordo'!B$2:B$746,B593,'Base bordo'!F$2:F$746,"MANUTENCAO EXTERNA  CONCESSIONARIA"),0)+IFERROR(SUMIFS('Base bordo'!G$2:G$746,'Base bordo'!C$2:C$746,A593,'Base bordo'!B$2:B$746,B593,'Base bordo'!F$2:F$746,"MANUTENCAO TELEMETRIA"),0)</f>
        <v>10.766111111111112</v>
      </c>
      <c r="M593" s="10">
        <f>IFERROR(SUMIFS('Base bordo'!G$2:G$746,'Base bordo'!C$2:C$746,A593,'Base bordo'!B$2:B$746,B593,'Base bordo'!F$2:F$746,"AGUARDANDO MANUTENCAO"),0)</f>
        <v>0</v>
      </c>
      <c r="N593" s="10">
        <f>IFERROR(SUMIFS('Base bordo'!G$2:G$746,'Base bordo'!C$2:C$746,A593,'Base bordo'!B$2:B$746,B593,'Base bordo'!F$2:F$746,"SEM APONTAMENTO"),0)</f>
        <v>0.29444444444444445</v>
      </c>
      <c r="O593" s="10">
        <f t="shared" si="66"/>
        <v>2.536944444444444</v>
      </c>
      <c r="P593" s="10">
        <f>IFERROR(SUMIFS('Base bordo'!G$2:G$746,'Base bordo'!C$2:C$746,A593,'Base bordo'!B$2:B$746,B593),0)</f>
        <v>24</v>
      </c>
      <c r="Q593" s="10">
        <f>IFERROR(SUMIFS('Base bordo'!H$2:H$746,'Base bordo'!C$2:C$746,A593,'Base bordo'!B$2:B$746,B593,'Base bordo'!F$2:F$746,"DESLOCAMENTO VAZIO"),0)</f>
        <v>595925.09</v>
      </c>
      <c r="R593" s="10">
        <f>IFERROR(SUMIFS('Base bordo'!I$2:I$746,'Base bordo'!C$2:C$746,A593,'Base bordo'!B$2:B$746,B593,'Base bordo'!F$2:F$746,"DESLOCAMENTO VAZIO"),0)</f>
        <v>18745</v>
      </c>
      <c r="S593" s="30">
        <f t="shared" si="67"/>
        <v>31.791149106428378</v>
      </c>
      <c r="T593" s="10">
        <f>IFERROR(SUMIFS('Base bordo'!H$2:H$746,'Base bordo'!C$2:C$746,A593,'Base bordo'!B$2:B$746,B593,'Base bordo'!F$2:F$746,"DESLOCAMENTO CARREGADO"),0)</f>
        <v>52858.36</v>
      </c>
      <c r="U593" s="10">
        <f>IFERROR(SUMIFS('Base bordo'!I$2:I$746,'Base bordo'!C$2:C$746,A593,'Base bordo'!B$2:B$746,B593,'Base bordo'!F$2:F$746,"DESLOCAMENTO CARREGADO"),0)</f>
        <v>2014</v>
      </c>
      <c r="V593" s="30">
        <f t="shared" si="68"/>
        <v>26.245461767626615</v>
      </c>
      <c r="W593" s="9">
        <f t="shared" si="69"/>
        <v>0.21695601851851853</v>
      </c>
      <c r="X593" s="9">
        <f t="shared" si="70"/>
        <v>2.3310185185185184E-2</v>
      </c>
      <c r="Y593" s="9">
        <f t="shared" si="71"/>
        <v>0.75973379629629634</v>
      </c>
    </row>
    <row r="594" spans="1:25" ht="15" customHeight="1" x14ac:dyDescent="0.35">
      <c r="A594" s="52">
        <v>8013460</v>
      </c>
      <c r="B594" s="51">
        <v>46117</v>
      </c>
      <c r="C594" s="7" t="s">
        <v>124</v>
      </c>
      <c r="D594" s="10">
        <f>IFERROR(SUMIFS('Base bordo'!G$2:G$746,'Base bordo'!C$2:C$746,A594,'Base bordo'!B$2:B$746,B594,'Base bordo'!F$2:F$746,"DESLOCAMENTO VAZIO"),0)</f>
        <v>5.2069444444444448</v>
      </c>
      <c r="E594" s="10">
        <f>IFERROR(SUMIFS('Base bordo'!G$2:G$746,'Base bordo'!C$2:C$746,A594,'Base bordo'!B$2:B$746,B594,'Base bordo'!F$2:F$746,"DESLOCAMENTO CARREGADO"),0)</f>
        <v>0.55944444444444441</v>
      </c>
      <c r="F594" s="10">
        <f>IFERROR(SUMIFS('Base bordo'!G$2:G$746,'Base bordo'!C$2:C$746,A594,'Base bordo'!B$2:B$746,B594,'Base bordo'!F$2:F$746,"DESLOCAMENTO"),0)</f>
        <v>3.0825</v>
      </c>
      <c r="G594" s="10">
        <f>IFERROR(SUMIFS('Base bordo'!G$2:G$746,'Base bordo'!C$2:C$746,A594,'Base bordo'!B$2:B$746,B594,'Base bordo'!F$2:F$746,"CARREGAMENTO"),0)</f>
        <v>2.5000000000000001E-3</v>
      </c>
      <c r="H594" s="10">
        <f>IFERROR(SUMIFS('Base bordo'!G$2:G$746,'Base bordo'!C$2:C$746,A594,'Base bordo'!B$2:B$746,B594,'Base bordo'!F$2:F$746,"AGUARDANDO TRANSBORDO"),0)</f>
        <v>1.0013888888888889</v>
      </c>
      <c r="I594" s="10">
        <f>IFERROR(SUMIFS('Base bordo'!G$2:G$746,'Base bordo'!C$2:C$746,A594,'Base bordo'!B$2:B$746,B594,'Base bordo'!F$2:F$746,"PÁTIO INTERNO"),0)+IFERROR(SUMIFS('Base bordo'!G$2:G$746,'Base bordo'!C$2:C$746,A594,'Base bordo'!B$2:B$746,B594,'Base bordo'!F$2:F$746,"PÁTIO EXTERNO"),0)+IFERROR(SUMIFS('Base bordo'!G$2:G$746,'Base bordo'!C$2:C$746,A594,'Base bordo'!B$2:B$746,B594,'Base bordo'!F$2:F$746,"PATIO - RESERVA"),0)+IFERROR(SUMIFS('Base bordo'!G$2:G$746,'Base bordo'!C$2:C$746,A594,'Base bordo'!B$2:B$746,B594,'Base bordo'!F$2:F$746,"MANOBRA CARRETAS-PATIO"),0)</f>
        <v>0.54972222222222222</v>
      </c>
      <c r="J594" s="10">
        <f>IFERROR(SUMIFS('Base bordo'!G$2:G$746,'Base bordo'!C$2:C$746,A594,'Base bordo'!B$2:B$746,B594,'Base bordo'!F$2:F$746,"BALANÇA - ENTRADA"),0)+IFERROR(SUMIFS('Base bordo'!G$2:G$746,'Base bordo'!C$2:C$746,A594,'Base bordo'!B$2:B$746,B594,'Base bordo'!F$2:F$746,"BALANÇA - SAÍDA"),0)</f>
        <v>0</v>
      </c>
      <c r="K594" s="10">
        <f>IFERROR(SUMIFS('Base bordo'!G$2:G$746,'Base bordo'!C$2:C$746,A594,'Base bordo'!B$2:B$746,B594,'Base bordo'!F$2:F$746,"MAN PREVENTIVA - MECANICA"),0)+IFERROR(SUMIFS('Base bordo'!G$2:G$746,'Base bordo'!C$2:C$746,A594,'Base bordo'!B$2:B$746,B594,'Base bordo'!F$2:F$746,"MAN CORRETIVA - MECANICA"),0)</f>
        <v>0</v>
      </c>
      <c r="L594" s="10">
        <f>IFERROR(SUMIFS('Base bordo'!G$2:G$746,'Base bordo'!C$2:C$746,A594,'Base bordo'!B$2:B$746,B594,'Base bordo'!F$2:F$746,"MANUTENCAO - T O"),0)+IFERROR(SUMIFS('Base bordo'!G$2:G$746,'Base bordo'!C$2:C$746,A594,'Base bordo'!B$2:B$746,B594,'Base bordo'!F$2:F$746,"MANUTENCAO BORRACHARIA"),0)+IFERROR(SUMIFS('Base bordo'!G$2:G$746,'Base bordo'!C$2:C$746,A594,'Base bordo'!B$2:B$746,B594,'Base bordo'!F$2:F$746,"MANUTENCAO EXTERNA  CONCESSIONARIA"),0)+IFERROR(SUMIFS('Base bordo'!G$2:G$746,'Base bordo'!C$2:C$746,A594,'Base bordo'!B$2:B$746,B594,'Base bordo'!F$2:F$746,"MANUTENCAO TELEMETRIA"),0)</f>
        <v>10.766111111111112</v>
      </c>
      <c r="M594" s="10">
        <f>IFERROR(SUMIFS('Base bordo'!G$2:G$746,'Base bordo'!C$2:C$746,A594,'Base bordo'!B$2:B$746,B594,'Base bordo'!F$2:F$746,"AGUARDANDO MANUTENCAO"),0)</f>
        <v>0</v>
      </c>
      <c r="N594" s="10">
        <f>IFERROR(SUMIFS('Base bordo'!G$2:G$746,'Base bordo'!C$2:C$746,A594,'Base bordo'!B$2:B$746,B594,'Base bordo'!F$2:F$746,"SEM APONTAMENTO"),0)</f>
        <v>0.29444444444444445</v>
      </c>
      <c r="O594" s="10">
        <f t="shared" si="66"/>
        <v>2.536944444444444</v>
      </c>
      <c r="P594" s="10">
        <f>IFERROR(SUMIFS('Base bordo'!G$2:G$746,'Base bordo'!C$2:C$746,A594,'Base bordo'!B$2:B$746,B594),0)</f>
        <v>24</v>
      </c>
      <c r="Q594" s="10">
        <f>IFERROR(SUMIFS('Base bordo'!H$2:H$746,'Base bordo'!C$2:C$746,A594,'Base bordo'!B$2:B$746,B594,'Base bordo'!F$2:F$746,"DESLOCAMENTO VAZIO"),0)</f>
        <v>595925.09</v>
      </c>
      <c r="R594" s="10">
        <f>IFERROR(SUMIFS('Base bordo'!I$2:I$746,'Base bordo'!C$2:C$746,A594,'Base bordo'!B$2:B$746,B594,'Base bordo'!F$2:F$746,"DESLOCAMENTO VAZIO"),0)</f>
        <v>18745</v>
      </c>
      <c r="S594" s="30">
        <f t="shared" si="67"/>
        <v>31.791149106428378</v>
      </c>
      <c r="T594" s="10">
        <f>IFERROR(SUMIFS('Base bordo'!H$2:H$746,'Base bordo'!C$2:C$746,A594,'Base bordo'!B$2:B$746,B594,'Base bordo'!F$2:F$746,"DESLOCAMENTO CARREGADO"),0)</f>
        <v>52858.36</v>
      </c>
      <c r="U594" s="10">
        <f>IFERROR(SUMIFS('Base bordo'!I$2:I$746,'Base bordo'!C$2:C$746,A594,'Base bordo'!B$2:B$746,B594,'Base bordo'!F$2:F$746,"DESLOCAMENTO CARREGADO"),0)</f>
        <v>2014</v>
      </c>
      <c r="V594" s="30">
        <f t="shared" si="68"/>
        <v>26.245461767626615</v>
      </c>
      <c r="W594" s="9">
        <f t="shared" si="69"/>
        <v>0.21695601851851853</v>
      </c>
      <c r="X594" s="9">
        <f t="shared" si="70"/>
        <v>2.3310185185185184E-2</v>
      </c>
      <c r="Y594" s="9">
        <f t="shared" si="71"/>
        <v>0.75973379629629634</v>
      </c>
    </row>
    <row r="595" spans="1:25" ht="15" customHeight="1" x14ac:dyDescent="0.35">
      <c r="A595" s="52">
        <v>8013460</v>
      </c>
      <c r="B595" s="51">
        <v>46117</v>
      </c>
      <c r="C595" s="7" t="s">
        <v>124</v>
      </c>
      <c r="D595" s="10">
        <f>IFERROR(SUMIFS('Base bordo'!G$2:G$746,'Base bordo'!C$2:C$746,A595,'Base bordo'!B$2:B$746,B595,'Base bordo'!F$2:F$746,"DESLOCAMENTO VAZIO"),0)</f>
        <v>5.2069444444444448</v>
      </c>
      <c r="E595" s="10">
        <f>IFERROR(SUMIFS('Base bordo'!G$2:G$746,'Base bordo'!C$2:C$746,A595,'Base bordo'!B$2:B$746,B595,'Base bordo'!F$2:F$746,"DESLOCAMENTO CARREGADO"),0)</f>
        <v>0.55944444444444441</v>
      </c>
      <c r="F595" s="10">
        <f>IFERROR(SUMIFS('Base bordo'!G$2:G$746,'Base bordo'!C$2:C$746,A595,'Base bordo'!B$2:B$746,B595,'Base bordo'!F$2:F$746,"DESLOCAMENTO"),0)</f>
        <v>3.0825</v>
      </c>
      <c r="G595" s="10">
        <f>IFERROR(SUMIFS('Base bordo'!G$2:G$746,'Base bordo'!C$2:C$746,A595,'Base bordo'!B$2:B$746,B595,'Base bordo'!F$2:F$746,"CARREGAMENTO"),0)</f>
        <v>2.5000000000000001E-3</v>
      </c>
      <c r="H595" s="10">
        <f>IFERROR(SUMIFS('Base bordo'!G$2:G$746,'Base bordo'!C$2:C$746,A595,'Base bordo'!B$2:B$746,B595,'Base bordo'!F$2:F$746,"AGUARDANDO TRANSBORDO"),0)</f>
        <v>1.0013888888888889</v>
      </c>
      <c r="I595" s="10">
        <f>IFERROR(SUMIFS('Base bordo'!G$2:G$746,'Base bordo'!C$2:C$746,A595,'Base bordo'!B$2:B$746,B595,'Base bordo'!F$2:F$746,"PÁTIO INTERNO"),0)+IFERROR(SUMIFS('Base bordo'!G$2:G$746,'Base bordo'!C$2:C$746,A595,'Base bordo'!B$2:B$746,B595,'Base bordo'!F$2:F$746,"PÁTIO EXTERNO"),0)+IFERROR(SUMIFS('Base bordo'!G$2:G$746,'Base bordo'!C$2:C$746,A595,'Base bordo'!B$2:B$746,B595,'Base bordo'!F$2:F$746,"PATIO - RESERVA"),0)+IFERROR(SUMIFS('Base bordo'!G$2:G$746,'Base bordo'!C$2:C$746,A595,'Base bordo'!B$2:B$746,B595,'Base bordo'!F$2:F$746,"MANOBRA CARRETAS-PATIO"),0)</f>
        <v>0.54972222222222222</v>
      </c>
      <c r="J595" s="10">
        <f>IFERROR(SUMIFS('Base bordo'!G$2:G$746,'Base bordo'!C$2:C$746,A595,'Base bordo'!B$2:B$746,B595,'Base bordo'!F$2:F$746,"BALANÇA - ENTRADA"),0)+IFERROR(SUMIFS('Base bordo'!G$2:G$746,'Base bordo'!C$2:C$746,A595,'Base bordo'!B$2:B$746,B595,'Base bordo'!F$2:F$746,"BALANÇA - SAÍDA"),0)</f>
        <v>0</v>
      </c>
      <c r="K595" s="10">
        <f>IFERROR(SUMIFS('Base bordo'!G$2:G$746,'Base bordo'!C$2:C$746,A595,'Base bordo'!B$2:B$746,B595,'Base bordo'!F$2:F$746,"MAN PREVENTIVA - MECANICA"),0)+IFERROR(SUMIFS('Base bordo'!G$2:G$746,'Base bordo'!C$2:C$746,A595,'Base bordo'!B$2:B$746,B595,'Base bordo'!F$2:F$746,"MAN CORRETIVA - MECANICA"),0)</f>
        <v>0</v>
      </c>
      <c r="L595" s="10">
        <f>IFERROR(SUMIFS('Base bordo'!G$2:G$746,'Base bordo'!C$2:C$746,A595,'Base bordo'!B$2:B$746,B595,'Base bordo'!F$2:F$746,"MANUTENCAO - T O"),0)+IFERROR(SUMIFS('Base bordo'!G$2:G$746,'Base bordo'!C$2:C$746,A595,'Base bordo'!B$2:B$746,B595,'Base bordo'!F$2:F$746,"MANUTENCAO BORRACHARIA"),0)+IFERROR(SUMIFS('Base bordo'!G$2:G$746,'Base bordo'!C$2:C$746,A595,'Base bordo'!B$2:B$746,B595,'Base bordo'!F$2:F$746,"MANUTENCAO EXTERNA  CONCESSIONARIA"),0)+IFERROR(SUMIFS('Base bordo'!G$2:G$746,'Base bordo'!C$2:C$746,A595,'Base bordo'!B$2:B$746,B595,'Base bordo'!F$2:F$746,"MANUTENCAO TELEMETRIA"),0)</f>
        <v>10.766111111111112</v>
      </c>
      <c r="M595" s="10">
        <f>IFERROR(SUMIFS('Base bordo'!G$2:G$746,'Base bordo'!C$2:C$746,A595,'Base bordo'!B$2:B$746,B595,'Base bordo'!F$2:F$746,"AGUARDANDO MANUTENCAO"),0)</f>
        <v>0</v>
      </c>
      <c r="N595" s="10">
        <f>IFERROR(SUMIFS('Base bordo'!G$2:G$746,'Base bordo'!C$2:C$746,A595,'Base bordo'!B$2:B$746,B595,'Base bordo'!F$2:F$746,"SEM APONTAMENTO"),0)</f>
        <v>0.29444444444444445</v>
      </c>
      <c r="O595" s="10">
        <f t="shared" si="66"/>
        <v>2.536944444444444</v>
      </c>
      <c r="P595" s="10">
        <f>IFERROR(SUMIFS('Base bordo'!G$2:G$746,'Base bordo'!C$2:C$746,A595,'Base bordo'!B$2:B$746,B595),0)</f>
        <v>24</v>
      </c>
      <c r="Q595" s="10">
        <f>IFERROR(SUMIFS('Base bordo'!H$2:H$746,'Base bordo'!C$2:C$746,A595,'Base bordo'!B$2:B$746,B595,'Base bordo'!F$2:F$746,"DESLOCAMENTO VAZIO"),0)</f>
        <v>595925.09</v>
      </c>
      <c r="R595" s="10">
        <f>IFERROR(SUMIFS('Base bordo'!I$2:I$746,'Base bordo'!C$2:C$746,A595,'Base bordo'!B$2:B$746,B595,'Base bordo'!F$2:F$746,"DESLOCAMENTO VAZIO"),0)</f>
        <v>18745</v>
      </c>
      <c r="S595" s="30">
        <f t="shared" si="67"/>
        <v>31.791149106428378</v>
      </c>
      <c r="T595" s="10">
        <f>IFERROR(SUMIFS('Base bordo'!H$2:H$746,'Base bordo'!C$2:C$746,A595,'Base bordo'!B$2:B$746,B595,'Base bordo'!F$2:F$746,"DESLOCAMENTO CARREGADO"),0)</f>
        <v>52858.36</v>
      </c>
      <c r="U595" s="10">
        <f>IFERROR(SUMIFS('Base bordo'!I$2:I$746,'Base bordo'!C$2:C$746,A595,'Base bordo'!B$2:B$746,B595,'Base bordo'!F$2:F$746,"DESLOCAMENTO CARREGADO"),0)</f>
        <v>2014</v>
      </c>
      <c r="V595" s="30">
        <f t="shared" si="68"/>
        <v>26.245461767626615</v>
      </c>
      <c r="W595" s="9">
        <f t="shared" si="69"/>
        <v>0.21695601851851853</v>
      </c>
      <c r="X595" s="9">
        <f t="shared" si="70"/>
        <v>2.3310185185185184E-2</v>
      </c>
      <c r="Y595" s="9">
        <f t="shared" si="71"/>
        <v>0.75973379629629634</v>
      </c>
    </row>
    <row r="596" spans="1:25" ht="15" customHeight="1" x14ac:dyDescent="0.35">
      <c r="A596" s="52">
        <v>8013461</v>
      </c>
      <c r="B596" s="51">
        <v>46117</v>
      </c>
      <c r="C596" s="7" t="s">
        <v>124</v>
      </c>
      <c r="D596" s="10">
        <f>IFERROR(SUMIFS('Base bordo'!G$2:G$746,'Base bordo'!C$2:C$746,A596,'Base bordo'!B$2:B$746,B596,'Base bordo'!F$2:F$746,"DESLOCAMENTO VAZIO"),0)</f>
        <v>4.035277777777778</v>
      </c>
      <c r="E596" s="10">
        <f>IFERROR(SUMIFS('Base bordo'!G$2:G$746,'Base bordo'!C$2:C$746,A596,'Base bordo'!B$2:B$746,B596,'Base bordo'!F$2:F$746,"DESLOCAMENTO CARREGADO"),0)</f>
        <v>0.74527777777777782</v>
      </c>
      <c r="F596" s="10">
        <f>IFERROR(SUMIFS('Base bordo'!G$2:G$746,'Base bordo'!C$2:C$746,A596,'Base bordo'!B$2:B$746,B596,'Base bordo'!F$2:F$746,"DESLOCAMENTO"),0)</f>
        <v>0.7155555555555555</v>
      </c>
      <c r="G596" s="10">
        <f>IFERROR(SUMIFS('Base bordo'!G$2:G$746,'Base bordo'!C$2:C$746,A596,'Base bordo'!B$2:B$746,B596,'Base bordo'!F$2:F$746,"CARREGAMENTO"),0)</f>
        <v>0.18611111111111112</v>
      </c>
      <c r="H596" s="10">
        <f>IFERROR(SUMIFS('Base bordo'!G$2:G$746,'Base bordo'!C$2:C$746,A596,'Base bordo'!B$2:B$746,B596,'Base bordo'!F$2:F$746,"AGUARDANDO TRANSBORDO"),0)</f>
        <v>0.22416666666666665</v>
      </c>
      <c r="I596" s="10">
        <f>IFERROR(SUMIFS('Base bordo'!G$2:G$746,'Base bordo'!C$2:C$746,A596,'Base bordo'!B$2:B$746,B596,'Base bordo'!F$2:F$746,"PÁTIO INTERNO"),0)+IFERROR(SUMIFS('Base bordo'!G$2:G$746,'Base bordo'!C$2:C$746,A596,'Base bordo'!B$2:B$746,B596,'Base bordo'!F$2:F$746,"PÁTIO EXTERNO"),0)+IFERROR(SUMIFS('Base bordo'!G$2:G$746,'Base bordo'!C$2:C$746,A596,'Base bordo'!B$2:B$746,B596,'Base bordo'!F$2:F$746,"PATIO - RESERVA"),0)+IFERROR(SUMIFS('Base bordo'!G$2:G$746,'Base bordo'!C$2:C$746,A596,'Base bordo'!B$2:B$746,B596,'Base bordo'!F$2:F$746,"MANOBRA CARRETAS-PATIO"),0)</f>
        <v>0</v>
      </c>
      <c r="J596" s="10">
        <f>IFERROR(SUMIFS('Base bordo'!G$2:G$746,'Base bordo'!C$2:C$746,A596,'Base bordo'!B$2:B$746,B596,'Base bordo'!F$2:F$746,"BALANÇA - ENTRADA"),0)+IFERROR(SUMIFS('Base bordo'!G$2:G$746,'Base bordo'!C$2:C$746,A596,'Base bordo'!B$2:B$746,B596,'Base bordo'!F$2:F$746,"BALANÇA - SAÍDA"),0)</f>
        <v>0</v>
      </c>
      <c r="K596" s="10">
        <f>IFERROR(SUMIFS('Base bordo'!G$2:G$746,'Base bordo'!C$2:C$746,A596,'Base bordo'!B$2:B$746,B596,'Base bordo'!F$2:F$746,"MAN PREVENTIVA - MECANICA"),0)+IFERROR(SUMIFS('Base bordo'!G$2:G$746,'Base bordo'!C$2:C$746,A596,'Base bordo'!B$2:B$746,B596,'Base bordo'!F$2:F$746,"MAN CORRETIVA - MECANICA"),0)</f>
        <v>0</v>
      </c>
      <c r="L596" s="10">
        <f>IFERROR(SUMIFS('Base bordo'!G$2:G$746,'Base bordo'!C$2:C$746,A596,'Base bordo'!B$2:B$746,B596,'Base bordo'!F$2:F$746,"MANUTENCAO - T O"),0)+IFERROR(SUMIFS('Base bordo'!G$2:G$746,'Base bordo'!C$2:C$746,A596,'Base bordo'!B$2:B$746,B596,'Base bordo'!F$2:F$746,"MANUTENCAO BORRACHARIA"),0)+IFERROR(SUMIFS('Base bordo'!G$2:G$746,'Base bordo'!C$2:C$746,A596,'Base bordo'!B$2:B$746,B596,'Base bordo'!F$2:F$746,"MANUTENCAO EXTERNA  CONCESSIONARIA"),0)+IFERROR(SUMIFS('Base bordo'!G$2:G$746,'Base bordo'!C$2:C$746,A596,'Base bordo'!B$2:B$746,B596,'Base bordo'!F$2:F$746,"MANUTENCAO TELEMETRIA"),0)</f>
        <v>8.9302777777777784</v>
      </c>
      <c r="M596" s="10">
        <f>IFERROR(SUMIFS('Base bordo'!G$2:G$746,'Base bordo'!C$2:C$746,A596,'Base bordo'!B$2:B$746,B596,'Base bordo'!F$2:F$746,"AGUARDANDO MANUTENCAO"),0)</f>
        <v>0</v>
      </c>
      <c r="N596" s="10">
        <f>IFERROR(SUMIFS('Base bordo'!G$2:G$746,'Base bordo'!C$2:C$746,A596,'Base bordo'!B$2:B$746,B596,'Base bordo'!F$2:F$746,"SEM APONTAMENTO"),0)</f>
        <v>0.91388888888888886</v>
      </c>
      <c r="O596" s="10">
        <f t="shared" si="66"/>
        <v>8.2494444444444426</v>
      </c>
      <c r="P596" s="10">
        <f>IFERROR(SUMIFS('Base bordo'!G$2:G$746,'Base bordo'!C$2:C$746,A596,'Base bordo'!B$2:B$746,B596),0)</f>
        <v>24</v>
      </c>
      <c r="Q596" s="10">
        <f>IFERROR(SUMIFS('Base bordo'!H$2:H$746,'Base bordo'!C$2:C$746,A596,'Base bordo'!B$2:B$746,B596,'Base bordo'!F$2:F$746,"DESLOCAMENTO VAZIO"),0)</f>
        <v>619414.3600000001</v>
      </c>
      <c r="R596" s="10">
        <f>IFERROR(SUMIFS('Base bordo'!I$2:I$746,'Base bordo'!C$2:C$746,A596,'Base bordo'!B$2:B$746,B596,'Base bordo'!F$2:F$746,"DESLOCAMENTO VAZIO"),0)</f>
        <v>14527</v>
      </c>
      <c r="S596" s="30">
        <f t="shared" si="67"/>
        <v>42.638835272251676</v>
      </c>
      <c r="T596" s="10">
        <f>IFERROR(SUMIFS('Base bordo'!H$2:H$746,'Base bordo'!C$2:C$746,A596,'Base bordo'!B$2:B$746,B596,'Base bordo'!F$2:F$746,"DESLOCAMENTO CARREGADO"),0)</f>
        <v>37451.120000000003</v>
      </c>
      <c r="U596" s="10">
        <f>IFERROR(SUMIFS('Base bordo'!I$2:I$746,'Base bordo'!C$2:C$746,A596,'Base bordo'!B$2:B$746,B596,'Base bordo'!F$2:F$746,"DESLOCAMENTO CARREGADO"),0)</f>
        <v>2683</v>
      </c>
      <c r="V596" s="30">
        <f t="shared" si="68"/>
        <v>13.958673127096535</v>
      </c>
      <c r="W596" s="9">
        <f t="shared" si="69"/>
        <v>0.16813657407407409</v>
      </c>
      <c r="X596" s="9">
        <f t="shared" si="70"/>
        <v>3.1053240740740742E-2</v>
      </c>
      <c r="Y596" s="9">
        <f t="shared" si="71"/>
        <v>0.80081018518518521</v>
      </c>
    </row>
    <row r="597" spans="1:25" ht="15" customHeight="1" x14ac:dyDescent="0.35">
      <c r="A597" s="52">
        <v>8013461</v>
      </c>
      <c r="B597" s="51">
        <v>46117</v>
      </c>
      <c r="C597" s="7" t="s">
        <v>124</v>
      </c>
      <c r="D597" s="10">
        <f>IFERROR(SUMIFS('Base bordo'!G$2:G$746,'Base bordo'!C$2:C$746,A597,'Base bordo'!B$2:B$746,B597,'Base bordo'!F$2:F$746,"DESLOCAMENTO VAZIO"),0)</f>
        <v>4.035277777777778</v>
      </c>
      <c r="E597" s="10">
        <f>IFERROR(SUMIFS('Base bordo'!G$2:G$746,'Base bordo'!C$2:C$746,A597,'Base bordo'!B$2:B$746,B597,'Base bordo'!F$2:F$746,"DESLOCAMENTO CARREGADO"),0)</f>
        <v>0.74527777777777782</v>
      </c>
      <c r="F597" s="10">
        <f>IFERROR(SUMIFS('Base bordo'!G$2:G$746,'Base bordo'!C$2:C$746,A597,'Base bordo'!B$2:B$746,B597,'Base bordo'!F$2:F$746,"DESLOCAMENTO"),0)</f>
        <v>0.7155555555555555</v>
      </c>
      <c r="G597" s="10">
        <f>IFERROR(SUMIFS('Base bordo'!G$2:G$746,'Base bordo'!C$2:C$746,A597,'Base bordo'!B$2:B$746,B597,'Base bordo'!F$2:F$746,"CARREGAMENTO"),0)</f>
        <v>0.18611111111111112</v>
      </c>
      <c r="H597" s="10">
        <f>IFERROR(SUMIFS('Base bordo'!G$2:G$746,'Base bordo'!C$2:C$746,A597,'Base bordo'!B$2:B$746,B597,'Base bordo'!F$2:F$746,"AGUARDANDO TRANSBORDO"),0)</f>
        <v>0.22416666666666665</v>
      </c>
      <c r="I597" s="10">
        <f>IFERROR(SUMIFS('Base bordo'!G$2:G$746,'Base bordo'!C$2:C$746,A597,'Base bordo'!B$2:B$746,B597,'Base bordo'!F$2:F$746,"PÁTIO INTERNO"),0)+IFERROR(SUMIFS('Base bordo'!G$2:G$746,'Base bordo'!C$2:C$746,A597,'Base bordo'!B$2:B$746,B597,'Base bordo'!F$2:F$746,"PÁTIO EXTERNO"),0)+IFERROR(SUMIFS('Base bordo'!G$2:G$746,'Base bordo'!C$2:C$746,A597,'Base bordo'!B$2:B$746,B597,'Base bordo'!F$2:F$746,"PATIO - RESERVA"),0)+IFERROR(SUMIFS('Base bordo'!G$2:G$746,'Base bordo'!C$2:C$746,A597,'Base bordo'!B$2:B$746,B597,'Base bordo'!F$2:F$746,"MANOBRA CARRETAS-PATIO"),0)</f>
        <v>0</v>
      </c>
      <c r="J597" s="10">
        <f>IFERROR(SUMIFS('Base bordo'!G$2:G$746,'Base bordo'!C$2:C$746,A597,'Base bordo'!B$2:B$746,B597,'Base bordo'!F$2:F$746,"BALANÇA - ENTRADA"),0)+IFERROR(SUMIFS('Base bordo'!G$2:G$746,'Base bordo'!C$2:C$746,A597,'Base bordo'!B$2:B$746,B597,'Base bordo'!F$2:F$746,"BALANÇA - SAÍDA"),0)</f>
        <v>0</v>
      </c>
      <c r="K597" s="10">
        <f>IFERROR(SUMIFS('Base bordo'!G$2:G$746,'Base bordo'!C$2:C$746,A597,'Base bordo'!B$2:B$746,B597,'Base bordo'!F$2:F$746,"MAN PREVENTIVA - MECANICA"),0)+IFERROR(SUMIFS('Base bordo'!G$2:G$746,'Base bordo'!C$2:C$746,A597,'Base bordo'!B$2:B$746,B597,'Base bordo'!F$2:F$746,"MAN CORRETIVA - MECANICA"),0)</f>
        <v>0</v>
      </c>
      <c r="L597" s="10">
        <f>IFERROR(SUMIFS('Base bordo'!G$2:G$746,'Base bordo'!C$2:C$746,A597,'Base bordo'!B$2:B$746,B597,'Base bordo'!F$2:F$746,"MANUTENCAO - T O"),0)+IFERROR(SUMIFS('Base bordo'!G$2:G$746,'Base bordo'!C$2:C$746,A597,'Base bordo'!B$2:B$746,B597,'Base bordo'!F$2:F$746,"MANUTENCAO BORRACHARIA"),0)+IFERROR(SUMIFS('Base bordo'!G$2:G$746,'Base bordo'!C$2:C$746,A597,'Base bordo'!B$2:B$746,B597,'Base bordo'!F$2:F$746,"MANUTENCAO EXTERNA  CONCESSIONARIA"),0)+IFERROR(SUMIFS('Base bordo'!G$2:G$746,'Base bordo'!C$2:C$746,A597,'Base bordo'!B$2:B$746,B597,'Base bordo'!F$2:F$746,"MANUTENCAO TELEMETRIA"),0)</f>
        <v>8.9302777777777784</v>
      </c>
      <c r="M597" s="10">
        <f>IFERROR(SUMIFS('Base bordo'!G$2:G$746,'Base bordo'!C$2:C$746,A597,'Base bordo'!B$2:B$746,B597,'Base bordo'!F$2:F$746,"AGUARDANDO MANUTENCAO"),0)</f>
        <v>0</v>
      </c>
      <c r="N597" s="10">
        <f>IFERROR(SUMIFS('Base bordo'!G$2:G$746,'Base bordo'!C$2:C$746,A597,'Base bordo'!B$2:B$746,B597,'Base bordo'!F$2:F$746,"SEM APONTAMENTO"),0)</f>
        <v>0.91388888888888886</v>
      </c>
      <c r="O597" s="10">
        <f t="shared" si="66"/>
        <v>8.2494444444444426</v>
      </c>
      <c r="P597" s="10">
        <f>IFERROR(SUMIFS('Base bordo'!G$2:G$746,'Base bordo'!C$2:C$746,A597,'Base bordo'!B$2:B$746,B597),0)</f>
        <v>24</v>
      </c>
      <c r="Q597" s="10">
        <f>IFERROR(SUMIFS('Base bordo'!H$2:H$746,'Base bordo'!C$2:C$746,A597,'Base bordo'!B$2:B$746,B597,'Base bordo'!F$2:F$746,"DESLOCAMENTO VAZIO"),0)</f>
        <v>619414.3600000001</v>
      </c>
      <c r="R597" s="10">
        <f>IFERROR(SUMIFS('Base bordo'!I$2:I$746,'Base bordo'!C$2:C$746,A597,'Base bordo'!B$2:B$746,B597,'Base bordo'!F$2:F$746,"DESLOCAMENTO VAZIO"),0)</f>
        <v>14527</v>
      </c>
      <c r="S597" s="30">
        <f t="shared" si="67"/>
        <v>42.638835272251676</v>
      </c>
      <c r="T597" s="10">
        <f>IFERROR(SUMIFS('Base bordo'!H$2:H$746,'Base bordo'!C$2:C$746,A597,'Base bordo'!B$2:B$746,B597,'Base bordo'!F$2:F$746,"DESLOCAMENTO CARREGADO"),0)</f>
        <v>37451.120000000003</v>
      </c>
      <c r="U597" s="10">
        <f>IFERROR(SUMIFS('Base bordo'!I$2:I$746,'Base bordo'!C$2:C$746,A597,'Base bordo'!B$2:B$746,B597,'Base bordo'!F$2:F$746,"DESLOCAMENTO CARREGADO"),0)</f>
        <v>2683</v>
      </c>
      <c r="V597" s="30">
        <f t="shared" si="68"/>
        <v>13.958673127096535</v>
      </c>
      <c r="W597" s="9">
        <f t="shared" si="69"/>
        <v>0.16813657407407409</v>
      </c>
      <c r="X597" s="9">
        <f t="shared" si="70"/>
        <v>3.1053240740740742E-2</v>
      </c>
      <c r="Y597" s="9">
        <f t="shared" si="71"/>
        <v>0.80081018518518521</v>
      </c>
    </row>
    <row r="598" spans="1:25" ht="15" customHeight="1" x14ac:dyDescent="0.35">
      <c r="A598" s="52">
        <v>8013461</v>
      </c>
      <c r="B598" s="51">
        <v>46117</v>
      </c>
      <c r="C598" s="7" t="s">
        <v>124</v>
      </c>
      <c r="D598" s="10">
        <f>IFERROR(SUMIFS('Base bordo'!G$2:G$746,'Base bordo'!C$2:C$746,A598,'Base bordo'!B$2:B$746,B598,'Base bordo'!F$2:F$746,"DESLOCAMENTO VAZIO"),0)</f>
        <v>4.035277777777778</v>
      </c>
      <c r="E598" s="10">
        <f>IFERROR(SUMIFS('Base bordo'!G$2:G$746,'Base bordo'!C$2:C$746,A598,'Base bordo'!B$2:B$746,B598,'Base bordo'!F$2:F$746,"DESLOCAMENTO CARREGADO"),0)</f>
        <v>0.74527777777777782</v>
      </c>
      <c r="F598" s="10">
        <f>IFERROR(SUMIFS('Base bordo'!G$2:G$746,'Base bordo'!C$2:C$746,A598,'Base bordo'!B$2:B$746,B598,'Base bordo'!F$2:F$746,"DESLOCAMENTO"),0)</f>
        <v>0.7155555555555555</v>
      </c>
      <c r="G598" s="10">
        <f>IFERROR(SUMIFS('Base bordo'!G$2:G$746,'Base bordo'!C$2:C$746,A598,'Base bordo'!B$2:B$746,B598,'Base bordo'!F$2:F$746,"CARREGAMENTO"),0)</f>
        <v>0.18611111111111112</v>
      </c>
      <c r="H598" s="10">
        <f>IFERROR(SUMIFS('Base bordo'!G$2:G$746,'Base bordo'!C$2:C$746,A598,'Base bordo'!B$2:B$746,B598,'Base bordo'!F$2:F$746,"AGUARDANDO TRANSBORDO"),0)</f>
        <v>0.22416666666666665</v>
      </c>
      <c r="I598" s="10">
        <f>IFERROR(SUMIFS('Base bordo'!G$2:G$746,'Base bordo'!C$2:C$746,A598,'Base bordo'!B$2:B$746,B598,'Base bordo'!F$2:F$746,"PÁTIO INTERNO"),0)+IFERROR(SUMIFS('Base bordo'!G$2:G$746,'Base bordo'!C$2:C$746,A598,'Base bordo'!B$2:B$746,B598,'Base bordo'!F$2:F$746,"PÁTIO EXTERNO"),0)+IFERROR(SUMIFS('Base bordo'!G$2:G$746,'Base bordo'!C$2:C$746,A598,'Base bordo'!B$2:B$746,B598,'Base bordo'!F$2:F$746,"PATIO - RESERVA"),0)+IFERROR(SUMIFS('Base bordo'!G$2:G$746,'Base bordo'!C$2:C$746,A598,'Base bordo'!B$2:B$746,B598,'Base bordo'!F$2:F$746,"MANOBRA CARRETAS-PATIO"),0)</f>
        <v>0</v>
      </c>
      <c r="J598" s="10">
        <f>IFERROR(SUMIFS('Base bordo'!G$2:G$746,'Base bordo'!C$2:C$746,A598,'Base bordo'!B$2:B$746,B598,'Base bordo'!F$2:F$746,"BALANÇA - ENTRADA"),0)+IFERROR(SUMIFS('Base bordo'!G$2:G$746,'Base bordo'!C$2:C$746,A598,'Base bordo'!B$2:B$746,B598,'Base bordo'!F$2:F$746,"BALANÇA - SAÍDA"),0)</f>
        <v>0</v>
      </c>
      <c r="K598" s="10">
        <f>IFERROR(SUMIFS('Base bordo'!G$2:G$746,'Base bordo'!C$2:C$746,A598,'Base bordo'!B$2:B$746,B598,'Base bordo'!F$2:F$746,"MAN PREVENTIVA - MECANICA"),0)+IFERROR(SUMIFS('Base bordo'!G$2:G$746,'Base bordo'!C$2:C$746,A598,'Base bordo'!B$2:B$746,B598,'Base bordo'!F$2:F$746,"MAN CORRETIVA - MECANICA"),0)</f>
        <v>0</v>
      </c>
      <c r="L598" s="10">
        <f>IFERROR(SUMIFS('Base bordo'!G$2:G$746,'Base bordo'!C$2:C$746,A598,'Base bordo'!B$2:B$746,B598,'Base bordo'!F$2:F$746,"MANUTENCAO - T O"),0)+IFERROR(SUMIFS('Base bordo'!G$2:G$746,'Base bordo'!C$2:C$746,A598,'Base bordo'!B$2:B$746,B598,'Base bordo'!F$2:F$746,"MANUTENCAO BORRACHARIA"),0)+IFERROR(SUMIFS('Base bordo'!G$2:G$746,'Base bordo'!C$2:C$746,A598,'Base bordo'!B$2:B$746,B598,'Base bordo'!F$2:F$746,"MANUTENCAO EXTERNA  CONCESSIONARIA"),0)+IFERROR(SUMIFS('Base bordo'!G$2:G$746,'Base bordo'!C$2:C$746,A598,'Base bordo'!B$2:B$746,B598,'Base bordo'!F$2:F$746,"MANUTENCAO TELEMETRIA"),0)</f>
        <v>8.9302777777777784</v>
      </c>
      <c r="M598" s="10">
        <f>IFERROR(SUMIFS('Base bordo'!G$2:G$746,'Base bordo'!C$2:C$746,A598,'Base bordo'!B$2:B$746,B598,'Base bordo'!F$2:F$746,"AGUARDANDO MANUTENCAO"),0)</f>
        <v>0</v>
      </c>
      <c r="N598" s="10">
        <f>IFERROR(SUMIFS('Base bordo'!G$2:G$746,'Base bordo'!C$2:C$746,A598,'Base bordo'!B$2:B$746,B598,'Base bordo'!F$2:F$746,"SEM APONTAMENTO"),0)</f>
        <v>0.91388888888888886</v>
      </c>
      <c r="O598" s="10">
        <f t="shared" si="66"/>
        <v>8.2494444444444426</v>
      </c>
      <c r="P598" s="10">
        <f>IFERROR(SUMIFS('Base bordo'!G$2:G$746,'Base bordo'!C$2:C$746,A598,'Base bordo'!B$2:B$746,B598),0)</f>
        <v>24</v>
      </c>
      <c r="Q598" s="10">
        <f>IFERROR(SUMIFS('Base bordo'!H$2:H$746,'Base bordo'!C$2:C$746,A598,'Base bordo'!B$2:B$746,B598,'Base bordo'!F$2:F$746,"DESLOCAMENTO VAZIO"),0)</f>
        <v>619414.3600000001</v>
      </c>
      <c r="R598" s="10">
        <f>IFERROR(SUMIFS('Base bordo'!I$2:I$746,'Base bordo'!C$2:C$746,A598,'Base bordo'!B$2:B$746,B598,'Base bordo'!F$2:F$746,"DESLOCAMENTO VAZIO"),0)</f>
        <v>14527</v>
      </c>
      <c r="S598" s="30">
        <f t="shared" si="67"/>
        <v>42.638835272251676</v>
      </c>
      <c r="T598" s="10">
        <f>IFERROR(SUMIFS('Base bordo'!H$2:H$746,'Base bordo'!C$2:C$746,A598,'Base bordo'!B$2:B$746,B598,'Base bordo'!F$2:F$746,"DESLOCAMENTO CARREGADO"),0)</f>
        <v>37451.120000000003</v>
      </c>
      <c r="U598" s="10">
        <f>IFERROR(SUMIFS('Base bordo'!I$2:I$746,'Base bordo'!C$2:C$746,A598,'Base bordo'!B$2:B$746,B598,'Base bordo'!F$2:F$746,"DESLOCAMENTO CARREGADO"),0)</f>
        <v>2683</v>
      </c>
      <c r="V598" s="30">
        <f t="shared" si="68"/>
        <v>13.958673127096535</v>
      </c>
      <c r="W598" s="9">
        <f t="shared" si="69"/>
        <v>0.16813657407407409</v>
      </c>
      <c r="X598" s="9">
        <f t="shared" si="70"/>
        <v>3.1053240740740742E-2</v>
      </c>
      <c r="Y598" s="9">
        <f t="shared" si="71"/>
        <v>0.80081018518518521</v>
      </c>
    </row>
    <row r="599" spans="1:25" ht="15" customHeight="1" x14ac:dyDescent="0.35">
      <c r="A599" s="52">
        <v>8013461</v>
      </c>
      <c r="B599" s="51">
        <v>46117</v>
      </c>
      <c r="C599" s="7" t="s">
        <v>124</v>
      </c>
      <c r="D599" s="10">
        <f>IFERROR(SUMIFS('Base bordo'!G$2:G$746,'Base bordo'!C$2:C$746,A599,'Base bordo'!B$2:B$746,B599,'Base bordo'!F$2:F$746,"DESLOCAMENTO VAZIO"),0)</f>
        <v>4.035277777777778</v>
      </c>
      <c r="E599" s="10">
        <f>IFERROR(SUMIFS('Base bordo'!G$2:G$746,'Base bordo'!C$2:C$746,A599,'Base bordo'!B$2:B$746,B599,'Base bordo'!F$2:F$746,"DESLOCAMENTO CARREGADO"),0)</f>
        <v>0.74527777777777782</v>
      </c>
      <c r="F599" s="10">
        <f>IFERROR(SUMIFS('Base bordo'!G$2:G$746,'Base bordo'!C$2:C$746,A599,'Base bordo'!B$2:B$746,B599,'Base bordo'!F$2:F$746,"DESLOCAMENTO"),0)</f>
        <v>0.7155555555555555</v>
      </c>
      <c r="G599" s="10">
        <f>IFERROR(SUMIFS('Base bordo'!G$2:G$746,'Base bordo'!C$2:C$746,A599,'Base bordo'!B$2:B$746,B599,'Base bordo'!F$2:F$746,"CARREGAMENTO"),0)</f>
        <v>0.18611111111111112</v>
      </c>
      <c r="H599" s="10">
        <f>IFERROR(SUMIFS('Base bordo'!G$2:G$746,'Base bordo'!C$2:C$746,A599,'Base bordo'!B$2:B$746,B599,'Base bordo'!F$2:F$746,"AGUARDANDO TRANSBORDO"),0)</f>
        <v>0.22416666666666665</v>
      </c>
      <c r="I599" s="10">
        <f>IFERROR(SUMIFS('Base bordo'!G$2:G$746,'Base bordo'!C$2:C$746,A599,'Base bordo'!B$2:B$746,B599,'Base bordo'!F$2:F$746,"PÁTIO INTERNO"),0)+IFERROR(SUMIFS('Base bordo'!G$2:G$746,'Base bordo'!C$2:C$746,A599,'Base bordo'!B$2:B$746,B599,'Base bordo'!F$2:F$746,"PÁTIO EXTERNO"),0)+IFERROR(SUMIFS('Base bordo'!G$2:G$746,'Base bordo'!C$2:C$746,A599,'Base bordo'!B$2:B$746,B599,'Base bordo'!F$2:F$746,"PATIO - RESERVA"),0)+IFERROR(SUMIFS('Base bordo'!G$2:G$746,'Base bordo'!C$2:C$746,A599,'Base bordo'!B$2:B$746,B599,'Base bordo'!F$2:F$746,"MANOBRA CARRETAS-PATIO"),0)</f>
        <v>0</v>
      </c>
      <c r="J599" s="10">
        <f>IFERROR(SUMIFS('Base bordo'!G$2:G$746,'Base bordo'!C$2:C$746,A599,'Base bordo'!B$2:B$746,B599,'Base bordo'!F$2:F$746,"BALANÇA - ENTRADA"),0)+IFERROR(SUMIFS('Base bordo'!G$2:G$746,'Base bordo'!C$2:C$746,A599,'Base bordo'!B$2:B$746,B599,'Base bordo'!F$2:F$746,"BALANÇA - SAÍDA"),0)</f>
        <v>0</v>
      </c>
      <c r="K599" s="10">
        <f>IFERROR(SUMIFS('Base bordo'!G$2:G$746,'Base bordo'!C$2:C$746,A599,'Base bordo'!B$2:B$746,B599,'Base bordo'!F$2:F$746,"MAN PREVENTIVA - MECANICA"),0)+IFERROR(SUMIFS('Base bordo'!G$2:G$746,'Base bordo'!C$2:C$746,A599,'Base bordo'!B$2:B$746,B599,'Base bordo'!F$2:F$746,"MAN CORRETIVA - MECANICA"),0)</f>
        <v>0</v>
      </c>
      <c r="L599" s="10">
        <f>IFERROR(SUMIFS('Base bordo'!G$2:G$746,'Base bordo'!C$2:C$746,A599,'Base bordo'!B$2:B$746,B599,'Base bordo'!F$2:F$746,"MANUTENCAO - T O"),0)+IFERROR(SUMIFS('Base bordo'!G$2:G$746,'Base bordo'!C$2:C$746,A599,'Base bordo'!B$2:B$746,B599,'Base bordo'!F$2:F$746,"MANUTENCAO BORRACHARIA"),0)+IFERROR(SUMIFS('Base bordo'!G$2:G$746,'Base bordo'!C$2:C$746,A599,'Base bordo'!B$2:B$746,B599,'Base bordo'!F$2:F$746,"MANUTENCAO EXTERNA  CONCESSIONARIA"),0)+IFERROR(SUMIFS('Base bordo'!G$2:G$746,'Base bordo'!C$2:C$746,A599,'Base bordo'!B$2:B$746,B599,'Base bordo'!F$2:F$746,"MANUTENCAO TELEMETRIA"),0)</f>
        <v>8.9302777777777784</v>
      </c>
      <c r="M599" s="10">
        <f>IFERROR(SUMIFS('Base bordo'!G$2:G$746,'Base bordo'!C$2:C$746,A599,'Base bordo'!B$2:B$746,B599,'Base bordo'!F$2:F$746,"AGUARDANDO MANUTENCAO"),0)</f>
        <v>0</v>
      </c>
      <c r="N599" s="10">
        <f>IFERROR(SUMIFS('Base bordo'!G$2:G$746,'Base bordo'!C$2:C$746,A599,'Base bordo'!B$2:B$746,B599,'Base bordo'!F$2:F$746,"SEM APONTAMENTO"),0)</f>
        <v>0.91388888888888886</v>
      </c>
      <c r="O599" s="10">
        <f t="shared" si="66"/>
        <v>8.2494444444444426</v>
      </c>
      <c r="P599" s="10">
        <f>IFERROR(SUMIFS('Base bordo'!G$2:G$746,'Base bordo'!C$2:C$746,A599,'Base bordo'!B$2:B$746,B599),0)</f>
        <v>24</v>
      </c>
      <c r="Q599" s="10">
        <f>IFERROR(SUMIFS('Base bordo'!H$2:H$746,'Base bordo'!C$2:C$746,A599,'Base bordo'!B$2:B$746,B599,'Base bordo'!F$2:F$746,"DESLOCAMENTO VAZIO"),0)</f>
        <v>619414.3600000001</v>
      </c>
      <c r="R599" s="10">
        <f>IFERROR(SUMIFS('Base bordo'!I$2:I$746,'Base bordo'!C$2:C$746,A599,'Base bordo'!B$2:B$746,B599,'Base bordo'!F$2:F$746,"DESLOCAMENTO VAZIO"),0)</f>
        <v>14527</v>
      </c>
      <c r="S599" s="30">
        <f t="shared" si="67"/>
        <v>42.638835272251676</v>
      </c>
      <c r="T599" s="10">
        <f>IFERROR(SUMIFS('Base bordo'!H$2:H$746,'Base bordo'!C$2:C$746,A599,'Base bordo'!B$2:B$746,B599,'Base bordo'!F$2:F$746,"DESLOCAMENTO CARREGADO"),0)</f>
        <v>37451.120000000003</v>
      </c>
      <c r="U599" s="10">
        <f>IFERROR(SUMIFS('Base bordo'!I$2:I$746,'Base bordo'!C$2:C$746,A599,'Base bordo'!B$2:B$746,B599,'Base bordo'!F$2:F$746,"DESLOCAMENTO CARREGADO"),0)</f>
        <v>2683</v>
      </c>
      <c r="V599" s="30">
        <f t="shared" si="68"/>
        <v>13.958673127096535</v>
      </c>
      <c r="W599" s="9">
        <f t="shared" si="69"/>
        <v>0.16813657407407409</v>
      </c>
      <c r="X599" s="9">
        <f t="shared" si="70"/>
        <v>3.1053240740740742E-2</v>
      </c>
      <c r="Y599" s="9">
        <f t="shared" si="71"/>
        <v>0.80081018518518521</v>
      </c>
    </row>
    <row r="600" spans="1:25" ht="15" customHeight="1" x14ac:dyDescent="0.35">
      <c r="A600" s="52">
        <v>8013461</v>
      </c>
      <c r="B600" s="51">
        <v>46117</v>
      </c>
      <c r="C600" s="7" t="s">
        <v>124</v>
      </c>
      <c r="D600" s="10">
        <f>IFERROR(SUMIFS('Base bordo'!G$2:G$746,'Base bordo'!C$2:C$746,A600,'Base bordo'!B$2:B$746,B600,'Base bordo'!F$2:F$746,"DESLOCAMENTO VAZIO"),0)</f>
        <v>4.035277777777778</v>
      </c>
      <c r="E600" s="10">
        <f>IFERROR(SUMIFS('Base bordo'!G$2:G$746,'Base bordo'!C$2:C$746,A600,'Base bordo'!B$2:B$746,B600,'Base bordo'!F$2:F$746,"DESLOCAMENTO CARREGADO"),0)</f>
        <v>0.74527777777777782</v>
      </c>
      <c r="F600" s="10">
        <f>IFERROR(SUMIFS('Base bordo'!G$2:G$746,'Base bordo'!C$2:C$746,A600,'Base bordo'!B$2:B$746,B600,'Base bordo'!F$2:F$746,"DESLOCAMENTO"),0)</f>
        <v>0.7155555555555555</v>
      </c>
      <c r="G600" s="10">
        <f>IFERROR(SUMIFS('Base bordo'!G$2:G$746,'Base bordo'!C$2:C$746,A600,'Base bordo'!B$2:B$746,B600,'Base bordo'!F$2:F$746,"CARREGAMENTO"),0)</f>
        <v>0.18611111111111112</v>
      </c>
      <c r="H600" s="10">
        <f>IFERROR(SUMIFS('Base bordo'!G$2:G$746,'Base bordo'!C$2:C$746,A600,'Base bordo'!B$2:B$746,B600,'Base bordo'!F$2:F$746,"AGUARDANDO TRANSBORDO"),0)</f>
        <v>0.22416666666666665</v>
      </c>
      <c r="I600" s="10">
        <f>IFERROR(SUMIFS('Base bordo'!G$2:G$746,'Base bordo'!C$2:C$746,A600,'Base bordo'!B$2:B$746,B600,'Base bordo'!F$2:F$746,"PÁTIO INTERNO"),0)+IFERROR(SUMIFS('Base bordo'!G$2:G$746,'Base bordo'!C$2:C$746,A600,'Base bordo'!B$2:B$746,B600,'Base bordo'!F$2:F$746,"PÁTIO EXTERNO"),0)+IFERROR(SUMIFS('Base bordo'!G$2:G$746,'Base bordo'!C$2:C$746,A600,'Base bordo'!B$2:B$746,B600,'Base bordo'!F$2:F$746,"PATIO - RESERVA"),0)+IFERROR(SUMIFS('Base bordo'!G$2:G$746,'Base bordo'!C$2:C$746,A600,'Base bordo'!B$2:B$746,B600,'Base bordo'!F$2:F$746,"MANOBRA CARRETAS-PATIO"),0)</f>
        <v>0</v>
      </c>
      <c r="J600" s="10">
        <f>IFERROR(SUMIFS('Base bordo'!G$2:G$746,'Base bordo'!C$2:C$746,A600,'Base bordo'!B$2:B$746,B600,'Base bordo'!F$2:F$746,"BALANÇA - ENTRADA"),0)+IFERROR(SUMIFS('Base bordo'!G$2:G$746,'Base bordo'!C$2:C$746,A600,'Base bordo'!B$2:B$746,B600,'Base bordo'!F$2:F$746,"BALANÇA - SAÍDA"),0)</f>
        <v>0</v>
      </c>
      <c r="K600" s="10">
        <f>IFERROR(SUMIFS('Base bordo'!G$2:G$746,'Base bordo'!C$2:C$746,A600,'Base bordo'!B$2:B$746,B600,'Base bordo'!F$2:F$746,"MAN PREVENTIVA - MECANICA"),0)+IFERROR(SUMIFS('Base bordo'!G$2:G$746,'Base bordo'!C$2:C$746,A600,'Base bordo'!B$2:B$746,B600,'Base bordo'!F$2:F$746,"MAN CORRETIVA - MECANICA"),0)</f>
        <v>0</v>
      </c>
      <c r="L600" s="10">
        <f>IFERROR(SUMIFS('Base bordo'!G$2:G$746,'Base bordo'!C$2:C$746,A600,'Base bordo'!B$2:B$746,B600,'Base bordo'!F$2:F$746,"MANUTENCAO - T O"),0)+IFERROR(SUMIFS('Base bordo'!G$2:G$746,'Base bordo'!C$2:C$746,A600,'Base bordo'!B$2:B$746,B600,'Base bordo'!F$2:F$746,"MANUTENCAO BORRACHARIA"),0)+IFERROR(SUMIFS('Base bordo'!G$2:G$746,'Base bordo'!C$2:C$746,A600,'Base bordo'!B$2:B$746,B600,'Base bordo'!F$2:F$746,"MANUTENCAO EXTERNA  CONCESSIONARIA"),0)+IFERROR(SUMIFS('Base bordo'!G$2:G$746,'Base bordo'!C$2:C$746,A600,'Base bordo'!B$2:B$746,B600,'Base bordo'!F$2:F$746,"MANUTENCAO TELEMETRIA"),0)</f>
        <v>8.9302777777777784</v>
      </c>
      <c r="M600" s="10">
        <f>IFERROR(SUMIFS('Base bordo'!G$2:G$746,'Base bordo'!C$2:C$746,A600,'Base bordo'!B$2:B$746,B600,'Base bordo'!F$2:F$746,"AGUARDANDO MANUTENCAO"),0)</f>
        <v>0</v>
      </c>
      <c r="N600" s="10">
        <f>IFERROR(SUMIFS('Base bordo'!G$2:G$746,'Base bordo'!C$2:C$746,A600,'Base bordo'!B$2:B$746,B600,'Base bordo'!F$2:F$746,"SEM APONTAMENTO"),0)</f>
        <v>0.91388888888888886</v>
      </c>
      <c r="O600" s="10">
        <f t="shared" si="66"/>
        <v>8.2494444444444426</v>
      </c>
      <c r="P600" s="10">
        <f>IFERROR(SUMIFS('Base bordo'!G$2:G$746,'Base bordo'!C$2:C$746,A600,'Base bordo'!B$2:B$746,B600),0)</f>
        <v>24</v>
      </c>
      <c r="Q600" s="10">
        <f>IFERROR(SUMIFS('Base bordo'!H$2:H$746,'Base bordo'!C$2:C$746,A600,'Base bordo'!B$2:B$746,B600,'Base bordo'!F$2:F$746,"DESLOCAMENTO VAZIO"),0)</f>
        <v>619414.3600000001</v>
      </c>
      <c r="R600" s="10">
        <f>IFERROR(SUMIFS('Base bordo'!I$2:I$746,'Base bordo'!C$2:C$746,A600,'Base bordo'!B$2:B$746,B600,'Base bordo'!F$2:F$746,"DESLOCAMENTO VAZIO"),0)</f>
        <v>14527</v>
      </c>
      <c r="S600" s="30">
        <f t="shared" si="67"/>
        <v>42.638835272251676</v>
      </c>
      <c r="T600" s="10">
        <f>IFERROR(SUMIFS('Base bordo'!H$2:H$746,'Base bordo'!C$2:C$746,A600,'Base bordo'!B$2:B$746,B600,'Base bordo'!F$2:F$746,"DESLOCAMENTO CARREGADO"),0)</f>
        <v>37451.120000000003</v>
      </c>
      <c r="U600" s="10">
        <f>IFERROR(SUMIFS('Base bordo'!I$2:I$746,'Base bordo'!C$2:C$746,A600,'Base bordo'!B$2:B$746,B600,'Base bordo'!F$2:F$746,"DESLOCAMENTO CARREGADO"),0)</f>
        <v>2683</v>
      </c>
      <c r="V600" s="30">
        <f t="shared" si="68"/>
        <v>13.958673127096535</v>
      </c>
      <c r="W600" s="9">
        <f t="shared" si="69"/>
        <v>0.16813657407407409</v>
      </c>
      <c r="X600" s="9">
        <f t="shared" si="70"/>
        <v>3.1053240740740742E-2</v>
      </c>
      <c r="Y600" s="9">
        <f t="shared" si="71"/>
        <v>0.80081018518518521</v>
      </c>
    </row>
    <row r="601" spans="1:25" ht="15" customHeight="1" x14ac:dyDescent="0.35">
      <c r="A601" s="52">
        <v>8013461</v>
      </c>
      <c r="B601" s="51">
        <v>46117</v>
      </c>
      <c r="C601" s="7" t="s">
        <v>124</v>
      </c>
      <c r="D601" s="10">
        <f>IFERROR(SUMIFS('Base bordo'!G$2:G$746,'Base bordo'!C$2:C$746,A601,'Base bordo'!B$2:B$746,B601,'Base bordo'!F$2:F$746,"DESLOCAMENTO VAZIO"),0)</f>
        <v>4.035277777777778</v>
      </c>
      <c r="E601" s="10">
        <f>IFERROR(SUMIFS('Base bordo'!G$2:G$746,'Base bordo'!C$2:C$746,A601,'Base bordo'!B$2:B$746,B601,'Base bordo'!F$2:F$746,"DESLOCAMENTO CARREGADO"),0)</f>
        <v>0.74527777777777782</v>
      </c>
      <c r="F601" s="10">
        <f>IFERROR(SUMIFS('Base bordo'!G$2:G$746,'Base bordo'!C$2:C$746,A601,'Base bordo'!B$2:B$746,B601,'Base bordo'!F$2:F$746,"DESLOCAMENTO"),0)</f>
        <v>0.7155555555555555</v>
      </c>
      <c r="G601" s="10">
        <f>IFERROR(SUMIFS('Base bordo'!G$2:G$746,'Base bordo'!C$2:C$746,A601,'Base bordo'!B$2:B$746,B601,'Base bordo'!F$2:F$746,"CARREGAMENTO"),0)</f>
        <v>0.18611111111111112</v>
      </c>
      <c r="H601" s="10">
        <f>IFERROR(SUMIFS('Base bordo'!G$2:G$746,'Base bordo'!C$2:C$746,A601,'Base bordo'!B$2:B$746,B601,'Base bordo'!F$2:F$746,"AGUARDANDO TRANSBORDO"),0)</f>
        <v>0.22416666666666665</v>
      </c>
      <c r="I601" s="10">
        <f>IFERROR(SUMIFS('Base bordo'!G$2:G$746,'Base bordo'!C$2:C$746,A601,'Base bordo'!B$2:B$746,B601,'Base bordo'!F$2:F$746,"PÁTIO INTERNO"),0)+IFERROR(SUMIFS('Base bordo'!G$2:G$746,'Base bordo'!C$2:C$746,A601,'Base bordo'!B$2:B$746,B601,'Base bordo'!F$2:F$746,"PÁTIO EXTERNO"),0)+IFERROR(SUMIFS('Base bordo'!G$2:G$746,'Base bordo'!C$2:C$746,A601,'Base bordo'!B$2:B$746,B601,'Base bordo'!F$2:F$746,"PATIO - RESERVA"),0)+IFERROR(SUMIFS('Base bordo'!G$2:G$746,'Base bordo'!C$2:C$746,A601,'Base bordo'!B$2:B$746,B601,'Base bordo'!F$2:F$746,"MANOBRA CARRETAS-PATIO"),0)</f>
        <v>0</v>
      </c>
      <c r="J601" s="10">
        <f>IFERROR(SUMIFS('Base bordo'!G$2:G$746,'Base bordo'!C$2:C$746,A601,'Base bordo'!B$2:B$746,B601,'Base bordo'!F$2:F$746,"BALANÇA - ENTRADA"),0)+IFERROR(SUMIFS('Base bordo'!G$2:G$746,'Base bordo'!C$2:C$746,A601,'Base bordo'!B$2:B$746,B601,'Base bordo'!F$2:F$746,"BALANÇA - SAÍDA"),0)</f>
        <v>0</v>
      </c>
      <c r="K601" s="10">
        <f>IFERROR(SUMIFS('Base bordo'!G$2:G$746,'Base bordo'!C$2:C$746,A601,'Base bordo'!B$2:B$746,B601,'Base bordo'!F$2:F$746,"MAN PREVENTIVA - MECANICA"),0)+IFERROR(SUMIFS('Base bordo'!G$2:G$746,'Base bordo'!C$2:C$746,A601,'Base bordo'!B$2:B$746,B601,'Base bordo'!F$2:F$746,"MAN CORRETIVA - MECANICA"),0)</f>
        <v>0</v>
      </c>
      <c r="L601" s="10">
        <f>IFERROR(SUMIFS('Base bordo'!G$2:G$746,'Base bordo'!C$2:C$746,A601,'Base bordo'!B$2:B$746,B601,'Base bordo'!F$2:F$746,"MANUTENCAO - T O"),0)+IFERROR(SUMIFS('Base bordo'!G$2:G$746,'Base bordo'!C$2:C$746,A601,'Base bordo'!B$2:B$746,B601,'Base bordo'!F$2:F$746,"MANUTENCAO BORRACHARIA"),0)+IFERROR(SUMIFS('Base bordo'!G$2:G$746,'Base bordo'!C$2:C$746,A601,'Base bordo'!B$2:B$746,B601,'Base bordo'!F$2:F$746,"MANUTENCAO EXTERNA  CONCESSIONARIA"),0)+IFERROR(SUMIFS('Base bordo'!G$2:G$746,'Base bordo'!C$2:C$746,A601,'Base bordo'!B$2:B$746,B601,'Base bordo'!F$2:F$746,"MANUTENCAO TELEMETRIA"),0)</f>
        <v>8.9302777777777784</v>
      </c>
      <c r="M601" s="10">
        <f>IFERROR(SUMIFS('Base bordo'!G$2:G$746,'Base bordo'!C$2:C$746,A601,'Base bordo'!B$2:B$746,B601,'Base bordo'!F$2:F$746,"AGUARDANDO MANUTENCAO"),0)</f>
        <v>0</v>
      </c>
      <c r="N601" s="10">
        <f>IFERROR(SUMIFS('Base bordo'!G$2:G$746,'Base bordo'!C$2:C$746,A601,'Base bordo'!B$2:B$746,B601,'Base bordo'!F$2:F$746,"SEM APONTAMENTO"),0)</f>
        <v>0.91388888888888886</v>
      </c>
      <c r="O601" s="10">
        <f t="shared" si="66"/>
        <v>8.2494444444444426</v>
      </c>
      <c r="P601" s="10">
        <f>IFERROR(SUMIFS('Base bordo'!G$2:G$746,'Base bordo'!C$2:C$746,A601,'Base bordo'!B$2:B$746,B601),0)</f>
        <v>24</v>
      </c>
      <c r="Q601" s="10">
        <f>IFERROR(SUMIFS('Base bordo'!H$2:H$746,'Base bordo'!C$2:C$746,A601,'Base bordo'!B$2:B$746,B601,'Base bordo'!F$2:F$746,"DESLOCAMENTO VAZIO"),0)</f>
        <v>619414.3600000001</v>
      </c>
      <c r="R601" s="10">
        <f>IFERROR(SUMIFS('Base bordo'!I$2:I$746,'Base bordo'!C$2:C$746,A601,'Base bordo'!B$2:B$746,B601,'Base bordo'!F$2:F$746,"DESLOCAMENTO VAZIO"),0)</f>
        <v>14527</v>
      </c>
      <c r="S601" s="30">
        <f t="shared" si="67"/>
        <v>42.638835272251676</v>
      </c>
      <c r="T601" s="10">
        <f>IFERROR(SUMIFS('Base bordo'!H$2:H$746,'Base bordo'!C$2:C$746,A601,'Base bordo'!B$2:B$746,B601,'Base bordo'!F$2:F$746,"DESLOCAMENTO CARREGADO"),0)</f>
        <v>37451.120000000003</v>
      </c>
      <c r="U601" s="10">
        <f>IFERROR(SUMIFS('Base bordo'!I$2:I$746,'Base bordo'!C$2:C$746,A601,'Base bordo'!B$2:B$746,B601,'Base bordo'!F$2:F$746,"DESLOCAMENTO CARREGADO"),0)</f>
        <v>2683</v>
      </c>
      <c r="V601" s="30">
        <f t="shared" si="68"/>
        <v>13.958673127096535</v>
      </c>
      <c r="W601" s="9">
        <f t="shared" si="69"/>
        <v>0.16813657407407409</v>
      </c>
      <c r="X601" s="9">
        <f t="shared" si="70"/>
        <v>3.1053240740740742E-2</v>
      </c>
      <c r="Y601" s="9">
        <f t="shared" si="71"/>
        <v>0.80081018518518521</v>
      </c>
    </row>
    <row r="602" spans="1:25" ht="15" customHeight="1" x14ac:dyDescent="0.35">
      <c r="A602" s="52">
        <v>8013461</v>
      </c>
      <c r="B602" s="51">
        <v>46117</v>
      </c>
      <c r="C602" s="7" t="s">
        <v>124</v>
      </c>
      <c r="D602" s="10">
        <f>IFERROR(SUMIFS('Base bordo'!G$2:G$746,'Base bordo'!C$2:C$746,A602,'Base bordo'!B$2:B$746,B602,'Base bordo'!F$2:F$746,"DESLOCAMENTO VAZIO"),0)</f>
        <v>4.035277777777778</v>
      </c>
      <c r="E602" s="10">
        <f>IFERROR(SUMIFS('Base bordo'!G$2:G$746,'Base bordo'!C$2:C$746,A602,'Base bordo'!B$2:B$746,B602,'Base bordo'!F$2:F$746,"DESLOCAMENTO CARREGADO"),0)</f>
        <v>0.74527777777777782</v>
      </c>
      <c r="F602" s="10">
        <f>IFERROR(SUMIFS('Base bordo'!G$2:G$746,'Base bordo'!C$2:C$746,A602,'Base bordo'!B$2:B$746,B602,'Base bordo'!F$2:F$746,"DESLOCAMENTO"),0)</f>
        <v>0.7155555555555555</v>
      </c>
      <c r="G602" s="10">
        <f>IFERROR(SUMIFS('Base bordo'!G$2:G$746,'Base bordo'!C$2:C$746,A602,'Base bordo'!B$2:B$746,B602,'Base bordo'!F$2:F$746,"CARREGAMENTO"),0)</f>
        <v>0.18611111111111112</v>
      </c>
      <c r="H602" s="10">
        <f>IFERROR(SUMIFS('Base bordo'!G$2:G$746,'Base bordo'!C$2:C$746,A602,'Base bordo'!B$2:B$746,B602,'Base bordo'!F$2:F$746,"AGUARDANDO TRANSBORDO"),0)</f>
        <v>0.22416666666666665</v>
      </c>
      <c r="I602" s="10">
        <f>IFERROR(SUMIFS('Base bordo'!G$2:G$746,'Base bordo'!C$2:C$746,A602,'Base bordo'!B$2:B$746,B602,'Base bordo'!F$2:F$746,"PÁTIO INTERNO"),0)+IFERROR(SUMIFS('Base bordo'!G$2:G$746,'Base bordo'!C$2:C$746,A602,'Base bordo'!B$2:B$746,B602,'Base bordo'!F$2:F$746,"PÁTIO EXTERNO"),0)+IFERROR(SUMIFS('Base bordo'!G$2:G$746,'Base bordo'!C$2:C$746,A602,'Base bordo'!B$2:B$746,B602,'Base bordo'!F$2:F$746,"PATIO - RESERVA"),0)+IFERROR(SUMIFS('Base bordo'!G$2:G$746,'Base bordo'!C$2:C$746,A602,'Base bordo'!B$2:B$746,B602,'Base bordo'!F$2:F$746,"MANOBRA CARRETAS-PATIO"),0)</f>
        <v>0</v>
      </c>
      <c r="J602" s="10">
        <f>IFERROR(SUMIFS('Base bordo'!G$2:G$746,'Base bordo'!C$2:C$746,A602,'Base bordo'!B$2:B$746,B602,'Base bordo'!F$2:F$746,"BALANÇA - ENTRADA"),0)+IFERROR(SUMIFS('Base bordo'!G$2:G$746,'Base bordo'!C$2:C$746,A602,'Base bordo'!B$2:B$746,B602,'Base bordo'!F$2:F$746,"BALANÇA - SAÍDA"),0)</f>
        <v>0</v>
      </c>
      <c r="K602" s="10">
        <f>IFERROR(SUMIFS('Base bordo'!G$2:G$746,'Base bordo'!C$2:C$746,A602,'Base bordo'!B$2:B$746,B602,'Base bordo'!F$2:F$746,"MAN PREVENTIVA - MECANICA"),0)+IFERROR(SUMIFS('Base bordo'!G$2:G$746,'Base bordo'!C$2:C$746,A602,'Base bordo'!B$2:B$746,B602,'Base bordo'!F$2:F$746,"MAN CORRETIVA - MECANICA"),0)</f>
        <v>0</v>
      </c>
      <c r="L602" s="10">
        <f>IFERROR(SUMIFS('Base bordo'!G$2:G$746,'Base bordo'!C$2:C$746,A602,'Base bordo'!B$2:B$746,B602,'Base bordo'!F$2:F$746,"MANUTENCAO - T O"),0)+IFERROR(SUMIFS('Base bordo'!G$2:G$746,'Base bordo'!C$2:C$746,A602,'Base bordo'!B$2:B$746,B602,'Base bordo'!F$2:F$746,"MANUTENCAO BORRACHARIA"),0)+IFERROR(SUMIFS('Base bordo'!G$2:G$746,'Base bordo'!C$2:C$746,A602,'Base bordo'!B$2:B$746,B602,'Base bordo'!F$2:F$746,"MANUTENCAO EXTERNA  CONCESSIONARIA"),0)+IFERROR(SUMIFS('Base bordo'!G$2:G$746,'Base bordo'!C$2:C$746,A602,'Base bordo'!B$2:B$746,B602,'Base bordo'!F$2:F$746,"MANUTENCAO TELEMETRIA"),0)</f>
        <v>8.9302777777777784</v>
      </c>
      <c r="M602" s="10">
        <f>IFERROR(SUMIFS('Base bordo'!G$2:G$746,'Base bordo'!C$2:C$746,A602,'Base bordo'!B$2:B$746,B602,'Base bordo'!F$2:F$746,"AGUARDANDO MANUTENCAO"),0)</f>
        <v>0</v>
      </c>
      <c r="N602" s="10">
        <f>IFERROR(SUMIFS('Base bordo'!G$2:G$746,'Base bordo'!C$2:C$746,A602,'Base bordo'!B$2:B$746,B602,'Base bordo'!F$2:F$746,"SEM APONTAMENTO"),0)</f>
        <v>0.91388888888888886</v>
      </c>
      <c r="O602" s="10">
        <f t="shared" si="66"/>
        <v>8.2494444444444426</v>
      </c>
      <c r="P602" s="10">
        <f>IFERROR(SUMIFS('Base bordo'!G$2:G$746,'Base bordo'!C$2:C$746,A602,'Base bordo'!B$2:B$746,B602),0)</f>
        <v>24</v>
      </c>
      <c r="Q602" s="10">
        <f>IFERROR(SUMIFS('Base bordo'!H$2:H$746,'Base bordo'!C$2:C$746,A602,'Base bordo'!B$2:B$746,B602,'Base bordo'!F$2:F$746,"DESLOCAMENTO VAZIO"),0)</f>
        <v>619414.3600000001</v>
      </c>
      <c r="R602" s="10">
        <f>IFERROR(SUMIFS('Base bordo'!I$2:I$746,'Base bordo'!C$2:C$746,A602,'Base bordo'!B$2:B$746,B602,'Base bordo'!F$2:F$746,"DESLOCAMENTO VAZIO"),0)</f>
        <v>14527</v>
      </c>
      <c r="S602" s="30">
        <f t="shared" si="67"/>
        <v>42.638835272251676</v>
      </c>
      <c r="T602" s="10">
        <f>IFERROR(SUMIFS('Base bordo'!H$2:H$746,'Base bordo'!C$2:C$746,A602,'Base bordo'!B$2:B$746,B602,'Base bordo'!F$2:F$746,"DESLOCAMENTO CARREGADO"),0)</f>
        <v>37451.120000000003</v>
      </c>
      <c r="U602" s="10">
        <f>IFERROR(SUMIFS('Base bordo'!I$2:I$746,'Base bordo'!C$2:C$746,A602,'Base bordo'!B$2:B$746,B602,'Base bordo'!F$2:F$746,"DESLOCAMENTO CARREGADO"),0)</f>
        <v>2683</v>
      </c>
      <c r="V602" s="30">
        <f t="shared" si="68"/>
        <v>13.958673127096535</v>
      </c>
      <c r="W602" s="9">
        <f t="shared" si="69"/>
        <v>0.16813657407407409</v>
      </c>
      <c r="X602" s="9">
        <f t="shared" si="70"/>
        <v>3.1053240740740742E-2</v>
      </c>
      <c r="Y602" s="9">
        <f t="shared" si="71"/>
        <v>0.80081018518518521</v>
      </c>
    </row>
    <row r="603" spans="1:25" ht="15" customHeight="1" x14ac:dyDescent="0.35">
      <c r="A603" s="52">
        <v>8013461</v>
      </c>
      <c r="B603" s="51">
        <v>46117</v>
      </c>
      <c r="C603" s="7" t="s">
        <v>124</v>
      </c>
      <c r="D603" s="10">
        <f>IFERROR(SUMIFS('Base bordo'!G$2:G$746,'Base bordo'!C$2:C$746,A603,'Base bordo'!B$2:B$746,B603,'Base bordo'!F$2:F$746,"DESLOCAMENTO VAZIO"),0)</f>
        <v>4.035277777777778</v>
      </c>
      <c r="E603" s="10">
        <f>IFERROR(SUMIFS('Base bordo'!G$2:G$746,'Base bordo'!C$2:C$746,A603,'Base bordo'!B$2:B$746,B603,'Base bordo'!F$2:F$746,"DESLOCAMENTO CARREGADO"),0)</f>
        <v>0.74527777777777782</v>
      </c>
      <c r="F603" s="10">
        <f>IFERROR(SUMIFS('Base bordo'!G$2:G$746,'Base bordo'!C$2:C$746,A603,'Base bordo'!B$2:B$746,B603,'Base bordo'!F$2:F$746,"DESLOCAMENTO"),0)</f>
        <v>0.7155555555555555</v>
      </c>
      <c r="G603" s="10">
        <f>IFERROR(SUMIFS('Base bordo'!G$2:G$746,'Base bordo'!C$2:C$746,A603,'Base bordo'!B$2:B$746,B603,'Base bordo'!F$2:F$746,"CARREGAMENTO"),0)</f>
        <v>0.18611111111111112</v>
      </c>
      <c r="H603" s="10">
        <f>IFERROR(SUMIFS('Base bordo'!G$2:G$746,'Base bordo'!C$2:C$746,A603,'Base bordo'!B$2:B$746,B603,'Base bordo'!F$2:F$746,"AGUARDANDO TRANSBORDO"),0)</f>
        <v>0.22416666666666665</v>
      </c>
      <c r="I603" s="10">
        <f>IFERROR(SUMIFS('Base bordo'!G$2:G$746,'Base bordo'!C$2:C$746,A603,'Base bordo'!B$2:B$746,B603,'Base bordo'!F$2:F$746,"PÁTIO INTERNO"),0)+IFERROR(SUMIFS('Base bordo'!G$2:G$746,'Base bordo'!C$2:C$746,A603,'Base bordo'!B$2:B$746,B603,'Base bordo'!F$2:F$746,"PÁTIO EXTERNO"),0)+IFERROR(SUMIFS('Base bordo'!G$2:G$746,'Base bordo'!C$2:C$746,A603,'Base bordo'!B$2:B$746,B603,'Base bordo'!F$2:F$746,"PATIO - RESERVA"),0)+IFERROR(SUMIFS('Base bordo'!G$2:G$746,'Base bordo'!C$2:C$746,A603,'Base bordo'!B$2:B$746,B603,'Base bordo'!F$2:F$746,"MANOBRA CARRETAS-PATIO"),0)</f>
        <v>0</v>
      </c>
      <c r="J603" s="10">
        <f>IFERROR(SUMIFS('Base bordo'!G$2:G$746,'Base bordo'!C$2:C$746,A603,'Base bordo'!B$2:B$746,B603,'Base bordo'!F$2:F$746,"BALANÇA - ENTRADA"),0)+IFERROR(SUMIFS('Base bordo'!G$2:G$746,'Base bordo'!C$2:C$746,A603,'Base bordo'!B$2:B$746,B603,'Base bordo'!F$2:F$746,"BALANÇA - SAÍDA"),0)</f>
        <v>0</v>
      </c>
      <c r="K603" s="10">
        <f>IFERROR(SUMIFS('Base bordo'!G$2:G$746,'Base bordo'!C$2:C$746,A603,'Base bordo'!B$2:B$746,B603,'Base bordo'!F$2:F$746,"MAN PREVENTIVA - MECANICA"),0)+IFERROR(SUMIFS('Base bordo'!G$2:G$746,'Base bordo'!C$2:C$746,A603,'Base bordo'!B$2:B$746,B603,'Base bordo'!F$2:F$746,"MAN CORRETIVA - MECANICA"),0)</f>
        <v>0</v>
      </c>
      <c r="L603" s="10">
        <f>IFERROR(SUMIFS('Base bordo'!G$2:G$746,'Base bordo'!C$2:C$746,A603,'Base bordo'!B$2:B$746,B603,'Base bordo'!F$2:F$746,"MANUTENCAO - T O"),0)+IFERROR(SUMIFS('Base bordo'!G$2:G$746,'Base bordo'!C$2:C$746,A603,'Base bordo'!B$2:B$746,B603,'Base bordo'!F$2:F$746,"MANUTENCAO BORRACHARIA"),0)+IFERROR(SUMIFS('Base bordo'!G$2:G$746,'Base bordo'!C$2:C$746,A603,'Base bordo'!B$2:B$746,B603,'Base bordo'!F$2:F$746,"MANUTENCAO EXTERNA  CONCESSIONARIA"),0)+IFERROR(SUMIFS('Base bordo'!G$2:G$746,'Base bordo'!C$2:C$746,A603,'Base bordo'!B$2:B$746,B603,'Base bordo'!F$2:F$746,"MANUTENCAO TELEMETRIA"),0)</f>
        <v>8.9302777777777784</v>
      </c>
      <c r="M603" s="10">
        <f>IFERROR(SUMIFS('Base bordo'!G$2:G$746,'Base bordo'!C$2:C$746,A603,'Base bordo'!B$2:B$746,B603,'Base bordo'!F$2:F$746,"AGUARDANDO MANUTENCAO"),0)</f>
        <v>0</v>
      </c>
      <c r="N603" s="10">
        <f>IFERROR(SUMIFS('Base bordo'!G$2:G$746,'Base bordo'!C$2:C$746,A603,'Base bordo'!B$2:B$746,B603,'Base bordo'!F$2:F$746,"SEM APONTAMENTO"),0)</f>
        <v>0.91388888888888886</v>
      </c>
      <c r="O603" s="10">
        <f t="shared" si="66"/>
        <v>8.2494444444444426</v>
      </c>
      <c r="P603" s="10">
        <f>IFERROR(SUMIFS('Base bordo'!G$2:G$746,'Base bordo'!C$2:C$746,A603,'Base bordo'!B$2:B$746,B603),0)</f>
        <v>24</v>
      </c>
      <c r="Q603" s="10">
        <f>IFERROR(SUMIFS('Base bordo'!H$2:H$746,'Base bordo'!C$2:C$746,A603,'Base bordo'!B$2:B$746,B603,'Base bordo'!F$2:F$746,"DESLOCAMENTO VAZIO"),0)</f>
        <v>619414.3600000001</v>
      </c>
      <c r="R603" s="10">
        <f>IFERROR(SUMIFS('Base bordo'!I$2:I$746,'Base bordo'!C$2:C$746,A603,'Base bordo'!B$2:B$746,B603,'Base bordo'!F$2:F$746,"DESLOCAMENTO VAZIO"),0)</f>
        <v>14527</v>
      </c>
      <c r="S603" s="30">
        <f t="shared" si="67"/>
        <v>42.638835272251676</v>
      </c>
      <c r="T603" s="10">
        <f>IFERROR(SUMIFS('Base bordo'!H$2:H$746,'Base bordo'!C$2:C$746,A603,'Base bordo'!B$2:B$746,B603,'Base bordo'!F$2:F$746,"DESLOCAMENTO CARREGADO"),0)</f>
        <v>37451.120000000003</v>
      </c>
      <c r="U603" s="10">
        <f>IFERROR(SUMIFS('Base bordo'!I$2:I$746,'Base bordo'!C$2:C$746,A603,'Base bordo'!B$2:B$746,B603,'Base bordo'!F$2:F$746,"DESLOCAMENTO CARREGADO"),0)</f>
        <v>2683</v>
      </c>
      <c r="V603" s="30">
        <f t="shared" si="68"/>
        <v>13.958673127096535</v>
      </c>
      <c r="W603" s="9">
        <f t="shared" si="69"/>
        <v>0.16813657407407409</v>
      </c>
      <c r="X603" s="9">
        <f t="shared" si="70"/>
        <v>3.1053240740740742E-2</v>
      </c>
      <c r="Y603" s="9">
        <f t="shared" si="71"/>
        <v>0.80081018518518521</v>
      </c>
    </row>
    <row r="604" spans="1:25" ht="15" customHeight="1" x14ac:dyDescent="0.35">
      <c r="A604" s="52">
        <v>8013462</v>
      </c>
      <c r="B604" s="51">
        <v>46117</v>
      </c>
      <c r="C604" s="7" t="s">
        <v>124</v>
      </c>
      <c r="D604" s="10">
        <f>IFERROR(SUMIFS('Base bordo'!G$2:G$746,'Base bordo'!C$2:C$746,A604,'Base bordo'!B$2:B$746,B604,'Base bordo'!F$2:F$746,"DESLOCAMENTO VAZIO"),0)</f>
        <v>1.3697222222222223</v>
      </c>
      <c r="E604" s="10">
        <f>IFERROR(SUMIFS('Base bordo'!G$2:G$746,'Base bordo'!C$2:C$746,A604,'Base bordo'!B$2:B$746,B604,'Base bordo'!F$2:F$746,"DESLOCAMENTO CARREGADO"),0)</f>
        <v>1.7716666666666667</v>
      </c>
      <c r="F604" s="10">
        <f>IFERROR(SUMIFS('Base bordo'!G$2:G$746,'Base bordo'!C$2:C$746,A604,'Base bordo'!B$2:B$746,B604,'Base bordo'!F$2:F$746,"DESLOCAMENTO"),0)</f>
        <v>1.0772222222222223</v>
      </c>
      <c r="G604" s="10">
        <f>IFERROR(SUMIFS('Base bordo'!G$2:G$746,'Base bordo'!C$2:C$746,A604,'Base bordo'!B$2:B$746,B604,'Base bordo'!F$2:F$746,"CARREGAMENTO"),0)</f>
        <v>0.32777777777777778</v>
      </c>
      <c r="H604" s="10">
        <f>IFERROR(SUMIFS('Base bordo'!G$2:G$746,'Base bordo'!C$2:C$746,A604,'Base bordo'!B$2:B$746,B604,'Base bordo'!F$2:F$746,"AGUARDANDO TRANSBORDO"),0)</f>
        <v>0.98277777777777775</v>
      </c>
      <c r="I604" s="10">
        <f>IFERROR(SUMIFS('Base bordo'!G$2:G$746,'Base bordo'!C$2:C$746,A604,'Base bordo'!B$2:B$746,B604,'Base bordo'!F$2:F$746,"PÁTIO INTERNO"),0)+IFERROR(SUMIFS('Base bordo'!G$2:G$746,'Base bordo'!C$2:C$746,A604,'Base bordo'!B$2:B$746,B604,'Base bordo'!F$2:F$746,"PÁTIO EXTERNO"),0)+IFERROR(SUMIFS('Base bordo'!G$2:G$746,'Base bordo'!C$2:C$746,A604,'Base bordo'!B$2:B$746,B604,'Base bordo'!F$2:F$746,"PATIO - RESERVA"),0)+IFERROR(SUMIFS('Base bordo'!G$2:G$746,'Base bordo'!C$2:C$746,A604,'Base bordo'!B$2:B$746,B604,'Base bordo'!F$2:F$746,"MANOBRA CARRETAS-PATIO"),0)</f>
        <v>0</v>
      </c>
      <c r="J604" s="10">
        <f>IFERROR(SUMIFS('Base bordo'!G$2:G$746,'Base bordo'!C$2:C$746,A604,'Base bordo'!B$2:B$746,B604,'Base bordo'!F$2:F$746,"BALANÇA - ENTRADA"),0)+IFERROR(SUMIFS('Base bordo'!G$2:G$746,'Base bordo'!C$2:C$746,A604,'Base bordo'!B$2:B$746,B604,'Base bordo'!F$2:F$746,"BALANÇA - SAÍDA"),0)</f>
        <v>0</v>
      </c>
      <c r="K604" s="10">
        <f>IFERROR(SUMIFS('Base bordo'!G$2:G$746,'Base bordo'!C$2:C$746,A604,'Base bordo'!B$2:B$746,B604,'Base bordo'!F$2:F$746,"MAN PREVENTIVA - MECANICA"),0)+IFERROR(SUMIFS('Base bordo'!G$2:G$746,'Base bordo'!C$2:C$746,A604,'Base bordo'!B$2:B$746,B604,'Base bordo'!F$2:F$746,"MAN CORRETIVA - MECANICA"),0)</f>
        <v>4.6944444444444441E-2</v>
      </c>
      <c r="L604" s="10">
        <f>IFERROR(SUMIFS('Base bordo'!G$2:G$746,'Base bordo'!C$2:C$746,A604,'Base bordo'!B$2:B$746,B604,'Base bordo'!F$2:F$746,"MANUTENCAO - T O"),0)+IFERROR(SUMIFS('Base bordo'!G$2:G$746,'Base bordo'!C$2:C$746,A604,'Base bordo'!B$2:B$746,B604,'Base bordo'!F$2:F$746,"MANUTENCAO BORRACHARIA"),0)+IFERROR(SUMIFS('Base bordo'!G$2:G$746,'Base bordo'!C$2:C$746,A604,'Base bordo'!B$2:B$746,B604,'Base bordo'!F$2:F$746,"MANUTENCAO EXTERNA  CONCESSIONARIA"),0)+IFERROR(SUMIFS('Base bordo'!G$2:G$746,'Base bordo'!C$2:C$746,A604,'Base bordo'!B$2:B$746,B604,'Base bordo'!F$2:F$746,"MANUTENCAO TELEMETRIA"),0)</f>
        <v>4.0702777777777781</v>
      </c>
      <c r="M604" s="10">
        <f>IFERROR(SUMIFS('Base bordo'!G$2:G$746,'Base bordo'!C$2:C$746,A604,'Base bordo'!B$2:B$746,B604,'Base bordo'!F$2:F$746,"AGUARDANDO MANUTENCAO"),0)</f>
        <v>0</v>
      </c>
      <c r="N604" s="10">
        <f>IFERROR(SUMIFS('Base bordo'!G$2:G$746,'Base bordo'!C$2:C$746,A604,'Base bordo'!B$2:B$746,B604,'Base bordo'!F$2:F$746,"SEM APONTAMENTO"),0)</f>
        <v>0</v>
      </c>
      <c r="O604" s="10">
        <f t="shared" si="66"/>
        <v>2.6524999999999981</v>
      </c>
      <c r="P604" s="10">
        <f>IFERROR(SUMIFS('Base bordo'!G$2:G$746,'Base bordo'!C$2:C$746,A604,'Base bordo'!B$2:B$746,B604),0)</f>
        <v>12.298888888888888</v>
      </c>
      <c r="Q604" s="10">
        <f>IFERROR(SUMIFS('Base bordo'!H$2:H$746,'Base bordo'!C$2:C$746,A604,'Base bordo'!B$2:B$746,B604,'Base bordo'!F$2:F$746,"DESLOCAMENTO VAZIO"),0)</f>
        <v>96755.57</v>
      </c>
      <c r="R604" s="10">
        <f>IFERROR(SUMIFS('Base bordo'!I$2:I$746,'Base bordo'!C$2:C$746,A604,'Base bordo'!B$2:B$746,B604,'Base bordo'!F$2:F$746,"DESLOCAMENTO VAZIO"),0)</f>
        <v>4931</v>
      </c>
      <c r="S604" s="30">
        <f t="shared" si="67"/>
        <v>19.621896167106065</v>
      </c>
      <c r="T604" s="10">
        <f>IFERROR(SUMIFS('Base bordo'!H$2:H$746,'Base bordo'!C$2:C$746,A604,'Base bordo'!B$2:B$746,B604,'Base bordo'!F$2:F$746,"DESLOCAMENTO CARREGADO"),0)</f>
        <v>170850.02000000002</v>
      </c>
      <c r="U604" s="10">
        <f>IFERROR(SUMIFS('Base bordo'!I$2:I$746,'Base bordo'!C$2:C$746,A604,'Base bordo'!B$2:B$746,B604,'Base bordo'!F$2:F$746,"DESLOCAMENTO CARREGADO"),0)</f>
        <v>6378</v>
      </c>
      <c r="V604" s="30">
        <f t="shared" si="68"/>
        <v>26.787397303229856</v>
      </c>
      <c r="W604" s="9">
        <f t="shared" si="69"/>
        <v>0.1113695907489385</v>
      </c>
      <c r="X604" s="9">
        <f t="shared" si="70"/>
        <v>0.14405095311229563</v>
      </c>
      <c r="Y604" s="9">
        <f t="shared" si="71"/>
        <v>0.74457945613876597</v>
      </c>
    </row>
    <row r="605" spans="1:25" ht="15" customHeight="1" x14ac:dyDescent="0.35">
      <c r="A605" s="52">
        <v>8013462</v>
      </c>
      <c r="B605" s="51">
        <v>46117</v>
      </c>
      <c r="C605" s="7" t="s">
        <v>124</v>
      </c>
      <c r="D605" s="10">
        <f>IFERROR(SUMIFS('Base bordo'!G$2:G$746,'Base bordo'!C$2:C$746,A605,'Base bordo'!B$2:B$746,B605,'Base bordo'!F$2:F$746,"DESLOCAMENTO VAZIO"),0)</f>
        <v>1.3697222222222223</v>
      </c>
      <c r="E605" s="10">
        <f>IFERROR(SUMIFS('Base bordo'!G$2:G$746,'Base bordo'!C$2:C$746,A605,'Base bordo'!B$2:B$746,B605,'Base bordo'!F$2:F$746,"DESLOCAMENTO CARREGADO"),0)</f>
        <v>1.7716666666666667</v>
      </c>
      <c r="F605" s="10">
        <f>IFERROR(SUMIFS('Base bordo'!G$2:G$746,'Base bordo'!C$2:C$746,A605,'Base bordo'!B$2:B$746,B605,'Base bordo'!F$2:F$746,"DESLOCAMENTO"),0)</f>
        <v>1.0772222222222223</v>
      </c>
      <c r="G605" s="10">
        <f>IFERROR(SUMIFS('Base bordo'!G$2:G$746,'Base bordo'!C$2:C$746,A605,'Base bordo'!B$2:B$746,B605,'Base bordo'!F$2:F$746,"CARREGAMENTO"),0)</f>
        <v>0.32777777777777778</v>
      </c>
      <c r="H605" s="10">
        <f>IFERROR(SUMIFS('Base bordo'!G$2:G$746,'Base bordo'!C$2:C$746,A605,'Base bordo'!B$2:B$746,B605,'Base bordo'!F$2:F$746,"AGUARDANDO TRANSBORDO"),0)</f>
        <v>0.98277777777777775</v>
      </c>
      <c r="I605" s="10">
        <f>IFERROR(SUMIFS('Base bordo'!G$2:G$746,'Base bordo'!C$2:C$746,A605,'Base bordo'!B$2:B$746,B605,'Base bordo'!F$2:F$746,"PÁTIO INTERNO"),0)+IFERROR(SUMIFS('Base bordo'!G$2:G$746,'Base bordo'!C$2:C$746,A605,'Base bordo'!B$2:B$746,B605,'Base bordo'!F$2:F$746,"PÁTIO EXTERNO"),0)+IFERROR(SUMIFS('Base bordo'!G$2:G$746,'Base bordo'!C$2:C$746,A605,'Base bordo'!B$2:B$746,B605,'Base bordo'!F$2:F$746,"PATIO - RESERVA"),0)+IFERROR(SUMIFS('Base bordo'!G$2:G$746,'Base bordo'!C$2:C$746,A605,'Base bordo'!B$2:B$746,B605,'Base bordo'!F$2:F$746,"MANOBRA CARRETAS-PATIO"),0)</f>
        <v>0</v>
      </c>
      <c r="J605" s="10">
        <f>IFERROR(SUMIFS('Base bordo'!G$2:G$746,'Base bordo'!C$2:C$746,A605,'Base bordo'!B$2:B$746,B605,'Base bordo'!F$2:F$746,"BALANÇA - ENTRADA"),0)+IFERROR(SUMIFS('Base bordo'!G$2:G$746,'Base bordo'!C$2:C$746,A605,'Base bordo'!B$2:B$746,B605,'Base bordo'!F$2:F$746,"BALANÇA - SAÍDA"),0)</f>
        <v>0</v>
      </c>
      <c r="K605" s="10">
        <f>IFERROR(SUMIFS('Base bordo'!G$2:G$746,'Base bordo'!C$2:C$746,A605,'Base bordo'!B$2:B$746,B605,'Base bordo'!F$2:F$746,"MAN PREVENTIVA - MECANICA"),0)+IFERROR(SUMIFS('Base bordo'!G$2:G$746,'Base bordo'!C$2:C$746,A605,'Base bordo'!B$2:B$746,B605,'Base bordo'!F$2:F$746,"MAN CORRETIVA - MECANICA"),0)</f>
        <v>4.6944444444444441E-2</v>
      </c>
      <c r="L605" s="10">
        <f>IFERROR(SUMIFS('Base bordo'!G$2:G$746,'Base bordo'!C$2:C$746,A605,'Base bordo'!B$2:B$746,B605,'Base bordo'!F$2:F$746,"MANUTENCAO - T O"),0)+IFERROR(SUMIFS('Base bordo'!G$2:G$746,'Base bordo'!C$2:C$746,A605,'Base bordo'!B$2:B$746,B605,'Base bordo'!F$2:F$746,"MANUTENCAO BORRACHARIA"),0)+IFERROR(SUMIFS('Base bordo'!G$2:G$746,'Base bordo'!C$2:C$746,A605,'Base bordo'!B$2:B$746,B605,'Base bordo'!F$2:F$746,"MANUTENCAO EXTERNA  CONCESSIONARIA"),0)+IFERROR(SUMIFS('Base bordo'!G$2:G$746,'Base bordo'!C$2:C$746,A605,'Base bordo'!B$2:B$746,B605,'Base bordo'!F$2:F$746,"MANUTENCAO TELEMETRIA"),0)</f>
        <v>4.0702777777777781</v>
      </c>
      <c r="M605" s="10">
        <f>IFERROR(SUMIFS('Base bordo'!G$2:G$746,'Base bordo'!C$2:C$746,A605,'Base bordo'!B$2:B$746,B605,'Base bordo'!F$2:F$746,"AGUARDANDO MANUTENCAO"),0)</f>
        <v>0</v>
      </c>
      <c r="N605" s="10">
        <f>IFERROR(SUMIFS('Base bordo'!G$2:G$746,'Base bordo'!C$2:C$746,A605,'Base bordo'!B$2:B$746,B605,'Base bordo'!F$2:F$746,"SEM APONTAMENTO"),0)</f>
        <v>0</v>
      </c>
      <c r="O605" s="10">
        <f t="shared" si="66"/>
        <v>2.6524999999999981</v>
      </c>
      <c r="P605" s="10">
        <f>IFERROR(SUMIFS('Base bordo'!G$2:G$746,'Base bordo'!C$2:C$746,A605,'Base bordo'!B$2:B$746,B605),0)</f>
        <v>12.298888888888888</v>
      </c>
      <c r="Q605" s="10">
        <f>IFERROR(SUMIFS('Base bordo'!H$2:H$746,'Base bordo'!C$2:C$746,A605,'Base bordo'!B$2:B$746,B605,'Base bordo'!F$2:F$746,"DESLOCAMENTO VAZIO"),0)</f>
        <v>96755.57</v>
      </c>
      <c r="R605" s="10">
        <f>IFERROR(SUMIFS('Base bordo'!I$2:I$746,'Base bordo'!C$2:C$746,A605,'Base bordo'!B$2:B$746,B605,'Base bordo'!F$2:F$746,"DESLOCAMENTO VAZIO"),0)</f>
        <v>4931</v>
      </c>
      <c r="S605" s="30">
        <f t="shared" si="67"/>
        <v>19.621896167106065</v>
      </c>
      <c r="T605" s="10">
        <f>IFERROR(SUMIFS('Base bordo'!H$2:H$746,'Base bordo'!C$2:C$746,A605,'Base bordo'!B$2:B$746,B605,'Base bordo'!F$2:F$746,"DESLOCAMENTO CARREGADO"),0)</f>
        <v>170850.02000000002</v>
      </c>
      <c r="U605" s="10">
        <f>IFERROR(SUMIFS('Base bordo'!I$2:I$746,'Base bordo'!C$2:C$746,A605,'Base bordo'!B$2:B$746,B605,'Base bordo'!F$2:F$746,"DESLOCAMENTO CARREGADO"),0)</f>
        <v>6378</v>
      </c>
      <c r="V605" s="30">
        <f t="shared" si="68"/>
        <v>26.787397303229856</v>
      </c>
      <c r="W605" s="9">
        <f t="shared" si="69"/>
        <v>0.1113695907489385</v>
      </c>
      <c r="X605" s="9">
        <f t="shared" si="70"/>
        <v>0.14405095311229563</v>
      </c>
      <c r="Y605" s="9">
        <f t="shared" si="71"/>
        <v>0.74457945613876597</v>
      </c>
    </row>
    <row r="606" spans="1:25" ht="15" customHeight="1" x14ac:dyDescent="0.35">
      <c r="A606" s="52">
        <v>8013462</v>
      </c>
      <c r="B606" s="51">
        <v>46117</v>
      </c>
      <c r="C606" s="7" t="s">
        <v>124</v>
      </c>
      <c r="D606" s="10">
        <f>IFERROR(SUMIFS('Base bordo'!G$2:G$746,'Base bordo'!C$2:C$746,A606,'Base bordo'!B$2:B$746,B606,'Base bordo'!F$2:F$746,"DESLOCAMENTO VAZIO"),0)</f>
        <v>1.3697222222222223</v>
      </c>
      <c r="E606" s="10">
        <f>IFERROR(SUMIFS('Base bordo'!G$2:G$746,'Base bordo'!C$2:C$746,A606,'Base bordo'!B$2:B$746,B606,'Base bordo'!F$2:F$746,"DESLOCAMENTO CARREGADO"),0)</f>
        <v>1.7716666666666667</v>
      </c>
      <c r="F606" s="10">
        <f>IFERROR(SUMIFS('Base bordo'!G$2:G$746,'Base bordo'!C$2:C$746,A606,'Base bordo'!B$2:B$746,B606,'Base bordo'!F$2:F$746,"DESLOCAMENTO"),0)</f>
        <v>1.0772222222222223</v>
      </c>
      <c r="G606" s="10">
        <f>IFERROR(SUMIFS('Base bordo'!G$2:G$746,'Base bordo'!C$2:C$746,A606,'Base bordo'!B$2:B$746,B606,'Base bordo'!F$2:F$746,"CARREGAMENTO"),0)</f>
        <v>0.32777777777777778</v>
      </c>
      <c r="H606" s="10">
        <f>IFERROR(SUMIFS('Base bordo'!G$2:G$746,'Base bordo'!C$2:C$746,A606,'Base bordo'!B$2:B$746,B606,'Base bordo'!F$2:F$746,"AGUARDANDO TRANSBORDO"),0)</f>
        <v>0.98277777777777775</v>
      </c>
      <c r="I606" s="10">
        <f>IFERROR(SUMIFS('Base bordo'!G$2:G$746,'Base bordo'!C$2:C$746,A606,'Base bordo'!B$2:B$746,B606,'Base bordo'!F$2:F$746,"PÁTIO INTERNO"),0)+IFERROR(SUMIFS('Base bordo'!G$2:G$746,'Base bordo'!C$2:C$746,A606,'Base bordo'!B$2:B$746,B606,'Base bordo'!F$2:F$746,"PÁTIO EXTERNO"),0)+IFERROR(SUMIFS('Base bordo'!G$2:G$746,'Base bordo'!C$2:C$746,A606,'Base bordo'!B$2:B$746,B606,'Base bordo'!F$2:F$746,"PATIO - RESERVA"),0)+IFERROR(SUMIFS('Base bordo'!G$2:G$746,'Base bordo'!C$2:C$746,A606,'Base bordo'!B$2:B$746,B606,'Base bordo'!F$2:F$746,"MANOBRA CARRETAS-PATIO"),0)</f>
        <v>0</v>
      </c>
      <c r="J606" s="10">
        <f>IFERROR(SUMIFS('Base bordo'!G$2:G$746,'Base bordo'!C$2:C$746,A606,'Base bordo'!B$2:B$746,B606,'Base bordo'!F$2:F$746,"BALANÇA - ENTRADA"),0)+IFERROR(SUMIFS('Base bordo'!G$2:G$746,'Base bordo'!C$2:C$746,A606,'Base bordo'!B$2:B$746,B606,'Base bordo'!F$2:F$746,"BALANÇA - SAÍDA"),0)</f>
        <v>0</v>
      </c>
      <c r="K606" s="10">
        <f>IFERROR(SUMIFS('Base bordo'!G$2:G$746,'Base bordo'!C$2:C$746,A606,'Base bordo'!B$2:B$746,B606,'Base bordo'!F$2:F$746,"MAN PREVENTIVA - MECANICA"),0)+IFERROR(SUMIFS('Base bordo'!G$2:G$746,'Base bordo'!C$2:C$746,A606,'Base bordo'!B$2:B$746,B606,'Base bordo'!F$2:F$746,"MAN CORRETIVA - MECANICA"),0)</f>
        <v>4.6944444444444441E-2</v>
      </c>
      <c r="L606" s="10">
        <f>IFERROR(SUMIFS('Base bordo'!G$2:G$746,'Base bordo'!C$2:C$746,A606,'Base bordo'!B$2:B$746,B606,'Base bordo'!F$2:F$746,"MANUTENCAO - T O"),0)+IFERROR(SUMIFS('Base bordo'!G$2:G$746,'Base bordo'!C$2:C$746,A606,'Base bordo'!B$2:B$746,B606,'Base bordo'!F$2:F$746,"MANUTENCAO BORRACHARIA"),0)+IFERROR(SUMIFS('Base bordo'!G$2:G$746,'Base bordo'!C$2:C$746,A606,'Base bordo'!B$2:B$746,B606,'Base bordo'!F$2:F$746,"MANUTENCAO EXTERNA  CONCESSIONARIA"),0)+IFERROR(SUMIFS('Base bordo'!G$2:G$746,'Base bordo'!C$2:C$746,A606,'Base bordo'!B$2:B$746,B606,'Base bordo'!F$2:F$746,"MANUTENCAO TELEMETRIA"),0)</f>
        <v>4.0702777777777781</v>
      </c>
      <c r="M606" s="10">
        <f>IFERROR(SUMIFS('Base bordo'!G$2:G$746,'Base bordo'!C$2:C$746,A606,'Base bordo'!B$2:B$746,B606,'Base bordo'!F$2:F$746,"AGUARDANDO MANUTENCAO"),0)</f>
        <v>0</v>
      </c>
      <c r="N606" s="10">
        <f>IFERROR(SUMIFS('Base bordo'!G$2:G$746,'Base bordo'!C$2:C$746,A606,'Base bordo'!B$2:B$746,B606,'Base bordo'!F$2:F$746,"SEM APONTAMENTO"),0)</f>
        <v>0</v>
      </c>
      <c r="O606" s="10">
        <f t="shared" si="66"/>
        <v>2.6524999999999981</v>
      </c>
      <c r="P606" s="10">
        <f>IFERROR(SUMIFS('Base bordo'!G$2:G$746,'Base bordo'!C$2:C$746,A606,'Base bordo'!B$2:B$746,B606),0)</f>
        <v>12.298888888888888</v>
      </c>
      <c r="Q606" s="10">
        <f>IFERROR(SUMIFS('Base bordo'!H$2:H$746,'Base bordo'!C$2:C$746,A606,'Base bordo'!B$2:B$746,B606,'Base bordo'!F$2:F$746,"DESLOCAMENTO VAZIO"),0)</f>
        <v>96755.57</v>
      </c>
      <c r="R606" s="10">
        <f>IFERROR(SUMIFS('Base bordo'!I$2:I$746,'Base bordo'!C$2:C$746,A606,'Base bordo'!B$2:B$746,B606,'Base bordo'!F$2:F$746,"DESLOCAMENTO VAZIO"),0)</f>
        <v>4931</v>
      </c>
      <c r="S606" s="30">
        <f t="shared" si="67"/>
        <v>19.621896167106065</v>
      </c>
      <c r="T606" s="10">
        <f>IFERROR(SUMIFS('Base bordo'!H$2:H$746,'Base bordo'!C$2:C$746,A606,'Base bordo'!B$2:B$746,B606,'Base bordo'!F$2:F$746,"DESLOCAMENTO CARREGADO"),0)</f>
        <v>170850.02000000002</v>
      </c>
      <c r="U606" s="10">
        <f>IFERROR(SUMIFS('Base bordo'!I$2:I$746,'Base bordo'!C$2:C$746,A606,'Base bordo'!B$2:B$746,B606,'Base bordo'!F$2:F$746,"DESLOCAMENTO CARREGADO"),0)</f>
        <v>6378</v>
      </c>
      <c r="V606" s="30">
        <f t="shared" si="68"/>
        <v>26.787397303229856</v>
      </c>
      <c r="W606" s="9">
        <f t="shared" si="69"/>
        <v>0.1113695907489385</v>
      </c>
      <c r="X606" s="9">
        <f t="shared" si="70"/>
        <v>0.14405095311229563</v>
      </c>
      <c r="Y606" s="9">
        <f t="shared" si="71"/>
        <v>0.74457945613876597</v>
      </c>
    </row>
    <row r="607" spans="1:25" ht="15" customHeight="1" x14ac:dyDescent="0.35">
      <c r="A607" s="52">
        <v>8013462</v>
      </c>
      <c r="B607" s="51">
        <v>46117</v>
      </c>
      <c r="C607" s="7" t="s">
        <v>124</v>
      </c>
      <c r="D607" s="10">
        <f>IFERROR(SUMIFS('Base bordo'!G$2:G$746,'Base bordo'!C$2:C$746,A607,'Base bordo'!B$2:B$746,B607,'Base bordo'!F$2:F$746,"DESLOCAMENTO VAZIO"),0)</f>
        <v>1.3697222222222223</v>
      </c>
      <c r="E607" s="10">
        <f>IFERROR(SUMIFS('Base bordo'!G$2:G$746,'Base bordo'!C$2:C$746,A607,'Base bordo'!B$2:B$746,B607,'Base bordo'!F$2:F$746,"DESLOCAMENTO CARREGADO"),0)</f>
        <v>1.7716666666666667</v>
      </c>
      <c r="F607" s="10">
        <f>IFERROR(SUMIFS('Base bordo'!G$2:G$746,'Base bordo'!C$2:C$746,A607,'Base bordo'!B$2:B$746,B607,'Base bordo'!F$2:F$746,"DESLOCAMENTO"),0)</f>
        <v>1.0772222222222223</v>
      </c>
      <c r="G607" s="10">
        <f>IFERROR(SUMIFS('Base bordo'!G$2:G$746,'Base bordo'!C$2:C$746,A607,'Base bordo'!B$2:B$746,B607,'Base bordo'!F$2:F$746,"CARREGAMENTO"),0)</f>
        <v>0.32777777777777778</v>
      </c>
      <c r="H607" s="10">
        <f>IFERROR(SUMIFS('Base bordo'!G$2:G$746,'Base bordo'!C$2:C$746,A607,'Base bordo'!B$2:B$746,B607,'Base bordo'!F$2:F$746,"AGUARDANDO TRANSBORDO"),0)</f>
        <v>0.98277777777777775</v>
      </c>
      <c r="I607" s="10">
        <f>IFERROR(SUMIFS('Base bordo'!G$2:G$746,'Base bordo'!C$2:C$746,A607,'Base bordo'!B$2:B$746,B607,'Base bordo'!F$2:F$746,"PÁTIO INTERNO"),0)+IFERROR(SUMIFS('Base bordo'!G$2:G$746,'Base bordo'!C$2:C$746,A607,'Base bordo'!B$2:B$746,B607,'Base bordo'!F$2:F$746,"PÁTIO EXTERNO"),0)+IFERROR(SUMIFS('Base bordo'!G$2:G$746,'Base bordo'!C$2:C$746,A607,'Base bordo'!B$2:B$746,B607,'Base bordo'!F$2:F$746,"PATIO - RESERVA"),0)+IFERROR(SUMIFS('Base bordo'!G$2:G$746,'Base bordo'!C$2:C$746,A607,'Base bordo'!B$2:B$746,B607,'Base bordo'!F$2:F$746,"MANOBRA CARRETAS-PATIO"),0)</f>
        <v>0</v>
      </c>
      <c r="J607" s="10">
        <f>IFERROR(SUMIFS('Base bordo'!G$2:G$746,'Base bordo'!C$2:C$746,A607,'Base bordo'!B$2:B$746,B607,'Base bordo'!F$2:F$746,"BALANÇA - ENTRADA"),0)+IFERROR(SUMIFS('Base bordo'!G$2:G$746,'Base bordo'!C$2:C$746,A607,'Base bordo'!B$2:B$746,B607,'Base bordo'!F$2:F$746,"BALANÇA - SAÍDA"),0)</f>
        <v>0</v>
      </c>
      <c r="K607" s="10">
        <f>IFERROR(SUMIFS('Base bordo'!G$2:G$746,'Base bordo'!C$2:C$746,A607,'Base bordo'!B$2:B$746,B607,'Base bordo'!F$2:F$746,"MAN PREVENTIVA - MECANICA"),0)+IFERROR(SUMIFS('Base bordo'!G$2:G$746,'Base bordo'!C$2:C$746,A607,'Base bordo'!B$2:B$746,B607,'Base bordo'!F$2:F$746,"MAN CORRETIVA - MECANICA"),0)</f>
        <v>4.6944444444444441E-2</v>
      </c>
      <c r="L607" s="10">
        <f>IFERROR(SUMIFS('Base bordo'!G$2:G$746,'Base bordo'!C$2:C$746,A607,'Base bordo'!B$2:B$746,B607,'Base bordo'!F$2:F$746,"MANUTENCAO - T O"),0)+IFERROR(SUMIFS('Base bordo'!G$2:G$746,'Base bordo'!C$2:C$746,A607,'Base bordo'!B$2:B$746,B607,'Base bordo'!F$2:F$746,"MANUTENCAO BORRACHARIA"),0)+IFERROR(SUMIFS('Base bordo'!G$2:G$746,'Base bordo'!C$2:C$746,A607,'Base bordo'!B$2:B$746,B607,'Base bordo'!F$2:F$746,"MANUTENCAO EXTERNA  CONCESSIONARIA"),0)+IFERROR(SUMIFS('Base bordo'!G$2:G$746,'Base bordo'!C$2:C$746,A607,'Base bordo'!B$2:B$746,B607,'Base bordo'!F$2:F$746,"MANUTENCAO TELEMETRIA"),0)</f>
        <v>4.0702777777777781</v>
      </c>
      <c r="M607" s="10">
        <f>IFERROR(SUMIFS('Base bordo'!G$2:G$746,'Base bordo'!C$2:C$746,A607,'Base bordo'!B$2:B$746,B607,'Base bordo'!F$2:F$746,"AGUARDANDO MANUTENCAO"),0)</f>
        <v>0</v>
      </c>
      <c r="N607" s="10">
        <f>IFERROR(SUMIFS('Base bordo'!G$2:G$746,'Base bordo'!C$2:C$746,A607,'Base bordo'!B$2:B$746,B607,'Base bordo'!F$2:F$746,"SEM APONTAMENTO"),0)</f>
        <v>0</v>
      </c>
      <c r="O607" s="10">
        <f t="shared" si="66"/>
        <v>2.6524999999999981</v>
      </c>
      <c r="P607" s="10">
        <f>IFERROR(SUMIFS('Base bordo'!G$2:G$746,'Base bordo'!C$2:C$746,A607,'Base bordo'!B$2:B$746,B607),0)</f>
        <v>12.298888888888888</v>
      </c>
      <c r="Q607" s="10">
        <f>IFERROR(SUMIFS('Base bordo'!H$2:H$746,'Base bordo'!C$2:C$746,A607,'Base bordo'!B$2:B$746,B607,'Base bordo'!F$2:F$746,"DESLOCAMENTO VAZIO"),0)</f>
        <v>96755.57</v>
      </c>
      <c r="R607" s="10">
        <f>IFERROR(SUMIFS('Base bordo'!I$2:I$746,'Base bordo'!C$2:C$746,A607,'Base bordo'!B$2:B$746,B607,'Base bordo'!F$2:F$746,"DESLOCAMENTO VAZIO"),0)</f>
        <v>4931</v>
      </c>
      <c r="S607" s="30">
        <f t="shared" si="67"/>
        <v>19.621896167106065</v>
      </c>
      <c r="T607" s="10">
        <f>IFERROR(SUMIFS('Base bordo'!H$2:H$746,'Base bordo'!C$2:C$746,A607,'Base bordo'!B$2:B$746,B607,'Base bordo'!F$2:F$746,"DESLOCAMENTO CARREGADO"),0)</f>
        <v>170850.02000000002</v>
      </c>
      <c r="U607" s="10">
        <f>IFERROR(SUMIFS('Base bordo'!I$2:I$746,'Base bordo'!C$2:C$746,A607,'Base bordo'!B$2:B$746,B607,'Base bordo'!F$2:F$746,"DESLOCAMENTO CARREGADO"),0)</f>
        <v>6378</v>
      </c>
      <c r="V607" s="30">
        <f t="shared" si="68"/>
        <v>26.787397303229856</v>
      </c>
      <c r="W607" s="9">
        <f t="shared" si="69"/>
        <v>0.1113695907489385</v>
      </c>
      <c r="X607" s="9">
        <f t="shared" si="70"/>
        <v>0.14405095311229563</v>
      </c>
      <c r="Y607" s="9">
        <f t="shared" si="71"/>
        <v>0.74457945613876597</v>
      </c>
    </row>
    <row r="608" spans="1:25" ht="15" customHeight="1" x14ac:dyDescent="0.35">
      <c r="A608" s="52">
        <v>8013462</v>
      </c>
      <c r="B608" s="51">
        <v>46117</v>
      </c>
      <c r="C608" s="7" t="s">
        <v>124</v>
      </c>
      <c r="D608" s="10">
        <f>IFERROR(SUMIFS('Base bordo'!G$2:G$746,'Base bordo'!C$2:C$746,A608,'Base bordo'!B$2:B$746,B608,'Base bordo'!F$2:F$746,"DESLOCAMENTO VAZIO"),0)</f>
        <v>1.3697222222222223</v>
      </c>
      <c r="E608" s="10">
        <f>IFERROR(SUMIFS('Base bordo'!G$2:G$746,'Base bordo'!C$2:C$746,A608,'Base bordo'!B$2:B$746,B608,'Base bordo'!F$2:F$746,"DESLOCAMENTO CARREGADO"),0)</f>
        <v>1.7716666666666667</v>
      </c>
      <c r="F608" s="10">
        <f>IFERROR(SUMIFS('Base bordo'!G$2:G$746,'Base bordo'!C$2:C$746,A608,'Base bordo'!B$2:B$746,B608,'Base bordo'!F$2:F$746,"DESLOCAMENTO"),0)</f>
        <v>1.0772222222222223</v>
      </c>
      <c r="G608" s="10">
        <f>IFERROR(SUMIFS('Base bordo'!G$2:G$746,'Base bordo'!C$2:C$746,A608,'Base bordo'!B$2:B$746,B608,'Base bordo'!F$2:F$746,"CARREGAMENTO"),0)</f>
        <v>0.32777777777777778</v>
      </c>
      <c r="H608" s="10">
        <f>IFERROR(SUMIFS('Base bordo'!G$2:G$746,'Base bordo'!C$2:C$746,A608,'Base bordo'!B$2:B$746,B608,'Base bordo'!F$2:F$746,"AGUARDANDO TRANSBORDO"),0)</f>
        <v>0.98277777777777775</v>
      </c>
      <c r="I608" s="10">
        <f>IFERROR(SUMIFS('Base bordo'!G$2:G$746,'Base bordo'!C$2:C$746,A608,'Base bordo'!B$2:B$746,B608,'Base bordo'!F$2:F$746,"PÁTIO INTERNO"),0)+IFERROR(SUMIFS('Base bordo'!G$2:G$746,'Base bordo'!C$2:C$746,A608,'Base bordo'!B$2:B$746,B608,'Base bordo'!F$2:F$746,"PÁTIO EXTERNO"),0)+IFERROR(SUMIFS('Base bordo'!G$2:G$746,'Base bordo'!C$2:C$746,A608,'Base bordo'!B$2:B$746,B608,'Base bordo'!F$2:F$746,"PATIO - RESERVA"),0)+IFERROR(SUMIFS('Base bordo'!G$2:G$746,'Base bordo'!C$2:C$746,A608,'Base bordo'!B$2:B$746,B608,'Base bordo'!F$2:F$746,"MANOBRA CARRETAS-PATIO"),0)</f>
        <v>0</v>
      </c>
      <c r="J608" s="10">
        <f>IFERROR(SUMIFS('Base bordo'!G$2:G$746,'Base bordo'!C$2:C$746,A608,'Base bordo'!B$2:B$746,B608,'Base bordo'!F$2:F$746,"BALANÇA - ENTRADA"),0)+IFERROR(SUMIFS('Base bordo'!G$2:G$746,'Base bordo'!C$2:C$746,A608,'Base bordo'!B$2:B$746,B608,'Base bordo'!F$2:F$746,"BALANÇA - SAÍDA"),0)</f>
        <v>0</v>
      </c>
      <c r="K608" s="10">
        <f>IFERROR(SUMIFS('Base bordo'!G$2:G$746,'Base bordo'!C$2:C$746,A608,'Base bordo'!B$2:B$746,B608,'Base bordo'!F$2:F$746,"MAN PREVENTIVA - MECANICA"),0)+IFERROR(SUMIFS('Base bordo'!G$2:G$746,'Base bordo'!C$2:C$746,A608,'Base bordo'!B$2:B$746,B608,'Base bordo'!F$2:F$746,"MAN CORRETIVA - MECANICA"),0)</f>
        <v>4.6944444444444441E-2</v>
      </c>
      <c r="L608" s="10">
        <f>IFERROR(SUMIFS('Base bordo'!G$2:G$746,'Base bordo'!C$2:C$746,A608,'Base bordo'!B$2:B$746,B608,'Base bordo'!F$2:F$746,"MANUTENCAO - T O"),0)+IFERROR(SUMIFS('Base bordo'!G$2:G$746,'Base bordo'!C$2:C$746,A608,'Base bordo'!B$2:B$746,B608,'Base bordo'!F$2:F$746,"MANUTENCAO BORRACHARIA"),0)+IFERROR(SUMIFS('Base bordo'!G$2:G$746,'Base bordo'!C$2:C$746,A608,'Base bordo'!B$2:B$746,B608,'Base bordo'!F$2:F$746,"MANUTENCAO EXTERNA  CONCESSIONARIA"),0)+IFERROR(SUMIFS('Base bordo'!G$2:G$746,'Base bordo'!C$2:C$746,A608,'Base bordo'!B$2:B$746,B608,'Base bordo'!F$2:F$746,"MANUTENCAO TELEMETRIA"),0)</f>
        <v>4.0702777777777781</v>
      </c>
      <c r="M608" s="10">
        <f>IFERROR(SUMIFS('Base bordo'!G$2:G$746,'Base bordo'!C$2:C$746,A608,'Base bordo'!B$2:B$746,B608,'Base bordo'!F$2:F$746,"AGUARDANDO MANUTENCAO"),0)</f>
        <v>0</v>
      </c>
      <c r="N608" s="10">
        <f>IFERROR(SUMIFS('Base bordo'!G$2:G$746,'Base bordo'!C$2:C$746,A608,'Base bordo'!B$2:B$746,B608,'Base bordo'!F$2:F$746,"SEM APONTAMENTO"),0)</f>
        <v>0</v>
      </c>
      <c r="O608" s="10">
        <f t="shared" si="66"/>
        <v>2.6524999999999981</v>
      </c>
      <c r="P608" s="10">
        <f>IFERROR(SUMIFS('Base bordo'!G$2:G$746,'Base bordo'!C$2:C$746,A608,'Base bordo'!B$2:B$746,B608),0)</f>
        <v>12.298888888888888</v>
      </c>
      <c r="Q608" s="10">
        <f>IFERROR(SUMIFS('Base bordo'!H$2:H$746,'Base bordo'!C$2:C$746,A608,'Base bordo'!B$2:B$746,B608,'Base bordo'!F$2:F$746,"DESLOCAMENTO VAZIO"),0)</f>
        <v>96755.57</v>
      </c>
      <c r="R608" s="10">
        <f>IFERROR(SUMIFS('Base bordo'!I$2:I$746,'Base bordo'!C$2:C$746,A608,'Base bordo'!B$2:B$746,B608,'Base bordo'!F$2:F$746,"DESLOCAMENTO VAZIO"),0)</f>
        <v>4931</v>
      </c>
      <c r="S608" s="30">
        <f t="shared" si="67"/>
        <v>19.621896167106065</v>
      </c>
      <c r="T608" s="10">
        <f>IFERROR(SUMIFS('Base bordo'!H$2:H$746,'Base bordo'!C$2:C$746,A608,'Base bordo'!B$2:B$746,B608,'Base bordo'!F$2:F$746,"DESLOCAMENTO CARREGADO"),0)</f>
        <v>170850.02000000002</v>
      </c>
      <c r="U608" s="10">
        <f>IFERROR(SUMIFS('Base bordo'!I$2:I$746,'Base bordo'!C$2:C$746,A608,'Base bordo'!B$2:B$746,B608,'Base bordo'!F$2:F$746,"DESLOCAMENTO CARREGADO"),0)</f>
        <v>6378</v>
      </c>
      <c r="V608" s="30">
        <f t="shared" si="68"/>
        <v>26.787397303229856</v>
      </c>
      <c r="W608" s="9">
        <f t="shared" si="69"/>
        <v>0.1113695907489385</v>
      </c>
      <c r="X608" s="9">
        <f t="shared" si="70"/>
        <v>0.14405095311229563</v>
      </c>
      <c r="Y608" s="9">
        <f t="shared" si="71"/>
        <v>0.74457945613876597</v>
      </c>
    </row>
    <row r="609" spans="1:25" ht="15" customHeight="1" x14ac:dyDescent="0.35">
      <c r="A609" s="52">
        <v>8013465</v>
      </c>
      <c r="B609" s="51">
        <v>46117</v>
      </c>
      <c r="C609" s="7" t="s">
        <v>124</v>
      </c>
      <c r="D609" s="10">
        <f>IFERROR(SUMIFS('Base bordo'!G$2:G$746,'Base bordo'!C$2:C$746,A609,'Base bordo'!B$2:B$746,B609,'Base bordo'!F$2:F$746,"DESLOCAMENTO VAZIO"),0)</f>
        <v>0.56916666666666671</v>
      </c>
      <c r="E609" s="10">
        <f>IFERROR(SUMIFS('Base bordo'!G$2:G$746,'Base bordo'!C$2:C$746,A609,'Base bordo'!B$2:B$746,B609,'Base bordo'!F$2:F$746,"DESLOCAMENTO CARREGADO"),0)</f>
        <v>0</v>
      </c>
      <c r="F609" s="10">
        <f>IFERROR(SUMIFS('Base bordo'!G$2:G$746,'Base bordo'!C$2:C$746,A609,'Base bordo'!B$2:B$746,B609,'Base bordo'!F$2:F$746,"DESLOCAMENTO"),0)</f>
        <v>0</v>
      </c>
      <c r="G609" s="10">
        <f>IFERROR(SUMIFS('Base bordo'!G$2:G$746,'Base bordo'!C$2:C$746,A609,'Base bordo'!B$2:B$746,B609,'Base bordo'!F$2:F$746,"CARREGAMENTO"),0)</f>
        <v>0</v>
      </c>
      <c r="H609" s="10">
        <f>IFERROR(SUMIFS('Base bordo'!G$2:G$746,'Base bordo'!C$2:C$746,A609,'Base bordo'!B$2:B$746,B609,'Base bordo'!F$2:F$746,"AGUARDANDO TRANSBORDO"),0)</f>
        <v>0</v>
      </c>
      <c r="I609" s="10">
        <f>IFERROR(SUMIFS('Base bordo'!G$2:G$746,'Base bordo'!C$2:C$746,A609,'Base bordo'!B$2:B$746,B609,'Base bordo'!F$2:F$746,"PÁTIO INTERNO"),0)+IFERROR(SUMIFS('Base bordo'!G$2:G$746,'Base bordo'!C$2:C$746,A609,'Base bordo'!B$2:B$746,B609,'Base bordo'!F$2:F$746,"PÁTIO EXTERNO"),0)+IFERROR(SUMIFS('Base bordo'!G$2:G$746,'Base bordo'!C$2:C$746,A609,'Base bordo'!B$2:B$746,B609,'Base bordo'!F$2:F$746,"PATIO - RESERVA"),0)+IFERROR(SUMIFS('Base bordo'!G$2:G$746,'Base bordo'!C$2:C$746,A609,'Base bordo'!B$2:B$746,B609,'Base bordo'!F$2:F$746,"MANOBRA CARRETAS-PATIO"),0)</f>
        <v>0</v>
      </c>
      <c r="J609" s="10">
        <f>IFERROR(SUMIFS('Base bordo'!G$2:G$746,'Base bordo'!C$2:C$746,A609,'Base bordo'!B$2:B$746,B609,'Base bordo'!F$2:F$746,"BALANÇA - ENTRADA"),0)+IFERROR(SUMIFS('Base bordo'!G$2:G$746,'Base bordo'!C$2:C$746,A609,'Base bordo'!B$2:B$746,B609,'Base bordo'!F$2:F$746,"BALANÇA - SAÍDA"),0)</f>
        <v>0</v>
      </c>
      <c r="K609" s="10">
        <f>IFERROR(SUMIFS('Base bordo'!G$2:G$746,'Base bordo'!C$2:C$746,A609,'Base bordo'!B$2:B$746,B609,'Base bordo'!F$2:F$746,"MAN PREVENTIVA - MECANICA"),0)+IFERROR(SUMIFS('Base bordo'!G$2:G$746,'Base bordo'!C$2:C$746,A609,'Base bordo'!B$2:B$746,B609,'Base bordo'!F$2:F$746,"MAN CORRETIVA - MECANICA"),0)</f>
        <v>6.7658333333333331</v>
      </c>
      <c r="L609" s="10">
        <f>IFERROR(SUMIFS('Base bordo'!G$2:G$746,'Base bordo'!C$2:C$746,A609,'Base bordo'!B$2:B$746,B609,'Base bordo'!F$2:F$746,"MANUTENCAO - T O"),0)+IFERROR(SUMIFS('Base bordo'!G$2:G$746,'Base bordo'!C$2:C$746,A609,'Base bordo'!B$2:B$746,B609,'Base bordo'!F$2:F$746,"MANUTENCAO BORRACHARIA"),0)+IFERROR(SUMIFS('Base bordo'!G$2:G$746,'Base bordo'!C$2:C$746,A609,'Base bordo'!B$2:B$746,B609,'Base bordo'!F$2:F$746,"MANUTENCAO EXTERNA  CONCESSIONARIA"),0)+IFERROR(SUMIFS('Base bordo'!G$2:G$746,'Base bordo'!C$2:C$746,A609,'Base bordo'!B$2:B$746,B609,'Base bordo'!F$2:F$746,"MANUTENCAO TELEMETRIA"),0)</f>
        <v>11.210277777777778</v>
      </c>
      <c r="M609" s="10">
        <f>IFERROR(SUMIFS('Base bordo'!G$2:G$746,'Base bordo'!C$2:C$746,A609,'Base bordo'!B$2:B$746,B609,'Base bordo'!F$2:F$746,"AGUARDANDO MANUTENCAO"),0)</f>
        <v>0</v>
      </c>
      <c r="N609" s="10">
        <f>IFERROR(SUMIFS('Base bordo'!G$2:G$746,'Base bordo'!C$2:C$746,A609,'Base bordo'!B$2:B$746,B609,'Base bordo'!F$2:F$746,"SEM APONTAMENTO"),0)</f>
        <v>0</v>
      </c>
      <c r="O609" s="10">
        <f t="shared" si="66"/>
        <v>0.17805555555555586</v>
      </c>
      <c r="P609" s="10">
        <f>IFERROR(SUMIFS('Base bordo'!G$2:G$746,'Base bordo'!C$2:C$746,A609,'Base bordo'!B$2:B$746,B609),0)</f>
        <v>18.723333333333333</v>
      </c>
      <c r="Q609" s="10">
        <f>IFERROR(SUMIFS('Base bordo'!H$2:H$746,'Base bordo'!C$2:C$746,A609,'Base bordo'!B$2:B$746,B609,'Base bordo'!F$2:F$746,"DESLOCAMENTO VAZIO"),0)</f>
        <v>48513.33</v>
      </c>
      <c r="R609" s="10">
        <f>IFERROR(SUMIFS('Base bordo'!I$2:I$746,'Base bordo'!C$2:C$746,A609,'Base bordo'!B$2:B$746,B609,'Base bordo'!F$2:F$746,"DESLOCAMENTO VAZIO"),0)</f>
        <v>2049</v>
      </c>
      <c r="S609" s="30">
        <f t="shared" si="67"/>
        <v>23.676588579795023</v>
      </c>
      <c r="T609" s="10">
        <f>IFERROR(SUMIFS('Base bordo'!H$2:H$746,'Base bordo'!C$2:C$746,A609,'Base bordo'!B$2:B$746,B609,'Base bordo'!F$2:F$746,"DESLOCAMENTO CARREGADO"),0)</f>
        <v>0</v>
      </c>
      <c r="U609" s="10">
        <f>IFERROR(SUMIFS('Base bordo'!I$2:I$746,'Base bordo'!C$2:C$746,A609,'Base bordo'!B$2:B$746,B609,'Base bordo'!F$2:F$746,"DESLOCAMENTO CARREGADO"),0)</f>
        <v>0</v>
      </c>
      <c r="V609" s="30" t="str">
        <f t="shared" si="68"/>
        <v/>
      </c>
      <c r="W609" s="9">
        <f t="shared" si="69"/>
        <v>3.039878938935375E-2</v>
      </c>
      <c r="X609" s="9">
        <f t="shared" si="70"/>
        <v>0</v>
      </c>
      <c r="Y609" s="9">
        <f t="shared" si="71"/>
        <v>0.9696012106106463</v>
      </c>
    </row>
    <row r="610" spans="1:25" ht="15" customHeight="1" x14ac:dyDescent="0.35">
      <c r="A610" s="52">
        <v>8013465</v>
      </c>
      <c r="B610" s="51">
        <v>46117</v>
      </c>
      <c r="C610" s="7" t="s">
        <v>124</v>
      </c>
      <c r="D610" s="10">
        <f>IFERROR(SUMIFS('Base bordo'!G$2:G$746,'Base bordo'!C$2:C$746,A610,'Base bordo'!B$2:B$746,B610,'Base bordo'!F$2:F$746,"DESLOCAMENTO VAZIO"),0)</f>
        <v>0.56916666666666671</v>
      </c>
      <c r="E610" s="10">
        <f>IFERROR(SUMIFS('Base bordo'!G$2:G$746,'Base bordo'!C$2:C$746,A610,'Base bordo'!B$2:B$746,B610,'Base bordo'!F$2:F$746,"DESLOCAMENTO CARREGADO"),0)</f>
        <v>0</v>
      </c>
      <c r="F610" s="10">
        <f>IFERROR(SUMIFS('Base bordo'!G$2:G$746,'Base bordo'!C$2:C$746,A610,'Base bordo'!B$2:B$746,B610,'Base bordo'!F$2:F$746,"DESLOCAMENTO"),0)</f>
        <v>0</v>
      </c>
      <c r="G610" s="10">
        <f>IFERROR(SUMIFS('Base bordo'!G$2:G$746,'Base bordo'!C$2:C$746,A610,'Base bordo'!B$2:B$746,B610,'Base bordo'!F$2:F$746,"CARREGAMENTO"),0)</f>
        <v>0</v>
      </c>
      <c r="H610" s="10">
        <f>IFERROR(SUMIFS('Base bordo'!G$2:G$746,'Base bordo'!C$2:C$746,A610,'Base bordo'!B$2:B$746,B610,'Base bordo'!F$2:F$746,"AGUARDANDO TRANSBORDO"),0)</f>
        <v>0</v>
      </c>
      <c r="I610" s="10">
        <f>IFERROR(SUMIFS('Base bordo'!G$2:G$746,'Base bordo'!C$2:C$746,A610,'Base bordo'!B$2:B$746,B610,'Base bordo'!F$2:F$746,"PÁTIO INTERNO"),0)+IFERROR(SUMIFS('Base bordo'!G$2:G$746,'Base bordo'!C$2:C$746,A610,'Base bordo'!B$2:B$746,B610,'Base bordo'!F$2:F$746,"PÁTIO EXTERNO"),0)+IFERROR(SUMIFS('Base bordo'!G$2:G$746,'Base bordo'!C$2:C$746,A610,'Base bordo'!B$2:B$746,B610,'Base bordo'!F$2:F$746,"PATIO - RESERVA"),0)+IFERROR(SUMIFS('Base bordo'!G$2:G$746,'Base bordo'!C$2:C$746,A610,'Base bordo'!B$2:B$746,B610,'Base bordo'!F$2:F$746,"MANOBRA CARRETAS-PATIO"),0)</f>
        <v>0</v>
      </c>
      <c r="J610" s="10">
        <f>IFERROR(SUMIFS('Base bordo'!G$2:G$746,'Base bordo'!C$2:C$746,A610,'Base bordo'!B$2:B$746,B610,'Base bordo'!F$2:F$746,"BALANÇA - ENTRADA"),0)+IFERROR(SUMIFS('Base bordo'!G$2:G$746,'Base bordo'!C$2:C$746,A610,'Base bordo'!B$2:B$746,B610,'Base bordo'!F$2:F$746,"BALANÇA - SAÍDA"),0)</f>
        <v>0</v>
      </c>
      <c r="K610" s="10">
        <f>IFERROR(SUMIFS('Base bordo'!G$2:G$746,'Base bordo'!C$2:C$746,A610,'Base bordo'!B$2:B$746,B610,'Base bordo'!F$2:F$746,"MAN PREVENTIVA - MECANICA"),0)+IFERROR(SUMIFS('Base bordo'!G$2:G$746,'Base bordo'!C$2:C$746,A610,'Base bordo'!B$2:B$746,B610,'Base bordo'!F$2:F$746,"MAN CORRETIVA - MECANICA"),0)</f>
        <v>6.7658333333333331</v>
      </c>
      <c r="L610" s="10">
        <f>IFERROR(SUMIFS('Base bordo'!G$2:G$746,'Base bordo'!C$2:C$746,A610,'Base bordo'!B$2:B$746,B610,'Base bordo'!F$2:F$746,"MANUTENCAO - T O"),0)+IFERROR(SUMIFS('Base bordo'!G$2:G$746,'Base bordo'!C$2:C$746,A610,'Base bordo'!B$2:B$746,B610,'Base bordo'!F$2:F$746,"MANUTENCAO BORRACHARIA"),0)+IFERROR(SUMIFS('Base bordo'!G$2:G$746,'Base bordo'!C$2:C$746,A610,'Base bordo'!B$2:B$746,B610,'Base bordo'!F$2:F$746,"MANUTENCAO EXTERNA  CONCESSIONARIA"),0)+IFERROR(SUMIFS('Base bordo'!G$2:G$746,'Base bordo'!C$2:C$746,A610,'Base bordo'!B$2:B$746,B610,'Base bordo'!F$2:F$746,"MANUTENCAO TELEMETRIA"),0)</f>
        <v>11.210277777777778</v>
      </c>
      <c r="M610" s="10">
        <f>IFERROR(SUMIFS('Base bordo'!G$2:G$746,'Base bordo'!C$2:C$746,A610,'Base bordo'!B$2:B$746,B610,'Base bordo'!F$2:F$746,"AGUARDANDO MANUTENCAO"),0)</f>
        <v>0</v>
      </c>
      <c r="N610" s="10">
        <f>IFERROR(SUMIFS('Base bordo'!G$2:G$746,'Base bordo'!C$2:C$746,A610,'Base bordo'!B$2:B$746,B610,'Base bordo'!F$2:F$746,"SEM APONTAMENTO"),0)</f>
        <v>0</v>
      </c>
      <c r="O610" s="10">
        <f t="shared" si="66"/>
        <v>0.17805555555555586</v>
      </c>
      <c r="P610" s="10">
        <f>IFERROR(SUMIFS('Base bordo'!G$2:G$746,'Base bordo'!C$2:C$746,A610,'Base bordo'!B$2:B$746,B610),0)</f>
        <v>18.723333333333333</v>
      </c>
      <c r="Q610" s="10">
        <f>IFERROR(SUMIFS('Base bordo'!H$2:H$746,'Base bordo'!C$2:C$746,A610,'Base bordo'!B$2:B$746,B610,'Base bordo'!F$2:F$746,"DESLOCAMENTO VAZIO"),0)</f>
        <v>48513.33</v>
      </c>
      <c r="R610" s="10">
        <f>IFERROR(SUMIFS('Base bordo'!I$2:I$746,'Base bordo'!C$2:C$746,A610,'Base bordo'!B$2:B$746,B610,'Base bordo'!F$2:F$746,"DESLOCAMENTO VAZIO"),0)</f>
        <v>2049</v>
      </c>
      <c r="S610" s="30">
        <f t="shared" si="67"/>
        <v>23.676588579795023</v>
      </c>
      <c r="T610" s="10">
        <f>IFERROR(SUMIFS('Base bordo'!H$2:H$746,'Base bordo'!C$2:C$746,A610,'Base bordo'!B$2:B$746,B610,'Base bordo'!F$2:F$746,"DESLOCAMENTO CARREGADO"),0)</f>
        <v>0</v>
      </c>
      <c r="U610" s="10">
        <f>IFERROR(SUMIFS('Base bordo'!I$2:I$746,'Base bordo'!C$2:C$746,A610,'Base bordo'!B$2:B$746,B610,'Base bordo'!F$2:F$746,"DESLOCAMENTO CARREGADO"),0)</f>
        <v>0</v>
      </c>
      <c r="V610" s="30" t="str">
        <f t="shared" si="68"/>
        <v/>
      </c>
      <c r="W610" s="9">
        <f t="shared" si="69"/>
        <v>3.039878938935375E-2</v>
      </c>
      <c r="X610" s="9">
        <f t="shared" si="70"/>
        <v>0</v>
      </c>
      <c r="Y610" s="9">
        <f t="shared" si="71"/>
        <v>0.9696012106106463</v>
      </c>
    </row>
    <row r="611" spans="1:25" ht="15" customHeight="1" x14ac:dyDescent="0.35">
      <c r="A611" s="52">
        <v>8013465</v>
      </c>
      <c r="B611" s="51">
        <v>46117</v>
      </c>
      <c r="C611" s="7" t="s">
        <v>124</v>
      </c>
      <c r="D611" s="10">
        <f>IFERROR(SUMIFS('Base bordo'!G$2:G$746,'Base bordo'!C$2:C$746,A611,'Base bordo'!B$2:B$746,B611,'Base bordo'!F$2:F$746,"DESLOCAMENTO VAZIO"),0)</f>
        <v>0.56916666666666671</v>
      </c>
      <c r="E611" s="10">
        <f>IFERROR(SUMIFS('Base bordo'!G$2:G$746,'Base bordo'!C$2:C$746,A611,'Base bordo'!B$2:B$746,B611,'Base bordo'!F$2:F$746,"DESLOCAMENTO CARREGADO"),0)</f>
        <v>0</v>
      </c>
      <c r="F611" s="10">
        <f>IFERROR(SUMIFS('Base bordo'!G$2:G$746,'Base bordo'!C$2:C$746,A611,'Base bordo'!B$2:B$746,B611,'Base bordo'!F$2:F$746,"DESLOCAMENTO"),0)</f>
        <v>0</v>
      </c>
      <c r="G611" s="10">
        <f>IFERROR(SUMIFS('Base bordo'!G$2:G$746,'Base bordo'!C$2:C$746,A611,'Base bordo'!B$2:B$746,B611,'Base bordo'!F$2:F$746,"CARREGAMENTO"),0)</f>
        <v>0</v>
      </c>
      <c r="H611" s="10">
        <f>IFERROR(SUMIFS('Base bordo'!G$2:G$746,'Base bordo'!C$2:C$746,A611,'Base bordo'!B$2:B$746,B611,'Base bordo'!F$2:F$746,"AGUARDANDO TRANSBORDO"),0)</f>
        <v>0</v>
      </c>
      <c r="I611" s="10">
        <f>IFERROR(SUMIFS('Base bordo'!G$2:G$746,'Base bordo'!C$2:C$746,A611,'Base bordo'!B$2:B$746,B611,'Base bordo'!F$2:F$746,"PÁTIO INTERNO"),0)+IFERROR(SUMIFS('Base bordo'!G$2:G$746,'Base bordo'!C$2:C$746,A611,'Base bordo'!B$2:B$746,B611,'Base bordo'!F$2:F$746,"PÁTIO EXTERNO"),0)+IFERROR(SUMIFS('Base bordo'!G$2:G$746,'Base bordo'!C$2:C$746,A611,'Base bordo'!B$2:B$746,B611,'Base bordo'!F$2:F$746,"PATIO - RESERVA"),0)+IFERROR(SUMIFS('Base bordo'!G$2:G$746,'Base bordo'!C$2:C$746,A611,'Base bordo'!B$2:B$746,B611,'Base bordo'!F$2:F$746,"MANOBRA CARRETAS-PATIO"),0)</f>
        <v>0</v>
      </c>
      <c r="J611" s="10">
        <f>IFERROR(SUMIFS('Base bordo'!G$2:G$746,'Base bordo'!C$2:C$746,A611,'Base bordo'!B$2:B$746,B611,'Base bordo'!F$2:F$746,"BALANÇA - ENTRADA"),0)+IFERROR(SUMIFS('Base bordo'!G$2:G$746,'Base bordo'!C$2:C$746,A611,'Base bordo'!B$2:B$746,B611,'Base bordo'!F$2:F$746,"BALANÇA - SAÍDA"),0)</f>
        <v>0</v>
      </c>
      <c r="K611" s="10">
        <f>IFERROR(SUMIFS('Base bordo'!G$2:G$746,'Base bordo'!C$2:C$746,A611,'Base bordo'!B$2:B$746,B611,'Base bordo'!F$2:F$746,"MAN PREVENTIVA - MECANICA"),0)+IFERROR(SUMIFS('Base bordo'!G$2:G$746,'Base bordo'!C$2:C$746,A611,'Base bordo'!B$2:B$746,B611,'Base bordo'!F$2:F$746,"MAN CORRETIVA - MECANICA"),0)</f>
        <v>6.7658333333333331</v>
      </c>
      <c r="L611" s="10">
        <f>IFERROR(SUMIFS('Base bordo'!G$2:G$746,'Base bordo'!C$2:C$746,A611,'Base bordo'!B$2:B$746,B611,'Base bordo'!F$2:F$746,"MANUTENCAO - T O"),0)+IFERROR(SUMIFS('Base bordo'!G$2:G$746,'Base bordo'!C$2:C$746,A611,'Base bordo'!B$2:B$746,B611,'Base bordo'!F$2:F$746,"MANUTENCAO BORRACHARIA"),0)+IFERROR(SUMIFS('Base bordo'!G$2:G$746,'Base bordo'!C$2:C$746,A611,'Base bordo'!B$2:B$746,B611,'Base bordo'!F$2:F$746,"MANUTENCAO EXTERNA  CONCESSIONARIA"),0)+IFERROR(SUMIFS('Base bordo'!G$2:G$746,'Base bordo'!C$2:C$746,A611,'Base bordo'!B$2:B$746,B611,'Base bordo'!F$2:F$746,"MANUTENCAO TELEMETRIA"),0)</f>
        <v>11.210277777777778</v>
      </c>
      <c r="M611" s="10">
        <f>IFERROR(SUMIFS('Base bordo'!G$2:G$746,'Base bordo'!C$2:C$746,A611,'Base bordo'!B$2:B$746,B611,'Base bordo'!F$2:F$746,"AGUARDANDO MANUTENCAO"),0)</f>
        <v>0</v>
      </c>
      <c r="N611" s="10">
        <f>IFERROR(SUMIFS('Base bordo'!G$2:G$746,'Base bordo'!C$2:C$746,A611,'Base bordo'!B$2:B$746,B611,'Base bordo'!F$2:F$746,"SEM APONTAMENTO"),0)</f>
        <v>0</v>
      </c>
      <c r="O611" s="10">
        <f t="shared" si="66"/>
        <v>0.17805555555555586</v>
      </c>
      <c r="P611" s="10">
        <f>IFERROR(SUMIFS('Base bordo'!G$2:G$746,'Base bordo'!C$2:C$746,A611,'Base bordo'!B$2:B$746,B611),0)</f>
        <v>18.723333333333333</v>
      </c>
      <c r="Q611" s="10">
        <f>IFERROR(SUMIFS('Base bordo'!H$2:H$746,'Base bordo'!C$2:C$746,A611,'Base bordo'!B$2:B$746,B611,'Base bordo'!F$2:F$746,"DESLOCAMENTO VAZIO"),0)</f>
        <v>48513.33</v>
      </c>
      <c r="R611" s="10">
        <f>IFERROR(SUMIFS('Base bordo'!I$2:I$746,'Base bordo'!C$2:C$746,A611,'Base bordo'!B$2:B$746,B611,'Base bordo'!F$2:F$746,"DESLOCAMENTO VAZIO"),0)</f>
        <v>2049</v>
      </c>
      <c r="S611" s="30">
        <f t="shared" si="67"/>
        <v>23.676588579795023</v>
      </c>
      <c r="T611" s="10">
        <f>IFERROR(SUMIFS('Base bordo'!H$2:H$746,'Base bordo'!C$2:C$746,A611,'Base bordo'!B$2:B$746,B611,'Base bordo'!F$2:F$746,"DESLOCAMENTO CARREGADO"),0)</f>
        <v>0</v>
      </c>
      <c r="U611" s="10">
        <f>IFERROR(SUMIFS('Base bordo'!I$2:I$746,'Base bordo'!C$2:C$746,A611,'Base bordo'!B$2:B$746,B611,'Base bordo'!F$2:F$746,"DESLOCAMENTO CARREGADO"),0)</f>
        <v>0</v>
      </c>
      <c r="V611" s="30" t="str">
        <f t="shared" si="68"/>
        <v/>
      </c>
      <c r="W611" s="9">
        <f t="shared" si="69"/>
        <v>3.039878938935375E-2</v>
      </c>
      <c r="X611" s="9">
        <f t="shared" si="70"/>
        <v>0</v>
      </c>
      <c r="Y611" s="9">
        <f t="shared" si="71"/>
        <v>0.9696012106106463</v>
      </c>
    </row>
    <row r="612" spans="1:25" ht="15" customHeight="1" x14ac:dyDescent="0.35">
      <c r="A612" s="52">
        <v>8013468</v>
      </c>
      <c r="B612" s="51">
        <v>46117</v>
      </c>
      <c r="C612" s="7" t="s">
        <v>124</v>
      </c>
      <c r="D612" s="10">
        <f>IFERROR(SUMIFS('Base bordo'!G$2:G$746,'Base bordo'!C$2:C$746,A612,'Base bordo'!B$2:B$746,B612,'Base bordo'!F$2:F$746,"DESLOCAMENTO VAZIO"),0)</f>
        <v>1.7458333333333333</v>
      </c>
      <c r="E612" s="10">
        <f>IFERROR(SUMIFS('Base bordo'!G$2:G$746,'Base bordo'!C$2:C$746,A612,'Base bordo'!B$2:B$746,B612,'Base bordo'!F$2:F$746,"DESLOCAMENTO CARREGADO"),0)</f>
        <v>1.6383333333333334</v>
      </c>
      <c r="F612" s="10">
        <f>IFERROR(SUMIFS('Base bordo'!G$2:G$746,'Base bordo'!C$2:C$746,A612,'Base bordo'!B$2:B$746,B612,'Base bordo'!F$2:F$746,"DESLOCAMENTO"),0)</f>
        <v>5.6772222222222224</v>
      </c>
      <c r="G612" s="10">
        <f>IFERROR(SUMIFS('Base bordo'!G$2:G$746,'Base bordo'!C$2:C$746,A612,'Base bordo'!B$2:B$746,B612,'Base bordo'!F$2:F$746,"CARREGAMENTO"),0)</f>
        <v>1.2477777777777779</v>
      </c>
      <c r="H612" s="10">
        <f>IFERROR(SUMIFS('Base bordo'!G$2:G$746,'Base bordo'!C$2:C$746,A612,'Base bordo'!B$2:B$746,B612,'Base bordo'!F$2:F$746,"AGUARDANDO TRANSBORDO"),0)</f>
        <v>0.42</v>
      </c>
      <c r="I612" s="10">
        <f>IFERROR(SUMIFS('Base bordo'!G$2:G$746,'Base bordo'!C$2:C$746,A612,'Base bordo'!B$2:B$746,B612,'Base bordo'!F$2:F$746,"PÁTIO INTERNO"),0)+IFERROR(SUMIFS('Base bordo'!G$2:G$746,'Base bordo'!C$2:C$746,A612,'Base bordo'!B$2:B$746,B612,'Base bordo'!F$2:F$746,"PÁTIO EXTERNO"),0)+IFERROR(SUMIFS('Base bordo'!G$2:G$746,'Base bordo'!C$2:C$746,A612,'Base bordo'!B$2:B$746,B612,'Base bordo'!F$2:F$746,"PATIO - RESERVA"),0)+IFERROR(SUMIFS('Base bordo'!G$2:G$746,'Base bordo'!C$2:C$746,A612,'Base bordo'!B$2:B$746,B612,'Base bordo'!F$2:F$746,"MANOBRA CARRETAS-PATIO"),0)</f>
        <v>1.9175</v>
      </c>
      <c r="J612" s="10">
        <f>IFERROR(SUMIFS('Base bordo'!G$2:G$746,'Base bordo'!C$2:C$746,A612,'Base bordo'!B$2:B$746,B612,'Base bordo'!F$2:F$746,"BALANÇA - ENTRADA"),0)+IFERROR(SUMIFS('Base bordo'!G$2:G$746,'Base bordo'!C$2:C$746,A612,'Base bordo'!B$2:B$746,B612,'Base bordo'!F$2:F$746,"BALANÇA - SAÍDA"),0)</f>
        <v>0</v>
      </c>
      <c r="K612" s="10">
        <f>IFERROR(SUMIFS('Base bordo'!G$2:G$746,'Base bordo'!C$2:C$746,A612,'Base bordo'!B$2:B$746,B612,'Base bordo'!F$2:F$746,"MAN PREVENTIVA - MECANICA"),0)+IFERROR(SUMIFS('Base bordo'!G$2:G$746,'Base bordo'!C$2:C$746,A612,'Base bordo'!B$2:B$746,B612,'Base bordo'!F$2:F$746,"MAN CORRETIVA - MECANICA"),0)</f>
        <v>0</v>
      </c>
      <c r="L612" s="10">
        <f>IFERROR(SUMIFS('Base bordo'!G$2:G$746,'Base bordo'!C$2:C$746,A612,'Base bordo'!B$2:B$746,B612,'Base bordo'!F$2:F$746,"MANUTENCAO - T O"),0)+IFERROR(SUMIFS('Base bordo'!G$2:G$746,'Base bordo'!C$2:C$746,A612,'Base bordo'!B$2:B$746,B612,'Base bordo'!F$2:F$746,"MANUTENCAO BORRACHARIA"),0)+IFERROR(SUMIFS('Base bordo'!G$2:G$746,'Base bordo'!C$2:C$746,A612,'Base bordo'!B$2:B$746,B612,'Base bordo'!F$2:F$746,"MANUTENCAO EXTERNA  CONCESSIONARIA"),0)+IFERROR(SUMIFS('Base bordo'!G$2:G$746,'Base bordo'!C$2:C$746,A612,'Base bordo'!B$2:B$746,B612,'Base bordo'!F$2:F$746,"MANUTENCAO TELEMETRIA"),0)</f>
        <v>8.4913888888888884</v>
      </c>
      <c r="M612" s="10">
        <f>IFERROR(SUMIFS('Base bordo'!G$2:G$746,'Base bordo'!C$2:C$746,A612,'Base bordo'!B$2:B$746,B612,'Base bordo'!F$2:F$746,"AGUARDANDO MANUTENCAO"),0)</f>
        <v>0</v>
      </c>
      <c r="N612" s="10">
        <f>IFERROR(SUMIFS('Base bordo'!G$2:G$746,'Base bordo'!C$2:C$746,A612,'Base bordo'!B$2:B$746,B612,'Base bordo'!F$2:F$746,"SEM APONTAMENTO"),0)</f>
        <v>0.34805555555555556</v>
      </c>
      <c r="O612" s="10">
        <f t="shared" si="66"/>
        <v>2.5138888888888928</v>
      </c>
      <c r="P612" s="10">
        <f>IFERROR(SUMIFS('Base bordo'!G$2:G$746,'Base bordo'!C$2:C$746,A612,'Base bordo'!B$2:B$746,B612),0)</f>
        <v>24</v>
      </c>
      <c r="Q612" s="10">
        <f>IFERROR(SUMIFS('Base bordo'!H$2:H$746,'Base bordo'!C$2:C$746,A612,'Base bordo'!B$2:B$746,B612,'Base bordo'!F$2:F$746,"DESLOCAMENTO VAZIO"),0)</f>
        <v>150540.29999999999</v>
      </c>
      <c r="R612" s="10">
        <f>IFERROR(SUMIFS('Base bordo'!I$2:I$746,'Base bordo'!C$2:C$746,A612,'Base bordo'!B$2:B$746,B612,'Base bordo'!F$2:F$746,"DESLOCAMENTO VAZIO"),0)</f>
        <v>6285</v>
      </c>
      <c r="S612" s="30">
        <f t="shared" si="67"/>
        <v>23.952315035799522</v>
      </c>
      <c r="T612" s="10">
        <f>IFERROR(SUMIFS('Base bordo'!H$2:H$746,'Base bordo'!C$2:C$746,A612,'Base bordo'!B$2:B$746,B612,'Base bordo'!F$2:F$746,"DESLOCAMENTO CARREGADO"),0)</f>
        <v>183503.40999999997</v>
      </c>
      <c r="U612" s="10">
        <f>IFERROR(SUMIFS('Base bordo'!I$2:I$746,'Base bordo'!C$2:C$746,A612,'Base bordo'!B$2:B$746,B612,'Base bordo'!F$2:F$746,"DESLOCAMENTO CARREGADO"),0)</f>
        <v>5898</v>
      </c>
      <c r="V612" s="30">
        <f t="shared" si="68"/>
        <v>31.112819599864356</v>
      </c>
      <c r="W612" s="9">
        <f t="shared" si="69"/>
        <v>7.2743055555555561E-2</v>
      </c>
      <c r="X612" s="9">
        <f t="shared" si="70"/>
        <v>6.8263888888888888E-2</v>
      </c>
      <c r="Y612" s="9">
        <f t="shared" si="71"/>
        <v>0.85899305555555561</v>
      </c>
    </row>
    <row r="613" spans="1:25" ht="15" customHeight="1" x14ac:dyDescent="0.35">
      <c r="A613" s="52">
        <v>8013468</v>
      </c>
      <c r="B613" s="51">
        <v>46117</v>
      </c>
      <c r="C613" s="7" t="s">
        <v>124</v>
      </c>
      <c r="D613" s="10">
        <f>IFERROR(SUMIFS('Base bordo'!G$2:G$746,'Base bordo'!C$2:C$746,A613,'Base bordo'!B$2:B$746,B613,'Base bordo'!F$2:F$746,"DESLOCAMENTO VAZIO"),0)</f>
        <v>1.7458333333333333</v>
      </c>
      <c r="E613" s="10">
        <f>IFERROR(SUMIFS('Base bordo'!G$2:G$746,'Base bordo'!C$2:C$746,A613,'Base bordo'!B$2:B$746,B613,'Base bordo'!F$2:F$746,"DESLOCAMENTO CARREGADO"),0)</f>
        <v>1.6383333333333334</v>
      </c>
      <c r="F613" s="10">
        <f>IFERROR(SUMIFS('Base bordo'!G$2:G$746,'Base bordo'!C$2:C$746,A613,'Base bordo'!B$2:B$746,B613,'Base bordo'!F$2:F$746,"DESLOCAMENTO"),0)</f>
        <v>5.6772222222222224</v>
      </c>
      <c r="G613" s="10">
        <f>IFERROR(SUMIFS('Base bordo'!G$2:G$746,'Base bordo'!C$2:C$746,A613,'Base bordo'!B$2:B$746,B613,'Base bordo'!F$2:F$746,"CARREGAMENTO"),0)</f>
        <v>1.2477777777777779</v>
      </c>
      <c r="H613" s="10">
        <f>IFERROR(SUMIFS('Base bordo'!G$2:G$746,'Base bordo'!C$2:C$746,A613,'Base bordo'!B$2:B$746,B613,'Base bordo'!F$2:F$746,"AGUARDANDO TRANSBORDO"),0)</f>
        <v>0.42</v>
      </c>
      <c r="I613" s="10">
        <f>IFERROR(SUMIFS('Base bordo'!G$2:G$746,'Base bordo'!C$2:C$746,A613,'Base bordo'!B$2:B$746,B613,'Base bordo'!F$2:F$746,"PÁTIO INTERNO"),0)+IFERROR(SUMIFS('Base bordo'!G$2:G$746,'Base bordo'!C$2:C$746,A613,'Base bordo'!B$2:B$746,B613,'Base bordo'!F$2:F$746,"PÁTIO EXTERNO"),0)+IFERROR(SUMIFS('Base bordo'!G$2:G$746,'Base bordo'!C$2:C$746,A613,'Base bordo'!B$2:B$746,B613,'Base bordo'!F$2:F$746,"PATIO - RESERVA"),0)+IFERROR(SUMIFS('Base bordo'!G$2:G$746,'Base bordo'!C$2:C$746,A613,'Base bordo'!B$2:B$746,B613,'Base bordo'!F$2:F$746,"MANOBRA CARRETAS-PATIO"),0)</f>
        <v>1.9175</v>
      </c>
      <c r="J613" s="10">
        <f>IFERROR(SUMIFS('Base bordo'!G$2:G$746,'Base bordo'!C$2:C$746,A613,'Base bordo'!B$2:B$746,B613,'Base bordo'!F$2:F$746,"BALANÇA - ENTRADA"),0)+IFERROR(SUMIFS('Base bordo'!G$2:G$746,'Base bordo'!C$2:C$746,A613,'Base bordo'!B$2:B$746,B613,'Base bordo'!F$2:F$746,"BALANÇA - SAÍDA"),0)</f>
        <v>0</v>
      </c>
      <c r="K613" s="10">
        <f>IFERROR(SUMIFS('Base bordo'!G$2:G$746,'Base bordo'!C$2:C$746,A613,'Base bordo'!B$2:B$746,B613,'Base bordo'!F$2:F$746,"MAN PREVENTIVA - MECANICA"),0)+IFERROR(SUMIFS('Base bordo'!G$2:G$746,'Base bordo'!C$2:C$746,A613,'Base bordo'!B$2:B$746,B613,'Base bordo'!F$2:F$746,"MAN CORRETIVA - MECANICA"),0)</f>
        <v>0</v>
      </c>
      <c r="L613" s="10">
        <f>IFERROR(SUMIFS('Base bordo'!G$2:G$746,'Base bordo'!C$2:C$746,A613,'Base bordo'!B$2:B$746,B613,'Base bordo'!F$2:F$746,"MANUTENCAO - T O"),0)+IFERROR(SUMIFS('Base bordo'!G$2:G$746,'Base bordo'!C$2:C$746,A613,'Base bordo'!B$2:B$746,B613,'Base bordo'!F$2:F$746,"MANUTENCAO BORRACHARIA"),0)+IFERROR(SUMIFS('Base bordo'!G$2:G$746,'Base bordo'!C$2:C$746,A613,'Base bordo'!B$2:B$746,B613,'Base bordo'!F$2:F$746,"MANUTENCAO EXTERNA  CONCESSIONARIA"),0)+IFERROR(SUMIFS('Base bordo'!G$2:G$746,'Base bordo'!C$2:C$746,A613,'Base bordo'!B$2:B$746,B613,'Base bordo'!F$2:F$746,"MANUTENCAO TELEMETRIA"),0)</f>
        <v>8.4913888888888884</v>
      </c>
      <c r="M613" s="10">
        <f>IFERROR(SUMIFS('Base bordo'!G$2:G$746,'Base bordo'!C$2:C$746,A613,'Base bordo'!B$2:B$746,B613,'Base bordo'!F$2:F$746,"AGUARDANDO MANUTENCAO"),0)</f>
        <v>0</v>
      </c>
      <c r="N613" s="10">
        <f>IFERROR(SUMIFS('Base bordo'!G$2:G$746,'Base bordo'!C$2:C$746,A613,'Base bordo'!B$2:B$746,B613,'Base bordo'!F$2:F$746,"SEM APONTAMENTO"),0)</f>
        <v>0.34805555555555556</v>
      </c>
      <c r="O613" s="10">
        <f t="shared" si="66"/>
        <v>2.5138888888888928</v>
      </c>
      <c r="P613" s="10">
        <f>IFERROR(SUMIFS('Base bordo'!G$2:G$746,'Base bordo'!C$2:C$746,A613,'Base bordo'!B$2:B$746,B613),0)</f>
        <v>24</v>
      </c>
      <c r="Q613" s="10">
        <f>IFERROR(SUMIFS('Base bordo'!H$2:H$746,'Base bordo'!C$2:C$746,A613,'Base bordo'!B$2:B$746,B613,'Base bordo'!F$2:F$746,"DESLOCAMENTO VAZIO"),0)</f>
        <v>150540.29999999999</v>
      </c>
      <c r="R613" s="10">
        <f>IFERROR(SUMIFS('Base bordo'!I$2:I$746,'Base bordo'!C$2:C$746,A613,'Base bordo'!B$2:B$746,B613,'Base bordo'!F$2:F$746,"DESLOCAMENTO VAZIO"),0)</f>
        <v>6285</v>
      </c>
      <c r="S613" s="30">
        <f t="shared" si="67"/>
        <v>23.952315035799522</v>
      </c>
      <c r="T613" s="10">
        <f>IFERROR(SUMIFS('Base bordo'!H$2:H$746,'Base bordo'!C$2:C$746,A613,'Base bordo'!B$2:B$746,B613,'Base bordo'!F$2:F$746,"DESLOCAMENTO CARREGADO"),0)</f>
        <v>183503.40999999997</v>
      </c>
      <c r="U613" s="10">
        <f>IFERROR(SUMIFS('Base bordo'!I$2:I$746,'Base bordo'!C$2:C$746,A613,'Base bordo'!B$2:B$746,B613,'Base bordo'!F$2:F$746,"DESLOCAMENTO CARREGADO"),0)</f>
        <v>5898</v>
      </c>
      <c r="V613" s="30">
        <f t="shared" si="68"/>
        <v>31.112819599864356</v>
      </c>
      <c r="W613" s="9">
        <f t="shared" si="69"/>
        <v>7.2743055555555561E-2</v>
      </c>
      <c r="X613" s="9">
        <f t="shared" si="70"/>
        <v>6.8263888888888888E-2</v>
      </c>
      <c r="Y613" s="9">
        <f t="shared" si="71"/>
        <v>0.85899305555555561</v>
      </c>
    </row>
    <row r="614" spans="1:25" ht="15" customHeight="1" x14ac:dyDescent="0.35">
      <c r="A614" s="52">
        <v>8013468</v>
      </c>
      <c r="B614" s="51">
        <v>46117</v>
      </c>
      <c r="C614" s="7" t="s">
        <v>124</v>
      </c>
      <c r="D614" s="10">
        <f>IFERROR(SUMIFS('Base bordo'!G$2:G$746,'Base bordo'!C$2:C$746,A614,'Base bordo'!B$2:B$746,B614,'Base bordo'!F$2:F$746,"DESLOCAMENTO VAZIO"),0)</f>
        <v>1.7458333333333333</v>
      </c>
      <c r="E614" s="10">
        <f>IFERROR(SUMIFS('Base bordo'!G$2:G$746,'Base bordo'!C$2:C$746,A614,'Base bordo'!B$2:B$746,B614,'Base bordo'!F$2:F$746,"DESLOCAMENTO CARREGADO"),0)</f>
        <v>1.6383333333333334</v>
      </c>
      <c r="F614" s="10">
        <f>IFERROR(SUMIFS('Base bordo'!G$2:G$746,'Base bordo'!C$2:C$746,A614,'Base bordo'!B$2:B$746,B614,'Base bordo'!F$2:F$746,"DESLOCAMENTO"),0)</f>
        <v>5.6772222222222224</v>
      </c>
      <c r="G614" s="10">
        <f>IFERROR(SUMIFS('Base bordo'!G$2:G$746,'Base bordo'!C$2:C$746,A614,'Base bordo'!B$2:B$746,B614,'Base bordo'!F$2:F$746,"CARREGAMENTO"),0)</f>
        <v>1.2477777777777779</v>
      </c>
      <c r="H614" s="10">
        <f>IFERROR(SUMIFS('Base bordo'!G$2:G$746,'Base bordo'!C$2:C$746,A614,'Base bordo'!B$2:B$746,B614,'Base bordo'!F$2:F$746,"AGUARDANDO TRANSBORDO"),0)</f>
        <v>0.42</v>
      </c>
      <c r="I614" s="10">
        <f>IFERROR(SUMIFS('Base bordo'!G$2:G$746,'Base bordo'!C$2:C$746,A614,'Base bordo'!B$2:B$746,B614,'Base bordo'!F$2:F$746,"PÁTIO INTERNO"),0)+IFERROR(SUMIFS('Base bordo'!G$2:G$746,'Base bordo'!C$2:C$746,A614,'Base bordo'!B$2:B$746,B614,'Base bordo'!F$2:F$746,"PÁTIO EXTERNO"),0)+IFERROR(SUMIFS('Base bordo'!G$2:G$746,'Base bordo'!C$2:C$746,A614,'Base bordo'!B$2:B$746,B614,'Base bordo'!F$2:F$746,"PATIO - RESERVA"),0)+IFERROR(SUMIFS('Base bordo'!G$2:G$746,'Base bordo'!C$2:C$746,A614,'Base bordo'!B$2:B$746,B614,'Base bordo'!F$2:F$746,"MANOBRA CARRETAS-PATIO"),0)</f>
        <v>1.9175</v>
      </c>
      <c r="J614" s="10">
        <f>IFERROR(SUMIFS('Base bordo'!G$2:G$746,'Base bordo'!C$2:C$746,A614,'Base bordo'!B$2:B$746,B614,'Base bordo'!F$2:F$746,"BALANÇA - ENTRADA"),0)+IFERROR(SUMIFS('Base bordo'!G$2:G$746,'Base bordo'!C$2:C$746,A614,'Base bordo'!B$2:B$746,B614,'Base bordo'!F$2:F$746,"BALANÇA - SAÍDA"),0)</f>
        <v>0</v>
      </c>
      <c r="K614" s="10">
        <f>IFERROR(SUMIFS('Base bordo'!G$2:G$746,'Base bordo'!C$2:C$746,A614,'Base bordo'!B$2:B$746,B614,'Base bordo'!F$2:F$746,"MAN PREVENTIVA - MECANICA"),0)+IFERROR(SUMIFS('Base bordo'!G$2:G$746,'Base bordo'!C$2:C$746,A614,'Base bordo'!B$2:B$746,B614,'Base bordo'!F$2:F$746,"MAN CORRETIVA - MECANICA"),0)</f>
        <v>0</v>
      </c>
      <c r="L614" s="10">
        <f>IFERROR(SUMIFS('Base bordo'!G$2:G$746,'Base bordo'!C$2:C$746,A614,'Base bordo'!B$2:B$746,B614,'Base bordo'!F$2:F$746,"MANUTENCAO - T O"),0)+IFERROR(SUMIFS('Base bordo'!G$2:G$746,'Base bordo'!C$2:C$746,A614,'Base bordo'!B$2:B$746,B614,'Base bordo'!F$2:F$746,"MANUTENCAO BORRACHARIA"),0)+IFERROR(SUMIFS('Base bordo'!G$2:G$746,'Base bordo'!C$2:C$746,A614,'Base bordo'!B$2:B$746,B614,'Base bordo'!F$2:F$746,"MANUTENCAO EXTERNA  CONCESSIONARIA"),0)+IFERROR(SUMIFS('Base bordo'!G$2:G$746,'Base bordo'!C$2:C$746,A614,'Base bordo'!B$2:B$746,B614,'Base bordo'!F$2:F$746,"MANUTENCAO TELEMETRIA"),0)</f>
        <v>8.4913888888888884</v>
      </c>
      <c r="M614" s="10">
        <f>IFERROR(SUMIFS('Base bordo'!G$2:G$746,'Base bordo'!C$2:C$746,A614,'Base bordo'!B$2:B$746,B614,'Base bordo'!F$2:F$746,"AGUARDANDO MANUTENCAO"),0)</f>
        <v>0</v>
      </c>
      <c r="N614" s="10">
        <f>IFERROR(SUMIFS('Base bordo'!G$2:G$746,'Base bordo'!C$2:C$746,A614,'Base bordo'!B$2:B$746,B614,'Base bordo'!F$2:F$746,"SEM APONTAMENTO"),0)</f>
        <v>0.34805555555555556</v>
      </c>
      <c r="O614" s="10">
        <f t="shared" si="66"/>
        <v>2.5138888888888928</v>
      </c>
      <c r="P614" s="10">
        <f>IFERROR(SUMIFS('Base bordo'!G$2:G$746,'Base bordo'!C$2:C$746,A614,'Base bordo'!B$2:B$746,B614),0)</f>
        <v>24</v>
      </c>
      <c r="Q614" s="10">
        <f>IFERROR(SUMIFS('Base bordo'!H$2:H$746,'Base bordo'!C$2:C$746,A614,'Base bordo'!B$2:B$746,B614,'Base bordo'!F$2:F$746,"DESLOCAMENTO VAZIO"),0)</f>
        <v>150540.29999999999</v>
      </c>
      <c r="R614" s="10">
        <f>IFERROR(SUMIFS('Base bordo'!I$2:I$746,'Base bordo'!C$2:C$746,A614,'Base bordo'!B$2:B$746,B614,'Base bordo'!F$2:F$746,"DESLOCAMENTO VAZIO"),0)</f>
        <v>6285</v>
      </c>
      <c r="S614" s="30">
        <f t="shared" si="67"/>
        <v>23.952315035799522</v>
      </c>
      <c r="T614" s="10">
        <f>IFERROR(SUMIFS('Base bordo'!H$2:H$746,'Base bordo'!C$2:C$746,A614,'Base bordo'!B$2:B$746,B614,'Base bordo'!F$2:F$746,"DESLOCAMENTO CARREGADO"),0)</f>
        <v>183503.40999999997</v>
      </c>
      <c r="U614" s="10">
        <f>IFERROR(SUMIFS('Base bordo'!I$2:I$746,'Base bordo'!C$2:C$746,A614,'Base bordo'!B$2:B$746,B614,'Base bordo'!F$2:F$746,"DESLOCAMENTO CARREGADO"),0)</f>
        <v>5898</v>
      </c>
      <c r="V614" s="30">
        <f t="shared" si="68"/>
        <v>31.112819599864356</v>
      </c>
      <c r="W614" s="9">
        <f t="shared" si="69"/>
        <v>7.2743055555555561E-2</v>
      </c>
      <c r="X614" s="9">
        <f t="shared" si="70"/>
        <v>6.8263888888888888E-2</v>
      </c>
      <c r="Y614" s="9">
        <f t="shared" si="71"/>
        <v>0.85899305555555561</v>
      </c>
    </row>
    <row r="615" spans="1:25" ht="15" customHeight="1" x14ac:dyDescent="0.35">
      <c r="A615" s="52">
        <v>8013468</v>
      </c>
      <c r="B615" s="51">
        <v>46117</v>
      </c>
      <c r="C615" s="7" t="s">
        <v>124</v>
      </c>
      <c r="D615" s="10">
        <f>IFERROR(SUMIFS('Base bordo'!G$2:G$746,'Base bordo'!C$2:C$746,A615,'Base bordo'!B$2:B$746,B615,'Base bordo'!F$2:F$746,"DESLOCAMENTO VAZIO"),0)</f>
        <v>1.7458333333333333</v>
      </c>
      <c r="E615" s="10">
        <f>IFERROR(SUMIFS('Base bordo'!G$2:G$746,'Base bordo'!C$2:C$746,A615,'Base bordo'!B$2:B$746,B615,'Base bordo'!F$2:F$746,"DESLOCAMENTO CARREGADO"),0)</f>
        <v>1.6383333333333334</v>
      </c>
      <c r="F615" s="10">
        <f>IFERROR(SUMIFS('Base bordo'!G$2:G$746,'Base bordo'!C$2:C$746,A615,'Base bordo'!B$2:B$746,B615,'Base bordo'!F$2:F$746,"DESLOCAMENTO"),0)</f>
        <v>5.6772222222222224</v>
      </c>
      <c r="G615" s="10">
        <f>IFERROR(SUMIFS('Base bordo'!G$2:G$746,'Base bordo'!C$2:C$746,A615,'Base bordo'!B$2:B$746,B615,'Base bordo'!F$2:F$746,"CARREGAMENTO"),0)</f>
        <v>1.2477777777777779</v>
      </c>
      <c r="H615" s="10">
        <f>IFERROR(SUMIFS('Base bordo'!G$2:G$746,'Base bordo'!C$2:C$746,A615,'Base bordo'!B$2:B$746,B615,'Base bordo'!F$2:F$746,"AGUARDANDO TRANSBORDO"),0)</f>
        <v>0.42</v>
      </c>
      <c r="I615" s="10">
        <f>IFERROR(SUMIFS('Base bordo'!G$2:G$746,'Base bordo'!C$2:C$746,A615,'Base bordo'!B$2:B$746,B615,'Base bordo'!F$2:F$746,"PÁTIO INTERNO"),0)+IFERROR(SUMIFS('Base bordo'!G$2:G$746,'Base bordo'!C$2:C$746,A615,'Base bordo'!B$2:B$746,B615,'Base bordo'!F$2:F$746,"PÁTIO EXTERNO"),0)+IFERROR(SUMIFS('Base bordo'!G$2:G$746,'Base bordo'!C$2:C$746,A615,'Base bordo'!B$2:B$746,B615,'Base bordo'!F$2:F$746,"PATIO - RESERVA"),0)+IFERROR(SUMIFS('Base bordo'!G$2:G$746,'Base bordo'!C$2:C$746,A615,'Base bordo'!B$2:B$746,B615,'Base bordo'!F$2:F$746,"MANOBRA CARRETAS-PATIO"),0)</f>
        <v>1.9175</v>
      </c>
      <c r="J615" s="10">
        <f>IFERROR(SUMIFS('Base bordo'!G$2:G$746,'Base bordo'!C$2:C$746,A615,'Base bordo'!B$2:B$746,B615,'Base bordo'!F$2:F$746,"BALANÇA - ENTRADA"),0)+IFERROR(SUMIFS('Base bordo'!G$2:G$746,'Base bordo'!C$2:C$746,A615,'Base bordo'!B$2:B$746,B615,'Base bordo'!F$2:F$746,"BALANÇA - SAÍDA"),0)</f>
        <v>0</v>
      </c>
      <c r="K615" s="10">
        <f>IFERROR(SUMIFS('Base bordo'!G$2:G$746,'Base bordo'!C$2:C$746,A615,'Base bordo'!B$2:B$746,B615,'Base bordo'!F$2:F$746,"MAN PREVENTIVA - MECANICA"),0)+IFERROR(SUMIFS('Base bordo'!G$2:G$746,'Base bordo'!C$2:C$746,A615,'Base bordo'!B$2:B$746,B615,'Base bordo'!F$2:F$746,"MAN CORRETIVA - MECANICA"),0)</f>
        <v>0</v>
      </c>
      <c r="L615" s="10">
        <f>IFERROR(SUMIFS('Base bordo'!G$2:G$746,'Base bordo'!C$2:C$746,A615,'Base bordo'!B$2:B$746,B615,'Base bordo'!F$2:F$746,"MANUTENCAO - T O"),0)+IFERROR(SUMIFS('Base bordo'!G$2:G$746,'Base bordo'!C$2:C$746,A615,'Base bordo'!B$2:B$746,B615,'Base bordo'!F$2:F$746,"MANUTENCAO BORRACHARIA"),0)+IFERROR(SUMIFS('Base bordo'!G$2:G$746,'Base bordo'!C$2:C$746,A615,'Base bordo'!B$2:B$746,B615,'Base bordo'!F$2:F$746,"MANUTENCAO EXTERNA  CONCESSIONARIA"),0)+IFERROR(SUMIFS('Base bordo'!G$2:G$746,'Base bordo'!C$2:C$746,A615,'Base bordo'!B$2:B$746,B615,'Base bordo'!F$2:F$746,"MANUTENCAO TELEMETRIA"),0)</f>
        <v>8.4913888888888884</v>
      </c>
      <c r="M615" s="10">
        <f>IFERROR(SUMIFS('Base bordo'!G$2:G$746,'Base bordo'!C$2:C$746,A615,'Base bordo'!B$2:B$746,B615,'Base bordo'!F$2:F$746,"AGUARDANDO MANUTENCAO"),0)</f>
        <v>0</v>
      </c>
      <c r="N615" s="10">
        <f>IFERROR(SUMIFS('Base bordo'!G$2:G$746,'Base bordo'!C$2:C$746,A615,'Base bordo'!B$2:B$746,B615,'Base bordo'!F$2:F$746,"SEM APONTAMENTO"),0)</f>
        <v>0.34805555555555556</v>
      </c>
      <c r="O615" s="10">
        <f t="shared" si="66"/>
        <v>2.5138888888888928</v>
      </c>
      <c r="P615" s="10">
        <f>IFERROR(SUMIFS('Base bordo'!G$2:G$746,'Base bordo'!C$2:C$746,A615,'Base bordo'!B$2:B$746,B615),0)</f>
        <v>24</v>
      </c>
      <c r="Q615" s="10">
        <f>IFERROR(SUMIFS('Base bordo'!H$2:H$746,'Base bordo'!C$2:C$746,A615,'Base bordo'!B$2:B$746,B615,'Base bordo'!F$2:F$746,"DESLOCAMENTO VAZIO"),0)</f>
        <v>150540.29999999999</v>
      </c>
      <c r="R615" s="10">
        <f>IFERROR(SUMIFS('Base bordo'!I$2:I$746,'Base bordo'!C$2:C$746,A615,'Base bordo'!B$2:B$746,B615,'Base bordo'!F$2:F$746,"DESLOCAMENTO VAZIO"),0)</f>
        <v>6285</v>
      </c>
      <c r="S615" s="30">
        <f t="shared" si="67"/>
        <v>23.952315035799522</v>
      </c>
      <c r="T615" s="10">
        <f>IFERROR(SUMIFS('Base bordo'!H$2:H$746,'Base bordo'!C$2:C$746,A615,'Base bordo'!B$2:B$746,B615,'Base bordo'!F$2:F$746,"DESLOCAMENTO CARREGADO"),0)</f>
        <v>183503.40999999997</v>
      </c>
      <c r="U615" s="10">
        <f>IFERROR(SUMIFS('Base bordo'!I$2:I$746,'Base bordo'!C$2:C$746,A615,'Base bordo'!B$2:B$746,B615,'Base bordo'!F$2:F$746,"DESLOCAMENTO CARREGADO"),0)</f>
        <v>5898</v>
      </c>
      <c r="V615" s="30">
        <f t="shared" si="68"/>
        <v>31.112819599864356</v>
      </c>
      <c r="W615" s="9">
        <f t="shared" si="69"/>
        <v>7.2743055555555561E-2</v>
      </c>
      <c r="X615" s="9">
        <f t="shared" si="70"/>
        <v>6.8263888888888888E-2</v>
      </c>
      <c r="Y615" s="9">
        <f t="shared" si="71"/>
        <v>0.85899305555555561</v>
      </c>
    </row>
    <row r="616" spans="1:25" ht="15" customHeight="1" x14ac:dyDescent="0.35">
      <c r="A616" s="52">
        <v>8013468</v>
      </c>
      <c r="B616" s="51">
        <v>46117</v>
      </c>
      <c r="C616" s="7" t="s">
        <v>124</v>
      </c>
      <c r="D616" s="10">
        <f>IFERROR(SUMIFS('Base bordo'!G$2:G$746,'Base bordo'!C$2:C$746,A616,'Base bordo'!B$2:B$746,B616,'Base bordo'!F$2:F$746,"DESLOCAMENTO VAZIO"),0)</f>
        <v>1.7458333333333333</v>
      </c>
      <c r="E616" s="10">
        <f>IFERROR(SUMIFS('Base bordo'!G$2:G$746,'Base bordo'!C$2:C$746,A616,'Base bordo'!B$2:B$746,B616,'Base bordo'!F$2:F$746,"DESLOCAMENTO CARREGADO"),0)</f>
        <v>1.6383333333333334</v>
      </c>
      <c r="F616" s="10">
        <f>IFERROR(SUMIFS('Base bordo'!G$2:G$746,'Base bordo'!C$2:C$746,A616,'Base bordo'!B$2:B$746,B616,'Base bordo'!F$2:F$746,"DESLOCAMENTO"),0)</f>
        <v>5.6772222222222224</v>
      </c>
      <c r="G616" s="10">
        <f>IFERROR(SUMIFS('Base bordo'!G$2:G$746,'Base bordo'!C$2:C$746,A616,'Base bordo'!B$2:B$746,B616,'Base bordo'!F$2:F$746,"CARREGAMENTO"),0)</f>
        <v>1.2477777777777779</v>
      </c>
      <c r="H616" s="10">
        <f>IFERROR(SUMIFS('Base bordo'!G$2:G$746,'Base bordo'!C$2:C$746,A616,'Base bordo'!B$2:B$746,B616,'Base bordo'!F$2:F$746,"AGUARDANDO TRANSBORDO"),0)</f>
        <v>0.42</v>
      </c>
      <c r="I616" s="10">
        <f>IFERROR(SUMIFS('Base bordo'!G$2:G$746,'Base bordo'!C$2:C$746,A616,'Base bordo'!B$2:B$746,B616,'Base bordo'!F$2:F$746,"PÁTIO INTERNO"),0)+IFERROR(SUMIFS('Base bordo'!G$2:G$746,'Base bordo'!C$2:C$746,A616,'Base bordo'!B$2:B$746,B616,'Base bordo'!F$2:F$746,"PÁTIO EXTERNO"),0)+IFERROR(SUMIFS('Base bordo'!G$2:G$746,'Base bordo'!C$2:C$746,A616,'Base bordo'!B$2:B$746,B616,'Base bordo'!F$2:F$746,"PATIO - RESERVA"),0)+IFERROR(SUMIFS('Base bordo'!G$2:G$746,'Base bordo'!C$2:C$746,A616,'Base bordo'!B$2:B$746,B616,'Base bordo'!F$2:F$746,"MANOBRA CARRETAS-PATIO"),0)</f>
        <v>1.9175</v>
      </c>
      <c r="J616" s="10">
        <f>IFERROR(SUMIFS('Base bordo'!G$2:G$746,'Base bordo'!C$2:C$746,A616,'Base bordo'!B$2:B$746,B616,'Base bordo'!F$2:F$746,"BALANÇA - ENTRADA"),0)+IFERROR(SUMIFS('Base bordo'!G$2:G$746,'Base bordo'!C$2:C$746,A616,'Base bordo'!B$2:B$746,B616,'Base bordo'!F$2:F$746,"BALANÇA - SAÍDA"),0)</f>
        <v>0</v>
      </c>
      <c r="K616" s="10">
        <f>IFERROR(SUMIFS('Base bordo'!G$2:G$746,'Base bordo'!C$2:C$746,A616,'Base bordo'!B$2:B$746,B616,'Base bordo'!F$2:F$746,"MAN PREVENTIVA - MECANICA"),0)+IFERROR(SUMIFS('Base bordo'!G$2:G$746,'Base bordo'!C$2:C$746,A616,'Base bordo'!B$2:B$746,B616,'Base bordo'!F$2:F$746,"MAN CORRETIVA - MECANICA"),0)</f>
        <v>0</v>
      </c>
      <c r="L616" s="10">
        <f>IFERROR(SUMIFS('Base bordo'!G$2:G$746,'Base bordo'!C$2:C$746,A616,'Base bordo'!B$2:B$746,B616,'Base bordo'!F$2:F$746,"MANUTENCAO - T O"),0)+IFERROR(SUMIFS('Base bordo'!G$2:G$746,'Base bordo'!C$2:C$746,A616,'Base bordo'!B$2:B$746,B616,'Base bordo'!F$2:F$746,"MANUTENCAO BORRACHARIA"),0)+IFERROR(SUMIFS('Base bordo'!G$2:G$746,'Base bordo'!C$2:C$746,A616,'Base bordo'!B$2:B$746,B616,'Base bordo'!F$2:F$746,"MANUTENCAO EXTERNA  CONCESSIONARIA"),0)+IFERROR(SUMIFS('Base bordo'!G$2:G$746,'Base bordo'!C$2:C$746,A616,'Base bordo'!B$2:B$746,B616,'Base bordo'!F$2:F$746,"MANUTENCAO TELEMETRIA"),0)</f>
        <v>8.4913888888888884</v>
      </c>
      <c r="M616" s="10">
        <f>IFERROR(SUMIFS('Base bordo'!G$2:G$746,'Base bordo'!C$2:C$746,A616,'Base bordo'!B$2:B$746,B616,'Base bordo'!F$2:F$746,"AGUARDANDO MANUTENCAO"),0)</f>
        <v>0</v>
      </c>
      <c r="N616" s="10">
        <f>IFERROR(SUMIFS('Base bordo'!G$2:G$746,'Base bordo'!C$2:C$746,A616,'Base bordo'!B$2:B$746,B616,'Base bordo'!F$2:F$746,"SEM APONTAMENTO"),0)</f>
        <v>0.34805555555555556</v>
      </c>
      <c r="O616" s="10">
        <f t="shared" si="66"/>
        <v>2.5138888888888928</v>
      </c>
      <c r="P616" s="10">
        <f>IFERROR(SUMIFS('Base bordo'!G$2:G$746,'Base bordo'!C$2:C$746,A616,'Base bordo'!B$2:B$746,B616),0)</f>
        <v>24</v>
      </c>
      <c r="Q616" s="10">
        <f>IFERROR(SUMIFS('Base bordo'!H$2:H$746,'Base bordo'!C$2:C$746,A616,'Base bordo'!B$2:B$746,B616,'Base bordo'!F$2:F$746,"DESLOCAMENTO VAZIO"),0)</f>
        <v>150540.29999999999</v>
      </c>
      <c r="R616" s="10">
        <f>IFERROR(SUMIFS('Base bordo'!I$2:I$746,'Base bordo'!C$2:C$746,A616,'Base bordo'!B$2:B$746,B616,'Base bordo'!F$2:F$746,"DESLOCAMENTO VAZIO"),0)</f>
        <v>6285</v>
      </c>
      <c r="S616" s="30">
        <f t="shared" si="67"/>
        <v>23.952315035799522</v>
      </c>
      <c r="T616" s="10">
        <f>IFERROR(SUMIFS('Base bordo'!H$2:H$746,'Base bordo'!C$2:C$746,A616,'Base bordo'!B$2:B$746,B616,'Base bordo'!F$2:F$746,"DESLOCAMENTO CARREGADO"),0)</f>
        <v>183503.40999999997</v>
      </c>
      <c r="U616" s="10">
        <f>IFERROR(SUMIFS('Base bordo'!I$2:I$746,'Base bordo'!C$2:C$746,A616,'Base bordo'!B$2:B$746,B616,'Base bordo'!F$2:F$746,"DESLOCAMENTO CARREGADO"),0)</f>
        <v>5898</v>
      </c>
      <c r="V616" s="30">
        <f t="shared" si="68"/>
        <v>31.112819599864356</v>
      </c>
      <c r="W616" s="9">
        <f t="shared" si="69"/>
        <v>7.2743055555555561E-2</v>
      </c>
      <c r="X616" s="9">
        <f t="shared" si="70"/>
        <v>6.8263888888888888E-2</v>
      </c>
      <c r="Y616" s="9">
        <f t="shared" si="71"/>
        <v>0.85899305555555561</v>
      </c>
    </row>
    <row r="617" spans="1:25" ht="15" customHeight="1" x14ac:dyDescent="0.35">
      <c r="A617" s="52">
        <v>8013468</v>
      </c>
      <c r="B617" s="51">
        <v>46117</v>
      </c>
      <c r="C617" s="7" t="s">
        <v>124</v>
      </c>
      <c r="D617" s="10">
        <f>IFERROR(SUMIFS('Base bordo'!G$2:G$746,'Base bordo'!C$2:C$746,A617,'Base bordo'!B$2:B$746,B617,'Base bordo'!F$2:F$746,"DESLOCAMENTO VAZIO"),0)</f>
        <v>1.7458333333333333</v>
      </c>
      <c r="E617" s="10">
        <f>IFERROR(SUMIFS('Base bordo'!G$2:G$746,'Base bordo'!C$2:C$746,A617,'Base bordo'!B$2:B$746,B617,'Base bordo'!F$2:F$746,"DESLOCAMENTO CARREGADO"),0)</f>
        <v>1.6383333333333334</v>
      </c>
      <c r="F617" s="10">
        <f>IFERROR(SUMIFS('Base bordo'!G$2:G$746,'Base bordo'!C$2:C$746,A617,'Base bordo'!B$2:B$746,B617,'Base bordo'!F$2:F$746,"DESLOCAMENTO"),0)</f>
        <v>5.6772222222222224</v>
      </c>
      <c r="G617" s="10">
        <f>IFERROR(SUMIFS('Base bordo'!G$2:G$746,'Base bordo'!C$2:C$746,A617,'Base bordo'!B$2:B$746,B617,'Base bordo'!F$2:F$746,"CARREGAMENTO"),0)</f>
        <v>1.2477777777777779</v>
      </c>
      <c r="H617" s="10">
        <f>IFERROR(SUMIFS('Base bordo'!G$2:G$746,'Base bordo'!C$2:C$746,A617,'Base bordo'!B$2:B$746,B617,'Base bordo'!F$2:F$746,"AGUARDANDO TRANSBORDO"),0)</f>
        <v>0.42</v>
      </c>
      <c r="I617" s="10">
        <f>IFERROR(SUMIFS('Base bordo'!G$2:G$746,'Base bordo'!C$2:C$746,A617,'Base bordo'!B$2:B$746,B617,'Base bordo'!F$2:F$746,"PÁTIO INTERNO"),0)+IFERROR(SUMIFS('Base bordo'!G$2:G$746,'Base bordo'!C$2:C$746,A617,'Base bordo'!B$2:B$746,B617,'Base bordo'!F$2:F$746,"PÁTIO EXTERNO"),0)+IFERROR(SUMIFS('Base bordo'!G$2:G$746,'Base bordo'!C$2:C$746,A617,'Base bordo'!B$2:B$746,B617,'Base bordo'!F$2:F$746,"PATIO - RESERVA"),0)+IFERROR(SUMIFS('Base bordo'!G$2:G$746,'Base bordo'!C$2:C$746,A617,'Base bordo'!B$2:B$746,B617,'Base bordo'!F$2:F$746,"MANOBRA CARRETAS-PATIO"),0)</f>
        <v>1.9175</v>
      </c>
      <c r="J617" s="10">
        <f>IFERROR(SUMIFS('Base bordo'!G$2:G$746,'Base bordo'!C$2:C$746,A617,'Base bordo'!B$2:B$746,B617,'Base bordo'!F$2:F$746,"BALANÇA - ENTRADA"),0)+IFERROR(SUMIFS('Base bordo'!G$2:G$746,'Base bordo'!C$2:C$746,A617,'Base bordo'!B$2:B$746,B617,'Base bordo'!F$2:F$746,"BALANÇA - SAÍDA"),0)</f>
        <v>0</v>
      </c>
      <c r="K617" s="10">
        <f>IFERROR(SUMIFS('Base bordo'!G$2:G$746,'Base bordo'!C$2:C$746,A617,'Base bordo'!B$2:B$746,B617,'Base bordo'!F$2:F$746,"MAN PREVENTIVA - MECANICA"),0)+IFERROR(SUMIFS('Base bordo'!G$2:G$746,'Base bordo'!C$2:C$746,A617,'Base bordo'!B$2:B$746,B617,'Base bordo'!F$2:F$746,"MAN CORRETIVA - MECANICA"),0)</f>
        <v>0</v>
      </c>
      <c r="L617" s="10">
        <f>IFERROR(SUMIFS('Base bordo'!G$2:G$746,'Base bordo'!C$2:C$746,A617,'Base bordo'!B$2:B$746,B617,'Base bordo'!F$2:F$746,"MANUTENCAO - T O"),0)+IFERROR(SUMIFS('Base bordo'!G$2:G$746,'Base bordo'!C$2:C$746,A617,'Base bordo'!B$2:B$746,B617,'Base bordo'!F$2:F$746,"MANUTENCAO BORRACHARIA"),0)+IFERROR(SUMIFS('Base bordo'!G$2:G$746,'Base bordo'!C$2:C$746,A617,'Base bordo'!B$2:B$746,B617,'Base bordo'!F$2:F$746,"MANUTENCAO EXTERNA  CONCESSIONARIA"),0)+IFERROR(SUMIFS('Base bordo'!G$2:G$746,'Base bordo'!C$2:C$746,A617,'Base bordo'!B$2:B$746,B617,'Base bordo'!F$2:F$746,"MANUTENCAO TELEMETRIA"),0)</f>
        <v>8.4913888888888884</v>
      </c>
      <c r="M617" s="10">
        <f>IFERROR(SUMIFS('Base bordo'!G$2:G$746,'Base bordo'!C$2:C$746,A617,'Base bordo'!B$2:B$746,B617,'Base bordo'!F$2:F$746,"AGUARDANDO MANUTENCAO"),0)</f>
        <v>0</v>
      </c>
      <c r="N617" s="10">
        <f>IFERROR(SUMIFS('Base bordo'!G$2:G$746,'Base bordo'!C$2:C$746,A617,'Base bordo'!B$2:B$746,B617,'Base bordo'!F$2:F$746,"SEM APONTAMENTO"),0)</f>
        <v>0.34805555555555556</v>
      </c>
      <c r="O617" s="10">
        <f t="shared" si="66"/>
        <v>2.5138888888888928</v>
      </c>
      <c r="P617" s="10">
        <f>IFERROR(SUMIFS('Base bordo'!G$2:G$746,'Base bordo'!C$2:C$746,A617,'Base bordo'!B$2:B$746,B617),0)</f>
        <v>24</v>
      </c>
      <c r="Q617" s="10">
        <f>IFERROR(SUMIFS('Base bordo'!H$2:H$746,'Base bordo'!C$2:C$746,A617,'Base bordo'!B$2:B$746,B617,'Base bordo'!F$2:F$746,"DESLOCAMENTO VAZIO"),0)</f>
        <v>150540.29999999999</v>
      </c>
      <c r="R617" s="10">
        <f>IFERROR(SUMIFS('Base bordo'!I$2:I$746,'Base bordo'!C$2:C$746,A617,'Base bordo'!B$2:B$746,B617,'Base bordo'!F$2:F$746,"DESLOCAMENTO VAZIO"),0)</f>
        <v>6285</v>
      </c>
      <c r="S617" s="30">
        <f t="shared" si="67"/>
        <v>23.952315035799522</v>
      </c>
      <c r="T617" s="10">
        <f>IFERROR(SUMIFS('Base bordo'!H$2:H$746,'Base bordo'!C$2:C$746,A617,'Base bordo'!B$2:B$746,B617,'Base bordo'!F$2:F$746,"DESLOCAMENTO CARREGADO"),0)</f>
        <v>183503.40999999997</v>
      </c>
      <c r="U617" s="10">
        <f>IFERROR(SUMIFS('Base bordo'!I$2:I$746,'Base bordo'!C$2:C$746,A617,'Base bordo'!B$2:B$746,B617,'Base bordo'!F$2:F$746,"DESLOCAMENTO CARREGADO"),0)</f>
        <v>5898</v>
      </c>
      <c r="V617" s="30">
        <f t="shared" si="68"/>
        <v>31.112819599864356</v>
      </c>
      <c r="W617" s="9">
        <f t="shared" si="69"/>
        <v>7.2743055555555561E-2</v>
      </c>
      <c r="X617" s="9">
        <f t="shared" si="70"/>
        <v>6.8263888888888888E-2</v>
      </c>
      <c r="Y617" s="9">
        <f t="shared" si="71"/>
        <v>0.85899305555555561</v>
      </c>
    </row>
    <row r="618" spans="1:25" ht="15" customHeight="1" x14ac:dyDescent="0.35">
      <c r="A618" s="52">
        <v>8013468</v>
      </c>
      <c r="B618" s="51">
        <v>46117</v>
      </c>
      <c r="C618" s="7" t="s">
        <v>124</v>
      </c>
      <c r="D618" s="10">
        <f>IFERROR(SUMIFS('Base bordo'!G$2:G$746,'Base bordo'!C$2:C$746,A618,'Base bordo'!B$2:B$746,B618,'Base bordo'!F$2:F$746,"DESLOCAMENTO VAZIO"),0)</f>
        <v>1.7458333333333333</v>
      </c>
      <c r="E618" s="10">
        <f>IFERROR(SUMIFS('Base bordo'!G$2:G$746,'Base bordo'!C$2:C$746,A618,'Base bordo'!B$2:B$746,B618,'Base bordo'!F$2:F$746,"DESLOCAMENTO CARREGADO"),0)</f>
        <v>1.6383333333333334</v>
      </c>
      <c r="F618" s="10">
        <f>IFERROR(SUMIFS('Base bordo'!G$2:G$746,'Base bordo'!C$2:C$746,A618,'Base bordo'!B$2:B$746,B618,'Base bordo'!F$2:F$746,"DESLOCAMENTO"),0)</f>
        <v>5.6772222222222224</v>
      </c>
      <c r="G618" s="10">
        <f>IFERROR(SUMIFS('Base bordo'!G$2:G$746,'Base bordo'!C$2:C$746,A618,'Base bordo'!B$2:B$746,B618,'Base bordo'!F$2:F$746,"CARREGAMENTO"),0)</f>
        <v>1.2477777777777779</v>
      </c>
      <c r="H618" s="10">
        <f>IFERROR(SUMIFS('Base bordo'!G$2:G$746,'Base bordo'!C$2:C$746,A618,'Base bordo'!B$2:B$746,B618,'Base bordo'!F$2:F$746,"AGUARDANDO TRANSBORDO"),0)</f>
        <v>0.42</v>
      </c>
      <c r="I618" s="10">
        <f>IFERROR(SUMIFS('Base bordo'!G$2:G$746,'Base bordo'!C$2:C$746,A618,'Base bordo'!B$2:B$746,B618,'Base bordo'!F$2:F$746,"PÁTIO INTERNO"),0)+IFERROR(SUMIFS('Base bordo'!G$2:G$746,'Base bordo'!C$2:C$746,A618,'Base bordo'!B$2:B$746,B618,'Base bordo'!F$2:F$746,"PÁTIO EXTERNO"),0)+IFERROR(SUMIFS('Base bordo'!G$2:G$746,'Base bordo'!C$2:C$746,A618,'Base bordo'!B$2:B$746,B618,'Base bordo'!F$2:F$746,"PATIO - RESERVA"),0)+IFERROR(SUMIFS('Base bordo'!G$2:G$746,'Base bordo'!C$2:C$746,A618,'Base bordo'!B$2:B$746,B618,'Base bordo'!F$2:F$746,"MANOBRA CARRETAS-PATIO"),0)</f>
        <v>1.9175</v>
      </c>
      <c r="J618" s="10">
        <f>IFERROR(SUMIFS('Base bordo'!G$2:G$746,'Base bordo'!C$2:C$746,A618,'Base bordo'!B$2:B$746,B618,'Base bordo'!F$2:F$746,"BALANÇA - ENTRADA"),0)+IFERROR(SUMIFS('Base bordo'!G$2:G$746,'Base bordo'!C$2:C$746,A618,'Base bordo'!B$2:B$746,B618,'Base bordo'!F$2:F$746,"BALANÇA - SAÍDA"),0)</f>
        <v>0</v>
      </c>
      <c r="K618" s="10">
        <f>IFERROR(SUMIFS('Base bordo'!G$2:G$746,'Base bordo'!C$2:C$746,A618,'Base bordo'!B$2:B$746,B618,'Base bordo'!F$2:F$746,"MAN PREVENTIVA - MECANICA"),0)+IFERROR(SUMIFS('Base bordo'!G$2:G$746,'Base bordo'!C$2:C$746,A618,'Base bordo'!B$2:B$746,B618,'Base bordo'!F$2:F$746,"MAN CORRETIVA - MECANICA"),0)</f>
        <v>0</v>
      </c>
      <c r="L618" s="10">
        <f>IFERROR(SUMIFS('Base bordo'!G$2:G$746,'Base bordo'!C$2:C$746,A618,'Base bordo'!B$2:B$746,B618,'Base bordo'!F$2:F$746,"MANUTENCAO - T O"),0)+IFERROR(SUMIFS('Base bordo'!G$2:G$746,'Base bordo'!C$2:C$746,A618,'Base bordo'!B$2:B$746,B618,'Base bordo'!F$2:F$746,"MANUTENCAO BORRACHARIA"),0)+IFERROR(SUMIFS('Base bordo'!G$2:G$746,'Base bordo'!C$2:C$746,A618,'Base bordo'!B$2:B$746,B618,'Base bordo'!F$2:F$746,"MANUTENCAO EXTERNA  CONCESSIONARIA"),0)+IFERROR(SUMIFS('Base bordo'!G$2:G$746,'Base bordo'!C$2:C$746,A618,'Base bordo'!B$2:B$746,B618,'Base bordo'!F$2:F$746,"MANUTENCAO TELEMETRIA"),0)</f>
        <v>8.4913888888888884</v>
      </c>
      <c r="M618" s="10">
        <f>IFERROR(SUMIFS('Base bordo'!G$2:G$746,'Base bordo'!C$2:C$746,A618,'Base bordo'!B$2:B$746,B618,'Base bordo'!F$2:F$746,"AGUARDANDO MANUTENCAO"),0)</f>
        <v>0</v>
      </c>
      <c r="N618" s="10">
        <f>IFERROR(SUMIFS('Base bordo'!G$2:G$746,'Base bordo'!C$2:C$746,A618,'Base bordo'!B$2:B$746,B618,'Base bordo'!F$2:F$746,"SEM APONTAMENTO"),0)</f>
        <v>0.34805555555555556</v>
      </c>
      <c r="O618" s="10">
        <f t="shared" si="66"/>
        <v>2.5138888888888928</v>
      </c>
      <c r="P618" s="10">
        <f>IFERROR(SUMIFS('Base bordo'!G$2:G$746,'Base bordo'!C$2:C$746,A618,'Base bordo'!B$2:B$746,B618),0)</f>
        <v>24</v>
      </c>
      <c r="Q618" s="10">
        <f>IFERROR(SUMIFS('Base bordo'!H$2:H$746,'Base bordo'!C$2:C$746,A618,'Base bordo'!B$2:B$746,B618,'Base bordo'!F$2:F$746,"DESLOCAMENTO VAZIO"),0)</f>
        <v>150540.29999999999</v>
      </c>
      <c r="R618" s="10">
        <f>IFERROR(SUMIFS('Base bordo'!I$2:I$746,'Base bordo'!C$2:C$746,A618,'Base bordo'!B$2:B$746,B618,'Base bordo'!F$2:F$746,"DESLOCAMENTO VAZIO"),0)</f>
        <v>6285</v>
      </c>
      <c r="S618" s="30">
        <f t="shared" si="67"/>
        <v>23.952315035799522</v>
      </c>
      <c r="T618" s="10">
        <f>IFERROR(SUMIFS('Base bordo'!H$2:H$746,'Base bordo'!C$2:C$746,A618,'Base bordo'!B$2:B$746,B618,'Base bordo'!F$2:F$746,"DESLOCAMENTO CARREGADO"),0)</f>
        <v>183503.40999999997</v>
      </c>
      <c r="U618" s="10">
        <f>IFERROR(SUMIFS('Base bordo'!I$2:I$746,'Base bordo'!C$2:C$746,A618,'Base bordo'!B$2:B$746,B618,'Base bordo'!F$2:F$746,"DESLOCAMENTO CARREGADO"),0)</f>
        <v>5898</v>
      </c>
      <c r="V618" s="30">
        <f t="shared" si="68"/>
        <v>31.112819599864356</v>
      </c>
      <c r="W618" s="9">
        <f t="shared" si="69"/>
        <v>7.2743055555555561E-2</v>
      </c>
      <c r="X618" s="9">
        <f t="shared" si="70"/>
        <v>6.8263888888888888E-2</v>
      </c>
      <c r="Y618" s="9">
        <f t="shared" si="71"/>
        <v>0.85899305555555561</v>
      </c>
    </row>
    <row r="619" spans="1:25" ht="15" customHeight="1" x14ac:dyDescent="0.35">
      <c r="A619" s="52">
        <v>8013469</v>
      </c>
      <c r="B619" s="51">
        <v>46117</v>
      </c>
      <c r="C619" s="7" t="s">
        <v>124</v>
      </c>
      <c r="D619" s="10">
        <f>IFERROR(SUMIFS('Base bordo'!G$2:G$746,'Base bordo'!C$2:C$746,A619,'Base bordo'!B$2:B$746,B619,'Base bordo'!F$2:F$746,"DESLOCAMENTO VAZIO"),0)</f>
        <v>0.81472222222222224</v>
      </c>
      <c r="E619" s="10">
        <f>IFERROR(SUMIFS('Base bordo'!G$2:G$746,'Base bordo'!C$2:C$746,A619,'Base bordo'!B$2:B$746,B619,'Base bordo'!F$2:F$746,"DESLOCAMENTO CARREGADO"),0)</f>
        <v>0.8913888888888889</v>
      </c>
      <c r="F619" s="10">
        <f>IFERROR(SUMIFS('Base bordo'!G$2:G$746,'Base bordo'!C$2:C$746,A619,'Base bordo'!B$2:B$746,B619,'Base bordo'!F$2:F$746,"DESLOCAMENTO"),0)</f>
        <v>0.54305555555555551</v>
      </c>
      <c r="G619" s="10">
        <f>IFERROR(SUMIFS('Base bordo'!G$2:G$746,'Base bordo'!C$2:C$746,A619,'Base bordo'!B$2:B$746,B619,'Base bordo'!F$2:F$746,"CARREGAMENTO"),0)</f>
        <v>4.5863888888888891</v>
      </c>
      <c r="H619" s="10">
        <f>IFERROR(SUMIFS('Base bordo'!G$2:G$746,'Base bordo'!C$2:C$746,A619,'Base bordo'!B$2:B$746,B619,'Base bordo'!F$2:F$746,"AGUARDANDO TRANSBORDO"),0)</f>
        <v>0.11166666666666666</v>
      </c>
      <c r="I619" s="10">
        <f>IFERROR(SUMIFS('Base bordo'!G$2:G$746,'Base bordo'!C$2:C$746,A619,'Base bordo'!B$2:B$746,B619,'Base bordo'!F$2:F$746,"PÁTIO INTERNO"),0)+IFERROR(SUMIFS('Base bordo'!G$2:G$746,'Base bordo'!C$2:C$746,A619,'Base bordo'!B$2:B$746,B619,'Base bordo'!F$2:F$746,"PÁTIO EXTERNO"),0)+IFERROR(SUMIFS('Base bordo'!G$2:G$746,'Base bordo'!C$2:C$746,A619,'Base bordo'!B$2:B$746,B619,'Base bordo'!F$2:F$746,"PATIO - RESERVA"),0)+IFERROR(SUMIFS('Base bordo'!G$2:G$746,'Base bordo'!C$2:C$746,A619,'Base bordo'!B$2:B$746,B619,'Base bordo'!F$2:F$746,"MANOBRA CARRETAS-PATIO"),0)</f>
        <v>2.3947222222222222</v>
      </c>
      <c r="J619" s="10">
        <f>IFERROR(SUMIFS('Base bordo'!G$2:G$746,'Base bordo'!C$2:C$746,A619,'Base bordo'!B$2:B$746,B619,'Base bordo'!F$2:F$746,"BALANÇA - ENTRADA"),0)+IFERROR(SUMIFS('Base bordo'!G$2:G$746,'Base bordo'!C$2:C$746,A619,'Base bordo'!B$2:B$746,B619,'Base bordo'!F$2:F$746,"BALANÇA - SAÍDA"),0)</f>
        <v>0</v>
      </c>
      <c r="K619" s="10">
        <f>IFERROR(SUMIFS('Base bordo'!G$2:G$746,'Base bordo'!C$2:C$746,A619,'Base bordo'!B$2:B$746,B619,'Base bordo'!F$2:F$746,"MAN PREVENTIVA - MECANICA"),0)+IFERROR(SUMIFS('Base bordo'!G$2:G$746,'Base bordo'!C$2:C$746,A619,'Base bordo'!B$2:B$746,B619,'Base bordo'!F$2:F$746,"MAN CORRETIVA - MECANICA"),0)</f>
        <v>0</v>
      </c>
      <c r="L619" s="10">
        <f>IFERROR(SUMIFS('Base bordo'!G$2:G$746,'Base bordo'!C$2:C$746,A619,'Base bordo'!B$2:B$746,B619,'Base bordo'!F$2:F$746,"MANUTENCAO - T O"),0)+IFERROR(SUMIFS('Base bordo'!G$2:G$746,'Base bordo'!C$2:C$746,A619,'Base bordo'!B$2:B$746,B619,'Base bordo'!F$2:F$746,"MANUTENCAO BORRACHARIA"),0)+IFERROR(SUMIFS('Base bordo'!G$2:G$746,'Base bordo'!C$2:C$746,A619,'Base bordo'!B$2:B$746,B619,'Base bordo'!F$2:F$746,"MANUTENCAO EXTERNA  CONCESSIONARIA"),0)+IFERROR(SUMIFS('Base bordo'!G$2:G$746,'Base bordo'!C$2:C$746,A619,'Base bordo'!B$2:B$746,B619,'Base bordo'!F$2:F$746,"MANUTENCAO TELEMETRIA"),0)</f>
        <v>3.4688888888888889</v>
      </c>
      <c r="M619" s="10">
        <f>IFERROR(SUMIFS('Base bordo'!G$2:G$746,'Base bordo'!C$2:C$746,A619,'Base bordo'!B$2:B$746,B619,'Base bordo'!F$2:F$746,"AGUARDANDO MANUTENCAO"),0)</f>
        <v>0</v>
      </c>
      <c r="N619" s="10">
        <f>IFERROR(SUMIFS('Base bordo'!G$2:G$746,'Base bordo'!C$2:C$746,A619,'Base bordo'!B$2:B$746,B619,'Base bordo'!F$2:F$746,"SEM APONTAMENTO"),0)</f>
        <v>0</v>
      </c>
      <c r="O619" s="10">
        <f t="shared" si="66"/>
        <v>0.61500000000000021</v>
      </c>
      <c r="P619" s="10">
        <f>IFERROR(SUMIFS('Base bordo'!G$2:G$746,'Base bordo'!C$2:C$746,A619,'Base bordo'!B$2:B$746,B619),0)</f>
        <v>13.425833333333333</v>
      </c>
      <c r="Q619" s="10">
        <f>IFERROR(SUMIFS('Base bordo'!H$2:H$746,'Base bordo'!C$2:C$746,A619,'Base bordo'!B$2:B$746,B619,'Base bordo'!F$2:F$746,"DESLOCAMENTO VAZIO"),0)</f>
        <v>93170.91</v>
      </c>
      <c r="R619" s="10">
        <f>IFERROR(SUMIFS('Base bordo'!I$2:I$746,'Base bordo'!C$2:C$746,A619,'Base bordo'!B$2:B$746,B619,'Base bordo'!F$2:F$746,"DESLOCAMENTO VAZIO"),0)</f>
        <v>2933</v>
      </c>
      <c r="S619" s="30">
        <f t="shared" si="67"/>
        <v>31.766420047732698</v>
      </c>
      <c r="T619" s="10">
        <f>IFERROR(SUMIFS('Base bordo'!H$2:H$746,'Base bordo'!C$2:C$746,A619,'Base bordo'!B$2:B$746,B619,'Base bordo'!F$2:F$746,"DESLOCAMENTO CARREGADO"),0)</f>
        <v>68258.340000000011</v>
      </c>
      <c r="U619" s="10">
        <f>IFERROR(SUMIFS('Base bordo'!I$2:I$746,'Base bordo'!C$2:C$746,A619,'Base bordo'!B$2:B$746,B619,'Base bordo'!F$2:F$746,"DESLOCAMENTO CARREGADO"),0)</f>
        <v>3204</v>
      </c>
      <c r="V619" s="30">
        <f t="shared" si="68"/>
        <v>21.304101123595508</v>
      </c>
      <c r="W619" s="9">
        <f t="shared" si="69"/>
        <v>6.0683177125359485E-2</v>
      </c>
      <c r="X619" s="9">
        <f t="shared" si="70"/>
        <v>6.639356133490576E-2</v>
      </c>
      <c r="Y619" s="9">
        <f t="shared" si="71"/>
        <v>0.87292326153973476</v>
      </c>
    </row>
    <row r="620" spans="1:25" ht="15" customHeight="1" x14ac:dyDescent="0.35">
      <c r="A620" s="52">
        <v>8013469</v>
      </c>
      <c r="B620" s="51">
        <v>46117</v>
      </c>
      <c r="C620" s="7" t="s">
        <v>124</v>
      </c>
      <c r="D620" s="10">
        <f>IFERROR(SUMIFS('Base bordo'!G$2:G$746,'Base bordo'!C$2:C$746,A620,'Base bordo'!B$2:B$746,B620,'Base bordo'!F$2:F$746,"DESLOCAMENTO VAZIO"),0)</f>
        <v>0.81472222222222224</v>
      </c>
      <c r="E620" s="10">
        <f>IFERROR(SUMIFS('Base bordo'!G$2:G$746,'Base bordo'!C$2:C$746,A620,'Base bordo'!B$2:B$746,B620,'Base bordo'!F$2:F$746,"DESLOCAMENTO CARREGADO"),0)</f>
        <v>0.8913888888888889</v>
      </c>
      <c r="F620" s="10">
        <f>IFERROR(SUMIFS('Base bordo'!G$2:G$746,'Base bordo'!C$2:C$746,A620,'Base bordo'!B$2:B$746,B620,'Base bordo'!F$2:F$746,"DESLOCAMENTO"),0)</f>
        <v>0.54305555555555551</v>
      </c>
      <c r="G620" s="10">
        <f>IFERROR(SUMIFS('Base bordo'!G$2:G$746,'Base bordo'!C$2:C$746,A620,'Base bordo'!B$2:B$746,B620,'Base bordo'!F$2:F$746,"CARREGAMENTO"),0)</f>
        <v>4.5863888888888891</v>
      </c>
      <c r="H620" s="10">
        <f>IFERROR(SUMIFS('Base bordo'!G$2:G$746,'Base bordo'!C$2:C$746,A620,'Base bordo'!B$2:B$746,B620,'Base bordo'!F$2:F$746,"AGUARDANDO TRANSBORDO"),0)</f>
        <v>0.11166666666666666</v>
      </c>
      <c r="I620" s="10">
        <f>IFERROR(SUMIFS('Base bordo'!G$2:G$746,'Base bordo'!C$2:C$746,A620,'Base bordo'!B$2:B$746,B620,'Base bordo'!F$2:F$746,"PÁTIO INTERNO"),0)+IFERROR(SUMIFS('Base bordo'!G$2:G$746,'Base bordo'!C$2:C$746,A620,'Base bordo'!B$2:B$746,B620,'Base bordo'!F$2:F$746,"PÁTIO EXTERNO"),0)+IFERROR(SUMIFS('Base bordo'!G$2:G$746,'Base bordo'!C$2:C$746,A620,'Base bordo'!B$2:B$746,B620,'Base bordo'!F$2:F$746,"PATIO - RESERVA"),0)+IFERROR(SUMIFS('Base bordo'!G$2:G$746,'Base bordo'!C$2:C$746,A620,'Base bordo'!B$2:B$746,B620,'Base bordo'!F$2:F$746,"MANOBRA CARRETAS-PATIO"),0)</f>
        <v>2.3947222222222222</v>
      </c>
      <c r="J620" s="10">
        <f>IFERROR(SUMIFS('Base bordo'!G$2:G$746,'Base bordo'!C$2:C$746,A620,'Base bordo'!B$2:B$746,B620,'Base bordo'!F$2:F$746,"BALANÇA - ENTRADA"),0)+IFERROR(SUMIFS('Base bordo'!G$2:G$746,'Base bordo'!C$2:C$746,A620,'Base bordo'!B$2:B$746,B620,'Base bordo'!F$2:F$746,"BALANÇA - SAÍDA"),0)</f>
        <v>0</v>
      </c>
      <c r="K620" s="10">
        <f>IFERROR(SUMIFS('Base bordo'!G$2:G$746,'Base bordo'!C$2:C$746,A620,'Base bordo'!B$2:B$746,B620,'Base bordo'!F$2:F$746,"MAN PREVENTIVA - MECANICA"),0)+IFERROR(SUMIFS('Base bordo'!G$2:G$746,'Base bordo'!C$2:C$746,A620,'Base bordo'!B$2:B$746,B620,'Base bordo'!F$2:F$746,"MAN CORRETIVA - MECANICA"),0)</f>
        <v>0</v>
      </c>
      <c r="L620" s="10">
        <f>IFERROR(SUMIFS('Base bordo'!G$2:G$746,'Base bordo'!C$2:C$746,A620,'Base bordo'!B$2:B$746,B620,'Base bordo'!F$2:F$746,"MANUTENCAO - T O"),0)+IFERROR(SUMIFS('Base bordo'!G$2:G$746,'Base bordo'!C$2:C$746,A620,'Base bordo'!B$2:B$746,B620,'Base bordo'!F$2:F$746,"MANUTENCAO BORRACHARIA"),0)+IFERROR(SUMIFS('Base bordo'!G$2:G$746,'Base bordo'!C$2:C$746,A620,'Base bordo'!B$2:B$746,B620,'Base bordo'!F$2:F$746,"MANUTENCAO EXTERNA  CONCESSIONARIA"),0)+IFERROR(SUMIFS('Base bordo'!G$2:G$746,'Base bordo'!C$2:C$746,A620,'Base bordo'!B$2:B$746,B620,'Base bordo'!F$2:F$746,"MANUTENCAO TELEMETRIA"),0)</f>
        <v>3.4688888888888889</v>
      </c>
      <c r="M620" s="10">
        <f>IFERROR(SUMIFS('Base bordo'!G$2:G$746,'Base bordo'!C$2:C$746,A620,'Base bordo'!B$2:B$746,B620,'Base bordo'!F$2:F$746,"AGUARDANDO MANUTENCAO"),0)</f>
        <v>0</v>
      </c>
      <c r="N620" s="10">
        <f>IFERROR(SUMIFS('Base bordo'!G$2:G$746,'Base bordo'!C$2:C$746,A620,'Base bordo'!B$2:B$746,B620,'Base bordo'!F$2:F$746,"SEM APONTAMENTO"),0)</f>
        <v>0</v>
      </c>
      <c r="O620" s="10">
        <f t="shared" si="66"/>
        <v>0.61500000000000021</v>
      </c>
      <c r="P620" s="10">
        <f>IFERROR(SUMIFS('Base bordo'!G$2:G$746,'Base bordo'!C$2:C$746,A620,'Base bordo'!B$2:B$746,B620),0)</f>
        <v>13.425833333333333</v>
      </c>
      <c r="Q620" s="10">
        <f>IFERROR(SUMIFS('Base bordo'!H$2:H$746,'Base bordo'!C$2:C$746,A620,'Base bordo'!B$2:B$746,B620,'Base bordo'!F$2:F$746,"DESLOCAMENTO VAZIO"),0)</f>
        <v>93170.91</v>
      </c>
      <c r="R620" s="10">
        <f>IFERROR(SUMIFS('Base bordo'!I$2:I$746,'Base bordo'!C$2:C$746,A620,'Base bordo'!B$2:B$746,B620,'Base bordo'!F$2:F$746,"DESLOCAMENTO VAZIO"),0)</f>
        <v>2933</v>
      </c>
      <c r="S620" s="30">
        <f t="shared" si="67"/>
        <v>31.766420047732698</v>
      </c>
      <c r="T620" s="10">
        <f>IFERROR(SUMIFS('Base bordo'!H$2:H$746,'Base bordo'!C$2:C$746,A620,'Base bordo'!B$2:B$746,B620,'Base bordo'!F$2:F$746,"DESLOCAMENTO CARREGADO"),0)</f>
        <v>68258.340000000011</v>
      </c>
      <c r="U620" s="10">
        <f>IFERROR(SUMIFS('Base bordo'!I$2:I$746,'Base bordo'!C$2:C$746,A620,'Base bordo'!B$2:B$746,B620,'Base bordo'!F$2:F$746,"DESLOCAMENTO CARREGADO"),0)</f>
        <v>3204</v>
      </c>
      <c r="V620" s="30">
        <f t="shared" si="68"/>
        <v>21.304101123595508</v>
      </c>
      <c r="W620" s="9">
        <f t="shared" si="69"/>
        <v>6.0683177125359485E-2</v>
      </c>
      <c r="X620" s="9">
        <f t="shared" si="70"/>
        <v>6.639356133490576E-2</v>
      </c>
      <c r="Y620" s="9">
        <f t="shared" si="71"/>
        <v>0.87292326153973476</v>
      </c>
    </row>
    <row r="621" spans="1:25" ht="15" customHeight="1" x14ac:dyDescent="0.35">
      <c r="A621" s="52">
        <v>8013469</v>
      </c>
      <c r="B621" s="51">
        <v>46117</v>
      </c>
      <c r="C621" s="7" t="s">
        <v>124</v>
      </c>
      <c r="D621" s="10">
        <f>IFERROR(SUMIFS('Base bordo'!G$2:G$746,'Base bordo'!C$2:C$746,A621,'Base bordo'!B$2:B$746,B621,'Base bordo'!F$2:F$746,"DESLOCAMENTO VAZIO"),0)</f>
        <v>0.81472222222222224</v>
      </c>
      <c r="E621" s="10">
        <f>IFERROR(SUMIFS('Base bordo'!G$2:G$746,'Base bordo'!C$2:C$746,A621,'Base bordo'!B$2:B$746,B621,'Base bordo'!F$2:F$746,"DESLOCAMENTO CARREGADO"),0)</f>
        <v>0.8913888888888889</v>
      </c>
      <c r="F621" s="10">
        <f>IFERROR(SUMIFS('Base bordo'!G$2:G$746,'Base bordo'!C$2:C$746,A621,'Base bordo'!B$2:B$746,B621,'Base bordo'!F$2:F$746,"DESLOCAMENTO"),0)</f>
        <v>0.54305555555555551</v>
      </c>
      <c r="G621" s="10">
        <f>IFERROR(SUMIFS('Base bordo'!G$2:G$746,'Base bordo'!C$2:C$746,A621,'Base bordo'!B$2:B$746,B621,'Base bordo'!F$2:F$746,"CARREGAMENTO"),0)</f>
        <v>4.5863888888888891</v>
      </c>
      <c r="H621" s="10">
        <f>IFERROR(SUMIFS('Base bordo'!G$2:G$746,'Base bordo'!C$2:C$746,A621,'Base bordo'!B$2:B$746,B621,'Base bordo'!F$2:F$746,"AGUARDANDO TRANSBORDO"),0)</f>
        <v>0.11166666666666666</v>
      </c>
      <c r="I621" s="10">
        <f>IFERROR(SUMIFS('Base bordo'!G$2:G$746,'Base bordo'!C$2:C$746,A621,'Base bordo'!B$2:B$746,B621,'Base bordo'!F$2:F$746,"PÁTIO INTERNO"),0)+IFERROR(SUMIFS('Base bordo'!G$2:G$746,'Base bordo'!C$2:C$746,A621,'Base bordo'!B$2:B$746,B621,'Base bordo'!F$2:F$746,"PÁTIO EXTERNO"),0)+IFERROR(SUMIFS('Base bordo'!G$2:G$746,'Base bordo'!C$2:C$746,A621,'Base bordo'!B$2:B$746,B621,'Base bordo'!F$2:F$746,"PATIO - RESERVA"),0)+IFERROR(SUMIFS('Base bordo'!G$2:G$746,'Base bordo'!C$2:C$746,A621,'Base bordo'!B$2:B$746,B621,'Base bordo'!F$2:F$746,"MANOBRA CARRETAS-PATIO"),0)</f>
        <v>2.3947222222222222</v>
      </c>
      <c r="J621" s="10">
        <f>IFERROR(SUMIFS('Base bordo'!G$2:G$746,'Base bordo'!C$2:C$746,A621,'Base bordo'!B$2:B$746,B621,'Base bordo'!F$2:F$746,"BALANÇA - ENTRADA"),0)+IFERROR(SUMIFS('Base bordo'!G$2:G$746,'Base bordo'!C$2:C$746,A621,'Base bordo'!B$2:B$746,B621,'Base bordo'!F$2:F$746,"BALANÇA - SAÍDA"),0)</f>
        <v>0</v>
      </c>
      <c r="K621" s="10">
        <f>IFERROR(SUMIFS('Base bordo'!G$2:G$746,'Base bordo'!C$2:C$746,A621,'Base bordo'!B$2:B$746,B621,'Base bordo'!F$2:F$746,"MAN PREVENTIVA - MECANICA"),0)+IFERROR(SUMIFS('Base bordo'!G$2:G$746,'Base bordo'!C$2:C$746,A621,'Base bordo'!B$2:B$746,B621,'Base bordo'!F$2:F$746,"MAN CORRETIVA - MECANICA"),0)</f>
        <v>0</v>
      </c>
      <c r="L621" s="10">
        <f>IFERROR(SUMIFS('Base bordo'!G$2:G$746,'Base bordo'!C$2:C$746,A621,'Base bordo'!B$2:B$746,B621,'Base bordo'!F$2:F$746,"MANUTENCAO - T O"),0)+IFERROR(SUMIFS('Base bordo'!G$2:G$746,'Base bordo'!C$2:C$746,A621,'Base bordo'!B$2:B$746,B621,'Base bordo'!F$2:F$746,"MANUTENCAO BORRACHARIA"),0)+IFERROR(SUMIFS('Base bordo'!G$2:G$746,'Base bordo'!C$2:C$746,A621,'Base bordo'!B$2:B$746,B621,'Base bordo'!F$2:F$746,"MANUTENCAO EXTERNA  CONCESSIONARIA"),0)+IFERROR(SUMIFS('Base bordo'!G$2:G$746,'Base bordo'!C$2:C$746,A621,'Base bordo'!B$2:B$746,B621,'Base bordo'!F$2:F$746,"MANUTENCAO TELEMETRIA"),0)</f>
        <v>3.4688888888888889</v>
      </c>
      <c r="M621" s="10">
        <f>IFERROR(SUMIFS('Base bordo'!G$2:G$746,'Base bordo'!C$2:C$746,A621,'Base bordo'!B$2:B$746,B621,'Base bordo'!F$2:F$746,"AGUARDANDO MANUTENCAO"),0)</f>
        <v>0</v>
      </c>
      <c r="N621" s="10">
        <f>IFERROR(SUMIFS('Base bordo'!G$2:G$746,'Base bordo'!C$2:C$746,A621,'Base bordo'!B$2:B$746,B621,'Base bordo'!F$2:F$746,"SEM APONTAMENTO"),0)</f>
        <v>0</v>
      </c>
      <c r="O621" s="10">
        <f t="shared" si="66"/>
        <v>0.61500000000000021</v>
      </c>
      <c r="P621" s="10">
        <f>IFERROR(SUMIFS('Base bordo'!G$2:G$746,'Base bordo'!C$2:C$746,A621,'Base bordo'!B$2:B$746,B621),0)</f>
        <v>13.425833333333333</v>
      </c>
      <c r="Q621" s="10">
        <f>IFERROR(SUMIFS('Base bordo'!H$2:H$746,'Base bordo'!C$2:C$746,A621,'Base bordo'!B$2:B$746,B621,'Base bordo'!F$2:F$746,"DESLOCAMENTO VAZIO"),0)</f>
        <v>93170.91</v>
      </c>
      <c r="R621" s="10">
        <f>IFERROR(SUMIFS('Base bordo'!I$2:I$746,'Base bordo'!C$2:C$746,A621,'Base bordo'!B$2:B$746,B621,'Base bordo'!F$2:F$746,"DESLOCAMENTO VAZIO"),0)</f>
        <v>2933</v>
      </c>
      <c r="S621" s="30">
        <f t="shared" si="67"/>
        <v>31.766420047732698</v>
      </c>
      <c r="T621" s="10">
        <f>IFERROR(SUMIFS('Base bordo'!H$2:H$746,'Base bordo'!C$2:C$746,A621,'Base bordo'!B$2:B$746,B621,'Base bordo'!F$2:F$746,"DESLOCAMENTO CARREGADO"),0)</f>
        <v>68258.340000000011</v>
      </c>
      <c r="U621" s="10">
        <f>IFERROR(SUMIFS('Base bordo'!I$2:I$746,'Base bordo'!C$2:C$746,A621,'Base bordo'!B$2:B$746,B621,'Base bordo'!F$2:F$746,"DESLOCAMENTO CARREGADO"),0)</f>
        <v>3204</v>
      </c>
      <c r="V621" s="30">
        <f t="shared" si="68"/>
        <v>21.304101123595508</v>
      </c>
      <c r="W621" s="9">
        <f t="shared" si="69"/>
        <v>6.0683177125359485E-2</v>
      </c>
      <c r="X621" s="9">
        <f t="shared" si="70"/>
        <v>6.639356133490576E-2</v>
      </c>
      <c r="Y621" s="9">
        <f t="shared" si="71"/>
        <v>0.87292326153973476</v>
      </c>
    </row>
    <row r="622" spans="1:25" ht="15" customHeight="1" x14ac:dyDescent="0.35">
      <c r="A622" s="52">
        <v>8013469</v>
      </c>
      <c r="B622" s="51">
        <v>46117</v>
      </c>
      <c r="C622" s="7" t="s">
        <v>124</v>
      </c>
      <c r="D622" s="10">
        <f>IFERROR(SUMIFS('Base bordo'!G$2:G$746,'Base bordo'!C$2:C$746,A622,'Base bordo'!B$2:B$746,B622,'Base bordo'!F$2:F$746,"DESLOCAMENTO VAZIO"),0)</f>
        <v>0.81472222222222224</v>
      </c>
      <c r="E622" s="10">
        <f>IFERROR(SUMIFS('Base bordo'!G$2:G$746,'Base bordo'!C$2:C$746,A622,'Base bordo'!B$2:B$746,B622,'Base bordo'!F$2:F$746,"DESLOCAMENTO CARREGADO"),0)</f>
        <v>0.8913888888888889</v>
      </c>
      <c r="F622" s="10">
        <f>IFERROR(SUMIFS('Base bordo'!G$2:G$746,'Base bordo'!C$2:C$746,A622,'Base bordo'!B$2:B$746,B622,'Base bordo'!F$2:F$746,"DESLOCAMENTO"),0)</f>
        <v>0.54305555555555551</v>
      </c>
      <c r="G622" s="10">
        <f>IFERROR(SUMIFS('Base bordo'!G$2:G$746,'Base bordo'!C$2:C$746,A622,'Base bordo'!B$2:B$746,B622,'Base bordo'!F$2:F$746,"CARREGAMENTO"),0)</f>
        <v>4.5863888888888891</v>
      </c>
      <c r="H622" s="10">
        <f>IFERROR(SUMIFS('Base bordo'!G$2:G$746,'Base bordo'!C$2:C$746,A622,'Base bordo'!B$2:B$746,B622,'Base bordo'!F$2:F$746,"AGUARDANDO TRANSBORDO"),0)</f>
        <v>0.11166666666666666</v>
      </c>
      <c r="I622" s="10">
        <f>IFERROR(SUMIFS('Base bordo'!G$2:G$746,'Base bordo'!C$2:C$746,A622,'Base bordo'!B$2:B$746,B622,'Base bordo'!F$2:F$746,"PÁTIO INTERNO"),0)+IFERROR(SUMIFS('Base bordo'!G$2:G$746,'Base bordo'!C$2:C$746,A622,'Base bordo'!B$2:B$746,B622,'Base bordo'!F$2:F$746,"PÁTIO EXTERNO"),0)+IFERROR(SUMIFS('Base bordo'!G$2:G$746,'Base bordo'!C$2:C$746,A622,'Base bordo'!B$2:B$746,B622,'Base bordo'!F$2:F$746,"PATIO - RESERVA"),0)+IFERROR(SUMIFS('Base bordo'!G$2:G$746,'Base bordo'!C$2:C$746,A622,'Base bordo'!B$2:B$746,B622,'Base bordo'!F$2:F$746,"MANOBRA CARRETAS-PATIO"),0)</f>
        <v>2.3947222222222222</v>
      </c>
      <c r="J622" s="10">
        <f>IFERROR(SUMIFS('Base bordo'!G$2:G$746,'Base bordo'!C$2:C$746,A622,'Base bordo'!B$2:B$746,B622,'Base bordo'!F$2:F$746,"BALANÇA - ENTRADA"),0)+IFERROR(SUMIFS('Base bordo'!G$2:G$746,'Base bordo'!C$2:C$746,A622,'Base bordo'!B$2:B$746,B622,'Base bordo'!F$2:F$746,"BALANÇA - SAÍDA"),0)</f>
        <v>0</v>
      </c>
      <c r="K622" s="10">
        <f>IFERROR(SUMIFS('Base bordo'!G$2:G$746,'Base bordo'!C$2:C$746,A622,'Base bordo'!B$2:B$746,B622,'Base bordo'!F$2:F$746,"MAN PREVENTIVA - MECANICA"),0)+IFERROR(SUMIFS('Base bordo'!G$2:G$746,'Base bordo'!C$2:C$746,A622,'Base bordo'!B$2:B$746,B622,'Base bordo'!F$2:F$746,"MAN CORRETIVA - MECANICA"),0)</f>
        <v>0</v>
      </c>
      <c r="L622" s="10">
        <f>IFERROR(SUMIFS('Base bordo'!G$2:G$746,'Base bordo'!C$2:C$746,A622,'Base bordo'!B$2:B$746,B622,'Base bordo'!F$2:F$746,"MANUTENCAO - T O"),0)+IFERROR(SUMIFS('Base bordo'!G$2:G$746,'Base bordo'!C$2:C$746,A622,'Base bordo'!B$2:B$746,B622,'Base bordo'!F$2:F$746,"MANUTENCAO BORRACHARIA"),0)+IFERROR(SUMIFS('Base bordo'!G$2:G$746,'Base bordo'!C$2:C$746,A622,'Base bordo'!B$2:B$746,B622,'Base bordo'!F$2:F$746,"MANUTENCAO EXTERNA  CONCESSIONARIA"),0)+IFERROR(SUMIFS('Base bordo'!G$2:G$746,'Base bordo'!C$2:C$746,A622,'Base bordo'!B$2:B$746,B622,'Base bordo'!F$2:F$746,"MANUTENCAO TELEMETRIA"),0)</f>
        <v>3.4688888888888889</v>
      </c>
      <c r="M622" s="10">
        <f>IFERROR(SUMIFS('Base bordo'!G$2:G$746,'Base bordo'!C$2:C$746,A622,'Base bordo'!B$2:B$746,B622,'Base bordo'!F$2:F$746,"AGUARDANDO MANUTENCAO"),0)</f>
        <v>0</v>
      </c>
      <c r="N622" s="10">
        <f>IFERROR(SUMIFS('Base bordo'!G$2:G$746,'Base bordo'!C$2:C$746,A622,'Base bordo'!B$2:B$746,B622,'Base bordo'!F$2:F$746,"SEM APONTAMENTO"),0)</f>
        <v>0</v>
      </c>
      <c r="O622" s="10">
        <f t="shared" si="66"/>
        <v>0.61500000000000021</v>
      </c>
      <c r="P622" s="10">
        <f>IFERROR(SUMIFS('Base bordo'!G$2:G$746,'Base bordo'!C$2:C$746,A622,'Base bordo'!B$2:B$746,B622),0)</f>
        <v>13.425833333333333</v>
      </c>
      <c r="Q622" s="10">
        <f>IFERROR(SUMIFS('Base bordo'!H$2:H$746,'Base bordo'!C$2:C$746,A622,'Base bordo'!B$2:B$746,B622,'Base bordo'!F$2:F$746,"DESLOCAMENTO VAZIO"),0)</f>
        <v>93170.91</v>
      </c>
      <c r="R622" s="10">
        <f>IFERROR(SUMIFS('Base bordo'!I$2:I$746,'Base bordo'!C$2:C$746,A622,'Base bordo'!B$2:B$746,B622,'Base bordo'!F$2:F$746,"DESLOCAMENTO VAZIO"),0)</f>
        <v>2933</v>
      </c>
      <c r="S622" s="30">
        <f t="shared" si="67"/>
        <v>31.766420047732698</v>
      </c>
      <c r="T622" s="10">
        <f>IFERROR(SUMIFS('Base bordo'!H$2:H$746,'Base bordo'!C$2:C$746,A622,'Base bordo'!B$2:B$746,B622,'Base bordo'!F$2:F$746,"DESLOCAMENTO CARREGADO"),0)</f>
        <v>68258.340000000011</v>
      </c>
      <c r="U622" s="10">
        <f>IFERROR(SUMIFS('Base bordo'!I$2:I$746,'Base bordo'!C$2:C$746,A622,'Base bordo'!B$2:B$746,B622,'Base bordo'!F$2:F$746,"DESLOCAMENTO CARREGADO"),0)</f>
        <v>3204</v>
      </c>
      <c r="V622" s="30">
        <f t="shared" si="68"/>
        <v>21.304101123595508</v>
      </c>
      <c r="W622" s="9">
        <f t="shared" si="69"/>
        <v>6.0683177125359485E-2</v>
      </c>
      <c r="X622" s="9">
        <f t="shared" si="70"/>
        <v>6.639356133490576E-2</v>
      </c>
      <c r="Y622" s="9">
        <f t="shared" si="71"/>
        <v>0.87292326153973476</v>
      </c>
    </row>
    <row r="623" spans="1:25" ht="15" customHeight="1" x14ac:dyDescent="0.35">
      <c r="A623" s="52">
        <v>8013470</v>
      </c>
      <c r="B623" s="51">
        <v>46117</v>
      </c>
      <c r="C623" s="7" t="s">
        <v>124</v>
      </c>
      <c r="D623" s="10">
        <f>IFERROR(SUMIFS('Base bordo'!G$2:G$746,'Base bordo'!C$2:C$746,A623,'Base bordo'!B$2:B$746,B623,'Base bordo'!F$2:F$746,"DESLOCAMENTO VAZIO"),0)</f>
        <v>5.2283333333333335</v>
      </c>
      <c r="E623" s="10">
        <f>IFERROR(SUMIFS('Base bordo'!G$2:G$746,'Base bordo'!C$2:C$746,A623,'Base bordo'!B$2:B$746,B623,'Base bordo'!F$2:F$746,"DESLOCAMENTO CARREGADO"),0)</f>
        <v>1.9622222222222223</v>
      </c>
      <c r="F623" s="10">
        <f>IFERROR(SUMIFS('Base bordo'!G$2:G$746,'Base bordo'!C$2:C$746,A623,'Base bordo'!B$2:B$746,B623,'Base bordo'!F$2:F$746,"DESLOCAMENTO"),0)</f>
        <v>0</v>
      </c>
      <c r="G623" s="10">
        <f>IFERROR(SUMIFS('Base bordo'!G$2:G$746,'Base bordo'!C$2:C$746,A623,'Base bordo'!B$2:B$746,B623,'Base bordo'!F$2:F$746,"CARREGAMENTO"),0)</f>
        <v>1.6741666666666666</v>
      </c>
      <c r="H623" s="10">
        <f>IFERROR(SUMIFS('Base bordo'!G$2:G$746,'Base bordo'!C$2:C$746,A623,'Base bordo'!B$2:B$746,B623,'Base bordo'!F$2:F$746,"AGUARDANDO TRANSBORDO"),0)</f>
        <v>0.22305555555555556</v>
      </c>
      <c r="I623" s="10">
        <f>IFERROR(SUMIFS('Base bordo'!G$2:G$746,'Base bordo'!C$2:C$746,A623,'Base bordo'!B$2:B$746,B623,'Base bordo'!F$2:F$746,"PÁTIO INTERNO"),0)+IFERROR(SUMIFS('Base bordo'!G$2:G$746,'Base bordo'!C$2:C$746,A623,'Base bordo'!B$2:B$746,B623,'Base bordo'!F$2:F$746,"PÁTIO EXTERNO"),0)+IFERROR(SUMIFS('Base bordo'!G$2:G$746,'Base bordo'!C$2:C$746,A623,'Base bordo'!B$2:B$746,B623,'Base bordo'!F$2:F$746,"PATIO - RESERVA"),0)+IFERROR(SUMIFS('Base bordo'!G$2:G$746,'Base bordo'!C$2:C$746,A623,'Base bordo'!B$2:B$746,B623,'Base bordo'!F$2:F$746,"MANOBRA CARRETAS-PATIO"),0)</f>
        <v>0.64583333333333337</v>
      </c>
      <c r="J623" s="10">
        <f>IFERROR(SUMIFS('Base bordo'!G$2:G$746,'Base bordo'!C$2:C$746,A623,'Base bordo'!B$2:B$746,B623,'Base bordo'!F$2:F$746,"BALANÇA - ENTRADA"),0)+IFERROR(SUMIFS('Base bordo'!G$2:G$746,'Base bordo'!C$2:C$746,A623,'Base bordo'!B$2:B$746,B623,'Base bordo'!F$2:F$746,"BALANÇA - SAÍDA"),0)</f>
        <v>0</v>
      </c>
      <c r="K623" s="10">
        <f>IFERROR(SUMIFS('Base bordo'!G$2:G$746,'Base bordo'!C$2:C$746,A623,'Base bordo'!B$2:B$746,B623,'Base bordo'!F$2:F$746,"MAN PREVENTIVA - MECANICA"),0)+IFERROR(SUMIFS('Base bordo'!G$2:G$746,'Base bordo'!C$2:C$746,A623,'Base bordo'!B$2:B$746,B623,'Base bordo'!F$2:F$746,"MAN CORRETIVA - MECANICA"),0)</f>
        <v>0</v>
      </c>
      <c r="L623" s="10">
        <f>IFERROR(SUMIFS('Base bordo'!G$2:G$746,'Base bordo'!C$2:C$746,A623,'Base bordo'!B$2:B$746,B623,'Base bordo'!F$2:F$746,"MANUTENCAO - T O"),0)+IFERROR(SUMIFS('Base bordo'!G$2:G$746,'Base bordo'!C$2:C$746,A623,'Base bordo'!B$2:B$746,B623,'Base bordo'!F$2:F$746,"MANUTENCAO BORRACHARIA"),0)+IFERROR(SUMIFS('Base bordo'!G$2:G$746,'Base bordo'!C$2:C$746,A623,'Base bordo'!B$2:B$746,B623,'Base bordo'!F$2:F$746,"MANUTENCAO EXTERNA  CONCESSIONARIA"),0)+IFERROR(SUMIFS('Base bordo'!G$2:G$746,'Base bordo'!C$2:C$746,A623,'Base bordo'!B$2:B$746,B623,'Base bordo'!F$2:F$746,"MANUTENCAO TELEMETRIA"),0)</f>
        <v>11.065555555555555</v>
      </c>
      <c r="M623" s="10">
        <f>IFERROR(SUMIFS('Base bordo'!G$2:G$746,'Base bordo'!C$2:C$746,A623,'Base bordo'!B$2:B$746,B623,'Base bordo'!F$2:F$746,"AGUARDANDO MANUTENCAO"),0)</f>
        <v>0.04</v>
      </c>
      <c r="N623" s="10">
        <f>IFERROR(SUMIFS('Base bordo'!G$2:G$746,'Base bordo'!C$2:C$746,A623,'Base bordo'!B$2:B$746,B623,'Base bordo'!F$2:F$746,"SEM APONTAMENTO"),0)</f>
        <v>0</v>
      </c>
      <c r="O623" s="10">
        <f t="shared" si="66"/>
        <v>3.1608333333333327</v>
      </c>
      <c r="P623" s="10">
        <f>IFERROR(SUMIFS('Base bordo'!G$2:G$746,'Base bordo'!C$2:C$746,A623,'Base bordo'!B$2:B$746,B623),0)</f>
        <v>24</v>
      </c>
      <c r="Q623" s="10">
        <f>IFERROR(SUMIFS('Base bordo'!H$2:H$746,'Base bordo'!C$2:C$746,A623,'Base bordo'!B$2:B$746,B623,'Base bordo'!F$2:F$746,"DESLOCAMENTO VAZIO"),0)</f>
        <v>586699.78999999992</v>
      </c>
      <c r="R623" s="10">
        <f>IFERROR(SUMIFS('Base bordo'!I$2:I$746,'Base bordo'!C$2:C$746,A623,'Base bordo'!B$2:B$746,B623,'Base bordo'!F$2:F$746,"DESLOCAMENTO VAZIO"),0)</f>
        <v>18822</v>
      </c>
      <c r="S623" s="30">
        <f t="shared" si="67"/>
        <v>31.170958984167459</v>
      </c>
      <c r="T623" s="10">
        <f>IFERROR(SUMIFS('Base bordo'!H$2:H$746,'Base bordo'!C$2:C$746,A623,'Base bordo'!B$2:B$746,B623,'Base bordo'!F$2:F$746,"DESLOCAMENTO CARREGADO"),0)</f>
        <v>166963.32</v>
      </c>
      <c r="U623" s="10">
        <f>IFERROR(SUMIFS('Base bordo'!I$2:I$746,'Base bordo'!C$2:C$746,A623,'Base bordo'!B$2:B$746,B623,'Base bordo'!F$2:F$746,"DESLOCAMENTO CARREGADO"),0)</f>
        <v>7064</v>
      </c>
      <c r="V623" s="30">
        <f t="shared" si="68"/>
        <v>23.635804077010192</v>
      </c>
      <c r="W623" s="9">
        <f t="shared" si="69"/>
        <v>0.21784722222222222</v>
      </c>
      <c r="X623" s="9">
        <f t="shared" si="70"/>
        <v>8.1759259259259268E-2</v>
      </c>
      <c r="Y623" s="9">
        <f t="shared" si="71"/>
        <v>0.7003935185185185</v>
      </c>
    </row>
    <row r="624" spans="1:25" ht="15" customHeight="1" x14ac:dyDescent="0.35">
      <c r="A624" s="52">
        <v>8013470</v>
      </c>
      <c r="B624" s="51">
        <v>46117</v>
      </c>
      <c r="C624" s="7" t="s">
        <v>124</v>
      </c>
      <c r="D624" s="10">
        <f>IFERROR(SUMIFS('Base bordo'!G$2:G$746,'Base bordo'!C$2:C$746,A624,'Base bordo'!B$2:B$746,B624,'Base bordo'!F$2:F$746,"DESLOCAMENTO VAZIO"),0)</f>
        <v>5.2283333333333335</v>
      </c>
      <c r="E624" s="10">
        <f>IFERROR(SUMIFS('Base bordo'!G$2:G$746,'Base bordo'!C$2:C$746,A624,'Base bordo'!B$2:B$746,B624,'Base bordo'!F$2:F$746,"DESLOCAMENTO CARREGADO"),0)</f>
        <v>1.9622222222222223</v>
      </c>
      <c r="F624" s="10">
        <f>IFERROR(SUMIFS('Base bordo'!G$2:G$746,'Base bordo'!C$2:C$746,A624,'Base bordo'!B$2:B$746,B624,'Base bordo'!F$2:F$746,"DESLOCAMENTO"),0)</f>
        <v>0</v>
      </c>
      <c r="G624" s="10">
        <f>IFERROR(SUMIFS('Base bordo'!G$2:G$746,'Base bordo'!C$2:C$746,A624,'Base bordo'!B$2:B$746,B624,'Base bordo'!F$2:F$746,"CARREGAMENTO"),0)</f>
        <v>1.6741666666666666</v>
      </c>
      <c r="H624" s="10">
        <f>IFERROR(SUMIFS('Base bordo'!G$2:G$746,'Base bordo'!C$2:C$746,A624,'Base bordo'!B$2:B$746,B624,'Base bordo'!F$2:F$746,"AGUARDANDO TRANSBORDO"),0)</f>
        <v>0.22305555555555556</v>
      </c>
      <c r="I624" s="10">
        <f>IFERROR(SUMIFS('Base bordo'!G$2:G$746,'Base bordo'!C$2:C$746,A624,'Base bordo'!B$2:B$746,B624,'Base bordo'!F$2:F$746,"PÁTIO INTERNO"),0)+IFERROR(SUMIFS('Base bordo'!G$2:G$746,'Base bordo'!C$2:C$746,A624,'Base bordo'!B$2:B$746,B624,'Base bordo'!F$2:F$746,"PÁTIO EXTERNO"),0)+IFERROR(SUMIFS('Base bordo'!G$2:G$746,'Base bordo'!C$2:C$746,A624,'Base bordo'!B$2:B$746,B624,'Base bordo'!F$2:F$746,"PATIO - RESERVA"),0)+IFERROR(SUMIFS('Base bordo'!G$2:G$746,'Base bordo'!C$2:C$746,A624,'Base bordo'!B$2:B$746,B624,'Base bordo'!F$2:F$746,"MANOBRA CARRETAS-PATIO"),0)</f>
        <v>0.64583333333333337</v>
      </c>
      <c r="J624" s="10">
        <f>IFERROR(SUMIFS('Base bordo'!G$2:G$746,'Base bordo'!C$2:C$746,A624,'Base bordo'!B$2:B$746,B624,'Base bordo'!F$2:F$746,"BALANÇA - ENTRADA"),0)+IFERROR(SUMIFS('Base bordo'!G$2:G$746,'Base bordo'!C$2:C$746,A624,'Base bordo'!B$2:B$746,B624,'Base bordo'!F$2:F$746,"BALANÇA - SAÍDA"),0)</f>
        <v>0</v>
      </c>
      <c r="K624" s="10">
        <f>IFERROR(SUMIFS('Base bordo'!G$2:G$746,'Base bordo'!C$2:C$746,A624,'Base bordo'!B$2:B$746,B624,'Base bordo'!F$2:F$746,"MAN PREVENTIVA - MECANICA"),0)+IFERROR(SUMIFS('Base bordo'!G$2:G$746,'Base bordo'!C$2:C$746,A624,'Base bordo'!B$2:B$746,B624,'Base bordo'!F$2:F$746,"MAN CORRETIVA - MECANICA"),0)</f>
        <v>0</v>
      </c>
      <c r="L624" s="10">
        <f>IFERROR(SUMIFS('Base bordo'!G$2:G$746,'Base bordo'!C$2:C$746,A624,'Base bordo'!B$2:B$746,B624,'Base bordo'!F$2:F$746,"MANUTENCAO - T O"),0)+IFERROR(SUMIFS('Base bordo'!G$2:G$746,'Base bordo'!C$2:C$746,A624,'Base bordo'!B$2:B$746,B624,'Base bordo'!F$2:F$746,"MANUTENCAO BORRACHARIA"),0)+IFERROR(SUMIFS('Base bordo'!G$2:G$746,'Base bordo'!C$2:C$746,A624,'Base bordo'!B$2:B$746,B624,'Base bordo'!F$2:F$746,"MANUTENCAO EXTERNA  CONCESSIONARIA"),0)+IFERROR(SUMIFS('Base bordo'!G$2:G$746,'Base bordo'!C$2:C$746,A624,'Base bordo'!B$2:B$746,B624,'Base bordo'!F$2:F$746,"MANUTENCAO TELEMETRIA"),0)</f>
        <v>11.065555555555555</v>
      </c>
      <c r="M624" s="10">
        <f>IFERROR(SUMIFS('Base bordo'!G$2:G$746,'Base bordo'!C$2:C$746,A624,'Base bordo'!B$2:B$746,B624,'Base bordo'!F$2:F$746,"AGUARDANDO MANUTENCAO"),0)</f>
        <v>0.04</v>
      </c>
      <c r="N624" s="10">
        <f>IFERROR(SUMIFS('Base bordo'!G$2:G$746,'Base bordo'!C$2:C$746,A624,'Base bordo'!B$2:B$746,B624,'Base bordo'!F$2:F$746,"SEM APONTAMENTO"),0)</f>
        <v>0</v>
      </c>
      <c r="O624" s="10">
        <f t="shared" si="66"/>
        <v>3.1608333333333327</v>
      </c>
      <c r="P624" s="10">
        <f>IFERROR(SUMIFS('Base bordo'!G$2:G$746,'Base bordo'!C$2:C$746,A624,'Base bordo'!B$2:B$746,B624),0)</f>
        <v>24</v>
      </c>
      <c r="Q624" s="10">
        <f>IFERROR(SUMIFS('Base bordo'!H$2:H$746,'Base bordo'!C$2:C$746,A624,'Base bordo'!B$2:B$746,B624,'Base bordo'!F$2:F$746,"DESLOCAMENTO VAZIO"),0)</f>
        <v>586699.78999999992</v>
      </c>
      <c r="R624" s="10">
        <f>IFERROR(SUMIFS('Base bordo'!I$2:I$746,'Base bordo'!C$2:C$746,A624,'Base bordo'!B$2:B$746,B624,'Base bordo'!F$2:F$746,"DESLOCAMENTO VAZIO"),0)</f>
        <v>18822</v>
      </c>
      <c r="S624" s="30">
        <f t="shared" si="67"/>
        <v>31.170958984167459</v>
      </c>
      <c r="T624" s="10">
        <f>IFERROR(SUMIFS('Base bordo'!H$2:H$746,'Base bordo'!C$2:C$746,A624,'Base bordo'!B$2:B$746,B624,'Base bordo'!F$2:F$746,"DESLOCAMENTO CARREGADO"),0)</f>
        <v>166963.32</v>
      </c>
      <c r="U624" s="10">
        <f>IFERROR(SUMIFS('Base bordo'!I$2:I$746,'Base bordo'!C$2:C$746,A624,'Base bordo'!B$2:B$746,B624,'Base bordo'!F$2:F$746,"DESLOCAMENTO CARREGADO"),0)</f>
        <v>7064</v>
      </c>
      <c r="V624" s="30">
        <f t="shared" si="68"/>
        <v>23.635804077010192</v>
      </c>
      <c r="W624" s="9">
        <f t="shared" si="69"/>
        <v>0.21784722222222222</v>
      </c>
      <c r="X624" s="9">
        <f t="shared" si="70"/>
        <v>8.1759259259259268E-2</v>
      </c>
      <c r="Y624" s="9">
        <f t="shared" si="71"/>
        <v>0.7003935185185185</v>
      </c>
    </row>
    <row r="625" spans="1:25" ht="15" customHeight="1" x14ac:dyDescent="0.35">
      <c r="A625" s="52">
        <v>8013470</v>
      </c>
      <c r="B625" s="51">
        <v>46117</v>
      </c>
      <c r="C625" s="7" t="s">
        <v>124</v>
      </c>
      <c r="D625" s="10">
        <f>IFERROR(SUMIFS('Base bordo'!G$2:G$746,'Base bordo'!C$2:C$746,A625,'Base bordo'!B$2:B$746,B625,'Base bordo'!F$2:F$746,"DESLOCAMENTO VAZIO"),0)</f>
        <v>5.2283333333333335</v>
      </c>
      <c r="E625" s="10">
        <f>IFERROR(SUMIFS('Base bordo'!G$2:G$746,'Base bordo'!C$2:C$746,A625,'Base bordo'!B$2:B$746,B625,'Base bordo'!F$2:F$746,"DESLOCAMENTO CARREGADO"),0)</f>
        <v>1.9622222222222223</v>
      </c>
      <c r="F625" s="10">
        <f>IFERROR(SUMIFS('Base bordo'!G$2:G$746,'Base bordo'!C$2:C$746,A625,'Base bordo'!B$2:B$746,B625,'Base bordo'!F$2:F$746,"DESLOCAMENTO"),0)</f>
        <v>0</v>
      </c>
      <c r="G625" s="10">
        <f>IFERROR(SUMIFS('Base bordo'!G$2:G$746,'Base bordo'!C$2:C$746,A625,'Base bordo'!B$2:B$746,B625,'Base bordo'!F$2:F$746,"CARREGAMENTO"),0)</f>
        <v>1.6741666666666666</v>
      </c>
      <c r="H625" s="10">
        <f>IFERROR(SUMIFS('Base bordo'!G$2:G$746,'Base bordo'!C$2:C$746,A625,'Base bordo'!B$2:B$746,B625,'Base bordo'!F$2:F$746,"AGUARDANDO TRANSBORDO"),0)</f>
        <v>0.22305555555555556</v>
      </c>
      <c r="I625" s="10">
        <f>IFERROR(SUMIFS('Base bordo'!G$2:G$746,'Base bordo'!C$2:C$746,A625,'Base bordo'!B$2:B$746,B625,'Base bordo'!F$2:F$746,"PÁTIO INTERNO"),0)+IFERROR(SUMIFS('Base bordo'!G$2:G$746,'Base bordo'!C$2:C$746,A625,'Base bordo'!B$2:B$746,B625,'Base bordo'!F$2:F$746,"PÁTIO EXTERNO"),0)+IFERROR(SUMIFS('Base bordo'!G$2:G$746,'Base bordo'!C$2:C$746,A625,'Base bordo'!B$2:B$746,B625,'Base bordo'!F$2:F$746,"PATIO - RESERVA"),0)+IFERROR(SUMIFS('Base bordo'!G$2:G$746,'Base bordo'!C$2:C$746,A625,'Base bordo'!B$2:B$746,B625,'Base bordo'!F$2:F$746,"MANOBRA CARRETAS-PATIO"),0)</f>
        <v>0.64583333333333337</v>
      </c>
      <c r="J625" s="10">
        <f>IFERROR(SUMIFS('Base bordo'!G$2:G$746,'Base bordo'!C$2:C$746,A625,'Base bordo'!B$2:B$746,B625,'Base bordo'!F$2:F$746,"BALANÇA - ENTRADA"),0)+IFERROR(SUMIFS('Base bordo'!G$2:G$746,'Base bordo'!C$2:C$746,A625,'Base bordo'!B$2:B$746,B625,'Base bordo'!F$2:F$746,"BALANÇA - SAÍDA"),0)</f>
        <v>0</v>
      </c>
      <c r="K625" s="10">
        <f>IFERROR(SUMIFS('Base bordo'!G$2:G$746,'Base bordo'!C$2:C$746,A625,'Base bordo'!B$2:B$746,B625,'Base bordo'!F$2:F$746,"MAN PREVENTIVA - MECANICA"),0)+IFERROR(SUMIFS('Base bordo'!G$2:G$746,'Base bordo'!C$2:C$746,A625,'Base bordo'!B$2:B$746,B625,'Base bordo'!F$2:F$746,"MAN CORRETIVA - MECANICA"),0)</f>
        <v>0</v>
      </c>
      <c r="L625" s="10">
        <f>IFERROR(SUMIFS('Base bordo'!G$2:G$746,'Base bordo'!C$2:C$746,A625,'Base bordo'!B$2:B$746,B625,'Base bordo'!F$2:F$746,"MANUTENCAO - T O"),0)+IFERROR(SUMIFS('Base bordo'!G$2:G$746,'Base bordo'!C$2:C$746,A625,'Base bordo'!B$2:B$746,B625,'Base bordo'!F$2:F$746,"MANUTENCAO BORRACHARIA"),0)+IFERROR(SUMIFS('Base bordo'!G$2:G$746,'Base bordo'!C$2:C$746,A625,'Base bordo'!B$2:B$746,B625,'Base bordo'!F$2:F$746,"MANUTENCAO EXTERNA  CONCESSIONARIA"),0)+IFERROR(SUMIFS('Base bordo'!G$2:G$746,'Base bordo'!C$2:C$746,A625,'Base bordo'!B$2:B$746,B625,'Base bordo'!F$2:F$746,"MANUTENCAO TELEMETRIA"),0)</f>
        <v>11.065555555555555</v>
      </c>
      <c r="M625" s="10">
        <f>IFERROR(SUMIFS('Base bordo'!G$2:G$746,'Base bordo'!C$2:C$746,A625,'Base bordo'!B$2:B$746,B625,'Base bordo'!F$2:F$746,"AGUARDANDO MANUTENCAO"),0)</f>
        <v>0.04</v>
      </c>
      <c r="N625" s="10">
        <f>IFERROR(SUMIFS('Base bordo'!G$2:G$746,'Base bordo'!C$2:C$746,A625,'Base bordo'!B$2:B$746,B625,'Base bordo'!F$2:F$746,"SEM APONTAMENTO"),0)</f>
        <v>0</v>
      </c>
      <c r="O625" s="10">
        <f t="shared" si="66"/>
        <v>3.1608333333333327</v>
      </c>
      <c r="P625" s="10">
        <f>IFERROR(SUMIFS('Base bordo'!G$2:G$746,'Base bordo'!C$2:C$746,A625,'Base bordo'!B$2:B$746,B625),0)</f>
        <v>24</v>
      </c>
      <c r="Q625" s="10">
        <f>IFERROR(SUMIFS('Base bordo'!H$2:H$746,'Base bordo'!C$2:C$746,A625,'Base bordo'!B$2:B$746,B625,'Base bordo'!F$2:F$746,"DESLOCAMENTO VAZIO"),0)</f>
        <v>586699.78999999992</v>
      </c>
      <c r="R625" s="10">
        <f>IFERROR(SUMIFS('Base bordo'!I$2:I$746,'Base bordo'!C$2:C$746,A625,'Base bordo'!B$2:B$746,B625,'Base bordo'!F$2:F$746,"DESLOCAMENTO VAZIO"),0)</f>
        <v>18822</v>
      </c>
      <c r="S625" s="30">
        <f t="shared" si="67"/>
        <v>31.170958984167459</v>
      </c>
      <c r="T625" s="10">
        <f>IFERROR(SUMIFS('Base bordo'!H$2:H$746,'Base bordo'!C$2:C$746,A625,'Base bordo'!B$2:B$746,B625,'Base bordo'!F$2:F$746,"DESLOCAMENTO CARREGADO"),0)</f>
        <v>166963.32</v>
      </c>
      <c r="U625" s="10">
        <f>IFERROR(SUMIFS('Base bordo'!I$2:I$746,'Base bordo'!C$2:C$746,A625,'Base bordo'!B$2:B$746,B625,'Base bordo'!F$2:F$746,"DESLOCAMENTO CARREGADO"),0)</f>
        <v>7064</v>
      </c>
      <c r="V625" s="30">
        <f t="shared" si="68"/>
        <v>23.635804077010192</v>
      </c>
      <c r="W625" s="9">
        <f t="shared" si="69"/>
        <v>0.21784722222222222</v>
      </c>
      <c r="X625" s="9">
        <f t="shared" si="70"/>
        <v>8.1759259259259268E-2</v>
      </c>
      <c r="Y625" s="9">
        <f t="shared" si="71"/>
        <v>0.7003935185185185</v>
      </c>
    </row>
    <row r="626" spans="1:25" ht="15" customHeight="1" x14ac:dyDescent="0.35">
      <c r="A626" s="52">
        <v>8013470</v>
      </c>
      <c r="B626" s="51">
        <v>46117</v>
      </c>
      <c r="C626" s="7" t="s">
        <v>124</v>
      </c>
      <c r="D626" s="10">
        <f>IFERROR(SUMIFS('Base bordo'!G$2:G$746,'Base bordo'!C$2:C$746,A626,'Base bordo'!B$2:B$746,B626,'Base bordo'!F$2:F$746,"DESLOCAMENTO VAZIO"),0)</f>
        <v>5.2283333333333335</v>
      </c>
      <c r="E626" s="10">
        <f>IFERROR(SUMIFS('Base bordo'!G$2:G$746,'Base bordo'!C$2:C$746,A626,'Base bordo'!B$2:B$746,B626,'Base bordo'!F$2:F$746,"DESLOCAMENTO CARREGADO"),0)</f>
        <v>1.9622222222222223</v>
      </c>
      <c r="F626" s="10">
        <f>IFERROR(SUMIFS('Base bordo'!G$2:G$746,'Base bordo'!C$2:C$746,A626,'Base bordo'!B$2:B$746,B626,'Base bordo'!F$2:F$746,"DESLOCAMENTO"),0)</f>
        <v>0</v>
      </c>
      <c r="G626" s="10">
        <f>IFERROR(SUMIFS('Base bordo'!G$2:G$746,'Base bordo'!C$2:C$746,A626,'Base bordo'!B$2:B$746,B626,'Base bordo'!F$2:F$746,"CARREGAMENTO"),0)</f>
        <v>1.6741666666666666</v>
      </c>
      <c r="H626" s="10">
        <f>IFERROR(SUMIFS('Base bordo'!G$2:G$746,'Base bordo'!C$2:C$746,A626,'Base bordo'!B$2:B$746,B626,'Base bordo'!F$2:F$746,"AGUARDANDO TRANSBORDO"),0)</f>
        <v>0.22305555555555556</v>
      </c>
      <c r="I626" s="10">
        <f>IFERROR(SUMIFS('Base bordo'!G$2:G$746,'Base bordo'!C$2:C$746,A626,'Base bordo'!B$2:B$746,B626,'Base bordo'!F$2:F$746,"PÁTIO INTERNO"),0)+IFERROR(SUMIFS('Base bordo'!G$2:G$746,'Base bordo'!C$2:C$746,A626,'Base bordo'!B$2:B$746,B626,'Base bordo'!F$2:F$746,"PÁTIO EXTERNO"),0)+IFERROR(SUMIFS('Base bordo'!G$2:G$746,'Base bordo'!C$2:C$746,A626,'Base bordo'!B$2:B$746,B626,'Base bordo'!F$2:F$746,"PATIO - RESERVA"),0)+IFERROR(SUMIFS('Base bordo'!G$2:G$746,'Base bordo'!C$2:C$746,A626,'Base bordo'!B$2:B$746,B626,'Base bordo'!F$2:F$746,"MANOBRA CARRETAS-PATIO"),0)</f>
        <v>0.64583333333333337</v>
      </c>
      <c r="J626" s="10">
        <f>IFERROR(SUMIFS('Base bordo'!G$2:G$746,'Base bordo'!C$2:C$746,A626,'Base bordo'!B$2:B$746,B626,'Base bordo'!F$2:F$746,"BALANÇA - ENTRADA"),0)+IFERROR(SUMIFS('Base bordo'!G$2:G$746,'Base bordo'!C$2:C$746,A626,'Base bordo'!B$2:B$746,B626,'Base bordo'!F$2:F$746,"BALANÇA - SAÍDA"),0)</f>
        <v>0</v>
      </c>
      <c r="K626" s="10">
        <f>IFERROR(SUMIFS('Base bordo'!G$2:G$746,'Base bordo'!C$2:C$746,A626,'Base bordo'!B$2:B$746,B626,'Base bordo'!F$2:F$746,"MAN PREVENTIVA - MECANICA"),0)+IFERROR(SUMIFS('Base bordo'!G$2:G$746,'Base bordo'!C$2:C$746,A626,'Base bordo'!B$2:B$746,B626,'Base bordo'!F$2:F$746,"MAN CORRETIVA - MECANICA"),0)</f>
        <v>0</v>
      </c>
      <c r="L626" s="10">
        <f>IFERROR(SUMIFS('Base bordo'!G$2:G$746,'Base bordo'!C$2:C$746,A626,'Base bordo'!B$2:B$746,B626,'Base bordo'!F$2:F$746,"MANUTENCAO - T O"),0)+IFERROR(SUMIFS('Base bordo'!G$2:G$746,'Base bordo'!C$2:C$746,A626,'Base bordo'!B$2:B$746,B626,'Base bordo'!F$2:F$746,"MANUTENCAO BORRACHARIA"),0)+IFERROR(SUMIFS('Base bordo'!G$2:G$746,'Base bordo'!C$2:C$746,A626,'Base bordo'!B$2:B$746,B626,'Base bordo'!F$2:F$746,"MANUTENCAO EXTERNA  CONCESSIONARIA"),0)+IFERROR(SUMIFS('Base bordo'!G$2:G$746,'Base bordo'!C$2:C$746,A626,'Base bordo'!B$2:B$746,B626,'Base bordo'!F$2:F$746,"MANUTENCAO TELEMETRIA"),0)</f>
        <v>11.065555555555555</v>
      </c>
      <c r="M626" s="10">
        <f>IFERROR(SUMIFS('Base bordo'!G$2:G$746,'Base bordo'!C$2:C$746,A626,'Base bordo'!B$2:B$746,B626,'Base bordo'!F$2:F$746,"AGUARDANDO MANUTENCAO"),0)</f>
        <v>0.04</v>
      </c>
      <c r="N626" s="10">
        <f>IFERROR(SUMIFS('Base bordo'!G$2:G$746,'Base bordo'!C$2:C$746,A626,'Base bordo'!B$2:B$746,B626,'Base bordo'!F$2:F$746,"SEM APONTAMENTO"),0)</f>
        <v>0</v>
      </c>
      <c r="O626" s="10">
        <f t="shared" si="66"/>
        <v>3.1608333333333327</v>
      </c>
      <c r="P626" s="10">
        <f>IFERROR(SUMIFS('Base bordo'!G$2:G$746,'Base bordo'!C$2:C$746,A626,'Base bordo'!B$2:B$746,B626),0)</f>
        <v>24</v>
      </c>
      <c r="Q626" s="10">
        <f>IFERROR(SUMIFS('Base bordo'!H$2:H$746,'Base bordo'!C$2:C$746,A626,'Base bordo'!B$2:B$746,B626,'Base bordo'!F$2:F$746,"DESLOCAMENTO VAZIO"),0)</f>
        <v>586699.78999999992</v>
      </c>
      <c r="R626" s="10">
        <f>IFERROR(SUMIFS('Base bordo'!I$2:I$746,'Base bordo'!C$2:C$746,A626,'Base bordo'!B$2:B$746,B626,'Base bordo'!F$2:F$746,"DESLOCAMENTO VAZIO"),0)</f>
        <v>18822</v>
      </c>
      <c r="S626" s="30">
        <f t="shared" si="67"/>
        <v>31.170958984167459</v>
      </c>
      <c r="T626" s="10">
        <f>IFERROR(SUMIFS('Base bordo'!H$2:H$746,'Base bordo'!C$2:C$746,A626,'Base bordo'!B$2:B$746,B626,'Base bordo'!F$2:F$746,"DESLOCAMENTO CARREGADO"),0)</f>
        <v>166963.32</v>
      </c>
      <c r="U626" s="10">
        <f>IFERROR(SUMIFS('Base bordo'!I$2:I$746,'Base bordo'!C$2:C$746,A626,'Base bordo'!B$2:B$746,B626,'Base bordo'!F$2:F$746,"DESLOCAMENTO CARREGADO"),0)</f>
        <v>7064</v>
      </c>
      <c r="V626" s="30">
        <f t="shared" si="68"/>
        <v>23.635804077010192</v>
      </c>
      <c r="W626" s="9">
        <f t="shared" si="69"/>
        <v>0.21784722222222222</v>
      </c>
      <c r="X626" s="9">
        <f t="shared" si="70"/>
        <v>8.1759259259259268E-2</v>
      </c>
      <c r="Y626" s="9">
        <f t="shared" si="71"/>
        <v>0.7003935185185185</v>
      </c>
    </row>
    <row r="627" spans="1:25" ht="15" customHeight="1" x14ac:dyDescent="0.35">
      <c r="A627" s="52">
        <v>8013470</v>
      </c>
      <c r="B627" s="51">
        <v>46117</v>
      </c>
      <c r="C627" s="7" t="s">
        <v>124</v>
      </c>
      <c r="D627" s="10">
        <f>IFERROR(SUMIFS('Base bordo'!G$2:G$746,'Base bordo'!C$2:C$746,A627,'Base bordo'!B$2:B$746,B627,'Base bordo'!F$2:F$746,"DESLOCAMENTO VAZIO"),0)</f>
        <v>5.2283333333333335</v>
      </c>
      <c r="E627" s="10">
        <f>IFERROR(SUMIFS('Base bordo'!G$2:G$746,'Base bordo'!C$2:C$746,A627,'Base bordo'!B$2:B$746,B627,'Base bordo'!F$2:F$746,"DESLOCAMENTO CARREGADO"),0)</f>
        <v>1.9622222222222223</v>
      </c>
      <c r="F627" s="10">
        <f>IFERROR(SUMIFS('Base bordo'!G$2:G$746,'Base bordo'!C$2:C$746,A627,'Base bordo'!B$2:B$746,B627,'Base bordo'!F$2:F$746,"DESLOCAMENTO"),0)</f>
        <v>0</v>
      </c>
      <c r="G627" s="10">
        <f>IFERROR(SUMIFS('Base bordo'!G$2:G$746,'Base bordo'!C$2:C$746,A627,'Base bordo'!B$2:B$746,B627,'Base bordo'!F$2:F$746,"CARREGAMENTO"),0)</f>
        <v>1.6741666666666666</v>
      </c>
      <c r="H627" s="10">
        <f>IFERROR(SUMIFS('Base bordo'!G$2:G$746,'Base bordo'!C$2:C$746,A627,'Base bordo'!B$2:B$746,B627,'Base bordo'!F$2:F$746,"AGUARDANDO TRANSBORDO"),0)</f>
        <v>0.22305555555555556</v>
      </c>
      <c r="I627" s="10">
        <f>IFERROR(SUMIFS('Base bordo'!G$2:G$746,'Base bordo'!C$2:C$746,A627,'Base bordo'!B$2:B$746,B627,'Base bordo'!F$2:F$746,"PÁTIO INTERNO"),0)+IFERROR(SUMIFS('Base bordo'!G$2:G$746,'Base bordo'!C$2:C$746,A627,'Base bordo'!B$2:B$746,B627,'Base bordo'!F$2:F$746,"PÁTIO EXTERNO"),0)+IFERROR(SUMIFS('Base bordo'!G$2:G$746,'Base bordo'!C$2:C$746,A627,'Base bordo'!B$2:B$746,B627,'Base bordo'!F$2:F$746,"PATIO - RESERVA"),0)+IFERROR(SUMIFS('Base bordo'!G$2:G$746,'Base bordo'!C$2:C$746,A627,'Base bordo'!B$2:B$746,B627,'Base bordo'!F$2:F$746,"MANOBRA CARRETAS-PATIO"),0)</f>
        <v>0.64583333333333337</v>
      </c>
      <c r="J627" s="10">
        <f>IFERROR(SUMIFS('Base bordo'!G$2:G$746,'Base bordo'!C$2:C$746,A627,'Base bordo'!B$2:B$746,B627,'Base bordo'!F$2:F$746,"BALANÇA - ENTRADA"),0)+IFERROR(SUMIFS('Base bordo'!G$2:G$746,'Base bordo'!C$2:C$746,A627,'Base bordo'!B$2:B$746,B627,'Base bordo'!F$2:F$746,"BALANÇA - SAÍDA"),0)</f>
        <v>0</v>
      </c>
      <c r="K627" s="10">
        <f>IFERROR(SUMIFS('Base bordo'!G$2:G$746,'Base bordo'!C$2:C$746,A627,'Base bordo'!B$2:B$746,B627,'Base bordo'!F$2:F$746,"MAN PREVENTIVA - MECANICA"),0)+IFERROR(SUMIFS('Base bordo'!G$2:G$746,'Base bordo'!C$2:C$746,A627,'Base bordo'!B$2:B$746,B627,'Base bordo'!F$2:F$746,"MAN CORRETIVA - MECANICA"),0)</f>
        <v>0</v>
      </c>
      <c r="L627" s="10">
        <f>IFERROR(SUMIFS('Base bordo'!G$2:G$746,'Base bordo'!C$2:C$746,A627,'Base bordo'!B$2:B$746,B627,'Base bordo'!F$2:F$746,"MANUTENCAO - T O"),0)+IFERROR(SUMIFS('Base bordo'!G$2:G$746,'Base bordo'!C$2:C$746,A627,'Base bordo'!B$2:B$746,B627,'Base bordo'!F$2:F$746,"MANUTENCAO BORRACHARIA"),0)+IFERROR(SUMIFS('Base bordo'!G$2:G$746,'Base bordo'!C$2:C$746,A627,'Base bordo'!B$2:B$746,B627,'Base bordo'!F$2:F$746,"MANUTENCAO EXTERNA  CONCESSIONARIA"),0)+IFERROR(SUMIFS('Base bordo'!G$2:G$746,'Base bordo'!C$2:C$746,A627,'Base bordo'!B$2:B$746,B627,'Base bordo'!F$2:F$746,"MANUTENCAO TELEMETRIA"),0)</f>
        <v>11.065555555555555</v>
      </c>
      <c r="M627" s="10">
        <f>IFERROR(SUMIFS('Base bordo'!G$2:G$746,'Base bordo'!C$2:C$746,A627,'Base bordo'!B$2:B$746,B627,'Base bordo'!F$2:F$746,"AGUARDANDO MANUTENCAO"),0)</f>
        <v>0.04</v>
      </c>
      <c r="N627" s="10">
        <f>IFERROR(SUMIFS('Base bordo'!G$2:G$746,'Base bordo'!C$2:C$746,A627,'Base bordo'!B$2:B$746,B627,'Base bordo'!F$2:F$746,"SEM APONTAMENTO"),0)</f>
        <v>0</v>
      </c>
      <c r="O627" s="10">
        <f t="shared" si="66"/>
        <v>3.1608333333333327</v>
      </c>
      <c r="P627" s="10">
        <f>IFERROR(SUMIFS('Base bordo'!G$2:G$746,'Base bordo'!C$2:C$746,A627,'Base bordo'!B$2:B$746,B627),0)</f>
        <v>24</v>
      </c>
      <c r="Q627" s="10">
        <f>IFERROR(SUMIFS('Base bordo'!H$2:H$746,'Base bordo'!C$2:C$746,A627,'Base bordo'!B$2:B$746,B627,'Base bordo'!F$2:F$746,"DESLOCAMENTO VAZIO"),0)</f>
        <v>586699.78999999992</v>
      </c>
      <c r="R627" s="10">
        <f>IFERROR(SUMIFS('Base bordo'!I$2:I$746,'Base bordo'!C$2:C$746,A627,'Base bordo'!B$2:B$746,B627,'Base bordo'!F$2:F$746,"DESLOCAMENTO VAZIO"),0)</f>
        <v>18822</v>
      </c>
      <c r="S627" s="30">
        <f t="shared" si="67"/>
        <v>31.170958984167459</v>
      </c>
      <c r="T627" s="10">
        <f>IFERROR(SUMIFS('Base bordo'!H$2:H$746,'Base bordo'!C$2:C$746,A627,'Base bordo'!B$2:B$746,B627,'Base bordo'!F$2:F$746,"DESLOCAMENTO CARREGADO"),0)</f>
        <v>166963.32</v>
      </c>
      <c r="U627" s="10">
        <f>IFERROR(SUMIFS('Base bordo'!I$2:I$746,'Base bordo'!C$2:C$746,A627,'Base bordo'!B$2:B$746,B627,'Base bordo'!F$2:F$746,"DESLOCAMENTO CARREGADO"),0)</f>
        <v>7064</v>
      </c>
      <c r="V627" s="30">
        <f t="shared" si="68"/>
        <v>23.635804077010192</v>
      </c>
      <c r="W627" s="9">
        <f t="shared" si="69"/>
        <v>0.21784722222222222</v>
      </c>
      <c r="X627" s="9">
        <f t="shared" si="70"/>
        <v>8.1759259259259268E-2</v>
      </c>
      <c r="Y627" s="9">
        <f t="shared" si="71"/>
        <v>0.7003935185185185</v>
      </c>
    </row>
    <row r="628" spans="1:25" ht="15" customHeight="1" x14ac:dyDescent="0.35">
      <c r="A628" s="52">
        <v>8013470</v>
      </c>
      <c r="B628" s="51">
        <v>46117</v>
      </c>
      <c r="C628" s="7" t="s">
        <v>124</v>
      </c>
      <c r="D628" s="10">
        <f>IFERROR(SUMIFS('Base bordo'!G$2:G$746,'Base bordo'!C$2:C$746,A628,'Base bordo'!B$2:B$746,B628,'Base bordo'!F$2:F$746,"DESLOCAMENTO VAZIO"),0)</f>
        <v>5.2283333333333335</v>
      </c>
      <c r="E628" s="10">
        <f>IFERROR(SUMIFS('Base bordo'!G$2:G$746,'Base bordo'!C$2:C$746,A628,'Base bordo'!B$2:B$746,B628,'Base bordo'!F$2:F$746,"DESLOCAMENTO CARREGADO"),0)</f>
        <v>1.9622222222222223</v>
      </c>
      <c r="F628" s="10">
        <f>IFERROR(SUMIFS('Base bordo'!G$2:G$746,'Base bordo'!C$2:C$746,A628,'Base bordo'!B$2:B$746,B628,'Base bordo'!F$2:F$746,"DESLOCAMENTO"),0)</f>
        <v>0</v>
      </c>
      <c r="G628" s="10">
        <f>IFERROR(SUMIFS('Base bordo'!G$2:G$746,'Base bordo'!C$2:C$746,A628,'Base bordo'!B$2:B$746,B628,'Base bordo'!F$2:F$746,"CARREGAMENTO"),0)</f>
        <v>1.6741666666666666</v>
      </c>
      <c r="H628" s="10">
        <f>IFERROR(SUMIFS('Base bordo'!G$2:G$746,'Base bordo'!C$2:C$746,A628,'Base bordo'!B$2:B$746,B628,'Base bordo'!F$2:F$746,"AGUARDANDO TRANSBORDO"),0)</f>
        <v>0.22305555555555556</v>
      </c>
      <c r="I628" s="10">
        <f>IFERROR(SUMIFS('Base bordo'!G$2:G$746,'Base bordo'!C$2:C$746,A628,'Base bordo'!B$2:B$746,B628,'Base bordo'!F$2:F$746,"PÁTIO INTERNO"),0)+IFERROR(SUMIFS('Base bordo'!G$2:G$746,'Base bordo'!C$2:C$746,A628,'Base bordo'!B$2:B$746,B628,'Base bordo'!F$2:F$746,"PÁTIO EXTERNO"),0)+IFERROR(SUMIFS('Base bordo'!G$2:G$746,'Base bordo'!C$2:C$746,A628,'Base bordo'!B$2:B$746,B628,'Base bordo'!F$2:F$746,"PATIO - RESERVA"),0)+IFERROR(SUMIFS('Base bordo'!G$2:G$746,'Base bordo'!C$2:C$746,A628,'Base bordo'!B$2:B$746,B628,'Base bordo'!F$2:F$746,"MANOBRA CARRETAS-PATIO"),0)</f>
        <v>0.64583333333333337</v>
      </c>
      <c r="J628" s="10">
        <f>IFERROR(SUMIFS('Base bordo'!G$2:G$746,'Base bordo'!C$2:C$746,A628,'Base bordo'!B$2:B$746,B628,'Base bordo'!F$2:F$746,"BALANÇA - ENTRADA"),0)+IFERROR(SUMIFS('Base bordo'!G$2:G$746,'Base bordo'!C$2:C$746,A628,'Base bordo'!B$2:B$746,B628,'Base bordo'!F$2:F$746,"BALANÇA - SAÍDA"),0)</f>
        <v>0</v>
      </c>
      <c r="K628" s="10">
        <f>IFERROR(SUMIFS('Base bordo'!G$2:G$746,'Base bordo'!C$2:C$746,A628,'Base bordo'!B$2:B$746,B628,'Base bordo'!F$2:F$746,"MAN PREVENTIVA - MECANICA"),0)+IFERROR(SUMIFS('Base bordo'!G$2:G$746,'Base bordo'!C$2:C$746,A628,'Base bordo'!B$2:B$746,B628,'Base bordo'!F$2:F$746,"MAN CORRETIVA - MECANICA"),0)</f>
        <v>0</v>
      </c>
      <c r="L628" s="10">
        <f>IFERROR(SUMIFS('Base bordo'!G$2:G$746,'Base bordo'!C$2:C$746,A628,'Base bordo'!B$2:B$746,B628,'Base bordo'!F$2:F$746,"MANUTENCAO - T O"),0)+IFERROR(SUMIFS('Base bordo'!G$2:G$746,'Base bordo'!C$2:C$746,A628,'Base bordo'!B$2:B$746,B628,'Base bordo'!F$2:F$746,"MANUTENCAO BORRACHARIA"),0)+IFERROR(SUMIFS('Base bordo'!G$2:G$746,'Base bordo'!C$2:C$746,A628,'Base bordo'!B$2:B$746,B628,'Base bordo'!F$2:F$746,"MANUTENCAO EXTERNA  CONCESSIONARIA"),0)+IFERROR(SUMIFS('Base bordo'!G$2:G$746,'Base bordo'!C$2:C$746,A628,'Base bordo'!B$2:B$746,B628,'Base bordo'!F$2:F$746,"MANUTENCAO TELEMETRIA"),0)</f>
        <v>11.065555555555555</v>
      </c>
      <c r="M628" s="10">
        <f>IFERROR(SUMIFS('Base bordo'!G$2:G$746,'Base bordo'!C$2:C$746,A628,'Base bordo'!B$2:B$746,B628,'Base bordo'!F$2:F$746,"AGUARDANDO MANUTENCAO"),0)</f>
        <v>0.04</v>
      </c>
      <c r="N628" s="10">
        <f>IFERROR(SUMIFS('Base bordo'!G$2:G$746,'Base bordo'!C$2:C$746,A628,'Base bordo'!B$2:B$746,B628,'Base bordo'!F$2:F$746,"SEM APONTAMENTO"),0)</f>
        <v>0</v>
      </c>
      <c r="O628" s="10">
        <f t="shared" si="66"/>
        <v>3.1608333333333327</v>
      </c>
      <c r="P628" s="10">
        <f>IFERROR(SUMIFS('Base bordo'!G$2:G$746,'Base bordo'!C$2:C$746,A628,'Base bordo'!B$2:B$746,B628),0)</f>
        <v>24</v>
      </c>
      <c r="Q628" s="10">
        <f>IFERROR(SUMIFS('Base bordo'!H$2:H$746,'Base bordo'!C$2:C$746,A628,'Base bordo'!B$2:B$746,B628,'Base bordo'!F$2:F$746,"DESLOCAMENTO VAZIO"),0)</f>
        <v>586699.78999999992</v>
      </c>
      <c r="R628" s="10">
        <f>IFERROR(SUMIFS('Base bordo'!I$2:I$746,'Base bordo'!C$2:C$746,A628,'Base bordo'!B$2:B$746,B628,'Base bordo'!F$2:F$746,"DESLOCAMENTO VAZIO"),0)</f>
        <v>18822</v>
      </c>
      <c r="S628" s="30">
        <f t="shared" si="67"/>
        <v>31.170958984167459</v>
      </c>
      <c r="T628" s="10">
        <f>IFERROR(SUMIFS('Base bordo'!H$2:H$746,'Base bordo'!C$2:C$746,A628,'Base bordo'!B$2:B$746,B628,'Base bordo'!F$2:F$746,"DESLOCAMENTO CARREGADO"),0)</f>
        <v>166963.32</v>
      </c>
      <c r="U628" s="10">
        <f>IFERROR(SUMIFS('Base bordo'!I$2:I$746,'Base bordo'!C$2:C$746,A628,'Base bordo'!B$2:B$746,B628,'Base bordo'!F$2:F$746,"DESLOCAMENTO CARREGADO"),0)</f>
        <v>7064</v>
      </c>
      <c r="V628" s="30">
        <f t="shared" si="68"/>
        <v>23.635804077010192</v>
      </c>
      <c r="W628" s="9">
        <f t="shared" si="69"/>
        <v>0.21784722222222222</v>
      </c>
      <c r="X628" s="9">
        <f t="shared" si="70"/>
        <v>8.1759259259259268E-2</v>
      </c>
      <c r="Y628" s="9">
        <f t="shared" si="71"/>
        <v>0.7003935185185185</v>
      </c>
    </row>
    <row r="629" spans="1:25" ht="15" customHeight="1" x14ac:dyDescent="0.35">
      <c r="A629" s="52">
        <v>8013470</v>
      </c>
      <c r="B629" s="51">
        <v>46117</v>
      </c>
      <c r="C629" s="7" t="s">
        <v>124</v>
      </c>
      <c r="D629" s="10">
        <f>IFERROR(SUMIFS('Base bordo'!G$2:G$746,'Base bordo'!C$2:C$746,A629,'Base bordo'!B$2:B$746,B629,'Base bordo'!F$2:F$746,"DESLOCAMENTO VAZIO"),0)</f>
        <v>5.2283333333333335</v>
      </c>
      <c r="E629" s="10">
        <f>IFERROR(SUMIFS('Base bordo'!G$2:G$746,'Base bordo'!C$2:C$746,A629,'Base bordo'!B$2:B$746,B629,'Base bordo'!F$2:F$746,"DESLOCAMENTO CARREGADO"),0)</f>
        <v>1.9622222222222223</v>
      </c>
      <c r="F629" s="10">
        <f>IFERROR(SUMIFS('Base bordo'!G$2:G$746,'Base bordo'!C$2:C$746,A629,'Base bordo'!B$2:B$746,B629,'Base bordo'!F$2:F$746,"DESLOCAMENTO"),0)</f>
        <v>0</v>
      </c>
      <c r="G629" s="10">
        <f>IFERROR(SUMIFS('Base bordo'!G$2:G$746,'Base bordo'!C$2:C$746,A629,'Base bordo'!B$2:B$746,B629,'Base bordo'!F$2:F$746,"CARREGAMENTO"),0)</f>
        <v>1.6741666666666666</v>
      </c>
      <c r="H629" s="10">
        <f>IFERROR(SUMIFS('Base bordo'!G$2:G$746,'Base bordo'!C$2:C$746,A629,'Base bordo'!B$2:B$746,B629,'Base bordo'!F$2:F$746,"AGUARDANDO TRANSBORDO"),0)</f>
        <v>0.22305555555555556</v>
      </c>
      <c r="I629" s="10">
        <f>IFERROR(SUMIFS('Base bordo'!G$2:G$746,'Base bordo'!C$2:C$746,A629,'Base bordo'!B$2:B$746,B629,'Base bordo'!F$2:F$746,"PÁTIO INTERNO"),0)+IFERROR(SUMIFS('Base bordo'!G$2:G$746,'Base bordo'!C$2:C$746,A629,'Base bordo'!B$2:B$746,B629,'Base bordo'!F$2:F$746,"PÁTIO EXTERNO"),0)+IFERROR(SUMIFS('Base bordo'!G$2:G$746,'Base bordo'!C$2:C$746,A629,'Base bordo'!B$2:B$746,B629,'Base bordo'!F$2:F$746,"PATIO - RESERVA"),0)+IFERROR(SUMIFS('Base bordo'!G$2:G$746,'Base bordo'!C$2:C$746,A629,'Base bordo'!B$2:B$746,B629,'Base bordo'!F$2:F$746,"MANOBRA CARRETAS-PATIO"),0)</f>
        <v>0.64583333333333337</v>
      </c>
      <c r="J629" s="10">
        <f>IFERROR(SUMIFS('Base bordo'!G$2:G$746,'Base bordo'!C$2:C$746,A629,'Base bordo'!B$2:B$746,B629,'Base bordo'!F$2:F$746,"BALANÇA - ENTRADA"),0)+IFERROR(SUMIFS('Base bordo'!G$2:G$746,'Base bordo'!C$2:C$746,A629,'Base bordo'!B$2:B$746,B629,'Base bordo'!F$2:F$746,"BALANÇA - SAÍDA"),0)</f>
        <v>0</v>
      </c>
      <c r="K629" s="10">
        <f>IFERROR(SUMIFS('Base bordo'!G$2:G$746,'Base bordo'!C$2:C$746,A629,'Base bordo'!B$2:B$746,B629,'Base bordo'!F$2:F$746,"MAN PREVENTIVA - MECANICA"),0)+IFERROR(SUMIFS('Base bordo'!G$2:G$746,'Base bordo'!C$2:C$746,A629,'Base bordo'!B$2:B$746,B629,'Base bordo'!F$2:F$746,"MAN CORRETIVA - MECANICA"),0)</f>
        <v>0</v>
      </c>
      <c r="L629" s="10">
        <f>IFERROR(SUMIFS('Base bordo'!G$2:G$746,'Base bordo'!C$2:C$746,A629,'Base bordo'!B$2:B$746,B629,'Base bordo'!F$2:F$746,"MANUTENCAO - T O"),0)+IFERROR(SUMIFS('Base bordo'!G$2:G$746,'Base bordo'!C$2:C$746,A629,'Base bordo'!B$2:B$746,B629,'Base bordo'!F$2:F$746,"MANUTENCAO BORRACHARIA"),0)+IFERROR(SUMIFS('Base bordo'!G$2:G$746,'Base bordo'!C$2:C$746,A629,'Base bordo'!B$2:B$746,B629,'Base bordo'!F$2:F$746,"MANUTENCAO EXTERNA  CONCESSIONARIA"),0)+IFERROR(SUMIFS('Base bordo'!G$2:G$746,'Base bordo'!C$2:C$746,A629,'Base bordo'!B$2:B$746,B629,'Base bordo'!F$2:F$746,"MANUTENCAO TELEMETRIA"),0)</f>
        <v>11.065555555555555</v>
      </c>
      <c r="M629" s="10">
        <f>IFERROR(SUMIFS('Base bordo'!G$2:G$746,'Base bordo'!C$2:C$746,A629,'Base bordo'!B$2:B$746,B629,'Base bordo'!F$2:F$746,"AGUARDANDO MANUTENCAO"),0)</f>
        <v>0.04</v>
      </c>
      <c r="N629" s="10">
        <f>IFERROR(SUMIFS('Base bordo'!G$2:G$746,'Base bordo'!C$2:C$746,A629,'Base bordo'!B$2:B$746,B629,'Base bordo'!F$2:F$746,"SEM APONTAMENTO"),0)</f>
        <v>0</v>
      </c>
      <c r="O629" s="10">
        <f t="shared" si="66"/>
        <v>3.1608333333333327</v>
      </c>
      <c r="P629" s="10">
        <f>IFERROR(SUMIFS('Base bordo'!G$2:G$746,'Base bordo'!C$2:C$746,A629,'Base bordo'!B$2:B$746,B629),0)</f>
        <v>24</v>
      </c>
      <c r="Q629" s="10">
        <f>IFERROR(SUMIFS('Base bordo'!H$2:H$746,'Base bordo'!C$2:C$746,A629,'Base bordo'!B$2:B$746,B629,'Base bordo'!F$2:F$746,"DESLOCAMENTO VAZIO"),0)</f>
        <v>586699.78999999992</v>
      </c>
      <c r="R629" s="10">
        <f>IFERROR(SUMIFS('Base bordo'!I$2:I$746,'Base bordo'!C$2:C$746,A629,'Base bordo'!B$2:B$746,B629,'Base bordo'!F$2:F$746,"DESLOCAMENTO VAZIO"),0)</f>
        <v>18822</v>
      </c>
      <c r="S629" s="30">
        <f t="shared" si="67"/>
        <v>31.170958984167459</v>
      </c>
      <c r="T629" s="10">
        <f>IFERROR(SUMIFS('Base bordo'!H$2:H$746,'Base bordo'!C$2:C$746,A629,'Base bordo'!B$2:B$746,B629,'Base bordo'!F$2:F$746,"DESLOCAMENTO CARREGADO"),0)</f>
        <v>166963.32</v>
      </c>
      <c r="U629" s="10">
        <f>IFERROR(SUMIFS('Base bordo'!I$2:I$746,'Base bordo'!C$2:C$746,A629,'Base bordo'!B$2:B$746,B629,'Base bordo'!F$2:F$746,"DESLOCAMENTO CARREGADO"),0)</f>
        <v>7064</v>
      </c>
      <c r="V629" s="30">
        <f t="shared" si="68"/>
        <v>23.635804077010192</v>
      </c>
      <c r="W629" s="9">
        <f t="shared" si="69"/>
        <v>0.21784722222222222</v>
      </c>
      <c r="X629" s="9">
        <f t="shared" si="70"/>
        <v>8.1759259259259268E-2</v>
      </c>
      <c r="Y629" s="9">
        <f t="shared" si="71"/>
        <v>0.7003935185185185</v>
      </c>
    </row>
    <row r="630" spans="1:25" ht="15" customHeight="1" x14ac:dyDescent="0.35">
      <c r="A630" s="52">
        <v>8013470</v>
      </c>
      <c r="B630" s="51">
        <v>46117</v>
      </c>
      <c r="C630" s="7" t="s">
        <v>124</v>
      </c>
      <c r="D630" s="10">
        <f>IFERROR(SUMIFS('Base bordo'!G$2:G$746,'Base bordo'!C$2:C$746,A630,'Base bordo'!B$2:B$746,B630,'Base bordo'!F$2:F$746,"DESLOCAMENTO VAZIO"),0)</f>
        <v>5.2283333333333335</v>
      </c>
      <c r="E630" s="10">
        <f>IFERROR(SUMIFS('Base bordo'!G$2:G$746,'Base bordo'!C$2:C$746,A630,'Base bordo'!B$2:B$746,B630,'Base bordo'!F$2:F$746,"DESLOCAMENTO CARREGADO"),0)</f>
        <v>1.9622222222222223</v>
      </c>
      <c r="F630" s="10">
        <f>IFERROR(SUMIFS('Base bordo'!G$2:G$746,'Base bordo'!C$2:C$746,A630,'Base bordo'!B$2:B$746,B630,'Base bordo'!F$2:F$746,"DESLOCAMENTO"),0)</f>
        <v>0</v>
      </c>
      <c r="G630" s="10">
        <f>IFERROR(SUMIFS('Base bordo'!G$2:G$746,'Base bordo'!C$2:C$746,A630,'Base bordo'!B$2:B$746,B630,'Base bordo'!F$2:F$746,"CARREGAMENTO"),0)</f>
        <v>1.6741666666666666</v>
      </c>
      <c r="H630" s="10">
        <f>IFERROR(SUMIFS('Base bordo'!G$2:G$746,'Base bordo'!C$2:C$746,A630,'Base bordo'!B$2:B$746,B630,'Base bordo'!F$2:F$746,"AGUARDANDO TRANSBORDO"),0)</f>
        <v>0.22305555555555556</v>
      </c>
      <c r="I630" s="10">
        <f>IFERROR(SUMIFS('Base bordo'!G$2:G$746,'Base bordo'!C$2:C$746,A630,'Base bordo'!B$2:B$746,B630,'Base bordo'!F$2:F$746,"PÁTIO INTERNO"),0)+IFERROR(SUMIFS('Base bordo'!G$2:G$746,'Base bordo'!C$2:C$746,A630,'Base bordo'!B$2:B$746,B630,'Base bordo'!F$2:F$746,"PÁTIO EXTERNO"),0)+IFERROR(SUMIFS('Base bordo'!G$2:G$746,'Base bordo'!C$2:C$746,A630,'Base bordo'!B$2:B$746,B630,'Base bordo'!F$2:F$746,"PATIO - RESERVA"),0)+IFERROR(SUMIFS('Base bordo'!G$2:G$746,'Base bordo'!C$2:C$746,A630,'Base bordo'!B$2:B$746,B630,'Base bordo'!F$2:F$746,"MANOBRA CARRETAS-PATIO"),0)</f>
        <v>0.64583333333333337</v>
      </c>
      <c r="J630" s="10">
        <f>IFERROR(SUMIFS('Base bordo'!G$2:G$746,'Base bordo'!C$2:C$746,A630,'Base bordo'!B$2:B$746,B630,'Base bordo'!F$2:F$746,"BALANÇA - ENTRADA"),0)+IFERROR(SUMIFS('Base bordo'!G$2:G$746,'Base bordo'!C$2:C$746,A630,'Base bordo'!B$2:B$746,B630,'Base bordo'!F$2:F$746,"BALANÇA - SAÍDA"),0)</f>
        <v>0</v>
      </c>
      <c r="K630" s="10">
        <f>IFERROR(SUMIFS('Base bordo'!G$2:G$746,'Base bordo'!C$2:C$746,A630,'Base bordo'!B$2:B$746,B630,'Base bordo'!F$2:F$746,"MAN PREVENTIVA - MECANICA"),0)+IFERROR(SUMIFS('Base bordo'!G$2:G$746,'Base bordo'!C$2:C$746,A630,'Base bordo'!B$2:B$746,B630,'Base bordo'!F$2:F$746,"MAN CORRETIVA - MECANICA"),0)</f>
        <v>0</v>
      </c>
      <c r="L630" s="10">
        <f>IFERROR(SUMIFS('Base bordo'!G$2:G$746,'Base bordo'!C$2:C$746,A630,'Base bordo'!B$2:B$746,B630,'Base bordo'!F$2:F$746,"MANUTENCAO - T O"),0)+IFERROR(SUMIFS('Base bordo'!G$2:G$746,'Base bordo'!C$2:C$746,A630,'Base bordo'!B$2:B$746,B630,'Base bordo'!F$2:F$746,"MANUTENCAO BORRACHARIA"),0)+IFERROR(SUMIFS('Base bordo'!G$2:G$746,'Base bordo'!C$2:C$746,A630,'Base bordo'!B$2:B$746,B630,'Base bordo'!F$2:F$746,"MANUTENCAO EXTERNA  CONCESSIONARIA"),0)+IFERROR(SUMIFS('Base bordo'!G$2:G$746,'Base bordo'!C$2:C$746,A630,'Base bordo'!B$2:B$746,B630,'Base bordo'!F$2:F$746,"MANUTENCAO TELEMETRIA"),0)</f>
        <v>11.065555555555555</v>
      </c>
      <c r="M630" s="10">
        <f>IFERROR(SUMIFS('Base bordo'!G$2:G$746,'Base bordo'!C$2:C$746,A630,'Base bordo'!B$2:B$746,B630,'Base bordo'!F$2:F$746,"AGUARDANDO MANUTENCAO"),0)</f>
        <v>0.04</v>
      </c>
      <c r="N630" s="10">
        <f>IFERROR(SUMIFS('Base bordo'!G$2:G$746,'Base bordo'!C$2:C$746,A630,'Base bordo'!B$2:B$746,B630,'Base bordo'!F$2:F$746,"SEM APONTAMENTO"),0)</f>
        <v>0</v>
      </c>
      <c r="O630" s="10">
        <f t="shared" si="66"/>
        <v>3.1608333333333327</v>
      </c>
      <c r="P630" s="10">
        <f>IFERROR(SUMIFS('Base bordo'!G$2:G$746,'Base bordo'!C$2:C$746,A630,'Base bordo'!B$2:B$746,B630),0)</f>
        <v>24</v>
      </c>
      <c r="Q630" s="10">
        <f>IFERROR(SUMIFS('Base bordo'!H$2:H$746,'Base bordo'!C$2:C$746,A630,'Base bordo'!B$2:B$746,B630,'Base bordo'!F$2:F$746,"DESLOCAMENTO VAZIO"),0)</f>
        <v>586699.78999999992</v>
      </c>
      <c r="R630" s="10">
        <f>IFERROR(SUMIFS('Base bordo'!I$2:I$746,'Base bordo'!C$2:C$746,A630,'Base bordo'!B$2:B$746,B630,'Base bordo'!F$2:F$746,"DESLOCAMENTO VAZIO"),0)</f>
        <v>18822</v>
      </c>
      <c r="S630" s="30">
        <f t="shared" si="67"/>
        <v>31.170958984167459</v>
      </c>
      <c r="T630" s="10">
        <f>IFERROR(SUMIFS('Base bordo'!H$2:H$746,'Base bordo'!C$2:C$746,A630,'Base bordo'!B$2:B$746,B630,'Base bordo'!F$2:F$746,"DESLOCAMENTO CARREGADO"),0)</f>
        <v>166963.32</v>
      </c>
      <c r="U630" s="10">
        <f>IFERROR(SUMIFS('Base bordo'!I$2:I$746,'Base bordo'!C$2:C$746,A630,'Base bordo'!B$2:B$746,B630,'Base bordo'!F$2:F$746,"DESLOCAMENTO CARREGADO"),0)</f>
        <v>7064</v>
      </c>
      <c r="V630" s="30">
        <f t="shared" si="68"/>
        <v>23.635804077010192</v>
      </c>
      <c r="W630" s="9">
        <f t="shared" si="69"/>
        <v>0.21784722222222222</v>
      </c>
      <c r="X630" s="9">
        <f t="shared" si="70"/>
        <v>8.1759259259259268E-2</v>
      </c>
      <c r="Y630" s="9">
        <f t="shared" si="71"/>
        <v>0.7003935185185185</v>
      </c>
    </row>
    <row r="631" spans="1:25" ht="15" customHeight="1" x14ac:dyDescent="0.35">
      <c r="A631" s="52">
        <v>8013470</v>
      </c>
      <c r="B631" s="51">
        <v>46117</v>
      </c>
      <c r="C631" s="7" t="s">
        <v>124</v>
      </c>
      <c r="D631" s="10">
        <f>IFERROR(SUMIFS('Base bordo'!G$2:G$746,'Base bordo'!C$2:C$746,A631,'Base bordo'!B$2:B$746,B631,'Base bordo'!F$2:F$746,"DESLOCAMENTO VAZIO"),0)</f>
        <v>5.2283333333333335</v>
      </c>
      <c r="E631" s="10">
        <f>IFERROR(SUMIFS('Base bordo'!G$2:G$746,'Base bordo'!C$2:C$746,A631,'Base bordo'!B$2:B$746,B631,'Base bordo'!F$2:F$746,"DESLOCAMENTO CARREGADO"),0)</f>
        <v>1.9622222222222223</v>
      </c>
      <c r="F631" s="10">
        <f>IFERROR(SUMIFS('Base bordo'!G$2:G$746,'Base bordo'!C$2:C$746,A631,'Base bordo'!B$2:B$746,B631,'Base bordo'!F$2:F$746,"DESLOCAMENTO"),0)</f>
        <v>0</v>
      </c>
      <c r="G631" s="10">
        <f>IFERROR(SUMIFS('Base bordo'!G$2:G$746,'Base bordo'!C$2:C$746,A631,'Base bordo'!B$2:B$746,B631,'Base bordo'!F$2:F$746,"CARREGAMENTO"),0)</f>
        <v>1.6741666666666666</v>
      </c>
      <c r="H631" s="10">
        <f>IFERROR(SUMIFS('Base bordo'!G$2:G$746,'Base bordo'!C$2:C$746,A631,'Base bordo'!B$2:B$746,B631,'Base bordo'!F$2:F$746,"AGUARDANDO TRANSBORDO"),0)</f>
        <v>0.22305555555555556</v>
      </c>
      <c r="I631" s="10">
        <f>IFERROR(SUMIFS('Base bordo'!G$2:G$746,'Base bordo'!C$2:C$746,A631,'Base bordo'!B$2:B$746,B631,'Base bordo'!F$2:F$746,"PÁTIO INTERNO"),0)+IFERROR(SUMIFS('Base bordo'!G$2:G$746,'Base bordo'!C$2:C$746,A631,'Base bordo'!B$2:B$746,B631,'Base bordo'!F$2:F$746,"PÁTIO EXTERNO"),0)+IFERROR(SUMIFS('Base bordo'!G$2:G$746,'Base bordo'!C$2:C$746,A631,'Base bordo'!B$2:B$746,B631,'Base bordo'!F$2:F$746,"PATIO - RESERVA"),0)+IFERROR(SUMIFS('Base bordo'!G$2:G$746,'Base bordo'!C$2:C$746,A631,'Base bordo'!B$2:B$746,B631,'Base bordo'!F$2:F$746,"MANOBRA CARRETAS-PATIO"),0)</f>
        <v>0.64583333333333337</v>
      </c>
      <c r="J631" s="10">
        <f>IFERROR(SUMIFS('Base bordo'!G$2:G$746,'Base bordo'!C$2:C$746,A631,'Base bordo'!B$2:B$746,B631,'Base bordo'!F$2:F$746,"BALANÇA - ENTRADA"),0)+IFERROR(SUMIFS('Base bordo'!G$2:G$746,'Base bordo'!C$2:C$746,A631,'Base bordo'!B$2:B$746,B631,'Base bordo'!F$2:F$746,"BALANÇA - SAÍDA"),0)</f>
        <v>0</v>
      </c>
      <c r="K631" s="10">
        <f>IFERROR(SUMIFS('Base bordo'!G$2:G$746,'Base bordo'!C$2:C$746,A631,'Base bordo'!B$2:B$746,B631,'Base bordo'!F$2:F$746,"MAN PREVENTIVA - MECANICA"),0)+IFERROR(SUMIFS('Base bordo'!G$2:G$746,'Base bordo'!C$2:C$746,A631,'Base bordo'!B$2:B$746,B631,'Base bordo'!F$2:F$746,"MAN CORRETIVA - MECANICA"),0)</f>
        <v>0</v>
      </c>
      <c r="L631" s="10">
        <f>IFERROR(SUMIFS('Base bordo'!G$2:G$746,'Base bordo'!C$2:C$746,A631,'Base bordo'!B$2:B$746,B631,'Base bordo'!F$2:F$746,"MANUTENCAO - T O"),0)+IFERROR(SUMIFS('Base bordo'!G$2:G$746,'Base bordo'!C$2:C$746,A631,'Base bordo'!B$2:B$746,B631,'Base bordo'!F$2:F$746,"MANUTENCAO BORRACHARIA"),0)+IFERROR(SUMIFS('Base bordo'!G$2:G$746,'Base bordo'!C$2:C$746,A631,'Base bordo'!B$2:B$746,B631,'Base bordo'!F$2:F$746,"MANUTENCAO EXTERNA  CONCESSIONARIA"),0)+IFERROR(SUMIFS('Base bordo'!G$2:G$746,'Base bordo'!C$2:C$746,A631,'Base bordo'!B$2:B$746,B631,'Base bordo'!F$2:F$746,"MANUTENCAO TELEMETRIA"),0)</f>
        <v>11.065555555555555</v>
      </c>
      <c r="M631" s="10">
        <f>IFERROR(SUMIFS('Base bordo'!G$2:G$746,'Base bordo'!C$2:C$746,A631,'Base bordo'!B$2:B$746,B631,'Base bordo'!F$2:F$746,"AGUARDANDO MANUTENCAO"),0)</f>
        <v>0.04</v>
      </c>
      <c r="N631" s="10">
        <f>IFERROR(SUMIFS('Base bordo'!G$2:G$746,'Base bordo'!C$2:C$746,A631,'Base bordo'!B$2:B$746,B631,'Base bordo'!F$2:F$746,"SEM APONTAMENTO"),0)</f>
        <v>0</v>
      </c>
      <c r="O631" s="10">
        <f t="shared" si="66"/>
        <v>3.1608333333333327</v>
      </c>
      <c r="P631" s="10">
        <f>IFERROR(SUMIFS('Base bordo'!G$2:G$746,'Base bordo'!C$2:C$746,A631,'Base bordo'!B$2:B$746,B631),0)</f>
        <v>24</v>
      </c>
      <c r="Q631" s="10">
        <f>IFERROR(SUMIFS('Base bordo'!H$2:H$746,'Base bordo'!C$2:C$746,A631,'Base bordo'!B$2:B$746,B631,'Base bordo'!F$2:F$746,"DESLOCAMENTO VAZIO"),0)</f>
        <v>586699.78999999992</v>
      </c>
      <c r="R631" s="10">
        <f>IFERROR(SUMIFS('Base bordo'!I$2:I$746,'Base bordo'!C$2:C$746,A631,'Base bordo'!B$2:B$746,B631,'Base bordo'!F$2:F$746,"DESLOCAMENTO VAZIO"),0)</f>
        <v>18822</v>
      </c>
      <c r="S631" s="30">
        <f t="shared" si="67"/>
        <v>31.170958984167459</v>
      </c>
      <c r="T631" s="10">
        <f>IFERROR(SUMIFS('Base bordo'!H$2:H$746,'Base bordo'!C$2:C$746,A631,'Base bordo'!B$2:B$746,B631,'Base bordo'!F$2:F$746,"DESLOCAMENTO CARREGADO"),0)</f>
        <v>166963.32</v>
      </c>
      <c r="U631" s="10">
        <f>IFERROR(SUMIFS('Base bordo'!I$2:I$746,'Base bordo'!C$2:C$746,A631,'Base bordo'!B$2:B$746,B631,'Base bordo'!F$2:F$746,"DESLOCAMENTO CARREGADO"),0)</f>
        <v>7064</v>
      </c>
      <c r="V631" s="30">
        <f t="shared" si="68"/>
        <v>23.635804077010192</v>
      </c>
      <c r="W631" s="9">
        <f t="shared" si="69"/>
        <v>0.21784722222222222</v>
      </c>
      <c r="X631" s="9">
        <f t="shared" si="70"/>
        <v>8.1759259259259268E-2</v>
      </c>
      <c r="Y631" s="9">
        <f t="shared" si="71"/>
        <v>0.7003935185185185</v>
      </c>
    </row>
    <row r="632" spans="1:25" ht="15" customHeight="1" x14ac:dyDescent="0.35">
      <c r="A632" s="52">
        <v>8013472</v>
      </c>
      <c r="B632" s="51">
        <v>46117</v>
      </c>
      <c r="C632" s="7" t="s">
        <v>124</v>
      </c>
      <c r="D632" s="10">
        <f>IFERROR(SUMIFS('Base bordo'!G$2:G$746,'Base bordo'!C$2:C$746,A632,'Base bordo'!B$2:B$746,B632,'Base bordo'!F$2:F$746,"DESLOCAMENTO VAZIO"),0)</f>
        <v>1.5952777777777778</v>
      </c>
      <c r="E632" s="10">
        <f>IFERROR(SUMIFS('Base bordo'!G$2:G$746,'Base bordo'!C$2:C$746,A632,'Base bordo'!B$2:B$746,B632,'Base bordo'!F$2:F$746,"DESLOCAMENTO CARREGADO"),0)</f>
        <v>0</v>
      </c>
      <c r="F632" s="10">
        <f>IFERROR(SUMIFS('Base bordo'!G$2:G$746,'Base bordo'!C$2:C$746,A632,'Base bordo'!B$2:B$746,B632,'Base bordo'!F$2:F$746,"DESLOCAMENTO"),0)</f>
        <v>6.8641666666666667</v>
      </c>
      <c r="G632" s="10">
        <f>IFERROR(SUMIFS('Base bordo'!G$2:G$746,'Base bordo'!C$2:C$746,A632,'Base bordo'!B$2:B$746,B632,'Base bordo'!F$2:F$746,"CARREGAMENTO"),0)</f>
        <v>0.42805555555555558</v>
      </c>
      <c r="H632" s="10">
        <f>IFERROR(SUMIFS('Base bordo'!G$2:G$746,'Base bordo'!C$2:C$746,A632,'Base bordo'!B$2:B$746,B632,'Base bordo'!F$2:F$746,"AGUARDANDO TRANSBORDO"),0)</f>
        <v>0.26416666666666666</v>
      </c>
      <c r="I632" s="10">
        <f>IFERROR(SUMIFS('Base bordo'!G$2:G$746,'Base bordo'!C$2:C$746,A632,'Base bordo'!B$2:B$746,B632,'Base bordo'!F$2:F$746,"PÁTIO INTERNO"),0)+IFERROR(SUMIFS('Base bordo'!G$2:G$746,'Base bordo'!C$2:C$746,A632,'Base bordo'!B$2:B$746,B632,'Base bordo'!F$2:F$746,"PÁTIO EXTERNO"),0)+IFERROR(SUMIFS('Base bordo'!G$2:G$746,'Base bordo'!C$2:C$746,A632,'Base bordo'!B$2:B$746,B632,'Base bordo'!F$2:F$746,"PATIO - RESERVA"),0)+IFERROR(SUMIFS('Base bordo'!G$2:G$746,'Base bordo'!C$2:C$746,A632,'Base bordo'!B$2:B$746,B632,'Base bordo'!F$2:F$746,"MANOBRA CARRETAS-PATIO"),0)</f>
        <v>0</v>
      </c>
      <c r="J632" s="10">
        <f>IFERROR(SUMIFS('Base bordo'!G$2:G$746,'Base bordo'!C$2:C$746,A632,'Base bordo'!B$2:B$746,B632,'Base bordo'!F$2:F$746,"BALANÇA - ENTRADA"),0)+IFERROR(SUMIFS('Base bordo'!G$2:G$746,'Base bordo'!C$2:C$746,A632,'Base bordo'!B$2:B$746,B632,'Base bordo'!F$2:F$746,"BALANÇA - SAÍDA"),0)</f>
        <v>0</v>
      </c>
      <c r="K632" s="10">
        <f>IFERROR(SUMIFS('Base bordo'!G$2:G$746,'Base bordo'!C$2:C$746,A632,'Base bordo'!B$2:B$746,B632,'Base bordo'!F$2:F$746,"MAN PREVENTIVA - MECANICA"),0)+IFERROR(SUMIFS('Base bordo'!G$2:G$746,'Base bordo'!C$2:C$746,A632,'Base bordo'!B$2:B$746,B632,'Base bordo'!F$2:F$746,"MAN CORRETIVA - MECANICA"),0)</f>
        <v>0</v>
      </c>
      <c r="L632" s="10">
        <f>IFERROR(SUMIFS('Base bordo'!G$2:G$746,'Base bordo'!C$2:C$746,A632,'Base bordo'!B$2:B$746,B632,'Base bordo'!F$2:F$746,"MANUTENCAO - T O"),0)+IFERROR(SUMIFS('Base bordo'!G$2:G$746,'Base bordo'!C$2:C$746,A632,'Base bordo'!B$2:B$746,B632,'Base bordo'!F$2:F$746,"MANUTENCAO BORRACHARIA"),0)+IFERROR(SUMIFS('Base bordo'!G$2:G$746,'Base bordo'!C$2:C$746,A632,'Base bordo'!B$2:B$746,B632,'Base bordo'!F$2:F$746,"MANUTENCAO EXTERNA  CONCESSIONARIA"),0)+IFERROR(SUMIFS('Base bordo'!G$2:G$746,'Base bordo'!C$2:C$746,A632,'Base bordo'!B$2:B$746,B632,'Base bordo'!F$2:F$746,"MANUTENCAO TELEMETRIA"),0)</f>
        <v>1.0469444444444445</v>
      </c>
      <c r="M632" s="10">
        <f>IFERROR(SUMIFS('Base bordo'!G$2:G$746,'Base bordo'!C$2:C$746,A632,'Base bordo'!B$2:B$746,B632,'Base bordo'!F$2:F$746,"AGUARDANDO MANUTENCAO"),0)</f>
        <v>0</v>
      </c>
      <c r="N632" s="10">
        <f>IFERROR(SUMIFS('Base bordo'!G$2:G$746,'Base bordo'!C$2:C$746,A632,'Base bordo'!B$2:B$746,B632,'Base bordo'!F$2:F$746,"SEM APONTAMENTO"),0)</f>
        <v>6.7500000000000004E-2</v>
      </c>
      <c r="O632" s="10">
        <f t="shared" si="66"/>
        <v>0</v>
      </c>
      <c r="P632" s="10">
        <f>IFERROR(SUMIFS('Base bordo'!G$2:G$746,'Base bordo'!C$2:C$746,A632,'Base bordo'!B$2:B$746,B632),0)</f>
        <v>10.266111111111112</v>
      </c>
      <c r="Q632" s="10">
        <f>IFERROR(SUMIFS('Base bordo'!H$2:H$746,'Base bordo'!C$2:C$746,A632,'Base bordo'!B$2:B$746,B632,'Base bordo'!F$2:F$746,"DESLOCAMENTO VAZIO"),0)</f>
        <v>176836.76</v>
      </c>
      <c r="R632" s="10">
        <f>IFERROR(SUMIFS('Base bordo'!I$2:I$746,'Base bordo'!C$2:C$746,A632,'Base bordo'!B$2:B$746,B632,'Base bordo'!F$2:F$746,"DESLOCAMENTO VAZIO"),0)</f>
        <v>5743</v>
      </c>
      <c r="S632" s="30">
        <f t="shared" si="67"/>
        <v>30.791704683963086</v>
      </c>
      <c r="T632" s="10">
        <f>IFERROR(SUMIFS('Base bordo'!H$2:H$746,'Base bordo'!C$2:C$746,A632,'Base bordo'!B$2:B$746,B632,'Base bordo'!F$2:F$746,"DESLOCAMENTO CARREGADO"),0)</f>
        <v>0</v>
      </c>
      <c r="U632" s="10">
        <f>IFERROR(SUMIFS('Base bordo'!I$2:I$746,'Base bordo'!C$2:C$746,A632,'Base bordo'!B$2:B$746,B632,'Base bordo'!F$2:F$746,"DESLOCAMENTO CARREGADO"),0)</f>
        <v>0</v>
      </c>
      <c r="V632" s="30" t="str">
        <f t="shared" si="68"/>
        <v/>
      </c>
      <c r="W632" s="9">
        <f t="shared" si="69"/>
        <v>0.15539260782509876</v>
      </c>
      <c r="X632" s="9">
        <f t="shared" si="70"/>
        <v>0</v>
      </c>
      <c r="Y632" s="9">
        <f t="shared" si="71"/>
        <v>0.84460739217490122</v>
      </c>
    </row>
    <row r="633" spans="1:25" ht="15" customHeight="1" x14ac:dyDescent="0.35">
      <c r="A633" s="52">
        <v>8013472</v>
      </c>
      <c r="B633" s="51">
        <v>46117</v>
      </c>
      <c r="C633" s="7" t="s">
        <v>124</v>
      </c>
      <c r="D633" s="10">
        <f>IFERROR(SUMIFS('Base bordo'!G$2:G$746,'Base bordo'!C$2:C$746,A633,'Base bordo'!B$2:B$746,B633,'Base bordo'!F$2:F$746,"DESLOCAMENTO VAZIO"),0)</f>
        <v>1.5952777777777778</v>
      </c>
      <c r="E633" s="10">
        <f>IFERROR(SUMIFS('Base bordo'!G$2:G$746,'Base bordo'!C$2:C$746,A633,'Base bordo'!B$2:B$746,B633,'Base bordo'!F$2:F$746,"DESLOCAMENTO CARREGADO"),0)</f>
        <v>0</v>
      </c>
      <c r="F633" s="10">
        <f>IFERROR(SUMIFS('Base bordo'!G$2:G$746,'Base bordo'!C$2:C$746,A633,'Base bordo'!B$2:B$746,B633,'Base bordo'!F$2:F$746,"DESLOCAMENTO"),0)</f>
        <v>6.8641666666666667</v>
      </c>
      <c r="G633" s="10">
        <f>IFERROR(SUMIFS('Base bordo'!G$2:G$746,'Base bordo'!C$2:C$746,A633,'Base bordo'!B$2:B$746,B633,'Base bordo'!F$2:F$746,"CARREGAMENTO"),0)</f>
        <v>0.42805555555555558</v>
      </c>
      <c r="H633" s="10">
        <f>IFERROR(SUMIFS('Base bordo'!G$2:G$746,'Base bordo'!C$2:C$746,A633,'Base bordo'!B$2:B$746,B633,'Base bordo'!F$2:F$746,"AGUARDANDO TRANSBORDO"),0)</f>
        <v>0.26416666666666666</v>
      </c>
      <c r="I633" s="10">
        <f>IFERROR(SUMIFS('Base bordo'!G$2:G$746,'Base bordo'!C$2:C$746,A633,'Base bordo'!B$2:B$746,B633,'Base bordo'!F$2:F$746,"PÁTIO INTERNO"),0)+IFERROR(SUMIFS('Base bordo'!G$2:G$746,'Base bordo'!C$2:C$746,A633,'Base bordo'!B$2:B$746,B633,'Base bordo'!F$2:F$746,"PÁTIO EXTERNO"),0)+IFERROR(SUMIFS('Base bordo'!G$2:G$746,'Base bordo'!C$2:C$746,A633,'Base bordo'!B$2:B$746,B633,'Base bordo'!F$2:F$746,"PATIO - RESERVA"),0)+IFERROR(SUMIFS('Base bordo'!G$2:G$746,'Base bordo'!C$2:C$746,A633,'Base bordo'!B$2:B$746,B633,'Base bordo'!F$2:F$746,"MANOBRA CARRETAS-PATIO"),0)</f>
        <v>0</v>
      </c>
      <c r="J633" s="10">
        <f>IFERROR(SUMIFS('Base bordo'!G$2:G$746,'Base bordo'!C$2:C$746,A633,'Base bordo'!B$2:B$746,B633,'Base bordo'!F$2:F$746,"BALANÇA - ENTRADA"),0)+IFERROR(SUMIFS('Base bordo'!G$2:G$746,'Base bordo'!C$2:C$746,A633,'Base bordo'!B$2:B$746,B633,'Base bordo'!F$2:F$746,"BALANÇA - SAÍDA"),0)</f>
        <v>0</v>
      </c>
      <c r="K633" s="10">
        <f>IFERROR(SUMIFS('Base bordo'!G$2:G$746,'Base bordo'!C$2:C$746,A633,'Base bordo'!B$2:B$746,B633,'Base bordo'!F$2:F$746,"MAN PREVENTIVA - MECANICA"),0)+IFERROR(SUMIFS('Base bordo'!G$2:G$746,'Base bordo'!C$2:C$746,A633,'Base bordo'!B$2:B$746,B633,'Base bordo'!F$2:F$746,"MAN CORRETIVA - MECANICA"),0)</f>
        <v>0</v>
      </c>
      <c r="L633" s="10">
        <f>IFERROR(SUMIFS('Base bordo'!G$2:G$746,'Base bordo'!C$2:C$746,A633,'Base bordo'!B$2:B$746,B633,'Base bordo'!F$2:F$746,"MANUTENCAO - T O"),0)+IFERROR(SUMIFS('Base bordo'!G$2:G$746,'Base bordo'!C$2:C$746,A633,'Base bordo'!B$2:B$746,B633,'Base bordo'!F$2:F$746,"MANUTENCAO BORRACHARIA"),0)+IFERROR(SUMIFS('Base bordo'!G$2:G$746,'Base bordo'!C$2:C$746,A633,'Base bordo'!B$2:B$746,B633,'Base bordo'!F$2:F$746,"MANUTENCAO EXTERNA  CONCESSIONARIA"),0)+IFERROR(SUMIFS('Base bordo'!G$2:G$746,'Base bordo'!C$2:C$746,A633,'Base bordo'!B$2:B$746,B633,'Base bordo'!F$2:F$746,"MANUTENCAO TELEMETRIA"),0)</f>
        <v>1.0469444444444445</v>
      </c>
      <c r="M633" s="10">
        <f>IFERROR(SUMIFS('Base bordo'!G$2:G$746,'Base bordo'!C$2:C$746,A633,'Base bordo'!B$2:B$746,B633,'Base bordo'!F$2:F$746,"AGUARDANDO MANUTENCAO"),0)</f>
        <v>0</v>
      </c>
      <c r="N633" s="10">
        <f>IFERROR(SUMIFS('Base bordo'!G$2:G$746,'Base bordo'!C$2:C$746,A633,'Base bordo'!B$2:B$746,B633,'Base bordo'!F$2:F$746,"SEM APONTAMENTO"),0)</f>
        <v>6.7500000000000004E-2</v>
      </c>
      <c r="O633" s="10">
        <f t="shared" si="66"/>
        <v>0</v>
      </c>
      <c r="P633" s="10">
        <f>IFERROR(SUMIFS('Base bordo'!G$2:G$746,'Base bordo'!C$2:C$746,A633,'Base bordo'!B$2:B$746,B633),0)</f>
        <v>10.266111111111112</v>
      </c>
      <c r="Q633" s="10">
        <f>IFERROR(SUMIFS('Base bordo'!H$2:H$746,'Base bordo'!C$2:C$746,A633,'Base bordo'!B$2:B$746,B633,'Base bordo'!F$2:F$746,"DESLOCAMENTO VAZIO"),0)</f>
        <v>176836.76</v>
      </c>
      <c r="R633" s="10">
        <f>IFERROR(SUMIFS('Base bordo'!I$2:I$746,'Base bordo'!C$2:C$746,A633,'Base bordo'!B$2:B$746,B633,'Base bordo'!F$2:F$746,"DESLOCAMENTO VAZIO"),0)</f>
        <v>5743</v>
      </c>
      <c r="S633" s="30">
        <f t="shared" si="67"/>
        <v>30.791704683963086</v>
      </c>
      <c r="T633" s="10">
        <f>IFERROR(SUMIFS('Base bordo'!H$2:H$746,'Base bordo'!C$2:C$746,A633,'Base bordo'!B$2:B$746,B633,'Base bordo'!F$2:F$746,"DESLOCAMENTO CARREGADO"),0)</f>
        <v>0</v>
      </c>
      <c r="U633" s="10">
        <f>IFERROR(SUMIFS('Base bordo'!I$2:I$746,'Base bordo'!C$2:C$746,A633,'Base bordo'!B$2:B$746,B633,'Base bordo'!F$2:F$746,"DESLOCAMENTO CARREGADO"),0)</f>
        <v>0</v>
      </c>
      <c r="V633" s="30" t="str">
        <f t="shared" si="68"/>
        <v/>
      </c>
      <c r="W633" s="9">
        <f t="shared" si="69"/>
        <v>0.15539260782509876</v>
      </c>
      <c r="X633" s="9">
        <f t="shared" si="70"/>
        <v>0</v>
      </c>
      <c r="Y633" s="9">
        <f t="shared" si="71"/>
        <v>0.84460739217490122</v>
      </c>
    </row>
    <row r="634" spans="1:25" ht="15" customHeight="1" x14ac:dyDescent="0.35">
      <c r="A634" s="52">
        <v>8013473</v>
      </c>
      <c r="B634" s="51">
        <v>46117</v>
      </c>
      <c r="C634" s="7" t="s">
        <v>124</v>
      </c>
      <c r="D634" s="10">
        <f>IFERROR(SUMIFS('Base bordo'!G$2:G$746,'Base bordo'!C$2:C$746,A634,'Base bordo'!B$2:B$746,B634,'Base bordo'!F$2:F$746,"DESLOCAMENTO VAZIO"),0)</f>
        <v>1.3711111111111112</v>
      </c>
      <c r="E634" s="10">
        <f>IFERROR(SUMIFS('Base bordo'!G$2:G$746,'Base bordo'!C$2:C$746,A634,'Base bordo'!B$2:B$746,B634,'Base bordo'!F$2:F$746,"DESLOCAMENTO CARREGADO"),0)</f>
        <v>0</v>
      </c>
      <c r="F634" s="10">
        <f>IFERROR(SUMIFS('Base bordo'!G$2:G$746,'Base bordo'!C$2:C$746,A634,'Base bordo'!B$2:B$746,B634,'Base bordo'!F$2:F$746,"DESLOCAMENTO"),0)</f>
        <v>0</v>
      </c>
      <c r="G634" s="10">
        <f>IFERROR(SUMIFS('Base bordo'!G$2:G$746,'Base bordo'!C$2:C$746,A634,'Base bordo'!B$2:B$746,B634,'Base bordo'!F$2:F$746,"CARREGAMENTO"),0)</f>
        <v>3.9011111111111112</v>
      </c>
      <c r="H634" s="10">
        <f>IFERROR(SUMIFS('Base bordo'!G$2:G$746,'Base bordo'!C$2:C$746,A634,'Base bordo'!B$2:B$746,B634,'Base bordo'!F$2:F$746,"AGUARDANDO TRANSBORDO"),0)</f>
        <v>0.88972222222222219</v>
      </c>
      <c r="I634" s="10">
        <f>IFERROR(SUMIFS('Base bordo'!G$2:G$746,'Base bordo'!C$2:C$746,A634,'Base bordo'!B$2:B$746,B634,'Base bordo'!F$2:F$746,"PÁTIO INTERNO"),0)+IFERROR(SUMIFS('Base bordo'!G$2:G$746,'Base bordo'!C$2:C$746,A634,'Base bordo'!B$2:B$746,B634,'Base bordo'!F$2:F$746,"PÁTIO EXTERNO"),0)+IFERROR(SUMIFS('Base bordo'!G$2:G$746,'Base bordo'!C$2:C$746,A634,'Base bordo'!B$2:B$746,B634,'Base bordo'!F$2:F$746,"PATIO - RESERVA"),0)+IFERROR(SUMIFS('Base bordo'!G$2:G$746,'Base bordo'!C$2:C$746,A634,'Base bordo'!B$2:B$746,B634,'Base bordo'!F$2:F$746,"MANOBRA CARRETAS-PATIO"),0)</f>
        <v>0</v>
      </c>
      <c r="J634" s="10">
        <f>IFERROR(SUMIFS('Base bordo'!G$2:G$746,'Base bordo'!C$2:C$746,A634,'Base bordo'!B$2:B$746,B634,'Base bordo'!F$2:F$746,"BALANÇA - ENTRADA"),0)+IFERROR(SUMIFS('Base bordo'!G$2:G$746,'Base bordo'!C$2:C$746,A634,'Base bordo'!B$2:B$746,B634,'Base bordo'!F$2:F$746,"BALANÇA - SAÍDA"),0)</f>
        <v>0</v>
      </c>
      <c r="K634" s="10">
        <f>IFERROR(SUMIFS('Base bordo'!G$2:G$746,'Base bordo'!C$2:C$746,A634,'Base bordo'!B$2:B$746,B634,'Base bordo'!F$2:F$746,"MAN PREVENTIVA - MECANICA"),0)+IFERROR(SUMIFS('Base bordo'!G$2:G$746,'Base bordo'!C$2:C$746,A634,'Base bordo'!B$2:B$746,B634,'Base bordo'!F$2:F$746,"MAN CORRETIVA - MECANICA"),0)</f>
        <v>0</v>
      </c>
      <c r="L634" s="10">
        <f>IFERROR(SUMIFS('Base bordo'!G$2:G$746,'Base bordo'!C$2:C$746,A634,'Base bordo'!B$2:B$746,B634,'Base bordo'!F$2:F$746,"MANUTENCAO - T O"),0)+IFERROR(SUMIFS('Base bordo'!G$2:G$746,'Base bordo'!C$2:C$746,A634,'Base bordo'!B$2:B$746,B634,'Base bordo'!F$2:F$746,"MANUTENCAO BORRACHARIA"),0)+IFERROR(SUMIFS('Base bordo'!G$2:G$746,'Base bordo'!C$2:C$746,A634,'Base bordo'!B$2:B$746,B634,'Base bordo'!F$2:F$746,"MANUTENCAO EXTERNA  CONCESSIONARIA"),0)+IFERROR(SUMIFS('Base bordo'!G$2:G$746,'Base bordo'!C$2:C$746,A634,'Base bordo'!B$2:B$746,B634,'Base bordo'!F$2:F$746,"MANUTENCAO TELEMETRIA"),0)</f>
        <v>17.566666666666666</v>
      </c>
      <c r="M634" s="10">
        <f>IFERROR(SUMIFS('Base bordo'!G$2:G$746,'Base bordo'!C$2:C$746,A634,'Base bordo'!B$2:B$746,B634,'Base bordo'!F$2:F$746,"AGUARDANDO MANUTENCAO"),0)</f>
        <v>0</v>
      </c>
      <c r="N634" s="10">
        <f>IFERROR(SUMIFS('Base bordo'!G$2:G$746,'Base bordo'!C$2:C$746,A634,'Base bordo'!B$2:B$746,B634,'Base bordo'!F$2:F$746,"SEM APONTAMENTO"),0)</f>
        <v>0</v>
      </c>
      <c r="O634" s="10">
        <f t="shared" si="66"/>
        <v>0.27138888888888957</v>
      </c>
      <c r="P634" s="10">
        <f>IFERROR(SUMIFS('Base bordo'!G$2:G$746,'Base bordo'!C$2:C$746,A634,'Base bordo'!B$2:B$746,B634),0)</f>
        <v>24</v>
      </c>
      <c r="Q634" s="10">
        <f>IFERROR(SUMIFS('Base bordo'!H$2:H$746,'Base bordo'!C$2:C$746,A634,'Base bordo'!B$2:B$746,B634,'Base bordo'!F$2:F$746,"DESLOCAMENTO VAZIO"),0)</f>
        <v>219779.48</v>
      </c>
      <c r="R634" s="10">
        <f>IFERROR(SUMIFS('Base bordo'!I$2:I$746,'Base bordo'!C$2:C$746,A634,'Base bordo'!B$2:B$746,B634,'Base bordo'!F$2:F$746,"DESLOCAMENTO VAZIO"),0)</f>
        <v>4936</v>
      </c>
      <c r="S634" s="30">
        <f t="shared" si="67"/>
        <v>44.525826580226905</v>
      </c>
      <c r="T634" s="10">
        <f>IFERROR(SUMIFS('Base bordo'!H$2:H$746,'Base bordo'!C$2:C$746,A634,'Base bordo'!B$2:B$746,B634,'Base bordo'!F$2:F$746,"DESLOCAMENTO CARREGADO"),0)</f>
        <v>0</v>
      </c>
      <c r="U634" s="10">
        <f>IFERROR(SUMIFS('Base bordo'!I$2:I$746,'Base bordo'!C$2:C$746,A634,'Base bordo'!B$2:B$746,B634,'Base bordo'!F$2:F$746,"DESLOCAMENTO CARREGADO"),0)</f>
        <v>0</v>
      </c>
      <c r="V634" s="30" t="str">
        <f t="shared" si="68"/>
        <v/>
      </c>
      <c r="W634" s="9">
        <f t="shared" si="69"/>
        <v>5.7129629629629634E-2</v>
      </c>
      <c r="X634" s="9">
        <f t="shared" si="70"/>
        <v>0</v>
      </c>
      <c r="Y634" s="9">
        <f t="shared" si="71"/>
        <v>0.94287037037037036</v>
      </c>
    </row>
    <row r="635" spans="1:25" ht="15" customHeight="1" x14ac:dyDescent="0.35">
      <c r="A635" s="52">
        <v>8013473</v>
      </c>
      <c r="B635" s="51">
        <v>46117</v>
      </c>
      <c r="C635" s="7" t="s">
        <v>124</v>
      </c>
      <c r="D635" s="10">
        <f>IFERROR(SUMIFS('Base bordo'!G$2:G$746,'Base bordo'!C$2:C$746,A635,'Base bordo'!B$2:B$746,B635,'Base bordo'!F$2:F$746,"DESLOCAMENTO VAZIO"),0)</f>
        <v>1.3711111111111112</v>
      </c>
      <c r="E635" s="10">
        <f>IFERROR(SUMIFS('Base bordo'!G$2:G$746,'Base bordo'!C$2:C$746,A635,'Base bordo'!B$2:B$746,B635,'Base bordo'!F$2:F$746,"DESLOCAMENTO CARREGADO"),0)</f>
        <v>0</v>
      </c>
      <c r="F635" s="10">
        <f>IFERROR(SUMIFS('Base bordo'!G$2:G$746,'Base bordo'!C$2:C$746,A635,'Base bordo'!B$2:B$746,B635,'Base bordo'!F$2:F$746,"DESLOCAMENTO"),0)</f>
        <v>0</v>
      </c>
      <c r="G635" s="10">
        <f>IFERROR(SUMIFS('Base bordo'!G$2:G$746,'Base bordo'!C$2:C$746,A635,'Base bordo'!B$2:B$746,B635,'Base bordo'!F$2:F$746,"CARREGAMENTO"),0)</f>
        <v>3.9011111111111112</v>
      </c>
      <c r="H635" s="10">
        <f>IFERROR(SUMIFS('Base bordo'!G$2:G$746,'Base bordo'!C$2:C$746,A635,'Base bordo'!B$2:B$746,B635,'Base bordo'!F$2:F$746,"AGUARDANDO TRANSBORDO"),0)</f>
        <v>0.88972222222222219</v>
      </c>
      <c r="I635" s="10">
        <f>IFERROR(SUMIFS('Base bordo'!G$2:G$746,'Base bordo'!C$2:C$746,A635,'Base bordo'!B$2:B$746,B635,'Base bordo'!F$2:F$746,"PÁTIO INTERNO"),0)+IFERROR(SUMIFS('Base bordo'!G$2:G$746,'Base bordo'!C$2:C$746,A635,'Base bordo'!B$2:B$746,B635,'Base bordo'!F$2:F$746,"PÁTIO EXTERNO"),0)+IFERROR(SUMIFS('Base bordo'!G$2:G$746,'Base bordo'!C$2:C$746,A635,'Base bordo'!B$2:B$746,B635,'Base bordo'!F$2:F$746,"PATIO - RESERVA"),0)+IFERROR(SUMIFS('Base bordo'!G$2:G$746,'Base bordo'!C$2:C$746,A635,'Base bordo'!B$2:B$746,B635,'Base bordo'!F$2:F$746,"MANOBRA CARRETAS-PATIO"),0)</f>
        <v>0</v>
      </c>
      <c r="J635" s="10">
        <f>IFERROR(SUMIFS('Base bordo'!G$2:G$746,'Base bordo'!C$2:C$746,A635,'Base bordo'!B$2:B$746,B635,'Base bordo'!F$2:F$746,"BALANÇA - ENTRADA"),0)+IFERROR(SUMIFS('Base bordo'!G$2:G$746,'Base bordo'!C$2:C$746,A635,'Base bordo'!B$2:B$746,B635,'Base bordo'!F$2:F$746,"BALANÇA - SAÍDA"),0)</f>
        <v>0</v>
      </c>
      <c r="K635" s="10">
        <f>IFERROR(SUMIFS('Base bordo'!G$2:G$746,'Base bordo'!C$2:C$746,A635,'Base bordo'!B$2:B$746,B635,'Base bordo'!F$2:F$746,"MAN PREVENTIVA - MECANICA"),0)+IFERROR(SUMIFS('Base bordo'!G$2:G$746,'Base bordo'!C$2:C$746,A635,'Base bordo'!B$2:B$746,B635,'Base bordo'!F$2:F$746,"MAN CORRETIVA - MECANICA"),0)</f>
        <v>0</v>
      </c>
      <c r="L635" s="10">
        <f>IFERROR(SUMIFS('Base bordo'!G$2:G$746,'Base bordo'!C$2:C$746,A635,'Base bordo'!B$2:B$746,B635,'Base bordo'!F$2:F$746,"MANUTENCAO - T O"),0)+IFERROR(SUMIFS('Base bordo'!G$2:G$746,'Base bordo'!C$2:C$746,A635,'Base bordo'!B$2:B$746,B635,'Base bordo'!F$2:F$746,"MANUTENCAO BORRACHARIA"),0)+IFERROR(SUMIFS('Base bordo'!G$2:G$746,'Base bordo'!C$2:C$746,A635,'Base bordo'!B$2:B$746,B635,'Base bordo'!F$2:F$746,"MANUTENCAO EXTERNA  CONCESSIONARIA"),0)+IFERROR(SUMIFS('Base bordo'!G$2:G$746,'Base bordo'!C$2:C$746,A635,'Base bordo'!B$2:B$746,B635,'Base bordo'!F$2:F$746,"MANUTENCAO TELEMETRIA"),0)</f>
        <v>17.566666666666666</v>
      </c>
      <c r="M635" s="10">
        <f>IFERROR(SUMIFS('Base bordo'!G$2:G$746,'Base bordo'!C$2:C$746,A635,'Base bordo'!B$2:B$746,B635,'Base bordo'!F$2:F$746,"AGUARDANDO MANUTENCAO"),0)</f>
        <v>0</v>
      </c>
      <c r="N635" s="10">
        <f>IFERROR(SUMIFS('Base bordo'!G$2:G$746,'Base bordo'!C$2:C$746,A635,'Base bordo'!B$2:B$746,B635,'Base bordo'!F$2:F$746,"SEM APONTAMENTO"),0)</f>
        <v>0</v>
      </c>
      <c r="O635" s="10">
        <f t="shared" si="66"/>
        <v>0.27138888888888957</v>
      </c>
      <c r="P635" s="10">
        <f>IFERROR(SUMIFS('Base bordo'!G$2:G$746,'Base bordo'!C$2:C$746,A635,'Base bordo'!B$2:B$746,B635),0)</f>
        <v>24</v>
      </c>
      <c r="Q635" s="10">
        <f>IFERROR(SUMIFS('Base bordo'!H$2:H$746,'Base bordo'!C$2:C$746,A635,'Base bordo'!B$2:B$746,B635,'Base bordo'!F$2:F$746,"DESLOCAMENTO VAZIO"),0)</f>
        <v>219779.48</v>
      </c>
      <c r="R635" s="10">
        <f>IFERROR(SUMIFS('Base bordo'!I$2:I$746,'Base bordo'!C$2:C$746,A635,'Base bordo'!B$2:B$746,B635,'Base bordo'!F$2:F$746,"DESLOCAMENTO VAZIO"),0)</f>
        <v>4936</v>
      </c>
      <c r="S635" s="30">
        <f t="shared" si="67"/>
        <v>44.525826580226905</v>
      </c>
      <c r="T635" s="10">
        <f>IFERROR(SUMIFS('Base bordo'!H$2:H$746,'Base bordo'!C$2:C$746,A635,'Base bordo'!B$2:B$746,B635,'Base bordo'!F$2:F$746,"DESLOCAMENTO CARREGADO"),0)</f>
        <v>0</v>
      </c>
      <c r="U635" s="10">
        <f>IFERROR(SUMIFS('Base bordo'!I$2:I$746,'Base bordo'!C$2:C$746,A635,'Base bordo'!B$2:B$746,B635,'Base bordo'!F$2:F$746,"DESLOCAMENTO CARREGADO"),0)</f>
        <v>0</v>
      </c>
      <c r="V635" s="30" t="str">
        <f t="shared" si="68"/>
        <v/>
      </c>
      <c r="W635" s="9">
        <f t="shared" si="69"/>
        <v>5.7129629629629634E-2</v>
      </c>
      <c r="X635" s="9">
        <f t="shared" si="70"/>
        <v>0</v>
      </c>
      <c r="Y635" s="9">
        <f t="shared" si="71"/>
        <v>0.94287037037037036</v>
      </c>
    </row>
    <row r="636" spans="1:25" ht="15" customHeight="1" x14ac:dyDescent="0.35">
      <c r="A636" s="52">
        <v>8013474</v>
      </c>
      <c r="B636" s="51">
        <v>46117</v>
      </c>
      <c r="C636" s="7" t="s">
        <v>124</v>
      </c>
      <c r="D636" s="10">
        <f>IFERROR(SUMIFS('Base bordo'!G$2:G$746,'Base bordo'!C$2:C$746,A636,'Base bordo'!B$2:B$746,B636,'Base bordo'!F$2:F$746,"DESLOCAMENTO VAZIO"),0)</f>
        <v>0.8372222222222222</v>
      </c>
      <c r="E636" s="10">
        <f>IFERROR(SUMIFS('Base bordo'!G$2:G$746,'Base bordo'!C$2:C$746,A636,'Base bordo'!B$2:B$746,B636,'Base bordo'!F$2:F$746,"DESLOCAMENTO CARREGADO"),0)</f>
        <v>0</v>
      </c>
      <c r="F636" s="10">
        <f>IFERROR(SUMIFS('Base bordo'!G$2:G$746,'Base bordo'!C$2:C$746,A636,'Base bordo'!B$2:B$746,B636,'Base bordo'!F$2:F$746,"DESLOCAMENTO"),0)</f>
        <v>3.8191666666666668</v>
      </c>
      <c r="G636" s="10">
        <f>IFERROR(SUMIFS('Base bordo'!G$2:G$746,'Base bordo'!C$2:C$746,A636,'Base bordo'!B$2:B$746,B636,'Base bordo'!F$2:F$746,"CARREGAMENTO"),0)</f>
        <v>0</v>
      </c>
      <c r="H636" s="10">
        <f>IFERROR(SUMIFS('Base bordo'!G$2:G$746,'Base bordo'!C$2:C$746,A636,'Base bordo'!B$2:B$746,B636,'Base bordo'!F$2:F$746,"AGUARDANDO TRANSBORDO"),0)</f>
        <v>0.20972222222222223</v>
      </c>
      <c r="I636" s="10">
        <f>IFERROR(SUMIFS('Base bordo'!G$2:G$746,'Base bordo'!C$2:C$746,A636,'Base bordo'!B$2:B$746,B636,'Base bordo'!F$2:F$746,"PÁTIO INTERNO"),0)+IFERROR(SUMIFS('Base bordo'!G$2:G$746,'Base bordo'!C$2:C$746,A636,'Base bordo'!B$2:B$746,B636,'Base bordo'!F$2:F$746,"PÁTIO EXTERNO"),0)+IFERROR(SUMIFS('Base bordo'!G$2:G$746,'Base bordo'!C$2:C$746,A636,'Base bordo'!B$2:B$746,B636,'Base bordo'!F$2:F$746,"PATIO - RESERVA"),0)+IFERROR(SUMIFS('Base bordo'!G$2:G$746,'Base bordo'!C$2:C$746,A636,'Base bordo'!B$2:B$746,B636,'Base bordo'!F$2:F$746,"MANOBRA CARRETAS-PATIO"),0)</f>
        <v>0</v>
      </c>
      <c r="J636" s="10">
        <f>IFERROR(SUMIFS('Base bordo'!G$2:G$746,'Base bordo'!C$2:C$746,A636,'Base bordo'!B$2:B$746,B636,'Base bordo'!F$2:F$746,"BALANÇA - ENTRADA"),0)+IFERROR(SUMIFS('Base bordo'!G$2:G$746,'Base bordo'!C$2:C$746,A636,'Base bordo'!B$2:B$746,B636,'Base bordo'!F$2:F$746,"BALANÇA - SAÍDA"),0)</f>
        <v>0</v>
      </c>
      <c r="K636" s="10">
        <f>IFERROR(SUMIFS('Base bordo'!G$2:G$746,'Base bordo'!C$2:C$746,A636,'Base bordo'!B$2:B$746,B636,'Base bordo'!F$2:F$746,"MAN PREVENTIVA - MECANICA"),0)+IFERROR(SUMIFS('Base bordo'!G$2:G$746,'Base bordo'!C$2:C$746,A636,'Base bordo'!B$2:B$746,B636,'Base bordo'!F$2:F$746,"MAN CORRETIVA - MECANICA"),0)</f>
        <v>0</v>
      </c>
      <c r="L636" s="10">
        <f>IFERROR(SUMIFS('Base bordo'!G$2:G$746,'Base bordo'!C$2:C$746,A636,'Base bordo'!B$2:B$746,B636,'Base bordo'!F$2:F$746,"MANUTENCAO - T O"),0)+IFERROR(SUMIFS('Base bordo'!G$2:G$746,'Base bordo'!C$2:C$746,A636,'Base bordo'!B$2:B$746,B636,'Base bordo'!F$2:F$746,"MANUTENCAO BORRACHARIA"),0)+IFERROR(SUMIFS('Base bordo'!G$2:G$746,'Base bordo'!C$2:C$746,A636,'Base bordo'!B$2:B$746,B636,'Base bordo'!F$2:F$746,"MANUTENCAO EXTERNA  CONCESSIONARIA"),0)+IFERROR(SUMIFS('Base bordo'!G$2:G$746,'Base bordo'!C$2:C$746,A636,'Base bordo'!B$2:B$746,B636,'Base bordo'!F$2:F$746,"MANUTENCAO TELEMETRIA"),0)</f>
        <v>17.169722222222223</v>
      </c>
      <c r="M636" s="10">
        <f>IFERROR(SUMIFS('Base bordo'!G$2:G$746,'Base bordo'!C$2:C$746,A636,'Base bordo'!B$2:B$746,B636,'Base bordo'!F$2:F$746,"AGUARDANDO MANUTENCAO"),0)</f>
        <v>0</v>
      </c>
      <c r="N636" s="10">
        <f>IFERROR(SUMIFS('Base bordo'!G$2:G$746,'Base bordo'!C$2:C$746,A636,'Base bordo'!B$2:B$746,B636,'Base bordo'!F$2:F$746,"SEM APONTAMENTO"),0)</f>
        <v>0</v>
      </c>
      <c r="O636" s="10">
        <f t="shared" si="66"/>
        <v>1.9641666666666637</v>
      </c>
      <c r="P636" s="10">
        <f>IFERROR(SUMIFS('Base bordo'!G$2:G$746,'Base bordo'!C$2:C$746,A636,'Base bordo'!B$2:B$746,B636),0)</f>
        <v>24</v>
      </c>
      <c r="Q636" s="10">
        <f>IFERROR(SUMIFS('Base bordo'!H$2:H$746,'Base bordo'!C$2:C$746,A636,'Base bordo'!B$2:B$746,B636,'Base bordo'!F$2:F$746,"DESLOCAMENTO VAZIO"),0)</f>
        <v>105617.31</v>
      </c>
      <c r="R636" s="10">
        <f>IFERROR(SUMIFS('Base bordo'!I$2:I$746,'Base bordo'!C$2:C$746,A636,'Base bordo'!B$2:B$746,B636,'Base bordo'!F$2:F$746,"DESLOCAMENTO VAZIO"),0)</f>
        <v>3014</v>
      </c>
      <c r="S636" s="30">
        <f t="shared" si="67"/>
        <v>35.042239548772393</v>
      </c>
      <c r="T636" s="10">
        <f>IFERROR(SUMIFS('Base bordo'!H$2:H$746,'Base bordo'!C$2:C$746,A636,'Base bordo'!B$2:B$746,B636,'Base bordo'!F$2:F$746,"DESLOCAMENTO CARREGADO"),0)</f>
        <v>0</v>
      </c>
      <c r="U636" s="10">
        <f>IFERROR(SUMIFS('Base bordo'!I$2:I$746,'Base bordo'!C$2:C$746,A636,'Base bordo'!B$2:B$746,B636,'Base bordo'!F$2:F$746,"DESLOCAMENTO CARREGADO"),0)</f>
        <v>0</v>
      </c>
      <c r="V636" s="30" t="str">
        <f t="shared" si="68"/>
        <v/>
      </c>
      <c r="W636" s="9">
        <f t="shared" si="69"/>
        <v>3.4884259259259261E-2</v>
      </c>
      <c r="X636" s="9">
        <f t="shared" si="70"/>
        <v>0</v>
      </c>
      <c r="Y636" s="9">
        <f t="shared" si="71"/>
        <v>0.96511574074074069</v>
      </c>
    </row>
    <row r="637" spans="1:25" ht="15" customHeight="1" x14ac:dyDescent="0.35">
      <c r="A637" s="52">
        <v>8013474</v>
      </c>
      <c r="B637" s="51">
        <v>46117</v>
      </c>
      <c r="C637" s="7" t="s">
        <v>124</v>
      </c>
      <c r="D637" s="10">
        <f>IFERROR(SUMIFS('Base bordo'!G$2:G$746,'Base bordo'!C$2:C$746,A637,'Base bordo'!B$2:B$746,B637,'Base bordo'!F$2:F$746,"DESLOCAMENTO VAZIO"),0)</f>
        <v>0.8372222222222222</v>
      </c>
      <c r="E637" s="10">
        <f>IFERROR(SUMIFS('Base bordo'!G$2:G$746,'Base bordo'!C$2:C$746,A637,'Base bordo'!B$2:B$746,B637,'Base bordo'!F$2:F$746,"DESLOCAMENTO CARREGADO"),0)</f>
        <v>0</v>
      </c>
      <c r="F637" s="10">
        <f>IFERROR(SUMIFS('Base bordo'!G$2:G$746,'Base bordo'!C$2:C$746,A637,'Base bordo'!B$2:B$746,B637,'Base bordo'!F$2:F$746,"DESLOCAMENTO"),0)</f>
        <v>3.8191666666666668</v>
      </c>
      <c r="G637" s="10">
        <f>IFERROR(SUMIFS('Base bordo'!G$2:G$746,'Base bordo'!C$2:C$746,A637,'Base bordo'!B$2:B$746,B637,'Base bordo'!F$2:F$746,"CARREGAMENTO"),0)</f>
        <v>0</v>
      </c>
      <c r="H637" s="10">
        <f>IFERROR(SUMIFS('Base bordo'!G$2:G$746,'Base bordo'!C$2:C$746,A637,'Base bordo'!B$2:B$746,B637,'Base bordo'!F$2:F$746,"AGUARDANDO TRANSBORDO"),0)</f>
        <v>0.20972222222222223</v>
      </c>
      <c r="I637" s="10">
        <f>IFERROR(SUMIFS('Base bordo'!G$2:G$746,'Base bordo'!C$2:C$746,A637,'Base bordo'!B$2:B$746,B637,'Base bordo'!F$2:F$746,"PÁTIO INTERNO"),0)+IFERROR(SUMIFS('Base bordo'!G$2:G$746,'Base bordo'!C$2:C$746,A637,'Base bordo'!B$2:B$746,B637,'Base bordo'!F$2:F$746,"PÁTIO EXTERNO"),0)+IFERROR(SUMIFS('Base bordo'!G$2:G$746,'Base bordo'!C$2:C$746,A637,'Base bordo'!B$2:B$746,B637,'Base bordo'!F$2:F$746,"PATIO - RESERVA"),0)+IFERROR(SUMIFS('Base bordo'!G$2:G$746,'Base bordo'!C$2:C$746,A637,'Base bordo'!B$2:B$746,B637,'Base bordo'!F$2:F$746,"MANOBRA CARRETAS-PATIO"),0)</f>
        <v>0</v>
      </c>
      <c r="J637" s="10">
        <f>IFERROR(SUMIFS('Base bordo'!G$2:G$746,'Base bordo'!C$2:C$746,A637,'Base bordo'!B$2:B$746,B637,'Base bordo'!F$2:F$746,"BALANÇA - ENTRADA"),0)+IFERROR(SUMIFS('Base bordo'!G$2:G$746,'Base bordo'!C$2:C$746,A637,'Base bordo'!B$2:B$746,B637,'Base bordo'!F$2:F$746,"BALANÇA - SAÍDA"),0)</f>
        <v>0</v>
      </c>
      <c r="K637" s="10">
        <f>IFERROR(SUMIFS('Base bordo'!G$2:G$746,'Base bordo'!C$2:C$746,A637,'Base bordo'!B$2:B$746,B637,'Base bordo'!F$2:F$746,"MAN PREVENTIVA - MECANICA"),0)+IFERROR(SUMIFS('Base bordo'!G$2:G$746,'Base bordo'!C$2:C$746,A637,'Base bordo'!B$2:B$746,B637,'Base bordo'!F$2:F$746,"MAN CORRETIVA - MECANICA"),0)</f>
        <v>0</v>
      </c>
      <c r="L637" s="10">
        <f>IFERROR(SUMIFS('Base bordo'!G$2:G$746,'Base bordo'!C$2:C$746,A637,'Base bordo'!B$2:B$746,B637,'Base bordo'!F$2:F$746,"MANUTENCAO - T O"),0)+IFERROR(SUMIFS('Base bordo'!G$2:G$746,'Base bordo'!C$2:C$746,A637,'Base bordo'!B$2:B$746,B637,'Base bordo'!F$2:F$746,"MANUTENCAO BORRACHARIA"),0)+IFERROR(SUMIFS('Base bordo'!G$2:G$746,'Base bordo'!C$2:C$746,A637,'Base bordo'!B$2:B$746,B637,'Base bordo'!F$2:F$746,"MANUTENCAO EXTERNA  CONCESSIONARIA"),0)+IFERROR(SUMIFS('Base bordo'!G$2:G$746,'Base bordo'!C$2:C$746,A637,'Base bordo'!B$2:B$746,B637,'Base bordo'!F$2:F$746,"MANUTENCAO TELEMETRIA"),0)</f>
        <v>17.169722222222223</v>
      </c>
      <c r="M637" s="10">
        <f>IFERROR(SUMIFS('Base bordo'!G$2:G$746,'Base bordo'!C$2:C$746,A637,'Base bordo'!B$2:B$746,B637,'Base bordo'!F$2:F$746,"AGUARDANDO MANUTENCAO"),0)</f>
        <v>0</v>
      </c>
      <c r="N637" s="10">
        <f>IFERROR(SUMIFS('Base bordo'!G$2:G$746,'Base bordo'!C$2:C$746,A637,'Base bordo'!B$2:B$746,B637,'Base bordo'!F$2:F$746,"SEM APONTAMENTO"),0)</f>
        <v>0</v>
      </c>
      <c r="O637" s="10">
        <f t="shared" si="66"/>
        <v>1.9641666666666637</v>
      </c>
      <c r="P637" s="10">
        <f>IFERROR(SUMIFS('Base bordo'!G$2:G$746,'Base bordo'!C$2:C$746,A637,'Base bordo'!B$2:B$746,B637),0)</f>
        <v>24</v>
      </c>
      <c r="Q637" s="10">
        <f>IFERROR(SUMIFS('Base bordo'!H$2:H$746,'Base bordo'!C$2:C$746,A637,'Base bordo'!B$2:B$746,B637,'Base bordo'!F$2:F$746,"DESLOCAMENTO VAZIO"),0)</f>
        <v>105617.31</v>
      </c>
      <c r="R637" s="10">
        <f>IFERROR(SUMIFS('Base bordo'!I$2:I$746,'Base bordo'!C$2:C$746,A637,'Base bordo'!B$2:B$746,B637,'Base bordo'!F$2:F$746,"DESLOCAMENTO VAZIO"),0)</f>
        <v>3014</v>
      </c>
      <c r="S637" s="30">
        <f t="shared" si="67"/>
        <v>35.042239548772393</v>
      </c>
      <c r="T637" s="10">
        <f>IFERROR(SUMIFS('Base bordo'!H$2:H$746,'Base bordo'!C$2:C$746,A637,'Base bordo'!B$2:B$746,B637,'Base bordo'!F$2:F$746,"DESLOCAMENTO CARREGADO"),0)</f>
        <v>0</v>
      </c>
      <c r="U637" s="10">
        <f>IFERROR(SUMIFS('Base bordo'!I$2:I$746,'Base bordo'!C$2:C$746,A637,'Base bordo'!B$2:B$746,B637,'Base bordo'!F$2:F$746,"DESLOCAMENTO CARREGADO"),0)</f>
        <v>0</v>
      </c>
      <c r="V637" s="30" t="str">
        <f t="shared" si="68"/>
        <v/>
      </c>
      <c r="W637" s="9">
        <f t="shared" si="69"/>
        <v>3.4884259259259261E-2</v>
      </c>
      <c r="X637" s="9">
        <f t="shared" si="70"/>
        <v>0</v>
      </c>
      <c r="Y637" s="9">
        <f t="shared" si="71"/>
        <v>0.96511574074074069</v>
      </c>
    </row>
    <row r="638" spans="1:25" ht="15" customHeight="1" x14ac:dyDescent="0.35">
      <c r="A638" s="52">
        <v>8013475</v>
      </c>
      <c r="B638" s="51">
        <v>46117</v>
      </c>
      <c r="C638" s="7" t="s">
        <v>124</v>
      </c>
      <c r="D638" s="10">
        <f>IFERROR(SUMIFS('Base bordo'!G$2:G$746,'Base bordo'!C$2:C$746,A638,'Base bordo'!B$2:B$746,B638,'Base bordo'!F$2:F$746,"DESLOCAMENTO VAZIO"),0)</f>
        <v>1.4697222222222222</v>
      </c>
      <c r="E638" s="10">
        <f>IFERROR(SUMIFS('Base bordo'!G$2:G$746,'Base bordo'!C$2:C$746,A638,'Base bordo'!B$2:B$746,B638,'Base bordo'!F$2:F$746,"DESLOCAMENTO CARREGADO"),0)</f>
        <v>0</v>
      </c>
      <c r="F638" s="10">
        <f>IFERROR(SUMIFS('Base bordo'!G$2:G$746,'Base bordo'!C$2:C$746,A638,'Base bordo'!B$2:B$746,B638,'Base bordo'!F$2:F$746,"DESLOCAMENTO"),0)</f>
        <v>0.17444444444444446</v>
      </c>
      <c r="G638" s="10">
        <f>IFERROR(SUMIFS('Base bordo'!G$2:G$746,'Base bordo'!C$2:C$746,A638,'Base bordo'!B$2:B$746,B638,'Base bordo'!F$2:F$746,"CARREGAMENTO"),0)</f>
        <v>0</v>
      </c>
      <c r="H638" s="10">
        <f>IFERROR(SUMIFS('Base bordo'!G$2:G$746,'Base bordo'!C$2:C$746,A638,'Base bordo'!B$2:B$746,B638,'Base bordo'!F$2:F$746,"AGUARDANDO TRANSBORDO"),0)</f>
        <v>3.2597222222222224</v>
      </c>
      <c r="I638" s="10">
        <f>IFERROR(SUMIFS('Base bordo'!G$2:G$746,'Base bordo'!C$2:C$746,A638,'Base bordo'!B$2:B$746,B638,'Base bordo'!F$2:F$746,"PÁTIO INTERNO"),0)+IFERROR(SUMIFS('Base bordo'!G$2:G$746,'Base bordo'!C$2:C$746,A638,'Base bordo'!B$2:B$746,B638,'Base bordo'!F$2:F$746,"PÁTIO EXTERNO"),0)+IFERROR(SUMIFS('Base bordo'!G$2:G$746,'Base bordo'!C$2:C$746,A638,'Base bordo'!B$2:B$746,B638,'Base bordo'!F$2:F$746,"PATIO - RESERVA"),0)+IFERROR(SUMIFS('Base bordo'!G$2:G$746,'Base bordo'!C$2:C$746,A638,'Base bordo'!B$2:B$746,B638,'Base bordo'!F$2:F$746,"MANOBRA CARRETAS-PATIO"),0)</f>
        <v>0</v>
      </c>
      <c r="J638" s="10">
        <f>IFERROR(SUMIFS('Base bordo'!G$2:G$746,'Base bordo'!C$2:C$746,A638,'Base bordo'!B$2:B$746,B638,'Base bordo'!F$2:F$746,"BALANÇA - ENTRADA"),0)+IFERROR(SUMIFS('Base bordo'!G$2:G$746,'Base bordo'!C$2:C$746,A638,'Base bordo'!B$2:B$746,B638,'Base bordo'!F$2:F$746,"BALANÇA - SAÍDA"),0)</f>
        <v>0</v>
      </c>
      <c r="K638" s="10">
        <f>IFERROR(SUMIFS('Base bordo'!G$2:G$746,'Base bordo'!C$2:C$746,A638,'Base bordo'!B$2:B$746,B638,'Base bordo'!F$2:F$746,"MAN PREVENTIVA - MECANICA"),0)+IFERROR(SUMIFS('Base bordo'!G$2:G$746,'Base bordo'!C$2:C$746,A638,'Base bordo'!B$2:B$746,B638,'Base bordo'!F$2:F$746,"MAN CORRETIVA - MECANICA"),0)</f>
        <v>0</v>
      </c>
      <c r="L638" s="10">
        <f>IFERROR(SUMIFS('Base bordo'!G$2:G$746,'Base bordo'!C$2:C$746,A638,'Base bordo'!B$2:B$746,B638,'Base bordo'!F$2:F$746,"MANUTENCAO - T O"),0)+IFERROR(SUMIFS('Base bordo'!G$2:G$746,'Base bordo'!C$2:C$746,A638,'Base bordo'!B$2:B$746,B638,'Base bordo'!F$2:F$746,"MANUTENCAO BORRACHARIA"),0)+IFERROR(SUMIFS('Base bordo'!G$2:G$746,'Base bordo'!C$2:C$746,A638,'Base bordo'!B$2:B$746,B638,'Base bordo'!F$2:F$746,"MANUTENCAO EXTERNA  CONCESSIONARIA"),0)+IFERROR(SUMIFS('Base bordo'!G$2:G$746,'Base bordo'!C$2:C$746,A638,'Base bordo'!B$2:B$746,B638,'Base bordo'!F$2:F$746,"MANUTENCAO TELEMETRIA"),0)</f>
        <v>18.858611111111109</v>
      </c>
      <c r="M638" s="10">
        <f>IFERROR(SUMIFS('Base bordo'!G$2:G$746,'Base bordo'!C$2:C$746,A638,'Base bordo'!B$2:B$746,B638,'Base bordo'!F$2:F$746,"AGUARDANDO MANUTENCAO"),0)</f>
        <v>0</v>
      </c>
      <c r="N638" s="10">
        <f>IFERROR(SUMIFS('Base bordo'!G$2:G$746,'Base bordo'!C$2:C$746,A638,'Base bordo'!B$2:B$746,B638,'Base bordo'!F$2:F$746,"SEM APONTAMENTO"),0)</f>
        <v>0</v>
      </c>
      <c r="O638" s="10">
        <f t="shared" si="66"/>
        <v>0.23749999999999716</v>
      </c>
      <c r="P638" s="10">
        <f>IFERROR(SUMIFS('Base bordo'!G$2:G$746,'Base bordo'!C$2:C$746,A638,'Base bordo'!B$2:B$746,B638),0)</f>
        <v>23.999999999999996</v>
      </c>
      <c r="Q638" s="10">
        <f>IFERROR(SUMIFS('Base bordo'!H$2:H$746,'Base bordo'!C$2:C$746,A638,'Base bordo'!B$2:B$746,B638,'Base bordo'!F$2:F$746,"DESLOCAMENTO VAZIO"),0)</f>
        <v>139140.03999999998</v>
      </c>
      <c r="R638" s="10">
        <f>IFERROR(SUMIFS('Base bordo'!I$2:I$746,'Base bordo'!C$2:C$746,A638,'Base bordo'!B$2:B$746,B638,'Base bordo'!F$2:F$746,"DESLOCAMENTO VAZIO"),0)</f>
        <v>5291</v>
      </c>
      <c r="S638" s="30">
        <f t="shared" si="67"/>
        <v>26.297493857493855</v>
      </c>
      <c r="T638" s="10">
        <f>IFERROR(SUMIFS('Base bordo'!H$2:H$746,'Base bordo'!C$2:C$746,A638,'Base bordo'!B$2:B$746,B638,'Base bordo'!F$2:F$746,"DESLOCAMENTO CARREGADO"),0)</f>
        <v>0</v>
      </c>
      <c r="U638" s="10">
        <f>IFERROR(SUMIFS('Base bordo'!I$2:I$746,'Base bordo'!C$2:C$746,A638,'Base bordo'!B$2:B$746,B638,'Base bordo'!F$2:F$746,"DESLOCAMENTO CARREGADO"),0)</f>
        <v>0</v>
      </c>
      <c r="V638" s="30" t="str">
        <f t="shared" si="68"/>
        <v/>
      </c>
      <c r="W638" s="9">
        <f t="shared" si="69"/>
        <v>6.1238425925925932E-2</v>
      </c>
      <c r="X638" s="9">
        <f t="shared" si="70"/>
        <v>0</v>
      </c>
      <c r="Y638" s="9">
        <f t="shared" si="71"/>
        <v>0.93876157407407401</v>
      </c>
    </row>
    <row r="639" spans="1:25" ht="15" customHeight="1" x14ac:dyDescent="0.35">
      <c r="A639" s="52">
        <v>8013475</v>
      </c>
      <c r="B639" s="51">
        <v>46117</v>
      </c>
      <c r="C639" s="7" t="s">
        <v>124</v>
      </c>
      <c r="D639" s="10">
        <f>IFERROR(SUMIFS('Base bordo'!G$2:G$746,'Base bordo'!C$2:C$746,A639,'Base bordo'!B$2:B$746,B639,'Base bordo'!F$2:F$746,"DESLOCAMENTO VAZIO"),0)</f>
        <v>1.4697222222222222</v>
      </c>
      <c r="E639" s="10">
        <f>IFERROR(SUMIFS('Base bordo'!G$2:G$746,'Base bordo'!C$2:C$746,A639,'Base bordo'!B$2:B$746,B639,'Base bordo'!F$2:F$746,"DESLOCAMENTO CARREGADO"),0)</f>
        <v>0</v>
      </c>
      <c r="F639" s="10">
        <f>IFERROR(SUMIFS('Base bordo'!G$2:G$746,'Base bordo'!C$2:C$746,A639,'Base bordo'!B$2:B$746,B639,'Base bordo'!F$2:F$746,"DESLOCAMENTO"),0)</f>
        <v>0.17444444444444446</v>
      </c>
      <c r="G639" s="10">
        <f>IFERROR(SUMIFS('Base bordo'!G$2:G$746,'Base bordo'!C$2:C$746,A639,'Base bordo'!B$2:B$746,B639,'Base bordo'!F$2:F$746,"CARREGAMENTO"),0)</f>
        <v>0</v>
      </c>
      <c r="H639" s="10">
        <f>IFERROR(SUMIFS('Base bordo'!G$2:G$746,'Base bordo'!C$2:C$746,A639,'Base bordo'!B$2:B$746,B639,'Base bordo'!F$2:F$746,"AGUARDANDO TRANSBORDO"),0)</f>
        <v>3.2597222222222224</v>
      </c>
      <c r="I639" s="10">
        <f>IFERROR(SUMIFS('Base bordo'!G$2:G$746,'Base bordo'!C$2:C$746,A639,'Base bordo'!B$2:B$746,B639,'Base bordo'!F$2:F$746,"PÁTIO INTERNO"),0)+IFERROR(SUMIFS('Base bordo'!G$2:G$746,'Base bordo'!C$2:C$746,A639,'Base bordo'!B$2:B$746,B639,'Base bordo'!F$2:F$746,"PÁTIO EXTERNO"),0)+IFERROR(SUMIFS('Base bordo'!G$2:G$746,'Base bordo'!C$2:C$746,A639,'Base bordo'!B$2:B$746,B639,'Base bordo'!F$2:F$746,"PATIO - RESERVA"),0)+IFERROR(SUMIFS('Base bordo'!G$2:G$746,'Base bordo'!C$2:C$746,A639,'Base bordo'!B$2:B$746,B639,'Base bordo'!F$2:F$746,"MANOBRA CARRETAS-PATIO"),0)</f>
        <v>0</v>
      </c>
      <c r="J639" s="10">
        <f>IFERROR(SUMIFS('Base bordo'!G$2:G$746,'Base bordo'!C$2:C$746,A639,'Base bordo'!B$2:B$746,B639,'Base bordo'!F$2:F$746,"BALANÇA - ENTRADA"),0)+IFERROR(SUMIFS('Base bordo'!G$2:G$746,'Base bordo'!C$2:C$746,A639,'Base bordo'!B$2:B$746,B639,'Base bordo'!F$2:F$746,"BALANÇA - SAÍDA"),0)</f>
        <v>0</v>
      </c>
      <c r="K639" s="10">
        <f>IFERROR(SUMIFS('Base bordo'!G$2:G$746,'Base bordo'!C$2:C$746,A639,'Base bordo'!B$2:B$746,B639,'Base bordo'!F$2:F$746,"MAN PREVENTIVA - MECANICA"),0)+IFERROR(SUMIFS('Base bordo'!G$2:G$746,'Base bordo'!C$2:C$746,A639,'Base bordo'!B$2:B$746,B639,'Base bordo'!F$2:F$746,"MAN CORRETIVA - MECANICA"),0)</f>
        <v>0</v>
      </c>
      <c r="L639" s="10">
        <f>IFERROR(SUMIFS('Base bordo'!G$2:G$746,'Base bordo'!C$2:C$746,A639,'Base bordo'!B$2:B$746,B639,'Base bordo'!F$2:F$746,"MANUTENCAO - T O"),0)+IFERROR(SUMIFS('Base bordo'!G$2:G$746,'Base bordo'!C$2:C$746,A639,'Base bordo'!B$2:B$746,B639,'Base bordo'!F$2:F$746,"MANUTENCAO BORRACHARIA"),0)+IFERROR(SUMIFS('Base bordo'!G$2:G$746,'Base bordo'!C$2:C$746,A639,'Base bordo'!B$2:B$746,B639,'Base bordo'!F$2:F$746,"MANUTENCAO EXTERNA  CONCESSIONARIA"),0)+IFERROR(SUMIFS('Base bordo'!G$2:G$746,'Base bordo'!C$2:C$746,A639,'Base bordo'!B$2:B$746,B639,'Base bordo'!F$2:F$746,"MANUTENCAO TELEMETRIA"),0)</f>
        <v>18.858611111111109</v>
      </c>
      <c r="M639" s="10">
        <f>IFERROR(SUMIFS('Base bordo'!G$2:G$746,'Base bordo'!C$2:C$746,A639,'Base bordo'!B$2:B$746,B639,'Base bordo'!F$2:F$746,"AGUARDANDO MANUTENCAO"),0)</f>
        <v>0</v>
      </c>
      <c r="N639" s="10">
        <f>IFERROR(SUMIFS('Base bordo'!G$2:G$746,'Base bordo'!C$2:C$746,A639,'Base bordo'!B$2:B$746,B639,'Base bordo'!F$2:F$746,"SEM APONTAMENTO"),0)</f>
        <v>0</v>
      </c>
      <c r="O639" s="10">
        <f t="shared" si="66"/>
        <v>0.23749999999999716</v>
      </c>
      <c r="P639" s="10">
        <f>IFERROR(SUMIFS('Base bordo'!G$2:G$746,'Base bordo'!C$2:C$746,A639,'Base bordo'!B$2:B$746,B639),0)</f>
        <v>23.999999999999996</v>
      </c>
      <c r="Q639" s="10">
        <f>IFERROR(SUMIFS('Base bordo'!H$2:H$746,'Base bordo'!C$2:C$746,A639,'Base bordo'!B$2:B$746,B639,'Base bordo'!F$2:F$746,"DESLOCAMENTO VAZIO"),0)</f>
        <v>139140.03999999998</v>
      </c>
      <c r="R639" s="10">
        <f>IFERROR(SUMIFS('Base bordo'!I$2:I$746,'Base bordo'!C$2:C$746,A639,'Base bordo'!B$2:B$746,B639,'Base bordo'!F$2:F$746,"DESLOCAMENTO VAZIO"),0)</f>
        <v>5291</v>
      </c>
      <c r="S639" s="30">
        <f t="shared" si="67"/>
        <v>26.297493857493855</v>
      </c>
      <c r="T639" s="10">
        <f>IFERROR(SUMIFS('Base bordo'!H$2:H$746,'Base bordo'!C$2:C$746,A639,'Base bordo'!B$2:B$746,B639,'Base bordo'!F$2:F$746,"DESLOCAMENTO CARREGADO"),0)</f>
        <v>0</v>
      </c>
      <c r="U639" s="10">
        <f>IFERROR(SUMIFS('Base bordo'!I$2:I$746,'Base bordo'!C$2:C$746,A639,'Base bordo'!B$2:B$746,B639,'Base bordo'!F$2:F$746,"DESLOCAMENTO CARREGADO"),0)</f>
        <v>0</v>
      </c>
      <c r="V639" s="30" t="str">
        <f t="shared" si="68"/>
        <v/>
      </c>
      <c r="W639" s="9">
        <f t="shared" si="69"/>
        <v>6.1238425925925932E-2</v>
      </c>
      <c r="X639" s="9">
        <f t="shared" si="70"/>
        <v>0</v>
      </c>
      <c r="Y639" s="9">
        <f t="shared" si="71"/>
        <v>0.93876157407407401</v>
      </c>
    </row>
    <row r="640" spans="1:25" ht="15" customHeight="1" x14ac:dyDescent="0.35">
      <c r="A640" s="52">
        <v>8013476</v>
      </c>
      <c r="B640" s="51">
        <v>46117</v>
      </c>
      <c r="C640" s="7" t="s">
        <v>124</v>
      </c>
      <c r="D640" s="10">
        <f>IFERROR(SUMIFS('Base bordo'!G$2:G$746,'Base bordo'!C$2:C$746,A640,'Base bordo'!B$2:B$746,B640,'Base bordo'!F$2:F$746,"DESLOCAMENTO VAZIO"),0)</f>
        <v>1.9241666666666666</v>
      </c>
      <c r="E640" s="10">
        <f>IFERROR(SUMIFS('Base bordo'!G$2:G$746,'Base bordo'!C$2:C$746,A640,'Base bordo'!B$2:B$746,B640,'Base bordo'!F$2:F$746,"DESLOCAMENTO CARREGADO"),0)</f>
        <v>0</v>
      </c>
      <c r="F640" s="10">
        <f>IFERROR(SUMIFS('Base bordo'!G$2:G$746,'Base bordo'!C$2:C$746,A640,'Base bordo'!B$2:B$746,B640,'Base bordo'!F$2:F$746,"DESLOCAMENTO"),0)</f>
        <v>0</v>
      </c>
      <c r="G640" s="10">
        <f>IFERROR(SUMIFS('Base bordo'!G$2:G$746,'Base bordo'!C$2:C$746,A640,'Base bordo'!B$2:B$746,B640,'Base bordo'!F$2:F$746,"CARREGAMENTO"),0)</f>
        <v>1.3391666666666666</v>
      </c>
      <c r="H640" s="10">
        <f>IFERROR(SUMIFS('Base bordo'!G$2:G$746,'Base bordo'!C$2:C$746,A640,'Base bordo'!B$2:B$746,B640,'Base bordo'!F$2:F$746,"AGUARDANDO TRANSBORDO"),0)</f>
        <v>0.16555555555555557</v>
      </c>
      <c r="I640" s="10">
        <f>IFERROR(SUMIFS('Base bordo'!G$2:G$746,'Base bordo'!C$2:C$746,A640,'Base bordo'!B$2:B$746,B640,'Base bordo'!F$2:F$746,"PÁTIO INTERNO"),0)+IFERROR(SUMIFS('Base bordo'!G$2:G$746,'Base bordo'!C$2:C$746,A640,'Base bordo'!B$2:B$746,B640,'Base bordo'!F$2:F$746,"PÁTIO EXTERNO"),0)+IFERROR(SUMIFS('Base bordo'!G$2:G$746,'Base bordo'!C$2:C$746,A640,'Base bordo'!B$2:B$746,B640,'Base bordo'!F$2:F$746,"PATIO - RESERVA"),0)+IFERROR(SUMIFS('Base bordo'!G$2:G$746,'Base bordo'!C$2:C$746,A640,'Base bordo'!B$2:B$746,B640,'Base bordo'!F$2:F$746,"MANOBRA CARRETAS-PATIO"),0)</f>
        <v>0</v>
      </c>
      <c r="J640" s="10">
        <f>IFERROR(SUMIFS('Base bordo'!G$2:G$746,'Base bordo'!C$2:C$746,A640,'Base bordo'!B$2:B$746,B640,'Base bordo'!F$2:F$746,"BALANÇA - ENTRADA"),0)+IFERROR(SUMIFS('Base bordo'!G$2:G$746,'Base bordo'!C$2:C$746,A640,'Base bordo'!B$2:B$746,B640,'Base bordo'!F$2:F$746,"BALANÇA - SAÍDA"),0)</f>
        <v>0</v>
      </c>
      <c r="K640" s="10">
        <f>IFERROR(SUMIFS('Base bordo'!G$2:G$746,'Base bordo'!C$2:C$746,A640,'Base bordo'!B$2:B$746,B640,'Base bordo'!F$2:F$746,"MAN PREVENTIVA - MECANICA"),0)+IFERROR(SUMIFS('Base bordo'!G$2:G$746,'Base bordo'!C$2:C$746,A640,'Base bordo'!B$2:B$746,B640,'Base bordo'!F$2:F$746,"MAN CORRETIVA - MECANICA"),0)</f>
        <v>0</v>
      </c>
      <c r="L640" s="10">
        <f>IFERROR(SUMIFS('Base bordo'!G$2:G$746,'Base bordo'!C$2:C$746,A640,'Base bordo'!B$2:B$746,B640,'Base bordo'!F$2:F$746,"MANUTENCAO - T O"),0)+IFERROR(SUMIFS('Base bordo'!G$2:G$746,'Base bordo'!C$2:C$746,A640,'Base bordo'!B$2:B$746,B640,'Base bordo'!F$2:F$746,"MANUTENCAO BORRACHARIA"),0)+IFERROR(SUMIFS('Base bordo'!G$2:G$746,'Base bordo'!C$2:C$746,A640,'Base bordo'!B$2:B$746,B640,'Base bordo'!F$2:F$746,"MANUTENCAO EXTERNA  CONCESSIONARIA"),0)+IFERROR(SUMIFS('Base bordo'!G$2:G$746,'Base bordo'!C$2:C$746,A640,'Base bordo'!B$2:B$746,B640,'Base bordo'!F$2:F$746,"MANUTENCAO TELEMETRIA"),0)</f>
        <v>18.408888888888889</v>
      </c>
      <c r="M640" s="10">
        <f>IFERROR(SUMIFS('Base bordo'!G$2:G$746,'Base bordo'!C$2:C$746,A640,'Base bordo'!B$2:B$746,B640,'Base bordo'!F$2:F$746,"AGUARDANDO MANUTENCAO"),0)</f>
        <v>0</v>
      </c>
      <c r="N640" s="10">
        <f>IFERROR(SUMIFS('Base bordo'!G$2:G$746,'Base bordo'!C$2:C$746,A640,'Base bordo'!B$2:B$746,B640,'Base bordo'!F$2:F$746,"SEM APONTAMENTO"),0)</f>
        <v>0</v>
      </c>
      <c r="O640" s="10">
        <f t="shared" si="66"/>
        <v>0.16222222222222271</v>
      </c>
      <c r="P640" s="10">
        <f>IFERROR(SUMIFS('Base bordo'!G$2:G$746,'Base bordo'!C$2:C$746,A640,'Base bordo'!B$2:B$746,B640),0)</f>
        <v>22</v>
      </c>
      <c r="Q640" s="10">
        <f>IFERROR(SUMIFS('Base bordo'!H$2:H$746,'Base bordo'!C$2:C$746,A640,'Base bordo'!B$2:B$746,B640,'Base bordo'!F$2:F$746,"DESLOCAMENTO VAZIO"),0)</f>
        <v>234348.68000000002</v>
      </c>
      <c r="R640" s="10">
        <f>IFERROR(SUMIFS('Base bordo'!I$2:I$746,'Base bordo'!C$2:C$746,A640,'Base bordo'!B$2:B$746,B640,'Base bordo'!F$2:F$746,"DESLOCAMENTO VAZIO"),0)</f>
        <v>6927</v>
      </c>
      <c r="S640" s="30">
        <f t="shared" si="67"/>
        <v>33.831193879024113</v>
      </c>
      <c r="T640" s="10">
        <f>IFERROR(SUMIFS('Base bordo'!H$2:H$746,'Base bordo'!C$2:C$746,A640,'Base bordo'!B$2:B$746,B640,'Base bordo'!F$2:F$746,"DESLOCAMENTO CARREGADO"),0)</f>
        <v>0</v>
      </c>
      <c r="U640" s="10">
        <f>IFERROR(SUMIFS('Base bordo'!I$2:I$746,'Base bordo'!C$2:C$746,A640,'Base bordo'!B$2:B$746,B640,'Base bordo'!F$2:F$746,"DESLOCAMENTO CARREGADO"),0)</f>
        <v>0</v>
      </c>
      <c r="V640" s="30" t="str">
        <f t="shared" si="68"/>
        <v/>
      </c>
      <c r="W640" s="9">
        <f t="shared" si="69"/>
        <v>8.7462121212121213E-2</v>
      </c>
      <c r="X640" s="9">
        <f t="shared" si="70"/>
        <v>0</v>
      </c>
      <c r="Y640" s="9">
        <f t="shared" si="71"/>
        <v>0.91253787878787884</v>
      </c>
    </row>
    <row r="641" spans="1:25" ht="15" customHeight="1" x14ac:dyDescent="0.35">
      <c r="A641" s="52">
        <v>8013476</v>
      </c>
      <c r="B641" s="51">
        <v>46117</v>
      </c>
      <c r="C641" s="7" t="s">
        <v>124</v>
      </c>
      <c r="D641" s="10">
        <f>IFERROR(SUMIFS('Base bordo'!G$2:G$746,'Base bordo'!C$2:C$746,A641,'Base bordo'!B$2:B$746,B641,'Base bordo'!F$2:F$746,"DESLOCAMENTO VAZIO"),0)</f>
        <v>1.9241666666666666</v>
      </c>
      <c r="E641" s="10">
        <f>IFERROR(SUMIFS('Base bordo'!G$2:G$746,'Base bordo'!C$2:C$746,A641,'Base bordo'!B$2:B$746,B641,'Base bordo'!F$2:F$746,"DESLOCAMENTO CARREGADO"),0)</f>
        <v>0</v>
      </c>
      <c r="F641" s="10">
        <f>IFERROR(SUMIFS('Base bordo'!G$2:G$746,'Base bordo'!C$2:C$746,A641,'Base bordo'!B$2:B$746,B641,'Base bordo'!F$2:F$746,"DESLOCAMENTO"),0)</f>
        <v>0</v>
      </c>
      <c r="G641" s="10">
        <f>IFERROR(SUMIFS('Base bordo'!G$2:G$746,'Base bordo'!C$2:C$746,A641,'Base bordo'!B$2:B$746,B641,'Base bordo'!F$2:F$746,"CARREGAMENTO"),0)</f>
        <v>1.3391666666666666</v>
      </c>
      <c r="H641" s="10">
        <f>IFERROR(SUMIFS('Base bordo'!G$2:G$746,'Base bordo'!C$2:C$746,A641,'Base bordo'!B$2:B$746,B641,'Base bordo'!F$2:F$746,"AGUARDANDO TRANSBORDO"),0)</f>
        <v>0.16555555555555557</v>
      </c>
      <c r="I641" s="10">
        <f>IFERROR(SUMIFS('Base bordo'!G$2:G$746,'Base bordo'!C$2:C$746,A641,'Base bordo'!B$2:B$746,B641,'Base bordo'!F$2:F$746,"PÁTIO INTERNO"),0)+IFERROR(SUMIFS('Base bordo'!G$2:G$746,'Base bordo'!C$2:C$746,A641,'Base bordo'!B$2:B$746,B641,'Base bordo'!F$2:F$746,"PÁTIO EXTERNO"),0)+IFERROR(SUMIFS('Base bordo'!G$2:G$746,'Base bordo'!C$2:C$746,A641,'Base bordo'!B$2:B$746,B641,'Base bordo'!F$2:F$746,"PATIO - RESERVA"),0)+IFERROR(SUMIFS('Base bordo'!G$2:G$746,'Base bordo'!C$2:C$746,A641,'Base bordo'!B$2:B$746,B641,'Base bordo'!F$2:F$746,"MANOBRA CARRETAS-PATIO"),0)</f>
        <v>0</v>
      </c>
      <c r="J641" s="10">
        <f>IFERROR(SUMIFS('Base bordo'!G$2:G$746,'Base bordo'!C$2:C$746,A641,'Base bordo'!B$2:B$746,B641,'Base bordo'!F$2:F$746,"BALANÇA - ENTRADA"),0)+IFERROR(SUMIFS('Base bordo'!G$2:G$746,'Base bordo'!C$2:C$746,A641,'Base bordo'!B$2:B$746,B641,'Base bordo'!F$2:F$746,"BALANÇA - SAÍDA"),0)</f>
        <v>0</v>
      </c>
      <c r="K641" s="10">
        <f>IFERROR(SUMIFS('Base bordo'!G$2:G$746,'Base bordo'!C$2:C$746,A641,'Base bordo'!B$2:B$746,B641,'Base bordo'!F$2:F$746,"MAN PREVENTIVA - MECANICA"),0)+IFERROR(SUMIFS('Base bordo'!G$2:G$746,'Base bordo'!C$2:C$746,A641,'Base bordo'!B$2:B$746,B641,'Base bordo'!F$2:F$746,"MAN CORRETIVA - MECANICA"),0)</f>
        <v>0</v>
      </c>
      <c r="L641" s="10">
        <f>IFERROR(SUMIFS('Base bordo'!G$2:G$746,'Base bordo'!C$2:C$746,A641,'Base bordo'!B$2:B$746,B641,'Base bordo'!F$2:F$746,"MANUTENCAO - T O"),0)+IFERROR(SUMIFS('Base bordo'!G$2:G$746,'Base bordo'!C$2:C$746,A641,'Base bordo'!B$2:B$746,B641,'Base bordo'!F$2:F$746,"MANUTENCAO BORRACHARIA"),0)+IFERROR(SUMIFS('Base bordo'!G$2:G$746,'Base bordo'!C$2:C$746,A641,'Base bordo'!B$2:B$746,B641,'Base bordo'!F$2:F$746,"MANUTENCAO EXTERNA  CONCESSIONARIA"),0)+IFERROR(SUMIFS('Base bordo'!G$2:G$746,'Base bordo'!C$2:C$746,A641,'Base bordo'!B$2:B$746,B641,'Base bordo'!F$2:F$746,"MANUTENCAO TELEMETRIA"),0)</f>
        <v>18.408888888888889</v>
      </c>
      <c r="M641" s="10">
        <f>IFERROR(SUMIFS('Base bordo'!G$2:G$746,'Base bordo'!C$2:C$746,A641,'Base bordo'!B$2:B$746,B641,'Base bordo'!F$2:F$746,"AGUARDANDO MANUTENCAO"),0)</f>
        <v>0</v>
      </c>
      <c r="N641" s="10">
        <f>IFERROR(SUMIFS('Base bordo'!G$2:G$746,'Base bordo'!C$2:C$746,A641,'Base bordo'!B$2:B$746,B641,'Base bordo'!F$2:F$746,"SEM APONTAMENTO"),0)</f>
        <v>0</v>
      </c>
      <c r="O641" s="10">
        <f t="shared" si="66"/>
        <v>0.16222222222222271</v>
      </c>
      <c r="P641" s="10">
        <f>IFERROR(SUMIFS('Base bordo'!G$2:G$746,'Base bordo'!C$2:C$746,A641,'Base bordo'!B$2:B$746,B641),0)</f>
        <v>22</v>
      </c>
      <c r="Q641" s="10">
        <f>IFERROR(SUMIFS('Base bordo'!H$2:H$746,'Base bordo'!C$2:C$746,A641,'Base bordo'!B$2:B$746,B641,'Base bordo'!F$2:F$746,"DESLOCAMENTO VAZIO"),0)</f>
        <v>234348.68000000002</v>
      </c>
      <c r="R641" s="10">
        <f>IFERROR(SUMIFS('Base bordo'!I$2:I$746,'Base bordo'!C$2:C$746,A641,'Base bordo'!B$2:B$746,B641,'Base bordo'!F$2:F$746,"DESLOCAMENTO VAZIO"),0)</f>
        <v>6927</v>
      </c>
      <c r="S641" s="30">
        <f t="shared" si="67"/>
        <v>33.831193879024113</v>
      </c>
      <c r="T641" s="10">
        <f>IFERROR(SUMIFS('Base bordo'!H$2:H$746,'Base bordo'!C$2:C$746,A641,'Base bordo'!B$2:B$746,B641,'Base bordo'!F$2:F$746,"DESLOCAMENTO CARREGADO"),0)</f>
        <v>0</v>
      </c>
      <c r="U641" s="10">
        <f>IFERROR(SUMIFS('Base bordo'!I$2:I$746,'Base bordo'!C$2:C$746,A641,'Base bordo'!B$2:B$746,B641,'Base bordo'!F$2:F$746,"DESLOCAMENTO CARREGADO"),0)</f>
        <v>0</v>
      </c>
      <c r="V641" s="30" t="str">
        <f t="shared" si="68"/>
        <v/>
      </c>
      <c r="W641" s="9">
        <f t="shared" si="69"/>
        <v>8.7462121212121213E-2</v>
      </c>
      <c r="X641" s="9">
        <f t="shared" si="70"/>
        <v>0</v>
      </c>
      <c r="Y641" s="9">
        <f t="shared" si="71"/>
        <v>0.91253787878787884</v>
      </c>
    </row>
    <row r="642" spans="1:25" ht="15" customHeight="1" x14ac:dyDescent="0.35">
      <c r="A642" s="52">
        <v>8013476</v>
      </c>
      <c r="B642" s="51">
        <v>46117</v>
      </c>
      <c r="C642" s="7" t="s">
        <v>124</v>
      </c>
      <c r="D642" s="10">
        <f>IFERROR(SUMIFS('Base bordo'!G$2:G$746,'Base bordo'!C$2:C$746,A642,'Base bordo'!B$2:B$746,B642,'Base bordo'!F$2:F$746,"DESLOCAMENTO VAZIO"),0)</f>
        <v>1.9241666666666666</v>
      </c>
      <c r="E642" s="10">
        <f>IFERROR(SUMIFS('Base bordo'!G$2:G$746,'Base bordo'!C$2:C$746,A642,'Base bordo'!B$2:B$746,B642,'Base bordo'!F$2:F$746,"DESLOCAMENTO CARREGADO"),0)</f>
        <v>0</v>
      </c>
      <c r="F642" s="10">
        <f>IFERROR(SUMIFS('Base bordo'!G$2:G$746,'Base bordo'!C$2:C$746,A642,'Base bordo'!B$2:B$746,B642,'Base bordo'!F$2:F$746,"DESLOCAMENTO"),0)</f>
        <v>0</v>
      </c>
      <c r="G642" s="10">
        <f>IFERROR(SUMIFS('Base bordo'!G$2:G$746,'Base bordo'!C$2:C$746,A642,'Base bordo'!B$2:B$746,B642,'Base bordo'!F$2:F$746,"CARREGAMENTO"),0)</f>
        <v>1.3391666666666666</v>
      </c>
      <c r="H642" s="10">
        <f>IFERROR(SUMIFS('Base bordo'!G$2:G$746,'Base bordo'!C$2:C$746,A642,'Base bordo'!B$2:B$746,B642,'Base bordo'!F$2:F$746,"AGUARDANDO TRANSBORDO"),0)</f>
        <v>0.16555555555555557</v>
      </c>
      <c r="I642" s="10">
        <f>IFERROR(SUMIFS('Base bordo'!G$2:G$746,'Base bordo'!C$2:C$746,A642,'Base bordo'!B$2:B$746,B642,'Base bordo'!F$2:F$746,"PÁTIO INTERNO"),0)+IFERROR(SUMIFS('Base bordo'!G$2:G$746,'Base bordo'!C$2:C$746,A642,'Base bordo'!B$2:B$746,B642,'Base bordo'!F$2:F$746,"PÁTIO EXTERNO"),0)+IFERROR(SUMIFS('Base bordo'!G$2:G$746,'Base bordo'!C$2:C$746,A642,'Base bordo'!B$2:B$746,B642,'Base bordo'!F$2:F$746,"PATIO - RESERVA"),0)+IFERROR(SUMIFS('Base bordo'!G$2:G$746,'Base bordo'!C$2:C$746,A642,'Base bordo'!B$2:B$746,B642,'Base bordo'!F$2:F$746,"MANOBRA CARRETAS-PATIO"),0)</f>
        <v>0</v>
      </c>
      <c r="J642" s="10">
        <f>IFERROR(SUMIFS('Base bordo'!G$2:G$746,'Base bordo'!C$2:C$746,A642,'Base bordo'!B$2:B$746,B642,'Base bordo'!F$2:F$746,"BALANÇA - ENTRADA"),0)+IFERROR(SUMIFS('Base bordo'!G$2:G$746,'Base bordo'!C$2:C$746,A642,'Base bordo'!B$2:B$746,B642,'Base bordo'!F$2:F$746,"BALANÇA - SAÍDA"),0)</f>
        <v>0</v>
      </c>
      <c r="K642" s="10">
        <f>IFERROR(SUMIFS('Base bordo'!G$2:G$746,'Base bordo'!C$2:C$746,A642,'Base bordo'!B$2:B$746,B642,'Base bordo'!F$2:F$746,"MAN PREVENTIVA - MECANICA"),0)+IFERROR(SUMIFS('Base bordo'!G$2:G$746,'Base bordo'!C$2:C$746,A642,'Base bordo'!B$2:B$746,B642,'Base bordo'!F$2:F$746,"MAN CORRETIVA - MECANICA"),0)</f>
        <v>0</v>
      </c>
      <c r="L642" s="10">
        <f>IFERROR(SUMIFS('Base bordo'!G$2:G$746,'Base bordo'!C$2:C$746,A642,'Base bordo'!B$2:B$746,B642,'Base bordo'!F$2:F$746,"MANUTENCAO - T O"),0)+IFERROR(SUMIFS('Base bordo'!G$2:G$746,'Base bordo'!C$2:C$746,A642,'Base bordo'!B$2:B$746,B642,'Base bordo'!F$2:F$746,"MANUTENCAO BORRACHARIA"),0)+IFERROR(SUMIFS('Base bordo'!G$2:G$746,'Base bordo'!C$2:C$746,A642,'Base bordo'!B$2:B$746,B642,'Base bordo'!F$2:F$746,"MANUTENCAO EXTERNA  CONCESSIONARIA"),0)+IFERROR(SUMIFS('Base bordo'!G$2:G$746,'Base bordo'!C$2:C$746,A642,'Base bordo'!B$2:B$746,B642,'Base bordo'!F$2:F$746,"MANUTENCAO TELEMETRIA"),0)</f>
        <v>18.408888888888889</v>
      </c>
      <c r="M642" s="10">
        <f>IFERROR(SUMIFS('Base bordo'!G$2:G$746,'Base bordo'!C$2:C$746,A642,'Base bordo'!B$2:B$746,B642,'Base bordo'!F$2:F$746,"AGUARDANDO MANUTENCAO"),0)</f>
        <v>0</v>
      </c>
      <c r="N642" s="10">
        <f>IFERROR(SUMIFS('Base bordo'!G$2:G$746,'Base bordo'!C$2:C$746,A642,'Base bordo'!B$2:B$746,B642,'Base bordo'!F$2:F$746,"SEM APONTAMENTO"),0)</f>
        <v>0</v>
      </c>
      <c r="O642" s="10">
        <f t="shared" si="66"/>
        <v>0.16222222222222271</v>
      </c>
      <c r="P642" s="10">
        <f>IFERROR(SUMIFS('Base bordo'!G$2:G$746,'Base bordo'!C$2:C$746,A642,'Base bordo'!B$2:B$746,B642),0)</f>
        <v>22</v>
      </c>
      <c r="Q642" s="10">
        <f>IFERROR(SUMIFS('Base bordo'!H$2:H$746,'Base bordo'!C$2:C$746,A642,'Base bordo'!B$2:B$746,B642,'Base bordo'!F$2:F$746,"DESLOCAMENTO VAZIO"),0)</f>
        <v>234348.68000000002</v>
      </c>
      <c r="R642" s="10">
        <f>IFERROR(SUMIFS('Base bordo'!I$2:I$746,'Base bordo'!C$2:C$746,A642,'Base bordo'!B$2:B$746,B642,'Base bordo'!F$2:F$746,"DESLOCAMENTO VAZIO"),0)</f>
        <v>6927</v>
      </c>
      <c r="S642" s="30">
        <f t="shared" si="67"/>
        <v>33.831193879024113</v>
      </c>
      <c r="T642" s="10">
        <f>IFERROR(SUMIFS('Base bordo'!H$2:H$746,'Base bordo'!C$2:C$746,A642,'Base bordo'!B$2:B$746,B642,'Base bordo'!F$2:F$746,"DESLOCAMENTO CARREGADO"),0)</f>
        <v>0</v>
      </c>
      <c r="U642" s="10">
        <f>IFERROR(SUMIFS('Base bordo'!I$2:I$746,'Base bordo'!C$2:C$746,A642,'Base bordo'!B$2:B$746,B642,'Base bordo'!F$2:F$746,"DESLOCAMENTO CARREGADO"),0)</f>
        <v>0</v>
      </c>
      <c r="V642" s="30" t="str">
        <f t="shared" si="68"/>
        <v/>
      </c>
      <c r="W642" s="9">
        <f t="shared" si="69"/>
        <v>8.7462121212121213E-2</v>
      </c>
      <c r="X642" s="9">
        <f t="shared" si="70"/>
        <v>0</v>
      </c>
      <c r="Y642" s="9">
        <f t="shared" si="71"/>
        <v>0.91253787878787884</v>
      </c>
    </row>
    <row r="643" spans="1:25" ht="15" customHeight="1" x14ac:dyDescent="0.35">
      <c r="A643" s="52">
        <v>8013478</v>
      </c>
      <c r="B643" s="51">
        <v>46117</v>
      </c>
      <c r="C643" s="7" t="s">
        <v>124</v>
      </c>
      <c r="D643" s="10">
        <f>IFERROR(SUMIFS('Base bordo'!G$2:G$746,'Base bordo'!C$2:C$746,A643,'Base bordo'!B$2:B$746,B643,'Base bordo'!F$2:F$746,"DESLOCAMENTO VAZIO"),0)</f>
        <v>3.3080555555555557</v>
      </c>
      <c r="E643" s="10">
        <f>IFERROR(SUMIFS('Base bordo'!G$2:G$746,'Base bordo'!C$2:C$746,A643,'Base bordo'!B$2:B$746,B643,'Base bordo'!F$2:F$746,"DESLOCAMENTO CARREGADO"),0)</f>
        <v>0.25666666666666665</v>
      </c>
      <c r="F643" s="10">
        <f>IFERROR(SUMIFS('Base bordo'!G$2:G$746,'Base bordo'!C$2:C$746,A643,'Base bordo'!B$2:B$746,B643,'Base bordo'!F$2:F$746,"DESLOCAMENTO"),0)</f>
        <v>0.71666666666666667</v>
      </c>
      <c r="G643" s="10">
        <f>IFERROR(SUMIFS('Base bordo'!G$2:G$746,'Base bordo'!C$2:C$746,A643,'Base bordo'!B$2:B$746,B643,'Base bordo'!F$2:F$746,"CARREGAMENTO"),0)</f>
        <v>7.4722222222222218E-2</v>
      </c>
      <c r="H643" s="10">
        <f>IFERROR(SUMIFS('Base bordo'!G$2:G$746,'Base bordo'!C$2:C$746,A643,'Base bordo'!B$2:B$746,B643,'Base bordo'!F$2:F$746,"AGUARDANDO TRANSBORDO"),0)</f>
        <v>0.18472222222222223</v>
      </c>
      <c r="I643" s="10">
        <f>IFERROR(SUMIFS('Base bordo'!G$2:G$746,'Base bordo'!C$2:C$746,A643,'Base bordo'!B$2:B$746,B643,'Base bordo'!F$2:F$746,"PÁTIO INTERNO"),0)+IFERROR(SUMIFS('Base bordo'!G$2:G$746,'Base bordo'!C$2:C$746,A643,'Base bordo'!B$2:B$746,B643,'Base bordo'!F$2:F$746,"PÁTIO EXTERNO"),0)+IFERROR(SUMIFS('Base bordo'!G$2:G$746,'Base bordo'!C$2:C$746,A643,'Base bordo'!B$2:B$746,B643,'Base bordo'!F$2:F$746,"PATIO - RESERVA"),0)+IFERROR(SUMIFS('Base bordo'!G$2:G$746,'Base bordo'!C$2:C$746,A643,'Base bordo'!B$2:B$746,B643,'Base bordo'!F$2:F$746,"MANOBRA CARRETAS-PATIO"),0)</f>
        <v>0</v>
      </c>
      <c r="J643" s="10">
        <f>IFERROR(SUMIFS('Base bordo'!G$2:G$746,'Base bordo'!C$2:C$746,A643,'Base bordo'!B$2:B$746,B643,'Base bordo'!F$2:F$746,"BALANÇA - ENTRADA"),0)+IFERROR(SUMIFS('Base bordo'!G$2:G$746,'Base bordo'!C$2:C$746,A643,'Base bordo'!B$2:B$746,B643,'Base bordo'!F$2:F$746,"BALANÇA - SAÍDA"),0)</f>
        <v>0</v>
      </c>
      <c r="K643" s="10">
        <f>IFERROR(SUMIFS('Base bordo'!G$2:G$746,'Base bordo'!C$2:C$746,A643,'Base bordo'!B$2:B$746,B643,'Base bordo'!F$2:F$746,"MAN PREVENTIVA - MECANICA"),0)+IFERROR(SUMIFS('Base bordo'!G$2:G$746,'Base bordo'!C$2:C$746,A643,'Base bordo'!B$2:B$746,B643,'Base bordo'!F$2:F$746,"MAN CORRETIVA - MECANICA"),0)</f>
        <v>0</v>
      </c>
      <c r="L643" s="10">
        <f>IFERROR(SUMIFS('Base bordo'!G$2:G$746,'Base bordo'!C$2:C$746,A643,'Base bordo'!B$2:B$746,B643,'Base bordo'!F$2:F$746,"MANUTENCAO - T O"),0)+IFERROR(SUMIFS('Base bordo'!G$2:G$746,'Base bordo'!C$2:C$746,A643,'Base bordo'!B$2:B$746,B643,'Base bordo'!F$2:F$746,"MANUTENCAO BORRACHARIA"),0)+IFERROR(SUMIFS('Base bordo'!G$2:G$746,'Base bordo'!C$2:C$746,A643,'Base bordo'!B$2:B$746,B643,'Base bordo'!F$2:F$746,"MANUTENCAO EXTERNA  CONCESSIONARIA"),0)+IFERROR(SUMIFS('Base bordo'!G$2:G$746,'Base bordo'!C$2:C$746,A643,'Base bordo'!B$2:B$746,B643,'Base bordo'!F$2:F$746,"MANUTENCAO TELEMETRIA"),0)</f>
        <v>15.166944444444445</v>
      </c>
      <c r="M643" s="10">
        <f>IFERROR(SUMIFS('Base bordo'!G$2:G$746,'Base bordo'!C$2:C$746,A643,'Base bordo'!B$2:B$746,B643,'Base bordo'!F$2:F$746,"AGUARDANDO MANUTENCAO"),0)</f>
        <v>0</v>
      </c>
      <c r="N643" s="10">
        <f>IFERROR(SUMIFS('Base bordo'!G$2:G$746,'Base bordo'!C$2:C$746,A643,'Base bordo'!B$2:B$746,B643,'Base bordo'!F$2:F$746,"SEM APONTAMENTO"),0)</f>
        <v>0.64555555555555555</v>
      </c>
      <c r="O643" s="10">
        <f t="shared" si="66"/>
        <v>3.6466666666666683</v>
      </c>
      <c r="P643" s="10">
        <f>IFERROR(SUMIFS('Base bordo'!G$2:G$746,'Base bordo'!C$2:C$746,A643,'Base bordo'!B$2:B$746,B643),0)</f>
        <v>24.000000000000004</v>
      </c>
      <c r="Q643" s="10">
        <f>IFERROR(SUMIFS('Base bordo'!H$2:H$746,'Base bordo'!C$2:C$746,A643,'Base bordo'!B$2:B$746,B643,'Base bordo'!F$2:F$746,"DESLOCAMENTO VAZIO"),0)</f>
        <v>327757.84999999998</v>
      </c>
      <c r="R643" s="10">
        <f>IFERROR(SUMIFS('Base bordo'!I$2:I$746,'Base bordo'!C$2:C$746,A643,'Base bordo'!B$2:B$746,B643,'Base bordo'!F$2:F$746,"DESLOCAMENTO VAZIO"),0)</f>
        <v>11909</v>
      </c>
      <c r="S643" s="30">
        <f t="shared" si="67"/>
        <v>27.521861617264253</v>
      </c>
      <c r="T643" s="10">
        <f>IFERROR(SUMIFS('Base bordo'!H$2:H$746,'Base bordo'!C$2:C$746,A643,'Base bordo'!B$2:B$746,B643,'Base bordo'!F$2:F$746,"DESLOCAMENTO CARREGADO"),0)</f>
        <v>25650.240000000002</v>
      </c>
      <c r="U643" s="10">
        <f>IFERROR(SUMIFS('Base bordo'!I$2:I$746,'Base bordo'!C$2:C$746,A643,'Base bordo'!B$2:B$746,B643,'Base bordo'!F$2:F$746,"DESLOCAMENTO CARREGADO"),0)</f>
        <v>924</v>
      </c>
      <c r="V643" s="30">
        <f t="shared" si="68"/>
        <v>27.76</v>
      </c>
      <c r="W643" s="9">
        <f t="shared" si="69"/>
        <v>0.13783564814814814</v>
      </c>
      <c r="X643" s="9">
        <f t="shared" si="70"/>
        <v>1.0694444444444442E-2</v>
      </c>
      <c r="Y643" s="9">
        <f t="shared" si="71"/>
        <v>0.85146990740740747</v>
      </c>
    </row>
    <row r="644" spans="1:25" ht="15" customHeight="1" x14ac:dyDescent="0.35">
      <c r="A644" s="52">
        <v>8013478</v>
      </c>
      <c r="B644" s="51">
        <v>46117</v>
      </c>
      <c r="C644" s="7" t="s">
        <v>124</v>
      </c>
      <c r="D644" s="10">
        <f>IFERROR(SUMIFS('Base bordo'!G$2:G$746,'Base bordo'!C$2:C$746,A644,'Base bordo'!B$2:B$746,B644,'Base bordo'!F$2:F$746,"DESLOCAMENTO VAZIO"),0)</f>
        <v>3.3080555555555557</v>
      </c>
      <c r="E644" s="10">
        <f>IFERROR(SUMIFS('Base bordo'!G$2:G$746,'Base bordo'!C$2:C$746,A644,'Base bordo'!B$2:B$746,B644,'Base bordo'!F$2:F$746,"DESLOCAMENTO CARREGADO"),0)</f>
        <v>0.25666666666666665</v>
      </c>
      <c r="F644" s="10">
        <f>IFERROR(SUMIFS('Base bordo'!G$2:G$746,'Base bordo'!C$2:C$746,A644,'Base bordo'!B$2:B$746,B644,'Base bordo'!F$2:F$746,"DESLOCAMENTO"),0)</f>
        <v>0.71666666666666667</v>
      </c>
      <c r="G644" s="10">
        <f>IFERROR(SUMIFS('Base bordo'!G$2:G$746,'Base bordo'!C$2:C$746,A644,'Base bordo'!B$2:B$746,B644,'Base bordo'!F$2:F$746,"CARREGAMENTO"),0)</f>
        <v>7.4722222222222218E-2</v>
      </c>
      <c r="H644" s="10">
        <f>IFERROR(SUMIFS('Base bordo'!G$2:G$746,'Base bordo'!C$2:C$746,A644,'Base bordo'!B$2:B$746,B644,'Base bordo'!F$2:F$746,"AGUARDANDO TRANSBORDO"),0)</f>
        <v>0.18472222222222223</v>
      </c>
      <c r="I644" s="10">
        <f>IFERROR(SUMIFS('Base bordo'!G$2:G$746,'Base bordo'!C$2:C$746,A644,'Base bordo'!B$2:B$746,B644,'Base bordo'!F$2:F$746,"PÁTIO INTERNO"),0)+IFERROR(SUMIFS('Base bordo'!G$2:G$746,'Base bordo'!C$2:C$746,A644,'Base bordo'!B$2:B$746,B644,'Base bordo'!F$2:F$746,"PÁTIO EXTERNO"),0)+IFERROR(SUMIFS('Base bordo'!G$2:G$746,'Base bordo'!C$2:C$746,A644,'Base bordo'!B$2:B$746,B644,'Base bordo'!F$2:F$746,"PATIO - RESERVA"),0)+IFERROR(SUMIFS('Base bordo'!G$2:G$746,'Base bordo'!C$2:C$746,A644,'Base bordo'!B$2:B$746,B644,'Base bordo'!F$2:F$746,"MANOBRA CARRETAS-PATIO"),0)</f>
        <v>0</v>
      </c>
      <c r="J644" s="10">
        <f>IFERROR(SUMIFS('Base bordo'!G$2:G$746,'Base bordo'!C$2:C$746,A644,'Base bordo'!B$2:B$746,B644,'Base bordo'!F$2:F$746,"BALANÇA - ENTRADA"),0)+IFERROR(SUMIFS('Base bordo'!G$2:G$746,'Base bordo'!C$2:C$746,A644,'Base bordo'!B$2:B$746,B644,'Base bordo'!F$2:F$746,"BALANÇA - SAÍDA"),0)</f>
        <v>0</v>
      </c>
      <c r="K644" s="10">
        <f>IFERROR(SUMIFS('Base bordo'!G$2:G$746,'Base bordo'!C$2:C$746,A644,'Base bordo'!B$2:B$746,B644,'Base bordo'!F$2:F$746,"MAN PREVENTIVA - MECANICA"),0)+IFERROR(SUMIFS('Base bordo'!G$2:G$746,'Base bordo'!C$2:C$746,A644,'Base bordo'!B$2:B$746,B644,'Base bordo'!F$2:F$746,"MAN CORRETIVA - MECANICA"),0)</f>
        <v>0</v>
      </c>
      <c r="L644" s="10">
        <f>IFERROR(SUMIFS('Base bordo'!G$2:G$746,'Base bordo'!C$2:C$746,A644,'Base bordo'!B$2:B$746,B644,'Base bordo'!F$2:F$746,"MANUTENCAO - T O"),0)+IFERROR(SUMIFS('Base bordo'!G$2:G$746,'Base bordo'!C$2:C$746,A644,'Base bordo'!B$2:B$746,B644,'Base bordo'!F$2:F$746,"MANUTENCAO BORRACHARIA"),0)+IFERROR(SUMIFS('Base bordo'!G$2:G$746,'Base bordo'!C$2:C$746,A644,'Base bordo'!B$2:B$746,B644,'Base bordo'!F$2:F$746,"MANUTENCAO EXTERNA  CONCESSIONARIA"),0)+IFERROR(SUMIFS('Base bordo'!G$2:G$746,'Base bordo'!C$2:C$746,A644,'Base bordo'!B$2:B$746,B644,'Base bordo'!F$2:F$746,"MANUTENCAO TELEMETRIA"),0)</f>
        <v>15.166944444444445</v>
      </c>
      <c r="M644" s="10">
        <f>IFERROR(SUMIFS('Base bordo'!G$2:G$746,'Base bordo'!C$2:C$746,A644,'Base bordo'!B$2:B$746,B644,'Base bordo'!F$2:F$746,"AGUARDANDO MANUTENCAO"),0)</f>
        <v>0</v>
      </c>
      <c r="N644" s="10">
        <f>IFERROR(SUMIFS('Base bordo'!G$2:G$746,'Base bordo'!C$2:C$746,A644,'Base bordo'!B$2:B$746,B644,'Base bordo'!F$2:F$746,"SEM APONTAMENTO"),0)</f>
        <v>0.64555555555555555</v>
      </c>
      <c r="O644" s="10">
        <f t="shared" si="66"/>
        <v>3.6466666666666683</v>
      </c>
      <c r="P644" s="10">
        <f>IFERROR(SUMIFS('Base bordo'!G$2:G$746,'Base bordo'!C$2:C$746,A644,'Base bordo'!B$2:B$746,B644),0)</f>
        <v>24.000000000000004</v>
      </c>
      <c r="Q644" s="10">
        <f>IFERROR(SUMIFS('Base bordo'!H$2:H$746,'Base bordo'!C$2:C$746,A644,'Base bordo'!B$2:B$746,B644,'Base bordo'!F$2:F$746,"DESLOCAMENTO VAZIO"),0)</f>
        <v>327757.84999999998</v>
      </c>
      <c r="R644" s="10">
        <f>IFERROR(SUMIFS('Base bordo'!I$2:I$746,'Base bordo'!C$2:C$746,A644,'Base bordo'!B$2:B$746,B644,'Base bordo'!F$2:F$746,"DESLOCAMENTO VAZIO"),0)</f>
        <v>11909</v>
      </c>
      <c r="S644" s="30">
        <f t="shared" si="67"/>
        <v>27.521861617264253</v>
      </c>
      <c r="T644" s="10">
        <f>IFERROR(SUMIFS('Base bordo'!H$2:H$746,'Base bordo'!C$2:C$746,A644,'Base bordo'!B$2:B$746,B644,'Base bordo'!F$2:F$746,"DESLOCAMENTO CARREGADO"),0)</f>
        <v>25650.240000000002</v>
      </c>
      <c r="U644" s="10">
        <f>IFERROR(SUMIFS('Base bordo'!I$2:I$746,'Base bordo'!C$2:C$746,A644,'Base bordo'!B$2:B$746,B644,'Base bordo'!F$2:F$746,"DESLOCAMENTO CARREGADO"),0)</f>
        <v>924</v>
      </c>
      <c r="V644" s="30">
        <f t="shared" si="68"/>
        <v>27.76</v>
      </c>
      <c r="W644" s="9">
        <f t="shared" si="69"/>
        <v>0.13783564814814814</v>
      </c>
      <c r="X644" s="9">
        <f t="shared" si="70"/>
        <v>1.0694444444444442E-2</v>
      </c>
      <c r="Y644" s="9">
        <f t="shared" si="71"/>
        <v>0.85146990740740747</v>
      </c>
    </row>
    <row r="645" spans="1:25" ht="15" customHeight="1" x14ac:dyDescent="0.35">
      <c r="A645" s="52">
        <v>8013478</v>
      </c>
      <c r="B645" s="51">
        <v>46117</v>
      </c>
      <c r="C645" s="7" t="s">
        <v>124</v>
      </c>
      <c r="D645" s="10">
        <f>IFERROR(SUMIFS('Base bordo'!G$2:G$746,'Base bordo'!C$2:C$746,A645,'Base bordo'!B$2:B$746,B645,'Base bordo'!F$2:F$746,"DESLOCAMENTO VAZIO"),0)</f>
        <v>3.3080555555555557</v>
      </c>
      <c r="E645" s="10">
        <f>IFERROR(SUMIFS('Base bordo'!G$2:G$746,'Base bordo'!C$2:C$746,A645,'Base bordo'!B$2:B$746,B645,'Base bordo'!F$2:F$746,"DESLOCAMENTO CARREGADO"),0)</f>
        <v>0.25666666666666665</v>
      </c>
      <c r="F645" s="10">
        <f>IFERROR(SUMIFS('Base bordo'!G$2:G$746,'Base bordo'!C$2:C$746,A645,'Base bordo'!B$2:B$746,B645,'Base bordo'!F$2:F$746,"DESLOCAMENTO"),0)</f>
        <v>0.71666666666666667</v>
      </c>
      <c r="G645" s="10">
        <f>IFERROR(SUMIFS('Base bordo'!G$2:G$746,'Base bordo'!C$2:C$746,A645,'Base bordo'!B$2:B$746,B645,'Base bordo'!F$2:F$746,"CARREGAMENTO"),0)</f>
        <v>7.4722222222222218E-2</v>
      </c>
      <c r="H645" s="10">
        <f>IFERROR(SUMIFS('Base bordo'!G$2:G$746,'Base bordo'!C$2:C$746,A645,'Base bordo'!B$2:B$746,B645,'Base bordo'!F$2:F$746,"AGUARDANDO TRANSBORDO"),0)</f>
        <v>0.18472222222222223</v>
      </c>
      <c r="I645" s="10">
        <f>IFERROR(SUMIFS('Base bordo'!G$2:G$746,'Base bordo'!C$2:C$746,A645,'Base bordo'!B$2:B$746,B645,'Base bordo'!F$2:F$746,"PÁTIO INTERNO"),0)+IFERROR(SUMIFS('Base bordo'!G$2:G$746,'Base bordo'!C$2:C$746,A645,'Base bordo'!B$2:B$746,B645,'Base bordo'!F$2:F$746,"PÁTIO EXTERNO"),0)+IFERROR(SUMIFS('Base bordo'!G$2:G$746,'Base bordo'!C$2:C$746,A645,'Base bordo'!B$2:B$746,B645,'Base bordo'!F$2:F$746,"PATIO - RESERVA"),0)+IFERROR(SUMIFS('Base bordo'!G$2:G$746,'Base bordo'!C$2:C$746,A645,'Base bordo'!B$2:B$746,B645,'Base bordo'!F$2:F$746,"MANOBRA CARRETAS-PATIO"),0)</f>
        <v>0</v>
      </c>
      <c r="J645" s="10">
        <f>IFERROR(SUMIFS('Base bordo'!G$2:G$746,'Base bordo'!C$2:C$746,A645,'Base bordo'!B$2:B$746,B645,'Base bordo'!F$2:F$746,"BALANÇA - ENTRADA"),0)+IFERROR(SUMIFS('Base bordo'!G$2:G$746,'Base bordo'!C$2:C$746,A645,'Base bordo'!B$2:B$746,B645,'Base bordo'!F$2:F$746,"BALANÇA - SAÍDA"),0)</f>
        <v>0</v>
      </c>
      <c r="K645" s="10">
        <f>IFERROR(SUMIFS('Base bordo'!G$2:G$746,'Base bordo'!C$2:C$746,A645,'Base bordo'!B$2:B$746,B645,'Base bordo'!F$2:F$746,"MAN PREVENTIVA - MECANICA"),0)+IFERROR(SUMIFS('Base bordo'!G$2:G$746,'Base bordo'!C$2:C$746,A645,'Base bordo'!B$2:B$746,B645,'Base bordo'!F$2:F$746,"MAN CORRETIVA - MECANICA"),0)</f>
        <v>0</v>
      </c>
      <c r="L645" s="10">
        <f>IFERROR(SUMIFS('Base bordo'!G$2:G$746,'Base bordo'!C$2:C$746,A645,'Base bordo'!B$2:B$746,B645,'Base bordo'!F$2:F$746,"MANUTENCAO - T O"),0)+IFERROR(SUMIFS('Base bordo'!G$2:G$746,'Base bordo'!C$2:C$746,A645,'Base bordo'!B$2:B$746,B645,'Base bordo'!F$2:F$746,"MANUTENCAO BORRACHARIA"),0)+IFERROR(SUMIFS('Base bordo'!G$2:G$746,'Base bordo'!C$2:C$746,A645,'Base bordo'!B$2:B$746,B645,'Base bordo'!F$2:F$746,"MANUTENCAO EXTERNA  CONCESSIONARIA"),0)+IFERROR(SUMIFS('Base bordo'!G$2:G$746,'Base bordo'!C$2:C$746,A645,'Base bordo'!B$2:B$746,B645,'Base bordo'!F$2:F$746,"MANUTENCAO TELEMETRIA"),0)</f>
        <v>15.166944444444445</v>
      </c>
      <c r="M645" s="10">
        <f>IFERROR(SUMIFS('Base bordo'!G$2:G$746,'Base bordo'!C$2:C$746,A645,'Base bordo'!B$2:B$746,B645,'Base bordo'!F$2:F$746,"AGUARDANDO MANUTENCAO"),0)</f>
        <v>0</v>
      </c>
      <c r="N645" s="10">
        <f>IFERROR(SUMIFS('Base bordo'!G$2:G$746,'Base bordo'!C$2:C$746,A645,'Base bordo'!B$2:B$746,B645,'Base bordo'!F$2:F$746,"SEM APONTAMENTO"),0)</f>
        <v>0.64555555555555555</v>
      </c>
      <c r="O645" s="10">
        <f t="shared" si="66"/>
        <v>3.6466666666666683</v>
      </c>
      <c r="P645" s="10">
        <f>IFERROR(SUMIFS('Base bordo'!G$2:G$746,'Base bordo'!C$2:C$746,A645,'Base bordo'!B$2:B$746,B645),0)</f>
        <v>24.000000000000004</v>
      </c>
      <c r="Q645" s="10">
        <f>IFERROR(SUMIFS('Base bordo'!H$2:H$746,'Base bordo'!C$2:C$746,A645,'Base bordo'!B$2:B$746,B645,'Base bordo'!F$2:F$746,"DESLOCAMENTO VAZIO"),0)</f>
        <v>327757.84999999998</v>
      </c>
      <c r="R645" s="10">
        <f>IFERROR(SUMIFS('Base bordo'!I$2:I$746,'Base bordo'!C$2:C$746,A645,'Base bordo'!B$2:B$746,B645,'Base bordo'!F$2:F$746,"DESLOCAMENTO VAZIO"),0)</f>
        <v>11909</v>
      </c>
      <c r="S645" s="30">
        <f t="shared" si="67"/>
        <v>27.521861617264253</v>
      </c>
      <c r="T645" s="10">
        <f>IFERROR(SUMIFS('Base bordo'!H$2:H$746,'Base bordo'!C$2:C$746,A645,'Base bordo'!B$2:B$746,B645,'Base bordo'!F$2:F$746,"DESLOCAMENTO CARREGADO"),0)</f>
        <v>25650.240000000002</v>
      </c>
      <c r="U645" s="10">
        <f>IFERROR(SUMIFS('Base bordo'!I$2:I$746,'Base bordo'!C$2:C$746,A645,'Base bordo'!B$2:B$746,B645,'Base bordo'!F$2:F$746,"DESLOCAMENTO CARREGADO"),0)</f>
        <v>924</v>
      </c>
      <c r="V645" s="30">
        <f t="shared" si="68"/>
        <v>27.76</v>
      </c>
      <c r="W645" s="9">
        <f t="shared" si="69"/>
        <v>0.13783564814814814</v>
      </c>
      <c r="X645" s="9">
        <f t="shared" si="70"/>
        <v>1.0694444444444442E-2</v>
      </c>
      <c r="Y645" s="9">
        <f t="shared" si="71"/>
        <v>0.85146990740740747</v>
      </c>
    </row>
    <row r="646" spans="1:25" ht="15" customHeight="1" x14ac:dyDescent="0.35">
      <c r="A646" s="52">
        <v>8013478</v>
      </c>
      <c r="B646" s="51">
        <v>46117</v>
      </c>
      <c r="C646" s="7" t="s">
        <v>124</v>
      </c>
      <c r="D646" s="10">
        <f>IFERROR(SUMIFS('Base bordo'!G$2:G$746,'Base bordo'!C$2:C$746,A646,'Base bordo'!B$2:B$746,B646,'Base bordo'!F$2:F$746,"DESLOCAMENTO VAZIO"),0)</f>
        <v>3.3080555555555557</v>
      </c>
      <c r="E646" s="10">
        <f>IFERROR(SUMIFS('Base bordo'!G$2:G$746,'Base bordo'!C$2:C$746,A646,'Base bordo'!B$2:B$746,B646,'Base bordo'!F$2:F$746,"DESLOCAMENTO CARREGADO"),0)</f>
        <v>0.25666666666666665</v>
      </c>
      <c r="F646" s="10">
        <f>IFERROR(SUMIFS('Base bordo'!G$2:G$746,'Base bordo'!C$2:C$746,A646,'Base bordo'!B$2:B$746,B646,'Base bordo'!F$2:F$746,"DESLOCAMENTO"),0)</f>
        <v>0.71666666666666667</v>
      </c>
      <c r="G646" s="10">
        <f>IFERROR(SUMIFS('Base bordo'!G$2:G$746,'Base bordo'!C$2:C$746,A646,'Base bordo'!B$2:B$746,B646,'Base bordo'!F$2:F$746,"CARREGAMENTO"),0)</f>
        <v>7.4722222222222218E-2</v>
      </c>
      <c r="H646" s="10">
        <f>IFERROR(SUMIFS('Base bordo'!G$2:G$746,'Base bordo'!C$2:C$746,A646,'Base bordo'!B$2:B$746,B646,'Base bordo'!F$2:F$746,"AGUARDANDO TRANSBORDO"),0)</f>
        <v>0.18472222222222223</v>
      </c>
      <c r="I646" s="10">
        <f>IFERROR(SUMIFS('Base bordo'!G$2:G$746,'Base bordo'!C$2:C$746,A646,'Base bordo'!B$2:B$746,B646,'Base bordo'!F$2:F$746,"PÁTIO INTERNO"),0)+IFERROR(SUMIFS('Base bordo'!G$2:G$746,'Base bordo'!C$2:C$746,A646,'Base bordo'!B$2:B$746,B646,'Base bordo'!F$2:F$746,"PÁTIO EXTERNO"),0)+IFERROR(SUMIFS('Base bordo'!G$2:G$746,'Base bordo'!C$2:C$746,A646,'Base bordo'!B$2:B$746,B646,'Base bordo'!F$2:F$746,"PATIO - RESERVA"),0)+IFERROR(SUMIFS('Base bordo'!G$2:G$746,'Base bordo'!C$2:C$746,A646,'Base bordo'!B$2:B$746,B646,'Base bordo'!F$2:F$746,"MANOBRA CARRETAS-PATIO"),0)</f>
        <v>0</v>
      </c>
      <c r="J646" s="10">
        <f>IFERROR(SUMIFS('Base bordo'!G$2:G$746,'Base bordo'!C$2:C$746,A646,'Base bordo'!B$2:B$746,B646,'Base bordo'!F$2:F$746,"BALANÇA - ENTRADA"),0)+IFERROR(SUMIFS('Base bordo'!G$2:G$746,'Base bordo'!C$2:C$746,A646,'Base bordo'!B$2:B$746,B646,'Base bordo'!F$2:F$746,"BALANÇA - SAÍDA"),0)</f>
        <v>0</v>
      </c>
      <c r="K646" s="10">
        <f>IFERROR(SUMIFS('Base bordo'!G$2:G$746,'Base bordo'!C$2:C$746,A646,'Base bordo'!B$2:B$746,B646,'Base bordo'!F$2:F$746,"MAN PREVENTIVA - MECANICA"),0)+IFERROR(SUMIFS('Base bordo'!G$2:G$746,'Base bordo'!C$2:C$746,A646,'Base bordo'!B$2:B$746,B646,'Base bordo'!F$2:F$746,"MAN CORRETIVA - MECANICA"),0)</f>
        <v>0</v>
      </c>
      <c r="L646" s="10">
        <f>IFERROR(SUMIFS('Base bordo'!G$2:G$746,'Base bordo'!C$2:C$746,A646,'Base bordo'!B$2:B$746,B646,'Base bordo'!F$2:F$746,"MANUTENCAO - T O"),0)+IFERROR(SUMIFS('Base bordo'!G$2:G$746,'Base bordo'!C$2:C$746,A646,'Base bordo'!B$2:B$746,B646,'Base bordo'!F$2:F$746,"MANUTENCAO BORRACHARIA"),0)+IFERROR(SUMIFS('Base bordo'!G$2:G$746,'Base bordo'!C$2:C$746,A646,'Base bordo'!B$2:B$746,B646,'Base bordo'!F$2:F$746,"MANUTENCAO EXTERNA  CONCESSIONARIA"),0)+IFERROR(SUMIFS('Base bordo'!G$2:G$746,'Base bordo'!C$2:C$746,A646,'Base bordo'!B$2:B$746,B646,'Base bordo'!F$2:F$746,"MANUTENCAO TELEMETRIA"),0)</f>
        <v>15.166944444444445</v>
      </c>
      <c r="M646" s="10">
        <f>IFERROR(SUMIFS('Base bordo'!G$2:G$746,'Base bordo'!C$2:C$746,A646,'Base bordo'!B$2:B$746,B646,'Base bordo'!F$2:F$746,"AGUARDANDO MANUTENCAO"),0)</f>
        <v>0</v>
      </c>
      <c r="N646" s="10">
        <f>IFERROR(SUMIFS('Base bordo'!G$2:G$746,'Base bordo'!C$2:C$746,A646,'Base bordo'!B$2:B$746,B646,'Base bordo'!F$2:F$746,"SEM APONTAMENTO"),0)</f>
        <v>0.64555555555555555</v>
      </c>
      <c r="O646" s="10">
        <f t="shared" si="66"/>
        <v>3.6466666666666683</v>
      </c>
      <c r="P646" s="10">
        <f>IFERROR(SUMIFS('Base bordo'!G$2:G$746,'Base bordo'!C$2:C$746,A646,'Base bordo'!B$2:B$746,B646),0)</f>
        <v>24.000000000000004</v>
      </c>
      <c r="Q646" s="10">
        <f>IFERROR(SUMIFS('Base bordo'!H$2:H$746,'Base bordo'!C$2:C$746,A646,'Base bordo'!B$2:B$746,B646,'Base bordo'!F$2:F$746,"DESLOCAMENTO VAZIO"),0)</f>
        <v>327757.84999999998</v>
      </c>
      <c r="R646" s="10">
        <f>IFERROR(SUMIFS('Base bordo'!I$2:I$746,'Base bordo'!C$2:C$746,A646,'Base bordo'!B$2:B$746,B646,'Base bordo'!F$2:F$746,"DESLOCAMENTO VAZIO"),0)</f>
        <v>11909</v>
      </c>
      <c r="S646" s="30">
        <f t="shared" si="67"/>
        <v>27.521861617264253</v>
      </c>
      <c r="T646" s="10">
        <f>IFERROR(SUMIFS('Base bordo'!H$2:H$746,'Base bordo'!C$2:C$746,A646,'Base bordo'!B$2:B$746,B646,'Base bordo'!F$2:F$746,"DESLOCAMENTO CARREGADO"),0)</f>
        <v>25650.240000000002</v>
      </c>
      <c r="U646" s="10">
        <f>IFERROR(SUMIFS('Base bordo'!I$2:I$746,'Base bordo'!C$2:C$746,A646,'Base bordo'!B$2:B$746,B646,'Base bordo'!F$2:F$746,"DESLOCAMENTO CARREGADO"),0)</f>
        <v>924</v>
      </c>
      <c r="V646" s="30">
        <f t="shared" si="68"/>
        <v>27.76</v>
      </c>
      <c r="W646" s="9">
        <f t="shared" si="69"/>
        <v>0.13783564814814814</v>
      </c>
      <c r="X646" s="9">
        <f t="shared" si="70"/>
        <v>1.0694444444444442E-2</v>
      </c>
      <c r="Y646" s="9">
        <f t="shared" si="71"/>
        <v>0.85146990740740747</v>
      </c>
    </row>
    <row r="647" spans="1:25" ht="15" customHeight="1" x14ac:dyDescent="0.35">
      <c r="A647" s="52">
        <v>8013478</v>
      </c>
      <c r="B647" s="51">
        <v>46117</v>
      </c>
      <c r="C647" s="7" t="s">
        <v>124</v>
      </c>
      <c r="D647" s="10">
        <f>IFERROR(SUMIFS('Base bordo'!G$2:G$746,'Base bordo'!C$2:C$746,A647,'Base bordo'!B$2:B$746,B647,'Base bordo'!F$2:F$746,"DESLOCAMENTO VAZIO"),0)</f>
        <v>3.3080555555555557</v>
      </c>
      <c r="E647" s="10">
        <f>IFERROR(SUMIFS('Base bordo'!G$2:G$746,'Base bordo'!C$2:C$746,A647,'Base bordo'!B$2:B$746,B647,'Base bordo'!F$2:F$746,"DESLOCAMENTO CARREGADO"),0)</f>
        <v>0.25666666666666665</v>
      </c>
      <c r="F647" s="10">
        <f>IFERROR(SUMIFS('Base bordo'!G$2:G$746,'Base bordo'!C$2:C$746,A647,'Base bordo'!B$2:B$746,B647,'Base bordo'!F$2:F$746,"DESLOCAMENTO"),0)</f>
        <v>0.71666666666666667</v>
      </c>
      <c r="G647" s="10">
        <f>IFERROR(SUMIFS('Base bordo'!G$2:G$746,'Base bordo'!C$2:C$746,A647,'Base bordo'!B$2:B$746,B647,'Base bordo'!F$2:F$746,"CARREGAMENTO"),0)</f>
        <v>7.4722222222222218E-2</v>
      </c>
      <c r="H647" s="10">
        <f>IFERROR(SUMIFS('Base bordo'!G$2:G$746,'Base bordo'!C$2:C$746,A647,'Base bordo'!B$2:B$746,B647,'Base bordo'!F$2:F$746,"AGUARDANDO TRANSBORDO"),0)</f>
        <v>0.18472222222222223</v>
      </c>
      <c r="I647" s="10">
        <f>IFERROR(SUMIFS('Base bordo'!G$2:G$746,'Base bordo'!C$2:C$746,A647,'Base bordo'!B$2:B$746,B647,'Base bordo'!F$2:F$746,"PÁTIO INTERNO"),0)+IFERROR(SUMIFS('Base bordo'!G$2:G$746,'Base bordo'!C$2:C$746,A647,'Base bordo'!B$2:B$746,B647,'Base bordo'!F$2:F$746,"PÁTIO EXTERNO"),0)+IFERROR(SUMIFS('Base bordo'!G$2:G$746,'Base bordo'!C$2:C$746,A647,'Base bordo'!B$2:B$746,B647,'Base bordo'!F$2:F$746,"PATIO - RESERVA"),0)+IFERROR(SUMIFS('Base bordo'!G$2:G$746,'Base bordo'!C$2:C$746,A647,'Base bordo'!B$2:B$746,B647,'Base bordo'!F$2:F$746,"MANOBRA CARRETAS-PATIO"),0)</f>
        <v>0</v>
      </c>
      <c r="J647" s="10">
        <f>IFERROR(SUMIFS('Base bordo'!G$2:G$746,'Base bordo'!C$2:C$746,A647,'Base bordo'!B$2:B$746,B647,'Base bordo'!F$2:F$746,"BALANÇA - ENTRADA"),0)+IFERROR(SUMIFS('Base bordo'!G$2:G$746,'Base bordo'!C$2:C$746,A647,'Base bordo'!B$2:B$746,B647,'Base bordo'!F$2:F$746,"BALANÇA - SAÍDA"),0)</f>
        <v>0</v>
      </c>
      <c r="K647" s="10">
        <f>IFERROR(SUMIFS('Base bordo'!G$2:G$746,'Base bordo'!C$2:C$746,A647,'Base bordo'!B$2:B$746,B647,'Base bordo'!F$2:F$746,"MAN PREVENTIVA - MECANICA"),0)+IFERROR(SUMIFS('Base bordo'!G$2:G$746,'Base bordo'!C$2:C$746,A647,'Base bordo'!B$2:B$746,B647,'Base bordo'!F$2:F$746,"MAN CORRETIVA - MECANICA"),0)</f>
        <v>0</v>
      </c>
      <c r="L647" s="10">
        <f>IFERROR(SUMIFS('Base bordo'!G$2:G$746,'Base bordo'!C$2:C$746,A647,'Base bordo'!B$2:B$746,B647,'Base bordo'!F$2:F$746,"MANUTENCAO - T O"),0)+IFERROR(SUMIFS('Base bordo'!G$2:G$746,'Base bordo'!C$2:C$746,A647,'Base bordo'!B$2:B$746,B647,'Base bordo'!F$2:F$746,"MANUTENCAO BORRACHARIA"),0)+IFERROR(SUMIFS('Base bordo'!G$2:G$746,'Base bordo'!C$2:C$746,A647,'Base bordo'!B$2:B$746,B647,'Base bordo'!F$2:F$746,"MANUTENCAO EXTERNA  CONCESSIONARIA"),0)+IFERROR(SUMIFS('Base bordo'!G$2:G$746,'Base bordo'!C$2:C$746,A647,'Base bordo'!B$2:B$746,B647,'Base bordo'!F$2:F$746,"MANUTENCAO TELEMETRIA"),0)</f>
        <v>15.166944444444445</v>
      </c>
      <c r="M647" s="10">
        <f>IFERROR(SUMIFS('Base bordo'!G$2:G$746,'Base bordo'!C$2:C$746,A647,'Base bordo'!B$2:B$746,B647,'Base bordo'!F$2:F$746,"AGUARDANDO MANUTENCAO"),0)</f>
        <v>0</v>
      </c>
      <c r="N647" s="10">
        <f>IFERROR(SUMIFS('Base bordo'!G$2:G$746,'Base bordo'!C$2:C$746,A647,'Base bordo'!B$2:B$746,B647,'Base bordo'!F$2:F$746,"SEM APONTAMENTO"),0)</f>
        <v>0.64555555555555555</v>
      </c>
      <c r="O647" s="10">
        <f t="shared" si="66"/>
        <v>3.6466666666666683</v>
      </c>
      <c r="P647" s="10">
        <f>IFERROR(SUMIFS('Base bordo'!G$2:G$746,'Base bordo'!C$2:C$746,A647,'Base bordo'!B$2:B$746,B647),0)</f>
        <v>24.000000000000004</v>
      </c>
      <c r="Q647" s="10">
        <f>IFERROR(SUMIFS('Base bordo'!H$2:H$746,'Base bordo'!C$2:C$746,A647,'Base bordo'!B$2:B$746,B647,'Base bordo'!F$2:F$746,"DESLOCAMENTO VAZIO"),0)</f>
        <v>327757.84999999998</v>
      </c>
      <c r="R647" s="10">
        <f>IFERROR(SUMIFS('Base bordo'!I$2:I$746,'Base bordo'!C$2:C$746,A647,'Base bordo'!B$2:B$746,B647,'Base bordo'!F$2:F$746,"DESLOCAMENTO VAZIO"),0)</f>
        <v>11909</v>
      </c>
      <c r="S647" s="30">
        <f t="shared" si="67"/>
        <v>27.521861617264253</v>
      </c>
      <c r="T647" s="10">
        <f>IFERROR(SUMIFS('Base bordo'!H$2:H$746,'Base bordo'!C$2:C$746,A647,'Base bordo'!B$2:B$746,B647,'Base bordo'!F$2:F$746,"DESLOCAMENTO CARREGADO"),0)</f>
        <v>25650.240000000002</v>
      </c>
      <c r="U647" s="10">
        <f>IFERROR(SUMIFS('Base bordo'!I$2:I$746,'Base bordo'!C$2:C$746,A647,'Base bordo'!B$2:B$746,B647,'Base bordo'!F$2:F$746,"DESLOCAMENTO CARREGADO"),0)</f>
        <v>924</v>
      </c>
      <c r="V647" s="30">
        <f t="shared" si="68"/>
        <v>27.76</v>
      </c>
      <c r="W647" s="9">
        <f t="shared" si="69"/>
        <v>0.13783564814814814</v>
      </c>
      <c r="X647" s="9">
        <f t="shared" si="70"/>
        <v>1.0694444444444442E-2</v>
      </c>
      <c r="Y647" s="9">
        <f t="shared" si="71"/>
        <v>0.85146990740740747</v>
      </c>
    </row>
    <row r="648" spans="1:25" ht="15" customHeight="1" x14ac:dyDescent="0.35">
      <c r="A648" s="52">
        <v>8013478</v>
      </c>
      <c r="B648" s="51">
        <v>46117</v>
      </c>
      <c r="C648" s="7" t="s">
        <v>124</v>
      </c>
      <c r="D648" s="10">
        <f>IFERROR(SUMIFS('Base bordo'!G$2:G$746,'Base bordo'!C$2:C$746,A648,'Base bordo'!B$2:B$746,B648,'Base bordo'!F$2:F$746,"DESLOCAMENTO VAZIO"),0)</f>
        <v>3.3080555555555557</v>
      </c>
      <c r="E648" s="10">
        <f>IFERROR(SUMIFS('Base bordo'!G$2:G$746,'Base bordo'!C$2:C$746,A648,'Base bordo'!B$2:B$746,B648,'Base bordo'!F$2:F$746,"DESLOCAMENTO CARREGADO"),0)</f>
        <v>0.25666666666666665</v>
      </c>
      <c r="F648" s="10">
        <f>IFERROR(SUMIFS('Base bordo'!G$2:G$746,'Base bordo'!C$2:C$746,A648,'Base bordo'!B$2:B$746,B648,'Base bordo'!F$2:F$746,"DESLOCAMENTO"),0)</f>
        <v>0.71666666666666667</v>
      </c>
      <c r="G648" s="10">
        <f>IFERROR(SUMIFS('Base bordo'!G$2:G$746,'Base bordo'!C$2:C$746,A648,'Base bordo'!B$2:B$746,B648,'Base bordo'!F$2:F$746,"CARREGAMENTO"),0)</f>
        <v>7.4722222222222218E-2</v>
      </c>
      <c r="H648" s="10">
        <f>IFERROR(SUMIFS('Base bordo'!G$2:G$746,'Base bordo'!C$2:C$746,A648,'Base bordo'!B$2:B$746,B648,'Base bordo'!F$2:F$746,"AGUARDANDO TRANSBORDO"),0)</f>
        <v>0.18472222222222223</v>
      </c>
      <c r="I648" s="10">
        <f>IFERROR(SUMIFS('Base bordo'!G$2:G$746,'Base bordo'!C$2:C$746,A648,'Base bordo'!B$2:B$746,B648,'Base bordo'!F$2:F$746,"PÁTIO INTERNO"),0)+IFERROR(SUMIFS('Base bordo'!G$2:G$746,'Base bordo'!C$2:C$746,A648,'Base bordo'!B$2:B$746,B648,'Base bordo'!F$2:F$746,"PÁTIO EXTERNO"),0)+IFERROR(SUMIFS('Base bordo'!G$2:G$746,'Base bordo'!C$2:C$746,A648,'Base bordo'!B$2:B$746,B648,'Base bordo'!F$2:F$746,"PATIO - RESERVA"),0)+IFERROR(SUMIFS('Base bordo'!G$2:G$746,'Base bordo'!C$2:C$746,A648,'Base bordo'!B$2:B$746,B648,'Base bordo'!F$2:F$746,"MANOBRA CARRETAS-PATIO"),0)</f>
        <v>0</v>
      </c>
      <c r="J648" s="10">
        <f>IFERROR(SUMIFS('Base bordo'!G$2:G$746,'Base bordo'!C$2:C$746,A648,'Base bordo'!B$2:B$746,B648,'Base bordo'!F$2:F$746,"BALANÇA - ENTRADA"),0)+IFERROR(SUMIFS('Base bordo'!G$2:G$746,'Base bordo'!C$2:C$746,A648,'Base bordo'!B$2:B$746,B648,'Base bordo'!F$2:F$746,"BALANÇA - SAÍDA"),0)</f>
        <v>0</v>
      </c>
      <c r="K648" s="10">
        <f>IFERROR(SUMIFS('Base bordo'!G$2:G$746,'Base bordo'!C$2:C$746,A648,'Base bordo'!B$2:B$746,B648,'Base bordo'!F$2:F$746,"MAN PREVENTIVA - MECANICA"),0)+IFERROR(SUMIFS('Base bordo'!G$2:G$746,'Base bordo'!C$2:C$746,A648,'Base bordo'!B$2:B$746,B648,'Base bordo'!F$2:F$746,"MAN CORRETIVA - MECANICA"),0)</f>
        <v>0</v>
      </c>
      <c r="L648" s="10">
        <f>IFERROR(SUMIFS('Base bordo'!G$2:G$746,'Base bordo'!C$2:C$746,A648,'Base bordo'!B$2:B$746,B648,'Base bordo'!F$2:F$746,"MANUTENCAO - T O"),0)+IFERROR(SUMIFS('Base bordo'!G$2:G$746,'Base bordo'!C$2:C$746,A648,'Base bordo'!B$2:B$746,B648,'Base bordo'!F$2:F$746,"MANUTENCAO BORRACHARIA"),0)+IFERROR(SUMIFS('Base bordo'!G$2:G$746,'Base bordo'!C$2:C$746,A648,'Base bordo'!B$2:B$746,B648,'Base bordo'!F$2:F$746,"MANUTENCAO EXTERNA  CONCESSIONARIA"),0)+IFERROR(SUMIFS('Base bordo'!G$2:G$746,'Base bordo'!C$2:C$746,A648,'Base bordo'!B$2:B$746,B648,'Base bordo'!F$2:F$746,"MANUTENCAO TELEMETRIA"),0)</f>
        <v>15.166944444444445</v>
      </c>
      <c r="M648" s="10">
        <f>IFERROR(SUMIFS('Base bordo'!G$2:G$746,'Base bordo'!C$2:C$746,A648,'Base bordo'!B$2:B$746,B648,'Base bordo'!F$2:F$746,"AGUARDANDO MANUTENCAO"),0)</f>
        <v>0</v>
      </c>
      <c r="N648" s="10">
        <f>IFERROR(SUMIFS('Base bordo'!G$2:G$746,'Base bordo'!C$2:C$746,A648,'Base bordo'!B$2:B$746,B648,'Base bordo'!F$2:F$746,"SEM APONTAMENTO"),0)</f>
        <v>0.64555555555555555</v>
      </c>
      <c r="O648" s="10">
        <f t="shared" si="66"/>
        <v>3.6466666666666683</v>
      </c>
      <c r="P648" s="10">
        <f>IFERROR(SUMIFS('Base bordo'!G$2:G$746,'Base bordo'!C$2:C$746,A648,'Base bordo'!B$2:B$746,B648),0)</f>
        <v>24.000000000000004</v>
      </c>
      <c r="Q648" s="10">
        <f>IFERROR(SUMIFS('Base bordo'!H$2:H$746,'Base bordo'!C$2:C$746,A648,'Base bordo'!B$2:B$746,B648,'Base bordo'!F$2:F$746,"DESLOCAMENTO VAZIO"),0)</f>
        <v>327757.84999999998</v>
      </c>
      <c r="R648" s="10">
        <f>IFERROR(SUMIFS('Base bordo'!I$2:I$746,'Base bordo'!C$2:C$746,A648,'Base bordo'!B$2:B$746,B648,'Base bordo'!F$2:F$746,"DESLOCAMENTO VAZIO"),0)</f>
        <v>11909</v>
      </c>
      <c r="S648" s="30">
        <f t="shared" si="67"/>
        <v>27.521861617264253</v>
      </c>
      <c r="T648" s="10">
        <f>IFERROR(SUMIFS('Base bordo'!H$2:H$746,'Base bordo'!C$2:C$746,A648,'Base bordo'!B$2:B$746,B648,'Base bordo'!F$2:F$746,"DESLOCAMENTO CARREGADO"),0)</f>
        <v>25650.240000000002</v>
      </c>
      <c r="U648" s="10">
        <f>IFERROR(SUMIFS('Base bordo'!I$2:I$746,'Base bordo'!C$2:C$746,A648,'Base bordo'!B$2:B$746,B648,'Base bordo'!F$2:F$746,"DESLOCAMENTO CARREGADO"),0)</f>
        <v>924</v>
      </c>
      <c r="V648" s="30">
        <f t="shared" si="68"/>
        <v>27.76</v>
      </c>
      <c r="W648" s="9">
        <f t="shared" si="69"/>
        <v>0.13783564814814814</v>
      </c>
      <c r="X648" s="9">
        <f t="shared" si="70"/>
        <v>1.0694444444444442E-2</v>
      </c>
      <c r="Y648" s="9">
        <f t="shared" si="71"/>
        <v>0.85146990740740747</v>
      </c>
    </row>
    <row r="649" spans="1:25" ht="15" customHeight="1" x14ac:dyDescent="0.35">
      <c r="A649" s="52">
        <v>8013478</v>
      </c>
      <c r="B649" s="51">
        <v>46117</v>
      </c>
      <c r="C649" s="7" t="s">
        <v>124</v>
      </c>
      <c r="D649" s="10">
        <f>IFERROR(SUMIFS('Base bordo'!G$2:G$746,'Base bordo'!C$2:C$746,A649,'Base bordo'!B$2:B$746,B649,'Base bordo'!F$2:F$746,"DESLOCAMENTO VAZIO"),0)</f>
        <v>3.3080555555555557</v>
      </c>
      <c r="E649" s="10">
        <f>IFERROR(SUMIFS('Base bordo'!G$2:G$746,'Base bordo'!C$2:C$746,A649,'Base bordo'!B$2:B$746,B649,'Base bordo'!F$2:F$746,"DESLOCAMENTO CARREGADO"),0)</f>
        <v>0.25666666666666665</v>
      </c>
      <c r="F649" s="10">
        <f>IFERROR(SUMIFS('Base bordo'!G$2:G$746,'Base bordo'!C$2:C$746,A649,'Base bordo'!B$2:B$746,B649,'Base bordo'!F$2:F$746,"DESLOCAMENTO"),0)</f>
        <v>0.71666666666666667</v>
      </c>
      <c r="G649" s="10">
        <f>IFERROR(SUMIFS('Base bordo'!G$2:G$746,'Base bordo'!C$2:C$746,A649,'Base bordo'!B$2:B$746,B649,'Base bordo'!F$2:F$746,"CARREGAMENTO"),0)</f>
        <v>7.4722222222222218E-2</v>
      </c>
      <c r="H649" s="10">
        <f>IFERROR(SUMIFS('Base bordo'!G$2:G$746,'Base bordo'!C$2:C$746,A649,'Base bordo'!B$2:B$746,B649,'Base bordo'!F$2:F$746,"AGUARDANDO TRANSBORDO"),0)</f>
        <v>0.18472222222222223</v>
      </c>
      <c r="I649" s="10">
        <f>IFERROR(SUMIFS('Base bordo'!G$2:G$746,'Base bordo'!C$2:C$746,A649,'Base bordo'!B$2:B$746,B649,'Base bordo'!F$2:F$746,"PÁTIO INTERNO"),0)+IFERROR(SUMIFS('Base bordo'!G$2:G$746,'Base bordo'!C$2:C$746,A649,'Base bordo'!B$2:B$746,B649,'Base bordo'!F$2:F$746,"PÁTIO EXTERNO"),0)+IFERROR(SUMIFS('Base bordo'!G$2:G$746,'Base bordo'!C$2:C$746,A649,'Base bordo'!B$2:B$746,B649,'Base bordo'!F$2:F$746,"PATIO - RESERVA"),0)+IFERROR(SUMIFS('Base bordo'!G$2:G$746,'Base bordo'!C$2:C$746,A649,'Base bordo'!B$2:B$746,B649,'Base bordo'!F$2:F$746,"MANOBRA CARRETAS-PATIO"),0)</f>
        <v>0</v>
      </c>
      <c r="J649" s="10">
        <f>IFERROR(SUMIFS('Base bordo'!G$2:G$746,'Base bordo'!C$2:C$746,A649,'Base bordo'!B$2:B$746,B649,'Base bordo'!F$2:F$746,"BALANÇA - ENTRADA"),0)+IFERROR(SUMIFS('Base bordo'!G$2:G$746,'Base bordo'!C$2:C$746,A649,'Base bordo'!B$2:B$746,B649,'Base bordo'!F$2:F$746,"BALANÇA - SAÍDA"),0)</f>
        <v>0</v>
      </c>
      <c r="K649" s="10">
        <f>IFERROR(SUMIFS('Base bordo'!G$2:G$746,'Base bordo'!C$2:C$746,A649,'Base bordo'!B$2:B$746,B649,'Base bordo'!F$2:F$746,"MAN PREVENTIVA - MECANICA"),0)+IFERROR(SUMIFS('Base bordo'!G$2:G$746,'Base bordo'!C$2:C$746,A649,'Base bordo'!B$2:B$746,B649,'Base bordo'!F$2:F$746,"MAN CORRETIVA - MECANICA"),0)</f>
        <v>0</v>
      </c>
      <c r="L649" s="10">
        <f>IFERROR(SUMIFS('Base bordo'!G$2:G$746,'Base bordo'!C$2:C$746,A649,'Base bordo'!B$2:B$746,B649,'Base bordo'!F$2:F$746,"MANUTENCAO - T O"),0)+IFERROR(SUMIFS('Base bordo'!G$2:G$746,'Base bordo'!C$2:C$746,A649,'Base bordo'!B$2:B$746,B649,'Base bordo'!F$2:F$746,"MANUTENCAO BORRACHARIA"),0)+IFERROR(SUMIFS('Base bordo'!G$2:G$746,'Base bordo'!C$2:C$746,A649,'Base bordo'!B$2:B$746,B649,'Base bordo'!F$2:F$746,"MANUTENCAO EXTERNA  CONCESSIONARIA"),0)+IFERROR(SUMIFS('Base bordo'!G$2:G$746,'Base bordo'!C$2:C$746,A649,'Base bordo'!B$2:B$746,B649,'Base bordo'!F$2:F$746,"MANUTENCAO TELEMETRIA"),0)</f>
        <v>15.166944444444445</v>
      </c>
      <c r="M649" s="10">
        <f>IFERROR(SUMIFS('Base bordo'!G$2:G$746,'Base bordo'!C$2:C$746,A649,'Base bordo'!B$2:B$746,B649,'Base bordo'!F$2:F$746,"AGUARDANDO MANUTENCAO"),0)</f>
        <v>0</v>
      </c>
      <c r="N649" s="10">
        <f>IFERROR(SUMIFS('Base bordo'!G$2:G$746,'Base bordo'!C$2:C$746,A649,'Base bordo'!B$2:B$746,B649,'Base bordo'!F$2:F$746,"SEM APONTAMENTO"),0)</f>
        <v>0.64555555555555555</v>
      </c>
      <c r="O649" s="10">
        <f t="shared" si="66"/>
        <v>3.6466666666666683</v>
      </c>
      <c r="P649" s="10">
        <f>IFERROR(SUMIFS('Base bordo'!G$2:G$746,'Base bordo'!C$2:C$746,A649,'Base bordo'!B$2:B$746,B649),0)</f>
        <v>24.000000000000004</v>
      </c>
      <c r="Q649" s="10">
        <f>IFERROR(SUMIFS('Base bordo'!H$2:H$746,'Base bordo'!C$2:C$746,A649,'Base bordo'!B$2:B$746,B649,'Base bordo'!F$2:F$746,"DESLOCAMENTO VAZIO"),0)</f>
        <v>327757.84999999998</v>
      </c>
      <c r="R649" s="10">
        <f>IFERROR(SUMIFS('Base bordo'!I$2:I$746,'Base bordo'!C$2:C$746,A649,'Base bordo'!B$2:B$746,B649,'Base bordo'!F$2:F$746,"DESLOCAMENTO VAZIO"),0)</f>
        <v>11909</v>
      </c>
      <c r="S649" s="30">
        <f t="shared" si="67"/>
        <v>27.521861617264253</v>
      </c>
      <c r="T649" s="10">
        <f>IFERROR(SUMIFS('Base bordo'!H$2:H$746,'Base bordo'!C$2:C$746,A649,'Base bordo'!B$2:B$746,B649,'Base bordo'!F$2:F$746,"DESLOCAMENTO CARREGADO"),0)</f>
        <v>25650.240000000002</v>
      </c>
      <c r="U649" s="10">
        <f>IFERROR(SUMIFS('Base bordo'!I$2:I$746,'Base bordo'!C$2:C$746,A649,'Base bordo'!B$2:B$746,B649,'Base bordo'!F$2:F$746,"DESLOCAMENTO CARREGADO"),0)</f>
        <v>924</v>
      </c>
      <c r="V649" s="30">
        <f t="shared" si="68"/>
        <v>27.76</v>
      </c>
      <c r="W649" s="9">
        <f t="shared" si="69"/>
        <v>0.13783564814814814</v>
      </c>
      <c r="X649" s="9">
        <f t="shared" si="70"/>
        <v>1.0694444444444442E-2</v>
      </c>
      <c r="Y649" s="9">
        <f t="shared" si="71"/>
        <v>0.85146990740740747</v>
      </c>
    </row>
    <row r="650" spans="1:25" ht="15" customHeight="1" x14ac:dyDescent="0.35">
      <c r="A650" s="52">
        <v>8013478</v>
      </c>
      <c r="B650" s="51">
        <v>46117</v>
      </c>
      <c r="C650" s="7" t="s">
        <v>124</v>
      </c>
      <c r="D650" s="10">
        <f>IFERROR(SUMIFS('Base bordo'!G$2:G$746,'Base bordo'!C$2:C$746,A650,'Base bordo'!B$2:B$746,B650,'Base bordo'!F$2:F$746,"DESLOCAMENTO VAZIO"),0)</f>
        <v>3.3080555555555557</v>
      </c>
      <c r="E650" s="10">
        <f>IFERROR(SUMIFS('Base bordo'!G$2:G$746,'Base bordo'!C$2:C$746,A650,'Base bordo'!B$2:B$746,B650,'Base bordo'!F$2:F$746,"DESLOCAMENTO CARREGADO"),0)</f>
        <v>0.25666666666666665</v>
      </c>
      <c r="F650" s="10">
        <f>IFERROR(SUMIFS('Base bordo'!G$2:G$746,'Base bordo'!C$2:C$746,A650,'Base bordo'!B$2:B$746,B650,'Base bordo'!F$2:F$746,"DESLOCAMENTO"),0)</f>
        <v>0.71666666666666667</v>
      </c>
      <c r="G650" s="10">
        <f>IFERROR(SUMIFS('Base bordo'!G$2:G$746,'Base bordo'!C$2:C$746,A650,'Base bordo'!B$2:B$746,B650,'Base bordo'!F$2:F$746,"CARREGAMENTO"),0)</f>
        <v>7.4722222222222218E-2</v>
      </c>
      <c r="H650" s="10">
        <f>IFERROR(SUMIFS('Base bordo'!G$2:G$746,'Base bordo'!C$2:C$746,A650,'Base bordo'!B$2:B$746,B650,'Base bordo'!F$2:F$746,"AGUARDANDO TRANSBORDO"),0)</f>
        <v>0.18472222222222223</v>
      </c>
      <c r="I650" s="10">
        <f>IFERROR(SUMIFS('Base bordo'!G$2:G$746,'Base bordo'!C$2:C$746,A650,'Base bordo'!B$2:B$746,B650,'Base bordo'!F$2:F$746,"PÁTIO INTERNO"),0)+IFERROR(SUMIFS('Base bordo'!G$2:G$746,'Base bordo'!C$2:C$746,A650,'Base bordo'!B$2:B$746,B650,'Base bordo'!F$2:F$746,"PÁTIO EXTERNO"),0)+IFERROR(SUMIFS('Base bordo'!G$2:G$746,'Base bordo'!C$2:C$746,A650,'Base bordo'!B$2:B$746,B650,'Base bordo'!F$2:F$746,"PATIO - RESERVA"),0)+IFERROR(SUMIFS('Base bordo'!G$2:G$746,'Base bordo'!C$2:C$746,A650,'Base bordo'!B$2:B$746,B650,'Base bordo'!F$2:F$746,"MANOBRA CARRETAS-PATIO"),0)</f>
        <v>0</v>
      </c>
      <c r="J650" s="10">
        <f>IFERROR(SUMIFS('Base bordo'!G$2:G$746,'Base bordo'!C$2:C$746,A650,'Base bordo'!B$2:B$746,B650,'Base bordo'!F$2:F$746,"BALANÇA - ENTRADA"),0)+IFERROR(SUMIFS('Base bordo'!G$2:G$746,'Base bordo'!C$2:C$746,A650,'Base bordo'!B$2:B$746,B650,'Base bordo'!F$2:F$746,"BALANÇA - SAÍDA"),0)</f>
        <v>0</v>
      </c>
      <c r="K650" s="10">
        <f>IFERROR(SUMIFS('Base bordo'!G$2:G$746,'Base bordo'!C$2:C$746,A650,'Base bordo'!B$2:B$746,B650,'Base bordo'!F$2:F$746,"MAN PREVENTIVA - MECANICA"),0)+IFERROR(SUMIFS('Base bordo'!G$2:G$746,'Base bordo'!C$2:C$746,A650,'Base bordo'!B$2:B$746,B650,'Base bordo'!F$2:F$746,"MAN CORRETIVA - MECANICA"),0)</f>
        <v>0</v>
      </c>
      <c r="L650" s="10">
        <f>IFERROR(SUMIFS('Base bordo'!G$2:G$746,'Base bordo'!C$2:C$746,A650,'Base bordo'!B$2:B$746,B650,'Base bordo'!F$2:F$746,"MANUTENCAO - T O"),0)+IFERROR(SUMIFS('Base bordo'!G$2:G$746,'Base bordo'!C$2:C$746,A650,'Base bordo'!B$2:B$746,B650,'Base bordo'!F$2:F$746,"MANUTENCAO BORRACHARIA"),0)+IFERROR(SUMIFS('Base bordo'!G$2:G$746,'Base bordo'!C$2:C$746,A650,'Base bordo'!B$2:B$746,B650,'Base bordo'!F$2:F$746,"MANUTENCAO EXTERNA  CONCESSIONARIA"),0)+IFERROR(SUMIFS('Base bordo'!G$2:G$746,'Base bordo'!C$2:C$746,A650,'Base bordo'!B$2:B$746,B650,'Base bordo'!F$2:F$746,"MANUTENCAO TELEMETRIA"),0)</f>
        <v>15.166944444444445</v>
      </c>
      <c r="M650" s="10">
        <f>IFERROR(SUMIFS('Base bordo'!G$2:G$746,'Base bordo'!C$2:C$746,A650,'Base bordo'!B$2:B$746,B650,'Base bordo'!F$2:F$746,"AGUARDANDO MANUTENCAO"),0)</f>
        <v>0</v>
      </c>
      <c r="N650" s="10">
        <f>IFERROR(SUMIFS('Base bordo'!G$2:G$746,'Base bordo'!C$2:C$746,A650,'Base bordo'!B$2:B$746,B650,'Base bordo'!F$2:F$746,"SEM APONTAMENTO"),0)</f>
        <v>0.64555555555555555</v>
      </c>
      <c r="O650" s="10">
        <f t="shared" si="66"/>
        <v>3.6466666666666683</v>
      </c>
      <c r="P650" s="10">
        <f>IFERROR(SUMIFS('Base bordo'!G$2:G$746,'Base bordo'!C$2:C$746,A650,'Base bordo'!B$2:B$746,B650),0)</f>
        <v>24.000000000000004</v>
      </c>
      <c r="Q650" s="10">
        <f>IFERROR(SUMIFS('Base bordo'!H$2:H$746,'Base bordo'!C$2:C$746,A650,'Base bordo'!B$2:B$746,B650,'Base bordo'!F$2:F$746,"DESLOCAMENTO VAZIO"),0)</f>
        <v>327757.84999999998</v>
      </c>
      <c r="R650" s="10">
        <f>IFERROR(SUMIFS('Base bordo'!I$2:I$746,'Base bordo'!C$2:C$746,A650,'Base bordo'!B$2:B$746,B650,'Base bordo'!F$2:F$746,"DESLOCAMENTO VAZIO"),0)</f>
        <v>11909</v>
      </c>
      <c r="S650" s="30">
        <f t="shared" si="67"/>
        <v>27.521861617264253</v>
      </c>
      <c r="T650" s="10">
        <f>IFERROR(SUMIFS('Base bordo'!H$2:H$746,'Base bordo'!C$2:C$746,A650,'Base bordo'!B$2:B$746,B650,'Base bordo'!F$2:F$746,"DESLOCAMENTO CARREGADO"),0)</f>
        <v>25650.240000000002</v>
      </c>
      <c r="U650" s="10">
        <f>IFERROR(SUMIFS('Base bordo'!I$2:I$746,'Base bordo'!C$2:C$746,A650,'Base bordo'!B$2:B$746,B650,'Base bordo'!F$2:F$746,"DESLOCAMENTO CARREGADO"),0)</f>
        <v>924</v>
      </c>
      <c r="V650" s="30">
        <f t="shared" si="68"/>
        <v>27.76</v>
      </c>
      <c r="W650" s="9">
        <f t="shared" si="69"/>
        <v>0.13783564814814814</v>
      </c>
      <c r="X650" s="9">
        <f t="shared" si="70"/>
        <v>1.0694444444444442E-2</v>
      </c>
      <c r="Y650" s="9">
        <f t="shared" si="71"/>
        <v>0.85146990740740747</v>
      </c>
    </row>
    <row r="651" spans="1:25" ht="15" customHeight="1" x14ac:dyDescent="0.35">
      <c r="A651" s="52">
        <v>8013481</v>
      </c>
      <c r="B651" s="51">
        <v>46117</v>
      </c>
      <c r="C651" s="7" t="s">
        <v>124</v>
      </c>
      <c r="D651" s="10">
        <f>IFERROR(SUMIFS('Base bordo'!G$2:G$746,'Base bordo'!C$2:C$746,A651,'Base bordo'!B$2:B$746,B651,'Base bordo'!F$2:F$746,"DESLOCAMENTO VAZIO"),0)</f>
        <v>2.3438888888888889</v>
      </c>
      <c r="E651" s="10">
        <f>IFERROR(SUMIFS('Base bordo'!G$2:G$746,'Base bordo'!C$2:C$746,A651,'Base bordo'!B$2:B$746,B651,'Base bordo'!F$2:F$746,"DESLOCAMENTO CARREGADO"),0)</f>
        <v>1.878611111111111</v>
      </c>
      <c r="F651" s="10">
        <f>IFERROR(SUMIFS('Base bordo'!G$2:G$746,'Base bordo'!C$2:C$746,A651,'Base bordo'!B$2:B$746,B651,'Base bordo'!F$2:F$746,"DESLOCAMENTO"),0)</f>
        <v>0</v>
      </c>
      <c r="G651" s="10">
        <f>IFERROR(SUMIFS('Base bordo'!G$2:G$746,'Base bordo'!C$2:C$746,A651,'Base bordo'!B$2:B$746,B651,'Base bordo'!F$2:F$746,"CARREGAMENTO"),0)</f>
        <v>0.21305555555555555</v>
      </c>
      <c r="H651" s="10">
        <f>IFERROR(SUMIFS('Base bordo'!G$2:G$746,'Base bordo'!C$2:C$746,A651,'Base bordo'!B$2:B$746,B651,'Base bordo'!F$2:F$746,"AGUARDANDO TRANSBORDO"),0)</f>
        <v>0</v>
      </c>
      <c r="I651" s="10">
        <f>IFERROR(SUMIFS('Base bordo'!G$2:G$746,'Base bordo'!C$2:C$746,A651,'Base bordo'!B$2:B$746,B651,'Base bordo'!F$2:F$746,"PÁTIO INTERNO"),0)+IFERROR(SUMIFS('Base bordo'!G$2:G$746,'Base bordo'!C$2:C$746,A651,'Base bordo'!B$2:B$746,B651,'Base bordo'!F$2:F$746,"PÁTIO EXTERNO"),0)+IFERROR(SUMIFS('Base bordo'!G$2:G$746,'Base bordo'!C$2:C$746,A651,'Base bordo'!B$2:B$746,B651,'Base bordo'!F$2:F$746,"PATIO - RESERVA"),0)+IFERROR(SUMIFS('Base bordo'!G$2:G$746,'Base bordo'!C$2:C$746,A651,'Base bordo'!B$2:B$746,B651,'Base bordo'!F$2:F$746,"MANOBRA CARRETAS-PATIO"),0)</f>
        <v>0.14222222222222222</v>
      </c>
      <c r="J651" s="10">
        <f>IFERROR(SUMIFS('Base bordo'!G$2:G$746,'Base bordo'!C$2:C$746,A651,'Base bordo'!B$2:B$746,B651,'Base bordo'!F$2:F$746,"BALANÇA - ENTRADA"),0)+IFERROR(SUMIFS('Base bordo'!G$2:G$746,'Base bordo'!C$2:C$746,A651,'Base bordo'!B$2:B$746,B651,'Base bordo'!F$2:F$746,"BALANÇA - SAÍDA"),0)</f>
        <v>0</v>
      </c>
      <c r="K651" s="10">
        <f>IFERROR(SUMIFS('Base bordo'!G$2:G$746,'Base bordo'!C$2:C$746,A651,'Base bordo'!B$2:B$746,B651,'Base bordo'!F$2:F$746,"MAN PREVENTIVA - MECANICA"),0)+IFERROR(SUMIFS('Base bordo'!G$2:G$746,'Base bordo'!C$2:C$746,A651,'Base bordo'!B$2:B$746,B651,'Base bordo'!F$2:F$746,"MAN CORRETIVA - MECANICA"),0)</f>
        <v>0</v>
      </c>
      <c r="L651" s="10">
        <f>IFERROR(SUMIFS('Base bordo'!G$2:G$746,'Base bordo'!C$2:C$746,A651,'Base bordo'!B$2:B$746,B651,'Base bordo'!F$2:F$746,"MANUTENCAO - T O"),0)+IFERROR(SUMIFS('Base bordo'!G$2:G$746,'Base bordo'!C$2:C$746,A651,'Base bordo'!B$2:B$746,B651,'Base bordo'!F$2:F$746,"MANUTENCAO BORRACHARIA"),0)+IFERROR(SUMIFS('Base bordo'!G$2:G$746,'Base bordo'!C$2:C$746,A651,'Base bordo'!B$2:B$746,B651,'Base bordo'!F$2:F$746,"MANUTENCAO EXTERNA  CONCESSIONARIA"),0)+IFERROR(SUMIFS('Base bordo'!G$2:G$746,'Base bordo'!C$2:C$746,A651,'Base bordo'!B$2:B$746,B651,'Base bordo'!F$2:F$746,"MANUTENCAO TELEMETRIA"),0)</f>
        <v>19.126944444444444</v>
      </c>
      <c r="M651" s="10">
        <f>IFERROR(SUMIFS('Base bordo'!G$2:G$746,'Base bordo'!C$2:C$746,A651,'Base bordo'!B$2:B$746,B651,'Base bordo'!F$2:F$746,"AGUARDANDO MANUTENCAO"),0)</f>
        <v>0</v>
      </c>
      <c r="N651" s="10">
        <f>IFERROR(SUMIFS('Base bordo'!G$2:G$746,'Base bordo'!C$2:C$746,A651,'Base bordo'!B$2:B$746,B651,'Base bordo'!F$2:F$746,"SEM APONTAMENTO"),0)</f>
        <v>8.0277777777777781E-2</v>
      </c>
      <c r="O651" s="10">
        <f t="shared" si="66"/>
        <v>0.21499999999999986</v>
      </c>
      <c r="P651" s="10">
        <f>IFERROR(SUMIFS('Base bordo'!G$2:G$746,'Base bordo'!C$2:C$746,A651,'Base bordo'!B$2:B$746,B651),0)</f>
        <v>24</v>
      </c>
      <c r="Q651" s="10">
        <f>IFERROR(SUMIFS('Base bordo'!H$2:H$746,'Base bordo'!C$2:C$746,A651,'Base bordo'!B$2:B$746,B651,'Base bordo'!F$2:F$746,"DESLOCAMENTO VAZIO"),0)</f>
        <v>230189.18</v>
      </c>
      <c r="R651" s="10">
        <f>IFERROR(SUMIFS('Base bordo'!I$2:I$746,'Base bordo'!C$2:C$746,A651,'Base bordo'!B$2:B$746,B651,'Base bordo'!F$2:F$746,"DESLOCAMENTO VAZIO"),0)</f>
        <v>8438</v>
      </c>
      <c r="S651" s="30">
        <f t="shared" si="67"/>
        <v>27.28006399620763</v>
      </c>
      <c r="T651" s="10">
        <f>IFERROR(SUMIFS('Base bordo'!H$2:H$746,'Base bordo'!C$2:C$746,A651,'Base bordo'!B$2:B$746,B651,'Base bordo'!F$2:F$746,"DESLOCAMENTO CARREGADO"),0)</f>
        <v>169494.41999999998</v>
      </c>
      <c r="U651" s="10">
        <f>IFERROR(SUMIFS('Base bordo'!I$2:I$746,'Base bordo'!C$2:C$746,A651,'Base bordo'!B$2:B$746,B651,'Base bordo'!F$2:F$746,"DESLOCAMENTO CARREGADO"),0)</f>
        <v>6763</v>
      </c>
      <c r="V651" s="30">
        <f t="shared" si="68"/>
        <v>25.062016856424663</v>
      </c>
      <c r="W651" s="9">
        <f t="shared" si="69"/>
        <v>9.7662037037037033E-2</v>
      </c>
      <c r="X651" s="9">
        <f t="shared" si="70"/>
        <v>7.8275462962962963E-2</v>
      </c>
      <c r="Y651" s="9">
        <f t="shared" si="71"/>
        <v>0.82406250000000003</v>
      </c>
    </row>
    <row r="652" spans="1:25" ht="15" customHeight="1" x14ac:dyDescent="0.35">
      <c r="A652" s="52">
        <v>8013481</v>
      </c>
      <c r="B652" s="51">
        <v>46117</v>
      </c>
      <c r="C652" s="7" t="s">
        <v>124</v>
      </c>
      <c r="D652" s="10">
        <f>IFERROR(SUMIFS('Base bordo'!G$2:G$746,'Base bordo'!C$2:C$746,A652,'Base bordo'!B$2:B$746,B652,'Base bordo'!F$2:F$746,"DESLOCAMENTO VAZIO"),0)</f>
        <v>2.3438888888888889</v>
      </c>
      <c r="E652" s="10">
        <f>IFERROR(SUMIFS('Base bordo'!G$2:G$746,'Base bordo'!C$2:C$746,A652,'Base bordo'!B$2:B$746,B652,'Base bordo'!F$2:F$746,"DESLOCAMENTO CARREGADO"),0)</f>
        <v>1.878611111111111</v>
      </c>
      <c r="F652" s="10">
        <f>IFERROR(SUMIFS('Base bordo'!G$2:G$746,'Base bordo'!C$2:C$746,A652,'Base bordo'!B$2:B$746,B652,'Base bordo'!F$2:F$746,"DESLOCAMENTO"),0)</f>
        <v>0</v>
      </c>
      <c r="G652" s="10">
        <f>IFERROR(SUMIFS('Base bordo'!G$2:G$746,'Base bordo'!C$2:C$746,A652,'Base bordo'!B$2:B$746,B652,'Base bordo'!F$2:F$746,"CARREGAMENTO"),0)</f>
        <v>0.21305555555555555</v>
      </c>
      <c r="H652" s="10">
        <f>IFERROR(SUMIFS('Base bordo'!G$2:G$746,'Base bordo'!C$2:C$746,A652,'Base bordo'!B$2:B$746,B652,'Base bordo'!F$2:F$746,"AGUARDANDO TRANSBORDO"),0)</f>
        <v>0</v>
      </c>
      <c r="I652" s="10">
        <f>IFERROR(SUMIFS('Base bordo'!G$2:G$746,'Base bordo'!C$2:C$746,A652,'Base bordo'!B$2:B$746,B652,'Base bordo'!F$2:F$746,"PÁTIO INTERNO"),0)+IFERROR(SUMIFS('Base bordo'!G$2:G$746,'Base bordo'!C$2:C$746,A652,'Base bordo'!B$2:B$746,B652,'Base bordo'!F$2:F$746,"PÁTIO EXTERNO"),0)+IFERROR(SUMIFS('Base bordo'!G$2:G$746,'Base bordo'!C$2:C$746,A652,'Base bordo'!B$2:B$746,B652,'Base bordo'!F$2:F$746,"PATIO - RESERVA"),0)+IFERROR(SUMIFS('Base bordo'!G$2:G$746,'Base bordo'!C$2:C$746,A652,'Base bordo'!B$2:B$746,B652,'Base bordo'!F$2:F$746,"MANOBRA CARRETAS-PATIO"),0)</f>
        <v>0.14222222222222222</v>
      </c>
      <c r="J652" s="10">
        <f>IFERROR(SUMIFS('Base bordo'!G$2:G$746,'Base bordo'!C$2:C$746,A652,'Base bordo'!B$2:B$746,B652,'Base bordo'!F$2:F$746,"BALANÇA - ENTRADA"),0)+IFERROR(SUMIFS('Base bordo'!G$2:G$746,'Base bordo'!C$2:C$746,A652,'Base bordo'!B$2:B$746,B652,'Base bordo'!F$2:F$746,"BALANÇA - SAÍDA"),0)</f>
        <v>0</v>
      </c>
      <c r="K652" s="10">
        <f>IFERROR(SUMIFS('Base bordo'!G$2:G$746,'Base bordo'!C$2:C$746,A652,'Base bordo'!B$2:B$746,B652,'Base bordo'!F$2:F$746,"MAN PREVENTIVA - MECANICA"),0)+IFERROR(SUMIFS('Base bordo'!G$2:G$746,'Base bordo'!C$2:C$746,A652,'Base bordo'!B$2:B$746,B652,'Base bordo'!F$2:F$746,"MAN CORRETIVA - MECANICA"),0)</f>
        <v>0</v>
      </c>
      <c r="L652" s="10">
        <f>IFERROR(SUMIFS('Base bordo'!G$2:G$746,'Base bordo'!C$2:C$746,A652,'Base bordo'!B$2:B$746,B652,'Base bordo'!F$2:F$746,"MANUTENCAO - T O"),0)+IFERROR(SUMIFS('Base bordo'!G$2:G$746,'Base bordo'!C$2:C$746,A652,'Base bordo'!B$2:B$746,B652,'Base bordo'!F$2:F$746,"MANUTENCAO BORRACHARIA"),0)+IFERROR(SUMIFS('Base bordo'!G$2:G$746,'Base bordo'!C$2:C$746,A652,'Base bordo'!B$2:B$746,B652,'Base bordo'!F$2:F$746,"MANUTENCAO EXTERNA  CONCESSIONARIA"),0)+IFERROR(SUMIFS('Base bordo'!G$2:G$746,'Base bordo'!C$2:C$746,A652,'Base bordo'!B$2:B$746,B652,'Base bordo'!F$2:F$746,"MANUTENCAO TELEMETRIA"),0)</f>
        <v>19.126944444444444</v>
      </c>
      <c r="M652" s="10">
        <f>IFERROR(SUMIFS('Base bordo'!G$2:G$746,'Base bordo'!C$2:C$746,A652,'Base bordo'!B$2:B$746,B652,'Base bordo'!F$2:F$746,"AGUARDANDO MANUTENCAO"),0)</f>
        <v>0</v>
      </c>
      <c r="N652" s="10">
        <f>IFERROR(SUMIFS('Base bordo'!G$2:G$746,'Base bordo'!C$2:C$746,A652,'Base bordo'!B$2:B$746,B652,'Base bordo'!F$2:F$746,"SEM APONTAMENTO"),0)</f>
        <v>8.0277777777777781E-2</v>
      </c>
      <c r="O652" s="10">
        <f t="shared" si="66"/>
        <v>0.21499999999999986</v>
      </c>
      <c r="P652" s="10">
        <f>IFERROR(SUMIFS('Base bordo'!G$2:G$746,'Base bordo'!C$2:C$746,A652,'Base bordo'!B$2:B$746,B652),0)</f>
        <v>24</v>
      </c>
      <c r="Q652" s="10">
        <f>IFERROR(SUMIFS('Base bordo'!H$2:H$746,'Base bordo'!C$2:C$746,A652,'Base bordo'!B$2:B$746,B652,'Base bordo'!F$2:F$746,"DESLOCAMENTO VAZIO"),0)</f>
        <v>230189.18</v>
      </c>
      <c r="R652" s="10">
        <f>IFERROR(SUMIFS('Base bordo'!I$2:I$746,'Base bordo'!C$2:C$746,A652,'Base bordo'!B$2:B$746,B652,'Base bordo'!F$2:F$746,"DESLOCAMENTO VAZIO"),0)</f>
        <v>8438</v>
      </c>
      <c r="S652" s="30">
        <f t="shared" si="67"/>
        <v>27.28006399620763</v>
      </c>
      <c r="T652" s="10">
        <f>IFERROR(SUMIFS('Base bordo'!H$2:H$746,'Base bordo'!C$2:C$746,A652,'Base bordo'!B$2:B$746,B652,'Base bordo'!F$2:F$746,"DESLOCAMENTO CARREGADO"),0)</f>
        <v>169494.41999999998</v>
      </c>
      <c r="U652" s="10">
        <f>IFERROR(SUMIFS('Base bordo'!I$2:I$746,'Base bordo'!C$2:C$746,A652,'Base bordo'!B$2:B$746,B652,'Base bordo'!F$2:F$746,"DESLOCAMENTO CARREGADO"),0)</f>
        <v>6763</v>
      </c>
      <c r="V652" s="30">
        <f t="shared" si="68"/>
        <v>25.062016856424663</v>
      </c>
      <c r="W652" s="9">
        <f t="shared" si="69"/>
        <v>9.7662037037037033E-2</v>
      </c>
      <c r="X652" s="9">
        <f t="shared" si="70"/>
        <v>7.8275462962962963E-2</v>
      </c>
      <c r="Y652" s="9">
        <f t="shared" si="71"/>
        <v>0.82406250000000003</v>
      </c>
    </row>
    <row r="653" spans="1:25" ht="15" customHeight="1" x14ac:dyDescent="0.35">
      <c r="A653" s="52">
        <v>8013481</v>
      </c>
      <c r="B653" s="51">
        <v>46117</v>
      </c>
      <c r="C653" s="7" t="s">
        <v>124</v>
      </c>
      <c r="D653" s="10">
        <f>IFERROR(SUMIFS('Base bordo'!G$2:G$746,'Base bordo'!C$2:C$746,A653,'Base bordo'!B$2:B$746,B653,'Base bordo'!F$2:F$746,"DESLOCAMENTO VAZIO"),0)</f>
        <v>2.3438888888888889</v>
      </c>
      <c r="E653" s="10">
        <f>IFERROR(SUMIFS('Base bordo'!G$2:G$746,'Base bordo'!C$2:C$746,A653,'Base bordo'!B$2:B$746,B653,'Base bordo'!F$2:F$746,"DESLOCAMENTO CARREGADO"),0)</f>
        <v>1.878611111111111</v>
      </c>
      <c r="F653" s="10">
        <f>IFERROR(SUMIFS('Base bordo'!G$2:G$746,'Base bordo'!C$2:C$746,A653,'Base bordo'!B$2:B$746,B653,'Base bordo'!F$2:F$746,"DESLOCAMENTO"),0)</f>
        <v>0</v>
      </c>
      <c r="G653" s="10">
        <f>IFERROR(SUMIFS('Base bordo'!G$2:G$746,'Base bordo'!C$2:C$746,A653,'Base bordo'!B$2:B$746,B653,'Base bordo'!F$2:F$746,"CARREGAMENTO"),0)</f>
        <v>0.21305555555555555</v>
      </c>
      <c r="H653" s="10">
        <f>IFERROR(SUMIFS('Base bordo'!G$2:G$746,'Base bordo'!C$2:C$746,A653,'Base bordo'!B$2:B$746,B653,'Base bordo'!F$2:F$746,"AGUARDANDO TRANSBORDO"),0)</f>
        <v>0</v>
      </c>
      <c r="I653" s="10">
        <f>IFERROR(SUMIFS('Base bordo'!G$2:G$746,'Base bordo'!C$2:C$746,A653,'Base bordo'!B$2:B$746,B653,'Base bordo'!F$2:F$746,"PÁTIO INTERNO"),0)+IFERROR(SUMIFS('Base bordo'!G$2:G$746,'Base bordo'!C$2:C$746,A653,'Base bordo'!B$2:B$746,B653,'Base bordo'!F$2:F$746,"PÁTIO EXTERNO"),0)+IFERROR(SUMIFS('Base bordo'!G$2:G$746,'Base bordo'!C$2:C$746,A653,'Base bordo'!B$2:B$746,B653,'Base bordo'!F$2:F$746,"PATIO - RESERVA"),0)+IFERROR(SUMIFS('Base bordo'!G$2:G$746,'Base bordo'!C$2:C$746,A653,'Base bordo'!B$2:B$746,B653,'Base bordo'!F$2:F$746,"MANOBRA CARRETAS-PATIO"),0)</f>
        <v>0.14222222222222222</v>
      </c>
      <c r="J653" s="10">
        <f>IFERROR(SUMIFS('Base bordo'!G$2:G$746,'Base bordo'!C$2:C$746,A653,'Base bordo'!B$2:B$746,B653,'Base bordo'!F$2:F$746,"BALANÇA - ENTRADA"),0)+IFERROR(SUMIFS('Base bordo'!G$2:G$746,'Base bordo'!C$2:C$746,A653,'Base bordo'!B$2:B$746,B653,'Base bordo'!F$2:F$746,"BALANÇA - SAÍDA"),0)</f>
        <v>0</v>
      </c>
      <c r="K653" s="10">
        <f>IFERROR(SUMIFS('Base bordo'!G$2:G$746,'Base bordo'!C$2:C$746,A653,'Base bordo'!B$2:B$746,B653,'Base bordo'!F$2:F$746,"MAN PREVENTIVA - MECANICA"),0)+IFERROR(SUMIFS('Base bordo'!G$2:G$746,'Base bordo'!C$2:C$746,A653,'Base bordo'!B$2:B$746,B653,'Base bordo'!F$2:F$746,"MAN CORRETIVA - MECANICA"),0)</f>
        <v>0</v>
      </c>
      <c r="L653" s="10">
        <f>IFERROR(SUMIFS('Base bordo'!G$2:G$746,'Base bordo'!C$2:C$746,A653,'Base bordo'!B$2:B$746,B653,'Base bordo'!F$2:F$746,"MANUTENCAO - T O"),0)+IFERROR(SUMIFS('Base bordo'!G$2:G$746,'Base bordo'!C$2:C$746,A653,'Base bordo'!B$2:B$746,B653,'Base bordo'!F$2:F$746,"MANUTENCAO BORRACHARIA"),0)+IFERROR(SUMIFS('Base bordo'!G$2:G$746,'Base bordo'!C$2:C$746,A653,'Base bordo'!B$2:B$746,B653,'Base bordo'!F$2:F$746,"MANUTENCAO EXTERNA  CONCESSIONARIA"),0)+IFERROR(SUMIFS('Base bordo'!G$2:G$746,'Base bordo'!C$2:C$746,A653,'Base bordo'!B$2:B$746,B653,'Base bordo'!F$2:F$746,"MANUTENCAO TELEMETRIA"),0)</f>
        <v>19.126944444444444</v>
      </c>
      <c r="M653" s="10">
        <f>IFERROR(SUMIFS('Base bordo'!G$2:G$746,'Base bordo'!C$2:C$746,A653,'Base bordo'!B$2:B$746,B653,'Base bordo'!F$2:F$746,"AGUARDANDO MANUTENCAO"),0)</f>
        <v>0</v>
      </c>
      <c r="N653" s="10">
        <f>IFERROR(SUMIFS('Base bordo'!G$2:G$746,'Base bordo'!C$2:C$746,A653,'Base bordo'!B$2:B$746,B653,'Base bordo'!F$2:F$746,"SEM APONTAMENTO"),0)</f>
        <v>8.0277777777777781E-2</v>
      </c>
      <c r="O653" s="10">
        <f t="shared" si="66"/>
        <v>0.21499999999999986</v>
      </c>
      <c r="P653" s="10">
        <f>IFERROR(SUMIFS('Base bordo'!G$2:G$746,'Base bordo'!C$2:C$746,A653,'Base bordo'!B$2:B$746,B653),0)</f>
        <v>24</v>
      </c>
      <c r="Q653" s="10">
        <f>IFERROR(SUMIFS('Base bordo'!H$2:H$746,'Base bordo'!C$2:C$746,A653,'Base bordo'!B$2:B$746,B653,'Base bordo'!F$2:F$746,"DESLOCAMENTO VAZIO"),0)</f>
        <v>230189.18</v>
      </c>
      <c r="R653" s="10">
        <f>IFERROR(SUMIFS('Base bordo'!I$2:I$746,'Base bordo'!C$2:C$746,A653,'Base bordo'!B$2:B$746,B653,'Base bordo'!F$2:F$746,"DESLOCAMENTO VAZIO"),0)</f>
        <v>8438</v>
      </c>
      <c r="S653" s="30">
        <f t="shared" si="67"/>
        <v>27.28006399620763</v>
      </c>
      <c r="T653" s="10">
        <f>IFERROR(SUMIFS('Base bordo'!H$2:H$746,'Base bordo'!C$2:C$746,A653,'Base bordo'!B$2:B$746,B653,'Base bordo'!F$2:F$746,"DESLOCAMENTO CARREGADO"),0)</f>
        <v>169494.41999999998</v>
      </c>
      <c r="U653" s="10">
        <f>IFERROR(SUMIFS('Base bordo'!I$2:I$746,'Base bordo'!C$2:C$746,A653,'Base bordo'!B$2:B$746,B653,'Base bordo'!F$2:F$746,"DESLOCAMENTO CARREGADO"),0)</f>
        <v>6763</v>
      </c>
      <c r="V653" s="30">
        <f t="shared" si="68"/>
        <v>25.062016856424663</v>
      </c>
      <c r="W653" s="9">
        <f t="shared" si="69"/>
        <v>9.7662037037037033E-2</v>
      </c>
      <c r="X653" s="9">
        <f t="shared" si="70"/>
        <v>7.8275462962962963E-2</v>
      </c>
      <c r="Y653" s="9">
        <f t="shared" si="71"/>
        <v>0.82406250000000003</v>
      </c>
    </row>
    <row r="654" spans="1:25" ht="15" customHeight="1" x14ac:dyDescent="0.35">
      <c r="A654" s="52">
        <v>8013481</v>
      </c>
      <c r="B654" s="51">
        <v>46117</v>
      </c>
      <c r="C654" s="7" t="s">
        <v>124</v>
      </c>
      <c r="D654" s="10">
        <f>IFERROR(SUMIFS('Base bordo'!G$2:G$746,'Base bordo'!C$2:C$746,A654,'Base bordo'!B$2:B$746,B654,'Base bordo'!F$2:F$746,"DESLOCAMENTO VAZIO"),0)</f>
        <v>2.3438888888888889</v>
      </c>
      <c r="E654" s="10">
        <f>IFERROR(SUMIFS('Base bordo'!G$2:G$746,'Base bordo'!C$2:C$746,A654,'Base bordo'!B$2:B$746,B654,'Base bordo'!F$2:F$746,"DESLOCAMENTO CARREGADO"),0)</f>
        <v>1.878611111111111</v>
      </c>
      <c r="F654" s="10">
        <f>IFERROR(SUMIFS('Base bordo'!G$2:G$746,'Base bordo'!C$2:C$746,A654,'Base bordo'!B$2:B$746,B654,'Base bordo'!F$2:F$746,"DESLOCAMENTO"),0)</f>
        <v>0</v>
      </c>
      <c r="G654" s="10">
        <f>IFERROR(SUMIFS('Base bordo'!G$2:G$746,'Base bordo'!C$2:C$746,A654,'Base bordo'!B$2:B$746,B654,'Base bordo'!F$2:F$746,"CARREGAMENTO"),0)</f>
        <v>0.21305555555555555</v>
      </c>
      <c r="H654" s="10">
        <f>IFERROR(SUMIFS('Base bordo'!G$2:G$746,'Base bordo'!C$2:C$746,A654,'Base bordo'!B$2:B$746,B654,'Base bordo'!F$2:F$746,"AGUARDANDO TRANSBORDO"),0)</f>
        <v>0</v>
      </c>
      <c r="I654" s="10">
        <f>IFERROR(SUMIFS('Base bordo'!G$2:G$746,'Base bordo'!C$2:C$746,A654,'Base bordo'!B$2:B$746,B654,'Base bordo'!F$2:F$746,"PÁTIO INTERNO"),0)+IFERROR(SUMIFS('Base bordo'!G$2:G$746,'Base bordo'!C$2:C$746,A654,'Base bordo'!B$2:B$746,B654,'Base bordo'!F$2:F$746,"PÁTIO EXTERNO"),0)+IFERROR(SUMIFS('Base bordo'!G$2:G$746,'Base bordo'!C$2:C$746,A654,'Base bordo'!B$2:B$746,B654,'Base bordo'!F$2:F$746,"PATIO - RESERVA"),0)+IFERROR(SUMIFS('Base bordo'!G$2:G$746,'Base bordo'!C$2:C$746,A654,'Base bordo'!B$2:B$746,B654,'Base bordo'!F$2:F$746,"MANOBRA CARRETAS-PATIO"),0)</f>
        <v>0.14222222222222222</v>
      </c>
      <c r="J654" s="10">
        <f>IFERROR(SUMIFS('Base bordo'!G$2:G$746,'Base bordo'!C$2:C$746,A654,'Base bordo'!B$2:B$746,B654,'Base bordo'!F$2:F$746,"BALANÇA - ENTRADA"),0)+IFERROR(SUMIFS('Base bordo'!G$2:G$746,'Base bordo'!C$2:C$746,A654,'Base bordo'!B$2:B$746,B654,'Base bordo'!F$2:F$746,"BALANÇA - SAÍDA"),0)</f>
        <v>0</v>
      </c>
      <c r="K654" s="10">
        <f>IFERROR(SUMIFS('Base bordo'!G$2:G$746,'Base bordo'!C$2:C$746,A654,'Base bordo'!B$2:B$746,B654,'Base bordo'!F$2:F$746,"MAN PREVENTIVA - MECANICA"),0)+IFERROR(SUMIFS('Base bordo'!G$2:G$746,'Base bordo'!C$2:C$746,A654,'Base bordo'!B$2:B$746,B654,'Base bordo'!F$2:F$746,"MAN CORRETIVA - MECANICA"),0)</f>
        <v>0</v>
      </c>
      <c r="L654" s="10">
        <f>IFERROR(SUMIFS('Base bordo'!G$2:G$746,'Base bordo'!C$2:C$746,A654,'Base bordo'!B$2:B$746,B654,'Base bordo'!F$2:F$746,"MANUTENCAO - T O"),0)+IFERROR(SUMIFS('Base bordo'!G$2:G$746,'Base bordo'!C$2:C$746,A654,'Base bordo'!B$2:B$746,B654,'Base bordo'!F$2:F$746,"MANUTENCAO BORRACHARIA"),0)+IFERROR(SUMIFS('Base bordo'!G$2:G$746,'Base bordo'!C$2:C$746,A654,'Base bordo'!B$2:B$746,B654,'Base bordo'!F$2:F$746,"MANUTENCAO EXTERNA  CONCESSIONARIA"),0)+IFERROR(SUMIFS('Base bordo'!G$2:G$746,'Base bordo'!C$2:C$746,A654,'Base bordo'!B$2:B$746,B654,'Base bordo'!F$2:F$746,"MANUTENCAO TELEMETRIA"),0)</f>
        <v>19.126944444444444</v>
      </c>
      <c r="M654" s="10">
        <f>IFERROR(SUMIFS('Base bordo'!G$2:G$746,'Base bordo'!C$2:C$746,A654,'Base bordo'!B$2:B$746,B654,'Base bordo'!F$2:F$746,"AGUARDANDO MANUTENCAO"),0)</f>
        <v>0</v>
      </c>
      <c r="N654" s="10">
        <f>IFERROR(SUMIFS('Base bordo'!G$2:G$746,'Base bordo'!C$2:C$746,A654,'Base bordo'!B$2:B$746,B654,'Base bordo'!F$2:F$746,"SEM APONTAMENTO"),0)</f>
        <v>8.0277777777777781E-2</v>
      </c>
      <c r="O654" s="10">
        <f t="shared" si="66"/>
        <v>0.21499999999999986</v>
      </c>
      <c r="P654" s="10">
        <f>IFERROR(SUMIFS('Base bordo'!G$2:G$746,'Base bordo'!C$2:C$746,A654,'Base bordo'!B$2:B$746,B654),0)</f>
        <v>24</v>
      </c>
      <c r="Q654" s="10">
        <f>IFERROR(SUMIFS('Base bordo'!H$2:H$746,'Base bordo'!C$2:C$746,A654,'Base bordo'!B$2:B$746,B654,'Base bordo'!F$2:F$746,"DESLOCAMENTO VAZIO"),0)</f>
        <v>230189.18</v>
      </c>
      <c r="R654" s="10">
        <f>IFERROR(SUMIFS('Base bordo'!I$2:I$746,'Base bordo'!C$2:C$746,A654,'Base bordo'!B$2:B$746,B654,'Base bordo'!F$2:F$746,"DESLOCAMENTO VAZIO"),0)</f>
        <v>8438</v>
      </c>
      <c r="S654" s="30">
        <f t="shared" si="67"/>
        <v>27.28006399620763</v>
      </c>
      <c r="T654" s="10">
        <f>IFERROR(SUMIFS('Base bordo'!H$2:H$746,'Base bordo'!C$2:C$746,A654,'Base bordo'!B$2:B$746,B654,'Base bordo'!F$2:F$746,"DESLOCAMENTO CARREGADO"),0)</f>
        <v>169494.41999999998</v>
      </c>
      <c r="U654" s="10">
        <f>IFERROR(SUMIFS('Base bordo'!I$2:I$746,'Base bordo'!C$2:C$746,A654,'Base bordo'!B$2:B$746,B654,'Base bordo'!F$2:F$746,"DESLOCAMENTO CARREGADO"),0)</f>
        <v>6763</v>
      </c>
      <c r="V654" s="30">
        <f t="shared" si="68"/>
        <v>25.062016856424663</v>
      </c>
      <c r="W654" s="9">
        <f t="shared" si="69"/>
        <v>9.7662037037037033E-2</v>
      </c>
      <c r="X654" s="9">
        <f t="shared" si="70"/>
        <v>7.8275462962962963E-2</v>
      </c>
      <c r="Y654" s="9">
        <f t="shared" si="71"/>
        <v>0.82406250000000003</v>
      </c>
    </row>
    <row r="655" spans="1:25" ht="15" customHeight="1" x14ac:dyDescent="0.35">
      <c r="A655" s="52">
        <v>8013481</v>
      </c>
      <c r="B655" s="51">
        <v>46117</v>
      </c>
      <c r="C655" s="7" t="s">
        <v>124</v>
      </c>
      <c r="D655" s="10">
        <f>IFERROR(SUMIFS('Base bordo'!G$2:G$746,'Base bordo'!C$2:C$746,A655,'Base bordo'!B$2:B$746,B655,'Base bordo'!F$2:F$746,"DESLOCAMENTO VAZIO"),0)</f>
        <v>2.3438888888888889</v>
      </c>
      <c r="E655" s="10">
        <f>IFERROR(SUMIFS('Base bordo'!G$2:G$746,'Base bordo'!C$2:C$746,A655,'Base bordo'!B$2:B$746,B655,'Base bordo'!F$2:F$746,"DESLOCAMENTO CARREGADO"),0)</f>
        <v>1.878611111111111</v>
      </c>
      <c r="F655" s="10">
        <f>IFERROR(SUMIFS('Base bordo'!G$2:G$746,'Base bordo'!C$2:C$746,A655,'Base bordo'!B$2:B$746,B655,'Base bordo'!F$2:F$746,"DESLOCAMENTO"),0)</f>
        <v>0</v>
      </c>
      <c r="G655" s="10">
        <f>IFERROR(SUMIFS('Base bordo'!G$2:G$746,'Base bordo'!C$2:C$746,A655,'Base bordo'!B$2:B$746,B655,'Base bordo'!F$2:F$746,"CARREGAMENTO"),0)</f>
        <v>0.21305555555555555</v>
      </c>
      <c r="H655" s="10">
        <f>IFERROR(SUMIFS('Base bordo'!G$2:G$746,'Base bordo'!C$2:C$746,A655,'Base bordo'!B$2:B$746,B655,'Base bordo'!F$2:F$746,"AGUARDANDO TRANSBORDO"),0)</f>
        <v>0</v>
      </c>
      <c r="I655" s="10">
        <f>IFERROR(SUMIFS('Base bordo'!G$2:G$746,'Base bordo'!C$2:C$746,A655,'Base bordo'!B$2:B$746,B655,'Base bordo'!F$2:F$746,"PÁTIO INTERNO"),0)+IFERROR(SUMIFS('Base bordo'!G$2:G$746,'Base bordo'!C$2:C$746,A655,'Base bordo'!B$2:B$746,B655,'Base bordo'!F$2:F$746,"PÁTIO EXTERNO"),0)+IFERROR(SUMIFS('Base bordo'!G$2:G$746,'Base bordo'!C$2:C$746,A655,'Base bordo'!B$2:B$746,B655,'Base bordo'!F$2:F$746,"PATIO - RESERVA"),0)+IFERROR(SUMIFS('Base bordo'!G$2:G$746,'Base bordo'!C$2:C$746,A655,'Base bordo'!B$2:B$746,B655,'Base bordo'!F$2:F$746,"MANOBRA CARRETAS-PATIO"),0)</f>
        <v>0.14222222222222222</v>
      </c>
      <c r="J655" s="10">
        <f>IFERROR(SUMIFS('Base bordo'!G$2:G$746,'Base bordo'!C$2:C$746,A655,'Base bordo'!B$2:B$746,B655,'Base bordo'!F$2:F$746,"BALANÇA - ENTRADA"),0)+IFERROR(SUMIFS('Base bordo'!G$2:G$746,'Base bordo'!C$2:C$746,A655,'Base bordo'!B$2:B$746,B655,'Base bordo'!F$2:F$746,"BALANÇA - SAÍDA"),0)</f>
        <v>0</v>
      </c>
      <c r="K655" s="10">
        <f>IFERROR(SUMIFS('Base bordo'!G$2:G$746,'Base bordo'!C$2:C$746,A655,'Base bordo'!B$2:B$746,B655,'Base bordo'!F$2:F$746,"MAN PREVENTIVA - MECANICA"),0)+IFERROR(SUMIFS('Base bordo'!G$2:G$746,'Base bordo'!C$2:C$746,A655,'Base bordo'!B$2:B$746,B655,'Base bordo'!F$2:F$746,"MAN CORRETIVA - MECANICA"),0)</f>
        <v>0</v>
      </c>
      <c r="L655" s="10">
        <f>IFERROR(SUMIFS('Base bordo'!G$2:G$746,'Base bordo'!C$2:C$746,A655,'Base bordo'!B$2:B$746,B655,'Base bordo'!F$2:F$746,"MANUTENCAO - T O"),0)+IFERROR(SUMIFS('Base bordo'!G$2:G$746,'Base bordo'!C$2:C$746,A655,'Base bordo'!B$2:B$746,B655,'Base bordo'!F$2:F$746,"MANUTENCAO BORRACHARIA"),0)+IFERROR(SUMIFS('Base bordo'!G$2:G$746,'Base bordo'!C$2:C$746,A655,'Base bordo'!B$2:B$746,B655,'Base bordo'!F$2:F$746,"MANUTENCAO EXTERNA  CONCESSIONARIA"),0)+IFERROR(SUMIFS('Base bordo'!G$2:G$746,'Base bordo'!C$2:C$746,A655,'Base bordo'!B$2:B$746,B655,'Base bordo'!F$2:F$746,"MANUTENCAO TELEMETRIA"),0)</f>
        <v>19.126944444444444</v>
      </c>
      <c r="M655" s="10">
        <f>IFERROR(SUMIFS('Base bordo'!G$2:G$746,'Base bordo'!C$2:C$746,A655,'Base bordo'!B$2:B$746,B655,'Base bordo'!F$2:F$746,"AGUARDANDO MANUTENCAO"),0)</f>
        <v>0</v>
      </c>
      <c r="N655" s="10">
        <f>IFERROR(SUMIFS('Base bordo'!G$2:G$746,'Base bordo'!C$2:C$746,A655,'Base bordo'!B$2:B$746,B655,'Base bordo'!F$2:F$746,"SEM APONTAMENTO"),0)</f>
        <v>8.0277777777777781E-2</v>
      </c>
      <c r="O655" s="10">
        <f t="shared" ref="O655:O718" si="72">IFERROR(P655-SUM(D655:N655),0)</f>
        <v>0.21499999999999986</v>
      </c>
      <c r="P655" s="10">
        <f>IFERROR(SUMIFS('Base bordo'!G$2:G$746,'Base bordo'!C$2:C$746,A655,'Base bordo'!B$2:B$746,B655),0)</f>
        <v>24</v>
      </c>
      <c r="Q655" s="10">
        <f>IFERROR(SUMIFS('Base bordo'!H$2:H$746,'Base bordo'!C$2:C$746,A655,'Base bordo'!B$2:B$746,B655,'Base bordo'!F$2:F$746,"DESLOCAMENTO VAZIO"),0)</f>
        <v>230189.18</v>
      </c>
      <c r="R655" s="10">
        <f>IFERROR(SUMIFS('Base bordo'!I$2:I$746,'Base bordo'!C$2:C$746,A655,'Base bordo'!B$2:B$746,B655,'Base bordo'!F$2:F$746,"DESLOCAMENTO VAZIO"),0)</f>
        <v>8438</v>
      </c>
      <c r="S655" s="30">
        <f t="shared" ref="S655:S718" si="73">IFERROR(Q655/R655,"")</f>
        <v>27.28006399620763</v>
      </c>
      <c r="T655" s="10">
        <f>IFERROR(SUMIFS('Base bordo'!H$2:H$746,'Base bordo'!C$2:C$746,A655,'Base bordo'!B$2:B$746,B655,'Base bordo'!F$2:F$746,"DESLOCAMENTO CARREGADO"),0)</f>
        <v>169494.41999999998</v>
      </c>
      <c r="U655" s="10">
        <f>IFERROR(SUMIFS('Base bordo'!I$2:I$746,'Base bordo'!C$2:C$746,A655,'Base bordo'!B$2:B$746,B655,'Base bordo'!F$2:F$746,"DESLOCAMENTO CARREGADO"),0)</f>
        <v>6763</v>
      </c>
      <c r="V655" s="30">
        <f t="shared" ref="V655:V718" si="74">IFERROR(T655/U655,"")</f>
        <v>25.062016856424663</v>
      </c>
      <c r="W655" s="9">
        <f t="shared" ref="W655:W718" si="75">IFERROR(D655/P655,0)</f>
        <v>9.7662037037037033E-2</v>
      </c>
      <c r="X655" s="9">
        <f t="shared" ref="X655:X718" si="76">IFERROR(E655/P655,0)</f>
        <v>7.8275462962962963E-2</v>
      </c>
      <c r="Y655" s="9">
        <f t="shared" ref="Y655:Y718" si="77">IFERROR(1-((D655+E655)/P655),0)</f>
        <v>0.82406250000000003</v>
      </c>
    </row>
    <row r="656" spans="1:25" ht="15" customHeight="1" x14ac:dyDescent="0.35">
      <c r="A656" s="52">
        <v>8013482</v>
      </c>
      <c r="B656" s="51">
        <v>46117</v>
      </c>
      <c r="C656" s="7" t="s">
        <v>124</v>
      </c>
      <c r="D656" s="10">
        <f>IFERROR(SUMIFS('Base bordo'!G$2:G$746,'Base bordo'!C$2:C$746,A656,'Base bordo'!B$2:B$746,B656,'Base bordo'!F$2:F$746,"DESLOCAMENTO VAZIO"),0)</f>
        <v>1.7844444444444445</v>
      </c>
      <c r="E656" s="10">
        <f>IFERROR(SUMIFS('Base bordo'!G$2:G$746,'Base bordo'!C$2:C$746,A656,'Base bordo'!B$2:B$746,B656,'Base bordo'!F$2:F$746,"DESLOCAMENTO CARREGADO"),0)</f>
        <v>0</v>
      </c>
      <c r="F656" s="10">
        <f>IFERROR(SUMIFS('Base bordo'!G$2:G$746,'Base bordo'!C$2:C$746,A656,'Base bordo'!B$2:B$746,B656,'Base bordo'!F$2:F$746,"DESLOCAMENTO"),0)</f>
        <v>0</v>
      </c>
      <c r="G656" s="10">
        <f>IFERROR(SUMIFS('Base bordo'!G$2:G$746,'Base bordo'!C$2:C$746,A656,'Base bordo'!B$2:B$746,B656,'Base bordo'!F$2:F$746,"CARREGAMENTO"),0)</f>
        <v>0</v>
      </c>
      <c r="H656" s="10">
        <f>IFERROR(SUMIFS('Base bordo'!G$2:G$746,'Base bordo'!C$2:C$746,A656,'Base bordo'!B$2:B$746,B656,'Base bordo'!F$2:F$746,"AGUARDANDO TRANSBORDO"),0)</f>
        <v>3.6680555555555556</v>
      </c>
      <c r="I656" s="10">
        <f>IFERROR(SUMIFS('Base bordo'!G$2:G$746,'Base bordo'!C$2:C$746,A656,'Base bordo'!B$2:B$746,B656,'Base bordo'!F$2:F$746,"PÁTIO INTERNO"),0)+IFERROR(SUMIFS('Base bordo'!G$2:G$746,'Base bordo'!C$2:C$746,A656,'Base bordo'!B$2:B$746,B656,'Base bordo'!F$2:F$746,"PÁTIO EXTERNO"),0)+IFERROR(SUMIFS('Base bordo'!G$2:G$746,'Base bordo'!C$2:C$746,A656,'Base bordo'!B$2:B$746,B656,'Base bordo'!F$2:F$746,"PATIO - RESERVA"),0)+IFERROR(SUMIFS('Base bordo'!G$2:G$746,'Base bordo'!C$2:C$746,A656,'Base bordo'!B$2:B$746,B656,'Base bordo'!F$2:F$746,"MANOBRA CARRETAS-PATIO"),0)</f>
        <v>0</v>
      </c>
      <c r="J656" s="10">
        <f>IFERROR(SUMIFS('Base bordo'!G$2:G$746,'Base bordo'!C$2:C$746,A656,'Base bordo'!B$2:B$746,B656,'Base bordo'!F$2:F$746,"BALANÇA - ENTRADA"),0)+IFERROR(SUMIFS('Base bordo'!G$2:G$746,'Base bordo'!C$2:C$746,A656,'Base bordo'!B$2:B$746,B656,'Base bordo'!F$2:F$746,"BALANÇA - SAÍDA"),0)</f>
        <v>0</v>
      </c>
      <c r="K656" s="10">
        <f>IFERROR(SUMIFS('Base bordo'!G$2:G$746,'Base bordo'!C$2:C$746,A656,'Base bordo'!B$2:B$746,B656,'Base bordo'!F$2:F$746,"MAN PREVENTIVA - MECANICA"),0)+IFERROR(SUMIFS('Base bordo'!G$2:G$746,'Base bordo'!C$2:C$746,A656,'Base bordo'!B$2:B$746,B656,'Base bordo'!F$2:F$746,"MAN CORRETIVA - MECANICA"),0)</f>
        <v>0</v>
      </c>
      <c r="L656" s="10">
        <f>IFERROR(SUMIFS('Base bordo'!G$2:G$746,'Base bordo'!C$2:C$746,A656,'Base bordo'!B$2:B$746,B656,'Base bordo'!F$2:F$746,"MANUTENCAO - T O"),0)+IFERROR(SUMIFS('Base bordo'!G$2:G$746,'Base bordo'!C$2:C$746,A656,'Base bordo'!B$2:B$746,B656,'Base bordo'!F$2:F$746,"MANUTENCAO BORRACHARIA"),0)+IFERROR(SUMIFS('Base bordo'!G$2:G$746,'Base bordo'!C$2:C$746,A656,'Base bordo'!B$2:B$746,B656,'Base bordo'!F$2:F$746,"MANUTENCAO EXTERNA  CONCESSIONARIA"),0)+IFERROR(SUMIFS('Base bordo'!G$2:G$746,'Base bordo'!C$2:C$746,A656,'Base bordo'!B$2:B$746,B656,'Base bordo'!F$2:F$746,"MANUTENCAO TELEMETRIA"),0)</f>
        <v>18.442222222222224</v>
      </c>
      <c r="M656" s="10">
        <f>IFERROR(SUMIFS('Base bordo'!G$2:G$746,'Base bordo'!C$2:C$746,A656,'Base bordo'!B$2:B$746,B656,'Base bordo'!F$2:F$746,"AGUARDANDO MANUTENCAO"),0)</f>
        <v>0</v>
      </c>
      <c r="N656" s="10">
        <f>IFERROR(SUMIFS('Base bordo'!G$2:G$746,'Base bordo'!C$2:C$746,A656,'Base bordo'!B$2:B$746,B656,'Base bordo'!F$2:F$746,"SEM APONTAMENTO"),0)</f>
        <v>0</v>
      </c>
      <c r="O656" s="10">
        <f t="shared" si="72"/>
        <v>0.10527777777777558</v>
      </c>
      <c r="P656" s="10">
        <f>IFERROR(SUMIFS('Base bordo'!G$2:G$746,'Base bordo'!C$2:C$746,A656,'Base bordo'!B$2:B$746,B656),0)</f>
        <v>24</v>
      </c>
      <c r="Q656" s="10">
        <f>IFERROR(SUMIFS('Base bordo'!H$2:H$746,'Base bordo'!C$2:C$746,A656,'Base bordo'!B$2:B$746,B656,'Base bordo'!F$2:F$746,"DESLOCAMENTO VAZIO"),0)</f>
        <v>267139.11</v>
      </c>
      <c r="R656" s="10">
        <f>IFERROR(SUMIFS('Base bordo'!I$2:I$746,'Base bordo'!C$2:C$746,A656,'Base bordo'!B$2:B$746,B656,'Base bordo'!F$2:F$746,"DESLOCAMENTO VAZIO"),0)</f>
        <v>6424</v>
      </c>
      <c r="S656" s="30">
        <f t="shared" si="73"/>
        <v>41.584543897882938</v>
      </c>
      <c r="T656" s="10">
        <f>IFERROR(SUMIFS('Base bordo'!H$2:H$746,'Base bordo'!C$2:C$746,A656,'Base bordo'!B$2:B$746,B656,'Base bordo'!F$2:F$746,"DESLOCAMENTO CARREGADO"),0)</f>
        <v>0</v>
      </c>
      <c r="U656" s="10">
        <f>IFERROR(SUMIFS('Base bordo'!I$2:I$746,'Base bordo'!C$2:C$746,A656,'Base bordo'!B$2:B$746,B656,'Base bordo'!F$2:F$746,"DESLOCAMENTO CARREGADO"),0)</f>
        <v>0</v>
      </c>
      <c r="V656" s="30" t="str">
        <f t="shared" si="74"/>
        <v/>
      </c>
      <c r="W656" s="9">
        <f t="shared" si="75"/>
        <v>7.435185185185185E-2</v>
      </c>
      <c r="X656" s="9">
        <f t="shared" si="76"/>
        <v>0</v>
      </c>
      <c r="Y656" s="9">
        <f t="shared" si="77"/>
        <v>0.92564814814814811</v>
      </c>
    </row>
    <row r="657" spans="1:25" ht="15" customHeight="1" x14ac:dyDescent="0.35">
      <c r="A657" s="52">
        <v>8013482</v>
      </c>
      <c r="B657" s="51">
        <v>46117</v>
      </c>
      <c r="C657" s="7" t="s">
        <v>124</v>
      </c>
      <c r="D657" s="10">
        <f>IFERROR(SUMIFS('Base bordo'!G$2:G$746,'Base bordo'!C$2:C$746,A657,'Base bordo'!B$2:B$746,B657,'Base bordo'!F$2:F$746,"DESLOCAMENTO VAZIO"),0)</f>
        <v>1.7844444444444445</v>
      </c>
      <c r="E657" s="10">
        <f>IFERROR(SUMIFS('Base bordo'!G$2:G$746,'Base bordo'!C$2:C$746,A657,'Base bordo'!B$2:B$746,B657,'Base bordo'!F$2:F$746,"DESLOCAMENTO CARREGADO"),0)</f>
        <v>0</v>
      </c>
      <c r="F657" s="10">
        <f>IFERROR(SUMIFS('Base bordo'!G$2:G$746,'Base bordo'!C$2:C$746,A657,'Base bordo'!B$2:B$746,B657,'Base bordo'!F$2:F$746,"DESLOCAMENTO"),0)</f>
        <v>0</v>
      </c>
      <c r="G657" s="10">
        <f>IFERROR(SUMIFS('Base bordo'!G$2:G$746,'Base bordo'!C$2:C$746,A657,'Base bordo'!B$2:B$746,B657,'Base bordo'!F$2:F$746,"CARREGAMENTO"),0)</f>
        <v>0</v>
      </c>
      <c r="H657" s="10">
        <f>IFERROR(SUMIFS('Base bordo'!G$2:G$746,'Base bordo'!C$2:C$746,A657,'Base bordo'!B$2:B$746,B657,'Base bordo'!F$2:F$746,"AGUARDANDO TRANSBORDO"),0)</f>
        <v>3.6680555555555556</v>
      </c>
      <c r="I657" s="10">
        <f>IFERROR(SUMIFS('Base bordo'!G$2:G$746,'Base bordo'!C$2:C$746,A657,'Base bordo'!B$2:B$746,B657,'Base bordo'!F$2:F$746,"PÁTIO INTERNO"),0)+IFERROR(SUMIFS('Base bordo'!G$2:G$746,'Base bordo'!C$2:C$746,A657,'Base bordo'!B$2:B$746,B657,'Base bordo'!F$2:F$746,"PÁTIO EXTERNO"),0)+IFERROR(SUMIFS('Base bordo'!G$2:G$746,'Base bordo'!C$2:C$746,A657,'Base bordo'!B$2:B$746,B657,'Base bordo'!F$2:F$746,"PATIO - RESERVA"),0)+IFERROR(SUMIFS('Base bordo'!G$2:G$746,'Base bordo'!C$2:C$746,A657,'Base bordo'!B$2:B$746,B657,'Base bordo'!F$2:F$746,"MANOBRA CARRETAS-PATIO"),0)</f>
        <v>0</v>
      </c>
      <c r="J657" s="10">
        <f>IFERROR(SUMIFS('Base bordo'!G$2:G$746,'Base bordo'!C$2:C$746,A657,'Base bordo'!B$2:B$746,B657,'Base bordo'!F$2:F$746,"BALANÇA - ENTRADA"),0)+IFERROR(SUMIFS('Base bordo'!G$2:G$746,'Base bordo'!C$2:C$746,A657,'Base bordo'!B$2:B$746,B657,'Base bordo'!F$2:F$746,"BALANÇA - SAÍDA"),0)</f>
        <v>0</v>
      </c>
      <c r="K657" s="10">
        <f>IFERROR(SUMIFS('Base bordo'!G$2:G$746,'Base bordo'!C$2:C$746,A657,'Base bordo'!B$2:B$746,B657,'Base bordo'!F$2:F$746,"MAN PREVENTIVA - MECANICA"),0)+IFERROR(SUMIFS('Base bordo'!G$2:G$746,'Base bordo'!C$2:C$746,A657,'Base bordo'!B$2:B$746,B657,'Base bordo'!F$2:F$746,"MAN CORRETIVA - MECANICA"),0)</f>
        <v>0</v>
      </c>
      <c r="L657" s="10">
        <f>IFERROR(SUMIFS('Base bordo'!G$2:G$746,'Base bordo'!C$2:C$746,A657,'Base bordo'!B$2:B$746,B657,'Base bordo'!F$2:F$746,"MANUTENCAO - T O"),0)+IFERROR(SUMIFS('Base bordo'!G$2:G$746,'Base bordo'!C$2:C$746,A657,'Base bordo'!B$2:B$746,B657,'Base bordo'!F$2:F$746,"MANUTENCAO BORRACHARIA"),0)+IFERROR(SUMIFS('Base bordo'!G$2:G$746,'Base bordo'!C$2:C$746,A657,'Base bordo'!B$2:B$746,B657,'Base bordo'!F$2:F$746,"MANUTENCAO EXTERNA  CONCESSIONARIA"),0)+IFERROR(SUMIFS('Base bordo'!G$2:G$746,'Base bordo'!C$2:C$746,A657,'Base bordo'!B$2:B$746,B657,'Base bordo'!F$2:F$746,"MANUTENCAO TELEMETRIA"),0)</f>
        <v>18.442222222222224</v>
      </c>
      <c r="M657" s="10">
        <f>IFERROR(SUMIFS('Base bordo'!G$2:G$746,'Base bordo'!C$2:C$746,A657,'Base bordo'!B$2:B$746,B657,'Base bordo'!F$2:F$746,"AGUARDANDO MANUTENCAO"),0)</f>
        <v>0</v>
      </c>
      <c r="N657" s="10">
        <f>IFERROR(SUMIFS('Base bordo'!G$2:G$746,'Base bordo'!C$2:C$746,A657,'Base bordo'!B$2:B$746,B657,'Base bordo'!F$2:F$746,"SEM APONTAMENTO"),0)</f>
        <v>0</v>
      </c>
      <c r="O657" s="10">
        <f t="shared" si="72"/>
        <v>0.10527777777777558</v>
      </c>
      <c r="P657" s="10">
        <f>IFERROR(SUMIFS('Base bordo'!G$2:G$746,'Base bordo'!C$2:C$746,A657,'Base bordo'!B$2:B$746,B657),0)</f>
        <v>24</v>
      </c>
      <c r="Q657" s="10">
        <f>IFERROR(SUMIFS('Base bordo'!H$2:H$746,'Base bordo'!C$2:C$746,A657,'Base bordo'!B$2:B$746,B657,'Base bordo'!F$2:F$746,"DESLOCAMENTO VAZIO"),0)</f>
        <v>267139.11</v>
      </c>
      <c r="R657" s="10">
        <f>IFERROR(SUMIFS('Base bordo'!I$2:I$746,'Base bordo'!C$2:C$746,A657,'Base bordo'!B$2:B$746,B657,'Base bordo'!F$2:F$746,"DESLOCAMENTO VAZIO"),0)</f>
        <v>6424</v>
      </c>
      <c r="S657" s="30">
        <f t="shared" si="73"/>
        <v>41.584543897882938</v>
      </c>
      <c r="T657" s="10">
        <f>IFERROR(SUMIFS('Base bordo'!H$2:H$746,'Base bordo'!C$2:C$746,A657,'Base bordo'!B$2:B$746,B657,'Base bordo'!F$2:F$746,"DESLOCAMENTO CARREGADO"),0)</f>
        <v>0</v>
      </c>
      <c r="U657" s="10">
        <f>IFERROR(SUMIFS('Base bordo'!I$2:I$746,'Base bordo'!C$2:C$746,A657,'Base bordo'!B$2:B$746,B657,'Base bordo'!F$2:F$746,"DESLOCAMENTO CARREGADO"),0)</f>
        <v>0</v>
      </c>
      <c r="V657" s="30" t="str">
        <f t="shared" si="74"/>
        <v/>
      </c>
      <c r="W657" s="9">
        <f t="shared" si="75"/>
        <v>7.435185185185185E-2</v>
      </c>
      <c r="X657" s="9">
        <f t="shared" si="76"/>
        <v>0</v>
      </c>
      <c r="Y657" s="9">
        <f t="shared" si="77"/>
        <v>0.92564814814814811</v>
      </c>
    </row>
    <row r="658" spans="1:25" ht="15" customHeight="1" x14ac:dyDescent="0.35">
      <c r="A658" s="52">
        <v>8013483</v>
      </c>
      <c r="B658" s="51">
        <v>46117</v>
      </c>
      <c r="C658" s="7" t="s">
        <v>124</v>
      </c>
      <c r="D658" s="10">
        <f>IFERROR(SUMIFS('Base bordo'!G$2:G$746,'Base bordo'!C$2:C$746,A658,'Base bordo'!B$2:B$746,B658,'Base bordo'!F$2:F$746,"DESLOCAMENTO VAZIO"),0)</f>
        <v>0.3947222222222222</v>
      </c>
      <c r="E658" s="10">
        <f>IFERROR(SUMIFS('Base bordo'!G$2:G$746,'Base bordo'!C$2:C$746,A658,'Base bordo'!B$2:B$746,B658,'Base bordo'!F$2:F$746,"DESLOCAMENTO CARREGADO"),0)</f>
        <v>2.7777777777777776E-2</v>
      </c>
      <c r="F658" s="10">
        <f>IFERROR(SUMIFS('Base bordo'!G$2:G$746,'Base bordo'!C$2:C$746,A658,'Base bordo'!B$2:B$746,B658,'Base bordo'!F$2:F$746,"DESLOCAMENTO"),0)</f>
        <v>0</v>
      </c>
      <c r="G658" s="10">
        <f>IFERROR(SUMIFS('Base bordo'!G$2:G$746,'Base bordo'!C$2:C$746,A658,'Base bordo'!B$2:B$746,B658,'Base bordo'!F$2:F$746,"CARREGAMENTO"),0)</f>
        <v>0</v>
      </c>
      <c r="H658" s="10">
        <f>IFERROR(SUMIFS('Base bordo'!G$2:G$746,'Base bordo'!C$2:C$746,A658,'Base bordo'!B$2:B$746,B658,'Base bordo'!F$2:F$746,"AGUARDANDO TRANSBORDO"),0)</f>
        <v>0</v>
      </c>
      <c r="I658" s="10">
        <f>IFERROR(SUMIFS('Base bordo'!G$2:G$746,'Base bordo'!C$2:C$746,A658,'Base bordo'!B$2:B$746,B658,'Base bordo'!F$2:F$746,"PÁTIO INTERNO"),0)+IFERROR(SUMIFS('Base bordo'!G$2:G$746,'Base bordo'!C$2:C$746,A658,'Base bordo'!B$2:B$746,B658,'Base bordo'!F$2:F$746,"PÁTIO EXTERNO"),0)+IFERROR(SUMIFS('Base bordo'!G$2:G$746,'Base bordo'!C$2:C$746,A658,'Base bordo'!B$2:B$746,B658,'Base bordo'!F$2:F$746,"PATIO - RESERVA"),0)+IFERROR(SUMIFS('Base bordo'!G$2:G$746,'Base bordo'!C$2:C$746,A658,'Base bordo'!B$2:B$746,B658,'Base bordo'!F$2:F$746,"MANOBRA CARRETAS-PATIO"),0)</f>
        <v>0</v>
      </c>
      <c r="J658" s="10">
        <f>IFERROR(SUMIFS('Base bordo'!G$2:G$746,'Base bordo'!C$2:C$746,A658,'Base bordo'!B$2:B$746,B658,'Base bordo'!F$2:F$746,"BALANÇA - ENTRADA"),0)+IFERROR(SUMIFS('Base bordo'!G$2:G$746,'Base bordo'!C$2:C$746,A658,'Base bordo'!B$2:B$746,B658,'Base bordo'!F$2:F$746,"BALANÇA - SAÍDA"),0)</f>
        <v>0</v>
      </c>
      <c r="K658" s="10">
        <f>IFERROR(SUMIFS('Base bordo'!G$2:G$746,'Base bordo'!C$2:C$746,A658,'Base bordo'!B$2:B$746,B658,'Base bordo'!F$2:F$746,"MAN PREVENTIVA - MECANICA"),0)+IFERROR(SUMIFS('Base bordo'!G$2:G$746,'Base bordo'!C$2:C$746,A658,'Base bordo'!B$2:B$746,B658,'Base bordo'!F$2:F$746,"MAN CORRETIVA - MECANICA"),0)</f>
        <v>0</v>
      </c>
      <c r="L658" s="10">
        <f>IFERROR(SUMIFS('Base bordo'!G$2:G$746,'Base bordo'!C$2:C$746,A658,'Base bordo'!B$2:B$746,B658,'Base bordo'!F$2:F$746,"MANUTENCAO - T O"),0)+IFERROR(SUMIFS('Base bordo'!G$2:G$746,'Base bordo'!C$2:C$746,A658,'Base bordo'!B$2:B$746,B658,'Base bordo'!F$2:F$746,"MANUTENCAO BORRACHARIA"),0)+IFERROR(SUMIFS('Base bordo'!G$2:G$746,'Base bordo'!C$2:C$746,A658,'Base bordo'!B$2:B$746,B658,'Base bordo'!F$2:F$746,"MANUTENCAO EXTERNA  CONCESSIONARIA"),0)+IFERROR(SUMIFS('Base bordo'!G$2:G$746,'Base bordo'!C$2:C$746,A658,'Base bordo'!B$2:B$746,B658,'Base bordo'!F$2:F$746,"MANUTENCAO TELEMETRIA"),0)</f>
        <v>22.371944444444445</v>
      </c>
      <c r="M658" s="10">
        <f>IFERROR(SUMIFS('Base bordo'!G$2:G$746,'Base bordo'!C$2:C$746,A658,'Base bordo'!B$2:B$746,B658,'Base bordo'!F$2:F$746,"AGUARDANDO MANUTENCAO"),0)</f>
        <v>0</v>
      </c>
      <c r="N658" s="10">
        <f>IFERROR(SUMIFS('Base bordo'!G$2:G$746,'Base bordo'!C$2:C$746,A658,'Base bordo'!B$2:B$746,B658,'Base bordo'!F$2:F$746,"SEM APONTAMENTO"),0)</f>
        <v>1.0611111111111111</v>
      </c>
      <c r="O658" s="10">
        <f t="shared" si="72"/>
        <v>0.14444444444444571</v>
      </c>
      <c r="P658" s="10">
        <f>IFERROR(SUMIFS('Base bordo'!G$2:G$746,'Base bordo'!C$2:C$746,A658,'Base bordo'!B$2:B$746,B658),0)</f>
        <v>24</v>
      </c>
      <c r="Q658" s="10">
        <f>IFERROR(SUMIFS('Base bordo'!H$2:H$746,'Base bordo'!C$2:C$746,A658,'Base bordo'!B$2:B$746,B658,'Base bordo'!F$2:F$746,"DESLOCAMENTO VAZIO"),0)</f>
        <v>41838.400000000001</v>
      </c>
      <c r="R658" s="10">
        <f>IFERROR(SUMIFS('Base bordo'!I$2:I$746,'Base bordo'!C$2:C$746,A658,'Base bordo'!B$2:B$746,B658,'Base bordo'!F$2:F$746,"DESLOCAMENTO VAZIO"),0)</f>
        <v>1421</v>
      </c>
      <c r="S658" s="30">
        <f t="shared" si="73"/>
        <v>29.442927515833922</v>
      </c>
      <c r="T658" s="10">
        <f>IFERROR(SUMIFS('Base bordo'!H$2:H$746,'Base bordo'!C$2:C$746,A658,'Base bordo'!B$2:B$746,B658,'Base bordo'!F$2:F$746,"DESLOCAMENTO CARREGADO"),0)</f>
        <v>785.48</v>
      </c>
      <c r="U658" s="10">
        <f>IFERROR(SUMIFS('Base bordo'!I$2:I$746,'Base bordo'!C$2:C$746,A658,'Base bordo'!B$2:B$746,B658,'Base bordo'!F$2:F$746,"DESLOCAMENTO CARREGADO"),0)</f>
        <v>100</v>
      </c>
      <c r="V658" s="30">
        <f t="shared" si="74"/>
        <v>7.8548</v>
      </c>
      <c r="W658" s="9">
        <f t="shared" si="75"/>
        <v>1.6446759259259258E-2</v>
      </c>
      <c r="X658" s="9">
        <f t="shared" si="76"/>
        <v>1.1574074074074073E-3</v>
      </c>
      <c r="Y658" s="9">
        <f t="shared" si="77"/>
        <v>0.98239583333333336</v>
      </c>
    </row>
    <row r="659" spans="1:25" ht="15" customHeight="1" x14ac:dyDescent="0.35">
      <c r="A659" s="52">
        <v>8013483</v>
      </c>
      <c r="B659" s="51">
        <v>46117</v>
      </c>
      <c r="C659" s="7" t="s">
        <v>124</v>
      </c>
      <c r="D659" s="10">
        <f>IFERROR(SUMIFS('Base bordo'!G$2:G$746,'Base bordo'!C$2:C$746,A659,'Base bordo'!B$2:B$746,B659,'Base bordo'!F$2:F$746,"DESLOCAMENTO VAZIO"),0)</f>
        <v>0.3947222222222222</v>
      </c>
      <c r="E659" s="10">
        <f>IFERROR(SUMIFS('Base bordo'!G$2:G$746,'Base bordo'!C$2:C$746,A659,'Base bordo'!B$2:B$746,B659,'Base bordo'!F$2:F$746,"DESLOCAMENTO CARREGADO"),0)</f>
        <v>2.7777777777777776E-2</v>
      </c>
      <c r="F659" s="10">
        <f>IFERROR(SUMIFS('Base bordo'!G$2:G$746,'Base bordo'!C$2:C$746,A659,'Base bordo'!B$2:B$746,B659,'Base bordo'!F$2:F$746,"DESLOCAMENTO"),0)</f>
        <v>0</v>
      </c>
      <c r="G659" s="10">
        <f>IFERROR(SUMIFS('Base bordo'!G$2:G$746,'Base bordo'!C$2:C$746,A659,'Base bordo'!B$2:B$746,B659,'Base bordo'!F$2:F$746,"CARREGAMENTO"),0)</f>
        <v>0</v>
      </c>
      <c r="H659" s="10">
        <f>IFERROR(SUMIFS('Base bordo'!G$2:G$746,'Base bordo'!C$2:C$746,A659,'Base bordo'!B$2:B$746,B659,'Base bordo'!F$2:F$746,"AGUARDANDO TRANSBORDO"),0)</f>
        <v>0</v>
      </c>
      <c r="I659" s="10">
        <f>IFERROR(SUMIFS('Base bordo'!G$2:G$746,'Base bordo'!C$2:C$746,A659,'Base bordo'!B$2:B$746,B659,'Base bordo'!F$2:F$746,"PÁTIO INTERNO"),0)+IFERROR(SUMIFS('Base bordo'!G$2:G$746,'Base bordo'!C$2:C$746,A659,'Base bordo'!B$2:B$746,B659,'Base bordo'!F$2:F$746,"PÁTIO EXTERNO"),0)+IFERROR(SUMIFS('Base bordo'!G$2:G$746,'Base bordo'!C$2:C$746,A659,'Base bordo'!B$2:B$746,B659,'Base bordo'!F$2:F$746,"PATIO - RESERVA"),0)+IFERROR(SUMIFS('Base bordo'!G$2:G$746,'Base bordo'!C$2:C$746,A659,'Base bordo'!B$2:B$746,B659,'Base bordo'!F$2:F$746,"MANOBRA CARRETAS-PATIO"),0)</f>
        <v>0</v>
      </c>
      <c r="J659" s="10">
        <f>IFERROR(SUMIFS('Base bordo'!G$2:G$746,'Base bordo'!C$2:C$746,A659,'Base bordo'!B$2:B$746,B659,'Base bordo'!F$2:F$746,"BALANÇA - ENTRADA"),0)+IFERROR(SUMIFS('Base bordo'!G$2:G$746,'Base bordo'!C$2:C$746,A659,'Base bordo'!B$2:B$746,B659,'Base bordo'!F$2:F$746,"BALANÇA - SAÍDA"),0)</f>
        <v>0</v>
      </c>
      <c r="K659" s="10">
        <f>IFERROR(SUMIFS('Base bordo'!G$2:G$746,'Base bordo'!C$2:C$746,A659,'Base bordo'!B$2:B$746,B659,'Base bordo'!F$2:F$746,"MAN PREVENTIVA - MECANICA"),0)+IFERROR(SUMIFS('Base bordo'!G$2:G$746,'Base bordo'!C$2:C$746,A659,'Base bordo'!B$2:B$746,B659,'Base bordo'!F$2:F$746,"MAN CORRETIVA - MECANICA"),0)</f>
        <v>0</v>
      </c>
      <c r="L659" s="10">
        <f>IFERROR(SUMIFS('Base bordo'!G$2:G$746,'Base bordo'!C$2:C$746,A659,'Base bordo'!B$2:B$746,B659,'Base bordo'!F$2:F$746,"MANUTENCAO - T O"),0)+IFERROR(SUMIFS('Base bordo'!G$2:G$746,'Base bordo'!C$2:C$746,A659,'Base bordo'!B$2:B$746,B659,'Base bordo'!F$2:F$746,"MANUTENCAO BORRACHARIA"),0)+IFERROR(SUMIFS('Base bordo'!G$2:G$746,'Base bordo'!C$2:C$746,A659,'Base bordo'!B$2:B$746,B659,'Base bordo'!F$2:F$746,"MANUTENCAO EXTERNA  CONCESSIONARIA"),0)+IFERROR(SUMIFS('Base bordo'!G$2:G$746,'Base bordo'!C$2:C$746,A659,'Base bordo'!B$2:B$746,B659,'Base bordo'!F$2:F$746,"MANUTENCAO TELEMETRIA"),0)</f>
        <v>22.371944444444445</v>
      </c>
      <c r="M659" s="10">
        <f>IFERROR(SUMIFS('Base bordo'!G$2:G$746,'Base bordo'!C$2:C$746,A659,'Base bordo'!B$2:B$746,B659,'Base bordo'!F$2:F$746,"AGUARDANDO MANUTENCAO"),0)</f>
        <v>0</v>
      </c>
      <c r="N659" s="10">
        <f>IFERROR(SUMIFS('Base bordo'!G$2:G$746,'Base bordo'!C$2:C$746,A659,'Base bordo'!B$2:B$746,B659,'Base bordo'!F$2:F$746,"SEM APONTAMENTO"),0)</f>
        <v>1.0611111111111111</v>
      </c>
      <c r="O659" s="10">
        <f t="shared" si="72"/>
        <v>0.14444444444444571</v>
      </c>
      <c r="P659" s="10">
        <f>IFERROR(SUMIFS('Base bordo'!G$2:G$746,'Base bordo'!C$2:C$746,A659,'Base bordo'!B$2:B$746,B659),0)</f>
        <v>24</v>
      </c>
      <c r="Q659" s="10">
        <f>IFERROR(SUMIFS('Base bordo'!H$2:H$746,'Base bordo'!C$2:C$746,A659,'Base bordo'!B$2:B$746,B659,'Base bordo'!F$2:F$746,"DESLOCAMENTO VAZIO"),0)</f>
        <v>41838.400000000001</v>
      </c>
      <c r="R659" s="10">
        <f>IFERROR(SUMIFS('Base bordo'!I$2:I$746,'Base bordo'!C$2:C$746,A659,'Base bordo'!B$2:B$746,B659,'Base bordo'!F$2:F$746,"DESLOCAMENTO VAZIO"),0)</f>
        <v>1421</v>
      </c>
      <c r="S659" s="30">
        <f t="shared" si="73"/>
        <v>29.442927515833922</v>
      </c>
      <c r="T659" s="10">
        <f>IFERROR(SUMIFS('Base bordo'!H$2:H$746,'Base bordo'!C$2:C$746,A659,'Base bordo'!B$2:B$746,B659,'Base bordo'!F$2:F$746,"DESLOCAMENTO CARREGADO"),0)</f>
        <v>785.48</v>
      </c>
      <c r="U659" s="10">
        <f>IFERROR(SUMIFS('Base bordo'!I$2:I$746,'Base bordo'!C$2:C$746,A659,'Base bordo'!B$2:B$746,B659,'Base bordo'!F$2:F$746,"DESLOCAMENTO CARREGADO"),0)</f>
        <v>100</v>
      </c>
      <c r="V659" s="30">
        <f t="shared" si="74"/>
        <v>7.8548</v>
      </c>
      <c r="W659" s="9">
        <f t="shared" si="75"/>
        <v>1.6446759259259258E-2</v>
      </c>
      <c r="X659" s="9">
        <f t="shared" si="76"/>
        <v>1.1574074074074073E-3</v>
      </c>
      <c r="Y659" s="9">
        <f t="shared" si="77"/>
        <v>0.98239583333333336</v>
      </c>
    </row>
    <row r="660" spans="1:25" ht="15" customHeight="1" x14ac:dyDescent="0.35">
      <c r="A660" s="52">
        <v>8013484</v>
      </c>
      <c r="B660" s="51">
        <v>46117</v>
      </c>
      <c r="C660" s="7" t="s">
        <v>124</v>
      </c>
      <c r="D660" s="10">
        <f>IFERROR(SUMIFS('Base bordo'!G$2:G$746,'Base bordo'!C$2:C$746,A660,'Base bordo'!B$2:B$746,B660,'Base bordo'!F$2:F$746,"DESLOCAMENTO VAZIO"),0)</f>
        <v>1.8608333333333333</v>
      </c>
      <c r="E660" s="10">
        <f>IFERROR(SUMIFS('Base bordo'!G$2:G$746,'Base bordo'!C$2:C$746,A660,'Base bordo'!B$2:B$746,B660,'Base bordo'!F$2:F$746,"DESLOCAMENTO CARREGADO"),0)</f>
        <v>0</v>
      </c>
      <c r="F660" s="10">
        <f>IFERROR(SUMIFS('Base bordo'!G$2:G$746,'Base bordo'!C$2:C$746,A660,'Base bordo'!B$2:B$746,B660,'Base bordo'!F$2:F$746,"DESLOCAMENTO"),0)</f>
        <v>0.1438888888888889</v>
      </c>
      <c r="G660" s="10">
        <f>IFERROR(SUMIFS('Base bordo'!G$2:G$746,'Base bordo'!C$2:C$746,A660,'Base bordo'!B$2:B$746,B660,'Base bordo'!F$2:F$746,"CARREGAMENTO"),0)</f>
        <v>4.3816666666666668</v>
      </c>
      <c r="H660" s="10">
        <f>IFERROR(SUMIFS('Base bordo'!G$2:G$746,'Base bordo'!C$2:C$746,A660,'Base bordo'!B$2:B$746,B660,'Base bordo'!F$2:F$746,"AGUARDANDO TRANSBORDO"),0)</f>
        <v>0.39111111111111113</v>
      </c>
      <c r="I660" s="10">
        <f>IFERROR(SUMIFS('Base bordo'!G$2:G$746,'Base bordo'!C$2:C$746,A660,'Base bordo'!B$2:B$746,B660,'Base bordo'!F$2:F$746,"PÁTIO INTERNO"),0)+IFERROR(SUMIFS('Base bordo'!G$2:G$746,'Base bordo'!C$2:C$746,A660,'Base bordo'!B$2:B$746,B660,'Base bordo'!F$2:F$746,"PÁTIO EXTERNO"),0)+IFERROR(SUMIFS('Base bordo'!G$2:G$746,'Base bordo'!C$2:C$746,A660,'Base bordo'!B$2:B$746,B660,'Base bordo'!F$2:F$746,"PATIO - RESERVA"),0)+IFERROR(SUMIFS('Base bordo'!G$2:G$746,'Base bordo'!C$2:C$746,A660,'Base bordo'!B$2:B$746,B660,'Base bordo'!F$2:F$746,"MANOBRA CARRETAS-PATIO"),0)</f>
        <v>0</v>
      </c>
      <c r="J660" s="10">
        <f>IFERROR(SUMIFS('Base bordo'!G$2:G$746,'Base bordo'!C$2:C$746,A660,'Base bordo'!B$2:B$746,B660,'Base bordo'!F$2:F$746,"BALANÇA - ENTRADA"),0)+IFERROR(SUMIFS('Base bordo'!G$2:G$746,'Base bordo'!C$2:C$746,A660,'Base bordo'!B$2:B$746,B660,'Base bordo'!F$2:F$746,"BALANÇA - SAÍDA"),0)</f>
        <v>0</v>
      </c>
      <c r="K660" s="10">
        <f>IFERROR(SUMIFS('Base bordo'!G$2:G$746,'Base bordo'!C$2:C$746,A660,'Base bordo'!B$2:B$746,B660,'Base bordo'!F$2:F$746,"MAN PREVENTIVA - MECANICA"),0)+IFERROR(SUMIFS('Base bordo'!G$2:G$746,'Base bordo'!C$2:C$746,A660,'Base bordo'!B$2:B$746,B660,'Base bordo'!F$2:F$746,"MAN CORRETIVA - MECANICA"),0)</f>
        <v>8.5516666666666659</v>
      </c>
      <c r="L660" s="10">
        <f>IFERROR(SUMIFS('Base bordo'!G$2:G$746,'Base bordo'!C$2:C$746,A660,'Base bordo'!B$2:B$746,B660,'Base bordo'!F$2:F$746,"MANUTENCAO - T O"),0)+IFERROR(SUMIFS('Base bordo'!G$2:G$746,'Base bordo'!C$2:C$746,A660,'Base bordo'!B$2:B$746,B660,'Base bordo'!F$2:F$746,"MANUTENCAO BORRACHARIA"),0)+IFERROR(SUMIFS('Base bordo'!G$2:G$746,'Base bordo'!C$2:C$746,A660,'Base bordo'!B$2:B$746,B660,'Base bordo'!F$2:F$746,"MANUTENCAO EXTERNA  CONCESSIONARIA"),0)+IFERROR(SUMIFS('Base bordo'!G$2:G$746,'Base bordo'!C$2:C$746,A660,'Base bordo'!B$2:B$746,B660,'Base bordo'!F$2:F$746,"MANUTENCAO TELEMETRIA"),0)</f>
        <v>8.6052777777777774</v>
      </c>
      <c r="M660" s="10">
        <f>IFERROR(SUMIFS('Base bordo'!G$2:G$746,'Base bordo'!C$2:C$746,A660,'Base bordo'!B$2:B$746,B660,'Base bordo'!F$2:F$746,"AGUARDANDO MANUTENCAO"),0)</f>
        <v>0</v>
      </c>
      <c r="N660" s="10">
        <f>IFERROR(SUMIFS('Base bordo'!G$2:G$746,'Base bordo'!C$2:C$746,A660,'Base bordo'!B$2:B$746,B660,'Base bordo'!F$2:F$746,"SEM APONTAMENTO"),0)</f>
        <v>0</v>
      </c>
      <c r="O660" s="10">
        <f t="shared" si="72"/>
        <v>6.5555555555555145E-2</v>
      </c>
      <c r="P660" s="10">
        <f>IFERROR(SUMIFS('Base bordo'!G$2:G$746,'Base bordo'!C$2:C$746,A660,'Base bordo'!B$2:B$746,B660),0)</f>
        <v>24</v>
      </c>
      <c r="Q660" s="10">
        <f>IFERROR(SUMIFS('Base bordo'!H$2:H$746,'Base bordo'!C$2:C$746,A660,'Base bordo'!B$2:B$746,B660,'Base bordo'!F$2:F$746,"DESLOCAMENTO VAZIO"),0)</f>
        <v>251172.82</v>
      </c>
      <c r="R660" s="10">
        <f>IFERROR(SUMIFS('Base bordo'!I$2:I$746,'Base bordo'!C$2:C$746,A660,'Base bordo'!B$2:B$746,B660,'Base bordo'!F$2:F$746,"DESLOCAMENTO VAZIO"),0)</f>
        <v>6699</v>
      </c>
      <c r="S660" s="30">
        <f t="shared" si="73"/>
        <v>37.494076727869832</v>
      </c>
      <c r="T660" s="10">
        <f>IFERROR(SUMIFS('Base bordo'!H$2:H$746,'Base bordo'!C$2:C$746,A660,'Base bordo'!B$2:B$746,B660,'Base bordo'!F$2:F$746,"DESLOCAMENTO CARREGADO"),0)</f>
        <v>0</v>
      </c>
      <c r="U660" s="10">
        <f>IFERROR(SUMIFS('Base bordo'!I$2:I$746,'Base bordo'!C$2:C$746,A660,'Base bordo'!B$2:B$746,B660,'Base bordo'!F$2:F$746,"DESLOCAMENTO CARREGADO"),0)</f>
        <v>0</v>
      </c>
      <c r="V660" s="30" t="str">
        <f t="shared" si="74"/>
        <v/>
      </c>
      <c r="W660" s="9">
        <f t="shared" si="75"/>
        <v>7.7534722222222227E-2</v>
      </c>
      <c r="X660" s="9">
        <f t="shared" si="76"/>
        <v>0</v>
      </c>
      <c r="Y660" s="9">
        <f t="shared" si="77"/>
        <v>0.92246527777777776</v>
      </c>
    </row>
    <row r="661" spans="1:25" ht="15" customHeight="1" x14ac:dyDescent="0.35">
      <c r="A661" s="52">
        <v>8013484</v>
      </c>
      <c r="B661" s="51">
        <v>46117</v>
      </c>
      <c r="C661" s="7" t="s">
        <v>124</v>
      </c>
      <c r="D661" s="10">
        <f>IFERROR(SUMIFS('Base bordo'!G$2:G$746,'Base bordo'!C$2:C$746,A661,'Base bordo'!B$2:B$746,B661,'Base bordo'!F$2:F$746,"DESLOCAMENTO VAZIO"),0)</f>
        <v>1.8608333333333333</v>
      </c>
      <c r="E661" s="10">
        <f>IFERROR(SUMIFS('Base bordo'!G$2:G$746,'Base bordo'!C$2:C$746,A661,'Base bordo'!B$2:B$746,B661,'Base bordo'!F$2:F$746,"DESLOCAMENTO CARREGADO"),0)</f>
        <v>0</v>
      </c>
      <c r="F661" s="10">
        <f>IFERROR(SUMIFS('Base bordo'!G$2:G$746,'Base bordo'!C$2:C$746,A661,'Base bordo'!B$2:B$746,B661,'Base bordo'!F$2:F$746,"DESLOCAMENTO"),0)</f>
        <v>0.1438888888888889</v>
      </c>
      <c r="G661" s="10">
        <f>IFERROR(SUMIFS('Base bordo'!G$2:G$746,'Base bordo'!C$2:C$746,A661,'Base bordo'!B$2:B$746,B661,'Base bordo'!F$2:F$746,"CARREGAMENTO"),0)</f>
        <v>4.3816666666666668</v>
      </c>
      <c r="H661" s="10">
        <f>IFERROR(SUMIFS('Base bordo'!G$2:G$746,'Base bordo'!C$2:C$746,A661,'Base bordo'!B$2:B$746,B661,'Base bordo'!F$2:F$746,"AGUARDANDO TRANSBORDO"),0)</f>
        <v>0.39111111111111113</v>
      </c>
      <c r="I661" s="10">
        <f>IFERROR(SUMIFS('Base bordo'!G$2:G$746,'Base bordo'!C$2:C$746,A661,'Base bordo'!B$2:B$746,B661,'Base bordo'!F$2:F$746,"PÁTIO INTERNO"),0)+IFERROR(SUMIFS('Base bordo'!G$2:G$746,'Base bordo'!C$2:C$746,A661,'Base bordo'!B$2:B$746,B661,'Base bordo'!F$2:F$746,"PÁTIO EXTERNO"),0)+IFERROR(SUMIFS('Base bordo'!G$2:G$746,'Base bordo'!C$2:C$746,A661,'Base bordo'!B$2:B$746,B661,'Base bordo'!F$2:F$746,"PATIO - RESERVA"),0)+IFERROR(SUMIFS('Base bordo'!G$2:G$746,'Base bordo'!C$2:C$746,A661,'Base bordo'!B$2:B$746,B661,'Base bordo'!F$2:F$746,"MANOBRA CARRETAS-PATIO"),0)</f>
        <v>0</v>
      </c>
      <c r="J661" s="10">
        <f>IFERROR(SUMIFS('Base bordo'!G$2:G$746,'Base bordo'!C$2:C$746,A661,'Base bordo'!B$2:B$746,B661,'Base bordo'!F$2:F$746,"BALANÇA - ENTRADA"),0)+IFERROR(SUMIFS('Base bordo'!G$2:G$746,'Base bordo'!C$2:C$746,A661,'Base bordo'!B$2:B$746,B661,'Base bordo'!F$2:F$746,"BALANÇA - SAÍDA"),0)</f>
        <v>0</v>
      </c>
      <c r="K661" s="10">
        <f>IFERROR(SUMIFS('Base bordo'!G$2:G$746,'Base bordo'!C$2:C$746,A661,'Base bordo'!B$2:B$746,B661,'Base bordo'!F$2:F$746,"MAN PREVENTIVA - MECANICA"),0)+IFERROR(SUMIFS('Base bordo'!G$2:G$746,'Base bordo'!C$2:C$746,A661,'Base bordo'!B$2:B$746,B661,'Base bordo'!F$2:F$746,"MAN CORRETIVA - MECANICA"),0)</f>
        <v>8.5516666666666659</v>
      </c>
      <c r="L661" s="10">
        <f>IFERROR(SUMIFS('Base bordo'!G$2:G$746,'Base bordo'!C$2:C$746,A661,'Base bordo'!B$2:B$746,B661,'Base bordo'!F$2:F$746,"MANUTENCAO - T O"),0)+IFERROR(SUMIFS('Base bordo'!G$2:G$746,'Base bordo'!C$2:C$746,A661,'Base bordo'!B$2:B$746,B661,'Base bordo'!F$2:F$746,"MANUTENCAO BORRACHARIA"),0)+IFERROR(SUMIFS('Base bordo'!G$2:G$746,'Base bordo'!C$2:C$746,A661,'Base bordo'!B$2:B$746,B661,'Base bordo'!F$2:F$746,"MANUTENCAO EXTERNA  CONCESSIONARIA"),0)+IFERROR(SUMIFS('Base bordo'!G$2:G$746,'Base bordo'!C$2:C$746,A661,'Base bordo'!B$2:B$746,B661,'Base bordo'!F$2:F$746,"MANUTENCAO TELEMETRIA"),0)</f>
        <v>8.6052777777777774</v>
      </c>
      <c r="M661" s="10">
        <f>IFERROR(SUMIFS('Base bordo'!G$2:G$746,'Base bordo'!C$2:C$746,A661,'Base bordo'!B$2:B$746,B661,'Base bordo'!F$2:F$746,"AGUARDANDO MANUTENCAO"),0)</f>
        <v>0</v>
      </c>
      <c r="N661" s="10">
        <f>IFERROR(SUMIFS('Base bordo'!G$2:G$746,'Base bordo'!C$2:C$746,A661,'Base bordo'!B$2:B$746,B661,'Base bordo'!F$2:F$746,"SEM APONTAMENTO"),0)</f>
        <v>0</v>
      </c>
      <c r="O661" s="10">
        <f t="shared" si="72"/>
        <v>6.5555555555555145E-2</v>
      </c>
      <c r="P661" s="10">
        <f>IFERROR(SUMIFS('Base bordo'!G$2:G$746,'Base bordo'!C$2:C$746,A661,'Base bordo'!B$2:B$746,B661),0)</f>
        <v>24</v>
      </c>
      <c r="Q661" s="10">
        <f>IFERROR(SUMIFS('Base bordo'!H$2:H$746,'Base bordo'!C$2:C$746,A661,'Base bordo'!B$2:B$746,B661,'Base bordo'!F$2:F$746,"DESLOCAMENTO VAZIO"),0)</f>
        <v>251172.82</v>
      </c>
      <c r="R661" s="10">
        <f>IFERROR(SUMIFS('Base bordo'!I$2:I$746,'Base bordo'!C$2:C$746,A661,'Base bordo'!B$2:B$746,B661,'Base bordo'!F$2:F$746,"DESLOCAMENTO VAZIO"),0)</f>
        <v>6699</v>
      </c>
      <c r="S661" s="30">
        <f t="shared" si="73"/>
        <v>37.494076727869832</v>
      </c>
      <c r="T661" s="10">
        <f>IFERROR(SUMIFS('Base bordo'!H$2:H$746,'Base bordo'!C$2:C$746,A661,'Base bordo'!B$2:B$746,B661,'Base bordo'!F$2:F$746,"DESLOCAMENTO CARREGADO"),0)</f>
        <v>0</v>
      </c>
      <c r="U661" s="10">
        <f>IFERROR(SUMIFS('Base bordo'!I$2:I$746,'Base bordo'!C$2:C$746,A661,'Base bordo'!B$2:B$746,B661,'Base bordo'!F$2:F$746,"DESLOCAMENTO CARREGADO"),0)</f>
        <v>0</v>
      </c>
      <c r="V661" s="30" t="str">
        <f t="shared" si="74"/>
        <v/>
      </c>
      <c r="W661" s="9">
        <f t="shared" si="75"/>
        <v>7.7534722222222227E-2</v>
      </c>
      <c r="X661" s="9">
        <f t="shared" si="76"/>
        <v>0</v>
      </c>
      <c r="Y661" s="9">
        <f t="shared" si="77"/>
        <v>0.92246527777777776</v>
      </c>
    </row>
    <row r="662" spans="1:25" ht="15" customHeight="1" x14ac:dyDescent="0.35">
      <c r="A662" s="52">
        <v>8013484</v>
      </c>
      <c r="B662" s="51">
        <v>46117</v>
      </c>
      <c r="C662" s="7" t="s">
        <v>124</v>
      </c>
      <c r="D662" s="10">
        <f>IFERROR(SUMIFS('Base bordo'!G$2:G$746,'Base bordo'!C$2:C$746,A662,'Base bordo'!B$2:B$746,B662,'Base bordo'!F$2:F$746,"DESLOCAMENTO VAZIO"),0)</f>
        <v>1.8608333333333333</v>
      </c>
      <c r="E662" s="10">
        <f>IFERROR(SUMIFS('Base bordo'!G$2:G$746,'Base bordo'!C$2:C$746,A662,'Base bordo'!B$2:B$746,B662,'Base bordo'!F$2:F$746,"DESLOCAMENTO CARREGADO"),0)</f>
        <v>0</v>
      </c>
      <c r="F662" s="10">
        <f>IFERROR(SUMIFS('Base bordo'!G$2:G$746,'Base bordo'!C$2:C$746,A662,'Base bordo'!B$2:B$746,B662,'Base bordo'!F$2:F$746,"DESLOCAMENTO"),0)</f>
        <v>0.1438888888888889</v>
      </c>
      <c r="G662" s="10">
        <f>IFERROR(SUMIFS('Base bordo'!G$2:G$746,'Base bordo'!C$2:C$746,A662,'Base bordo'!B$2:B$746,B662,'Base bordo'!F$2:F$746,"CARREGAMENTO"),0)</f>
        <v>4.3816666666666668</v>
      </c>
      <c r="H662" s="10">
        <f>IFERROR(SUMIFS('Base bordo'!G$2:G$746,'Base bordo'!C$2:C$746,A662,'Base bordo'!B$2:B$746,B662,'Base bordo'!F$2:F$746,"AGUARDANDO TRANSBORDO"),0)</f>
        <v>0.39111111111111113</v>
      </c>
      <c r="I662" s="10">
        <f>IFERROR(SUMIFS('Base bordo'!G$2:G$746,'Base bordo'!C$2:C$746,A662,'Base bordo'!B$2:B$746,B662,'Base bordo'!F$2:F$746,"PÁTIO INTERNO"),0)+IFERROR(SUMIFS('Base bordo'!G$2:G$746,'Base bordo'!C$2:C$746,A662,'Base bordo'!B$2:B$746,B662,'Base bordo'!F$2:F$746,"PÁTIO EXTERNO"),0)+IFERROR(SUMIFS('Base bordo'!G$2:G$746,'Base bordo'!C$2:C$746,A662,'Base bordo'!B$2:B$746,B662,'Base bordo'!F$2:F$746,"PATIO - RESERVA"),0)+IFERROR(SUMIFS('Base bordo'!G$2:G$746,'Base bordo'!C$2:C$746,A662,'Base bordo'!B$2:B$746,B662,'Base bordo'!F$2:F$746,"MANOBRA CARRETAS-PATIO"),0)</f>
        <v>0</v>
      </c>
      <c r="J662" s="10">
        <f>IFERROR(SUMIFS('Base bordo'!G$2:G$746,'Base bordo'!C$2:C$746,A662,'Base bordo'!B$2:B$746,B662,'Base bordo'!F$2:F$746,"BALANÇA - ENTRADA"),0)+IFERROR(SUMIFS('Base bordo'!G$2:G$746,'Base bordo'!C$2:C$746,A662,'Base bordo'!B$2:B$746,B662,'Base bordo'!F$2:F$746,"BALANÇA - SAÍDA"),0)</f>
        <v>0</v>
      </c>
      <c r="K662" s="10">
        <f>IFERROR(SUMIFS('Base bordo'!G$2:G$746,'Base bordo'!C$2:C$746,A662,'Base bordo'!B$2:B$746,B662,'Base bordo'!F$2:F$746,"MAN PREVENTIVA - MECANICA"),0)+IFERROR(SUMIFS('Base bordo'!G$2:G$746,'Base bordo'!C$2:C$746,A662,'Base bordo'!B$2:B$746,B662,'Base bordo'!F$2:F$746,"MAN CORRETIVA - MECANICA"),0)</f>
        <v>8.5516666666666659</v>
      </c>
      <c r="L662" s="10">
        <f>IFERROR(SUMIFS('Base bordo'!G$2:G$746,'Base bordo'!C$2:C$746,A662,'Base bordo'!B$2:B$746,B662,'Base bordo'!F$2:F$746,"MANUTENCAO - T O"),0)+IFERROR(SUMIFS('Base bordo'!G$2:G$746,'Base bordo'!C$2:C$746,A662,'Base bordo'!B$2:B$746,B662,'Base bordo'!F$2:F$746,"MANUTENCAO BORRACHARIA"),0)+IFERROR(SUMIFS('Base bordo'!G$2:G$746,'Base bordo'!C$2:C$746,A662,'Base bordo'!B$2:B$746,B662,'Base bordo'!F$2:F$746,"MANUTENCAO EXTERNA  CONCESSIONARIA"),0)+IFERROR(SUMIFS('Base bordo'!G$2:G$746,'Base bordo'!C$2:C$746,A662,'Base bordo'!B$2:B$746,B662,'Base bordo'!F$2:F$746,"MANUTENCAO TELEMETRIA"),0)</f>
        <v>8.6052777777777774</v>
      </c>
      <c r="M662" s="10">
        <f>IFERROR(SUMIFS('Base bordo'!G$2:G$746,'Base bordo'!C$2:C$746,A662,'Base bordo'!B$2:B$746,B662,'Base bordo'!F$2:F$746,"AGUARDANDO MANUTENCAO"),0)</f>
        <v>0</v>
      </c>
      <c r="N662" s="10">
        <f>IFERROR(SUMIFS('Base bordo'!G$2:G$746,'Base bordo'!C$2:C$746,A662,'Base bordo'!B$2:B$746,B662,'Base bordo'!F$2:F$746,"SEM APONTAMENTO"),0)</f>
        <v>0</v>
      </c>
      <c r="O662" s="10">
        <f t="shared" si="72"/>
        <v>6.5555555555555145E-2</v>
      </c>
      <c r="P662" s="10">
        <f>IFERROR(SUMIFS('Base bordo'!G$2:G$746,'Base bordo'!C$2:C$746,A662,'Base bordo'!B$2:B$746,B662),0)</f>
        <v>24</v>
      </c>
      <c r="Q662" s="10">
        <f>IFERROR(SUMIFS('Base bordo'!H$2:H$746,'Base bordo'!C$2:C$746,A662,'Base bordo'!B$2:B$746,B662,'Base bordo'!F$2:F$746,"DESLOCAMENTO VAZIO"),0)</f>
        <v>251172.82</v>
      </c>
      <c r="R662" s="10">
        <f>IFERROR(SUMIFS('Base bordo'!I$2:I$746,'Base bordo'!C$2:C$746,A662,'Base bordo'!B$2:B$746,B662,'Base bordo'!F$2:F$746,"DESLOCAMENTO VAZIO"),0)</f>
        <v>6699</v>
      </c>
      <c r="S662" s="30">
        <f t="shared" si="73"/>
        <v>37.494076727869832</v>
      </c>
      <c r="T662" s="10">
        <f>IFERROR(SUMIFS('Base bordo'!H$2:H$746,'Base bordo'!C$2:C$746,A662,'Base bordo'!B$2:B$746,B662,'Base bordo'!F$2:F$746,"DESLOCAMENTO CARREGADO"),0)</f>
        <v>0</v>
      </c>
      <c r="U662" s="10">
        <f>IFERROR(SUMIFS('Base bordo'!I$2:I$746,'Base bordo'!C$2:C$746,A662,'Base bordo'!B$2:B$746,B662,'Base bordo'!F$2:F$746,"DESLOCAMENTO CARREGADO"),0)</f>
        <v>0</v>
      </c>
      <c r="V662" s="30" t="str">
        <f t="shared" si="74"/>
        <v/>
      </c>
      <c r="W662" s="9">
        <f t="shared" si="75"/>
        <v>7.7534722222222227E-2</v>
      </c>
      <c r="X662" s="9">
        <f t="shared" si="76"/>
        <v>0</v>
      </c>
      <c r="Y662" s="9">
        <f t="shared" si="77"/>
        <v>0.92246527777777776</v>
      </c>
    </row>
    <row r="663" spans="1:25" ht="15" customHeight="1" x14ac:dyDescent="0.35">
      <c r="A663" s="52">
        <v>8013485</v>
      </c>
      <c r="B663" s="51">
        <v>46117</v>
      </c>
      <c r="C663" s="7" t="s">
        <v>124</v>
      </c>
      <c r="D663" s="10">
        <f>IFERROR(SUMIFS('Base bordo'!G$2:G$746,'Base bordo'!C$2:C$746,A663,'Base bordo'!B$2:B$746,B663,'Base bordo'!F$2:F$746,"DESLOCAMENTO VAZIO"),0)</f>
        <v>1.9294444444444445</v>
      </c>
      <c r="E663" s="10">
        <f>IFERROR(SUMIFS('Base bordo'!G$2:G$746,'Base bordo'!C$2:C$746,A663,'Base bordo'!B$2:B$746,B663,'Base bordo'!F$2:F$746,"DESLOCAMENTO CARREGADO"),0)</f>
        <v>1.6919444444444445</v>
      </c>
      <c r="F663" s="10">
        <f>IFERROR(SUMIFS('Base bordo'!G$2:G$746,'Base bordo'!C$2:C$746,A663,'Base bordo'!B$2:B$746,B663,'Base bordo'!F$2:F$746,"DESLOCAMENTO"),0)</f>
        <v>0</v>
      </c>
      <c r="G663" s="10">
        <f>IFERROR(SUMIFS('Base bordo'!G$2:G$746,'Base bordo'!C$2:C$746,A663,'Base bordo'!B$2:B$746,B663,'Base bordo'!F$2:F$746,"CARREGAMENTO"),0)</f>
        <v>0.57138888888888884</v>
      </c>
      <c r="H663" s="10">
        <f>IFERROR(SUMIFS('Base bordo'!G$2:G$746,'Base bordo'!C$2:C$746,A663,'Base bordo'!B$2:B$746,B663,'Base bordo'!F$2:F$746,"AGUARDANDO TRANSBORDO"),0)</f>
        <v>0</v>
      </c>
      <c r="I663" s="10">
        <f>IFERROR(SUMIFS('Base bordo'!G$2:G$746,'Base bordo'!C$2:C$746,A663,'Base bordo'!B$2:B$746,B663,'Base bordo'!F$2:F$746,"PÁTIO INTERNO"),0)+IFERROR(SUMIFS('Base bordo'!G$2:G$746,'Base bordo'!C$2:C$746,A663,'Base bordo'!B$2:B$746,B663,'Base bordo'!F$2:F$746,"PÁTIO EXTERNO"),0)+IFERROR(SUMIFS('Base bordo'!G$2:G$746,'Base bordo'!C$2:C$746,A663,'Base bordo'!B$2:B$746,B663,'Base bordo'!F$2:F$746,"PATIO - RESERVA"),0)+IFERROR(SUMIFS('Base bordo'!G$2:G$746,'Base bordo'!C$2:C$746,A663,'Base bordo'!B$2:B$746,B663,'Base bordo'!F$2:F$746,"MANOBRA CARRETAS-PATIO"),0)</f>
        <v>0.93222222222222217</v>
      </c>
      <c r="J663" s="10">
        <f>IFERROR(SUMIFS('Base bordo'!G$2:G$746,'Base bordo'!C$2:C$746,A663,'Base bordo'!B$2:B$746,B663,'Base bordo'!F$2:F$746,"BALANÇA - ENTRADA"),0)+IFERROR(SUMIFS('Base bordo'!G$2:G$746,'Base bordo'!C$2:C$746,A663,'Base bordo'!B$2:B$746,B663,'Base bordo'!F$2:F$746,"BALANÇA - SAÍDA"),0)</f>
        <v>0</v>
      </c>
      <c r="K663" s="10">
        <f>IFERROR(SUMIFS('Base bordo'!G$2:G$746,'Base bordo'!C$2:C$746,A663,'Base bordo'!B$2:B$746,B663,'Base bordo'!F$2:F$746,"MAN PREVENTIVA - MECANICA"),0)+IFERROR(SUMIFS('Base bordo'!G$2:G$746,'Base bordo'!C$2:C$746,A663,'Base bordo'!B$2:B$746,B663,'Base bordo'!F$2:F$746,"MAN CORRETIVA - MECANICA"),0)</f>
        <v>0</v>
      </c>
      <c r="L663" s="10">
        <f>IFERROR(SUMIFS('Base bordo'!G$2:G$746,'Base bordo'!C$2:C$746,A663,'Base bordo'!B$2:B$746,B663,'Base bordo'!F$2:F$746,"MANUTENCAO - T O"),0)+IFERROR(SUMIFS('Base bordo'!G$2:G$746,'Base bordo'!C$2:C$746,A663,'Base bordo'!B$2:B$746,B663,'Base bordo'!F$2:F$746,"MANUTENCAO BORRACHARIA"),0)+IFERROR(SUMIFS('Base bordo'!G$2:G$746,'Base bordo'!C$2:C$746,A663,'Base bordo'!B$2:B$746,B663,'Base bordo'!F$2:F$746,"MANUTENCAO EXTERNA  CONCESSIONARIA"),0)+IFERROR(SUMIFS('Base bordo'!G$2:G$746,'Base bordo'!C$2:C$746,A663,'Base bordo'!B$2:B$746,B663,'Base bordo'!F$2:F$746,"MANUTENCAO TELEMETRIA"),0)</f>
        <v>8.8805555555555564</v>
      </c>
      <c r="M663" s="10">
        <f>IFERROR(SUMIFS('Base bordo'!G$2:G$746,'Base bordo'!C$2:C$746,A663,'Base bordo'!B$2:B$746,B663,'Base bordo'!F$2:F$746,"AGUARDANDO MANUTENCAO"),0)</f>
        <v>0</v>
      </c>
      <c r="N663" s="10">
        <f>IFERROR(SUMIFS('Base bordo'!G$2:G$746,'Base bordo'!C$2:C$746,A663,'Base bordo'!B$2:B$746,B663,'Base bordo'!F$2:F$746,"SEM APONTAMENTO"),0)</f>
        <v>0</v>
      </c>
      <c r="O663" s="10">
        <f t="shared" si="72"/>
        <v>4.9944444444444471</v>
      </c>
      <c r="P663" s="10">
        <f>IFERROR(SUMIFS('Base bordo'!G$2:G$746,'Base bordo'!C$2:C$746,A663,'Base bordo'!B$2:B$746,B663),0)</f>
        <v>19.000000000000004</v>
      </c>
      <c r="Q663" s="10">
        <f>IFERROR(SUMIFS('Base bordo'!H$2:H$746,'Base bordo'!C$2:C$746,A663,'Base bordo'!B$2:B$746,B663,'Base bordo'!F$2:F$746,"DESLOCAMENTO VAZIO"),0)</f>
        <v>200216.06000000003</v>
      </c>
      <c r="R663" s="10">
        <f>IFERROR(SUMIFS('Base bordo'!I$2:I$746,'Base bordo'!C$2:C$746,A663,'Base bordo'!B$2:B$746,B663,'Base bordo'!F$2:F$746,"DESLOCAMENTO VAZIO"),0)</f>
        <v>6946</v>
      </c>
      <c r="S663" s="30">
        <f t="shared" si="73"/>
        <v>28.82465591707458</v>
      </c>
      <c r="T663" s="10">
        <f>IFERROR(SUMIFS('Base bordo'!H$2:H$746,'Base bordo'!C$2:C$746,A663,'Base bordo'!B$2:B$746,B663,'Base bordo'!F$2:F$746,"DESLOCAMENTO CARREGADO"),0)</f>
        <v>167185.25</v>
      </c>
      <c r="U663" s="10">
        <f>IFERROR(SUMIFS('Base bordo'!I$2:I$746,'Base bordo'!C$2:C$746,A663,'Base bordo'!B$2:B$746,B663,'Base bordo'!F$2:F$746,"DESLOCAMENTO CARREGADO"),0)</f>
        <v>6091</v>
      </c>
      <c r="V663" s="30">
        <f t="shared" si="74"/>
        <v>27.447914956493186</v>
      </c>
      <c r="W663" s="9">
        <f t="shared" si="75"/>
        <v>0.10154970760233917</v>
      </c>
      <c r="X663" s="9">
        <f t="shared" si="76"/>
        <v>8.904970760233917E-2</v>
      </c>
      <c r="Y663" s="9">
        <f t="shared" si="77"/>
        <v>0.80940058479532162</v>
      </c>
    </row>
    <row r="664" spans="1:25" ht="15" customHeight="1" x14ac:dyDescent="0.35">
      <c r="A664" s="52">
        <v>8013485</v>
      </c>
      <c r="B664" s="51">
        <v>46117</v>
      </c>
      <c r="C664" s="7" t="s">
        <v>124</v>
      </c>
      <c r="D664" s="10">
        <f>IFERROR(SUMIFS('Base bordo'!G$2:G$746,'Base bordo'!C$2:C$746,A664,'Base bordo'!B$2:B$746,B664,'Base bordo'!F$2:F$746,"DESLOCAMENTO VAZIO"),0)</f>
        <v>1.9294444444444445</v>
      </c>
      <c r="E664" s="10">
        <f>IFERROR(SUMIFS('Base bordo'!G$2:G$746,'Base bordo'!C$2:C$746,A664,'Base bordo'!B$2:B$746,B664,'Base bordo'!F$2:F$746,"DESLOCAMENTO CARREGADO"),0)</f>
        <v>1.6919444444444445</v>
      </c>
      <c r="F664" s="10">
        <f>IFERROR(SUMIFS('Base bordo'!G$2:G$746,'Base bordo'!C$2:C$746,A664,'Base bordo'!B$2:B$746,B664,'Base bordo'!F$2:F$746,"DESLOCAMENTO"),0)</f>
        <v>0</v>
      </c>
      <c r="G664" s="10">
        <f>IFERROR(SUMIFS('Base bordo'!G$2:G$746,'Base bordo'!C$2:C$746,A664,'Base bordo'!B$2:B$746,B664,'Base bordo'!F$2:F$746,"CARREGAMENTO"),0)</f>
        <v>0.57138888888888884</v>
      </c>
      <c r="H664" s="10">
        <f>IFERROR(SUMIFS('Base bordo'!G$2:G$746,'Base bordo'!C$2:C$746,A664,'Base bordo'!B$2:B$746,B664,'Base bordo'!F$2:F$746,"AGUARDANDO TRANSBORDO"),0)</f>
        <v>0</v>
      </c>
      <c r="I664" s="10">
        <f>IFERROR(SUMIFS('Base bordo'!G$2:G$746,'Base bordo'!C$2:C$746,A664,'Base bordo'!B$2:B$746,B664,'Base bordo'!F$2:F$746,"PÁTIO INTERNO"),0)+IFERROR(SUMIFS('Base bordo'!G$2:G$746,'Base bordo'!C$2:C$746,A664,'Base bordo'!B$2:B$746,B664,'Base bordo'!F$2:F$746,"PÁTIO EXTERNO"),0)+IFERROR(SUMIFS('Base bordo'!G$2:G$746,'Base bordo'!C$2:C$746,A664,'Base bordo'!B$2:B$746,B664,'Base bordo'!F$2:F$746,"PATIO - RESERVA"),0)+IFERROR(SUMIFS('Base bordo'!G$2:G$746,'Base bordo'!C$2:C$746,A664,'Base bordo'!B$2:B$746,B664,'Base bordo'!F$2:F$746,"MANOBRA CARRETAS-PATIO"),0)</f>
        <v>0.93222222222222217</v>
      </c>
      <c r="J664" s="10">
        <f>IFERROR(SUMIFS('Base bordo'!G$2:G$746,'Base bordo'!C$2:C$746,A664,'Base bordo'!B$2:B$746,B664,'Base bordo'!F$2:F$746,"BALANÇA - ENTRADA"),0)+IFERROR(SUMIFS('Base bordo'!G$2:G$746,'Base bordo'!C$2:C$746,A664,'Base bordo'!B$2:B$746,B664,'Base bordo'!F$2:F$746,"BALANÇA - SAÍDA"),0)</f>
        <v>0</v>
      </c>
      <c r="K664" s="10">
        <f>IFERROR(SUMIFS('Base bordo'!G$2:G$746,'Base bordo'!C$2:C$746,A664,'Base bordo'!B$2:B$746,B664,'Base bordo'!F$2:F$746,"MAN PREVENTIVA - MECANICA"),0)+IFERROR(SUMIFS('Base bordo'!G$2:G$746,'Base bordo'!C$2:C$746,A664,'Base bordo'!B$2:B$746,B664,'Base bordo'!F$2:F$746,"MAN CORRETIVA - MECANICA"),0)</f>
        <v>0</v>
      </c>
      <c r="L664" s="10">
        <f>IFERROR(SUMIFS('Base bordo'!G$2:G$746,'Base bordo'!C$2:C$746,A664,'Base bordo'!B$2:B$746,B664,'Base bordo'!F$2:F$746,"MANUTENCAO - T O"),0)+IFERROR(SUMIFS('Base bordo'!G$2:G$746,'Base bordo'!C$2:C$746,A664,'Base bordo'!B$2:B$746,B664,'Base bordo'!F$2:F$746,"MANUTENCAO BORRACHARIA"),0)+IFERROR(SUMIFS('Base bordo'!G$2:G$746,'Base bordo'!C$2:C$746,A664,'Base bordo'!B$2:B$746,B664,'Base bordo'!F$2:F$746,"MANUTENCAO EXTERNA  CONCESSIONARIA"),0)+IFERROR(SUMIFS('Base bordo'!G$2:G$746,'Base bordo'!C$2:C$746,A664,'Base bordo'!B$2:B$746,B664,'Base bordo'!F$2:F$746,"MANUTENCAO TELEMETRIA"),0)</f>
        <v>8.8805555555555564</v>
      </c>
      <c r="M664" s="10">
        <f>IFERROR(SUMIFS('Base bordo'!G$2:G$746,'Base bordo'!C$2:C$746,A664,'Base bordo'!B$2:B$746,B664,'Base bordo'!F$2:F$746,"AGUARDANDO MANUTENCAO"),0)</f>
        <v>0</v>
      </c>
      <c r="N664" s="10">
        <f>IFERROR(SUMIFS('Base bordo'!G$2:G$746,'Base bordo'!C$2:C$746,A664,'Base bordo'!B$2:B$746,B664,'Base bordo'!F$2:F$746,"SEM APONTAMENTO"),0)</f>
        <v>0</v>
      </c>
      <c r="O664" s="10">
        <f t="shared" si="72"/>
        <v>4.9944444444444471</v>
      </c>
      <c r="P664" s="10">
        <f>IFERROR(SUMIFS('Base bordo'!G$2:G$746,'Base bordo'!C$2:C$746,A664,'Base bordo'!B$2:B$746,B664),0)</f>
        <v>19.000000000000004</v>
      </c>
      <c r="Q664" s="10">
        <f>IFERROR(SUMIFS('Base bordo'!H$2:H$746,'Base bordo'!C$2:C$746,A664,'Base bordo'!B$2:B$746,B664,'Base bordo'!F$2:F$746,"DESLOCAMENTO VAZIO"),0)</f>
        <v>200216.06000000003</v>
      </c>
      <c r="R664" s="10">
        <f>IFERROR(SUMIFS('Base bordo'!I$2:I$746,'Base bordo'!C$2:C$746,A664,'Base bordo'!B$2:B$746,B664,'Base bordo'!F$2:F$746,"DESLOCAMENTO VAZIO"),0)</f>
        <v>6946</v>
      </c>
      <c r="S664" s="30">
        <f t="shared" si="73"/>
        <v>28.82465591707458</v>
      </c>
      <c r="T664" s="10">
        <f>IFERROR(SUMIFS('Base bordo'!H$2:H$746,'Base bordo'!C$2:C$746,A664,'Base bordo'!B$2:B$746,B664,'Base bordo'!F$2:F$746,"DESLOCAMENTO CARREGADO"),0)</f>
        <v>167185.25</v>
      </c>
      <c r="U664" s="10">
        <f>IFERROR(SUMIFS('Base bordo'!I$2:I$746,'Base bordo'!C$2:C$746,A664,'Base bordo'!B$2:B$746,B664,'Base bordo'!F$2:F$746,"DESLOCAMENTO CARREGADO"),0)</f>
        <v>6091</v>
      </c>
      <c r="V664" s="30">
        <f t="shared" si="74"/>
        <v>27.447914956493186</v>
      </c>
      <c r="W664" s="9">
        <f t="shared" si="75"/>
        <v>0.10154970760233917</v>
      </c>
      <c r="X664" s="9">
        <f t="shared" si="76"/>
        <v>8.904970760233917E-2</v>
      </c>
      <c r="Y664" s="9">
        <f t="shared" si="77"/>
        <v>0.80940058479532162</v>
      </c>
    </row>
    <row r="665" spans="1:25" ht="15" customHeight="1" x14ac:dyDescent="0.35">
      <c r="A665" s="52">
        <v>8013485</v>
      </c>
      <c r="B665" s="51">
        <v>46117</v>
      </c>
      <c r="C665" s="7" t="s">
        <v>124</v>
      </c>
      <c r="D665" s="10">
        <f>IFERROR(SUMIFS('Base bordo'!G$2:G$746,'Base bordo'!C$2:C$746,A665,'Base bordo'!B$2:B$746,B665,'Base bordo'!F$2:F$746,"DESLOCAMENTO VAZIO"),0)</f>
        <v>1.9294444444444445</v>
      </c>
      <c r="E665" s="10">
        <f>IFERROR(SUMIFS('Base bordo'!G$2:G$746,'Base bordo'!C$2:C$746,A665,'Base bordo'!B$2:B$746,B665,'Base bordo'!F$2:F$746,"DESLOCAMENTO CARREGADO"),0)</f>
        <v>1.6919444444444445</v>
      </c>
      <c r="F665" s="10">
        <f>IFERROR(SUMIFS('Base bordo'!G$2:G$746,'Base bordo'!C$2:C$746,A665,'Base bordo'!B$2:B$746,B665,'Base bordo'!F$2:F$746,"DESLOCAMENTO"),0)</f>
        <v>0</v>
      </c>
      <c r="G665" s="10">
        <f>IFERROR(SUMIFS('Base bordo'!G$2:G$746,'Base bordo'!C$2:C$746,A665,'Base bordo'!B$2:B$746,B665,'Base bordo'!F$2:F$746,"CARREGAMENTO"),0)</f>
        <v>0.57138888888888884</v>
      </c>
      <c r="H665" s="10">
        <f>IFERROR(SUMIFS('Base bordo'!G$2:G$746,'Base bordo'!C$2:C$746,A665,'Base bordo'!B$2:B$746,B665,'Base bordo'!F$2:F$746,"AGUARDANDO TRANSBORDO"),0)</f>
        <v>0</v>
      </c>
      <c r="I665" s="10">
        <f>IFERROR(SUMIFS('Base bordo'!G$2:G$746,'Base bordo'!C$2:C$746,A665,'Base bordo'!B$2:B$746,B665,'Base bordo'!F$2:F$746,"PÁTIO INTERNO"),0)+IFERROR(SUMIFS('Base bordo'!G$2:G$746,'Base bordo'!C$2:C$746,A665,'Base bordo'!B$2:B$746,B665,'Base bordo'!F$2:F$746,"PÁTIO EXTERNO"),0)+IFERROR(SUMIFS('Base bordo'!G$2:G$746,'Base bordo'!C$2:C$746,A665,'Base bordo'!B$2:B$746,B665,'Base bordo'!F$2:F$746,"PATIO - RESERVA"),0)+IFERROR(SUMIFS('Base bordo'!G$2:G$746,'Base bordo'!C$2:C$746,A665,'Base bordo'!B$2:B$746,B665,'Base bordo'!F$2:F$746,"MANOBRA CARRETAS-PATIO"),0)</f>
        <v>0.93222222222222217</v>
      </c>
      <c r="J665" s="10">
        <f>IFERROR(SUMIFS('Base bordo'!G$2:G$746,'Base bordo'!C$2:C$746,A665,'Base bordo'!B$2:B$746,B665,'Base bordo'!F$2:F$746,"BALANÇA - ENTRADA"),0)+IFERROR(SUMIFS('Base bordo'!G$2:G$746,'Base bordo'!C$2:C$746,A665,'Base bordo'!B$2:B$746,B665,'Base bordo'!F$2:F$746,"BALANÇA - SAÍDA"),0)</f>
        <v>0</v>
      </c>
      <c r="K665" s="10">
        <f>IFERROR(SUMIFS('Base bordo'!G$2:G$746,'Base bordo'!C$2:C$746,A665,'Base bordo'!B$2:B$746,B665,'Base bordo'!F$2:F$746,"MAN PREVENTIVA - MECANICA"),0)+IFERROR(SUMIFS('Base bordo'!G$2:G$746,'Base bordo'!C$2:C$746,A665,'Base bordo'!B$2:B$746,B665,'Base bordo'!F$2:F$746,"MAN CORRETIVA - MECANICA"),0)</f>
        <v>0</v>
      </c>
      <c r="L665" s="10">
        <f>IFERROR(SUMIFS('Base bordo'!G$2:G$746,'Base bordo'!C$2:C$746,A665,'Base bordo'!B$2:B$746,B665,'Base bordo'!F$2:F$746,"MANUTENCAO - T O"),0)+IFERROR(SUMIFS('Base bordo'!G$2:G$746,'Base bordo'!C$2:C$746,A665,'Base bordo'!B$2:B$746,B665,'Base bordo'!F$2:F$746,"MANUTENCAO BORRACHARIA"),0)+IFERROR(SUMIFS('Base bordo'!G$2:G$746,'Base bordo'!C$2:C$746,A665,'Base bordo'!B$2:B$746,B665,'Base bordo'!F$2:F$746,"MANUTENCAO EXTERNA  CONCESSIONARIA"),0)+IFERROR(SUMIFS('Base bordo'!G$2:G$746,'Base bordo'!C$2:C$746,A665,'Base bordo'!B$2:B$746,B665,'Base bordo'!F$2:F$746,"MANUTENCAO TELEMETRIA"),0)</f>
        <v>8.8805555555555564</v>
      </c>
      <c r="M665" s="10">
        <f>IFERROR(SUMIFS('Base bordo'!G$2:G$746,'Base bordo'!C$2:C$746,A665,'Base bordo'!B$2:B$746,B665,'Base bordo'!F$2:F$746,"AGUARDANDO MANUTENCAO"),0)</f>
        <v>0</v>
      </c>
      <c r="N665" s="10">
        <f>IFERROR(SUMIFS('Base bordo'!G$2:G$746,'Base bordo'!C$2:C$746,A665,'Base bordo'!B$2:B$746,B665,'Base bordo'!F$2:F$746,"SEM APONTAMENTO"),0)</f>
        <v>0</v>
      </c>
      <c r="O665" s="10">
        <f t="shared" si="72"/>
        <v>4.9944444444444471</v>
      </c>
      <c r="P665" s="10">
        <f>IFERROR(SUMIFS('Base bordo'!G$2:G$746,'Base bordo'!C$2:C$746,A665,'Base bordo'!B$2:B$746,B665),0)</f>
        <v>19.000000000000004</v>
      </c>
      <c r="Q665" s="10">
        <f>IFERROR(SUMIFS('Base bordo'!H$2:H$746,'Base bordo'!C$2:C$746,A665,'Base bordo'!B$2:B$746,B665,'Base bordo'!F$2:F$746,"DESLOCAMENTO VAZIO"),0)</f>
        <v>200216.06000000003</v>
      </c>
      <c r="R665" s="10">
        <f>IFERROR(SUMIFS('Base bordo'!I$2:I$746,'Base bordo'!C$2:C$746,A665,'Base bordo'!B$2:B$746,B665,'Base bordo'!F$2:F$746,"DESLOCAMENTO VAZIO"),0)</f>
        <v>6946</v>
      </c>
      <c r="S665" s="30">
        <f t="shared" si="73"/>
        <v>28.82465591707458</v>
      </c>
      <c r="T665" s="10">
        <f>IFERROR(SUMIFS('Base bordo'!H$2:H$746,'Base bordo'!C$2:C$746,A665,'Base bordo'!B$2:B$746,B665,'Base bordo'!F$2:F$746,"DESLOCAMENTO CARREGADO"),0)</f>
        <v>167185.25</v>
      </c>
      <c r="U665" s="10">
        <f>IFERROR(SUMIFS('Base bordo'!I$2:I$746,'Base bordo'!C$2:C$746,A665,'Base bordo'!B$2:B$746,B665,'Base bordo'!F$2:F$746,"DESLOCAMENTO CARREGADO"),0)</f>
        <v>6091</v>
      </c>
      <c r="V665" s="30">
        <f t="shared" si="74"/>
        <v>27.447914956493186</v>
      </c>
      <c r="W665" s="9">
        <f t="shared" si="75"/>
        <v>0.10154970760233917</v>
      </c>
      <c r="X665" s="9">
        <f t="shared" si="76"/>
        <v>8.904970760233917E-2</v>
      </c>
      <c r="Y665" s="9">
        <f t="shared" si="77"/>
        <v>0.80940058479532162</v>
      </c>
    </row>
    <row r="666" spans="1:25" ht="15" customHeight="1" x14ac:dyDescent="0.35">
      <c r="A666" s="52">
        <v>8013485</v>
      </c>
      <c r="B666" s="51">
        <v>46117</v>
      </c>
      <c r="C666" s="7" t="s">
        <v>124</v>
      </c>
      <c r="D666" s="10">
        <f>IFERROR(SUMIFS('Base bordo'!G$2:G$746,'Base bordo'!C$2:C$746,A666,'Base bordo'!B$2:B$746,B666,'Base bordo'!F$2:F$746,"DESLOCAMENTO VAZIO"),0)</f>
        <v>1.9294444444444445</v>
      </c>
      <c r="E666" s="10">
        <f>IFERROR(SUMIFS('Base bordo'!G$2:G$746,'Base bordo'!C$2:C$746,A666,'Base bordo'!B$2:B$746,B666,'Base bordo'!F$2:F$746,"DESLOCAMENTO CARREGADO"),0)</f>
        <v>1.6919444444444445</v>
      </c>
      <c r="F666" s="10">
        <f>IFERROR(SUMIFS('Base bordo'!G$2:G$746,'Base bordo'!C$2:C$746,A666,'Base bordo'!B$2:B$746,B666,'Base bordo'!F$2:F$746,"DESLOCAMENTO"),0)</f>
        <v>0</v>
      </c>
      <c r="G666" s="10">
        <f>IFERROR(SUMIFS('Base bordo'!G$2:G$746,'Base bordo'!C$2:C$746,A666,'Base bordo'!B$2:B$746,B666,'Base bordo'!F$2:F$746,"CARREGAMENTO"),0)</f>
        <v>0.57138888888888884</v>
      </c>
      <c r="H666" s="10">
        <f>IFERROR(SUMIFS('Base bordo'!G$2:G$746,'Base bordo'!C$2:C$746,A666,'Base bordo'!B$2:B$746,B666,'Base bordo'!F$2:F$746,"AGUARDANDO TRANSBORDO"),0)</f>
        <v>0</v>
      </c>
      <c r="I666" s="10">
        <f>IFERROR(SUMIFS('Base bordo'!G$2:G$746,'Base bordo'!C$2:C$746,A666,'Base bordo'!B$2:B$746,B666,'Base bordo'!F$2:F$746,"PÁTIO INTERNO"),0)+IFERROR(SUMIFS('Base bordo'!G$2:G$746,'Base bordo'!C$2:C$746,A666,'Base bordo'!B$2:B$746,B666,'Base bordo'!F$2:F$746,"PÁTIO EXTERNO"),0)+IFERROR(SUMIFS('Base bordo'!G$2:G$746,'Base bordo'!C$2:C$746,A666,'Base bordo'!B$2:B$746,B666,'Base bordo'!F$2:F$746,"PATIO - RESERVA"),0)+IFERROR(SUMIFS('Base bordo'!G$2:G$746,'Base bordo'!C$2:C$746,A666,'Base bordo'!B$2:B$746,B666,'Base bordo'!F$2:F$746,"MANOBRA CARRETAS-PATIO"),0)</f>
        <v>0.93222222222222217</v>
      </c>
      <c r="J666" s="10">
        <f>IFERROR(SUMIFS('Base bordo'!G$2:G$746,'Base bordo'!C$2:C$746,A666,'Base bordo'!B$2:B$746,B666,'Base bordo'!F$2:F$746,"BALANÇA - ENTRADA"),0)+IFERROR(SUMIFS('Base bordo'!G$2:G$746,'Base bordo'!C$2:C$746,A666,'Base bordo'!B$2:B$746,B666,'Base bordo'!F$2:F$746,"BALANÇA - SAÍDA"),0)</f>
        <v>0</v>
      </c>
      <c r="K666" s="10">
        <f>IFERROR(SUMIFS('Base bordo'!G$2:G$746,'Base bordo'!C$2:C$746,A666,'Base bordo'!B$2:B$746,B666,'Base bordo'!F$2:F$746,"MAN PREVENTIVA - MECANICA"),0)+IFERROR(SUMIFS('Base bordo'!G$2:G$746,'Base bordo'!C$2:C$746,A666,'Base bordo'!B$2:B$746,B666,'Base bordo'!F$2:F$746,"MAN CORRETIVA - MECANICA"),0)</f>
        <v>0</v>
      </c>
      <c r="L666" s="10">
        <f>IFERROR(SUMIFS('Base bordo'!G$2:G$746,'Base bordo'!C$2:C$746,A666,'Base bordo'!B$2:B$746,B666,'Base bordo'!F$2:F$746,"MANUTENCAO - T O"),0)+IFERROR(SUMIFS('Base bordo'!G$2:G$746,'Base bordo'!C$2:C$746,A666,'Base bordo'!B$2:B$746,B666,'Base bordo'!F$2:F$746,"MANUTENCAO BORRACHARIA"),0)+IFERROR(SUMIFS('Base bordo'!G$2:G$746,'Base bordo'!C$2:C$746,A666,'Base bordo'!B$2:B$746,B666,'Base bordo'!F$2:F$746,"MANUTENCAO EXTERNA  CONCESSIONARIA"),0)+IFERROR(SUMIFS('Base bordo'!G$2:G$746,'Base bordo'!C$2:C$746,A666,'Base bordo'!B$2:B$746,B666,'Base bordo'!F$2:F$746,"MANUTENCAO TELEMETRIA"),0)</f>
        <v>8.8805555555555564</v>
      </c>
      <c r="M666" s="10">
        <f>IFERROR(SUMIFS('Base bordo'!G$2:G$746,'Base bordo'!C$2:C$746,A666,'Base bordo'!B$2:B$746,B666,'Base bordo'!F$2:F$746,"AGUARDANDO MANUTENCAO"),0)</f>
        <v>0</v>
      </c>
      <c r="N666" s="10">
        <f>IFERROR(SUMIFS('Base bordo'!G$2:G$746,'Base bordo'!C$2:C$746,A666,'Base bordo'!B$2:B$746,B666,'Base bordo'!F$2:F$746,"SEM APONTAMENTO"),0)</f>
        <v>0</v>
      </c>
      <c r="O666" s="10">
        <f t="shared" si="72"/>
        <v>4.9944444444444471</v>
      </c>
      <c r="P666" s="10">
        <f>IFERROR(SUMIFS('Base bordo'!G$2:G$746,'Base bordo'!C$2:C$746,A666,'Base bordo'!B$2:B$746,B666),0)</f>
        <v>19.000000000000004</v>
      </c>
      <c r="Q666" s="10">
        <f>IFERROR(SUMIFS('Base bordo'!H$2:H$746,'Base bordo'!C$2:C$746,A666,'Base bordo'!B$2:B$746,B666,'Base bordo'!F$2:F$746,"DESLOCAMENTO VAZIO"),0)</f>
        <v>200216.06000000003</v>
      </c>
      <c r="R666" s="10">
        <f>IFERROR(SUMIFS('Base bordo'!I$2:I$746,'Base bordo'!C$2:C$746,A666,'Base bordo'!B$2:B$746,B666,'Base bordo'!F$2:F$746,"DESLOCAMENTO VAZIO"),0)</f>
        <v>6946</v>
      </c>
      <c r="S666" s="30">
        <f t="shared" si="73"/>
        <v>28.82465591707458</v>
      </c>
      <c r="T666" s="10">
        <f>IFERROR(SUMIFS('Base bordo'!H$2:H$746,'Base bordo'!C$2:C$746,A666,'Base bordo'!B$2:B$746,B666,'Base bordo'!F$2:F$746,"DESLOCAMENTO CARREGADO"),0)</f>
        <v>167185.25</v>
      </c>
      <c r="U666" s="10">
        <f>IFERROR(SUMIFS('Base bordo'!I$2:I$746,'Base bordo'!C$2:C$746,A666,'Base bordo'!B$2:B$746,B666,'Base bordo'!F$2:F$746,"DESLOCAMENTO CARREGADO"),0)</f>
        <v>6091</v>
      </c>
      <c r="V666" s="30">
        <f t="shared" si="74"/>
        <v>27.447914956493186</v>
      </c>
      <c r="W666" s="9">
        <f t="shared" si="75"/>
        <v>0.10154970760233917</v>
      </c>
      <c r="X666" s="9">
        <f t="shared" si="76"/>
        <v>8.904970760233917E-2</v>
      </c>
      <c r="Y666" s="9">
        <f t="shared" si="77"/>
        <v>0.80940058479532162</v>
      </c>
    </row>
    <row r="667" spans="1:25" ht="15" customHeight="1" x14ac:dyDescent="0.35">
      <c r="A667" s="52">
        <v>8013485</v>
      </c>
      <c r="B667" s="51">
        <v>46117</v>
      </c>
      <c r="C667" s="7" t="s">
        <v>124</v>
      </c>
      <c r="D667" s="10">
        <f>IFERROR(SUMIFS('Base bordo'!G$2:G$746,'Base bordo'!C$2:C$746,A667,'Base bordo'!B$2:B$746,B667,'Base bordo'!F$2:F$746,"DESLOCAMENTO VAZIO"),0)</f>
        <v>1.9294444444444445</v>
      </c>
      <c r="E667" s="10">
        <f>IFERROR(SUMIFS('Base bordo'!G$2:G$746,'Base bordo'!C$2:C$746,A667,'Base bordo'!B$2:B$746,B667,'Base bordo'!F$2:F$746,"DESLOCAMENTO CARREGADO"),0)</f>
        <v>1.6919444444444445</v>
      </c>
      <c r="F667" s="10">
        <f>IFERROR(SUMIFS('Base bordo'!G$2:G$746,'Base bordo'!C$2:C$746,A667,'Base bordo'!B$2:B$746,B667,'Base bordo'!F$2:F$746,"DESLOCAMENTO"),0)</f>
        <v>0</v>
      </c>
      <c r="G667" s="10">
        <f>IFERROR(SUMIFS('Base bordo'!G$2:G$746,'Base bordo'!C$2:C$746,A667,'Base bordo'!B$2:B$746,B667,'Base bordo'!F$2:F$746,"CARREGAMENTO"),0)</f>
        <v>0.57138888888888884</v>
      </c>
      <c r="H667" s="10">
        <f>IFERROR(SUMIFS('Base bordo'!G$2:G$746,'Base bordo'!C$2:C$746,A667,'Base bordo'!B$2:B$746,B667,'Base bordo'!F$2:F$746,"AGUARDANDO TRANSBORDO"),0)</f>
        <v>0</v>
      </c>
      <c r="I667" s="10">
        <f>IFERROR(SUMIFS('Base bordo'!G$2:G$746,'Base bordo'!C$2:C$746,A667,'Base bordo'!B$2:B$746,B667,'Base bordo'!F$2:F$746,"PÁTIO INTERNO"),0)+IFERROR(SUMIFS('Base bordo'!G$2:G$746,'Base bordo'!C$2:C$746,A667,'Base bordo'!B$2:B$746,B667,'Base bordo'!F$2:F$746,"PÁTIO EXTERNO"),0)+IFERROR(SUMIFS('Base bordo'!G$2:G$746,'Base bordo'!C$2:C$746,A667,'Base bordo'!B$2:B$746,B667,'Base bordo'!F$2:F$746,"PATIO - RESERVA"),0)+IFERROR(SUMIFS('Base bordo'!G$2:G$746,'Base bordo'!C$2:C$746,A667,'Base bordo'!B$2:B$746,B667,'Base bordo'!F$2:F$746,"MANOBRA CARRETAS-PATIO"),0)</f>
        <v>0.93222222222222217</v>
      </c>
      <c r="J667" s="10">
        <f>IFERROR(SUMIFS('Base bordo'!G$2:G$746,'Base bordo'!C$2:C$746,A667,'Base bordo'!B$2:B$746,B667,'Base bordo'!F$2:F$746,"BALANÇA - ENTRADA"),0)+IFERROR(SUMIFS('Base bordo'!G$2:G$746,'Base bordo'!C$2:C$746,A667,'Base bordo'!B$2:B$746,B667,'Base bordo'!F$2:F$746,"BALANÇA - SAÍDA"),0)</f>
        <v>0</v>
      </c>
      <c r="K667" s="10">
        <f>IFERROR(SUMIFS('Base bordo'!G$2:G$746,'Base bordo'!C$2:C$746,A667,'Base bordo'!B$2:B$746,B667,'Base bordo'!F$2:F$746,"MAN PREVENTIVA - MECANICA"),0)+IFERROR(SUMIFS('Base bordo'!G$2:G$746,'Base bordo'!C$2:C$746,A667,'Base bordo'!B$2:B$746,B667,'Base bordo'!F$2:F$746,"MAN CORRETIVA - MECANICA"),0)</f>
        <v>0</v>
      </c>
      <c r="L667" s="10">
        <f>IFERROR(SUMIFS('Base bordo'!G$2:G$746,'Base bordo'!C$2:C$746,A667,'Base bordo'!B$2:B$746,B667,'Base bordo'!F$2:F$746,"MANUTENCAO - T O"),0)+IFERROR(SUMIFS('Base bordo'!G$2:G$746,'Base bordo'!C$2:C$746,A667,'Base bordo'!B$2:B$746,B667,'Base bordo'!F$2:F$746,"MANUTENCAO BORRACHARIA"),0)+IFERROR(SUMIFS('Base bordo'!G$2:G$746,'Base bordo'!C$2:C$746,A667,'Base bordo'!B$2:B$746,B667,'Base bordo'!F$2:F$746,"MANUTENCAO EXTERNA  CONCESSIONARIA"),0)+IFERROR(SUMIFS('Base bordo'!G$2:G$746,'Base bordo'!C$2:C$746,A667,'Base bordo'!B$2:B$746,B667,'Base bordo'!F$2:F$746,"MANUTENCAO TELEMETRIA"),0)</f>
        <v>8.8805555555555564</v>
      </c>
      <c r="M667" s="10">
        <f>IFERROR(SUMIFS('Base bordo'!G$2:G$746,'Base bordo'!C$2:C$746,A667,'Base bordo'!B$2:B$746,B667,'Base bordo'!F$2:F$746,"AGUARDANDO MANUTENCAO"),0)</f>
        <v>0</v>
      </c>
      <c r="N667" s="10">
        <f>IFERROR(SUMIFS('Base bordo'!G$2:G$746,'Base bordo'!C$2:C$746,A667,'Base bordo'!B$2:B$746,B667,'Base bordo'!F$2:F$746,"SEM APONTAMENTO"),0)</f>
        <v>0</v>
      </c>
      <c r="O667" s="10">
        <f t="shared" si="72"/>
        <v>4.9944444444444471</v>
      </c>
      <c r="P667" s="10">
        <f>IFERROR(SUMIFS('Base bordo'!G$2:G$746,'Base bordo'!C$2:C$746,A667,'Base bordo'!B$2:B$746,B667),0)</f>
        <v>19.000000000000004</v>
      </c>
      <c r="Q667" s="10">
        <f>IFERROR(SUMIFS('Base bordo'!H$2:H$746,'Base bordo'!C$2:C$746,A667,'Base bordo'!B$2:B$746,B667,'Base bordo'!F$2:F$746,"DESLOCAMENTO VAZIO"),0)</f>
        <v>200216.06000000003</v>
      </c>
      <c r="R667" s="10">
        <f>IFERROR(SUMIFS('Base bordo'!I$2:I$746,'Base bordo'!C$2:C$746,A667,'Base bordo'!B$2:B$746,B667,'Base bordo'!F$2:F$746,"DESLOCAMENTO VAZIO"),0)</f>
        <v>6946</v>
      </c>
      <c r="S667" s="30">
        <f t="shared" si="73"/>
        <v>28.82465591707458</v>
      </c>
      <c r="T667" s="10">
        <f>IFERROR(SUMIFS('Base bordo'!H$2:H$746,'Base bordo'!C$2:C$746,A667,'Base bordo'!B$2:B$746,B667,'Base bordo'!F$2:F$746,"DESLOCAMENTO CARREGADO"),0)</f>
        <v>167185.25</v>
      </c>
      <c r="U667" s="10">
        <f>IFERROR(SUMIFS('Base bordo'!I$2:I$746,'Base bordo'!C$2:C$746,A667,'Base bordo'!B$2:B$746,B667,'Base bordo'!F$2:F$746,"DESLOCAMENTO CARREGADO"),0)</f>
        <v>6091</v>
      </c>
      <c r="V667" s="30">
        <f t="shared" si="74"/>
        <v>27.447914956493186</v>
      </c>
      <c r="W667" s="9">
        <f t="shared" si="75"/>
        <v>0.10154970760233917</v>
      </c>
      <c r="X667" s="9">
        <f t="shared" si="76"/>
        <v>8.904970760233917E-2</v>
      </c>
      <c r="Y667" s="9">
        <f t="shared" si="77"/>
        <v>0.80940058479532162</v>
      </c>
    </row>
    <row r="668" spans="1:25" ht="15" customHeight="1" x14ac:dyDescent="0.35">
      <c r="A668" s="52">
        <v>8013485</v>
      </c>
      <c r="B668" s="51">
        <v>46117</v>
      </c>
      <c r="C668" s="7" t="s">
        <v>124</v>
      </c>
      <c r="D668" s="10">
        <f>IFERROR(SUMIFS('Base bordo'!G$2:G$746,'Base bordo'!C$2:C$746,A668,'Base bordo'!B$2:B$746,B668,'Base bordo'!F$2:F$746,"DESLOCAMENTO VAZIO"),0)</f>
        <v>1.9294444444444445</v>
      </c>
      <c r="E668" s="10">
        <f>IFERROR(SUMIFS('Base bordo'!G$2:G$746,'Base bordo'!C$2:C$746,A668,'Base bordo'!B$2:B$746,B668,'Base bordo'!F$2:F$746,"DESLOCAMENTO CARREGADO"),0)</f>
        <v>1.6919444444444445</v>
      </c>
      <c r="F668" s="10">
        <f>IFERROR(SUMIFS('Base bordo'!G$2:G$746,'Base bordo'!C$2:C$746,A668,'Base bordo'!B$2:B$746,B668,'Base bordo'!F$2:F$746,"DESLOCAMENTO"),0)</f>
        <v>0</v>
      </c>
      <c r="G668" s="10">
        <f>IFERROR(SUMIFS('Base bordo'!G$2:G$746,'Base bordo'!C$2:C$746,A668,'Base bordo'!B$2:B$746,B668,'Base bordo'!F$2:F$746,"CARREGAMENTO"),0)</f>
        <v>0.57138888888888884</v>
      </c>
      <c r="H668" s="10">
        <f>IFERROR(SUMIFS('Base bordo'!G$2:G$746,'Base bordo'!C$2:C$746,A668,'Base bordo'!B$2:B$746,B668,'Base bordo'!F$2:F$746,"AGUARDANDO TRANSBORDO"),0)</f>
        <v>0</v>
      </c>
      <c r="I668" s="10">
        <f>IFERROR(SUMIFS('Base bordo'!G$2:G$746,'Base bordo'!C$2:C$746,A668,'Base bordo'!B$2:B$746,B668,'Base bordo'!F$2:F$746,"PÁTIO INTERNO"),0)+IFERROR(SUMIFS('Base bordo'!G$2:G$746,'Base bordo'!C$2:C$746,A668,'Base bordo'!B$2:B$746,B668,'Base bordo'!F$2:F$746,"PÁTIO EXTERNO"),0)+IFERROR(SUMIFS('Base bordo'!G$2:G$746,'Base bordo'!C$2:C$746,A668,'Base bordo'!B$2:B$746,B668,'Base bordo'!F$2:F$746,"PATIO - RESERVA"),0)+IFERROR(SUMIFS('Base bordo'!G$2:G$746,'Base bordo'!C$2:C$746,A668,'Base bordo'!B$2:B$746,B668,'Base bordo'!F$2:F$746,"MANOBRA CARRETAS-PATIO"),0)</f>
        <v>0.93222222222222217</v>
      </c>
      <c r="J668" s="10">
        <f>IFERROR(SUMIFS('Base bordo'!G$2:G$746,'Base bordo'!C$2:C$746,A668,'Base bordo'!B$2:B$746,B668,'Base bordo'!F$2:F$746,"BALANÇA - ENTRADA"),0)+IFERROR(SUMIFS('Base bordo'!G$2:G$746,'Base bordo'!C$2:C$746,A668,'Base bordo'!B$2:B$746,B668,'Base bordo'!F$2:F$746,"BALANÇA - SAÍDA"),0)</f>
        <v>0</v>
      </c>
      <c r="K668" s="10">
        <f>IFERROR(SUMIFS('Base bordo'!G$2:G$746,'Base bordo'!C$2:C$746,A668,'Base bordo'!B$2:B$746,B668,'Base bordo'!F$2:F$746,"MAN PREVENTIVA - MECANICA"),0)+IFERROR(SUMIFS('Base bordo'!G$2:G$746,'Base bordo'!C$2:C$746,A668,'Base bordo'!B$2:B$746,B668,'Base bordo'!F$2:F$746,"MAN CORRETIVA - MECANICA"),0)</f>
        <v>0</v>
      </c>
      <c r="L668" s="10">
        <f>IFERROR(SUMIFS('Base bordo'!G$2:G$746,'Base bordo'!C$2:C$746,A668,'Base bordo'!B$2:B$746,B668,'Base bordo'!F$2:F$746,"MANUTENCAO - T O"),0)+IFERROR(SUMIFS('Base bordo'!G$2:G$746,'Base bordo'!C$2:C$746,A668,'Base bordo'!B$2:B$746,B668,'Base bordo'!F$2:F$746,"MANUTENCAO BORRACHARIA"),0)+IFERROR(SUMIFS('Base bordo'!G$2:G$746,'Base bordo'!C$2:C$746,A668,'Base bordo'!B$2:B$746,B668,'Base bordo'!F$2:F$746,"MANUTENCAO EXTERNA  CONCESSIONARIA"),0)+IFERROR(SUMIFS('Base bordo'!G$2:G$746,'Base bordo'!C$2:C$746,A668,'Base bordo'!B$2:B$746,B668,'Base bordo'!F$2:F$746,"MANUTENCAO TELEMETRIA"),0)</f>
        <v>8.8805555555555564</v>
      </c>
      <c r="M668" s="10">
        <f>IFERROR(SUMIFS('Base bordo'!G$2:G$746,'Base bordo'!C$2:C$746,A668,'Base bordo'!B$2:B$746,B668,'Base bordo'!F$2:F$746,"AGUARDANDO MANUTENCAO"),0)</f>
        <v>0</v>
      </c>
      <c r="N668" s="10">
        <f>IFERROR(SUMIFS('Base bordo'!G$2:G$746,'Base bordo'!C$2:C$746,A668,'Base bordo'!B$2:B$746,B668,'Base bordo'!F$2:F$746,"SEM APONTAMENTO"),0)</f>
        <v>0</v>
      </c>
      <c r="O668" s="10">
        <f t="shared" si="72"/>
        <v>4.9944444444444471</v>
      </c>
      <c r="P668" s="10">
        <f>IFERROR(SUMIFS('Base bordo'!G$2:G$746,'Base bordo'!C$2:C$746,A668,'Base bordo'!B$2:B$746,B668),0)</f>
        <v>19.000000000000004</v>
      </c>
      <c r="Q668" s="10">
        <f>IFERROR(SUMIFS('Base bordo'!H$2:H$746,'Base bordo'!C$2:C$746,A668,'Base bordo'!B$2:B$746,B668,'Base bordo'!F$2:F$746,"DESLOCAMENTO VAZIO"),0)</f>
        <v>200216.06000000003</v>
      </c>
      <c r="R668" s="10">
        <f>IFERROR(SUMIFS('Base bordo'!I$2:I$746,'Base bordo'!C$2:C$746,A668,'Base bordo'!B$2:B$746,B668,'Base bordo'!F$2:F$746,"DESLOCAMENTO VAZIO"),0)</f>
        <v>6946</v>
      </c>
      <c r="S668" s="30">
        <f t="shared" si="73"/>
        <v>28.82465591707458</v>
      </c>
      <c r="T668" s="10">
        <f>IFERROR(SUMIFS('Base bordo'!H$2:H$746,'Base bordo'!C$2:C$746,A668,'Base bordo'!B$2:B$746,B668,'Base bordo'!F$2:F$746,"DESLOCAMENTO CARREGADO"),0)</f>
        <v>167185.25</v>
      </c>
      <c r="U668" s="10">
        <f>IFERROR(SUMIFS('Base bordo'!I$2:I$746,'Base bordo'!C$2:C$746,A668,'Base bordo'!B$2:B$746,B668,'Base bordo'!F$2:F$746,"DESLOCAMENTO CARREGADO"),0)</f>
        <v>6091</v>
      </c>
      <c r="V668" s="30">
        <f t="shared" si="74"/>
        <v>27.447914956493186</v>
      </c>
      <c r="W668" s="9">
        <f t="shared" si="75"/>
        <v>0.10154970760233917</v>
      </c>
      <c r="X668" s="9">
        <f t="shared" si="76"/>
        <v>8.904970760233917E-2</v>
      </c>
      <c r="Y668" s="9">
        <f t="shared" si="77"/>
        <v>0.80940058479532162</v>
      </c>
    </row>
    <row r="669" spans="1:25" ht="15" customHeight="1" x14ac:dyDescent="0.35">
      <c r="A669" s="52">
        <v>8013485</v>
      </c>
      <c r="B669" s="51">
        <v>46117</v>
      </c>
      <c r="C669" s="7" t="s">
        <v>124</v>
      </c>
      <c r="D669" s="10">
        <f>IFERROR(SUMIFS('Base bordo'!G$2:G$746,'Base bordo'!C$2:C$746,A669,'Base bordo'!B$2:B$746,B669,'Base bordo'!F$2:F$746,"DESLOCAMENTO VAZIO"),0)</f>
        <v>1.9294444444444445</v>
      </c>
      <c r="E669" s="10">
        <f>IFERROR(SUMIFS('Base bordo'!G$2:G$746,'Base bordo'!C$2:C$746,A669,'Base bordo'!B$2:B$746,B669,'Base bordo'!F$2:F$746,"DESLOCAMENTO CARREGADO"),0)</f>
        <v>1.6919444444444445</v>
      </c>
      <c r="F669" s="10">
        <f>IFERROR(SUMIFS('Base bordo'!G$2:G$746,'Base bordo'!C$2:C$746,A669,'Base bordo'!B$2:B$746,B669,'Base bordo'!F$2:F$746,"DESLOCAMENTO"),0)</f>
        <v>0</v>
      </c>
      <c r="G669" s="10">
        <f>IFERROR(SUMIFS('Base bordo'!G$2:G$746,'Base bordo'!C$2:C$746,A669,'Base bordo'!B$2:B$746,B669,'Base bordo'!F$2:F$746,"CARREGAMENTO"),0)</f>
        <v>0.57138888888888884</v>
      </c>
      <c r="H669" s="10">
        <f>IFERROR(SUMIFS('Base bordo'!G$2:G$746,'Base bordo'!C$2:C$746,A669,'Base bordo'!B$2:B$746,B669,'Base bordo'!F$2:F$746,"AGUARDANDO TRANSBORDO"),0)</f>
        <v>0</v>
      </c>
      <c r="I669" s="10">
        <f>IFERROR(SUMIFS('Base bordo'!G$2:G$746,'Base bordo'!C$2:C$746,A669,'Base bordo'!B$2:B$746,B669,'Base bordo'!F$2:F$746,"PÁTIO INTERNO"),0)+IFERROR(SUMIFS('Base bordo'!G$2:G$746,'Base bordo'!C$2:C$746,A669,'Base bordo'!B$2:B$746,B669,'Base bordo'!F$2:F$746,"PÁTIO EXTERNO"),0)+IFERROR(SUMIFS('Base bordo'!G$2:G$746,'Base bordo'!C$2:C$746,A669,'Base bordo'!B$2:B$746,B669,'Base bordo'!F$2:F$746,"PATIO - RESERVA"),0)+IFERROR(SUMIFS('Base bordo'!G$2:G$746,'Base bordo'!C$2:C$746,A669,'Base bordo'!B$2:B$746,B669,'Base bordo'!F$2:F$746,"MANOBRA CARRETAS-PATIO"),0)</f>
        <v>0.93222222222222217</v>
      </c>
      <c r="J669" s="10">
        <f>IFERROR(SUMIFS('Base bordo'!G$2:G$746,'Base bordo'!C$2:C$746,A669,'Base bordo'!B$2:B$746,B669,'Base bordo'!F$2:F$746,"BALANÇA - ENTRADA"),0)+IFERROR(SUMIFS('Base bordo'!G$2:G$746,'Base bordo'!C$2:C$746,A669,'Base bordo'!B$2:B$746,B669,'Base bordo'!F$2:F$746,"BALANÇA - SAÍDA"),0)</f>
        <v>0</v>
      </c>
      <c r="K669" s="10">
        <f>IFERROR(SUMIFS('Base bordo'!G$2:G$746,'Base bordo'!C$2:C$746,A669,'Base bordo'!B$2:B$746,B669,'Base bordo'!F$2:F$746,"MAN PREVENTIVA - MECANICA"),0)+IFERROR(SUMIFS('Base bordo'!G$2:G$746,'Base bordo'!C$2:C$746,A669,'Base bordo'!B$2:B$746,B669,'Base bordo'!F$2:F$746,"MAN CORRETIVA - MECANICA"),0)</f>
        <v>0</v>
      </c>
      <c r="L669" s="10">
        <f>IFERROR(SUMIFS('Base bordo'!G$2:G$746,'Base bordo'!C$2:C$746,A669,'Base bordo'!B$2:B$746,B669,'Base bordo'!F$2:F$746,"MANUTENCAO - T O"),0)+IFERROR(SUMIFS('Base bordo'!G$2:G$746,'Base bordo'!C$2:C$746,A669,'Base bordo'!B$2:B$746,B669,'Base bordo'!F$2:F$746,"MANUTENCAO BORRACHARIA"),0)+IFERROR(SUMIFS('Base bordo'!G$2:G$746,'Base bordo'!C$2:C$746,A669,'Base bordo'!B$2:B$746,B669,'Base bordo'!F$2:F$746,"MANUTENCAO EXTERNA  CONCESSIONARIA"),0)+IFERROR(SUMIFS('Base bordo'!G$2:G$746,'Base bordo'!C$2:C$746,A669,'Base bordo'!B$2:B$746,B669,'Base bordo'!F$2:F$746,"MANUTENCAO TELEMETRIA"),0)</f>
        <v>8.8805555555555564</v>
      </c>
      <c r="M669" s="10">
        <f>IFERROR(SUMIFS('Base bordo'!G$2:G$746,'Base bordo'!C$2:C$746,A669,'Base bordo'!B$2:B$746,B669,'Base bordo'!F$2:F$746,"AGUARDANDO MANUTENCAO"),0)</f>
        <v>0</v>
      </c>
      <c r="N669" s="10">
        <f>IFERROR(SUMIFS('Base bordo'!G$2:G$746,'Base bordo'!C$2:C$746,A669,'Base bordo'!B$2:B$746,B669,'Base bordo'!F$2:F$746,"SEM APONTAMENTO"),0)</f>
        <v>0</v>
      </c>
      <c r="O669" s="10">
        <f t="shared" si="72"/>
        <v>4.9944444444444471</v>
      </c>
      <c r="P669" s="10">
        <f>IFERROR(SUMIFS('Base bordo'!G$2:G$746,'Base bordo'!C$2:C$746,A669,'Base bordo'!B$2:B$746,B669),0)</f>
        <v>19.000000000000004</v>
      </c>
      <c r="Q669" s="10">
        <f>IFERROR(SUMIFS('Base bordo'!H$2:H$746,'Base bordo'!C$2:C$746,A669,'Base bordo'!B$2:B$746,B669,'Base bordo'!F$2:F$746,"DESLOCAMENTO VAZIO"),0)</f>
        <v>200216.06000000003</v>
      </c>
      <c r="R669" s="10">
        <f>IFERROR(SUMIFS('Base bordo'!I$2:I$746,'Base bordo'!C$2:C$746,A669,'Base bordo'!B$2:B$746,B669,'Base bordo'!F$2:F$746,"DESLOCAMENTO VAZIO"),0)</f>
        <v>6946</v>
      </c>
      <c r="S669" s="30">
        <f t="shared" si="73"/>
        <v>28.82465591707458</v>
      </c>
      <c r="T669" s="10">
        <f>IFERROR(SUMIFS('Base bordo'!H$2:H$746,'Base bordo'!C$2:C$746,A669,'Base bordo'!B$2:B$746,B669,'Base bordo'!F$2:F$746,"DESLOCAMENTO CARREGADO"),0)</f>
        <v>167185.25</v>
      </c>
      <c r="U669" s="10">
        <f>IFERROR(SUMIFS('Base bordo'!I$2:I$746,'Base bordo'!C$2:C$746,A669,'Base bordo'!B$2:B$746,B669,'Base bordo'!F$2:F$746,"DESLOCAMENTO CARREGADO"),0)</f>
        <v>6091</v>
      </c>
      <c r="V669" s="30">
        <f t="shared" si="74"/>
        <v>27.447914956493186</v>
      </c>
      <c r="W669" s="9">
        <f t="shared" si="75"/>
        <v>0.10154970760233917</v>
      </c>
      <c r="X669" s="9">
        <f t="shared" si="76"/>
        <v>8.904970760233917E-2</v>
      </c>
      <c r="Y669" s="9">
        <f t="shared" si="77"/>
        <v>0.80940058479532162</v>
      </c>
    </row>
    <row r="670" spans="1:25" ht="15" customHeight="1" x14ac:dyDescent="0.35">
      <c r="A670" s="52">
        <v>8013485</v>
      </c>
      <c r="B670" s="51">
        <v>46117</v>
      </c>
      <c r="C670" s="7" t="s">
        <v>124</v>
      </c>
      <c r="D670" s="10">
        <f>IFERROR(SUMIFS('Base bordo'!G$2:G$746,'Base bordo'!C$2:C$746,A670,'Base bordo'!B$2:B$746,B670,'Base bordo'!F$2:F$746,"DESLOCAMENTO VAZIO"),0)</f>
        <v>1.9294444444444445</v>
      </c>
      <c r="E670" s="10">
        <f>IFERROR(SUMIFS('Base bordo'!G$2:G$746,'Base bordo'!C$2:C$746,A670,'Base bordo'!B$2:B$746,B670,'Base bordo'!F$2:F$746,"DESLOCAMENTO CARREGADO"),0)</f>
        <v>1.6919444444444445</v>
      </c>
      <c r="F670" s="10">
        <f>IFERROR(SUMIFS('Base bordo'!G$2:G$746,'Base bordo'!C$2:C$746,A670,'Base bordo'!B$2:B$746,B670,'Base bordo'!F$2:F$746,"DESLOCAMENTO"),0)</f>
        <v>0</v>
      </c>
      <c r="G670" s="10">
        <f>IFERROR(SUMIFS('Base bordo'!G$2:G$746,'Base bordo'!C$2:C$746,A670,'Base bordo'!B$2:B$746,B670,'Base bordo'!F$2:F$746,"CARREGAMENTO"),0)</f>
        <v>0.57138888888888884</v>
      </c>
      <c r="H670" s="10">
        <f>IFERROR(SUMIFS('Base bordo'!G$2:G$746,'Base bordo'!C$2:C$746,A670,'Base bordo'!B$2:B$746,B670,'Base bordo'!F$2:F$746,"AGUARDANDO TRANSBORDO"),0)</f>
        <v>0</v>
      </c>
      <c r="I670" s="10">
        <f>IFERROR(SUMIFS('Base bordo'!G$2:G$746,'Base bordo'!C$2:C$746,A670,'Base bordo'!B$2:B$746,B670,'Base bordo'!F$2:F$746,"PÁTIO INTERNO"),0)+IFERROR(SUMIFS('Base bordo'!G$2:G$746,'Base bordo'!C$2:C$746,A670,'Base bordo'!B$2:B$746,B670,'Base bordo'!F$2:F$746,"PÁTIO EXTERNO"),0)+IFERROR(SUMIFS('Base bordo'!G$2:G$746,'Base bordo'!C$2:C$746,A670,'Base bordo'!B$2:B$746,B670,'Base bordo'!F$2:F$746,"PATIO - RESERVA"),0)+IFERROR(SUMIFS('Base bordo'!G$2:G$746,'Base bordo'!C$2:C$746,A670,'Base bordo'!B$2:B$746,B670,'Base bordo'!F$2:F$746,"MANOBRA CARRETAS-PATIO"),0)</f>
        <v>0.93222222222222217</v>
      </c>
      <c r="J670" s="10">
        <f>IFERROR(SUMIFS('Base bordo'!G$2:G$746,'Base bordo'!C$2:C$746,A670,'Base bordo'!B$2:B$746,B670,'Base bordo'!F$2:F$746,"BALANÇA - ENTRADA"),0)+IFERROR(SUMIFS('Base bordo'!G$2:G$746,'Base bordo'!C$2:C$746,A670,'Base bordo'!B$2:B$746,B670,'Base bordo'!F$2:F$746,"BALANÇA - SAÍDA"),0)</f>
        <v>0</v>
      </c>
      <c r="K670" s="10">
        <f>IFERROR(SUMIFS('Base bordo'!G$2:G$746,'Base bordo'!C$2:C$746,A670,'Base bordo'!B$2:B$746,B670,'Base bordo'!F$2:F$746,"MAN PREVENTIVA - MECANICA"),0)+IFERROR(SUMIFS('Base bordo'!G$2:G$746,'Base bordo'!C$2:C$746,A670,'Base bordo'!B$2:B$746,B670,'Base bordo'!F$2:F$746,"MAN CORRETIVA - MECANICA"),0)</f>
        <v>0</v>
      </c>
      <c r="L670" s="10">
        <f>IFERROR(SUMIFS('Base bordo'!G$2:G$746,'Base bordo'!C$2:C$746,A670,'Base bordo'!B$2:B$746,B670,'Base bordo'!F$2:F$746,"MANUTENCAO - T O"),0)+IFERROR(SUMIFS('Base bordo'!G$2:G$746,'Base bordo'!C$2:C$746,A670,'Base bordo'!B$2:B$746,B670,'Base bordo'!F$2:F$746,"MANUTENCAO BORRACHARIA"),0)+IFERROR(SUMIFS('Base bordo'!G$2:G$746,'Base bordo'!C$2:C$746,A670,'Base bordo'!B$2:B$746,B670,'Base bordo'!F$2:F$746,"MANUTENCAO EXTERNA  CONCESSIONARIA"),0)+IFERROR(SUMIFS('Base bordo'!G$2:G$746,'Base bordo'!C$2:C$746,A670,'Base bordo'!B$2:B$746,B670,'Base bordo'!F$2:F$746,"MANUTENCAO TELEMETRIA"),0)</f>
        <v>8.8805555555555564</v>
      </c>
      <c r="M670" s="10">
        <f>IFERROR(SUMIFS('Base bordo'!G$2:G$746,'Base bordo'!C$2:C$746,A670,'Base bordo'!B$2:B$746,B670,'Base bordo'!F$2:F$746,"AGUARDANDO MANUTENCAO"),0)</f>
        <v>0</v>
      </c>
      <c r="N670" s="10">
        <f>IFERROR(SUMIFS('Base bordo'!G$2:G$746,'Base bordo'!C$2:C$746,A670,'Base bordo'!B$2:B$746,B670,'Base bordo'!F$2:F$746,"SEM APONTAMENTO"),0)</f>
        <v>0</v>
      </c>
      <c r="O670" s="10">
        <f t="shared" si="72"/>
        <v>4.9944444444444471</v>
      </c>
      <c r="P670" s="10">
        <f>IFERROR(SUMIFS('Base bordo'!G$2:G$746,'Base bordo'!C$2:C$746,A670,'Base bordo'!B$2:B$746,B670),0)</f>
        <v>19.000000000000004</v>
      </c>
      <c r="Q670" s="10">
        <f>IFERROR(SUMIFS('Base bordo'!H$2:H$746,'Base bordo'!C$2:C$746,A670,'Base bordo'!B$2:B$746,B670,'Base bordo'!F$2:F$746,"DESLOCAMENTO VAZIO"),0)</f>
        <v>200216.06000000003</v>
      </c>
      <c r="R670" s="10">
        <f>IFERROR(SUMIFS('Base bordo'!I$2:I$746,'Base bordo'!C$2:C$746,A670,'Base bordo'!B$2:B$746,B670,'Base bordo'!F$2:F$746,"DESLOCAMENTO VAZIO"),0)</f>
        <v>6946</v>
      </c>
      <c r="S670" s="30">
        <f t="shared" si="73"/>
        <v>28.82465591707458</v>
      </c>
      <c r="T670" s="10">
        <f>IFERROR(SUMIFS('Base bordo'!H$2:H$746,'Base bordo'!C$2:C$746,A670,'Base bordo'!B$2:B$746,B670,'Base bordo'!F$2:F$746,"DESLOCAMENTO CARREGADO"),0)</f>
        <v>167185.25</v>
      </c>
      <c r="U670" s="10">
        <f>IFERROR(SUMIFS('Base bordo'!I$2:I$746,'Base bordo'!C$2:C$746,A670,'Base bordo'!B$2:B$746,B670,'Base bordo'!F$2:F$746,"DESLOCAMENTO CARREGADO"),0)</f>
        <v>6091</v>
      </c>
      <c r="V670" s="30">
        <f t="shared" si="74"/>
        <v>27.447914956493186</v>
      </c>
      <c r="W670" s="9">
        <f t="shared" si="75"/>
        <v>0.10154970760233917</v>
      </c>
      <c r="X670" s="9">
        <f t="shared" si="76"/>
        <v>8.904970760233917E-2</v>
      </c>
      <c r="Y670" s="9">
        <f t="shared" si="77"/>
        <v>0.80940058479532162</v>
      </c>
    </row>
    <row r="671" spans="1:25" ht="15" customHeight="1" x14ac:dyDescent="0.35">
      <c r="A671" s="52">
        <v>8013486</v>
      </c>
      <c r="B671" s="51">
        <v>46117</v>
      </c>
      <c r="C671" s="7" t="s">
        <v>124</v>
      </c>
      <c r="D671" s="10">
        <f>IFERROR(SUMIFS('Base bordo'!G$2:G$746,'Base bordo'!C$2:C$746,A671,'Base bordo'!B$2:B$746,B671,'Base bordo'!F$2:F$746,"DESLOCAMENTO VAZIO"),0)</f>
        <v>0.89027777777777772</v>
      </c>
      <c r="E671" s="10">
        <f>IFERROR(SUMIFS('Base bordo'!G$2:G$746,'Base bordo'!C$2:C$746,A671,'Base bordo'!B$2:B$746,B671,'Base bordo'!F$2:F$746,"DESLOCAMENTO CARREGADO"),0)</f>
        <v>0</v>
      </c>
      <c r="F671" s="10">
        <f>IFERROR(SUMIFS('Base bordo'!G$2:G$746,'Base bordo'!C$2:C$746,A671,'Base bordo'!B$2:B$746,B671,'Base bordo'!F$2:F$746,"DESLOCAMENTO"),0)</f>
        <v>0.19472222222222221</v>
      </c>
      <c r="G671" s="10">
        <f>IFERROR(SUMIFS('Base bordo'!G$2:G$746,'Base bordo'!C$2:C$746,A671,'Base bordo'!B$2:B$746,B671,'Base bordo'!F$2:F$746,"CARREGAMENTO"),0)</f>
        <v>0</v>
      </c>
      <c r="H671" s="10">
        <f>IFERROR(SUMIFS('Base bordo'!G$2:G$746,'Base bordo'!C$2:C$746,A671,'Base bordo'!B$2:B$746,B671,'Base bordo'!F$2:F$746,"AGUARDANDO TRANSBORDO"),0)</f>
        <v>0</v>
      </c>
      <c r="I671" s="10">
        <f>IFERROR(SUMIFS('Base bordo'!G$2:G$746,'Base bordo'!C$2:C$746,A671,'Base bordo'!B$2:B$746,B671,'Base bordo'!F$2:F$746,"PÁTIO INTERNO"),0)+IFERROR(SUMIFS('Base bordo'!G$2:G$746,'Base bordo'!C$2:C$746,A671,'Base bordo'!B$2:B$746,B671,'Base bordo'!F$2:F$746,"PÁTIO EXTERNO"),0)+IFERROR(SUMIFS('Base bordo'!G$2:G$746,'Base bordo'!C$2:C$746,A671,'Base bordo'!B$2:B$746,B671,'Base bordo'!F$2:F$746,"PATIO - RESERVA"),0)+IFERROR(SUMIFS('Base bordo'!G$2:G$746,'Base bordo'!C$2:C$746,A671,'Base bordo'!B$2:B$746,B671,'Base bordo'!F$2:F$746,"MANOBRA CARRETAS-PATIO"),0)</f>
        <v>0</v>
      </c>
      <c r="J671" s="10">
        <f>IFERROR(SUMIFS('Base bordo'!G$2:G$746,'Base bordo'!C$2:C$746,A671,'Base bordo'!B$2:B$746,B671,'Base bordo'!F$2:F$746,"BALANÇA - ENTRADA"),0)+IFERROR(SUMIFS('Base bordo'!G$2:G$746,'Base bordo'!C$2:C$746,A671,'Base bordo'!B$2:B$746,B671,'Base bordo'!F$2:F$746,"BALANÇA - SAÍDA"),0)</f>
        <v>0</v>
      </c>
      <c r="K671" s="10">
        <f>IFERROR(SUMIFS('Base bordo'!G$2:G$746,'Base bordo'!C$2:C$746,A671,'Base bordo'!B$2:B$746,B671,'Base bordo'!F$2:F$746,"MAN PREVENTIVA - MECANICA"),0)+IFERROR(SUMIFS('Base bordo'!G$2:G$746,'Base bordo'!C$2:C$746,A671,'Base bordo'!B$2:B$746,B671,'Base bordo'!F$2:F$746,"MAN CORRETIVA - MECANICA"),0)</f>
        <v>0</v>
      </c>
      <c r="L671" s="10">
        <f>IFERROR(SUMIFS('Base bordo'!G$2:G$746,'Base bordo'!C$2:C$746,A671,'Base bordo'!B$2:B$746,B671,'Base bordo'!F$2:F$746,"MANUTENCAO - T O"),0)+IFERROR(SUMIFS('Base bordo'!G$2:G$746,'Base bordo'!C$2:C$746,A671,'Base bordo'!B$2:B$746,B671,'Base bordo'!F$2:F$746,"MANUTENCAO BORRACHARIA"),0)+IFERROR(SUMIFS('Base bordo'!G$2:G$746,'Base bordo'!C$2:C$746,A671,'Base bordo'!B$2:B$746,B671,'Base bordo'!F$2:F$746,"MANUTENCAO EXTERNA  CONCESSIONARIA"),0)+IFERROR(SUMIFS('Base bordo'!G$2:G$746,'Base bordo'!C$2:C$746,A671,'Base bordo'!B$2:B$746,B671,'Base bordo'!F$2:F$746,"MANUTENCAO TELEMETRIA"),0)</f>
        <v>22.465277777777779</v>
      </c>
      <c r="M671" s="10">
        <f>IFERROR(SUMIFS('Base bordo'!G$2:G$746,'Base bordo'!C$2:C$746,A671,'Base bordo'!B$2:B$746,B671,'Base bordo'!F$2:F$746,"AGUARDANDO MANUTENCAO"),0)</f>
        <v>0</v>
      </c>
      <c r="N671" s="10">
        <f>IFERROR(SUMIFS('Base bordo'!G$2:G$746,'Base bordo'!C$2:C$746,A671,'Base bordo'!B$2:B$746,B671,'Base bordo'!F$2:F$746,"SEM APONTAMENTO"),0)</f>
        <v>0</v>
      </c>
      <c r="O671" s="10">
        <f t="shared" si="72"/>
        <v>0.44972222222222058</v>
      </c>
      <c r="P671" s="10">
        <f>IFERROR(SUMIFS('Base bordo'!G$2:G$746,'Base bordo'!C$2:C$746,A671,'Base bordo'!B$2:B$746,B671),0)</f>
        <v>24</v>
      </c>
      <c r="Q671" s="10">
        <f>IFERROR(SUMIFS('Base bordo'!H$2:H$746,'Base bordo'!C$2:C$746,A671,'Base bordo'!B$2:B$746,B671,'Base bordo'!F$2:F$746,"DESLOCAMENTO VAZIO"),0)</f>
        <v>94654.959999999992</v>
      </c>
      <c r="R671" s="10">
        <f>IFERROR(SUMIFS('Base bordo'!I$2:I$746,'Base bordo'!C$2:C$746,A671,'Base bordo'!B$2:B$746,B671,'Base bordo'!F$2:F$746,"DESLOCAMENTO VAZIO"),0)</f>
        <v>3205</v>
      </c>
      <c r="S671" s="30">
        <f t="shared" si="73"/>
        <v>29.533528861154444</v>
      </c>
      <c r="T671" s="10">
        <f>IFERROR(SUMIFS('Base bordo'!H$2:H$746,'Base bordo'!C$2:C$746,A671,'Base bordo'!B$2:B$746,B671,'Base bordo'!F$2:F$746,"DESLOCAMENTO CARREGADO"),0)</f>
        <v>0</v>
      </c>
      <c r="U671" s="10">
        <f>IFERROR(SUMIFS('Base bordo'!I$2:I$746,'Base bordo'!C$2:C$746,A671,'Base bordo'!B$2:B$746,B671,'Base bordo'!F$2:F$746,"DESLOCAMENTO CARREGADO"),0)</f>
        <v>0</v>
      </c>
      <c r="V671" s="30" t="str">
        <f t="shared" si="74"/>
        <v/>
      </c>
      <c r="W671" s="9">
        <f t="shared" si="75"/>
        <v>3.7094907407407403E-2</v>
      </c>
      <c r="X671" s="9">
        <f t="shared" si="76"/>
        <v>0</v>
      </c>
      <c r="Y671" s="9">
        <f t="shared" si="77"/>
        <v>0.9629050925925926</v>
      </c>
    </row>
    <row r="672" spans="1:25" ht="15" customHeight="1" x14ac:dyDescent="0.35">
      <c r="A672" s="52">
        <v>8013486</v>
      </c>
      <c r="B672" s="51">
        <v>46117</v>
      </c>
      <c r="C672" s="7" t="s">
        <v>124</v>
      </c>
      <c r="D672" s="10">
        <f>IFERROR(SUMIFS('Base bordo'!G$2:G$746,'Base bordo'!C$2:C$746,A672,'Base bordo'!B$2:B$746,B672,'Base bordo'!F$2:F$746,"DESLOCAMENTO VAZIO"),0)</f>
        <v>0.89027777777777772</v>
      </c>
      <c r="E672" s="10">
        <f>IFERROR(SUMIFS('Base bordo'!G$2:G$746,'Base bordo'!C$2:C$746,A672,'Base bordo'!B$2:B$746,B672,'Base bordo'!F$2:F$746,"DESLOCAMENTO CARREGADO"),0)</f>
        <v>0</v>
      </c>
      <c r="F672" s="10">
        <f>IFERROR(SUMIFS('Base bordo'!G$2:G$746,'Base bordo'!C$2:C$746,A672,'Base bordo'!B$2:B$746,B672,'Base bordo'!F$2:F$746,"DESLOCAMENTO"),0)</f>
        <v>0.19472222222222221</v>
      </c>
      <c r="G672" s="10">
        <f>IFERROR(SUMIFS('Base bordo'!G$2:G$746,'Base bordo'!C$2:C$746,A672,'Base bordo'!B$2:B$746,B672,'Base bordo'!F$2:F$746,"CARREGAMENTO"),0)</f>
        <v>0</v>
      </c>
      <c r="H672" s="10">
        <f>IFERROR(SUMIFS('Base bordo'!G$2:G$746,'Base bordo'!C$2:C$746,A672,'Base bordo'!B$2:B$746,B672,'Base bordo'!F$2:F$746,"AGUARDANDO TRANSBORDO"),0)</f>
        <v>0</v>
      </c>
      <c r="I672" s="10">
        <f>IFERROR(SUMIFS('Base bordo'!G$2:G$746,'Base bordo'!C$2:C$746,A672,'Base bordo'!B$2:B$746,B672,'Base bordo'!F$2:F$746,"PÁTIO INTERNO"),0)+IFERROR(SUMIFS('Base bordo'!G$2:G$746,'Base bordo'!C$2:C$746,A672,'Base bordo'!B$2:B$746,B672,'Base bordo'!F$2:F$746,"PÁTIO EXTERNO"),0)+IFERROR(SUMIFS('Base bordo'!G$2:G$746,'Base bordo'!C$2:C$746,A672,'Base bordo'!B$2:B$746,B672,'Base bordo'!F$2:F$746,"PATIO - RESERVA"),0)+IFERROR(SUMIFS('Base bordo'!G$2:G$746,'Base bordo'!C$2:C$746,A672,'Base bordo'!B$2:B$746,B672,'Base bordo'!F$2:F$746,"MANOBRA CARRETAS-PATIO"),0)</f>
        <v>0</v>
      </c>
      <c r="J672" s="10">
        <f>IFERROR(SUMIFS('Base bordo'!G$2:G$746,'Base bordo'!C$2:C$746,A672,'Base bordo'!B$2:B$746,B672,'Base bordo'!F$2:F$746,"BALANÇA - ENTRADA"),0)+IFERROR(SUMIFS('Base bordo'!G$2:G$746,'Base bordo'!C$2:C$746,A672,'Base bordo'!B$2:B$746,B672,'Base bordo'!F$2:F$746,"BALANÇA - SAÍDA"),0)</f>
        <v>0</v>
      </c>
      <c r="K672" s="10">
        <f>IFERROR(SUMIFS('Base bordo'!G$2:G$746,'Base bordo'!C$2:C$746,A672,'Base bordo'!B$2:B$746,B672,'Base bordo'!F$2:F$746,"MAN PREVENTIVA - MECANICA"),0)+IFERROR(SUMIFS('Base bordo'!G$2:G$746,'Base bordo'!C$2:C$746,A672,'Base bordo'!B$2:B$746,B672,'Base bordo'!F$2:F$746,"MAN CORRETIVA - MECANICA"),0)</f>
        <v>0</v>
      </c>
      <c r="L672" s="10">
        <f>IFERROR(SUMIFS('Base bordo'!G$2:G$746,'Base bordo'!C$2:C$746,A672,'Base bordo'!B$2:B$746,B672,'Base bordo'!F$2:F$746,"MANUTENCAO - T O"),0)+IFERROR(SUMIFS('Base bordo'!G$2:G$746,'Base bordo'!C$2:C$746,A672,'Base bordo'!B$2:B$746,B672,'Base bordo'!F$2:F$746,"MANUTENCAO BORRACHARIA"),0)+IFERROR(SUMIFS('Base bordo'!G$2:G$746,'Base bordo'!C$2:C$746,A672,'Base bordo'!B$2:B$746,B672,'Base bordo'!F$2:F$746,"MANUTENCAO EXTERNA  CONCESSIONARIA"),0)+IFERROR(SUMIFS('Base bordo'!G$2:G$746,'Base bordo'!C$2:C$746,A672,'Base bordo'!B$2:B$746,B672,'Base bordo'!F$2:F$746,"MANUTENCAO TELEMETRIA"),0)</f>
        <v>22.465277777777779</v>
      </c>
      <c r="M672" s="10">
        <f>IFERROR(SUMIFS('Base bordo'!G$2:G$746,'Base bordo'!C$2:C$746,A672,'Base bordo'!B$2:B$746,B672,'Base bordo'!F$2:F$746,"AGUARDANDO MANUTENCAO"),0)</f>
        <v>0</v>
      </c>
      <c r="N672" s="10">
        <f>IFERROR(SUMIFS('Base bordo'!G$2:G$746,'Base bordo'!C$2:C$746,A672,'Base bordo'!B$2:B$746,B672,'Base bordo'!F$2:F$746,"SEM APONTAMENTO"),0)</f>
        <v>0</v>
      </c>
      <c r="O672" s="10">
        <f t="shared" si="72"/>
        <v>0.44972222222222058</v>
      </c>
      <c r="P672" s="10">
        <f>IFERROR(SUMIFS('Base bordo'!G$2:G$746,'Base bordo'!C$2:C$746,A672,'Base bordo'!B$2:B$746,B672),0)</f>
        <v>24</v>
      </c>
      <c r="Q672" s="10">
        <f>IFERROR(SUMIFS('Base bordo'!H$2:H$746,'Base bordo'!C$2:C$746,A672,'Base bordo'!B$2:B$746,B672,'Base bordo'!F$2:F$746,"DESLOCAMENTO VAZIO"),0)</f>
        <v>94654.959999999992</v>
      </c>
      <c r="R672" s="10">
        <f>IFERROR(SUMIFS('Base bordo'!I$2:I$746,'Base bordo'!C$2:C$746,A672,'Base bordo'!B$2:B$746,B672,'Base bordo'!F$2:F$746,"DESLOCAMENTO VAZIO"),0)</f>
        <v>3205</v>
      </c>
      <c r="S672" s="30">
        <f t="shared" si="73"/>
        <v>29.533528861154444</v>
      </c>
      <c r="T672" s="10">
        <f>IFERROR(SUMIFS('Base bordo'!H$2:H$746,'Base bordo'!C$2:C$746,A672,'Base bordo'!B$2:B$746,B672,'Base bordo'!F$2:F$746,"DESLOCAMENTO CARREGADO"),0)</f>
        <v>0</v>
      </c>
      <c r="U672" s="10">
        <f>IFERROR(SUMIFS('Base bordo'!I$2:I$746,'Base bordo'!C$2:C$746,A672,'Base bordo'!B$2:B$746,B672,'Base bordo'!F$2:F$746,"DESLOCAMENTO CARREGADO"),0)</f>
        <v>0</v>
      </c>
      <c r="V672" s="30" t="str">
        <f t="shared" si="74"/>
        <v/>
      </c>
      <c r="W672" s="9">
        <f t="shared" si="75"/>
        <v>3.7094907407407403E-2</v>
      </c>
      <c r="X672" s="9">
        <f t="shared" si="76"/>
        <v>0</v>
      </c>
      <c r="Y672" s="9">
        <f t="shared" si="77"/>
        <v>0.9629050925925926</v>
      </c>
    </row>
    <row r="673" spans="1:25" ht="15" customHeight="1" x14ac:dyDescent="0.35">
      <c r="A673" s="52">
        <v>8013486</v>
      </c>
      <c r="B673" s="51">
        <v>46117</v>
      </c>
      <c r="C673" s="7" t="s">
        <v>124</v>
      </c>
      <c r="D673" s="10">
        <f>IFERROR(SUMIFS('Base bordo'!G$2:G$746,'Base bordo'!C$2:C$746,A673,'Base bordo'!B$2:B$746,B673,'Base bordo'!F$2:F$746,"DESLOCAMENTO VAZIO"),0)</f>
        <v>0.89027777777777772</v>
      </c>
      <c r="E673" s="10">
        <f>IFERROR(SUMIFS('Base bordo'!G$2:G$746,'Base bordo'!C$2:C$746,A673,'Base bordo'!B$2:B$746,B673,'Base bordo'!F$2:F$746,"DESLOCAMENTO CARREGADO"),0)</f>
        <v>0</v>
      </c>
      <c r="F673" s="10">
        <f>IFERROR(SUMIFS('Base bordo'!G$2:G$746,'Base bordo'!C$2:C$746,A673,'Base bordo'!B$2:B$746,B673,'Base bordo'!F$2:F$746,"DESLOCAMENTO"),0)</f>
        <v>0.19472222222222221</v>
      </c>
      <c r="G673" s="10">
        <f>IFERROR(SUMIFS('Base bordo'!G$2:G$746,'Base bordo'!C$2:C$746,A673,'Base bordo'!B$2:B$746,B673,'Base bordo'!F$2:F$746,"CARREGAMENTO"),0)</f>
        <v>0</v>
      </c>
      <c r="H673" s="10">
        <f>IFERROR(SUMIFS('Base bordo'!G$2:G$746,'Base bordo'!C$2:C$746,A673,'Base bordo'!B$2:B$746,B673,'Base bordo'!F$2:F$746,"AGUARDANDO TRANSBORDO"),0)</f>
        <v>0</v>
      </c>
      <c r="I673" s="10">
        <f>IFERROR(SUMIFS('Base bordo'!G$2:G$746,'Base bordo'!C$2:C$746,A673,'Base bordo'!B$2:B$746,B673,'Base bordo'!F$2:F$746,"PÁTIO INTERNO"),0)+IFERROR(SUMIFS('Base bordo'!G$2:G$746,'Base bordo'!C$2:C$746,A673,'Base bordo'!B$2:B$746,B673,'Base bordo'!F$2:F$746,"PÁTIO EXTERNO"),0)+IFERROR(SUMIFS('Base bordo'!G$2:G$746,'Base bordo'!C$2:C$746,A673,'Base bordo'!B$2:B$746,B673,'Base bordo'!F$2:F$746,"PATIO - RESERVA"),0)+IFERROR(SUMIFS('Base bordo'!G$2:G$746,'Base bordo'!C$2:C$746,A673,'Base bordo'!B$2:B$746,B673,'Base bordo'!F$2:F$746,"MANOBRA CARRETAS-PATIO"),0)</f>
        <v>0</v>
      </c>
      <c r="J673" s="10">
        <f>IFERROR(SUMIFS('Base bordo'!G$2:G$746,'Base bordo'!C$2:C$746,A673,'Base bordo'!B$2:B$746,B673,'Base bordo'!F$2:F$746,"BALANÇA - ENTRADA"),0)+IFERROR(SUMIFS('Base bordo'!G$2:G$746,'Base bordo'!C$2:C$746,A673,'Base bordo'!B$2:B$746,B673,'Base bordo'!F$2:F$746,"BALANÇA - SAÍDA"),0)</f>
        <v>0</v>
      </c>
      <c r="K673" s="10">
        <f>IFERROR(SUMIFS('Base bordo'!G$2:G$746,'Base bordo'!C$2:C$746,A673,'Base bordo'!B$2:B$746,B673,'Base bordo'!F$2:F$746,"MAN PREVENTIVA - MECANICA"),0)+IFERROR(SUMIFS('Base bordo'!G$2:G$746,'Base bordo'!C$2:C$746,A673,'Base bordo'!B$2:B$746,B673,'Base bordo'!F$2:F$746,"MAN CORRETIVA - MECANICA"),0)</f>
        <v>0</v>
      </c>
      <c r="L673" s="10">
        <f>IFERROR(SUMIFS('Base bordo'!G$2:G$746,'Base bordo'!C$2:C$746,A673,'Base bordo'!B$2:B$746,B673,'Base bordo'!F$2:F$746,"MANUTENCAO - T O"),0)+IFERROR(SUMIFS('Base bordo'!G$2:G$746,'Base bordo'!C$2:C$746,A673,'Base bordo'!B$2:B$746,B673,'Base bordo'!F$2:F$746,"MANUTENCAO BORRACHARIA"),0)+IFERROR(SUMIFS('Base bordo'!G$2:G$746,'Base bordo'!C$2:C$746,A673,'Base bordo'!B$2:B$746,B673,'Base bordo'!F$2:F$746,"MANUTENCAO EXTERNA  CONCESSIONARIA"),0)+IFERROR(SUMIFS('Base bordo'!G$2:G$746,'Base bordo'!C$2:C$746,A673,'Base bordo'!B$2:B$746,B673,'Base bordo'!F$2:F$746,"MANUTENCAO TELEMETRIA"),0)</f>
        <v>22.465277777777779</v>
      </c>
      <c r="M673" s="10">
        <f>IFERROR(SUMIFS('Base bordo'!G$2:G$746,'Base bordo'!C$2:C$746,A673,'Base bordo'!B$2:B$746,B673,'Base bordo'!F$2:F$746,"AGUARDANDO MANUTENCAO"),0)</f>
        <v>0</v>
      </c>
      <c r="N673" s="10">
        <f>IFERROR(SUMIFS('Base bordo'!G$2:G$746,'Base bordo'!C$2:C$746,A673,'Base bordo'!B$2:B$746,B673,'Base bordo'!F$2:F$746,"SEM APONTAMENTO"),0)</f>
        <v>0</v>
      </c>
      <c r="O673" s="10">
        <f t="shared" si="72"/>
        <v>0.44972222222222058</v>
      </c>
      <c r="P673" s="10">
        <f>IFERROR(SUMIFS('Base bordo'!G$2:G$746,'Base bordo'!C$2:C$746,A673,'Base bordo'!B$2:B$746,B673),0)</f>
        <v>24</v>
      </c>
      <c r="Q673" s="10">
        <f>IFERROR(SUMIFS('Base bordo'!H$2:H$746,'Base bordo'!C$2:C$746,A673,'Base bordo'!B$2:B$746,B673,'Base bordo'!F$2:F$746,"DESLOCAMENTO VAZIO"),0)</f>
        <v>94654.959999999992</v>
      </c>
      <c r="R673" s="10">
        <f>IFERROR(SUMIFS('Base bordo'!I$2:I$746,'Base bordo'!C$2:C$746,A673,'Base bordo'!B$2:B$746,B673,'Base bordo'!F$2:F$746,"DESLOCAMENTO VAZIO"),0)</f>
        <v>3205</v>
      </c>
      <c r="S673" s="30">
        <f t="shared" si="73"/>
        <v>29.533528861154444</v>
      </c>
      <c r="T673" s="10">
        <f>IFERROR(SUMIFS('Base bordo'!H$2:H$746,'Base bordo'!C$2:C$746,A673,'Base bordo'!B$2:B$746,B673,'Base bordo'!F$2:F$746,"DESLOCAMENTO CARREGADO"),0)</f>
        <v>0</v>
      </c>
      <c r="U673" s="10">
        <f>IFERROR(SUMIFS('Base bordo'!I$2:I$746,'Base bordo'!C$2:C$746,A673,'Base bordo'!B$2:B$746,B673,'Base bordo'!F$2:F$746,"DESLOCAMENTO CARREGADO"),0)</f>
        <v>0</v>
      </c>
      <c r="V673" s="30" t="str">
        <f t="shared" si="74"/>
        <v/>
      </c>
      <c r="W673" s="9">
        <f t="shared" si="75"/>
        <v>3.7094907407407403E-2</v>
      </c>
      <c r="X673" s="9">
        <f t="shared" si="76"/>
        <v>0</v>
      </c>
      <c r="Y673" s="9">
        <f t="shared" si="77"/>
        <v>0.9629050925925926</v>
      </c>
    </row>
    <row r="674" spans="1:25" ht="15" customHeight="1" x14ac:dyDescent="0.35">
      <c r="A674" s="52">
        <v>8013486</v>
      </c>
      <c r="B674" s="51">
        <v>46117</v>
      </c>
      <c r="C674" s="7" t="s">
        <v>124</v>
      </c>
      <c r="D674" s="10">
        <f>IFERROR(SUMIFS('Base bordo'!G$2:G$746,'Base bordo'!C$2:C$746,A674,'Base bordo'!B$2:B$746,B674,'Base bordo'!F$2:F$746,"DESLOCAMENTO VAZIO"),0)</f>
        <v>0.89027777777777772</v>
      </c>
      <c r="E674" s="10">
        <f>IFERROR(SUMIFS('Base bordo'!G$2:G$746,'Base bordo'!C$2:C$746,A674,'Base bordo'!B$2:B$746,B674,'Base bordo'!F$2:F$746,"DESLOCAMENTO CARREGADO"),0)</f>
        <v>0</v>
      </c>
      <c r="F674" s="10">
        <f>IFERROR(SUMIFS('Base bordo'!G$2:G$746,'Base bordo'!C$2:C$746,A674,'Base bordo'!B$2:B$746,B674,'Base bordo'!F$2:F$746,"DESLOCAMENTO"),0)</f>
        <v>0.19472222222222221</v>
      </c>
      <c r="G674" s="10">
        <f>IFERROR(SUMIFS('Base bordo'!G$2:G$746,'Base bordo'!C$2:C$746,A674,'Base bordo'!B$2:B$746,B674,'Base bordo'!F$2:F$746,"CARREGAMENTO"),0)</f>
        <v>0</v>
      </c>
      <c r="H674" s="10">
        <f>IFERROR(SUMIFS('Base bordo'!G$2:G$746,'Base bordo'!C$2:C$746,A674,'Base bordo'!B$2:B$746,B674,'Base bordo'!F$2:F$746,"AGUARDANDO TRANSBORDO"),0)</f>
        <v>0</v>
      </c>
      <c r="I674" s="10">
        <f>IFERROR(SUMIFS('Base bordo'!G$2:G$746,'Base bordo'!C$2:C$746,A674,'Base bordo'!B$2:B$746,B674,'Base bordo'!F$2:F$746,"PÁTIO INTERNO"),0)+IFERROR(SUMIFS('Base bordo'!G$2:G$746,'Base bordo'!C$2:C$746,A674,'Base bordo'!B$2:B$746,B674,'Base bordo'!F$2:F$746,"PÁTIO EXTERNO"),0)+IFERROR(SUMIFS('Base bordo'!G$2:G$746,'Base bordo'!C$2:C$746,A674,'Base bordo'!B$2:B$746,B674,'Base bordo'!F$2:F$746,"PATIO - RESERVA"),0)+IFERROR(SUMIFS('Base bordo'!G$2:G$746,'Base bordo'!C$2:C$746,A674,'Base bordo'!B$2:B$746,B674,'Base bordo'!F$2:F$746,"MANOBRA CARRETAS-PATIO"),0)</f>
        <v>0</v>
      </c>
      <c r="J674" s="10">
        <f>IFERROR(SUMIFS('Base bordo'!G$2:G$746,'Base bordo'!C$2:C$746,A674,'Base bordo'!B$2:B$746,B674,'Base bordo'!F$2:F$746,"BALANÇA - ENTRADA"),0)+IFERROR(SUMIFS('Base bordo'!G$2:G$746,'Base bordo'!C$2:C$746,A674,'Base bordo'!B$2:B$746,B674,'Base bordo'!F$2:F$746,"BALANÇA - SAÍDA"),0)</f>
        <v>0</v>
      </c>
      <c r="K674" s="10">
        <f>IFERROR(SUMIFS('Base bordo'!G$2:G$746,'Base bordo'!C$2:C$746,A674,'Base bordo'!B$2:B$746,B674,'Base bordo'!F$2:F$746,"MAN PREVENTIVA - MECANICA"),0)+IFERROR(SUMIFS('Base bordo'!G$2:G$746,'Base bordo'!C$2:C$746,A674,'Base bordo'!B$2:B$746,B674,'Base bordo'!F$2:F$746,"MAN CORRETIVA - MECANICA"),0)</f>
        <v>0</v>
      </c>
      <c r="L674" s="10">
        <f>IFERROR(SUMIFS('Base bordo'!G$2:G$746,'Base bordo'!C$2:C$746,A674,'Base bordo'!B$2:B$746,B674,'Base bordo'!F$2:F$746,"MANUTENCAO - T O"),0)+IFERROR(SUMIFS('Base bordo'!G$2:G$746,'Base bordo'!C$2:C$746,A674,'Base bordo'!B$2:B$746,B674,'Base bordo'!F$2:F$746,"MANUTENCAO BORRACHARIA"),0)+IFERROR(SUMIFS('Base bordo'!G$2:G$746,'Base bordo'!C$2:C$746,A674,'Base bordo'!B$2:B$746,B674,'Base bordo'!F$2:F$746,"MANUTENCAO EXTERNA  CONCESSIONARIA"),0)+IFERROR(SUMIFS('Base bordo'!G$2:G$746,'Base bordo'!C$2:C$746,A674,'Base bordo'!B$2:B$746,B674,'Base bordo'!F$2:F$746,"MANUTENCAO TELEMETRIA"),0)</f>
        <v>22.465277777777779</v>
      </c>
      <c r="M674" s="10">
        <f>IFERROR(SUMIFS('Base bordo'!G$2:G$746,'Base bordo'!C$2:C$746,A674,'Base bordo'!B$2:B$746,B674,'Base bordo'!F$2:F$746,"AGUARDANDO MANUTENCAO"),0)</f>
        <v>0</v>
      </c>
      <c r="N674" s="10">
        <f>IFERROR(SUMIFS('Base bordo'!G$2:G$746,'Base bordo'!C$2:C$746,A674,'Base bordo'!B$2:B$746,B674,'Base bordo'!F$2:F$746,"SEM APONTAMENTO"),0)</f>
        <v>0</v>
      </c>
      <c r="O674" s="10">
        <f t="shared" si="72"/>
        <v>0.44972222222222058</v>
      </c>
      <c r="P674" s="10">
        <f>IFERROR(SUMIFS('Base bordo'!G$2:G$746,'Base bordo'!C$2:C$746,A674,'Base bordo'!B$2:B$746,B674),0)</f>
        <v>24</v>
      </c>
      <c r="Q674" s="10">
        <f>IFERROR(SUMIFS('Base bordo'!H$2:H$746,'Base bordo'!C$2:C$746,A674,'Base bordo'!B$2:B$746,B674,'Base bordo'!F$2:F$746,"DESLOCAMENTO VAZIO"),0)</f>
        <v>94654.959999999992</v>
      </c>
      <c r="R674" s="10">
        <f>IFERROR(SUMIFS('Base bordo'!I$2:I$746,'Base bordo'!C$2:C$746,A674,'Base bordo'!B$2:B$746,B674,'Base bordo'!F$2:F$746,"DESLOCAMENTO VAZIO"),0)</f>
        <v>3205</v>
      </c>
      <c r="S674" s="30">
        <f t="shared" si="73"/>
        <v>29.533528861154444</v>
      </c>
      <c r="T674" s="10">
        <f>IFERROR(SUMIFS('Base bordo'!H$2:H$746,'Base bordo'!C$2:C$746,A674,'Base bordo'!B$2:B$746,B674,'Base bordo'!F$2:F$746,"DESLOCAMENTO CARREGADO"),0)</f>
        <v>0</v>
      </c>
      <c r="U674" s="10">
        <f>IFERROR(SUMIFS('Base bordo'!I$2:I$746,'Base bordo'!C$2:C$746,A674,'Base bordo'!B$2:B$746,B674,'Base bordo'!F$2:F$746,"DESLOCAMENTO CARREGADO"),0)</f>
        <v>0</v>
      </c>
      <c r="V674" s="30" t="str">
        <f t="shared" si="74"/>
        <v/>
      </c>
      <c r="W674" s="9">
        <f t="shared" si="75"/>
        <v>3.7094907407407403E-2</v>
      </c>
      <c r="X674" s="9">
        <f t="shared" si="76"/>
        <v>0</v>
      </c>
      <c r="Y674" s="9">
        <f t="shared" si="77"/>
        <v>0.9629050925925926</v>
      </c>
    </row>
    <row r="675" spans="1:25" ht="15" customHeight="1" x14ac:dyDescent="0.35">
      <c r="A675" s="52">
        <v>8013460</v>
      </c>
      <c r="B675" s="51">
        <v>46118</v>
      </c>
      <c r="C675" s="7" t="s">
        <v>124</v>
      </c>
      <c r="D675" s="10">
        <f>IFERROR(SUMIFS('Base bordo'!G$2:G$746,'Base bordo'!C$2:C$746,A675,'Base bordo'!B$2:B$746,B675,'Base bordo'!F$2:F$746,"DESLOCAMENTO VAZIO"),0)</f>
        <v>1.5016666666666667</v>
      </c>
      <c r="E675" s="10">
        <f>IFERROR(SUMIFS('Base bordo'!G$2:G$746,'Base bordo'!C$2:C$746,A675,'Base bordo'!B$2:B$746,B675,'Base bordo'!F$2:F$746,"DESLOCAMENTO CARREGADO"),0)</f>
        <v>1.5738888888888889</v>
      </c>
      <c r="F675" s="10">
        <f>IFERROR(SUMIFS('Base bordo'!G$2:G$746,'Base bordo'!C$2:C$746,A675,'Base bordo'!B$2:B$746,B675,'Base bordo'!F$2:F$746,"DESLOCAMENTO"),0)</f>
        <v>0.6744444444444444</v>
      </c>
      <c r="G675" s="10">
        <f>IFERROR(SUMIFS('Base bordo'!G$2:G$746,'Base bordo'!C$2:C$746,A675,'Base bordo'!B$2:B$746,B675,'Base bordo'!F$2:F$746,"CARREGAMENTO"),0)</f>
        <v>1.0088888888888889</v>
      </c>
      <c r="H675" s="10">
        <f>IFERROR(SUMIFS('Base bordo'!G$2:G$746,'Base bordo'!C$2:C$746,A675,'Base bordo'!B$2:B$746,B675,'Base bordo'!F$2:F$746,"AGUARDANDO TRANSBORDO"),0)</f>
        <v>8.4444444444444447E-2</v>
      </c>
      <c r="I675" s="10">
        <f>IFERROR(SUMIFS('Base bordo'!G$2:G$746,'Base bordo'!C$2:C$746,A675,'Base bordo'!B$2:B$746,B675,'Base bordo'!F$2:F$746,"PÁTIO INTERNO"),0)+IFERROR(SUMIFS('Base bordo'!G$2:G$746,'Base bordo'!C$2:C$746,A675,'Base bordo'!B$2:B$746,B675,'Base bordo'!F$2:F$746,"PÁTIO EXTERNO"),0)+IFERROR(SUMIFS('Base bordo'!G$2:G$746,'Base bordo'!C$2:C$746,A675,'Base bordo'!B$2:B$746,B675,'Base bordo'!F$2:F$746,"PATIO - RESERVA"),0)+IFERROR(SUMIFS('Base bordo'!G$2:G$746,'Base bordo'!C$2:C$746,A675,'Base bordo'!B$2:B$746,B675,'Base bordo'!F$2:F$746,"MANOBRA CARRETAS-PATIO"),0)</f>
        <v>16.206388888888888</v>
      </c>
      <c r="J675" s="10">
        <f>IFERROR(SUMIFS('Base bordo'!G$2:G$746,'Base bordo'!C$2:C$746,A675,'Base bordo'!B$2:B$746,B675,'Base bordo'!F$2:F$746,"BALANÇA - ENTRADA"),0)+IFERROR(SUMIFS('Base bordo'!G$2:G$746,'Base bordo'!C$2:C$746,A675,'Base bordo'!B$2:B$746,B675,'Base bordo'!F$2:F$746,"BALANÇA - SAÍDA"),0)</f>
        <v>0.24055555555555555</v>
      </c>
      <c r="K675" s="10">
        <f>IFERROR(SUMIFS('Base bordo'!G$2:G$746,'Base bordo'!C$2:C$746,A675,'Base bordo'!B$2:B$746,B675,'Base bordo'!F$2:F$746,"MAN PREVENTIVA - MECANICA"),0)+IFERROR(SUMIFS('Base bordo'!G$2:G$746,'Base bordo'!C$2:C$746,A675,'Base bordo'!B$2:B$746,B675,'Base bordo'!F$2:F$746,"MAN CORRETIVA - MECANICA"),0)</f>
        <v>0</v>
      </c>
      <c r="L675" s="10">
        <f>IFERROR(SUMIFS('Base bordo'!G$2:G$746,'Base bordo'!C$2:C$746,A675,'Base bordo'!B$2:B$746,B675,'Base bordo'!F$2:F$746,"MANUTENCAO - T O"),0)+IFERROR(SUMIFS('Base bordo'!G$2:G$746,'Base bordo'!C$2:C$746,A675,'Base bordo'!B$2:B$746,B675,'Base bordo'!F$2:F$746,"MANUTENCAO BORRACHARIA"),0)+IFERROR(SUMIFS('Base bordo'!G$2:G$746,'Base bordo'!C$2:C$746,A675,'Base bordo'!B$2:B$746,B675,'Base bordo'!F$2:F$746,"MANUTENCAO EXTERNA  CONCESSIONARIA"),0)+IFERROR(SUMIFS('Base bordo'!G$2:G$746,'Base bordo'!C$2:C$746,A675,'Base bordo'!B$2:B$746,B675,'Base bordo'!F$2:F$746,"MANUTENCAO TELEMETRIA"),0)</f>
        <v>0.9719444444444445</v>
      </c>
      <c r="M675" s="10">
        <f>IFERROR(SUMIFS('Base bordo'!G$2:G$746,'Base bordo'!C$2:C$746,A675,'Base bordo'!B$2:B$746,B675,'Base bordo'!F$2:F$746,"AGUARDANDO MANUTENCAO"),0)</f>
        <v>0</v>
      </c>
      <c r="N675" s="10">
        <f>IFERROR(SUMIFS('Base bordo'!G$2:G$746,'Base bordo'!C$2:C$746,A675,'Base bordo'!B$2:B$746,B675,'Base bordo'!F$2:F$746,"SEM APONTAMENTO"),0)</f>
        <v>0.83916666666666662</v>
      </c>
      <c r="O675" s="10">
        <f t="shared" si="72"/>
        <v>0.89861111111111569</v>
      </c>
      <c r="P675" s="10">
        <f>IFERROR(SUMIFS('Base bordo'!G$2:G$746,'Base bordo'!C$2:C$746,A675,'Base bordo'!B$2:B$746,B675),0)</f>
        <v>24.000000000000004</v>
      </c>
      <c r="Q675" s="10">
        <f>IFERROR(SUMIFS('Base bordo'!H$2:H$746,'Base bordo'!C$2:C$746,A675,'Base bordo'!B$2:B$746,B675,'Base bordo'!F$2:F$746,"DESLOCAMENTO VAZIO"),0)</f>
        <v>102676.29</v>
      </c>
      <c r="R675" s="10">
        <f>IFERROR(SUMIFS('Base bordo'!I$2:I$746,'Base bordo'!C$2:C$746,A675,'Base bordo'!B$2:B$746,B675,'Base bordo'!F$2:F$746,"DESLOCAMENTO VAZIO"),0)</f>
        <v>5406</v>
      </c>
      <c r="S675" s="30">
        <f t="shared" si="73"/>
        <v>18.993024417314093</v>
      </c>
      <c r="T675" s="10">
        <f>IFERROR(SUMIFS('Base bordo'!H$2:H$746,'Base bordo'!C$2:C$746,A675,'Base bordo'!B$2:B$746,B675,'Base bordo'!F$2:F$746,"DESLOCAMENTO CARREGADO"),0)</f>
        <v>136256.08000000002</v>
      </c>
      <c r="U675" s="10">
        <f>IFERROR(SUMIFS('Base bordo'!I$2:I$746,'Base bordo'!C$2:C$746,A675,'Base bordo'!B$2:B$746,B675,'Base bordo'!F$2:F$746,"DESLOCAMENTO CARREGADO"),0)</f>
        <v>5660</v>
      </c>
      <c r="V675" s="30">
        <f t="shared" si="74"/>
        <v>24.073512367491169</v>
      </c>
      <c r="W675" s="9">
        <f t="shared" si="75"/>
        <v>6.2569444444444441E-2</v>
      </c>
      <c r="X675" s="9">
        <f t="shared" si="76"/>
        <v>6.5578703703703695E-2</v>
      </c>
      <c r="Y675" s="9">
        <f t="shared" si="77"/>
        <v>0.87185185185185188</v>
      </c>
    </row>
    <row r="676" spans="1:25" ht="15" customHeight="1" x14ac:dyDescent="0.35">
      <c r="A676" s="52">
        <v>8013460</v>
      </c>
      <c r="B676" s="51">
        <v>46118</v>
      </c>
      <c r="C676" s="7" t="s">
        <v>124</v>
      </c>
      <c r="D676" s="10">
        <f>IFERROR(SUMIFS('Base bordo'!G$2:G$746,'Base bordo'!C$2:C$746,A676,'Base bordo'!B$2:B$746,B676,'Base bordo'!F$2:F$746,"DESLOCAMENTO VAZIO"),0)</f>
        <v>1.5016666666666667</v>
      </c>
      <c r="E676" s="10">
        <f>IFERROR(SUMIFS('Base bordo'!G$2:G$746,'Base bordo'!C$2:C$746,A676,'Base bordo'!B$2:B$746,B676,'Base bordo'!F$2:F$746,"DESLOCAMENTO CARREGADO"),0)</f>
        <v>1.5738888888888889</v>
      </c>
      <c r="F676" s="10">
        <f>IFERROR(SUMIFS('Base bordo'!G$2:G$746,'Base bordo'!C$2:C$746,A676,'Base bordo'!B$2:B$746,B676,'Base bordo'!F$2:F$746,"DESLOCAMENTO"),0)</f>
        <v>0.6744444444444444</v>
      </c>
      <c r="G676" s="10">
        <f>IFERROR(SUMIFS('Base bordo'!G$2:G$746,'Base bordo'!C$2:C$746,A676,'Base bordo'!B$2:B$746,B676,'Base bordo'!F$2:F$746,"CARREGAMENTO"),0)</f>
        <v>1.0088888888888889</v>
      </c>
      <c r="H676" s="10">
        <f>IFERROR(SUMIFS('Base bordo'!G$2:G$746,'Base bordo'!C$2:C$746,A676,'Base bordo'!B$2:B$746,B676,'Base bordo'!F$2:F$746,"AGUARDANDO TRANSBORDO"),0)</f>
        <v>8.4444444444444447E-2</v>
      </c>
      <c r="I676" s="10">
        <f>IFERROR(SUMIFS('Base bordo'!G$2:G$746,'Base bordo'!C$2:C$746,A676,'Base bordo'!B$2:B$746,B676,'Base bordo'!F$2:F$746,"PÁTIO INTERNO"),0)+IFERROR(SUMIFS('Base bordo'!G$2:G$746,'Base bordo'!C$2:C$746,A676,'Base bordo'!B$2:B$746,B676,'Base bordo'!F$2:F$746,"PÁTIO EXTERNO"),0)+IFERROR(SUMIFS('Base bordo'!G$2:G$746,'Base bordo'!C$2:C$746,A676,'Base bordo'!B$2:B$746,B676,'Base bordo'!F$2:F$746,"PATIO - RESERVA"),0)+IFERROR(SUMIFS('Base bordo'!G$2:G$746,'Base bordo'!C$2:C$746,A676,'Base bordo'!B$2:B$746,B676,'Base bordo'!F$2:F$746,"MANOBRA CARRETAS-PATIO"),0)</f>
        <v>16.206388888888888</v>
      </c>
      <c r="J676" s="10">
        <f>IFERROR(SUMIFS('Base bordo'!G$2:G$746,'Base bordo'!C$2:C$746,A676,'Base bordo'!B$2:B$746,B676,'Base bordo'!F$2:F$746,"BALANÇA - ENTRADA"),0)+IFERROR(SUMIFS('Base bordo'!G$2:G$746,'Base bordo'!C$2:C$746,A676,'Base bordo'!B$2:B$746,B676,'Base bordo'!F$2:F$746,"BALANÇA - SAÍDA"),0)</f>
        <v>0.24055555555555555</v>
      </c>
      <c r="K676" s="10">
        <f>IFERROR(SUMIFS('Base bordo'!G$2:G$746,'Base bordo'!C$2:C$746,A676,'Base bordo'!B$2:B$746,B676,'Base bordo'!F$2:F$746,"MAN PREVENTIVA - MECANICA"),0)+IFERROR(SUMIFS('Base bordo'!G$2:G$746,'Base bordo'!C$2:C$746,A676,'Base bordo'!B$2:B$746,B676,'Base bordo'!F$2:F$746,"MAN CORRETIVA - MECANICA"),0)</f>
        <v>0</v>
      </c>
      <c r="L676" s="10">
        <f>IFERROR(SUMIFS('Base bordo'!G$2:G$746,'Base bordo'!C$2:C$746,A676,'Base bordo'!B$2:B$746,B676,'Base bordo'!F$2:F$746,"MANUTENCAO - T O"),0)+IFERROR(SUMIFS('Base bordo'!G$2:G$746,'Base bordo'!C$2:C$746,A676,'Base bordo'!B$2:B$746,B676,'Base bordo'!F$2:F$746,"MANUTENCAO BORRACHARIA"),0)+IFERROR(SUMIFS('Base bordo'!G$2:G$746,'Base bordo'!C$2:C$746,A676,'Base bordo'!B$2:B$746,B676,'Base bordo'!F$2:F$746,"MANUTENCAO EXTERNA  CONCESSIONARIA"),0)+IFERROR(SUMIFS('Base bordo'!G$2:G$746,'Base bordo'!C$2:C$746,A676,'Base bordo'!B$2:B$746,B676,'Base bordo'!F$2:F$746,"MANUTENCAO TELEMETRIA"),0)</f>
        <v>0.9719444444444445</v>
      </c>
      <c r="M676" s="10">
        <f>IFERROR(SUMIFS('Base bordo'!G$2:G$746,'Base bordo'!C$2:C$746,A676,'Base bordo'!B$2:B$746,B676,'Base bordo'!F$2:F$746,"AGUARDANDO MANUTENCAO"),0)</f>
        <v>0</v>
      </c>
      <c r="N676" s="10">
        <f>IFERROR(SUMIFS('Base bordo'!G$2:G$746,'Base bordo'!C$2:C$746,A676,'Base bordo'!B$2:B$746,B676,'Base bordo'!F$2:F$746,"SEM APONTAMENTO"),0)</f>
        <v>0.83916666666666662</v>
      </c>
      <c r="O676" s="10">
        <f t="shared" si="72"/>
        <v>0.89861111111111569</v>
      </c>
      <c r="P676" s="10">
        <f>IFERROR(SUMIFS('Base bordo'!G$2:G$746,'Base bordo'!C$2:C$746,A676,'Base bordo'!B$2:B$746,B676),0)</f>
        <v>24.000000000000004</v>
      </c>
      <c r="Q676" s="10">
        <f>IFERROR(SUMIFS('Base bordo'!H$2:H$746,'Base bordo'!C$2:C$746,A676,'Base bordo'!B$2:B$746,B676,'Base bordo'!F$2:F$746,"DESLOCAMENTO VAZIO"),0)</f>
        <v>102676.29</v>
      </c>
      <c r="R676" s="10">
        <f>IFERROR(SUMIFS('Base bordo'!I$2:I$746,'Base bordo'!C$2:C$746,A676,'Base bordo'!B$2:B$746,B676,'Base bordo'!F$2:F$746,"DESLOCAMENTO VAZIO"),0)</f>
        <v>5406</v>
      </c>
      <c r="S676" s="30">
        <f t="shared" si="73"/>
        <v>18.993024417314093</v>
      </c>
      <c r="T676" s="10">
        <f>IFERROR(SUMIFS('Base bordo'!H$2:H$746,'Base bordo'!C$2:C$746,A676,'Base bordo'!B$2:B$746,B676,'Base bordo'!F$2:F$746,"DESLOCAMENTO CARREGADO"),0)</f>
        <v>136256.08000000002</v>
      </c>
      <c r="U676" s="10">
        <f>IFERROR(SUMIFS('Base bordo'!I$2:I$746,'Base bordo'!C$2:C$746,A676,'Base bordo'!B$2:B$746,B676,'Base bordo'!F$2:F$746,"DESLOCAMENTO CARREGADO"),0)</f>
        <v>5660</v>
      </c>
      <c r="V676" s="30">
        <f t="shared" si="74"/>
        <v>24.073512367491169</v>
      </c>
      <c r="W676" s="9">
        <f t="shared" si="75"/>
        <v>6.2569444444444441E-2</v>
      </c>
      <c r="X676" s="9">
        <f t="shared" si="76"/>
        <v>6.5578703703703695E-2</v>
      </c>
      <c r="Y676" s="9">
        <f t="shared" si="77"/>
        <v>0.87185185185185188</v>
      </c>
    </row>
    <row r="677" spans="1:25" ht="15" customHeight="1" x14ac:dyDescent="0.35">
      <c r="A677" s="52">
        <v>8013460</v>
      </c>
      <c r="B677" s="51">
        <v>46118</v>
      </c>
      <c r="C677" s="7" t="s">
        <v>124</v>
      </c>
      <c r="D677" s="10">
        <f>IFERROR(SUMIFS('Base bordo'!G$2:G$746,'Base bordo'!C$2:C$746,A677,'Base bordo'!B$2:B$746,B677,'Base bordo'!F$2:F$746,"DESLOCAMENTO VAZIO"),0)</f>
        <v>1.5016666666666667</v>
      </c>
      <c r="E677" s="10">
        <f>IFERROR(SUMIFS('Base bordo'!G$2:G$746,'Base bordo'!C$2:C$746,A677,'Base bordo'!B$2:B$746,B677,'Base bordo'!F$2:F$746,"DESLOCAMENTO CARREGADO"),0)</f>
        <v>1.5738888888888889</v>
      </c>
      <c r="F677" s="10">
        <f>IFERROR(SUMIFS('Base bordo'!G$2:G$746,'Base bordo'!C$2:C$746,A677,'Base bordo'!B$2:B$746,B677,'Base bordo'!F$2:F$746,"DESLOCAMENTO"),0)</f>
        <v>0.6744444444444444</v>
      </c>
      <c r="G677" s="10">
        <f>IFERROR(SUMIFS('Base bordo'!G$2:G$746,'Base bordo'!C$2:C$746,A677,'Base bordo'!B$2:B$746,B677,'Base bordo'!F$2:F$746,"CARREGAMENTO"),0)</f>
        <v>1.0088888888888889</v>
      </c>
      <c r="H677" s="10">
        <f>IFERROR(SUMIFS('Base bordo'!G$2:G$746,'Base bordo'!C$2:C$746,A677,'Base bordo'!B$2:B$746,B677,'Base bordo'!F$2:F$746,"AGUARDANDO TRANSBORDO"),0)</f>
        <v>8.4444444444444447E-2</v>
      </c>
      <c r="I677" s="10">
        <f>IFERROR(SUMIFS('Base bordo'!G$2:G$746,'Base bordo'!C$2:C$746,A677,'Base bordo'!B$2:B$746,B677,'Base bordo'!F$2:F$746,"PÁTIO INTERNO"),0)+IFERROR(SUMIFS('Base bordo'!G$2:G$746,'Base bordo'!C$2:C$746,A677,'Base bordo'!B$2:B$746,B677,'Base bordo'!F$2:F$746,"PÁTIO EXTERNO"),0)+IFERROR(SUMIFS('Base bordo'!G$2:G$746,'Base bordo'!C$2:C$746,A677,'Base bordo'!B$2:B$746,B677,'Base bordo'!F$2:F$746,"PATIO - RESERVA"),0)+IFERROR(SUMIFS('Base bordo'!G$2:G$746,'Base bordo'!C$2:C$746,A677,'Base bordo'!B$2:B$746,B677,'Base bordo'!F$2:F$746,"MANOBRA CARRETAS-PATIO"),0)</f>
        <v>16.206388888888888</v>
      </c>
      <c r="J677" s="10">
        <f>IFERROR(SUMIFS('Base bordo'!G$2:G$746,'Base bordo'!C$2:C$746,A677,'Base bordo'!B$2:B$746,B677,'Base bordo'!F$2:F$746,"BALANÇA - ENTRADA"),0)+IFERROR(SUMIFS('Base bordo'!G$2:G$746,'Base bordo'!C$2:C$746,A677,'Base bordo'!B$2:B$746,B677,'Base bordo'!F$2:F$746,"BALANÇA - SAÍDA"),0)</f>
        <v>0.24055555555555555</v>
      </c>
      <c r="K677" s="10">
        <f>IFERROR(SUMIFS('Base bordo'!G$2:G$746,'Base bordo'!C$2:C$746,A677,'Base bordo'!B$2:B$746,B677,'Base bordo'!F$2:F$746,"MAN PREVENTIVA - MECANICA"),0)+IFERROR(SUMIFS('Base bordo'!G$2:G$746,'Base bordo'!C$2:C$746,A677,'Base bordo'!B$2:B$746,B677,'Base bordo'!F$2:F$746,"MAN CORRETIVA - MECANICA"),0)</f>
        <v>0</v>
      </c>
      <c r="L677" s="10">
        <f>IFERROR(SUMIFS('Base bordo'!G$2:G$746,'Base bordo'!C$2:C$746,A677,'Base bordo'!B$2:B$746,B677,'Base bordo'!F$2:F$746,"MANUTENCAO - T O"),0)+IFERROR(SUMIFS('Base bordo'!G$2:G$746,'Base bordo'!C$2:C$746,A677,'Base bordo'!B$2:B$746,B677,'Base bordo'!F$2:F$746,"MANUTENCAO BORRACHARIA"),0)+IFERROR(SUMIFS('Base bordo'!G$2:G$746,'Base bordo'!C$2:C$746,A677,'Base bordo'!B$2:B$746,B677,'Base bordo'!F$2:F$746,"MANUTENCAO EXTERNA  CONCESSIONARIA"),0)+IFERROR(SUMIFS('Base bordo'!G$2:G$746,'Base bordo'!C$2:C$746,A677,'Base bordo'!B$2:B$746,B677,'Base bordo'!F$2:F$746,"MANUTENCAO TELEMETRIA"),0)</f>
        <v>0.9719444444444445</v>
      </c>
      <c r="M677" s="10">
        <f>IFERROR(SUMIFS('Base bordo'!G$2:G$746,'Base bordo'!C$2:C$746,A677,'Base bordo'!B$2:B$746,B677,'Base bordo'!F$2:F$746,"AGUARDANDO MANUTENCAO"),0)</f>
        <v>0</v>
      </c>
      <c r="N677" s="10">
        <f>IFERROR(SUMIFS('Base bordo'!G$2:G$746,'Base bordo'!C$2:C$746,A677,'Base bordo'!B$2:B$746,B677,'Base bordo'!F$2:F$746,"SEM APONTAMENTO"),0)</f>
        <v>0.83916666666666662</v>
      </c>
      <c r="O677" s="10">
        <f t="shared" si="72"/>
        <v>0.89861111111111569</v>
      </c>
      <c r="P677" s="10">
        <f>IFERROR(SUMIFS('Base bordo'!G$2:G$746,'Base bordo'!C$2:C$746,A677,'Base bordo'!B$2:B$746,B677),0)</f>
        <v>24.000000000000004</v>
      </c>
      <c r="Q677" s="10">
        <f>IFERROR(SUMIFS('Base bordo'!H$2:H$746,'Base bordo'!C$2:C$746,A677,'Base bordo'!B$2:B$746,B677,'Base bordo'!F$2:F$746,"DESLOCAMENTO VAZIO"),0)</f>
        <v>102676.29</v>
      </c>
      <c r="R677" s="10">
        <f>IFERROR(SUMIFS('Base bordo'!I$2:I$746,'Base bordo'!C$2:C$746,A677,'Base bordo'!B$2:B$746,B677,'Base bordo'!F$2:F$746,"DESLOCAMENTO VAZIO"),0)</f>
        <v>5406</v>
      </c>
      <c r="S677" s="30">
        <f t="shared" si="73"/>
        <v>18.993024417314093</v>
      </c>
      <c r="T677" s="10">
        <f>IFERROR(SUMIFS('Base bordo'!H$2:H$746,'Base bordo'!C$2:C$746,A677,'Base bordo'!B$2:B$746,B677,'Base bordo'!F$2:F$746,"DESLOCAMENTO CARREGADO"),0)</f>
        <v>136256.08000000002</v>
      </c>
      <c r="U677" s="10">
        <f>IFERROR(SUMIFS('Base bordo'!I$2:I$746,'Base bordo'!C$2:C$746,A677,'Base bordo'!B$2:B$746,B677,'Base bordo'!F$2:F$746,"DESLOCAMENTO CARREGADO"),0)</f>
        <v>5660</v>
      </c>
      <c r="V677" s="30">
        <f t="shared" si="74"/>
        <v>24.073512367491169</v>
      </c>
      <c r="W677" s="9">
        <f t="shared" si="75"/>
        <v>6.2569444444444441E-2</v>
      </c>
      <c r="X677" s="9">
        <f t="shared" si="76"/>
        <v>6.5578703703703695E-2</v>
      </c>
      <c r="Y677" s="9">
        <f t="shared" si="77"/>
        <v>0.87185185185185188</v>
      </c>
    </row>
    <row r="678" spans="1:25" ht="15" customHeight="1" x14ac:dyDescent="0.35">
      <c r="A678" s="52">
        <v>8013460</v>
      </c>
      <c r="B678" s="51">
        <v>46118</v>
      </c>
      <c r="C678" s="7" t="s">
        <v>124</v>
      </c>
      <c r="D678" s="10">
        <f>IFERROR(SUMIFS('Base bordo'!G$2:G$746,'Base bordo'!C$2:C$746,A678,'Base bordo'!B$2:B$746,B678,'Base bordo'!F$2:F$746,"DESLOCAMENTO VAZIO"),0)</f>
        <v>1.5016666666666667</v>
      </c>
      <c r="E678" s="10">
        <f>IFERROR(SUMIFS('Base bordo'!G$2:G$746,'Base bordo'!C$2:C$746,A678,'Base bordo'!B$2:B$746,B678,'Base bordo'!F$2:F$746,"DESLOCAMENTO CARREGADO"),0)</f>
        <v>1.5738888888888889</v>
      </c>
      <c r="F678" s="10">
        <f>IFERROR(SUMIFS('Base bordo'!G$2:G$746,'Base bordo'!C$2:C$746,A678,'Base bordo'!B$2:B$746,B678,'Base bordo'!F$2:F$746,"DESLOCAMENTO"),0)</f>
        <v>0.6744444444444444</v>
      </c>
      <c r="G678" s="10">
        <f>IFERROR(SUMIFS('Base bordo'!G$2:G$746,'Base bordo'!C$2:C$746,A678,'Base bordo'!B$2:B$746,B678,'Base bordo'!F$2:F$746,"CARREGAMENTO"),0)</f>
        <v>1.0088888888888889</v>
      </c>
      <c r="H678" s="10">
        <f>IFERROR(SUMIFS('Base bordo'!G$2:G$746,'Base bordo'!C$2:C$746,A678,'Base bordo'!B$2:B$746,B678,'Base bordo'!F$2:F$746,"AGUARDANDO TRANSBORDO"),0)</f>
        <v>8.4444444444444447E-2</v>
      </c>
      <c r="I678" s="10">
        <f>IFERROR(SUMIFS('Base bordo'!G$2:G$746,'Base bordo'!C$2:C$746,A678,'Base bordo'!B$2:B$746,B678,'Base bordo'!F$2:F$746,"PÁTIO INTERNO"),0)+IFERROR(SUMIFS('Base bordo'!G$2:G$746,'Base bordo'!C$2:C$746,A678,'Base bordo'!B$2:B$746,B678,'Base bordo'!F$2:F$746,"PÁTIO EXTERNO"),0)+IFERROR(SUMIFS('Base bordo'!G$2:G$746,'Base bordo'!C$2:C$746,A678,'Base bordo'!B$2:B$746,B678,'Base bordo'!F$2:F$746,"PATIO - RESERVA"),0)+IFERROR(SUMIFS('Base bordo'!G$2:G$746,'Base bordo'!C$2:C$746,A678,'Base bordo'!B$2:B$746,B678,'Base bordo'!F$2:F$746,"MANOBRA CARRETAS-PATIO"),0)</f>
        <v>16.206388888888888</v>
      </c>
      <c r="J678" s="10">
        <f>IFERROR(SUMIFS('Base bordo'!G$2:G$746,'Base bordo'!C$2:C$746,A678,'Base bordo'!B$2:B$746,B678,'Base bordo'!F$2:F$746,"BALANÇA - ENTRADA"),0)+IFERROR(SUMIFS('Base bordo'!G$2:G$746,'Base bordo'!C$2:C$746,A678,'Base bordo'!B$2:B$746,B678,'Base bordo'!F$2:F$746,"BALANÇA - SAÍDA"),0)</f>
        <v>0.24055555555555555</v>
      </c>
      <c r="K678" s="10">
        <f>IFERROR(SUMIFS('Base bordo'!G$2:G$746,'Base bordo'!C$2:C$746,A678,'Base bordo'!B$2:B$746,B678,'Base bordo'!F$2:F$746,"MAN PREVENTIVA - MECANICA"),0)+IFERROR(SUMIFS('Base bordo'!G$2:G$746,'Base bordo'!C$2:C$746,A678,'Base bordo'!B$2:B$746,B678,'Base bordo'!F$2:F$746,"MAN CORRETIVA - MECANICA"),0)</f>
        <v>0</v>
      </c>
      <c r="L678" s="10">
        <f>IFERROR(SUMIFS('Base bordo'!G$2:G$746,'Base bordo'!C$2:C$746,A678,'Base bordo'!B$2:B$746,B678,'Base bordo'!F$2:F$746,"MANUTENCAO - T O"),0)+IFERROR(SUMIFS('Base bordo'!G$2:G$746,'Base bordo'!C$2:C$746,A678,'Base bordo'!B$2:B$746,B678,'Base bordo'!F$2:F$746,"MANUTENCAO BORRACHARIA"),0)+IFERROR(SUMIFS('Base bordo'!G$2:G$746,'Base bordo'!C$2:C$746,A678,'Base bordo'!B$2:B$746,B678,'Base bordo'!F$2:F$746,"MANUTENCAO EXTERNA  CONCESSIONARIA"),0)+IFERROR(SUMIFS('Base bordo'!G$2:G$746,'Base bordo'!C$2:C$746,A678,'Base bordo'!B$2:B$746,B678,'Base bordo'!F$2:F$746,"MANUTENCAO TELEMETRIA"),0)</f>
        <v>0.9719444444444445</v>
      </c>
      <c r="M678" s="10">
        <f>IFERROR(SUMIFS('Base bordo'!G$2:G$746,'Base bordo'!C$2:C$746,A678,'Base bordo'!B$2:B$746,B678,'Base bordo'!F$2:F$746,"AGUARDANDO MANUTENCAO"),0)</f>
        <v>0</v>
      </c>
      <c r="N678" s="10">
        <f>IFERROR(SUMIFS('Base bordo'!G$2:G$746,'Base bordo'!C$2:C$746,A678,'Base bordo'!B$2:B$746,B678,'Base bordo'!F$2:F$746,"SEM APONTAMENTO"),0)</f>
        <v>0.83916666666666662</v>
      </c>
      <c r="O678" s="10">
        <f t="shared" si="72"/>
        <v>0.89861111111111569</v>
      </c>
      <c r="P678" s="10">
        <f>IFERROR(SUMIFS('Base bordo'!G$2:G$746,'Base bordo'!C$2:C$746,A678,'Base bordo'!B$2:B$746,B678),0)</f>
        <v>24.000000000000004</v>
      </c>
      <c r="Q678" s="10">
        <f>IFERROR(SUMIFS('Base bordo'!H$2:H$746,'Base bordo'!C$2:C$746,A678,'Base bordo'!B$2:B$746,B678,'Base bordo'!F$2:F$746,"DESLOCAMENTO VAZIO"),0)</f>
        <v>102676.29</v>
      </c>
      <c r="R678" s="10">
        <f>IFERROR(SUMIFS('Base bordo'!I$2:I$746,'Base bordo'!C$2:C$746,A678,'Base bordo'!B$2:B$746,B678,'Base bordo'!F$2:F$746,"DESLOCAMENTO VAZIO"),0)</f>
        <v>5406</v>
      </c>
      <c r="S678" s="30">
        <f t="shared" si="73"/>
        <v>18.993024417314093</v>
      </c>
      <c r="T678" s="10">
        <f>IFERROR(SUMIFS('Base bordo'!H$2:H$746,'Base bordo'!C$2:C$746,A678,'Base bordo'!B$2:B$746,B678,'Base bordo'!F$2:F$746,"DESLOCAMENTO CARREGADO"),0)</f>
        <v>136256.08000000002</v>
      </c>
      <c r="U678" s="10">
        <f>IFERROR(SUMIFS('Base bordo'!I$2:I$746,'Base bordo'!C$2:C$746,A678,'Base bordo'!B$2:B$746,B678,'Base bordo'!F$2:F$746,"DESLOCAMENTO CARREGADO"),0)</f>
        <v>5660</v>
      </c>
      <c r="V678" s="30">
        <f t="shared" si="74"/>
        <v>24.073512367491169</v>
      </c>
      <c r="W678" s="9">
        <f t="shared" si="75"/>
        <v>6.2569444444444441E-2</v>
      </c>
      <c r="X678" s="9">
        <f t="shared" si="76"/>
        <v>6.5578703703703695E-2</v>
      </c>
      <c r="Y678" s="9">
        <f t="shared" si="77"/>
        <v>0.87185185185185188</v>
      </c>
    </row>
    <row r="679" spans="1:25" ht="15" customHeight="1" x14ac:dyDescent="0.35">
      <c r="A679" s="52">
        <v>8013460</v>
      </c>
      <c r="B679" s="51">
        <v>46118</v>
      </c>
      <c r="C679" s="7" t="s">
        <v>124</v>
      </c>
      <c r="D679" s="10">
        <f>IFERROR(SUMIFS('Base bordo'!G$2:G$746,'Base bordo'!C$2:C$746,A679,'Base bordo'!B$2:B$746,B679,'Base bordo'!F$2:F$746,"DESLOCAMENTO VAZIO"),0)</f>
        <v>1.5016666666666667</v>
      </c>
      <c r="E679" s="10">
        <f>IFERROR(SUMIFS('Base bordo'!G$2:G$746,'Base bordo'!C$2:C$746,A679,'Base bordo'!B$2:B$746,B679,'Base bordo'!F$2:F$746,"DESLOCAMENTO CARREGADO"),0)</f>
        <v>1.5738888888888889</v>
      </c>
      <c r="F679" s="10">
        <f>IFERROR(SUMIFS('Base bordo'!G$2:G$746,'Base bordo'!C$2:C$746,A679,'Base bordo'!B$2:B$746,B679,'Base bordo'!F$2:F$746,"DESLOCAMENTO"),0)</f>
        <v>0.6744444444444444</v>
      </c>
      <c r="G679" s="10">
        <f>IFERROR(SUMIFS('Base bordo'!G$2:G$746,'Base bordo'!C$2:C$746,A679,'Base bordo'!B$2:B$746,B679,'Base bordo'!F$2:F$746,"CARREGAMENTO"),0)</f>
        <v>1.0088888888888889</v>
      </c>
      <c r="H679" s="10">
        <f>IFERROR(SUMIFS('Base bordo'!G$2:G$746,'Base bordo'!C$2:C$746,A679,'Base bordo'!B$2:B$746,B679,'Base bordo'!F$2:F$746,"AGUARDANDO TRANSBORDO"),0)</f>
        <v>8.4444444444444447E-2</v>
      </c>
      <c r="I679" s="10">
        <f>IFERROR(SUMIFS('Base bordo'!G$2:G$746,'Base bordo'!C$2:C$746,A679,'Base bordo'!B$2:B$746,B679,'Base bordo'!F$2:F$746,"PÁTIO INTERNO"),0)+IFERROR(SUMIFS('Base bordo'!G$2:G$746,'Base bordo'!C$2:C$746,A679,'Base bordo'!B$2:B$746,B679,'Base bordo'!F$2:F$746,"PÁTIO EXTERNO"),0)+IFERROR(SUMIFS('Base bordo'!G$2:G$746,'Base bordo'!C$2:C$746,A679,'Base bordo'!B$2:B$746,B679,'Base bordo'!F$2:F$746,"PATIO - RESERVA"),0)+IFERROR(SUMIFS('Base bordo'!G$2:G$746,'Base bordo'!C$2:C$746,A679,'Base bordo'!B$2:B$746,B679,'Base bordo'!F$2:F$746,"MANOBRA CARRETAS-PATIO"),0)</f>
        <v>16.206388888888888</v>
      </c>
      <c r="J679" s="10">
        <f>IFERROR(SUMIFS('Base bordo'!G$2:G$746,'Base bordo'!C$2:C$746,A679,'Base bordo'!B$2:B$746,B679,'Base bordo'!F$2:F$746,"BALANÇA - ENTRADA"),0)+IFERROR(SUMIFS('Base bordo'!G$2:G$746,'Base bordo'!C$2:C$746,A679,'Base bordo'!B$2:B$746,B679,'Base bordo'!F$2:F$746,"BALANÇA - SAÍDA"),0)</f>
        <v>0.24055555555555555</v>
      </c>
      <c r="K679" s="10">
        <f>IFERROR(SUMIFS('Base bordo'!G$2:G$746,'Base bordo'!C$2:C$746,A679,'Base bordo'!B$2:B$746,B679,'Base bordo'!F$2:F$746,"MAN PREVENTIVA - MECANICA"),0)+IFERROR(SUMIFS('Base bordo'!G$2:G$746,'Base bordo'!C$2:C$746,A679,'Base bordo'!B$2:B$746,B679,'Base bordo'!F$2:F$746,"MAN CORRETIVA - MECANICA"),0)</f>
        <v>0</v>
      </c>
      <c r="L679" s="10">
        <f>IFERROR(SUMIFS('Base bordo'!G$2:G$746,'Base bordo'!C$2:C$746,A679,'Base bordo'!B$2:B$746,B679,'Base bordo'!F$2:F$746,"MANUTENCAO - T O"),0)+IFERROR(SUMIFS('Base bordo'!G$2:G$746,'Base bordo'!C$2:C$746,A679,'Base bordo'!B$2:B$746,B679,'Base bordo'!F$2:F$746,"MANUTENCAO BORRACHARIA"),0)+IFERROR(SUMIFS('Base bordo'!G$2:G$746,'Base bordo'!C$2:C$746,A679,'Base bordo'!B$2:B$746,B679,'Base bordo'!F$2:F$746,"MANUTENCAO EXTERNA  CONCESSIONARIA"),0)+IFERROR(SUMIFS('Base bordo'!G$2:G$746,'Base bordo'!C$2:C$746,A679,'Base bordo'!B$2:B$746,B679,'Base bordo'!F$2:F$746,"MANUTENCAO TELEMETRIA"),0)</f>
        <v>0.9719444444444445</v>
      </c>
      <c r="M679" s="10">
        <f>IFERROR(SUMIFS('Base bordo'!G$2:G$746,'Base bordo'!C$2:C$746,A679,'Base bordo'!B$2:B$746,B679,'Base bordo'!F$2:F$746,"AGUARDANDO MANUTENCAO"),0)</f>
        <v>0</v>
      </c>
      <c r="N679" s="10">
        <f>IFERROR(SUMIFS('Base bordo'!G$2:G$746,'Base bordo'!C$2:C$746,A679,'Base bordo'!B$2:B$746,B679,'Base bordo'!F$2:F$746,"SEM APONTAMENTO"),0)</f>
        <v>0.83916666666666662</v>
      </c>
      <c r="O679" s="10">
        <f t="shared" si="72"/>
        <v>0.89861111111111569</v>
      </c>
      <c r="P679" s="10">
        <f>IFERROR(SUMIFS('Base bordo'!G$2:G$746,'Base bordo'!C$2:C$746,A679,'Base bordo'!B$2:B$746,B679),0)</f>
        <v>24.000000000000004</v>
      </c>
      <c r="Q679" s="10">
        <f>IFERROR(SUMIFS('Base bordo'!H$2:H$746,'Base bordo'!C$2:C$746,A679,'Base bordo'!B$2:B$746,B679,'Base bordo'!F$2:F$746,"DESLOCAMENTO VAZIO"),0)</f>
        <v>102676.29</v>
      </c>
      <c r="R679" s="10">
        <f>IFERROR(SUMIFS('Base bordo'!I$2:I$746,'Base bordo'!C$2:C$746,A679,'Base bordo'!B$2:B$746,B679,'Base bordo'!F$2:F$746,"DESLOCAMENTO VAZIO"),0)</f>
        <v>5406</v>
      </c>
      <c r="S679" s="30">
        <f t="shared" si="73"/>
        <v>18.993024417314093</v>
      </c>
      <c r="T679" s="10">
        <f>IFERROR(SUMIFS('Base bordo'!H$2:H$746,'Base bordo'!C$2:C$746,A679,'Base bordo'!B$2:B$746,B679,'Base bordo'!F$2:F$746,"DESLOCAMENTO CARREGADO"),0)</f>
        <v>136256.08000000002</v>
      </c>
      <c r="U679" s="10">
        <f>IFERROR(SUMIFS('Base bordo'!I$2:I$746,'Base bordo'!C$2:C$746,A679,'Base bordo'!B$2:B$746,B679,'Base bordo'!F$2:F$746,"DESLOCAMENTO CARREGADO"),0)</f>
        <v>5660</v>
      </c>
      <c r="V679" s="30">
        <f t="shared" si="74"/>
        <v>24.073512367491169</v>
      </c>
      <c r="W679" s="9">
        <f t="shared" si="75"/>
        <v>6.2569444444444441E-2</v>
      </c>
      <c r="X679" s="9">
        <f t="shared" si="76"/>
        <v>6.5578703703703695E-2</v>
      </c>
      <c r="Y679" s="9">
        <f t="shared" si="77"/>
        <v>0.87185185185185188</v>
      </c>
    </row>
    <row r="680" spans="1:25" ht="15" customHeight="1" x14ac:dyDescent="0.35">
      <c r="A680" s="52">
        <v>8013460</v>
      </c>
      <c r="B680" s="51">
        <v>46118</v>
      </c>
      <c r="C680" s="7" t="s">
        <v>124</v>
      </c>
      <c r="D680" s="10">
        <f>IFERROR(SUMIFS('Base bordo'!G$2:G$746,'Base bordo'!C$2:C$746,A680,'Base bordo'!B$2:B$746,B680,'Base bordo'!F$2:F$746,"DESLOCAMENTO VAZIO"),0)</f>
        <v>1.5016666666666667</v>
      </c>
      <c r="E680" s="10">
        <f>IFERROR(SUMIFS('Base bordo'!G$2:G$746,'Base bordo'!C$2:C$746,A680,'Base bordo'!B$2:B$746,B680,'Base bordo'!F$2:F$746,"DESLOCAMENTO CARREGADO"),0)</f>
        <v>1.5738888888888889</v>
      </c>
      <c r="F680" s="10">
        <f>IFERROR(SUMIFS('Base bordo'!G$2:G$746,'Base bordo'!C$2:C$746,A680,'Base bordo'!B$2:B$746,B680,'Base bordo'!F$2:F$746,"DESLOCAMENTO"),0)</f>
        <v>0.6744444444444444</v>
      </c>
      <c r="G680" s="10">
        <f>IFERROR(SUMIFS('Base bordo'!G$2:G$746,'Base bordo'!C$2:C$746,A680,'Base bordo'!B$2:B$746,B680,'Base bordo'!F$2:F$746,"CARREGAMENTO"),0)</f>
        <v>1.0088888888888889</v>
      </c>
      <c r="H680" s="10">
        <f>IFERROR(SUMIFS('Base bordo'!G$2:G$746,'Base bordo'!C$2:C$746,A680,'Base bordo'!B$2:B$746,B680,'Base bordo'!F$2:F$746,"AGUARDANDO TRANSBORDO"),0)</f>
        <v>8.4444444444444447E-2</v>
      </c>
      <c r="I680" s="10">
        <f>IFERROR(SUMIFS('Base bordo'!G$2:G$746,'Base bordo'!C$2:C$746,A680,'Base bordo'!B$2:B$746,B680,'Base bordo'!F$2:F$746,"PÁTIO INTERNO"),0)+IFERROR(SUMIFS('Base bordo'!G$2:G$746,'Base bordo'!C$2:C$746,A680,'Base bordo'!B$2:B$746,B680,'Base bordo'!F$2:F$746,"PÁTIO EXTERNO"),0)+IFERROR(SUMIFS('Base bordo'!G$2:G$746,'Base bordo'!C$2:C$746,A680,'Base bordo'!B$2:B$746,B680,'Base bordo'!F$2:F$746,"PATIO - RESERVA"),0)+IFERROR(SUMIFS('Base bordo'!G$2:G$746,'Base bordo'!C$2:C$746,A680,'Base bordo'!B$2:B$746,B680,'Base bordo'!F$2:F$746,"MANOBRA CARRETAS-PATIO"),0)</f>
        <v>16.206388888888888</v>
      </c>
      <c r="J680" s="10">
        <f>IFERROR(SUMIFS('Base bordo'!G$2:G$746,'Base bordo'!C$2:C$746,A680,'Base bordo'!B$2:B$746,B680,'Base bordo'!F$2:F$746,"BALANÇA - ENTRADA"),0)+IFERROR(SUMIFS('Base bordo'!G$2:G$746,'Base bordo'!C$2:C$746,A680,'Base bordo'!B$2:B$746,B680,'Base bordo'!F$2:F$746,"BALANÇA - SAÍDA"),0)</f>
        <v>0.24055555555555555</v>
      </c>
      <c r="K680" s="10">
        <f>IFERROR(SUMIFS('Base bordo'!G$2:G$746,'Base bordo'!C$2:C$746,A680,'Base bordo'!B$2:B$746,B680,'Base bordo'!F$2:F$746,"MAN PREVENTIVA - MECANICA"),0)+IFERROR(SUMIFS('Base bordo'!G$2:G$746,'Base bordo'!C$2:C$746,A680,'Base bordo'!B$2:B$746,B680,'Base bordo'!F$2:F$746,"MAN CORRETIVA - MECANICA"),0)</f>
        <v>0</v>
      </c>
      <c r="L680" s="10">
        <f>IFERROR(SUMIFS('Base bordo'!G$2:G$746,'Base bordo'!C$2:C$746,A680,'Base bordo'!B$2:B$746,B680,'Base bordo'!F$2:F$746,"MANUTENCAO - T O"),0)+IFERROR(SUMIFS('Base bordo'!G$2:G$746,'Base bordo'!C$2:C$746,A680,'Base bordo'!B$2:B$746,B680,'Base bordo'!F$2:F$746,"MANUTENCAO BORRACHARIA"),0)+IFERROR(SUMIFS('Base bordo'!G$2:G$746,'Base bordo'!C$2:C$746,A680,'Base bordo'!B$2:B$746,B680,'Base bordo'!F$2:F$746,"MANUTENCAO EXTERNA  CONCESSIONARIA"),0)+IFERROR(SUMIFS('Base bordo'!G$2:G$746,'Base bordo'!C$2:C$746,A680,'Base bordo'!B$2:B$746,B680,'Base bordo'!F$2:F$746,"MANUTENCAO TELEMETRIA"),0)</f>
        <v>0.9719444444444445</v>
      </c>
      <c r="M680" s="10">
        <f>IFERROR(SUMIFS('Base bordo'!G$2:G$746,'Base bordo'!C$2:C$746,A680,'Base bordo'!B$2:B$746,B680,'Base bordo'!F$2:F$746,"AGUARDANDO MANUTENCAO"),0)</f>
        <v>0</v>
      </c>
      <c r="N680" s="10">
        <f>IFERROR(SUMIFS('Base bordo'!G$2:G$746,'Base bordo'!C$2:C$746,A680,'Base bordo'!B$2:B$746,B680,'Base bordo'!F$2:F$746,"SEM APONTAMENTO"),0)</f>
        <v>0.83916666666666662</v>
      </c>
      <c r="O680" s="10">
        <f t="shared" si="72"/>
        <v>0.89861111111111569</v>
      </c>
      <c r="P680" s="10">
        <f>IFERROR(SUMIFS('Base bordo'!G$2:G$746,'Base bordo'!C$2:C$746,A680,'Base bordo'!B$2:B$746,B680),0)</f>
        <v>24.000000000000004</v>
      </c>
      <c r="Q680" s="10">
        <f>IFERROR(SUMIFS('Base bordo'!H$2:H$746,'Base bordo'!C$2:C$746,A680,'Base bordo'!B$2:B$746,B680,'Base bordo'!F$2:F$746,"DESLOCAMENTO VAZIO"),0)</f>
        <v>102676.29</v>
      </c>
      <c r="R680" s="10">
        <f>IFERROR(SUMIFS('Base bordo'!I$2:I$746,'Base bordo'!C$2:C$746,A680,'Base bordo'!B$2:B$746,B680,'Base bordo'!F$2:F$746,"DESLOCAMENTO VAZIO"),0)</f>
        <v>5406</v>
      </c>
      <c r="S680" s="30">
        <f t="shared" si="73"/>
        <v>18.993024417314093</v>
      </c>
      <c r="T680" s="10">
        <f>IFERROR(SUMIFS('Base bordo'!H$2:H$746,'Base bordo'!C$2:C$746,A680,'Base bordo'!B$2:B$746,B680,'Base bordo'!F$2:F$746,"DESLOCAMENTO CARREGADO"),0)</f>
        <v>136256.08000000002</v>
      </c>
      <c r="U680" s="10">
        <f>IFERROR(SUMIFS('Base bordo'!I$2:I$746,'Base bordo'!C$2:C$746,A680,'Base bordo'!B$2:B$746,B680,'Base bordo'!F$2:F$746,"DESLOCAMENTO CARREGADO"),0)</f>
        <v>5660</v>
      </c>
      <c r="V680" s="30">
        <f t="shared" si="74"/>
        <v>24.073512367491169</v>
      </c>
      <c r="W680" s="9">
        <f t="shared" si="75"/>
        <v>6.2569444444444441E-2</v>
      </c>
      <c r="X680" s="9">
        <f t="shared" si="76"/>
        <v>6.5578703703703695E-2</v>
      </c>
      <c r="Y680" s="9">
        <f t="shared" si="77"/>
        <v>0.87185185185185188</v>
      </c>
    </row>
    <row r="681" spans="1:25" ht="15" customHeight="1" x14ac:dyDescent="0.35">
      <c r="A681" s="52">
        <v>8013460</v>
      </c>
      <c r="B681" s="51">
        <v>46118</v>
      </c>
      <c r="C681" s="7" t="s">
        <v>124</v>
      </c>
      <c r="D681" s="10">
        <f>IFERROR(SUMIFS('Base bordo'!G$2:G$746,'Base bordo'!C$2:C$746,A681,'Base bordo'!B$2:B$746,B681,'Base bordo'!F$2:F$746,"DESLOCAMENTO VAZIO"),0)</f>
        <v>1.5016666666666667</v>
      </c>
      <c r="E681" s="10">
        <f>IFERROR(SUMIFS('Base bordo'!G$2:G$746,'Base bordo'!C$2:C$746,A681,'Base bordo'!B$2:B$746,B681,'Base bordo'!F$2:F$746,"DESLOCAMENTO CARREGADO"),0)</f>
        <v>1.5738888888888889</v>
      </c>
      <c r="F681" s="10">
        <f>IFERROR(SUMIFS('Base bordo'!G$2:G$746,'Base bordo'!C$2:C$746,A681,'Base bordo'!B$2:B$746,B681,'Base bordo'!F$2:F$746,"DESLOCAMENTO"),0)</f>
        <v>0.6744444444444444</v>
      </c>
      <c r="G681" s="10">
        <f>IFERROR(SUMIFS('Base bordo'!G$2:G$746,'Base bordo'!C$2:C$746,A681,'Base bordo'!B$2:B$746,B681,'Base bordo'!F$2:F$746,"CARREGAMENTO"),0)</f>
        <v>1.0088888888888889</v>
      </c>
      <c r="H681" s="10">
        <f>IFERROR(SUMIFS('Base bordo'!G$2:G$746,'Base bordo'!C$2:C$746,A681,'Base bordo'!B$2:B$746,B681,'Base bordo'!F$2:F$746,"AGUARDANDO TRANSBORDO"),0)</f>
        <v>8.4444444444444447E-2</v>
      </c>
      <c r="I681" s="10">
        <f>IFERROR(SUMIFS('Base bordo'!G$2:G$746,'Base bordo'!C$2:C$746,A681,'Base bordo'!B$2:B$746,B681,'Base bordo'!F$2:F$746,"PÁTIO INTERNO"),0)+IFERROR(SUMIFS('Base bordo'!G$2:G$746,'Base bordo'!C$2:C$746,A681,'Base bordo'!B$2:B$746,B681,'Base bordo'!F$2:F$746,"PÁTIO EXTERNO"),0)+IFERROR(SUMIFS('Base bordo'!G$2:G$746,'Base bordo'!C$2:C$746,A681,'Base bordo'!B$2:B$746,B681,'Base bordo'!F$2:F$746,"PATIO - RESERVA"),0)+IFERROR(SUMIFS('Base bordo'!G$2:G$746,'Base bordo'!C$2:C$746,A681,'Base bordo'!B$2:B$746,B681,'Base bordo'!F$2:F$746,"MANOBRA CARRETAS-PATIO"),0)</f>
        <v>16.206388888888888</v>
      </c>
      <c r="J681" s="10">
        <f>IFERROR(SUMIFS('Base bordo'!G$2:G$746,'Base bordo'!C$2:C$746,A681,'Base bordo'!B$2:B$746,B681,'Base bordo'!F$2:F$746,"BALANÇA - ENTRADA"),0)+IFERROR(SUMIFS('Base bordo'!G$2:G$746,'Base bordo'!C$2:C$746,A681,'Base bordo'!B$2:B$746,B681,'Base bordo'!F$2:F$746,"BALANÇA - SAÍDA"),0)</f>
        <v>0.24055555555555555</v>
      </c>
      <c r="K681" s="10">
        <f>IFERROR(SUMIFS('Base bordo'!G$2:G$746,'Base bordo'!C$2:C$746,A681,'Base bordo'!B$2:B$746,B681,'Base bordo'!F$2:F$746,"MAN PREVENTIVA - MECANICA"),0)+IFERROR(SUMIFS('Base bordo'!G$2:G$746,'Base bordo'!C$2:C$746,A681,'Base bordo'!B$2:B$746,B681,'Base bordo'!F$2:F$746,"MAN CORRETIVA - MECANICA"),0)</f>
        <v>0</v>
      </c>
      <c r="L681" s="10">
        <f>IFERROR(SUMIFS('Base bordo'!G$2:G$746,'Base bordo'!C$2:C$746,A681,'Base bordo'!B$2:B$746,B681,'Base bordo'!F$2:F$746,"MANUTENCAO - T O"),0)+IFERROR(SUMIFS('Base bordo'!G$2:G$746,'Base bordo'!C$2:C$746,A681,'Base bordo'!B$2:B$746,B681,'Base bordo'!F$2:F$746,"MANUTENCAO BORRACHARIA"),0)+IFERROR(SUMIFS('Base bordo'!G$2:G$746,'Base bordo'!C$2:C$746,A681,'Base bordo'!B$2:B$746,B681,'Base bordo'!F$2:F$746,"MANUTENCAO EXTERNA  CONCESSIONARIA"),0)+IFERROR(SUMIFS('Base bordo'!G$2:G$746,'Base bordo'!C$2:C$746,A681,'Base bordo'!B$2:B$746,B681,'Base bordo'!F$2:F$746,"MANUTENCAO TELEMETRIA"),0)</f>
        <v>0.9719444444444445</v>
      </c>
      <c r="M681" s="10">
        <f>IFERROR(SUMIFS('Base bordo'!G$2:G$746,'Base bordo'!C$2:C$746,A681,'Base bordo'!B$2:B$746,B681,'Base bordo'!F$2:F$746,"AGUARDANDO MANUTENCAO"),0)</f>
        <v>0</v>
      </c>
      <c r="N681" s="10">
        <f>IFERROR(SUMIFS('Base bordo'!G$2:G$746,'Base bordo'!C$2:C$746,A681,'Base bordo'!B$2:B$746,B681,'Base bordo'!F$2:F$746,"SEM APONTAMENTO"),0)</f>
        <v>0.83916666666666662</v>
      </c>
      <c r="O681" s="10">
        <f t="shared" si="72"/>
        <v>0.89861111111111569</v>
      </c>
      <c r="P681" s="10">
        <f>IFERROR(SUMIFS('Base bordo'!G$2:G$746,'Base bordo'!C$2:C$746,A681,'Base bordo'!B$2:B$746,B681),0)</f>
        <v>24.000000000000004</v>
      </c>
      <c r="Q681" s="10">
        <f>IFERROR(SUMIFS('Base bordo'!H$2:H$746,'Base bordo'!C$2:C$746,A681,'Base bordo'!B$2:B$746,B681,'Base bordo'!F$2:F$746,"DESLOCAMENTO VAZIO"),0)</f>
        <v>102676.29</v>
      </c>
      <c r="R681" s="10">
        <f>IFERROR(SUMIFS('Base bordo'!I$2:I$746,'Base bordo'!C$2:C$746,A681,'Base bordo'!B$2:B$746,B681,'Base bordo'!F$2:F$746,"DESLOCAMENTO VAZIO"),0)</f>
        <v>5406</v>
      </c>
      <c r="S681" s="30">
        <f t="shared" si="73"/>
        <v>18.993024417314093</v>
      </c>
      <c r="T681" s="10">
        <f>IFERROR(SUMIFS('Base bordo'!H$2:H$746,'Base bordo'!C$2:C$746,A681,'Base bordo'!B$2:B$746,B681,'Base bordo'!F$2:F$746,"DESLOCAMENTO CARREGADO"),0)</f>
        <v>136256.08000000002</v>
      </c>
      <c r="U681" s="10">
        <f>IFERROR(SUMIFS('Base bordo'!I$2:I$746,'Base bordo'!C$2:C$746,A681,'Base bordo'!B$2:B$746,B681,'Base bordo'!F$2:F$746,"DESLOCAMENTO CARREGADO"),0)</f>
        <v>5660</v>
      </c>
      <c r="V681" s="30">
        <f t="shared" si="74"/>
        <v>24.073512367491169</v>
      </c>
      <c r="W681" s="9">
        <f t="shared" si="75"/>
        <v>6.2569444444444441E-2</v>
      </c>
      <c r="X681" s="9">
        <f t="shared" si="76"/>
        <v>6.5578703703703695E-2</v>
      </c>
      <c r="Y681" s="9">
        <f t="shared" si="77"/>
        <v>0.87185185185185188</v>
      </c>
    </row>
    <row r="682" spans="1:25" ht="15" customHeight="1" x14ac:dyDescent="0.35">
      <c r="A682" s="52">
        <v>8013460</v>
      </c>
      <c r="B682" s="51">
        <v>46118</v>
      </c>
      <c r="C682" s="7" t="s">
        <v>124</v>
      </c>
      <c r="D682" s="10">
        <f>IFERROR(SUMIFS('Base bordo'!G$2:G$746,'Base bordo'!C$2:C$746,A682,'Base bordo'!B$2:B$746,B682,'Base bordo'!F$2:F$746,"DESLOCAMENTO VAZIO"),0)</f>
        <v>1.5016666666666667</v>
      </c>
      <c r="E682" s="10">
        <f>IFERROR(SUMIFS('Base bordo'!G$2:G$746,'Base bordo'!C$2:C$746,A682,'Base bordo'!B$2:B$746,B682,'Base bordo'!F$2:F$746,"DESLOCAMENTO CARREGADO"),0)</f>
        <v>1.5738888888888889</v>
      </c>
      <c r="F682" s="10">
        <f>IFERROR(SUMIFS('Base bordo'!G$2:G$746,'Base bordo'!C$2:C$746,A682,'Base bordo'!B$2:B$746,B682,'Base bordo'!F$2:F$746,"DESLOCAMENTO"),0)</f>
        <v>0.6744444444444444</v>
      </c>
      <c r="G682" s="10">
        <f>IFERROR(SUMIFS('Base bordo'!G$2:G$746,'Base bordo'!C$2:C$746,A682,'Base bordo'!B$2:B$746,B682,'Base bordo'!F$2:F$746,"CARREGAMENTO"),0)</f>
        <v>1.0088888888888889</v>
      </c>
      <c r="H682" s="10">
        <f>IFERROR(SUMIFS('Base bordo'!G$2:G$746,'Base bordo'!C$2:C$746,A682,'Base bordo'!B$2:B$746,B682,'Base bordo'!F$2:F$746,"AGUARDANDO TRANSBORDO"),0)</f>
        <v>8.4444444444444447E-2</v>
      </c>
      <c r="I682" s="10">
        <f>IFERROR(SUMIFS('Base bordo'!G$2:G$746,'Base bordo'!C$2:C$746,A682,'Base bordo'!B$2:B$746,B682,'Base bordo'!F$2:F$746,"PÁTIO INTERNO"),0)+IFERROR(SUMIFS('Base bordo'!G$2:G$746,'Base bordo'!C$2:C$746,A682,'Base bordo'!B$2:B$746,B682,'Base bordo'!F$2:F$746,"PÁTIO EXTERNO"),0)+IFERROR(SUMIFS('Base bordo'!G$2:G$746,'Base bordo'!C$2:C$746,A682,'Base bordo'!B$2:B$746,B682,'Base bordo'!F$2:F$746,"PATIO - RESERVA"),0)+IFERROR(SUMIFS('Base bordo'!G$2:G$746,'Base bordo'!C$2:C$746,A682,'Base bordo'!B$2:B$746,B682,'Base bordo'!F$2:F$746,"MANOBRA CARRETAS-PATIO"),0)</f>
        <v>16.206388888888888</v>
      </c>
      <c r="J682" s="10">
        <f>IFERROR(SUMIFS('Base bordo'!G$2:G$746,'Base bordo'!C$2:C$746,A682,'Base bordo'!B$2:B$746,B682,'Base bordo'!F$2:F$746,"BALANÇA - ENTRADA"),0)+IFERROR(SUMIFS('Base bordo'!G$2:G$746,'Base bordo'!C$2:C$746,A682,'Base bordo'!B$2:B$746,B682,'Base bordo'!F$2:F$746,"BALANÇA - SAÍDA"),0)</f>
        <v>0.24055555555555555</v>
      </c>
      <c r="K682" s="10">
        <f>IFERROR(SUMIFS('Base bordo'!G$2:G$746,'Base bordo'!C$2:C$746,A682,'Base bordo'!B$2:B$746,B682,'Base bordo'!F$2:F$746,"MAN PREVENTIVA - MECANICA"),0)+IFERROR(SUMIFS('Base bordo'!G$2:G$746,'Base bordo'!C$2:C$746,A682,'Base bordo'!B$2:B$746,B682,'Base bordo'!F$2:F$746,"MAN CORRETIVA - MECANICA"),0)</f>
        <v>0</v>
      </c>
      <c r="L682" s="10">
        <f>IFERROR(SUMIFS('Base bordo'!G$2:G$746,'Base bordo'!C$2:C$746,A682,'Base bordo'!B$2:B$746,B682,'Base bordo'!F$2:F$746,"MANUTENCAO - T O"),0)+IFERROR(SUMIFS('Base bordo'!G$2:G$746,'Base bordo'!C$2:C$746,A682,'Base bordo'!B$2:B$746,B682,'Base bordo'!F$2:F$746,"MANUTENCAO BORRACHARIA"),0)+IFERROR(SUMIFS('Base bordo'!G$2:G$746,'Base bordo'!C$2:C$746,A682,'Base bordo'!B$2:B$746,B682,'Base bordo'!F$2:F$746,"MANUTENCAO EXTERNA  CONCESSIONARIA"),0)+IFERROR(SUMIFS('Base bordo'!G$2:G$746,'Base bordo'!C$2:C$746,A682,'Base bordo'!B$2:B$746,B682,'Base bordo'!F$2:F$746,"MANUTENCAO TELEMETRIA"),0)</f>
        <v>0.9719444444444445</v>
      </c>
      <c r="M682" s="10">
        <f>IFERROR(SUMIFS('Base bordo'!G$2:G$746,'Base bordo'!C$2:C$746,A682,'Base bordo'!B$2:B$746,B682,'Base bordo'!F$2:F$746,"AGUARDANDO MANUTENCAO"),0)</f>
        <v>0</v>
      </c>
      <c r="N682" s="10">
        <f>IFERROR(SUMIFS('Base bordo'!G$2:G$746,'Base bordo'!C$2:C$746,A682,'Base bordo'!B$2:B$746,B682,'Base bordo'!F$2:F$746,"SEM APONTAMENTO"),0)</f>
        <v>0.83916666666666662</v>
      </c>
      <c r="O682" s="10">
        <f t="shared" si="72"/>
        <v>0.89861111111111569</v>
      </c>
      <c r="P682" s="10">
        <f>IFERROR(SUMIFS('Base bordo'!G$2:G$746,'Base bordo'!C$2:C$746,A682,'Base bordo'!B$2:B$746,B682),0)</f>
        <v>24.000000000000004</v>
      </c>
      <c r="Q682" s="10">
        <f>IFERROR(SUMIFS('Base bordo'!H$2:H$746,'Base bordo'!C$2:C$746,A682,'Base bordo'!B$2:B$746,B682,'Base bordo'!F$2:F$746,"DESLOCAMENTO VAZIO"),0)</f>
        <v>102676.29</v>
      </c>
      <c r="R682" s="10">
        <f>IFERROR(SUMIFS('Base bordo'!I$2:I$746,'Base bordo'!C$2:C$746,A682,'Base bordo'!B$2:B$746,B682,'Base bordo'!F$2:F$746,"DESLOCAMENTO VAZIO"),0)</f>
        <v>5406</v>
      </c>
      <c r="S682" s="30">
        <f t="shared" si="73"/>
        <v>18.993024417314093</v>
      </c>
      <c r="T682" s="10">
        <f>IFERROR(SUMIFS('Base bordo'!H$2:H$746,'Base bordo'!C$2:C$746,A682,'Base bordo'!B$2:B$746,B682,'Base bordo'!F$2:F$746,"DESLOCAMENTO CARREGADO"),0)</f>
        <v>136256.08000000002</v>
      </c>
      <c r="U682" s="10">
        <f>IFERROR(SUMIFS('Base bordo'!I$2:I$746,'Base bordo'!C$2:C$746,A682,'Base bordo'!B$2:B$746,B682,'Base bordo'!F$2:F$746,"DESLOCAMENTO CARREGADO"),0)</f>
        <v>5660</v>
      </c>
      <c r="V682" s="30">
        <f t="shared" si="74"/>
        <v>24.073512367491169</v>
      </c>
      <c r="W682" s="9">
        <f t="shared" si="75"/>
        <v>6.2569444444444441E-2</v>
      </c>
      <c r="X682" s="9">
        <f t="shared" si="76"/>
        <v>6.5578703703703695E-2</v>
      </c>
      <c r="Y682" s="9">
        <f t="shared" si="77"/>
        <v>0.87185185185185188</v>
      </c>
    </row>
    <row r="683" spans="1:25" ht="15" customHeight="1" x14ac:dyDescent="0.35">
      <c r="A683" s="52">
        <v>8013460</v>
      </c>
      <c r="B683" s="51">
        <v>46118</v>
      </c>
      <c r="C683" s="7" t="s">
        <v>124</v>
      </c>
      <c r="D683" s="10">
        <f>IFERROR(SUMIFS('Base bordo'!G$2:G$746,'Base bordo'!C$2:C$746,A683,'Base bordo'!B$2:B$746,B683,'Base bordo'!F$2:F$746,"DESLOCAMENTO VAZIO"),0)</f>
        <v>1.5016666666666667</v>
      </c>
      <c r="E683" s="10">
        <f>IFERROR(SUMIFS('Base bordo'!G$2:G$746,'Base bordo'!C$2:C$746,A683,'Base bordo'!B$2:B$746,B683,'Base bordo'!F$2:F$746,"DESLOCAMENTO CARREGADO"),0)</f>
        <v>1.5738888888888889</v>
      </c>
      <c r="F683" s="10">
        <f>IFERROR(SUMIFS('Base bordo'!G$2:G$746,'Base bordo'!C$2:C$746,A683,'Base bordo'!B$2:B$746,B683,'Base bordo'!F$2:F$746,"DESLOCAMENTO"),0)</f>
        <v>0.6744444444444444</v>
      </c>
      <c r="G683" s="10">
        <f>IFERROR(SUMIFS('Base bordo'!G$2:G$746,'Base bordo'!C$2:C$746,A683,'Base bordo'!B$2:B$746,B683,'Base bordo'!F$2:F$746,"CARREGAMENTO"),0)</f>
        <v>1.0088888888888889</v>
      </c>
      <c r="H683" s="10">
        <f>IFERROR(SUMIFS('Base bordo'!G$2:G$746,'Base bordo'!C$2:C$746,A683,'Base bordo'!B$2:B$746,B683,'Base bordo'!F$2:F$746,"AGUARDANDO TRANSBORDO"),0)</f>
        <v>8.4444444444444447E-2</v>
      </c>
      <c r="I683" s="10">
        <f>IFERROR(SUMIFS('Base bordo'!G$2:G$746,'Base bordo'!C$2:C$746,A683,'Base bordo'!B$2:B$746,B683,'Base bordo'!F$2:F$746,"PÁTIO INTERNO"),0)+IFERROR(SUMIFS('Base bordo'!G$2:G$746,'Base bordo'!C$2:C$746,A683,'Base bordo'!B$2:B$746,B683,'Base bordo'!F$2:F$746,"PÁTIO EXTERNO"),0)+IFERROR(SUMIFS('Base bordo'!G$2:G$746,'Base bordo'!C$2:C$746,A683,'Base bordo'!B$2:B$746,B683,'Base bordo'!F$2:F$746,"PATIO - RESERVA"),0)+IFERROR(SUMIFS('Base bordo'!G$2:G$746,'Base bordo'!C$2:C$746,A683,'Base bordo'!B$2:B$746,B683,'Base bordo'!F$2:F$746,"MANOBRA CARRETAS-PATIO"),0)</f>
        <v>16.206388888888888</v>
      </c>
      <c r="J683" s="10">
        <f>IFERROR(SUMIFS('Base bordo'!G$2:G$746,'Base bordo'!C$2:C$746,A683,'Base bordo'!B$2:B$746,B683,'Base bordo'!F$2:F$746,"BALANÇA - ENTRADA"),0)+IFERROR(SUMIFS('Base bordo'!G$2:G$746,'Base bordo'!C$2:C$746,A683,'Base bordo'!B$2:B$746,B683,'Base bordo'!F$2:F$746,"BALANÇA - SAÍDA"),0)</f>
        <v>0.24055555555555555</v>
      </c>
      <c r="K683" s="10">
        <f>IFERROR(SUMIFS('Base bordo'!G$2:G$746,'Base bordo'!C$2:C$746,A683,'Base bordo'!B$2:B$746,B683,'Base bordo'!F$2:F$746,"MAN PREVENTIVA - MECANICA"),0)+IFERROR(SUMIFS('Base bordo'!G$2:G$746,'Base bordo'!C$2:C$746,A683,'Base bordo'!B$2:B$746,B683,'Base bordo'!F$2:F$746,"MAN CORRETIVA - MECANICA"),0)</f>
        <v>0</v>
      </c>
      <c r="L683" s="10">
        <f>IFERROR(SUMIFS('Base bordo'!G$2:G$746,'Base bordo'!C$2:C$746,A683,'Base bordo'!B$2:B$746,B683,'Base bordo'!F$2:F$746,"MANUTENCAO - T O"),0)+IFERROR(SUMIFS('Base bordo'!G$2:G$746,'Base bordo'!C$2:C$746,A683,'Base bordo'!B$2:B$746,B683,'Base bordo'!F$2:F$746,"MANUTENCAO BORRACHARIA"),0)+IFERROR(SUMIFS('Base bordo'!G$2:G$746,'Base bordo'!C$2:C$746,A683,'Base bordo'!B$2:B$746,B683,'Base bordo'!F$2:F$746,"MANUTENCAO EXTERNA  CONCESSIONARIA"),0)+IFERROR(SUMIFS('Base bordo'!G$2:G$746,'Base bordo'!C$2:C$746,A683,'Base bordo'!B$2:B$746,B683,'Base bordo'!F$2:F$746,"MANUTENCAO TELEMETRIA"),0)</f>
        <v>0.9719444444444445</v>
      </c>
      <c r="M683" s="10">
        <f>IFERROR(SUMIFS('Base bordo'!G$2:G$746,'Base bordo'!C$2:C$746,A683,'Base bordo'!B$2:B$746,B683,'Base bordo'!F$2:F$746,"AGUARDANDO MANUTENCAO"),0)</f>
        <v>0</v>
      </c>
      <c r="N683" s="10">
        <f>IFERROR(SUMIFS('Base bordo'!G$2:G$746,'Base bordo'!C$2:C$746,A683,'Base bordo'!B$2:B$746,B683,'Base bordo'!F$2:F$746,"SEM APONTAMENTO"),0)</f>
        <v>0.83916666666666662</v>
      </c>
      <c r="O683" s="10">
        <f t="shared" si="72"/>
        <v>0.89861111111111569</v>
      </c>
      <c r="P683" s="10">
        <f>IFERROR(SUMIFS('Base bordo'!G$2:G$746,'Base bordo'!C$2:C$746,A683,'Base bordo'!B$2:B$746,B683),0)</f>
        <v>24.000000000000004</v>
      </c>
      <c r="Q683" s="10">
        <f>IFERROR(SUMIFS('Base bordo'!H$2:H$746,'Base bordo'!C$2:C$746,A683,'Base bordo'!B$2:B$746,B683,'Base bordo'!F$2:F$746,"DESLOCAMENTO VAZIO"),0)</f>
        <v>102676.29</v>
      </c>
      <c r="R683" s="10">
        <f>IFERROR(SUMIFS('Base bordo'!I$2:I$746,'Base bordo'!C$2:C$746,A683,'Base bordo'!B$2:B$746,B683,'Base bordo'!F$2:F$746,"DESLOCAMENTO VAZIO"),0)</f>
        <v>5406</v>
      </c>
      <c r="S683" s="30">
        <f t="shared" si="73"/>
        <v>18.993024417314093</v>
      </c>
      <c r="T683" s="10">
        <f>IFERROR(SUMIFS('Base bordo'!H$2:H$746,'Base bordo'!C$2:C$746,A683,'Base bordo'!B$2:B$746,B683,'Base bordo'!F$2:F$746,"DESLOCAMENTO CARREGADO"),0)</f>
        <v>136256.08000000002</v>
      </c>
      <c r="U683" s="10">
        <f>IFERROR(SUMIFS('Base bordo'!I$2:I$746,'Base bordo'!C$2:C$746,A683,'Base bordo'!B$2:B$746,B683,'Base bordo'!F$2:F$746,"DESLOCAMENTO CARREGADO"),0)</f>
        <v>5660</v>
      </c>
      <c r="V683" s="30">
        <f t="shared" si="74"/>
        <v>24.073512367491169</v>
      </c>
      <c r="W683" s="9">
        <f t="shared" si="75"/>
        <v>6.2569444444444441E-2</v>
      </c>
      <c r="X683" s="9">
        <f t="shared" si="76"/>
        <v>6.5578703703703695E-2</v>
      </c>
      <c r="Y683" s="9">
        <f t="shared" si="77"/>
        <v>0.87185185185185188</v>
      </c>
    </row>
    <row r="684" spans="1:25" ht="15" customHeight="1" x14ac:dyDescent="0.35">
      <c r="A684" s="52">
        <v>8013460</v>
      </c>
      <c r="B684" s="51">
        <v>46118</v>
      </c>
      <c r="C684" s="7" t="s">
        <v>124</v>
      </c>
      <c r="D684" s="10">
        <f>IFERROR(SUMIFS('Base bordo'!G$2:G$746,'Base bordo'!C$2:C$746,A684,'Base bordo'!B$2:B$746,B684,'Base bordo'!F$2:F$746,"DESLOCAMENTO VAZIO"),0)</f>
        <v>1.5016666666666667</v>
      </c>
      <c r="E684" s="10">
        <f>IFERROR(SUMIFS('Base bordo'!G$2:G$746,'Base bordo'!C$2:C$746,A684,'Base bordo'!B$2:B$746,B684,'Base bordo'!F$2:F$746,"DESLOCAMENTO CARREGADO"),0)</f>
        <v>1.5738888888888889</v>
      </c>
      <c r="F684" s="10">
        <f>IFERROR(SUMIFS('Base bordo'!G$2:G$746,'Base bordo'!C$2:C$746,A684,'Base bordo'!B$2:B$746,B684,'Base bordo'!F$2:F$746,"DESLOCAMENTO"),0)</f>
        <v>0.6744444444444444</v>
      </c>
      <c r="G684" s="10">
        <f>IFERROR(SUMIFS('Base bordo'!G$2:G$746,'Base bordo'!C$2:C$746,A684,'Base bordo'!B$2:B$746,B684,'Base bordo'!F$2:F$746,"CARREGAMENTO"),0)</f>
        <v>1.0088888888888889</v>
      </c>
      <c r="H684" s="10">
        <f>IFERROR(SUMIFS('Base bordo'!G$2:G$746,'Base bordo'!C$2:C$746,A684,'Base bordo'!B$2:B$746,B684,'Base bordo'!F$2:F$746,"AGUARDANDO TRANSBORDO"),0)</f>
        <v>8.4444444444444447E-2</v>
      </c>
      <c r="I684" s="10">
        <f>IFERROR(SUMIFS('Base bordo'!G$2:G$746,'Base bordo'!C$2:C$746,A684,'Base bordo'!B$2:B$746,B684,'Base bordo'!F$2:F$746,"PÁTIO INTERNO"),0)+IFERROR(SUMIFS('Base bordo'!G$2:G$746,'Base bordo'!C$2:C$746,A684,'Base bordo'!B$2:B$746,B684,'Base bordo'!F$2:F$746,"PÁTIO EXTERNO"),0)+IFERROR(SUMIFS('Base bordo'!G$2:G$746,'Base bordo'!C$2:C$746,A684,'Base bordo'!B$2:B$746,B684,'Base bordo'!F$2:F$746,"PATIO - RESERVA"),0)+IFERROR(SUMIFS('Base bordo'!G$2:G$746,'Base bordo'!C$2:C$746,A684,'Base bordo'!B$2:B$746,B684,'Base bordo'!F$2:F$746,"MANOBRA CARRETAS-PATIO"),0)</f>
        <v>16.206388888888888</v>
      </c>
      <c r="J684" s="10">
        <f>IFERROR(SUMIFS('Base bordo'!G$2:G$746,'Base bordo'!C$2:C$746,A684,'Base bordo'!B$2:B$746,B684,'Base bordo'!F$2:F$746,"BALANÇA - ENTRADA"),0)+IFERROR(SUMIFS('Base bordo'!G$2:G$746,'Base bordo'!C$2:C$746,A684,'Base bordo'!B$2:B$746,B684,'Base bordo'!F$2:F$746,"BALANÇA - SAÍDA"),0)</f>
        <v>0.24055555555555555</v>
      </c>
      <c r="K684" s="10">
        <f>IFERROR(SUMIFS('Base bordo'!G$2:G$746,'Base bordo'!C$2:C$746,A684,'Base bordo'!B$2:B$746,B684,'Base bordo'!F$2:F$746,"MAN PREVENTIVA - MECANICA"),0)+IFERROR(SUMIFS('Base bordo'!G$2:G$746,'Base bordo'!C$2:C$746,A684,'Base bordo'!B$2:B$746,B684,'Base bordo'!F$2:F$746,"MAN CORRETIVA - MECANICA"),0)</f>
        <v>0</v>
      </c>
      <c r="L684" s="10">
        <f>IFERROR(SUMIFS('Base bordo'!G$2:G$746,'Base bordo'!C$2:C$746,A684,'Base bordo'!B$2:B$746,B684,'Base bordo'!F$2:F$746,"MANUTENCAO - T O"),0)+IFERROR(SUMIFS('Base bordo'!G$2:G$746,'Base bordo'!C$2:C$746,A684,'Base bordo'!B$2:B$746,B684,'Base bordo'!F$2:F$746,"MANUTENCAO BORRACHARIA"),0)+IFERROR(SUMIFS('Base bordo'!G$2:G$746,'Base bordo'!C$2:C$746,A684,'Base bordo'!B$2:B$746,B684,'Base bordo'!F$2:F$746,"MANUTENCAO EXTERNA  CONCESSIONARIA"),0)+IFERROR(SUMIFS('Base bordo'!G$2:G$746,'Base bordo'!C$2:C$746,A684,'Base bordo'!B$2:B$746,B684,'Base bordo'!F$2:F$746,"MANUTENCAO TELEMETRIA"),0)</f>
        <v>0.9719444444444445</v>
      </c>
      <c r="M684" s="10">
        <f>IFERROR(SUMIFS('Base bordo'!G$2:G$746,'Base bordo'!C$2:C$746,A684,'Base bordo'!B$2:B$746,B684,'Base bordo'!F$2:F$746,"AGUARDANDO MANUTENCAO"),0)</f>
        <v>0</v>
      </c>
      <c r="N684" s="10">
        <f>IFERROR(SUMIFS('Base bordo'!G$2:G$746,'Base bordo'!C$2:C$746,A684,'Base bordo'!B$2:B$746,B684,'Base bordo'!F$2:F$746,"SEM APONTAMENTO"),0)</f>
        <v>0.83916666666666662</v>
      </c>
      <c r="O684" s="10">
        <f t="shared" si="72"/>
        <v>0.89861111111111569</v>
      </c>
      <c r="P684" s="10">
        <f>IFERROR(SUMIFS('Base bordo'!G$2:G$746,'Base bordo'!C$2:C$746,A684,'Base bordo'!B$2:B$746,B684),0)</f>
        <v>24.000000000000004</v>
      </c>
      <c r="Q684" s="10">
        <f>IFERROR(SUMIFS('Base bordo'!H$2:H$746,'Base bordo'!C$2:C$746,A684,'Base bordo'!B$2:B$746,B684,'Base bordo'!F$2:F$746,"DESLOCAMENTO VAZIO"),0)</f>
        <v>102676.29</v>
      </c>
      <c r="R684" s="10">
        <f>IFERROR(SUMIFS('Base bordo'!I$2:I$746,'Base bordo'!C$2:C$746,A684,'Base bordo'!B$2:B$746,B684,'Base bordo'!F$2:F$746,"DESLOCAMENTO VAZIO"),0)</f>
        <v>5406</v>
      </c>
      <c r="S684" s="30">
        <f t="shared" si="73"/>
        <v>18.993024417314093</v>
      </c>
      <c r="T684" s="10">
        <f>IFERROR(SUMIFS('Base bordo'!H$2:H$746,'Base bordo'!C$2:C$746,A684,'Base bordo'!B$2:B$746,B684,'Base bordo'!F$2:F$746,"DESLOCAMENTO CARREGADO"),0)</f>
        <v>136256.08000000002</v>
      </c>
      <c r="U684" s="10">
        <f>IFERROR(SUMIFS('Base bordo'!I$2:I$746,'Base bordo'!C$2:C$746,A684,'Base bordo'!B$2:B$746,B684,'Base bordo'!F$2:F$746,"DESLOCAMENTO CARREGADO"),0)</f>
        <v>5660</v>
      </c>
      <c r="V684" s="30">
        <f t="shared" si="74"/>
        <v>24.073512367491169</v>
      </c>
      <c r="W684" s="9">
        <f t="shared" si="75"/>
        <v>6.2569444444444441E-2</v>
      </c>
      <c r="X684" s="9">
        <f t="shared" si="76"/>
        <v>6.5578703703703695E-2</v>
      </c>
      <c r="Y684" s="9">
        <f t="shared" si="77"/>
        <v>0.87185185185185188</v>
      </c>
    </row>
    <row r="685" spans="1:25" ht="15" customHeight="1" x14ac:dyDescent="0.35">
      <c r="A685" s="52">
        <v>8013460</v>
      </c>
      <c r="B685" s="51">
        <v>46118</v>
      </c>
      <c r="C685" s="7" t="s">
        <v>124</v>
      </c>
      <c r="D685" s="10">
        <f>IFERROR(SUMIFS('Base bordo'!G$2:G$746,'Base bordo'!C$2:C$746,A685,'Base bordo'!B$2:B$746,B685,'Base bordo'!F$2:F$746,"DESLOCAMENTO VAZIO"),0)</f>
        <v>1.5016666666666667</v>
      </c>
      <c r="E685" s="10">
        <f>IFERROR(SUMIFS('Base bordo'!G$2:G$746,'Base bordo'!C$2:C$746,A685,'Base bordo'!B$2:B$746,B685,'Base bordo'!F$2:F$746,"DESLOCAMENTO CARREGADO"),0)</f>
        <v>1.5738888888888889</v>
      </c>
      <c r="F685" s="10">
        <f>IFERROR(SUMIFS('Base bordo'!G$2:G$746,'Base bordo'!C$2:C$746,A685,'Base bordo'!B$2:B$746,B685,'Base bordo'!F$2:F$746,"DESLOCAMENTO"),0)</f>
        <v>0.6744444444444444</v>
      </c>
      <c r="G685" s="10">
        <f>IFERROR(SUMIFS('Base bordo'!G$2:G$746,'Base bordo'!C$2:C$746,A685,'Base bordo'!B$2:B$746,B685,'Base bordo'!F$2:F$746,"CARREGAMENTO"),0)</f>
        <v>1.0088888888888889</v>
      </c>
      <c r="H685" s="10">
        <f>IFERROR(SUMIFS('Base bordo'!G$2:G$746,'Base bordo'!C$2:C$746,A685,'Base bordo'!B$2:B$746,B685,'Base bordo'!F$2:F$746,"AGUARDANDO TRANSBORDO"),0)</f>
        <v>8.4444444444444447E-2</v>
      </c>
      <c r="I685" s="10">
        <f>IFERROR(SUMIFS('Base bordo'!G$2:G$746,'Base bordo'!C$2:C$746,A685,'Base bordo'!B$2:B$746,B685,'Base bordo'!F$2:F$746,"PÁTIO INTERNO"),0)+IFERROR(SUMIFS('Base bordo'!G$2:G$746,'Base bordo'!C$2:C$746,A685,'Base bordo'!B$2:B$746,B685,'Base bordo'!F$2:F$746,"PÁTIO EXTERNO"),0)+IFERROR(SUMIFS('Base bordo'!G$2:G$746,'Base bordo'!C$2:C$746,A685,'Base bordo'!B$2:B$746,B685,'Base bordo'!F$2:F$746,"PATIO - RESERVA"),0)+IFERROR(SUMIFS('Base bordo'!G$2:G$746,'Base bordo'!C$2:C$746,A685,'Base bordo'!B$2:B$746,B685,'Base bordo'!F$2:F$746,"MANOBRA CARRETAS-PATIO"),0)</f>
        <v>16.206388888888888</v>
      </c>
      <c r="J685" s="10">
        <f>IFERROR(SUMIFS('Base bordo'!G$2:G$746,'Base bordo'!C$2:C$746,A685,'Base bordo'!B$2:B$746,B685,'Base bordo'!F$2:F$746,"BALANÇA - ENTRADA"),0)+IFERROR(SUMIFS('Base bordo'!G$2:G$746,'Base bordo'!C$2:C$746,A685,'Base bordo'!B$2:B$746,B685,'Base bordo'!F$2:F$746,"BALANÇA - SAÍDA"),0)</f>
        <v>0.24055555555555555</v>
      </c>
      <c r="K685" s="10">
        <f>IFERROR(SUMIFS('Base bordo'!G$2:G$746,'Base bordo'!C$2:C$746,A685,'Base bordo'!B$2:B$746,B685,'Base bordo'!F$2:F$746,"MAN PREVENTIVA - MECANICA"),0)+IFERROR(SUMIFS('Base bordo'!G$2:G$746,'Base bordo'!C$2:C$746,A685,'Base bordo'!B$2:B$746,B685,'Base bordo'!F$2:F$746,"MAN CORRETIVA - MECANICA"),0)</f>
        <v>0</v>
      </c>
      <c r="L685" s="10">
        <f>IFERROR(SUMIFS('Base bordo'!G$2:G$746,'Base bordo'!C$2:C$746,A685,'Base bordo'!B$2:B$746,B685,'Base bordo'!F$2:F$746,"MANUTENCAO - T O"),0)+IFERROR(SUMIFS('Base bordo'!G$2:G$746,'Base bordo'!C$2:C$746,A685,'Base bordo'!B$2:B$746,B685,'Base bordo'!F$2:F$746,"MANUTENCAO BORRACHARIA"),0)+IFERROR(SUMIFS('Base bordo'!G$2:G$746,'Base bordo'!C$2:C$746,A685,'Base bordo'!B$2:B$746,B685,'Base bordo'!F$2:F$746,"MANUTENCAO EXTERNA  CONCESSIONARIA"),0)+IFERROR(SUMIFS('Base bordo'!G$2:G$746,'Base bordo'!C$2:C$746,A685,'Base bordo'!B$2:B$746,B685,'Base bordo'!F$2:F$746,"MANUTENCAO TELEMETRIA"),0)</f>
        <v>0.9719444444444445</v>
      </c>
      <c r="M685" s="10">
        <f>IFERROR(SUMIFS('Base bordo'!G$2:G$746,'Base bordo'!C$2:C$746,A685,'Base bordo'!B$2:B$746,B685,'Base bordo'!F$2:F$746,"AGUARDANDO MANUTENCAO"),0)</f>
        <v>0</v>
      </c>
      <c r="N685" s="10">
        <f>IFERROR(SUMIFS('Base bordo'!G$2:G$746,'Base bordo'!C$2:C$746,A685,'Base bordo'!B$2:B$746,B685,'Base bordo'!F$2:F$746,"SEM APONTAMENTO"),0)</f>
        <v>0.83916666666666662</v>
      </c>
      <c r="O685" s="10">
        <f t="shared" si="72"/>
        <v>0.89861111111111569</v>
      </c>
      <c r="P685" s="10">
        <f>IFERROR(SUMIFS('Base bordo'!G$2:G$746,'Base bordo'!C$2:C$746,A685,'Base bordo'!B$2:B$746,B685),0)</f>
        <v>24.000000000000004</v>
      </c>
      <c r="Q685" s="10">
        <f>IFERROR(SUMIFS('Base bordo'!H$2:H$746,'Base bordo'!C$2:C$746,A685,'Base bordo'!B$2:B$746,B685,'Base bordo'!F$2:F$746,"DESLOCAMENTO VAZIO"),0)</f>
        <v>102676.29</v>
      </c>
      <c r="R685" s="10">
        <f>IFERROR(SUMIFS('Base bordo'!I$2:I$746,'Base bordo'!C$2:C$746,A685,'Base bordo'!B$2:B$746,B685,'Base bordo'!F$2:F$746,"DESLOCAMENTO VAZIO"),0)</f>
        <v>5406</v>
      </c>
      <c r="S685" s="30">
        <f t="shared" si="73"/>
        <v>18.993024417314093</v>
      </c>
      <c r="T685" s="10">
        <f>IFERROR(SUMIFS('Base bordo'!H$2:H$746,'Base bordo'!C$2:C$746,A685,'Base bordo'!B$2:B$746,B685,'Base bordo'!F$2:F$746,"DESLOCAMENTO CARREGADO"),0)</f>
        <v>136256.08000000002</v>
      </c>
      <c r="U685" s="10">
        <f>IFERROR(SUMIFS('Base bordo'!I$2:I$746,'Base bordo'!C$2:C$746,A685,'Base bordo'!B$2:B$746,B685,'Base bordo'!F$2:F$746,"DESLOCAMENTO CARREGADO"),0)</f>
        <v>5660</v>
      </c>
      <c r="V685" s="30">
        <f t="shared" si="74"/>
        <v>24.073512367491169</v>
      </c>
      <c r="W685" s="9">
        <f t="shared" si="75"/>
        <v>6.2569444444444441E-2</v>
      </c>
      <c r="X685" s="9">
        <f t="shared" si="76"/>
        <v>6.5578703703703695E-2</v>
      </c>
      <c r="Y685" s="9">
        <f t="shared" si="77"/>
        <v>0.87185185185185188</v>
      </c>
    </row>
    <row r="686" spans="1:25" ht="15" customHeight="1" x14ac:dyDescent="0.35">
      <c r="A686" s="52">
        <v>8013460</v>
      </c>
      <c r="B686" s="51">
        <v>46118</v>
      </c>
      <c r="C686" s="7" t="s">
        <v>124</v>
      </c>
      <c r="D686" s="10">
        <f>IFERROR(SUMIFS('Base bordo'!G$2:G$746,'Base bordo'!C$2:C$746,A686,'Base bordo'!B$2:B$746,B686,'Base bordo'!F$2:F$746,"DESLOCAMENTO VAZIO"),0)</f>
        <v>1.5016666666666667</v>
      </c>
      <c r="E686" s="10">
        <f>IFERROR(SUMIFS('Base bordo'!G$2:G$746,'Base bordo'!C$2:C$746,A686,'Base bordo'!B$2:B$746,B686,'Base bordo'!F$2:F$746,"DESLOCAMENTO CARREGADO"),0)</f>
        <v>1.5738888888888889</v>
      </c>
      <c r="F686" s="10">
        <f>IFERROR(SUMIFS('Base bordo'!G$2:G$746,'Base bordo'!C$2:C$746,A686,'Base bordo'!B$2:B$746,B686,'Base bordo'!F$2:F$746,"DESLOCAMENTO"),0)</f>
        <v>0.6744444444444444</v>
      </c>
      <c r="G686" s="10">
        <f>IFERROR(SUMIFS('Base bordo'!G$2:G$746,'Base bordo'!C$2:C$746,A686,'Base bordo'!B$2:B$746,B686,'Base bordo'!F$2:F$746,"CARREGAMENTO"),0)</f>
        <v>1.0088888888888889</v>
      </c>
      <c r="H686" s="10">
        <f>IFERROR(SUMIFS('Base bordo'!G$2:G$746,'Base bordo'!C$2:C$746,A686,'Base bordo'!B$2:B$746,B686,'Base bordo'!F$2:F$746,"AGUARDANDO TRANSBORDO"),0)</f>
        <v>8.4444444444444447E-2</v>
      </c>
      <c r="I686" s="10">
        <f>IFERROR(SUMIFS('Base bordo'!G$2:G$746,'Base bordo'!C$2:C$746,A686,'Base bordo'!B$2:B$746,B686,'Base bordo'!F$2:F$746,"PÁTIO INTERNO"),0)+IFERROR(SUMIFS('Base bordo'!G$2:G$746,'Base bordo'!C$2:C$746,A686,'Base bordo'!B$2:B$746,B686,'Base bordo'!F$2:F$746,"PÁTIO EXTERNO"),0)+IFERROR(SUMIFS('Base bordo'!G$2:G$746,'Base bordo'!C$2:C$746,A686,'Base bordo'!B$2:B$746,B686,'Base bordo'!F$2:F$746,"PATIO - RESERVA"),0)+IFERROR(SUMIFS('Base bordo'!G$2:G$746,'Base bordo'!C$2:C$746,A686,'Base bordo'!B$2:B$746,B686,'Base bordo'!F$2:F$746,"MANOBRA CARRETAS-PATIO"),0)</f>
        <v>16.206388888888888</v>
      </c>
      <c r="J686" s="10">
        <f>IFERROR(SUMIFS('Base bordo'!G$2:G$746,'Base bordo'!C$2:C$746,A686,'Base bordo'!B$2:B$746,B686,'Base bordo'!F$2:F$746,"BALANÇA - ENTRADA"),0)+IFERROR(SUMIFS('Base bordo'!G$2:G$746,'Base bordo'!C$2:C$746,A686,'Base bordo'!B$2:B$746,B686,'Base bordo'!F$2:F$746,"BALANÇA - SAÍDA"),0)</f>
        <v>0.24055555555555555</v>
      </c>
      <c r="K686" s="10">
        <f>IFERROR(SUMIFS('Base bordo'!G$2:G$746,'Base bordo'!C$2:C$746,A686,'Base bordo'!B$2:B$746,B686,'Base bordo'!F$2:F$746,"MAN PREVENTIVA - MECANICA"),0)+IFERROR(SUMIFS('Base bordo'!G$2:G$746,'Base bordo'!C$2:C$746,A686,'Base bordo'!B$2:B$746,B686,'Base bordo'!F$2:F$746,"MAN CORRETIVA - MECANICA"),0)</f>
        <v>0</v>
      </c>
      <c r="L686" s="10">
        <f>IFERROR(SUMIFS('Base bordo'!G$2:G$746,'Base bordo'!C$2:C$746,A686,'Base bordo'!B$2:B$746,B686,'Base bordo'!F$2:F$746,"MANUTENCAO - T O"),0)+IFERROR(SUMIFS('Base bordo'!G$2:G$746,'Base bordo'!C$2:C$746,A686,'Base bordo'!B$2:B$746,B686,'Base bordo'!F$2:F$746,"MANUTENCAO BORRACHARIA"),0)+IFERROR(SUMIFS('Base bordo'!G$2:G$746,'Base bordo'!C$2:C$746,A686,'Base bordo'!B$2:B$746,B686,'Base bordo'!F$2:F$746,"MANUTENCAO EXTERNA  CONCESSIONARIA"),0)+IFERROR(SUMIFS('Base bordo'!G$2:G$746,'Base bordo'!C$2:C$746,A686,'Base bordo'!B$2:B$746,B686,'Base bordo'!F$2:F$746,"MANUTENCAO TELEMETRIA"),0)</f>
        <v>0.9719444444444445</v>
      </c>
      <c r="M686" s="10">
        <f>IFERROR(SUMIFS('Base bordo'!G$2:G$746,'Base bordo'!C$2:C$746,A686,'Base bordo'!B$2:B$746,B686,'Base bordo'!F$2:F$746,"AGUARDANDO MANUTENCAO"),0)</f>
        <v>0</v>
      </c>
      <c r="N686" s="10">
        <f>IFERROR(SUMIFS('Base bordo'!G$2:G$746,'Base bordo'!C$2:C$746,A686,'Base bordo'!B$2:B$746,B686,'Base bordo'!F$2:F$746,"SEM APONTAMENTO"),0)</f>
        <v>0.83916666666666662</v>
      </c>
      <c r="O686" s="10">
        <f t="shared" si="72"/>
        <v>0.89861111111111569</v>
      </c>
      <c r="P686" s="10">
        <f>IFERROR(SUMIFS('Base bordo'!G$2:G$746,'Base bordo'!C$2:C$746,A686,'Base bordo'!B$2:B$746,B686),0)</f>
        <v>24.000000000000004</v>
      </c>
      <c r="Q686" s="10">
        <f>IFERROR(SUMIFS('Base bordo'!H$2:H$746,'Base bordo'!C$2:C$746,A686,'Base bordo'!B$2:B$746,B686,'Base bordo'!F$2:F$746,"DESLOCAMENTO VAZIO"),0)</f>
        <v>102676.29</v>
      </c>
      <c r="R686" s="10">
        <f>IFERROR(SUMIFS('Base bordo'!I$2:I$746,'Base bordo'!C$2:C$746,A686,'Base bordo'!B$2:B$746,B686,'Base bordo'!F$2:F$746,"DESLOCAMENTO VAZIO"),0)</f>
        <v>5406</v>
      </c>
      <c r="S686" s="30">
        <f t="shared" si="73"/>
        <v>18.993024417314093</v>
      </c>
      <c r="T686" s="10">
        <f>IFERROR(SUMIFS('Base bordo'!H$2:H$746,'Base bordo'!C$2:C$746,A686,'Base bordo'!B$2:B$746,B686,'Base bordo'!F$2:F$746,"DESLOCAMENTO CARREGADO"),0)</f>
        <v>136256.08000000002</v>
      </c>
      <c r="U686" s="10">
        <f>IFERROR(SUMIFS('Base bordo'!I$2:I$746,'Base bordo'!C$2:C$746,A686,'Base bordo'!B$2:B$746,B686,'Base bordo'!F$2:F$746,"DESLOCAMENTO CARREGADO"),0)</f>
        <v>5660</v>
      </c>
      <c r="V686" s="30">
        <f t="shared" si="74"/>
        <v>24.073512367491169</v>
      </c>
      <c r="W686" s="9">
        <f t="shared" si="75"/>
        <v>6.2569444444444441E-2</v>
      </c>
      <c r="X686" s="9">
        <f t="shared" si="76"/>
        <v>6.5578703703703695E-2</v>
      </c>
      <c r="Y686" s="9">
        <f t="shared" si="77"/>
        <v>0.87185185185185188</v>
      </c>
    </row>
    <row r="687" spans="1:25" ht="15" customHeight="1" x14ac:dyDescent="0.35">
      <c r="A687" s="52">
        <v>8013461</v>
      </c>
      <c r="B687" s="51">
        <v>46118</v>
      </c>
      <c r="C687" s="7" t="s">
        <v>124</v>
      </c>
      <c r="D687" s="10">
        <f>IFERROR(SUMIFS('Base bordo'!G$2:G$746,'Base bordo'!C$2:C$746,A687,'Base bordo'!B$2:B$746,B687,'Base bordo'!F$2:F$746,"DESLOCAMENTO VAZIO"),0)</f>
        <v>1.6119444444444444</v>
      </c>
      <c r="E687" s="10">
        <f>IFERROR(SUMIFS('Base bordo'!G$2:G$746,'Base bordo'!C$2:C$746,A687,'Base bordo'!B$2:B$746,B687,'Base bordo'!F$2:F$746,"DESLOCAMENTO CARREGADO"),0)</f>
        <v>3.9649999999999999</v>
      </c>
      <c r="F687" s="10">
        <f>IFERROR(SUMIFS('Base bordo'!G$2:G$746,'Base bordo'!C$2:C$746,A687,'Base bordo'!B$2:B$746,B687,'Base bordo'!F$2:F$746,"DESLOCAMENTO"),0)</f>
        <v>0.61416666666666664</v>
      </c>
      <c r="G687" s="10">
        <f>IFERROR(SUMIFS('Base bordo'!G$2:G$746,'Base bordo'!C$2:C$746,A687,'Base bordo'!B$2:B$746,B687,'Base bordo'!F$2:F$746,"CARREGAMENTO"),0)</f>
        <v>0.68666666666666665</v>
      </c>
      <c r="H687" s="10">
        <f>IFERROR(SUMIFS('Base bordo'!G$2:G$746,'Base bordo'!C$2:C$746,A687,'Base bordo'!B$2:B$746,B687,'Base bordo'!F$2:F$746,"AGUARDANDO TRANSBORDO"),0)</f>
        <v>0.5033333333333333</v>
      </c>
      <c r="I687" s="10">
        <f>IFERROR(SUMIFS('Base bordo'!G$2:G$746,'Base bordo'!C$2:C$746,A687,'Base bordo'!B$2:B$746,B687,'Base bordo'!F$2:F$746,"PÁTIO INTERNO"),0)+IFERROR(SUMIFS('Base bordo'!G$2:G$746,'Base bordo'!C$2:C$746,A687,'Base bordo'!B$2:B$746,B687,'Base bordo'!F$2:F$746,"PÁTIO EXTERNO"),0)+IFERROR(SUMIFS('Base bordo'!G$2:G$746,'Base bordo'!C$2:C$746,A687,'Base bordo'!B$2:B$746,B687,'Base bordo'!F$2:F$746,"PATIO - RESERVA"),0)+IFERROR(SUMIFS('Base bordo'!G$2:G$746,'Base bordo'!C$2:C$746,A687,'Base bordo'!B$2:B$746,B687,'Base bordo'!F$2:F$746,"MANOBRA CARRETAS-PATIO"),0)</f>
        <v>13.577499999999999</v>
      </c>
      <c r="J687" s="10">
        <f>IFERROR(SUMIFS('Base bordo'!G$2:G$746,'Base bordo'!C$2:C$746,A687,'Base bordo'!B$2:B$746,B687,'Base bordo'!F$2:F$746,"BALANÇA - ENTRADA"),0)+IFERROR(SUMIFS('Base bordo'!G$2:G$746,'Base bordo'!C$2:C$746,A687,'Base bordo'!B$2:B$746,B687,'Base bordo'!F$2:F$746,"BALANÇA - SAÍDA"),0)</f>
        <v>0.18777777777777779</v>
      </c>
      <c r="K687" s="10">
        <f>IFERROR(SUMIFS('Base bordo'!G$2:G$746,'Base bordo'!C$2:C$746,A687,'Base bordo'!B$2:B$746,B687,'Base bordo'!F$2:F$746,"MAN PREVENTIVA - MECANICA"),0)+IFERROR(SUMIFS('Base bordo'!G$2:G$746,'Base bordo'!C$2:C$746,A687,'Base bordo'!B$2:B$746,B687,'Base bordo'!F$2:F$746,"MAN CORRETIVA - MECANICA"),0)</f>
        <v>0</v>
      </c>
      <c r="L687" s="10">
        <f>IFERROR(SUMIFS('Base bordo'!G$2:G$746,'Base bordo'!C$2:C$746,A687,'Base bordo'!B$2:B$746,B687,'Base bordo'!F$2:F$746,"MANUTENCAO - T O"),0)+IFERROR(SUMIFS('Base bordo'!G$2:G$746,'Base bordo'!C$2:C$746,A687,'Base bordo'!B$2:B$746,B687,'Base bordo'!F$2:F$746,"MANUTENCAO BORRACHARIA"),0)+IFERROR(SUMIFS('Base bordo'!G$2:G$746,'Base bordo'!C$2:C$746,A687,'Base bordo'!B$2:B$746,B687,'Base bordo'!F$2:F$746,"MANUTENCAO EXTERNA  CONCESSIONARIA"),0)+IFERROR(SUMIFS('Base bordo'!G$2:G$746,'Base bordo'!C$2:C$746,A687,'Base bordo'!B$2:B$746,B687,'Base bordo'!F$2:F$746,"MANUTENCAO TELEMETRIA"),0)</f>
        <v>0</v>
      </c>
      <c r="M687" s="10">
        <f>IFERROR(SUMIFS('Base bordo'!G$2:G$746,'Base bordo'!C$2:C$746,A687,'Base bordo'!B$2:B$746,B687,'Base bordo'!F$2:F$746,"AGUARDANDO MANUTENCAO"),0)</f>
        <v>0</v>
      </c>
      <c r="N687" s="10">
        <f>IFERROR(SUMIFS('Base bordo'!G$2:G$746,'Base bordo'!C$2:C$746,A687,'Base bordo'!B$2:B$746,B687,'Base bordo'!F$2:F$746,"SEM APONTAMENTO"),0)</f>
        <v>0.28888888888888886</v>
      </c>
      <c r="O687" s="10">
        <f t="shared" si="72"/>
        <v>2.5647222222222226</v>
      </c>
      <c r="P687" s="10">
        <f>IFERROR(SUMIFS('Base bordo'!G$2:G$746,'Base bordo'!C$2:C$746,A687,'Base bordo'!B$2:B$746,B687),0)</f>
        <v>24</v>
      </c>
      <c r="Q687" s="10">
        <f>IFERROR(SUMIFS('Base bordo'!H$2:H$746,'Base bordo'!C$2:C$746,A687,'Base bordo'!B$2:B$746,B687,'Base bordo'!F$2:F$746,"DESLOCAMENTO VAZIO"),0)</f>
        <v>187022.74</v>
      </c>
      <c r="R687" s="10">
        <f>IFERROR(SUMIFS('Base bordo'!I$2:I$746,'Base bordo'!C$2:C$746,A687,'Base bordo'!B$2:B$746,B687,'Base bordo'!F$2:F$746,"DESLOCAMENTO VAZIO"),0)</f>
        <v>5803</v>
      </c>
      <c r="S687" s="30">
        <f t="shared" si="73"/>
        <v>32.228630018955712</v>
      </c>
      <c r="T687" s="10">
        <f>IFERROR(SUMIFS('Base bordo'!H$2:H$746,'Base bordo'!C$2:C$746,A687,'Base bordo'!B$2:B$746,B687,'Base bordo'!F$2:F$746,"DESLOCAMENTO CARREGADO"),0)</f>
        <v>411676.06999999995</v>
      </c>
      <c r="U687" s="10">
        <f>IFERROR(SUMIFS('Base bordo'!I$2:I$746,'Base bordo'!C$2:C$746,A687,'Base bordo'!B$2:B$746,B687,'Base bordo'!F$2:F$746,"DESLOCAMENTO CARREGADO"),0)</f>
        <v>14242</v>
      </c>
      <c r="V687" s="30">
        <f t="shared" si="74"/>
        <v>28.905776576323547</v>
      </c>
      <c r="W687" s="9">
        <f t="shared" si="75"/>
        <v>6.716435185185185E-2</v>
      </c>
      <c r="X687" s="9">
        <f t="shared" si="76"/>
        <v>0.16520833333333332</v>
      </c>
      <c r="Y687" s="9">
        <f t="shared" si="77"/>
        <v>0.76762731481481483</v>
      </c>
    </row>
    <row r="688" spans="1:25" ht="15" customHeight="1" x14ac:dyDescent="0.35">
      <c r="A688" s="52">
        <v>8013461</v>
      </c>
      <c r="B688" s="51">
        <v>46118</v>
      </c>
      <c r="C688" s="7" t="s">
        <v>124</v>
      </c>
      <c r="D688" s="10">
        <f>IFERROR(SUMIFS('Base bordo'!G$2:G$746,'Base bordo'!C$2:C$746,A688,'Base bordo'!B$2:B$746,B688,'Base bordo'!F$2:F$746,"DESLOCAMENTO VAZIO"),0)</f>
        <v>1.6119444444444444</v>
      </c>
      <c r="E688" s="10">
        <f>IFERROR(SUMIFS('Base bordo'!G$2:G$746,'Base bordo'!C$2:C$746,A688,'Base bordo'!B$2:B$746,B688,'Base bordo'!F$2:F$746,"DESLOCAMENTO CARREGADO"),0)</f>
        <v>3.9649999999999999</v>
      </c>
      <c r="F688" s="10">
        <f>IFERROR(SUMIFS('Base bordo'!G$2:G$746,'Base bordo'!C$2:C$746,A688,'Base bordo'!B$2:B$746,B688,'Base bordo'!F$2:F$746,"DESLOCAMENTO"),0)</f>
        <v>0.61416666666666664</v>
      </c>
      <c r="G688" s="10">
        <f>IFERROR(SUMIFS('Base bordo'!G$2:G$746,'Base bordo'!C$2:C$746,A688,'Base bordo'!B$2:B$746,B688,'Base bordo'!F$2:F$746,"CARREGAMENTO"),0)</f>
        <v>0.68666666666666665</v>
      </c>
      <c r="H688" s="10">
        <f>IFERROR(SUMIFS('Base bordo'!G$2:G$746,'Base bordo'!C$2:C$746,A688,'Base bordo'!B$2:B$746,B688,'Base bordo'!F$2:F$746,"AGUARDANDO TRANSBORDO"),0)</f>
        <v>0.5033333333333333</v>
      </c>
      <c r="I688" s="10">
        <f>IFERROR(SUMIFS('Base bordo'!G$2:G$746,'Base bordo'!C$2:C$746,A688,'Base bordo'!B$2:B$746,B688,'Base bordo'!F$2:F$746,"PÁTIO INTERNO"),0)+IFERROR(SUMIFS('Base bordo'!G$2:G$746,'Base bordo'!C$2:C$746,A688,'Base bordo'!B$2:B$746,B688,'Base bordo'!F$2:F$746,"PÁTIO EXTERNO"),0)+IFERROR(SUMIFS('Base bordo'!G$2:G$746,'Base bordo'!C$2:C$746,A688,'Base bordo'!B$2:B$746,B688,'Base bordo'!F$2:F$746,"PATIO - RESERVA"),0)+IFERROR(SUMIFS('Base bordo'!G$2:G$746,'Base bordo'!C$2:C$746,A688,'Base bordo'!B$2:B$746,B688,'Base bordo'!F$2:F$746,"MANOBRA CARRETAS-PATIO"),0)</f>
        <v>13.577499999999999</v>
      </c>
      <c r="J688" s="10">
        <f>IFERROR(SUMIFS('Base bordo'!G$2:G$746,'Base bordo'!C$2:C$746,A688,'Base bordo'!B$2:B$746,B688,'Base bordo'!F$2:F$746,"BALANÇA - ENTRADA"),0)+IFERROR(SUMIFS('Base bordo'!G$2:G$746,'Base bordo'!C$2:C$746,A688,'Base bordo'!B$2:B$746,B688,'Base bordo'!F$2:F$746,"BALANÇA - SAÍDA"),0)</f>
        <v>0.18777777777777779</v>
      </c>
      <c r="K688" s="10">
        <f>IFERROR(SUMIFS('Base bordo'!G$2:G$746,'Base bordo'!C$2:C$746,A688,'Base bordo'!B$2:B$746,B688,'Base bordo'!F$2:F$746,"MAN PREVENTIVA - MECANICA"),0)+IFERROR(SUMIFS('Base bordo'!G$2:G$746,'Base bordo'!C$2:C$746,A688,'Base bordo'!B$2:B$746,B688,'Base bordo'!F$2:F$746,"MAN CORRETIVA - MECANICA"),0)</f>
        <v>0</v>
      </c>
      <c r="L688" s="10">
        <f>IFERROR(SUMIFS('Base bordo'!G$2:G$746,'Base bordo'!C$2:C$746,A688,'Base bordo'!B$2:B$746,B688,'Base bordo'!F$2:F$746,"MANUTENCAO - T O"),0)+IFERROR(SUMIFS('Base bordo'!G$2:G$746,'Base bordo'!C$2:C$746,A688,'Base bordo'!B$2:B$746,B688,'Base bordo'!F$2:F$746,"MANUTENCAO BORRACHARIA"),0)+IFERROR(SUMIFS('Base bordo'!G$2:G$746,'Base bordo'!C$2:C$746,A688,'Base bordo'!B$2:B$746,B688,'Base bordo'!F$2:F$746,"MANUTENCAO EXTERNA  CONCESSIONARIA"),0)+IFERROR(SUMIFS('Base bordo'!G$2:G$746,'Base bordo'!C$2:C$746,A688,'Base bordo'!B$2:B$746,B688,'Base bordo'!F$2:F$746,"MANUTENCAO TELEMETRIA"),0)</f>
        <v>0</v>
      </c>
      <c r="M688" s="10">
        <f>IFERROR(SUMIFS('Base bordo'!G$2:G$746,'Base bordo'!C$2:C$746,A688,'Base bordo'!B$2:B$746,B688,'Base bordo'!F$2:F$746,"AGUARDANDO MANUTENCAO"),0)</f>
        <v>0</v>
      </c>
      <c r="N688" s="10">
        <f>IFERROR(SUMIFS('Base bordo'!G$2:G$746,'Base bordo'!C$2:C$746,A688,'Base bordo'!B$2:B$746,B688,'Base bordo'!F$2:F$746,"SEM APONTAMENTO"),0)</f>
        <v>0.28888888888888886</v>
      </c>
      <c r="O688" s="10">
        <f t="shared" si="72"/>
        <v>2.5647222222222226</v>
      </c>
      <c r="P688" s="10">
        <f>IFERROR(SUMIFS('Base bordo'!G$2:G$746,'Base bordo'!C$2:C$746,A688,'Base bordo'!B$2:B$746,B688),0)</f>
        <v>24</v>
      </c>
      <c r="Q688" s="10">
        <f>IFERROR(SUMIFS('Base bordo'!H$2:H$746,'Base bordo'!C$2:C$746,A688,'Base bordo'!B$2:B$746,B688,'Base bordo'!F$2:F$746,"DESLOCAMENTO VAZIO"),0)</f>
        <v>187022.74</v>
      </c>
      <c r="R688" s="10">
        <f>IFERROR(SUMIFS('Base bordo'!I$2:I$746,'Base bordo'!C$2:C$746,A688,'Base bordo'!B$2:B$746,B688,'Base bordo'!F$2:F$746,"DESLOCAMENTO VAZIO"),0)</f>
        <v>5803</v>
      </c>
      <c r="S688" s="30">
        <f t="shared" si="73"/>
        <v>32.228630018955712</v>
      </c>
      <c r="T688" s="10">
        <f>IFERROR(SUMIFS('Base bordo'!H$2:H$746,'Base bordo'!C$2:C$746,A688,'Base bordo'!B$2:B$746,B688,'Base bordo'!F$2:F$746,"DESLOCAMENTO CARREGADO"),0)</f>
        <v>411676.06999999995</v>
      </c>
      <c r="U688" s="10">
        <f>IFERROR(SUMIFS('Base bordo'!I$2:I$746,'Base bordo'!C$2:C$746,A688,'Base bordo'!B$2:B$746,B688,'Base bordo'!F$2:F$746,"DESLOCAMENTO CARREGADO"),0)</f>
        <v>14242</v>
      </c>
      <c r="V688" s="30">
        <f t="shared" si="74"/>
        <v>28.905776576323547</v>
      </c>
      <c r="W688" s="9">
        <f t="shared" si="75"/>
        <v>6.716435185185185E-2</v>
      </c>
      <c r="X688" s="9">
        <f t="shared" si="76"/>
        <v>0.16520833333333332</v>
      </c>
      <c r="Y688" s="9">
        <f t="shared" si="77"/>
        <v>0.76762731481481483</v>
      </c>
    </row>
    <row r="689" spans="1:25" ht="15" customHeight="1" x14ac:dyDescent="0.35">
      <c r="A689" s="52">
        <v>8013461</v>
      </c>
      <c r="B689" s="51">
        <v>46118</v>
      </c>
      <c r="C689" s="7" t="s">
        <v>124</v>
      </c>
      <c r="D689" s="10">
        <f>IFERROR(SUMIFS('Base bordo'!G$2:G$746,'Base bordo'!C$2:C$746,A689,'Base bordo'!B$2:B$746,B689,'Base bordo'!F$2:F$746,"DESLOCAMENTO VAZIO"),0)</f>
        <v>1.6119444444444444</v>
      </c>
      <c r="E689" s="10">
        <f>IFERROR(SUMIFS('Base bordo'!G$2:G$746,'Base bordo'!C$2:C$746,A689,'Base bordo'!B$2:B$746,B689,'Base bordo'!F$2:F$746,"DESLOCAMENTO CARREGADO"),0)</f>
        <v>3.9649999999999999</v>
      </c>
      <c r="F689" s="10">
        <f>IFERROR(SUMIFS('Base bordo'!G$2:G$746,'Base bordo'!C$2:C$746,A689,'Base bordo'!B$2:B$746,B689,'Base bordo'!F$2:F$746,"DESLOCAMENTO"),0)</f>
        <v>0.61416666666666664</v>
      </c>
      <c r="G689" s="10">
        <f>IFERROR(SUMIFS('Base bordo'!G$2:G$746,'Base bordo'!C$2:C$746,A689,'Base bordo'!B$2:B$746,B689,'Base bordo'!F$2:F$746,"CARREGAMENTO"),0)</f>
        <v>0.68666666666666665</v>
      </c>
      <c r="H689" s="10">
        <f>IFERROR(SUMIFS('Base bordo'!G$2:G$746,'Base bordo'!C$2:C$746,A689,'Base bordo'!B$2:B$746,B689,'Base bordo'!F$2:F$746,"AGUARDANDO TRANSBORDO"),0)</f>
        <v>0.5033333333333333</v>
      </c>
      <c r="I689" s="10">
        <f>IFERROR(SUMIFS('Base bordo'!G$2:G$746,'Base bordo'!C$2:C$746,A689,'Base bordo'!B$2:B$746,B689,'Base bordo'!F$2:F$746,"PÁTIO INTERNO"),0)+IFERROR(SUMIFS('Base bordo'!G$2:G$746,'Base bordo'!C$2:C$746,A689,'Base bordo'!B$2:B$746,B689,'Base bordo'!F$2:F$746,"PÁTIO EXTERNO"),0)+IFERROR(SUMIFS('Base bordo'!G$2:G$746,'Base bordo'!C$2:C$746,A689,'Base bordo'!B$2:B$746,B689,'Base bordo'!F$2:F$746,"PATIO - RESERVA"),0)+IFERROR(SUMIFS('Base bordo'!G$2:G$746,'Base bordo'!C$2:C$746,A689,'Base bordo'!B$2:B$746,B689,'Base bordo'!F$2:F$746,"MANOBRA CARRETAS-PATIO"),0)</f>
        <v>13.577499999999999</v>
      </c>
      <c r="J689" s="10">
        <f>IFERROR(SUMIFS('Base bordo'!G$2:G$746,'Base bordo'!C$2:C$746,A689,'Base bordo'!B$2:B$746,B689,'Base bordo'!F$2:F$746,"BALANÇA - ENTRADA"),0)+IFERROR(SUMIFS('Base bordo'!G$2:G$746,'Base bordo'!C$2:C$746,A689,'Base bordo'!B$2:B$746,B689,'Base bordo'!F$2:F$746,"BALANÇA - SAÍDA"),0)</f>
        <v>0.18777777777777779</v>
      </c>
      <c r="K689" s="10">
        <f>IFERROR(SUMIFS('Base bordo'!G$2:G$746,'Base bordo'!C$2:C$746,A689,'Base bordo'!B$2:B$746,B689,'Base bordo'!F$2:F$746,"MAN PREVENTIVA - MECANICA"),0)+IFERROR(SUMIFS('Base bordo'!G$2:G$746,'Base bordo'!C$2:C$746,A689,'Base bordo'!B$2:B$746,B689,'Base bordo'!F$2:F$746,"MAN CORRETIVA - MECANICA"),0)</f>
        <v>0</v>
      </c>
      <c r="L689" s="10">
        <f>IFERROR(SUMIFS('Base bordo'!G$2:G$746,'Base bordo'!C$2:C$746,A689,'Base bordo'!B$2:B$746,B689,'Base bordo'!F$2:F$746,"MANUTENCAO - T O"),0)+IFERROR(SUMIFS('Base bordo'!G$2:G$746,'Base bordo'!C$2:C$746,A689,'Base bordo'!B$2:B$746,B689,'Base bordo'!F$2:F$746,"MANUTENCAO BORRACHARIA"),0)+IFERROR(SUMIFS('Base bordo'!G$2:G$746,'Base bordo'!C$2:C$746,A689,'Base bordo'!B$2:B$746,B689,'Base bordo'!F$2:F$746,"MANUTENCAO EXTERNA  CONCESSIONARIA"),0)+IFERROR(SUMIFS('Base bordo'!G$2:G$746,'Base bordo'!C$2:C$746,A689,'Base bordo'!B$2:B$746,B689,'Base bordo'!F$2:F$746,"MANUTENCAO TELEMETRIA"),0)</f>
        <v>0</v>
      </c>
      <c r="M689" s="10">
        <f>IFERROR(SUMIFS('Base bordo'!G$2:G$746,'Base bordo'!C$2:C$746,A689,'Base bordo'!B$2:B$746,B689,'Base bordo'!F$2:F$746,"AGUARDANDO MANUTENCAO"),0)</f>
        <v>0</v>
      </c>
      <c r="N689" s="10">
        <f>IFERROR(SUMIFS('Base bordo'!G$2:G$746,'Base bordo'!C$2:C$746,A689,'Base bordo'!B$2:B$746,B689,'Base bordo'!F$2:F$746,"SEM APONTAMENTO"),0)</f>
        <v>0.28888888888888886</v>
      </c>
      <c r="O689" s="10">
        <f t="shared" si="72"/>
        <v>2.5647222222222226</v>
      </c>
      <c r="P689" s="10">
        <f>IFERROR(SUMIFS('Base bordo'!G$2:G$746,'Base bordo'!C$2:C$746,A689,'Base bordo'!B$2:B$746,B689),0)</f>
        <v>24</v>
      </c>
      <c r="Q689" s="10">
        <f>IFERROR(SUMIFS('Base bordo'!H$2:H$746,'Base bordo'!C$2:C$746,A689,'Base bordo'!B$2:B$746,B689,'Base bordo'!F$2:F$746,"DESLOCAMENTO VAZIO"),0)</f>
        <v>187022.74</v>
      </c>
      <c r="R689" s="10">
        <f>IFERROR(SUMIFS('Base bordo'!I$2:I$746,'Base bordo'!C$2:C$746,A689,'Base bordo'!B$2:B$746,B689,'Base bordo'!F$2:F$746,"DESLOCAMENTO VAZIO"),0)</f>
        <v>5803</v>
      </c>
      <c r="S689" s="30">
        <f t="shared" si="73"/>
        <v>32.228630018955712</v>
      </c>
      <c r="T689" s="10">
        <f>IFERROR(SUMIFS('Base bordo'!H$2:H$746,'Base bordo'!C$2:C$746,A689,'Base bordo'!B$2:B$746,B689,'Base bordo'!F$2:F$746,"DESLOCAMENTO CARREGADO"),0)</f>
        <v>411676.06999999995</v>
      </c>
      <c r="U689" s="10">
        <f>IFERROR(SUMIFS('Base bordo'!I$2:I$746,'Base bordo'!C$2:C$746,A689,'Base bordo'!B$2:B$746,B689,'Base bordo'!F$2:F$746,"DESLOCAMENTO CARREGADO"),0)</f>
        <v>14242</v>
      </c>
      <c r="V689" s="30">
        <f t="shared" si="74"/>
        <v>28.905776576323547</v>
      </c>
      <c r="W689" s="9">
        <f t="shared" si="75"/>
        <v>6.716435185185185E-2</v>
      </c>
      <c r="X689" s="9">
        <f t="shared" si="76"/>
        <v>0.16520833333333332</v>
      </c>
      <c r="Y689" s="9">
        <f t="shared" si="77"/>
        <v>0.76762731481481483</v>
      </c>
    </row>
    <row r="690" spans="1:25" ht="15" customHeight="1" x14ac:dyDescent="0.35">
      <c r="A690" s="52">
        <v>8013461</v>
      </c>
      <c r="B690" s="51">
        <v>46118</v>
      </c>
      <c r="C690" s="7" t="s">
        <v>124</v>
      </c>
      <c r="D690" s="10">
        <f>IFERROR(SUMIFS('Base bordo'!G$2:G$746,'Base bordo'!C$2:C$746,A690,'Base bordo'!B$2:B$746,B690,'Base bordo'!F$2:F$746,"DESLOCAMENTO VAZIO"),0)</f>
        <v>1.6119444444444444</v>
      </c>
      <c r="E690" s="10">
        <f>IFERROR(SUMIFS('Base bordo'!G$2:G$746,'Base bordo'!C$2:C$746,A690,'Base bordo'!B$2:B$746,B690,'Base bordo'!F$2:F$746,"DESLOCAMENTO CARREGADO"),0)</f>
        <v>3.9649999999999999</v>
      </c>
      <c r="F690" s="10">
        <f>IFERROR(SUMIFS('Base bordo'!G$2:G$746,'Base bordo'!C$2:C$746,A690,'Base bordo'!B$2:B$746,B690,'Base bordo'!F$2:F$746,"DESLOCAMENTO"),0)</f>
        <v>0.61416666666666664</v>
      </c>
      <c r="G690" s="10">
        <f>IFERROR(SUMIFS('Base bordo'!G$2:G$746,'Base bordo'!C$2:C$746,A690,'Base bordo'!B$2:B$746,B690,'Base bordo'!F$2:F$746,"CARREGAMENTO"),0)</f>
        <v>0.68666666666666665</v>
      </c>
      <c r="H690" s="10">
        <f>IFERROR(SUMIFS('Base bordo'!G$2:G$746,'Base bordo'!C$2:C$746,A690,'Base bordo'!B$2:B$746,B690,'Base bordo'!F$2:F$746,"AGUARDANDO TRANSBORDO"),0)</f>
        <v>0.5033333333333333</v>
      </c>
      <c r="I690" s="10">
        <f>IFERROR(SUMIFS('Base bordo'!G$2:G$746,'Base bordo'!C$2:C$746,A690,'Base bordo'!B$2:B$746,B690,'Base bordo'!F$2:F$746,"PÁTIO INTERNO"),0)+IFERROR(SUMIFS('Base bordo'!G$2:G$746,'Base bordo'!C$2:C$746,A690,'Base bordo'!B$2:B$746,B690,'Base bordo'!F$2:F$746,"PÁTIO EXTERNO"),0)+IFERROR(SUMIFS('Base bordo'!G$2:G$746,'Base bordo'!C$2:C$746,A690,'Base bordo'!B$2:B$746,B690,'Base bordo'!F$2:F$746,"PATIO - RESERVA"),0)+IFERROR(SUMIFS('Base bordo'!G$2:G$746,'Base bordo'!C$2:C$746,A690,'Base bordo'!B$2:B$746,B690,'Base bordo'!F$2:F$746,"MANOBRA CARRETAS-PATIO"),0)</f>
        <v>13.577499999999999</v>
      </c>
      <c r="J690" s="10">
        <f>IFERROR(SUMIFS('Base bordo'!G$2:G$746,'Base bordo'!C$2:C$746,A690,'Base bordo'!B$2:B$746,B690,'Base bordo'!F$2:F$746,"BALANÇA - ENTRADA"),0)+IFERROR(SUMIFS('Base bordo'!G$2:G$746,'Base bordo'!C$2:C$746,A690,'Base bordo'!B$2:B$746,B690,'Base bordo'!F$2:F$746,"BALANÇA - SAÍDA"),0)</f>
        <v>0.18777777777777779</v>
      </c>
      <c r="K690" s="10">
        <f>IFERROR(SUMIFS('Base bordo'!G$2:G$746,'Base bordo'!C$2:C$746,A690,'Base bordo'!B$2:B$746,B690,'Base bordo'!F$2:F$746,"MAN PREVENTIVA - MECANICA"),0)+IFERROR(SUMIFS('Base bordo'!G$2:G$746,'Base bordo'!C$2:C$746,A690,'Base bordo'!B$2:B$746,B690,'Base bordo'!F$2:F$746,"MAN CORRETIVA - MECANICA"),0)</f>
        <v>0</v>
      </c>
      <c r="L690" s="10">
        <f>IFERROR(SUMIFS('Base bordo'!G$2:G$746,'Base bordo'!C$2:C$746,A690,'Base bordo'!B$2:B$746,B690,'Base bordo'!F$2:F$746,"MANUTENCAO - T O"),0)+IFERROR(SUMIFS('Base bordo'!G$2:G$746,'Base bordo'!C$2:C$746,A690,'Base bordo'!B$2:B$746,B690,'Base bordo'!F$2:F$746,"MANUTENCAO BORRACHARIA"),0)+IFERROR(SUMIFS('Base bordo'!G$2:G$746,'Base bordo'!C$2:C$746,A690,'Base bordo'!B$2:B$746,B690,'Base bordo'!F$2:F$746,"MANUTENCAO EXTERNA  CONCESSIONARIA"),0)+IFERROR(SUMIFS('Base bordo'!G$2:G$746,'Base bordo'!C$2:C$746,A690,'Base bordo'!B$2:B$746,B690,'Base bordo'!F$2:F$746,"MANUTENCAO TELEMETRIA"),0)</f>
        <v>0</v>
      </c>
      <c r="M690" s="10">
        <f>IFERROR(SUMIFS('Base bordo'!G$2:G$746,'Base bordo'!C$2:C$746,A690,'Base bordo'!B$2:B$746,B690,'Base bordo'!F$2:F$746,"AGUARDANDO MANUTENCAO"),0)</f>
        <v>0</v>
      </c>
      <c r="N690" s="10">
        <f>IFERROR(SUMIFS('Base bordo'!G$2:G$746,'Base bordo'!C$2:C$746,A690,'Base bordo'!B$2:B$746,B690,'Base bordo'!F$2:F$746,"SEM APONTAMENTO"),0)</f>
        <v>0.28888888888888886</v>
      </c>
      <c r="O690" s="10">
        <f t="shared" si="72"/>
        <v>2.5647222222222226</v>
      </c>
      <c r="P690" s="10">
        <f>IFERROR(SUMIFS('Base bordo'!G$2:G$746,'Base bordo'!C$2:C$746,A690,'Base bordo'!B$2:B$746,B690),0)</f>
        <v>24</v>
      </c>
      <c r="Q690" s="10">
        <f>IFERROR(SUMIFS('Base bordo'!H$2:H$746,'Base bordo'!C$2:C$746,A690,'Base bordo'!B$2:B$746,B690,'Base bordo'!F$2:F$746,"DESLOCAMENTO VAZIO"),0)</f>
        <v>187022.74</v>
      </c>
      <c r="R690" s="10">
        <f>IFERROR(SUMIFS('Base bordo'!I$2:I$746,'Base bordo'!C$2:C$746,A690,'Base bordo'!B$2:B$746,B690,'Base bordo'!F$2:F$746,"DESLOCAMENTO VAZIO"),0)</f>
        <v>5803</v>
      </c>
      <c r="S690" s="30">
        <f t="shared" si="73"/>
        <v>32.228630018955712</v>
      </c>
      <c r="T690" s="10">
        <f>IFERROR(SUMIFS('Base bordo'!H$2:H$746,'Base bordo'!C$2:C$746,A690,'Base bordo'!B$2:B$746,B690,'Base bordo'!F$2:F$746,"DESLOCAMENTO CARREGADO"),0)</f>
        <v>411676.06999999995</v>
      </c>
      <c r="U690" s="10">
        <f>IFERROR(SUMIFS('Base bordo'!I$2:I$746,'Base bordo'!C$2:C$746,A690,'Base bordo'!B$2:B$746,B690,'Base bordo'!F$2:F$746,"DESLOCAMENTO CARREGADO"),0)</f>
        <v>14242</v>
      </c>
      <c r="V690" s="30">
        <f t="shared" si="74"/>
        <v>28.905776576323547</v>
      </c>
      <c r="W690" s="9">
        <f t="shared" si="75"/>
        <v>6.716435185185185E-2</v>
      </c>
      <c r="X690" s="9">
        <f t="shared" si="76"/>
        <v>0.16520833333333332</v>
      </c>
      <c r="Y690" s="9">
        <f t="shared" si="77"/>
        <v>0.76762731481481483</v>
      </c>
    </row>
    <row r="691" spans="1:25" ht="15" customHeight="1" x14ac:dyDescent="0.35">
      <c r="A691" s="52">
        <v>8013461</v>
      </c>
      <c r="B691" s="51">
        <v>46118</v>
      </c>
      <c r="C691" s="7" t="s">
        <v>124</v>
      </c>
      <c r="D691" s="10">
        <f>IFERROR(SUMIFS('Base bordo'!G$2:G$746,'Base bordo'!C$2:C$746,A691,'Base bordo'!B$2:B$746,B691,'Base bordo'!F$2:F$746,"DESLOCAMENTO VAZIO"),0)</f>
        <v>1.6119444444444444</v>
      </c>
      <c r="E691" s="10">
        <f>IFERROR(SUMIFS('Base bordo'!G$2:G$746,'Base bordo'!C$2:C$746,A691,'Base bordo'!B$2:B$746,B691,'Base bordo'!F$2:F$746,"DESLOCAMENTO CARREGADO"),0)</f>
        <v>3.9649999999999999</v>
      </c>
      <c r="F691" s="10">
        <f>IFERROR(SUMIFS('Base bordo'!G$2:G$746,'Base bordo'!C$2:C$746,A691,'Base bordo'!B$2:B$746,B691,'Base bordo'!F$2:F$746,"DESLOCAMENTO"),0)</f>
        <v>0.61416666666666664</v>
      </c>
      <c r="G691" s="10">
        <f>IFERROR(SUMIFS('Base bordo'!G$2:G$746,'Base bordo'!C$2:C$746,A691,'Base bordo'!B$2:B$746,B691,'Base bordo'!F$2:F$746,"CARREGAMENTO"),0)</f>
        <v>0.68666666666666665</v>
      </c>
      <c r="H691" s="10">
        <f>IFERROR(SUMIFS('Base bordo'!G$2:G$746,'Base bordo'!C$2:C$746,A691,'Base bordo'!B$2:B$746,B691,'Base bordo'!F$2:F$746,"AGUARDANDO TRANSBORDO"),0)</f>
        <v>0.5033333333333333</v>
      </c>
      <c r="I691" s="10">
        <f>IFERROR(SUMIFS('Base bordo'!G$2:G$746,'Base bordo'!C$2:C$746,A691,'Base bordo'!B$2:B$746,B691,'Base bordo'!F$2:F$746,"PÁTIO INTERNO"),0)+IFERROR(SUMIFS('Base bordo'!G$2:G$746,'Base bordo'!C$2:C$746,A691,'Base bordo'!B$2:B$746,B691,'Base bordo'!F$2:F$746,"PÁTIO EXTERNO"),0)+IFERROR(SUMIFS('Base bordo'!G$2:G$746,'Base bordo'!C$2:C$746,A691,'Base bordo'!B$2:B$746,B691,'Base bordo'!F$2:F$746,"PATIO - RESERVA"),0)+IFERROR(SUMIFS('Base bordo'!G$2:G$746,'Base bordo'!C$2:C$746,A691,'Base bordo'!B$2:B$746,B691,'Base bordo'!F$2:F$746,"MANOBRA CARRETAS-PATIO"),0)</f>
        <v>13.577499999999999</v>
      </c>
      <c r="J691" s="10">
        <f>IFERROR(SUMIFS('Base bordo'!G$2:G$746,'Base bordo'!C$2:C$746,A691,'Base bordo'!B$2:B$746,B691,'Base bordo'!F$2:F$746,"BALANÇA - ENTRADA"),0)+IFERROR(SUMIFS('Base bordo'!G$2:G$746,'Base bordo'!C$2:C$746,A691,'Base bordo'!B$2:B$746,B691,'Base bordo'!F$2:F$746,"BALANÇA - SAÍDA"),0)</f>
        <v>0.18777777777777779</v>
      </c>
      <c r="K691" s="10">
        <f>IFERROR(SUMIFS('Base bordo'!G$2:G$746,'Base bordo'!C$2:C$746,A691,'Base bordo'!B$2:B$746,B691,'Base bordo'!F$2:F$746,"MAN PREVENTIVA - MECANICA"),0)+IFERROR(SUMIFS('Base bordo'!G$2:G$746,'Base bordo'!C$2:C$746,A691,'Base bordo'!B$2:B$746,B691,'Base bordo'!F$2:F$746,"MAN CORRETIVA - MECANICA"),0)</f>
        <v>0</v>
      </c>
      <c r="L691" s="10">
        <f>IFERROR(SUMIFS('Base bordo'!G$2:G$746,'Base bordo'!C$2:C$746,A691,'Base bordo'!B$2:B$746,B691,'Base bordo'!F$2:F$746,"MANUTENCAO - T O"),0)+IFERROR(SUMIFS('Base bordo'!G$2:G$746,'Base bordo'!C$2:C$746,A691,'Base bordo'!B$2:B$746,B691,'Base bordo'!F$2:F$746,"MANUTENCAO BORRACHARIA"),0)+IFERROR(SUMIFS('Base bordo'!G$2:G$746,'Base bordo'!C$2:C$746,A691,'Base bordo'!B$2:B$746,B691,'Base bordo'!F$2:F$746,"MANUTENCAO EXTERNA  CONCESSIONARIA"),0)+IFERROR(SUMIFS('Base bordo'!G$2:G$746,'Base bordo'!C$2:C$746,A691,'Base bordo'!B$2:B$746,B691,'Base bordo'!F$2:F$746,"MANUTENCAO TELEMETRIA"),0)</f>
        <v>0</v>
      </c>
      <c r="M691" s="10">
        <f>IFERROR(SUMIFS('Base bordo'!G$2:G$746,'Base bordo'!C$2:C$746,A691,'Base bordo'!B$2:B$746,B691,'Base bordo'!F$2:F$746,"AGUARDANDO MANUTENCAO"),0)</f>
        <v>0</v>
      </c>
      <c r="N691" s="10">
        <f>IFERROR(SUMIFS('Base bordo'!G$2:G$746,'Base bordo'!C$2:C$746,A691,'Base bordo'!B$2:B$746,B691,'Base bordo'!F$2:F$746,"SEM APONTAMENTO"),0)</f>
        <v>0.28888888888888886</v>
      </c>
      <c r="O691" s="10">
        <f t="shared" si="72"/>
        <v>2.5647222222222226</v>
      </c>
      <c r="P691" s="10">
        <f>IFERROR(SUMIFS('Base bordo'!G$2:G$746,'Base bordo'!C$2:C$746,A691,'Base bordo'!B$2:B$746,B691),0)</f>
        <v>24</v>
      </c>
      <c r="Q691" s="10">
        <f>IFERROR(SUMIFS('Base bordo'!H$2:H$746,'Base bordo'!C$2:C$746,A691,'Base bordo'!B$2:B$746,B691,'Base bordo'!F$2:F$746,"DESLOCAMENTO VAZIO"),0)</f>
        <v>187022.74</v>
      </c>
      <c r="R691" s="10">
        <f>IFERROR(SUMIFS('Base bordo'!I$2:I$746,'Base bordo'!C$2:C$746,A691,'Base bordo'!B$2:B$746,B691,'Base bordo'!F$2:F$746,"DESLOCAMENTO VAZIO"),0)</f>
        <v>5803</v>
      </c>
      <c r="S691" s="30">
        <f t="shared" si="73"/>
        <v>32.228630018955712</v>
      </c>
      <c r="T691" s="10">
        <f>IFERROR(SUMIFS('Base bordo'!H$2:H$746,'Base bordo'!C$2:C$746,A691,'Base bordo'!B$2:B$746,B691,'Base bordo'!F$2:F$746,"DESLOCAMENTO CARREGADO"),0)</f>
        <v>411676.06999999995</v>
      </c>
      <c r="U691" s="10">
        <f>IFERROR(SUMIFS('Base bordo'!I$2:I$746,'Base bordo'!C$2:C$746,A691,'Base bordo'!B$2:B$746,B691,'Base bordo'!F$2:F$746,"DESLOCAMENTO CARREGADO"),0)</f>
        <v>14242</v>
      </c>
      <c r="V691" s="30">
        <f t="shared" si="74"/>
        <v>28.905776576323547</v>
      </c>
      <c r="W691" s="9">
        <f t="shared" si="75"/>
        <v>6.716435185185185E-2</v>
      </c>
      <c r="X691" s="9">
        <f t="shared" si="76"/>
        <v>0.16520833333333332</v>
      </c>
      <c r="Y691" s="9">
        <f t="shared" si="77"/>
        <v>0.76762731481481483</v>
      </c>
    </row>
    <row r="692" spans="1:25" ht="15" customHeight="1" x14ac:dyDescent="0.35">
      <c r="A692" s="52">
        <v>8013461</v>
      </c>
      <c r="B692" s="51">
        <v>46118</v>
      </c>
      <c r="C692" s="7" t="s">
        <v>124</v>
      </c>
      <c r="D692" s="10">
        <f>IFERROR(SUMIFS('Base bordo'!G$2:G$746,'Base bordo'!C$2:C$746,A692,'Base bordo'!B$2:B$746,B692,'Base bordo'!F$2:F$746,"DESLOCAMENTO VAZIO"),0)</f>
        <v>1.6119444444444444</v>
      </c>
      <c r="E692" s="10">
        <f>IFERROR(SUMIFS('Base bordo'!G$2:G$746,'Base bordo'!C$2:C$746,A692,'Base bordo'!B$2:B$746,B692,'Base bordo'!F$2:F$746,"DESLOCAMENTO CARREGADO"),0)</f>
        <v>3.9649999999999999</v>
      </c>
      <c r="F692" s="10">
        <f>IFERROR(SUMIFS('Base bordo'!G$2:G$746,'Base bordo'!C$2:C$746,A692,'Base bordo'!B$2:B$746,B692,'Base bordo'!F$2:F$746,"DESLOCAMENTO"),0)</f>
        <v>0.61416666666666664</v>
      </c>
      <c r="G692" s="10">
        <f>IFERROR(SUMIFS('Base bordo'!G$2:G$746,'Base bordo'!C$2:C$746,A692,'Base bordo'!B$2:B$746,B692,'Base bordo'!F$2:F$746,"CARREGAMENTO"),0)</f>
        <v>0.68666666666666665</v>
      </c>
      <c r="H692" s="10">
        <f>IFERROR(SUMIFS('Base bordo'!G$2:G$746,'Base bordo'!C$2:C$746,A692,'Base bordo'!B$2:B$746,B692,'Base bordo'!F$2:F$746,"AGUARDANDO TRANSBORDO"),0)</f>
        <v>0.5033333333333333</v>
      </c>
      <c r="I692" s="10">
        <f>IFERROR(SUMIFS('Base bordo'!G$2:G$746,'Base bordo'!C$2:C$746,A692,'Base bordo'!B$2:B$746,B692,'Base bordo'!F$2:F$746,"PÁTIO INTERNO"),0)+IFERROR(SUMIFS('Base bordo'!G$2:G$746,'Base bordo'!C$2:C$746,A692,'Base bordo'!B$2:B$746,B692,'Base bordo'!F$2:F$746,"PÁTIO EXTERNO"),0)+IFERROR(SUMIFS('Base bordo'!G$2:G$746,'Base bordo'!C$2:C$746,A692,'Base bordo'!B$2:B$746,B692,'Base bordo'!F$2:F$746,"PATIO - RESERVA"),0)+IFERROR(SUMIFS('Base bordo'!G$2:G$746,'Base bordo'!C$2:C$746,A692,'Base bordo'!B$2:B$746,B692,'Base bordo'!F$2:F$746,"MANOBRA CARRETAS-PATIO"),0)</f>
        <v>13.577499999999999</v>
      </c>
      <c r="J692" s="10">
        <f>IFERROR(SUMIFS('Base bordo'!G$2:G$746,'Base bordo'!C$2:C$746,A692,'Base bordo'!B$2:B$746,B692,'Base bordo'!F$2:F$746,"BALANÇA - ENTRADA"),0)+IFERROR(SUMIFS('Base bordo'!G$2:G$746,'Base bordo'!C$2:C$746,A692,'Base bordo'!B$2:B$746,B692,'Base bordo'!F$2:F$746,"BALANÇA - SAÍDA"),0)</f>
        <v>0.18777777777777779</v>
      </c>
      <c r="K692" s="10">
        <f>IFERROR(SUMIFS('Base bordo'!G$2:G$746,'Base bordo'!C$2:C$746,A692,'Base bordo'!B$2:B$746,B692,'Base bordo'!F$2:F$746,"MAN PREVENTIVA - MECANICA"),0)+IFERROR(SUMIFS('Base bordo'!G$2:G$746,'Base bordo'!C$2:C$746,A692,'Base bordo'!B$2:B$746,B692,'Base bordo'!F$2:F$746,"MAN CORRETIVA - MECANICA"),0)</f>
        <v>0</v>
      </c>
      <c r="L692" s="10">
        <f>IFERROR(SUMIFS('Base bordo'!G$2:G$746,'Base bordo'!C$2:C$746,A692,'Base bordo'!B$2:B$746,B692,'Base bordo'!F$2:F$746,"MANUTENCAO - T O"),0)+IFERROR(SUMIFS('Base bordo'!G$2:G$746,'Base bordo'!C$2:C$746,A692,'Base bordo'!B$2:B$746,B692,'Base bordo'!F$2:F$746,"MANUTENCAO BORRACHARIA"),0)+IFERROR(SUMIFS('Base bordo'!G$2:G$746,'Base bordo'!C$2:C$746,A692,'Base bordo'!B$2:B$746,B692,'Base bordo'!F$2:F$746,"MANUTENCAO EXTERNA  CONCESSIONARIA"),0)+IFERROR(SUMIFS('Base bordo'!G$2:G$746,'Base bordo'!C$2:C$746,A692,'Base bordo'!B$2:B$746,B692,'Base bordo'!F$2:F$746,"MANUTENCAO TELEMETRIA"),0)</f>
        <v>0</v>
      </c>
      <c r="M692" s="10">
        <f>IFERROR(SUMIFS('Base bordo'!G$2:G$746,'Base bordo'!C$2:C$746,A692,'Base bordo'!B$2:B$746,B692,'Base bordo'!F$2:F$746,"AGUARDANDO MANUTENCAO"),0)</f>
        <v>0</v>
      </c>
      <c r="N692" s="10">
        <f>IFERROR(SUMIFS('Base bordo'!G$2:G$746,'Base bordo'!C$2:C$746,A692,'Base bordo'!B$2:B$746,B692,'Base bordo'!F$2:F$746,"SEM APONTAMENTO"),0)</f>
        <v>0.28888888888888886</v>
      </c>
      <c r="O692" s="10">
        <f t="shared" si="72"/>
        <v>2.5647222222222226</v>
      </c>
      <c r="P692" s="10">
        <f>IFERROR(SUMIFS('Base bordo'!G$2:G$746,'Base bordo'!C$2:C$746,A692,'Base bordo'!B$2:B$746,B692),0)</f>
        <v>24</v>
      </c>
      <c r="Q692" s="10">
        <f>IFERROR(SUMIFS('Base bordo'!H$2:H$746,'Base bordo'!C$2:C$746,A692,'Base bordo'!B$2:B$746,B692,'Base bordo'!F$2:F$746,"DESLOCAMENTO VAZIO"),0)</f>
        <v>187022.74</v>
      </c>
      <c r="R692" s="10">
        <f>IFERROR(SUMIFS('Base bordo'!I$2:I$746,'Base bordo'!C$2:C$746,A692,'Base bordo'!B$2:B$746,B692,'Base bordo'!F$2:F$746,"DESLOCAMENTO VAZIO"),0)</f>
        <v>5803</v>
      </c>
      <c r="S692" s="30">
        <f t="shared" si="73"/>
        <v>32.228630018955712</v>
      </c>
      <c r="T692" s="10">
        <f>IFERROR(SUMIFS('Base bordo'!H$2:H$746,'Base bordo'!C$2:C$746,A692,'Base bordo'!B$2:B$746,B692,'Base bordo'!F$2:F$746,"DESLOCAMENTO CARREGADO"),0)</f>
        <v>411676.06999999995</v>
      </c>
      <c r="U692" s="10">
        <f>IFERROR(SUMIFS('Base bordo'!I$2:I$746,'Base bordo'!C$2:C$746,A692,'Base bordo'!B$2:B$746,B692,'Base bordo'!F$2:F$746,"DESLOCAMENTO CARREGADO"),0)</f>
        <v>14242</v>
      </c>
      <c r="V692" s="30">
        <f t="shared" si="74"/>
        <v>28.905776576323547</v>
      </c>
      <c r="W692" s="9">
        <f t="shared" si="75"/>
        <v>6.716435185185185E-2</v>
      </c>
      <c r="X692" s="9">
        <f t="shared" si="76"/>
        <v>0.16520833333333332</v>
      </c>
      <c r="Y692" s="9">
        <f t="shared" si="77"/>
        <v>0.76762731481481483</v>
      </c>
    </row>
    <row r="693" spans="1:25" ht="15" customHeight="1" x14ac:dyDescent="0.35">
      <c r="A693" s="52">
        <v>8013461</v>
      </c>
      <c r="B693" s="51">
        <v>46118</v>
      </c>
      <c r="C693" s="7" t="s">
        <v>124</v>
      </c>
      <c r="D693" s="10">
        <f>IFERROR(SUMIFS('Base bordo'!G$2:G$746,'Base bordo'!C$2:C$746,A693,'Base bordo'!B$2:B$746,B693,'Base bordo'!F$2:F$746,"DESLOCAMENTO VAZIO"),0)</f>
        <v>1.6119444444444444</v>
      </c>
      <c r="E693" s="10">
        <f>IFERROR(SUMIFS('Base bordo'!G$2:G$746,'Base bordo'!C$2:C$746,A693,'Base bordo'!B$2:B$746,B693,'Base bordo'!F$2:F$746,"DESLOCAMENTO CARREGADO"),0)</f>
        <v>3.9649999999999999</v>
      </c>
      <c r="F693" s="10">
        <f>IFERROR(SUMIFS('Base bordo'!G$2:G$746,'Base bordo'!C$2:C$746,A693,'Base bordo'!B$2:B$746,B693,'Base bordo'!F$2:F$746,"DESLOCAMENTO"),0)</f>
        <v>0.61416666666666664</v>
      </c>
      <c r="G693" s="10">
        <f>IFERROR(SUMIFS('Base bordo'!G$2:G$746,'Base bordo'!C$2:C$746,A693,'Base bordo'!B$2:B$746,B693,'Base bordo'!F$2:F$746,"CARREGAMENTO"),0)</f>
        <v>0.68666666666666665</v>
      </c>
      <c r="H693" s="10">
        <f>IFERROR(SUMIFS('Base bordo'!G$2:G$746,'Base bordo'!C$2:C$746,A693,'Base bordo'!B$2:B$746,B693,'Base bordo'!F$2:F$746,"AGUARDANDO TRANSBORDO"),0)</f>
        <v>0.5033333333333333</v>
      </c>
      <c r="I693" s="10">
        <f>IFERROR(SUMIFS('Base bordo'!G$2:G$746,'Base bordo'!C$2:C$746,A693,'Base bordo'!B$2:B$746,B693,'Base bordo'!F$2:F$746,"PÁTIO INTERNO"),0)+IFERROR(SUMIFS('Base bordo'!G$2:G$746,'Base bordo'!C$2:C$746,A693,'Base bordo'!B$2:B$746,B693,'Base bordo'!F$2:F$746,"PÁTIO EXTERNO"),0)+IFERROR(SUMIFS('Base bordo'!G$2:G$746,'Base bordo'!C$2:C$746,A693,'Base bordo'!B$2:B$746,B693,'Base bordo'!F$2:F$746,"PATIO - RESERVA"),0)+IFERROR(SUMIFS('Base bordo'!G$2:G$746,'Base bordo'!C$2:C$746,A693,'Base bordo'!B$2:B$746,B693,'Base bordo'!F$2:F$746,"MANOBRA CARRETAS-PATIO"),0)</f>
        <v>13.577499999999999</v>
      </c>
      <c r="J693" s="10">
        <f>IFERROR(SUMIFS('Base bordo'!G$2:G$746,'Base bordo'!C$2:C$746,A693,'Base bordo'!B$2:B$746,B693,'Base bordo'!F$2:F$746,"BALANÇA - ENTRADA"),0)+IFERROR(SUMIFS('Base bordo'!G$2:G$746,'Base bordo'!C$2:C$746,A693,'Base bordo'!B$2:B$746,B693,'Base bordo'!F$2:F$746,"BALANÇA - SAÍDA"),0)</f>
        <v>0.18777777777777779</v>
      </c>
      <c r="K693" s="10">
        <f>IFERROR(SUMIFS('Base bordo'!G$2:G$746,'Base bordo'!C$2:C$746,A693,'Base bordo'!B$2:B$746,B693,'Base bordo'!F$2:F$746,"MAN PREVENTIVA - MECANICA"),0)+IFERROR(SUMIFS('Base bordo'!G$2:G$746,'Base bordo'!C$2:C$746,A693,'Base bordo'!B$2:B$746,B693,'Base bordo'!F$2:F$746,"MAN CORRETIVA - MECANICA"),0)</f>
        <v>0</v>
      </c>
      <c r="L693" s="10">
        <f>IFERROR(SUMIFS('Base bordo'!G$2:G$746,'Base bordo'!C$2:C$746,A693,'Base bordo'!B$2:B$746,B693,'Base bordo'!F$2:F$746,"MANUTENCAO - T O"),0)+IFERROR(SUMIFS('Base bordo'!G$2:G$746,'Base bordo'!C$2:C$746,A693,'Base bordo'!B$2:B$746,B693,'Base bordo'!F$2:F$746,"MANUTENCAO BORRACHARIA"),0)+IFERROR(SUMIFS('Base bordo'!G$2:G$746,'Base bordo'!C$2:C$746,A693,'Base bordo'!B$2:B$746,B693,'Base bordo'!F$2:F$746,"MANUTENCAO EXTERNA  CONCESSIONARIA"),0)+IFERROR(SUMIFS('Base bordo'!G$2:G$746,'Base bordo'!C$2:C$746,A693,'Base bordo'!B$2:B$746,B693,'Base bordo'!F$2:F$746,"MANUTENCAO TELEMETRIA"),0)</f>
        <v>0</v>
      </c>
      <c r="M693" s="10">
        <f>IFERROR(SUMIFS('Base bordo'!G$2:G$746,'Base bordo'!C$2:C$746,A693,'Base bordo'!B$2:B$746,B693,'Base bordo'!F$2:F$746,"AGUARDANDO MANUTENCAO"),0)</f>
        <v>0</v>
      </c>
      <c r="N693" s="10">
        <f>IFERROR(SUMIFS('Base bordo'!G$2:G$746,'Base bordo'!C$2:C$746,A693,'Base bordo'!B$2:B$746,B693,'Base bordo'!F$2:F$746,"SEM APONTAMENTO"),0)</f>
        <v>0.28888888888888886</v>
      </c>
      <c r="O693" s="10">
        <f t="shared" si="72"/>
        <v>2.5647222222222226</v>
      </c>
      <c r="P693" s="10">
        <f>IFERROR(SUMIFS('Base bordo'!G$2:G$746,'Base bordo'!C$2:C$746,A693,'Base bordo'!B$2:B$746,B693),0)</f>
        <v>24</v>
      </c>
      <c r="Q693" s="10">
        <f>IFERROR(SUMIFS('Base bordo'!H$2:H$746,'Base bordo'!C$2:C$746,A693,'Base bordo'!B$2:B$746,B693,'Base bordo'!F$2:F$746,"DESLOCAMENTO VAZIO"),0)</f>
        <v>187022.74</v>
      </c>
      <c r="R693" s="10">
        <f>IFERROR(SUMIFS('Base bordo'!I$2:I$746,'Base bordo'!C$2:C$746,A693,'Base bordo'!B$2:B$746,B693,'Base bordo'!F$2:F$746,"DESLOCAMENTO VAZIO"),0)</f>
        <v>5803</v>
      </c>
      <c r="S693" s="30">
        <f t="shared" si="73"/>
        <v>32.228630018955712</v>
      </c>
      <c r="T693" s="10">
        <f>IFERROR(SUMIFS('Base bordo'!H$2:H$746,'Base bordo'!C$2:C$746,A693,'Base bordo'!B$2:B$746,B693,'Base bordo'!F$2:F$746,"DESLOCAMENTO CARREGADO"),0)</f>
        <v>411676.06999999995</v>
      </c>
      <c r="U693" s="10">
        <f>IFERROR(SUMIFS('Base bordo'!I$2:I$746,'Base bordo'!C$2:C$746,A693,'Base bordo'!B$2:B$746,B693,'Base bordo'!F$2:F$746,"DESLOCAMENTO CARREGADO"),0)</f>
        <v>14242</v>
      </c>
      <c r="V693" s="30">
        <f t="shared" si="74"/>
        <v>28.905776576323547</v>
      </c>
      <c r="W693" s="9">
        <f t="shared" si="75"/>
        <v>6.716435185185185E-2</v>
      </c>
      <c r="X693" s="9">
        <f t="shared" si="76"/>
        <v>0.16520833333333332</v>
      </c>
      <c r="Y693" s="9">
        <f t="shared" si="77"/>
        <v>0.76762731481481483</v>
      </c>
    </row>
    <row r="694" spans="1:25" ht="15" customHeight="1" x14ac:dyDescent="0.35">
      <c r="A694" s="52">
        <v>8013461</v>
      </c>
      <c r="B694" s="51">
        <v>46118</v>
      </c>
      <c r="C694" s="7" t="s">
        <v>124</v>
      </c>
      <c r="D694" s="10">
        <f>IFERROR(SUMIFS('Base bordo'!G$2:G$746,'Base bordo'!C$2:C$746,A694,'Base bordo'!B$2:B$746,B694,'Base bordo'!F$2:F$746,"DESLOCAMENTO VAZIO"),0)</f>
        <v>1.6119444444444444</v>
      </c>
      <c r="E694" s="10">
        <f>IFERROR(SUMIFS('Base bordo'!G$2:G$746,'Base bordo'!C$2:C$746,A694,'Base bordo'!B$2:B$746,B694,'Base bordo'!F$2:F$746,"DESLOCAMENTO CARREGADO"),0)</f>
        <v>3.9649999999999999</v>
      </c>
      <c r="F694" s="10">
        <f>IFERROR(SUMIFS('Base bordo'!G$2:G$746,'Base bordo'!C$2:C$746,A694,'Base bordo'!B$2:B$746,B694,'Base bordo'!F$2:F$746,"DESLOCAMENTO"),0)</f>
        <v>0.61416666666666664</v>
      </c>
      <c r="G694" s="10">
        <f>IFERROR(SUMIFS('Base bordo'!G$2:G$746,'Base bordo'!C$2:C$746,A694,'Base bordo'!B$2:B$746,B694,'Base bordo'!F$2:F$746,"CARREGAMENTO"),0)</f>
        <v>0.68666666666666665</v>
      </c>
      <c r="H694" s="10">
        <f>IFERROR(SUMIFS('Base bordo'!G$2:G$746,'Base bordo'!C$2:C$746,A694,'Base bordo'!B$2:B$746,B694,'Base bordo'!F$2:F$746,"AGUARDANDO TRANSBORDO"),0)</f>
        <v>0.5033333333333333</v>
      </c>
      <c r="I694" s="10">
        <f>IFERROR(SUMIFS('Base bordo'!G$2:G$746,'Base bordo'!C$2:C$746,A694,'Base bordo'!B$2:B$746,B694,'Base bordo'!F$2:F$746,"PÁTIO INTERNO"),0)+IFERROR(SUMIFS('Base bordo'!G$2:G$746,'Base bordo'!C$2:C$746,A694,'Base bordo'!B$2:B$746,B694,'Base bordo'!F$2:F$746,"PÁTIO EXTERNO"),0)+IFERROR(SUMIFS('Base bordo'!G$2:G$746,'Base bordo'!C$2:C$746,A694,'Base bordo'!B$2:B$746,B694,'Base bordo'!F$2:F$746,"PATIO - RESERVA"),0)+IFERROR(SUMIFS('Base bordo'!G$2:G$746,'Base bordo'!C$2:C$746,A694,'Base bordo'!B$2:B$746,B694,'Base bordo'!F$2:F$746,"MANOBRA CARRETAS-PATIO"),0)</f>
        <v>13.577499999999999</v>
      </c>
      <c r="J694" s="10">
        <f>IFERROR(SUMIFS('Base bordo'!G$2:G$746,'Base bordo'!C$2:C$746,A694,'Base bordo'!B$2:B$746,B694,'Base bordo'!F$2:F$746,"BALANÇA - ENTRADA"),0)+IFERROR(SUMIFS('Base bordo'!G$2:G$746,'Base bordo'!C$2:C$746,A694,'Base bordo'!B$2:B$746,B694,'Base bordo'!F$2:F$746,"BALANÇA - SAÍDA"),0)</f>
        <v>0.18777777777777779</v>
      </c>
      <c r="K694" s="10">
        <f>IFERROR(SUMIFS('Base bordo'!G$2:G$746,'Base bordo'!C$2:C$746,A694,'Base bordo'!B$2:B$746,B694,'Base bordo'!F$2:F$746,"MAN PREVENTIVA - MECANICA"),0)+IFERROR(SUMIFS('Base bordo'!G$2:G$746,'Base bordo'!C$2:C$746,A694,'Base bordo'!B$2:B$746,B694,'Base bordo'!F$2:F$746,"MAN CORRETIVA - MECANICA"),0)</f>
        <v>0</v>
      </c>
      <c r="L694" s="10">
        <f>IFERROR(SUMIFS('Base bordo'!G$2:G$746,'Base bordo'!C$2:C$746,A694,'Base bordo'!B$2:B$746,B694,'Base bordo'!F$2:F$746,"MANUTENCAO - T O"),0)+IFERROR(SUMIFS('Base bordo'!G$2:G$746,'Base bordo'!C$2:C$746,A694,'Base bordo'!B$2:B$746,B694,'Base bordo'!F$2:F$746,"MANUTENCAO BORRACHARIA"),0)+IFERROR(SUMIFS('Base bordo'!G$2:G$746,'Base bordo'!C$2:C$746,A694,'Base bordo'!B$2:B$746,B694,'Base bordo'!F$2:F$746,"MANUTENCAO EXTERNA  CONCESSIONARIA"),0)+IFERROR(SUMIFS('Base bordo'!G$2:G$746,'Base bordo'!C$2:C$746,A694,'Base bordo'!B$2:B$746,B694,'Base bordo'!F$2:F$746,"MANUTENCAO TELEMETRIA"),0)</f>
        <v>0</v>
      </c>
      <c r="M694" s="10">
        <f>IFERROR(SUMIFS('Base bordo'!G$2:G$746,'Base bordo'!C$2:C$746,A694,'Base bordo'!B$2:B$746,B694,'Base bordo'!F$2:F$746,"AGUARDANDO MANUTENCAO"),0)</f>
        <v>0</v>
      </c>
      <c r="N694" s="10">
        <f>IFERROR(SUMIFS('Base bordo'!G$2:G$746,'Base bordo'!C$2:C$746,A694,'Base bordo'!B$2:B$746,B694,'Base bordo'!F$2:F$746,"SEM APONTAMENTO"),0)</f>
        <v>0.28888888888888886</v>
      </c>
      <c r="O694" s="10">
        <f t="shared" si="72"/>
        <v>2.5647222222222226</v>
      </c>
      <c r="P694" s="10">
        <f>IFERROR(SUMIFS('Base bordo'!G$2:G$746,'Base bordo'!C$2:C$746,A694,'Base bordo'!B$2:B$746,B694),0)</f>
        <v>24</v>
      </c>
      <c r="Q694" s="10">
        <f>IFERROR(SUMIFS('Base bordo'!H$2:H$746,'Base bordo'!C$2:C$746,A694,'Base bordo'!B$2:B$746,B694,'Base bordo'!F$2:F$746,"DESLOCAMENTO VAZIO"),0)</f>
        <v>187022.74</v>
      </c>
      <c r="R694" s="10">
        <f>IFERROR(SUMIFS('Base bordo'!I$2:I$746,'Base bordo'!C$2:C$746,A694,'Base bordo'!B$2:B$746,B694,'Base bordo'!F$2:F$746,"DESLOCAMENTO VAZIO"),0)</f>
        <v>5803</v>
      </c>
      <c r="S694" s="30">
        <f t="shared" si="73"/>
        <v>32.228630018955712</v>
      </c>
      <c r="T694" s="10">
        <f>IFERROR(SUMIFS('Base bordo'!H$2:H$746,'Base bordo'!C$2:C$746,A694,'Base bordo'!B$2:B$746,B694,'Base bordo'!F$2:F$746,"DESLOCAMENTO CARREGADO"),0)</f>
        <v>411676.06999999995</v>
      </c>
      <c r="U694" s="10">
        <f>IFERROR(SUMIFS('Base bordo'!I$2:I$746,'Base bordo'!C$2:C$746,A694,'Base bordo'!B$2:B$746,B694,'Base bordo'!F$2:F$746,"DESLOCAMENTO CARREGADO"),0)</f>
        <v>14242</v>
      </c>
      <c r="V694" s="30">
        <f t="shared" si="74"/>
        <v>28.905776576323547</v>
      </c>
      <c r="W694" s="9">
        <f t="shared" si="75"/>
        <v>6.716435185185185E-2</v>
      </c>
      <c r="X694" s="9">
        <f t="shared" si="76"/>
        <v>0.16520833333333332</v>
      </c>
      <c r="Y694" s="9">
        <f t="shared" si="77"/>
        <v>0.76762731481481483</v>
      </c>
    </row>
    <row r="695" spans="1:25" ht="15" customHeight="1" x14ac:dyDescent="0.35">
      <c r="A695" s="52">
        <v>8013461</v>
      </c>
      <c r="B695" s="51">
        <v>46118</v>
      </c>
      <c r="C695" s="7" t="s">
        <v>124</v>
      </c>
      <c r="D695" s="10">
        <f>IFERROR(SUMIFS('Base bordo'!G$2:G$746,'Base bordo'!C$2:C$746,A695,'Base bordo'!B$2:B$746,B695,'Base bordo'!F$2:F$746,"DESLOCAMENTO VAZIO"),0)</f>
        <v>1.6119444444444444</v>
      </c>
      <c r="E695" s="10">
        <f>IFERROR(SUMIFS('Base bordo'!G$2:G$746,'Base bordo'!C$2:C$746,A695,'Base bordo'!B$2:B$746,B695,'Base bordo'!F$2:F$746,"DESLOCAMENTO CARREGADO"),0)</f>
        <v>3.9649999999999999</v>
      </c>
      <c r="F695" s="10">
        <f>IFERROR(SUMIFS('Base bordo'!G$2:G$746,'Base bordo'!C$2:C$746,A695,'Base bordo'!B$2:B$746,B695,'Base bordo'!F$2:F$746,"DESLOCAMENTO"),0)</f>
        <v>0.61416666666666664</v>
      </c>
      <c r="G695" s="10">
        <f>IFERROR(SUMIFS('Base bordo'!G$2:G$746,'Base bordo'!C$2:C$746,A695,'Base bordo'!B$2:B$746,B695,'Base bordo'!F$2:F$746,"CARREGAMENTO"),0)</f>
        <v>0.68666666666666665</v>
      </c>
      <c r="H695" s="10">
        <f>IFERROR(SUMIFS('Base bordo'!G$2:G$746,'Base bordo'!C$2:C$746,A695,'Base bordo'!B$2:B$746,B695,'Base bordo'!F$2:F$746,"AGUARDANDO TRANSBORDO"),0)</f>
        <v>0.5033333333333333</v>
      </c>
      <c r="I695" s="10">
        <f>IFERROR(SUMIFS('Base bordo'!G$2:G$746,'Base bordo'!C$2:C$746,A695,'Base bordo'!B$2:B$746,B695,'Base bordo'!F$2:F$746,"PÁTIO INTERNO"),0)+IFERROR(SUMIFS('Base bordo'!G$2:G$746,'Base bordo'!C$2:C$746,A695,'Base bordo'!B$2:B$746,B695,'Base bordo'!F$2:F$746,"PÁTIO EXTERNO"),0)+IFERROR(SUMIFS('Base bordo'!G$2:G$746,'Base bordo'!C$2:C$746,A695,'Base bordo'!B$2:B$746,B695,'Base bordo'!F$2:F$746,"PATIO - RESERVA"),0)+IFERROR(SUMIFS('Base bordo'!G$2:G$746,'Base bordo'!C$2:C$746,A695,'Base bordo'!B$2:B$746,B695,'Base bordo'!F$2:F$746,"MANOBRA CARRETAS-PATIO"),0)</f>
        <v>13.577499999999999</v>
      </c>
      <c r="J695" s="10">
        <f>IFERROR(SUMIFS('Base bordo'!G$2:G$746,'Base bordo'!C$2:C$746,A695,'Base bordo'!B$2:B$746,B695,'Base bordo'!F$2:F$746,"BALANÇA - ENTRADA"),0)+IFERROR(SUMIFS('Base bordo'!G$2:G$746,'Base bordo'!C$2:C$746,A695,'Base bordo'!B$2:B$746,B695,'Base bordo'!F$2:F$746,"BALANÇA - SAÍDA"),0)</f>
        <v>0.18777777777777779</v>
      </c>
      <c r="K695" s="10">
        <f>IFERROR(SUMIFS('Base bordo'!G$2:G$746,'Base bordo'!C$2:C$746,A695,'Base bordo'!B$2:B$746,B695,'Base bordo'!F$2:F$746,"MAN PREVENTIVA - MECANICA"),0)+IFERROR(SUMIFS('Base bordo'!G$2:G$746,'Base bordo'!C$2:C$746,A695,'Base bordo'!B$2:B$746,B695,'Base bordo'!F$2:F$746,"MAN CORRETIVA - MECANICA"),0)</f>
        <v>0</v>
      </c>
      <c r="L695" s="10">
        <f>IFERROR(SUMIFS('Base bordo'!G$2:G$746,'Base bordo'!C$2:C$746,A695,'Base bordo'!B$2:B$746,B695,'Base bordo'!F$2:F$746,"MANUTENCAO - T O"),0)+IFERROR(SUMIFS('Base bordo'!G$2:G$746,'Base bordo'!C$2:C$746,A695,'Base bordo'!B$2:B$746,B695,'Base bordo'!F$2:F$746,"MANUTENCAO BORRACHARIA"),0)+IFERROR(SUMIFS('Base bordo'!G$2:G$746,'Base bordo'!C$2:C$746,A695,'Base bordo'!B$2:B$746,B695,'Base bordo'!F$2:F$746,"MANUTENCAO EXTERNA  CONCESSIONARIA"),0)+IFERROR(SUMIFS('Base bordo'!G$2:G$746,'Base bordo'!C$2:C$746,A695,'Base bordo'!B$2:B$746,B695,'Base bordo'!F$2:F$746,"MANUTENCAO TELEMETRIA"),0)</f>
        <v>0</v>
      </c>
      <c r="M695" s="10">
        <f>IFERROR(SUMIFS('Base bordo'!G$2:G$746,'Base bordo'!C$2:C$746,A695,'Base bordo'!B$2:B$746,B695,'Base bordo'!F$2:F$746,"AGUARDANDO MANUTENCAO"),0)</f>
        <v>0</v>
      </c>
      <c r="N695" s="10">
        <f>IFERROR(SUMIFS('Base bordo'!G$2:G$746,'Base bordo'!C$2:C$746,A695,'Base bordo'!B$2:B$746,B695,'Base bordo'!F$2:F$746,"SEM APONTAMENTO"),0)</f>
        <v>0.28888888888888886</v>
      </c>
      <c r="O695" s="10">
        <f t="shared" si="72"/>
        <v>2.5647222222222226</v>
      </c>
      <c r="P695" s="10">
        <f>IFERROR(SUMIFS('Base bordo'!G$2:G$746,'Base bordo'!C$2:C$746,A695,'Base bordo'!B$2:B$746,B695),0)</f>
        <v>24</v>
      </c>
      <c r="Q695" s="10">
        <f>IFERROR(SUMIFS('Base bordo'!H$2:H$746,'Base bordo'!C$2:C$746,A695,'Base bordo'!B$2:B$746,B695,'Base bordo'!F$2:F$746,"DESLOCAMENTO VAZIO"),0)</f>
        <v>187022.74</v>
      </c>
      <c r="R695" s="10">
        <f>IFERROR(SUMIFS('Base bordo'!I$2:I$746,'Base bordo'!C$2:C$746,A695,'Base bordo'!B$2:B$746,B695,'Base bordo'!F$2:F$746,"DESLOCAMENTO VAZIO"),0)</f>
        <v>5803</v>
      </c>
      <c r="S695" s="30">
        <f t="shared" si="73"/>
        <v>32.228630018955712</v>
      </c>
      <c r="T695" s="10">
        <f>IFERROR(SUMIFS('Base bordo'!H$2:H$746,'Base bordo'!C$2:C$746,A695,'Base bordo'!B$2:B$746,B695,'Base bordo'!F$2:F$746,"DESLOCAMENTO CARREGADO"),0)</f>
        <v>411676.06999999995</v>
      </c>
      <c r="U695" s="10">
        <f>IFERROR(SUMIFS('Base bordo'!I$2:I$746,'Base bordo'!C$2:C$746,A695,'Base bordo'!B$2:B$746,B695,'Base bordo'!F$2:F$746,"DESLOCAMENTO CARREGADO"),0)</f>
        <v>14242</v>
      </c>
      <c r="V695" s="30">
        <f t="shared" si="74"/>
        <v>28.905776576323547</v>
      </c>
      <c r="W695" s="9">
        <f t="shared" si="75"/>
        <v>6.716435185185185E-2</v>
      </c>
      <c r="X695" s="9">
        <f t="shared" si="76"/>
        <v>0.16520833333333332</v>
      </c>
      <c r="Y695" s="9">
        <f t="shared" si="77"/>
        <v>0.76762731481481483</v>
      </c>
    </row>
    <row r="696" spans="1:25" ht="15" customHeight="1" x14ac:dyDescent="0.35">
      <c r="A696" s="52">
        <v>8013461</v>
      </c>
      <c r="B696" s="51">
        <v>46118</v>
      </c>
      <c r="C696" s="7" t="s">
        <v>124</v>
      </c>
      <c r="D696" s="10">
        <f>IFERROR(SUMIFS('Base bordo'!G$2:G$746,'Base bordo'!C$2:C$746,A696,'Base bordo'!B$2:B$746,B696,'Base bordo'!F$2:F$746,"DESLOCAMENTO VAZIO"),0)</f>
        <v>1.6119444444444444</v>
      </c>
      <c r="E696" s="10">
        <f>IFERROR(SUMIFS('Base bordo'!G$2:G$746,'Base bordo'!C$2:C$746,A696,'Base bordo'!B$2:B$746,B696,'Base bordo'!F$2:F$746,"DESLOCAMENTO CARREGADO"),0)</f>
        <v>3.9649999999999999</v>
      </c>
      <c r="F696" s="10">
        <f>IFERROR(SUMIFS('Base bordo'!G$2:G$746,'Base bordo'!C$2:C$746,A696,'Base bordo'!B$2:B$746,B696,'Base bordo'!F$2:F$746,"DESLOCAMENTO"),0)</f>
        <v>0.61416666666666664</v>
      </c>
      <c r="G696" s="10">
        <f>IFERROR(SUMIFS('Base bordo'!G$2:G$746,'Base bordo'!C$2:C$746,A696,'Base bordo'!B$2:B$746,B696,'Base bordo'!F$2:F$746,"CARREGAMENTO"),0)</f>
        <v>0.68666666666666665</v>
      </c>
      <c r="H696" s="10">
        <f>IFERROR(SUMIFS('Base bordo'!G$2:G$746,'Base bordo'!C$2:C$746,A696,'Base bordo'!B$2:B$746,B696,'Base bordo'!F$2:F$746,"AGUARDANDO TRANSBORDO"),0)</f>
        <v>0.5033333333333333</v>
      </c>
      <c r="I696" s="10">
        <f>IFERROR(SUMIFS('Base bordo'!G$2:G$746,'Base bordo'!C$2:C$746,A696,'Base bordo'!B$2:B$746,B696,'Base bordo'!F$2:F$746,"PÁTIO INTERNO"),0)+IFERROR(SUMIFS('Base bordo'!G$2:G$746,'Base bordo'!C$2:C$746,A696,'Base bordo'!B$2:B$746,B696,'Base bordo'!F$2:F$746,"PÁTIO EXTERNO"),0)+IFERROR(SUMIFS('Base bordo'!G$2:G$746,'Base bordo'!C$2:C$746,A696,'Base bordo'!B$2:B$746,B696,'Base bordo'!F$2:F$746,"PATIO - RESERVA"),0)+IFERROR(SUMIFS('Base bordo'!G$2:G$746,'Base bordo'!C$2:C$746,A696,'Base bordo'!B$2:B$746,B696,'Base bordo'!F$2:F$746,"MANOBRA CARRETAS-PATIO"),0)</f>
        <v>13.577499999999999</v>
      </c>
      <c r="J696" s="10">
        <f>IFERROR(SUMIFS('Base bordo'!G$2:G$746,'Base bordo'!C$2:C$746,A696,'Base bordo'!B$2:B$746,B696,'Base bordo'!F$2:F$746,"BALANÇA - ENTRADA"),0)+IFERROR(SUMIFS('Base bordo'!G$2:G$746,'Base bordo'!C$2:C$746,A696,'Base bordo'!B$2:B$746,B696,'Base bordo'!F$2:F$746,"BALANÇA - SAÍDA"),0)</f>
        <v>0.18777777777777779</v>
      </c>
      <c r="K696" s="10">
        <f>IFERROR(SUMIFS('Base bordo'!G$2:G$746,'Base bordo'!C$2:C$746,A696,'Base bordo'!B$2:B$746,B696,'Base bordo'!F$2:F$746,"MAN PREVENTIVA - MECANICA"),0)+IFERROR(SUMIFS('Base bordo'!G$2:G$746,'Base bordo'!C$2:C$746,A696,'Base bordo'!B$2:B$746,B696,'Base bordo'!F$2:F$746,"MAN CORRETIVA - MECANICA"),0)</f>
        <v>0</v>
      </c>
      <c r="L696" s="10">
        <f>IFERROR(SUMIFS('Base bordo'!G$2:G$746,'Base bordo'!C$2:C$746,A696,'Base bordo'!B$2:B$746,B696,'Base bordo'!F$2:F$746,"MANUTENCAO - T O"),0)+IFERROR(SUMIFS('Base bordo'!G$2:G$746,'Base bordo'!C$2:C$746,A696,'Base bordo'!B$2:B$746,B696,'Base bordo'!F$2:F$746,"MANUTENCAO BORRACHARIA"),0)+IFERROR(SUMIFS('Base bordo'!G$2:G$746,'Base bordo'!C$2:C$746,A696,'Base bordo'!B$2:B$746,B696,'Base bordo'!F$2:F$746,"MANUTENCAO EXTERNA  CONCESSIONARIA"),0)+IFERROR(SUMIFS('Base bordo'!G$2:G$746,'Base bordo'!C$2:C$746,A696,'Base bordo'!B$2:B$746,B696,'Base bordo'!F$2:F$746,"MANUTENCAO TELEMETRIA"),0)</f>
        <v>0</v>
      </c>
      <c r="M696" s="10">
        <f>IFERROR(SUMIFS('Base bordo'!G$2:G$746,'Base bordo'!C$2:C$746,A696,'Base bordo'!B$2:B$746,B696,'Base bordo'!F$2:F$746,"AGUARDANDO MANUTENCAO"),0)</f>
        <v>0</v>
      </c>
      <c r="N696" s="10">
        <f>IFERROR(SUMIFS('Base bordo'!G$2:G$746,'Base bordo'!C$2:C$746,A696,'Base bordo'!B$2:B$746,B696,'Base bordo'!F$2:F$746,"SEM APONTAMENTO"),0)</f>
        <v>0.28888888888888886</v>
      </c>
      <c r="O696" s="10">
        <f t="shared" si="72"/>
        <v>2.5647222222222226</v>
      </c>
      <c r="P696" s="10">
        <f>IFERROR(SUMIFS('Base bordo'!G$2:G$746,'Base bordo'!C$2:C$746,A696,'Base bordo'!B$2:B$746,B696),0)</f>
        <v>24</v>
      </c>
      <c r="Q696" s="10">
        <f>IFERROR(SUMIFS('Base bordo'!H$2:H$746,'Base bordo'!C$2:C$746,A696,'Base bordo'!B$2:B$746,B696,'Base bordo'!F$2:F$746,"DESLOCAMENTO VAZIO"),0)</f>
        <v>187022.74</v>
      </c>
      <c r="R696" s="10">
        <f>IFERROR(SUMIFS('Base bordo'!I$2:I$746,'Base bordo'!C$2:C$746,A696,'Base bordo'!B$2:B$746,B696,'Base bordo'!F$2:F$746,"DESLOCAMENTO VAZIO"),0)</f>
        <v>5803</v>
      </c>
      <c r="S696" s="30">
        <f t="shared" si="73"/>
        <v>32.228630018955712</v>
      </c>
      <c r="T696" s="10">
        <f>IFERROR(SUMIFS('Base bordo'!H$2:H$746,'Base bordo'!C$2:C$746,A696,'Base bordo'!B$2:B$746,B696,'Base bordo'!F$2:F$746,"DESLOCAMENTO CARREGADO"),0)</f>
        <v>411676.06999999995</v>
      </c>
      <c r="U696" s="10">
        <f>IFERROR(SUMIFS('Base bordo'!I$2:I$746,'Base bordo'!C$2:C$746,A696,'Base bordo'!B$2:B$746,B696,'Base bordo'!F$2:F$746,"DESLOCAMENTO CARREGADO"),0)</f>
        <v>14242</v>
      </c>
      <c r="V696" s="30">
        <f t="shared" si="74"/>
        <v>28.905776576323547</v>
      </c>
      <c r="W696" s="9">
        <f t="shared" si="75"/>
        <v>6.716435185185185E-2</v>
      </c>
      <c r="X696" s="9">
        <f t="shared" si="76"/>
        <v>0.16520833333333332</v>
      </c>
      <c r="Y696" s="9">
        <f t="shared" si="77"/>
        <v>0.76762731481481483</v>
      </c>
    </row>
    <row r="697" spans="1:25" ht="15" customHeight="1" x14ac:dyDescent="0.35">
      <c r="A697" s="52">
        <v>8013461</v>
      </c>
      <c r="B697" s="51">
        <v>46118</v>
      </c>
      <c r="C697" s="7" t="s">
        <v>124</v>
      </c>
      <c r="D697" s="10">
        <f>IFERROR(SUMIFS('Base bordo'!G$2:G$746,'Base bordo'!C$2:C$746,A697,'Base bordo'!B$2:B$746,B697,'Base bordo'!F$2:F$746,"DESLOCAMENTO VAZIO"),0)</f>
        <v>1.6119444444444444</v>
      </c>
      <c r="E697" s="10">
        <f>IFERROR(SUMIFS('Base bordo'!G$2:G$746,'Base bordo'!C$2:C$746,A697,'Base bordo'!B$2:B$746,B697,'Base bordo'!F$2:F$746,"DESLOCAMENTO CARREGADO"),0)</f>
        <v>3.9649999999999999</v>
      </c>
      <c r="F697" s="10">
        <f>IFERROR(SUMIFS('Base bordo'!G$2:G$746,'Base bordo'!C$2:C$746,A697,'Base bordo'!B$2:B$746,B697,'Base bordo'!F$2:F$746,"DESLOCAMENTO"),0)</f>
        <v>0.61416666666666664</v>
      </c>
      <c r="G697" s="10">
        <f>IFERROR(SUMIFS('Base bordo'!G$2:G$746,'Base bordo'!C$2:C$746,A697,'Base bordo'!B$2:B$746,B697,'Base bordo'!F$2:F$746,"CARREGAMENTO"),0)</f>
        <v>0.68666666666666665</v>
      </c>
      <c r="H697" s="10">
        <f>IFERROR(SUMIFS('Base bordo'!G$2:G$746,'Base bordo'!C$2:C$746,A697,'Base bordo'!B$2:B$746,B697,'Base bordo'!F$2:F$746,"AGUARDANDO TRANSBORDO"),0)</f>
        <v>0.5033333333333333</v>
      </c>
      <c r="I697" s="10">
        <f>IFERROR(SUMIFS('Base bordo'!G$2:G$746,'Base bordo'!C$2:C$746,A697,'Base bordo'!B$2:B$746,B697,'Base bordo'!F$2:F$746,"PÁTIO INTERNO"),0)+IFERROR(SUMIFS('Base bordo'!G$2:G$746,'Base bordo'!C$2:C$746,A697,'Base bordo'!B$2:B$746,B697,'Base bordo'!F$2:F$746,"PÁTIO EXTERNO"),0)+IFERROR(SUMIFS('Base bordo'!G$2:G$746,'Base bordo'!C$2:C$746,A697,'Base bordo'!B$2:B$746,B697,'Base bordo'!F$2:F$746,"PATIO - RESERVA"),0)+IFERROR(SUMIFS('Base bordo'!G$2:G$746,'Base bordo'!C$2:C$746,A697,'Base bordo'!B$2:B$746,B697,'Base bordo'!F$2:F$746,"MANOBRA CARRETAS-PATIO"),0)</f>
        <v>13.577499999999999</v>
      </c>
      <c r="J697" s="10">
        <f>IFERROR(SUMIFS('Base bordo'!G$2:G$746,'Base bordo'!C$2:C$746,A697,'Base bordo'!B$2:B$746,B697,'Base bordo'!F$2:F$746,"BALANÇA - ENTRADA"),0)+IFERROR(SUMIFS('Base bordo'!G$2:G$746,'Base bordo'!C$2:C$746,A697,'Base bordo'!B$2:B$746,B697,'Base bordo'!F$2:F$746,"BALANÇA - SAÍDA"),0)</f>
        <v>0.18777777777777779</v>
      </c>
      <c r="K697" s="10">
        <f>IFERROR(SUMIFS('Base bordo'!G$2:G$746,'Base bordo'!C$2:C$746,A697,'Base bordo'!B$2:B$746,B697,'Base bordo'!F$2:F$746,"MAN PREVENTIVA - MECANICA"),0)+IFERROR(SUMIFS('Base bordo'!G$2:G$746,'Base bordo'!C$2:C$746,A697,'Base bordo'!B$2:B$746,B697,'Base bordo'!F$2:F$746,"MAN CORRETIVA - MECANICA"),0)</f>
        <v>0</v>
      </c>
      <c r="L697" s="10">
        <f>IFERROR(SUMIFS('Base bordo'!G$2:G$746,'Base bordo'!C$2:C$746,A697,'Base bordo'!B$2:B$746,B697,'Base bordo'!F$2:F$746,"MANUTENCAO - T O"),0)+IFERROR(SUMIFS('Base bordo'!G$2:G$746,'Base bordo'!C$2:C$746,A697,'Base bordo'!B$2:B$746,B697,'Base bordo'!F$2:F$746,"MANUTENCAO BORRACHARIA"),0)+IFERROR(SUMIFS('Base bordo'!G$2:G$746,'Base bordo'!C$2:C$746,A697,'Base bordo'!B$2:B$746,B697,'Base bordo'!F$2:F$746,"MANUTENCAO EXTERNA  CONCESSIONARIA"),0)+IFERROR(SUMIFS('Base bordo'!G$2:G$746,'Base bordo'!C$2:C$746,A697,'Base bordo'!B$2:B$746,B697,'Base bordo'!F$2:F$746,"MANUTENCAO TELEMETRIA"),0)</f>
        <v>0</v>
      </c>
      <c r="M697" s="10">
        <f>IFERROR(SUMIFS('Base bordo'!G$2:G$746,'Base bordo'!C$2:C$746,A697,'Base bordo'!B$2:B$746,B697,'Base bordo'!F$2:F$746,"AGUARDANDO MANUTENCAO"),0)</f>
        <v>0</v>
      </c>
      <c r="N697" s="10">
        <f>IFERROR(SUMIFS('Base bordo'!G$2:G$746,'Base bordo'!C$2:C$746,A697,'Base bordo'!B$2:B$746,B697,'Base bordo'!F$2:F$746,"SEM APONTAMENTO"),0)</f>
        <v>0.28888888888888886</v>
      </c>
      <c r="O697" s="10">
        <f t="shared" si="72"/>
        <v>2.5647222222222226</v>
      </c>
      <c r="P697" s="10">
        <f>IFERROR(SUMIFS('Base bordo'!G$2:G$746,'Base bordo'!C$2:C$746,A697,'Base bordo'!B$2:B$746,B697),0)</f>
        <v>24</v>
      </c>
      <c r="Q697" s="10">
        <f>IFERROR(SUMIFS('Base bordo'!H$2:H$746,'Base bordo'!C$2:C$746,A697,'Base bordo'!B$2:B$746,B697,'Base bordo'!F$2:F$746,"DESLOCAMENTO VAZIO"),0)</f>
        <v>187022.74</v>
      </c>
      <c r="R697" s="10">
        <f>IFERROR(SUMIFS('Base bordo'!I$2:I$746,'Base bordo'!C$2:C$746,A697,'Base bordo'!B$2:B$746,B697,'Base bordo'!F$2:F$746,"DESLOCAMENTO VAZIO"),0)</f>
        <v>5803</v>
      </c>
      <c r="S697" s="30">
        <f t="shared" si="73"/>
        <v>32.228630018955712</v>
      </c>
      <c r="T697" s="10">
        <f>IFERROR(SUMIFS('Base bordo'!H$2:H$746,'Base bordo'!C$2:C$746,A697,'Base bordo'!B$2:B$746,B697,'Base bordo'!F$2:F$746,"DESLOCAMENTO CARREGADO"),0)</f>
        <v>411676.06999999995</v>
      </c>
      <c r="U697" s="10">
        <f>IFERROR(SUMIFS('Base bordo'!I$2:I$746,'Base bordo'!C$2:C$746,A697,'Base bordo'!B$2:B$746,B697,'Base bordo'!F$2:F$746,"DESLOCAMENTO CARREGADO"),0)</f>
        <v>14242</v>
      </c>
      <c r="V697" s="30">
        <f t="shared" si="74"/>
        <v>28.905776576323547</v>
      </c>
      <c r="W697" s="9">
        <f t="shared" si="75"/>
        <v>6.716435185185185E-2</v>
      </c>
      <c r="X697" s="9">
        <f t="shared" si="76"/>
        <v>0.16520833333333332</v>
      </c>
      <c r="Y697" s="9">
        <f t="shared" si="77"/>
        <v>0.76762731481481483</v>
      </c>
    </row>
    <row r="698" spans="1:25" ht="15" customHeight="1" x14ac:dyDescent="0.35">
      <c r="A698" s="52">
        <v>8013461</v>
      </c>
      <c r="B698" s="51">
        <v>46118</v>
      </c>
      <c r="C698" s="7" t="s">
        <v>124</v>
      </c>
      <c r="D698" s="10">
        <f>IFERROR(SUMIFS('Base bordo'!G$2:G$746,'Base bordo'!C$2:C$746,A698,'Base bordo'!B$2:B$746,B698,'Base bordo'!F$2:F$746,"DESLOCAMENTO VAZIO"),0)</f>
        <v>1.6119444444444444</v>
      </c>
      <c r="E698" s="10">
        <f>IFERROR(SUMIFS('Base bordo'!G$2:G$746,'Base bordo'!C$2:C$746,A698,'Base bordo'!B$2:B$746,B698,'Base bordo'!F$2:F$746,"DESLOCAMENTO CARREGADO"),0)</f>
        <v>3.9649999999999999</v>
      </c>
      <c r="F698" s="10">
        <f>IFERROR(SUMIFS('Base bordo'!G$2:G$746,'Base bordo'!C$2:C$746,A698,'Base bordo'!B$2:B$746,B698,'Base bordo'!F$2:F$746,"DESLOCAMENTO"),0)</f>
        <v>0.61416666666666664</v>
      </c>
      <c r="G698" s="10">
        <f>IFERROR(SUMIFS('Base bordo'!G$2:G$746,'Base bordo'!C$2:C$746,A698,'Base bordo'!B$2:B$746,B698,'Base bordo'!F$2:F$746,"CARREGAMENTO"),0)</f>
        <v>0.68666666666666665</v>
      </c>
      <c r="H698" s="10">
        <f>IFERROR(SUMIFS('Base bordo'!G$2:G$746,'Base bordo'!C$2:C$746,A698,'Base bordo'!B$2:B$746,B698,'Base bordo'!F$2:F$746,"AGUARDANDO TRANSBORDO"),0)</f>
        <v>0.5033333333333333</v>
      </c>
      <c r="I698" s="10">
        <f>IFERROR(SUMIFS('Base bordo'!G$2:G$746,'Base bordo'!C$2:C$746,A698,'Base bordo'!B$2:B$746,B698,'Base bordo'!F$2:F$746,"PÁTIO INTERNO"),0)+IFERROR(SUMIFS('Base bordo'!G$2:G$746,'Base bordo'!C$2:C$746,A698,'Base bordo'!B$2:B$746,B698,'Base bordo'!F$2:F$746,"PÁTIO EXTERNO"),0)+IFERROR(SUMIFS('Base bordo'!G$2:G$746,'Base bordo'!C$2:C$746,A698,'Base bordo'!B$2:B$746,B698,'Base bordo'!F$2:F$746,"PATIO - RESERVA"),0)+IFERROR(SUMIFS('Base bordo'!G$2:G$746,'Base bordo'!C$2:C$746,A698,'Base bordo'!B$2:B$746,B698,'Base bordo'!F$2:F$746,"MANOBRA CARRETAS-PATIO"),0)</f>
        <v>13.577499999999999</v>
      </c>
      <c r="J698" s="10">
        <f>IFERROR(SUMIFS('Base bordo'!G$2:G$746,'Base bordo'!C$2:C$746,A698,'Base bordo'!B$2:B$746,B698,'Base bordo'!F$2:F$746,"BALANÇA - ENTRADA"),0)+IFERROR(SUMIFS('Base bordo'!G$2:G$746,'Base bordo'!C$2:C$746,A698,'Base bordo'!B$2:B$746,B698,'Base bordo'!F$2:F$746,"BALANÇA - SAÍDA"),0)</f>
        <v>0.18777777777777779</v>
      </c>
      <c r="K698" s="10">
        <f>IFERROR(SUMIFS('Base bordo'!G$2:G$746,'Base bordo'!C$2:C$746,A698,'Base bordo'!B$2:B$746,B698,'Base bordo'!F$2:F$746,"MAN PREVENTIVA - MECANICA"),0)+IFERROR(SUMIFS('Base bordo'!G$2:G$746,'Base bordo'!C$2:C$746,A698,'Base bordo'!B$2:B$746,B698,'Base bordo'!F$2:F$746,"MAN CORRETIVA - MECANICA"),0)</f>
        <v>0</v>
      </c>
      <c r="L698" s="10">
        <f>IFERROR(SUMIFS('Base bordo'!G$2:G$746,'Base bordo'!C$2:C$746,A698,'Base bordo'!B$2:B$746,B698,'Base bordo'!F$2:F$746,"MANUTENCAO - T O"),0)+IFERROR(SUMIFS('Base bordo'!G$2:G$746,'Base bordo'!C$2:C$746,A698,'Base bordo'!B$2:B$746,B698,'Base bordo'!F$2:F$746,"MANUTENCAO BORRACHARIA"),0)+IFERROR(SUMIFS('Base bordo'!G$2:G$746,'Base bordo'!C$2:C$746,A698,'Base bordo'!B$2:B$746,B698,'Base bordo'!F$2:F$746,"MANUTENCAO EXTERNA  CONCESSIONARIA"),0)+IFERROR(SUMIFS('Base bordo'!G$2:G$746,'Base bordo'!C$2:C$746,A698,'Base bordo'!B$2:B$746,B698,'Base bordo'!F$2:F$746,"MANUTENCAO TELEMETRIA"),0)</f>
        <v>0</v>
      </c>
      <c r="M698" s="10">
        <f>IFERROR(SUMIFS('Base bordo'!G$2:G$746,'Base bordo'!C$2:C$746,A698,'Base bordo'!B$2:B$746,B698,'Base bordo'!F$2:F$746,"AGUARDANDO MANUTENCAO"),0)</f>
        <v>0</v>
      </c>
      <c r="N698" s="10">
        <f>IFERROR(SUMIFS('Base bordo'!G$2:G$746,'Base bordo'!C$2:C$746,A698,'Base bordo'!B$2:B$746,B698,'Base bordo'!F$2:F$746,"SEM APONTAMENTO"),0)</f>
        <v>0.28888888888888886</v>
      </c>
      <c r="O698" s="10">
        <f t="shared" si="72"/>
        <v>2.5647222222222226</v>
      </c>
      <c r="P698" s="10">
        <f>IFERROR(SUMIFS('Base bordo'!G$2:G$746,'Base bordo'!C$2:C$746,A698,'Base bordo'!B$2:B$746,B698),0)</f>
        <v>24</v>
      </c>
      <c r="Q698" s="10">
        <f>IFERROR(SUMIFS('Base bordo'!H$2:H$746,'Base bordo'!C$2:C$746,A698,'Base bordo'!B$2:B$746,B698,'Base bordo'!F$2:F$746,"DESLOCAMENTO VAZIO"),0)</f>
        <v>187022.74</v>
      </c>
      <c r="R698" s="10">
        <f>IFERROR(SUMIFS('Base bordo'!I$2:I$746,'Base bordo'!C$2:C$746,A698,'Base bordo'!B$2:B$746,B698,'Base bordo'!F$2:F$746,"DESLOCAMENTO VAZIO"),0)</f>
        <v>5803</v>
      </c>
      <c r="S698" s="30">
        <f t="shared" si="73"/>
        <v>32.228630018955712</v>
      </c>
      <c r="T698" s="10">
        <f>IFERROR(SUMIFS('Base bordo'!H$2:H$746,'Base bordo'!C$2:C$746,A698,'Base bordo'!B$2:B$746,B698,'Base bordo'!F$2:F$746,"DESLOCAMENTO CARREGADO"),0)</f>
        <v>411676.06999999995</v>
      </c>
      <c r="U698" s="10">
        <f>IFERROR(SUMIFS('Base bordo'!I$2:I$746,'Base bordo'!C$2:C$746,A698,'Base bordo'!B$2:B$746,B698,'Base bordo'!F$2:F$746,"DESLOCAMENTO CARREGADO"),0)</f>
        <v>14242</v>
      </c>
      <c r="V698" s="30">
        <f t="shared" si="74"/>
        <v>28.905776576323547</v>
      </c>
      <c r="W698" s="9">
        <f t="shared" si="75"/>
        <v>6.716435185185185E-2</v>
      </c>
      <c r="X698" s="9">
        <f t="shared" si="76"/>
        <v>0.16520833333333332</v>
      </c>
      <c r="Y698" s="9">
        <f t="shared" si="77"/>
        <v>0.76762731481481483</v>
      </c>
    </row>
    <row r="699" spans="1:25" ht="15" customHeight="1" x14ac:dyDescent="0.35">
      <c r="A699" s="52">
        <v>8013462</v>
      </c>
      <c r="B699" s="51">
        <v>46118</v>
      </c>
      <c r="C699" s="7" t="s">
        <v>124</v>
      </c>
      <c r="D699" s="10">
        <f>IFERROR(SUMIFS('Base bordo'!G$2:G$746,'Base bordo'!C$2:C$746,A699,'Base bordo'!B$2:B$746,B699,'Base bordo'!F$2:F$746,"DESLOCAMENTO VAZIO"),0)</f>
        <v>2.9716666666666667</v>
      </c>
      <c r="E699" s="10">
        <f>IFERROR(SUMIFS('Base bordo'!G$2:G$746,'Base bordo'!C$2:C$746,A699,'Base bordo'!B$2:B$746,B699,'Base bordo'!F$2:F$746,"DESLOCAMENTO CARREGADO"),0)</f>
        <v>3.6794444444444445</v>
      </c>
      <c r="F699" s="10">
        <f>IFERROR(SUMIFS('Base bordo'!G$2:G$746,'Base bordo'!C$2:C$746,A699,'Base bordo'!B$2:B$746,B699,'Base bordo'!F$2:F$746,"DESLOCAMENTO"),0)</f>
        <v>0.29694444444444446</v>
      </c>
      <c r="G699" s="10">
        <f>IFERROR(SUMIFS('Base bordo'!G$2:G$746,'Base bordo'!C$2:C$746,A699,'Base bordo'!B$2:B$746,B699,'Base bordo'!F$2:F$746,"CARREGAMENTO"),0)</f>
        <v>0.64583333333333337</v>
      </c>
      <c r="H699" s="10">
        <f>IFERROR(SUMIFS('Base bordo'!G$2:G$746,'Base bordo'!C$2:C$746,A699,'Base bordo'!B$2:B$746,B699,'Base bordo'!F$2:F$746,"AGUARDANDO TRANSBORDO"),0)</f>
        <v>9.6666666666666665E-2</v>
      </c>
      <c r="I699" s="10">
        <f>IFERROR(SUMIFS('Base bordo'!G$2:G$746,'Base bordo'!C$2:C$746,A699,'Base bordo'!B$2:B$746,B699,'Base bordo'!F$2:F$746,"PÁTIO INTERNO"),0)+IFERROR(SUMIFS('Base bordo'!G$2:G$746,'Base bordo'!C$2:C$746,A699,'Base bordo'!B$2:B$746,B699,'Base bordo'!F$2:F$746,"PÁTIO EXTERNO"),0)+IFERROR(SUMIFS('Base bordo'!G$2:G$746,'Base bordo'!C$2:C$746,A699,'Base bordo'!B$2:B$746,B699,'Base bordo'!F$2:F$746,"PATIO - RESERVA"),0)+IFERROR(SUMIFS('Base bordo'!G$2:G$746,'Base bordo'!C$2:C$746,A699,'Base bordo'!B$2:B$746,B699,'Base bordo'!F$2:F$746,"MANOBRA CARRETAS-PATIO"),0)</f>
        <v>9.5841666666666665</v>
      </c>
      <c r="J699" s="10">
        <f>IFERROR(SUMIFS('Base bordo'!G$2:G$746,'Base bordo'!C$2:C$746,A699,'Base bordo'!B$2:B$746,B699,'Base bordo'!F$2:F$746,"BALANÇA - ENTRADA"),0)+IFERROR(SUMIFS('Base bordo'!G$2:G$746,'Base bordo'!C$2:C$746,A699,'Base bordo'!B$2:B$746,B699,'Base bordo'!F$2:F$746,"BALANÇA - SAÍDA"),0)</f>
        <v>4.1944444444444444E-2</v>
      </c>
      <c r="K699" s="10">
        <f>IFERROR(SUMIFS('Base bordo'!G$2:G$746,'Base bordo'!C$2:C$746,A699,'Base bordo'!B$2:B$746,B699,'Base bordo'!F$2:F$746,"MAN PREVENTIVA - MECANICA"),0)+IFERROR(SUMIFS('Base bordo'!G$2:G$746,'Base bordo'!C$2:C$746,A699,'Base bordo'!B$2:B$746,B699,'Base bordo'!F$2:F$746,"MAN CORRETIVA - MECANICA"),0)</f>
        <v>0</v>
      </c>
      <c r="L699" s="10">
        <f>IFERROR(SUMIFS('Base bordo'!G$2:G$746,'Base bordo'!C$2:C$746,A699,'Base bordo'!B$2:B$746,B699,'Base bordo'!F$2:F$746,"MANUTENCAO - T O"),0)+IFERROR(SUMIFS('Base bordo'!G$2:G$746,'Base bordo'!C$2:C$746,A699,'Base bordo'!B$2:B$746,B699,'Base bordo'!F$2:F$746,"MANUTENCAO BORRACHARIA"),0)+IFERROR(SUMIFS('Base bordo'!G$2:G$746,'Base bordo'!C$2:C$746,A699,'Base bordo'!B$2:B$746,B699,'Base bordo'!F$2:F$746,"MANUTENCAO EXTERNA  CONCESSIONARIA"),0)+IFERROR(SUMIFS('Base bordo'!G$2:G$746,'Base bordo'!C$2:C$746,A699,'Base bordo'!B$2:B$746,B699,'Base bordo'!F$2:F$746,"MANUTENCAO TELEMETRIA"),0)</f>
        <v>1.6502777777777777</v>
      </c>
      <c r="M699" s="10">
        <f>IFERROR(SUMIFS('Base bordo'!G$2:G$746,'Base bordo'!C$2:C$746,A699,'Base bordo'!B$2:B$746,B699,'Base bordo'!F$2:F$746,"AGUARDANDO MANUTENCAO"),0)</f>
        <v>3.7263888888888888</v>
      </c>
      <c r="N699" s="10">
        <f>IFERROR(SUMIFS('Base bordo'!G$2:G$746,'Base bordo'!C$2:C$746,A699,'Base bordo'!B$2:B$746,B699,'Base bordo'!F$2:F$746,"SEM APONTAMENTO"),0)</f>
        <v>0</v>
      </c>
      <c r="O699" s="10">
        <f t="shared" si="72"/>
        <v>1.3066666666666684</v>
      </c>
      <c r="P699" s="10">
        <f>IFERROR(SUMIFS('Base bordo'!G$2:G$746,'Base bordo'!C$2:C$746,A699,'Base bordo'!B$2:B$746,B699),0)</f>
        <v>24</v>
      </c>
      <c r="Q699" s="10">
        <f>IFERROR(SUMIFS('Base bordo'!H$2:H$746,'Base bordo'!C$2:C$746,A699,'Base bordo'!B$2:B$746,B699,'Base bordo'!F$2:F$746,"DESLOCAMENTO VAZIO"),0)</f>
        <v>362928.54000000004</v>
      </c>
      <c r="R699" s="10">
        <f>IFERROR(SUMIFS('Base bordo'!I$2:I$746,'Base bordo'!C$2:C$746,A699,'Base bordo'!B$2:B$746,B699,'Base bordo'!F$2:F$746,"DESLOCAMENTO VAZIO"),0)</f>
        <v>10698</v>
      </c>
      <c r="S699" s="30">
        <f t="shared" si="73"/>
        <v>33.924896242288284</v>
      </c>
      <c r="T699" s="10">
        <f>IFERROR(SUMIFS('Base bordo'!H$2:H$746,'Base bordo'!C$2:C$746,A699,'Base bordo'!B$2:B$746,B699,'Base bordo'!F$2:F$746,"DESLOCAMENTO CARREGADO"),0)</f>
        <v>342744.39</v>
      </c>
      <c r="U699" s="10">
        <f>IFERROR(SUMIFS('Base bordo'!I$2:I$746,'Base bordo'!C$2:C$746,A699,'Base bordo'!B$2:B$746,B699,'Base bordo'!F$2:F$746,"DESLOCAMENTO CARREGADO"),0)</f>
        <v>13234</v>
      </c>
      <c r="V699" s="30">
        <f t="shared" si="74"/>
        <v>25.89877512467886</v>
      </c>
      <c r="W699" s="9">
        <f t="shared" si="75"/>
        <v>0.12381944444444444</v>
      </c>
      <c r="X699" s="9">
        <f t="shared" si="76"/>
        <v>0.15331018518518519</v>
      </c>
      <c r="Y699" s="9">
        <f t="shared" si="77"/>
        <v>0.72287037037037027</v>
      </c>
    </row>
    <row r="700" spans="1:25" ht="15" customHeight="1" x14ac:dyDescent="0.35">
      <c r="A700" s="52">
        <v>8013462</v>
      </c>
      <c r="B700" s="51">
        <v>46118</v>
      </c>
      <c r="C700" s="7" t="s">
        <v>124</v>
      </c>
      <c r="D700" s="10">
        <f>IFERROR(SUMIFS('Base bordo'!G$2:G$746,'Base bordo'!C$2:C$746,A700,'Base bordo'!B$2:B$746,B700,'Base bordo'!F$2:F$746,"DESLOCAMENTO VAZIO"),0)</f>
        <v>2.9716666666666667</v>
      </c>
      <c r="E700" s="10">
        <f>IFERROR(SUMIFS('Base bordo'!G$2:G$746,'Base bordo'!C$2:C$746,A700,'Base bordo'!B$2:B$746,B700,'Base bordo'!F$2:F$746,"DESLOCAMENTO CARREGADO"),0)</f>
        <v>3.6794444444444445</v>
      </c>
      <c r="F700" s="10">
        <f>IFERROR(SUMIFS('Base bordo'!G$2:G$746,'Base bordo'!C$2:C$746,A700,'Base bordo'!B$2:B$746,B700,'Base bordo'!F$2:F$746,"DESLOCAMENTO"),0)</f>
        <v>0.29694444444444446</v>
      </c>
      <c r="G700" s="10">
        <f>IFERROR(SUMIFS('Base bordo'!G$2:G$746,'Base bordo'!C$2:C$746,A700,'Base bordo'!B$2:B$746,B700,'Base bordo'!F$2:F$746,"CARREGAMENTO"),0)</f>
        <v>0.64583333333333337</v>
      </c>
      <c r="H700" s="10">
        <f>IFERROR(SUMIFS('Base bordo'!G$2:G$746,'Base bordo'!C$2:C$746,A700,'Base bordo'!B$2:B$746,B700,'Base bordo'!F$2:F$746,"AGUARDANDO TRANSBORDO"),0)</f>
        <v>9.6666666666666665E-2</v>
      </c>
      <c r="I700" s="10">
        <f>IFERROR(SUMIFS('Base bordo'!G$2:G$746,'Base bordo'!C$2:C$746,A700,'Base bordo'!B$2:B$746,B700,'Base bordo'!F$2:F$746,"PÁTIO INTERNO"),0)+IFERROR(SUMIFS('Base bordo'!G$2:G$746,'Base bordo'!C$2:C$746,A700,'Base bordo'!B$2:B$746,B700,'Base bordo'!F$2:F$746,"PÁTIO EXTERNO"),0)+IFERROR(SUMIFS('Base bordo'!G$2:G$746,'Base bordo'!C$2:C$746,A700,'Base bordo'!B$2:B$746,B700,'Base bordo'!F$2:F$746,"PATIO - RESERVA"),0)+IFERROR(SUMIFS('Base bordo'!G$2:G$746,'Base bordo'!C$2:C$746,A700,'Base bordo'!B$2:B$746,B700,'Base bordo'!F$2:F$746,"MANOBRA CARRETAS-PATIO"),0)</f>
        <v>9.5841666666666665</v>
      </c>
      <c r="J700" s="10">
        <f>IFERROR(SUMIFS('Base bordo'!G$2:G$746,'Base bordo'!C$2:C$746,A700,'Base bordo'!B$2:B$746,B700,'Base bordo'!F$2:F$746,"BALANÇA - ENTRADA"),0)+IFERROR(SUMIFS('Base bordo'!G$2:G$746,'Base bordo'!C$2:C$746,A700,'Base bordo'!B$2:B$746,B700,'Base bordo'!F$2:F$746,"BALANÇA - SAÍDA"),0)</f>
        <v>4.1944444444444444E-2</v>
      </c>
      <c r="K700" s="10">
        <f>IFERROR(SUMIFS('Base bordo'!G$2:G$746,'Base bordo'!C$2:C$746,A700,'Base bordo'!B$2:B$746,B700,'Base bordo'!F$2:F$746,"MAN PREVENTIVA - MECANICA"),0)+IFERROR(SUMIFS('Base bordo'!G$2:G$746,'Base bordo'!C$2:C$746,A700,'Base bordo'!B$2:B$746,B700,'Base bordo'!F$2:F$746,"MAN CORRETIVA - MECANICA"),0)</f>
        <v>0</v>
      </c>
      <c r="L700" s="10">
        <f>IFERROR(SUMIFS('Base bordo'!G$2:G$746,'Base bordo'!C$2:C$746,A700,'Base bordo'!B$2:B$746,B700,'Base bordo'!F$2:F$746,"MANUTENCAO - T O"),0)+IFERROR(SUMIFS('Base bordo'!G$2:G$746,'Base bordo'!C$2:C$746,A700,'Base bordo'!B$2:B$746,B700,'Base bordo'!F$2:F$746,"MANUTENCAO BORRACHARIA"),0)+IFERROR(SUMIFS('Base bordo'!G$2:G$746,'Base bordo'!C$2:C$746,A700,'Base bordo'!B$2:B$746,B700,'Base bordo'!F$2:F$746,"MANUTENCAO EXTERNA  CONCESSIONARIA"),0)+IFERROR(SUMIFS('Base bordo'!G$2:G$746,'Base bordo'!C$2:C$746,A700,'Base bordo'!B$2:B$746,B700,'Base bordo'!F$2:F$746,"MANUTENCAO TELEMETRIA"),0)</f>
        <v>1.6502777777777777</v>
      </c>
      <c r="M700" s="10">
        <f>IFERROR(SUMIFS('Base bordo'!G$2:G$746,'Base bordo'!C$2:C$746,A700,'Base bordo'!B$2:B$746,B700,'Base bordo'!F$2:F$746,"AGUARDANDO MANUTENCAO"),0)</f>
        <v>3.7263888888888888</v>
      </c>
      <c r="N700" s="10">
        <f>IFERROR(SUMIFS('Base bordo'!G$2:G$746,'Base bordo'!C$2:C$746,A700,'Base bordo'!B$2:B$746,B700,'Base bordo'!F$2:F$746,"SEM APONTAMENTO"),0)</f>
        <v>0</v>
      </c>
      <c r="O700" s="10">
        <f t="shared" si="72"/>
        <v>1.3066666666666684</v>
      </c>
      <c r="P700" s="10">
        <f>IFERROR(SUMIFS('Base bordo'!G$2:G$746,'Base bordo'!C$2:C$746,A700,'Base bordo'!B$2:B$746,B700),0)</f>
        <v>24</v>
      </c>
      <c r="Q700" s="10">
        <f>IFERROR(SUMIFS('Base bordo'!H$2:H$746,'Base bordo'!C$2:C$746,A700,'Base bordo'!B$2:B$746,B700,'Base bordo'!F$2:F$746,"DESLOCAMENTO VAZIO"),0)</f>
        <v>362928.54000000004</v>
      </c>
      <c r="R700" s="10">
        <f>IFERROR(SUMIFS('Base bordo'!I$2:I$746,'Base bordo'!C$2:C$746,A700,'Base bordo'!B$2:B$746,B700,'Base bordo'!F$2:F$746,"DESLOCAMENTO VAZIO"),0)</f>
        <v>10698</v>
      </c>
      <c r="S700" s="30">
        <f t="shared" si="73"/>
        <v>33.924896242288284</v>
      </c>
      <c r="T700" s="10">
        <f>IFERROR(SUMIFS('Base bordo'!H$2:H$746,'Base bordo'!C$2:C$746,A700,'Base bordo'!B$2:B$746,B700,'Base bordo'!F$2:F$746,"DESLOCAMENTO CARREGADO"),0)</f>
        <v>342744.39</v>
      </c>
      <c r="U700" s="10">
        <f>IFERROR(SUMIFS('Base bordo'!I$2:I$746,'Base bordo'!C$2:C$746,A700,'Base bordo'!B$2:B$746,B700,'Base bordo'!F$2:F$746,"DESLOCAMENTO CARREGADO"),0)</f>
        <v>13234</v>
      </c>
      <c r="V700" s="30">
        <f t="shared" si="74"/>
        <v>25.89877512467886</v>
      </c>
      <c r="W700" s="9">
        <f t="shared" si="75"/>
        <v>0.12381944444444444</v>
      </c>
      <c r="X700" s="9">
        <f t="shared" si="76"/>
        <v>0.15331018518518519</v>
      </c>
      <c r="Y700" s="9">
        <f t="shared" si="77"/>
        <v>0.72287037037037027</v>
      </c>
    </row>
    <row r="701" spans="1:25" ht="15" customHeight="1" x14ac:dyDescent="0.35">
      <c r="A701" s="52">
        <v>8013462</v>
      </c>
      <c r="B701" s="51">
        <v>46118</v>
      </c>
      <c r="C701" s="7" t="s">
        <v>124</v>
      </c>
      <c r="D701" s="10">
        <f>IFERROR(SUMIFS('Base bordo'!G$2:G$746,'Base bordo'!C$2:C$746,A701,'Base bordo'!B$2:B$746,B701,'Base bordo'!F$2:F$746,"DESLOCAMENTO VAZIO"),0)</f>
        <v>2.9716666666666667</v>
      </c>
      <c r="E701" s="10">
        <f>IFERROR(SUMIFS('Base bordo'!G$2:G$746,'Base bordo'!C$2:C$746,A701,'Base bordo'!B$2:B$746,B701,'Base bordo'!F$2:F$746,"DESLOCAMENTO CARREGADO"),0)</f>
        <v>3.6794444444444445</v>
      </c>
      <c r="F701" s="10">
        <f>IFERROR(SUMIFS('Base bordo'!G$2:G$746,'Base bordo'!C$2:C$746,A701,'Base bordo'!B$2:B$746,B701,'Base bordo'!F$2:F$746,"DESLOCAMENTO"),0)</f>
        <v>0.29694444444444446</v>
      </c>
      <c r="G701" s="10">
        <f>IFERROR(SUMIFS('Base bordo'!G$2:G$746,'Base bordo'!C$2:C$746,A701,'Base bordo'!B$2:B$746,B701,'Base bordo'!F$2:F$746,"CARREGAMENTO"),0)</f>
        <v>0.64583333333333337</v>
      </c>
      <c r="H701" s="10">
        <f>IFERROR(SUMIFS('Base bordo'!G$2:G$746,'Base bordo'!C$2:C$746,A701,'Base bordo'!B$2:B$746,B701,'Base bordo'!F$2:F$746,"AGUARDANDO TRANSBORDO"),0)</f>
        <v>9.6666666666666665E-2</v>
      </c>
      <c r="I701" s="10">
        <f>IFERROR(SUMIFS('Base bordo'!G$2:G$746,'Base bordo'!C$2:C$746,A701,'Base bordo'!B$2:B$746,B701,'Base bordo'!F$2:F$746,"PÁTIO INTERNO"),0)+IFERROR(SUMIFS('Base bordo'!G$2:G$746,'Base bordo'!C$2:C$746,A701,'Base bordo'!B$2:B$746,B701,'Base bordo'!F$2:F$746,"PÁTIO EXTERNO"),0)+IFERROR(SUMIFS('Base bordo'!G$2:G$746,'Base bordo'!C$2:C$746,A701,'Base bordo'!B$2:B$746,B701,'Base bordo'!F$2:F$746,"PATIO - RESERVA"),0)+IFERROR(SUMIFS('Base bordo'!G$2:G$746,'Base bordo'!C$2:C$746,A701,'Base bordo'!B$2:B$746,B701,'Base bordo'!F$2:F$746,"MANOBRA CARRETAS-PATIO"),0)</f>
        <v>9.5841666666666665</v>
      </c>
      <c r="J701" s="10">
        <f>IFERROR(SUMIFS('Base bordo'!G$2:G$746,'Base bordo'!C$2:C$746,A701,'Base bordo'!B$2:B$746,B701,'Base bordo'!F$2:F$746,"BALANÇA - ENTRADA"),0)+IFERROR(SUMIFS('Base bordo'!G$2:G$746,'Base bordo'!C$2:C$746,A701,'Base bordo'!B$2:B$746,B701,'Base bordo'!F$2:F$746,"BALANÇA - SAÍDA"),0)</f>
        <v>4.1944444444444444E-2</v>
      </c>
      <c r="K701" s="10">
        <f>IFERROR(SUMIFS('Base bordo'!G$2:G$746,'Base bordo'!C$2:C$746,A701,'Base bordo'!B$2:B$746,B701,'Base bordo'!F$2:F$746,"MAN PREVENTIVA - MECANICA"),0)+IFERROR(SUMIFS('Base bordo'!G$2:G$746,'Base bordo'!C$2:C$746,A701,'Base bordo'!B$2:B$746,B701,'Base bordo'!F$2:F$746,"MAN CORRETIVA - MECANICA"),0)</f>
        <v>0</v>
      </c>
      <c r="L701" s="10">
        <f>IFERROR(SUMIFS('Base bordo'!G$2:G$746,'Base bordo'!C$2:C$746,A701,'Base bordo'!B$2:B$746,B701,'Base bordo'!F$2:F$746,"MANUTENCAO - T O"),0)+IFERROR(SUMIFS('Base bordo'!G$2:G$746,'Base bordo'!C$2:C$746,A701,'Base bordo'!B$2:B$746,B701,'Base bordo'!F$2:F$746,"MANUTENCAO BORRACHARIA"),0)+IFERROR(SUMIFS('Base bordo'!G$2:G$746,'Base bordo'!C$2:C$746,A701,'Base bordo'!B$2:B$746,B701,'Base bordo'!F$2:F$746,"MANUTENCAO EXTERNA  CONCESSIONARIA"),0)+IFERROR(SUMIFS('Base bordo'!G$2:G$746,'Base bordo'!C$2:C$746,A701,'Base bordo'!B$2:B$746,B701,'Base bordo'!F$2:F$746,"MANUTENCAO TELEMETRIA"),0)</f>
        <v>1.6502777777777777</v>
      </c>
      <c r="M701" s="10">
        <f>IFERROR(SUMIFS('Base bordo'!G$2:G$746,'Base bordo'!C$2:C$746,A701,'Base bordo'!B$2:B$746,B701,'Base bordo'!F$2:F$746,"AGUARDANDO MANUTENCAO"),0)</f>
        <v>3.7263888888888888</v>
      </c>
      <c r="N701" s="10">
        <f>IFERROR(SUMIFS('Base bordo'!G$2:G$746,'Base bordo'!C$2:C$746,A701,'Base bordo'!B$2:B$746,B701,'Base bordo'!F$2:F$746,"SEM APONTAMENTO"),0)</f>
        <v>0</v>
      </c>
      <c r="O701" s="10">
        <f t="shared" si="72"/>
        <v>1.3066666666666684</v>
      </c>
      <c r="P701" s="10">
        <f>IFERROR(SUMIFS('Base bordo'!G$2:G$746,'Base bordo'!C$2:C$746,A701,'Base bordo'!B$2:B$746,B701),0)</f>
        <v>24</v>
      </c>
      <c r="Q701" s="10">
        <f>IFERROR(SUMIFS('Base bordo'!H$2:H$746,'Base bordo'!C$2:C$746,A701,'Base bordo'!B$2:B$746,B701,'Base bordo'!F$2:F$746,"DESLOCAMENTO VAZIO"),0)</f>
        <v>362928.54000000004</v>
      </c>
      <c r="R701" s="10">
        <f>IFERROR(SUMIFS('Base bordo'!I$2:I$746,'Base bordo'!C$2:C$746,A701,'Base bordo'!B$2:B$746,B701,'Base bordo'!F$2:F$746,"DESLOCAMENTO VAZIO"),0)</f>
        <v>10698</v>
      </c>
      <c r="S701" s="30">
        <f t="shared" si="73"/>
        <v>33.924896242288284</v>
      </c>
      <c r="T701" s="10">
        <f>IFERROR(SUMIFS('Base bordo'!H$2:H$746,'Base bordo'!C$2:C$746,A701,'Base bordo'!B$2:B$746,B701,'Base bordo'!F$2:F$746,"DESLOCAMENTO CARREGADO"),0)</f>
        <v>342744.39</v>
      </c>
      <c r="U701" s="10">
        <f>IFERROR(SUMIFS('Base bordo'!I$2:I$746,'Base bordo'!C$2:C$746,A701,'Base bordo'!B$2:B$746,B701,'Base bordo'!F$2:F$746,"DESLOCAMENTO CARREGADO"),0)</f>
        <v>13234</v>
      </c>
      <c r="V701" s="30">
        <f t="shared" si="74"/>
        <v>25.89877512467886</v>
      </c>
      <c r="W701" s="9">
        <f t="shared" si="75"/>
        <v>0.12381944444444444</v>
      </c>
      <c r="X701" s="9">
        <f t="shared" si="76"/>
        <v>0.15331018518518519</v>
      </c>
      <c r="Y701" s="9">
        <f t="shared" si="77"/>
        <v>0.72287037037037027</v>
      </c>
    </row>
    <row r="702" spans="1:25" ht="15" customHeight="1" x14ac:dyDescent="0.35">
      <c r="A702" s="52">
        <v>8013462</v>
      </c>
      <c r="B702" s="51">
        <v>46118</v>
      </c>
      <c r="C702" s="7" t="s">
        <v>124</v>
      </c>
      <c r="D702" s="10">
        <f>IFERROR(SUMIFS('Base bordo'!G$2:G$746,'Base bordo'!C$2:C$746,A702,'Base bordo'!B$2:B$746,B702,'Base bordo'!F$2:F$746,"DESLOCAMENTO VAZIO"),0)</f>
        <v>2.9716666666666667</v>
      </c>
      <c r="E702" s="10">
        <f>IFERROR(SUMIFS('Base bordo'!G$2:G$746,'Base bordo'!C$2:C$746,A702,'Base bordo'!B$2:B$746,B702,'Base bordo'!F$2:F$746,"DESLOCAMENTO CARREGADO"),0)</f>
        <v>3.6794444444444445</v>
      </c>
      <c r="F702" s="10">
        <f>IFERROR(SUMIFS('Base bordo'!G$2:G$746,'Base bordo'!C$2:C$746,A702,'Base bordo'!B$2:B$746,B702,'Base bordo'!F$2:F$746,"DESLOCAMENTO"),0)</f>
        <v>0.29694444444444446</v>
      </c>
      <c r="G702" s="10">
        <f>IFERROR(SUMIFS('Base bordo'!G$2:G$746,'Base bordo'!C$2:C$746,A702,'Base bordo'!B$2:B$746,B702,'Base bordo'!F$2:F$746,"CARREGAMENTO"),0)</f>
        <v>0.64583333333333337</v>
      </c>
      <c r="H702" s="10">
        <f>IFERROR(SUMIFS('Base bordo'!G$2:G$746,'Base bordo'!C$2:C$746,A702,'Base bordo'!B$2:B$746,B702,'Base bordo'!F$2:F$746,"AGUARDANDO TRANSBORDO"),0)</f>
        <v>9.6666666666666665E-2</v>
      </c>
      <c r="I702" s="10">
        <f>IFERROR(SUMIFS('Base bordo'!G$2:G$746,'Base bordo'!C$2:C$746,A702,'Base bordo'!B$2:B$746,B702,'Base bordo'!F$2:F$746,"PÁTIO INTERNO"),0)+IFERROR(SUMIFS('Base bordo'!G$2:G$746,'Base bordo'!C$2:C$746,A702,'Base bordo'!B$2:B$746,B702,'Base bordo'!F$2:F$746,"PÁTIO EXTERNO"),0)+IFERROR(SUMIFS('Base bordo'!G$2:G$746,'Base bordo'!C$2:C$746,A702,'Base bordo'!B$2:B$746,B702,'Base bordo'!F$2:F$746,"PATIO - RESERVA"),0)+IFERROR(SUMIFS('Base bordo'!G$2:G$746,'Base bordo'!C$2:C$746,A702,'Base bordo'!B$2:B$746,B702,'Base bordo'!F$2:F$746,"MANOBRA CARRETAS-PATIO"),0)</f>
        <v>9.5841666666666665</v>
      </c>
      <c r="J702" s="10">
        <f>IFERROR(SUMIFS('Base bordo'!G$2:G$746,'Base bordo'!C$2:C$746,A702,'Base bordo'!B$2:B$746,B702,'Base bordo'!F$2:F$746,"BALANÇA - ENTRADA"),0)+IFERROR(SUMIFS('Base bordo'!G$2:G$746,'Base bordo'!C$2:C$746,A702,'Base bordo'!B$2:B$746,B702,'Base bordo'!F$2:F$746,"BALANÇA - SAÍDA"),0)</f>
        <v>4.1944444444444444E-2</v>
      </c>
      <c r="K702" s="10">
        <f>IFERROR(SUMIFS('Base bordo'!G$2:G$746,'Base bordo'!C$2:C$746,A702,'Base bordo'!B$2:B$746,B702,'Base bordo'!F$2:F$746,"MAN PREVENTIVA - MECANICA"),0)+IFERROR(SUMIFS('Base bordo'!G$2:G$746,'Base bordo'!C$2:C$746,A702,'Base bordo'!B$2:B$746,B702,'Base bordo'!F$2:F$746,"MAN CORRETIVA - MECANICA"),0)</f>
        <v>0</v>
      </c>
      <c r="L702" s="10">
        <f>IFERROR(SUMIFS('Base bordo'!G$2:G$746,'Base bordo'!C$2:C$746,A702,'Base bordo'!B$2:B$746,B702,'Base bordo'!F$2:F$746,"MANUTENCAO - T O"),0)+IFERROR(SUMIFS('Base bordo'!G$2:G$746,'Base bordo'!C$2:C$746,A702,'Base bordo'!B$2:B$746,B702,'Base bordo'!F$2:F$746,"MANUTENCAO BORRACHARIA"),0)+IFERROR(SUMIFS('Base bordo'!G$2:G$746,'Base bordo'!C$2:C$746,A702,'Base bordo'!B$2:B$746,B702,'Base bordo'!F$2:F$746,"MANUTENCAO EXTERNA  CONCESSIONARIA"),0)+IFERROR(SUMIFS('Base bordo'!G$2:G$746,'Base bordo'!C$2:C$746,A702,'Base bordo'!B$2:B$746,B702,'Base bordo'!F$2:F$746,"MANUTENCAO TELEMETRIA"),0)</f>
        <v>1.6502777777777777</v>
      </c>
      <c r="M702" s="10">
        <f>IFERROR(SUMIFS('Base bordo'!G$2:G$746,'Base bordo'!C$2:C$746,A702,'Base bordo'!B$2:B$746,B702,'Base bordo'!F$2:F$746,"AGUARDANDO MANUTENCAO"),0)</f>
        <v>3.7263888888888888</v>
      </c>
      <c r="N702" s="10">
        <f>IFERROR(SUMIFS('Base bordo'!G$2:G$746,'Base bordo'!C$2:C$746,A702,'Base bordo'!B$2:B$746,B702,'Base bordo'!F$2:F$746,"SEM APONTAMENTO"),0)</f>
        <v>0</v>
      </c>
      <c r="O702" s="10">
        <f t="shared" si="72"/>
        <v>1.3066666666666684</v>
      </c>
      <c r="P702" s="10">
        <f>IFERROR(SUMIFS('Base bordo'!G$2:G$746,'Base bordo'!C$2:C$746,A702,'Base bordo'!B$2:B$746,B702),0)</f>
        <v>24</v>
      </c>
      <c r="Q702" s="10">
        <f>IFERROR(SUMIFS('Base bordo'!H$2:H$746,'Base bordo'!C$2:C$746,A702,'Base bordo'!B$2:B$746,B702,'Base bordo'!F$2:F$746,"DESLOCAMENTO VAZIO"),0)</f>
        <v>362928.54000000004</v>
      </c>
      <c r="R702" s="10">
        <f>IFERROR(SUMIFS('Base bordo'!I$2:I$746,'Base bordo'!C$2:C$746,A702,'Base bordo'!B$2:B$746,B702,'Base bordo'!F$2:F$746,"DESLOCAMENTO VAZIO"),0)</f>
        <v>10698</v>
      </c>
      <c r="S702" s="30">
        <f t="shared" si="73"/>
        <v>33.924896242288284</v>
      </c>
      <c r="T702" s="10">
        <f>IFERROR(SUMIFS('Base bordo'!H$2:H$746,'Base bordo'!C$2:C$746,A702,'Base bordo'!B$2:B$746,B702,'Base bordo'!F$2:F$746,"DESLOCAMENTO CARREGADO"),0)</f>
        <v>342744.39</v>
      </c>
      <c r="U702" s="10">
        <f>IFERROR(SUMIFS('Base bordo'!I$2:I$746,'Base bordo'!C$2:C$746,A702,'Base bordo'!B$2:B$746,B702,'Base bordo'!F$2:F$746,"DESLOCAMENTO CARREGADO"),0)</f>
        <v>13234</v>
      </c>
      <c r="V702" s="30">
        <f t="shared" si="74"/>
        <v>25.89877512467886</v>
      </c>
      <c r="W702" s="9">
        <f t="shared" si="75"/>
        <v>0.12381944444444444</v>
      </c>
      <c r="X702" s="9">
        <f t="shared" si="76"/>
        <v>0.15331018518518519</v>
      </c>
      <c r="Y702" s="9">
        <f t="shared" si="77"/>
        <v>0.72287037037037027</v>
      </c>
    </row>
    <row r="703" spans="1:25" ht="15" customHeight="1" x14ac:dyDescent="0.35">
      <c r="A703" s="52">
        <v>8013462</v>
      </c>
      <c r="B703" s="51">
        <v>46118</v>
      </c>
      <c r="C703" s="7" t="s">
        <v>124</v>
      </c>
      <c r="D703" s="10">
        <f>IFERROR(SUMIFS('Base bordo'!G$2:G$746,'Base bordo'!C$2:C$746,A703,'Base bordo'!B$2:B$746,B703,'Base bordo'!F$2:F$746,"DESLOCAMENTO VAZIO"),0)</f>
        <v>2.9716666666666667</v>
      </c>
      <c r="E703" s="10">
        <f>IFERROR(SUMIFS('Base bordo'!G$2:G$746,'Base bordo'!C$2:C$746,A703,'Base bordo'!B$2:B$746,B703,'Base bordo'!F$2:F$746,"DESLOCAMENTO CARREGADO"),0)</f>
        <v>3.6794444444444445</v>
      </c>
      <c r="F703" s="10">
        <f>IFERROR(SUMIFS('Base bordo'!G$2:G$746,'Base bordo'!C$2:C$746,A703,'Base bordo'!B$2:B$746,B703,'Base bordo'!F$2:F$746,"DESLOCAMENTO"),0)</f>
        <v>0.29694444444444446</v>
      </c>
      <c r="G703" s="10">
        <f>IFERROR(SUMIFS('Base bordo'!G$2:G$746,'Base bordo'!C$2:C$746,A703,'Base bordo'!B$2:B$746,B703,'Base bordo'!F$2:F$746,"CARREGAMENTO"),0)</f>
        <v>0.64583333333333337</v>
      </c>
      <c r="H703" s="10">
        <f>IFERROR(SUMIFS('Base bordo'!G$2:G$746,'Base bordo'!C$2:C$746,A703,'Base bordo'!B$2:B$746,B703,'Base bordo'!F$2:F$746,"AGUARDANDO TRANSBORDO"),0)</f>
        <v>9.6666666666666665E-2</v>
      </c>
      <c r="I703" s="10">
        <f>IFERROR(SUMIFS('Base bordo'!G$2:G$746,'Base bordo'!C$2:C$746,A703,'Base bordo'!B$2:B$746,B703,'Base bordo'!F$2:F$746,"PÁTIO INTERNO"),0)+IFERROR(SUMIFS('Base bordo'!G$2:G$746,'Base bordo'!C$2:C$746,A703,'Base bordo'!B$2:B$746,B703,'Base bordo'!F$2:F$746,"PÁTIO EXTERNO"),0)+IFERROR(SUMIFS('Base bordo'!G$2:G$746,'Base bordo'!C$2:C$746,A703,'Base bordo'!B$2:B$746,B703,'Base bordo'!F$2:F$746,"PATIO - RESERVA"),0)+IFERROR(SUMIFS('Base bordo'!G$2:G$746,'Base bordo'!C$2:C$746,A703,'Base bordo'!B$2:B$746,B703,'Base bordo'!F$2:F$746,"MANOBRA CARRETAS-PATIO"),0)</f>
        <v>9.5841666666666665</v>
      </c>
      <c r="J703" s="10">
        <f>IFERROR(SUMIFS('Base bordo'!G$2:G$746,'Base bordo'!C$2:C$746,A703,'Base bordo'!B$2:B$746,B703,'Base bordo'!F$2:F$746,"BALANÇA - ENTRADA"),0)+IFERROR(SUMIFS('Base bordo'!G$2:G$746,'Base bordo'!C$2:C$746,A703,'Base bordo'!B$2:B$746,B703,'Base bordo'!F$2:F$746,"BALANÇA - SAÍDA"),0)</f>
        <v>4.1944444444444444E-2</v>
      </c>
      <c r="K703" s="10">
        <f>IFERROR(SUMIFS('Base bordo'!G$2:G$746,'Base bordo'!C$2:C$746,A703,'Base bordo'!B$2:B$746,B703,'Base bordo'!F$2:F$746,"MAN PREVENTIVA - MECANICA"),0)+IFERROR(SUMIFS('Base bordo'!G$2:G$746,'Base bordo'!C$2:C$746,A703,'Base bordo'!B$2:B$746,B703,'Base bordo'!F$2:F$746,"MAN CORRETIVA - MECANICA"),0)</f>
        <v>0</v>
      </c>
      <c r="L703" s="10">
        <f>IFERROR(SUMIFS('Base bordo'!G$2:G$746,'Base bordo'!C$2:C$746,A703,'Base bordo'!B$2:B$746,B703,'Base bordo'!F$2:F$746,"MANUTENCAO - T O"),0)+IFERROR(SUMIFS('Base bordo'!G$2:G$746,'Base bordo'!C$2:C$746,A703,'Base bordo'!B$2:B$746,B703,'Base bordo'!F$2:F$746,"MANUTENCAO BORRACHARIA"),0)+IFERROR(SUMIFS('Base bordo'!G$2:G$746,'Base bordo'!C$2:C$746,A703,'Base bordo'!B$2:B$746,B703,'Base bordo'!F$2:F$746,"MANUTENCAO EXTERNA  CONCESSIONARIA"),0)+IFERROR(SUMIFS('Base bordo'!G$2:G$746,'Base bordo'!C$2:C$746,A703,'Base bordo'!B$2:B$746,B703,'Base bordo'!F$2:F$746,"MANUTENCAO TELEMETRIA"),0)</f>
        <v>1.6502777777777777</v>
      </c>
      <c r="M703" s="10">
        <f>IFERROR(SUMIFS('Base bordo'!G$2:G$746,'Base bordo'!C$2:C$746,A703,'Base bordo'!B$2:B$746,B703,'Base bordo'!F$2:F$746,"AGUARDANDO MANUTENCAO"),0)</f>
        <v>3.7263888888888888</v>
      </c>
      <c r="N703" s="10">
        <f>IFERROR(SUMIFS('Base bordo'!G$2:G$746,'Base bordo'!C$2:C$746,A703,'Base bordo'!B$2:B$746,B703,'Base bordo'!F$2:F$746,"SEM APONTAMENTO"),0)</f>
        <v>0</v>
      </c>
      <c r="O703" s="10">
        <f t="shared" si="72"/>
        <v>1.3066666666666684</v>
      </c>
      <c r="P703" s="10">
        <f>IFERROR(SUMIFS('Base bordo'!G$2:G$746,'Base bordo'!C$2:C$746,A703,'Base bordo'!B$2:B$746,B703),0)</f>
        <v>24</v>
      </c>
      <c r="Q703" s="10">
        <f>IFERROR(SUMIFS('Base bordo'!H$2:H$746,'Base bordo'!C$2:C$746,A703,'Base bordo'!B$2:B$746,B703,'Base bordo'!F$2:F$746,"DESLOCAMENTO VAZIO"),0)</f>
        <v>362928.54000000004</v>
      </c>
      <c r="R703" s="10">
        <f>IFERROR(SUMIFS('Base bordo'!I$2:I$746,'Base bordo'!C$2:C$746,A703,'Base bordo'!B$2:B$746,B703,'Base bordo'!F$2:F$746,"DESLOCAMENTO VAZIO"),0)</f>
        <v>10698</v>
      </c>
      <c r="S703" s="30">
        <f t="shared" si="73"/>
        <v>33.924896242288284</v>
      </c>
      <c r="T703" s="10">
        <f>IFERROR(SUMIFS('Base bordo'!H$2:H$746,'Base bordo'!C$2:C$746,A703,'Base bordo'!B$2:B$746,B703,'Base bordo'!F$2:F$746,"DESLOCAMENTO CARREGADO"),0)</f>
        <v>342744.39</v>
      </c>
      <c r="U703" s="10">
        <f>IFERROR(SUMIFS('Base bordo'!I$2:I$746,'Base bordo'!C$2:C$746,A703,'Base bordo'!B$2:B$746,B703,'Base bordo'!F$2:F$746,"DESLOCAMENTO CARREGADO"),0)</f>
        <v>13234</v>
      </c>
      <c r="V703" s="30">
        <f t="shared" si="74"/>
        <v>25.89877512467886</v>
      </c>
      <c r="W703" s="9">
        <f t="shared" si="75"/>
        <v>0.12381944444444444</v>
      </c>
      <c r="X703" s="9">
        <f t="shared" si="76"/>
        <v>0.15331018518518519</v>
      </c>
      <c r="Y703" s="9">
        <f t="shared" si="77"/>
        <v>0.72287037037037027</v>
      </c>
    </row>
    <row r="704" spans="1:25" ht="15" customHeight="1" x14ac:dyDescent="0.35">
      <c r="A704" s="52">
        <v>8013462</v>
      </c>
      <c r="B704" s="51">
        <v>46118</v>
      </c>
      <c r="C704" s="7" t="s">
        <v>124</v>
      </c>
      <c r="D704" s="10">
        <f>IFERROR(SUMIFS('Base bordo'!G$2:G$746,'Base bordo'!C$2:C$746,A704,'Base bordo'!B$2:B$746,B704,'Base bordo'!F$2:F$746,"DESLOCAMENTO VAZIO"),0)</f>
        <v>2.9716666666666667</v>
      </c>
      <c r="E704" s="10">
        <f>IFERROR(SUMIFS('Base bordo'!G$2:G$746,'Base bordo'!C$2:C$746,A704,'Base bordo'!B$2:B$746,B704,'Base bordo'!F$2:F$746,"DESLOCAMENTO CARREGADO"),0)</f>
        <v>3.6794444444444445</v>
      </c>
      <c r="F704" s="10">
        <f>IFERROR(SUMIFS('Base bordo'!G$2:G$746,'Base bordo'!C$2:C$746,A704,'Base bordo'!B$2:B$746,B704,'Base bordo'!F$2:F$746,"DESLOCAMENTO"),0)</f>
        <v>0.29694444444444446</v>
      </c>
      <c r="G704" s="10">
        <f>IFERROR(SUMIFS('Base bordo'!G$2:G$746,'Base bordo'!C$2:C$746,A704,'Base bordo'!B$2:B$746,B704,'Base bordo'!F$2:F$746,"CARREGAMENTO"),0)</f>
        <v>0.64583333333333337</v>
      </c>
      <c r="H704" s="10">
        <f>IFERROR(SUMIFS('Base bordo'!G$2:G$746,'Base bordo'!C$2:C$746,A704,'Base bordo'!B$2:B$746,B704,'Base bordo'!F$2:F$746,"AGUARDANDO TRANSBORDO"),0)</f>
        <v>9.6666666666666665E-2</v>
      </c>
      <c r="I704" s="10">
        <f>IFERROR(SUMIFS('Base bordo'!G$2:G$746,'Base bordo'!C$2:C$746,A704,'Base bordo'!B$2:B$746,B704,'Base bordo'!F$2:F$746,"PÁTIO INTERNO"),0)+IFERROR(SUMIFS('Base bordo'!G$2:G$746,'Base bordo'!C$2:C$746,A704,'Base bordo'!B$2:B$746,B704,'Base bordo'!F$2:F$746,"PÁTIO EXTERNO"),0)+IFERROR(SUMIFS('Base bordo'!G$2:G$746,'Base bordo'!C$2:C$746,A704,'Base bordo'!B$2:B$746,B704,'Base bordo'!F$2:F$746,"PATIO - RESERVA"),0)+IFERROR(SUMIFS('Base bordo'!G$2:G$746,'Base bordo'!C$2:C$746,A704,'Base bordo'!B$2:B$746,B704,'Base bordo'!F$2:F$746,"MANOBRA CARRETAS-PATIO"),0)</f>
        <v>9.5841666666666665</v>
      </c>
      <c r="J704" s="10">
        <f>IFERROR(SUMIFS('Base bordo'!G$2:G$746,'Base bordo'!C$2:C$746,A704,'Base bordo'!B$2:B$746,B704,'Base bordo'!F$2:F$746,"BALANÇA - ENTRADA"),0)+IFERROR(SUMIFS('Base bordo'!G$2:G$746,'Base bordo'!C$2:C$746,A704,'Base bordo'!B$2:B$746,B704,'Base bordo'!F$2:F$746,"BALANÇA - SAÍDA"),0)</f>
        <v>4.1944444444444444E-2</v>
      </c>
      <c r="K704" s="10">
        <f>IFERROR(SUMIFS('Base bordo'!G$2:G$746,'Base bordo'!C$2:C$746,A704,'Base bordo'!B$2:B$746,B704,'Base bordo'!F$2:F$746,"MAN PREVENTIVA - MECANICA"),0)+IFERROR(SUMIFS('Base bordo'!G$2:G$746,'Base bordo'!C$2:C$746,A704,'Base bordo'!B$2:B$746,B704,'Base bordo'!F$2:F$746,"MAN CORRETIVA - MECANICA"),0)</f>
        <v>0</v>
      </c>
      <c r="L704" s="10">
        <f>IFERROR(SUMIFS('Base bordo'!G$2:G$746,'Base bordo'!C$2:C$746,A704,'Base bordo'!B$2:B$746,B704,'Base bordo'!F$2:F$746,"MANUTENCAO - T O"),0)+IFERROR(SUMIFS('Base bordo'!G$2:G$746,'Base bordo'!C$2:C$746,A704,'Base bordo'!B$2:B$746,B704,'Base bordo'!F$2:F$746,"MANUTENCAO BORRACHARIA"),0)+IFERROR(SUMIFS('Base bordo'!G$2:G$746,'Base bordo'!C$2:C$746,A704,'Base bordo'!B$2:B$746,B704,'Base bordo'!F$2:F$746,"MANUTENCAO EXTERNA  CONCESSIONARIA"),0)+IFERROR(SUMIFS('Base bordo'!G$2:G$746,'Base bordo'!C$2:C$746,A704,'Base bordo'!B$2:B$746,B704,'Base bordo'!F$2:F$746,"MANUTENCAO TELEMETRIA"),0)</f>
        <v>1.6502777777777777</v>
      </c>
      <c r="M704" s="10">
        <f>IFERROR(SUMIFS('Base bordo'!G$2:G$746,'Base bordo'!C$2:C$746,A704,'Base bordo'!B$2:B$746,B704,'Base bordo'!F$2:F$746,"AGUARDANDO MANUTENCAO"),0)</f>
        <v>3.7263888888888888</v>
      </c>
      <c r="N704" s="10">
        <f>IFERROR(SUMIFS('Base bordo'!G$2:G$746,'Base bordo'!C$2:C$746,A704,'Base bordo'!B$2:B$746,B704,'Base bordo'!F$2:F$746,"SEM APONTAMENTO"),0)</f>
        <v>0</v>
      </c>
      <c r="O704" s="10">
        <f t="shared" si="72"/>
        <v>1.3066666666666684</v>
      </c>
      <c r="P704" s="10">
        <f>IFERROR(SUMIFS('Base bordo'!G$2:G$746,'Base bordo'!C$2:C$746,A704,'Base bordo'!B$2:B$746,B704),0)</f>
        <v>24</v>
      </c>
      <c r="Q704" s="10">
        <f>IFERROR(SUMIFS('Base bordo'!H$2:H$746,'Base bordo'!C$2:C$746,A704,'Base bordo'!B$2:B$746,B704,'Base bordo'!F$2:F$746,"DESLOCAMENTO VAZIO"),0)</f>
        <v>362928.54000000004</v>
      </c>
      <c r="R704" s="10">
        <f>IFERROR(SUMIFS('Base bordo'!I$2:I$746,'Base bordo'!C$2:C$746,A704,'Base bordo'!B$2:B$746,B704,'Base bordo'!F$2:F$746,"DESLOCAMENTO VAZIO"),0)</f>
        <v>10698</v>
      </c>
      <c r="S704" s="30">
        <f t="shared" si="73"/>
        <v>33.924896242288284</v>
      </c>
      <c r="T704" s="10">
        <f>IFERROR(SUMIFS('Base bordo'!H$2:H$746,'Base bordo'!C$2:C$746,A704,'Base bordo'!B$2:B$746,B704,'Base bordo'!F$2:F$746,"DESLOCAMENTO CARREGADO"),0)</f>
        <v>342744.39</v>
      </c>
      <c r="U704" s="10">
        <f>IFERROR(SUMIFS('Base bordo'!I$2:I$746,'Base bordo'!C$2:C$746,A704,'Base bordo'!B$2:B$746,B704,'Base bordo'!F$2:F$746,"DESLOCAMENTO CARREGADO"),0)</f>
        <v>13234</v>
      </c>
      <c r="V704" s="30">
        <f t="shared" si="74"/>
        <v>25.89877512467886</v>
      </c>
      <c r="W704" s="9">
        <f t="shared" si="75"/>
        <v>0.12381944444444444</v>
      </c>
      <c r="X704" s="9">
        <f t="shared" si="76"/>
        <v>0.15331018518518519</v>
      </c>
      <c r="Y704" s="9">
        <f t="shared" si="77"/>
        <v>0.72287037037037027</v>
      </c>
    </row>
    <row r="705" spans="1:25" ht="15" customHeight="1" x14ac:dyDescent="0.35">
      <c r="A705" s="52">
        <v>8013462</v>
      </c>
      <c r="B705" s="51">
        <v>46118</v>
      </c>
      <c r="C705" s="7" t="s">
        <v>124</v>
      </c>
      <c r="D705" s="10">
        <f>IFERROR(SUMIFS('Base bordo'!G$2:G$746,'Base bordo'!C$2:C$746,A705,'Base bordo'!B$2:B$746,B705,'Base bordo'!F$2:F$746,"DESLOCAMENTO VAZIO"),0)</f>
        <v>2.9716666666666667</v>
      </c>
      <c r="E705" s="10">
        <f>IFERROR(SUMIFS('Base bordo'!G$2:G$746,'Base bordo'!C$2:C$746,A705,'Base bordo'!B$2:B$746,B705,'Base bordo'!F$2:F$746,"DESLOCAMENTO CARREGADO"),0)</f>
        <v>3.6794444444444445</v>
      </c>
      <c r="F705" s="10">
        <f>IFERROR(SUMIFS('Base bordo'!G$2:G$746,'Base bordo'!C$2:C$746,A705,'Base bordo'!B$2:B$746,B705,'Base bordo'!F$2:F$746,"DESLOCAMENTO"),0)</f>
        <v>0.29694444444444446</v>
      </c>
      <c r="G705" s="10">
        <f>IFERROR(SUMIFS('Base bordo'!G$2:G$746,'Base bordo'!C$2:C$746,A705,'Base bordo'!B$2:B$746,B705,'Base bordo'!F$2:F$746,"CARREGAMENTO"),0)</f>
        <v>0.64583333333333337</v>
      </c>
      <c r="H705" s="10">
        <f>IFERROR(SUMIFS('Base bordo'!G$2:G$746,'Base bordo'!C$2:C$746,A705,'Base bordo'!B$2:B$746,B705,'Base bordo'!F$2:F$746,"AGUARDANDO TRANSBORDO"),0)</f>
        <v>9.6666666666666665E-2</v>
      </c>
      <c r="I705" s="10">
        <f>IFERROR(SUMIFS('Base bordo'!G$2:G$746,'Base bordo'!C$2:C$746,A705,'Base bordo'!B$2:B$746,B705,'Base bordo'!F$2:F$746,"PÁTIO INTERNO"),0)+IFERROR(SUMIFS('Base bordo'!G$2:G$746,'Base bordo'!C$2:C$746,A705,'Base bordo'!B$2:B$746,B705,'Base bordo'!F$2:F$746,"PÁTIO EXTERNO"),0)+IFERROR(SUMIFS('Base bordo'!G$2:G$746,'Base bordo'!C$2:C$746,A705,'Base bordo'!B$2:B$746,B705,'Base bordo'!F$2:F$746,"PATIO - RESERVA"),0)+IFERROR(SUMIFS('Base bordo'!G$2:G$746,'Base bordo'!C$2:C$746,A705,'Base bordo'!B$2:B$746,B705,'Base bordo'!F$2:F$746,"MANOBRA CARRETAS-PATIO"),0)</f>
        <v>9.5841666666666665</v>
      </c>
      <c r="J705" s="10">
        <f>IFERROR(SUMIFS('Base bordo'!G$2:G$746,'Base bordo'!C$2:C$746,A705,'Base bordo'!B$2:B$746,B705,'Base bordo'!F$2:F$746,"BALANÇA - ENTRADA"),0)+IFERROR(SUMIFS('Base bordo'!G$2:G$746,'Base bordo'!C$2:C$746,A705,'Base bordo'!B$2:B$746,B705,'Base bordo'!F$2:F$746,"BALANÇA - SAÍDA"),0)</f>
        <v>4.1944444444444444E-2</v>
      </c>
      <c r="K705" s="10">
        <f>IFERROR(SUMIFS('Base bordo'!G$2:G$746,'Base bordo'!C$2:C$746,A705,'Base bordo'!B$2:B$746,B705,'Base bordo'!F$2:F$746,"MAN PREVENTIVA - MECANICA"),0)+IFERROR(SUMIFS('Base bordo'!G$2:G$746,'Base bordo'!C$2:C$746,A705,'Base bordo'!B$2:B$746,B705,'Base bordo'!F$2:F$746,"MAN CORRETIVA - MECANICA"),0)</f>
        <v>0</v>
      </c>
      <c r="L705" s="10">
        <f>IFERROR(SUMIFS('Base bordo'!G$2:G$746,'Base bordo'!C$2:C$746,A705,'Base bordo'!B$2:B$746,B705,'Base bordo'!F$2:F$746,"MANUTENCAO - T O"),0)+IFERROR(SUMIFS('Base bordo'!G$2:G$746,'Base bordo'!C$2:C$746,A705,'Base bordo'!B$2:B$746,B705,'Base bordo'!F$2:F$746,"MANUTENCAO BORRACHARIA"),0)+IFERROR(SUMIFS('Base bordo'!G$2:G$746,'Base bordo'!C$2:C$746,A705,'Base bordo'!B$2:B$746,B705,'Base bordo'!F$2:F$746,"MANUTENCAO EXTERNA  CONCESSIONARIA"),0)+IFERROR(SUMIFS('Base bordo'!G$2:G$746,'Base bordo'!C$2:C$746,A705,'Base bordo'!B$2:B$746,B705,'Base bordo'!F$2:F$746,"MANUTENCAO TELEMETRIA"),0)</f>
        <v>1.6502777777777777</v>
      </c>
      <c r="M705" s="10">
        <f>IFERROR(SUMIFS('Base bordo'!G$2:G$746,'Base bordo'!C$2:C$746,A705,'Base bordo'!B$2:B$746,B705,'Base bordo'!F$2:F$746,"AGUARDANDO MANUTENCAO"),0)</f>
        <v>3.7263888888888888</v>
      </c>
      <c r="N705" s="10">
        <f>IFERROR(SUMIFS('Base bordo'!G$2:G$746,'Base bordo'!C$2:C$746,A705,'Base bordo'!B$2:B$746,B705,'Base bordo'!F$2:F$746,"SEM APONTAMENTO"),0)</f>
        <v>0</v>
      </c>
      <c r="O705" s="10">
        <f t="shared" si="72"/>
        <v>1.3066666666666684</v>
      </c>
      <c r="P705" s="10">
        <f>IFERROR(SUMIFS('Base bordo'!G$2:G$746,'Base bordo'!C$2:C$746,A705,'Base bordo'!B$2:B$746,B705),0)</f>
        <v>24</v>
      </c>
      <c r="Q705" s="10">
        <f>IFERROR(SUMIFS('Base bordo'!H$2:H$746,'Base bordo'!C$2:C$746,A705,'Base bordo'!B$2:B$746,B705,'Base bordo'!F$2:F$746,"DESLOCAMENTO VAZIO"),0)</f>
        <v>362928.54000000004</v>
      </c>
      <c r="R705" s="10">
        <f>IFERROR(SUMIFS('Base bordo'!I$2:I$746,'Base bordo'!C$2:C$746,A705,'Base bordo'!B$2:B$746,B705,'Base bordo'!F$2:F$746,"DESLOCAMENTO VAZIO"),0)</f>
        <v>10698</v>
      </c>
      <c r="S705" s="30">
        <f t="shared" si="73"/>
        <v>33.924896242288284</v>
      </c>
      <c r="T705" s="10">
        <f>IFERROR(SUMIFS('Base bordo'!H$2:H$746,'Base bordo'!C$2:C$746,A705,'Base bordo'!B$2:B$746,B705,'Base bordo'!F$2:F$746,"DESLOCAMENTO CARREGADO"),0)</f>
        <v>342744.39</v>
      </c>
      <c r="U705" s="10">
        <f>IFERROR(SUMIFS('Base bordo'!I$2:I$746,'Base bordo'!C$2:C$746,A705,'Base bordo'!B$2:B$746,B705,'Base bordo'!F$2:F$746,"DESLOCAMENTO CARREGADO"),0)</f>
        <v>13234</v>
      </c>
      <c r="V705" s="30">
        <f t="shared" si="74"/>
        <v>25.89877512467886</v>
      </c>
      <c r="W705" s="9">
        <f t="shared" si="75"/>
        <v>0.12381944444444444</v>
      </c>
      <c r="X705" s="9">
        <f t="shared" si="76"/>
        <v>0.15331018518518519</v>
      </c>
      <c r="Y705" s="9">
        <f t="shared" si="77"/>
        <v>0.72287037037037027</v>
      </c>
    </row>
    <row r="706" spans="1:25" ht="15" customHeight="1" x14ac:dyDescent="0.35">
      <c r="A706" s="52">
        <v>8013462</v>
      </c>
      <c r="B706" s="51">
        <v>46118</v>
      </c>
      <c r="C706" s="7" t="s">
        <v>124</v>
      </c>
      <c r="D706" s="10">
        <f>IFERROR(SUMIFS('Base bordo'!G$2:G$746,'Base bordo'!C$2:C$746,A706,'Base bordo'!B$2:B$746,B706,'Base bordo'!F$2:F$746,"DESLOCAMENTO VAZIO"),0)</f>
        <v>2.9716666666666667</v>
      </c>
      <c r="E706" s="10">
        <f>IFERROR(SUMIFS('Base bordo'!G$2:G$746,'Base bordo'!C$2:C$746,A706,'Base bordo'!B$2:B$746,B706,'Base bordo'!F$2:F$746,"DESLOCAMENTO CARREGADO"),0)</f>
        <v>3.6794444444444445</v>
      </c>
      <c r="F706" s="10">
        <f>IFERROR(SUMIFS('Base bordo'!G$2:G$746,'Base bordo'!C$2:C$746,A706,'Base bordo'!B$2:B$746,B706,'Base bordo'!F$2:F$746,"DESLOCAMENTO"),0)</f>
        <v>0.29694444444444446</v>
      </c>
      <c r="G706" s="10">
        <f>IFERROR(SUMIFS('Base bordo'!G$2:G$746,'Base bordo'!C$2:C$746,A706,'Base bordo'!B$2:B$746,B706,'Base bordo'!F$2:F$746,"CARREGAMENTO"),0)</f>
        <v>0.64583333333333337</v>
      </c>
      <c r="H706" s="10">
        <f>IFERROR(SUMIFS('Base bordo'!G$2:G$746,'Base bordo'!C$2:C$746,A706,'Base bordo'!B$2:B$746,B706,'Base bordo'!F$2:F$746,"AGUARDANDO TRANSBORDO"),0)</f>
        <v>9.6666666666666665E-2</v>
      </c>
      <c r="I706" s="10">
        <f>IFERROR(SUMIFS('Base bordo'!G$2:G$746,'Base bordo'!C$2:C$746,A706,'Base bordo'!B$2:B$746,B706,'Base bordo'!F$2:F$746,"PÁTIO INTERNO"),0)+IFERROR(SUMIFS('Base bordo'!G$2:G$746,'Base bordo'!C$2:C$746,A706,'Base bordo'!B$2:B$746,B706,'Base bordo'!F$2:F$746,"PÁTIO EXTERNO"),0)+IFERROR(SUMIFS('Base bordo'!G$2:G$746,'Base bordo'!C$2:C$746,A706,'Base bordo'!B$2:B$746,B706,'Base bordo'!F$2:F$746,"PATIO - RESERVA"),0)+IFERROR(SUMIFS('Base bordo'!G$2:G$746,'Base bordo'!C$2:C$746,A706,'Base bordo'!B$2:B$746,B706,'Base bordo'!F$2:F$746,"MANOBRA CARRETAS-PATIO"),0)</f>
        <v>9.5841666666666665</v>
      </c>
      <c r="J706" s="10">
        <f>IFERROR(SUMIFS('Base bordo'!G$2:G$746,'Base bordo'!C$2:C$746,A706,'Base bordo'!B$2:B$746,B706,'Base bordo'!F$2:F$746,"BALANÇA - ENTRADA"),0)+IFERROR(SUMIFS('Base bordo'!G$2:G$746,'Base bordo'!C$2:C$746,A706,'Base bordo'!B$2:B$746,B706,'Base bordo'!F$2:F$746,"BALANÇA - SAÍDA"),0)</f>
        <v>4.1944444444444444E-2</v>
      </c>
      <c r="K706" s="10">
        <f>IFERROR(SUMIFS('Base bordo'!G$2:G$746,'Base bordo'!C$2:C$746,A706,'Base bordo'!B$2:B$746,B706,'Base bordo'!F$2:F$746,"MAN PREVENTIVA - MECANICA"),0)+IFERROR(SUMIFS('Base bordo'!G$2:G$746,'Base bordo'!C$2:C$746,A706,'Base bordo'!B$2:B$746,B706,'Base bordo'!F$2:F$746,"MAN CORRETIVA - MECANICA"),0)</f>
        <v>0</v>
      </c>
      <c r="L706" s="10">
        <f>IFERROR(SUMIFS('Base bordo'!G$2:G$746,'Base bordo'!C$2:C$746,A706,'Base bordo'!B$2:B$746,B706,'Base bordo'!F$2:F$746,"MANUTENCAO - T O"),0)+IFERROR(SUMIFS('Base bordo'!G$2:G$746,'Base bordo'!C$2:C$746,A706,'Base bordo'!B$2:B$746,B706,'Base bordo'!F$2:F$746,"MANUTENCAO BORRACHARIA"),0)+IFERROR(SUMIFS('Base bordo'!G$2:G$746,'Base bordo'!C$2:C$746,A706,'Base bordo'!B$2:B$746,B706,'Base bordo'!F$2:F$746,"MANUTENCAO EXTERNA  CONCESSIONARIA"),0)+IFERROR(SUMIFS('Base bordo'!G$2:G$746,'Base bordo'!C$2:C$746,A706,'Base bordo'!B$2:B$746,B706,'Base bordo'!F$2:F$746,"MANUTENCAO TELEMETRIA"),0)</f>
        <v>1.6502777777777777</v>
      </c>
      <c r="M706" s="10">
        <f>IFERROR(SUMIFS('Base bordo'!G$2:G$746,'Base bordo'!C$2:C$746,A706,'Base bordo'!B$2:B$746,B706,'Base bordo'!F$2:F$746,"AGUARDANDO MANUTENCAO"),0)</f>
        <v>3.7263888888888888</v>
      </c>
      <c r="N706" s="10">
        <f>IFERROR(SUMIFS('Base bordo'!G$2:G$746,'Base bordo'!C$2:C$746,A706,'Base bordo'!B$2:B$746,B706,'Base bordo'!F$2:F$746,"SEM APONTAMENTO"),0)</f>
        <v>0</v>
      </c>
      <c r="O706" s="10">
        <f t="shared" si="72"/>
        <v>1.3066666666666684</v>
      </c>
      <c r="P706" s="10">
        <f>IFERROR(SUMIFS('Base bordo'!G$2:G$746,'Base bordo'!C$2:C$746,A706,'Base bordo'!B$2:B$746,B706),0)</f>
        <v>24</v>
      </c>
      <c r="Q706" s="10">
        <f>IFERROR(SUMIFS('Base bordo'!H$2:H$746,'Base bordo'!C$2:C$746,A706,'Base bordo'!B$2:B$746,B706,'Base bordo'!F$2:F$746,"DESLOCAMENTO VAZIO"),0)</f>
        <v>362928.54000000004</v>
      </c>
      <c r="R706" s="10">
        <f>IFERROR(SUMIFS('Base bordo'!I$2:I$746,'Base bordo'!C$2:C$746,A706,'Base bordo'!B$2:B$746,B706,'Base bordo'!F$2:F$746,"DESLOCAMENTO VAZIO"),0)</f>
        <v>10698</v>
      </c>
      <c r="S706" s="30">
        <f t="shared" si="73"/>
        <v>33.924896242288284</v>
      </c>
      <c r="T706" s="10">
        <f>IFERROR(SUMIFS('Base bordo'!H$2:H$746,'Base bordo'!C$2:C$746,A706,'Base bordo'!B$2:B$746,B706,'Base bordo'!F$2:F$746,"DESLOCAMENTO CARREGADO"),0)</f>
        <v>342744.39</v>
      </c>
      <c r="U706" s="10">
        <f>IFERROR(SUMIFS('Base bordo'!I$2:I$746,'Base bordo'!C$2:C$746,A706,'Base bordo'!B$2:B$746,B706,'Base bordo'!F$2:F$746,"DESLOCAMENTO CARREGADO"),0)</f>
        <v>13234</v>
      </c>
      <c r="V706" s="30">
        <f t="shared" si="74"/>
        <v>25.89877512467886</v>
      </c>
      <c r="W706" s="9">
        <f t="shared" si="75"/>
        <v>0.12381944444444444</v>
      </c>
      <c r="X706" s="9">
        <f t="shared" si="76"/>
        <v>0.15331018518518519</v>
      </c>
      <c r="Y706" s="9">
        <f t="shared" si="77"/>
        <v>0.72287037037037027</v>
      </c>
    </row>
    <row r="707" spans="1:25" ht="15" customHeight="1" x14ac:dyDescent="0.35">
      <c r="A707" s="52">
        <v>8013462</v>
      </c>
      <c r="B707" s="51">
        <v>46118</v>
      </c>
      <c r="C707" s="7" t="s">
        <v>124</v>
      </c>
      <c r="D707" s="10">
        <f>IFERROR(SUMIFS('Base bordo'!G$2:G$746,'Base bordo'!C$2:C$746,A707,'Base bordo'!B$2:B$746,B707,'Base bordo'!F$2:F$746,"DESLOCAMENTO VAZIO"),0)</f>
        <v>2.9716666666666667</v>
      </c>
      <c r="E707" s="10">
        <f>IFERROR(SUMIFS('Base bordo'!G$2:G$746,'Base bordo'!C$2:C$746,A707,'Base bordo'!B$2:B$746,B707,'Base bordo'!F$2:F$746,"DESLOCAMENTO CARREGADO"),0)</f>
        <v>3.6794444444444445</v>
      </c>
      <c r="F707" s="10">
        <f>IFERROR(SUMIFS('Base bordo'!G$2:G$746,'Base bordo'!C$2:C$746,A707,'Base bordo'!B$2:B$746,B707,'Base bordo'!F$2:F$746,"DESLOCAMENTO"),0)</f>
        <v>0.29694444444444446</v>
      </c>
      <c r="G707" s="10">
        <f>IFERROR(SUMIFS('Base bordo'!G$2:G$746,'Base bordo'!C$2:C$746,A707,'Base bordo'!B$2:B$746,B707,'Base bordo'!F$2:F$746,"CARREGAMENTO"),0)</f>
        <v>0.64583333333333337</v>
      </c>
      <c r="H707" s="10">
        <f>IFERROR(SUMIFS('Base bordo'!G$2:G$746,'Base bordo'!C$2:C$746,A707,'Base bordo'!B$2:B$746,B707,'Base bordo'!F$2:F$746,"AGUARDANDO TRANSBORDO"),0)</f>
        <v>9.6666666666666665E-2</v>
      </c>
      <c r="I707" s="10">
        <f>IFERROR(SUMIFS('Base bordo'!G$2:G$746,'Base bordo'!C$2:C$746,A707,'Base bordo'!B$2:B$746,B707,'Base bordo'!F$2:F$746,"PÁTIO INTERNO"),0)+IFERROR(SUMIFS('Base bordo'!G$2:G$746,'Base bordo'!C$2:C$746,A707,'Base bordo'!B$2:B$746,B707,'Base bordo'!F$2:F$746,"PÁTIO EXTERNO"),0)+IFERROR(SUMIFS('Base bordo'!G$2:G$746,'Base bordo'!C$2:C$746,A707,'Base bordo'!B$2:B$746,B707,'Base bordo'!F$2:F$746,"PATIO - RESERVA"),0)+IFERROR(SUMIFS('Base bordo'!G$2:G$746,'Base bordo'!C$2:C$746,A707,'Base bordo'!B$2:B$746,B707,'Base bordo'!F$2:F$746,"MANOBRA CARRETAS-PATIO"),0)</f>
        <v>9.5841666666666665</v>
      </c>
      <c r="J707" s="10">
        <f>IFERROR(SUMIFS('Base bordo'!G$2:G$746,'Base bordo'!C$2:C$746,A707,'Base bordo'!B$2:B$746,B707,'Base bordo'!F$2:F$746,"BALANÇA - ENTRADA"),0)+IFERROR(SUMIFS('Base bordo'!G$2:G$746,'Base bordo'!C$2:C$746,A707,'Base bordo'!B$2:B$746,B707,'Base bordo'!F$2:F$746,"BALANÇA - SAÍDA"),0)</f>
        <v>4.1944444444444444E-2</v>
      </c>
      <c r="K707" s="10">
        <f>IFERROR(SUMIFS('Base bordo'!G$2:G$746,'Base bordo'!C$2:C$746,A707,'Base bordo'!B$2:B$746,B707,'Base bordo'!F$2:F$746,"MAN PREVENTIVA - MECANICA"),0)+IFERROR(SUMIFS('Base bordo'!G$2:G$746,'Base bordo'!C$2:C$746,A707,'Base bordo'!B$2:B$746,B707,'Base bordo'!F$2:F$746,"MAN CORRETIVA - MECANICA"),0)</f>
        <v>0</v>
      </c>
      <c r="L707" s="10">
        <f>IFERROR(SUMIFS('Base bordo'!G$2:G$746,'Base bordo'!C$2:C$746,A707,'Base bordo'!B$2:B$746,B707,'Base bordo'!F$2:F$746,"MANUTENCAO - T O"),0)+IFERROR(SUMIFS('Base bordo'!G$2:G$746,'Base bordo'!C$2:C$746,A707,'Base bordo'!B$2:B$746,B707,'Base bordo'!F$2:F$746,"MANUTENCAO BORRACHARIA"),0)+IFERROR(SUMIFS('Base bordo'!G$2:G$746,'Base bordo'!C$2:C$746,A707,'Base bordo'!B$2:B$746,B707,'Base bordo'!F$2:F$746,"MANUTENCAO EXTERNA  CONCESSIONARIA"),0)+IFERROR(SUMIFS('Base bordo'!G$2:G$746,'Base bordo'!C$2:C$746,A707,'Base bordo'!B$2:B$746,B707,'Base bordo'!F$2:F$746,"MANUTENCAO TELEMETRIA"),0)</f>
        <v>1.6502777777777777</v>
      </c>
      <c r="M707" s="10">
        <f>IFERROR(SUMIFS('Base bordo'!G$2:G$746,'Base bordo'!C$2:C$746,A707,'Base bordo'!B$2:B$746,B707,'Base bordo'!F$2:F$746,"AGUARDANDO MANUTENCAO"),0)</f>
        <v>3.7263888888888888</v>
      </c>
      <c r="N707" s="10">
        <f>IFERROR(SUMIFS('Base bordo'!G$2:G$746,'Base bordo'!C$2:C$746,A707,'Base bordo'!B$2:B$746,B707,'Base bordo'!F$2:F$746,"SEM APONTAMENTO"),0)</f>
        <v>0</v>
      </c>
      <c r="O707" s="10">
        <f t="shared" si="72"/>
        <v>1.3066666666666684</v>
      </c>
      <c r="P707" s="10">
        <f>IFERROR(SUMIFS('Base bordo'!G$2:G$746,'Base bordo'!C$2:C$746,A707,'Base bordo'!B$2:B$746,B707),0)</f>
        <v>24</v>
      </c>
      <c r="Q707" s="10">
        <f>IFERROR(SUMIFS('Base bordo'!H$2:H$746,'Base bordo'!C$2:C$746,A707,'Base bordo'!B$2:B$746,B707,'Base bordo'!F$2:F$746,"DESLOCAMENTO VAZIO"),0)</f>
        <v>362928.54000000004</v>
      </c>
      <c r="R707" s="10">
        <f>IFERROR(SUMIFS('Base bordo'!I$2:I$746,'Base bordo'!C$2:C$746,A707,'Base bordo'!B$2:B$746,B707,'Base bordo'!F$2:F$746,"DESLOCAMENTO VAZIO"),0)</f>
        <v>10698</v>
      </c>
      <c r="S707" s="30">
        <f t="shared" si="73"/>
        <v>33.924896242288284</v>
      </c>
      <c r="T707" s="10">
        <f>IFERROR(SUMIFS('Base bordo'!H$2:H$746,'Base bordo'!C$2:C$746,A707,'Base bordo'!B$2:B$746,B707,'Base bordo'!F$2:F$746,"DESLOCAMENTO CARREGADO"),0)</f>
        <v>342744.39</v>
      </c>
      <c r="U707" s="10">
        <f>IFERROR(SUMIFS('Base bordo'!I$2:I$746,'Base bordo'!C$2:C$746,A707,'Base bordo'!B$2:B$746,B707,'Base bordo'!F$2:F$746,"DESLOCAMENTO CARREGADO"),0)</f>
        <v>13234</v>
      </c>
      <c r="V707" s="30">
        <f t="shared" si="74"/>
        <v>25.89877512467886</v>
      </c>
      <c r="W707" s="9">
        <f t="shared" si="75"/>
        <v>0.12381944444444444</v>
      </c>
      <c r="X707" s="9">
        <f t="shared" si="76"/>
        <v>0.15331018518518519</v>
      </c>
      <c r="Y707" s="9">
        <f t="shared" si="77"/>
        <v>0.72287037037037027</v>
      </c>
    </row>
    <row r="708" spans="1:25" ht="15" customHeight="1" x14ac:dyDescent="0.35">
      <c r="A708" s="52">
        <v>8013462</v>
      </c>
      <c r="B708" s="51">
        <v>46118</v>
      </c>
      <c r="C708" s="7" t="s">
        <v>124</v>
      </c>
      <c r="D708" s="10">
        <f>IFERROR(SUMIFS('Base bordo'!G$2:G$746,'Base bordo'!C$2:C$746,A708,'Base bordo'!B$2:B$746,B708,'Base bordo'!F$2:F$746,"DESLOCAMENTO VAZIO"),0)</f>
        <v>2.9716666666666667</v>
      </c>
      <c r="E708" s="10">
        <f>IFERROR(SUMIFS('Base bordo'!G$2:G$746,'Base bordo'!C$2:C$746,A708,'Base bordo'!B$2:B$746,B708,'Base bordo'!F$2:F$746,"DESLOCAMENTO CARREGADO"),0)</f>
        <v>3.6794444444444445</v>
      </c>
      <c r="F708" s="10">
        <f>IFERROR(SUMIFS('Base bordo'!G$2:G$746,'Base bordo'!C$2:C$746,A708,'Base bordo'!B$2:B$746,B708,'Base bordo'!F$2:F$746,"DESLOCAMENTO"),0)</f>
        <v>0.29694444444444446</v>
      </c>
      <c r="G708" s="10">
        <f>IFERROR(SUMIFS('Base bordo'!G$2:G$746,'Base bordo'!C$2:C$746,A708,'Base bordo'!B$2:B$746,B708,'Base bordo'!F$2:F$746,"CARREGAMENTO"),0)</f>
        <v>0.64583333333333337</v>
      </c>
      <c r="H708" s="10">
        <f>IFERROR(SUMIFS('Base bordo'!G$2:G$746,'Base bordo'!C$2:C$746,A708,'Base bordo'!B$2:B$746,B708,'Base bordo'!F$2:F$746,"AGUARDANDO TRANSBORDO"),0)</f>
        <v>9.6666666666666665E-2</v>
      </c>
      <c r="I708" s="10">
        <f>IFERROR(SUMIFS('Base bordo'!G$2:G$746,'Base bordo'!C$2:C$746,A708,'Base bordo'!B$2:B$746,B708,'Base bordo'!F$2:F$746,"PÁTIO INTERNO"),0)+IFERROR(SUMIFS('Base bordo'!G$2:G$746,'Base bordo'!C$2:C$746,A708,'Base bordo'!B$2:B$746,B708,'Base bordo'!F$2:F$746,"PÁTIO EXTERNO"),0)+IFERROR(SUMIFS('Base bordo'!G$2:G$746,'Base bordo'!C$2:C$746,A708,'Base bordo'!B$2:B$746,B708,'Base bordo'!F$2:F$746,"PATIO - RESERVA"),0)+IFERROR(SUMIFS('Base bordo'!G$2:G$746,'Base bordo'!C$2:C$746,A708,'Base bordo'!B$2:B$746,B708,'Base bordo'!F$2:F$746,"MANOBRA CARRETAS-PATIO"),0)</f>
        <v>9.5841666666666665</v>
      </c>
      <c r="J708" s="10">
        <f>IFERROR(SUMIFS('Base bordo'!G$2:G$746,'Base bordo'!C$2:C$746,A708,'Base bordo'!B$2:B$746,B708,'Base bordo'!F$2:F$746,"BALANÇA - ENTRADA"),0)+IFERROR(SUMIFS('Base bordo'!G$2:G$746,'Base bordo'!C$2:C$746,A708,'Base bordo'!B$2:B$746,B708,'Base bordo'!F$2:F$746,"BALANÇA - SAÍDA"),0)</f>
        <v>4.1944444444444444E-2</v>
      </c>
      <c r="K708" s="10">
        <f>IFERROR(SUMIFS('Base bordo'!G$2:G$746,'Base bordo'!C$2:C$746,A708,'Base bordo'!B$2:B$746,B708,'Base bordo'!F$2:F$746,"MAN PREVENTIVA - MECANICA"),0)+IFERROR(SUMIFS('Base bordo'!G$2:G$746,'Base bordo'!C$2:C$746,A708,'Base bordo'!B$2:B$746,B708,'Base bordo'!F$2:F$746,"MAN CORRETIVA - MECANICA"),0)</f>
        <v>0</v>
      </c>
      <c r="L708" s="10">
        <f>IFERROR(SUMIFS('Base bordo'!G$2:G$746,'Base bordo'!C$2:C$746,A708,'Base bordo'!B$2:B$746,B708,'Base bordo'!F$2:F$746,"MANUTENCAO - T O"),0)+IFERROR(SUMIFS('Base bordo'!G$2:G$746,'Base bordo'!C$2:C$746,A708,'Base bordo'!B$2:B$746,B708,'Base bordo'!F$2:F$746,"MANUTENCAO BORRACHARIA"),0)+IFERROR(SUMIFS('Base bordo'!G$2:G$746,'Base bordo'!C$2:C$746,A708,'Base bordo'!B$2:B$746,B708,'Base bordo'!F$2:F$746,"MANUTENCAO EXTERNA  CONCESSIONARIA"),0)+IFERROR(SUMIFS('Base bordo'!G$2:G$746,'Base bordo'!C$2:C$746,A708,'Base bordo'!B$2:B$746,B708,'Base bordo'!F$2:F$746,"MANUTENCAO TELEMETRIA"),0)</f>
        <v>1.6502777777777777</v>
      </c>
      <c r="M708" s="10">
        <f>IFERROR(SUMIFS('Base bordo'!G$2:G$746,'Base bordo'!C$2:C$746,A708,'Base bordo'!B$2:B$746,B708,'Base bordo'!F$2:F$746,"AGUARDANDO MANUTENCAO"),0)</f>
        <v>3.7263888888888888</v>
      </c>
      <c r="N708" s="10">
        <f>IFERROR(SUMIFS('Base bordo'!G$2:G$746,'Base bordo'!C$2:C$746,A708,'Base bordo'!B$2:B$746,B708,'Base bordo'!F$2:F$746,"SEM APONTAMENTO"),0)</f>
        <v>0</v>
      </c>
      <c r="O708" s="10">
        <f t="shared" si="72"/>
        <v>1.3066666666666684</v>
      </c>
      <c r="P708" s="10">
        <f>IFERROR(SUMIFS('Base bordo'!G$2:G$746,'Base bordo'!C$2:C$746,A708,'Base bordo'!B$2:B$746,B708),0)</f>
        <v>24</v>
      </c>
      <c r="Q708" s="10">
        <f>IFERROR(SUMIFS('Base bordo'!H$2:H$746,'Base bordo'!C$2:C$746,A708,'Base bordo'!B$2:B$746,B708,'Base bordo'!F$2:F$746,"DESLOCAMENTO VAZIO"),0)</f>
        <v>362928.54000000004</v>
      </c>
      <c r="R708" s="10">
        <f>IFERROR(SUMIFS('Base bordo'!I$2:I$746,'Base bordo'!C$2:C$746,A708,'Base bordo'!B$2:B$746,B708,'Base bordo'!F$2:F$746,"DESLOCAMENTO VAZIO"),0)</f>
        <v>10698</v>
      </c>
      <c r="S708" s="30">
        <f t="shared" si="73"/>
        <v>33.924896242288284</v>
      </c>
      <c r="T708" s="10">
        <f>IFERROR(SUMIFS('Base bordo'!H$2:H$746,'Base bordo'!C$2:C$746,A708,'Base bordo'!B$2:B$746,B708,'Base bordo'!F$2:F$746,"DESLOCAMENTO CARREGADO"),0)</f>
        <v>342744.39</v>
      </c>
      <c r="U708" s="10">
        <f>IFERROR(SUMIFS('Base bordo'!I$2:I$746,'Base bordo'!C$2:C$746,A708,'Base bordo'!B$2:B$746,B708,'Base bordo'!F$2:F$746,"DESLOCAMENTO CARREGADO"),0)</f>
        <v>13234</v>
      </c>
      <c r="V708" s="30">
        <f t="shared" si="74"/>
        <v>25.89877512467886</v>
      </c>
      <c r="W708" s="9">
        <f t="shared" si="75"/>
        <v>0.12381944444444444</v>
      </c>
      <c r="X708" s="9">
        <f t="shared" si="76"/>
        <v>0.15331018518518519</v>
      </c>
      <c r="Y708" s="9">
        <f t="shared" si="77"/>
        <v>0.72287037037037027</v>
      </c>
    </row>
    <row r="709" spans="1:25" ht="15" customHeight="1" x14ac:dyDescent="0.35">
      <c r="A709" s="52">
        <v>8013465</v>
      </c>
      <c r="B709" s="51">
        <v>46118</v>
      </c>
      <c r="C709" s="7" t="s">
        <v>124</v>
      </c>
      <c r="D709" s="10">
        <f>IFERROR(SUMIFS('Base bordo'!G$2:G$746,'Base bordo'!C$2:C$746,A709,'Base bordo'!B$2:B$746,B709,'Base bordo'!F$2:F$746,"DESLOCAMENTO VAZIO"),0)</f>
        <v>0</v>
      </c>
      <c r="E709" s="10">
        <f>IFERROR(SUMIFS('Base bordo'!G$2:G$746,'Base bordo'!C$2:C$746,A709,'Base bordo'!B$2:B$746,B709,'Base bordo'!F$2:F$746,"DESLOCAMENTO CARREGADO"),0)</f>
        <v>0</v>
      </c>
      <c r="F709" s="10">
        <f>IFERROR(SUMIFS('Base bordo'!G$2:G$746,'Base bordo'!C$2:C$746,A709,'Base bordo'!B$2:B$746,B709,'Base bordo'!F$2:F$746,"DESLOCAMENTO"),0)</f>
        <v>0</v>
      </c>
      <c r="G709" s="10">
        <f>IFERROR(SUMIFS('Base bordo'!G$2:G$746,'Base bordo'!C$2:C$746,A709,'Base bordo'!B$2:B$746,B709,'Base bordo'!F$2:F$746,"CARREGAMENTO"),0)</f>
        <v>0</v>
      </c>
      <c r="H709" s="10">
        <f>IFERROR(SUMIFS('Base bordo'!G$2:G$746,'Base bordo'!C$2:C$746,A709,'Base bordo'!B$2:B$746,B709,'Base bordo'!F$2:F$746,"AGUARDANDO TRANSBORDO"),0)</f>
        <v>0</v>
      </c>
      <c r="I709" s="10">
        <f>IFERROR(SUMIFS('Base bordo'!G$2:G$746,'Base bordo'!C$2:C$746,A709,'Base bordo'!B$2:B$746,B709,'Base bordo'!F$2:F$746,"PÁTIO INTERNO"),0)+IFERROR(SUMIFS('Base bordo'!G$2:G$746,'Base bordo'!C$2:C$746,A709,'Base bordo'!B$2:B$746,B709,'Base bordo'!F$2:F$746,"PÁTIO EXTERNO"),0)+IFERROR(SUMIFS('Base bordo'!G$2:G$746,'Base bordo'!C$2:C$746,A709,'Base bordo'!B$2:B$746,B709,'Base bordo'!F$2:F$746,"PATIO - RESERVA"),0)+IFERROR(SUMIFS('Base bordo'!G$2:G$746,'Base bordo'!C$2:C$746,A709,'Base bordo'!B$2:B$746,B709,'Base bordo'!F$2:F$746,"MANOBRA CARRETAS-PATIO"),0)</f>
        <v>0</v>
      </c>
      <c r="J709" s="10">
        <f>IFERROR(SUMIFS('Base bordo'!G$2:G$746,'Base bordo'!C$2:C$746,A709,'Base bordo'!B$2:B$746,B709,'Base bordo'!F$2:F$746,"BALANÇA - ENTRADA"),0)+IFERROR(SUMIFS('Base bordo'!G$2:G$746,'Base bordo'!C$2:C$746,A709,'Base bordo'!B$2:B$746,B709,'Base bordo'!F$2:F$746,"BALANÇA - SAÍDA"),0)</f>
        <v>0</v>
      </c>
      <c r="K709" s="10">
        <f>IFERROR(SUMIFS('Base bordo'!G$2:G$746,'Base bordo'!C$2:C$746,A709,'Base bordo'!B$2:B$746,B709,'Base bordo'!F$2:F$746,"MAN PREVENTIVA - MECANICA"),0)+IFERROR(SUMIFS('Base bordo'!G$2:G$746,'Base bordo'!C$2:C$746,A709,'Base bordo'!B$2:B$746,B709,'Base bordo'!F$2:F$746,"MAN CORRETIVA - MECANICA"),0)</f>
        <v>0</v>
      </c>
      <c r="L709" s="10">
        <f>IFERROR(SUMIFS('Base bordo'!G$2:G$746,'Base bordo'!C$2:C$746,A709,'Base bordo'!B$2:B$746,B709,'Base bordo'!F$2:F$746,"MANUTENCAO - T O"),0)+IFERROR(SUMIFS('Base bordo'!G$2:G$746,'Base bordo'!C$2:C$746,A709,'Base bordo'!B$2:B$746,B709,'Base bordo'!F$2:F$746,"MANUTENCAO BORRACHARIA"),0)+IFERROR(SUMIFS('Base bordo'!G$2:G$746,'Base bordo'!C$2:C$746,A709,'Base bordo'!B$2:B$746,B709,'Base bordo'!F$2:F$746,"MANUTENCAO EXTERNA  CONCESSIONARIA"),0)+IFERROR(SUMIFS('Base bordo'!G$2:G$746,'Base bordo'!C$2:C$746,A709,'Base bordo'!B$2:B$746,B709,'Base bordo'!F$2:F$746,"MANUTENCAO TELEMETRIA"),0)</f>
        <v>24</v>
      </c>
      <c r="M709" s="10">
        <f>IFERROR(SUMIFS('Base bordo'!G$2:G$746,'Base bordo'!C$2:C$746,A709,'Base bordo'!B$2:B$746,B709,'Base bordo'!F$2:F$746,"AGUARDANDO MANUTENCAO"),0)</f>
        <v>0</v>
      </c>
      <c r="N709" s="10">
        <f>IFERROR(SUMIFS('Base bordo'!G$2:G$746,'Base bordo'!C$2:C$746,A709,'Base bordo'!B$2:B$746,B709,'Base bordo'!F$2:F$746,"SEM APONTAMENTO"),0)</f>
        <v>0</v>
      </c>
      <c r="O709" s="10">
        <f t="shared" si="72"/>
        <v>0</v>
      </c>
      <c r="P709" s="10">
        <f>IFERROR(SUMIFS('Base bordo'!G$2:G$746,'Base bordo'!C$2:C$746,A709,'Base bordo'!B$2:B$746,B709),0)</f>
        <v>24</v>
      </c>
      <c r="Q709" s="10">
        <f>IFERROR(SUMIFS('Base bordo'!H$2:H$746,'Base bordo'!C$2:C$746,A709,'Base bordo'!B$2:B$746,B709,'Base bordo'!F$2:F$746,"DESLOCAMENTO VAZIO"),0)</f>
        <v>0</v>
      </c>
      <c r="R709" s="10">
        <f>IFERROR(SUMIFS('Base bordo'!I$2:I$746,'Base bordo'!C$2:C$746,A709,'Base bordo'!B$2:B$746,B709,'Base bordo'!F$2:F$746,"DESLOCAMENTO VAZIO"),0)</f>
        <v>0</v>
      </c>
      <c r="S709" s="30" t="str">
        <f t="shared" si="73"/>
        <v/>
      </c>
      <c r="T709" s="10">
        <f>IFERROR(SUMIFS('Base bordo'!H$2:H$746,'Base bordo'!C$2:C$746,A709,'Base bordo'!B$2:B$746,B709,'Base bordo'!F$2:F$746,"DESLOCAMENTO CARREGADO"),0)</f>
        <v>0</v>
      </c>
      <c r="U709" s="10">
        <f>IFERROR(SUMIFS('Base bordo'!I$2:I$746,'Base bordo'!C$2:C$746,A709,'Base bordo'!B$2:B$746,B709,'Base bordo'!F$2:F$746,"DESLOCAMENTO CARREGADO"),0)</f>
        <v>0</v>
      </c>
      <c r="V709" s="30" t="str">
        <f t="shared" si="74"/>
        <v/>
      </c>
      <c r="W709" s="9">
        <f t="shared" si="75"/>
        <v>0</v>
      </c>
      <c r="X709" s="9">
        <f t="shared" si="76"/>
        <v>0</v>
      </c>
      <c r="Y709" s="9">
        <f t="shared" si="77"/>
        <v>1</v>
      </c>
    </row>
    <row r="710" spans="1:25" ht="15" customHeight="1" x14ac:dyDescent="0.35">
      <c r="A710" s="52">
        <v>8013468</v>
      </c>
      <c r="B710" s="51">
        <v>46118</v>
      </c>
      <c r="C710" s="7" t="s">
        <v>124</v>
      </c>
      <c r="D710" s="10">
        <f>IFERROR(SUMIFS('Base bordo'!G$2:G$746,'Base bordo'!C$2:C$746,A710,'Base bordo'!B$2:B$746,B710,'Base bordo'!F$2:F$746,"DESLOCAMENTO VAZIO"),0)</f>
        <v>0.6841666666666667</v>
      </c>
      <c r="E710" s="10">
        <f>IFERROR(SUMIFS('Base bordo'!G$2:G$746,'Base bordo'!C$2:C$746,A710,'Base bordo'!B$2:B$746,B710,'Base bordo'!F$2:F$746,"DESLOCAMENTO CARREGADO"),0)</f>
        <v>1.9422222222222223</v>
      </c>
      <c r="F710" s="10">
        <f>IFERROR(SUMIFS('Base bordo'!G$2:G$746,'Base bordo'!C$2:C$746,A710,'Base bordo'!B$2:B$746,B710,'Base bordo'!F$2:F$746,"DESLOCAMENTO"),0)</f>
        <v>0</v>
      </c>
      <c r="G710" s="10">
        <f>IFERROR(SUMIFS('Base bordo'!G$2:G$746,'Base bordo'!C$2:C$746,A710,'Base bordo'!B$2:B$746,B710,'Base bordo'!F$2:F$746,"CARREGAMENTO"),0)</f>
        <v>1.653888888888889</v>
      </c>
      <c r="H710" s="10">
        <f>IFERROR(SUMIFS('Base bordo'!G$2:G$746,'Base bordo'!C$2:C$746,A710,'Base bordo'!B$2:B$746,B710,'Base bordo'!F$2:F$746,"AGUARDANDO TRANSBORDO"),0)</f>
        <v>7.9522222222222219</v>
      </c>
      <c r="I710" s="10">
        <f>IFERROR(SUMIFS('Base bordo'!G$2:G$746,'Base bordo'!C$2:C$746,A710,'Base bordo'!B$2:B$746,B710,'Base bordo'!F$2:F$746,"PÁTIO INTERNO"),0)+IFERROR(SUMIFS('Base bordo'!G$2:G$746,'Base bordo'!C$2:C$746,A710,'Base bordo'!B$2:B$746,B710,'Base bordo'!F$2:F$746,"PÁTIO EXTERNO"),0)+IFERROR(SUMIFS('Base bordo'!G$2:G$746,'Base bordo'!C$2:C$746,A710,'Base bordo'!B$2:B$746,B710,'Base bordo'!F$2:F$746,"PATIO - RESERVA"),0)+IFERROR(SUMIFS('Base bordo'!G$2:G$746,'Base bordo'!C$2:C$746,A710,'Base bordo'!B$2:B$746,B710,'Base bordo'!F$2:F$746,"MANOBRA CARRETAS-PATIO"),0)</f>
        <v>3.6688888888888886</v>
      </c>
      <c r="J710" s="10">
        <f>IFERROR(SUMIFS('Base bordo'!G$2:G$746,'Base bordo'!C$2:C$746,A710,'Base bordo'!B$2:B$746,B710,'Base bordo'!F$2:F$746,"BALANÇA - ENTRADA"),0)+IFERROR(SUMIFS('Base bordo'!G$2:G$746,'Base bordo'!C$2:C$746,A710,'Base bordo'!B$2:B$746,B710,'Base bordo'!F$2:F$746,"BALANÇA - SAÍDA"),0)</f>
        <v>0.11305555555555556</v>
      </c>
      <c r="K710" s="10">
        <f>IFERROR(SUMIFS('Base bordo'!G$2:G$746,'Base bordo'!C$2:C$746,A710,'Base bordo'!B$2:B$746,B710,'Base bordo'!F$2:F$746,"MAN PREVENTIVA - MECANICA"),0)+IFERROR(SUMIFS('Base bordo'!G$2:G$746,'Base bordo'!C$2:C$746,A710,'Base bordo'!B$2:B$746,B710,'Base bordo'!F$2:F$746,"MAN CORRETIVA - MECANICA"),0)</f>
        <v>0</v>
      </c>
      <c r="L710" s="10">
        <f>IFERROR(SUMIFS('Base bordo'!G$2:G$746,'Base bordo'!C$2:C$746,A710,'Base bordo'!B$2:B$746,B710,'Base bordo'!F$2:F$746,"MANUTENCAO - T O"),0)+IFERROR(SUMIFS('Base bordo'!G$2:G$746,'Base bordo'!C$2:C$746,A710,'Base bordo'!B$2:B$746,B710,'Base bordo'!F$2:F$746,"MANUTENCAO BORRACHARIA"),0)+IFERROR(SUMIFS('Base bordo'!G$2:G$746,'Base bordo'!C$2:C$746,A710,'Base bordo'!B$2:B$746,B710,'Base bordo'!F$2:F$746,"MANUTENCAO EXTERNA  CONCESSIONARIA"),0)+IFERROR(SUMIFS('Base bordo'!G$2:G$746,'Base bordo'!C$2:C$746,A710,'Base bordo'!B$2:B$746,B710,'Base bordo'!F$2:F$746,"MANUTENCAO TELEMETRIA"),0)</f>
        <v>0</v>
      </c>
      <c r="M710" s="10">
        <f>IFERROR(SUMIFS('Base bordo'!G$2:G$746,'Base bordo'!C$2:C$746,A710,'Base bordo'!B$2:B$746,B710,'Base bordo'!F$2:F$746,"AGUARDANDO MANUTENCAO"),0)</f>
        <v>2.0486111111111112</v>
      </c>
      <c r="N710" s="10">
        <f>IFERROR(SUMIFS('Base bordo'!G$2:G$746,'Base bordo'!C$2:C$746,A710,'Base bordo'!B$2:B$746,B710,'Base bordo'!F$2:F$746,"SEM APONTAMENTO"),0)</f>
        <v>0</v>
      </c>
      <c r="O710" s="10">
        <f t="shared" si="72"/>
        <v>5.9369444444444461</v>
      </c>
      <c r="P710" s="10">
        <f>IFERROR(SUMIFS('Base bordo'!G$2:G$746,'Base bordo'!C$2:C$746,A710,'Base bordo'!B$2:B$746,B710),0)</f>
        <v>24</v>
      </c>
      <c r="Q710" s="10">
        <f>IFERROR(SUMIFS('Base bordo'!H$2:H$746,'Base bordo'!C$2:C$746,A710,'Base bordo'!B$2:B$746,B710,'Base bordo'!F$2:F$746,"DESLOCAMENTO VAZIO"),0)</f>
        <v>33045.270000000004</v>
      </c>
      <c r="R710" s="10">
        <f>IFERROR(SUMIFS('Base bordo'!I$2:I$746,'Base bordo'!C$2:C$746,A710,'Base bordo'!B$2:B$746,B710,'Base bordo'!F$2:F$746,"DESLOCAMENTO VAZIO"),0)</f>
        <v>2463</v>
      </c>
      <c r="S710" s="30">
        <f t="shared" si="73"/>
        <v>13.416674786845313</v>
      </c>
      <c r="T710" s="10">
        <f>IFERROR(SUMIFS('Base bordo'!H$2:H$746,'Base bordo'!C$2:C$746,A710,'Base bordo'!B$2:B$746,B710,'Base bordo'!F$2:F$746,"DESLOCAMENTO CARREGADO"),0)</f>
        <v>213859.12</v>
      </c>
      <c r="U710" s="10">
        <f>IFERROR(SUMIFS('Base bordo'!I$2:I$746,'Base bordo'!C$2:C$746,A710,'Base bordo'!B$2:B$746,B710,'Base bordo'!F$2:F$746,"DESLOCAMENTO CARREGADO"),0)</f>
        <v>6992</v>
      </c>
      <c r="V710" s="30">
        <f t="shared" si="74"/>
        <v>30.586258581235697</v>
      </c>
      <c r="W710" s="9">
        <f t="shared" si="75"/>
        <v>2.8506944444444446E-2</v>
      </c>
      <c r="X710" s="9">
        <f t="shared" si="76"/>
        <v>8.0925925925925929E-2</v>
      </c>
      <c r="Y710" s="9">
        <f t="shared" si="77"/>
        <v>0.89056712962962958</v>
      </c>
    </row>
    <row r="711" spans="1:25" ht="15" customHeight="1" x14ac:dyDescent="0.35">
      <c r="A711" s="52">
        <v>8013468</v>
      </c>
      <c r="B711" s="51">
        <v>46118</v>
      </c>
      <c r="C711" s="7" t="s">
        <v>124</v>
      </c>
      <c r="D711" s="10">
        <f>IFERROR(SUMIFS('Base bordo'!G$2:G$746,'Base bordo'!C$2:C$746,A711,'Base bordo'!B$2:B$746,B711,'Base bordo'!F$2:F$746,"DESLOCAMENTO VAZIO"),0)</f>
        <v>0.6841666666666667</v>
      </c>
      <c r="E711" s="10">
        <f>IFERROR(SUMIFS('Base bordo'!G$2:G$746,'Base bordo'!C$2:C$746,A711,'Base bordo'!B$2:B$746,B711,'Base bordo'!F$2:F$746,"DESLOCAMENTO CARREGADO"),0)</f>
        <v>1.9422222222222223</v>
      </c>
      <c r="F711" s="10">
        <f>IFERROR(SUMIFS('Base bordo'!G$2:G$746,'Base bordo'!C$2:C$746,A711,'Base bordo'!B$2:B$746,B711,'Base bordo'!F$2:F$746,"DESLOCAMENTO"),0)</f>
        <v>0</v>
      </c>
      <c r="G711" s="10">
        <f>IFERROR(SUMIFS('Base bordo'!G$2:G$746,'Base bordo'!C$2:C$746,A711,'Base bordo'!B$2:B$746,B711,'Base bordo'!F$2:F$746,"CARREGAMENTO"),0)</f>
        <v>1.653888888888889</v>
      </c>
      <c r="H711" s="10">
        <f>IFERROR(SUMIFS('Base bordo'!G$2:G$746,'Base bordo'!C$2:C$746,A711,'Base bordo'!B$2:B$746,B711,'Base bordo'!F$2:F$746,"AGUARDANDO TRANSBORDO"),0)</f>
        <v>7.9522222222222219</v>
      </c>
      <c r="I711" s="10">
        <f>IFERROR(SUMIFS('Base bordo'!G$2:G$746,'Base bordo'!C$2:C$746,A711,'Base bordo'!B$2:B$746,B711,'Base bordo'!F$2:F$746,"PÁTIO INTERNO"),0)+IFERROR(SUMIFS('Base bordo'!G$2:G$746,'Base bordo'!C$2:C$746,A711,'Base bordo'!B$2:B$746,B711,'Base bordo'!F$2:F$746,"PÁTIO EXTERNO"),0)+IFERROR(SUMIFS('Base bordo'!G$2:G$746,'Base bordo'!C$2:C$746,A711,'Base bordo'!B$2:B$746,B711,'Base bordo'!F$2:F$746,"PATIO - RESERVA"),0)+IFERROR(SUMIFS('Base bordo'!G$2:G$746,'Base bordo'!C$2:C$746,A711,'Base bordo'!B$2:B$746,B711,'Base bordo'!F$2:F$746,"MANOBRA CARRETAS-PATIO"),0)</f>
        <v>3.6688888888888886</v>
      </c>
      <c r="J711" s="10">
        <f>IFERROR(SUMIFS('Base bordo'!G$2:G$746,'Base bordo'!C$2:C$746,A711,'Base bordo'!B$2:B$746,B711,'Base bordo'!F$2:F$746,"BALANÇA - ENTRADA"),0)+IFERROR(SUMIFS('Base bordo'!G$2:G$746,'Base bordo'!C$2:C$746,A711,'Base bordo'!B$2:B$746,B711,'Base bordo'!F$2:F$746,"BALANÇA - SAÍDA"),0)</f>
        <v>0.11305555555555556</v>
      </c>
      <c r="K711" s="10">
        <f>IFERROR(SUMIFS('Base bordo'!G$2:G$746,'Base bordo'!C$2:C$746,A711,'Base bordo'!B$2:B$746,B711,'Base bordo'!F$2:F$746,"MAN PREVENTIVA - MECANICA"),0)+IFERROR(SUMIFS('Base bordo'!G$2:G$746,'Base bordo'!C$2:C$746,A711,'Base bordo'!B$2:B$746,B711,'Base bordo'!F$2:F$746,"MAN CORRETIVA - MECANICA"),0)</f>
        <v>0</v>
      </c>
      <c r="L711" s="10">
        <f>IFERROR(SUMIFS('Base bordo'!G$2:G$746,'Base bordo'!C$2:C$746,A711,'Base bordo'!B$2:B$746,B711,'Base bordo'!F$2:F$746,"MANUTENCAO - T O"),0)+IFERROR(SUMIFS('Base bordo'!G$2:G$746,'Base bordo'!C$2:C$746,A711,'Base bordo'!B$2:B$746,B711,'Base bordo'!F$2:F$746,"MANUTENCAO BORRACHARIA"),0)+IFERROR(SUMIFS('Base bordo'!G$2:G$746,'Base bordo'!C$2:C$746,A711,'Base bordo'!B$2:B$746,B711,'Base bordo'!F$2:F$746,"MANUTENCAO EXTERNA  CONCESSIONARIA"),0)+IFERROR(SUMIFS('Base bordo'!G$2:G$746,'Base bordo'!C$2:C$746,A711,'Base bordo'!B$2:B$746,B711,'Base bordo'!F$2:F$746,"MANUTENCAO TELEMETRIA"),0)</f>
        <v>0</v>
      </c>
      <c r="M711" s="10">
        <f>IFERROR(SUMIFS('Base bordo'!G$2:G$746,'Base bordo'!C$2:C$746,A711,'Base bordo'!B$2:B$746,B711,'Base bordo'!F$2:F$746,"AGUARDANDO MANUTENCAO"),0)</f>
        <v>2.0486111111111112</v>
      </c>
      <c r="N711" s="10">
        <f>IFERROR(SUMIFS('Base bordo'!G$2:G$746,'Base bordo'!C$2:C$746,A711,'Base bordo'!B$2:B$746,B711,'Base bordo'!F$2:F$746,"SEM APONTAMENTO"),0)</f>
        <v>0</v>
      </c>
      <c r="O711" s="10">
        <f t="shared" si="72"/>
        <v>5.9369444444444461</v>
      </c>
      <c r="P711" s="10">
        <f>IFERROR(SUMIFS('Base bordo'!G$2:G$746,'Base bordo'!C$2:C$746,A711,'Base bordo'!B$2:B$746,B711),0)</f>
        <v>24</v>
      </c>
      <c r="Q711" s="10">
        <f>IFERROR(SUMIFS('Base bordo'!H$2:H$746,'Base bordo'!C$2:C$746,A711,'Base bordo'!B$2:B$746,B711,'Base bordo'!F$2:F$746,"DESLOCAMENTO VAZIO"),0)</f>
        <v>33045.270000000004</v>
      </c>
      <c r="R711" s="10">
        <f>IFERROR(SUMIFS('Base bordo'!I$2:I$746,'Base bordo'!C$2:C$746,A711,'Base bordo'!B$2:B$746,B711,'Base bordo'!F$2:F$746,"DESLOCAMENTO VAZIO"),0)</f>
        <v>2463</v>
      </c>
      <c r="S711" s="30">
        <f t="shared" si="73"/>
        <v>13.416674786845313</v>
      </c>
      <c r="T711" s="10">
        <f>IFERROR(SUMIFS('Base bordo'!H$2:H$746,'Base bordo'!C$2:C$746,A711,'Base bordo'!B$2:B$746,B711,'Base bordo'!F$2:F$746,"DESLOCAMENTO CARREGADO"),0)</f>
        <v>213859.12</v>
      </c>
      <c r="U711" s="10">
        <f>IFERROR(SUMIFS('Base bordo'!I$2:I$746,'Base bordo'!C$2:C$746,A711,'Base bordo'!B$2:B$746,B711,'Base bordo'!F$2:F$746,"DESLOCAMENTO CARREGADO"),0)</f>
        <v>6992</v>
      </c>
      <c r="V711" s="30">
        <f t="shared" si="74"/>
        <v>30.586258581235697</v>
      </c>
      <c r="W711" s="9">
        <f t="shared" si="75"/>
        <v>2.8506944444444446E-2</v>
      </c>
      <c r="X711" s="9">
        <f t="shared" si="76"/>
        <v>8.0925925925925929E-2</v>
      </c>
      <c r="Y711" s="9">
        <f t="shared" si="77"/>
        <v>0.89056712962962958</v>
      </c>
    </row>
    <row r="712" spans="1:25" ht="15" customHeight="1" x14ac:dyDescent="0.35">
      <c r="A712" s="52">
        <v>8013468</v>
      </c>
      <c r="B712" s="51">
        <v>46118</v>
      </c>
      <c r="C712" s="7" t="s">
        <v>124</v>
      </c>
      <c r="D712" s="10">
        <f>IFERROR(SUMIFS('Base bordo'!G$2:G$746,'Base bordo'!C$2:C$746,A712,'Base bordo'!B$2:B$746,B712,'Base bordo'!F$2:F$746,"DESLOCAMENTO VAZIO"),0)</f>
        <v>0.6841666666666667</v>
      </c>
      <c r="E712" s="10">
        <f>IFERROR(SUMIFS('Base bordo'!G$2:G$746,'Base bordo'!C$2:C$746,A712,'Base bordo'!B$2:B$746,B712,'Base bordo'!F$2:F$746,"DESLOCAMENTO CARREGADO"),0)</f>
        <v>1.9422222222222223</v>
      </c>
      <c r="F712" s="10">
        <f>IFERROR(SUMIFS('Base bordo'!G$2:G$746,'Base bordo'!C$2:C$746,A712,'Base bordo'!B$2:B$746,B712,'Base bordo'!F$2:F$746,"DESLOCAMENTO"),0)</f>
        <v>0</v>
      </c>
      <c r="G712" s="10">
        <f>IFERROR(SUMIFS('Base bordo'!G$2:G$746,'Base bordo'!C$2:C$746,A712,'Base bordo'!B$2:B$746,B712,'Base bordo'!F$2:F$746,"CARREGAMENTO"),0)</f>
        <v>1.653888888888889</v>
      </c>
      <c r="H712" s="10">
        <f>IFERROR(SUMIFS('Base bordo'!G$2:G$746,'Base bordo'!C$2:C$746,A712,'Base bordo'!B$2:B$746,B712,'Base bordo'!F$2:F$746,"AGUARDANDO TRANSBORDO"),0)</f>
        <v>7.9522222222222219</v>
      </c>
      <c r="I712" s="10">
        <f>IFERROR(SUMIFS('Base bordo'!G$2:G$746,'Base bordo'!C$2:C$746,A712,'Base bordo'!B$2:B$746,B712,'Base bordo'!F$2:F$746,"PÁTIO INTERNO"),0)+IFERROR(SUMIFS('Base bordo'!G$2:G$746,'Base bordo'!C$2:C$746,A712,'Base bordo'!B$2:B$746,B712,'Base bordo'!F$2:F$746,"PÁTIO EXTERNO"),0)+IFERROR(SUMIFS('Base bordo'!G$2:G$746,'Base bordo'!C$2:C$746,A712,'Base bordo'!B$2:B$746,B712,'Base bordo'!F$2:F$746,"PATIO - RESERVA"),0)+IFERROR(SUMIFS('Base bordo'!G$2:G$746,'Base bordo'!C$2:C$746,A712,'Base bordo'!B$2:B$746,B712,'Base bordo'!F$2:F$746,"MANOBRA CARRETAS-PATIO"),0)</f>
        <v>3.6688888888888886</v>
      </c>
      <c r="J712" s="10">
        <f>IFERROR(SUMIFS('Base bordo'!G$2:G$746,'Base bordo'!C$2:C$746,A712,'Base bordo'!B$2:B$746,B712,'Base bordo'!F$2:F$746,"BALANÇA - ENTRADA"),0)+IFERROR(SUMIFS('Base bordo'!G$2:G$746,'Base bordo'!C$2:C$746,A712,'Base bordo'!B$2:B$746,B712,'Base bordo'!F$2:F$746,"BALANÇA - SAÍDA"),0)</f>
        <v>0.11305555555555556</v>
      </c>
      <c r="K712" s="10">
        <f>IFERROR(SUMIFS('Base bordo'!G$2:G$746,'Base bordo'!C$2:C$746,A712,'Base bordo'!B$2:B$746,B712,'Base bordo'!F$2:F$746,"MAN PREVENTIVA - MECANICA"),0)+IFERROR(SUMIFS('Base bordo'!G$2:G$746,'Base bordo'!C$2:C$746,A712,'Base bordo'!B$2:B$746,B712,'Base bordo'!F$2:F$746,"MAN CORRETIVA - MECANICA"),0)</f>
        <v>0</v>
      </c>
      <c r="L712" s="10">
        <f>IFERROR(SUMIFS('Base bordo'!G$2:G$746,'Base bordo'!C$2:C$746,A712,'Base bordo'!B$2:B$746,B712,'Base bordo'!F$2:F$746,"MANUTENCAO - T O"),0)+IFERROR(SUMIFS('Base bordo'!G$2:G$746,'Base bordo'!C$2:C$746,A712,'Base bordo'!B$2:B$746,B712,'Base bordo'!F$2:F$746,"MANUTENCAO BORRACHARIA"),0)+IFERROR(SUMIFS('Base bordo'!G$2:G$746,'Base bordo'!C$2:C$746,A712,'Base bordo'!B$2:B$746,B712,'Base bordo'!F$2:F$746,"MANUTENCAO EXTERNA  CONCESSIONARIA"),0)+IFERROR(SUMIFS('Base bordo'!G$2:G$746,'Base bordo'!C$2:C$746,A712,'Base bordo'!B$2:B$746,B712,'Base bordo'!F$2:F$746,"MANUTENCAO TELEMETRIA"),0)</f>
        <v>0</v>
      </c>
      <c r="M712" s="10">
        <f>IFERROR(SUMIFS('Base bordo'!G$2:G$746,'Base bordo'!C$2:C$746,A712,'Base bordo'!B$2:B$746,B712,'Base bordo'!F$2:F$746,"AGUARDANDO MANUTENCAO"),0)</f>
        <v>2.0486111111111112</v>
      </c>
      <c r="N712" s="10">
        <f>IFERROR(SUMIFS('Base bordo'!G$2:G$746,'Base bordo'!C$2:C$746,A712,'Base bordo'!B$2:B$746,B712,'Base bordo'!F$2:F$746,"SEM APONTAMENTO"),0)</f>
        <v>0</v>
      </c>
      <c r="O712" s="10">
        <f t="shared" si="72"/>
        <v>5.9369444444444461</v>
      </c>
      <c r="P712" s="10">
        <f>IFERROR(SUMIFS('Base bordo'!G$2:G$746,'Base bordo'!C$2:C$746,A712,'Base bordo'!B$2:B$746,B712),0)</f>
        <v>24</v>
      </c>
      <c r="Q712" s="10">
        <f>IFERROR(SUMIFS('Base bordo'!H$2:H$746,'Base bordo'!C$2:C$746,A712,'Base bordo'!B$2:B$746,B712,'Base bordo'!F$2:F$746,"DESLOCAMENTO VAZIO"),0)</f>
        <v>33045.270000000004</v>
      </c>
      <c r="R712" s="10">
        <f>IFERROR(SUMIFS('Base bordo'!I$2:I$746,'Base bordo'!C$2:C$746,A712,'Base bordo'!B$2:B$746,B712,'Base bordo'!F$2:F$746,"DESLOCAMENTO VAZIO"),0)</f>
        <v>2463</v>
      </c>
      <c r="S712" s="30">
        <f t="shared" si="73"/>
        <v>13.416674786845313</v>
      </c>
      <c r="T712" s="10">
        <f>IFERROR(SUMIFS('Base bordo'!H$2:H$746,'Base bordo'!C$2:C$746,A712,'Base bordo'!B$2:B$746,B712,'Base bordo'!F$2:F$746,"DESLOCAMENTO CARREGADO"),0)</f>
        <v>213859.12</v>
      </c>
      <c r="U712" s="10">
        <f>IFERROR(SUMIFS('Base bordo'!I$2:I$746,'Base bordo'!C$2:C$746,A712,'Base bordo'!B$2:B$746,B712,'Base bordo'!F$2:F$746,"DESLOCAMENTO CARREGADO"),0)</f>
        <v>6992</v>
      </c>
      <c r="V712" s="30">
        <f t="shared" si="74"/>
        <v>30.586258581235697</v>
      </c>
      <c r="W712" s="9">
        <f t="shared" si="75"/>
        <v>2.8506944444444446E-2</v>
      </c>
      <c r="X712" s="9">
        <f t="shared" si="76"/>
        <v>8.0925925925925929E-2</v>
      </c>
      <c r="Y712" s="9">
        <f t="shared" si="77"/>
        <v>0.89056712962962958</v>
      </c>
    </row>
    <row r="713" spans="1:25" ht="15" customHeight="1" x14ac:dyDescent="0.35">
      <c r="A713" s="52">
        <v>8013468</v>
      </c>
      <c r="B713" s="51">
        <v>46118</v>
      </c>
      <c r="C713" s="7" t="s">
        <v>124</v>
      </c>
      <c r="D713" s="10">
        <f>IFERROR(SUMIFS('Base bordo'!G$2:G$746,'Base bordo'!C$2:C$746,A713,'Base bordo'!B$2:B$746,B713,'Base bordo'!F$2:F$746,"DESLOCAMENTO VAZIO"),0)</f>
        <v>0.6841666666666667</v>
      </c>
      <c r="E713" s="10">
        <f>IFERROR(SUMIFS('Base bordo'!G$2:G$746,'Base bordo'!C$2:C$746,A713,'Base bordo'!B$2:B$746,B713,'Base bordo'!F$2:F$746,"DESLOCAMENTO CARREGADO"),0)</f>
        <v>1.9422222222222223</v>
      </c>
      <c r="F713" s="10">
        <f>IFERROR(SUMIFS('Base bordo'!G$2:G$746,'Base bordo'!C$2:C$746,A713,'Base bordo'!B$2:B$746,B713,'Base bordo'!F$2:F$746,"DESLOCAMENTO"),0)</f>
        <v>0</v>
      </c>
      <c r="G713" s="10">
        <f>IFERROR(SUMIFS('Base bordo'!G$2:G$746,'Base bordo'!C$2:C$746,A713,'Base bordo'!B$2:B$746,B713,'Base bordo'!F$2:F$746,"CARREGAMENTO"),0)</f>
        <v>1.653888888888889</v>
      </c>
      <c r="H713" s="10">
        <f>IFERROR(SUMIFS('Base bordo'!G$2:G$746,'Base bordo'!C$2:C$746,A713,'Base bordo'!B$2:B$746,B713,'Base bordo'!F$2:F$746,"AGUARDANDO TRANSBORDO"),0)</f>
        <v>7.9522222222222219</v>
      </c>
      <c r="I713" s="10">
        <f>IFERROR(SUMIFS('Base bordo'!G$2:G$746,'Base bordo'!C$2:C$746,A713,'Base bordo'!B$2:B$746,B713,'Base bordo'!F$2:F$746,"PÁTIO INTERNO"),0)+IFERROR(SUMIFS('Base bordo'!G$2:G$746,'Base bordo'!C$2:C$746,A713,'Base bordo'!B$2:B$746,B713,'Base bordo'!F$2:F$746,"PÁTIO EXTERNO"),0)+IFERROR(SUMIFS('Base bordo'!G$2:G$746,'Base bordo'!C$2:C$746,A713,'Base bordo'!B$2:B$746,B713,'Base bordo'!F$2:F$746,"PATIO - RESERVA"),0)+IFERROR(SUMIFS('Base bordo'!G$2:G$746,'Base bordo'!C$2:C$746,A713,'Base bordo'!B$2:B$746,B713,'Base bordo'!F$2:F$746,"MANOBRA CARRETAS-PATIO"),0)</f>
        <v>3.6688888888888886</v>
      </c>
      <c r="J713" s="10">
        <f>IFERROR(SUMIFS('Base bordo'!G$2:G$746,'Base bordo'!C$2:C$746,A713,'Base bordo'!B$2:B$746,B713,'Base bordo'!F$2:F$746,"BALANÇA - ENTRADA"),0)+IFERROR(SUMIFS('Base bordo'!G$2:G$746,'Base bordo'!C$2:C$746,A713,'Base bordo'!B$2:B$746,B713,'Base bordo'!F$2:F$746,"BALANÇA - SAÍDA"),0)</f>
        <v>0.11305555555555556</v>
      </c>
      <c r="K713" s="10">
        <f>IFERROR(SUMIFS('Base bordo'!G$2:G$746,'Base bordo'!C$2:C$746,A713,'Base bordo'!B$2:B$746,B713,'Base bordo'!F$2:F$746,"MAN PREVENTIVA - MECANICA"),0)+IFERROR(SUMIFS('Base bordo'!G$2:G$746,'Base bordo'!C$2:C$746,A713,'Base bordo'!B$2:B$746,B713,'Base bordo'!F$2:F$746,"MAN CORRETIVA - MECANICA"),0)</f>
        <v>0</v>
      </c>
      <c r="L713" s="10">
        <f>IFERROR(SUMIFS('Base bordo'!G$2:G$746,'Base bordo'!C$2:C$746,A713,'Base bordo'!B$2:B$746,B713,'Base bordo'!F$2:F$746,"MANUTENCAO - T O"),0)+IFERROR(SUMIFS('Base bordo'!G$2:G$746,'Base bordo'!C$2:C$746,A713,'Base bordo'!B$2:B$746,B713,'Base bordo'!F$2:F$746,"MANUTENCAO BORRACHARIA"),0)+IFERROR(SUMIFS('Base bordo'!G$2:G$746,'Base bordo'!C$2:C$746,A713,'Base bordo'!B$2:B$746,B713,'Base bordo'!F$2:F$746,"MANUTENCAO EXTERNA  CONCESSIONARIA"),0)+IFERROR(SUMIFS('Base bordo'!G$2:G$746,'Base bordo'!C$2:C$746,A713,'Base bordo'!B$2:B$746,B713,'Base bordo'!F$2:F$746,"MANUTENCAO TELEMETRIA"),0)</f>
        <v>0</v>
      </c>
      <c r="M713" s="10">
        <f>IFERROR(SUMIFS('Base bordo'!G$2:G$746,'Base bordo'!C$2:C$746,A713,'Base bordo'!B$2:B$746,B713,'Base bordo'!F$2:F$746,"AGUARDANDO MANUTENCAO"),0)</f>
        <v>2.0486111111111112</v>
      </c>
      <c r="N713" s="10">
        <f>IFERROR(SUMIFS('Base bordo'!G$2:G$746,'Base bordo'!C$2:C$746,A713,'Base bordo'!B$2:B$746,B713,'Base bordo'!F$2:F$746,"SEM APONTAMENTO"),0)</f>
        <v>0</v>
      </c>
      <c r="O713" s="10">
        <f t="shared" si="72"/>
        <v>5.9369444444444461</v>
      </c>
      <c r="P713" s="10">
        <f>IFERROR(SUMIFS('Base bordo'!G$2:G$746,'Base bordo'!C$2:C$746,A713,'Base bordo'!B$2:B$746,B713),0)</f>
        <v>24</v>
      </c>
      <c r="Q713" s="10">
        <f>IFERROR(SUMIFS('Base bordo'!H$2:H$746,'Base bordo'!C$2:C$746,A713,'Base bordo'!B$2:B$746,B713,'Base bordo'!F$2:F$746,"DESLOCAMENTO VAZIO"),0)</f>
        <v>33045.270000000004</v>
      </c>
      <c r="R713" s="10">
        <f>IFERROR(SUMIFS('Base bordo'!I$2:I$746,'Base bordo'!C$2:C$746,A713,'Base bordo'!B$2:B$746,B713,'Base bordo'!F$2:F$746,"DESLOCAMENTO VAZIO"),0)</f>
        <v>2463</v>
      </c>
      <c r="S713" s="30">
        <f t="shared" si="73"/>
        <v>13.416674786845313</v>
      </c>
      <c r="T713" s="10">
        <f>IFERROR(SUMIFS('Base bordo'!H$2:H$746,'Base bordo'!C$2:C$746,A713,'Base bordo'!B$2:B$746,B713,'Base bordo'!F$2:F$746,"DESLOCAMENTO CARREGADO"),0)</f>
        <v>213859.12</v>
      </c>
      <c r="U713" s="10">
        <f>IFERROR(SUMIFS('Base bordo'!I$2:I$746,'Base bordo'!C$2:C$746,A713,'Base bordo'!B$2:B$746,B713,'Base bordo'!F$2:F$746,"DESLOCAMENTO CARREGADO"),0)</f>
        <v>6992</v>
      </c>
      <c r="V713" s="30">
        <f t="shared" si="74"/>
        <v>30.586258581235697</v>
      </c>
      <c r="W713" s="9">
        <f t="shared" si="75"/>
        <v>2.8506944444444446E-2</v>
      </c>
      <c r="X713" s="9">
        <f t="shared" si="76"/>
        <v>8.0925925925925929E-2</v>
      </c>
      <c r="Y713" s="9">
        <f t="shared" si="77"/>
        <v>0.89056712962962958</v>
      </c>
    </row>
    <row r="714" spans="1:25" ht="15" customHeight="1" x14ac:dyDescent="0.35">
      <c r="A714" s="52">
        <v>8013468</v>
      </c>
      <c r="B714" s="51">
        <v>46118</v>
      </c>
      <c r="C714" s="7" t="s">
        <v>124</v>
      </c>
      <c r="D714" s="10">
        <f>IFERROR(SUMIFS('Base bordo'!G$2:G$746,'Base bordo'!C$2:C$746,A714,'Base bordo'!B$2:B$746,B714,'Base bordo'!F$2:F$746,"DESLOCAMENTO VAZIO"),0)</f>
        <v>0.6841666666666667</v>
      </c>
      <c r="E714" s="10">
        <f>IFERROR(SUMIFS('Base bordo'!G$2:G$746,'Base bordo'!C$2:C$746,A714,'Base bordo'!B$2:B$746,B714,'Base bordo'!F$2:F$746,"DESLOCAMENTO CARREGADO"),0)</f>
        <v>1.9422222222222223</v>
      </c>
      <c r="F714" s="10">
        <f>IFERROR(SUMIFS('Base bordo'!G$2:G$746,'Base bordo'!C$2:C$746,A714,'Base bordo'!B$2:B$746,B714,'Base bordo'!F$2:F$746,"DESLOCAMENTO"),0)</f>
        <v>0</v>
      </c>
      <c r="G714" s="10">
        <f>IFERROR(SUMIFS('Base bordo'!G$2:G$746,'Base bordo'!C$2:C$746,A714,'Base bordo'!B$2:B$746,B714,'Base bordo'!F$2:F$746,"CARREGAMENTO"),0)</f>
        <v>1.653888888888889</v>
      </c>
      <c r="H714" s="10">
        <f>IFERROR(SUMIFS('Base bordo'!G$2:G$746,'Base bordo'!C$2:C$746,A714,'Base bordo'!B$2:B$746,B714,'Base bordo'!F$2:F$746,"AGUARDANDO TRANSBORDO"),0)</f>
        <v>7.9522222222222219</v>
      </c>
      <c r="I714" s="10">
        <f>IFERROR(SUMIFS('Base bordo'!G$2:G$746,'Base bordo'!C$2:C$746,A714,'Base bordo'!B$2:B$746,B714,'Base bordo'!F$2:F$746,"PÁTIO INTERNO"),0)+IFERROR(SUMIFS('Base bordo'!G$2:G$746,'Base bordo'!C$2:C$746,A714,'Base bordo'!B$2:B$746,B714,'Base bordo'!F$2:F$746,"PÁTIO EXTERNO"),0)+IFERROR(SUMIFS('Base bordo'!G$2:G$746,'Base bordo'!C$2:C$746,A714,'Base bordo'!B$2:B$746,B714,'Base bordo'!F$2:F$746,"PATIO - RESERVA"),0)+IFERROR(SUMIFS('Base bordo'!G$2:G$746,'Base bordo'!C$2:C$746,A714,'Base bordo'!B$2:B$746,B714,'Base bordo'!F$2:F$746,"MANOBRA CARRETAS-PATIO"),0)</f>
        <v>3.6688888888888886</v>
      </c>
      <c r="J714" s="10">
        <f>IFERROR(SUMIFS('Base bordo'!G$2:G$746,'Base bordo'!C$2:C$746,A714,'Base bordo'!B$2:B$746,B714,'Base bordo'!F$2:F$746,"BALANÇA - ENTRADA"),0)+IFERROR(SUMIFS('Base bordo'!G$2:G$746,'Base bordo'!C$2:C$746,A714,'Base bordo'!B$2:B$746,B714,'Base bordo'!F$2:F$746,"BALANÇA - SAÍDA"),0)</f>
        <v>0.11305555555555556</v>
      </c>
      <c r="K714" s="10">
        <f>IFERROR(SUMIFS('Base bordo'!G$2:G$746,'Base bordo'!C$2:C$746,A714,'Base bordo'!B$2:B$746,B714,'Base bordo'!F$2:F$746,"MAN PREVENTIVA - MECANICA"),0)+IFERROR(SUMIFS('Base bordo'!G$2:G$746,'Base bordo'!C$2:C$746,A714,'Base bordo'!B$2:B$746,B714,'Base bordo'!F$2:F$746,"MAN CORRETIVA - MECANICA"),0)</f>
        <v>0</v>
      </c>
      <c r="L714" s="10">
        <f>IFERROR(SUMIFS('Base bordo'!G$2:G$746,'Base bordo'!C$2:C$746,A714,'Base bordo'!B$2:B$746,B714,'Base bordo'!F$2:F$746,"MANUTENCAO - T O"),0)+IFERROR(SUMIFS('Base bordo'!G$2:G$746,'Base bordo'!C$2:C$746,A714,'Base bordo'!B$2:B$746,B714,'Base bordo'!F$2:F$746,"MANUTENCAO BORRACHARIA"),0)+IFERROR(SUMIFS('Base bordo'!G$2:G$746,'Base bordo'!C$2:C$746,A714,'Base bordo'!B$2:B$746,B714,'Base bordo'!F$2:F$746,"MANUTENCAO EXTERNA  CONCESSIONARIA"),0)+IFERROR(SUMIFS('Base bordo'!G$2:G$746,'Base bordo'!C$2:C$746,A714,'Base bordo'!B$2:B$746,B714,'Base bordo'!F$2:F$746,"MANUTENCAO TELEMETRIA"),0)</f>
        <v>0</v>
      </c>
      <c r="M714" s="10">
        <f>IFERROR(SUMIFS('Base bordo'!G$2:G$746,'Base bordo'!C$2:C$746,A714,'Base bordo'!B$2:B$746,B714,'Base bordo'!F$2:F$746,"AGUARDANDO MANUTENCAO"),0)</f>
        <v>2.0486111111111112</v>
      </c>
      <c r="N714" s="10">
        <f>IFERROR(SUMIFS('Base bordo'!G$2:G$746,'Base bordo'!C$2:C$746,A714,'Base bordo'!B$2:B$746,B714,'Base bordo'!F$2:F$746,"SEM APONTAMENTO"),0)</f>
        <v>0</v>
      </c>
      <c r="O714" s="10">
        <f t="shared" si="72"/>
        <v>5.9369444444444461</v>
      </c>
      <c r="P714" s="10">
        <f>IFERROR(SUMIFS('Base bordo'!G$2:G$746,'Base bordo'!C$2:C$746,A714,'Base bordo'!B$2:B$746,B714),0)</f>
        <v>24</v>
      </c>
      <c r="Q714" s="10">
        <f>IFERROR(SUMIFS('Base bordo'!H$2:H$746,'Base bordo'!C$2:C$746,A714,'Base bordo'!B$2:B$746,B714,'Base bordo'!F$2:F$746,"DESLOCAMENTO VAZIO"),0)</f>
        <v>33045.270000000004</v>
      </c>
      <c r="R714" s="10">
        <f>IFERROR(SUMIFS('Base bordo'!I$2:I$746,'Base bordo'!C$2:C$746,A714,'Base bordo'!B$2:B$746,B714,'Base bordo'!F$2:F$746,"DESLOCAMENTO VAZIO"),0)</f>
        <v>2463</v>
      </c>
      <c r="S714" s="30">
        <f t="shared" si="73"/>
        <v>13.416674786845313</v>
      </c>
      <c r="T714" s="10">
        <f>IFERROR(SUMIFS('Base bordo'!H$2:H$746,'Base bordo'!C$2:C$746,A714,'Base bordo'!B$2:B$746,B714,'Base bordo'!F$2:F$746,"DESLOCAMENTO CARREGADO"),0)</f>
        <v>213859.12</v>
      </c>
      <c r="U714" s="10">
        <f>IFERROR(SUMIFS('Base bordo'!I$2:I$746,'Base bordo'!C$2:C$746,A714,'Base bordo'!B$2:B$746,B714,'Base bordo'!F$2:F$746,"DESLOCAMENTO CARREGADO"),0)</f>
        <v>6992</v>
      </c>
      <c r="V714" s="30">
        <f t="shared" si="74"/>
        <v>30.586258581235697</v>
      </c>
      <c r="W714" s="9">
        <f t="shared" si="75"/>
        <v>2.8506944444444446E-2</v>
      </c>
      <c r="X714" s="9">
        <f t="shared" si="76"/>
        <v>8.0925925925925929E-2</v>
      </c>
      <c r="Y714" s="9">
        <f t="shared" si="77"/>
        <v>0.89056712962962958</v>
      </c>
    </row>
    <row r="715" spans="1:25" ht="15" customHeight="1" x14ac:dyDescent="0.35">
      <c r="A715" s="52">
        <v>8013468</v>
      </c>
      <c r="B715" s="51">
        <v>46118</v>
      </c>
      <c r="C715" s="7" t="s">
        <v>124</v>
      </c>
      <c r="D715" s="10">
        <f>IFERROR(SUMIFS('Base bordo'!G$2:G$746,'Base bordo'!C$2:C$746,A715,'Base bordo'!B$2:B$746,B715,'Base bordo'!F$2:F$746,"DESLOCAMENTO VAZIO"),0)</f>
        <v>0.6841666666666667</v>
      </c>
      <c r="E715" s="10">
        <f>IFERROR(SUMIFS('Base bordo'!G$2:G$746,'Base bordo'!C$2:C$746,A715,'Base bordo'!B$2:B$746,B715,'Base bordo'!F$2:F$746,"DESLOCAMENTO CARREGADO"),0)</f>
        <v>1.9422222222222223</v>
      </c>
      <c r="F715" s="10">
        <f>IFERROR(SUMIFS('Base bordo'!G$2:G$746,'Base bordo'!C$2:C$746,A715,'Base bordo'!B$2:B$746,B715,'Base bordo'!F$2:F$746,"DESLOCAMENTO"),0)</f>
        <v>0</v>
      </c>
      <c r="G715" s="10">
        <f>IFERROR(SUMIFS('Base bordo'!G$2:G$746,'Base bordo'!C$2:C$746,A715,'Base bordo'!B$2:B$746,B715,'Base bordo'!F$2:F$746,"CARREGAMENTO"),0)</f>
        <v>1.653888888888889</v>
      </c>
      <c r="H715" s="10">
        <f>IFERROR(SUMIFS('Base bordo'!G$2:G$746,'Base bordo'!C$2:C$746,A715,'Base bordo'!B$2:B$746,B715,'Base bordo'!F$2:F$746,"AGUARDANDO TRANSBORDO"),0)</f>
        <v>7.9522222222222219</v>
      </c>
      <c r="I715" s="10">
        <f>IFERROR(SUMIFS('Base bordo'!G$2:G$746,'Base bordo'!C$2:C$746,A715,'Base bordo'!B$2:B$746,B715,'Base bordo'!F$2:F$746,"PÁTIO INTERNO"),0)+IFERROR(SUMIFS('Base bordo'!G$2:G$746,'Base bordo'!C$2:C$746,A715,'Base bordo'!B$2:B$746,B715,'Base bordo'!F$2:F$746,"PÁTIO EXTERNO"),0)+IFERROR(SUMIFS('Base bordo'!G$2:G$746,'Base bordo'!C$2:C$746,A715,'Base bordo'!B$2:B$746,B715,'Base bordo'!F$2:F$746,"PATIO - RESERVA"),0)+IFERROR(SUMIFS('Base bordo'!G$2:G$746,'Base bordo'!C$2:C$746,A715,'Base bordo'!B$2:B$746,B715,'Base bordo'!F$2:F$746,"MANOBRA CARRETAS-PATIO"),0)</f>
        <v>3.6688888888888886</v>
      </c>
      <c r="J715" s="10">
        <f>IFERROR(SUMIFS('Base bordo'!G$2:G$746,'Base bordo'!C$2:C$746,A715,'Base bordo'!B$2:B$746,B715,'Base bordo'!F$2:F$746,"BALANÇA - ENTRADA"),0)+IFERROR(SUMIFS('Base bordo'!G$2:G$746,'Base bordo'!C$2:C$746,A715,'Base bordo'!B$2:B$746,B715,'Base bordo'!F$2:F$746,"BALANÇA - SAÍDA"),0)</f>
        <v>0.11305555555555556</v>
      </c>
      <c r="K715" s="10">
        <f>IFERROR(SUMIFS('Base bordo'!G$2:G$746,'Base bordo'!C$2:C$746,A715,'Base bordo'!B$2:B$746,B715,'Base bordo'!F$2:F$746,"MAN PREVENTIVA - MECANICA"),0)+IFERROR(SUMIFS('Base bordo'!G$2:G$746,'Base bordo'!C$2:C$746,A715,'Base bordo'!B$2:B$746,B715,'Base bordo'!F$2:F$746,"MAN CORRETIVA - MECANICA"),0)</f>
        <v>0</v>
      </c>
      <c r="L715" s="10">
        <f>IFERROR(SUMIFS('Base bordo'!G$2:G$746,'Base bordo'!C$2:C$746,A715,'Base bordo'!B$2:B$746,B715,'Base bordo'!F$2:F$746,"MANUTENCAO - T O"),0)+IFERROR(SUMIFS('Base bordo'!G$2:G$746,'Base bordo'!C$2:C$746,A715,'Base bordo'!B$2:B$746,B715,'Base bordo'!F$2:F$746,"MANUTENCAO BORRACHARIA"),0)+IFERROR(SUMIFS('Base bordo'!G$2:G$746,'Base bordo'!C$2:C$746,A715,'Base bordo'!B$2:B$746,B715,'Base bordo'!F$2:F$746,"MANUTENCAO EXTERNA  CONCESSIONARIA"),0)+IFERROR(SUMIFS('Base bordo'!G$2:G$746,'Base bordo'!C$2:C$746,A715,'Base bordo'!B$2:B$746,B715,'Base bordo'!F$2:F$746,"MANUTENCAO TELEMETRIA"),0)</f>
        <v>0</v>
      </c>
      <c r="M715" s="10">
        <f>IFERROR(SUMIFS('Base bordo'!G$2:G$746,'Base bordo'!C$2:C$746,A715,'Base bordo'!B$2:B$746,B715,'Base bordo'!F$2:F$746,"AGUARDANDO MANUTENCAO"),0)</f>
        <v>2.0486111111111112</v>
      </c>
      <c r="N715" s="10">
        <f>IFERROR(SUMIFS('Base bordo'!G$2:G$746,'Base bordo'!C$2:C$746,A715,'Base bordo'!B$2:B$746,B715,'Base bordo'!F$2:F$746,"SEM APONTAMENTO"),0)</f>
        <v>0</v>
      </c>
      <c r="O715" s="10">
        <f t="shared" si="72"/>
        <v>5.9369444444444461</v>
      </c>
      <c r="P715" s="10">
        <f>IFERROR(SUMIFS('Base bordo'!G$2:G$746,'Base bordo'!C$2:C$746,A715,'Base bordo'!B$2:B$746,B715),0)</f>
        <v>24</v>
      </c>
      <c r="Q715" s="10">
        <f>IFERROR(SUMIFS('Base bordo'!H$2:H$746,'Base bordo'!C$2:C$746,A715,'Base bordo'!B$2:B$746,B715,'Base bordo'!F$2:F$746,"DESLOCAMENTO VAZIO"),0)</f>
        <v>33045.270000000004</v>
      </c>
      <c r="R715" s="10">
        <f>IFERROR(SUMIFS('Base bordo'!I$2:I$746,'Base bordo'!C$2:C$746,A715,'Base bordo'!B$2:B$746,B715,'Base bordo'!F$2:F$746,"DESLOCAMENTO VAZIO"),0)</f>
        <v>2463</v>
      </c>
      <c r="S715" s="30">
        <f t="shared" si="73"/>
        <v>13.416674786845313</v>
      </c>
      <c r="T715" s="10">
        <f>IFERROR(SUMIFS('Base bordo'!H$2:H$746,'Base bordo'!C$2:C$746,A715,'Base bordo'!B$2:B$746,B715,'Base bordo'!F$2:F$746,"DESLOCAMENTO CARREGADO"),0)</f>
        <v>213859.12</v>
      </c>
      <c r="U715" s="10">
        <f>IFERROR(SUMIFS('Base bordo'!I$2:I$746,'Base bordo'!C$2:C$746,A715,'Base bordo'!B$2:B$746,B715,'Base bordo'!F$2:F$746,"DESLOCAMENTO CARREGADO"),0)</f>
        <v>6992</v>
      </c>
      <c r="V715" s="30">
        <f t="shared" si="74"/>
        <v>30.586258581235697</v>
      </c>
      <c r="W715" s="9">
        <f t="shared" si="75"/>
        <v>2.8506944444444446E-2</v>
      </c>
      <c r="X715" s="9">
        <f t="shared" si="76"/>
        <v>8.0925925925925929E-2</v>
      </c>
      <c r="Y715" s="9">
        <f t="shared" si="77"/>
        <v>0.89056712962962958</v>
      </c>
    </row>
    <row r="716" spans="1:25" ht="15" customHeight="1" x14ac:dyDescent="0.35">
      <c r="A716" s="52">
        <v>8013468</v>
      </c>
      <c r="B716" s="51">
        <v>46118</v>
      </c>
      <c r="C716" s="7" t="s">
        <v>124</v>
      </c>
      <c r="D716" s="10">
        <f>IFERROR(SUMIFS('Base bordo'!G$2:G$746,'Base bordo'!C$2:C$746,A716,'Base bordo'!B$2:B$746,B716,'Base bordo'!F$2:F$746,"DESLOCAMENTO VAZIO"),0)</f>
        <v>0.6841666666666667</v>
      </c>
      <c r="E716" s="10">
        <f>IFERROR(SUMIFS('Base bordo'!G$2:G$746,'Base bordo'!C$2:C$746,A716,'Base bordo'!B$2:B$746,B716,'Base bordo'!F$2:F$746,"DESLOCAMENTO CARREGADO"),0)</f>
        <v>1.9422222222222223</v>
      </c>
      <c r="F716" s="10">
        <f>IFERROR(SUMIFS('Base bordo'!G$2:G$746,'Base bordo'!C$2:C$746,A716,'Base bordo'!B$2:B$746,B716,'Base bordo'!F$2:F$746,"DESLOCAMENTO"),0)</f>
        <v>0</v>
      </c>
      <c r="G716" s="10">
        <f>IFERROR(SUMIFS('Base bordo'!G$2:G$746,'Base bordo'!C$2:C$746,A716,'Base bordo'!B$2:B$746,B716,'Base bordo'!F$2:F$746,"CARREGAMENTO"),0)</f>
        <v>1.653888888888889</v>
      </c>
      <c r="H716" s="10">
        <f>IFERROR(SUMIFS('Base bordo'!G$2:G$746,'Base bordo'!C$2:C$746,A716,'Base bordo'!B$2:B$746,B716,'Base bordo'!F$2:F$746,"AGUARDANDO TRANSBORDO"),0)</f>
        <v>7.9522222222222219</v>
      </c>
      <c r="I716" s="10">
        <f>IFERROR(SUMIFS('Base bordo'!G$2:G$746,'Base bordo'!C$2:C$746,A716,'Base bordo'!B$2:B$746,B716,'Base bordo'!F$2:F$746,"PÁTIO INTERNO"),0)+IFERROR(SUMIFS('Base bordo'!G$2:G$746,'Base bordo'!C$2:C$746,A716,'Base bordo'!B$2:B$746,B716,'Base bordo'!F$2:F$746,"PÁTIO EXTERNO"),0)+IFERROR(SUMIFS('Base bordo'!G$2:G$746,'Base bordo'!C$2:C$746,A716,'Base bordo'!B$2:B$746,B716,'Base bordo'!F$2:F$746,"PATIO - RESERVA"),0)+IFERROR(SUMIFS('Base bordo'!G$2:G$746,'Base bordo'!C$2:C$746,A716,'Base bordo'!B$2:B$746,B716,'Base bordo'!F$2:F$746,"MANOBRA CARRETAS-PATIO"),0)</f>
        <v>3.6688888888888886</v>
      </c>
      <c r="J716" s="10">
        <f>IFERROR(SUMIFS('Base bordo'!G$2:G$746,'Base bordo'!C$2:C$746,A716,'Base bordo'!B$2:B$746,B716,'Base bordo'!F$2:F$746,"BALANÇA - ENTRADA"),0)+IFERROR(SUMIFS('Base bordo'!G$2:G$746,'Base bordo'!C$2:C$746,A716,'Base bordo'!B$2:B$746,B716,'Base bordo'!F$2:F$746,"BALANÇA - SAÍDA"),0)</f>
        <v>0.11305555555555556</v>
      </c>
      <c r="K716" s="10">
        <f>IFERROR(SUMIFS('Base bordo'!G$2:G$746,'Base bordo'!C$2:C$746,A716,'Base bordo'!B$2:B$746,B716,'Base bordo'!F$2:F$746,"MAN PREVENTIVA - MECANICA"),0)+IFERROR(SUMIFS('Base bordo'!G$2:G$746,'Base bordo'!C$2:C$746,A716,'Base bordo'!B$2:B$746,B716,'Base bordo'!F$2:F$746,"MAN CORRETIVA - MECANICA"),0)</f>
        <v>0</v>
      </c>
      <c r="L716" s="10">
        <f>IFERROR(SUMIFS('Base bordo'!G$2:G$746,'Base bordo'!C$2:C$746,A716,'Base bordo'!B$2:B$746,B716,'Base bordo'!F$2:F$746,"MANUTENCAO - T O"),0)+IFERROR(SUMIFS('Base bordo'!G$2:G$746,'Base bordo'!C$2:C$746,A716,'Base bordo'!B$2:B$746,B716,'Base bordo'!F$2:F$746,"MANUTENCAO BORRACHARIA"),0)+IFERROR(SUMIFS('Base bordo'!G$2:G$746,'Base bordo'!C$2:C$746,A716,'Base bordo'!B$2:B$746,B716,'Base bordo'!F$2:F$746,"MANUTENCAO EXTERNA  CONCESSIONARIA"),0)+IFERROR(SUMIFS('Base bordo'!G$2:G$746,'Base bordo'!C$2:C$746,A716,'Base bordo'!B$2:B$746,B716,'Base bordo'!F$2:F$746,"MANUTENCAO TELEMETRIA"),0)</f>
        <v>0</v>
      </c>
      <c r="M716" s="10">
        <f>IFERROR(SUMIFS('Base bordo'!G$2:G$746,'Base bordo'!C$2:C$746,A716,'Base bordo'!B$2:B$746,B716,'Base bordo'!F$2:F$746,"AGUARDANDO MANUTENCAO"),0)</f>
        <v>2.0486111111111112</v>
      </c>
      <c r="N716" s="10">
        <f>IFERROR(SUMIFS('Base bordo'!G$2:G$746,'Base bordo'!C$2:C$746,A716,'Base bordo'!B$2:B$746,B716,'Base bordo'!F$2:F$746,"SEM APONTAMENTO"),0)</f>
        <v>0</v>
      </c>
      <c r="O716" s="10">
        <f t="shared" si="72"/>
        <v>5.9369444444444461</v>
      </c>
      <c r="P716" s="10">
        <f>IFERROR(SUMIFS('Base bordo'!G$2:G$746,'Base bordo'!C$2:C$746,A716,'Base bordo'!B$2:B$746,B716),0)</f>
        <v>24</v>
      </c>
      <c r="Q716" s="10">
        <f>IFERROR(SUMIFS('Base bordo'!H$2:H$746,'Base bordo'!C$2:C$746,A716,'Base bordo'!B$2:B$746,B716,'Base bordo'!F$2:F$746,"DESLOCAMENTO VAZIO"),0)</f>
        <v>33045.270000000004</v>
      </c>
      <c r="R716" s="10">
        <f>IFERROR(SUMIFS('Base bordo'!I$2:I$746,'Base bordo'!C$2:C$746,A716,'Base bordo'!B$2:B$746,B716,'Base bordo'!F$2:F$746,"DESLOCAMENTO VAZIO"),0)</f>
        <v>2463</v>
      </c>
      <c r="S716" s="30">
        <f t="shared" si="73"/>
        <v>13.416674786845313</v>
      </c>
      <c r="T716" s="10">
        <f>IFERROR(SUMIFS('Base bordo'!H$2:H$746,'Base bordo'!C$2:C$746,A716,'Base bordo'!B$2:B$746,B716,'Base bordo'!F$2:F$746,"DESLOCAMENTO CARREGADO"),0)</f>
        <v>213859.12</v>
      </c>
      <c r="U716" s="10">
        <f>IFERROR(SUMIFS('Base bordo'!I$2:I$746,'Base bordo'!C$2:C$746,A716,'Base bordo'!B$2:B$746,B716,'Base bordo'!F$2:F$746,"DESLOCAMENTO CARREGADO"),0)</f>
        <v>6992</v>
      </c>
      <c r="V716" s="30">
        <f t="shared" si="74"/>
        <v>30.586258581235697</v>
      </c>
      <c r="W716" s="9">
        <f t="shared" si="75"/>
        <v>2.8506944444444446E-2</v>
      </c>
      <c r="X716" s="9">
        <f t="shared" si="76"/>
        <v>8.0925925925925929E-2</v>
      </c>
      <c r="Y716" s="9">
        <f t="shared" si="77"/>
        <v>0.89056712962962958</v>
      </c>
    </row>
    <row r="717" spans="1:25" ht="15" customHeight="1" x14ac:dyDescent="0.35">
      <c r="A717" s="52">
        <v>8013468</v>
      </c>
      <c r="B717" s="51">
        <v>46118</v>
      </c>
      <c r="C717" s="7" t="s">
        <v>124</v>
      </c>
      <c r="D717" s="10">
        <f>IFERROR(SUMIFS('Base bordo'!G$2:G$746,'Base bordo'!C$2:C$746,A717,'Base bordo'!B$2:B$746,B717,'Base bordo'!F$2:F$746,"DESLOCAMENTO VAZIO"),0)</f>
        <v>0.6841666666666667</v>
      </c>
      <c r="E717" s="10">
        <f>IFERROR(SUMIFS('Base bordo'!G$2:G$746,'Base bordo'!C$2:C$746,A717,'Base bordo'!B$2:B$746,B717,'Base bordo'!F$2:F$746,"DESLOCAMENTO CARREGADO"),0)</f>
        <v>1.9422222222222223</v>
      </c>
      <c r="F717" s="10">
        <f>IFERROR(SUMIFS('Base bordo'!G$2:G$746,'Base bordo'!C$2:C$746,A717,'Base bordo'!B$2:B$746,B717,'Base bordo'!F$2:F$746,"DESLOCAMENTO"),0)</f>
        <v>0</v>
      </c>
      <c r="G717" s="10">
        <f>IFERROR(SUMIFS('Base bordo'!G$2:G$746,'Base bordo'!C$2:C$746,A717,'Base bordo'!B$2:B$746,B717,'Base bordo'!F$2:F$746,"CARREGAMENTO"),0)</f>
        <v>1.653888888888889</v>
      </c>
      <c r="H717" s="10">
        <f>IFERROR(SUMIFS('Base bordo'!G$2:G$746,'Base bordo'!C$2:C$746,A717,'Base bordo'!B$2:B$746,B717,'Base bordo'!F$2:F$746,"AGUARDANDO TRANSBORDO"),0)</f>
        <v>7.9522222222222219</v>
      </c>
      <c r="I717" s="10">
        <f>IFERROR(SUMIFS('Base bordo'!G$2:G$746,'Base bordo'!C$2:C$746,A717,'Base bordo'!B$2:B$746,B717,'Base bordo'!F$2:F$746,"PÁTIO INTERNO"),0)+IFERROR(SUMIFS('Base bordo'!G$2:G$746,'Base bordo'!C$2:C$746,A717,'Base bordo'!B$2:B$746,B717,'Base bordo'!F$2:F$746,"PÁTIO EXTERNO"),0)+IFERROR(SUMIFS('Base bordo'!G$2:G$746,'Base bordo'!C$2:C$746,A717,'Base bordo'!B$2:B$746,B717,'Base bordo'!F$2:F$746,"PATIO - RESERVA"),0)+IFERROR(SUMIFS('Base bordo'!G$2:G$746,'Base bordo'!C$2:C$746,A717,'Base bordo'!B$2:B$746,B717,'Base bordo'!F$2:F$746,"MANOBRA CARRETAS-PATIO"),0)</f>
        <v>3.6688888888888886</v>
      </c>
      <c r="J717" s="10">
        <f>IFERROR(SUMIFS('Base bordo'!G$2:G$746,'Base bordo'!C$2:C$746,A717,'Base bordo'!B$2:B$746,B717,'Base bordo'!F$2:F$746,"BALANÇA - ENTRADA"),0)+IFERROR(SUMIFS('Base bordo'!G$2:G$746,'Base bordo'!C$2:C$746,A717,'Base bordo'!B$2:B$746,B717,'Base bordo'!F$2:F$746,"BALANÇA - SAÍDA"),0)</f>
        <v>0.11305555555555556</v>
      </c>
      <c r="K717" s="10">
        <f>IFERROR(SUMIFS('Base bordo'!G$2:G$746,'Base bordo'!C$2:C$746,A717,'Base bordo'!B$2:B$746,B717,'Base bordo'!F$2:F$746,"MAN PREVENTIVA - MECANICA"),0)+IFERROR(SUMIFS('Base bordo'!G$2:G$746,'Base bordo'!C$2:C$746,A717,'Base bordo'!B$2:B$746,B717,'Base bordo'!F$2:F$746,"MAN CORRETIVA - MECANICA"),0)</f>
        <v>0</v>
      </c>
      <c r="L717" s="10">
        <f>IFERROR(SUMIFS('Base bordo'!G$2:G$746,'Base bordo'!C$2:C$746,A717,'Base bordo'!B$2:B$746,B717,'Base bordo'!F$2:F$746,"MANUTENCAO - T O"),0)+IFERROR(SUMIFS('Base bordo'!G$2:G$746,'Base bordo'!C$2:C$746,A717,'Base bordo'!B$2:B$746,B717,'Base bordo'!F$2:F$746,"MANUTENCAO BORRACHARIA"),0)+IFERROR(SUMIFS('Base bordo'!G$2:G$746,'Base bordo'!C$2:C$746,A717,'Base bordo'!B$2:B$746,B717,'Base bordo'!F$2:F$746,"MANUTENCAO EXTERNA  CONCESSIONARIA"),0)+IFERROR(SUMIFS('Base bordo'!G$2:G$746,'Base bordo'!C$2:C$746,A717,'Base bordo'!B$2:B$746,B717,'Base bordo'!F$2:F$746,"MANUTENCAO TELEMETRIA"),0)</f>
        <v>0</v>
      </c>
      <c r="M717" s="10">
        <f>IFERROR(SUMIFS('Base bordo'!G$2:G$746,'Base bordo'!C$2:C$746,A717,'Base bordo'!B$2:B$746,B717,'Base bordo'!F$2:F$746,"AGUARDANDO MANUTENCAO"),0)</f>
        <v>2.0486111111111112</v>
      </c>
      <c r="N717" s="10">
        <f>IFERROR(SUMIFS('Base bordo'!G$2:G$746,'Base bordo'!C$2:C$746,A717,'Base bordo'!B$2:B$746,B717,'Base bordo'!F$2:F$746,"SEM APONTAMENTO"),0)</f>
        <v>0</v>
      </c>
      <c r="O717" s="10">
        <f t="shared" si="72"/>
        <v>5.9369444444444461</v>
      </c>
      <c r="P717" s="10">
        <f>IFERROR(SUMIFS('Base bordo'!G$2:G$746,'Base bordo'!C$2:C$746,A717,'Base bordo'!B$2:B$746,B717),0)</f>
        <v>24</v>
      </c>
      <c r="Q717" s="10">
        <f>IFERROR(SUMIFS('Base bordo'!H$2:H$746,'Base bordo'!C$2:C$746,A717,'Base bordo'!B$2:B$746,B717,'Base bordo'!F$2:F$746,"DESLOCAMENTO VAZIO"),0)</f>
        <v>33045.270000000004</v>
      </c>
      <c r="R717" s="10">
        <f>IFERROR(SUMIFS('Base bordo'!I$2:I$746,'Base bordo'!C$2:C$746,A717,'Base bordo'!B$2:B$746,B717,'Base bordo'!F$2:F$746,"DESLOCAMENTO VAZIO"),0)</f>
        <v>2463</v>
      </c>
      <c r="S717" s="30">
        <f t="shared" si="73"/>
        <v>13.416674786845313</v>
      </c>
      <c r="T717" s="10">
        <f>IFERROR(SUMIFS('Base bordo'!H$2:H$746,'Base bordo'!C$2:C$746,A717,'Base bordo'!B$2:B$746,B717,'Base bordo'!F$2:F$746,"DESLOCAMENTO CARREGADO"),0)</f>
        <v>213859.12</v>
      </c>
      <c r="U717" s="10">
        <f>IFERROR(SUMIFS('Base bordo'!I$2:I$746,'Base bordo'!C$2:C$746,A717,'Base bordo'!B$2:B$746,B717,'Base bordo'!F$2:F$746,"DESLOCAMENTO CARREGADO"),0)</f>
        <v>6992</v>
      </c>
      <c r="V717" s="30">
        <f t="shared" si="74"/>
        <v>30.586258581235697</v>
      </c>
      <c r="W717" s="9">
        <f t="shared" si="75"/>
        <v>2.8506944444444446E-2</v>
      </c>
      <c r="X717" s="9">
        <f t="shared" si="76"/>
        <v>8.0925925925925929E-2</v>
      </c>
      <c r="Y717" s="9">
        <f t="shared" si="77"/>
        <v>0.89056712962962958</v>
      </c>
    </row>
    <row r="718" spans="1:25" ht="15" customHeight="1" x14ac:dyDescent="0.35">
      <c r="A718" s="52">
        <v>8013468</v>
      </c>
      <c r="B718" s="51">
        <v>46118</v>
      </c>
      <c r="C718" s="7" t="s">
        <v>124</v>
      </c>
      <c r="D718" s="10">
        <f>IFERROR(SUMIFS('Base bordo'!G$2:G$746,'Base bordo'!C$2:C$746,A718,'Base bordo'!B$2:B$746,B718,'Base bordo'!F$2:F$746,"DESLOCAMENTO VAZIO"),0)</f>
        <v>0.6841666666666667</v>
      </c>
      <c r="E718" s="10">
        <f>IFERROR(SUMIFS('Base bordo'!G$2:G$746,'Base bordo'!C$2:C$746,A718,'Base bordo'!B$2:B$746,B718,'Base bordo'!F$2:F$746,"DESLOCAMENTO CARREGADO"),0)</f>
        <v>1.9422222222222223</v>
      </c>
      <c r="F718" s="10">
        <f>IFERROR(SUMIFS('Base bordo'!G$2:G$746,'Base bordo'!C$2:C$746,A718,'Base bordo'!B$2:B$746,B718,'Base bordo'!F$2:F$746,"DESLOCAMENTO"),0)</f>
        <v>0</v>
      </c>
      <c r="G718" s="10">
        <f>IFERROR(SUMIFS('Base bordo'!G$2:G$746,'Base bordo'!C$2:C$746,A718,'Base bordo'!B$2:B$746,B718,'Base bordo'!F$2:F$746,"CARREGAMENTO"),0)</f>
        <v>1.653888888888889</v>
      </c>
      <c r="H718" s="10">
        <f>IFERROR(SUMIFS('Base bordo'!G$2:G$746,'Base bordo'!C$2:C$746,A718,'Base bordo'!B$2:B$746,B718,'Base bordo'!F$2:F$746,"AGUARDANDO TRANSBORDO"),0)</f>
        <v>7.9522222222222219</v>
      </c>
      <c r="I718" s="10">
        <f>IFERROR(SUMIFS('Base bordo'!G$2:G$746,'Base bordo'!C$2:C$746,A718,'Base bordo'!B$2:B$746,B718,'Base bordo'!F$2:F$746,"PÁTIO INTERNO"),0)+IFERROR(SUMIFS('Base bordo'!G$2:G$746,'Base bordo'!C$2:C$746,A718,'Base bordo'!B$2:B$746,B718,'Base bordo'!F$2:F$746,"PÁTIO EXTERNO"),0)+IFERROR(SUMIFS('Base bordo'!G$2:G$746,'Base bordo'!C$2:C$746,A718,'Base bordo'!B$2:B$746,B718,'Base bordo'!F$2:F$746,"PATIO - RESERVA"),0)+IFERROR(SUMIFS('Base bordo'!G$2:G$746,'Base bordo'!C$2:C$746,A718,'Base bordo'!B$2:B$746,B718,'Base bordo'!F$2:F$746,"MANOBRA CARRETAS-PATIO"),0)</f>
        <v>3.6688888888888886</v>
      </c>
      <c r="J718" s="10">
        <f>IFERROR(SUMIFS('Base bordo'!G$2:G$746,'Base bordo'!C$2:C$746,A718,'Base bordo'!B$2:B$746,B718,'Base bordo'!F$2:F$746,"BALANÇA - ENTRADA"),0)+IFERROR(SUMIFS('Base bordo'!G$2:G$746,'Base bordo'!C$2:C$746,A718,'Base bordo'!B$2:B$746,B718,'Base bordo'!F$2:F$746,"BALANÇA - SAÍDA"),0)</f>
        <v>0.11305555555555556</v>
      </c>
      <c r="K718" s="10">
        <f>IFERROR(SUMIFS('Base bordo'!G$2:G$746,'Base bordo'!C$2:C$746,A718,'Base bordo'!B$2:B$746,B718,'Base bordo'!F$2:F$746,"MAN PREVENTIVA - MECANICA"),0)+IFERROR(SUMIFS('Base bordo'!G$2:G$746,'Base bordo'!C$2:C$746,A718,'Base bordo'!B$2:B$746,B718,'Base bordo'!F$2:F$746,"MAN CORRETIVA - MECANICA"),0)</f>
        <v>0</v>
      </c>
      <c r="L718" s="10">
        <f>IFERROR(SUMIFS('Base bordo'!G$2:G$746,'Base bordo'!C$2:C$746,A718,'Base bordo'!B$2:B$746,B718,'Base bordo'!F$2:F$746,"MANUTENCAO - T O"),0)+IFERROR(SUMIFS('Base bordo'!G$2:G$746,'Base bordo'!C$2:C$746,A718,'Base bordo'!B$2:B$746,B718,'Base bordo'!F$2:F$746,"MANUTENCAO BORRACHARIA"),0)+IFERROR(SUMIFS('Base bordo'!G$2:G$746,'Base bordo'!C$2:C$746,A718,'Base bordo'!B$2:B$746,B718,'Base bordo'!F$2:F$746,"MANUTENCAO EXTERNA  CONCESSIONARIA"),0)+IFERROR(SUMIFS('Base bordo'!G$2:G$746,'Base bordo'!C$2:C$746,A718,'Base bordo'!B$2:B$746,B718,'Base bordo'!F$2:F$746,"MANUTENCAO TELEMETRIA"),0)</f>
        <v>0</v>
      </c>
      <c r="M718" s="10">
        <f>IFERROR(SUMIFS('Base bordo'!G$2:G$746,'Base bordo'!C$2:C$746,A718,'Base bordo'!B$2:B$746,B718,'Base bordo'!F$2:F$746,"AGUARDANDO MANUTENCAO"),0)</f>
        <v>2.0486111111111112</v>
      </c>
      <c r="N718" s="10">
        <f>IFERROR(SUMIFS('Base bordo'!G$2:G$746,'Base bordo'!C$2:C$746,A718,'Base bordo'!B$2:B$746,B718,'Base bordo'!F$2:F$746,"SEM APONTAMENTO"),0)</f>
        <v>0</v>
      </c>
      <c r="O718" s="10">
        <f t="shared" si="72"/>
        <v>5.9369444444444461</v>
      </c>
      <c r="P718" s="10">
        <f>IFERROR(SUMIFS('Base bordo'!G$2:G$746,'Base bordo'!C$2:C$746,A718,'Base bordo'!B$2:B$746,B718),0)</f>
        <v>24</v>
      </c>
      <c r="Q718" s="10">
        <f>IFERROR(SUMIFS('Base bordo'!H$2:H$746,'Base bordo'!C$2:C$746,A718,'Base bordo'!B$2:B$746,B718,'Base bordo'!F$2:F$746,"DESLOCAMENTO VAZIO"),0)</f>
        <v>33045.270000000004</v>
      </c>
      <c r="R718" s="10">
        <f>IFERROR(SUMIFS('Base bordo'!I$2:I$746,'Base bordo'!C$2:C$746,A718,'Base bordo'!B$2:B$746,B718,'Base bordo'!F$2:F$746,"DESLOCAMENTO VAZIO"),0)</f>
        <v>2463</v>
      </c>
      <c r="S718" s="30">
        <f t="shared" si="73"/>
        <v>13.416674786845313</v>
      </c>
      <c r="T718" s="10">
        <f>IFERROR(SUMIFS('Base bordo'!H$2:H$746,'Base bordo'!C$2:C$746,A718,'Base bordo'!B$2:B$746,B718,'Base bordo'!F$2:F$746,"DESLOCAMENTO CARREGADO"),0)</f>
        <v>213859.12</v>
      </c>
      <c r="U718" s="10">
        <f>IFERROR(SUMIFS('Base bordo'!I$2:I$746,'Base bordo'!C$2:C$746,A718,'Base bordo'!B$2:B$746,B718,'Base bordo'!F$2:F$746,"DESLOCAMENTO CARREGADO"),0)</f>
        <v>6992</v>
      </c>
      <c r="V718" s="30">
        <f t="shared" si="74"/>
        <v>30.586258581235697</v>
      </c>
      <c r="W718" s="9">
        <f t="shared" si="75"/>
        <v>2.8506944444444446E-2</v>
      </c>
      <c r="X718" s="9">
        <f t="shared" si="76"/>
        <v>8.0925925925925929E-2</v>
      </c>
      <c r="Y718" s="9">
        <f t="shared" si="77"/>
        <v>0.89056712962962958</v>
      </c>
    </row>
    <row r="719" spans="1:25" ht="15" customHeight="1" x14ac:dyDescent="0.35">
      <c r="A719" s="52">
        <v>8013468</v>
      </c>
      <c r="B719" s="51">
        <v>46118</v>
      </c>
      <c r="C719" s="7" t="s">
        <v>124</v>
      </c>
      <c r="D719" s="10">
        <f>IFERROR(SUMIFS('Base bordo'!G$2:G$746,'Base bordo'!C$2:C$746,A719,'Base bordo'!B$2:B$746,B719,'Base bordo'!F$2:F$746,"DESLOCAMENTO VAZIO"),0)</f>
        <v>0.6841666666666667</v>
      </c>
      <c r="E719" s="10">
        <f>IFERROR(SUMIFS('Base bordo'!G$2:G$746,'Base bordo'!C$2:C$746,A719,'Base bordo'!B$2:B$746,B719,'Base bordo'!F$2:F$746,"DESLOCAMENTO CARREGADO"),0)</f>
        <v>1.9422222222222223</v>
      </c>
      <c r="F719" s="10">
        <f>IFERROR(SUMIFS('Base bordo'!G$2:G$746,'Base bordo'!C$2:C$746,A719,'Base bordo'!B$2:B$746,B719,'Base bordo'!F$2:F$746,"DESLOCAMENTO"),0)</f>
        <v>0</v>
      </c>
      <c r="G719" s="10">
        <f>IFERROR(SUMIFS('Base bordo'!G$2:G$746,'Base bordo'!C$2:C$746,A719,'Base bordo'!B$2:B$746,B719,'Base bordo'!F$2:F$746,"CARREGAMENTO"),0)</f>
        <v>1.653888888888889</v>
      </c>
      <c r="H719" s="10">
        <f>IFERROR(SUMIFS('Base bordo'!G$2:G$746,'Base bordo'!C$2:C$746,A719,'Base bordo'!B$2:B$746,B719,'Base bordo'!F$2:F$746,"AGUARDANDO TRANSBORDO"),0)</f>
        <v>7.9522222222222219</v>
      </c>
      <c r="I719" s="10">
        <f>IFERROR(SUMIFS('Base bordo'!G$2:G$746,'Base bordo'!C$2:C$746,A719,'Base bordo'!B$2:B$746,B719,'Base bordo'!F$2:F$746,"PÁTIO INTERNO"),0)+IFERROR(SUMIFS('Base bordo'!G$2:G$746,'Base bordo'!C$2:C$746,A719,'Base bordo'!B$2:B$746,B719,'Base bordo'!F$2:F$746,"PÁTIO EXTERNO"),0)+IFERROR(SUMIFS('Base bordo'!G$2:G$746,'Base bordo'!C$2:C$746,A719,'Base bordo'!B$2:B$746,B719,'Base bordo'!F$2:F$746,"PATIO - RESERVA"),0)+IFERROR(SUMIFS('Base bordo'!G$2:G$746,'Base bordo'!C$2:C$746,A719,'Base bordo'!B$2:B$746,B719,'Base bordo'!F$2:F$746,"MANOBRA CARRETAS-PATIO"),0)</f>
        <v>3.6688888888888886</v>
      </c>
      <c r="J719" s="10">
        <f>IFERROR(SUMIFS('Base bordo'!G$2:G$746,'Base bordo'!C$2:C$746,A719,'Base bordo'!B$2:B$746,B719,'Base bordo'!F$2:F$746,"BALANÇA - ENTRADA"),0)+IFERROR(SUMIFS('Base bordo'!G$2:G$746,'Base bordo'!C$2:C$746,A719,'Base bordo'!B$2:B$746,B719,'Base bordo'!F$2:F$746,"BALANÇA - SAÍDA"),0)</f>
        <v>0.11305555555555556</v>
      </c>
      <c r="K719" s="10">
        <f>IFERROR(SUMIFS('Base bordo'!G$2:G$746,'Base bordo'!C$2:C$746,A719,'Base bordo'!B$2:B$746,B719,'Base bordo'!F$2:F$746,"MAN PREVENTIVA - MECANICA"),0)+IFERROR(SUMIFS('Base bordo'!G$2:G$746,'Base bordo'!C$2:C$746,A719,'Base bordo'!B$2:B$746,B719,'Base bordo'!F$2:F$746,"MAN CORRETIVA - MECANICA"),0)</f>
        <v>0</v>
      </c>
      <c r="L719" s="10">
        <f>IFERROR(SUMIFS('Base bordo'!G$2:G$746,'Base bordo'!C$2:C$746,A719,'Base bordo'!B$2:B$746,B719,'Base bordo'!F$2:F$746,"MANUTENCAO - T O"),0)+IFERROR(SUMIFS('Base bordo'!G$2:G$746,'Base bordo'!C$2:C$746,A719,'Base bordo'!B$2:B$746,B719,'Base bordo'!F$2:F$746,"MANUTENCAO BORRACHARIA"),0)+IFERROR(SUMIFS('Base bordo'!G$2:G$746,'Base bordo'!C$2:C$746,A719,'Base bordo'!B$2:B$746,B719,'Base bordo'!F$2:F$746,"MANUTENCAO EXTERNA  CONCESSIONARIA"),0)+IFERROR(SUMIFS('Base bordo'!G$2:G$746,'Base bordo'!C$2:C$746,A719,'Base bordo'!B$2:B$746,B719,'Base bordo'!F$2:F$746,"MANUTENCAO TELEMETRIA"),0)</f>
        <v>0</v>
      </c>
      <c r="M719" s="10">
        <f>IFERROR(SUMIFS('Base bordo'!G$2:G$746,'Base bordo'!C$2:C$746,A719,'Base bordo'!B$2:B$746,B719,'Base bordo'!F$2:F$746,"AGUARDANDO MANUTENCAO"),0)</f>
        <v>2.0486111111111112</v>
      </c>
      <c r="N719" s="10">
        <f>IFERROR(SUMIFS('Base bordo'!G$2:G$746,'Base bordo'!C$2:C$746,A719,'Base bordo'!B$2:B$746,B719,'Base bordo'!F$2:F$746,"SEM APONTAMENTO"),0)</f>
        <v>0</v>
      </c>
      <c r="O719" s="10">
        <f t="shared" ref="O719:O782" si="78">IFERROR(P719-SUM(D719:N719),0)</f>
        <v>5.9369444444444461</v>
      </c>
      <c r="P719" s="10">
        <f>IFERROR(SUMIFS('Base bordo'!G$2:G$746,'Base bordo'!C$2:C$746,A719,'Base bordo'!B$2:B$746,B719),0)</f>
        <v>24</v>
      </c>
      <c r="Q719" s="10">
        <f>IFERROR(SUMIFS('Base bordo'!H$2:H$746,'Base bordo'!C$2:C$746,A719,'Base bordo'!B$2:B$746,B719,'Base bordo'!F$2:F$746,"DESLOCAMENTO VAZIO"),0)</f>
        <v>33045.270000000004</v>
      </c>
      <c r="R719" s="10">
        <f>IFERROR(SUMIFS('Base bordo'!I$2:I$746,'Base bordo'!C$2:C$746,A719,'Base bordo'!B$2:B$746,B719,'Base bordo'!F$2:F$746,"DESLOCAMENTO VAZIO"),0)</f>
        <v>2463</v>
      </c>
      <c r="S719" s="30">
        <f t="shared" ref="S719:S782" si="79">IFERROR(Q719/R719,"")</f>
        <v>13.416674786845313</v>
      </c>
      <c r="T719" s="10">
        <f>IFERROR(SUMIFS('Base bordo'!H$2:H$746,'Base bordo'!C$2:C$746,A719,'Base bordo'!B$2:B$746,B719,'Base bordo'!F$2:F$746,"DESLOCAMENTO CARREGADO"),0)</f>
        <v>213859.12</v>
      </c>
      <c r="U719" s="10">
        <f>IFERROR(SUMIFS('Base bordo'!I$2:I$746,'Base bordo'!C$2:C$746,A719,'Base bordo'!B$2:B$746,B719,'Base bordo'!F$2:F$746,"DESLOCAMENTO CARREGADO"),0)</f>
        <v>6992</v>
      </c>
      <c r="V719" s="30">
        <f t="shared" ref="V719:V782" si="80">IFERROR(T719/U719,"")</f>
        <v>30.586258581235697</v>
      </c>
      <c r="W719" s="9">
        <f t="shared" ref="W719:W782" si="81">IFERROR(D719/P719,0)</f>
        <v>2.8506944444444446E-2</v>
      </c>
      <c r="X719" s="9">
        <f t="shared" ref="X719:X782" si="82">IFERROR(E719/P719,0)</f>
        <v>8.0925925925925929E-2</v>
      </c>
      <c r="Y719" s="9">
        <f t="shared" ref="Y719:Y782" si="83">IFERROR(1-((D719+E719)/P719),0)</f>
        <v>0.89056712962962958</v>
      </c>
    </row>
    <row r="720" spans="1:25" ht="15" customHeight="1" x14ac:dyDescent="0.35">
      <c r="A720" s="52">
        <v>8013469</v>
      </c>
      <c r="B720" s="51">
        <v>46118</v>
      </c>
      <c r="C720" s="7" t="s">
        <v>124</v>
      </c>
      <c r="D720" s="10">
        <f>IFERROR(SUMIFS('Base bordo'!G$2:G$746,'Base bordo'!C$2:C$746,A720,'Base bordo'!B$2:B$746,B720,'Base bordo'!F$2:F$746,"DESLOCAMENTO VAZIO"),0)</f>
        <v>2.1594444444444445</v>
      </c>
      <c r="E720" s="10">
        <f>IFERROR(SUMIFS('Base bordo'!G$2:G$746,'Base bordo'!C$2:C$746,A720,'Base bordo'!B$2:B$746,B720,'Base bordo'!F$2:F$746,"DESLOCAMENTO CARREGADO"),0)</f>
        <v>2.4455555555555555</v>
      </c>
      <c r="F720" s="10">
        <f>IFERROR(SUMIFS('Base bordo'!G$2:G$746,'Base bordo'!C$2:C$746,A720,'Base bordo'!B$2:B$746,B720,'Base bordo'!F$2:F$746,"DESLOCAMENTO"),0)</f>
        <v>0.63083333333333336</v>
      </c>
      <c r="G720" s="10">
        <f>IFERROR(SUMIFS('Base bordo'!G$2:G$746,'Base bordo'!C$2:C$746,A720,'Base bordo'!B$2:B$746,B720,'Base bordo'!F$2:F$746,"CARREGAMENTO"),0)</f>
        <v>0.96722222222222221</v>
      </c>
      <c r="H720" s="10">
        <f>IFERROR(SUMIFS('Base bordo'!G$2:G$746,'Base bordo'!C$2:C$746,A720,'Base bordo'!B$2:B$746,B720,'Base bordo'!F$2:F$746,"AGUARDANDO TRANSBORDO"),0)</f>
        <v>0.91111111111111109</v>
      </c>
      <c r="I720" s="10">
        <f>IFERROR(SUMIFS('Base bordo'!G$2:G$746,'Base bordo'!C$2:C$746,A720,'Base bordo'!B$2:B$746,B720,'Base bordo'!F$2:F$746,"PÁTIO INTERNO"),0)+IFERROR(SUMIFS('Base bordo'!G$2:G$746,'Base bordo'!C$2:C$746,A720,'Base bordo'!B$2:B$746,B720,'Base bordo'!F$2:F$746,"PÁTIO EXTERNO"),0)+IFERROR(SUMIFS('Base bordo'!G$2:G$746,'Base bordo'!C$2:C$746,A720,'Base bordo'!B$2:B$746,B720,'Base bordo'!F$2:F$746,"PATIO - RESERVA"),0)+IFERROR(SUMIFS('Base bordo'!G$2:G$746,'Base bordo'!C$2:C$746,A720,'Base bordo'!B$2:B$746,B720,'Base bordo'!F$2:F$746,"MANOBRA CARRETAS-PATIO"),0)</f>
        <v>6.1047222222222217</v>
      </c>
      <c r="J720" s="10">
        <f>IFERROR(SUMIFS('Base bordo'!G$2:G$746,'Base bordo'!C$2:C$746,A720,'Base bordo'!B$2:B$746,B720,'Base bordo'!F$2:F$746,"BALANÇA - ENTRADA"),0)+IFERROR(SUMIFS('Base bordo'!G$2:G$746,'Base bordo'!C$2:C$746,A720,'Base bordo'!B$2:B$746,B720,'Base bordo'!F$2:F$746,"BALANÇA - SAÍDA"),0)</f>
        <v>6.8055555555555564E-2</v>
      </c>
      <c r="K720" s="10">
        <f>IFERROR(SUMIFS('Base bordo'!G$2:G$746,'Base bordo'!C$2:C$746,A720,'Base bordo'!B$2:B$746,B720,'Base bordo'!F$2:F$746,"MAN PREVENTIVA - MECANICA"),0)+IFERROR(SUMIFS('Base bordo'!G$2:G$746,'Base bordo'!C$2:C$746,A720,'Base bordo'!B$2:B$746,B720,'Base bordo'!F$2:F$746,"MAN CORRETIVA - MECANICA"),0)</f>
        <v>0.40166666666666667</v>
      </c>
      <c r="L720" s="10">
        <f>IFERROR(SUMIFS('Base bordo'!G$2:G$746,'Base bordo'!C$2:C$746,A720,'Base bordo'!B$2:B$746,B720,'Base bordo'!F$2:F$746,"MANUTENCAO - T O"),0)+IFERROR(SUMIFS('Base bordo'!G$2:G$746,'Base bordo'!C$2:C$746,A720,'Base bordo'!B$2:B$746,B720,'Base bordo'!F$2:F$746,"MANUTENCAO BORRACHARIA"),0)+IFERROR(SUMIFS('Base bordo'!G$2:G$746,'Base bordo'!C$2:C$746,A720,'Base bordo'!B$2:B$746,B720,'Base bordo'!F$2:F$746,"MANUTENCAO EXTERNA  CONCESSIONARIA"),0)+IFERROR(SUMIFS('Base bordo'!G$2:G$746,'Base bordo'!C$2:C$746,A720,'Base bordo'!B$2:B$746,B720,'Base bordo'!F$2:F$746,"MANUTENCAO TELEMETRIA"),0)</f>
        <v>1.5977777777777777</v>
      </c>
      <c r="M720" s="10">
        <f>IFERROR(SUMIFS('Base bordo'!G$2:G$746,'Base bordo'!C$2:C$746,A720,'Base bordo'!B$2:B$746,B720,'Base bordo'!F$2:F$746,"AGUARDANDO MANUTENCAO"),0)</f>
        <v>2.0836111111111113</v>
      </c>
      <c r="N720" s="10">
        <f>IFERROR(SUMIFS('Base bordo'!G$2:G$746,'Base bordo'!C$2:C$746,A720,'Base bordo'!B$2:B$746,B720,'Base bordo'!F$2:F$746,"SEM APONTAMENTO"),0)</f>
        <v>5.4166666666666669E-2</v>
      </c>
      <c r="O720" s="10">
        <f t="shared" si="78"/>
        <v>6.5758333333333354</v>
      </c>
      <c r="P720" s="10">
        <f>IFERROR(SUMIFS('Base bordo'!G$2:G$746,'Base bordo'!C$2:C$746,A720,'Base bordo'!B$2:B$746,B720),0)</f>
        <v>24.000000000000004</v>
      </c>
      <c r="Q720" s="10">
        <f>IFERROR(SUMIFS('Base bordo'!H$2:H$746,'Base bordo'!C$2:C$746,A720,'Base bordo'!B$2:B$746,B720,'Base bordo'!F$2:F$746,"DESLOCAMENTO VAZIO"),0)</f>
        <v>182003.76000000004</v>
      </c>
      <c r="R720" s="10">
        <f>IFERROR(SUMIFS('Base bordo'!I$2:I$746,'Base bordo'!C$2:C$746,A720,'Base bordo'!B$2:B$746,B720,'Base bordo'!F$2:F$746,"DESLOCAMENTO VAZIO"),0)</f>
        <v>7774</v>
      </c>
      <c r="S720" s="30">
        <f t="shared" si="79"/>
        <v>23.411854900951894</v>
      </c>
      <c r="T720" s="10">
        <f>IFERROR(SUMIFS('Base bordo'!H$2:H$746,'Base bordo'!C$2:C$746,A720,'Base bordo'!B$2:B$746,B720,'Base bordo'!F$2:F$746,"DESLOCAMENTO CARREGADO"),0)</f>
        <v>235509.89</v>
      </c>
      <c r="U720" s="10">
        <f>IFERROR(SUMIFS('Base bordo'!I$2:I$746,'Base bordo'!C$2:C$746,A720,'Base bordo'!B$2:B$746,B720,'Base bordo'!F$2:F$746,"DESLOCAMENTO CARREGADO"),0)</f>
        <v>8804</v>
      </c>
      <c r="V720" s="30">
        <f t="shared" si="80"/>
        <v>26.750328259881872</v>
      </c>
      <c r="W720" s="9">
        <f t="shared" si="81"/>
        <v>8.9976851851851836E-2</v>
      </c>
      <c r="X720" s="9">
        <f t="shared" si="82"/>
        <v>0.10189814814814813</v>
      </c>
      <c r="Y720" s="9">
        <f t="shared" si="83"/>
        <v>0.80812499999999998</v>
      </c>
    </row>
    <row r="721" spans="1:25" ht="15" customHeight="1" x14ac:dyDescent="0.35">
      <c r="A721" s="52">
        <v>8013469</v>
      </c>
      <c r="B721" s="51">
        <v>46118</v>
      </c>
      <c r="C721" s="7" t="s">
        <v>124</v>
      </c>
      <c r="D721" s="10">
        <f>IFERROR(SUMIFS('Base bordo'!G$2:G$746,'Base bordo'!C$2:C$746,A721,'Base bordo'!B$2:B$746,B721,'Base bordo'!F$2:F$746,"DESLOCAMENTO VAZIO"),0)</f>
        <v>2.1594444444444445</v>
      </c>
      <c r="E721" s="10">
        <f>IFERROR(SUMIFS('Base bordo'!G$2:G$746,'Base bordo'!C$2:C$746,A721,'Base bordo'!B$2:B$746,B721,'Base bordo'!F$2:F$746,"DESLOCAMENTO CARREGADO"),0)</f>
        <v>2.4455555555555555</v>
      </c>
      <c r="F721" s="10">
        <f>IFERROR(SUMIFS('Base bordo'!G$2:G$746,'Base bordo'!C$2:C$746,A721,'Base bordo'!B$2:B$746,B721,'Base bordo'!F$2:F$746,"DESLOCAMENTO"),0)</f>
        <v>0.63083333333333336</v>
      </c>
      <c r="G721" s="10">
        <f>IFERROR(SUMIFS('Base bordo'!G$2:G$746,'Base bordo'!C$2:C$746,A721,'Base bordo'!B$2:B$746,B721,'Base bordo'!F$2:F$746,"CARREGAMENTO"),0)</f>
        <v>0.96722222222222221</v>
      </c>
      <c r="H721" s="10">
        <f>IFERROR(SUMIFS('Base bordo'!G$2:G$746,'Base bordo'!C$2:C$746,A721,'Base bordo'!B$2:B$746,B721,'Base bordo'!F$2:F$746,"AGUARDANDO TRANSBORDO"),0)</f>
        <v>0.91111111111111109</v>
      </c>
      <c r="I721" s="10">
        <f>IFERROR(SUMIFS('Base bordo'!G$2:G$746,'Base bordo'!C$2:C$746,A721,'Base bordo'!B$2:B$746,B721,'Base bordo'!F$2:F$746,"PÁTIO INTERNO"),0)+IFERROR(SUMIFS('Base bordo'!G$2:G$746,'Base bordo'!C$2:C$746,A721,'Base bordo'!B$2:B$746,B721,'Base bordo'!F$2:F$746,"PÁTIO EXTERNO"),0)+IFERROR(SUMIFS('Base bordo'!G$2:G$746,'Base bordo'!C$2:C$746,A721,'Base bordo'!B$2:B$746,B721,'Base bordo'!F$2:F$746,"PATIO - RESERVA"),0)+IFERROR(SUMIFS('Base bordo'!G$2:G$746,'Base bordo'!C$2:C$746,A721,'Base bordo'!B$2:B$746,B721,'Base bordo'!F$2:F$746,"MANOBRA CARRETAS-PATIO"),0)</f>
        <v>6.1047222222222217</v>
      </c>
      <c r="J721" s="10">
        <f>IFERROR(SUMIFS('Base bordo'!G$2:G$746,'Base bordo'!C$2:C$746,A721,'Base bordo'!B$2:B$746,B721,'Base bordo'!F$2:F$746,"BALANÇA - ENTRADA"),0)+IFERROR(SUMIFS('Base bordo'!G$2:G$746,'Base bordo'!C$2:C$746,A721,'Base bordo'!B$2:B$746,B721,'Base bordo'!F$2:F$746,"BALANÇA - SAÍDA"),0)</f>
        <v>6.8055555555555564E-2</v>
      </c>
      <c r="K721" s="10">
        <f>IFERROR(SUMIFS('Base bordo'!G$2:G$746,'Base bordo'!C$2:C$746,A721,'Base bordo'!B$2:B$746,B721,'Base bordo'!F$2:F$746,"MAN PREVENTIVA - MECANICA"),0)+IFERROR(SUMIFS('Base bordo'!G$2:G$746,'Base bordo'!C$2:C$746,A721,'Base bordo'!B$2:B$746,B721,'Base bordo'!F$2:F$746,"MAN CORRETIVA - MECANICA"),0)</f>
        <v>0.40166666666666667</v>
      </c>
      <c r="L721" s="10">
        <f>IFERROR(SUMIFS('Base bordo'!G$2:G$746,'Base bordo'!C$2:C$746,A721,'Base bordo'!B$2:B$746,B721,'Base bordo'!F$2:F$746,"MANUTENCAO - T O"),0)+IFERROR(SUMIFS('Base bordo'!G$2:G$746,'Base bordo'!C$2:C$746,A721,'Base bordo'!B$2:B$746,B721,'Base bordo'!F$2:F$746,"MANUTENCAO BORRACHARIA"),0)+IFERROR(SUMIFS('Base bordo'!G$2:G$746,'Base bordo'!C$2:C$746,A721,'Base bordo'!B$2:B$746,B721,'Base bordo'!F$2:F$746,"MANUTENCAO EXTERNA  CONCESSIONARIA"),0)+IFERROR(SUMIFS('Base bordo'!G$2:G$746,'Base bordo'!C$2:C$746,A721,'Base bordo'!B$2:B$746,B721,'Base bordo'!F$2:F$746,"MANUTENCAO TELEMETRIA"),0)</f>
        <v>1.5977777777777777</v>
      </c>
      <c r="M721" s="10">
        <f>IFERROR(SUMIFS('Base bordo'!G$2:G$746,'Base bordo'!C$2:C$746,A721,'Base bordo'!B$2:B$746,B721,'Base bordo'!F$2:F$746,"AGUARDANDO MANUTENCAO"),0)</f>
        <v>2.0836111111111113</v>
      </c>
      <c r="N721" s="10">
        <f>IFERROR(SUMIFS('Base bordo'!G$2:G$746,'Base bordo'!C$2:C$746,A721,'Base bordo'!B$2:B$746,B721,'Base bordo'!F$2:F$746,"SEM APONTAMENTO"),0)</f>
        <v>5.4166666666666669E-2</v>
      </c>
      <c r="O721" s="10">
        <f t="shared" si="78"/>
        <v>6.5758333333333354</v>
      </c>
      <c r="P721" s="10">
        <f>IFERROR(SUMIFS('Base bordo'!G$2:G$746,'Base bordo'!C$2:C$746,A721,'Base bordo'!B$2:B$746,B721),0)</f>
        <v>24.000000000000004</v>
      </c>
      <c r="Q721" s="10">
        <f>IFERROR(SUMIFS('Base bordo'!H$2:H$746,'Base bordo'!C$2:C$746,A721,'Base bordo'!B$2:B$746,B721,'Base bordo'!F$2:F$746,"DESLOCAMENTO VAZIO"),0)</f>
        <v>182003.76000000004</v>
      </c>
      <c r="R721" s="10">
        <f>IFERROR(SUMIFS('Base bordo'!I$2:I$746,'Base bordo'!C$2:C$746,A721,'Base bordo'!B$2:B$746,B721,'Base bordo'!F$2:F$746,"DESLOCAMENTO VAZIO"),0)</f>
        <v>7774</v>
      </c>
      <c r="S721" s="30">
        <f t="shared" si="79"/>
        <v>23.411854900951894</v>
      </c>
      <c r="T721" s="10">
        <f>IFERROR(SUMIFS('Base bordo'!H$2:H$746,'Base bordo'!C$2:C$746,A721,'Base bordo'!B$2:B$746,B721,'Base bordo'!F$2:F$746,"DESLOCAMENTO CARREGADO"),0)</f>
        <v>235509.89</v>
      </c>
      <c r="U721" s="10">
        <f>IFERROR(SUMIFS('Base bordo'!I$2:I$746,'Base bordo'!C$2:C$746,A721,'Base bordo'!B$2:B$746,B721,'Base bordo'!F$2:F$746,"DESLOCAMENTO CARREGADO"),0)</f>
        <v>8804</v>
      </c>
      <c r="V721" s="30">
        <f t="shared" si="80"/>
        <v>26.750328259881872</v>
      </c>
      <c r="W721" s="9">
        <f t="shared" si="81"/>
        <v>8.9976851851851836E-2</v>
      </c>
      <c r="X721" s="9">
        <f t="shared" si="82"/>
        <v>0.10189814814814813</v>
      </c>
      <c r="Y721" s="9">
        <f t="shared" si="83"/>
        <v>0.80812499999999998</v>
      </c>
    </row>
    <row r="722" spans="1:25" ht="15" customHeight="1" x14ac:dyDescent="0.35">
      <c r="A722" s="52">
        <v>8013469</v>
      </c>
      <c r="B722" s="51">
        <v>46118</v>
      </c>
      <c r="C722" s="7" t="s">
        <v>124</v>
      </c>
      <c r="D722" s="10">
        <f>IFERROR(SUMIFS('Base bordo'!G$2:G$746,'Base bordo'!C$2:C$746,A722,'Base bordo'!B$2:B$746,B722,'Base bordo'!F$2:F$746,"DESLOCAMENTO VAZIO"),0)</f>
        <v>2.1594444444444445</v>
      </c>
      <c r="E722" s="10">
        <f>IFERROR(SUMIFS('Base bordo'!G$2:G$746,'Base bordo'!C$2:C$746,A722,'Base bordo'!B$2:B$746,B722,'Base bordo'!F$2:F$746,"DESLOCAMENTO CARREGADO"),0)</f>
        <v>2.4455555555555555</v>
      </c>
      <c r="F722" s="10">
        <f>IFERROR(SUMIFS('Base bordo'!G$2:G$746,'Base bordo'!C$2:C$746,A722,'Base bordo'!B$2:B$746,B722,'Base bordo'!F$2:F$746,"DESLOCAMENTO"),0)</f>
        <v>0.63083333333333336</v>
      </c>
      <c r="G722" s="10">
        <f>IFERROR(SUMIFS('Base bordo'!G$2:G$746,'Base bordo'!C$2:C$746,A722,'Base bordo'!B$2:B$746,B722,'Base bordo'!F$2:F$746,"CARREGAMENTO"),0)</f>
        <v>0.96722222222222221</v>
      </c>
      <c r="H722" s="10">
        <f>IFERROR(SUMIFS('Base bordo'!G$2:G$746,'Base bordo'!C$2:C$746,A722,'Base bordo'!B$2:B$746,B722,'Base bordo'!F$2:F$746,"AGUARDANDO TRANSBORDO"),0)</f>
        <v>0.91111111111111109</v>
      </c>
      <c r="I722" s="10">
        <f>IFERROR(SUMIFS('Base bordo'!G$2:G$746,'Base bordo'!C$2:C$746,A722,'Base bordo'!B$2:B$746,B722,'Base bordo'!F$2:F$746,"PÁTIO INTERNO"),0)+IFERROR(SUMIFS('Base bordo'!G$2:G$746,'Base bordo'!C$2:C$746,A722,'Base bordo'!B$2:B$746,B722,'Base bordo'!F$2:F$746,"PÁTIO EXTERNO"),0)+IFERROR(SUMIFS('Base bordo'!G$2:G$746,'Base bordo'!C$2:C$746,A722,'Base bordo'!B$2:B$746,B722,'Base bordo'!F$2:F$746,"PATIO - RESERVA"),0)+IFERROR(SUMIFS('Base bordo'!G$2:G$746,'Base bordo'!C$2:C$746,A722,'Base bordo'!B$2:B$746,B722,'Base bordo'!F$2:F$746,"MANOBRA CARRETAS-PATIO"),0)</f>
        <v>6.1047222222222217</v>
      </c>
      <c r="J722" s="10">
        <f>IFERROR(SUMIFS('Base bordo'!G$2:G$746,'Base bordo'!C$2:C$746,A722,'Base bordo'!B$2:B$746,B722,'Base bordo'!F$2:F$746,"BALANÇA - ENTRADA"),0)+IFERROR(SUMIFS('Base bordo'!G$2:G$746,'Base bordo'!C$2:C$746,A722,'Base bordo'!B$2:B$746,B722,'Base bordo'!F$2:F$746,"BALANÇA - SAÍDA"),0)</f>
        <v>6.8055555555555564E-2</v>
      </c>
      <c r="K722" s="10">
        <f>IFERROR(SUMIFS('Base bordo'!G$2:G$746,'Base bordo'!C$2:C$746,A722,'Base bordo'!B$2:B$746,B722,'Base bordo'!F$2:F$746,"MAN PREVENTIVA - MECANICA"),0)+IFERROR(SUMIFS('Base bordo'!G$2:G$746,'Base bordo'!C$2:C$746,A722,'Base bordo'!B$2:B$746,B722,'Base bordo'!F$2:F$746,"MAN CORRETIVA - MECANICA"),0)</f>
        <v>0.40166666666666667</v>
      </c>
      <c r="L722" s="10">
        <f>IFERROR(SUMIFS('Base bordo'!G$2:G$746,'Base bordo'!C$2:C$746,A722,'Base bordo'!B$2:B$746,B722,'Base bordo'!F$2:F$746,"MANUTENCAO - T O"),0)+IFERROR(SUMIFS('Base bordo'!G$2:G$746,'Base bordo'!C$2:C$746,A722,'Base bordo'!B$2:B$746,B722,'Base bordo'!F$2:F$746,"MANUTENCAO BORRACHARIA"),0)+IFERROR(SUMIFS('Base bordo'!G$2:G$746,'Base bordo'!C$2:C$746,A722,'Base bordo'!B$2:B$746,B722,'Base bordo'!F$2:F$746,"MANUTENCAO EXTERNA  CONCESSIONARIA"),0)+IFERROR(SUMIFS('Base bordo'!G$2:G$746,'Base bordo'!C$2:C$746,A722,'Base bordo'!B$2:B$746,B722,'Base bordo'!F$2:F$746,"MANUTENCAO TELEMETRIA"),0)</f>
        <v>1.5977777777777777</v>
      </c>
      <c r="M722" s="10">
        <f>IFERROR(SUMIFS('Base bordo'!G$2:G$746,'Base bordo'!C$2:C$746,A722,'Base bordo'!B$2:B$746,B722,'Base bordo'!F$2:F$746,"AGUARDANDO MANUTENCAO"),0)</f>
        <v>2.0836111111111113</v>
      </c>
      <c r="N722" s="10">
        <f>IFERROR(SUMIFS('Base bordo'!G$2:G$746,'Base bordo'!C$2:C$746,A722,'Base bordo'!B$2:B$746,B722,'Base bordo'!F$2:F$746,"SEM APONTAMENTO"),0)</f>
        <v>5.4166666666666669E-2</v>
      </c>
      <c r="O722" s="10">
        <f t="shared" si="78"/>
        <v>6.5758333333333354</v>
      </c>
      <c r="P722" s="10">
        <f>IFERROR(SUMIFS('Base bordo'!G$2:G$746,'Base bordo'!C$2:C$746,A722,'Base bordo'!B$2:B$746,B722),0)</f>
        <v>24.000000000000004</v>
      </c>
      <c r="Q722" s="10">
        <f>IFERROR(SUMIFS('Base bordo'!H$2:H$746,'Base bordo'!C$2:C$746,A722,'Base bordo'!B$2:B$746,B722,'Base bordo'!F$2:F$746,"DESLOCAMENTO VAZIO"),0)</f>
        <v>182003.76000000004</v>
      </c>
      <c r="R722" s="10">
        <f>IFERROR(SUMIFS('Base bordo'!I$2:I$746,'Base bordo'!C$2:C$746,A722,'Base bordo'!B$2:B$746,B722,'Base bordo'!F$2:F$746,"DESLOCAMENTO VAZIO"),0)</f>
        <v>7774</v>
      </c>
      <c r="S722" s="30">
        <f t="shared" si="79"/>
        <v>23.411854900951894</v>
      </c>
      <c r="T722" s="10">
        <f>IFERROR(SUMIFS('Base bordo'!H$2:H$746,'Base bordo'!C$2:C$746,A722,'Base bordo'!B$2:B$746,B722,'Base bordo'!F$2:F$746,"DESLOCAMENTO CARREGADO"),0)</f>
        <v>235509.89</v>
      </c>
      <c r="U722" s="10">
        <f>IFERROR(SUMIFS('Base bordo'!I$2:I$746,'Base bordo'!C$2:C$746,A722,'Base bordo'!B$2:B$746,B722,'Base bordo'!F$2:F$746,"DESLOCAMENTO CARREGADO"),0)</f>
        <v>8804</v>
      </c>
      <c r="V722" s="30">
        <f t="shared" si="80"/>
        <v>26.750328259881872</v>
      </c>
      <c r="W722" s="9">
        <f t="shared" si="81"/>
        <v>8.9976851851851836E-2</v>
      </c>
      <c r="X722" s="9">
        <f t="shared" si="82"/>
        <v>0.10189814814814813</v>
      </c>
      <c r="Y722" s="9">
        <f t="shared" si="83"/>
        <v>0.80812499999999998</v>
      </c>
    </row>
    <row r="723" spans="1:25" ht="15" customHeight="1" x14ac:dyDescent="0.35">
      <c r="A723" s="52">
        <v>8013469</v>
      </c>
      <c r="B723" s="51">
        <v>46118</v>
      </c>
      <c r="C723" s="7" t="s">
        <v>124</v>
      </c>
      <c r="D723" s="10">
        <f>IFERROR(SUMIFS('Base bordo'!G$2:G$746,'Base bordo'!C$2:C$746,A723,'Base bordo'!B$2:B$746,B723,'Base bordo'!F$2:F$746,"DESLOCAMENTO VAZIO"),0)</f>
        <v>2.1594444444444445</v>
      </c>
      <c r="E723" s="10">
        <f>IFERROR(SUMIFS('Base bordo'!G$2:G$746,'Base bordo'!C$2:C$746,A723,'Base bordo'!B$2:B$746,B723,'Base bordo'!F$2:F$746,"DESLOCAMENTO CARREGADO"),0)</f>
        <v>2.4455555555555555</v>
      </c>
      <c r="F723" s="10">
        <f>IFERROR(SUMIFS('Base bordo'!G$2:G$746,'Base bordo'!C$2:C$746,A723,'Base bordo'!B$2:B$746,B723,'Base bordo'!F$2:F$746,"DESLOCAMENTO"),0)</f>
        <v>0.63083333333333336</v>
      </c>
      <c r="G723" s="10">
        <f>IFERROR(SUMIFS('Base bordo'!G$2:G$746,'Base bordo'!C$2:C$746,A723,'Base bordo'!B$2:B$746,B723,'Base bordo'!F$2:F$746,"CARREGAMENTO"),0)</f>
        <v>0.96722222222222221</v>
      </c>
      <c r="H723" s="10">
        <f>IFERROR(SUMIFS('Base bordo'!G$2:G$746,'Base bordo'!C$2:C$746,A723,'Base bordo'!B$2:B$746,B723,'Base bordo'!F$2:F$746,"AGUARDANDO TRANSBORDO"),0)</f>
        <v>0.91111111111111109</v>
      </c>
      <c r="I723" s="10">
        <f>IFERROR(SUMIFS('Base bordo'!G$2:G$746,'Base bordo'!C$2:C$746,A723,'Base bordo'!B$2:B$746,B723,'Base bordo'!F$2:F$746,"PÁTIO INTERNO"),0)+IFERROR(SUMIFS('Base bordo'!G$2:G$746,'Base bordo'!C$2:C$746,A723,'Base bordo'!B$2:B$746,B723,'Base bordo'!F$2:F$746,"PÁTIO EXTERNO"),0)+IFERROR(SUMIFS('Base bordo'!G$2:G$746,'Base bordo'!C$2:C$746,A723,'Base bordo'!B$2:B$746,B723,'Base bordo'!F$2:F$746,"PATIO - RESERVA"),0)+IFERROR(SUMIFS('Base bordo'!G$2:G$746,'Base bordo'!C$2:C$746,A723,'Base bordo'!B$2:B$746,B723,'Base bordo'!F$2:F$746,"MANOBRA CARRETAS-PATIO"),0)</f>
        <v>6.1047222222222217</v>
      </c>
      <c r="J723" s="10">
        <f>IFERROR(SUMIFS('Base bordo'!G$2:G$746,'Base bordo'!C$2:C$746,A723,'Base bordo'!B$2:B$746,B723,'Base bordo'!F$2:F$746,"BALANÇA - ENTRADA"),0)+IFERROR(SUMIFS('Base bordo'!G$2:G$746,'Base bordo'!C$2:C$746,A723,'Base bordo'!B$2:B$746,B723,'Base bordo'!F$2:F$746,"BALANÇA - SAÍDA"),0)</f>
        <v>6.8055555555555564E-2</v>
      </c>
      <c r="K723" s="10">
        <f>IFERROR(SUMIFS('Base bordo'!G$2:G$746,'Base bordo'!C$2:C$746,A723,'Base bordo'!B$2:B$746,B723,'Base bordo'!F$2:F$746,"MAN PREVENTIVA - MECANICA"),0)+IFERROR(SUMIFS('Base bordo'!G$2:G$746,'Base bordo'!C$2:C$746,A723,'Base bordo'!B$2:B$746,B723,'Base bordo'!F$2:F$746,"MAN CORRETIVA - MECANICA"),0)</f>
        <v>0.40166666666666667</v>
      </c>
      <c r="L723" s="10">
        <f>IFERROR(SUMIFS('Base bordo'!G$2:G$746,'Base bordo'!C$2:C$746,A723,'Base bordo'!B$2:B$746,B723,'Base bordo'!F$2:F$746,"MANUTENCAO - T O"),0)+IFERROR(SUMIFS('Base bordo'!G$2:G$746,'Base bordo'!C$2:C$746,A723,'Base bordo'!B$2:B$746,B723,'Base bordo'!F$2:F$746,"MANUTENCAO BORRACHARIA"),0)+IFERROR(SUMIFS('Base bordo'!G$2:G$746,'Base bordo'!C$2:C$746,A723,'Base bordo'!B$2:B$746,B723,'Base bordo'!F$2:F$746,"MANUTENCAO EXTERNA  CONCESSIONARIA"),0)+IFERROR(SUMIFS('Base bordo'!G$2:G$746,'Base bordo'!C$2:C$746,A723,'Base bordo'!B$2:B$746,B723,'Base bordo'!F$2:F$746,"MANUTENCAO TELEMETRIA"),0)</f>
        <v>1.5977777777777777</v>
      </c>
      <c r="M723" s="10">
        <f>IFERROR(SUMIFS('Base bordo'!G$2:G$746,'Base bordo'!C$2:C$746,A723,'Base bordo'!B$2:B$746,B723,'Base bordo'!F$2:F$746,"AGUARDANDO MANUTENCAO"),0)</f>
        <v>2.0836111111111113</v>
      </c>
      <c r="N723" s="10">
        <f>IFERROR(SUMIFS('Base bordo'!G$2:G$746,'Base bordo'!C$2:C$746,A723,'Base bordo'!B$2:B$746,B723,'Base bordo'!F$2:F$746,"SEM APONTAMENTO"),0)</f>
        <v>5.4166666666666669E-2</v>
      </c>
      <c r="O723" s="10">
        <f t="shared" si="78"/>
        <v>6.5758333333333354</v>
      </c>
      <c r="P723" s="10">
        <f>IFERROR(SUMIFS('Base bordo'!G$2:G$746,'Base bordo'!C$2:C$746,A723,'Base bordo'!B$2:B$746,B723),0)</f>
        <v>24.000000000000004</v>
      </c>
      <c r="Q723" s="10">
        <f>IFERROR(SUMIFS('Base bordo'!H$2:H$746,'Base bordo'!C$2:C$746,A723,'Base bordo'!B$2:B$746,B723,'Base bordo'!F$2:F$746,"DESLOCAMENTO VAZIO"),0)</f>
        <v>182003.76000000004</v>
      </c>
      <c r="R723" s="10">
        <f>IFERROR(SUMIFS('Base bordo'!I$2:I$746,'Base bordo'!C$2:C$746,A723,'Base bordo'!B$2:B$746,B723,'Base bordo'!F$2:F$746,"DESLOCAMENTO VAZIO"),0)</f>
        <v>7774</v>
      </c>
      <c r="S723" s="30">
        <f t="shared" si="79"/>
        <v>23.411854900951894</v>
      </c>
      <c r="T723" s="10">
        <f>IFERROR(SUMIFS('Base bordo'!H$2:H$746,'Base bordo'!C$2:C$746,A723,'Base bordo'!B$2:B$746,B723,'Base bordo'!F$2:F$746,"DESLOCAMENTO CARREGADO"),0)</f>
        <v>235509.89</v>
      </c>
      <c r="U723" s="10">
        <f>IFERROR(SUMIFS('Base bordo'!I$2:I$746,'Base bordo'!C$2:C$746,A723,'Base bordo'!B$2:B$746,B723,'Base bordo'!F$2:F$746,"DESLOCAMENTO CARREGADO"),0)</f>
        <v>8804</v>
      </c>
      <c r="V723" s="30">
        <f t="shared" si="80"/>
        <v>26.750328259881872</v>
      </c>
      <c r="W723" s="9">
        <f t="shared" si="81"/>
        <v>8.9976851851851836E-2</v>
      </c>
      <c r="X723" s="9">
        <f t="shared" si="82"/>
        <v>0.10189814814814813</v>
      </c>
      <c r="Y723" s="9">
        <f t="shared" si="83"/>
        <v>0.80812499999999998</v>
      </c>
    </row>
    <row r="724" spans="1:25" ht="15" customHeight="1" x14ac:dyDescent="0.35">
      <c r="A724" s="52">
        <v>8013469</v>
      </c>
      <c r="B724" s="51">
        <v>46118</v>
      </c>
      <c r="C724" s="7" t="s">
        <v>124</v>
      </c>
      <c r="D724" s="10">
        <f>IFERROR(SUMIFS('Base bordo'!G$2:G$746,'Base bordo'!C$2:C$746,A724,'Base bordo'!B$2:B$746,B724,'Base bordo'!F$2:F$746,"DESLOCAMENTO VAZIO"),0)</f>
        <v>2.1594444444444445</v>
      </c>
      <c r="E724" s="10">
        <f>IFERROR(SUMIFS('Base bordo'!G$2:G$746,'Base bordo'!C$2:C$746,A724,'Base bordo'!B$2:B$746,B724,'Base bordo'!F$2:F$746,"DESLOCAMENTO CARREGADO"),0)</f>
        <v>2.4455555555555555</v>
      </c>
      <c r="F724" s="10">
        <f>IFERROR(SUMIFS('Base bordo'!G$2:G$746,'Base bordo'!C$2:C$746,A724,'Base bordo'!B$2:B$746,B724,'Base bordo'!F$2:F$746,"DESLOCAMENTO"),0)</f>
        <v>0.63083333333333336</v>
      </c>
      <c r="G724" s="10">
        <f>IFERROR(SUMIFS('Base bordo'!G$2:G$746,'Base bordo'!C$2:C$746,A724,'Base bordo'!B$2:B$746,B724,'Base bordo'!F$2:F$746,"CARREGAMENTO"),0)</f>
        <v>0.96722222222222221</v>
      </c>
      <c r="H724" s="10">
        <f>IFERROR(SUMIFS('Base bordo'!G$2:G$746,'Base bordo'!C$2:C$746,A724,'Base bordo'!B$2:B$746,B724,'Base bordo'!F$2:F$746,"AGUARDANDO TRANSBORDO"),0)</f>
        <v>0.91111111111111109</v>
      </c>
      <c r="I724" s="10">
        <f>IFERROR(SUMIFS('Base bordo'!G$2:G$746,'Base bordo'!C$2:C$746,A724,'Base bordo'!B$2:B$746,B724,'Base bordo'!F$2:F$746,"PÁTIO INTERNO"),0)+IFERROR(SUMIFS('Base bordo'!G$2:G$746,'Base bordo'!C$2:C$746,A724,'Base bordo'!B$2:B$746,B724,'Base bordo'!F$2:F$746,"PÁTIO EXTERNO"),0)+IFERROR(SUMIFS('Base bordo'!G$2:G$746,'Base bordo'!C$2:C$746,A724,'Base bordo'!B$2:B$746,B724,'Base bordo'!F$2:F$746,"PATIO - RESERVA"),0)+IFERROR(SUMIFS('Base bordo'!G$2:G$746,'Base bordo'!C$2:C$746,A724,'Base bordo'!B$2:B$746,B724,'Base bordo'!F$2:F$746,"MANOBRA CARRETAS-PATIO"),0)</f>
        <v>6.1047222222222217</v>
      </c>
      <c r="J724" s="10">
        <f>IFERROR(SUMIFS('Base bordo'!G$2:G$746,'Base bordo'!C$2:C$746,A724,'Base bordo'!B$2:B$746,B724,'Base bordo'!F$2:F$746,"BALANÇA - ENTRADA"),0)+IFERROR(SUMIFS('Base bordo'!G$2:G$746,'Base bordo'!C$2:C$746,A724,'Base bordo'!B$2:B$746,B724,'Base bordo'!F$2:F$746,"BALANÇA - SAÍDA"),0)</f>
        <v>6.8055555555555564E-2</v>
      </c>
      <c r="K724" s="10">
        <f>IFERROR(SUMIFS('Base bordo'!G$2:G$746,'Base bordo'!C$2:C$746,A724,'Base bordo'!B$2:B$746,B724,'Base bordo'!F$2:F$746,"MAN PREVENTIVA - MECANICA"),0)+IFERROR(SUMIFS('Base bordo'!G$2:G$746,'Base bordo'!C$2:C$746,A724,'Base bordo'!B$2:B$746,B724,'Base bordo'!F$2:F$746,"MAN CORRETIVA - MECANICA"),0)</f>
        <v>0.40166666666666667</v>
      </c>
      <c r="L724" s="10">
        <f>IFERROR(SUMIFS('Base bordo'!G$2:G$746,'Base bordo'!C$2:C$746,A724,'Base bordo'!B$2:B$746,B724,'Base bordo'!F$2:F$746,"MANUTENCAO - T O"),0)+IFERROR(SUMIFS('Base bordo'!G$2:G$746,'Base bordo'!C$2:C$746,A724,'Base bordo'!B$2:B$746,B724,'Base bordo'!F$2:F$746,"MANUTENCAO BORRACHARIA"),0)+IFERROR(SUMIFS('Base bordo'!G$2:G$746,'Base bordo'!C$2:C$746,A724,'Base bordo'!B$2:B$746,B724,'Base bordo'!F$2:F$746,"MANUTENCAO EXTERNA  CONCESSIONARIA"),0)+IFERROR(SUMIFS('Base bordo'!G$2:G$746,'Base bordo'!C$2:C$746,A724,'Base bordo'!B$2:B$746,B724,'Base bordo'!F$2:F$746,"MANUTENCAO TELEMETRIA"),0)</f>
        <v>1.5977777777777777</v>
      </c>
      <c r="M724" s="10">
        <f>IFERROR(SUMIFS('Base bordo'!G$2:G$746,'Base bordo'!C$2:C$746,A724,'Base bordo'!B$2:B$746,B724,'Base bordo'!F$2:F$746,"AGUARDANDO MANUTENCAO"),0)</f>
        <v>2.0836111111111113</v>
      </c>
      <c r="N724" s="10">
        <f>IFERROR(SUMIFS('Base bordo'!G$2:G$746,'Base bordo'!C$2:C$746,A724,'Base bordo'!B$2:B$746,B724,'Base bordo'!F$2:F$746,"SEM APONTAMENTO"),0)</f>
        <v>5.4166666666666669E-2</v>
      </c>
      <c r="O724" s="10">
        <f t="shared" si="78"/>
        <v>6.5758333333333354</v>
      </c>
      <c r="P724" s="10">
        <f>IFERROR(SUMIFS('Base bordo'!G$2:G$746,'Base bordo'!C$2:C$746,A724,'Base bordo'!B$2:B$746,B724),0)</f>
        <v>24.000000000000004</v>
      </c>
      <c r="Q724" s="10">
        <f>IFERROR(SUMIFS('Base bordo'!H$2:H$746,'Base bordo'!C$2:C$746,A724,'Base bordo'!B$2:B$746,B724,'Base bordo'!F$2:F$746,"DESLOCAMENTO VAZIO"),0)</f>
        <v>182003.76000000004</v>
      </c>
      <c r="R724" s="10">
        <f>IFERROR(SUMIFS('Base bordo'!I$2:I$746,'Base bordo'!C$2:C$746,A724,'Base bordo'!B$2:B$746,B724,'Base bordo'!F$2:F$746,"DESLOCAMENTO VAZIO"),0)</f>
        <v>7774</v>
      </c>
      <c r="S724" s="30">
        <f t="shared" si="79"/>
        <v>23.411854900951894</v>
      </c>
      <c r="T724" s="10">
        <f>IFERROR(SUMIFS('Base bordo'!H$2:H$746,'Base bordo'!C$2:C$746,A724,'Base bordo'!B$2:B$746,B724,'Base bordo'!F$2:F$746,"DESLOCAMENTO CARREGADO"),0)</f>
        <v>235509.89</v>
      </c>
      <c r="U724" s="10">
        <f>IFERROR(SUMIFS('Base bordo'!I$2:I$746,'Base bordo'!C$2:C$746,A724,'Base bordo'!B$2:B$746,B724,'Base bordo'!F$2:F$746,"DESLOCAMENTO CARREGADO"),0)</f>
        <v>8804</v>
      </c>
      <c r="V724" s="30">
        <f t="shared" si="80"/>
        <v>26.750328259881872</v>
      </c>
      <c r="W724" s="9">
        <f t="shared" si="81"/>
        <v>8.9976851851851836E-2</v>
      </c>
      <c r="X724" s="9">
        <f t="shared" si="82"/>
        <v>0.10189814814814813</v>
      </c>
      <c r="Y724" s="9">
        <f t="shared" si="83"/>
        <v>0.80812499999999998</v>
      </c>
    </row>
    <row r="725" spans="1:25" ht="15" customHeight="1" x14ac:dyDescent="0.35">
      <c r="A725" s="52">
        <v>8013469</v>
      </c>
      <c r="B725" s="51">
        <v>46118</v>
      </c>
      <c r="C725" s="7" t="s">
        <v>124</v>
      </c>
      <c r="D725" s="10">
        <f>IFERROR(SUMIFS('Base bordo'!G$2:G$746,'Base bordo'!C$2:C$746,A725,'Base bordo'!B$2:B$746,B725,'Base bordo'!F$2:F$746,"DESLOCAMENTO VAZIO"),0)</f>
        <v>2.1594444444444445</v>
      </c>
      <c r="E725" s="10">
        <f>IFERROR(SUMIFS('Base bordo'!G$2:G$746,'Base bordo'!C$2:C$746,A725,'Base bordo'!B$2:B$746,B725,'Base bordo'!F$2:F$746,"DESLOCAMENTO CARREGADO"),0)</f>
        <v>2.4455555555555555</v>
      </c>
      <c r="F725" s="10">
        <f>IFERROR(SUMIFS('Base bordo'!G$2:G$746,'Base bordo'!C$2:C$746,A725,'Base bordo'!B$2:B$746,B725,'Base bordo'!F$2:F$746,"DESLOCAMENTO"),0)</f>
        <v>0.63083333333333336</v>
      </c>
      <c r="G725" s="10">
        <f>IFERROR(SUMIFS('Base bordo'!G$2:G$746,'Base bordo'!C$2:C$746,A725,'Base bordo'!B$2:B$746,B725,'Base bordo'!F$2:F$746,"CARREGAMENTO"),0)</f>
        <v>0.96722222222222221</v>
      </c>
      <c r="H725" s="10">
        <f>IFERROR(SUMIFS('Base bordo'!G$2:G$746,'Base bordo'!C$2:C$746,A725,'Base bordo'!B$2:B$746,B725,'Base bordo'!F$2:F$746,"AGUARDANDO TRANSBORDO"),0)</f>
        <v>0.91111111111111109</v>
      </c>
      <c r="I725" s="10">
        <f>IFERROR(SUMIFS('Base bordo'!G$2:G$746,'Base bordo'!C$2:C$746,A725,'Base bordo'!B$2:B$746,B725,'Base bordo'!F$2:F$746,"PÁTIO INTERNO"),0)+IFERROR(SUMIFS('Base bordo'!G$2:G$746,'Base bordo'!C$2:C$746,A725,'Base bordo'!B$2:B$746,B725,'Base bordo'!F$2:F$746,"PÁTIO EXTERNO"),0)+IFERROR(SUMIFS('Base bordo'!G$2:G$746,'Base bordo'!C$2:C$746,A725,'Base bordo'!B$2:B$746,B725,'Base bordo'!F$2:F$746,"PATIO - RESERVA"),0)+IFERROR(SUMIFS('Base bordo'!G$2:G$746,'Base bordo'!C$2:C$746,A725,'Base bordo'!B$2:B$746,B725,'Base bordo'!F$2:F$746,"MANOBRA CARRETAS-PATIO"),0)</f>
        <v>6.1047222222222217</v>
      </c>
      <c r="J725" s="10">
        <f>IFERROR(SUMIFS('Base bordo'!G$2:G$746,'Base bordo'!C$2:C$746,A725,'Base bordo'!B$2:B$746,B725,'Base bordo'!F$2:F$746,"BALANÇA - ENTRADA"),0)+IFERROR(SUMIFS('Base bordo'!G$2:G$746,'Base bordo'!C$2:C$746,A725,'Base bordo'!B$2:B$746,B725,'Base bordo'!F$2:F$746,"BALANÇA - SAÍDA"),0)</f>
        <v>6.8055555555555564E-2</v>
      </c>
      <c r="K725" s="10">
        <f>IFERROR(SUMIFS('Base bordo'!G$2:G$746,'Base bordo'!C$2:C$746,A725,'Base bordo'!B$2:B$746,B725,'Base bordo'!F$2:F$746,"MAN PREVENTIVA - MECANICA"),0)+IFERROR(SUMIFS('Base bordo'!G$2:G$746,'Base bordo'!C$2:C$746,A725,'Base bordo'!B$2:B$746,B725,'Base bordo'!F$2:F$746,"MAN CORRETIVA - MECANICA"),0)</f>
        <v>0.40166666666666667</v>
      </c>
      <c r="L725" s="10">
        <f>IFERROR(SUMIFS('Base bordo'!G$2:G$746,'Base bordo'!C$2:C$746,A725,'Base bordo'!B$2:B$746,B725,'Base bordo'!F$2:F$746,"MANUTENCAO - T O"),0)+IFERROR(SUMIFS('Base bordo'!G$2:G$746,'Base bordo'!C$2:C$746,A725,'Base bordo'!B$2:B$746,B725,'Base bordo'!F$2:F$746,"MANUTENCAO BORRACHARIA"),0)+IFERROR(SUMIFS('Base bordo'!G$2:G$746,'Base bordo'!C$2:C$746,A725,'Base bordo'!B$2:B$746,B725,'Base bordo'!F$2:F$746,"MANUTENCAO EXTERNA  CONCESSIONARIA"),0)+IFERROR(SUMIFS('Base bordo'!G$2:G$746,'Base bordo'!C$2:C$746,A725,'Base bordo'!B$2:B$746,B725,'Base bordo'!F$2:F$746,"MANUTENCAO TELEMETRIA"),0)</f>
        <v>1.5977777777777777</v>
      </c>
      <c r="M725" s="10">
        <f>IFERROR(SUMIFS('Base bordo'!G$2:G$746,'Base bordo'!C$2:C$746,A725,'Base bordo'!B$2:B$746,B725,'Base bordo'!F$2:F$746,"AGUARDANDO MANUTENCAO"),0)</f>
        <v>2.0836111111111113</v>
      </c>
      <c r="N725" s="10">
        <f>IFERROR(SUMIFS('Base bordo'!G$2:G$746,'Base bordo'!C$2:C$746,A725,'Base bordo'!B$2:B$746,B725,'Base bordo'!F$2:F$746,"SEM APONTAMENTO"),0)</f>
        <v>5.4166666666666669E-2</v>
      </c>
      <c r="O725" s="10">
        <f t="shared" si="78"/>
        <v>6.5758333333333354</v>
      </c>
      <c r="P725" s="10">
        <f>IFERROR(SUMIFS('Base bordo'!G$2:G$746,'Base bordo'!C$2:C$746,A725,'Base bordo'!B$2:B$746,B725),0)</f>
        <v>24.000000000000004</v>
      </c>
      <c r="Q725" s="10">
        <f>IFERROR(SUMIFS('Base bordo'!H$2:H$746,'Base bordo'!C$2:C$746,A725,'Base bordo'!B$2:B$746,B725,'Base bordo'!F$2:F$746,"DESLOCAMENTO VAZIO"),0)</f>
        <v>182003.76000000004</v>
      </c>
      <c r="R725" s="10">
        <f>IFERROR(SUMIFS('Base bordo'!I$2:I$746,'Base bordo'!C$2:C$746,A725,'Base bordo'!B$2:B$746,B725,'Base bordo'!F$2:F$746,"DESLOCAMENTO VAZIO"),0)</f>
        <v>7774</v>
      </c>
      <c r="S725" s="30">
        <f t="shared" si="79"/>
        <v>23.411854900951894</v>
      </c>
      <c r="T725" s="10">
        <f>IFERROR(SUMIFS('Base bordo'!H$2:H$746,'Base bordo'!C$2:C$746,A725,'Base bordo'!B$2:B$746,B725,'Base bordo'!F$2:F$746,"DESLOCAMENTO CARREGADO"),0)</f>
        <v>235509.89</v>
      </c>
      <c r="U725" s="10">
        <f>IFERROR(SUMIFS('Base bordo'!I$2:I$746,'Base bordo'!C$2:C$746,A725,'Base bordo'!B$2:B$746,B725,'Base bordo'!F$2:F$746,"DESLOCAMENTO CARREGADO"),0)</f>
        <v>8804</v>
      </c>
      <c r="V725" s="30">
        <f t="shared" si="80"/>
        <v>26.750328259881872</v>
      </c>
      <c r="W725" s="9">
        <f t="shared" si="81"/>
        <v>8.9976851851851836E-2</v>
      </c>
      <c r="X725" s="9">
        <f t="shared" si="82"/>
        <v>0.10189814814814813</v>
      </c>
      <c r="Y725" s="9">
        <f t="shared" si="83"/>
        <v>0.80812499999999998</v>
      </c>
    </row>
    <row r="726" spans="1:25" ht="15" customHeight="1" x14ac:dyDescent="0.35">
      <c r="A726" s="52">
        <v>8013469</v>
      </c>
      <c r="B726" s="51">
        <v>46118</v>
      </c>
      <c r="C726" s="7" t="s">
        <v>124</v>
      </c>
      <c r="D726" s="10">
        <f>IFERROR(SUMIFS('Base bordo'!G$2:G$746,'Base bordo'!C$2:C$746,A726,'Base bordo'!B$2:B$746,B726,'Base bordo'!F$2:F$746,"DESLOCAMENTO VAZIO"),0)</f>
        <v>2.1594444444444445</v>
      </c>
      <c r="E726" s="10">
        <f>IFERROR(SUMIFS('Base bordo'!G$2:G$746,'Base bordo'!C$2:C$746,A726,'Base bordo'!B$2:B$746,B726,'Base bordo'!F$2:F$746,"DESLOCAMENTO CARREGADO"),0)</f>
        <v>2.4455555555555555</v>
      </c>
      <c r="F726" s="10">
        <f>IFERROR(SUMIFS('Base bordo'!G$2:G$746,'Base bordo'!C$2:C$746,A726,'Base bordo'!B$2:B$746,B726,'Base bordo'!F$2:F$746,"DESLOCAMENTO"),0)</f>
        <v>0.63083333333333336</v>
      </c>
      <c r="G726" s="10">
        <f>IFERROR(SUMIFS('Base bordo'!G$2:G$746,'Base bordo'!C$2:C$746,A726,'Base bordo'!B$2:B$746,B726,'Base bordo'!F$2:F$746,"CARREGAMENTO"),0)</f>
        <v>0.96722222222222221</v>
      </c>
      <c r="H726" s="10">
        <f>IFERROR(SUMIFS('Base bordo'!G$2:G$746,'Base bordo'!C$2:C$746,A726,'Base bordo'!B$2:B$746,B726,'Base bordo'!F$2:F$746,"AGUARDANDO TRANSBORDO"),0)</f>
        <v>0.91111111111111109</v>
      </c>
      <c r="I726" s="10">
        <f>IFERROR(SUMIFS('Base bordo'!G$2:G$746,'Base bordo'!C$2:C$746,A726,'Base bordo'!B$2:B$746,B726,'Base bordo'!F$2:F$746,"PÁTIO INTERNO"),0)+IFERROR(SUMIFS('Base bordo'!G$2:G$746,'Base bordo'!C$2:C$746,A726,'Base bordo'!B$2:B$746,B726,'Base bordo'!F$2:F$746,"PÁTIO EXTERNO"),0)+IFERROR(SUMIFS('Base bordo'!G$2:G$746,'Base bordo'!C$2:C$746,A726,'Base bordo'!B$2:B$746,B726,'Base bordo'!F$2:F$746,"PATIO - RESERVA"),0)+IFERROR(SUMIFS('Base bordo'!G$2:G$746,'Base bordo'!C$2:C$746,A726,'Base bordo'!B$2:B$746,B726,'Base bordo'!F$2:F$746,"MANOBRA CARRETAS-PATIO"),0)</f>
        <v>6.1047222222222217</v>
      </c>
      <c r="J726" s="10">
        <f>IFERROR(SUMIFS('Base bordo'!G$2:G$746,'Base bordo'!C$2:C$746,A726,'Base bordo'!B$2:B$746,B726,'Base bordo'!F$2:F$746,"BALANÇA - ENTRADA"),0)+IFERROR(SUMIFS('Base bordo'!G$2:G$746,'Base bordo'!C$2:C$746,A726,'Base bordo'!B$2:B$746,B726,'Base bordo'!F$2:F$746,"BALANÇA - SAÍDA"),0)</f>
        <v>6.8055555555555564E-2</v>
      </c>
      <c r="K726" s="10">
        <f>IFERROR(SUMIFS('Base bordo'!G$2:G$746,'Base bordo'!C$2:C$746,A726,'Base bordo'!B$2:B$746,B726,'Base bordo'!F$2:F$746,"MAN PREVENTIVA - MECANICA"),0)+IFERROR(SUMIFS('Base bordo'!G$2:G$746,'Base bordo'!C$2:C$746,A726,'Base bordo'!B$2:B$746,B726,'Base bordo'!F$2:F$746,"MAN CORRETIVA - MECANICA"),0)</f>
        <v>0.40166666666666667</v>
      </c>
      <c r="L726" s="10">
        <f>IFERROR(SUMIFS('Base bordo'!G$2:G$746,'Base bordo'!C$2:C$746,A726,'Base bordo'!B$2:B$746,B726,'Base bordo'!F$2:F$746,"MANUTENCAO - T O"),0)+IFERROR(SUMIFS('Base bordo'!G$2:G$746,'Base bordo'!C$2:C$746,A726,'Base bordo'!B$2:B$746,B726,'Base bordo'!F$2:F$746,"MANUTENCAO BORRACHARIA"),0)+IFERROR(SUMIFS('Base bordo'!G$2:G$746,'Base bordo'!C$2:C$746,A726,'Base bordo'!B$2:B$746,B726,'Base bordo'!F$2:F$746,"MANUTENCAO EXTERNA  CONCESSIONARIA"),0)+IFERROR(SUMIFS('Base bordo'!G$2:G$746,'Base bordo'!C$2:C$746,A726,'Base bordo'!B$2:B$746,B726,'Base bordo'!F$2:F$746,"MANUTENCAO TELEMETRIA"),0)</f>
        <v>1.5977777777777777</v>
      </c>
      <c r="M726" s="10">
        <f>IFERROR(SUMIFS('Base bordo'!G$2:G$746,'Base bordo'!C$2:C$746,A726,'Base bordo'!B$2:B$746,B726,'Base bordo'!F$2:F$746,"AGUARDANDO MANUTENCAO"),0)</f>
        <v>2.0836111111111113</v>
      </c>
      <c r="N726" s="10">
        <f>IFERROR(SUMIFS('Base bordo'!G$2:G$746,'Base bordo'!C$2:C$746,A726,'Base bordo'!B$2:B$746,B726,'Base bordo'!F$2:F$746,"SEM APONTAMENTO"),0)</f>
        <v>5.4166666666666669E-2</v>
      </c>
      <c r="O726" s="10">
        <f t="shared" si="78"/>
        <v>6.5758333333333354</v>
      </c>
      <c r="P726" s="10">
        <f>IFERROR(SUMIFS('Base bordo'!G$2:G$746,'Base bordo'!C$2:C$746,A726,'Base bordo'!B$2:B$746,B726),0)</f>
        <v>24.000000000000004</v>
      </c>
      <c r="Q726" s="10">
        <f>IFERROR(SUMIFS('Base bordo'!H$2:H$746,'Base bordo'!C$2:C$746,A726,'Base bordo'!B$2:B$746,B726,'Base bordo'!F$2:F$746,"DESLOCAMENTO VAZIO"),0)</f>
        <v>182003.76000000004</v>
      </c>
      <c r="R726" s="10">
        <f>IFERROR(SUMIFS('Base bordo'!I$2:I$746,'Base bordo'!C$2:C$746,A726,'Base bordo'!B$2:B$746,B726,'Base bordo'!F$2:F$746,"DESLOCAMENTO VAZIO"),0)</f>
        <v>7774</v>
      </c>
      <c r="S726" s="30">
        <f t="shared" si="79"/>
        <v>23.411854900951894</v>
      </c>
      <c r="T726" s="10">
        <f>IFERROR(SUMIFS('Base bordo'!H$2:H$746,'Base bordo'!C$2:C$746,A726,'Base bordo'!B$2:B$746,B726,'Base bordo'!F$2:F$746,"DESLOCAMENTO CARREGADO"),0)</f>
        <v>235509.89</v>
      </c>
      <c r="U726" s="10">
        <f>IFERROR(SUMIFS('Base bordo'!I$2:I$746,'Base bordo'!C$2:C$746,A726,'Base bordo'!B$2:B$746,B726,'Base bordo'!F$2:F$746,"DESLOCAMENTO CARREGADO"),0)</f>
        <v>8804</v>
      </c>
      <c r="V726" s="30">
        <f t="shared" si="80"/>
        <v>26.750328259881872</v>
      </c>
      <c r="W726" s="9">
        <f t="shared" si="81"/>
        <v>8.9976851851851836E-2</v>
      </c>
      <c r="X726" s="9">
        <f t="shared" si="82"/>
        <v>0.10189814814814813</v>
      </c>
      <c r="Y726" s="9">
        <f t="shared" si="83"/>
        <v>0.80812499999999998</v>
      </c>
    </row>
    <row r="727" spans="1:25" ht="15" customHeight="1" x14ac:dyDescent="0.35">
      <c r="A727" s="52">
        <v>8013469</v>
      </c>
      <c r="B727" s="51">
        <v>46118</v>
      </c>
      <c r="C727" s="7" t="s">
        <v>124</v>
      </c>
      <c r="D727" s="10">
        <f>IFERROR(SUMIFS('Base bordo'!G$2:G$746,'Base bordo'!C$2:C$746,A727,'Base bordo'!B$2:B$746,B727,'Base bordo'!F$2:F$746,"DESLOCAMENTO VAZIO"),0)</f>
        <v>2.1594444444444445</v>
      </c>
      <c r="E727" s="10">
        <f>IFERROR(SUMIFS('Base bordo'!G$2:G$746,'Base bordo'!C$2:C$746,A727,'Base bordo'!B$2:B$746,B727,'Base bordo'!F$2:F$746,"DESLOCAMENTO CARREGADO"),0)</f>
        <v>2.4455555555555555</v>
      </c>
      <c r="F727" s="10">
        <f>IFERROR(SUMIFS('Base bordo'!G$2:G$746,'Base bordo'!C$2:C$746,A727,'Base bordo'!B$2:B$746,B727,'Base bordo'!F$2:F$746,"DESLOCAMENTO"),0)</f>
        <v>0.63083333333333336</v>
      </c>
      <c r="G727" s="10">
        <f>IFERROR(SUMIFS('Base bordo'!G$2:G$746,'Base bordo'!C$2:C$746,A727,'Base bordo'!B$2:B$746,B727,'Base bordo'!F$2:F$746,"CARREGAMENTO"),0)</f>
        <v>0.96722222222222221</v>
      </c>
      <c r="H727" s="10">
        <f>IFERROR(SUMIFS('Base bordo'!G$2:G$746,'Base bordo'!C$2:C$746,A727,'Base bordo'!B$2:B$746,B727,'Base bordo'!F$2:F$746,"AGUARDANDO TRANSBORDO"),0)</f>
        <v>0.91111111111111109</v>
      </c>
      <c r="I727" s="10">
        <f>IFERROR(SUMIFS('Base bordo'!G$2:G$746,'Base bordo'!C$2:C$746,A727,'Base bordo'!B$2:B$746,B727,'Base bordo'!F$2:F$746,"PÁTIO INTERNO"),0)+IFERROR(SUMIFS('Base bordo'!G$2:G$746,'Base bordo'!C$2:C$746,A727,'Base bordo'!B$2:B$746,B727,'Base bordo'!F$2:F$746,"PÁTIO EXTERNO"),0)+IFERROR(SUMIFS('Base bordo'!G$2:G$746,'Base bordo'!C$2:C$746,A727,'Base bordo'!B$2:B$746,B727,'Base bordo'!F$2:F$746,"PATIO - RESERVA"),0)+IFERROR(SUMIFS('Base bordo'!G$2:G$746,'Base bordo'!C$2:C$746,A727,'Base bordo'!B$2:B$746,B727,'Base bordo'!F$2:F$746,"MANOBRA CARRETAS-PATIO"),0)</f>
        <v>6.1047222222222217</v>
      </c>
      <c r="J727" s="10">
        <f>IFERROR(SUMIFS('Base bordo'!G$2:G$746,'Base bordo'!C$2:C$746,A727,'Base bordo'!B$2:B$746,B727,'Base bordo'!F$2:F$746,"BALANÇA - ENTRADA"),0)+IFERROR(SUMIFS('Base bordo'!G$2:G$746,'Base bordo'!C$2:C$746,A727,'Base bordo'!B$2:B$746,B727,'Base bordo'!F$2:F$746,"BALANÇA - SAÍDA"),0)</f>
        <v>6.8055555555555564E-2</v>
      </c>
      <c r="K727" s="10">
        <f>IFERROR(SUMIFS('Base bordo'!G$2:G$746,'Base bordo'!C$2:C$746,A727,'Base bordo'!B$2:B$746,B727,'Base bordo'!F$2:F$746,"MAN PREVENTIVA - MECANICA"),0)+IFERROR(SUMIFS('Base bordo'!G$2:G$746,'Base bordo'!C$2:C$746,A727,'Base bordo'!B$2:B$746,B727,'Base bordo'!F$2:F$746,"MAN CORRETIVA - MECANICA"),0)</f>
        <v>0.40166666666666667</v>
      </c>
      <c r="L727" s="10">
        <f>IFERROR(SUMIFS('Base bordo'!G$2:G$746,'Base bordo'!C$2:C$746,A727,'Base bordo'!B$2:B$746,B727,'Base bordo'!F$2:F$746,"MANUTENCAO - T O"),0)+IFERROR(SUMIFS('Base bordo'!G$2:G$746,'Base bordo'!C$2:C$746,A727,'Base bordo'!B$2:B$746,B727,'Base bordo'!F$2:F$746,"MANUTENCAO BORRACHARIA"),0)+IFERROR(SUMIFS('Base bordo'!G$2:G$746,'Base bordo'!C$2:C$746,A727,'Base bordo'!B$2:B$746,B727,'Base bordo'!F$2:F$746,"MANUTENCAO EXTERNA  CONCESSIONARIA"),0)+IFERROR(SUMIFS('Base bordo'!G$2:G$746,'Base bordo'!C$2:C$746,A727,'Base bordo'!B$2:B$746,B727,'Base bordo'!F$2:F$746,"MANUTENCAO TELEMETRIA"),0)</f>
        <v>1.5977777777777777</v>
      </c>
      <c r="M727" s="10">
        <f>IFERROR(SUMIFS('Base bordo'!G$2:G$746,'Base bordo'!C$2:C$746,A727,'Base bordo'!B$2:B$746,B727,'Base bordo'!F$2:F$746,"AGUARDANDO MANUTENCAO"),0)</f>
        <v>2.0836111111111113</v>
      </c>
      <c r="N727" s="10">
        <f>IFERROR(SUMIFS('Base bordo'!G$2:G$746,'Base bordo'!C$2:C$746,A727,'Base bordo'!B$2:B$746,B727,'Base bordo'!F$2:F$746,"SEM APONTAMENTO"),0)</f>
        <v>5.4166666666666669E-2</v>
      </c>
      <c r="O727" s="10">
        <f t="shared" si="78"/>
        <v>6.5758333333333354</v>
      </c>
      <c r="P727" s="10">
        <f>IFERROR(SUMIFS('Base bordo'!G$2:G$746,'Base bordo'!C$2:C$746,A727,'Base bordo'!B$2:B$746,B727),0)</f>
        <v>24.000000000000004</v>
      </c>
      <c r="Q727" s="10">
        <f>IFERROR(SUMIFS('Base bordo'!H$2:H$746,'Base bordo'!C$2:C$746,A727,'Base bordo'!B$2:B$746,B727,'Base bordo'!F$2:F$746,"DESLOCAMENTO VAZIO"),0)</f>
        <v>182003.76000000004</v>
      </c>
      <c r="R727" s="10">
        <f>IFERROR(SUMIFS('Base bordo'!I$2:I$746,'Base bordo'!C$2:C$746,A727,'Base bordo'!B$2:B$746,B727,'Base bordo'!F$2:F$746,"DESLOCAMENTO VAZIO"),0)</f>
        <v>7774</v>
      </c>
      <c r="S727" s="30">
        <f t="shared" si="79"/>
        <v>23.411854900951894</v>
      </c>
      <c r="T727" s="10">
        <f>IFERROR(SUMIFS('Base bordo'!H$2:H$746,'Base bordo'!C$2:C$746,A727,'Base bordo'!B$2:B$746,B727,'Base bordo'!F$2:F$746,"DESLOCAMENTO CARREGADO"),0)</f>
        <v>235509.89</v>
      </c>
      <c r="U727" s="10">
        <f>IFERROR(SUMIFS('Base bordo'!I$2:I$746,'Base bordo'!C$2:C$746,A727,'Base bordo'!B$2:B$746,B727,'Base bordo'!F$2:F$746,"DESLOCAMENTO CARREGADO"),0)</f>
        <v>8804</v>
      </c>
      <c r="V727" s="30">
        <f t="shared" si="80"/>
        <v>26.750328259881872</v>
      </c>
      <c r="W727" s="9">
        <f t="shared" si="81"/>
        <v>8.9976851851851836E-2</v>
      </c>
      <c r="X727" s="9">
        <f t="shared" si="82"/>
        <v>0.10189814814814813</v>
      </c>
      <c r="Y727" s="9">
        <f t="shared" si="83"/>
        <v>0.80812499999999998</v>
      </c>
    </row>
    <row r="728" spans="1:25" ht="15" customHeight="1" x14ac:dyDescent="0.35">
      <c r="A728" s="52">
        <v>8013469</v>
      </c>
      <c r="B728" s="51">
        <v>46118</v>
      </c>
      <c r="C728" s="7" t="s">
        <v>124</v>
      </c>
      <c r="D728" s="10">
        <f>IFERROR(SUMIFS('Base bordo'!G$2:G$746,'Base bordo'!C$2:C$746,A728,'Base bordo'!B$2:B$746,B728,'Base bordo'!F$2:F$746,"DESLOCAMENTO VAZIO"),0)</f>
        <v>2.1594444444444445</v>
      </c>
      <c r="E728" s="10">
        <f>IFERROR(SUMIFS('Base bordo'!G$2:G$746,'Base bordo'!C$2:C$746,A728,'Base bordo'!B$2:B$746,B728,'Base bordo'!F$2:F$746,"DESLOCAMENTO CARREGADO"),0)</f>
        <v>2.4455555555555555</v>
      </c>
      <c r="F728" s="10">
        <f>IFERROR(SUMIFS('Base bordo'!G$2:G$746,'Base bordo'!C$2:C$746,A728,'Base bordo'!B$2:B$746,B728,'Base bordo'!F$2:F$746,"DESLOCAMENTO"),0)</f>
        <v>0.63083333333333336</v>
      </c>
      <c r="G728" s="10">
        <f>IFERROR(SUMIFS('Base bordo'!G$2:G$746,'Base bordo'!C$2:C$746,A728,'Base bordo'!B$2:B$746,B728,'Base bordo'!F$2:F$746,"CARREGAMENTO"),0)</f>
        <v>0.96722222222222221</v>
      </c>
      <c r="H728" s="10">
        <f>IFERROR(SUMIFS('Base bordo'!G$2:G$746,'Base bordo'!C$2:C$746,A728,'Base bordo'!B$2:B$746,B728,'Base bordo'!F$2:F$746,"AGUARDANDO TRANSBORDO"),0)</f>
        <v>0.91111111111111109</v>
      </c>
      <c r="I728" s="10">
        <f>IFERROR(SUMIFS('Base bordo'!G$2:G$746,'Base bordo'!C$2:C$746,A728,'Base bordo'!B$2:B$746,B728,'Base bordo'!F$2:F$746,"PÁTIO INTERNO"),0)+IFERROR(SUMIFS('Base bordo'!G$2:G$746,'Base bordo'!C$2:C$746,A728,'Base bordo'!B$2:B$746,B728,'Base bordo'!F$2:F$746,"PÁTIO EXTERNO"),0)+IFERROR(SUMIFS('Base bordo'!G$2:G$746,'Base bordo'!C$2:C$746,A728,'Base bordo'!B$2:B$746,B728,'Base bordo'!F$2:F$746,"PATIO - RESERVA"),0)+IFERROR(SUMIFS('Base bordo'!G$2:G$746,'Base bordo'!C$2:C$746,A728,'Base bordo'!B$2:B$746,B728,'Base bordo'!F$2:F$746,"MANOBRA CARRETAS-PATIO"),0)</f>
        <v>6.1047222222222217</v>
      </c>
      <c r="J728" s="10">
        <f>IFERROR(SUMIFS('Base bordo'!G$2:G$746,'Base bordo'!C$2:C$746,A728,'Base bordo'!B$2:B$746,B728,'Base bordo'!F$2:F$746,"BALANÇA - ENTRADA"),0)+IFERROR(SUMIFS('Base bordo'!G$2:G$746,'Base bordo'!C$2:C$746,A728,'Base bordo'!B$2:B$746,B728,'Base bordo'!F$2:F$746,"BALANÇA - SAÍDA"),0)</f>
        <v>6.8055555555555564E-2</v>
      </c>
      <c r="K728" s="10">
        <f>IFERROR(SUMIFS('Base bordo'!G$2:G$746,'Base bordo'!C$2:C$746,A728,'Base bordo'!B$2:B$746,B728,'Base bordo'!F$2:F$746,"MAN PREVENTIVA - MECANICA"),0)+IFERROR(SUMIFS('Base bordo'!G$2:G$746,'Base bordo'!C$2:C$746,A728,'Base bordo'!B$2:B$746,B728,'Base bordo'!F$2:F$746,"MAN CORRETIVA - MECANICA"),0)</f>
        <v>0.40166666666666667</v>
      </c>
      <c r="L728" s="10">
        <f>IFERROR(SUMIFS('Base bordo'!G$2:G$746,'Base bordo'!C$2:C$746,A728,'Base bordo'!B$2:B$746,B728,'Base bordo'!F$2:F$746,"MANUTENCAO - T O"),0)+IFERROR(SUMIFS('Base bordo'!G$2:G$746,'Base bordo'!C$2:C$746,A728,'Base bordo'!B$2:B$746,B728,'Base bordo'!F$2:F$746,"MANUTENCAO BORRACHARIA"),0)+IFERROR(SUMIFS('Base bordo'!G$2:G$746,'Base bordo'!C$2:C$746,A728,'Base bordo'!B$2:B$746,B728,'Base bordo'!F$2:F$746,"MANUTENCAO EXTERNA  CONCESSIONARIA"),0)+IFERROR(SUMIFS('Base bordo'!G$2:G$746,'Base bordo'!C$2:C$746,A728,'Base bordo'!B$2:B$746,B728,'Base bordo'!F$2:F$746,"MANUTENCAO TELEMETRIA"),0)</f>
        <v>1.5977777777777777</v>
      </c>
      <c r="M728" s="10">
        <f>IFERROR(SUMIFS('Base bordo'!G$2:G$746,'Base bordo'!C$2:C$746,A728,'Base bordo'!B$2:B$746,B728,'Base bordo'!F$2:F$746,"AGUARDANDO MANUTENCAO"),0)</f>
        <v>2.0836111111111113</v>
      </c>
      <c r="N728" s="10">
        <f>IFERROR(SUMIFS('Base bordo'!G$2:G$746,'Base bordo'!C$2:C$746,A728,'Base bordo'!B$2:B$746,B728,'Base bordo'!F$2:F$746,"SEM APONTAMENTO"),0)</f>
        <v>5.4166666666666669E-2</v>
      </c>
      <c r="O728" s="10">
        <f t="shared" si="78"/>
        <v>6.5758333333333354</v>
      </c>
      <c r="P728" s="10">
        <f>IFERROR(SUMIFS('Base bordo'!G$2:G$746,'Base bordo'!C$2:C$746,A728,'Base bordo'!B$2:B$746,B728),0)</f>
        <v>24.000000000000004</v>
      </c>
      <c r="Q728" s="10">
        <f>IFERROR(SUMIFS('Base bordo'!H$2:H$746,'Base bordo'!C$2:C$746,A728,'Base bordo'!B$2:B$746,B728,'Base bordo'!F$2:F$746,"DESLOCAMENTO VAZIO"),0)</f>
        <v>182003.76000000004</v>
      </c>
      <c r="R728" s="10">
        <f>IFERROR(SUMIFS('Base bordo'!I$2:I$746,'Base bordo'!C$2:C$746,A728,'Base bordo'!B$2:B$746,B728,'Base bordo'!F$2:F$746,"DESLOCAMENTO VAZIO"),0)</f>
        <v>7774</v>
      </c>
      <c r="S728" s="30">
        <f t="shared" si="79"/>
        <v>23.411854900951894</v>
      </c>
      <c r="T728" s="10">
        <f>IFERROR(SUMIFS('Base bordo'!H$2:H$746,'Base bordo'!C$2:C$746,A728,'Base bordo'!B$2:B$746,B728,'Base bordo'!F$2:F$746,"DESLOCAMENTO CARREGADO"),0)</f>
        <v>235509.89</v>
      </c>
      <c r="U728" s="10">
        <f>IFERROR(SUMIFS('Base bordo'!I$2:I$746,'Base bordo'!C$2:C$746,A728,'Base bordo'!B$2:B$746,B728,'Base bordo'!F$2:F$746,"DESLOCAMENTO CARREGADO"),0)</f>
        <v>8804</v>
      </c>
      <c r="V728" s="30">
        <f t="shared" si="80"/>
        <v>26.750328259881872</v>
      </c>
      <c r="W728" s="9">
        <f t="shared" si="81"/>
        <v>8.9976851851851836E-2</v>
      </c>
      <c r="X728" s="9">
        <f t="shared" si="82"/>
        <v>0.10189814814814813</v>
      </c>
      <c r="Y728" s="9">
        <f t="shared" si="83"/>
        <v>0.80812499999999998</v>
      </c>
    </row>
    <row r="729" spans="1:25" ht="15" customHeight="1" x14ac:dyDescent="0.35">
      <c r="A729" s="52">
        <v>8013469</v>
      </c>
      <c r="B729" s="51">
        <v>46118</v>
      </c>
      <c r="C729" s="7" t="s">
        <v>124</v>
      </c>
      <c r="D729" s="10">
        <f>IFERROR(SUMIFS('Base bordo'!G$2:G$746,'Base bordo'!C$2:C$746,A729,'Base bordo'!B$2:B$746,B729,'Base bordo'!F$2:F$746,"DESLOCAMENTO VAZIO"),0)</f>
        <v>2.1594444444444445</v>
      </c>
      <c r="E729" s="10">
        <f>IFERROR(SUMIFS('Base bordo'!G$2:G$746,'Base bordo'!C$2:C$746,A729,'Base bordo'!B$2:B$746,B729,'Base bordo'!F$2:F$746,"DESLOCAMENTO CARREGADO"),0)</f>
        <v>2.4455555555555555</v>
      </c>
      <c r="F729" s="10">
        <f>IFERROR(SUMIFS('Base bordo'!G$2:G$746,'Base bordo'!C$2:C$746,A729,'Base bordo'!B$2:B$746,B729,'Base bordo'!F$2:F$746,"DESLOCAMENTO"),0)</f>
        <v>0.63083333333333336</v>
      </c>
      <c r="G729" s="10">
        <f>IFERROR(SUMIFS('Base bordo'!G$2:G$746,'Base bordo'!C$2:C$746,A729,'Base bordo'!B$2:B$746,B729,'Base bordo'!F$2:F$746,"CARREGAMENTO"),0)</f>
        <v>0.96722222222222221</v>
      </c>
      <c r="H729" s="10">
        <f>IFERROR(SUMIFS('Base bordo'!G$2:G$746,'Base bordo'!C$2:C$746,A729,'Base bordo'!B$2:B$746,B729,'Base bordo'!F$2:F$746,"AGUARDANDO TRANSBORDO"),0)</f>
        <v>0.91111111111111109</v>
      </c>
      <c r="I729" s="10">
        <f>IFERROR(SUMIFS('Base bordo'!G$2:G$746,'Base bordo'!C$2:C$746,A729,'Base bordo'!B$2:B$746,B729,'Base bordo'!F$2:F$746,"PÁTIO INTERNO"),0)+IFERROR(SUMIFS('Base bordo'!G$2:G$746,'Base bordo'!C$2:C$746,A729,'Base bordo'!B$2:B$746,B729,'Base bordo'!F$2:F$746,"PÁTIO EXTERNO"),0)+IFERROR(SUMIFS('Base bordo'!G$2:G$746,'Base bordo'!C$2:C$746,A729,'Base bordo'!B$2:B$746,B729,'Base bordo'!F$2:F$746,"PATIO - RESERVA"),0)+IFERROR(SUMIFS('Base bordo'!G$2:G$746,'Base bordo'!C$2:C$746,A729,'Base bordo'!B$2:B$746,B729,'Base bordo'!F$2:F$746,"MANOBRA CARRETAS-PATIO"),0)</f>
        <v>6.1047222222222217</v>
      </c>
      <c r="J729" s="10">
        <f>IFERROR(SUMIFS('Base bordo'!G$2:G$746,'Base bordo'!C$2:C$746,A729,'Base bordo'!B$2:B$746,B729,'Base bordo'!F$2:F$746,"BALANÇA - ENTRADA"),0)+IFERROR(SUMIFS('Base bordo'!G$2:G$746,'Base bordo'!C$2:C$746,A729,'Base bordo'!B$2:B$746,B729,'Base bordo'!F$2:F$746,"BALANÇA - SAÍDA"),0)</f>
        <v>6.8055555555555564E-2</v>
      </c>
      <c r="K729" s="10">
        <f>IFERROR(SUMIFS('Base bordo'!G$2:G$746,'Base bordo'!C$2:C$746,A729,'Base bordo'!B$2:B$746,B729,'Base bordo'!F$2:F$746,"MAN PREVENTIVA - MECANICA"),0)+IFERROR(SUMIFS('Base bordo'!G$2:G$746,'Base bordo'!C$2:C$746,A729,'Base bordo'!B$2:B$746,B729,'Base bordo'!F$2:F$746,"MAN CORRETIVA - MECANICA"),0)</f>
        <v>0.40166666666666667</v>
      </c>
      <c r="L729" s="10">
        <f>IFERROR(SUMIFS('Base bordo'!G$2:G$746,'Base bordo'!C$2:C$746,A729,'Base bordo'!B$2:B$746,B729,'Base bordo'!F$2:F$746,"MANUTENCAO - T O"),0)+IFERROR(SUMIFS('Base bordo'!G$2:G$746,'Base bordo'!C$2:C$746,A729,'Base bordo'!B$2:B$746,B729,'Base bordo'!F$2:F$746,"MANUTENCAO BORRACHARIA"),0)+IFERROR(SUMIFS('Base bordo'!G$2:G$746,'Base bordo'!C$2:C$746,A729,'Base bordo'!B$2:B$746,B729,'Base bordo'!F$2:F$746,"MANUTENCAO EXTERNA  CONCESSIONARIA"),0)+IFERROR(SUMIFS('Base bordo'!G$2:G$746,'Base bordo'!C$2:C$746,A729,'Base bordo'!B$2:B$746,B729,'Base bordo'!F$2:F$746,"MANUTENCAO TELEMETRIA"),0)</f>
        <v>1.5977777777777777</v>
      </c>
      <c r="M729" s="10">
        <f>IFERROR(SUMIFS('Base bordo'!G$2:G$746,'Base bordo'!C$2:C$746,A729,'Base bordo'!B$2:B$746,B729,'Base bordo'!F$2:F$746,"AGUARDANDO MANUTENCAO"),0)</f>
        <v>2.0836111111111113</v>
      </c>
      <c r="N729" s="10">
        <f>IFERROR(SUMIFS('Base bordo'!G$2:G$746,'Base bordo'!C$2:C$746,A729,'Base bordo'!B$2:B$746,B729,'Base bordo'!F$2:F$746,"SEM APONTAMENTO"),0)</f>
        <v>5.4166666666666669E-2</v>
      </c>
      <c r="O729" s="10">
        <f t="shared" si="78"/>
        <v>6.5758333333333354</v>
      </c>
      <c r="P729" s="10">
        <f>IFERROR(SUMIFS('Base bordo'!G$2:G$746,'Base bordo'!C$2:C$746,A729,'Base bordo'!B$2:B$746,B729),0)</f>
        <v>24.000000000000004</v>
      </c>
      <c r="Q729" s="10">
        <f>IFERROR(SUMIFS('Base bordo'!H$2:H$746,'Base bordo'!C$2:C$746,A729,'Base bordo'!B$2:B$746,B729,'Base bordo'!F$2:F$746,"DESLOCAMENTO VAZIO"),0)</f>
        <v>182003.76000000004</v>
      </c>
      <c r="R729" s="10">
        <f>IFERROR(SUMIFS('Base bordo'!I$2:I$746,'Base bordo'!C$2:C$746,A729,'Base bordo'!B$2:B$746,B729,'Base bordo'!F$2:F$746,"DESLOCAMENTO VAZIO"),0)</f>
        <v>7774</v>
      </c>
      <c r="S729" s="30">
        <f t="shared" si="79"/>
        <v>23.411854900951894</v>
      </c>
      <c r="T729" s="10">
        <f>IFERROR(SUMIFS('Base bordo'!H$2:H$746,'Base bordo'!C$2:C$746,A729,'Base bordo'!B$2:B$746,B729,'Base bordo'!F$2:F$746,"DESLOCAMENTO CARREGADO"),0)</f>
        <v>235509.89</v>
      </c>
      <c r="U729" s="10">
        <f>IFERROR(SUMIFS('Base bordo'!I$2:I$746,'Base bordo'!C$2:C$746,A729,'Base bordo'!B$2:B$746,B729,'Base bordo'!F$2:F$746,"DESLOCAMENTO CARREGADO"),0)</f>
        <v>8804</v>
      </c>
      <c r="V729" s="30">
        <f t="shared" si="80"/>
        <v>26.750328259881872</v>
      </c>
      <c r="W729" s="9">
        <f t="shared" si="81"/>
        <v>8.9976851851851836E-2</v>
      </c>
      <c r="X729" s="9">
        <f t="shared" si="82"/>
        <v>0.10189814814814813</v>
      </c>
      <c r="Y729" s="9">
        <f t="shared" si="83"/>
        <v>0.80812499999999998</v>
      </c>
    </row>
    <row r="730" spans="1:25" ht="15" customHeight="1" x14ac:dyDescent="0.35">
      <c r="A730" s="52">
        <v>8013469</v>
      </c>
      <c r="B730" s="51">
        <v>46118</v>
      </c>
      <c r="C730" s="7" t="s">
        <v>124</v>
      </c>
      <c r="D730" s="10">
        <f>IFERROR(SUMIFS('Base bordo'!G$2:G$746,'Base bordo'!C$2:C$746,A730,'Base bordo'!B$2:B$746,B730,'Base bordo'!F$2:F$746,"DESLOCAMENTO VAZIO"),0)</f>
        <v>2.1594444444444445</v>
      </c>
      <c r="E730" s="10">
        <f>IFERROR(SUMIFS('Base bordo'!G$2:G$746,'Base bordo'!C$2:C$746,A730,'Base bordo'!B$2:B$746,B730,'Base bordo'!F$2:F$746,"DESLOCAMENTO CARREGADO"),0)</f>
        <v>2.4455555555555555</v>
      </c>
      <c r="F730" s="10">
        <f>IFERROR(SUMIFS('Base bordo'!G$2:G$746,'Base bordo'!C$2:C$746,A730,'Base bordo'!B$2:B$746,B730,'Base bordo'!F$2:F$746,"DESLOCAMENTO"),0)</f>
        <v>0.63083333333333336</v>
      </c>
      <c r="G730" s="10">
        <f>IFERROR(SUMIFS('Base bordo'!G$2:G$746,'Base bordo'!C$2:C$746,A730,'Base bordo'!B$2:B$746,B730,'Base bordo'!F$2:F$746,"CARREGAMENTO"),0)</f>
        <v>0.96722222222222221</v>
      </c>
      <c r="H730" s="10">
        <f>IFERROR(SUMIFS('Base bordo'!G$2:G$746,'Base bordo'!C$2:C$746,A730,'Base bordo'!B$2:B$746,B730,'Base bordo'!F$2:F$746,"AGUARDANDO TRANSBORDO"),0)</f>
        <v>0.91111111111111109</v>
      </c>
      <c r="I730" s="10">
        <f>IFERROR(SUMIFS('Base bordo'!G$2:G$746,'Base bordo'!C$2:C$746,A730,'Base bordo'!B$2:B$746,B730,'Base bordo'!F$2:F$746,"PÁTIO INTERNO"),0)+IFERROR(SUMIFS('Base bordo'!G$2:G$746,'Base bordo'!C$2:C$746,A730,'Base bordo'!B$2:B$746,B730,'Base bordo'!F$2:F$746,"PÁTIO EXTERNO"),0)+IFERROR(SUMIFS('Base bordo'!G$2:G$746,'Base bordo'!C$2:C$746,A730,'Base bordo'!B$2:B$746,B730,'Base bordo'!F$2:F$746,"PATIO - RESERVA"),0)+IFERROR(SUMIFS('Base bordo'!G$2:G$746,'Base bordo'!C$2:C$746,A730,'Base bordo'!B$2:B$746,B730,'Base bordo'!F$2:F$746,"MANOBRA CARRETAS-PATIO"),0)</f>
        <v>6.1047222222222217</v>
      </c>
      <c r="J730" s="10">
        <f>IFERROR(SUMIFS('Base bordo'!G$2:G$746,'Base bordo'!C$2:C$746,A730,'Base bordo'!B$2:B$746,B730,'Base bordo'!F$2:F$746,"BALANÇA - ENTRADA"),0)+IFERROR(SUMIFS('Base bordo'!G$2:G$746,'Base bordo'!C$2:C$746,A730,'Base bordo'!B$2:B$746,B730,'Base bordo'!F$2:F$746,"BALANÇA - SAÍDA"),0)</f>
        <v>6.8055555555555564E-2</v>
      </c>
      <c r="K730" s="10">
        <f>IFERROR(SUMIFS('Base bordo'!G$2:G$746,'Base bordo'!C$2:C$746,A730,'Base bordo'!B$2:B$746,B730,'Base bordo'!F$2:F$746,"MAN PREVENTIVA - MECANICA"),0)+IFERROR(SUMIFS('Base bordo'!G$2:G$746,'Base bordo'!C$2:C$746,A730,'Base bordo'!B$2:B$746,B730,'Base bordo'!F$2:F$746,"MAN CORRETIVA - MECANICA"),0)</f>
        <v>0.40166666666666667</v>
      </c>
      <c r="L730" s="10">
        <f>IFERROR(SUMIFS('Base bordo'!G$2:G$746,'Base bordo'!C$2:C$746,A730,'Base bordo'!B$2:B$746,B730,'Base bordo'!F$2:F$746,"MANUTENCAO - T O"),0)+IFERROR(SUMIFS('Base bordo'!G$2:G$746,'Base bordo'!C$2:C$746,A730,'Base bordo'!B$2:B$746,B730,'Base bordo'!F$2:F$746,"MANUTENCAO BORRACHARIA"),0)+IFERROR(SUMIFS('Base bordo'!G$2:G$746,'Base bordo'!C$2:C$746,A730,'Base bordo'!B$2:B$746,B730,'Base bordo'!F$2:F$746,"MANUTENCAO EXTERNA  CONCESSIONARIA"),0)+IFERROR(SUMIFS('Base bordo'!G$2:G$746,'Base bordo'!C$2:C$746,A730,'Base bordo'!B$2:B$746,B730,'Base bordo'!F$2:F$746,"MANUTENCAO TELEMETRIA"),0)</f>
        <v>1.5977777777777777</v>
      </c>
      <c r="M730" s="10">
        <f>IFERROR(SUMIFS('Base bordo'!G$2:G$746,'Base bordo'!C$2:C$746,A730,'Base bordo'!B$2:B$746,B730,'Base bordo'!F$2:F$746,"AGUARDANDO MANUTENCAO"),0)</f>
        <v>2.0836111111111113</v>
      </c>
      <c r="N730" s="10">
        <f>IFERROR(SUMIFS('Base bordo'!G$2:G$746,'Base bordo'!C$2:C$746,A730,'Base bordo'!B$2:B$746,B730,'Base bordo'!F$2:F$746,"SEM APONTAMENTO"),0)</f>
        <v>5.4166666666666669E-2</v>
      </c>
      <c r="O730" s="10">
        <f t="shared" si="78"/>
        <v>6.5758333333333354</v>
      </c>
      <c r="P730" s="10">
        <f>IFERROR(SUMIFS('Base bordo'!G$2:G$746,'Base bordo'!C$2:C$746,A730,'Base bordo'!B$2:B$746,B730),0)</f>
        <v>24.000000000000004</v>
      </c>
      <c r="Q730" s="10">
        <f>IFERROR(SUMIFS('Base bordo'!H$2:H$746,'Base bordo'!C$2:C$746,A730,'Base bordo'!B$2:B$746,B730,'Base bordo'!F$2:F$746,"DESLOCAMENTO VAZIO"),0)</f>
        <v>182003.76000000004</v>
      </c>
      <c r="R730" s="10">
        <f>IFERROR(SUMIFS('Base bordo'!I$2:I$746,'Base bordo'!C$2:C$746,A730,'Base bordo'!B$2:B$746,B730,'Base bordo'!F$2:F$746,"DESLOCAMENTO VAZIO"),0)</f>
        <v>7774</v>
      </c>
      <c r="S730" s="30">
        <f t="shared" si="79"/>
        <v>23.411854900951894</v>
      </c>
      <c r="T730" s="10">
        <f>IFERROR(SUMIFS('Base bordo'!H$2:H$746,'Base bordo'!C$2:C$746,A730,'Base bordo'!B$2:B$746,B730,'Base bordo'!F$2:F$746,"DESLOCAMENTO CARREGADO"),0)</f>
        <v>235509.89</v>
      </c>
      <c r="U730" s="10">
        <f>IFERROR(SUMIFS('Base bordo'!I$2:I$746,'Base bordo'!C$2:C$746,A730,'Base bordo'!B$2:B$746,B730,'Base bordo'!F$2:F$746,"DESLOCAMENTO CARREGADO"),0)</f>
        <v>8804</v>
      </c>
      <c r="V730" s="30">
        <f t="shared" si="80"/>
        <v>26.750328259881872</v>
      </c>
      <c r="W730" s="9">
        <f t="shared" si="81"/>
        <v>8.9976851851851836E-2</v>
      </c>
      <c r="X730" s="9">
        <f t="shared" si="82"/>
        <v>0.10189814814814813</v>
      </c>
      <c r="Y730" s="9">
        <f t="shared" si="83"/>
        <v>0.80812499999999998</v>
      </c>
    </row>
    <row r="731" spans="1:25" ht="15" customHeight="1" x14ac:dyDescent="0.35">
      <c r="A731" s="52">
        <v>8013469</v>
      </c>
      <c r="B731" s="51">
        <v>46118</v>
      </c>
      <c r="C731" s="7" t="s">
        <v>124</v>
      </c>
      <c r="D731" s="10">
        <f>IFERROR(SUMIFS('Base bordo'!G$2:G$746,'Base bordo'!C$2:C$746,A731,'Base bordo'!B$2:B$746,B731,'Base bordo'!F$2:F$746,"DESLOCAMENTO VAZIO"),0)</f>
        <v>2.1594444444444445</v>
      </c>
      <c r="E731" s="10">
        <f>IFERROR(SUMIFS('Base bordo'!G$2:G$746,'Base bordo'!C$2:C$746,A731,'Base bordo'!B$2:B$746,B731,'Base bordo'!F$2:F$746,"DESLOCAMENTO CARREGADO"),0)</f>
        <v>2.4455555555555555</v>
      </c>
      <c r="F731" s="10">
        <f>IFERROR(SUMIFS('Base bordo'!G$2:G$746,'Base bordo'!C$2:C$746,A731,'Base bordo'!B$2:B$746,B731,'Base bordo'!F$2:F$746,"DESLOCAMENTO"),0)</f>
        <v>0.63083333333333336</v>
      </c>
      <c r="G731" s="10">
        <f>IFERROR(SUMIFS('Base bordo'!G$2:G$746,'Base bordo'!C$2:C$746,A731,'Base bordo'!B$2:B$746,B731,'Base bordo'!F$2:F$746,"CARREGAMENTO"),0)</f>
        <v>0.96722222222222221</v>
      </c>
      <c r="H731" s="10">
        <f>IFERROR(SUMIFS('Base bordo'!G$2:G$746,'Base bordo'!C$2:C$746,A731,'Base bordo'!B$2:B$746,B731,'Base bordo'!F$2:F$746,"AGUARDANDO TRANSBORDO"),0)</f>
        <v>0.91111111111111109</v>
      </c>
      <c r="I731" s="10">
        <f>IFERROR(SUMIFS('Base bordo'!G$2:G$746,'Base bordo'!C$2:C$746,A731,'Base bordo'!B$2:B$746,B731,'Base bordo'!F$2:F$746,"PÁTIO INTERNO"),0)+IFERROR(SUMIFS('Base bordo'!G$2:G$746,'Base bordo'!C$2:C$746,A731,'Base bordo'!B$2:B$746,B731,'Base bordo'!F$2:F$746,"PÁTIO EXTERNO"),0)+IFERROR(SUMIFS('Base bordo'!G$2:G$746,'Base bordo'!C$2:C$746,A731,'Base bordo'!B$2:B$746,B731,'Base bordo'!F$2:F$746,"PATIO - RESERVA"),0)+IFERROR(SUMIFS('Base bordo'!G$2:G$746,'Base bordo'!C$2:C$746,A731,'Base bordo'!B$2:B$746,B731,'Base bordo'!F$2:F$746,"MANOBRA CARRETAS-PATIO"),0)</f>
        <v>6.1047222222222217</v>
      </c>
      <c r="J731" s="10">
        <f>IFERROR(SUMIFS('Base bordo'!G$2:G$746,'Base bordo'!C$2:C$746,A731,'Base bordo'!B$2:B$746,B731,'Base bordo'!F$2:F$746,"BALANÇA - ENTRADA"),0)+IFERROR(SUMIFS('Base bordo'!G$2:G$746,'Base bordo'!C$2:C$746,A731,'Base bordo'!B$2:B$746,B731,'Base bordo'!F$2:F$746,"BALANÇA - SAÍDA"),0)</f>
        <v>6.8055555555555564E-2</v>
      </c>
      <c r="K731" s="10">
        <f>IFERROR(SUMIFS('Base bordo'!G$2:G$746,'Base bordo'!C$2:C$746,A731,'Base bordo'!B$2:B$746,B731,'Base bordo'!F$2:F$746,"MAN PREVENTIVA - MECANICA"),0)+IFERROR(SUMIFS('Base bordo'!G$2:G$746,'Base bordo'!C$2:C$746,A731,'Base bordo'!B$2:B$746,B731,'Base bordo'!F$2:F$746,"MAN CORRETIVA - MECANICA"),0)</f>
        <v>0.40166666666666667</v>
      </c>
      <c r="L731" s="10">
        <f>IFERROR(SUMIFS('Base bordo'!G$2:G$746,'Base bordo'!C$2:C$746,A731,'Base bordo'!B$2:B$746,B731,'Base bordo'!F$2:F$746,"MANUTENCAO - T O"),0)+IFERROR(SUMIFS('Base bordo'!G$2:G$746,'Base bordo'!C$2:C$746,A731,'Base bordo'!B$2:B$746,B731,'Base bordo'!F$2:F$746,"MANUTENCAO BORRACHARIA"),0)+IFERROR(SUMIFS('Base bordo'!G$2:G$746,'Base bordo'!C$2:C$746,A731,'Base bordo'!B$2:B$746,B731,'Base bordo'!F$2:F$746,"MANUTENCAO EXTERNA  CONCESSIONARIA"),0)+IFERROR(SUMIFS('Base bordo'!G$2:G$746,'Base bordo'!C$2:C$746,A731,'Base bordo'!B$2:B$746,B731,'Base bordo'!F$2:F$746,"MANUTENCAO TELEMETRIA"),0)</f>
        <v>1.5977777777777777</v>
      </c>
      <c r="M731" s="10">
        <f>IFERROR(SUMIFS('Base bordo'!G$2:G$746,'Base bordo'!C$2:C$746,A731,'Base bordo'!B$2:B$746,B731,'Base bordo'!F$2:F$746,"AGUARDANDO MANUTENCAO"),0)</f>
        <v>2.0836111111111113</v>
      </c>
      <c r="N731" s="10">
        <f>IFERROR(SUMIFS('Base bordo'!G$2:G$746,'Base bordo'!C$2:C$746,A731,'Base bordo'!B$2:B$746,B731,'Base bordo'!F$2:F$746,"SEM APONTAMENTO"),0)</f>
        <v>5.4166666666666669E-2</v>
      </c>
      <c r="O731" s="10">
        <f t="shared" si="78"/>
        <v>6.5758333333333354</v>
      </c>
      <c r="P731" s="10">
        <f>IFERROR(SUMIFS('Base bordo'!G$2:G$746,'Base bordo'!C$2:C$746,A731,'Base bordo'!B$2:B$746,B731),0)</f>
        <v>24.000000000000004</v>
      </c>
      <c r="Q731" s="10">
        <f>IFERROR(SUMIFS('Base bordo'!H$2:H$746,'Base bordo'!C$2:C$746,A731,'Base bordo'!B$2:B$746,B731,'Base bordo'!F$2:F$746,"DESLOCAMENTO VAZIO"),0)</f>
        <v>182003.76000000004</v>
      </c>
      <c r="R731" s="10">
        <f>IFERROR(SUMIFS('Base bordo'!I$2:I$746,'Base bordo'!C$2:C$746,A731,'Base bordo'!B$2:B$746,B731,'Base bordo'!F$2:F$746,"DESLOCAMENTO VAZIO"),0)</f>
        <v>7774</v>
      </c>
      <c r="S731" s="30">
        <f t="shared" si="79"/>
        <v>23.411854900951894</v>
      </c>
      <c r="T731" s="10">
        <f>IFERROR(SUMIFS('Base bordo'!H$2:H$746,'Base bordo'!C$2:C$746,A731,'Base bordo'!B$2:B$746,B731,'Base bordo'!F$2:F$746,"DESLOCAMENTO CARREGADO"),0)</f>
        <v>235509.89</v>
      </c>
      <c r="U731" s="10">
        <f>IFERROR(SUMIFS('Base bordo'!I$2:I$746,'Base bordo'!C$2:C$746,A731,'Base bordo'!B$2:B$746,B731,'Base bordo'!F$2:F$746,"DESLOCAMENTO CARREGADO"),0)</f>
        <v>8804</v>
      </c>
      <c r="V731" s="30">
        <f t="shared" si="80"/>
        <v>26.750328259881872</v>
      </c>
      <c r="W731" s="9">
        <f t="shared" si="81"/>
        <v>8.9976851851851836E-2</v>
      </c>
      <c r="X731" s="9">
        <f t="shared" si="82"/>
        <v>0.10189814814814813</v>
      </c>
      <c r="Y731" s="9">
        <f t="shared" si="83"/>
        <v>0.80812499999999998</v>
      </c>
    </row>
    <row r="732" spans="1:25" ht="15" customHeight="1" x14ac:dyDescent="0.35">
      <c r="A732" s="52">
        <v>8013469</v>
      </c>
      <c r="B732" s="51">
        <v>46118</v>
      </c>
      <c r="C732" s="7" t="s">
        <v>124</v>
      </c>
      <c r="D732" s="10">
        <f>IFERROR(SUMIFS('Base bordo'!G$2:G$746,'Base bordo'!C$2:C$746,A732,'Base bordo'!B$2:B$746,B732,'Base bordo'!F$2:F$746,"DESLOCAMENTO VAZIO"),0)</f>
        <v>2.1594444444444445</v>
      </c>
      <c r="E732" s="10">
        <f>IFERROR(SUMIFS('Base bordo'!G$2:G$746,'Base bordo'!C$2:C$746,A732,'Base bordo'!B$2:B$746,B732,'Base bordo'!F$2:F$746,"DESLOCAMENTO CARREGADO"),0)</f>
        <v>2.4455555555555555</v>
      </c>
      <c r="F732" s="10">
        <f>IFERROR(SUMIFS('Base bordo'!G$2:G$746,'Base bordo'!C$2:C$746,A732,'Base bordo'!B$2:B$746,B732,'Base bordo'!F$2:F$746,"DESLOCAMENTO"),0)</f>
        <v>0.63083333333333336</v>
      </c>
      <c r="G732" s="10">
        <f>IFERROR(SUMIFS('Base bordo'!G$2:G$746,'Base bordo'!C$2:C$746,A732,'Base bordo'!B$2:B$746,B732,'Base bordo'!F$2:F$746,"CARREGAMENTO"),0)</f>
        <v>0.96722222222222221</v>
      </c>
      <c r="H732" s="10">
        <f>IFERROR(SUMIFS('Base bordo'!G$2:G$746,'Base bordo'!C$2:C$746,A732,'Base bordo'!B$2:B$746,B732,'Base bordo'!F$2:F$746,"AGUARDANDO TRANSBORDO"),0)</f>
        <v>0.91111111111111109</v>
      </c>
      <c r="I732" s="10">
        <f>IFERROR(SUMIFS('Base bordo'!G$2:G$746,'Base bordo'!C$2:C$746,A732,'Base bordo'!B$2:B$746,B732,'Base bordo'!F$2:F$746,"PÁTIO INTERNO"),0)+IFERROR(SUMIFS('Base bordo'!G$2:G$746,'Base bordo'!C$2:C$746,A732,'Base bordo'!B$2:B$746,B732,'Base bordo'!F$2:F$746,"PÁTIO EXTERNO"),0)+IFERROR(SUMIFS('Base bordo'!G$2:G$746,'Base bordo'!C$2:C$746,A732,'Base bordo'!B$2:B$746,B732,'Base bordo'!F$2:F$746,"PATIO - RESERVA"),0)+IFERROR(SUMIFS('Base bordo'!G$2:G$746,'Base bordo'!C$2:C$746,A732,'Base bordo'!B$2:B$746,B732,'Base bordo'!F$2:F$746,"MANOBRA CARRETAS-PATIO"),0)</f>
        <v>6.1047222222222217</v>
      </c>
      <c r="J732" s="10">
        <f>IFERROR(SUMIFS('Base bordo'!G$2:G$746,'Base bordo'!C$2:C$746,A732,'Base bordo'!B$2:B$746,B732,'Base bordo'!F$2:F$746,"BALANÇA - ENTRADA"),0)+IFERROR(SUMIFS('Base bordo'!G$2:G$746,'Base bordo'!C$2:C$746,A732,'Base bordo'!B$2:B$746,B732,'Base bordo'!F$2:F$746,"BALANÇA - SAÍDA"),0)</f>
        <v>6.8055555555555564E-2</v>
      </c>
      <c r="K732" s="10">
        <f>IFERROR(SUMIFS('Base bordo'!G$2:G$746,'Base bordo'!C$2:C$746,A732,'Base bordo'!B$2:B$746,B732,'Base bordo'!F$2:F$746,"MAN PREVENTIVA - MECANICA"),0)+IFERROR(SUMIFS('Base bordo'!G$2:G$746,'Base bordo'!C$2:C$746,A732,'Base bordo'!B$2:B$746,B732,'Base bordo'!F$2:F$746,"MAN CORRETIVA - MECANICA"),0)</f>
        <v>0.40166666666666667</v>
      </c>
      <c r="L732" s="10">
        <f>IFERROR(SUMIFS('Base bordo'!G$2:G$746,'Base bordo'!C$2:C$746,A732,'Base bordo'!B$2:B$746,B732,'Base bordo'!F$2:F$746,"MANUTENCAO - T O"),0)+IFERROR(SUMIFS('Base bordo'!G$2:G$746,'Base bordo'!C$2:C$746,A732,'Base bordo'!B$2:B$746,B732,'Base bordo'!F$2:F$746,"MANUTENCAO BORRACHARIA"),0)+IFERROR(SUMIFS('Base bordo'!G$2:G$746,'Base bordo'!C$2:C$746,A732,'Base bordo'!B$2:B$746,B732,'Base bordo'!F$2:F$746,"MANUTENCAO EXTERNA  CONCESSIONARIA"),0)+IFERROR(SUMIFS('Base bordo'!G$2:G$746,'Base bordo'!C$2:C$746,A732,'Base bordo'!B$2:B$746,B732,'Base bordo'!F$2:F$746,"MANUTENCAO TELEMETRIA"),0)</f>
        <v>1.5977777777777777</v>
      </c>
      <c r="M732" s="10">
        <f>IFERROR(SUMIFS('Base bordo'!G$2:G$746,'Base bordo'!C$2:C$746,A732,'Base bordo'!B$2:B$746,B732,'Base bordo'!F$2:F$746,"AGUARDANDO MANUTENCAO"),0)</f>
        <v>2.0836111111111113</v>
      </c>
      <c r="N732" s="10">
        <f>IFERROR(SUMIFS('Base bordo'!G$2:G$746,'Base bordo'!C$2:C$746,A732,'Base bordo'!B$2:B$746,B732,'Base bordo'!F$2:F$746,"SEM APONTAMENTO"),0)</f>
        <v>5.4166666666666669E-2</v>
      </c>
      <c r="O732" s="10">
        <f t="shared" si="78"/>
        <v>6.5758333333333354</v>
      </c>
      <c r="P732" s="10">
        <f>IFERROR(SUMIFS('Base bordo'!G$2:G$746,'Base bordo'!C$2:C$746,A732,'Base bordo'!B$2:B$746,B732),0)</f>
        <v>24.000000000000004</v>
      </c>
      <c r="Q732" s="10">
        <f>IFERROR(SUMIFS('Base bordo'!H$2:H$746,'Base bordo'!C$2:C$746,A732,'Base bordo'!B$2:B$746,B732,'Base bordo'!F$2:F$746,"DESLOCAMENTO VAZIO"),0)</f>
        <v>182003.76000000004</v>
      </c>
      <c r="R732" s="10">
        <f>IFERROR(SUMIFS('Base bordo'!I$2:I$746,'Base bordo'!C$2:C$746,A732,'Base bordo'!B$2:B$746,B732,'Base bordo'!F$2:F$746,"DESLOCAMENTO VAZIO"),0)</f>
        <v>7774</v>
      </c>
      <c r="S732" s="30">
        <f t="shared" si="79"/>
        <v>23.411854900951894</v>
      </c>
      <c r="T732" s="10">
        <f>IFERROR(SUMIFS('Base bordo'!H$2:H$746,'Base bordo'!C$2:C$746,A732,'Base bordo'!B$2:B$746,B732,'Base bordo'!F$2:F$746,"DESLOCAMENTO CARREGADO"),0)</f>
        <v>235509.89</v>
      </c>
      <c r="U732" s="10">
        <f>IFERROR(SUMIFS('Base bordo'!I$2:I$746,'Base bordo'!C$2:C$746,A732,'Base bordo'!B$2:B$746,B732,'Base bordo'!F$2:F$746,"DESLOCAMENTO CARREGADO"),0)</f>
        <v>8804</v>
      </c>
      <c r="V732" s="30">
        <f t="shared" si="80"/>
        <v>26.750328259881872</v>
      </c>
      <c r="W732" s="9">
        <f t="shared" si="81"/>
        <v>8.9976851851851836E-2</v>
      </c>
      <c r="X732" s="9">
        <f t="shared" si="82"/>
        <v>0.10189814814814813</v>
      </c>
      <c r="Y732" s="9">
        <f t="shared" si="83"/>
        <v>0.80812499999999998</v>
      </c>
    </row>
    <row r="733" spans="1:25" ht="15" customHeight="1" x14ac:dyDescent="0.35">
      <c r="A733" s="52">
        <v>8013469</v>
      </c>
      <c r="B733" s="51">
        <v>46118</v>
      </c>
      <c r="C733" s="7" t="s">
        <v>124</v>
      </c>
      <c r="D733" s="10">
        <f>IFERROR(SUMIFS('Base bordo'!G$2:G$746,'Base bordo'!C$2:C$746,A733,'Base bordo'!B$2:B$746,B733,'Base bordo'!F$2:F$746,"DESLOCAMENTO VAZIO"),0)</f>
        <v>2.1594444444444445</v>
      </c>
      <c r="E733" s="10">
        <f>IFERROR(SUMIFS('Base bordo'!G$2:G$746,'Base bordo'!C$2:C$746,A733,'Base bordo'!B$2:B$746,B733,'Base bordo'!F$2:F$746,"DESLOCAMENTO CARREGADO"),0)</f>
        <v>2.4455555555555555</v>
      </c>
      <c r="F733" s="10">
        <f>IFERROR(SUMIFS('Base bordo'!G$2:G$746,'Base bordo'!C$2:C$746,A733,'Base bordo'!B$2:B$746,B733,'Base bordo'!F$2:F$746,"DESLOCAMENTO"),0)</f>
        <v>0.63083333333333336</v>
      </c>
      <c r="G733" s="10">
        <f>IFERROR(SUMIFS('Base bordo'!G$2:G$746,'Base bordo'!C$2:C$746,A733,'Base bordo'!B$2:B$746,B733,'Base bordo'!F$2:F$746,"CARREGAMENTO"),0)</f>
        <v>0.96722222222222221</v>
      </c>
      <c r="H733" s="10">
        <f>IFERROR(SUMIFS('Base bordo'!G$2:G$746,'Base bordo'!C$2:C$746,A733,'Base bordo'!B$2:B$746,B733,'Base bordo'!F$2:F$746,"AGUARDANDO TRANSBORDO"),0)</f>
        <v>0.91111111111111109</v>
      </c>
      <c r="I733" s="10">
        <f>IFERROR(SUMIFS('Base bordo'!G$2:G$746,'Base bordo'!C$2:C$746,A733,'Base bordo'!B$2:B$746,B733,'Base bordo'!F$2:F$746,"PÁTIO INTERNO"),0)+IFERROR(SUMIFS('Base bordo'!G$2:G$746,'Base bordo'!C$2:C$746,A733,'Base bordo'!B$2:B$746,B733,'Base bordo'!F$2:F$746,"PÁTIO EXTERNO"),0)+IFERROR(SUMIFS('Base bordo'!G$2:G$746,'Base bordo'!C$2:C$746,A733,'Base bordo'!B$2:B$746,B733,'Base bordo'!F$2:F$746,"PATIO - RESERVA"),0)+IFERROR(SUMIFS('Base bordo'!G$2:G$746,'Base bordo'!C$2:C$746,A733,'Base bordo'!B$2:B$746,B733,'Base bordo'!F$2:F$746,"MANOBRA CARRETAS-PATIO"),0)</f>
        <v>6.1047222222222217</v>
      </c>
      <c r="J733" s="10">
        <f>IFERROR(SUMIFS('Base bordo'!G$2:G$746,'Base bordo'!C$2:C$746,A733,'Base bordo'!B$2:B$746,B733,'Base bordo'!F$2:F$746,"BALANÇA - ENTRADA"),0)+IFERROR(SUMIFS('Base bordo'!G$2:G$746,'Base bordo'!C$2:C$746,A733,'Base bordo'!B$2:B$746,B733,'Base bordo'!F$2:F$746,"BALANÇA - SAÍDA"),0)</f>
        <v>6.8055555555555564E-2</v>
      </c>
      <c r="K733" s="10">
        <f>IFERROR(SUMIFS('Base bordo'!G$2:G$746,'Base bordo'!C$2:C$746,A733,'Base bordo'!B$2:B$746,B733,'Base bordo'!F$2:F$746,"MAN PREVENTIVA - MECANICA"),0)+IFERROR(SUMIFS('Base bordo'!G$2:G$746,'Base bordo'!C$2:C$746,A733,'Base bordo'!B$2:B$746,B733,'Base bordo'!F$2:F$746,"MAN CORRETIVA - MECANICA"),0)</f>
        <v>0.40166666666666667</v>
      </c>
      <c r="L733" s="10">
        <f>IFERROR(SUMIFS('Base bordo'!G$2:G$746,'Base bordo'!C$2:C$746,A733,'Base bordo'!B$2:B$746,B733,'Base bordo'!F$2:F$746,"MANUTENCAO - T O"),0)+IFERROR(SUMIFS('Base bordo'!G$2:G$746,'Base bordo'!C$2:C$746,A733,'Base bordo'!B$2:B$746,B733,'Base bordo'!F$2:F$746,"MANUTENCAO BORRACHARIA"),0)+IFERROR(SUMIFS('Base bordo'!G$2:G$746,'Base bordo'!C$2:C$746,A733,'Base bordo'!B$2:B$746,B733,'Base bordo'!F$2:F$746,"MANUTENCAO EXTERNA  CONCESSIONARIA"),0)+IFERROR(SUMIFS('Base bordo'!G$2:G$746,'Base bordo'!C$2:C$746,A733,'Base bordo'!B$2:B$746,B733,'Base bordo'!F$2:F$746,"MANUTENCAO TELEMETRIA"),0)</f>
        <v>1.5977777777777777</v>
      </c>
      <c r="M733" s="10">
        <f>IFERROR(SUMIFS('Base bordo'!G$2:G$746,'Base bordo'!C$2:C$746,A733,'Base bordo'!B$2:B$746,B733,'Base bordo'!F$2:F$746,"AGUARDANDO MANUTENCAO"),0)</f>
        <v>2.0836111111111113</v>
      </c>
      <c r="N733" s="10">
        <f>IFERROR(SUMIFS('Base bordo'!G$2:G$746,'Base bordo'!C$2:C$746,A733,'Base bordo'!B$2:B$746,B733,'Base bordo'!F$2:F$746,"SEM APONTAMENTO"),0)</f>
        <v>5.4166666666666669E-2</v>
      </c>
      <c r="O733" s="10">
        <f t="shared" si="78"/>
        <v>6.5758333333333354</v>
      </c>
      <c r="P733" s="10">
        <f>IFERROR(SUMIFS('Base bordo'!G$2:G$746,'Base bordo'!C$2:C$746,A733,'Base bordo'!B$2:B$746,B733),0)</f>
        <v>24.000000000000004</v>
      </c>
      <c r="Q733" s="10">
        <f>IFERROR(SUMIFS('Base bordo'!H$2:H$746,'Base bordo'!C$2:C$746,A733,'Base bordo'!B$2:B$746,B733,'Base bordo'!F$2:F$746,"DESLOCAMENTO VAZIO"),0)</f>
        <v>182003.76000000004</v>
      </c>
      <c r="R733" s="10">
        <f>IFERROR(SUMIFS('Base bordo'!I$2:I$746,'Base bordo'!C$2:C$746,A733,'Base bordo'!B$2:B$746,B733,'Base bordo'!F$2:F$746,"DESLOCAMENTO VAZIO"),0)</f>
        <v>7774</v>
      </c>
      <c r="S733" s="30">
        <f t="shared" si="79"/>
        <v>23.411854900951894</v>
      </c>
      <c r="T733" s="10">
        <f>IFERROR(SUMIFS('Base bordo'!H$2:H$746,'Base bordo'!C$2:C$746,A733,'Base bordo'!B$2:B$746,B733,'Base bordo'!F$2:F$746,"DESLOCAMENTO CARREGADO"),0)</f>
        <v>235509.89</v>
      </c>
      <c r="U733" s="10">
        <f>IFERROR(SUMIFS('Base bordo'!I$2:I$746,'Base bordo'!C$2:C$746,A733,'Base bordo'!B$2:B$746,B733,'Base bordo'!F$2:F$746,"DESLOCAMENTO CARREGADO"),0)</f>
        <v>8804</v>
      </c>
      <c r="V733" s="30">
        <f t="shared" si="80"/>
        <v>26.750328259881872</v>
      </c>
      <c r="W733" s="9">
        <f t="shared" si="81"/>
        <v>8.9976851851851836E-2</v>
      </c>
      <c r="X733" s="9">
        <f t="shared" si="82"/>
        <v>0.10189814814814813</v>
      </c>
      <c r="Y733" s="9">
        <f t="shared" si="83"/>
        <v>0.80812499999999998</v>
      </c>
    </row>
    <row r="734" spans="1:25" ht="15" customHeight="1" x14ac:dyDescent="0.35">
      <c r="A734" s="52">
        <v>8013469</v>
      </c>
      <c r="B734" s="51">
        <v>46118</v>
      </c>
      <c r="C734" s="7" t="s">
        <v>124</v>
      </c>
      <c r="D734" s="10">
        <f>IFERROR(SUMIFS('Base bordo'!G$2:G$746,'Base bordo'!C$2:C$746,A734,'Base bordo'!B$2:B$746,B734,'Base bordo'!F$2:F$746,"DESLOCAMENTO VAZIO"),0)</f>
        <v>2.1594444444444445</v>
      </c>
      <c r="E734" s="10">
        <f>IFERROR(SUMIFS('Base bordo'!G$2:G$746,'Base bordo'!C$2:C$746,A734,'Base bordo'!B$2:B$746,B734,'Base bordo'!F$2:F$746,"DESLOCAMENTO CARREGADO"),0)</f>
        <v>2.4455555555555555</v>
      </c>
      <c r="F734" s="10">
        <f>IFERROR(SUMIFS('Base bordo'!G$2:G$746,'Base bordo'!C$2:C$746,A734,'Base bordo'!B$2:B$746,B734,'Base bordo'!F$2:F$746,"DESLOCAMENTO"),0)</f>
        <v>0.63083333333333336</v>
      </c>
      <c r="G734" s="10">
        <f>IFERROR(SUMIFS('Base bordo'!G$2:G$746,'Base bordo'!C$2:C$746,A734,'Base bordo'!B$2:B$746,B734,'Base bordo'!F$2:F$746,"CARREGAMENTO"),0)</f>
        <v>0.96722222222222221</v>
      </c>
      <c r="H734" s="10">
        <f>IFERROR(SUMIFS('Base bordo'!G$2:G$746,'Base bordo'!C$2:C$746,A734,'Base bordo'!B$2:B$746,B734,'Base bordo'!F$2:F$746,"AGUARDANDO TRANSBORDO"),0)</f>
        <v>0.91111111111111109</v>
      </c>
      <c r="I734" s="10">
        <f>IFERROR(SUMIFS('Base bordo'!G$2:G$746,'Base bordo'!C$2:C$746,A734,'Base bordo'!B$2:B$746,B734,'Base bordo'!F$2:F$746,"PÁTIO INTERNO"),0)+IFERROR(SUMIFS('Base bordo'!G$2:G$746,'Base bordo'!C$2:C$746,A734,'Base bordo'!B$2:B$746,B734,'Base bordo'!F$2:F$746,"PÁTIO EXTERNO"),0)+IFERROR(SUMIFS('Base bordo'!G$2:G$746,'Base bordo'!C$2:C$746,A734,'Base bordo'!B$2:B$746,B734,'Base bordo'!F$2:F$746,"PATIO - RESERVA"),0)+IFERROR(SUMIFS('Base bordo'!G$2:G$746,'Base bordo'!C$2:C$746,A734,'Base bordo'!B$2:B$746,B734,'Base bordo'!F$2:F$746,"MANOBRA CARRETAS-PATIO"),0)</f>
        <v>6.1047222222222217</v>
      </c>
      <c r="J734" s="10">
        <f>IFERROR(SUMIFS('Base bordo'!G$2:G$746,'Base bordo'!C$2:C$746,A734,'Base bordo'!B$2:B$746,B734,'Base bordo'!F$2:F$746,"BALANÇA - ENTRADA"),0)+IFERROR(SUMIFS('Base bordo'!G$2:G$746,'Base bordo'!C$2:C$746,A734,'Base bordo'!B$2:B$746,B734,'Base bordo'!F$2:F$746,"BALANÇA - SAÍDA"),0)</f>
        <v>6.8055555555555564E-2</v>
      </c>
      <c r="K734" s="10">
        <f>IFERROR(SUMIFS('Base bordo'!G$2:G$746,'Base bordo'!C$2:C$746,A734,'Base bordo'!B$2:B$746,B734,'Base bordo'!F$2:F$746,"MAN PREVENTIVA - MECANICA"),0)+IFERROR(SUMIFS('Base bordo'!G$2:G$746,'Base bordo'!C$2:C$746,A734,'Base bordo'!B$2:B$746,B734,'Base bordo'!F$2:F$746,"MAN CORRETIVA - MECANICA"),0)</f>
        <v>0.40166666666666667</v>
      </c>
      <c r="L734" s="10">
        <f>IFERROR(SUMIFS('Base bordo'!G$2:G$746,'Base bordo'!C$2:C$746,A734,'Base bordo'!B$2:B$746,B734,'Base bordo'!F$2:F$746,"MANUTENCAO - T O"),0)+IFERROR(SUMIFS('Base bordo'!G$2:G$746,'Base bordo'!C$2:C$746,A734,'Base bordo'!B$2:B$746,B734,'Base bordo'!F$2:F$746,"MANUTENCAO BORRACHARIA"),0)+IFERROR(SUMIFS('Base bordo'!G$2:G$746,'Base bordo'!C$2:C$746,A734,'Base bordo'!B$2:B$746,B734,'Base bordo'!F$2:F$746,"MANUTENCAO EXTERNA  CONCESSIONARIA"),0)+IFERROR(SUMIFS('Base bordo'!G$2:G$746,'Base bordo'!C$2:C$746,A734,'Base bordo'!B$2:B$746,B734,'Base bordo'!F$2:F$746,"MANUTENCAO TELEMETRIA"),0)</f>
        <v>1.5977777777777777</v>
      </c>
      <c r="M734" s="10">
        <f>IFERROR(SUMIFS('Base bordo'!G$2:G$746,'Base bordo'!C$2:C$746,A734,'Base bordo'!B$2:B$746,B734,'Base bordo'!F$2:F$746,"AGUARDANDO MANUTENCAO"),0)</f>
        <v>2.0836111111111113</v>
      </c>
      <c r="N734" s="10">
        <f>IFERROR(SUMIFS('Base bordo'!G$2:G$746,'Base bordo'!C$2:C$746,A734,'Base bordo'!B$2:B$746,B734,'Base bordo'!F$2:F$746,"SEM APONTAMENTO"),0)</f>
        <v>5.4166666666666669E-2</v>
      </c>
      <c r="O734" s="10">
        <f t="shared" si="78"/>
        <v>6.5758333333333354</v>
      </c>
      <c r="P734" s="10">
        <f>IFERROR(SUMIFS('Base bordo'!G$2:G$746,'Base bordo'!C$2:C$746,A734,'Base bordo'!B$2:B$746,B734),0)</f>
        <v>24.000000000000004</v>
      </c>
      <c r="Q734" s="10">
        <f>IFERROR(SUMIFS('Base bordo'!H$2:H$746,'Base bordo'!C$2:C$746,A734,'Base bordo'!B$2:B$746,B734,'Base bordo'!F$2:F$746,"DESLOCAMENTO VAZIO"),0)</f>
        <v>182003.76000000004</v>
      </c>
      <c r="R734" s="10">
        <f>IFERROR(SUMIFS('Base bordo'!I$2:I$746,'Base bordo'!C$2:C$746,A734,'Base bordo'!B$2:B$746,B734,'Base bordo'!F$2:F$746,"DESLOCAMENTO VAZIO"),0)</f>
        <v>7774</v>
      </c>
      <c r="S734" s="30">
        <f t="shared" si="79"/>
        <v>23.411854900951894</v>
      </c>
      <c r="T734" s="10">
        <f>IFERROR(SUMIFS('Base bordo'!H$2:H$746,'Base bordo'!C$2:C$746,A734,'Base bordo'!B$2:B$746,B734,'Base bordo'!F$2:F$746,"DESLOCAMENTO CARREGADO"),0)</f>
        <v>235509.89</v>
      </c>
      <c r="U734" s="10">
        <f>IFERROR(SUMIFS('Base bordo'!I$2:I$746,'Base bordo'!C$2:C$746,A734,'Base bordo'!B$2:B$746,B734,'Base bordo'!F$2:F$746,"DESLOCAMENTO CARREGADO"),0)</f>
        <v>8804</v>
      </c>
      <c r="V734" s="30">
        <f t="shared" si="80"/>
        <v>26.750328259881872</v>
      </c>
      <c r="W734" s="9">
        <f t="shared" si="81"/>
        <v>8.9976851851851836E-2</v>
      </c>
      <c r="X734" s="9">
        <f t="shared" si="82"/>
        <v>0.10189814814814813</v>
      </c>
      <c r="Y734" s="9">
        <f t="shared" si="83"/>
        <v>0.80812499999999998</v>
      </c>
    </row>
    <row r="735" spans="1:25" ht="15" customHeight="1" x14ac:dyDescent="0.35">
      <c r="A735" s="52">
        <v>8013470</v>
      </c>
      <c r="B735" s="51">
        <v>46118</v>
      </c>
      <c r="C735" s="7" t="s">
        <v>124</v>
      </c>
      <c r="D735" s="10">
        <f>IFERROR(SUMIFS('Base bordo'!G$2:G$746,'Base bordo'!C$2:C$746,A735,'Base bordo'!B$2:B$746,B735,'Base bordo'!F$2:F$746,"DESLOCAMENTO VAZIO"),0)</f>
        <v>1.7397222222222222</v>
      </c>
      <c r="E735" s="10">
        <f>IFERROR(SUMIFS('Base bordo'!G$2:G$746,'Base bordo'!C$2:C$746,A735,'Base bordo'!B$2:B$746,B735,'Base bordo'!F$2:F$746,"DESLOCAMENTO CARREGADO"),0)</f>
        <v>3.5305555555555554</v>
      </c>
      <c r="F735" s="10">
        <f>IFERROR(SUMIFS('Base bordo'!G$2:G$746,'Base bordo'!C$2:C$746,A735,'Base bordo'!B$2:B$746,B735,'Base bordo'!F$2:F$746,"DESLOCAMENTO"),0)</f>
        <v>0</v>
      </c>
      <c r="G735" s="10">
        <f>IFERROR(SUMIFS('Base bordo'!G$2:G$746,'Base bordo'!C$2:C$746,A735,'Base bordo'!B$2:B$746,B735,'Base bordo'!F$2:F$746,"CARREGAMENTO"),0)</f>
        <v>2.911111111111111</v>
      </c>
      <c r="H735" s="10">
        <f>IFERROR(SUMIFS('Base bordo'!G$2:G$746,'Base bordo'!C$2:C$746,A735,'Base bordo'!B$2:B$746,B735,'Base bordo'!F$2:F$746,"AGUARDANDO TRANSBORDO"),0)</f>
        <v>0.85194444444444439</v>
      </c>
      <c r="I735" s="10">
        <f>IFERROR(SUMIFS('Base bordo'!G$2:G$746,'Base bordo'!C$2:C$746,A735,'Base bordo'!B$2:B$746,B735,'Base bordo'!F$2:F$746,"PÁTIO INTERNO"),0)+IFERROR(SUMIFS('Base bordo'!G$2:G$746,'Base bordo'!C$2:C$746,A735,'Base bordo'!B$2:B$746,B735,'Base bordo'!F$2:F$746,"PÁTIO EXTERNO"),0)+IFERROR(SUMIFS('Base bordo'!G$2:G$746,'Base bordo'!C$2:C$746,A735,'Base bordo'!B$2:B$746,B735,'Base bordo'!F$2:F$746,"PATIO - RESERVA"),0)+IFERROR(SUMIFS('Base bordo'!G$2:G$746,'Base bordo'!C$2:C$746,A735,'Base bordo'!B$2:B$746,B735,'Base bordo'!F$2:F$746,"MANOBRA CARRETAS-PATIO"),0)</f>
        <v>7.8380555555555551</v>
      </c>
      <c r="J735" s="10">
        <f>IFERROR(SUMIFS('Base bordo'!G$2:G$746,'Base bordo'!C$2:C$746,A735,'Base bordo'!B$2:B$746,B735,'Base bordo'!F$2:F$746,"BALANÇA - ENTRADA"),0)+IFERROR(SUMIFS('Base bordo'!G$2:G$746,'Base bordo'!C$2:C$746,A735,'Base bordo'!B$2:B$746,B735,'Base bordo'!F$2:F$746,"BALANÇA - SAÍDA"),0)</f>
        <v>6.4722222222222223E-2</v>
      </c>
      <c r="K735" s="10">
        <f>IFERROR(SUMIFS('Base bordo'!G$2:G$746,'Base bordo'!C$2:C$746,A735,'Base bordo'!B$2:B$746,B735,'Base bordo'!F$2:F$746,"MAN PREVENTIVA - MECANICA"),0)+IFERROR(SUMIFS('Base bordo'!G$2:G$746,'Base bordo'!C$2:C$746,A735,'Base bordo'!B$2:B$746,B735,'Base bordo'!F$2:F$746,"MAN CORRETIVA - MECANICA"),0)</f>
        <v>0</v>
      </c>
      <c r="L735" s="10">
        <f>IFERROR(SUMIFS('Base bordo'!G$2:G$746,'Base bordo'!C$2:C$746,A735,'Base bordo'!B$2:B$746,B735,'Base bordo'!F$2:F$746,"MANUTENCAO - T O"),0)+IFERROR(SUMIFS('Base bordo'!G$2:G$746,'Base bordo'!C$2:C$746,A735,'Base bordo'!B$2:B$746,B735,'Base bordo'!F$2:F$746,"MANUTENCAO BORRACHARIA"),0)+IFERROR(SUMIFS('Base bordo'!G$2:G$746,'Base bordo'!C$2:C$746,A735,'Base bordo'!B$2:B$746,B735,'Base bordo'!F$2:F$746,"MANUTENCAO EXTERNA  CONCESSIONARIA"),0)+IFERROR(SUMIFS('Base bordo'!G$2:G$746,'Base bordo'!C$2:C$746,A735,'Base bordo'!B$2:B$746,B735,'Base bordo'!F$2:F$746,"MANUTENCAO TELEMETRIA"),0)</f>
        <v>0</v>
      </c>
      <c r="M735" s="10">
        <f>IFERROR(SUMIFS('Base bordo'!G$2:G$746,'Base bordo'!C$2:C$746,A735,'Base bordo'!B$2:B$746,B735,'Base bordo'!F$2:F$746,"AGUARDANDO MANUTENCAO"),0)</f>
        <v>1.013611111111111</v>
      </c>
      <c r="N735" s="10">
        <f>IFERROR(SUMIFS('Base bordo'!G$2:G$746,'Base bordo'!C$2:C$746,A735,'Base bordo'!B$2:B$746,B735,'Base bordo'!F$2:F$746,"SEM APONTAMENTO"),0)</f>
        <v>0.85111111111111115</v>
      </c>
      <c r="O735" s="10">
        <f t="shared" si="78"/>
        <v>5.1991666666666667</v>
      </c>
      <c r="P735" s="10">
        <f>IFERROR(SUMIFS('Base bordo'!G$2:G$746,'Base bordo'!C$2:C$746,A735,'Base bordo'!B$2:B$746,B735),0)</f>
        <v>24</v>
      </c>
      <c r="Q735" s="10">
        <f>IFERROR(SUMIFS('Base bordo'!H$2:H$746,'Base bordo'!C$2:C$746,A735,'Base bordo'!B$2:B$746,B735,'Base bordo'!F$2:F$746,"DESLOCAMENTO VAZIO"),0)</f>
        <v>195041.98</v>
      </c>
      <c r="R735" s="10">
        <f>IFERROR(SUMIFS('Base bordo'!I$2:I$746,'Base bordo'!C$2:C$746,A735,'Base bordo'!B$2:B$746,B735,'Base bordo'!F$2:F$746,"DESLOCAMENTO VAZIO"),0)</f>
        <v>6263</v>
      </c>
      <c r="S735" s="30">
        <f t="shared" si="79"/>
        <v>31.141941561551974</v>
      </c>
      <c r="T735" s="10">
        <f>IFERROR(SUMIFS('Base bordo'!H$2:H$746,'Base bordo'!C$2:C$746,A735,'Base bordo'!B$2:B$746,B735,'Base bordo'!F$2:F$746,"DESLOCAMENTO CARREGADO"),0)</f>
        <v>332481.22999999992</v>
      </c>
      <c r="U735" s="10">
        <f>IFERROR(SUMIFS('Base bordo'!I$2:I$746,'Base bordo'!C$2:C$746,A735,'Base bordo'!B$2:B$746,B735,'Base bordo'!F$2:F$746,"DESLOCAMENTO CARREGADO"),0)</f>
        <v>12710</v>
      </c>
      <c r="V735" s="30">
        <f t="shared" si="80"/>
        <v>26.15902675059008</v>
      </c>
      <c r="W735" s="9">
        <f t="shared" si="81"/>
        <v>7.2488425925925928E-2</v>
      </c>
      <c r="X735" s="9">
        <f t="shared" si="82"/>
        <v>0.14710648148148148</v>
      </c>
      <c r="Y735" s="9">
        <f t="shared" si="83"/>
        <v>0.78040509259259261</v>
      </c>
    </row>
    <row r="736" spans="1:25" ht="15" customHeight="1" x14ac:dyDescent="0.35">
      <c r="A736" s="52">
        <v>8013470</v>
      </c>
      <c r="B736" s="51">
        <v>46118</v>
      </c>
      <c r="C736" s="7" t="s">
        <v>124</v>
      </c>
      <c r="D736" s="10">
        <f>IFERROR(SUMIFS('Base bordo'!G$2:G$746,'Base bordo'!C$2:C$746,A736,'Base bordo'!B$2:B$746,B736,'Base bordo'!F$2:F$746,"DESLOCAMENTO VAZIO"),0)</f>
        <v>1.7397222222222222</v>
      </c>
      <c r="E736" s="10">
        <f>IFERROR(SUMIFS('Base bordo'!G$2:G$746,'Base bordo'!C$2:C$746,A736,'Base bordo'!B$2:B$746,B736,'Base bordo'!F$2:F$746,"DESLOCAMENTO CARREGADO"),0)</f>
        <v>3.5305555555555554</v>
      </c>
      <c r="F736" s="10">
        <f>IFERROR(SUMIFS('Base bordo'!G$2:G$746,'Base bordo'!C$2:C$746,A736,'Base bordo'!B$2:B$746,B736,'Base bordo'!F$2:F$746,"DESLOCAMENTO"),0)</f>
        <v>0</v>
      </c>
      <c r="G736" s="10">
        <f>IFERROR(SUMIFS('Base bordo'!G$2:G$746,'Base bordo'!C$2:C$746,A736,'Base bordo'!B$2:B$746,B736,'Base bordo'!F$2:F$746,"CARREGAMENTO"),0)</f>
        <v>2.911111111111111</v>
      </c>
      <c r="H736" s="10">
        <f>IFERROR(SUMIFS('Base bordo'!G$2:G$746,'Base bordo'!C$2:C$746,A736,'Base bordo'!B$2:B$746,B736,'Base bordo'!F$2:F$746,"AGUARDANDO TRANSBORDO"),0)</f>
        <v>0.85194444444444439</v>
      </c>
      <c r="I736" s="10">
        <f>IFERROR(SUMIFS('Base bordo'!G$2:G$746,'Base bordo'!C$2:C$746,A736,'Base bordo'!B$2:B$746,B736,'Base bordo'!F$2:F$746,"PÁTIO INTERNO"),0)+IFERROR(SUMIFS('Base bordo'!G$2:G$746,'Base bordo'!C$2:C$746,A736,'Base bordo'!B$2:B$746,B736,'Base bordo'!F$2:F$746,"PÁTIO EXTERNO"),0)+IFERROR(SUMIFS('Base bordo'!G$2:G$746,'Base bordo'!C$2:C$746,A736,'Base bordo'!B$2:B$746,B736,'Base bordo'!F$2:F$746,"PATIO - RESERVA"),0)+IFERROR(SUMIFS('Base bordo'!G$2:G$746,'Base bordo'!C$2:C$746,A736,'Base bordo'!B$2:B$746,B736,'Base bordo'!F$2:F$746,"MANOBRA CARRETAS-PATIO"),0)</f>
        <v>7.8380555555555551</v>
      </c>
      <c r="J736" s="10">
        <f>IFERROR(SUMIFS('Base bordo'!G$2:G$746,'Base bordo'!C$2:C$746,A736,'Base bordo'!B$2:B$746,B736,'Base bordo'!F$2:F$746,"BALANÇA - ENTRADA"),0)+IFERROR(SUMIFS('Base bordo'!G$2:G$746,'Base bordo'!C$2:C$746,A736,'Base bordo'!B$2:B$746,B736,'Base bordo'!F$2:F$746,"BALANÇA - SAÍDA"),0)</f>
        <v>6.4722222222222223E-2</v>
      </c>
      <c r="K736" s="10">
        <f>IFERROR(SUMIFS('Base bordo'!G$2:G$746,'Base bordo'!C$2:C$746,A736,'Base bordo'!B$2:B$746,B736,'Base bordo'!F$2:F$746,"MAN PREVENTIVA - MECANICA"),0)+IFERROR(SUMIFS('Base bordo'!G$2:G$746,'Base bordo'!C$2:C$746,A736,'Base bordo'!B$2:B$746,B736,'Base bordo'!F$2:F$746,"MAN CORRETIVA - MECANICA"),0)</f>
        <v>0</v>
      </c>
      <c r="L736" s="10">
        <f>IFERROR(SUMIFS('Base bordo'!G$2:G$746,'Base bordo'!C$2:C$746,A736,'Base bordo'!B$2:B$746,B736,'Base bordo'!F$2:F$746,"MANUTENCAO - T O"),0)+IFERROR(SUMIFS('Base bordo'!G$2:G$746,'Base bordo'!C$2:C$746,A736,'Base bordo'!B$2:B$746,B736,'Base bordo'!F$2:F$746,"MANUTENCAO BORRACHARIA"),0)+IFERROR(SUMIFS('Base bordo'!G$2:G$746,'Base bordo'!C$2:C$746,A736,'Base bordo'!B$2:B$746,B736,'Base bordo'!F$2:F$746,"MANUTENCAO EXTERNA  CONCESSIONARIA"),0)+IFERROR(SUMIFS('Base bordo'!G$2:G$746,'Base bordo'!C$2:C$746,A736,'Base bordo'!B$2:B$746,B736,'Base bordo'!F$2:F$746,"MANUTENCAO TELEMETRIA"),0)</f>
        <v>0</v>
      </c>
      <c r="M736" s="10">
        <f>IFERROR(SUMIFS('Base bordo'!G$2:G$746,'Base bordo'!C$2:C$746,A736,'Base bordo'!B$2:B$746,B736,'Base bordo'!F$2:F$746,"AGUARDANDO MANUTENCAO"),0)</f>
        <v>1.013611111111111</v>
      </c>
      <c r="N736" s="10">
        <f>IFERROR(SUMIFS('Base bordo'!G$2:G$746,'Base bordo'!C$2:C$746,A736,'Base bordo'!B$2:B$746,B736,'Base bordo'!F$2:F$746,"SEM APONTAMENTO"),0)</f>
        <v>0.85111111111111115</v>
      </c>
      <c r="O736" s="10">
        <f t="shared" si="78"/>
        <v>5.1991666666666667</v>
      </c>
      <c r="P736" s="10">
        <f>IFERROR(SUMIFS('Base bordo'!G$2:G$746,'Base bordo'!C$2:C$746,A736,'Base bordo'!B$2:B$746,B736),0)</f>
        <v>24</v>
      </c>
      <c r="Q736" s="10">
        <f>IFERROR(SUMIFS('Base bordo'!H$2:H$746,'Base bordo'!C$2:C$746,A736,'Base bordo'!B$2:B$746,B736,'Base bordo'!F$2:F$746,"DESLOCAMENTO VAZIO"),0)</f>
        <v>195041.98</v>
      </c>
      <c r="R736" s="10">
        <f>IFERROR(SUMIFS('Base bordo'!I$2:I$746,'Base bordo'!C$2:C$746,A736,'Base bordo'!B$2:B$746,B736,'Base bordo'!F$2:F$746,"DESLOCAMENTO VAZIO"),0)</f>
        <v>6263</v>
      </c>
      <c r="S736" s="30">
        <f t="shared" si="79"/>
        <v>31.141941561551974</v>
      </c>
      <c r="T736" s="10">
        <f>IFERROR(SUMIFS('Base bordo'!H$2:H$746,'Base bordo'!C$2:C$746,A736,'Base bordo'!B$2:B$746,B736,'Base bordo'!F$2:F$746,"DESLOCAMENTO CARREGADO"),0)</f>
        <v>332481.22999999992</v>
      </c>
      <c r="U736" s="10">
        <f>IFERROR(SUMIFS('Base bordo'!I$2:I$746,'Base bordo'!C$2:C$746,A736,'Base bordo'!B$2:B$746,B736,'Base bordo'!F$2:F$746,"DESLOCAMENTO CARREGADO"),0)</f>
        <v>12710</v>
      </c>
      <c r="V736" s="30">
        <f t="shared" si="80"/>
        <v>26.15902675059008</v>
      </c>
      <c r="W736" s="9">
        <f t="shared" si="81"/>
        <v>7.2488425925925928E-2</v>
      </c>
      <c r="X736" s="9">
        <f t="shared" si="82"/>
        <v>0.14710648148148148</v>
      </c>
      <c r="Y736" s="9">
        <f t="shared" si="83"/>
        <v>0.78040509259259261</v>
      </c>
    </row>
    <row r="737" spans="1:25" ht="15" customHeight="1" x14ac:dyDescent="0.35">
      <c r="A737" s="52">
        <v>8013470</v>
      </c>
      <c r="B737" s="51">
        <v>46118</v>
      </c>
      <c r="C737" s="7" t="s">
        <v>124</v>
      </c>
      <c r="D737" s="10">
        <f>IFERROR(SUMIFS('Base bordo'!G$2:G$746,'Base bordo'!C$2:C$746,A737,'Base bordo'!B$2:B$746,B737,'Base bordo'!F$2:F$746,"DESLOCAMENTO VAZIO"),0)</f>
        <v>1.7397222222222222</v>
      </c>
      <c r="E737" s="10">
        <f>IFERROR(SUMIFS('Base bordo'!G$2:G$746,'Base bordo'!C$2:C$746,A737,'Base bordo'!B$2:B$746,B737,'Base bordo'!F$2:F$746,"DESLOCAMENTO CARREGADO"),0)</f>
        <v>3.5305555555555554</v>
      </c>
      <c r="F737" s="10">
        <f>IFERROR(SUMIFS('Base bordo'!G$2:G$746,'Base bordo'!C$2:C$746,A737,'Base bordo'!B$2:B$746,B737,'Base bordo'!F$2:F$746,"DESLOCAMENTO"),0)</f>
        <v>0</v>
      </c>
      <c r="G737" s="10">
        <f>IFERROR(SUMIFS('Base bordo'!G$2:G$746,'Base bordo'!C$2:C$746,A737,'Base bordo'!B$2:B$746,B737,'Base bordo'!F$2:F$746,"CARREGAMENTO"),0)</f>
        <v>2.911111111111111</v>
      </c>
      <c r="H737" s="10">
        <f>IFERROR(SUMIFS('Base bordo'!G$2:G$746,'Base bordo'!C$2:C$746,A737,'Base bordo'!B$2:B$746,B737,'Base bordo'!F$2:F$746,"AGUARDANDO TRANSBORDO"),0)</f>
        <v>0.85194444444444439</v>
      </c>
      <c r="I737" s="10">
        <f>IFERROR(SUMIFS('Base bordo'!G$2:G$746,'Base bordo'!C$2:C$746,A737,'Base bordo'!B$2:B$746,B737,'Base bordo'!F$2:F$746,"PÁTIO INTERNO"),0)+IFERROR(SUMIFS('Base bordo'!G$2:G$746,'Base bordo'!C$2:C$746,A737,'Base bordo'!B$2:B$746,B737,'Base bordo'!F$2:F$746,"PÁTIO EXTERNO"),0)+IFERROR(SUMIFS('Base bordo'!G$2:G$746,'Base bordo'!C$2:C$746,A737,'Base bordo'!B$2:B$746,B737,'Base bordo'!F$2:F$746,"PATIO - RESERVA"),0)+IFERROR(SUMIFS('Base bordo'!G$2:G$746,'Base bordo'!C$2:C$746,A737,'Base bordo'!B$2:B$746,B737,'Base bordo'!F$2:F$746,"MANOBRA CARRETAS-PATIO"),0)</f>
        <v>7.8380555555555551</v>
      </c>
      <c r="J737" s="10">
        <f>IFERROR(SUMIFS('Base bordo'!G$2:G$746,'Base bordo'!C$2:C$746,A737,'Base bordo'!B$2:B$746,B737,'Base bordo'!F$2:F$746,"BALANÇA - ENTRADA"),0)+IFERROR(SUMIFS('Base bordo'!G$2:G$746,'Base bordo'!C$2:C$746,A737,'Base bordo'!B$2:B$746,B737,'Base bordo'!F$2:F$746,"BALANÇA - SAÍDA"),0)</f>
        <v>6.4722222222222223E-2</v>
      </c>
      <c r="K737" s="10">
        <f>IFERROR(SUMIFS('Base bordo'!G$2:G$746,'Base bordo'!C$2:C$746,A737,'Base bordo'!B$2:B$746,B737,'Base bordo'!F$2:F$746,"MAN PREVENTIVA - MECANICA"),0)+IFERROR(SUMIFS('Base bordo'!G$2:G$746,'Base bordo'!C$2:C$746,A737,'Base bordo'!B$2:B$746,B737,'Base bordo'!F$2:F$746,"MAN CORRETIVA - MECANICA"),0)</f>
        <v>0</v>
      </c>
      <c r="L737" s="10">
        <f>IFERROR(SUMIFS('Base bordo'!G$2:G$746,'Base bordo'!C$2:C$746,A737,'Base bordo'!B$2:B$746,B737,'Base bordo'!F$2:F$746,"MANUTENCAO - T O"),0)+IFERROR(SUMIFS('Base bordo'!G$2:G$746,'Base bordo'!C$2:C$746,A737,'Base bordo'!B$2:B$746,B737,'Base bordo'!F$2:F$746,"MANUTENCAO BORRACHARIA"),0)+IFERROR(SUMIFS('Base bordo'!G$2:G$746,'Base bordo'!C$2:C$746,A737,'Base bordo'!B$2:B$746,B737,'Base bordo'!F$2:F$746,"MANUTENCAO EXTERNA  CONCESSIONARIA"),0)+IFERROR(SUMIFS('Base bordo'!G$2:G$746,'Base bordo'!C$2:C$746,A737,'Base bordo'!B$2:B$746,B737,'Base bordo'!F$2:F$746,"MANUTENCAO TELEMETRIA"),0)</f>
        <v>0</v>
      </c>
      <c r="M737" s="10">
        <f>IFERROR(SUMIFS('Base bordo'!G$2:G$746,'Base bordo'!C$2:C$746,A737,'Base bordo'!B$2:B$746,B737,'Base bordo'!F$2:F$746,"AGUARDANDO MANUTENCAO"),0)</f>
        <v>1.013611111111111</v>
      </c>
      <c r="N737" s="10">
        <f>IFERROR(SUMIFS('Base bordo'!G$2:G$746,'Base bordo'!C$2:C$746,A737,'Base bordo'!B$2:B$746,B737,'Base bordo'!F$2:F$746,"SEM APONTAMENTO"),0)</f>
        <v>0.85111111111111115</v>
      </c>
      <c r="O737" s="10">
        <f t="shared" si="78"/>
        <v>5.1991666666666667</v>
      </c>
      <c r="P737" s="10">
        <f>IFERROR(SUMIFS('Base bordo'!G$2:G$746,'Base bordo'!C$2:C$746,A737,'Base bordo'!B$2:B$746,B737),0)</f>
        <v>24</v>
      </c>
      <c r="Q737" s="10">
        <f>IFERROR(SUMIFS('Base bordo'!H$2:H$746,'Base bordo'!C$2:C$746,A737,'Base bordo'!B$2:B$746,B737,'Base bordo'!F$2:F$746,"DESLOCAMENTO VAZIO"),0)</f>
        <v>195041.98</v>
      </c>
      <c r="R737" s="10">
        <f>IFERROR(SUMIFS('Base bordo'!I$2:I$746,'Base bordo'!C$2:C$746,A737,'Base bordo'!B$2:B$746,B737,'Base bordo'!F$2:F$746,"DESLOCAMENTO VAZIO"),0)</f>
        <v>6263</v>
      </c>
      <c r="S737" s="30">
        <f t="shared" si="79"/>
        <v>31.141941561551974</v>
      </c>
      <c r="T737" s="10">
        <f>IFERROR(SUMIFS('Base bordo'!H$2:H$746,'Base bordo'!C$2:C$746,A737,'Base bordo'!B$2:B$746,B737,'Base bordo'!F$2:F$746,"DESLOCAMENTO CARREGADO"),0)</f>
        <v>332481.22999999992</v>
      </c>
      <c r="U737" s="10">
        <f>IFERROR(SUMIFS('Base bordo'!I$2:I$746,'Base bordo'!C$2:C$746,A737,'Base bordo'!B$2:B$746,B737,'Base bordo'!F$2:F$746,"DESLOCAMENTO CARREGADO"),0)</f>
        <v>12710</v>
      </c>
      <c r="V737" s="30">
        <f t="shared" si="80"/>
        <v>26.15902675059008</v>
      </c>
      <c r="W737" s="9">
        <f t="shared" si="81"/>
        <v>7.2488425925925928E-2</v>
      </c>
      <c r="X737" s="9">
        <f t="shared" si="82"/>
        <v>0.14710648148148148</v>
      </c>
      <c r="Y737" s="9">
        <f t="shared" si="83"/>
        <v>0.78040509259259261</v>
      </c>
    </row>
    <row r="738" spans="1:25" ht="15" customHeight="1" x14ac:dyDescent="0.35">
      <c r="A738" s="52">
        <v>8013470</v>
      </c>
      <c r="B738" s="51">
        <v>46118</v>
      </c>
      <c r="C738" s="7" t="s">
        <v>124</v>
      </c>
      <c r="D738" s="10">
        <f>IFERROR(SUMIFS('Base bordo'!G$2:G$746,'Base bordo'!C$2:C$746,A738,'Base bordo'!B$2:B$746,B738,'Base bordo'!F$2:F$746,"DESLOCAMENTO VAZIO"),0)</f>
        <v>1.7397222222222222</v>
      </c>
      <c r="E738" s="10">
        <f>IFERROR(SUMIFS('Base bordo'!G$2:G$746,'Base bordo'!C$2:C$746,A738,'Base bordo'!B$2:B$746,B738,'Base bordo'!F$2:F$746,"DESLOCAMENTO CARREGADO"),0)</f>
        <v>3.5305555555555554</v>
      </c>
      <c r="F738" s="10">
        <f>IFERROR(SUMIFS('Base bordo'!G$2:G$746,'Base bordo'!C$2:C$746,A738,'Base bordo'!B$2:B$746,B738,'Base bordo'!F$2:F$746,"DESLOCAMENTO"),0)</f>
        <v>0</v>
      </c>
      <c r="G738" s="10">
        <f>IFERROR(SUMIFS('Base bordo'!G$2:G$746,'Base bordo'!C$2:C$746,A738,'Base bordo'!B$2:B$746,B738,'Base bordo'!F$2:F$746,"CARREGAMENTO"),0)</f>
        <v>2.911111111111111</v>
      </c>
      <c r="H738" s="10">
        <f>IFERROR(SUMIFS('Base bordo'!G$2:G$746,'Base bordo'!C$2:C$746,A738,'Base bordo'!B$2:B$746,B738,'Base bordo'!F$2:F$746,"AGUARDANDO TRANSBORDO"),0)</f>
        <v>0.85194444444444439</v>
      </c>
      <c r="I738" s="10">
        <f>IFERROR(SUMIFS('Base bordo'!G$2:G$746,'Base bordo'!C$2:C$746,A738,'Base bordo'!B$2:B$746,B738,'Base bordo'!F$2:F$746,"PÁTIO INTERNO"),0)+IFERROR(SUMIFS('Base bordo'!G$2:G$746,'Base bordo'!C$2:C$746,A738,'Base bordo'!B$2:B$746,B738,'Base bordo'!F$2:F$746,"PÁTIO EXTERNO"),0)+IFERROR(SUMIFS('Base bordo'!G$2:G$746,'Base bordo'!C$2:C$746,A738,'Base bordo'!B$2:B$746,B738,'Base bordo'!F$2:F$746,"PATIO - RESERVA"),0)+IFERROR(SUMIFS('Base bordo'!G$2:G$746,'Base bordo'!C$2:C$746,A738,'Base bordo'!B$2:B$746,B738,'Base bordo'!F$2:F$746,"MANOBRA CARRETAS-PATIO"),0)</f>
        <v>7.8380555555555551</v>
      </c>
      <c r="J738" s="10">
        <f>IFERROR(SUMIFS('Base bordo'!G$2:G$746,'Base bordo'!C$2:C$746,A738,'Base bordo'!B$2:B$746,B738,'Base bordo'!F$2:F$746,"BALANÇA - ENTRADA"),0)+IFERROR(SUMIFS('Base bordo'!G$2:G$746,'Base bordo'!C$2:C$746,A738,'Base bordo'!B$2:B$746,B738,'Base bordo'!F$2:F$746,"BALANÇA - SAÍDA"),0)</f>
        <v>6.4722222222222223E-2</v>
      </c>
      <c r="K738" s="10">
        <f>IFERROR(SUMIFS('Base bordo'!G$2:G$746,'Base bordo'!C$2:C$746,A738,'Base bordo'!B$2:B$746,B738,'Base bordo'!F$2:F$746,"MAN PREVENTIVA - MECANICA"),0)+IFERROR(SUMIFS('Base bordo'!G$2:G$746,'Base bordo'!C$2:C$746,A738,'Base bordo'!B$2:B$746,B738,'Base bordo'!F$2:F$746,"MAN CORRETIVA - MECANICA"),0)</f>
        <v>0</v>
      </c>
      <c r="L738" s="10">
        <f>IFERROR(SUMIFS('Base bordo'!G$2:G$746,'Base bordo'!C$2:C$746,A738,'Base bordo'!B$2:B$746,B738,'Base bordo'!F$2:F$746,"MANUTENCAO - T O"),0)+IFERROR(SUMIFS('Base bordo'!G$2:G$746,'Base bordo'!C$2:C$746,A738,'Base bordo'!B$2:B$746,B738,'Base bordo'!F$2:F$746,"MANUTENCAO BORRACHARIA"),0)+IFERROR(SUMIFS('Base bordo'!G$2:G$746,'Base bordo'!C$2:C$746,A738,'Base bordo'!B$2:B$746,B738,'Base bordo'!F$2:F$746,"MANUTENCAO EXTERNA  CONCESSIONARIA"),0)+IFERROR(SUMIFS('Base bordo'!G$2:G$746,'Base bordo'!C$2:C$746,A738,'Base bordo'!B$2:B$746,B738,'Base bordo'!F$2:F$746,"MANUTENCAO TELEMETRIA"),0)</f>
        <v>0</v>
      </c>
      <c r="M738" s="10">
        <f>IFERROR(SUMIFS('Base bordo'!G$2:G$746,'Base bordo'!C$2:C$746,A738,'Base bordo'!B$2:B$746,B738,'Base bordo'!F$2:F$746,"AGUARDANDO MANUTENCAO"),0)</f>
        <v>1.013611111111111</v>
      </c>
      <c r="N738" s="10">
        <f>IFERROR(SUMIFS('Base bordo'!G$2:G$746,'Base bordo'!C$2:C$746,A738,'Base bordo'!B$2:B$746,B738,'Base bordo'!F$2:F$746,"SEM APONTAMENTO"),0)</f>
        <v>0.85111111111111115</v>
      </c>
      <c r="O738" s="10">
        <f t="shared" si="78"/>
        <v>5.1991666666666667</v>
      </c>
      <c r="P738" s="10">
        <f>IFERROR(SUMIFS('Base bordo'!G$2:G$746,'Base bordo'!C$2:C$746,A738,'Base bordo'!B$2:B$746,B738),0)</f>
        <v>24</v>
      </c>
      <c r="Q738" s="10">
        <f>IFERROR(SUMIFS('Base bordo'!H$2:H$746,'Base bordo'!C$2:C$746,A738,'Base bordo'!B$2:B$746,B738,'Base bordo'!F$2:F$746,"DESLOCAMENTO VAZIO"),0)</f>
        <v>195041.98</v>
      </c>
      <c r="R738" s="10">
        <f>IFERROR(SUMIFS('Base bordo'!I$2:I$746,'Base bordo'!C$2:C$746,A738,'Base bordo'!B$2:B$746,B738,'Base bordo'!F$2:F$746,"DESLOCAMENTO VAZIO"),0)</f>
        <v>6263</v>
      </c>
      <c r="S738" s="30">
        <f t="shared" si="79"/>
        <v>31.141941561551974</v>
      </c>
      <c r="T738" s="10">
        <f>IFERROR(SUMIFS('Base bordo'!H$2:H$746,'Base bordo'!C$2:C$746,A738,'Base bordo'!B$2:B$746,B738,'Base bordo'!F$2:F$746,"DESLOCAMENTO CARREGADO"),0)</f>
        <v>332481.22999999992</v>
      </c>
      <c r="U738" s="10">
        <f>IFERROR(SUMIFS('Base bordo'!I$2:I$746,'Base bordo'!C$2:C$746,A738,'Base bordo'!B$2:B$746,B738,'Base bordo'!F$2:F$746,"DESLOCAMENTO CARREGADO"),0)</f>
        <v>12710</v>
      </c>
      <c r="V738" s="30">
        <f t="shared" si="80"/>
        <v>26.15902675059008</v>
      </c>
      <c r="W738" s="9">
        <f t="shared" si="81"/>
        <v>7.2488425925925928E-2</v>
      </c>
      <c r="X738" s="9">
        <f t="shared" si="82"/>
        <v>0.14710648148148148</v>
      </c>
      <c r="Y738" s="9">
        <f t="shared" si="83"/>
        <v>0.78040509259259261</v>
      </c>
    </row>
    <row r="739" spans="1:25" ht="15" customHeight="1" x14ac:dyDescent="0.35">
      <c r="A739" s="52">
        <v>8013470</v>
      </c>
      <c r="B739" s="51">
        <v>46118</v>
      </c>
      <c r="C739" s="7" t="s">
        <v>124</v>
      </c>
      <c r="D739" s="10">
        <f>IFERROR(SUMIFS('Base bordo'!G$2:G$746,'Base bordo'!C$2:C$746,A739,'Base bordo'!B$2:B$746,B739,'Base bordo'!F$2:F$746,"DESLOCAMENTO VAZIO"),0)</f>
        <v>1.7397222222222222</v>
      </c>
      <c r="E739" s="10">
        <f>IFERROR(SUMIFS('Base bordo'!G$2:G$746,'Base bordo'!C$2:C$746,A739,'Base bordo'!B$2:B$746,B739,'Base bordo'!F$2:F$746,"DESLOCAMENTO CARREGADO"),0)</f>
        <v>3.5305555555555554</v>
      </c>
      <c r="F739" s="10">
        <f>IFERROR(SUMIFS('Base bordo'!G$2:G$746,'Base bordo'!C$2:C$746,A739,'Base bordo'!B$2:B$746,B739,'Base bordo'!F$2:F$746,"DESLOCAMENTO"),0)</f>
        <v>0</v>
      </c>
      <c r="G739" s="10">
        <f>IFERROR(SUMIFS('Base bordo'!G$2:G$746,'Base bordo'!C$2:C$746,A739,'Base bordo'!B$2:B$746,B739,'Base bordo'!F$2:F$746,"CARREGAMENTO"),0)</f>
        <v>2.911111111111111</v>
      </c>
      <c r="H739" s="10">
        <f>IFERROR(SUMIFS('Base bordo'!G$2:G$746,'Base bordo'!C$2:C$746,A739,'Base bordo'!B$2:B$746,B739,'Base bordo'!F$2:F$746,"AGUARDANDO TRANSBORDO"),0)</f>
        <v>0.85194444444444439</v>
      </c>
      <c r="I739" s="10">
        <f>IFERROR(SUMIFS('Base bordo'!G$2:G$746,'Base bordo'!C$2:C$746,A739,'Base bordo'!B$2:B$746,B739,'Base bordo'!F$2:F$746,"PÁTIO INTERNO"),0)+IFERROR(SUMIFS('Base bordo'!G$2:G$746,'Base bordo'!C$2:C$746,A739,'Base bordo'!B$2:B$746,B739,'Base bordo'!F$2:F$746,"PÁTIO EXTERNO"),0)+IFERROR(SUMIFS('Base bordo'!G$2:G$746,'Base bordo'!C$2:C$746,A739,'Base bordo'!B$2:B$746,B739,'Base bordo'!F$2:F$746,"PATIO - RESERVA"),0)+IFERROR(SUMIFS('Base bordo'!G$2:G$746,'Base bordo'!C$2:C$746,A739,'Base bordo'!B$2:B$746,B739,'Base bordo'!F$2:F$746,"MANOBRA CARRETAS-PATIO"),0)</f>
        <v>7.8380555555555551</v>
      </c>
      <c r="J739" s="10">
        <f>IFERROR(SUMIFS('Base bordo'!G$2:G$746,'Base bordo'!C$2:C$746,A739,'Base bordo'!B$2:B$746,B739,'Base bordo'!F$2:F$746,"BALANÇA - ENTRADA"),0)+IFERROR(SUMIFS('Base bordo'!G$2:G$746,'Base bordo'!C$2:C$746,A739,'Base bordo'!B$2:B$746,B739,'Base bordo'!F$2:F$746,"BALANÇA - SAÍDA"),0)</f>
        <v>6.4722222222222223E-2</v>
      </c>
      <c r="K739" s="10">
        <f>IFERROR(SUMIFS('Base bordo'!G$2:G$746,'Base bordo'!C$2:C$746,A739,'Base bordo'!B$2:B$746,B739,'Base bordo'!F$2:F$746,"MAN PREVENTIVA - MECANICA"),0)+IFERROR(SUMIFS('Base bordo'!G$2:G$746,'Base bordo'!C$2:C$746,A739,'Base bordo'!B$2:B$746,B739,'Base bordo'!F$2:F$746,"MAN CORRETIVA - MECANICA"),0)</f>
        <v>0</v>
      </c>
      <c r="L739" s="10">
        <f>IFERROR(SUMIFS('Base bordo'!G$2:G$746,'Base bordo'!C$2:C$746,A739,'Base bordo'!B$2:B$746,B739,'Base bordo'!F$2:F$746,"MANUTENCAO - T O"),0)+IFERROR(SUMIFS('Base bordo'!G$2:G$746,'Base bordo'!C$2:C$746,A739,'Base bordo'!B$2:B$746,B739,'Base bordo'!F$2:F$746,"MANUTENCAO BORRACHARIA"),0)+IFERROR(SUMIFS('Base bordo'!G$2:G$746,'Base bordo'!C$2:C$746,A739,'Base bordo'!B$2:B$746,B739,'Base bordo'!F$2:F$746,"MANUTENCAO EXTERNA  CONCESSIONARIA"),0)+IFERROR(SUMIFS('Base bordo'!G$2:G$746,'Base bordo'!C$2:C$746,A739,'Base bordo'!B$2:B$746,B739,'Base bordo'!F$2:F$746,"MANUTENCAO TELEMETRIA"),0)</f>
        <v>0</v>
      </c>
      <c r="M739" s="10">
        <f>IFERROR(SUMIFS('Base bordo'!G$2:G$746,'Base bordo'!C$2:C$746,A739,'Base bordo'!B$2:B$746,B739,'Base bordo'!F$2:F$746,"AGUARDANDO MANUTENCAO"),0)</f>
        <v>1.013611111111111</v>
      </c>
      <c r="N739" s="10">
        <f>IFERROR(SUMIFS('Base bordo'!G$2:G$746,'Base bordo'!C$2:C$746,A739,'Base bordo'!B$2:B$746,B739,'Base bordo'!F$2:F$746,"SEM APONTAMENTO"),0)</f>
        <v>0.85111111111111115</v>
      </c>
      <c r="O739" s="10">
        <f t="shared" si="78"/>
        <v>5.1991666666666667</v>
      </c>
      <c r="P739" s="10">
        <f>IFERROR(SUMIFS('Base bordo'!G$2:G$746,'Base bordo'!C$2:C$746,A739,'Base bordo'!B$2:B$746,B739),0)</f>
        <v>24</v>
      </c>
      <c r="Q739" s="10">
        <f>IFERROR(SUMIFS('Base bordo'!H$2:H$746,'Base bordo'!C$2:C$746,A739,'Base bordo'!B$2:B$746,B739,'Base bordo'!F$2:F$746,"DESLOCAMENTO VAZIO"),0)</f>
        <v>195041.98</v>
      </c>
      <c r="R739" s="10">
        <f>IFERROR(SUMIFS('Base bordo'!I$2:I$746,'Base bordo'!C$2:C$746,A739,'Base bordo'!B$2:B$746,B739,'Base bordo'!F$2:F$746,"DESLOCAMENTO VAZIO"),0)</f>
        <v>6263</v>
      </c>
      <c r="S739" s="30">
        <f t="shared" si="79"/>
        <v>31.141941561551974</v>
      </c>
      <c r="T739" s="10">
        <f>IFERROR(SUMIFS('Base bordo'!H$2:H$746,'Base bordo'!C$2:C$746,A739,'Base bordo'!B$2:B$746,B739,'Base bordo'!F$2:F$746,"DESLOCAMENTO CARREGADO"),0)</f>
        <v>332481.22999999992</v>
      </c>
      <c r="U739" s="10">
        <f>IFERROR(SUMIFS('Base bordo'!I$2:I$746,'Base bordo'!C$2:C$746,A739,'Base bordo'!B$2:B$746,B739,'Base bordo'!F$2:F$746,"DESLOCAMENTO CARREGADO"),0)</f>
        <v>12710</v>
      </c>
      <c r="V739" s="30">
        <f t="shared" si="80"/>
        <v>26.15902675059008</v>
      </c>
      <c r="W739" s="9">
        <f t="shared" si="81"/>
        <v>7.2488425925925928E-2</v>
      </c>
      <c r="X739" s="9">
        <f t="shared" si="82"/>
        <v>0.14710648148148148</v>
      </c>
      <c r="Y739" s="9">
        <f t="shared" si="83"/>
        <v>0.78040509259259261</v>
      </c>
    </row>
    <row r="740" spans="1:25" ht="15" customHeight="1" x14ac:dyDescent="0.35">
      <c r="A740" s="52">
        <v>8013470</v>
      </c>
      <c r="B740" s="51">
        <v>46118</v>
      </c>
      <c r="C740" s="7" t="s">
        <v>124</v>
      </c>
      <c r="D740" s="10">
        <f>IFERROR(SUMIFS('Base bordo'!G$2:G$746,'Base bordo'!C$2:C$746,A740,'Base bordo'!B$2:B$746,B740,'Base bordo'!F$2:F$746,"DESLOCAMENTO VAZIO"),0)</f>
        <v>1.7397222222222222</v>
      </c>
      <c r="E740" s="10">
        <f>IFERROR(SUMIFS('Base bordo'!G$2:G$746,'Base bordo'!C$2:C$746,A740,'Base bordo'!B$2:B$746,B740,'Base bordo'!F$2:F$746,"DESLOCAMENTO CARREGADO"),0)</f>
        <v>3.5305555555555554</v>
      </c>
      <c r="F740" s="10">
        <f>IFERROR(SUMIFS('Base bordo'!G$2:G$746,'Base bordo'!C$2:C$746,A740,'Base bordo'!B$2:B$746,B740,'Base bordo'!F$2:F$746,"DESLOCAMENTO"),0)</f>
        <v>0</v>
      </c>
      <c r="G740" s="10">
        <f>IFERROR(SUMIFS('Base bordo'!G$2:G$746,'Base bordo'!C$2:C$746,A740,'Base bordo'!B$2:B$746,B740,'Base bordo'!F$2:F$746,"CARREGAMENTO"),0)</f>
        <v>2.911111111111111</v>
      </c>
      <c r="H740" s="10">
        <f>IFERROR(SUMIFS('Base bordo'!G$2:G$746,'Base bordo'!C$2:C$746,A740,'Base bordo'!B$2:B$746,B740,'Base bordo'!F$2:F$746,"AGUARDANDO TRANSBORDO"),0)</f>
        <v>0.85194444444444439</v>
      </c>
      <c r="I740" s="10">
        <f>IFERROR(SUMIFS('Base bordo'!G$2:G$746,'Base bordo'!C$2:C$746,A740,'Base bordo'!B$2:B$746,B740,'Base bordo'!F$2:F$746,"PÁTIO INTERNO"),0)+IFERROR(SUMIFS('Base bordo'!G$2:G$746,'Base bordo'!C$2:C$746,A740,'Base bordo'!B$2:B$746,B740,'Base bordo'!F$2:F$746,"PÁTIO EXTERNO"),0)+IFERROR(SUMIFS('Base bordo'!G$2:G$746,'Base bordo'!C$2:C$746,A740,'Base bordo'!B$2:B$746,B740,'Base bordo'!F$2:F$746,"PATIO - RESERVA"),0)+IFERROR(SUMIFS('Base bordo'!G$2:G$746,'Base bordo'!C$2:C$746,A740,'Base bordo'!B$2:B$746,B740,'Base bordo'!F$2:F$746,"MANOBRA CARRETAS-PATIO"),0)</f>
        <v>7.8380555555555551</v>
      </c>
      <c r="J740" s="10">
        <f>IFERROR(SUMIFS('Base bordo'!G$2:G$746,'Base bordo'!C$2:C$746,A740,'Base bordo'!B$2:B$746,B740,'Base bordo'!F$2:F$746,"BALANÇA - ENTRADA"),0)+IFERROR(SUMIFS('Base bordo'!G$2:G$746,'Base bordo'!C$2:C$746,A740,'Base bordo'!B$2:B$746,B740,'Base bordo'!F$2:F$746,"BALANÇA - SAÍDA"),0)</f>
        <v>6.4722222222222223E-2</v>
      </c>
      <c r="K740" s="10">
        <f>IFERROR(SUMIFS('Base bordo'!G$2:G$746,'Base bordo'!C$2:C$746,A740,'Base bordo'!B$2:B$746,B740,'Base bordo'!F$2:F$746,"MAN PREVENTIVA - MECANICA"),0)+IFERROR(SUMIFS('Base bordo'!G$2:G$746,'Base bordo'!C$2:C$746,A740,'Base bordo'!B$2:B$746,B740,'Base bordo'!F$2:F$746,"MAN CORRETIVA - MECANICA"),0)</f>
        <v>0</v>
      </c>
      <c r="L740" s="10">
        <f>IFERROR(SUMIFS('Base bordo'!G$2:G$746,'Base bordo'!C$2:C$746,A740,'Base bordo'!B$2:B$746,B740,'Base bordo'!F$2:F$746,"MANUTENCAO - T O"),0)+IFERROR(SUMIFS('Base bordo'!G$2:G$746,'Base bordo'!C$2:C$746,A740,'Base bordo'!B$2:B$746,B740,'Base bordo'!F$2:F$746,"MANUTENCAO BORRACHARIA"),0)+IFERROR(SUMIFS('Base bordo'!G$2:G$746,'Base bordo'!C$2:C$746,A740,'Base bordo'!B$2:B$746,B740,'Base bordo'!F$2:F$746,"MANUTENCAO EXTERNA  CONCESSIONARIA"),0)+IFERROR(SUMIFS('Base bordo'!G$2:G$746,'Base bordo'!C$2:C$746,A740,'Base bordo'!B$2:B$746,B740,'Base bordo'!F$2:F$746,"MANUTENCAO TELEMETRIA"),0)</f>
        <v>0</v>
      </c>
      <c r="M740" s="10">
        <f>IFERROR(SUMIFS('Base bordo'!G$2:G$746,'Base bordo'!C$2:C$746,A740,'Base bordo'!B$2:B$746,B740,'Base bordo'!F$2:F$746,"AGUARDANDO MANUTENCAO"),0)</f>
        <v>1.013611111111111</v>
      </c>
      <c r="N740" s="10">
        <f>IFERROR(SUMIFS('Base bordo'!G$2:G$746,'Base bordo'!C$2:C$746,A740,'Base bordo'!B$2:B$746,B740,'Base bordo'!F$2:F$746,"SEM APONTAMENTO"),0)</f>
        <v>0.85111111111111115</v>
      </c>
      <c r="O740" s="10">
        <f t="shared" si="78"/>
        <v>5.1991666666666667</v>
      </c>
      <c r="P740" s="10">
        <f>IFERROR(SUMIFS('Base bordo'!G$2:G$746,'Base bordo'!C$2:C$746,A740,'Base bordo'!B$2:B$746,B740),0)</f>
        <v>24</v>
      </c>
      <c r="Q740" s="10">
        <f>IFERROR(SUMIFS('Base bordo'!H$2:H$746,'Base bordo'!C$2:C$746,A740,'Base bordo'!B$2:B$746,B740,'Base bordo'!F$2:F$746,"DESLOCAMENTO VAZIO"),0)</f>
        <v>195041.98</v>
      </c>
      <c r="R740" s="10">
        <f>IFERROR(SUMIFS('Base bordo'!I$2:I$746,'Base bordo'!C$2:C$746,A740,'Base bordo'!B$2:B$746,B740,'Base bordo'!F$2:F$746,"DESLOCAMENTO VAZIO"),0)</f>
        <v>6263</v>
      </c>
      <c r="S740" s="30">
        <f t="shared" si="79"/>
        <v>31.141941561551974</v>
      </c>
      <c r="T740" s="10">
        <f>IFERROR(SUMIFS('Base bordo'!H$2:H$746,'Base bordo'!C$2:C$746,A740,'Base bordo'!B$2:B$746,B740,'Base bordo'!F$2:F$746,"DESLOCAMENTO CARREGADO"),0)</f>
        <v>332481.22999999992</v>
      </c>
      <c r="U740" s="10">
        <f>IFERROR(SUMIFS('Base bordo'!I$2:I$746,'Base bordo'!C$2:C$746,A740,'Base bordo'!B$2:B$746,B740,'Base bordo'!F$2:F$746,"DESLOCAMENTO CARREGADO"),0)</f>
        <v>12710</v>
      </c>
      <c r="V740" s="30">
        <f t="shared" si="80"/>
        <v>26.15902675059008</v>
      </c>
      <c r="W740" s="9">
        <f t="shared" si="81"/>
        <v>7.2488425925925928E-2</v>
      </c>
      <c r="X740" s="9">
        <f t="shared" si="82"/>
        <v>0.14710648148148148</v>
      </c>
      <c r="Y740" s="9">
        <f t="shared" si="83"/>
        <v>0.78040509259259261</v>
      </c>
    </row>
    <row r="741" spans="1:25" ht="15" customHeight="1" x14ac:dyDescent="0.35">
      <c r="A741" s="52">
        <v>8013470</v>
      </c>
      <c r="B741" s="51">
        <v>46118</v>
      </c>
      <c r="C741" s="7" t="s">
        <v>124</v>
      </c>
      <c r="D741" s="10">
        <f>IFERROR(SUMIFS('Base bordo'!G$2:G$746,'Base bordo'!C$2:C$746,A741,'Base bordo'!B$2:B$746,B741,'Base bordo'!F$2:F$746,"DESLOCAMENTO VAZIO"),0)</f>
        <v>1.7397222222222222</v>
      </c>
      <c r="E741" s="10">
        <f>IFERROR(SUMIFS('Base bordo'!G$2:G$746,'Base bordo'!C$2:C$746,A741,'Base bordo'!B$2:B$746,B741,'Base bordo'!F$2:F$746,"DESLOCAMENTO CARREGADO"),0)</f>
        <v>3.5305555555555554</v>
      </c>
      <c r="F741" s="10">
        <f>IFERROR(SUMIFS('Base bordo'!G$2:G$746,'Base bordo'!C$2:C$746,A741,'Base bordo'!B$2:B$746,B741,'Base bordo'!F$2:F$746,"DESLOCAMENTO"),0)</f>
        <v>0</v>
      </c>
      <c r="G741" s="10">
        <f>IFERROR(SUMIFS('Base bordo'!G$2:G$746,'Base bordo'!C$2:C$746,A741,'Base bordo'!B$2:B$746,B741,'Base bordo'!F$2:F$746,"CARREGAMENTO"),0)</f>
        <v>2.911111111111111</v>
      </c>
      <c r="H741" s="10">
        <f>IFERROR(SUMIFS('Base bordo'!G$2:G$746,'Base bordo'!C$2:C$746,A741,'Base bordo'!B$2:B$746,B741,'Base bordo'!F$2:F$746,"AGUARDANDO TRANSBORDO"),0)</f>
        <v>0.85194444444444439</v>
      </c>
      <c r="I741" s="10">
        <f>IFERROR(SUMIFS('Base bordo'!G$2:G$746,'Base bordo'!C$2:C$746,A741,'Base bordo'!B$2:B$746,B741,'Base bordo'!F$2:F$746,"PÁTIO INTERNO"),0)+IFERROR(SUMIFS('Base bordo'!G$2:G$746,'Base bordo'!C$2:C$746,A741,'Base bordo'!B$2:B$746,B741,'Base bordo'!F$2:F$746,"PÁTIO EXTERNO"),0)+IFERROR(SUMIFS('Base bordo'!G$2:G$746,'Base bordo'!C$2:C$746,A741,'Base bordo'!B$2:B$746,B741,'Base bordo'!F$2:F$746,"PATIO - RESERVA"),0)+IFERROR(SUMIFS('Base bordo'!G$2:G$746,'Base bordo'!C$2:C$746,A741,'Base bordo'!B$2:B$746,B741,'Base bordo'!F$2:F$746,"MANOBRA CARRETAS-PATIO"),0)</f>
        <v>7.8380555555555551</v>
      </c>
      <c r="J741" s="10">
        <f>IFERROR(SUMIFS('Base bordo'!G$2:G$746,'Base bordo'!C$2:C$746,A741,'Base bordo'!B$2:B$746,B741,'Base bordo'!F$2:F$746,"BALANÇA - ENTRADA"),0)+IFERROR(SUMIFS('Base bordo'!G$2:G$746,'Base bordo'!C$2:C$746,A741,'Base bordo'!B$2:B$746,B741,'Base bordo'!F$2:F$746,"BALANÇA - SAÍDA"),0)</f>
        <v>6.4722222222222223E-2</v>
      </c>
      <c r="K741" s="10">
        <f>IFERROR(SUMIFS('Base bordo'!G$2:G$746,'Base bordo'!C$2:C$746,A741,'Base bordo'!B$2:B$746,B741,'Base bordo'!F$2:F$746,"MAN PREVENTIVA - MECANICA"),0)+IFERROR(SUMIFS('Base bordo'!G$2:G$746,'Base bordo'!C$2:C$746,A741,'Base bordo'!B$2:B$746,B741,'Base bordo'!F$2:F$746,"MAN CORRETIVA - MECANICA"),0)</f>
        <v>0</v>
      </c>
      <c r="L741" s="10">
        <f>IFERROR(SUMIFS('Base bordo'!G$2:G$746,'Base bordo'!C$2:C$746,A741,'Base bordo'!B$2:B$746,B741,'Base bordo'!F$2:F$746,"MANUTENCAO - T O"),0)+IFERROR(SUMIFS('Base bordo'!G$2:G$746,'Base bordo'!C$2:C$746,A741,'Base bordo'!B$2:B$746,B741,'Base bordo'!F$2:F$746,"MANUTENCAO BORRACHARIA"),0)+IFERROR(SUMIFS('Base bordo'!G$2:G$746,'Base bordo'!C$2:C$746,A741,'Base bordo'!B$2:B$746,B741,'Base bordo'!F$2:F$746,"MANUTENCAO EXTERNA  CONCESSIONARIA"),0)+IFERROR(SUMIFS('Base bordo'!G$2:G$746,'Base bordo'!C$2:C$746,A741,'Base bordo'!B$2:B$746,B741,'Base bordo'!F$2:F$746,"MANUTENCAO TELEMETRIA"),0)</f>
        <v>0</v>
      </c>
      <c r="M741" s="10">
        <f>IFERROR(SUMIFS('Base bordo'!G$2:G$746,'Base bordo'!C$2:C$746,A741,'Base bordo'!B$2:B$746,B741,'Base bordo'!F$2:F$746,"AGUARDANDO MANUTENCAO"),0)</f>
        <v>1.013611111111111</v>
      </c>
      <c r="N741" s="10">
        <f>IFERROR(SUMIFS('Base bordo'!G$2:G$746,'Base bordo'!C$2:C$746,A741,'Base bordo'!B$2:B$746,B741,'Base bordo'!F$2:F$746,"SEM APONTAMENTO"),0)</f>
        <v>0.85111111111111115</v>
      </c>
      <c r="O741" s="10">
        <f t="shared" si="78"/>
        <v>5.1991666666666667</v>
      </c>
      <c r="P741" s="10">
        <f>IFERROR(SUMIFS('Base bordo'!G$2:G$746,'Base bordo'!C$2:C$746,A741,'Base bordo'!B$2:B$746,B741),0)</f>
        <v>24</v>
      </c>
      <c r="Q741" s="10">
        <f>IFERROR(SUMIFS('Base bordo'!H$2:H$746,'Base bordo'!C$2:C$746,A741,'Base bordo'!B$2:B$746,B741,'Base bordo'!F$2:F$746,"DESLOCAMENTO VAZIO"),0)</f>
        <v>195041.98</v>
      </c>
      <c r="R741" s="10">
        <f>IFERROR(SUMIFS('Base bordo'!I$2:I$746,'Base bordo'!C$2:C$746,A741,'Base bordo'!B$2:B$746,B741,'Base bordo'!F$2:F$746,"DESLOCAMENTO VAZIO"),0)</f>
        <v>6263</v>
      </c>
      <c r="S741" s="30">
        <f t="shared" si="79"/>
        <v>31.141941561551974</v>
      </c>
      <c r="T741" s="10">
        <f>IFERROR(SUMIFS('Base bordo'!H$2:H$746,'Base bordo'!C$2:C$746,A741,'Base bordo'!B$2:B$746,B741,'Base bordo'!F$2:F$746,"DESLOCAMENTO CARREGADO"),0)</f>
        <v>332481.22999999992</v>
      </c>
      <c r="U741" s="10">
        <f>IFERROR(SUMIFS('Base bordo'!I$2:I$746,'Base bordo'!C$2:C$746,A741,'Base bordo'!B$2:B$746,B741,'Base bordo'!F$2:F$746,"DESLOCAMENTO CARREGADO"),0)</f>
        <v>12710</v>
      </c>
      <c r="V741" s="30">
        <f t="shared" si="80"/>
        <v>26.15902675059008</v>
      </c>
      <c r="W741" s="9">
        <f t="shared" si="81"/>
        <v>7.2488425925925928E-2</v>
      </c>
      <c r="X741" s="9">
        <f t="shared" si="82"/>
        <v>0.14710648148148148</v>
      </c>
      <c r="Y741" s="9">
        <f t="shared" si="83"/>
        <v>0.78040509259259261</v>
      </c>
    </row>
    <row r="742" spans="1:25" ht="15" customHeight="1" x14ac:dyDescent="0.35">
      <c r="A742" s="52">
        <v>8013470</v>
      </c>
      <c r="B742" s="51">
        <v>46118</v>
      </c>
      <c r="C742" s="7" t="s">
        <v>124</v>
      </c>
      <c r="D742" s="10">
        <f>IFERROR(SUMIFS('Base bordo'!G$2:G$746,'Base bordo'!C$2:C$746,A742,'Base bordo'!B$2:B$746,B742,'Base bordo'!F$2:F$746,"DESLOCAMENTO VAZIO"),0)</f>
        <v>1.7397222222222222</v>
      </c>
      <c r="E742" s="10">
        <f>IFERROR(SUMIFS('Base bordo'!G$2:G$746,'Base bordo'!C$2:C$746,A742,'Base bordo'!B$2:B$746,B742,'Base bordo'!F$2:F$746,"DESLOCAMENTO CARREGADO"),0)</f>
        <v>3.5305555555555554</v>
      </c>
      <c r="F742" s="10">
        <f>IFERROR(SUMIFS('Base bordo'!G$2:G$746,'Base bordo'!C$2:C$746,A742,'Base bordo'!B$2:B$746,B742,'Base bordo'!F$2:F$746,"DESLOCAMENTO"),0)</f>
        <v>0</v>
      </c>
      <c r="G742" s="10">
        <f>IFERROR(SUMIFS('Base bordo'!G$2:G$746,'Base bordo'!C$2:C$746,A742,'Base bordo'!B$2:B$746,B742,'Base bordo'!F$2:F$746,"CARREGAMENTO"),0)</f>
        <v>2.911111111111111</v>
      </c>
      <c r="H742" s="10">
        <f>IFERROR(SUMIFS('Base bordo'!G$2:G$746,'Base bordo'!C$2:C$746,A742,'Base bordo'!B$2:B$746,B742,'Base bordo'!F$2:F$746,"AGUARDANDO TRANSBORDO"),0)</f>
        <v>0.85194444444444439</v>
      </c>
      <c r="I742" s="10">
        <f>IFERROR(SUMIFS('Base bordo'!G$2:G$746,'Base bordo'!C$2:C$746,A742,'Base bordo'!B$2:B$746,B742,'Base bordo'!F$2:F$746,"PÁTIO INTERNO"),0)+IFERROR(SUMIFS('Base bordo'!G$2:G$746,'Base bordo'!C$2:C$746,A742,'Base bordo'!B$2:B$746,B742,'Base bordo'!F$2:F$746,"PÁTIO EXTERNO"),0)+IFERROR(SUMIFS('Base bordo'!G$2:G$746,'Base bordo'!C$2:C$746,A742,'Base bordo'!B$2:B$746,B742,'Base bordo'!F$2:F$746,"PATIO - RESERVA"),0)+IFERROR(SUMIFS('Base bordo'!G$2:G$746,'Base bordo'!C$2:C$746,A742,'Base bordo'!B$2:B$746,B742,'Base bordo'!F$2:F$746,"MANOBRA CARRETAS-PATIO"),0)</f>
        <v>7.8380555555555551</v>
      </c>
      <c r="J742" s="10">
        <f>IFERROR(SUMIFS('Base bordo'!G$2:G$746,'Base bordo'!C$2:C$746,A742,'Base bordo'!B$2:B$746,B742,'Base bordo'!F$2:F$746,"BALANÇA - ENTRADA"),0)+IFERROR(SUMIFS('Base bordo'!G$2:G$746,'Base bordo'!C$2:C$746,A742,'Base bordo'!B$2:B$746,B742,'Base bordo'!F$2:F$746,"BALANÇA - SAÍDA"),0)</f>
        <v>6.4722222222222223E-2</v>
      </c>
      <c r="K742" s="10">
        <f>IFERROR(SUMIFS('Base bordo'!G$2:G$746,'Base bordo'!C$2:C$746,A742,'Base bordo'!B$2:B$746,B742,'Base bordo'!F$2:F$746,"MAN PREVENTIVA - MECANICA"),0)+IFERROR(SUMIFS('Base bordo'!G$2:G$746,'Base bordo'!C$2:C$746,A742,'Base bordo'!B$2:B$746,B742,'Base bordo'!F$2:F$746,"MAN CORRETIVA - MECANICA"),0)</f>
        <v>0</v>
      </c>
      <c r="L742" s="10">
        <f>IFERROR(SUMIFS('Base bordo'!G$2:G$746,'Base bordo'!C$2:C$746,A742,'Base bordo'!B$2:B$746,B742,'Base bordo'!F$2:F$746,"MANUTENCAO - T O"),0)+IFERROR(SUMIFS('Base bordo'!G$2:G$746,'Base bordo'!C$2:C$746,A742,'Base bordo'!B$2:B$746,B742,'Base bordo'!F$2:F$746,"MANUTENCAO BORRACHARIA"),0)+IFERROR(SUMIFS('Base bordo'!G$2:G$746,'Base bordo'!C$2:C$746,A742,'Base bordo'!B$2:B$746,B742,'Base bordo'!F$2:F$746,"MANUTENCAO EXTERNA  CONCESSIONARIA"),0)+IFERROR(SUMIFS('Base bordo'!G$2:G$746,'Base bordo'!C$2:C$746,A742,'Base bordo'!B$2:B$746,B742,'Base bordo'!F$2:F$746,"MANUTENCAO TELEMETRIA"),0)</f>
        <v>0</v>
      </c>
      <c r="M742" s="10">
        <f>IFERROR(SUMIFS('Base bordo'!G$2:G$746,'Base bordo'!C$2:C$746,A742,'Base bordo'!B$2:B$746,B742,'Base bordo'!F$2:F$746,"AGUARDANDO MANUTENCAO"),0)</f>
        <v>1.013611111111111</v>
      </c>
      <c r="N742" s="10">
        <f>IFERROR(SUMIFS('Base bordo'!G$2:G$746,'Base bordo'!C$2:C$746,A742,'Base bordo'!B$2:B$746,B742,'Base bordo'!F$2:F$746,"SEM APONTAMENTO"),0)</f>
        <v>0.85111111111111115</v>
      </c>
      <c r="O742" s="10">
        <f t="shared" si="78"/>
        <v>5.1991666666666667</v>
      </c>
      <c r="P742" s="10">
        <f>IFERROR(SUMIFS('Base bordo'!G$2:G$746,'Base bordo'!C$2:C$746,A742,'Base bordo'!B$2:B$746,B742),0)</f>
        <v>24</v>
      </c>
      <c r="Q742" s="10">
        <f>IFERROR(SUMIFS('Base bordo'!H$2:H$746,'Base bordo'!C$2:C$746,A742,'Base bordo'!B$2:B$746,B742,'Base bordo'!F$2:F$746,"DESLOCAMENTO VAZIO"),0)</f>
        <v>195041.98</v>
      </c>
      <c r="R742" s="10">
        <f>IFERROR(SUMIFS('Base bordo'!I$2:I$746,'Base bordo'!C$2:C$746,A742,'Base bordo'!B$2:B$746,B742,'Base bordo'!F$2:F$746,"DESLOCAMENTO VAZIO"),0)</f>
        <v>6263</v>
      </c>
      <c r="S742" s="30">
        <f t="shared" si="79"/>
        <v>31.141941561551974</v>
      </c>
      <c r="T742" s="10">
        <f>IFERROR(SUMIFS('Base bordo'!H$2:H$746,'Base bordo'!C$2:C$746,A742,'Base bordo'!B$2:B$746,B742,'Base bordo'!F$2:F$746,"DESLOCAMENTO CARREGADO"),0)</f>
        <v>332481.22999999992</v>
      </c>
      <c r="U742" s="10">
        <f>IFERROR(SUMIFS('Base bordo'!I$2:I$746,'Base bordo'!C$2:C$746,A742,'Base bordo'!B$2:B$746,B742,'Base bordo'!F$2:F$746,"DESLOCAMENTO CARREGADO"),0)</f>
        <v>12710</v>
      </c>
      <c r="V742" s="30">
        <f t="shared" si="80"/>
        <v>26.15902675059008</v>
      </c>
      <c r="W742" s="9">
        <f t="shared" si="81"/>
        <v>7.2488425925925928E-2</v>
      </c>
      <c r="X742" s="9">
        <f t="shared" si="82"/>
        <v>0.14710648148148148</v>
      </c>
      <c r="Y742" s="9">
        <f t="shared" si="83"/>
        <v>0.78040509259259261</v>
      </c>
    </row>
    <row r="743" spans="1:25" ht="15" customHeight="1" x14ac:dyDescent="0.35">
      <c r="A743" s="52">
        <v>8013470</v>
      </c>
      <c r="B743" s="51">
        <v>46118</v>
      </c>
      <c r="C743" s="7" t="s">
        <v>124</v>
      </c>
      <c r="D743" s="10">
        <f>IFERROR(SUMIFS('Base bordo'!G$2:G$746,'Base bordo'!C$2:C$746,A743,'Base bordo'!B$2:B$746,B743,'Base bordo'!F$2:F$746,"DESLOCAMENTO VAZIO"),0)</f>
        <v>1.7397222222222222</v>
      </c>
      <c r="E743" s="10">
        <f>IFERROR(SUMIFS('Base bordo'!G$2:G$746,'Base bordo'!C$2:C$746,A743,'Base bordo'!B$2:B$746,B743,'Base bordo'!F$2:F$746,"DESLOCAMENTO CARREGADO"),0)</f>
        <v>3.5305555555555554</v>
      </c>
      <c r="F743" s="10">
        <f>IFERROR(SUMIFS('Base bordo'!G$2:G$746,'Base bordo'!C$2:C$746,A743,'Base bordo'!B$2:B$746,B743,'Base bordo'!F$2:F$746,"DESLOCAMENTO"),0)</f>
        <v>0</v>
      </c>
      <c r="G743" s="10">
        <f>IFERROR(SUMIFS('Base bordo'!G$2:G$746,'Base bordo'!C$2:C$746,A743,'Base bordo'!B$2:B$746,B743,'Base bordo'!F$2:F$746,"CARREGAMENTO"),0)</f>
        <v>2.911111111111111</v>
      </c>
      <c r="H743" s="10">
        <f>IFERROR(SUMIFS('Base bordo'!G$2:G$746,'Base bordo'!C$2:C$746,A743,'Base bordo'!B$2:B$746,B743,'Base bordo'!F$2:F$746,"AGUARDANDO TRANSBORDO"),0)</f>
        <v>0.85194444444444439</v>
      </c>
      <c r="I743" s="10">
        <f>IFERROR(SUMIFS('Base bordo'!G$2:G$746,'Base bordo'!C$2:C$746,A743,'Base bordo'!B$2:B$746,B743,'Base bordo'!F$2:F$746,"PÁTIO INTERNO"),0)+IFERROR(SUMIFS('Base bordo'!G$2:G$746,'Base bordo'!C$2:C$746,A743,'Base bordo'!B$2:B$746,B743,'Base bordo'!F$2:F$746,"PÁTIO EXTERNO"),0)+IFERROR(SUMIFS('Base bordo'!G$2:G$746,'Base bordo'!C$2:C$746,A743,'Base bordo'!B$2:B$746,B743,'Base bordo'!F$2:F$746,"PATIO - RESERVA"),0)+IFERROR(SUMIFS('Base bordo'!G$2:G$746,'Base bordo'!C$2:C$746,A743,'Base bordo'!B$2:B$746,B743,'Base bordo'!F$2:F$746,"MANOBRA CARRETAS-PATIO"),0)</f>
        <v>7.8380555555555551</v>
      </c>
      <c r="J743" s="10">
        <f>IFERROR(SUMIFS('Base bordo'!G$2:G$746,'Base bordo'!C$2:C$746,A743,'Base bordo'!B$2:B$746,B743,'Base bordo'!F$2:F$746,"BALANÇA - ENTRADA"),0)+IFERROR(SUMIFS('Base bordo'!G$2:G$746,'Base bordo'!C$2:C$746,A743,'Base bordo'!B$2:B$746,B743,'Base bordo'!F$2:F$746,"BALANÇA - SAÍDA"),0)</f>
        <v>6.4722222222222223E-2</v>
      </c>
      <c r="K743" s="10">
        <f>IFERROR(SUMIFS('Base bordo'!G$2:G$746,'Base bordo'!C$2:C$746,A743,'Base bordo'!B$2:B$746,B743,'Base bordo'!F$2:F$746,"MAN PREVENTIVA - MECANICA"),0)+IFERROR(SUMIFS('Base bordo'!G$2:G$746,'Base bordo'!C$2:C$746,A743,'Base bordo'!B$2:B$746,B743,'Base bordo'!F$2:F$746,"MAN CORRETIVA - MECANICA"),0)</f>
        <v>0</v>
      </c>
      <c r="L743" s="10">
        <f>IFERROR(SUMIFS('Base bordo'!G$2:G$746,'Base bordo'!C$2:C$746,A743,'Base bordo'!B$2:B$746,B743,'Base bordo'!F$2:F$746,"MANUTENCAO - T O"),0)+IFERROR(SUMIFS('Base bordo'!G$2:G$746,'Base bordo'!C$2:C$746,A743,'Base bordo'!B$2:B$746,B743,'Base bordo'!F$2:F$746,"MANUTENCAO BORRACHARIA"),0)+IFERROR(SUMIFS('Base bordo'!G$2:G$746,'Base bordo'!C$2:C$746,A743,'Base bordo'!B$2:B$746,B743,'Base bordo'!F$2:F$746,"MANUTENCAO EXTERNA  CONCESSIONARIA"),0)+IFERROR(SUMIFS('Base bordo'!G$2:G$746,'Base bordo'!C$2:C$746,A743,'Base bordo'!B$2:B$746,B743,'Base bordo'!F$2:F$746,"MANUTENCAO TELEMETRIA"),0)</f>
        <v>0</v>
      </c>
      <c r="M743" s="10">
        <f>IFERROR(SUMIFS('Base bordo'!G$2:G$746,'Base bordo'!C$2:C$746,A743,'Base bordo'!B$2:B$746,B743,'Base bordo'!F$2:F$746,"AGUARDANDO MANUTENCAO"),0)</f>
        <v>1.013611111111111</v>
      </c>
      <c r="N743" s="10">
        <f>IFERROR(SUMIFS('Base bordo'!G$2:G$746,'Base bordo'!C$2:C$746,A743,'Base bordo'!B$2:B$746,B743,'Base bordo'!F$2:F$746,"SEM APONTAMENTO"),0)</f>
        <v>0.85111111111111115</v>
      </c>
      <c r="O743" s="10">
        <f t="shared" si="78"/>
        <v>5.1991666666666667</v>
      </c>
      <c r="P743" s="10">
        <f>IFERROR(SUMIFS('Base bordo'!G$2:G$746,'Base bordo'!C$2:C$746,A743,'Base bordo'!B$2:B$746,B743),0)</f>
        <v>24</v>
      </c>
      <c r="Q743" s="10">
        <f>IFERROR(SUMIFS('Base bordo'!H$2:H$746,'Base bordo'!C$2:C$746,A743,'Base bordo'!B$2:B$746,B743,'Base bordo'!F$2:F$746,"DESLOCAMENTO VAZIO"),0)</f>
        <v>195041.98</v>
      </c>
      <c r="R743" s="10">
        <f>IFERROR(SUMIFS('Base bordo'!I$2:I$746,'Base bordo'!C$2:C$746,A743,'Base bordo'!B$2:B$746,B743,'Base bordo'!F$2:F$746,"DESLOCAMENTO VAZIO"),0)</f>
        <v>6263</v>
      </c>
      <c r="S743" s="30">
        <f t="shared" si="79"/>
        <v>31.141941561551974</v>
      </c>
      <c r="T743" s="10">
        <f>IFERROR(SUMIFS('Base bordo'!H$2:H$746,'Base bordo'!C$2:C$746,A743,'Base bordo'!B$2:B$746,B743,'Base bordo'!F$2:F$746,"DESLOCAMENTO CARREGADO"),0)</f>
        <v>332481.22999999992</v>
      </c>
      <c r="U743" s="10">
        <f>IFERROR(SUMIFS('Base bordo'!I$2:I$746,'Base bordo'!C$2:C$746,A743,'Base bordo'!B$2:B$746,B743,'Base bordo'!F$2:F$746,"DESLOCAMENTO CARREGADO"),0)</f>
        <v>12710</v>
      </c>
      <c r="V743" s="30">
        <f t="shared" si="80"/>
        <v>26.15902675059008</v>
      </c>
      <c r="W743" s="9">
        <f t="shared" si="81"/>
        <v>7.2488425925925928E-2</v>
      </c>
      <c r="X743" s="9">
        <f t="shared" si="82"/>
        <v>0.14710648148148148</v>
      </c>
      <c r="Y743" s="9">
        <f t="shared" si="83"/>
        <v>0.78040509259259261</v>
      </c>
    </row>
    <row r="744" spans="1:25" ht="15" customHeight="1" x14ac:dyDescent="0.35">
      <c r="A744" s="52">
        <v>8013470</v>
      </c>
      <c r="B744" s="51">
        <v>46118</v>
      </c>
      <c r="C744" s="7" t="s">
        <v>124</v>
      </c>
      <c r="D744" s="10">
        <f>IFERROR(SUMIFS('Base bordo'!G$2:G$746,'Base bordo'!C$2:C$746,A744,'Base bordo'!B$2:B$746,B744,'Base bordo'!F$2:F$746,"DESLOCAMENTO VAZIO"),0)</f>
        <v>1.7397222222222222</v>
      </c>
      <c r="E744" s="10">
        <f>IFERROR(SUMIFS('Base bordo'!G$2:G$746,'Base bordo'!C$2:C$746,A744,'Base bordo'!B$2:B$746,B744,'Base bordo'!F$2:F$746,"DESLOCAMENTO CARREGADO"),0)</f>
        <v>3.5305555555555554</v>
      </c>
      <c r="F744" s="10">
        <f>IFERROR(SUMIFS('Base bordo'!G$2:G$746,'Base bordo'!C$2:C$746,A744,'Base bordo'!B$2:B$746,B744,'Base bordo'!F$2:F$746,"DESLOCAMENTO"),0)</f>
        <v>0</v>
      </c>
      <c r="G744" s="10">
        <f>IFERROR(SUMIFS('Base bordo'!G$2:G$746,'Base bordo'!C$2:C$746,A744,'Base bordo'!B$2:B$746,B744,'Base bordo'!F$2:F$746,"CARREGAMENTO"),0)</f>
        <v>2.911111111111111</v>
      </c>
      <c r="H744" s="10">
        <f>IFERROR(SUMIFS('Base bordo'!G$2:G$746,'Base bordo'!C$2:C$746,A744,'Base bordo'!B$2:B$746,B744,'Base bordo'!F$2:F$746,"AGUARDANDO TRANSBORDO"),0)</f>
        <v>0.85194444444444439</v>
      </c>
      <c r="I744" s="10">
        <f>IFERROR(SUMIFS('Base bordo'!G$2:G$746,'Base bordo'!C$2:C$746,A744,'Base bordo'!B$2:B$746,B744,'Base bordo'!F$2:F$746,"PÁTIO INTERNO"),0)+IFERROR(SUMIFS('Base bordo'!G$2:G$746,'Base bordo'!C$2:C$746,A744,'Base bordo'!B$2:B$746,B744,'Base bordo'!F$2:F$746,"PÁTIO EXTERNO"),0)+IFERROR(SUMIFS('Base bordo'!G$2:G$746,'Base bordo'!C$2:C$746,A744,'Base bordo'!B$2:B$746,B744,'Base bordo'!F$2:F$746,"PATIO - RESERVA"),0)+IFERROR(SUMIFS('Base bordo'!G$2:G$746,'Base bordo'!C$2:C$746,A744,'Base bordo'!B$2:B$746,B744,'Base bordo'!F$2:F$746,"MANOBRA CARRETAS-PATIO"),0)</f>
        <v>7.8380555555555551</v>
      </c>
      <c r="J744" s="10">
        <f>IFERROR(SUMIFS('Base bordo'!G$2:G$746,'Base bordo'!C$2:C$746,A744,'Base bordo'!B$2:B$746,B744,'Base bordo'!F$2:F$746,"BALANÇA - ENTRADA"),0)+IFERROR(SUMIFS('Base bordo'!G$2:G$746,'Base bordo'!C$2:C$746,A744,'Base bordo'!B$2:B$746,B744,'Base bordo'!F$2:F$746,"BALANÇA - SAÍDA"),0)</f>
        <v>6.4722222222222223E-2</v>
      </c>
      <c r="K744" s="10">
        <f>IFERROR(SUMIFS('Base bordo'!G$2:G$746,'Base bordo'!C$2:C$746,A744,'Base bordo'!B$2:B$746,B744,'Base bordo'!F$2:F$746,"MAN PREVENTIVA - MECANICA"),0)+IFERROR(SUMIFS('Base bordo'!G$2:G$746,'Base bordo'!C$2:C$746,A744,'Base bordo'!B$2:B$746,B744,'Base bordo'!F$2:F$746,"MAN CORRETIVA - MECANICA"),0)</f>
        <v>0</v>
      </c>
      <c r="L744" s="10">
        <f>IFERROR(SUMIFS('Base bordo'!G$2:G$746,'Base bordo'!C$2:C$746,A744,'Base bordo'!B$2:B$746,B744,'Base bordo'!F$2:F$746,"MANUTENCAO - T O"),0)+IFERROR(SUMIFS('Base bordo'!G$2:G$746,'Base bordo'!C$2:C$746,A744,'Base bordo'!B$2:B$746,B744,'Base bordo'!F$2:F$746,"MANUTENCAO BORRACHARIA"),0)+IFERROR(SUMIFS('Base bordo'!G$2:G$746,'Base bordo'!C$2:C$746,A744,'Base bordo'!B$2:B$746,B744,'Base bordo'!F$2:F$746,"MANUTENCAO EXTERNA  CONCESSIONARIA"),0)+IFERROR(SUMIFS('Base bordo'!G$2:G$746,'Base bordo'!C$2:C$746,A744,'Base bordo'!B$2:B$746,B744,'Base bordo'!F$2:F$746,"MANUTENCAO TELEMETRIA"),0)</f>
        <v>0</v>
      </c>
      <c r="M744" s="10">
        <f>IFERROR(SUMIFS('Base bordo'!G$2:G$746,'Base bordo'!C$2:C$746,A744,'Base bordo'!B$2:B$746,B744,'Base bordo'!F$2:F$746,"AGUARDANDO MANUTENCAO"),0)</f>
        <v>1.013611111111111</v>
      </c>
      <c r="N744" s="10">
        <f>IFERROR(SUMIFS('Base bordo'!G$2:G$746,'Base bordo'!C$2:C$746,A744,'Base bordo'!B$2:B$746,B744,'Base bordo'!F$2:F$746,"SEM APONTAMENTO"),0)</f>
        <v>0.85111111111111115</v>
      </c>
      <c r="O744" s="10">
        <f t="shared" si="78"/>
        <v>5.1991666666666667</v>
      </c>
      <c r="P744" s="10">
        <f>IFERROR(SUMIFS('Base bordo'!G$2:G$746,'Base bordo'!C$2:C$746,A744,'Base bordo'!B$2:B$746,B744),0)</f>
        <v>24</v>
      </c>
      <c r="Q744" s="10">
        <f>IFERROR(SUMIFS('Base bordo'!H$2:H$746,'Base bordo'!C$2:C$746,A744,'Base bordo'!B$2:B$746,B744,'Base bordo'!F$2:F$746,"DESLOCAMENTO VAZIO"),0)</f>
        <v>195041.98</v>
      </c>
      <c r="R744" s="10">
        <f>IFERROR(SUMIFS('Base bordo'!I$2:I$746,'Base bordo'!C$2:C$746,A744,'Base bordo'!B$2:B$746,B744,'Base bordo'!F$2:F$746,"DESLOCAMENTO VAZIO"),0)</f>
        <v>6263</v>
      </c>
      <c r="S744" s="30">
        <f t="shared" si="79"/>
        <v>31.141941561551974</v>
      </c>
      <c r="T744" s="10">
        <f>IFERROR(SUMIFS('Base bordo'!H$2:H$746,'Base bordo'!C$2:C$746,A744,'Base bordo'!B$2:B$746,B744,'Base bordo'!F$2:F$746,"DESLOCAMENTO CARREGADO"),0)</f>
        <v>332481.22999999992</v>
      </c>
      <c r="U744" s="10">
        <f>IFERROR(SUMIFS('Base bordo'!I$2:I$746,'Base bordo'!C$2:C$746,A744,'Base bordo'!B$2:B$746,B744,'Base bordo'!F$2:F$746,"DESLOCAMENTO CARREGADO"),0)</f>
        <v>12710</v>
      </c>
      <c r="V744" s="30">
        <f t="shared" si="80"/>
        <v>26.15902675059008</v>
      </c>
      <c r="W744" s="9">
        <f t="shared" si="81"/>
        <v>7.2488425925925928E-2</v>
      </c>
      <c r="X744" s="9">
        <f t="shared" si="82"/>
        <v>0.14710648148148148</v>
      </c>
      <c r="Y744" s="9">
        <f t="shared" si="83"/>
        <v>0.78040509259259261</v>
      </c>
    </row>
    <row r="745" spans="1:25" ht="15" customHeight="1" x14ac:dyDescent="0.35">
      <c r="A745" s="52">
        <v>8013470</v>
      </c>
      <c r="B745" s="51">
        <v>46118</v>
      </c>
      <c r="C745" s="7" t="s">
        <v>124</v>
      </c>
      <c r="D745" s="10">
        <f>IFERROR(SUMIFS('Base bordo'!G$2:G$746,'Base bordo'!C$2:C$746,A745,'Base bordo'!B$2:B$746,B745,'Base bordo'!F$2:F$746,"DESLOCAMENTO VAZIO"),0)</f>
        <v>1.7397222222222222</v>
      </c>
      <c r="E745" s="10">
        <f>IFERROR(SUMIFS('Base bordo'!G$2:G$746,'Base bordo'!C$2:C$746,A745,'Base bordo'!B$2:B$746,B745,'Base bordo'!F$2:F$746,"DESLOCAMENTO CARREGADO"),0)</f>
        <v>3.5305555555555554</v>
      </c>
      <c r="F745" s="10">
        <f>IFERROR(SUMIFS('Base bordo'!G$2:G$746,'Base bordo'!C$2:C$746,A745,'Base bordo'!B$2:B$746,B745,'Base bordo'!F$2:F$746,"DESLOCAMENTO"),0)</f>
        <v>0</v>
      </c>
      <c r="G745" s="10">
        <f>IFERROR(SUMIFS('Base bordo'!G$2:G$746,'Base bordo'!C$2:C$746,A745,'Base bordo'!B$2:B$746,B745,'Base bordo'!F$2:F$746,"CARREGAMENTO"),0)</f>
        <v>2.911111111111111</v>
      </c>
      <c r="H745" s="10">
        <f>IFERROR(SUMIFS('Base bordo'!G$2:G$746,'Base bordo'!C$2:C$746,A745,'Base bordo'!B$2:B$746,B745,'Base bordo'!F$2:F$746,"AGUARDANDO TRANSBORDO"),0)</f>
        <v>0.85194444444444439</v>
      </c>
      <c r="I745" s="10">
        <f>IFERROR(SUMIFS('Base bordo'!G$2:G$746,'Base bordo'!C$2:C$746,A745,'Base bordo'!B$2:B$746,B745,'Base bordo'!F$2:F$746,"PÁTIO INTERNO"),0)+IFERROR(SUMIFS('Base bordo'!G$2:G$746,'Base bordo'!C$2:C$746,A745,'Base bordo'!B$2:B$746,B745,'Base bordo'!F$2:F$746,"PÁTIO EXTERNO"),0)+IFERROR(SUMIFS('Base bordo'!G$2:G$746,'Base bordo'!C$2:C$746,A745,'Base bordo'!B$2:B$746,B745,'Base bordo'!F$2:F$746,"PATIO - RESERVA"),0)+IFERROR(SUMIFS('Base bordo'!G$2:G$746,'Base bordo'!C$2:C$746,A745,'Base bordo'!B$2:B$746,B745,'Base bordo'!F$2:F$746,"MANOBRA CARRETAS-PATIO"),0)</f>
        <v>7.8380555555555551</v>
      </c>
      <c r="J745" s="10">
        <f>IFERROR(SUMIFS('Base bordo'!G$2:G$746,'Base bordo'!C$2:C$746,A745,'Base bordo'!B$2:B$746,B745,'Base bordo'!F$2:F$746,"BALANÇA - ENTRADA"),0)+IFERROR(SUMIFS('Base bordo'!G$2:G$746,'Base bordo'!C$2:C$746,A745,'Base bordo'!B$2:B$746,B745,'Base bordo'!F$2:F$746,"BALANÇA - SAÍDA"),0)</f>
        <v>6.4722222222222223E-2</v>
      </c>
      <c r="K745" s="10">
        <f>IFERROR(SUMIFS('Base bordo'!G$2:G$746,'Base bordo'!C$2:C$746,A745,'Base bordo'!B$2:B$746,B745,'Base bordo'!F$2:F$746,"MAN PREVENTIVA - MECANICA"),0)+IFERROR(SUMIFS('Base bordo'!G$2:G$746,'Base bordo'!C$2:C$746,A745,'Base bordo'!B$2:B$746,B745,'Base bordo'!F$2:F$746,"MAN CORRETIVA - MECANICA"),0)</f>
        <v>0</v>
      </c>
      <c r="L745" s="10">
        <f>IFERROR(SUMIFS('Base bordo'!G$2:G$746,'Base bordo'!C$2:C$746,A745,'Base bordo'!B$2:B$746,B745,'Base bordo'!F$2:F$746,"MANUTENCAO - T O"),0)+IFERROR(SUMIFS('Base bordo'!G$2:G$746,'Base bordo'!C$2:C$746,A745,'Base bordo'!B$2:B$746,B745,'Base bordo'!F$2:F$746,"MANUTENCAO BORRACHARIA"),0)+IFERROR(SUMIFS('Base bordo'!G$2:G$746,'Base bordo'!C$2:C$746,A745,'Base bordo'!B$2:B$746,B745,'Base bordo'!F$2:F$746,"MANUTENCAO EXTERNA  CONCESSIONARIA"),0)+IFERROR(SUMIFS('Base bordo'!G$2:G$746,'Base bordo'!C$2:C$746,A745,'Base bordo'!B$2:B$746,B745,'Base bordo'!F$2:F$746,"MANUTENCAO TELEMETRIA"),0)</f>
        <v>0</v>
      </c>
      <c r="M745" s="10">
        <f>IFERROR(SUMIFS('Base bordo'!G$2:G$746,'Base bordo'!C$2:C$746,A745,'Base bordo'!B$2:B$746,B745,'Base bordo'!F$2:F$746,"AGUARDANDO MANUTENCAO"),0)</f>
        <v>1.013611111111111</v>
      </c>
      <c r="N745" s="10">
        <f>IFERROR(SUMIFS('Base bordo'!G$2:G$746,'Base bordo'!C$2:C$746,A745,'Base bordo'!B$2:B$746,B745,'Base bordo'!F$2:F$746,"SEM APONTAMENTO"),0)</f>
        <v>0.85111111111111115</v>
      </c>
      <c r="O745" s="10">
        <f t="shared" si="78"/>
        <v>5.1991666666666667</v>
      </c>
      <c r="P745" s="10">
        <f>IFERROR(SUMIFS('Base bordo'!G$2:G$746,'Base bordo'!C$2:C$746,A745,'Base bordo'!B$2:B$746,B745),0)</f>
        <v>24</v>
      </c>
      <c r="Q745" s="10">
        <f>IFERROR(SUMIFS('Base bordo'!H$2:H$746,'Base bordo'!C$2:C$746,A745,'Base bordo'!B$2:B$746,B745,'Base bordo'!F$2:F$746,"DESLOCAMENTO VAZIO"),0)</f>
        <v>195041.98</v>
      </c>
      <c r="R745" s="10">
        <f>IFERROR(SUMIFS('Base bordo'!I$2:I$746,'Base bordo'!C$2:C$746,A745,'Base bordo'!B$2:B$746,B745,'Base bordo'!F$2:F$746,"DESLOCAMENTO VAZIO"),0)</f>
        <v>6263</v>
      </c>
      <c r="S745" s="30">
        <f t="shared" si="79"/>
        <v>31.141941561551974</v>
      </c>
      <c r="T745" s="10">
        <f>IFERROR(SUMIFS('Base bordo'!H$2:H$746,'Base bordo'!C$2:C$746,A745,'Base bordo'!B$2:B$746,B745,'Base bordo'!F$2:F$746,"DESLOCAMENTO CARREGADO"),0)</f>
        <v>332481.22999999992</v>
      </c>
      <c r="U745" s="10">
        <f>IFERROR(SUMIFS('Base bordo'!I$2:I$746,'Base bordo'!C$2:C$746,A745,'Base bordo'!B$2:B$746,B745,'Base bordo'!F$2:F$746,"DESLOCAMENTO CARREGADO"),0)</f>
        <v>12710</v>
      </c>
      <c r="V745" s="30">
        <f t="shared" si="80"/>
        <v>26.15902675059008</v>
      </c>
      <c r="W745" s="9">
        <f t="shared" si="81"/>
        <v>7.2488425925925928E-2</v>
      </c>
      <c r="X745" s="9">
        <f t="shared" si="82"/>
        <v>0.14710648148148148</v>
      </c>
      <c r="Y745" s="9">
        <f t="shared" si="83"/>
        <v>0.78040509259259261</v>
      </c>
    </row>
    <row r="746" spans="1:25" ht="15" customHeight="1" x14ac:dyDescent="0.35">
      <c r="A746" s="52">
        <v>8013472</v>
      </c>
      <c r="B746" s="51">
        <v>46118</v>
      </c>
      <c r="C746" s="7" t="s">
        <v>124</v>
      </c>
      <c r="D746" s="10">
        <f>IFERROR(SUMIFS('Base bordo'!G$2:G$746,'Base bordo'!C$2:C$746,A746,'Base bordo'!B$2:B$746,B746,'Base bordo'!F$2:F$746,"DESLOCAMENTO VAZIO"),0)</f>
        <v>1.75</v>
      </c>
      <c r="E746" s="10">
        <f>IFERROR(SUMIFS('Base bordo'!G$2:G$746,'Base bordo'!C$2:C$746,A746,'Base bordo'!B$2:B$746,B746,'Base bordo'!F$2:F$746,"DESLOCAMENTO CARREGADO"),0)</f>
        <v>2.4983333333333335</v>
      </c>
      <c r="F746" s="10">
        <f>IFERROR(SUMIFS('Base bordo'!G$2:G$746,'Base bordo'!C$2:C$746,A746,'Base bordo'!B$2:B$746,B746,'Base bordo'!F$2:F$746,"DESLOCAMENTO"),0)</f>
        <v>1.1605555555555556</v>
      </c>
      <c r="G746" s="10">
        <f>IFERROR(SUMIFS('Base bordo'!G$2:G$746,'Base bordo'!C$2:C$746,A746,'Base bordo'!B$2:B$746,B746,'Base bordo'!F$2:F$746,"CARREGAMENTO"),0)</f>
        <v>0</v>
      </c>
      <c r="H746" s="10">
        <f>IFERROR(SUMIFS('Base bordo'!G$2:G$746,'Base bordo'!C$2:C$746,A746,'Base bordo'!B$2:B$746,B746,'Base bordo'!F$2:F$746,"AGUARDANDO TRANSBORDO"),0)</f>
        <v>0</v>
      </c>
      <c r="I746" s="10">
        <f>IFERROR(SUMIFS('Base bordo'!G$2:G$746,'Base bordo'!C$2:C$746,A746,'Base bordo'!B$2:B$746,B746,'Base bordo'!F$2:F$746,"PÁTIO INTERNO"),0)+IFERROR(SUMIFS('Base bordo'!G$2:G$746,'Base bordo'!C$2:C$746,A746,'Base bordo'!B$2:B$746,B746,'Base bordo'!F$2:F$746,"PÁTIO EXTERNO"),0)+IFERROR(SUMIFS('Base bordo'!G$2:G$746,'Base bordo'!C$2:C$746,A746,'Base bordo'!B$2:B$746,B746,'Base bordo'!F$2:F$746,"PATIO - RESERVA"),0)+IFERROR(SUMIFS('Base bordo'!G$2:G$746,'Base bordo'!C$2:C$746,A746,'Base bordo'!B$2:B$746,B746,'Base bordo'!F$2:F$746,"MANOBRA CARRETAS-PATIO"),0)</f>
        <v>6.2741666666666669</v>
      </c>
      <c r="J746" s="10">
        <f>IFERROR(SUMIFS('Base bordo'!G$2:G$746,'Base bordo'!C$2:C$746,A746,'Base bordo'!B$2:B$746,B746,'Base bordo'!F$2:F$746,"BALANÇA - ENTRADA"),0)+IFERROR(SUMIFS('Base bordo'!G$2:G$746,'Base bordo'!C$2:C$746,A746,'Base bordo'!B$2:B$746,B746,'Base bordo'!F$2:F$746,"BALANÇA - SAÍDA"),0)</f>
        <v>1.2222222222222223E-2</v>
      </c>
      <c r="K746" s="10">
        <f>IFERROR(SUMIFS('Base bordo'!G$2:G$746,'Base bordo'!C$2:C$746,A746,'Base bordo'!B$2:B$746,B746,'Base bordo'!F$2:F$746,"MAN PREVENTIVA - MECANICA"),0)+IFERROR(SUMIFS('Base bordo'!G$2:G$746,'Base bordo'!C$2:C$746,A746,'Base bordo'!B$2:B$746,B746,'Base bordo'!F$2:F$746,"MAN CORRETIVA - MECANICA"),0)</f>
        <v>0</v>
      </c>
      <c r="L746" s="10">
        <f>IFERROR(SUMIFS('Base bordo'!G$2:G$746,'Base bordo'!C$2:C$746,A746,'Base bordo'!B$2:B$746,B746,'Base bordo'!F$2:F$746,"MANUTENCAO - T O"),0)+IFERROR(SUMIFS('Base bordo'!G$2:G$746,'Base bordo'!C$2:C$746,A746,'Base bordo'!B$2:B$746,B746,'Base bordo'!F$2:F$746,"MANUTENCAO BORRACHARIA"),0)+IFERROR(SUMIFS('Base bordo'!G$2:G$746,'Base bordo'!C$2:C$746,A746,'Base bordo'!B$2:B$746,B746,'Base bordo'!F$2:F$746,"MANUTENCAO EXTERNA  CONCESSIONARIA"),0)+IFERROR(SUMIFS('Base bordo'!G$2:G$746,'Base bordo'!C$2:C$746,A746,'Base bordo'!B$2:B$746,B746,'Base bordo'!F$2:F$746,"MANUTENCAO TELEMETRIA"),0)</f>
        <v>2.3786111111111112</v>
      </c>
      <c r="M746" s="10">
        <f>IFERROR(SUMIFS('Base bordo'!G$2:G$746,'Base bordo'!C$2:C$746,A746,'Base bordo'!B$2:B$746,B746,'Base bordo'!F$2:F$746,"AGUARDANDO MANUTENCAO"),0)</f>
        <v>5.3633333333333333</v>
      </c>
      <c r="N746" s="10">
        <f>IFERROR(SUMIFS('Base bordo'!G$2:G$746,'Base bordo'!C$2:C$746,A746,'Base bordo'!B$2:B$746,B746,'Base bordo'!F$2:F$746,"SEM APONTAMENTO"),0)</f>
        <v>0</v>
      </c>
      <c r="O746" s="10">
        <f t="shared" si="78"/>
        <v>0</v>
      </c>
      <c r="P746" s="10">
        <f>IFERROR(SUMIFS('Base bordo'!G$2:G$746,'Base bordo'!C$2:C$746,A746,'Base bordo'!B$2:B$746,B746),0)</f>
        <v>19.437222222222221</v>
      </c>
      <c r="Q746" s="10">
        <f>IFERROR(SUMIFS('Base bordo'!H$2:H$746,'Base bordo'!C$2:C$746,A746,'Base bordo'!B$2:B$746,B746,'Base bordo'!F$2:F$746,"DESLOCAMENTO VAZIO"),0)</f>
        <v>117213.39</v>
      </c>
      <c r="R746" s="10">
        <f>IFERROR(SUMIFS('Base bordo'!I$2:I$746,'Base bordo'!C$2:C$746,A746,'Base bordo'!B$2:B$746,B746,'Base bordo'!F$2:F$746,"DESLOCAMENTO VAZIO"),0)</f>
        <v>6300</v>
      </c>
      <c r="S746" s="30">
        <f t="shared" si="79"/>
        <v>18.6053</v>
      </c>
      <c r="T746" s="10">
        <f>IFERROR(SUMIFS('Base bordo'!H$2:H$746,'Base bordo'!C$2:C$746,A746,'Base bordo'!B$2:B$746,B746,'Base bordo'!F$2:F$746,"DESLOCAMENTO CARREGADO"),0)</f>
        <v>206109.95</v>
      </c>
      <c r="U746" s="10">
        <f>IFERROR(SUMIFS('Base bordo'!I$2:I$746,'Base bordo'!C$2:C$746,A746,'Base bordo'!B$2:B$746,B746,'Base bordo'!F$2:F$746,"DESLOCAMENTO CARREGADO"),0)</f>
        <v>8677</v>
      </c>
      <c r="V746" s="30">
        <f t="shared" si="80"/>
        <v>23.753595712803964</v>
      </c>
      <c r="W746" s="9">
        <f t="shared" si="81"/>
        <v>9.0033440992368596E-2</v>
      </c>
      <c r="X746" s="9">
        <f t="shared" si="82"/>
        <v>0.128533455283391</v>
      </c>
      <c r="Y746" s="9">
        <f t="shared" si="83"/>
        <v>0.78143310372424046</v>
      </c>
    </row>
    <row r="747" spans="1:25" ht="15" customHeight="1" x14ac:dyDescent="0.35">
      <c r="A747" s="52">
        <v>8013472</v>
      </c>
      <c r="B747" s="51">
        <v>46118</v>
      </c>
      <c r="C747" s="7" t="s">
        <v>124</v>
      </c>
      <c r="D747" s="10">
        <f>IFERROR(SUMIFS('Base bordo'!G$2:G$746,'Base bordo'!C$2:C$746,A747,'Base bordo'!B$2:B$746,B747,'Base bordo'!F$2:F$746,"DESLOCAMENTO VAZIO"),0)</f>
        <v>1.75</v>
      </c>
      <c r="E747" s="10">
        <f>IFERROR(SUMIFS('Base bordo'!G$2:G$746,'Base bordo'!C$2:C$746,A747,'Base bordo'!B$2:B$746,B747,'Base bordo'!F$2:F$746,"DESLOCAMENTO CARREGADO"),0)</f>
        <v>2.4983333333333335</v>
      </c>
      <c r="F747" s="10">
        <f>IFERROR(SUMIFS('Base bordo'!G$2:G$746,'Base bordo'!C$2:C$746,A747,'Base bordo'!B$2:B$746,B747,'Base bordo'!F$2:F$746,"DESLOCAMENTO"),0)</f>
        <v>1.1605555555555556</v>
      </c>
      <c r="G747" s="10">
        <f>IFERROR(SUMIFS('Base bordo'!G$2:G$746,'Base bordo'!C$2:C$746,A747,'Base bordo'!B$2:B$746,B747,'Base bordo'!F$2:F$746,"CARREGAMENTO"),0)</f>
        <v>0</v>
      </c>
      <c r="H747" s="10">
        <f>IFERROR(SUMIFS('Base bordo'!G$2:G$746,'Base bordo'!C$2:C$746,A747,'Base bordo'!B$2:B$746,B747,'Base bordo'!F$2:F$746,"AGUARDANDO TRANSBORDO"),0)</f>
        <v>0</v>
      </c>
      <c r="I747" s="10">
        <f>IFERROR(SUMIFS('Base bordo'!G$2:G$746,'Base bordo'!C$2:C$746,A747,'Base bordo'!B$2:B$746,B747,'Base bordo'!F$2:F$746,"PÁTIO INTERNO"),0)+IFERROR(SUMIFS('Base bordo'!G$2:G$746,'Base bordo'!C$2:C$746,A747,'Base bordo'!B$2:B$746,B747,'Base bordo'!F$2:F$746,"PÁTIO EXTERNO"),0)+IFERROR(SUMIFS('Base bordo'!G$2:G$746,'Base bordo'!C$2:C$746,A747,'Base bordo'!B$2:B$746,B747,'Base bordo'!F$2:F$746,"PATIO - RESERVA"),0)+IFERROR(SUMIFS('Base bordo'!G$2:G$746,'Base bordo'!C$2:C$746,A747,'Base bordo'!B$2:B$746,B747,'Base bordo'!F$2:F$746,"MANOBRA CARRETAS-PATIO"),0)</f>
        <v>6.2741666666666669</v>
      </c>
      <c r="J747" s="10">
        <f>IFERROR(SUMIFS('Base bordo'!G$2:G$746,'Base bordo'!C$2:C$746,A747,'Base bordo'!B$2:B$746,B747,'Base bordo'!F$2:F$746,"BALANÇA - ENTRADA"),0)+IFERROR(SUMIFS('Base bordo'!G$2:G$746,'Base bordo'!C$2:C$746,A747,'Base bordo'!B$2:B$746,B747,'Base bordo'!F$2:F$746,"BALANÇA - SAÍDA"),0)</f>
        <v>1.2222222222222223E-2</v>
      </c>
      <c r="K747" s="10">
        <f>IFERROR(SUMIFS('Base bordo'!G$2:G$746,'Base bordo'!C$2:C$746,A747,'Base bordo'!B$2:B$746,B747,'Base bordo'!F$2:F$746,"MAN PREVENTIVA - MECANICA"),0)+IFERROR(SUMIFS('Base bordo'!G$2:G$746,'Base bordo'!C$2:C$746,A747,'Base bordo'!B$2:B$746,B747,'Base bordo'!F$2:F$746,"MAN CORRETIVA - MECANICA"),0)</f>
        <v>0</v>
      </c>
      <c r="L747" s="10">
        <f>IFERROR(SUMIFS('Base bordo'!G$2:G$746,'Base bordo'!C$2:C$746,A747,'Base bordo'!B$2:B$746,B747,'Base bordo'!F$2:F$746,"MANUTENCAO - T O"),0)+IFERROR(SUMIFS('Base bordo'!G$2:G$746,'Base bordo'!C$2:C$746,A747,'Base bordo'!B$2:B$746,B747,'Base bordo'!F$2:F$746,"MANUTENCAO BORRACHARIA"),0)+IFERROR(SUMIFS('Base bordo'!G$2:G$746,'Base bordo'!C$2:C$746,A747,'Base bordo'!B$2:B$746,B747,'Base bordo'!F$2:F$746,"MANUTENCAO EXTERNA  CONCESSIONARIA"),0)+IFERROR(SUMIFS('Base bordo'!G$2:G$746,'Base bordo'!C$2:C$746,A747,'Base bordo'!B$2:B$746,B747,'Base bordo'!F$2:F$746,"MANUTENCAO TELEMETRIA"),0)</f>
        <v>2.3786111111111112</v>
      </c>
      <c r="M747" s="10">
        <f>IFERROR(SUMIFS('Base bordo'!G$2:G$746,'Base bordo'!C$2:C$746,A747,'Base bordo'!B$2:B$746,B747,'Base bordo'!F$2:F$746,"AGUARDANDO MANUTENCAO"),0)</f>
        <v>5.3633333333333333</v>
      </c>
      <c r="N747" s="10">
        <f>IFERROR(SUMIFS('Base bordo'!G$2:G$746,'Base bordo'!C$2:C$746,A747,'Base bordo'!B$2:B$746,B747,'Base bordo'!F$2:F$746,"SEM APONTAMENTO"),0)</f>
        <v>0</v>
      </c>
      <c r="O747" s="10">
        <f t="shared" si="78"/>
        <v>0</v>
      </c>
      <c r="P747" s="10">
        <f>IFERROR(SUMIFS('Base bordo'!G$2:G$746,'Base bordo'!C$2:C$746,A747,'Base bordo'!B$2:B$746,B747),0)</f>
        <v>19.437222222222221</v>
      </c>
      <c r="Q747" s="10">
        <f>IFERROR(SUMIFS('Base bordo'!H$2:H$746,'Base bordo'!C$2:C$746,A747,'Base bordo'!B$2:B$746,B747,'Base bordo'!F$2:F$746,"DESLOCAMENTO VAZIO"),0)</f>
        <v>117213.39</v>
      </c>
      <c r="R747" s="10">
        <f>IFERROR(SUMIFS('Base bordo'!I$2:I$746,'Base bordo'!C$2:C$746,A747,'Base bordo'!B$2:B$746,B747,'Base bordo'!F$2:F$746,"DESLOCAMENTO VAZIO"),0)</f>
        <v>6300</v>
      </c>
      <c r="S747" s="30">
        <f t="shared" si="79"/>
        <v>18.6053</v>
      </c>
      <c r="T747" s="10">
        <f>IFERROR(SUMIFS('Base bordo'!H$2:H$746,'Base bordo'!C$2:C$746,A747,'Base bordo'!B$2:B$746,B747,'Base bordo'!F$2:F$746,"DESLOCAMENTO CARREGADO"),0)</f>
        <v>206109.95</v>
      </c>
      <c r="U747" s="10">
        <f>IFERROR(SUMIFS('Base bordo'!I$2:I$746,'Base bordo'!C$2:C$746,A747,'Base bordo'!B$2:B$746,B747,'Base bordo'!F$2:F$746,"DESLOCAMENTO CARREGADO"),0)</f>
        <v>8677</v>
      </c>
      <c r="V747" s="30">
        <f t="shared" si="80"/>
        <v>23.753595712803964</v>
      </c>
      <c r="W747" s="9">
        <f t="shared" si="81"/>
        <v>9.0033440992368596E-2</v>
      </c>
      <c r="X747" s="9">
        <f t="shared" si="82"/>
        <v>0.128533455283391</v>
      </c>
      <c r="Y747" s="9">
        <f t="shared" si="83"/>
        <v>0.78143310372424046</v>
      </c>
    </row>
    <row r="748" spans="1:25" ht="15" customHeight="1" x14ac:dyDescent="0.35">
      <c r="A748" s="52">
        <v>8013472</v>
      </c>
      <c r="B748" s="51">
        <v>46118</v>
      </c>
      <c r="C748" s="7" t="s">
        <v>124</v>
      </c>
      <c r="D748" s="10">
        <f>IFERROR(SUMIFS('Base bordo'!G$2:G$746,'Base bordo'!C$2:C$746,A748,'Base bordo'!B$2:B$746,B748,'Base bordo'!F$2:F$746,"DESLOCAMENTO VAZIO"),0)</f>
        <v>1.75</v>
      </c>
      <c r="E748" s="10">
        <f>IFERROR(SUMIFS('Base bordo'!G$2:G$746,'Base bordo'!C$2:C$746,A748,'Base bordo'!B$2:B$746,B748,'Base bordo'!F$2:F$746,"DESLOCAMENTO CARREGADO"),0)</f>
        <v>2.4983333333333335</v>
      </c>
      <c r="F748" s="10">
        <f>IFERROR(SUMIFS('Base bordo'!G$2:G$746,'Base bordo'!C$2:C$746,A748,'Base bordo'!B$2:B$746,B748,'Base bordo'!F$2:F$746,"DESLOCAMENTO"),0)</f>
        <v>1.1605555555555556</v>
      </c>
      <c r="G748" s="10">
        <f>IFERROR(SUMIFS('Base bordo'!G$2:G$746,'Base bordo'!C$2:C$746,A748,'Base bordo'!B$2:B$746,B748,'Base bordo'!F$2:F$746,"CARREGAMENTO"),0)</f>
        <v>0</v>
      </c>
      <c r="H748" s="10">
        <f>IFERROR(SUMIFS('Base bordo'!G$2:G$746,'Base bordo'!C$2:C$746,A748,'Base bordo'!B$2:B$746,B748,'Base bordo'!F$2:F$746,"AGUARDANDO TRANSBORDO"),0)</f>
        <v>0</v>
      </c>
      <c r="I748" s="10">
        <f>IFERROR(SUMIFS('Base bordo'!G$2:G$746,'Base bordo'!C$2:C$746,A748,'Base bordo'!B$2:B$746,B748,'Base bordo'!F$2:F$746,"PÁTIO INTERNO"),0)+IFERROR(SUMIFS('Base bordo'!G$2:G$746,'Base bordo'!C$2:C$746,A748,'Base bordo'!B$2:B$746,B748,'Base bordo'!F$2:F$746,"PÁTIO EXTERNO"),0)+IFERROR(SUMIFS('Base bordo'!G$2:G$746,'Base bordo'!C$2:C$746,A748,'Base bordo'!B$2:B$746,B748,'Base bordo'!F$2:F$746,"PATIO - RESERVA"),0)+IFERROR(SUMIFS('Base bordo'!G$2:G$746,'Base bordo'!C$2:C$746,A748,'Base bordo'!B$2:B$746,B748,'Base bordo'!F$2:F$746,"MANOBRA CARRETAS-PATIO"),0)</f>
        <v>6.2741666666666669</v>
      </c>
      <c r="J748" s="10">
        <f>IFERROR(SUMIFS('Base bordo'!G$2:G$746,'Base bordo'!C$2:C$746,A748,'Base bordo'!B$2:B$746,B748,'Base bordo'!F$2:F$746,"BALANÇA - ENTRADA"),0)+IFERROR(SUMIFS('Base bordo'!G$2:G$746,'Base bordo'!C$2:C$746,A748,'Base bordo'!B$2:B$746,B748,'Base bordo'!F$2:F$746,"BALANÇA - SAÍDA"),0)</f>
        <v>1.2222222222222223E-2</v>
      </c>
      <c r="K748" s="10">
        <f>IFERROR(SUMIFS('Base bordo'!G$2:G$746,'Base bordo'!C$2:C$746,A748,'Base bordo'!B$2:B$746,B748,'Base bordo'!F$2:F$746,"MAN PREVENTIVA - MECANICA"),0)+IFERROR(SUMIFS('Base bordo'!G$2:G$746,'Base bordo'!C$2:C$746,A748,'Base bordo'!B$2:B$746,B748,'Base bordo'!F$2:F$746,"MAN CORRETIVA - MECANICA"),0)</f>
        <v>0</v>
      </c>
      <c r="L748" s="10">
        <f>IFERROR(SUMIFS('Base bordo'!G$2:G$746,'Base bordo'!C$2:C$746,A748,'Base bordo'!B$2:B$746,B748,'Base bordo'!F$2:F$746,"MANUTENCAO - T O"),0)+IFERROR(SUMIFS('Base bordo'!G$2:G$746,'Base bordo'!C$2:C$746,A748,'Base bordo'!B$2:B$746,B748,'Base bordo'!F$2:F$746,"MANUTENCAO BORRACHARIA"),0)+IFERROR(SUMIFS('Base bordo'!G$2:G$746,'Base bordo'!C$2:C$746,A748,'Base bordo'!B$2:B$746,B748,'Base bordo'!F$2:F$746,"MANUTENCAO EXTERNA  CONCESSIONARIA"),0)+IFERROR(SUMIFS('Base bordo'!G$2:G$746,'Base bordo'!C$2:C$746,A748,'Base bordo'!B$2:B$746,B748,'Base bordo'!F$2:F$746,"MANUTENCAO TELEMETRIA"),0)</f>
        <v>2.3786111111111112</v>
      </c>
      <c r="M748" s="10">
        <f>IFERROR(SUMIFS('Base bordo'!G$2:G$746,'Base bordo'!C$2:C$746,A748,'Base bordo'!B$2:B$746,B748,'Base bordo'!F$2:F$746,"AGUARDANDO MANUTENCAO"),0)</f>
        <v>5.3633333333333333</v>
      </c>
      <c r="N748" s="10">
        <f>IFERROR(SUMIFS('Base bordo'!G$2:G$746,'Base bordo'!C$2:C$746,A748,'Base bordo'!B$2:B$746,B748,'Base bordo'!F$2:F$746,"SEM APONTAMENTO"),0)</f>
        <v>0</v>
      </c>
      <c r="O748" s="10">
        <f t="shared" si="78"/>
        <v>0</v>
      </c>
      <c r="P748" s="10">
        <f>IFERROR(SUMIFS('Base bordo'!G$2:G$746,'Base bordo'!C$2:C$746,A748,'Base bordo'!B$2:B$746,B748),0)</f>
        <v>19.437222222222221</v>
      </c>
      <c r="Q748" s="10">
        <f>IFERROR(SUMIFS('Base bordo'!H$2:H$746,'Base bordo'!C$2:C$746,A748,'Base bordo'!B$2:B$746,B748,'Base bordo'!F$2:F$746,"DESLOCAMENTO VAZIO"),0)</f>
        <v>117213.39</v>
      </c>
      <c r="R748" s="10">
        <f>IFERROR(SUMIFS('Base bordo'!I$2:I$746,'Base bordo'!C$2:C$746,A748,'Base bordo'!B$2:B$746,B748,'Base bordo'!F$2:F$746,"DESLOCAMENTO VAZIO"),0)</f>
        <v>6300</v>
      </c>
      <c r="S748" s="30">
        <f t="shared" si="79"/>
        <v>18.6053</v>
      </c>
      <c r="T748" s="10">
        <f>IFERROR(SUMIFS('Base bordo'!H$2:H$746,'Base bordo'!C$2:C$746,A748,'Base bordo'!B$2:B$746,B748,'Base bordo'!F$2:F$746,"DESLOCAMENTO CARREGADO"),0)</f>
        <v>206109.95</v>
      </c>
      <c r="U748" s="10">
        <f>IFERROR(SUMIFS('Base bordo'!I$2:I$746,'Base bordo'!C$2:C$746,A748,'Base bordo'!B$2:B$746,B748,'Base bordo'!F$2:F$746,"DESLOCAMENTO CARREGADO"),0)</f>
        <v>8677</v>
      </c>
      <c r="V748" s="30">
        <f t="shared" si="80"/>
        <v>23.753595712803964</v>
      </c>
      <c r="W748" s="9">
        <f t="shared" si="81"/>
        <v>9.0033440992368596E-2</v>
      </c>
      <c r="X748" s="9">
        <f t="shared" si="82"/>
        <v>0.128533455283391</v>
      </c>
      <c r="Y748" s="9">
        <f t="shared" si="83"/>
        <v>0.78143310372424046</v>
      </c>
    </row>
    <row r="749" spans="1:25" ht="15" customHeight="1" x14ac:dyDescent="0.35">
      <c r="A749" s="52">
        <v>8013472</v>
      </c>
      <c r="B749" s="51">
        <v>46118</v>
      </c>
      <c r="C749" s="7" t="s">
        <v>124</v>
      </c>
      <c r="D749" s="10">
        <f>IFERROR(SUMIFS('Base bordo'!G$2:G$746,'Base bordo'!C$2:C$746,A749,'Base bordo'!B$2:B$746,B749,'Base bordo'!F$2:F$746,"DESLOCAMENTO VAZIO"),0)</f>
        <v>1.75</v>
      </c>
      <c r="E749" s="10">
        <f>IFERROR(SUMIFS('Base bordo'!G$2:G$746,'Base bordo'!C$2:C$746,A749,'Base bordo'!B$2:B$746,B749,'Base bordo'!F$2:F$746,"DESLOCAMENTO CARREGADO"),0)</f>
        <v>2.4983333333333335</v>
      </c>
      <c r="F749" s="10">
        <f>IFERROR(SUMIFS('Base bordo'!G$2:G$746,'Base bordo'!C$2:C$746,A749,'Base bordo'!B$2:B$746,B749,'Base bordo'!F$2:F$746,"DESLOCAMENTO"),0)</f>
        <v>1.1605555555555556</v>
      </c>
      <c r="G749" s="10">
        <f>IFERROR(SUMIFS('Base bordo'!G$2:G$746,'Base bordo'!C$2:C$746,A749,'Base bordo'!B$2:B$746,B749,'Base bordo'!F$2:F$746,"CARREGAMENTO"),0)</f>
        <v>0</v>
      </c>
      <c r="H749" s="10">
        <f>IFERROR(SUMIFS('Base bordo'!G$2:G$746,'Base bordo'!C$2:C$746,A749,'Base bordo'!B$2:B$746,B749,'Base bordo'!F$2:F$746,"AGUARDANDO TRANSBORDO"),0)</f>
        <v>0</v>
      </c>
      <c r="I749" s="10">
        <f>IFERROR(SUMIFS('Base bordo'!G$2:G$746,'Base bordo'!C$2:C$746,A749,'Base bordo'!B$2:B$746,B749,'Base bordo'!F$2:F$746,"PÁTIO INTERNO"),0)+IFERROR(SUMIFS('Base bordo'!G$2:G$746,'Base bordo'!C$2:C$746,A749,'Base bordo'!B$2:B$746,B749,'Base bordo'!F$2:F$746,"PÁTIO EXTERNO"),0)+IFERROR(SUMIFS('Base bordo'!G$2:G$746,'Base bordo'!C$2:C$746,A749,'Base bordo'!B$2:B$746,B749,'Base bordo'!F$2:F$746,"PATIO - RESERVA"),0)+IFERROR(SUMIFS('Base bordo'!G$2:G$746,'Base bordo'!C$2:C$746,A749,'Base bordo'!B$2:B$746,B749,'Base bordo'!F$2:F$746,"MANOBRA CARRETAS-PATIO"),0)</f>
        <v>6.2741666666666669</v>
      </c>
      <c r="J749" s="10">
        <f>IFERROR(SUMIFS('Base bordo'!G$2:G$746,'Base bordo'!C$2:C$746,A749,'Base bordo'!B$2:B$746,B749,'Base bordo'!F$2:F$746,"BALANÇA - ENTRADA"),0)+IFERROR(SUMIFS('Base bordo'!G$2:G$746,'Base bordo'!C$2:C$746,A749,'Base bordo'!B$2:B$746,B749,'Base bordo'!F$2:F$746,"BALANÇA - SAÍDA"),0)</f>
        <v>1.2222222222222223E-2</v>
      </c>
      <c r="K749" s="10">
        <f>IFERROR(SUMIFS('Base bordo'!G$2:G$746,'Base bordo'!C$2:C$746,A749,'Base bordo'!B$2:B$746,B749,'Base bordo'!F$2:F$746,"MAN PREVENTIVA - MECANICA"),0)+IFERROR(SUMIFS('Base bordo'!G$2:G$746,'Base bordo'!C$2:C$746,A749,'Base bordo'!B$2:B$746,B749,'Base bordo'!F$2:F$746,"MAN CORRETIVA - MECANICA"),0)</f>
        <v>0</v>
      </c>
      <c r="L749" s="10">
        <f>IFERROR(SUMIFS('Base bordo'!G$2:G$746,'Base bordo'!C$2:C$746,A749,'Base bordo'!B$2:B$746,B749,'Base bordo'!F$2:F$746,"MANUTENCAO - T O"),0)+IFERROR(SUMIFS('Base bordo'!G$2:G$746,'Base bordo'!C$2:C$746,A749,'Base bordo'!B$2:B$746,B749,'Base bordo'!F$2:F$746,"MANUTENCAO BORRACHARIA"),0)+IFERROR(SUMIFS('Base bordo'!G$2:G$746,'Base bordo'!C$2:C$746,A749,'Base bordo'!B$2:B$746,B749,'Base bordo'!F$2:F$746,"MANUTENCAO EXTERNA  CONCESSIONARIA"),0)+IFERROR(SUMIFS('Base bordo'!G$2:G$746,'Base bordo'!C$2:C$746,A749,'Base bordo'!B$2:B$746,B749,'Base bordo'!F$2:F$746,"MANUTENCAO TELEMETRIA"),0)</f>
        <v>2.3786111111111112</v>
      </c>
      <c r="M749" s="10">
        <f>IFERROR(SUMIFS('Base bordo'!G$2:G$746,'Base bordo'!C$2:C$746,A749,'Base bordo'!B$2:B$746,B749,'Base bordo'!F$2:F$746,"AGUARDANDO MANUTENCAO"),0)</f>
        <v>5.3633333333333333</v>
      </c>
      <c r="N749" s="10">
        <f>IFERROR(SUMIFS('Base bordo'!G$2:G$746,'Base bordo'!C$2:C$746,A749,'Base bordo'!B$2:B$746,B749,'Base bordo'!F$2:F$746,"SEM APONTAMENTO"),0)</f>
        <v>0</v>
      </c>
      <c r="O749" s="10">
        <f t="shared" si="78"/>
        <v>0</v>
      </c>
      <c r="P749" s="10">
        <f>IFERROR(SUMIFS('Base bordo'!G$2:G$746,'Base bordo'!C$2:C$746,A749,'Base bordo'!B$2:B$746,B749),0)</f>
        <v>19.437222222222221</v>
      </c>
      <c r="Q749" s="10">
        <f>IFERROR(SUMIFS('Base bordo'!H$2:H$746,'Base bordo'!C$2:C$746,A749,'Base bordo'!B$2:B$746,B749,'Base bordo'!F$2:F$746,"DESLOCAMENTO VAZIO"),0)</f>
        <v>117213.39</v>
      </c>
      <c r="R749" s="10">
        <f>IFERROR(SUMIFS('Base bordo'!I$2:I$746,'Base bordo'!C$2:C$746,A749,'Base bordo'!B$2:B$746,B749,'Base bordo'!F$2:F$746,"DESLOCAMENTO VAZIO"),0)</f>
        <v>6300</v>
      </c>
      <c r="S749" s="30">
        <f t="shared" si="79"/>
        <v>18.6053</v>
      </c>
      <c r="T749" s="10">
        <f>IFERROR(SUMIFS('Base bordo'!H$2:H$746,'Base bordo'!C$2:C$746,A749,'Base bordo'!B$2:B$746,B749,'Base bordo'!F$2:F$746,"DESLOCAMENTO CARREGADO"),0)</f>
        <v>206109.95</v>
      </c>
      <c r="U749" s="10">
        <f>IFERROR(SUMIFS('Base bordo'!I$2:I$746,'Base bordo'!C$2:C$746,A749,'Base bordo'!B$2:B$746,B749,'Base bordo'!F$2:F$746,"DESLOCAMENTO CARREGADO"),0)</f>
        <v>8677</v>
      </c>
      <c r="V749" s="30">
        <f t="shared" si="80"/>
        <v>23.753595712803964</v>
      </c>
      <c r="W749" s="9">
        <f t="shared" si="81"/>
        <v>9.0033440992368596E-2</v>
      </c>
      <c r="X749" s="9">
        <f t="shared" si="82"/>
        <v>0.128533455283391</v>
      </c>
      <c r="Y749" s="9">
        <f t="shared" si="83"/>
        <v>0.78143310372424046</v>
      </c>
    </row>
    <row r="750" spans="1:25" ht="15" customHeight="1" x14ac:dyDescent="0.35">
      <c r="A750" s="52">
        <v>8013472</v>
      </c>
      <c r="B750" s="51">
        <v>46118</v>
      </c>
      <c r="C750" s="7" t="s">
        <v>124</v>
      </c>
      <c r="D750" s="10">
        <f>IFERROR(SUMIFS('Base bordo'!G$2:G$746,'Base bordo'!C$2:C$746,A750,'Base bordo'!B$2:B$746,B750,'Base bordo'!F$2:F$746,"DESLOCAMENTO VAZIO"),0)</f>
        <v>1.75</v>
      </c>
      <c r="E750" s="10">
        <f>IFERROR(SUMIFS('Base bordo'!G$2:G$746,'Base bordo'!C$2:C$746,A750,'Base bordo'!B$2:B$746,B750,'Base bordo'!F$2:F$746,"DESLOCAMENTO CARREGADO"),0)</f>
        <v>2.4983333333333335</v>
      </c>
      <c r="F750" s="10">
        <f>IFERROR(SUMIFS('Base bordo'!G$2:G$746,'Base bordo'!C$2:C$746,A750,'Base bordo'!B$2:B$746,B750,'Base bordo'!F$2:F$746,"DESLOCAMENTO"),0)</f>
        <v>1.1605555555555556</v>
      </c>
      <c r="G750" s="10">
        <f>IFERROR(SUMIFS('Base bordo'!G$2:G$746,'Base bordo'!C$2:C$746,A750,'Base bordo'!B$2:B$746,B750,'Base bordo'!F$2:F$746,"CARREGAMENTO"),0)</f>
        <v>0</v>
      </c>
      <c r="H750" s="10">
        <f>IFERROR(SUMIFS('Base bordo'!G$2:G$746,'Base bordo'!C$2:C$746,A750,'Base bordo'!B$2:B$746,B750,'Base bordo'!F$2:F$746,"AGUARDANDO TRANSBORDO"),0)</f>
        <v>0</v>
      </c>
      <c r="I750" s="10">
        <f>IFERROR(SUMIFS('Base bordo'!G$2:G$746,'Base bordo'!C$2:C$746,A750,'Base bordo'!B$2:B$746,B750,'Base bordo'!F$2:F$746,"PÁTIO INTERNO"),0)+IFERROR(SUMIFS('Base bordo'!G$2:G$746,'Base bordo'!C$2:C$746,A750,'Base bordo'!B$2:B$746,B750,'Base bordo'!F$2:F$746,"PÁTIO EXTERNO"),0)+IFERROR(SUMIFS('Base bordo'!G$2:G$746,'Base bordo'!C$2:C$746,A750,'Base bordo'!B$2:B$746,B750,'Base bordo'!F$2:F$746,"PATIO - RESERVA"),0)+IFERROR(SUMIFS('Base bordo'!G$2:G$746,'Base bordo'!C$2:C$746,A750,'Base bordo'!B$2:B$746,B750,'Base bordo'!F$2:F$746,"MANOBRA CARRETAS-PATIO"),0)</f>
        <v>6.2741666666666669</v>
      </c>
      <c r="J750" s="10">
        <f>IFERROR(SUMIFS('Base bordo'!G$2:G$746,'Base bordo'!C$2:C$746,A750,'Base bordo'!B$2:B$746,B750,'Base bordo'!F$2:F$746,"BALANÇA - ENTRADA"),0)+IFERROR(SUMIFS('Base bordo'!G$2:G$746,'Base bordo'!C$2:C$746,A750,'Base bordo'!B$2:B$746,B750,'Base bordo'!F$2:F$746,"BALANÇA - SAÍDA"),0)</f>
        <v>1.2222222222222223E-2</v>
      </c>
      <c r="K750" s="10">
        <f>IFERROR(SUMIFS('Base bordo'!G$2:G$746,'Base bordo'!C$2:C$746,A750,'Base bordo'!B$2:B$746,B750,'Base bordo'!F$2:F$746,"MAN PREVENTIVA - MECANICA"),0)+IFERROR(SUMIFS('Base bordo'!G$2:G$746,'Base bordo'!C$2:C$746,A750,'Base bordo'!B$2:B$746,B750,'Base bordo'!F$2:F$746,"MAN CORRETIVA - MECANICA"),0)</f>
        <v>0</v>
      </c>
      <c r="L750" s="10">
        <f>IFERROR(SUMIFS('Base bordo'!G$2:G$746,'Base bordo'!C$2:C$746,A750,'Base bordo'!B$2:B$746,B750,'Base bordo'!F$2:F$746,"MANUTENCAO - T O"),0)+IFERROR(SUMIFS('Base bordo'!G$2:G$746,'Base bordo'!C$2:C$746,A750,'Base bordo'!B$2:B$746,B750,'Base bordo'!F$2:F$746,"MANUTENCAO BORRACHARIA"),0)+IFERROR(SUMIFS('Base bordo'!G$2:G$746,'Base bordo'!C$2:C$746,A750,'Base bordo'!B$2:B$746,B750,'Base bordo'!F$2:F$746,"MANUTENCAO EXTERNA  CONCESSIONARIA"),0)+IFERROR(SUMIFS('Base bordo'!G$2:G$746,'Base bordo'!C$2:C$746,A750,'Base bordo'!B$2:B$746,B750,'Base bordo'!F$2:F$746,"MANUTENCAO TELEMETRIA"),0)</f>
        <v>2.3786111111111112</v>
      </c>
      <c r="M750" s="10">
        <f>IFERROR(SUMIFS('Base bordo'!G$2:G$746,'Base bordo'!C$2:C$746,A750,'Base bordo'!B$2:B$746,B750,'Base bordo'!F$2:F$746,"AGUARDANDO MANUTENCAO"),0)</f>
        <v>5.3633333333333333</v>
      </c>
      <c r="N750" s="10">
        <f>IFERROR(SUMIFS('Base bordo'!G$2:G$746,'Base bordo'!C$2:C$746,A750,'Base bordo'!B$2:B$746,B750,'Base bordo'!F$2:F$746,"SEM APONTAMENTO"),0)</f>
        <v>0</v>
      </c>
      <c r="O750" s="10">
        <f t="shared" si="78"/>
        <v>0</v>
      </c>
      <c r="P750" s="10">
        <f>IFERROR(SUMIFS('Base bordo'!G$2:G$746,'Base bordo'!C$2:C$746,A750,'Base bordo'!B$2:B$746,B750),0)</f>
        <v>19.437222222222221</v>
      </c>
      <c r="Q750" s="10">
        <f>IFERROR(SUMIFS('Base bordo'!H$2:H$746,'Base bordo'!C$2:C$746,A750,'Base bordo'!B$2:B$746,B750,'Base bordo'!F$2:F$746,"DESLOCAMENTO VAZIO"),0)</f>
        <v>117213.39</v>
      </c>
      <c r="R750" s="10">
        <f>IFERROR(SUMIFS('Base bordo'!I$2:I$746,'Base bordo'!C$2:C$746,A750,'Base bordo'!B$2:B$746,B750,'Base bordo'!F$2:F$746,"DESLOCAMENTO VAZIO"),0)</f>
        <v>6300</v>
      </c>
      <c r="S750" s="30">
        <f t="shared" si="79"/>
        <v>18.6053</v>
      </c>
      <c r="T750" s="10">
        <f>IFERROR(SUMIFS('Base bordo'!H$2:H$746,'Base bordo'!C$2:C$746,A750,'Base bordo'!B$2:B$746,B750,'Base bordo'!F$2:F$746,"DESLOCAMENTO CARREGADO"),0)</f>
        <v>206109.95</v>
      </c>
      <c r="U750" s="10">
        <f>IFERROR(SUMIFS('Base bordo'!I$2:I$746,'Base bordo'!C$2:C$746,A750,'Base bordo'!B$2:B$746,B750,'Base bordo'!F$2:F$746,"DESLOCAMENTO CARREGADO"),0)</f>
        <v>8677</v>
      </c>
      <c r="V750" s="30">
        <f t="shared" si="80"/>
        <v>23.753595712803964</v>
      </c>
      <c r="W750" s="9">
        <f t="shared" si="81"/>
        <v>9.0033440992368596E-2</v>
      </c>
      <c r="X750" s="9">
        <f t="shared" si="82"/>
        <v>0.128533455283391</v>
      </c>
      <c r="Y750" s="9">
        <f t="shared" si="83"/>
        <v>0.78143310372424046</v>
      </c>
    </row>
    <row r="751" spans="1:25" ht="15" customHeight="1" x14ac:dyDescent="0.35">
      <c r="A751" s="52">
        <v>8013472</v>
      </c>
      <c r="B751" s="51">
        <v>46118</v>
      </c>
      <c r="C751" s="7" t="s">
        <v>124</v>
      </c>
      <c r="D751" s="10">
        <f>IFERROR(SUMIFS('Base bordo'!G$2:G$746,'Base bordo'!C$2:C$746,A751,'Base bordo'!B$2:B$746,B751,'Base bordo'!F$2:F$746,"DESLOCAMENTO VAZIO"),0)</f>
        <v>1.75</v>
      </c>
      <c r="E751" s="10">
        <f>IFERROR(SUMIFS('Base bordo'!G$2:G$746,'Base bordo'!C$2:C$746,A751,'Base bordo'!B$2:B$746,B751,'Base bordo'!F$2:F$746,"DESLOCAMENTO CARREGADO"),0)</f>
        <v>2.4983333333333335</v>
      </c>
      <c r="F751" s="10">
        <f>IFERROR(SUMIFS('Base bordo'!G$2:G$746,'Base bordo'!C$2:C$746,A751,'Base bordo'!B$2:B$746,B751,'Base bordo'!F$2:F$746,"DESLOCAMENTO"),0)</f>
        <v>1.1605555555555556</v>
      </c>
      <c r="G751" s="10">
        <f>IFERROR(SUMIFS('Base bordo'!G$2:G$746,'Base bordo'!C$2:C$746,A751,'Base bordo'!B$2:B$746,B751,'Base bordo'!F$2:F$746,"CARREGAMENTO"),0)</f>
        <v>0</v>
      </c>
      <c r="H751" s="10">
        <f>IFERROR(SUMIFS('Base bordo'!G$2:G$746,'Base bordo'!C$2:C$746,A751,'Base bordo'!B$2:B$746,B751,'Base bordo'!F$2:F$746,"AGUARDANDO TRANSBORDO"),0)</f>
        <v>0</v>
      </c>
      <c r="I751" s="10">
        <f>IFERROR(SUMIFS('Base bordo'!G$2:G$746,'Base bordo'!C$2:C$746,A751,'Base bordo'!B$2:B$746,B751,'Base bordo'!F$2:F$746,"PÁTIO INTERNO"),0)+IFERROR(SUMIFS('Base bordo'!G$2:G$746,'Base bordo'!C$2:C$746,A751,'Base bordo'!B$2:B$746,B751,'Base bordo'!F$2:F$746,"PÁTIO EXTERNO"),0)+IFERROR(SUMIFS('Base bordo'!G$2:G$746,'Base bordo'!C$2:C$746,A751,'Base bordo'!B$2:B$746,B751,'Base bordo'!F$2:F$746,"PATIO - RESERVA"),0)+IFERROR(SUMIFS('Base bordo'!G$2:G$746,'Base bordo'!C$2:C$746,A751,'Base bordo'!B$2:B$746,B751,'Base bordo'!F$2:F$746,"MANOBRA CARRETAS-PATIO"),0)</f>
        <v>6.2741666666666669</v>
      </c>
      <c r="J751" s="10">
        <f>IFERROR(SUMIFS('Base bordo'!G$2:G$746,'Base bordo'!C$2:C$746,A751,'Base bordo'!B$2:B$746,B751,'Base bordo'!F$2:F$746,"BALANÇA - ENTRADA"),0)+IFERROR(SUMIFS('Base bordo'!G$2:G$746,'Base bordo'!C$2:C$746,A751,'Base bordo'!B$2:B$746,B751,'Base bordo'!F$2:F$746,"BALANÇA - SAÍDA"),0)</f>
        <v>1.2222222222222223E-2</v>
      </c>
      <c r="K751" s="10">
        <f>IFERROR(SUMIFS('Base bordo'!G$2:G$746,'Base bordo'!C$2:C$746,A751,'Base bordo'!B$2:B$746,B751,'Base bordo'!F$2:F$746,"MAN PREVENTIVA - MECANICA"),0)+IFERROR(SUMIFS('Base bordo'!G$2:G$746,'Base bordo'!C$2:C$746,A751,'Base bordo'!B$2:B$746,B751,'Base bordo'!F$2:F$746,"MAN CORRETIVA - MECANICA"),0)</f>
        <v>0</v>
      </c>
      <c r="L751" s="10">
        <f>IFERROR(SUMIFS('Base bordo'!G$2:G$746,'Base bordo'!C$2:C$746,A751,'Base bordo'!B$2:B$746,B751,'Base bordo'!F$2:F$746,"MANUTENCAO - T O"),0)+IFERROR(SUMIFS('Base bordo'!G$2:G$746,'Base bordo'!C$2:C$746,A751,'Base bordo'!B$2:B$746,B751,'Base bordo'!F$2:F$746,"MANUTENCAO BORRACHARIA"),0)+IFERROR(SUMIFS('Base bordo'!G$2:G$746,'Base bordo'!C$2:C$746,A751,'Base bordo'!B$2:B$746,B751,'Base bordo'!F$2:F$746,"MANUTENCAO EXTERNA  CONCESSIONARIA"),0)+IFERROR(SUMIFS('Base bordo'!G$2:G$746,'Base bordo'!C$2:C$746,A751,'Base bordo'!B$2:B$746,B751,'Base bordo'!F$2:F$746,"MANUTENCAO TELEMETRIA"),0)</f>
        <v>2.3786111111111112</v>
      </c>
      <c r="M751" s="10">
        <f>IFERROR(SUMIFS('Base bordo'!G$2:G$746,'Base bordo'!C$2:C$746,A751,'Base bordo'!B$2:B$746,B751,'Base bordo'!F$2:F$746,"AGUARDANDO MANUTENCAO"),0)</f>
        <v>5.3633333333333333</v>
      </c>
      <c r="N751" s="10">
        <f>IFERROR(SUMIFS('Base bordo'!G$2:G$746,'Base bordo'!C$2:C$746,A751,'Base bordo'!B$2:B$746,B751,'Base bordo'!F$2:F$746,"SEM APONTAMENTO"),0)</f>
        <v>0</v>
      </c>
      <c r="O751" s="10">
        <f t="shared" si="78"/>
        <v>0</v>
      </c>
      <c r="P751" s="10">
        <f>IFERROR(SUMIFS('Base bordo'!G$2:G$746,'Base bordo'!C$2:C$746,A751,'Base bordo'!B$2:B$746,B751),0)</f>
        <v>19.437222222222221</v>
      </c>
      <c r="Q751" s="10">
        <f>IFERROR(SUMIFS('Base bordo'!H$2:H$746,'Base bordo'!C$2:C$746,A751,'Base bordo'!B$2:B$746,B751,'Base bordo'!F$2:F$746,"DESLOCAMENTO VAZIO"),0)</f>
        <v>117213.39</v>
      </c>
      <c r="R751" s="10">
        <f>IFERROR(SUMIFS('Base bordo'!I$2:I$746,'Base bordo'!C$2:C$746,A751,'Base bordo'!B$2:B$746,B751,'Base bordo'!F$2:F$746,"DESLOCAMENTO VAZIO"),0)</f>
        <v>6300</v>
      </c>
      <c r="S751" s="30">
        <f t="shared" si="79"/>
        <v>18.6053</v>
      </c>
      <c r="T751" s="10">
        <f>IFERROR(SUMIFS('Base bordo'!H$2:H$746,'Base bordo'!C$2:C$746,A751,'Base bordo'!B$2:B$746,B751,'Base bordo'!F$2:F$746,"DESLOCAMENTO CARREGADO"),0)</f>
        <v>206109.95</v>
      </c>
      <c r="U751" s="10">
        <f>IFERROR(SUMIFS('Base bordo'!I$2:I$746,'Base bordo'!C$2:C$746,A751,'Base bordo'!B$2:B$746,B751,'Base bordo'!F$2:F$746,"DESLOCAMENTO CARREGADO"),0)</f>
        <v>8677</v>
      </c>
      <c r="V751" s="30">
        <f t="shared" si="80"/>
        <v>23.753595712803964</v>
      </c>
      <c r="W751" s="9">
        <f t="shared" si="81"/>
        <v>9.0033440992368596E-2</v>
      </c>
      <c r="X751" s="9">
        <f t="shared" si="82"/>
        <v>0.128533455283391</v>
      </c>
      <c r="Y751" s="9">
        <f t="shared" si="83"/>
        <v>0.78143310372424046</v>
      </c>
    </row>
    <row r="752" spans="1:25" ht="15" customHeight="1" x14ac:dyDescent="0.35">
      <c r="A752" s="52">
        <v>8013472</v>
      </c>
      <c r="B752" s="51">
        <v>46118</v>
      </c>
      <c r="C752" s="7" t="s">
        <v>124</v>
      </c>
      <c r="D752" s="10">
        <f>IFERROR(SUMIFS('Base bordo'!G$2:G$746,'Base bordo'!C$2:C$746,A752,'Base bordo'!B$2:B$746,B752,'Base bordo'!F$2:F$746,"DESLOCAMENTO VAZIO"),0)</f>
        <v>1.75</v>
      </c>
      <c r="E752" s="10">
        <f>IFERROR(SUMIFS('Base bordo'!G$2:G$746,'Base bordo'!C$2:C$746,A752,'Base bordo'!B$2:B$746,B752,'Base bordo'!F$2:F$746,"DESLOCAMENTO CARREGADO"),0)</f>
        <v>2.4983333333333335</v>
      </c>
      <c r="F752" s="10">
        <f>IFERROR(SUMIFS('Base bordo'!G$2:G$746,'Base bordo'!C$2:C$746,A752,'Base bordo'!B$2:B$746,B752,'Base bordo'!F$2:F$746,"DESLOCAMENTO"),0)</f>
        <v>1.1605555555555556</v>
      </c>
      <c r="G752" s="10">
        <f>IFERROR(SUMIFS('Base bordo'!G$2:G$746,'Base bordo'!C$2:C$746,A752,'Base bordo'!B$2:B$746,B752,'Base bordo'!F$2:F$746,"CARREGAMENTO"),0)</f>
        <v>0</v>
      </c>
      <c r="H752" s="10">
        <f>IFERROR(SUMIFS('Base bordo'!G$2:G$746,'Base bordo'!C$2:C$746,A752,'Base bordo'!B$2:B$746,B752,'Base bordo'!F$2:F$746,"AGUARDANDO TRANSBORDO"),0)</f>
        <v>0</v>
      </c>
      <c r="I752" s="10">
        <f>IFERROR(SUMIFS('Base bordo'!G$2:G$746,'Base bordo'!C$2:C$746,A752,'Base bordo'!B$2:B$746,B752,'Base bordo'!F$2:F$746,"PÁTIO INTERNO"),0)+IFERROR(SUMIFS('Base bordo'!G$2:G$746,'Base bordo'!C$2:C$746,A752,'Base bordo'!B$2:B$746,B752,'Base bordo'!F$2:F$746,"PÁTIO EXTERNO"),0)+IFERROR(SUMIFS('Base bordo'!G$2:G$746,'Base bordo'!C$2:C$746,A752,'Base bordo'!B$2:B$746,B752,'Base bordo'!F$2:F$746,"PATIO - RESERVA"),0)+IFERROR(SUMIFS('Base bordo'!G$2:G$746,'Base bordo'!C$2:C$746,A752,'Base bordo'!B$2:B$746,B752,'Base bordo'!F$2:F$746,"MANOBRA CARRETAS-PATIO"),0)</f>
        <v>6.2741666666666669</v>
      </c>
      <c r="J752" s="10">
        <f>IFERROR(SUMIFS('Base bordo'!G$2:G$746,'Base bordo'!C$2:C$746,A752,'Base bordo'!B$2:B$746,B752,'Base bordo'!F$2:F$746,"BALANÇA - ENTRADA"),0)+IFERROR(SUMIFS('Base bordo'!G$2:G$746,'Base bordo'!C$2:C$746,A752,'Base bordo'!B$2:B$746,B752,'Base bordo'!F$2:F$746,"BALANÇA - SAÍDA"),0)</f>
        <v>1.2222222222222223E-2</v>
      </c>
      <c r="K752" s="10">
        <f>IFERROR(SUMIFS('Base bordo'!G$2:G$746,'Base bordo'!C$2:C$746,A752,'Base bordo'!B$2:B$746,B752,'Base bordo'!F$2:F$746,"MAN PREVENTIVA - MECANICA"),0)+IFERROR(SUMIFS('Base bordo'!G$2:G$746,'Base bordo'!C$2:C$746,A752,'Base bordo'!B$2:B$746,B752,'Base bordo'!F$2:F$746,"MAN CORRETIVA - MECANICA"),0)</f>
        <v>0</v>
      </c>
      <c r="L752" s="10">
        <f>IFERROR(SUMIFS('Base bordo'!G$2:G$746,'Base bordo'!C$2:C$746,A752,'Base bordo'!B$2:B$746,B752,'Base bordo'!F$2:F$746,"MANUTENCAO - T O"),0)+IFERROR(SUMIFS('Base bordo'!G$2:G$746,'Base bordo'!C$2:C$746,A752,'Base bordo'!B$2:B$746,B752,'Base bordo'!F$2:F$746,"MANUTENCAO BORRACHARIA"),0)+IFERROR(SUMIFS('Base bordo'!G$2:G$746,'Base bordo'!C$2:C$746,A752,'Base bordo'!B$2:B$746,B752,'Base bordo'!F$2:F$746,"MANUTENCAO EXTERNA  CONCESSIONARIA"),0)+IFERROR(SUMIFS('Base bordo'!G$2:G$746,'Base bordo'!C$2:C$746,A752,'Base bordo'!B$2:B$746,B752,'Base bordo'!F$2:F$746,"MANUTENCAO TELEMETRIA"),0)</f>
        <v>2.3786111111111112</v>
      </c>
      <c r="M752" s="10">
        <f>IFERROR(SUMIFS('Base bordo'!G$2:G$746,'Base bordo'!C$2:C$746,A752,'Base bordo'!B$2:B$746,B752,'Base bordo'!F$2:F$746,"AGUARDANDO MANUTENCAO"),0)</f>
        <v>5.3633333333333333</v>
      </c>
      <c r="N752" s="10">
        <f>IFERROR(SUMIFS('Base bordo'!G$2:G$746,'Base bordo'!C$2:C$746,A752,'Base bordo'!B$2:B$746,B752,'Base bordo'!F$2:F$746,"SEM APONTAMENTO"),0)</f>
        <v>0</v>
      </c>
      <c r="O752" s="10">
        <f t="shared" si="78"/>
        <v>0</v>
      </c>
      <c r="P752" s="10">
        <f>IFERROR(SUMIFS('Base bordo'!G$2:G$746,'Base bordo'!C$2:C$746,A752,'Base bordo'!B$2:B$746,B752),0)</f>
        <v>19.437222222222221</v>
      </c>
      <c r="Q752" s="10">
        <f>IFERROR(SUMIFS('Base bordo'!H$2:H$746,'Base bordo'!C$2:C$746,A752,'Base bordo'!B$2:B$746,B752,'Base bordo'!F$2:F$746,"DESLOCAMENTO VAZIO"),0)</f>
        <v>117213.39</v>
      </c>
      <c r="R752" s="10">
        <f>IFERROR(SUMIFS('Base bordo'!I$2:I$746,'Base bordo'!C$2:C$746,A752,'Base bordo'!B$2:B$746,B752,'Base bordo'!F$2:F$746,"DESLOCAMENTO VAZIO"),0)</f>
        <v>6300</v>
      </c>
      <c r="S752" s="30">
        <f t="shared" si="79"/>
        <v>18.6053</v>
      </c>
      <c r="T752" s="10">
        <f>IFERROR(SUMIFS('Base bordo'!H$2:H$746,'Base bordo'!C$2:C$746,A752,'Base bordo'!B$2:B$746,B752,'Base bordo'!F$2:F$746,"DESLOCAMENTO CARREGADO"),0)</f>
        <v>206109.95</v>
      </c>
      <c r="U752" s="10">
        <f>IFERROR(SUMIFS('Base bordo'!I$2:I$746,'Base bordo'!C$2:C$746,A752,'Base bordo'!B$2:B$746,B752,'Base bordo'!F$2:F$746,"DESLOCAMENTO CARREGADO"),0)</f>
        <v>8677</v>
      </c>
      <c r="V752" s="30">
        <f t="shared" si="80"/>
        <v>23.753595712803964</v>
      </c>
      <c r="W752" s="9">
        <f t="shared" si="81"/>
        <v>9.0033440992368596E-2</v>
      </c>
      <c r="X752" s="9">
        <f t="shared" si="82"/>
        <v>0.128533455283391</v>
      </c>
      <c r="Y752" s="9">
        <f t="shared" si="83"/>
        <v>0.78143310372424046</v>
      </c>
    </row>
    <row r="753" spans="1:25" ht="15" customHeight="1" x14ac:dyDescent="0.35">
      <c r="A753" s="52">
        <v>8013472</v>
      </c>
      <c r="B753" s="51">
        <v>46118</v>
      </c>
      <c r="C753" s="7" t="s">
        <v>124</v>
      </c>
      <c r="D753" s="10">
        <f>IFERROR(SUMIFS('Base bordo'!G$2:G$746,'Base bordo'!C$2:C$746,A753,'Base bordo'!B$2:B$746,B753,'Base bordo'!F$2:F$746,"DESLOCAMENTO VAZIO"),0)</f>
        <v>1.75</v>
      </c>
      <c r="E753" s="10">
        <f>IFERROR(SUMIFS('Base bordo'!G$2:G$746,'Base bordo'!C$2:C$746,A753,'Base bordo'!B$2:B$746,B753,'Base bordo'!F$2:F$746,"DESLOCAMENTO CARREGADO"),0)</f>
        <v>2.4983333333333335</v>
      </c>
      <c r="F753" s="10">
        <f>IFERROR(SUMIFS('Base bordo'!G$2:G$746,'Base bordo'!C$2:C$746,A753,'Base bordo'!B$2:B$746,B753,'Base bordo'!F$2:F$746,"DESLOCAMENTO"),0)</f>
        <v>1.1605555555555556</v>
      </c>
      <c r="G753" s="10">
        <f>IFERROR(SUMIFS('Base bordo'!G$2:G$746,'Base bordo'!C$2:C$746,A753,'Base bordo'!B$2:B$746,B753,'Base bordo'!F$2:F$746,"CARREGAMENTO"),0)</f>
        <v>0</v>
      </c>
      <c r="H753" s="10">
        <f>IFERROR(SUMIFS('Base bordo'!G$2:G$746,'Base bordo'!C$2:C$746,A753,'Base bordo'!B$2:B$746,B753,'Base bordo'!F$2:F$746,"AGUARDANDO TRANSBORDO"),0)</f>
        <v>0</v>
      </c>
      <c r="I753" s="10">
        <f>IFERROR(SUMIFS('Base bordo'!G$2:G$746,'Base bordo'!C$2:C$746,A753,'Base bordo'!B$2:B$746,B753,'Base bordo'!F$2:F$746,"PÁTIO INTERNO"),0)+IFERROR(SUMIFS('Base bordo'!G$2:G$746,'Base bordo'!C$2:C$746,A753,'Base bordo'!B$2:B$746,B753,'Base bordo'!F$2:F$746,"PÁTIO EXTERNO"),0)+IFERROR(SUMIFS('Base bordo'!G$2:G$746,'Base bordo'!C$2:C$746,A753,'Base bordo'!B$2:B$746,B753,'Base bordo'!F$2:F$746,"PATIO - RESERVA"),0)+IFERROR(SUMIFS('Base bordo'!G$2:G$746,'Base bordo'!C$2:C$746,A753,'Base bordo'!B$2:B$746,B753,'Base bordo'!F$2:F$746,"MANOBRA CARRETAS-PATIO"),0)</f>
        <v>6.2741666666666669</v>
      </c>
      <c r="J753" s="10">
        <f>IFERROR(SUMIFS('Base bordo'!G$2:G$746,'Base bordo'!C$2:C$746,A753,'Base bordo'!B$2:B$746,B753,'Base bordo'!F$2:F$746,"BALANÇA - ENTRADA"),0)+IFERROR(SUMIFS('Base bordo'!G$2:G$746,'Base bordo'!C$2:C$746,A753,'Base bordo'!B$2:B$746,B753,'Base bordo'!F$2:F$746,"BALANÇA - SAÍDA"),0)</f>
        <v>1.2222222222222223E-2</v>
      </c>
      <c r="K753" s="10">
        <f>IFERROR(SUMIFS('Base bordo'!G$2:G$746,'Base bordo'!C$2:C$746,A753,'Base bordo'!B$2:B$746,B753,'Base bordo'!F$2:F$746,"MAN PREVENTIVA - MECANICA"),0)+IFERROR(SUMIFS('Base bordo'!G$2:G$746,'Base bordo'!C$2:C$746,A753,'Base bordo'!B$2:B$746,B753,'Base bordo'!F$2:F$746,"MAN CORRETIVA - MECANICA"),0)</f>
        <v>0</v>
      </c>
      <c r="L753" s="10">
        <f>IFERROR(SUMIFS('Base bordo'!G$2:G$746,'Base bordo'!C$2:C$746,A753,'Base bordo'!B$2:B$746,B753,'Base bordo'!F$2:F$746,"MANUTENCAO - T O"),0)+IFERROR(SUMIFS('Base bordo'!G$2:G$746,'Base bordo'!C$2:C$746,A753,'Base bordo'!B$2:B$746,B753,'Base bordo'!F$2:F$746,"MANUTENCAO BORRACHARIA"),0)+IFERROR(SUMIFS('Base bordo'!G$2:G$746,'Base bordo'!C$2:C$746,A753,'Base bordo'!B$2:B$746,B753,'Base bordo'!F$2:F$746,"MANUTENCAO EXTERNA  CONCESSIONARIA"),0)+IFERROR(SUMIFS('Base bordo'!G$2:G$746,'Base bordo'!C$2:C$746,A753,'Base bordo'!B$2:B$746,B753,'Base bordo'!F$2:F$746,"MANUTENCAO TELEMETRIA"),0)</f>
        <v>2.3786111111111112</v>
      </c>
      <c r="M753" s="10">
        <f>IFERROR(SUMIFS('Base bordo'!G$2:G$746,'Base bordo'!C$2:C$746,A753,'Base bordo'!B$2:B$746,B753,'Base bordo'!F$2:F$746,"AGUARDANDO MANUTENCAO"),0)</f>
        <v>5.3633333333333333</v>
      </c>
      <c r="N753" s="10">
        <f>IFERROR(SUMIFS('Base bordo'!G$2:G$746,'Base bordo'!C$2:C$746,A753,'Base bordo'!B$2:B$746,B753,'Base bordo'!F$2:F$746,"SEM APONTAMENTO"),0)</f>
        <v>0</v>
      </c>
      <c r="O753" s="10">
        <f t="shared" si="78"/>
        <v>0</v>
      </c>
      <c r="P753" s="10">
        <f>IFERROR(SUMIFS('Base bordo'!G$2:G$746,'Base bordo'!C$2:C$746,A753,'Base bordo'!B$2:B$746,B753),0)</f>
        <v>19.437222222222221</v>
      </c>
      <c r="Q753" s="10">
        <f>IFERROR(SUMIFS('Base bordo'!H$2:H$746,'Base bordo'!C$2:C$746,A753,'Base bordo'!B$2:B$746,B753,'Base bordo'!F$2:F$746,"DESLOCAMENTO VAZIO"),0)</f>
        <v>117213.39</v>
      </c>
      <c r="R753" s="10">
        <f>IFERROR(SUMIFS('Base bordo'!I$2:I$746,'Base bordo'!C$2:C$746,A753,'Base bordo'!B$2:B$746,B753,'Base bordo'!F$2:F$746,"DESLOCAMENTO VAZIO"),0)</f>
        <v>6300</v>
      </c>
      <c r="S753" s="30">
        <f t="shared" si="79"/>
        <v>18.6053</v>
      </c>
      <c r="T753" s="10">
        <f>IFERROR(SUMIFS('Base bordo'!H$2:H$746,'Base bordo'!C$2:C$746,A753,'Base bordo'!B$2:B$746,B753,'Base bordo'!F$2:F$746,"DESLOCAMENTO CARREGADO"),0)</f>
        <v>206109.95</v>
      </c>
      <c r="U753" s="10">
        <f>IFERROR(SUMIFS('Base bordo'!I$2:I$746,'Base bordo'!C$2:C$746,A753,'Base bordo'!B$2:B$746,B753,'Base bordo'!F$2:F$746,"DESLOCAMENTO CARREGADO"),0)</f>
        <v>8677</v>
      </c>
      <c r="V753" s="30">
        <f t="shared" si="80"/>
        <v>23.753595712803964</v>
      </c>
      <c r="W753" s="9">
        <f t="shared" si="81"/>
        <v>9.0033440992368596E-2</v>
      </c>
      <c r="X753" s="9">
        <f t="shared" si="82"/>
        <v>0.128533455283391</v>
      </c>
      <c r="Y753" s="9">
        <f t="shared" si="83"/>
        <v>0.78143310372424046</v>
      </c>
    </row>
    <row r="754" spans="1:25" ht="15" customHeight="1" x14ac:dyDescent="0.35">
      <c r="A754" s="52">
        <v>8013472</v>
      </c>
      <c r="B754" s="51">
        <v>46118</v>
      </c>
      <c r="C754" s="7" t="s">
        <v>124</v>
      </c>
      <c r="D754" s="10">
        <f>IFERROR(SUMIFS('Base bordo'!G$2:G$746,'Base bordo'!C$2:C$746,A754,'Base bordo'!B$2:B$746,B754,'Base bordo'!F$2:F$746,"DESLOCAMENTO VAZIO"),0)</f>
        <v>1.75</v>
      </c>
      <c r="E754" s="10">
        <f>IFERROR(SUMIFS('Base bordo'!G$2:G$746,'Base bordo'!C$2:C$746,A754,'Base bordo'!B$2:B$746,B754,'Base bordo'!F$2:F$746,"DESLOCAMENTO CARREGADO"),0)</f>
        <v>2.4983333333333335</v>
      </c>
      <c r="F754" s="10">
        <f>IFERROR(SUMIFS('Base bordo'!G$2:G$746,'Base bordo'!C$2:C$746,A754,'Base bordo'!B$2:B$746,B754,'Base bordo'!F$2:F$746,"DESLOCAMENTO"),0)</f>
        <v>1.1605555555555556</v>
      </c>
      <c r="G754" s="10">
        <f>IFERROR(SUMIFS('Base bordo'!G$2:G$746,'Base bordo'!C$2:C$746,A754,'Base bordo'!B$2:B$746,B754,'Base bordo'!F$2:F$746,"CARREGAMENTO"),0)</f>
        <v>0</v>
      </c>
      <c r="H754" s="10">
        <f>IFERROR(SUMIFS('Base bordo'!G$2:G$746,'Base bordo'!C$2:C$746,A754,'Base bordo'!B$2:B$746,B754,'Base bordo'!F$2:F$746,"AGUARDANDO TRANSBORDO"),0)</f>
        <v>0</v>
      </c>
      <c r="I754" s="10">
        <f>IFERROR(SUMIFS('Base bordo'!G$2:G$746,'Base bordo'!C$2:C$746,A754,'Base bordo'!B$2:B$746,B754,'Base bordo'!F$2:F$746,"PÁTIO INTERNO"),0)+IFERROR(SUMIFS('Base bordo'!G$2:G$746,'Base bordo'!C$2:C$746,A754,'Base bordo'!B$2:B$746,B754,'Base bordo'!F$2:F$746,"PÁTIO EXTERNO"),0)+IFERROR(SUMIFS('Base bordo'!G$2:G$746,'Base bordo'!C$2:C$746,A754,'Base bordo'!B$2:B$746,B754,'Base bordo'!F$2:F$746,"PATIO - RESERVA"),0)+IFERROR(SUMIFS('Base bordo'!G$2:G$746,'Base bordo'!C$2:C$746,A754,'Base bordo'!B$2:B$746,B754,'Base bordo'!F$2:F$746,"MANOBRA CARRETAS-PATIO"),0)</f>
        <v>6.2741666666666669</v>
      </c>
      <c r="J754" s="10">
        <f>IFERROR(SUMIFS('Base bordo'!G$2:G$746,'Base bordo'!C$2:C$746,A754,'Base bordo'!B$2:B$746,B754,'Base bordo'!F$2:F$746,"BALANÇA - ENTRADA"),0)+IFERROR(SUMIFS('Base bordo'!G$2:G$746,'Base bordo'!C$2:C$746,A754,'Base bordo'!B$2:B$746,B754,'Base bordo'!F$2:F$746,"BALANÇA - SAÍDA"),0)</f>
        <v>1.2222222222222223E-2</v>
      </c>
      <c r="K754" s="10">
        <f>IFERROR(SUMIFS('Base bordo'!G$2:G$746,'Base bordo'!C$2:C$746,A754,'Base bordo'!B$2:B$746,B754,'Base bordo'!F$2:F$746,"MAN PREVENTIVA - MECANICA"),0)+IFERROR(SUMIFS('Base bordo'!G$2:G$746,'Base bordo'!C$2:C$746,A754,'Base bordo'!B$2:B$746,B754,'Base bordo'!F$2:F$746,"MAN CORRETIVA - MECANICA"),0)</f>
        <v>0</v>
      </c>
      <c r="L754" s="10">
        <f>IFERROR(SUMIFS('Base bordo'!G$2:G$746,'Base bordo'!C$2:C$746,A754,'Base bordo'!B$2:B$746,B754,'Base bordo'!F$2:F$746,"MANUTENCAO - T O"),0)+IFERROR(SUMIFS('Base bordo'!G$2:G$746,'Base bordo'!C$2:C$746,A754,'Base bordo'!B$2:B$746,B754,'Base bordo'!F$2:F$746,"MANUTENCAO BORRACHARIA"),0)+IFERROR(SUMIFS('Base bordo'!G$2:G$746,'Base bordo'!C$2:C$746,A754,'Base bordo'!B$2:B$746,B754,'Base bordo'!F$2:F$746,"MANUTENCAO EXTERNA  CONCESSIONARIA"),0)+IFERROR(SUMIFS('Base bordo'!G$2:G$746,'Base bordo'!C$2:C$746,A754,'Base bordo'!B$2:B$746,B754,'Base bordo'!F$2:F$746,"MANUTENCAO TELEMETRIA"),0)</f>
        <v>2.3786111111111112</v>
      </c>
      <c r="M754" s="10">
        <f>IFERROR(SUMIFS('Base bordo'!G$2:G$746,'Base bordo'!C$2:C$746,A754,'Base bordo'!B$2:B$746,B754,'Base bordo'!F$2:F$746,"AGUARDANDO MANUTENCAO"),0)</f>
        <v>5.3633333333333333</v>
      </c>
      <c r="N754" s="10">
        <f>IFERROR(SUMIFS('Base bordo'!G$2:G$746,'Base bordo'!C$2:C$746,A754,'Base bordo'!B$2:B$746,B754,'Base bordo'!F$2:F$746,"SEM APONTAMENTO"),0)</f>
        <v>0</v>
      </c>
      <c r="O754" s="10">
        <f t="shared" si="78"/>
        <v>0</v>
      </c>
      <c r="P754" s="10">
        <f>IFERROR(SUMIFS('Base bordo'!G$2:G$746,'Base bordo'!C$2:C$746,A754,'Base bordo'!B$2:B$746,B754),0)</f>
        <v>19.437222222222221</v>
      </c>
      <c r="Q754" s="10">
        <f>IFERROR(SUMIFS('Base bordo'!H$2:H$746,'Base bordo'!C$2:C$746,A754,'Base bordo'!B$2:B$746,B754,'Base bordo'!F$2:F$746,"DESLOCAMENTO VAZIO"),0)</f>
        <v>117213.39</v>
      </c>
      <c r="R754" s="10">
        <f>IFERROR(SUMIFS('Base bordo'!I$2:I$746,'Base bordo'!C$2:C$746,A754,'Base bordo'!B$2:B$746,B754,'Base bordo'!F$2:F$746,"DESLOCAMENTO VAZIO"),0)</f>
        <v>6300</v>
      </c>
      <c r="S754" s="30">
        <f t="shared" si="79"/>
        <v>18.6053</v>
      </c>
      <c r="T754" s="10">
        <f>IFERROR(SUMIFS('Base bordo'!H$2:H$746,'Base bordo'!C$2:C$746,A754,'Base bordo'!B$2:B$746,B754,'Base bordo'!F$2:F$746,"DESLOCAMENTO CARREGADO"),0)</f>
        <v>206109.95</v>
      </c>
      <c r="U754" s="10">
        <f>IFERROR(SUMIFS('Base bordo'!I$2:I$746,'Base bordo'!C$2:C$746,A754,'Base bordo'!B$2:B$746,B754,'Base bordo'!F$2:F$746,"DESLOCAMENTO CARREGADO"),0)</f>
        <v>8677</v>
      </c>
      <c r="V754" s="30">
        <f t="shared" si="80"/>
        <v>23.753595712803964</v>
      </c>
      <c r="W754" s="9">
        <f t="shared" si="81"/>
        <v>9.0033440992368596E-2</v>
      </c>
      <c r="X754" s="9">
        <f t="shared" si="82"/>
        <v>0.128533455283391</v>
      </c>
      <c r="Y754" s="9">
        <f t="shared" si="83"/>
        <v>0.78143310372424046</v>
      </c>
    </row>
    <row r="755" spans="1:25" ht="15" customHeight="1" x14ac:dyDescent="0.35">
      <c r="A755" s="52">
        <v>8013472</v>
      </c>
      <c r="B755" s="51">
        <v>46118</v>
      </c>
      <c r="C755" s="7" t="s">
        <v>124</v>
      </c>
      <c r="D755" s="10">
        <f>IFERROR(SUMIFS('Base bordo'!G$2:G$746,'Base bordo'!C$2:C$746,A755,'Base bordo'!B$2:B$746,B755,'Base bordo'!F$2:F$746,"DESLOCAMENTO VAZIO"),0)</f>
        <v>1.75</v>
      </c>
      <c r="E755" s="10">
        <f>IFERROR(SUMIFS('Base bordo'!G$2:G$746,'Base bordo'!C$2:C$746,A755,'Base bordo'!B$2:B$746,B755,'Base bordo'!F$2:F$746,"DESLOCAMENTO CARREGADO"),0)</f>
        <v>2.4983333333333335</v>
      </c>
      <c r="F755" s="10">
        <f>IFERROR(SUMIFS('Base bordo'!G$2:G$746,'Base bordo'!C$2:C$746,A755,'Base bordo'!B$2:B$746,B755,'Base bordo'!F$2:F$746,"DESLOCAMENTO"),0)</f>
        <v>1.1605555555555556</v>
      </c>
      <c r="G755" s="10">
        <f>IFERROR(SUMIFS('Base bordo'!G$2:G$746,'Base bordo'!C$2:C$746,A755,'Base bordo'!B$2:B$746,B755,'Base bordo'!F$2:F$746,"CARREGAMENTO"),0)</f>
        <v>0</v>
      </c>
      <c r="H755" s="10">
        <f>IFERROR(SUMIFS('Base bordo'!G$2:G$746,'Base bordo'!C$2:C$746,A755,'Base bordo'!B$2:B$746,B755,'Base bordo'!F$2:F$746,"AGUARDANDO TRANSBORDO"),0)</f>
        <v>0</v>
      </c>
      <c r="I755" s="10">
        <f>IFERROR(SUMIFS('Base bordo'!G$2:G$746,'Base bordo'!C$2:C$746,A755,'Base bordo'!B$2:B$746,B755,'Base bordo'!F$2:F$746,"PÁTIO INTERNO"),0)+IFERROR(SUMIFS('Base bordo'!G$2:G$746,'Base bordo'!C$2:C$746,A755,'Base bordo'!B$2:B$746,B755,'Base bordo'!F$2:F$746,"PÁTIO EXTERNO"),0)+IFERROR(SUMIFS('Base bordo'!G$2:G$746,'Base bordo'!C$2:C$746,A755,'Base bordo'!B$2:B$746,B755,'Base bordo'!F$2:F$746,"PATIO - RESERVA"),0)+IFERROR(SUMIFS('Base bordo'!G$2:G$746,'Base bordo'!C$2:C$746,A755,'Base bordo'!B$2:B$746,B755,'Base bordo'!F$2:F$746,"MANOBRA CARRETAS-PATIO"),0)</f>
        <v>6.2741666666666669</v>
      </c>
      <c r="J755" s="10">
        <f>IFERROR(SUMIFS('Base bordo'!G$2:G$746,'Base bordo'!C$2:C$746,A755,'Base bordo'!B$2:B$746,B755,'Base bordo'!F$2:F$746,"BALANÇA - ENTRADA"),0)+IFERROR(SUMIFS('Base bordo'!G$2:G$746,'Base bordo'!C$2:C$746,A755,'Base bordo'!B$2:B$746,B755,'Base bordo'!F$2:F$746,"BALANÇA - SAÍDA"),0)</f>
        <v>1.2222222222222223E-2</v>
      </c>
      <c r="K755" s="10">
        <f>IFERROR(SUMIFS('Base bordo'!G$2:G$746,'Base bordo'!C$2:C$746,A755,'Base bordo'!B$2:B$746,B755,'Base bordo'!F$2:F$746,"MAN PREVENTIVA - MECANICA"),0)+IFERROR(SUMIFS('Base bordo'!G$2:G$746,'Base bordo'!C$2:C$746,A755,'Base bordo'!B$2:B$746,B755,'Base bordo'!F$2:F$746,"MAN CORRETIVA - MECANICA"),0)</f>
        <v>0</v>
      </c>
      <c r="L755" s="10">
        <f>IFERROR(SUMIFS('Base bordo'!G$2:G$746,'Base bordo'!C$2:C$746,A755,'Base bordo'!B$2:B$746,B755,'Base bordo'!F$2:F$746,"MANUTENCAO - T O"),0)+IFERROR(SUMIFS('Base bordo'!G$2:G$746,'Base bordo'!C$2:C$746,A755,'Base bordo'!B$2:B$746,B755,'Base bordo'!F$2:F$746,"MANUTENCAO BORRACHARIA"),0)+IFERROR(SUMIFS('Base bordo'!G$2:G$746,'Base bordo'!C$2:C$746,A755,'Base bordo'!B$2:B$746,B755,'Base bordo'!F$2:F$746,"MANUTENCAO EXTERNA  CONCESSIONARIA"),0)+IFERROR(SUMIFS('Base bordo'!G$2:G$746,'Base bordo'!C$2:C$746,A755,'Base bordo'!B$2:B$746,B755,'Base bordo'!F$2:F$746,"MANUTENCAO TELEMETRIA"),0)</f>
        <v>2.3786111111111112</v>
      </c>
      <c r="M755" s="10">
        <f>IFERROR(SUMIFS('Base bordo'!G$2:G$746,'Base bordo'!C$2:C$746,A755,'Base bordo'!B$2:B$746,B755,'Base bordo'!F$2:F$746,"AGUARDANDO MANUTENCAO"),0)</f>
        <v>5.3633333333333333</v>
      </c>
      <c r="N755" s="10">
        <f>IFERROR(SUMIFS('Base bordo'!G$2:G$746,'Base bordo'!C$2:C$746,A755,'Base bordo'!B$2:B$746,B755,'Base bordo'!F$2:F$746,"SEM APONTAMENTO"),0)</f>
        <v>0</v>
      </c>
      <c r="O755" s="10">
        <f t="shared" si="78"/>
        <v>0</v>
      </c>
      <c r="P755" s="10">
        <f>IFERROR(SUMIFS('Base bordo'!G$2:G$746,'Base bordo'!C$2:C$746,A755,'Base bordo'!B$2:B$746,B755),0)</f>
        <v>19.437222222222221</v>
      </c>
      <c r="Q755" s="10">
        <f>IFERROR(SUMIFS('Base bordo'!H$2:H$746,'Base bordo'!C$2:C$746,A755,'Base bordo'!B$2:B$746,B755,'Base bordo'!F$2:F$746,"DESLOCAMENTO VAZIO"),0)</f>
        <v>117213.39</v>
      </c>
      <c r="R755" s="10">
        <f>IFERROR(SUMIFS('Base bordo'!I$2:I$746,'Base bordo'!C$2:C$746,A755,'Base bordo'!B$2:B$746,B755,'Base bordo'!F$2:F$746,"DESLOCAMENTO VAZIO"),0)</f>
        <v>6300</v>
      </c>
      <c r="S755" s="30">
        <f t="shared" si="79"/>
        <v>18.6053</v>
      </c>
      <c r="T755" s="10">
        <f>IFERROR(SUMIFS('Base bordo'!H$2:H$746,'Base bordo'!C$2:C$746,A755,'Base bordo'!B$2:B$746,B755,'Base bordo'!F$2:F$746,"DESLOCAMENTO CARREGADO"),0)</f>
        <v>206109.95</v>
      </c>
      <c r="U755" s="10">
        <f>IFERROR(SUMIFS('Base bordo'!I$2:I$746,'Base bordo'!C$2:C$746,A755,'Base bordo'!B$2:B$746,B755,'Base bordo'!F$2:F$746,"DESLOCAMENTO CARREGADO"),0)</f>
        <v>8677</v>
      </c>
      <c r="V755" s="30">
        <f t="shared" si="80"/>
        <v>23.753595712803964</v>
      </c>
      <c r="W755" s="9">
        <f t="shared" si="81"/>
        <v>9.0033440992368596E-2</v>
      </c>
      <c r="X755" s="9">
        <f t="shared" si="82"/>
        <v>0.128533455283391</v>
      </c>
      <c r="Y755" s="9">
        <f t="shared" si="83"/>
        <v>0.78143310372424046</v>
      </c>
    </row>
    <row r="756" spans="1:25" ht="15" customHeight="1" x14ac:dyDescent="0.35">
      <c r="A756" s="52">
        <v>8013472</v>
      </c>
      <c r="B756" s="51">
        <v>46118</v>
      </c>
      <c r="C756" s="7" t="s">
        <v>124</v>
      </c>
      <c r="D756" s="10">
        <f>IFERROR(SUMIFS('Base bordo'!G$2:G$746,'Base bordo'!C$2:C$746,A756,'Base bordo'!B$2:B$746,B756,'Base bordo'!F$2:F$746,"DESLOCAMENTO VAZIO"),0)</f>
        <v>1.75</v>
      </c>
      <c r="E756" s="10">
        <f>IFERROR(SUMIFS('Base bordo'!G$2:G$746,'Base bordo'!C$2:C$746,A756,'Base bordo'!B$2:B$746,B756,'Base bordo'!F$2:F$746,"DESLOCAMENTO CARREGADO"),0)</f>
        <v>2.4983333333333335</v>
      </c>
      <c r="F756" s="10">
        <f>IFERROR(SUMIFS('Base bordo'!G$2:G$746,'Base bordo'!C$2:C$746,A756,'Base bordo'!B$2:B$746,B756,'Base bordo'!F$2:F$746,"DESLOCAMENTO"),0)</f>
        <v>1.1605555555555556</v>
      </c>
      <c r="G756" s="10">
        <f>IFERROR(SUMIFS('Base bordo'!G$2:G$746,'Base bordo'!C$2:C$746,A756,'Base bordo'!B$2:B$746,B756,'Base bordo'!F$2:F$746,"CARREGAMENTO"),0)</f>
        <v>0</v>
      </c>
      <c r="H756" s="10">
        <f>IFERROR(SUMIFS('Base bordo'!G$2:G$746,'Base bordo'!C$2:C$746,A756,'Base bordo'!B$2:B$746,B756,'Base bordo'!F$2:F$746,"AGUARDANDO TRANSBORDO"),0)</f>
        <v>0</v>
      </c>
      <c r="I756" s="10">
        <f>IFERROR(SUMIFS('Base bordo'!G$2:G$746,'Base bordo'!C$2:C$746,A756,'Base bordo'!B$2:B$746,B756,'Base bordo'!F$2:F$746,"PÁTIO INTERNO"),0)+IFERROR(SUMIFS('Base bordo'!G$2:G$746,'Base bordo'!C$2:C$746,A756,'Base bordo'!B$2:B$746,B756,'Base bordo'!F$2:F$746,"PÁTIO EXTERNO"),0)+IFERROR(SUMIFS('Base bordo'!G$2:G$746,'Base bordo'!C$2:C$746,A756,'Base bordo'!B$2:B$746,B756,'Base bordo'!F$2:F$746,"PATIO - RESERVA"),0)+IFERROR(SUMIFS('Base bordo'!G$2:G$746,'Base bordo'!C$2:C$746,A756,'Base bordo'!B$2:B$746,B756,'Base bordo'!F$2:F$746,"MANOBRA CARRETAS-PATIO"),0)</f>
        <v>6.2741666666666669</v>
      </c>
      <c r="J756" s="10">
        <f>IFERROR(SUMIFS('Base bordo'!G$2:G$746,'Base bordo'!C$2:C$746,A756,'Base bordo'!B$2:B$746,B756,'Base bordo'!F$2:F$746,"BALANÇA - ENTRADA"),0)+IFERROR(SUMIFS('Base bordo'!G$2:G$746,'Base bordo'!C$2:C$746,A756,'Base bordo'!B$2:B$746,B756,'Base bordo'!F$2:F$746,"BALANÇA - SAÍDA"),0)</f>
        <v>1.2222222222222223E-2</v>
      </c>
      <c r="K756" s="10">
        <f>IFERROR(SUMIFS('Base bordo'!G$2:G$746,'Base bordo'!C$2:C$746,A756,'Base bordo'!B$2:B$746,B756,'Base bordo'!F$2:F$746,"MAN PREVENTIVA - MECANICA"),0)+IFERROR(SUMIFS('Base bordo'!G$2:G$746,'Base bordo'!C$2:C$746,A756,'Base bordo'!B$2:B$746,B756,'Base bordo'!F$2:F$746,"MAN CORRETIVA - MECANICA"),0)</f>
        <v>0</v>
      </c>
      <c r="L756" s="10">
        <f>IFERROR(SUMIFS('Base bordo'!G$2:G$746,'Base bordo'!C$2:C$746,A756,'Base bordo'!B$2:B$746,B756,'Base bordo'!F$2:F$746,"MANUTENCAO - T O"),0)+IFERROR(SUMIFS('Base bordo'!G$2:G$746,'Base bordo'!C$2:C$746,A756,'Base bordo'!B$2:B$746,B756,'Base bordo'!F$2:F$746,"MANUTENCAO BORRACHARIA"),0)+IFERROR(SUMIFS('Base bordo'!G$2:G$746,'Base bordo'!C$2:C$746,A756,'Base bordo'!B$2:B$746,B756,'Base bordo'!F$2:F$746,"MANUTENCAO EXTERNA  CONCESSIONARIA"),0)+IFERROR(SUMIFS('Base bordo'!G$2:G$746,'Base bordo'!C$2:C$746,A756,'Base bordo'!B$2:B$746,B756,'Base bordo'!F$2:F$746,"MANUTENCAO TELEMETRIA"),0)</f>
        <v>2.3786111111111112</v>
      </c>
      <c r="M756" s="10">
        <f>IFERROR(SUMIFS('Base bordo'!G$2:G$746,'Base bordo'!C$2:C$746,A756,'Base bordo'!B$2:B$746,B756,'Base bordo'!F$2:F$746,"AGUARDANDO MANUTENCAO"),0)</f>
        <v>5.3633333333333333</v>
      </c>
      <c r="N756" s="10">
        <f>IFERROR(SUMIFS('Base bordo'!G$2:G$746,'Base bordo'!C$2:C$746,A756,'Base bordo'!B$2:B$746,B756,'Base bordo'!F$2:F$746,"SEM APONTAMENTO"),0)</f>
        <v>0</v>
      </c>
      <c r="O756" s="10">
        <f t="shared" si="78"/>
        <v>0</v>
      </c>
      <c r="P756" s="10">
        <f>IFERROR(SUMIFS('Base bordo'!G$2:G$746,'Base bordo'!C$2:C$746,A756,'Base bordo'!B$2:B$746,B756),0)</f>
        <v>19.437222222222221</v>
      </c>
      <c r="Q756" s="10">
        <f>IFERROR(SUMIFS('Base bordo'!H$2:H$746,'Base bordo'!C$2:C$746,A756,'Base bordo'!B$2:B$746,B756,'Base bordo'!F$2:F$746,"DESLOCAMENTO VAZIO"),0)</f>
        <v>117213.39</v>
      </c>
      <c r="R756" s="10">
        <f>IFERROR(SUMIFS('Base bordo'!I$2:I$746,'Base bordo'!C$2:C$746,A756,'Base bordo'!B$2:B$746,B756,'Base bordo'!F$2:F$746,"DESLOCAMENTO VAZIO"),0)</f>
        <v>6300</v>
      </c>
      <c r="S756" s="30">
        <f t="shared" si="79"/>
        <v>18.6053</v>
      </c>
      <c r="T756" s="10">
        <f>IFERROR(SUMIFS('Base bordo'!H$2:H$746,'Base bordo'!C$2:C$746,A756,'Base bordo'!B$2:B$746,B756,'Base bordo'!F$2:F$746,"DESLOCAMENTO CARREGADO"),0)</f>
        <v>206109.95</v>
      </c>
      <c r="U756" s="10">
        <f>IFERROR(SUMIFS('Base bordo'!I$2:I$746,'Base bordo'!C$2:C$746,A756,'Base bordo'!B$2:B$746,B756,'Base bordo'!F$2:F$746,"DESLOCAMENTO CARREGADO"),0)</f>
        <v>8677</v>
      </c>
      <c r="V756" s="30">
        <f t="shared" si="80"/>
        <v>23.753595712803964</v>
      </c>
      <c r="W756" s="9">
        <f t="shared" si="81"/>
        <v>9.0033440992368596E-2</v>
      </c>
      <c r="X756" s="9">
        <f t="shared" si="82"/>
        <v>0.128533455283391</v>
      </c>
      <c r="Y756" s="9">
        <f t="shared" si="83"/>
        <v>0.78143310372424046</v>
      </c>
    </row>
    <row r="757" spans="1:25" ht="15" customHeight="1" x14ac:dyDescent="0.35">
      <c r="A757" s="52">
        <v>8013472</v>
      </c>
      <c r="B757" s="51">
        <v>46118</v>
      </c>
      <c r="C757" s="7" t="s">
        <v>124</v>
      </c>
      <c r="D757" s="10">
        <f>IFERROR(SUMIFS('Base bordo'!G$2:G$746,'Base bordo'!C$2:C$746,A757,'Base bordo'!B$2:B$746,B757,'Base bordo'!F$2:F$746,"DESLOCAMENTO VAZIO"),0)</f>
        <v>1.75</v>
      </c>
      <c r="E757" s="10">
        <f>IFERROR(SUMIFS('Base bordo'!G$2:G$746,'Base bordo'!C$2:C$746,A757,'Base bordo'!B$2:B$746,B757,'Base bordo'!F$2:F$746,"DESLOCAMENTO CARREGADO"),0)</f>
        <v>2.4983333333333335</v>
      </c>
      <c r="F757" s="10">
        <f>IFERROR(SUMIFS('Base bordo'!G$2:G$746,'Base bordo'!C$2:C$746,A757,'Base bordo'!B$2:B$746,B757,'Base bordo'!F$2:F$746,"DESLOCAMENTO"),0)</f>
        <v>1.1605555555555556</v>
      </c>
      <c r="G757" s="10">
        <f>IFERROR(SUMIFS('Base bordo'!G$2:G$746,'Base bordo'!C$2:C$746,A757,'Base bordo'!B$2:B$746,B757,'Base bordo'!F$2:F$746,"CARREGAMENTO"),0)</f>
        <v>0</v>
      </c>
      <c r="H757" s="10">
        <f>IFERROR(SUMIFS('Base bordo'!G$2:G$746,'Base bordo'!C$2:C$746,A757,'Base bordo'!B$2:B$746,B757,'Base bordo'!F$2:F$746,"AGUARDANDO TRANSBORDO"),0)</f>
        <v>0</v>
      </c>
      <c r="I757" s="10">
        <f>IFERROR(SUMIFS('Base bordo'!G$2:G$746,'Base bordo'!C$2:C$746,A757,'Base bordo'!B$2:B$746,B757,'Base bordo'!F$2:F$746,"PÁTIO INTERNO"),0)+IFERROR(SUMIFS('Base bordo'!G$2:G$746,'Base bordo'!C$2:C$746,A757,'Base bordo'!B$2:B$746,B757,'Base bordo'!F$2:F$746,"PÁTIO EXTERNO"),0)+IFERROR(SUMIFS('Base bordo'!G$2:G$746,'Base bordo'!C$2:C$746,A757,'Base bordo'!B$2:B$746,B757,'Base bordo'!F$2:F$746,"PATIO - RESERVA"),0)+IFERROR(SUMIFS('Base bordo'!G$2:G$746,'Base bordo'!C$2:C$746,A757,'Base bordo'!B$2:B$746,B757,'Base bordo'!F$2:F$746,"MANOBRA CARRETAS-PATIO"),0)</f>
        <v>6.2741666666666669</v>
      </c>
      <c r="J757" s="10">
        <f>IFERROR(SUMIFS('Base bordo'!G$2:G$746,'Base bordo'!C$2:C$746,A757,'Base bordo'!B$2:B$746,B757,'Base bordo'!F$2:F$746,"BALANÇA - ENTRADA"),0)+IFERROR(SUMIFS('Base bordo'!G$2:G$746,'Base bordo'!C$2:C$746,A757,'Base bordo'!B$2:B$746,B757,'Base bordo'!F$2:F$746,"BALANÇA - SAÍDA"),0)</f>
        <v>1.2222222222222223E-2</v>
      </c>
      <c r="K757" s="10">
        <f>IFERROR(SUMIFS('Base bordo'!G$2:G$746,'Base bordo'!C$2:C$746,A757,'Base bordo'!B$2:B$746,B757,'Base bordo'!F$2:F$746,"MAN PREVENTIVA - MECANICA"),0)+IFERROR(SUMIFS('Base bordo'!G$2:G$746,'Base bordo'!C$2:C$746,A757,'Base bordo'!B$2:B$746,B757,'Base bordo'!F$2:F$746,"MAN CORRETIVA - MECANICA"),0)</f>
        <v>0</v>
      </c>
      <c r="L757" s="10">
        <f>IFERROR(SUMIFS('Base bordo'!G$2:G$746,'Base bordo'!C$2:C$746,A757,'Base bordo'!B$2:B$746,B757,'Base bordo'!F$2:F$746,"MANUTENCAO - T O"),0)+IFERROR(SUMIFS('Base bordo'!G$2:G$746,'Base bordo'!C$2:C$746,A757,'Base bordo'!B$2:B$746,B757,'Base bordo'!F$2:F$746,"MANUTENCAO BORRACHARIA"),0)+IFERROR(SUMIFS('Base bordo'!G$2:G$746,'Base bordo'!C$2:C$746,A757,'Base bordo'!B$2:B$746,B757,'Base bordo'!F$2:F$746,"MANUTENCAO EXTERNA  CONCESSIONARIA"),0)+IFERROR(SUMIFS('Base bordo'!G$2:G$746,'Base bordo'!C$2:C$746,A757,'Base bordo'!B$2:B$746,B757,'Base bordo'!F$2:F$746,"MANUTENCAO TELEMETRIA"),0)</f>
        <v>2.3786111111111112</v>
      </c>
      <c r="M757" s="10">
        <f>IFERROR(SUMIFS('Base bordo'!G$2:G$746,'Base bordo'!C$2:C$746,A757,'Base bordo'!B$2:B$746,B757,'Base bordo'!F$2:F$746,"AGUARDANDO MANUTENCAO"),0)</f>
        <v>5.3633333333333333</v>
      </c>
      <c r="N757" s="10">
        <f>IFERROR(SUMIFS('Base bordo'!G$2:G$746,'Base bordo'!C$2:C$746,A757,'Base bordo'!B$2:B$746,B757,'Base bordo'!F$2:F$746,"SEM APONTAMENTO"),0)</f>
        <v>0</v>
      </c>
      <c r="O757" s="10">
        <f t="shared" si="78"/>
        <v>0</v>
      </c>
      <c r="P757" s="10">
        <f>IFERROR(SUMIFS('Base bordo'!G$2:G$746,'Base bordo'!C$2:C$746,A757,'Base bordo'!B$2:B$746,B757),0)</f>
        <v>19.437222222222221</v>
      </c>
      <c r="Q757" s="10">
        <f>IFERROR(SUMIFS('Base bordo'!H$2:H$746,'Base bordo'!C$2:C$746,A757,'Base bordo'!B$2:B$746,B757,'Base bordo'!F$2:F$746,"DESLOCAMENTO VAZIO"),0)</f>
        <v>117213.39</v>
      </c>
      <c r="R757" s="10">
        <f>IFERROR(SUMIFS('Base bordo'!I$2:I$746,'Base bordo'!C$2:C$746,A757,'Base bordo'!B$2:B$746,B757,'Base bordo'!F$2:F$746,"DESLOCAMENTO VAZIO"),0)</f>
        <v>6300</v>
      </c>
      <c r="S757" s="30">
        <f t="shared" si="79"/>
        <v>18.6053</v>
      </c>
      <c r="T757" s="10">
        <f>IFERROR(SUMIFS('Base bordo'!H$2:H$746,'Base bordo'!C$2:C$746,A757,'Base bordo'!B$2:B$746,B757,'Base bordo'!F$2:F$746,"DESLOCAMENTO CARREGADO"),0)</f>
        <v>206109.95</v>
      </c>
      <c r="U757" s="10">
        <f>IFERROR(SUMIFS('Base bordo'!I$2:I$746,'Base bordo'!C$2:C$746,A757,'Base bordo'!B$2:B$746,B757,'Base bordo'!F$2:F$746,"DESLOCAMENTO CARREGADO"),0)</f>
        <v>8677</v>
      </c>
      <c r="V757" s="30">
        <f t="shared" si="80"/>
        <v>23.753595712803964</v>
      </c>
      <c r="W757" s="9">
        <f t="shared" si="81"/>
        <v>9.0033440992368596E-2</v>
      </c>
      <c r="X757" s="9">
        <f t="shared" si="82"/>
        <v>0.128533455283391</v>
      </c>
      <c r="Y757" s="9">
        <f t="shared" si="83"/>
        <v>0.78143310372424046</v>
      </c>
    </row>
    <row r="758" spans="1:25" ht="15" customHeight="1" x14ac:dyDescent="0.35">
      <c r="A758" s="52">
        <v>8013472</v>
      </c>
      <c r="B758" s="51">
        <v>46118</v>
      </c>
      <c r="C758" s="7" t="s">
        <v>124</v>
      </c>
      <c r="D758" s="10">
        <f>IFERROR(SUMIFS('Base bordo'!G$2:G$746,'Base bordo'!C$2:C$746,A758,'Base bordo'!B$2:B$746,B758,'Base bordo'!F$2:F$746,"DESLOCAMENTO VAZIO"),0)</f>
        <v>1.75</v>
      </c>
      <c r="E758" s="10">
        <f>IFERROR(SUMIFS('Base bordo'!G$2:G$746,'Base bordo'!C$2:C$746,A758,'Base bordo'!B$2:B$746,B758,'Base bordo'!F$2:F$746,"DESLOCAMENTO CARREGADO"),0)</f>
        <v>2.4983333333333335</v>
      </c>
      <c r="F758" s="10">
        <f>IFERROR(SUMIFS('Base bordo'!G$2:G$746,'Base bordo'!C$2:C$746,A758,'Base bordo'!B$2:B$746,B758,'Base bordo'!F$2:F$746,"DESLOCAMENTO"),0)</f>
        <v>1.1605555555555556</v>
      </c>
      <c r="G758" s="10">
        <f>IFERROR(SUMIFS('Base bordo'!G$2:G$746,'Base bordo'!C$2:C$746,A758,'Base bordo'!B$2:B$746,B758,'Base bordo'!F$2:F$746,"CARREGAMENTO"),0)</f>
        <v>0</v>
      </c>
      <c r="H758" s="10">
        <f>IFERROR(SUMIFS('Base bordo'!G$2:G$746,'Base bordo'!C$2:C$746,A758,'Base bordo'!B$2:B$746,B758,'Base bordo'!F$2:F$746,"AGUARDANDO TRANSBORDO"),0)</f>
        <v>0</v>
      </c>
      <c r="I758" s="10">
        <f>IFERROR(SUMIFS('Base bordo'!G$2:G$746,'Base bordo'!C$2:C$746,A758,'Base bordo'!B$2:B$746,B758,'Base bordo'!F$2:F$746,"PÁTIO INTERNO"),0)+IFERROR(SUMIFS('Base bordo'!G$2:G$746,'Base bordo'!C$2:C$746,A758,'Base bordo'!B$2:B$746,B758,'Base bordo'!F$2:F$746,"PÁTIO EXTERNO"),0)+IFERROR(SUMIFS('Base bordo'!G$2:G$746,'Base bordo'!C$2:C$746,A758,'Base bordo'!B$2:B$746,B758,'Base bordo'!F$2:F$746,"PATIO - RESERVA"),0)+IFERROR(SUMIFS('Base bordo'!G$2:G$746,'Base bordo'!C$2:C$746,A758,'Base bordo'!B$2:B$746,B758,'Base bordo'!F$2:F$746,"MANOBRA CARRETAS-PATIO"),0)</f>
        <v>6.2741666666666669</v>
      </c>
      <c r="J758" s="10">
        <f>IFERROR(SUMIFS('Base bordo'!G$2:G$746,'Base bordo'!C$2:C$746,A758,'Base bordo'!B$2:B$746,B758,'Base bordo'!F$2:F$746,"BALANÇA - ENTRADA"),0)+IFERROR(SUMIFS('Base bordo'!G$2:G$746,'Base bordo'!C$2:C$746,A758,'Base bordo'!B$2:B$746,B758,'Base bordo'!F$2:F$746,"BALANÇA - SAÍDA"),0)</f>
        <v>1.2222222222222223E-2</v>
      </c>
      <c r="K758" s="10">
        <f>IFERROR(SUMIFS('Base bordo'!G$2:G$746,'Base bordo'!C$2:C$746,A758,'Base bordo'!B$2:B$746,B758,'Base bordo'!F$2:F$746,"MAN PREVENTIVA - MECANICA"),0)+IFERROR(SUMIFS('Base bordo'!G$2:G$746,'Base bordo'!C$2:C$746,A758,'Base bordo'!B$2:B$746,B758,'Base bordo'!F$2:F$746,"MAN CORRETIVA - MECANICA"),0)</f>
        <v>0</v>
      </c>
      <c r="L758" s="10">
        <f>IFERROR(SUMIFS('Base bordo'!G$2:G$746,'Base bordo'!C$2:C$746,A758,'Base bordo'!B$2:B$746,B758,'Base bordo'!F$2:F$746,"MANUTENCAO - T O"),0)+IFERROR(SUMIFS('Base bordo'!G$2:G$746,'Base bordo'!C$2:C$746,A758,'Base bordo'!B$2:B$746,B758,'Base bordo'!F$2:F$746,"MANUTENCAO BORRACHARIA"),0)+IFERROR(SUMIFS('Base bordo'!G$2:G$746,'Base bordo'!C$2:C$746,A758,'Base bordo'!B$2:B$746,B758,'Base bordo'!F$2:F$746,"MANUTENCAO EXTERNA  CONCESSIONARIA"),0)+IFERROR(SUMIFS('Base bordo'!G$2:G$746,'Base bordo'!C$2:C$746,A758,'Base bordo'!B$2:B$746,B758,'Base bordo'!F$2:F$746,"MANUTENCAO TELEMETRIA"),0)</f>
        <v>2.3786111111111112</v>
      </c>
      <c r="M758" s="10">
        <f>IFERROR(SUMIFS('Base bordo'!G$2:G$746,'Base bordo'!C$2:C$746,A758,'Base bordo'!B$2:B$746,B758,'Base bordo'!F$2:F$746,"AGUARDANDO MANUTENCAO"),0)</f>
        <v>5.3633333333333333</v>
      </c>
      <c r="N758" s="10">
        <f>IFERROR(SUMIFS('Base bordo'!G$2:G$746,'Base bordo'!C$2:C$746,A758,'Base bordo'!B$2:B$746,B758,'Base bordo'!F$2:F$746,"SEM APONTAMENTO"),0)</f>
        <v>0</v>
      </c>
      <c r="O758" s="10">
        <f t="shared" si="78"/>
        <v>0</v>
      </c>
      <c r="P758" s="10">
        <f>IFERROR(SUMIFS('Base bordo'!G$2:G$746,'Base bordo'!C$2:C$746,A758,'Base bordo'!B$2:B$746,B758),0)</f>
        <v>19.437222222222221</v>
      </c>
      <c r="Q758" s="10">
        <f>IFERROR(SUMIFS('Base bordo'!H$2:H$746,'Base bordo'!C$2:C$746,A758,'Base bordo'!B$2:B$746,B758,'Base bordo'!F$2:F$746,"DESLOCAMENTO VAZIO"),0)</f>
        <v>117213.39</v>
      </c>
      <c r="R758" s="10">
        <f>IFERROR(SUMIFS('Base bordo'!I$2:I$746,'Base bordo'!C$2:C$746,A758,'Base bordo'!B$2:B$746,B758,'Base bordo'!F$2:F$746,"DESLOCAMENTO VAZIO"),0)</f>
        <v>6300</v>
      </c>
      <c r="S758" s="30">
        <f t="shared" si="79"/>
        <v>18.6053</v>
      </c>
      <c r="T758" s="10">
        <f>IFERROR(SUMIFS('Base bordo'!H$2:H$746,'Base bordo'!C$2:C$746,A758,'Base bordo'!B$2:B$746,B758,'Base bordo'!F$2:F$746,"DESLOCAMENTO CARREGADO"),0)</f>
        <v>206109.95</v>
      </c>
      <c r="U758" s="10">
        <f>IFERROR(SUMIFS('Base bordo'!I$2:I$746,'Base bordo'!C$2:C$746,A758,'Base bordo'!B$2:B$746,B758,'Base bordo'!F$2:F$746,"DESLOCAMENTO CARREGADO"),0)</f>
        <v>8677</v>
      </c>
      <c r="V758" s="30">
        <f t="shared" si="80"/>
        <v>23.753595712803964</v>
      </c>
      <c r="W758" s="9">
        <f t="shared" si="81"/>
        <v>9.0033440992368596E-2</v>
      </c>
      <c r="X758" s="9">
        <f t="shared" si="82"/>
        <v>0.128533455283391</v>
      </c>
      <c r="Y758" s="9">
        <f t="shared" si="83"/>
        <v>0.78143310372424046</v>
      </c>
    </row>
    <row r="759" spans="1:25" ht="15" customHeight="1" x14ac:dyDescent="0.35">
      <c r="A759" s="52">
        <v>8013472</v>
      </c>
      <c r="B759" s="51">
        <v>46118</v>
      </c>
      <c r="C759" s="7" t="s">
        <v>124</v>
      </c>
      <c r="D759" s="10">
        <f>IFERROR(SUMIFS('Base bordo'!G$2:G$746,'Base bordo'!C$2:C$746,A759,'Base bordo'!B$2:B$746,B759,'Base bordo'!F$2:F$746,"DESLOCAMENTO VAZIO"),0)</f>
        <v>1.75</v>
      </c>
      <c r="E759" s="10">
        <f>IFERROR(SUMIFS('Base bordo'!G$2:G$746,'Base bordo'!C$2:C$746,A759,'Base bordo'!B$2:B$746,B759,'Base bordo'!F$2:F$746,"DESLOCAMENTO CARREGADO"),0)</f>
        <v>2.4983333333333335</v>
      </c>
      <c r="F759" s="10">
        <f>IFERROR(SUMIFS('Base bordo'!G$2:G$746,'Base bordo'!C$2:C$746,A759,'Base bordo'!B$2:B$746,B759,'Base bordo'!F$2:F$746,"DESLOCAMENTO"),0)</f>
        <v>1.1605555555555556</v>
      </c>
      <c r="G759" s="10">
        <f>IFERROR(SUMIFS('Base bordo'!G$2:G$746,'Base bordo'!C$2:C$746,A759,'Base bordo'!B$2:B$746,B759,'Base bordo'!F$2:F$746,"CARREGAMENTO"),0)</f>
        <v>0</v>
      </c>
      <c r="H759" s="10">
        <f>IFERROR(SUMIFS('Base bordo'!G$2:G$746,'Base bordo'!C$2:C$746,A759,'Base bordo'!B$2:B$746,B759,'Base bordo'!F$2:F$746,"AGUARDANDO TRANSBORDO"),0)</f>
        <v>0</v>
      </c>
      <c r="I759" s="10">
        <f>IFERROR(SUMIFS('Base bordo'!G$2:G$746,'Base bordo'!C$2:C$746,A759,'Base bordo'!B$2:B$746,B759,'Base bordo'!F$2:F$746,"PÁTIO INTERNO"),0)+IFERROR(SUMIFS('Base bordo'!G$2:G$746,'Base bordo'!C$2:C$746,A759,'Base bordo'!B$2:B$746,B759,'Base bordo'!F$2:F$746,"PÁTIO EXTERNO"),0)+IFERROR(SUMIFS('Base bordo'!G$2:G$746,'Base bordo'!C$2:C$746,A759,'Base bordo'!B$2:B$746,B759,'Base bordo'!F$2:F$746,"PATIO - RESERVA"),0)+IFERROR(SUMIFS('Base bordo'!G$2:G$746,'Base bordo'!C$2:C$746,A759,'Base bordo'!B$2:B$746,B759,'Base bordo'!F$2:F$746,"MANOBRA CARRETAS-PATIO"),0)</f>
        <v>6.2741666666666669</v>
      </c>
      <c r="J759" s="10">
        <f>IFERROR(SUMIFS('Base bordo'!G$2:G$746,'Base bordo'!C$2:C$746,A759,'Base bordo'!B$2:B$746,B759,'Base bordo'!F$2:F$746,"BALANÇA - ENTRADA"),0)+IFERROR(SUMIFS('Base bordo'!G$2:G$746,'Base bordo'!C$2:C$746,A759,'Base bordo'!B$2:B$746,B759,'Base bordo'!F$2:F$746,"BALANÇA - SAÍDA"),0)</f>
        <v>1.2222222222222223E-2</v>
      </c>
      <c r="K759" s="10">
        <f>IFERROR(SUMIFS('Base bordo'!G$2:G$746,'Base bordo'!C$2:C$746,A759,'Base bordo'!B$2:B$746,B759,'Base bordo'!F$2:F$746,"MAN PREVENTIVA - MECANICA"),0)+IFERROR(SUMIFS('Base bordo'!G$2:G$746,'Base bordo'!C$2:C$746,A759,'Base bordo'!B$2:B$746,B759,'Base bordo'!F$2:F$746,"MAN CORRETIVA - MECANICA"),0)</f>
        <v>0</v>
      </c>
      <c r="L759" s="10">
        <f>IFERROR(SUMIFS('Base bordo'!G$2:G$746,'Base bordo'!C$2:C$746,A759,'Base bordo'!B$2:B$746,B759,'Base bordo'!F$2:F$746,"MANUTENCAO - T O"),0)+IFERROR(SUMIFS('Base bordo'!G$2:G$746,'Base bordo'!C$2:C$746,A759,'Base bordo'!B$2:B$746,B759,'Base bordo'!F$2:F$746,"MANUTENCAO BORRACHARIA"),0)+IFERROR(SUMIFS('Base bordo'!G$2:G$746,'Base bordo'!C$2:C$746,A759,'Base bordo'!B$2:B$746,B759,'Base bordo'!F$2:F$746,"MANUTENCAO EXTERNA  CONCESSIONARIA"),0)+IFERROR(SUMIFS('Base bordo'!G$2:G$746,'Base bordo'!C$2:C$746,A759,'Base bordo'!B$2:B$746,B759,'Base bordo'!F$2:F$746,"MANUTENCAO TELEMETRIA"),0)</f>
        <v>2.3786111111111112</v>
      </c>
      <c r="M759" s="10">
        <f>IFERROR(SUMIFS('Base bordo'!G$2:G$746,'Base bordo'!C$2:C$746,A759,'Base bordo'!B$2:B$746,B759,'Base bordo'!F$2:F$746,"AGUARDANDO MANUTENCAO"),0)</f>
        <v>5.3633333333333333</v>
      </c>
      <c r="N759" s="10">
        <f>IFERROR(SUMIFS('Base bordo'!G$2:G$746,'Base bordo'!C$2:C$746,A759,'Base bordo'!B$2:B$746,B759,'Base bordo'!F$2:F$746,"SEM APONTAMENTO"),0)</f>
        <v>0</v>
      </c>
      <c r="O759" s="10">
        <f t="shared" si="78"/>
        <v>0</v>
      </c>
      <c r="P759" s="10">
        <f>IFERROR(SUMIFS('Base bordo'!G$2:G$746,'Base bordo'!C$2:C$746,A759,'Base bordo'!B$2:B$746,B759),0)</f>
        <v>19.437222222222221</v>
      </c>
      <c r="Q759" s="10">
        <f>IFERROR(SUMIFS('Base bordo'!H$2:H$746,'Base bordo'!C$2:C$746,A759,'Base bordo'!B$2:B$746,B759,'Base bordo'!F$2:F$746,"DESLOCAMENTO VAZIO"),0)</f>
        <v>117213.39</v>
      </c>
      <c r="R759" s="10">
        <f>IFERROR(SUMIFS('Base bordo'!I$2:I$746,'Base bordo'!C$2:C$746,A759,'Base bordo'!B$2:B$746,B759,'Base bordo'!F$2:F$746,"DESLOCAMENTO VAZIO"),0)</f>
        <v>6300</v>
      </c>
      <c r="S759" s="30">
        <f t="shared" si="79"/>
        <v>18.6053</v>
      </c>
      <c r="T759" s="10">
        <f>IFERROR(SUMIFS('Base bordo'!H$2:H$746,'Base bordo'!C$2:C$746,A759,'Base bordo'!B$2:B$746,B759,'Base bordo'!F$2:F$746,"DESLOCAMENTO CARREGADO"),0)</f>
        <v>206109.95</v>
      </c>
      <c r="U759" s="10">
        <f>IFERROR(SUMIFS('Base bordo'!I$2:I$746,'Base bordo'!C$2:C$746,A759,'Base bordo'!B$2:B$746,B759,'Base bordo'!F$2:F$746,"DESLOCAMENTO CARREGADO"),0)</f>
        <v>8677</v>
      </c>
      <c r="V759" s="30">
        <f t="shared" si="80"/>
        <v>23.753595712803964</v>
      </c>
      <c r="W759" s="9">
        <f t="shared" si="81"/>
        <v>9.0033440992368596E-2</v>
      </c>
      <c r="X759" s="9">
        <f t="shared" si="82"/>
        <v>0.128533455283391</v>
      </c>
      <c r="Y759" s="9">
        <f t="shared" si="83"/>
        <v>0.78143310372424046</v>
      </c>
    </row>
    <row r="760" spans="1:25" ht="15" customHeight="1" x14ac:dyDescent="0.35">
      <c r="A760" s="52">
        <v>8013472</v>
      </c>
      <c r="B760" s="51">
        <v>46118</v>
      </c>
      <c r="C760" s="7" t="s">
        <v>124</v>
      </c>
      <c r="D760" s="10">
        <f>IFERROR(SUMIFS('Base bordo'!G$2:G$746,'Base bordo'!C$2:C$746,A760,'Base bordo'!B$2:B$746,B760,'Base bordo'!F$2:F$746,"DESLOCAMENTO VAZIO"),0)</f>
        <v>1.75</v>
      </c>
      <c r="E760" s="10">
        <f>IFERROR(SUMIFS('Base bordo'!G$2:G$746,'Base bordo'!C$2:C$746,A760,'Base bordo'!B$2:B$746,B760,'Base bordo'!F$2:F$746,"DESLOCAMENTO CARREGADO"),0)</f>
        <v>2.4983333333333335</v>
      </c>
      <c r="F760" s="10">
        <f>IFERROR(SUMIFS('Base bordo'!G$2:G$746,'Base bordo'!C$2:C$746,A760,'Base bordo'!B$2:B$746,B760,'Base bordo'!F$2:F$746,"DESLOCAMENTO"),0)</f>
        <v>1.1605555555555556</v>
      </c>
      <c r="G760" s="10">
        <f>IFERROR(SUMIFS('Base bordo'!G$2:G$746,'Base bordo'!C$2:C$746,A760,'Base bordo'!B$2:B$746,B760,'Base bordo'!F$2:F$746,"CARREGAMENTO"),0)</f>
        <v>0</v>
      </c>
      <c r="H760" s="10">
        <f>IFERROR(SUMIFS('Base bordo'!G$2:G$746,'Base bordo'!C$2:C$746,A760,'Base bordo'!B$2:B$746,B760,'Base bordo'!F$2:F$746,"AGUARDANDO TRANSBORDO"),0)</f>
        <v>0</v>
      </c>
      <c r="I760" s="10">
        <f>IFERROR(SUMIFS('Base bordo'!G$2:G$746,'Base bordo'!C$2:C$746,A760,'Base bordo'!B$2:B$746,B760,'Base bordo'!F$2:F$746,"PÁTIO INTERNO"),0)+IFERROR(SUMIFS('Base bordo'!G$2:G$746,'Base bordo'!C$2:C$746,A760,'Base bordo'!B$2:B$746,B760,'Base bordo'!F$2:F$746,"PÁTIO EXTERNO"),0)+IFERROR(SUMIFS('Base bordo'!G$2:G$746,'Base bordo'!C$2:C$746,A760,'Base bordo'!B$2:B$746,B760,'Base bordo'!F$2:F$746,"PATIO - RESERVA"),0)+IFERROR(SUMIFS('Base bordo'!G$2:G$746,'Base bordo'!C$2:C$746,A760,'Base bordo'!B$2:B$746,B760,'Base bordo'!F$2:F$746,"MANOBRA CARRETAS-PATIO"),0)</f>
        <v>6.2741666666666669</v>
      </c>
      <c r="J760" s="10">
        <f>IFERROR(SUMIFS('Base bordo'!G$2:G$746,'Base bordo'!C$2:C$746,A760,'Base bordo'!B$2:B$746,B760,'Base bordo'!F$2:F$746,"BALANÇA - ENTRADA"),0)+IFERROR(SUMIFS('Base bordo'!G$2:G$746,'Base bordo'!C$2:C$746,A760,'Base bordo'!B$2:B$746,B760,'Base bordo'!F$2:F$746,"BALANÇA - SAÍDA"),0)</f>
        <v>1.2222222222222223E-2</v>
      </c>
      <c r="K760" s="10">
        <f>IFERROR(SUMIFS('Base bordo'!G$2:G$746,'Base bordo'!C$2:C$746,A760,'Base bordo'!B$2:B$746,B760,'Base bordo'!F$2:F$746,"MAN PREVENTIVA - MECANICA"),0)+IFERROR(SUMIFS('Base bordo'!G$2:G$746,'Base bordo'!C$2:C$746,A760,'Base bordo'!B$2:B$746,B760,'Base bordo'!F$2:F$746,"MAN CORRETIVA - MECANICA"),0)</f>
        <v>0</v>
      </c>
      <c r="L760" s="10">
        <f>IFERROR(SUMIFS('Base bordo'!G$2:G$746,'Base bordo'!C$2:C$746,A760,'Base bordo'!B$2:B$746,B760,'Base bordo'!F$2:F$746,"MANUTENCAO - T O"),0)+IFERROR(SUMIFS('Base bordo'!G$2:G$746,'Base bordo'!C$2:C$746,A760,'Base bordo'!B$2:B$746,B760,'Base bordo'!F$2:F$746,"MANUTENCAO BORRACHARIA"),0)+IFERROR(SUMIFS('Base bordo'!G$2:G$746,'Base bordo'!C$2:C$746,A760,'Base bordo'!B$2:B$746,B760,'Base bordo'!F$2:F$746,"MANUTENCAO EXTERNA  CONCESSIONARIA"),0)+IFERROR(SUMIFS('Base bordo'!G$2:G$746,'Base bordo'!C$2:C$746,A760,'Base bordo'!B$2:B$746,B760,'Base bordo'!F$2:F$746,"MANUTENCAO TELEMETRIA"),0)</f>
        <v>2.3786111111111112</v>
      </c>
      <c r="M760" s="10">
        <f>IFERROR(SUMIFS('Base bordo'!G$2:G$746,'Base bordo'!C$2:C$746,A760,'Base bordo'!B$2:B$746,B760,'Base bordo'!F$2:F$746,"AGUARDANDO MANUTENCAO"),0)</f>
        <v>5.3633333333333333</v>
      </c>
      <c r="N760" s="10">
        <f>IFERROR(SUMIFS('Base bordo'!G$2:G$746,'Base bordo'!C$2:C$746,A760,'Base bordo'!B$2:B$746,B760,'Base bordo'!F$2:F$746,"SEM APONTAMENTO"),0)</f>
        <v>0</v>
      </c>
      <c r="O760" s="10">
        <f t="shared" si="78"/>
        <v>0</v>
      </c>
      <c r="P760" s="10">
        <f>IFERROR(SUMIFS('Base bordo'!G$2:G$746,'Base bordo'!C$2:C$746,A760,'Base bordo'!B$2:B$746,B760),0)</f>
        <v>19.437222222222221</v>
      </c>
      <c r="Q760" s="10">
        <f>IFERROR(SUMIFS('Base bordo'!H$2:H$746,'Base bordo'!C$2:C$746,A760,'Base bordo'!B$2:B$746,B760,'Base bordo'!F$2:F$746,"DESLOCAMENTO VAZIO"),0)</f>
        <v>117213.39</v>
      </c>
      <c r="R760" s="10">
        <f>IFERROR(SUMIFS('Base bordo'!I$2:I$746,'Base bordo'!C$2:C$746,A760,'Base bordo'!B$2:B$746,B760,'Base bordo'!F$2:F$746,"DESLOCAMENTO VAZIO"),0)</f>
        <v>6300</v>
      </c>
      <c r="S760" s="30">
        <f t="shared" si="79"/>
        <v>18.6053</v>
      </c>
      <c r="T760" s="10">
        <f>IFERROR(SUMIFS('Base bordo'!H$2:H$746,'Base bordo'!C$2:C$746,A760,'Base bordo'!B$2:B$746,B760,'Base bordo'!F$2:F$746,"DESLOCAMENTO CARREGADO"),0)</f>
        <v>206109.95</v>
      </c>
      <c r="U760" s="10">
        <f>IFERROR(SUMIFS('Base bordo'!I$2:I$746,'Base bordo'!C$2:C$746,A760,'Base bordo'!B$2:B$746,B760,'Base bordo'!F$2:F$746,"DESLOCAMENTO CARREGADO"),0)</f>
        <v>8677</v>
      </c>
      <c r="V760" s="30">
        <f t="shared" si="80"/>
        <v>23.753595712803964</v>
      </c>
      <c r="W760" s="9">
        <f t="shared" si="81"/>
        <v>9.0033440992368596E-2</v>
      </c>
      <c r="X760" s="9">
        <f t="shared" si="82"/>
        <v>0.128533455283391</v>
      </c>
      <c r="Y760" s="9">
        <f t="shared" si="83"/>
        <v>0.78143310372424046</v>
      </c>
    </row>
    <row r="761" spans="1:25" ht="15" customHeight="1" x14ac:dyDescent="0.35">
      <c r="A761" s="52">
        <v>8013473</v>
      </c>
      <c r="B761" s="51">
        <v>46118</v>
      </c>
      <c r="C761" s="7" t="s">
        <v>124</v>
      </c>
      <c r="D761" s="10">
        <f>IFERROR(SUMIFS('Base bordo'!G$2:G$746,'Base bordo'!C$2:C$746,A761,'Base bordo'!B$2:B$746,B761,'Base bordo'!F$2:F$746,"DESLOCAMENTO VAZIO"),0)</f>
        <v>1.5997222222222223</v>
      </c>
      <c r="E761" s="10">
        <f>IFERROR(SUMIFS('Base bordo'!G$2:G$746,'Base bordo'!C$2:C$746,A761,'Base bordo'!B$2:B$746,B761,'Base bordo'!F$2:F$746,"DESLOCAMENTO CARREGADO"),0)</f>
        <v>3.9169444444444443</v>
      </c>
      <c r="F761" s="10">
        <f>IFERROR(SUMIFS('Base bordo'!G$2:G$746,'Base bordo'!C$2:C$746,A761,'Base bordo'!B$2:B$746,B761,'Base bordo'!F$2:F$746,"DESLOCAMENTO"),0)</f>
        <v>0</v>
      </c>
      <c r="G761" s="10">
        <f>IFERROR(SUMIFS('Base bordo'!G$2:G$746,'Base bordo'!C$2:C$746,A761,'Base bordo'!B$2:B$746,B761,'Base bordo'!F$2:F$746,"CARREGAMENTO"),0)</f>
        <v>0</v>
      </c>
      <c r="H761" s="10">
        <f>IFERROR(SUMIFS('Base bordo'!G$2:G$746,'Base bordo'!C$2:C$746,A761,'Base bordo'!B$2:B$746,B761,'Base bordo'!F$2:F$746,"AGUARDANDO TRANSBORDO"),0)</f>
        <v>0.18527777777777779</v>
      </c>
      <c r="I761" s="10">
        <f>IFERROR(SUMIFS('Base bordo'!G$2:G$746,'Base bordo'!C$2:C$746,A761,'Base bordo'!B$2:B$746,B761,'Base bordo'!F$2:F$746,"PÁTIO INTERNO"),0)+IFERROR(SUMIFS('Base bordo'!G$2:G$746,'Base bordo'!C$2:C$746,A761,'Base bordo'!B$2:B$746,B761,'Base bordo'!F$2:F$746,"PÁTIO EXTERNO"),0)+IFERROR(SUMIFS('Base bordo'!G$2:G$746,'Base bordo'!C$2:C$746,A761,'Base bordo'!B$2:B$746,B761,'Base bordo'!F$2:F$746,"PATIO - RESERVA"),0)+IFERROR(SUMIFS('Base bordo'!G$2:G$746,'Base bordo'!C$2:C$746,A761,'Base bordo'!B$2:B$746,B761,'Base bordo'!F$2:F$746,"MANOBRA CARRETAS-PATIO"),0)</f>
        <v>10.403611111111111</v>
      </c>
      <c r="J761" s="10">
        <f>IFERROR(SUMIFS('Base bordo'!G$2:G$746,'Base bordo'!C$2:C$746,A761,'Base bordo'!B$2:B$746,B761,'Base bordo'!F$2:F$746,"BALANÇA - ENTRADA"),0)+IFERROR(SUMIFS('Base bordo'!G$2:G$746,'Base bordo'!C$2:C$746,A761,'Base bordo'!B$2:B$746,B761,'Base bordo'!F$2:F$746,"BALANÇA - SAÍDA"),0)</f>
        <v>5.8055555555555555E-2</v>
      </c>
      <c r="K761" s="10">
        <f>IFERROR(SUMIFS('Base bordo'!G$2:G$746,'Base bordo'!C$2:C$746,A761,'Base bordo'!B$2:B$746,B761,'Base bordo'!F$2:F$746,"MAN PREVENTIVA - MECANICA"),0)+IFERROR(SUMIFS('Base bordo'!G$2:G$746,'Base bordo'!C$2:C$746,A761,'Base bordo'!B$2:B$746,B761,'Base bordo'!F$2:F$746,"MAN CORRETIVA - MECANICA"),0)</f>
        <v>0</v>
      </c>
      <c r="L761" s="10">
        <f>IFERROR(SUMIFS('Base bordo'!G$2:G$746,'Base bordo'!C$2:C$746,A761,'Base bordo'!B$2:B$746,B761,'Base bordo'!F$2:F$746,"MANUTENCAO - T O"),0)+IFERROR(SUMIFS('Base bordo'!G$2:G$746,'Base bordo'!C$2:C$746,A761,'Base bordo'!B$2:B$746,B761,'Base bordo'!F$2:F$746,"MANUTENCAO BORRACHARIA"),0)+IFERROR(SUMIFS('Base bordo'!G$2:G$746,'Base bordo'!C$2:C$746,A761,'Base bordo'!B$2:B$746,B761,'Base bordo'!F$2:F$746,"MANUTENCAO EXTERNA  CONCESSIONARIA"),0)+IFERROR(SUMIFS('Base bordo'!G$2:G$746,'Base bordo'!C$2:C$746,A761,'Base bordo'!B$2:B$746,B761,'Base bordo'!F$2:F$746,"MANUTENCAO TELEMETRIA"),0)</f>
        <v>0</v>
      </c>
      <c r="M761" s="10">
        <f>IFERROR(SUMIFS('Base bordo'!G$2:G$746,'Base bordo'!C$2:C$746,A761,'Base bordo'!B$2:B$746,B761,'Base bordo'!F$2:F$746,"AGUARDANDO MANUTENCAO"),0)</f>
        <v>0</v>
      </c>
      <c r="N761" s="10">
        <f>IFERROR(SUMIFS('Base bordo'!G$2:G$746,'Base bordo'!C$2:C$746,A761,'Base bordo'!B$2:B$746,B761,'Base bordo'!F$2:F$746,"SEM APONTAMENTO"),0)</f>
        <v>0</v>
      </c>
      <c r="O761" s="10">
        <f t="shared" si="78"/>
        <v>3.5527136788005009E-15</v>
      </c>
      <c r="P761" s="10">
        <f>IFERROR(SUMIFS('Base bordo'!G$2:G$746,'Base bordo'!C$2:C$746,A761,'Base bordo'!B$2:B$746,B761),0)</f>
        <v>16.163611111111113</v>
      </c>
      <c r="Q761" s="10">
        <f>IFERROR(SUMIFS('Base bordo'!H$2:H$746,'Base bordo'!C$2:C$746,A761,'Base bordo'!B$2:B$746,B761,'Base bordo'!F$2:F$746,"DESLOCAMENTO VAZIO"),0)</f>
        <v>187793.3</v>
      </c>
      <c r="R761" s="10">
        <f>IFERROR(SUMIFS('Base bordo'!I$2:I$746,'Base bordo'!C$2:C$746,A761,'Base bordo'!B$2:B$746,B761,'Base bordo'!F$2:F$746,"DESLOCAMENTO VAZIO"),0)</f>
        <v>5759</v>
      </c>
      <c r="S761" s="30">
        <f t="shared" si="79"/>
        <v>32.608664698732419</v>
      </c>
      <c r="T761" s="10">
        <f>IFERROR(SUMIFS('Base bordo'!H$2:H$746,'Base bordo'!C$2:C$746,A761,'Base bordo'!B$2:B$746,B761,'Base bordo'!F$2:F$746,"DESLOCAMENTO CARREGADO"),0)</f>
        <v>380848.11</v>
      </c>
      <c r="U761" s="10">
        <f>IFERROR(SUMIFS('Base bordo'!I$2:I$746,'Base bordo'!C$2:C$746,A761,'Base bordo'!B$2:B$746,B761,'Base bordo'!F$2:F$746,"DESLOCAMENTO CARREGADO"),0)</f>
        <v>14101</v>
      </c>
      <c r="V761" s="30">
        <f t="shared" si="80"/>
        <v>27.008588752570738</v>
      </c>
      <c r="W761" s="9">
        <f t="shared" si="81"/>
        <v>9.8970595817078816E-2</v>
      </c>
      <c r="X761" s="9">
        <f t="shared" si="82"/>
        <v>0.24233102476413065</v>
      </c>
      <c r="Y761" s="9">
        <f t="shared" si="83"/>
        <v>0.6586983794187905</v>
      </c>
    </row>
    <row r="762" spans="1:25" ht="15" customHeight="1" x14ac:dyDescent="0.35">
      <c r="A762" s="52">
        <v>8013473</v>
      </c>
      <c r="B762" s="51">
        <v>46118</v>
      </c>
      <c r="C762" s="7" t="s">
        <v>124</v>
      </c>
      <c r="D762" s="10">
        <f>IFERROR(SUMIFS('Base bordo'!G$2:G$746,'Base bordo'!C$2:C$746,A762,'Base bordo'!B$2:B$746,B762,'Base bordo'!F$2:F$746,"DESLOCAMENTO VAZIO"),0)</f>
        <v>1.5997222222222223</v>
      </c>
      <c r="E762" s="10">
        <f>IFERROR(SUMIFS('Base bordo'!G$2:G$746,'Base bordo'!C$2:C$746,A762,'Base bordo'!B$2:B$746,B762,'Base bordo'!F$2:F$746,"DESLOCAMENTO CARREGADO"),0)</f>
        <v>3.9169444444444443</v>
      </c>
      <c r="F762" s="10">
        <f>IFERROR(SUMIFS('Base bordo'!G$2:G$746,'Base bordo'!C$2:C$746,A762,'Base bordo'!B$2:B$746,B762,'Base bordo'!F$2:F$746,"DESLOCAMENTO"),0)</f>
        <v>0</v>
      </c>
      <c r="G762" s="10">
        <f>IFERROR(SUMIFS('Base bordo'!G$2:G$746,'Base bordo'!C$2:C$746,A762,'Base bordo'!B$2:B$746,B762,'Base bordo'!F$2:F$746,"CARREGAMENTO"),0)</f>
        <v>0</v>
      </c>
      <c r="H762" s="10">
        <f>IFERROR(SUMIFS('Base bordo'!G$2:G$746,'Base bordo'!C$2:C$746,A762,'Base bordo'!B$2:B$746,B762,'Base bordo'!F$2:F$746,"AGUARDANDO TRANSBORDO"),0)</f>
        <v>0.18527777777777779</v>
      </c>
      <c r="I762" s="10">
        <f>IFERROR(SUMIFS('Base bordo'!G$2:G$746,'Base bordo'!C$2:C$746,A762,'Base bordo'!B$2:B$746,B762,'Base bordo'!F$2:F$746,"PÁTIO INTERNO"),0)+IFERROR(SUMIFS('Base bordo'!G$2:G$746,'Base bordo'!C$2:C$746,A762,'Base bordo'!B$2:B$746,B762,'Base bordo'!F$2:F$746,"PÁTIO EXTERNO"),0)+IFERROR(SUMIFS('Base bordo'!G$2:G$746,'Base bordo'!C$2:C$746,A762,'Base bordo'!B$2:B$746,B762,'Base bordo'!F$2:F$746,"PATIO - RESERVA"),0)+IFERROR(SUMIFS('Base bordo'!G$2:G$746,'Base bordo'!C$2:C$746,A762,'Base bordo'!B$2:B$746,B762,'Base bordo'!F$2:F$746,"MANOBRA CARRETAS-PATIO"),0)</f>
        <v>10.403611111111111</v>
      </c>
      <c r="J762" s="10">
        <f>IFERROR(SUMIFS('Base bordo'!G$2:G$746,'Base bordo'!C$2:C$746,A762,'Base bordo'!B$2:B$746,B762,'Base bordo'!F$2:F$746,"BALANÇA - ENTRADA"),0)+IFERROR(SUMIFS('Base bordo'!G$2:G$746,'Base bordo'!C$2:C$746,A762,'Base bordo'!B$2:B$746,B762,'Base bordo'!F$2:F$746,"BALANÇA - SAÍDA"),0)</f>
        <v>5.8055555555555555E-2</v>
      </c>
      <c r="K762" s="10">
        <f>IFERROR(SUMIFS('Base bordo'!G$2:G$746,'Base bordo'!C$2:C$746,A762,'Base bordo'!B$2:B$746,B762,'Base bordo'!F$2:F$746,"MAN PREVENTIVA - MECANICA"),0)+IFERROR(SUMIFS('Base bordo'!G$2:G$746,'Base bordo'!C$2:C$746,A762,'Base bordo'!B$2:B$746,B762,'Base bordo'!F$2:F$746,"MAN CORRETIVA - MECANICA"),0)</f>
        <v>0</v>
      </c>
      <c r="L762" s="10">
        <f>IFERROR(SUMIFS('Base bordo'!G$2:G$746,'Base bordo'!C$2:C$746,A762,'Base bordo'!B$2:B$746,B762,'Base bordo'!F$2:F$746,"MANUTENCAO - T O"),0)+IFERROR(SUMIFS('Base bordo'!G$2:G$746,'Base bordo'!C$2:C$746,A762,'Base bordo'!B$2:B$746,B762,'Base bordo'!F$2:F$746,"MANUTENCAO BORRACHARIA"),0)+IFERROR(SUMIFS('Base bordo'!G$2:G$746,'Base bordo'!C$2:C$746,A762,'Base bordo'!B$2:B$746,B762,'Base bordo'!F$2:F$746,"MANUTENCAO EXTERNA  CONCESSIONARIA"),0)+IFERROR(SUMIFS('Base bordo'!G$2:G$746,'Base bordo'!C$2:C$746,A762,'Base bordo'!B$2:B$746,B762,'Base bordo'!F$2:F$746,"MANUTENCAO TELEMETRIA"),0)</f>
        <v>0</v>
      </c>
      <c r="M762" s="10">
        <f>IFERROR(SUMIFS('Base bordo'!G$2:G$746,'Base bordo'!C$2:C$746,A762,'Base bordo'!B$2:B$746,B762,'Base bordo'!F$2:F$746,"AGUARDANDO MANUTENCAO"),0)</f>
        <v>0</v>
      </c>
      <c r="N762" s="10">
        <f>IFERROR(SUMIFS('Base bordo'!G$2:G$746,'Base bordo'!C$2:C$746,A762,'Base bordo'!B$2:B$746,B762,'Base bordo'!F$2:F$746,"SEM APONTAMENTO"),0)</f>
        <v>0</v>
      </c>
      <c r="O762" s="10">
        <f t="shared" si="78"/>
        <v>3.5527136788005009E-15</v>
      </c>
      <c r="P762" s="10">
        <f>IFERROR(SUMIFS('Base bordo'!G$2:G$746,'Base bordo'!C$2:C$746,A762,'Base bordo'!B$2:B$746,B762),0)</f>
        <v>16.163611111111113</v>
      </c>
      <c r="Q762" s="10">
        <f>IFERROR(SUMIFS('Base bordo'!H$2:H$746,'Base bordo'!C$2:C$746,A762,'Base bordo'!B$2:B$746,B762,'Base bordo'!F$2:F$746,"DESLOCAMENTO VAZIO"),0)</f>
        <v>187793.3</v>
      </c>
      <c r="R762" s="10">
        <f>IFERROR(SUMIFS('Base bordo'!I$2:I$746,'Base bordo'!C$2:C$746,A762,'Base bordo'!B$2:B$746,B762,'Base bordo'!F$2:F$746,"DESLOCAMENTO VAZIO"),0)</f>
        <v>5759</v>
      </c>
      <c r="S762" s="30">
        <f t="shared" si="79"/>
        <v>32.608664698732419</v>
      </c>
      <c r="T762" s="10">
        <f>IFERROR(SUMIFS('Base bordo'!H$2:H$746,'Base bordo'!C$2:C$746,A762,'Base bordo'!B$2:B$746,B762,'Base bordo'!F$2:F$746,"DESLOCAMENTO CARREGADO"),0)</f>
        <v>380848.11</v>
      </c>
      <c r="U762" s="10">
        <f>IFERROR(SUMIFS('Base bordo'!I$2:I$746,'Base bordo'!C$2:C$746,A762,'Base bordo'!B$2:B$746,B762,'Base bordo'!F$2:F$746,"DESLOCAMENTO CARREGADO"),0)</f>
        <v>14101</v>
      </c>
      <c r="V762" s="30">
        <f t="shared" si="80"/>
        <v>27.008588752570738</v>
      </c>
      <c r="W762" s="9">
        <f t="shared" si="81"/>
        <v>9.8970595817078816E-2</v>
      </c>
      <c r="X762" s="9">
        <f t="shared" si="82"/>
        <v>0.24233102476413065</v>
      </c>
      <c r="Y762" s="9">
        <f t="shared" si="83"/>
        <v>0.6586983794187905</v>
      </c>
    </row>
    <row r="763" spans="1:25" ht="15" customHeight="1" x14ac:dyDescent="0.35">
      <c r="A763" s="52">
        <v>8013473</v>
      </c>
      <c r="B763" s="51">
        <v>46118</v>
      </c>
      <c r="C763" s="7" t="s">
        <v>124</v>
      </c>
      <c r="D763" s="10">
        <f>IFERROR(SUMIFS('Base bordo'!G$2:G$746,'Base bordo'!C$2:C$746,A763,'Base bordo'!B$2:B$746,B763,'Base bordo'!F$2:F$746,"DESLOCAMENTO VAZIO"),0)</f>
        <v>1.5997222222222223</v>
      </c>
      <c r="E763" s="10">
        <f>IFERROR(SUMIFS('Base bordo'!G$2:G$746,'Base bordo'!C$2:C$746,A763,'Base bordo'!B$2:B$746,B763,'Base bordo'!F$2:F$746,"DESLOCAMENTO CARREGADO"),0)</f>
        <v>3.9169444444444443</v>
      </c>
      <c r="F763" s="10">
        <f>IFERROR(SUMIFS('Base bordo'!G$2:G$746,'Base bordo'!C$2:C$746,A763,'Base bordo'!B$2:B$746,B763,'Base bordo'!F$2:F$746,"DESLOCAMENTO"),0)</f>
        <v>0</v>
      </c>
      <c r="G763" s="10">
        <f>IFERROR(SUMIFS('Base bordo'!G$2:G$746,'Base bordo'!C$2:C$746,A763,'Base bordo'!B$2:B$746,B763,'Base bordo'!F$2:F$746,"CARREGAMENTO"),0)</f>
        <v>0</v>
      </c>
      <c r="H763" s="10">
        <f>IFERROR(SUMIFS('Base bordo'!G$2:G$746,'Base bordo'!C$2:C$746,A763,'Base bordo'!B$2:B$746,B763,'Base bordo'!F$2:F$746,"AGUARDANDO TRANSBORDO"),0)</f>
        <v>0.18527777777777779</v>
      </c>
      <c r="I763" s="10">
        <f>IFERROR(SUMIFS('Base bordo'!G$2:G$746,'Base bordo'!C$2:C$746,A763,'Base bordo'!B$2:B$746,B763,'Base bordo'!F$2:F$746,"PÁTIO INTERNO"),0)+IFERROR(SUMIFS('Base bordo'!G$2:G$746,'Base bordo'!C$2:C$746,A763,'Base bordo'!B$2:B$746,B763,'Base bordo'!F$2:F$746,"PÁTIO EXTERNO"),0)+IFERROR(SUMIFS('Base bordo'!G$2:G$746,'Base bordo'!C$2:C$746,A763,'Base bordo'!B$2:B$746,B763,'Base bordo'!F$2:F$746,"PATIO - RESERVA"),0)+IFERROR(SUMIFS('Base bordo'!G$2:G$746,'Base bordo'!C$2:C$746,A763,'Base bordo'!B$2:B$746,B763,'Base bordo'!F$2:F$746,"MANOBRA CARRETAS-PATIO"),0)</f>
        <v>10.403611111111111</v>
      </c>
      <c r="J763" s="10">
        <f>IFERROR(SUMIFS('Base bordo'!G$2:G$746,'Base bordo'!C$2:C$746,A763,'Base bordo'!B$2:B$746,B763,'Base bordo'!F$2:F$746,"BALANÇA - ENTRADA"),0)+IFERROR(SUMIFS('Base bordo'!G$2:G$746,'Base bordo'!C$2:C$746,A763,'Base bordo'!B$2:B$746,B763,'Base bordo'!F$2:F$746,"BALANÇA - SAÍDA"),0)</f>
        <v>5.8055555555555555E-2</v>
      </c>
      <c r="K763" s="10">
        <f>IFERROR(SUMIFS('Base bordo'!G$2:G$746,'Base bordo'!C$2:C$746,A763,'Base bordo'!B$2:B$746,B763,'Base bordo'!F$2:F$746,"MAN PREVENTIVA - MECANICA"),0)+IFERROR(SUMIFS('Base bordo'!G$2:G$746,'Base bordo'!C$2:C$746,A763,'Base bordo'!B$2:B$746,B763,'Base bordo'!F$2:F$746,"MAN CORRETIVA - MECANICA"),0)</f>
        <v>0</v>
      </c>
      <c r="L763" s="10">
        <f>IFERROR(SUMIFS('Base bordo'!G$2:G$746,'Base bordo'!C$2:C$746,A763,'Base bordo'!B$2:B$746,B763,'Base bordo'!F$2:F$746,"MANUTENCAO - T O"),0)+IFERROR(SUMIFS('Base bordo'!G$2:G$746,'Base bordo'!C$2:C$746,A763,'Base bordo'!B$2:B$746,B763,'Base bordo'!F$2:F$746,"MANUTENCAO BORRACHARIA"),0)+IFERROR(SUMIFS('Base bordo'!G$2:G$746,'Base bordo'!C$2:C$746,A763,'Base bordo'!B$2:B$746,B763,'Base bordo'!F$2:F$746,"MANUTENCAO EXTERNA  CONCESSIONARIA"),0)+IFERROR(SUMIFS('Base bordo'!G$2:G$746,'Base bordo'!C$2:C$746,A763,'Base bordo'!B$2:B$746,B763,'Base bordo'!F$2:F$746,"MANUTENCAO TELEMETRIA"),0)</f>
        <v>0</v>
      </c>
      <c r="M763" s="10">
        <f>IFERROR(SUMIFS('Base bordo'!G$2:G$746,'Base bordo'!C$2:C$746,A763,'Base bordo'!B$2:B$746,B763,'Base bordo'!F$2:F$746,"AGUARDANDO MANUTENCAO"),0)</f>
        <v>0</v>
      </c>
      <c r="N763" s="10">
        <f>IFERROR(SUMIFS('Base bordo'!G$2:G$746,'Base bordo'!C$2:C$746,A763,'Base bordo'!B$2:B$746,B763,'Base bordo'!F$2:F$746,"SEM APONTAMENTO"),0)</f>
        <v>0</v>
      </c>
      <c r="O763" s="10">
        <f t="shared" si="78"/>
        <v>3.5527136788005009E-15</v>
      </c>
      <c r="P763" s="10">
        <f>IFERROR(SUMIFS('Base bordo'!G$2:G$746,'Base bordo'!C$2:C$746,A763,'Base bordo'!B$2:B$746,B763),0)</f>
        <v>16.163611111111113</v>
      </c>
      <c r="Q763" s="10">
        <f>IFERROR(SUMIFS('Base bordo'!H$2:H$746,'Base bordo'!C$2:C$746,A763,'Base bordo'!B$2:B$746,B763,'Base bordo'!F$2:F$746,"DESLOCAMENTO VAZIO"),0)</f>
        <v>187793.3</v>
      </c>
      <c r="R763" s="10">
        <f>IFERROR(SUMIFS('Base bordo'!I$2:I$746,'Base bordo'!C$2:C$746,A763,'Base bordo'!B$2:B$746,B763,'Base bordo'!F$2:F$746,"DESLOCAMENTO VAZIO"),0)</f>
        <v>5759</v>
      </c>
      <c r="S763" s="30">
        <f t="shared" si="79"/>
        <v>32.608664698732419</v>
      </c>
      <c r="T763" s="10">
        <f>IFERROR(SUMIFS('Base bordo'!H$2:H$746,'Base bordo'!C$2:C$746,A763,'Base bordo'!B$2:B$746,B763,'Base bordo'!F$2:F$746,"DESLOCAMENTO CARREGADO"),0)</f>
        <v>380848.11</v>
      </c>
      <c r="U763" s="10">
        <f>IFERROR(SUMIFS('Base bordo'!I$2:I$746,'Base bordo'!C$2:C$746,A763,'Base bordo'!B$2:B$746,B763,'Base bordo'!F$2:F$746,"DESLOCAMENTO CARREGADO"),0)</f>
        <v>14101</v>
      </c>
      <c r="V763" s="30">
        <f t="shared" si="80"/>
        <v>27.008588752570738</v>
      </c>
      <c r="W763" s="9">
        <f t="shared" si="81"/>
        <v>9.8970595817078816E-2</v>
      </c>
      <c r="X763" s="9">
        <f t="shared" si="82"/>
        <v>0.24233102476413065</v>
      </c>
      <c r="Y763" s="9">
        <f t="shared" si="83"/>
        <v>0.6586983794187905</v>
      </c>
    </row>
    <row r="764" spans="1:25" ht="15" customHeight="1" x14ac:dyDescent="0.35">
      <c r="A764" s="52">
        <v>8013473</v>
      </c>
      <c r="B764" s="51">
        <v>46118</v>
      </c>
      <c r="C764" s="7" t="s">
        <v>124</v>
      </c>
      <c r="D764" s="10">
        <f>IFERROR(SUMIFS('Base bordo'!G$2:G$746,'Base bordo'!C$2:C$746,A764,'Base bordo'!B$2:B$746,B764,'Base bordo'!F$2:F$746,"DESLOCAMENTO VAZIO"),0)</f>
        <v>1.5997222222222223</v>
      </c>
      <c r="E764" s="10">
        <f>IFERROR(SUMIFS('Base bordo'!G$2:G$746,'Base bordo'!C$2:C$746,A764,'Base bordo'!B$2:B$746,B764,'Base bordo'!F$2:F$746,"DESLOCAMENTO CARREGADO"),0)</f>
        <v>3.9169444444444443</v>
      </c>
      <c r="F764" s="10">
        <f>IFERROR(SUMIFS('Base bordo'!G$2:G$746,'Base bordo'!C$2:C$746,A764,'Base bordo'!B$2:B$746,B764,'Base bordo'!F$2:F$746,"DESLOCAMENTO"),0)</f>
        <v>0</v>
      </c>
      <c r="G764" s="10">
        <f>IFERROR(SUMIFS('Base bordo'!G$2:G$746,'Base bordo'!C$2:C$746,A764,'Base bordo'!B$2:B$746,B764,'Base bordo'!F$2:F$746,"CARREGAMENTO"),0)</f>
        <v>0</v>
      </c>
      <c r="H764" s="10">
        <f>IFERROR(SUMIFS('Base bordo'!G$2:G$746,'Base bordo'!C$2:C$746,A764,'Base bordo'!B$2:B$746,B764,'Base bordo'!F$2:F$746,"AGUARDANDO TRANSBORDO"),0)</f>
        <v>0.18527777777777779</v>
      </c>
      <c r="I764" s="10">
        <f>IFERROR(SUMIFS('Base bordo'!G$2:G$746,'Base bordo'!C$2:C$746,A764,'Base bordo'!B$2:B$746,B764,'Base bordo'!F$2:F$746,"PÁTIO INTERNO"),0)+IFERROR(SUMIFS('Base bordo'!G$2:G$746,'Base bordo'!C$2:C$746,A764,'Base bordo'!B$2:B$746,B764,'Base bordo'!F$2:F$746,"PÁTIO EXTERNO"),0)+IFERROR(SUMIFS('Base bordo'!G$2:G$746,'Base bordo'!C$2:C$746,A764,'Base bordo'!B$2:B$746,B764,'Base bordo'!F$2:F$746,"PATIO - RESERVA"),0)+IFERROR(SUMIFS('Base bordo'!G$2:G$746,'Base bordo'!C$2:C$746,A764,'Base bordo'!B$2:B$746,B764,'Base bordo'!F$2:F$746,"MANOBRA CARRETAS-PATIO"),0)</f>
        <v>10.403611111111111</v>
      </c>
      <c r="J764" s="10">
        <f>IFERROR(SUMIFS('Base bordo'!G$2:G$746,'Base bordo'!C$2:C$746,A764,'Base bordo'!B$2:B$746,B764,'Base bordo'!F$2:F$746,"BALANÇA - ENTRADA"),0)+IFERROR(SUMIFS('Base bordo'!G$2:G$746,'Base bordo'!C$2:C$746,A764,'Base bordo'!B$2:B$746,B764,'Base bordo'!F$2:F$746,"BALANÇA - SAÍDA"),0)</f>
        <v>5.8055555555555555E-2</v>
      </c>
      <c r="K764" s="10">
        <f>IFERROR(SUMIFS('Base bordo'!G$2:G$746,'Base bordo'!C$2:C$746,A764,'Base bordo'!B$2:B$746,B764,'Base bordo'!F$2:F$746,"MAN PREVENTIVA - MECANICA"),0)+IFERROR(SUMIFS('Base bordo'!G$2:G$746,'Base bordo'!C$2:C$746,A764,'Base bordo'!B$2:B$746,B764,'Base bordo'!F$2:F$746,"MAN CORRETIVA - MECANICA"),0)</f>
        <v>0</v>
      </c>
      <c r="L764" s="10">
        <f>IFERROR(SUMIFS('Base bordo'!G$2:G$746,'Base bordo'!C$2:C$746,A764,'Base bordo'!B$2:B$746,B764,'Base bordo'!F$2:F$746,"MANUTENCAO - T O"),0)+IFERROR(SUMIFS('Base bordo'!G$2:G$746,'Base bordo'!C$2:C$746,A764,'Base bordo'!B$2:B$746,B764,'Base bordo'!F$2:F$746,"MANUTENCAO BORRACHARIA"),0)+IFERROR(SUMIFS('Base bordo'!G$2:G$746,'Base bordo'!C$2:C$746,A764,'Base bordo'!B$2:B$746,B764,'Base bordo'!F$2:F$746,"MANUTENCAO EXTERNA  CONCESSIONARIA"),0)+IFERROR(SUMIFS('Base bordo'!G$2:G$746,'Base bordo'!C$2:C$746,A764,'Base bordo'!B$2:B$746,B764,'Base bordo'!F$2:F$746,"MANUTENCAO TELEMETRIA"),0)</f>
        <v>0</v>
      </c>
      <c r="M764" s="10">
        <f>IFERROR(SUMIFS('Base bordo'!G$2:G$746,'Base bordo'!C$2:C$746,A764,'Base bordo'!B$2:B$746,B764,'Base bordo'!F$2:F$746,"AGUARDANDO MANUTENCAO"),0)</f>
        <v>0</v>
      </c>
      <c r="N764" s="10">
        <f>IFERROR(SUMIFS('Base bordo'!G$2:G$746,'Base bordo'!C$2:C$746,A764,'Base bordo'!B$2:B$746,B764,'Base bordo'!F$2:F$746,"SEM APONTAMENTO"),0)</f>
        <v>0</v>
      </c>
      <c r="O764" s="10">
        <f t="shared" si="78"/>
        <v>3.5527136788005009E-15</v>
      </c>
      <c r="P764" s="10">
        <f>IFERROR(SUMIFS('Base bordo'!G$2:G$746,'Base bordo'!C$2:C$746,A764,'Base bordo'!B$2:B$746,B764),0)</f>
        <v>16.163611111111113</v>
      </c>
      <c r="Q764" s="10">
        <f>IFERROR(SUMIFS('Base bordo'!H$2:H$746,'Base bordo'!C$2:C$746,A764,'Base bordo'!B$2:B$746,B764,'Base bordo'!F$2:F$746,"DESLOCAMENTO VAZIO"),0)</f>
        <v>187793.3</v>
      </c>
      <c r="R764" s="10">
        <f>IFERROR(SUMIFS('Base bordo'!I$2:I$746,'Base bordo'!C$2:C$746,A764,'Base bordo'!B$2:B$746,B764,'Base bordo'!F$2:F$746,"DESLOCAMENTO VAZIO"),0)</f>
        <v>5759</v>
      </c>
      <c r="S764" s="30">
        <f t="shared" si="79"/>
        <v>32.608664698732419</v>
      </c>
      <c r="T764" s="10">
        <f>IFERROR(SUMIFS('Base bordo'!H$2:H$746,'Base bordo'!C$2:C$746,A764,'Base bordo'!B$2:B$746,B764,'Base bordo'!F$2:F$746,"DESLOCAMENTO CARREGADO"),0)</f>
        <v>380848.11</v>
      </c>
      <c r="U764" s="10">
        <f>IFERROR(SUMIFS('Base bordo'!I$2:I$746,'Base bordo'!C$2:C$746,A764,'Base bordo'!B$2:B$746,B764,'Base bordo'!F$2:F$746,"DESLOCAMENTO CARREGADO"),0)</f>
        <v>14101</v>
      </c>
      <c r="V764" s="30">
        <f t="shared" si="80"/>
        <v>27.008588752570738</v>
      </c>
      <c r="W764" s="9">
        <f t="shared" si="81"/>
        <v>9.8970595817078816E-2</v>
      </c>
      <c r="X764" s="9">
        <f t="shared" si="82"/>
        <v>0.24233102476413065</v>
      </c>
      <c r="Y764" s="9">
        <f t="shared" si="83"/>
        <v>0.6586983794187905</v>
      </c>
    </row>
    <row r="765" spans="1:25" ht="15" customHeight="1" x14ac:dyDescent="0.35">
      <c r="A765" s="52">
        <v>8013473</v>
      </c>
      <c r="B765" s="51">
        <v>46118</v>
      </c>
      <c r="C765" s="7" t="s">
        <v>124</v>
      </c>
      <c r="D765" s="10">
        <f>IFERROR(SUMIFS('Base bordo'!G$2:G$746,'Base bordo'!C$2:C$746,A765,'Base bordo'!B$2:B$746,B765,'Base bordo'!F$2:F$746,"DESLOCAMENTO VAZIO"),0)</f>
        <v>1.5997222222222223</v>
      </c>
      <c r="E765" s="10">
        <f>IFERROR(SUMIFS('Base bordo'!G$2:G$746,'Base bordo'!C$2:C$746,A765,'Base bordo'!B$2:B$746,B765,'Base bordo'!F$2:F$746,"DESLOCAMENTO CARREGADO"),0)</f>
        <v>3.9169444444444443</v>
      </c>
      <c r="F765" s="10">
        <f>IFERROR(SUMIFS('Base bordo'!G$2:G$746,'Base bordo'!C$2:C$746,A765,'Base bordo'!B$2:B$746,B765,'Base bordo'!F$2:F$746,"DESLOCAMENTO"),0)</f>
        <v>0</v>
      </c>
      <c r="G765" s="10">
        <f>IFERROR(SUMIFS('Base bordo'!G$2:G$746,'Base bordo'!C$2:C$746,A765,'Base bordo'!B$2:B$746,B765,'Base bordo'!F$2:F$746,"CARREGAMENTO"),0)</f>
        <v>0</v>
      </c>
      <c r="H765" s="10">
        <f>IFERROR(SUMIFS('Base bordo'!G$2:G$746,'Base bordo'!C$2:C$746,A765,'Base bordo'!B$2:B$746,B765,'Base bordo'!F$2:F$746,"AGUARDANDO TRANSBORDO"),0)</f>
        <v>0.18527777777777779</v>
      </c>
      <c r="I765" s="10">
        <f>IFERROR(SUMIFS('Base bordo'!G$2:G$746,'Base bordo'!C$2:C$746,A765,'Base bordo'!B$2:B$746,B765,'Base bordo'!F$2:F$746,"PÁTIO INTERNO"),0)+IFERROR(SUMIFS('Base bordo'!G$2:G$746,'Base bordo'!C$2:C$746,A765,'Base bordo'!B$2:B$746,B765,'Base bordo'!F$2:F$746,"PÁTIO EXTERNO"),0)+IFERROR(SUMIFS('Base bordo'!G$2:G$746,'Base bordo'!C$2:C$746,A765,'Base bordo'!B$2:B$746,B765,'Base bordo'!F$2:F$746,"PATIO - RESERVA"),0)+IFERROR(SUMIFS('Base bordo'!G$2:G$746,'Base bordo'!C$2:C$746,A765,'Base bordo'!B$2:B$746,B765,'Base bordo'!F$2:F$746,"MANOBRA CARRETAS-PATIO"),0)</f>
        <v>10.403611111111111</v>
      </c>
      <c r="J765" s="10">
        <f>IFERROR(SUMIFS('Base bordo'!G$2:G$746,'Base bordo'!C$2:C$746,A765,'Base bordo'!B$2:B$746,B765,'Base bordo'!F$2:F$746,"BALANÇA - ENTRADA"),0)+IFERROR(SUMIFS('Base bordo'!G$2:G$746,'Base bordo'!C$2:C$746,A765,'Base bordo'!B$2:B$746,B765,'Base bordo'!F$2:F$746,"BALANÇA - SAÍDA"),0)</f>
        <v>5.8055555555555555E-2</v>
      </c>
      <c r="K765" s="10">
        <f>IFERROR(SUMIFS('Base bordo'!G$2:G$746,'Base bordo'!C$2:C$746,A765,'Base bordo'!B$2:B$746,B765,'Base bordo'!F$2:F$746,"MAN PREVENTIVA - MECANICA"),0)+IFERROR(SUMIFS('Base bordo'!G$2:G$746,'Base bordo'!C$2:C$746,A765,'Base bordo'!B$2:B$746,B765,'Base bordo'!F$2:F$746,"MAN CORRETIVA - MECANICA"),0)</f>
        <v>0</v>
      </c>
      <c r="L765" s="10">
        <f>IFERROR(SUMIFS('Base bordo'!G$2:G$746,'Base bordo'!C$2:C$746,A765,'Base bordo'!B$2:B$746,B765,'Base bordo'!F$2:F$746,"MANUTENCAO - T O"),0)+IFERROR(SUMIFS('Base bordo'!G$2:G$746,'Base bordo'!C$2:C$746,A765,'Base bordo'!B$2:B$746,B765,'Base bordo'!F$2:F$746,"MANUTENCAO BORRACHARIA"),0)+IFERROR(SUMIFS('Base bordo'!G$2:G$746,'Base bordo'!C$2:C$746,A765,'Base bordo'!B$2:B$746,B765,'Base bordo'!F$2:F$746,"MANUTENCAO EXTERNA  CONCESSIONARIA"),0)+IFERROR(SUMIFS('Base bordo'!G$2:G$746,'Base bordo'!C$2:C$746,A765,'Base bordo'!B$2:B$746,B765,'Base bordo'!F$2:F$746,"MANUTENCAO TELEMETRIA"),0)</f>
        <v>0</v>
      </c>
      <c r="M765" s="10">
        <f>IFERROR(SUMIFS('Base bordo'!G$2:G$746,'Base bordo'!C$2:C$746,A765,'Base bordo'!B$2:B$746,B765,'Base bordo'!F$2:F$746,"AGUARDANDO MANUTENCAO"),0)</f>
        <v>0</v>
      </c>
      <c r="N765" s="10">
        <f>IFERROR(SUMIFS('Base bordo'!G$2:G$746,'Base bordo'!C$2:C$746,A765,'Base bordo'!B$2:B$746,B765,'Base bordo'!F$2:F$746,"SEM APONTAMENTO"),0)</f>
        <v>0</v>
      </c>
      <c r="O765" s="10">
        <f t="shared" si="78"/>
        <v>3.5527136788005009E-15</v>
      </c>
      <c r="P765" s="10">
        <f>IFERROR(SUMIFS('Base bordo'!G$2:G$746,'Base bordo'!C$2:C$746,A765,'Base bordo'!B$2:B$746,B765),0)</f>
        <v>16.163611111111113</v>
      </c>
      <c r="Q765" s="10">
        <f>IFERROR(SUMIFS('Base bordo'!H$2:H$746,'Base bordo'!C$2:C$746,A765,'Base bordo'!B$2:B$746,B765,'Base bordo'!F$2:F$746,"DESLOCAMENTO VAZIO"),0)</f>
        <v>187793.3</v>
      </c>
      <c r="R765" s="10">
        <f>IFERROR(SUMIFS('Base bordo'!I$2:I$746,'Base bordo'!C$2:C$746,A765,'Base bordo'!B$2:B$746,B765,'Base bordo'!F$2:F$746,"DESLOCAMENTO VAZIO"),0)</f>
        <v>5759</v>
      </c>
      <c r="S765" s="30">
        <f t="shared" si="79"/>
        <v>32.608664698732419</v>
      </c>
      <c r="T765" s="10">
        <f>IFERROR(SUMIFS('Base bordo'!H$2:H$746,'Base bordo'!C$2:C$746,A765,'Base bordo'!B$2:B$746,B765,'Base bordo'!F$2:F$746,"DESLOCAMENTO CARREGADO"),0)</f>
        <v>380848.11</v>
      </c>
      <c r="U765" s="10">
        <f>IFERROR(SUMIFS('Base bordo'!I$2:I$746,'Base bordo'!C$2:C$746,A765,'Base bordo'!B$2:B$746,B765,'Base bordo'!F$2:F$746,"DESLOCAMENTO CARREGADO"),0)</f>
        <v>14101</v>
      </c>
      <c r="V765" s="30">
        <f t="shared" si="80"/>
        <v>27.008588752570738</v>
      </c>
      <c r="W765" s="9">
        <f t="shared" si="81"/>
        <v>9.8970595817078816E-2</v>
      </c>
      <c r="X765" s="9">
        <f t="shared" si="82"/>
        <v>0.24233102476413065</v>
      </c>
      <c r="Y765" s="9">
        <f t="shared" si="83"/>
        <v>0.6586983794187905</v>
      </c>
    </row>
    <row r="766" spans="1:25" ht="15" customHeight="1" x14ac:dyDescent="0.35">
      <c r="A766" s="52">
        <v>8013473</v>
      </c>
      <c r="B766" s="51">
        <v>46118</v>
      </c>
      <c r="C766" s="7" t="s">
        <v>124</v>
      </c>
      <c r="D766" s="10">
        <f>IFERROR(SUMIFS('Base bordo'!G$2:G$746,'Base bordo'!C$2:C$746,A766,'Base bordo'!B$2:B$746,B766,'Base bordo'!F$2:F$746,"DESLOCAMENTO VAZIO"),0)</f>
        <v>1.5997222222222223</v>
      </c>
      <c r="E766" s="10">
        <f>IFERROR(SUMIFS('Base bordo'!G$2:G$746,'Base bordo'!C$2:C$746,A766,'Base bordo'!B$2:B$746,B766,'Base bordo'!F$2:F$746,"DESLOCAMENTO CARREGADO"),0)</f>
        <v>3.9169444444444443</v>
      </c>
      <c r="F766" s="10">
        <f>IFERROR(SUMIFS('Base bordo'!G$2:G$746,'Base bordo'!C$2:C$746,A766,'Base bordo'!B$2:B$746,B766,'Base bordo'!F$2:F$746,"DESLOCAMENTO"),0)</f>
        <v>0</v>
      </c>
      <c r="G766" s="10">
        <f>IFERROR(SUMIFS('Base bordo'!G$2:G$746,'Base bordo'!C$2:C$746,A766,'Base bordo'!B$2:B$746,B766,'Base bordo'!F$2:F$746,"CARREGAMENTO"),0)</f>
        <v>0</v>
      </c>
      <c r="H766" s="10">
        <f>IFERROR(SUMIFS('Base bordo'!G$2:G$746,'Base bordo'!C$2:C$746,A766,'Base bordo'!B$2:B$746,B766,'Base bordo'!F$2:F$746,"AGUARDANDO TRANSBORDO"),0)</f>
        <v>0.18527777777777779</v>
      </c>
      <c r="I766" s="10">
        <f>IFERROR(SUMIFS('Base bordo'!G$2:G$746,'Base bordo'!C$2:C$746,A766,'Base bordo'!B$2:B$746,B766,'Base bordo'!F$2:F$746,"PÁTIO INTERNO"),0)+IFERROR(SUMIFS('Base bordo'!G$2:G$746,'Base bordo'!C$2:C$746,A766,'Base bordo'!B$2:B$746,B766,'Base bordo'!F$2:F$746,"PÁTIO EXTERNO"),0)+IFERROR(SUMIFS('Base bordo'!G$2:G$746,'Base bordo'!C$2:C$746,A766,'Base bordo'!B$2:B$746,B766,'Base bordo'!F$2:F$746,"PATIO - RESERVA"),0)+IFERROR(SUMIFS('Base bordo'!G$2:G$746,'Base bordo'!C$2:C$746,A766,'Base bordo'!B$2:B$746,B766,'Base bordo'!F$2:F$746,"MANOBRA CARRETAS-PATIO"),0)</f>
        <v>10.403611111111111</v>
      </c>
      <c r="J766" s="10">
        <f>IFERROR(SUMIFS('Base bordo'!G$2:G$746,'Base bordo'!C$2:C$746,A766,'Base bordo'!B$2:B$746,B766,'Base bordo'!F$2:F$746,"BALANÇA - ENTRADA"),0)+IFERROR(SUMIFS('Base bordo'!G$2:G$746,'Base bordo'!C$2:C$746,A766,'Base bordo'!B$2:B$746,B766,'Base bordo'!F$2:F$746,"BALANÇA - SAÍDA"),0)</f>
        <v>5.8055555555555555E-2</v>
      </c>
      <c r="K766" s="10">
        <f>IFERROR(SUMIFS('Base bordo'!G$2:G$746,'Base bordo'!C$2:C$746,A766,'Base bordo'!B$2:B$746,B766,'Base bordo'!F$2:F$746,"MAN PREVENTIVA - MECANICA"),0)+IFERROR(SUMIFS('Base bordo'!G$2:G$746,'Base bordo'!C$2:C$746,A766,'Base bordo'!B$2:B$746,B766,'Base bordo'!F$2:F$746,"MAN CORRETIVA - MECANICA"),0)</f>
        <v>0</v>
      </c>
      <c r="L766" s="10">
        <f>IFERROR(SUMIFS('Base bordo'!G$2:G$746,'Base bordo'!C$2:C$746,A766,'Base bordo'!B$2:B$746,B766,'Base bordo'!F$2:F$746,"MANUTENCAO - T O"),0)+IFERROR(SUMIFS('Base bordo'!G$2:G$746,'Base bordo'!C$2:C$746,A766,'Base bordo'!B$2:B$746,B766,'Base bordo'!F$2:F$746,"MANUTENCAO BORRACHARIA"),0)+IFERROR(SUMIFS('Base bordo'!G$2:G$746,'Base bordo'!C$2:C$746,A766,'Base bordo'!B$2:B$746,B766,'Base bordo'!F$2:F$746,"MANUTENCAO EXTERNA  CONCESSIONARIA"),0)+IFERROR(SUMIFS('Base bordo'!G$2:G$746,'Base bordo'!C$2:C$746,A766,'Base bordo'!B$2:B$746,B766,'Base bordo'!F$2:F$746,"MANUTENCAO TELEMETRIA"),0)</f>
        <v>0</v>
      </c>
      <c r="M766" s="10">
        <f>IFERROR(SUMIFS('Base bordo'!G$2:G$746,'Base bordo'!C$2:C$746,A766,'Base bordo'!B$2:B$746,B766,'Base bordo'!F$2:F$746,"AGUARDANDO MANUTENCAO"),0)</f>
        <v>0</v>
      </c>
      <c r="N766" s="10">
        <f>IFERROR(SUMIFS('Base bordo'!G$2:G$746,'Base bordo'!C$2:C$746,A766,'Base bordo'!B$2:B$746,B766,'Base bordo'!F$2:F$746,"SEM APONTAMENTO"),0)</f>
        <v>0</v>
      </c>
      <c r="O766" s="10">
        <f t="shared" si="78"/>
        <v>3.5527136788005009E-15</v>
      </c>
      <c r="P766" s="10">
        <f>IFERROR(SUMIFS('Base bordo'!G$2:G$746,'Base bordo'!C$2:C$746,A766,'Base bordo'!B$2:B$746,B766),0)</f>
        <v>16.163611111111113</v>
      </c>
      <c r="Q766" s="10">
        <f>IFERROR(SUMIFS('Base bordo'!H$2:H$746,'Base bordo'!C$2:C$746,A766,'Base bordo'!B$2:B$746,B766,'Base bordo'!F$2:F$746,"DESLOCAMENTO VAZIO"),0)</f>
        <v>187793.3</v>
      </c>
      <c r="R766" s="10">
        <f>IFERROR(SUMIFS('Base bordo'!I$2:I$746,'Base bordo'!C$2:C$746,A766,'Base bordo'!B$2:B$746,B766,'Base bordo'!F$2:F$746,"DESLOCAMENTO VAZIO"),0)</f>
        <v>5759</v>
      </c>
      <c r="S766" s="30">
        <f t="shared" si="79"/>
        <v>32.608664698732419</v>
      </c>
      <c r="T766" s="10">
        <f>IFERROR(SUMIFS('Base bordo'!H$2:H$746,'Base bordo'!C$2:C$746,A766,'Base bordo'!B$2:B$746,B766,'Base bordo'!F$2:F$746,"DESLOCAMENTO CARREGADO"),0)</f>
        <v>380848.11</v>
      </c>
      <c r="U766" s="10">
        <f>IFERROR(SUMIFS('Base bordo'!I$2:I$746,'Base bordo'!C$2:C$746,A766,'Base bordo'!B$2:B$746,B766,'Base bordo'!F$2:F$746,"DESLOCAMENTO CARREGADO"),0)</f>
        <v>14101</v>
      </c>
      <c r="V766" s="30">
        <f t="shared" si="80"/>
        <v>27.008588752570738</v>
      </c>
      <c r="W766" s="9">
        <f t="shared" si="81"/>
        <v>9.8970595817078816E-2</v>
      </c>
      <c r="X766" s="9">
        <f t="shared" si="82"/>
        <v>0.24233102476413065</v>
      </c>
      <c r="Y766" s="9">
        <f t="shared" si="83"/>
        <v>0.6586983794187905</v>
      </c>
    </row>
    <row r="767" spans="1:25" ht="15" customHeight="1" x14ac:dyDescent="0.35">
      <c r="A767" s="52">
        <v>8013473</v>
      </c>
      <c r="B767" s="51">
        <v>46118</v>
      </c>
      <c r="C767" s="7" t="s">
        <v>124</v>
      </c>
      <c r="D767" s="10">
        <f>IFERROR(SUMIFS('Base bordo'!G$2:G$746,'Base bordo'!C$2:C$746,A767,'Base bordo'!B$2:B$746,B767,'Base bordo'!F$2:F$746,"DESLOCAMENTO VAZIO"),0)</f>
        <v>1.5997222222222223</v>
      </c>
      <c r="E767" s="10">
        <f>IFERROR(SUMIFS('Base bordo'!G$2:G$746,'Base bordo'!C$2:C$746,A767,'Base bordo'!B$2:B$746,B767,'Base bordo'!F$2:F$746,"DESLOCAMENTO CARREGADO"),0)</f>
        <v>3.9169444444444443</v>
      </c>
      <c r="F767" s="10">
        <f>IFERROR(SUMIFS('Base bordo'!G$2:G$746,'Base bordo'!C$2:C$746,A767,'Base bordo'!B$2:B$746,B767,'Base bordo'!F$2:F$746,"DESLOCAMENTO"),0)</f>
        <v>0</v>
      </c>
      <c r="G767" s="10">
        <f>IFERROR(SUMIFS('Base bordo'!G$2:G$746,'Base bordo'!C$2:C$746,A767,'Base bordo'!B$2:B$746,B767,'Base bordo'!F$2:F$746,"CARREGAMENTO"),0)</f>
        <v>0</v>
      </c>
      <c r="H767" s="10">
        <f>IFERROR(SUMIFS('Base bordo'!G$2:G$746,'Base bordo'!C$2:C$746,A767,'Base bordo'!B$2:B$746,B767,'Base bordo'!F$2:F$746,"AGUARDANDO TRANSBORDO"),0)</f>
        <v>0.18527777777777779</v>
      </c>
      <c r="I767" s="10">
        <f>IFERROR(SUMIFS('Base bordo'!G$2:G$746,'Base bordo'!C$2:C$746,A767,'Base bordo'!B$2:B$746,B767,'Base bordo'!F$2:F$746,"PÁTIO INTERNO"),0)+IFERROR(SUMIFS('Base bordo'!G$2:G$746,'Base bordo'!C$2:C$746,A767,'Base bordo'!B$2:B$746,B767,'Base bordo'!F$2:F$746,"PÁTIO EXTERNO"),0)+IFERROR(SUMIFS('Base bordo'!G$2:G$746,'Base bordo'!C$2:C$746,A767,'Base bordo'!B$2:B$746,B767,'Base bordo'!F$2:F$746,"PATIO - RESERVA"),0)+IFERROR(SUMIFS('Base bordo'!G$2:G$746,'Base bordo'!C$2:C$746,A767,'Base bordo'!B$2:B$746,B767,'Base bordo'!F$2:F$746,"MANOBRA CARRETAS-PATIO"),0)</f>
        <v>10.403611111111111</v>
      </c>
      <c r="J767" s="10">
        <f>IFERROR(SUMIFS('Base bordo'!G$2:G$746,'Base bordo'!C$2:C$746,A767,'Base bordo'!B$2:B$746,B767,'Base bordo'!F$2:F$746,"BALANÇA - ENTRADA"),0)+IFERROR(SUMIFS('Base bordo'!G$2:G$746,'Base bordo'!C$2:C$746,A767,'Base bordo'!B$2:B$746,B767,'Base bordo'!F$2:F$746,"BALANÇA - SAÍDA"),0)</f>
        <v>5.8055555555555555E-2</v>
      </c>
      <c r="K767" s="10">
        <f>IFERROR(SUMIFS('Base bordo'!G$2:G$746,'Base bordo'!C$2:C$746,A767,'Base bordo'!B$2:B$746,B767,'Base bordo'!F$2:F$746,"MAN PREVENTIVA - MECANICA"),0)+IFERROR(SUMIFS('Base bordo'!G$2:G$746,'Base bordo'!C$2:C$746,A767,'Base bordo'!B$2:B$746,B767,'Base bordo'!F$2:F$746,"MAN CORRETIVA - MECANICA"),0)</f>
        <v>0</v>
      </c>
      <c r="L767" s="10">
        <f>IFERROR(SUMIFS('Base bordo'!G$2:G$746,'Base bordo'!C$2:C$746,A767,'Base bordo'!B$2:B$746,B767,'Base bordo'!F$2:F$746,"MANUTENCAO - T O"),0)+IFERROR(SUMIFS('Base bordo'!G$2:G$746,'Base bordo'!C$2:C$746,A767,'Base bordo'!B$2:B$746,B767,'Base bordo'!F$2:F$746,"MANUTENCAO BORRACHARIA"),0)+IFERROR(SUMIFS('Base bordo'!G$2:G$746,'Base bordo'!C$2:C$746,A767,'Base bordo'!B$2:B$746,B767,'Base bordo'!F$2:F$746,"MANUTENCAO EXTERNA  CONCESSIONARIA"),0)+IFERROR(SUMIFS('Base bordo'!G$2:G$746,'Base bordo'!C$2:C$746,A767,'Base bordo'!B$2:B$746,B767,'Base bordo'!F$2:F$746,"MANUTENCAO TELEMETRIA"),0)</f>
        <v>0</v>
      </c>
      <c r="M767" s="10">
        <f>IFERROR(SUMIFS('Base bordo'!G$2:G$746,'Base bordo'!C$2:C$746,A767,'Base bordo'!B$2:B$746,B767,'Base bordo'!F$2:F$746,"AGUARDANDO MANUTENCAO"),0)</f>
        <v>0</v>
      </c>
      <c r="N767" s="10">
        <f>IFERROR(SUMIFS('Base bordo'!G$2:G$746,'Base bordo'!C$2:C$746,A767,'Base bordo'!B$2:B$746,B767,'Base bordo'!F$2:F$746,"SEM APONTAMENTO"),0)</f>
        <v>0</v>
      </c>
      <c r="O767" s="10">
        <f t="shared" si="78"/>
        <v>3.5527136788005009E-15</v>
      </c>
      <c r="P767" s="10">
        <f>IFERROR(SUMIFS('Base bordo'!G$2:G$746,'Base bordo'!C$2:C$746,A767,'Base bordo'!B$2:B$746,B767),0)</f>
        <v>16.163611111111113</v>
      </c>
      <c r="Q767" s="10">
        <f>IFERROR(SUMIFS('Base bordo'!H$2:H$746,'Base bordo'!C$2:C$746,A767,'Base bordo'!B$2:B$746,B767,'Base bordo'!F$2:F$746,"DESLOCAMENTO VAZIO"),0)</f>
        <v>187793.3</v>
      </c>
      <c r="R767" s="10">
        <f>IFERROR(SUMIFS('Base bordo'!I$2:I$746,'Base bordo'!C$2:C$746,A767,'Base bordo'!B$2:B$746,B767,'Base bordo'!F$2:F$746,"DESLOCAMENTO VAZIO"),0)</f>
        <v>5759</v>
      </c>
      <c r="S767" s="30">
        <f t="shared" si="79"/>
        <v>32.608664698732419</v>
      </c>
      <c r="T767" s="10">
        <f>IFERROR(SUMIFS('Base bordo'!H$2:H$746,'Base bordo'!C$2:C$746,A767,'Base bordo'!B$2:B$746,B767,'Base bordo'!F$2:F$746,"DESLOCAMENTO CARREGADO"),0)</f>
        <v>380848.11</v>
      </c>
      <c r="U767" s="10">
        <f>IFERROR(SUMIFS('Base bordo'!I$2:I$746,'Base bordo'!C$2:C$746,A767,'Base bordo'!B$2:B$746,B767,'Base bordo'!F$2:F$746,"DESLOCAMENTO CARREGADO"),0)</f>
        <v>14101</v>
      </c>
      <c r="V767" s="30">
        <f t="shared" si="80"/>
        <v>27.008588752570738</v>
      </c>
      <c r="W767" s="9">
        <f t="shared" si="81"/>
        <v>9.8970595817078816E-2</v>
      </c>
      <c r="X767" s="9">
        <f t="shared" si="82"/>
        <v>0.24233102476413065</v>
      </c>
      <c r="Y767" s="9">
        <f t="shared" si="83"/>
        <v>0.6586983794187905</v>
      </c>
    </row>
    <row r="768" spans="1:25" ht="15" customHeight="1" x14ac:dyDescent="0.35">
      <c r="A768" s="52">
        <v>8013473</v>
      </c>
      <c r="B768" s="51">
        <v>46118</v>
      </c>
      <c r="C768" s="7" t="s">
        <v>124</v>
      </c>
      <c r="D768" s="10">
        <f>IFERROR(SUMIFS('Base bordo'!G$2:G$746,'Base bordo'!C$2:C$746,A768,'Base bordo'!B$2:B$746,B768,'Base bordo'!F$2:F$746,"DESLOCAMENTO VAZIO"),0)</f>
        <v>1.5997222222222223</v>
      </c>
      <c r="E768" s="10">
        <f>IFERROR(SUMIFS('Base bordo'!G$2:G$746,'Base bordo'!C$2:C$746,A768,'Base bordo'!B$2:B$746,B768,'Base bordo'!F$2:F$746,"DESLOCAMENTO CARREGADO"),0)</f>
        <v>3.9169444444444443</v>
      </c>
      <c r="F768" s="10">
        <f>IFERROR(SUMIFS('Base bordo'!G$2:G$746,'Base bordo'!C$2:C$746,A768,'Base bordo'!B$2:B$746,B768,'Base bordo'!F$2:F$746,"DESLOCAMENTO"),0)</f>
        <v>0</v>
      </c>
      <c r="G768" s="10">
        <f>IFERROR(SUMIFS('Base bordo'!G$2:G$746,'Base bordo'!C$2:C$746,A768,'Base bordo'!B$2:B$746,B768,'Base bordo'!F$2:F$746,"CARREGAMENTO"),0)</f>
        <v>0</v>
      </c>
      <c r="H768" s="10">
        <f>IFERROR(SUMIFS('Base bordo'!G$2:G$746,'Base bordo'!C$2:C$746,A768,'Base bordo'!B$2:B$746,B768,'Base bordo'!F$2:F$746,"AGUARDANDO TRANSBORDO"),0)</f>
        <v>0.18527777777777779</v>
      </c>
      <c r="I768" s="10">
        <f>IFERROR(SUMIFS('Base bordo'!G$2:G$746,'Base bordo'!C$2:C$746,A768,'Base bordo'!B$2:B$746,B768,'Base bordo'!F$2:F$746,"PÁTIO INTERNO"),0)+IFERROR(SUMIFS('Base bordo'!G$2:G$746,'Base bordo'!C$2:C$746,A768,'Base bordo'!B$2:B$746,B768,'Base bordo'!F$2:F$746,"PÁTIO EXTERNO"),0)+IFERROR(SUMIFS('Base bordo'!G$2:G$746,'Base bordo'!C$2:C$746,A768,'Base bordo'!B$2:B$746,B768,'Base bordo'!F$2:F$746,"PATIO - RESERVA"),0)+IFERROR(SUMIFS('Base bordo'!G$2:G$746,'Base bordo'!C$2:C$746,A768,'Base bordo'!B$2:B$746,B768,'Base bordo'!F$2:F$746,"MANOBRA CARRETAS-PATIO"),0)</f>
        <v>10.403611111111111</v>
      </c>
      <c r="J768" s="10">
        <f>IFERROR(SUMIFS('Base bordo'!G$2:G$746,'Base bordo'!C$2:C$746,A768,'Base bordo'!B$2:B$746,B768,'Base bordo'!F$2:F$746,"BALANÇA - ENTRADA"),0)+IFERROR(SUMIFS('Base bordo'!G$2:G$746,'Base bordo'!C$2:C$746,A768,'Base bordo'!B$2:B$746,B768,'Base bordo'!F$2:F$746,"BALANÇA - SAÍDA"),0)</f>
        <v>5.8055555555555555E-2</v>
      </c>
      <c r="K768" s="10">
        <f>IFERROR(SUMIFS('Base bordo'!G$2:G$746,'Base bordo'!C$2:C$746,A768,'Base bordo'!B$2:B$746,B768,'Base bordo'!F$2:F$746,"MAN PREVENTIVA - MECANICA"),0)+IFERROR(SUMIFS('Base bordo'!G$2:G$746,'Base bordo'!C$2:C$746,A768,'Base bordo'!B$2:B$746,B768,'Base bordo'!F$2:F$746,"MAN CORRETIVA - MECANICA"),0)</f>
        <v>0</v>
      </c>
      <c r="L768" s="10">
        <f>IFERROR(SUMIFS('Base bordo'!G$2:G$746,'Base bordo'!C$2:C$746,A768,'Base bordo'!B$2:B$746,B768,'Base bordo'!F$2:F$746,"MANUTENCAO - T O"),0)+IFERROR(SUMIFS('Base bordo'!G$2:G$746,'Base bordo'!C$2:C$746,A768,'Base bordo'!B$2:B$746,B768,'Base bordo'!F$2:F$746,"MANUTENCAO BORRACHARIA"),0)+IFERROR(SUMIFS('Base bordo'!G$2:G$746,'Base bordo'!C$2:C$746,A768,'Base bordo'!B$2:B$746,B768,'Base bordo'!F$2:F$746,"MANUTENCAO EXTERNA  CONCESSIONARIA"),0)+IFERROR(SUMIFS('Base bordo'!G$2:G$746,'Base bordo'!C$2:C$746,A768,'Base bordo'!B$2:B$746,B768,'Base bordo'!F$2:F$746,"MANUTENCAO TELEMETRIA"),0)</f>
        <v>0</v>
      </c>
      <c r="M768" s="10">
        <f>IFERROR(SUMIFS('Base bordo'!G$2:G$746,'Base bordo'!C$2:C$746,A768,'Base bordo'!B$2:B$746,B768,'Base bordo'!F$2:F$746,"AGUARDANDO MANUTENCAO"),0)</f>
        <v>0</v>
      </c>
      <c r="N768" s="10">
        <f>IFERROR(SUMIFS('Base bordo'!G$2:G$746,'Base bordo'!C$2:C$746,A768,'Base bordo'!B$2:B$746,B768,'Base bordo'!F$2:F$746,"SEM APONTAMENTO"),0)</f>
        <v>0</v>
      </c>
      <c r="O768" s="10">
        <f t="shared" si="78"/>
        <v>3.5527136788005009E-15</v>
      </c>
      <c r="P768" s="10">
        <f>IFERROR(SUMIFS('Base bordo'!G$2:G$746,'Base bordo'!C$2:C$746,A768,'Base bordo'!B$2:B$746,B768),0)</f>
        <v>16.163611111111113</v>
      </c>
      <c r="Q768" s="10">
        <f>IFERROR(SUMIFS('Base bordo'!H$2:H$746,'Base bordo'!C$2:C$746,A768,'Base bordo'!B$2:B$746,B768,'Base bordo'!F$2:F$746,"DESLOCAMENTO VAZIO"),0)</f>
        <v>187793.3</v>
      </c>
      <c r="R768" s="10">
        <f>IFERROR(SUMIFS('Base bordo'!I$2:I$746,'Base bordo'!C$2:C$746,A768,'Base bordo'!B$2:B$746,B768,'Base bordo'!F$2:F$746,"DESLOCAMENTO VAZIO"),0)</f>
        <v>5759</v>
      </c>
      <c r="S768" s="30">
        <f t="shared" si="79"/>
        <v>32.608664698732419</v>
      </c>
      <c r="T768" s="10">
        <f>IFERROR(SUMIFS('Base bordo'!H$2:H$746,'Base bordo'!C$2:C$746,A768,'Base bordo'!B$2:B$746,B768,'Base bordo'!F$2:F$746,"DESLOCAMENTO CARREGADO"),0)</f>
        <v>380848.11</v>
      </c>
      <c r="U768" s="10">
        <f>IFERROR(SUMIFS('Base bordo'!I$2:I$746,'Base bordo'!C$2:C$746,A768,'Base bordo'!B$2:B$746,B768,'Base bordo'!F$2:F$746,"DESLOCAMENTO CARREGADO"),0)</f>
        <v>14101</v>
      </c>
      <c r="V768" s="30">
        <f t="shared" si="80"/>
        <v>27.008588752570738</v>
      </c>
      <c r="W768" s="9">
        <f t="shared" si="81"/>
        <v>9.8970595817078816E-2</v>
      </c>
      <c r="X768" s="9">
        <f t="shared" si="82"/>
        <v>0.24233102476413065</v>
      </c>
      <c r="Y768" s="9">
        <f t="shared" si="83"/>
        <v>0.6586983794187905</v>
      </c>
    </row>
    <row r="769" spans="1:25" ht="15" customHeight="1" x14ac:dyDescent="0.35">
      <c r="A769" s="52">
        <v>8013473</v>
      </c>
      <c r="B769" s="51">
        <v>46118</v>
      </c>
      <c r="C769" s="7" t="s">
        <v>124</v>
      </c>
      <c r="D769" s="10">
        <f>IFERROR(SUMIFS('Base bordo'!G$2:G$746,'Base bordo'!C$2:C$746,A769,'Base bordo'!B$2:B$746,B769,'Base bordo'!F$2:F$746,"DESLOCAMENTO VAZIO"),0)</f>
        <v>1.5997222222222223</v>
      </c>
      <c r="E769" s="10">
        <f>IFERROR(SUMIFS('Base bordo'!G$2:G$746,'Base bordo'!C$2:C$746,A769,'Base bordo'!B$2:B$746,B769,'Base bordo'!F$2:F$746,"DESLOCAMENTO CARREGADO"),0)</f>
        <v>3.9169444444444443</v>
      </c>
      <c r="F769" s="10">
        <f>IFERROR(SUMIFS('Base bordo'!G$2:G$746,'Base bordo'!C$2:C$746,A769,'Base bordo'!B$2:B$746,B769,'Base bordo'!F$2:F$746,"DESLOCAMENTO"),0)</f>
        <v>0</v>
      </c>
      <c r="G769" s="10">
        <f>IFERROR(SUMIFS('Base bordo'!G$2:G$746,'Base bordo'!C$2:C$746,A769,'Base bordo'!B$2:B$746,B769,'Base bordo'!F$2:F$746,"CARREGAMENTO"),0)</f>
        <v>0</v>
      </c>
      <c r="H769" s="10">
        <f>IFERROR(SUMIFS('Base bordo'!G$2:G$746,'Base bordo'!C$2:C$746,A769,'Base bordo'!B$2:B$746,B769,'Base bordo'!F$2:F$746,"AGUARDANDO TRANSBORDO"),0)</f>
        <v>0.18527777777777779</v>
      </c>
      <c r="I769" s="10">
        <f>IFERROR(SUMIFS('Base bordo'!G$2:G$746,'Base bordo'!C$2:C$746,A769,'Base bordo'!B$2:B$746,B769,'Base bordo'!F$2:F$746,"PÁTIO INTERNO"),0)+IFERROR(SUMIFS('Base bordo'!G$2:G$746,'Base bordo'!C$2:C$746,A769,'Base bordo'!B$2:B$746,B769,'Base bordo'!F$2:F$746,"PÁTIO EXTERNO"),0)+IFERROR(SUMIFS('Base bordo'!G$2:G$746,'Base bordo'!C$2:C$746,A769,'Base bordo'!B$2:B$746,B769,'Base bordo'!F$2:F$746,"PATIO - RESERVA"),0)+IFERROR(SUMIFS('Base bordo'!G$2:G$746,'Base bordo'!C$2:C$746,A769,'Base bordo'!B$2:B$746,B769,'Base bordo'!F$2:F$746,"MANOBRA CARRETAS-PATIO"),0)</f>
        <v>10.403611111111111</v>
      </c>
      <c r="J769" s="10">
        <f>IFERROR(SUMIFS('Base bordo'!G$2:G$746,'Base bordo'!C$2:C$746,A769,'Base bordo'!B$2:B$746,B769,'Base bordo'!F$2:F$746,"BALANÇA - ENTRADA"),0)+IFERROR(SUMIFS('Base bordo'!G$2:G$746,'Base bordo'!C$2:C$746,A769,'Base bordo'!B$2:B$746,B769,'Base bordo'!F$2:F$746,"BALANÇA - SAÍDA"),0)</f>
        <v>5.8055555555555555E-2</v>
      </c>
      <c r="K769" s="10">
        <f>IFERROR(SUMIFS('Base bordo'!G$2:G$746,'Base bordo'!C$2:C$746,A769,'Base bordo'!B$2:B$746,B769,'Base bordo'!F$2:F$746,"MAN PREVENTIVA - MECANICA"),0)+IFERROR(SUMIFS('Base bordo'!G$2:G$746,'Base bordo'!C$2:C$746,A769,'Base bordo'!B$2:B$746,B769,'Base bordo'!F$2:F$746,"MAN CORRETIVA - MECANICA"),0)</f>
        <v>0</v>
      </c>
      <c r="L769" s="10">
        <f>IFERROR(SUMIFS('Base bordo'!G$2:G$746,'Base bordo'!C$2:C$746,A769,'Base bordo'!B$2:B$746,B769,'Base bordo'!F$2:F$746,"MANUTENCAO - T O"),0)+IFERROR(SUMIFS('Base bordo'!G$2:G$746,'Base bordo'!C$2:C$746,A769,'Base bordo'!B$2:B$746,B769,'Base bordo'!F$2:F$746,"MANUTENCAO BORRACHARIA"),0)+IFERROR(SUMIFS('Base bordo'!G$2:G$746,'Base bordo'!C$2:C$746,A769,'Base bordo'!B$2:B$746,B769,'Base bordo'!F$2:F$746,"MANUTENCAO EXTERNA  CONCESSIONARIA"),0)+IFERROR(SUMIFS('Base bordo'!G$2:G$746,'Base bordo'!C$2:C$746,A769,'Base bordo'!B$2:B$746,B769,'Base bordo'!F$2:F$746,"MANUTENCAO TELEMETRIA"),0)</f>
        <v>0</v>
      </c>
      <c r="M769" s="10">
        <f>IFERROR(SUMIFS('Base bordo'!G$2:G$746,'Base bordo'!C$2:C$746,A769,'Base bordo'!B$2:B$746,B769,'Base bordo'!F$2:F$746,"AGUARDANDO MANUTENCAO"),0)</f>
        <v>0</v>
      </c>
      <c r="N769" s="10">
        <f>IFERROR(SUMIFS('Base bordo'!G$2:G$746,'Base bordo'!C$2:C$746,A769,'Base bordo'!B$2:B$746,B769,'Base bordo'!F$2:F$746,"SEM APONTAMENTO"),0)</f>
        <v>0</v>
      </c>
      <c r="O769" s="10">
        <f t="shared" si="78"/>
        <v>3.5527136788005009E-15</v>
      </c>
      <c r="P769" s="10">
        <f>IFERROR(SUMIFS('Base bordo'!G$2:G$746,'Base bordo'!C$2:C$746,A769,'Base bordo'!B$2:B$746,B769),0)</f>
        <v>16.163611111111113</v>
      </c>
      <c r="Q769" s="10">
        <f>IFERROR(SUMIFS('Base bordo'!H$2:H$746,'Base bordo'!C$2:C$746,A769,'Base bordo'!B$2:B$746,B769,'Base bordo'!F$2:F$746,"DESLOCAMENTO VAZIO"),0)</f>
        <v>187793.3</v>
      </c>
      <c r="R769" s="10">
        <f>IFERROR(SUMIFS('Base bordo'!I$2:I$746,'Base bordo'!C$2:C$746,A769,'Base bordo'!B$2:B$746,B769,'Base bordo'!F$2:F$746,"DESLOCAMENTO VAZIO"),0)</f>
        <v>5759</v>
      </c>
      <c r="S769" s="30">
        <f t="shared" si="79"/>
        <v>32.608664698732419</v>
      </c>
      <c r="T769" s="10">
        <f>IFERROR(SUMIFS('Base bordo'!H$2:H$746,'Base bordo'!C$2:C$746,A769,'Base bordo'!B$2:B$746,B769,'Base bordo'!F$2:F$746,"DESLOCAMENTO CARREGADO"),0)</f>
        <v>380848.11</v>
      </c>
      <c r="U769" s="10">
        <f>IFERROR(SUMIFS('Base bordo'!I$2:I$746,'Base bordo'!C$2:C$746,A769,'Base bordo'!B$2:B$746,B769,'Base bordo'!F$2:F$746,"DESLOCAMENTO CARREGADO"),0)</f>
        <v>14101</v>
      </c>
      <c r="V769" s="30">
        <f t="shared" si="80"/>
        <v>27.008588752570738</v>
      </c>
      <c r="W769" s="9">
        <f t="shared" si="81"/>
        <v>9.8970595817078816E-2</v>
      </c>
      <c r="X769" s="9">
        <f t="shared" si="82"/>
        <v>0.24233102476413065</v>
      </c>
      <c r="Y769" s="9">
        <f t="shared" si="83"/>
        <v>0.6586983794187905</v>
      </c>
    </row>
    <row r="770" spans="1:25" ht="15" customHeight="1" x14ac:dyDescent="0.35">
      <c r="A770" s="52">
        <v>8013473</v>
      </c>
      <c r="B770" s="51">
        <v>46118</v>
      </c>
      <c r="C770" s="7" t="s">
        <v>124</v>
      </c>
      <c r="D770" s="10">
        <f>IFERROR(SUMIFS('Base bordo'!G$2:G$746,'Base bordo'!C$2:C$746,A770,'Base bordo'!B$2:B$746,B770,'Base bordo'!F$2:F$746,"DESLOCAMENTO VAZIO"),0)</f>
        <v>1.5997222222222223</v>
      </c>
      <c r="E770" s="10">
        <f>IFERROR(SUMIFS('Base bordo'!G$2:G$746,'Base bordo'!C$2:C$746,A770,'Base bordo'!B$2:B$746,B770,'Base bordo'!F$2:F$746,"DESLOCAMENTO CARREGADO"),0)</f>
        <v>3.9169444444444443</v>
      </c>
      <c r="F770" s="10">
        <f>IFERROR(SUMIFS('Base bordo'!G$2:G$746,'Base bordo'!C$2:C$746,A770,'Base bordo'!B$2:B$746,B770,'Base bordo'!F$2:F$746,"DESLOCAMENTO"),0)</f>
        <v>0</v>
      </c>
      <c r="G770" s="10">
        <f>IFERROR(SUMIFS('Base bordo'!G$2:G$746,'Base bordo'!C$2:C$746,A770,'Base bordo'!B$2:B$746,B770,'Base bordo'!F$2:F$746,"CARREGAMENTO"),0)</f>
        <v>0</v>
      </c>
      <c r="H770" s="10">
        <f>IFERROR(SUMIFS('Base bordo'!G$2:G$746,'Base bordo'!C$2:C$746,A770,'Base bordo'!B$2:B$746,B770,'Base bordo'!F$2:F$746,"AGUARDANDO TRANSBORDO"),0)</f>
        <v>0.18527777777777779</v>
      </c>
      <c r="I770" s="10">
        <f>IFERROR(SUMIFS('Base bordo'!G$2:G$746,'Base bordo'!C$2:C$746,A770,'Base bordo'!B$2:B$746,B770,'Base bordo'!F$2:F$746,"PÁTIO INTERNO"),0)+IFERROR(SUMIFS('Base bordo'!G$2:G$746,'Base bordo'!C$2:C$746,A770,'Base bordo'!B$2:B$746,B770,'Base bordo'!F$2:F$746,"PÁTIO EXTERNO"),0)+IFERROR(SUMIFS('Base bordo'!G$2:G$746,'Base bordo'!C$2:C$746,A770,'Base bordo'!B$2:B$746,B770,'Base bordo'!F$2:F$746,"PATIO - RESERVA"),0)+IFERROR(SUMIFS('Base bordo'!G$2:G$746,'Base bordo'!C$2:C$746,A770,'Base bordo'!B$2:B$746,B770,'Base bordo'!F$2:F$746,"MANOBRA CARRETAS-PATIO"),0)</f>
        <v>10.403611111111111</v>
      </c>
      <c r="J770" s="10">
        <f>IFERROR(SUMIFS('Base bordo'!G$2:G$746,'Base bordo'!C$2:C$746,A770,'Base bordo'!B$2:B$746,B770,'Base bordo'!F$2:F$746,"BALANÇA - ENTRADA"),0)+IFERROR(SUMIFS('Base bordo'!G$2:G$746,'Base bordo'!C$2:C$746,A770,'Base bordo'!B$2:B$746,B770,'Base bordo'!F$2:F$746,"BALANÇA - SAÍDA"),0)</f>
        <v>5.8055555555555555E-2</v>
      </c>
      <c r="K770" s="10">
        <f>IFERROR(SUMIFS('Base bordo'!G$2:G$746,'Base bordo'!C$2:C$746,A770,'Base bordo'!B$2:B$746,B770,'Base bordo'!F$2:F$746,"MAN PREVENTIVA - MECANICA"),0)+IFERROR(SUMIFS('Base bordo'!G$2:G$746,'Base bordo'!C$2:C$746,A770,'Base bordo'!B$2:B$746,B770,'Base bordo'!F$2:F$746,"MAN CORRETIVA - MECANICA"),0)</f>
        <v>0</v>
      </c>
      <c r="L770" s="10">
        <f>IFERROR(SUMIFS('Base bordo'!G$2:G$746,'Base bordo'!C$2:C$746,A770,'Base bordo'!B$2:B$746,B770,'Base bordo'!F$2:F$746,"MANUTENCAO - T O"),0)+IFERROR(SUMIFS('Base bordo'!G$2:G$746,'Base bordo'!C$2:C$746,A770,'Base bordo'!B$2:B$746,B770,'Base bordo'!F$2:F$746,"MANUTENCAO BORRACHARIA"),0)+IFERROR(SUMIFS('Base bordo'!G$2:G$746,'Base bordo'!C$2:C$746,A770,'Base bordo'!B$2:B$746,B770,'Base bordo'!F$2:F$746,"MANUTENCAO EXTERNA  CONCESSIONARIA"),0)+IFERROR(SUMIFS('Base bordo'!G$2:G$746,'Base bordo'!C$2:C$746,A770,'Base bordo'!B$2:B$746,B770,'Base bordo'!F$2:F$746,"MANUTENCAO TELEMETRIA"),0)</f>
        <v>0</v>
      </c>
      <c r="M770" s="10">
        <f>IFERROR(SUMIFS('Base bordo'!G$2:G$746,'Base bordo'!C$2:C$746,A770,'Base bordo'!B$2:B$746,B770,'Base bordo'!F$2:F$746,"AGUARDANDO MANUTENCAO"),0)</f>
        <v>0</v>
      </c>
      <c r="N770" s="10">
        <f>IFERROR(SUMIFS('Base bordo'!G$2:G$746,'Base bordo'!C$2:C$746,A770,'Base bordo'!B$2:B$746,B770,'Base bordo'!F$2:F$746,"SEM APONTAMENTO"),0)</f>
        <v>0</v>
      </c>
      <c r="O770" s="10">
        <f t="shared" si="78"/>
        <v>3.5527136788005009E-15</v>
      </c>
      <c r="P770" s="10">
        <f>IFERROR(SUMIFS('Base bordo'!G$2:G$746,'Base bordo'!C$2:C$746,A770,'Base bordo'!B$2:B$746,B770),0)</f>
        <v>16.163611111111113</v>
      </c>
      <c r="Q770" s="10">
        <f>IFERROR(SUMIFS('Base bordo'!H$2:H$746,'Base bordo'!C$2:C$746,A770,'Base bordo'!B$2:B$746,B770,'Base bordo'!F$2:F$746,"DESLOCAMENTO VAZIO"),0)</f>
        <v>187793.3</v>
      </c>
      <c r="R770" s="10">
        <f>IFERROR(SUMIFS('Base bordo'!I$2:I$746,'Base bordo'!C$2:C$746,A770,'Base bordo'!B$2:B$746,B770,'Base bordo'!F$2:F$746,"DESLOCAMENTO VAZIO"),0)</f>
        <v>5759</v>
      </c>
      <c r="S770" s="30">
        <f t="shared" si="79"/>
        <v>32.608664698732419</v>
      </c>
      <c r="T770" s="10">
        <f>IFERROR(SUMIFS('Base bordo'!H$2:H$746,'Base bordo'!C$2:C$746,A770,'Base bordo'!B$2:B$746,B770,'Base bordo'!F$2:F$746,"DESLOCAMENTO CARREGADO"),0)</f>
        <v>380848.11</v>
      </c>
      <c r="U770" s="10">
        <f>IFERROR(SUMIFS('Base bordo'!I$2:I$746,'Base bordo'!C$2:C$746,A770,'Base bordo'!B$2:B$746,B770,'Base bordo'!F$2:F$746,"DESLOCAMENTO CARREGADO"),0)</f>
        <v>14101</v>
      </c>
      <c r="V770" s="30">
        <f t="shared" si="80"/>
        <v>27.008588752570738</v>
      </c>
      <c r="W770" s="9">
        <f t="shared" si="81"/>
        <v>9.8970595817078816E-2</v>
      </c>
      <c r="X770" s="9">
        <f t="shared" si="82"/>
        <v>0.24233102476413065</v>
      </c>
      <c r="Y770" s="9">
        <f t="shared" si="83"/>
        <v>0.6586983794187905</v>
      </c>
    </row>
    <row r="771" spans="1:25" ht="15" customHeight="1" x14ac:dyDescent="0.35">
      <c r="A771" s="52">
        <v>8013473</v>
      </c>
      <c r="B771" s="51">
        <v>46118</v>
      </c>
      <c r="C771" s="7" t="s">
        <v>124</v>
      </c>
      <c r="D771" s="10">
        <f>IFERROR(SUMIFS('Base bordo'!G$2:G$746,'Base bordo'!C$2:C$746,A771,'Base bordo'!B$2:B$746,B771,'Base bordo'!F$2:F$746,"DESLOCAMENTO VAZIO"),0)</f>
        <v>1.5997222222222223</v>
      </c>
      <c r="E771" s="10">
        <f>IFERROR(SUMIFS('Base bordo'!G$2:G$746,'Base bordo'!C$2:C$746,A771,'Base bordo'!B$2:B$746,B771,'Base bordo'!F$2:F$746,"DESLOCAMENTO CARREGADO"),0)</f>
        <v>3.9169444444444443</v>
      </c>
      <c r="F771" s="10">
        <f>IFERROR(SUMIFS('Base bordo'!G$2:G$746,'Base bordo'!C$2:C$746,A771,'Base bordo'!B$2:B$746,B771,'Base bordo'!F$2:F$746,"DESLOCAMENTO"),0)</f>
        <v>0</v>
      </c>
      <c r="G771" s="10">
        <f>IFERROR(SUMIFS('Base bordo'!G$2:G$746,'Base bordo'!C$2:C$746,A771,'Base bordo'!B$2:B$746,B771,'Base bordo'!F$2:F$746,"CARREGAMENTO"),0)</f>
        <v>0</v>
      </c>
      <c r="H771" s="10">
        <f>IFERROR(SUMIFS('Base bordo'!G$2:G$746,'Base bordo'!C$2:C$746,A771,'Base bordo'!B$2:B$746,B771,'Base bordo'!F$2:F$746,"AGUARDANDO TRANSBORDO"),0)</f>
        <v>0.18527777777777779</v>
      </c>
      <c r="I771" s="10">
        <f>IFERROR(SUMIFS('Base bordo'!G$2:G$746,'Base bordo'!C$2:C$746,A771,'Base bordo'!B$2:B$746,B771,'Base bordo'!F$2:F$746,"PÁTIO INTERNO"),0)+IFERROR(SUMIFS('Base bordo'!G$2:G$746,'Base bordo'!C$2:C$746,A771,'Base bordo'!B$2:B$746,B771,'Base bordo'!F$2:F$746,"PÁTIO EXTERNO"),0)+IFERROR(SUMIFS('Base bordo'!G$2:G$746,'Base bordo'!C$2:C$746,A771,'Base bordo'!B$2:B$746,B771,'Base bordo'!F$2:F$746,"PATIO - RESERVA"),0)+IFERROR(SUMIFS('Base bordo'!G$2:G$746,'Base bordo'!C$2:C$746,A771,'Base bordo'!B$2:B$746,B771,'Base bordo'!F$2:F$746,"MANOBRA CARRETAS-PATIO"),0)</f>
        <v>10.403611111111111</v>
      </c>
      <c r="J771" s="10">
        <f>IFERROR(SUMIFS('Base bordo'!G$2:G$746,'Base bordo'!C$2:C$746,A771,'Base bordo'!B$2:B$746,B771,'Base bordo'!F$2:F$746,"BALANÇA - ENTRADA"),0)+IFERROR(SUMIFS('Base bordo'!G$2:G$746,'Base bordo'!C$2:C$746,A771,'Base bordo'!B$2:B$746,B771,'Base bordo'!F$2:F$746,"BALANÇA - SAÍDA"),0)</f>
        <v>5.8055555555555555E-2</v>
      </c>
      <c r="K771" s="10">
        <f>IFERROR(SUMIFS('Base bordo'!G$2:G$746,'Base bordo'!C$2:C$746,A771,'Base bordo'!B$2:B$746,B771,'Base bordo'!F$2:F$746,"MAN PREVENTIVA - MECANICA"),0)+IFERROR(SUMIFS('Base bordo'!G$2:G$746,'Base bordo'!C$2:C$746,A771,'Base bordo'!B$2:B$746,B771,'Base bordo'!F$2:F$746,"MAN CORRETIVA - MECANICA"),0)</f>
        <v>0</v>
      </c>
      <c r="L771" s="10">
        <f>IFERROR(SUMIFS('Base bordo'!G$2:G$746,'Base bordo'!C$2:C$746,A771,'Base bordo'!B$2:B$746,B771,'Base bordo'!F$2:F$746,"MANUTENCAO - T O"),0)+IFERROR(SUMIFS('Base bordo'!G$2:G$746,'Base bordo'!C$2:C$746,A771,'Base bordo'!B$2:B$746,B771,'Base bordo'!F$2:F$746,"MANUTENCAO BORRACHARIA"),0)+IFERROR(SUMIFS('Base bordo'!G$2:G$746,'Base bordo'!C$2:C$746,A771,'Base bordo'!B$2:B$746,B771,'Base bordo'!F$2:F$746,"MANUTENCAO EXTERNA  CONCESSIONARIA"),0)+IFERROR(SUMIFS('Base bordo'!G$2:G$746,'Base bordo'!C$2:C$746,A771,'Base bordo'!B$2:B$746,B771,'Base bordo'!F$2:F$746,"MANUTENCAO TELEMETRIA"),0)</f>
        <v>0</v>
      </c>
      <c r="M771" s="10">
        <f>IFERROR(SUMIFS('Base bordo'!G$2:G$746,'Base bordo'!C$2:C$746,A771,'Base bordo'!B$2:B$746,B771,'Base bordo'!F$2:F$746,"AGUARDANDO MANUTENCAO"),0)</f>
        <v>0</v>
      </c>
      <c r="N771" s="10">
        <f>IFERROR(SUMIFS('Base bordo'!G$2:G$746,'Base bordo'!C$2:C$746,A771,'Base bordo'!B$2:B$746,B771,'Base bordo'!F$2:F$746,"SEM APONTAMENTO"),0)</f>
        <v>0</v>
      </c>
      <c r="O771" s="10">
        <f t="shared" si="78"/>
        <v>3.5527136788005009E-15</v>
      </c>
      <c r="P771" s="10">
        <f>IFERROR(SUMIFS('Base bordo'!G$2:G$746,'Base bordo'!C$2:C$746,A771,'Base bordo'!B$2:B$746,B771),0)</f>
        <v>16.163611111111113</v>
      </c>
      <c r="Q771" s="10">
        <f>IFERROR(SUMIFS('Base bordo'!H$2:H$746,'Base bordo'!C$2:C$746,A771,'Base bordo'!B$2:B$746,B771,'Base bordo'!F$2:F$746,"DESLOCAMENTO VAZIO"),0)</f>
        <v>187793.3</v>
      </c>
      <c r="R771" s="10">
        <f>IFERROR(SUMIFS('Base bordo'!I$2:I$746,'Base bordo'!C$2:C$746,A771,'Base bordo'!B$2:B$746,B771,'Base bordo'!F$2:F$746,"DESLOCAMENTO VAZIO"),0)</f>
        <v>5759</v>
      </c>
      <c r="S771" s="30">
        <f t="shared" si="79"/>
        <v>32.608664698732419</v>
      </c>
      <c r="T771" s="10">
        <f>IFERROR(SUMIFS('Base bordo'!H$2:H$746,'Base bordo'!C$2:C$746,A771,'Base bordo'!B$2:B$746,B771,'Base bordo'!F$2:F$746,"DESLOCAMENTO CARREGADO"),0)</f>
        <v>380848.11</v>
      </c>
      <c r="U771" s="10">
        <f>IFERROR(SUMIFS('Base bordo'!I$2:I$746,'Base bordo'!C$2:C$746,A771,'Base bordo'!B$2:B$746,B771,'Base bordo'!F$2:F$746,"DESLOCAMENTO CARREGADO"),0)</f>
        <v>14101</v>
      </c>
      <c r="V771" s="30">
        <f t="shared" si="80"/>
        <v>27.008588752570738</v>
      </c>
      <c r="W771" s="9">
        <f t="shared" si="81"/>
        <v>9.8970595817078816E-2</v>
      </c>
      <c r="X771" s="9">
        <f t="shared" si="82"/>
        <v>0.24233102476413065</v>
      </c>
      <c r="Y771" s="9">
        <f t="shared" si="83"/>
        <v>0.6586983794187905</v>
      </c>
    </row>
    <row r="772" spans="1:25" ht="15" customHeight="1" x14ac:dyDescent="0.35">
      <c r="A772" s="52">
        <v>8013474</v>
      </c>
      <c r="B772" s="51">
        <v>46118</v>
      </c>
      <c r="C772" s="7" t="s">
        <v>124</v>
      </c>
      <c r="D772" s="10">
        <f>IFERROR(SUMIFS('Base bordo'!G$2:G$746,'Base bordo'!C$2:C$746,A772,'Base bordo'!B$2:B$746,B772,'Base bordo'!F$2:F$746,"DESLOCAMENTO VAZIO"),0)</f>
        <v>0.72111111111111115</v>
      </c>
      <c r="E772" s="10">
        <f>IFERROR(SUMIFS('Base bordo'!G$2:G$746,'Base bordo'!C$2:C$746,A772,'Base bordo'!B$2:B$746,B772,'Base bordo'!F$2:F$746,"DESLOCAMENTO CARREGADO"),0)</f>
        <v>0.97972222222222227</v>
      </c>
      <c r="F772" s="10">
        <f>IFERROR(SUMIFS('Base bordo'!G$2:G$746,'Base bordo'!C$2:C$746,A772,'Base bordo'!B$2:B$746,B772,'Base bordo'!F$2:F$746,"DESLOCAMENTO"),0)</f>
        <v>0</v>
      </c>
      <c r="G772" s="10">
        <f>IFERROR(SUMIFS('Base bordo'!G$2:G$746,'Base bordo'!C$2:C$746,A772,'Base bordo'!B$2:B$746,B772,'Base bordo'!F$2:F$746,"CARREGAMENTO"),0)</f>
        <v>0</v>
      </c>
      <c r="H772" s="10">
        <f>IFERROR(SUMIFS('Base bordo'!G$2:G$746,'Base bordo'!C$2:C$746,A772,'Base bordo'!B$2:B$746,B772,'Base bordo'!F$2:F$746,"AGUARDANDO TRANSBORDO"),0)</f>
        <v>0.20861111111111111</v>
      </c>
      <c r="I772" s="10">
        <f>IFERROR(SUMIFS('Base bordo'!G$2:G$746,'Base bordo'!C$2:C$746,A772,'Base bordo'!B$2:B$746,B772,'Base bordo'!F$2:F$746,"PÁTIO INTERNO"),0)+IFERROR(SUMIFS('Base bordo'!G$2:G$746,'Base bordo'!C$2:C$746,A772,'Base bordo'!B$2:B$746,B772,'Base bordo'!F$2:F$746,"PÁTIO EXTERNO"),0)+IFERROR(SUMIFS('Base bordo'!G$2:G$746,'Base bordo'!C$2:C$746,A772,'Base bordo'!B$2:B$746,B772,'Base bordo'!F$2:F$746,"PATIO - RESERVA"),0)+IFERROR(SUMIFS('Base bordo'!G$2:G$746,'Base bordo'!C$2:C$746,A772,'Base bordo'!B$2:B$746,B772,'Base bordo'!F$2:F$746,"MANOBRA CARRETAS-PATIO"),0)</f>
        <v>8.4474999999999998</v>
      </c>
      <c r="J772" s="10">
        <f>IFERROR(SUMIFS('Base bordo'!G$2:G$746,'Base bordo'!C$2:C$746,A772,'Base bordo'!B$2:B$746,B772,'Base bordo'!F$2:F$746,"BALANÇA - ENTRADA"),0)+IFERROR(SUMIFS('Base bordo'!G$2:G$746,'Base bordo'!C$2:C$746,A772,'Base bordo'!B$2:B$746,B772,'Base bordo'!F$2:F$746,"BALANÇA - SAÍDA"),0)</f>
        <v>6.3611111111111118E-2</v>
      </c>
      <c r="K772" s="10">
        <f>IFERROR(SUMIFS('Base bordo'!G$2:G$746,'Base bordo'!C$2:C$746,A772,'Base bordo'!B$2:B$746,B772,'Base bordo'!F$2:F$746,"MAN PREVENTIVA - MECANICA"),0)+IFERROR(SUMIFS('Base bordo'!G$2:G$746,'Base bordo'!C$2:C$746,A772,'Base bordo'!B$2:B$746,B772,'Base bordo'!F$2:F$746,"MAN CORRETIVA - MECANICA"),0)</f>
        <v>0</v>
      </c>
      <c r="L772" s="10">
        <f>IFERROR(SUMIFS('Base bordo'!G$2:G$746,'Base bordo'!C$2:C$746,A772,'Base bordo'!B$2:B$746,B772,'Base bordo'!F$2:F$746,"MANUTENCAO - T O"),0)+IFERROR(SUMIFS('Base bordo'!G$2:G$746,'Base bordo'!C$2:C$746,A772,'Base bordo'!B$2:B$746,B772,'Base bordo'!F$2:F$746,"MANUTENCAO BORRACHARIA"),0)+IFERROR(SUMIFS('Base bordo'!G$2:G$746,'Base bordo'!C$2:C$746,A772,'Base bordo'!B$2:B$746,B772,'Base bordo'!F$2:F$746,"MANUTENCAO EXTERNA  CONCESSIONARIA"),0)+IFERROR(SUMIFS('Base bordo'!G$2:G$746,'Base bordo'!C$2:C$746,A772,'Base bordo'!B$2:B$746,B772,'Base bordo'!F$2:F$746,"MANUTENCAO TELEMETRIA"),0)</f>
        <v>8.77</v>
      </c>
      <c r="M772" s="10">
        <f>IFERROR(SUMIFS('Base bordo'!G$2:G$746,'Base bordo'!C$2:C$746,A772,'Base bordo'!B$2:B$746,B772,'Base bordo'!F$2:F$746,"AGUARDANDO MANUTENCAO"),0)</f>
        <v>0</v>
      </c>
      <c r="N772" s="10">
        <f>IFERROR(SUMIFS('Base bordo'!G$2:G$746,'Base bordo'!C$2:C$746,A772,'Base bordo'!B$2:B$746,B772,'Base bordo'!F$2:F$746,"SEM APONTAMENTO"),0)</f>
        <v>0</v>
      </c>
      <c r="O772" s="10">
        <f t="shared" si="78"/>
        <v>0</v>
      </c>
      <c r="P772" s="10">
        <f>IFERROR(SUMIFS('Base bordo'!G$2:G$746,'Base bordo'!C$2:C$746,A772,'Base bordo'!B$2:B$746,B772),0)</f>
        <v>19.190555555555555</v>
      </c>
      <c r="Q772" s="10">
        <f>IFERROR(SUMIFS('Base bordo'!H$2:H$746,'Base bordo'!C$2:C$746,A772,'Base bordo'!B$2:B$746,B772,'Base bordo'!F$2:F$746,"DESLOCAMENTO VAZIO"),0)</f>
        <v>70252.17</v>
      </c>
      <c r="R772" s="10">
        <f>IFERROR(SUMIFS('Base bordo'!I$2:I$746,'Base bordo'!C$2:C$746,A772,'Base bordo'!B$2:B$746,B772,'Base bordo'!F$2:F$746,"DESLOCAMENTO VAZIO"),0)</f>
        <v>2596</v>
      </c>
      <c r="S772" s="30">
        <f t="shared" si="79"/>
        <v>27.061698767334359</v>
      </c>
      <c r="T772" s="10">
        <f>IFERROR(SUMIFS('Base bordo'!H$2:H$746,'Base bordo'!C$2:C$746,A772,'Base bordo'!B$2:B$746,B772,'Base bordo'!F$2:F$746,"DESLOCAMENTO CARREGADO"),0)</f>
        <v>68679.02</v>
      </c>
      <c r="U772" s="10">
        <f>IFERROR(SUMIFS('Base bordo'!I$2:I$746,'Base bordo'!C$2:C$746,A772,'Base bordo'!B$2:B$746,B772,'Base bordo'!F$2:F$746,"DESLOCAMENTO CARREGADO"),0)</f>
        <v>3527</v>
      </c>
      <c r="V772" s="30">
        <f t="shared" si="80"/>
        <v>19.472361780550045</v>
      </c>
      <c r="W772" s="9">
        <f t="shared" si="81"/>
        <v>3.7576354109370928E-2</v>
      </c>
      <c r="X772" s="9">
        <f t="shared" si="82"/>
        <v>5.1052311611614512E-2</v>
      </c>
      <c r="Y772" s="9">
        <f t="shared" si="83"/>
        <v>0.91137133427901451</v>
      </c>
    </row>
    <row r="773" spans="1:25" ht="15" customHeight="1" x14ac:dyDescent="0.35">
      <c r="A773" s="52">
        <v>8013474</v>
      </c>
      <c r="B773" s="51">
        <v>46118</v>
      </c>
      <c r="C773" s="7" t="s">
        <v>124</v>
      </c>
      <c r="D773" s="10">
        <f>IFERROR(SUMIFS('Base bordo'!G$2:G$746,'Base bordo'!C$2:C$746,A773,'Base bordo'!B$2:B$746,B773,'Base bordo'!F$2:F$746,"DESLOCAMENTO VAZIO"),0)</f>
        <v>0.72111111111111115</v>
      </c>
      <c r="E773" s="10">
        <f>IFERROR(SUMIFS('Base bordo'!G$2:G$746,'Base bordo'!C$2:C$746,A773,'Base bordo'!B$2:B$746,B773,'Base bordo'!F$2:F$746,"DESLOCAMENTO CARREGADO"),0)</f>
        <v>0.97972222222222227</v>
      </c>
      <c r="F773" s="10">
        <f>IFERROR(SUMIFS('Base bordo'!G$2:G$746,'Base bordo'!C$2:C$746,A773,'Base bordo'!B$2:B$746,B773,'Base bordo'!F$2:F$746,"DESLOCAMENTO"),0)</f>
        <v>0</v>
      </c>
      <c r="G773" s="10">
        <f>IFERROR(SUMIFS('Base bordo'!G$2:G$746,'Base bordo'!C$2:C$746,A773,'Base bordo'!B$2:B$746,B773,'Base bordo'!F$2:F$746,"CARREGAMENTO"),0)</f>
        <v>0</v>
      </c>
      <c r="H773" s="10">
        <f>IFERROR(SUMIFS('Base bordo'!G$2:G$746,'Base bordo'!C$2:C$746,A773,'Base bordo'!B$2:B$746,B773,'Base bordo'!F$2:F$746,"AGUARDANDO TRANSBORDO"),0)</f>
        <v>0.20861111111111111</v>
      </c>
      <c r="I773" s="10">
        <f>IFERROR(SUMIFS('Base bordo'!G$2:G$746,'Base bordo'!C$2:C$746,A773,'Base bordo'!B$2:B$746,B773,'Base bordo'!F$2:F$746,"PÁTIO INTERNO"),0)+IFERROR(SUMIFS('Base bordo'!G$2:G$746,'Base bordo'!C$2:C$746,A773,'Base bordo'!B$2:B$746,B773,'Base bordo'!F$2:F$746,"PÁTIO EXTERNO"),0)+IFERROR(SUMIFS('Base bordo'!G$2:G$746,'Base bordo'!C$2:C$746,A773,'Base bordo'!B$2:B$746,B773,'Base bordo'!F$2:F$746,"PATIO - RESERVA"),0)+IFERROR(SUMIFS('Base bordo'!G$2:G$746,'Base bordo'!C$2:C$746,A773,'Base bordo'!B$2:B$746,B773,'Base bordo'!F$2:F$746,"MANOBRA CARRETAS-PATIO"),0)</f>
        <v>8.4474999999999998</v>
      </c>
      <c r="J773" s="10">
        <f>IFERROR(SUMIFS('Base bordo'!G$2:G$746,'Base bordo'!C$2:C$746,A773,'Base bordo'!B$2:B$746,B773,'Base bordo'!F$2:F$746,"BALANÇA - ENTRADA"),0)+IFERROR(SUMIFS('Base bordo'!G$2:G$746,'Base bordo'!C$2:C$746,A773,'Base bordo'!B$2:B$746,B773,'Base bordo'!F$2:F$746,"BALANÇA - SAÍDA"),0)</f>
        <v>6.3611111111111118E-2</v>
      </c>
      <c r="K773" s="10">
        <f>IFERROR(SUMIFS('Base bordo'!G$2:G$746,'Base bordo'!C$2:C$746,A773,'Base bordo'!B$2:B$746,B773,'Base bordo'!F$2:F$746,"MAN PREVENTIVA - MECANICA"),0)+IFERROR(SUMIFS('Base bordo'!G$2:G$746,'Base bordo'!C$2:C$746,A773,'Base bordo'!B$2:B$746,B773,'Base bordo'!F$2:F$746,"MAN CORRETIVA - MECANICA"),0)</f>
        <v>0</v>
      </c>
      <c r="L773" s="10">
        <f>IFERROR(SUMIFS('Base bordo'!G$2:G$746,'Base bordo'!C$2:C$746,A773,'Base bordo'!B$2:B$746,B773,'Base bordo'!F$2:F$746,"MANUTENCAO - T O"),0)+IFERROR(SUMIFS('Base bordo'!G$2:G$746,'Base bordo'!C$2:C$746,A773,'Base bordo'!B$2:B$746,B773,'Base bordo'!F$2:F$746,"MANUTENCAO BORRACHARIA"),0)+IFERROR(SUMIFS('Base bordo'!G$2:G$746,'Base bordo'!C$2:C$746,A773,'Base bordo'!B$2:B$746,B773,'Base bordo'!F$2:F$746,"MANUTENCAO EXTERNA  CONCESSIONARIA"),0)+IFERROR(SUMIFS('Base bordo'!G$2:G$746,'Base bordo'!C$2:C$746,A773,'Base bordo'!B$2:B$746,B773,'Base bordo'!F$2:F$746,"MANUTENCAO TELEMETRIA"),0)</f>
        <v>8.77</v>
      </c>
      <c r="M773" s="10">
        <f>IFERROR(SUMIFS('Base bordo'!G$2:G$746,'Base bordo'!C$2:C$746,A773,'Base bordo'!B$2:B$746,B773,'Base bordo'!F$2:F$746,"AGUARDANDO MANUTENCAO"),0)</f>
        <v>0</v>
      </c>
      <c r="N773" s="10">
        <f>IFERROR(SUMIFS('Base bordo'!G$2:G$746,'Base bordo'!C$2:C$746,A773,'Base bordo'!B$2:B$746,B773,'Base bordo'!F$2:F$746,"SEM APONTAMENTO"),0)</f>
        <v>0</v>
      </c>
      <c r="O773" s="10">
        <f t="shared" si="78"/>
        <v>0</v>
      </c>
      <c r="P773" s="10">
        <f>IFERROR(SUMIFS('Base bordo'!G$2:G$746,'Base bordo'!C$2:C$746,A773,'Base bordo'!B$2:B$746,B773),0)</f>
        <v>19.190555555555555</v>
      </c>
      <c r="Q773" s="10">
        <f>IFERROR(SUMIFS('Base bordo'!H$2:H$746,'Base bordo'!C$2:C$746,A773,'Base bordo'!B$2:B$746,B773,'Base bordo'!F$2:F$746,"DESLOCAMENTO VAZIO"),0)</f>
        <v>70252.17</v>
      </c>
      <c r="R773" s="10">
        <f>IFERROR(SUMIFS('Base bordo'!I$2:I$746,'Base bordo'!C$2:C$746,A773,'Base bordo'!B$2:B$746,B773,'Base bordo'!F$2:F$746,"DESLOCAMENTO VAZIO"),0)</f>
        <v>2596</v>
      </c>
      <c r="S773" s="30">
        <f t="shared" si="79"/>
        <v>27.061698767334359</v>
      </c>
      <c r="T773" s="10">
        <f>IFERROR(SUMIFS('Base bordo'!H$2:H$746,'Base bordo'!C$2:C$746,A773,'Base bordo'!B$2:B$746,B773,'Base bordo'!F$2:F$746,"DESLOCAMENTO CARREGADO"),0)</f>
        <v>68679.02</v>
      </c>
      <c r="U773" s="10">
        <f>IFERROR(SUMIFS('Base bordo'!I$2:I$746,'Base bordo'!C$2:C$746,A773,'Base bordo'!B$2:B$746,B773,'Base bordo'!F$2:F$746,"DESLOCAMENTO CARREGADO"),0)</f>
        <v>3527</v>
      </c>
      <c r="V773" s="30">
        <f t="shared" si="80"/>
        <v>19.472361780550045</v>
      </c>
      <c r="W773" s="9">
        <f t="shared" si="81"/>
        <v>3.7576354109370928E-2</v>
      </c>
      <c r="X773" s="9">
        <f t="shared" si="82"/>
        <v>5.1052311611614512E-2</v>
      </c>
      <c r="Y773" s="9">
        <f t="shared" si="83"/>
        <v>0.91137133427901451</v>
      </c>
    </row>
    <row r="774" spans="1:25" ht="15" customHeight="1" x14ac:dyDescent="0.35">
      <c r="A774" s="52">
        <v>8013474</v>
      </c>
      <c r="B774" s="51">
        <v>46118</v>
      </c>
      <c r="C774" s="7" t="s">
        <v>124</v>
      </c>
      <c r="D774" s="10">
        <f>IFERROR(SUMIFS('Base bordo'!G$2:G$746,'Base bordo'!C$2:C$746,A774,'Base bordo'!B$2:B$746,B774,'Base bordo'!F$2:F$746,"DESLOCAMENTO VAZIO"),0)</f>
        <v>0.72111111111111115</v>
      </c>
      <c r="E774" s="10">
        <f>IFERROR(SUMIFS('Base bordo'!G$2:G$746,'Base bordo'!C$2:C$746,A774,'Base bordo'!B$2:B$746,B774,'Base bordo'!F$2:F$746,"DESLOCAMENTO CARREGADO"),0)</f>
        <v>0.97972222222222227</v>
      </c>
      <c r="F774" s="10">
        <f>IFERROR(SUMIFS('Base bordo'!G$2:G$746,'Base bordo'!C$2:C$746,A774,'Base bordo'!B$2:B$746,B774,'Base bordo'!F$2:F$746,"DESLOCAMENTO"),0)</f>
        <v>0</v>
      </c>
      <c r="G774" s="10">
        <f>IFERROR(SUMIFS('Base bordo'!G$2:G$746,'Base bordo'!C$2:C$746,A774,'Base bordo'!B$2:B$746,B774,'Base bordo'!F$2:F$746,"CARREGAMENTO"),0)</f>
        <v>0</v>
      </c>
      <c r="H774" s="10">
        <f>IFERROR(SUMIFS('Base bordo'!G$2:G$746,'Base bordo'!C$2:C$746,A774,'Base bordo'!B$2:B$746,B774,'Base bordo'!F$2:F$746,"AGUARDANDO TRANSBORDO"),0)</f>
        <v>0.20861111111111111</v>
      </c>
      <c r="I774" s="10">
        <f>IFERROR(SUMIFS('Base bordo'!G$2:G$746,'Base bordo'!C$2:C$746,A774,'Base bordo'!B$2:B$746,B774,'Base bordo'!F$2:F$746,"PÁTIO INTERNO"),0)+IFERROR(SUMIFS('Base bordo'!G$2:G$746,'Base bordo'!C$2:C$746,A774,'Base bordo'!B$2:B$746,B774,'Base bordo'!F$2:F$746,"PÁTIO EXTERNO"),0)+IFERROR(SUMIFS('Base bordo'!G$2:G$746,'Base bordo'!C$2:C$746,A774,'Base bordo'!B$2:B$746,B774,'Base bordo'!F$2:F$746,"PATIO - RESERVA"),0)+IFERROR(SUMIFS('Base bordo'!G$2:G$746,'Base bordo'!C$2:C$746,A774,'Base bordo'!B$2:B$746,B774,'Base bordo'!F$2:F$746,"MANOBRA CARRETAS-PATIO"),0)</f>
        <v>8.4474999999999998</v>
      </c>
      <c r="J774" s="10">
        <f>IFERROR(SUMIFS('Base bordo'!G$2:G$746,'Base bordo'!C$2:C$746,A774,'Base bordo'!B$2:B$746,B774,'Base bordo'!F$2:F$746,"BALANÇA - ENTRADA"),0)+IFERROR(SUMIFS('Base bordo'!G$2:G$746,'Base bordo'!C$2:C$746,A774,'Base bordo'!B$2:B$746,B774,'Base bordo'!F$2:F$746,"BALANÇA - SAÍDA"),0)</f>
        <v>6.3611111111111118E-2</v>
      </c>
      <c r="K774" s="10">
        <f>IFERROR(SUMIFS('Base bordo'!G$2:G$746,'Base bordo'!C$2:C$746,A774,'Base bordo'!B$2:B$746,B774,'Base bordo'!F$2:F$746,"MAN PREVENTIVA - MECANICA"),0)+IFERROR(SUMIFS('Base bordo'!G$2:G$746,'Base bordo'!C$2:C$746,A774,'Base bordo'!B$2:B$746,B774,'Base bordo'!F$2:F$746,"MAN CORRETIVA - MECANICA"),0)</f>
        <v>0</v>
      </c>
      <c r="L774" s="10">
        <f>IFERROR(SUMIFS('Base bordo'!G$2:G$746,'Base bordo'!C$2:C$746,A774,'Base bordo'!B$2:B$746,B774,'Base bordo'!F$2:F$746,"MANUTENCAO - T O"),0)+IFERROR(SUMIFS('Base bordo'!G$2:G$746,'Base bordo'!C$2:C$746,A774,'Base bordo'!B$2:B$746,B774,'Base bordo'!F$2:F$746,"MANUTENCAO BORRACHARIA"),0)+IFERROR(SUMIFS('Base bordo'!G$2:G$746,'Base bordo'!C$2:C$746,A774,'Base bordo'!B$2:B$746,B774,'Base bordo'!F$2:F$746,"MANUTENCAO EXTERNA  CONCESSIONARIA"),0)+IFERROR(SUMIFS('Base bordo'!G$2:G$746,'Base bordo'!C$2:C$746,A774,'Base bordo'!B$2:B$746,B774,'Base bordo'!F$2:F$746,"MANUTENCAO TELEMETRIA"),0)</f>
        <v>8.77</v>
      </c>
      <c r="M774" s="10">
        <f>IFERROR(SUMIFS('Base bordo'!G$2:G$746,'Base bordo'!C$2:C$746,A774,'Base bordo'!B$2:B$746,B774,'Base bordo'!F$2:F$746,"AGUARDANDO MANUTENCAO"),0)</f>
        <v>0</v>
      </c>
      <c r="N774" s="10">
        <f>IFERROR(SUMIFS('Base bordo'!G$2:G$746,'Base bordo'!C$2:C$746,A774,'Base bordo'!B$2:B$746,B774,'Base bordo'!F$2:F$746,"SEM APONTAMENTO"),0)</f>
        <v>0</v>
      </c>
      <c r="O774" s="10">
        <f t="shared" si="78"/>
        <v>0</v>
      </c>
      <c r="P774" s="10">
        <f>IFERROR(SUMIFS('Base bordo'!G$2:G$746,'Base bordo'!C$2:C$746,A774,'Base bordo'!B$2:B$746,B774),0)</f>
        <v>19.190555555555555</v>
      </c>
      <c r="Q774" s="10">
        <f>IFERROR(SUMIFS('Base bordo'!H$2:H$746,'Base bordo'!C$2:C$746,A774,'Base bordo'!B$2:B$746,B774,'Base bordo'!F$2:F$746,"DESLOCAMENTO VAZIO"),0)</f>
        <v>70252.17</v>
      </c>
      <c r="R774" s="10">
        <f>IFERROR(SUMIFS('Base bordo'!I$2:I$746,'Base bordo'!C$2:C$746,A774,'Base bordo'!B$2:B$746,B774,'Base bordo'!F$2:F$746,"DESLOCAMENTO VAZIO"),0)</f>
        <v>2596</v>
      </c>
      <c r="S774" s="30">
        <f t="shared" si="79"/>
        <v>27.061698767334359</v>
      </c>
      <c r="T774" s="10">
        <f>IFERROR(SUMIFS('Base bordo'!H$2:H$746,'Base bordo'!C$2:C$746,A774,'Base bordo'!B$2:B$746,B774,'Base bordo'!F$2:F$746,"DESLOCAMENTO CARREGADO"),0)</f>
        <v>68679.02</v>
      </c>
      <c r="U774" s="10">
        <f>IFERROR(SUMIFS('Base bordo'!I$2:I$746,'Base bordo'!C$2:C$746,A774,'Base bordo'!B$2:B$746,B774,'Base bordo'!F$2:F$746,"DESLOCAMENTO CARREGADO"),0)</f>
        <v>3527</v>
      </c>
      <c r="V774" s="30">
        <f t="shared" si="80"/>
        <v>19.472361780550045</v>
      </c>
      <c r="W774" s="9">
        <f t="shared" si="81"/>
        <v>3.7576354109370928E-2</v>
      </c>
      <c r="X774" s="9">
        <f t="shared" si="82"/>
        <v>5.1052311611614512E-2</v>
      </c>
      <c r="Y774" s="9">
        <f t="shared" si="83"/>
        <v>0.91137133427901451</v>
      </c>
    </row>
    <row r="775" spans="1:25" ht="15" customHeight="1" x14ac:dyDescent="0.35">
      <c r="A775" s="52">
        <v>8013474</v>
      </c>
      <c r="B775" s="51">
        <v>46118</v>
      </c>
      <c r="C775" s="7" t="s">
        <v>124</v>
      </c>
      <c r="D775" s="10">
        <f>IFERROR(SUMIFS('Base bordo'!G$2:G$746,'Base bordo'!C$2:C$746,A775,'Base bordo'!B$2:B$746,B775,'Base bordo'!F$2:F$746,"DESLOCAMENTO VAZIO"),0)</f>
        <v>0.72111111111111115</v>
      </c>
      <c r="E775" s="10">
        <f>IFERROR(SUMIFS('Base bordo'!G$2:G$746,'Base bordo'!C$2:C$746,A775,'Base bordo'!B$2:B$746,B775,'Base bordo'!F$2:F$746,"DESLOCAMENTO CARREGADO"),0)</f>
        <v>0.97972222222222227</v>
      </c>
      <c r="F775" s="10">
        <f>IFERROR(SUMIFS('Base bordo'!G$2:G$746,'Base bordo'!C$2:C$746,A775,'Base bordo'!B$2:B$746,B775,'Base bordo'!F$2:F$746,"DESLOCAMENTO"),0)</f>
        <v>0</v>
      </c>
      <c r="G775" s="10">
        <f>IFERROR(SUMIFS('Base bordo'!G$2:G$746,'Base bordo'!C$2:C$746,A775,'Base bordo'!B$2:B$746,B775,'Base bordo'!F$2:F$746,"CARREGAMENTO"),0)</f>
        <v>0</v>
      </c>
      <c r="H775" s="10">
        <f>IFERROR(SUMIFS('Base bordo'!G$2:G$746,'Base bordo'!C$2:C$746,A775,'Base bordo'!B$2:B$746,B775,'Base bordo'!F$2:F$746,"AGUARDANDO TRANSBORDO"),0)</f>
        <v>0.20861111111111111</v>
      </c>
      <c r="I775" s="10">
        <f>IFERROR(SUMIFS('Base bordo'!G$2:G$746,'Base bordo'!C$2:C$746,A775,'Base bordo'!B$2:B$746,B775,'Base bordo'!F$2:F$746,"PÁTIO INTERNO"),0)+IFERROR(SUMIFS('Base bordo'!G$2:G$746,'Base bordo'!C$2:C$746,A775,'Base bordo'!B$2:B$746,B775,'Base bordo'!F$2:F$746,"PÁTIO EXTERNO"),0)+IFERROR(SUMIFS('Base bordo'!G$2:G$746,'Base bordo'!C$2:C$746,A775,'Base bordo'!B$2:B$746,B775,'Base bordo'!F$2:F$746,"PATIO - RESERVA"),0)+IFERROR(SUMIFS('Base bordo'!G$2:G$746,'Base bordo'!C$2:C$746,A775,'Base bordo'!B$2:B$746,B775,'Base bordo'!F$2:F$746,"MANOBRA CARRETAS-PATIO"),0)</f>
        <v>8.4474999999999998</v>
      </c>
      <c r="J775" s="10">
        <f>IFERROR(SUMIFS('Base bordo'!G$2:G$746,'Base bordo'!C$2:C$746,A775,'Base bordo'!B$2:B$746,B775,'Base bordo'!F$2:F$746,"BALANÇA - ENTRADA"),0)+IFERROR(SUMIFS('Base bordo'!G$2:G$746,'Base bordo'!C$2:C$746,A775,'Base bordo'!B$2:B$746,B775,'Base bordo'!F$2:F$746,"BALANÇA - SAÍDA"),0)</f>
        <v>6.3611111111111118E-2</v>
      </c>
      <c r="K775" s="10">
        <f>IFERROR(SUMIFS('Base bordo'!G$2:G$746,'Base bordo'!C$2:C$746,A775,'Base bordo'!B$2:B$746,B775,'Base bordo'!F$2:F$746,"MAN PREVENTIVA - MECANICA"),0)+IFERROR(SUMIFS('Base bordo'!G$2:G$746,'Base bordo'!C$2:C$746,A775,'Base bordo'!B$2:B$746,B775,'Base bordo'!F$2:F$746,"MAN CORRETIVA - MECANICA"),0)</f>
        <v>0</v>
      </c>
      <c r="L775" s="10">
        <f>IFERROR(SUMIFS('Base bordo'!G$2:G$746,'Base bordo'!C$2:C$746,A775,'Base bordo'!B$2:B$746,B775,'Base bordo'!F$2:F$746,"MANUTENCAO - T O"),0)+IFERROR(SUMIFS('Base bordo'!G$2:G$746,'Base bordo'!C$2:C$746,A775,'Base bordo'!B$2:B$746,B775,'Base bordo'!F$2:F$746,"MANUTENCAO BORRACHARIA"),0)+IFERROR(SUMIFS('Base bordo'!G$2:G$746,'Base bordo'!C$2:C$746,A775,'Base bordo'!B$2:B$746,B775,'Base bordo'!F$2:F$746,"MANUTENCAO EXTERNA  CONCESSIONARIA"),0)+IFERROR(SUMIFS('Base bordo'!G$2:G$746,'Base bordo'!C$2:C$746,A775,'Base bordo'!B$2:B$746,B775,'Base bordo'!F$2:F$746,"MANUTENCAO TELEMETRIA"),0)</f>
        <v>8.77</v>
      </c>
      <c r="M775" s="10">
        <f>IFERROR(SUMIFS('Base bordo'!G$2:G$746,'Base bordo'!C$2:C$746,A775,'Base bordo'!B$2:B$746,B775,'Base bordo'!F$2:F$746,"AGUARDANDO MANUTENCAO"),0)</f>
        <v>0</v>
      </c>
      <c r="N775" s="10">
        <f>IFERROR(SUMIFS('Base bordo'!G$2:G$746,'Base bordo'!C$2:C$746,A775,'Base bordo'!B$2:B$746,B775,'Base bordo'!F$2:F$746,"SEM APONTAMENTO"),0)</f>
        <v>0</v>
      </c>
      <c r="O775" s="10">
        <f t="shared" si="78"/>
        <v>0</v>
      </c>
      <c r="P775" s="10">
        <f>IFERROR(SUMIFS('Base bordo'!G$2:G$746,'Base bordo'!C$2:C$746,A775,'Base bordo'!B$2:B$746,B775),0)</f>
        <v>19.190555555555555</v>
      </c>
      <c r="Q775" s="10">
        <f>IFERROR(SUMIFS('Base bordo'!H$2:H$746,'Base bordo'!C$2:C$746,A775,'Base bordo'!B$2:B$746,B775,'Base bordo'!F$2:F$746,"DESLOCAMENTO VAZIO"),0)</f>
        <v>70252.17</v>
      </c>
      <c r="R775" s="10">
        <f>IFERROR(SUMIFS('Base bordo'!I$2:I$746,'Base bordo'!C$2:C$746,A775,'Base bordo'!B$2:B$746,B775,'Base bordo'!F$2:F$746,"DESLOCAMENTO VAZIO"),0)</f>
        <v>2596</v>
      </c>
      <c r="S775" s="30">
        <f t="shared" si="79"/>
        <v>27.061698767334359</v>
      </c>
      <c r="T775" s="10">
        <f>IFERROR(SUMIFS('Base bordo'!H$2:H$746,'Base bordo'!C$2:C$746,A775,'Base bordo'!B$2:B$746,B775,'Base bordo'!F$2:F$746,"DESLOCAMENTO CARREGADO"),0)</f>
        <v>68679.02</v>
      </c>
      <c r="U775" s="10">
        <f>IFERROR(SUMIFS('Base bordo'!I$2:I$746,'Base bordo'!C$2:C$746,A775,'Base bordo'!B$2:B$746,B775,'Base bordo'!F$2:F$746,"DESLOCAMENTO CARREGADO"),0)</f>
        <v>3527</v>
      </c>
      <c r="V775" s="30">
        <f t="shared" si="80"/>
        <v>19.472361780550045</v>
      </c>
      <c r="W775" s="9">
        <f t="shared" si="81"/>
        <v>3.7576354109370928E-2</v>
      </c>
      <c r="X775" s="9">
        <f t="shared" si="82"/>
        <v>5.1052311611614512E-2</v>
      </c>
      <c r="Y775" s="9">
        <f t="shared" si="83"/>
        <v>0.91137133427901451</v>
      </c>
    </row>
    <row r="776" spans="1:25" ht="15" customHeight="1" x14ac:dyDescent="0.35">
      <c r="A776" s="52">
        <v>8013474</v>
      </c>
      <c r="B776" s="51">
        <v>46118</v>
      </c>
      <c r="C776" s="7" t="s">
        <v>124</v>
      </c>
      <c r="D776" s="10">
        <f>IFERROR(SUMIFS('Base bordo'!G$2:G$746,'Base bordo'!C$2:C$746,A776,'Base bordo'!B$2:B$746,B776,'Base bordo'!F$2:F$746,"DESLOCAMENTO VAZIO"),0)</f>
        <v>0.72111111111111115</v>
      </c>
      <c r="E776" s="10">
        <f>IFERROR(SUMIFS('Base bordo'!G$2:G$746,'Base bordo'!C$2:C$746,A776,'Base bordo'!B$2:B$746,B776,'Base bordo'!F$2:F$746,"DESLOCAMENTO CARREGADO"),0)</f>
        <v>0.97972222222222227</v>
      </c>
      <c r="F776" s="10">
        <f>IFERROR(SUMIFS('Base bordo'!G$2:G$746,'Base bordo'!C$2:C$746,A776,'Base bordo'!B$2:B$746,B776,'Base bordo'!F$2:F$746,"DESLOCAMENTO"),0)</f>
        <v>0</v>
      </c>
      <c r="G776" s="10">
        <f>IFERROR(SUMIFS('Base bordo'!G$2:G$746,'Base bordo'!C$2:C$746,A776,'Base bordo'!B$2:B$746,B776,'Base bordo'!F$2:F$746,"CARREGAMENTO"),0)</f>
        <v>0</v>
      </c>
      <c r="H776" s="10">
        <f>IFERROR(SUMIFS('Base bordo'!G$2:G$746,'Base bordo'!C$2:C$746,A776,'Base bordo'!B$2:B$746,B776,'Base bordo'!F$2:F$746,"AGUARDANDO TRANSBORDO"),0)</f>
        <v>0.20861111111111111</v>
      </c>
      <c r="I776" s="10">
        <f>IFERROR(SUMIFS('Base bordo'!G$2:G$746,'Base bordo'!C$2:C$746,A776,'Base bordo'!B$2:B$746,B776,'Base bordo'!F$2:F$746,"PÁTIO INTERNO"),0)+IFERROR(SUMIFS('Base bordo'!G$2:G$746,'Base bordo'!C$2:C$746,A776,'Base bordo'!B$2:B$746,B776,'Base bordo'!F$2:F$746,"PÁTIO EXTERNO"),0)+IFERROR(SUMIFS('Base bordo'!G$2:G$746,'Base bordo'!C$2:C$746,A776,'Base bordo'!B$2:B$746,B776,'Base bordo'!F$2:F$746,"PATIO - RESERVA"),0)+IFERROR(SUMIFS('Base bordo'!G$2:G$746,'Base bordo'!C$2:C$746,A776,'Base bordo'!B$2:B$746,B776,'Base bordo'!F$2:F$746,"MANOBRA CARRETAS-PATIO"),0)</f>
        <v>8.4474999999999998</v>
      </c>
      <c r="J776" s="10">
        <f>IFERROR(SUMIFS('Base bordo'!G$2:G$746,'Base bordo'!C$2:C$746,A776,'Base bordo'!B$2:B$746,B776,'Base bordo'!F$2:F$746,"BALANÇA - ENTRADA"),0)+IFERROR(SUMIFS('Base bordo'!G$2:G$746,'Base bordo'!C$2:C$746,A776,'Base bordo'!B$2:B$746,B776,'Base bordo'!F$2:F$746,"BALANÇA - SAÍDA"),0)</f>
        <v>6.3611111111111118E-2</v>
      </c>
      <c r="K776" s="10">
        <f>IFERROR(SUMIFS('Base bordo'!G$2:G$746,'Base bordo'!C$2:C$746,A776,'Base bordo'!B$2:B$746,B776,'Base bordo'!F$2:F$746,"MAN PREVENTIVA - MECANICA"),0)+IFERROR(SUMIFS('Base bordo'!G$2:G$746,'Base bordo'!C$2:C$746,A776,'Base bordo'!B$2:B$746,B776,'Base bordo'!F$2:F$746,"MAN CORRETIVA - MECANICA"),0)</f>
        <v>0</v>
      </c>
      <c r="L776" s="10">
        <f>IFERROR(SUMIFS('Base bordo'!G$2:G$746,'Base bordo'!C$2:C$746,A776,'Base bordo'!B$2:B$746,B776,'Base bordo'!F$2:F$746,"MANUTENCAO - T O"),0)+IFERROR(SUMIFS('Base bordo'!G$2:G$746,'Base bordo'!C$2:C$746,A776,'Base bordo'!B$2:B$746,B776,'Base bordo'!F$2:F$746,"MANUTENCAO BORRACHARIA"),0)+IFERROR(SUMIFS('Base bordo'!G$2:G$746,'Base bordo'!C$2:C$746,A776,'Base bordo'!B$2:B$746,B776,'Base bordo'!F$2:F$746,"MANUTENCAO EXTERNA  CONCESSIONARIA"),0)+IFERROR(SUMIFS('Base bordo'!G$2:G$746,'Base bordo'!C$2:C$746,A776,'Base bordo'!B$2:B$746,B776,'Base bordo'!F$2:F$746,"MANUTENCAO TELEMETRIA"),0)</f>
        <v>8.77</v>
      </c>
      <c r="M776" s="10">
        <f>IFERROR(SUMIFS('Base bordo'!G$2:G$746,'Base bordo'!C$2:C$746,A776,'Base bordo'!B$2:B$746,B776,'Base bordo'!F$2:F$746,"AGUARDANDO MANUTENCAO"),0)</f>
        <v>0</v>
      </c>
      <c r="N776" s="10">
        <f>IFERROR(SUMIFS('Base bordo'!G$2:G$746,'Base bordo'!C$2:C$746,A776,'Base bordo'!B$2:B$746,B776,'Base bordo'!F$2:F$746,"SEM APONTAMENTO"),0)</f>
        <v>0</v>
      </c>
      <c r="O776" s="10">
        <f t="shared" si="78"/>
        <v>0</v>
      </c>
      <c r="P776" s="10">
        <f>IFERROR(SUMIFS('Base bordo'!G$2:G$746,'Base bordo'!C$2:C$746,A776,'Base bordo'!B$2:B$746,B776),0)</f>
        <v>19.190555555555555</v>
      </c>
      <c r="Q776" s="10">
        <f>IFERROR(SUMIFS('Base bordo'!H$2:H$746,'Base bordo'!C$2:C$746,A776,'Base bordo'!B$2:B$746,B776,'Base bordo'!F$2:F$746,"DESLOCAMENTO VAZIO"),0)</f>
        <v>70252.17</v>
      </c>
      <c r="R776" s="10">
        <f>IFERROR(SUMIFS('Base bordo'!I$2:I$746,'Base bordo'!C$2:C$746,A776,'Base bordo'!B$2:B$746,B776,'Base bordo'!F$2:F$746,"DESLOCAMENTO VAZIO"),0)</f>
        <v>2596</v>
      </c>
      <c r="S776" s="30">
        <f t="shared" si="79"/>
        <v>27.061698767334359</v>
      </c>
      <c r="T776" s="10">
        <f>IFERROR(SUMIFS('Base bordo'!H$2:H$746,'Base bordo'!C$2:C$746,A776,'Base bordo'!B$2:B$746,B776,'Base bordo'!F$2:F$746,"DESLOCAMENTO CARREGADO"),0)</f>
        <v>68679.02</v>
      </c>
      <c r="U776" s="10">
        <f>IFERROR(SUMIFS('Base bordo'!I$2:I$746,'Base bordo'!C$2:C$746,A776,'Base bordo'!B$2:B$746,B776,'Base bordo'!F$2:F$746,"DESLOCAMENTO CARREGADO"),0)</f>
        <v>3527</v>
      </c>
      <c r="V776" s="30">
        <f t="shared" si="80"/>
        <v>19.472361780550045</v>
      </c>
      <c r="W776" s="9">
        <f t="shared" si="81"/>
        <v>3.7576354109370928E-2</v>
      </c>
      <c r="X776" s="9">
        <f t="shared" si="82"/>
        <v>5.1052311611614512E-2</v>
      </c>
      <c r="Y776" s="9">
        <f t="shared" si="83"/>
        <v>0.91137133427901451</v>
      </c>
    </row>
    <row r="777" spans="1:25" ht="15" customHeight="1" x14ac:dyDescent="0.35">
      <c r="A777" s="52">
        <v>8013474</v>
      </c>
      <c r="B777" s="51">
        <v>46118</v>
      </c>
      <c r="C777" s="7" t="s">
        <v>124</v>
      </c>
      <c r="D777" s="10">
        <f>IFERROR(SUMIFS('Base bordo'!G$2:G$746,'Base bordo'!C$2:C$746,A777,'Base bordo'!B$2:B$746,B777,'Base bordo'!F$2:F$746,"DESLOCAMENTO VAZIO"),0)</f>
        <v>0.72111111111111115</v>
      </c>
      <c r="E777" s="10">
        <f>IFERROR(SUMIFS('Base bordo'!G$2:G$746,'Base bordo'!C$2:C$746,A777,'Base bordo'!B$2:B$746,B777,'Base bordo'!F$2:F$746,"DESLOCAMENTO CARREGADO"),0)</f>
        <v>0.97972222222222227</v>
      </c>
      <c r="F777" s="10">
        <f>IFERROR(SUMIFS('Base bordo'!G$2:G$746,'Base bordo'!C$2:C$746,A777,'Base bordo'!B$2:B$746,B777,'Base bordo'!F$2:F$746,"DESLOCAMENTO"),0)</f>
        <v>0</v>
      </c>
      <c r="G777" s="10">
        <f>IFERROR(SUMIFS('Base bordo'!G$2:G$746,'Base bordo'!C$2:C$746,A777,'Base bordo'!B$2:B$746,B777,'Base bordo'!F$2:F$746,"CARREGAMENTO"),0)</f>
        <v>0</v>
      </c>
      <c r="H777" s="10">
        <f>IFERROR(SUMIFS('Base bordo'!G$2:G$746,'Base bordo'!C$2:C$746,A777,'Base bordo'!B$2:B$746,B777,'Base bordo'!F$2:F$746,"AGUARDANDO TRANSBORDO"),0)</f>
        <v>0.20861111111111111</v>
      </c>
      <c r="I777" s="10">
        <f>IFERROR(SUMIFS('Base bordo'!G$2:G$746,'Base bordo'!C$2:C$746,A777,'Base bordo'!B$2:B$746,B777,'Base bordo'!F$2:F$746,"PÁTIO INTERNO"),0)+IFERROR(SUMIFS('Base bordo'!G$2:G$746,'Base bordo'!C$2:C$746,A777,'Base bordo'!B$2:B$746,B777,'Base bordo'!F$2:F$746,"PÁTIO EXTERNO"),0)+IFERROR(SUMIFS('Base bordo'!G$2:G$746,'Base bordo'!C$2:C$746,A777,'Base bordo'!B$2:B$746,B777,'Base bordo'!F$2:F$746,"PATIO - RESERVA"),0)+IFERROR(SUMIFS('Base bordo'!G$2:G$746,'Base bordo'!C$2:C$746,A777,'Base bordo'!B$2:B$746,B777,'Base bordo'!F$2:F$746,"MANOBRA CARRETAS-PATIO"),0)</f>
        <v>8.4474999999999998</v>
      </c>
      <c r="J777" s="10">
        <f>IFERROR(SUMIFS('Base bordo'!G$2:G$746,'Base bordo'!C$2:C$746,A777,'Base bordo'!B$2:B$746,B777,'Base bordo'!F$2:F$746,"BALANÇA - ENTRADA"),0)+IFERROR(SUMIFS('Base bordo'!G$2:G$746,'Base bordo'!C$2:C$746,A777,'Base bordo'!B$2:B$746,B777,'Base bordo'!F$2:F$746,"BALANÇA - SAÍDA"),0)</f>
        <v>6.3611111111111118E-2</v>
      </c>
      <c r="K777" s="10">
        <f>IFERROR(SUMIFS('Base bordo'!G$2:G$746,'Base bordo'!C$2:C$746,A777,'Base bordo'!B$2:B$746,B777,'Base bordo'!F$2:F$746,"MAN PREVENTIVA - MECANICA"),0)+IFERROR(SUMIFS('Base bordo'!G$2:G$746,'Base bordo'!C$2:C$746,A777,'Base bordo'!B$2:B$746,B777,'Base bordo'!F$2:F$746,"MAN CORRETIVA - MECANICA"),0)</f>
        <v>0</v>
      </c>
      <c r="L777" s="10">
        <f>IFERROR(SUMIFS('Base bordo'!G$2:G$746,'Base bordo'!C$2:C$746,A777,'Base bordo'!B$2:B$746,B777,'Base bordo'!F$2:F$746,"MANUTENCAO - T O"),0)+IFERROR(SUMIFS('Base bordo'!G$2:G$746,'Base bordo'!C$2:C$746,A777,'Base bordo'!B$2:B$746,B777,'Base bordo'!F$2:F$746,"MANUTENCAO BORRACHARIA"),0)+IFERROR(SUMIFS('Base bordo'!G$2:G$746,'Base bordo'!C$2:C$746,A777,'Base bordo'!B$2:B$746,B777,'Base bordo'!F$2:F$746,"MANUTENCAO EXTERNA  CONCESSIONARIA"),0)+IFERROR(SUMIFS('Base bordo'!G$2:G$746,'Base bordo'!C$2:C$746,A777,'Base bordo'!B$2:B$746,B777,'Base bordo'!F$2:F$746,"MANUTENCAO TELEMETRIA"),0)</f>
        <v>8.77</v>
      </c>
      <c r="M777" s="10">
        <f>IFERROR(SUMIFS('Base bordo'!G$2:G$746,'Base bordo'!C$2:C$746,A777,'Base bordo'!B$2:B$746,B777,'Base bordo'!F$2:F$746,"AGUARDANDO MANUTENCAO"),0)</f>
        <v>0</v>
      </c>
      <c r="N777" s="10">
        <f>IFERROR(SUMIFS('Base bordo'!G$2:G$746,'Base bordo'!C$2:C$746,A777,'Base bordo'!B$2:B$746,B777,'Base bordo'!F$2:F$746,"SEM APONTAMENTO"),0)</f>
        <v>0</v>
      </c>
      <c r="O777" s="10">
        <f t="shared" si="78"/>
        <v>0</v>
      </c>
      <c r="P777" s="10">
        <f>IFERROR(SUMIFS('Base bordo'!G$2:G$746,'Base bordo'!C$2:C$746,A777,'Base bordo'!B$2:B$746,B777),0)</f>
        <v>19.190555555555555</v>
      </c>
      <c r="Q777" s="10">
        <f>IFERROR(SUMIFS('Base bordo'!H$2:H$746,'Base bordo'!C$2:C$746,A777,'Base bordo'!B$2:B$746,B777,'Base bordo'!F$2:F$746,"DESLOCAMENTO VAZIO"),0)</f>
        <v>70252.17</v>
      </c>
      <c r="R777" s="10">
        <f>IFERROR(SUMIFS('Base bordo'!I$2:I$746,'Base bordo'!C$2:C$746,A777,'Base bordo'!B$2:B$746,B777,'Base bordo'!F$2:F$746,"DESLOCAMENTO VAZIO"),0)</f>
        <v>2596</v>
      </c>
      <c r="S777" s="30">
        <f t="shared" si="79"/>
        <v>27.061698767334359</v>
      </c>
      <c r="T777" s="10">
        <f>IFERROR(SUMIFS('Base bordo'!H$2:H$746,'Base bordo'!C$2:C$746,A777,'Base bordo'!B$2:B$746,B777,'Base bordo'!F$2:F$746,"DESLOCAMENTO CARREGADO"),0)</f>
        <v>68679.02</v>
      </c>
      <c r="U777" s="10">
        <f>IFERROR(SUMIFS('Base bordo'!I$2:I$746,'Base bordo'!C$2:C$746,A777,'Base bordo'!B$2:B$746,B777,'Base bordo'!F$2:F$746,"DESLOCAMENTO CARREGADO"),0)</f>
        <v>3527</v>
      </c>
      <c r="V777" s="30">
        <f t="shared" si="80"/>
        <v>19.472361780550045</v>
      </c>
      <c r="W777" s="9">
        <f t="shared" si="81"/>
        <v>3.7576354109370928E-2</v>
      </c>
      <c r="X777" s="9">
        <f t="shared" si="82"/>
        <v>5.1052311611614512E-2</v>
      </c>
      <c r="Y777" s="9">
        <f t="shared" si="83"/>
        <v>0.91137133427901451</v>
      </c>
    </row>
    <row r="778" spans="1:25" ht="15" customHeight="1" x14ac:dyDescent="0.35">
      <c r="A778" s="52">
        <v>8013474</v>
      </c>
      <c r="B778" s="51">
        <v>46118</v>
      </c>
      <c r="C778" s="7" t="s">
        <v>124</v>
      </c>
      <c r="D778" s="10">
        <f>IFERROR(SUMIFS('Base bordo'!G$2:G$746,'Base bordo'!C$2:C$746,A778,'Base bordo'!B$2:B$746,B778,'Base bordo'!F$2:F$746,"DESLOCAMENTO VAZIO"),0)</f>
        <v>0.72111111111111115</v>
      </c>
      <c r="E778" s="10">
        <f>IFERROR(SUMIFS('Base bordo'!G$2:G$746,'Base bordo'!C$2:C$746,A778,'Base bordo'!B$2:B$746,B778,'Base bordo'!F$2:F$746,"DESLOCAMENTO CARREGADO"),0)</f>
        <v>0.97972222222222227</v>
      </c>
      <c r="F778" s="10">
        <f>IFERROR(SUMIFS('Base bordo'!G$2:G$746,'Base bordo'!C$2:C$746,A778,'Base bordo'!B$2:B$746,B778,'Base bordo'!F$2:F$746,"DESLOCAMENTO"),0)</f>
        <v>0</v>
      </c>
      <c r="G778" s="10">
        <f>IFERROR(SUMIFS('Base bordo'!G$2:G$746,'Base bordo'!C$2:C$746,A778,'Base bordo'!B$2:B$746,B778,'Base bordo'!F$2:F$746,"CARREGAMENTO"),0)</f>
        <v>0</v>
      </c>
      <c r="H778" s="10">
        <f>IFERROR(SUMIFS('Base bordo'!G$2:G$746,'Base bordo'!C$2:C$746,A778,'Base bordo'!B$2:B$746,B778,'Base bordo'!F$2:F$746,"AGUARDANDO TRANSBORDO"),0)</f>
        <v>0.20861111111111111</v>
      </c>
      <c r="I778" s="10">
        <f>IFERROR(SUMIFS('Base bordo'!G$2:G$746,'Base bordo'!C$2:C$746,A778,'Base bordo'!B$2:B$746,B778,'Base bordo'!F$2:F$746,"PÁTIO INTERNO"),0)+IFERROR(SUMIFS('Base bordo'!G$2:G$746,'Base bordo'!C$2:C$746,A778,'Base bordo'!B$2:B$746,B778,'Base bordo'!F$2:F$746,"PÁTIO EXTERNO"),0)+IFERROR(SUMIFS('Base bordo'!G$2:G$746,'Base bordo'!C$2:C$746,A778,'Base bordo'!B$2:B$746,B778,'Base bordo'!F$2:F$746,"PATIO - RESERVA"),0)+IFERROR(SUMIFS('Base bordo'!G$2:G$746,'Base bordo'!C$2:C$746,A778,'Base bordo'!B$2:B$746,B778,'Base bordo'!F$2:F$746,"MANOBRA CARRETAS-PATIO"),0)</f>
        <v>8.4474999999999998</v>
      </c>
      <c r="J778" s="10">
        <f>IFERROR(SUMIFS('Base bordo'!G$2:G$746,'Base bordo'!C$2:C$746,A778,'Base bordo'!B$2:B$746,B778,'Base bordo'!F$2:F$746,"BALANÇA - ENTRADA"),0)+IFERROR(SUMIFS('Base bordo'!G$2:G$746,'Base bordo'!C$2:C$746,A778,'Base bordo'!B$2:B$746,B778,'Base bordo'!F$2:F$746,"BALANÇA - SAÍDA"),0)</f>
        <v>6.3611111111111118E-2</v>
      </c>
      <c r="K778" s="10">
        <f>IFERROR(SUMIFS('Base bordo'!G$2:G$746,'Base bordo'!C$2:C$746,A778,'Base bordo'!B$2:B$746,B778,'Base bordo'!F$2:F$746,"MAN PREVENTIVA - MECANICA"),0)+IFERROR(SUMIFS('Base bordo'!G$2:G$746,'Base bordo'!C$2:C$746,A778,'Base bordo'!B$2:B$746,B778,'Base bordo'!F$2:F$746,"MAN CORRETIVA - MECANICA"),0)</f>
        <v>0</v>
      </c>
      <c r="L778" s="10">
        <f>IFERROR(SUMIFS('Base bordo'!G$2:G$746,'Base bordo'!C$2:C$746,A778,'Base bordo'!B$2:B$746,B778,'Base bordo'!F$2:F$746,"MANUTENCAO - T O"),0)+IFERROR(SUMIFS('Base bordo'!G$2:G$746,'Base bordo'!C$2:C$746,A778,'Base bordo'!B$2:B$746,B778,'Base bordo'!F$2:F$746,"MANUTENCAO BORRACHARIA"),0)+IFERROR(SUMIFS('Base bordo'!G$2:G$746,'Base bordo'!C$2:C$746,A778,'Base bordo'!B$2:B$746,B778,'Base bordo'!F$2:F$746,"MANUTENCAO EXTERNA  CONCESSIONARIA"),0)+IFERROR(SUMIFS('Base bordo'!G$2:G$746,'Base bordo'!C$2:C$746,A778,'Base bordo'!B$2:B$746,B778,'Base bordo'!F$2:F$746,"MANUTENCAO TELEMETRIA"),0)</f>
        <v>8.77</v>
      </c>
      <c r="M778" s="10">
        <f>IFERROR(SUMIFS('Base bordo'!G$2:G$746,'Base bordo'!C$2:C$746,A778,'Base bordo'!B$2:B$746,B778,'Base bordo'!F$2:F$746,"AGUARDANDO MANUTENCAO"),0)</f>
        <v>0</v>
      </c>
      <c r="N778" s="10">
        <f>IFERROR(SUMIFS('Base bordo'!G$2:G$746,'Base bordo'!C$2:C$746,A778,'Base bordo'!B$2:B$746,B778,'Base bordo'!F$2:F$746,"SEM APONTAMENTO"),0)</f>
        <v>0</v>
      </c>
      <c r="O778" s="10">
        <f t="shared" si="78"/>
        <v>0</v>
      </c>
      <c r="P778" s="10">
        <f>IFERROR(SUMIFS('Base bordo'!G$2:G$746,'Base bordo'!C$2:C$746,A778,'Base bordo'!B$2:B$746,B778),0)</f>
        <v>19.190555555555555</v>
      </c>
      <c r="Q778" s="10">
        <f>IFERROR(SUMIFS('Base bordo'!H$2:H$746,'Base bordo'!C$2:C$746,A778,'Base bordo'!B$2:B$746,B778,'Base bordo'!F$2:F$746,"DESLOCAMENTO VAZIO"),0)</f>
        <v>70252.17</v>
      </c>
      <c r="R778" s="10">
        <f>IFERROR(SUMIFS('Base bordo'!I$2:I$746,'Base bordo'!C$2:C$746,A778,'Base bordo'!B$2:B$746,B778,'Base bordo'!F$2:F$746,"DESLOCAMENTO VAZIO"),0)</f>
        <v>2596</v>
      </c>
      <c r="S778" s="30">
        <f t="shared" si="79"/>
        <v>27.061698767334359</v>
      </c>
      <c r="T778" s="10">
        <f>IFERROR(SUMIFS('Base bordo'!H$2:H$746,'Base bordo'!C$2:C$746,A778,'Base bordo'!B$2:B$746,B778,'Base bordo'!F$2:F$746,"DESLOCAMENTO CARREGADO"),0)</f>
        <v>68679.02</v>
      </c>
      <c r="U778" s="10">
        <f>IFERROR(SUMIFS('Base bordo'!I$2:I$746,'Base bordo'!C$2:C$746,A778,'Base bordo'!B$2:B$746,B778,'Base bordo'!F$2:F$746,"DESLOCAMENTO CARREGADO"),0)</f>
        <v>3527</v>
      </c>
      <c r="V778" s="30">
        <f t="shared" si="80"/>
        <v>19.472361780550045</v>
      </c>
      <c r="W778" s="9">
        <f t="shared" si="81"/>
        <v>3.7576354109370928E-2</v>
      </c>
      <c r="X778" s="9">
        <f t="shared" si="82"/>
        <v>5.1052311611614512E-2</v>
      </c>
      <c r="Y778" s="9">
        <f t="shared" si="83"/>
        <v>0.91137133427901451</v>
      </c>
    </row>
    <row r="779" spans="1:25" ht="15" customHeight="1" x14ac:dyDescent="0.35">
      <c r="A779" s="52">
        <v>8013475</v>
      </c>
      <c r="B779" s="51">
        <v>46118</v>
      </c>
      <c r="C779" s="7" t="s">
        <v>124</v>
      </c>
      <c r="D779" s="10">
        <f>IFERROR(SUMIFS('Base bordo'!G$2:G$746,'Base bordo'!C$2:C$746,A779,'Base bordo'!B$2:B$746,B779,'Base bordo'!F$2:F$746,"DESLOCAMENTO VAZIO"),0)</f>
        <v>1.6019444444444444</v>
      </c>
      <c r="E779" s="10">
        <f>IFERROR(SUMIFS('Base bordo'!G$2:G$746,'Base bordo'!C$2:C$746,A779,'Base bordo'!B$2:B$746,B779,'Base bordo'!F$2:F$746,"DESLOCAMENTO CARREGADO"),0)</f>
        <v>2.0350000000000001</v>
      </c>
      <c r="F779" s="10">
        <f>IFERROR(SUMIFS('Base bordo'!G$2:G$746,'Base bordo'!C$2:C$746,A779,'Base bordo'!B$2:B$746,B779,'Base bordo'!F$2:F$746,"DESLOCAMENTO"),0)</f>
        <v>1.1069444444444445</v>
      </c>
      <c r="G779" s="10">
        <f>IFERROR(SUMIFS('Base bordo'!G$2:G$746,'Base bordo'!C$2:C$746,A779,'Base bordo'!B$2:B$746,B779,'Base bordo'!F$2:F$746,"CARREGAMENTO"),0)</f>
        <v>0</v>
      </c>
      <c r="H779" s="10">
        <f>IFERROR(SUMIFS('Base bordo'!G$2:G$746,'Base bordo'!C$2:C$746,A779,'Base bordo'!B$2:B$746,B779,'Base bordo'!F$2:F$746,"AGUARDANDO TRANSBORDO"),0)</f>
        <v>0.62972222222222218</v>
      </c>
      <c r="I779" s="10">
        <f>IFERROR(SUMIFS('Base bordo'!G$2:G$746,'Base bordo'!C$2:C$746,A779,'Base bordo'!B$2:B$746,B779,'Base bordo'!F$2:F$746,"PÁTIO INTERNO"),0)+IFERROR(SUMIFS('Base bordo'!G$2:G$746,'Base bordo'!C$2:C$746,A779,'Base bordo'!B$2:B$746,B779,'Base bordo'!F$2:F$746,"PÁTIO EXTERNO"),0)+IFERROR(SUMIFS('Base bordo'!G$2:G$746,'Base bordo'!C$2:C$746,A779,'Base bordo'!B$2:B$746,B779,'Base bordo'!F$2:F$746,"PATIO - RESERVA"),0)+IFERROR(SUMIFS('Base bordo'!G$2:G$746,'Base bordo'!C$2:C$746,A779,'Base bordo'!B$2:B$746,B779,'Base bordo'!F$2:F$746,"MANOBRA CARRETAS-PATIO"),0)</f>
        <v>16.014166666666668</v>
      </c>
      <c r="J779" s="10">
        <f>IFERROR(SUMIFS('Base bordo'!G$2:G$746,'Base bordo'!C$2:C$746,A779,'Base bordo'!B$2:B$746,B779,'Base bordo'!F$2:F$746,"BALANÇA - ENTRADA"),0)+IFERROR(SUMIFS('Base bordo'!G$2:G$746,'Base bordo'!C$2:C$746,A779,'Base bordo'!B$2:B$746,B779,'Base bordo'!F$2:F$746,"BALANÇA - SAÍDA"),0)</f>
        <v>4.8333333333333332E-2</v>
      </c>
      <c r="K779" s="10">
        <f>IFERROR(SUMIFS('Base bordo'!G$2:G$746,'Base bordo'!C$2:C$746,A779,'Base bordo'!B$2:B$746,B779,'Base bordo'!F$2:F$746,"MAN PREVENTIVA - MECANICA"),0)+IFERROR(SUMIFS('Base bordo'!G$2:G$746,'Base bordo'!C$2:C$746,A779,'Base bordo'!B$2:B$746,B779,'Base bordo'!F$2:F$746,"MAN CORRETIVA - MECANICA"),0)</f>
        <v>0</v>
      </c>
      <c r="L779" s="10">
        <f>IFERROR(SUMIFS('Base bordo'!G$2:G$746,'Base bordo'!C$2:C$746,A779,'Base bordo'!B$2:B$746,B779,'Base bordo'!F$2:F$746,"MANUTENCAO - T O"),0)+IFERROR(SUMIFS('Base bordo'!G$2:G$746,'Base bordo'!C$2:C$746,A779,'Base bordo'!B$2:B$746,B779,'Base bordo'!F$2:F$746,"MANUTENCAO BORRACHARIA"),0)+IFERROR(SUMIFS('Base bordo'!G$2:G$746,'Base bordo'!C$2:C$746,A779,'Base bordo'!B$2:B$746,B779,'Base bordo'!F$2:F$746,"MANUTENCAO EXTERNA  CONCESSIONARIA"),0)+IFERROR(SUMIFS('Base bordo'!G$2:G$746,'Base bordo'!C$2:C$746,A779,'Base bordo'!B$2:B$746,B779,'Base bordo'!F$2:F$746,"MANUTENCAO TELEMETRIA"),0)</f>
        <v>1.9430555555555555</v>
      </c>
      <c r="M779" s="10">
        <f>IFERROR(SUMIFS('Base bordo'!G$2:G$746,'Base bordo'!C$2:C$746,A779,'Base bordo'!B$2:B$746,B779,'Base bordo'!F$2:F$746,"AGUARDANDO MANUTENCAO"),0)</f>
        <v>0</v>
      </c>
      <c r="N779" s="10">
        <f>IFERROR(SUMIFS('Base bordo'!G$2:G$746,'Base bordo'!C$2:C$746,A779,'Base bordo'!B$2:B$746,B779,'Base bordo'!F$2:F$746,"SEM APONTAMENTO"),0)</f>
        <v>0</v>
      </c>
      <c r="O779" s="10">
        <f t="shared" si="78"/>
        <v>3.5527136788005009E-15</v>
      </c>
      <c r="P779" s="10">
        <f>IFERROR(SUMIFS('Base bordo'!G$2:G$746,'Base bordo'!C$2:C$746,A779,'Base bordo'!B$2:B$746,B779),0)</f>
        <v>23.37916666666667</v>
      </c>
      <c r="Q779" s="10">
        <f>IFERROR(SUMIFS('Base bordo'!H$2:H$746,'Base bordo'!C$2:C$746,A779,'Base bordo'!B$2:B$746,B779,'Base bordo'!F$2:F$746,"DESLOCAMENTO VAZIO"),0)</f>
        <v>173822.73</v>
      </c>
      <c r="R779" s="10">
        <f>IFERROR(SUMIFS('Base bordo'!I$2:I$746,'Base bordo'!C$2:C$746,A779,'Base bordo'!B$2:B$746,B779,'Base bordo'!F$2:F$746,"DESLOCAMENTO VAZIO"),0)</f>
        <v>5767</v>
      </c>
      <c r="S779" s="30">
        <f t="shared" si="79"/>
        <v>30.140927692040925</v>
      </c>
      <c r="T779" s="10">
        <f>IFERROR(SUMIFS('Base bordo'!H$2:H$746,'Base bordo'!C$2:C$746,A779,'Base bordo'!B$2:B$746,B779,'Base bordo'!F$2:F$746,"DESLOCAMENTO CARREGADO"),0)</f>
        <v>172046.47</v>
      </c>
      <c r="U779" s="10">
        <f>IFERROR(SUMIFS('Base bordo'!I$2:I$746,'Base bordo'!C$2:C$746,A779,'Base bordo'!B$2:B$746,B779,'Base bordo'!F$2:F$746,"DESLOCAMENTO CARREGADO"),0)</f>
        <v>7326</v>
      </c>
      <c r="V779" s="30">
        <f t="shared" si="80"/>
        <v>23.484366639366641</v>
      </c>
      <c r="W779" s="9">
        <f t="shared" si="81"/>
        <v>6.8520168716212193E-2</v>
      </c>
      <c r="X779" s="9">
        <f t="shared" si="82"/>
        <v>8.7043307788273031E-2</v>
      </c>
      <c r="Y779" s="9">
        <f t="shared" si="83"/>
        <v>0.84443652349551479</v>
      </c>
    </row>
    <row r="780" spans="1:25" ht="15" customHeight="1" x14ac:dyDescent="0.35">
      <c r="A780" s="52">
        <v>8013475</v>
      </c>
      <c r="B780" s="51">
        <v>46118</v>
      </c>
      <c r="C780" s="7" t="s">
        <v>124</v>
      </c>
      <c r="D780" s="10">
        <f>IFERROR(SUMIFS('Base bordo'!G$2:G$746,'Base bordo'!C$2:C$746,A780,'Base bordo'!B$2:B$746,B780,'Base bordo'!F$2:F$746,"DESLOCAMENTO VAZIO"),0)</f>
        <v>1.6019444444444444</v>
      </c>
      <c r="E780" s="10">
        <f>IFERROR(SUMIFS('Base bordo'!G$2:G$746,'Base bordo'!C$2:C$746,A780,'Base bordo'!B$2:B$746,B780,'Base bordo'!F$2:F$746,"DESLOCAMENTO CARREGADO"),0)</f>
        <v>2.0350000000000001</v>
      </c>
      <c r="F780" s="10">
        <f>IFERROR(SUMIFS('Base bordo'!G$2:G$746,'Base bordo'!C$2:C$746,A780,'Base bordo'!B$2:B$746,B780,'Base bordo'!F$2:F$746,"DESLOCAMENTO"),0)</f>
        <v>1.1069444444444445</v>
      </c>
      <c r="G780" s="10">
        <f>IFERROR(SUMIFS('Base bordo'!G$2:G$746,'Base bordo'!C$2:C$746,A780,'Base bordo'!B$2:B$746,B780,'Base bordo'!F$2:F$746,"CARREGAMENTO"),0)</f>
        <v>0</v>
      </c>
      <c r="H780" s="10">
        <f>IFERROR(SUMIFS('Base bordo'!G$2:G$746,'Base bordo'!C$2:C$746,A780,'Base bordo'!B$2:B$746,B780,'Base bordo'!F$2:F$746,"AGUARDANDO TRANSBORDO"),0)</f>
        <v>0.62972222222222218</v>
      </c>
      <c r="I780" s="10">
        <f>IFERROR(SUMIFS('Base bordo'!G$2:G$746,'Base bordo'!C$2:C$746,A780,'Base bordo'!B$2:B$746,B780,'Base bordo'!F$2:F$746,"PÁTIO INTERNO"),0)+IFERROR(SUMIFS('Base bordo'!G$2:G$746,'Base bordo'!C$2:C$746,A780,'Base bordo'!B$2:B$746,B780,'Base bordo'!F$2:F$746,"PÁTIO EXTERNO"),0)+IFERROR(SUMIFS('Base bordo'!G$2:G$746,'Base bordo'!C$2:C$746,A780,'Base bordo'!B$2:B$746,B780,'Base bordo'!F$2:F$746,"PATIO - RESERVA"),0)+IFERROR(SUMIFS('Base bordo'!G$2:G$746,'Base bordo'!C$2:C$746,A780,'Base bordo'!B$2:B$746,B780,'Base bordo'!F$2:F$746,"MANOBRA CARRETAS-PATIO"),0)</f>
        <v>16.014166666666668</v>
      </c>
      <c r="J780" s="10">
        <f>IFERROR(SUMIFS('Base bordo'!G$2:G$746,'Base bordo'!C$2:C$746,A780,'Base bordo'!B$2:B$746,B780,'Base bordo'!F$2:F$746,"BALANÇA - ENTRADA"),0)+IFERROR(SUMIFS('Base bordo'!G$2:G$746,'Base bordo'!C$2:C$746,A780,'Base bordo'!B$2:B$746,B780,'Base bordo'!F$2:F$746,"BALANÇA - SAÍDA"),0)</f>
        <v>4.8333333333333332E-2</v>
      </c>
      <c r="K780" s="10">
        <f>IFERROR(SUMIFS('Base bordo'!G$2:G$746,'Base bordo'!C$2:C$746,A780,'Base bordo'!B$2:B$746,B780,'Base bordo'!F$2:F$746,"MAN PREVENTIVA - MECANICA"),0)+IFERROR(SUMIFS('Base bordo'!G$2:G$746,'Base bordo'!C$2:C$746,A780,'Base bordo'!B$2:B$746,B780,'Base bordo'!F$2:F$746,"MAN CORRETIVA - MECANICA"),0)</f>
        <v>0</v>
      </c>
      <c r="L780" s="10">
        <f>IFERROR(SUMIFS('Base bordo'!G$2:G$746,'Base bordo'!C$2:C$746,A780,'Base bordo'!B$2:B$746,B780,'Base bordo'!F$2:F$746,"MANUTENCAO - T O"),0)+IFERROR(SUMIFS('Base bordo'!G$2:G$746,'Base bordo'!C$2:C$746,A780,'Base bordo'!B$2:B$746,B780,'Base bordo'!F$2:F$746,"MANUTENCAO BORRACHARIA"),0)+IFERROR(SUMIFS('Base bordo'!G$2:G$746,'Base bordo'!C$2:C$746,A780,'Base bordo'!B$2:B$746,B780,'Base bordo'!F$2:F$746,"MANUTENCAO EXTERNA  CONCESSIONARIA"),0)+IFERROR(SUMIFS('Base bordo'!G$2:G$746,'Base bordo'!C$2:C$746,A780,'Base bordo'!B$2:B$746,B780,'Base bordo'!F$2:F$746,"MANUTENCAO TELEMETRIA"),0)</f>
        <v>1.9430555555555555</v>
      </c>
      <c r="M780" s="10">
        <f>IFERROR(SUMIFS('Base bordo'!G$2:G$746,'Base bordo'!C$2:C$746,A780,'Base bordo'!B$2:B$746,B780,'Base bordo'!F$2:F$746,"AGUARDANDO MANUTENCAO"),0)</f>
        <v>0</v>
      </c>
      <c r="N780" s="10">
        <f>IFERROR(SUMIFS('Base bordo'!G$2:G$746,'Base bordo'!C$2:C$746,A780,'Base bordo'!B$2:B$746,B780,'Base bordo'!F$2:F$746,"SEM APONTAMENTO"),0)</f>
        <v>0</v>
      </c>
      <c r="O780" s="10">
        <f t="shared" si="78"/>
        <v>3.5527136788005009E-15</v>
      </c>
      <c r="P780" s="10">
        <f>IFERROR(SUMIFS('Base bordo'!G$2:G$746,'Base bordo'!C$2:C$746,A780,'Base bordo'!B$2:B$746,B780),0)</f>
        <v>23.37916666666667</v>
      </c>
      <c r="Q780" s="10">
        <f>IFERROR(SUMIFS('Base bordo'!H$2:H$746,'Base bordo'!C$2:C$746,A780,'Base bordo'!B$2:B$746,B780,'Base bordo'!F$2:F$746,"DESLOCAMENTO VAZIO"),0)</f>
        <v>173822.73</v>
      </c>
      <c r="R780" s="10">
        <f>IFERROR(SUMIFS('Base bordo'!I$2:I$746,'Base bordo'!C$2:C$746,A780,'Base bordo'!B$2:B$746,B780,'Base bordo'!F$2:F$746,"DESLOCAMENTO VAZIO"),0)</f>
        <v>5767</v>
      </c>
      <c r="S780" s="30">
        <f t="shared" si="79"/>
        <v>30.140927692040925</v>
      </c>
      <c r="T780" s="10">
        <f>IFERROR(SUMIFS('Base bordo'!H$2:H$746,'Base bordo'!C$2:C$746,A780,'Base bordo'!B$2:B$746,B780,'Base bordo'!F$2:F$746,"DESLOCAMENTO CARREGADO"),0)</f>
        <v>172046.47</v>
      </c>
      <c r="U780" s="10">
        <f>IFERROR(SUMIFS('Base bordo'!I$2:I$746,'Base bordo'!C$2:C$746,A780,'Base bordo'!B$2:B$746,B780,'Base bordo'!F$2:F$746,"DESLOCAMENTO CARREGADO"),0)</f>
        <v>7326</v>
      </c>
      <c r="V780" s="30">
        <f t="shared" si="80"/>
        <v>23.484366639366641</v>
      </c>
      <c r="W780" s="9">
        <f t="shared" si="81"/>
        <v>6.8520168716212193E-2</v>
      </c>
      <c r="X780" s="9">
        <f t="shared" si="82"/>
        <v>8.7043307788273031E-2</v>
      </c>
      <c r="Y780" s="9">
        <f t="shared" si="83"/>
        <v>0.84443652349551479</v>
      </c>
    </row>
    <row r="781" spans="1:25" ht="15" customHeight="1" x14ac:dyDescent="0.35">
      <c r="A781" s="52">
        <v>8013475</v>
      </c>
      <c r="B781" s="51">
        <v>46118</v>
      </c>
      <c r="C781" s="7" t="s">
        <v>124</v>
      </c>
      <c r="D781" s="10">
        <f>IFERROR(SUMIFS('Base bordo'!G$2:G$746,'Base bordo'!C$2:C$746,A781,'Base bordo'!B$2:B$746,B781,'Base bordo'!F$2:F$746,"DESLOCAMENTO VAZIO"),0)</f>
        <v>1.6019444444444444</v>
      </c>
      <c r="E781" s="10">
        <f>IFERROR(SUMIFS('Base bordo'!G$2:G$746,'Base bordo'!C$2:C$746,A781,'Base bordo'!B$2:B$746,B781,'Base bordo'!F$2:F$746,"DESLOCAMENTO CARREGADO"),0)</f>
        <v>2.0350000000000001</v>
      </c>
      <c r="F781" s="10">
        <f>IFERROR(SUMIFS('Base bordo'!G$2:G$746,'Base bordo'!C$2:C$746,A781,'Base bordo'!B$2:B$746,B781,'Base bordo'!F$2:F$746,"DESLOCAMENTO"),0)</f>
        <v>1.1069444444444445</v>
      </c>
      <c r="G781" s="10">
        <f>IFERROR(SUMIFS('Base bordo'!G$2:G$746,'Base bordo'!C$2:C$746,A781,'Base bordo'!B$2:B$746,B781,'Base bordo'!F$2:F$746,"CARREGAMENTO"),0)</f>
        <v>0</v>
      </c>
      <c r="H781" s="10">
        <f>IFERROR(SUMIFS('Base bordo'!G$2:G$746,'Base bordo'!C$2:C$746,A781,'Base bordo'!B$2:B$746,B781,'Base bordo'!F$2:F$746,"AGUARDANDO TRANSBORDO"),0)</f>
        <v>0.62972222222222218</v>
      </c>
      <c r="I781" s="10">
        <f>IFERROR(SUMIFS('Base bordo'!G$2:G$746,'Base bordo'!C$2:C$746,A781,'Base bordo'!B$2:B$746,B781,'Base bordo'!F$2:F$746,"PÁTIO INTERNO"),0)+IFERROR(SUMIFS('Base bordo'!G$2:G$746,'Base bordo'!C$2:C$746,A781,'Base bordo'!B$2:B$746,B781,'Base bordo'!F$2:F$746,"PÁTIO EXTERNO"),0)+IFERROR(SUMIFS('Base bordo'!G$2:G$746,'Base bordo'!C$2:C$746,A781,'Base bordo'!B$2:B$746,B781,'Base bordo'!F$2:F$746,"PATIO - RESERVA"),0)+IFERROR(SUMIFS('Base bordo'!G$2:G$746,'Base bordo'!C$2:C$746,A781,'Base bordo'!B$2:B$746,B781,'Base bordo'!F$2:F$746,"MANOBRA CARRETAS-PATIO"),0)</f>
        <v>16.014166666666668</v>
      </c>
      <c r="J781" s="10">
        <f>IFERROR(SUMIFS('Base bordo'!G$2:G$746,'Base bordo'!C$2:C$746,A781,'Base bordo'!B$2:B$746,B781,'Base bordo'!F$2:F$746,"BALANÇA - ENTRADA"),0)+IFERROR(SUMIFS('Base bordo'!G$2:G$746,'Base bordo'!C$2:C$746,A781,'Base bordo'!B$2:B$746,B781,'Base bordo'!F$2:F$746,"BALANÇA - SAÍDA"),0)</f>
        <v>4.8333333333333332E-2</v>
      </c>
      <c r="K781" s="10">
        <f>IFERROR(SUMIFS('Base bordo'!G$2:G$746,'Base bordo'!C$2:C$746,A781,'Base bordo'!B$2:B$746,B781,'Base bordo'!F$2:F$746,"MAN PREVENTIVA - MECANICA"),0)+IFERROR(SUMIFS('Base bordo'!G$2:G$746,'Base bordo'!C$2:C$746,A781,'Base bordo'!B$2:B$746,B781,'Base bordo'!F$2:F$746,"MAN CORRETIVA - MECANICA"),0)</f>
        <v>0</v>
      </c>
      <c r="L781" s="10">
        <f>IFERROR(SUMIFS('Base bordo'!G$2:G$746,'Base bordo'!C$2:C$746,A781,'Base bordo'!B$2:B$746,B781,'Base bordo'!F$2:F$746,"MANUTENCAO - T O"),0)+IFERROR(SUMIFS('Base bordo'!G$2:G$746,'Base bordo'!C$2:C$746,A781,'Base bordo'!B$2:B$746,B781,'Base bordo'!F$2:F$746,"MANUTENCAO BORRACHARIA"),0)+IFERROR(SUMIFS('Base bordo'!G$2:G$746,'Base bordo'!C$2:C$746,A781,'Base bordo'!B$2:B$746,B781,'Base bordo'!F$2:F$746,"MANUTENCAO EXTERNA  CONCESSIONARIA"),0)+IFERROR(SUMIFS('Base bordo'!G$2:G$746,'Base bordo'!C$2:C$746,A781,'Base bordo'!B$2:B$746,B781,'Base bordo'!F$2:F$746,"MANUTENCAO TELEMETRIA"),0)</f>
        <v>1.9430555555555555</v>
      </c>
      <c r="M781" s="10">
        <f>IFERROR(SUMIFS('Base bordo'!G$2:G$746,'Base bordo'!C$2:C$746,A781,'Base bordo'!B$2:B$746,B781,'Base bordo'!F$2:F$746,"AGUARDANDO MANUTENCAO"),0)</f>
        <v>0</v>
      </c>
      <c r="N781" s="10">
        <f>IFERROR(SUMIFS('Base bordo'!G$2:G$746,'Base bordo'!C$2:C$746,A781,'Base bordo'!B$2:B$746,B781,'Base bordo'!F$2:F$746,"SEM APONTAMENTO"),0)</f>
        <v>0</v>
      </c>
      <c r="O781" s="10">
        <f t="shared" si="78"/>
        <v>3.5527136788005009E-15</v>
      </c>
      <c r="P781" s="10">
        <f>IFERROR(SUMIFS('Base bordo'!G$2:G$746,'Base bordo'!C$2:C$746,A781,'Base bordo'!B$2:B$746,B781),0)</f>
        <v>23.37916666666667</v>
      </c>
      <c r="Q781" s="10">
        <f>IFERROR(SUMIFS('Base bordo'!H$2:H$746,'Base bordo'!C$2:C$746,A781,'Base bordo'!B$2:B$746,B781,'Base bordo'!F$2:F$746,"DESLOCAMENTO VAZIO"),0)</f>
        <v>173822.73</v>
      </c>
      <c r="R781" s="10">
        <f>IFERROR(SUMIFS('Base bordo'!I$2:I$746,'Base bordo'!C$2:C$746,A781,'Base bordo'!B$2:B$746,B781,'Base bordo'!F$2:F$746,"DESLOCAMENTO VAZIO"),0)</f>
        <v>5767</v>
      </c>
      <c r="S781" s="30">
        <f t="shared" si="79"/>
        <v>30.140927692040925</v>
      </c>
      <c r="T781" s="10">
        <f>IFERROR(SUMIFS('Base bordo'!H$2:H$746,'Base bordo'!C$2:C$746,A781,'Base bordo'!B$2:B$746,B781,'Base bordo'!F$2:F$746,"DESLOCAMENTO CARREGADO"),0)</f>
        <v>172046.47</v>
      </c>
      <c r="U781" s="10">
        <f>IFERROR(SUMIFS('Base bordo'!I$2:I$746,'Base bordo'!C$2:C$746,A781,'Base bordo'!B$2:B$746,B781,'Base bordo'!F$2:F$746,"DESLOCAMENTO CARREGADO"),0)</f>
        <v>7326</v>
      </c>
      <c r="V781" s="30">
        <f t="shared" si="80"/>
        <v>23.484366639366641</v>
      </c>
      <c r="W781" s="9">
        <f t="shared" si="81"/>
        <v>6.8520168716212193E-2</v>
      </c>
      <c r="X781" s="9">
        <f t="shared" si="82"/>
        <v>8.7043307788273031E-2</v>
      </c>
      <c r="Y781" s="9">
        <f t="shared" si="83"/>
        <v>0.84443652349551479</v>
      </c>
    </row>
    <row r="782" spans="1:25" ht="15" customHeight="1" x14ac:dyDescent="0.35">
      <c r="A782" s="52">
        <v>8013475</v>
      </c>
      <c r="B782" s="51">
        <v>46118</v>
      </c>
      <c r="C782" s="7" t="s">
        <v>124</v>
      </c>
      <c r="D782" s="10">
        <f>IFERROR(SUMIFS('Base bordo'!G$2:G$746,'Base bordo'!C$2:C$746,A782,'Base bordo'!B$2:B$746,B782,'Base bordo'!F$2:F$746,"DESLOCAMENTO VAZIO"),0)</f>
        <v>1.6019444444444444</v>
      </c>
      <c r="E782" s="10">
        <f>IFERROR(SUMIFS('Base bordo'!G$2:G$746,'Base bordo'!C$2:C$746,A782,'Base bordo'!B$2:B$746,B782,'Base bordo'!F$2:F$746,"DESLOCAMENTO CARREGADO"),0)</f>
        <v>2.0350000000000001</v>
      </c>
      <c r="F782" s="10">
        <f>IFERROR(SUMIFS('Base bordo'!G$2:G$746,'Base bordo'!C$2:C$746,A782,'Base bordo'!B$2:B$746,B782,'Base bordo'!F$2:F$746,"DESLOCAMENTO"),0)</f>
        <v>1.1069444444444445</v>
      </c>
      <c r="G782" s="10">
        <f>IFERROR(SUMIFS('Base bordo'!G$2:G$746,'Base bordo'!C$2:C$746,A782,'Base bordo'!B$2:B$746,B782,'Base bordo'!F$2:F$746,"CARREGAMENTO"),0)</f>
        <v>0</v>
      </c>
      <c r="H782" s="10">
        <f>IFERROR(SUMIFS('Base bordo'!G$2:G$746,'Base bordo'!C$2:C$746,A782,'Base bordo'!B$2:B$746,B782,'Base bordo'!F$2:F$746,"AGUARDANDO TRANSBORDO"),0)</f>
        <v>0.62972222222222218</v>
      </c>
      <c r="I782" s="10">
        <f>IFERROR(SUMIFS('Base bordo'!G$2:G$746,'Base bordo'!C$2:C$746,A782,'Base bordo'!B$2:B$746,B782,'Base bordo'!F$2:F$746,"PÁTIO INTERNO"),0)+IFERROR(SUMIFS('Base bordo'!G$2:G$746,'Base bordo'!C$2:C$746,A782,'Base bordo'!B$2:B$746,B782,'Base bordo'!F$2:F$746,"PÁTIO EXTERNO"),0)+IFERROR(SUMIFS('Base bordo'!G$2:G$746,'Base bordo'!C$2:C$746,A782,'Base bordo'!B$2:B$746,B782,'Base bordo'!F$2:F$746,"PATIO - RESERVA"),0)+IFERROR(SUMIFS('Base bordo'!G$2:G$746,'Base bordo'!C$2:C$746,A782,'Base bordo'!B$2:B$746,B782,'Base bordo'!F$2:F$746,"MANOBRA CARRETAS-PATIO"),0)</f>
        <v>16.014166666666668</v>
      </c>
      <c r="J782" s="10">
        <f>IFERROR(SUMIFS('Base bordo'!G$2:G$746,'Base bordo'!C$2:C$746,A782,'Base bordo'!B$2:B$746,B782,'Base bordo'!F$2:F$746,"BALANÇA - ENTRADA"),0)+IFERROR(SUMIFS('Base bordo'!G$2:G$746,'Base bordo'!C$2:C$746,A782,'Base bordo'!B$2:B$746,B782,'Base bordo'!F$2:F$746,"BALANÇA - SAÍDA"),0)</f>
        <v>4.8333333333333332E-2</v>
      </c>
      <c r="K782" s="10">
        <f>IFERROR(SUMIFS('Base bordo'!G$2:G$746,'Base bordo'!C$2:C$746,A782,'Base bordo'!B$2:B$746,B782,'Base bordo'!F$2:F$746,"MAN PREVENTIVA - MECANICA"),0)+IFERROR(SUMIFS('Base bordo'!G$2:G$746,'Base bordo'!C$2:C$746,A782,'Base bordo'!B$2:B$746,B782,'Base bordo'!F$2:F$746,"MAN CORRETIVA - MECANICA"),0)</f>
        <v>0</v>
      </c>
      <c r="L782" s="10">
        <f>IFERROR(SUMIFS('Base bordo'!G$2:G$746,'Base bordo'!C$2:C$746,A782,'Base bordo'!B$2:B$746,B782,'Base bordo'!F$2:F$746,"MANUTENCAO - T O"),0)+IFERROR(SUMIFS('Base bordo'!G$2:G$746,'Base bordo'!C$2:C$746,A782,'Base bordo'!B$2:B$746,B782,'Base bordo'!F$2:F$746,"MANUTENCAO BORRACHARIA"),0)+IFERROR(SUMIFS('Base bordo'!G$2:G$746,'Base bordo'!C$2:C$746,A782,'Base bordo'!B$2:B$746,B782,'Base bordo'!F$2:F$746,"MANUTENCAO EXTERNA  CONCESSIONARIA"),0)+IFERROR(SUMIFS('Base bordo'!G$2:G$746,'Base bordo'!C$2:C$746,A782,'Base bordo'!B$2:B$746,B782,'Base bordo'!F$2:F$746,"MANUTENCAO TELEMETRIA"),0)</f>
        <v>1.9430555555555555</v>
      </c>
      <c r="M782" s="10">
        <f>IFERROR(SUMIFS('Base bordo'!G$2:G$746,'Base bordo'!C$2:C$746,A782,'Base bordo'!B$2:B$746,B782,'Base bordo'!F$2:F$746,"AGUARDANDO MANUTENCAO"),0)</f>
        <v>0</v>
      </c>
      <c r="N782" s="10">
        <f>IFERROR(SUMIFS('Base bordo'!G$2:G$746,'Base bordo'!C$2:C$746,A782,'Base bordo'!B$2:B$746,B782,'Base bordo'!F$2:F$746,"SEM APONTAMENTO"),0)</f>
        <v>0</v>
      </c>
      <c r="O782" s="10">
        <f t="shared" si="78"/>
        <v>3.5527136788005009E-15</v>
      </c>
      <c r="P782" s="10">
        <f>IFERROR(SUMIFS('Base bordo'!G$2:G$746,'Base bordo'!C$2:C$746,A782,'Base bordo'!B$2:B$746,B782),0)</f>
        <v>23.37916666666667</v>
      </c>
      <c r="Q782" s="10">
        <f>IFERROR(SUMIFS('Base bordo'!H$2:H$746,'Base bordo'!C$2:C$746,A782,'Base bordo'!B$2:B$746,B782,'Base bordo'!F$2:F$746,"DESLOCAMENTO VAZIO"),0)</f>
        <v>173822.73</v>
      </c>
      <c r="R782" s="10">
        <f>IFERROR(SUMIFS('Base bordo'!I$2:I$746,'Base bordo'!C$2:C$746,A782,'Base bordo'!B$2:B$746,B782,'Base bordo'!F$2:F$746,"DESLOCAMENTO VAZIO"),0)</f>
        <v>5767</v>
      </c>
      <c r="S782" s="30">
        <f t="shared" si="79"/>
        <v>30.140927692040925</v>
      </c>
      <c r="T782" s="10">
        <f>IFERROR(SUMIFS('Base bordo'!H$2:H$746,'Base bordo'!C$2:C$746,A782,'Base bordo'!B$2:B$746,B782,'Base bordo'!F$2:F$746,"DESLOCAMENTO CARREGADO"),0)</f>
        <v>172046.47</v>
      </c>
      <c r="U782" s="10">
        <f>IFERROR(SUMIFS('Base bordo'!I$2:I$746,'Base bordo'!C$2:C$746,A782,'Base bordo'!B$2:B$746,B782,'Base bordo'!F$2:F$746,"DESLOCAMENTO CARREGADO"),0)</f>
        <v>7326</v>
      </c>
      <c r="V782" s="30">
        <f t="shared" si="80"/>
        <v>23.484366639366641</v>
      </c>
      <c r="W782" s="9">
        <f t="shared" si="81"/>
        <v>6.8520168716212193E-2</v>
      </c>
      <c r="X782" s="9">
        <f t="shared" si="82"/>
        <v>8.7043307788273031E-2</v>
      </c>
      <c r="Y782" s="9">
        <f t="shared" si="83"/>
        <v>0.84443652349551479</v>
      </c>
    </row>
    <row r="783" spans="1:25" ht="15" customHeight="1" x14ac:dyDescent="0.35">
      <c r="A783" s="52">
        <v>8013475</v>
      </c>
      <c r="B783" s="51">
        <v>46118</v>
      </c>
      <c r="C783" s="7" t="s">
        <v>124</v>
      </c>
      <c r="D783" s="10">
        <f>IFERROR(SUMIFS('Base bordo'!G$2:G$746,'Base bordo'!C$2:C$746,A783,'Base bordo'!B$2:B$746,B783,'Base bordo'!F$2:F$746,"DESLOCAMENTO VAZIO"),0)</f>
        <v>1.6019444444444444</v>
      </c>
      <c r="E783" s="10">
        <f>IFERROR(SUMIFS('Base bordo'!G$2:G$746,'Base bordo'!C$2:C$746,A783,'Base bordo'!B$2:B$746,B783,'Base bordo'!F$2:F$746,"DESLOCAMENTO CARREGADO"),0)</f>
        <v>2.0350000000000001</v>
      </c>
      <c r="F783" s="10">
        <f>IFERROR(SUMIFS('Base bordo'!G$2:G$746,'Base bordo'!C$2:C$746,A783,'Base bordo'!B$2:B$746,B783,'Base bordo'!F$2:F$746,"DESLOCAMENTO"),0)</f>
        <v>1.1069444444444445</v>
      </c>
      <c r="G783" s="10">
        <f>IFERROR(SUMIFS('Base bordo'!G$2:G$746,'Base bordo'!C$2:C$746,A783,'Base bordo'!B$2:B$746,B783,'Base bordo'!F$2:F$746,"CARREGAMENTO"),0)</f>
        <v>0</v>
      </c>
      <c r="H783" s="10">
        <f>IFERROR(SUMIFS('Base bordo'!G$2:G$746,'Base bordo'!C$2:C$746,A783,'Base bordo'!B$2:B$746,B783,'Base bordo'!F$2:F$746,"AGUARDANDO TRANSBORDO"),0)</f>
        <v>0.62972222222222218</v>
      </c>
      <c r="I783" s="10">
        <f>IFERROR(SUMIFS('Base bordo'!G$2:G$746,'Base bordo'!C$2:C$746,A783,'Base bordo'!B$2:B$746,B783,'Base bordo'!F$2:F$746,"PÁTIO INTERNO"),0)+IFERROR(SUMIFS('Base bordo'!G$2:G$746,'Base bordo'!C$2:C$746,A783,'Base bordo'!B$2:B$746,B783,'Base bordo'!F$2:F$746,"PÁTIO EXTERNO"),0)+IFERROR(SUMIFS('Base bordo'!G$2:G$746,'Base bordo'!C$2:C$746,A783,'Base bordo'!B$2:B$746,B783,'Base bordo'!F$2:F$746,"PATIO - RESERVA"),0)+IFERROR(SUMIFS('Base bordo'!G$2:G$746,'Base bordo'!C$2:C$746,A783,'Base bordo'!B$2:B$746,B783,'Base bordo'!F$2:F$746,"MANOBRA CARRETAS-PATIO"),0)</f>
        <v>16.014166666666668</v>
      </c>
      <c r="J783" s="10">
        <f>IFERROR(SUMIFS('Base bordo'!G$2:G$746,'Base bordo'!C$2:C$746,A783,'Base bordo'!B$2:B$746,B783,'Base bordo'!F$2:F$746,"BALANÇA - ENTRADA"),0)+IFERROR(SUMIFS('Base bordo'!G$2:G$746,'Base bordo'!C$2:C$746,A783,'Base bordo'!B$2:B$746,B783,'Base bordo'!F$2:F$746,"BALANÇA - SAÍDA"),0)</f>
        <v>4.8333333333333332E-2</v>
      </c>
      <c r="K783" s="10">
        <f>IFERROR(SUMIFS('Base bordo'!G$2:G$746,'Base bordo'!C$2:C$746,A783,'Base bordo'!B$2:B$746,B783,'Base bordo'!F$2:F$746,"MAN PREVENTIVA - MECANICA"),0)+IFERROR(SUMIFS('Base bordo'!G$2:G$746,'Base bordo'!C$2:C$746,A783,'Base bordo'!B$2:B$746,B783,'Base bordo'!F$2:F$746,"MAN CORRETIVA - MECANICA"),0)</f>
        <v>0</v>
      </c>
      <c r="L783" s="10">
        <f>IFERROR(SUMIFS('Base bordo'!G$2:G$746,'Base bordo'!C$2:C$746,A783,'Base bordo'!B$2:B$746,B783,'Base bordo'!F$2:F$746,"MANUTENCAO - T O"),0)+IFERROR(SUMIFS('Base bordo'!G$2:G$746,'Base bordo'!C$2:C$746,A783,'Base bordo'!B$2:B$746,B783,'Base bordo'!F$2:F$746,"MANUTENCAO BORRACHARIA"),0)+IFERROR(SUMIFS('Base bordo'!G$2:G$746,'Base bordo'!C$2:C$746,A783,'Base bordo'!B$2:B$746,B783,'Base bordo'!F$2:F$746,"MANUTENCAO EXTERNA  CONCESSIONARIA"),0)+IFERROR(SUMIFS('Base bordo'!G$2:G$746,'Base bordo'!C$2:C$746,A783,'Base bordo'!B$2:B$746,B783,'Base bordo'!F$2:F$746,"MANUTENCAO TELEMETRIA"),0)</f>
        <v>1.9430555555555555</v>
      </c>
      <c r="M783" s="10">
        <f>IFERROR(SUMIFS('Base bordo'!G$2:G$746,'Base bordo'!C$2:C$746,A783,'Base bordo'!B$2:B$746,B783,'Base bordo'!F$2:F$746,"AGUARDANDO MANUTENCAO"),0)</f>
        <v>0</v>
      </c>
      <c r="N783" s="10">
        <f>IFERROR(SUMIFS('Base bordo'!G$2:G$746,'Base bordo'!C$2:C$746,A783,'Base bordo'!B$2:B$746,B783,'Base bordo'!F$2:F$746,"SEM APONTAMENTO"),0)</f>
        <v>0</v>
      </c>
      <c r="O783" s="10">
        <f t="shared" ref="O783:O846" si="84">IFERROR(P783-SUM(D783:N783),0)</f>
        <v>3.5527136788005009E-15</v>
      </c>
      <c r="P783" s="10">
        <f>IFERROR(SUMIFS('Base bordo'!G$2:G$746,'Base bordo'!C$2:C$746,A783,'Base bordo'!B$2:B$746,B783),0)</f>
        <v>23.37916666666667</v>
      </c>
      <c r="Q783" s="10">
        <f>IFERROR(SUMIFS('Base bordo'!H$2:H$746,'Base bordo'!C$2:C$746,A783,'Base bordo'!B$2:B$746,B783,'Base bordo'!F$2:F$746,"DESLOCAMENTO VAZIO"),0)</f>
        <v>173822.73</v>
      </c>
      <c r="R783" s="10">
        <f>IFERROR(SUMIFS('Base bordo'!I$2:I$746,'Base bordo'!C$2:C$746,A783,'Base bordo'!B$2:B$746,B783,'Base bordo'!F$2:F$746,"DESLOCAMENTO VAZIO"),0)</f>
        <v>5767</v>
      </c>
      <c r="S783" s="30">
        <f t="shared" ref="S783:S846" si="85">IFERROR(Q783/R783,"")</f>
        <v>30.140927692040925</v>
      </c>
      <c r="T783" s="10">
        <f>IFERROR(SUMIFS('Base bordo'!H$2:H$746,'Base bordo'!C$2:C$746,A783,'Base bordo'!B$2:B$746,B783,'Base bordo'!F$2:F$746,"DESLOCAMENTO CARREGADO"),0)</f>
        <v>172046.47</v>
      </c>
      <c r="U783" s="10">
        <f>IFERROR(SUMIFS('Base bordo'!I$2:I$746,'Base bordo'!C$2:C$746,A783,'Base bordo'!B$2:B$746,B783,'Base bordo'!F$2:F$746,"DESLOCAMENTO CARREGADO"),0)</f>
        <v>7326</v>
      </c>
      <c r="V783" s="30">
        <f t="shared" ref="V783:V846" si="86">IFERROR(T783/U783,"")</f>
        <v>23.484366639366641</v>
      </c>
      <c r="W783" s="9">
        <f t="shared" ref="W783:W846" si="87">IFERROR(D783/P783,0)</f>
        <v>6.8520168716212193E-2</v>
      </c>
      <c r="X783" s="9">
        <f t="shared" ref="X783:X846" si="88">IFERROR(E783/P783,0)</f>
        <v>8.7043307788273031E-2</v>
      </c>
      <c r="Y783" s="9">
        <f t="shared" ref="Y783:Y846" si="89">IFERROR(1-((D783+E783)/P783),0)</f>
        <v>0.84443652349551479</v>
      </c>
    </row>
    <row r="784" spans="1:25" ht="15" customHeight="1" x14ac:dyDescent="0.35">
      <c r="A784" s="52">
        <v>8013476</v>
      </c>
      <c r="B784" s="51">
        <v>46118</v>
      </c>
      <c r="C784" s="7" t="s">
        <v>124</v>
      </c>
      <c r="D784" s="10">
        <f>IFERROR(SUMIFS('Base bordo'!G$2:G$746,'Base bordo'!C$2:C$746,A784,'Base bordo'!B$2:B$746,B784,'Base bordo'!F$2:F$746,"DESLOCAMENTO VAZIO"),0)</f>
        <v>0.76361111111111113</v>
      </c>
      <c r="E784" s="10">
        <f>IFERROR(SUMIFS('Base bordo'!G$2:G$746,'Base bordo'!C$2:C$746,A784,'Base bordo'!B$2:B$746,B784,'Base bordo'!F$2:F$746,"DESLOCAMENTO CARREGADO"),0)</f>
        <v>0.6594444444444445</v>
      </c>
      <c r="F784" s="10">
        <f>IFERROR(SUMIFS('Base bordo'!G$2:G$746,'Base bordo'!C$2:C$746,A784,'Base bordo'!B$2:B$746,B784,'Base bordo'!F$2:F$746,"DESLOCAMENTO"),0)</f>
        <v>0</v>
      </c>
      <c r="G784" s="10">
        <f>IFERROR(SUMIFS('Base bordo'!G$2:G$746,'Base bordo'!C$2:C$746,A784,'Base bordo'!B$2:B$746,B784,'Base bordo'!F$2:F$746,"CARREGAMENTO"),0)</f>
        <v>0</v>
      </c>
      <c r="H784" s="10">
        <f>IFERROR(SUMIFS('Base bordo'!G$2:G$746,'Base bordo'!C$2:C$746,A784,'Base bordo'!B$2:B$746,B784,'Base bordo'!F$2:F$746,"AGUARDANDO TRANSBORDO"),0)</f>
        <v>1.1111111111111112</v>
      </c>
      <c r="I784" s="10">
        <f>IFERROR(SUMIFS('Base bordo'!G$2:G$746,'Base bordo'!C$2:C$746,A784,'Base bordo'!B$2:B$746,B784,'Base bordo'!F$2:F$746,"PÁTIO INTERNO"),0)+IFERROR(SUMIFS('Base bordo'!G$2:G$746,'Base bordo'!C$2:C$746,A784,'Base bordo'!B$2:B$746,B784,'Base bordo'!F$2:F$746,"PÁTIO EXTERNO"),0)+IFERROR(SUMIFS('Base bordo'!G$2:G$746,'Base bordo'!C$2:C$746,A784,'Base bordo'!B$2:B$746,B784,'Base bordo'!F$2:F$746,"PATIO - RESERVA"),0)+IFERROR(SUMIFS('Base bordo'!G$2:G$746,'Base bordo'!C$2:C$746,A784,'Base bordo'!B$2:B$746,B784,'Base bordo'!F$2:F$746,"MANOBRA CARRETAS-PATIO"),0)</f>
        <v>5.693888888888889</v>
      </c>
      <c r="J784" s="10">
        <f>IFERROR(SUMIFS('Base bordo'!G$2:G$746,'Base bordo'!C$2:C$746,A784,'Base bordo'!B$2:B$746,B784,'Base bordo'!F$2:F$746,"BALANÇA - ENTRADA"),0)+IFERROR(SUMIFS('Base bordo'!G$2:G$746,'Base bordo'!C$2:C$746,A784,'Base bordo'!B$2:B$746,B784,'Base bordo'!F$2:F$746,"BALANÇA - SAÍDA"),0)</f>
        <v>0.11305555555555555</v>
      </c>
      <c r="K784" s="10">
        <f>IFERROR(SUMIFS('Base bordo'!G$2:G$746,'Base bordo'!C$2:C$746,A784,'Base bordo'!B$2:B$746,B784,'Base bordo'!F$2:F$746,"MAN PREVENTIVA - MECANICA"),0)+IFERROR(SUMIFS('Base bordo'!G$2:G$746,'Base bordo'!C$2:C$746,A784,'Base bordo'!B$2:B$746,B784,'Base bordo'!F$2:F$746,"MAN CORRETIVA - MECANICA"),0)</f>
        <v>0</v>
      </c>
      <c r="L784" s="10">
        <f>IFERROR(SUMIFS('Base bordo'!G$2:G$746,'Base bordo'!C$2:C$746,A784,'Base bordo'!B$2:B$746,B784,'Base bordo'!F$2:F$746,"MANUTENCAO - T O"),0)+IFERROR(SUMIFS('Base bordo'!G$2:G$746,'Base bordo'!C$2:C$746,A784,'Base bordo'!B$2:B$746,B784,'Base bordo'!F$2:F$746,"MANUTENCAO BORRACHARIA"),0)+IFERROR(SUMIFS('Base bordo'!G$2:G$746,'Base bordo'!C$2:C$746,A784,'Base bordo'!B$2:B$746,B784,'Base bordo'!F$2:F$746,"MANUTENCAO EXTERNA  CONCESSIONARIA"),0)+IFERROR(SUMIFS('Base bordo'!G$2:G$746,'Base bordo'!C$2:C$746,A784,'Base bordo'!B$2:B$746,B784,'Base bordo'!F$2:F$746,"MANUTENCAO TELEMETRIA"),0)</f>
        <v>2.7313888888888891</v>
      </c>
      <c r="M784" s="10">
        <f>IFERROR(SUMIFS('Base bordo'!G$2:G$746,'Base bordo'!C$2:C$746,A784,'Base bordo'!B$2:B$746,B784,'Base bordo'!F$2:F$746,"AGUARDANDO MANUTENCAO"),0)</f>
        <v>0</v>
      </c>
      <c r="N784" s="10">
        <f>IFERROR(SUMIFS('Base bordo'!G$2:G$746,'Base bordo'!C$2:C$746,A784,'Base bordo'!B$2:B$746,B784,'Base bordo'!F$2:F$746,"SEM APONTAMENTO"),0)</f>
        <v>0</v>
      </c>
      <c r="O784" s="10">
        <f t="shared" si="84"/>
        <v>0</v>
      </c>
      <c r="P784" s="10">
        <f>IFERROR(SUMIFS('Base bordo'!G$2:G$746,'Base bordo'!C$2:C$746,A784,'Base bordo'!B$2:B$746,B784),0)</f>
        <v>11.072500000000002</v>
      </c>
      <c r="Q784" s="10">
        <f>IFERROR(SUMIFS('Base bordo'!H$2:H$746,'Base bordo'!C$2:C$746,A784,'Base bordo'!B$2:B$746,B784,'Base bordo'!F$2:F$746,"DESLOCAMENTO VAZIO"),0)</f>
        <v>69562.86</v>
      </c>
      <c r="R784" s="10">
        <f>IFERROR(SUMIFS('Base bordo'!I$2:I$746,'Base bordo'!C$2:C$746,A784,'Base bordo'!B$2:B$746,B784,'Base bordo'!F$2:F$746,"DESLOCAMENTO VAZIO"),0)</f>
        <v>2749</v>
      </c>
      <c r="S784" s="30">
        <f t="shared" si="85"/>
        <v>25.30478719534376</v>
      </c>
      <c r="T784" s="10">
        <f>IFERROR(SUMIFS('Base bordo'!H$2:H$746,'Base bordo'!C$2:C$746,A784,'Base bordo'!B$2:B$746,B784,'Base bordo'!F$2:F$746,"DESLOCAMENTO CARREGADO"),0)</f>
        <v>60370.82</v>
      </c>
      <c r="U784" s="10">
        <f>IFERROR(SUMIFS('Base bordo'!I$2:I$746,'Base bordo'!C$2:C$746,A784,'Base bordo'!B$2:B$746,B784,'Base bordo'!F$2:F$746,"DESLOCAMENTO CARREGADO"),0)</f>
        <v>2374</v>
      </c>
      <c r="V784" s="30">
        <f t="shared" si="86"/>
        <v>25.43</v>
      </c>
      <c r="W784" s="9">
        <f t="shared" si="87"/>
        <v>6.8964652166277812E-2</v>
      </c>
      <c r="X784" s="9">
        <f t="shared" si="88"/>
        <v>5.955696043752038E-2</v>
      </c>
      <c r="Y784" s="9">
        <f t="shared" si="89"/>
        <v>0.87147838739620176</v>
      </c>
    </row>
    <row r="785" spans="1:25" ht="15" customHeight="1" x14ac:dyDescent="0.35">
      <c r="A785" s="52">
        <v>8013476</v>
      </c>
      <c r="B785" s="51">
        <v>46118</v>
      </c>
      <c r="C785" s="7" t="s">
        <v>124</v>
      </c>
      <c r="D785" s="10">
        <f>IFERROR(SUMIFS('Base bordo'!G$2:G$746,'Base bordo'!C$2:C$746,A785,'Base bordo'!B$2:B$746,B785,'Base bordo'!F$2:F$746,"DESLOCAMENTO VAZIO"),0)</f>
        <v>0.76361111111111113</v>
      </c>
      <c r="E785" s="10">
        <f>IFERROR(SUMIFS('Base bordo'!G$2:G$746,'Base bordo'!C$2:C$746,A785,'Base bordo'!B$2:B$746,B785,'Base bordo'!F$2:F$746,"DESLOCAMENTO CARREGADO"),0)</f>
        <v>0.6594444444444445</v>
      </c>
      <c r="F785" s="10">
        <f>IFERROR(SUMIFS('Base bordo'!G$2:G$746,'Base bordo'!C$2:C$746,A785,'Base bordo'!B$2:B$746,B785,'Base bordo'!F$2:F$746,"DESLOCAMENTO"),0)</f>
        <v>0</v>
      </c>
      <c r="G785" s="10">
        <f>IFERROR(SUMIFS('Base bordo'!G$2:G$746,'Base bordo'!C$2:C$746,A785,'Base bordo'!B$2:B$746,B785,'Base bordo'!F$2:F$746,"CARREGAMENTO"),0)</f>
        <v>0</v>
      </c>
      <c r="H785" s="10">
        <f>IFERROR(SUMIFS('Base bordo'!G$2:G$746,'Base bordo'!C$2:C$746,A785,'Base bordo'!B$2:B$746,B785,'Base bordo'!F$2:F$746,"AGUARDANDO TRANSBORDO"),0)</f>
        <v>1.1111111111111112</v>
      </c>
      <c r="I785" s="10">
        <f>IFERROR(SUMIFS('Base bordo'!G$2:G$746,'Base bordo'!C$2:C$746,A785,'Base bordo'!B$2:B$746,B785,'Base bordo'!F$2:F$746,"PÁTIO INTERNO"),0)+IFERROR(SUMIFS('Base bordo'!G$2:G$746,'Base bordo'!C$2:C$746,A785,'Base bordo'!B$2:B$746,B785,'Base bordo'!F$2:F$746,"PÁTIO EXTERNO"),0)+IFERROR(SUMIFS('Base bordo'!G$2:G$746,'Base bordo'!C$2:C$746,A785,'Base bordo'!B$2:B$746,B785,'Base bordo'!F$2:F$746,"PATIO - RESERVA"),0)+IFERROR(SUMIFS('Base bordo'!G$2:G$746,'Base bordo'!C$2:C$746,A785,'Base bordo'!B$2:B$746,B785,'Base bordo'!F$2:F$746,"MANOBRA CARRETAS-PATIO"),0)</f>
        <v>5.693888888888889</v>
      </c>
      <c r="J785" s="10">
        <f>IFERROR(SUMIFS('Base bordo'!G$2:G$746,'Base bordo'!C$2:C$746,A785,'Base bordo'!B$2:B$746,B785,'Base bordo'!F$2:F$746,"BALANÇA - ENTRADA"),0)+IFERROR(SUMIFS('Base bordo'!G$2:G$746,'Base bordo'!C$2:C$746,A785,'Base bordo'!B$2:B$746,B785,'Base bordo'!F$2:F$746,"BALANÇA - SAÍDA"),0)</f>
        <v>0.11305555555555555</v>
      </c>
      <c r="K785" s="10">
        <f>IFERROR(SUMIFS('Base bordo'!G$2:G$746,'Base bordo'!C$2:C$746,A785,'Base bordo'!B$2:B$746,B785,'Base bordo'!F$2:F$746,"MAN PREVENTIVA - MECANICA"),0)+IFERROR(SUMIFS('Base bordo'!G$2:G$746,'Base bordo'!C$2:C$746,A785,'Base bordo'!B$2:B$746,B785,'Base bordo'!F$2:F$746,"MAN CORRETIVA - MECANICA"),0)</f>
        <v>0</v>
      </c>
      <c r="L785" s="10">
        <f>IFERROR(SUMIFS('Base bordo'!G$2:G$746,'Base bordo'!C$2:C$746,A785,'Base bordo'!B$2:B$746,B785,'Base bordo'!F$2:F$746,"MANUTENCAO - T O"),0)+IFERROR(SUMIFS('Base bordo'!G$2:G$746,'Base bordo'!C$2:C$746,A785,'Base bordo'!B$2:B$746,B785,'Base bordo'!F$2:F$746,"MANUTENCAO BORRACHARIA"),0)+IFERROR(SUMIFS('Base bordo'!G$2:G$746,'Base bordo'!C$2:C$746,A785,'Base bordo'!B$2:B$746,B785,'Base bordo'!F$2:F$746,"MANUTENCAO EXTERNA  CONCESSIONARIA"),0)+IFERROR(SUMIFS('Base bordo'!G$2:G$746,'Base bordo'!C$2:C$746,A785,'Base bordo'!B$2:B$746,B785,'Base bordo'!F$2:F$746,"MANUTENCAO TELEMETRIA"),0)</f>
        <v>2.7313888888888891</v>
      </c>
      <c r="M785" s="10">
        <f>IFERROR(SUMIFS('Base bordo'!G$2:G$746,'Base bordo'!C$2:C$746,A785,'Base bordo'!B$2:B$746,B785,'Base bordo'!F$2:F$746,"AGUARDANDO MANUTENCAO"),0)</f>
        <v>0</v>
      </c>
      <c r="N785" s="10">
        <f>IFERROR(SUMIFS('Base bordo'!G$2:G$746,'Base bordo'!C$2:C$746,A785,'Base bordo'!B$2:B$746,B785,'Base bordo'!F$2:F$746,"SEM APONTAMENTO"),0)</f>
        <v>0</v>
      </c>
      <c r="O785" s="10">
        <f t="shared" si="84"/>
        <v>0</v>
      </c>
      <c r="P785" s="10">
        <f>IFERROR(SUMIFS('Base bordo'!G$2:G$746,'Base bordo'!C$2:C$746,A785,'Base bordo'!B$2:B$746,B785),0)</f>
        <v>11.072500000000002</v>
      </c>
      <c r="Q785" s="10">
        <f>IFERROR(SUMIFS('Base bordo'!H$2:H$746,'Base bordo'!C$2:C$746,A785,'Base bordo'!B$2:B$746,B785,'Base bordo'!F$2:F$746,"DESLOCAMENTO VAZIO"),0)</f>
        <v>69562.86</v>
      </c>
      <c r="R785" s="10">
        <f>IFERROR(SUMIFS('Base bordo'!I$2:I$746,'Base bordo'!C$2:C$746,A785,'Base bordo'!B$2:B$746,B785,'Base bordo'!F$2:F$746,"DESLOCAMENTO VAZIO"),0)</f>
        <v>2749</v>
      </c>
      <c r="S785" s="30">
        <f t="shared" si="85"/>
        <v>25.30478719534376</v>
      </c>
      <c r="T785" s="10">
        <f>IFERROR(SUMIFS('Base bordo'!H$2:H$746,'Base bordo'!C$2:C$746,A785,'Base bordo'!B$2:B$746,B785,'Base bordo'!F$2:F$746,"DESLOCAMENTO CARREGADO"),0)</f>
        <v>60370.82</v>
      </c>
      <c r="U785" s="10">
        <f>IFERROR(SUMIFS('Base bordo'!I$2:I$746,'Base bordo'!C$2:C$746,A785,'Base bordo'!B$2:B$746,B785,'Base bordo'!F$2:F$746,"DESLOCAMENTO CARREGADO"),0)</f>
        <v>2374</v>
      </c>
      <c r="V785" s="30">
        <f t="shared" si="86"/>
        <v>25.43</v>
      </c>
      <c r="W785" s="9">
        <f t="shared" si="87"/>
        <v>6.8964652166277812E-2</v>
      </c>
      <c r="X785" s="9">
        <f t="shared" si="88"/>
        <v>5.955696043752038E-2</v>
      </c>
      <c r="Y785" s="9">
        <f t="shared" si="89"/>
        <v>0.87147838739620176</v>
      </c>
    </row>
    <row r="786" spans="1:25" ht="15" customHeight="1" x14ac:dyDescent="0.35">
      <c r="A786" s="52">
        <v>8013476</v>
      </c>
      <c r="B786" s="51">
        <v>46118</v>
      </c>
      <c r="C786" s="7" t="s">
        <v>124</v>
      </c>
      <c r="D786" s="10">
        <f>IFERROR(SUMIFS('Base bordo'!G$2:G$746,'Base bordo'!C$2:C$746,A786,'Base bordo'!B$2:B$746,B786,'Base bordo'!F$2:F$746,"DESLOCAMENTO VAZIO"),0)</f>
        <v>0.76361111111111113</v>
      </c>
      <c r="E786" s="10">
        <f>IFERROR(SUMIFS('Base bordo'!G$2:G$746,'Base bordo'!C$2:C$746,A786,'Base bordo'!B$2:B$746,B786,'Base bordo'!F$2:F$746,"DESLOCAMENTO CARREGADO"),0)</f>
        <v>0.6594444444444445</v>
      </c>
      <c r="F786" s="10">
        <f>IFERROR(SUMIFS('Base bordo'!G$2:G$746,'Base bordo'!C$2:C$746,A786,'Base bordo'!B$2:B$746,B786,'Base bordo'!F$2:F$746,"DESLOCAMENTO"),0)</f>
        <v>0</v>
      </c>
      <c r="G786" s="10">
        <f>IFERROR(SUMIFS('Base bordo'!G$2:G$746,'Base bordo'!C$2:C$746,A786,'Base bordo'!B$2:B$746,B786,'Base bordo'!F$2:F$746,"CARREGAMENTO"),0)</f>
        <v>0</v>
      </c>
      <c r="H786" s="10">
        <f>IFERROR(SUMIFS('Base bordo'!G$2:G$746,'Base bordo'!C$2:C$746,A786,'Base bordo'!B$2:B$746,B786,'Base bordo'!F$2:F$746,"AGUARDANDO TRANSBORDO"),0)</f>
        <v>1.1111111111111112</v>
      </c>
      <c r="I786" s="10">
        <f>IFERROR(SUMIFS('Base bordo'!G$2:G$746,'Base bordo'!C$2:C$746,A786,'Base bordo'!B$2:B$746,B786,'Base bordo'!F$2:F$746,"PÁTIO INTERNO"),0)+IFERROR(SUMIFS('Base bordo'!G$2:G$746,'Base bordo'!C$2:C$746,A786,'Base bordo'!B$2:B$746,B786,'Base bordo'!F$2:F$746,"PÁTIO EXTERNO"),0)+IFERROR(SUMIFS('Base bordo'!G$2:G$746,'Base bordo'!C$2:C$746,A786,'Base bordo'!B$2:B$746,B786,'Base bordo'!F$2:F$746,"PATIO - RESERVA"),0)+IFERROR(SUMIFS('Base bordo'!G$2:G$746,'Base bordo'!C$2:C$746,A786,'Base bordo'!B$2:B$746,B786,'Base bordo'!F$2:F$746,"MANOBRA CARRETAS-PATIO"),0)</f>
        <v>5.693888888888889</v>
      </c>
      <c r="J786" s="10">
        <f>IFERROR(SUMIFS('Base bordo'!G$2:G$746,'Base bordo'!C$2:C$746,A786,'Base bordo'!B$2:B$746,B786,'Base bordo'!F$2:F$746,"BALANÇA - ENTRADA"),0)+IFERROR(SUMIFS('Base bordo'!G$2:G$746,'Base bordo'!C$2:C$746,A786,'Base bordo'!B$2:B$746,B786,'Base bordo'!F$2:F$746,"BALANÇA - SAÍDA"),0)</f>
        <v>0.11305555555555555</v>
      </c>
      <c r="K786" s="10">
        <f>IFERROR(SUMIFS('Base bordo'!G$2:G$746,'Base bordo'!C$2:C$746,A786,'Base bordo'!B$2:B$746,B786,'Base bordo'!F$2:F$746,"MAN PREVENTIVA - MECANICA"),0)+IFERROR(SUMIFS('Base bordo'!G$2:G$746,'Base bordo'!C$2:C$746,A786,'Base bordo'!B$2:B$746,B786,'Base bordo'!F$2:F$746,"MAN CORRETIVA - MECANICA"),0)</f>
        <v>0</v>
      </c>
      <c r="L786" s="10">
        <f>IFERROR(SUMIFS('Base bordo'!G$2:G$746,'Base bordo'!C$2:C$746,A786,'Base bordo'!B$2:B$746,B786,'Base bordo'!F$2:F$746,"MANUTENCAO - T O"),0)+IFERROR(SUMIFS('Base bordo'!G$2:G$746,'Base bordo'!C$2:C$746,A786,'Base bordo'!B$2:B$746,B786,'Base bordo'!F$2:F$746,"MANUTENCAO BORRACHARIA"),0)+IFERROR(SUMIFS('Base bordo'!G$2:G$746,'Base bordo'!C$2:C$746,A786,'Base bordo'!B$2:B$746,B786,'Base bordo'!F$2:F$746,"MANUTENCAO EXTERNA  CONCESSIONARIA"),0)+IFERROR(SUMIFS('Base bordo'!G$2:G$746,'Base bordo'!C$2:C$746,A786,'Base bordo'!B$2:B$746,B786,'Base bordo'!F$2:F$746,"MANUTENCAO TELEMETRIA"),0)</f>
        <v>2.7313888888888891</v>
      </c>
      <c r="M786" s="10">
        <f>IFERROR(SUMIFS('Base bordo'!G$2:G$746,'Base bordo'!C$2:C$746,A786,'Base bordo'!B$2:B$746,B786,'Base bordo'!F$2:F$746,"AGUARDANDO MANUTENCAO"),0)</f>
        <v>0</v>
      </c>
      <c r="N786" s="10">
        <f>IFERROR(SUMIFS('Base bordo'!G$2:G$746,'Base bordo'!C$2:C$746,A786,'Base bordo'!B$2:B$746,B786,'Base bordo'!F$2:F$746,"SEM APONTAMENTO"),0)</f>
        <v>0</v>
      </c>
      <c r="O786" s="10">
        <f t="shared" si="84"/>
        <v>0</v>
      </c>
      <c r="P786" s="10">
        <f>IFERROR(SUMIFS('Base bordo'!G$2:G$746,'Base bordo'!C$2:C$746,A786,'Base bordo'!B$2:B$746,B786),0)</f>
        <v>11.072500000000002</v>
      </c>
      <c r="Q786" s="10">
        <f>IFERROR(SUMIFS('Base bordo'!H$2:H$746,'Base bordo'!C$2:C$746,A786,'Base bordo'!B$2:B$746,B786,'Base bordo'!F$2:F$746,"DESLOCAMENTO VAZIO"),0)</f>
        <v>69562.86</v>
      </c>
      <c r="R786" s="10">
        <f>IFERROR(SUMIFS('Base bordo'!I$2:I$746,'Base bordo'!C$2:C$746,A786,'Base bordo'!B$2:B$746,B786,'Base bordo'!F$2:F$746,"DESLOCAMENTO VAZIO"),0)</f>
        <v>2749</v>
      </c>
      <c r="S786" s="30">
        <f t="shared" si="85"/>
        <v>25.30478719534376</v>
      </c>
      <c r="T786" s="10">
        <f>IFERROR(SUMIFS('Base bordo'!H$2:H$746,'Base bordo'!C$2:C$746,A786,'Base bordo'!B$2:B$746,B786,'Base bordo'!F$2:F$746,"DESLOCAMENTO CARREGADO"),0)</f>
        <v>60370.82</v>
      </c>
      <c r="U786" s="10">
        <f>IFERROR(SUMIFS('Base bordo'!I$2:I$746,'Base bordo'!C$2:C$746,A786,'Base bordo'!B$2:B$746,B786,'Base bordo'!F$2:F$746,"DESLOCAMENTO CARREGADO"),0)</f>
        <v>2374</v>
      </c>
      <c r="V786" s="30">
        <f t="shared" si="86"/>
        <v>25.43</v>
      </c>
      <c r="W786" s="9">
        <f t="shared" si="87"/>
        <v>6.8964652166277812E-2</v>
      </c>
      <c r="X786" s="9">
        <f t="shared" si="88"/>
        <v>5.955696043752038E-2</v>
      </c>
      <c r="Y786" s="9">
        <f t="shared" si="89"/>
        <v>0.87147838739620176</v>
      </c>
    </row>
    <row r="787" spans="1:25" ht="15" customHeight="1" x14ac:dyDescent="0.35">
      <c r="A787" s="52">
        <v>8013476</v>
      </c>
      <c r="B787" s="51">
        <v>46118</v>
      </c>
      <c r="C787" s="7" t="s">
        <v>124</v>
      </c>
      <c r="D787" s="10">
        <f>IFERROR(SUMIFS('Base bordo'!G$2:G$746,'Base bordo'!C$2:C$746,A787,'Base bordo'!B$2:B$746,B787,'Base bordo'!F$2:F$746,"DESLOCAMENTO VAZIO"),0)</f>
        <v>0.76361111111111113</v>
      </c>
      <c r="E787" s="10">
        <f>IFERROR(SUMIFS('Base bordo'!G$2:G$746,'Base bordo'!C$2:C$746,A787,'Base bordo'!B$2:B$746,B787,'Base bordo'!F$2:F$746,"DESLOCAMENTO CARREGADO"),0)</f>
        <v>0.6594444444444445</v>
      </c>
      <c r="F787" s="10">
        <f>IFERROR(SUMIFS('Base bordo'!G$2:G$746,'Base bordo'!C$2:C$746,A787,'Base bordo'!B$2:B$746,B787,'Base bordo'!F$2:F$746,"DESLOCAMENTO"),0)</f>
        <v>0</v>
      </c>
      <c r="G787" s="10">
        <f>IFERROR(SUMIFS('Base bordo'!G$2:G$746,'Base bordo'!C$2:C$746,A787,'Base bordo'!B$2:B$746,B787,'Base bordo'!F$2:F$746,"CARREGAMENTO"),0)</f>
        <v>0</v>
      </c>
      <c r="H787" s="10">
        <f>IFERROR(SUMIFS('Base bordo'!G$2:G$746,'Base bordo'!C$2:C$746,A787,'Base bordo'!B$2:B$746,B787,'Base bordo'!F$2:F$746,"AGUARDANDO TRANSBORDO"),0)</f>
        <v>1.1111111111111112</v>
      </c>
      <c r="I787" s="10">
        <f>IFERROR(SUMIFS('Base bordo'!G$2:G$746,'Base bordo'!C$2:C$746,A787,'Base bordo'!B$2:B$746,B787,'Base bordo'!F$2:F$746,"PÁTIO INTERNO"),0)+IFERROR(SUMIFS('Base bordo'!G$2:G$746,'Base bordo'!C$2:C$746,A787,'Base bordo'!B$2:B$746,B787,'Base bordo'!F$2:F$746,"PÁTIO EXTERNO"),0)+IFERROR(SUMIFS('Base bordo'!G$2:G$746,'Base bordo'!C$2:C$746,A787,'Base bordo'!B$2:B$746,B787,'Base bordo'!F$2:F$746,"PATIO - RESERVA"),0)+IFERROR(SUMIFS('Base bordo'!G$2:G$746,'Base bordo'!C$2:C$746,A787,'Base bordo'!B$2:B$746,B787,'Base bordo'!F$2:F$746,"MANOBRA CARRETAS-PATIO"),0)</f>
        <v>5.693888888888889</v>
      </c>
      <c r="J787" s="10">
        <f>IFERROR(SUMIFS('Base bordo'!G$2:G$746,'Base bordo'!C$2:C$746,A787,'Base bordo'!B$2:B$746,B787,'Base bordo'!F$2:F$746,"BALANÇA - ENTRADA"),0)+IFERROR(SUMIFS('Base bordo'!G$2:G$746,'Base bordo'!C$2:C$746,A787,'Base bordo'!B$2:B$746,B787,'Base bordo'!F$2:F$746,"BALANÇA - SAÍDA"),0)</f>
        <v>0.11305555555555555</v>
      </c>
      <c r="K787" s="10">
        <f>IFERROR(SUMIFS('Base bordo'!G$2:G$746,'Base bordo'!C$2:C$746,A787,'Base bordo'!B$2:B$746,B787,'Base bordo'!F$2:F$746,"MAN PREVENTIVA - MECANICA"),0)+IFERROR(SUMIFS('Base bordo'!G$2:G$746,'Base bordo'!C$2:C$746,A787,'Base bordo'!B$2:B$746,B787,'Base bordo'!F$2:F$746,"MAN CORRETIVA - MECANICA"),0)</f>
        <v>0</v>
      </c>
      <c r="L787" s="10">
        <f>IFERROR(SUMIFS('Base bordo'!G$2:G$746,'Base bordo'!C$2:C$746,A787,'Base bordo'!B$2:B$746,B787,'Base bordo'!F$2:F$746,"MANUTENCAO - T O"),0)+IFERROR(SUMIFS('Base bordo'!G$2:G$746,'Base bordo'!C$2:C$746,A787,'Base bordo'!B$2:B$746,B787,'Base bordo'!F$2:F$746,"MANUTENCAO BORRACHARIA"),0)+IFERROR(SUMIFS('Base bordo'!G$2:G$746,'Base bordo'!C$2:C$746,A787,'Base bordo'!B$2:B$746,B787,'Base bordo'!F$2:F$746,"MANUTENCAO EXTERNA  CONCESSIONARIA"),0)+IFERROR(SUMIFS('Base bordo'!G$2:G$746,'Base bordo'!C$2:C$746,A787,'Base bordo'!B$2:B$746,B787,'Base bordo'!F$2:F$746,"MANUTENCAO TELEMETRIA"),0)</f>
        <v>2.7313888888888891</v>
      </c>
      <c r="M787" s="10">
        <f>IFERROR(SUMIFS('Base bordo'!G$2:G$746,'Base bordo'!C$2:C$746,A787,'Base bordo'!B$2:B$746,B787,'Base bordo'!F$2:F$746,"AGUARDANDO MANUTENCAO"),0)</f>
        <v>0</v>
      </c>
      <c r="N787" s="10">
        <f>IFERROR(SUMIFS('Base bordo'!G$2:G$746,'Base bordo'!C$2:C$746,A787,'Base bordo'!B$2:B$746,B787,'Base bordo'!F$2:F$746,"SEM APONTAMENTO"),0)</f>
        <v>0</v>
      </c>
      <c r="O787" s="10">
        <f t="shared" si="84"/>
        <v>0</v>
      </c>
      <c r="P787" s="10">
        <f>IFERROR(SUMIFS('Base bordo'!G$2:G$746,'Base bordo'!C$2:C$746,A787,'Base bordo'!B$2:B$746,B787),0)</f>
        <v>11.072500000000002</v>
      </c>
      <c r="Q787" s="10">
        <f>IFERROR(SUMIFS('Base bordo'!H$2:H$746,'Base bordo'!C$2:C$746,A787,'Base bordo'!B$2:B$746,B787,'Base bordo'!F$2:F$746,"DESLOCAMENTO VAZIO"),0)</f>
        <v>69562.86</v>
      </c>
      <c r="R787" s="10">
        <f>IFERROR(SUMIFS('Base bordo'!I$2:I$746,'Base bordo'!C$2:C$746,A787,'Base bordo'!B$2:B$746,B787,'Base bordo'!F$2:F$746,"DESLOCAMENTO VAZIO"),0)</f>
        <v>2749</v>
      </c>
      <c r="S787" s="30">
        <f t="shared" si="85"/>
        <v>25.30478719534376</v>
      </c>
      <c r="T787" s="10">
        <f>IFERROR(SUMIFS('Base bordo'!H$2:H$746,'Base bordo'!C$2:C$746,A787,'Base bordo'!B$2:B$746,B787,'Base bordo'!F$2:F$746,"DESLOCAMENTO CARREGADO"),0)</f>
        <v>60370.82</v>
      </c>
      <c r="U787" s="10">
        <f>IFERROR(SUMIFS('Base bordo'!I$2:I$746,'Base bordo'!C$2:C$746,A787,'Base bordo'!B$2:B$746,B787,'Base bordo'!F$2:F$746,"DESLOCAMENTO CARREGADO"),0)</f>
        <v>2374</v>
      </c>
      <c r="V787" s="30">
        <f t="shared" si="86"/>
        <v>25.43</v>
      </c>
      <c r="W787" s="9">
        <f t="shared" si="87"/>
        <v>6.8964652166277812E-2</v>
      </c>
      <c r="X787" s="9">
        <f t="shared" si="88"/>
        <v>5.955696043752038E-2</v>
      </c>
      <c r="Y787" s="9">
        <f t="shared" si="89"/>
        <v>0.87147838739620176</v>
      </c>
    </row>
    <row r="788" spans="1:25" ht="15" customHeight="1" x14ac:dyDescent="0.35">
      <c r="A788" s="52">
        <v>8013476</v>
      </c>
      <c r="B788" s="51">
        <v>46118</v>
      </c>
      <c r="C788" s="7" t="s">
        <v>124</v>
      </c>
      <c r="D788" s="10">
        <f>IFERROR(SUMIFS('Base bordo'!G$2:G$746,'Base bordo'!C$2:C$746,A788,'Base bordo'!B$2:B$746,B788,'Base bordo'!F$2:F$746,"DESLOCAMENTO VAZIO"),0)</f>
        <v>0.76361111111111113</v>
      </c>
      <c r="E788" s="10">
        <f>IFERROR(SUMIFS('Base bordo'!G$2:G$746,'Base bordo'!C$2:C$746,A788,'Base bordo'!B$2:B$746,B788,'Base bordo'!F$2:F$746,"DESLOCAMENTO CARREGADO"),0)</f>
        <v>0.6594444444444445</v>
      </c>
      <c r="F788" s="10">
        <f>IFERROR(SUMIFS('Base bordo'!G$2:G$746,'Base bordo'!C$2:C$746,A788,'Base bordo'!B$2:B$746,B788,'Base bordo'!F$2:F$746,"DESLOCAMENTO"),0)</f>
        <v>0</v>
      </c>
      <c r="G788" s="10">
        <f>IFERROR(SUMIFS('Base bordo'!G$2:G$746,'Base bordo'!C$2:C$746,A788,'Base bordo'!B$2:B$746,B788,'Base bordo'!F$2:F$746,"CARREGAMENTO"),0)</f>
        <v>0</v>
      </c>
      <c r="H788" s="10">
        <f>IFERROR(SUMIFS('Base bordo'!G$2:G$746,'Base bordo'!C$2:C$746,A788,'Base bordo'!B$2:B$746,B788,'Base bordo'!F$2:F$746,"AGUARDANDO TRANSBORDO"),0)</f>
        <v>1.1111111111111112</v>
      </c>
      <c r="I788" s="10">
        <f>IFERROR(SUMIFS('Base bordo'!G$2:G$746,'Base bordo'!C$2:C$746,A788,'Base bordo'!B$2:B$746,B788,'Base bordo'!F$2:F$746,"PÁTIO INTERNO"),0)+IFERROR(SUMIFS('Base bordo'!G$2:G$746,'Base bordo'!C$2:C$746,A788,'Base bordo'!B$2:B$746,B788,'Base bordo'!F$2:F$746,"PÁTIO EXTERNO"),0)+IFERROR(SUMIFS('Base bordo'!G$2:G$746,'Base bordo'!C$2:C$746,A788,'Base bordo'!B$2:B$746,B788,'Base bordo'!F$2:F$746,"PATIO - RESERVA"),0)+IFERROR(SUMIFS('Base bordo'!G$2:G$746,'Base bordo'!C$2:C$746,A788,'Base bordo'!B$2:B$746,B788,'Base bordo'!F$2:F$746,"MANOBRA CARRETAS-PATIO"),0)</f>
        <v>5.693888888888889</v>
      </c>
      <c r="J788" s="10">
        <f>IFERROR(SUMIFS('Base bordo'!G$2:G$746,'Base bordo'!C$2:C$746,A788,'Base bordo'!B$2:B$746,B788,'Base bordo'!F$2:F$746,"BALANÇA - ENTRADA"),0)+IFERROR(SUMIFS('Base bordo'!G$2:G$746,'Base bordo'!C$2:C$746,A788,'Base bordo'!B$2:B$746,B788,'Base bordo'!F$2:F$746,"BALANÇA - SAÍDA"),0)</f>
        <v>0.11305555555555555</v>
      </c>
      <c r="K788" s="10">
        <f>IFERROR(SUMIFS('Base bordo'!G$2:G$746,'Base bordo'!C$2:C$746,A788,'Base bordo'!B$2:B$746,B788,'Base bordo'!F$2:F$746,"MAN PREVENTIVA - MECANICA"),0)+IFERROR(SUMIFS('Base bordo'!G$2:G$746,'Base bordo'!C$2:C$746,A788,'Base bordo'!B$2:B$746,B788,'Base bordo'!F$2:F$746,"MAN CORRETIVA - MECANICA"),0)</f>
        <v>0</v>
      </c>
      <c r="L788" s="10">
        <f>IFERROR(SUMIFS('Base bordo'!G$2:G$746,'Base bordo'!C$2:C$746,A788,'Base bordo'!B$2:B$746,B788,'Base bordo'!F$2:F$746,"MANUTENCAO - T O"),0)+IFERROR(SUMIFS('Base bordo'!G$2:G$746,'Base bordo'!C$2:C$746,A788,'Base bordo'!B$2:B$746,B788,'Base bordo'!F$2:F$746,"MANUTENCAO BORRACHARIA"),0)+IFERROR(SUMIFS('Base bordo'!G$2:G$746,'Base bordo'!C$2:C$746,A788,'Base bordo'!B$2:B$746,B788,'Base bordo'!F$2:F$746,"MANUTENCAO EXTERNA  CONCESSIONARIA"),0)+IFERROR(SUMIFS('Base bordo'!G$2:G$746,'Base bordo'!C$2:C$746,A788,'Base bordo'!B$2:B$746,B788,'Base bordo'!F$2:F$746,"MANUTENCAO TELEMETRIA"),0)</f>
        <v>2.7313888888888891</v>
      </c>
      <c r="M788" s="10">
        <f>IFERROR(SUMIFS('Base bordo'!G$2:G$746,'Base bordo'!C$2:C$746,A788,'Base bordo'!B$2:B$746,B788,'Base bordo'!F$2:F$746,"AGUARDANDO MANUTENCAO"),0)</f>
        <v>0</v>
      </c>
      <c r="N788" s="10">
        <f>IFERROR(SUMIFS('Base bordo'!G$2:G$746,'Base bordo'!C$2:C$746,A788,'Base bordo'!B$2:B$746,B788,'Base bordo'!F$2:F$746,"SEM APONTAMENTO"),0)</f>
        <v>0</v>
      </c>
      <c r="O788" s="10">
        <f t="shared" si="84"/>
        <v>0</v>
      </c>
      <c r="P788" s="10">
        <f>IFERROR(SUMIFS('Base bordo'!G$2:G$746,'Base bordo'!C$2:C$746,A788,'Base bordo'!B$2:B$746,B788),0)</f>
        <v>11.072500000000002</v>
      </c>
      <c r="Q788" s="10">
        <f>IFERROR(SUMIFS('Base bordo'!H$2:H$746,'Base bordo'!C$2:C$746,A788,'Base bordo'!B$2:B$746,B788,'Base bordo'!F$2:F$746,"DESLOCAMENTO VAZIO"),0)</f>
        <v>69562.86</v>
      </c>
      <c r="R788" s="10">
        <f>IFERROR(SUMIFS('Base bordo'!I$2:I$746,'Base bordo'!C$2:C$746,A788,'Base bordo'!B$2:B$746,B788,'Base bordo'!F$2:F$746,"DESLOCAMENTO VAZIO"),0)</f>
        <v>2749</v>
      </c>
      <c r="S788" s="30">
        <f t="shared" si="85"/>
        <v>25.30478719534376</v>
      </c>
      <c r="T788" s="10">
        <f>IFERROR(SUMIFS('Base bordo'!H$2:H$746,'Base bordo'!C$2:C$746,A788,'Base bordo'!B$2:B$746,B788,'Base bordo'!F$2:F$746,"DESLOCAMENTO CARREGADO"),0)</f>
        <v>60370.82</v>
      </c>
      <c r="U788" s="10">
        <f>IFERROR(SUMIFS('Base bordo'!I$2:I$746,'Base bordo'!C$2:C$746,A788,'Base bordo'!B$2:B$746,B788,'Base bordo'!F$2:F$746,"DESLOCAMENTO CARREGADO"),0)</f>
        <v>2374</v>
      </c>
      <c r="V788" s="30">
        <f t="shared" si="86"/>
        <v>25.43</v>
      </c>
      <c r="W788" s="9">
        <f t="shared" si="87"/>
        <v>6.8964652166277812E-2</v>
      </c>
      <c r="X788" s="9">
        <f t="shared" si="88"/>
        <v>5.955696043752038E-2</v>
      </c>
      <c r="Y788" s="9">
        <f t="shared" si="89"/>
        <v>0.87147838739620176</v>
      </c>
    </row>
    <row r="789" spans="1:25" ht="15" customHeight="1" x14ac:dyDescent="0.35">
      <c r="A789" s="52">
        <v>8013476</v>
      </c>
      <c r="B789" s="51">
        <v>46118</v>
      </c>
      <c r="C789" s="7" t="s">
        <v>124</v>
      </c>
      <c r="D789" s="10">
        <f>IFERROR(SUMIFS('Base bordo'!G$2:G$746,'Base bordo'!C$2:C$746,A789,'Base bordo'!B$2:B$746,B789,'Base bordo'!F$2:F$746,"DESLOCAMENTO VAZIO"),0)</f>
        <v>0.76361111111111113</v>
      </c>
      <c r="E789" s="10">
        <f>IFERROR(SUMIFS('Base bordo'!G$2:G$746,'Base bordo'!C$2:C$746,A789,'Base bordo'!B$2:B$746,B789,'Base bordo'!F$2:F$746,"DESLOCAMENTO CARREGADO"),0)</f>
        <v>0.6594444444444445</v>
      </c>
      <c r="F789" s="10">
        <f>IFERROR(SUMIFS('Base bordo'!G$2:G$746,'Base bordo'!C$2:C$746,A789,'Base bordo'!B$2:B$746,B789,'Base bordo'!F$2:F$746,"DESLOCAMENTO"),0)</f>
        <v>0</v>
      </c>
      <c r="G789" s="10">
        <f>IFERROR(SUMIFS('Base bordo'!G$2:G$746,'Base bordo'!C$2:C$746,A789,'Base bordo'!B$2:B$746,B789,'Base bordo'!F$2:F$746,"CARREGAMENTO"),0)</f>
        <v>0</v>
      </c>
      <c r="H789" s="10">
        <f>IFERROR(SUMIFS('Base bordo'!G$2:G$746,'Base bordo'!C$2:C$746,A789,'Base bordo'!B$2:B$746,B789,'Base bordo'!F$2:F$746,"AGUARDANDO TRANSBORDO"),0)</f>
        <v>1.1111111111111112</v>
      </c>
      <c r="I789" s="10">
        <f>IFERROR(SUMIFS('Base bordo'!G$2:G$746,'Base bordo'!C$2:C$746,A789,'Base bordo'!B$2:B$746,B789,'Base bordo'!F$2:F$746,"PÁTIO INTERNO"),0)+IFERROR(SUMIFS('Base bordo'!G$2:G$746,'Base bordo'!C$2:C$746,A789,'Base bordo'!B$2:B$746,B789,'Base bordo'!F$2:F$746,"PÁTIO EXTERNO"),0)+IFERROR(SUMIFS('Base bordo'!G$2:G$746,'Base bordo'!C$2:C$746,A789,'Base bordo'!B$2:B$746,B789,'Base bordo'!F$2:F$746,"PATIO - RESERVA"),0)+IFERROR(SUMIFS('Base bordo'!G$2:G$746,'Base bordo'!C$2:C$746,A789,'Base bordo'!B$2:B$746,B789,'Base bordo'!F$2:F$746,"MANOBRA CARRETAS-PATIO"),0)</f>
        <v>5.693888888888889</v>
      </c>
      <c r="J789" s="10">
        <f>IFERROR(SUMIFS('Base bordo'!G$2:G$746,'Base bordo'!C$2:C$746,A789,'Base bordo'!B$2:B$746,B789,'Base bordo'!F$2:F$746,"BALANÇA - ENTRADA"),0)+IFERROR(SUMIFS('Base bordo'!G$2:G$746,'Base bordo'!C$2:C$746,A789,'Base bordo'!B$2:B$746,B789,'Base bordo'!F$2:F$746,"BALANÇA - SAÍDA"),0)</f>
        <v>0.11305555555555555</v>
      </c>
      <c r="K789" s="10">
        <f>IFERROR(SUMIFS('Base bordo'!G$2:G$746,'Base bordo'!C$2:C$746,A789,'Base bordo'!B$2:B$746,B789,'Base bordo'!F$2:F$746,"MAN PREVENTIVA - MECANICA"),0)+IFERROR(SUMIFS('Base bordo'!G$2:G$746,'Base bordo'!C$2:C$746,A789,'Base bordo'!B$2:B$746,B789,'Base bordo'!F$2:F$746,"MAN CORRETIVA - MECANICA"),0)</f>
        <v>0</v>
      </c>
      <c r="L789" s="10">
        <f>IFERROR(SUMIFS('Base bordo'!G$2:G$746,'Base bordo'!C$2:C$746,A789,'Base bordo'!B$2:B$746,B789,'Base bordo'!F$2:F$746,"MANUTENCAO - T O"),0)+IFERROR(SUMIFS('Base bordo'!G$2:G$746,'Base bordo'!C$2:C$746,A789,'Base bordo'!B$2:B$746,B789,'Base bordo'!F$2:F$746,"MANUTENCAO BORRACHARIA"),0)+IFERROR(SUMIFS('Base bordo'!G$2:G$746,'Base bordo'!C$2:C$746,A789,'Base bordo'!B$2:B$746,B789,'Base bordo'!F$2:F$746,"MANUTENCAO EXTERNA  CONCESSIONARIA"),0)+IFERROR(SUMIFS('Base bordo'!G$2:G$746,'Base bordo'!C$2:C$746,A789,'Base bordo'!B$2:B$746,B789,'Base bordo'!F$2:F$746,"MANUTENCAO TELEMETRIA"),0)</f>
        <v>2.7313888888888891</v>
      </c>
      <c r="M789" s="10">
        <f>IFERROR(SUMIFS('Base bordo'!G$2:G$746,'Base bordo'!C$2:C$746,A789,'Base bordo'!B$2:B$746,B789,'Base bordo'!F$2:F$746,"AGUARDANDO MANUTENCAO"),0)</f>
        <v>0</v>
      </c>
      <c r="N789" s="10">
        <f>IFERROR(SUMIFS('Base bordo'!G$2:G$746,'Base bordo'!C$2:C$746,A789,'Base bordo'!B$2:B$746,B789,'Base bordo'!F$2:F$746,"SEM APONTAMENTO"),0)</f>
        <v>0</v>
      </c>
      <c r="O789" s="10">
        <f t="shared" si="84"/>
        <v>0</v>
      </c>
      <c r="P789" s="10">
        <f>IFERROR(SUMIFS('Base bordo'!G$2:G$746,'Base bordo'!C$2:C$746,A789,'Base bordo'!B$2:B$746,B789),0)</f>
        <v>11.072500000000002</v>
      </c>
      <c r="Q789" s="10">
        <f>IFERROR(SUMIFS('Base bordo'!H$2:H$746,'Base bordo'!C$2:C$746,A789,'Base bordo'!B$2:B$746,B789,'Base bordo'!F$2:F$746,"DESLOCAMENTO VAZIO"),0)</f>
        <v>69562.86</v>
      </c>
      <c r="R789" s="10">
        <f>IFERROR(SUMIFS('Base bordo'!I$2:I$746,'Base bordo'!C$2:C$746,A789,'Base bordo'!B$2:B$746,B789,'Base bordo'!F$2:F$746,"DESLOCAMENTO VAZIO"),0)</f>
        <v>2749</v>
      </c>
      <c r="S789" s="30">
        <f t="shared" si="85"/>
        <v>25.30478719534376</v>
      </c>
      <c r="T789" s="10">
        <f>IFERROR(SUMIFS('Base bordo'!H$2:H$746,'Base bordo'!C$2:C$746,A789,'Base bordo'!B$2:B$746,B789,'Base bordo'!F$2:F$746,"DESLOCAMENTO CARREGADO"),0)</f>
        <v>60370.82</v>
      </c>
      <c r="U789" s="10">
        <f>IFERROR(SUMIFS('Base bordo'!I$2:I$746,'Base bordo'!C$2:C$746,A789,'Base bordo'!B$2:B$746,B789,'Base bordo'!F$2:F$746,"DESLOCAMENTO CARREGADO"),0)</f>
        <v>2374</v>
      </c>
      <c r="V789" s="30">
        <f t="shared" si="86"/>
        <v>25.43</v>
      </c>
      <c r="W789" s="9">
        <f t="shared" si="87"/>
        <v>6.8964652166277812E-2</v>
      </c>
      <c r="X789" s="9">
        <f t="shared" si="88"/>
        <v>5.955696043752038E-2</v>
      </c>
      <c r="Y789" s="9">
        <f t="shared" si="89"/>
        <v>0.87147838739620176</v>
      </c>
    </row>
    <row r="790" spans="1:25" ht="15" customHeight="1" x14ac:dyDescent="0.35">
      <c r="A790" s="52">
        <v>8013476</v>
      </c>
      <c r="B790" s="51">
        <v>46118</v>
      </c>
      <c r="C790" s="7" t="s">
        <v>124</v>
      </c>
      <c r="D790" s="10">
        <f>IFERROR(SUMIFS('Base bordo'!G$2:G$746,'Base bordo'!C$2:C$746,A790,'Base bordo'!B$2:B$746,B790,'Base bordo'!F$2:F$746,"DESLOCAMENTO VAZIO"),0)</f>
        <v>0.76361111111111113</v>
      </c>
      <c r="E790" s="10">
        <f>IFERROR(SUMIFS('Base bordo'!G$2:G$746,'Base bordo'!C$2:C$746,A790,'Base bordo'!B$2:B$746,B790,'Base bordo'!F$2:F$746,"DESLOCAMENTO CARREGADO"),0)</f>
        <v>0.6594444444444445</v>
      </c>
      <c r="F790" s="10">
        <f>IFERROR(SUMIFS('Base bordo'!G$2:G$746,'Base bordo'!C$2:C$746,A790,'Base bordo'!B$2:B$746,B790,'Base bordo'!F$2:F$746,"DESLOCAMENTO"),0)</f>
        <v>0</v>
      </c>
      <c r="G790" s="10">
        <f>IFERROR(SUMIFS('Base bordo'!G$2:G$746,'Base bordo'!C$2:C$746,A790,'Base bordo'!B$2:B$746,B790,'Base bordo'!F$2:F$746,"CARREGAMENTO"),0)</f>
        <v>0</v>
      </c>
      <c r="H790" s="10">
        <f>IFERROR(SUMIFS('Base bordo'!G$2:G$746,'Base bordo'!C$2:C$746,A790,'Base bordo'!B$2:B$746,B790,'Base bordo'!F$2:F$746,"AGUARDANDO TRANSBORDO"),0)</f>
        <v>1.1111111111111112</v>
      </c>
      <c r="I790" s="10">
        <f>IFERROR(SUMIFS('Base bordo'!G$2:G$746,'Base bordo'!C$2:C$746,A790,'Base bordo'!B$2:B$746,B790,'Base bordo'!F$2:F$746,"PÁTIO INTERNO"),0)+IFERROR(SUMIFS('Base bordo'!G$2:G$746,'Base bordo'!C$2:C$746,A790,'Base bordo'!B$2:B$746,B790,'Base bordo'!F$2:F$746,"PÁTIO EXTERNO"),0)+IFERROR(SUMIFS('Base bordo'!G$2:G$746,'Base bordo'!C$2:C$746,A790,'Base bordo'!B$2:B$746,B790,'Base bordo'!F$2:F$746,"PATIO - RESERVA"),0)+IFERROR(SUMIFS('Base bordo'!G$2:G$746,'Base bordo'!C$2:C$746,A790,'Base bordo'!B$2:B$746,B790,'Base bordo'!F$2:F$746,"MANOBRA CARRETAS-PATIO"),0)</f>
        <v>5.693888888888889</v>
      </c>
      <c r="J790" s="10">
        <f>IFERROR(SUMIFS('Base bordo'!G$2:G$746,'Base bordo'!C$2:C$746,A790,'Base bordo'!B$2:B$746,B790,'Base bordo'!F$2:F$746,"BALANÇA - ENTRADA"),0)+IFERROR(SUMIFS('Base bordo'!G$2:G$746,'Base bordo'!C$2:C$746,A790,'Base bordo'!B$2:B$746,B790,'Base bordo'!F$2:F$746,"BALANÇA - SAÍDA"),0)</f>
        <v>0.11305555555555555</v>
      </c>
      <c r="K790" s="10">
        <f>IFERROR(SUMIFS('Base bordo'!G$2:G$746,'Base bordo'!C$2:C$746,A790,'Base bordo'!B$2:B$746,B790,'Base bordo'!F$2:F$746,"MAN PREVENTIVA - MECANICA"),0)+IFERROR(SUMIFS('Base bordo'!G$2:G$746,'Base bordo'!C$2:C$746,A790,'Base bordo'!B$2:B$746,B790,'Base bordo'!F$2:F$746,"MAN CORRETIVA - MECANICA"),0)</f>
        <v>0</v>
      </c>
      <c r="L790" s="10">
        <f>IFERROR(SUMIFS('Base bordo'!G$2:G$746,'Base bordo'!C$2:C$746,A790,'Base bordo'!B$2:B$746,B790,'Base bordo'!F$2:F$746,"MANUTENCAO - T O"),0)+IFERROR(SUMIFS('Base bordo'!G$2:G$746,'Base bordo'!C$2:C$746,A790,'Base bordo'!B$2:B$746,B790,'Base bordo'!F$2:F$746,"MANUTENCAO BORRACHARIA"),0)+IFERROR(SUMIFS('Base bordo'!G$2:G$746,'Base bordo'!C$2:C$746,A790,'Base bordo'!B$2:B$746,B790,'Base bordo'!F$2:F$746,"MANUTENCAO EXTERNA  CONCESSIONARIA"),0)+IFERROR(SUMIFS('Base bordo'!G$2:G$746,'Base bordo'!C$2:C$746,A790,'Base bordo'!B$2:B$746,B790,'Base bordo'!F$2:F$746,"MANUTENCAO TELEMETRIA"),0)</f>
        <v>2.7313888888888891</v>
      </c>
      <c r="M790" s="10">
        <f>IFERROR(SUMIFS('Base bordo'!G$2:G$746,'Base bordo'!C$2:C$746,A790,'Base bordo'!B$2:B$746,B790,'Base bordo'!F$2:F$746,"AGUARDANDO MANUTENCAO"),0)</f>
        <v>0</v>
      </c>
      <c r="N790" s="10">
        <f>IFERROR(SUMIFS('Base bordo'!G$2:G$746,'Base bordo'!C$2:C$746,A790,'Base bordo'!B$2:B$746,B790,'Base bordo'!F$2:F$746,"SEM APONTAMENTO"),0)</f>
        <v>0</v>
      </c>
      <c r="O790" s="10">
        <f t="shared" si="84"/>
        <v>0</v>
      </c>
      <c r="P790" s="10">
        <f>IFERROR(SUMIFS('Base bordo'!G$2:G$746,'Base bordo'!C$2:C$746,A790,'Base bordo'!B$2:B$746,B790),0)</f>
        <v>11.072500000000002</v>
      </c>
      <c r="Q790" s="10">
        <f>IFERROR(SUMIFS('Base bordo'!H$2:H$746,'Base bordo'!C$2:C$746,A790,'Base bordo'!B$2:B$746,B790,'Base bordo'!F$2:F$746,"DESLOCAMENTO VAZIO"),0)</f>
        <v>69562.86</v>
      </c>
      <c r="R790" s="10">
        <f>IFERROR(SUMIFS('Base bordo'!I$2:I$746,'Base bordo'!C$2:C$746,A790,'Base bordo'!B$2:B$746,B790,'Base bordo'!F$2:F$746,"DESLOCAMENTO VAZIO"),0)</f>
        <v>2749</v>
      </c>
      <c r="S790" s="30">
        <f t="shared" si="85"/>
        <v>25.30478719534376</v>
      </c>
      <c r="T790" s="10">
        <f>IFERROR(SUMIFS('Base bordo'!H$2:H$746,'Base bordo'!C$2:C$746,A790,'Base bordo'!B$2:B$746,B790,'Base bordo'!F$2:F$746,"DESLOCAMENTO CARREGADO"),0)</f>
        <v>60370.82</v>
      </c>
      <c r="U790" s="10">
        <f>IFERROR(SUMIFS('Base bordo'!I$2:I$746,'Base bordo'!C$2:C$746,A790,'Base bordo'!B$2:B$746,B790,'Base bordo'!F$2:F$746,"DESLOCAMENTO CARREGADO"),0)</f>
        <v>2374</v>
      </c>
      <c r="V790" s="30">
        <f t="shared" si="86"/>
        <v>25.43</v>
      </c>
      <c r="W790" s="9">
        <f t="shared" si="87"/>
        <v>6.8964652166277812E-2</v>
      </c>
      <c r="X790" s="9">
        <f t="shared" si="88"/>
        <v>5.955696043752038E-2</v>
      </c>
      <c r="Y790" s="9">
        <f t="shared" si="89"/>
        <v>0.87147838739620176</v>
      </c>
    </row>
    <row r="791" spans="1:25" ht="15" customHeight="1" x14ac:dyDescent="0.35">
      <c r="A791" s="52">
        <v>8013478</v>
      </c>
      <c r="B791" s="51">
        <v>46118</v>
      </c>
      <c r="C791" s="7" t="s">
        <v>124</v>
      </c>
      <c r="D791" s="10">
        <f>IFERROR(SUMIFS('Base bordo'!G$2:G$746,'Base bordo'!C$2:C$746,A791,'Base bordo'!B$2:B$746,B791,'Base bordo'!F$2:F$746,"DESLOCAMENTO VAZIO"),0)</f>
        <v>2.2297222222222222</v>
      </c>
      <c r="E791" s="10">
        <f>IFERROR(SUMIFS('Base bordo'!G$2:G$746,'Base bordo'!C$2:C$746,A791,'Base bordo'!B$2:B$746,B791,'Base bordo'!F$2:F$746,"DESLOCAMENTO CARREGADO"),0)</f>
        <v>1.9061111111111111</v>
      </c>
      <c r="F791" s="10">
        <f>IFERROR(SUMIFS('Base bordo'!G$2:G$746,'Base bordo'!C$2:C$746,A791,'Base bordo'!B$2:B$746,B791,'Base bordo'!F$2:F$746,"DESLOCAMENTO"),0)</f>
        <v>0</v>
      </c>
      <c r="G791" s="10">
        <f>IFERROR(SUMIFS('Base bordo'!G$2:G$746,'Base bordo'!C$2:C$746,A791,'Base bordo'!B$2:B$746,B791,'Base bordo'!F$2:F$746,"CARREGAMENTO"),0)</f>
        <v>0</v>
      </c>
      <c r="H791" s="10">
        <f>IFERROR(SUMIFS('Base bordo'!G$2:G$746,'Base bordo'!C$2:C$746,A791,'Base bordo'!B$2:B$746,B791,'Base bordo'!F$2:F$746,"AGUARDANDO TRANSBORDO"),0)</f>
        <v>0.90749999999999997</v>
      </c>
      <c r="I791" s="10">
        <f>IFERROR(SUMIFS('Base bordo'!G$2:G$746,'Base bordo'!C$2:C$746,A791,'Base bordo'!B$2:B$746,B791,'Base bordo'!F$2:F$746,"PÁTIO INTERNO"),0)+IFERROR(SUMIFS('Base bordo'!G$2:G$746,'Base bordo'!C$2:C$746,A791,'Base bordo'!B$2:B$746,B791,'Base bordo'!F$2:F$746,"PÁTIO EXTERNO"),0)+IFERROR(SUMIFS('Base bordo'!G$2:G$746,'Base bordo'!C$2:C$746,A791,'Base bordo'!B$2:B$746,B791,'Base bordo'!F$2:F$746,"PATIO - RESERVA"),0)+IFERROR(SUMIFS('Base bordo'!G$2:G$746,'Base bordo'!C$2:C$746,A791,'Base bordo'!B$2:B$746,B791,'Base bordo'!F$2:F$746,"MANOBRA CARRETAS-PATIO"),0)</f>
        <v>3.8741666666666665</v>
      </c>
      <c r="J791" s="10">
        <f>IFERROR(SUMIFS('Base bordo'!G$2:G$746,'Base bordo'!C$2:C$746,A791,'Base bordo'!B$2:B$746,B791,'Base bordo'!F$2:F$746,"BALANÇA - ENTRADA"),0)+IFERROR(SUMIFS('Base bordo'!G$2:G$746,'Base bordo'!C$2:C$746,A791,'Base bordo'!B$2:B$746,B791,'Base bordo'!F$2:F$746,"BALANÇA - SAÍDA"),0)</f>
        <v>1.1944444444444445E-2</v>
      </c>
      <c r="K791" s="10">
        <f>IFERROR(SUMIFS('Base bordo'!G$2:G$746,'Base bordo'!C$2:C$746,A791,'Base bordo'!B$2:B$746,B791,'Base bordo'!F$2:F$746,"MAN PREVENTIVA - MECANICA"),0)+IFERROR(SUMIFS('Base bordo'!G$2:G$746,'Base bordo'!C$2:C$746,A791,'Base bordo'!B$2:B$746,B791,'Base bordo'!F$2:F$746,"MAN CORRETIVA - MECANICA"),0)</f>
        <v>0</v>
      </c>
      <c r="L791" s="10">
        <f>IFERROR(SUMIFS('Base bordo'!G$2:G$746,'Base bordo'!C$2:C$746,A791,'Base bordo'!B$2:B$746,B791,'Base bordo'!F$2:F$746,"MANUTENCAO - T O"),0)+IFERROR(SUMIFS('Base bordo'!G$2:G$746,'Base bordo'!C$2:C$746,A791,'Base bordo'!B$2:B$746,B791,'Base bordo'!F$2:F$746,"MANUTENCAO BORRACHARIA"),0)+IFERROR(SUMIFS('Base bordo'!G$2:G$746,'Base bordo'!C$2:C$746,A791,'Base bordo'!B$2:B$746,B791,'Base bordo'!F$2:F$746,"MANUTENCAO EXTERNA  CONCESSIONARIA"),0)+IFERROR(SUMIFS('Base bordo'!G$2:G$746,'Base bordo'!C$2:C$746,A791,'Base bordo'!B$2:B$746,B791,'Base bordo'!F$2:F$746,"MANUTENCAO TELEMETRIA"),0)</f>
        <v>0</v>
      </c>
      <c r="M791" s="10">
        <f>IFERROR(SUMIFS('Base bordo'!G$2:G$746,'Base bordo'!C$2:C$746,A791,'Base bordo'!B$2:B$746,B791,'Base bordo'!F$2:F$746,"AGUARDANDO MANUTENCAO"),0)</f>
        <v>0</v>
      </c>
      <c r="N791" s="10">
        <f>IFERROR(SUMIFS('Base bordo'!G$2:G$746,'Base bordo'!C$2:C$746,A791,'Base bordo'!B$2:B$746,B791,'Base bordo'!F$2:F$746,"SEM APONTAMENTO"),0)</f>
        <v>0</v>
      </c>
      <c r="O791" s="10">
        <f t="shared" si="84"/>
        <v>2.3333333333331652E-2</v>
      </c>
      <c r="P791" s="10">
        <f>IFERROR(SUMIFS('Base bordo'!G$2:G$746,'Base bordo'!C$2:C$746,A791,'Base bordo'!B$2:B$746,B791),0)</f>
        <v>8.9527777777777757</v>
      </c>
      <c r="Q791" s="10">
        <f>IFERROR(SUMIFS('Base bordo'!H$2:H$746,'Base bordo'!C$2:C$746,A791,'Base bordo'!B$2:B$746,B791,'Base bordo'!F$2:F$746,"DESLOCAMENTO VAZIO"),0)</f>
        <v>290634.14</v>
      </c>
      <c r="R791" s="10">
        <f>IFERROR(SUMIFS('Base bordo'!I$2:I$746,'Base bordo'!C$2:C$746,A791,'Base bordo'!B$2:B$746,B791,'Base bordo'!F$2:F$746,"DESLOCAMENTO VAZIO"),0)</f>
        <v>8027</v>
      </c>
      <c r="S791" s="30">
        <f t="shared" si="85"/>
        <v>36.207068643328768</v>
      </c>
      <c r="T791" s="10">
        <f>IFERROR(SUMIFS('Base bordo'!H$2:H$746,'Base bordo'!C$2:C$746,A791,'Base bordo'!B$2:B$746,B791,'Base bordo'!F$2:F$746,"DESLOCAMENTO CARREGADO"),0)</f>
        <v>165552.33000000002</v>
      </c>
      <c r="U791" s="10">
        <f>IFERROR(SUMIFS('Base bordo'!I$2:I$746,'Base bordo'!C$2:C$746,A791,'Base bordo'!B$2:B$746,B791,'Base bordo'!F$2:F$746,"DESLOCAMENTO CARREGADO"),0)</f>
        <v>6862</v>
      </c>
      <c r="V791" s="30">
        <f t="shared" si="86"/>
        <v>24.125958904109591</v>
      </c>
      <c r="W791" s="9">
        <f t="shared" si="87"/>
        <v>0.24905367669872794</v>
      </c>
      <c r="X791" s="9">
        <f t="shared" si="88"/>
        <v>0.21290722928948189</v>
      </c>
      <c r="Y791" s="9">
        <f t="shared" si="89"/>
        <v>0.53803909401179018</v>
      </c>
    </row>
    <row r="792" spans="1:25" ht="15" customHeight="1" x14ac:dyDescent="0.35">
      <c r="A792" s="52">
        <v>8013478</v>
      </c>
      <c r="B792" s="51">
        <v>46118</v>
      </c>
      <c r="C792" s="7" t="s">
        <v>124</v>
      </c>
      <c r="D792" s="10">
        <f>IFERROR(SUMIFS('Base bordo'!G$2:G$746,'Base bordo'!C$2:C$746,A792,'Base bordo'!B$2:B$746,B792,'Base bordo'!F$2:F$746,"DESLOCAMENTO VAZIO"),0)</f>
        <v>2.2297222222222222</v>
      </c>
      <c r="E792" s="10">
        <f>IFERROR(SUMIFS('Base bordo'!G$2:G$746,'Base bordo'!C$2:C$746,A792,'Base bordo'!B$2:B$746,B792,'Base bordo'!F$2:F$746,"DESLOCAMENTO CARREGADO"),0)</f>
        <v>1.9061111111111111</v>
      </c>
      <c r="F792" s="10">
        <f>IFERROR(SUMIFS('Base bordo'!G$2:G$746,'Base bordo'!C$2:C$746,A792,'Base bordo'!B$2:B$746,B792,'Base bordo'!F$2:F$746,"DESLOCAMENTO"),0)</f>
        <v>0</v>
      </c>
      <c r="G792" s="10">
        <f>IFERROR(SUMIFS('Base bordo'!G$2:G$746,'Base bordo'!C$2:C$746,A792,'Base bordo'!B$2:B$746,B792,'Base bordo'!F$2:F$746,"CARREGAMENTO"),0)</f>
        <v>0</v>
      </c>
      <c r="H792" s="10">
        <f>IFERROR(SUMIFS('Base bordo'!G$2:G$746,'Base bordo'!C$2:C$746,A792,'Base bordo'!B$2:B$746,B792,'Base bordo'!F$2:F$746,"AGUARDANDO TRANSBORDO"),0)</f>
        <v>0.90749999999999997</v>
      </c>
      <c r="I792" s="10">
        <f>IFERROR(SUMIFS('Base bordo'!G$2:G$746,'Base bordo'!C$2:C$746,A792,'Base bordo'!B$2:B$746,B792,'Base bordo'!F$2:F$746,"PÁTIO INTERNO"),0)+IFERROR(SUMIFS('Base bordo'!G$2:G$746,'Base bordo'!C$2:C$746,A792,'Base bordo'!B$2:B$746,B792,'Base bordo'!F$2:F$746,"PÁTIO EXTERNO"),0)+IFERROR(SUMIFS('Base bordo'!G$2:G$746,'Base bordo'!C$2:C$746,A792,'Base bordo'!B$2:B$746,B792,'Base bordo'!F$2:F$746,"PATIO - RESERVA"),0)+IFERROR(SUMIFS('Base bordo'!G$2:G$746,'Base bordo'!C$2:C$746,A792,'Base bordo'!B$2:B$746,B792,'Base bordo'!F$2:F$746,"MANOBRA CARRETAS-PATIO"),0)</f>
        <v>3.8741666666666665</v>
      </c>
      <c r="J792" s="10">
        <f>IFERROR(SUMIFS('Base bordo'!G$2:G$746,'Base bordo'!C$2:C$746,A792,'Base bordo'!B$2:B$746,B792,'Base bordo'!F$2:F$746,"BALANÇA - ENTRADA"),0)+IFERROR(SUMIFS('Base bordo'!G$2:G$746,'Base bordo'!C$2:C$746,A792,'Base bordo'!B$2:B$746,B792,'Base bordo'!F$2:F$746,"BALANÇA - SAÍDA"),0)</f>
        <v>1.1944444444444445E-2</v>
      </c>
      <c r="K792" s="10">
        <f>IFERROR(SUMIFS('Base bordo'!G$2:G$746,'Base bordo'!C$2:C$746,A792,'Base bordo'!B$2:B$746,B792,'Base bordo'!F$2:F$746,"MAN PREVENTIVA - MECANICA"),0)+IFERROR(SUMIFS('Base bordo'!G$2:G$746,'Base bordo'!C$2:C$746,A792,'Base bordo'!B$2:B$746,B792,'Base bordo'!F$2:F$746,"MAN CORRETIVA - MECANICA"),0)</f>
        <v>0</v>
      </c>
      <c r="L792" s="10">
        <f>IFERROR(SUMIFS('Base bordo'!G$2:G$746,'Base bordo'!C$2:C$746,A792,'Base bordo'!B$2:B$746,B792,'Base bordo'!F$2:F$746,"MANUTENCAO - T O"),0)+IFERROR(SUMIFS('Base bordo'!G$2:G$746,'Base bordo'!C$2:C$746,A792,'Base bordo'!B$2:B$746,B792,'Base bordo'!F$2:F$746,"MANUTENCAO BORRACHARIA"),0)+IFERROR(SUMIFS('Base bordo'!G$2:G$746,'Base bordo'!C$2:C$746,A792,'Base bordo'!B$2:B$746,B792,'Base bordo'!F$2:F$746,"MANUTENCAO EXTERNA  CONCESSIONARIA"),0)+IFERROR(SUMIFS('Base bordo'!G$2:G$746,'Base bordo'!C$2:C$746,A792,'Base bordo'!B$2:B$746,B792,'Base bordo'!F$2:F$746,"MANUTENCAO TELEMETRIA"),0)</f>
        <v>0</v>
      </c>
      <c r="M792" s="10">
        <f>IFERROR(SUMIFS('Base bordo'!G$2:G$746,'Base bordo'!C$2:C$746,A792,'Base bordo'!B$2:B$746,B792,'Base bordo'!F$2:F$746,"AGUARDANDO MANUTENCAO"),0)</f>
        <v>0</v>
      </c>
      <c r="N792" s="10">
        <f>IFERROR(SUMIFS('Base bordo'!G$2:G$746,'Base bordo'!C$2:C$746,A792,'Base bordo'!B$2:B$746,B792,'Base bordo'!F$2:F$746,"SEM APONTAMENTO"),0)</f>
        <v>0</v>
      </c>
      <c r="O792" s="10">
        <f t="shared" si="84"/>
        <v>2.3333333333331652E-2</v>
      </c>
      <c r="P792" s="10">
        <f>IFERROR(SUMIFS('Base bordo'!G$2:G$746,'Base bordo'!C$2:C$746,A792,'Base bordo'!B$2:B$746,B792),0)</f>
        <v>8.9527777777777757</v>
      </c>
      <c r="Q792" s="10">
        <f>IFERROR(SUMIFS('Base bordo'!H$2:H$746,'Base bordo'!C$2:C$746,A792,'Base bordo'!B$2:B$746,B792,'Base bordo'!F$2:F$746,"DESLOCAMENTO VAZIO"),0)</f>
        <v>290634.14</v>
      </c>
      <c r="R792" s="10">
        <f>IFERROR(SUMIFS('Base bordo'!I$2:I$746,'Base bordo'!C$2:C$746,A792,'Base bordo'!B$2:B$746,B792,'Base bordo'!F$2:F$746,"DESLOCAMENTO VAZIO"),0)</f>
        <v>8027</v>
      </c>
      <c r="S792" s="30">
        <f t="shared" si="85"/>
        <v>36.207068643328768</v>
      </c>
      <c r="T792" s="10">
        <f>IFERROR(SUMIFS('Base bordo'!H$2:H$746,'Base bordo'!C$2:C$746,A792,'Base bordo'!B$2:B$746,B792,'Base bordo'!F$2:F$746,"DESLOCAMENTO CARREGADO"),0)</f>
        <v>165552.33000000002</v>
      </c>
      <c r="U792" s="10">
        <f>IFERROR(SUMIFS('Base bordo'!I$2:I$746,'Base bordo'!C$2:C$746,A792,'Base bordo'!B$2:B$746,B792,'Base bordo'!F$2:F$746,"DESLOCAMENTO CARREGADO"),0)</f>
        <v>6862</v>
      </c>
      <c r="V792" s="30">
        <f t="shared" si="86"/>
        <v>24.125958904109591</v>
      </c>
      <c r="W792" s="9">
        <f t="shared" si="87"/>
        <v>0.24905367669872794</v>
      </c>
      <c r="X792" s="9">
        <f t="shared" si="88"/>
        <v>0.21290722928948189</v>
      </c>
      <c r="Y792" s="9">
        <f t="shared" si="89"/>
        <v>0.53803909401179018</v>
      </c>
    </row>
    <row r="793" spans="1:25" ht="15" customHeight="1" x14ac:dyDescent="0.35">
      <c r="A793" s="52">
        <v>8013478</v>
      </c>
      <c r="B793" s="51">
        <v>46118</v>
      </c>
      <c r="C793" s="7" t="s">
        <v>124</v>
      </c>
      <c r="D793" s="10">
        <f>IFERROR(SUMIFS('Base bordo'!G$2:G$746,'Base bordo'!C$2:C$746,A793,'Base bordo'!B$2:B$746,B793,'Base bordo'!F$2:F$746,"DESLOCAMENTO VAZIO"),0)</f>
        <v>2.2297222222222222</v>
      </c>
      <c r="E793" s="10">
        <f>IFERROR(SUMIFS('Base bordo'!G$2:G$746,'Base bordo'!C$2:C$746,A793,'Base bordo'!B$2:B$746,B793,'Base bordo'!F$2:F$746,"DESLOCAMENTO CARREGADO"),0)</f>
        <v>1.9061111111111111</v>
      </c>
      <c r="F793" s="10">
        <f>IFERROR(SUMIFS('Base bordo'!G$2:G$746,'Base bordo'!C$2:C$746,A793,'Base bordo'!B$2:B$746,B793,'Base bordo'!F$2:F$746,"DESLOCAMENTO"),0)</f>
        <v>0</v>
      </c>
      <c r="G793" s="10">
        <f>IFERROR(SUMIFS('Base bordo'!G$2:G$746,'Base bordo'!C$2:C$746,A793,'Base bordo'!B$2:B$746,B793,'Base bordo'!F$2:F$746,"CARREGAMENTO"),0)</f>
        <v>0</v>
      </c>
      <c r="H793" s="10">
        <f>IFERROR(SUMIFS('Base bordo'!G$2:G$746,'Base bordo'!C$2:C$746,A793,'Base bordo'!B$2:B$746,B793,'Base bordo'!F$2:F$746,"AGUARDANDO TRANSBORDO"),0)</f>
        <v>0.90749999999999997</v>
      </c>
      <c r="I793" s="10">
        <f>IFERROR(SUMIFS('Base bordo'!G$2:G$746,'Base bordo'!C$2:C$746,A793,'Base bordo'!B$2:B$746,B793,'Base bordo'!F$2:F$746,"PÁTIO INTERNO"),0)+IFERROR(SUMIFS('Base bordo'!G$2:G$746,'Base bordo'!C$2:C$746,A793,'Base bordo'!B$2:B$746,B793,'Base bordo'!F$2:F$746,"PÁTIO EXTERNO"),0)+IFERROR(SUMIFS('Base bordo'!G$2:G$746,'Base bordo'!C$2:C$746,A793,'Base bordo'!B$2:B$746,B793,'Base bordo'!F$2:F$746,"PATIO - RESERVA"),0)+IFERROR(SUMIFS('Base bordo'!G$2:G$746,'Base bordo'!C$2:C$746,A793,'Base bordo'!B$2:B$746,B793,'Base bordo'!F$2:F$746,"MANOBRA CARRETAS-PATIO"),0)</f>
        <v>3.8741666666666665</v>
      </c>
      <c r="J793" s="10">
        <f>IFERROR(SUMIFS('Base bordo'!G$2:G$746,'Base bordo'!C$2:C$746,A793,'Base bordo'!B$2:B$746,B793,'Base bordo'!F$2:F$746,"BALANÇA - ENTRADA"),0)+IFERROR(SUMIFS('Base bordo'!G$2:G$746,'Base bordo'!C$2:C$746,A793,'Base bordo'!B$2:B$746,B793,'Base bordo'!F$2:F$746,"BALANÇA - SAÍDA"),0)</f>
        <v>1.1944444444444445E-2</v>
      </c>
      <c r="K793" s="10">
        <f>IFERROR(SUMIFS('Base bordo'!G$2:G$746,'Base bordo'!C$2:C$746,A793,'Base bordo'!B$2:B$746,B793,'Base bordo'!F$2:F$746,"MAN PREVENTIVA - MECANICA"),0)+IFERROR(SUMIFS('Base bordo'!G$2:G$746,'Base bordo'!C$2:C$746,A793,'Base bordo'!B$2:B$746,B793,'Base bordo'!F$2:F$746,"MAN CORRETIVA - MECANICA"),0)</f>
        <v>0</v>
      </c>
      <c r="L793" s="10">
        <f>IFERROR(SUMIFS('Base bordo'!G$2:G$746,'Base bordo'!C$2:C$746,A793,'Base bordo'!B$2:B$746,B793,'Base bordo'!F$2:F$746,"MANUTENCAO - T O"),0)+IFERROR(SUMIFS('Base bordo'!G$2:G$746,'Base bordo'!C$2:C$746,A793,'Base bordo'!B$2:B$746,B793,'Base bordo'!F$2:F$746,"MANUTENCAO BORRACHARIA"),0)+IFERROR(SUMIFS('Base bordo'!G$2:G$746,'Base bordo'!C$2:C$746,A793,'Base bordo'!B$2:B$746,B793,'Base bordo'!F$2:F$746,"MANUTENCAO EXTERNA  CONCESSIONARIA"),0)+IFERROR(SUMIFS('Base bordo'!G$2:G$746,'Base bordo'!C$2:C$746,A793,'Base bordo'!B$2:B$746,B793,'Base bordo'!F$2:F$746,"MANUTENCAO TELEMETRIA"),0)</f>
        <v>0</v>
      </c>
      <c r="M793" s="10">
        <f>IFERROR(SUMIFS('Base bordo'!G$2:G$746,'Base bordo'!C$2:C$746,A793,'Base bordo'!B$2:B$746,B793,'Base bordo'!F$2:F$746,"AGUARDANDO MANUTENCAO"),0)</f>
        <v>0</v>
      </c>
      <c r="N793" s="10">
        <f>IFERROR(SUMIFS('Base bordo'!G$2:G$746,'Base bordo'!C$2:C$746,A793,'Base bordo'!B$2:B$746,B793,'Base bordo'!F$2:F$746,"SEM APONTAMENTO"),0)</f>
        <v>0</v>
      </c>
      <c r="O793" s="10">
        <f t="shared" si="84"/>
        <v>2.3333333333331652E-2</v>
      </c>
      <c r="P793" s="10">
        <f>IFERROR(SUMIFS('Base bordo'!G$2:G$746,'Base bordo'!C$2:C$746,A793,'Base bordo'!B$2:B$746,B793),0)</f>
        <v>8.9527777777777757</v>
      </c>
      <c r="Q793" s="10">
        <f>IFERROR(SUMIFS('Base bordo'!H$2:H$746,'Base bordo'!C$2:C$746,A793,'Base bordo'!B$2:B$746,B793,'Base bordo'!F$2:F$746,"DESLOCAMENTO VAZIO"),0)</f>
        <v>290634.14</v>
      </c>
      <c r="R793" s="10">
        <f>IFERROR(SUMIFS('Base bordo'!I$2:I$746,'Base bordo'!C$2:C$746,A793,'Base bordo'!B$2:B$746,B793,'Base bordo'!F$2:F$746,"DESLOCAMENTO VAZIO"),0)</f>
        <v>8027</v>
      </c>
      <c r="S793" s="30">
        <f t="shared" si="85"/>
        <v>36.207068643328768</v>
      </c>
      <c r="T793" s="10">
        <f>IFERROR(SUMIFS('Base bordo'!H$2:H$746,'Base bordo'!C$2:C$746,A793,'Base bordo'!B$2:B$746,B793,'Base bordo'!F$2:F$746,"DESLOCAMENTO CARREGADO"),0)</f>
        <v>165552.33000000002</v>
      </c>
      <c r="U793" s="10">
        <f>IFERROR(SUMIFS('Base bordo'!I$2:I$746,'Base bordo'!C$2:C$746,A793,'Base bordo'!B$2:B$746,B793,'Base bordo'!F$2:F$746,"DESLOCAMENTO CARREGADO"),0)</f>
        <v>6862</v>
      </c>
      <c r="V793" s="30">
        <f t="shared" si="86"/>
        <v>24.125958904109591</v>
      </c>
      <c r="W793" s="9">
        <f t="shared" si="87"/>
        <v>0.24905367669872794</v>
      </c>
      <c r="X793" s="9">
        <f t="shared" si="88"/>
        <v>0.21290722928948189</v>
      </c>
      <c r="Y793" s="9">
        <f t="shared" si="89"/>
        <v>0.53803909401179018</v>
      </c>
    </row>
    <row r="794" spans="1:25" ht="15" customHeight="1" x14ac:dyDescent="0.35">
      <c r="A794" s="52">
        <v>8013478</v>
      </c>
      <c r="B794" s="51">
        <v>46118</v>
      </c>
      <c r="C794" s="7" t="s">
        <v>124</v>
      </c>
      <c r="D794" s="10">
        <f>IFERROR(SUMIFS('Base bordo'!G$2:G$746,'Base bordo'!C$2:C$746,A794,'Base bordo'!B$2:B$746,B794,'Base bordo'!F$2:F$746,"DESLOCAMENTO VAZIO"),0)</f>
        <v>2.2297222222222222</v>
      </c>
      <c r="E794" s="10">
        <f>IFERROR(SUMIFS('Base bordo'!G$2:G$746,'Base bordo'!C$2:C$746,A794,'Base bordo'!B$2:B$746,B794,'Base bordo'!F$2:F$746,"DESLOCAMENTO CARREGADO"),0)</f>
        <v>1.9061111111111111</v>
      </c>
      <c r="F794" s="10">
        <f>IFERROR(SUMIFS('Base bordo'!G$2:G$746,'Base bordo'!C$2:C$746,A794,'Base bordo'!B$2:B$746,B794,'Base bordo'!F$2:F$746,"DESLOCAMENTO"),0)</f>
        <v>0</v>
      </c>
      <c r="G794" s="10">
        <f>IFERROR(SUMIFS('Base bordo'!G$2:G$746,'Base bordo'!C$2:C$746,A794,'Base bordo'!B$2:B$746,B794,'Base bordo'!F$2:F$746,"CARREGAMENTO"),0)</f>
        <v>0</v>
      </c>
      <c r="H794" s="10">
        <f>IFERROR(SUMIFS('Base bordo'!G$2:G$746,'Base bordo'!C$2:C$746,A794,'Base bordo'!B$2:B$746,B794,'Base bordo'!F$2:F$746,"AGUARDANDO TRANSBORDO"),0)</f>
        <v>0.90749999999999997</v>
      </c>
      <c r="I794" s="10">
        <f>IFERROR(SUMIFS('Base bordo'!G$2:G$746,'Base bordo'!C$2:C$746,A794,'Base bordo'!B$2:B$746,B794,'Base bordo'!F$2:F$746,"PÁTIO INTERNO"),0)+IFERROR(SUMIFS('Base bordo'!G$2:G$746,'Base bordo'!C$2:C$746,A794,'Base bordo'!B$2:B$746,B794,'Base bordo'!F$2:F$746,"PÁTIO EXTERNO"),0)+IFERROR(SUMIFS('Base bordo'!G$2:G$746,'Base bordo'!C$2:C$746,A794,'Base bordo'!B$2:B$746,B794,'Base bordo'!F$2:F$746,"PATIO - RESERVA"),0)+IFERROR(SUMIFS('Base bordo'!G$2:G$746,'Base bordo'!C$2:C$746,A794,'Base bordo'!B$2:B$746,B794,'Base bordo'!F$2:F$746,"MANOBRA CARRETAS-PATIO"),0)</f>
        <v>3.8741666666666665</v>
      </c>
      <c r="J794" s="10">
        <f>IFERROR(SUMIFS('Base bordo'!G$2:G$746,'Base bordo'!C$2:C$746,A794,'Base bordo'!B$2:B$746,B794,'Base bordo'!F$2:F$746,"BALANÇA - ENTRADA"),0)+IFERROR(SUMIFS('Base bordo'!G$2:G$746,'Base bordo'!C$2:C$746,A794,'Base bordo'!B$2:B$746,B794,'Base bordo'!F$2:F$746,"BALANÇA - SAÍDA"),0)</f>
        <v>1.1944444444444445E-2</v>
      </c>
      <c r="K794" s="10">
        <f>IFERROR(SUMIFS('Base bordo'!G$2:G$746,'Base bordo'!C$2:C$746,A794,'Base bordo'!B$2:B$746,B794,'Base bordo'!F$2:F$746,"MAN PREVENTIVA - MECANICA"),0)+IFERROR(SUMIFS('Base bordo'!G$2:G$746,'Base bordo'!C$2:C$746,A794,'Base bordo'!B$2:B$746,B794,'Base bordo'!F$2:F$746,"MAN CORRETIVA - MECANICA"),0)</f>
        <v>0</v>
      </c>
      <c r="L794" s="10">
        <f>IFERROR(SUMIFS('Base bordo'!G$2:G$746,'Base bordo'!C$2:C$746,A794,'Base bordo'!B$2:B$746,B794,'Base bordo'!F$2:F$746,"MANUTENCAO - T O"),0)+IFERROR(SUMIFS('Base bordo'!G$2:G$746,'Base bordo'!C$2:C$746,A794,'Base bordo'!B$2:B$746,B794,'Base bordo'!F$2:F$746,"MANUTENCAO BORRACHARIA"),0)+IFERROR(SUMIFS('Base bordo'!G$2:G$746,'Base bordo'!C$2:C$746,A794,'Base bordo'!B$2:B$746,B794,'Base bordo'!F$2:F$746,"MANUTENCAO EXTERNA  CONCESSIONARIA"),0)+IFERROR(SUMIFS('Base bordo'!G$2:G$746,'Base bordo'!C$2:C$746,A794,'Base bordo'!B$2:B$746,B794,'Base bordo'!F$2:F$746,"MANUTENCAO TELEMETRIA"),0)</f>
        <v>0</v>
      </c>
      <c r="M794" s="10">
        <f>IFERROR(SUMIFS('Base bordo'!G$2:G$746,'Base bordo'!C$2:C$746,A794,'Base bordo'!B$2:B$746,B794,'Base bordo'!F$2:F$746,"AGUARDANDO MANUTENCAO"),0)</f>
        <v>0</v>
      </c>
      <c r="N794" s="10">
        <f>IFERROR(SUMIFS('Base bordo'!G$2:G$746,'Base bordo'!C$2:C$746,A794,'Base bordo'!B$2:B$746,B794,'Base bordo'!F$2:F$746,"SEM APONTAMENTO"),0)</f>
        <v>0</v>
      </c>
      <c r="O794" s="10">
        <f t="shared" si="84"/>
        <v>2.3333333333331652E-2</v>
      </c>
      <c r="P794" s="10">
        <f>IFERROR(SUMIFS('Base bordo'!G$2:G$746,'Base bordo'!C$2:C$746,A794,'Base bordo'!B$2:B$746,B794),0)</f>
        <v>8.9527777777777757</v>
      </c>
      <c r="Q794" s="10">
        <f>IFERROR(SUMIFS('Base bordo'!H$2:H$746,'Base bordo'!C$2:C$746,A794,'Base bordo'!B$2:B$746,B794,'Base bordo'!F$2:F$746,"DESLOCAMENTO VAZIO"),0)</f>
        <v>290634.14</v>
      </c>
      <c r="R794" s="10">
        <f>IFERROR(SUMIFS('Base bordo'!I$2:I$746,'Base bordo'!C$2:C$746,A794,'Base bordo'!B$2:B$746,B794,'Base bordo'!F$2:F$746,"DESLOCAMENTO VAZIO"),0)</f>
        <v>8027</v>
      </c>
      <c r="S794" s="30">
        <f t="shared" si="85"/>
        <v>36.207068643328768</v>
      </c>
      <c r="T794" s="10">
        <f>IFERROR(SUMIFS('Base bordo'!H$2:H$746,'Base bordo'!C$2:C$746,A794,'Base bordo'!B$2:B$746,B794,'Base bordo'!F$2:F$746,"DESLOCAMENTO CARREGADO"),0)</f>
        <v>165552.33000000002</v>
      </c>
      <c r="U794" s="10">
        <f>IFERROR(SUMIFS('Base bordo'!I$2:I$746,'Base bordo'!C$2:C$746,A794,'Base bordo'!B$2:B$746,B794,'Base bordo'!F$2:F$746,"DESLOCAMENTO CARREGADO"),0)</f>
        <v>6862</v>
      </c>
      <c r="V794" s="30">
        <f t="shared" si="86"/>
        <v>24.125958904109591</v>
      </c>
      <c r="W794" s="9">
        <f t="shared" si="87"/>
        <v>0.24905367669872794</v>
      </c>
      <c r="X794" s="9">
        <f t="shared" si="88"/>
        <v>0.21290722928948189</v>
      </c>
      <c r="Y794" s="9">
        <f t="shared" si="89"/>
        <v>0.53803909401179018</v>
      </c>
    </row>
    <row r="795" spans="1:25" ht="15" customHeight="1" x14ac:dyDescent="0.35">
      <c r="A795" s="52">
        <v>8013478</v>
      </c>
      <c r="B795" s="51">
        <v>46118</v>
      </c>
      <c r="C795" s="7" t="s">
        <v>124</v>
      </c>
      <c r="D795" s="10">
        <f>IFERROR(SUMIFS('Base bordo'!G$2:G$746,'Base bordo'!C$2:C$746,A795,'Base bordo'!B$2:B$746,B795,'Base bordo'!F$2:F$746,"DESLOCAMENTO VAZIO"),0)</f>
        <v>2.2297222222222222</v>
      </c>
      <c r="E795" s="10">
        <f>IFERROR(SUMIFS('Base bordo'!G$2:G$746,'Base bordo'!C$2:C$746,A795,'Base bordo'!B$2:B$746,B795,'Base bordo'!F$2:F$746,"DESLOCAMENTO CARREGADO"),0)</f>
        <v>1.9061111111111111</v>
      </c>
      <c r="F795" s="10">
        <f>IFERROR(SUMIFS('Base bordo'!G$2:G$746,'Base bordo'!C$2:C$746,A795,'Base bordo'!B$2:B$746,B795,'Base bordo'!F$2:F$746,"DESLOCAMENTO"),0)</f>
        <v>0</v>
      </c>
      <c r="G795" s="10">
        <f>IFERROR(SUMIFS('Base bordo'!G$2:G$746,'Base bordo'!C$2:C$746,A795,'Base bordo'!B$2:B$746,B795,'Base bordo'!F$2:F$746,"CARREGAMENTO"),0)</f>
        <v>0</v>
      </c>
      <c r="H795" s="10">
        <f>IFERROR(SUMIFS('Base bordo'!G$2:G$746,'Base bordo'!C$2:C$746,A795,'Base bordo'!B$2:B$746,B795,'Base bordo'!F$2:F$746,"AGUARDANDO TRANSBORDO"),0)</f>
        <v>0.90749999999999997</v>
      </c>
      <c r="I795" s="10">
        <f>IFERROR(SUMIFS('Base bordo'!G$2:G$746,'Base bordo'!C$2:C$746,A795,'Base bordo'!B$2:B$746,B795,'Base bordo'!F$2:F$746,"PÁTIO INTERNO"),0)+IFERROR(SUMIFS('Base bordo'!G$2:G$746,'Base bordo'!C$2:C$746,A795,'Base bordo'!B$2:B$746,B795,'Base bordo'!F$2:F$746,"PÁTIO EXTERNO"),0)+IFERROR(SUMIFS('Base bordo'!G$2:G$746,'Base bordo'!C$2:C$746,A795,'Base bordo'!B$2:B$746,B795,'Base bordo'!F$2:F$746,"PATIO - RESERVA"),0)+IFERROR(SUMIFS('Base bordo'!G$2:G$746,'Base bordo'!C$2:C$746,A795,'Base bordo'!B$2:B$746,B795,'Base bordo'!F$2:F$746,"MANOBRA CARRETAS-PATIO"),0)</f>
        <v>3.8741666666666665</v>
      </c>
      <c r="J795" s="10">
        <f>IFERROR(SUMIFS('Base bordo'!G$2:G$746,'Base bordo'!C$2:C$746,A795,'Base bordo'!B$2:B$746,B795,'Base bordo'!F$2:F$746,"BALANÇA - ENTRADA"),0)+IFERROR(SUMIFS('Base bordo'!G$2:G$746,'Base bordo'!C$2:C$746,A795,'Base bordo'!B$2:B$746,B795,'Base bordo'!F$2:F$746,"BALANÇA - SAÍDA"),0)</f>
        <v>1.1944444444444445E-2</v>
      </c>
      <c r="K795" s="10">
        <f>IFERROR(SUMIFS('Base bordo'!G$2:G$746,'Base bordo'!C$2:C$746,A795,'Base bordo'!B$2:B$746,B795,'Base bordo'!F$2:F$746,"MAN PREVENTIVA - MECANICA"),0)+IFERROR(SUMIFS('Base bordo'!G$2:G$746,'Base bordo'!C$2:C$746,A795,'Base bordo'!B$2:B$746,B795,'Base bordo'!F$2:F$746,"MAN CORRETIVA - MECANICA"),0)</f>
        <v>0</v>
      </c>
      <c r="L795" s="10">
        <f>IFERROR(SUMIFS('Base bordo'!G$2:G$746,'Base bordo'!C$2:C$746,A795,'Base bordo'!B$2:B$746,B795,'Base bordo'!F$2:F$746,"MANUTENCAO - T O"),0)+IFERROR(SUMIFS('Base bordo'!G$2:G$746,'Base bordo'!C$2:C$746,A795,'Base bordo'!B$2:B$746,B795,'Base bordo'!F$2:F$746,"MANUTENCAO BORRACHARIA"),0)+IFERROR(SUMIFS('Base bordo'!G$2:G$746,'Base bordo'!C$2:C$746,A795,'Base bordo'!B$2:B$746,B795,'Base bordo'!F$2:F$746,"MANUTENCAO EXTERNA  CONCESSIONARIA"),0)+IFERROR(SUMIFS('Base bordo'!G$2:G$746,'Base bordo'!C$2:C$746,A795,'Base bordo'!B$2:B$746,B795,'Base bordo'!F$2:F$746,"MANUTENCAO TELEMETRIA"),0)</f>
        <v>0</v>
      </c>
      <c r="M795" s="10">
        <f>IFERROR(SUMIFS('Base bordo'!G$2:G$746,'Base bordo'!C$2:C$746,A795,'Base bordo'!B$2:B$746,B795,'Base bordo'!F$2:F$746,"AGUARDANDO MANUTENCAO"),0)</f>
        <v>0</v>
      </c>
      <c r="N795" s="10">
        <f>IFERROR(SUMIFS('Base bordo'!G$2:G$746,'Base bordo'!C$2:C$746,A795,'Base bordo'!B$2:B$746,B795,'Base bordo'!F$2:F$746,"SEM APONTAMENTO"),0)</f>
        <v>0</v>
      </c>
      <c r="O795" s="10">
        <f t="shared" si="84"/>
        <v>2.3333333333331652E-2</v>
      </c>
      <c r="P795" s="10">
        <f>IFERROR(SUMIFS('Base bordo'!G$2:G$746,'Base bordo'!C$2:C$746,A795,'Base bordo'!B$2:B$746,B795),0)</f>
        <v>8.9527777777777757</v>
      </c>
      <c r="Q795" s="10">
        <f>IFERROR(SUMIFS('Base bordo'!H$2:H$746,'Base bordo'!C$2:C$746,A795,'Base bordo'!B$2:B$746,B795,'Base bordo'!F$2:F$746,"DESLOCAMENTO VAZIO"),0)</f>
        <v>290634.14</v>
      </c>
      <c r="R795" s="10">
        <f>IFERROR(SUMIFS('Base bordo'!I$2:I$746,'Base bordo'!C$2:C$746,A795,'Base bordo'!B$2:B$746,B795,'Base bordo'!F$2:F$746,"DESLOCAMENTO VAZIO"),0)</f>
        <v>8027</v>
      </c>
      <c r="S795" s="30">
        <f t="shared" si="85"/>
        <v>36.207068643328768</v>
      </c>
      <c r="T795" s="10">
        <f>IFERROR(SUMIFS('Base bordo'!H$2:H$746,'Base bordo'!C$2:C$746,A795,'Base bordo'!B$2:B$746,B795,'Base bordo'!F$2:F$746,"DESLOCAMENTO CARREGADO"),0)</f>
        <v>165552.33000000002</v>
      </c>
      <c r="U795" s="10">
        <f>IFERROR(SUMIFS('Base bordo'!I$2:I$746,'Base bordo'!C$2:C$746,A795,'Base bordo'!B$2:B$746,B795,'Base bordo'!F$2:F$746,"DESLOCAMENTO CARREGADO"),0)</f>
        <v>6862</v>
      </c>
      <c r="V795" s="30">
        <f t="shared" si="86"/>
        <v>24.125958904109591</v>
      </c>
      <c r="W795" s="9">
        <f t="shared" si="87"/>
        <v>0.24905367669872794</v>
      </c>
      <c r="X795" s="9">
        <f t="shared" si="88"/>
        <v>0.21290722928948189</v>
      </c>
      <c r="Y795" s="9">
        <f t="shared" si="89"/>
        <v>0.53803909401179018</v>
      </c>
    </row>
    <row r="796" spans="1:25" ht="15" customHeight="1" x14ac:dyDescent="0.35">
      <c r="A796" s="52">
        <v>8013478</v>
      </c>
      <c r="B796" s="51">
        <v>46118</v>
      </c>
      <c r="C796" s="7" t="s">
        <v>124</v>
      </c>
      <c r="D796" s="10">
        <f>IFERROR(SUMIFS('Base bordo'!G$2:G$746,'Base bordo'!C$2:C$746,A796,'Base bordo'!B$2:B$746,B796,'Base bordo'!F$2:F$746,"DESLOCAMENTO VAZIO"),0)</f>
        <v>2.2297222222222222</v>
      </c>
      <c r="E796" s="10">
        <f>IFERROR(SUMIFS('Base bordo'!G$2:G$746,'Base bordo'!C$2:C$746,A796,'Base bordo'!B$2:B$746,B796,'Base bordo'!F$2:F$746,"DESLOCAMENTO CARREGADO"),0)</f>
        <v>1.9061111111111111</v>
      </c>
      <c r="F796" s="10">
        <f>IFERROR(SUMIFS('Base bordo'!G$2:G$746,'Base bordo'!C$2:C$746,A796,'Base bordo'!B$2:B$746,B796,'Base bordo'!F$2:F$746,"DESLOCAMENTO"),0)</f>
        <v>0</v>
      </c>
      <c r="G796" s="10">
        <f>IFERROR(SUMIFS('Base bordo'!G$2:G$746,'Base bordo'!C$2:C$746,A796,'Base bordo'!B$2:B$746,B796,'Base bordo'!F$2:F$746,"CARREGAMENTO"),0)</f>
        <v>0</v>
      </c>
      <c r="H796" s="10">
        <f>IFERROR(SUMIFS('Base bordo'!G$2:G$746,'Base bordo'!C$2:C$746,A796,'Base bordo'!B$2:B$746,B796,'Base bordo'!F$2:F$746,"AGUARDANDO TRANSBORDO"),0)</f>
        <v>0.90749999999999997</v>
      </c>
      <c r="I796" s="10">
        <f>IFERROR(SUMIFS('Base bordo'!G$2:G$746,'Base bordo'!C$2:C$746,A796,'Base bordo'!B$2:B$746,B796,'Base bordo'!F$2:F$746,"PÁTIO INTERNO"),0)+IFERROR(SUMIFS('Base bordo'!G$2:G$746,'Base bordo'!C$2:C$746,A796,'Base bordo'!B$2:B$746,B796,'Base bordo'!F$2:F$746,"PÁTIO EXTERNO"),0)+IFERROR(SUMIFS('Base bordo'!G$2:G$746,'Base bordo'!C$2:C$746,A796,'Base bordo'!B$2:B$746,B796,'Base bordo'!F$2:F$746,"PATIO - RESERVA"),0)+IFERROR(SUMIFS('Base bordo'!G$2:G$746,'Base bordo'!C$2:C$746,A796,'Base bordo'!B$2:B$746,B796,'Base bordo'!F$2:F$746,"MANOBRA CARRETAS-PATIO"),0)</f>
        <v>3.8741666666666665</v>
      </c>
      <c r="J796" s="10">
        <f>IFERROR(SUMIFS('Base bordo'!G$2:G$746,'Base bordo'!C$2:C$746,A796,'Base bordo'!B$2:B$746,B796,'Base bordo'!F$2:F$746,"BALANÇA - ENTRADA"),0)+IFERROR(SUMIFS('Base bordo'!G$2:G$746,'Base bordo'!C$2:C$746,A796,'Base bordo'!B$2:B$746,B796,'Base bordo'!F$2:F$746,"BALANÇA - SAÍDA"),0)</f>
        <v>1.1944444444444445E-2</v>
      </c>
      <c r="K796" s="10">
        <f>IFERROR(SUMIFS('Base bordo'!G$2:G$746,'Base bordo'!C$2:C$746,A796,'Base bordo'!B$2:B$746,B796,'Base bordo'!F$2:F$746,"MAN PREVENTIVA - MECANICA"),0)+IFERROR(SUMIFS('Base bordo'!G$2:G$746,'Base bordo'!C$2:C$746,A796,'Base bordo'!B$2:B$746,B796,'Base bordo'!F$2:F$746,"MAN CORRETIVA - MECANICA"),0)</f>
        <v>0</v>
      </c>
      <c r="L796" s="10">
        <f>IFERROR(SUMIFS('Base bordo'!G$2:G$746,'Base bordo'!C$2:C$746,A796,'Base bordo'!B$2:B$746,B796,'Base bordo'!F$2:F$746,"MANUTENCAO - T O"),0)+IFERROR(SUMIFS('Base bordo'!G$2:G$746,'Base bordo'!C$2:C$746,A796,'Base bordo'!B$2:B$746,B796,'Base bordo'!F$2:F$746,"MANUTENCAO BORRACHARIA"),0)+IFERROR(SUMIFS('Base bordo'!G$2:G$746,'Base bordo'!C$2:C$746,A796,'Base bordo'!B$2:B$746,B796,'Base bordo'!F$2:F$746,"MANUTENCAO EXTERNA  CONCESSIONARIA"),0)+IFERROR(SUMIFS('Base bordo'!G$2:G$746,'Base bordo'!C$2:C$746,A796,'Base bordo'!B$2:B$746,B796,'Base bordo'!F$2:F$746,"MANUTENCAO TELEMETRIA"),0)</f>
        <v>0</v>
      </c>
      <c r="M796" s="10">
        <f>IFERROR(SUMIFS('Base bordo'!G$2:G$746,'Base bordo'!C$2:C$746,A796,'Base bordo'!B$2:B$746,B796,'Base bordo'!F$2:F$746,"AGUARDANDO MANUTENCAO"),0)</f>
        <v>0</v>
      </c>
      <c r="N796" s="10">
        <f>IFERROR(SUMIFS('Base bordo'!G$2:G$746,'Base bordo'!C$2:C$746,A796,'Base bordo'!B$2:B$746,B796,'Base bordo'!F$2:F$746,"SEM APONTAMENTO"),0)</f>
        <v>0</v>
      </c>
      <c r="O796" s="10">
        <f t="shared" si="84"/>
        <v>2.3333333333331652E-2</v>
      </c>
      <c r="P796" s="10">
        <f>IFERROR(SUMIFS('Base bordo'!G$2:G$746,'Base bordo'!C$2:C$746,A796,'Base bordo'!B$2:B$746,B796),0)</f>
        <v>8.9527777777777757</v>
      </c>
      <c r="Q796" s="10">
        <f>IFERROR(SUMIFS('Base bordo'!H$2:H$746,'Base bordo'!C$2:C$746,A796,'Base bordo'!B$2:B$746,B796,'Base bordo'!F$2:F$746,"DESLOCAMENTO VAZIO"),0)</f>
        <v>290634.14</v>
      </c>
      <c r="R796" s="10">
        <f>IFERROR(SUMIFS('Base bordo'!I$2:I$746,'Base bordo'!C$2:C$746,A796,'Base bordo'!B$2:B$746,B796,'Base bordo'!F$2:F$746,"DESLOCAMENTO VAZIO"),0)</f>
        <v>8027</v>
      </c>
      <c r="S796" s="30">
        <f t="shared" si="85"/>
        <v>36.207068643328768</v>
      </c>
      <c r="T796" s="10">
        <f>IFERROR(SUMIFS('Base bordo'!H$2:H$746,'Base bordo'!C$2:C$746,A796,'Base bordo'!B$2:B$746,B796,'Base bordo'!F$2:F$746,"DESLOCAMENTO CARREGADO"),0)</f>
        <v>165552.33000000002</v>
      </c>
      <c r="U796" s="10">
        <f>IFERROR(SUMIFS('Base bordo'!I$2:I$746,'Base bordo'!C$2:C$746,A796,'Base bordo'!B$2:B$746,B796,'Base bordo'!F$2:F$746,"DESLOCAMENTO CARREGADO"),0)</f>
        <v>6862</v>
      </c>
      <c r="V796" s="30">
        <f t="shared" si="86"/>
        <v>24.125958904109591</v>
      </c>
      <c r="W796" s="9">
        <f t="shared" si="87"/>
        <v>0.24905367669872794</v>
      </c>
      <c r="X796" s="9">
        <f t="shared" si="88"/>
        <v>0.21290722928948189</v>
      </c>
      <c r="Y796" s="9">
        <f t="shared" si="89"/>
        <v>0.53803909401179018</v>
      </c>
    </row>
    <row r="797" spans="1:25" ht="15" customHeight="1" x14ac:dyDescent="0.35">
      <c r="A797" s="52">
        <v>8013478</v>
      </c>
      <c r="B797" s="51">
        <v>46118</v>
      </c>
      <c r="C797" s="7" t="s">
        <v>124</v>
      </c>
      <c r="D797" s="10">
        <f>IFERROR(SUMIFS('Base bordo'!G$2:G$746,'Base bordo'!C$2:C$746,A797,'Base bordo'!B$2:B$746,B797,'Base bordo'!F$2:F$746,"DESLOCAMENTO VAZIO"),0)</f>
        <v>2.2297222222222222</v>
      </c>
      <c r="E797" s="10">
        <f>IFERROR(SUMIFS('Base bordo'!G$2:G$746,'Base bordo'!C$2:C$746,A797,'Base bordo'!B$2:B$746,B797,'Base bordo'!F$2:F$746,"DESLOCAMENTO CARREGADO"),0)</f>
        <v>1.9061111111111111</v>
      </c>
      <c r="F797" s="10">
        <f>IFERROR(SUMIFS('Base bordo'!G$2:G$746,'Base bordo'!C$2:C$746,A797,'Base bordo'!B$2:B$746,B797,'Base bordo'!F$2:F$746,"DESLOCAMENTO"),0)</f>
        <v>0</v>
      </c>
      <c r="G797" s="10">
        <f>IFERROR(SUMIFS('Base bordo'!G$2:G$746,'Base bordo'!C$2:C$746,A797,'Base bordo'!B$2:B$746,B797,'Base bordo'!F$2:F$746,"CARREGAMENTO"),0)</f>
        <v>0</v>
      </c>
      <c r="H797" s="10">
        <f>IFERROR(SUMIFS('Base bordo'!G$2:G$746,'Base bordo'!C$2:C$746,A797,'Base bordo'!B$2:B$746,B797,'Base bordo'!F$2:F$746,"AGUARDANDO TRANSBORDO"),0)</f>
        <v>0.90749999999999997</v>
      </c>
      <c r="I797" s="10">
        <f>IFERROR(SUMIFS('Base bordo'!G$2:G$746,'Base bordo'!C$2:C$746,A797,'Base bordo'!B$2:B$746,B797,'Base bordo'!F$2:F$746,"PÁTIO INTERNO"),0)+IFERROR(SUMIFS('Base bordo'!G$2:G$746,'Base bordo'!C$2:C$746,A797,'Base bordo'!B$2:B$746,B797,'Base bordo'!F$2:F$746,"PÁTIO EXTERNO"),0)+IFERROR(SUMIFS('Base bordo'!G$2:G$746,'Base bordo'!C$2:C$746,A797,'Base bordo'!B$2:B$746,B797,'Base bordo'!F$2:F$746,"PATIO - RESERVA"),0)+IFERROR(SUMIFS('Base bordo'!G$2:G$746,'Base bordo'!C$2:C$746,A797,'Base bordo'!B$2:B$746,B797,'Base bordo'!F$2:F$746,"MANOBRA CARRETAS-PATIO"),0)</f>
        <v>3.8741666666666665</v>
      </c>
      <c r="J797" s="10">
        <f>IFERROR(SUMIFS('Base bordo'!G$2:G$746,'Base bordo'!C$2:C$746,A797,'Base bordo'!B$2:B$746,B797,'Base bordo'!F$2:F$746,"BALANÇA - ENTRADA"),0)+IFERROR(SUMIFS('Base bordo'!G$2:G$746,'Base bordo'!C$2:C$746,A797,'Base bordo'!B$2:B$746,B797,'Base bordo'!F$2:F$746,"BALANÇA - SAÍDA"),0)</f>
        <v>1.1944444444444445E-2</v>
      </c>
      <c r="K797" s="10">
        <f>IFERROR(SUMIFS('Base bordo'!G$2:G$746,'Base bordo'!C$2:C$746,A797,'Base bordo'!B$2:B$746,B797,'Base bordo'!F$2:F$746,"MAN PREVENTIVA - MECANICA"),0)+IFERROR(SUMIFS('Base bordo'!G$2:G$746,'Base bordo'!C$2:C$746,A797,'Base bordo'!B$2:B$746,B797,'Base bordo'!F$2:F$746,"MAN CORRETIVA - MECANICA"),0)</f>
        <v>0</v>
      </c>
      <c r="L797" s="10">
        <f>IFERROR(SUMIFS('Base bordo'!G$2:G$746,'Base bordo'!C$2:C$746,A797,'Base bordo'!B$2:B$746,B797,'Base bordo'!F$2:F$746,"MANUTENCAO - T O"),0)+IFERROR(SUMIFS('Base bordo'!G$2:G$746,'Base bordo'!C$2:C$746,A797,'Base bordo'!B$2:B$746,B797,'Base bordo'!F$2:F$746,"MANUTENCAO BORRACHARIA"),0)+IFERROR(SUMIFS('Base bordo'!G$2:G$746,'Base bordo'!C$2:C$746,A797,'Base bordo'!B$2:B$746,B797,'Base bordo'!F$2:F$746,"MANUTENCAO EXTERNA  CONCESSIONARIA"),0)+IFERROR(SUMIFS('Base bordo'!G$2:G$746,'Base bordo'!C$2:C$746,A797,'Base bordo'!B$2:B$746,B797,'Base bordo'!F$2:F$746,"MANUTENCAO TELEMETRIA"),0)</f>
        <v>0</v>
      </c>
      <c r="M797" s="10">
        <f>IFERROR(SUMIFS('Base bordo'!G$2:G$746,'Base bordo'!C$2:C$746,A797,'Base bordo'!B$2:B$746,B797,'Base bordo'!F$2:F$746,"AGUARDANDO MANUTENCAO"),0)</f>
        <v>0</v>
      </c>
      <c r="N797" s="10">
        <f>IFERROR(SUMIFS('Base bordo'!G$2:G$746,'Base bordo'!C$2:C$746,A797,'Base bordo'!B$2:B$746,B797,'Base bordo'!F$2:F$746,"SEM APONTAMENTO"),0)</f>
        <v>0</v>
      </c>
      <c r="O797" s="10">
        <f t="shared" si="84"/>
        <v>2.3333333333331652E-2</v>
      </c>
      <c r="P797" s="10">
        <f>IFERROR(SUMIFS('Base bordo'!G$2:G$746,'Base bordo'!C$2:C$746,A797,'Base bordo'!B$2:B$746,B797),0)</f>
        <v>8.9527777777777757</v>
      </c>
      <c r="Q797" s="10">
        <f>IFERROR(SUMIFS('Base bordo'!H$2:H$746,'Base bordo'!C$2:C$746,A797,'Base bordo'!B$2:B$746,B797,'Base bordo'!F$2:F$746,"DESLOCAMENTO VAZIO"),0)</f>
        <v>290634.14</v>
      </c>
      <c r="R797" s="10">
        <f>IFERROR(SUMIFS('Base bordo'!I$2:I$746,'Base bordo'!C$2:C$746,A797,'Base bordo'!B$2:B$746,B797,'Base bordo'!F$2:F$746,"DESLOCAMENTO VAZIO"),0)</f>
        <v>8027</v>
      </c>
      <c r="S797" s="30">
        <f t="shared" si="85"/>
        <v>36.207068643328768</v>
      </c>
      <c r="T797" s="10">
        <f>IFERROR(SUMIFS('Base bordo'!H$2:H$746,'Base bordo'!C$2:C$746,A797,'Base bordo'!B$2:B$746,B797,'Base bordo'!F$2:F$746,"DESLOCAMENTO CARREGADO"),0)</f>
        <v>165552.33000000002</v>
      </c>
      <c r="U797" s="10">
        <f>IFERROR(SUMIFS('Base bordo'!I$2:I$746,'Base bordo'!C$2:C$746,A797,'Base bordo'!B$2:B$746,B797,'Base bordo'!F$2:F$746,"DESLOCAMENTO CARREGADO"),0)</f>
        <v>6862</v>
      </c>
      <c r="V797" s="30">
        <f t="shared" si="86"/>
        <v>24.125958904109591</v>
      </c>
      <c r="W797" s="9">
        <f t="shared" si="87"/>
        <v>0.24905367669872794</v>
      </c>
      <c r="X797" s="9">
        <f t="shared" si="88"/>
        <v>0.21290722928948189</v>
      </c>
      <c r="Y797" s="9">
        <f t="shared" si="89"/>
        <v>0.53803909401179018</v>
      </c>
    </row>
    <row r="798" spans="1:25" ht="15" customHeight="1" x14ac:dyDescent="0.35">
      <c r="A798" s="52">
        <v>8013478</v>
      </c>
      <c r="B798" s="51">
        <v>46118</v>
      </c>
      <c r="C798" s="7" t="s">
        <v>124</v>
      </c>
      <c r="D798" s="10">
        <f>IFERROR(SUMIFS('Base bordo'!G$2:G$746,'Base bordo'!C$2:C$746,A798,'Base bordo'!B$2:B$746,B798,'Base bordo'!F$2:F$746,"DESLOCAMENTO VAZIO"),0)</f>
        <v>2.2297222222222222</v>
      </c>
      <c r="E798" s="10">
        <f>IFERROR(SUMIFS('Base bordo'!G$2:G$746,'Base bordo'!C$2:C$746,A798,'Base bordo'!B$2:B$746,B798,'Base bordo'!F$2:F$746,"DESLOCAMENTO CARREGADO"),0)</f>
        <v>1.9061111111111111</v>
      </c>
      <c r="F798" s="10">
        <f>IFERROR(SUMIFS('Base bordo'!G$2:G$746,'Base bordo'!C$2:C$746,A798,'Base bordo'!B$2:B$746,B798,'Base bordo'!F$2:F$746,"DESLOCAMENTO"),0)</f>
        <v>0</v>
      </c>
      <c r="G798" s="10">
        <f>IFERROR(SUMIFS('Base bordo'!G$2:G$746,'Base bordo'!C$2:C$746,A798,'Base bordo'!B$2:B$746,B798,'Base bordo'!F$2:F$746,"CARREGAMENTO"),0)</f>
        <v>0</v>
      </c>
      <c r="H798" s="10">
        <f>IFERROR(SUMIFS('Base bordo'!G$2:G$746,'Base bordo'!C$2:C$746,A798,'Base bordo'!B$2:B$746,B798,'Base bordo'!F$2:F$746,"AGUARDANDO TRANSBORDO"),0)</f>
        <v>0.90749999999999997</v>
      </c>
      <c r="I798" s="10">
        <f>IFERROR(SUMIFS('Base bordo'!G$2:G$746,'Base bordo'!C$2:C$746,A798,'Base bordo'!B$2:B$746,B798,'Base bordo'!F$2:F$746,"PÁTIO INTERNO"),0)+IFERROR(SUMIFS('Base bordo'!G$2:G$746,'Base bordo'!C$2:C$746,A798,'Base bordo'!B$2:B$746,B798,'Base bordo'!F$2:F$746,"PÁTIO EXTERNO"),0)+IFERROR(SUMIFS('Base bordo'!G$2:G$746,'Base bordo'!C$2:C$746,A798,'Base bordo'!B$2:B$746,B798,'Base bordo'!F$2:F$746,"PATIO - RESERVA"),0)+IFERROR(SUMIFS('Base bordo'!G$2:G$746,'Base bordo'!C$2:C$746,A798,'Base bordo'!B$2:B$746,B798,'Base bordo'!F$2:F$746,"MANOBRA CARRETAS-PATIO"),0)</f>
        <v>3.8741666666666665</v>
      </c>
      <c r="J798" s="10">
        <f>IFERROR(SUMIFS('Base bordo'!G$2:G$746,'Base bordo'!C$2:C$746,A798,'Base bordo'!B$2:B$746,B798,'Base bordo'!F$2:F$746,"BALANÇA - ENTRADA"),0)+IFERROR(SUMIFS('Base bordo'!G$2:G$746,'Base bordo'!C$2:C$746,A798,'Base bordo'!B$2:B$746,B798,'Base bordo'!F$2:F$746,"BALANÇA - SAÍDA"),0)</f>
        <v>1.1944444444444445E-2</v>
      </c>
      <c r="K798" s="10">
        <f>IFERROR(SUMIFS('Base bordo'!G$2:G$746,'Base bordo'!C$2:C$746,A798,'Base bordo'!B$2:B$746,B798,'Base bordo'!F$2:F$746,"MAN PREVENTIVA - MECANICA"),0)+IFERROR(SUMIFS('Base bordo'!G$2:G$746,'Base bordo'!C$2:C$746,A798,'Base bordo'!B$2:B$746,B798,'Base bordo'!F$2:F$746,"MAN CORRETIVA - MECANICA"),0)</f>
        <v>0</v>
      </c>
      <c r="L798" s="10">
        <f>IFERROR(SUMIFS('Base bordo'!G$2:G$746,'Base bordo'!C$2:C$746,A798,'Base bordo'!B$2:B$746,B798,'Base bordo'!F$2:F$746,"MANUTENCAO - T O"),0)+IFERROR(SUMIFS('Base bordo'!G$2:G$746,'Base bordo'!C$2:C$746,A798,'Base bordo'!B$2:B$746,B798,'Base bordo'!F$2:F$746,"MANUTENCAO BORRACHARIA"),0)+IFERROR(SUMIFS('Base bordo'!G$2:G$746,'Base bordo'!C$2:C$746,A798,'Base bordo'!B$2:B$746,B798,'Base bordo'!F$2:F$746,"MANUTENCAO EXTERNA  CONCESSIONARIA"),0)+IFERROR(SUMIFS('Base bordo'!G$2:G$746,'Base bordo'!C$2:C$746,A798,'Base bordo'!B$2:B$746,B798,'Base bordo'!F$2:F$746,"MANUTENCAO TELEMETRIA"),0)</f>
        <v>0</v>
      </c>
      <c r="M798" s="10">
        <f>IFERROR(SUMIFS('Base bordo'!G$2:G$746,'Base bordo'!C$2:C$746,A798,'Base bordo'!B$2:B$746,B798,'Base bordo'!F$2:F$746,"AGUARDANDO MANUTENCAO"),0)</f>
        <v>0</v>
      </c>
      <c r="N798" s="10">
        <f>IFERROR(SUMIFS('Base bordo'!G$2:G$746,'Base bordo'!C$2:C$746,A798,'Base bordo'!B$2:B$746,B798,'Base bordo'!F$2:F$746,"SEM APONTAMENTO"),0)</f>
        <v>0</v>
      </c>
      <c r="O798" s="10">
        <f t="shared" si="84"/>
        <v>2.3333333333331652E-2</v>
      </c>
      <c r="P798" s="10">
        <f>IFERROR(SUMIFS('Base bordo'!G$2:G$746,'Base bordo'!C$2:C$746,A798,'Base bordo'!B$2:B$746,B798),0)</f>
        <v>8.9527777777777757</v>
      </c>
      <c r="Q798" s="10">
        <f>IFERROR(SUMIFS('Base bordo'!H$2:H$746,'Base bordo'!C$2:C$746,A798,'Base bordo'!B$2:B$746,B798,'Base bordo'!F$2:F$746,"DESLOCAMENTO VAZIO"),0)</f>
        <v>290634.14</v>
      </c>
      <c r="R798" s="10">
        <f>IFERROR(SUMIFS('Base bordo'!I$2:I$746,'Base bordo'!C$2:C$746,A798,'Base bordo'!B$2:B$746,B798,'Base bordo'!F$2:F$746,"DESLOCAMENTO VAZIO"),0)</f>
        <v>8027</v>
      </c>
      <c r="S798" s="30">
        <f t="shared" si="85"/>
        <v>36.207068643328768</v>
      </c>
      <c r="T798" s="10">
        <f>IFERROR(SUMIFS('Base bordo'!H$2:H$746,'Base bordo'!C$2:C$746,A798,'Base bordo'!B$2:B$746,B798,'Base bordo'!F$2:F$746,"DESLOCAMENTO CARREGADO"),0)</f>
        <v>165552.33000000002</v>
      </c>
      <c r="U798" s="10">
        <f>IFERROR(SUMIFS('Base bordo'!I$2:I$746,'Base bordo'!C$2:C$746,A798,'Base bordo'!B$2:B$746,B798,'Base bordo'!F$2:F$746,"DESLOCAMENTO CARREGADO"),0)</f>
        <v>6862</v>
      </c>
      <c r="V798" s="30">
        <f t="shared" si="86"/>
        <v>24.125958904109591</v>
      </c>
      <c r="W798" s="9">
        <f t="shared" si="87"/>
        <v>0.24905367669872794</v>
      </c>
      <c r="X798" s="9">
        <f t="shared" si="88"/>
        <v>0.21290722928948189</v>
      </c>
      <c r="Y798" s="9">
        <f t="shared" si="89"/>
        <v>0.53803909401179018</v>
      </c>
    </row>
    <row r="799" spans="1:25" ht="15" customHeight="1" x14ac:dyDescent="0.35">
      <c r="A799" s="52">
        <v>8013478</v>
      </c>
      <c r="B799" s="51">
        <v>46118</v>
      </c>
      <c r="C799" s="7" t="s">
        <v>124</v>
      </c>
      <c r="D799" s="10">
        <f>IFERROR(SUMIFS('Base bordo'!G$2:G$746,'Base bordo'!C$2:C$746,A799,'Base bordo'!B$2:B$746,B799,'Base bordo'!F$2:F$746,"DESLOCAMENTO VAZIO"),0)</f>
        <v>2.2297222222222222</v>
      </c>
      <c r="E799" s="10">
        <f>IFERROR(SUMIFS('Base bordo'!G$2:G$746,'Base bordo'!C$2:C$746,A799,'Base bordo'!B$2:B$746,B799,'Base bordo'!F$2:F$746,"DESLOCAMENTO CARREGADO"),0)</f>
        <v>1.9061111111111111</v>
      </c>
      <c r="F799" s="10">
        <f>IFERROR(SUMIFS('Base bordo'!G$2:G$746,'Base bordo'!C$2:C$746,A799,'Base bordo'!B$2:B$746,B799,'Base bordo'!F$2:F$746,"DESLOCAMENTO"),0)</f>
        <v>0</v>
      </c>
      <c r="G799" s="10">
        <f>IFERROR(SUMIFS('Base bordo'!G$2:G$746,'Base bordo'!C$2:C$746,A799,'Base bordo'!B$2:B$746,B799,'Base bordo'!F$2:F$746,"CARREGAMENTO"),0)</f>
        <v>0</v>
      </c>
      <c r="H799" s="10">
        <f>IFERROR(SUMIFS('Base bordo'!G$2:G$746,'Base bordo'!C$2:C$746,A799,'Base bordo'!B$2:B$746,B799,'Base bordo'!F$2:F$746,"AGUARDANDO TRANSBORDO"),0)</f>
        <v>0.90749999999999997</v>
      </c>
      <c r="I799" s="10">
        <f>IFERROR(SUMIFS('Base bordo'!G$2:G$746,'Base bordo'!C$2:C$746,A799,'Base bordo'!B$2:B$746,B799,'Base bordo'!F$2:F$746,"PÁTIO INTERNO"),0)+IFERROR(SUMIFS('Base bordo'!G$2:G$746,'Base bordo'!C$2:C$746,A799,'Base bordo'!B$2:B$746,B799,'Base bordo'!F$2:F$746,"PÁTIO EXTERNO"),0)+IFERROR(SUMIFS('Base bordo'!G$2:G$746,'Base bordo'!C$2:C$746,A799,'Base bordo'!B$2:B$746,B799,'Base bordo'!F$2:F$746,"PATIO - RESERVA"),0)+IFERROR(SUMIFS('Base bordo'!G$2:G$746,'Base bordo'!C$2:C$746,A799,'Base bordo'!B$2:B$746,B799,'Base bordo'!F$2:F$746,"MANOBRA CARRETAS-PATIO"),0)</f>
        <v>3.8741666666666665</v>
      </c>
      <c r="J799" s="10">
        <f>IFERROR(SUMIFS('Base bordo'!G$2:G$746,'Base bordo'!C$2:C$746,A799,'Base bordo'!B$2:B$746,B799,'Base bordo'!F$2:F$746,"BALANÇA - ENTRADA"),0)+IFERROR(SUMIFS('Base bordo'!G$2:G$746,'Base bordo'!C$2:C$746,A799,'Base bordo'!B$2:B$746,B799,'Base bordo'!F$2:F$746,"BALANÇA - SAÍDA"),0)</f>
        <v>1.1944444444444445E-2</v>
      </c>
      <c r="K799" s="10">
        <f>IFERROR(SUMIFS('Base bordo'!G$2:G$746,'Base bordo'!C$2:C$746,A799,'Base bordo'!B$2:B$746,B799,'Base bordo'!F$2:F$746,"MAN PREVENTIVA - MECANICA"),0)+IFERROR(SUMIFS('Base bordo'!G$2:G$746,'Base bordo'!C$2:C$746,A799,'Base bordo'!B$2:B$746,B799,'Base bordo'!F$2:F$746,"MAN CORRETIVA - MECANICA"),0)</f>
        <v>0</v>
      </c>
      <c r="L799" s="10">
        <f>IFERROR(SUMIFS('Base bordo'!G$2:G$746,'Base bordo'!C$2:C$746,A799,'Base bordo'!B$2:B$746,B799,'Base bordo'!F$2:F$746,"MANUTENCAO - T O"),0)+IFERROR(SUMIFS('Base bordo'!G$2:G$746,'Base bordo'!C$2:C$746,A799,'Base bordo'!B$2:B$746,B799,'Base bordo'!F$2:F$746,"MANUTENCAO BORRACHARIA"),0)+IFERROR(SUMIFS('Base bordo'!G$2:G$746,'Base bordo'!C$2:C$746,A799,'Base bordo'!B$2:B$746,B799,'Base bordo'!F$2:F$746,"MANUTENCAO EXTERNA  CONCESSIONARIA"),0)+IFERROR(SUMIFS('Base bordo'!G$2:G$746,'Base bordo'!C$2:C$746,A799,'Base bordo'!B$2:B$746,B799,'Base bordo'!F$2:F$746,"MANUTENCAO TELEMETRIA"),0)</f>
        <v>0</v>
      </c>
      <c r="M799" s="10">
        <f>IFERROR(SUMIFS('Base bordo'!G$2:G$746,'Base bordo'!C$2:C$746,A799,'Base bordo'!B$2:B$746,B799,'Base bordo'!F$2:F$746,"AGUARDANDO MANUTENCAO"),0)</f>
        <v>0</v>
      </c>
      <c r="N799" s="10">
        <f>IFERROR(SUMIFS('Base bordo'!G$2:G$746,'Base bordo'!C$2:C$746,A799,'Base bordo'!B$2:B$746,B799,'Base bordo'!F$2:F$746,"SEM APONTAMENTO"),0)</f>
        <v>0</v>
      </c>
      <c r="O799" s="10">
        <f t="shared" si="84"/>
        <v>2.3333333333331652E-2</v>
      </c>
      <c r="P799" s="10">
        <f>IFERROR(SUMIFS('Base bordo'!G$2:G$746,'Base bordo'!C$2:C$746,A799,'Base bordo'!B$2:B$746,B799),0)</f>
        <v>8.9527777777777757</v>
      </c>
      <c r="Q799" s="10">
        <f>IFERROR(SUMIFS('Base bordo'!H$2:H$746,'Base bordo'!C$2:C$746,A799,'Base bordo'!B$2:B$746,B799,'Base bordo'!F$2:F$746,"DESLOCAMENTO VAZIO"),0)</f>
        <v>290634.14</v>
      </c>
      <c r="R799" s="10">
        <f>IFERROR(SUMIFS('Base bordo'!I$2:I$746,'Base bordo'!C$2:C$746,A799,'Base bordo'!B$2:B$746,B799,'Base bordo'!F$2:F$746,"DESLOCAMENTO VAZIO"),0)</f>
        <v>8027</v>
      </c>
      <c r="S799" s="30">
        <f t="shared" si="85"/>
        <v>36.207068643328768</v>
      </c>
      <c r="T799" s="10">
        <f>IFERROR(SUMIFS('Base bordo'!H$2:H$746,'Base bordo'!C$2:C$746,A799,'Base bordo'!B$2:B$746,B799,'Base bordo'!F$2:F$746,"DESLOCAMENTO CARREGADO"),0)</f>
        <v>165552.33000000002</v>
      </c>
      <c r="U799" s="10">
        <f>IFERROR(SUMIFS('Base bordo'!I$2:I$746,'Base bordo'!C$2:C$746,A799,'Base bordo'!B$2:B$746,B799,'Base bordo'!F$2:F$746,"DESLOCAMENTO CARREGADO"),0)</f>
        <v>6862</v>
      </c>
      <c r="V799" s="30">
        <f t="shared" si="86"/>
        <v>24.125958904109591</v>
      </c>
      <c r="W799" s="9">
        <f t="shared" si="87"/>
        <v>0.24905367669872794</v>
      </c>
      <c r="X799" s="9">
        <f t="shared" si="88"/>
        <v>0.21290722928948189</v>
      </c>
      <c r="Y799" s="9">
        <f t="shared" si="89"/>
        <v>0.53803909401179018</v>
      </c>
    </row>
    <row r="800" spans="1:25" ht="15" customHeight="1" x14ac:dyDescent="0.35">
      <c r="A800" s="52">
        <v>8013478</v>
      </c>
      <c r="B800" s="51">
        <v>46118</v>
      </c>
      <c r="C800" s="7" t="s">
        <v>124</v>
      </c>
      <c r="D800" s="10">
        <f>IFERROR(SUMIFS('Base bordo'!G$2:G$746,'Base bordo'!C$2:C$746,A800,'Base bordo'!B$2:B$746,B800,'Base bordo'!F$2:F$746,"DESLOCAMENTO VAZIO"),0)</f>
        <v>2.2297222222222222</v>
      </c>
      <c r="E800" s="10">
        <f>IFERROR(SUMIFS('Base bordo'!G$2:G$746,'Base bordo'!C$2:C$746,A800,'Base bordo'!B$2:B$746,B800,'Base bordo'!F$2:F$746,"DESLOCAMENTO CARREGADO"),0)</f>
        <v>1.9061111111111111</v>
      </c>
      <c r="F800" s="10">
        <f>IFERROR(SUMIFS('Base bordo'!G$2:G$746,'Base bordo'!C$2:C$746,A800,'Base bordo'!B$2:B$746,B800,'Base bordo'!F$2:F$746,"DESLOCAMENTO"),0)</f>
        <v>0</v>
      </c>
      <c r="G800" s="10">
        <f>IFERROR(SUMIFS('Base bordo'!G$2:G$746,'Base bordo'!C$2:C$746,A800,'Base bordo'!B$2:B$746,B800,'Base bordo'!F$2:F$746,"CARREGAMENTO"),0)</f>
        <v>0</v>
      </c>
      <c r="H800" s="10">
        <f>IFERROR(SUMIFS('Base bordo'!G$2:G$746,'Base bordo'!C$2:C$746,A800,'Base bordo'!B$2:B$746,B800,'Base bordo'!F$2:F$746,"AGUARDANDO TRANSBORDO"),0)</f>
        <v>0.90749999999999997</v>
      </c>
      <c r="I800" s="10">
        <f>IFERROR(SUMIFS('Base bordo'!G$2:G$746,'Base bordo'!C$2:C$746,A800,'Base bordo'!B$2:B$746,B800,'Base bordo'!F$2:F$746,"PÁTIO INTERNO"),0)+IFERROR(SUMIFS('Base bordo'!G$2:G$746,'Base bordo'!C$2:C$746,A800,'Base bordo'!B$2:B$746,B800,'Base bordo'!F$2:F$746,"PÁTIO EXTERNO"),0)+IFERROR(SUMIFS('Base bordo'!G$2:G$746,'Base bordo'!C$2:C$746,A800,'Base bordo'!B$2:B$746,B800,'Base bordo'!F$2:F$746,"PATIO - RESERVA"),0)+IFERROR(SUMIFS('Base bordo'!G$2:G$746,'Base bordo'!C$2:C$746,A800,'Base bordo'!B$2:B$746,B800,'Base bordo'!F$2:F$746,"MANOBRA CARRETAS-PATIO"),0)</f>
        <v>3.8741666666666665</v>
      </c>
      <c r="J800" s="10">
        <f>IFERROR(SUMIFS('Base bordo'!G$2:G$746,'Base bordo'!C$2:C$746,A800,'Base bordo'!B$2:B$746,B800,'Base bordo'!F$2:F$746,"BALANÇA - ENTRADA"),0)+IFERROR(SUMIFS('Base bordo'!G$2:G$746,'Base bordo'!C$2:C$746,A800,'Base bordo'!B$2:B$746,B800,'Base bordo'!F$2:F$746,"BALANÇA - SAÍDA"),0)</f>
        <v>1.1944444444444445E-2</v>
      </c>
      <c r="K800" s="10">
        <f>IFERROR(SUMIFS('Base bordo'!G$2:G$746,'Base bordo'!C$2:C$746,A800,'Base bordo'!B$2:B$746,B800,'Base bordo'!F$2:F$746,"MAN PREVENTIVA - MECANICA"),0)+IFERROR(SUMIFS('Base bordo'!G$2:G$746,'Base bordo'!C$2:C$746,A800,'Base bordo'!B$2:B$746,B800,'Base bordo'!F$2:F$746,"MAN CORRETIVA - MECANICA"),0)</f>
        <v>0</v>
      </c>
      <c r="L800" s="10">
        <f>IFERROR(SUMIFS('Base bordo'!G$2:G$746,'Base bordo'!C$2:C$746,A800,'Base bordo'!B$2:B$746,B800,'Base bordo'!F$2:F$746,"MANUTENCAO - T O"),0)+IFERROR(SUMIFS('Base bordo'!G$2:G$746,'Base bordo'!C$2:C$746,A800,'Base bordo'!B$2:B$746,B800,'Base bordo'!F$2:F$746,"MANUTENCAO BORRACHARIA"),0)+IFERROR(SUMIFS('Base bordo'!G$2:G$746,'Base bordo'!C$2:C$746,A800,'Base bordo'!B$2:B$746,B800,'Base bordo'!F$2:F$746,"MANUTENCAO EXTERNA  CONCESSIONARIA"),0)+IFERROR(SUMIFS('Base bordo'!G$2:G$746,'Base bordo'!C$2:C$746,A800,'Base bordo'!B$2:B$746,B800,'Base bordo'!F$2:F$746,"MANUTENCAO TELEMETRIA"),0)</f>
        <v>0</v>
      </c>
      <c r="M800" s="10">
        <f>IFERROR(SUMIFS('Base bordo'!G$2:G$746,'Base bordo'!C$2:C$746,A800,'Base bordo'!B$2:B$746,B800,'Base bordo'!F$2:F$746,"AGUARDANDO MANUTENCAO"),0)</f>
        <v>0</v>
      </c>
      <c r="N800" s="10">
        <f>IFERROR(SUMIFS('Base bordo'!G$2:G$746,'Base bordo'!C$2:C$746,A800,'Base bordo'!B$2:B$746,B800,'Base bordo'!F$2:F$746,"SEM APONTAMENTO"),0)</f>
        <v>0</v>
      </c>
      <c r="O800" s="10">
        <f t="shared" si="84"/>
        <v>2.3333333333331652E-2</v>
      </c>
      <c r="P800" s="10">
        <f>IFERROR(SUMIFS('Base bordo'!G$2:G$746,'Base bordo'!C$2:C$746,A800,'Base bordo'!B$2:B$746,B800),0)</f>
        <v>8.9527777777777757</v>
      </c>
      <c r="Q800" s="10">
        <f>IFERROR(SUMIFS('Base bordo'!H$2:H$746,'Base bordo'!C$2:C$746,A800,'Base bordo'!B$2:B$746,B800,'Base bordo'!F$2:F$746,"DESLOCAMENTO VAZIO"),0)</f>
        <v>290634.14</v>
      </c>
      <c r="R800" s="10">
        <f>IFERROR(SUMIFS('Base bordo'!I$2:I$746,'Base bordo'!C$2:C$746,A800,'Base bordo'!B$2:B$746,B800,'Base bordo'!F$2:F$746,"DESLOCAMENTO VAZIO"),0)</f>
        <v>8027</v>
      </c>
      <c r="S800" s="30">
        <f t="shared" si="85"/>
        <v>36.207068643328768</v>
      </c>
      <c r="T800" s="10">
        <f>IFERROR(SUMIFS('Base bordo'!H$2:H$746,'Base bordo'!C$2:C$746,A800,'Base bordo'!B$2:B$746,B800,'Base bordo'!F$2:F$746,"DESLOCAMENTO CARREGADO"),0)</f>
        <v>165552.33000000002</v>
      </c>
      <c r="U800" s="10">
        <f>IFERROR(SUMIFS('Base bordo'!I$2:I$746,'Base bordo'!C$2:C$746,A800,'Base bordo'!B$2:B$746,B800,'Base bordo'!F$2:F$746,"DESLOCAMENTO CARREGADO"),0)</f>
        <v>6862</v>
      </c>
      <c r="V800" s="30">
        <f t="shared" si="86"/>
        <v>24.125958904109591</v>
      </c>
      <c r="W800" s="9">
        <f t="shared" si="87"/>
        <v>0.24905367669872794</v>
      </c>
      <c r="X800" s="9">
        <f t="shared" si="88"/>
        <v>0.21290722928948189</v>
      </c>
      <c r="Y800" s="9">
        <f t="shared" si="89"/>
        <v>0.53803909401179018</v>
      </c>
    </row>
    <row r="801" spans="1:25" ht="15" customHeight="1" x14ac:dyDescent="0.35">
      <c r="A801" s="52">
        <v>8013478</v>
      </c>
      <c r="B801" s="51">
        <v>46118</v>
      </c>
      <c r="C801" s="7" t="s">
        <v>124</v>
      </c>
      <c r="D801" s="10">
        <f>IFERROR(SUMIFS('Base bordo'!G$2:G$746,'Base bordo'!C$2:C$746,A801,'Base bordo'!B$2:B$746,B801,'Base bordo'!F$2:F$746,"DESLOCAMENTO VAZIO"),0)</f>
        <v>2.2297222222222222</v>
      </c>
      <c r="E801" s="10">
        <f>IFERROR(SUMIFS('Base bordo'!G$2:G$746,'Base bordo'!C$2:C$746,A801,'Base bordo'!B$2:B$746,B801,'Base bordo'!F$2:F$746,"DESLOCAMENTO CARREGADO"),0)</f>
        <v>1.9061111111111111</v>
      </c>
      <c r="F801" s="10">
        <f>IFERROR(SUMIFS('Base bordo'!G$2:G$746,'Base bordo'!C$2:C$746,A801,'Base bordo'!B$2:B$746,B801,'Base bordo'!F$2:F$746,"DESLOCAMENTO"),0)</f>
        <v>0</v>
      </c>
      <c r="G801" s="10">
        <f>IFERROR(SUMIFS('Base bordo'!G$2:G$746,'Base bordo'!C$2:C$746,A801,'Base bordo'!B$2:B$746,B801,'Base bordo'!F$2:F$746,"CARREGAMENTO"),0)</f>
        <v>0</v>
      </c>
      <c r="H801" s="10">
        <f>IFERROR(SUMIFS('Base bordo'!G$2:G$746,'Base bordo'!C$2:C$746,A801,'Base bordo'!B$2:B$746,B801,'Base bordo'!F$2:F$746,"AGUARDANDO TRANSBORDO"),0)</f>
        <v>0.90749999999999997</v>
      </c>
      <c r="I801" s="10">
        <f>IFERROR(SUMIFS('Base bordo'!G$2:G$746,'Base bordo'!C$2:C$746,A801,'Base bordo'!B$2:B$746,B801,'Base bordo'!F$2:F$746,"PÁTIO INTERNO"),0)+IFERROR(SUMIFS('Base bordo'!G$2:G$746,'Base bordo'!C$2:C$746,A801,'Base bordo'!B$2:B$746,B801,'Base bordo'!F$2:F$746,"PÁTIO EXTERNO"),0)+IFERROR(SUMIFS('Base bordo'!G$2:G$746,'Base bordo'!C$2:C$746,A801,'Base bordo'!B$2:B$746,B801,'Base bordo'!F$2:F$746,"PATIO - RESERVA"),0)+IFERROR(SUMIFS('Base bordo'!G$2:G$746,'Base bordo'!C$2:C$746,A801,'Base bordo'!B$2:B$746,B801,'Base bordo'!F$2:F$746,"MANOBRA CARRETAS-PATIO"),0)</f>
        <v>3.8741666666666665</v>
      </c>
      <c r="J801" s="10">
        <f>IFERROR(SUMIFS('Base bordo'!G$2:G$746,'Base bordo'!C$2:C$746,A801,'Base bordo'!B$2:B$746,B801,'Base bordo'!F$2:F$746,"BALANÇA - ENTRADA"),0)+IFERROR(SUMIFS('Base bordo'!G$2:G$746,'Base bordo'!C$2:C$746,A801,'Base bordo'!B$2:B$746,B801,'Base bordo'!F$2:F$746,"BALANÇA - SAÍDA"),0)</f>
        <v>1.1944444444444445E-2</v>
      </c>
      <c r="K801" s="10">
        <f>IFERROR(SUMIFS('Base bordo'!G$2:G$746,'Base bordo'!C$2:C$746,A801,'Base bordo'!B$2:B$746,B801,'Base bordo'!F$2:F$746,"MAN PREVENTIVA - MECANICA"),0)+IFERROR(SUMIFS('Base bordo'!G$2:G$746,'Base bordo'!C$2:C$746,A801,'Base bordo'!B$2:B$746,B801,'Base bordo'!F$2:F$746,"MAN CORRETIVA - MECANICA"),0)</f>
        <v>0</v>
      </c>
      <c r="L801" s="10">
        <f>IFERROR(SUMIFS('Base bordo'!G$2:G$746,'Base bordo'!C$2:C$746,A801,'Base bordo'!B$2:B$746,B801,'Base bordo'!F$2:F$746,"MANUTENCAO - T O"),0)+IFERROR(SUMIFS('Base bordo'!G$2:G$746,'Base bordo'!C$2:C$746,A801,'Base bordo'!B$2:B$746,B801,'Base bordo'!F$2:F$746,"MANUTENCAO BORRACHARIA"),0)+IFERROR(SUMIFS('Base bordo'!G$2:G$746,'Base bordo'!C$2:C$746,A801,'Base bordo'!B$2:B$746,B801,'Base bordo'!F$2:F$746,"MANUTENCAO EXTERNA  CONCESSIONARIA"),0)+IFERROR(SUMIFS('Base bordo'!G$2:G$746,'Base bordo'!C$2:C$746,A801,'Base bordo'!B$2:B$746,B801,'Base bordo'!F$2:F$746,"MANUTENCAO TELEMETRIA"),0)</f>
        <v>0</v>
      </c>
      <c r="M801" s="10">
        <f>IFERROR(SUMIFS('Base bordo'!G$2:G$746,'Base bordo'!C$2:C$746,A801,'Base bordo'!B$2:B$746,B801,'Base bordo'!F$2:F$746,"AGUARDANDO MANUTENCAO"),0)</f>
        <v>0</v>
      </c>
      <c r="N801" s="10">
        <f>IFERROR(SUMIFS('Base bordo'!G$2:G$746,'Base bordo'!C$2:C$746,A801,'Base bordo'!B$2:B$746,B801,'Base bordo'!F$2:F$746,"SEM APONTAMENTO"),0)</f>
        <v>0</v>
      </c>
      <c r="O801" s="10">
        <f t="shared" si="84"/>
        <v>2.3333333333331652E-2</v>
      </c>
      <c r="P801" s="10">
        <f>IFERROR(SUMIFS('Base bordo'!G$2:G$746,'Base bordo'!C$2:C$746,A801,'Base bordo'!B$2:B$746,B801),0)</f>
        <v>8.9527777777777757</v>
      </c>
      <c r="Q801" s="10">
        <f>IFERROR(SUMIFS('Base bordo'!H$2:H$746,'Base bordo'!C$2:C$746,A801,'Base bordo'!B$2:B$746,B801,'Base bordo'!F$2:F$746,"DESLOCAMENTO VAZIO"),0)</f>
        <v>290634.14</v>
      </c>
      <c r="R801" s="10">
        <f>IFERROR(SUMIFS('Base bordo'!I$2:I$746,'Base bordo'!C$2:C$746,A801,'Base bordo'!B$2:B$746,B801,'Base bordo'!F$2:F$746,"DESLOCAMENTO VAZIO"),0)</f>
        <v>8027</v>
      </c>
      <c r="S801" s="30">
        <f t="shared" si="85"/>
        <v>36.207068643328768</v>
      </c>
      <c r="T801" s="10">
        <f>IFERROR(SUMIFS('Base bordo'!H$2:H$746,'Base bordo'!C$2:C$746,A801,'Base bordo'!B$2:B$746,B801,'Base bordo'!F$2:F$746,"DESLOCAMENTO CARREGADO"),0)</f>
        <v>165552.33000000002</v>
      </c>
      <c r="U801" s="10">
        <f>IFERROR(SUMIFS('Base bordo'!I$2:I$746,'Base bordo'!C$2:C$746,A801,'Base bordo'!B$2:B$746,B801,'Base bordo'!F$2:F$746,"DESLOCAMENTO CARREGADO"),0)</f>
        <v>6862</v>
      </c>
      <c r="V801" s="30">
        <f t="shared" si="86"/>
        <v>24.125958904109591</v>
      </c>
      <c r="W801" s="9">
        <f t="shared" si="87"/>
        <v>0.24905367669872794</v>
      </c>
      <c r="X801" s="9">
        <f t="shared" si="88"/>
        <v>0.21290722928948189</v>
      </c>
      <c r="Y801" s="9">
        <f t="shared" si="89"/>
        <v>0.53803909401179018</v>
      </c>
    </row>
    <row r="802" spans="1:25" ht="15" customHeight="1" x14ac:dyDescent="0.35">
      <c r="A802" s="52">
        <v>8013481</v>
      </c>
      <c r="B802" s="51">
        <v>46118</v>
      </c>
      <c r="C802" s="7" t="s">
        <v>124</v>
      </c>
      <c r="D802" s="10">
        <f>IFERROR(SUMIFS('Base bordo'!G$2:G$746,'Base bordo'!C$2:C$746,A802,'Base bordo'!B$2:B$746,B802,'Base bordo'!F$2:F$746,"DESLOCAMENTO VAZIO"),0)</f>
        <v>0.8288888888888889</v>
      </c>
      <c r="E802" s="10">
        <f>IFERROR(SUMIFS('Base bordo'!G$2:G$746,'Base bordo'!C$2:C$746,A802,'Base bordo'!B$2:B$746,B802,'Base bordo'!F$2:F$746,"DESLOCAMENTO CARREGADO"),0)</f>
        <v>4.8333333333333332E-2</v>
      </c>
      <c r="F802" s="10">
        <f>IFERROR(SUMIFS('Base bordo'!G$2:G$746,'Base bordo'!C$2:C$746,A802,'Base bordo'!B$2:B$746,B802,'Base bordo'!F$2:F$746,"DESLOCAMENTO"),0)</f>
        <v>0</v>
      </c>
      <c r="G802" s="10">
        <f>IFERROR(SUMIFS('Base bordo'!G$2:G$746,'Base bordo'!C$2:C$746,A802,'Base bordo'!B$2:B$746,B802,'Base bordo'!F$2:F$746,"CARREGAMENTO"),0)</f>
        <v>0</v>
      </c>
      <c r="H802" s="10">
        <f>IFERROR(SUMIFS('Base bordo'!G$2:G$746,'Base bordo'!C$2:C$746,A802,'Base bordo'!B$2:B$746,B802,'Base bordo'!F$2:F$746,"AGUARDANDO TRANSBORDO"),0)</f>
        <v>0</v>
      </c>
      <c r="I802" s="10">
        <f>IFERROR(SUMIFS('Base bordo'!G$2:G$746,'Base bordo'!C$2:C$746,A802,'Base bordo'!B$2:B$746,B802,'Base bordo'!F$2:F$746,"PÁTIO INTERNO"),0)+IFERROR(SUMIFS('Base bordo'!G$2:G$746,'Base bordo'!C$2:C$746,A802,'Base bordo'!B$2:B$746,B802,'Base bordo'!F$2:F$746,"PÁTIO EXTERNO"),0)+IFERROR(SUMIFS('Base bordo'!G$2:G$746,'Base bordo'!C$2:C$746,A802,'Base bordo'!B$2:B$746,B802,'Base bordo'!F$2:F$746,"PATIO - RESERVA"),0)+IFERROR(SUMIFS('Base bordo'!G$2:G$746,'Base bordo'!C$2:C$746,A802,'Base bordo'!B$2:B$746,B802,'Base bordo'!F$2:F$746,"MANOBRA CARRETAS-PATIO"),0)</f>
        <v>2.8108333333333335</v>
      </c>
      <c r="J802" s="10">
        <f>IFERROR(SUMIFS('Base bordo'!G$2:G$746,'Base bordo'!C$2:C$746,A802,'Base bordo'!B$2:B$746,B802,'Base bordo'!F$2:F$746,"BALANÇA - ENTRADA"),0)+IFERROR(SUMIFS('Base bordo'!G$2:G$746,'Base bordo'!C$2:C$746,A802,'Base bordo'!B$2:B$746,B802,'Base bordo'!F$2:F$746,"BALANÇA - SAÍDA"),0)</f>
        <v>3.3333333333333333E-2</v>
      </c>
      <c r="K802" s="10">
        <f>IFERROR(SUMIFS('Base bordo'!G$2:G$746,'Base bordo'!C$2:C$746,A802,'Base bordo'!B$2:B$746,B802,'Base bordo'!F$2:F$746,"MAN PREVENTIVA - MECANICA"),0)+IFERROR(SUMIFS('Base bordo'!G$2:G$746,'Base bordo'!C$2:C$746,A802,'Base bordo'!B$2:B$746,B802,'Base bordo'!F$2:F$746,"MAN CORRETIVA - MECANICA"),0)</f>
        <v>0</v>
      </c>
      <c r="L802" s="10">
        <f>IFERROR(SUMIFS('Base bordo'!G$2:G$746,'Base bordo'!C$2:C$746,A802,'Base bordo'!B$2:B$746,B802,'Base bordo'!F$2:F$746,"MANUTENCAO - T O"),0)+IFERROR(SUMIFS('Base bordo'!G$2:G$746,'Base bordo'!C$2:C$746,A802,'Base bordo'!B$2:B$746,B802,'Base bordo'!F$2:F$746,"MANUTENCAO BORRACHARIA"),0)+IFERROR(SUMIFS('Base bordo'!G$2:G$746,'Base bordo'!C$2:C$746,A802,'Base bordo'!B$2:B$746,B802,'Base bordo'!F$2:F$746,"MANUTENCAO EXTERNA  CONCESSIONARIA"),0)+IFERROR(SUMIFS('Base bordo'!G$2:G$746,'Base bordo'!C$2:C$746,A802,'Base bordo'!B$2:B$746,B802,'Base bordo'!F$2:F$746,"MANUTENCAO TELEMETRIA"),0)</f>
        <v>0</v>
      </c>
      <c r="M802" s="10">
        <f>IFERROR(SUMIFS('Base bordo'!G$2:G$746,'Base bordo'!C$2:C$746,A802,'Base bordo'!B$2:B$746,B802,'Base bordo'!F$2:F$746,"AGUARDANDO MANUTENCAO"),0)</f>
        <v>0</v>
      </c>
      <c r="N802" s="10">
        <f>IFERROR(SUMIFS('Base bordo'!G$2:G$746,'Base bordo'!C$2:C$746,A802,'Base bordo'!B$2:B$746,B802,'Base bordo'!F$2:F$746,"SEM APONTAMENTO"),0)</f>
        <v>0</v>
      </c>
      <c r="O802" s="10">
        <f t="shared" si="84"/>
        <v>0</v>
      </c>
      <c r="P802" s="10">
        <f>IFERROR(SUMIFS('Base bordo'!G$2:G$746,'Base bordo'!C$2:C$746,A802,'Base bordo'!B$2:B$746,B802),0)</f>
        <v>3.7213888888888889</v>
      </c>
      <c r="Q802" s="10">
        <f>IFERROR(SUMIFS('Base bordo'!H$2:H$746,'Base bordo'!C$2:C$746,A802,'Base bordo'!B$2:B$746,B802,'Base bordo'!F$2:F$746,"DESLOCAMENTO VAZIO"),0)</f>
        <v>65601.72</v>
      </c>
      <c r="R802" s="10">
        <f>IFERROR(SUMIFS('Base bordo'!I$2:I$746,'Base bordo'!C$2:C$746,A802,'Base bordo'!B$2:B$746,B802,'Base bordo'!F$2:F$746,"DESLOCAMENTO VAZIO"),0)</f>
        <v>2984</v>
      </c>
      <c r="S802" s="30">
        <f t="shared" si="85"/>
        <v>21.984490616621983</v>
      </c>
      <c r="T802" s="10">
        <f>IFERROR(SUMIFS('Base bordo'!H$2:H$746,'Base bordo'!C$2:C$746,A802,'Base bordo'!B$2:B$746,B802,'Base bordo'!F$2:F$746,"DESLOCAMENTO CARREGADO"),0)</f>
        <v>501.05</v>
      </c>
      <c r="U802" s="10">
        <f>IFERROR(SUMIFS('Base bordo'!I$2:I$746,'Base bordo'!C$2:C$746,A802,'Base bordo'!B$2:B$746,B802,'Base bordo'!F$2:F$746,"DESLOCAMENTO CARREGADO"),0)</f>
        <v>174</v>
      </c>
      <c r="V802" s="30">
        <f t="shared" si="86"/>
        <v>2.8795977011494251</v>
      </c>
      <c r="W802" s="9">
        <f t="shared" si="87"/>
        <v>0.22273643352989475</v>
      </c>
      <c r="X802" s="9">
        <f t="shared" si="88"/>
        <v>1.2987982384115847E-2</v>
      </c>
      <c r="Y802" s="9">
        <f t="shared" si="89"/>
        <v>0.76427558408598939</v>
      </c>
    </row>
    <row r="803" spans="1:25" ht="15" customHeight="1" x14ac:dyDescent="0.35">
      <c r="A803" s="52">
        <v>8013481</v>
      </c>
      <c r="B803" s="51">
        <v>46118</v>
      </c>
      <c r="C803" s="7" t="s">
        <v>124</v>
      </c>
      <c r="D803" s="10">
        <f>IFERROR(SUMIFS('Base bordo'!G$2:G$746,'Base bordo'!C$2:C$746,A803,'Base bordo'!B$2:B$746,B803,'Base bordo'!F$2:F$746,"DESLOCAMENTO VAZIO"),0)</f>
        <v>0.8288888888888889</v>
      </c>
      <c r="E803" s="10">
        <f>IFERROR(SUMIFS('Base bordo'!G$2:G$746,'Base bordo'!C$2:C$746,A803,'Base bordo'!B$2:B$746,B803,'Base bordo'!F$2:F$746,"DESLOCAMENTO CARREGADO"),0)</f>
        <v>4.8333333333333332E-2</v>
      </c>
      <c r="F803" s="10">
        <f>IFERROR(SUMIFS('Base bordo'!G$2:G$746,'Base bordo'!C$2:C$746,A803,'Base bordo'!B$2:B$746,B803,'Base bordo'!F$2:F$746,"DESLOCAMENTO"),0)</f>
        <v>0</v>
      </c>
      <c r="G803" s="10">
        <f>IFERROR(SUMIFS('Base bordo'!G$2:G$746,'Base bordo'!C$2:C$746,A803,'Base bordo'!B$2:B$746,B803,'Base bordo'!F$2:F$746,"CARREGAMENTO"),0)</f>
        <v>0</v>
      </c>
      <c r="H803" s="10">
        <f>IFERROR(SUMIFS('Base bordo'!G$2:G$746,'Base bordo'!C$2:C$746,A803,'Base bordo'!B$2:B$746,B803,'Base bordo'!F$2:F$746,"AGUARDANDO TRANSBORDO"),0)</f>
        <v>0</v>
      </c>
      <c r="I803" s="10">
        <f>IFERROR(SUMIFS('Base bordo'!G$2:G$746,'Base bordo'!C$2:C$746,A803,'Base bordo'!B$2:B$746,B803,'Base bordo'!F$2:F$746,"PÁTIO INTERNO"),0)+IFERROR(SUMIFS('Base bordo'!G$2:G$746,'Base bordo'!C$2:C$746,A803,'Base bordo'!B$2:B$746,B803,'Base bordo'!F$2:F$746,"PÁTIO EXTERNO"),0)+IFERROR(SUMIFS('Base bordo'!G$2:G$746,'Base bordo'!C$2:C$746,A803,'Base bordo'!B$2:B$746,B803,'Base bordo'!F$2:F$746,"PATIO - RESERVA"),0)+IFERROR(SUMIFS('Base bordo'!G$2:G$746,'Base bordo'!C$2:C$746,A803,'Base bordo'!B$2:B$746,B803,'Base bordo'!F$2:F$746,"MANOBRA CARRETAS-PATIO"),0)</f>
        <v>2.8108333333333335</v>
      </c>
      <c r="J803" s="10">
        <f>IFERROR(SUMIFS('Base bordo'!G$2:G$746,'Base bordo'!C$2:C$746,A803,'Base bordo'!B$2:B$746,B803,'Base bordo'!F$2:F$746,"BALANÇA - ENTRADA"),0)+IFERROR(SUMIFS('Base bordo'!G$2:G$746,'Base bordo'!C$2:C$746,A803,'Base bordo'!B$2:B$746,B803,'Base bordo'!F$2:F$746,"BALANÇA - SAÍDA"),0)</f>
        <v>3.3333333333333333E-2</v>
      </c>
      <c r="K803" s="10">
        <f>IFERROR(SUMIFS('Base bordo'!G$2:G$746,'Base bordo'!C$2:C$746,A803,'Base bordo'!B$2:B$746,B803,'Base bordo'!F$2:F$746,"MAN PREVENTIVA - MECANICA"),0)+IFERROR(SUMIFS('Base bordo'!G$2:G$746,'Base bordo'!C$2:C$746,A803,'Base bordo'!B$2:B$746,B803,'Base bordo'!F$2:F$746,"MAN CORRETIVA - MECANICA"),0)</f>
        <v>0</v>
      </c>
      <c r="L803" s="10">
        <f>IFERROR(SUMIFS('Base bordo'!G$2:G$746,'Base bordo'!C$2:C$746,A803,'Base bordo'!B$2:B$746,B803,'Base bordo'!F$2:F$746,"MANUTENCAO - T O"),0)+IFERROR(SUMIFS('Base bordo'!G$2:G$746,'Base bordo'!C$2:C$746,A803,'Base bordo'!B$2:B$746,B803,'Base bordo'!F$2:F$746,"MANUTENCAO BORRACHARIA"),0)+IFERROR(SUMIFS('Base bordo'!G$2:G$746,'Base bordo'!C$2:C$746,A803,'Base bordo'!B$2:B$746,B803,'Base bordo'!F$2:F$746,"MANUTENCAO EXTERNA  CONCESSIONARIA"),0)+IFERROR(SUMIFS('Base bordo'!G$2:G$746,'Base bordo'!C$2:C$746,A803,'Base bordo'!B$2:B$746,B803,'Base bordo'!F$2:F$746,"MANUTENCAO TELEMETRIA"),0)</f>
        <v>0</v>
      </c>
      <c r="M803" s="10">
        <f>IFERROR(SUMIFS('Base bordo'!G$2:G$746,'Base bordo'!C$2:C$746,A803,'Base bordo'!B$2:B$746,B803,'Base bordo'!F$2:F$746,"AGUARDANDO MANUTENCAO"),0)</f>
        <v>0</v>
      </c>
      <c r="N803" s="10">
        <f>IFERROR(SUMIFS('Base bordo'!G$2:G$746,'Base bordo'!C$2:C$746,A803,'Base bordo'!B$2:B$746,B803,'Base bordo'!F$2:F$746,"SEM APONTAMENTO"),0)</f>
        <v>0</v>
      </c>
      <c r="O803" s="10">
        <f t="shared" si="84"/>
        <v>0</v>
      </c>
      <c r="P803" s="10">
        <f>IFERROR(SUMIFS('Base bordo'!G$2:G$746,'Base bordo'!C$2:C$746,A803,'Base bordo'!B$2:B$746,B803),0)</f>
        <v>3.7213888888888889</v>
      </c>
      <c r="Q803" s="10">
        <f>IFERROR(SUMIFS('Base bordo'!H$2:H$746,'Base bordo'!C$2:C$746,A803,'Base bordo'!B$2:B$746,B803,'Base bordo'!F$2:F$746,"DESLOCAMENTO VAZIO"),0)</f>
        <v>65601.72</v>
      </c>
      <c r="R803" s="10">
        <f>IFERROR(SUMIFS('Base bordo'!I$2:I$746,'Base bordo'!C$2:C$746,A803,'Base bordo'!B$2:B$746,B803,'Base bordo'!F$2:F$746,"DESLOCAMENTO VAZIO"),0)</f>
        <v>2984</v>
      </c>
      <c r="S803" s="30">
        <f t="shared" si="85"/>
        <v>21.984490616621983</v>
      </c>
      <c r="T803" s="10">
        <f>IFERROR(SUMIFS('Base bordo'!H$2:H$746,'Base bordo'!C$2:C$746,A803,'Base bordo'!B$2:B$746,B803,'Base bordo'!F$2:F$746,"DESLOCAMENTO CARREGADO"),0)</f>
        <v>501.05</v>
      </c>
      <c r="U803" s="10">
        <f>IFERROR(SUMIFS('Base bordo'!I$2:I$746,'Base bordo'!C$2:C$746,A803,'Base bordo'!B$2:B$746,B803,'Base bordo'!F$2:F$746,"DESLOCAMENTO CARREGADO"),0)</f>
        <v>174</v>
      </c>
      <c r="V803" s="30">
        <f t="shared" si="86"/>
        <v>2.8795977011494251</v>
      </c>
      <c r="W803" s="9">
        <f t="shared" si="87"/>
        <v>0.22273643352989475</v>
      </c>
      <c r="X803" s="9">
        <f t="shared" si="88"/>
        <v>1.2987982384115847E-2</v>
      </c>
      <c r="Y803" s="9">
        <f t="shared" si="89"/>
        <v>0.76427558408598939</v>
      </c>
    </row>
    <row r="804" spans="1:25" ht="15" customHeight="1" x14ac:dyDescent="0.35">
      <c r="A804" s="52">
        <v>8013481</v>
      </c>
      <c r="B804" s="51">
        <v>46118</v>
      </c>
      <c r="C804" s="7" t="s">
        <v>124</v>
      </c>
      <c r="D804" s="10">
        <f>IFERROR(SUMIFS('Base bordo'!G$2:G$746,'Base bordo'!C$2:C$746,A804,'Base bordo'!B$2:B$746,B804,'Base bordo'!F$2:F$746,"DESLOCAMENTO VAZIO"),0)</f>
        <v>0.8288888888888889</v>
      </c>
      <c r="E804" s="10">
        <f>IFERROR(SUMIFS('Base bordo'!G$2:G$746,'Base bordo'!C$2:C$746,A804,'Base bordo'!B$2:B$746,B804,'Base bordo'!F$2:F$746,"DESLOCAMENTO CARREGADO"),0)</f>
        <v>4.8333333333333332E-2</v>
      </c>
      <c r="F804" s="10">
        <f>IFERROR(SUMIFS('Base bordo'!G$2:G$746,'Base bordo'!C$2:C$746,A804,'Base bordo'!B$2:B$746,B804,'Base bordo'!F$2:F$746,"DESLOCAMENTO"),0)</f>
        <v>0</v>
      </c>
      <c r="G804" s="10">
        <f>IFERROR(SUMIFS('Base bordo'!G$2:G$746,'Base bordo'!C$2:C$746,A804,'Base bordo'!B$2:B$746,B804,'Base bordo'!F$2:F$746,"CARREGAMENTO"),0)</f>
        <v>0</v>
      </c>
      <c r="H804" s="10">
        <f>IFERROR(SUMIFS('Base bordo'!G$2:G$746,'Base bordo'!C$2:C$746,A804,'Base bordo'!B$2:B$746,B804,'Base bordo'!F$2:F$746,"AGUARDANDO TRANSBORDO"),0)</f>
        <v>0</v>
      </c>
      <c r="I804" s="10">
        <f>IFERROR(SUMIFS('Base bordo'!G$2:G$746,'Base bordo'!C$2:C$746,A804,'Base bordo'!B$2:B$746,B804,'Base bordo'!F$2:F$746,"PÁTIO INTERNO"),0)+IFERROR(SUMIFS('Base bordo'!G$2:G$746,'Base bordo'!C$2:C$746,A804,'Base bordo'!B$2:B$746,B804,'Base bordo'!F$2:F$746,"PÁTIO EXTERNO"),0)+IFERROR(SUMIFS('Base bordo'!G$2:G$746,'Base bordo'!C$2:C$746,A804,'Base bordo'!B$2:B$746,B804,'Base bordo'!F$2:F$746,"PATIO - RESERVA"),0)+IFERROR(SUMIFS('Base bordo'!G$2:G$746,'Base bordo'!C$2:C$746,A804,'Base bordo'!B$2:B$746,B804,'Base bordo'!F$2:F$746,"MANOBRA CARRETAS-PATIO"),0)</f>
        <v>2.8108333333333335</v>
      </c>
      <c r="J804" s="10">
        <f>IFERROR(SUMIFS('Base bordo'!G$2:G$746,'Base bordo'!C$2:C$746,A804,'Base bordo'!B$2:B$746,B804,'Base bordo'!F$2:F$746,"BALANÇA - ENTRADA"),0)+IFERROR(SUMIFS('Base bordo'!G$2:G$746,'Base bordo'!C$2:C$746,A804,'Base bordo'!B$2:B$746,B804,'Base bordo'!F$2:F$746,"BALANÇA - SAÍDA"),0)</f>
        <v>3.3333333333333333E-2</v>
      </c>
      <c r="K804" s="10">
        <f>IFERROR(SUMIFS('Base bordo'!G$2:G$746,'Base bordo'!C$2:C$746,A804,'Base bordo'!B$2:B$746,B804,'Base bordo'!F$2:F$746,"MAN PREVENTIVA - MECANICA"),0)+IFERROR(SUMIFS('Base bordo'!G$2:G$746,'Base bordo'!C$2:C$746,A804,'Base bordo'!B$2:B$746,B804,'Base bordo'!F$2:F$746,"MAN CORRETIVA - MECANICA"),0)</f>
        <v>0</v>
      </c>
      <c r="L804" s="10">
        <f>IFERROR(SUMIFS('Base bordo'!G$2:G$746,'Base bordo'!C$2:C$746,A804,'Base bordo'!B$2:B$746,B804,'Base bordo'!F$2:F$746,"MANUTENCAO - T O"),0)+IFERROR(SUMIFS('Base bordo'!G$2:G$746,'Base bordo'!C$2:C$746,A804,'Base bordo'!B$2:B$746,B804,'Base bordo'!F$2:F$746,"MANUTENCAO BORRACHARIA"),0)+IFERROR(SUMIFS('Base bordo'!G$2:G$746,'Base bordo'!C$2:C$746,A804,'Base bordo'!B$2:B$746,B804,'Base bordo'!F$2:F$746,"MANUTENCAO EXTERNA  CONCESSIONARIA"),0)+IFERROR(SUMIFS('Base bordo'!G$2:G$746,'Base bordo'!C$2:C$746,A804,'Base bordo'!B$2:B$746,B804,'Base bordo'!F$2:F$746,"MANUTENCAO TELEMETRIA"),0)</f>
        <v>0</v>
      </c>
      <c r="M804" s="10">
        <f>IFERROR(SUMIFS('Base bordo'!G$2:G$746,'Base bordo'!C$2:C$746,A804,'Base bordo'!B$2:B$746,B804,'Base bordo'!F$2:F$746,"AGUARDANDO MANUTENCAO"),0)</f>
        <v>0</v>
      </c>
      <c r="N804" s="10">
        <f>IFERROR(SUMIFS('Base bordo'!G$2:G$746,'Base bordo'!C$2:C$746,A804,'Base bordo'!B$2:B$746,B804,'Base bordo'!F$2:F$746,"SEM APONTAMENTO"),0)</f>
        <v>0</v>
      </c>
      <c r="O804" s="10">
        <f t="shared" si="84"/>
        <v>0</v>
      </c>
      <c r="P804" s="10">
        <f>IFERROR(SUMIFS('Base bordo'!G$2:G$746,'Base bordo'!C$2:C$746,A804,'Base bordo'!B$2:B$746,B804),0)</f>
        <v>3.7213888888888889</v>
      </c>
      <c r="Q804" s="10">
        <f>IFERROR(SUMIFS('Base bordo'!H$2:H$746,'Base bordo'!C$2:C$746,A804,'Base bordo'!B$2:B$746,B804,'Base bordo'!F$2:F$746,"DESLOCAMENTO VAZIO"),0)</f>
        <v>65601.72</v>
      </c>
      <c r="R804" s="10">
        <f>IFERROR(SUMIFS('Base bordo'!I$2:I$746,'Base bordo'!C$2:C$746,A804,'Base bordo'!B$2:B$746,B804,'Base bordo'!F$2:F$746,"DESLOCAMENTO VAZIO"),0)</f>
        <v>2984</v>
      </c>
      <c r="S804" s="30">
        <f t="shared" si="85"/>
        <v>21.984490616621983</v>
      </c>
      <c r="T804" s="10">
        <f>IFERROR(SUMIFS('Base bordo'!H$2:H$746,'Base bordo'!C$2:C$746,A804,'Base bordo'!B$2:B$746,B804,'Base bordo'!F$2:F$746,"DESLOCAMENTO CARREGADO"),0)</f>
        <v>501.05</v>
      </c>
      <c r="U804" s="10">
        <f>IFERROR(SUMIFS('Base bordo'!I$2:I$746,'Base bordo'!C$2:C$746,A804,'Base bordo'!B$2:B$746,B804,'Base bordo'!F$2:F$746,"DESLOCAMENTO CARREGADO"),0)</f>
        <v>174</v>
      </c>
      <c r="V804" s="30">
        <f t="shared" si="86"/>
        <v>2.8795977011494251</v>
      </c>
      <c r="W804" s="9">
        <f t="shared" si="87"/>
        <v>0.22273643352989475</v>
      </c>
      <c r="X804" s="9">
        <f t="shared" si="88"/>
        <v>1.2987982384115847E-2</v>
      </c>
      <c r="Y804" s="9">
        <f t="shared" si="89"/>
        <v>0.76427558408598939</v>
      </c>
    </row>
    <row r="805" spans="1:25" ht="15" customHeight="1" x14ac:dyDescent="0.35">
      <c r="A805" s="52">
        <v>8013481</v>
      </c>
      <c r="B805" s="51">
        <v>46118</v>
      </c>
      <c r="C805" s="7" t="s">
        <v>124</v>
      </c>
      <c r="D805" s="10">
        <f>IFERROR(SUMIFS('Base bordo'!G$2:G$746,'Base bordo'!C$2:C$746,A805,'Base bordo'!B$2:B$746,B805,'Base bordo'!F$2:F$746,"DESLOCAMENTO VAZIO"),0)</f>
        <v>0.8288888888888889</v>
      </c>
      <c r="E805" s="10">
        <f>IFERROR(SUMIFS('Base bordo'!G$2:G$746,'Base bordo'!C$2:C$746,A805,'Base bordo'!B$2:B$746,B805,'Base bordo'!F$2:F$746,"DESLOCAMENTO CARREGADO"),0)</f>
        <v>4.8333333333333332E-2</v>
      </c>
      <c r="F805" s="10">
        <f>IFERROR(SUMIFS('Base bordo'!G$2:G$746,'Base bordo'!C$2:C$746,A805,'Base bordo'!B$2:B$746,B805,'Base bordo'!F$2:F$746,"DESLOCAMENTO"),0)</f>
        <v>0</v>
      </c>
      <c r="G805" s="10">
        <f>IFERROR(SUMIFS('Base bordo'!G$2:G$746,'Base bordo'!C$2:C$746,A805,'Base bordo'!B$2:B$746,B805,'Base bordo'!F$2:F$746,"CARREGAMENTO"),0)</f>
        <v>0</v>
      </c>
      <c r="H805" s="10">
        <f>IFERROR(SUMIFS('Base bordo'!G$2:G$746,'Base bordo'!C$2:C$746,A805,'Base bordo'!B$2:B$746,B805,'Base bordo'!F$2:F$746,"AGUARDANDO TRANSBORDO"),0)</f>
        <v>0</v>
      </c>
      <c r="I805" s="10">
        <f>IFERROR(SUMIFS('Base bordo'!G$2:G$746,'Base bordo'!C$2:C$746,A805,'Base bordo'!B$2:B$746,B805,'Base bordo'!F$2:F$746,"PÁTIO INTERNO"),0)+IFERROR(SUMIFS('Base bordo'!G$2:G$746,'Base bordo'!C$2:C$746,A805,'Base bordo'!B$2:B$746,B805,'Base bordo'!F$2:F$746,"PÁTIO EXTERNO"),0)+IFERROR(SUMIFS('Base bordo'!G$2:G$746,'Base bordo'!C$2:C$746,A805,'Base bordo'!B$2:B$746,B805,'Base bordo'!F$2:F$746,"PATIO - RESERVA"),0)+IFERROR(SUMIFS('Base bordo'!G$2:G$746,'Base bordo'!C$2:C$746,A805,'Base bordo'!B$2:B$746,B805,'Base bordo'!F$2:F$746,"MANOBRA CARRETAS-PATIO"),0)</f>
        <v>2.8108333333333335</v>
      </c>
      <c r="J805" s="10">
        <f>IFERROR(SUMIFS('Base bordo'!G$2:G$746,'Base bordo'!C$2:C$746,A805,'Base bordo'!B$2:B$746,B805,'Base bordo'!F$2:F$746,"BALANÇA - ENTRADA"),0)+IFERROR(SUMIFS('Base bordo'!G$2:G$746,'Base bordo'!C$2:C$746,A805,'Base bordo'!B$2:B$746,B805,'Base bordo'!F$2:F$746,"BALANÇA - SAÍDA"),0)</f>
        <v>3.3333333333333333E-2</v>
      </c>
      <c r="K805" s="10">
        <f>IFERROR(SUMIFS('Base bordo'!G$2:G$746,'Base bordo'!C$2:C$746,A805,'Base bordo'!B$2:B$746,B805,'Base bordo'!F$2:F$746,"MAN PREVENTIVA - MECANICA"),0)+IFERROR(SUMIFS('Base bordo'!G$2:G$746,'Base bordo'!C$2:C$746,A805,'Base bordo'!B$2:B$746,B805,'Base bordo'!F$2:F$746,"MAN CORRETIVA - MECANICA"),0)</f>
        <v>0</v>
      </c>
      <c r="L805" s="10">
        <f>IFERROR(SUMIFS('Base bordo'!G$2:G$746,'Base bordo'!C$2:C$746,A805,'Base bordo'!B$2:B$746,B805,'Base bordo'!F$2:F$746,"MANUTENCAO - T O"),0)+IFERROR(SUMIFS('Base bordo'!G$2:G$746,'Base bordo'!C$2:C$746,A805,'Base bordo'!B$2:B$746,B805,'Base bordo'!F$2:F$746,"MANUTENCAO BORRACHARIA"),0)+IFERROR(SUMIFS('Base bordo'!G$2:G$746,'Base bordo'!C$2:C$746,A805,'Base bordo'!B$2:B$746,B805,'Base bordo'!F$2:F$746,"MANUTENCAO EXTERNA  CONCESSIONARIA"),0)+IFERROR(SUMIFS('Base bordo'!G$2:G$746,'Base bordo'!C$2:C$746,A805,'Base bordo'!B$2:B$746,B805,'Base bordo'!F$2:F$746,"MANUTENCAO TELEMETRIA"),0)</f>
        <v>0</v>
      </c>
      <c r="M805" s="10">
        <f>IFERROR(SUMIFS('Base bordo'!G$2:G$746,'Base bordo'!C$2:C$746,A805,'Base bordo'!B$2:B$746,B805,'Base bordo'!F$2:F$746,"AGUARDANDO MANUTENCAO"),0)</f>
        <v>0</v>
      </c>
      <c r="N805" s="10">
        <f>IFERROR(SUMIFS('Base bordo'!G$2:G$746,'Base bordo'!C$2:C$746,A805,'Base bordo'!B$2:B$746,B805,'Base bordo'!F$2:F$746,"SEM APONTAMENTO"),0)</f>
        <v>0</v>
      </c>
      <c r="O805" s="10">
        <f t="shared" si="84"/>
        <v>0</v>
      </c>
      <c r="P805" s="10">
        <f>IFERROR(SUMIFS('Base bordo'!G$2:G$746,'Base bordo'!C$2:C$746,A805,'Base bordo'!B$2:B$746,B805),0)</f>
        <v>3.7213888888888889</v>
      </c>
      <c r="Q805" s="10">
        <f>IFERROR(SUMIFS('Base bordo'!H$2:H$746,'Base bordo'!C$2:C$746,A805,'Base bordo'!B$2:B$746,B805,'Base bordo'!F$2:F$746,"DESLOCAMENTO VAZIO"),0)</f>
        <v>65601.72</v>
      </c>
      <c r="R805" s="10">
        <f>IFERROR(SUMIFS('Base bordo'!I$2:I$746,'Base bordo'!C$2:C$746,A805,'Base bordo'!B$2:B$746,B805,'Base bordo'!F$2:F$746,"DESLOCAMENTO VAZIO"),0)</f>
        <v>2984</v>
      </c>
      <c r="S805" s="30">
        <f t="shared" si="85"/>
        <v>21.984490616621983</v>
      </c>
      <c r="T805" s="10">
        <f>IFERROR(SUMIFS('Base bordo'!H$2:H$746,'Base bordo'!C$2:C$746,A805,'Base bordo'!B$2:B$746,B805,'Base bordo'!F$2:F$746,"DESLOCAMENTO CARREGADO"),0)</f>
        <v>501.05</v>
      </c>
      <c r="U805" s="10">
        <f>IFERROR(SUMIFS('Base bordo'!I$2:I$746,'Base bordo'!C$2:C$746,A805,'Base bordo'!B$2:B$746,B805,'Base bordo'!F$2:F$746,"DESLOCAMENTO CARREGADO"),0)</f>
        <v>174</v>
      </c>
      <c r="V805" s="30">
        <f t="shared" si="86"/>
        <v>2.8795977011494251</v>
      </c>
      <c r="W805" s="9">
        <f t="shared" si="87"/>
        <v>0.22273643352989475</v>
      </c>
      <c r="X805" s="9">
        <f t="shared" si="88"/>
        <v>1.2987982384115847E-2</v>
      </c>
      <c r="Y805" s="9">
        <f t="shared" si="89"/>
        <v>0.76427558408598939</v>
      </c>
    </row>
    <row r="806" spans="1:25" ht="15" customHeight="1" x14ac:dyDescent="0.35">
      <c r="A806" s="52">
        <v>8013481</v>
      </c>
      <c r="B806" s="51">
        <v>46118</v>
      </c>
      <c r="C806" s="7" t="s">
        <v>124</v>
      </c>
      <c r="D806" s="10">
        <f>IFERROR(SUMIFS('Base bordo'!G$2:G$746,'Base bordo'!C$2:C$746,A806,'Base bordo'!B$2:B$746,B806,'Base bordo'!F$2:F$746,"DESLOCAMENTO VAZIO"),0)</f>
        <v>0.8288888888888889</v>
      </c>
      <c r="E806" s="10">
        <f>IFERROR(SUMIFS('Base bordo'!G$2:G$746,'Base bordo'!C$2:C$746,A806,'Base bordo'!B$2:B$746,B806,'Base bordo'!F$2:F$746,"DESLOCAMENTO CARREGADO"),0)</f>
        <v>4.8333333333333332E-2</v>
      </c>
      <c r="F806" s="10">
        <f>IFERROR(SUMIFS('Base bordo'!G$2:G$746,'Base bordo'!C$2:C$746,A806,'Base bordo'!B$2:B$746,B806,'Base bordo'!F$2:F$746,"DESLOCAMENTO"),0)</f>
        <v>0</v>
      </c>
      <c r="G806" s="10">
        <f>IFERROR(SUMIFS('Base bordo'!G$2:G$746,'Base bordo'!C$2:C$746,A806,'Base bordo'!B$2:B$746,B806,'Base bordo'!F$2:F$746,"CARREGAMENTO"),0)</f>
        <v>0</v>
      </c>
      <c r="H806" s="10">
        <f>IFERROR(SUMIFS('Base bordo'!G$2:G$746,'Base bordo'!C$2:C$746,A806,'Base bordo'!B$2:B$746,B806,'Base bordo'!F$2:F$746,"AGUARDANDO TRANSBORDO"),0)</f>
        <v>0</v>
      </c>
      <c r="I806" s="10">
        <f>IFERROR(SUMIFS('Base bordo'!G$2:G$746,'Base bordo'!C$2:C$746,A806,'Base bordo'!B$2:B$746,B806,'Base bordo'!F$2:F$746,"PÁTIO INTERNO"),0)+IFERROR(SUMIFS('Base bordo'!G$2:G$746,'Base bordo'!C$2:C$746,A806,'Base bordo'!B$2:B$746,B806,'Base bordo'!F$2:F$746,"PÁTIO EXTERNO"),0)+IFERROR(SUMIFS('Base bordo'!G$2:G$746,'Base bordo'!C$2:C$746,A806,'Base bordo'!B$2:B$746,B806,'Base bordo'!F$2:F$746,"PATIO - RESERVA"),0)+IFERROR(SUMIFS('Base bordo'!G$2:G$746,'Base bordo'!C$2:C$746,A806,'Base bordo'!B$2:B$746,B806,'Base bordo'!F$2:F$746,"MANOBRA CARRETAS-PATIO"),0)</f>
        <v>2.8108333333333335</v>
      </c>
      <c r="J806" s="10">
        <f>IFERROR(SUMIFS('Base bordo'!G$2:G$746,'Base bordo'!C$2:C$746,A806,'Base bordo'!B$2:B$746,B806,'Base bordo'!F$2:F$746,"BALANÇA - ENTRADA"),0)+IFERROR(SUMIFS('Base bordo'!G$2:G$746,'Base bordo'!C$2:C$746,A806,'Base bordo'!B$2:B$746,B806,'Base bordo'!F$2:F$746,"BALANÇA - SAÍDA"),0)</f>
        <v>3.3333333333333333E-2</v>
      </c>
      <c r="K806" s="10">
        <f>IFERROR(SUMIFS('Base bordo'!G$2:G$746,'Base bordo'!C$2:C$746,A806,'Base bordo'!B$2:B$746,B806,'Base bordo'!F$2:F$746,"MAN PREVENTIVA - MECANICA"),0)+IFERROR(SUMIFS('Base bordo'!G$2:G$746,'Base bordo'!C$2:C$746,A806,'Base bordo'!B$2:B$746,B806,'Base bordo'!F$2:F$746,"MAN CORRETIVA - MECANICA"),0)</f>
        <v>0</v>
      </c>
      <c r="L806" s="10">
        <f>IFERROR(SUMIFS('Base bordo'!G$2:G$746,'Base bordo'!C$2:C$746,A806,'Base bordo'!B$2:B$746,B806,'Base bordo'!F$2:F$746,"MANUTENCAO - T O"),0)+IFERROR(SUMIFS('Base bordo'!G$2:G$746,'Base bordo'!C$2:C$746,A806,'Base bordo'!B$2:B$746,B806,'Base bordo'!F$2:F$746,"MANUTENCAO BORRACHARIA"),0)+IFERROR(SUMIFS('Base bordo'!G$2:G$746,'Base bordo'!C$2:C$746,A806,'Base bordo'!B$2:B$746,B806,'Base bordo'!F$2:F$746,"MANUTENCAO EXTERNA  CONCESSIONARIA"),0)+IFERROR(SUMIFS('Base bordo'!G$2:G$746,'Base bordo'!C$2:C$746,A806,'Base bordo'!B$2:B$746,B806,'Base bordo'!F$2:F$746,"MANUTENCAO TELEMETRIA"),0)</f>
        <v>0</v>
      </c>
      <c r="M806" s="10">
        <f>IFERROR(SUMIFS('Base bordo'!G$2:G$746,'Base bordo'!C$2:C$746,A806,'Base bordo'!B$2:B$746,B806,'Base bordo'!F$2:F$746,"AGUARDANDO MANUTENCAO"),0)</f>
        <v>0</v>
      </c>
      <c r="N806" s="10">
        <f>IFERROR(SUMIFS('Base bordo'!G$2:G$746,'Base bordo'!C$2:C$746,A806,'Base bordo'!B$2:B$746,B806,'Base bordo'!F$2:F$746,"SEM APONTAMENTO"),0)</f>
        <v>0</v>
      </c>
      <c r="O806" s="10">
        <f t="shared" si="84"/>
        <v>0</v>
      </c>
      <c r="P806" s="10">
        <f>IFERROR(SUMIFS('Base bordo'!G$2:G$746,'Base bordo'!C$2:C$746,A806,'Base bordo'!B$2:B$746,B806),0)</f>
        <v>3.7213888888888889</v>
      </c>
      <c r="Q806" s="10">
        <f>IFERROR(SUMIFS('Base bordo'!H$2:H$746,'Base bordo'!C$2:C$746,A806,'Base bordo'!B$2:B$746,B806,'Base bordo'!F$2:F$746,"DESLOCAMENTO VAZIO"),0)</f>
        <v>65601.72</v>
      </c>
      <c r="R806" s="10">
        <f>IFERROR(SUMIFS('Base bordo'!I$2:I$746,'Base bordo'!C$2:C$746,A806,'Base bordo'!B$2:B$746,B806,'Base bordo'!F$2:F$746,"DESLOCAMENTO VAZIO"),0)</f>
        <v>2984</v>
      </c>
      <c r="S806" s="30">
        <f t="shared" si="85"/>
        <v>21.984490616621983</v>
      </c>
      <c r="T806" s="10">
        <f>IFERROR(SUMIFS('Base bordo'!H$2:H$746,'Base bordo'!C$2:C$746,A806,'Base bordo'!B$2:B$746,B806,'Base bordo'!F$2:F$746,"DESLOCAMENTO CARREGADO"),0)</f>
        <v>501.05</v>
      </c>
      <c r="U806" s="10">
        <f>IFERROR(SUMIFS('Base bordo'!I$2:I$746,'Base bordo'!C$2:C$746,A806,'Base bordo'!B$2:B$746,B806,'Base bordo'!F$2:F$746,"DESLOCAMENTO CARREGADO"),0)</f>
        <v>174</v>
      </c>
      <c r="V806" s="30">
        <f t="shared" si="86"/>
        <v>2.8795977011494251</v>
      </c>
      <c r="W806" s="9">
        <f t="shared" si="87"/>
        <v>0.22273643352989475</v>
      </c>
      <c r="X806" s="9">
        <f t="shared" si="88"/>
        <v>1.2987982384115847E-2</v>
      </c>
      <c r="Y806" s="9">
        <f t="shared" si="89"/>
        <v>0.76427558408598939</v>
      </c>
    </row>
    <row r="807" spans="1:25" ht="15" customHeight="1" x14ac:dyDescent="0.35">
      <c r="A807" s="52">
        <v>8013482</v>
      </c>
      <c r="B807" s="51">
        <v>46118</v>
      </c>
      <c r="C807" s="7" t="s">
        <v>124</v>
      </c>
      <c r="D807" s="10">
        <f>IFERROR(SUMIFS('Base bordo'!G$2:G$746,'Base bordo'!C$2:C$746,A807,'Base bordo'!B$2:B$746,B807,'Base bordo'!F$2:F$746,"DESLOCAMENTO VAZIO"),0)</f>
        <v>0.37861111111111112</v>
      </c>
      <c r="E807" s="10">
        <f>IFERROR(SUMIFS('Base bordo'!G$2:G$746,'Base bordo'!C$2:C$746,A807,'Base bordo'!B$2:B$746,B807,'Base bordo'!F$2:F$746,"DESLOCAMENTO CARREGADO"),0)</f>
        <v>2.5222222222222221</v>
      </c>
      <c r="F807" s="10">
        <f>IFERROR(SUMIFS('Base bordo'!G$2:G$746,'Base bordo'!C$2:C$746,A807,'Base bordo'!B$2:B$746,B807,'Base bordo'!F$2:F$746,"DESLOCAMENTO"),0)</f>
        <v>0</v>
      </c>
      <c r="G807" s="10">
        <f>IFERROR(SUMIFS('Base bordo'!G$2:G$746,'Base bordo'!C$2:C$746,A807,'Base bordo'!B$2:B$746,B807,'Base bordo'!F$2:F$746,"CARREGAMENTO"),0)</f>
        <v>0</v>
      </c>
      <c r="H807" s="10">
        <f>IFERROR(SUMIFS('Base bordo'!G$2:G$746,'Base bordo'!C$2:C$746,A807,'Base bordo'!B$2:B$746,B807,'Base bordo'!F$2:F$746,"AGUARDANDO TRANSBORDO"),0)</f>
        <v>5.0149999999999997</v>
      </c>
      <c r="I807" s="10">
        <f>IFERROR(SUMIFS('Base bordo'!G$2:G$746,'Base bordo'!C$2:C$746,A807,'Base bordo'!B$2:B$746,B807,'Base bordo'!F$2:F$746,"PÁTIO INTERNO"),0)+IFERROR(SUMIFS('Base bordo'!G$2:G$746,'Base bordo'!C$2:C$746,A807,'Base bordo'!B$2:B$746,B807,'Base bordo'!F$2:F$746,"PÁTIO EXTERNO"),0)+IFERROR(SUMIFS('Base bordo'!G$2:G$746,'Base bordo'!C$2:C$746,A807,'Base bordo'!B$2:B$746,B807,'Base bordo'!F$2:F$746,"PATIO - RESERVA"),0)+IFERROR(SUMIFS('Base bordo'!G$2:G$746,'Base bordo'!C$2:C$746,A807,'Base bordo'!B$2:B$746,B807,'Base bordo'!F$2:F$746,"MANOBRA CARRETAS-PATIO"),0)</f>
        <v>3.0661111111111108</v>
      </c>
      <c r="J807" s="10">
        <f>IFERROR(SUMIFS('Base bordo'!G$2:G$746,'Base bordo'!C$2:C$746,A807,'Base bordo'!B$2:B$746,B807,'Base bordo'!F$2:F$746,"BALANÇA - ENTRADA"),0)+IFERROR(SUMIFS('Base bordo'!G$2:G$746,'Base bordo'!C$2:C$746,A807,'Base bordo'!B$2:B$746,B807,'Base bordo'!F$2:F$746,"BALANÇA - SAÍDA"),0)</f>
        <v>0.14555555555555555</v>
      </c>
      <c r="K807" s="10">
        <f>IFERROR(SUMIFS('Base bordo'!G$2:G$746,'Base bordo'!C$2:C$746,A807,'Base bordo'!B$2:B$746,B807,'Base bordo'!F$2:F$746,"MAN PREVENTIVA - MECANICA"),0)+IFERROR(SUMIFS('Base bordo'!G$2:G$746,'Base bordo'!C$2:C$746,A807,'Base bordo'!B$2:B$746,B807,'Base bordo'!F$2:F$746,"MAN CORRETIVA - MECANICA"),0)</f>
        <v>0</v>
      </c>
      <c r="L807" s="10">
        <f>IFERROR(SUMIFS('Base bordo'!G$2:G$746,'Base bordo'!C$2:C$746,A807,'Base bordo'!B$2:B$746,B807,'Base bordo'!F$2:F$746,"MANUTENCAO - T O"),0)+IFERROR(SUMIFS('Base bordo'!G$2:G$746,'Base bordo'!C$2:C$746,A807,'Base bordo'!B$2:B$746,B807,'Base bordo'!F$2:F$746,"MANUTENCAO BORRACHARIA"),0)+IFERROR(SUMIFS('Base bordo'!G$2:G$746,'Base bordo'!C$2:C$746,A807,'Base bordo'!B$2:B$746,B807,'Base bordo'!F$2:F$746,"MANUTENCAO EXTERNA  CONCESSIONARIA"),0)+IFERROR(SUMIFS('Base bordo'!G$2:G$746,'Base bordo'!C$2:C$746,A807,'Base bordo'!B$2:B$746,B807,'Base bordo'!F$2:F$746,"MANUTENCAO TELEMETRIA"),0)</f>
        <v>0</v>
      </c>
      <c r="M807" s="10">
        <f>IFERROR(SUMIFS('Base bordo'!G$2:G$746,'Base bordo'!C$2:C$746,A807,'Base bordo'!B$2:B$746,B807,'Base bordo'!F$2:F$746,"AGUARDANDO MANUTENCAO"),0)</f>
        <v>0</v>
      </c>
      <c r="N807" s="10">
        <f>IFERROR(SUMIFS('Base bordo'!G$2:G$746,'Base bordo'!C$2:C$746,A807,'Base bordo'!B$2:B$746,B807,'Base bordo'!F$2:F$746,"SEM APONTAMENTO"),0)</f>
        <v>0</v>
      </c>
      <c r="O807" s="10">
        <f t="shared" si="84"/>
        <v>0</v>
      </c>
      <c r="P807" s="10">
        <f>IFERROR(SUMIFS('Base bordo'!G$2:G$746,'Base bordo'!C$2:C$746,A807,'Base bordo'!B$2:B$746,B807),0)</f>
        <v>11.1275</v>
      </c>
      <c r="Q807" s="10">
        <f>IFERROR(SUMIFS('Base bordo'!H$2:H$746,'Base bordo'!C$2:C$746,A807,'Base bordo'!B$2:B$746,B807,'Base bordo'!F$2:F$746,"DESLOCAMENTO VAZIO"),0)</f>
        <v>7195.82</v>
      </c>
      <c r="R807" s="10">
        <f>IFERROR(SUMIFS('Base bordo'!I$2:I$746,'Base bordo'!C$2:C$746,A807,'Base bordo'!B$2:B$746,B807,'Base bordo'!F$2:F$746,"DESLOCAMENTO VAZIO"),0)</f>
        <v>1363</v>
      </c>
      <c r="S807" s="30">
        <f t="shared" si="85"/>
        <v>5.2793983859134261</v>
      </c>
      <c r="T807" s="10">
        <f>IFERROR(SUMIFS('Base bordo'!H$2:H$746,'Base bordo'!C$2:C$746,A807,'Base bordo'!B$2:B$746,B807,'Base bordo'!F$2:F$746,"DESLOCAMENTO CARREGADO"),0)</f>
        <v>221650.07</v>
      </c>
      <c r="U807" s="10">
        <f>IFERROR(SUMIFS('Base bordo'!I$2:I$746,'Base bordo'!C$2:C$746,A807,'Base bordo'!B$2:B$746,B807,'Base bordo'!F$2:F$746,"DESLOCAMENTO CARREGADO"),0)</f>
        <v>9080</v>
      </c>
      <c r="V807" s="30">
        <f t="shared" si="86"/>
        <v>24.410800660792951</v>
      </c>
      <c r="W807" s="9">
        <f t="shared" si="87"/>
        <v>3.4024813400234659E-2</v>
      </c>
      <c r="X807" s="9">
        <f t="shared" si="88"/>
        <v>0.22666566813949424</v>
      </c>
      <c r="Y807" s="9">
        <f t="shared" si="89"/>
        <v>0.73930951846027115</v>
      </c>
    </row>
    <row r="808" spans="1:25" ht="15" customHeight="1" x14ac:dyDescent="0.35">
      <c r="A808" s="52">
        <v>8013482</v>
      </c>
      <c r="B808" s="51">
        <v>46118</v>
      </c>
      <c r="C808" s="7" t="s">
        <v>124</v>
      </c>
      <c r="D808" s="10">
        <f>IFERROR(SUMIFS('Base bordo'!G$2:G$746,'Base bordo'!C$2:C$746,A808,'Base bordo'!B$2:B$746,B808,'Base bordo'!F$2:F$746,"DESLOCAMENTO VAZIO"),0)</f>
        <v>0.37861111111111112</v>
      </c>
      <c r="E808" s="10">
        <f>IFERROR(SUMIFS('Base bordo'!G$2:G$746,'Base bordo'!C$2:C$746,A808,'Base bordo'!B$2:B$746,B808,'Base bordo'!F$2:F$746,"DESLOCAMENTO CARREGADO"),0)</f>
        <v>2.5222222222222221</v>
      </c>
      <c r="F808" s="10">
        <f>IFERROR(SUMIFS('Base bordo'!G$2:G$746,'Base bordo'!C$2:C$746,A808,'Base bordo'!B$2:B$746,B808,'Base bordo'!F$2:F$746,"DESLOCAMENTO"),0)</f>
        <v>0</v>
      </c>
      <c r="G808" s="10">
        <f>IFERROR(SUMIFS('Base bordo'!G$2:G$746,'Base bordo'!C$2:C$746,A808,'Base bordo'!B$2:B$746,B808,'Base bordo'!F$2:F$746,"CARREGAMENTO"),0)</f>
        <v>0</v>
      </c>
      <c r="H808" s="10">
        <f>IFERROR(SUMIFS('Base bordo'!G$2:G$746,'Base bordo'!C$2:C$746,A808,'Base bordo'!B$2:B$746,B808,'Base bordo'!F$2:F$746,"AGUARDANDO TRANSBORDO"),0)</f>
        <v>5.0149999999999997</v>
      </c>
      <c r="I808" s="10">
        <f>IFERROR(SUMIFS('Base bordo'!G$2:G$746,'Base bordo'!C$2:C$746,A808,'Base bordo'!B$2:B$746,B808,'Base bordo'!F$2:F$746,"PÁTIO INTERNO"),0)+IFERROR(SUMIFS('Base bordo'!G$2:G$746,'Base bordo'!C$2:C$746,A808,'Base bordo'!B$2:B$746,B808,'Base bordo'!F$2:F$746,"PÁTIO EXTERNO"),0)+IFERROR(SUMIFS('Base bordo'!G$2:G$746,'Base bordo'!C$2:C$746,A808,'Base bordo'!B$2:B$746,B808,'Base bordo'!F$2:F$746,"PATIO - RESERVA"),0)+IFERROR(SUMIFS('Base bordo'!G$2:G$746,'Base bordo'!C$2:C$746,A808,'Base bordo'!B$2:B$746,B808,'Base bordo'!F$2:F$746,"MANOBRA CARRETAS-PATIO"),0)</f>
        <v>3.0661111111111108</v>
      </c>
      <c r="J808" s="10">
        <f>IFERROR(SUMIFS('Base bordo'!G$2:G$746,'Base bordo'!C$2:C$746,A808,'Base bordo'!B$2:B$746,B808,'Base bordo'!F$2:F$746,"BALANÇA - ENTRADA"),0)+IFERROR(SUMIFS('Base bordo'!G$2:G$746,'Base bordo'!C$2:C$746,A808,'Base bordo'!B$2:B$746,B808,'Base bordo'!F$2:F$746,"BALANÇA - SAÍDA"),0)</f>
        <v>0.14555555555555555</v>
      </c>
      <c r="K808" s="10">
        <f>IFERROR(SUMIFS('Base bordo'!G$2:G$746,'Base bordo'!C$2:C$746,A808,'Base bordo'!B$2:B$746,B808,'Base bordo'!F$2:F$746,"MAN PREVENTIVA - MECANICA"),0)+IFERROR(SUMIFS('Base bordo'!G$2:G$746,'Base bordo'!C$2:C$746,A808,'Base bordo'!B$2:B$746,B808,'Base bordo'!F$2:F$746,"MAN CORRETIVA - MECANICA"),0)</f>
        <v>0</v>
      </c>
      <c r="L808" s="10">
        <f>IFERROR(SUMIFS('Base bordo'!G$2:G$746,'Base bordo'!C$2:C$746,A808,'Base bordo'!B$2:B$746,B808,'Base bordo'!F$2:F$746,"MANUTENCAO - T O"),0)+IFERROR(SUMIFS('Base bordo'!G$2:G$746,'Base bordo'!C$2:C$746,A808,'Base bordo'!B$2:B$746,B808,'Base bordo'!F$2:F$746,"MANUTENCAO BORRACHARIA"),0)+IFERROR(SUMIFS('Base bordo'!G$2:G$746,'Base bordo'!C$2:C$746,A808,'Base bordo'!B$2:B$746,B808,'Base bordo'!F$2:F$746,"MANUTENCAO EXTERNA  CONCESSIONARIA"),0)+IFERROR(SUMIFS('Base bordo'!G$2:G$746,'Base bordo'!C$2:C$746,A808,'Base bordo'!B$2:B$746,B808,'Base bordo'!F$2:F$746,"MANUTENCAO TELEMETRIA"),0)</f>
        <v>0</v>
      </c>
      <c r="M808" s="10">
        <f>IFERROR(SUMIFS('Base bordo'!G$2:G$746,'Base bordo'!C$2:C$746,A808,'Base bordo'!B$2:B$746,B808,'Base bordo'!F$2:F$746,"AGUARDANDO MANUTENCAO"),0)</f>
        <v>0</v>
      </c>
      <c r="N808" s="10">
        <f>IFERROR(SUMIFS('Base bordo'!G$2:G$746,'Base bordo'!C$2:C$746,A808,'Base bordo'!B$2:B$746,B808,'Base bordo'!F$2:F$746,"SEM APONTAMENTO"),0)</f>
        <v>0</v>
      </c>
      <c r="O808" s="10">
        <f t="shared" si="84"/>
        <v>0</v>
      </c>
      <c r="P808" s="10">
        <f>IFERROR(SUMIFS('Base bordo'!G$2:G$746,'Base bordo'!C$2:C$746,A808,'Base bordo'!B$2:B$746,B808),0)</f>
        <v>11.1275</v>
      </c>
      <c r="Q808" s="10">
        <f>IFERROR(SUMIFS('Base bordo'!H$2:H$746,'Base bordo'!C$2:C$746,A808,'Base bordo'!B$2:B$746,B808,'Base bordo'!F$2:F$746,"DESLOCAMENTO VAZIO"),0)</f>
        <v>7195.82</v>
      </c>
      <c r="R808" s="10">
        <f>IFERROR(SUMIFS('Base bordo'!I$2:I$746,'Base bordo'!C$2:C$746,A808,'Base bordo'!B$2:B$746,B808,'Base bordo'!F$2:F$746,"DESLOCAMENTO VAZIO"),0)</f>
        <v>1363</v>
      </c>
      <c r="S808" s="30">
        <f t="shared" si="85"/>
        <v>5.2793983859134261</v>
      </c>
      <c r="T808" s="10">
        <f>IFERROR(SUMIFS('Base bordo'!H$2:H$746,'Base bordo'!C$2:C$746,A808,'Base bordo'!B$2:B$746,B808,'Base bordo'!F$2:F$746,"DESLOCAMENTO CARREGADO"),0)</f>
        <v>221650.07</v>
      </c>
      <c r="U808" s="10">
        <f>IFERROR(SUMIFS('Base bordo'!I$2:I$746,'Base bordo'!C$2:C$746,A808,'Base bordo'!B$2:B$746,B808,'Base bordo'!F$2:F$746,"DESLOCAMENTO CARREGADO"),0)</f>
        <v>9080</v>
      </c>
      <c r="V808" s="30">
        <f t="shared" si="86"/>
        <v>24.410800660792951</v>
      </c>
      <c r="W808" s="9">
        <f t="shared" si="87"/>
        <v>3.4024813400234659E-2</v>
      </c>
      <c r="X808" s="9">
        <f t="shared" si="88"/>
        <v>0.22666566813949424</v>
      </c>
      <c r="Y808" s="9">
        <f t="shared" si="89"/>
        <v>0.73930951846027115</v>
      </c>
    </row>
    <row r="809" spans="1:25" ht="15" customHeight="1" x14ac:dyDescent="0.35">
      <c r="A809" s="52">
        <v>8013482</v>
      </c>
      <c r="B809" s="51">
        <v>46118</v>
      </c>
      <c r="C809" s="7" t="s">
        <v>124</v>
      </c>
      <c r="D809" s="10">
        <f>IFERROR(SUMIFS('Base bordo'!G$2:G$746,'Base bordo'!C$2:C$746,A809,'Base bordo'!B$2:B$746,B809,'Base bordo'!F$2:F$746,"DESLOCAMENTO VAZIO"),0)</f>
        <v>0.37861111111111112</v>
      </c>
      <c r="E809" s="10">
        <f>IFERROR(SUMIFS('Base bordo'!G$2:G$746,'Base bordo'!C$2:C$746,A809,'Base bordo'!B$2:B$746,B809,'Base bordo'!F$2:F$746,"DESLOCAMENTO CARREGADO"),0)</f>
        <v>2.5222222222222221</v>
      </c>
      <c r="F809" s="10">
        <f>IFERROR(SUMIFS('Base bordo'!G$2:G$746,'Base bordo'!C$2:C$746,A809,'Base bordo'!B$2:B$746,B809,'Base bordo'!F$2:F$746,"DESLOCAMENTO"),0)</f>
        <v>0</v>
      </c>
      <c r="G809" s="10">
        <f>IFERROR(SUMIFS('Base bordo'!G$2:G$746,'Base bordo'!C$2:C$746,A809,'Base bordo'!B$2:B$746,B809,'Base bordo'!F$2:F$746,"CARREGAMENTO"),0)</f>
        <v>0</v>
      </c>
      <c r="H809" s="10">
        <f>IFERROR(SUMIFS('Base bordo'!G$2:G$746,'Base bordo'!C$2:C$746,A809,'Base bordo'!B$2:B$746,B809,'Base bordo'!F$2:F$746,"AGUARDANDO TRANSBORDO"),0)</f>
        <v>5.0149999999999997</v>
      </c>
      <c r="I809" s="10">
        <f>IFERROR(SUMIFS('Base bordo'!G$2:G$746,'Base bordo'!C$2:C$746,A809,'Base bordo'!B$2:B$746,B809,'Base bordo'!F$2:F$746,"PÁTIO INTERNO"),0)+IFERROR(SUMIFS('Base bordo'!G$2:G$746,'Base bordo'!C$2:C$746,A809,'Base bordo'!B$2:B$746,B809,'Base bordo'!F$2:F$746,"PÁTIO EXTERNO"),0)+IFERROR(SUMIFS('Base bordo'!G$2:G$746,'Base bordo'!C$2:C$746,A809,'Base bordo'!B$2:B$746,B809,'Base bordo'!F$2:F$746,"PATIO - RESERVA"),0)+IFERROR(SUMIFS('Base bordo'!G$2:G$746,'Base bordo'!C$2:C$746,A809,'Base bordo'!B$2:B$746,B809,'Base bordo'!F$2:F$746,"MANOBRA CARRETAS-PATIO"),0)</f>
        <v>3.0661111111111108</v>
      </c>
      <c r="J809" s="10">
        <f>IFERROR(SUMIFS('Base bordo'!G$2:G$746,'Base bordo'!C$2:C$746,A809,'Base bordo'!B$2:B$746,B809,'Base bordo'!F$2:F$746,"BALANÇA - ENTRADA"),0)+IFERROR(SUMIFS('Base bordo'!G$2:G$746,'Base bordo'!C$2:C$746,A809,'Base bordo'!B$2:B$746,B809,'Base bordo'!F$2:F$746,"BALANÇA - SAÍDA"),0)</f>
        <v>0.14555555555555555</v>
      </c>
      <c r="K809" s="10">
        <f>IFERROR(SUMIFS('Base bordo'!G$2:G$746,'Base bordo'!C$2:C$746,A809,'Base bordo'!B$2:B$746,B809,'Base bordo'!F$2:F$746,"MAN PREVENTIVA - MECANICA"),0)+IFERROR(SUMIFS('Base bordo'!G$2:G$746,'Base bordo'!C$2:C$746,A809,'Base bordo'!B$2:B$746,B809,'Base bordo'!F$2:F$746,"MAN CORRETIVA - MECANICA"),0)</f>
        <v>0</v>
      </c>
      <c r="L809" s="10">
        <f>IFERROR(SUMIFS('Base bordo'!G$2:G$746,'Base bordo'!C$2:C$746,A809,'Base bordo'!B$2:B$746,B809,'Base bordo'!F$2:F$746,"MANUTENCAO - T O"),0)+IFERROR(SUMIFS('Base bordo'!G$2:G$746,'Base bordo'!C$2:C$746,A809,'Base bordo'!B$2:B$746,B809,'Base bordo'!F$2:F$746,"MANUTENCAO BORRACHARIA"),0)+IFERROR(SUMIFS('Base bordo'!G$2:G$746,'Base bordo'!C$2:C$746,A809,'Base bordo'!B$2:B$746,B809,'Base bordo'!F$2:F$746,"MANUTENCAO EXTERNA  CONCESSIONARIA"),0)+IFERROR(SUMIFS('Base bordo'!G$2:G$746,'Base bordo'!C$2:C$746,A809,'Base bordo'!B$2:B$746,B809,'Base bordo'!F$2:F$746,"MANUTENCAO TELEMETRIA"),0)</f>
        <v>0</v>
      </c>
      <c r="M809" s="10">
        <f>IFERROR(SUMIFS('Base bordo'!G$2:G$746,'Base bordo'!C$2:C$746,A809,'Base bordo'!B$2:B$746,B809,'Base bordo'!F$2:F$746,"AGUARDANDO MANUTENCAO"),0)</f>
        <v>0</v>
      </c>
      <c r="N809" s="10">
        <f>IFERROR(SUMIFS('Base bordo'!G$2:G$746,'Base bordo'!C$2:C$746,A809,'Base bordo'!B$2:B$746,B809,'Base bordo'!F$2:F$746,"SEM APONTAMENTO"),0)</f>
        <v>0</v>
      </c>
      <c r="O809" s="10">
        <f t="shared" si="84"/>
        <v>0</v>
      </c>
      <c r="P809" s="10">
        <f>IFERROR(SUMIFS('Base bordo'!G$2:G$746,'Base bordo'!C$2:C$746,A809,'Base bordo'!B$2:B$746,B809),0)</f>
        <v>11.1275</v>
      </c>
      <c r="Q809" s="10">
        <f>IFERROR(SUMIFS('Base bordo'!H$2:H$746,'Base bordo'!C$2:C$746,A809,'Base bordo'!B$2:B$746,B809,'Base bordo'!F$2:F$746,"DESLOCAMENTO VAZIO"),0)</f>
        <v>7195.82</v>
      </c>
      <c r="R809" s="10">
        <f>IFERROR(SUMIFS('Base bordo'!I$2:I$746,'Base bordo'!C$2:C$746,A809,'Base bordo'!B$2:B$746,B809,'Base bordo'!F$2:F$746,"DESLOCAMENTO VAZIO"),0)</f>
        <v>1363</v>
      </c>
      <c r="S809" s="30">
        <f t="shared" si="85"/>
        <v>5.2793983859134261</v>
      </c>
      <c r="T809" s="10">
        <f>IFERROR(SUMIFS('Base bordo'!H$2:H$746,'Base bordo'!C$2:C$746,A809,'Base bordo'!B$2:B$746,B809,'Base bordo'!F$2:F$746,"DESLOCAMENTO CARREGADO"),0)</f>
        <v>221650.07</v>
      </c>
      <c r="U809" s="10">
        <f>IFERROR(SUMIFS('Base bordo'!I$2:I$746,'Base bordo'!C$2:C$746,A809,'Base bordo'!B$2:B$746,B809,'Base bordo'!F$2:F$746,"DESLOCAMENTO CARREGADO"),0)</f>
        <v>9080</v>
      </c>
      <c r="V809" s="30">
        <f t="shared" si="86"/>
        <v>24.410800660792951</v>
      </c>
      <c r="W809" s="9">
        <f t="shared" si="87"/>
        <v>3.4024813400234659E-2</v>
      </c>
      <c r="X809" s="9">
        <f t="shared" si="88"/>
        <v>0.22666566813949424</v>
      </c>
      <c r="Y809" s="9">
        <f t="shared" si="89"/>
        <v>0.73930951846027115</v>
      </c>
    </row>
    <row r="810" spans="1:25" ht="15" customHeight="1" x14ac:dyDescent="0.35">
      <c r="A810" s="52">
        <v>8013482</v>
      </c>
      <c r="B810" s="51">
        <v>46118</v>
      </c>
      <c r="C810" s="7" t="s">
        <v>124</v>
      </c>
      <c r="D810" s="10">
        <f>IFERROR(SUMIFS('Base bordo'!G$2:G$746,'Base bordo'!C$2:C$746,A810,'Base bordo'!B$2:B$746,B810,'Base bordo'!F$2:F$746,"DESLOCAMENTO VAZIO"),0)</f>
        <v>0.37861111111111112</v>
      </c>
      <c r="E810" s="10">
        <f>IFERROR(SUMIFS('Base bordo'!G$2:G$746,'Base bordo'!C$2:C$746,A810,'Base bordo'!B$2:B$746,B810,'Base bordo'!F$2:F$746,"DESLOCAMENTO CARREGADO"),0)</f>
        <v>2.5222222222222221</v>
      </c>
      <c r="F810" s="10">
        <f>IFERROR(SUMIFS('Base bordo'!G$2:G$746,'Base bordo'!C$2:C$746,A810,'Base bordo'!B$2:B$746,B810,'Base bordo'!F$2:F$746,"DESLOCAMENTO"),0)</f>
        <v>0</v>
      </c>
      <c r="G810" s="10">
        <f>IFERROR(SUMIFS('Base bordo'!G$2:G$746,'Base bordo'!C$2:C$746,A810,'Base bordo'!B$2:B$746,B810,'Base bordo'!F$2:F$746,"CARREGAMENTO"),0)</f>
        <v>0</v>
      </c>
      <c r="H810" s="10">
        <f>IFERROR(SUMIFS('Base bordo'!G$2:G$746,'Base bordo'!C$2:C$746,A810,'Base bordo'!B$2:B$746,B810,'Base bordo'!F$2:F$746,"AGUARDANDO TRANSBORDO"),0)</f>
        <v>5.0149999999999997</v>
      </c>
      <c r="I810" s="10">
        <f>IFERROR(SUMIFS('Base bordo'!G$2:G$746,'Base bordo'!C$2:C$746,A810,'Base bordo'!B$2:B$746,B810,'Base bordo'!F$2:F$746,"PÁTIO INTERNO"),0)+IFERROR(SUMIFS('Base bordo'!G$2:G$746,'Base bordo'!C$2:C$746,A810,'Base bordo'!B$2:B$746,B810,'Base bordo'!F$2:F$746,"PÁTIO EXTERNO"),0)+IFERROR(SUMIFS('Base bordo'!G$2:G$746,'Base bordo'!C$2:C$746,A810,'Base bordo'!B$2:B$746,B810,'Base bordo'!F$2:F$746,"PATIO - RESERVA"),0)+IFERROR(SUMIFS('Base bordo'!G$2:G$746,'Base bordo'!C$2:C$746,A810,'Base bordo'!B$2:B$746,B810,'Base bordo'!F$2:F$746,"MANOBRA CARRETAS-PATIO"),0)</f>
        <v>3.0661111111111108</v>
      </c>
      <c r="J810" s="10">
        <f>IFERROR(SUMIFS('Base bordo'!G$2:G$746,'Base bordo'!C$2:C$746,A810,'Base bordo'!B$2:B$746,B810,'Base bordo'!F$2:F$746,"BALANÇA - ENTRADA"),0)+IFERROR(SUMIFS('Base bordo'!G$2:G$746,'Base bordo'!C$2:C$746,A810,'Base bordo'!B$2:B$746,B810,'Base bordo'!F$2:F$746,"BALANÇA - SAÍDA"),0)</f>
        <v>0.14555555555555555</v>
      </c>
      <c r="K810" s="10">
        <f>IFERROR(SUMIFS('Base bordo'!G$2:G$746,'Base bordo'!C$2:C$746,A810,'Base bordo'!B$2:B$746,B810,'Base bordo'!F$2:F$746,"MAN PREVENTIVA - MECANICA"),0)+IFERROR(SUMIFS('Base bordo'!G$2:G$746,'Base bordo'!C$2:C$746,A810,'Base bordo'!B$2:B$746,B810,'Base bordo'!F$2:F$746,"MAN CORRETIVA - MECANICA"),0)</f>
        <v>0</v>
      </c>
      <c r="L810" s="10">
        <f>IFERROR(SUMIFS('Base bordo'!G$2:G$746,'Base bordo'!C$2:C$746,A810,'Base bordo'!B$2:B$746,B810,'Base bordo'!F$2:F$746,"MANUTENCAO - T O"),0)+IFERROR(SUMIFS('Base bordo'!G$2:G$746,'Base bordo'!C$2:C$746,A810,'Base bordo'!B$2:B$746,B810,'Base bordo'!F$2:F$746,"MANUTENCAO BORRACHARIA"),0)+IFERROR(SUMIFS('Base bordo'!G$2:G$746,'Base bordo'!C$2:C$746,A810,'Base bordo'!B$2:B$746,B810,'Base bordo'!F$2:F$746,"MANUTENCAO EXTERNA  CONCESSIONARIA"),0)+IFERROR(SUMIFS('Base bordo'!G$2:G$746,'Base bordo'!C$2:C$746,A810,'Base bordo'!B$2:B$746,B810,'Base bordo'!F$2:F$746,"MANUTENCAO TELEMETRIA"),0)</f>
        <v>0</v>
      </c>
      <c r="M810" s="10">
        <f>IFERROR(SUMIFS('Base bordo'!G$2:G$746,'Base bordo'!C$2:C$746,A810,'Base bordo'!B$2:B$746,B810,'Base bordo'!F$2:F$746,"AGUARDANDO MANUTENCAO"),0)</f>
        <v>0</v>
      </c>
      <c r="N810" s="10">
        <f>IFERROR(SUMIFS('Base bordo'!G$2:G$746,'Base bordo'!C$2:C$746,A810,'Base bordo'!B$2:B$746,B810,'Base bordo'!F$2:F$746,"SEM APONTAMENTO"),0)</f>
        <v>0</v>
      </c>
      <c r="O810" s="10">
        <f t="shared" si="84"/>
        <v>0</v>
      </c>
      <c r="P810" s="10">
        <f>IFERROR(SUMIFS('Base bordo'!G$2:G$746,'Base bordo'!C$2:C$746,A810,'Base bordo'!B$2:B$746,B810),0)</f>
        <v>11.1275</v>
      </c>
      <c r="Q810" s="10">
        <f>IFERROR(SUMIFS('Base bordo'!H$2:H$746,'Base bordo'!C$2:C$746,A810,'Base bordo'!B$2:B$746,B810,'Base bordo'!F$2:F$746,"DESLOCAMENTO VAZIO"),0)</f>
        <v>7195.82</v>
      </c>
      <c r="R810" s="10">
        <f>IFERROR(SUMIFS('Base bordo'!I$2:I$746,'Base bordo'!C$2:C$746,A810,'Base bordo'!B$2:B$746,B810,'Base bordo'!F$2:F$746,"DESLOCAMENTO VAZIO"),0)</f>
        <v>1363</v>
      </c>
      <c r="S810" s="30">
        <f t="shared" si="85"/>
        <v>5.2793983859134261</v>
      </c>
      <c r="T810" s="10">
        <f>IFERROR(SUMIFS('Base bordo'!H$2:H$746,'Base bordo'!C$2:C$746,A810,'Base bordo'!B$2:B$746,B810,'Base bordo'!F$2:F$746,"DESLOCAMENTO CARREGADO"),0)</f>
        <v>221650.07</v>
      </c>
      <c r="U810" s="10">
        <f>IFERROR(SUMIFS('Base bordo'!I$2:I$746,'Base bordo'!C$2:C$746,A810,'Base bordo'!B$2:B$746,B810,'Base bordo'!F$2:F$746,"DESLOCAMENTO CARREGADO"),0)</f>
        <v>9080</v>
      </c>
      <c r="V810" s="30">
        <f t="shared" si="86"/>
        <v>24.410800660792951</v>
      </c>
      <c r="W810" s="9">
        <f t="shared" si="87"/>
        <v>3.4024813400234659E-2</v>
      </c>
      <c r="X810" s="9">
        <f t="shared" si="88"/>
        <v>0.22666566813949424</v>
      </c>
      <c r="Y810" s="9">
        <f t="shared" si="89"/>
        <v>0.73930951846027115</v>
      </c>
    </row>
    <row r="811" spans="1:25" ht="15" customHeight="1" x14ac:dyDescent="0.35">
      <c r="A811" s="52">
        <v>8013482</v>
      </c>
      <c r="B811" s="51">
        <v>46118</v>
      </c>
      <c r="C811" s="7" t="s">
        <v>124</v>
      </c>
      <c r="D811" s="10">
        <f>IFERROR(SUMIFS('Base bordo'!G$2:G$746,'Base bordo'!C$2:C$746,A811,'Base bordo'!B$2:B$746,B811,'Base bordo'!F$2:F$746,"DESLOCAMENTO VAZIO"),0)</f>
        <v>0.37861111111111112</v>
      </c>
      <c r="E811" s="10">
        <f>IFERROR(SUMIFS('Base bordo'!G$2:G$746,'Base bordo'!C$2:C$746,A811,'Base bordo'!B$2:B$746,B811,'Base bordo'!F$2:F$746,"DESLOCAMENTO CARREGADO"),0)</f>
        <v>2.5222222222222221</v>
      </c>
      <c r="F811" s="10">
        <f>IFERROR(SUMIFS('Base bordo'!G$2:G$746,'Base bordo'!C$2:C$746,A811,'Base bordo'!B$2:B$746,B811,'Base bordo'!F$2:F$746,"DESLOCAMENTO"),0)</f>
        <v>0</v>
      </c>
      <c r="G811" s="10">
        <f>IFERROR(SUMIFS('Base bordo'!G$2:G$746,'Base bordo'!C$2:C$746,A811,'Base bordo'!B$2:B$746,B811,'Base bordo'!F$2:F$746,"CARREGAMENTO"),0)</f>
        <v>0</v>
      </c>
      <c r="H811" s="10">
        <f>IFERROR(SUMIFS('Base bordo'!G$2:G$746,'Base bordo'!C$2:C$746,A811,'Base bordo'!B$2:B$746,B811,'Base bordo'!F$2:F$746,"AGUARDANDO TRANSBORDO"),0)</f>
        <v>5.0149999999999997</v>
      </c>
      <c r="I811" s="10">
        <f>IFERROR(SUMIFS('Base bordo'!G$2:G$746,'Base bordo'!C$2:C$746,A811,'Base bordo'!B$2:B$746,B811,'Base bordo'!F$2:F$746,"PÁTIO INTERNO"),0)+IFERROR(SUMIFS('Base bordo'!G$2:G$746,'Base bordo'!C$2:C$746,A811,'Base bordo'!B$2:B$746,B811,'Base bordo'!F$2:F$746,"PÁTIO EXTERNO"),0)+IFERROR(SUMIFS('Base bordo'!G$2:G$746,'Base bordo'!C$2:C$746,A811,'Base bordo'!B$2:B$746,B811,'Base bordo'!F$2:F$746,"PATIO - RESERVA"),0)+IFERROR(SUMIFS('Base bordo'!G$2:G$746,'Base bordo'!C$2:C$746,A811,'Base bordo'!B$2:B$746,B811,'Base bordo'!F$2:F$746,"MANOBRA CARRETAS-PATIO"),0)</f>
        <v>3.0661111111111108</v>
      </c>
      <c r="J811" s="10">
        <f>IFERROR(SUMIFS('Base bordo'!G$2:G$746,'Base bordo'!C$2:C$746,A811,'Base bordo'!B$2:B$746,B811,'Base bordo'!F$2:F$746,"BALANÇA - ENTRADA"),0)+IFERROR(SUMIFS('Base bordo'!G$2:G$746,'Base bordo'!C$2:C$746,A811,'Base bordo'!B$2:B$746,B811,'Base bordo'!F$2:F$746,"BALANÇA - SAÍDA"),0)</f>
        <v>0.14555555555555555</v>
      </c>
      <c r="K811" s="10">
        <f>IFERROR(SUMIFS('Base bordo'!G$2:G$746,'Base bordo'!C$2:C$746,A811,'Base bordo'!B$2:B$746,B811,'Base bordo'!F$2:F$746,"MAN PREVENTIVA - MECANICA"),0)+IFERROR(SUMIFS('Base bordo'!G$2:G$746,'Base bordo'!C$2:C$746,A811,'Base bordo'!B$2:B$746,B811,'Base bordo'!F$2:F$746,"MAN CORRETIVA - MECANICA"),0)</f>
        <v>0</v>
      </c>
      <c r="L811" s="10">
        <f>IFERROR(SUMIFS('Base bordo'!G$2:G$746,'Base bordo'!C$2:C$746,A811,'Base bordo'!B$2:B$746,B811,'Base bordo'!F$2:F$746,"MANUTENCAO - T O"),0)+IFERROR(SUMIFS('Base bordo'!G$2:G$746,'Base bordo'!C$2:C$746,A811,'Base bordo'!B$2:B$746,B811,'Base bordo'!F$2:F$746,"MANUTENCAO BORRACHARIA"),0)+IFERROR(SUMIFS('Base bordo'!G$2:G$746,'Base bordo'!C$2:C$746,A811,'Base bordo'!B$2:B$746,B811,'Base bordo'!F$2:F$746,"MANUTENCAO EXTERNA  CONCESSIONARIA"),0)+IFERROR(SUMIFS('Base bordo'!G$2:G$746,'Base bordo'!C$2:C$746,A811,'Base bordo'!B$2:B$746,B811,'Base bordo'!F$2:F$746,"MANUTENCAO TELEMETRIA"),0)</f>
        <v>0</v>
      </c>
      <c r="M811" s="10">
        <f>IFERROR(SUMIFS('Base bordo'!G$2:G$746,'Base bordo'!C$2:C$746,A811,'Base bordo'!B$2:B$746,B811,'Base bordo'!F$2:F$746,"AGUARDANDO MANUTENCAO"),0)</f>
        <v>0</v>
      </c>
      <c r="N811" s="10">
        <f>IFERROR(SUMIFS('Base bordo'!G$2:G$746,'Base bordo'!C$2:C$746,A811,'Base bordo'!B$2:B$746,B811,'Base bordo'!F$2:F$746,"SEM APONTAMENTO"),0)</f>
        <v>0</v>
      </c>
      <c r="O811" s="10">
        <f t="shared" si="84"/>
        <v>0</v>
      </c>
      <c r="P811" s="10">
        <f>IFERROR(SUMIFS('Base bordo'!G$2:G$746,'Base bordo'!C$2:C$746,A811,'Base bordo'!B$2:B$746,B811),0)</f>
        <v>11.1275</v>
      </c>
      <c r="Q811" s="10">
        <f>IFERROR(SUMIFS('Base bordo'!H$2:H$746,'Base bordo'!C$2:C$746,A811,'Base bordo'!B$2:B$746,B811,'Base bordo'!F$2:F$746,"DESLOCAMENTO VAZIO"),0)</f>
        <v>7195.82</v>
      </c>
      <c r="R811" s="10">
        <f>IFERROR(SUMIFS('Base bordo'!I$2:I$746,'Base bordo'!C$2:C$746,A811,'Base bordo'!B$2:B$746,B811,'Base bordo'!F$2:F$746,"DESLOCAMENTO VAZIO"),0)</f>
        <v>1363</v>
      </c>
      <c r="S811" s="30">
        <f t="shared" si="85"/>
        <v>5.2793983859134261</v>
      </c>
      <c r="T811" s="10">
        <f>IFERROR(SUMIFS('Base bordo'!H$2:H$746,'Base bordo'!C$2:C$746,A811,'Base bordo'!B$2:B$746,B811,'Base bordo'!F$2:F$746,"DESLOCAMENTO CARREGADO"),0)</f>
        <v>221650.07</v>
      </c>
      <c r="U811" s="10">
        <f>IFERROR(SUMIFS('Base bordo'!I$2:I$746,'Base bordo'!C$2:C$746,A811,'Base bordo'!B$2:B$746,B811,'Base bordo'!F$2:F$746,"DESLOCAMENTO CARREGADO"),0)</f>
        <v>9080</v>
      </c>
      <c r="V811" s="30">
        <f t="shared" si="86"/>
        <v>24.410800660792951</v>
      </c>
      <c r="W811" s="9">
        <f t="shared" si="87"/>
        <v>3.4024813400234659E-2</v>
      </c>
      <c r="X811" s="9">
        <f t="shared" si="88"/>
        <v>0.22666566813949424</v>
      </c>
      <c r="Y811" s="9">
        <f t="shared" si="89"/>
        <v>0.73930951846027115</v>
      </c>
    </row>
    <row r="812" spans="1:25" ht="15" customHeight="1" x14ac:dyDescent="0.35">
      <c r="A812" s="52">
        <v>8013482</v>
      </c>
      <c r="B812" s="51">
        <v>46118</v>
      </c>
      <c r="C812" s="7" t="s">
        <v>124</v>
      </c>
      <c r="D812" s="10">
        <f>IFERROR(SUMIFS('Base bordo'!G$2:G$746,'Base bordo'!C$2:C$746,A812,'Base bordo'!B$2:B$746,B812,'Base bordo'!F$2:F$746,"DESLOCAMENTO VAZIO"),0)</f>
        <v>0.37861111111111112</v>
      </c>
      <c r="E812" s="10">
        <f>IFERROR(SUMIFS('Base bordo'!G$2:G$746,'Base bordo'!C$2:C$746,A812,'Base bordo'!B$2:B$746,B812,'Base bordo'!F$2:F$746,"DESLOCAMENTO CARREGADO"),0)</f>
        <v>2.5222222222222221</v>
      </c>
      <c r="F812" s="10">
        <f>IFERROR(SUMIFS('Base bordo'!G$2:G$746,'Base bordo'!C$2:C$746,A812,'Base bordo'!B$2:B$746,B812,'Base bordo'!F$2:F$746,"DESLOCAMENTO"),0)</f>
        <v>0</v>
      </c>
      <c r="G812" s="10">
        <f>IFERROR(SUMIFS('Base bordo'!G$2:G$746,'Base bordo'!C$2:C$746,A812,'Base bordo'!B$2:B$746,B812,'Base bordo'!F$2:F$746,"CARREGAMENTO"),0)</f>
        <v>0</v>
      </c>
      <c r="H812" s="10">
        <f>IFERROR(SUMIFS('Base bordo'!G$2:G$746,'Base bordo'!C$2:C$746,A812,'Base bordo'!B$2:B$746,B812,'Base bordo'!F$2:F$746,"AGUARDANDO TRANSBORDO"),0)</f>
        <v>5.0149999999999997</v>
      </c>
      <c r="I812" s="10">
        <f>IFERROR(SUMIFS('Base bordo'!G$2:G$746,'Base bordo'!C$2:C$746,A812,'Base bordo'!B$2:B$746,B812,'Base bordo'!F$2:F$746,"PÁTIO INTERNO"),0)+IFERROR(SUMIFS('Base bordo'!G$2:G$746,'Base bordo'!C$2:C$746,A812,'Base bordo'!B$2:B$746,B812,'Base bordo'!F$2:F$746,"PÁTIO EXTERNO"),0)+IFERROR(SUMIFS('Base bordo'!G$2:G$746,'Base bordo'!C$2:C$746,A812,'Base bordo'!B$2:B$746,B812,'Base bordo'!F$2:F$746,"PATIO - RESERVA"),0)+IFERROR(SUMIFS('Base bordo'!G$2:G$746,'Base bordo'!C$2:C$746,A812,'Base bordo'!B$2:B$746,B812,'Base bordo'!F$2:F$746,"MANOBRA CARRETAS-PATIO"),0)</f>
        <v>3.0661111111111108</v>
      </c>
      <c r="J812" s="10">
        <f>IFERROR(SUMIFS('Base bordo'!G$2:G$746,'Base bordo'!C$2:C$746,A812,'Base bordo'!B$2:B$746,B812,'Base bordo'!F$2:F$746,"BALANÇA - ENTRADA"),0)+IFERROR(SUMIFS('Base bordo'!G$2:G$746,'Base bordo'!C$2:C$746,A812,'Base bordo'!B$2:B$746,B812,'Base bordo'!F$2:F$746,"BALANÇA - SAÍDA"),0)</f>
        <v>0.14555555555555555</v>
      </c>
      <c r="K812" s="10">
        <f>IFERROR(SUMIFS('Base bordo'!G$2:G$746,'Base bordo'!C$2:C$746,A812,'Base bordo'!B$2:B$746,B812,'Base bordo'!F$2:F$746,"MAN PREVENTIVA - MECANICA"),0)+IFERROR(SUMIFS('Base bordo'!G$2:G$746,'Base bordo'!C$2:C$746,A812,'Base bordo'!B$2:B$746,B812,'Base bordo'!F$2:F$746,"MAN CORRETIVA - MECANICA"),0)</f>
        <v>0</v>
      </c>
      <c r="L812" s="10">
        <f>IFERROR(SUMIFS('Base bordo'!G$2:G$746,'Base bordo'!C$2:C$746,A812,'Base bordo'!B$2:B$746,B812,'Base bordo'!F$2:F$746,"MANUTENCAO - T O"),0)+IFERROR(SUMIFS('Base bordo'!G$2:G$746,'Base bordo'!C$2:C$746,A812,'Base bordo'!B$2:B$746,B812,'Base bordo'!F$2:F$746,"MANUTENCAO BORRACHARIA"),0)+IFERROR(SUMIFS('Base bordo'!G$2:G$746,'Base bordo'!C$2:C$746,A812,'Base bordo'!B$2:B$746,B812,'Base bordo'!F$2:F$746,"MANUTENCAO EXTERNA  CONCESSIONARIA"),0)+IFERROR(SUMIFS('Base bordo'!G$2:G$746,'Base bordo'!C$2:C$746,A812,'Base bordo'!B$2:B$746,B812,'Base bordo'!F$2:F$746,"MANUTENCAO TELEMETRIA"),0)</f>
        <v>0</v>
      </c>
      <c r="M812" s="10">
        <f>IFERROR(SUMIFS('Base bordo'!G$2:G$746,'Base bordo'!C$2:C$746,A812,'Base bordo'!B$2:B$746,B812,'Base bordo'!F$2:F$746,"AGUARDANDO MANUTENCAO"),0)</f>
        <v>0</v>
      </c>
      <c r="N812" s="10">
        <f>IFERROR(SUMIFS('Base bordo'!G$2:G$746,'Base bordo'!C$2:C$746,A812,'Base bordo'!B$2:B$746,B812,'Base bordo'!F$2:F$746,"SEM APONTAMENTO"),0)</f>
        <v>0</v>
      </c>
      <c r="O812" s="10">
        <f t="shared" si="84"/>
        <v>0</v>
      </c>
      <c r="P812" s="10">
        <f>IFERROR(SUMIFS('Base bordo'!G$2:G$746,'Base bordo'!C$2:C$746,A812,'Base bordo'!B$2:B$746,B812),0)</f>
        <v>11.1275</v>
      </c>
      <c r="Q812" s="10">
        <f>IFERROR(SUMIFS('Base bordo'!H$2:H$746,'Base bordo'!C$2:C$746,A812,'Base bordo'!B$2:B$746,B812,'Base bordo'!F$2:F$746,"DESLOCAMENTO VAZIO"),0)</f>
        <v>7195.82</v>
      </c>
      <c r="R812" s="10">
        <f>IFERROR(SUMIFS('Base bordo'!I$2:I$746,'Base bordo'!C$2:C$746,A812,'Base bordo'!B$2:B$746,B812,'Base bordo'!F$2:F$746,"DESLOCAMENTO VAZIO"),0)</f>
        <v>1363</v>
      </c>
      <c r="S812" s="30">
        <f t="shared" si="85"/>
        <v>5.2793983859134261</v>
      </c>
      <c r="T812" s="10">
        <f>IFERROR(SUMIFS('Base bordo'!H$2:H$746,'Base bordo'!C$2:C$746,A812,'Base bordo'!B$2:B$746,B812,'Base bordo'!F$2:F$746,"DESLOCAMENTO CARREGADO"),0)</f>
        <v>221650.07</v>
      </c>
      <c r="U812" s="10">
        <f>IFERROR(SUMIFS('Base bordo'!I$2:I$746,'Base bordo'!C$2:C$746,A812,'Base bordo'!B$2:B$746,B812,'Base bordo'!F$2:F$746,"DESLOCAMENTO CARREGADO"),0)</f>
        <v>9080</v>
      </c>
      <c r="V812" s="30">
        <f t="shared" si="86"/>
        <v>24.410800660792951</v>
      </c>
      <c r="W812" s="9">
        <f t="shared" si="87"/>
        <v>3.4024813400234659E-2</v>
      </c>
      <c r="X812" s="9">
        <f t="shared" si="88"/>
        <v>0.22666566813949424</v>
      </c>
      <c r="Y812" s="9">
        <f t="shared" si="89"/>
        <v>0.73930951846027115</v>
      </c>
    </row>
    <row r="813" spans="1:25" ht="15" customHeight="1" x14ac:dyDescent="0.35">
      <c r="A813" s="52">
        <v>8013482</v>
      </c>
      <c r="B813" s="51">
        <v>46118</v>
      </c>
      <c r="C813" s="7" t="s">
        <v>124</v>
      </c>
      <c r="D813" s="10">
        <f>IFERROR(SUMIFS('Base bordo'!G$2:G$746,'Base bordo'!C$2:C$746,A813,'Base bordo'!B$2:B$746,B813,'Base bordo'!F$2:F$746,"DESLOCAMENTO VAZIO"),0)</f>
        <v>0.37861111111111112</v>
      </c>
      <c r="E813" s="10">
        <f>IFERROR(SUMIFS('Base bordo'!G$2:G$746,'Base bordo'!C$2:C$746,A813,'Base bordo'!B$2:B$746,B813,'Base bordo'!F$2:F$746,"DESLOCAMENTO CARREGADO"),0)</f>
        <v>2.5222222222222221</v>
      </c>
      <c r="F813" s="10">
        <f>IFERROR(SUMIFS('Base bordo'!G$2:G$746,'Base bordo'!C$2:C$746,A813,'Base bordo'!B$2:B$746,B813,'Base bordo'!F$2:F$746,"DESLOCAMENTO"),0)</f>
        <v>0</v>
      </c>
      <c r="G813" s="10">
        <f>IFERROR(SUMIFS('Base bordo'!G$2:G$746,'Base bordo'!C$2:C$746,A813,'Base bordo'!B$2:B$746,B813,'Base bordo'!F$2:F$746,"CARREGAMENTO"),0)</f>
        <v>0</v>
      </c>
      <c r="H813" s="10">
        <f>IFERROR(SUMIFS('Base bordo'!G$2:G$746,'Base bordo'!C$2:C$746,A813,'Base bordo'!B$2:B$746,B813,'Base bordo'!F$2:F$746,"AGUARDANDO TRANSBORDO"),0)</f>
        <v>5.0149999999999997</v>
      </c>
      <c r="I813" s="10">
        <f>IFERROR(SUMIFS('Base bordo'!G$2:G$746,'Base bordo'!C$2:C$746,A813,'Base bordo'!B$2:B$746,B813,'Base bordo'!F$2:F$746,"PÁTIO INTERNO"),0)+IFERROR(SUMIFS('Base bordo'!G$2:G$746,'Base bordo'!C$2:C$746,A813,'Base bordo'!B$2:B$746,B813,'Base bordo'!F$2:F$746,"PÁTIO EXTERNO"),0)+IFERROR(SUMIFS('Base bordo'!G$2:G$746,'Base bordo'!C$2:C$746,A813,'Base bordo'!B$2:B$746,B813,'Base bordo'!F$2:F$746,"PATIO - RESERVA"),0)+IFERROR(SUMIFS('Base bordo'!G$2:G$746,'Base bordo'!C$2:C$746,A813,'Base bordo'!B$2:B$746,B813,'Base bordo'!F$2:F$746,"MANOBRA CARRETAS-PATIO"),0)</f>
        <v>3.0661111111111108</v>
      </c>
      <c r="J813" s="10">
        <f>IFERROR(SUMIFS('Base bordo'!G$2:G$746,'Base bordo'!C$2:C$746,A813,'Base bordo'!B$2:B$746,B813,'Base bordo'!F$2:F$746,"BALANÇA - ENTRADA"),0)+IFERROR(SUMIFS('Base bordo'!G$2:G$746,'Base bordo'!C$2:C$746,A813,'Base bordo'!B$2:B$746,B813,'Base bordo'!F$2:F$746,"BALANÇA - SAÍDA"),0)</f>
        <v>0.14555555555555555</v>
      </c>
      <c r="K813" s="10">
        <f>IFERROR(SUMIFS('Base bordo'!G$2:G$746,'Base bordo'!C$2:C$746,A813,'Base bordo'!B$2:B$746,B813,'Base bordo'!F$2:F$746,"MAN PREVENTIVA - MECANICA"),0)+IFERROR(SUMIFS('Base bordo'!G$2:G$746,'Base bordo'!C$2:C$746,A813,'Base bordo'!B$2:B$746,B813,'Base bordo'!F$2:F$746,"MAN CORRETIVA - MECANICA"),0)</f>
        <v>0</v>
      </c>
      <c r="L813" s="10">
        <f>IFERROR(SUMIFS('Base bordo'!G$2:G$746,'Base bordo'!C$2:C$746,A813,'Base bordo'!B$2:B$746,B813,'Base bordo'!F$2:F$746,"MANUTENCAO - T O"),0)+IFERROR(SUMIFS('Base bordo'!G$2:G$746,'Base bordo'!C$2:C$746,A813,'Base bordo'!B$2:B$746,B813,'Base bordo'!F$2:F$746,"MANUTENCAO BORRACHARIA"),0)+IFERROR(SUMIFS('Base bordo'!G$2:G$746,'Base bordo'!C$2:C$746,A813,'Base bordo'!B$2:B$746,B813,'Base bordo'!F$2:F$746,"MANUTENCAO EXTERNA  CONCESSIONARIA"),0)+IFERROR(SUMIFS('Base bordo'!G$2:G$746,'Base bordo'!C$2:C$746,A813,'Base bordo'!B$2:B$746,B813,'Base bordo'!F$2:F$746,"MANUTENCAO TELEMETRIA"),0)</f>
        <v>0</v>
      </c>
      <c r="M813" s="10">
        <f>IFERROR(SUMIFS('Base bordo'!G$2:G$746,'Base bordo'!C$2:C$746,A813,'Base bordo'!B$2:B$746,B813,'Base bordo'!F$2:F$746,"AGUARDANDO MANUTENCAO"),0)</f>
        <v>0</v>
      </c>
      <c r="N813" s="10">
        <f>IFERROR(SUMIFS('Base bordo'!G$2:G$746,'Base bordo'!C$2:C$746,A813,'Base bordo'!B$2:B$746,B813,'Base bordo'!F$2:F$746,"SEM APONTAMENTO"),0)</f>
        <v>0</v>
      </c>
      <c r="O813" s="10">
        <f t="shared" si="84"/>
        <v>0</v>
      </c>
      <c r="P813" s="10">
        <f>IFERROR(SUMIFS('Base bordo'!G$2:G$746,'Base bordo'!C$2:C$746,A813,'Base bordo'!B$2:B$746,B813),0)</f>
        <v>11.1275</v>
      </c>
      <c r="Q813" s="10">
        <f>IFERROR(SUMIFS('Base bordo'!H$2:H$746,'Base bordo'!C$2:C$746,A813,'Base bordo'!B$2:B$746,B813,'Base bordo'!F$2:F$746,"DESLOCAMENTO VAZIO"),0)</f>
        <v>7195.82</v>
      </c>
      <c r="R813" s="10">
        <f>IFERROR(SUMIFS('Base bordo'!I$2:I$746,'Base bordo'!C$2:C$746,A813,'Base bordo'!B$2:B$746,B813,'Base bordo'!F$2:F$746,"DESLOCAMENTO VAZIO"),0)</f>
        <v>1363</v>
      </c>
      <c r="S813" s="30">
        <f t="shared" si="85"/>
        <v>5.2793983859134261</v>
      </c>
      <c r="T813" s="10">
        <f>IFERROR(SUMIFS('Base bordo'!H$2:H$746,'Base bordo'!C$2:C$746,A813,'Base bordo'!B$2:B$746,B813,'Base bordo'!F$2:F$746,"DESLOCAMENTO CARREGADO"),0)</f>
        <v>221650.07</v>
      </c>
      <c r="U813" s="10">
        <f>IFERROR(SUMIFS('Base bordo'!I$2:I$746,'Base bordo'!C$2:C$746,A813,'Base bordo'!B$2:B$746,B813,'Base bordo'!F$2:F$746,"DESLOCAMENTO CARREGADO"),0)</f>
        <v>9080</v>
      </c>
      <c r="V813" s="30">
        <f t="shared" si="86"/>
        <v>24.410800660792951</v>
      </c>
      <c r="W813" s="9">
        <f t="shared" si="87"/>
        <v>3.4024813400234659E-2</v>
      </c>
      <c r="X813" s="9">
        <f t="shared" si="88"/>
        <v>0.22666566813949424</v>
      </c>
      <c r="Y813" s="9">
        <f t="shared" si="89"/>
        <v>0.73930951846027115</v>
      </c>
    </row>
    <row r="814" spans="1:25" ht="15" customHeight="1" x14ac:dyDescent="0.35">
      <c r="A814" s="52">
        <v>8013482</v>
      </c>
      <c r="B814" s="51">
        <v>46118</v>
      </c>
      <c r="C814" s="7" t="s">
        <v>124</v>
      </c>
      <c r="D814" s="10">
        <f>IFERROR(SUMIFS('Base bordo'!G$2:G$746,'Base bordo'!C$2:C$746,A814,'Base bordo'!B$2:B$746,B814,'Base bordo'!F$2:F$746,"DESLOCAMENTO VAZIO"),0)</f>
        <v>0.37861111111111112</v>
      </c>
      <c r="E814" s="10">
        <f>IFERROR(SUMIFS('Base bordo'!G$2:G$746,'Base bordo'!C$2:C$746,A814,'Base bordo'!B$2:B$746,B814,'Base bordo'!F$2:F$746,"DESLOCAMENTO CARREGADO"),0)</f>
        <v>2.5222222222222221</v>
      </c>
      <c r="F814" s="10">
        <f>IFERROR(SUMIFS('Base bordo'!G$2:G$746,'Base bordo'!C$2:C$746,A814,'Base bordo'!B$2:B$746,B814,'Base bordo'!F$2:F$746,"DESLOCAMENTO"),0)</f>
        <v>0</v>
      </c>
      <c r="G814" s="10">
        <f>IFERROR(SUMIFS('Base bordo'!G$2:G$746,'Base bordo'!C$2:C$746,A814,'Base bordo'!B$2:B$746,B814,'Base bordo'!F$2:F$746,"CARREGAMENTO"),0)</f>
        <v>0</v>
      </c>
      <c r="H814" s="10">
        <f>IFERROR(SUMIFS('Base bordo'!G$2:G$746,'Base bordo'!C$2:C$746,A814,'Base bordo'!B$2:B$746,B814,'Base bordo'!F$2:F$746,"AGUARDANDO TRANSBORDO"),0)</f>
        <v>5.0149999999999997</v>
      </c>
      <c r="I814" s="10">
        <f>IFERROR(SUMIFS('Base bordo'!G$2:G$746,'Base bordo'!C$2:C$746,A814,'Base bordo'!B$2:B$746,B814,'Base bordo'!F$2:F$746,"PÁTIO INTERNO"),0)+IFERROR(SUMIFS('Base bordo'!G$2:G$746,'Base bordo'!C$2:C$746,A814,'Base bordo'!B$2:B$746,B814,'Base bordo'!F$2:F$746,"PÁTIO EXTERNO"),0)+IFERROR(SUMIFS('Base bordo'!G$2:G$746,'Base bordo'!C$2:C$746,A814,'Base bordo'!B$2:B$746,B814,'Base bordo'!F$2:F$746,"PATIO - RESERVA"),0)+IFERROR(SUMIFS('Base bordo'!G$2:G$746,'Base bordo'!C$2:C$746,A814,'Base bordo'!B$2:B$746,B814,'Base bordo'!F$2:F$746,"MANOBRA CARRETAS-PATIO"),0)</f>
        <v>3.0661111111111108</v>
      </c>
      <c r="J814" s="10">
        <f>IFERROR(SUMIFS('Base bordo'!G$2:G$746,'Base bordo'!C$2:C$746,A814,'Base bordo'!B$2:B$746,B814,'Base bordo'!F$2:F$746,"BALANÇA - ENTRADA"),0)+IFERROR(SUMIFS('Base bordo'!G$2:G$746,'Base bordo'!C$2:C$746,A814,'Base bordo'!B$2:B$746,B814,'Base bordo'!F$2:F$746,"BALANÇA - SAÍDA"),0)</f>
        <v>0.14555555555555555</v>
      </c>
      <c r="K814" s="10">
        <f>IFERROR(SUMIFS('Base bordo'!G$2:G$746,'Base bordo'!C$2:C$746,A814,'Base bordo'!B$2:B$746,B814,'Base bordo'!F$2:F$746,"MAN PREVENTIVA - MECANICA"),0)+IFERROR(SUMIFS('Base bordo'!G$2:G$746,'Base bordo'!C$2:C$746,A814,'Base bordo'!B$2:B$746,B814,'Base bordo'!F$2:F$746,"MAN CORRETIVA - MECANICA"),0)</f>
        <v>0</v>
      </c>
      <c r="L814" s="10">
        <f>IFERROR(SUMIFS('Base bordo'!G$2:G$746,'Base bordo'!C$2:C$746,A814,'Base bordo'!B$2:B$746,B814,'Base bordo'!F$2:F$746,"MANUTENCAO - T O"),0)+IFERROR(SUMIFS('Base bordo'!G$2:G$746,'Base bordo'!C$2:C$746,A814,'Base bordo'!B$2:B$746,B814,'Base bordo'!F$2:F$746,"MANUTENCAO BORRACHARIA"),0)+IFERROR(SUMIFS('Base bordo'!G$2:G$746,'Base bordo'!C$2:C$746,A814,'Base bordo'!B$2:B$746,B814,'Base bordo'!F$2:F$746,"MANUTENCAO EXTERNA  CONCESSIONARIA"),0)+IFERROR(SUMIFS('Base bordo'!G$2:G$746,'Base bordo'!C$2:C$746,A814,'Base bordo'!B$2:B$746,B814,'Base bordo'!F$2:F$746,"MANUTENCAO TELEMETRIA"),0)</f>
        <v>0</v>
      </c>
      <c r="M814" s="10">
        <f>IFERROR(SUMIFS('Base bordo'!G$2:G$746,'Base bordo'!C$2:C$746,A814,'Base bordo'!B$2:B$746,B814,'Base bordo'!F$2:F$746,"AGUARDANDO MANUTENCAO"),0)</f>
        <v>0</v>
      </c>
      <c r="N814" s="10">
        <f>IFERROR(SUMIFS('Base bordo'!G$2:G$746,'Base bordo'!C$2:C$746,A814,'Base bordo'!B$2:B$746,B814,'Base bordo'!F$2:F$746,"SEM APONTAMENTO"),0)</f>
        <v>0</v>
      </c>
      <c r="O814" s="10">
        <f t="shared" si="84"/>
        <v>0</v>
      </c>
      <c r="P814" s="10">
        <f>IFERROR(SUMIFS('Base bordo'!G$2:G$746,'Base bordo'!C$2:C$746,A814,'Base bordo'!B$2:B$746,B814),0)</f>
        <v>11.1275</v>
      </c>
      <c r="Q814" s="10">
        <f>IFERROR(SUMIFS('Base bordo'!H$2:H$746,'Base bordo'!C$2:C$746,A814,'Base bordo'!B$2:B$746,B814,'Base bordo'!F$2:F$746,"DESLOCAMENTO VAZIO"),0)</f>
        <v>7195.82</v>
      </c>
      <c r="R814" s="10">
        <f>IFERROR(SUMIFS('Base bordo'!I$2:I$746,'Base bordo'!C$2:C$746,A814,'Base bordo'!B$2:B$746,B814,'Base bordo'!F$2:F$746,"DESLOCAMENTO VAZIO"),0)</f>
        <v>1363</v>
      </c>
      <c r="S814" s="30">
        <f t="shared" si="85"/>
        <v>5.2793983859134261</v>
      </c>
      <c r="T814" s="10">
        <f>IFERROR(SUMIFS('Base bordo'!H$2:H$746,'Base bordo'!C$2:C$746,A814,'Base bordo'!B$2:B$746,B814,'Base bordo'!F$2:F$746,"DESLOCAMENTO CARREGADO"),0)</f>
        <v>221650.07</v>
      </c>
      <c r="U814" s="10">
        <f>IFERROR(SUMIFS('Base bordo'!I$2:I$746,'Base bordo'!C$2:C$746,A814,'Base bordo'!B$2:B$746,B814,'Base bordo'!F$2:F$746,"DESLOCAMENTO CARREGADO"),0)</f>
        <v>9080</v>
      </c>
      <c r="V814" s="30">
        <f t="shared" si="86"/>
        <v>24.410800660792951</v>
      </c>
      <c r="W814" s="9">
        <f t="shared" si="87"/>
        <v>3.4024813400234659E-2</v>
      </c>
      <c r="X814" s="9">
        <f t="shared" si="88"/>
        <v>0.22666566813949424</v>
      </c>
      <c r="Y814" s="9">
        <f t="shared" si="89"/>
        <v>0.73930951846027115</v>
      </c>
    </row>
    <row r="815" spans="1:25" ht="15" customHeight="1" x14ac:dyDescent="0.35">
      <c r="A815" s="52">
        <v>8013482</v>
      </c>
      <c r="B815" s="51">
        <v>46118</v>
      </c>
      <c r="C815" s="7" t="s">
        <v>124</v>
      </c>
      <c r="D815" s="10">
        <f>IFERROR(SUMIFS('Base bordo'!G$2:G$746,'Base bordo'!C$2:C$746,A815,'Base bordo'!B$2:B$746,B815,'Base bordo'!F$2:F$746,"DESLOCAMENTO VAZIO"),0)</f>
        <v>0.37861111111111112</v>
      </c>
      <c r="E815" s="10">
        <f>IFERROR(SUMIFS('Base bordo'!G$2:G$746,'Base bordo'!C$2:C$746,A815,'Base bordo'!B$2:B$746,B815,'Base bordo'!F$2:F$746,"DESLOCAMENTO CARREGADO"),0)</f>
        <v>2.5222222222222221</v>
      </c>
      <c r="F815" s="10">
        <f>IFERROR(SUMIFS('Base bordo'!G$2:G$746,'Base bordo'!C$2:C$746,A815,'Base bordo'!B$2:B$746,B815,'Base bordo'!F$2:F$746,"DESLOCAMENTO"),0)</f>
        <v>0</v>
      </c>
      <c r="G815" s="10">
        <f>IFERROR(SUMIFS('Base bordo'!G$2:G$746,'Base bordo'!C$2:C$746,A815,'Base bordo'!B$2:B$746,B815,'Base bordo'!F$2:F$746,"CARREGAMENTO"),0)</f>
        <v>0</v>
      </c>
      <c r="H815" s="10">
        <f>IFERROR(SUMIFS('Base bordo'!G$2:G$746,'Base bordo'!C$2:C$746,A815,'Base bordo'!B$2:B$746,B815,'Base bordo'!F$2:F$746,"AGUARDANDO TRANSBORDO"),0)</f>
        <v>5.0149999999999997</v>
      </c>
      <c r="I815" s="10">
        <f>IFERROR(SUMIFS('Base bordo'!G$2:G$746,'Base bordo'!C$2:C$746,A815,'Base bordo'!B$2:B$746,B815,'Base bordo'!F$2:F$746,"PÁTIO INTERNO"),0)+IFERROR(SUMIFS('Base bordo'!G$2:G$746,'Base bordo'!C$2:C$746,A815,'Base bordo'!B$2:B$746,B815,'Base bordo'!F$2:F$746,"PÁTIO EXTERNO"),0)+IFERROR(SUMIFS('Base bordo'!G$2:G$746,'Base bordo'!C$2:C$746,A815,'Base bordo'!B$2:B$746,B815,'Base bordo'!F$2:F$746,"PATIO - RESERVA"),0)+IFERROR(SUMIFS('Base bordo'!G$2:G$746,'Base bordo'!C$2:C$746,A815,'Base bordo'!B$2:B$746,B815,'Base bordo'!F$2:F$746,"MANOBRA CARRETAS-PATIO"),0)</f>
        <v>3.0661111111111108</v>
      </c>
      <c r="J815" s="10">
        <f>IFERROR(SUMIFS('Base bordo'!G$2:G$746,'Base bordo'!C$2:C$746,A815,'Base bordo'!B$2:B$746,B815,'Base bordo'!F$2:F$746,"BALANÇA - ENTRADA"),0)+IFERROR(SUMIFS('Base bordo'!G$2:G$746,'Base bordo'!C$2:C$746,A815,'Base bordo'!B$2:B$746,B815,'Base bordo'!F$2:F$746,"BALANÇA - SAÍDA"),0)</f>
        <v>0.14555555555555555</v>
      </c>
      <c r="K815" s="10">
        <f>IFERROR(SUMIFS('Base bordo'!G$2:G$746,'Base bordo'!C$2:C$746,A815,'Base bordo'!B$2:B$746,B815,'Base bordo'!F$2:F$746,"MAN PREVENTIVA - MECANICA"),0)+IFERROR(SUMIFS('Base bordo'!G$2:G$746,'Base bordo'!C$2:C$746,A815,'Base bordo'!B$2:B$746,B815,'Base bordo'!F$2:F$746,"MAN CORRETIVA - MECANICA"),0)</f>
        <v>0</v>
      </c>
      <c r="L815" s="10">
        <f>IFERROR(SUMIFS('Base bordo'!G$2:G$746,'Base bordo'!C$2:C$746,A815,'Base bordo'!B$2:B$746,B815,'Base bordo'!F$2:F$746,"MANUTENCAO - T O"),0)+IFERROR(SUMIFS('Base bordo'!G$2:G$746,'Base bordo'!C$2:C$746,A815,'Base bordo'!B$2:B$746,B815,'Base bordo'!F$2:F$746,"MANUTENCAO BORRACHARIA"),0)+IFERROR(SUMIFS('Base bordo'!G$2:G$746,'Base bordo'!C$2:C$746,A815,'Base bordo'!B$2:B$746,B815,'Base bordo'!F$2:F$746,"MANUTENCAO EXTERNA  CONCESSIONARIA"),0)+IFERROR(SUMIFS('Base bordo'!G$2:G$746,'Base bordo'!C$2:C$746,A815,'Base bordo'!B$2:B$746,B815,'Base bordo'!F$2:F$746,"MANUTENCAO TELEMETRIA"),0)</f>
        <v>0</v>
      </c>
      <c r="M815" s="10">
        <f>IFERROR(SUMIFS('Base bordo'!G$2:G$746,'Base bordo'!C$2:C$746,A815,'Base bordo'!B$2:B$746,B815,'Base bordo'!F$2:F$746,"AGUARDANDO MANUTENCAO"),0)</f>
        <v>0</v>
      </c>
      <c r="N815" s="10">
        <f>IFERROR(SUMIFS('Base bordo'!G$2:G$746,'Base bordo'!C$2:C$746,A815,'Base bordo'!B$2:B$746,B815,'Base bordo'!F$2:F$746,"SEM APONTAMENTO"),0)</f>
        <v>0</v>
      </c>
      <c r="O815" s="10">
        <f t="shared" si="84"/>
        <v>0</v>
      </c>
      <c r="P815" s="10">
        <f>IFERROR(SUMIFS('Base bordo'!G$2:G$746,'Base bordo'!C$2:C$746,A815,'Base bordo'!B$2:B$746,B815),0)</f>
        <v>11.1275</v>
      </c>
      <c r="Q815" s="10">
        <f>IFERROR(SUMIFS('Base bordo'!H$2:H$746,'Base bordo'!C$2:C$746,A815,'Base bordo'!B$2:B$746,B815,'Base bordo'!F$2:F$746,"DESLOCAMENTO VAZIO"),0)</f>
        <v>7195.82</v>
      </c>
      <c r="R815" s="10">
        <f>IFERROR(SUMIFS('Base bordo'!I$2:I$746,'Base bordo'!C$2:C$746,A815,'Base bordo'!B$2:B$746,B815,'Base bordo'!F$2:F$746,"DESLOCAMENTO VAZIO"),0)</f>
        <v>1363</v>
      </c>
      <c r="S815" s="30">
        <f t="shared" si="85"/>
        <v>5.2793983859134261</v>
      </c>
      <c r="T815" s="10">
        <f>IFERROR(SUMIFS('Base bordo'!H$2:H$746,'Base bordo'!C$2:C$746,A815,'Base bordo'!B$2:B$746,B815,'Base bordo'!F$2:F$746,"DESLOCAMENTO CARREGADO"),0)</f>
        <v>221650.07</v>
      </c>
      <c r="U815" s="10">
        <f>IFERROR(SUMIFS('Base bordo'!I$2:I$746,'Base bordo'!C$2:C$746,A815,'Base bordo'!B$2:B$746,B815,'Base bordo'!F$2:F$746,"DESLOCAMENTO CARREGADO"),0)</f>
        <v>9080</v>
      </c>
      <c r="V815" s="30">
        <f t="shared" si="86"/>
        <v>24.410800660792951</v>
      </c>
      <c r="W815" s="9">
        <f t="shared" si="87"/>
        <v>3.4024813400234659E-2</v>
      </c>
      <c r="X815" s="9">
        <f t="shared" si="88"/>
        <v>0.22666566813949424</v>
      </c>
      <c r="Y815" s="9">
        <f t="shared" si="89"/>
        <v>0.73930951846027115</v>
      </c>
    </row>
    <row r="816" spans="1:25" ht="15" customHeight="1" x14ac:dyDescent="0.35">
      <c r="A816" s="52">
        <v>8013483</v>
      </c>
      <c r="B816" s="51">
        <v>46118</v>
      </c>
      <c r="C816" s="7" t="s">
        <v>124</v>
      </c>
      <c r="D816" s="10">
        <f>IFERROR(SUMIFS('Base bordo'!G$2:G$746,'Base bordo'!C$2:C$746,A816,'Base bordo'!B$2:B$746,B816,'Base bordo'!F$2:F$746,"DESLOCAMENTO VAZIO"),0)</f>
        <v>2.4136111111111109</v>
      </c>
      <c r="E816" s="10">
        <f>IFERROR(SUMIFS('Base bordo'!G$2:G$746,'Base bordo'!C$2:C$746,A816,'Base bordo'!B$2:B$746,B816,'Base bordo'!F$2:F$746,"DESLOCAMENTO CARREGADO"),0)</f>
        <v>0.74972222222222218</v>
      </c>
      <c r="F816" s="10">
        <f>IFERROR(SUMIFS('Base bordo'!G$2:G$746,'Base bordo'!C$2:C$746,A816,'Base bordo'!B$2:B$746,B816,'Base bordo'!F$2:F$746,"DESLOCAMENTO"),0)</f>
        <v>0</v>
      </c>
      <c r="G816" s="10">
        <f>IFERROR(SUMIFS('Base bordo'!G$2:G$746,'Base bordo'!C$2:C$746,A816,'Base bordo'!B$2:B$746,B816,'Base bordo'!F$2:F$746,"CARREGAMENTO"),0)</f>
        <v>0</v>
      </c>
      <c r="H816" s="10">
        <f>IFERROR(SUMIFS('Base bordo'!G$2:G$746,'Base bordo'!C$2:C$746,A816,'Base bordo'!B$2:B$746,B816,'Base bordo'!F$2:F$746,"AGUARDANDO TRANSBORDO"),0)</f>
        <v>0.18666666666666668</v>
      </c>
      <c r="I816" s="10">
        <f>IFERROR(SUMIFS('Base bordo'!G$2:G$746,'Base bordo'!C$2:C$746,A816,'Base bordo'!B$2:B$746,B816,'Base bordo'!F$2:F$746,"PÁTIO INTERNO"),0)+IFERROR(SUMIFS('Base bordo'!G$2:G$746,'Base bordo'!C$2:C$746,A816,'Base bordo'!B$2:B$746,B816,'Base bordo'!F$2:F$746,"PÁTIO EXTERNO"),0)+IFERROR(SUMIFS('Base bordo'!G$2:G$746,'Base bordo'!C$2:C$746,A816,'Base bordo'!B$2:B$746,B816,'Base bordo'!F$2:F$746,"PATIO - RESERVA"),0)+IFERROR(SUMIFS('Base bordo'!G$2:G$746,'Base bordo'!C$2:C$746,A816,'Base bordo'!B$2:B$746,B816,'Base bordo'!F$2:F$746,"MANOBRA CARRETAS-PATIO"),0)</f>
        <v>11.716111111111111</v>
      </c>
      <c r="J816" s="10">
        <f>IFERROR(SUMIFS('Base bordo'!G$2:G$746,'Base bordo'!C$2:C$746,A816,'Base bordo'!B$2:B$746,B816,'Base bordo'!F$2:F$746,"BALANÇA - ENTRADA"),0)+IFERROR(SUMIFS('Base bordo'!G$2:G$746,'Base bordo'!C$2:C$746,A816,'Base bordo'!B$2:B$746,B816,'Base bordo'!F$2:F$746,"BALANÇA - SAÍDA"),0)</f>
        <v>4.7500000000000001E-2</v>
      </c>
      <c r="K816" s="10">
        <f>IFERROR(SUMIFS('Base bordo'!G$2:G$746,'Base bordo'!C$2:C$746,A816,'Base bordo'!B$2:B$746,B816,'Base bordo'!F$2:F$746,"MAN PREVENTIVA - MECANICA"),0)+IFERROR(SUMIFS('Base bordo'!G$2:G$746,'Base bordo'!C$2:C$746,A816,'Base bordo'!B$2:B$746,B816,'Base bordo'!F$2:F$746,"MAN CORRETIVA - MECANICA"),0)</f>
        <v>0</v>
      </c>
      <c r="L816" s="10">
        <f>IFERROR(SUMIFS('Base bordo'!G$2:G$746,'Base bordo'!C$2:C$746,A816,'Base bordo'!B$2:B$746,B816,'Base bordo'!F$2:F$746,"MANUTENCAO - T O"),0)+IFERROR(SUMIFS('Base bordo'!G$2:G$746,'Base bordo'!C$2:C$746,A816,'Base bordo'!B$2:B$746,B816,'Base bordo'!F$2:F$746,"MANUTENCAO BORRACHARIA"),0)+IFERROR(SUMIFS('Base bordo'!G$2:G$746,'Base bordo'!C$2:C$746,A816,'Base bordo'!B$2:B$746,B816,'Base bordo'!F$2:F$746,"MANUTENCAO EXTERNA  CONCESSIONARIA"),0)+IFERROR(SUMIFS('Base bordo'!G$2:G$746,'Base bordo'!C$2:C$746,A816,'Base bordo'!B$2:B$746,B816,'Base bordo'!F$2:F$746,"MANUTENCAO TELEMETRIA"),0)</f>
        <v>3.4908333333333332</v>
      </c>
      <c r="M816" s="10">
        <f>IFERROR(SUMIFS('Base bordo'!G$2:G$746,'Base bordo'!C$2:C$746,A816,'Base bordo'!B$2:B$746,B816,'Base bordo'!F$2:F$746,"AGUARDANDO MANUTENCAO"),0)</f>
        <v>0</v>
      </c>
      <c r="N816" s="10">
        <f>IFERROR(SUMIFS('Base bordo'!G$2:G$746,'Base bordo'!C$2:C$746,A816,'Base bordo'!B$2:B$746,B816,'Base bordo'!F$2:F$746,"SEM APONTAMENTO"),0)</f>
        <v>0</v>
      </c>
      <c r="O816" s="10">
        <f t="shared" si="84"/>
        <v>0</v>
      </c>
      <c r="P816" s="10">
        <f>IFERROR(SUMIFS('Base bordo'!G$2:G$746,'Base bordo'!C$2:C$746,A816,'Base bordo'!B$2:B$746,B816),0)</f>
        <v>18.604444444444443</v>
      </c>
      <c r="Q816" s="10">
        <f>IFERROR(SUMIFS('Base bordo'!H$2:H$746,'Base bordo'!C$2:C$746,A816,'Base bordo'!B$2:B$746,B816,'Base bordo'!F$2:F$746,"DESLOCAMENTO VAZIO"),0)</f>
        <v>164736.31</v>
      </c>
      <c r="R816" s="10">
        <f>IFERROR(SUMIFS('Base bordo'!I$2:I$746,'Base bordo'!C$2:C$746,A816,'Base bordo'!B$2:B$746,B816,'Base bordo'!F$2:F$746,"DESLOCAMENTO VAZIO"),0)</f>
        <v>8689</v>
      </c>
      <c r="S816" s="30">
        <f t="shared" si="85"/>
        <v>18.959179422258028</v>
      </c>
      <c r="T816" s="10">
        <f>IFERROR(SUMIFS('Base bordo'!H$2:H$746,'Base bordo'!C$2:C$746,A816,'Base bordo'!B$2:B$746,B816,'Base bordo'!F$2:F$746,"DESLOCAMENTO CARREGADO"),0)</f>
        <v>65187.479999999996</v>
      </c>
      <c r="U816" s="10">
        <f>IFERROR(SUMIFS('Base bordo'!I$2:I$746,'Base bordo'!C$2:C$746,A816,'Base bordo'!B$2:B$746,B816,'Base bordo'!F$2:F$746,"DESLOCAMENTO CARREGADO"),0)</f>
        <v>2699</v>
      </c>
      <c r="V816" s="30">
        <f t="shared" si="86"/>
        <v>24.152456465357538</v>
      </c>
      <c r="W816" s="9">
        <f t="shared" si="87"/>
        <v>0.12973303870043001</v>
      </c>
      <c r="X816" s="9">
        <f t="shared" si="88"/>
        <v>4.0298017200191112E-2</v>
      </c>
      <c r="Y816" s="9">
        <f t="shared" si="89"/>
        <v>0.82996894409937894</v>
      </c>
    </row>
    <row r="817" spans="1:25" ht="15" customHeight="1" x14ac:dyDescent="0.35">
      <c r="A817" s="52">
        <v>8013483</v>
      </c>
      <c r="B817" s="51">
        <v>46118</v>
      </c>
      <c r="C817" s="7" t="s">
        <v>124</v>
      </c>
      <c r="D817" s="10">
        <f>IFERROR(SUMIFS('Base bordo'!G$2:G$746,'Base bordo'!C$2:C$746,A817,'Base bordo'!B$2:B$746,B817,'Base bordo'!F$2:F$746,"DESLOCAMENTO VAZIO"),0)</f>
        <v>2.4136111111111109</v>
      </c>
      <c r="E817" s="10">
        <f>IFERROR(SUMIFS('Base bordo'!G$2:G$746,'Base bordo'!C$2:C$746,A817,'Base bordo'!B$2:B$746,B817,'Base bordo'!F$2:F$746,"DESLOCAMENTO CARREGADO"),0)</f>
        <v>0.74972222222222218</v>
      </c>
      <c r="F817" s="10">
        <f>IFERROR(SUMIFS('Base bordo'!G$2:G$746,'Base bordo'!C$2:C$746,A817,'Base bordo'!B$2:B$746,B817,'Base bordo'!F$2:F$746,"DESLOCAMENTO"),0)</f>
        <v>0</v>
      </c>
      <c r="G817" s="10">
        <f>IFERROR(SUMIFS('Base bordo'!G$2:G$746,'Base bordo'!C$2:C$746,A817,'Base bordo'!B$2:B$746,B817,'Base bordo'!F$2:F$746,"CARREGAMENTO"),0)</f>
        <v>0</v>
      </c>
      <c r="H817" s="10">
        <f>IFERROR(SUMIFS('Base bordo'!G$2:G$746,'Base bordo'!C$2:C$746,A817,'Base bordo'!B$2:B$746,B817,'Base bordo'!F$2:F$746,"AGUARDANDO TRANSBORDO"),0)</f>
        <v>0.18666666666666668</v>
      </c>
      <c r="I817" s="10">
        <f>IFERROR(SUMIFS('Base bordo'!G$2:G$746,'Base bordo'!C$2:C$746,A817,'Base bordo'!B$2:B$746,B817,'Base bordo'!F$2:F$746,"PÁTIO INTERNO"),0)+IFERROR(SUMIFS('Base bordo'!G$2:G$746,'Base bordo'!C$2:C$746,A817,'Base bordo'!B$2:B$746,B817,'Base bordo'!F$2:F$746,"PÁTIO EXTERNO"),0)+IFERROR(SUMIFS('Base bordo'!G$2:G$746,'Base bordo'!C$2:C$746,A817,'Base bordo'!B$2:B$746,B817,'Base bordo'!F$2:F$746,"PATIO - RESERVA"),0)+IFERROR(SUMIFS('Base bordo'!G$2:G$746,'Base bordo'!C$2:C$746,A817,'Base bordo'!B$2:B$746,B817,'Base bordo'!F$2:F$746,"MANOBRA CARRETAS-PATIO"),0)</f>
        <v>11.716111111111111</v>
      </c>
      <c r="J817" s="10">
        <f>IFERROR(SUMIFS('Base bordo'!G$2:G$746,'Base bordo'!C$2:C$746,A817,'Base bordo'!B$2:B$746,B817,'Base bordo'!F$2:F$746,"BALANÇA - ENTRADA"),0)+IFERROR(SUMIFS('Base bordo'!G$2:G$746,'Base bordo'!C$2:C$746,A817,'Base bordo'!B$2:B$746,B817,'Base bordo'!F$2:F$746,"BALANÇA - SAÍDA"),0)</f>
        <v>4.7500000000000001E-2</v>
      </c>
      <c r="K817" s="10">
        <f>IFERROR(SUMIFS('Base bordo'!G$2:G$746,'Base bordo'!C$2:C$746,A817,'Base bordo'!B$2:B$746,B817,'Base bordo'!F$2:F$746,"MAN PREVENTIVA - MECANICA"),0)+IFERROR(SUMIFS('Base bordo'!G$2:G$746,'Base bordo'!C$2:C$746,A817,'Base bordo'!B$2:B$746,B817,'Base bordo'!F$2:F$746,"MAN CORRETIVA - MECANICA"),0)</f>
        <v>0</v>
      </c>
      <c r="L817" s="10">
        <f>IFERROR(SUMIFS('Base bordo'!G$2:G$746,'Base bordo'!C$2:C$746,A817,'Base bordo'!B$2:B$746,B817,'Base bordo'!F$2:F$746,"MANUTENCAO - T O"),0)+IFERROR(SUMIFS('Base bordo'!G$2:G$746,'Base bordo'!C$2:C$746,A817,'Base bordo'!B$2:B$746,B817,'Base bordo'!F$2:F$746,"MANUTENCAO BORRACHARIA"),0)+IFERROR(SUMIFS('Base bordo'!G$2:G$746,'Base bordo'!C$2:C$746,A817,'Base bordo'!B$2:B$746,B817,'Base bordo'!F$2:F$746,"MANUTENCAO EXTERNA  CONCESSIONARIA"),0)+IFERROR(SUMIFS('Base bordo'!G$2:G$746,'Base bordo'!C$2:C$746,A817,'Base bordo'!B$2:B$746,B817,'Base bordo'!F$2:F$746,"MANUTENCAO TELEMETRIA"),0)</f>
        <v>3.4908333333333332</v>
      </c>
      <c r="M817" s="10">
        <f>IFERROR(SUMIFS('Base bordo'!G$2:G$746,'Base bordo'!C$2:C$746,A817,'Base bordo'!B$2:B$746,B817,'Base bordo'!F$2:F$746,"AGUARDANDO MANUTENCAO"),0)</f>
        <v>0</v>
      </c>
      <c r="N817" s="10">
        <f>IFERROR(SUMIFS('Base bordo'!G$2:G$746,'Base bordo'!C$2:C$746,A817,'Base bordo'!B$2:B$746,B817,'Base bordo'!F$2:F$746,"SEM APONTAMENTO"),0)</f>
        <v>0</v>
      </c>
      <c r="O817" s="10">
        <f t="shared" si="84"/>
        <v>0</v>
      </c>
      <c r="P817" s="10">
        <f>IFERROR(SUMIFS('Base bordo'!G$2:G$746,'Base bordo'!C$2:C$746,A817,'Base bordo'!B$2:B$746,B817),0)</f>
        <v>18.604444444444443</v>
      </c>
      <c r="Q817" s="10">
        <f>IFERROR(SUMIFS('Base bordo'!H$2:H$746,'Base bordo'!C$2:C$746,A817,'Base bordo'!B$2:B$746,B817,'Base bordo'!F$2:F$746,"DESLOCAMENTO VAZIO"),0)</f>
        <v>164736.31</v>
      </c>
      <c r="R817" s="10">
        <f>IFERROR(SUMIFS('Base bordo'!I$2:I$746,'Base bordo'!C$2:C$746,A817,'Base bordo'!B$2:B$746,B817,'Base bordo'!F$2:F$746,"DESLOCAMENTO VAZIO"),0)</f>
        <v>8689</v>
      </c>
      <c r="S817" s="30">
        <f t="shared" si="85"/>
        <v>18.959179422258028</v>
      </c>
      <c r="T817" s="10">
        <f>IFERROR(SUMIFS('Base bordo'!H$2:H$746,'Base bordo'!C$2:C$746,A817,'Base bordo'!B$2:B$746,B817,'Base bordo'!F$2:F$746,"DESLOCAMENTO CARREGADO"),0)</f>
        <v>65187.479999999996</v>
      </c>
      <c r="U817" s="10">
        <f>IFERROR(SUMIFS('Base bordo'!I$2:I$746,'Base bordo'!C$2:C$746,A817,'Base bordo'!B$2:B$746,B817,'Base bordo'!F$2:F$746,"DESLOCAMENTO CARREGADO"),0)</f>
        <v>2699</v>
      </c>
      <c r="V817" s="30">
        <f t="shared" si="86"/>
        <v>24.152456465357538</v>
      </c>
      <c r="W817" s="9">
        <f t="shared" si="87"/>
        <v>0.12973303870043001</v>
      </c>
      <c r="X817" s="9">
        <f t="shared" si="88"/>
        <v>4.0298017200191112E-2</v>
      </c>
      <c r="Y817" s="9">
        <f t="shared" si="89"/>
        <v>0.82996894409937894</v>
      </c>
    </row>
    <row r="818" spans="1:25" ht="15" customHeight="1" x14ac:dyDescent="0.35">
      <c r="A818" s="52">
        <v>8013483</v>
      </c>
      <c r="B818" s="51">
        <v>46118</v>
      </c>
      <c r="C818" s="7" t="s">
        <v>124</v>
      </c>
      <c r="D818" s="10">
        <f>IFERROR(SUMIFS('Base bordo'!G$2:G$746,'Base bordo'!C$2:C$746,A818,'Base bordo'!B$2:B$746,B818,'Base bordo'!F$2:F$746,"DESLOCAMENTO VAZIO"),0)</f>
        <v>2.4136111111111109</v>
      </c>
      <c r="E818" s="10">
        <f>IFERROR(SUMIFS('Base bordo'!G$2:G$746,'Base bordo'!C$2:C$746,A818,'Base bordo'!B$2:B$746,B818,'Base bordo'!F$2:F$746,"DESLOCAMENTO CARREGADO"),0)</f>
        <v>0.74972222222222218</v>
      </c>
      <c r="F818" s="10">
        <f>IFERROR(SUMIFS('Base bordo'!G$2:G$746,'Base bordo'!C$2:C$746,A818,'Base bordo'!B$2:B$746,B818,'Base bordo'!F$2:F$746,"DESLOCAMENTO"),0)</f>
        <v>0</v>
      </c>
      <c r="G818" s="10">
        <f>IFERROR(SUMIFS('Base bordo'!G$2:G$746,'Base bordo'!C$2:C$746,A818,'Base bordo'!B$2:B$746,B818,'Base bordo'!F$2:F$746,"CARREGAMENTO"),0)</f>
        <v>0</v>
      </c>
      <c r="H818" s="10">
        <f>IFERROR(SUMIFS('Base bordo'!G$2:G$746,'Base bordo'!C$2:C$746,A818,'Base bordo'!B$2:B$746,B818,'Base bordo'!F$2:F$746,"AGUARDANDO TRANSBORDO"),0)</f>
        <v>0.18666666666666668</v>
      </c>
      <c r="I818" s="10">
        <f>IFERROR(SUMIFS('Base bordo'!G$2:G$746,'Base bordo'!C$2:C$746,A818,'Base bordo'!B$2:B$746,B818,'Base bordo'!F$2:F$746,"PÁTIO INTERNO"),0)+IFERROR(SUMIFS('Base bordo'!G$2:G$746,'Base bordo'!C$2:C$746,A818,'Base bordo'!B$2:B$746,B818,'Base bordo'!F$2:F$746,"PÁTIO EXTERNO"),0)+IFERROR(SUMIFS('Base bordo'!G$2:G$746,'Base bordo'!C$2:C$746,A818,'Base bordo'!B$2:B$746,B818,'Base bordo'!F$2:F$746,"PATIO - RESERVA"),0)+IFERROR(SUMIFS('Base bordo'!G$2:G$746,'Base bordo'!C$2:C$746,A818,'Base bordo'!B$2:B$746,B818,'Base bordo'!F$2:F$746,"MANOBRA CARRETAS-PATIO"),0)</f>
        <v>11.716111111111111</v>
      </c>
      <c r="J818" s="10">
        <f>IFERROR(SUMIFS('Base bordo'!G$2:G$746,'Base bordo'!C$2:C$746,A818,'Base bordo'!B$2:B$746,B818,'Base bordo'!F$2:F$746,"BALANÇA - ENTRADA"),0)+IFERROR(SUMIFS('Base bordo'!G$2:G$746,'Base bordo'!C$2:C$746,A818,'Base bordo'!B$2:B$746,B818,'Base bordo'!F$2:F$746,"BALANÇA - SAÍDA"),0)</f>
        <v>4.7500000000000001E-2</v>
      </c>
      <c r="K818" s="10">
        <f>IFERROR(SUMIFS('Base bordo'!G$2:G$746,'Base bordo'!C$2:C$746,A818,'Base bordo'!B$2:B$746,B818,'Base bordo'!F$2:F$746,"MAN PREVENTIVA - MECANICA"),0)+IFERROR(SUMIFS('Base bordo'!G$2:G$746,'Base bordo'!C$2:C$746,A818,'Base bordo'!B$2:B$746,B818,'Base bordo'!F$2:F$746,"MAN CORRETIVA - MECANICA"),0)</f>
        <v>0</v>
      </c>
      <c r="L818" s="10">
        <f>IFERROR(SUMIFS('Base bordo'!G$2:G$746,'Base bordo'!C$2:C$746,A818,'Base bordo'!B$2:B$746,B818,'Base bordo'!F$2:F$746,"MANUTENCAO - T O"),0)+IFERROR(SUMIFS('Base bordo'!G$2:G$746,'Base bordo'!C$2:C$746,A818,'Base bordo'!B$2:B$746,B818,'Base bordo'!F$2:F$746,"MANUTENCAO BORRACHARIA"),0)+IFERROR(SUMIFS('Base bordo'!G$2:G$746,'Base bordo'!C$2:C$746,A818,'Base bordo'!B$2:B$746,B818,'Base bordo'!F$2:F$746,"MANUTENCAO EXTERNA  CONCESSIONARIA"),0)+IFERROR(SUMIFS('Base bordo'!G$2:G$746,'Base bordo'!C$2:C$746,A818,'Base bordo'!B$2:B$746,B818,'Base bordo'!F$2:F$746,"MANUTENCAO TELEMETRIA"),0)</f>
        <v>3.4908333333333332</v>
      </c>
      <c r="M818" s="10">
        <f>IFERROR(SUMIFS('Base bordo'!G$2:G$746,'Base bordo'!C$2:C$746,A818,'Base bordo'!B$2:B$746,B818,'Base bordo'!F$2:F$746,"AGUARDANDO MANUTENCAO"),0)</f>
        <v>0</v>
      </c>
      <c r="N818" s="10">
        <f>IFERROR(SUMIFS('Base bordo'!G$2:G$746,'Base bordo'!C$2:C$746,A818,'Base bordo'!B$2:B$746,B818,'Base bordo'!F$2:F$746,"SEM APONTAMENTO"),0)</f>
        <v>0</v>
      </c>
      <c r="O818" s="10">
        <f t="shared" si="84"/>
        <v>0</v>
      </c>
      <c r="P818" s="10">
        <f>IFERROR(SUMIFS('Base bordo'!G$2:G$746,'Base bordo'!C$2:C$746,A818,'Base bordo'!B$2:B$746,B818),0)</f>
        <v>18.604444444444443</v>
      </c>
      <c r="Q818" s="10">
        <f>IFERROR(SUMIFS('Base bordo'!H$2:H$746,'Base bordo'!C$2:C$746,A818,'Base bordo'!B$2:B$746,B818,'Base bordo'!F$2:F$746,"DESLOCAMENTO VAZIO"),0)</f>
        <v>164736.31</v>
      </c>
      <c r="R818" s="10">
        <f>IFERROR(SUMIFS('Base bordo'!I$2:I$746,'Base bordo'!C$2:C$746,A818,'Base bordo'!B$2:B$746,B818,'Base bordo'!F$2:F$746,"DESLOCAMENTO VAZIO"),0)</f>
        <v>8689</v>
      </c>
      <c r="S818" s="30">
        <f t="shared" si="85"/>
        <v>18.959179422258028</v>
      </c>
      <c r="T818" s="10">
        <f>IFERROR(SUMIFS('Base bordo'!H$2:H$746,'Base bordo'!C$2:C$746,A818,'Base bordo'!B$2:B$746,B818,'Base bordo'!F$2:F$746,"DESLOCAMENTO CARREGADO"),0)</f>
        <v>65187.479999999996</v>
      </c>
      <c r="U818" s="10">
        <f>IFERROR(SUMIFS('Base bordo'!I$2:I$746,'Base bordo'!C$2:C$746,A818,'Base bordo'!B$2:B$746,B818,'Base bordo'!F$2:F$746,"DESLOCAMENTO CARREGADO"),0)</f>
        <v>2699</v>
      </c>
      <c r="V818" s="30">
        <f t="shared" si="86"/>
        <v>24.152456465357538</v>
      </c>
      <c r="W818" s="9">
        <f t="shared" si="87"/>
        <v>0.12973303870043001</v>
      </c>
      <c r="X818" s="9">
        <f t="shared" si="88"/>
        <v>4.0298017200191112E-2</v>
      </c>
      <c r="Y818" s="9">
        <f t="shared" si="89"/>
        <v>0.82996894409937894</v>
      </c>
    </row>
    <row r="819" spans="1:25" ht="15" customHeight="1" x14ac:dyDescent="0.35">
      <c r="A819" s="52">
        <v>8013483</v>
      </c>
      <c r="B819" s="51">
        <v>46118</v>
      </c>
      <c r="C819" s="7" t="s">
        <v>124</v>
      </c>
      <c r="D819" s="10">
        <f>IFERROR(SUMIFS('Base bordo'!G$2:G$746,'Base bordo'!C$2:C$746,A819,'Base bordo'!B$2:B$746,B819,'Base bordo'!F$2:F$746,"DESLOCAMENTO VAZIO"),0)</f>
        <v>2.4136111111111109</v>
      </c>
      <c r="E819" s="10">
        <f>IFERROR(SUMIFS('Base bordo'!G$2:G$746,'Base bordo'!C$2:C$746,A819,'Base bordo'!B$2:B$746,B819,'Base bordo'!F$2:F$746,"DESLOCAMENTO CARREGADO"),0)</f>
        <v>0.74972222222222218</v>
      </c>
      <c r="F819" s="10">
        <f>IFERROR(SUMIFS('Base bordo'!G$2:G$746,'Base bordo'!C$2:C$746,A819,'Base bordo'!B$2:B$746,B819,'Base bordo'!F$2:F$746,"DESLOCAMENTO"),0)</f>
        <v>0</v>
      </c>
      <c r="G819" s="10">
        <f>IFERROR(SUMIFS('Base bordo'!G$2:G$746,'Base bordo'!C$2:C$746,A819,'Base bordo'!B$2:B$746,B819,'Base bordo'!F$2:F$746,"CARREGAMENTO"),0)</f>
        <v>0</v>
      </c>
      <c r="H819" s="10">
        <f>IFERROR(SUMIFS('Base bordo'!G$2:G$746,'Base bordo'!C$2:C$746,A819,'Base bordo'!B$2:B$746,B819,'Base bordo'!F$2:F$746,"AGUARDANDO TRANSBORDO"),0)</f>
        <v>0.18666666666666668</v>
      </c>
      <c r="I819" s="10">
        <f>IFERROR(SUMIFS('Base bordo'!G$2:G$746,'Base bordo'!C$2:C$746,A819,'Base bordo'!B$2:B$746,B819,'Base bordo'!F$2:F$746,"PÁTIO INTERNO"),0)+IFERROR(SUMIFS('Base bordo'!G$2:G$746,'Base bordo'!C$2:C$746,A819,'Base bordo'!B$2:B$746,B819,'Base bordo'!F$2:F$746,"PÁTIO EXTERNO"),0)+IFERROR(SUMIFS('Base bordo'!G$2:G$746,'Base bordo'!C$2:C$746,A819,'Base bordo'!B$2:B$746,B819,'Base bordo'!F$2:F$746,"PATIO - RESERVA"),0)+IFERROR(SUMIFS('Base bordo'!G$2:G$746,'Base bordo'!C$2:C$746,A819,'Base bordo'!B$2:B$746,B819,'Base bordo'!F$2:F$746,"MANOBRA CARRETAS-PATIO"),0)</f>
        <v>11.716111111111111</v>
      </c>
      <c r="J819" s="10">
        <f>IFERROR(SUMIFS('Base bordo'!G$2:G$746,'Base bordo'!C$2:C$746,A819,'Base bordo'!B$2:B$746,B819,'Base bordo'!F$2:F$746,"BALANÇA - ENTRADA"),0)+IFERROR(SUMIFS('Base bordo'!G$2:G$746,'Base bordo'!C$2:C$746,A819,'Base bordo'!B$2:B$746,B819,'Base bordo'!F$2:F$746,"BALANÇA - SAÍDA"),0)</f>
        <v>4.7500000000000001E-2</v>
      </c>
      <c r="K819" s="10">
        <f>IFERROR(SUMIFS('Base bordo'!G$2:G$746,'Base bordo'!C$2:C$746,A819,'Base bordo'!B$2:B$746,B819,'Base bordo'!F$2:F$746,"MAN PREVENTIVA - MECANICA"),0)+IFERROR(SUMIFS('Base bordo'!G$2:G$746,'Base bordo'!C$2:C$746,A819,'Base bordo'!B$2:B$746,B819,'Base bordo'!F$2:F$746,"MAN CORRETIVA - MECANICA"),0)</f>
        <v>0</v>
      </c>
      <c r="L819" s="10">
        <f>IFERROR(SUMIFS('Base bordo'!G$2:G$746,'Base bordo'!C$2:C$746,A819,'Base bordo'!B$2:B$746,B819,'Base bordo'!F$2:F$746,"MANUTENCAO - T O"),0)+IFERROR(SUMIFS('Base bordo'!G$2:G$746,'Base bordo'!C$2:C$746,A819,'Base bordo'!B$2:B$746,B819,'Base bordo'!F$2:F$746,"MANUTENCAO BORRACHARIA"),0)+IFERROR(SUMIFS('Base bordo'!G$2:G$746,'Base bordo'!C$2:C$746,A819,'Base bordo'!B$2:B$746,B819,'Base bordo'!F$2:F$746,"MANUTENCAO EXTERNA  CONCESSIONARIA"),0)+IFERROR(SUMIFS('Base bordo'!G$2:G$746,'Base bordo'!C$2:C$746,A819,'Base bordo'!B$2:B$746,B819,'Base bordo'!F$2:F$746,"MANUTENCAO TELEMETRIA"),0)</f>
        <v>3.4908333333333332</v>
      </c>
      <c r="M819" s="10">
        <f>IFERROR(SUMIFS('Base bordo'!G$2:G$746,'Base bordo'!C$2:C$746,A819,'Base bordo'!B$2:B$746,B819,'Base bordo'!F$2:F$746,"AGUARDANDO MANUTENCAO"),0)</f>
        <v>0</v>
      </c>
      <c r="N819" s="10">
        <f>IFERROR(SUMIFS('Base bordo'!G$2:G$746,'Base bordo'!C$2:C$746,A819,'Base bordo'!B$2:B$746,B819,'Base bordo'!F$2:F$746,"SEM APONTAMENTO"),0)</f>
        <v>0</v>
      </c>
      <c r="O819" s="10">
        <f t="shared" si="84"/>
        <v>0</v>
      </c>
      <c r="P819" s="10">
        <f>IFERROR(SUMIFS('Base bordo'!G$2:G$746,'Base bordo'!C$2:C$746,A819,'Base bordo'!B$2:B$746,B819),0)</f>
        <v>18.604444444444443</v>
      </c>
      <c r="Q819" s="10">
        <f>IFERROR(SUMIFS('Base bordo'!H$2:H$746,'Base bordo'!C$2:C$746,A819,'Base bordo'!B$2:B$746,B819,'Base bordo'!F$2:F$746,"DESLOCAMENTO VAZIO"),0)</f>
        <v>164736.31</v>
      </c>
      <c r="R819" s="10">
        <f>IFERROR(SUMIFS('Base bordo'!I$2:I$746,'Base bordo'!C$2:C$746,A819,'Base bordo'!B$2:B$746,B819,'Base bordo'!F$2:F$746,"DESLOCAMENTO VAZIO"),0)</f>
        <v>8689</v>
      </c>
      <c r="S819" s="30">
        <f t="shared" si="85"/>
        <v>18.959179422258028</v>
      </c>
      <c r="T819" s="10">
        <f>IFERROR(SUMIFS('Base bordo'!H$2:H$746,'Base bordo'!C$2:C$746,A819,'Base bordo'!B$2:B$746,B819,'Base bordo'!F$2:F$746,"DESLOCAMENTO CARREGADO"),0)</f>
        <v>65187.479999999996</v>
      </c>
      <c r="U819" s="10">
        <f>IFERROR(SUMIFS('Base bordo'!I$2:I$746,'Base bordo'!C$2:C$746,A819,'Base bordo'!B$2:B$746,B819,'Base bordo'!F$2:F$746,"DESLOCAMENTO CARREGADO"),0)</f>
        <v>2699</v>
      </c>
      <c r="V819" s="30">
        <f t="shared" si="86"/>
        <v>24.152456465357538</v>
      </c>
      <c r="W819" s="9">
        <f t="shared" si="87"/>
        <v>0.12973303870043001</v>
      </c>
      <c r="X819" s="9">
        <f t="shared" si="88"/>
        <v>4.0298017200191112E-2</v>
      </c>
      <c r="Y819" s="9">
        <f t="shared" si="89"/>
        <v>0.82996894409937894</v>
      </c>
    </row>
    <row r="820" spans="1:25" ht="15" customHeight="1" x14ac:dyDescent="0.35">
      <c r="A820" s="52">
        <v>8013483</v>
      </c>
      <c r="B820" s="51">
        <v>46118</v>
      </c>
      <c r="C820" s="7" t="s">
        <v>124</v>
      </c>
      <c r="D820" s="10">
        <f>IFERROR(SUMIFS('Base bordo'!G$2:G$746,'Base bordo'!C$2:C$746,A820,'Base bordo'!B$2:B$746,B820,'Base bordo'!F$2:F$746,"DESLOCAMENTO VAZIO"),0)</f>
        <v>2.4136111111111109</v>
      </c>
      <c r="E820" s="10">
        <f>IFERROR(SUMIFS('Base bordo'!G$2:G$746,'Base bordo'!C$2:C$746,A820,'Base bordo'!B$2:B$746,B820,'Base bordo'!F$2:F$746,"DESLOCAMENTO CARREGADO"),0)</f>
        <v>0.74972222222222218</v>
      </c>
      <c r="F820" s="10">
        <f>IFERROR(SUMIFS('Base bordo'!G$2:G$746,'Base bordo'!C$2:C$746,A820,'Base bordo'!B$2:B$746,B820,'Base bordo'!F$2:F$746,"DESLOCAMENTO"),0)</f>
        <v>0</v>
      </c>
      <c r="G820" s="10">
        <f>IFERROR(SUMIFS('Base bordo'!G$2:G$746,'Base bordo'!C$2:C$746,A820,'Base bordo'!B$2:B$746,B820,'Base bordo'!F$2:F$746,"CARREGAMENTO"),0)</f>
        <v>0</v>
      </c>
      <c r="H820" s="10">
        <f>IFERROR(SUMIFS('Base bordo'!G$2:G$746,'Base bordo'!C$2:C$746,A820,'Base bordo'!B$2:B$746,B820,'Base bordo'!F$2:F$746,"AGUARDANDO TRANSBORDO"),0)</f>
        <v>0.18666666666666668</v>
      </c>
      <c r="I820" s="10">
        <f>IFERROR(SUMIFS('Base bordo'!G$2:G$746,'Base bordo'!C$2:C$746,A820,'Base bordo'!B$2:B$746,B820,'Base bordo'!F$2:F$746,"PÁTIO INTERNO"),0)+IFERROR(SUMIFS('Base bordo'!G$2:G$746,'Base bordo'!C$2:C$746,A820,'Base bordo'!B$2:B$746,B820,'Base bordo'!F$2:F$746,"PÁTIO EXTERNO"),0)+IFERROR(SUMIFS('Base bordo'!G$2:G$746,'Base bordo'!C$2:C$746,A820,'Base bordo'!B$2:B$746,B820,'Base bordo'!F$2:F$746,"PATIO - RESERVA"),0)+IFERROR(SUMIFS('Base bordo'!G$2:G$746,'Base bordo'!C$2:C$746,A820,'Base bordo'!B$2:B$746,B820,'Base bordo'!F$2:F$746,"MANOBRA CARRETAS-PATIO"),0)</f>
        <v>11.716111111111111</v>
      </c>
      <c r="J820" s="10">
        <f>IFERROR(SUMIFS('Base bordo'!G$2:G$746,'Base bordo'!C$2:C$746,A820,'Base bordo'!B$2:B$746,B820,'Base bordo'!F$2:F$746,"BALANÇA - ENTRADA"),0)+IFERROR(SUMIFS('Base bordo'!G$2:G$746,'Base bordo'!C$2:C$746,A820,'Base bordo'!B$2:B$746,B820,'Base bordo'!F$2:F$746,"BALANÇA - SAÍDA"),0)</f>
        <v>4.7500000000000001E-2</v>
      </c>
      <c r="K820" s="10">
        <f>IFERROR(SUMIFS('Base bordo'!G$2:G$746,'Base bordo'!C$2:C$746,A820,'Base bordo'!B$2:B$746,B820,'Base bordo'!F$2:F$746,"MAN PREVENTIVA - MECANICA"),0)+IFERROR(SUMIFS('Base bordo'!G$2:G$746,'Base bordo'!C$2:C$746,A820,'Base bordo'!B$2:B$746,B820,'Base bordo'!F$2:F$746,"MAN CORRETIVA - MECANICA"),0)</f>
        <v>0</v>
      </c>
      <c r="L820" s="10">
        <f>IFERROR(SUMIFS('Base bordo'!G$2:G$746,'Base bordo'!C$2:C$746,A820,'Base bordo'!B$2:B$746,B820,'Base bordo'!F$2:F$746,"MANUTENCAO - T O"),0)+IFERROR(SUMIFS('Base bordo'!G$2:G$746,'Base bordo'!C$2:C$746,A820,'Base bordo'!B$2:B$746,B820,'Base bordo'!F$2:F$746,"MANUTENCAO BORRACHARIA"),0)+IFERROR(SUMIFS('Base bordo'!G$2:G$746,'Base bordo'!C$2:C$746,A820,'Base bordo'!B$2:B$746,B820,'Base bordo'!F$2:F$746,"MANUTENCAO EXTERNA  CONCESSIONARIA"),0)+IFERROR(SUMIFS('Base bordo'!G$2:G$746,'Base bordo'!C$2:C$746,A820,'Base bordo'!B$2:B$746,B820,'Base bordo'!F$2:F$746,"MANUTENCAO TELEMETRIA"),0)</f>
        <v>3.4908333333333332</v>
      </c>
      <c r="M820" s="10">
        <f>IFERROR(SUMIFS('Base bordo'!G$2:G$746,'Base bordo'!C$2:C$746,A820,'Base bordo'!B$2:B$746,B820,'Base bordo'!F$2:F$746,"AGUARDANDO MANUTENCAO"),0)</f>
        <v>0</v>
      </c>
      <c r="N820" s="10">
        <f>IFERROR(SUMIFS('Base bordo'!G$2:G$746,'Base bordo'!C$2:C$746,A820,'Base bordo'!B$2:B$746,B820,'Base bordo'!F$2:F$746,"SEM APONTAMENTO"),0)</f>
        <v>0</v>
      </c>
      <c r="O820" s="10">
        <f t="shared" si="84"/>
        <v>0</v>
      </c>
      <c r="P820" s="10">
        <f>IFERROR(SUMIFS('Base bordo'!G$2:G$746,'Base bordo'!C$2:C$746,A820,'Base bordo'!B$2:B$746,B820),0)</f>
        <v>18.604444444444443</v>
      </c>
      <c r="Q820" s="10">
        <f>IFERROR(SUMIFS('Base bordo'!H$2:H$746,'Base bordo'!C$2:C$746,A820,'Base bordo'!B$2:B$746,B820,'Base bordo'!F$2:F$746,"DESLOCAMENTO VAZIO"),0)</f>
        <v>164736.31</v>
      </c>
      <c r="R820" s="10">
        <f>IFERROR(SUMIFS('Base bordo'!I$2:I$746,'Base bordo'!C$2:C$746,A820,'Base bordo'!B$2:B$746,B820,'Base bordo'!F$2:F$746,"DESLOCAMENTO VAZIO"),0)</f>
        <v>8689</v>
      </c>
      <c r="S820" s="30">
        <f t="shared" si="85"/>
        <v>18.959179422258028</v>
      </c>
      <c r="T820" s="10">
        <f>IFERROR(SUMIFS('Base bordo'!H$2:H$746,'Base bordo'!C$2:C$746,A820,'Base bordo'!B$2:B$746,B820,'Base bordo'!F$2:F$746,"DESLOCAMENTO CARREGADO"),0)</f>
        <v>65187.479999999996</v>
      </c>
      <c r="U820" s="10">
        <f>IFERROR(SUMIFS('Base bordo'!I$2:I$746,'Base bordo'!C$2:C$746,A820,'Base bordo'!B$2:B$746,B820,'Base bordo'!F$2:F$746,"DESLOCAMENTO CARREGADO"),0)</f>
        <v>2699</v>
      </c>
      <c r="V820" s="30">
        <f t="shared" si="86"/>
        <v>24.152456465357538</v>
      </c>
      <c r="W820" s="9">
        <f t="shared" si="87"/>
        <v>0.12973303870043001</v>
      </c>
      <c r="X820" s="9">
        <f t="shared" si="88"/>
        <v>4.0298017200191112E-2</v>
      </c>
      <c r="Y820" s="9">
        <f t="shared" si="89"/>
        <v>0.82996894409937894</v>
      </c>
    </row>
    <row r="821" spans="1:25" ht="15" customHeight="1" x14ac:dyDescent="0.35">
      <c r="A821" s="52">
        <v>8013483</v>
      </c>
      <c r="B821" s="51">
        <v>46118</v>
      </c>
      <c r="C821" s="7" t="s">
        <v>124</v>
      </c>
      <c r="D821" s="10">
        <f>IFERROR(SUMIFS('Base bordo'!G$2:G$746,'Base bordo'!C$2:C$746,A821,'Base bordo'!B$2:B$746,B821,'Base bordo'!F$2:F$746,"DESLOCAMENTO VAZIO"),0)</f>
        <v>2.4136111111111109</v>
      </c>
      <c r="E821" s="10">
        <f>IFERROR(SUMIFS('Base bordo'!G$2:G$746,'Base bordo'!C$2:C$746,A821,'Base bordo'!B$2:B$746,B821,'Base bordo'!F$2:F$746,"DESLOCAMENTO CARREGADO"),0)</f>
        <v>0.74972222222222218</v>
      </c>
      <c r="F821" s="10">
        <f>IFERROR(SUMIFS('Base bordo'!G$2:G$746,'Base bordo'!C$2:C$746,A821,'Base bordo'!B$2:B$746,B821,'Base bordo'!F$2:F$746,"DESLOCAMENTO"),0)</f>
        <v>0</v>
      </c>
      <c r="G821" s="10">
        <f>IFERROR(SUMIFS('Base bordo'!G$2:G$746,'Base bordo'!C$2:C$746,A821,'Base bordo'!B$2:B$746,B821,'Base bordo'!F$2:F$746,"CARREGAMENTO"),0)</f>
        <v>0</v>
      </c>
      <c r="H821" s="10">
        <f>IFERROR(SUMIFS('Base bordo'!G$2:G$746,'Base bordo'!C$2:C$746,A821,'Base bordo'!B$2:B$746,B821,'Base bordo'!F$2:F$746,"AGUARDANDO TRANSBORDO"),0)</f>
        <v>0.18666666666666668</v>
      </c>
      <c r="I821" s="10">
        <f>IFERROR(SUMIFS('Base bordo'!G$2:G$746,'Base bordo'!C$2:C$746,A821,'Base bordo'!B$2:B$746,B821,'Base bordo'!F$2:F$746,"PÁTIO INTERNO"),0)+IFERROR(SUMIFS('Base bordo'!G$2:G$746,'Base bordo'!C$2:C$746,A821,'Base bordo'!B$2:B$746,B821,'Base bordo'!F$2:F$746,"PÁTIO EXTERNO"),0)+IFERROR(SUMIFS('Base bordo'!G$2:G$746,'Base bordo'!C$2:C$746,A821,'Base bordo'!B$2:B$746,B821,'Base bordo'!F$2:F$746,"PATIO - RESERVA"),0)+IFERROR(SUMIFS('Base bordo'!G$2:G$746,'Base bordo'!C$2:C$746,A821,'Base bordo'!B$2:B$746,B821,'Base bordo'!F$2:F$746,"MANOBRA CARRETAS-PATIO"),0)</f>
        <v>11.716111111111111</v>
      </c>
      <c r="J821" s="10">
        <f>IFERROR(SUMIFS('Base bordo'!G$2:G$746,'Base bordo'!C$2:C$746,A821,'Base bordo'!B$2:B$746,B821,'Base bordo'!F$2:F$746,"BALANÇA - ENTRADA"),0)+IFERROR(SUMIFS('Base bordo'!G$2:G$746,'Base bordo'!C$2:C$746,A821,'Base bordo'!B$2:B$746,B821,'Base bordo'!F$2:F$746,"BALANÇA - SAÍDA"),0)</f>
        <v>4.7500000000000001E-2</v>
      </c>
      <c r="K821" s="10">
        <f>IFERROR(SUMIFS('Base bordo'!G$2:G$746,'Base bordo'!C$2:C$746,A821,'Base bordo'!B$2:B$746,B821,'Base bordo'!F$2:F$746,"MAN PREVENTIVA - MECANICA"),0)+IFERROR(SUMIFS('Base bordo'!G$2:G$746,'Base bordo'!C$2:C$746,A821,'Base bordo'!B$2:B$746,B821,'Base bordo'!F$2:F$746,"MAN CORRETIVA - MECANICA"),0)</f>
        <v>0</v>
      </c>
      <c r="L821" s="10">
        <f>IFERROR(SUMIFS('Base bordo'!G$2:G$746,'Base bordo'!C$2:C$746,A821,'Base bordo'!B$2:B$746,B821,'Base bordo'!F$2:F$746,"MANUTENCAO - T O"),0)+IFERROR(SUMIFS('Base bordo'!G$2:G$746,'Base bordo'!C$2:C$746,A821,'Base bordo'!B$2:B$746,B821,'Base bordo'!F$2:F$746,"MANUTENCAO BORRACHARIA"),0)+IFERROR(SUMIFS('Base bordo'!G$2:G$746,'Base bordo'!C$2:C$746,A821,'Base bordo'!B$2:B$746,B821,'Base bordo'!F$2:F$746,"MANUTENCAO EXTERNA  CONCESSIONARIA"),0)+IFERROR(SUMIFS('Base bordo'!G$2:G$746,'Base bordo'!C$2:C$746,A821,'Base bordo'!B$2:B$746,B821,'Base bordo'!F$2:F$746,"MANUTENCAO TELEMETRIA"),0)</f>
        <v>3.4908333333333332</v>
      </c>
      <c r="M821" s="10">
        <f>IFERROR(SUMIFS('Base bordo'!G$2:G$746,'Base bordo'!C$2:C$746,A821,'Base bordo'!B$2:B$746,B821,'Base bordo'!F$2:F$746,"AGUARDANDO MANUTENCAO"),0)</f>
        <v>0</v>
      </c>
      <c r="N821" s="10">
        <f>IFERROR(SUMIFS('Base bordo'!G$2:G$746,'Base bordo'!C$2:C$746,A821,'Base bordo'!B$2:B$746,B821,'Base bordo'!F$2:F$746,"SEM APONTAMENTO"),0)</f>
        <v>0</v>
      </c>
      <c r="O821" s="10">
        <f t="shared" si="84"/>
        <v>0</v>
      </c>
      <c r="P821" s="10">
        <f>IFERROR(SUMIFS('Base bordo'!G$2:G$746,'Base bordo'!C$2:C$746,A821,'Base bordo'!B$2:B$746,B821),0)</f>
        <v>18.604444444444443</v>
      </c>
      <c r="Q821" s="10">
        <f>IFERROR(SUMIFS('Base bordo'!H$2:H$746,'Base bordo'!C$2:C$746,A821,'Base bordo'!B$2:B$746,B821,'Base bordo'!F$2:F$746,"DESLOCAMENTO VAZIO"),0)</f>
        <v>164736.31</v>
      </c>
      <c r="R821" s="10">
        <f>IFERROR(SUMIFS('Base bordo'!I$2:I$746,'Base bordo'!C$2:C$746,A821,'Base bordo'!B$2:B$746,B821,'Base bordo'!F$2:F$746,"DESLOCAMENTO VAZIO"),0)</f>
        <v>8689</v>
      </c>
      <c r="S821" s="30">
        <f t="shared" si="85"/>
        <v>18.959179422258028</v>
      </c>
      <c r="T821" s="10">
        <f>IFERROR(SUMIFS('Base bordo'!H$2:H$746,'Base bordo'!C$2:C$746,A821,'Base bordo'!B$2:B$746,B821,'Base bordo'!F$2:F$746,"DESLOCAMENTO CARREGADO"),0)</f>
        <v>65187.479999999996</v>
      </c>
      <c r="U821" s="10">
        <f>IFERROR(SUMIFS('Base bordo'!I$2:I$746,'Base bordo'!C$2:C$746,A821,'Base bordo'!B$2:B$746,B821,'Base bordo'!F$2:F$746,"DESLOCAMENTO CARREGADO"),0)</f>
        <v>2699</v>
      </c>
      <c r="V821" s="30">
        <f t="shared" si="86"/>
        <v>24.152456465357538</v>
      </c>
      <c r="W821" s="9">
        <f t="shared" si="87"/>
        <v>0.12973303870043001</v>
      </c>
      <c r="X821" s="9">
        <f t="shared" si="88"/>
        <v>4.0298017200191112E-2</v>
      </c>
      <c r="Y821" s="9">
        <f t="shared" si="89"/>
        <v>0.82996894409937894</v>
      </c>
    </row>
    <row r="822" spans="1:25" ht="15" customHeight="1" x14ac:dyDescent="0.35">
      <c r="A822" s="52">
        <v>8013483</v>
      </c>
      <c r="B822" s="51">
        <v>46118</v>
      </c>
      <c r="C822" s="7" t="s">
        <v>124</v>
      </c>
      <c r="D822" s="10">
        <f>IFERROR(SUMIFS('Base bordo'!G$2:G$746,'Base bordo'!C$2:C$746,A822,'Base bordo'!B$2:B$746,B822,'Base bordo'!F$2:F$746,"DESLOCAMENTO VAZIO"),0)</f>
        <v>2.4136111111111109</v>
      </c>
      <c r="E822" s="10">
        <f>IFERROR(SUMIFS('Base bordo'!G$2:G$746,'Base bordo'!C$2:C$746,A822,'Base bordo'!B$2:B$746,B822,'Base bordo'!F$2:F$746,"DESLOCAMENTO CARREGADO"),0)</f>
        <v>0.74972222222222218</v>
      </c>
      <c r="F822" s="10">
        <f>IFERROR(SUMIFS('Base bordo'!G$2:G$746,'Base bordo'!C$2:C$746,A822,'Base bordo'!B$2:B$746,B822,'Base bordo'!F$2:F$746,"DESLOCAMENTO"),0)</f>
        <v>0</v>
      </c>
      <c r="G822" s="10">
        <f>IFERROR(SUMIFS('Base bordo'!G$2:G$746,'Base bordo'!C$2:C$746,A822,'Base bordo'!B$2:B$746,B822,'Base bordo'!F$2:F$746,"CARREGAMENTO"),0)</f>
        <v>0</v>
      </c>
      <c r="H822" s="10">
        <f>IFERROR(SUMIFS('Base bordo'!G$2:G$746,'Base bordo'!C$2:C$746,A822,'Base bordo'!B$2:B$746,B822,'Base bordo'!F$2:F$746,"AGUARDANDO TRANSBORDO"),0)</f>
        <v>0.18666666666666668</v>
      </c>
      <c r="I822" s="10">
        <f>IFERROR(SUMIFS('Base bordo'!G$2:G$746,'Base bordo'!C$2:C$746,A822,'Base bordo'!B$2:B$746,B822,'Base bordo'!F$2:F$746,"PÁTIO INTERNO"),0)+IFERROR(SUMIFS('Base bordo'!G$2:G$746,'Base bordo'!C$2:C$746,A822,'Base bordo'!B$2:B$746,B822,'Base bordo'!F$2:F$746,"PÁTIO EXTERNO"),0)+IFERROR(SUMIFS('Base bordo'!G$2:G$746,'Base bordo'!C$2:C$746,A822,'Base bordo'!B$2:B$746,B822,'Base bordo'!F$2:F$746,"PATIO - RESERVA"),0)+IFERROR(SUMIFS('Base bordo'!G$2:G$746,'Base bordo'!C$2:C$746,A822,'Base bordo'!B$2:B$746,B822,'Base bordo'!F$2:F$746,"MANOBRA CARRETAS-PATIO"),0)</f>
        <v>11.716111111111111</v>
      </c>
      <c r="J822" s="10">
        <f>IFERROR(SUMIFS('Base bordo'!G$2:G$746,'Base bordo'!C$2:C$746,A822,'Base bordo'!B$2:B$746,B822,'Base bordo'!F$2:F$746,"BALANÇA - ENTRADA"),0)+IFERROR(SUMIFS('Base bordo'!G$2:G$746,'Base bordo'!C$2:C$746,A822,'Base bordo'!B$2:B$746,B822,'Base bordo'!F$2:F$746,"BALANÇA - SAÍDA"),0)</f>
        <v>4.7500000000000001E-2</v>
      </c>
      <c r="K822" s="10">
        <f>IFERROR(SUMIFS('Base bordo'!G$2:G$746,'Base bordo'!C$2:C$746,A822,'Base bordo'!B$2:B$746,B822,'Base bordo'!F$2:F$746,"MAN PREVENTIVA - MECANICA"),0)+IFERROR(SUMIFS('Base bordo'!G$2:G$746,'Base bordo'!C$2:C$746,A822,'Base bordo'!B$2:B$746,B822,'Base bordo'!F$2:F$746,"MAN CORRETIVA - MECANICA"),0)</f>
        <v>0</v>
      </c>
      <c r="L822" s="10">
        <f>IFERROR(SUMIFS('Base bordo'!G$2:G$746,'Base bordo'!C$2:C$746,A822,'Base bordo'!B$2:B$746,B822,'Base bordo'!F$2:F$746,"MANUTENCAO - T O"),0)+IFERROR(SUMIFS('Base bordo'!G$2:G$746,'Base bordo'!C$2:C$746,A822,'Base bordo'!B$2:B$746,B822,'Base bordo'!F$2:F$746,"MANUTENCAO BORRACHARIA"),0)+IFERROR(SUMIFS('Base bordo'!G$2:G$746,'Base bordo'!C$2:C$746,A822,'Base bordo'!B$2:B$746,B822,'Base bordo'!F$2:F$746,"MANUTENCAO EXTERNA  CONCESSIONARIA"),0)+IFERROR(SUMIFS('Base bordo'!G$2:G$746,'Base bordo'!C$2:C$746,A822,'Base bordo'!B$2:B$746,B822,'Base bordo'!F$2:F$746,"MANUTENCAO TELEMETRIA"),0)</f>
        <v>3.4908333333333332</v>
      </c>
      <c r="M822" s="10">
        <f>IFERROR(SUMIFS('Base bordo'!G$2:G$746,'Base bordo'!C$2:C$746,A822,'Base bordo'!B$2:B$746,B822,'Base bordo'!F$2:F$746,"AGUARDANDO MANUTENCAO"),0)</f>
        <v>0</v>
      </c>
      <c r="N822" s="10">
        <f>IFERROR(SUMIFS('Base bordo'!G$2:G$746,'Base bordo'!C$2:C$746,A822,'Base bordo'!B$2:B$746,B822,'Base bordo'!F$2:F$746,"SEM APONTAMENTO"),0)</f>
        <v>0</v>
      </c>
      <c r="O822" s="10">
        <f t="shared" si="84"/>
        <v>0</v>
      </c>
      <c r="P822" s="10">
        <f>IFERROR(SUMIFS('Base bordo'!G$2:G$746,'Base bordo'!C$2:C$746,A822,'Base bordo'!B$2:B$746,B822),0)</f>
        <v>18.604444444444443</v>
      </c>
      <c r="Q822" s="10">
        <f>IFERROR(SUMIFS('Base bordo'!H$2:H$746,'Base bordo'!C$2:C$746,A822,'Base bordo'!B$2:B$746,B822,'Base bordo'!F$2:F$746,"DESLOCAMENTO VAZIO"),0)</f>
        <v>164736.31</v>
      </c>
      <c r="R822" s="10">
        <f>IFERROR(SUMIFS('Base bordo'!I$2:I$746,'Base bordo'!C$2:C$746,A822,'Base bordo'!B$2:B$746,B822,'Base bordo'!F$2:F$746,"DESLOCAMENTO VAZIO"),0)</f>
        <v>8689</v>
      </c>
      <c r="S822" s="30">
        <f t="shared" si="85"/>
        <v>18.959179422258028</v>
      </c>
      <c r="T822" s="10">
        <f>IFERROR(SUMIFS('Base bordo'!H$2:H$746,'Base bordo'!C$2:C$746,A822,'Base bordo'!B$2:B$746,B822,'Base bordo'!F$2:F$746,"DESLOCAMENTO CARREGADO"),0)</f>
        <v>65187.479999999996</v>
      </c>
      <c r="U822" s="10">
        <f>IFERROR(SUMIFS('Base bordo'!I$2:I$746,'Base bordo'!C$2:C$746,A822,'Base bordo'!B$2:B$746,B822,'Base bordo'!F$2:F$746,"DESLOCAMENTO CARREGADO"),0)</f>
        <v>2699</v>
      </c>
      <c r="V822" s="30">
        <f t="shared" si="86"/>
        <v>24.152456465357538</v>
      </c>
      <c r="W822" s="9">
        <f t="shared" si="87"/>
        <v>0.12973303870043001</v>
      </c>
      <c r="X822" s="9">
        <f t="shared" si="88"/>
        <v>4.0298017200191112E-2</v>
      </c>
      <c r="Y822" s="9">
        <f t="shared" si="89"/>
        <v>0.82996894409937894</v>
      </c>
    </row>
    <row r="823" spans="1:25" ht="15" customHeight="1" x14ac:dyDescent="0.35">
      <c r="A823" s="52">
        <v>8013483</v>
      </c>
      <c r="B823" s="51">
        <v>46118</v>
      </c>
      <c r="C823" s="7" t="s">
        <v>124</v>
      </c>
      <c r="D823" s="10">
        <f>IFERROR(SUMIFS('Base bordo'!G$2:G$746,'Base bordo'!C$2:C$746,A823,'Base bordo'!B$2:B$746,B823,'Base bordo'!F$2:F$746,"DESLOCAMENTO VAZIO"),0)</f>
        <v>2.4136111111111109</v>
      </c>
      <c r="E823" s="10">
        <f>IFERROR(SUMIFS('Base bordo'!G$2:G$746,'Base bordo'!C$2:C$746,A823,'Base bordo'!B$2:B$746,B823,'Base bordo'!F$2:F$746,"DESLOCAMENTO CARREGADO"),0)</f>
        <v>0.74972222222222218</v>
      </c>
      <c r="F823" s="10">
        <f>IFERROR(SUMIFS('Base bordo'!G$2:G$746,'Base bordo'!C$2:C$746,A823,'Base bordo'!B$2:B$746,B823,'Base bordo'!F$2:F$746,"DESLOCAMENTO"),0)</f>
        <v>0</v>
      </c>
      <c r="G823" s="10">
        <f>IFERROR(SUMIFS('Base bordo'!G$2:G$746,'Base bordo'!C$2:C$746,A823,'Base bordo'!B$2:B$746,B823,'Base bordo'!F$2:F$746,"CARREGAMENTO"),0)</f>
        <v>0</v>
      </c>
      <c r="H823" s="10">
        <f>IFERROR(SUMIFS('Base bordo'!G$2:G$746,'Base bordo'!C$2:C$746,A823,'Base bordo'!B$2:B$746,B823,'Base bordo'!F$2:F$746,"AGUARDANDO TRANSBORDO"),0)</f>
        <v>0.18666666666666668</v>
      </c>
      <c r="I823" s="10">
        <f>IFERROR(SUMIFS('Base bordo'!G$2:G$746,'Base bordo'!C$2:C$746,A823,'Base bordo'!B$2:B$746,B823,'Base bordo'!F$2:F$746,"PÁTIO INTERNO"),0)+IFERROR(SUMIFS('Base bordo'!G$2:G$746,'Base bordo'!C$2:C$746,A823,'Base bordo'!B$2:B$746,B823,'Base bordo'!F$2:F$746,"PÁTIO EXTERNO"),0)+IFERROR(SUMIFS('Base bordo'!G$2:G$746,'Base bordo'!C$2:C$746,A823,'Base bordo'!B$2:B$746,B823,'Base bordo'!F$2:F$746,"PATIO - RESERVA"),0)+IFERROR(SUMIFS('Base bordo'!G$2:G$746,'Base bordo'!C$2:C$746,A823,'Base bordo'!B$2:B$746,B823,'Base bordo'!F$2:F$746,"MANOBRA CARRETAS-PATIO"),0)</f>
        <v>11.716111111111111</v>
      </c>
      <c r="J823" s="10">
        <f>IFERROR(SUMIFS('Base bordo'!G$2:G$746,'Base bordo'!C$2:C$746,A823,'Base bordo'!B$2:B$746,B823,'Base bordo'!F$2:F$746,"BALANÇA - ENTRADA"),0)+IFERROR(SUMIFS('Base bordo'!G$2:G$746,'Base bordo'!C$2:C$746,A823,'Base bordo'!B$2:B$746,B823,'Base bordo'!F$2:F$746,"BALANÇA - SAÍDA"),0)</f>
        <v>4.7500000000000001E-2</v>
      </c>
      <c r="K823" s="10">
        <f>IFERROR(SUMIFS('Base bordo'!G$2:G$746,'Base bordo'!C$2:C$746,A823,'Base bordo'!B$2:B$746,B823,'Base bordo'!F$2:F$746,"MAN PREVENTIVA - MECANICA"),0)+IFERROR(SUMIFS('Base bordo'!G$2:G$746,'Base bordo'!C$2:C$746,A823,'Base bordo'!B$2:B$746,B823,'Base bordo'!F$2:F$746,"MAN CORRETIVA - MECANICA"),0)</f>
        <v>0</v>
      </c>
      <c r="L823" s="10">
        <f>IFERROR(SUMIFS('Base bordo'!G$2:G$746,'Base bordo'!C$2:C$746,A823,'Base bordo'!B$2:B$746,B823,'Base bordo'!F$2:F$746,"MANUTENCAO - T O"),0)+IFERROR(SUMIFS('Base bordo'!G$2:G$746,'Base bordo'!C$2:C$746,A823,'Base bordo'!B$2:B$746,B823,'Base bordo'!F$2:F$746,"MANUTENCAO BORRACHARIA"),0)+IFERROR(SUMIFS('Base bordo'!G$2:G$746,'Base bordo'!C$2:C$746,A823,'Base bordo'!B$2:B$746,B823,'Base bordo'!F$2:F$746,"MANUTENCAO EXTERNA  CONCESSIONARIA"),0)+IFERROR(SUMIFS('Base bordo'!G$2:G$746,'Base bordo'!C$2:C$746,A823,'Base bordo'!B$2:B$746,B823,'Base bordo'!F$2:F$746,"MANUTENCAO TELEMETRIA"),0)</f>
        <v>3.4908333333333332</v>
      </c>
      <c r="M823" s="10">
        <f>IFERROR(SUMIFS('Base bordo'!G$2:G$746,'Base bordo'!C$2:C$746,A823,'Base bordo'!B$2:B$746,B823,'Base bordo'!F$2:F$746,"AGUARDANDO MANUTENCAO"),0)</f>
        <v>0</v>
      </c>
      <c r="N823" s="10">
        <f>IFERROR(SUMIFS('Base bordo'!G$2:G$746,'Base bordo'!C$2:C$746,A823,'Base bordo'!B$2:B$746,B823,'Base bordo'!F$2:F$746,"SEM APONTAMENTO"),0)</f>
        <v>0</v>
      </c>
      <c r="O823" s="10">
        <f t="shared" si="84"/>
        <v>0</v>
      </c>
      <c r="P823" s="10">
        <f>IFERROR(SUMIFS('Base bordo'!G$2:G$746,'Base bordo'!C$2:C$746,A823,'Base bordo'!B$2:B$746,B823),0)</f>
        <v>18.604444444444443</v>
      </c>
      <c r="Q823" s="10">
        <f>IFERROR(SUMIFS('Base bordo'!H$2:H$746,'Base bordo'!C$2:C$746,A823,'Base bordo'!B$2:B$746,B823,'Base bordo'!F$2:F$746,"DESLOCAMENTO VAZIO"),0)</f>
        <v>164736.31</v>
      </c>
      <c r="R823" s="10">
        <f>IFERROR(SUMIFS('Base bordo'!I$2:I$746,'Base bordo'!C$2:C$746,A823,'Base bordo'!B$2:B$746,B823,'Base bordo'!F$2:F$746,"DESLOCAMENTO VAZIO"),0)</f>
        <v>8689</v>
      </c>
      <c r="S823" s="30">
        <f t="shared" si="85"/>
        <v>18.959179422258028</v>
      </c>
      <c r="T823" s="10">
        <f>IFERROR(SUMIFS('Base bordo'!H$2:H$746,'Base bordo'!C$2:C$746,A823,'Base bordo'!B$2:B$746,B823,'Base bordo'!F$2:F$746,"DESLOCAMENTO CARREGADO"),0)</f>
        <v>65187.479999999996</v>
      </c>
      <c r="U823" s="10">
        <f>IFERROR(SUMIFS('Base bordo'!I$2:I$746,'Base bordo'!C$2:C$746,A823,'Base bordo'!B$2:B$746,B823,'Base bordo'!F$2:F$746,"DESLOCAMENTO CARREGADO"),0)</f>
        <v>2699</v>
      </c>
      <c r="V823" s="30">
        <f t="shared" si="86"/>
        <v>24.152456465357538</v>
      </c>
      <c r="W823" s="9">
        <f t="shared" si="87"/>
        <v>0.12973303870043001</v>
      </c>
      <c r="X823" s="9">
        <f t="shared" si="88"/>
        <v>4.0298017200191112E-2</v>
      </c>
      <c r="Y823" s="9">
        <f t="shared" si="89"/>
        <v>0.82996894409937894</v>
      </c>
    </row>
    <row r="824" spans="1:25" ht="15" customHeight="1" x14ac:dyDescent="0.35">
      <c r="A824" s="52">
        <v>8013483</v>
      </c>
      <c r="B824" s="51">
        <v>46118</v>
      </c>
      <c r="C824" s="7" t="s">
        <v>124</v>
      </c>
      <c r="D824" s="10">
        <f>IFERROR(SUMIFS('Base bordo'!G$2:G$746,'Base bordo'!C$2:C$746,A824,'Base bordo'!B$2:B$746,B824,'Base bordo'!F$2:F$746,"DESLOCAMENTO VAZIO"),0)</f>
        <v>2.4136111111111109</v>
      </c>
      <c r="E824" s="10">
        <f>IFERROR(SUMIFS('Base bordo'!G$2:G$746,'Base bordo'!C$2:C$746,A824,'Base bordo'!B$2:B$746,B824,'Base bordo'!F$2:F$746,"DESLOCAMENTO CARREGADO"),0)</f>
        <v>0.74972222222222218</v>
      </c>
      <c r="F824" s="10">
        <f>IFERROR(SUMIFS('Base bordo'!G$2:G$746,'Base bordo'!C$2:C$746,A824,'Base bordo'!B$2:B$746,B824,'Base bordo'!F$2:F$746,"DESLOCAMENTO"),0)</f>
        <v>0</v>
      </c>
      <c r="G824" s="10">
        <f>IFERROR(SUMIFS('Base bordo'!G$2:G$746,'Base bordo'!C$2:C$746,A824,'Base bordo'!B$2:B$746,B824,'Base bordo'!F$2:F$746,"CARREGAMENTO"),0)</f>
        <v>0</v>
      </c>
      <c r="H824" s="10">
        <f>IFERROR(SUMIFS('Base bordo'!G$2:G$746,'Base bordo'!C$2:C$746,A824,'Base bordo'!B$2:B$746,B824,'Base bordo'!F$2:F$746,"AGUARDANDO TRANSBORDO"),0)</f>
        <v>0.18666666666666668</v>
      </c>
      <c r="I824" s="10">
        <f>IFERROR(SUMIFS('Base bordo'!G$2:G$746,'Base bordo'!C$2:C$746,A824,'Base bordo'!B$2:B$746,B824,'Base bordo'!F$2:F$746,"PÁTIO INTERNO"),0)+IFERROR(SUMIFS('Base bordo'!G$2:G$746,'Base bordo'!C$2:C$746,A824,'Base bordo'!B$2:B$746,B824,'Base bordo'!F$2:F$746,"PÁTIO EXTERNO"),0)+IFERROR(SUMIFS('Base bordo'!G$2:G$746,'Base bordo'!C$2:C$746,A824,'Base bordo'!B$2:B$746,B824,'Base bordo'!F$2:F$746,"PATIO - RESERVA"),0)+IFERROR(SUMIFS('Base bordo'!G$2:G$746,'Base bordo'!C$2:C$746,A824,'Base bordo'!B$2:B$746,B824,'Base bordo'!F$2:F$746,"MANOBRA CARRETAS-PATIO"),0)</f>
        <v>11.716111111111111</v>
      </c>
      <c r="J824" s="10">
        <f>IFERROR(SUMIFS('Base bordo'!G$2:G$746,'Base bordo'!C$2:C$746,A824,'Base bordo'!B$2:B$746,B824,'Base bordo'!F$2:F$746,"BALANÇA - ENTRADA"),0)+IFERROR(SUMIFS('Base bordo'!G$2:G$746,'Base bordo'!C$2:C$746,A824,'Base bordo'!B$2:B$746,B824,'Base bordo'!F$2:F$746,"BALANÇA - SAÍDA"),0)</f>
        <v>4.7500000000000001E-2</v>
      </c>
      <c r="K824" s="10">
        <f>IFERROR(SUMIFS('Base bordo'!G$2:G$746,'Base bordo'!C$2:C$746,A824,'Base bordo'!B$2:B$746,B824,'Base bordo'!F$2:F$746,"MAN PREVENTIVA - MECANICA"),0)+IFERROR(SUMIFS('Base bordo'!G$2:G$746,'Base bordo'!C$2:C$746,A824,'Base bordo'!B$2:B$746,B824,'Base bordo'!F$2:F$746,"MAN CORRETIVA - MECANICA"),0)</f>
        <v>0</v>
      </c>
      <c r="L824" s="10">
        <f>IFERROR(SUMIFS('Base bordo'!G$2:G$746,'Base bordo'!C$2:C$746,A824,'Base bordo'!B$2:B$746,B824,'Base bordo'!F$2:F$746,"MANUTENCAO - T O"),0)+IFERROR(SUMIFS('Base bordo'!G$2:G$746,'Base bordo'!C$2:C$746,A824,'Base bordo'!B$2:B$746,B824,'Base bordo'!F$2:F$746,"MANUTENCAO BORRACHARIA"),0)+IFERROR(SUMIFS('Base bordo'!G$2:G$746,'Base bordo'!C$2:C$746,A824,'Base bordo'!B$2:B$746,B824,'Base bordo'!F$2:F$746,"MANUTENCAO EXTERNA  CONCESSIONARIA"),0)+IFERROR(SUMIFS('Base bordo'!G$2:G$746,'Base bordo'!C$2:C$746,A824,'Base bordo'!B$2:B$746,B824,'Base bordo'!F$2:F$746,"MANUTENCAO TELEMETRIA"),0)</f>
        <v>3.4908333333333332</v>
      </c>
      <c r="M824" s="10">
        <f>IFERROR(SUMIFS('Base bordo'!G$2:G$746,'Base bordo'!C$2:C$746,A824,'Base bordo'!B$2:B$746,B824,'Base bordo'!F$2:F$746,"AGUARDANDO MANUTENCAO"),0)</f>
        <v>0</v>
      </c>
      <c r="N824" s="10">
        <f>IFERROR(SUMIFS('Base bordo'!G$2:G$746,'Base bordo'!C$2:C$746,A824,'Base bordo'!B$2:B$746,B824,'Base bordo'!F$2:F$746,"SEM APONTAMENTO"),0)</f>
        <v>0</v>
      </c>
      <c r="O824" s="10">
        <f t="shared" si="84"/>
        <v>0</v>
      </c>
      <c r="P824" s="10">
        <f>IFERROR(SUMIFS('Base bordo'!G$2:G$746,'Base bordo'!C$2:C$746,A824,'Base bordo'!B$2:B$746,B824),0)</f>
        <v>18.604444444444443</v>
      </c>
      <c r="Q824" s="10">
        <f>IFERROR(SUMIFS('Base bordo'!H$2:H$746,'Base bordo'!C$2:C$746,A824,'Base bordo'!B$2:B$746,B824,'Base bordo'!F$2:F$746,"DESLOCAMENTO VAZIO"),0)</f>
        <v>164736.31</v>
      </c>
      <c r="R824" s="10">
        <f>IFERROR(SUMIFS('Base bordo'!I$2:I$746,'Base bordo'!C$2:C$746,A824,'Base bordo'!B$2:B$746,B824,'Base bordo'!F$2:F$746,"DESLOCAMENTO VAZIO"),0)</f>
        <v>8689</v>
      </c>
      <c r="S824" s="30">
        <f t="shared" si="85"/>
        <v>18.959179422258028</v>
      </c>
      <c r="T824" s="10">
        <f>IFERROR(SUMIFS('Base bordo'!H$2:H$746,'Base bordo'!C$2:C$746,A824,'Base bordo'!B$2:B$746,B824,'Base bordo'!F$2:F$746,"DESLOCAMENTO CARREGADO"),0)</f>
        <v>65187.479999999996</v>
      </c>
      <c r="U824" s="10">
        <f>IFERROR(SUMIFS('Base bordo'!I$2:I$746,'Base bordo'!C$2:C$746,A824,'Base bordo'!B$2:B$746,B824,'Base bordo'!F$2:F$746,"DESLOCAMENTO CARREGADO"),0)</f>
        <v>2699</v>
      </c>
      <c r="V824" s="30">
        <f t="shared" si="86"/>
        <v>24.152456465357538</v>
      </c>
      <c r="W824" s="9">
        <f t="shared" si="87"/>
        <v>0.12973303870043001</v>
      </c>
      <c r="X824" s="9">
        <f t="shared" si="88"/>
        <v>4.0298017200191112E-2</v>
      </c>
      <c r="Y824" s="9">
        <f t="shared" si="89"/>
        <v>0.82996894409937894</v>
      </c>
    </row>
    <row r="825" spans="1:25" ht="15" customHeight="1" x14ac:dyDescent="0.35">
      <c r="A825" s="52">
        <v>8013484</v>
      </c>
      <c r="B825" s="51">
        <v>46118</v>
      </c>
      <c r="C825" s="7" t="s">
        <v>124</v>
      </c>
      <c r="D825" s="10">
        <f>IFERROR(SUMIFS('Base bordo'!G$2:G$746,'Base bordo'!C$2:C$746,A825,'Base bordo'!B$2:B$746,B825,'Base bordo'!F$2:F$746,"DESLOCAMENTO VAZIO"),0)</f>
        <v>0.14777777777777779</v>
      </c>
      <c r="E825" s="10">
        <f>IFERROR(SUMIFS('Base bordo'!G$2:G$746,'Base bordo'!C$2:C$746,A825,'Base bordo'!B$2:B$746,B825,'Base bordo'!F$2:F$746,"DESLOCAMENTO CARREGADO"),0)</f>
        <v>3.3405555555555555</v>
      </c>
      <c r="F825" s="10">
        <f>IFERROR(SUMIFS('Base bordo'!G$2:G$746,'Base bordo'!C$2:C$746,A825,'Base bordo'!B$2:B$746,B825,'Base bordo'!F$2:F$746,"DESLOCAMENTO"),0)</f>
        <v>0</v>
      </c>
      <c r="G825" s="10">
        <f>IFERROR(SUMIFS('Base bordo'!G$2:G$746,'Base bordo'!C$2:C$746,A825,'Base bordo'!B$2:B$746,B825,'Base bordo'!F$2:F$746,"CARREGAMENTO"),0)</f>
        <v>0</v>
      </c>
      <c r="H825" s="10">
        <f>IFERROR(SUMIFS('Base bordo'!G$2:G$746,'Base bordo'!C$2:C$746,A825,'Base bordo'!B$2:B$746,B825,'Base bordo'!F$2:F$746,"AGUARDANDO TRANSBORDO"),0)</f>
        <v>0</v>
      </c>
      <c r="I825" s="10">
        <f>IFERROR(SUMIFS('Base bordo'!G$2:G$746,'Base bordo'!C$2:C$746,A825,'Base bordo'!B$2:B$746,B825,'Base bordo'!F$2:F$746,"PÁTIO INTERNO"),0)+IFERROR(SUMIFS('Base bordo'!G$2:G$746,'Base bordo'!C$2:C$746,A825,'Base bordo'!B$2:B$746,B825,'Base bordo'!F$2:F$746,"PÁTIO EXTERNO"),0)+IFERROR(SUMIFS('Base bordo'!G$2:G$746,'Base bordo'!C$2:C$746,A825,'Base bordo'!B$2:B$746,B825,'Base bordo'!F$2:F$746,"PATIO - RESERVA"),0)+IFERROR(SUMIFS('Base bordo'!G$2:G$746,'Base bordo'!C$2:C$746,A825,'Base bordo'!B$2:B$746,B825,'Base bordo'!F$2:F$746,"MANOBRA CARRETAS-PATIO"),0)</f>
        <v>6.0491666666666664</v>
      </c>
      <c r="J825" s="10">
        <f>IFERROR(SUMIFS('Base bordo'!G$2:G$746,'Base bordo'!C$2:C$746,A825,'Base bordo'!B$2:B$746,B825,'Base bordo'!F$2:F$746,"BALANÇA - ENTRADA"),0)+IFERROR(SUMIFS('Base bordo'!G$2:G$746,'Base bordo'!C$2:C$746,A825,'Base bordo'!B$2:B$746,B825,'Base bordo'!F$2:F$746,"BALANÇA - SAÍDA"),0)</f>
        <v>4.1944444444444444E-2</v>
      </c>
      <c r="K825" s="10">
        <f>IFERROR(SUMIFS('Base bordo'!G$2:G$746,'Base bordo'!C$2:C$746,A825,'Base bordo'!B$2:B$746,B825,'Base bordo'!F$2:F$746,"MAN PREVENTIVA - MECANICA"),0)+IFERROR(SUMIFS('Base bordo'!G$2:G$746,'Base bordo'!C$2:C$746,A825,'Base bordo'!B$2:B$746,B825,'Base bordo'!F$2:F$746,"MAN CORRETIVA - MECANICA"),0)</f>
        <v>0</v>
      </c>
      <c r="L825" s="10">
        <f>IFERROR(SUMIFS('Base bordo'!G$2:G$746,'Base bordo'!C$2:C$746,A825,'Base bordo'!B$2:B$746,B825,'Base bordo'!F$2:F$746,"MANUTENCAO - T O"),0)+IFERROR(SUMIFS('Base bordo'!G$2:G$746,'Base bordo'!C$2:C$746,A825,'Base bordo'!B$2:B$746,B825,'Base bordo'!F$2:F$746,"MANUTENCAO BORRACHARIA"),0)+IFERROR(SUMIFS('Base bordo'!G$2:G$746,'Base bordo'!C$2:C$746,A825,'Base bordo'!B$2:B$746,B825,'Base bordo'!F$2:F$746,"MANUTENCAO EXTERNA  CONCESSIONARIA"),0)+IFERROR(SUMIFS('Base bordo'!G$2:G$746,'Base bordo'!C$2:C$746,A825,'Base bordo'!B$2:B$746,B825,'Base bordo'!F$2:F$746,"MANUTENCAO TELEMETRIA"),0)</f>
        <v>0</v>
      </c>
      <c r="M825" s="10">
        <f>IFERROR(SUMIFS('Base bordo'!G$2:G$746,'Base bordo'!C$2:C$746,A825,'Base bordo'!B$2:B$746,B825,'Base bordo'!F$2:F$746,"AGUARDANDO MANUTENCAO"),0)</f>
        <v>0</v>
      </c>
      <c r="N825" s="10">
        <f>IFERROR(SUMIFS('Base bordo'!G$2:G$746,'Base bordo'!C$2:C$746,A825,'Base bordo'!B$2:B$746,B825,'Base bordo'!F$2:F$746,"SEM APONTAMENTO"),0)</f>
        <v>0</v>
      </c>
      <c r="O825" s="10">
        <f t="shared" si="84"/>
        <v>0</v>
      </c>
      <c r="P825" s="10">
        <f>IFERROR(SUMIFS('Base bordo'!G$2:G$746,'Base bordo'!C$2:C$746,A825,'Base bordo'!B$2:B$746,B825),0)</f>
        <v>9.5794444444444444</v>
      </c>
      <c r="Q825" s="10">
        <f>IFERROR(SUMIFS('Base bordo'!H$2:H$746,'Base bordo'!C$2:C$746,A825,'Base bordo'!B$2:B$746,B825,'Base bordo'!F$2:F$746,"DESLOCAMENTO VAZIO"),0)</f>
        <v>4979.08</v>
      </c>
      <c r="R825" s="10">
        <f>IFERROR(SUMIFS('Base bordo'!I$2:I$746,'Base bordo'!C$2:C$746,A825,'Base bordo'!B$2:B$746,B825,'Base bordo'!F$2:F$746,"DESLOCAMENTO VAZIO"),0)</f>
        <v>532</v>
      </c>
      <c r="S825" s="30">
        <f t="shared" si="85"/>
        <v>9.3591729323308268</v>
      </c>
      <c r="T825" s="10">
        <f>IFERROR(SUMIFS('Base bordo'!H$2:H$746,'Base bordo'!C$2:C$746,A825,'Base bordo'!B$2:B$746,B825,'Base bordo'!F$2:F$746,"DESLOCAMENTO CARREGADO"),0)</f>
        <v>214024.57</v>
      </c>
      <c r="U825" s="10">
        <f>IFERROR(SUMIFS('Base bordo'!I$2:I$746,'Base bordo'!C$2:C$746,A825,'Base bordo'!B$2:B$746,B825,'Base bordo'!F$2:F$746,"DESLOCAMENTO CARREGADO"),0)</f>
        <v>12026</v>
      </c>
      <c r="V825" s="30">
        <f t="shared" si="86"/>
        <v>17.796821054382171</v>
      </c>
      <c r="W825" s="9">
        <f t="shared" si="87"/>
        <v>1.5426549904308995E-2</v>
      </c>
      <c r="X825" s="9">
        <f t="shared" si="88"/>
        <v>0.34872122020530072</v>
      </c>
      <c r="Y825" s="9">
        <f t="shared" si="89"/>
        <v>0.63585222989039036</v>
      </c>
    </row>
    <row r="826" spans="1:25" ht="15" customHeight="1" x14ac:dyDescent="0.35">
      <c r="A826" s="52">
        <v>8013484</v>
      </c>
      <c r="B826" s="51">
        <v>46118</v>
      </c>
      <c r="C826" s="7" t="s">
        <v>124</v>
      </c>
      <c r="D826" s="10">
        <f>IFERROR(SUMIFS('Base bordo'!G$2:G$746,'Base bordo'!C$2:C$746,A826,'Base bordo'!B$2:B$746,B826,'Base bordo'!F$2:F$746,"DESLOCAMENTO VAZIO"),0)</f>
        <v>0.14777777777777779</v>
      </c>
      <c r="E826" s="10">
        <f>IFERROR(SUMIFS('Base bordo'!G$2:G$746,'Base bordo'!C$2:C$746,A826,'Base bordo'!B$2:B$746,B826,'Base bordo'!F$2:F$746,"DESLOCAMENTO CARREGADO"),0)</f>
        <v>3.3405555555555555</v>
      </c>
      <c r="F826" s="10">
        <f>IFERROR(SUMIFS('Base bordo'!G$2:G$746,'Base bordo'!C$2:C$746,A826,'Base bordo'!B$2:B$746,B826,'Base bordo'!F$2:F$746,"DESLOCAMENTO"),0)</f>
        <v>0</v>
      </c>
      <c r="G826" s="10">
        <f>IFERROR(SUMIFS('Base bordo'!G$2:G$746,'Base bordo'!C$2:C$746,A826,'Base bordo'!B$2:B$746,B826,'Base bordo'!F$2:F$746,"CARREGAMENTO"),0)</f>
        <v>0</v>
      </c>
      <c r="H826" s="10">
        <f>IFERROR(SUMIFS('Base bordo'!G$2:G$746,'Base bordo'!C$2:C$746,A826,'Base bordo'!B$2:B$746,B826,'Base bordo'!F$2:F$746,"AGUARDANDO TRANSBORDO"),0)</f>
        <v>0</v>
      </c>
      <c r="I826" s="10">
        <f>IFERROR(SUMIFS('Base bordo'!G$2:G$746,'Base bordo'!C$2:C$746,A826,'Base bordo'!B$2:B$746,B826,'Base bordo'!F$2:F$746,"PÁTIO INTERNO"),0)+IFERROR(SUMIFS('Base bordo'!G$2:G$746,'Base bordo'!C$2:C$746,A826,'Base bordo'!B$2:B$746,B826,'Base bordo'!F$2:F$746,"PÁTIO EXTERNO"),0)+IFERROR(SUMIFS('Base bordo'!G$2:G$746,'Base bordo'!C$2:C$746,A826,'Base bordo'!B$2:B$746,B826,'Base bordo'!F$2:F$746,"PATIO - RESERVA"),0)+IFERROR(SUMIFS('Base bordo'!G$2:G$746,'Base bordo'!C$2:C$746,A826,'Base bordo'!B$2:B$746,B826,'Base bordo'!F$2:F$746,"MANOBRA CARRETAS-PATIO"),0)</f>
        <v>6.0491666666666664</v>
      </c>
      <c r="J826" s="10">
        <f>IFERROR(SUMIFS('Base bordo'!G$2:G$746,'Base bordo'!C$2:C$746,A826,'Base bordo'!B$2:B$746,B826,'Base bordo'!F$2:F$746,"BALANÇA - ENTRADA"),0)+IFERROR(SUMIFS('Base bordo'!G$2:G$746,'Base bordo'!C$2:C$746,A826,'Base bordo'!B$2:B$746,B826,'Base bordo'!F$2:F$746,"BALANÇA - SAÍDA"),0)</f>
        <v>4.1944444444444444E-2</v>
      </c>
      <c r="K826" s="10">
        <f>IFERROR(SUMIFS('Base bordo'!G$2:G$746,'Base bordo'!C$2:C$746,A826,'Base bordo'!B$2:B$746,B826,'Base bordo'!F$2:F$746,"MAN PREVENTIVA - MECANICA"),0)+IFERROR(SUMIFS('Base bordo'!G$2:G$746,'Base bordo'!C$2:C$746,A826,'Base bordo'!B$2:B$746,B826,'Base bordo'!F$2:F$746,"MAN CORRETIVA - MECANICA"),0)</f>
        <v>0</v>
      </c>
      <c r="L826" s="10">
        <f>IFERROR(SUMIFS('Base bordo'!G$2:G$746,'Base bordo'!C$2:C$746,A826,'Base bordo'!B$2:B$746,B826,'Base bordo'!F$2:F$746,"MANUTENCAO - T O"),0)+IFERROR(SUMIFS('Base bordo'!G$2:G$746,'Base bordo'!C$2:C$746,A826,'Base bordo'!B$2:B$746,B826,'Base bordo'!F$2:F$746,"MANUTENCAO BORRACHARIA"),0)+IFERROR(SUMIFS('Base bordo'!G$2:G$746,'Base bordo'!C$2:C$746,A826,'Base bordo'!B$2:B$746,B826,'Base bordo'!F$2:F$746,"MANUTENCAO EXTERNA  CONCESSIONARIA"),0)+IFERROR(SUMIFS('Base bordo'!G$2:G$746,'Base bordo'!C$2:C$746,A826,'Base bordo'!B$2:B$746,B826,'Base bordo'!F$2:F$746,"MANUTENCAO TELEMETRIA"),0)</f>
        <v>0</v>
      </c>
      <c r="M826" s="10">
        <f>IFERROR(SUMIFS('Base bordo'!G$2:G$746,'Base bordo'!C$2:C$746,A826,'Base bordo'!B$2:B$746,B826,'Base bordo'!F$2:F$746,"AGUARDANDO MANUTENCAO"),0)</f>
        <v>0</v>
      </c>
      <c r="N826" s="10">
        <f>IFERROR(SUMIFS('Base bordo'!G$2:G$746,'Base bordo'!C$2:C$746,A826,'Base bordo'!B$2:B$746,B826,'Base bordo'!F$2:F$746,"SEM APONTAMENTO"),0)</f>
        <v>0</v>
      </c>
      <c r="O826" s="10">
        <f t="shared" si="84"/>
        <v>0</v>
      </c>
      <c r="P826" s="10">
        <f>IFERROR(SUMIFS('Base bordo'!G$2:G$746,'Base bordo'!C$2:C$746,A826,'Base bordo'!B$2:B$746,B826),0)</f>
        <v>9.5794444444444444</v>
      </c>
      <c r="Q826" s="10">
        <f>IFERROR(SUMIFS('Base bordo'!H$2:H$746,'Base bordo'!C$2:C$746,A826,'Base bordo'!B$2:B$746,B826,'Base bordo'!F$2:F$746,"DESLOCAMENTO VAZIO"),0)</f>
        <v>4979.08</v>
      </c>
      <c r="R826" s="10">
        <f>IFERROR(SUMIFS('Base bordo'!I$2:I$746,'Base bordo'!C$2:C$746,A826,'Base bordo'!B$2:B$746,B826,'Base bordo'!F$2:F$746,"DESLOCAMENTO VAZIO"),0)</f>
        <v>532</v>
      </c>
      <c r="S826" s="30">
        <f t="shared" si="85"/>
        <v>9.3591729323308268</v>
      </c>
      <c r="T826" s="10">
        <f>IFERROR(SUMIFS('Base bordo'!H$2:H$746,'Base bordo'!C$2:C$746,A826,'Base bordo'!B$2:B$746,B826,'Base bordo'!F$2:F$746,"DESLOCAMENTO CARREGADO"),0)</f>
        <v>214024.57</v>
      </c>
      <c r="U826" s="10">
        <f>IFERROR(SUMIFS('Base bordo'!I$2:I$746,'Base bordo'!C$2:C$746,A826,'Base bordo'!B$2:B$746,B826,'Base bordo'!F$2:F$746,"DESLOCAMENTO CARREGADO"),0)</f>
        <v>12026</v>
      </c>
      <c r="V826" s="30">
        <f t="shared" si="86"/>
        <v>17.796821054382171</v>
      </c>
      <c r="W826" s="9">
        <f t="shared" si="87"/>
        <v>1.5426549904308995E-2</v>
      </c>
      <c r="X826" s="9">
        <f t="shared" si="88"/>
        <v>0.34872122020530072</v>
      </c>
      <c r="Y826" s="9">
        <f t="shared" si="89"/>
        <v>0.63585222989039036</v>
      </c>
    </row>
    <row r="827" spans="1:25" ht="15" customHeight="1" x14ac:dyDescent="0.35">
      <c r="A827" s="52">
        <v>8013484</v>
      </c>
      <c r="B827" s="51">
        <v>46118</v>
      </c>
      <c r="C827" s="7" t="s">
        <v>124</v>
      </c>
      <c r="D827" s="10">
        <f>IFERROR(SUMIFS('Base bordo'!G$2:G$746,'Base bordo'!C$2:C$746,A827,'Base bordo'!B$2:B$746,B827,'Base bordo'!F$2:F$746,"DESLOCAMENTO VAZIO"),0)</f>
        <v>0.14777777777777779</v>
      </c>
      <c r="E827" s="10">
        <f>IFERROR(SUMIFS('Base bordo'!G$2:G$746,'Base bordo'!C$2:C$746,A827,'Base bordo'!B$2:B$746,B827,'Base bordo'!F$2:F$746,"DESLOCAMENTO CARREGADO"),0)</f>
        <v>3.3405555555555555</v>
      </c>
      <c r="F827" s="10">
        <f>IFERROR(SUMIFS('Base bordo'!G$2:G$746,'Base bordo'!C$2:C$746,A827,'Base bordo'!B$2:B$746,B827,'Base bordo'!F$2:F$746,"DESLOCAMENTO"),0)</f>
        <v>0</v>
      </c>
      <c r="G827" s="10">
        <f>IFERROR(SUMIFS('Base bordo'!G$2:G$746,'Base bordo'!C$2:C$746,A827,'Base bordo'!B$2:B$746,B827,'Base bordo'!F$2:F$746,"CARREGAMENTO"),0)</f>
        <v>0</v>
      </c>
      <c r="H827" s="10">
        <f>IFERROR(SUMIFS('Base bordo'!G$2:G$746,'Base bordo'!C$2:C$746,A827,'Base bordo'!B$2:B$746,B827,'Base bordo'!F$2:F$746,"AGUARDANDO TRANSBORDO"),0)</f>
        <v>0</v>
      </c>
      <c r="I827" s="10">
        <f>IFERROR(SUMIFS('Base bordo'!G$2:G$746,'Base bordo'!C$2:C$746,A827,'Base bordo'!B$2:B$746,B827,'Base bordo'!F$2:F$746,"PÁTIO INTERNO"),0)+IFERROR(SUMIFS('Base bordo'!G$2:G$746,'Base bordo'!C$2:C$746,A827,'Base bordo'!B$2:B$746,B827,'Base bordo'!F$2:F$746,"PÁTIO EXTERNO"),0)+IFERROR(SUMIFS('Base bordo'!G$2:G$746,'Base bordo'!C$2:C$746,A827,'Base bordo'!B$2:B$746,B827,'Base bordo'!F$2:F$746,"PATIO - RESERVA"),0)+IFERROR(SUMIFS('Base bordo'!G$2:G$746,'Base bordo'!C$2:C$746,A827,'Base bordo'!B$2:B$746,B827,'Base bordo'!F$2:F$746,"MANOBRA CARRETAS-PATIO"),0)</f>
        <v>6.0491666666666664</v>
      </c>
      <c r="J827" s="10">
        <f>IFERROR(SUMIFS('Base bordo'!G$2:G$746,'Base bordo'!C$2:C$746,A827,'Base bordo'!B$2:B$746,B827,'Base bordo'!F$2:F$746,"BALANÇA - ENTRADA"),0)+IFERROR(SUMIFS('Base bordo'!G$2:G$746,'Base bordo'!C$2:C$746,A827,'Base bordo'!B$2:B$746,B827,'Base bordo'!F$2:F$746,"BALANÇA - SAÍDA"),0)</f>
        <v>4.1944444444444444E-2</v>
      </c>
      <c r="K827" s="10">
        <f>IFERROR(SUMIFS('Base bordo'!G$2:G$746,'Base bordo'!C$2:C$746,A827,'Base bordo'!B$2:B$746,B827,'Base bordo'!F$2:F$746,"MAN PREVENTIVA - MECANICA"),0)+IFERROR(SUMIFS('Base bordo'!G$2:G$746,'Base bordo'!C$2:C$746,A827,'Base bordo'!B$2:B$746,B827,'Base bordo'!F$2:F$746,"MAN CORRETIVA - MECANICA"),0)</f>
        <v>0</v>
      </c>
      <c r="L827" s="10">
        <f>IFERROR(SUMIFS('Base bordo'!G$2:G$746,'Base bordo'!C$2:C$746,A827,'Base bordo'!B$2:B$746,B827,'Base bordo'!F$2:F$746,"MANUTENCAO - T O"),0)+IFERROR(SUMIFS('Base bordo'!G$2:G$746,'Base bordo'!C$2:C$746,A827,'Base bordo'!B$2:B$746,B827,'Base bordo'!F$2:F$746,"MANUTENCAO BORRACHARIA"),0)+IFERROR(SUMIFS('Base bordo'!G$2:G$746,'Base bordo'!C$2:C$746,A827,'Base bordo'!B$2:B$746,B827,'Base bordo'!F$2:F$746,"MANUTENCAO EXTERNA  CONCESSIONARIA"),0)+IFERROR(SUMIFS('Base bordo'!G$2:G$746,'Base bordo'!C$2:C$746,A827,'Base bordo'!B$2:B$746,B827,'Base bordo'!F$2:F$746,"MANUTENCAO TELEMETRIA"),0)</f>
        <v>0</v>
      </c>
      <c r="M827" s="10">
        <f>IFERROR(SUMIFS('Base bordo'!G$2:G$746,'Base bordo'!C$2:C$746,A827,'Base bordo'!B$2:B$746,B827,'Base bordo'!F$2:F$746,"AGUARDANDO MANUTENCAO"),0)</f>
        <v>0</v>
      </c>
      <c r="N827" s="10">
        <f>IFERROR(SUMIFS('Base bordo'!G$2:G$746,'Base bordo'!C$2:C$746,A827,'Base bordo'!B$2:B$746,B827,'Base bordo'!F$2:F$746,"SEM APONTAMENTO"),0)</f>
        <v>0</v>
      </c>
      <c r="O827" s="10">
        <f t="shared" si="84"/>
        <v>0</v>
      </c>
      <c r="P827" s="10">
        <f>IFERROR(SUMIFS('Base bordo'!G$2:G$746,'Base bordo'!C$2:C$746,A827,'Base bordo'!B$2:B$746,B827),0)</f>
        <v>9.5794444444444444</v>
      </c>
      <c r="Q827" s="10">
        <f>IFERROR(SUMIFS('Base bordo'!H$2:H$746,'Base bordo'!C$2:C$746,A827,'Base bordo'!B$2:B$746,B827,'Base bordo'!F$2:F$746,"DESLOCAMENTO VAZIO"),0)</f>
        <v>4979.08</v>
      </c>
      <c r="R827" s="10">
        <f>IFERROR(SUMIFS('Base bordo'!I$2:I$746,'Base bordo'!C$2:C$746,A827,'Base bordo'!B$2:B$746,B827,'Base bordo'!F$2:F$746,"DESLOCAMENTO VAZIO"),0)</f>
        <v>532</v>
      </c>
      <c r="S827" s="30">
        <f t="shared" si="85"/>
        <v>9.3591729323308268</v>
      </c>
      <c r="T827" s="10">
        <f>IFERROR(SUMIFS('Base bordo'!H$2:H$746,'Base bordo'!C$2:C$746,A827,'Base bordo'!B$2:B$746,B827,'Base bordo'!F$2:F$746,"DESLOCAMENTO CARREGADO"),0)</f>
        <v>214024.57</v>
      </c>
      <c r="U827" s="10">
        <f>IFERROR(SUMIFS('Base bordo'!I$2:I$746,'Base bordo'!C$2:C$746,A827,'Base bordo'!B$2:B$746,B827,'Base bordo'!F$2:F$746,"DESLOCAMENTO CARREGADO"),0)</f>
        <v>12026</v>
      </c>
      <c r="V827" s="30">
        <f t="shared" si="86"/>
        <v>17.796821054382171</v>
      </c>
      <c r="W827" s="9">
        <f t="shared" si="87"/>
        <v>1.5426549904308995E-2</v>
      </c>
      <c r="X827" s="9">
        <f t="shared" si="88"/>
        <v>0.34872122020530072</v>
      </c>
      <c r="Y827" s="9">
        <f t="shared" si="89"/>
        <v>0.63585222989039036</v>
      </c>
    </row>
    <row r="828" spans="1:25" ht="15" customHeight="1" x14ac:dyDescent="0.35">
      <c r="A828" s="52">
        <v>8013484</v>
      </c>
      <c r="B828" s="51">
        <v>46118</v>
      </c>
      <c r="C828" s="7" t="s">
        <v>124</v>
      </c>
      <c r="D828" s="10">
        <f>IFERROR(SUMIFS('Base bordo'!G$2:G$746,'Base bordo'!C$2:C$746,A828,'Base bordo'!B$2:B$746,B828,'Base bordo'!F$2:F$746,"DESLOCAMENTO VAZIO"),0)</f>
        <v>0.14777777777777779</v>
      </c>
      <c r="E828" s="10">
        <f>IFERROR(SUMIFS('Base bordo'!G$2:G$746,'Base bordo'!C$2:C$746,A828,'Base bordo'!B$2:B$746,B828,'Base bordo'!F$2:F$746,"DESLOCAMENTO CARREGADO"),0)</f>
        <v>3.3405555555555555</v>
      </c>
      <c r="F828" s="10">
        <f>IFERROR(SUMIFS('Base bordo'!G$2:G$746,'Base bordo'!C$2:C$746,A828,'Base bordo'!B$2:B$746,B828,'Base bordo'!F$2:F$746,"DESLOCAMENTO"),0)</f>
        <v>0</v>
      </c>
      <c r="G828" s="10">
        <f>IFERROR(SUMIFS('Base bordo'!G$2:G$746,'Base bordo'!C$2:C$746,A828,'Base bordo'!B$2:B$746,B828,'Base bordo'!F$2:F$746,"CARREGAMENTO"),0)</f>
        <v>0</v>
      </c>
      <c r="H828" s="10">
        <f>IFERROR(SUMIFS('Base bordo'!G$2:G$746,'Base bordo'!C$2:C$746,A828,'Base bordo'!B$2:B$746,B828,'Base bordo'!F$2:F$746,"AGUARDANDO TRANSBORDO"),0)</f>
        <v>0</v>
      </c>
      <c r="I828" s="10">
        <f>IFERROR(SUMIFS('Base bordo'!G$2:G$746,'Base bordo'!C$2:C$746,A828,'Base bordo'!B$2:B$746,B828,'Base bordo'!F$2:F$746,"PÁTIO INTERNO"),0)+IFERROR(SUMIFS('Base bordo'!G$2:G$746,'Base bordo'!C$2:C$746,A828,'Base bordo'!B$2:B$746,B828,'Base bordo'!F$2:F$746,"PÁTIO EXTERNO"),0)+IFERROR(SUMIFS('Base bordo'!G$2:G$746,'Base bordo'!C$2:C$746,A828,'Base bordo'!B$2:B$746,B828,'Base bordo'!F$2:F$746,"PATIO - RESERVA"),0)+IFERROR(SUMIFS('Base bordo'!G$2:G$746,'Base bordo'!C$2:C$746,A828,'Base bordo'!B$2:B$746,B828,'Base bordo'!F$2:F$746,"MANOBRA CARRETAS-PATIO"),0)</f>
        <v>6.0491666666666664</v>
      </c>
      <c r="J828" s="10">
        <f>IFERROR(SUMIFS('Base bordo'!G$2:G$746,'Base bordo'!C$2:C$746,A828,'Base bordo'!B$2:B$746,B828,'Base bordo'!F$2:F$746,"BALANÇA - ENTRADA"),0)+IFERROR(SUMIFS('Base bordo'!G$2:G$746,'Base bordo'!C$2:C$746,A828,'Base bordo'!B$2:B$746,B828,'Base bordo'!F$2:F$746,"BALANÇA - SAÍDA"),0)</f>
        <v>4.1944444444444444E-2</v>
      </c>
      <c r="K828" s="10">
        <f>IFERROR(SUMIFS('Base bordo'!G$2:G$746,'Base bordo'!C$2:C$746,A828,'Base bordo'!B$2:B$746,B828,'Base bordo'!F$2:F$746,"MAN PREVENTIVA - MECANICA"),0)+IFERROR(SUMIFS('Base bordo'!G$2:G$746,'Base bordo'!C$2:C$746,A828,'Base bordo'!B$2:B$746,B828,'Base bordo'!F$2:F$746,"MAN CORRETIVA - MECANICA"),0)</f>
        <v>0</v>
      </c>
      <c r="L828" s="10">
        <f>IFERROR(SUMIFS('Base bordo'!G$2:G$746,'Base bordo'!C$2:C$746,A828,'Base bordo'!B$2:B$746,B828,'Base bordo'!F$2:F$746,"MANUTENCAO - T O"),0)+IFERROR(SUMIFS('Base bordo'!G$2:G$746,'Base bordo'!C$2:C$746,A828,'Base bordo'!B$2:B$746,B828,'Base bordo'!F$2:F$746,"MANUTENCAO BORRACHARIA"),0)+IFERROR(SUMIFS('Base bordo'!G$2:G$746,'Base bordo'!C$2:C$746,A828,'Base bordo'!B$2:B$746,B828,'Base bordo'!F$2:F$746,"MANUTENCAO EXTERNA  CONCESSIONARIA"),0)+IFERROR(SUMIFS('Base bordo'!G$2:G$746,'Base bordo'!C$2:C$746,A828,'Base bordo'!B$2:B$746,B828,'Base bordo'!F$2:F$746,"MANUTENCAO TELEMETRIA"),0)</f>
        <v>0</v>
      </c>
      <c r="M828" s="10">
        <f>IFERROR(SUMIFS('Base bordo'!G$2:G$746,'Base bordo'!C$2:C$746,A828,'Base bordo'!B$2:B$746,B828,'Base bordo'!F$2:F$746,"AGUARDANDO MANUTENCAO"),0)</f>
        <v>0</v>
      </c>
      <c r="N828" s="10">
        <f>IFERROR(SUMIFS('Base bordo'!G$2:G$746,'Base bordo'!C$2:C$746,A828,'Base bordo'!B$2:B$746,B828,'Base bordo'!F$2:F$746,"SEM APONTAMENTO"),0)</f>
        <v>0</v>
      </c>
      <c r="O828" s="10">
        <f t="shared" si="84"/>
        <v>0</v>
      </c>
      <c r="P828" s="10">
        <f>IFERROR(SUMIFS('Base bordo'!G$2:G$746,'Base bordo'!C$2:C$746,A828,'Base bordo'!B$2:B$746,B828),0)</f>
        <v>9.5794444444444444</v>
      </c>
      <c r="Q828" s="10">
        <f>IFERROR(SUMIFS('Base bordo'!H$2:H$746,'Base bordo'!C$2:C$746,A828,'Base bordo'!B$2:B$746,B828,'Base bordo'!F$2:F$746,"DESLOCAMENTO VAZIO"),0)</f>
        <v>4979.08</v>
      </c>
      <c r="R828" s="10">
        <f>IFERROR(SUMIFS('Base bordo'!I$2:I$746,'Base bordo'!C$2:C$746,A828,'Base bordo'!B$2:B$746,B828,'Base bordo'!F$2:F$746,"DESLOCAMENTO VAZIO"),0)</f>
        <v>532</v>
      </c>
      <c r="S828" s="30">
        <f t="shared" si="85"/>
        <v>9.3591729323308268</v>
      </c>
      <c r="T828" s="10">
        <f>IFERROR(SUMIFS('Base bordo'!H$2:H$746,'Base bordo'!C$2:C$746,A828,'Base bordo'!B$2:B$746,B828,'Base bordo'!F$2:F$746,"DESLOCAMENTO CARREGADO"),0)</f>
        <v>214024.57</v>
      </c>
      <c r="U828" s="10">
        <f>IFERROR(SUMIFS('Base bordo'!I$2:I$746,'Base bordo'!C$2:C$746,A828,'Base bordo'!B$2:B$746,B828,'Base bordo'!F$2:F$746,"DESLOCAMENTO CARREGADO"),0)</f>
        <v>12026</v>
      </c>
      <c r="V828" s="30">
        <f t="shared" si="86"/>
        <v>17.796821054382171</v>
      </c>
      <c r="W828" s="9">
        <f t="shared" si="87"/>
        <v>1.5426549904308995E-2</v>
      </c>
      <c r="X828" s="9">
        <f t="shared" si="88"/>
        <v>0.34872122020530072</v>
      </c>
      <c r="Y828" s="9">
        <f t="shared" si="89"/>
        <v>0.63585222989039036</v>
      </c>
    </row>
    <row r="829" spans="1:25" ht="15" customHeight="1" x14ac:dyDescent="0.35">
      <c r="A829" s="52">
        <v>8013484</v>
      </c>
      <c r="B829" s="51">
        <v>46118</v>
      </c>
      <c r="C829" s="7" t="s">
        <v>124</v>
      </c>
      <c r="D829" s="10">
        <f>IFERROR(SUMIFS('Base bordo'!G$2:G$746,'Base bordo'!C$2:C$746,A829,'Base bordo'!B$2:B$746,B829,'Base bordo'!F$2:F$746,"DESLOCAMENTO VAZIO"),0)</f>
        <v>0.14777777777777779</v>
      </c>
      <c r="E829" s="10">
        <f>IFERROR(SUMIFS('Base bordo'!G$2:G$746,'Base bordo'!C$2:C$746,A829,'Base bordo'!B$2:B$746,B829,'Base bordo'!F$2:F$746,"DESLOCAMENTO CARREGADO"),0)</f>
        <v>3.3405555555555555</v>
      </c>
      <c r="F829" s="10">
        <f>IFERROR(SUMIFS('Base bordo'!G$2:G$746,'Base bordo'!C$2:C$746,A829,'Base bordo'!B$2:B$746,B829,'Base bordo'!F$2:F$746,"DESLOCAMENTO"),0)</f>
        <v>0</v>
      </c>
      <c r="G829" s="10">
        <f>IFERROR(SUMIFS('Base bordo'!G$2:G$746,'Base bordo'!C$2:C$746,A829,'Base bordo'!B$2:B$746,B829,'Base bordo'!F$2:F$746,"CARREGAMENTO"),0)</f>
        <v>0</v>
      </c>
      <c r="H829" s="10">
        <f>IFERROR(SUMIFS('Base bordo'!G$2:G$746,'Base bordo'!C$2:C$746,A829,'Base bordo'!B$2:B$746,B829,'Base bordo'!F$2:F$746,"AGUARDANDO TRANSBORDO"),0)</f>
        <v>0</v>
      </c>
      <c r="I829" s="10">
        <f>IFERROR(SUMIFS('Base bordo'!G$2:G$746,'Base bordo'!C$2:C$746,A829,'Base bordo'!B$2:B$746,B829,'Base bordo'!F$2:F$746,"PÁTIO INTERNO"),0)+IFERROR(SUMIFS('Base bordo'!G$2:G$746,'Base bordo'!C$2:C$746,A829,'Base bordo'!B$2:B$746,B829,'Base bordo'!F$2:F$746,"PÁTIO EXTERNO"),0)+IFERROR(SUMIFS('Base bordo'!G$2:G$746,'Base bordo'!C$2:C$746,A829,'Base bordo'!B$2:B$746,B829,'Base bordo'!F$2:F$746,"PATIO - RESERVA"),0)+IFERROR(SUMIFS('Base bordo'!G$2:G$746,'Base bordo'!C$2:C$746,A829,'Base bordo'!B$2:B$746,B829,'Base bordo'!F$2:F$746,"MANOBRA CARRETAS-PATIO"),0)</f>
        <v>6.0491666666666664</v>
      </c>
      <c r="J829" s="10">
        <f>IFERROR(SUMIFS('Base bordo'!G$2:G$746,'Base bordo'!C$2:C$746,A829,'Base bordo'!B$2:B$746,B829,'Base bordo'!F$2:F$746,"BALANÇA - ENTRADA"),0)+IFERROR(SUMIFS('Base bordo'!G$2:G$746,'Base bordo'!C$2:C$746,A829,'Base bordo'!B$2:B$746,B829,'Base bordo'!F$2:F$746,"BALANÇA - SAÍDA"),0)</f>
        <v>4.1944444444444444E-2</v>
      </c>
      <c r="K829" s="10">
        <f>IFERROR(SUMIFS('Base bordo'!G$2:G$746,'Base bordo'!C$2:C$746,A829,'Base bordo'!B$2:B$746,B829,'Base bordo'!F$2:F$746,"MAN PREVENTIVA - MECANICA"),0)+IFERROR(SUMIFS('Base bordo'!G$2:G$746,'Base bordo'!C$2:C$746,A829,'Base bordo'!B$2:B$746,B829,'Base bordo'!F$2:F$746,"MAN CORRETIVA - MECANICA"),0)</f>
        <v>0</v>
      </c>
      <c r="L829" s="10">
        <f>IFERROR(SUMIFS('Base bordo'!G$2:G$746,'Base bordo'!C$2:C$746,A829,'Base bordo'!B$2:B$746,B829,'Base bordo'!F$2:F$746,"MANUTENCAO - T O"),0)+IFERROR(SUMIFS('Base bordo'!G$2:G$746,'Base bordo'!C$2:C$746,A829,'Base bordo'!B$2:B$746,B829,'Base bordo'!F$2:F$746,"MANUTENCAO BORRACHARIA"),0)+IFERROR(SUMIFS('Base bordo'!G$2:G$746,'Base bordo'!C$2:C$746,A829,'Base bordo'!B$2:B$746,B829,'Base bordo'!F$2:F$746,"MANUTENCAO EXTERNA  CONCESSIONARIA"),0)+IFERROR(SUMIFS('Base bordo'!G$2:G$746,'Base bordo'!C$2:C$746,A829,'Base bordo'!B$2:B$746,B829,'Base bordo'!F$2:F$746,"MANUTENCAO TELEMETRIA"),0)</f>
        <v>0</v>
      </c>
      <c r="M829" s="10">
        <f>IFERROR(SUMIFS('Base bordo'!G$2:G$746,'Base bordo'!C$2:C$746,A829,'Base bordo'!B$2:B$746,B829,'Base bordo'!F$2:F$746,"AGUARDANDO MANUTENCAO"),0)</f>
        <v>0</v>
      </c>
      <c r="N829" s="10">
        <f>IFERROR(SUMIFS('Base bordo'!G$2:G$746,'Base bordo'!C$2:C$746,A829,'Base bordo'!B$2:B$746,B829,'Base bordo'!F$2:F$746,"SEM APONTAMENTO"),0)</f>
        <v>0</v>
      </c>
      <c r="O829" s="10">
        <f t="shared" si="84"/>
        <v>0</v>
      </c>
      <c r="P829" s="10">
        <f>IFERROR(SUMIFS('Base bordo'!G$2:G$746,'Base bordo'!C$2:C$746,A829,'Base bordo'!B$2:B$746,B829),0)</f>
        <v>9.5794444444444444</v>
      </c>
      <c r="Q829" s="10">
        <f>IFERROR(SUMIFS('Base bordo'!H$2:H$746,'Base bordo'!C$2:C$746,A829,'Base bordo'!B$2:B$746,B829,'Base bordo'!F$2:F$746,"DESLOCAMENTO VAZIO"),0)</f>
        <v>4979.08</v>
      </c>
      <c r="R829" s="10">
        <f>IFERROR(SUMIFS('Base bordo'!I$2:I$746,'Base bordo'!C$2:C$746,A829,'Base bordo'!B$2:B$746,B829,'Base bordo'!F$2:F$746,"DESLOCAMENTO VAZIO"),0)</f>
        <v>532</v>
      </c>
      <c r="S829" s="30">
        <f t="shared" si="85"/>
        <v>9.3591729323308268</v>
      </c>
      <c r="T829" s="10">
        <f>IFERROR(SUMIFS('Base bordo'!H$2:H$746,'Base bordo'!C$2:C$746,A829,'Base bordo'!B$2:B$746,B829,'Base bordo'!F$2:F$746,"DESLOCAMENTO CARREGADO"),0)</f>
        <v>214024.57</v>
      </c>
      <c r="U829" s="10">
        <f>IFERROR(SUMIFS('Base bordo'!I$2:I$746,'Base bordo'!C$2:C$746,A829,'Base bordo'!B$2:B$746,B829,'Base bordo'!F$2:F$746,"DESLOCAMENTO CARREGADO"),0)</f>
        <v>12026</v>
      </c>
      <c r="V829" s="30">
        <f t="shared" si="86"/>
        <v>17.796821054382171</v>
      </c>
      <c r="W829" s="9">
        <f t="shared" si="87"/>
        <v>1.5426549904308995E-2</v>
      </c>
      <c r="X829" s="9">
        <f t="shared" si="88"/>
        <v>0.34872122020530072</v>
      </c>
      <c r="Y829" s="9">
        <f t="shared" si="89"/>
        <v>0.63585222989039036</v>
      </c>
    </row>
    <row r="830" spans="1:25" ht="15" customHeight="1" x14ac:dyDescent="0.35">
      <c r="A830" s="52">
        <v>8013484</v>
      </c>
      <c r="B830" s="51">
        <v>46118</v>
      </c>
      <c r="C830" s="7" t="s">
        <v>124</v>
      </c>
      <c r="D830" s="10">
        <f>IFERROR(SUMIFS('Base bordo'!G$2:G$746,'Base bordo'!C$2:C$746,A830,'Base bordo'!B$2:B$746,B830,'Base bordo'!F$2:F$746,"DESLOCAMENTO VAZIO"),0)</f>
        <v>0.14777777777777779</v>
      </c>
      <c r="E830" s="10">
        <f>IFERROR(SUMIFS('Base bordo'!G$2:G$746,'Base bordo'!C$2:C$746,A830,'Base bordo'!B$2:B$746,B830,'Base bordo'!F$2:F$746,"DESLOCAMENTO CARREGADO"),0)</f>
        <v>3.3405555555555555</v>
      </c>
      <c r="F830" s="10">
        <f>IFERROR(SUMIFS('Base bordo'!G$2:G$746,'Base bordo'!C$2:C$746,A830,'Base bordo'!B$2:B$746,B830,'Base bordo'!F$2:F$746,"DESLOCAMENTO"),0)</f>
        <v>0</v>
      </c>
      <c r="G830" s="10">
        <f>IFERROR(SUMIFS('Base bordo'!G$2:G$746,'Base bordo'!C$2:C$746,A830,'Base bordo'!B$2:B$746,B830,'Base bordo'!F$2:F$746,"CARREGAMENTO"),0)</f>
        <v>0</v>
      </c>
      <c r="H830" s="10">
        <f>IFERROR(SUMIFS('Base bordo'!G$2:G$746,'Base bordo'!C$2:C$746,A830,'Base bordo'!B$2:B$746,B830,'Base bordo'!F$2:F$746,"AGUARDANDO TRANSBORDO"),0)</f>
        <v>0</v>
      </c>
      <c r="I830" s="10">
        <f>IFERROR(SUMIFS('Base bordo'!G$2:G$746,'Base bordo'!C$2:C$746,A830,'Base bordo'!B$2:B$746,B830,'Base bordo'!F$2:F$746,"PÁTIO INTERNO"),0)+IFERROR(SUMIFS('Base bordo'!G$2:G$746,'Base bordo'!C$2:C$746,A830,'Base bordo'!B$2:B$746,B830,'Base bordo'!F$2:F$746,"PÁTIO EXTERNO"),0)+IFERROR(SUMIFS('Base bordo'!G$2:G$746,'Base bordo'!C$2:C$746,A830,'Base bordo'!B$2:B$746,B830,'Base bordo'!F$2:F$746,"PATIO - RESERVA"),0)+IFERROR(SUMIFS('Base bordo'!G$2:G$746,'Base bordo'!C$2:C$746,A830,'Base bordo'!B$2:B$746,B830,'Base bordo'!F$2:F$746,"MANOBRA CARRETAS-PATIO"),0)</f>
        <v>6.0491666666666664</v>
      </c>
      <c r="J830" s="10">
        <f>IFERROR(SUMIFS('Base bordo'!G$2:G$746,'Base bordo'!C$2:C$746,A830,'Base bordo'!B$2:B$746,B830,'Base bordo'!F$2:F$746,"BALANÇA - ENTRADA"),0)+IFERROR(SUMIFS('Base bordo'!G$2:G$746,'Base bordo'!C$2:C$746,A830,'Base bordo'!B$2:B$746,B830,'Base bordo'!F$2:F$746,"BALANÇA - SAÍDA"),0)</f>
        <v>4.1944444444444444E-2</v>
      </c>
      <c r="K830" s="10">
        <f>IFERROR(SUMIFS('Base bordo'!G$2:G$746,'Base bordo'!C$2:C$746,A830,'Base bordo'!B$2:B$746,B830,'Base bordo'!F$2:F$746,"MAN PREVENTIVA - MECANICA"),0)+IFERROR(SUMIFS('Base bordo'!G$2:G$746,'Base bordo'!C$2:C$746,A830,'Base bordo'!B$2:B$746,B830,'Base bordo'!F$2:F$746,"MAN CORRETIVA - MECANICA"),0)</f>
        <v>0</v>
      </c>
      <c r="L830" s="10">
        <f>IFERROR(SUMIFS('Base bordo'!G$2:G$746,'Base bordo'!C$2:C$746,A830,'Base bordo'!B$2:B$746,B830,'Base bordo'!F$2:F$746,"MANUTENCAO - T O"),0)+IFERROR(SUMIFS('Base bordo'!G$2:G$746,'Base bordo'!C$2:C$746,A830,'Base bordo'!B$2:B$746,B830,'Base bordo'!F$2:F$746,"MANUTENCAO BORRACHARIA"),0)+IFERROR(SUMIFS('Base bordo'!G$2:G$746,'Base bordo'!C$2:C$746,A830,'Base bordo'!B$2:B$746,B830,'Base bordo'!F$2:F$746,"MANUTENCAO EXTERNA  CONCESSIONARIA"),0)+IFERROR(SUMIFS('Base bordo'!G$2:G$746,'Base bordo'!C$2:C$746,A830,'Base bordo'!B$2:B$746,B830,'Base bordo'!F$2:F$746,"MANUTENCAO TELEMETRIA"),0)</f>
        <v>0</v>
      </c>
      <c r="M830" s="10">
        <f>IFERROR(SUMIFS('Base bordo'!G$2:G$746,'Base bordo'!C$2:C$746,A830,'Base bordo'!B$2:B$746,B830,'Base bordo'!F$2:F$746,"AGUARDANDO MANUTENCAO"),0)</f>
        <v>0</v>
      </c>
      <c r="N830" s="10">
        <f>IFERROR(SUMIFS('Base bordo'!G$2:G$746,'Base bordo'!C$2:C$746,A830,'Base bordo'!B$2:B$746,B830,'Base bordo'!F$2:F$746,"SEM APONTAMENTO"),0)</f>
        <v>0</v>
      </c>
      <c r="O830" s="10">
        <f t="shared" si="84"/>
        <v>0</v>
      </c>
      <c r="P830" s="10">
        <f>IFERROR(SUMIFS('Base bordo'!G$2:G$746,'Base bordo'!C$2:C$746,A830,'Base bordo'!B$2:B$746,B830),0)</f>
        <v>9.5794444444444444</v>
      </c>
      <c r="Q830" s="10">
        <f>IFERROR(SUMIFS('Base bordo'!H$2:H$746,'Base bordo'!C$2:C$746,A830,'Base bordo'!B$2:B$746,B830,'Base bordo'!F$2:F$746,"DESLOCAMENTO VAZIO"),0)</f>
        <v>4979.08</v>
      </c>
      <c r="R830" s="10">
        <f>IFERROR(SUMIFS('Base bordo'!I$2:I$746,'Base bordo'!C$2:C$746,A830,'Base bordo'!B$2:B$746,B830,'Base bordo'!F$2:F$746,"DESLOCAMENTO VAZIO"),0)</f>
        <v>532</v>
      </c>
      <c r="S830" s="30">
        <f t="shared" si="85"/>
        <v>9.3591729323308268</v>
      </c>
      <c r="T830" s="10">
        <f>IFERROR(SUMIFS('Base bordo'!H$2:H$746,'Base bordo'!C$2:C$746,A830,'Base bordo'!B$2:B$746,B830,'Base bordo'!F$2:F$746,"DESLOCAMENTO CARREGADO"),0)</f>
        <v>214024.57</v>
      </c>
      <c r="U830" s="10">
        <f>IFERROR(SUMIFS('Base bordo'!I$2:I$746,'Base bordo'!C$2:C$746,A830,'Base bordo'!B$2:B$746,B830,'Base bordo'!F$2:F$746,"DESLOCAMENTO CARREGADO"),0)</f>
        <v>12026</v>
      </c>
      <c r="V830" s="30">
        <f t="shared" si="86"/>
        <v>17.796821054382171</v>
      </c>
      <c r="W830" s="9">
        <f t="shared" si="87"/>
        <v>1.5426549904308995E-2</v>
      </c>
      <c r="X830" s="9">
        <f t="shared" si="88"/>
        <v>0.34872122020530072</v>
      </c>
      <c r="Y830" s="9">
        <f t="shared" si="89"/>
        <v>0.63585222989039036</v>
      </c>
    </row>
    <row r="831" spans="1:25" ht="15" customHeight="1" x14ac:dyDescent="0.35">
      <c r="A831" s="52">
        <v>8013484</v>
      </c>
      <c r="B831" s="51">
        <v>46118</v>
      </c>
      <c r="C831" s="7" t="s">
        <v>124</v>
      </c>
      <c r="D831" s="10">
        <f>IFERROR(SUMIFS('Base bordo'!G$2:G$746,'Base bordo'!C$2:C$746,A831,'Base bordo'!B$2:B$746,B831,'Base bordo'!F$2:F$746,"DESLOCAMENTO VAZIO"),0)</f>
        <v>0.14777777777777779</v>
      </c>
      <c r="E831" s="10">
        <f>IFERROR(SUMIFS('Base bordo'!G$2:G$746,'Base bordo'!C$2:C$746,A831,'Base bordo'!B$2:B$746,B831,'Base bordo'!F$2:F$746,"DESLOCAMENTO CARREGADO"),0)</f>
        <v>3.3405555555555555</v>
      </c>
      <c r="F831" s="10">
        <f>IFERROR(SUMIFS('Base bordo'!G$2:G$746,'Base bordo'!C$2:C$746,A831,'Base bordo'!B$2:B$746,B831,'Base bordo'!F$2:F$746,"DESLOCAMENTO"),0)</f>
        <v>0</v>
      </c>
      <c r="G831" s="10">
        <f>IFERROR(SUMIFS('Base bordo'!G$2:G$746,'Base bordo'!C$2:C$746,A831,'Base bordo'!B$2:B$746,B831,'Base bordo'!F$2:F$746,"CARREGAMENTO"),0)</f>
        <v>0</v>
      </c>
      <c r="H831" s="10">
        <f>IFERROR(SUMIFS('Base bordo'!G$2:G$746,'Base bordo'!C$2:C$746,A831,'Base bordo'!B$2:B$746,B831,'Base bordo'!F$2:F$746,"AGUARDANDO TRANSBORDO"),0)</f>
        <v>0</v>
      </c>
      <c r="I831" s="10">
        <f>IFERROR(SUMIFS('Base bordo'!G$2:G$746,'Base bordo'!C$2:C$746,A831,'Base bordo'!B$2:B$746,B831,'Base bordo'!F$2:F$746,"PÁTIO INTERNO"),0)+IFERROR(SUMIFS('Base bordo'!G$2:G$746,'Base bordo'!C$2:C$746,A831,'Base bordo'!B$2:B$746,B831,'Base bordo'!F$2:F$746,"PÁTIO EXTERNO"),0)+IFERROR(SUMIFS('Base bordo'!G$2:G$746,'Base bordo'!C$2:C$746,A831,'Base bordo'!B$2:B$746,B831,'Base bordo'!F$2:F$746,"PATIO - RESERVA"),0)+IFERROR(SUMIFS('Base bordo'!G$2:G$746,'Base bordo'!C$2:C$746,A831,'Base bordo'!B$2:B$746,B831,'Base bordo'!F$2:F$746,"MANOBRA CARRETAS-PATIO"),0)</f>
        <v>6.0491666666666664</v>
      </c>
      <c r="J831" s="10">
        <f>IFERROR(SUMIFS('Base bordo'!G$2:G$746,'Base bordo'!C$2:C$746,A831,'Base bordo'!B$2:B$746,B831,'Base bordo'!F$2:F$746,"BALANÇA - ENTRADA"),0)+IFERROR(SUMIFS('Base bordo'!G$2:G$746,'Base bordo'!C$2:C$746,A831,'Base bordo'!B$2:B$746,B831,'Base bordo'!F$2:F$746,"BALANÇA - SAÍDA"),0)</f>
        <v>4.1944444444444444E-2</v>
      </c>
      <c r="K831" s="10">
        <f>IFERROR(SUMIFS('Base bordo'!G$2:G$746,'Base bordo'!C$2:C$746,A831,'Base bordo'!B$2:B$746,B831,'Base bordo'!F$2:F$746,"MAN PREVENTIVA - MECANICA"),0)+IFERROR(SUMIFS('Base bordo'!G$2:G$746,'Base bordo'!C$2:C$746,A831,'Base bordo'!B$2:B$746,B831,'Base bordo'!F$2:F$746,"MAN CORRETIVA - MECANICA"),0)</f>
        <v>0</v>
      </c>
      <c r="L831" s="10">
        <f>IFERROR(SUMIFS('Base bordo'!G$2:G$746,'Base bordo'!C$2:C$746,A831,'Base bordo'!B$2:B$746,B831,'Base bordo'!F$2:F$746,"MANUTENCAO - T O"),0)+IFERROR(SUMIFS('Base bordo'!G$2:G$746,'Base bordo'!C$2:C$746,A831,'Base bordo'!B$2:B$746,B831,'Base bordo'!F$2:F$746,"MANUTENCAO BORRACHARIA"),0)+IFERROR(SUMIFS('Base bordo'!G$2:G$746,'Base bordo'!C$2:C$746,A831,'Base bordo'!B$2:B$746,B831,'Base bordo'!F$2:F$746,"MANUTENCAO EXTERNA  CONCESSIONARIA"),0)+IFERROR(SUMIFS('Base bordo'!G$2:G$746,'Base bordo'!C$2:C$746,A831,'Base bordo'!B$2:B$746,B831,'Base bordo'!F$2:F$746,"MANUTENCAO TELEMETRIA"),0)</f>
        <v>0</v>
      </c>
      <c r="M831" s="10">
        <f>IFERROR(SUMIFS('Base bordo'!G$2:G$746,'Base bordo'!C$2:C$746,A831,'Base bordo'!B$2:B$746,B831,'Base bordo'!F$2:F$746,"AGUARDANDO MANUTENCAO"),0)</f>
        <v>0</v>
      </c>
      <c r="N831" s="10">
        <f>IFERROR(SUMIFS('Base bordo'!G$2:G$746,'Base bordo'!C$2:C$746,A831,'Base bordo'!B$2:B$746,B831,'Base bordo'!F$2:F$746,"SEM APONTAMENTO"),0)</f>
        <v>0</v>
      </c>
      <c r="O831" s="10">
        <f t="shared" si="84"/>
        <v>0</v>
      </c>
      <c r="P831" s="10">
        <f>IFERROR(SUMIFS('Base bordo'!G$2:G$746,'Base bordo'!C$2:C$746,A831,'Base bordo'!B$2:B$746,B831),0)</f>
        <v>9.5794444444444444</v>
      </c>
      <c r="Q831" s="10">
        <f>IFERROR(SUMIFS('Base bordo'!H$2:H$746,'Base bordo'!C$2:C$746,A831,'Base bordo'!B$2:B$746,B831,'Base bordo'!F$2:F$746,"DESLOCAMENTO VAZIO"),0)</f>
        <v>4979.08</v>
      </c>
      <c r="R831" s="10">
        <f>IFERROR(SUMIFS('Base bordo'!I$2:I$746,'Base bordo'!C$2:C$746,A831,'Base bordo'!B$2:B$746,B831,'Base bordo'!F$2:F$746,"DESLOCAMENTO VAZIO"),0)</f>
        <v>532</v>
      </c>
      <c r="S831" s="30">
        <f t="shared" si="85"/>
        <v>9.3591729323308268</v>
      </c>
      <c r="T831" s="10">
        <f>IFERROR(SUMIFS('Base bordo'!H$2:H$746,'Base bordo'!C$2:C$746,A831,'Base bordo'!B$2:B$746,B831,'Base bordo'!F$2:F$746,"DESLOCAMENTO CARREGADO"),0)</f>
        <v>214024.57</v>
      </c>
      <c r="U831" s="10">
        <f>IFERROR(SUMIFS('Base bordo'!I$2:I$746,'Base bordo'!C$2:C$746,A831,'Base bordo'!B$2:B$746,B831,'Base bordo'!F$2:F$746,"DESLOCAMENTO CARREGADO"),0)</f>
        <v>12026</v>
      </c>
      <c r="V831" s="30">
        <f t="shared" si="86"/>
        <v>17.796821054382171</v>
      </c>
      <c r="W831" s="9">
        <f t="shared" si="87"/>
        <v>1.5426549904308995E-2</v>
      </c>
      <c r="X831" s="9">
        <f t="shared" si="88"/>
        <v>0.34872122020530072</v>
      </c>
      <c r="Y831" s="9">
        <f t="shared" si="89"/>
        <v>0.63585222989039036</v>
      </c>
    </row>
    <row r="832" spans="1:25" ht="15" customHeight="1" x14ac:dyDescent="0.35">
      <c r="A832" s="52">
        <v>8013484</v>
      </c>
      <c r="B832" s="51">
        <v>46118</v>
      </c>
      <c r="C832" s="7" t="s">
        <v>124</v>
      </c>
      <c r="D832" s="10">
        <f>IFERROR(SUMIFS('Base bordo'!G$2:G$746,'Base bordo'!C$2:C$746,A832,'Base bordo'!B$2:B$746,B832,'Base bordo'!F$2:F$746,"DESLOCAMENTO VAZIO"),0)</f>
        <v>0.14777777777777779</v>
      </c>
      <c r="E832" s="10">
        <f>IFERROR(SUMIFS('Base bordo'!G$2:G$746,'Base bordo'!C$2:C$746,A832,'Base bordo'!B$2:B$746,B832,'Base bordo'!F$2:F$746,"DESLOCAMENTO CARREGADO"),0)</f>
        <v>3.3405555555555555</v>
      </c>
      <c r="F832" s="10">
        <f>IFERROR(SUMIFS('Base bordo'!G$2:G$746,'Base bordo'!C$2:C$746,A832,'Base bordo'!B$2:B$746,B832,'Base bordo'!F$2:F$746,"DESLOCAMENTO"),0)</f>
        <v>0</v>
      </c>
      <c r="G832" s="10">
        <f>IFERROR(SUMIFS('Base bordo'!G$2:G$746,'Base bordo'!C$2:C$746,A832,'Base bordo'!B$2:B$746,B832,'Base bordo'!F$2:F$746,"CARREGAMENTO"),0)</f>
        <v>0</v>
      </c>
      <c r="H832" s="10">
        <f>IFERROR(SUMIFS('Base bordo'!G$2:G$746,'Base bordo'!C$2:C$746,A832,'Base bordo'!B$2:B$746,B832,'Base bordo'!F$2:F$746,"AGUARDANDO TRANSBORDO"),0)</f>
        <v>0</v>
      </c>
      <c r="I832" s="10">
        <f>IFERROR(SUMIFS('Base bordo'!G$2:G$746,'Base bordo'!C$2:C$746,A832,'Base bordo'!B$2:B$746,B832,'Base bordo'!F$2:F$746,"PÁTIO INTERNO"),0)+IFERROR(SUMIFS('Base bordo'!G$2:G$746,'Base bordo'!C$2:C$746,A832,'Base bordo'!B$2:B$746,B832,'Base bordo'!F$2:F$746,"PÁTIO EXTERNO"),0)+IFERROR(SUMIFS('Base bordo'!G$2:G$746,'Base bordo'!C$2:C$746,A832,'Base bordo'!B$2:B$746,B832,'Base bordo'!F$2:F$746,"PATIO - RESERVA"),0)+IFERROR(SUMIFS('Base bordo'!G$2:G$746,'Base bordo'!C$2:C$746,A832,'Base bordo'!B$2:B$746,B832,'Base bordo'!F$2:F$746,"MANOBRA CARRETAS-PATIO"),0)</f>
        <v>6.0491666666666664</v>
      </c>
      <c r="J832" s="10">
        <f>IFERROR(SUMIFS('Base bordo'!G$2:G$746,'Base bordo'!C$2:C$746,A832,'Base bordo'!B$2:B$746,B832,'Base bordo'!F$2:F$746,"BALANÇA - ENTRADA"),0)+IFERROR(SUMIFS('Base bordo'!G$2:G$746,'Base bordo'!C$2:C$746,A832,'Base bordo'!B$2:B$746,B832,'Base bordo'!F$2:F$746,"BALANÇA - SAÍDA"),0)</f>
        <v>4.1944444444444444E-2</v>
      </c>
      <c r="K832" s="10">
        <f>IFERROR(SUMIFS('Base bordo'!G$2:G$746,'Base bordo'!C$2:C$746,A832,'Base bordo'!B$2:B$746,B832,'Base bordo'!F$2:F$746,"MAN PREVENTIVA - MECANICA"),0)+IFERROR(SUMIFS('Base bordo'!G$2:G$746,'Base bordo'!C$2:C$746,A832,'Base bordo'!B$2:B$746,B832,'Base bordo'!F$2:F$746,"MAN CORRETIVA - MECANICA"),0)</f>
        <v>0</v>
      </c>
      <c r="L832" s="10">
        <f>IFERROR(SUMIFS('Base bordo'!G$2:G$746,'Base bordo'!C$2:C$746,A832,'Base bordo'!B$2:B$746,B832,'Base bordo'!F$2:F$746,"MANUTENCAO - T O"),0)+IFERROR(SUMIFS('Base bordo'!G$2:G$746,'Base bordo'!C$2:C$746,A832,'Base bordo'!B$2:B$746,B832,'Base bordo'!F$2:F$746,"MANUTENCAO BORRACHARIA"),0)+IFERROR(SUMIFS('Base bordo'!G$2:G$746,'Base bordo'!C$2:C$746,A832,'Base bordo'!B$2:B$746,B832,'Base bordo'!F$2:F$746,"MANUTENCAO EXTERNA  CONCESSIONARIA"),0)+IFERROR(SUMIFS('Base bordo'!G$2:G$746,'Base bordo'!C$2:C$746,A832,'Base bordo'!B$2:B$746,B832,'Base bordo'!F$2:F$746,"MANUTENCAO TELEMETRIA"),0)</f>
        <v>0</v>
      </c>
      <c r="M832" s="10">
        <f>IFERROR(SUMIFS('Base bordo'!G$2:G$746,'Base bordo'!C$2:C$746,A832,'Base bordo'!B$2:B$746,B832,'Base bordo'!F$2:F$746,"AGUARDANDO MANUTENCAO"),0)</f>
        <v>0</v>
      </c>
      <c r="N832" s="10">
        <f>IFERROR(SUMIFS('Base bordo'!G$2:G$746,'Base bordo'!C$2:C$746,A832,'Base bordo'!B$2:B$746,B832,'Base bordo'!F$2:F$746,"SEM APONTAMENTO"),0)</f>
        <v>0</v>
      </c>
      <c r="O832" s="10">
        <f t="shared" si="84"/>
        <v>0</v>
      </c>
      <c r="P832" s="10">
        <f>IFERROR(SUMIFS('Base bordo'!G$2:G$746,'Base bordo'!C$2:C$746,A832,'Base bordo'!B$2:B$746,B832),0)</f>
        <v>9.5794444444444444</v>
      </c>
      <c r="Q832" s="10">
        <f>IFERROR(SUMIFS('Base bordo'!H$2:H$746,'Base bordo'!C$2:C$746,A832,'Base bordo'!B$2:B$746,B832,'Base bordo'!F$2:F$746,"DESLOCAMENTO VAZIO"),0)</f>
        <v>4979.08</v>
      </c>
      <c r="R832" s="10">
        <f>IFERROR(SUMIFS('Base bordo'!I$2:I$746,'Base bordo'!C$2:C$746,A832,'Base bordo'!B$2:B$746,B832,'Base bordo'!F$2:F$746,"DESLOCAMENTO VAZIO"),0)</f>
        <v>532</v>
      </c>
      <c r="S832" s="30">
        <f t="shared" si="85"/>
        <v>9.3591729323308268</v>
      </c>
      <c r="T832" s="10">
        <f>IFERROR(SUMIFS('Base bordo'!H$2:H$746,'Base bordo'!C$2:C$746,A832,'Base bordo'!B$2:B$746,B832,'Base bordo'!F$2:F$746,"DESLOCAMENTO CARREGADO"),0)</f>
        <v>214024.57</v>
      </c>
      <c r="U832" s="10">
        <f>IFERROR(SUMIFS('Base bordo'!I$2:I$746,'Base bordo'!C$2:C$746,A832,'Base bordo'!B$2:B$746,B832,'Base bordo'!F$2:F$746,"DESLOCAMENTO CARREGADO"),0)</f>
        <v>12026</v>
      </c>
      <c r="V832" s="30">
        <f t="shared" si="86"/>
        <v>17.796821054382171</v>
      </c>
      <c r="W832" s="9">
        <f t="shared" si="87"/>
        <v>1.5426549904308995E-2</v>
      </c>
      <c r="X832" s="9">
        <f t="shared" si="88"/>
        <v>0.34872122020530072</v>
      </c>
      <c r="Y832" s="9">
        <f t="shared" si="89"/>
        <v>0.63585222989039036</v>
      </c>
    </row>
    <row r="833" spans="1:25" ht="15" customHeight="1" x14ac:dyDescent="0.35">
      <c r="A833" s="52">
        <v>8013484</v>
      </c>
      <c r="B833" s="51">
        <v>46118</v>
      </c>
      <c r="C833" s="7" t="s">
        <v>124</v>
      </c>
      <c r="D833" s="10">
        <f>IFERROR(SUMIFS('Base bordo'!G$2:G$746,'Base bordo'!C$2:C$746,A833,'Base bordo'!B$2:B$746,B833,'Base bordo'!F$2:F$746,"DESLOCAMENTO VAZIO"),0)</f>
        <v>0.14777777777777779</v>
      </c>
      <c r="E833" s="10">
        <f>IFERROR(SUMIFS('Base bordo'!G$2:G$746,'Base bordo'!C$2:C$746,A833,'Base bordo'!B$2:B$746,B833,'Base bordo'!F$2:F$746,"DESLOCAMENTO CARREGADO"),0)</f>
        <v>3.3405555555555555</v>
      </c>
      <c r="F833" s="10">
        <f>IFERROR(SUMIFS('Base bordo'!G$2:G$746,'Base bordo'!C$2:C$746,A833,'Base bordo'!B$2:B$746,B833,'Base bordo'!F$2:F$746,"DESLOCAMENTO"),0)</f>
        <v>0</v>
      </c>
      <c r="G833" s="10">
        <f>IFERROR(SUMIFS('Base bordo'!G$2:G$746,'Base bordo'!C$2:C$746,A833,'Base bordo'!B$2:B$746,B833,'Base bordo'!F$2:F$746,"CARREGAMENTO"),0)</f>
        <v>0</v>
      </c>
      <c r="H833" s="10">
        <f>IFERROR(SUMIFS('Base bordo'!G$2:G$746,'Base bordo'!C$2:C$746,A833,'Base bordo'!B$2:B$746,B833,'Base bordo'!F$2:F$746,"AGUARDANDO TRANSBORDO"),0)</f>
        <v>0</v>
      </c>
      <c r="I833" s="10">
        <f>IFERROR(SUMIFS('Base bordo'!G$2:G$746,'Base bordo'!C$2:C$746,A833,'Base bordo'!B$2:B$746,B833,'Base bordo'!F$2:F$746,"PÁTIO INTERNO"),0)+IFERROR(SUMIFS('Base bordo'!G$2:G$746,'Base bordo'!C$2:C$746,A833,'Base bordo'!B$2:B$746,B833,'Base bordo'!F$2:F$746,"PÁTIO EXTERNO"),0)+IFERROR(SUMIFS('Base bordo'!G$2:G$746,'Base bordo'!C$2:C$746,A833,'Base bordo'!B$2:B$746,B833,'Base bordo'!F$2:F$746,"PATIO - RESERVA"),0)+IFERROR(SUMIFS('Base bordo'!G$2:G$746,'Base bordo'!C$2:C$746,A833,'Base bordo'!B$2:B$746,B833,'Base bordo'!F$2:F$746,"MANOBRA CARRETAS-PATIO"),0)</f>
        <v>6.0491666666666664</v>
      </c>
      <c r="J833" s="10">
        <f>IFERROR(SUMIFS('Base bordo'!G$2:G$746,'Base bordo'!C$2:C$746,A833,'Base bordo'!B$2:B$746,B833,'Base bordo'!F$2:F$746,"BALANÇA - ENTRADA"),0)+IFERROR(SUMIFS('Base bordo'!G$2:G$746,'Base bordo'!C$2:C$746,A833,'Base bordo'!B$2:B$746,B833,'Base bordo'!F$2:F$746,"BALANÇA - SAÍDA"),0)</f>
        <v>4.1944444444444444E-2</v>
      </c>
      <c r="K833" s="10">
        <f>IFERROR(SUMIFS('Base bordo'!G$2:G$746,'Base bordo'!C$2:C$746,A833,'Base bordo'!B$2:B$746,B833,'Base bordo'!F$2:F$746,"MAN PREVENTIVA - MECANICA"),0)+IFERROR(SUMIFS('Base bordo'!G$2:G$746,'Base bordo'!C$2:C$746,A833,'Base bordo'!B$2:B$746,B833,'Base bordo'!F$2:F$746,"MAN CORRETIVA - MECANICA"),0)</f>
        <v>0</v>
      </c>
      <c r="L833" s="10">
        <f>IFERROR(SUMIFS('Base bordo'!G$2:G$746,'Base bordo'!C$2:C$746,A833,'Base bordo'!B$2:B$746,B833,'Base bordo'!F$2:F$746,"MANUTENCAO - T O"),0)+IFERROR(SUMIFS('Base bordo'!G$2:G$746,'Base bordo'!C$2:C$746,A833,'Base bordo'!B$2:B$746,B833,'Base bordo'!F$2:F$746,"MANUTENCAO BORRACHARIA"),0)+IFERROR(SUMIFS('Base bordo'!G$2:G$746,'Base bordo'!C$2:C$746,A833,'Base bordo'!B$2:B$746,B833,'Base bordo'!F$2:F$746,"MANUTENCAO EXTERNA  CONCESSIONARIA"),0)+IFERROR(SUMIFS('Base bordo'!G$2:G$746,'Base bordo'!C$2:C$746,A833,'Base bordo'!B$2:B$746,B833,'Base bordo'!F$2:F$746,"MANUTENCAO TELEMETRIA"),0)</f>
        <v>0</v>
      </c>
      <c r="M833" s="10">
        <f>IFERROR(SUMIFS('Base bordo'!G$2:G$746,'Base bordo'!C$2:C$746,A833,'Base bordo'!B$2:B$746,B833,'Base bordo'!F$2:F$746,"AGUARDANDO MANUTENCAO"),0)</f>
        <v>0</v>
      </c>
      <c r="N833" s="10">
        <f>IFERROR(SUMIFS('Base bordo'!G$2:G$746,'Base bordo'!C$2:C$746,A833,'Base bordo'!B$2:B$746,B833,'Base bordo'!F$2:F$746,"SEM APONTAMENTO"),0)</f>
        <v>0</v>
      </c>
      <c r="O833" s="10">
        <f t="shared" si="84"/>
        <v>0</v>
      </c>
      <c r="P833" s="10">
        <f>IFERROR(SUMIFS('Base bordo'!G$2:G$746,'Base bordo'!C$2:C$746,A833,'Base bordo'!B$2:B$746,B833),0)</f>
        <v>9.5794444444444444</v>
      </c>
      <c r="Q833" s="10">
        <f>IFERROR(SUMIFS('Base bordo'!H$2:H$746,'Base bordo'!C$2:C$746,A833,'Base bordo'!B$2:B$746,B833,'Base bordo'!F$2:F$746,"DESLOCAMENTO VAZIO"),0)</f>
        <v>4979.08</v>
      </c>
      <c r="R833" s="10">
        <f>IFERROR(SUMIFS('Base bordo'!I$2:I$746,'Base bordo'!C$2:C$746,A833,'Base bordo'!B$2:B$746,B833,'Base bordo'!F$2:F$746,"DESLOCAMENTO VAZIO"),0)</f>
        <v>532</v>
      </c>
      <c r="S833" s="30">
        <f t="shared" si="85"/>
        <v>9.3591729323308268</v>
      </c>
      <c r="T833" s="10">
        <f>IFERROR(SUMIFS('Base bordo'!H$2:H$746,'Base bordo'!C$2:C$746,A833,'Base bordo'!B$2:B$746,B833,'Base bordo'!F$2:F$746,"DESLOCAMENTO CARREGADO"),0)</f>
        <v>214024.57</v>
      </c>
      <c r="U833" s="10">
        <f>IFERROR(SUMIFS('Base bordo'!I$2:I$746,'Base bordo'!C$2:C$746,A833,'Base bordo'!B$2:B$746,B833,'Base bordo'!F$2:F$746,"DESLOCAMENTO CARREGADO"),0)</f>
        <v>12026</v>
      </c>
      <c r="V833" s="30">
        <f t="shared" si="86"/>
        <v>17.796821054382171</v>
      </c>
      <c r="W833" s="9">
        <f t="shared" si="87"/>
        <v>1.5426549904308995E-2</v>
      </c>
      <c r="X833" s="9">
        <f t="shared" si="88"/>
        <v>0.34872122020530072</v>
      </c>
      <c r="Y833" s="9">
        <f t="shared" si="89"/>
        <v>0.63585222989039036</v>
      </c>
    </row>
    <row r="834" spans="1:25" ht="15" customHeight="1" x14ac:dyDescent="0.35">
      <c r="A834" s="52">
        <v>8013484</v>
      </c>
      <c r="B834" s="51">
        <v>46118</v>
      </c>
      <c r="C834" s="7" t="s">
        <v>124</v>
      </c>
      <c r="D834" s="10">
        <f>IFERROR(SUMIFS('Base bordo'!G$2:G$746,'Base bordo'!C$2:C$746,A834,'Base bordo'!B$2:B$746,B834,'Base bordo'!F$2:F$746,"DESLOCAMENTO VAZIO"),0)</f>
        <v>0.14777777777777779</v>
      </c>
      <c r="E834" s="10">
        <f>IFERROR(SUMIFS('Base bordo'!G$2:G$746,'Base bordo'!C$2:C$746,A834,'Base bordo'!B$2:B$746,B834,'Base bordo'!F$2:F$746,"DESLOCAMENTO CARREGADO"),0)</f>
        <v>3.3405555555555555</v>
      </c>
      <c r="F834" s="10">
        <f>IFERROR(SUMIFS('Base bordo'!G$2:G$746,'Base bordo'!C$2:C$746,A834,'Base bordo'!B$2:B$746,B834,'Base bordo'!F$2:F$746,"DESLOCAMENTO"),0)</f>
        <v>0</v>
      </c>
      <c r="G834" s="10">
        <f>IFERROR(SUMIFS('Base bordo'!G$2:G$746,'Base bordo'!C$2:C$746,A834,'Base bordo'!B$2:B$746,B834,'Base bordo'!F$2:F$746,"CARREGAMENTO"),0)</f>
        <v>0</v>
      </c>
      <c r="H834" s="10">
        <f>IFERROR(SUMIFS('Base bordo'!G$2:G$746,'Base bordo'!C$2:C$746,A834,'Base bordo'!B$2:B$746,B834,'Base bordo'!F$2:F$746,"AGUARDANDO TRANSBORDO"),0)</f>
        <v>0</v>
      </c>
      <c r="I834" s="10">
        <f>IFERROR(SUMIFS('Base bordo'!G$2:G$746,'Base bordo'!C$2:C$746,A834,'Base bordo'!B$2:B$746,B834,'Base bordo'!F$2:F$746,"PÁTIO INTERNO"),0)+IFERROR(SUMIFS('Base bordo'!G$2:G$746,'Base bordo'!C$2:C$746,A834,'Base bordo'!B$2:B$746,B834,'Base bordo'!F$2:F$746,"PÁTIO EXTERNO"),0)+IFERROR(SUMIFS('Base bordo'!G$2:G$746,'Base bordo'!C$2:C$746,A834,'Base bordo'!B$2:B$746,B834,'Base bordo'!F$2:F$746,"PATIO - RESERVA"),0)+IFERROR(SUMIFS('Base bordo'!G$2:G$746,'Base bordo'!C$2:C$746,A834,'Base bordo'!B$2:B$746,B834,'Base bordo'!F$2:F$746,"MANOBRA CARRETAS-PATIO"),0)</f>
        <v>6.0491666666666664</v>
      </c>
      <c r="J834" s="10">
        <f>IFERROR(SUMIFS('Base bordo'!G$2:G$746,'Base bordo'!C$2:C$746,A834,'Base bordo'!B$2:B$746,B834,'Base bordo'!F$2:F$746,"BALANÇA - ENTRADA"),0)+IFERROR(SUMIFS('Base bordo'!G$2:G$746,'Base bordo'!C$2:C$746,A834,'Base bordo'!B$2:B$746,B834,'Base bordo'!F$2:F$746,"BALANÇA - SAÍDA"),0)</f>
        <v>4.1944444444444444E-2</v>
      </c>
      <c r="K834" s="10">
        <f>IFERROR(SUMIFS('Base bordo'!G$2:G$746,'Base bordo'!C$2:C$746,A834,'Base bordo'!B$2:B$746,B834,'Base bordo'!F$2:F$746,"MAN PREVENTIVA - MECANICA"),0)+IFERROR(SUMIFS('Base bordo'!G$2:G$746,'Base bordo'!C$2:C$746,A834,'Base bordo'!B$2:B$746,B834,'Base bordo'!F$2:F$746,"MAN CORRETIVA - MECANICA"),0)</f>
        <v>0</v>
      </c>
      <c r="L834" s="10">
        <f>IFERROR(SUMIFS('Base bordo'!G$2:G$746,'Base bordo'!C$2:C$746,A834,'Base bordo'!B$2:B$746,B834,'Base bordo'!F$2:F$746,"MANUTENCAO - T O"),0)+IFERROR(SUMIFS('Base bordo'!G$2:G$746,'Base bordo'!C$2:C$746,A834,'Base bordo'!B$2:B$746,B834,'Base bordo'!F$2:F$746,"MANUTENCAO BORRACHARIA"),0)+IFERROR(SUMIFS('Base bordo'!G$2:G$746,'Base bordo'!C$2:C$746,A834,'Base bordo'!B$2:B$746,B834,'Base bordo'!F$2:F$746,"MANUTENCAO EXTERNA  CONCESSIONARIA"),0)+IFERROR(SUMIFS('Base bordo'!G$2:G$746,'Base bordo'!C$2:C$746,A834,'Base bordo'!B$2:B$746,B834,'Base bordo'!F$2:F$746,"MANUTENCAO TELEMETRIA"),0)</f>
        <v>0</v>
      </c>
      <c r="M834" s="10">
        <f>IFERROR(SUMIFS('Base bordo'!G$2:G$746,'Base bordo'!C$2:C$746,A834,'Base bordo'!B$2:B$746,B834,'Base bordo'!F$2:F$746,"AGUARDANDO MANUTENCAO"),0)</f>
        <v>0</v>
      </c>
      <c r="N834" s="10">
        <f>IFERROR(SUMIFS('Base bordo'!G$2:G$746,'Base bordo'!C$2:C$746,A834,'Base bordo'!B$2:B$746,B834,'Base bordo'!F$2:F$746,"SEM APONTAMENTO"),0)</f>
        <v>0</v>
      </c>
      <c r="O834" s="10">
        <f t="shared" si="84"/>
        <v>0</v>
      </c>
      <c r="P834" s="10">
        <f>IFERROR(SUMIFS('Base bordo'!G$2:G$746,'Base bordo'!C$2:C$746,A834,'Base bordo'!B$2:B$746,B834),0)</f>
        <v>9.5794444444444444</v>
      </c>
      <c r="Q834" s="10">
        <f>IFERROR(SUMIFS('Base bordo'!H$2:H$746,'Base bordo'!C$2:C$746,A834,'Base bordo'!B$2:B$746,B834,'Base bordo'!F$2:F$746,"DESLOCAMENTO VAZIO"),0)</f>
        <v>4979.08</v>
      </c>
      <c r="R834" s="10">
        <f>IFERROR(SUMIFS('Base bordo'!I$2:I$746,'Base bordo'!C$2:C$746,A834,'Base bordo'!B$2:B$746,B834,'Base bordo'!F$2:F$746,"DESLOCAMENTO VAZIO"),0)</f>
        <v>532</v>
      </c>
      <c r="S834" s="30">
        <f t="shared" si="85"/>
        <v>9.3591729323308268</v>
      </c>
      <c r="T834" s="10">
        <f>IFERROR(SUMIFS('Base bordo'!H$2:H$746,'Base bordo'!C$2:C$746,A834,'Base bordo'!B$2:B$746,B834,'Base bordo'!F$2:F$746,"DESLOCAMENTO CARREGADO"),0)</f>
        <v>214024.57</v>
      </c>
      <c r="U834" s="10">
        <f>IFERROR(SUMIFS('Base bordo'!I$2:I$746,'Base bordo'!C$2:C$746,A834,'Base bordo'!B$2:B$746,B834,'Base bordo'!F$2:F$746,"DESLOCAMENTO CARREGADO"),0)</f>
        <v>12026</v>
      </c>
      <c r="V834" s="30">
        <f t="shared" si="86"/>
        <v>17.796821054382171</v>
      </c>
      <c r="W834" s="9">
        <f t="shared" si="87"/>
        <v>1.5426549904308995E-2</v>
      </c>
      <c r="X834" s="9">
        <f t="shared" si="88"/>
        <v>0.34872122020530072</v>
      </c>
      <c r="Y834" s="9">
        <f t="shared" si="89"/>
        <v>0.63585222989039036</v>
      </c>
    </row>
    <row r="835" spans="1:25" ht="15" customHeight="1" x14ac:dyDescent="0.35">
      <c r="A835" s="52">
        <v>8013484</v>
      </c>
      <c r="B835" s="51">
        <v>46118</v>
      </c>
      <c r="C835" s="7" t="s">
        <v>124</v>
      </c>
      <c r="D835" s="10">
        <f>IFERROR(SUMIFS('Base bordo'!G$2:G$746,'Base bordo'!C$2:C$746,A835,'Base bordo'!B$2:B$746,B835,'Base bordo'!F$2:F$746,"DESLOCAMENTO VAZIO"),0)</f>
        <v>0.14777777777777779</v>
      </c>
      <c r="E835" s="10">
        <f>IFERROR(SUMIFS('Base bordo'!G$2:G$746,'Base bordo'!C$2:C$746,A835,'Base bordo'!B$2:B$746,B835,'Base bordo'!F$2:F$746,"DESLOCAMENTO CARREGADO"),0)</f>
        <v>3.3405555555555555</v>
      </c>
      <c r="F835" s="10">
        <f>IFERROR(SUMIFS('Base bordo'!G$2:G$746,'Base bordo'!C$2:C$746,A835,'Base bordo'!B$2:B$746,B835,'Base bordo'!F$2:F$746,"DESLOCAMENTO"),0)</f>
        <v>0</v>
      </c>
      <c r="G835" s="10">
        <f>IFERROR(SUMIFS('Base bordo'!G$2:G$746,'Base bordo'!C$2:C$746,A835,'Base bordo'!B$2:B$746,B835,'Base bordo'!F$2:F$746,"CARREGAMENTO"),0)</f>
        <v>0</v>
      </c>
      <c r="H835" s="10">
        <f>IFERROR(SUMIFS('Base bordo'!G$2:G$746,'Base bordo'!C$2:C$746,A835,'Base bordo'!B$2:B$746,B835,'Base bordo'!F$2:F$746,"AGUARDANDO TRANSBORDO"),0)</f>
        <v>0</v>
      </c>
      <c r="I835" s="10">
        <f>IFERROR(SUMIFS('Base bordo'!G$2:G$746,'Base bordo'!C$2:C$746,A835,'Base bordo'!B$2:B$746,B835,'Base bordo'!F$2:F$746,"PÁTIO INTERNO"),0)+IFERROR(SUMIFS('Base bordo'!G$2:G$746,'Base bordo'!C$2:C$746,A835,'Base bordo'!B$2:B$746,B835,'Base bordo'!F$2:F$746,"PÁTIO EXTERNO"),0)+IFERROR(SUMIFS('Base bordo'!G$2:G$746,'Base bordo'!C$2:C$746,A835,'Base bordo'!B$2:B$746,B835,'Base bordo'!F$2:F$746,"PATIO - RESERVA"),0)+IFERROR(SUMIFS('Base bordo'!G$2:G$746,'Base bordo'!C$2:C$746,A835,'Base bordo'!B$2:B$746,B835,'Base bordo'!F$2:F$746,"MANOBRA CARRETAS-PATIO"),0)</f>
        <v>6.0491666666666664</v>
      </c>
      <c r="J835" s="10">
        <f>IFERROR(SUMIFS('Base bordo'!G$2:G$746,'Base bordo'!C$2:C$746,A835,'Base bordo'!B$2:B$746,B835,'Base bordo'!F$2:F$746,"BALANÇA - ENTRADA"),0)+IFERROR(SUMIFS('Base bordo'!G$2:G$746,'Base bordo'!C$2:C$746,A835,'Base bordo'!B$2:B$746,B835,'Base bordo'!F$2:F$746,"BALANÇA - SAÍDA"),0)</f>
        <v>4.1944444444444444E-2</v>
      </c>
      <c r="K835" s="10">
        <f>IFERROR(SUMIFS('Base bordo'!G$2:G$746,'Base bordo'!C$2:C$746,A835,'Base bordo'!B$2:B$746,B835,'Base bordo'!F$2:F$746,"MAN PREVENTIVA - MECANICA"),0)+IFERROR(SUMIFS('Base bordo'!G$2:G$746,'Base bordo'!C$2:C$746,A835,'Base bordo'!B$2:B$746,B835,'Base bordo'!F$2:F$746,"MAN CORRETIVA - MECANICA"),0)</f>
        <v>0</v>
      </c>
      <c r="L835" s="10">
        <f>IFERROR(SUMIFS('Base bordo'!G$2:G$746,'Base bordo'!C$2:C$746,A835,'Base bordo'!B$2:B$746,B835,'Base bordo'!F$2:F$746,"MANUTENCAO - T O"),0)+IFERROR(SUMIFS('Base bordo'!G$2:G$746,'Base bordo'!C$2:C$746,A835,'Base bordo'!B$2:B$746,B835,'Base bordo'!F$2:F$746,"MANUTENCAO BORRACHARIA"),0)+IFERROR(SUMIFS('Base bordo'!G$2:G$746,'Base bordo'!C$2:C$746,A835,'Base bordo'!B$2:B$746,B835,'Base bordo'!F$2:F$746,"MANUTENCAO EXTERNA  CONCESSIONARIA"),0)+IFERROR(SUMIFS('Base bordo'!G$2:G$746,'Base bordo'!C$2:C$746,A835,'Base bordo'!B$2:B$746,B835,'Base bordo'!F$2:F$746,"MANUTENCAO TELEMETRIA"),0)</f>
        <v>0</v>
      </c>
      <c r="M835" s="10">
        <f>IFERROR(SUMIFS('Base bordo'!G$2:G$746,'Base bordo'!C$2:C$746,A835,'Base bordo'!B$2:B$746,B835,'Base bordo'!F$2:F$746,"AGUARDANDO MANUTENCAO"),0)</f>
        <v>0</v>
      </c>
      <c r="N835" s="10">
        <f>IFERROR(SUMIFS('Base bordo'!G$2:G$746,'Base bordo'!C$2:C$746,A835,'Base bordo'!B$2:B$746,B835,'Base bordo'!F$2:F$746,"SEM APONTAMENTO"),0)</f>
        <v>0</v>
      </c>
      <c r="O835" s="10">
        <f t="shared" si="84"/>
        <v>0</v>
      </c>
      <c r="P835" s="10">
        <f>IFERROR(SUMIFS('Base bordo'!G$2:G$746,'Base bordo'!C$2:C$746,A835,'Base bordo'!B$2:B$746,B835),0)</f>
        <v>9.5794444444444444</v>
      </c>
      <c r="Q835" s="10">
        <f>IFERROR(SUMIFS('Base bordo'!H$2:H$746,'Base bordo'!C$2:C$746,A835,'Base bordo'!B$2:B$746,B835,'Base bordo'!F$2:F$746,"DESLOCAMENTO VAZIO"),0)</f>
        <v>4979.08</v>
      </c>
      <c r="R835" s="10">
        <f>IFERROR(SUMIFS('Base bordo'!I$2:I$746,'Base bordo'!C$2:C$746,A835,'Base bordo'!B$2:B$746,B835,'Base bordo'!F$2:F$746,"DESLOCAMENTO VAZIO"),0)</f>
        <v>532</v>
      </c>
      <c r="S835" s="30">
        <f t="shared" si="85"/>
        <v>9.3591729323308268</v>
      </c>
      <c r="T835" s="10">
        <f>IFERROR(SUMIFS('Base bordo'!H$2:H$746,'Base bordo'!C$2:C$746,A835,'Base bordo'!B$2:B$746,B835,'Base bordo'!F$2:F$746,"DESLOCAMENTO CARREGADO"),0)</f>
        <v>214024.57</v>
      </c>
      <c r="U835" s="10">
        <f>IFERROR(SUMIFS('Base bordo'!I$2:I$746,'Base bordo'!C$2:C$746,A835,'Base bordo'!B$2:B$746,B835,'Base bordo'!F$2:F$746,"DESLOCAMENTO CARREGADO"),0)</f>
        <v>12026</v>
      </c>
      <c r="V835" s="30">
        <f t="shared" si="86"/>
        <v>17.796821054382171</v>
      </c>
      <c r="W835" s="9">
        <f t="shared" si="87"/>
        <v>1.5426549904308995E-2</v>
      </c>
      <c r="X835" s="9">
        <f t="shared" si="88"/>
        <v>0.34872122020530072</v>
      </c>
      <c r="Y835" s="9">
        <f t="shared" si="89"/>
        <v>0.63585222989039036</v>
      </c>
    </row>
    <row r="836" spans="1:25" ht="15" customHeight="1" x14ac:dyDescent="0.35">
      <c r="A836" s="52">
        <v>8013484</v>
      </c>
      <c r="B836" s="51">
        <v>46118</v>
      </c>
      <c r="C836" s="7" t="s">
        <v>124</v>
      </c>
      <c r="D836" s="10">
        <f>IFERROR(SUMIFS('Base bordo'!G$2:G$746,'Base bordo'!C$2:C$746,A836,'Base bordo'!B$2:B$746,B836,'Base bordo'!F$2:F$746,"DESLOCAMENTO VAZIO"),0)</f>
        <v>0.14777777777777779</v>
      </c>
      <c r="E836" s="10">
        <f>IFERROR(SUMIFS('Base bordo'!G$2:G$746,'Base bordo'!C$2:C$746,A836,'Base bordo'!B$2:B$746,B836,'Base bordo'!F$2:F$746,"DESLOCAMENTO CARREGADO"),0)</f>
        <v>3.3405555555555555</v>
      </c>
      <c r="F836" s="10">
        <f>IFERROR(SUMIFS('Base bordo'!G$2:G$746,'Base bordo'!C$2:C$746,A836,'Base bordo'!B$2:B$746,B836,'Base bordo'!F$2:F$746,"DESLOCAMENTO"),0)</f>
        <v>0</v>
      </c>
      <c r="G836" s="10">
        <f>IFERROR(SUMIFS('Base bordo'!G$2:G$746,'Base bordo'!C$2:C$746,A836,'Base bordo'!B$2:B$746,B836,'Base bordo'!F$2:F$746,"CARREGAMENTO"),0)</f>
        <v>0</v>
      </c>
      <c r="H836" s="10">
        <f>IFERROR(SUMIFS('Base bordo'!G$2:G$746,'Base bordo'!C$2:C$746,A836,'Base bordo'!B$2:B$746,B836,'Base bordo'!F$2:F$746,"AGUARDANDO TRANSBORDO"),0)</f>
        <v>0</v>
      </c>
      <c r="I836" s="10">
        <f>IFERROR(SUMIFS('Base bordo'!G$2:G$746,'Base bordo'!C$2:C$746,A836,'Base bordo'!B$2:B$746,B836,'Base bordo'!F$2:F$746,"PÁTIO INTERNO"),0)+IFERROR(SUMIFS('Base bordo'!G$2:G$746,'Base bordo'!C$2:C$746,A836,'Base bordo'!B$2:B$746,B836,'Base bordo'!F$2:F$746,"PÁTIO EXTERNO"),0)+IFERROR(SUMIFS('Base bordo'!G$2:G$746,'Base bordo'!C$2:C$746,A836,'Base bordo'!B$2:B$746,B836,'Base bordo'!F$2:F$746,"PATIO - RESERVA"),0)+IFERROR(SUMIFS('Base bordo'!G$2:G$746,'Base bordo'!C$2:C$746,A836,'Base bordo'!B$2:B$746,B836,'Base bordo'!F$2:F$746,"MANOBRA CARRETAS-PATIO"),0)</f>
        <v>6.0491666666666664</v>
      </c>
      <c r="J836" s="10">
        <f>IFERROR(SUMIFS('Base bordo'!G$2:G$746,'Base bordo'!C$2:C$746,A836,'Base bordo'!B$2:B$746,B836,'Base bordo'!F$2:F$746,"BALANÇA - ENTRADA"),0)+IFERROR(SUMIFS('Base bordo'!G$2:G$746,'Base bordo'!C$2:C$746,A836,'Base bordo'!B$2:B$746,B836,'Base bordo'!F$2:F$746,"BALANÇA - SAÍDA"),0)</f>
        <v>4.1944444444444444E-2</v>
      </c>
      <c r="K836" s="10">
        <f>IFERROR(SUMIFS('Base bordo'!G$2:G$746,'Base bordo'!C$2:C$746,A836,'Base bordo'!B$2:B$746,B836,'Base bordo'!F$2:F$746,"MAN PREVENTIVA - MECANICA"),0)+IFERROR(SUMIFS('Base bordo'!G$2:G$746,'Base bordo'!C$2:C$746,A836,'Base bordo'!B$2:B$746,B836,'Base bordo'!F$2:F$746,"MAN CORRETIVA - MECANICA"),0)</f>
        <v>0</v>
      </c>
      <c r="L836" s="10">
        <f>IFERROR(SUMIFS('Base bordo'!G$2:G$746,'Base bordo'!C$2:C$746,A836,'Base bordo'!B$2:B$746,B836,'Base bordo'!F$2:F$746,"MANUTENCAO - T O"),0)+IFERROR(SUMIFS('Base bordo'!G$2:G$746,'Base bordo'!C$2:C$746,A836,'Base bordo'!B$2:B$746,B836,'Base bordo'!F$2:F$746,"MANUTENCAO BORRACHARIA"),0)+IFERROR(SUMIFS('Base bordo'!G$2:G$746,'Base bordo'!C$2:C$746,A836,'Base bordo'!B$2:B$746,B836,'Base bordo'!F$2:F$746,"MANUTENCAO EXTERNA  CONCESSIONARIA"),0)+IFERROR(SUMIFS('Base bordo'!G$2:G$746,'Base bordo'!C$2:C$746,A836,'Base bordo'!B$2:B$746,B836,'Base bordo'!F$2:F$746,"MANUTENCAO TELEMETRIA"),0)</f>
        <v>0</v>
      </c>
      <c r="M836" s="10">
        <f>IFERROR(SUMIFS('Base bordo'!G$2:G$746,'Base bordo'!C$2:C$746,A836,'Base bordo'!B$2:B$746,B836,'Base bordo'!F$2:F$746,"AGUARDANDO MANUTENCAO"),0)</f>
        <v>0</v>
      </c>
      <c r="N836" s="10">
        <f>IFERROR(SUMIFS('Base bordo'!G$2:G$746,'Base bordo'!C$2:C$746,A836,'Base bordo'!B$2:B$746,B836,'Base bordo'!F$2:F$746,"SEM APONTAMENTO"),0)</f>
        <v>0</v>
      </c>
      <c r="O836" s="10">
        <f t="shared" si="84"/>
        <v>0</v>
      </c>
      <c r="P836" s="10">
        <f>IFERROR(SUMIFS('Base bordo'!G$2:G$746,'Base bordo'!C$2:C$746,A836,'Base bordo'!B$2:B$746,B836),0)</f>
        <v>9.5794444444444444</v>
      </c>
      <c r="Q836" s="10">
        <f>IFERROR(SUMIFS('Base bordo'!H$2:H$746,'Base bordo'!C$2:C$746,A836,'Base bordo'!B$2:B$746,B836,'Base bordo'!F$2:F$746,"DESLOCAMENTO VAZIO"),0)</f>
        <v>4979.08</v>
      </c>
      <c r="R836" s="10">
        <f>IFERROR(SUMIFS('Base bordo'!I$2:I$746,'Base bordo'!C$2:C$746,A836,'Base bordo'!B$2:B$746,B836,'Base bordo'!F$2:F$746,"DESLOCAMENTO VAZIO"),0)</f>
        <v>532</v>
      </c>
      <c r="S836" s="30">
        <f t="shared" si="85"/>
        <v>9.3591729323308268</v>
      </c>
      <c r="T836" s="10">
        <f>IFERROR(SUMIFS('Base bordo'!H$2:H$746,'Base bordo'!C$2:C$746,A836,'Base bordo'!B$2:B$746,B836,'Base bordo'!F$2:F$746,"DESLOCAMENTO CARREGADO"),0)</f>
        <v>214024.57</v>
      </c>
      <c r="U836" s="10">
        <f>IFERROR(SUMIFS('Base bordo'!I$2:I$746,'Base bordo'!C$2:C$746,A836,'Base bordo'!B$2:B$746,B836,'Base bordo'!F$2:F$746,"DESLOCAMENTO CARREGADO"),0)</f>
        <v>12026</v>
      </c>
      <c r="V836" s="30">
        <f t="shared" si="86"/>
        <v>17.796821054382171</v>
      </c>
      <c r="W836" s="9">
        <f t="shared" si="87"/>
        <v>1.5426549904308995E-2</v>
      </c>
      <c r="X836" s="9">
        <f t="shared" si="88"/>
        <v>0.34872122020530072</v>
      </c>
      <c r="Y836" s="9">
        <f t="shared" si="89"/>
        <v>0.63585222989039036</v>
      </c>
    </row>
    <row r="837" spans="1:25" ht="15" customHeight="1" x14ac:dyDescent="0.35">
      <c r="A837" s="52">
        <v>8013484</v>
      </c>
      <c r="B837" s="51">
        <v>46118</v>
      </c>
      <c r="C837" s="7" t="s">
        <v>124</v>
      </c>
      <c r="D837" s="10">
        <f>IFERROR(SUMIFS('Base bordo'!G$2:G$746,'Base bordo'!C$2:C$746,A837,'Base bordo'!B$2:B$746,B837,'Base bordo'!F$2:F$746,"DESLOCAMENTO VAZIO"),0)</f>
        <v>0.14777777777777779</v>
      </c>
      <c r="E837" s="10">
        <f>IFERROR(SUMIFS('Base bordo'!G$2:G$746,'Base bordo'!C$2:C$746,A837,'Base bordo'!B$2:B$746,B837,'Base bordo'!F$2:F$746,"DESLOCAMENTO CARREGADO"),0)</f>
        <v>3.3405555555555555</v>
      </c>
      <c r="F837" s="10">
        <f>IFERROR(SUMIFS('Base bordo'!G$2:G$746,'Base bordo'!C$2:C$746,A837,'Base bordo'!B$2:B$746,B837,'Base bordo'!F$2:F$746,"DESLOCAMENTO"),0)</f>
        <v>0</v>
      </c>
      <c r="G837" s="10">
        <f>IFERROR(SUMIFS('Base bordo'!G$2:G$746,'Base bordo'!C$2:C$746,A837,'Base bordo'!B$2:B$746,B837,'Base bordo'!F$2:F$746,"CARREGAMENTO"),0)</f>
        <v>0</v>
      </c>
      <c r="H837" s="10">
        <f>IFERROR(SUMIFS('Base bordo'!G$2:G$746,'Base bordo'!C$2:C$746,A837,'Base bordo'!B$2:B$746,B837,'Base bordo'!F$2:F$746,"AGUARDANDO TRANSBORDO"),0)</f>
        <v>0</v>
      </c>
      <c r="I837" s="10">
        <f>IFERROR(SUMIFS('Base bordo'!G$2:G$746,'Base bordo'!C$2:C$746,A837,'Base bordo'!B$2:B$746,B837,'Base bordo'!F$2:F$746,"PÁTIO INTERNO"),0)+IFERROR(SUMIFS('Base bordo'!G$2:G$746,'Base bordo'!C$2:C$746,A837,'Base bordo'!B$2:B$746,B837,'Base bordo'!F$2:F$746,"PÁTIO EXTERNO"),0)+IFERROR(SUMIFS('Base bordo'!G$2:G$746,'Base bordo'!C$2:C$746,A837,'Base bordo'!B$2:B$746,B837,'Base bordo'!F$2:F$746,"PATIO - RESERVA"),0)+IFERROR(SUMIFS('Base bordo'!G$2:G$746,'Base bordo'!C$2:C$746,A837,'Base bordo'!B$2:B$746,B837,'Base bordo'!F$2:F$746,"MANOBRA CARRETAS-PATIO"),0)</f>
        <v>6.0491666666666664</v>
      </c>
      <c r="J837" s="10">
        <f>IFERROR(SUMIFS('Base bordo'!G$2:G$746,'Base bordo'!C$2:C$746,A837,'Base bordo'!B$2:B$746,B837,'Base bordo'!F$2:F$746,"BALANÇA - ENTRADA"),0)+IFERROR(SUMIFS('Base bordo'!G$2:G$746,'Base bordo'!C$2:C$746,A837,'Base bordo'!B$2:B$746,B837,'Base bordo'!F$2:F$746,"BALANÇA - SAÍDA"),0)</f>
        <v>4.1944444444444444E-2</v>
      </c>
      <c r="K837" s="10">
        <f>IFERROR(SUMIFS('Base bordo'!G$2:G$746,'Base bordo'!C$2:C$746,A837,'Base bordo'!B$2:B$746,B837,'Base bordo'!F$2:F$746,"MAN PREVENTIVA - MECANICA"),0)+IFERROR(SUMIFS('Base bordo'!G$2:G$746,'Base bordo'!C$2:C$746,A837,'Base bordo'!B$2:B$746,B837,'Base bordo'!F$2:F$746,"MAN CORRETIVA - MECANICA"),0)</f>
        <v>0</v>
      </c>
      <c r="L837" s="10">
        <f>IFERROR(SUMIFS('Base bordo'!G$2:G$746,'Base bordo'!C$2:C$746,A837,'Base bordo'!B$2:B$746,B837,'Base bordo'!F$2:F$746,"MANUTENCAO - T O"),0)+IFERROR(SUMIFS('Base bordo'!G$2:G$746,'Base bordo'!C$2:C$746,A837,'Base bordo'!B$2:B$746,B837,'Base bordo'!F$2:F$746,"MANUTENCAO BORRACHARIA"),0)+IFERROR(SUMIFS('Base bordo'!G$2:G$746,'Base bordo'!C$2:C$746,A837,'Base bordo'!B$2:B$746,B837,'Base bordo'!F$2:F$746,"MANUTENCAO EXTERNA  CONCESSIONARIA"),0)+IFERROR(SUMIFS('Base bordo'!G$2:G$746,'Base bordo'!C$2:C$746,A837,'Base bordo'!B$2:B$746,B837,'Base bordo'!F$2:F$746,"MANUTENCAO TELEMETRIA"),0)</f>
        <v>0</v>
      </c>
      <c r="M837" s="10">
        <f>IFERROR(SUMIFS('Base bordo'!G$2:G$746,'Base bordo'!C$2:C$746,A837,'Base bordo'!B$2:B$746,B837,'Base bordo'!F$2:F$746,"AGUARDANDO MANUTENCAO"),0)</f>
        <v>0</v>
      </c>
      <c r="N837" s="10">
        <f>IFERROR(SUMIFS('Base bordo'!G$2:G$746,'Base bordo'!C$2:C$746,A837,'Base bordo'!B$2:B$746,B837,'Base bordo'!F$2:F$746,"SEM APONTAMENTO"),0)</f>
        <v>0</v>
      </c>
      <c r="O837" s="10">
        <f t="shared" si="84"/>
        <v>0</v>
      </c>
      <c r="P837" s="10">
        <f>IFERROR(SUMIFS('Base bordo'!G$2:G$746,'Base bordo'!C$2:C$746,A837,'Base bordo'!B$2:B$746,B837),0)</f>
        <v>9.5794444444444444</v>
      </c>
      <c r="Q837" s="10">
        <f>IFERROR(SUMIFS('Base bordo'!H$2:H$746,'Base bordo'!C$2:C$746,A837,'Base bordo'!B$2:B$746,B837,'Base bordo'!F$2:F$746,"DESLOCAMENTO VAZIO"),0)</f>
        <v>4979.08</v>
      </c>
      <c r="R837" s="10">
        <f>IFERROR(SUMIFS('Base bordo'!I$2:I$746,'Base bordo'!C$2:C$746,A837,'Base bordo'!B$2:B$746,B837,'Base bordo'!F$2:F$746,"DESLOCAMENTO VAZIO"),0)</f>
        <v>532</v>
      </c>
      <c r="S837" s="30">
        <f t="shared" si="85"/>
        <v>9.3591729323308268</v>
      </c>
      <c r="T837" s="10">
        <f>IFERROR(SUMIFS('Base bordo'!H$2:H$746,'Base bordo'!C$2:C$746,A837,'Base bordo'!B$2:B$746,B837,'Base bordo'!F$2:F$746,"DESLOCAMENTO CARREGADO"),0)</f>
        <v>214024.57</v>
      </c>
      <c r="U837" s="10">
        <f>IFERROR(SUMIFS('Base bordo'!I$2:I$746,'Base bordo'!C$2:C$746,A837,'Base bordo'!B$2:B$746,B837,'Base bordo'!F$2:F$746,"DESLOCAMENTO CARREGADO"),0)</f>
        <v>12026</v>
      </c>
      <c r="V837" s="30">
        <f t="shared" si="86"/>
        <v>17.796821054382171</v>
      </c>
      <c r="W837" s="9">
        <f t="shared" si="87"/>
        <v>1.5426549904308995E-2</v>
      </c>
      <c r="X837" s="9">
        <f t="shared" si="88"/>
        <v>0.34872122020530072</v>
      </c>
      <c r="Y837" s="9">
        <f t="shared" si="89"/>
        <v>0.63585222989039036</v>
      </c>
    </row>
    <row r="838" spans="1:25" ht="15" customHeight="1" x14ac:dyDescent="0.35">
      <c r="A838" s="52">
        <v>8013485</v>
      </c>
      <c r="B838" s="51">
        <v>46118</v>
      </c>
      <c r="C838" s="7" t="s">
        <v>124</v>
      </c>
      <c r="D838" s="10">
        <f>IFERROR(SUMIFS('Base bordo'!G$2:G$746,'Base bordo'!C$2:C$746,A838,'Base bordo'!B$2:B$746,B838,'Base bordo'!F$2:F$746,"DESLOCAMENTO VAZIO"),0)</f>
        <v>0.89111111111111108</v>
      </c>
      <c r="E838" s="10">
        <f>IFERROR(SUMIFS('Base bordo'!G$2:G$746,'Base bordo'!C$2:C$746,A838,'Base bordo'!B$2:B$746,B838,'Base bordo'!F$2:F$746,"DESLOCAMENTO CARREGADO"),0)</f>
        <v>0.77444444444444449</v>
      </c>
      <c r="F838" s="10">
        <f>IFERROR(SUMIFS('Base bordo'!G$2:G$746,'Base bordo'!C$2:C$746,A838,'Base bordo'!B$2:B$746,B838,'Base bordo'!F$2:F$746,"DESLOCAMENTO"),0)</f>
        <v>1.0216666666666667</v>
      </c>
      <c r="G838" s="10">
        <f>IFERROR(SUMIFS('Base bordo'!G$2:G$746,'Base bordo'!C$2:C$746,A838,'Base bordo'!B$2:B$746,B838,'Base bordo'!F$2:F$746,"CARREGAMENTO"),0)</f>
        <v>0</v>
      </c>
      <c r="H838" s="10">
        <f>IFERROR(SUMIFS('Base bordo'!G$2:G$746,'Base bordo'!C$2:C$746,A838,'Base bordo'!B$2:B$746,B838,'Base bordo'!F$2:F$746,"AGUARDANDO TRANSBORDO"),0)</f>
        <v>0.33083333333333331</v>
      </c>
      <c r="I838" s="10">
        <f>IFERROR(SUMIFS('Base bordo'!G$2:G$746,'Base bordo'!C$2:C$746,A838,'Base bordo'!B$2:B$746,B838,'Base bordo'!F$2:F$746,"PÁTIO INTERNO"),0)+IFERROR(SUMIFS('Base bordo'!G$2:G$746,'Base bordo'!C$2:C$746,A838,'Base bordo'!B$2:B$746,B838,'Base bordo'!F$2:F$746,"PÁTIO EXTERNO"),0)+IFERROR(SUMIFS('Base bordo'!G$2:G$746,'Base bordo'!C$2:C$746,A838,'Base bordo'!B$2:B$746,B838,'Base bordo'!F$2:F$746,"PATIO - RESERVA"),0)+IFERROR(SUMIFS('Base bordo'!G$2:G$746,'Base bordo'!C$2:C$746,A838,'Base bordo'!B$2:B$746,B838,'Base bordo'!F$2:F$746,"MANOBRA CARRETAS-PATIO"),0)</f>
        <v>10.650555555555554</v>
      </c>
      <c r="J838" s="10">
        <f>IFERROR(SUMIFS('Base bordo'!G$2:G$746,'Base bordo'!C$2:C$746,A838,'Base bordo'!B$2:B$746,B838,'Base bordo'!F$2:F$746,"BALANÇA - ENTRADA"),0)+IFERROR(SUMIFS('Base bordo'!G$2:G$746,'Base bordo'!C$2:C$746,A838,'Base bordo'!B$2:B$746,B838,'Base bordo'!F$2:F$746,"BALANÇA - SAÍDA"),0)</f>
        <v>3.6388888888888887E-2</v>
      </c>
      <c r="K838" s="10">
        <f>IFERROR(SUMIFS('Base bordo'!G$2:G$746,'Base bordo'!C$2:C$746,A838,'Base bordo'!B$2:B$746,B838,'Base bordo'!F$2:F$746,"MAN PREVENTIVA - MECANICA"),0)+IFERROR(SUMIFS('Base bordo'!G$2:G$746,'Base bordo'!C$2:C$746,A838,'Base bordo'!B$2:B$746,B838,'Base bordo'!F$2:F$746,"MAN CORRETIVA - MECANICA"),0)</f>
        <v>0</v>
      </c>
      <c r="L838" s="10">
        <f>IFERROR(SUMIFS('Base bordo'!G$2:G$746,'Base bordo'!C$2:C$746,A838,'Base bordo'!B$2:B$746,B838,'Base bordo'!F$2:F$746,"MANUTENCAO - T O"),0)+IFERROR(SUMIFS('Base bordo'!G$2:G$746,'Base bordo'!C$2:C$746,A838,'Base bordo'!B$2:B$746,B838,'Base bordo'!F$2:F$746,"MANUTENCAO BORRACHARIA"),0)+IFERROR(SUMIFS('Base bordo'!G$2:G$746,'Base bordo'!C$2:C$746,A838,'Base bordo'!B$2:B$746,B838,'Base bordo'!F$2:F$746,"MANUTENCAO EXTERNA  CONCESSIONARIA"),0)+IFERROR(SUMIFS('Base bordo'!G$2:G$746,'Base bordo'!C$2:C$746,A838,'Base bordo'!B$2:B$746,B838,'Base bordo'!F$2:F$746,"MANUTENCAO TELEMETRIA"),0)</f>
        <v>0</v>
      </c>
      <c r="M838" s="10">
        <f>IFERROR(SUMIFS('Base bordo'!G$2:G$746,'Base bordo'!C$2:C$746,A838,'Base bordo'!B$2:B$746,B838,'Base bordo'!F$2:F$746,"AGUARDANDO MANUTENCAO"),0)</f>
        <v>0</v>
      </c>
      <c r="N838" s="10">
        <f>IFERROR(SUMIFS('Base bordo'!G$2:G$746,'Base bordo'!C$2:C$746,A838,'Base bordo'!B$2:B$746,B838,'Base bordo'!F$2:F$746,"SEM APONTAMENTO"),0)</f>
        <v>0</v>
      </c>
      <c r="O838" s="10">
        <f t="shared" si="84"/>
        <v>-1.7763568394002505E-15</v>
      </c>
      <c r="P838" s="10">
        <f>IFERROR(SUMIFS('Base bordo'!G$2:G$746,'Base bordo'!C$2:C$746,A838,'Base bordo'!B$2:B$746,B838),0)</f>
        <v>13.704999999999997</v>
      </c>
      <c r="Q838" s="10">
        <f>IFERROR(SUMIFS('Base bordo'!H$2:H$746,'Base bordo'!C$2:C$746,A838,'Base bordo'!B$2:B$746,B838,'Base bordo'!F$2:F$746,"DESLOCAMENTO VAZIO"),0)</f>
        <v>68224.05</v>
      </c>
      <c r="R838" s="10">
        <f>IFERROR(SUMIFS('Base bordo'!I$2:I$746,'Base bordo'!C$2:C$746,A838,'Base bordo'!B$2:B$746,B838,'Base bordo'!F$2:F$746,"DESLOCAMENTO VAZIO"),0)</f>
        <v>3208</v>
      </c>
      <c r="S838" s="30">
        <f t="shared" si="85"/>
        <v>21.266848503740651</v>
      </c>
      <c r="T838" s="10">
        <f>IFERROR(SUMIFS('Base bordo'!H$2:H$746,'Base bordo'!C$2:C$746,A838,'Base bordo'!B$2:B$746,B838,'Base bordo'!F$2:F$746,"DESLOCAMENTO CARREGADO"),0)</f>
        <v>68053.69</v>
      </c>
      <c r="U838" s="10">
        <f>IFERROR(SUMIFS('Base bordo'!I$2:I$746,'Base bordo'!C$2:C$746,A838,'Base bordo'!B$2:B$746,B838,'Base bordo'!F$2:F$746,"DESLOCAMENTO CARREGADO"),0)</f>
        <v>2788</v>
      </c>
      <c r="V838" s="30">
        <f t="shared" si="86"/>
        <v>24.40950143472023</v>
      </c>
      <c r="W838" s="9">
        <f t="shared" si="87"/>
        <v>6.5020876403583464E-2</v>
      </c>
      <c r="X838" s="9">
        <f t="shared" si="88"/>
        <v>5.6508168146256456E-2</v>
      </c>
      <c r="Y838" s="9">
        <f t="shared" si="89"/>
        <v>0.87847095545016007</v>
      </c>
    </row>
    <row r="839" spans="1:25" ht="15" customHeight="1" x14ac:dyDescent="0.35">
      <c r="A839" s="52">
        <v>8013485</v>
      </c>
      <c r="B839" s="51">
        <v>46118</v>
      </c>
      <c r="C839" s="7" t="s">
        <v>124</v>
      </c>
      <c r="D839" s="10">
        <f>IFERROR(SUMIFS('Base bordo'!G$2:G$746,'Base bordo'!C$2:C$746,A839,'Base bordo'!B$2:B$746,B839,'Base bordo'!F$2:F$746,"DESLOCAMENTO VAZIO"),0)</f>
        <v>0.89111111111111108</v>
      </c>
      <c r="E839" s="10">
        <f>IFERROR(SUMIFS('Base bordo'!G$2:G$746,'Base bordo'!C$2:C$746,A839,'Base bordo'!B$2:B$746,B839,'Base bordo'!F$2:F$746,"DESLOCAMENTO CARREGADO"),0)</f>
        <v>0.77444444444444449</v>
      </c>
      <c r="F839" s="10">
        <f>IFERROR(SUMIFS('Base bordo'!G$2:G$746,'Base bordo'!C$2:C$746,A839,'Base bordo'!B$2:B$746,B839,'Base bordo'!F$2:F$746,"DESLOCAMENTO"),0)</f>
        <v>1.0216666666666667</v>
      </c>
      <c r="G839" s="10">
        <f>IFERROR(SUMIFS('Base bordo'!G$2:G$746,'Base bordo'!C$2:C$746,A839,'Base bordo'!B$2:B$746,B839,'Base bordo'!F$2:F$746,"CARREGAMENTO"),0)</f>
        <v>0</v>
      </c>
      <c r="H839" s="10">
        <f>IFERROR(SUMIFS('Base bordo'!G$2:G$746,'Base bordo'!C$2:C$746,A839,'Base bordo'!B$2:B$746,B839,'Base bordo'!F$2:F$746,"AGUARDANDO TRANSBORDO"),0)</f>
        <v>0.33083333333333331</v>
      </c>
      <c r="I839" s="10">
        <f>IFERROR(SUMIFS('Base bordo'!G$2:G$746,'Base bordo'!C$2:C$746,A839,'Base bordo'!B$2:B$746,B839,'Base bordo'!F$2:F$746,"PÁTIO INTERNO"),0)+IFERROR(SUMIFS('Base bordo'!G$2:G$746,'Base bordo'!C$2:C$746,A839,'Base bordo'!B$2:B$746,B839,'Base bordo'!F$2:F$746,"PÁTIO EXTERNO"),0)+IFERROR(SUMIFS('Base bordo'!G$2:G$746,'Base bordo'!C$2:C$746,A839,'Base bordo'!B$2:B$746,B839,'Base bordo'!F$2:F$746,"PATIO - RESERVA"),0)+IFERROR(SUMIFS('Base bordo'!G$2:G$746,'Base bordo'!C$2:C$746,A839,'Base bordo'!B$2:B$746,B839,'Base bordo'!F$2:F$746,"MANOBRA CARRETAS-PATIO"),0)</f>
        <v>10.650555555555554</v>
      </c>
      <c r="J839" s="10">
        <f>IFERROR(SUMIFS('Base bordo'!G$2:G$746,'Base bordo'!C$2:C$746,A839,'Base bordo'!B$2:B$746,B839,'Base bordo'!F$2:F$746,"BALANÇA - ENTRADA"),0)+IFERROR(SUMIFS('Base bordo'!G$2:G$746,'Base bordo'!C$2:C$746,A839,'Base bordo'!B$2:B$746,B839,'Base bordo'!F$2:F$746,"BALANÇA - SAÍDA"),0)</f>
        <v>3.6388888888888887E-2</v>
      </c>
      <c r="K839" s="10">
        <f>IFERROR(SUMIFS('Base bordo'!G$2:G$746,'Base bordo'!C$2:C$746,A839,'Base bordo'!B$2:B$746,B839,'Base bordo'!F$2:F$746,"MAN PREVENTIVA - MECANICA"),0)+IFERROR(SUMIFS('Base bordo'!G$2:G$746,'Base bordo'!C$2:C$746,A839,'Base bordo'!B$2:B$746,B839,'Base bordo'!F$2:F$746,"MAN CORRETIVA - MECANICA"),0)</f>
        <v>0</v>
      </c>
      <c r="L839" s="10">
        <f>IFERROR(SUMIFS('Base bordo'!G$2:G$746,'Base bordo'!C$2:C$746,A839,'Base bordo'!B$2:B$746,B839,'Base bordo'!F$2:F$746,"MANUTENCAO - T O"),0)+IFERROR(SUMIFS('Base bordo'!G$2:G$746,'Base bordo'!C$2:C$746,A839,'Base bordo'!B$2:B$746,B839,'Base bordo'!F$2:F$746,"MANUTENCAO BORRACHARIA"),0)+IFERROR(SUMIFS('Base bordo'!G$2:G$746,'Base bordo'!C$2:C$746,A839,'Base bordo'!B$2:B$746,B839,'Base bordo'!F$2:F$746,"MANUTENCAO EXTERNA  CONCESSIONARIA"),0)+IFERROR(SUMIFS('Base bordo'!G$2:G$746,'Base bordo'!C$2:C$746,A839,'Base bordo'!B$2:B$746,B839,'Base bordo'!F$2:F$746,"MANUTENCAO TELEMETRIA"),0)</f>
        <v>0</v>
      </c>
      <c r="M839" s="10">
        <f>IFERROR(SUMIFS('Base bordo'!G$2:G$746,'Base bordo'!C$2:C$746,A839,'Base bordo'!B$2:B$746,B839,'Base bordo'!F$2:F$746,"AGUARDANDO MANUTENCAO"),0)</f>
        <v>0</v>
      </c>
      <c r="N839" s="10">
        <f>IFERROR(SUMIFS('Base bordo'!G$2:G$746,'Base bordo'!C$2:C$746,A839,'Base bordo'!B$2:B$746,B839,'Base bordo'!F$2:F$746,"SEM APONTAMENTO"),0)</f>
        <v>0</v>
      </c>
      <c r="O839" s="10">
        <f t="shared" si="84"/>
        <v>-1.7763568394002505E-15</v>
      </c>
      <c r="P839" s="10">
        <f>IFERROR(SUMIFS('Base bordo'!G$2:G$746,'Base bordo'!C$2:C$746,A839,'Base bordo'!B$2:B$746,B839),0)</f>
        <v>13.704999999999997</v>
      </c>
      <c r="Q839" s="10">
        <f>IFERROR(SUMIFS('Base bordo'!H$2:H$746,'Base bordo'!C$2:C$746,A839,'Base bordo'!B$2:B$746,B839,'Base bordo'!F$2:F$746,"DESLOCAMENTO VAZIO"),0)</f>
        <v>68224.05</v>
      </c>
      <c r="R839" s="10">
        <f>IFERROR(SUMIFS('Base bordo'!I$2:I$746,'Base bordo'!C$2:C$746,A839,'Base bordo'!B$2:B$746,B839,'Base bordo'!F$2:F$746,"DESLOCAMENTO VAZIO"),0)</f>
        <v>3208</v>
      </c>
      <c r="S839" s="30">
        <f t="shared" si="85"/>
        <v>21.266848503740651</v>
      </c>
      <c r="T839" s="10">
        <f>IFERROR(SUMIFS('Base bordo'!H$2:H$746,'Base bordo'!C$2:C$746,A839,'Base bordo'!B$2:B$746,B839,'Base bordo'!F$2:F$746,"DESLOCAMENTO CARREGADO"),0)</f>
        <v>68053.69</v>
      </c>
      <c r="U839" s="10">
        <f>IFERROR(SUMIFS('Base bordo'!I$2:I$746,'Base bordo'!C$2:C$746,A839,'Base bordo'!B$2:B$746,B839,'Base bordo'!F$2:F$746,"DESLOCAMENTO CARREGADO"),0)</f>
        <v>2788</v>
      </c>
      <c r="V839" s="30">
        <f t="shared" si="86"/>
        <v>24.40950143472023</v>
      </c>
      <c r="W839" s="9">
        <f t="shared" si="87"/>
        <v>6.5020876403583464E-2</v>
      </c>
      <c r="X839" s="9">
        <f t="shared" si="88"/>
        <v>5.6508168146256456E-2</v>
      </c>
      <c r="Y839" s="9">
        <f t="shared" si="89"/>
        <v>0.87847095545016007</v>
      </c>
    </row>
    <row r="840" spans="1:25" ht="15" customHeight="1" x14ac:dyDescent="0.35">
      <c r="A840" s="52">
        <v>8013485</v>
      </c>
      <c r="B840" s="51">
        <v>46118</v>
      </c>
      <c r="C840" s="7" t="s">
        <v>124</v>
      </c>
      <c r="D840" s="10">
        <f>IFERROR(SUMIFS('Base bordo'!G$2:G$746,'Base bordo'!C$2:C$746,A840,'Base bordo'!B$2:B$746,B840,'Base bordo'!F$2:F$746,"DESLOCAMENTO VAZIO"),0)</f>
        <v>0.89111111111111108</v>
      </c>
      <c r="E840" s="10">
        <f>IFERROR(SUMIFS('Base bordo'!G$2:G$746,'Base bordo'!C$2:C$746,A840,'Base bordo'!B$2:B$746,B840,'Base bordo'!F$2:F$746,"DESLOCAMENTO CARREGADO"),0)</f>
        <v>0.77444444444444449</v>
      </c>
      <c r="F840" s="10">
        <f>IFERROR(SUMIFS('Base bordo'!G$2:G$746,'Base bordo'!C$2:C$746,A840,'Base bordo'!B$2:B$746,B840,'Base bordo'!F$2:F$746,"DESLOCAMENTO"),0)</f>
        <v>1.0216666666666667</v>
      </c>
      <c r="G840" s="10">
        <f>IFERROR(SUMIFS('Base bordo'!G$2:G$746,'Base bordo'!C$2:C$746,A840,'Base bordo'!B$2:B$746,B840,'Base bordo'!F$2:F$746,"CARREGAMENTO"),0)</f>
        <v>0</v>
      </c>
      <c r="H840" s="10">
        <f>IFERROR(SUMIFS('Base bordo'!G$2:G$746,'Base bordo'!C$2:C$746,A840,'Base bordo'!B$2:B$746,B840,'Base bordo'!F$2:F$746,"AGUARDANDO TRANSBORDO"),0)</f>
        <v>0.33083333333333331</v>
      </c>
      <c r="I840" s="10">
        <f>IFERROR(SUMIFS('Base bordo'!G$2:G$746,'Base bordo'!C$2:C$746,A840,'Base bordo'!B$2:B$746,B840,'Base bordo'!F$2:F$746,"PÁTIO INTERNO"),0)+IFERROR(SUMIFS('Base bordo'!G$2:G$746,'Base bordo'!C$2:C$746,A840,'Base bordo'!B$2:B$746,B840,'Base bordo'!F$2:F$746,"PÁTIO EXTERNO"),0)+IFERROR(SUMIFS('Base bordo'!G$2:G$746,'Base bordo'!C$2:C$746,A840,'Base bordo'!B$2:B$746,B840,'Base bordo'!F$2:F$746,"PATIO - RESERVA"),0)+IFERROR(SUMIFS('Base bordo'!G$2:G$746,'Base bordo'!C$2:C$746,A840,'Base bordo'!B$2:B$746,B840,'Base bordo'!F$2:F$746,"MANOBRA CARRETAS-PATIO"),0)</f>
        <v>10.650555555555554</v>
      </c>
      <c r="J840" s="10">
        <f>IFERROR(SUMIFS('Base bordo'!G$2:G$746,'Base bordo'!C$2:C$746,A840,'Base bordo'!B$2:B$746,B840,'Base bordo'!F$2:F$746,"BALANÇA - ENTRADA"),0)+IFERROR(SUMIFS('Base bordo'!G$2:G$746,'Base bordo'!C$2:C$746,A840,'Base bordo'!B$2:B$746,B840,'Base bordo'!F$2:F$746,"BALANÇA - SAÍDA"),0)</f>
        <v>3.6388888888888887E-2</v>
      </c>
      <c r="K840" s="10">
        <f>IFERROR(SUMIFS('Base bordo'!G$2:G$746,'Base bordo'!C$2:C$746,A840,'Base bordo'!B$2:B$746,B840,'Base bordo'!F$2:F$746,"MAN PREVENTIVA - MECANICA"),0)+IFERROR(SUMIFS('Base bordo'!G$2:G$746,'Base bordo'!C$2:C$746,A840,'Base bordo'!B$2:B$746,B840,'Base bordo'!F$2:F$746,"MAN CORRETIVA - MECANICA"),0)</f>
        <v>0</v>
      </c>
      <c r="L840" s="10">
        <f>IFERROR(SUMIFS('Base bordo'!G$2:G$746,'Base bordo'!C$2:C$746,A840,'Base bordo'!B$2:B$746,B840,'Base bordo'!F$2:F$746,"MANUTENCAO - T O"),0)+IFERROR(SUMIFS('Base bordo'!G$2:G$746,'Base bordo'!C$2:C$746,A840,'Base bordo'!B$2:B$746,B840,'Base bordo'!F$2:F$746,"MANUTENCAO BORRACHARIA"),0)+IFERROR(SUMIFS('Base bordo'!G$2:G$746,'Base bordo'!C$2:C$746,A840,'Base bordo'!B$2:B$746,B840,'Base bordo'!F$2:F$746,"MANUTENCAO EXTERNA  CONCESSIONARIA"),0)+IFERROR(SUMIFS('Base bordo'!G$2:G$746,'Base bordo'!C$2:C$746,A840,'Base bordo'!B$2:B$746,B840,'Base bordo'!F$2:F$746,"MANUTENCAO TELEMETRIA"),0)</f>
        <v>0</v>
      </c>
      <c r="M840" s="10">
        <f>IFERROR(SUMIFS('Base bordo'!G$2:G$746,'Base bordo'!C$2:C$746,A840,'Base bordo'!B$2:B$746,B840,'Base bordo'!F$2:F$746,"AGUARDANDO MANUTENCAO"),0)</f>
        <v>0</v>
      </c>
      <c r="N840" s="10">
        <f>IFERROR(SUMIFS('Base bordo'!G$2:G$746,'Base bordo'!C$2:C$746,A840,'Base bordo'!B$2:B$746,B840,'Base bordo'!F$2:F$746,"SEM APONTAMENTO"),0)</f>
        <v>0</v>
      </c>
      <c r="O840" s="10">
        <f t="shared" si="84"/>
        <v>-1.7763568394002505E-15</v>
      </c>
      <c r="P840" s="10">
        <f>IFERROR(SUMIFS('Base bordo'!G$2:G$746,'Base bordo'!C$2:C$746,A840,'Base bordo'!B$2:B$746,B840),0)</f>
        <v>13.704999999999997</v>
      </c>
      <c r="Q840" s="10">
        <f>IFERROR(SUMIFS('Base bordo'!H$2:H$746,'Base bordo'!C$2:C$746,A840,'Base bordo'!B$2:B$746,B840,'Base bordo'!F$2:F$746,"DESLOCAMENTO VAZIO"),0)</f>
        <v>68224.05</v>
      </c>
      <c r="R840" s="10">
        <f>IFERROR(SUMIFS('Base bordo'!I$2:I$746,'Base bordo'!C$2:C$746,A840,'Base bordo'!B$2:B$746,B840,'Base bordo'!F$2:F$746,"DESLOCAMENTO VAZIO"),0)</f>
        <v>3208</v>
      </c>
      <c r="S840" s="30">
        <f t="shared" si="85"/>
        <v>21.266848503740651</v>
      </c>
      <c r="T840" s="10">
        <f>IFERROR(SUMIFS('Base bordo'!H$2:H$746,'Base bordo'!C$2:C$746,A840,'Base bordo'!B$2:B$746,B840,'Base bordo'!F$2:F$746,"DESLOCAMENTO CARREGADO"),0)</f>
        <v>68053.69</v>
      </c>
      <c r="U840" s="10">
        <f>IFERROR(SUMIFS('Base bordo'!I$2:I$746,'Base bordo'!C$2:C$746,A840,'Base bordo'!B$2:B$746,B840,'Base bordo'!F$2:F$746,"DESLOCAMENTO CARREGADO"),0)</f>
        <v>2788</v>
      </c>
      <c r="V840" s="30">
        <f t="shared" si="86"/>
        <v>24.40950143472023</v>
      </c>
      <c r="W840" s="9">
        <f t="shared" si="87"/>
        <v>6.5020876403583464E-2</v>
      </c>
      <c r="X840" s="9">
        <f t="shared" si="88"/>
        <v>5.6508168146256456E-2</v>
      </c>
      <c r="Y840" s="9">
        <f t="shared" si="89"/>
        <v>0.87847095545016007</v>
      </c>
    </row>
    <row r="841" spans="1:25" ht="15" customHeight="1" x14ac:dyDescent="0.35">
      <c r="A841" s="52">
        <v>8013485</v>
      </c>
      <c r="B841" s="51">
        <v>46118</v>
      </c>
      <c r="C841" s="7" t="s">
        <v>124</v>
      </c>
      <c r="D841" s="10">
        <f>IFERROR(SUMIFS('Base bordo'!G$2:G$746,'Base bordo'!C$2:C$746,A841,'Base bordo'!B$2:B$746,B841,'Base bordo'!F$2:F$746,"DESLOCAMENTO VAZIO"),0)</f>
        <v>0.89111111111111108</v>
      </c>
      <c r="E841" s="10">
        <f>IFERROR(SUMIFS('Base bordo'!G$2:G$746,'Base bordo'!C$2:C$746,A841,'Base bordo'!B$2:B$746,B841,'Base bordo'!F$2:F$746,"DESLOCAMENTO CARREGADO"),0)</f>
        <v>0.77444444444444449</v>
      </c>
      <c r="F841" s="10">
        <f>IFERROR(SUMIFS('Base bordo'!G$2:G$746,'Base bordo'!C$2:C$746,A841,'Base bordo'!B$2:B$746,B841,'Base bordo'!F$2:F$746,"DESLOCAMENTO"),0)</f>
        <v>1.0216666666666667</v>
      </c>
      <c r="G841" s="10">
        <f>IFERROR(SUMIFS('Base bordo'!G$2:G$746,'Base bordo'!C$2:C$746,A841,'Base bordo'!B$2:B$746,B841,'Base bordo'!F$2:F$746,"CARREGAMENTO"),0)</f>
        <v>0</v>
      </c>
      <c r="H841" s="10">
        <f>IFERROR(SUMIFS('Base bordo'!G$2:G$746,'Base bordo'!C$2:C$746,A841,'Base bordo'!B$2:B$746,B841,'Base bordo'!F$2:F$746,"AGUARDANDO TRANSBORDO"),0)</f>
        <v>0.33083333333333331</v>
      </c>
      <c r="I841" s="10">
        <f>IFERROR(SUMIFS('Base bordo'!G$2:G$746,'Base bordo'!C$2:C$746,A841,'Base bordo'!B$2:B$746,B841,'Base bordo'!F$2:F$746,"PÁTIO INTERNO"),0)+IFERROR(SUMIFS('Base bordo'!G$2:G$746,'Base bordo'!C$2:C$746,A841,'Base bordo'!B$2:B$746,B841,'Base bordo'!F$2:F$746,"PÁTIO EXTERNO"),0)+IFERROR(SUMIFS('Base bordo'!G$2:G$746,'Base bordo'!C$2:C$746,A841,'Base bordo'!B$2:B$746,B841,'Base bordo'!F$2:F$746,"PATIO - RESERVA"),0)+IFERROR(SUMIFS('Base bordo'!G$2:G$746,'Base bordo'!C$2:C$746,A841,'Base bordo'!B$2:B$746,B841,'Base bordo'!F$2:F$746,"MANOBRA CARRETAS-PATIO"),0)</f>
        <v>10.650555555555554</v>
      </c>
      <c r="J841" s="10">
        <f>IFERROR(SUMIFS('Base bordo'!G$2:G$746,'Base bordo'!C$2:C$746,A841,'Base bordo'!B$2:B$746,B841,'Base bordo'!F$2:F$746,"BALANÇA - ENTRADA"),0)+IFERROR(SUMIFS('Base bordo'!G$2:G$746,'Base bordo'!C$2:C$746,A841,'Base bordo'!B$2:B$746,B841,'Base bordo'!F$2:F$746,"BALANÇA - SAÍDA"),0)</f>
        <v>3.6388888888888887E-2</v>
      </c>
      <c r="K841" s="10">
        <f>IFERROR(SUMIFS('Base bordo'!G$2:G$746,'Base bordo'!C$2:C$746,A841,'Base bordo'!B$2:B$746,B841,'Base bordo'!F$2:F$746,"MAN PREVENTIVA - MECANICA"),0)+IFERROR(SUMIFS('Base bordo'!G$2:G$746,'Base bordo'!C$2:C$746,A841,'Base bordo'!B$2:B$746,B841,'Base bordo'!F$2:F$746,"MAN CORRETIVA - MECANICA"),0)</f>
        <v>0</v>
      </c>
      <c r="L841" s="10">
        <f>IFERROR(SUMIFS('Base bordo'!G$2:G$746,'Base bordo'!C$2:C$746,A841,'Base bordo'!B$2:B$746,B841,'Base bordo'!F$2:F$746,"MANUTENCAO - T O"),0)+IFERROR(SUMIFS('Base bordo'!G$2:G$746,'Base bordo'!C$2:C$746,A841,'Base bordo'!B$2:B$746,B841,'Base bordo'!F$2:F$746,"MANUTENCAO BORRACHARIA"),0)+IFERROR(SUMIFS('Base bordo'!G$2:G$746,'Base bordo'!C$2:C$746,A841,'Base bordo'!B$2:B$746,B841,'Base bordo'!F$2:F$746,"MANUTENCAO EXTERNA  CONCESSIONARIA"),0)+IFERROR(SUMIFS('Base bordo'!G$2:G$746,'Base bordo'!C$2:C$746,A841,'Base bordo'!B$2:B$746,B841,'Base bordo'!F$2:F$746,"MANUTENCAO TELEMETRIA"),0)</f>
        <v>0</v>
      </c>
      <c r="M841" s="10">
        <f>IFERROR(SUMIFS('Base bordo'!G$2:G$746,'Base bordo'!C$2:C$746,A841,'Base bordo'!B$2:B$746,B841,'Base bordo'!F$2:F$746,"AGUARDANDO MANUTENCAO"),0)</f>
        <v>0</v>
      </c>
      <c r="N841" s="10">
        <f>IFERROR(SUMIFS('Base bordo'!G$2:G$746,'Base bordo'!C$2:C$746,A841,'Base bordo'!B$2:B$746,B841,'Base bordo'!F$2:F$746,"SEM APONTAMENTO"),0)</f>
        <v>0</v>
      </c>
      <c r="O841" s="10">
        <f t="shared" si="84"/>
        <v>-1.7763568394002505E-15</v>
      </c>
      <c r="P841" s="10">
        <f>IFERROR(SUMIFS('Base bordo'!G$2:G$746,'Base bordo'!C$2:C$746,A841,'Base bordo'!B$2:B$746,B841),0)</f>
        <v>13.704999999999997</v>
      </c>
      <c r="Q841" s="10">
        <f>IFERROR(SUMIFS('Base bordo'!H$2:H$746,'Base bordo'!C$2:C$746,A841,'Base bordo'!B$2:B$746,B841,'Base bordo'!F$2:F$746,"DESLOCAMENTO VAZIO"),0)</f>
        <v>68224.05</v>
      </c>
      <c r="R841" s="10">
        <f>IFERROR(SUMIFS('Base bordo'!I$2:I$746,'Base bordo'!C$2:C$746,A841,'Base bordo'!B$2:B$746,B841,'Base bordo'!F$2:F$746,"DESLOCAMENTO VAZIO"),0)</f>
        <v>3208</v>
      </c>
      <c r="S841" s="30">
        <f t="shared" si="85"/>
        <v>21.266848503740651</v>
      </c>
      <c r="T841" s="10">
        <f>IFERROR(SUMIFS('Base bordo'!H$2:H$746,'Base bordo'!C$2:C$746,A841,'Base bordo'!B$2:B$746,B841,'Base bordo'!F$2:F$746,"DESLOCAMENTO CARREGADO"),0)</f>
        <v>68053.69</v>
      </c>
      <c r="U841" s="10">
        <f>IFERROR(SUMIFS('Base bordo'!I$2:I$746,'Base bordo'!C$2:C$746,A841,'Base bordo'!B$2:B$746,B841,'Base bordo'!F$2:F$746,"DESLOCAMENTO CARREGADO"),0)</f>
        <v>2788</v>
      </c>
      <c r="V841" s="30">
        <f t="shared" si="86"/>
        <v>24.40950143472023</v>
      </c>
      <c r="W841" s="9">
        <f t="shared" si="87"/>
        <v>6.5020876403583464E-2</v>
      </c>
      <c r="X841" s="9">
        <f t="shared" si="88"/>
        <v>5.6508168146256456E-2</v>
      </c>
      <c r="Y841" s="9">
        <f t="shared" si="89"/>
        <v>0.87847095545016007</v>
      </c>
    </row>
    <row r="842" spans="1:25" ht="15" customHeight="1" x14ac:dyDescent="0.35">
      <c r="A842" s="52">
        <v>8013485</v>
      </c>
      <c r="B842" s="51">
        <v>46118</v>
      </c>
      <c r="C842" s="7" t="s">
        <v>124</v>
      </c>
      <c r="D842" s="10">
        <f>IFERROR(SUMIFS('Base bordo'!G$2:G$746,'Base bordo'!C$2:C$746,A842,'Base bordo'!B$2:B$746,B842,'Base bordo'!F$2:F$746,"DESLOCAMENTO VAZIO"),0)</f>
        <v>0.89111111111111108</v>
      </c>
      <c r="E842" s="10">
        <f>IFERROR(SUMIFS('Base bordo'!G$2:G$746,'Base bordo'!C$2:C$746,A842,'Base bordo'!B$2:B$746,B842,'Base bordo'!F$2:F$746,"DESLOCAMENTO CARREGADO"),0)</f>
        <v>0.77444444444444449</v>
      </c>
      <c r="F842" s="10">
        <f>IFERROR(SUMIFS('Base bordo'!G$2:G$746,'Base bordo'!C$2:C$746,A842,'Base bordo'!B$2:B$746,B842,'Base bordo'!F$2:F$746,"DESLOCAMENTO"),0)</f>
        <v>1.0216666666666667</v>
      </c>
      <c r="G842" s="10">
        <f>IFERROR(SUMIFS('Base bordo'!G$2:G$746,'Base bordo'!C$2:C$746,A842,'Base bordo'!B$2:B$746,B842,'Base bordo'!F$2:F$746,"CARREGAMENTO"),0)</f>
        <v>0</v>
      </c>
      <c r="H842" s="10">
        <f>IFERROR(SUMIFS('Base bordo'!G$2:G$746,'Base bordo'!C$2:C$746,A842,'Base bordo'!B$2:B$746,B842,'Base bordo'!F$2:F$746,"AGUARDANDO TRANSBORDO"),0)</f>
        <v>0.33083333333333331</v>
      </c>
      <c r="I842" s="10">
        <f>IFERROR(SUMIFS('Base bordo'!G$2:G$746,'Base bordo'!C$2:C$746,A842,'Base bordo'!B$2:B$746,B842,'Base bordo'!F$2:F$746,"PÁTIO INTERNO"),0)+IFERROR(SUMIFS('Base bordo'!G$2:G$746,'Base bordo'!C$2:C$746,A842,'Base bordo'!B$2:B$746,B842,'Base bordo'!F$2:F$746,"PÁTIO EXTERNO"),0)+IFERROR(SUMIFS('Base bordo'!G$2:G$746,'Base bordo'!C$2:C$746,A842,'Base bordo'!B$2:B$746,B842,'Base bordo'!F$2:F$746,"PATIO - RESERVA"),0)+IFERROR(SUMIFS('Base bordo'!G$2:G$746,'Base bordo'!C$2:C$746,A842,'Base bordo'!B$2:B$746,B842,'Base bordo'!F$2:F$746,"MANOBRA CARRETAS-PATIO"),0)</f>
        <v>10.650555555555554</v>
      </c>
      <c r="J842" s="10">
        <f>IFERROR(SUMIFS('Base bordo'!G$2:G$746,'Base bordo'!C$2:C$746,A842,'Base bordo'!B$2:B$746,B842,'Base bordo'!F$2:F$746,"BALANÇA - ENTRADA"),0)+IFERROR(SUMIFS('Base bordo'!G$2:G$746,'Base bordo'!C$2:C$746,A842,'Base bordo'!B$2:B$746,B842,'Base bordo'!F$2:F$746,"BALANÇA - SAÍDA"),0)</f>
        <v>3.6388888888888887E-2</v>
      </c>
      <c r="K842" s="10">
        <f>IFERROR(SUMIFS('Base bordo'!G$2:G$746,'Base bordo'!C$2:C$746,A842,'Base bordo'!B$2:B$746,B842,'Base bordo'!F$2:F$746,"MAN PREVENTIVA - MECANICA"),0)+IFERROR(SUMIFS('Base bordo'!G$2:G$746,'Base bordo'!C$2:C$746,A842,'Base bordo'!B$2:B$746,B842,'Base bordo'!F$2:F$746,"MAN CORRETIVA - MECANICA"),0)</f>
        <v>0</v>
      </c>
      <c r="L842" s="10">
        <f>IFERROR(SUMIFS('Base bordo'!G$2:G$746,'Base bordo'!C$2:C$746,A842,'Base bordo'!B$2:B$746,B842,'Base bordo'!F$2:F$746,"MANUTENCAO - T O"),0)+IFERROR(SUMIFS('Base bordo'!G$2:G$746,'Base bordo'!C$2:C$746,A842,'Base bordo'!B$2:B$746,B842,'Base bordo'!F$2:F$746,"MANUTENCAO BORRACHARIA"),0)+IFERROR(SUMIFS('Base bordo'!G$2:G$746,'Base bordo'!C$2:C$746,A842,'Base bordo'!B$2:B$746,B842,'Base bordo'!F$2:F$746,"MANUTENCAO EXTERNA  CONCESSIONARIA"),0)+IFERROR(SUMIFS('Base bordo'!G$2:G$746,'Base bordo'!C$2:C$746,A842,'Base bordo'!B$2:B$746,B842,'Base bordo'!F$2:F$746,"MANUTENCAO TELEMETRIA"),0)</f>
        <v>0</v>
      </c>
      <c r="M842" s="10">
        <f>IFERROR(SUMIFS('Base bordo'!G$2:G$746,'Base bordo'!C$2:C$746,A842,'Base bordo'!B$2:B$746,B842,'Base bordo'!F$2:F$746,"AGUARDANDO MANUTENCAO"),0)</f>
        <v>0</v>
      </c>
      <c r="N842" s="10">
        <f>IFERROR(SUMIFS('Base bordo'!G$2:G$746,'Base bordo'!C$2:C$746,A842,'Base bordo'!B$2:B$746,B842,'Base bordo'!F$2:F$746,"SEM APONTAMENTO"),0)</f>
        <v>0</v>
      </c>
      <c r="O842" s="10">
        <f t="shared" si="84"/>
        <v>-1.7763568394002505E-15</v>
      </c>
      <c r="P842" s="10">
        <f>IFERROR(SUMIFS('Base bordo'!G$2:G$746,'Base bordo'!C$2:C$746,A842,'Base bordo'!B$2:B$746,B842),0)</f>
        <v>13.704999999999997</v>
      </c>
      <c r="Q842" s="10">
        <f>IFERROR(SUMIFS('Base bordo'!H$2:H$746,'Base bordo'!C$2:C$746,A842,'Base bordo'!B$2:B$746,B842,'Base bordo'!F$2:F$746,"DESLOCAMENTO VAZIO"),0)</f>
        <v>68224.05</v>
      </c>
      <c r="R842" s="10">
        <f>IFERROR(SUMIFS('Base bordo'!I$2:I$746,'Base bordo'!C$2:C$746,A842,'Base bordo'!B$2:B$746,B842,'Base bordo'!F$2:F$746,"DESLOCAMENTO VAZIO"),0)</f>
        <v>3208</v>
      </c>
      <c r="S842" s="30">
        <f t="shared" si="85"/>
        <v>21.266848503740651</v>
      </c>
      <c r="T842" s="10">
        <f>IFERROR(SUMIFS('Base bordo'!H$2:H$746,'Base bordo'!C$2:C$746,A842,'Base bordo'!B$2:B$746,B842,'Base bordo'!F$2:F$746,"DESLOCAMENTO CARREGADO"),0)</f>
        <v>68053.69</v>
      </c>
      <c r="U842" s="10">
        <f>IFERROR(SUMIFS('Base bordo'!I$2:I$746,'Base bordo'!C$2:C$746,A842,'Base bordo'!B$2:B$746,B842,'Base bordo'!F$2:F$746,"DESLOCAMENTO CARREGADO"),0)</f>
        <v>2788</v>
      </c>
      <c r="V842" s="30">
        <f t="shared" si="86"/>
        <v>24.40950143472023</v>
      </c>
      <c r="W842" s="9">
        <f t="shared" si="87"/>
        <v>6.5020876403583464E-2</v>
      </c>
      <c r="X842" s="9">
        <f t="shared" si="88"/>
        <v>5.6508168146256456E-2</v>
      </c>
      <c r="Y842" s="9">
        <f t="shared" si="89"/>
        <v>0.87847095545016007</v>
      </c>
    </row>
    <row r="843" spans="1:25" ht="15" customHeight="1" x14ac:dyDescent="0.35">
      <c r="A843" s="52">
        <v>8013485</v>
      </c>
      <c r="B843" s="51">
        <v>46118</v>
      </c>
      <c r="C843" s="7" t="s">
        <v>124</v>
      </c>
      <c r="D843" s="10">
        <f>IFERROR(SUMIFS('Base bordo'!G$2:G$746,'Base bordo'!C$2:C$746,A843,'Base bordo'!B$2:B$746,B843,'Base bordo'!F$2:F$746,"DESLOCAMENTO VAZIO"),0)</f>
        <v>0.89111111111111108</v>
      </c>
      <c r="E843" s="10">
        <f>IFERROR(SUMIFS('Base bordo'!G$2:G$746,'Base bordo'!C$2:C$746,A843,'Base bordo'!B$2:B$746,B843,'Base bordo'!F$2:F$746,"DESLOCAMENTO CARREGADO"),0)</f>
        <v>0.77444444444444449</v>
      </c>
      <c r="F843" s="10">
        <f>IFERROR(SUMIFS('Base bordo'!G$2:G$746,'Base bordo'!C$2:C$746,A843,'Base bordo'!B$2:B$746,B843,'Base bordo'!F$2:F$746,"DESLOCAMENTO"),0)</f>
        <v>1.0216666666666667</v>
      </c>
      <c r="G843" s="10">
        <f>IFERROR(SUMIFS('Base bordo'!G$2:G$746,'Base bordo'!C$2:C$746,A843,'Base bordo'!B$2:B$746,B843,'Base bordo'!F$2:F$746,"CARREGAMENTO"),0)</f>
        <v>0</v>
      </c>
      <c r="H843" s="10">
        <f>IFERROR(SUMIFS('Base bordo'!G$2:G$746,'Base bordo'!C$2:C$746,A843,'Base bordo'!B$2:B$746,B843,'Base bordo'!F$2:F$746,"AGUARDANDO TRANSBORDO"),0)</f>
        <v>0.33083333333333331</v>
      </c>
      <c r="I843" s="10">
        <f>IFERROR(SUMIFS('Base bordo'!G$2:G$746,'Base bordo'!C$2:C$746,A843,'Base bordo'!B$2:B$746,B843,'Base bordo'!F$2:F$746,"PÁTIO INTERNO"),0)+IFERROR(SUMIFS('Base bordo'!G$2:G$746,'Base bordo'!C$2:C$746,A843,'Base bordo'!B$2:B$746,B843,'Base bordo'!F$2:F$746,"PÁTIO EXTERNO"),0)+IFERROR(SUMIFS('Base bordo'!G$2:G$746,'Base bordo'!C$2:C$746,A843,'Base bordo'!B$2:B$746,B843,'Base bordo'!F$2:F$746,"PATIO - RESERVA"),0)+IFERROR(SUMIFS('Base bordo'!G$2:G$746,'Base bordo'!C$2:C$746,A843,'Base bordo'!B$2:B$746,B843,'Base bordo'!F$2:F$746,"MANOBRA CARRETAS-PATIO"),0)</f>
        <v>10.650555555555554</v>
      </c>
      <c r="J843" s="10">
        <f>IFERROR(SUMIFS('Base bordo'!G$2:G$746,'Base bordo'!C$2:C$746,A843,'Base bordo'!B$2:B$746,B843,'Base bordo'!F$2:F$746,"BALANÇA - ENTRADA"),0)+IFERROR(SUMIFS('Base bordo'!G$2:G$746,'Base bordo'!C$2:C$746,A843,'Base bordo'!B$2:B$746,B843,'Base bordo'!F$2:F$746,"BALANÇA - SAÍDA"),0)</f>
        <v>3.6388888888888887E-2</v>
      </c>
      <c r="K843" s="10">
        <f>IFERROR(SUMIFS('Base bordo'!G$2:G$746,'Base bordo'!C$2:C$746,A843,'Base bordo'!B$2:B$746,B843,'Base bordo'!F$2:F$746,"MAN PREVENTIVA - MECANICA"),0)+IFERROR(SUMIFS('Base bordo'!G$2:G$746,'Base bordo'!C$2:C$746,A843,'Base bordo'!B$2:B$746,B843,'Base bordo'!F$2:F$746,"MAN CORRETIVA - MECANICA"),0)</f>
        <v>0</v>
      </c>
      <c r="L843" s="10">
        <f>IFERROR(SUMIFS('Base bordo'!G$2:G$746,'Base bordo'!C$2:C$746,A843,'Base bordo'!B$2:B$746,B843,'Base bordo'!F$2:F$746,"MANUTENCAO - T O"),0)+IFERROR(SUMIFS('Base bordo'!G$2:G$746,'Base bordo'!C$2:C$746,A843,'Base bordo'!B$2:B$746,B843,'Base bordo'!F$2:F$746,"MANUTENCAO BORRACHARIA"),0)+IFERROR(SUMIFS('Base bordo'!G$2:G$746,'Base bordo'!C$2:C$746,A843,'Base bordo'!B$2:B$746,B843,'Base bordo'!F$2:F$746,"MANUTENCAO EXTERNA  CONCESSIONARIA"),0)+IFERROR(SUMIFS('Base bordo'!G$2:G$746,'Base bordo'!C$2:C$746,A843,'Base bordo'!B$2:B$746,B843,'Base bordo'!F$2:F$746,"MANUTENCAO TELEMETRIA"),0)</f>
        <v>0</v>
      </c>
      <c r="M843" s="10">
        <f>IFERROR(SUMIFS('Base bordo'!G$2:G$746,'Base bordo'!C$2:C$746,A843,'Base bordo'!B$2:B$746,B843,'Base bordo'!F$2:F$746,"AGUARDANDO MANUTENCAO"),0)</f>
        <v>0</v>
      </c>
      <c r="N843" s="10">
        <f>IFERROR(SUMIFS('Base bordo'!G$2:G$746,'Base bordo'!C$2:C$746,A843,'Base bordo'!B$2:B$746,B843,'Base bordo'!F$2:F$746,"SEM APONTAMENTO"),0)</f>
        <v>0</v>
      </c>
      <c r="O843" s="10">
        <f t="shared" si="84"/>
        <v>-1.7763568394002505E-15</v>
      </c>
      <c r="P843" s="10">
        <f>IFERROR(SUMIFS('Base bordo'!G$2:G$746,'Base bordo'!C$2:C$746,A843,'Base bordo'!B$2:B$746,B843),0)</f>
        <v>13.704999999999997</v>
      </c>
      <c r="Q843" s="10">
        <f>IFERROR(SUMIFS('Base bordo'!H$2:H$746,'Base bordo'!C$2:C$746,A843,'Base bordo'!B$2:B$746,B843,'Base bordo'!F$2:F$746,"DESLOCAMENTO VAZIO"),0)</f>
        <v>68224.05</v>
      </c>
      <c r="R843" s="10">
        <f>IFERROR(SUMIFS('Base bordo'!I$2:I$746,'Base bordo'!C$2:C$746,A843,'Base bordo'!B$2:B$746,B843,'Base bordo'!F$2:F$746,"DESLOCAMENTO VAZIO"),0)</f>
        <v>3208</v>
      </c>
      <c r="S843" s="30">
        <f t="shared" si="85"/>
        <v>21.266848503740651</v>
      </c>
      <c r="T843" s="10">
        <f>IFERROR(SUMIFS('Base bordo'!H$2:H$746,'Base bordo'!C$2:C$746,A843,'Base bordo'!B$2:B$746,B843,'Base bordo'!F$2:F$746,"DESLOCAMENTO CARREGADO"),0)</f>
        <v>68053.69</v>
      </c>
      <c r="U843" s="10">
        <f>IFERROR(SUMIFS('Base bordo'!I$2:I$746,'Base bordo'!C$2:C$746,A843,'Base bordo'!B$2:B$746,B843,'Base bordo'!F$2:F$746,"DESLOCAMENTO CARREGADO"),0)</f>
        <v>2788</v>
      </c>
      <c r="V843" s="30">
        <f t="shared" si="86"/>
        <v>24.40950143472023</v>
      </c>
      <c r="W843" s="9">
        <f t="shared" si="87"/>
        <v>6.5020876403583464E-2</v>
      </c>
      <c r="X843" s="9">
        <f t="shared" si="88"/>
        <v>5.6508168146256456E-2</v>
      </c>
      <c r="Y843" s="9">
        <f t="shared" si="89"/>
        <v>0.87847095545016007</v>
      </c>
    </row>
    <row r="844" spans="1:25" ht="15" customHeight="1" x14ac:dyDescent="0.35">
      <c r="A844" s="52">
        <v>8013485</v>
      </c>
      <c r="B844" s="51">
        <v>46118</v>
      </c>
      <c r="C844" s="7" t="s">
        <v>124</v>
      </c>
      <c r="D844" s="10">
        <f>IFERROR(SUMIFS('Base bordo'!G$2:G$746,'Base bordo'!C$2:C$746,A844,'Base bordo'!B$2:B$746,B844,'Base bordo'!F$2:F$746,"DESLOCAMENTO VAZIO"),0)</f>
        <v>0.89111111111111108</v>
      </c>
      <c r="E844" s="10">
        <f>IFERROR(SUMIFS('Base bordo'!G$2:G$746,'Base bordo'!C$2:C$746,A844,'Base bordo'!B$2:B$746,B844,'Base bordo'!F$2:F$746,"DESLOCAMENTO CARREGADO"),0)</f>
        <v>0.77444444444444449</v>
      </c>
      <c r="F844" s="10">
        <f>IFERROR(SUMIFS('Base bordo'!G$2:G$746,'Base bordo'!C$2:C$746,A844,'Base bordo'!B$2:B$746,B844,'Base bordo'!F$2:F$746,"DESLOCAMENTO"),0)</f>
        <v>1.0216666666666667</v>
      </c>
      <c r="G844" s="10">
        <f>IFERROR(SUMIFS('Base bordo'!G$2:G$746,'Base bordo'!C$2:C$746,A844,'Base bordo'!B$2:B$746,B844,'Base bordo'!F$2:F$746,"CARREGAMENTO"),0)</f>
        <v>0</v>
      </c>
      <c r="H844" s="10">
        <f>IFERROR(SUMIFS('Base bordo'!G$2:G$746,'Base bordo'!C$2:C$746,A844,'Base bordo'!B$2:B$746,B844,'Base bordo'!F$2:F$746,"AGUARDANDO TRANSBORDO"),0)</f>
        <v>0.33083333333333331</v>
      </c>
      <c r="I844" s="10">
        <f>IFERROR(SUMIFS('Base bordo'!G$2:G$746,'Base bordo'!C$2:C$746,A844,'Base bordo'!B$2:B$746,B844,'Base bordo'!F$2:F$746,"PÁTIO INTERNO"),0)+IFERROR(SUMIFS('Base bordo'!G$2:G$746,'Base bordo'!C$2:C$746,A844,'Base bordo'!B$2:B$746,B844,'Base bordo'!F$2:F$746,"PÁTIO EXTERNO"),0)+IFERROR(SUMIFS('Base bordo'!G$2:G$746,'Base bordo'!C$2:C$746,A844,'Base bordo'!B$2:B$746,B844,'Base bordo'!F$2:F$746,"PATIO - RESERVA"),0)+IFERROR(SUMIFS('Base bordo'!G$2:G$746,'Base bordo'!C$2:C$746,A844,'Base bordo'!B$2:B$746,B844,'Base bordo'!F$2:F$746,"MANOBRA CARRETAS-PATIO"),0)</f>
        <v>10.650555555555554</v>
      </c>
      <c r="J844" s="10">
        <f>IFERROR(SUMIFS('Base bordo'!G$2:G$746,'Base bordo'!C$2:C$746,A844,'Base bordo'!B$2:B$746,B844,'Base bordo'!F$2:F$746,"BALANÇA - ENTRADA"),0)+IFERROR(SUMIFS('Base bordo'!G$2:G$746,'Base bordo'!C$2:C$746,A844,'Base bordo'!B$2:B$746,B844,'Base bordo'!F$2:F$746,"BALANÇA - SAÍDA"),0)</f>
        <v>3.6388888888888887E-2</v>
      </c>
      <c r="K844" s="10">
        <f>IFERROR(SUMIFS('Base bordo'!G$2:G$746,'Base bordo'!C$2:C$746,A844,'Base bordo'!B$2:B$746,B844,'Base bordo'!F$2:F$746,"MAN PREVENTIVA - MECANICA"),0)+IFERROR(SUMIFS('Base bordo'!G$2:G$746,'Base bordo'!C$2:C$746,A844,'Base bordo'!B$2:B$746,B844,'Base bordo'!F$2:F$746,"MAN CORRETIVA - MECANICA"),0)</f>
        <v>0</v>
      </c>
      <c r="L844" s="10">
        <f>IFERROR(SUMIFS('Base bordo'!G$2:G$746,'Base bordo'!C$2:C$746,A844,'Base bordo'!B$2:B$746,B844,'Base bordo'!F$2:F$746,"MANUTENCAO - T O"),0)+IFERROR(SUMIFS('Base bordo'!G$2:G$746,'Base bordo'!C$2:C$746,A844,'Base bordo'!B$2:B$746,B844,'Base bordo'!F$2:F$746,"MANUTENCAO BORRACHARIA"),0)+IFERROR(SUMIFS('Base bordo'!G$2:G$746,'Base bordo'!C$2:C$746,A844,'Base bordo'!B$2:B$746,B844,'Base bordo'!F$2:F$746,"MANUTENCAO EXTERNA  CONCESSIONARIA"),0)+IFERROR(SUMIFS('Base bordo'!G$2:G$746,'Base bordo'!C$2:C$746,A844,'Base bordo'!B$2:B$746,B844,'Base bordo'!F$2:F$746,"MANUTENCAO TELEMETRIA"),0)</f>
        <v>0</v>
      </c>
      <c r="M844" s="10">
        <f>IFERROR(SUMIFS('Base bordo'!G$2:G$746,'Base bordo'!C$2:C$746,A844,'Base bordo'!B$2:B$746,B844,'Base bordo'!F$2:F$746,"AGUARDANDO MANUTENCAO"),0)</f>
        <v>0</v>
      </c>
      <c r="N844" s="10">
        <f>IFERROR(SUMIFS('Base bordo'!G$2:G$746,'Base bordo'!C$2:C$746,A844,'Base bordo'!B$2:B$746,B844,'Base bordo'!F$2:F$746,"SEM APONTAMENTO"),0)</f>
        <v>0</v>
      </c>
      <c r="O844" s="10">
        <f t="shared" si="84"/>
        <v>-1.7763568394002505E-15</v>
      </c>
      <c r="P844" s="10">
        <f>IFERROR(SUMIFS('Base bordo'!G$2:G$746,'Base bordo'!C$2:C$746,A844,'Base bordo'!B$2:B$746,B844),0)</f>
        <v>13.704999999999997</v>
      </c>
      <c r="Q844" s="10">
        <f>IFERROR(SUMIFS('Base bordo'!H$2:H$746,'Base bordo'!C$2:C$746,A844,'Base bordo'!B$2:B$746,B844,'Base bordo'!F$2:F$746,"DESLOCAMENTO VAZIO"),0)</f>
        <v>68224.05</v>
      </c>
      <c r="R844" s="10">
        <f>IFERROR(SUMIFS('Base bordo'!I$2:I$746,'Base bordo'!C$2:C$746,A844,'Base bordo'!B$2:B$746,B844,'Base bordo'!F$2:F$746,"DESLOCAMENTO VAZIO"),0)</f>
        <v>3208</v>
      </c>
      <c r="S844" s="30">
        <f t="shared" si="85"/>
        <v>21.266848503740651</v>
      </c>
      <c r="T844" s="10">
        <f>IFERROR(SUMIFS('Base bordo'!H$2:H$746,'Base bordo'!C$2:C$746,A844,'Base bordo'!B$2:B$746,B844,'Base bordo'!F$2:F$746,"DESLOCAMENTO CARREGADO"),0)</f>
        <v>68053.69</v>
      </c>
      <c r="U844" s="10">
        <f>IFERROR(SUMIFS('Base bordo'!I$2:I$746,'Base bordo'!C$2:C$746,A844,'Base bordo'!B$2:B$746,B844,'Base bordo'!F$2:F$746,"DESLOCAMENTO CARREGADO"),0)</f>
        <v>2788</v>
      </c>
      <c r="V844" s="30">
        <f t="shared" si="86"/>
        <v>24.40950143472023</v>
      </c>
      <c r="W844" s="9">
        <f t="shared" si="87"/>
        <v>6.5020876403583464E-2</v>
      </c>
      <c r="X844" s="9">
        <f t="shared" si="88"/>
        <v>5.6508168146256456E-2</v>
      </c>
      <c r="Y844" s="9">
        <f t="shared" si="89"/>
        <v>0.87847095545016007</v>
      </c>
    </row>
    <row r="845" spans="1:25" ht="15" customHeight="1" x14ac:dyDescent="0.35">
      <c r="A845" s="52">
        <v>8013485</v>
      </c>
      <c r="B845" s="51">
        <v>46118</v>
      </c>
      <c r="C845" s="7" t="s">
        <v>124</v>
      </c>
      <c r="D845" s="10">
        <f>IFERROR(SUMIFS('Base bordo'!G$2:G$746,'Base bordo'!C$2:C$746,A845,'Base bordo'!B$2:B$746,B845,'Base bordo'!F$2:F$746,"DESLOCAMENTO VAZIO"),0)</f>
        <v>0.89111111111111108</v>
      </c>
      <c r="E845" s="10">
        <f>IFERROR(SUMIFS('Base bordo'!G$2:G$746,'Base bordo'!C$2:C$746,A845,'Base bordo'!B$2:B$746,B845,'Base bordo'!F$2:F$746,"DESLOCAMENTO CARREGADO"),0)</f>
        <v>0.77444444444444449</v>
      </c>
      <c r="F845" s="10">
        <f>IFERROR(SUMIFS('Base bordo'!G$2:G$746,'Base bordo'!C$2:C$746,A845,'Base bordo'!B$2:B$746,B845,'Base bordo'!F$2:F$746,"DESLOCAMENTO"),0)</f>
        <v>1.0216666666666667</v>
      </c>
      <c r="G845" s="10">
        <f>IFERROR(SUMIFS('Base bordo'!G$2:G$746,'Base bordo'!C$2:C$746,A845,'Base bordo'!B$2:B$746,B845,'Base bordo'!F$2:F$746,"CARREGAMENTO"),0)</f>
        <v>0</v>
      </c>
      <c r="H845" s="10">
        <f>IFERROR(SUMIFS('Base bordo'!G$2:G$746,'Base bordo'!C$2:C$746,A845,'Base bordo'!B$2:B$746,B845,'Base bordo'!F$2:F$746,"AGUARDANDO TRANSBORDO"),0)</f>
        <v>0.33083333333333331</v>
      </c>
      <c r="I845" s="10">
        <f>IFERROR(SUMIFS('Base bordo'!G$2:G$746,'Base bordo'!C$2:C$746,A845,'Base bordo'!B$2:B$746,B845,'Base bordo'!F$2:F$746,"PÁTIO INTERNO"),0)+IFERROR(SUMIFS('Base bordo'!G$2:G$746,'Base bordo'!C$2:C$746,A845,'Base bordo'!B$2:B$746,B845,'Base bordo'!F$2:F$746,"PÁTIO EXTERNO"),0)+IFERROR(SUMIFS('Base bordo'!G$2:G$746,'Base bordo'!C$2:C$746,A845,'Base bordo'!B$2:B$746,B845,'Base bordo'!F$2:F$746,"PATIO - RESERVA"),0)+IFERROR(SUMIFS('Base bordo'!G$2:G$746,'Base bordo'!C$2:C$746,A845,'Base bordo'!B$2:B$746,B845,'Base bordo'!F$2:F$746,"MANOBRA CARRETAS-PATIO"),0)</f>
        <v>10.650555555555554</v>
      </c>
      <c r="J845" s="10">
        <f>IFERROR(SUMIFS('Base bordo'!G$2:G$746,'Base bordo'!C$2:C$746,A845,'Base bordo'!B$2:B$746,B845,'Base bordo'!F$2:F$746,"BALANÇA - ENTRADA"),0)+IFERROR(SUMIFS('Base bordo'!G$2:G$746,'Base bordo'!C$2:C$746,A845,'Base bordo'!B$2:B$746,B845,'Base bordo'!F$2:F$746,"BALANÇA - SAÍDA"),0)</f>
        <v>3.6388888888888887E-2</v>
      </c>
      <c r="K845" s="10">
        <f>IFERROR(SUMIFS('Base bordo'!G$2:G$746,'Base bordo'!C$2:C$746,A845,'Base bordo'!B$2:B$746,B845,'Base bordo'!F$2:F$746,"MAN PREVENTIVA - MECANICA"),0)+IFERROR(SUMIFS('Base bordo'!G$2:G$746,'Base bordo'!C$2:C$746,A845,'Base bordo'!B$2:B$746,B845,'Base bordo'!F$2:F$746,"MAN CORRETIVA - MECANICA"),0)</f>
        <v>0</v>
      </c>
      <c r="L845" s="10">
        <f>IFERROR(SUMIFS('Base bordo'!G$2:G$746,'Base bordo'!C$2:C$746,A845,'Base bordo'!B$2:B$746,B845,'Base bordo'!F$2:F$746,"MANUTENCAO - T O"),0)+IFERROR(SUMIFS('Base bordo'!G$2:G$746,'Base bordo'!C$2:C$746,A845,'Base bordo'!B$2:B$746,B845,'Base bordo'!F$2:F$746,"MANUTENCAO BORRACHARIA"),0)+IFERROR(SUMIFS('Base bordo'!G$2:G$746,'Base bordo'!C$2:C$746,A845,'Base bordo'!B$2:B$746,B845,'Base bordo'!F$2:F$746,"MANUTENCAO EXTERNA  CONCESSIONARIA"),0)+IFERROR(SUMIFS('Base bordo'!G$2:G$746,'Base bordo'!C$2:C$746,A845,'Base bordo'!B$2:B$746,B845,'Base bordo'!F$2:F$746,"MANUTENCAO TELEMETRIA"),0)</f>
        <v>0</v>
      </c>
      <c r="M845" s="10">
        <f>IFERROR(SUMIFS('Base bordo'!G$2:G$746,'Base bordo'!C$2:C$746,A845,'Base bordo'!B$2:B$746,B845,'Base bordo'!F$2:F$746,"AGUARDANDO MANUTENCAO"),0)</f>
        <v>0</v>
      </c>
      <c r="N845" s="10">
        <f>IFERROR(SUMIFS('Base bordo'!G$2:G$746,'Base bordo'!C$2:C$746,A845,'Base bordo'!B$2:B$746,B845,'Base bordo'!F$2:F$746,"SEM APONTAMENTO"),0)</f>
        <v>0</v>
      </c>
      <c r="O845" s="10">
        <f t="shared" si="84"/>
        <v>-1.7763568394002505E-15</v>
      </c>
      <c r="P845" s="10">
        <f>IFERROR(SUMIFS('Base bordo'!G$2:G$746,'Base bordo'!C$2:C$746,A845,'Base bordo'!B$2:B$746,B845),0)</f>
        <v>13.704999999999997</v>
      </c>
      <c r="Q845" s="10">
        <f>IFERROR(SUMIFS('Base bordo'!H$2:H$746,'Base bordo'!C$2:C$746,A845,'Base bordo'!B$2:B$746,B845,'Base bordo'!F$2:F$746,"DESLOCAMENTO VAZIO"),0)</f>
        <v>68224.05</v>
      </c>
      <c r="R845" s="10">
        <f>IFERROR(SUMIFS('Base bordo'!I$2:I$746,'Base bordo'!C$2:C$746,A845,'Base bordo'!B$2:B$746,B845,'Base bordo'!F$2:F$746,"DESLOCAMENTO VAZIO"),0)</f>
        <v>3208</v>
      </c>
      <c r="S845" s="30">
        <f t="shared" si="85"/>
        <v>21.266848503740651</v>
      </c>
      <c r="T845" s="10">
        <f>IFERROR(SUMIFS('Base bordo'!H$2:H$746,'Base bordo'!C$2:C$746,A845,'Base bordo'!B$2:B$746,B845,'Base bordo'!F$2:F$746,"DESLOCAMENTO CARREGADO"),0)</f>
        <v>68053.69</v>
      </c>
      <c r="U845" s="10">
        <f>IFERROR(SUMIFS('Base bordo'!I$2:I$746,'Base bordo'!C$2:C$746,A845,'Base bordo'!B$2:B$746,B845,'Base bordo'!F$2:F$746,"DESLOCAMENTO CARREGADO"),0)</f>
        <v>2788</v>
      </c>
      <c r="V845" s="30">
        <f t="shared" si="86"/>
        <v>24.40950143472023</v>
      </c>
      <c r="W845" s="9">
        <f t="shared" si="87"/>
        <v>6.5020876403583464E-2</v>
      </c>
      <c r="X845" s="9">
        <f t="shared" si="88"/>
        <v>5.6508168146256456E-2</v>
      </c>
      <c r="Y845" s="9">
        <f t="shared" si="89"/>
        <v>0.87847095545016007</v>
      </c>
    </row>
    <row r="846" spans="1:25" ht="15" customHeight="1" x14ac:dyDescent="0.35">
      <c r="A846" s="52">
        <v>8013485</v>
      </c>
      <c r="B846" s="51">
        <v>46118</v>
      </c>
      <c r="C846" s="7" t="s">
        <v>124</v>
      </c>
      <c r="D846" s="10">
        <f>IFERROR(SUMIFS('Base bordo'!G$2:G$746,'Base bordo'!C$2:C$746,A846,'Base bordo'!B$2:B$746,B846,'Base bordo'!F$2:F$746,"DESLOCAMENTO VAZIO"),0)</f>
        <v>0.89111111111111108</v>
      </c>
      <c r="E846" s="10">
        <f>IFERROR(SUMIFS('Base bordo'!G$2:G$746,'Base bordo'!C$2:C$746,A846,'Base bordo'!B$2:B$746,B846,'Base bordo'!F$2:F$746,"DESLOCAMENTO CARREGADO"),0)</f>
        <v>0.77444444444444449</v>
      </c>
      <c r="F846" s="10">
        <f>IFERROR(SUMIFS('Base bordo'!G$2:G$746,'Base bordo'!C$2:C$746,A846,'Base bordo'!B$2:B$746,B846,'Base bordo'!F$2:F$746,"DESLOCAMENTO"),0)</f>
        <v>1.0216666666666667</v>
      </c>
      <c r="G846" s="10">
        <f>IFERROR(SUMIFS('Base bordo'!G$2:G$746,'Base bordo'!C$2:C$746,A846,'Base bordo'!B$2:B$746,B846,'Base bordo'!F$2:F$746,"CARREGAMENTO"),0)</f>
        <v>0</v>
      </c>
      <c r="H846" s="10">
        <f>IFERROR(SUMIFS('Base bordo'!G$2:G$746,'Base bordo'!C$2:C$746,A846,'Base bordo'!B$2:B$746,B846,'Base bordo'!F$2:F$746,"AGUARDANDO TRANSBORDO"),0)</f>
        <v>0.33083333333333331</v>
      </c>
      <c r="I846" s="10">
        <f>IFERROR(SUMIFS('Base bordo'!G$2:G$746,'Base bordo'!C$2:C$746,A846,'Base bordo'!B$2:B$746,B846,'Base bordo'!F$2:F$746,"PÁTIO INTERNO"),0)+IFERROR(SUMIFS('Base bordo'!G$2:G$746,'Base bordo'!C$2:C$746,A846,'Base bordo'!B$2:B$746,B846,'Base bordo'!F$2:F$746,"PÁTIO EXTERNO"),0)+IFERROR(SUMIFS('Base bordo'!G$2:G$746,'Base bordo'!C$2:C$746,A846,'Base bordo'!B$2:B$746,B846,'Base bordo'!F$2:F$746,"PATIO - RESERVA"),0)+IFERROR(SUMIFS('Base bordo'!G$2:G$746,'Base bordo'!C$2:C$746,A846,'Base bordo'!B$2:B$746,B846,'Base bordo'!F$2:F$746,"MANOBRA CARRETAS-PATIO"),0)</f>
        <v>10.650555555555554</v>
      </c>
      <c r="J846" s="10">
        <f>IFERROR(SUMIFS('Base bordo'!G$2:G$746,'Base bordo'!C$2:C$746,A846,'Base bordo'!B$2:B$746,B846,'Base bordo'!F$2:F$746,"BALANÇA - ENTRADA"),0)+IFERROR(SUMIFS('Base bordo'!G$2:G$746,'Base bordo'!C$2:C$746,A846,'Base bordo'!B$2:B$746,B846,'Base bordo'!F$2:F$746,"BALANÇA - SAÍDA"),0)</f>
        <v>3.6388888888888887E-2</v>
      </c>
      <c r="K846" s="10">
        <f>IFERROR(SUMIFS('Base bordo'!G$2:G$746,'Base bordo'!C$2:C$746,A846,'Base bordo'!B$2:B$746,B846,'Base bordo'!F$2:F$746,"MAN PREVENTIVA - MECANICA"),0)+IFERROR(SUMIFS('Base bordo'!G$2:G$746,'Base bordo'!C$2:C$746,A846,'Base bordo'!B$2:B$746,B846,'Base bordo'!F$2:F$746,"MAN CORRETIVA - MECANICA"),0)</f>
        <v>0</v>
      </c>
      <c r="L846" s="10">
        <f>IFERROR(SUMIFS('Base bordo'!G$2:G$746,'Base bordo'!C$2:C$746,A846,'Base bordo'!B$2:B$746,B846,'Base bordo'!F$2:F$746,"MANUTENCAO - T O"),0)+IFERROR(SUMIFS('Base bordo'!G$2:G$746,'Base bordo'!C$2:C$746,A846,'Base bordo'!B$2:B$746,B846,'Base bordo'!F$2:F$746,"MANUTENCAO BORRACHARIA"),0)+IFERROR(SUMIFS('Base bordo'!G$2:G$746,'Base bordo'!C$2:C$746,A846,'Base bordo'!B$2:B$746,B846,'Base bordo'!F$2:F$746,"MANUTENCAO EXTERNA  CONCESSIONARIA"),0)+IFERROR(SUMIFS('Base bordo'!G$2:G$746,'Base bordo'!C$2:C$746,A846,'Base bordo'!B$2:B$746,B846,'Base bordo'!F$2:F$746,"MANUTENCAO TELEMETRIA"),0)</f>
        <v>0</v>
      </c>
      <c r="M846" s="10">
        <f>IFERROR(SUMIFS('Base bordo'!G$2:G$746,'Base bordo'!C$2:C$746,A846,'Base bordo'!B$2:B$746,B846,'Base bordo'!F$2:F$746,"AGUARDANDO MANUTENCAO"),0)</f>
        <v>0</v>
      </c>
      <c r="N846" s="10">
        <f>IFERROR(SUMIFS('Base bordo'!G$2:G$746,'Base bordo'!C$2:C$746,A846,'Base bordo'!B$2:B$746,B846,'Base bordo'!F$2:F$746,"SEM APONTAMENTO"),0)</f>
        <v>0</v>
      </c>
      <c r="O846" s="10">
        <f t="shared" si="84"/>
        <v>-1.7763568394002505E-15</v>
      </c>
      <c r="P846" s="10">
        <f>IFERROR(SUMIFS('Base bordo'!G$2:G$746,'Base bordo'!C$2:C$746,A846,'Base bordo'!B$2:B$746,B846),0)</f>
        <v>13.704999999999997</v>
      </c>
      <c r="Q846" s="10">
        <f>IFERROR(SUMIFS('Base bordo'!H$2:H$746,'Base bordo'!C$2:C$746,A846,'Base bordo'!B$2:B$746,B846,'Base bordo'!F$2:F$746,"DESLOCAMENTO VAZIO"),0)</f>
        <v>68224.05</v>
      </c>
      <c r="R846" s="10">
        <f>IFERROR(SUMIFS('Base bordo'!I$2:I$746,'Base bordo'!C$2:C$746,A846,'Base bordo'!B$2:B$746,B846,'Base bordo'!F$2:F$746,"DESLOCAMENTO VAZIO"),0)</f>
        <v>3208</v>
      </c>
      <c r="S846" s="30">
        <f t="shared" si="85"/>
        <v>21.266848503740651</v>
      </c>
      <c r="T846" s="10">
        <f>IFERROR(SUMIFS('Base bordo'!H$2:H$746,'Base bordo'!C$2:C$746,A846,'Base bordo'!B$2:B$746,B846,'Base bordo'!F$2:F$746,"DESLOCAMENTO CARREGADO"),0)</f>
        <v>68053.69</v>
      </c>
      <c r="U846" s="10">
        <f>IFERROR(SUMIFS('Base bordo'!I$2:I$746,'Base bordo'!C$2:C$746,A846,'Base bordo'!B$2:B$746,B846,'Base bordo'!F$2:F$746,"DESLOCAMENTO CARREGADO"),0)</f>
        <v>2788</v>
      </c>
      <c r="V846" s="30">
        <f t="shared" si="86"/>
        <v>24.40950143472023</v>
      </c>
      <c r="W846" s="9">
        <f t="shared" si="87"/>
        <v>6.5020876403583464E-2</v>
      </c>
      <c r="X846" s="9">
        <f t="shared" si="88"/>
        <v>5.6508168146256456E-2</v>
      </c>
      <c r="Y846" s="9">
        <f t="shared" si="89"/>
        <v>0.87847095545016007</v>
      </c>
    </row>
    <row r="847" spans="1:25" ht="15" customHeight="1" x14ac:dyDescent="0.35">
      <c r="A847" s="52">
        <v>8013485</v>
      </c>
      <c r="B847" s="51">
        <v>46118</v>
      </c>
      <c r="C847" s="7" t="s">
        <v>124</v>
      </c>
      <c r="D847" s="10">
        <f>IFERROR(SUMIFS('Base bordo'!G$2:G$746,'Base bordo'!C$2:C$746,A847,'Base bordo'!B$2:B$746,B847,'Base bordo'!F$2:F$746,"DESLOCAMENTO VAZIO"),0)</f>
        <v>0.89111111111111108</v>
      </c>
      <c r="E847" s="10">
        <f>IFERROR(SUMIFS('Base bordo'!G$2:G$746,'Base bordo'!C$2:C$746,A847,'Base bordo'!B$2:B$746,B847,'Base bordo'!F$2:F$746,"DESLOCAMENTO CARREGADO"),0)</f>
        <v>0.77444444444444449</v>
      </c>
      <c r="F847" s="10">
        <f>IFERROR(SUMIFS('Base bordo'!G$2:G$746,'Base bordo'!C$2:C$746,A847,'Base bordo'!B$2:B$746,B847,'Base bordo'!F$2:F$746,"DESLOCAMENTO"),0)</f>
        <v>1.0216666666666667</v>
      </c>
      <c r="G847" s="10">
        <f>IFERROR(SUMIFS('Base bordo'!G$2:G$746,'Base bordo'!C$2:C$746,A847,'Base bordo'!B$2:B$746,B847,'Base bordo'!F$2:F$746,"CARREGAMENTO"),0)</f>
        <v>0</v>
      </c>
      <c r="H847" s="10">
        <f>IFERROR(SUMIFS('Base bordo'!G$2:G$746,'Base bordo'!C$2:C$746,A847,'Base bordo'!B$2:B$746,B847,'Base bordo'!F$2:F$746,"AGUARDANDO TRANSBORDO"),0)</f>
        <v>0.33083333333333331</v>
      </c>
      <c r="I847" s="10">
        <f>IFERROR(SUMIFS('Base bordo'!G$2:G$746,'Base bordo'!C$2:C$746,A847,'Base bordo'!B$2:B$746,B847,'Base bordo'!F$2:F$746,"PÁTIO INTERNO"),0)+IFERROR(SUMIFS('Base bordo'!G$2:G$746,'Base bordo'!C$2:C$746,A847,'Base bordo'!B$2:B$746,B847,'Base bordo'!F$2:F$746,"PÁTIO EXTERNO"),0)+IFERROR(SUMIFS('Base bordo'!G$2:G$746,'Base bordo'!C$2:C$746,A847,'Base bordo'!B$2:B$746,B847,'Base bordo'!F$2:F$746,"PATIO - RESERVA"),0)+IFERROR(SUMIFS('Base bordo'!G$2:G$746,'Base bordo'!C$2:C$746,A847,'Base bordo'!B$2:B$746,B847,'Base bordo'!F$2:F$746,"MANOBRA CARRETAS-PATIO"),0)</f>
        <v>10.650555555555554</v>
      </c>
      <c r="J847" s="10">
        <f>IFERROR(SUMIFS('Base bordo'!G$2:G$746,'Base bordo'!C$2:C$746,A847,'Base bordo'!B$2:B$746,B847,'Base bordo'!F$2:F$746,"BALANÇA - ENTRADA"),0)+IFERROR(SUMIFS('Base bordo'!G$2:G$746,'Base bordo'!C$2:C$746,A847,'Base bordo'!B$2:B$746,B847,'Base bordo'!F$2:F$746,"BALANÇA - SAÍDA"),0)</f>
        <v>3.6388888888888887E-2</v>
      </c>
      <c r="K847" s="10">
        <f>IFERROR(SUMIFS('Base bordo'!G$2:G$746,'Base bordo'!C$2:C$746,A847,'Base bordo'!B$2:B$746,B847,'Base bordo'!F$2:F$746,"MAN PREVENTIVA - MECANICA"),0)+IFERROR(SUMIFS('Base bordo'!G$2:G$746,'Base bordo'!C$2:C$746,A847,'Base bordo'!B$2:B$746,B847,'Base bordo'!F$2:F$746,"MAN CORRETIVA - MECANICA"),0)</f>
        <v>0</v>
      </c>
      <c r="L847" s="10">
        <f>IFERROR(SUMIFS('Base bordo'!G$2:G$746,'Base bordo'!C$2:C$746,A847,'Base bordo'!B$2:B$746,B847,'Base bordo'!F$2:F$746,"MANUTENCAO - T O"),0)+IFERROR(SUMIFS('Base bordo'!G$2:G$746,'Base bordo'!C$2:C$746,A847,'Base bordo'!B$2:B$746,B847,'Base bordo'!F$2:F$746,"MANUTENCAO BORRACHARIA"),0)+IFERROR(SUMIFS('Base bordo'!G$2:G$746,'Base bordo'!C$2:C$746,A847,'Base bordo'!B$2:B$746,B847,'Base bordo'!F$2:F$746,"MANUTENCAO EXTERNA  CONCESSIONARIA"),0)+IFERROR(SUMIFS('Base bordo'!G$2:G$746,'Base bordo'!C$2:C$746,A847,'Base bordo'!B$2:B$746,B847,'Base bordo'!F$2:F$746,"MANUTENCAO TELEMETRIA"),0)</f>
        <v>0</v>
      </c>
      <c r="M847" s="10">
        <f>IFERROR(SUMIFS('Base bordo'!G$2:G$746,'Base bordo'!C$2:C$746,A847,'Base bordo'!B$2:B$746,B847,'Base bordo'!F$2:F$746,"AGUARDANDO MANUTENCAO"),0)</f>
        <v>0</v>
      </c>
      <c r="N847" s="10">
        <f>IFERROR(SUMIFS('Base bordo'!G$2:G$746,'Base bordo'!C$2:C$746,A847,'Base bordo'!B$2:B$746,B847,'Base bordo'!F$2:F$746,"SEM APONTAMENTO"),0)</f>
        <v>0</v>
      </c>
      <c r="O847" s="10">
        <f t="shared" ref="O847:O910" si="90">IFERROR(P847-SUM(D847:N847),0)</f>
        <v>-1.7763568394002505E-15</v>
      </c>
      <c r="P847" s="10">
        <f>IFERROR(SUMIFS('Base bordo'!G$2:G$746,'Base bordo'!C$2:C$746,A847,'Base bordo'!B$2:B$746,B847),0)</f>
        <v>13.704999999999997</v>
      </c>
      <c r="Q847" s="10">
        <f>IFERROR(SUMIFS('Base bordo'!H$2:H$746,'Base bordo'!C$2:C$746,A847,'Base bordo'!B$2:B$746,B847,'Base bordo'!F$2:F$746,"DESLOCAMENTO VAZIO"),0)</f>
        <v>68224.05</v>
      </c>
      <c r="R847" s="10">
        <f>IFERROR(SUMIFS('Base bordo'!I$2:I$746,'Base bordo'!C$2:C$746,A847,'Base bordo'!B$2:B$746,B847,'Base bordo'!F$2:F$746,"DESLOCAMENTO VAZIO"),0)</f>
        <v>3208</v>
      </c>
      <c r="S847" s="30">
        <f t="shared" ref="S847:S910" si="91">IFERROR(Q847/R847,"")</f>
        <v>21.266848503740651</v>
      </c>
      <c r="T847" s="10">
        <f>IFERROR(SUMIFS('Base bordo'!H$2:H$746,'Base bordo'!C$2:C$746,A847,'Base bordo'!B$2:B$746,B847,'Base bordo'!F$2:F$746,"DESLOCAMENTO CARREGADO"),0)</f>
        <v>68053.69</v>
      </c>
      <c r="U847" s="10">
        <f>IFERROR(SUMIFS('Base bordo'!I$2:I$746,'Base bordo'!C$2:C$746,A847,'Base bordo'!B$2:B$746,B847,'Base bordo'!F$2:F$746,"DESLOCAMENTO CARREGADO"),0)</f>
        <v>2788</v>
      </c>
      <c r="V847" s="30">
        <f t="shared" ref="V847:V910" si="92">IFERROR(T847/U847,"")</f>
        <v>24.40950143472023</v>
      </c>
      <c r="W847" s="9">
        <f t="shared" ref="W847:W910" si="93">IFERROR(D847/P847,0)</f>
        <v>6.5020876403583464E-2</v>
      </c>
      <c r="X847" s="9">
        <f t="shared" ref="X847:X910" si="94">IFERROR(E847/P847,0)</f>
        <v>5.6508168146256456E-2</v>
      </c>
      <c r="Y847" s="9">
        <f t="shared" ref="Y847:Y910" si="95">IFERROR(1-((D847+E847)/P847),0)</f>
        <v>0.87847095545016007</v>
      </c>
    </row>
    <row r="848" spans="1:25" ht="15" customHeight="1" x14ac:dyDescent="0.35">
      <c r="A848" s="52">
        <v>8013486</v>
      </c>
      <c r="B848" s="51">
        <v>46118</v>
      </c>
      <c r="C848" s="7" t="s">
        <v>124</v>
      </c>
      <c r="D848" s="10">
        <f>IFERROR(SUMIFS('Base bordo'!G$2:G$746,'Base bordo'!C$2:C$746,A848,'Base bordo'!B$2:B$746,B848,'Base bordo'!F$2:F$746,"DESLOCAMENTO VAZIO"),0)</f>
        <v>0.90972222222222221</v>
      </c>
      <c r="E848" s="10">
        <f>IFERROR(SUMIFS('Base bordo'!G$2:G$746,'Base bordo'!C$2:C$746,A848,'Base bordo'!B$2:B$746,B848,'Base bordo'!F$2:F$746,"DESLOCAMENTO CARREGADO"),0)</f>
        <v>1.7558333333333334</v>
      </c>
      <c r="F848" s="10">
        <f>IFERROR(SUMIFS('Base bordo'!G$2:G$746,'Base bordo'!C$2:C$746,A848,'Base bordo'!B$2:B$746,B848,'Base bordo'!F$2:F$746,"DESLOCAMENTO"),0)</f>
        <v>6.0436111111111108</v>
      </c>
      <c r="G848" s="10">
        <f>IFERROR(SUMIFS('Base bordo'!G$2:G$746,'Base bordo'!C$2:C$746,A848,'Base bordo'!B$2:B$746,B848,'Base bordo'!F$2:F$746,"CARREGAMENTO"),0)</f>
        <v>0</v>
      </c>
      <c r="H848" s="10">
        <f>IFERROR(SUMIFS('Base bordo'!G$2:G$746,'Base bordo'!C$2:C$746,A848,'Base bordo'!B$2:B$746,B848,'Base bordo'!F$2:F$746,"AGUARDANDO TRANSBORDO"),0)</f>
        <v>0</v>
      </c>
      <c r="I848" s="10">
        <f>IFERROR(SUMIFS('Base bordo'!G$2:G$746,'Base bordo'!C$2:C$746,A848,'Base bordo'!B$2:B$746,B848,'Base bordo'!F$2:F$746,"PÁTIO INTERNO"),0)+IFERROR(SUMIFS('Base bordo'!G$2:G$746,'Base bordo'!C$2:C$746,A848,'Base bordo'!B$2:B$746,B848,'Base bordo'!F$2:F$746,"PÁTIO EXTERNO"),0)+IFERROR(SUMIFS('Base bordo'!G$2:G$746,'Base bordo'!C$2:C$746,A848,'Base bordo'!B$2:B$746,B848,'Base bordo'!F$2:F$746,"PATIO - RESERVA"),0)+IFERROR(SUMIFS('Base bordo'!G$2:G$746,'Base bordo'!C$2:C$746,A848,'Base bordo'!B$2:B$746,B848,'Base bordo'!F$2:F$746,"MANOBRA CARRETAS-PATIO"),0)</f>
        <v>3.7905555555555552</v>
      </c>
      <c r="J848" s="10">
        <f>IFERROR(SUMIFS('Base bordo'!G$2:G$746,'Base bordo'!C$2:C$746,A848,'Base bordo'!B$2:B$746,B848,'Base bordo'!F$2:F$746,"BALANÇA - ENTRADA"),0)+IFERROR(SUMIFS('Base bordo'!G$2:G$746,'Base bordo'!C$2:C$746,A848,'Base bordo'!B$2:B$746,B848,'Base bordo'!F$2:F$746,"BALANÇA - SAÍDA"),0)</f>
        <v>5.6666666666666664E-2</v>
      </c>
      <c r="K848" s="10">
        <f>IFERROR(SUMIFS('Base bordo'!G$2:G$746,'Base bordo'!C$2:C$746,A848,'Base bordo'!B$2:B$746,B848,'Base bordo'!F$2:F$746,"MAN PREVENTIVA - MECANICA"),0)+IFERROR(SUMIFS('Base bordo'!G$2:G$746,'Base bordo'!C$2:C$746,A848,'Base bordo'!B$2:B$746,B848,'Base bordo'!F$2:F$746,"MAN CORRETIVA - MECANICA"),0)</f>
        <v>0</v>
      </c>
      <c r="L848" s="10">
        <f>IFERROR(SUMIFS('Base bordo'!G$2:G$746,'Base bordo'!C$2:C$746,A848,'Base bordo'!B$2:B$746,B848,'Base bordo'!F$2:F$746,"MANUTENCAO - T O"),0)+IFERROR(SUMIFS('Base bordo'!G$2:G$746,'Base bordo'!C$2:C$746,A848,'Base bordo'!B$2:B$746,B848,'Base bordo'!F$2:F$746,"MANUTENCAO BORRACHARIA"),0)+IFERROR(SUMIFS('Base bordo'!G$2:G$746,'Base bordo'!C$2:C$746,A848,'Base bordo'!B$2:B$746,B848,'Base bordo'!F$2:F$746,"MANUTENCAO EXTERNA  CONCESSIONARIA"),0)+IFERROR(SUMIFS('Base bordo'!G$2:G$746,'Base bordo'!C$2:C$746,A848,'Base bordo'!B$2:B$746,B848,'Base bordo'!F$2:F$746,"MANUTENCAO TELEMETRIA"),0)</f>
        <v>9.4491666666666667</v>
      </c>
      <c r="M848" s="10">
        <f>IFERROR(SUMIFS('Base bordo'!G$2:G$746,'Base bordo'!C$2:C$746,A848,'Base bordo'!B$2:B$746,B848,'Base bordo'!F$2:F$746,"AGUARDANDO MANUTENCAO"),0)</f>
        <v>0</v>
      </c>
      <c r="N848" s="10">
        <f>IFERROR(SUMIFS('Base bordo'!G$2:G$746,'Base bordo'!C$2:C$746,A848,'Base bordo'!B$2:B$746,B848,'Base bordo'!F$2:F$746,"SEM APONTAMENTO"),0)</f>
        <v>0</v>
      </c>
      <c r="O848" s="10">
        <f t="shared" si="90"/>
        <v>0.20222222222222541</v>
      </c>
      <c r="P848" s="10">
        <f>IFERROR(SUMIFS('Base bordo'!G$2:G$746,'Base bordo'!C$2:C$746,A848,'Base bordo'!B$2:B$746,B848),0)</f>
        <v>22.207777777777778</v>
      </c>
      <c r="Q848" s="10">
        <f>IFERROR(SUMIFS('Base bordo'!H$2:H$746,'Base bordo'!C$2:C$746,A848,'Base bordo'!B$2:B$746,B848,'Base bordo'!F$2:F$746,"DESLOCAMENTO VAZIO"),0)</f>
        <v>86336.93</v>
      </c>
      <c r="R848" s="10">
        <f>IFERROR(SUMIFS('Base bordo'!I$2:I$746,'Base bordo'!C$2:C$746,A848,'Base bordo'!B$2:B$746,B848,'Base bordo'!F$2:F$746,"DESLOCAMENTO VAZIO"),0)</f>
        <v>3275</v>
      </c>
      <c r="S848" s="30">
        <f t="shared" si="91"/>
        <v>26.362421374045798</v>
      </c>
      <c r="T848" s="10">
        <f>IFERROR(SUMIFS('Base bordo'!H$2:H$746,'Base bordo'!C$2:C$746,A848,'Base bordo'!B$2:B$746,B848,'Base bordo'!F$2:F$746,"DESLOCAMENTO CARREGADO"),0)</f>
        <v>166427.58000000002</v>
      </c>
      <c r="U848" s="10">
        <f>IFERROR(SUMIFS('Base bordo'!I$2:I$746,'Base bordo'!C$2:C$746,A848,'Base bordo'!B$2:B$746,B848,'Base bordo'!F$2:F$746,"DESLOCAMENTO CARREGADO"),0)</f>
        <v>6321</v>
      </c>
      <c r="V848" s="30">
        <f t="shared" si="92"/>
        <v>26.329311817750359</v>
      </c>
      <c r="W848" s="9">
        <f t="shared" si="93"/>
        <v>4.0964126682343519E-2</v>
      </c>
      <c r="X848" s="9">
        <f t="shared" si="94"/>
        <v>7.9063891529494168E-2</v>
      </c>
      <c r="Y848" s="9">
        <f t="shared" si="95"/>
        <v>0.87997198178816227</v>
      </c>
    </row>
    <row r="849" spans="1:25" ht="15" customHeight="1" x14ac:dyDescent="0.35">
      <c r="A849" s="52">
        <v>8013486</v>
      </c>
      <c r="B849" s="51">
        <v>46118</v>
      </c>
      <c r="C849" s="7" t="s">
        <v>124</v>
      </c>
      <c r="D849" s="10">
        <f>IFERROR(SUMIFS('Base bordo'!G$2:G$746,'Base bordo'!C$2:C$746,A849,'Base bordo'!B$2:B$746,B849,'Base bordo'!F$2:F$746,"DESLOCAMENTO VAZIO"),0)</f>
        <v>0.90972222222222221</v>
      </c>
      <c r="E849" s="10">
        <f>IFERROR(SUMIFS('Base bordo'!G$2:G$746,'Base bordo'!C$2:C$746,A849,'Base bordo'!B$2:B$746,B849,'Base bordo'!F$2:F$746,"DESLOCAMENTO CARREGADO"),0)</f>
        <v>1.7558333333333334</v>
      </c>
      <c r="F849" s="10">
        <f>IFERROR(SUMIFS('Base bordo'!G$2:G$746,'Base bordo'!C$2:C$746,A849,'Base bordo'!B$2:B$746,B849,'Base bordo'!F$2:F$746,"DESLOCAMENTO"),0)</f>
        <v>6.0436111111111108</v>
      </c>
      <c r="G849" s="10">
        <f>IFERROR(SUMIFS('Base bordo'!G$2:G$746,'Base bordo'!C$2:C$746,A849,'Base bordo'!B$2:B$746,B849,'Base bordo'!F$2:F$746,"CARREGAMENTO"),0)</f>
        <v>0</v>
      </c>
      <c r="H849" s="10">
        <f>IFERROR(SUMIFS('Base bordo'!G$2:G$746,'Base bordo'!C$2:C$746,A849,'Base bordo'!B$2:B$746,B849,'Base bordo'!F$2:F$746,"AGUARDANDO TRANSBORDO"),0)</f>
        <v>0</v>
      </c>
      <c r="I849" s="10">
        <f>IFERROR(SUMIFS('Base bordo'!G$2:G$746,'Base bordo'!C$2:C$746,A849,'Base bordo'!B$2:B$746,B849,'Base bordo'!F$2:F$746,"PÁTIO INTERNO"),0)+IFERROR(SUMIFS('Base bordo'!G$2:G$746,'Base bordo'!C$2:C$746,A849,'Base bordo'!B$2:B$746,B849,'Base bordo'!F$2:F$746,"PÁTIO EXTERNO"),0)+IFERROR(SUMIFS('Base bordo'!G$2:G$746,'Base bordo'!C$2:C$746,A849,'Base bordo'!B$2:B$746,B849,'Base bordo'!F$2:F$746,"PATIO - RESERVA"),0)+IFERROR(SUMIFS('Base bordo'!G$2:G$746,'Base bordo'!C$2:C$746,A849,'Base bordo'!B$2:B$746,B849,'Base bordo'!F$2:F$746,"MANOBRA CARRETAS-PATIO"),0)</f>
        <v>3.7905555555555552</v>
      </c>
      <c r="J849" s="10">
        <f>IFERROR(SUMIFS('Base bordo'!G$2:G$746,'Base bordo'!C$2:C$746,A849,'Base bordo'!B$2:B$746,B849,'Base bordo'!F$2:F$746,"BALANÇA - ENTRADA"),0)+IFERROR(SUMIFS('Base bordo'!G$2:G$746,'Base bordo'!C$2:C$746,A849,'Base bordo'!B$2:B$746,B849,'Base bordo'!F$2:F$746,"BALANÇA - SAÍDA"),0)</f>
        <v>5.6666666666666664E-2</v>
      </c>
      <c r="K849" s="10">
        <f>IFERROR(SUMIFS('Base bordo'!G$2:G$746,'Base bordo'!C$2:C$746,A849,'Base bordo'!B$2:B$746,B849,'Base bordo'!F$2:F$746,"MAN PREVENTIVA - MECANICA"),0)+IFERROR(SUMIFS('Base bordo'!G$2:G$746,'Base bordo'!C$2:C$746,A849,'Base bordo'!B$2:B$746,B849,'Base bordo'!F$2:F$746,"MAN CORRETIVA - MECANICA"),0)</f>
        <v>0</v>
      </c>
      <c r="L849" s="10">
        <f>IFERROR(SUMIFS('Base bordo'!G$2:G$746,'Base bordo'!C$2:C$746,A849,'Base bordo'!B$2:B$746,B849,'Base bordo'!F$2:F$746,"MANUTENCAO - T O"),0)+IFERROR(SUMIFS('Base bordo'!G$2:G$746,'Base bordo'!C$2:C$746,A849,'Base bordo'!B$2:B$746,B849,'Base bordo'!F$2:F$746,"MANUTENCAO BORRACHARIA"),0)+IFERROR(SUMIFS('Base bordo'!G$2:G$746,'Base bordo'!C$2:C$746,A849,'Base bordo'!B$2:B$746,B849,'Base bordo'!F$2:F$746,"MANUTENCAO EXTERNA  CONCESSIONARIA"),0)+IFERROR(SUMIFS('Base bordo'!G$2:G$746,'Base bordo'!C$2:C$746,A849,'Base bordo'!B$2:B$746,B849,'Base bordo'!F$2:F$746,"MANUTENCAO TELEMETRIA"),0)</f>
        <v>9.4491666666666667</v>
      </c>
      <c r="M849" s="10">
        <f>IFERROR(SUMIFS('Base bordo'!G$2:G$746,'Base bordo'!C$2:C$746,A849,'Base bordo'!B$2:B$746,B849,'Base bordo'!F$2:F$746,"AGUARDANDO MANUTENCAO"),0)</f>
        <v>0</v>
      </c>
      <c r="N849" s="10">
        <f>IFERROR(SUMIFS('Base bordo'!G$2:G$746,'Base bordo'!C$2:C$746,A849,'Base bordo'!B$2:B$746,B849,'Base bordo'!F$2:F$746,"SEM APONTAMENTO"),0)</f>
        <v>0</v>
      </c>
      <c r="O849" s="10">
        <f t="shared" si="90"/>
        <v>0.20222222222222541</v>
      </c>
      <c r="P849" s="10">
        <f>IFERROR(SUMIFS('Base bordo'!G$2:G$746,'Base bordo'!C$2:C$746,A849,'Base bordo'!B$2:B$746,B849),0)</f>
        <v>22.207777777777778</v>
      </c>
      <c r="Q849" s="10">
        <f>IFERROR(SUMIFS('Base bordo'!H$2:H$746,'Base bordo'!C$2:C$746,A849,'Base bordo'!B$2:B$746,B849,'Base bordo'!F$2:F$746,"DESLOCAMENTO VAZIO"),0)</f>
        <v>86336.93</v>
      </c>
      <c r="R849" s="10">
        <f>IFERROR(SUMIFS('Base bordo'!I$2:I$746,'Base bordo'!C$2:C$746,A849,'Base bordo'!B$2:B$746,B849,'Base bordo'!F$2:F$746,"DESLOCAMENTO VAZIO"),0)</f>
        <v>3275</v>
      </c>
      <c r="S849" s="30">
        <f t="shared" si="91"/>
        <v>26.362421374045798</v>
      </c>
      <c r="T849" s="10">
        <f>IFERROR(SUMIFS('Base bordo'!H$2:H$746,'Base bordo'!C$2:C$746,A849,'Base bordo'!B$2:B$746,B849,'Base bordo'!F$2:F$746,"DESLOCAMENTO CARREGADO"),0)</f>
        <v>166427.58000000002</v>
      </c>
      <c r="U849" s="10">
        <f>IFERROR(SUMIFS('Base bordo'!I$2:I$746,'Base bordo'!C$2:C$746,A849,'Base bordo'!B$2:B$746,B849,'Base bordo'!F$2:F$746,"DESLOCAMENTO CARREGADO"),0)</f>
        <v>6321</v>
      </c>
      <c r="V849" s="30">
        <f t="shared" si="92"/>
        <v>26.329311817750359</v>
      </c>
      <c r="W849" s="9">
        <f t="shared" si="93"/>
        <v>4.0964126682343519E-2</v>
      </c>
      <c r="X849" s="9">
        <f t="shared" si="94"/>
        <v>7.9063891529494168E-2</v>
      </c>
      <c r="Y849" s="9">
        <f t="shared" si="95"/>
        <v>0.87997198178816227</v>
      </c>
    </row>
    <row r="850" spans="1:25" ht="15" customHeight="1" x14ac:dyDescent="0.35">
      <c r="A850" s="52">
        <v>8013486</v>
      </c>
      <c r="B850" s="51">
        <v>46118</v>
      </c>
      <c r="C850" s="7" t="s">
        <v>124</v>
      </c>
      <c r="D850" s="10">
        <f>IFERROR(SUMIFS('Base bordo'!G$2:G$746,'Base bordo'!C$2:C$746,A850,'Base bordo'!B$2:B$746,B850,'Base bordo'!F$2:F$746,"DESLOCAMENTO VAZIO"),0)</f>
        <v>0.90972222222222221</v>
      </c>
      <c r="E850" s="10">
        <f>IFERROR(SUMIFS('Base bordo'!G$2:G$746,'Base bordo'!C$2:C$746,A850,'Base bordo'!B$2:B$746,B850,'Base bordo'!F$2:F$746,"DESLOCAMENTO CARREGADO"),0)</f>
        <v>1.7558333333333334</v>
      </c>
      <c r="F850" s="10">
        <f>IFERROR(SUMIFS('Base bordo'!G$2:G$746,'Base bordo'!C$2:C$746,A850,'Base bordo'!B$2:B$746,B850,'Base bordo'!F$2:F$746,"DESLOCAMENTO"),0)</f>
        <v>6.0436111111111108</v>
      </c>
      <c r="G850" s="10">
        <f>IFERROR(SUMIFS('Base bordo'!G$2:G$746,'Base bordo'!C$2:C$746,A850,'Base bordo'!B$2:B$746,B850,'Base bordo'!F$2:F$746,"CARREGAMENTO"),0)</f>
        <v>0</v>
      </c>
      <c r="H850" s="10">
        <f>IFERROR(SUMIFS('Base bordo'!G$2:G$746,'Base bordo'!C$2:C$746,A850,'Base bordo'!B$2:B$746,B850,'Base bordo'!F$2:F$746,"AGUARDANDO TRANSBORDO"),0)</f>
        <v>0</v>
      </c>
      <c r="I850" s="10">
        <f>IFERROR(SUMIFS('Base bordo'!G$2:G$746,'Base bordo'!C$2:C$746,A850,'Base bordo'!B$2:B$746,B850,'Base bordo'!F$2:F$746,"PÁTIO INTERNO"),0)+IFERROR(SUMIFS('Base bordo'!G$2:G$746,'Base bordo'!C$2:C$746,A850,'Base bordo'!B$2:B$746,B850,'Base bordo'!F$2:F$746,"PÁTIO EXTERNO"),0)+IFERROR(SUMIFS('Base bordo'!G$2:G$746,'Base bordo'!C$2:C$746,A850,'Base bordo'!B$2:B$746,B850,'Base bordo'!F$2:F$746,"PATIO - RESERVA"),0)+IFERROR(SUMIFS('Base bordo'!G$2:G$746,'Base bordo'!C$2:C$746,A850,'Base bordo'!B$2:B$746,B850,'Base bordo'!F$2:F$746,"MANOBRA CARRETAS-PATIO"),0)</f>
        <v>3.7905555555555552</v>
      </c>
      <c r="J850" s="10">
        <f>IFERROR(SUMIFS('Base bordo'!G$2:G$746,'Base bordo'!C$2:C$746,A850,'Base bordo'!B$2:B$746,B850,'Base bordo'!F$2:F$746,"BALANÇA - ENTRADA"),0)+IFERROR(SUMIFS('Base bordo'!G$2:G$746,'Base bordo'!C$2:C$746,A850,'Base bordo'!B$2:B$746,B850,'Base bordo'!F$2:F$746,"BALANÇA - SAÍDA"),0)</f>
        <v>5.6666666666666664E-2</v>
      </c>
      <c r="K850" s="10">
        <f>IFERROR(SUMIFS('Base bordo'!G$2:G$746,'Base bordo'!C$2:C$746,A850,'Base bordo'!B$2:B$746,B850,'Base bordo'!F$2:F$746,"MAN PREVENTIVA - MECANICA"),0)+IFERROR(SUMIFS('Base bordo'!G$2:G$746,'Base bordo'!C$2:C$746,A850,'Base bordo'!B$2:B$746,B850,'Base bordo'!F$2:F$746,"MAN CORRETIVA - MECANICA"),0)</f>
        <v>0</v>
      </c>
      <c r="L850" s="10">
        <f>IFERROR(SUMIFS('Base bordo'!G$2:G$746,'Base bordo'!C$2:C$746,A850,'Base bordo'!B$2:B$746,B850,'Base bordo'!F$2:F$746,"MANUTENCAO - T O"),0)+IFERROR(SUMIFS('Base bordo'!G$2:G$746,'Base bordo'!C$2:C$746,A850,'Base bordo'!B$2:B$746,B850,'Base bordo'!F$2:F$746,"MANUTENCAO BORRACHARIA"),0)+IFERROR(SUMIFS('Base bordo'!G$2:G$746,'Base bordo'!C$2:C$746,A850,'Base bordo'!B$2:B$746,B850,'Base bordo'!F$2:F$746,"MANUTENCAO EXTERNA  CONCESSIONARIA"),0)+IFERROR(SUMIFS('Base bordo'!G$2:G$746,'Base bordo'!C$2:C$746,A850,'Base bordo'!B$2:B$746,B850,'Base bordo'!F$2:F$746,"MANUTENCAO TELEMETRIA"),0)</f>
        <v>9.4491666666666667</v>
      </c>
      <c r="M850" s="10">
        <f>IFERROR(SUMIFS('Base bordo'!G$2:G$746,'Base bordo'!C$2:C$746,A850,'Base bordo'!B$2:B$746,B850,'Base bordo'!F$2:F$746,"AGUARDANDO MANUTENCAO"),0)</f>
        <v>0</v>
      </c>
      <c r="N850" s="10">
        <f>IFERROR(SUMIFS('Base bordo'!G$2:G$746,'Base bordo'!C$2:C$746,A850,'Base bordo'!B$2:B$746,B850,'Base bordo'!F$2:F$746,"SEM APONTAMENTO"),0)</f>
        <v>0</v>
      </c>
      <c r="O850" s="10">
        <f t="shared" si="90"/>
        <v>0.20222222222222541</v>
      </c>
      <c r="P850" s="10">
        <f>IFERROR(SUMIFS('Base bordo'!G$2:G$746,'Base bordo'!C$2:C$746,A850,'Base bordo'!B$2:B$746,B850),0)</f>
        <v>22.207777777777778</v>
      </c>
      <c r="Q850" s="10">
        <f>IFERROR(SUMIFS('Base bordo'!H$2:H$746,'Base bordo'!C$2:C$746,A850,'Base bordo'!B$2:B$746,B850,'Base bordo'!F$2:F$746,"DESLOCAMENTO VAZIO"),0)</f>
        <v>86336.93</v>
      </c>
      <c r="R850" s="10">
        <f>IFERROR(SUMIFS('Base bordo'!I$2:I$746,'Base bordo'!C$2:C$746,A850,'Base bordo'!B$2:B$746,B850,'Base bordo'!F$2:F$746,"DESLOCAMENTO VAZIO"),0)</f>
        <v>3275</v>
      </c>
      <c r="S850" s="30">
        <f t="shared" si="91"/>
        <v>26.362421374045798</v>
      </c>
      <c r="T850" s="10">
        <f>IFERROR(SUMIFS('Base bordo'!H$2:H$746,'Base bordo'!C$2:C$746,A850,'Base bordo'!B$2:B$746,B850,'Base bordo'!F$2:F$746,"DESLOCAMENTO CARREGADO"),0)</f>
        <v>166427.58000000002</v>
      </c>
      <c r="U850" s="10">
        <f>IFERROR(SUMIFS('Base bordo'!I$2:I$746,'Base bordo'!C$2:C$746,A850,'Base bordo'!B$2:B$746,B850,'Base bordo'!F$2:F$746,"DESLOCAMENTO CARREGADO"),0)</f>
        <v>6321</v>
      </c>
      <c r="V850" s="30">
        <f t="shared" si="92"/>
        <v>26.329311817750359</v>
      </c>
      <c r="W850" s="9">
        <f t="shared" si="93"/>
        <v>4.0964126682343519E-2</v>
      </c>
      <c r="X850" s="9">
        <f t="shared" si="94"/>
        <v>7.9063891529494168E-2</v>
      </c>
      <c r="Y850" s="9">
        <f t="shared" si="95"/>
        <v>0.87997198178816227</v>
      </c>
    </row>
    <row r="851" spans="1:25" ht="15" customHeight="1" x14ac:dyDescent="0.35">
      <c r="A851" s="52">
        <v>8013486</v>
      </c>
      <c r="B851" s="51">
        <v>46118</v>
      </c>
      <c r="C851" s="7" t="s">
        <v>124</v>
      </c>
      <c r="D851" s="10">
        <f>IFERROR(SUMIFS('Base bordo'!G$2:G$746,'Base bordo'!C$2:C$746,A851,'Base bordo'!B$2:B$746,B851,'Base bordo'!F$2:F$746,"DESLOCAMENTO VAZIO"),0)</f>
        <v>0.90972222222222221</v>
      </c>
      <c r="E851" s="10">
        <f>IFERROR(SUMIFS('Base bordo'!G$2:G$746,'Base bordo'!C$2:C$746,A851,'Base bordo'!B$2:B$746,B851,'Base bordo'!F$2:F$746,"DESLOCAMENTO CARREGADO"),0)</f>
        <v>1.7558333333333334</v>
      </c>
      <c r="F851" s="10">
        <f>IFERROR(SUMIFS('Base bordo'!G$2:G$746,'Base bordo'!C$2:C$746,A851,'Base bordo'!B$2:B$746,B851,'Base bordo'!F$2:F$746,"DESLOCAMENTO"),0)</f>
        <v>6.0436111111111108</v>
      </c>
      <c r="G851" s="10">
        <f>IFERROR(SUMIFS('Base bordo'!G$2:G$746,'Base bordo'!C$2:C$746,A851,'Base bordo'!B$2:B$746,B851,'Base bordo'!F$2:F$746,"CARREGAMENTO"),0)</f>
        <v>0</v>
      </c>
      <c r="H851" s="10">
        <f>IFERROR(SUMIFS('Base bordo'!G$2:G$746,'Base bordo'!C$2:C$746,A851,'Base bordo'!B$2:B$746,B851,'Base bordo'!F$2:F$746,"AGUARDANDO TRANSBORDO"),0)</f>
        <v>0</v>
      </c>
      <c r="I851" s="10">
        <f>IFERROR(SUMIFS('Base bordo'!G$2:G$746,'Base bordo'!C$2:C$746,A851,'Base bordo'!B$2:B$746,B851,'Base bordo'!F$2:F$746,"PÁTIO INTERNO"),0)+IFERROR(SUMIFS('Base bordo'!G$2:G$746,'Base bordo'!C$2:C$746,A851,'Base bordo'!B$2:B$746,B851,'Base bordo'!F$2:F$746,"PÁTIO EXTERNO"),0)+IFERROR(SUMIFS('Base bordo'!G$2:G$746,'Base bordo'!C$2:C$746,A851,'Base bordo'!B$2:B$746,B851,'Base bordo'!F$2:F$746,"PATIO - RESERVA"),0)+IFERROR(SUMIFS('Base bordo'!G$2:G$746,'Base bordo'!C$2:C$746,A851,'Base bordo'!B$2:B$746,B851,'Base bordo'!F$2:F$746,"MANOBRA CARRETAS-PATIO"),0)</f>
        <v>3.7905555555555552</v>
      </c>
      <c r="J851" s="10">
        <f>IFERROR(SUMIFS('Base bordo'!G$2:G$746,'Base bordo'!C$2:C$746,A851,'Base bordo'!B$2:B$746,B851,'Base bordo'!F$2:F$746,"BALANÇA - ENTRADA"),0)+IFERROR(SUMIFS('Base bordo'!G$2:G$746,'Base bordo'!C$2:C$746,A851,'Base bordo'!B$2:B$746,B851,'Base bordo'!F$2:F$746,"BALANÇA - SAÍDA"),0)</f>
        <v>5.6666666666666664E-2</v>
      </c>
      <c r="K851" s="10">
        <f>IFERROR(SUMIFS('Base bordo'!G$2:G$746,'Base bordo'!C$2:C$746,A851,'Base bordo'!B$2:B$746,B851,'Base bordo'!F$2:F$746,"MAN PREVENTIVA - MECANICA"),0)+IFERROR(SUMIFS('Base bordo'!G$2:G$746,'Base bordo'!C$2:C$746,A851,'Base bordo'!B$2:B$746,B851,'Base bordo'!F$2:F$746,"MAN CORRETIVA - MECANICA"),0)</f>
        <v>0</v>
      </c>
      <c r="L851" s="10">
        <f>IFERROR(SUMIFS('Base bordo'!G$2:G$746,'Base bordo'!C$2:C$746,A851,'Base bordo'!B$2:B$746,B851,'Base bordo'!F$2:F$746,"MANUTENCAO - T O"),0)+IFERROR(SUMIFS('Base bordo'!G$2:G$746,'Base bordo'!C$2:C$746,A851,'Base bordo'!B$2:B$746,B851,'Base bordo'!F$2:F$746,"MANUTENCAO BORRACHARIA"),0)+IFERROR(SUMIFS('Base bordo'!G$2:G$746,'Base bordo'!C$2:C$746,A851,'Base bordo'!B$2:B$746,B851,'Base bordo'!F$2:F$746,"MANUTENCAO EXTERNA  CONCESSIONARIA"),0)+IFERROR(SUMIFS('Base bordo'!G$2:G$746,'Base bordo'!C$2:C$746,A851,'Base bordo'!B$2:B$746,B851,'Base bordo'!F$2:F$746,"MANUTENCAO TELEMETRIA"),0)</f>
        <v>9.4491666666666667</v>
      </c>
      <c r="M851" s="10">
        <f>IFERROR(SUMIFS('Base bordo'!G$2:G$746,'Base bordo'!C$2:C$746,A851,'Base bordo'!B$2:B$746,B851,'Base bordo'!F$2:F$746,"AGUARDANDO MANUTENCAO"),0)</f>
        <v>0</v>
      </c>
      <c r="N851" s="10">
        <f>IFERROR(SUMIFS('Base bordo'!G$2:G$746,'Base bordo'!C$2:C$746,A851,'Base bordo'!B$2:B$746,B851,'Base bordo'!F$2:F$746,"SEM APONTAMENTO"),0)</f>
        <v>0</v>
      </c>
      <c r="O851" s="10">
        <f t="shared" si="90"/>
        <v>0.20222222222222541</v>
      </c>
      <c r="P851" s="10">
        <f>IFERROR(SUMIFS('Base bordo'!G$2:G$746,'Base bordo'!C$2:C$746,A851,'Base bordo'!B$2:B$746,B851),0)</f>
        <v>22.207777777777778</v>
      </c>
      <c r="Q851" s="10">
        <f>IFERROR(SUMIFS('Base bordo'!H$2:H$746,'Base bordo'!C$2:C$746,A851,'Base bordo'!B$2:B$746,B851,'Base bordo'!F$2:F$746,"DESLOCAMENTO VAZIO"),0)</f>
        <v>86336.93</v>
      </c>
      <c r="R851" s="10">
        <f>IFERROR(SUMIFS('Base bordo'!I$2:I$746,'Base bordo'!C$2:C$746,A851,'Base bordo'!B$2:B$746,B851,'Base bordo'!F$2:F$746,"DESLOCAMENTO VAZIO"),0)</f>
        <v>3275</v>
      </c>
      <c r="S851" s="30">
        <f t="shared" si="91"/>
        <v>26.362421374045798</v>
      </c>
      <c r="T851" s="10">
        <f>IFERROR(SUMIFS('Base bordo'!H$2:H$746,'Base bordo'!C$2:C$746,A851,'Base bordo'!B$2:B$746,B851,'Base bordo'!F$2:F$746,"DESLOCAMENTO CARREGADO"),0)</f>
        <v>166427.58000000002</v>
      </c>
      <c r="U851" s="10">
        <f>IFERROR(SUMIFS('Base bordo'!I$2:I$746,'Base bordo'!C$2:C$746,A851,'Base bordo'!B$2:B$746,B851,'Base bordo'!F$2:F$746,"DESLOCAMENTO CARREGADO"),0)</f>
        <v>6321</v>
      </c>
      <c r="V851" s="30">
        <f t="shared" si="92"/>
        <v>26.329311817750359</v>
      </c>
      <c r="W851" s="9">
        <f t="shared" si="93"/>
        <v>4.0964126682343519E-2</v>
      </c>
      <c r="X851" s="9">
        <f t="shared" si="94"/>
        <v>7.9063891529494168E-2</v>
      </c>
      <c r="Y851" s="9">
        <f t="shared" si="95"/>
        <v>0.87997198178816227</v>
      </c>
    </row>
    <row r="852" spans="1:25" ht="15" customHeight="1" x14ac:dyDescent="0.35">
      <c r="A852" s="52">
        <v>8013486</v>
      </c>
      <c r="B852" s="51">
        <v>46118</v>
      </c>
      <c r="C852" s="7" t="s">
        <v>124</v>
      </c>
      <c r="D852" s="10">
        <f>IFERROR(SUMIFS('Base bordo'!G$2:G$746,'Base bordo'!C$2:C$746,A852,'Base bordo'!B$2:B$746,B852,'Base bordo'!F$2:F$746,"DESLOCAMENTO VAZIO"),0)</f>
        <v>0.90972222222222221</v>
      </c>
      <c r="E852" s="10">
        <f>IFERROR(SUMIFS('Base bordo'!G$2:G$746,'Base bordo'!C$2:C$746,A852,'Base bordo'!B$2:B$746,B852,'Base bordo'!F$2:F$746,"DESLOCAMENTO CARREGADO"),0)</f>
        <v>1.7558333333333334</v>
      </c>
      <c r="F852" s="10">
        <f>IFERROR(SUMIFS('Base bordo'!G$2:G$746,'Base bordo'!C$2:C$746,A852,'Base bordo'!B$2:B$746,B852,'Base bordo'!F$2:F$746,"DESLOCAMENTO"),0)</f>
        <v>6.0436111111111108</v>
      </c>
      <c r="G852" s="10">
        <f>IFERROR(SUMIFS('Base bordo'!G$2:G$746,'Base bordo'!C$2:C$746,A852,'Base bordo'!B$2:B$746,B852,'Base bordo'!F$2:F$746,"CARREGAMENTO"),0)</f>
        <v>0</v>
      </c>
      <c r="H852" s="10">
        <f>IFERROR(SUMIFS('Base bordo'!G$2:G$746,'Base bordo'!C$2:C$746,A852,'Base bordo'!B$2:B$746,B852,'Base bordo'!F$2:F$746,"AGUARDANDO TRANSBORDO"),0)</f>
        <v>0</v>
      </c>
      <c r="I852" s="10">
        <f>IFERROR(SUMIFS('Base bordo'!G$2:G$746,'Base bordo'!C$2:C$746,A852,'Base bordo'!B$2:B$746,B852,'Base bordo'!F$2:F$746,"PÁTIO INTERNO"),0)+IFERROR(SUMIFS('Base bordo'!G$2:G$746,'Base bordo'!C$2:C$746,A852,'Base bordo'!B$2:B$746,B852,'Base bordo'!F$2:F$746,"PÁTIO EXTERNO"),0)+IFERROR(SUMIFS('Base bordo'!G$2:G$746,'Base bordo'!C$2:C$746,A852,'Base bordo'!B$2:B$746,B852,'Base bordo'!F$2:F$746,"PATIO - RESERVA"),0)+IFERROR(SUMIFS('Base bordo'!G$2:G$746,'Base bordo'!C$2:C$746,A852,'Base bordo'!B$2:B$746,B852,'Base bordo'!F$2:F$746,"MANOBRA CARRETAS-PATIO"),0)</f>
        <v>3.7905555555555552</v>
      </c>
      <c r="J852" s="10">
        <f>IFERROR(SUMIFS('Base bordo'!G$2:G$746,'Base bordo'!C$2:C$746,A852,'Base bordo'!B$2:B$746,B852,'Base bordo'!F$2:F$746,"BALANÇA - ENTRADA"),0)+IFERROR(SUMIFS('Base bordo'!G$2:G$746,'Base bordo'!C$2:C$746,A852,'Base bordo'!B$2:B$746,B852,'Base bordo'!F$2:F$746,"BALANÇA - SAÍDA"),0)</f>
        <v>5.6666666666666664E-2</v>
      </c>
      <c r="K852" s="10">
        <f>IFERROR(SUMIFS('Base bordo'!G$2:G$746,'Base bordo'!C$2:C$746,A852,'Base bordo'!B$2:B$746,B852,'Base bordo'!F$2:F$746,"MAN PREVENTIVA - MECANICA"),0)+IFERROR(SUMIFS('Base bordo'!G$2:G$746,'Base bordo'!C$2:C$746,A852,'Base bordo'!B$2:B$746,B852,'Base bordo'!F$2:F$746,"MAN CORRETIVA - MECANICA"),0)</f>
        <v>0</v>
      </c>
      <c r="L852" s="10">
        <f>IFERROR(SUMIFS('Base bordo'!G$2:G$746,'Base bordo'!C$2:C$746,A852,'Base bordo'!B$2:B$746,B852,'Base bordo'!F$2:F$746,"MANUTENCAO - T O"),0)+IFERROR(SUMIFS('Base bordo'!G$2:G$746,'Base bordo'!C$2:C$746,A852,'Base bordo'!B$2:B$746,B852,'Base bordo'!F$2:F$746,"MANUTENCAO BORRACHARIA"),0)+IFERROR(SUMIFS('Base bordo'!G$2:G$746,'Base bordo'!C$2:C$746,A852,'Base bordo'!B$2:B$746,B852,'Base bordo'!F$2:F$746,"MANUTENCAO EXTERNA  CONCESSIONARIA"),0)+IFERROR(SUMIFS('Base bordo'!G$2:G$746,'Base bordo'!C$2:C$746,A852,'Base bordo'!B$2:B$746,B852,'Base bordo'!F$2:F$746,"MANUTENCAO TELEMETRIA"),0)</f>
        <v>9.4491666666666667</v>
      </c>
      <c r="M852" s="10">
        <f>IFERROR(SUMIFS('Base bordo'!G$2:G$746,'Base bordo'!C$2:C$746,A852,'Base bordo'!B$2:B$746,B852,'Base bordo'!F$2:F$746,"AGUARDANDO MANUTENCAO"),0)</f>
        <v>0</v>
      </c>
      <c r="N852" s="10">
        <f>IFERROR(SUMIFS('Base bordo'!G$2:G$746,'Base bordo'!C$2:C$746,A852,'Base bordo'!B$2:B$746,B852,'Base bordo'!F$2:F$746,"SEM APONTAMENTO"),0)</f>
        <v>0</v>
      </c>
      <c r="O852" s="10">
        <f t="shared" si="90"/>
        <v>0.20222222222222541</v>
      </c>
      <c r="P852" s="10">
        <f>IFERROR(SUMIFS('Base bordo'!G$2:G$746,'Base bordo'!C$2:C$746,A852,'Base bordo'!B$2:B$746,B852),0)</f>
        <v>22.207777777777778</v>
      </c>
      <c r="Q852" s="10">
        <f>IFERROR(SUMIFS('Base bordo'!H$2:H$746,'Base bordo'!C$2:C$746,A852,'Base bordo'!B$2:B$746,B852,'Base bordo'!F$2:F$746,"DESLOCAMENTO VAZIO"),0)</f>
        <v>86336.93</v>
      </c>
      <c r="R852" s="10">
        <f>IFERROR(SUMIFS('Base bordo'!I$2:I$746,'Base bordo'!C$2:C$746,A852,'Base bordo'!B$2:B$746,B852,'Base bordo'!F$2:F$746,"DESLOCAMENTO VAZIO"),0)</f>
        <v>3275</v>
      </c>
      <c r="S852" s="30">
        <f t="shared" si="91"/>
        <v>26.362421374045798</v>
      </c>
      <c r="T852" s="10">
        <f>IFERROR(SUMIFS('Base bordo'!H$2:H$746,'Base bordo'!C$2:C$746,A852,'Base bordo'!B$2:B$746,B852,'Base bordo'!F$2:F$746,"DESLOCAMENTO CARREGADO"),0)</f>
        <v>166427.58000000002</v>
      </c>
      <c r="U852" s="10">
        <f>IFERROR(SUMIFS('Base bordo'!I$2:I$746,'Base bordo'!C$2:C$746,A852,'Base bordo'!B$2:B$746,B852,'Base bordo'!F$2:F$746,"DESLOCAMENTO CARREGADO"),0)</f>
        <v>6321</v>
      </c>
      <c r="V852" s="30">
        <f t="shared" si="92"/>
        <v>26.329311817750359</v>
      </c>
      <c r="W852" s="9">
        <f t="shared" si="93"/>
        <v>4.0964126682343519E-2</v>
      </c>
      <c r="X852" s="9">
        <f t="shared" si="94"/>
        <v>7.9063891529494168E-2</v>
      </c>
      <c r="Y852" s="9">
        <f t="shared" si="95"/>
        <v>0.87997198178816227</v>
      </c>
    </row>
    <row r="853" spans="1:25" ht="15" customHeight="1" x14ac:dyDescent="0.35">
      <c r="A853" s="52">
        <v>8013460</v>
      </c>
      <c r="B853" s="51">
        <v>46119</v>
      </c>
      <c r="C853" s="7" t="s">
        <v>124</v>
      </c>
      <c r="D853" s="10">
        <f>IFERROR(SUMIFS('Base bordo'!G$2:G$746,'Base bordo'!C$2:C$746,A853,'Base bordo'!B$2:B$746,B853,'Base bordo'!F$2:F$746,"DESLOCAMENTO VAZIO"),0)</f>
        <v>7.5555555555555556E-2</v>
      </c>
      <c r="E853" s="10">
        <f>IFERROR(SUMIFS('Base bordo'!G$2:G$746,'Base bordo'!C$2:C$746,A853,'Base bordo'!B$2:B$746,B853,'Base bordo'!F$2:F$746,"DESLOCAMENTO CARREGADO"),0)</f>
        <v>0</v>
      </c>
      <c r="F853" s="10">
        <f>IFERROR(SUMIFS('Base bordo'!G$2:G$746,'Base bordo'!C$2:C$746,A853,'Base bordo'!B$2:B$746,B853,'Base bordo'!F$2:F$746,"DESLOCAMENTO"),0)</f>
        <v>0</v>
      </c>
      <c r="G853" s="10">
        <f>IFERROR(SUMIFS('Base bordo'!G$2:G$746,'Base bordo'!C$2:C$746,A853,'Base bordo'!B$2:B$746,B853,'Base bordo'!F$2:F$746,"CARREGAMENTO"),0)</f>
        <v>0</v>
      </c>
      <c r="H853" s="10">
        <f>IFERROR(SUMIFS('Base bordo'!G$2:G$746,'Base bordo'!C$2:C$746,A853,'Base bordo'!B$2:B$746,B853,'Base bordo'!F$2:F$746,"AGUARDANDO TRANSBORDO"),0)</f>
        <v>0</v>
      </c>
      <c r="I853" s="10">
        <f>IFERROR(SUMIFS('Base bordo'!G$2:G$746,'Base bordo'!C$2:C$746,A853,'Base bordo'!B$2:B$746,B853,'Base bordo'!F$2:F$746,"PÁTIO INTERNO"),0)+IFERROR(SUMIFS('Base bordo'!G$2:G$746,'Base bordo'!C$2:C$746,A853,'Base bordo'!B$2:B$746,B853,'Base bordo'!F$2:F$746,"PÁTIO EXTERNO"),0)+IFERROR(SUMIFS('Base bordo'!G$2:G$746,'Base bordo'!C$2:C$746,A853,'Base bordo'!B$2:B$746,B853,'Base bordo'!F$2:F$746,"PATIO - RESERVA"),0)+IFERROR(SUMIFS('Base bordo'!G$2:G$746,'Base bordo'!C$2:C$746,A853,'Base bordo'!B$2:B$746,B853,'Base bordo'!F$2:F$746,"MANOBRA CARRETAS-PATIO"),0)</f>
        <v>21.27138888888889</v>
      </c>
      <c r="J853" s="10">
        <f>IFERROR(SUMIFS('Base bordo'!G$2:G$746,'Base bordo'!C$2:C$746,A853,'Base bordo'!B$2:B$746,B853,'Base bordo'!F$2:F$746,"BALANÇA - ENTRADA"),0)+IFERROR(SUMIFS('Base bordo'!G$2:G$746,'Base bordo'!C$2:C$746,A853,'Base bordo'!B$2:B$746,B853,'Base bordo'!F$2:F$746,"BALANÇA - SAÍDA"),0)</f>
        <v>5.0000000000000001E-3</v>
      </c>
      <c r="K853" s="10">
        <f>IFERROR(SUMIFS('Base bordo'!G$2:G$746,'Base bordo'!C$2:C$746,A853,'Base bordo'!B$2:B$746,B853,'Base bordo'!F$2:F$746,"MAN PREVENTIVA - MECANICA"),0)+IFERROR(SUMIFS('Base bordo'!G$2:G$746,'Base bordo'!C$2:C$746,A853,'Base bordo'!B$2:B$746,B853,'Base bordo'!F$2:F$746,"MAN CORRETIVA - MECANICA"),0)</f>
        <v>0</v>
      </c>
      <c r="L853" s="10">
        <f>IFERROR(SUMIFS('Base bordo'!G$2:G$746,'Base bordo'!C$2:C$746,A853,'Base bordo'!B$2:B$746,B853,'Base bordo'!F$2:F$746,"MANUTENCAO - T O"),0)+IFERROR(SUMIFS('Base bordo'!G$2:G$746,'Base bordo'!C$2:C$746,A853,'Base bordo'!B$2:B$746,B853,'Base bordo'!F$2:F$746,"MANUTENCAO BORRACHARIA"),0)+IFERROR(SUMIFS('Base bordo'!G$2:G$746,'Base bordo'!C$2:C$746,A853,'Base bordo'!B$2:B$746,B853,'Base bordo'!F$2:F$746,"MANUTENCAO EXTERNA  CONCESSIONARIA"),0)+IFERROR(SUMIFS('Base bordo'!G$2:G$746,'Base bordo'!C$2:C$746,A853,'Base bordo'!B$2:B$746,B853,'Base bordo'!F$2:F$746,"MANUTENCAO TELEMETRIA"),0)</f>
        <v>0</v>
      </c>
      <c r="M853" s="10">
        <f>IFERROR(SUMIFS('Base bordo'!G$2:G$746,'Base bordo'!C$2:C$746,A853,'Base bordo'!B$2:B$746,B853,'Base bordo'!F$2:F$746,"AGUARDANDO MANUTENCAO"),0)</f>
        <v>0</v>
      </c>
      <c r="N853" s="10">
        <f>IFERROR(SUMIFS('Base bordo'!G$2:G$746,'Base bordo'!C$2:C$746,A853,'Base bordo'!B$2:B$746,B853,'Base bordo'!F$2:F$746,"SEM APONTAMENTO"),0)</f>
        <v>0</v>
      </c>
      <c r="O853" s="10">
        <f t="shared" si="90"/>
        <v>0</v>
      </c>
      <c r="P853" s="10">
        <f>IFERROR(SUMIFS('Base bordo'!G$2:G$746,'Base bordo'!C$2:C$746,A853,'Base bordo'!B$2:B$746,B853),0)</f>
        <v>21.351944444444445</v>
      </c>
      <c r="Q853" s="10">
        <f>IFERROR(SUMIFS('Base bordo'!H$2:H$746,'Base bordo'!C$2:C$746,A853,'Base bordo'!B$2:B$746,B853,'Base bordo'!F$2:F$746,"DESLOCAMENTO VAZIO"),0)</f>
        <v>1805.94</v>
      </c>
      <c r="R853" s="10">
        <f>IFERROR(SUMIFS('Base bordo'!I$2:I$746,'Base bordo'!C$2:C$746,A853,'Base bordo'!B$2:B$746,B853,'Base bordo'!F$2:F$746,"DESLOCAMENTO VAZIO"),0)</f>
        <v>272</v>
      </c>
      <c r="S853" s="30">
        <f t="shared" si="91"/>
        <v>6.6394852941176472</v>
      </c>
      <c r="T853" s="10">
        <f>IFERROR(SUMIFS('Base bordo'!H$2:H$746,'Base bordo'!C$2:C$746,A853,'Base bordo'!B$2:B$746,B853,'Base bordo'!F$2:F$746,"DESLOCAMENTO CARREGADO"),0)</f>
        <v>0</v>
      </c>
      <c r="U853" s="10">
        <f>IFERROR(SUMIFS('Base bordo'!I$2:I$746,'Base bordo'!C$2:C$746,A853,'Base bordo'!B$2:B$746,B853,'Base bordo'!F$2:F$746,"DESLOCAMENTO CARREGADO"),0)</f>
        <v>0</v>
      </c>
      <c r="V853" s="30" t="str">
        <f t="shared" si="92"/>
        <v/>
      </c>
      <c r="W853" s="9">
        <f t="shared" si="93"/>
        <v>3.5385796245462941E-3</v>
      </c>
      <c r="X853" s="9">
        <f t="shared" si="94"/>
        <v>0</v>
      </c>
      <c r="Y853" s="9">
        <f t="shared" si="95"/>
        <v>0.99646142037545371</v>
      </c>
    </row>
    <row r="854" spans="1:25" ht="15" customHeight="1" x14ac:dyDescent="0.35">
      <c r="A854" s="52">
        <v>8013460</v>
      </c>
      <c r="B854" s="51">
        <v>46119</v>
      </c>
      <c r="C854" s="7" t="s">
        <v>124</v>
      </c>
      <c r="D854" s="10">
        <f>IFERROR(SUMIFS('Base bordo'!G$2:G$746,'Base bordo'!C$2:C$746,A854,'Base bordo'!B$2:B$746,B854,'Base bordo'!F$2:F$746,"DESLOCAMENTO VAZIO"),0)</f>
        <v>7.5555555555555556E-2</v>
      </c>
      <c r="E854" s="10">
        <f>IFERROR(SUMIFS('Base bordo'!G$2:G$746,'Base bordo'!C$2:C$746,A854,'Base bordo'!B$2:B$746,B854,'Base bordo'!F$2:F$746,"DESLOCAMENTO CARREGADO"),0)</f>
        <v>0</v>
      </c>
      <c r="F854" s="10">
        <f>IFERROR(SUMIFS('Base bordo'!G$2:G$746,'Base bordo'!C$2:C$746,A854,'Base bordo'!B$2:B$746,B854,'Base bordo'!F$2:F$746,"DESLOCAMENTO"),0)</f>
        <v>0</v>
      </c>
      <c r="G854" s="10">
        <f>IFERROR(SUMIFS('Base bordo'!G$2:G$746,'Base bordo'!C$2:C$746,A854,'Base bordo'!B$2:B$746,B854,'Base bordo'!F$2:F$746,"CARREGAMENTO"),0)</f>
        <v>0</v>
      </c>
      <c r="H854" s="10">
        <f>IFERROR(SUMIFS('Base bordo'!G$2:G$746,'Base bordo'!C$2:C$746,A854,'Base bordo'!B$2:B$746,B854,'Base bordo'!F$2:F$746,"AGUARDANDO TRANSBORDO"),0)</f>
        <v>0</v>
      </c>
      <c r="I854" s="10">
        <f>IFERROR(SUMIFS('Base bordo'!G$2:G$746,'Base bordo'!C$2:C$746,A854,'Base bordo'!B$2:B$746,B854,'Base bordo'!F$2:F$746,"PÁTIO INTERNO"),0)+IFERROR(SUMIFS('Base bordo'!G$2:G$746,'Base bordo'!C$2:C$746,A854,'Base bordo'!B$2:B$746,B854,'Base bordo'!F$2:F$746,"PÁTIO EXTERNO"),0)+IFERROR(SUMIFS('Base bordo'!G$2:G$746,'Base bordo'!C$2:C$746,A854,'Base bordo'!B$2:B$746,B854,'Base bordo'!F$2:F$746,"PATIO - RESERVA"),0)+IFERROR(SUMIFS('Base bordo'!G$2:G$746,'Base bordo'!C$2:C$746,A854,'Base bordo'!B$2:B$746,B854,'Base bordo'!F$2:F$746,"MANOBRA CARRETAS-PATIO"),0)</f>
        <v>21.27138888888889</v>
      </c>
      <c r="J854" s="10">
        <f>IFERROR(SUMIFS('Base bordo'!G$2:G$746,'Base bordo'!C$2:C$746,A854,'Base bordo'!B$2:B$746,B854,'Base bordo'!F$2:F$746,"BALANÇA - ENTRADA"),0)+IFERROR(SUMIFS('Base bordo'!G$2:G$746,'Base bordo'!C$2:C$746,A854,'Base bordo'!B$2:B$746,B854,'Base bordo'!F$2:F$746,"BALANÇA - SAÍDA"),0)</f>
        <v>5.0000000000000001E-3</v>
      </c>
      <c r="K854" s="10">
        <f>IFERROR(SUMIFS('Base bordo'!G$2:G$746,'Base bordo'!C$2:C$746,A854,'Base bordo'!B$2:B$746,B854,'Base bordo'!F$2:F$746,"MAN PREVENTIVA - MECANICA"),0)+IFERROR(SUMIFS('Base bordo'!G$2:G$746,'Base bordo'!C$2:C$746,A854,'Base bordo'!B$2:B$746,B854,'Base bordo'!F$2:F$746,"MAN CORRETIVA - MECANICA"),0)</f>
        <v>0</v>
      </c>
      <c r="L854" s="10">
        <f>IFERROR(SUMIFS('Base bordo'!G$2:G$746,'Base bordo'!C$2:C$746,A854,'Base bordo'!B$2:B$746,B854,'Base bordo'!F$2:F$746,"MANUTENCAO - T O"),0)+IFERROR(SUMIFS('Base bordo'!G$2:G$746,'Base bordo'!C$2:C$746,A854,'Base bordo'!B$2:B$746,B854,'Base bordo'!F$2:F$746,"MANUTENCAO BORRACHARIA"),0)+IFERROR(SUMIFS('Base bordo'!G$2:G$746,'Base bordo'!C$2:C$746,A854,'Base bordo'!B$2:B$746,B854,'Base bordo'!F$2:F$746,"MANUTENCAO EXTERNA  CONCESSIONARIA"),0)+IFERROR(SUMIFS('Base bordo'!G$2:G$746,'Base bordo'!C$2:C$746,A854,'Base bordo'!B$2:B$746,B854,'Base bordo'!F$2:F$746,"MANUTENCAO TELEMETRIA"),0)</f>
        <v>0</v>
      </c>
      <c r="M854" s="10">
        <f>IFERROR(SUMIFS('Base bordo'!G$2:G$746,'Base bordo'!C$2:C$746,A854,'Base bordo'!B$2:B$746,B854,'Base bordo'!F$2:F$746,"AGUARDANDO MANUTENCAO"),0)</f>
        <v>0</v>
      </c>
      <c r="N854" s="10">
        <f>IFERROR(SUMIFS('Base bordo'!G$2:G$746,'Base bordo'!C$2:C$746,A854,'Base bordo'!B$2:B$746,B854,'Base bordo'!F$2:F$746,"SEM APONTAMENTO"),0)</f>
        <v>0</v>
      </c>
      <c r="O854" s="10">
        <f t="shared" si="90"/>
        <v>0</v>
      </c>
      <c r="P854" s="10">
        <f>IFERROR(SUMIFS('Base bordo'!G$2:G$746,'Base bordo'!C$2:C$746,A854,'Base bordo'!B$2:B$746,B854),0)</f>
        <v>21.351944444444445</v>
      </c>
      <c r="Q854" s="10">
        <f>IFERROR(SUMIFS('Base bordo'!H$2:H$746,'Base bordo'!C$2:C$746,A854,'Base bordo'!B$2:B$746,B854,'Base bordo'!F$2:F$746,"DESLOCAMENTO VAZIO"),0)</f>
        <v>1805.94</v>
      </c>
      <c r="R854" s="10">
        <f>IFERROR(SUMIFS('Base bordo'!I$2:I$746,'Base bordo'!C$2:C$746,A854,'Base bordo'!B$2:B$746,B854,'Base bordo'!F$2:F$746,"DESLOCAMENTO VAZIO"),0)</f>
        <v>272</v>
      </c>
      <c r="S854" s="30">
        <f t="shared" si="91"/>
        <v>6.6394852941176472</v>
      </c>
      <c r="T854" s="10">
        <f>IFERROR(SUMIFS('Base bordo'!H$2:H$746,'Base bordo'!C$2:C$746,A854,'Base bordo'!B$2:B$746,B854,'Base bordo'!F$2:F$746,"DESLOCAMENTO CARREGADO"),0)</f>
        <v>0</v>
      </c>
      <c r="U854" s="10">
        <f>IFERROR(SUMIFS('Base bordo'!I$2:I$746,'Base bordo'!C$2:C$746,A854,'Base bordo'!B$2:B$746,B854,'Base bordo'!F$2:F$746,"DESLOCAMENTO CARREGADO"),0)</f>
        <v>0</v>
      </c>
      <c r="V854" s="30" t="str">
        <f t="shared" si="92"/>
        <v/>
      </c>
      <c r="W854" s="9">
        <f t="shared" si="93"/>
        <v>3.5385796245462941E-3</v>
      </c>
      <c r="X854" s="9">
        <f t="shared" si="94"/>
        <v>0</v>
      </c>
      <c r="Y854" s="9">
        <f t="shared" si="95"/>
        <v>0.99646142037545371</v>
      </c>
    </row>
    <row r="855" spans="1:25" ht="15" customHeight="1" x14ac:dyDescent="0.35">
      <c r="A855" s="52">
        <v>8013460</v>
      </c>
      <c r="B855" s="51">
        <v>46119</v>
      </c>
      <c r="C855" s="7" t="s">
        <v>124</v>
      </c>
      <c r="D855" s="10">
        <f>IFERROR(SUMIFS('Base bordo'!G$2:G$746,'Base bordo'!C$2:C$746,A855,'Base bordo'!B$2:B$746,B855,'Base bordo'!F$2:F$746,"DESLOCAMENTO VAZIO"),0)</f>
        <v>7.5555555555555556E-2</v>
      </c>
      <c r="E855" s="10">
        <f>IFERROR(SUMIFS('Base bordo'!G$2:G$746,'Base bordo'!C$2:C$746,A855,'Base bordo'!B$2:B$746,B855,'Base bordo'!F$2:F$746,"DESLOCAMENTO CARREGADO"),0)</f>
        <v>0</v>
      </c>
      <c r="F855" s="10">
        <f>IFERROR(SUMIFS('Base bordo'!G$2:G$746,'Base bordo'!C$2:C$746,A855,'Base bordo'!B$2:B$746,B855,'Base bordo'!F$2:F$746,"DESLOCAMENTO"),0)</f>
        <v>0</v>
      </c>
      <c r="G855" s="10">
        <f>IFERROR(SUMIFS('Base bordo'!G$2:G$746,'Base bordo'!C$2:C$746,A855,'Base bordo'!B$2:B$746,B855,'Base bordo'!F$2:F$746,"CARREGAMENTO"),0)</f>
        <v>0</v>
      </c>
      <c r="H855" s="10">
        <f>IFERROR(SUMIFS('Base bordo'!G$2:G$746,'Base bordo'!C$2:C$746,A855,'Base bordo'!B$2:B$746,B855,'Base bordo'!F$2:F$746,"AGUARDANDO TRANSBORDO"),0)</f>
        <v>0</v>
      </c>
      <c r="I855" s="10">
        <f>IFERROR(SUMIFS('Base bordo'!G$2:G$746,'Base bordo'!C$2:C$746,A855,'Base bordo'!B$2:B$746,B855,'Base bordo'!F$2:F$746,"PÁTIO INTERNO"),0)+IFERROR(SUMIFS('Base bordo'!G$2:G$746,'Base bordo'!C$2:C$746,A855,'Base bordo'!B$2:B$746,B855,'Base bordo'!F$2:F$746,"PÁTIO EXTERNO"),0)+IFERROR(SUMIFS('Base bordo'!G$2:G$746,'Base bordo'!C$2:C$746,A855,'Base bordo'!B$2:B$746,B855,'Base bordo'!F$2:F$746,"PATIO - RESERVA"),0)+IFERROR(SUMIFS('Base bordo'!G$2:G$746,'Base bordo'!C$2:C$746,A855,'Base bordo'!B$2:B$746,B855,'Base bordo'!F$2:F$746,"MANOBRA CARRETAS-PATIO"),0)</f>
        <v>21.27138888888889</v>
      </c>
      <c r="J855" s="10">
        <f>IFERROR(SUMIFS('Base bordo'!G$2:G$746,'Base bordo'!C$2:C$746,A855,'Base bordo'!B$2:B$746,B855,'Base bordo'!F$2:F$746,"BALANÇA - ENTRADA"),0)+IFERROR(SUMIFS('Base bordo'!G$2:G$746,'Base bordo'!C$2:C$746,A855,'Base bordo'!B$2:B$746,B855,'Base bordo'!F$2:F$746,"BALANÇA - SAÍDA"),0)</f>
        <v>5.0000000000000001E-3</v>
      </c>
      <c r="K855" s="10">
        <f>IFERROR(SUMIFS('Base bordo'!G$2:G$746,'Base bordo'!C$2:C$746,A855,'Base bordo'!B$2:B$746,B855,'Base bordo'!F$2:F$746,"MAN PREVENTIVA - MECANICA"),0)+IFERROR(SUMIFS('Base bordo'!G$2:G$746,'Base bordo'!C$2:C$746,A855,'Base bordo'!B$2:B$746,B855,'Base bordo'!F$2:F$746,"MAN CORRETIVA - MECANICA"),0)</f>
        <v>0</v>
      </c>
      <c r="L855" s="10">
        <f>IFERROR(SUMIFS('Base bordo'!G$2:G$746,'Base bordo'!C$2:C$746,A855,'Base bordo'!B$2:B$746,B855,'Base bordo'!F$2:F$746,"MANUTENCAO - T O"),0)+IFERROR(SUMIFS('Base bordo'!G$2:G$746,'Base bordo'!C$2:C$746,A855,'Base bordo'!B$2:B$746,B855,'Base bordo'!F$2:F$746,"MANUTENCAO BORRACHARIA"),0)+IFERROR(SUMIFS('Base bordo'!G$2:G$746,'Base bordo'!C$2:C$746,A855,'Base bordo'!B$2:B$746,B855,'Base bordo'!F$2:F$746,"MANUTENCAO EXTERNA  CONCESSIONARIA"),0)+IFERROR(SUMIFS('Base bordo'!G$2:G$746,'Base bordo'!C$2:C$746,A855,'Base bordo'!B$2:B$746,B855,'Base bordo'!F$2:F$746,"MANUTENCAO TELEMETRIA"),0)</f>
        <v>0</v>
      </c>
      <c r="M855" s="10">
        <f>IFERROR(SUMIFS('Base bordo'!G$2:G$746,'Base bordo'!C$2:C$746,A855,'Base bordo'!B$2:B$746,B855,'Base bordo'!F$2:F$746,"AGUARDANDO MANUTENCAO"),0)</f>
        <v>0</v>
      </c>
      <c r="N855" s="10">
        <f>IFERROR(SUMIFS('Base bordo'!G$2:G$746,'Base bordo'!C$2:C$746,A855,'Base bordo'!B$2:B$746,B855,'Base bordo'!F$2:F$746,"SEM APONTAMENTO"),0)</f>
        <v>0</v>
      </c>
      <c r="O855" s="10">
        <f t="shared" si="90"/>
        <v>0</v>
      </c>
      <c r="P855" s="10">
        <f>IFERROR(SUMIFS('Base bordo'!G$2:G$746,'Base bordo'!C$2:C$746,A855,'Base bordo'!B$2:B$746,B855),0)</f>
        <v>21.351944444444445</v>
      </c>
      <c r="Q855" s="10">
        <f>IFERROR(SUMIFS('Base bordo'!H$2:H$746,'Base bordo'!C$2:C$746,A855,'Base bordo'!B$2:B$746,B855,'Base bordo'!F$2:F$746,"DESLOCAMENTO VAZIO"),0)</f>
        <v>1805.94</v>
      </c>
      <c r="R855" s="10">
        <f>IFERROR(SUMIFS('Base bordo'!I$2:I$746,'Base bordo'!C$2:C$746,A855,'Base bordo'!B$2:B$746,B855,'Base bordo'!F$2:F$746,"DESLOCAMENTO VAZIO"),0)</f>
        <v>272</v>
      </c>
      <c r="S855" s="30">
        <f t="shared" si="91"/>
        <v>6.6394852941176472</v>
      </c>
      <c r="T855" s="10">
        <f>IFERROR(SUMIFS('Base bordo'!H$2:H$746,'Base bordo'!C$2:C$746,A855,'Base bordo'!B$2:B$746,B855,'Base bordo'!F$2:F$746,"DESLOCAMENTO CARREGADO"),0)</f>
        <v>0</v>
      </c>
      <c r="U855" s="10">
        <f>IFERROR(SUMIFS('Base bordo'!I$2:I$746,'Base bordo'!C$2:C$746,A855,'Base bordo'!B$2:B$746,B855,'Base bordo'!F$2:F$746,"DESLOCAMENTO CARREGADO"),0)</f>
        <v>0</v>
      </c>
      <c r="V855" s="30" t="str">
        <f t="shared" si="92"/>
        <v/>
      </c>
      <c r="W855" s="9">
        <f t="shared" si="93"/>
        <v>3.5385796245462941E-3</v>
      </c>
      <c r="X855" s="9">
        <f t="shared" si="94"/>
        <v>0</v>
      </c>
      <c r="Y855" s="9">
        <f t="shared" si="95"/>
        <v>0.99646142037545371</v>
      </c>
    </row>
    <row r="856" spans="1:25" ht="15" customHeight="1" x14ac:dyDescent="0.35">
      <c r="A856" s="52">
        <v>8013460</v>
      </c>
      <c r="B856" s="51">
        <v>46119</v>
      </c>
      <c r="C856" s="7" t="s">
        <v>124</v>
      </c>
      <c r="D856" s="10">
        <f>IFERROR(SUMIFS('Base bordo'!G$2:G$746,'Base bordo'!C$2:C$746,A856,'Base bordo'!B$2:B$746,B856,'Base bordo'!F$2:F$746,"DESLOCAMENTO VAZIO"),0)</f>
        <v>7.5555555555555556E-2</v>
      </c>
      <c r="E856" s="10">
        <f>IFERROR(SUMIFS('Base bordo'!G$2:G$746,'Base bordo'!C$2:C$746,A856,'Base bordo'!B$2:B$746,B856,'Base bordo'!F$2:F$746,"DESLOCAMENTO CARREGADO"),0)</f>
        <v>0</v>
      </c>
      <c r="F856" s="10">
        <f>IFERROR(SUMIFS('Base bordo'!G$2:G$746,'Base bordo'!C$2:C$746,A856,'Base bordo'!B$2:B$746,B856,'Base bordo'!F$2:F$746,"DESLOCAMENTO"),0)</f>
        <v>0</v>
      </c>
      <c r="G856" s="10">
        <f>IFERROR(SUMIFS('Base bordo'!G$2:G$746,'Base bordo'!C$2:C$746,A856,'Base bordo'!B$2:B$746,B856,'Base bordo'!F$2:F$746,"CARREGAMENTO"),0)</f>
        <v>0</v>
      </c>
      <c r="H856" s="10">
        <f>IFERROR(SUMIFS('Base bordo'!G$2:G$746,'Base bordo'!C$2:C$746,A856,'Base bordo'!B$2:B$746,B856,'Base bordo'!F$2:F$746,"AGUARDANDO TRANSBORDO"),0)</f>
        <v>0</v>
      </c>
      <c r="I856" s="10">
        <f>IFERROR(SUMIFS('Base bordo'!G$2:G$746,'Base bordo'!C$2:C$746,A856,'Base bordo'!B$2:B$746,B856,'Base bordo'!F$2:F$746,"PÁTIO INTERNO"),0)+IFERROR(SUMIFS('Base bordo'!G$2:G$746,'Base bordo'!C$2:C$746,A856,'Base bordo'!B$2:B$746,B856,'Base bordo'!F$2:F$746,"PÁTIO EXTERNO"),0)+IFERROR(SUMIFS('Base bordo'!G$2:G$746,'Base bordo'!C$2:C$746,A856,'Base bordo'!B$2:B$746,B856,'Base bordo'!F$2:F$746,"PATIO - RESERVA"),0)+IFERROR(SUMIFS('Base bordo'!G$2:G$746,'Base bordo'!C$2:C$746,A856,'Base bordo'!B$2:B$746,B856,'Base bordo'!F$2:F$746,"MANOBRA CARRETAS-PATIO"),0)</f>
        <v>21.27138888888889</v>
      </c>
      <c r="J856" s="10">
        <f>IFERROR(SUMIFS('Base bordo'!G$2:G$746,'Base bordo'!C$2:C$746,A856,'Base bordo'!B$2:B$746,B856,'Base bordo'!F$2:F$746,"BALANÇA - ENTRADA"),0)+IFERROR(SUMIFS('Base bordo'!G$2:G$746,'Base bordo'!C$2:C$746,A856,'Base bordo'!B$2:B$746,B856,'Base bordo'!F$2:F$746,"BALANÇA - SAÍDA"),0)</f>
        <v>5.0000000000000001E-3</v>
      </c>
      <c r="K856" s="10">
        <f>IFERROR(SUMIFS('Base bordo'!G$2:G$746,'Base bordo'!C$2:C$746,A856,'Base bordo'!B$2:B$746,B856,'Base bordo'!F$2:F$746,"MAN PREVENTIVA - MECANICA"),0)+IFERROR(SUMIFS('Base bordo'!G$2:G$746,'Base bordo'!C$2:C$746,A856,'Base bordo'!B$2:B$746,B856,'Base bordo'!F$2:F$746,"MAN CORRETIVA - MECANICA"),0)</f>
        <v>0</v>
      </c>
      <c r="L856" s="10">
        <f>IFERROR(SUMIFS('Base bordo'!G$2:G$746,'Base bordo'!C$2:C$746,A856,'Base bordo'!B$2:B$746,B856,'Base bordo'!F$2:F$746,"MANUTENCAO - T O"),0)+IFERROR(SUMIFS('Base bordo'!G$2:G$746,'Base bordo'!C$2:C$746,A856,'Base bordo'!B$2:B$746,B856,'Base bordo'!F$2:F$746,"MANUTENCAO BORRACHARIA"),0)+IFERROR(SUMIFS('Base bordo'!G$2:G$746,'Base bordo'!C$2:C$746,A856,'Base bordo'!B$2:B$746,B856,'Base bordo'!F$2:F$746,"MANUTENCAO EXTERNA  CONCESSIONARIA"),0)+IFERROR(SUMIFS('Base bordo'!G$2:G$746,'Base bordo'!C$2:C$746,A856,'Base bordo'!B$2:B$746,B856,'Base bordo'!F$2:F$746,"MANUTENCAO TELEMETRIA"),0)</f>
        <v>0</v>
      </c>
      <c r="M856" s="10">
        <f>IFERROR(SUMIFS('Base bordo'!G$2:G$746,'Base bordo'!C$2:C$746,A856,'Base bordo'!B$2:B$746,B856,'Base bordo'!F$2:F$746,"AGUARDANDO MANUTENCAO"),0)</f>
        <v>0</v>
      </c>
      <c r="N856" s="10">
        <f>IFERROR(SUMIFS('Base bordo'!G$2:G$746,'Base bordo'!C$2:C$746,A856,'Base bordo'!B$2:B$746,B856,'Base bordo'!F$2:F$746,"SEM APONTAMENTO"),0)</f>
        <v>0</v>
      </c>
      <c r="O856" s="10">
        <f t="shared" si="90"/>
        <v>0</v>
      </c>
      <c r="P856" s="10">
        <f>IFERROR(SUMIFS('Base bordo'!G$2:G$746,'Base bordo'!C$2:C$746,A856,'Base bordo'!B$2:B$746,B856),0)</f>
        <v>21.351944444444445</v>
      </c>
      <c r="Q856" s="10">
        <f>IFERROR(SUMIFS('Base bordo'!H$2:H$746,'Base bordo'!C$2:C$746,A856,'Base bordo'!B$2:B$746,B856,'Base bordo'!F$2:F$746,"DESLOCAMENTO VAZIO"),0)</f>
        <v>1805.94</v>
      </c>
      <c r="R856" s="10">
        <f>IFERROR(SUMIFS('Base bordo'!I$2:I$746,'Base bordo'!C$2:C$746,A856,'Base bordo'!B$2:B$746,B856,'Base bordo'!F$2:F$746,"DESLOCAMENTO VAZIO"),0)</f>
        <v>272</v>
      </c>
      <c r="S856" s="30">
        <f t="shared" si="91"/>
        <v>6.6394852941176472</v>
      </c>
      <c r="T856" s="10">
        <f>IFERROR(SUMIFS('Base bordo'!H$2:H$746,'Base bordo'!C$2:C$746,A856,'Base bordo'!B$2:B$746,B856,'Base bordo'!F$2:F$746,"DESLOCAMENTO CARREGADO"),0)</f>
        <v>0</v>
      </c>
      <c r="U856" s="10">
        <f>IFERROR(SUMIFS('Base bordo'!I$2:I$746,'Base bordo'!C$2:C$746,A856,'Base bordo'!B$2:B$746,B856,'Base bordo'!F$2:F$746,"DESLOCAMENTO CARREGADO"),0)</f>
        <v>0</v>
      </c>
      <c r="V856" s="30" t="str">
        <f t="shared" si="92"/>
        <v/>
      </c>
      <c r="W856" s="9">
        <f t="shared" si="93"/>
        <v>3.5385796245462941E-3</v>
      </c>
      <c r="X856" s="9">
        <f t="shared" si="94"/>
        <v>0</v>
      </c>
      <c r="Y856" s="9">
        <f t="shared" si="95"/>
        <v>0.99646142037545371</v>
      </c>
    </row>
    <row r="857" spans="1:25" ht="15" customHeight="1" x14ac:dyDescent="0.35">
      <c r="A857" s="52">
        <v>8013461</v>
      </c>
      <c r="B857" s="51">
        <v>46119</v>
      </c>
      <c r="C857" s="7" t="s">
        <v>124</v>
      </c>
      <c r="D857" s="10">
        <f>IFERROR(SUMIFS('Base bordo'!G$2:G$746,'Base bordo'!C$2:C$746,A857,'Base bordo'!B$2:B$746,B857,'Base bordo'!F$2:F$746,"DESLOCAMENTO VAZIO"),0)</f>
        <v>1.4069444444444446</v>
      </c>
      <c r="E857" s="10">
        <f>IFERROR(SUMIFS('Base bordo'!G$2:G$746,'Base bordo'!C$2:C$746,A857,'Base bordo'!B$2:B$746,B857,'Base bordo'!F$2:F$746,"DESLOCAMENTO CARREGADO"),0)</f>
        <v>1.8011111111111111</v>
      </c>
      <c r="F857" s="10">
        <f>IFERROR(SUMIFS('Base bordo'!G$2:G$746,'Base bordo'!C$2:C$746,A857,'Base bordo'!B$2:B$746,B857,'Base bordo'!F$2:F$746,"DESLOCAMENTO"),0)</f>
        <v>0</v>
      </c>
      <c r="G857" s="10">
        <f>IFERROR(SUMIFS('Base bordo'!G$2:G$746,'Base bordo'!C$2:C$746,A857,'Base bordo'!B$2:B$746,B857,'Base bordo'!F$2:F$746,"CARREGAMENTO"),0)</f>
        <v>0</v>
      </c>
      <c r="H857" s="10">
        <f>IFERROR(SUMIFS('Base bordo'!G$2:G$746,'Base bordo'!C$2:C$746,A857,'Base bordo'!B$2:B$746,B857,'Base bordo'!F$2:F$746,"AGUARDANDO TRANSBORDO"),0)</f>
        <v>0.2011111111111111</v>
      </c>
      <c r="I857" s="10">
        <f>IFERROR(SUMIFS('Base bordo'!G$2:G$746,'Base bordo'!C$2:C$746,A857,'Base bordo'!B$2:B$746,B857,'Base bordo'!F$2:F$746,"PÁTIO INTERNO"),0)+IFERROR(SUMIFS('Base bordo'!G$2:G$746,'Base bordo'!C$2:C$746,A857,'Base bordo'!B$2:B$746,B857,'Base bordo'!F$2:F$746,"PÁTIO EXTERNO"),0)+IFERROR(SUMIFS('Base bordo'!G$2:G$746,'Base bordo'!C$2:C$746,A857,'Base bordo'!B$2:B$746,B857,'Base bordo'!F$2:F$746,"PATIO - RESERVA"),0)+IFERROR(SUMIFS('Base bordo'!G$2:G$746,'Base bordo'!C$2:C$746,A857,'Base bordo'!B$2:B$746,B857,'Base bordo'!F$2:F$746,"MANOBRA CARRETAS-PATIO"),0)</f>
        <v>8.8375000000000004</v>
      </c>
      <c r="J857" s="10">
        <f>IFERROR(SUMIFS('Base bordo'!G$2:G$746,'Base bordo'!C$2:C$746,A857,'Base bordo'!B$2:B$746,B857,'Base bordo'!F$2:F$746,"BALANÇA - ENTRADA"),0)+IFERROR(SUMIFS('Base bordo'!G$2:G$746,'Base bordo'!C$2:C$746,A857,'Base bordo'!B$2:B$746,B857,'Base bordo'!F$2:F$746,"BALANÇA - SAÍDA"),0)</f>
        <v>0.15</v>
      </c>
      <c r="K857" s="10">
        <f>IFERROR(SUMIFS('Base bordo'!G$2:G$746,'Base bordo'!C$2:C$746,A857,'Base bordo'!B$2:B$746,B857,'Base bordo'!F$2:F$746,"MAN PREVENTIVA - MECANICA"),0)+IFERROR(SUMIFS('Base bordo'!G$2:G$746,'Base bordo'!C$2:C$746,A857,'Base bordo'!B$2:B$746,B857,'Base bordo'!F$2:F$746,"MAN CORRETIVA - MECANICA"),0)</f>
        <v>0</v>
      </c>
      <c r="L857" s="10">
        <f>IFERROR(SUMIFS('Base bordo'!G$2:G$746,'Base bordo'!C$2:C$746,A857,'Base bordo'!B$2:B$746,B857,'Base bordo'!F$2:F$746,"MANUTENCAO - T O"),0)+IFERROR(SUMIFS('Base bordo'!G$2:G$746,'Base bordo'!C$2:C$746,A857,'Base bordo'!B$2:B$746,B857,'Base bordo'!F$2:F$746,"MANUTENCAO BORRACHARIA"),0)+IFERROR(SUMIFS('Base bordo'!G$2:G$746,'Base bordo'!C$2:C$746,A857,'Base bordo'!B$2:B$746,B857,'Base bordo'!F$2:F$746,"MANUTENCAO EXTERNA  CONCESSIONARIA"),0)+IFERROR(SUMIFS('Base bordo'!G$2:G$746,'Base bordo'!C$2:C$746,A857,'Base bordo'!B$2:B$746,B857,'Base bordo'!F$2:F$746,"MANUTENCAO TELEMETRIA"),0)</f>
        <v>0</v>
      </c>
      <c r="M857" s="10">
        <f>IFERROR(SUMIFS('Base bordo'!G$2:G$746,'Base bordo'!C$2:C$746,A857,'Base bordo'!B$2:B$746,B857,'Base bordo'!F$2:F$746,"AGUARDANDO MANUTENCAO"),0)</f>
        <v>0</v>
      </c>
      <c r="N857" s="10">
        <f>IFERROR(SUMIFS('Base bordo'!G$2:G$746,'Base bordo'!C$2:C$746,A857,'Base bordo'!B$2:B$746,B857,'Base bordo'!F$2:F$746,"SEM APONTAMENTO"),0)</f>
        <v>0</v>
      </c>
      <c r="O857" s="10">
        <f t="shared" si="90"/>
        <v>0.18333333333333357</v>
      </c>
      <c r="P857" s="10">
        <f>IFERROR(SUMIFS('Base bordo'!G$2:G$746,'Base bordo'!C$2:C$746,A857,'Base bordo'!B$2:B$746,B857),0)</f>
        <v>12.58</v>
      </c>
      <c r="Q857" s="10">
        <f>IFERROR(SUMIFS('Base bordo'!H$2:H$746,'Base bordo'!C$2:C$746,A857,'Base bordo'!B$2:B$746,B857,'Base bordo'!F$2:F$746,"DESLOCAMENTO VAZIO"),0)</f>
        <v>177546.48</v>
      </c>
      <c r="R857" s="10">
        <f>IFERROR(SUMIFS('Base bordo'!I$2:I$746,'Base bordo'!C$2:C$746,A857,'Base bordo'!B$2:B$746,B857,'Base bordo'!F$2:F$746,"DESLOCAMENTO VAZIO"),0)</f>
        <v>5065</v>
      </c>
      <c r="S857" s="30">
        <f t="shared" si="91"/>
        <v>35.05359921026654</v>
      </c>
      <c r="T857" s="10">
        <f>IFERROR(SUMIFS('Base bordo'!H$2:H$746,'Base bordo'!C$2:C$746,A857,'Base bordo'!B$2:B$746,B857,'Base bordo'!F$2:F$746,"DESLOCAMENTO CARREGADO"),0)</f>
        <v>173551.50000000003</v>
      </c>
      <c r="U857" s="10">
        <f>IFERROR(SUMIFS('Base bordo'!I$2:I$746,'Base bordo'!C$2:C$746,A857,'Base bordo'!B$2:B$746,B857,'Base bordo'!F$2:F$746,"DESLOCAMENTO CARREGADO"),0)</f>
        <v>6484</v>
      </c>
      <c r="V857" s="30">
        <f t="shared" si="92"/>
        <v>26.766116594694637</v>
      </c>
      <c r="W857" s="9">
        <f t="shared" si="93"/>
        <v>0.11183978095742803</v>
      </c>
      <c r="X857" s="9">
        <f t="shared" si="94"/>
        <v>0.14317258434905494</v>
      </c>
      <c r="Y857" s="9">
        <f t="shared" si="95"/>
        <v>0.74498763469351703</v>
      </c>
    </row>
    <row r="858" spans="1:25" ht="15" customHeight="1" x14ac:dyDescent="0.35">
      <c r="A858" s="52">
        <v>8013461</v>
      </c>
      <c r="B858" s="51">
        <v>46119</v>
      </c>
      <c r="C858" s="7" t="s">
        <v>124</v>
      </c>
      <c r="D858" s="10">
        <f>IFERROR(SUMIFS('Base bordo'!G$2:G$746,'Base bordo'!C$2:C$746,A858,'Base bordo'!B$2:B$746,B858,'Base bordo'!F$2:F$746,"DESLOCAMENTO VAZIO"),0)</f>
        <v>1.4069444444444446</v>
      </c>
      <c r="E858" s="10">
        <f>IFERROR(SUMIFS('Base bordo'!G$2:G$746,'Base bordo'!C$2:C$746,A858,'Base bordo'!B$2:B$746,B858,'Base bordo'!F$2:F$746,"DESLOCAMENTO CARREGADO"),0)</f>
        <v>1.8011111111111111</v>
      </c>
      <c r="F858" s="10">
        <f>IFERROR(SUMIFS('Base bordo'!G$2:G$746,'Base bordo'!C$2:C$746,A858,'Base bordo'!B$2:B$746,B858,'Base bordo'!F$2:F$746,"DESLOCAMENTO"),0)</f>
        <v>0</v>
      </c>
      <c r="G858" s="10">
        <f>IFERROR(SUMIFS('Base bordo'!G$2:G$746,'Base bordo'!C$2:C$746,A858,'Base bordo'!B$2:B$746,B858,'Base bordo'!F$2:F$746,"CARREGAMENTO"),0)</f>
        <v>0</v>
      </c>
      <c r="H858" s="10">
        <f>IFERROR(SUMIFS('Base bordo'!G$2:G$746,'Base bordo'!C$2:C$746,A858,'Base bordo'!B$2:B$746,B858,'Base bordo'!F$2:F$746,"AGUARDANDO TRANSBORDO"),0)</f>
        <v>0.2011111111111111</v>
      </c>
      <c r="I858" s="10">
        <f>IFERROR(SUMIFS('Base bordo'!G$2:G$746,'Base bordo'!C$2:C$746,A858,'Base bordo'!B$2:B$746,B858,'Base bordo'!F$2:F$746,"PÁTIO INTERNO"),0)+IFERROR(SUMIFS('Base bordo'!G$2:G$746,'Base bordo'!C$2:C$746,A858,'Base bordo'!B$2:B$746,B858,'Base bordo'!F$2:F$746,"PÁTIO EXTERNO"),0)+IFERROR(SUMIFS('Base bordo'!G$2:G$746,'Base bordo'!C$2:C$746,A858,'Base bordo'!B$2:B$746,B858,'Base bordo'!F$2:F$746,"PATIO - RESERVA"),0)+IFERROR(SUMIFS('Base bordo'!G$2:G$746,'Base bordo'!C$2:C$746,A858,'Base bordo'!B$2:B$746,B858,'Base bordo'!F$2:F$746,"MANOBRA CARRETAS-PATIO"),0)</f>
        <v>8.8375000000000004</v>
      </c>
      <c r="J858" s="10">
        <f>IFERROR(SUMIFS('Base bordo'!G$2:G$746,'Base bordo'!C$2:C$746,A858,'Base bordo'!B$2:B$746,B858,'Base bordo'!F$2:F$746,"BALANÇA - ENTRADA"),0)+IFERROR(SUMIFS('Base bordo'!G$2:G$746,'Base bordo'!C$2:C$746,A858,'Base bordo'!B$2:B$746,B858,'Base bordo'!F$2:F$746,"BALANÇA - SAÍDA"),0)</f>
        <v>0.15</v>
      </c>
      <c r="K858" s="10">
        <f>IFERROR(SUMIFS('Base bordo'!G$2:G$746,'Base bordo'!C$2:C$746,A858,'Base bordo'!B$2:B$746,B858,'Base bordo'!F$2:F$746,"MAN PREVENTIVA - MECANICA"),0)+IFERROR(SUMIFS('Base bordo'!G$2:G$746,'Base bordo'!C$2:C$746,A858,'Base bordo'!B$2:B$746,B858,'Base bordo'!F$2:F$746,"MAN CORRETIVA - MECANICA"),0)</f>
        <v>0</v>
      </c>
      <c r="L858" s="10">
        <f>IFERROR(SUMIFS('Base bordo'!G$2:G$746,'Base bordo'!C$2:C$746,A858,'Base bordo'!B$2:B$746,B858,'Base bordo'!F$2:F$746,"MANUTENCAO - T O"),0)+IFERROR(SUMIFS('Base bordo'!G$2:G$746,'Base bordo'!C$2:C$746,A858,'Base bordo'!B$2:B$746,B858,'Base bordo'!F$2:F$746,"MANUTENCAO BORRACHARIA"),0)+IFERROR(SUMIFS('Base bordo'!G$2:G$746,'Base bordo'!C$2:C$746,A858,'Base bordo'!B$2:B$746,B858,'Base bordo'!F$2:F$746,"MANUTENCAO EXTERNA  CONCESSIONARIA"),0)+IFERROR(SUMIFS('Base bordo'!G$2:G$746,'Base bordo'!C$2:C$746,A858,'Base bordo'!B$2:B$746,B858,'Base bordo'!F$2:F$746,"MANUTENCAO TELEMETRIA"),0)</f>
        <v>0</v>
      </c>
      <c r="M858" s="10">
        <f>IFERROR(SUMIFS('Base bordo'!G$2:G$746,'Base bordo'!C$2:C$746,A858,'Base bordo'!B$2:B$746,B858,'Base bordo'!F$2:F$746,"AGUARDANDO MANUTENCAO"),0)</f>
        <v>0</v>
      </c>
      <c r="N858" s="10">
        <f>IFERROR(SUMIFS('Base bordo'!G$2:G$746,'Base bordo'!C$2:C$746,A858,'Base bordo'!B$2:B$746,B858,'Base bordo'!F$2:F$746,"SEM APONTAMENTO"),0)</f>
        <v>0</v>
      </c>
      <c r="O858" s="10">
        <f t="shared" si="90"/>
        <v>0.18333333333333357</v>
      </c>
      <c r="P858" s="10">
        <f>IFERROR(SUMIFS('Base bordo'!G$2:G$746,'Base bordo'!C$2:C$746,A858,'Base bordo'!B$2:B$746,B858),0)</f>
        <v>12.58</v>
      </c>
      <c r="Q858" s="10">
        <f>IFERROR(SUMIFS('Base bordo'!H$2:H$746,'Base bordo'!C$2:C$746,A858,'Base bordo'!B$2:B$746,B858,'Base bordo'!F$2:F$746,"DESLOCAMENTO VAZIO"),0)</f>
        <v>177546.48</v>
      </c>
      <c r="R858" s="10">
        <f>IFERROR(SUMIFS('Base bordo'!I$2:I$746,'Base bordo'!C$2:C$746,A858,'Base bordo'!B$2:B$746,B858,'Base bordo'!F$2:F$746,"DESLOCAMENTO VAZIO"),0)</f>
        <v>5065</v>
      </c>
      <c r="S858" s="30">
        <f t="shared" si="91"/>
        <v>35.05359921026654</v>
      </c>
      <c r="T858" s="10">
        <f>IFERROR(SUMIFS('Base bordo'!H$2:H$746,'Base bordo'!C$2:C$746,A858,'Base bordo'!B$2:B$746,B858,'Base bordo'!F$2:F$746,"DESLOCAMENTO CARREGADO"),0)</f>
        <v>173551.50000000003</v>
      </c>
      <c r="U858" s="10">
        <f>IFERROR(SUMIFS('Base bordo'!I$2:I$746,'Base bordo'!C$2:C$746,A858,'Base bordo'!B$2:B$746,B858,'Base bordo'!F$2:F$746,"DESLOCAMENTO CARREGADO"),0)</f>
        <v>6484</v>
      </c>
      <c r="V858" s="30">
        <f t="shared" si="92"/>
        <v>26.766116594694637</v>
      </c>
      <c r="W858" s="9">
        <f t="shared" si="93"/>
        <v>0.11183978095742803</v>
      </c>
      <c r="X858" s="9">
        <f t="shared" si="94"/>
        <v>0.14317258434905494</v>
      </c>
      <c r="Y858" s="9">
        <f t="shared" si="95"/>
        <v>0.74498763469351703</v>
      </c>
    </row>
    <row r="859" spans="1:25" ht="15" customHeight="1" x14ac:dyDescent="0.35">
      <c r="A859" s="52">
        <v>8013461</v>
      </c>
      <c r="B859" s="51">
        <v>46119</v>
      </c>
      <c r="C859" s="7" t="s">
        <v>124</v>
      </c>
      <c r="D859" s="10">
        <f>IFERROR(SUMIFS('Base bordo'!G$2:G$746,'Base bordo'!C$2:C$746,A859,'Base bordo'!B$2:B$746,B859,'Base bordo'!F$2:F$746,"DESLOCAMENTO VAZIO"),0)</f>
        <v>1.4069444444444446</v>
      </c>
      <c r="E859" s="10">
        <f>IFERROR(SUMIFS('Base bordo'!G$2:G$746,'Base bordo'!C$2:C$746,A859,'Base bordo'!B$2:B$746,B859,'Base bordo'!F$2:F$746,"DESLOCAMENTO CARREGADO"),0)</f>
        <v>1.8011111111111111</v>
      </c>
      <c r="F859" s="10">
        <f>IFERROR(SUMIFS('Base bordo'!G$2:G$746,'Base bordo'!C$2:C$746,A859,'Base bordo'!B$2:B$746,B859,'Base bordo'!F$2:F$746,"DESLOCAMENTO"),0)</f>
        <v>0</v>
      </c>
      <c r="G859" s="10">
        <f>IFERROR(SUMIFS('Base bordo'!G$2:G$746,'Base bordo'!C$2:C$746,A859,'Base bordo'!B$2:B$746,B859,'Base bordo'!F$2:F$746,"CARREGAMENTO"),0)</f>
        <v>0</v>
      </c>
      <c r="H859" s="10">
        <f>IFERROR(SUMIFS('Base bordo'!G$2:G$746,'Base bordo'!C$2:C$746,A859,'Base bordo'!B$2:B$746,B859,'Base bordo'!F$2:F$746,"AGUARDANDO TRANSBORDO"),0)</f>
        <v>0.2011111111111111</v>
      </c>
      <c r="I859" s="10">
        <f>IFERROR(SUMIFS('Base bordo'!G$2:G$746,'Base bordo'!C$2:C$746,A859,'Base bordo'!B$2:B$746,B859,'Base bordo'!F$2:F$746,"PÁTIO INTERNO"),0)+IFERROR(SUMIFS('Base bordo'!G$2:G$746,'Base bordo'!C$2:C$746,A859,'Base bordo'!B$2:B$746,B859,'Base bordo'!F$2:F$746,"PÁTIO EXTERNO"),0)+IFERROR(SUMIFS('Base bordo'!G$2:G$746,'Base bordo'!C$2:C$746,A859,'Base bordo'!B$2:B$746,B859,'Base bordo'!F$2:F$746,"PATIO - RESERVA"),0)+IFERROR(SUMIFS('Base bordo'!G$2:G$746,'Base bordo'!C$2:C$746,A859,'Base bordo'!B$2:B$746,B859,'Base bordo'!F$2:F$746,"MANOBRA CARRETAS-PATIO"),0)</f>
        <v>8.8375000000000004</v>
      </c>
      <c r="J859" s="10">
        <f>IFERROR(SUMIFS('Base bordo'!G$2:G$746,'Base bordo'!C$2:C$746,A859,'Base bordo'!B$2:B$746,B859,'Base bordo'!F$2:F$746,"BALANÇA - ENTRADA"),0)+IFERROR(SUMIFS('Base bordo'!G$2:G$746,'Base bordo'!C$2:C$746,A859,'Base bordo'!B$2:B$746,B859,'Base bordo'!F$2:F$746,"BALANÇA - SAÍDA"),0)</f>
        <v>0.15</v>
      </c>
      <c r="K859" s="10">
        <f>IFERROR(SUMIFS('Base bordo'!G$2:G$746,'Base bordo'!C$2:C$746,A859,'Base bordo'!B$2:B$746,B859,'Base bordo'!F$2:F$746,"MAN PREVENTIVA - MECANICA"),0)+IFERROR(SUMIFS('Base bordo'!G$2:G$746,'Base bordo'!C$2:C$746,A859,'Base bordo'!B$2:B$746,B859,'Base bordo'!F$2:F$746,"MAN CORRETIVA - MECANICA"),0)</f>
        <v>0</v>
      </c>
      <c r="L859" s="10">
        <f>IFERROR(SUMIFS('Base bordo'!G$2:G$746,'Base bordo'!C$2:C$746,A859,'Base bordo'!B$2:B$746,B859,'Base bordo'!F$2:F$746,"MANUTENCAO - T O"),0)+IFERROR(SUMIFS('Base bordo'!G$2:G$746,'Base bordo'!C$2:C$746,A859,'Base bordo'!B$2:B$746,B859,'Base bordo'!F$2:F$746,"MANUTENCAO BORRACHARIA"),0)+IFERROR(SUMIFS('Base bordo'!G$2:G$746,'Base bordo'!C$2:C$746,A859,'Base bordo'!B$2:B$746,B859,'Base bordo'!F$2:F$746,"MANUTENCAO EXTERNA  CONCESSIONARIA"),0)+IFERROR(SUMIFS('Base bordo'!G$2:G$746,'Base bordo'!C$2:C$746,A859,'Base bordo'!B$2:B$746,B859,'Base bordo'!F$2:F$746,"MANUTENCAO TELEMETRIA"),0)</f>
        <v>0</v>
      </c>
      <c r="M859" s="10">
        <f>IFERROR(SUMIFS('Base bordo'!G$2:G$746,'Base bordo'!C$2:C$746,A859,'Base bordo'!B$2:B$746,B859,'Base bordo'!F$2:F$746,"AGUARDANDO MANUTENCAO"),0)</f>
        <v>0</v>
      </c>
      <c r="N859" s="10">
        <f>IFERROR(SUMIFS('Base bordo'!G$2:G$746,'Base bordo'!C$2:C$746,A859,'Base bordo'!B$2:B$746,B859,'Base bordo'!F$2:F$746,"SEM APONTAMENTO"),0)</f>
        <v>0</v>
      </c>
      <c r="O859" s="10">
        <f t="shared" si="90"/>
        <v>0.18333333333333357</v>
      </c>
      <c r="P859" s="10">
        <f>IFERROR(SUMIFS('Base bordo'!G$2:G$746,'Base bordo'!C$2:C$746,A859,'Base bordo'!B$2:B$746,B859),0)</f>
        <v>12.58</v>
      </c>
      <c r="Q859" s="10">
        <f>IFERROR(SUMIFS('Base bordo'!H$2:H$746,'Base bordo'!C$2:C$746,A859,'Base bordo'!B$2:B$746,B859,'Base bordo'!F$2:F$746,"DESLOCAMENTO VAZIO"),0)</f>
        <v>177546.48</v>
      </c>
      <c r="R859" s="10">
        <f>IFERROR(SUMIFS('Base bordo'!I$2:I$746,'Base bordo'!C$2:C$746,A859,'Base bordo'!B$2:B$746,B859,'Base bordo'!F$2:F$746,"DESLOCAMENTO VAZIO"),0)</f>
        <v>5065</v>
      </c>
      <c r="S859" s="30">
        <f t="shared" si="91"/>
        <v>35.05359921026654</v>
      </c>
      <c r="T859" s="10">
        <f>IFERROR(SUMIFS('Base bordo'!H$2:H$746,'Base bordo'!C$2:C$746,A859,'Base bordo'!B$2:B$746,B859,'Base bordo'!F$2:F$746,"DESLOCAMENTO CARREGADO"),0)</f>
        <v>173551.50000000003</v>
      </c>
      <c r="U859" s="10">
        <f>IFERROR(SUMIFS('Base bordo'!I$2:I$746,'Base bordo'!C$2:C$746,A859,'Base bordo'!B$2:B$746,B859,'Base bordo'!F$2:F$746,"DESLOCAMENTO CARREGADO"),0)</f>
        <v>6484</v>
      </c>
      <c r="V859" s="30">
        <f t="shared" si="92"/>
        <v>26.766116594694637</v>
      </c>
      <c r="W859" s="9">
        <f t="shared" si="93"/>
        <v>0.11183978095742803</v>
      </c>
      <c r="X859" s="9">
        <f t="shared" si="94"/>
        <v>0.14317258434905494</v>
      </c>
      <c r="Y859" s="9">
        <f t="shared" si="95"/>
        <v>0.74498763469351703</v>
      </c>
    </row>
    <row r="860" spans="1:25" ht="15" customHeight="1" x14ac:dyDescent="0.35">
      <c r="A860" s="52">
        <v>8013461</v>
      </c>
      <c r="B860" s="51">
        <v>46119</v>
      </c>
      <c r="C860" s="7" t="s">
        <v>124</v>
      </c>
      <c r="D860" s="10">
        <f>IFERROR(SUMIFS('Base bordo'!G$2:G$746,'Base bordo'!C$2:C$746,A860,'Base bordo'!B$2:B$746,B860,'Base bordo'!F$2:F$746,"DESLOCAMENTO VAZIO"),0)</f>
        <v>1.4069444444444446</v>
      </c>
      <c r="E860" s="10">
        <f>IFERROR(SUMIFS('Base bordo'!G$2:G$746,'Base bordo'!C$2:C$746,A860,'Base bordo'!B$2:B$746,B860,'Base bordo'!F$2:F$746,"DESLOCAMENTO CARREGADO"),0)</f>
        <v>1.8011111111111111</v>
      </c>
      <c r="F860" s="10">
        <f>IFERROR(SUMIFS('Base bordo'!G$2:G$746,'Base bordo'!C$2:C$746,A860,'Base bordo'!B$2:B$746,B860,'Base bordo'!F$2:F$746,"DESLOCAMENTO"),0)</f>
        <v>0</v>
      </c>
      <c r="G860" s="10">
        <f>IFERROR(SUMIFS('Base bordo'!G$2:G$746,'Base bordo'!C$2:C$746,A860,'Base bordo'!B$2:B$746,B860,'Base bordo'!F$2:F$746,"CARREGAMENTO"),0)</f>
        <v>0</v>
      </c>
      <c r="H860" s="10">
        <f>IFERROR(SUMIFS('Base bordo'!G$2:G$746,'Base bordo'!C$2:C$746,A860,'Base bordo'!B$2:B$746,B860,'Base bordo'!F$2:F$746,"AGUARDANDO TRANSBORDO"),0)</f>
        <v>0.2011111111111111</v>
      </c>
      <c r="I860" s="10">
        <f>IFERROR(SUMIFS('Base bordo'!G$2:G$746,'Base bordo'!C$2:C$746,A860,'Base bordo'!B$2:B$746,B860,'Base bordo'!F$2:F$746,"PÁTIO INTERNO"),0)+IFERROR(SUMIFS('Base bordo'!G$2:G$746,'Base bordo'!C$2:C$746,A860,'Base bordo'!B$2:B$746,B860,'Base bordo'!F$2:F$746,"PÁTIO EXTERNO"),0)+IFERROR(SUMIFS('Base bordo'!G$2:G$746,'Base bordo'!C$2:C$746,A860,'Base bordo'!B$2:B$746,B860,'Base bordo'!F$2:F$746,"PATIO - RESERVA"),0)+IFERROR(SUMIFS('Base bordo'!G$2:G$746,'Base bordo'!C$2:C$746,A860,'Base bordo'!B$2:B$746,B860,'Base bordo'!F$2:F$746,"MANOBRA CARRETAS-PATIO"),0)</f>
        <v>8.8375000000000004</v>
      </c>
      <c r="J860" s="10">
        <f>IFERROR(SUMIFS('Base bordo'!G$2:G$746,'Base bordo'!C$2:C$746,A860,'Base bordo'!B$2:B$746,B860,'Base bordo'!F$2:F$746,"BALANÇA - ENTRADA"),0)+IFERROR(SUMIFS('Base bordo'!G$2:G$746,'Base bordo'!C$2:C$746,A860,'Base bordo'!B$2:B$746,B860,'Base bordo'!F$2:F$746,"BALANÇA - SAÍDA"),0)</f>
        <v>0.15</v>
      </c>
      <c r="K860" s="10">
        <f>IFERROR(SUMIFS('Base bordo'!G$2:G$746,'Base bordo'!C$2:C$746,A860,'Base bordo'!B$2:B$746,B860,'Base bordo'!F$2:F$746,"MAN PREVENTIVA - MECANICA"),0)+IFERROR(SUMIFS('Base bordo'!G$2:G$746,'Base bordo'!C$2:C$746,A860,'Base bordo'!B$2:B$746,B860,'Base bordo'!F$2:F$746,"MAN CORRETIVA - MECANICA"),0)</f>
        <v>0</v>
      </c>
      <c r="L860" s="10">
        <f>IFERROR(SUMIFS('Base bordo'!G$2:G$746,'Base bordo'!C$2:C$746,A860,'Base bordo'!B$2:B$746,B860,'Base bordo'!F$2:F$746,"MANUTENCAO - T O"),0)+IFERROR(SUMIFS('Base bordo'!G$2:G$746,'Base bordo'!C$2:C$746,A860,'Base bordo'!B$2:B$746,B860,'Base bordo'!F$2:F$746,"MANUTENCAO BORRACHARIA"),0)+IFERROR(SUMIFS('Base bordo'!G$2:G$746,'Base bordo'!C$2:C$746,A860,'Base bordo'!B$2:B$746,B860,'Base bordo'!F$2:F$746,"MANUTENCAO EXTERNA  CONCESSIONARIA"),0)+IFERROR(SUMIFS('Base bordo'!G$2:G$746,'Base bordo'!C$2:C$746,A860,'Base bordo'!B$2:B$746,B860,'Base bordo'!F$2:F$746,"MANUTENCAO TELEMETRIA"),0)</f>
        <v>0</v>
      </c>
      <c r="M860" s="10">
        <f>IFERROR(SUMIFS('Base bordo'!G$2:G$746,'Base bordo'!C$2:C$746,A860,'Base bordo'!B$2:B$746,B860,'Base bordo'!F$2:F$746,"AGUARDANDO MANUTENCAO"),0)</f>
        <v>0</v>
      </c>
      <c r="N860" s="10">
        <f>IFERROR(SUMIFS('Base bordo'!G$2:G$746,'Base bordo'!C$2:C$746,A860,'Base bordo'!B$2:B$746,B860,'Base bordo'!F$2:F$746,"SEM APONTAMENTO"),0)</f>
        <v>0</v>
      </c>
      <c r="O860" s="10">
        <f t="shared" si="90"/>
        <v>0.18333333333333357</v>
      </c>
      <c r="P860" s="10">
        <f>IFERROR(SUMIFS('Base bordo'!G$2:G$746,'Base bordo'!C$2:C$746,A860,'Base bordo'!B$2:B$746,B860),0)</f>
        <v>12.58</v>
      </c>
      <c r="Q860" s="10">
        <f>IFERROR(SUMIFS('Base bordo'!H$2:H$746,'Base bordo'!C$2:C$746,A860,'Base bordo'!B$2:B$746,B860,'Base bordo'!F$2:F$746,"DESLOCAMENTO VAZIO"),0)</f>
        <v>177546.48</v>
      </c>
      <c r="R860" s="10">
        <f>IFERROR(SUMIFS('Base bordo'!I$2:I$746,'Base bordo'!C$2:C$746,A860,'Base bordo'!B$2:B$746,B860,'Base bordo'!F$2:F$746,"DESLOCAMENTO VAZIO"),0)</f>
        <v>5065</v>
      </c>
      <c r="S860" s="30">
        <f t="shared" si="91"/>
        <v>35.05359921026654</v>
      </c>
      <c r="T860" s="10">
        <f>IFERROR(SUMIFS('Base bordo'!H$2:H$746,'Base bordo'!C$2:C$746,A860,'Base bordo'!B$2:B$746,B860,'Base bordo'!F$2:F$746,"DESLOCAMENTO CARREGADO"),0)</f>
        <v>173551.50000000003</v>
      </c>
      <c r="U860" s="10">
        <f>IFERROR(SUMIFS('Base bordo'!I$2:I$746,'Base bordo'!C$2:C$746,A860,'Base bordo'!B$2:B$746,B860,'Base bordo'!F$2:F$746,"DESLOCAMENTO CARREGADO"),0)</f>
        <v>6484</v>
      </c>
      <c r="V860" s="30">
        <f t="shared" si="92"/>
        <v>26.766116594694637</v>
      </c>
      <c r="W860" s="9">
        <f t="shared" si="93"/>
        <v>0.11183978095742803</v>
      </c>
      <c r="X860" s="9">
        <f t="shared" si="94"/>
        <v>0.14317258434905494</v>
      </c>
      <c r="Y860" s="9">
        <f t="shared" si="95"/>
        <v>0.74498763469351703</v>
      </c>
    </row>
    <row r="861" spans="1:25" ht="15" customHeight="1" x14ac:dyDescent="0.35">
      <c r="A861" s="52">
        <v>8013461</v>
      </c>
      <c r="B861" s="51">
        <v>46119</v>
      </c>
      <c r="C861" s="7" t="s">
        <v>124</v>
      </c>
      <c r="D861" s="10">
        <f>IFERROR(SUMIFS('Base bordo'!G$2:G$746,'Base bordo'!C$2:C$746,A861,'Base bordo'!B$2:B$746,B861,'Base bordo'!F$2:F$746,"DESLOCAMENTO VAZIO"),0)</f>
        <v>1.4069444444444446</v>
      </c>
      <c r="E861" s="10">
        <f>IFERROR(SUMIFS('Base bordo'!G$2:G$746,'Base bordo'!C$2:C$746,A861,'Base bordo'!B$2:B$746,B861,'Base bordo'!F$2:F$746,"DESLOCAMENTO CARREGADO"),0)</f>
        <v>1.8011111111111111</v>
      </c>
      <c r="F861" s="10">
        <f>IFERROR(SUMIFS('Base bordo'!G$2:G$746,'Base bordo'!C$2:C$746,A861,'Base bordo'!B$2:B$746,B861,'Base bordo'!F$2:F$746,"DESLOCAMENTO"),0)</f>
        <v>0</v>
      </c>
      <c r="G861" s="10">
        <f>IFERROR(SUMIFS('Base bordo'!G$2:G$746,'Base bordo'!C$2:C$746,A861,'Base bordo'!B$2:B$746,B861,'Base bordo'!F$2:F$746,"CARREGAMENTO"),0)</f>
        <v>0</v>
      </c>
      <c r="H861" s="10">
        <f>IFERROR(SUMIFS('Base bordo'!G$2:G$746,'Base bordo'!C$2:C$746,A861,'Base bordo'!B$2:B$746,B861,'Base bordo'!F$2:F$746,"AGUARDANDO TRANSBORDO"),0)</f>
        <v>0.2011111111111111</v>
      </c>
      <c r="I861" s="10">
        <f>IFERROR(SUMIFS('Base bordo'!G$2:G$746,'Base bordo'!C$2:C$746,A861,'Base bordo'!B$2:B$746,B861,'Base bordo'!F$2:F$746,"PÁTIO INTERNO"),0)+IFERROR(SUMIFS('Base bordo'!G$2:G$746,'Base bordo'!C$2:C$746,A861,'Base bordo'!B$2:B$746,B861,'Base bordo'!F$2:F$746,"PÁTIO EXTERNO"),0)+IFERROR(SUMIFS('Base bordo'!G$2:G$746,'Base bordo'!C$2:C$746,A861,'Base bordo'!B$2:B$746,B861,'Base bordo'!F$2:F$746,"PATIO - RESERVA"),0)+IFERROR(SUMIFS('Base bordo'!G$2:G$746,'Base bordo'!C$2:C$746,A861,'Base bordo'!B$2:B$746,B861,'Base bordo'!F$2:F$746,"MANOBRA CARRETAS-PATIO"),0)</f>
        <v>8.8375000000000004</v>
      </c>
      <c r="J861" s="10">
        <f>IFERROR(SUMIFS('Base bordo'!G$2:G$746,'Base bordo'!C$2:C$746,A861,'Base bordo'!B$2:B$746,B861,'Base bordo'!F$2:F$746,"BALANÇA - ENTRADA"),0)+IFERROR(SUMIFS('Base bordo'!G$2:G$746,'Base bordo'!C$2:C$746,A861,'Base bordo'!B$2:B$746,B861,'Base bordo'!F$2:F$746,"BALANÇA - SAÍDA"),0)</f>
        <v>0.15</v>
      </c>
      <c r="K861" s="10">
        <f>IFERROR(SUMIFS('Base bordo'!G$2:G$746,'Base bordo'!C$2:C$746,A861,'Base bordo'!B$2:B$746,B861,'Base bordo'!F$2:F$746,"MAN PREVENTIVA - MECANICA"),0)+IFERROR(SUMIFS('Base bordo'!G$2:G$746,'Base bordo'!C$2:C$746,A861,'Base bordo'!B$2:B$746,B861,'Base bordo'!F$2:F$746,"MAN CORRETIVA - MECANICA"),0)</f>
        <v>0</v>
      </c>
      <c r="L861" s="10">
        <f>IFERROR(SUMIFS('Base bordo'!G$2:G$746,'Base bordo'!C$2:C$746,A861,'Base bordo'!B$2:B$746,B861,'Base bordo'!F$2:F$746,"MANUTENCAO - T O"),0)+IFERROR(SUMIFS('Base bordo'!G$2:G$746,'Base bordo'!C$2:C$746,A861,'Base bordo'!B$2:B$746,B861,'Base bordo'!F$2:F$746,"MANUTENCAO BORRACHARIA"),0)+IFERROR(SUMIFS('Base bordo'!G$2:G$746,'Base bordo'!C$2:C$746,A861,'Base bordo'!B$2:B$746,B861,'Base bordo'!F$2:F$746,"MANUTENCAO EXTERNA  CONCESSIONARIA"),0)+IFERROR(SUMIFS('Base bordo'!G$2:G$746,'Base bordo'!C$2:C$746,A861,'Base bordo'!B$2:B$746,B861,'Base bordo'!F$2:F$746,"MANUTENCAO TELEMETRIA"),0)</f>
        <v>0</v>
      </c>
      <c r="M861" s="10">
        <f>IFERROR(SUMIFS('Base bordo'!G$2:G$746,'Base bordo'!C$2:C$746,A861,'Base bordo'!B$2:B$746,B861,'Base bordo'!F$2:F$746,"AGUARDANDO MANUTENCAO"),0)</f>
        <v>0</v>
      </c>
      <c r="N861" s="10">
        <f>IFERROR(SUMIFS('Base bordo'!G$2:G$746,'Base bordo'!C$2:C$746,A861,'Base bordo'!B$2:B$746,B861,'Base bordo'!F$2:F$746,"SEM APONTAMENTO"),0)</f>
        <v>0</v>
      </c>
      <c r="O861" s="10">
        <f t="shared" si="90"/>
        <v>0.18333333333333357</v>
      </c>
      <c r="P861" s="10">
        <f>IFERROR(SUMIFS('Base bordo'!G$2:G$746,'Base bordo'!C$2:C$746,A861,'Base bordo'!B$2:B$746,B861),0)</f>
        <v>12.58</v>
      </c>
      <c r="Q861" s="10">
        <f>IFERROR(SUMIFS('Base bordo'!H$2:H$746,'Base bordo'!C$2:C$746,A861,'Base bordo'!B$2:B$746,B861,'Base bordo'!F$2:F$746,"DESLOCAMENTO VAZIO"),0)</f>
        <v>177546.48</v>
      </c>
      <c r="R861" s="10">
        <f>IFERROR(SUMIFS('Base bordo'!I$2:I$746,'Base bordo'!C$2:C$746,A861,'Base bordo'!B$2:B$746,B861,'Base bordo'!F$2:F$746,"DESLOCAMENTO VAZIO"),0)</f>
        <v>5065</v>
      </c>
      <c r="S861" s="30">
        <f t="shared" si="91"/>
        <v>35.05359921026654</v>
      </c>
      <c r="T861" s="10">
        <f>IFERROR(SUMIFS('Base bordo'!H$2:H$746,'Base bordo'!C$2:C$746,A861,'Base bordo'!B$2:B$746,B861,'Base bordo'!F$2:F$746,"DESLOCAMENTO CARREGADO"),0)</f>
        <v>173551.50000000003</v>
      </c>
      <c r="U861" s="10">
        <f>IFERROR(SUMIFS('Base bordo'!I$2:I$746,'Base bordo'!C$2:C$746,A861,'Base bordo'!B$2:B$746,B861,'Base bordo'!F$2:F$746,"DESLOCAMENTO CARREGADO"),0)</f>
        <v>6484</v>
      </c>
      <c r="V861" s="30">
        <f t="shared" si="92"/>
        <v>26.766116594694637</v>
      </c>
      <c r="W861" s="9">
        <f t="shared" si="93"/>
        <v>0.11183978095742803</v>
      </c>
      <c r="X861" s="9">
        <f t="shared" si="94"/>
        <v>0.14317258434905494</v>
      </c>
      <c r="Y861" s="9">
        <f t="shared" si="95"/>
        <v>0.74498763469351703</v>
      </c>
    </row>
    <row r="862" spans="1:25" ht="15" customHeight="1" x14ac:dyDescent="0.35">
      <c r="A862" s="52">
        <v>8013461</v>
      </c>
      <c r="B862" s="51">
        <v>46119</v>
      </c>
      <c r="C862" s="7" t="s">
        <v>124</v>
      </c>
      <c r="D862" s="10">
        <f>IFERROR(SUMIFS('Base bordo'!G$2:G$746,'Base bordo'!C$2:C$746,A862,'Base bordo'!B$2:B$746,B862,'Base bordo'!F$2:F$746,"DESLOCAMENTO VAZIO"),0)</f>
        <v>1.4069444444444446</v>
      </c>
      <c r="E862" s="10">
        <f>IFERROR(SUMIFS('Base bordo'!G$2:G$746,'Base bordo'!C$2:C$746,A862,'Base bordo'!B$2:B$746,B862,'Base bordo'!F$2:F$746,"DESLOCAMENTO CARREGADO"),0)</f>
        <v>1.8011111111111111</v>
      </c>
      <c r="F862" s="10">
        <f>IFERROR(SUMIFS('Base bordo'!G$2:G$746,'Base bordo'!C$2:C$746,A862,'Base bordo'!B$2:B$746,B862,'Base bordo'!F$2:F$746,"DESLOCAMENTO"),0)</f>
        <v>0</v>
      </c>
      <c r="G862" s="10">
        <f>IFERROR(SUMIFS('Base bordo'!G$2:G$746,'Base bordo'!C$2:C$746,A862,'Base bordo'!B$2:B$746,B862,'Base bordo'!F$2:F$746,"CARREGAMENTO"),0)</f>
        <v>0</v>
      </c>
      <c r="H862" s="10">
        <f>IFERROR(SUMIFS('Base bordo'!G$2:G$746,'Base bordo'!C$2:C$746,A862,'Base bordo'!B$2:B$746,B862,'Base bordo'!F$2:F$746,"AGUARDANDO TRANSBORDO"),0)</f>
        <v>0.2011111111111111</v>
      </c>
      <c r="I862" s="10">
        <f>IFERROR(SUMIFS('Base bordo'!G$2:G$746,'Base bordo'!C$2:C$746,A862,'Base bordo'!B$2:B$746,B862,'Base bordo'!F$2:F$746,"PÁTIO INTERNO"),0)+IFERROR(SUMIFS('Base bordo'!G$2:G$746,'Base bordo'!C$2:C$746,A862,'Base bordo'!B$2:B$746,B862,'Base bordo'!F$2:F$746,"PÁTIO EXTERNO"),0)+IFERROR(SUMIFS('Base bordo'!G$2:G$746,'Base bordo'!C$2:C$746,A862,'Base bordo'!B$2:B$746,B862,'Base bordo'!F$2:F$746,"PATIO - RESERVA"),0)+IFERROR(SUMIFS('Base bordo'!G$2:G$746,'Base bordo'!C$2:C$746,A862,'Base bordo'!B$2:B$746,B862,'Base bordo'!F$2:F$746,"MANOBRA CARRETAS-PATIO"),0)</f>
        <v>8.8375000000000004</v>
      </c>
      <c r="J862" s="10">
        <f>IFERROR(SUMIFS('Base bordo'!G$2:G$746,'Base bordo'!C$2:C$746,A862,'Base bordo'!B$2:B$746,B862,'Base bordo'!F$2:F$746,"BALANÇA - ENTRADA"),0)+IFERROR(SUMIFS('Base bordo'!G$2:G$746,'Base bordo'!C$2:C$746,A862,'Base bordo'!B$2:B$746,B862,'Base bordo'!F$2:F$746,"BALANÇA - SAÍDA"),0)</f>
        <v>0.15</v>
      </c>
      <c r="K862" s="10">
        <f>IFERROR(SUMIFS('Base bordo'!G$2:G$746,'Base bordo'!C$2:C$746,A862,'Base bordo'!B$2:B$746,B862,'Base bordo'!F$2:F$746,"MAN PREVENTIVA - MECANICA"),0)+IFERROR(SUMIFS('Base bordo'!G$2:G$746,'Base bordo'!C$2:C$746,A862,'Base bordo'!B$2:B$746,B862,'Base bordo'!F$2:F$746,"MAN CORRETIVA - MECANICA"),0)</f>
        <v>0</v>
      </c>
      <c r="L862" s="10">
        <f>IFERROR(SUMIFS('Base bordo'!G$2:G$746,'Base bordo'!C$2:C$746,A862,'Base bordo'!B$2:B$746,B862,'Base bordo'!F$2:F$746,"MANUTENCAO - T O"),0)+IFERROR(SUMIFS('Base bordo'!G$2:G$746,'Base bordo'!C$2:C$746,A862,'Base bordo'!B$2:B$746,B862,'Base bordo'!F$2:F$746,"MANUTENCAO BORRACHARIA"),0)+IFERROR(SUMIFS('Base bordo'!G$2:G$746,'Base bordo'!C$2:C$746,A862,'Base bordo'!B$2:B$746,B862,'Base bordo'!F$2:F$746,"MANUTENCAO EXTERNA  CONCESSIONARIA"),0)+IFERROR(SUMIFS('Base bordo'!G$2:G$746,'Base bordo'!C$2:C$746,A862,'Base bordo'!B$2:B$746,B862,'Base bordo'!F$2:F$746,"MANUTENCAO TELEMETRIA"),0)</f>
        <v>0</v>
      </c>
      <c r="M862" s="10">
        <f>IFERROR(SUMIFS('Base bordo'!G$2:G$746,'Base bordo'!C$2:C$746,A862,'Base bordo'!B$2:B$746,B862,'Base bordo'!F$2:F$746,"AGUARDANDO MANUTENCAO"),0)</f>
        <v>0</v>
      </c>
      <c r="N862" s="10">
        <f>IFERROR(SUMIFS('Base bordo'!G$2:G$746,'Base bordo'!C$2:C$746,A862,'Base bordo'!B$2:B$746,B862,'Base bordo'!F$2:F$746,"SEM APONTAMENTO"),0)</f>
        <v>0</v>
      </c>
      <c r="O862" s="10">
        <f t="shared" si="90"/>
        <v>0.18333333333333357</v>
      </c>
      <c r="P862" s="10">
        <f>IFERROR(SUMIFS('Base bordo'!G$2:G$746,'Base bordo'!C$2:C$746,A862,'Base bordo'!B$2:B$746,B862),0)</f>
        <v>12.58</v>
      </c>
      <c r="Q862" s="10">
        <f>IFERROR(SUMIFS('Base bordo'!H$2:H$746,'Base bordo'!C$2:C$746,A862,'Base bordo'!B$2:B$746,B862,'Base bordo'!F$2:F$746,"DESLOCAMENTO VAZIO"),0)</f>
        <v>177546.48</v>
      </c>
      <c r="R862" s="10">
        <f>IFERROR(SUMIFS('Base bordo'!I$2:I$746,'Base bordo'!C$2:C$746,A862,'Base bordo'!B$2:B$746,B862,'Base bordo'!F$2:F$746,"DESLOCAMENTO VAZIO"),0)</f>
        <v>5065</v>
      </c>
      <c r="S862" s="30">
        <f t="shared" si="91"/>
        <v>35.05359921026654</v>
      </c>
      <c r="T862" s="10">
        <f>IFERROR(SUMIFS('Base bordo'!H$2:H$746,'Base bordo'!C$2:C$746,A862,'Base bordo'!B$2:B$746,B862,'Base bordo'!F$2:F$746,"DESLOCAMENTO CARREGADO"),0)</f>
        <v>173551.50000000003</v>
      </c>
      <c r="U862" s="10">
        <f>IFERROR(SUMIFS('Base bordo'!I$2:I$746,'Base bordo'!C$2:C$746,A862,'Base bordo'!B$2:B$746,B862,'Base bordo'!F$2:F$746,"DESLOCAMENTO CARREGADO"),0)</f>
        <v>6484</v>
      </c>
      <c r="V862" s="30">
        <f t="shared" si="92"/>
        <v>26.766116594694637</v>
      </c>
      <c r="W862" s="9">
        <f t="shared" si="93"/>
        <v>0.11183978095742803</v>
      </c>
      <c r="X862" s="9">
        <f t="shared" si="94"/>
        <v>0.14317258434905494</v>
      </c>
      <c r="Y862" s="9">
        <f t="shared" si="95"/>
        <v>0.74498763469351703</v>
      </c>
    </row>
    <row r="863" spans="1:25" ht="15" customHeight="1" x14ac:dyDescent="0.35">
      <c r="A863" s="52">
        <v>8013461</v>
      </c>
      <c r="B863" s="51">
        <v>46119</v>
      </c>
      <c r="C863" s="7" t="s">
        <v>124</v>
      </c>
      <c r="D863" s="10">
        <f>IFERROR(SUMIFS('Base bordo'!G$2:G$746,'Base bordo'!C$2:C$746,A863,'Base bordo'!B$2:B$746,B863,'Base bordo'!F$2:F$746,"DESLOCAMENTO VAZIO"),0)</f>
        <v>1.4069444444444446</v>
      </c>
      <c r="E863" s="10">
        <f>IFERROR(SUMIFS('Base bordo'!G$2:G$746,'Base bordo'!C$2:C$746,A863,'Base bordo'!B$2:B$746,B863,'Base bordo'!F$2:F$746,"DESLOCAMENTO CARREGADO"),0)</f>
        <v>1.8011111111111111</v>
      </c>
      <c r="F863" s="10">
        <f>IFERROR(SUMIFS('Base bordo'!G$2:G$746,'Base bordo'!C$2:C$746,A863,'Base bordo'!B$2:B$746,B863,'Base bordo'!F$2:F$746,"DESLOCAMENTO"),0)</f>
        <v>0</v>
      </c>
      <c r="G863" s="10">
        <f>IFERROR(SUMIFS('Base bordo'!G$2:G$746,'Base bordo'!C$2:C$746,A863,'Base bordo'!B$2:B$746,B863,'Base bordo'!F$2:F$746,"CARREGAMENTO"),0)</f>
        <v>0</v>
      </c>
      <c r="H863" s="10">
        <f>IFERROR(SUMIFS('Base bordo'!G$2:G$746,'Base bordo'!C$2:C$746,A863,'Base bordo'!B$2:B$746,B863,'Base bordo'!F$2:F$746,"AGUARDANDO TRANSBORDO"),0)</f>
        <v>0.2011111111111111</v>
      </c>
      <c r="I863" s="10">
        <f>IFERROR(SUMIFS('Base bordo'!G$2:G$746,'Base bordo'!C$2:C$746,A863,'Base bordo'!B$2:B$746,B863,'Base bordo'!F$2:F$746,"PÁTIO INTERNO"),0)+IFERROR(SUMIFS('Base bordo'!G$2:G$746,'Base bordo'!C$2:C$746,A863,'Base bordo'!B$2:B$746,B863,'Base bordo'!F$2:F$746,"PÁTIO EXTERNO"),0)+IFERROR(SUMIFS('Base bordo'!G$2:G$746,'Base bordo'!C$2:C$746,A863,'Base bordo'!B$2:B$746,B863,'Base bordo'!F$2:F$746,"PATIO - RESERVA"),0)+IFERROR(SUMIFS('Base bordo'!G$2:G$746,'Base bordo'!C$2:C$746,A863,'Base bordo'!B$2:B$746,B863,'Base bordo'!F$2:F$746,"MANOBRA CARRETAS-PATIO"),0)</f>
        <v>8.8375000000000004</v>
      </c>
      <c r="J863" s="10">
        <f>IFERROR(SUMIFS('Base bordo'!G$2:G$746,'Base bordo'!C$2:C$746,A863,'Base bordo'!B$2:B$746,B863,'Base bordo'!F$2:F$746,"BALANÇA - ENTRADA"),0)+IFERROR(SUMIFS('Base bordo'!G$2:G$746,'Base bordo'!C$2:C$746,A863,'Base bordo'!B$2:B$746,B863,'Base bordo'!F$2:F$746,"BALANÇA - SAÍDA"),0)</f>
        <v>0.15</v>
      </c>
      <c r="K863" s="10">
        <f>IFERROR(SUMIFS('Base bordo'!G$2:G$746,'Base bordo'!C$2:C$746,A863,'Base bordo'!B$2:B$746,B863,'Base bordo'!F$2:F$746,"MAN PREVENTIVA - MECANICA"),0)+IFERROR(SUMIFS('Base bordo'!G$2:G$746,'Base bordo'!C$2:C$746,A863,'Base bordo'!B$2:B$746,B863,'Base bordo'!F$2:F$746,"MAN CORRETIVA - MECANICA"),0)</f>
        <v>0</v>
      </c>
      <c r="L863" s="10">
        <f>IFERROR(SUMIFS('Base bordo'!G$2:G$746,'Base bordo'!C$2:C$746,A863,'Base bordo'!B$2:B$746,B863,'Base bordo'!F$2:F$746,"MANUTENCAO - T O"),0)+IFERROR(SUMIFS('Base bordo'!G$2:G$746,'Base bordo'!C$2:C$746,A863,'Base bordo'!B$2:B$746,B863,'Base bordo'!F$2:F$746,"MANUTENCAO BORRACHARIA"),0)+IFERROR(SUMIFS('Base bordo'!G$2:G$746,'Base bordo'!C$2:C$746,A863,'Base bordo'!B$2:B$746,B863,'Base bordo'!F$2:F$746,"MANUTENCAO EXTERNA  CONCESSIONARIA"),0)+IFERROR(SUMIFS('Base bordo'!G$2:G$746,'Base bordo'!C$2:C$746,A863,'Base bordo'!B$2:B$746,B863,'Base bordo'!F$2:F$746,"MANUTENCAO TELEMETRIA"),0)</f>
        <v>0</v>
      </c>
      <c r="M863" s="10">
        <f>IFERROR(SUMIFS('Base bordo'!G$2:G$746,'Base bordo'!C$2:C$746,A863,'Base bordo'!B$2:B$746,B863,'Base bordo'!F$2:F$746,"AGUARDANDO MANUTENCAO"),0)</f>
        <v>0</v>
      </c>
      <c r="N863" s="10">
        <f>IFERROR(SUMIFS('Base bordo'!G$2:G$746,'Base bordo'!C$2:C$746,A863,'Base bordo'!B$2:B$746,B863,'Base bordo'!F$2:F$746,"SEM APONTAMENTO"),0)</f>
        <v>0</v>
      </c>
      <c r="O863" s="10">
        <f t="shared" si="90"/>
        <v>0.18333333333333357</v>
      </c>
      <c r="P863" s="10">
        <f>IFERROR(SUMIFS('Base bordo'!G$2:G$746,'Base bordo'!C$2:C$746,A863,'Base bordo'!B$2:B$746,B863),0)</f>
        <v>12.58</v>
      </c>
      <c r="Q863" s="10">
        <f>IFERROR(SUMIFS('Base bordo'!H$2:H$746,'Base bordo'!C$2:C$746,A863,'Base bordo'!B$2:B$746,B863,'Base bordo'!F$2:F$746,"DESLOCAMENTO VAZIO"),0)</f>
        <v>177546.48</v>
      </c>
      <c r="R863" s="10">
        <f>IFERROR(SUMIFS('Base bordo'!I$2:I$746,'Base bordo'!C$2:C$746,A863,'Base bordo'!B$2:B$746,B863,'Base bordo'!F$2:F$746,"DESLOCAMENTO VAZIO"),0)</f>
        <v>5065</v>
      </c>
      <c r="S863" s="30">
        <f t="shared" si="91"/>
        <v>35.05359921026654</v>
      </c>
      <c r="T863" s="10">
        <f>IFERROR(SUMIFS('Base bordo'!H$2:H$746,'Base bordo'!C$2:C$746,A863,'Base bordo'!B$2:B$746,B863,'Base bordo'!F$2:F$746,"DESLOCAMENTO CARREGADO"),0)</f>
        <v>173551.50000000003</v>
      </c>
      <c r="U863" s="10">
        <f>IFERROR(SUMIFS('Base bordo'!I$2:I$746,'Base bordo'!C$2:C$746,A863,'Base bordo'!B$2:B$746,B863,'Base bordo'!F$2:F$746,"DESLOCAMENTO CARREGADO"),0)</f>
        <v>6484</v>
      </c>
      <c r="V863" s="30">
        <f t="shared" si="92"/>
        <v>26.766116594694637</v>
      </c>
      <c r="W863" s="9">
        <f t="shared" si="93"/>
        <v>0.11183978095742803</v>
      </c>
      <c r="X863" s="9">
        <f t="shared" si="94"/>
        <v>0.14317258434905494</v>
      </c>
      <c r="Y863" s="9">
        <f t="shared" si="95"/>
        <v>0.74498763469351703</v>
      </c>
    </row>
    <row r="864" spans="1:25" ht="15" customHeight="1" x14ac:dyDescent="0.35">
      <c r="A864" s="52">
        <v>8013461</v>
      </c>
      <c r="B864" s="51">
        <v>46119</v>
      </c>
      <c r="C864" s="7" t="s">
        <v>124</v>
      </c>
      <c r="D864" s="10">
        <f>IFERROR(SUMIFS('Base bordo'!G$2:G$746,'Base bordo'!C$2:C$746,A864,'Base bordo'!B$2:B$746,B864,'Base bordo'!F$2:F$746,"DESLOCAMENTO VAZIO"),0)</f>
        <v>1.4069444444444446</v>
      </c>
      <c r="E864" s="10">
        <f>IFERROR(SUMIFS('Base bordo'!G$2:G$746,'Base bordo'!C$2:C$746,A864,'Base bordo'!B$2:B$746,B864,'Base bordo'!F$2:F$746,"DESLOCAMENTO CARREGADO"),0)</f>
        <v>1.8011111111111111</v>
      </c>
      <c r="F864" s="10">
        <f>IFERROR(SUMIFS('Base bordo'!G$2:G$746,'Base bordo'!C$2:C$746,A864,'Base bordo'!B$2:B$746,B864,'Base bordo'!F$2:F$746,"DESLOCAMENTO"),0)</f>
        <v>0</v>
      </c>
      <c r="G864" s="10">
        <f>IFERROR(SUMIFS('Base bordo'!G$2:G$746,'Base bordo'!C$2:C$746,A864,'Base bordo'!B$2:B$746,B864,'Base bordo'!F$2:F$746,"CARREGAMENTO"),0)</f>
        <v>0</v>
      </c>
      <c r="H864" s="10">
        <f>IFERROR(SUMIFS('Base bordo'!G$2:G$746,'Base bordo'!C$2:C$746,A864,'Base bordo'!B$2:B$746,B864,'Base bordo'!F$2:F$746,"AGUARDANDO TRANSBORDO"),0)</f>
        <v>0.2011111111111111</v>
      </c>
      <c r="I864" s="10">
        <f>IFERROR(SUMIFS('Base bordo'!G$2:G$746,'Base bordo'!C$2:C$746,A864,'Base bordo'!B$2:B$746,B864,'Base bordo'!F$2:F$746,"PÁTIO INTERNO"),0)+IFERROR(SUMIFS('Base bordo'!G$2:G$746,'Base bordo'!C$2:C$746,A864,'Base bordo'!B$2:B$746,B864,'Base bordo'!F$2:F$746,"PÁTIO EXTERNO"),0)+IFERROR(SUMIFS('Base bordo'!G$2:G$746,'Base bordo'!C$2:C$746,A864,'Base bordo'!B$2:B$746,B864,'Base bordo'!F$2:F$746,"PATIO - RESERVA"),0)+IFERROR(SUMIFS('Base bordo'!G$2:G$746,'Base bordo'!C$2:C$746,A864,'Base bordo'!B$2:B$746,B864,'Base bordo'!F$2:F$746,"MANOBRA CARRETAS-PATIO"),0)</f>
        <v>8.8375000000000004</v>
      </c>
      <c r="J864" s="10">
        <f>IFERROR(SUMIFS('Base bordo'!G$2:G$746,'Base bordo'!C$2:C$746,A864,'Base bordo'!B$2:B$746,B864,'Base bordo'!F$2:F$746,"BALANÇA - ENTRADA"),0)+IFERROR(SUMIFS('Base bordo'!G$2:G$746,'Base bordo'!C$2:C$746,A864,'Base bordo'!B$2:B$746,B864,'Base bordo'!F$2:F$746,"BALANÇA - SAÍDA"),0)</f>
        <v>0.15</v>
      </c>
      <c r="K864" s="10">
        <f>IFERROR(SUMIFS('Base bordo'!G$2:G$746,'Base bordo'!C$2:C$746,A864,'Base bordo'!B$2:B$746,B864,'Base bordo'!F$2:F$746,"MAN PREVENTIVA - MECANICA"),0)+IFERROR(SUMIFS('Base bordo'!G$2:G$746,'Base bordo'!C$2:C$746,A864,'Base bordo'!B$2:B$746,B864,'Base bordo'!F$2:F$746,"MAN CORRETIVA - MECANICA"),0)</f>
        <v>0</v>
      </c>
      <c r="L864" s="10">
        <f>IFERROR(SUMIFS('Base bordo'!G$2:G$746,'Base bordo'!C$2:C$746,A864,'Base bordo'!B$2:B$746,B864,'Base bordo'!F$2:F$746,"MANUTENCAO - T O"),0)+IFERROR(SUMIFS('Base bordo'!G$2:G$746,'Base bordo'!C$2:C$746,A864,'Base bordo'!B$2:B$746,B864,'Base bordo'!F$2:F$746,"MANUTENCAO BORRACHARIA"),0)+IFERROR(SUMIFS('Base bordo'!G$2:G$746,'Base bordo'!C$2:C$746,A864,'Base bordo'!B$2:B$746,B864,'Base bordo'!F$2:F$746,"MANUTENCAO EXTERNA  CONCESSIONARIA"),0)+IFERROR(SUMIFS('Base bordo'!G$2:G$746,'Base bordo'!C$2:C$746,A864,'Base bordo'!B$2:B$746,B864,'Base bordo'!F$2:F$746,"MANUTENCAO TELEMETRIA"),0)</f>
        <v>0</v>
      </c>
      <c r="M864" s="10">
        <f>IFERROR(SUMIFS('Base bordo'!G$2:G$746,'Base bordo'!C$2:C$746,A864,'Base bordo'!B$2:B$746,B864,'Base bordo'!F$2:F$746,"AGUARDANDO MANUTENCAO"),0)</f>
        <v>0</v>
      </c>
      <c r="N864" s="10">
        <f>IFERROR(SUMIFS('Base bordo'!G$2:G$746,'Base bordo'!C$2:C$746,A864,'Base bordo'!B$2:B$746,B864,'Base bordo'!F$2:F$746,"SEM APONTAMENTO"),0)</f>
        <v>0</v>
      </c>
      <c r="O864" s="10">
        <f t="shared" si="90"/>
        <v>0.18333333333333357</v>
      </c>
      <c r="P864" s="10">
        <f>IFERROR(SUMIFS('Base bordo'!G$2:G$746,'Base bordo'!C$2:C$746,A864,'Base bordo'!B$2:B$746,B864),0)</f>
        <v>12.58</v>
      </c>
      <c r="Q864" s="10">
        <f>IFERROR(SUMIFS('Base bordo'!H$2:H$746,'Base bordo'!C$2:C$746,A864,'Base bordo'!B$2:B$746,B864,'Base bordo'!F$2:F$746,"DESLOCAMENTO VAZIO"),0)</f>
        <v>177546.48</v>
      </c>
      <c r="R864" s="10">
        <f>IFERROR(SUMIFS('Base bordo'!I$2:I$746,'Base bordo'!C$2:C$746,A864,'Base bordo'!B$2:B$746,B864,'Base bordo'!F$2:F$746,"DESLOCAMENTO VAZIO"),0)</f>
        <v>5065</v>
      </c>
      <c r="S864" s="30">
        <f t="shared" si="91"/>
        <v>35.05359921026654</v>
      </c>
      <c r="T864" s="10">
        <f>IFERROR(SUMIFS('Base bordo'!H$2:H$746,'Base bordo'!C$2:C$746,A864,'Base bordo'!B$2:B$746,B864,'Base bordo'!F$2:F$746,"DESLOCAMENTO CARREGADO"),0)</f>
        <v>173551.50000000003</v>
      </c>
      <c r="U864" s="10">
        <f>IFERROR(SUMIFS('Base bordo'!I$2:I$746,'Base bordo'!C$2:C$746,A864,'Base bordo'!B$2:B$746,B864,'Base bordo'!F$2:F$746,"DESLOCAMENTO CARREGADO"),0)</f>
        <v>6484</v>
      </c>
      <c r="V864" s="30">
        <f t="shared" si="92"/>
        <v>26.766116594694637</v>
      </c>
      <c r="W864" s="9">
        <f t="shared" si="93"/>
        <v>0.11183978095742803</v>
      </c>
      <c r="X864" s="9">
        <f t="shared" si="94"/>
        <v>0.14317258434905494</v>
      </c>
      <c r="Y864" s="9">
        <f t="shared" si="95"/>
        <v>0.74498763469351703</v>
      </c>
    </row>
    <row r="865" spans="1:25" ht="15" customHeight="1" x14ac:dyDescent="0.35">
      <c r="A865" s="52">
        <v>8013461</v>
      </c>
      <c r="B865" s="51">
        <v>46119</v>
      </c>
      <c r="C865" s="7" t="s">
        <v>124</v>
      </c>
      <c r="D865" s="10">
        <f>IFERROR(SUMIFS('Base bordo'!G$2:G$746,'Base bordo'!C$2:C$746,A865,'Base bordo'!B$2:B$746,B865,'Base bordo'!F$2:F$746,"DESLOCAMENTO VAZIO"),0)</f>
        <v>1.4069444444444446</v>
      </c>
      <c r="E865" s="10">
        <f>IFERROR(SUMIFS('Base bordo'!G$2:G$746,'Base bordo'!C$2:C$746,A865,'Base bordo'!B$2:B$746,B865,'Base bordo'!F$2:F$746,"DESLOCAMENTO CARREGADO"),0)</f>
        <v>1.8011111111111111</v>
      </c>
      <c r="F865" s="10">
        <f>IFERROR(SUMIFS('Base bordo'!G$2:G$746,'Base bordo'!C$2:C$746,A865,'Base bordo'!B$2:B$746,B865,'Base bordo'!F$2:F$746,"DESLOCAMENTO"),0)</f>
        <v>0</v>
      </c>
      <c r="G865" s="10">
        <f>IFERROR(SUMIFS('Base bordo'!G$2:G$746,'Base bordo'!C$2:C$746,A865,'Base bordo'!B$2:B$746,B865,'Base bordo'!F$2:F$746,"CARREGAMENTO"),0)</f>
        <v>0</v>
      </c>
      <c r="H865" s="10">
        <f>IFERROR(SUMIFS('Base bordo'!G$2:G$746,'Base bordo'!C$2:C$746,A865,'Base bordo'!B$2:B$746,B865,'Base bordo'!F$2:F$746,"AGUARDANDO TRANSBORDO"),0)</f>
        <v>0.2011111111111111</v>
      </c>
      <c r="I865" s="10">
        <f>IFERROR(SUMIFS('Base bordo'!G$2:G$746,'Base bordo'!C$2:C$746,A865,'Base bordo'!B$2:B$746,B865,'Base bordo'!F$2:F$746,"PÁTIO INTERNO"),0)+IFERROR(SUMIFS('Base bordo'!G$2:G$746,'Base bordo'!C$2:C$746,A865,'Base bordo'!B$2:B$746,B865,'Base bordo'!F$2:F$746,"PÁTIO EXTERNO"),0)+IFERROR(SUMIFS('Base bordo'!G$2:G$746,'Base bordo'!C$2:C$746,A865,'Base bordo'!B$2:B$746,B865,'Base bordo'!F$2:F$746,"PATIO - RESERVA"),0)+IFERROR(SUMIFS('Base bordo'!G$2:G$746,'Base bordo'!C$2:C$746,A865,'Base bordo'!B$2:B$746,B865,'Base bordo'!F$2:F$746,"MANOBRA CARRETAS-PATIO"),0)</f>
        <v>8.8375000000000004</v>
      </c>
      <c r="J865" s="10">
        <f>IFERROR(SUMIFS('Base bordo'!G$2:G$746,'Base bordo'!C$2:C$746,A865,'Base bordo'!B$2:B$746,B865,'Base bordo'!F$2:F$746,"BALANÇA - ENTRADA"),0)+IFERROR(SUMIFS('Base bordo'!G$2:G$746,'Base bordo'!C$2:C$746,A865,'Base bordo'!B$2:B$746,B865,'Base bordo'!F$2:F$746,"BALANÇA - SAÍDA"),0)</f>
        <v>0.15</v>
      </c>
      <c r="K865" s="10">
        <f>IFERROR(SUMIFS('Base bordo'!G$2:G$746,'Base bordo'!C$2:C$746,A865,'Base bordo'!B$2:B$746,B865,'Base bordo'!F$2:F$746,"MAN PREVENTIVA - MECANICA"),0)+IFERROR(SUMIFS('Base bordo'!G$2:G$746,'Base bordo'!C$2:C$746,A865,'Base bordo'!B$2:B$746,B865,'Base bordo'!F$2:F$746,"MAN CORRETIVA - MECANICA"),0)</f>
        <v>0</v>
      </c>
      <c r="L865" s="10">
        <f>IFERROR(SUMIFS('Base bordo'!G$2:G$746,'Base bordo'!C$2:C$746,A865,'Base bordo'!B$2:B$746,B865,'Base bordo'!F$2:F$746,"MANUTENCAO - T O"),0)+IFERROR(SUMIFS('Base bordo'!G$2:G$746,'Base bordo'!C$2:C$746,A865,'Base bordo'!B$2:B$746,B865,'Base bordo'!F$2:F$746,"MANUTENCAO BORRACHARIA"),0)+IFERROR(SUMIFS('Base bordo'!G$2:G$746,'Base bordo'!C$2:C$746,A865,'Base bordo'!B$2:B$746,B865,'Base bordo'!F$2:F$746,"MANUTENCAO EXTERNA  CONCESSIONARIA"),0)+IFERROR(SUMIFS('Base bordo'!G$2:G$746,'Base bordo'!C$2:C$746,A865,'Base bordo'!B$2:B$746,B865,'Base bordo'!F$2:F$746,"MANUTENCAO TELEMETRIA"),0)</f>
        <v>0</v>
      </c>
      <c r="M865" s="10">
        <f>IFERROR(SUMIFS('Base bordo'!G$2:G$746,'Base bordo'!C$2:C$746,A865,'Base bordo'!B$2:B$746,B865,'Base bordo'!F$2:F$746,"AGUARDANDO MANUTENCAO"),0)</f>
        <v>0</v>
      </c>
      <c r="N865" s="10">
        <f>IFERROR(SUMIFS('Base bordo'!G$2:G$746,'Base bordo'!C$2:C$746,A865,'Base bordo'!B$2:B$746,B865,'Base bordo'!F$2:F$746,"SEM APONTAMENTO"),0)</f>
        <v>0</v>
      </c>
      <c r="O865" s="10">
        <f t="shared" si="90"/>
        <v>0.18333333333333357</v>
      </c>
      <c r="P865" s="10">
        <f>IFERROR(SUMIFS('Base bordo'!G$2:G$746,'Base bordo'!C$2:C$746,A865,'Base bordo'!B$2:B$746,B865),0)</f>
        <v>12.58</v>
      </c>
      <c r="Q865" s="10">
        <f>IFERROR(SUMIFS('Base bordo'!H$2:H$746,'Base bordo'!C$2:C$746,A865,'Base bordo'!B$2:B$746,B865,'Base bordo'!F$2:F$746,"DESLOCAMENTO VAZIO"),0)</f>
        <v>177546.48</v>
      </c>
      <c r="R865" s="10">
        <f>IFERROR(SUMIFS('Base bordo'!I$2:I$746,'Base bordo'!C$2:C$746,A865,'Base bordo'!B$2:B$746,B865,'Base bordo'!F$2:F$746,"DESLOCAMENTO VAZIO"),0)</f>
        <v>5065</v>
      </c>
      <c r="S865" s="30">
        <f t="shared" si="91"/>
        <v>35.05359921026654</v>
      </c>
      <c r="T865" s="10">
        <f>IFERROR(SUMIFS('Base bordo'!H$2:H$746,'Base bordo'!C$2:C$746,A865,'Base bordo'!B$2:B$746,B865,'Base bordo'!F$2:F$746,"DESLOCAMENTO CARREGADO"),0)</f>
        <v>173551.50000000003</v>
      </c>
      <c r="U865" s="10">
        <f>IFERROR(SUMIFS('Base bordo'!I$2:I$746,'Base bordo'!C$2:C$746,A865,'Base bordo'!B$2:B$746,B865,'Base bordo'!F$2:F$746,"DESLOCAMENTO CARREGADO"),0)</f>
        <v>6484</v>
      </c>
      <c r="V865" s="30">
        <f t="shared" si="92"/>
        <v>26.766116594694637</v>
      </c>
      <c r="W865" s="9">
        <f t="shared" si="93"/>
        <v>0.11183978095742803</v>
      </c>
      <c r="X865" s="9">
        <f t="shared" si="94"/>
        <v>0.14317258434905494</v>
      </c>
      <c r="Y865" s="9">
        <f t="shared" si="95"/>
        <v>0.74498763469351703</v>
      </c>
    </row>
    <row r="866" spans="1:25" ht="15" customHeight="1" x14ac:dyDescent="0.35">
      <c r="A866" s="52">
        <v>8013461</v>
      </c>
      <c r="B866" s="51">
        <v>46119</v>
      </c>
      <c r="C866" s="7" t="s">
        <v>124</v>
      </c>
      <c r="D866" s="10">
        <f>IFERROR(SUMIFS('Base bordo'!G$2:G$746,'Base bordo'!C$2:C$746,A866,'Base bordo'!B$2:B$746,B866,'Base bordo'!F$2:F$746,"DESLOCAMENTO VAZIO"),0)</f>
        <v>1.4069444444444446</v>
      </c>
      <c r="E866" s="10">
        <f>IFERROR(SUMIFS('Base bordo'!G$2:G$746,'Base bordo'!C$2:C$746,A866,'Base bordo'!B$2:B$746,B866,'Base bordo'!F$2:F$746,"DESLOCAMENTO CARREGADO"),0)</f>
        <v>1.8011111111111111</v>
      </c>
      <c r="F866" s="10">
        <f>IFERROR(SUMIFS('Base bordo'!G$2:G$746,'Base bordo'!C$2:C$746,A866,'Base bordo'!B$2:B$746,B866,'Base bordo'!F$2:F$746,"DESLOCAMENTO"),0)</f>
        <v>0</v>
      </c>
      <c r="G866" s="10">
        <f>IFERROR(SUMIFS('Base bordo'!G$2:G$746,'Base bordo'!C$2:C$746,A866,'Base bordo'!B$2:B$746,B866,'Base bordo'!F$2:F$746,"CARREGAMENTO"),0)</f>
        <v>0</v>
      </c>
      <c r="H866" s="10">
        <f>IFERROR(SUMIFS('Base bordo'!G$2:G$746,'Base bordo'!C$2:C$746,A866,'Base bordo'!B$2:B$746,B866,'Base bordo'!F$2:F$746,"AGUARDANDO TRANSBORDO"),0)</f>
        <v>0.2011111111111111</v>
      </c>
      <c r="I866" s="10">
        <f>IFERROR(SUMIFS('Base bordo'!G$2:G$746,'Base bordo'!C$2:C$746,A866,'Base bordo'!B$2:B$746,B866,'Base bordo'!F$2:F$746,"PÁTIO INTERNO"),0)+IFERROR(SUMIFS('Base bordo'!G$2:G$746,'Base bordo'!C$2:C$746,A866,'Base bordo'!B$2:B$746,B866,'Base bordo'!F$2:F$746,"PÁTIO EXTERNO"),0)+IFERROR(SUMIFS('Base bordo'!G$2:G$746,'Base bordo'!C$2:C$746,A866,'Base bordo'!B$2:B$746,B866,'Base bordo'!F$2:F$746,"PATIO - RESERVA"),0)+IFERROR(SUMIFS('Base bordo'!G$2:G$746,'Base bordo'!C$2:C$746,A866,'Base bordo'!B$2:B$746,B866,'Base bordo'!F$2:F$746,"MANOBRA CARRETAS-PATIO"),0)</f>
        <v>8.8375000000000004</v>
      </c>
      <c r="J866" s="10">
        <f>IFERROR(SUMIFS('Base bordo'!G$2:G$746,'Base bordo'!C$2:C$746,A866,'Base bordo'!B$2:B$746,B866,'Base bordo'!F$2:F$746,"BALANÇA - ENTRADA"),0)+IFERROR(SUMIFS('Base bordo'!G$2:G$746,'Base bordo'!C$2:C$746,A866,'Base bordo'!B$2:B$746,B866,'Base bordo'!F$2:F$746,"BALANÇA - SAÍDA"),0)</f>
        <v>0.15</v>
      </c>
      <c r="K866" s="10">
        <f>IFERROR(SUMIFS('Base bordo'!G$2:G$746,'Base bordo'!C$2:C$746,A866,'Base bordo'!B$2:B$746,B866,'Base bordo'!F$2:F$746,"MAN PREVENTIVA - MECANICA"),0)+IFERROR(SUMIFS('Base bordo'!G$2:G$746,'Base bordo'!C$2:C$746,A866,'Base bordo'!B$2:B$746,B866,'Base bordo'!F$2:F$746,"MAN CORRETIVA - MECANICA"),0)</f>
        <v>0</v>
      </c>
      <c r="L866" s="10">
        <f>IFERROR(SUMIFS('Base bordo'!G$2:G$746,'Base bordo'!C$2:C$746,A866,'Base bordo'!B$2:B$746,B866,'Base bordo'!F$2:F$746,"MANUTENCAO - T O"),0)+IFERROR(SUMIFS('Base bordo'!G$2:G$746,'Base bordo'!C$2:C$746,A866,'Base bordo'!B$2:B$746,B866,'Base bordo'!F$2:F$746,"MANUTENCAO BORRACHARIA"),0)+IFERROR(SUMIFS('Base bordo'!G$2:G$746,'Base bordo'!C$2:C$746,A866,'Base bordo'!B$2:B$746,B866,'Base bordo'!F$2:F$746,"MANUTENCAO EXTERNA  CONCESSIONARIA"),0)+IFERROR(SUMIFS('Base bordo'!G$2:G$746,'Base bordo'!C$2:C$746,A866,'Base bordo'!B$2:B$746,B866,'Base bordo'!F$2:F$746,"MANUTENCAO TELEMETRIA"),0)</f>
        <v>0</v>
      </c>
      <c r="M866" s="10">
        <f>IFERROR(SUMIFS('Base bordo'!G$2:G$746,'Base bordo'!C$2:C$746,A866,'Base bordo'!B$2:B$746,B866,'Base bordo'!F$2:F$746,"AGUARDANDO MANUTENCAO"),0)</f>
        <v>0</v>
      </c>
      <c r="N866" s="10">
        <f>IFERROR(SUMIFS('Base bordo'!G$2:G$746,'Base bordo'!C$2:C$746,A866,'Base bordo'!B$2:B$746,B866,'Base bordo'!F$2:F$746,"SEM APONTAMENTO"),0)</f>
        <v>0</v>
      </c>
      <c r="O866" s="10">
        <f t="shared" si="90"/>
        <v>0.18333333333333357</v>
      </c>
      <c r="P866" s="10">
        <f>IFERROR(SUMIFS('Base bordo'!G$2:G$746,'Base bordo'!C$2:C$746,A866,'Base bordo'!B$2:B$746,B866),0)</f>
        <v>12.58</v>
      </c>
      <c r="Q866" s="10">
        <f>IFERROR(SUMIFS('Base bordo'!H$2:H$746,'Base bordo'!C$2:C$746,A866,'Base bordo'!B$2:B$746,B866,'Base bordo'!F$2:F$746,"DESLOCAMENTO VAZIO"),0)</f>
        <v>177546.48</v>
      </c>
      <c r="R866" s="10">
        <f>IFERROR(SUMIFS('Base bordo'!I$2:I$746,'Base bordo'!C$2:C$746,A866,'Base bordo'!B$2:B$746,B866,'Base bordo'!F$2:F$746,"DESLOCAMENTO VAZIO"),0)</f>
        <v>5065</v>
      </c>
      <c r="S866" s="30">
        <f t="shared" si="91"/>
        <v>35.05359921026654</v>
      </c>
      <c r="T866" s="10">
        <f>IFERROR(SUMIFS('Base bordo'!H$2:H$746,'Base bordo'!C$2:C$746,A866,'Base bordo'!B$2:B$746,B866,'Base bordo'!F$2:F$746,"DESLOCAMENTO CARREGADO"),0)</f>
        <v>173551.50000000003</v>
      </c>
      <c r="U866" s="10">
        <f>IFERROR(SUMIFS('Base bordo'!I$2:I$746,'Base bordo'!C$2:C$746,A866,'Base bordo'!B$2:B$746,B866,'Base bordo'!F$2:F$746,"DESLOCAMENTO CARREGADO"),0)</f>
        <v>6484</v>
      </c>
      <c r="V866" s="30">
        <f t="shared" si="92"/>
        <v>26.766116594694637</v>
      </c>
      <c r="W866" s="9">
        <f t="shared" si="93"/>
        <v>0.11183978095742803</v>
      </c>
      <c r="X866" s="9">
        <f t="shared" si="94"/>
        <v>0.14317258434905494</v>
      </c>
      <c r="Y866" s="9">
        <f t="shared" si="95"/>
        <v>0.74498763469351703</v>
      </c>
    </row>
    <row r="867" spans="1:25" ht="15" customHeight="1" x14ac:dyDescent="0.35">
      <c r="A867" s="52">
        <v>8013461</v>
      </c>
      <c r="B867" s="51">
        <v>46119</v>
      </c>
      <c r="C867" s="7" t="s">
        <v>124</v>
      </c>
      <c r="D867" s="10">
        <f>IFERROR(SUMIFS('Base bordo'!G$2:G$746,'Base bordo'!C$2:C$746,A867,'Base bordo'!B$2:B$746,B867,'Base bordo'!F$2:F$746,"DESLOCAMENTO VAZIO"),0)</f>
        <v>1.4069444444444446</v>
      </c>
      <c r="E867" s="10">
        <f>IFERROR(SUMIFS('Base bordo'!G$2:G$746,'Base bordo'!C$2:C$746,A867,'Base bordo'!B$2:B$746,B867,'Base bordo'!F$2:F$746,"DESLOCAMENTO CARREGADO"),0)</f>
        <v>1.8011111111111111</v>
      </c>
      <c r="F867" s="10">
        <f>IFERROR(SUMIFS('Base bordo'!G$2:G$746,'Base bordo'!C$2:C$746,A867,'Base bordo'!B$2:B$746,B867,'Base bordo'!F$2:F$746,"DESLOCAMENTO"),0)</f>
        <v>0</v>
      </c>
      <c r="G867" s="10">
        <f>IFERROR(SUMIFS('Base bordo'!G$2:G$746,'Base bordo'!C$2:C$746,A867,'Base bordo'!B$2:B$746,B867,'Base bordo'!F$2:F$746,"CARREGAMENTO"),0)</f>
        <v>0</v>
      </c>
      <c r="H867" s="10">
        <f>IFERROR(SUMIFS('Base bordo'!G$2:G$746,'Base bordo'!C$2:C$746,A867,'Base bordo'!B$2:B$746,B867,'Base bordo'!F$2:F$746,"AGUARDANDO TRANSBORDO"),0)</f>
        <v>0.2011111111111111</v>
      </c>
      <c r="I867" s="10">
        <f>IFERROR(SUMIFS('Base bordo'!G$2:G$746,'Base bordo'!C$2:C$746,A867,'Base bordo'!B$2:B$746,B867,'Base bordo'!F$2:F$746,"PÁTIO INTERNO"),0)+IFERROR(SUMIFS('Base bordo'!G$2:G$746,'Base bordo'!C$2:C$746,A867,'Base bordo'!B$2:B$746,B867,'Base bordo'!F$2:F$746,"PÁTIO EXTERNO"),0)+IFERROR(SUMIFS('Base bordo'!G$2:G$746,'Base bordo'!C$2:C$746,A867,'Base bordo'!B$2:B$746,B867,'Base bordo'!F$2:F$746,"PATIO - RESERVA"),0)+IFERROR(SUMIFS('Base bordo'!G$2:G$746,'Base bordo'!C$2:C$746,A867,'Base bordo'!B$2:B$746,B867,'Base bordo'!F$2:F$746,"MANOBRA CARRETAS-PATIO"),0)</f>
        <v>8.8375000000000004</v>
      </c>
      <c r="J867" s="10">
        <f>IFERROR(SUMIFS('Base bordo'!G$2:G$746,'Base bordo'!C$2:C$746,A867,'Base bordo'!B$2:B$746,B867,'Base bordo'!F$2:F$746,"BALANÇA - ENTRADA"),0)+IFERROR(SUMIFS('Base bordo'!G$2:G$746,'Base bordo'!C$2:C$746,A867,'Base bordo'!B$2:B$746,B867,'Base bordo'!F$2:F$746,"BALANÇA - SAÍDA"),0)</f>
        <v>0.15</v>
      </c>
      <c r="K867" s="10">
        <f>IFERROR(SUMIFS('Base bordo'!G$2:G$746,'Base bordo'!C$2:C$746,A867,'Base bordo'!B$2:B$746,B867,'Base bordo'!F$2:F$746,"MAN PREVENTIVA - MECANICA"),0)+IFERROR(SUMIFS('Base bordo'!G$2:G$746,'Base bordo'!C$2:C$746,A867,'Base bordo'!B$2:B$746,B867,'Base bordo'!F$2:F$746,"MAN CORRETIVA - MECANICA"),0)</f>
        <v>0</v>
      </c>
      <c r="L867" s="10">
        <f>IFERROR(SUMIFS('Base bordo'!G$2:G$746,'Base bordo'!C$2:C$746,A867,'Base bordo'!B$2:B$746,B867,'Base bordo'!F$2:F$746,"MANUTENCAO - T O"),0)+IFERROR(SUMIFS('Base bordo'!G$2:G$746,'Base bordo'!C$2:C$746,A867,'Base bordo'!B$2:B$746,B867,'Base bordo'!F$2:F$746,"MANUTENCAO BORRACHARIA"),0)+IFERROR(SUMIFS('Base bordo'!G$2:G$746,'Base bordo'!C$2:C$746,A867,'Base bordo'!B$2:B$746,B867,'Base bordo'!F$2:F$746,"MANUTENCAO EXTERNA  CONCESSIONARIA"),0)+IFERROR(SUMIFS('Base bordo'!G$2:G$746,'Base bordo'!C$2:C$746,A867,'Base bordo'!B$2:B$746,B867,'Base bordo'!F$2:F$746,"MANUTENCAO TELEMETRIA"),0)</f>
        <v>0</v>
      </c>
      <c r="M867" s="10">
        <f>IFERROR(SUMIFS('Base bordo'!G$2:G$746,'Base bordo'!C$2:C$746,A867,'Base bordo'!B$2:B$746,B867,'Base bordo'!F$2:F$746,"AGUARDANDO MANUTENCAO"),0)</f>
        <v>0</v>
      </c>
      <c r="N867" s="10">
        <f>IFERROR(SUMIFS('Base bordo'!G$2:G$746,'Base bordo'!C$2:C$746,A867,'Base bordo'!B$2:B$746,B867,'Base bordo'!F$2:F$746,"SEM APONTAMENTO"),0)</f>
        <v>0</v>
      </c>
      <c r="O867" s="10">
        <f t="shared" si="90"/>
        <v>0.18333333333333357</v>
      </c>
      <c r="P867" s="10">
        <f>IFERROR(SUMIFS('Base bordo'!G$2:G$746,'Base bordo'!C$2:C$746,A867,'Base bordo'!B$2:B$746,B867),0)</f>
        <v>12.58</v>
      </c>
      <c r="Q867" s="10">
        <f>IFERROR(SUMIFS('Base bordo'!H$2:H$746,'Base bordo'!C$2:C$746,A867,'Base bordo'!B$2:B$746,B867,'Base bordo'!F$2:F$746,"DESLOCAMENTO VAZIO"),0)</f>
        <v>177546.48</v>
      </c>
      <c r="R867" s="10">
        <f>IFERROR(SUMIFS('Base bordo'!I$2:I$746,'Base bordo'!C$2:C$746,A867,'Base bordo'!B$2:B$746,B867,'Base bordo'!F$2:F$746,"DESLOCAMENTO VAZIO"),0)</f>
        <v>5065</v>
      </c>
      <c r="S867" s="30">
        <f t="shared" si="91"/>
        <v>35.05359921026654</v>
      </c>
      <c r="T867" s="10">
        <f>IFERROR(SUMIFS('Base bordo'!H$2:H$746,'Base bordo'!C$2:C$746,A867,'Base bordo'!B$2:B$746,B867,'Base bordo'!F$2:F$746,"DESLOCAMENTO CARREGADO"),0)</f>
        <v>173551.50000000003</v>
      </c>
      <c r="U867" s="10">
        <f>IFERROR(SUMIFS('Base bordo'!I$2:I$746,'Base bordo'!C$2:C$746,A867,'Base bordo'!B$2:B$746,B867,'Base bordo'!F$2:F$746,"DESLOCAMENTO CARREGADO"),0)</f>
        <v>6484</v>
      </c>
      <c r="V867" s="30">
        <f t="shared" si="92"/>
        <v>26.766116594694637</v>
      </c>
      <c r="W867" s="9">
        <f t="shared" si="93"/>
        <v>0.11183978095742803</v>
      </c>
      <c r="X867" s="9">
        <f t="shared" si="94"/>
        <v>0.14317258434905494</v>
      </c>
      <c r="Y867" s="9">
        <f t="shared" si="95"/>
        <v>0.74498763469351703</v>
      </c>
    </row>
    <row r="868" spans="1:25" ht="15" customHeight="1" x14ac:dyDescent="0.35">
      <c r="A868" s="52">
        <v>8013461</v>
      </c>
      <c r="B868" s="51">
        <v>46119</v>
      </c>
      <c r="C868" s="7" t="s">
        <v>124</v>
      </c>
      <c r="D868" s="10">
        <f>IFERROR(SUMIFS('Base bordo'!G$2:G$746,'Base bordo'!C$2:C$746,A868,'Base bordo'!B$2:B$746,B868,'Base bordo'!F$2:F$746,"DESLOCAMENTO VAZIO"),0)</f>
        <v>1.4069444444444446</v>
      </c>
      <c r="E868" s="10">
        <f>IFERROR(SUMIFS('Base bordo'!G$2:G$746,'Base bordo'!C$2:C$746,A868,'Base bordo'!B$2:B$746,B868,'Base bordo'!F$2:F$746,"DESLOCAMENTO CARREGADO"),0)</f>
        <v>1.8011111111111111</v>
      </c>
      <c r="F868" s="10">
        <f>IFERROR(SUMIFS('Base bordo'!G$2:G$746,'Base bordo'!C$2:C$746,A868,'Base bordo'!B$2:B$746,B868,'Base bordo'!F$2:F$746,"DESLOCAMENTO"),0)</f>
        <v>0</v>
      </c>
      <c r="G868" s="10">
        <f>IFERROR(SUMIFS('Base bordo'!G$2:G$746,'Base bordo'!C$2:C$746,A868,'Base bordo'!B$2:B$746,B868,'Base bordo'!F$2:F$746,"CARREGAMENTO"),0)</f>
        <v>0</v>
      </c>
      <c r="H868" s="10">
        <f>IFERROR(SUMIFS('Base bordo'!G$2:G$746,'Base bordo'!C$2:C$746,A868,'Base bordo'!B$2:B$746,B868,'Base bordo'!F$2:F$746,"AGUARDANDO TRANSBORDO"),0)</f>
        <v>0.2011111111111111</v>
      </c>
      <c r="I868" s="10">
        <f>IFERROR(SUMIFS('Base bordo'!G$2:G$746,'Base bordo'!C$2:C$746,A868,'Base bordo'!B$2:B$746,B868,'Base bordo'!F$2:F$746,"PÁTIO INTERNO"),0)+IFERROR(SUMIFS('Base bordo'!G$2:G$746,'Base bordo'!C$2:C$746,A868,'Base bordo'!B$2:B$746,B868,'Base bordo'!F$2:F$746,"PÁTIO EXTERNO"),0)+IFERROR(SUMIFS('Base bordo'!G$2:G$746,'Base bordo'!C$2:C$746,A868,'Base bordo'!B$2:B$746,B868,'Base bordo'!F$2:F$746,"PATIO - RESERVA"),0)+IFERROR(SUMIFS('Base bordo'!G$2:G$746,'Base bordo'!C$2:C$746,A868,'Base bordo'!B$2:B$746,B868,'Base bordo'!F$2:F$746,"MANOBRA CARRETAS-PATIO"),0)</f>
        <v>8.8375000000000004</v>
      </c>
      <c r="J868" s="10">
        <f>IFERROR(SUMIFS('Base bordo'!G$2:G$746,'Base bordo'!C$2:C$746,A868,'Base bordo'!B$2:B$746,B868,'Base bordo'!F$2:F$746,"BALANÇA - ENTRADA"),0)+IFERROR(SUMIFS('Base bordo'!G$2:G$746,'Base bordo'!C$2:C$746,A868,'Base bordo'!B$2:B$746,B868,'Base bordo'!F$2:F$746,"BALANÇA - SAÍDA"),0)</f>
        <v>0.15</v>
      </c>
      <c r="K868" s="10">
        <f>IFERROR(SUMIFS('Base bordo'!G$2:G$746,'Base bordo'!C$2:C$746,A868,'Base bordo'!B$2:B$746,B868,'Base bordo'!F$2:F$746,"MAN PREVENTIVA - MECANICA"),0)+IFERROR(SUMIFS('Base bordo'!G$2:G$746,'Base bordo'!C$2:C$746,A868,'Base bordo'!B$2:B$746,B868,'Base bordo'!F$2:F$746,"MAN CORRETIVA - MECANICA"),0)</f>
        <v>0</v>
      </c>
      <c r="L868" s="10">
        <f>IFERROR(SUMIFS('Base bordo'!G$2:G$746,'Base bordo'!C$2:C$746,A868,'Base bordo'!B$2:B$746,B868,'Base bordo'!F$2:F$746,"MANUTENCAO - T O"),0)+IFERROR(SUMIFS('Base bordo'!G$2:G$746,'Base bordo'!C$2:C$746,A868,'Base bordo'!B$2:B$746,B868,'Base bordo'!F$2:F$746,"MANUTENCAO BORRACHARIA"),0)+IFERROR(SUMIFS('Base bordo'!G$2:G$746,'Base bordo'!C$2:C$746,A868,'Base bordo'!B$2:B$746,B868,'Base bordo'!F$2:F$746,"MANUTENCAO EXTERNA  CONCESSIONARIA"),0)+IFERROR(SUMIFS('Base bordo'!G$2:G$746,'Base bordo'!C$2:C$746,A868,'Base bordo'!B$2:B$746,B868,'Base bordo'!F$2:F$746,"MANUTENCAO TELEMETRIA"),0)</f>
        <v>0</v>
      </c>
      <c r="M868" s="10">
        <f>IFERROR(SUMIFS('Base bordo'!G$2:G$746,'Base bordo'!C$2:C$746,A868,'Base bordo'!B$2:B$746,B868,'Base bordo'!F$2:F$746,"AGUARDANDO MANUTENCAO"),0)</f>
        <v>0</v>
      </c>
      <c r="N868" s="10">
        <f>IFERROR(SUMIFS('Base bordo'!G$2:G$746,'Base bordo'!C$2:C$746,A868,'Base bordo'!B$2:B$746,B868,'Base bordo'!F$2:F$746,"SEM APONTAMENTO"),0)</f>
        <v>0</v>
      </c>
      <c r="O868" s="10">
        <f t="shared" si="90"/>
        <v>0.18333333333333357</v>
      </c>
      <c r="P868" s="10">
        <f>IFERROR(SUMIFS('Base bordo'!G$2:G$746,'Base bordo'!C$2:C$746,A868,'Base bordo'!B$2:B$746,B868),0)</f>
        <v>12.58</v>
      </c>
      <c r="Q868" s="10">
        <f>IFERROR(SUMIFS('Base bordo'!H$2:H$746,'Base bordo'!C$2:C$746,A868,'Base bordo'!B$2:B$746,B868,'Base bordo'!F$2:F$746,"DESLOCAMENTO VAZIO"),0)</f>
        <v>177546.48</v>
      </c>
      <c r="R868" s="10">
        <f>IFERROR(SUMIFS('Base bordo'!I$2:I$746,'Base bordo'!C$2:C$746,A868,'Base bordo'!B$2:B$746,B868,'Base bordo'!F$2:F$746,"DESLOCAMENTO VAZIO"),0)</f>
        <v>5065</v>
      </c>
      <c r="S868" s="30">
        <f t="shared" si="91"/>
        <v>35.05359921026654</v>
      </c>
      <c r="T868" s="10">
        <f>IFERROR(SUMIFS('Base bordo'!H$2:H$746,'Base bordo'!C$2:C$746,A868,'Base bordo'!B$2:B$746,B868,'Base bordo'!F$2:F$746,"DESLOCAMENTO CARREGADO"),0)</f>
        <v>173551.50000000003</v>
      </c>
      <c r="U868" s="10">
        <f>IFERROR(SUMIFS('Base bordo'!I$2:I$746,'Base bordo'!C$2:C$746,A868,'Base bordo'!B$2:B$746,B868,'Base bordo'!F$2:F$746,"DESLOCAMENTO CARREGADO"),0)</f>
        <v>6484</v>
      </c>
      <c r="V868" s="30">
        <f t="shared" si="92"/>
        <v>26.766116594694637</v>
      </c>
      <c r="W868" s="9">
        <f t="shared" si="93"/>
        <v>0.11183978095742803</v>
      </c>
      <c r="X868" s="9">
        <f t="shared" si="94"/>
        <v>0.14317258434905494</v>
      </c>
      <c r="Y868" s="9">
        <f t="shared" si="95"/>
        <v>0.74498763469351703</v>
      </c>
    </row>
    <row r="869" spans="1:25" ht="15" customHeight="1" x14ac:dyDescent="0.35">
      <c r="A869" s="52">
        <v>8013462</v>
      </c>
      <c r="B869" s="51">
        <v>46119</v>
      </c>
      <c r="C869" s="7" t="s">
        <v>124</v>
      </c>
      <c r="D869" s="10">
        <f>IFERROR(SUMIFS('Base bordo'!G$2:G$746,'Base bordo'!C$2:C$746,A869,'Base bordo'!B$2:B$746,B869,'Base bordo'!F$2:F$746,"DESLOCAMENTO VAZIO"),0)</f>
        <v>0.22444444444444445</v>
      </c>
      <c r="E869" s="10">
        <f>IFERROR(SUMIFS('Base bordo'!G$2:G$746,'Base bordo'!C$2:C$746,A869,'Base bordo'!B$2:B$746,B869,'Base bordo'!F$2:F$746,"DESLOCAMENTO CARREGADO"),0)</f>
        <v>1.1399999999999999</v>
      </c>
      <c r="F869" s="10">
        <f>IFERROR(SUMIFS('Base bordo'!G$2:G$746,'Base bordo'!C$2:C$746,A869,'Base bordo'!B$2:B$746,B869,'Base bordo'!F$2:F$746,"DESLOCAMENTO"),0)</f>
        <v>0</v>
      </c>
      <c r="G869" s="10">
        <f>IFERROR(SUMIFS('Base bordo'!G$2:G$746,'Base bordo'!C$2:C$746,A869,'Base bordo'!B$2:B$746,B869,'Base bordo'!F$2:F$746,"CARREGAMENTO"),0)</f>
        <v>0</v>
      </c>
      <c r="H869" s="10">
        <f>IFERROR(SUMIFS('Base bordo'!G$2:G$746,'Base bordo'!C$2:C$746,A869,'Base bordo'!B$2:B$746,B869,'Base bordo'!F$2:F$746,"AGUARDANDO TRANSBORDO"),0)</f>
        <v>0</v>
      </c>
      <c r="I869" s="10">
        <f>IFERROR(SUMIFS('Base bordo'!G$2:G$746,'Base bordo'!C$2:C$746,A869,'Base bordo'!B$2:B$746,B869,'Base bordo'!F$2:F$746,"PÁTIO INTERNO"),0)+IFERROR(SUMIFS('Base bordo'!G$2:G$746,'Base bordo'!C$2:C$746,A869,'Base bordo'!B$2:B$746,B869,'Base bordo'!F$2:F$746,"PÁTIO EXTERNO"),0)+IFERROR(SUMIFS('Base bordo'!G$2:G$746,'Base bordo'!C$2:C$746,A869,'Base bordo'!B$2:B$746,B869,'Base bordo'!F$2:F$746,"PATIO - RESERVA"),0)+IFERROR(SUMIFS('Base bordo'!G$2:G$746,'Base bordo'!C$2:C$746,A869,'Base bordo'!B$2:B$746,B869,'Base bordo'!F$2:F$746,"MANOBRA CARRETAS-PATIO"),0)</f>
        <v>19.001944444444444</v>
      </c>
      <c r="J869" s="10">
        <f>IFERROR(SUMIFS('Base bordo'!G$2:G$746,'Base bordo'!C$2:C$746,A869,'Base bordo'!B$2:B$746,B869,'Base bordo'!F$2:F$746,"BALANÇA - ENTRADA"),0)+IFERROR(SUMIFS('Base bordo'!G$2:G$746,'Base bordo'!C$2:C$746,A869,'Base bordo'!B$2:B$746,B869,'Base bordo'!F$2:F$746,"BALANÇA - SAÍDA"),0)</f>
        <v>4.9444444444444444E-2</v>
      </c>
      <c r="K869" s="10">
        <f>IFERROR(SUMIFS('Base bordo'!G$2:G$746,'Base bordo'!C$2:C$746,A869,'Base bordo'!B$2:B$746,B869,'Base bordo'!F$2:F$746,"MAN PREVENTIVA - MECANICA"),0)+IFERROR(SUMIFS('Base bordo'!G$2:G$746,'Base bordo'!C$2:C$746,A869,'Base bordo'!B$2:B$746,B869,'Base bordo'!F$2:F$746,"MAN CORRETIVA - MECANICA"),0)</f>
        <v>0</v>
      </c>
      <c r="L869" s="10">
        <f>IFERROR(SUMIFS('Base bordo'!G$2:G$746,'Base bordo'!C$2:C$746,A869,'Base bordo'!B$2:B$746,B869,'Base bordo'!F$2:F$746,"MANUTENCAO - T O"),0)+IFERROR(SUMIFS('Base bordo'!G$2:G$746,'Base bordo'!C$2:C$746,A869,'Base bordo'!B$2:B$746,B869,'Base bordo'!F$2:F$746,"MANUTENCAO BORRACHARIA"),0)+IFERROR(SUMIFS('Base bordo'!G$2:G$746,'Base bordo'!C$2:C$746,A869,'Base bordo'!B$2:B$746,B869,'Base bordo'!F$2:F$746,"MANUTENCAO EXTERNA  CONCESSIONARIA"),0)+IFERROR(SUMIFS('Base bordo'!G$2:G$746,'Base bordo'!C$2:C$746,A869,'Base bordo'!B$2:B$746,B869,'Base bordo'!F$2:F$746,"MANUTENCAO TELEMETRIA"),0)</f>
        <v>0</v>
      </c>
      <c r="M869" s="10">
        <f>IFERROR(SUMIFS('Base bordo'!G$2:G$746,'Base bordo'!C$2:C$746,A869,'Base bordo'!B$2:B$746,B869,'Base bordo'!F$2:F$746,"AGUARDANDO MANUTENCAO"),0)</f>
        <v>0</v>
      </c>
      <c r="N869" s="10">
        <f>IFERROR(SUMIFS('Base bordo'!G$2:G$746,'Base bordo'!C$2:C$746,A869,'Base bordo'!B$2:B$746,B869,'Base bordo'!F$2:F$746,"SEM APONTAMENTO"),0)</f>
        <v>0</v>
      </c>
      <c r="O869" s="10">
        <f t="shared" si="90"/>
        <v>0</v>
      </c>
      <c r="P869" s="10">
        <f>IFERROR(SUMIFS('Base bordo'!G$2:G$746,'Base bordo'!C$2:C$746,A869,'Base bordo'!B$2:B$746,B869),0)</f>
        <v>20.415833333333332</v>
      </c>
      <c r="Q869" s="10">
        <f>IFERROR(SUMIFS('Base bordo'!H$2:H$746,'Base bordo'!C$2:C$746,A869,'Base bordo'!B$2:B$746,B869,'Base bordo'!F$2:F$746,"DESLOCAMENTO VAZIO"),0)</f>
        <v>12426.57</v>
      </c>
      <c r="R869" s="10">
        <f>IFERROR(SUMIFS('Base bordo'!I$2:I$746,'Base bordo'!C$2:C$746,A869,'Base bordo'!B$2:B$746,B869,'Base bordo'!F$2:F$746,"DESLOCAMENTO VAZIO"),0)</f>
        <v>808</v>
      </c>
      <c r="S869" s="30">
        <f t="shared" si="91"/>
        <v>15.379418316831682</v>
      </c>
      <c r="T869" s="10">
        <f>IFERROR(SUMIFS('Base bordo'!H$2:H$746,'Base bordo'!C$2:C$746,A869,'Base bordo'!B$2:B$746,B869,'Base bordo'!F$2:F$746,"DESLOCAMENTO CARREGADO"),0)</f>
        <v>100320.48</v>
      </c>
      <c r="U869" s="10">
        <f>IFERROR(SUMIFS('Base bordo'!I$2:I$746,'Base bordo'!C$2:C$746,A869,'Base bordo'!B$2:B$746,B869,'Base bordo'!F$2:F$746,"DESLOCAMENTO CARREGADO"),0)</f>
        <v>4104</v>
      </c>
      <c r="V869" s="30">
        <f t="shared" si="92"/>
        <v>24.444561403508771</v>
      </c>
      <c r="W869" s="9">
        <f t="shared" si="93"/>
        <v>1.0993645999156429E-2</v>
      </c>
      <c r="X869" s="9">
        <f t="shared" si="94"/>
        <v>5.583901383729948E-2</v>
      </c>
      <c r="Y869" s="9">
        <f t="shared" si="95"/>
        <v>0.93316734016354408</v>
      </c>
    </row>
    <row r="870" spans="1:25" ht="15" customHeight="1" x14ac:dyDescent="0.35">
      <c r="A870" s="52">
        <v>8013462</v>
      </c>
      <c r="B870" s="51">
        <v>46119</v>
      </c>
      <c r="C870" s="7" t="s">
        <v>124</v>
      </c>
      <c r="D870" s="10">
        <f>IFERROR(SUMIFS('Base bordo'!G$2:G$746,'Base bordo'!C$2:C$746,A870,'Base bordo'!B$2:B$746,B870,'Base bordo'!F$2:F$746,"DESLOCAMENTO VAZIO"),0)</f>
        <v>0.22444444444444445</v>
      </c>
      <c r="E870" s="10">
        <f>IFERROR(SUMIFS('Base bordo'!G$2:G$746,'Base bordo'!C$2:C$746,A870,'Base bordo'!B$2:B$746,B870,'Base bordo'!F$2:F$746,"DESLOCAMENTO CARREGADO"),0)</f>
        <v>1.1399999999999999</v>
      </c>
      <c r="F870" s="10">
        <f>IFERROR(SUMIFS('Base bordo'!G$2:G$746,'Base bordo'!C$2:C$746,A870,'Base bordo'!B$2:B$746,B870,'Base bordo'!F$2:F$746,"DESLOCAMENTO"),0)</f>
        <v>0</v>
      </c>
      <c r="G870" s="10">
        <f>IFERROR(SUMIFS('Base bordo'!G$2:G$746,'Base bordo'!C$2:C$746,A870,'Base bordo'!B$2:B$746,B870,'Base bordo'!F$2:F$746,"CARREGAMENTO"),0)</f>
        <v>0</v>
      </c>
      <c r="H870" s="10">
        <f>IFERROR(SUMIFS('Base bordo'!G$2:G$746,'Base bordo'!C$2:C$746,A870,'Base bordo'!B$2:B$746,B870,'Base bordo'!F$2:F$746,"AGUARDANDO TRANSBORDO"),0)</f>
        <v>0</v>
      </c>
      <c r="I870" s="10">
        <f>IFERROR(SUMIFS('Base bordo'!G$2:G$746,'Base bordo'!C$2:C$746,A870,'Base bordo'!B$2:B$746,B870,'Base bordo'!F$2:F$746,"PÁTIO INTERNO"),0)+IFERROR(SUMIFS('Base bordo'!G$2:G$746,'Base bordo'!C$2:C$746,A870,'Base bordo'!B$2:B$746,B870,'Base bordo'!F$2:F$746,"PÁTIO EXTERNO"),0)+IFERROR(SUMIFS('Base bordo'!G$2:G$746,'Base bordo'!C$2:C$746,A870,'Base bordo'!B$2:B$746,B870,'Base bordo'!F$2:F$746,"PATIO - RESERVA"),0)+IFERROR(SUMIFS('Base bordo'!G$2:G$746,'Base bordo'!C$2:C$746,A870,'Base bordo'!B$2:B$746,B870,'Base bordo'!F$2:F$746,"MANOBRA CARRETAS-PATIO"),0)</f>
        <v>19.001944444444444</v>
      </c>
      <c r="J870" s="10">
        <f>IFERROR(SUMIFS('Base bordo'!G$2:G$746,'Base bordo'!C$2:C$746,A870,'Base bordo'!B$2:B$746,B870,'Base bordo'!F$2:F$746,"BALANÇA - ENTRADA"),0)+IFERROR(SUMIFS('Base bordo'!G$2:G$746,'Base bordo'!C$2:C$746,A870,'Base bordo'!B$2:B$746,B870,'Base bordo'!F$2:F$746,"BALANÇA - SAÍDA"),0)</f>
        <v>4.9444444444444444E-2</v>
      </c>
      <c r="K870" s="10">
        <f>IFERROR(SUMIFS('Base bordo'!G$2:G$746,'Base bordo'!C$2:C$746,A870,'Base bordo'!B$2:B$746,B870,'Base bordo'!F$2:F$746,"MAN PREVENTIVA - MECANICA"),0)+IFERROR(SUMIFS('Base bordo'!G$2:G$746,'Base bordo'!C$2:C$746,A870,'Base bordo'!B$2:B$746,B870,'Base bordo'!F$2:F$746,"MAN CORRETIVA - MECANICA"),0)</f>
        <v>0</v>
      </c>
      <c r="L870" s="10">
        <f>IFERROR(SUMIFS('Base bordo'!G$2:G$746,'Base bordo'!C$2:C$746,A870,'Base bordo'!B$2:B$746,B870,'Base bordo'!F$2:F$746,"MANUTENCAO - T O"),0)+IFERROR(SUMIFS('Base bordo'!G$2:G$746,'Base bordo'!C$2:C$746,A870,'Base bordo'!B$2:B$746,B870,'Base bordo'!F$2:F$746,"MANUTENCAO BORRACHARIA"),0)+IFERROR(SUMIFS('Base bordo'!G$2:G$746,'Base bordo'!C$2:C$746,A870,'Base bordo'!B$2:B$746,B870,'Base bordo'!F$2:F$746,"MANUTENCAO EXTERNA  CONCESSIONARIA"),0)+IFERROR(SUMIFS('Base bordo'!G$2:G$746,'Base bordo'!C$2:C$746,A870,'Base bordo'!B$2:B$746,B870,'Base bordo'!F$2:F$746,"MANUTENCAO TELEMETRIA"),0)</f>
        <v>0</v>
      </c>
      <c r="M870" s="10">
        <f>IFERROR(SUMIFS('Base bordo'!G$2:G$746,'Base bordo'!C$2:C$746,A870,'Base bordo'!B$2:B$746,B870,'Base bordo'!F$2:F$746,"AGUARDANDO MANUTENCAO"),0)</f>
        <v>0</v>
      </c>
      <c r="N870" s="10">
        <f>IFERROR(SUMIFS('Base bordo'!G$2:G$746,'Base bordo'!C$2:C$746,A870,'Base bordo'!B$2:B$746,B870,'Base bordo'!F$2:F$746,"SEM APONTAMENTO"),0)</f>
        <v>0</v>
      </c>
      <c r="O870" s="10">
        <f t="shared" si="90"/>
        <v>0</v>
      </c>
      <c r="P870" s="10">
        <f>IFERROR(SUMIFS('Base bordo'!G$2:G$746,'Base bordo'!C$2:C$746,A870,'Base bordo'!B$2:B$746,B870),0)</f>
        <v>20.415833333333332</v>
      </c>
      <c r="Q870" s="10">
        <f>IFERROR(SUMIFS('Base bordo'!H$2:H$746,'Base bordo'!C$2:C$746,A870,'Base bordo'!B$2:B$746,B870,'Base bordo'!F$2:F$746,"DESLOCAMENTO VAZIO"),0)</f>
        <v>12426.57</v>
      </c>
      <c r="R870" s="10">
        <f>IFERROR(SUMIFS('Base bordo'!I$2:I$746,'Base bordo'!C$2:C$746,A870,'Base bordo'!B$2:B$746,B870,'Base bordo'!F$2:F$746,"DESLOCAMENTO VAZIO"),0)</f>
        <v>808</v>
      </c>
      <c r="S870" s="30">
        <f t="shared" si="91"/>
        <v>15.379418316831682</v>
      </c>
      <c r="T870" s="10">
        <f>IFERROR(SUMIFS('Base bordo'!H$2:H$746,'Base bordo'!C$2:C$746,A870,'Base bordo'!B$2:B$746,B870,'Base bordo'!F$2:F$746,"DESLOCAMENTO CARREGADO"),0)</f>
        <v>100320.48</v>
      </c>
      <c r="U870" s="10">
        <f>IFERROR(SUMIFS('Base bordo'!I$2:I$746,'Base bordo'!C$2:C$746,A870,'Base bordo'!B$2:B$746,B870,'Base bordo'!F$2:F$746,"DESLOCAMENTO CARREGADO"),0)</f>
        <v>4104</v>
      </c>
      <c r="V870" s="30">
        <f t="shared" si="92"/>
        <v>24.444561403508771</v>
      </c>
      <c r="W870" s="9">
        <f t="shared" si="93"/>
        <v>1.0993645999156429E-2</v>
      </c>
      <c r="X870" s="9">
        <f t="shared" si="94"/>
        <v>5.583901383729948E-2</v>
      </c>
      <c r="Y870" s="9">
        <f t="shared" si="95"/>
        <v>0.93316734016354408</v>
      </c>
    </row>
    <row r="871" spans="1:25" ht="15" customHeight="1" x14ac:dyDescent="0.35">
      <c r="A871" s="52">
        <v>8013462</v>
      </c>
      <c r="B871" s="51">
        <v>46119</v>
      </c>
      <c r="C871" s="7" t="s">
        <v>124</v>
      </c>
      <c r="D871" s="10">
        <f>IFERROR(SUMIFS('Base bordo'!G$2:G$746,'Base bordo'!C$2:C$746,A871,'Base bordo'!B$2:B$746,B871,'Base bordo'!F$2:F$746,"DESLOCAMENTO VAZIO"),0)</f>
        <v>0.22444444444444445</v>
      </c>
      <c r="E871" s="10">
        <f>IFERROR(SUMIFS('Base bordo'!G$2:G$746,'Base bordo'!C$2:C$746,A871,'Base bordo'!B$2:B$746,B871,'Base bordo'!F$2:F$746,"DESLOCAMENTO CARREGADO"),0)</f>
        <v>1.1399999999999999</v>
      </c>
      <c r="F871" s="10">
        <f>IFERROR(SUMIFS('Base bordo'!G$2:G$746,'Base bordo'!C$2:C$746,A871,'Base bordo'!B$2:B$746,B871,'Base bordo'!F$2:F$746,"DESLOCAMENTO"),0)</f>
        <v>0</v>
      </c>
      <c r="G871" s="10">
        <f>IFERROR(SUMIFS('Base bordo'!G$2:G$746,'Base bordo'!C$2:C$746,A871,'Base bordo'!B$2:B$746,B871,'Base bordo'!F$2:F$746,"CARREGAMENTO"),0)</f>
        <v>0</v>
      </c>
      <c r="H871" s="10">
        <f>IFERROR(SUMIFS('Base bordo'!G$2:G$746,'Base bordo'!C$2:C$746,A871,'Base bordo'!B$2:B$746,B871,'Base bordo'!F$2:F$746,"AGUARDANDO TRANSBORDO"),0)</f>
        <v>0</v>
      </c>
      <c r="I871" s="10">
        <f>IFERROR(SUMIFS('Base bordo'!G$2:G$746,'Base bordo'!C$2:C$746,A871,'Base bordo'!B$2:B$746,B871,'Base bordo'!F$2:F$746,"PÁTIO INTERNO"),0)+IFERROR(SUMIFS('Base bordo'!G$2:G$746,'Base bordo'!C$2:C$746,A871,'Base bordo'!B$2:B$746,B871,'Base bordo'!F$2:F$746,"PÁTIO EXTERNO"),0)+IFERROR(SUMIFS('Base bordo'!G$2:G$746,'Base bordo'!C$2:C$746,A871,'Base bordo'!B$2:B$746,B871,'Base bordo'!F$2:F$746,"PATIO - RESERVA"),0)+IFERROR(SUMIFS('Base bordo'!G$2:G$746,'Base bordo'!C$2:C$746,A871,'Base bordo'!B$2:B$746,B871,'Base bordo'!F$2:F$746,"MANOBRA CARRETAS-PATIO"),0)</f>
        <v>19.001944444444444</v>
      </c>
      <c r="J871" s="10">
        <f>IFERROR(SUMIFS('Base bordo'!G$2:G$746,'Base bordo'!C$2:C$746,A871,'Base bordo'!B$2:B$746,B871,'Base bordo'!F$2:F$746,"BALANÇA - ENTRADA"),0)+IFERROR(SUMIFS('Base bordo'!G$2:G$746,'Base bordo'!C$2:C$746,A871,'Base bordo'!B$2:B$746,B871,'Base bordo'!F$2:F$746,"BALANÇA - SAÍDA"),0)</f>
        <v>4.9444444444444444E-2</v>
      </c>
      <c r="K871" s="10">
        <f>IFERROR(SUMIFS('Base bordo'!G$2:G$746,'Base bordo'!C$2:C$746,A871,'Base bordo'!B$2:B$746,B871,'Base bordo'!F$2:F$746,"MAN PREVENTIVA - MECANICA"),0)+IFERROR(SUMIFS('Base bordo'!G$2:G$746,'Base bordo'!C$2:C$746,A871,'Base bordo'!B$2:B$746,B871,'Base bordo'!F$2:F$746,"MAN CORRETIVA - MECANICA"),0)</f>
        <v>0</v>
      </c>
      <c r="L871" s="10">
        <f>IFERROR(SUMIFS('Base bordo'!G$2:G$746,'Base bordo'!C$2:C$746,A871,'Base bordo'!B$2:B$746,B871,'Base bordo'!F$2:F$746,"MANUTENCAO - T O"),0)+IFERROR(SUMIFS('Base bordo'!G$2:G$746,'Base bordo'!C$2:C$746,A871,'Base bordo'!B$2:B$746,B871,'Base bordo'!F$2:F$746,"MANUTENCAO BORRACHARIA"),0)+IFERROR(SUMIFS('Base bordo'!G$2:G$746,'Base bordo'!C$2:C$746,A871,'Base bordo'!B$2:B$746,B871,'Base bordo'!F$2:F$746,"MANUTENCAO EXTERNA  CONCESSIONARIA"),0)+IFERROR(SUMIFS('Base bordo'!G$2:G$746,'Base bordo'!C$2:C$746,A871,'Base bordo'!B$2:B$746,B871,'Base bordo'!F$2:F$746,"MANUTENCAO TELEMETRIA"),0)</f>
        <v>0</v>
      </c>
      <c r="M871" s="10">
        <f>IFERROR(SUMIFS('Base bordo'!G$2:G$746,'Base bordo'!C$2:C$746,A871,'Base bordo'!B$2:B$746,B871,'Base bordo'!F$2:F$746,"AGUARDANDO MANUTENCAO"),0)</f>
        <v>0</v>
      </c>
      <c r="N871" s="10">
        <f>IFERROR(SUMIFS('Base bordo'!G$2:G$746,'Base bordo'!C$2:C$746,A871,'Base bordo'!B$2:B$746,B871,'Base bordo'!F$2:F$746,"SEM APONTAMENTO"),0)</f>
        <v>0</v>
      </c>
      <c r="O871" s="10">
        <f t="shared" si="90"/>
        <v>0</v>
      </c>
      <c r="P871" s="10">
        <f>IFERROR(SUMIFS('Base bordo'!G$2:G$746,'Base bordo'!C$2:C$746,A871,'Base bordo'!B$2:B$746,B871),0)</f>
        <v>20.415833333333332</v>
      </c>
      <c r="Q871" s="10">
        <f>IFERROR(SUMIFS('Base bordo'!H$2:H$746,'Base bordo'!C$2:C$746,A871,'Base bordo'!B$2:B$746,B871,'Base bordo'!F$2:F$746,"DESLOCAMENTO VAZIO"),0)</f>
        <v>12426.57</v>
      </c>
      <c r="R871" s="10">
        <f>IFERROR(SUMIFS('Base bordo'!I$2:I$746,'Base bordo'!C$2:C$746,A871,'Base bordo'!B$2:B$746,B871,'Base bordo'!F$2:F$746,"DESLOCAMENTO VAZIO"),0)</f>
        <v>808</v>
      </c>
      <c r="S871" s="30">
        <f t="shared" si="91"/>
        <v>15.379418316831682</v>
      </c>
      <c r="T871" s="10">
        <f>IFERROR(SUMIFS('Base bordo'!H$2:H$746,'Base bordo'!C$2:C$746,A871,'Base bordo'!B$2:B$746,B871,'Base bordo'!F$2:F$746,"DESLOCAMENTO CARREGADO"),0)</f>
        <v>100320.48</v>
      </c>
      <c r="U871" s="10">
        <f>IFERROR(SUMIFS('Base bordo'!I$2:I$746,'Base bordo'!C$2:C$746,A871,'Base bordo'!B$2:B$746,B871,'Base bordo'!F$2:F$746,"DESLOCAMENTO CARREGADO"),0)</f>
        <v>4104</v>
      </c>
      <c r="V871" s="30">
        <f t="shared" si="92"/>
        <v>24.444561403508771</v>
      </c>
      <c r="W871" s="9">
        <f t="shared" si="93"/>
        <v>1.0993645999156429E-2</v>
      </c>
      <c r="X871" s="9">
        <f t="shared" si="94"/>
        <v>5.583901383729948E-2</v>
      </c>
      <c r="Y871" s="9">
        <f t="shared" si="95"/>
        <v>0.93316734016354408</v>
      </c>
    </row>
    <row r="872" spans="1:25" ht="15" customHeight="1" x14ac:dyDescent="0.35">
      <c r="A872" s="52">
        <v>8013462</v>
      </c>
      <c r="B872" s="51">
        <v>46119</v>
      </c>
      <c r="C872" s="7" t="s">
        <v>124</v>
      </c>
      <c r="D872" s="10">
        <f>IFERROR(SUMIFS('Base bordo'!G$2:G$746,'Base bordo'!C$2:C$746,A872,'Base bordo'!B$2:B$746,B872,'Base bordo'!F$2:F$746,"DESLOCAMENTO VAZIO"),0)</f>
        <v>0.22444444444444445</v>
      </c>
      <c r="E872" s="10">
        <f>IFERROR(SUMIFS('Base bordo'!G$2:G$746,'Base bordo'!C$2:C$746,A872,'Base bordo'!B$2:B$746,B872,'Base bordo'!F$2:F$746,"DESLOCAMENTO CARREGADO"),0)</f>
        <v>1.1399999999999999</v>
      </c>
      <c r="F872" s="10">
        <f>IFERROR(SUMIFS('Base bordo'!G$2:G$746,'Base bordo'!C$2:C$746,A872,'Base bordo'!B$2:B$746,B872,'Base bordo'!F$2:F$746,"DESLOCAMENTO"),0)</f>
        <v>0</v>
      </c>
      <c r="G872" s="10">
        <f>IFERROR(SUMIFS('Base bordo'!G$2:G$746,'Base bordo'!C$2:C$746,A872,'Base bordo'!B$2:B$746,B872,'Base bordo'!F$2:F$746,"CARREGAMENTO"),0)</f>
        <v>0</v>
      </c>
      <c r="H872" s="10">
        <f>IFERROR(SUMIFS('Base bordo'!G$2:G$746,'Base bordo'!C$2:C$746,A872,'Base bordo'!B$2:B$746,B872,'Base bordo'!F$2:F$746,"AGUARDANDO TRANSBORDO"),0)</f>
        <v>0</v>
      </c>
      <c r="I872" s="10">
        <f>IFERROR(SUMIFS('Base bordo'!G$2:G$746,'Base bordo'!C$2:C$746,A872,'Base bordo'!B$2:B$746,B872,'Base bordo'!F$2:F$746,"PÁTIO INTERNO"),0)+IFERROR(SUMIFS('Base bordo'!G$2:G$746,'Base bordo'!C$2:C$746,A872,'Base bordo'!B$2:B$746,B872,'Base bordo'!F$2:F$746,"PÁTIO EXTERNO"),0)+IFERROR(SUMIFS('Base bordo'!G$2:G$746,'Base bordo'!C$2:C$746,A872,'Base bordo'!B$2:B$746,B872,'Base bordo'!F$2:F$746,"PATIO - RESERVA"),0)+IFERROR(SUMIFS('Base bordo'!G$2:G$746,'Base bordo'!C$2:C$746,A872,'Base bordo'!B$2:B$746,B872,'Base bordo'!F$2:F$746,"MANOBRA CARRETAS-PATIO"),0)</f>
        <v>19.001944444444444</v>
      </c>
      <c r="J872" s="10">
        <f>IFERROR(SUMIFS('Base bordo'!G$2:G$746,'Base bordo'!C$2:C$746,A872,'Base bordo'!B$2:B$746,B872,'Base bordo'!F$2:F$746,"BALANÇA - ENTRADA"),0)+IFERROR(SUMIFS('Base bordo'!G$2:G$746,'Base bordo'!C$2:C$746,A872,'Base bordo'!B$2:B$746,B872,'Base bordo'!F$2:F$746,"BALANÇA - SAÍDA"),0)</f>
        <v>4.9444444444444444E-2</v>
      </c>
      <c r="K872" s="10">
        <f>IFERROR(SUMIFS('Base bordo'!G$2:G$746,'Base bordo'!C$2:C$746,A872,'Base bordo'!B$2:B$746,B872,'Base bordo'!F$2:F$746,"MAN PREVENTIVA - MECANICA"),0)+IFERROR(SUMIFS('Base bordo'!G$2:G$746,'Base bordo'!C$2:C$746,A872,'Base bordo'!B$2:B$746,B872,'Base bordo'!F$2:F$746,"MAN CORRETIVA - MECANICA"),0)</f>
        <v>0</v>
      </c>
      <c r="L872" s="10">
        <f>IFERROR(SUMIFS('Base bordo'!G$2:G$746,'Base bordo'!C$2:C$746,A872,'Base bordo'!B$2:B$746,B872,'Base bordo'!F$2:F$746,"MANUTENCAO - T O"),0)+IFERROR(SUMIFS('Base bordo'!G$2:G$746,'Base bordo'!C$2:C$746,A872,'Base bordo'!B$2:B$746,B872,'Base bordo'!F$2:F$746,"MANUTENCAO BORRACHARIA"),0)+IFERROR(SUMIFS('Base bordo'!G$2:G$746,'Base bordo'!C$2:C$746,A872,'Base bordo'!B$2:B$746,B872,'Base bordo'!F$2:F$746,"MANUTENCAO EXTERNA  CONCESSIONARIA"),0)+IFERROR(SUMIFS('Base bordo'!G$2:G$746,'Base bordo'!C$2:C$746,A872,'Base bordo'!B$2:B$746,B872,'Base bordo'!F$2:F$746,"MANUTENCAO TELEMETRIA"),0)</f>
        <v>0</v>
      </c>
      <c r="M872" s="10">
        <f>IFERROR(SUMIFS('Base bordo'!G$2:G$746,'Base bordo'!C$2:C$746,A872,'Base bordo'!B$2:B$746,B872,'Base bordo'!F$2:F$746,"AGUARDANDO MANUTENCAO"),0)</f>
        <v>0</v>
      </c>
      <c r="N872" s="10">
        <f>IFERROR(SUMIFS('Base bordo'!G$2:G$746,'Base bordo'!C$2:C$746,A872,'Base bordo'!B$2:B$746,B872,'Base bordo'!F$2:F$746,"SEM APONTAMENTO"),0)</f>
        <v>0</v>
      </c>
      <c r="O872" s="10">
        <f t="shared" si="90"/>
        <v>0</v>
      </c>
      <c r="P872" s="10">
        <f>IFERROR(SUMIFS('Base bordo'!G$2:G$746,'Base bordo'!C$2:C$746,A872,'Base bordo'!B$2:B$746,B872),0)</f>
        <v>20.415833333333332</v>
      </c>
      <c r="Q872" s="10">
        <f>IFERROR(SUMIFS('Base bordo'!H$2:H$746,'Base bordo'!C$2:C$746,A872,'Base bordo'!B$2:B$746,B872,'Base bordo'!F$2:F$746,"DESLOCAMENTO VAZIO"),0)</f>
        <v>12426.57</v>
      </c>
      <c r="R872" s="10">
        <f>IFERROR(SUMIFS('Base bordo'!I$2:I$746,'Base bordo'!C$2:C$746,A872,'Base bordo'!B$2:B$746,B872,'Base bordo'!F$2:F$746,"DESLOCAMENTO VAZIO"),0)</f>
        <v>808</v>
      </c>
      <c r="S872" s="30">
        <f t="shared" si="91"/>
        <v>15.379418316831682</v>
      </c>
      <c r="T872" s="10">
        <f>IFERROR(SUMIFS('Base bordo'!H$2:H$746,'Base bordo'!C$2:C$746,A872,'Base bordo'!B$2:B$746,B872,'Base bordo'!F$2:F$746,"DESLOCAMENTO CARREGADO"),0)</f>
        <v>100320.48</v>
      </c>
      <c r="U872" s="10">
        <f>IFERROR(SUMIFS('Base bordo'!I$2:I$746,'Base bordo'!C$2:C$746,A872,'Base bordo'!B$2:B$746,B872,'Base bordo'!F$2:F$746,"DESLOCAMENTO CARREGADO"),0)</f>
        <v>4104</v>
      </c>
      <c r="V872" s="30">
        <f t="shared" si="92"/>
        <v>24.444561403508771</v>
      </c>
      <c r="W872" s="9">
        <f t="shared" si="93"/>
        <v>1.0993645999156429E-2</v>
      </c>
      <c r="X872" s="9">
        <f t="shared" si="94"/>
        <v>5.583901383729948E-2</v>
      </c>
      <c r="Y872" s="9">
        <f t="shared" si="95"/>
        <v>0.93316734016354408</v>
      </c>
    </row>
    <row r="873" spans="1:25" ht="15" customHeight="1" x14ac:dyDescent="0.35">
      <c r="A873" s="52">
        <v>8013462</v>
      </c>
      <c r="B873" s="51">
        <v>46119</v>
      </c>
      <c r="C873" s="7" t="s">
        <v>124</v>
      </c>
      <c r="D873" s="10">
        <f>IFERROR(SUMIFS('Base bordo'!G$2:G$746,'Base bordo'!C$2:C$746,A873,'Base bordo'!B$2:B$746,B873,'Base bordo'!F$2:F$746,"DESLOCAMENTO VAZIO"),0)</f>
        <v>0.22444444444444445</v>
      </c>
      <c r="E873" s="10">
        <f>IFERROR(SUMIFS('Base bordo'!G$2:G$746,'Base bordo'!C$2:C$746,A873,'Base bordo'!B$2:B$746,B873,'Base bordo'!F$2:F$746,"DESLOCAMENTO CARREGADO"),0)</f>
        <v>1.1399999999999999</v>
      </c>
      <c r="F873" s="10">
        <f>IFERROR(SUMIFS('Base bordo'!G$2:G$746,'Base bordo'!C$2:C$746,A873,'Base bordo'!B$2:B$746,B873,'Base bordo'!F$2:F$746,"DESLOCAMENTO"),0)</f>
        <v>0</v>
      </c>
      <c r="G873" s="10">
        <f>IFERROR(SUMIFS('Base bordo'!G$2:G$746,'Base bordo'!C$2:C$746,A873,'Base bordo'!B$2:B$746,B873,'Base bordo'!F$2:F$746,"CARREGAMENTO"),0)</f>
        <v>0</v>
      </c>
      <c r="H873" s="10">
        <f>IFERROR(SUMIFS('Base bordo'!G$2:G$746,'Base bordo'!C$2:C$746,A873,'Base bordo'!B$2:B$746,B873,'Base bordo'!F$2:F$746,"AGUARDANDO TRANSBORDO"),0)</f>
        <v>0</v>
      </c>
      <c r="I873" s="10">
        <f>IFERROR(SUMIFS('Base bordo'!G$2:G$746,'Base bordo'!C$2:C$746,A873,'Base bordo'!B$2:B$746,B873,'Base bordo'!F$2:F$746,"PÁTIO INTERNO"),0)+IFERROR(SUMIFS('Base bordo'!G$2:G$746,'Base bordo'!C$2:C$746,A873,'Base bordo'!B$2:B$746,B873,'Base bordo'!F$2:F$746,"PÁTIO EXTERNO"),0)+IFERROR(SUMIFS('Base bordo'!G$2:G$746,'Base bordo'!C$2:C$746,A873,'Base bordo'!B$2:B$746,B873,'Base bordo'!F$2:F$746,"PATIO - RESERVA"),0)+IFERROR(SUMIFS('Base bordo'!G$2:G$746,'Base bordo'!C$2:C$746,A873,'Base bordo'!B$2:B$746,B873,'Base bordo'!F$2:F$746,"MANOBRA CARRETAS-PATIO"),0)</f>
        <v>19.001944444444444</v>
      </c>
      <c r="J873" s="10">
        <f>IFERROR(SUMIFS('Base bordo'!G$2:G$746,'Base bordo'!C$2:C$746,A873,'Base bordo'!B$2:B$746,B873,'Base bordo'!F$2:F$746,"BALANÇA - ENTRADA"),0)+IFERROR(SUMIFS('Base bordo'!G$2:G$746,'Base bordo'!C$2:C$746,A873,'Base bordo'!B$2:B$746,B873,'Base bordo'!F$2:F$746,"BALANÇA - SAÍDA"),0)</f>
        <v>4.9444444444444444E-2</v>
      </c>
      <c r="K873" s="10">
        <f>IFERROR(SUMIFS('Base bordo'!G$2:G$746,'Base bordo'!C$2:C$746,A873,'Base bordo'!B$2:B$746,B873,'Base bordo'!F$2:F$746,"MAN PREVENTIVA - MECANICA"),0)+IFERROR(SUMIFS('Base bordo'!G$2:G$746,'Base bordo'!C$2:C$746,A873,'Base bordo'!B$2:B$746,B873,'Base bordo'!F$2:F$746,"MAN CORRETIVA - MECANICA"),0)</f>
        <v>0</v>
      </c>
      <c r="L873" s="10">
        <f>IFERROR(SUMIFS('Base bordo'!G$2:G$746,'Base bordo'!C$2:C$746,A873,'Base bordo'!B$2:B$746,B873,'Base bordo'!F$2:F$746,"MANUTENCAO - T O"),0)+IFERROR(SUMIFS('Base bordo'!G$2:G$746,'Base bordo'!C$2:C$746,A873,'Base bordo'!B$2:B$746,B873,'Base bordo'!F$2:F$746,"MANUTENCAO BORRACHARIA"),0)+IFERROR(SUMIFS('Base bordo'!G$2:G$746,'Base bordo'!C$2:C$746,A873,'Base bordo'!B$2:B$746,B873,'Base bordo'!F$2:F$746,"MANUTENCAO EXTERNA  CONCESSIONARIA"),0)+IFERROR(SUMIFS('Base bordo'!G$2:G$746,'Base bordo'!C$2:C$746,A873,'Base bordo'!B$2:B$746,B873,'Base bordo'!F$2:F$746,"MANUTENCAO TELEMETRIA"),0)</f>
        <v>0</v>
      </c>
      <c r="M873" s="10">
        <f>IFERROR(SUMIFS('Base bordo'!G$2:G$746,'Base bordo'!C$2:C$746,A873,'Base bordo'!B$2:B$746,B873,'Base bordo'!F$2:F$746,"AGUARDANDO MANUTENCAO"),0)</f>
        <v>0</v>
      </c>
      <c r="N873" s="10">
        <f>IFERROR(SUMIFS('Base bordo'!G$2:G$746,'Base bordo'!C$2:C$746,A873,'Base bordo'!B$2:B$746,B873,'Base bordo'!F$2:F$746,"SEM APONTAMENTO"),0)</f>
        <v>0</v>
      </c>
      <c r="O873" s="10">
        <f t="shared" si="90"/>
        <v>0</v>
      </c>
      <c r="P873" s="10">
        <f>IFERROR(SUMIFS('Base bordo'!G$2:G$746,'Base bordo'!C$2:C$746,A873,'Base bordo'!B$2:B$746,B873),0)</f>
        <v>20.415833333333332</v>
      </c>
      <c r="Q873" s="10">
        <f>IFERROR(SUMIFS('Base bordo'!H$2:H$746,'Base bordo'!C$2:C$746,A873,'Base bordo'!B$2:B$746,B873,'Base bordo'!F$2:F$746,"DESLOCAMENTO VAZIO"),0)</f>
        <v>12426.57</v>
      </c>
      <c r="R873" s="10">
        <f>IFERROR(SUMIFS('Base bordo'!I$2:I$746,'Base bordo'!C$2:C$746,A873,'Base bordo'!B$2:B$746,B873,'Base bordo'!F$2:F$746,"DESLOCAMENTO VAZIO"),0)</f>
        <v>808</v>
      </c>
      <c r="S873" s="30">
        <f t="shared" si="91"/>
        <v>15.379418316831682</v>
      </c>
      <c r="T873" s="10">
        <f>IFERROR(SUMIFS('Base bordo'!H$2:H$746,'Base bordo'!C$2:C$746,A873,'Base bordo'!B$2:B$746,B873,'Base bordo'!F$2:F$746,"DESLOCAMENTO CARREGADO"),0)</f>
        <v>100320.48</v>
      </c>
      <c r="U873" s="10">
        <f>IFERROR(SUMIFS('Base bordo'!I$2:I$746,'Base bordo'!C$2:C$746,A873,'Base bordo'!B$2:B$746,B873,'Base bordo'!F$2:F$746,"DESLOCAMENTO CARREGADO"),0)</f>
        <v>4104</v>
      </c>
      <c r="V873" s="30">
        <f t="shared" si="92"/>
        <v>24.444561403508771</v>
      </c>
      <c r="W873" s="9">
        <f t="shared" si="93"/>
        <v>1.0993645999156429E-2</v>
      </c>
      <c r="X873" s="9">
        <f t="shared" si="94"/>
        <v>5.583901383729948E-2</v>
      </c>
      <c r="Y873" s="9">
        <f t="shared" si="95"/>
        <v>0.93316734016354408</v>
      </c>
    </row>
    <row r="874" spans="1:25" ht="15" customHeight="1" x14ac:dyDescent="0.35">
      <c r="A874" s="52">
        <v>8013462</v>
      </c>
      <c r="B874" s="51">
        <v>46119</v>
      </c>
      <c r="C874" s="7" t="s">
        <v>124</v>
      </c>
      <c r="D874" s="10">
        <f>IFERROR(SUMIFS('Base bordo'!G$2:G$746,'Base bordo'!C$2:C$746,A874,'Base bordo'!B$2:B$746,B874,'Base bordo'!F$2:F$746,"DESLOCAMENTO VAZIO"),0)</f>
        <v>0.22444444444444445</v>
      </c>
      <c r="E874" s="10">
        <f>IFERROR(SUMIFS('Base bordo'!G$2:G$746,'Base bordo'!C$2:C$746,A874,'Base bordo'!B$2:B$746,B874,'Base bordo'!F$2:F$746,"DESLOCAMENTO CARREGADO"),0)</f>
        <v>1.1399999999999999</v>
      </c>
      <c r="F874" s="10">
        <f>IFERROR(SUMIFS('Base bordo'!G$2:G$746,'Base bordo'!C$2:C$746,A874,'Base bordo'!B$2:B$746,B874,'Base bordo'!F$2:F$746,"DESLOCAMENTO"),0)</f>
        <v>0</v>
      </c>
      <c r="G874" s="10">
        <f>IFERROR(SUMIFS('Base bordo'!G$2:G$746,'Base bordo'!C$2:C$746,A874,'Base bordo'!B$2:B$746,B874,'Base bordo'!F$2:F$746,"CARREGAMENTO"),0)</f>
        <v>0</v>
      </c>
      <c r="H874" s="10">
        <f>IFERROR(SUMIFS('Base bordo'!G$2:G$746,'Base bordo'!C$2:C$746,A874,'Base bordo'!B$2:B$746,B874,'Base bordo'!F$2:F$746,"AGUARDANDO TRANSBORDO"),0)</f>
        <v>0</v>
      </c>
      <c r="I874" s="10">
        <f>IFERROR(SUMIFS('Base bordo'!G$2:G$746,'Base bordo'!C$2:C$746,A874,'Base bordo'!B$2:B$746,B874,'Base bordo'!F$2:F$746,"PÁTIO INTERNO"),0)+IFERROR(SUMIFS('Base bordo'!G$2:G$746,'Base bordo'!C$2:C$746,A874,'Base bordo'!B$2:B$746,B874,'Base bordo'!F$2:F$746,"PÁTIO EXTERNO"),0)+IFERROR(SUMIFS('Base bordo'!G$2:G$746,'Base bordo'!C$2:C$746,A874,'Base bordo'!B$2:B$746,B874,'Base bordo'!F$2:F$746,"PATIO - RESERVA"),0)+IFERROR(SUMIFS('Base bordo'!G$2:G$746,'Base bordo'!C$2:C$746,A874,'Base bordo'!B$2:B$746,B874,'Base bordo'!F$2:F$746,"MANOBRA CARRETAS-PATIO"),0)</f>
        <v>19.001944444444444</v>
      </c>
      <c r="J874" s="10">
        <f>IFERROR(SUMIFS('Base bordo'!G$2:G$746,'Base bordo'!C$2:C$746,A874,'Base bordo'!B$2:B$746,B874,'Base bordo'!F$2:F$746,"BALANÇA - ENTRADA"),0)+IFERROR(SUMIFS('Base bordo'!G$2:G$746,'Base bordo'!C$2:C$746,A874,'Base bordo'!B$2:B$746,B874,'Base bordo'!F$2:F$746,"BALANÇA - SAÍDA"),0)</f>
        <v>4.9444444444444444E-2</v>
      </c>
      <c r="K874" s="10">
        <f>IFERROR(SUMIFS('Base bordo'!G$2:G$746,'Base bordo'!C$2:C$746,A874,'Base bordo'!B$2:B$746,B874,'Base bordo'!F$2:F$746,"MAN PREVENTIVA - MECANICA"),0)+IFERROR(SUMIFS('Base bordo'!G$2:G$746,'Base bordo'!C$2:C$746,A874,'Base bordo'!B$2:B$746,B874,'Base bordo'!F$2:F$746,"MAN CORRETIVA - MECANICA"),0)</f>
        <v>0</v>
      </c>
      <c r="L874" s="10">
        <f>IFERROR(SUMIFS('Base bordo'!G$2:G$746,'Base bordo'!C$2:C$746,A874,'Base bordo'!B$2:B$746,B874,'Base bordo'!F$2:F$746,"MANUTENCAO - T O"),0)+IFERROR(SUMIFS('Base bordo'!G$2:G$746,'Base bordo'!C$2:C$746,A874,'Base bordo'!B$2:B$746,B874,'Base bordo'!F$2:F$746,"MANUTENCAO BORRACHARIA"),0)+IFERROR(SUMIFS('Base bordo'!G$2:G$746,'Base bordo'!C$2:C$746,A874,'Base bordo'!B$2:B$746,B874,'Base bordo'!F$2:F$746,"MANUTENCAO EXTERNA  CONCESSIONARIA"),0)+IFERROR(SUMIFS('Base bordo'!G$2:G$746,'Base bordo'!C$2:C$746,A874,'Base bordo'!B$2:B$746,B874,'Base bordo'!F$2:F$746,"MANUTENCAO TELEMETRIA"),0)</f>
        <v>0</v>
      </c>
      <c r="M874" s="10">
        <f>IFERROR(SUMIFS('Base bordo'!G$2:G$746,'Base bordo'!C$2:C$746,A874,'Base bordo'!B$2:B$746,B874,'Base bordo'!F$2:F$746,"AGUARDANDO MANUTENCAO"),0)</f>
        <v>0</v>
      </c>
      <c r="N874" s="10">
        <f>IFERROR(SUMIFS('Base bordo'!G$2:G$746,'Base bordo'!C$2:C$746,A874,'Base bordo'!B$2:B$746,B874,'Base bordo'!F$2:F$746,"SEM APONTAMENTO"),0)</f>
        <v>0</v>
      </c>
      <c r="O874" s="10">
        <f t="shared" si="90"/>
        <v>0</v>
      </c>
      <c r="P874" s="10">
        <f>IFERROR(SUMIFS('Base bordo'!G$2:G$746,'Base bordo'!C$2:C$746,A874,'Base bordo'!B$2:B$746,B874),0)</f>
        <v>20.415833333333332</v>
      </c>
      <c r="Q874" s="10">
        <f>IFERROR(SUMIFS('Base bordo'!H$2:H$746,'Base bordo'!C$2:C$746,A874,'Base bordo'!B$2:B$746,B874,'Base bordo'!F$2:F$746,"DESLOCAMENTO VAZIO"),0)</f>
        <v>12426.57</v>
      </c>
      <c r="R874" s="10">
        <f>IFERROR(SUMIFS('Base bordo'!I$2:I$746,'Base bordo'!C$2:C$746,A874,'Base bordo'!B$2:B$746,B874,'Base bordo'!F$2:F$746,"DESLOCAMENTO VAZIO"),0)</f>
        <v>808</v>
      </c>
      <c r="S874" s="30">
        <f t="shared" si="91"/>
        <v>15.379418316831682</v>
      </c>
      <c r="T874" s="10">
        <f>IFERROR(SUMIFS('Base bordo'!H$2:H$746,'Base bordo'!C$2:C$746,A874,'Base bordo'!B$2:B$746,B874,'Base bordo'!F$2:F$746,"DESLOCAMENTO CARREGADO"),0)</f>
        <v>100320.48</v>
      </c>
      <c r="U874" s="10">
        <f>IFERROR(SUMIFS('Base bordo'!I$2:I$746,'Base bordo'!C$2:C$746,A874,'Base bordo'!B$2:B$746,B874,'Base bordo'!F$2:F$746,"DESLOCAMENTO CARREGADO"),0)</f>
        <v>4104</v>
      </c>
      <c r="V874" s="30">
        <f t="shared" si="92"/>
        <v>24.444561403508771</v>
      </c>
      <c r="W874" s="9">
        <f t="shared" si="93"/>
        <v>1.0993645999156429E-2</v>
      </c>
      <c r="X874" s="9">
        <f t="shared" si="94"/>
        <v>5.583901383729948E-2</v>
      </c>
      <c r="Y874" s="9">
        <f t="shared" si="95"/>
        <v>0.93316734016354408</v>
      </c>
    </row>
    <row r="875" spans="1:25" ht="15" customHeight="1" x14ac:dyDescent="0.35">
      <c r="A875" s="52">
        <v>8013465</v>
      </c>
      <c r="B875" s="51">
        <v>46119</v>
      </c>
      <c r="C875" s="7" t="s">
        <v>124</v>
      </c>
      <c r="D875" s="10">
        <f>IFERROR(SUMIFS('Base bordo'!G$2:G$746,'Base bordo'!C$2:C$746,A875,'Base bordo'!B$2:B$746,B875,'Base bordo'!F$2:F$746,"DESLOCAMENTO VAZIO"),0)</f>
        <v>1.5244444444444445</v>
      </c>
      <c r="E875" s="10">
        <f>IFERROR(SUMIFS('Base bordo'!G$2:G$746,'Base bordo'!C$2:C$746,A875,'Base bordo'!B$2:B$746,B875,'Base bordo'!F$2:F$746,"DESLOCAMENTO CARREGADO"),0)</f>
        <v>1.4430555555555555</v>
      </c>
      <c r="F875" s="10">
        <f>IFERROR(SUMIFS('Base bordo'!G$2:G$746,'Base bordo'!C$2:C$746,A875,'Base bordo'!B$2:B$746,B875,'Base bordo'!F$2:F$746,"DESLOCAMENTO"),0)</f>
        <v>0</v>
      </c>
      <c r="G875" s="10">
        <f>IFERROR(SUMIFS('Base bordo'!G$2:G$746,'Base bordo'!C$2:C$746,A875,'Base bordo'!B$2:B$746,B875,'Base bordo'!F$2:F$746,"CARREGAMENTO"),0)</f>
        <v>0</v>
      </c>
      <c r="H875" s="10">
        <f>IFERROR(SUMIFS('Base bordo'!G$2:G$746,'Base bordo'!C$2:C$746,A875,'Base bordo'!B$2:B$746,B875,'Base bordo'!F$2:F$746,"AGUARDANDO TRANSBORDO"),0)</f>
        <v>1.4722222222222223</v>
      </c>
      <c r="I875" s="10">
        <f>IFERROR(SUMIFS('Base bordo'!G$2:G$746,'Base bordo'!C$2:C$746,A875,'Base bordo'!B$2:B$746,B875,'Base bordo'!F$2:F$746,"PÁTIO INTERNO"),0)+IFERROR(SUMIFS('Base bordo'!G$2:G$746,'Base bordo'!C$2:C$746,A875,'Base bordo'!B$2:B$746,B875,'Base bordo'!F$2:F$746,"PÁTIO EXTERNO"),0)+IFERROR(SUMIFS('Base bordo'!G$2:G$746,'Base bordo'!C$2:C$746,A875,'Base bordo'!B$2:B$746,B875,'Base bordo'!F$2:F$746,"PATIO - RESERVA"),0)+IFERROR(SUMIFS('Base bordo'!G$2:G$746,'Base bordo'!C$2:C$746,A875,'Base bordo'!B$2:B$746,B875,'Base bordo'!F$2:F$746,"MANOBRA CARRETAS-PATIO"),0)</f>
        <v>0</v>
      </c>
      <c r="J875" s="10">
        <f>IFERROR(SUMIFS('Base bordo'!G$2:G$746,'Base bordo'!C$2:C$746,A875,'Base bordo'!B$2:B$746,B875,'Base bordo'!F$2:F$746,"BALANÇA - ENTRADA"),0)+IFERROR(SUMIFS('Base bordo'!G$2:G$746,'Base bordo'!C$2:C$746,A875,'Base bordo'!B$2:B$746,B875,'Base bordo'!F$2:F$746,"BALANÇA - SAÍDA"),0)</f>
        <v>0</v>
      </c>
      <c r="K875" s="10">
        <f>IFERROR(SUMIFS('Base bordo'!G$2:G$746,'Base bordo'!C$2:C$746,A875,'Base bordo'!B$2:B$746,B875,'Base bordo'!F$2:F$746,"MAN PREVENTIVA - MECANICA"),0)+IFERROR(SUMIFS('Base bordo'!G$2:G$746,'Base bordo'!C$2:C$746,A875,'Base bordo'!B$2:B$746,B875,'Base bordo'!F$2:F$746,"MAN CORRETIVA - MECANICA"),0)</f>
        <v>0</v>
      </c>
      <c r="L875" s="10">
        <f>IFERROR(SUMIFS('Base bordo'!G$2:G$746,'Base bordo'!C$2:C$746,A875,'Base bordo'!B$2:B$746,B875,'Base bordo'!F$2:F$746,"MANUTENCAO - T O"),0)+IFERROR(SUMIFS('Base bordo'!G$2:G$746,'Base bordo'!C$2:C$746,A875,'Base bordo'!B$2:B$746,B875,'Base bordo'!F$2:F$746,"MANUTENCAO BORRACHARIA"),0)+IFERROR(SUMIFS('Base bordo'!G$2:G$746,'Base bordo'!C$2:C$746,A875,'Base bordo'!B$2:B$746,B875,'Base bordo'!F$2:F$746,"MANUTENCAO EXTERNA  CONCESSIONARIA"),0)+IFERROR(SUMIFS('Base bordo'!G$2:G$746,'Base bordo'!C$2:C$746,A875,'Base bordo'!B$2:B$746,B875,'Base bordo'!F$2:F$746,"MANUTENCAO TELEMETRIA"),0)</f>
        <v>0</v>
      </c>
      <c r="M875" s="10">
        <f>IFERROR(SUMIFS('Base bordo'!G$2:G$746,'Base bordo'!C$2:C$746,A875,'Base bordo'!B$2:B$746,B875,'Base bordo'!F$2:F$746,"AGUARDANDO MANUTENCAO"),0)</f>
        <v>0</v>
      </c>
      <c r="N875" s="10">
        <f>IFERROR(SUMIFS('Base bordo'!G$2:G$746,'Base bordo'!C$2:C$746,A875,'Base bordo'!B$2:B$746,B875,'Base bordo'!F$2:F$746,"SEM APONTAMENTO"),0)</f>
        <v>0</v>
      </c>
      <c r="O875" s="10">
        <f t="shared" si="90"/>
        <v>0</v>
      </c>
      <c r="P875" s="10">
        <f>IFERROR(SUMIFS('Base bordo'!G$2:G$746,'Base bordo'!C$2:C$746,A875,'Base bordo'!B$2:B$746,B875),0)</f>
        <v>4.4397222222222226</v>
      </c>
      <c r="Q875" s="10">
        <f>IFERROR(SUMIFS('Base bordo'!H$2:H$746,'Base bordo'!C$2:C$746,A875,'Base bordo'!B$2:B$746,B875,'Base bordo'!F$2:F$746,"DESLOCAMENTO VAZIO"),0)</f>
        <v>173737.47</v>
      </c>
      <c r="R875" s="10">
        <f>IFERROR(SUMIFS('Base bordo'!I$2:I$746,'Base bordo'!C$2:C$746,A875,'Base bordo'!B$2:B$746,B875,'Base bordo'!F$2:F$746,"DESLOCAMENTO VAZIO"),0)</f>
        <v>5488</v>
      </c>
      <c r="S875" s="30">
        <f t="shared" si="91"/>
        <v>31.657702259475219</v>
      </c>
      <c r="T875" s="10">
        <f>IFERROR(SUMIFS('Base bordo'!H$2:H$746,'Base bordo'!C$2:C$746,A875,'Base bordo'!B$2:B$746,B875,'Base bordo'!F$2:F$746,"DESLOCAMENTO CARREGADO"),0)</f>
        <v>130358.20999999999</v>
      </c>
      <c r="U875" s="10">
        <f>IFERROR(SUMIFS('Base bordo'!I$2:I$746,'Base bordo'!C$2:C$746,A875,'Base bordo'!B$2:B$746,B875,'Base bordo'!F$2:F$746,"DESLOCAMENTO CARREGADO"),0)</f>
        <v>5195</v>
      </c>
      <c r="V875" s="30">
        <f t="shared" si="92"/>
        <v>25.093014436958612</v>
      </c>
      <c r="W875" s="9">
        <f t="shared" si="93"/>
        <v>0.34336482512669708</v>
      </c>
      <c r="X875" s="9">
        <f t="shared" si="94"/>
        <v>0.32503284740036287</v>
      </c>
      <c r="Y875" s="9">
        <f t="shared" si="95"/>
        <v>0.33160232747294005</v>
      </c>
    </row>
    <row r="876" spans="1:25" ht="15" customHeight="1" x14ac:dyDescent="0.35">
      <c r="A876" s="52">
        <v>8013465</v>
      </c>
      <c r="B876" s="51">
        <v>46119</v>
      </c>
      <c r="C876" s="7" t="s">
        <v>124</v>
      </c>
      <c r="D876" s="10">
        <f>IFERROR(SUMIFS('Base bordo'!G$2:G$746,'Base bordo'!C$2:C$746,A876,'Base bordo'!B$2:B$746,B876,'Base bordo'!F$2:F$746,"DESLOCAMENTO VAZIO"),0)</f>
        <v>1.5244444444444445</v>
      </c>
      <c r="E876" s="10">
        <f>IFERROR(SUMIFS('Base bordo'!G$2:G$746,'Base bordo'!C$2:C$746,A876,'Base bordo'!B$2:B$746,B876,'Base bordo'!F$2:F$746,"DESLOCAMENTO CARREGADO"),0)</f>
        <v>1.4430555555555555</v>
      </c>
      <c r="F876" s="10">
        <f>IFERROR(SUMIFS('Base bordo'!G$2:G$746,'Base bordo'!C$2:C$746,A876,'Base bordo'!B$2:B$746,B876,'Base bordo'!F$2:F$746,"DESLOCAMENTO"),0)</f>
        <v>0</v>
      </c>
      <c r="G876" s="10">
        <f>IFERROR(SUMIFS('Base bordo'!G$2:G$746,'Base bordo'!C$2:C$746,A876,'Base bordo'!B$2:B$746,B876,'Base bordo'!F$2:F$746,"CARREGAMENTO"),0)</f>
        <v>0</v>
      </c>
      <c r="H876" s="10">
        <f>IFERROR(SUMIFS('Base bordo'!G$2:G$746,'Base bordo'!C$2:C$746,A876,'Base bordo'!B$2:B$746,B876,'Base bordo'!F$2:F$746,"AGUARDANDO TRANSBORDO"),0)</f>
        <v>1.4722222222222223</v>
      </c>
      <c r="I876" s="10">
        <f>IFERROR(SUMIFS('Base bordo'!G$2:G$746,'Base bordo'!C$2:C$746,A876,'Base bordo'!B$2:B$746,B876,'Base bordo'!F$2:F$746,"PÁTIO INTERNO"),0)+IFERROR(SUMIFS('Base bordo'!G$2:G$746,'Base bordo'!C$2:C$746,A876,'Base bordo'!B$2:B$746,B876,'Base bordo'!F$2:F$746,"PÁTIO EXTERNO"),0)+IFERROR(SUMIFS('Base bordo'!G$2:G$746,'Base bordo'!C$2:C$746,A876,'Base bordo'!B$2:B$746,B876,'Base bordo'!F$2:F$746,"PATIO - RESERVA"),0)+IFERROR(SUMIFS('Base bordo'!G$2:G$746,'Base bordo'!C$2:C$746,A876,'Base bordo'!B$2:B$746,B876,'Base bordo'!F$2:F$746,"MANOBRA CARRETAS-PATIO"),0)</f>
        <v>0</v>
      </c>
      <c r="J876" s="10">
        <f>IFERROR(SUMIFS('Base bordo'!G$2:G$746,'Base bordo'!C$2:C$746,A876,'Base bordo'!B$2:B$746,B876,'Base bordo'!F$2:F$746,"BALANÇA - ENTRADA"),0)+IFERROR(SUMIFS('Base bordo'!G$2:G$746,'Base bordo'!C$2:C$746,A876,'Base bordo'!B$2:B$746,B876,'Base bordo'!F$2:F$746,"BALANÇA - SAÍDA"),0)</f>
        <v>0</v>
      </c>
      <c r="K876" s="10">
        <f>IFERROR(SUMIFS('Base bordo'!G$2:G$746,'Base bordo'!C$2:C$746,A876,'Base bordo'!B$2:B$746,B876,'Base bordo'!F$2:F$746,"MAN PREVENTIVA - MECANICA"),0)+IFERROR(SUMIFS('Base bordo'!G$2:G$746,'Base bordo'!C$2:C$746,A876,'Base bordo'!B$2:B$746,B876,'Base bordo'!F$2:F$746,"MAN CORRETIVA - MECANICA"),0)</f>
        <v>0</v>
      </c>
      <c r="L876" s="10">
        <f>IFERROR(SUMIFS('Base bordo'!G$2:G$746,'Base bordo'!C$2:C$746,A876,'Base bordo'!B$2:B$746,B876,'Base bordo'!F$2:F$746,"MANUTENCAO - T O"),0)+IFERROR(SUMIFS('Base bordo'!G$2:G$746,'Base bordo'!C$2:C$746,A876,'Base bordo'!B$2:B$746,B876,'Base bordo'!F$2:F$746,"MANUTENCAO BORRACHARIA"),0)+IFERROR(SUMIFS('Base bordo'!G$2:G$746,'Base bordo'!C$2:C$746,A876,'Base bordo'!B$2:B$746,B876,'Base bordo'!F$2:F$746,"MANUTENCAO EXTERNA  CONCESSIONARIA"),0)+IFERROR(SUMIFS('Base bordo'!G$2:G$746,'Base bordo'!C$2:C$746,A876,'Base bordo'!B$2:B$746,B876,'Base bordo'!F$2:F$746,"MANUTENCAO TELEMETRIA"),0)</f>
        <v>0</v>
      </c>
      <c r="M876" s="10">
        <f>IFERROR(SUMIFS('Base bordo'!G$2:G$746,'Base bordo'!C$2:C$746,A876,'Base bordo'!B$2:B$746,B876,'Base bordo'!F$2:F$746,"AGUARDANDO MANUTENCAO"),0)</f>
        <v>0</v>
      </c>
      <c r="N876" s="10">
        <f>IFERROR(SUMIFS('Base bordo'!G$2:G$746,'Base bordo'!C$2:C$746,A876,'Base bordo'!B$2:B$746,B876,'Base bordo'!F$2:F$746,"SEM APONTAMENTO"),0)</f>
        <v>0</v>
      </c>
      <c r="O876" s="10">
        <f t="shared" si="90"/>
        <v>0</v>
      </c>
      <c r="P876" s="10">
        <f>IFERROR(SUMIFS('Base bordo'!G$2:G$746,'Base bordo'!C$2:C$746,A876,'Base bordo'!B$2:B$746,B876),0)</f>
        <v>4.4397222222222226</v>
      </c>
      <c r="Q876" s="10">
        <f>IFERROR(SUMIFS('Base bordo'!H$2:H$746,'Base bordo'!C$2:C$746,A876,'Base bordo'!B$2:B$746,B876,'Base bordo'!F$2:F$746,"DESLOCAMENTO VAZIO"),0)</f>
        <v>173737.47</v>
      </c>
      <c r="R876" s="10">
        <f>IFERROR(SUMIFS('Base bordo'!I$2:I$746,'Base bordo'!C$2:C$746,A876,'Base bordo'!B$2:B$746,B876,'Base bordo'!F$2:F$746,"DESLOCAMENTO VAZIO"),0)</f>
        <v>5488</v>
      </c>
      <c r="S876" s="30">
        <f t="shared" si="91"/>
        <v>31.657702259475219</v>
      </c>
      <c r="T876" s="10">
        <f>IFERROR(SUMIFS('Base bordo'!H$2:H$746,'Base bordo'!C$2:C$746,A876,'Base bordo'!B$2:B$746,B876,'Base bordo'!F$2:F$746,"DESLOCAMENTO CARREGADO"),0)</f>
        <v>130358.20999999999</v>
      </c>
      <c r="U876" s="10">
        <f>IFERROR(SUMIFS('Base bordo'!I$2:I$746,'Base bordo'!C$2:C$746,A876,'Base bordo'!B$2:B$746,B876,'Base bordo'!F$2:F$746,"DESLOCAMENTO CARREGADO"),0)</f>
        <v>5195</v>
      </c>
      <c r="V876" s="30">
        <f t="shared" si="92"/>
        <v>25.093014436958612</v>
      </c>
      <c r="W876" s="9">
        <f t="shared" si="93"/>
        <v>0.34336482512669708</v>
      </c>
      <c r="X876" s="9">
        <f t="shared" si="94"/>
        <v>0.32503284740036287</v>
      </c>
      <c r="Y876" s="9">
        <f t="shared" si="95"/>
        <v>0.33160232747294005</v>
      </c>
    </row>
    <row r="877" spans="1:25" ht="15" customHeight="1" x14ac:dyDescent="0.35">
      <c r="A877" s="52">
        <v>8013465</v>
      </c>
      <c r="B877" s="51">
        <v>46119</v>
      </c>
      <c r="C877" s="7" t="s">
        <v>124</v>
      </c>
      <c r="D877" s="10">
        <f>IFERROR(SUMIFS('Base bordo'!G$2:G$746,'Base bordo'!C$2:C$746,A877,'Base bordo'!B$2:B$746,B877,'Base bordo'!F$2:F$746,"DESLOCAMENTO VAZIO"),0)</f>
        <v>1.5244444444444445</v>
      </c>
      <c r="E877" s="10">
        <f>IFERROR(SUMIFS('Base bordo'!G$2:G$746,'Base bordo'!C$2:C$746,A877,'Base bordo'!B$2:B$746,B877,'Base bordo'!F$2:F$746,"DESLOCAMENTO CARREGADO"),0)</f>
        <v>1.4430555555555555</v>
      </c>
      <c r="F877" s="10">
        <f>IFERROR(SUMIFS('Base bordo'!G$2:G$746,'Base bordo'!C$2:C$746,A877,'Base bordo'!B$2:B$746,B877,'Base bordo'!F$2:F$746,"DESLOCAMENTO"),0)</f>
        <v>0</v>
      </c>
      <c r="G877" s="10">
        <f>IFERROR(SUMIFS('Base bordo'!G$2:G$746,'Base bordo'!C$2:C$746,A877,'Base bordo'!B$2:B$746,B877,'Base bordo'!F$2:F$746,"CARREGAMENTO"),0)</f>
        <v>0</v>
      </c>
      <c r="H877" s="10">
        <f>IFERROR(SUMIFS('Base bordo'!G$2:G$746,'Base bordo'!C$2:C$746,A877,'Base bordo'!B$2:B$746,B877,'Base bordo'!F$2:F$746,"AGUARDANDO TRANSBORDO"),0)</f>
        <v>1.4722222222222223</v>
      </c>
      <c r="I877" s="10">
        <f>IFERROR(SUMIFS('Base bordo'!G$2:G$746,'Base bordo'!C$2:C$746,A877,'Base bordo'!B$2:B$746,B877,'Base bordo'!F$2:F$746,"PÁTIO INTERNO"),0)+IFERROR(SUMIFS('Base bordo'!G$2:G$746,'Base bordo'!C$2:C$746,A877,'Base bordo'!B$2:B$746,B877,'Base bordo'!F$2:F$746,"PÁTIO EXTERNO"),0)+IFERROR(SUMIFS('Base bordo'!G$2:G$746,'Base bordo'!C$2:C$746,A877,'Base bordo'!B$2:B$746,B877,'Base bordo'!F$2:F$746,"PATIO - RESERVA"),0)+IFERROR(SUMIFS('Base bordo'!G$2:G$746,'Base bordo'!C$2:C$746,A877,'Base bordo'!B$2:B$746,B877,'Base bordo'!F$2:F$746,"MANOBRA CARRETAS-PATIO"),0)</f>
        <v>0</v>
      </c>
      <c r="J877" s="10">
        <f>IFERROR(SUMIFS('Base bordo'!G$2:G$746,'Base bordo'!C$2:C$746,A877,'Base bordo'!B$2:B$746,B877,'Base bordo'!F$2:F$746,"BALANÇA - ENTRADA"),0)+IFERROR(SUMIFS('Base bordo'!G$2:G$746,'Base bordo'!C$2:C$746,A877,'Base bordo'!B$2:B$746,B877,'Base bordo'!F$2:F$746,"BALANÇA - SAÍDA"),0)</f>
        <v>0</v>
      </c>
      <c r="K877" s="10">
        <f>IFERROR(SUMIFS('Base bordo'!G$2:G$746,'Base bordo'!C$2:C$746,A877,'Base bordo'!B$2:B$746,B877,'Base bordo'!F$2:F$746,"MAN PREVENTIVA - MECANICA"),0)+IFERROR(SUMIFS('Base bordo'!G$2:G$746,'Base bordo'!C$2:C$746,A877,'Base bordo'!B$2:B$746,B877,'Base bordo'!F$2:F$746,"MAN CORRETIVA - MECANICA"),0)</f>
        <v>0</v>
      </c>
      <c r="L877" s="10">
        <f>IFERROR(SUMIFS('Base bordo'!G$2:G$746,'Base bordo'!C$2:C$746,A877,'Base bordo'!B$2:B$746,B877,'Base bordo'!F$2:F$746,"MANUTENCAO - T O"),0)+IFERROR(SUMIFS('Base bordo'!G$2:G$746,'Base bordo'!C$2:C$746,A877,'Base bordo'!B$2:B$746,B877,'Base bordo'!F$2:F$746,"MANUTENCAO BORRACHARIA"),0)+IFERROR(SUMIFS('Base bordo'!G$2:G$746,'Base bordo'!C$2:C$746,A877,'Base bordo'!B$2:B$746,B877,'Base bordo'!F$2:F$746,"MANUTENCAO EXTERNA  CONCESSIONARIA"),0)+IFERROR(SUMIFS('Base bordo'!G$2:G$746,'Base bordo'!C$2:C$746,A877,'Base bordo'!B$2:B$746,B877,'Base bordo'!F$2:F$746,"MANUTENCAO TELEMETRIA"),0)</f>
        <v>0</v>
      </c>
      <c r="M877" s="10">
        <f>IFERROR(SUMIFS('Base bordo'!G$2:G$746,'Base bordo'!C$2:C$746,A877,'Base bordo'!B$2:B$746,B877,'Base bordo'!F$2:F$746,"AGUARDANDO MANUTENCAO"),0)</f>
        <v>0</v>
      </c>
      <c r="N877" s="10">
        <f>IFERROR(SUMIFS('Base bordo'!G$2:G$746,'Base bordo'!C$2:C$746,A877,'Base bordo'!B$2:B$746,B877,'Base bordo'!F$2:F$746,"SEM APONTAMENTO"),0)</f>
        <v>0</v>
      </c>
      <c r="O877" s="10">
        <f t="shared" si="90"/>
        <v>0</v>
      </c>
      <c r="P877" s="10">
        <f>IFERROR(SUMIFS('Base bordo'!G$2:G$746,'Base bordo'!C$2:C$746,A877,'Base bordo'!B$2:B$746,B877),0)</f>
        <v>4.4397222222222226</v>
      </c>
      <c r="Q877" s="10">
        <f>IFERROR(SUMIFS('Base bordo'!H$2:H$746,'Base bordo'!C$2:C$746,A877,'Base bordo'!B$2:B$746,B877,'Base bordo'!F$2:F$746,"DESLOCAMENTO VAZIO"),0)</f>
        <v>173737.47</v>
      </c>
      <c r="R877" s="10">
        <f>IFERROR(SUMIFS('Base bordo'!I$2:I$746,'Base bordo'!C$2:C$746,A877,'Base bordo'!B$2:B$746,B877,'Base bordo'!F$2:F$746,"DESLOCAMENTO VAZIO"),0)</f>
        <v>5488</v>
      </c>
      <c r="S877" s="30">
        <f t="shared" si="91"/>
        <v>31.657702259475219</v>
      </c>
      <c r="T877" s="10">
        <f>IFERROR(SUMIFS('Base bordo'!H$2:H$746,'Base bordo'!C$2:C$746,A877,'Base bordo'!B$2:B$746,B877,'Base bordo'!F$2:F$746,"DESLOCAMENTO CARREGADO"),0)</f>
        <v>130358.20999999999</v>
      </c>
      <c r="U877" s="10">
        <f>IFERROR(SUMIFS('Base bordo'!I$2:I$746,'Base bordo'!C$2:C$746,A877,'Base bordo'!B$2:B$746,B877,'Base bordo'!F$2:F$746,"DESLOCAMENTO CARREGADO"),0)</f>
        <v>5195</v>
      </c>
      <c r="V877" s="30">
        <f t="shared" si="92"/>
        <v>25.093014436958612</v>
      </c>
      <c r="W877" s="9">
        <f t="shared" si="93"/>
        <v>0.34336482512669708</v>
      </c>
      <c r="X877" s="9">
        <f t="shared" si="94"/>
        <v>0.32503284740036287</v>
      </c>
      <c r="Y877" s="9">
        <f t="shared" si="95"/>
        <v>0.33160232747294005</v>
      </c>
    </row>
    <row r="878" spans="1:25" ht="15" customHeight="1" x14ac:dyDescent="0.35">
      <c r="A878" s="52">
        <v>8013465</v>
      </c>
      <c r="B878" s="51">
        <v>46119</v>
      </c>
      <c r="C878" s="7" t="s">
        <v>124</v>
      </c>
      <c r="D878" s="10">
        <f>IFERROR(SUMIFS('Base bordo'!G$2:G$746,'Base bordo'!C$2:C$746,A878,'Base bordo'!B$2:B$746,B878,'Base bordo'!F$2:F$746,"DESLOCAMENTO VAZIO"),0)</f>
        <v>1.5244444444444445</v>
      </c>
      <c r="E878" s="10">
        <f>IFERROR(SUMIFS('Base bordo'!G$2:G$746,'Base bordo'!C$2:C$746,A878,'Base bordo'!B$2:B$746,B878,'Base bordo'!F$2:F$746,"DESLOCAMENTO CARREGADO"),0)</f>
        <v>1.4430555555555555</v>
      </c>
      <c r="F878" s="10">
        <f>IFERROR(SUMIFS('Base bordo'!G$2:G$746,'Base bordo'!C$2:C$746,A878,'Base bordo'!B$2:B$746,B878,'Base bordo'!F$2:F$746,"DESLOCAMENTO"),0)</f>
        <v>0</v>
      </c>
      <c r="G878" s="10">
        <f>IFERROR(SUMIFS('Base bordo'!G$2:G$746,'Base bordo'!C$2:C$746,A878,'Base bordo'!B$2:B$746,B878,'Base bordo'!F$2:F$746,"CARREGAMENTO"),0)</f>
        <v>0</v>
      </c>
      <c r="H878" s="10">
        <f>IFERROR(SUMIFS('Base bordo'!G$2:G$746,'Base bordo'!C$2:C$746,A878,'Base bordo'!B$2:B$746,B878,'Base bordo'!F$2:F$746,"AGUARDANDO TRANSBORDO"),0)</f>
        <v>1.4722222222222223</v>
      </c>
      <c r="I878" s="10">
        <f>IFERROR(SUMIFS('Base bordo'!G$2:G$746,'Base bordo'!C$2:C$746,A878,'Base bordo'!B$2:B$746,B878,'Base bordo'!F$2:F$746,"PÁTIO INTERNO"),0)+IFERROR(SUMIFS('Base bordo'!G$2:G$746,'Base bordo'!C$2:C$746,A878,'Base bordo'!B$2:B$746,B878,'Base bordo'!F$2:F$746,"PÁTIO EXTERNO"),0)+IFERROR(SUMIFS('Base bordo'!G$2:G$746,'Base bordo'!C$2:C$746,A878,'Base bordo'!B$2:B$746,B878,'Base bordo'!F$2:F$746,"PATIO - RESERVA"),0)+IFERROR(SUMIFS('Base bordo'!G$2:G$746,'Base bordo'!C$2:C$746,A878,'Base bordo'!B$2:B$746,B878,'Base bordo'!F$2:F$746,"MANOBRA CARRETAS-PATIO"),0)</f>
        <v>0</v>
      </c>
      <c r="J878" s="10">
        <f>IFERROR(SUMIFS('Base bordo'!G$2:G$746,'Base bordo'!C$2:C$746,A878,'Base bordo'!B$2:B$746,B878,'Base bordo'!F$2:F$746,"BALANÇA - ENTRADA"),0)+IFERROR(SUMIFS('Base bordo'!G$2:G$746,'Base bordo'!C$2:C$746,A878,'Base bordo'!B$2:B$746,B878,'Base bordo'!F$2:F$746,"BALANÇA - SAÍDA"),0)</f>
        <v>0</v>
      </c>
      <c r="K878" s="10">
        <f>IFERROR(SUMIFS('Base bordo'!G$2:G$746,'Base bordo'!C$2:C$746,A878,'Base bordo'!B$2:B$746,B878,'Base bordo'!F$2:F$746,"MAN PREVENTIVA - MECANICA"),0)+IFERROR(SUMIFS('Base bordo'!G$2:G$746,'Base bordo'!C$2:C$746,A878,'Base bordo'!B$2:B$746,B878,'Base bordo'!F$2:F$746,"MAN CORRETIVA - MECANICA"),0)</f>
        <v>0</v>
      </c>
      <c r="L878" s="10">
        <f>IFERROR(SUMIFS('Base bordo'!G$2:G$746,'Base bordo'!C$2:C$746,A878,'Base bordo'!B$2:B$746,B878,'Base bordo'!F$2:F$746,"MANUTENCAO - T O"),0)+IFERROR(SUMIFS('Base bordo'!G$2:G$746,'Base bordo'!C$2:C$746,A878,'Base bordo'!B$2:B$746,B878,'Base bordo'!F$2:F$746,"MANUTENCAO BORRACHARIA"),0)+IFERROR(SUMIFS('Base bordo'!G$2:G$746,'Base bordo'!C$2:C$746,A878,'Base bordo'!B$2:B$746,B878,'Base bordo'!F$2:F$746,"MANUTENCAO EXTERNA  CONCESSIONARIA"),0)+IFERROR(SUMIFS('Base bordo'!G$2:G$746,'Base bordo'!C$2:C$746,A878,'Base bordo'!B$2:B$746,B878,'Base bordo'!F$2:F$746,"MANUTENCAO TELEMETRIA"),0)</f>
        <v>0</v>
      </c>
      <c r="M878" s="10">
        <f>IFERROR(SUMIFS('Base bordo'!G$2:G$746,'Base bordo'!C$2:C$746,A878,'Base bordo'!B$2:B$746,B878,'Base bordo'!F$2:F$746,"AGUARDANDO MANUTENCAO"),0)</f>
        <v>0</v>
      </c>
      <c r="N878" s="10">
        <f>IFERROR(SUMIFS('Base bordo'!G$2:G$746,'Base bordo'!C$2:C$746,A878,'Base bordo'!B$2:B$746,B878,'Base bordo'!F$2:F$746,"SEM APONTAMENTO"),0)</f>
        <v>0</v>
      </c>
      <c r="O878" s="10">
        <f t="shared" si="90"/>
        <v>0</v>
      </c>
      <c r="P878" s="10">
        <f>IFERROR(SUMIFS('Base bordo'!G$2:G$746,'Base bordo'!C$2:C$746,A878,'Base bordo'!B$2:B$746,B878),0)</f>
        <v>4.4397222222222226</v>
      </c>
      <c r="Q878" s="10">
        <f>IFERROR(SUMIFS('Base bordo'!H$2:H$746,'Base bordo'!C$2:C$746,A878,'Base bordo'!B$2:B$746,B878,'Base bordo'!F$2:F$746,"DESLOCAMENTO VAZIO"),0)</f>
        <v>173737.47</v>
      </c>
      <c r="R878" s="10">
        <f>IFERROR(SUMIFS('Base bordo'!I$2:I$746,'Base bordo'!C$2:C$746,A878,'Base bordo'!B$2:B$746,B878,'Base bordo'!F$2:F$746,"DESLOCAMENTO VAZIO"),0)</f>
        <v>5488</v>
      </c>
      <c r="S878" s="30">
        <f t="shared" si="91"/>
        <v>31.657702259475219</v>
      </c>
      <c r="T878" s="10">
        <f>IFERROR(SUMIFS('Base bordo'!H$2:H$746,'Base bordo'!C$2:C$746,A878,'Base bordo'!B$2:B$746,B878,'Base bordo'!F$2:F$746,"DESLOCAMENTO CARREGADO"),0)</f>
        <v>130358.20999999999</v>
      </c>
      <c r="U878" s="10">
        <f>IFERROR(SUMIFS('Base bordo'!I$2:I$746,'Base bordo'!C$2:C$746,A878,'Base bordo'!B$2:B$746,B878,'Base bordo'!F$2:F$746,"DESLOCAMENTO CARREGADO"),0)</f>
        <v>5195</v>
      </c>
      <c r="V878" s="30">
        <f t="shared" si="92"/>
        <v>25.093014436958612</v>
      </c>
      <c r="W878" s="9">
        <f t="shared" si="93"/>
        <v>0.34336482512669708</v>
      </c>
      <c r="X878" s="9">
        <f t="shared" si="94"/>
        <v>0.32503284740036287</v>
      </c>
      <c r="Y878" s="9">
        <f t="shared" si="95"/>
        <v>0.33160232747294005</v>
      </c>
    </row>
    <row r="879" spans="1:25" ht="15" customHeight="1" x14ac:dyDescent="0.35">
      <c r="A879" s="52">
        <v>8013465</v>
      </c>
      <c r="B879" s="51">
        <v>46119</v>
      </c>
      <c r="C879" s="7" t="s">
        <v>124</v>
      </c>
      <c r="D879" s="10">
        <f>IFERROR(SUMIFS('Base bordo'!G$2:G$746,'Base bordo'!C$2:C$746,A879,'Base bordo'!B$2:B$746,B879,'Base bordo'!F$2:F$746,"DESLOCAMENTO VAZIO"),0)</f>
        <v>1.5244444444444445</v>
      </c>
      <c r="E879" s="10">
        <f>IFERROR(SUMIFS('Base bordo'!G$2:G$746,'Base bordo'!C$2:C$746,A879,'Base bordo'!B$2:B$746,B879,'Base bordo'!F$2:F$746,"DESLOCAMENTO CARREGADO"),0)</f>
        <v>1.4430555555555555</v>
      </c>
      <c r="F879" s="10">
        <f>IFERROR(SUMIFS('Base bordo'!G$2:G$746,'Base bordo'!C$2:C$746,A879,'Base bordo'!B$2:B$746,B879,'Base bordo'!F$2:F$746,"DESLOCAMENTO"),0)</f>
        <v>0</v>
      </c>
      <c r="G879" s="10">
        <f>IFERROR(SUMIFS('Base bordo'!G$2:G$746,'Base bordo'!C$2:C$746,A879,'Base bordo'!B$2:B$746,B879,'Base bordo'!F$2:F$746,"CARREGAMENTO"),0)</f>
        <v>0</v>
      </c>
      <c r="H879" s="10">
        <f>IFERROR(SUMIFS('Base bordo'!G$2:G$746,'Base bordo'!C$2:C$746,A879,'Base bordo'!B$2:B$746,B879,'Base bordo'!F$2:F$746,"AGUARDANDO TRANSBORDO"),0)</f>
        <v>1.4722222222222223</v>
      </c>
      <c r="I879" s="10">
        <f>IFERROR(SUMIFS('Base bordo'!G$2:G$746,'Base bordo'!C$2:C$746,A879,'Base bordo'!B$2:B$746,B879,'Base bordo'!F$2:F$746,"PÁTIO INTERNO"),0)+IFERROR(SUMIFS('Base bordo'!G$2:G$746,'Base bordo'!C$2:C$746,A879,'Base bordo'!B$2:B$746,B879,'Base bordo'!F$2:F$746,"PÁTIO EXTERNO"),0)+IFERROR(SUMIFS('Base bordo'!G$2:G$746,'Base bordo'!C$2:C$746,A879,'Base bordo'!B$2:B$746,B879,'Base bordo'!F$2:F$746,"PATIO - RESERVA"),0)+IFERROR(SUMIFS('Base bordo'!G$2:G$746,'Base bordo'!C$2:C$746,A879,'Base bordo'!B$2:B$746,B879,'Base bordo'!F$2:F$746,"MANOBRA CARRETAS-PATIO"),0)</f>
        <v>0</v>
      </c>
      <c r="J879" s="10">
        <f>IFERROR(SUMIFS('Base bordo'!G$2:G$746,'Base bordo'!C$2:C$746,A879,'Base bordo'!B$2:B$746,B879,'Base bordo'!F$2:F$746,"BALANÇA - ENTRADA"),0)+IFERROR(SUMIFS('Base bordo'!G$2:G$746,'Base bordo'!C$2:C$746,A879,'Base bordo'!B$2:B$746,B879,'Base bordo'!F$2:F$746,"BALANÇA - SAÍDA"),0)</f>
        <v>0</v>
      </c>
      <c r="K879" s="10">
        <f>IFERROR(SUMIFS('Base bordo'!G$2:G$746,'Base bordo'!C$2:C$746,A879,'Base bordo'!B$2:B$746,B879,'Base bordo'!F$2:F$746,"MAN PREVENTIVA - MECANICA"),0)+IFERROR(SUMIFS('Base bordo'!G$2:G$746,'Base bordo'!C$2:C$746,A879,'Base bordo'!B$2:B$746,B879,'Base bordo'!F$2:F$746,"MAN CORRETIVA - MECANICA"),0)</f>
        <v>0</v>
      </c>
      <c r="L879" s="10">
        <f>IFERROR(SUMIFS('Base bordo'!G$2:G$746,'Base bordo'!C$2:C$746,A879,'Base bordo'!B$2:B$746,B879,'Base bordo'!F$2:F$746,"MANUTENCAO - T O"),0)+IFERROR(SUMIFS('Base bordo'!G$2:G$746,'Base bordo'!C$2:C$746,A879,'Base bordo'!B$2:B$746,B879,'Base bordo'!F$2:F$746,"MANUTENCAO BORRACHARIA"),0)+IFERROR(SUMIFS('Base bordo'!G$2:G$746,'Base bordo'!C$2:C$746,A879,'Base bordo'!B$2:B$746,B879,'Base bordo'!F$2:F$746,"MANUTENCAO EXTERNA  CONCESSIONARIA"),0)+IFERROR(SUMIFS('Base bordo'!G$2:G$746,'Base bordo'!C$2:C$746,A879,'Base bordo'!B$2:B$746,B879,'Base bordo'!F$2:F$746,"MANUTENCAO TELEMETRIA"),0)</f>
        <v>0</v>
      </c>
      <c r="M879" s="10">
        <f>IFERROR(SUMIFS('Base bordo'!G$2:G$746,'Base bordo'!C$2:C$746,A879,'Base bordo'!B$2:B$746,B879,'Base bordo'!F$2:F$746,"AGUARDANDO MANUTENCAO"),0)</f>
        <v>0</v>
      </c>
      <c r="N879" s="10">
        <f>IFERROR(SUMIFS('Base bordo'!G$2:G$746,'Base bordo'!C$2:C$746,A879,'Base bordo'!B$2:B$746,B879,'Base bordo'!F$2:F$746,"SEM APONTAMENTO"),0)</f>
        <v>0</v>
      </c>
      <c r="O879" s="10">
        <f t="shared" si="90"/>
        <v>0</v>
      </c>
      <c r="P879" s="10">
        <f>IFERROR(SUMIFS('Base bordo'!G$2:G$746,'Base bordo'!C$2:C$746,A879,'Base bordo'!B$2:B$746,B879),0)</f>
        <v>4.4397222222222226</v>
      </c>
      <c r="Q879" s="10">
        <f>IFERROR(SUMIFS('Base bordo'!H$2:H$746,'Base bordo'!C$2:C$746,A879,'Base bordo'!B$2:B$746,B879,'Base bordo'!F$2:F$746,"DESLOCAMENTO VAZIO"),0)</f>
        <v>173737.47</v>
      </c>
      <c r="R879" s="10">
        <f>IFERROR(SUMIFS('Base bordo'!I$2:I$746,'Base bordo'!C$2:C$746,A879,'Base bordo'!B$2:B$746,B879,'Base bordo'!F$2:F$746,"DESLOCAMENTO VAZIO"),0)</f>
        <v>5488</v>
      </c>
      <c r="S879" s="30">
        <f t="shared" si="91"/>
        <v>31.657702259475219</v>
      </c>
      <c r="T879" s="10">
        <f>IFERROR(SUMIFS('Base bordo'!H$2:H$746,'Base bordo'!C$2:C$746,A879,'Base bordo'!B$2:B$746,B879,'Base bordo'!F$2:F$746,"DESLOCAMENTO CARREGADO"),0)</f>
        <v>130358.20999999999</v>
      </c>
      <c r="U879" s="10">
        <f>IFERROR(SUMIFS('Base bordo'!I$2:I$746,'Base bordo'!C$2:C$746,A879,'Base bordo'!B$2:B$746,B879,'Base bordo'!F$2:F$746,"DESLOCAMENTO CARREGADO"),0)</f>
        <v>5195</v>
      </c>
      <c r="V879" s="30">
        <f t="shared" si="92"/>
        <v>25.093014436958612</v>
      </c>
      <c r="W879" s="9">
        <f t="shared" si="93"/>
        <v>0.34336482512669708</v>
      </c>
      <c r="X879" s="9">
        <f t="shared" si="94"/>
        <v>0.32503284740036287</v>
      </c>
      <c r="Y879" s="9">
        <f t="shared" si="95"/>
        <v>0.33160232747294005</v>
      </c>
    </row>
    <row r="880" spans="1:25" ht="15" customHeight="1" x14ac:dyDescent="0.35">
      <c r="A880" s="52">
        <v>8013465</v>
      </c>
      <c r="B880" s="51">
        <v>46119</v>
      </c>
      <c r="C880" s="7" t="s">
        <v>124</v>
      </c>
      <c r="D880" s="10">
        <f>IFERROR(SUMIFS('Base bordo'!G$2:G$746,'Base bordo'!C$2:C$746,A880,'Base bordo'!B$2:B$746,B880,'Base bordo'!F$2:F$746,"DESLOCAMENTO VAZIO"),0)</f>
        <v>1.5244444444444445</v>
      </c>
      <c r="E880" s="10">
        <f>IFERROR(SUMIFS('Base bordo'!G$2:G$746,'Base bordo'!C$2:C$746,A880,'Base bordo'!B$2:B$746,B880,'Base bordo'!F$2:F$746,"DESLOCAMENTO CARREGADO"),0)</f>
        <v>1.4430555555555555</v>
      </c>
      <c r="F880" s="10">
        <f>IFERROR(SUMIFS('Base bordo'!G$2:G$746,'Base bordo'!C$2:C$746,A880,'Base bordo'!B$2:B$746,B880,'Base bordo'!F$2:F$746,"DESLOCAMENTO"),0)</f>
        <v>0</v>
      </c>
      <c r="G880" s="10">
        <f>IFERROR(SUMIFS('Base bordo'!G$2:G$746,'Base bordo'!C$2:C$746,A880,'Base bordo'!B$2:B$746,B880,'Base bordo'!F$2:F$746,"CARREGAMENTO"),0)</f>
        <v>0</v>
      </c>
      <c r="H880" s="10">
        <f>IFERROR(SUMIFS('Base bordo'!G$2:G$746,'Base bordo'!C$2:C$746,A880,'Base bordo'!B$2:B$746,B880,'Base bordo'!F$2:F$746,"AGUARDANDO TRANSBORDO"),0)</f>
        <v>1.4722222222222223</v>
      </c>
      <c r="I880" s="10">
        <f>IFERROR(SUMIFS('Base bordo'!G$2:G$746,'Base bordo'!C$2:C$746,A880,'Base bordo'!B$2:B$746,B880,'Base bordo'!F$2:F$746,"PÁTIO INTERNO"),0)+IFERROR(SUMIFS('Base bordo'!G$2:G$746,'Base bordo'!C$2:C$746,A880,'Base bordo'!B$2:B$746,B880,'Base bordo'!F$2:F$746,"PÁTIO EXTERNO"),0)+IFERROR(SUMIFS('Base bordo'!G$2:G$746,'Base bordo'!C$2:C$746,A880,'Base bordo'!B$2:B$746,B880,'Base bordo'!F$2:F$746,"PATIO - RESERVA"),0)+IFERROR(SUMIFS('Base bordo'!G$2:G$746,'Base bordo'!C$2:C$746,A880,'Base bordo'!B$2:B$746,B880,'Base bordo'!F$2:F$746,"MANOBRA CARRETAS-PATIO"),0)</f>
        <v>0</v>
      </c>
      <c r="J880" s="10">
        <f>IFERROR(SUMIFS('Base bordo'!G$2:G$746,'Base bordo'!C$2:C$746,A880,'Base bordo'!B$2:B$746,B880,'Base bordo'!F$2:F$746,"BALANÇA - ENTRADA"),0)+IFERROR(SUMIFS('Base bordo'!G$2:G$746,'Base bordo'!C$2:C$746,A880,'Base bordo'!B$2:B$746,B880,'Base bordo'!F$2:F$746,"BALANÇA - SAÍDA"),0)</f>
        <v>0</v>
      </c>
      <c r="K880" s="10">
        <f>IFERROR(SUMIFS('Base bordo'!G$2:G$746,'Base bordo'!C$2:C$746,A880,'Base bordo'!B$2:B$746,B880,'Base bordo'!F$2:F$746,"MAN PREVENTIVA - MECANICA"),0)+IFERROR(SUMIFS('Base bordo'!G$2:G$746,'Base bordo'!C$2:C$746,A880,'Base bordo'!B$2:B$746,B880,'Base bordo'!F$2:F$746,"MAN CORRETIVA - MECANICA"),0)</f>
        <v>0</v>
      </c>
      <c r="L880" s="10">
        <f>IFERROR(SUMIFS('Base bordo'!G$2:G$746,'Base bordo'!C$2:C$746,A880,'Base bordo'!B$2:B$746,B880,'Base bordo'!F$2:F$746,"MANUTENCAO - T O"),0)+IFERROR(SUMIFS('Base bordo'!G$2:G$746,'Base bordo'!C$2:C$746,A880,'Base bordo'!B$2:B$746,B880,'Base bordo'!F$2:F$746,"MANUTENCAO BORRACHARIA"),0)+IFERROR(SUMIFS('Base bordo'!G$2:G$746,'Base bordo'!C$2:C$746,A880,'Base bordo'!B$2:B$746,B880,'Base bordo'!F$2:F$746,"MANUTENCAO EXTERNA  CONCESSIONARIA"),0)+IFERROR(SUMIFS('Base bordo'!G$2:G$746,'Base bordo'!C$2:C$746,A880,'Base bordo'!B$2:B$746,B880,'Base bordo'!F$2:F$746,"MANUTENCAO TELEMETRIA"),0)</f>
        <v>0</v>
      </c>
      <c r="M880" s="10">
        <f>IFERROR(SUMIFS('Base bordo'!G$2:G$746,'Base bordo'!C$2:C$746,A880,'Base bordo'!B$2:B$746,B880,'Base bordo'!F$2:F$746,"AGUARDANDO MANUTENCAO"),0)</f>
        <v>0</v>
      </c>
      <c r="N880" s="10">
        <f>IFERROR(SUMIFS('Base bordo'!G$2:G$746,'Base bordo'!C$2:C$746,A880,'Base bordo'!B$2:B$746,B880,'Base bordo'!F$2:F$746,"SEM APONTAMENTO"),0)</f>
        <v>0</v>
      </c>
      <c r="O880" s="10">
        <f t="shared" si="90"/>
        <v>0</v>
      </c>
      <c r="P880" s="10">
        <f>IFERROR(SUMIFS('Base bordo'!G$2:G$746,'Base bordo'!C$2:C$746,A880,'Base bordo'!B$2:B$746,B880),0)</f>
        <v>4.4397222222222226</v>
      </c>
      <c r="Q880" s="10">
        <f>IFERROR(SUMIFS('Base bordo'!H$2:H$746,'Base bordo'!C$2:C$746,A880,'Base bordo'!B$2:B$746,B880,'Base bordo'!F$2:F$746,"DESLOCAMENTO VAZIO"),0)</f>
        <v>173737.47</v>
      </c>
      <c r="R880" s="10">
        <f>IFERROR(SUMIFS('Base bordo'!I$2:I$746,'Base bordo'!C$2:C$746,A880,'Base bordo'!B$2:B$746,B880,'Base bordo'!F$2:F$746,"DESLOCAMENTO VAZIO"),0)</f>
        <v>5488</v>
      </c>
      <c r="S880" s="30">
        <f t="shared" si="91"/>
        <v>31.657702259475219</v>
      </c>
      <c r="T880" s="10">
        <f>IFERROR(SUMIFS('Base bordo'!H$2:H$746,'Base bordo'!C$2:C$746,A880,'Base bordo'!B$2:B$746,B880,'Base bordo'!F$2:F$746,"DESLOCAMENTO CARREGADO"),0)</f>
        <v>130358.20999999999</v>
      </c>
      <c r="U880" s="10">
        <f>IFERROR(SUMIFS('Base bordo'!I$2:I$746,'Base bordo'!C$2:C$746,A880,'Base bordo'!B$2:B$746,B880,'Base bordo'!F$2:F$746,"DESLOCAMENTO CARREGADO"),0)</f>
        <v>5195</v>
      </c>
      <c r="V880" s="30">
        <f t="shared" si="92"/>
        <v>25.093014436958612</v>
      </c>
      <c r="W880" s="9">
        <f t="shared" si="93"/>
        <v>0.34336482512669708</v>
      </c>
      <c r="X880" s="9">
        <f t="shared" si="94"/>
        <v>0.32503284740036287</v>
      </c>
      <c r="Y880" s="9">
        <f t="shared" si="95"/>
        <v>0.33160232747294005</v>
      </c>
    </row>
    <row r="881" spans="1:25" ht="15" customHeight="1" x14ac:dyDescent="0.35">
      <c r="A881" s="52">
        <v>8013465</v>
      </c>
      <c r="B881" s="51">
        <v>46119</v>
      </c>
      <c r="C881" s="7" t="s">
        <v>124</v>
      </c>
      <c r="D881" s="10">
        <f>IFERROR(SUMIFS('Base bordo'!G$2:G$746,'Base bordo'!C$2:C$746,A881,'Base bordo'!B$2:B$746,B881,'Base bordo'!F$2:F$746,"DESLOCAMENTO VAZIO"),0)</f>
        <v>1.5244444444444445</v>
      </c>
      <c r="E881" s="10">
        <f>IFERROR(SUMIFS('Base bordo'!G$2:G$746,'Base bordo'!C$2:C$746,A881,'Base bordo'!B$2:B$746,B881,'Base bordo'!F$2:F$746,"DESLOCAMENTO CARREGADO"),0)</f>
        <v>1.4430555555555555</v>
      </c>
      <c r="F881" s="10">
        <f>IFERROR(SUMIFS('Base bordo'!G$2:G$746,'Base bordo'!C$2:C$746,A881,'Base bordo'!B$2:B$746,B881,'Base bordo'!F$2:F$746,"DESLOCAMENTO"),0)</f>
        <v>0</v>
      </c>
      <c r="G881" s="10">
        <f>IFERROR(SUMIFS('Base bordo'!G$2:G$746,'Base bordo'!C$2:C$746,A881,'Base bordo'!B$2:B$746,B881,'Base bordo'!F$2:F$746,"CARREGAMENTO"),0)</f>
        <v>0</v>
      </c>
      <c r="H881" s="10">
        <f>IFERROR(SUMIFS('Base bordo'!G$2:G$746,'Base bordo'!C$2:C$746,A881,'Base bordo'!B$2:B$746,B881,'Base bordo'!F$2:F$746,"AGUARDANDO TRANSBORDO"),0)</f>
        <v>1.4722222222222223</v>
      </c>
      <c r="I881" s="10">
        <f>IFERROR(SUMIFS('Base bordo'!G$2:G$746,'Base bordo'!C$2:C$746,A881,'Base bordo'!B$2:B$746,B881,'Base bordo'!F$2:F$746,"PÁTIO INTERNO"),0)+IFERROR(SUMIFS('Base bordo'!G$2:G$746,'Base bordo'!C$2:C$746,A881,'Base bordo'!B$2:B$746,B881,'Base bordo'!F$2:F$746,"PÁTIO EXTERNO"),0)+IFERROR(SUMIFS('Base bordo'!G$2:G$746,'Base bordo'!C$2:C$746,A881,'Base bordo'!B$2:B$746,B881,'Base bordo'!F$2:F$746,"PATIO - RESERVA"),0)+IFERROR(SUMIFS('Base bordo'!G$2:G$746,'Base bordo'!C$2:C$746,A881,'Base bordo'!B$2:B$746,B881,'Base bordo'!F$2:F$746,"MANOBRA CARRETAS-PATIO"),0)</f>
        <v>0</v>
      </c>
      <c r="J881" s="10">
        <f>IFERROR(SUMIFS('Base bordo'!G$2:G$746,'Base bordo'!C$2:C$746,A881,'Base bordo'!B$2:B$746,B881,'Base bordo'!F$2:F$746,"BALANÇA - ENTRADA"),0)+IFERROR(SUMIFS('Base bordo'!G$2:G$746,'Base bordo'!C$2:C$746,A881,'Base bordo'!B$2:B$746,B881,'Base bordo'!F$2:F$746,"BALANÇA - SAÍDA"),0)</f>
        <v>0</v>
      </c>
      <c r="K881" s="10">
        <f>IFERROR(SUMIFS('Base bordo'!G$2:G$746,'Base bordo'!C$2:C$746,A881,'Base bordo'!B$2:B$746,B881,'Base bordo'!F$2:F$746,"MAN PREVENTIVA - MECANICA"),0)+IFERROR(SUMIFS('Base bordo'!G$2:G$746,'Base bordo'!C$2:C$746,A881,'Base bordo'!B$2:B$746,B881,'Base bordo'!F$2:F$746,"MAN CORRETIVA - MECANICA"),0)</f>
        <v>0</v>
      </c>
      <c r="L881" s="10">
        <f>IFERROR(SUMIFS('Base bordo'!G$2:G$746,'Base bordo'!C$2:C$746,A881,'Base bordo'!B$2:B$746,B881,'Base bordo'!F$2:F$746,"MANUTENCAO - T O"),0)+IFERROR(SUMIFS('Base bordo'!G$2:G$746,'Base bordo'!C$2:C$746,A881,'Base bordo'!B$2:B$746,B881,'Base bordo'!F$2:F$746,"MANUTENCAO BORRACHARIA"),0)+IFERROR(SUMIFS('Base bordo'!G$2:G$746,'Base bordo'!C$2:C$746,A881,'Base bordo'!B$2:B$746,B881,'Base bordo'!F$2:F$746,"MANUTENCAO EXTERNA  CONCESSIONARIA"),0)+IFERROR(SUMIFS('Base bordo'!G$2:G$746,'Base bordo'!C$2:C$746,A881,'Base bordo'!B$2:B$746,B881,'Base bordo'!F$2:F$746,"MANUTENCAO TELEMETRIA"),0)</f>
        <v>0</v>
      </c>
      <c r="M881" s="10">
        <f>IFERROR(SUMIFS('Base bordo'!G$2:G$746,'Base bordo'!C$2:C$746,A881,'Base bordo'!B$2:B$746,B881,'Base bordo'!F$2:F$746,"AGUARDANDO MANUTENCAO"),0)</f>
        <v>0</v>
      </c>
      <c r="N881" s="10">
        <f>IFERROR(SUMIFS('Base bordo'!G$2:G$746,'Base bordo'!C$2:C$746,A881,'Base bordo'!B$2:B$746,B881,'Base bordo'!F$2:F$746,"SEM APONTAMENTO"),0)</f>
        <v>0</v>
      </c>
      <c r="O881" s="10">
        <f t="shared" si="90"/>
        <v>0</v>
      </c>
      <c r="P881" s="10">
        <f>IFERROR(SUMIFS('Base bordo'!G$2:G$746,'Base bordo'!C$2:C$746,A881,'Base bordo'!B$2:B$746,B881),0)</f>
        <v>4.4397222222222226</v>
      </c>
      <c r="Q881" s="10">
        <f>IFERROR(SUMIFS('Base bordo'!H$2:H$746,'Base bordo'!C$2:C$746,A881,'Base bordo'!B$2:B$746,B881,'Base bordo'!F$2:F$746,"DESLOCAMENTO VAZIO"),0)</f>
        <v>173737.47</v>
      </c>
      <c r="R881" s="10">
        <f>IFERROR(SUMIFS('Base bordo'!I$2:I$746,'Base bordo'!C$2:C$746,A881,'Base bordo'!B$2:B$746,B881,'Base bordo'!F$2:F$746,"DESLOCAMENTO VAZIO"),0)</f>
        <v>5488</v>
      </c>
      <c r="S881" s="30">
        <f t="shared" si="91"/>
        <v>31.657702259475219</v>
      </c>
      <c r="T881" s="10">
        <f>IFERROR(SUMIFS('Base bordo'!H$2:H$746,'Base bordo'!C$2:C$746,A881,'Base bordo'!B$2:B$746,B881,'Base bordo'!F$2:F$746,"DESLOCAMENTO CARREGADO"),0)</f>
        <v>130358.20999999999</v>
      </c>
      <c r="U881" s="10">
        <f>IFERROR(SUMIFS('Base bordo'!I$2:I$746,'Base bordo'!C$2:C$746,A881,'Base bordo'!B$2:B$746,B881,'Base bordo'!F$2:F$746,"DESLOCAMENTO CARREGADO"),0)</f>
        <v>5195</v>
      </c>
      <c r="V881" s="30">
        <f t="shared" si="92"/>
        <v>25.093014436958612</v>
      </c>
      <c r="W881" s="9">
        <f t="shared" si="93"/>
        <v>0.34336482512669708</v>
      </c>
      <c r="X881" s="9">
        <f t="shared" si="94"/>
        <v>0.32503284740036287</v>
      </c>
      <c r="Y881" s="9">
        <f t="shared" si="95"/>
        <v>0.33160232747294005</v>
      </c>
    </row>
    <row r="882" spans="1:25" ht="15" customHeight="1" x14ac:dyDescent="0.35">
      <c r="A882" s="52">
        <v>8013468</v>
      </c>
      <c r="B882" s="51">
        <v>46119</v>
      </c>
      <c r="C882" s="7" t="s">
        <v>124</v>
      </c>
      <c r="D882" s="10">
        <f>IFERROR(SUMIFS('Base bordo'!G$2:G$746,'Base bordo'!C$2:C$746,A882,'Base bordo'!B$2:B$746,B882,'Base bordo'!F$2:F$746,"DESLOCAMENTO VAZIO"),0)</f>
        <v>1.4213888888888888</v>
      </c>
      <c r="E882" s="10">
        <f>IFERROR(SUMIFS('Base bordo'!G$2:G$746,'Base bordo'!C$2:C$746,A882,'Base bordo'!B$2:B$746,B882,'Base bordo'!F$2:F$746,"DESLOCAMENTO CARREGADO"),0)</f>
        <v>1.9991666666666668</v>
      </c>
      <c r="F882" s="10">
        <f>IFERROR(SUMIFS('Base bordo'!G$2:G$746,'Base bordo'!C$2:C$746,A882,'Base bordo'!B$2:B$746,B882,'Base bordo'!F$2:F$746,"DESLOCAMENTO"),0)</f>
        <v>0</v>
      </c>
      <c r="G882" s="10">
        <f>IFERROR(SUMIFS('Base bordo'!G$2:G$746,'Base bordo'!C$2:C$746,A882,'Base bordo'!B$2:B$746,B882,'Base bordo'!F$2:F$746,"CARREGAMENTO"),0)</f>
        <v>0</v>
      </c>
      <c r="H882" s="10">
        <f>IFERROR(SUMIFS('Base bordo'!G$2:G$746,'Base bordo'!C$2:C$746,A882,'Base bordo'!B$2:B$746,B882,'Base bordo'!F$2:F$746,"AGUARDANDO TRANSBORDO"),0)</f>
        <v>0.63555555555555554</v>
      </c>
      <c r="I882" s="10">
        <f>IFERROR(SUMIFS('Base bordo'!G$2:G$746,'Base bordo'!C$2:C$746,A882,'Base bordo'!B$2:B$746,B882,'Base bordo'!F$2:F$746,"PÁTIO INTERNO"),0)+IFERROR(SUMIFS('Base bordo'!G$2:G$746,'Base bordo'!C$2:C$746,A882,'Base bordo'!B$2:B$746,B882,'Base bordo'!F$2:F$746,"PÁTIO EXTERNO"),0)+IFERROR(SUMIFS('Base bordo'!G$2:G$746,'Base bordo'!C$2:C$746,A882,'Base bordo'!B$2:B$746,B882,'Base bordo'!F$2:F$746,"PATIO - RESERVA"),0)+IFERROR(SUMIFS('Base bordo'!G$2:G$746,'Base bordo'!C$2:C$746,A882,'Base bordo'!B$2:B$746,B882,'Base bordo'!F$2:F$746,"MANOBRA CARRETAS-PATIO"),0)</f>
        <v>0.58444444444444443</v>
      </c>
      <c r="J882" s="10">
        <f>IFERROR(SUMIFS('Base bordo'!G$2:G$746,'Base bordo'!C$2:C$746,A882,'Base bordo'!B$2:B$746,B882,'Base bordo'!F$2:F$746,"BALANÇA - ENTRADA"),0)+IFERROR(SUMIFS('Base bordo'!G$2:G$746,'Base bordo'!C$2:C$746,A882,'Base bordo'!B$2:B$746,B882,'Base bordo'!F$2:F$746,"BALANÇA - SAÍDA"),0)</f>
        <v>5.5555555555555558E-3</v>
      </c>
      <c r="K882" s="10">
        <f>IFERROR(SUMIFS('Base bordo'!G$2:G$746,'Base bordo'!C$2:C$746,A882,'Base bordo'!B$2:B$746,B882,'Base bordo'!F$2:F$746,"MAN PREVENTIVA - MECANICA"),0)+IFERROR(SUMIFS('Base bordo'!G$2:G$746,'Base bordo'!C$2:C$746,A882,'Base bordo'!B$2:B$746,B882,'Base bordo'!F$2:F$746,"MAN CORRETIVA - MECANICA"),0)</f>
        <v>0</v>
      </c>
      <c r="L882" s="10">
        <f>IFERROR(SUMIFS('Base bordo'!G$2:G$746,'Base bordo'!C$2:C$746,A882,'Base bordo'!B$2:B$746,B882,'Base bordo'!F$2:F$746,"MANUTENCAO - T O"),0)+IFERROR(SUMIFS('Base bordo'!G$2:G$746,'Base bordo'!C$2:C$746,A882,'Base bordo'!B$2:B$746,B882,'Base bordo'!F$2:F$746,"MANUTENCAO BORRACHARIA"),0)+IFERROR(SUMIFS('Base bordo'!G$2:G$746,'Base bordo'!C$2:C$746,A882,'Base bordo'!B$2:B$746,B882,'Base bordo'!F$2:F$746,"MANUTENCAO EXTERNA  CONCESSIONARIA"),0)+IFERROR(SUMIFS('Base bordo'!G$2:G$746,'Base bordo'!C$2:C$746,A882,'Base bordo'!B$2:B$746,B882,'Base bordo'!F$2:F$746,"MANUTENCAO TELEMETRIA"),0)</f>
        <v>0</v>
      </c>
      <c r="M882" s="10">
        <f>IFERROR(SUMIFS('Base bordo'!G$2:G$746,'Base bordo'!C$2:C$746,A882,'Base bordo'!B$2:B$746,B882,'Base bordo'!F$2:F$746,"AGUARDANDO MANUTENCAO"),0)</f>
        <v>0</v>
      </c>
      <c r="N882" s="10">
        <f>IFERROR(SUMIFS('Base bordo'!G$2:G$746,'Base bordo'!C$2:C$746,A882,'Base bordo'!B$2:B$746,B882,'Base bordo'!F$2:F$746,"SEM APONTAMENTO"),0)</f>
        <v>0</v>
      </c>
      <c r="O882" s="10">
        <f t="shared" si="90"/>
        <v>0</v>
      </c>
      <c r="P882" s="10">
        <f>IFERROR(SUMIFS('Base bordo'!G$2:G$746,'Base bordo'!C$2:C$746,A882,'Base bordo'!B$2:B$746,B882),0)</f>
        <v>4.6461111111111109</v>
      </c>
      <c r="Q882" s="10">
        <f>IFERROR(SUMIFS('Base bordo'!H$2:H$746,'Base bordo'!C$2:C$746,A882,'Base bordo'!B$2:B$746,B882,'Base bordo'!F$2:F$746,"DESLOCAMENTO VAZIO"),0)</f>
        <v>179137.35</v>
      </c>
      <c r="R882" s="10">
        <f>IFERROR(SUMIFS('Base bordo'!I$2:I$746,'Base bordo'!C$2:C$746,A882,'Base bordo'!B$2:B$746,B882,'Base bordo'!F$2:F$746,"DESLOCAMENTO VAZIO"),0)</f>
        <v>5117</v>
      </c>
      <c r="S882" s="30">
        <f t="shared" si="91"/>
        <v>35.008276333789333</v>
      </c>
      <c r="T882" s="10">
        <f>IFERROR(SUMIFS('Base bordo'!H$2:H$746,'Base bordo'!C$2:C$746,A882,'Base bordo'!B$2:B$746,B882,'Base bordo'!F$2:F$746,"DESLOCAMENTO CARREGADO"),0)</f>
        <v>170577.91</v>
      </c>
      <c r="U882" s="10">
        <f>IFERROR(SUMIFS('Base bordo'!I$2:I$746,'Base bordo'!C$2:C$746,A882,'Base bordo'!B$2:B$746,B882,'Base bordo'!F$2:F$746,"DESLOCAMENTO CARREGADO"),0)</f>
        <v>7197</v>
      </c>
      <c r="V882" s="30">
        <f t="shared" si="92"/>
        <v>23.701251910518273</v>
      </c>
      <c r="W882" s="9">
        <f t="shared" si="93"/>
        <v>0.30593088604567736</v>
      </c>
      <c r="X882" s="9">
        <f t="shared" si="94"/>
        <v>0.43028817410020331</v>
      </c>
      <c r="Y882" s="9">
        <f t="shared" si="95"/>
        <v>0.26378093985411932</v>
      </c>
    </row>
    <row r="883" spans="1:25" ht="15" customHeight="1" x14ac:dyDescent="0.35">
      <c r="A883" s="52">
        <v>8013468</v>
      </c>
      <c r="B883" s="51">
        <v>46119</v>
      </c>
      <c r="C883" s="7" t="s">
        <v>124</v>
      </c>
      <c r="D883" s="10">
        <f>IFERROR(SUMIFS('Base bordo'!G$2:G$746,'Base bordo'!C$2:C$746,A883,'Base bordo'!B$2:B$746,B883,'Base bordo'!F$2:F$746,"DESLOCAMENTO VAZIO"),0)</f>
        <v>1.4213888888888888</v>
      </c>
      <c r="E883" s="10">
        <f>IFERROR(SUMIFS('Base bordo'!G$2:G$746,'Base bordo'!C$2:C$746,A883,'Base bordo'!B$2:B$746,B883,'Base bordo'!F$2:F$746,"DESLOCAMENTO CARREGADO"),0)</f>
        <v>1.9991666666666668</v>
      </c>
      <c r="F883" s="10">
        <f>IFERROR(SUMIFS('Base bordo'!G$2:G$746,'Base bordo'!C$2:C$746,A883,'Base bordo'!B$2:B$746,B883,'Base bordo'!F$2:F$746,"DESLOCAMENTO"),0)</f>
        <v>0</v>
      </c>
      <c r="G883" s="10">
        <f>IFERROR(SUMIFS('Base bordo'!G$2:G$746,'Base bordo'!C$2:C$746,A883,'Base bordo'!B$2:B$746,B883,'Base bordo'!F$2:F$746,"CARREGAMENTO"),0)</f>
        <v>0</v>
      </c>
      <c r="H883" s="10">
        <f>IFERROR(SUMIFS('Base bordo'!G$2:G$746,'Base bordo'!C$2:C$746,A883,'Base bordo'!B$2:B$746,B883,'Base bordo'!F$2:F$746,"AGUARDANDO TRANSBORDO"),0)</f>
        <v>0.63555555555555554</v>
      </c>
      <c r="I883" s="10">
        <f>IFERROR(SUMIFS('Base bordo'!G$2:G$746,'Base bordo'!C$2:C$746,A883,'Base bordo'!B$2:B$746,B883,'Base bordo'!F$2:F$746,"PÁTIO INTERNO"),0)+IFERROR(SUMIFS('Base bordo'!G$2:G$746,'Base bordo'!C$2:C$746,A883,'Base bordo'!B$2:B$746,B883,'Base bordo'!F$2:F$746,"PÁTIO EXTERNO"),0)+IFERROR(SUMIFS('Base bordo'!G$2:G$746,'Base bordo'!C$2:C$746,A883,'Base bordo'!B$2:B$746,B883,'Base bordo'!F$2:F$746,"PATIO - RESERVA"),0)+IFERROR(SUMIFS('Base bordo'!G$2:G$746,'Base bordo'!C$2:C$746,A883,'Base bordo'!B$2:B$746,B883,'Base bordo'!F$2:F$746,"MANOBRA CARRETAS-PATIO"),0)</f>
        <v>0.58444444444444443</v>
      </c>
      <c r="J883" s="10">
        <f>IFERROR(SUMIFS('Base bordo'!G$2:G$746,'Base bordo'!C$2:C$746,A883,'Base bordo'!B$2:B$746,B883,'Base bordo'!F$2:F$746,"BALANÇA - ENTRADA"),0)+IFERROR(SUMIFS('Base bordo'!G$2:G$746,'Base bordo'!C$2:C$746,A883,'Base bordo'!B$2:B$746,B883,'Base bordo'!F$2:F$746,"BALANÇA - SAÍDA"),0)</f>
        <v>5.5555555555555558E-3</v>
      </c>
      <c r="K883" s="10">
        <f>IFERROR(SUMIFS('Base bordo'!G$2:G$746,'Base bordo'!C$2:C$746,A883,'Base bordo'!B$2:B$746,B883,'Base bordo'!F$2:F$746,"MAN PREVENTIVA - MECANICA"),0)+IFERROR(SUMIFS('Base bordo'!G$2:G$746,'Base bordo'!C$2:C$746,A883,'Base bordo'!B$2:B$746,B883,'Base bordo'!F$2:F$746,"MAN CORRETIVA - MECANICA"),0)</f>
        <v>0</v>
      </c>
      <c r="L883" s="10">
        <f>IFERROR(SUMIFS('Base bordo'!G$2:G$746,'Base bordo'!C$2:C$746,A883,'Base bordo'!B$2:B$746,B883,'Base bordo'!F$2:F$746,"MANUTENCAO - T O"),0)+IFERROR(SUMIFS('Base bordo'!G$2:G$746,'Base bordo'!C$2:C$746,A883,'Base bordo'!B$2:B$746,B883,'Base bordo'!F$2:F$746,"MANUTENCAO BORRACHARIA"),0)+IFERROR(SUMIFS('Base bordo'!G$2:G$746,'Base bordo'!C$2:C$746,A883,'Base bordo'!B$2:B$746,B883,'Base bordo'!F$2:F$746,"MANUTENCAO EXTERNA  CONCESSIONARIA"),0)+IFERROR(SUMIFS('Base bordo'!G$2:G$746,'Base bordo'!C$2:C$746,A883,'Base bordo'!B$2:B$746,B883,'Base bordo'!F$2:F$746,"MANUTENCAO TELEMETRIA"),0)</f>
        <v>0</v>
      </c>
      <c r="M883" s="10">
        <f>IFERROR(SUMIFS('Base bordo'!G$2:G$746,'Base bordo'!C$2:C$746,A883,'Base bordo'!B$2:B$746,B883,'Base bordo'!F$2:F$746,"AGUARDANDO MANUTENCAO"),0)</f>
        <v>0</v>
      </c>
      <c r="N883" s="10">
        <f>IFERROR(SUMIFS('Base bordo'!G$2:G$746,'Base bordo'!C$2:C$746,A883,'Base bordo'!B$2:B$746,B883,'Base bordo'!F$2:F$746,"SEM APONTAMENTO"),0)</f>
        <v>0</v>
      </c>
      <c r="O883" s="10">
        <f t="shared" si="90"/>
        <v>0</v>
      </c>
      <c r="P883" s="10">
        <f>IFERROR(SUMIFS('Base bordo'!G$2:G$746,'Base bordo'!C$2:C$746,A883,'Base bordo'!B$2:B$746,B883),0)</f>
        <v>4.6461111111111109</v>
      </c>
      <c r="Q883" s="10">
        <f>IFERROR(SUMIFS('Base bordo'!H$2:H$746,'Base bordo'!C$2:C$746,A883,'Base bordo'!B$2:B$746,B883,'Base bordo'!F$2:F$746,"DESLOCAMENTO VAZIO"),0)</f>
        <v>179137.35</v>
      </c>
      <c r="R883" s="10">
        <f>IFERROR(SUMIFS('Base bordo'!I$2:I$746,'Base bordo'!C$2:C$746,A883,'Base bordo'!B$2:B$746,B883,'Base bordo'!F$2:F$746,"DESLOCAMENTO VAZIO"),0)</f>
        <v>5117</v>
      </c>
      <c r="S883" s="30">
        <f t="shared" si="91"/>
        <v>35.008276333789333</v>
      </c>
      <c r="T883" s="10">
        <f>IFERROR(SUMIFS('Base bordo'!H$2:H$746,'Base bordo'!C$2:C$746,A883,'Base bordo'!B$2:B$746,B883,'Base bordo'!F$2:F$746,"DESLOCAMENTO CARREGADO"),0)</f>
        <v>170577.91</v>
      </c>
      <c r="U883" s="10">
        <f>IFERROR(SUMIFS('Base bordo'!I$2:I$746,'Base bordo'!C$2:C$746,A883,'Base bordo'!B$2:B$746,B883,'Base bordo'!F$2:F$746,"DESLOCAMENTO CARREGADO"),0)</f>
        <v>7197</v>
      </c>
      <c r="V883" s="30">
        <f t="shared" si="92"/>
        <v>23.701251910518273</v>
      </c>
      <c r="W883" s="9">
        <f t="shared" si="93"/>
        <v>0.30593088604567736</v>
      </c>
      <c r="X883" s="9">
        <f t="shared" si="94"/>
        <v>0.43028817410020331</v>
      </c>
      <c r="Y883" s="9">
        <f t="shared" si="95"/>
        <v>0.26378093985411932</v>
      </c>
    </row>
    <row r="884" spans="1:25" ht="15" customHeight="1" x14ac:dyDescent="0.35">
      <c r="A884" s="52">
        <v>8013468</v>
      </c>
      <c r="B884" s="51">
        <v>46119</v>
      </c>
      <c r="C884" s="7" t="s">
        <v>124</v>
      </c>
      <c r="D884" s="10">
        <f>IFERROR(SUMIFS('Base bordo'!G$2:G$746,'Base bordo'!C$2:C$746,A884,'Base bordo'!B$2:B$746,B884,'Base bordo'!F$2:F$746,"DESLOCAMENTO VAZIO"),0)</f>
        <v>1.4213888888888888</v>
      </c>
      <c r="E884" s="10">
        <f>IFERROR(SUMIFS('Base bordo'!G$2:G$746,'Base bordo'!C$2:C$746,A884,'Base bordo'!B$2:B$746,B884,'Base bordo'!F$2:F$746,"DESLOCAMENTO CARREGADO"),0)</f>
        <v>1.9991666666666668</v>
      </c>
      <c r="F884" s="10">
        <f>IFERROR(SUMIFS('Base bordo'!G$2:G$746,'Base bordo'!C$2:C$746,A884,'Base bordo'!B$2:B$746,B884,'Base bordo'!F$2:F$746,"DESLOCAMENTO"),0)</f>
        <v>0</v>
      </c>
      <c r="G884" s="10">
        <f>IFERROR(SUMIFS('Base bordo'!G$2:G$746,'Base bordo'!C$2:C$746,A884,'Base bordo'!B$2:B$746,B884,'Base bordo'!F$2:F$746,"CARREGAMENTO"),0)</f>
        <v>0</v>
      </c>
      <c r="H884" s="10">
        <f>IFERROR(SUMIFS('Base bordo'!G$2:G$746,'Base bordo'!C$2:C$746,A884,'Base bordo'!B$2:B$746,B884,'Base bordo'!F$2:F$746,"AGUARDANDO TRANSBORDO"),0)</f>
        <v>0.63555555555555554</v>
      </c>
      <c r="I884" s="10">
        <f>IFERROR(SUMIFS('Base bordo'!G$2:G$746,'Base bordo'!C$2:C$746,A884,'Base bordo'!B$2:B$746,B884,'Base bordo'!F$2:F$746,"PÁTIO INTERNO"),0)+IFERROR(SUMIFS('Base bordo'!G$2:G$746,'Base bordo'!C$2:C$746,A884,'Base bordo'!B$2:B$746,B884,'Base bordo'!F$2:F$746,"PÁTIO EXTERNO"),0)+IFERROR(SUMIFS('Base bordo'!G$2:G$746,'Base bordo'!C$2:C$746,A884,'Base bordo'!B$2:B$746,B884,'Base bordo'!F$2:F$746,"PATIO - RESERVA"),0)+IFERROR(SUMIFS('Base bordo'!G$2:G$746,'Base bordo'!C$2:C$746,A884,'Base bordo'!B$2:B$746,B884,'Base bordo'!F$2:F$746,"MANOBRA CARRETAS-PATIO"),0)</f>
        <v>0.58444444444444443</v>
      </c>
      <c r="J884" s="10">
        <f>IFERROR(SUMIFS('Base bordo'!G$2:G$746,'Base bordo'!C$2:C$746,A884,'Base bordo'!B$2:B$746,B884,'Base bordo'!F$2:F$746,"BALANÇA - ENTRADA"),0)+IFERROR(SUMIFS('Base bordo'!G$2:G$746,'Base bordo'!C$2:C$746,A884,'Base bordo'!B$2:B$746,B884,'Base bordo'!F$2:F$746,"BALANÇA - SAÍDA"),0)</f>
        <v>5.5555555555555558E-3</v>
      </c>
      <c r="K884" s="10">
        <f>IFERROR(SUMIFS('Base bordo'!G$2:G$746,'Base bordo'!C$2:C$746,A884,'Base bordo'!B$2:B$746,B884,'Base bordo'!F$2:F$746,"MAN PREVENTIVA - MECANICA"),0)+IFERROR(SUMIFS('Base bordo'!G$2:G$746,'Base bordo'!C$2:C$746,A884,'Base bordo'!B$2:B$746,B884,'Base bordo'!F$2:F$746,"MAN CORRETIVA - MECANICA"),0)</f>
        <v>0</v>
      </c>
      <c r="L884" s="10">
        <f>IFERROR(SUMIFS('Base bordo'!G$2:G$746,'Base bordo'!C$2:C$746,A884,'Base bordo'!B$2:B$746,B884,'Base bordo'!F$2:F$746,"MANUTENCAO - T O"),0)+IFERROR(SUMIFS('Base bordo'!G$2:G$746,'Base bordo'!C$2:C$746,A884,'Base bordo'!B$2:B$746,B884,'Base bordo'!F$2:F$746,"MANUTENCAO BORRACHARIA"),0)+IFERROR(SUMIFS('Base bordo'!G$2:G$746,'Base bordo'!C$2:C$746,A884,'Base bordo'!B$2:B$746,B884,'Base bordo'!F$2:F$746,"MANUTENCAO EXTERNA  CONCESSIONARIA"),0)+IFERROR(SUMIFS('Base bordo'!G$2:G$746,'Base bordo'!C$2:C$746,A884,'Base bordo'!B$2:B$746,B884,'Base bordo'!F$2:F$746,"MANUTENCAO TELEMETRIA"),0)</f>
        <v>0</v>
      </c>
      <c r="M884" s="10">
        <f>IFERROR(SUMIFS('Base bordo'!G$2:G$746,'Base bordo'!C$2:C$746,A884,'Base bordo'!B$2:B$746,B884,'Base bordo'!F$2:F$746,"AGUARDANDO MANUTENCAO"),0)</f>
        <v>0</v>
      </c>
      <c r="N884" s="10">
        <f>IFERROR(SUMIFS('Base bordo'!G$2:G$746,'Base bordo'!C$2:C$746,A884,'Base bordo'!B$2:B$746,B884,'Base bordo'!F$2:F$746,"SEM APONTAMENTO"),0)</f>
        <v>0</v>
      </c>
      <c r="O884" s="10">
        <f t="shared" si="90"/>
        <v>0</v>
      </c>
      <c r="P884" s="10">
        <f>IFERROR(SUMIFS('Base bordo'!G$2:G$746,'Base bordo'!C$2:C$746,A884,'Base bordo'!B$2:B$746,B884),0)</f>
        <v>4.6461111111111109</v>
      </c>
      <c r="Q884" s="10">
        <f>IFERROR(SUMIFS('Base bordo'!H$2:H$746,'Base bordo'!C$2:C$746,A884,'Base bordo'!B$2:B$746,B884,'Base bordo'!F$2:F$746,"DESLOCAMENTO VAZIO"),0)</f>
        <v>179137.35</v>
      </c>
      <c r="R884" s="10">
        <f>IFERROR(SUMIFS('Base bordo'!I$2:I$746,'Base bordo'!C$2:C$746,A884,'Base bordo'!B$2:B$746,B884,'Base bordo'!F$2:F$746,"DESLOCAMENTO VAZIO"),0)</f>
        <v>5117</v>
      </c>
      <c r="S884" s="30">
        <f t="shared" si="91"/>
        <v>35.008276333789333</v>
      </c>
      <c r="T884" s="10">
        <f>IFERROR(SUMIFS('Base bordo'!H$2:H$746,'Base bordo'!C$2:C$746,A884,'Base bordo'!B$2:B$746,B884,'Base bordo'!F$2:F$746,"DESLOCAMENTO CARREGADO"),0)</f>
        <v>170577.91</v>
      </c>
      <c r="U884" s="10">
        <f>IFERROR(SUMIFS('Base bordo'!I$2:I$746,'Base bordo'!C$2:C$746,A884,'Base bordo'!B$2:B$746,B884,'Base bordo'!F$2:F$746,"DESLOCAMENTO CARREGADO"),0)</f>
        <v>7197</v>
      </c>
      <c r="V884" s="30">
        <f t="shared" si="92"/>
        <v>23.701251910518273</v>
      </c>
      <c r="W884" s="9">
        <f t="shared" si="93"/>
        <v>0.30593088604567736</v>
      </c>
      <c r="X884" s="9">
        <f t="shared" si="94"/>
        <v>0.43028817410020331</v>
      </c>
      <c r="Y884" s="9">
        <f t="shared" si="95"/>
        <v>0.26378093985411932</v>
      </c>
    </row>
    <row r="885" spans="1:25" ht="15" customHeight="1" x14ac:dyDescent="0.35">
      <c r="A885" s="52">
        <v>8013468</v>
      </c>
      <c r="B885" s="51">
        <v>46119</v>
      </c>
      <c r="C885" s="7" t="s">
        <v>124</v>
      </c>
      <c r="D885" s="10">
        <f>IFERROR(SUMIFS('Base bordo'!G$2:G$746,'Base bordo'!C$2:C$746,A885,'Base bordo'!B$2:B$746,B885,'Base bordo'!F$2:F$746,"DESLOCAMENTO VAZIO"),0)</f>
        <v>1.4213888888888888</v>
      </c>
      <c r="E885" s="10">
        <f>IFERROR(SUMIFS('Base bordo'!G$2:G$746,'Base bordo'!C$2:C$746,A885,'Base bordo'!B$2:B$746,B885,'Base bordo'!F$2:F$746,"DESLOCAMENTO CARREGADO"),0)</f>
        <v>1.9991666666666668</v>
      </c>
      <c r="F885" s="10">
        <f>IFERROR(SUMIFS('Base bordo'!G$2:G$746,'Base bordo'!C$2:C$746,A885,'Base bordo'!B$2:B$746,B885,'Base bordo'!F$2:F$746,"DESLOCAMENTO"),0)</f>
        <v>0</v>
      </c>
      <c r="G885" s="10">
        <f>IFERROR(SUMIFS('Base bordo'!G$2:G$746,'Base bordo'!C$2:C$746,A885,'Base bordo'!B$2:B$746,B885,'Base bordo'!F$2:F$746,"CARREGAMENTO"),0)</f>
        <v>0</v>
      </c>
      <c r="H885" s="10">
        <f>IFERROR(SUMIFS('Base bordo'!G$2:G$746,'Base bordo'!C$2:C$746,A885,'Base bordo'!B$2:B$746,B885,'Base bordo'!F$2:F$746,"AGUARDANDO TRANSBORDO"),0)</f>
        <v>0.63555555555555554</v>
      </c>
      <c r="I885" s="10">
        <f>IFERROR(SUMIFS('Base bordo'!G$2:G$746,'Base bordo'!C$2:C$746,A885,'Base bordo'!B$2:B$746,B885,'Base bordo'!F$2:F$746,"PÁTIO INTERNO"),0)+IFERROR(SUMIFS('Base bordo'!G$2:G$746,'Base bordo'!C$2:C$746,A885,'Base bordo'!B$2:B$746,B885,'Base bordo'!F$2:F$746,"PÁTIO EXTERNO"),0)+IFERROR(SUMIFS('Base bordo'!G$2:G$746,'Base bordo'!C$2:C$746,A885,'Base bordo'!B$2:B$746,B885,'Base bordo'!F$2:F$746,"PATIO - RESERVA"),0)+IFERROR(SUMIFS('Base bordo'!G$2:G$746,'Base bordo'!C$2:C$746,A885,'Base bordo'!B$2:B$746,B885,'Base bordo'!F$2:F$746,"MANOBRA CARRETAS-PATIO"),0)</f>
        <v>0.58444444444444443</v>
      </c>
      <c r="J885" s="10">
        <f>IFERROR(SUMIFS('Base bordo'!G$2:G$746,'Base bordo'!C$2:C$746,A885,'Base bordo'!B$2:B$746,B885,'Base bordo'!F$2:F$746,"BALANÇA - ENTRADA"),0)+IFERROR(SUMIFS('Base bordo'!G$2:G$746,'Base bordo'!C$2:C$746,A885,'Base bordo'!B$2:B$746,B885,'Base bordo'!F$2:F$746,"BALANÇA - SAÍDA"),0)</f>
        <v>5.5555555555555558E-3</v>
      </c>
      <c r="K885" s="10">
        <f>IFERROR(SUMIFS('Base bordo'!G$2:G$746,'Base bordo'!C$2:C$746,A885,'Base bordo'!B$2:B$746,B885,'Base bordo'!F$2:F$746,"MAN PREVENTIVA - MECANICA"),0)+IFERROR(SUMIFS('Base bordo'!G$2:G$746,'Base bordo'!C$2:C$746,A885,'Base bordo'!B$2:B$746,B885,'Base bordo'!F$2:F$746,"MAN CORRETIVA - MECANICA"),0)</f>
        <v>0</v>
      </c>
      <c r="L885" s="10">
        <f>IFERROR(SUMIFS('Base bordo'!G$2:G$746,'Base bordo'!C$2:C$746,A885,'Base bordo'!B$2:B$746,B885,'Base bordo'!F$2:F$746,"MANUTENCAO - T O"),0)+IFERROR(SUMIFS('Base bordo'!G$2:G$746,'Base bordo'!C$2:C$746,A885,'Base bordo'!B$2:B$746,B885,'Base bordo'!F$2:F$746,"MANUTENCAO BORRACHARIA"),0)+IFERROR(SUMIFS('Base bordo'!G$2:G$746,'Base bordo'!C$2:C$746,A885,'Base bordo'!B$2:B$746,B885,'Base bordo'!F$2:F$746,"MANUTENCAO EXTERNA  CONCESSIONARIA"),0)+IFERROR(SUMIFS('Base bordo'!G$2:G$746,'Base bordo'!C$2:C$746,A885,'Base bordo'!B$2:B$746,B885,'Base bordo'!F$2:F$746,"MANUTENCAO TELEMETRIA"),0)</f>
        <v>0</v>
      </c>
      <c r="M885" s="10">
        <f>IFERROR(SUMIFS('Base bordo'!G$2:G$746,'Base bordo'!C$2:C$746,A885,'Base bordo'!B$2:B$746,B885,'Base bordo'!F$2:F$746,"AGUARDANDO MANUTENCAO"),0)</f>
        <v>0</v>
      </c>
      <c r="N885" s="10">
        <f>IFERROR(SUMIFS('Base bordo'!G$2:G$746,'Base bordo'!C$2:C$746,A885,'Base bordo'!B$2:B$746,B885,'Base bordo'!F$2:F$746,"SEM APONTAMENTO"),0)</f>
        <v>0</v>
      </c>
      <c r="O885" s="10">
        <f t="shared" si="90"/>
        <v>0</v>
      </c>
      <c r="P885" s="10">
        <f>IFERROR(SUMIFS('Base bordo'!G$2:G$746,'Base bordo'!C$2:C$746,A885,'Base bordo'!B$2:B$746,B885),0)</f>
        <v>4.6461111111111109</v>
      </c>
      <c r="Q885" s="10">
        <f>IFERROR(SUMIFS('Base bordo'!H$2:H$746,'Base bordo'!C$2:C$746,A885,'Base bordo'!B$2:B$746,B885,'Base bordo'!F$2:F$746,"DESLOCAMENTO VAZIO"),0)</f>
        <v>179137.35</v>
      </c>
      <c r="R885" s="10">
        <f>IFERROR(SUMIFS('Base bordo'!I$2:I$746,'Base bordo'!C$2:C$746,A885,'Base bordo'!B$2:B$746,B885,'Base bordo'!F$2:F$746,"DESLOCAMENTO VAZIO"),0)</f>
        <v>5117</v>
      </c>
      <c r="S885" s="30">
        <f t="shared" si="91"/>
        <v>35.008276333789333</v>
      </c>
      <c r="T885" s="10">
        <f>IFERROR(SUMIFS('Base bordo'!H$2:H$746,'Base bordo'!C$2:C$746,A885,'Base bordo'!B$2:B$746,B885,'Base bordo'!F$2:F$746,"DESLOCAMENTO CARREGADO"),0)</f>
        <v>170577.91</v>
      </c>
      <c r="U885" s="10">
        <f>IFERROR(SUMIFS('Base bordo'!I$2:I$746,'Base bordo'!C$2:C$746,A885,'Base bordo'!B$2:B$746,B885,'Base bordo'!F$2:F$746,"DESLOCAMENTO CARREGADO"),0)</f>
        <v>7197</v>
      </c>
      <c r="V885" s="30">
        <f t="shared" si="92"/>
        <v>23.701251910518273</v>
      </c>
      <c r="W885" s="9">
        <f t="shared" si="93"/>
        <v>0.30593088604567736</v>
      </c>
      <c r="X885" s="9">
        <f t="shared" si="94"/>
        <v>0.43028817410020331</v>
      </c>
      <c r="Y885" s="9">
        <f t="shared" si="95"/>
        <v>0.26378093985411932</v>
      </c>
    </row>
    <row r="886" spans="1:25" ht="15" customHeight="1" x14ac:dyDescent="0.35">
      <c r="A886" s="52">
        <v>8013468</v>
      </c>
      <c r="B886" s="51">
        <v>46119</v>
      </c>
      <c r="C886" s="7" t="s">
        <v>124</v>
      </c>
      <c r="D886" s="10">
        <f>IFERROR(SUMIFS('Base bordo'!G$2:G$746,'Base bordo'!C$2:C$746,A886,'Base bordo'!B$2:B$746,B886,'Base bordo'!F$2:F$746,"DESLOCAMENTO VAZIO"),0)</f>
        <v>1.4213888888888888</v>
      </c>
      <c r="E886" s="10">
        <f>IFERROR(SUMIFS('Base bordo'!G$2:G$746,'Base bordo'!C$2:C$746,A886,'Base bordo'!B$2:B$746,B886,'Base bordo'!F$2:F$746,"DESLOCAMENTO CARREGADO"),0)</f>
        <v>1.9991666666666668</v>
      </c>
      <c r="F886" s="10">
        <f>IFERROR(SUMIFS('Base bordo'!G$2:G$746,'Base bordo'!C$2:C$746,A886,'Base bordo'!B$2:B$746,B886,'Base bordo'!F$2:F$746,"DESLOCAMENTO"),0)</f>
        <v>0</v>
      </c>
      <c r="G886" s="10">
        <f>IFERROR(SUMIFS('Base bordo'!G$2:G$746,'Base bordo'!C$2:C$746,A886,'Base bordo'!B$2:B$746,B886,'Base bordo'!F$2:F$746,"CARREGAMENTO"),0)</f>
        <v>0</v>
      </c>
      <c r="H886" s="10">
        <f>IFERROR(SUMIFS('Base bordo'!G$2:G$746,'Base bordo'!C$2:C$746,A886,'Base bordo'!B$2:B$746,B886,'Base bordo'!F$2:F$746,"AGUARDANDO TRANSBORDO"),0)</f>
        <v>0.63555555555555554</v>
      </c>
      <c r="I886" s="10">
        <f>IFERROR(SUMIFS('Base bordo'!G$2:G$746,'Base bordo'!C$2:C$746,A886,'Base bordo'!B$2:B$746,B886,'Base bordo'!F$2:F$746,"PÁTIO INTERNO"),0)+IFERROR(SUMIFS('Base bordo'!G$2:G$746,'Base bordo'!C$2:C$746,A886,'Base bordo'!B$2:B$746,B886,'Base bordo'!F$2:F$746,"PÁTIO EXTERNO"),0)+IFERROR(SUMIFS('Base bordo'!G$2:G$746,'Base bordo'!C$2:C$746,A886,'Base bordo'!B$2:B$746,B886,'Base bordo'!F$2:F$746,"PATIO - RESERVA"),0)+IFERROR(SUMIFS('Base bordo'!G$2:G$746,'Base bordo'!C$2:C$746,A886,'Base bordo'!B$2:B$746,B886,'Base bordo'!F$2:F$746,"MANOBRA CARRETAS-PATIO"),0)</f>
        <v>0.58444444444444443</v>
      </c>
      <c r="J886" s="10">
        <f>IFERROR(SUMIFS('Base bordo'!G$2:G$746,'Base bordo'!C$2:C$746,A886,'Base bordo'!B$2:B$746,B886,'Base bordo'!F$2:F$746,"BALANÇA - ENTRADA"),0)+IFERROR(SUMIFS('Base bordo'!G$2:G$746,'Base bordo'!C$2:C$746,A886,'Base bordo'!B$2:B$746,B886,'Base bordo'!F$2:F$746,"BALANÇA - SAÍDA"),0)</f>
        <v>5.5555555555555558E-3</v>
      </c>
      <c r="K886" s="10">
        <f>IFERROR(SUMIFS('Base bordo'!G$2:G$746,'Base bordo'!C$2:C$746,A886,'Base bordo'!B$2:B$746,B886,'Base bordo'!F$2:F$746,"MAN PREVENTIVA - MECANICA"),0)+IFERROR(SUMIFS('Base bordo'!G$2:G$746,'Base bordo'!C$2:C$746,A886,'Base bordo'!B$2:B$746,B886,'Base bordo'!F$2:F$746,"MAN CORRETIVA - MECANICA"),0)</f>
        <v>0</v>
      </c>
      <c r="L886" s="10">
        <f>IFERROR(SUMIFS('Base bordo'!G$2:G$746,'Base bordo'!C$2:C$746,A886,'Base bordo'!B$2:B$746,B886,'Base bordo'!F$2:F$746,"MANUTENCAO - T O"),0)+IFERROR(SUMIFS('Base bordo'!G$2:G$746,'Base bordo'!C$2:C$746,A886,'Base bordo'!B$2:B$746,B886,'Base bordo'!F$2:F$746,"MANUTENCAO BORRACHARIA"),0)+IFERROR(SUMIFS('Base bordo'!G$2:G$746,'Base bordo'!C$2:C$746,A886,'Base bordo'!B$2:B$746,B886,'Base bordo'!F$2:F$746,"MANUTENCAO EXTERNA  CONCESSIONARIA"),0)+IFERROR(SUMIFS('Base bordo'!G$2:G$746,'Base bordo'!C$2:C$746,A886,'Base bordo'!B$2:B$746,B886,'Base bordo'!F$2:F$746,"MANUTENCAO TELEMETRIA"),0)</f>
        <v>0</v>
      </c>
      <c r="M886" s="10">
        <f>IFERROR(SUMIFS('Base bordo'!G$2:G$746,'Base bordo'!C$2:C$746,A886,'Base bordo'!B$2:B$746,B886,'Base bordo'!F$2:F$746,"AGUARDANDO MANUTENCAO"),0)</f>
        <v>0</v>
      </c>
      <c r="N886" s="10">
        <f>IFERROR(SUMIFS('Base bordo'!G$2:G$746,'Base bordo'!C$2:C$746,A886,'Base bordo'!B$2:B$746,B886,'Base bordo'!F$2:F$746,"SEM APONTAMENTO"),0)</f>
        <v>0</v>
      </c>
      <c r="O886" s="10">
        <f t="shared" si="90"/>
        <v>0</v>
      </c>
      <c r="P886" s="10">
        <f>IFERROR(SUMIFS('Base bordo'!G$2:G$746,'Base bordo'!C$2:C$746,A886,'Base bordo'!B$2:B$746,B886),0)</f>
        <v>4.6461111111111109</v>
      </c>
      <c r="Q886" s="10">
        <f>IFERROR(SUMIFS('Base bordo'!H$2:H$746,'Base bordo'!C$2:C$746,A886,'Base bordo'!B$2:B$746,B886,'Base bordo'!F$2:F$746,"DESLOCAMENTO VAZIO"),0)</f>
        <v>179137.35</v>
      </c>
      <c r="R886" s="10">
        <f>IFERROR(SUMIFS('Base bordo'!I$2:I$746,'Base bordo'!C$2:C$746,A886,'Base bordo'!B$2:B$746,B886,'Base bordo'!F$2:F$746,"DESLOCAMENTO VAZIO"),0)</f>
        <v>5117</v>
      </c>
      <c r="S886" s="30">
        <f t="shared" si="91"/>
        <v>35.008276333789333</v>
      </c>
      <c r="T886" s="10">
        <f>IFERROR(SUMIFS('Base bordo'!H$2:H$746,'Base bordo'!C$2:C$746,A886,'Base bordo'!B$2:B$746,B886,'Base bordo'!F$2:F$746,"DESLOCAMENTO CARREGADO"),0)</f>
        <v>170577.91</v>
      </c>
      <c r="U886" s="10">
        <f>IFERROR(SUMIFS('Base bordo'!I$2:I$746,'Base bordo'!C$2:C$746,A886,'Base bordo'!B$2:B$746,B886,'Base bordo'!F$2:F$746,"DESLOCAMENTO CARREGADO"),0)</f>
        <v>7197</v>
      </c>
      <c r="V886" s="30">
        <f t="shared" si="92"/>
        <v>23.701251910518273</v>
      </c>
      <c r="W886" s="9">
        <f t="shared" si="93"/>
        <v>0.30593088604567736</v>
      </c>
      <c r="X886" s="9">
        <f t="shared" si="94"/>
        <v>0.43028817410020331</v>
      </c>
      <c r="Y886" s="9">
        <f t="shared" si="95"/>
        <v>0.26378093985411932</v>
      </c>
    </row>
    <row r="887" spans="1:25" ht="15" customHeight="1" x14ac:dyDescent="0.35">
      <c r="A887" s="52">
        <v>8013468</v>
      </c>
      <c r="B887" s="51">
        <v>46119</v>
      </c>
      <c r="C887" s="7" t="s">
        <v>124</v>
      </c>
      <c r="D887" s="10">
        <f>IFERROR(SUMIFS('Base bordo'!G$2:G$746,'Base bordo'!C$2:C$746,A887,'Base bordo'!B$2:B$746,B887,'Base bordo'!F$2:F$746,"DESLOCAMENTO VAZIO"),0)</f>
        <v>1.4213888888888888</v>
      </c>
      <c r="E887" s="10">
        <f>IFERROR(SUMIFS('Base bordo'!G$2:G$746,'Base bordo'!C$2:C$746,A887,'Base bordo'!B$2:B$746,B887,'Base bordo'!F$2:F$746,"DESLOCAMENTO CARREGADO"),0)</f>
        <v>1.9991666666666668</v>
      </c>
      <c r="F887" s="10">
        <f>IFERROR(SUMIFS('Base bordo'!G$2:G$746,'Base bordo'!C$2:C$746,A887,'Base bordo'!B$2:B$746,B887,'Base bordo'!F$2:F$746,"DESLOCAMENTO"),0)</f>
        <v>0</v>
      </c>
      <c r="G887" s="10">
        <f>IFERROR(SUMIFS('Base bordo'!G$2:G$746,'Base bordo'!C$2:C$746,A887,'Base bordo'!B$2:B$746,B887,'Base bordo'!F$2:F$746,"CARREGAMENTO"),0)</f>
        <v>0</v>
      </c>
      <c r="H887" s="10">
        <f>IFERROR(SUMIFS('Base bordo'!G$2:G$746,'Base bordo'!C$2:C$746,A887,'Base bordo'!B$2:B$746,B887,'Base bordo'!F$2:F$746,"AGUARDANDO TRANSBORDO"),0)</f>
        <v>0.63555555555555554</v>
      </c>
      <c r="I887" s="10">
        <f>IFERROR(SUMIFS('Base bordo'!G$2:G$746,'Base bordo'!C$2:C$746,A887,'Base bordo'!B$2:B$746,B887,'Base bordo'!F$2:F$746,"PÁTIO INTERNO"),0)+IFERROR(SUMIFS('Base bordo'!G$2:G$746,'Base bordo'!C$2:C$746,A887,'Base bordo'!B$2:B$746,B887,'Base bordo'!F$2:F$746,"PÁTIO EXTERNO"),0)+IFERROR(SUMIFS('Base bordo'!G$2:G$746,'Base bordo'!C$2:C$746,A887,'Base bordo'!B$2:B$746,B887,'Base bordo'!F$2:F$746,"PATIO - RESERVA"),0)+IFERROR(SUMIFS('Base bordo'!G$2:G$746,'Base bordo'!C$2:C$746,A887,'Base bordo'!B$2:B$746,B887,'Base bordo'!F$2:F$746,"MANOBRA CARRETAS-PATIO"),0)</f>
        <v>0.58444444444444443</v>
      </c>
      <c r="J887" s="10">
        <f>IFERROR(SUMIFS('Base bordo'!G$2:G$746,'Base bordo'!C$2:C$746,A887,'Base bordo'!B$2:B$746,B887,'Base bordo'!F$2:F$746,"BALANÇA - ENTRADA"),0)+IFERROR(SUMIFS('Base bordo'!G$2:G$746,'Base bordo'!C$2:C$746,A887,'Base bordo'!B$2:B$746,B887,'Base bordo'!F$2:F$746,"BALANÇA - SAÍDA"),0)</f>
        <v>5.5555555555555558E-3</v>
      </c>
      <c r="K887" s="10">
        <f>IFERROR(SUMIFS('Base bordo'!G$2:G$746,'Base bordo'!C$2:C$746,A887,'Base bordo'!B$2:B$746,B887,'Base bordo'!F$2:F$746,"MAN PREVENTIVA - MECANICA"),0)+IFERROR(SUMIFS('Base bordo'!G$2:G$746,'Base bordo'!C$2:C$746,A887,'Base bordo'!B$2:B$746,B887,'Base bordo'!F$2:F$746,"MAN CORRETIVA - MECANICA"),0)</f>
        <v>0</v>
      </c>
      <c r="L887" s="10">
        <f>IFERROR(SUMIFS('Base bordo'!G$2:G$746,'Base bordo'!C$2:C$746,A887,'Base bordo'!B$2:B$746,B887,'Base bordo'!F$2:F$746,"MANUTENCAO - T O"),0)+IFERROR(SUMIFS('Base bordo'!G$2:G$746,'Base bordo'!C$2:C$746,A887,'Base bordo'!B$2:B$746,B887,'Base bordo'!F$2:F$746,"MANUTENCAO BORRACHARIA"),0)+IFERROR(SUMIFS('Base bordo'!G$2:G$746,'Base bordo'!C$2:C$746,A887,'Base bordo'!B$2:B$746,B887,'Base bordo'!F$2:F$746,"MANUTENCAO EXTERNA  CONCESSIONARIA"),0)+IFERROR(SUMIFS('Base bordo'!G$2:G$746,'Base bordo'!C$2:C$746,A887,'Base bordo'!B$2:B$746,B887,'Base bordo'!F$2:F$746,"MANUTENCAO TELEMETRIA"),0)</f>
        <v>0</v>
      </c>
      <c r="M887" s="10">
        <f>IFERROR(SUMIFS('Base bordo'!G$2:G$746,'Base bordo'!C$2:C$746,A887,'Base bordo'!B$2:B$746,B887,'Base bordo'!F$2:F$746,"AGUARDANDO MANUTENCAO"),0)</f>
        <v>0</v>
      </c>
      <c r="N887" s="10">
        <f>IFERROR(SUMIFS('Base bordo'!G$2:G$746,'Base bordo'!C$2:C$746,A887,'Base bordo'!B$2:B$746,B887,'Base bordo'!F$2:F$746,"SEM APONTAMENTO"),0)</f>
        <v>0</v>
      </c>
      <c r="O887" s="10">
        <f t="shared" si="90"/>
        <v>0</v>
      </c>
      <c r="P887" s="10">
        <f>IFERROR(SUMIFS('Base bordo'!G$2:G$746,'Base bordo'!C$2:C$746,A887,'Base bordo'!B$2:B$746,B887),0)</f>
        <v>4.6461111111111109</v>
      </c>
      <c r="Q887" s="10">
        <f>IFERROR(SUMIFS('Base bordo'!H$2:H$746,'Base bordo'!C$2:C$746,A887,'Base bordo'!B$2:B$746,B887,'Base bordo'!F$2:F$746,"DESLOCAMENTO VAZIO"),0)</f>
        <v>179137.35</v>
      </c>
      <c r="R887" s="10">
        <f>IFERROR(SUMIFS('Base bordo'!I$2:I$746,'Base bordo'!C$2:C$746,A887,'Base bordo'!B$2:B$746,B887,'Base bordo'!F$2:F$746,"DESLOCAMENTO VAZIO"),0)</f>
        <v>5117</v>
      </c>
      <c r="S887" s="30">
        <f t="shared" si="91"/>
        <v>35.008276333789333</v>
      </c>
      <c r="T887" s="10">
        <f>IFERROR(SUMIFS('Base bordo'!H$2:H$746,'Base bordo'!C$2:C$746,A887,'Base bordo'!B$2:B$746,B887,'Base bordo'!F$2:F$746,"DESLOCAMENTO CARREGADO"),0)</f>
        <v>170577.91</v>
      </c>
      <c r="U887" s="10">
        <f>IFERROR(SUMIFS('Base bordo'!I$2:I$746,'Base bordo'!C$2:C$746,A887,'Base bordo'!B$2:B$746,B887,'Base bordo'!F$2:F$746,"DESLOCAMENTO CARREGADO"),0)</f>
        <v>7197</v>
      </c>
      <c r="V887" s="30">
        <f t="shared" si="92"/>
        <v>23.701251910518273</v>
      </c>
      <c r="W887" s="9">
        <f t="shared" si="93"/>
        <v>0.30593088604567736</v>
      </c>
      <c r="X887" s="9">
        <f t="shared" si="94"/>
        <v>0.43028817410020331</v>
      </c>
      <c r="Y887" s="9">
        <f t="shared" si="95"/>
        <v>0.26378093985411932</v>
      </c>
    </row>
    <row r="888" spans="1:25" ht="15" customHeight="1" x14ac:dyDescent="0.35">
      <c r="A888" s="52">
        <v>8013468</v>
      </c>
      <c r="B888" s="51">
        <v>46119</v>
      </c>
      <c r="C888" s="7" t="s">
        <v>124</v>
      </c>
      <c r="D888" s="10">
        <f>IFERROR(SUMIFS('Base bordo'!G$2:G$746,'Base bordo'!C$2:C$746,A888,'Base bordo'!B$2:B$746,B888,'Base bordo'!F$2:F$746,"DESLOCAMENTO VAZIO"),0)</f>
        <v>1.4213888888888888</v>
      </c>
      <c r="E888" s="10">
        <f>IFERROR(SUMIFS('Base bordo'!G$2:G$746,'Base bordo'!C$2:C$746,A888,'Base bordo'!B$2:B$746,B888,'Base bordo'!F$2:F$746,"DESLOCAMENTO CARREGADO"),0)</f>
        <v>1.9991666666666668</v>
      </c>
      <c r="F888" s="10">
        <f>IFERROR(SUMIFS('Base bordo'!G$2:G$746,'Base bordo'!C$2:C$746,A888,'Base bordo'!B$2:B$746,B888,'Base bordo'!F$2:F$746,"DESLOCAMENTO"),0)</f>
        <v>0</v>
      </c>
      <c r="G888" s="10">
        <f>IFERROR(SUMIFS('Base bordo'!G$2:G$746,'Base bordo'!C$2:C$746,A888,'Base bordo'!B$2:B$746,B888,'Base bordo'!F$2:F$746,"CARREGAMENTO"),0)</f>
        <v>0</v>
      </c>
      <c r="H888" s="10">
        <f>IFERROR(SUMIFS('Base bordo'!G$2:G$746,'Base bordo'!C$2:C$746,A888,'Base bordo'!B$2:B$746,B888,'Base bordo'!F$2:F$746,"AGUARDANDO TRANSBORDO"),0)</f>
        <v>0.63555555555555554</v>
      </c>
      <c r="I888" s="10">
        <f>IFERROR(SUMIFS('Base bordo'!G$2:G$746,'Base bordo'!C$2:C$746,A888,'Base bordo'!B$2:B$746,B888,'Base bordo'!F$2:F$746,"PÁTIO INTERNO"),0)+IFERROR(SUMIFS('Base bordo'!G$2:G$746,'Base bordo'!C$2:C$746,A888,'Base bordo'!B$2:B$746,B888,'Base bordo'!F$2:F$746,"PÁTIO EXTERNO"),0)+IFERROR(SUMIFS('Base bordo'!G$2:G$746,'Base bordo'!C$2:C$746,A888,'Base bordo'!B$2:B$746,B888,'Base bordo'!F$2:F$746,"PATIO - RESERVA"),0)+IFERROR(SUMIFS('Base bordo'!G$2:G$746,'Base bordo'!C$2:C$746,A888,'Base bordo'!B$2:B$746,B888,'Base bordo'!F$2:F$746,"MANOBRA CARRETAS-PATIO"),0)</f>
        <v>0.58444444444444443</v>
      </c>
      <c r="J888" s="10">
        <f>IFERROR(SUMIFS('Base bordo'!G$2:G$746,'Base bordo'!C$2:C$746,A888,'Base bordo'!B$2:B$746,B888,'Base bordo'!F$2:F$746,"BALANÇA - ENTRADA"),0)+IFERROR(SUMIFS('Base bordo'!G$2:G$746,'Base bordo'!C$2:C$746,A888,'Base bordo'!B$2:B$746,B888,'Base bordo'!F$2:F$746,"BALANÇA - SAÍDA"),0)</f>
        <v>5.5555555555555558E-3</v>
      </c>
      <c r="K888" s="10">
        <f>IFERROR(SUMIFS('Base bordo'!G$2:G$746,'Base bordo'!C$2:C$746,A888,'Base bordo'!B$2:B$746,B888,'Base bordo'!F$2:F$746,"MAN PREVENTIVA - MECANICA"),0)+IFERROR(SUMIFS('Base bordo'!G$2:G$746,'Base bordo'!C$2:C$746,A888,'Base bordo'!B$2:B$746,B888,'Base bordo'!F$2:F$746,"MAN CORRETIVA - MECANICA"),0)</f>
        <v>0</v>
      </c>
      <c r="L888" s="10">
        <f>IFERROR(SUMIFS('Base bordo'!G$2:G$746,'Base bordo'!C$2:C$746,A888,'Base bordo'!B$2:B$746,B888,'Base bordo'!F$2:F$746,"MANUTENCAO - T O"),0)+IFERROR(SUMIFS('Base bordo'!G$2:G$746,'Base bordo'!C$2:C$746,A888,'Base bordo'!B$2:B$746,B888,'Base bordo'!F$2:F$746,"MANUTENCAO BORRACHARIA"),0)+IFERROR(SUMIFS('Base bordo'!G$2:G$746,'Base bordo'!C$2:C$746,A888,'Base bordo'!B$2:B$746,B888,'Base bordo'!F$2:F$746,"MANUTENCAO EXTERNA  CONCESSIONARIA"),0)+IFERROR(SUMIFS('Base bordo'!G$2:G$746,'Base bordo'!C$2:C$746,A888,'Base bordo'!B$2:B$746,B888,'Base bordo'!F$2:F$746,"MANUTENCAO TELEMETRIA"),0)</f>
        <v>0</v>
      </c>
      <c r="M888" s="10">
        <f>IFERROR(SUMIFS('Base bordo'!G$2:G$746,'Base bordo'!C$2:C$746,A888,'Base bordo'!B$2:B$746,B888,'Base bordo'!F$2:F$746,"AGUARDANDO MANUTENCAO"),0)</f>
        <v>0</v>
      </c>
      <c r="N888" s="10">
        <f>IFERROR(SUMIFS('Base bordo'!G$2:G$746,'Base bordo'!C$2:C$746,A888,'Base bordo'!B$2:B$746,B888,'Base bordo'!F$2:F$746,"SEM APONTAMENTO"),0)</f>
        <v>0</v>
      </c>
      <c r="O888" s="10">
        <f t="shared" si="90"/>
        <v>0</v>
      </c>
      <c r="P888" s="10">
        <f>IFERROR(SUMIFS('Base bordo'!G$2:G$746,'Base bordo'!C$2:C$746,A888,'Base bordo'!B$2:B$746,B888),0)</f>
        <v>4.6461111111111109</v>
      </c>
      <c r="Q888" s="10">
        <f>IFERROR(SUMIFS('Base bordo'!H$2:H$746,'Base bordo'!C$2:C$746,A888,'Base bordo'!B$2:B$746,B888,'Base bordo'!F$2:F$746,"DESLOCAMENTO VAZIO"),0)</f>
        <v>179137.35</v>
      </c>
      <c r="R888" s="10">
        <f>IFERROR(SUMIFS('Base bordo'!I$2:I$746,'Base bordo'!C$2:C$746,A888,'Base bordo'!B$2:B$746,B888,'Base bordo'!F$2:F$746,"DESLOCAMENTO VAZIO"),0)</f>
        <v>5117</v>
      </c>
      <c r="S888" s="30">
        <f t="shared" si="91"/>
        <v>35.008276333789333</v>
      </c>
      <c r="T888" s="10">
        <f>IFERROR(SUMIFS('Base bordo'!H$2:H$746,'Base bordo'!C$2:C$746,A888,'Base bordo'!B$2:B$746,B888,'Base bordo'!F$2:F$746,"DESLOCAMENTO CARREGADO"),0)</f>
        <v>170577.91</v>
      </c>
      <c r="U888" s="10">
        <f>IFERROR(SUMIFS('Base bordo'!I$2:I$746,'Base bordo'!C$2:C$746,A888,'Base bordo'!B$2:B$746,B888,'Base bordo'!F$2:F$746,"DESLOCAMENTO CARREGADO"),0)</f>
        <v>7197</v>
      </c>
      <c r="V888" s="30">
        <f t="shared" si="92"/>
        <v>23.701251910518273</v>
      </c>
      <c r="W888" s="9">
        <f t="shared" si="93"/>
        <v>0.30593088604567736</v>
      </c>
      <c r="X888" s="9">
        <f t="shared" si="94"/>
        <v>0.43028817410020331</v>
      </c>
      <c r="Y888" s="9">
        <f t="shared" si="95"/>
        <v>0.26378093985411932</v>
      </c>
    </row>
    <row r="889" spans="1:25" ht="15" customHeight="1" x14ac:dyDescent="0.35">
      <c r="A889" s="52">
        <v>8013469</v>
      </c>
      <c r="B889" s="51">
        <v>46119</v>
      </c>
      <c r="C889" s="7" t="s">
        <v>124</v>
      </c>
      <c r="D889" s="10">
        <f>IFERROR(SUMIFS('Base bordo'!G$2:G$746,'Base bordo'!C$2:C$746,A889,'Base bordo'!B$2:B$746,B889,'Base bordo'!F$2:F$746,"DESLOCAMENTO VAZIO"),0)</f>
        <v>0.25611111111111112</v>
      </c>
      <c r="E889" s="10">
        <f>IFERROR(SUMIFS('Base bordo'!G$2:G$746,'Base bordo'!C$2:C$746,A889,'Base bordo'!B$2:B$746,B889,'Base bordo'!F$2:F$746,"DESLOCAMENTO CARREGADO"),0)</f>
        <v>1.7777777777777778E-2</v>
      </c>
      <c r="F889" s="10">
        <f>IFERROR(SUMIFS('Base bordo'!G$2:G$746,'Base bordo'!C$2:C$746,A889,'Base bordo'!B$2:B$746,B889,'Base bordo'!F$2:F$746,"DESLOCAMENTO"),0)</f>
        <v>0</v>
      </c>
      <c r="G889" s="10">
        <f>IFERROR(SUMIFS('Base bordo'!G$2:G$746,'Base bordo'!C$2:C$746,A889,'Base bordo'!B$2:B$746,B889,'Base bordo'!F$2:F$746,"CARREGAMENTO"),0)</f>
        <v>0</v>
      </c>
      <c r="H889" s="10">
        <f>IFERROR(SUMIFS('Base bordo'!G$2:G$746,'Base bordo'!C$2:C$746,A889,'Base bordo'!B$2:B$746,B889,'Base bordo'!F$2:F$746,"AGUARDANDO TRANSBORDO"),0)</f>
        <v>0</v>
      </c>
      <c r="I889" s="10">
        <f>IFERROR(SUMIFS('Base bordo'!G$2:G$746,'Base bordo'!C$2:C$746,A889,'Base bordo'!B$2:B$746,B889,'Base bordo'!F$2:F$746,"PÁTIO INTERNO"),0)+IFERROR(SUMIFS('Base bordo'!G$2:G$746,'Base bordo'!C$2:C$746,A889,'Base bordo'!B$2:B$746,B889,'Base bordo'!F$2:F$746,"PÁTIO EXTERNO"),0)+IFERROR(SUMIFS('Base bordo'!G$2:G$746,'Base bordo'!C$2:C$746,A889,'Base bordo'!B$2:B$746,B889,'Base bordo'!F$2:F$746,"PATIO - RESERVA"),0)+IFERROR(SUMIFS('Base bordo'!G$2:G$746,'Base bordo'!C$2:C$746,A889,'Base bordo'!B$2:B$746,B889,'Base bordo'!F$2:F$746,"MANOBRA CARRETAS-PATIO"),0)</f>
        <v>9.2025000000000006</v>
      </c>
      <c r="J889" s="10">
        <f>IFERROR(SUMIFS('Base bordo'!G$2:G$746,'Base bordo'!C$2:C$746,A889,'Base bordo'!B$2:B$746,B889,'Base bordo'!F$2:F$746,"BALANÇA - ENTRADA"),0)+IFERROR(SUMIFS('Base bordo'!G$2:G$746,'Base bordo'!C$2:C$746,A889,'Base bordo'!B$2:B$746,B889,'Base bordo'!F$2:F$746,"BALANÇA - SAÍDA"),0)</f>
        <v>5.3055555555555557E-2</v>
      </c>
      <c r="K889" s="10">
        <f>IFERROR(SUMIFS('Base bordo'!G$2:G$746,'Base bordo'!C$2:C$746,A889,'Base bordo'!B$2:B$746,B889,'Base bordo'!F$2:F$746,"MAN PREVENTIVA - MECANICA"),0)+IFERROR(SUMIFS('Base bordo'!G$2:G$746,'Base bordo'!C$2:C$746,A889,'Base bordo'!B$2:B$746,B889,'Base bordo'!F$2:F$746,"MAN CORRETIVA - MECANICA"),0)</f>
        <v>0</v>
      </c>
      <c r="L889" s="10">
        <f>IFERROR(SUMIFS('Base bordo'!G$2:G$746,'Base bordo'!C$2:C$746,A889,'Base bordo'!B$2:B$746,B889,'Base bordo'!F$2:F$746,"MANUTENCAO - T O"),0)+IFERROR(SUMIFS('Base bordo'!G$2:G$746,'Base bordo'!C$2:C$746,A889,'Base bordo'!B$2:B$746,B889,'Base bordo'!F$2:F$746,"MANUTENCAO BORRACHARIA"),0)+IFERROR(SUMIFS('Base bordo'!G$2:G$746,'Base bordo'!C$2:C$746,A889,'Base bordo'!B$2:B$746,B889,'Base bordo'!F$2:F$746,"MANUTENCAO EXTERNA  CONCESSIONARIA"),0)+IFERROR(SUMIFS('Base bordo'!G$2:G$746,'Base bordo'!C$2:C$746,A889,'Base bordo'!B$2:B$746,B889,'Base bordo'!F$2:F$746,"MANUTENCAO TELEMETRIA"),0)</f>
        <v>0</v>
      </c>
      <c r="M889" s="10">
        <f>IFERROR(SUMIFS('Base bordo'!G$2:G$746,'Base bordo'!C$2:C$746,A889,'Base bordo'!B$2:B$746,B889,'Base bordo'!F$2:F$746,"AGUARDANDO MANUTENCAO"),0)</f>
        <v>0</v>
      </c>
      <c r="N889" s="10">
        <f>IFERROR(SUMIFS('Base bordo'!G$2:G$746,'Base bordo'!C$2:C$746,A889,'Base bordo'!B$2:B$746,B889,'Base bordo'!F$2:F$746,"SEM APONTAMENTO"),0)</f>
        <v>0</v>
      </c>
      <c r="O889" s="10">
        <f t="shared" si="90"/>
        <v>-3.5527136788005009E-15</v>
      </c>
      <c r="P889" s="10">
        <f>IFERROR(SUMIFS('Base bordo'!G$2:G$746,'Base bordo'!C$2:C$746,A889,'Base bordo'!B$2:B$746,B889),0)</f>
        <v>9.5294444444444419</v>
      </c>
      <c r="Q889" s="10">
        <f>IFERROR(SUMIFS('Base bordo'!H$2:H$746,'Base bordo'!C$2:C$746,A889,'Base bordo'!B$2:B$746,B889,'Base bordo'!F$2:F$746,"DESLOCAMENTO VAZIO"),0)</f>
        <v>8165.6500000000015</v>
      </c>
      <c r="R889" s="10">
        <f>IFERROR(SUMIFS('Base bordo'!I$2:I$746,'Base bordo'!C$2:C$746,A889,'Base bordo'!B$2:B$746,B889,'Base bordo'!F$2:F$746,"DESLOCAMENTO VAZIO"),0)</f>
        <v>922</v>
      </c>
      <c r="S889" s="30">
        <f t="shared" si="91"/>
        <v>8.8564533622559676</v>
      </c>
      <c r="T889" s="10">
        <f>IFERROR(SUMIFS('Base bordo'!H$2:H$746,'Base bordo'!C$2:C$746,A889,'Base bordo'!B$2:B$746,B889,'Base bordo'!F$2:F$746,"DESLOCAMENTO CARREGADO"),0)</f>
        <v>245.12</v>
      </c>
      <c r="U889" s="10">
        <f>IFERROR(SUMIFS('Base bordo'!I$2:I$746,'Base bordo'!C$2:C$746,A889,'Base bordo'!B$2:B$746,B889,'Base bordo'!F$2:F$746,"DESLOCAMENTO CARREGADO"),0)</f>
        <v>64</v>
      </c>
      <c r="V889" s="30">
        <f t="shared" si="92"/>
        <v>3.83</v>
      </c>
      <c r="W889" s="9">
        <f t="shared" si="93"/>
        <v>2.6875765172273081E-2</v>
      </c>
      <c r="X889" s="9">
        <f t="shared" si="94"/>
        <v>1.8655628752987821E-3</v>
      </c>
      <c r="Y889" s="9">
        <f t="shared" si="95"/>
        <v>0.9712586719524281</v>
      </c>
    </row>
    <row r="890" spans="1:25" ht="15" customHeight="1" x14ac:dyDescent="0.35">
      <c r="A890" s="52">
        <v>8013469</v>
      </c>
      <c r="B890" s="51">
        <v>46119</v>
      </c>
      <c r="C890" s="7" t="s">
        <v>124</v>
      </c>
      <c r="D890" s="10">
        <f>IFERROR(SUMIFS('Base bordo'!G$2:G$746,'Base bordo'!C$2:C$746,A890,'Base bordo'!B$2:B$746,B890,'Base bordo'!F$2:F$746,"DESLOCAMENTO VAZIO"),0)</f>
        <v>0.25611111111111112</v>
      </c>
      <c r="E890" s="10">
        <f>IFERROR(SUMIFS('Base bordo'!G$2:G$746,'Base bordo'!C$2:C$746,A890,'Base bordo'!B$2:B$746,B890,'Base bordo'!F$2:F$746,"DESLOCAMENTO CARREGADO"),0)</f>
        <v>1.7777777777777778E-2</v>
      </c>
      <c r="F890" s="10">
        <f>IFERROR(SUMIFS('Base bordo'!G$2:G$746,'Base bordo'!C$2:C$746,A890,'Base bordo'!B$2:B$746,B890,'Base bordo'!F$2:F$746,"DESLOCAMENTO"),0)</f>
        <v>0</v>
      </c>
      <c r="G890" s="10">
        <f>IFERROR(SUMIFS('Base bordo'!G$2:G$746,'Base bordo'!C$2:C$746,A890,'Base bordo'!B$2:B$746,B890,'Base bordo'!F$2:F$746,"CARREGAMENTO"),0)</f>
        <v>0</v>
      </c>
      <c r="H890" s="10">
        <f>IFERROR(SUMIFS('Base bordo'!G$2:G$746,'Base bordo'!C$2:C$746,A890,'Base bordo'!B$2:B$746,B890,'Base bordo'!F$2:F$746,"AGUARDANDO TRANSBORDO"),0)</f>
        <v>0</v>
      </c>
      <c r="I890" s="10">
        <f>IFERROR(SUMIFS('Base bordo'!G$2:G$746,'Base bordo'!C$2:C$746,A890,'Base bordo'!B$2:B$746,B890,'Base bordo'!F$2:F$746,"PÁTIO INTERNO"),0)+IFERROR(SUMIFS('Base bordo'!G$2:G$746,'Base bordo'!C$2:C$746,A890,'Base bordo'!B$2:B$746,B890,'Base bordo'!F$2:F$746,"PÁTIO EXTERNO"),0)+IFERROR(SUMIFS('Base bordo'!G$2:G$746,'Base bordo'!C$2:C$746,A890,'Base bordo'!B$2:B$746,B890,'Base bordo'!F$2:F$746,"PATIO - RESERVA"),0)+IFERROR(SUMIFS('Base bordo'!G$2:G$746,'Base bordo'!C$2:C$746,A890,'Base bordo'!B$2:B$746,B890,'Base bordo'!F$2:F$746,"MANOBRA CARRETAS-PATIO"),0)</f>
        <v>9.2025000000000006</v>
      </c>
      <c r="J890" s="10">
        <f>IFERROR(SUMIFS('Base bordo'!G$2:G$746,'Base bordo'!C$2:C$746,A890,'Base bordo'!B$2:B$746,B890,'Base bordo'!F$2:F$746,"BALANÇA - ENTRADA"),0)+IFERROR(SUMIFS('Base bordo'!G$2:G$746,'Base bordo'!C$2:C$746,A890,'Base bordo'!B$2:B$746,B890,'Base bordo'!F$2:F$746,"BALANÇA - SAÍDA"),0)</f>
        <v>5.3055555555555557E-2</v>
      </c>
      <c r="K890" s="10">
        <f>IFERROR(SUMIFS('Base bordo'!G$2:G$746,'Base bordo'!C$2:C$746,A890,'Base bordo'!B$2:B$746,B890,'Base bordo'!F$2:F$746,"MAN PREVENTIVA - MECANICA"),0)+IFERROR(SUMIFS('Base bordo'!G$2:G$746,'Base bordo'!C$2:C$746,A890,'Base bordo'!B$2:B$746,B890,'Base bordo'!F$2:F$746,"MAN CORRETIVA - MECANICA"),0)</f>
        <v>0</v>
      </c>
      <c r="L890" s="10">
        <f>IFERROR(SUMIFS('Base bordo'!G$2:G$746,'Base bordo'!C$2:C$746,A890,'Base bordo'!B$2:B$746,B890,'Base bordo'!F$2:F$746,"MANUTENCAO - T O"),0)+IFERROR(SUMIFS('Base bordo'!G$2:G$746,'Base bordo'!C$2:C$746,A890,'Base bordo'!B$2:B$746,B890,'Base bordo'!F$2:F$746,"MANUTENCAO BORRACHARIA"),0)+IFERROR(SUMIFS('Base bordo'!G$2:G$746,'Base bordo'!C$2:C$746,A890,'Base bordo'!B$2:B$746,B890,'Base bordo'!F$2:F$746,"MANUTENCAO EXTERNA  CONCESSIONARIA"),0)+IFERROR(SUMIFS('Base bordo'!G$2:G$746,'Base bordo'!C$2:C$746,A890,'Base bordo'!B$2:B$746,B890,'Base bordo'!F$2:F$746,"MANUTENCAO TELEMETRIA"),0)</f>
        <v>0</v>
      </c>
      <c r="M890" s="10">
        <f>IFERROR(SUMIFS('Base bordo'!G$2:G$746,'Base bordo'!C$2:C$746,A890,'Base bordo'!B$2:B$746,B890,'Base bordo'!F$2:F$746,"AGUARDANDO MANUTENCAO"),0)</f>
        <v>0</v>
      </c>
      <c r="N890" s="10">
        <f>IFERROR(SUMIFS('Base bordo'!G$2:G$746,'Base bordo'!C$2:C$746,A890,'Base bordo'!B$2:B$746,B890,'Base bordo'!F$2:F$746,"SEM APONTAMENTO"),0)</f>
        <v>0</v>
      </c>
      <c r="O890" s="10">
        <f t="shared" si="90"/>
        <v>-3.5527136788005009E-15</v>
      </c>
      <c r="P890" s="10">
        <f>IFERROR(SUMIFS('Base bordo'!G$2:G$746,'Base bordo'!C$2:C$746,A890,'Base bordo'!B$2:B$746,B890),0)</f>
        <v>9.5294444444444419</v>
      </c>
      <c r="Q890" s="10">
        <f>IFERROR(SUMIFS('Base bordo'!H$2:H$746,'Base bordo'!C$2:C$746,A890,'Base bordo'!B$2:B$746,B890,'Base bordo'!F$2:F$746,"DESLOCAMENTO VAZIO"),0)</f>
        <v>8165.6500000000015</v>
      </c>
      <c r="R890" s="10">
        <f>IFERROR(SUMIFS('Base bordo'!I$2:I$746,'Base bordo'!C$2:C$746,A890,'Base bordo'!B$2:B$746,B890,'Base bordo'!F$2:F$746,"DESLOCAMENTO VAZIO"),0)</f>
        <v>922</v>
      </c>
      <c r="S890" s="30">
        <f t="shared" si="91"/>
        <v>8.8564533622559676</v>
      </c>
      <c r="T890" s="10">
        <f>IFERROR(SUMIFS('Base bordo'!H$2:H$746,'Base bordo'!C$2:C$746,A890,'Base bordo'!B$2:B$746,B890,'Base bordo'!F$2:F$746,"DESLOCAMENTO CARREGADO"),0)</f>
        <v>245.12</v>
      </c>
      <c r="U890" s="10">
        <f>IFERROR(SUMIFS('Base bordo'!I$2:I$746,'Base bordo'!C$2:C$746,A890,'Base bordo'!B$2:B$746,B890,'Base bordo'!F$2:F$746,"DESLOCAMENTO CARREGADO"),0)</f>
        <v>64</v>
      </c>
      <c r="V890" s="30">
        <f t="shared" si="92"/>
        <v>3.83</v>
      </c>
      <c r="W890" s="9">
        <f t="shared" si="93"/>
        <v>2.6875765172273081E-2</v>
      </c>
      <c r="X890" s="9">
        <f t="shared" si="94"/>
        <v>1.8655628752987821E-3</v>
      </c>
      <c r="Y890" s="9">
        <f t="shared" si="95"/>
        <v>0.9712586719524281</v>
      </c>
    </row>
    <row r="891" spans="1:25" ht="15" customHeight="1" x14ac:dyDescent="0.35">
      <c r="A891" s="52">
        <v>8013469</v>
      </c>
      <c r="B891" s="51">
        <v>46119</v>
      </c>
      <c r="C891" s="7" t="s">
        <v>124</v>
      </c>
      <c r="D891" s="10">
        <f>IFERROR(SUMIFS('Base bordo'!G$2:G$746,'Base bordo'!C$2:C$746,A891,'Base bordo'!B$2:B$746,B891,'Base bordo'!F$2:F$746,"DESLOCAMENTO VAZIO"),0)</f>
        <v>0.25611111111111112</v>
      </c>
      <c r="E891" s="10">
        <f>IFERROR(SUMIFS('Base bordo'!G$2:G$746,'Base bordo'!C$2:C$746,A891,'Base bordo'!B$2:B$746,B891,'Base bordo'!F$2:F$746,"DESLOCAMENTO CARREGADO"),0)</f>
        <v>1.7777777777777778E-2</v>
      </c>
      <c r="F891" s="10">
        <f>IFERROR(SUMIFS('Base bordo'!G$2:G$746,'Base bordo'!C$2:C$746,A891,'Base bordo'!B$2:B$746,B891,'Base bordo'!F$2:F$746,"DESLOCAMENTO"),0)</f>
        <v>0</v>
      </c>
      <c r="G891" s="10">
        <f>IFERROR(SUMIFS('Base bordo'!G$2:G$746,'Base bordo'!C$2:C$746,A891,'Base bordo'!B$2:B$746,B891,'Base bordo'!F$2:F$746,"CARREGAMENTO"),0)</f>
        <v>0</v>
      </c>
      <c r="H891" s="10">
        <f>IFERROR(SUMIFS('Base bordo'!G$2:G$746,'Base bordo'!C$2:C$746,A891,'Base bordo'!B$2:B$746,B891,'Base bordo'!F$2:F$746,"AGUARDANDO TRANSBORDO"),0)</f>
        <v>0</v>
      </c>
      <c r="I891" s="10">
        <f>IFERROR(SUMIFS('Base bordo'!G$2:G$746,'Base bordo'!C$2:C$746,A891,'Base bordo'!B$2:B$746,B891,'Base bordo'!F$2:F$746,"PÁTIO INTERNO"),0)+IFERROR(SUMIFS('Base bordo'!G$2:G$746,'Base bordo'!C$2:C$746,A891,'Base bordo'!B$2:B$746,B891,'Base bordo'!F$2:F$746,"PÁTIO EXTERNO"),0)+IFERROR(SUMIFS('Base bordo'!G$2:G$746,'Base bordo'!C$2:C$746,A891,'Base bordo'!B$2:B$746,B891,'Base bordo'!F$2:F$746,"PATIO - RESERVA"),0)+IFERROR(SUMIFS('Base bordo'!G$2:G$746,'Base bordo'!C$2:C$746,A891,'Base bordo'!B$2:B$746,B891,'Base bordo'!F$2:F$746,"MANOBRA CARRETAS-PATIO"),0)</f>
        <v>9.2025000000000006</v>
      </c>
      <c r="J891" s="10">
        <f>IFERROR(SUMIFS('Base bordo'!G$2:G$746,'Base bordo'!C$2:C$746,A891,'Base bordo'!B$2:B$746,B891,'Base bordo'!F$2:F$746,"BALANÇA - ENTRADA"),0)+IFERROR(SUMIFS('Base bordo'!G$2:G$746,'Base bordo'!C$2:C$746,A891,'Base bordo'!B$2:B$746,B891,'Base bordo'!F$2:F$746,"BALANÇA - SAÍDA"),0)</f>
        <v>5.3055555555555557E-2</v>
      </c>
      <c r="K891" s="10">
        <f>IFERROR(SUMIFS('Base bordo'!G$2:G$746,'Base bordo'!C$2:C$746,A891,'Base bordo'!B$2:B$746,B891,'Base bordo'!F$2:F$746,"MAN PREVENTIVA - MECANICA"),0)+IFERROR(SUMIFS('Base bordo'!G$2:G$746,'Base bordo'!C$2:C$746,A891,'Base bordo'!B$2:B$746,B891,'Base bordo'!F$2:F$746,"MAN CORRETIVA - MECANICA"),0)</f>
        <v>0</v>
      </c>
      <c r="L891" s="10">
        <f>IFERROR(SUMIFS('Base bordo'!G$2:G$746,'Base bordo'!C$2:C$746,A891,'Base bordo'!B$2:B$746,B891,'Base bordo'!F$2:F$746,"MANUTENCAO - T O"),0)+IFERROR(SUMIFS('Base bordo'!G$2:G$746,'Base bordo'!C$2:C$746,A891,'Base bordo'!B$2:B$746,B891,'Base bordo'!F$2:F$746,"MANUTENCAO BORRACHARIA"),0)+IFERROR(SUMIFS('Base bordo'!G$2:G$746,'Base bordo'!C$2:C$746,A891,'Base bordo'!B$2:B$746,B891,'Base bordo'!F$2:F$746,"MANUTENCAO EXTERNA  CONCESSIONARIA"),0)+IFERROR(SUMIFS('Base bordo'!G$2:G$746,'Base bordo'!C$2:C$746,A891,'Base bordo'!B$2:B$746,B891,'Base bordo'!F$2:F$746,"MANUTENCAO TELEMETRIA"),0)</f>
        <v>0</v>
      </c>
      <c r="M891" s="10">
        <f>IFERROR(SUMIFS('Base bordo'!G$2:G$746,'Base bordo'!C$2:C$746,A891,'Base bordo'!B$2:B$746,B891,'Base bordo'!F$2:F$746,"AGUARDANDO MANUTENCAO"),0)</f>
        <v>0</v>
      </c>
      <c r="N891" s="10">
        <f>IFERROR(SUMIFS('Base bordo'!G$2:G$746,'Base bordo'!C$2:C$746,A891,'Base bordo'!B$2:B$746,B891,'Base bordo'!F$2:F$746,"SEM APONTAMENTO"),0)</f>
        <v>0</v>
      </c>
      <c r="O891" s="10">
        <f t="shared" si="90"/>
        <v>-3.5527136788005009E-15</v>
      </c>
      <c r="P891" s="10">
        <f>IFERROR(SUMIFS('Base bordo'!G$2:G$746,'Base bordo'!C$2:C$746,A891,'Base bordo'!B$2:B$746,B891),0)</f>
        <v>9.5294444444444419</v>
      </c>
      <c r="Q891" s="10">
        <f>IFERROR(SUMIFS('Base bordo'!H$2:H$746,'Base bordo'!C$2:C$746,A891,'Base bordo'!B$2:B$746,B891,'Base bordo'!F$2:F$746,"DESLOCAMENTO VAZIO"),0)</f>
        <v>8165.6500000000015</v>
      </c>
      <c r="R891" s="10">
        <f>IFERROR(SUMIFS('Base bordo'!I$2:I$746,'Base bordo'!C$2:C$746,A891,'Base bordo'!B$2:B$746,B891,'Base bordo'!F$2:F$746,"DESLOCAMENTO VAZIO"),0)</f>
        <v>922</v>
      </c>
      <c r="S891" s="30">
        <f t="shared" si="91"/>
        <v>8.8564533622559676</v>
      </c>
      <c r="T891" s="10">
        <f>IFERROR(SUMIFS('Base bordo'!H$2:H$746,'Base bordo'!C$2:C$746,A891,'Base bordo'!B$2:B$746,B891,'Base bordo'!F$2:F$746,"DESLOCAMENTO CARREGADO"),0)</f>
        <v>245.12</v>
      </c>
      <c r="U891" s="10">
        <f>IFERROR(SUMIFS('Base bordo'!I$2:I$746,'Base bordo'!C$2:C$746,A891,'Base bordo'!B$2:B$746,B891,'Base bordo'!F$2:F$746,"DESLOCAMENTO CARREGADO"),0)</f>
        <v>64</v>
      </c>
      <c r="V891" s="30">
        <f t="shared" si="92"/>
        <v>3.83</v>
      </c>
      <c r="W891" s="9">
        <f t="shared" si="93"/>
        <v>2.6875765172273081E-2</v>
      </c>
      <c r="X891" s="9">
        <f t="shared" si="94"/>
        <v>1.8655628752987821E-3</v>
      </c>
      <c r="Y891" s="9">
        <f t="shared" si="95"/>
        <v>0.9712586719524281</v>
      </c>
    </row>
    <row r="892" spans="1:25" ht="15" customHeight="1" x14ac:dyDescent="0.35">
      <c r="A892" s="52">
        <v>8013469</v>
      </c>
      <c r="B892" s="51">
        <v>46119</v>
      </c>
      <c r="C892" s="7" t="s">
        <v>124</v>
      </c>
      <c r="D892" s="10">
        <f>IFERROR(SUMIFS('Base bordo'!G$2:G$746,'Base bordo'!C$2:C$746,A892,'Base bordo'!B$2:B$746,B892,'Base bordo'!F$2:F$746,"DESLOCAMENTO VAZIO"),0)</f>
        <v>0.25611111111111112</v>
      </c>
      <c r="E892" s="10">
        <f>IFERROR(SUMIFS('Base bordo'!G$2:G$746,'Base bordo'!C$2:C$746,A892,'Base bordo'!B$2:B$746,B892,'Base bordo'!F$2:F$746,"DESLOCAMENTO CARREGADO"),0)</f>
        <v>1.7777777777777778E-2</v>
      </c>
      <c r="F892" s="10">
        <f>IFERROR(SUMIFS('Base bordo'!G$2:G$746,'Base bordo'!C$2:C$746,A892,'Base bordo'!B$2:B$746,B892,'Base bordo'!F$2:F$746,"DESLOCAMENTO"),0)</f>
        <v>0</v>
      </c>
      <c r="G892" s="10">
        <f>IFERROR(SUMIFS('Base bordo'!G$2:G$746,'Base bordo'!C$2:C$746,A892,'Base bordo'!B$2:B$746,B892,'Base bordo'!F$2:F$746,"CARREGAMENTO"),0)</f>
        <v>0</v>
      </c>
      <c r="H892" s="10">
        <f>IFERROR(SUMIFS('Base bordo'!G$2:G$746,'Base bordo'!C$2:C$746,A892,'Base bordo'!B$2:B$746,B892,'Base bordo'!F$2:F$746,"AGUARDANDO TRANSBORDO"),0)</f>
        <v>0</v>
      </c>
      <c r="I892" s="10">
        <f>IFERROR(SUMIFS('Base bordo'!G$2:G$746,'Base bordo'!C$2:C$746,A892,'Base bordo'!B$2:B$746,B892,'Base bordo'!F$2:F$746,"PÁTIO INTERNO"),0)+IFERROR(SUMIFS('Base bordo'!G$2:G$746,'Base bordo'!C$2:C$746,A892,'Base bordo'!B$2:B$746,B892,'Base bordo'!F$2:F$746,"PÁTIO EXTERNO"),0)+IFERROR(SUMIFS('Base bordo'!G$2:G$746,'Base bordo'!C$2:C$746,A892,'Base bordo'!B$2:B$746,B892,'Base bordo'!F$2:F$746,"PATIO - RESERVA"),0)+IFERROR(SUMIFS('Base bordo'!G$2:G$746,'Base bordo'!C$2:C$746,A892,'Base bordo'!B$2:B$746,B892,'Base bordo'!F$2:F$746,"MANOBRA CARRETAS-PATIO"),0)</f>
        <v>9.2025000000000006</v>
      </c>
      <c r="J892" s="10">
        <f>IFERROR(SUMIFS('Base bordo'!G$2:G$746,'Base bordo'!C$2:C$746,A892,'Base bordo'!B$2:B$746,B892,'Base bordo'!F$2:F$746,"BALANÇA - ENTRADA"),0)+IFERROR(SUMIFS('Base bordo'!G$2:G$746,'Base bordo'!C$2:C$746,A892,'Base bordo'!B$2:B$746,B892,'Base bordo'!F$2:F$746,"BALANÇA - SAÍDA"),0)</f>
        <v>5.3055555555555557E-2</v>
      </c>
      <c r="K892" s="10">
        <f>IFERROR(SUMIFS('Base bordo'!G$2:G$746,'Base bordo'!C$2:C$746,A892,'Base bordo'!B$2:B$746,B892,'Base bordo'!F$2:F$746,"MAN PREVENTIVA - MECANICA"),0)+IFERROR(SUMIFS('Base bordo'!G$2:G$746,'Base bordo'!C$2:C$746,A892,'Base bordo'!B$2:B$746,B892,'Base bordo'!F$2:F$746,"MAN CORRETIVA - MECANICA"),0)</f>
        <v>0</v>
      </c>
      <c r="L892" s="10">
        <f>IFERROR(SUMIFS('Base bordo'!G$2:G$746,'Base bordo'!C$2:C$746,A892,'Base bordo'!B$2:B$746,B892,'Base bordo'!F$2:F$746,"MANUTENCAO - T O"),0)+IFERROR(SUMIFS('Base bordo'!G$2:G$746,'Base bordo'!C$2:C$746,A892,'Base bordo'!B$2:B$746,B892,'Base bordo'!F$2:F$746,"MANUTENCAO BORRACHARIA"),0)+IFERROR(SUMIFS('Base bordo'!G$2:G$746,'Base bordo'!C$2:C$746,A892,'Base bordo'!B$2:B$746,B892,'Base bordo'!F$2:F$746,"MANUTENCAO EXTERNA  CONCESSIONARIA"),0)+IFERROR(SUMIFS('Base bordo'!G$2:G$746,'Base bordo'!C$2:C$746,A892,'Base bordo'!B$2:B$746,B892,'Base bordo'!F$2:F$746,"MANUTENCAO TELEMETRIA"),0)</f>
        <v>0</v>
      </c>
      <c r="M892" s="10">
        <f>IFERROR(SUMIFS('Base bordo'!G$2:G$746,'Base bordo'!C$2:C$746,A892,'Base bordo'!B$2:B$746,B892,'Base bordo'!F$2:F$746,"AGUARDANDO MANUTENCAO"),0)</f>
        <v>0</v>
      </c>
      <c r="N892" s="10">
        <f>IFERROR(SUMIFS('Base bordo'!G$2:G$746,'Base bordo'!C$2:C$746,A892,'Base bordo'!B$2:B$746,B892,'Base bordo'!F$2:F$746,"SEM APONTAMENTO"),0)</f>
        <v>0</v>
      </c>
      <c r="O892" s="10">
        <f t="shared" si="90"/>
        <v>-3.5527136788005009E-15</v>
      </c>
      <c r="P892" s="10">
        <f>IFERROR(SUMIFS('Base bordo'!G$2:G$746,'Base bordo'!C$2:C$746,A892,'Base bordo'!B$2:B$746,B892),0)</f>
        <v>9.5294444444444419</v>
      </c>
      <c r="Q892" s="10">
        <f>IFERROR(SUMIFS('Base bordo'!H$2:H$746,'Base bordo'!C$2:C$746,A892,'Base bordo'!B$2:B$746,B892,'Base bordo'!F$2:F$746,"DESLOCAMENTO VAZIO"),0)</f>
        <v>8165.6500000000015</v>
      </c>
      <c r="R892" s="10">
        <f>IFERROR(SUMIFS('Base bordo'!I$2:I$746,'Base bordo'!C$2:C$746,A892,'Base bordo'!B$2:B$746,B892,'Base bordo'!F$2:F$746,"DESLOCAMENTO VAZIO"),0)</f>
        <v>922</v>
      </c>
      <c r="S892" s="30">
        <f t="shared" si="91"/>
        <v>8.8564533622559676</v>
      </c>
      <c r="T892" s="10">
        <f>IFERROR(SUMIFS('Base bordo'!H$2:H$746,'Base bordo'!C$2:C$746,A892,'Base bordo'!B$2:B$746,B892,'Base bordo'!F$2:F$746,"DESLOCAMENTO CARREGADO"),0)</f>
        <v>245.12</v>
      </c>
      <c r="U892" s="10">
        <f>IFERROR(SUMIFS('Base bordo'!I$2:I$746,'Base bordo'!C$2:C$746,A892,'Base bordo'!B$2:B$746,B892,'Base bordo'!F$2:F$746,"DESLOCAMENTO CARREGADO"),0)</f>
        <v>64</v>
      </c>
      <c r="V892" s="30">
        <f t="shared" si="92"/>
        <v>3.83</v>
      </c>
      <c r="W892" s="9">
        <f t="shared" si="93"/>
        <v>2.6875765172273081E-2</v>
      </c>
      <c r="X892" s="9">
        <f t="shared" si="94"/>
        <v>1.8655628752987821E-3</v>
      </c>
      <c r="Y892" s="9">
        <f t="shared" si="95"/>
        <v>0.9712586719524281</v>
      </c>
    </row>
    <row r="893" spans="1:25" ht="15" customHeight="1" x14ac:dyDescent="0.35">
      <c r="A893" s="52">
        <v>8013469</v>
      </c>
      <c r="B893" s="51">
        <v>46119</v>
      </c>
      <c r="C893" s="7" t="s">
        <v>124</v>
      </c>
      <c r="D893" s="10">
        <f>IFERROR(SUMIFS('Base bordo'!G$2:G$746,'Base bordo'!C$2:C$746,A893,'Base bordo'!B$2:B$746,B893,'Base bordo'!F$2:F$746,"DESLOCAMENTO VAZIO"),0)</f>
        <v>0.25611111111111112</v>
      </c>
      <c r="E893" s="10">
        <f>IFERROR(SUMIFS('Base bordo'!G$2:G$746,'Base bordo'!C$2:C$746,A893,'Base bordo'!B$2:B$746,B893,'Base bordo'!F$2:F$746,"DESLOCAMENTO CARREGADO"),0)</f>
        <v>1.7777777777777778E-2</v>
      </c>
      <c r="F893" s="10">
        <f>IFERROR(SUMIFS('Base bordo'!G$2:G$746,'Base bordo'!C$2:C$746,A893,'Base bordo'!B$2:B$746,B893,'Base bordo'!F$2:F$746,"DESLOCAMENTO"),0)</f>
        <v>0</v>
      </c>
      <c r="G893" s="10">
        <f>IFERROR(SUMIFS('Base bordo'!G$2:G$746,'Base bordo'!C$2:C$746,A893,'Base bordo'!B$2:B$746,B893,'Base bordo'!F$2:F$746,"CARREGAMENTO"),0)</f>
        <v>0</v>
      </c>
      <c r="H893" s="10">
        <f>IFERROR(SUMIFS('Base bordo'!G$2:G$746,'Base bordo'!C$2:C$746,A893,'Base bordo'!B$2:B$746,B893,'Base bordo'!F$2:F$746,"AGUARDANDO TRANSBORDO"),0)</f>
        <v>0</v>
      </c>
      <c r="I893" s="10">
        <f>IFERROR(SUMIFS('Base bordo'!G$2:G$746,'Base bordo'!C$2:C$746,A893,'Base bordo'!B$2:B$746,B893,'Base bordo'!F$2:F$746,"PÁTIO INTERNO"),0)+IFERROR(SUMIFS('Base bordo'!G$2:G$746,'Base bordo'!C$2:C$746,A893,'Base bordo'!B$2:B$746,B893,'Base bordo'!F$2:F$746,"PÁTIO EXTERNO"),0)+IFERROR(SUMIFS('Base bordo'!G$2:G$746,'Base bordo'!C$2:C$746,A893,'Base bordo'!B$2:B$746,B893,'Base bordo'!F$2:F$746,"PATIO - RESERVA"),0)+IFERROR(SUMIFS('Base bordo'!G$2:G$746,'Base bordo'!C$2:C$746,A893,'Base bordo'!B$2:B$746,B893,'Base bordo'!F$2:F$746,"MANOBRA CARRETAS-PATIO"),0)</f>
        <v>9.2025000000000006</v>
      </c>
      <c r="J893" s="10">
        <f>IFERROR(SUMIFS('Base bordo'!G$2:G$746,'Base bordo'!C$2:C$746,A893,'Base bordo'!B$2:B$746,B893,'Base bordo'!F$2:F$746,"BALANÇA - ENTRADA"),0)+IFERROR(SUMIFS('Base bordo'!G$2:G$746,'Base bordo'!C$2:C$746,A893,'Base bordo'!B$2:B$746,B893,'Base bordo'!F$2:F$746,"BALANÇA - SAÍDA"),0)</f>
        <v>5.3055555555555557E-2</v>
      </c>
      <c r="K893" s="10">
        <f>IFERROR(SUMIFS('Base bordo'!G$2:G$746,'Base bordo'!C$2:C$746,A893,'Base bordo'!B$2:B$746,B893,'Base bordo'!F$2:F$746,"MAN PREVENTIVA - MECANICA"),0)+IFERROR(SUMIFS('Base bordo'!G$2:G$746,'Base bordo'!C$2:C$746,A893,'Base bordo'!B$2:B$746,B893,'Base bordo'!F$2:F$746,"MAN CORRETIVA - MECANICA"),0)</f>
        <v>0</v>
      </c>
      <c r="L893" s="10">
        <f>IFERROR(SUMIFS('Base bordo'!G$2:G$746,'Base bordo'!C$2:C$746,A893,'Base bordo'!B$2:B$746,B893,'Base bordo'!F$2:F$746,"MANUTENCAO - T O"),0)+IFERROR(SUMIFS('Base bordo'!G$2:G$746,'Base bordo'!C$2:C$746,A893,'Base bordo'!B$2:B$746,B893,'Base bordo'!F$2:F$746,"MANUTENCAO BORRACHARIA"),0)+IFERROR(SUMIFS('Base bordo'!G$2:G$746,'Base bordo'!C$2:C$746,A893,'Base bordo'!B$2:B$746,B893,'Base bordo'!F$2:F$746,"MANUTENCAO EXTERNA  CONCESSIONARIA"),0)+IFERROR(SUMIFS('Base bordo'!G$2:G$746,'Base bordo'!C$2:C$746,A893,'Base bordo'!B$2:B$746,B893,'Base bordo'!F$2:F$746,"MANUTENCAO TELEMETRIA"),0)</f>
        <v>0</v>
      </c>
      <c r="M893" s="10">
        <f>IFERROR(SUMIFS('Base bordo'!G$2:G$746,'Base bordo'!C$2:C$746,A893,'Base bordo'!B$2:B$746,B893,'Base bordo'!F$2:F$746,"AGUARDANDO MANUTENCAO"),0)</f>
        <v>0</v>
      </c>
      <c r="N893" s="10">
        <f>IFERROR(SUMIFS('Base bordo'!G$2:G$746,'Base bordo'!C$2:C$746,A893,'Base bordo'!B$2:B$746,B893,'Base bordo'!F$2:F$746,"SEM APONTAMENTO"),0)</f>
        <v>0</v>
      </c>
      <c r="O893" s="10">
        <f t="shared" si="90"/>
        <v>-3.5527136788005009E-15</v>
      </c>
      <c r="P893" s="10">
        <f>IFERROR(SUMIFS('Base bordo'!G$2:G$746,'Base bordo'!C$2:C$746,A893,'Base bordo'!B$2:B$746,B893),0)</f>
        <v>9.5294444444444419</v>
      </c>
      <c r="Q893" s="10">
        <f>IFERROR(SUMIFS('Base bordo'!H$2:H$746,'Base bordo'!C$2:C$746,A893,'Base bordo'!B$2:B$746,B893,'Base bordo'!F$2:F$746,"DESLOCAMENTO VAZIO"),0)</f>
        <v>8165.6500000000015</v>
      </c>
      <c r="R893" s="10">
        <f>IFERROR(SUMIFS('Base bordo'!I$2:I$746,'Base bordo'!C$2:C$746,A893,'Base bordo'!B$2:B$746,B893,'Base bordo'!F$2:F$746,"DESLOCAMENTO VAZIO"),0)</f>
        <v>922</v>
      </c>
      <c r="S893" s="30">
        <f t="shared" si="91"/>
        <v>8.8564533622559676</v>
      </c>
      <c r="T893" s="10">
        <f>IFERROR(SUMIFS('Base bordo'!H$2:H$746,'Base bordo'!C$2:C$746,A893,'Base bordo'!B$2:B$746,B893,'Base bordo'!F$2:F$746,"DESLOCAMENTO CARREGADO"),0)</f>
        <v>245.12</v>
      </c>
      <c r="U893" s="10">
        <f>IFERROR(SUMIFS('Base bordo'!I$2:I$746,'Base bordo'!C$2:C$746,A893,'Base bordo'!B$2:B$746,B893,'Base bordo'!F$2:F$746,"DESLOCAMENTO CARREGADO"),0)</f>
        <v>64</v>
      </c>
      <c r="V893" s="30">
        <f t="shared" si="92"/>
        <v>3.83</v>
      </c>
      <c r="W893" s="9">
        <f t="shared" si="93"/>
        <v>2.6875765172273081E-2</v>
      </c>
      <c r="X893" s="9">
        <f t="shared" si="94"/>
        <v>1.8655628752987821E-3</v>
      </c>
      <c r="Y893" s="9">
        <f t="shared" si="95"/>
        <v>0.9712586719524281</v>
      </c>
    </row>
    <row r="894" spans="1:25" ht="15" customHeight="1" x14ac:dyDescent="0.35">
      <c r="A894" s="52">
        <v>8013469</v>
      </c>
      <c r="B894" s="51">
        <v>46119</v>
      </c>
      <c r="C894" s="7" t="s">
        <v>124</v>
      </c>
      <c r="D894" s="10">
        <f>IFERROR(SUMIFS('Base bordo'!G$2:G$746,'Base bordo'!C$2:C$746,A894,'Base bordo'!B$2:B$746,B894,'Base bordo'!F$2:F$746,"DESLOCAMENTO VAZIO"),0)</f>
        <v>0.25611111111111112</v>
      </c>
      <c r="E894" s="10">
        <f>IFERROR(SUMIFS('Base bordo'!G$2:G$746,'Base bordo'!C$2:C$746,A894,'Base bordo'!B$2:B$746,B894,'Base bordo'!F$2:F$746,"DESLOCAMENTO CARREGADO"),0)</f>
        <v>1.7777777777777778E-2</v>
      </c>
      <c r="F894" s="10">
        <f>IFERROR(SUMIFS('Base bordo'!G$2:G$746,'Base bordo'!C$2:C$746,A894,'Base bordo'!B$2:B$746,B894,'Base bordo'!F$2:F$746,"DESLOCAMENTO"),0)</f>
        <v>0</v>
      </c>
      <c r="G894" s="10">
        <f>IFERROR(SUMIFS('Base bordo'!G$2:G$746,'Base bordo'!C$2:C$746,A894,'Base bordo'!B$2:B$746,B894,'Base bordo'!F$2:F$746,"CARREGAMENTO"),0)</f>
        <v>0</v>
      </c>
      <c r="H894" s="10">
        <f>IFERROR(SUMIFS('Base bordo'!G$2:G$746,'Base bordo'!C$2:C$746,A894,'Base bordo'!B$2:B$746,B894,'Base bordo'!F$2:F$746,"AGUARDANDO TRANSBORDO"),0)</f>
        <v>0</v>
      </c>
      <c r="I894" s="10">
        <f>IFERROR(SUMIFS('Base bordo'!G$2:G$746,'Base bordo'!C$2:C$746,A894,'Base bordo'!B$2:B$746,B894,'Base bordo'!F$2:F$746,"PÁTIO INTERNO"),0)+IFERROR(SUMIFS('Base bordo'!G$2:G$746,'Base bordo'!C$2:C$746,A894,'Base bordo'!B$2:B$746,B894,'Base bordo'!F$2:F$746,"PÁTIO EXTERNO"),0)+IFERROR(SUMIFS('Base bordo'!G$2:G$746,'Base bordo'!C$2:C$746,A894,'Base bordo'!B$2:B$746,B894,'Base bordo'!F$2:F$746,"PATIO - RESERVA"),0)+IFERROR(SUMIFS('Base bordo'!G$2:G$746,'Base bordo'!C$2:C$746,A894,'Base bordo'!B$2:B$746,B894,'Base bordo'!F$2:F$746,"MANOBRA CARRETAS-PATIO"),0)</f>
        <v>9.2025000000000006</v>
      </c>
      <c r="J894" s="10">
        <f>IFERROR(SUMIFS('Base bordo'!G$2:G$746,'Base bordo'!C$2:C$746,A894,'Base bordo'!B$2:B$746,B894,'Base bordo'!F$2:F$746,"BALANÇA - ENTRADA"),0)+IFERROR(SUMIFS('Base bordo'!G$2:G$746,'Base bordo'!C$2:C$746,A894,'Base bordo'!B$2:B$746,B894,'Base bordo'!F$2:F$746,"BALANÇA - SAÍDA"),0)</f>
        <v>5.3055555555555557E-2</v>
      </c>
      <c r="K894" s="10">
        <f>IFERROR(SUMIFS('Base bordo'!G$2:G$746,'Base bordo'!C$2:C$746,A894,'Base bordo'!B$2:B$746,B894,'Base bordo'!F$2:F$746,"MAN PREVENTIVA - MECANICA"),0)+IFERROR(SUMIFS('Base bordo'!G$2:G$746,'Base bordo'!C$2:C$746,A894,'Base bordo'!B$2:B$746,B894,'Base bordo'!F$2:F$746,"MAN CORRETIVA - MECANICA"),0)</f>
        <v>0</v>
      </c>
      <c r="L894" s="10">
        <f>IFERROR(SUMIFS('Base bordo'!G$2:G$746,'Base bordo'!C$2:C$746,A894,'Base bordo'!B$2:B$746,B894,'Base bordo'!F$2:F$746,"MANUTENCAO - T O"),0)+IFERROR(SUMIFS('Base bordo'!G$2:G$746,'Base bordo'!C$2:C$746,A894,'Base bordo'!B$2:B$746,B894,'Base bordo'!F$2:F$746,"MANUTENCAO BORRACHARIA"),0)+IFERROR(SUMIFS('Base bordo'!G$2:G$746,'Base bordo'!C$2:C$746,A894,'Base bordo'!B$2:B$746,B894,'Base bordo'!F$2:F$746,"MANUTENCAO EXTERNA  CONCESSIONARIA"),0)+IFERROR(SUMIFS('Base bordo'!G$2:G$746,'Base bordo'!C$2:C$746,A894,'Base bordo'!B$2:B$746,B894,'Base bordo'!F$2:F$746,"MANUTENCAO TELEMETRIA"),0)</f>
        <v>0</v>
      </c>
      <c r="M894" s="10">
        <f>IFERROR(SUMIFS('Base bordo'!G$2:G$746,'Base bordo'!C$2:C$746,A894,'Base bordo'!B$2:B$746,B894,'Base bordo'!F$2:F$746,"AGUARDANDO MANUTENCAO"),0)</f>
        <v>0</v>
      </c>
      <c r="N894" s="10">
        <f>IFERROR(SUMIFS('Base bordo'!G$2:G$746,'Base bordo'!C$2:C$746,A894,'Base bordo'!B$2:B$746,B894,'Base bordo'!F$2:F$746,"SEM APONTAMENTO"),0)</f>
        <v>0</v>
      </c>
      <c r="O894" s="10">
        <f t="shared" si="90"/>
        <v>-3.5527136788005009E-15</v>
      </c>
      <c r="P894" s="10">
        <f>IFERROR(SUMIFS('Base bordo'!G$2:G$746,'Base bordo'!C$2:C$746,A894,'Base bordo'!B$2:B$746,B894),0)</f>
        <v>9.5294444444444419</v>
      </c>
      <c r="Q894" s="10">
        <f>IFERROR(SUMIFS('Base bordo'!H$2:H$746,'Base bordo'!C$2:C$746,A894,'Base bordo'!B$2:B$746,B894,'Base bordo'!F$2:F$746,"DESLOCAMENTO VAZIO"),0)</f>
        <v>8165.6500000000015</v>
      </c>
      <c r="R894" s="10">
        <f>IFERROR(SUMIFS('Base bordo'!I$2:I$746,'Base bordo'!C$2:C$746,A894,'Base bordo'!B$2:B$746,B894,'Base bordo'!F$2:F$746,"DESLOCAMENTO VAZIO"),0)</f>
        <v>922</v>
      </c>
      <c r="S894" s="30">
        <f t="shared" si="91"/>
        <v>8.8564533622559676</v>
      </c>
      <c r="T894" s="10">
        <f>IFERROR(SUMIFS('Base bordo'!H$2:H$746,'Base bordo'!C$2:C$746,A894,'Base bordo'!B$2:B$746,B894,'Base bordo'!F$2:F$746,"DESLOCAMENTO CARREGADO"),0)</f>
        <v>245.12</v>
      </c>
      <c r="U894" s="10">
        <f>IFERROR(SUMIFS('Base bordo'!I$2:I$746,'Base bordo'!C$2:C$746,A894,'Base bordo'!B$2:B$746,B894,'Base bordo'!F$2:F$746,"DESLOCAMENTO CARREGADO"),0)</f>
        <v>64</v>
      </c>
      <c r="V894" s="30">
        <f t="shared" si="92"/>
        <v>3.83</v>
      </c>
      <c r="W894" s="9">
        <f t="shared" si="93"/>
        <v>2.6875765172273081E-2</v>
      </c>
      <c r="X894" s="9">
        <f t="shared" si="94"/>
        <v>1.8655628752987821E-3</v>
      </c>
      <c r="Y894" s="9">
        <f t="shared" si="95"/>
        <v>0.9712586719524281</v>
      </c>
    </row>
    <row r="895" spans="1:25" ht="15" customHeight="1" x14ac:dyDescent="0.35">
      <c r="A895" s="52">
        <v>8013469</v>
      </c>
      <c r="B895" s="51">
        <v>46119</v>
      </c>
      <c r="C895" s="7" t="s">
        <v>124</v>
      </c>
      <c r="D895" s="10">
        <f>IFERROR(SUMIFS('Base bordo'!G$2:G$746,'Base bordo'!C$2:C$746,A895,'Base bordo'!B$2:B$746,B895,'Base bordo'!F$2:F$746,"DESLOCAMENTO VAZIO"),0)</f>
        <v>0.25611111111111112</v>
      </c>
      <c r="E895" s="10">
        <f>IFERROR(SUMIFS('Base bordo'!G$2:G$746,'Base bordo'!C$2:C$746,A895,'Base bordo'!B$2:B$746,B895,'Base bordo'!F$2:F$746,"DESLOCAMENTO CARREGADO"),0)</f>
        <v>1.7777777777777778E-2</v>
      </c>
      <c r="F895" s="10">
        <f>IFERROR(SUMIFS('Base bordo'!G$2:G$746,'Base bordo'!C$2:C$746,A895,'Base bordo'!B$2:B$746,B895,'Base bordo'!F$2:F$746,"DESLOCAMENTO"),0)</f>
        <v>0</v>
      </c>
      <c r="G895" s="10">
        <f>IFERROR(SUMIFS('Base bordo'!G$2:G$746,'Base bordo'!C$2:C$746,A895,'Base bordo'!B$2:B$746,B895,'Base bordo'!F$2:F$746,"CARREGAMENTO"),0)</f>
        <v>0</v>
      </c>
      <c r="H895" s="10">
        <f>IFERROR(SUMIFS('Base bordo'!G$2:G$746,'Base bordo'!C$2:C$746,A895,'Base bordo'!B$2:B$746,B895,'Base bordo'!F$2:F$746,"AGUARDANDO TRANSBORDO"),0)</f>
        <v>0</v>
      </c>
      <c r="I895" s="10">
        <f>IFERROR(SUMIFS('Base bordo'!G$2:G$746,'Base bordo'!C$2:C$746,A895,'Base bordo'!B$2:B$746,B895,'Base bordo'!F$2:F$746,"PÁTIO INTERNO"),0)+IFERROR(SUMIFS('Base bordo'!G$2:G$746,'Base bordo'!C$2:C$746,A895,'Base bordo'!B$2:B$746,B895,'Base bordo'!F$2:F$746,"PÁTIO EXTERNO"),0)+IFERROR(SUMIFS('Base bordo'!G$2:G$746,'Base bordo'!C$2:C$746,A895,'Base bordo'!B$2:B$746,B895,'Base bordo'!F$2:F$746,"PATIO - RESERVA"),0)+IFERROR(SUMIFS('Base bordo'!G$2:G$746,'Base bordo'!C$2:C$746,A895,'Base bordo'!B$2:B$746,B895,'Base bordo'!F$2:F$746,"MANOBRA CARRETAS-PATIO"),0)</f>
        <v>9.2025000000000006</v>
      </c>
      <c r="J895" s="10">
        <f>IFERROR(SUMIFS('Base bordo'!G$2:G$746,'Base bordo'!C$2:C$746,A895,'Base bordo'!B$2:B$746,B895,'Base bordo'!F$2:F$746,"BALANÇA - ENTRADA"),0)+IFERROR(SUMIFS('Base bordo'!G$2:G$746,'Base bordo'!C$2:C$746,A895,'Base bordo'!B$2:B$746,B895,'Base bordo'!F$2:F$746,"BALANÇA - SAÍDA"),0)</f>
        <v>5.3055555555555557E-2</v>
      </c>
      <c r="K895" s="10">
        <f>IFERROR(SUMIFS('Base bordo'!G$2:G$746,'Base bordo'!C$2:C$746,A895,'Base bordo'!B$2:B$746,B895,'Base bordo'!F$2:F$746,"MAN PREVENTIVA - MECANICA"),0)+IFERROR(SUMIFS('Base bordo'!G$2:G$746,'Base bordo'!C$2:C$746,A895,'Base bordo'!B$2:B$746,B895,'Base bordo'!F$2:F$746,"MAN CORRETIVA - MECANICA"),0)</f>
        <v>0</v>
      </c>
      <c r="L895" s="10">
        <f>IFERROR(SUMIFS('Base bordo'!G$2:G$746,'Base bordo'!C$2:C$746,A895,'Base bordo'!B$2:B$746,B895,'Base bordo'!F$2:F$746,"MANUTENCAO - T O"),0)+IFERROR(SUMIFS('Base bordo'!G$2:G$746,'Base bordo'!C$2:C$746,A895,'Base bordo'!B$2:B$746,B895,'Base bordo'!F$2:F$746,"MANUTENCAO BORRACHARIA"),0)+IFERROR(SUMIFS('Base bordo'!G$2:G$746,'Base bordo'!C$2:C$746,A895,'Base bordo'!B$2:B$746,B895,'Base bordo'!F$2:F$746,"MANUTENCAO EXTERNA  CONCESSIONARIA"),0)+IFERROR(SUMIFS('Base bordo'!G$2:G$746,'Base bordo'!C$2:C$746,A895,'Base bordo'!B$2:B$746,B895,'Base bordo'!F$2:F$746,"MANUTENCAO TELEMETRIA"),0)</f>
        <v>0</v>
      </c>
      <c r="M895" s="10">
        <f>IFERROR(SUMIFS('Base bordo'!G$2:G$746,'Base bordo'!C$2:C$746,A895,'Base bordo'!B$2:B$746,B895,'Base bordo'!F$2:F$746,"AGUARDANDO MANUTENCAO"),0)</f>
        <v>0</v>
      </c>
      <c r="N895" s="10">
        <f>IFERROR(SUMIFS('Base bordo'!G$2:G$746,'Base bordo'!C$2:C$746,A895,'Base bordo'!B$2:B$746,B895,'Base bordo'!F$2:F$746,"SEM APONTAMENTO"),0)</f>
        <v>0</v>
      </c>
      <c r="O895" s="10">
        <f t="shared" si="90"/>
        <v>-3.5527136788005009E-15</v>
      </c>
      <c r="P895" s="10">
        <f>IFERROR(SUMIFS('Base bordo'!G$2:G$746,'Base bordo'!C$2:C$746,A895,'Base bordo'!B$2:B$746,B895),0)</f>
        <v>9.5294444444444419</v>
      </c>
      <c r="Q895" s="10">
        <f>IFERROR(SUMIFS('Base bordo'!H$2:H$746,'Base bordo'!C$2:C$746,A895,'Base bordo'!B$2:B$746,B895,'Base bordo'!F$2:F$746,"DESLOCAMENTO VAZIO"),0)</f>
        <v>8165.6500000000015</v>
      </c>
      <c r="R895" s="10">
        <f>IFERROR(SUMIFS('Base bordo'!I$2:I$746,'Base bordo'!C$2:C$746,A895,'Base bordo'!B$2:B$746,B895,'Base bordo'!F$2:F$746,"DESLOCAMENTO VAZIO"),0)</f>
        <v>922</v>
      </c>
      <c r="S895" s="30">
        <f t="shared" si="91"/>
        <v>8.8564533622559676</v>
      </c>
      <c r="T895" s="10">
        <f>IFERROR(SUMIFS('Base bordo'!H$2:H$746,'Base bordo'!C$2:C$746,A895,'Base bordo'!B$2:B$746,B895,'Base bordo'!F$2:F$746,"DESLOCAMENTO CARREGADO"),0)</f>
        <v>245.12</v>
      </c>
      <c r="U895" s="10">
        <f>IFERROR(SUMIFS('Base bordo'!I$2:I$746,'Base bordo'!C$2:C$746,A895,'Base bordo'!B$2:B$746,B895,'Base bordo'!F$2:F$746,"DESLOCAMENTO CARREGADO"),0)</f>
        <v>64</v>
      </c>
      <c r="V895" s="30">
        <f t="shared" si="92"/>
        <v>3.83</v>
      </c>
      <c r="W895" s="9">
        <f t="shared" si="93"/>
        <v>2.6875765172273081E-2</v>
      </c>
      <c r="X895" s="9">
        <f t="shared" si="94"/>
        <v>1.8655628752987821E-3</v>
      </c>
      <c r="Y895" s="9">
        <f t="shared" si="95"/>
        <v>0.9712586719524281</v>
      </c>
    </row>
    <row r="896" spans="1:25" ht="15" customHeight="1" x14ac:dyDescent="0.35">
      <c r="A896" s="52">
        <v>8013469</v>
      </c>
      <c r="B896" s="51">
        <v>46119</v>
      </c>
      <c r="C896" s="7" t="s">
        <v>124</v>
      </c>
      <c r="D896" s="10">
        <f>IFERROR(SUMIFS('Base bordo'!G$2:G$746,'Base bordo'!C$2:C$746,A896,'Base bordo'!B$2:B$746,B896,'Base bordo'!F$2:F$746,"DESLOCAMENTO VAZIO"),0)</f>
        <v>0.25611111111111112</v>
      </c>
      <c r="E896" s="10">
        <f>IFERROR(SUMIFS('Base bordo'!G$2:G$746,'Base bordo'!C$2:C$746,A896,'Base bordo'!B$2:B$746,B896,'Base bordo'!F$2:F$746,"DESLOCAMENTO CARREGADO"),0)</f>
        <v>1.7777777777777778E-2</v>
      </c>
      <c r="F896" s="10">
        <f>IFERROR(SUMIFS('Base bordo'!G$2:G$746,'Base bordo'!C$2:C$746,A896,'Base bordo'!B$2:B$746,B896,'Base bordo'!F$2:F$746,"DESLOCAMENTO"),0)</f>
        <v>0</v>
      </c>
      <c r="G896" s="10">
        <f>IFERROR(SUMIFS('Base bordo'!G$2:G$746,'Base bordo'!C$2:C$746,A896,'Base bordo'!B$2:B$746,B896,'Base bordo'!F$2:F$746,"CARREGAMENTO"),0)</f>
        <v>0</v>
      </c>
      <c r="H896" s="10">
        <f>IFERROR(SUMIFS('Base bordo'!G$2:G$746,'Base bordo'!C$2:C$746,A896,'Base bordo'!B$2:B$746,B896,'Base bordo'!F$2:F$746,"AGUARDANDO TRANSBORDO"),0)</f>
        <v>0</v>
      </c>
      <c r="I896" s="10">
        <f>IFERROR(SUMIFS('Base bordo'!G$2:G$746,'Base bordo'!C$2:C$746,A896,'Base bordo'!B$2:B$746,B896,'Base bordo'!F$2:F$746,"PÁTIO INTERNO"),0)+IFERROR(SUMIFS('Base bordo'!G$2:G$746,'Base bordo'!C$2:C$746,A896,'Base bordo'!B$2:B$746,B896,'Base bordo'!F$2:F$746,"PÁTIO EXTERNO"),0)+IFERROR(SUMIFS('Base bordo'!G$2:G$746,'Base bordo'!C$2:C$746,A896,'Base bordo'!B$2:B$746,B896,'Base bordo'!F$2:F$746,"PATIO - RESERVA"),0)+IFERROR(SUMIFS('Base bordo'!G$2:G$746,'Base bordo'!C$2:C$746,A896,'Base bordo'!B$2:B$746,B896,'Base bordo'!F$2:F$746,"MANOBRA CARRETAS-PATIO"),0)</f>
        <v>9.2025000000000006</v>
      </c>
      <c r="J896" s="10">
        <f>IFERROR(SUMIFS('Base bordo'!G$2:G$746,'Base bordo'!C$2:C$746,A896,'Base bordo'!B$2:B$746,B896,'Base bordo'!F$2:F$746,"BALANÇA - ENTRADA"),0)+IFERROR(SUMIFS('Base bordo'!G$2:G$746,'Base bordo'!C$2:C$746,A896,'Base bordo'!B$2:B$746,B896,'Base bordo'!F$2:F$746,"BALANÇA - SAÍDA"),0)</f>
        <v>5.3055555555555557E-2</v>
      </c>
      <c r="K896" s="10">
        <f>IFERROR(SUMIFS('Base bordo'!G$2:G$746,'Base bordo'!C$2:C$746,A896,'Base bordo'!B$2:B$746,B896,'Base bordo'!F$2:F$746,"MAN PREVENTIVA - MECANICA"),0)+IFERROR(SUMIFS('Base bordo'!G$2:G$746,'Base bordo'!C$2:C$746,A896,'Base bordo'!B$2:B$746,B896,'Base bordo'!F$2:F$746,"MAN CORRETIVA - MECANICA"),0)</f>
        <v>0</v>
      </c>
      <c r="L896" s="10">
        <f>IFERROR(SUMIFS('Base bordo'!G$2:G$746,'Base bordo'!C$2:C$746,A896,'Base bordo'!B$2:B$746,B896,'Base bordo'!F$2:F$746,"MANUTENCAO - T O"),0)+IFERROR(SUMIFS('Base bordo'!G$2:G$746,'Base bordo'!C$2:C$746,A896,'Base bordo'!B$2:B$746,B896,'Base bordo'!F$2:F$746,"MANUTENCAO BORRACHARIA"),0)+IFERROR(SUMIFS('Base bordo'!G$2:G$746,'Base bordo'!C$2:C$746,A896,'Base bordo'!B$2:B$746,B896,'Base bordo'!F$2:F$746,"MANUTENCAO EXTERNA  CONCESSIONARIA"),0)+IFERROR(SUMIFS('Base bordo'!G$2:G$746,'Base bordo'!C$2:C$746,A896,'Base bordo'!B$2:B$746,B896,'Base bordo'!F$2:F$746,"MANUTENCAO TELEMETRIA"),0)</f>
        <v>0</v>
      </c>
      <c r="M896" s="10">
        <f>IFERROR(SUMIFS('Base bordo'!G$2:G$746,'Base bordo'!C$2:C$746,A896,'Base bordo'!B$2:B$746,B896,'Base bordo'!F$2:F$746,"AGUARDANDO MANUTENCAO"),0)</f>
        <v>0</v>
      </c>
      <c r="N896" s="10">
        <f>IFERROR(SUMIFS('Base bordo'!G$2:G$746,'Base bordo'!C$2:C$746,A896,'Base bordo'!B$2:B$746,B896,'Base bordo'!F$2:F$746,"SEM APONTAMENTO"),0)</f>
        <v>0</v>
      </c>
      <c r="O896" s="10">
        <f t="shared" si="90"/>
        <v>-3.5527136788005009E-15</v>
      </c>
      <c r="P896" s="10">
        <f>IFERROR(SUMIFS('Base bordo'!G$2:G$746,'Base bordo'!C$2:C$746,A896,'Base bordo'!B$2:B$746,B896),0)</f>
        <v>9.5294444444444419</v>
      </c>
      <c r="Q896" s="10">
        <f>IFERROR(SUMIFS('Base bordo'!H$2:H$746,'Base bordo'!C$2:C$746,A896,'Base bordo'!B$2:B$746,B896,'Base bordo'!F$2:F$746,"DESLOCAMENTO VAZIO"),0)</f>
        <v>8165.6500000000015</v>
      </c>
      <c r="R896" s="10">
        <f>IFERROR(SUMIFS('Base bordo'!I$2:I$746,'Base bordo'!C$2:C$746,A896,'Base bordo'!B$2:B$746,B896,'Base bordo'!F$2:F$746,"DESLOCAMENTO VAZIO"),0)</f>
        <v>922</v>
      </c>
      <c r="S896" s="30">
        <f t="shared" si="91"/>
        <v>8.8564533622559676</v>
      </c>
      <c r="T896" s="10">
        <f>IFERROR(SUMIFS('Base bordo'!H$2:H$746,'Base bordo'!C$2:C$746,A896,'Base bordo'!B$2:B$746,B896,'Base bordo'!F$2:F$746,"DESLOCAMENTO CARREGADO"),0)</f>
        <v>245.12</v>
      </c>
      <c r="U896" s="10">
        <f>IFERROR(SUMIFS('Base bordo'!I$2:I$746,'Base bordo'!C$2:C$746,A896,'Base bordo'!B$2:B$746,B896,'Base bordo'!F$2:F$746,"DESLOCAMENTO CARREGADO"),0)</f>
        <v>64</v>
      </c>
      <c r="V896" s="30">
        <f t="shared" si="92"/>
        <v>3.83</v>
      </c>
      <c r="W896" s="9">
        <f t="shared" si="93"/>
        <v>2.6875765172273081E-2</v>
      </c>
      <c r="X896" s="9">
        <f t="shared" si="94"/>
        <v>1.8655628752987821E-3</v>
      </c>
      <c r="Y896" s="9">
        <f t="shared" si="95"/>
        <v>0.9712586719524281</v>
      </c>
    </row>
    <row r="897" spans="1:25" ht="15" customHeight="1" x14ac:dyDescent="0.35">
      <c r="A897" s="52">
        <v>8013469</v>
      </c>
      <c r="B897" s="51">
        <v>46119</v>
      </c>
      <c r="C897" s="7" t="s">
        <v>124</v>
      </c>
      <c r="D897" s="10">
        <f>IFERROR(SUMIFS('Base bordo'!G$2:G$746,'Base bordo'!C$2:C$746,A897,'Base bordo'!B$2:B$746,B897,'Base bordo'!F$2:F$746,"DESLOCAMENTO VAZIO"),0)</f>
        <v>0.25611111111111112</v>
      </c>
      <c r="E897" s="10">
        <f>IFERROR(SUMIFS('Base bordo'!G$2:G$746,'Base bordo'!C$2:C$746,A897,'Base bordo'!B$2:B$746,B897,'Base bordo'!F$2:F$746,"DESLOCAMENTO CARREGADO"),0)</f>
        <v>1.7777777777777778E-2</v>
      </c>
      <c r="F897" s="10">
        <f>IFERROR(SUMIFS('Base bordo'!G$2:G$746,'Base bordo'!C$2:C$746,A897,'Base bordo'!B$2:B$746,B897,'Base bordo'!F$2:F$746,"DESLOCAMENTO"),0)</f>
        <v>0</v>
      </c>
      <c r="G897" s="10">
        <f>IFERROR(SUMIFS('Base bordo'!G$2:G$746,'Base bordo'!C$2:C$746,A897,'Base bordo'!B$2:B$746,B897,'Base bordo'!F$2:F$746,"CARREGAMENTO"),0)</f>
        <v>0</v>
      </c>
      <c r="H897" s="10">
        <f>IFERROR(SUMIFS('Base bordo'!G$2:G$746,'Base bordo'!C$2:C$746,A897,'Base bordo'!B$2:B$746,B897,'Base bordo'!F$2:F$746,"AGUARDANDO TRANSBORDO"),0)</f>
        <v>0</v>
      </c>
      <c r="I897" s="10">
        <f>IFERROR(SUMIFS('Base bordo'!G$2:G$746,'Base bordo'!C$2:C$746,A897,'Base bordo'!B$2:B$746,B897,'Base bordo'!F$2:F$746,"PÁTIO INTERNO"),0)+IFERROR(SUMIFS('Base bordo'!G$2:G$746,'Base bordo'!C$2:C$746,A897,'Base bordo'!B$2:B$746,B897,'Base bordo'!F$2:F$746,"PÁTIO EXTERNO"),0)+IFERROR(SUMIFS('Base bordo'!G$2:G$746,'Base bordo'!C$2:C$746,A897,'Base bordo'!B$2:B$746,B897,'Base bordo'!F$2:F$746,"PATIO - RESERVA"),0)+IFERROR(SUMIFS('Base bordo'!G$2:G$746,'Base bordo'!C$2:C$746,A897,'Base bordo'!B$2:B$746,B897,'Base bordo'!F$2:F$746,"MANOBRA CARRETAS-PATIO"),0)</f>
        <v>9.2025000000000006</v>
      </c>
      <c r="J897" s="10">
        <f>IFERROR(SUMIFS('Base bordo'!G$2:G$746,'Base bordo'!C$2:C$746,A897,'Base bordo'!B$2:B$746,B897,'Base bordo'!F$2:F$746,"BALANÇA - ENTRADA"),0)+IFERROR(SUMIFS('Base bordo'!G$2:G$746,'Base bordo'!C$2:C$746,A897,'Base bordo'!B$2:B$746,B897,'Base bordo'!F$2:F$746,"BALANÇA - SAÍDA"),0)</f>
        <v>5.3055555555555557E-2</v>
      </c>
      <c r="K897" s="10">
        <f>IFERROR(SUMIFS('Base bordo'!G$2:G$746,'Base bordo'!C$2:C$746,A897,'Base bordo'!B$2:B$746,B897,'Base bordo'!F$2:F$746,"MAN PREVENTIVA - MECANICA"),0)+IFERROR(SUMIFS('Base bordo'!G$2:G$746,'Base bordo'!C$2:C$746,A897,'Base bordo'!B$2:B$746,B897,'Base bordo'!F$2:F$746,"MAN CORRETIVA - MECANICA"),0)</f>
        <v>0</v>
      </c>
      <c r="L897" s="10">
        <f>IFERROR(SUMIFS('Base bordo'!G$2:G$746,'Base bordo'!C$2:C$746,A897,'Base bordo'!B$2:B$746,B897,'Base bordo'!F$2:F$746,"MANUTENCAO - T O"),0)+IFERROR(SUMIFS('Base bordo'!G$2:G$746,'Base bordo'!C$2:C$746,A897,'Base bordo'!B$2:B$746,B897,'Base bordo'!F$2:F$746,"MANUTENCAO BORRACHARIA"),0)+IFERROR(SUMIFS('Base bordo'!G$2:G$746,'Base bordo'!C$2:C$746,A897,'Base bordo'!B$2:B$746,B897,'Base bordo'!F$2:F$746,"MANUTENCAO EXTERNA  CONCESSIONARIA"),0)+IFERROR(SUMIFS('Base bordo'!G$2:G$746,'Base bordo'!C$2:C$746,A897,'Base bordo'!B$2:B$746,B897,'Base bordo'!F$2:F$746,"MANUTENCAO TELEMETRIA"),0)</f>
        <v>0</v>
      </c>
      <c r="M897" s="10">
        <f>IFERROR(SUMIFS('Base bordo'!G$2:G$746,'Base bordo'!C$2:C$746,A897,'Base bordo'!B$2:B$746,B897,'Base bordo'!F$2:F$746,"AGUARDANDO MANUTENCAO"),0)</f>
        <v>0</v>
      </c>
      <c r="N897" s="10">
        <f>IFERROR(SUMIFS('Base bordo'!G$2:G$746,'Base bordo'!C$2:C$746,A897,'Base bordo'!B$2:B$746,B897,'Base bordo'!F$2:F$746,"SEM APONTAMENTO"),0)</f>
        <v>0</v>
      </c>
      <c r="O897" s="10">
        <f t="shared" si="90"/>
        <v>-3.5527136788005009E-15</v>
      </c>
      <c r="P897" s="10">
        <f>IFERROR(SUMIFS('Base bordo'!G$2:G$746,'Base bordo'!C$2:C$746,A897,'Base bordo'!B$2:B$746,B897),0)</f>
        <v>9.5294444444444419</v>
      </c>
      <c r="Q897" s="10">
        <f>IFERROR(SUMIFS('Base bordo'!H$2:H$746,'Base bordo'!C$2:C$746,A897,'Base bordo'!B$2:B$746,B897,'Base bordo'!F$2:F$746,"DESLOCAMENTO VAZIO"),0)</f>
        <v>8165.6500000000015</v>
      </c>
      <c r="R897" s="10">
        <f>IFERROR(SUMIFS('Base bordo'!I$2:I$746,'Base bordo'!C$2:C$746,A897,'Base bordo'!B$2:B$746,B897,'Base bordo'!F$2:F$746,"DESLOCAMENTO VAZIO"),0)</f>
        <v>922</v>
      </c>
      <c r="S897" s="30">
        <f t="shared" si="91"/>
        <v>8.8564533622559676</v>
      </c>
      <c r="T897" s="10">
        <f>IFERROR(SUMIFS('Base bordo'!H$2:H$746,'Base bordo'!C$2:C$746,A897,'Base bordo'!B$2:B$746,B897,'Base bordo'!F$2:F$746,"DESLOCAMENTO CARREGADO"),0)</f>
        <v>245.12</v>
      </c>
      <c r="U897" s="10">
        <f>IFERROR(SUMIFS('Base bordo'!I$2:I$746,'Base bordo'!C$2:C$746,A897,'Base bordo'!B$2:B$746,B897,'Base bordo'!F$2:F$746,"DESLOCAMENTO CARREGADO"),0)</f>
        <v>64</v>
      </c>
      <c r="V897" s="30">
        <f t="shared" si="92"/>
        <v>3.83</v>
      </c>
      <c r="W897" s="9">
        <f t="shared" si="93"/>
        <v>2.6875765172273081E-2</v>
      </c>
      <c r="X897" s="9">
        <f t="shared" si="94"/>
        <v>1.8655628752987821E-3</v>
      </c>
      <c r="Y897" s="9">
        <f t="shared" si="95"/>
        <v>0.9712586719524281</v>
      </c>
    </row>
    <row r="898" spans="1:25" ht="15" customHeight="1" x14ac:dyDescent="0.35">
      <c r="A898" s="52">
        <v>8013470</v>
      </c>
      <c r="B898" s="51">
        <v>46119</v>
      </c>
      <c r="C898" s="7" t="s">
        <v>124</v>
      </c>
      <c r="D898" s="10">
        <f>IFERROR(SUMIFS('Base bordo'!G$2:G$746,'Base bordo'!C$2:C$746,A898,'Base bordo'!B$2:B$746,B898,'Base bordo'!F$2:F$746,"DESLOCAMENTO VAZIO"),0)</f>
        <v>1.5986111111111112</v>
      </c>
      <c r="E898" s="10">
        <f>IFERROR(SUMIFS('Base bordo'!G$2:G$746,'Base bordo'!C$2:C$746,A898,'Base bordo'!B$2:B$746,B898,'Base bordo'!F$2:F$746,"DESLOCAMENTO CARREGADO"),0)</f>
        <v>1.4394444444444445</v>
      </c>
      <c r="F898" s="10">
        <f>IFERROR(SUMIFS('Base bordo'!G$2:G$746,'Base bordo'!C$2:C$746,A898,'Base bordo'!B$2:B$746,B898,'Base bordo'!F$2:F$746,"DESLOCAMENTO"),0)</f>
        <v>0</v>
      </c>
      <c r="G898" s="10">
        <f>IFERROR(SUMIFS('Base bordo'!G$2:G$746,'Base bordo'!C$2:C$746,A898,'Base bordo'!B$2:B$746,B898,'Base bordo'!F$2:F$746,"CARREGAMENTO"),0)</f>
        <v>0</v>
      </c>
      <c r="H898" s="10">
        <f>IFERROR(SUMIFS('Base bordo'!G$2:G$746,'Base bordo'!C$2:C$746,A898,'Base bordo'!B$2:B$746,B898,'Base bordo'!F$2:F$746,"AGUARDANDO TRANSBORDO"),0)</f>
        <v>0</v>
      </c>
      <c r="I898" s="10">
        <f>IFERROR(SUMIFS('Base bordo'!G$2:G$746,'Base bordo'!C$2:C$746,A898,'Base bordo'!B$2:B$746,B898,'Base bordo'!F$2:F$746,"PÁTIO INTERNO"),0)+IFERROR(SUMIFS('Base bordo'!G$2:G$746,'Base bordo'!C$2:C$746,A898,'Base bordo'!B$2:B$746,B898,'Base bordo'!F$2:F$746,"PÁTIO EXTERNO"),0)+IFERROR(SUMIFS('Base bordo'!G$2:G$746,'Base bordo'!C$2:C$746,A898,'Base bordo'!B$2:B$746,B898,'Base bordo'!F$2:F$746,"PATIO - RESERVA"),0)+IFERROR(SUMIFS('Base bordo'!G$2:G$746,'Base bordo'!C$2:C$746,A898,'Base bordo'!B$2:B$746,B898,'Base bordo'!F$2:F$746,"MANOBRA CARRETAS-PATIO"),0)</f>
        <v>9.555555555555556E-2</v>
      </c>
      <c r="J898" s="10">
        <f>IFERROR(SUMIFS('Base bordo'!G$2:G$746,'Base bordo'!C$2:C$746,A898,'Base bordo'!B$2:B$746,B898,'Base bordo'!F$2:F$746,"BALANÇA - ENTRADA"),0)+IFERROR(SUMIFS('Base bordo'!G$2:G$746,'Base bordo'!C$2:C$746,A898,'Base bordo'!B$2:B$746,B898,'Base bordo'!F$2:F$746,"BALANÇA - SAÍDA"),0)</f>
        <v>1.2222222222222223E-2</v>
      </c>
      <c r="K898" s="10">
        <f>IFERROR(SUMIFS('Base bordo'!G$2:G$746,'Base bordo'!C$2:C$746,A898,'Base bordo'!B$2:B$746,B898,'Base bordo'!F$2:F$746,"MAN PREVENTIVA - MECANICA"),0)+IFERROR(SUMIFS('Base bordo'!G$2:G$746,'Base bordo'!C$2:C$746,A898,'Base bordo'!B$2:B$746,B898,'Base bordo'!F$2:F$746,"MAN CORRETIVA - MECANICA"),0)</f>
        <v>0</v>
      </c>
      <c r="L898" s="10">
        <f>IFERROR(SUMIFS('Base bordo'!G$2:G$746,'Base bordo'!C$2:C$746,A898,'Base bordo'!B$2:B$746,B898,'Base bordo'!F$2:F$746,"MANUTENCAO - T O"),0)+IFERROR(SUMIFS('Base bordo'!G$2:G$746,'Base bordo'!C$2:C$746,A898,'Base bordo'!B$2:B$746,B898,'Base bordo'!F$2:F$746,"MANUTENCAO BORRACHARIA"),0)+IFERROR(SUMIFS('Base bordo'!G$2:G$746,'Base bordo'!C$2:C$746,A898,'Base bordo'!B$2:B$746,B898,'Base bordo'!F$2:F$746,"MANUTENCAO EXTERNA  CONCESSIONARIA"),0)+IFERROR(SUMIFS('Base bordo'!G$2:G$746,'Base bordo'!C$2:C$746,A898,'Base bordo'!B$2:B$746,B898,'Base bordo'!F$2:F$746,"MANUTENCAO TELEMETRIA"),0)</f>
        <v>0</v>
      </c>
      <c r="M898" s="10">
        <f>IFERROR(SUMIFS('Base bordo'!G$2:G$746,'Base bordo'!C$2:C$746,A898,'Base bordo'!B$2:B$746,B898,'Base bordo'!F$2:F$746,"AGUARDANDO MANUTENCAO"),0)</f>
        <v>0</v>
      </c>
      <c r="N898" s="10">
        <f>IFERROR(SUMIFS('Base bordo'!G$2:G$746,'Base bordo'!C$2:C$746,A898,'Base bordo'!B$2:B$746,B898,'Base bordo'!F$2:F$746,"SEM APONTAMENTO"),0)</f>
        <v>0</v>
      </c>
      <c r="O898" s="10">
        <f t="shared" si="90"/>
        <v>0</v>
      </c>
      <c r="P898" s="10">
        <f>IFERROR(SUMIFS('Base bordo'!G$2:G$746,'Base bordo'!C$2:C$746,A898,'Base bordo'!B$2:B$746,B898),0)</f>
        <v>3.1458333333333335</v>
      </c>
      <c r="Q898" s="10">
        <f>IFERROR(SUMIFS('Base bordo'!H$2:H$746,'Base bordo'!C$2:C$746,A898,'Base bordo'!B$2:B$746,B898,'Base bordo'!F$2:F$746,"DESLOCAMENTO VAZIO"),0)</f>
        <v>177776.33999999997</v>
      </c>
      <c r="R898" s="10">
        <f>IFERROR(SUMIFS('Base bordo'!I$2:I$746,'Base bordo'!C$2:C$746,A898,'Base bordo'!B$2:B$746,B898,'Base bordo'!F$2:F$746,"DESLOCAMENTO VAZIO"),0)</f>
        <v>5755</v>
      </c>
      <c r="S898" s="30">
        <f t="shared" si="91"/>
        <v>30.890762814943521</v>
      </c>
      <c r="T898" s="10">
        <f>IFERROR(SUMIFS('Base bordo'!H$2:H$746,'Base bordo'!C$2:C$746,A898,'Base bordo'!B$2:B$746,B898,'Base bordo'!F$2:F$746,"DESLOCAMENTO CARREGADO"),0)</f>
        <v>96305.44</v>
      </c>
      <c r="U898" s="10">
        <f>IFERROR(SUMIFS('Base bordo'!I$2:I$746,'Base bordo'!C$2:C$746,A898,'Base bordo'!B$2:B$746,B898,'Base bordo'!F$2:F$746,"DESLOCAMENTO CARREGADO"),0)</f>
        <v>5182</v>
      </c>
      <c r="V898" s="30">
        <f t="shared" si="92"/>
        <v>18.584608259359321</v>
      </c>
      <c r="W898" s="9">
        <f t="shared" si="93"/>
        <v>0.50816777041942607</v>
      </c>
      <c r="X898" s="9">
        <f t="shared" si="94"/>
        <v>0.45757174392935984</v>
      </c>
      <c r="Y898" s="9">
        <f t="shared" si="95"/>
        <v>3.426048565121409E-2</v>
      </c>
    </row>
    <row r="899" spans="1:25" ht="15" customHeight="1" x14ac:dyDescent="0.35">
      <c r="A899" s="52">
        <v>8013470</v>
      </c>
      <c r="B899" s="51">
        <v>46119</v>
      </c>
      <c r="C899" s="7" t="s">
        <v>124</v>
      </c>
      <c r="D899" s="10">
        <f>IFERROR(SUMIFS('Base bordo'!G$2:G$746,'Base bordo'!C$2:C$746,A899,'Base bordo'!B$2:B$746,B899,'Base bordo'!F$2:F$746,"DESLOCAMENTO VAZIO"),0)</f>
        <v>1.5986111111111112</v>
      </c>
      <c r="E899" s="10">
        <f>IFERROR(SUMIFS('Base bordo'!G$2:G$746,'Base bordo'!C$2:C$746,A899,'Base bordo'!B$2:B$746,B899,'Base bordo'!F$2:F$746,"DESLOCAMENTO CARREGADO"),0)</f>
        <v>1.4394444444444445</v>
      </c>
      <c r="F899" s="10">
        <f>IFERROR(SUMIFS('Base bordo'!G$2:G$746,'Base bordo'!C$2:C$746,A899,'Base bordo'!B$2:B$746,B899,'Base bordo'!F$2:F$746,"DESLOCAMENTO"),0)</f>
        <v>0</v>
      </c>
      <c r="G899" s="10">
        <f>IFERROR(SUMIFS('Base bordo'!G$2:G$746,'Base bordo'!C$2:C$746,A899,'Base bordo'!B$2:B$746,B899,'Base bordo'!F$2:F$746,"CARREGAMENTO"),0)</f>
        <v>0</v>
      </c>
      <c r="H899" s="10">
        <f>IFERROR(SUMIFS('Base bordo'!G$2:G$746,'Base bordo'!C$2:C$746,A899,'Base bordo'!B$2:B$746,B899,'Base bordo'!F$2:F$746,"AGUARDANDO TRANSBORDO"),0)</f>
        <v>0</v>
      </c>
      <c r="I899" s="10">
        <f>IFERROR(SUMIFS('Base bordo'!G$2:G$746,'Base bordo'!C$2:C$746,A899,'Base bordo'!B$2:B$746,B899,'Base bordo'!F$2:F$746,"PÁTIO INTERNO"),0)+IFERROR(SUMIFS('Base bordo'!G$2:G$746,'Base bordo'!C$2:C$746,A899,'Base bordo'!B$2:B$746,B899,'Base bordo'!F$2:F$746,"PÁTIO EXTERNO"),0)+IFERROR(SUMIFS('Base bordo'!G$2:G$746,'Base bordo'!C$2:C$746,A899,'Base bordo'!B$2:B$746,B899,'Base bordo'!F$2:F$746,"PATIO - RESERVA"),0)+IFERROR(SUMIFS('Base bordo'!G$2:G$746,'Base bordo'!C$2:C$746,A899,'Base bordo'!B$2:B$746,B899,'Base bordo'!F$2:F$746,"MANOBRA CARRETAS-PATIO"),0)</f>
        <v>9.555555555555556E-2</v>
      </c>
      <c r="J899" s="10">
        <f>IFERROR(SUMIFS('Base bordo'!G$2:G$746,'Base bordo'!C$2:C$746,A899,'Base bordo'!B$2:B$746,B899,'Base bordo'!F$2:F$746,"BALANÇA - ENTRADA"),0)+IFERROR(SUMIFS('Base bordo'!G$2:G$746,'Base bordo'!C$2:C$746,A899,'Base bordo'!B$2:B$746,B899,'Base bordo'!F$2:F$746,"BALANÇA - SAÍDA"),0)</f>
        <v>1.2222222222222223E-2</v>
      </c>
      <c r="K899" s="10">
        <f>IFERROR(SUMIFS('Base bordo'!G$2:G$746,'Base bordo'!C$2:C$746,A899,'Base bordo'!B$2:B$746,B899,'Base bordo'!F$2:F$746,"MAN PREVENTIVA - MECANICA"),0)+IFERROR(SUMIFS('Base bordo'!G$2:G$746,'Base bordo'!C$2:C$746,A899,'Base bordo'!B$2:B$746,B899,'Base bordo'!F$2:F$746,"MAN CORRETIVA - MECANICA"),0)</f>
        <v>0</v>
      </c>
      <c r="L899" s="10">
        <f>IFERROR(SUMIFS('Base bordo'!G$2:G$746,'Base bordo'!C$2:C$746,A899,'Base bordo'!B$2:B$746,B899,'Base bordo'!F$2:F$746,"MANUTENCAO - T O"),0)+IFERROR(SUMIFS('Base bordo'!G$2:G$746,'Base bordo'!C$2:C$746,A899,'Base bordo'!B$2:B$746,B899,'Base bordo'!F$2:F$746,"MANUTENCAO BORRACHARIA"),0)+IFERROR(SUMIFS('Base bordo'!G$2:G$746,'Base bordo'!C$2:C$746,A899,'Base bordo'!B$2:B$746,B899,'Base bordo'!F$2:F$746,"MANUTENCAO EXTERNA  CONCESSIONARIA"),0)+IFERROR(SUMIFS('Base bordo'!G$2:G$746,'Base bordo'!C$2:C$746,A899,'Base bordo'!B$2:B$746,B899,'Base bordo'!F$2:F$746,"MANUTENCAO TELEMETRIA"),0)</f>
        <v>0</v>
      </c>
      <c r="M899" s="10">
        <f>IFERROR(SUMIFS('Base bordo'!G$2:G$746,'Base bordo'!C$2:C$746,A899,'Base bordo'!B$2:B$746,B899,'Base bordo'!F$2:F$746,"AGUARDANDO MANUTENCAO"),0)</f>
        <v>0</v>
      </c>
      <c r="N899" s="10">
        <f>IFERROR(SUMIFS('Base bordo'!G$2:G$746,'Base bordo'!C$2:C$746,A899,'Base bordo'!B$2:B$746,B899,'Base bordo'!F$2:F$746,"SEM APONTAMENTO"),0)</f>
        <v>0</v>
      </c>
      <c r="O899" s="10">
        <f t="shared" si="90"/>
        <v>0</v>
      </c>
      <c r="P899" s="10">
        <f>IFERROR(SUMIFS('Base bordo'!G$2:G$746,'Base bordo'!C$2:C$746,A899,'Base bordo'!B$2:B$746,B899),0)</f>
        <v>3.1458333333333335</v>
      </c>
      <c r="Q899" s="10">
        <f>IFERROR(SUMIFS('Base bordo'!H$2:H$746,'Base bordo'!C$2:C$746,A899,'Base bordo'!B$2:B$746,B899,'Base bordo'!F$2:F$746,"DESLOCAMENTO VAZIO"),0)</f>
        <v>177776.33999999997</v>
      </c>
      <c r="R899" s="10">
        <f>IFERROR(SUMIFS('Base bordo'!I$2:I$746,'Base bordo'!C$2:C$746,A899,'Base bordo'!B$2:B$746,B899,'Base bordo'!F$2:F$746,"DESLOCAMENTO VAZIO"),0)</f>
        <v>5755</v>
      </c>
      <c r="S899" s="30">
        <f t="shared" si="91"/>
        <v>30.890762814943521</v>
      </c>
      <c r="T899" s="10">
        <f>IFERROR(SUMIFS('Base bordo'!H$2:H$746,'Base bordo'!C$2:C$746,A899,'Base bordo'!B$2:B$746,B899,'Base bordo'!F$2:F$746,"DESLOCAMENTO CARREGADO"),0)</f>
        <v>96305.44</v>
      </c>
      <c r="U899" s="10">
        <f>IFERROR(SUMIFS('Base bordo'!I$2:I$746,'Base bordo'!C$2:C$746,A899,'Base bordo'!B$2:B$746,B899,'Base bordo'!F$2:F$746,"DESLOCAMENTO CARREGADO"),0)</f>
        <v>5182</v>
      </c>
      <c r="V899" s="30">
        <f t="shared" si="92"/>
        <v>18.584608259359321</v>
      </c>
      <c r="W899" s="9">
        <f t="shared" si="93"/>
        <v>0.50816777041942607</v>
      </c>
      <c r="X899" s="9">
        <f t="shared" si="94"/>
        <v>0.45757174392935984</v>
      </c>
      <c r="Y899" s="9">
        <f t="shared" si="95"/>
        <v>3.426048565121409E-2</v>
      </c>
    </row>
    <row r="900" spans="1:25" ht="15" customHeight="1" x14ac:dyDescent="0.35">
      <c r="A900" s="52">
        <v>8013470</v>
      </c>
      <c r="B900" s="51">
        <v>46119</v>
      </c>
      <c r="C900" s="7" t="s">
        <v>124</v>
      </c>
      <c r="D900" s="10">
        <f>IFERROR(SUMIFS('Base bordo'!G$2:G$746,'Base bordo'!C$2:C$746,A900,'Base bordo'!B$2:B$746,B900,'Base bordo'!F$2:F$746,"DESLOCAMENTO VAZIO"),0)</f>
        <v>1.5986111111111112</v>
      </c>
      <c r="E900" s="10">
        <f>IFERROR(SUMIFS('Base bordo'!G$2:G$746,'Base bordo'!C$2:C$746,A900,'Base bordo'!B$2:B$746,B900,'Base bordo'!F$2:F$746,"DESLOCAMENTO CARREGADO"),0)</f>
        <v>1.4394444444444445</v>
      </c>
      <c r="F900" s="10">
        <f>IFERROR(SUMIFS('Base bordo'!G$2:G$746,'Base bordo'!C$2:C$746,A900,'Base bordo'!B$2:B$746,B900,'Base bordo'!F$2:F$746,"DESLOCAMENTO"),0)</f>
        <v>0</v>
      </c>
      <c r="G900" s="10">
        <f>IFERROR(SUMIFS('Base bordo'!G$2:G$746,'Base bordo'!C$2:C$746,A900,'Base bordo'!B$2:B$746,B900,'Base bordo'!F$2:F$746,"CARREGAMENTO"),0)</f>
        <v>0</v>
      </c>
      <c r="H900" s="10">
        <f>IFERROR(SUMIFS('Base bordo'!G$2:G$746,'Base bordo'!C$2:C$746,A900,'Base bordo'!B$2:B$746,B900,'Base bordo'!F$2:F$746,"AGUARDANDO TRANSBORDO"),0)</f>
        <v>0</v>
      </c>
      <c r="I900" s="10">
        <f>IFERROR(SUMIFS('Base bordo'!G$2:G$746,'Base bordo'!C$2:C$746,A900,'Base bordo'!B$2:B$746,B900,'Base bordo'!F$2:F$746,"PÁTIO INTERNO"),0)+IFERROR(SUMIFS('Base bordo'!G$2:G$746,'Base bordo'!C$2:C$746,A900,'Base bordo'!B$2:B$746,B900,'Base bordo'!F$2:F$746,"PÁTIO EXTERNO"),0)+IFERROR(SUMIFS('Base bordo'!G$2:G$746,'Base bordo'!C$2:C$746,A900,'Base bordo'!B$2:B$746,B900,'Base bordo'!F$2:F$746,"PATIO - RESERVA"),0)+IFERROR(SUMIFS('Base bordo'!G$2:G$746,'Base bordo'!C$2:C$746,A900,'Base bordo'!B$2:B$746,B900,'Base bordo'!F$2:F$746,"MANOBRA CARRETAS-PATIO"),0)</f>
        <v>9.555555555555556E-2</v>
      </c>
      <c r="J900" s="10">
        <f>IFERROR(SUMIFS('Base bordo'!G$2:G$746,'Base bordo'!C$2:C$746,A900,'Base bordo'!B$2:B$746,B900,'Base bordo'!F$2:F$746,"BALANÇA - ENTRADA"),0)+IFERROR(SUMIFS('Base bordo'!G$2:G$746,'Base bordo'!C$2:C$746,A900,'Base bordo'!B$2:B$746,B900,'Base bordo'!F$2:F$746,"BALANÇA - SAÍDA"),0)</f>
        <v>1.2222222222222223E-2</v>
      </c>
      <c r="K900" s="10">
        <f>IFERROR(SUMIFS('Base bordo'!G$2:G$746,'Base bordo'!C$2:C$746,A900,'Base bordo'!B$2:B$746,B900,'Base bordo'!F$2:F$746,"MAN PREVENTIVA - MECANICA"),0)+IFERROR(SUMIFS('Base bordo'!G$2:G$746,'Base bordo'!C$2:C$746,A900,'Base bordo'!B$2:B$746,B900,'Base bordo'!F$2:F$746,"MAN CORRETIVA - MECANICA"),0)</f>
        <v>0</v>
      </c>
      <c r="L900" s="10">
        <f>IFERROR(SUMIFS('Base bordo'!G$2:G$746,'Base bordo'!C$2:C$746,A900,'Base bordo'!B$2:B$746,B900,'Base bordo'!F$2:F$746,"MANUTENCAO - T O"),0)+IFERROR(SUMIFS('Base bordo'!G$2:G$746,'Base bordo'!C$2:C$746,A900,'Base bordo'!B$2:B$746,B900,'Base bordo'!F$2:F$746,"MANUTENCAO BORRACHARIA"),0)+IFERROR(SUMIFS('Base bordo'!G$2:G$746,'Base bordo'!C$2:C$746,A900,'Base bordo'!B$2:B$746,B900,'Base bordo'!F$2:F$746,"MANUTENCAO EXTERNA  CONCESSIONARIA"),0)+IFERROR(SUMIFS('Base bordo'!G$2:G$746,'Base bordo'!C$2:C$746,A900,'Base bordo'!B$2:B$746,B900,'Base bordo'!F$2:F$746,"MANUTENCAO TELEMETRIA"),0)</f>
        <v>0</v>
      </c>
      <c r="M900" s="10">
        <f>IFERROR(SUMIFS('Base bordo'!G$2:G$746,'Base bordo'!C$2:C$746,A900,'Base bordo'!B$2:B$746,B900,'Base bordo'!F$2:F$746,"AGUARDANDO MANUTENCAO"),0)</f>
        <v>0</v>
      </c>
      <c r="N900" s="10">
        <f>IFERROR(SUMIFS('Base bordo'!G$2:G$746,'Base bordo'!C$2:C$746,A900,'Base bordo'!B$2:B$746,B900,'Base bordo'!F$2:F$746,"SEM APONTAMENTO"),0)</f>
        <v>0</v>
      </c>
      <c r="O900" s="10">
        <f t="shared" si="90"/>
        <v>0</v>
      </c>
      <c r="P900" s="10">
        <f>IFERROR(SUMIFS('Base bordo'!G$2:G$746,'Base bordo'!C$2:C$746,A900,'Base bordo'!B$2:B$746,B900),0)</f>
        <v>3.1458333333333335</v>
      </c>
      <c r="Q900" s="10">
        <f>IFERROR(SUMIFS('Base bordo'!H$2:H$746,'Base bordo'!C$2:C$746,A900,'Base bordo'!B$2:B$746,B900,'Base bordo'!F$2:F$746,"DESLOCAMENTO VAZIO"),0)</f>
        <v>177776.33999999997</v>
      </c>
      <c r="R900" s="10">
        <f>IFERROR(SUMIFS('Base bordo'!I$2:I$746,'Base bordo'!C$2:C$746,A900,'Base bordo'!B$2:B$746,B900,'Base bordo'!F$2:F$746,"DESLOCAMENTO VAZIO"),0)</f>
        <v>5755</v>
      </c>
      <c r="S900" s="30">
        <f t="shared" si="91"/>
        <v>30.890762814943521</v>
      </c>
      <c r="T900" s="10">
        <f>IFERROR(SUMIFS('Base bordo'!H$2:H$746,'Base bordo'!C$2:C$746,A900,'Base bordo'!B$2:B$746,B900,'Base bordo'!F$2:F$746,"DESLOCAMENTO CARREGADO"),0)</f>
        <v>96305.44</v>
      </c>
      <c r="U900" s="10">
        <f>IFERROR(SUMIFS('Base bordo'!I$2:I$746,'Base bordo'!C$2:C$746,A900,'Base bordo'!B$2:B$746,B900,'Base bordo'!F$2:F$746,"DESLOCAMENTO CARREGADO"),0)</f>
        <v>5182</v>
      </c>
      <c r="V900" s="30">
        <f t="shared" si="92"/>
        <v>18.584608259359321</v>
      </c>
      <c r="W900" s="9">
        <f t="shared" si="93"/>
        <v>0.50816777041942607</v>
      </c>
      <c r="X900" s="9">
        <f t="shared" si="94"/>
        <v>0.45757174392935984</v>
      </c>
      <c r="Y900" s="9">
        <f t="shared" si="95"/>
        <v>3.426048565121409E-2</v>
      </c>
    </row>
    <row r="901" spans="1:25" ht="15" customHeight="1" x14ac:dyDescent="0.35">
      <c r="A901" s="52">
        <v>8013470</v>
      </c>
      <c r="B901" s="51">
        <v>46119</v>
      </c>
      <c r="C901" s="7" t="s">
        <v>124</v>
      </c>
      <c r="D901" s="10">
        <f>IFERROR(SUMIFS('Base bordo'!G$2:G$746,'Base bordo'!C$2:C$746,A901,'Base bordo'!B$2:B$746,B901,'Base bordo'!F$2:F$746,"DESLOCAMENTO VAZIO"),0)</f>
        <v>1.5986111111111112</v>
      </c>
      <c r="E901" s="10">
        <f>IFERROR(SUMIFS('Base bordo'!G$2:G$746,'Base bordo'!C$2:C$746,A901,'Base bordo'!B$2:B$746,B901,'Base bordo'!F$2:F$746,"DESLOCAMENTO CARREGADO"),0)</f>
        <v>1.4394444444444445</v>
      </c>
      <c r="F901" s="10">
        <f>IFERROR(SUMIFS('Base bordo'!G$2:G$746,'Base bordo'!C$2:C$746,A901,'Base bordo'!B$2:B$746,B901,'Base bordo'!F$2:F$746,"DESLOCAMENTO"),0)</f>
        <v>0</v>
      </c>
      <c r="G901" s="10">
        <f>IFERROR(SUMIFS('Base bordo'!G$2:G$746,'Base bordo'!C$2:C$746,A901,'Base bordo'!B$2:B$746,B901,'Base bordo'!F$2:F$746,"CARREGAMENTO"),0)</f>
        <v>0</v>
      </c>
      <c r="H901" s="10">
        <f>IFERROR(SUMIFS('Base bordo'!G$2:G$746,'Base bordo'!C$2:C$746,A901,'Base bordo'!B$2:B$746,B901,'Base bordo'!F$2:F$746,"AGUARDANDO TRANSBORDO"),0)</f>
        <v>0</v>
      </c>
      <c r="I901" s="10">
        <f>IFERROR(SUMIFS('Base bordo'!G$2:G$746,'Base bordo'!C$2:C$746,A901,'Base bordo'!B$2:B$746,B901,'Base bordo'!F$2:F$746,"PÁTIO INTERNO"),0)+IFERROR(SUMIFS('Base bordo'!G$2:G$746,'Base bordo'!C$2:C$746,A901,'Base bordo'!B$2:B$746,B901,'Base bordo'!F$2:F$746,"PÁTIO EXTERNO"),0)+IFERROR(SUMIFS('Base bordo'!G$2:G$746,'Base bordo'!C$2:C$746,A901,'Base bordo'!B$2:B$746,B901,'Base bordo'!F$2:F$746,"PATIO - RESERVA"),0)+IFERROR(SUMIFS('Base bordo'!G$2:G$746,'Base bordo'!C$2:C$746,A901,'Base bordo'!B$2:B$746,B901,'Base bordo'!F$2:F$746,"MANOBRA CARRETAS-PATIO"),0)</f>
        <v>9.555555555555556E-2</v>
      </c>
      <c r="J901" s="10">
        <f>IFERROR(SUMIFS('Base bordo'!G$2:G$746,'Base bordo'!C$2:C$746,A901,'Base bordo'!B$2:B$746,B901,'Base bordo'!F$2:F$746,"BALANÇA - ENTRADA"),0)+IFERROR(SUMIFS('Base bordo'!G$2:G$746,'Base bordo'!C$2:C$746,A901,'Base bordo'!B$2:B$746,B901,'Base bordo'!F$2:F$746,"BALANÇA - SAÍDA"),0)</f>
        <v>1.2222222222222223E-2</v>
      </c>
      <c r="K901" s="10">
        <f>IFERROR(SUMIFS('Base bordo'!G$2:G$746,'Base bordo'!C$2:C$746,A901,'Base bordo'!B$2:B$746,B901,'Base bordo'!F$2:F$746,"MAN PREVENTIVA - MECANICA"),0)+IFERROR(SUMIFS('Base bordo'!G$2:G$746,'Base bordo'!C$2:C$746,A901,'Base bordo'!B$2:B$746,B901,'Base bordo'!F$2:F$746,"MAN CORRETIVA - MECANICA"),0)</f>
        <v>0</v>
      </c>
      <c r="L901" s="10">
        <f>IFERROR(SUMIFS('Base bordo'!G$2:G$746,'Base bordo'!C$2:C$746,A901,'Base bordo'!B$2:B$746,B901,'Base bordo'!F$2:F$746,"MANUTENCAO - T O"),0)+IFERROR(SUMIFS('Base bordo'!G$2:G$746,'Base bordo'!C$2:C$746,A901,'Base bordo'!B$2:B$746,B901,'Base bordo'!F$2:F$746,"MANUTENCAO BORRACHARIA"),0)+IFERROR(SUMIFS('Base bordo'!G$2:G$746,'Base bordo'!C$2:C$746,A901,'Base bordo'!B$2:B$746,B901,'Base bordo'!F$2:F$746,"MANUTENCAO EXTERNA  CONCESSIONARIA"),0)+IFERROR(SUMIFS('Base bordo'!G$2:G$746,'Base bordo'!C$2:C$746,A901,'Base bordo'!B$2:B$746,B901,'Base bordo'!F$2:F$746,"MANUTENCAO TELEMETRIA"),0)</f>
        <v>0</v>
      </c>
      <c r="M901" s="10">
        <f>IFERROR(SUMIFS('Base bordo'!G$2:G$746,'Base bordo'!C$2:C$746,A901,'Base bordo'!B$2:B$746,B901,'Base bordo'!F$2:F$746,"AGUARDANDO MANUTENCAO"),0)</f>
        <v>0</v>
      </c>
      <c r="N901" s="10">
        <f>IFERROR(SUMIFS('Base bordo'!G$2:G$746,'Base bordo'!C$2:C$746,A901,'Base bordo'!B$2:B$746,B901,'Base bordo'!F$2:F$746,"SEM APONTAMENTO"),0)</f>
        <v>0</v>
      </c>
      <c r="O901" s="10">
        <f t="shared" si="90"/>
        <v>0</v>
      </c>
      <c r="P901" s="10">
        <f>IFERROR(SUMIFS('Base bordo'!G$2:G$746,'Base bordo'!C$2:C$746,A901,'Base bordo'!B$2:B$746,B901),0)</f>
        <v>3.1458333333333335</v>
      </c>
      <c r="Q901" s="10">
        <f>IFERROR(SUMIFS('Base bordo'!H$2:H$746,'Base bordo'!C$2:C$746,A901,'Base bordo'!B$2:B$746,B901,'Base bordo'!F$2:F$746,"DESLOCAMENTO VAZIO"),0)</f>
        <v>177776.33999999997</v>
      </c>
      <c r="R901" s="10">
        <f>IFERROR(SUMIFS('Base bordo'!I$2:I$746,'Base bordo'!C$2:C$746,A901,'Base bordo'!B$2:B$746,B901,'Base bordo'!F$2:F$746,"DESLOCAMENTO VAZIO"),0)</f>
        <v>5755</v>
      </c>
      <c r="S901" s="30">
        <f t="shared" si="91"/>
        <v>30.890762814943521</v>
      </c>
      <c r="T901" s="10">
        <f>IFERROR(SUMIFS('Base bordo'!H$2:H$746,'Base bordo'!C$2:C$746,A901,'Base bordo'!B$2:B$746,B901,'Base bordo'!F$2:F$746,"DESLOCAMENTO CARREGADO"),0)</f>
        <v>96305.44</v>
      </c>
      <c r="U901" s="10">
        <f>IFERROR(SUMIFS('Base bordo'!I$2:I$746,'Base bordo'!C$2:C$746,A901,'Base bordo'!B$2:B$746,B901,'Base bordo'!F$2:F$746,"DESLOCAMENTO CARREGADO"),0)</f>
        <v>5182</v>
      </c>
      <c r="V901" s="30">
        <f t="shared" si="92"/>
        <v>18.584608259359321</v>
      </c>
      <c r="W901" s="9">
        <f t="shared" si="93"/>
        <v>0.50816777041942607</v>
      </c>
      <c r="X901" s="9">
        <f t="shared" si="94"/>
        <v>0.45757174392935984</v>
      </c>
      <c r="Y901" s="9">
        <f t="shared" si="95"/>
        <v>3.426048565121409E-2</v>
      </c>
    </row>
    <row r="902" spans="1:25" ht="15" customHeight="1" x14ac:dyDescent="0.35">
      <c r="A902" s="52">
        <v>8013470</v>
      </c>
      <c r="B902" s="51">
        <v>46119</v>
      </c>
      <c r="C902" s="7" t="s">
        <v>124</v>
      </c>
      <c r="D902" s="10">
        <f>IFERROR(SUMIFS('Base bordo'!G$2:G$746,'Base bordo'!C$2:C$746,A902,'Base bordo'!B$2:B$746,B902,'Base bordo'!F$2:F$746,"DESLOCAMENTO VAZIO"),0)</f>
        <v>1.5986111111111112</v>
      </c>
      <c r="E902" s="10">
        <f>IFERROR(SUMIFS('Base bordo'!G$2:G$746,'Base bordo'!C$2:C$746,A902,'Base bordo'!B$2:B$746,B902,'Base bordo'!F$2:F$746,"DESLOCAMENTO CARREGADO"),0)</f>
        <v>1.4394444444444445</v>
      </c>
      <c r="F902" s="10">
        <f>IFERROR(SUMIFS('Base bordo'!G$2:G$746,'Base bordo'!C$2:C$746,A902,'Base bordo'!B$2:B$746,B902,'Base bordo'!F$2:F$746,"DESLOCAMENTO"),0)</f>
        <v>0</v>
      </c>
      <c r="G902" s="10">
        <f>IFERROR(SUMIFS('Base bordo'!G$2:G$746,'Base bordo'!C$2:C$746,A902,'Base bordo'!B$2:B$746,B902,'Base bordo'!F$2:F$746,"CARREGAMENTO"),0)</f>
        <v>0</v>
      </c>
      <c r="H902" s="10">
        <f>IFERROR(SUMIFS('Base bordo'!G$2:G$746,'Base bordo'!C$2:C$746,A902,'Base bordo'!B$2:B$746,B902,'Base bordo'!F$2:F$746,"AGUARDANDO TRANSBORDO"),0)</f>
        <v>0</v>
      </c>
      <c r="I902" s="10">
        <f>IFERROR(SUMIFS('Base bordo'!G$2:G$746,'Base bordo'!C$2:C$746,A902,'Base bordo'!B$2:B$746,B902,'Base bordo'!F$2:F$746,"PÁTIO INTERNO"),0)+IFERROR(SUMIFS('Base bordo'!G$2:G$746,'Base bordo'!C$2:C$746,A902,'Base bordo'!B$2:B$746,B902,'Base bordo'!F$2:F$746,"PÁTIO EXTERNO"),0)+IFERROR(SUMIFS('Base bordo'!G$2:G$746,'Base bordo'!C$2:C$746,A902,'Base bordo'!B$2:B$746,B902,'Base bordo'!F$2:F$746,"PATIO - RESERVA"),0)+IFERROR(SUMIFS('Base bordo'!G$2:G$746,'Base bordo'!C$2:C$746,A902,'Base bordo'!B$2:B$746,B902,'Base bordo'!F$2:F$746,"MANOBRA CARRETAS-PATIO"),0)</f>
        <v>9.555555555555556E-2</v>
      </c>
      <c r="J902" s="10">
        <f>IFERROR(SUMIFS('Base bordo'!G$2:G$746,'Base bordo'!C$2:C$746,A902,'Base bordo'!B$2:B$746,B902,'Base bordo'!F$2:F$746,"BALANÇA - ENTRADA"),0)+IFERROR(SUMIFS('Base bordo'!G$2:G$746,'Base bordo'!C$2:C$746,A902,'Base bordo'!B$2:B$746,B902,'Base bordo'!F$2:F$746,"BALANÇA - SAÍDA"),0)</f>
        <v>1.2222222222222223E-2</v>
      </c>
      <c r="K902" s="10">
        <f>IFERROR(SUMIFS('Base bordo'!G$2:G$746,'Base bordo'!C$2:C$746,A902,'Base bordo'!B$2:B$746,B902,'Base bordo'!F$2:F$746,"MAN PREVENTIVA - MECANICA"),0)+IFERROR(SUMIFS('Base bordo'!G$2:G$746,'Base bordo'!C$2:C$746,A902,'Base bordo'!B$2:B$746,B902,'Base bordo'!F$2:F$746,"MAN CORRETIVA - MECANICA"),0)</f>
        <v>0</v>
      </c>
      <c r="L902" s="10">
        <f>IFERROR(SUMIFS('Base bordo'!G$2:G$746,'Base bordo'!C$2:C$746,A902,'Base bordo'!B$2:B$746,B902,'Base bordo'!F$2:F$746,"MANUTENCAO - T O"),0)+IFERROR(SUMIFS('Base bordo'!G$2:G$746,'Base bordo'!C$2:C$746,A902,'Base bordo'!B$2:B$746,B902,'Base bordo'!F$2:F$746,"MANUTENCAO BORRACHARIA"),0)+IFERROR(SUMIFS('Base bordo'!G$2:G$746,'Base bordo'!C$2:C$746,A902,'Base bordo'!B$2:B$746,B902,'Base bordo'!F$2:F$746,"MANUTENCAO EXTERNA  CONCESSIONARIA"),0)+IFERROR(SUMIFS('Base bordo'!G$2:G$746,'Base bordo'!C$2:C$746,A902,'Base bordo'!B$2:B$746,B902,'Base bordo'!F$2:F$746,"MANUTENCAO TELEMETRIA"),0)</f>
        <v>0</v>
      </c>
      <c r="M902" s="10">
        <f>IFERROR(SUMIFS('Base bordo'!G$2:G$746,'Base bordo'!C$2:C$746,A902,'Base bordo'!B$2:B$746,B902,'Base bordo'!F$2:F$746,"AGUARDANDO MANUTENCAO"),0)</f>
        <v>0</v>
      </c>
      <c r="N902" s="10">
        <f>IFERROR(SUMIFS('Base bordo'!G$2:G$746,'Base bordo'!C$2:C$746,A902,'Base bordo'!B$2:B$746,B902,'Base bordo'!F$2:F$746,"SEM APONTAMENTO"),0)</f>
        <v>0</v>
      </c>
      <c r="O902" s="10">
        <f t="shared" si="90"/>
        <v>0</v>
      </c>
      <c r="P902" s="10">
        <f>IFERROR(SUMIFS('Base bordo'!G$2:G$746,'Base bordo'!C$2:C$746,A902,'Base bordo'!B$2:B$746,B902),0)</f>
        <v>3.1458333333333335</v>
      </c>
      <c r="Q902" s="10">
        <f>IFERROR(SUMIFS('Base bordo'!H$2:H$746,'Base bordo'!C$2:C$746,A902,'Base bordo'!B$2:B$746,B902,'Base bordo'!F$2:F$746,"DESLOCAMENTO VAZIO"),0)</f>
        <v>177776.33999999997</v>
      </c>
      <c r="R902" s="10">
        <f>IFERROR(SUMIFS('Base bordo'!I$2:I$746,'Base bordo'!C$2:C$746,A902,'Base bordo'!B$2:B$746,B902,'Base bordo'!F$2:F$746,"DESLOCAMENTO VAZIO"),0)</f>
        <v>5755</v>
      </c>
      <c r="S902" s="30">
        <f t="shared" si="91"/>
        <v>30.890762814943521</v>
      </c>
      <c r="T902" s="10">
        <f>IFERROR(SUMIFS('Base bordo'!H$2:H$746,'Base bordo'!C$2:C$746,A902,'Base bordo'!B$2:B$746,B902,'Base bordo'!F$2:F$746,"DESLOCAMENTO CARREGADO"),0)</f>
        <v>96305.44</v>
      </c>
      <c r="U902" s="10">
        <f>IFERROR(SUMIFS('Base bordo'!I$2:I$746,'Base bordo'!C$2:C$746,A902,'Base bordo'!B$2:B$746,B902,'Base bordo'!F$2:F$746,"DESLOCAMENTO CARREGADO"),0)</f>
        <v>5182</v>
      </c>
      <c r="V902" s="30">
        <f t="shared" si="92"/>
        <v>18.584608259359321</v>
      </c>
      <c r="W902" s="9">
        <f t="shared" si="93"/>
        <v>0.50816777041942607</v>
      </c>
      <c r="X902" s="9">
        <f t="shared" si="94"/>
        <v>0.45757174392935984</v>
      </c>
      <c r="Y902" s="9">
        <f t="shared" si="95"/>
        <v>3.426048565121409E-2</v>
      </c>
    </row>
    <row r="903" spans="1:25" ht="15" customHeight="1" x14ac:dyDescent="0.35">
      <c r="A903" s="52">
        <v>8013470</v>
      </c>
      <c r="B903" s="51">
        <v>46119</v>
      </c>
      <c r="C903" s="7" t="s">
        <v>124</v>
      </c>
      <c r="D903" s="10">
        <f>IFERROR(SUMIFS('Base bordo'!G$2:G$746,'Base bordo'!C$2:C$746,A903,'Base bordo'!B$2:B$746,B903,'Base bordo'!F$2:F$746,"DESLOCAMENTO VAZIO"),0)</f>
        <v>1.5986111111111112</v>
      </c>
      <c r="E903" s="10">
        <f>IFERROR(SUMIFS('Base bordo'!G$2:G$746,'Base bordo'!C$2:C$746,A903,'Base bordo'!B$2:B$746,B903,'Base bordo'!F$2:F$746,"DESLOCAMENTO CARREGADO"),0)</f>
        <v>1.4394444444444445</v>
      </c>
      <c r="F903" s="10">
        <f>IFERROR(SUMIFS('Base bordo'!G$2:G$746,'Base bordo'!C$2:C$746,A903,'Base bordo'!B$2:B$746,B903,'Base bordo'!F$2:F$746,"DESLOCAMENTO"),0)</f>
        <v>0</v>
      </c>
      <c r="G903" s="10">
        <f>IFERROR(SUMIFS('Base bordo'!G$2:G$746,'Base bordo'!C$2:C$746,A903,'Base bordo'!B$2:B$746,B903,'Base bordo'!F$2:F$746,"CARREGAMENTO"),0)</f>
        <v>0</v>
      </c>
      <c r="H903" s="10">
        <f>IFERROR(SUMIFS('Base bordo'!G$2:G$746,'Base bordo'!C$2:C$746,A903,'Base bordo'!B$2:B$746,B903,'Base bordo'!F$2:F$746,"AGUARDANDO TRANSBORDO"),0)</f>
        <v>0</v>
      </c>
      <c r="I903" s="10">
        <f>IFERROR(SUMIFS('Base bordo'!G$2:G$746,'Base bordo'!C$2:C$746,A903,'Base bordo'!B$2:B$746,B903,'Base bordo'!F$2:F$746,"PÁTIO INTERNO"),0)+IFERROR(SUMIFS('Base bordo'!G$2:G$746,'Base bordo'!C$2:C$746,A903,'Base bordo'!B$2:B$746,B903,'Base bordo'!F$2:F$746,"PÁTIO EXTERNO"),0)+IFERROR(SUMIFS('Base bordo'!G$2:G$746,'Base bordo'!C$2:C$746,A903,'Base bordo'!B$2:B$746,B903,'Base bordo'!F$2:F$746,"PATIO - RESERVA"),0)+IFERROR(SUMIFS('Base bordo'!G$2:G$746,'Base bordo'!C$2:C$746,A903,'Base bordo'!B$2:B$746,B903,'Base bordo'!F$2:F$746,"MANOBRA CARRETAS-PATIO"),0)</f>
        <v>9.555555555555556E-2</v>
      </c>
      <c r="J903" s="10">
        <f>IFERROR(SUMIFS('Base bordo'!G$2:G$746,'Base bordo'!C$2:C$746,A903,'Base bordo'!B$2:B$746,B903,'Base bordo'!F$2:F$746,"BALANÇA - ENTRADA"),0)+IFERROR(SUMIFS('Base bordo'!G$2:G$746,'Base bordo'!C$2:C$746,A903,'Base bordo'!B$2:B$746,B903,'Base bordo'!F$2:F$746,"BALANÇA - SAÍDA"),0)</f>
        <v>1.2222222222222223E-2</v>
      </c>
      <c r="K903" s="10">
        <f>IFERROR(SUMIFS('Base bordo'!G$2:G$746,'Base bordo'!C$2:C$746,A903,'Base bordo'!B$2:B$746,B903,'Base bordo'!F$2:F$746,"MAN PREVENTIVA - MECANICA"),0)+IFERROR(SUMIFS('Base bordo'!G$2:G$746,'Base bordo'!C$2:C$746,A903,'Base bordo'!B$2:B$746,B903,'Base bordo'!F$2:F$746,"MAN CORRETIVA - MECANICA"),0)</f>
        <v>0</v>
      </c>
      <c r="L903" s="10">
        <f>IFERROR(SUMIFS('Base bordo'!G$2:G$746,'Base bordo'!C$2:C$746,A903,'Base bordo'!B$2:B$746,B903,'Base bordo'!F$2:F$746,"MANUTENCAO - T O"),0)+IFERROR(SUMIFS('Base bordo'!G$2:G$746,'Base bordo'!C$2:C$746,A903,'Base bordo'!B$2:B$746,B903,'Base bordo'!F$2:F$746,"MANUTENCAO BORRACHARIA"),0)+IFERROR(SUMIFS('Base bordo'!G$2:G$746,'Base bordo'!C$2:C$746,A903,'Base bordo'!B$2:B$746,B903,'Base bordo'!F$2:F$746,"MANUTENCAO EXTERNA  CONCESSIONARIA"),0)+IFERROR(SUMIFS('Base bordo'!G$2:G$746,'Base bordo'!C$2:C$746,A903,'Base bordo'!B$2:B$746,B903,'Base bordo'!F$2:F$746,"MANUTENCAO TELEMETRIA"),0)</f>
        <v>0</v>
      </c>
      <c r="M903" s="10">
        <f>IFERROR(SUMIFS('Base bordo'!G$2:G$746,'Base bordo'!C$2:C$746,A903,'Base bordo'!B$2:B$746,B903,'Base bordo'!F$2:F$746,"AGUARDANDO MANUTENCAO"),0)</f>
        <v>0</v>
      </c>
      <c r="N903" s="10">
        <f>IFERROR(SUMIFS('Base bordo'!G$2:G$746,'Base bordo'!C$2:C$746,A903,'Base bordo'!B$2:B$746,B903,'Base bordo'!F$2:F$746,"SEM APONTAMENTO"),0)</f>
        <v>0</v>
      </c>
      <c r="O903" s="10">
        <f t="shared" si="90"/>
        <v>0</v>
      </c>
      <c r="P903" s="10">
        <f>IFERROR(SUMIFS('Base bordo'!G$2:G$746,'Base bordo'!C$2:C$746,A903,'Base bordo'!B$2:B$746,B903),0)</f>
        <v>3.1458333333333335</v>
      </c>
      <c r="Q903" s="10">
        <f>IFERROR(SUMIFS('Base bordo'!H$2:H$746,'Base bordo'!C$2:C$746,A903,'Base bordo'!B$2:B$746,B903,'Base bordo'!F$2:F$746,"DESLOCAMENTO VAZIO"),0)</f>
        <v>177776.33999999997</v>
      </c>
      <c r="R903" s="10">
        <f>IFERROR(SUMIFS('Base bordo'!I$2:I$746,'Base bordo'!C$2:C$746,A903,'Base bordo'!B$2:B$746,B903,'Base bordo'!F$2:F$746,"DESLOCAMENTO VAZIO"),0)</f>
        <v>5755</v>
      </c>
      <c r="S903" s="30">
        <f t="shared" si="91"/>
        <v>30.890762814943521</v>
      </c>
      <c r="T903" s="10">
        <f>IFERROR(SUMIFS('Base bordo'!H$2:H$746,'Base bordo'!C$2:C$746,A903,'Base bordo'!B$2:B$746,B903,'Base bordo'!F$2:F$746,"DESLOCAMENTO CARREGADO"),0)</f>
        <v>96305.44</v>
      </c>
      <c r="U903" s="10">
        <f>IFERROR(SUMIFS('Base bordo'!I$2:I$746,'Base bordo'!C$2:C$746,A903,'Base bordo'!B$2:B$746,B903,'Base bordo'!F$2:F$746,"DESLOCAMENTO CARREGADO"),0)</f>
        <v>5182</v>
      </c>
      <c r="V903" s="30">
        <f t="shared" si="92"/>
        <v>18.584608259359321</v>
      </c>
      <c r="W903" s="9">
        <f t="shared" si="93"/>
        <v>0.50816777041942607</v>
      </c>
      <c r="X903" s="9">
        <f t="shared" si="94"/>
        <v>0.45757174392935984</v>
      </c>
      <c r="Y903" s="9">
        <f t="shared" si="95"/>
        <v>3.426048565121409E-2</v>
      </c>
    </row>
    <row r="904" spans="1:25" ht="15" customHeight="1" x14ac:dyDescent="0.35">
      <c r="A904" s="52">
        <v>8013472</v>
      </c>
      <c r="B904" s="51">
        <v>46119</v>
      </c>
      <c r="C904" s="7" t="s">
        <v>124</v>
      </c>
      <c r="D904" s="10">
        <f>IFERROR(SUMIFS('Base bordo'!G$2:G$746,'Base bordo'!C$2:C$746,A904,'Base bordo'!B$2:B$746,B904,'Base bordo'!F$2:F$746,"DESLOCAMENTO VAZIO"),0)</f>
        <v>0.42138888888888887</v>
      </c>
      <c r="E904" s="10">
        <f>IFERROR(SUMIFS('Base bordo'!G$2:G$746,'Base bordo'!C$2:C$746,A904,'Base bordo'!B$2:B$746,B904,'Base bordo'!F$2:F$746,"DESLOCAMENTO CARREGADO"),0)</f>
        <v>0</v>
      </c>
      <c r="F904" s="10">
        <f>IFERROR(SUMIFS('Base bordo'!G$2:G$746,'Base bordo'!C$2:C$746,A904,'Base bordo'!B$2:B$746,B904,'Base bordo'!F$2:F$746,"DESLOCAMENTO"),0)</f>
        <v>0</v>
      </c>
      <c r="G904" s="10">
        <f>IFERROR(SUMIFS('Base bordo'!G$2:G$746,'Base bordo'!C$2:C$746,A904,'Base bordo'!B$2:B$746,B904,'Base bordo'!F$2:F$746,"CARREGAMENTO"),0)</f>
        <v>0</v>
      </c>
      <c r="H904" s="10">
        <f>IFERROR(SUMIFS('Base bordo'!G$2:G$746,'Base bordo'!C$2:C$746,A904,'Base bordo'!B$2:B$746,B904,'Base bordo'!F$2:F$746,"AGUARDANDO TRANSBORDO"),0)</f>
        <v>0</v>
      </c>
      <c r="I904" s="10">
        <f>IFERROR(SUMIFS('Base bordo'!G$2:G$746,'Base bordo'!C$2:C$746,A904,'Base bordo'!B$2:B$746,B904,'Base bordo'!F$2:F$746,"PÁTIO INTERNO"),0)+IFERROR(SUMIFS('Base bordo'!G$2:G$746,'Base bordo'!C$2:C$746,A904,'Base bordo'!B$2:B$746,B904,'Base bordo'!F$2:F$746,"PÁTIO EXTERNO"),0)+IFERROR(SUMIFS('Base bordo'!G$2:G$746,'Base bordo'!C$2:C$746,A904,'Base bordo'!B$2:B$746,B904,'Base bordo'!F$2:F$746,"PATIO - RESERVA"),0)+IFERROR(SUMIFS('Base bordo'!G$2:G$746,'Base bordo'!C$2:C$746,A904,'Base bordo'!B$2:B$746,B904,'Base bordo'!F$2:F$746,"MANOBRA CARRETAS-PATIO"),0)</f>
        <v>2.1247222222222222</v>
      </c>
      <c r="J904" s="10">
        <f>IFERROR(SUMIFS('Base bordo'!G$2:G$746,'Base bordo'!C$2:C$746,A904,'Base bordo'!B$2:B$746,B904,'Base bordo'!F$2:F$746,"BALANÇA - ENTRADA"),0)+IFERROR(SUMIFS('Base bordo'!G$2:G$746,'Base bordo'!C$2:C$746,A904,'Base bordo'!B$2:B$746,B904,'Base bordo'!F$2:F$746,"BALANÇA - SAÍDA"),0)</f>
        <v>0.10361111111111111</v>
      </c>
      <c r="K904" s="10">
        <f>IFERROR(SUMIFS('Base bordo'!G$2:G$746,'Base bordo'!C$2:C$746,A904,'Base bordo'!B$2:B$746,B904,'Base bordo'!F$2:F$746,"MAN PREVENTIVA - MECANICA"),0)+IFERROR(SUMIFS('Base bordo'!G$2:G$746,'Base bordo'!C$2:C$746,A904,'Base bordo'!B$2:B$746,B904,'Base bordo'!F$2:F$746,"MAN CORRETIVA - MECANICA"),0)</f>
        <v>0</v>
      </c>
      <c r="L904" s="10">
        <f>IFERROR(SUMIFS('Base bordo'!G$2:G$746,'Base bordo'!C$2:C$746,A904,'Base bordo'!B$2:B$746,B904,'Base bordo'!F$2:F$746,"MANUTENCAO - T O"),0)+IFERROR(SUMIFS('Base bordo'!G$2:G$746,'Base bordo'!C$2:C$746,A904,'Base bordo'!B$2:B$746,B904,'Base bordo'!F$2:F$746,"MANUTENCAO BORRACHARIA"),0)+IFERROR(SUMIFS('Base bordo'!G$2:G$746,'Base bordo'!C$2:C$746,A904,'Base bordo'!B$2:B$746,B904,'Base bordo'!F$2:F$746,"MANUTENCAO EXTERNA  CONCESSIONARIA"),0)+IFERROR(SUMIFS('Base bordo'!G$2:G$746,'Base bordo'!C$2:C$746,A904,'Base bordo'!B$2:B$746,B904,'Base bordo'!F$2:F$746,"MANUTENCAO TELEMETRIA"),0)</f>
        <v>0</v>
      </c>
      <c r="M904" s="10">
        <f>IFERROR(SUMIFS('Base bordo'!G$2:G$746,'Base bordo'!C$2:C$746,A904,'Base bordo'!B$2:B$746,B904,'Base bordo'!F$2:F$746,"AGUARDANDO MANUTENCAO"),0)</f>
        <v>0</v>
      </c>
      <c r="N904" s="10">
        <f>IFERROR(SUMIFS('Base bordo'!G$2:G$746,'Base bordo'!C$2:C$746,A904,'Base bordo'!B$2:B$746,B904,'Base bordo'!F$2:F$746,"SEM APONTAMENTO"),0)</f>
        <v>0</v>
      </c>
      <c r="O904" s="10">
        <f t="shared" si="90"/>
        <v>-4.4408920985006262E-16</v>
      </c>
      <c r="P904" s="10">
        <f>IFERROR(SUMIFS('Base bordo'!G$2:G$746,'Base bordo'!C$2:C$746,A904,'Base bordo'!B$2:B$746,B904),0)</f>
        <v>2.6497222222222221</v>
      </c>
      <c r="Q904" s="10">
        <f>IFERROR(SUMIFS('Base bordo'!H$2:H$746,'Base bordo'!C$2:C$746,A904,'Base bordo'!B$2:B$746,B904,'Base bordo'!F$2:F$746,"DESLOCAMENTO VAZIO"),0)</f>
        <v>15178.23</v>
      </c>
      <c r="R904" s="10">
        <f>IFERROR(SUMIFS('Base bordo'!I$2:I$746,'Base bordo'!C$2:C$746,A904,'Base bordo'!B$2:B$746,B904,'Base bordo'!F$2:F$746,"DESLOCAMENTO VAZIO"),0)</f>
        <v>1517</v>
      </c>
      <c r="S904" s="30">
        <f t="shared" si="91"/>
        <v>10.00542518127884</v>
      </c>
      <c r="T904" s="10">
        <f>IFERROR(SUMIFS('Base bordo'!H$2:H$746,'Base bordo'!C$2:C$746,A904,'Base bordo'!B$2:B$746,B904,'Base bordo'!F$2:F$746,"DESLOCAMENTO CARREGADO"),0)</f>
        <v>0</v>
      </c>
      <c r="U904" s="10">
        <f>IFERROR(SUMIFS('Base bordo'!I$2:I$746,'Base bordo'!C$2:C$746,A904,'Base bordo'!B$2:B$746,B904,'Base bordo'!F$2:F$746,"DESLOCAMENTO CARREGADO"),0)</f>
        <v>0</v>
      </c>
      <c r="V904" s="30" t="str">
        <f t="shared" si="92"/>
        <v/>
      </c>
      <c r="W904" s="9">
        <f t="shared" si="93"/>
        <v>0.15903134500471747</v>
      </c>
      <c r="X904" s="9">
        <f t="shared" si="94"/>
        <v>0</v>
      </c>
      <c r="Y904" s="9">
        <f t="shared" si="95"/>
        <v>0.84096865499528251</v>
      </c>
    </row>
    <row r="905" spans="1:25" ht="15" customHeight="1" x14ac:dyDescent="0.35">
      <c r="A905" s="52">
        <v>8013472</v>
      </c>
      <c r="B905" s="51">
        <v>46119</v>
      </c>
      <c r="C905" s="7" t="s">
        <v>124</v>
      </c>
      <c r="D905" s="10">
        <f>IFERROR(SUMIFS('Base bordo'!G$2:G$746,'Base bordo'!C$2:C$746,A905,'Base bordo'!B$2:B$746,B905,'Base bordo'!F$2:F$746,"DESLOCAMENTO VAZIO"),0)</f>
        <v>0.42138888888888887</v>
      </c>
      <c r="E905" s="10">
        <f>IFERROR(SUMIFS('Base bordo'!G$2:G$746,'Base bordo'!C$2:C$746,A905,'Base bordo'!B$2:B$746,B905,'Base bordo'!F$2:F$746,"DESLOCAMENTO CARREGADO"),0)</f>
        <v>0</v>
      </c>
      <c r="F905" s="10">
        <f>IFERROR(SUMIFS('Base bordo'!G$2:G$746,'Base bordo'!C$2:C$746,A905,'Base bordo'!B$2:B$746,B905,'Base bordo'!F$2:F$746,"DESLOCAMENTO"),0)</f>
        <v>0</v>
      </c>
      <c r="G905" s="10">
        <f>IFERROR(SUMIFS('Base bordo'!G$2:G$746,'Base bordo'!C$2:C$746,A905,'Base bordo'!B$2:B$746,B905,'Base bordo'!F$2:F$746,"CARREGAMENTO"),0)</f>
        <v>0</v>
      </c>
      <c r="H905" s="10">
        <f>IFERROR(SUMIFS('Base bordo'!G$2:G$746,'Base bordo'!C$2:C$746,A905,'Base bordo'!B$2:B$746,B905,'Base bordo'!F$2:F$746,"AGUARDANDO TRANSBORDO"),0)</f>
        <v>0</v>
      </c>
      <c r="I905" s="10">
        <f>IFERROR(SUMIFS('Base bordo'!G$2:G$746,'Base bordo'!C$2:C$746,A905,'Base bordo'!B$2:B$746,B905,'Base bordo'!F$2:F$746,"PÁTIO INTERNO"),0)+IFERROR(SUMIFS('Base bordo'!G$2:G$746,'Base bordo'!C$2:C$746,A905,'Base bordo'!B$2:B$746,B905,'Base bordo'!F$2:F$746,"PÁTIO EXTERNO"),0)+IFERROR(SUMIFS('Base bordo'!G$2:G$746,'Base bordo'!C$2:C$746,A905,'Base bordo'!B$2:B$746,B905,'Base bordo'!F$2:F$746,"PATIO - RESERVA"),0)+IFERROR(SUMIFS('Base bordo'!G$2:G$746,'Base bordo'!C$2:C$746,A905,'Base bordo'!B$2:B$746,B905,'Base bordo'!F$2:F$746,"MANOBRA CARRETAS-PATIO"),0)</f>
        <v>2.1247222222222222</v>
      </c>
      <c r="J905" s="10">
        <f>IFERROR(SUMIFS('Base bordo'!G$2:G$746,'Base bordo'!C$2:C$746,A905,'Base bordo'!B$2:B$746,B905,'Base bordo'!F$2:F$746,"BALANÇA - ENTRADA"),0)+IFERROR(SUMIFS('Base bordo'!G$2:G$746,'Base bordo'!C$2:C$746,A905,'Base bordo'!B$2:B$746,B905,'Base bordo'!F$2:F$746,"BALANÇA - SAÍDA"),0)</f>
        <v>0.10361111111111111</v>
      </c>
      <c r="K905" s="10">
        <f>IFERROR(SUMIFS('Base bordo'!G$2:G$746,'Base bordo'!C$2:C$746,A905,'Base bordo'!B$2:B$746,B905,'Base bordo'!F$2:F$746,"MAN PREVENTIVA - MECANICA"),0)+IFERROR(SUMIFS('Base bordo'!G$2:G$746,'Base bordo'!C$2:C$746,A905,'Base bordo'!B$2:B$746,B905,'Base bordo'!F$2:F$746,"MAN CORRETIVA - MECANICA"),0)</f>
        <v>0</v>
      </c>
      <c r="L905" s="10">
        <f>IFERROR(SUMIFS('Base bordo'!G$2:G$746,'Base bordo'!C$2:C$746,A905,'Base bordo'!B$2:B$746,B905,'Base bordo'!F$2:F$746,"MANUTENCAO - T O"),0)+IFERROR(SUMIFS('Base bordo'!G$2:G$746,'Base bordo'!C$2:C$746,A905,'Base bordo'!B$2:B$746,B905,'Base bordo'!F$2:F$746,"MANUTENCAO BORRACHARIA"),0)+IFERROR(SUMIFS('Base bordo'!G$2:G$746,'Base bordo'!C$2:C$746,A905,'Base bordo'!B$2:B$746,B905,'Base bordo'!F$2:F$746,"MANUTENCAO EXTERNA  CONCESSIONARIA"),0)+IFERROR(SUMIFS('Base bordo'!G$2:G$746,'Base bordo'!C$2:C$746,A905,'Base bordo'!B$2:B$746,B905,'Base bordo'!F$2:F$746,"MANUTENCAO TELEMETRIA"),0)</f>
        <v>0</v>
      </c>
      <c r="M905" s="10">
        <f>IFERROR(SUMIFS('Base bordo'!G$2:G$746,'Base bordo'!C$2:C$746,A905,'Base bordo'!B$2:B$746,B905,'Base bordo'!F$2:F$746,"AGUARDANDO MANUTENCAO"),0)</f>
        <v>0</v>
      </c>
      <c r="N905" s="10">
        <f>IFERROR(SUMIFS('Base bordo'!G$2:G$746,'Base bordo'!C$2:C$746,A905,'Base bordo'!B$2:B$746,B905,'Base bordo'!F$2:F$746,"SEM APONTAMENTO"),0)</f>
        <v>0</v>
      </c>
      <c r="O905" s="10">
        <f t="shared" si="90"/>
        <v>-4.4408920985006262E-16</v>
      </c>
      <c r="P905" s="10">
        <f>IFERROR(SUMIFS('Base bordo'!G$2:G$746,'Base bordo'!C$2:C$746,A905,'Base bordo'!B$2:B$746,B905),0)</f>
        <v>2.6497222222222221</v>
      </c>
      <c r="Q905" s="10">
        <f>IFERROR(SUMIFS('Base bordo'!H$2:H$746,'Base bordo'!C$2:C$746,A905,'Base bordo'!B$2:B$746,B905,'Base bordo'!F$2:F$746,"DESLOCAMENTO VAZIO"),0)</f>
        <v>15178.23</v>
      </c>
      <c r="R905" s="10">
        <f>IFERROR(SUMIFS('Base bordo'!I$2:I$746,'Base bordo'!C$2:C$746,A905,'Base bordo'!B$2:B$746,B905,'Base bordo'!F$2:F$746,"DESLOCAMENTO VAZIO"),0)</f>
        <v>1517</v>
      </c>
      <c r="S905" s="30">
        <f t="shared" si="91"/>
        <v>10.00542518127884</v>
      </c>
      <c r="T905" s="10">
        <f>IFERROR(SUMIFS('Base bordo'!H$2:H$746,'Base bordo'!C$2:C$746,A905,'Base bordo'!B$2:B$746,B905,'Base bordo'!F$2:F$746,"DESLOCAMENTO CARREGADO"),0)</f>
        <v>0</v>
      </c>
      <c r="U905" s="10">
        <f>IFERROR(SUMIFS('Base bordo'!I$2:I$746,'Base bordo'!C$2:C$746,A905,'Base bordo'!B$2:B$746,B905,'Base bordo'!F$2:F$746,"DESLOCAMENTO CARREGADO"),0)</f>
        <v>0</v>
      </c>
      <c r="V905" s="30" t="str">
        <f t="shared" si="92"/>
        <v/>
      </c>
      <c r="W905" s="9">
        <f t="shared" si="93"/>
        <v>0.15903134500471747</v>
      </c>
      <c r="X905" s="9">
        <f t="shared" si="94"/>
        <v>0</v>
      </c>
      <c r="Y905" s="9">
        <f t="shared" si="95"/>
        <v>0.84096865499528251</v>
      </c>
    </row>
    <row r="906" spans="1:25" ht="15" customHeight="1" x14ac:dyDescent="0.35">
      <c r="A906" s="52">
        <v>8013472</v>
      </c>
      <c r="B906" s="51">
        <v>46119</v>
      </c>
      <c r="C906" s="7" t="s">
        <v>124</v>
      </c>
      <c r="D906" s="10">
        <f>IFERROR(SUMIFS('Base bordo'!G$2:G$746,'Base bordo'!C$2:C$746,A906,'Base bordo'!B$2:B$746,B906,'Base bordo'!F$2:F$746,"DESLOCAMENTO VAZIO"),0)</f>
        <v>0.42138888888888887</v>
      </c>
      <c r="E906" s="10">
        <f>IFERROR(SUMIFS('Base bordo'!G$2:G$746,'Base bordo'!C$2:C$746,A906,'Base bordo'!B$2:B$746,B906,'Base bordo'!F$2:F$746,"DESLOCAMENTO CARREGADO"),0)</f>
        <v>0</v>
      </c>
      <c r="F906" s="10">
        <f>IFERROR(SUMIFS('Base bordo'!G$2:G$746,'Base bordo'!C$2:C$746,A906,'Base bordo'!B$2:B$746,B906,'Base bordo'!F$2:F$746,"DESLOCAMENTO"),0)</f>
        <v>0</v>
      </c>
      <c r="G906" s="10">
        <f>IFERROR(SUMIFS('Base bordo'!G$2:G$746,'Base bordo'!C$2:C$746,A906,'Base bordo'!B$2:B$746,B906,'Base bordo'!F$2:F$746,"CARREGAMENTO"),0)</f>
        <v>0</v>
      </c>
      <c r="H906" s="10">
        <f>IFERROR(SUMIFS('Base bordo'!G$2:G$746,'Base bordo'!C$2:C$746,A906,'Base bordo'!B$2:B$746,B906,'Base bordo'!F$2:F$746,"AGUARDANDO TRANSBORDO"),0)</f>
        <v>0</v>
      </c>
      <c r="I906" s="10">
        <f>IFERROR(SUMIFS('Base bordo'!G$2:G$746,'Base bordo'!C$2:C$746,A906,'Base bordo'!B$2:B$746,B906,'Base bordo'!F$2:F$746,"PÁTIO INTERNO"),0)+IFERROR(SUMIFS('Base bordo'!G$2:G$746,'Base bordo'!C$2:C$746,A906,'Base bordo'!B$2:B$746,B906,'Base bordo'!F$2:F$746,"PÁTIO EXTERNO"),0)+IFERROR(SUMIFS('Base bordo'!G$2:G$746,'Base bordo'!C$2:C$746,A906,'Base bordo'!B$2:B$746,B906,'Base bordo'!F$2:F$746,"PATIO - RESERVA"),0)+IFERROR(SUMIFS('Base bordo'!G$2:G$746,'Base bordo'!C$2:C$746,A906,'Base bordo'!B$2:B$746,B906,'Base bordo'!F$2:F$746,"MANOBRA CARRETAS-PATIO"),0)</f>
        <v>2.1247222222222222</v>
      </c>
      <c r="J906" s="10">
        <f>IFERROR(SUMIFS('Base bordo'!G$2:G$746,'Base bordo'!C$2:C$746,A906,'Base bordo'!B$2:B$746,B906,'Base bordo'!F$2:F$746,"BALANÇA - ENTRADA"),0)+IFERROR(SUMIFS('Base bordo'!G$2:G$746,'Base bordo'!C$2:C$746,A906,'Base bordo'!B$2:B$746,B906,'Base bordo'!F$2:F$746,"BALANÇA - SAÍDA"),0)</f>
        <v>0.10361111111111111</v>
      </c>
      <c r="K906" s="10">
        <f>IFERROR(SUMIFS('Base bordo'!G$2:G$746,'Base bordo'!C$2:C$746,A906,'Base bordo'!B$2:B$746,B906,'Base bordo'!F$2:F$746,"MAN PREVENTIVA - MECANICA"),0)+IFERROR(SUMIFS('Base bordo'!G$2:G$746,'Base bordo'!C$2:C$746,A906,'Base bordo'!B$2:B$746,B906,'Base bordo'!F$2:F$746,"MAN CORRETIVA - MECANICA"),0)</f>
        <v>0</v>
      </c>
      <c r="L906" s="10">
        <f>IFERROR(SUMIFS('Base bordo'!G$2:G$746,'Base bordo'!C$2:C$746,A906,'Base bordo'!B$2:B$746,B906,'Base bordo'!F$2:F$746,"MANUTENCAO - T O"),0)+IFERROR(SUMIFS('Base bordo'!G$2:G$746,'Base bordo'!C$2:C$746,A906,'Base bordo'!B$2:B$746,B906,'Base bordo'!F$2:F$746,"MANUTENCAO BORRACHARIA"),0)+IFERROR(SUMIFS('Base bordo'!G$2:G$746,'Base bordo'!C$2:C$746,A906,'Base bordo'!B$2:B$746,B906,'Base bordo'!F$2:F$746,"MANUTENCAO EXTERNA  CONCESSIONARIA"),0)+IFERROR(SUMIFS('Base bordo'!G$2:G$746,'Base bordo'!C$2:C$746,A906,'Base bordo'!B$2:B$746,B906,'Base bordo'!F$2:F$746,"MANUTENCAO TELEMETRIA"),0)</f>
        <v>0</v>
      </c>
      <c r="M906" s="10">
        <f>IFERROR(SUMIFS('Base bordo'!G$2:G$746,'Base bordo'!C$2:C$746,A906,'Base bordo'!B$2:B$746,B906,'Base bordo'!F$2:F$746,"AGUARDANDO MANUTENCAO"),0)</f>
        <v>0</v>
      </c>
      <c r="N906" s="10">
        <f>IFERROR(SUMIFS('Base bordo'!G$2:G$746,'Base bordo'!C$2:C$746,A906,'Base bordo'!B$2:B$746,B906,'Base bordo'!F$2:F$746,"SEM APONTAMENTO"),0)</f>
        <v>0</v>
      </c>
      <c r="O906" s="10">
        <f t="shared" si="90"/>
        <v>-4.4408920985006262E-16</v>
      </c>
      <c r="P906" s="10">
        <f>IFERROR(SUMIFS('Base bordo'!G$2:G$746,'Base bordo'!C$2:C$746,A906,'Base bordo'!B$2:B$746,B906),0)</f>
        <v>2.6497222222222221</v>
      </c>
      <c r="Q906" s="10">
        <f>IFERROR(SUMIFS('Base bordo'!H$2:H$746,'Base bordo'!C$2:C$746,A906,'Base bordo'!B$2:B$746,B906,'Base bordo'!F$2:F$746,"DESLOCAMENTO VAZIO"),0)</f>
        <v>15178.23</v>
      </c>
      <c r="R906" s="10">
        <f>IFERROR(SUMIFS('Base bordo'!I$2:I$746,'Base bordo'!C$2:C$746,A906,'Base bordo'!B$2:B$746,B906,'Base bordo'!F$2:F$746,"DESLOCAMENTO VAZIO"),0)</f>
        <v>1517</v>
      </c>
      <c r="S906" s="30">
        <f t="shared" si="91"/>
        <v>10.00542518127884</v>
      </c>
      <c r="T906" s="10">
        <f>IFERROR(SUMIFS('Base bordo'!H$2:H$746,'Base bordo'!C$2:C$746,A906,'Base bordo'!B$2:B$746,B906,'Base bordo'!F$2:F$746,"DESLOCAMENTO CARREGADO"),0)</f>
        <v>0</v>
      </c>
      <c r="U906" s="10">
        <f>IFERROR(SUMIFS('Base bordo'!I$2:I$746,'Base bordo'!C$2:C$746,A906,'Base bordo'!B$2:B$746,B906,'Base bordo'!F$2:F$746,"DESLOCAMENTO CARREGADO"),0)</f>
        <v>0</v>
      </c>
      <c r="V906" s="30" t="str">
        <f t="shared" si="92"/>
        <v/>
      </c>
      <c r="W906" s="9">
        <f t="shared" si="93"/>
        <v>0.15903134500471747</v>
      </c>
      <c r="X906" s="9">
        <f t="shared" si="94"/>
        <v>0</v>
      </c>
      <c r="Y906" s="9">
        <f t="shared" si="95"/>
        <v>0.84096865499528251</v>
      </c>
    </row>
    <row r="907" spans="1:25" ht="15" customHeight="1" x14ac:dyDescent="0.35">
      <c r="A907" s="52">
        <v>8013472</v>
      </c>
      <c r="B907" s="51">
        <v>46119</v>
      </c>
      <c r="C907" s="7" t="s">
        <v>124</v>
      </c>
      <c r="D907" s="10">
        <f>IFERROR(SUMIFS('Base bordo'!G$2:G$746,'Base bordo'!C$2:C$746,A907,'Base bordo'!B$2:B$746,B907,'Base bordo'!F$2:F$746,"DESLOCAMENTO VAZIO"),0)</f>
        <v>0.42138888888888887</v>
      </c>
      <c r="E907" s="10">
        <f>IFERROR(SUMIFS('Base bordo'!G$2:G$746,'Base bordo'!C$2:C$746,A907,'Base bordo'!B$2:B$746,B907,'Base bordo'!F$2:F$746,"DESLOCAMENTO CARREGADO"),0)</f>
        <v>0</v>
      </c>
      <c r="F907" s="10">
        <f>IFERROR(SUMIFS('Base bordo'!G$2:G$746,'Base bordo'!C$2:C$746,A907,'Base bordo'!B$2:B$746,B907,'Base bordo'!F$2:F$746,"DESLOCAMENTO"),0)</f>
        <v>0</v>
      </c>
      <c r="G907" s="10">
        <f>IFERROR(SUMIFS('Base bordo'!G$2:G$746,'Base bordo'!C$2:C$746,A907,'Base bordo'!B$2:B$746,B907,'Base bordo'!F$2:F$746,"CARREGAMENTO"),0)</f>
        <v>0</v>
      </c>
      <c r="H907" s="10">
        <f>IFERROR(SUMIFS('Base bordo'!G$2:G$746,'Base bordo'!C$2:C$746,A907,'Base bordo'!B$2:B$746,B907,'Base bordo'!F$2:F$746,"AGUARDANDO TRANSBORDO"),0)</f>
        <v>0</v>
      </c>
      <c r="I907" s="10">
        <f>IFERROR(SUMIFS('Base bordo'!G$2:G$746,'Base bordo'!C$2:C$746,A907,'Base bordo'!B$2:B$746,B907,'Base bordo'!F$2:F$746,"PÁTIO INTERNO"),0)+IFERROR(SUMIFS('Base bordo'!G$2:G$746,'Base bordo'!C$2:C$746,A907,'Base bordo'!B$2:B$746,B907,'Base bordo'!F$2:F$746,"PÁTIO EXTERNO"),0)+IFERROR(SUMIFS('Base bordo'!G$2:G$746,'Base bordo'!C$2:C$746,A907,'Base bordo'!B$2:B$746,B907,'Base bordo'!F$2:F$746,"PATIO - RESERVA"),0)+IFERROR(SUMIFS('Base bordo'!G$2:G$746,'Base bordo'!C$2:C$746,A907,'Base bordo'!B$2:B$746,B907,'Base bordo'!F$2:F$746,"MANOBRA CARRETAS-PATIO"),0)</f>
        <v>2.1247222222222222</v>
      </c>
      <c r="J907" s="10">
        <f>IFERROR(SUMIFS('Base bordo'!G$2:G$746,'Base bordo'!C$2:C$746,A907,'Base bordo'!B$2:B$746,B907,'Base bordo'!F$2:F$746,"BALANÇA - ENTRADA"),0)+IFERROR(SUMIFS('Base bordo'!G$2:G$746,'Base bordo'!C$2:C$746,A907,'Base bordo'!B$2:B$746,B907,'Base bordo'!F$2:F$746,"BALANÇA - SAÍDA"),0)</f>
        <v>0.10361111111111111</v>
      </c>
      <c r="K907" s="10">
        <f>IFERROR(SUMIFS('Base bordo'!G$2:G$746,'Base bordo'!C$2:C$746,A907,'Base bordo'!B$2:B$746,B907,'Base bordo'!F$2:F$746,"MAN PREVENTIVA - MECANICA"),0)+IFERROR(SUMIFS('Base bordo'!G$2:G$746,'Base bordo'!C$2:C$746,A907,'Base bordo'!B$2:B$746,B907,'Base bordo'!F$2:F$746,"MAN CORRETIVA - MECANICA"),0)</f>
        <v>0</v>
      </c>
      <c r="L907" s="10">
        <f>IFERROR(SUMIFS('Base bordo'!G$2:G$746,'Base bordo'!C$2:C$746,A907,'Base bordo'!B$2:B$746,B907,'Base bordo'!F$2:F$746,"MANUTENCAO - T O"),0)+IFERROR(SUMIFS('Base bordo'!G$2:G$746,'Base bordo'!C$2:C$746,A907,'Base bordo'!B$2:B$746,B907,'Base bordo'!F$2:F$746,"MANUTENCAO BORRACHARIA"),0)+IFERROR(SUMIFS('Base bordo'!G$2:G$746,'Base bordo'!C$2:C$746,A907,'Base bordo'!B$2:B$746,B907,'Base bordo'!F$2:F$746,"MANUTENCAO EXTERNA  CONCESSIONARIA"),0)+IFERROR(SUMIFS('Base bordo'!G$2:G$746,'Base bordo'!C$2:C$746,A907,'Base bordo'!B$2:B$746,B907,'Base bordo'!F$2:F$746,"MANUTENCAO TELEMETRIA"),0)</f>
        <v>0</v>
      </c>
      <c r="M907" s="10">
        <f>IFERROR(SUMIFS('Base bordo'!G$2:G$746,'Base bordo'!C$2:C$746,A907,'Base bordo'!B$2:B$746,B907,'Base bordo'!F$2:F$746,"AGUARDANDO MANUTENCAO"),0)</f>
        <v>0</v>
      </c>
      <c r="N907" s="10">
        <f>IFERROR(SUMIFS('Base bordo'!G$2:G$746,'Base bordo'!C$2:C$746,A907,'Base bordo'!B$2:B$746,B907,'Base bordo'!F$2:F$746,"SEM APONTAMENTO"),0)</f>
        <v>0</v>
      </c>
      <c r="O907" s="10">
        <f t="shared" si="90"/>
        <v>-4.4408920985006262E-16</v>
      </c>
      <c r="P907" s="10">
        <f>IFERROR(SUMIFS('Base bordo'!G$2:G$746,'Base bordo'!C$2:C$746,A907,'Base bordo'!B$2:B$746,B907),0)</f>
        <v>2.6497222222222221</v>
      </c>
      <c r="Q907" s="10">
        <f>IFERROR(SUMIFS('Base bordo'!H$2:H$746,'Base bordo'!C$2:C$746,A907,'Base bordo'!B$2:B$746,B907,'Base bordo'!F$2:F$746,"DESLOCAMENTO VAZIO"),0)</f>
        <v>15178.23</v>
      </c>
      <c r="R907" s="10">
        <f>IFERROR(SUMIFS('Base bordo'!I$2:I$746,'Base bordo'!C$2:C$746,A907,'Base bordo'!B$2:B$746,B907,'Base bordo'!F$2:F$746,"DESLOCAMENTO VAZIO"),0)</f>
        <v>1517</v>
      </c>
      <c r="S907" s="30">
        <f t="shared" si="91"/>
        <v>10.00542518127884</v>
      </c>
      <c r="T907" s="10">
        <f>IFERROR(SUMIFS('Base bordo'!H$2:H$746,'Base bordo'!C$2:C$746,A907,'Base bordo'!B$2:B$746,B907,'Base bordo'!F$2:F$746,"DESLOCAMENTO CARREGADO"),0)</f>
        <v>0</v>
      </c>
      <c r="U907" s="10">
        <f>IFERROR(SUMIFS('Base bordo'!I$2:I$746,'Base bordo'!C$2:C$746,A907,'Base bordo'!B$2:B$746,B907,'Base bordo'!F$2:F$746,"DESLOCAMENTO CARREGADO"),0)</f>
        <v>0</v>
      </c>
      <c r="V907" s="30" t="str">
        <f t="shared" si="92"/>
        <v/>
      </c>
      <c r="W907" s="9">
        <f t="shared" si="93"/>
        <v>0.15903134500471747</v>
      </c>
      <c r="X907" s="9">
        <f t="shared" si="94"/>
        <v>0</v>
      </c>
      <c r="Y907" s="9">
        <f t="shared" si="95"/>
        <v>0.84096865499528251</v>
      </c>
    </row>
    <row r="908" spans="1:25" ht="15" customHeight="1" x14ac:dyDescent="0.35">
      <c r="A908" s="52">
        <v>8013472</v>
      </c>
      <c r="B908" s="51">
        <v>46119</v>
      </c>
      <c r="C908" s="7" t="s">
        <v>124</v>
      </c>
      <c r="D908" s="10">
        <f>IFERROR(SUMIFS('Base bordo'!G$2:G$746,'Base bordo'!C$2:C$746,A908,'Base bordo'!B$2:B$746,B908,'Base bordo'!F$2:F$746,"DESLOCAMENTO VAZIO"),0)</f>
        <v>0.42138888888888887</v>
      </c>
      <c r="E908" s="10">
        <f>IFERROR(SUMIFS('Base bordo'!G$2:G$746,'Base bordo'!C$2:C$746,A908,'Base bordo'!B$2:B$746,B908,'Base bordo'!F$2:F$746,"DESLOCAMENTO CARREGADO"),0)</f>
        <v>0</v>
      </c>
      <c r="F908" s="10">
        <f>IFERROR(SUMIFS('Base bordo'!G$2:G$746,'Base bordo'!C$2:C$746,A908,'Base bordo'!B$2:B$746,B908,'Base bordo'!F$2:F$746,"DESLOCAMENTO"),0)</f>
        <v>0</v>
      </c>
      <c r="G908" s="10">
        <f>IFERROR(SUMIFS('Base bordo'!G$2:G$746,'Base bordo'!C$2:C$746,A908,'Base bordo'!B$2:B$746,B908,'Base bordo'!F$2:F$746,"CARREGAMENTO"),0)</f>
        <v>0</v>
      </c>
      <c r="H908" s="10">
        <f>IFERROR(SUMIFS('Base bordo'!G$2:G$746,'Base bordo'!C$2:C$746,A908,'Base bordo'!B$2:B$746,B908,'Base bordo'!F$2:F$746,"AGUARDANDO TRANSBORDO"),0)</f>
        <v>0</v>
      </c>
      <c r="I908" s="10">
        <f>IFERROR(SUMIFS('Base bordo'!G$2:G$746,'Base bordo'!C$2:C$746,A908,'Base bordo'!B$2:B$746,B908,'Base bordo'!F$2:F$746,"PÁTIO INTERNO"),0)+IFERROR(SUMIFS('Base bordo'!G$2:G$746,'Base bordo'!C$2:C$746,A908,'Base bordo'!B$2:B$746,B908,'Base bordo'!F$2:F$746,"PÁTIO EXTERNO"),0)+IFERROR(SUMIFS('Base bordo'!G$2:G$746,'Base bordo'!C$2:C$746,A908,'Base bordo'!B$2:B$746,B908,'Base bordo'!F$2:F$746,"PATIO - RESERVA"),0)+IFERROR(SUMIFS('Base bordo'!G$2:G$746,'Base bordo'!C$2:C$746,A908,'Base bordo'!B$2:B$746,B908,'Base bordo'!F$2:F$746,"MANOBRA CARRETAS-PATIO"),0)</f>
        <v>2.1247222222222222</v>
      </c>
      <c r="J908" s="10">
        <f>IFERROR(SUMIFS('Base bordo'!G$2:G$746,'Base bordo'!C$2:C$746,A908,'Base bordo'!B$2:B$746,B908,'Base bordo'!F$2:F$746,"BALANÇA - ENTRADA"),0)+IFERROR(SUMIFS('Base bordo'!G$2:G$746,'Base bordo'!C$2:C$746,A908,'Base bordo'!B$2:B$746,B908,'Base bordo'!F$2:F$746,"BALANÇA - SAÍDA"),0)</f>
        <v>0.10361111111111111</v>
      </c>
      <c r="K908" s="10">
        <f>IFERROR(SUMIFS('Base bordo'!G$2:G$746,'Base bordo'!C$2:C$746,A908,'Base bordo'!B$2:B$746,B908,'Base bordo'!F$2:F$746,"MAN PREVENTIVA - MECANICA"),0)+IFERROR(SUMIFS('Base bordo'!G$2:G$746,'Base bordo'!C$2:C$746,A908,'Base bordo'!B$2:B$746,B908,'Base bordo'!F$2:F$746,"MAN CORRETIVA - MECANICA"),0)</f>
        <v>0</v>
      </c>
      <c r="L908" s="10">
        <f>IFERROR(SUMIFS('Base bordo'!G$2:G$746,'Base bordo'!C$2:C$746,A908,'Base bordo'!B$2:B$746,B908,'Base bordo'!F$2:F$746,"MANUTENCAO - T O"),0)+IFERROR(SUMIFS('Base bordo'!G$2:G$746,'Base bordo'!C$2:C$746,A908,'Base bordo'!B$2:B$746,B908,'Base bordo'!F$2:F$746,"MANUTENCAO BORRACHARIA"),0)+IFERROR(SUMIFS('Base bordo'!G$2:G$746,'Base bordo'!C$2:C$746,A908,'Base bordo'!B$2:B$746,B908,'Base bordo'!F$2:F$746,"MANUTENCAO EXTERNA  CONCESSIONARIA"),0)+IFERROR(SUMIFS('Base bordo'!G$2:G$746,'Base bordo'!C$2:C$746,A908,'Base bordo'!B$2:B$746,B908,'Base bordo'!F$2:F$746,"MANUTENCAO TELEMETRIA"),0)</f>
        <v>0</v>
      </c>
      <c r="M908" s="10">
        <f>IFERROR(SUMIFS('Base bordo'!G$2:G$746,'Base bordo'!C$2:C$746,A908,'Base bordo'!B$2:B$746,B908,'Base bordo'!F$2:F$746,"AGUARDANDO MANUTENCAO"),0)</f>
        <v>0</v>
      </c>
      <c r="N908" s="10">
        <f>IFERROR(SUMIFS('Base bordo'!G$2:G$746,'Base bordo'!C$2:C$746,A908,'Base bordo'!B$2:B$746,B908,'Base bordo'!F$2:F$746,"SEM APONTAMENTO"),0)</f>
        <v>0</v>
      </c>
      <c r="O908" s="10">
        <f t="shared" si="90"/>
        <v>-4.4408920985006262E-16</v>
      </c>
      <c r="P908" s="10">
        <f>IFERROR(SUMIFS('Base bordo'!G$2:G$746,'Base bordo'!C$2:C$746,A908,'Base bordo'!B$2:B$746,B908),0)</f>
        <v>2.6497222222222221</v>
      </c>
      <c r="Q908" s="10">
        <f>IFERROR(SUMIFS('Base bordo'!H$2:H$746,'Base bordo'!C$2:C$746,A908,'Base bordo'!B$2:B$746,B908,'Base bordo'!F$2:F$746,"DESLOCAMENTO VAZIO"),0)</f>
        <v>15178.23</v>
      </c>
      <c r="R908" s="10">
        <f>IFERROR(SUMIFS('Base bordo'!I$2:I$746,'Base bordo'!C$2:C$746,A908,'Base bordo'!B$2:B$746,B908,'Base bordo'!F$2:F$746,"DESLOCAMENTO VAZIO"),0)</f>
        <v>1517</v>
      </c>
      <c r="S908" s="30">
        <f t="shared" si="91"/>
        <v>10.00542518127884</v>
      </c>
      <c r="T908" s="10">
        <f>IFERROR(SUMIFS('Base bordo'!H$2:H$746,'Base bordo'!C$2:C$746,A908,'Base bordo'!B$2:B$746,B908,'Base bordo'!F$2:F$746,"DESLOCAMENTO CARREGADO"),0)</f>
        <v>0</v>
      </c>
      <c r="U908" s="10">
        <f>IFERROR(SUMIFS('Base bordo'!I$2:I$746,'Base bordo'!C$2:C$746,A908,'Base bordo'!B$2:B$746,B908,'Base bordo'!F$2:F$746,"DESLOCAMENTO CARREGADO"),0)</f>
        <v>0</v>
      </c>
      <c r="V908" s="30" t="str">
        <f t="shared" si="92"/>
        <v/>
      </c>
      <c r="W908" s="9">
        <f t="shared" si="93"/>
        <v>0.15903134500471747</v>
      </c>
      <c r="X908" s="9">
        <f t="shared" si="94"/>
        <v>0</v>
      </c>
      <c r="Y908" s="9">
        <f t="shared" si="95"/>
        <v>0.84096865499528251</v>
      </c>
    </row>
    <row r="909" spans="1:25" ht="15" customHeight="1" x14ac:dyDescent="0.35">
      <c r="A909" s="52">
        <v>8013472</v>
      </c>
      <c r="B909" s="51">
        <v>46119</v>
      </c>
      <c r="C909" s="7" t="s">
        <v>124</v>
      </c>
      <c r="D909" s="10">
        <f>IFERROR(SUMIFS('Base bordo'!G$2:G$746,'Base bordo'!C$2:C$746,A909,'Base bordo'!B$2:B$746,B909,'Base bordo'!F$2:F$746,"DESLOCAMENTO VAZIO"),0)</f>
        <v>0.42138888888888887</v>
      </c>
      <c r="E909" s="10">
        <f>IFERROR(SUMIFS('Base bordo'!G$2:G$746,'Base bordo'!C$2:C$746,A909,'Base bordo'!B$2:B$746,B909,'Base bordo'!F$2:F$746,"DESLOCAMENTO CARREGADO"),0)</f>
        <v>0</v>
      </c>
      <c r="F909" s="10">
        <f>IFERROR(SUMIFS('Base bordo'!G$2:G$746,'Base bordo'!C$2:C$746,A909,'Base bordo'!B$2:B$746,B909,'Base bordo'!F$2:F$746,"DESLOCAMENTO"),0)</f>
        <v>0</v>
      </c>
      <c r="G909" s="10">
        <f>IFERROR(SUMIFS('Base bordo'!G$2:G$746,'Base bordo'!C$2:C$746,A909,'Base bordo'!B$2:B$746,B909,'Base bordo'!F$2:F$746,"CARREGAMENTO"),0)</f>
        <v>0</v>
      </c>
      <c r="H909" s="10">
        <f>IFERROR(SUMIFS('Base bordo'!G$2:G$746,'Base bordo'!C$2:C$746,A909,'Base bordo'!B$2:B$746,B909,'Base bordo'!F$2:F$746,"AGUARDANDO TRANSBORDO"),0)</f>
        <v>0</v>
      </c>
      <c r="I909" s="10">
        <f>IFERROR(SUMIFS('Base bordo'!G$2:G$746,'Base bordo'!C$2:C$746,A909,'Base bordo'!B$2:B$746,B909,'Base bordo'!F$2:F$746,"PÁTIO INTERNO"),0)+IFERROR(SUMIFS('Base bordo'!G$2:G$746,'Base bordo'!C$2:C$746,A909,'Base bordo'!B$2:B$746,B909,'Base bordo'!F$2:F$746,"PÁTIO EXTERNO"),0)+IFERROR(SUMIFS('Base bordo'!G$2:G$746,'Base bordo'!C$2:C$746,A909,'Base bordo'!B$2:B$746,B909,'Base bordo'!F$2:F$746,"PATIO - RESERVA"),0)+IFERROR(SUMIFS('Base bordo'!G$2:G$746,'Base bordo'!C$2:C$746,A909,'Base bordo'!B$2:B$746,B909,'Base bordo'!F$2:F$746,"MANOBRA CARRETAS-PATIO"),0)</f>
        <v>2.1247222222222222</v>
      </c>
      <c r="J909" s="10">
        <f>IFERROR(SUMIFS('Base bordo'!G$2:G$746,'Base bordo'!C$2:C$746,A909,'Base bordo'!B$2:B$746,B909,'Base bordo'!F$2:F$746,"BALANÇA - ENTRADA"),0)+IFERROR(SUMIFS('Base bordo'!G$2:G$746,'Base bordo'!C$2:C$746,A909,'Base bordo'!B$2:B$746,B909,'Base bordo'!F$2:F$746,"BALANÇA - SAÍDA"),0)</f>
        <v>0.10361111111111111</v>
      </c>
      <c r="K909" s="10">
        <f>IFERROR(SUMIFS('Base bordo'!G$2:G$746,'Base bordo'!C$2:C$746,A909,'Base bordo'!B$2:B$746,B909,'Base bordo'!F$2:F$746,"MAN PREVENTIVA - MECANICA"),0)+IFERROR(SUMIFS('Base bordo'!G$2:G$746,'Base bordo'!C$2:C$746,A909,'Base bordo'!B$2:B$746,B909,'Base bordo'!F$2:F$746,"MAN CORRETIVA - MECANICA"),0)</f>
        <v>0</v>
      </c>
      <c r="L909" s="10">
        <f>IFERROR(SUMIFS('Base bordo'!G$2:G$746,'Base bordo'!C$2:C$746,A909,'Base bordo'!B$2:B$746,B909,'Base bordo'!F$2:F$746,"MANUTENCAO - T O"),0)+IFERROR(SUMIFS('Base bordo'!G$2:G$746,'Base bordo'!C$2:C$746,A909,'Base bordo'!B$2:B$746,B909,'Base bordo'!F$2:F$746,"MANUTENCAO BORRACHARIA"),0)+IFERROR(SUMIFS('Base bordo'!G$2:G$746,'Base bordo'!C$2:C$746,A909,'Base bordo'!B$2:B$746,B909,'Base bordo'!F$2:F$746,"MANUTENCAO EXTERNA  CONCESSIONARIA"),0)+IFERROR(SUMIFS('Base bordo'!G$2:G$746,'Base bordo'!C$2:C$746,A909,'Base bordo'!B$2:B$746,B909,'Base bordo'!F$2:F$746,"MANUTENCAO TELEMETRIA"),0)</f>
        <v>0</v>
      </c>
      <c r="M909" s="10">
        <f>IFERROR(SUMIFS('Base bordo'!G$2:G$746,'Base bordo'!C$2:C$746,A909,'Base bordo'!B$2:B$746,B909,'Base bordo'!F$2:F$746,"AGUARDANDO MANUTENCAO"),0)</f>
        <v>0</v>
      </c>
      <c r="N909" s="10">
        <f>IFERROR(SUMIFS('Base bordo'!G$2:G$746,'Base bordo'!C$2:C$746,A909,'Base bordo'!B$2:B$746,B909,'Base bordo'!F$2:F$746,"SEM APONTAMENTO"),0)</f>
        <v>0</v>
      </c>
      <c r="O909" s="10">
        <f t="shared" si="90"/>
        <v>-4.4408920985006262E-16</v>
      </c>
      <c r="P909" s="10">
        <f>IFERROR(SUMIFS('Base bordo'!G$2:G$746,'Base bordo'!C$2:C$746,A909,'Base bordo'!B$2:B$746,B909),0)</f>
        <v>2.6497222222222221</v>
      </c>
      <c r="Q909" s="10">
        <f>IFERROR(SUMIFS('Base bordo'!H$2:H$746,'Base bordo'!C$2:C$746,A909,'Base bordo'!B$2:B$746,B909,'Base bordo'!F$2:F$746,"DESLOCAMENTO VAZIO"),0)</f>
        <v>15178.23</v>
      </c>
      <c r="R909" s="10">
        <f>IFERROR(SUMIFS('Base bordo'!I$2:I$746,'Base bordo'!C$2:C$746,A909,'Base bordo'!B$2:B$746,B909,'Base bordo'!F$2:F$746,"DESLOCAMENTO VAZIO"),0)</f>
        <v>1517</v>
      </c>
      <c r="S909" s="30">
        <f t="shared" si="91"/>
        <v>10.00542518127884</v>
      </c>
      <c r="T909" s="10">
        <f>IFERROR(SUMIFS('Base bordo'!H$2:H$746,'Base bordo'!C$2:C$746,A909,'Base bordo'!B$2:B$746,B909,'Base bordo'!F$2:F$746,"DESLOCAMENTO CARREGADO"),0)</f>
        <v>0</v>
      </c>
      <c r="U909" s="10">
        <f>IFERROR(SUMIFS('Base bordo'!I$2:I$746,'Base bordo'!C$2:C$746,A909,'Base bordo'!B$2:B$746,B909,'Base bordo'!F$2:F$746,"DESLOCAMENTO CARREGADO"),0)</f>
        <v>0</v>
      </c>
      <c r="V909" s="30" t="str">
        <f t="shared" si="92"/>
        <v/>
      </c>
      <c r="W909" s="9">
        <f t="shared" si="93"/>
        <v>0.15903134500471747</v>
      </c>
      <c r="X909" s="9">
        <f t="shared" si="94"/>
        <v>0</v>
      </c>
      <c r="Y909" s="9">
        <f t="shared" si="95"/>
        <v>0.84096865499528251</v>
      </c>
    </row>
    <row r="910" spans="1:25" ht="15" customHeight="1" x14ac:dyDescent="0.35">
      <c r="A910" s="52">
        <v>8013472</v>
      </c>
      <c r="B910" s="51">
        <v>46119</v>
      </c>
      <c r="C910" s="7" t="s">
        <v>124</v>
      </c>
      <c r="D910" s="10">
        <f>IFERROR(SUMIFS('Base bordo'!G$2:G$746,'Base bordo'!C$2:C$746,A910,'Base bordo'!B$2:B$746,B910,'Base bordo'!F$2:F$746,"DESLOCAMENTO VAZIO"),0)</f>
        <v>0.42138888888888887</v>
      </c>
      <c r="E910" s="10">
        <f>IFERROR(SUMIFS('Base bordo'!G$2:G$746,'Base bordo'!C$2:C$746,A910,'Base bordo'!B$2:B$746,B910,'Base bordo'!F$2:F$746,"DESLOCAMENTO CARREGADO"),0)</f>
        <v>0</v>
      </c>
      <c r="F910" s="10">
        <f>IFERROR(SUMIFS('Base bordo'!G$2:G$746,'Base bordo'!C$2:C$746,A910,'Base bordo'!B$2:B$746,B910,'Base bordo'!F$2:F$746,"DESLOCAMENTO"),0)</f>
        <v>0</v>
      </c>
      <c r="G910" s="10">
        <f>IFERROR(SUMIFS('Base bordo'!G$2:G$746,'Base bordo'!C$2:C$746,A910,'Base bordo'!B$2:B$746,B910,'Base bordo'!F$2:F$746,"CARREGAMENTO"),0)</f>
        <v>0</v>
      </c>
      <c r="H910" s="10">
        <f>IFERROR(SUMIFS('Base bordo'!G$2:G$746,'Base bordo'!C$2:C$746,A910,'Base bordo'!B$2:B$746,B910,'Base bordo'!F$2:F$746,"AGUARDANDO TRANSBORDO"),0)</f>
        <v>0</v>
      </c>
      <c r="I910" s="10">
        <f>IFERROR(SUMIFS('Base bordo'!G$2:G$746,'Base bordo'!C$2:C$746,A910,'Base bordo'!B$2:B$746,B910,'Base bordo'!F$2:F$746,"PÁTIO INTERNO"),0)+IFERROR(SUMIFS('Base bordo'!G$2:G$746,'Base bordo'!C$2:C$746,A910,'Base bordo'!B$2:B$746,B910,'Base bordo'!F$2:F$746,"PÁTIO EXTERNO"),0)+IFERROR(SUMIFS('Base bordo'!G$2:G$746,'Base bordo'!C$2:C$746,A910,'Base bordo'!B$2:B$746,B910,'Base bordo'!F$2:F$746,"PATIO - RESERVA"),0)+IFERROR(SUMIFS('Base bordo'!G$2:G$746,'Base bordo'!C$2:C$746,A910,'Base bordo'!B$2:B$746,B910,'Base bordo'!F$2:F$746,"MANOBRA CARRETAS-PATIO"),0)</f>
        <v>2.1247222222222222</v>
      </c>
      <c r="J910" s="10">
        <f>IFERROR(SUMIFS('Base bordo'!G$2:G$746,'Base bordo'!C$2:C$746,A910,'Base bordo'!B$2:B$746,B910,'Base bordo'!F$2:F$746,"BALANÇA - ENTRADA"),0)+IFERROR(SUMIFS('Base bordo'!G$2:G$746,'Base bordo'!C$2:C$746,A910,'Base bordo'!B$2:B$746,B910,'Base bordo'!F$2:F$746,"BALANÇA - SAÍDA"),0)</f>
        <v>0.10361111111111111</v>
      </c>
      <c r="K910" s="10">
        <f>IFERROR(SUMIFS('Base bordo'!G$2:G$746,'Base bordo'!C$2:C$746,A910,'Base bordo'!B$2:B$746,B910,'Base bordo'!F$2:F$746,"MAN PREVENTIVA - MECANICA"),0)+IFERROR(SUMIFS('Base bordo'!G$2:G$746,'Base bordo'!C$2:C$746,A910,'Base bordo'!B$2:B$746,B910,'Base bordo'!F$2:F$746,"MAN CORRETIVA - MECANICA"),0)</f>
        <v>0</v>
      </c>
      <c r="L910" s="10">
        <f>IFERROR(SUMIFS('Base bordo'!G$2:G$746,'Base bordo'!C$2:C$746,A910,'Base bordo'!B$2:B$746,B910,'Base bordo'!F$2:F$746,"MANUTENCAO - T O"),0)+IFERROR(SUMIFS('Base bordo'!G$2:G$746,'Base bordo'!C$2:C$746,A910,'Base bordo'!B$2:B$746,B910,'Base bordo'!F$2:F$746,"MANUTENCAO BORRACHARIA"),0)+IFERROR(SUMIFS('Base bordo'!G$2:G$746,'Base bordo'!C$2:C$746,A910,'Base bordo'!B$2:B$746,B910,'Base bordo'!F$2:F$746,"MANUTENCAO EXTERNA  CONCESSIONARIA"),0)+IFERROR(SUMIFS('Base bordo'!G$2:G$746,'Base bordo'!C$2:C$746,A910,'Base bordo'!B$2:B$746,B910,'Base bordo'!F$2:F$746,"MANUTENCAO TELEMETRIA"),0)</f>
        <v>0</v>
      </c>
      <c r="M910" s="10">
        <f>IFERROR(SUMIFS('Base bordo'!G$2:G$746,'Base bordo'!C$2:C$746,A910,'Base bordo'!B$2:B$746,B910,'Base bordo'!F$2:F$746,"AGUARDANDO MANUTENCAO"),0)</f>
        <v>0</v>
      </c>
      <c r="N910" s="10">
        <f>IFERROR(SUMIFS('Base bordo'!G$2:G$746,'Base bordo'!C$2:C$746,A910,'Base bordo'!B$2:B$746,B910,'Base bordo'!F$2:F$746,"SEM APONTAMENTO"),0)</f>
        <v>0</v>
      </c>
      <c r="O910" s="10">
        <f t="shared" si="90"/>
        <v>-4.4408920985006262E-16</v>
      </c>
      <c r="P910" s="10">
        <f>IFERROR(SUMIFS('Base bordo'!G$2:G$746,'Base bordo'!C$2:C$746,A910,'Base bordo'!B$2:B$746,B910),0)</f>
        <v>2.6497222222222221</v>
      </c>
      <c r="Q910" s="10">
        <f>IFERROR(SUMIFS('Base bordo'!H$2:H$746,'Base bordo'!C$2:C$746,A910,'Base bordo'!B$2:B$746,B910,'Base bordo'!F$2:F$746,"DESLOCAMENTO VAZIO"),0)</f>
        <v>15178.23</v>
      </c>
      <c r="R910" s="10">
        <f>IFERROR(SUMIFS('Base bordo'!I$2:I$746,'Base bordo'!C$2:C$746,A910,'Base bordo'!B$2:B$746,B910,'Base bordo'!F$2:F$746,"DESLOCAMENTO VAZIO"),0)</f>
        <v>1517</v>
      </c>
      <c r="S910" s="30">
        <f t="shared" si="91"/>
        <v>10.00542518127884</v>
      </c>
      <c r="T910" s="10">
        <f>IFERROR(SUMIFS('Base bordo'!H$2:H$746,'Base bordo'!C$2:C$746,A910,'Base bordo'!B$2:B$746,B910,'Base bordo'!F$2:F$746,"DESLOCAMENTO CARREGADO"),0)</f>
        <v>0</v>
      </c>
      <c r="U910" s="10">
        <f>IFERROR(SUMIFS('Base bordo'!I$2:I$746,'Base bordo'!C$2:C$746,A910,'Base bordo'!B$2:B$746,B910,'Base bordo'!F$2:F$746,"DESLOCAMENTO CARREGADO"),0)</f>
        <v>0</v>
      </c>
      <c r="V910" s="30" t="str">
        <f t="shared" si="92"/>
        <v/>
      </c>
      <c r="W910" s="9">
        <f t="shared" si="93"/>
        <v>0.15903134500471747</v>
      </c>
      <c r="X910" s="9">
        <f t="shared" si="94"/>
        <v>0</v>
      </c>
      <c r="Y910" s="9">
        <f t="shared" si="95"/>
        <v>0.84096865499528251</v>
      </c>
    </row>
    <row r="911" spans="1:25" ht="15" customHeight="1" x14ac:dyDescent="0.35">
      <c r="A911" s="52">
        <v>8013473</v>
      </c>
      <c r="B911" s="51">
        <v>46119</v>
      </c>
      <c r="C911" s="7" t="s">
        <v>124</v>
      </c>
      <c r="D911" s="10">
        <f>IFERROR(SUMIFS('Base bordo'!G$2:G$746,'Base bordo'!C$2:C$746,A911,'Base bordo'!B$2:B$746,B911,'Base bordo'!F$2:F$746,"DESLOCAMENTO VAZIO"),0)</f>
        <v>9.0277777777777776E-2</v>
      </c>
      <c r="E911" s="10">
        <f>IFERROR(SUMIFS('Base bordo'!G$2:G$746,'Base bordo'!C$2:C$746,A911,'Base bordo'!B$2:B$746,B911,'Base bordo'!F$2:F$746,"DESLOCAMENTO CARREGADO"),0)</f>
        <v>0</v>
      </c>
      <c r="F911" s="10">
        <f>IFERROR(SUMIFS('Base bordo'!G$2:G$746,'Base bordo'!C$2:C$746,A911,'Base bordo'!B$2:B$746,B911,'Base bordo'!F$2:F$746,"DESLOCAMENTO"),0)</f>
        <v>0</v>
      </c>
      <c r="G911" s="10">
        <f>IFERROR(SUMIFS('Base bordo'!G$2:G$746,'Base bordo'!C$2:C$746,A911,'Base bordo'!B$2:B$746,B911,'Base bordo'!F$2:F$746,"CARREGAMENTO"),0)</f>
        <v>0</v>
      </c>
      <c r="H911" s="10">
        <f>IFERROR(SUMIFS('Base bordo'!G$2:G$746,'Base bordo'!C$2:C$746,A911,'Base bordo'!B$2:B$746,B911,'Base bordo'!F$2:F$746,"AGUARDANDO TRANSBORDO"),0)</f>
        <v>0</v>
      </c>
      <c r="I911" s="10">
        <f>IFERROR(SUMIFS('Base bordo'!G$2:G$746,'Base bordo'!C$2:C$746,A911,'Base bordo'!B$2:B$746,B911,'Base bordo'!F$2:F$746,"PÁTIO INTERNO"),0)+IFERROR(SUMIFS('Base bordo'!G$2:G$746,'Base bordo'!C$2:C$746,A911,'Base bordo'!B$2:B$746,B911,'Base bordo'!F$2:F$746,"PÁTIO EXTERNO"),0)+IFERROR(SUMIFS('Base bordo'!G$2:G$746,'Base bordo'!C$2:C$746,A911,'Base bordo'!B$2:B$746,B911,'Base bordo'!F$2:F$746,"PATIO - RESERVA"),0)+IFERROR(SUMIFS('Base bordo'!G$2:G$746,'Base bordo'!C$2:C$746,A911,'Base bordo'!B$2:B$746,B911,'Base bordo'!F$2:F$746,"MANOBRA CARRETAS-PATIO"),0)</f>
        <v>21.094999999999999</v>
      </c>
      <c r="J911" s="10">
        <f>IFERROR(SUMIFS('Base bordo'!G$2:G$746,'Base bordo'!C$2:C$746,A911,'Base bordo'!B$2:B$746,B911,'Base bordo'!F$2:F$746,"BALANÇA - ENTRADA"),0)+IFERROR(SUMIFS('Base bordo'!G$2:G$746,'Base bordo'!C$2:C$746,A911,'Base bordo'!B$2:B$746,B911,'Base bordo'!F$2:F$746,"BALANÇA - SAÍDA"),0)</f>
        <v>8.1111111111111106E-2</v>
      </c>
      <c r="K911" s="10">
        <f>IFERROR(SUMIFS('Base bordo'!G$2:G$746,'Base bordo'!C$2:C$746,A911,'Base bordo'!B$2:B$746,B911,'Base bordo'!F$2:F$746,"MAN PREVENTIVA - MECANICA"),0)+IFERROR(SUMIFS('Base bordo'!G$2:G$746,'Base bordo'!C$2:C$746,A911,'Base bordo'!B$2:B$746,B911,'Base bordo'!F$2:F$746,"MAN CORRETIVA - MECANICA"),0)</f>
        <v>0</v>
      </c>
      <c r="L911" s="10">
        <f>IFERROR(SUMIFS('Base bordo'!G$2:G$746,'Base bordo'!C$2:C$746,A911,'Base bordo'!B$2:B$746,B911,'Base bordo'!F$2:F$746,"MANUTENCAO - T O"),0)+IFERROR(SUMIFS('Base bordo'!G$2:G$746,'Base bordo'!C$2:C$746,A911,'Base bordo'!B$2:B$746,B911,'Base bordo'!F$2:F$746,"MANUTENCAO BORRACHARIA"),0)+IFERROR(SUMIFS('Base bordo'!G$2:G$746,'Base bordo'!C$2:C$746,A911,'Base bordo'!B$2:B$746,B911,'Base bordo'!F$2:F$746,"MANUTENCAO EXTERNA  CONCESSIONARIA"),0)+IFERROR(SUMIFS('Base bordo'!G$2:G$746,'Base bordo'!C$2:C$746,A911,'Base bordo'!B$2:B$746,B911,'Base bordo'!F$2:F$746,"MANUTENCAO TELEMETRIA"),0)</f>
        <v>0</v>
      </c>
      <c r="M911" s="10">
        <f>IFERROR(SUMIFS('Base bordo'!G$2:G$746,'Base bordo'!C$2:C$746,A911,'Base bordo'!B$2:B$746,B911,'Base bordo'!F$2:F$746,"AGUARDANDO MANUTENCAO"),0)</f>
        <v>0</v>
      </c>
      <c r="N911" s="10">
        <f>IFERROR(SUMIFS('Base bordo'!G$2:G$746,'Base bordo'!C$2:C$746,A911,'Base bordo'!B$2:B$746,B911,'Base bordo'!F$2:F$746,"SEM APONTAMENTO"),0)</f>
        <v>0</v>
      </c>
      <c r="O911" s="10">
        <f t="shared" ref="O911:O974" si="96">IFERROR(P911-SUM(D911:N911),0)</f>
        <v>0</v>
      </c>
      <c r="P911" s="10">
        <f>IFERROR(SUMIFS('Base bordo'!G$2:G$746,'Base bordo'!C$2:C$746,A911,'Base bordo'!B$2:B$746,B911),0)</f>
        <v>21.266388888888887</v>
      </c>
      <c r="Q911" s="10">
        <f>IFERROR(SUMIFS('Base bordo'!H$2:H$746,'Base bordo'!C$2:C$746,A911,'Base bordo'!B$2:B$746,B911,'Base bordo'!F$2:F$746,"DESLOCAMENTO VAZIO"),0)</f>
        <v>2236.9</v>
      </c>
      <c r="R911" s="10">
        <f>IFERROR(SUMIFS('Base bordo'!I$2:I$746,'Base bordo'!C$2:C$746,A911,'Base bordo'!B$2:B$746,B911,'Base bordo'!F$2:F$746,"DESLOCAMENTO VAZIO"),0)</f>
        <v>325</v>
      </c>
      <c r="S911" s="30">
        <f t="shared" ref="S911:S974" si="97">IFERROR(Q911/R911,"")</f>
        <v>6.882769230769231</v>
      </c>
      <c r="T911" s="10">
        <f>IFERROR(SUMIFS('Base bordo'!H$2:H$746,'Base bordo'!C$2:C$746,A911,'Base bordo'!B$2:B$746,B911,'Base bordo'!F$2:F$746,"DESLOCAMENTO CARREGADO"),0)</f>
        <v>0</v>
      </c>
      <c r="U911" s="10">
        <f>IFERROR(SUMIFS('Base bordo'!I$2:I$746,'Base bordo'!C$2:C$746,A911,'Base bordo'!B$2:B$746,B911,'Base bordo'!F$2:F$746,"DESLOCAMENTO CARREGADO"),0)</f>
        <v>0</v>
      </c>
      <c r="V911" s="30" t="str">
        <f t="shared" ref="V911:V974" si="98">IFERROR(T911/U911,"")</f>
        <v/>
      </c>
      <c r="W911" s="9">
        <f t="shared" ref="W911:W974" si="99">IFERROR(D911/P911,0)</f>
        <v>4.2450920205331834E-3</v>
      </c>
      <c r="X911" s="9">
        <f t="shared" ref="X911:X974" si="100">IFERROR(E911/P911,0)</f>
        <v>0</v>
      </c>
      <c r="Y911" s="9">
        <f t="shared" ref="Y911:Y974" si="101">IFERROR(1-((D911+E911)/P911),0)</f>
        <v>0.99575490797946686</v>
      </c>
    </row>
    <row r="912" spans="1:25" ht="15" customHeight="1" x14ac:dyDescent="0.35">
      <c r="A912" s="52">
        <v>8013473</v>
      </c>
      <c r="B912" s="51">
        <v>46119</v>
      </c>
      <c r="C912" s="7" t="s">
        <v>124</v>
      </c>
      <c r="D912" s="10">
        <f>IFERROR(SUMIFS('Base bordo'!G$2:G$746,'Base bordo'!C$2:C$746,A912,'Base bordo'!B$2:B$746,B912,'Base bordo'!F$2:F$746,"DESLOCAMENTO VAZIO"),0)</f>
        <v>9.0277777777777776E-2</v>
      </c>
      <c r="E912" s="10">
        <f>IFERROR(SUMIFS('Base bordo'!G$2:G$746,'Base bordo'!C$2:C$746,A912,'Base bordo'!B$2:B$746,B912,'Base bordo'!F$2:F$746,"DESLOCAMENTO CARREGADO"),0)</f>
        <v>0</v>
      </c>
      <c r="F912" s="10">
        <f>IFERROR(SUMIFS('Base bordo'!G$2:G$746,'Base bordo'!C$2:C$746,A912,'Base bordo'!B$2:B$746,B912,'Base bordo'!F$2:F$746,"DESLOCAMENTO"),0)</f>
        <v>0</v>
      </c>
      <c r="G912" s="10">
        <f>IFERROR(SUMIFS('Base bordo'!G$2:G$746,'Base bordo'!C$2:C$746,A912,'Base bordo'!B$2:B$746,B912,'Base bordo'!F$2:F$746,"CARREGAMENTO"),0)</f>
        <v>0</v>
      </c>
      <c r="H912" s="10">
        <f>IFERROR(SUMIFS('Base bordo'!G$2:G$746,'Base bordo'!C$2:C$746,A912,'Base bordo'!B$2:B$746,B912,'Base bordo'!F$2:F$746,"AGUARDANDO TRANSBORDO"),0)</f>
        <v>0</v>
      </c>
      <c r="I912" s="10">
        <f>IFERROR(SUMIFS('Base bordo'!G$2:G$746,'Base bordo'!C$2:C$746,A912,'Base bordo'!B$2:B$746,B912,'Base bordo'!F$2:F$746,"PÁTIO INTERNO"),0)+IFERROR(SUMIFS('Base bordo'!G$2:G$746,'Base bordo'!C$2:C$746,A912,'Base bordo'!B$2:B$746,B912,'Base bordo'!F$2:F$746,"PÁTIO EXTERNO"),0)+IFERROR(SUMIFS('Base bordo'!G$2:G$746,'Base bordo'!C$2:C$746,A912,'Base bordo'!B$2:B$746,B912,'Base bordo'!F$2:F$746,"PATIO - RESERVA"),0)+IFERROR(SUMIFS('Base bordo'!G$2:G$746,'Base bordo'!C$2:C$746,A912,'Base bordo'!B$2:B$746,B912,'Base bordo'!F$2:F$746,"MANOBRA CARRETAS-PATIO"),0)</f>
        <v>21.094999999999999</v>
      </c>
      <c r="J912" s="10">
        <f>IFERROR(SUMIFS('Base bordo'!G$2:G$746,'Base bordo'!C$2:C$746,A912,'Base bordo'!B$2:B$746,B912,'Base bordo'!F$2:F$746,"BALANÇA - ENTRADA"),0)+IFERROR(SUMIFS('Base bordo'!G$2:G$746,'Base bordo'!C$2:C$746,A912,'Base bordo'!B$2:B$746,B912,'Base bordo'!F$2:F$746,"BALANÇA - SAÍDA"),0)</f>
        <v>8.1111111111111106E-2</v>
      </c>
      <c r="K912" s="10">
        <f>IFERROR(SUMIFS('Base bordo'!G$2:G$746,'Base bordo'!C$2:C$746,A912,'Base bordo'!B$2:B$746,B912,'Base bordo'!F$2:F$746,"MAN PREVENTIVA - MECANICA"),0)+IFERROR(SUMIFS('Base bordo'!G$2:G$746,'Base bordo'!C$2:C$746,A912,'Base bordo'!B$2:B$746,B912,'Base bordo'!F$2:F$746,"MAN CORRETIVA - MECANICA"),0)</f>
        <v>0</v>
      </c>
      <c r="L912" s="10">
        <f>IFERROR(SUMIFS('Base bordo'!G$2:G$746,'Base bordo'!C$2:C$746,A912,'Base bordo'!B$2:B$746,B912,'Base bordo'!F$2:F$746,"MANUTENCAO - T O"),0)+IFERROR(SUMIFS('Base bordo'!G$2:G$746,'Base bordo'!C$2:C$746,A912,'Base bordo'!B$2:B$746,B912,'Base bordo'!F$2:F$746,"MANUTENCAO BORRACHARIA"),0)+IFERROR(SUMIFS('Base bordo'!G$2:G$746,'Base bordo'!C$2:C$746,A912,'Base bordo'!B$2:B$746,B912,'Base bordo'!F$2:F$746,"MANUTENCAO EXTERNA  CONCESSIONARIA"),0)+IFERROR(SUMIFS('Base bordo'!G$2:G$746,'Base bordo'!C$2:C$746,A912,'Base bordo'!B$2:B$746,B912,'Base bordo'!F$2:F$746,"MANUTENCAO TELEMETRIA"),0)</f>
        <v>0</v>
      </c>
      <c r="M912" s="10">
        <f>IFERROR(SUMIFS('Base bordo'!G$2:G$746,'Base bordo'!C$2:C$746,A912,'Base bordo'!B$2:B$746,B912,'Base bordo'!F$2:F$746,"AGUARDANDO MANUTENCAO"),0)</f>
        <v>0</v>
      </c>
      <c r="N912" s="10">
        <f>IFERROR(SUMIFS('Base bordo'!G$2:G$746,'Base bordo'!C$2:C$746,A912,'Base bordo'!B$2:B$746,B912,'Base bordo'!F$2:F$746,"SEM APONTAMENTO"),0)</f>
        <v>0</v>
      </c>
      <c r="O912" s="10">
        <f t="shared" si="96"/>
        <v>0</v>
      </c>
      <c r="P912" s="10">
        <f>IFERROR(SUMIFS('Base bordo'!G$2:G$746,'Base bordo'!C$2:C$746,A912,'Base bordo'!B$2:B$746,B912),0)</f>
        <v>21.266388888888887</v>
      </c>
      <c r="Q912" s="10">
        <f>IFERROR(SUMIFS('Base bordo'!H$2:H$746,'Base bordo'!C$2:C$746,A912,'Base bordo'!B$2:B$746,B912,'Base bordo'!F$2:F$746,"DESLOCAMENTO VAZIO"),0)</f>
        <v>2236.9</v>
      </c>
      <c r="R912" s="10">
        <f>IFERROR(SUMIFS('Base bordo'!I$2:I$746,'Base bordo'!C$2:C$746,A912,'Base bordo'!B$2:B$746,B912,'Base bordo'!F$2:F$746,"DESLOCAMENTO VAZIO"),0)</f>
        <v>325</v>
      </c>
      <c r="S912" s="30">
        <f t="shared" si="97"/>
        <v>6.882769230769231</v>
      </c>
      <c r="T912" s="10">
        <f>IFERROR(SUMIFS('Base bordo'!H$2:H$746,'Base bordo'!C$2:C$746,A912,'Base bordo'!B$2:B$746,B912,'Base bordo'!F$2:F$746,"DESLOCAMENTO CARREGADO"),0)</f>
        <v>0</v>
      </c>
      <c r="U912" s="10">
        <f>IFERROR(SUMIFS('Base bordo'!I$2:I$746,'Base bordo'!C$2:C$746,A912,'Base bordo'!B$2:B$746,B912,'Base bordo'!F$2:F$746,"DESLOCAMENTO CARREGADO"),0)</f>
        <v>0</v>
      </c>
      <c r="V912" s="30" t="str">
        <f t="shared" si="98"/>
        <v/>
      </c>
      <c r="W912" s="9">
        <f t="shared" si="99"/>
        <v>4.2450920205331834E-3</v>
      </c>
      <c r="X912" s="9">
        <f t="shared" si="100"/>
        <v>0</v>
      </c>
      <c r="Y912" s="9">
        <f t="shared" si="101"/>
        <v>0.99575490797946686</v>
      </c>
    </row>
    <row r="913" spans="1:25" ht="15" customHeight="1" x14ac:dyDescent="0.35">
      <c r="A913" s="52">
        <v>8013473</v>
      </c>
      <c r="B913" s="51">
        <v>46119</v>
      </c>
      <c r="C913" s="7" t="s">
        <v>124</v>
      </c>
      <c r="D913" s="10">
        <f>IFERROR(SUMIFS('Base bordo'!G$2:G$746,'Base bordo'!C$2:C$746,A913,'Base bordo'!B$2:B$746,B913,'Base bordo'!F$2:F$746,"DESLOCAMENTO VAZIO"),0)</f>
        <v>9.0277777777777776E-2</v>
      </c>
      <c r="E913" s="10">
        <f>IFERROR(SUMIFS('Base bordo'!G$2:G$746,'Base bordo'!C$2:C$746,A913,'Base bordo'!B$2:B$746,B913,'Base bordo'!F$2:F$746,"DESLOCAMENTO CARREGADO"),0)</f>
        <v>0</v>
      </c>
      <c r="F913" s="10">
        <f>IFERROR(SUMIFS('Base bordo'!G$2:G$746,'Base bordo'!C$2:C$746,A913,'Base bordo'!B$2:B$746,B913,'Base bordo'!F$2:F$746,"DESLOCAMENTO"),0)</f>
        <v>0</v>
      </c>
      <c r="G913" s="10">
        <f>IFERROR(SUMIFS('Base bordo'!G$2:G$746,'Base bordo'!C$2:C$746,A913,'Base bordo'!B$2:B$746,B913,'Base bordo'!F$2:F$746,"CARREGAMENTO"),0)</f>
        <v>0</v>
      </c>
      <c r="H913" s="10">
        <f>IFERROR(SUMIFS('Base bordo'!G$2:G$746,'Base bordo'!C$2:C$746,A913,'Base bordo'!B$2:B$746,B913,'Base bordo'!F$2:F$746,"AGUARDANDO TRANSBORDO"),0)</f>
        <v>0</v>
      </c>
      <c r="I913" s="10">
        <f>IFERROR(SUMIFS('Base bordo'!G$2:G$746,'Base bordo'!C$2:C$746,A913,'Base bordo'!B$2:B$746,B913,'Base bordo'!F$2:F$746,"PÁTIO INTERNO"),0)+IFERROR(SUMIFS('Base bordo'!G$2:G$746,'Base bordo'!C$2:C$746,A913,'Base bordo'!B$2:B$746,B913,'Base bordo'!F$2:F$746,"PÁTIO EXTERNO"),0)+IFERROR(SUMIFS('Base bordo'!G$2:G$746,'Base bordo'!C$2:C$746,A913,'Base bordo'!B$2:B$746,B913,'Base bordo'!F$2:F$746,"PATIO - RESERVA"),0)+IFERROR(SUMIFS('Base bordo'!G$2:G$746,'Base bordo'!C$2:C$746,A913,'Base bordo'!B$2:B$746,B913,'Base bordo'!F$2:F$746,"MANOBRA CARRETAS-PATIO"),0)</f>
        <v>21.094999999999999</v>
      </c>
      <c r="J913" s="10">
        <f>IFERROR(SUMIFS('Base bordo'!G$2:G$746,'Base bordo'!C$2:C$746,A913,'Base bordo'!B$2:B$746,B913,'Base bordo'!F$2:F$746,"BALANÇA - ENTRADA"),0)+IFERROR(SUMIFS('Base bordo'!G$2:G$746,'Base bordo'!C$2:C$746,A913,'Base bordo'!B$2:B$746,B913,'Base bordo'!F$2:F$746,"BALANÇA - SAÍDA"),0)</f>
        <v>8.1111111111111106E-2</v>
      </c>
      <c r="K913" s="10">
        <f>IFERROR(SUMIFS('Base bordo'!G$2:G$746,'Base bordo'!C$2:C$746,A913,'Base bordo'!B$2:B$746,B913,'Base bordo'!F$2:F$746,"MAN PREVENTIVA - MECANICA"),0)+IFERROR(SUMIFS('Base bordo'!G$2:G$746,'Base bordo'!C$2:C$746,A913,'Base bordo'!B$2:B$746,B913,'Base bordo'!F$2:F$746,"MAN CORRETIVA - MECANICA"),0)</f>
        <v>0</v>
      </c>
      <c r="L913" s="10">
        <f>IFERROR(SUMIFS('Base bordo'!G$2:G$746,'Base bordo'!C$2:C$746,A913,'Base bordo'!B$2:B$746,B913,'Base bordo'!F$2:F$746,"MANUTENCAO - T O"),0)+IFERROR(SUMIFS('Base bordo'!G$2:G$746,'Base bordo'!C$2:C$746,A913,'Base bordo'!B$2:B$746,B913,'Base bordo'!F$2:F$746,"MANUTENCAO BORRACHARIA"),0)+IFERROR(SUMIFS('Base bordo'!G$2:G$746,'Base bordo'!C$2:C$746,A913,'Base bordo'!B$2:B$746,B913,'Base bordo'!F$2:F$746,"MANUTENCAO EXTERNA  CONCESSIONARIA"),0)+IFERROR(SUMIFS('Base bordo'!G$2:G$746,'Base bordo'!C$2:C$746,A913,'Base bordo'!B$2:B$746,B913,'Base bordo'!F$2:F$746,"MANUTENCAO TELEMETRIA"),0)</f>
        <v>0</v>
      </c>
      <c r="M913" s="10">
        <f>IFERROR(SUMIFS('Base bordo'!G$2:G$746,'Base bordo'!C$2:C$746,A913,'Base bordo'!B$2:B$746,B913,'Base bordo'!F$2:F$746,"AGUARDANDO MANUTENCAO"),0)</f>
        <v>0</v>
      </c>
      <c r="N913" s="10">
        <f>IFERROR(SUMIFS('Base bordo'!G$2:G$746,'Base bordo'!C$2:C$746,A913,'Base bordo'!B$2:B$746,B913,'Base bordo'!F$2:F$746,"SEM APONTAMENTO"),0)</f>
        <v>0</v>
      </c>
      <c r="O913" s="10">
        <f t="shared" si="96"/>
        <v>0</v>
      </c>
      <c r="P913" s="10">
        <f>IFERROR(SUMIFS('Base bordo'!G$2:G$746,'Base bordo'!C$2:C$746,A913,'Base bordo'!B$2:B$746,B913),0)</f>
        <v>21.266388888888887</v>
      </c>
      <c r="Q913" s="10">
        <f>IFERROR(SUMIFS('Base bordo'!H$2:H$746,'Base bordo'!C$2:C$746,A913,'Base bordo'!B$2:B$746,B913,'Base bordo'!F$2:F$746,"DESLOCAMENTO VAZIO"),0)</f>
        <v>2236.9</v>
      </c>
      <c r="R913" s="10">
        <f>IFERROR(SUMIFS('Base bordo'!I$2:I$746,'Base bordo'!C$2:C$746,A913,'Base bordo'!B$2:B$746,B913,'Base bordo'!F$2:F$746,"DESLOCAMENTO VAZIO"),0)</f>
        <v>325</v>
      </c>
      <c r="S913" s="30">
        <f t="shared" si="97"/>
        <v>6.882769230769231</v>
      </c>
      <c r="T913" s="10">
        <f>IFERROR(SUMIFS('Base bordo'!H$2:H$746,'Base bordo'!C$2:C$746,A913,'Base bordo'!B$2:B$746,B913,'Base bordo'!F$2:F$746,"DESLOCAMENTO CARREGADO"),0)</f>
        <v>0</v>
      </c>
      <c r="U913" s="10">
        <f>IFERROR(SUMIFS('Base bordo'!I$2:I$746,'Base bordo'!C$2:C$746,A913,'Base bordo'!B$2:B$746,B913,'Base bordo'!F$2:F$746,"DESLOCAMENTO CARREGADO"),0)</f>
        <v>0</v>
      </c>
      <c r="V913" s="30" t="str">
        <f t="shared" si="98"/>
        <v/>
      </c>
      <c r="W913" s="9">
        <f t="shared" si="99"/>
        <v>4.2450920205331834E-3</v>
      </c>
      <c r="X913" s="9">
        <f t="shared" si="100"/>
        <v>0</v>
      </c>
      <c r="Y913" s="9">
        <f t="shared" si="101"/>
        <v>0.99575490797946686</v>
      </c>
    </row>
    <row r="914" spans="1:25" ht="15" customHeight="1" x14ac:dyDescent="0.35">
      <c r="A914" s="52">
        <v>8013473</v>
      </c>
      <c r="B914" s="51">
        <v>46119</v>
      </c>
      <c r="C914" s="7" t="s">
        <v>124</v>
      </c>
      <c r="D914" s="10">
        <f>IFERROR(SUMIFS('Base bordo'!G$2:G$746,'Base bordo'!C$2:C$746,A914,'Base bordo'!B$2:B$746,B914,'Base bordo'!F$2:F$746,"DESLOCAMENTO VAZIO"),0)</f>
        <v>9.0277777777777776E-2</v>
      </c>
      <c r="E914" s="10">
        <f>IFERROR(SUMIFS('Base bordo'!G$2:G$746,'Base bordo'!C$2:C$746,A914,'Base bordo'!B$2:B$746,B914,'Base bordo'!F$2:F$746,"DESLOCAMENTO CARREGADO"),0)</f>
        <v>0</v>
      </c>
      <c r="F914" s="10">
        <f>IFERROR(SUMIFS('Base bordo'!G$2:G$746,'Base bordo'!C$2:C$746,A914,'Base bordo'!B$2:B$746,B914,'Base bordo'!F$2:F$746,"DESLOCAMENTO"),0)</f>
        <v>0</v>
      </c>
      <c r="G914" s="10">
        <f>IFERROR(SUMIFS('Base bordo'!G$2:G$746,'Base bordo'!C$2:C$746,A914,'Base bordo'!B$2:B$746,B914,'Base bordo'!F$2:F$746,"CARREGAMENTO"),0)</f>
        <v>0</v>
      </c>
      <c r="H914" s="10">
        <f>IFERROR(SUMIFS('Base bordo'!G$2:G$746,'Base bordo'!C$2:C$746,A914,'Base bordo'!B$2:B$746,B914,'Base bordo'!F$2:F$746,"AGUARDANDO TRANSBORDO"),0)</f>
        <v>0</v>
      </c>
      <c r="I914" s="10">
        <f>IFERROR(SUMIFS('Base bordo'!G$2:G$746,'Base bordo'!C$2:C$746,A914,'Base bordo'!B$2:B$746,B914,'Base bordo'!F$2:F$746,"PÁTIO INTERNO"),0)+IFERROR(SUMIFS('Base bordo'!G$2:G$746,'Base bordo'!C$2:C$746,A914,'Base bordo'!B$2:B$746,B914,'Base bordo'!F$2:F$746,"PÁTIO EXTERNO"),0)+IFERROR(SUMIFS('Base bordo'!G$2:G$746,'Base bordo'!C$2:C$746,A914,'Base bordo'!B$2:B$746,B914,'Base bordo'!F$2:F$746,"PATIO - RESERVA"),0)+IFERROR(SUMIFS('Base bordo'!G$2:G$746,'Base bordo'!C$2:C$746,A914,'Base bordo'!B$2:B$746,B914,'Base bordo'!F$2:F$746,"MANOBRA CARRETAS-PATIO"),0)</f>
        <v>21.094999999999999</v>
      </c>
      <c r="J914" s="10">
        <f>IFERROR(SUMIFS('Base bordo'!G$2:G$746,'Base bordo'!C$2:C$746,A914,'Base bordo'!B$2:B$746,B914,'Base bordo'!F$2:F$746,"BALANÇA - ENTRADA"),0)+IFERROR(SUMIFS('Base bordo'!G$2:G$746,'Base bordo'!C$2:C$746,A914,'Base bordo'!B$2:B$746,B914,'Base bordo'!F$2:F$746,"BALANÇA - SAÍDA"),0)</f>
        <v>8.1111111111111106E-2</v>
      </c>
      <c r="K914" s="10">
        <f>IFERROR(SUMIFS('Base bordo'!G$2:G$746,'Base bordo'!C$2:C$746,A914,'Base bordo'!B$2:B$746,B914,'Base bordo'!F$2:F$746,"MAN PREVENTIVA - MECANICA"),0)+IFERROR(SUMIFS('Base bordo'!G$2:G$746,'Base bordo'!C$2:C$746,A914,'Base bordo'!B$2:B$746,B914,'Base bordo'!F$2:F$746,"MAN CORRETIVA - MECANICA"),0)</f>
        <v>0</v>
      </c>
      <c r="L914" s="10">
        <f>IFERROR(SUMIFS('Base bordo'!G$2:G$746,'Base bordo'!C$2:C$746,A914,'Base bordo'!B$2:B$746,B914,'Base bordo'!F$2:F$746,"MANUTENCAO - T O"),0)+IFERROR(SUMIFS('Base bordo'!G$2:G$746,'Base bordo'!C$2:C$746,A914,'Base bordo'!B$2:B$746,B914,'Base bordo'!F$2:F$746,"MANUTENCAO BORRACHARIA"),0)+IFERROR(SUMIFS('Base bordo'!G$2:G$746,'Base bordo'!C$2:C$746,A914,'Base bordo'!B$2:B$746,B914,'Base bordo'!F$2:F$746,"MANUTENCAO EXTERNA  CONCESSIONARIA"),0)+IFERROR(SUMIFS('Base bordo'!G$2:G$746,'Base bordo'!C$2:C$746,A914,'Base bordo'!B$2:B$746,B914,'Base bordo'!F$2:F$746,"MANUTENCAO TELEMETRIA"),0)</f>
        <v>0</v>
      </c>
      <c r="M914" s="10">
        <f>IFERROR(SUMIFS('Base bordo'!G$2:G$746,'Base bordo'!C$2:C$746,A914,'Base bordo'!B$2:B$746,B914,'Base bordo'!F$2:F$746,"AGUARDANDO MANUTENCAO"),0)</f>
        <v>0</v>
      </c>
      <c r="N914" s="10">
        <f>IFERROR(SUMIFS('Base bordo'!G$2:G$746,'Base bordo'!C$2:C$746,A914,'Base bordo'!B$2:B$746,B914,'Base bordo'!F$2:F$746,"SEM APONTAMENTO"),0)</f>
        <v>0</v>
      </c>
      <c r="O914" s="10">
        <f t="shared" si="96"/>
        <v>0</v>
      </c>
      <c r="P914" s="10">
        <f>IFERROR(SUMIFS('Base bordo'!G$2:G$746,'Base bordo'!C$2:C$746,A914,'Base bordo'!B$2:B$746,B914),0)</f>
        <v>21.266388888888887</v>
      </c>
      <c r="Q914" s="10">
        <f>IFERROR(SUMIFS('Base bordo'!H$2:H$746,'Base bordo'!C$2:C$746,A914,'Base bordo'!B$2:B$746,B914,'Base bordo'!F$2:F$746,"DESLOCAMENTO VAZIO"),0)</f>
        <v>2236.9</v>
      </c>
      <c r="R914" s="10">
        <f>IFERROR(SUMIFS('Base bordo'!I$2:I$746,'Base bordo'!C$2:C$746,A914,'Base bordo'!B$2:B$746,B914,'Base bordo'!F$2:F$746,"DESLOCAMENTO VAZIO"),0)</f>
        <v>325</v>
      </c>
      <c r="S914" s="30">
        <f t="shared" si="97"/>
        <v>6.882769230769231</v>
      </c>
      <c r="T914" s="10">
        <f>IFERROR(SUMIFS('Base bordo'!H$2:H$746,'Base bordo'!C$2:C$746,A914,'Base bordo'!B$2:B$746,B914,'Base bordo'!F$2:F$746,"DESLOCAMENTO CARREGADO"),0)</f>
        <v>0</v>
      </c>
      <c r="U914" s="10">
        <f>IFERROR(SUMIFS('Base bordo'!I$2:I$746,'Base bordo'!C$2:C$746,A914,'Base bordo'!B$2:B$746,B914,'Base bordo'!F$2:F$746,"DESLOCAMENTO CARREGADO"),0)</f>
        <v>0</v>
      </c>
      <c r="V914" s="30" t="str">
        <f t="shared" si="98"/>
        <v/>
      </c>
      <c r="W914" s="9">
        <f t="shared" si="99"/>
        <v>4.2450920205331834E-3</v>
      </c>
      <c r="X914" s="9">
        <f t="shared" si="100"/>
        <v>0</v>
      </c>
      <c r="Y914" s="9">
        <f t="shared" si="101"/>
        <v>0.99575490797946686</v>
      </c>
    </row>
    <row r="915" spans="1:25" ht="15" customHeight="1" x14ac:dyDescent="0.35">
      <c r="A915" s="52">
        <v>8013474</v>
      </c>
      <c r="B915" s="51">
        <v>46119</v>
      </c>
      <c r="C915" s="7" t="s">
        <v>124</v>
      </c>
      <c r="D915" s="10">
        <f>IFERROR(SUMIFS('Base bordo'!G$2:G$746,'Base bordo'!C$2:C$746,A915,'Base bordo'!B$2:B$746,B915,'Base bordo'!F$2:F$746,"DESLOCAMENTO VAZIO"),0)</f>
        <v>1.3672222222222221</v>
      </c>
      <c r="E915" s="10">
        <f>IFERROR(SUMIFS('Base bordo'!G$2:G$746,'Base bordo'!C$2:C$746,A915,'Base bordo'!B$2:B$746,B915,'Base bordo'!F$2:F$746,"DESLOCAMENTO CARREGADO"),0)</f>
        <v>2.1927777777777777</v>
      </c>
      <c r="F915" s="10">
        <f>IFERROR(SUMIFS('Base bordo'!G$2:G$746,'Base bordo'!C$2:C$746,A915,'Base bordo'!B$2:B$746,B915,'Base bordo'!F$2:F$746,"DESLOCAMENTO"),0)</f>
        <v>0</v>
      </c>
      <c r="G915" s="10">
        <f>IFERROR(SUMIFS('Base bordo'!G$2:G$746,'Base bordo'!C$2:C$746,A915,'Base bordo'!B$2:B$746,B915,'Base bordo'!F$2:F$746,"CARREGAMENTO"),0)</f>
        <v>0</v>
      </c>
      <c r="H915" s="10">
        <f>IFERROR(SUMIFS('Base bordo'!G$2:G$746,'Base bordo'!C$2:C$746,A915,'Base bordo'!B$2:B$746,B915,'Base bordo'!F$2:F$746,"AGUARDANDO TRANSBORDO"),0)</f>
        <v>0.30111111111111111</v>
      </c>
      <c r="I915" s="10">
        <f>IFERROR(SUMIFS('Base bordo'!G$2:G$746,'Base bordo'!C$2:C$746,A915,'Base bordo'!B$2:B$746,B915,'Base bordo'!F$2:F$746,"PÁTIO INTERNO"),0)+IFERROR(SUMIFS('Base bordo'!G$2:G$746,'Base bordo'!C$2:C$746,A915,'Base bordo'!B$2:B$746,B915,'Base bordo'!F$2:F$746,"PÁTIO EXTERNO"),0)+IFERROR(SUMIFS('Base bordo'!G$2:G$746,'Base bordo'!C$2:C$746,A915,'Base bordo'!B$2:B$746,B915,'Base bordo'!F$2:F$746,"PATIO - RESERVA"),0)+IFERROR(SUMIFS('Base bordo'!G$2:G$746,'Base bordo'!C$2:C$746,A915,'Base bordo'!B$2:B$746,B915,'Base bordo'!F$2:F$746,"MANOBRA CARRETAS-PATIO"),0)</f>
        <v>19.229166666666668</v>
      </c>
      <c r="J915" s="10">
        <f>IFERROR(SUMIFS('Base bordo'!G$2:G$746,'Base bordo'!C$2:C$746,A915,'Base bordo'!B$2:B$746,B915,'Base bordo'!F$2:F$746,"BALANÇA - ENTRADA"),0)+IFERROR(SUMIFS('Base bordo'!G$2:G$746,'Base bordo'!C$2:C$746,A915,'Base bordo'!B$2:B$746,B915,'Base bordo'!F$2:F$746,"BALANÇA - SAÍDA"),0)</f>
        <v>2.8611111111111108E-2</v>
      </c>
      <c r="K915" s="10">
        <f>IFERROR(SUMIFS('Base bordo'!G$2:G$746,'Base bordo'!C$2:C$746,A915,'Base bordo'!B$2:B$746,B915,'Base bordo'!F$2:F$746,"MAN PREVENTIVA - MECANICA"),0)+IFERROR(SUMIFS('Base bordo'!G$2:G$746,'Base bordo'!C$2:C$746,A915,'Base bordo'!B$2:B$746,B915,'Base bordo'!F$2:F$746,"MAN CORRETIVA - MECANICA"),0)</f>
        <v>0</v>
      </c>
      <c r="L915" s="10">
        <f>IFERROR(SUMIFS('Base bordo'!G$2:G$746,'Base bordo'!C$2:C$746,A915,'Base bordo'!B$2:B$746,B915,'Base bordo'!F$2:F$746,"MANUTENCAO - T O"),0)+IFERROR(SUMIFS('Base bordo'!G$2:G$746,'Base bordo'!C$2:C$746,A915,'Base bordo'!B$2:B$746,B915,'Base bordo'!F$2:F$746,"MANUTENCAO BORRACHARIA"),0)+IFERROR(SUMIFS('Base bordo'!G$2:G$746,'Base bordo'!C$2:C$746,A915,'Base bordo'!B$2:B$746,B915,'Base bordo'!F$2:F$746,"MANUTENCAO EXTERNA  CONCESSIONARIA"),0)+IFERROR(SUMIFS('Base bordo'!G$2:G$746,'Base bordo'!C$2:C$746,A915,'Base bordo'!B$2:B$746,B915,'Base bordo'!F$2:F$746,"MANUTENCAO TELEMETRIA"),0)</f>
        <v>0</v>
      </c>
      <c r="M915" s="10">
        <f>IFERROR(SUMIFS('Base bordo'!G$2:G$746,'Base bordo'!C$2:C$746,A915,'Base bordo'!B$2:B$746,B915,'Base bordo'!F$2:F$746,"AGUARDANDO MANUTENCAO"),0)</f>
        <v>0</v>
      </c>
      <c r="N915" s="10">
        <f>IFERROR(SUMIFS('Base bordo'!G$2:G$746,'Base bordo'!C$2:C$746,A915,'Base bordo'!B$2:B$746,B915,'Base bordo'!F$2:F$746,"SEM APONTAMENTO"),0)</f>
        <v>0</v>
      </c>
      <c r="O915" s="10">
        <f t="shared" si="96"/>
        <v>0</v>
      </c>
      <c r="P915" s="10">
        <f>IFERROR(SUMIFS('Base bordo'!G$2:G$746,'Base bordo'!C$2:C$746,A915,'Base bordo'!B$2:B$746,B915),0)</f>
        <v>23.11888888888889</v>
      </c>
      <c r="Q915" s="10">
        <f>IFERROR(SUMIFS('Base bordo'!H$2:H$746,'Base bordo'!C$2:C$746,A915,'Base bordo'!B$2:B$746,B915,'Base bordo'!F$2:F$746,"DESLOCAMENTO VAZIO"),0)</f>
        <v>176172.38</v>
      </c>
      <c r="R915" s="10">
        <f>IFERROR(SUMIFS('Base bordo'!I$2:I$746,'Base bordo'!C$2:C$746,A915,'Base bordo'!B$2:B$746,B915,'Base bordo'!F$2:F$746,"DESLOCAMENTO VAZIO"),0)</f>
        <v>4922</v>
      </c>
      <c r="S915" s="30">
        <f t="shared" si="97"/>
        <v>35.792844372206424</v>
      </c>
      <c r="T915" s="10">
        <f>IFERROR(SUMIFS('Base bordo'!H$2:H$746,'Base bordo'!C$2:C$746,A915,'Base bordo'!B$2:B$746,B915,'Base bordo'!F$2:F$746,"DESLOCAMENTO CARREGADO"),0)</f>
        <v>181456.72999999998</v>
      </c>
      <c r="U915" s="10">
        <f>IFERROR(SUMIFS('Base bordo'!I$2:I$746,'Base bordo'!C$2:C$746,A915,'Base bordo'!B$2:B$746,B915,'Base bordo'!F$2:F$746,"DESLOCAMENTO CARREGADO"),0)</f>
        <v>7894</v>
      </c>
      <c r="V915" s="30">
        <f t="shared" si="98"/>
        <v>22.986664555358498</v>
      </c>
      <c r="W915" s="9">
        <f t="shared" si="99"/>
        <v>5.913875138174652E-2</v>
      </c>
      <c r="X915" s="9">
        <f t="shared" si="100"/>
        <v>9.4847887730090827E-2</v>
      </c>
      <c r="Y915" s="9">
        <f t="shared" si="101"/>
        <v>0.84601336088816259</v>
      </c>
    </row>
    <row r="916" spans="1:25" ht="15" customHeight="1" x14ac:dyDescent="0.35">
      <c r="A916" s="52">
        <v>8013474</v>
      </c>
      <c r="B916" s="51">
        <v>46119</v>
      </c>
      <c r="C916" s="7" t="s">
        <v>124</v>
      </c>
      <c r="D916" s="10">
        <f>IFERROR(SUMIFS('Base bordo'!G$2:G$746,'Base bordo'!C$2:C$746,A916,'Base bordo'!B$2:B$746,B916,'Base bordo'!F$2:F$746,"DESLOCAMENTO VAZIO"),0)</f>
        <v>1.3672222222222221</v>
      </c>
      <c r="E916" s="10">
        <f>IFERROR(SUMIFS('Base bordo'!G$2:G$746,'Base bordo'!C$2:C$746,A916,'Base bordo'!B$2:B$746,B916,'Base bordo'!F$2:F$746,"DESLOCAMENTO CARREGADO"),0)</f>
        <v>2.1927777777777777</v>
      </c>
      <c r="F916" s="10">
        <f>IFERROR(SUMIFS('Base bordo'!G$2:G$746,'Base bordo'!C$2:C$746,A916,'Base bordo'!B$2:B$746,B916,'Base bordo'!F$2:F$746,"DESLOCAMENTO"),0)</f>
        <v>0</v>
      </c>
      <c r="G916" s="10">
        <f>IFERROR(SUMIFS('Base bordo'!G$2:G$746,'Base bordo'!C$2:C$746,A916,'Base bordo'!B$2:B$746,B916,'Base bordo'!F$2:F$746,"CARREGAMENTO"),0)</f>
        <v>0</v>
      </c>
      <c r="H916" s="10">
        <f>IFERROR(SUMIFS('Base bordo'!G$2:G$746,'Base bordo'!C$2:C$746,A916,'Base bordo'!B$2:B$746,B916,'Base bordo'!F$2:F$746,"AGUARDANDO TRANSBORDO"),0)</f>
        <v>0.30111111111111111</v>
      </c>
      <c r="I916" s="10">
        <f>IFERROR(SUMIFS('Base bordo'!G$2:G$746,'Base bordo'!C$2:C$746,A916,'Base bordo'!B$2:B$746,B916,'Base bordo'!F$2:F$746,"PÁTIO INTERNO"),0)+IFERROR(SUMIFS('Base bordo'!G$2:G$746,'Base bordo'!C$2:C$746,A916,'Base bordo'!B$2:B$746,B916,'Base bordo'!F$2:F$746,"PÁTIO EXTERNO"),0)+IFERROR(SUMIFS('Base bordo'!G$2:G$746,'Base bordo'!C$2:C$746,A916,'Base bordo'!B$2:B$746,B916,'Base bordo'!F$2:F$746,"PATIO - RESERVA"),0)+IFERROR(SUMIFS('Base bordo'!G$2:G$746,'Base bordo'!C$2:C$746,A916,'Base bordo'!B$2:B$746,B916,'Base bordo'!F$2:F$746,"MANOBRA CARRETAS-PATIO"),0)</f>
        <v>19.229166666666668</v>
      </c>
      <c r="J916" s="10">
        <f>IFERROR(SUMIFS('Base bordo'!G$2:G$746,'Base bordo'!C$2:C$746,A916,'Base bordo'!B$2:B$746,B916,'Base bordo'!F$2:F$746,"BALANÇA - ENTRADA"),0)+IFERROR(SUMIFS('Base bordo'!G$2:G$746,'Base bordo'!C$2:C$746,A916,'Base bordo'!B$2:B$746,B916,'Base bordo'!F$2:F$746,"BALANÇA - SAÍDA"),0)</f>
        <v>2.8611111111111108E-2</v>
      </c>
      <c r="K916" s="10">
        <f>IFERROR(SUMIFS('Base bordo'!G$2:G$746,'Base bordo'!C$2:C$746,A916,'Base bordo'!B$2:B$746,B916,'Base bordo'!F$2:F$746,"MAN PREVENTIVA - MECANICA"),0)+IFERROR(SUMIFS('Base bordo'!G$2:G$746,'Base bordo'!C$2:C$746,A916,'Base bordo'!B$2:B$746,B916,'Base bordo'!F$2:F$746,"MAN CORRETIVA - MECANICA"),0)</f>
        <v>0</v>
      </c>
      <c r="L916" s="10">
        <f>IFERROR(SUMIFS('Base bordo'!G$2:G$746,'Base bordo'!C$2:C$746,A916,'Base bordo'!B$2:B$746,B916,'Base bordo'!F$2:F$746,"MANUTENCAO - T O"),0)+IFERROR(SUMIFS('Base bordo'!G$2:G$746,'Base bordo'!C$2:C$746,A916,'Base bordo'!B$2:B$746,B916,'Base bordo'!F$2:F$746,"MANUTENCAO BORRACHARIA"),0)+IFERROR(SUMIFS('Base bordo'!G$2:G$746,'Base bordo'!C$2:C$746,A916,'Base bordo'!B$2:B$746,B916,'Base bordo'!F$2:F$746,"MANUTENCAO EXTERNA  CONCESSIONARIA"),0)+IFERROR(SUMIFS('Base bordo'!G$2:G$746,'Base bordo'!C$2:C$746,A916,'Base bordo'!B$2:B$746,B916,'Base bordo'!F$2:F$746,"MANUTENCAO TELEMETRIA"),0)</f>
        <v>0</v>
      </c>
      <c r="M916" s="10">
        <f>IFERROR(SUMIFS('Base bordo'!G$2:G$746,'Base bordo'!C$2:C$746,A916,'Base bordo'!B$2:B$746,B916,'Base bordo'!F$2:F$746,"AGUARDANDO MANUTENCAO"),0)</f>
        <v>0</v>
      </c>
      <c r="N916" s="10">
        <f>IFERROR(SUMIFS('Base bordo'!G$2:G$746,'Base bordo'!C$2:C$746,A916,'Base bordo'!B$2:B$746,B916,'Base bordo'!F$2:F$746,"SEM APONTAMENTO"),0)</f>
        <v>0</v>
      </c>
      <c r="O916" s="10">
        <f t="shared" si="96"/>
        <v>0</v>
      </c>
      <c r="P916" s="10">
        <f>IFERROR(SUMIFS('Base bordo'!G$2:G$746,'Base bordo'!C$2:C$746,A916,'Base bordo'!B$2:B$746,B916),0)</f>
        <v>23.11888888888889</v>
      </c>
      <c r="Q916" s="10">
        <f>IFERROR(SUMIFS('Base bordo'!H$2:H$746,'Base bordo'!C$2:C$746,A916,'Base bordo'!B$2:B$746,B916,'Base bordo'!F$2:F$746,"DESLOCAMENTO VAZIO"),0)</f>
        <v>176172.38</v>
      </c>
      <c r="R916" s="10">
        <f>IFERROR(SUMIFS('Base bordo'!I$2:I$746,'Base bordo'!C$2:C$746,A916,'Base bordo'!B$2:B$746,B916,'Base bordo'!F$2:F$746,"DESLOCAMENTO VAZIO"),0)</f>
        <v>4922</v>
      </c>
      <c r="S916" s="30">
        <f t="shared" si="97"/>
        <v>35.792844372206424</v>
      </c>
      <c r="T916" s="10">
        <f>IFERROR(SUMIFS('Base bordo'!H$2:H$746,'Base bordo'!C$2:C$746,A916,'Base bordo'!B$2:B$746,B916,'Base bordo'!F$2:F$746,"DESLOCAMENTO CARREGADO"),0)</f>
        <v>181456.72999999998</v>
      </c>
      <c r="U916" s="10">
        <f>IFERROR(SUMIFS('Base bordo'!I$2:I$746,'Base bordo'!C$2:C$746,A916,'Base bordo'!B$2:B$746,B916,'Base bordo'!F$2:F$746,"DESLOCAMENTO CARREGADO"),0)</f>
        <v>7894</v>
      </c>
      <c r="V916" s="30">
        <f t="shared" si="98"/>
        <v>22.986664555358498</v>
      </c>
      <c r="W916" s="9">
        <f t="shared" si="99"/>
        <v>5.913875138174652E-2</v>
      </c>
      <c r="X916" s="9">
        <f t="shared" si="100"/>
        <v>9.4847887730090827E-2</v>
      </c>
      <c r="Y916" s="9">
        <f t="shared" si="101"/>
        <v>0.84601336088816259</v>
      </c>
    </row>
    <row r="917" spans="1:25" ht="15" customHeight="1" x14ac:dyDescent="0.35">
      <c r="A917" s="52">
        <v>8013474</v>
      </c>
      <c r="B917" s="51">
        <v>46119</v>
      </c>
      <c r="C917" s="7" t="s">
        <v>124</v>
      </c>
      <c r="D917" s="10">
        <f>IFERROR(SUMIFS('Base bordo'!G$2:G$746,'Base bordo'!C$2:C$746,A917,'Base bordo'!B$2:B$746,B917,'Base bordo'!F$2:F$746,"DESLOCAMENTO VAZIO"),0)</f>
        <v>1.3672222222222221</v>
      </c>
      <c r="E917" s="10">
        <f>IFERROR(SUMIFS('Base bordo'!G$2:G$746,'Base bordo'!C$2:C$746,A917,'Base bordo'!B$2:B$746,B917,'Base bordo'!F$2:F$746,"DESLOCAMENTO CARREGADO"),0)</f>
        <v>2.1927777777777777</v>
      </c>
      <c r="F917" s="10">
        <f>IFERROR(SUMIFS('Base bordo'!G$2:G$746,'Base bordo'!C$2:C$746,A917,'Base bordo'!B$2:B$746,B917,'Base bordo'!F$2:F$746,"DESLOCAMENTO"),0)</f>
        <v>0</v>
      </c>
      <c r="G917" s="10">
        <f>IFERROR(SUMIFS('Base bordo'!G$2:G$746,'Base bordo'!C$2:C$746,A917,'Base bordo'!B$2:B$746,B917,'Base bordo'!F$2:F$746,"CARREGAMENTO"),0)</f>
        <v>0</v>
      </c>
      <c r="H917" s="10">
        <f>IFERROR(SUMIFS('Base bordo'!G$2:G$746,'Base bordo'!C$2:C$746,A917,'Base bordo'!B$2:B$746,B917,'Base bordo'!F$2:F$746,"AGUARDANDO TRANSBORDO"),0)</f>
        <v>0.30111111111111111</v>
      </c>
      <c r="I917" s="10">
        <f>IFERROR(SUMIFS('Base bordo'!G$2:G$746,'Base bordo'!C$2:C$746,A917,'Base bordo'!B$2:B$746,B917,'Base bordo'!F$2:F$746,"PÁTIO INTERNO"),0)+IFERROR(SUMIFS('Base bordo'!G$2:G$746,'Base bordo'!C$2:C$746,A917,'Base bordo'!B$2:B$746,B917,'Base bordo'!F$2:F$746,"PÁTIO EXTERNO"),0)+IFERROR(SUMIFS('Base bordo'!G$2:G$746,'Base bordo'!C$2:C$746,A917,'Base bordo'!B$2:B$746,B917,'Base bordo'!F$2:F$746,"PATIO - RESERVA"),0)+IFERROR(SUMIFS('Base bordo'!G$2:G$746,'Base bordo'!C$2:C$746,A917,'Base bordo'!B$2:B$746,B917,'Base bordo'!F$2:F$746,"MANOBRA CARRETAS-PATIO"),0)</f>
        <v>19.229166666666668</v>
      </c>
      <c r="J917" s="10">
        <f>IFERROR(SUMIFS('Base bordo'!G$2:G$746,'Base bordo'!C$2:C$746,A917,'Base bordo'!B$2:B$746,B917,'Base bordo'!F$2:F$746,"BALANÇA - ENTRADA"),0)+IFERROR(SUMIFS('Base bordo'!G$2:G$746,'Base bordo'!C$2:C$746,A917,'Base bordo'!B$2:B$746,B917,'Base bordo'!F$2:F$746,"BALANÇA - SAÍDA"),0)</f>
        <v>2.8611111111111108E-2</v>
      </c>
      <c r="K917" s="10">
        <f>IFERROR(SUMIFS('Base bordo'!G$2:G$746,'Base bordo'!C$2:C$746,A917,'Base bordo'!B$2:B$746,B917,'Base bordo'!F$2:F$746,"MAN PREVENTIVA - MECANICA"),0)+IFERROR(SUMIFS('Base bordo'!G$2:G$746,'Base bordo'!C$2:C$746,A917,'Base bordo'!B$2:B$746,B917,'Base bordo'!F$2:F$746,"MAN CORRETIVA - MECANICA"),0)</f>
        <v>0</v>
      </c>
      <c r="L917" s="10">
        <f>IFERROR(SUMIFS('Base bordo'!G$2:G$746,'Base bordo'!C$2:C$746,A917,'Base bordo'!B$2:B$746,B917,'Base bordo'!F$2:F$746,"MANUTENCAO - T O"),0)+IFERROR(SUMIFS('Base bordo'!G$2:G$746,'Base bordo'!C$2:C$746,A917,'Base bordo'!B$2:B$746,B917,'Base bordo'!F$2:F$746,"MANUTENCAO BORRACHARIA"),0)+IFERROR(SUMIFS('Base bordo'!G$2:G$746,'Base bordo'!C$2:C$746,A917,'Base bordo'!B$2:B$746,B917,'Base bordo'!F$2:F$746,"MANUTENCAO EXTERNA  CONCESSIONARIA"),0)+IFERROR(SUMIFS('Base bordo'!G$2:G$746,'Base bordo'!C$2:C$746,A917,'Base bordo'!B$2:B$746,B917,'Base bordo'!F$2:F$746,"MANUTENCAO TELEMETRIA"),0)</f>
        <v>0</v>
      </c>
      <c r="M917" s="10">
        <f>IFERROR(SUMIFS('Base bordo'!G$2:G$746,'Base bordo'!C$2:C$746,A917,'Base bordo'!B$2:B$746,B917,'Base bordo'!F$2:F$746,"AGUARDANDO MANUTENCAO"),0)</f>
        <v>0</v>
      </c>
      <c r="N917" s="10">
        <f>IFERROR(SUMIFS('Base bordo'!G$2:G$746,'Base bordo'!C$2:C$746,A917,'Base bordo'!B$2:B$746,B917,'Base bordo'!F$2:F$746,"SEM APONTAMENTO"),0)</f>
        <v>0</v>
      </c>
      <c r="O917" s="10">
        <f t="shared" si="96"/>
        <v>0</v>
      </c>
      <c r="P917" s="10">
        <f>IFERROR(SUMIFS('Base bordo'!G$2:G$746,'Base bordo'!C$2:C$746,A917,'Base bordo'!B$2:B$746,B917),0)</f>
        <v>23.11888888888889</v>
      </c>
      <c r="Q917" s="10">
        <f>IFERROR(SUMIFS('Base bordo'!H$2:H$746,'Base bordo'!C$2:C$746,A917,'Base bordo'!B$2:B$746,B917,'Base bordo'!F$2:F$746,"DESLOCAMENTO VAZIO"),0)</f>
        <v>176172.38</v>
      </c>
      <c r="R917" s="10">
        <f>IFERROR(SUMIFS('Base bordo'!I$2:I$746,'Base bordo'!C$2:C$746,A917,'Base bordo'!B$2:B$746,B917,'Base bordo'!F$2:F$746,"DESLOCAMENTO VAZIO"),0)</f>
        <v>4922</v>
      </c>
      <c r="S917" s="30">
        <f t="shared" si="97"/>
        <v>35.792844372206424</v>
      </c>
      <c r="T917" s="10">
        <f>IFERROR(SUMIFS('Base bordo'!H$2:H$746,'Base bordo'!C$2:C$746,A917,'Base bordo'!B$2:B$746,B917,'Base bordo'!F$2:F$746,"DESLOCAMENTO CARREGADO"),0)</f>
        <v>181456.72999999998</v>
      </c>
      <c r="U917" s="10">
        <f>IFERROR(SUMIFS('Base bordo'!I$2:I$746,'Base bordo'!C$2:C$746,A917,'Base bordo'!B$2:B$746,B917,'Base bordo'!F$2:F$746,"DESLOCAMENTO CARREGADO"),0)</f>
        <v>7894</v>
      </c>
      <c r="V917" s="30">
        <f t="shared" si="98"/>
        <v>22.986664555358498</v>
      </c>
      <c r="W917" s="9">
        <f t="shared" si="99"/>
        <v>5.913875138174652E-2</v>
      </c>
      <c r="X917" s="9">
        <f t="shared" si="100"/>
        <v>9.4847887730090827E-2</v>
      </c>
      <c r="Y917" s="9">
        <f t="shared" si="101"/>
        <v>0.84601336088816259</v>
      </c>
    </row>
    <row r="918" spans="1:25" ht="15" customHeight="1" x14ac:dyDescent="0.35">
      <c r="A918" s="52">
        <v>8013474</v>
      </c>
      <c r="B918" s="51">
        <v>46119</v>
      </c>
      <c r="C918" s="7" t="s">
        <v>124</v>
      </c>
      <c r="D918" s="10">
        <f>IFERROR(SUMIFS('Base bordo'!G$2:G$746,'Base bordo'!C$2:C$746,A918,'Base bordo'!B$2:B$746,B918,'Base bordo'!F$2:F$746,"DESLOCAMENTO VAZIO"),0)</f>
        <v>1.3672222222222221</v>
      </c>
      <c r="E918" s="10">
        <f>IFERROR(SUMIFS('Base bordo'!G$2:G$746,'Base bordo'!C$2:C$746,A918,'Base bordo'!B$2:B$746,B918,'Base bordo'!F$2:F$746,"DESLOCAMENTO CARREGADO"),0)</f>
        <v>2.1927777777777777</v>
      </c>
      <c r="F918" s="10">
        <f>IFERROR(SUMIFS('Base bordo'!G$2:G$746,'Base bordo'!C$2:C$746,A918,'Base bordo'!B$2:B$746,B918,'Base bordo'!F$2:F$746,"DESLOCAMENTO"),0)</f>
        <v>0</v>
      </c>
      <c r="G918" s="10">
        <f>IFERROR(SUMIFS('Base bordo'!G$2:G$746,'Base bordo'!C$2:C$746,A918,'Base bordo'!B$2:B$746,B918,'Base bordo'!F$2:F$746,"CARREGAMENTO"),0)</f>
        <v>0</v>
      </c>
      <c r="H918" s="10">
        <f>IFERROR(SUMIFS('Base bordo'!G$2:G$746,'Base bordo'!C$2:C$746,A918,'Base bordo'!B$2:B$746,B918,'Base bordo'!F$2:F$746,"AGUARDANDO TRANSBORDO"),0)</f>
        <v>0.30111111111111111</v>
      </c>
      <c r="I918" s="10">
        <f>IFERROR(SUMIFS('Base bordo'!G$2:G$746,'Base bordo'!C$2:C$746,A918,'Base bordo'!B$2:B$746,B918,'Base bordo'!F$2:F$746,"PÁTIO INTERNO"),0)+IFERROR(SUMIFS('Base bordo'!G$2:G$746,'Base bordo'!C$2:C$746,A918,'Base bordo'!B$2:B$746,B918,'Base bordo'!F$2:F$746,"PÁTIO EXTERNO"),0)+IFERROR(SUMIFS('Base bordo'!G$2:G$746,'Base bordo'!C$2:C$746,A918,'Base bordo'!B$2:B$746,B918,'Base bordo'!F$2:F$746,"PATIO - RESERVA"),0)+IFERROR(SUMIFS('Base bordo'!G$2:G$746,'Base bordo'!C$2:C$746,A918,'Base bordo'!B$2:B$746,B918,'Base bordo'!F$2:F$746,"MANOBRA CARRETAS-PATIO"),0)</f>
        <v>19.229166666666668</v>
      </c>
      <c r="J918" s="10">
        <f>IFERROR(SUMIFS('Base bordo'!G$2:G$746,'Base bordo'!C$2:C$746,A918,'Base bordo'!B$2:B$746,B918,'Base bordo'!F$2:F$746,"BALANÇA - ENTRADA"),0)+IFERROR(SUMIFS('Base bordo'!G$2:G$746,'Base bordo'!C$2:C$746,A918,'Base bordo'!B$2:B$746,B918,'Base bordo'!F$2:F$746,"BALANÇA - SAÍDA"),0)</f>
        <v>2.8611111111111108E-2</v>
      </c>
      <c r="K918" s="10">
        <f>IFERROR(SUMIFS('Base bordo'!G$2:G$746,'Base bordo'!C$2:C$746,A918,'Base bordo'!B$2:B$746,B918,'Base bordo'!F$2:F$746,"MAN PREVENTIVA - MECANICA"),0)+IFERROR(SUMIFS('Base bordo'!G$2:G$746,'Base bordo'!C$2:C$746,A918,'Base bordo'!B$2:B$746,B918,'Base bordo'!F$2:F$746,"MAN CORRETIVA - MECANICA"),0)</f>
        <v>0</v>
      </c>
      <c r="L918" s="10">
        <f>IFERROR(SUMIFS('Base bordo'!G$2:G$746,'Base bordo'!C$2:C$746,A918,'Base bordo'!B$2:B$746,B918,'Base bordo'!F$2:F$746,"MANUTENCAO - T O"),0)+IFERROR(SUMIFS('Base bordo'!G$2:G$746,'Base bordo'!C$2:C$746,A918,'Base bordo'!B$2:B$746,B918,'Base bordo'!F$2:F$746,"MANUTENCAO BORRACHARIA"),0)+IFERROR(SUMIFS('Base bordo'!G$2:G$746,'Base bordo'!C$2:C$746,A918,'Base bordo'!B$2:B$746,B918,'Base bordo'!F$2:F$746,"MANUTENCAO EXTERNA  CONCESSIONARIA"),0)+IFERROR(SUMIFS('Base bordo'!G$2:G$746,'Base bordo'!C$2:C$746,A918,'Base bordo'!B$2:B$746,B918,'Base bordo'!F$2:F$746,"MANUTENCAO TELEMETRIA"),0)</f>
        <v>0</v>
      </c>
      <c r="M918" s="10">
        <f>IFERROR(SUMIFS('Base bordo'!G$2:G$746,'Base bordo'!C$2:C$746,A918,'Base bordo'!B$2:B$746,B918,'Base bordo'!F$2:F$746,"AGUARDANDO MANUTENCAO"),0)</f>
        <v>0</v>
      </c>
      <c r="N918" s="10">
        <f>IFERROR(SUMIFS('Base bordo'!G$2:G$746,'Base bordo'!C$2:C$746,A918,'Base bordo'!B$2:B$746,B918,'Base bordo'!F$2:F$746,"SEM APONTAMENTO"),0)</f>
        <v>0</v>
      </c>
      <c r="O918" s="10">
        <f t="shared" si="96"/>
        <v>0</v>
      </c>
      <c r="P918" s="10">
        <f>IFERROR(SUMIFS('Base bordo'!G$2:G$746,'Base bordo'!C$2:C$746,A918,'Base bordo'!B$2:B$746,B918),0)</f>
        <v>23.11888888888889</v>
      </c>
      <c r="Q918" s="10">
        <f>IFERROR(SUMIFS('Base bordo'!H$2:H$746,'Base bordo'!C$2:C$746,A918,'Base bordo'!B$2:B$746,B918,'Base bordo'!F$2:F$746,"DESLOCAMENTO VAZIO"),0)</f>
        <v>176172.38</v>
      </c>
      <c r="R918" s="10">
        <f>IFERROR(SUMIFS('Base bordo'!I$2:I$746,'Base bordo'!C$2:C$746,A918,'Base bordo'!B$2:B$746,B918,'Base bordo'!F$2:F$746,"DESLOCAMENTO VAZIO"),0)</f>
        <v>4922</v>
      </c>
      <c r="S918" s="30">
        <f t="shared" si="97"/>
        <v>35.792844372206424</v>
      </c>
      <c r="T918" s="10">
        <f>IFERROR(SUMIFS('Base bordo'!H$2:H$746,'Base bordo'!C$2:C$746,A918,'Base bordo'!B$2:B$746,B918,'Base bordo'!F$2:F$746,"DESLOCAMENTO CARREGADO"),0)</f>
        <v>181456.72999999998</v>
      </c>
      <c r="U918" s="10">
        <f>IFERROR(SUMIFS('Base bordo'!I$2:I$746,'Base bordo'!C$2:C$746,A918,'Base bordo'!B$2:B$746,B918,'Base bordo'!F$2:F$746,"DESLOCAMENTO CARREGADO"),0)</f>
        <v>7894</v>
      </c>
      <c r="V918" s="30">
        <f t="shared" si="98"/>
        <v>22.986664555358498</v>
      </c>
      <c r="W918" s="9">
        <f t="shared" si="99"/>
        <v>5.913875138174652E-2</v>
      </c>
      <c r="X918" s="9">
        <f t="shared" si="100"/>
        <v>9.4847887730090827E-2</v>
      </c>
      <c r="Y918" s="9">
        <f t="shared" si="101"/>
        <v>0.84601336088816259</v>
      </c>
    </row>
    <row r="919" spans="1:25" ht="15" customHeight="1" x14ac:dyDescent="0.35">
      <c r="A919" s="52">
        <v>8013474</v>
      </c>
      <c r="B919" s="51">
        <v>46119</v>
      </c>
      <c r="C919" s="7" t="s">
        <v>124</v>
      </c>
      <c r="D919" s="10">
        <f>IFERROR(SUMIFS('Base bordo'!G$2:G$746,'Base bordo'!C$2:C$746,A919,'Base bordo'!B$2:B$746,B919,'Base bordo'!F$2:F$746,"DESLOCAMENTO VAZIO"),0)</f>
        <v>1.3672222222222221</v>
      </c>
      <c r="E919" s="10">
        <f>IFERROR(SUMIFS('Base bordo'!G$2:G$746,'Base bordo'!C$2:C$746,A919,'Base bordo'!B$2:B$746,B919,'Base bordo'!F$2:F$746,"DESLOCAMENTO CARREGADO"),0)</f>
        <v>2.1927777777777777</v>
      </c>
      <c r="F919" s="10">
        <f>IFERROR(SUMIFS('Base bordo'!G$2:G$746,'Base bordo'!C$2:C$746,A919,'Base bordo'!B$2:B$746,B919,'Base bordo'!F$2:F$746,"DESLOCAMENTO"),0)</f>
        <v>0</v>
      </c>
      <c r="G919" s="10">
        <f>IFERROR(SUMIFS('Base bordo'!G$2:G$746,'Base bordo'!C$2:C$746,A919,'Base bordo'!B$2:B$746,B919,'Base bordo'!F$2:F$746,"CARREGAMENTO"),0)</f>
        <v>0</v>
      </c>
      <c r="H919" s="10">
        <f>IFERROR(SUMIFS('Base bordo'!G$2:G$746,'Base bordo'!C$2:C$746,A919,'Base bordo'!B$2:B$746,B919,'Base bordo'!F$2:F$746,"AGUARDANDO TRANSBORDO"),0)</f>
        <v>0.30111111111111111</v>
      </c>
      <c r="I919" s="10">
        <f>IFERROR(SUMIFS('Base bordo'!G$2:G$746,'Base bordo'!C$2:C$746,A919,'Base bordo'!B$2:B$746,B919,'Base bordo'!F$2:F$746,"PÁTIO INTERNO"),0)+IFERROR(SUMIFS('Base bordo'!G$2:G$746,'Base bordo'!C$2:C$746,A919,'Base bordo'!B$2:B$746,B919,'Base bordo'!F$2:F$746,"PÁTIO EXTERNO"),0)+IFERROR(SUMIFS('Base bordo'!G$2:G$746,'Base bordo'!C$2:C$746,A919,'Base bordo'!B$2:B$746,B919,'Base bordo'!F$2:F$746,"PATIO - RESERVA"),0)+IFERROR(SUMIFS('Base bordo'!G$2:G$746,'Base bordo'!C$2:C$746,A919,'Base bordo'!B$2:B$746,B919,'Base bordo'!F$2:F$746,"MANOBRA CARRETAS-PATIO"),0)</f>
        <v>19.229166666666668</v>
      </c>
      <c r="J919" s="10">
        <f>IFERROR(SUMIFS('Base bordo'!G$2:G$746,'Base bordo'!C$2:C$746,A919,'Base bordo'!B$2:B$746,B919,'Base bordo'!F$2:F$746,"BALANÇA - ENTRADA"),0)+IFERROR(SUMIFS('Base bordo'!G$2:G$746,'Base bordo'!C$2:C$746,A919,'Base bordo'!B$2:B$746,B919,'Base bordo'!F$2:F$746,"BALANÇA - SAÍDA"),0)</f>
        <v>2.8611111111111108E-2</v>
      </c>
      <c r="K919" s="10">
        <f>IFERROR(SUMIFS('Base bordo'!G$2:G$746,'Base bordo'!C$2:C$746,A919,'Base bordo'!B$2:B$746,B919,'Base bordo'!F$2:F$746,"MAN PREVENTIVA - MECANICA"),0)+IFERROR(SUMIFS('Base bordo'!G$2:G$746,'Base bordo'!C$2:C$746,A919,'Base bordo'!B$2:B$746,B919,'Base bordo'!F$2:F$746,"MAN CORRETIVA - MECANICA"),0)</f>
        <v>0</v>
      </c>
      <c r="L919" s="10">
        <f>IFERROR(SUMIFS('Base bordo'!G$2:G$746,'Base bordo'!C$2:C$746,A919,'Base bordo'!B$2:B$746,B919,'Base bordo'!F$2:F$746,"MANUTENCAO - T O"),0)+IFERROR(SUMIFS('Base bordo'!G$2:G$746,'Base bordo'!C$2:C$746,A919,'Base bordo'!B$2:B$746,B919,'Base bordo'!F$2:F$746,"MANUTENCAO BORRACHARIA"),0)+IFERROR(SUMIFS('Base bordo'!G$2:G$746,'Base bordo'!C$2:C$746,A919,'Base bordo'!B$2:B$746,B919,'Base bordo'!F$2:F$746,"MANUTENCAO EXTERNA  CONCESSIONARIA"),0)+IFERROR(SUMIFS('Base bordo'!G$2:G$746,'Base bordo'!C$2:C$746,A919,'Base bordo'!B$2:B$746,B919,'Base bordo'!F$2:F$746,"MANUTENCAO TELEMETRIA"),0)</f>
        <v>0</v>
      </c>
      <c r="M919" s="10">
        <f>IFERROR(SUMIFS('Base bordo'!G$2:G$746,'Base bordo'!C$2:C$746,A919,'Base bordo'!B$2:B$746,B919,'Base bordo'!F$2:F$746,"AGUARDANDO MANUTENCAO"),0)</f>
        <v>0</v>
      </c>
      <c r="N919" s="10">
        <f>IFERROR(SUMIFS('Base bordo'!G$2:G$746,'Base bordo'!C$2:C$746,A919,'Base bordo'!B$2:B$746,B919,'Base bordo'!F$2:F$746,"SEM APONTAMENTO"),0)</f>
        <v>0</v>
      </c>
      <c r="O919" s="10">
        <f t="shared" si="96"/>
        <v>0</v>
      </c>
      <c r="P919" s="10">
        <f>IFERROR(SUMIFS('Base bordo'!G$2:G$746,'Base bordo'!C$2:C$746,A919,'Base bordo'!B$2:B$746,B919),0)</f>
        <v>23.11888888888889</v>
      </c>
      <c r="Q919" s="10">
        <f>IFERROR(SUMIFS('Base bordo'!H$2:H$746,'Base bordo'!C$2:C$746,A919,'Base bordo'!B$2:B$746,B919,'Base bordo'!F$2:F$746,"DESLOCAMENTO VAZIO"),0)</f>
        <v>176172.38</v>
      </c>
      <c r="R919" s="10">
        <f>IFERROR(SUMIFS('Base bordo'!I$2:I$746,'Base bordo'!C$2:C$746,A919,'Base bordo'!B$2:B$746,B919,'Base bordo'!F$2:F$746,"DESLOCAMENTO VAZIO"),0)</f>
        <v>4922</v>
      </c>
      <c r="S919" s="30">
        <f t="shared" si="97"/>
        <v>35.792844372206424</v>
      </c>
      <c r="T919" s="10">
        <f>IFERROR(SUMIFS('Base bordo'!H$2:H$746,'Base bordo'!C$2:C$746,A919,'Base bordo'!B$2:B$746,B919,'Base bordo'!F$2:F$746,"DESLOCAMENTO CARREGADO"),0)</f>
        <v>181456.72999999998</v>
      </c>
      <c r="U919" s="10">
        <f>IFERROR(SUMIFS('Base bordo'!I$2:I$746,'Base bordo'!C$2:C$746,A919,'Base bordo'!B$2:B$746,B919,'Base bordo'!F$2:F$746,"DESLOCAMENTO CARREGADO"),0)</f>
        <v>7894</v>
      </c>
      <c r="V919" s="30">
        <f t="shared" si="98"/>
        <v>22.986664555358498</v>
      </c>
      <c r="W919" s="9">
        <f t="shared" si="99"/>
        <v>5.913875138174652E-2</v>
      </c>
      <c r="X919" s="9">
        <f t="shared" si="100"/>
        <v>9.4847887730090827E-2</v>
      </c>
      <c r="Y919" s="9">
        <f t="shared" si="101"/>
        <v>0.84601336088816259</v>
      </c>
    </row>
    <row r="920" spans="1:25" ht="15" customHeight="1" x14ac:dyDescent="0.35">
      <c r="A920" s="52">
        <v>8013474</v>
      </c>
      <c r="B920" s="51">
        <v>46119</v>
      </c>
      <c r="C920" s="7" t="s">
        <v>124</v>
      </c>
      <c r="D920" s="10">
        <f>IFERROR(SUMIFS('Base bordo'!G$2:G$746,'Base bordo'!C$2:C$746,A920,'Base bordo'!B$2:B$746,B920,'Base bordo'!F$2:F$746,"DESLOCAMENTO VAZIO"),0)</f>
        <v>1.3672222222222221</v>
      </c>
      <c r="E920" s="10">
        <f>IFERROR(SUMIFS('Base bordo'!G$2:G$746,'Base bordo'!C$2:C$746,A920,'Base bordo'!B$2:B$746,B920,'Base bordo'!F$2:F$746,"DESLOCAMENTO CARREGADO"),0)</f>
        <v>2.1927777777777777</v>
      </c>
      <c r="F920" s="10">
        <f>IFERROR(SUMIFS('Base bordo'!G$2:G$746,'Base bordo'!C$2:C$746,A920,'Base bordo'!B$2:B$746,B920,'Base bordo'!F$2:F$746,"DESLOCAMENTO"),0)</f>
        <v>0</v>
      </c>
      <c r="G920" s="10">
        <f>IFERROR(SUMIFS('Base bordo'!G$2:G$746,'Base bordo'!C$2:C$746,A920,'Base bordo'!B$2:B$746,B920,'Base bordo'!F$2:F$746,"CARREGAMENTO"),0)</f>
        <v>0</v>
      </c>
      <c r="H920" s="10">
        <f>IFERROR(SUMIFS('Base bordo'!G$2:G$746,'Base bordo'!C$2:C$746,A920,'Base bordo'!B$2:B$746,B920,'Base bordo'!F$2:F$746,"AGUARDANDO TRANSBORDO"),0)</f>
        <v>0.30111111111111111</v>
      </c>
      <c r="I920" s="10">
        <f>IFERROR(SUMIFS('Base bordo'!G$2:G$746,'Base bordo'!C$2:C$746,A920,'Base bordo'!B$2:B$746,B920,'Base bordo'!F$2:F$746,"PÁTIO INTERNO"),0)+IFERROR(SUMIFS('Base bordo'!G$2:G$746,'Base bordo'!C$2:C$746,A920,'Base bordo'!B$2:B$746,B920,'Base bordo'!F$2:F$746,"PÁTIO EXTERNO"),0)+IFERROR(SUMIFS('Base bordo'!G$2:G$746,'Base bordo'!C$2:C$746,A920,'Base bordo'!B$2:B$746,B920,'Base bordo'!F$2:F$746,"PATIO - RESERVA"),0)+IFERROR(SUMIFS('Base bordo'!G$2:G$746,'Base bordo'!C$2:C$746,A920,'Base bordo'!B$2:B$746,B920,'Base bordo'!F$2:F$746,"MANOBRA CARRETAS-PATIO"),0)</f>
        <v>19.229166666666668</v>
      </c>
      <c r="J920" s="10">
        <f>IFERROR(SUMIFS('Base bordo'!G$2:G$746,'Base bordo'!C$2:C$746,A920,'Base bordo'!B$2:B$746,B920,'Base bordo'!F$2:F$746,"BALANÇA - ENTRADA"),0)+IFERROR(SUMIFS('Base bordo'!G$2:G$746,'Base bordo'!C$2:C$746,A920,'Base bordo'!B$2:B$746,B920,'Base bordo'!F$2:F$746,"BALANÇA - SAÍDA"),0)</f>
        <v>2.8611111111111108E-2</v>
      </c>
      <c r="K920" s="10">
        <f>IFERROR(SUMIFS('Base bordo'!G$2:G$746,'Base bordo'!C$2:C$746,A920,'Base bordo'!B$2:B$746,B920,'Base bordo'!F$2:F$746,"MAN PREVENTIVA - MECANICA"),0)+IFERROR(SUMIFS('Base bordo'!G$2:G$746,'Base bordo'!C$2:C$746,A920,'Base bordo'!B$2:B$746,B920,'Base bordo'!F$2:F$746,"MAN CORRETIVA - MECANICA"),0)</f>
        <v>0</v>
      </c>
      <c r="L920" s="10">
        <f>IFERROR(SUMIFS('Base bordo'!G$2:G$746,'Base bordo'!C$2:C$746,A920,'Base bordo'!B$2:B$746,B920,'Base bordo'!F$2:F$746,"MANUTENCAO - T O"),0)+IFERROR(SUMIFS('Base bordo'!G$2:G$746,'Base bordo'!C$2:C$746,A920,'Base bordo'!B$2:B$746,B920,'Base bordo'!F$2:F$746,"MANUTENCAO BORRACHARIA"),0)+IFERROR(SUMIFS('Base bordo'!G$2:G$746,'Base bordo'!C$2:C$746,A920,'Base bordo'!B$2:B$746,B920,'Base bordo'!F$2:F$746,"MANUTENCAO EXTERNA  CONCESSIONARIA"),0)+IFERROR(SUMIFS('Base bordo'!G$2:G$746,'Base bordo'!C$2:C$746,A920,'Base bordo'!B$2:B$746,B920,'Base bordo'!F$2:F$746,"MANUTENCAO TELEMETRIA"),0)</f>
        <v>0</v>
      </c>
      <c r="M920" s="10">
        <f>IFERROR(SUMIFS('Base bordo'!G$2:G$746,'Base bordo'!C$2:C$746,A920,'Base bordo'!B$2:B$746,B920,'Base bordo'!F$2:F$746,"AGUARDANDO MANUTENCAO"),0)</f>
        <v>0</v>
      </c>
      <c r="N920" s="10">
        <f>IFERROR(SUMIFS('Base bordo'!G$2:G$746,'Base bordo'!C$2:C$746,A920,'Base bordo'!B$2:B$746,B920,'Base bordo'!F$2:F$746,"SEM APONTAMENTO"),0)</f>
        <v>0</v>
      </c>
      <c r="O920" s="10">
        <f t="shared" si="96"/>
        <v>0</v>
      </c>
      <c r="P920" s="10">
        <f>IFERROR(SUMIFS('Base bordo'!G$2:G$746,'Base bordo'!C$2:C$746,A920,'Base bordo'!B$2:B$746,B920),0)</f>
        <v>23.11888888888889</v>
      </c>
      <c r="Q920" s="10">
        <f>IFERROR(SUMIFS('Base bordo'!H$2:H$746,'Base bordo'!C$2:C$746,A920,'Base bordo'!B$2:B$746,B920,'Base bordo'!F$2:F$746,"DESLOCAMENTO VAZIO"),0)</f>
        <v>176172.38</v>
      </c>
      <c r="R920" s="10">
        <f>IFERROR(SUMIFS('Base bordo'!I$2:I$746,'Base bordo'!C$2:C$746,A920,'Base bordo'!B$2:B$746,B920,'Base bordo'!F$2:F$746,"DESLOCAMENTO VAZIO"),0)</f>
        <v>4922</v>
      </c>
      <c r="S920" s="30">
        <f t="shared" si="97"/>
        <v>35.792844372206424</v>
      </c>
      <c r="T920" s="10">
        <f>IFERROR(SUMIFS('Base bordo'!H$2:H$746,'Base bordo'!C$2:C$746,A920,'Base bordo'!B$2:B$746,B920,'Base bordo'!F$2:F$746,"DESLOCAMENTO CARREGADO"),0)</f>
        <v>181456.72999999998</v>
      </c>
      <c r="U920" s="10">
        <f>IFERROR(SUMIFS('Base bordo'!I$2:I$746,'Base bordo'!C$2:C$746,A920,'Base bordo'!B$2:B$746,B920,'Base bordo'!F$2:F$746,"DESLOCAMENTO CARREGADO"),0)</f>
        <v>7894</v>
      </c>
      <c r="V920" s="30">
        <f t="shared" si="98"/>
        <v>22.986664555358498</v>
      </c>
      <c r="W920" s="9">
        <f t="shared" si="99"/>
        <v>5.913875138174652E-2</v>
      </c>
      <c r="X920" s="9">
        <f t="shared" si="100"/>
        <v>9.4847887730090827E-2</v>
      </c>
      <c r="Y920" s="9">
        <f t="shared" si="101"/>
        <v>0.84601336088816259</v>
      </c>
    </row>
    <row r="921" spans="1:25" ht="15" customHeight="1" x14ac:dyDescent="0.35">
      <c r="A921" s="52">
        <v>8013474</v>
      </c>
      <c r="B921" s="51">
        <v>46119</v>
      </c>
      <c r="C921" s="7" t="s">
        <v>124</v>
      </c>
      <c r="D921" s="10">
        <f>IFERROR(SUMIFS('Base bordo'!G$2:G$746,'Base bordo'!C$2:C$746,A921,'Base bordo'!B$2:B$746,B921,'Base bordo'!F$2:F$746,"DESLOCAMENTO VAZIO"),0)</f>
        <v>1.3672222222222221</v>
      </c>
      <c r="E921" s="10">
        <f>IFERROR(SUMIFS('Base bordo'!G$2:G$746,'Base bordo'!C$2:C$746,A921,'Base bordo'!B$2:B$746,B921,'Base bordo'!F$2:F$746,"DESLOCAMENTO CARREGADO"),0)</f>
        <v>2.1927777777777777</v>
      </c>
      <c r="F921" s="10">
        <f>IFERROR(SUMIFS('Base bordo'!G$2:G$746,'Base bordo'!C$2:C$746,A921,'Base bordo'!B$2:B$746,B921,'Base bordo'!F$2:F$746,"DESLOCAMENTO"),0)</f>
        <v>0</v>
      </c>
      <c r="G921" s="10">
        <f>IFERROR(SUMIFS('Base bordo'!G$2:G$746,'Base bordo'!C$2:C$746,A921,'Base bordo'!B$2:B$746,B921,'Base bordo'!F$2:F$746,"CARREGAMENTO"),0)</f>
        <v>0</v>
      </c>
      <c r="H921" s="10">
        <f>IFERROR(SUMIFS('Base bordo'!G$2:G$746,'Base bordo'!C$2:C$746,A921,'Base bordo'!B$2:B$746,B921,'Base bordo'!F$2:F$746,"AGUARDANDO TRANSBORDO"),0)</f>
        <v>0.30111111111111111</v>
      </c>
      <c r="I921" s="10">
        <f>IFERROR(SUMIFS('Base bordo'!G$2:G$746,'Base bordo'!C$2:C$746,A921,'Base bordo'!B$2:B$746,B921,'Base bordo'!F$2:F$746,"PÁTIO INTERNO"),0)+IFERROR(SUMIFS('Base bordo'!G$2:G$746,'Base bordo'!C$2:C$746,A921,'Base bordo'!B$2:B$746,B921,'Base bordo'!F$2:F$746,"PÁTIO EXTERNO"),0)+IFERROR(SUMIFS('Base bordo'!G$2:G$746,'Base bordo'!C$2:C$746,A921,'Base bordo'!B$2:B$746,B921,'Base bordo'!F$2:F$746,"PATIO - RESERVA"),0)+IFERROR(SUMIFS('Base bordo'!G$2:G$746,'Base bordo'!C$2:C$746,A921,'Base bordo'!B$2:B$746,B921,'Base bordo'!F$2:F$746,"MANOBRA CARRETAS-PATIO"),0)</f>
        <v>19.229166666666668</v>
      </c>
      <c r="J921" s="10">
        <f>IFERROR(SUMIFS('Base bordo'!G$2:G$746,'Base bordo'!C$2:C$746,A921,'Base bordo'!B$2:B$746,B921,'Base bordo'!F$2:F$746,"BALANÇA - ENTRADA"),0)+IFERROR(SUMIFS('Base bordo'!G$2:G$746,'Base bordo'!C$2:C$746,A921,'Base bordo'!B$2:B$746,B921,'Base bordo'!F$2:F$746,"BALANÇA - SAÍDA"),0)</f>
        <v>2.8611111111111108E-2</v>
      </c>
      <c r="K921" s="10">
        <f>IFERROR(SUMIFS('Base bordo'!G$2:G$746,'Base bordo'!C$2:C$746,A921,'Base bordo'!B$2:B$746,B921,'Base bordo'!F$2:F$746,"MAN PREVENTIVA - MECANICA"),0)+IFERROR(SUMIFS('Base bordo'!G$2:G$746,'Base bordo'!C$2:C$746,A921,'Base bordo'!B$2:B$746,B921,'Base bordo'!F$2:F$746,"MAN CORRETIVA - MECANICA"),0)</f>
        <v>0</v>
      </c>
      <c r="L921" s="10">
        <f>IFERROR(SUMIFS('Base bordo'!G$2:G$746,'Base bordo'!C$2:C$746,A921,'Base bordo'!B$2:B$746,B921,'Base bordo'!F$2:F$746,"MANUTENCAO - T O"),0)+IFERROR(SUMIFS('Base bordo'!G$2:G$746,'Base bordo'!C$2:C$746,A921,'Base bordo'!B$2:B$746,B921,'Base bordo'!F$2:F$746,"MANUTENCAO BORRACHARIA"),0)+IFERROR(SUMIFS('Base bordo'!G$2:G$746,'Base bordo'!C$2:C$746,A921,'Base bordo'!B$2:B$746,B921,'Base bordo'!F$2:F$746,"MANUTENCAO EXTERNA  CONCESSIONARIA"),0)+IFERROR(SUMIFS('Base bordo'!G$2:G$746,'Base bordo'!C$2:C$746,A921,'Base bordo'!B$2:B$746,B921,'Base bordo'!F$2:F$746,"MANUTENCAO TELEMETRIA"),0)</f>
        <v>0</v>
      </c>
      <c r="M921" s="10">
        <f>IFERROR(SUMIFS('Base bordo'!G$2:G$746,'Base bordo'!C$2:C$746,A921,'Base bordo'!B$2:B$746,B921,'Base bordo'!F$2:F$746,"AGUARDANDO MANUTENCAO"),0)</f>
        <v>0</v>
      </c>
      <c r="N921" s="10">
        <f>IFERROR(SUMIFS('Base bordo'!G$2:G$746,'Base bordo'!C$2:C$746,A921,'Base bordo'!B$2:B$746,B921,'Base bordo'!F$2:F$746,"SEM APONTAMENTO"),0)</f>
        <v>0</v>
      </c>
      <c r="O921" s="10">
        <f t="shared" si="96"/>
        <v>0</v>
      </c>
      <c r="P921" s="10">
        <f>IFERROR(SUMIFS('Base bordo'!G$2:G$746,'Base bordo'!C$2:C$746,A921,'Base bordo'!B$2:B$746,B921),0)</f>
        <v>23.11888888888889</v>
      </c>
      <c r="Q921" s="10">
        <f>IFERROR(SUMIFS('Base bordo'!H$2:H$746,'Base bordo'!C$2:C$746,A921,'Base bordo'!B$2:B$746,B921,'Base bordo'!F$2:F$746,"DESLOCAMENTO VAZIO"),0)</f>
        <v>176172.38</v>
      </c>
      <c r="R921" s="10">
        <f>IFERROR(SUMIFS('Base bordo'!I$2:I$746,'Base bordo'!C$2:C$746,A921,'Base bordo'!B$2:B$746,B921,'Base bordo'!F$2:F$746,"DESLOCAMENTO VAZIO"),0)</f>
        <v>4922</v>
      </c>
      <c r="S921" s="30">
        <f t="shared" si="97"/>
        <v>35.792844372206424</v>
      </c>
      <c r="T921" s="10">
        <f>IFERROR(SUMIFS('Base bordo'!H$2:H$746,'Base bordo'!C$2:C$746,A921,'Base bordo'!B$2:B$746,B921,'Base bordo'!F$2:F$746,"DESLOCAMENTO CARREGADO"),0)</f>
        <v>181456.72999999998</v>
      </c>
      <c r="U921" s="10">
        <f>IFERROR(SUMIFS('Base bordo'!I$2:I$746,'Base bordo'!C$2:C$746,A921,'Base bordo'!B$2:B$746,B921,'Base bordo'!F$2:F$746,"DESLOCAMENTO CARREGADO"),0)</f>
        <v>7894</v>
      </c>
      <c r="V921" s="30">
        <f t="shared" si="98"/>
        <v>22.986664555358498</v>
      </c>
      <c r="W921" s="9">
        <f t="shared" si="99"/>
        <v>5.913875138174652E-2</v>
      </c>
      <c r="X921" s="9">
        <f t="shared" si="100"/>
        <v>9.4847887730090827E-2</v>
      </c>
      <c r="Y921" s="9">
        <f t="shared" si="101"/>
        <v>0.84601336088816259</v>
      </c>
    </row>
    <row r="922" spans="1:25" ht="15" customHeight="1" x14ac:dyDescent="0.35">
      <c r="A922" s="52">
        <v>8013474</v>
      </c>
      <c r="B922" s="51">
        <v>46119</v>
      </c>
      <c r="C922" s="7" t="s">
        <v>124</v>
      </c>
      <c r="D922" s="10">
        <f>IFERROR(SUMIFS('Base bordo'!G$2:G$746,'Base bordo'!C$2:C$746,A922,'Base bordo'!B$2:B$746,B922,'Base bordo'!F$2:F$746,"DESLOCAMENTO VAZIO"),0)</f>
        <v>1.3672222222222221</v>
      </c>
      <c r="E922" s="10">
        <f>IFERROR(SUMIFS('Base bordo'!G$2:G$746,'Base bordo'!C$2:C$746,A922,'Base bordo'!B$2:B$746,B922,'Base bordo'!F$2:F$746,"DESLOCAMENTO CARREGADO"),0)</f>
        <v>2.1927777777777777</v>
      </c>
      <c r="F922" s="10">
        <f>IFERROR(SUMIFS('Base bordo'!G$2:G$746,'Base bordo'!C$2:C$746,A922,'Base bordo'!B$2:B$746,B922,'Base bordo'!F$2:F$746,"DESLOCAMENTO"),0)</f>
        <v>0</v>
      </c>
      <c r="G922" s="10">
        <f>IFERROR(SUMIFS('Base bordo'!G$2:G$746,'Base bordo'!C$2:C$746,A922,'Base bordo'!B$2:B$746,B922,'Base bordo'!F$2:F$746,"CARREGAMENTO"),0)</f>
        <v>0</v>
      </c>
      <c r="H922" s="10">
        <f>IFERROR(SUMIFS('Base bordo'!G$2:G$746,'Base bordo'!C$2:C$746,A922,'Base bordo'!B$2:B$746,B922,'Base bordo'!F$2:F$746,"AGUARDANDO TRANSBORDO"),0)</f>
        <v>0.30111111111111111</v>
      </c>
      <c r="I922" s="10">
        <f>IFERROR(SUMIFS('Base bordo'!G$2:G$746,'Base bordo'!C$2:C$746,A922,'Base bordo'!B$2:B$746,B922,'Base bordo'!F$2:F$746,"PÁTIO INTERNO"),0)+IFERROR(SUMIFS('Base bordo'!G$2:G$746,'Base bordo'!C$2:C$746,A922,'Base bordo'!B$2:B$746,B922,'Base bordo'!F$2:F$746,"PÁTIO EXTERNO"),0)+IFERROR(SUMIFS('Base bordo'!G$2:G$746,'Base bordo'!C$2:C$746,A922,'Base bordo'!B$2:B$746,B922,'Base bordo'!F$2:F$746,"PATIO - RESERVA"),0)+IFERROR(SUMIFS('Base bordo'!G$2:G$746,'Base bordo'!C$2:C$746,A922,'Base bordo'!B$2:B$746,B922,'Base bordo'!F$2:F$746,"MANOBRA CARRETAS-PATIO"),0)</f>
        <v>19.229166666666668</v>
      </c>
      <c r="J922" s="10">
        <f>IFERROR(SUMIFS('Base bordo'!G$2:G$746,'Base bordo'!C$2:C$746,A922,'Base bordo'!B$2:B$746,B922,'Base bordo'!F$2:F$746,"BALANÇA - ENTRADA"),0)+IFERROR(SUMIFS('Base bordo'!G$2:G$746,'Base bordo'!C$2:C$746,A922,'Base bordo'!B$2:B$746,B922,'Base bordo'!F$2:F$746,"BALANÇA - SAÍDA"),0)</f>
        <v>2.8611111111111108E-2</v>
      </c>
      <c r="K922" s="10">
        <f>IFERROR(SUMIFS('Base bordo'!G$2:G$746,'Base bordo'!C$2:C$746,A922,'Base bordo'!B$2:B$746,B922,'Base bordo'!F$2:F$746,"MAN PREVENTIVA - MECANICA"),0)+IFERROR(SUMIFS('Base bordo'!G$2:G$746,'Base bordo'!C$2:C$746,A922,'Base bordo'!B$2:B$746,B922,'Base bordo'!F$2:F$746,"MAN CORRETIVA - MECANICA"),0)</f>
        <v>0</v>
      </c>
      <c r="L922" s="10">
        <f>IFERROR(SUMIFS('Base bordo'!G$2:G$746,'Base bordo'!C$2:C$746,A922,'Base bordo'!B$2:B$746,B922,'Base bordo'!F$2:F$746,"MANUTENCAO - T O"),0)+IFERROR(SUMIFS('Base bordo'!G$2:G$746,'Base bordo'!C$2:C$746,A922,'Base bordo'!B$2:B$746,B922,'Base bordo'!F$2:F$746,"MANUTENCAO BORRACHARIA"),0)+IFERROR(SUMIFS('Base bordo'!G$2:G$746,'Base bordo'!C$2:C$746,A922,'Base bordo'!B$2:B$746,B922,'Base bordo'!F$2:F$746,"MANUTENCAO EXTERNA  CONCESSIONARIA"),0)+IFERROR(SUMIFS('Base bordo'!G$2:G$746,'Base bordo'!C$2:C$746,A922,'Base bordo'!B$2:B$746,B922,'Base bordo'!F$2:F$746,"MANUTENCAO TELEMETRIA"),0)</f>
        <v>0</v>
      </c>
      <c r="M922" s="10">
        <f>IFERROR(SUMIFS('Base bordo'!G$2:G$746,'Base bordo'!C$2:C$746,A922,'Base bordo'!B$2:B$746,B922,'Base bordo'!F$2:F$746,"AGUARDANDO MANUTENCAO"),0)</f>
        <v>0</v>
      </c>
      <c r="N922" s="10">
        <f>IFERROR(SUMIFS('Base bordo'!G$2:G$746,'Base bordo'!C$2:C$746,A922,'Base bordo'!B$2:B$746,B922,'Base bordo'!F$2:F$746,"SEM APONTAMENTO"),0)</f>
        <v>0</v>
      </c>
      <c r="O922" s="10">
        <f t="shared" si="96"/>
        <v>0</v>
      </c>
      <c r="P922" s="10">
        <f>IFERROR(SUMIFS('Base bordo'!G$2:G$746,'Base bordo'!C$2:C$746,A922,'Base bordo'!B$2:B$746,B922),0)</f>
        <v>23.11888888888889</v>
      </c>
      <c r="Q922" s="10">
        <f>IFERROR(SUMIFS('Base bordo'!H$2:H$746,'Base bordo'!C$2:C$746,A922,'Base bordo'!B$2:B$746,B922,'Base bordo'!F$2:F$746,"DESLOCAMENTO VAZIO"),0)</f>
        <v>176172.38</v>
      </c>
      <c r="R922" s="10">
        <f>IFERROR(SUMIFS('Base bordo'!I$2:I$746,'Base bordo'!C$2:C$746,A922,'Base bordo'!B$2:B$746,B922,'Base bordo'!F$2:F$746,"DESLOCAMENTO VAZIO"),0)</f>
        <v>4922</v>
      </c>
      <c r="S922" s="30">
        <f t="shared" si="97"/>
        <v>35.792844372206424</v>
      </c>
      <c r="T922" s="10">
        <f>IFERROR(SUMIFS('Base bordo'!H$2:H$746,'Base bordo'!C$2:C$746,A922,'Base bordo'!B$2:B$746,B922,'Base bordo'!F$2:F$746,"DESLOCAMENTO CARREGADO"),0)</f>
        <v>181456.72999999998</v>
      </c>
      <c r="U922" s="10">
        <f>IFERROR(SUMIFS('Base bordo'!I$2:I$746,'Base bordo'!C$2:C$746,A922,'Base bordo'!B$2:B$746,B922,'Base bordo'!F$2:F$746,"DESLOCAMENTO CARREGADO"),0)</f>
        <v>7894</v>
      </c>
      <c r="V922" s="30">
        <f t="shared" si="98"/>
        <v>22.986664555358498</v>
      </c>
      <c r="W922" s="9">
        <f t="shared" si="99"/>
        <v>5.913875138174652E-2</v>
      </c>
      <c r="X922" s="9">
        <f t="shared" si="100"/>
        <v>9.4847887730090827E-2</v>
      </c>
      <c r="Y922" s="9">
        <f t="shared" si="101"/>
        <v>0.84601336088816259</v>
      </c>
    </row>
    <row r="923" spans="1:25" ht="15" customHeight="1" x14ac:dyDescent="0.35">
      <c r="A923" s="52">
        <v>8013475</v>
      </c>
      <c r="B923" s="51">
        <v>46119</v>
      </c>
      <c r="C923" s="7" t="s">
        <v>124</v>
      </c>
      <c r="D923" s="10">
        <f>IFERROR(SUMIFS('Base bordo'!G$2:G$746,'Base bordo'!C$2:C$746,A923,'Base bordo'!B$2:B$746,B923,'Base bordo'!F$2:F$746,"DESLOCAMENTO VAZIO"),0)</f>
        <v>0.33277777777777778</v>
      </c>
      <c r="E923" s="10">
        <f>IFERROR(SUMIFS('Base bordo'!G$2:G$746,'Base bordo'!C$2:C$746,A923,'Base bordo'!B$2:B$746,B923,'Base bordo'!F$2:F$746,"DESLOCAMENTO CARREGADO"),0)</f>
        <v>0</v>
      </c>
      <c r="F923" s="10">
        <f>IFERROR(SUMIFS('Base bordo'!G$2:G$746,'Base bordo'!C$2:C$746,A923,'Base bordo'!B$2:B$746,B923,'Base bordo'!F$2:F$746,"DESLOCAMENTO"),0)</f>
        <v>0</v>
      </c>
      <c r="G923" s="10">
        <f>IFERROR(SUMIFS('Base bordo'!G$2:G$746,'Base bordo'!C$2:C$746,A923,'Base bordo'!B$2:B$746,B923,'Base bordo'!F$2:F$746,"CARREGAMENTO"),0)</f>
        <v>0</v>
      </c>
      <c r="H923" s="10">
        <f>IFERROR(SUMIFS('Base bordo'!G$2:G$746,'Base bordo'!C$2:C$746,A923,'Base bordo'!B$2:B$746,B923,'Base bordo'!F$2:F$746,"AGUARDANDO TRANSBORDO"),0)</f>
        <v>0</v>
      </c>
      <c r="I923" s="10">
        <f>IFERROR(SUMIFS('Base bordo'!G$2:G$746,'Base bordo'!C$2:C$746,A923,'Base bordo'!B$2:B$746,B923,'Base bordo'!F$2:F$746,"PÁTIO INTERNO"),0)+IFERROR(SUMIFS('Base bordo'!G$2:G$746,'Base bordo'!C$2:C$746,A923,'Base bordo'!B$2:B$746,B923,'Base bordo'!F$2:F$746,"PÁTIO EXTERNO"),0)+IFERROR(SUMIFS('Base bordo'!G$2:G$746,'Base bordo'!C$2:C$746,A923,'Base bordo'!B$2:B$746,B923,'Base bordo'!F$2:F$746,"PATIO - RESERVA"),0)+IFERROR(SUMIFS('Base bordo'!G$2:G$746,'Base bordo'!C$2:C$746,A923,'Base bordo'!B$2:B$746,B923,'Base bordo'!F$2:F$746,"MANOBRA CARRETAS-PATIO"),0)</f>
        <v>19.261111111111113</v>
      </c>
      <c r="J923" s="10">
        <f>IFERROR(SUMIFS('Base bordo'!G$2:G$746,'Base bordo'!C$2:C$746,A923,'Base bordo'!B$2:B$746,B923,'Base bordo'!F$2:F$746,"BALANÇA - ENTRADA"),0)+IFERROR(SUMIFS('Base bordo'!G$2:G$746,'Base bordo'!C$2:C$746,A923,'Base bordo'!B$2:B$746,B923,'Base bordo'!F$2:F$746,"BALANÇA - SAÍDA"),0)</f>
        <v>4.3333333333333335E-2</v>
      </c>
      <c r="K923" s="10">
        <f>IFERROR(SUMIFS('Base bordo'!G$2:G$746,'Base bordo'!C$2:C$746,A923,'Base bordo'!B$2:B$746,B923,'Base bordo'!F$2:F$746,"MAN PREVENTIVA - MECANICA"),0)+IFERROR(SUMIFS('Base bordo'!G$2:G$746,'Base bordo'!C$2:C$746,A923,'Base bordo'!B$2:B$746,B923,'Base bordo'!F$2:F$746,"MAN CORRETIVA - MECANICA"),0)</f>
        <v>0</v>
      </c>
      <c r="L923" s="10">
        <f>IFERROR(SUMIFS('Base bordo'!G$2:G$746,'Base bordo'!C$2:C$746,A923,'Base bordo'!B$2:B$746,B923,'Base bordo'!F$2:F$746,"MANUTENCAO - T O"),0)+IFERROR(SUMIFS('Base bordo'!G$2:G$746,'Base bordo'!C$2:C$746,A923,'Base bordo'!B$2:B$746,B923,'Base bordo'!F$2:F$746,"MANUTENCAO BORRACHARIA"),0)+IFERROR(SUMIFS('Base bordo'!G$2:G$746,'Base bordo'!C$2:C$746,A923,'Base bordo'!B$2:B$746,B923,'Base bordo'!F$2:F$746,"MANUTENCAO EXTERNA  CONCESSIONARIA"),0)+IFERROR(SUMIFS('Base bordo'!G$2:G$746,'Base bordo'!C$2:C$746,A923,'Base bordo'!B$2:B$746,B923,'Base bordo'!F$2:F$746,"MANUTENCAO TELEMETRIA"),0)</f>
        <v>0</v>
      </c>
      <c r="M923" s="10">
        <f>IFERROR(SUMIFS('Base bordo'!G$2:G$746,'Base bordo'!C$2:C$746,A923,'Base bordo'!B$2:B$746,B923,'Base bordo'!F$2:F$746,"AGUARDANDO MANUTENCAO"),0)</f>
        <v>0</v>
      </c>
      <c r="N923" s="10">
        <f>IFERROR(SUMIFS('Base bordo'!G$2:G$746,'Base bordo'!C$2:C$746,A923,'Base bordo'!B$2:B$746,B923,'Base bordo'!F$2:F$746,"SEM APONTAMENTO"),0)</f>
        <v>0</v>
      </c>
      <c r="O923" s="10">
        <f t="shared" si="96"/>
        <v>0</v>
      </c>
      <c r="P923" s="10">
        <f>IFERROR(SUMIFS('Base bordo'!G$2:G$746,'Base bordo'!C$2:C$746,A923,'Base bordo'!B$2:B$746,B923),0)</f>
        <v>19.637222222222224</v>
      </c>
      <c r="Q923" s="10">
        <f>IFERROR(SUMIFS('Base bordo'!H$2:H$746,'Base bordo'!C$2:C$746,A923,'Base bordo'!B$2:B$746,B923,'Base bordo'!F$2:F$746,"DESLOCAMENTO VAZIO"),0)</f>
        <v>26042.560000000001</v>
      </c>
      <c r="R923" s="10">
        <f>IFERROR(SUMIFS('Base bordo'!I$2:I$746,'Base bordo'!C$2:C$746,A923,'Base bordo'!B$2:B$746,B923,'Base bordo'!F$2:F$746,"DESLOCAMENTO VAZIO"),0)</f>
        <v>1198</v>
      </c>
      <c r="S923" s="30">
        <f t="shared" si="97"/>
        <v>21.738363939899834</v>
      </c>
      <c r="T923" s="10">
        <f>IFERROR(SUMIFS('Base bordo'!H$2:H$746,'Base bordo'!C$2:C$746,A923,'Base bordo'!B$2:B$746,B923,'Base bordo'!F$2:F$746,"DESLOCAMENTO CARREGADO"),0)</f>
        <v>0</v>
      </c>
      <c r="U923" s="10">
        <f>IFERROR(SUMIFS('Base bordo'!I$2:I$746,'Base bordo'!C$2:C$746,A923,'Base bordo'!B$2:B$746,B923,'Base bordo'!F$2:F$746,"DESLOCAMENTO CARREGADO"),0)</f>
        <v>0</v>
      </c>
      <c r="V923" s="30" t="str">
        <f t="shared" si="98"/>
        <v/>
      </c>
      <c r="W923" s="9">
        <f t="shared" si="99"/>
        <v>1.694627549721334E-2</v>
      </c>
      <c r="X923" s="9">
        <f t="shared" si="100"/>
        <v>0</v>
      </c>
      <c r="Y923" s="9">
        <f t="shared" si="101"/>
        <v>0.98305372450278661</v>
      </c>
    </row>
    <row r="924" spans="1:25" ht="15" customHeight="1" x14ac:dyDescent="0.35">
      <c r="A924" s="52">
        <v>8013475</v>
      </c>
      <c r="B924" s="51">
        <v>46119</v>
      </c>
      <c r="C924" s="7" t="s">
        <v>124</v>
      </c>
      <c r="D924" s="10">
        <f>IFERROR(SUMIFS('Base bordo'!G$2:G$746,'Base bordo'!C$2:C$746,A924,'Base bordo'!B$2:B$746,B924,'Base bordo'!F$2:F$746,"DESLOCAMENTO VAZIO"),0)</f>
        <v>0.33277777777777778</v>
      </c>
      <c r="E924" s="10">
        <f>IFERROR(SUMIFS('Base bordo'!G$2:G$746,'Base bordo'!C$2:C$746,A924,'Base bordo'!B$2:B$746,B924,'Base bordo'!F$2:F$746,"DESLOCAMENTO CARREGADO"),0)</f>
        <v>0</v>
      </c>
      <c r="F924" s="10">
        <f>IFERROR(SUMIFS('Base bordo'!G$2:G$746,'Base bordo'!C$2:C$746,A924,'Base bordo'!B$2:B$746,B924,'Base bordo'!F$2:F$746,"DESLOCAMENTO"),0)</f>
        <v>0</v>
      </c>
      <c r="G924" s="10">
        <f>IFERROR(SUMIFS('Base bordo'!G$2:G$746,'Base bordo'!C$2:C$746,A924,'Base bordo'!B$2:B$746,B924,'Base bordo'!F$2:F$746,"CARREGAMENTO"),0)</f>
        <v>0</v>
      </c>
      <c r="H924" s="10">
        <f>IFERROR(SUMIFS('Base bordo'!G$2:G$746,'Base bordo'!C$2:C$746,A924,'Base bordo'!B$2:B$746,B924,'Base bordo'!F$2:F$746,"AGUARDANDO TRANSBORDO"),0)</f>
        <v>0</v>
      </c>
      <c r="I924" s="10">
        <f>IFERROR(SUMIFS('Base bordo'!G$2:G$746,'Base bordo'!C$2:C$746,A924,'Base bordo'!B$2:B$746,B924,'Base bordo'!F$2:F$746,"PÁTIO INTERNO"),0)+IFERROR(SUMIFS('Base bordo'!G$2:G$746,'Base bordo'!C$2:C$746,A924,'Base bordo'!B$2:B$746,B924,'Base bordo'!F$2:F$746,"PÁTIO EXTERNO"),0)+IFERROR(SUMIFS('Base bordo'!G$2:G$746,'Base bordo'!C$2:C$746,A924,'Base bordo'!B$2:B$746,B924,'Base bordo'!F$2:F$746,"PATIO - RESERVA"),0)+IFERROR(SUMIFS('Base bordo'!G$2:G$746,'Base bordo'!C$2:C$746,A924,'Base bordo'!B$2:B$746,B924,'Base bordo'!F$2:F$746,"MANOBRA CARRETAS-PATIO"),0)</f>
        <v>19.261111111111113</v>
      </c>
      <c r="J924" s="10">
        <f>IFERROR(SUMIFS('Base bordo'!G$2:G$746,'Base bordo'!C$2:C$746,A924,'Base bordo'!B$2:B$746,B924,'Base bordo'!F$2:F$746,"BALANÇA - ENTRADA"),0)+IFERROR(SUMIFS('Base bordo'!G$2:G$746,'Base bordo'!C$2:C$746,A924,'Base bordo'!B$2:B$746,B924,'Base bordo'!F$2:F$746,"BALANÇA - SAÍDA"),0)</f>
        <v>4.3333333333333335E-2</v>
      </c>
      <c r="K924" s="10">
        <f>IFERROR(SUMIFS('Base bordo'!G$2:G$746,'Base bordo'!C$2:C$746,A924,'Base bordo'!B$2:B$746,B924,'Base bordo'!F$2:F$746,"MAN PREVENTIVA - MECANICA"),0)+IFERROR(SUMIFS('Base bordo'!G$2:G$746,'Base bordo'!C$2:C$746,A924,'Base bordo'!B$2:B$746,B924,'Base bordo'!F$2:F$746,"MAN CORRETIVA - MECANICA"),0)</f>
        <v>0</v>
      </c>
      <c r="L924" s="10">
        <f>IFERROR(SUMIFS('Base bordo'!G$2:G$746,'Base bordo'!C$2:C$746,A924,'Base bordo'!B$2:B$746,B924,'Base bordo'!F$2:F$746,"MANUTENCAO - T O"),0)+IFERROR(SUMIFS('Base bordo'!G$2:G$746,'Base bordo'!C$2:C$746,A924,'Base bordo'!B$2:B$746,B924,'Base bordo'!F$2:F$746,"MANUTENCAO BORRACHARIA"),0)+IFERROR(SUMIFS('Base bordo'!G$2:G$746,'Base bordo'!C$2:C$746,A924,'Base bordo'!B$2:B$746,B924,'Base bordo'!F$2:F$746,"MANUTENCAO EXTERNA  CONCESSIONARIA"),0)+IFERROR(SUMIFS('Base bordo'!G$2:G$746,'Base bordo'!C$2:C$746,A924,'Base bordo'!B$2:B$746,B924,'Base bordo'!F$2:F$746,"MANUTENCAO TELEMETRIA"),0)</f>
        <v>0</v>
      </c>
      <c r="M924" s="10">
        <f>IFERROR(SUMIFS('Base bordo'!G$2:G$746,'Base bordo'!C$2:C$746,A924,'Base bordo'!B$2:B$746,B924,'Base bordo'!F$2:F$746,"AGUARDANDO MANUTENCAO"),0)</f>
        <v>0</v>
      </c>
      <c r="N924" s="10">
        <f>IFERROR(SUMIFS('Base bordo'!G$2:G$746,'Base bordo'!C$2:C$746,A924,'Base bordo'!B$2:B$746,B924,'Base bordo'!F$2:F$746,"SEM APONTAMENTO"),0)</f>
        <v>0</v>
      </c>
      <c r="O924" s="10">
        <f t="shared" si="96"/>
        <v>0</v>
      </c>
      <c r="P924" s="10">
        <f>IFERROR(SUMIFS('Base bordo'!G$2:G$746,'Base bordo'!C$2:C$746,A924,'Base bordo'!B$2:B$746,B924),0)</f>
        <v>19.637222222222224</v>
      </c>
      <c r="Q924" s="10">
        <f>IFERROR(SUMIFS('Base bordo'!H$2:H$746,'Base bordo'!C$2:C$746,A924,'Base bordo'!B$2:B$746,B924,'Base bordo'!F$2:F$746,"DESLOCAMENTO VAZIO"),0)</f>
        <v>26042.560000000001</v>
      </c>
      <c r="R924" s="10">
        <f>IFERROR(SUMIFS('Base bordo'!I$2:I$746,'Base bordo'!C$2:C$746,A924,'Base bordo'!B$2:B$746,B924,'Base bordo'!F$2:F$746,"DESLOCAMENTO VAZIO"),0)</f>
        <v>1198</v>
      </c>
      <c r="S924" s="30">
        <f t="shared" si="97"/>
        <v>21.738363939899834</v>
      </c>
      <c r="T924" s="10">
        <f>IFERROR(SUMIFS('Base bordo'!H$2:H$746,'Base bordo'!C$2:C$746,A924,'Base bordo'!B$2:B$746,B924,'Base bordo'!F$2:F$746,"DESLOCAMENTO CARREGADO"),0)</f>
        <v>0</v>
      </c>
      <c r="U924" s="10">
        <f>IFERROR(SUMIFS('Base bordo'!I$2:I$746,'Base bordo'!C$2:C$746,A924,'Base bordo'!B$2:B$746,B924,'Base bordo'!F$2:F$746,"DESLOCAMENTO CARREGADO"),0)</f>
        <v>0</v>
      </c>
      <c r="V924" s="30" t="str">
        <f t="shared" si="98"/>
        <v/>
      </c>
      <c r="W924" s="9">
        <f t="shared" si="99"/>
        <v>1.694627549721334E-2</v>
      </c>
      <c r="X924" s="9">
        <f t="shared" si="100"/>
        <v>0</v>
      </c>
      <c r="Y924" s="9">
        <f t="shared" si="101"/>
        <v>0.98305372450278661</v>
      </c>
    </row>
    <row r="925" spans="1:25" ht="15" customHeight="1" x14ac:dyDescent="0.35">
      <c r="A925" s="52">
        <v>8013475</v>
      </c>
      <c r="B925" s="51">
        <v>46119</v>
      </c>
      <c r="C925" s="7" t="s">
        <v>124</v>
      </c>
      <c r="D925" s="10">
        <f>IFERROR(SUMIFS('Base bordo'!G$2:G$746,'Base bordo'!C$2:C$746,A925,'Base bordo'!B$2:B$746,B925,'Base bordo'!F$2:F$746,"DESLOCAMENTO VAZIO"),0)</f>
        <v>0.33277777777777778</v>
      </c>
      <c r="E925" s="10">
        <f>IFERROR(SUMIFS('Base bordo'!G$2:G$746,'Base bordo'!C$2:C$746,A925,'Base bordo'!B$2:B$746,B925,'Base bordo'!F$2:F$746,"DESLOCAMENTO CARREGADO"),0)</f>
        <v>0</v>
      </c>
      <c r="F925" s="10">
        <f>IFERROR(SUMIFS('Base bordo'!G$2:G$746,'Base bordo'!C$2:C$746,A925,'Base bordo'!B$2:B$746,B925,'Base bordo'!F$2:F$746,"DESLOCAMENTO"),0)</f>
        <v>0</v>
      </c>
      <c r="G925" s="10">
        <f>IFERROR(SUMIFS('Base bordo'!G$2:G$746,'Base bordo'!C$2:C$746,A925,'Base bordo'!B$2:B$746,B925,'Base bordo'!F$2:F$746,"CARREGAMENTO"),0)</f>
        <v>0</v>
      </c>
      <c r="H925" s="10">
        <f>IFERROR(SUMIFS('Base bordo'!G$2:G$746,'Base bordo'!C$2:C$746,A925,'Base bordo'!B$2:B$746,B925,'Base bordo'!F$2:F$746,"AGUARDANDO TRANSBORDO"),0)</f>
        <v>0</v>
      </c>
      <c r="I925" s="10">
        <f>IFERROR(SUMIFS('Base bordo'!G$2:G$746,'Base bordo'!C$2:C$746,A925,'Base bordo'!B$2:B$746,B925,'Base bordo'!F$2:F$746,"PÁTIO INTERNO"),0)+IFERROR(SUMIFS('Base bordo'!G$2:G$746,'Base bordo'!C$2:C$746,A925,'Base bordo'!B$2:B$746,B925,'Base bordo'!F$2:F$746,"PÁTIO EXTERNO"),0)+IFERROR(SUMIFS('Base bordo'!G$2:G$746,'Base bordo'!C$2:C$746,A925,'Base bordo'!B$2:B$746,B925,'Base bordo'!F$2:F$746,"PATIO - RESERVA"),0)+IFERROR(SUMIFS('Base bordo'!G$2:G$746,'Base bordo'!C$2:C$746,A925,'Base bordo'!B$2:B$746,B925,'Base bordo'!F$2:F$746,"MANOBRA CARRETAS-PATIO"),0)</f>
        <v>19.261111111111113</v>
      </c>
      <c r="J925" s="10">
        <f>IFERROR(SUMIFS('Base bordo'!G$2:G$746,'Base bordo'!C$2:C$746,A925,'Base bordo'!B$2:B$746,B925,'Base bordo'!F$2:F$746,"BALANÇA - ENTRADA"),0)+IFERROR(SUMIFS('Base bordo'!G$2:G$746,'Base bordo'!C$2:C$746,A925,'Base bordo'!B$2:B$746,B925,'Base bordo'!F$2:F$746,"BALANÇA - SAÍDA"),0)</f>
        <v>4.3333333333333335E-2</v>
      </c>
      <c r="K925" s="10">
        <f>IFERROR(SUMIFS('Base bordo'!G$2:G$746,'Base bordo'!C$2:C$746,A925,'Base bordo'!B$2:B$746,B925,'Base bordo'!F$2:F$746,"MAN PREVENTIVA - MECANICA"),0)+IFERROR(SUMIFS('Base bordo'!G$2:G$746,'Base bordo'!C$2:C$746,A925,'Base bordo'!B$2:B$746,B925,'Base bordo'!F$2:F$746,"MAN CORRETIVA - MECANICA"),0)</f>
        <v>0</v>
      </c>
      <c r="L925" s="10">
        <f>IFERROR(SUMIFS('Base bordo'!G$2:G$746,'Base bordo'!C$2:C$746,A925,'Base bordo'!B$2:B$746,B925,'Base bordo'!F$2:F$746,"MANUTENCAO - T O"),0)+IFERROR(SUMIFS('Base bordo'!G$2:G$746,'Base bordo'!C$2:C$746,A925,'Base bordo'!B$2:B$746,B925,'Base bordo'!F$2:F$746,"MANUTENCAO BORRACHARIA"),0)+IFERROR(SUMIFS('Base bordo'!G$2:G$746,'Base bordo'!C$2:C$746,A925,'Base bordo'!B$2:B$746,B925,'Base bordo'!F$2:F$746,"MANUTENCAO EXTERNA  CONCESSIONARIA"),0)+IFERROR(SUMIFS('Base bordo'!G$2:G$746,'Base bordo'!C$2:C$746,A925,'Base bordo'!B$2:B$746,B925,'Base bordo'!F$2:F$746,"MANUTENCAO TELEMETRIA"),0)</f>
        <v>0</v>
      </c>
      <c r="M925" s="10">
        <f>IFERROR(SUMIFS('Base bordo'!G$2:G$746,'Base bordo'!C$2:C$746,A925,'Base bordo'!B$2:B$746,B925,'Base bordo'!F$2:F$746,"AGUARDANDO MANUTENCAO"),0)</f>
        <v>0</v>
      </c>
      <c r="N925" s="10">
        <f>IFERROR(SUMIFS('Base bordo'!G$2:G$746,'Base bordo'!C$2:C$746,A925,'Base bordo'!B$2:B$746,B925,'Base bordo'!F$2:F$746,"SEM APONTAMENTO"),0)</f>
        <v>0</v>
      </c>
      <c r="O925" s="10">
        <f t="shared" si="96"/>
        <v>0</v>
      </c>
      <c r="P925" s="10">
        <f>IFERROR(SUMIFS('Base bordo'!G$2:G$746,'Base bordo'!C$2:C$746,A925,'Base bordo'!B$2:B$746,B925),0)</f>
        <v>19.637222222222224</v>
      </c>
      <c r="Q925" s="10">
        <f>IFERROR(SUMIFS('Base bordo'!H$2:H$746,'Base bordo'!C$2:C$746,A925,'Base bordo'!B$2:B$746,B925,'Base bordo'!F$2:F$746,"DESLOCAMENTO VAZIO"),0)</f>
        <v>26042.560000000001</v>
      </c>
      <c r="R925" s="10">
        <f>IFERROR(SUMIFS('Base bordo'!I$2:I$746,'Base bordo'!C$2:C$746,A925,'Base bordo'!B$2:B$746,B925,'Base bordo'!F$2:F$746,"DESLOCAMENTO VAZIO"),0)</f>
        <v>1198</v>
      </c>
      <c r="S925" s="30">
        <f t="shared" si="97"/>
        <v>21.738363939899834</v>
      </c>
      <c r="T925" s="10">
        <f>IFERROR(SUMIFS('Base bordo'!H$2:H$746,'Base bordo'!C$2:C$746,A925,'Base bordo'!B$2:B$746,B925,'Base bordo'!F$2:F$746,"DESLOCAMENTO CARREGADO"),0)</f>
        <v>0</v>
      </c>
      <c r="U925" s="10">
        <f>IFERROR(SUMIFS('Base bordo'!I$2:I$746,'Base bordo'!C$2:C$746,A925,'Base bordo'!B$2:B$746,B925,'Base bordo'!F$2:F$746,"DESLOCAMENTO CARREGADO"),0)</f>
        <v>0</v>
      </c>
      <c r="V925" s="30" t="str">
        <f t="shared" si="98"/>
        <v/>
      </c>
      <c r="W925" s="9">
        <f t="shared" si="99"/>
        <v>1.694627549721334E-2</v>
      </c>
      <c r="X925" s="9">
        <f t="shared" si="100"/>
        <v>0</v>
      </c>
      <c r="Y925" s="9">
        <f t="shared" si="101"/>
        <v>0.98305372450278661</v>
      </c>
    </row>
    <row r="926" spans="1:25" ht="15" customHeight="1" x14ac:dyDescent="0.35">
      <c r="A926" s="52">
        <v>8013476</v>
      </c>
      <c r="B926" s="51">
        <v>46119</v>
      </c>
      <c r="C926" s="7" t="s">
        <v>124</v>
      </c>
      <c r="D926" s="10">
        <f>IFERROR(SUMIFS('Base bordo'!G$2:G$746,'Base bordo'!C$2:C$746,A926,'Base bordo'!B$2:B$746,B926,'Base bordo'!F$2:F$746,"DESLOCAMENTO VAZIO"),0)</f>
        <v>1.5263888888888888</v>
      </c>
      <c r="E926" s="10">
        <f>IFERROR(SUMIFS('Base bordo'!G$2:G$746,'Base bordo'!C$2:C$746,A926,'Base bordo'!B$2:B$746,B926,'Base bordo'!F$2:F$746,"DESLOCAMENTO CARREGADO"),0)</f>
        <v>0.64083333333333337</v>
      </c>
      <c r="F926" s="10">
        <f>IFERROR(SUMIFS('Base bordo'!G$2:G$746,'Base bordo'!C$2:C$746,A926,'Base bordo'!B$2:B$746,B926,'Base bordo'!F$2:F$746,"DESLOCAMENTO"),0)</f>
        <v>0</v>
      </c>
      <c r="G926" s="10">
        <f>IFERROR(SUMIFS('Base bordo'!G$2:G$746,'Base bordo'!C$2:C$746,A926,'Base bordo'!B$2:B$746,B926,'Base bordo'!F$2:F$746,"CARREGAMENTO"),0)</f>
        <v>0</v>
      </c>
      <c r="H926" s="10">
        <f>IFERROR(SUMIFS('Base bordo'!G$2:G$746,'Base bordo'!C$2:C$746,A926,'Base bordo'!B$2:B$746,B926,'Base bordo'!F$2:F$746,"AGUARDANDO TRANSBORDO"),0)</f>
        <v>0.96361111111111108</v>
      </c>
      <c r="I926" s="10">
        <f>IFERROR(SUMIFS('Base bordo'!G$2:G$746,'Base bordo'!C$2:C$746,A926,'Base bordo'!B$2:B$746,B926,'Base bordo'!F$2:F$746,"PÁTIO INTERNO"),0)+IFERROR(SUMIFS('Base bordo'!G$2:G$746,'Base bordo'!C$2:C$746,A926,'Base bordo'!B$2:B$746,B926,'Base bordo'!F$2:F$746,"PÁTIO EXTERNO"),0)+IFERROR(SUMIFS('Base bordo'!G$2:G$746,'Base bordo'!C$2:C$746,A926,'Base bordo'!B$2:B$746,B926,'Base bordo'!F$2:F$746,"PATIO - RESERVA"),0)+IFERROR(SUMIFS('Base bordo'!G$2:G$746,'Base bordo'!C$2:C$746,A926,'Base bordo'!B$2:B$746,B926,'Base bordo'!F$2:F$746,"MANOBRA CARRETAS-PATIO"),0)</f>
        <v>9.7777777777777783E-2</v>
      </c>
      <c r="J926" s="10">
        <f>IFERROR(SUMIFS('Base bordo'!G$2:G$746,'Base bordo'!C$2:C$746,A926,'Base bordo'!B$2:B$746,B926,'Base bordo'!F$2:F$746,"BALANÇA - ENTRADA"),0)+IFERROR(SUMIFS('Base bordo'!G$2:G$746,'Base bordo'!C$2:C$746,A926,'Base bordo'!B$2:B$746,B926,'Base bordo'!F$2:F$746,"BALANÇA - SAÍDA"),0)</f>
        <v>7.7777777777777776E-3</v>
      </c>
      <c r="K926" s="10">
        <f>IFERROR(SUMIFS('Base bordo'!G$2:G$746,'Base bordo'!C$2:C$746,A926,'Base bordo'!B$2:B$746,B926,'Base bordo'!F$2:F$746,"MAN PREVENTIVA - MECANICA"),0)+IFERROR(SUMIFS('Base bordo'!G$2:G$746,'Base bordo'!C$2:C$746,A926,'Base bordo'!B$2:B$746,B926,'Base bordo'!F$2:F$746,"MAN CORRETIVA - MECANICA"),0)</f>
        <v>0</v>
      </c>
      <c r="L926" s="10">
        <f>IFERROR(SUMIFS('Base bordo'!G$2:G$746,'Base bordo'!C$2:C$746,A926,'Base bordo'!B$2:B$746,B926,'Base bordo'!F$2:F$746,"MANUTENCAO - T O"),0)+IFERROR(SUMIFS('Base bordo'!G$2:G$746,'Base bordo'!C$2:C$746,A926,'Base bordo'!B$2:B$746,B926,'Base bordo'!F$2:F$746,"MANUTENCAO BORRACHARIA"),0)+IFERROR(SUMIFS('Base bordo'!G$2:G$746,'Base bordo'!C$2:C$746,A926,'Base bordo'!B$2:B$746,B926,'Base bordo'!F$2:F$746,"MANUTENCAO EXTERNA  CONCESSIONARIA"),0)+IFERROR(SUMIFS('Base bordo'!G$2:G$746,'Base bordo'!C$2:C$746,A926,'Base bordo'!B$2:B$746,B926,'Base bordo'!F$2:F$746,"MANUTENCAO TELEMETRIA"),0)</f>
        <v>0</v>
      </c>
      <c r="M926" s="10">
        <f>IFERROR(SUMIFS('Base bordo'!G$2:G$746,'Base bordo'!C$2:C$746,A926,'Base bordo'!B$2:B$746,B926,'Base bordo'!F$2:F$746,"AGUARDANDO MANUTENCAO"),0)</f>
        <v>0</v>
      </c>
      <c r="N926" s="10">
        <f>IFERROR(SUMIFS('Base bordo'!G$2:G$746,'Base bordo'!C$2:C$746,A926,'Base bordo'!B$2:B$746,B926,'Base bordo'!F$2:F$746,"SEM APONTAMENTO"),0)</f>
        <v>0</v>
      </c>
      <c r="O926" s="10">
        <f t="shared" si="96"/>
        <v>0</v>
      </c>
      <c r="P926" s="10">
        <f>IFERROR(SUMIFS('Base bordo'!G$2:G$746,'Base bordo'!C$2:C$746,A926,'Base bordo'!B$2:B$746,B926),0)</f>
        <v>3.236388888888889</v>
      </c>
      <c r="Q926" s="10">
        <f>IFERROR(SUMIFS('Base bordo'!H$2:H$746,'Base bordo'!C$2:C$746,A926,'Base bordo'!B$2:B$746,B926,'Base bordo'!F$2:F$746,"DESLOCAMENTO VAZIO"),0)</f>
        <v>181446.87000000002</v>
      </c>
      <c r="R926" s="10">
        <f>IFERROR(SUMIFS('Base bordo'!I$2:I$746,'Base bordo'!C$2:C$746,A926,'Base bordo'!B$2:B$746,B926,'Base bordo'!F$2:F$746,"DESLOCAMENTO VAZIO"),0)</f>
        <v>5495</v>
      </c>
      <c r="S926" s="30">
        <f t="shared" si="97"/>
        <v>33.020358507734308</v>
      </c>
      <c r="T926" s="10">
        <f>IFERROR(SUMIFS('Base bordo'!H$2:H$746,'Base bordo'!C$2:C$746,A926,'Base bordo'!B$2:B$746,B926,'Base bordo'!F$2:F$746,"DESLOCAMENTO CARREGADO"),0)</f>
        <v>34581.93</v>
      </c>
      <c r="U926" s="10">
        <f>IFERROR(SUMIFS('Base bordo'!I$2:I$746,'Base bordo'!C$2:C$746,A926,'Base bordo'!B$2:B$746,B926,'Base bordo'!F$2:F$746,"DESLOCAMENTO CARREGADO"),0)</f>
        <v>2307</v>
      </c>
      <c r="V926" s="30">
        <f t="shared" si="98"/>
        <v>14.99</v>
      </c>
      <c r="W926" s="9">
        <f t="shared" si="99"/>
        <v>0.47163333619431802</v>
      </c>
      <c r="X926" s="9">
        <f t="shared" si="100"/>
        <v>0.19800875461333792</v>
      </c>
      <c r="Y926" s="9">
        <f t="shared" si="101"/>
        <v>0.33035790919234409</v>
      </c>
    </row>
    <row r="927" spans="1:25" ht="15" customHeight="1" x14ac:dyDescent="0.35">
      <c r="A927" s="52">
        <v>8013476</v>
      </c>
      <c r="B927" s="51">
        <v>46119</v>
      </c>
      <c r="C927" s="7" t="s">
        <v>124</v>
      </c>
      <c r="D927" s="10">
        <f>IFERROR(SUMIFS('Base bordo'!G$2:G$746,'Base bordo'!C$2:C$746,A927,'Base bordo'!B$2:B$746,B927,'Base bordo'!F$2:F$746,"DESLOCAMENTO VAZIO"),0)</f>
        <v>1.5263888888888888</v>
      </c>
      <c r="E927" s="10">
        <f>IFERROR(SUMIFS('Base bordo'!G$2:G$746,'Base bordo'!C$2:C$746,A927,'Base bordo'!B$2:B$746,B927,'Base bordo'!F$2:F$746,"DESLOCAMENTO CARREGADO"),0)</f>
        <v>0.64083333333333337</v>
      </c>
      <c r="F927" s="10">
        <f>IFERROR(SUMIFS('Base bordo'!G$2:G$746,'Base bordo'!C$2:C$746,A927,'Base bordo'!B$2:B$746,B927,'Base bordo'!F$2:F$746,"DESLOCAMENTO"),0)</f>
        <v>0</v>
      </c>
      <c r="G927" s="10">
        <f>IFERROR(SUMIFS('Base bordo'!G$2:G$746,'Base bordo'!C$2:C$746,A927,'Base bordo'!B$2:B$746,B927,'Base bordo'!F$2:F$746,"CARREGAMENTO"),0)</f>
        <v>0</v>
      </c>
      <c r="H927" s="10">
        <f>IFERROR(SUMIFS('Base bordo'!G$2:G$746,'Base bordo'!C$2:C$746,A927,'Base bordo'!B$2:B$746,B927,'Base bordo'!F$2:F$746,"AGUARDANDO TRANSBORDO"),0)</f>
        <v>0.96361111111111108</v>
      </c>
      <c r="I927" s="10">
        <f>IFERROR(SUMIFS('Base bordo'!G$2:G$746,'Base bordo'!C$2:C$746,A927,'Base bordo'!B$2:B$746,B927,'Base bordo'!F$2:F$746,"PÁTIO INTERNO"),0)+IFERROR(SUMIFS('Base bordo'!G$2:G$746,'Base bordo'!C$2:C$746,A927,'Base bordo'!B$2:B$746,B927,'Base bordo'!F$2:F$746,"PÁTIO EXTERNO"),0)+IFERROR(SUMIFS('Base bordo'!G$2:G$746,'Base bordo'!C$2:C$746,A927,'Base bordo'!B$2:B$746,B927,'Base bordo'!F$2:F$746,"PATIO - RESERVA"),0)+IFERROR(SUMIFS('Base bordo'!G$2:G$746,'Base bordo'!C$2:C$746,A927,'Base bordo'!B$2:B$746,B927,'Base bordo'!F$2:F$746,"MANOBRA CARRETAS-PATIO"),0)</f>
        <v>9.7777777777777783E-2</v>
      </c>
      <c r="J927" s="10">
        <f>IFERROR(SUMIFS('Base bordo'!G$2:G$746,'Base bordo'!C$2:C$746,A927,'Base bordo'!B$2:B$746,B927,'Base bordo'!F$2:F$746,"BALANÇA - ENTRADA"),0)+IFERROR(SUMIFS('Base bordo'!G$2:G$746,'Base bordo'!C$2:C$746,A927,'Base bordo'!B$2:B$746,B927,'Base bordo'!F$2:F$746,"BALANÇA - SAÍDA"),0)</f>
        <v>7.7777777777777776E-3</v>
      </c>
      <c r="K927" s="10">
        <f>IFERROR(SUMIFS('Base bordo'!G$2:G$746,'Base bordo'!C$2:C$746,A927,'Base bordo'!B$2:B$746,B927,'Base bordo'!F$2:F$746,"MAN PREVENTIVA - MECANICA"),0)+IFERROR(SUMIFS('Base bordo'!G$2:G$746,'Base bordo'!C$2:C$746,A927,'Base bordo'!B$2:B$746,B927,'Base bordo'!F$2:F$746,"MAN CORRETIVA - MECANICA"),0)</f>
        <v>0</v>
      </c>
      <c r="L927" s="10">
        <f>IFERROR(SUMIFS('Base bordo'!G$2:G$746,'Base bordo'!C$2:C$746,A927,'Base bordo'!B$2:B$746,B927,'Base bordo'!F$2:F$746,"MANUTENCAO - T O"),0)+IFERROR(SUMIFS('Base bordo'!G$2:G$746,'Base bordo'!C$2:C$746,A927,'Base bordo'!B$2:B$746,B927,'Base bordo'!F$2:F$746,"MANUTENCAO BORRACHARIA"),0)+IFERROR(SUMIFS('Base bordo'!G$2:G$746,'Base bordo'!C$2:C$746,A927,'Base bordo'!B$2:B$746,B927,'Base bordo'!F$2:F$746,"MANUTENCAO EXTERNA  CONCESSIONARIA"),0)+IFERROR(SUMIFS('Base bordo'!G$2:G$746,'Base bordo'!C$2:C$746,A927,'Base bordo'!B$2:B$746,B927,'Base bordo'!F$2:F$746,"MANUTENCAO TELEMETRIA"),0)</f>
        <v>0</v>
      </c>
      <c r="M927" s="10">
        <f>IFERROR(SUMIFS('Base bordo'!G$2:G$746,'Base bordo'!C$2:C$746,A927,'Base bordo'!B$2:B$746,B927,'Base bordo'!F$2:F$746,"AGUARDANDO MANUTENCAO"),0)</f>
        <v>0</v>
      </c>
      <c r="N927" s="10">
        <f>IFERROR(SUMIFS('Base bordo'!G$2:G$746,'Base bordo'!C$2:C$746,A927,'Base bordo'!B$2:B$746,B927,'Base bordo'!F$2:F$746,"SEM APONTAMENTO"),0)</f>
        <v>0</v>
      </c>
      <c r="O927" s="10">
        <f t="shared" si="96"/>
        <v>0</v>
      </c>
      <c r="P927" s="10">
        <f>IFERROR(SUMIFS('Base bordo'!G$2:G$746,'Base bordo'!C$2:C$746,A927,'Base bordo'!B$2:B$746,B927),0)</f>
        <v>3.236388888888889</v>
      </c>
      <c r="Q927" s="10">
        <f>IFERROR(SUMIFS('Base bordo'!H$2:H$746,'Base bordo'!C$2:C$746,A927,'Base bordo'!B$2:B$746,B927,'Base bordo'!F$2:F$746,"DESLOCAMENTO VAZIO"),0)</f>
        <v>181446.87000000002</v>
      </c>
      <c r="R927" s="10">
        <f>IFERROR(SUMIFS('Base bordo'!I$2:I$746,'Base bordo'!C$2:C$746,A927,'Base bordo'!B$2:B$746,B927,'Base bordo'!F$2:F$746,"DESLOCAMENTO VAZIO"),0)</f>
        <v>5495</v>
      </c>
      <c r="S927" s="30">
        <f t="shared" si="97"/>
        <v>33.020358507734308</v>
      </c>
      <c r="T927" s="10">
        <f>IFERROR(SUMIFS('Base bordo'!H$2:H$746,'Base bordo'!C$2:C$746,A927,'Base bordo'!B$2:B$746,B927,'Base bordo'!F$2:F$746,"DESLOCAMENTO CARREGADO"),0)</f>
        <v>34581.93</v>
      </c>
      <c r="U927" s="10">
        <f>IFERROR(SUMIFS('Base bordo'!I$2:I$746,'Base bordo'!C$2:C$746,A927,'Base bordo'!B$2:B$746,B927,'Base bordo'!F$2:F$746,"DESLOCAMENTO CARREGADO"),0)</f>
        <v>2307</v>
      </c>
      <c r="V927" s="30">
        <f t="shared" si="98"/>
        <v>14.99</v>
      </c>
      <c r="W927" s="9">
        <f t="shared" si="99"/>
        <v>0.47163333619431802</v>
      </c>
      <c r="X927" s="9">
        <f t="shared" si="100"/>
        <v>0.19800875461333792</v>
      </c>
      <c r="Y927" s="9">
        <f t="shared" si="101"/>
        <v>0.33035790919234409</v>
      </c>
    </row>
    <row r="928" spans="1:25" ht="15" customHeight="1" x14ac:dyDescent="0.35">
      <c r="A928" s="52">
        <v>8013476</v>
      </c>
      <c r="B928" s="51">
        <v>46119</v>
      </c>
      <c r="C928" s="7" t="s">
        <v>124</v>
      </c>
      <c r="D928" s="10">
        <f>IFERROR(SUMIFS('Base bordo'!G$2:G$746,'Base bordo'!C$2:C$746,A928,'Base bordo'!B$2:B$746,B928,'Base bordo'!F$2:F$746,"DESLOCAMENTO VAZIO"),0)</f>
        <v>1.5263888888888888</v>
      </c>
      <c r="E928" s="10">
        <f>IFERROR(SUMIFS('Base bordo'!G$2:G$746,'Base bordo'!C$2:C$746,A928,'Base bordo'!B$2:B$746,B928,'Base bordo'!F$2:F$746,"DESLOCAMENTO CARREGADO"),0)</f>
        <v>0.64083333333333337</v>
      </c>
      <c r="F928" s="10">
        <f>IFERROR(SUMIFS('Base bordo'!G$2:G$746,'Base bordo'!C$2:C$746,A928,'Base bordo'!B$2:B$746,B928,'Base bordo'!F$2:F$746,"DESLOCAMENTO"),0)</f>
        <v>0</v>
      </c>
      <c r="G928" s="10">
        <f>IFERROR(SUMIFS('Base bordo'!G$2:G$746,'Base bordo'!C$2:C$746,A928,'Base bordo'!B$2:B$746,B928,'Base bordo'!F$2:F$746,"CARREGAMENTO"),0)</f>
        <v>0</v>
      </c>
      <c r="H928" s="10">
        <f>IFERROR(SUMIFS('Base bordo'!G$2:G$746,'Base bordo'!C$2:C$746,A928,'Base bordo'!B$2:B$746,B928,'Base bordo'!F$2:F$746,"AGUARDANDO TRANSBORDO"),0)</f>
        <v>0.96361111111111108</v>
      </c>
      <c r="I928" s="10">
        <f>IFERROR(SUMIFS('Base bordo'!G$2:G$746,'Base bordo'!C$2:C$746,A928,'Base bordo'!B$2:B$746,B928,'Base bordo'!F$2:F$746,"PÁTIO INTERNO"),0)+IFERROR(SUMIFS('Base bordo'!G$2:G$746,'Base bordo'!C$2:C$746,A928,'Base bordo'!B$2:B$746,B928,'Base bordo'!F$2:F$746,"PÁTIO EXTERNO"),0)+IFERROR(SUMIFS('Base bordo'!G$2:G$746,'Base bordo'!C$2:C$746,A928,'Base bordo'!B$2:B$746,B928,'Base bordo'!F$2:F$746,"PATIO - RESERVA"),0)+IFERROR(SUMIFS('Base bordo'!G$2:G$746,'Base bordo'!C$2:C$746,A928,'Base bordo'!B$2:B$746,B928,'Base bordo'!F$2:F$746,"MANOBRA CARRETAS-PATIO"),0)</f>
        <v>9.7777777777777783E-2</v>
      </c>
      <c r="J928" s="10">
        <f>IFERROR(SUMIFS('Base bordo'!G$2:G$746,'Base bordo'!C$2:C$746,A928,'Base bordo'!B$2:B$746,B928,'Base bordo'!F$2:F$746,"BALANÇA - ENTRADA"),0)+IFERROR(SUMIFS('Base bordo'!G$2:G$746,'Base bordo'!C$2:C$746,A928,'Base bordo'!B$2:B$746,B928,'Base bordo'!F$2:F$746,"BALANÇA - SAÍDA"),0)</f>
        <v>7.7777777777777776E-3</v>
      </c>
      <c r="K928" s="10">
        <f>IFERROR(SUMIFS('Base bordo'!G$2:G$746,'Base bordo'!C$2:C$746,A928,'Base bordo'!B$2:B$746,B928,'Base bordo'!F$2:F$746,"MAN PREVENTIVA - MECANICA"),0)+IFERROR(SUMIFS('Base bordo'!G$2:G$746,'Base bordo'!C$2:C$746,A928,'Base bordo'!B$2:B$746,B928,'Base bordo'!F$2:F$746,"MAN CORRETIVA - MECANICA"),0)</f>
        <v>0</v>
      </c>
      <c r="L928" s="10">
        <f>IFERROR(SUMIFS('Base bordo'!G$2:G$746,'Base bordo'!C$2:C$746,A928,'Base bordo'!B$2:B$746,B928,'Base bordo'!F$2:F$746,"MANUTENCAO - T O"),0)+IFERROR(SUMIFS('Base bordo'!G$2:G$746,'Base bordo'!C$2:C$746,A928,'Base bordo'!B$2:B$746,B928,'Base bordo'!F$2:F$746,"MANUTENCAO BORRACHARIA"),0)+IFERROR(SUMIFS('Base bordo'!G$2:G$746,'Base bordo'!C$2:C$746,A928,'Base bordo'!B$2:B$746,B928,'Base bordo'!F$2:F$746,"MANUTENCAO EXTERNA  CONCESSIONARIA"),0)+IFERROR(SUMIFS('Base bordo'!G$2:G$746,'Base bordo'!C$2:C$746,A928,'Base bordo'!B$2:B$746,B928,'Base bordo'!F$2:F$746,"MANUTENCAO TELEMETRIA"),0)</f>
        <v>0</v>
      </c>
      <c r="M928" s="10">
        <f>IFERROR(SUMIFS('Base bordo'!G$2:G$746,'Base bordo'!C$2:C$746,A928,'Base bordo'!B$2:B$746,B928,'Base bordo'!F$2:F$746,"AGUARDANDO MANUTENCAO"),0)</f>
        <v>0</v>
      </c>
      <c r="N928" s="10">
        <f>IFERROR(SUMIFS('Base bordo'!G$2:G$746,'Base bordo'!C$2:C$746,A928,'Base bordo'!B$2:B$746,B928,'Base bordo'!F$2:F$746,"SEM APONTAMENTO"),0)</f>
        <v>0</v>
      </c>
      <c r="O928" s="10">
        <f t="shared" si="96"/>
        <v>0</v>
      </c>
      <c r="P928" s="10">
        <f>IFERROR(SUMIFS('Base bordo'!G$2:G$746,'Base bordo'!C$2:C$746,A928,'Base bordo'!B$2:B$746,B928),0)</f>
        <v>3.236388888888889</v>
      </c>
      <c r="Q928" s="10">
        <f>IFERROR(SUMIFS('Base bordo'!H$2:H$746,'Base bordo'!C$2:C$746,A928,'Base bordo'!B$2:B$746,B928,'Base bordo'!F$2:F$746,"DESLOCAMENTO VAZIO"),0)</f>
        <v>181446.87000000002</v>
      </c>
      <c r="R928" s="10">
        <f>IFERROR(SUMIFS('Base bordo'!I$2:I$746,'Base bordo'!C$2:C$746,A928,'Base bordo'!B$2:B$746,B928,'Base bordo'!F$2:F$746,"DESLOCAMENTO VAZIO"),0)</f>
        <v>5495</v>
      </c>
      <c r="S928" s="30">
        <f t="shared" si="97"/>
        <v>33.020358507734308</v>
      </c>
      <c r="T928" s="10">
        <f>IFERROR(SUMIFS('Base bordo'!H$2:H$746,'Base bordo'!C$2:C$746,A928,'Base bordo'!B$2:B$746,B928,'Base bordo'!F$2:F$746,"DESLOCAMENTO CARREGADO"),0)</f>
        <v>34581.93</v>
      </c>
      <c r="U928" s="10">
        <f>IFERROR(SUMIFS('Base bordo'!I$2:I$746,'Base bordo'!C$2:C$746,A928,'Base bordo'!B$2:B$746,B928,'Base bordo'!F$2:F$746,"DESLOCAMENTO CARREGADO"),0)</f>
        <v>2307</v>
      </c>
      <c r="V928" s="30">
        <f t="shared" si="98"/>
        <v>14.99</v>
      </c>
      <c r="W928" s="9">
        <f t="shared" si="99"/>
        <v>0.47163333619431802</v>
      </c>
      <c r="X928" s="9">
        <f t="shared" si="100"/>
        <v>0.19800875461333792</v>
      </c>
      <c r="Y928" s="9">
        <f t="shared" si="101"/>
        <v>0.33035790919234409</v>
      </c>
    </row>
    <row r="929" spans="1:25" ht="15" customHeight="1" x14ac:dyDescent="0.35">
      <c r="A929" s="52">
        <v>8013476</v>
      </c>
      <c r="B929" s="51">
        <v>46119</v>
      </c>
      <c r="C929" s="7" t="s">
        <v>124</v>
      </c>
      <c r="D929" s="10">
        <f>IFERROR(SUMIFS('Base bordo'!G$2:G$746,'Base bordo'!C$2:C$746,A929,'Base bordo'!B$2:B$746,B929,'Base bordo'!F$2:F$746,"DESLOCAMENTO VAZIO"),0)</f>
        <v>1.5263888888888888</v>
      </c>
      <c r="E929" s="10">
        <f>IFERROR(SUMIFS('Base bordo'!G$2:G$746,'Base bordo'!C$2:C$746,A929,'Base bordo'!B$2:B$746,B929,'Base bordo'!F$2:F$746,"DESLOCAMENTO CARREGADO"),0)</f>
        <v>0.64083333333333337</v>
      </c>
      <c r="F929" s="10">
        <f>IFERROR(SUMIFS('Base bordo'!G$2:G$746,'Base bordo'!C$2:C$746,A929,'Base bordo'!B$2:B$746,B929,'Base bordo'!F$2:F$746,"DESLOCAMENTO"),0)</f>
        <v>0</v>
      </c>
      <c r="G929" s="10">
        <f>IFERROR(SUMIFS('Base bordo'!G$2:G$746,'Base bordo'!C$2:C$746,A929,'Base bordo'!B$2:B$746,B929,'Base bordo'!F$2:F$746,"CARREGAMENTO"),0)</f>
        <v>0</v>
      </c>
      <c r="H929" s="10">
        <f>IFERROR(SUMIFS('Base bordo'!G$2:G$746,'Base bordo'!C$2:C$746,A929,'Base bordo'!B$2:B$746,B929,'Base bordo'!F$2:F$746,"AGUARDANDO TRANSBORDO"),0)</f>
        <v>0.96361111111111108</v>
      </c>
      <c r="I929" s="10">
        <f>IFERROR(SUMIFS('Base bordo'!G$2:G$746,'Base bordo'!C$2:C$746,A929,'Base bordo'!B$2:B$746,B929,'Base bordo'!F$2:F$746,"PÁTIO INTERNO"),0)+IFERROR(SUMIFS('Base bordo'!G$2:G$746,'Base bordo'!C$2:C$746,A929,'Base bordo'!B$2:B$746,B929,'Base bordo'!F$2:F$746,"PÁTIO EXTERNO"),0)+IFERROR(SUMIFS('Base bordo'!G$2:G$746,'Base bordo'!C$2:C$746,A929,'Base bordo'!B$2:B$746,B929,'Base bordo'!F$2:F$746,"PATIO - RESERVA"),0)+IFERROR(SUMIFS('Base bordo'!G$2:G$746,'Base bordo'!C$2:C$746,A929,'Base bordo'!B$2:B$746,B929,'Base bordo'!F$2:F$746,"MANOBRA CARRETAS-PATIO"),0)</f>
        <v>9.7777777777777783E-2</v>
      </c>
      <c r="J929" s="10">
        <f>IFERROR(SUMIFS('Base bordo'!G$2:G$746,'Base bordo'!C$2:C$746,A929,'Base bordo'!B$2:B$746,B929,'Base bordo'!F$2:F$746,"BALANÇA - ENTRADA"),0)+IFERROR(SUMIFS('Base bordo'!G$2:G$746,'Base bordo'!C$2:C$746,A929,'Base bordo'!B$2:B$746,B929,'Base bordo'!F$2:F$746,"BALANÇA - SAÍDA"),0)</f>
        <v>7.7777777777777776E-3</v>
      </c>
      <c r="K929" s="10">
        <f>IFERROR(SUMIFS('Base bordo'!G$2:G$746,'Base bordo'!C$2:C$746,A929,'Base bordo'!B$2:B$746,B929,'Base bordo'!F$2:F$746,"MAN PREVENTIVA - MECANICA"),0)+IFERROR(SUMIFS('Base bordo'!G$2:G$746,'Base bordo'!C$2:C$746,A929,'Base bordo'!B$2:B$746,B929,'Base bordo'!F$2:F$746,"MAN CORRETIVA - MECANICA"),0)</f>
        <v>0</v>
      </c>
      <c r="L929" s="10">
        <f>IFERROR(SUMIFS('Base bordo'!G$2:G$746,'Base bordo'!C$2:C$746,A929,'Base bordo'!B$2:B$746,B929,'Base bordo'!F$2:F$746,"MANUTENCAO - T O"),0)+IFERROR(SUMIFS('Base bordo'!G$2:G$746,'Base bordo'!C$2:C$746,A929,'Base bordo'!B$2:B$746,B929,'Base bordo'!F$2:F$746,"MANUTENCAO BORRACHARIA"),0)+IFERROR(SUMIFS('Base bordo'!G$2:G$746,'Base bordo'!C$2:C$746,A929,'Base bordo'!B$2:B$746,B929,'Base bordo'!F$2:F$746,"MANUTENCAO EXTERNA  CONCESSIONARIA"),0)+IFERROR(SUMIFS('Base bordo'!G$2:G$746,'Base bordo'!C$2:C$746,A929,'Base bordo'!B$2:B$746,B929,'Base bordo'!F$2:F$746,"MANUTENCAO TELEMETRIA"),0)</f>
        <v>0</v>
      </c>
      <c r="M929" s="10">
        <f>IFERROR(SUMIFS('Base bordo'!G$2:G$746,'Base bordo'!C$2:C$746,A929,'Base bordo'!B$2:B$746,B929,'Base bordo'!F$2:F$746,"AGUARDANDO MANUTENCAO"),0)</f>
        <v>0</v>
      </c>
      <c r="N929" s="10">
        <f>IFERROR(SUMIFS('Base bordo'!G$2:G$746,'Base bordo'!C$2:C$746,A929,'Base bordo'!B$2:B$746,B929,'Base bordo'!F$2:F$746,"SEM APONTAMENTO"),0)</f>
        <v>0</v>
      </c>
      <c r="O929" s="10">
        <f t="shared" si="96"/>
        <v>0</v>
      </c>
      <c r="P929" s="10">
        <f>IFERROR(SUMIFS('Base bordo'!G$2:G$746,'Base bordo'!C$2:C$746,A929,'Base bordo'!B$2:B$746,B929),0)</f>
        <v>3.236388888888889</v>
      </c>
      <c r="Q929" s="10">
        <f>IFERROR(SUMIFS('Base bordo'!H$2:H$746,'Base bordo'!C$2:C$746,A929,'Base bordo'!B$2:B$746,B929,'Base bordo'!F$2:F$746,"DESLOCAMENTO VAZIO"),0)</f>
        <v>181446.87000000002</v>
      </c>
      <c r="R929" s="10">
        <f>IFERROR(SUMIFS('Base bordo'!I$2:I$746,'Base bordo'!C$2:C$746,A929,'Base bordo'!B$2:B$746,B929,'Base bordo'!F$2:F$746,"DESLOCAMENTO VAZIO"),0)</f>
        <v>5495</v>
      </c>
      <c r="S929" s="30">
        <f t="shared" si="97"/>
        <v>33.020358507734308</v>
      </c>
      <c r="T929" s="10">
        <f>IFERROR(SUMIFS('Base bordo'!H$2:H$746,'Base bordo'!C$2:C$746,A929,'Base bordo'!B$2:B$746,B929,'Base bordo'!F$2:F$746,"DESLOCAMENTO CARREGADO"),0)</f>
        <v>34581.93</v>
      </c>
      <c r="U929" s="10">
        <f>IFERROR(SUMIFS('Base bordo'!I$2:I$746,'Base bordo'!C$2:C$746,A929,'Base bordo'!B$2:B$746,B929,'Base bordo'!F$2:F$746,"DESLOCAMENTO CARREGADO"),0)</f>
        <v>2307</v>
      </c>
      <c r="V929" s="30">
        <f t="shared" si="98"/>
        <v>14.99</v>
      </c>
      <c r="W929" s="9">
        <f t="shared" si="99"/>
        <v>0.47163333619431802</v>
      </c>
      <c r="X929" s="9">
        <f t="shared" si="100"/>
        <v>0.19800875461333792</v>
      </c>
      <c r="Y929" s="9">
        <f t="shared" si="101"/>
        <v>0.33035790919234409</v>
      </c>
    </row>
    <row r="930" spans="1:25" ht="15" customHeight="1" x14ac:dyDescent="0.35">
      <c r="A930" s="52">
        <v>8013476</v>
      </c>
      <c r="B930" s="51">
        <v>46119</v>
      </c>
      <c r="C930" s="7" t="s">
        <v>124</v>
      </c>
      <c r="D930" s="10">
        <f>IFERROR(SUMIFS('Base bordo'!G$2:G$746,'Base bordo'!C$2:C$746,A930,'Base bordo'!B$2:B$746,B930,'Base bordo'!F$2:F$746,"DESLOCAMENTO VAZIO"),0)</f>
        <v>1.5263888888888888</v>
      </c>
      <c r="E930" s="10">
        <f>IFERROR(SUMIFS('Base bordo'!G$2:G$746,'Base bordo'!C$2:C$746,A930,'Base bordo'!B$2:B$746,B930,'Base bordo'!F$2:F$746,"DESLOCAMENTO CARREGADO"),0)</f>
        <v>0.64083333333333337</v>
      </c>
      <c r="F930" s="10">
        <f>IFERROR(SUMIFS('Base bordo'!G$2:G$746,'Base bordo'!C$2:C$746,A930,'Base bordo'!B$2:B$746,B930,'Base bordo'!F$2:F$746,"DESLOCAMENTO"),0)</f>
        <v>0</v>
      </c>
      <c r="G930" s="10">
        <f>IFERROR(SUMIFS('Base bordo'!G$2:G$746,'Base bordo'!C$2:C$746,A930,'Base bordo'!B$2:B$746,B930,'Base bordo'!F$2:F$746,"CARREGAMENTO"),0)</f>
        <v>0</v>
      </c>
      <c r="H930" s="10">
        <f>IFERROR(SUMIFS('Base bordo'!G$2:G$746,'Base bordo'!C$2:C$746,A930,'Base bordo'!B$2:B$746,B930,'Base bordo'!F$2:F$746,"AGUARDANDO TRANSBORDO"),0)</f>
        <v>0.96361111111111108</v>
      </c>
      <c r="I930" s="10">
        <f>IFERROR(SUMIFS('Base bordo'!G$2:G$746,'Base bordo'!C$2:C$746,A930,'Base bordo'!B$2:B$746,B930,'Base bordo'!F$2:F$746,"PÁTIO INTERNO"),0)+IFERROR(SUMIFS('Base bordo'!G$2:G$746,'Base bordo'!C$2:C$746,A930,'Base bordo'!B$2:B$746,B930,'Base bordo'!F$2:F$746,"PÁTIO EXTERNO"),0)+IFERROR(SUMIFS('Base bordo'!G$2:G$746,'Base bordo'!C$2:C$746,A930,'Base bordo'!B$2:B$746,B930,'Base bordo'!F$2:F$746,"PATIO - RESERVA"),0)+IFERROR(SUMIFS('Base bordo'!G$2:G$746,'Base bordo'!C$2:C$746,A930,'Base bordo'!B$2:B$746,B930,'Base bordo'!F$2:F$746,"MANOBRA CARRETAS-PATIO"),0)</f>
        <v>9.7777777777777783E-2</v>
      </c>
      <c r="J930" s="10">
        <f>IFERROR(SUMIFS('Base bordo'!G$2:G$746,'Base bordo'!C$2:C$746,A930,'Base bordo'!B$2:B$746,B930,'Base bordo'!F$2:F$746,"BALANÇA - ENTRADA"),0)+IFERROR(SUMIFS('Base bordo'!G$2:G$746,'Base bordo'!C$2:C$746,A930,'Base bordo'!B$2:B$746,B930,'Base bordo'!F$2:F$746,"BALANÇA - SAÍDA"),0)</f>
        <v>7.7777777777777776E-3</v>
      </c>
      <c r="K930" s="10">
        <f>IFERROR(SUMIFS('Base bordo'!G$2:G$746,'Base bordo'!C$2:C$746,A930,'Base bordo'!B$2:B$746,B930,'Base bordo'!F$2:F$746,"MAN PREVENTIVA - MECANICA"),0)+IFERROR(SUMIFS('Base bordo'!G$2:G$746,'Base bordo'!C$2:C$746,A930,'Base bordo'!B$2:B$746,B930,'Base bordo'!F$2:F$746,"MAN CORRETIVA - MECANICA"),0)</f>
        <v>0</v>
      </c>
      <c r="L930" s="10">
        <f>IFERROR(SUMIFS('Base bordo'!G$2:G$746,'Base bordo'!C$2:C$746,A930,'Base bordo'!B$2:B$746,B930,'Base bordo'!F$2:F$746,"MANUTENCAO - T O"),0)+IFERROR(SUMIFS('Base bordo'!G$2:G$746,'Base bordo'!C$2:C$746,A930,'Base bordo'!B$2:B$746,B930,'Base bordo'!F$2:F$746,"MANUTENCAO BORRACHARIA"),0)+IFERROR(SUMIFS('Base bordo'!G$2:G$746,'Base bordo'!C$2:C$746,A930,'Base bordo'!B$2:B$746,B930,'Base bordo'!F$2:F$746,"MANUTENCAO EXTERNA  CONCESSIONARIA"),0)+IFERROR(SUMIFS('Base bordo'!G$2:G$746,'Base bordo'!C$2:C$746,A930,'Base bordo'!B$2:B$746,B930,'Base bordo'!F$2:F$746,"MANUTENCAO TELEMETRIA"),0)</f>
        <v>0</v>
      </c>
      <c r="M930" s="10">
        <f>IFERROR(SUMIFS('Base bordo'!G$2:G$746,'Base bordo'!C$2:C$746,A930,'Base bordo'!B$2:B$746,B930,'Base bordo'!F$2:F$746,"AGUARDANDO MANUTENCAO"),0)</f>
        <v>0</v>
      </c>
      <c r="N930" s="10">
        <f>IFERROR(SUMIFS('Base bordo'!G$2:G$746,'Base bordo'!C$2:C$746,A930,'Base bordo'!B$2:B$746,B930,'Base bordo'!F$2:F$746,"SEM APONTAMENTO"),0)</f>
        <v>0</v>
      </c>
      <c r="O930" s="10">
        <f t="shared" si="96"/>
        <v>0</v>
      </c>
      <c r="P930" s="10">
        <f>IFERROR(SUMIFS('Base bordo'!G$2:G$746,'Base bordo'!C$2:C$746,A930,'Base bordo'!B$2:B$746,B930),0)</f>
        <v>3.236388888888889</v>
      </c>
      <c r="Q930" s="10">
        <f>IFERROR(SUMIFS('Base bordo'!H$2:H$746,'Base bordo'!C$2:C$746,A930,'Base bordo'!B$2:B$746,B930,'Base bordo'!F$2:F$746,"DESLOCAMENTO VAZIO"),0)</f>
        <v>181446.87000000002</v>
      </c>
      <c r="R930" s="10">
        <f>IFERROR(SUMIFS('Base bordo'!I$2:I$746,'Base bordo'!C$2:C$746,A930,'Base bordo'!B$2:B$746,B930,'Base bordo'!F$2:F$746,"DESLOCAMENTO VAZIO"),0)</f>
        <v>5495</v>
      </c>
      <c r="S930" s="30">
        <f t="shared" si="97"/>
        <v>33.020358507734308</v>
      </c>
      <c r="T930" s="10">
        <f>IFERROR(SUMIFS('Base bordo'!H$2:H$746,'Base bordo'!C$2:C$746,A930,'Base bordo'!B$2:B$746,B930,'Base bordo'!F$2:F$746,"DESLOCAMENTO CARREGADO"),0)</f>
        <v>34581.93</v>
      </c>
      <c r="U930" s="10">
        <f>IFERROR(SUMIFS('Base bordo'!I$2:I$746,'Base bordo'!C$2:C$746,A930,'Base bordo'!B$2:B$746,B930,'Base bordo'!F$2:F$746,"DESLOCAMENTO CARREGADO"),0)</f>
        <v>2307</v>
      </c>
      <c r="V930" s="30">
        <f t="shared" si="98"/>
        <v>14.99</v>
      </c>
      <c r="W930" s="9">
        <f t="shared" si="99"/>
        <v>0.47163333619431802</v>
      </c>
      <c r="X930" s="9">
        <f t="shared" si="100"/>
        <v>0.19800875461333792</v>
      </c>
      <c r="Y930" s="9">
        <f t="shared" si="101"/>
        <v>0.33035790919234409</v>
      </c>
    </row>
    <row r="931" spans="1:25" ht="15" customHeight="1" x14ac:dyDescent="0.35">
      <c r="A931" s="52">
        <v>8013478</v>
      </c>
      <c r="B931" s="51">
        <v>46119</v>
      </c>
      <c r="C931" s="7" t="s">
        <v>124</v>
      </c>
      <c r="D931" s="10">
        <f>IFERROR(SUMIFS('Base bordo'!G$2:G$746,'Base bordo'!C$2:C$746,A931,'Base bordo'!B$2:B$746,B931,'Base bordo'!F$2:F$746,"DESLOCAMENTO VAZIO"),0)</f>
        <v>0</v>
      </c>
      <c r="E931" s="10">
        <f>IFERROR(SUMIFS('Base bordo'!G$2:G$746,'Base bordo'!C$2:C$746,A931,'Base bordo'!B$2:B$746,B931,'Base bordo'!F$2:F$746,"DESLOCAMENTO CARREGADO"),0)</f>
        <v>0</v>
      </c>
      <c r="F931" s="10">
        <f>IFERROR(SUMIFS('Base bordo'!G$2:G$746,'Base bordo'!C$2:C$746,A931,'Base bordo'!B$2:B$746,B931,'Base bordo'!F$2:F$746,"DESLOCAMENTO"),0)</f>
        <v>0</v>
      </c>
      <c r="G931" s="10">
        <f>IFERROR(SUMIFS('Base bordo'!G$2:G$746,'Base bordo'!C$2:C$746,A931,'Base bordo'!B$2:B$746,B931,'Base bordo'!F$2:F$746,"CARREGAMENTO"),0)</f>
        <v>0</v>
      </c>
      <c r="H931" s="10">
        <f>IFERROR(SUMIFS('Base bordo'!G$2:G$746,'Base bordo'!C$2:C$746,A931,'Base bordo'!B$2:B$746,B931,'Base bordo'!F$2:F$746,"AGUARDANDO TRANSBORDO"),0)</f>
        <v>0</v>
      </c>
      <c r="I931" s="10">
        <f>IFERROR(SUMIFS('Base bordo'!G$2:G$746,'Base bordo'!C$2:C$746,A931,'Base bordo'!B$2:B$746,B931,'Base bordo'!F$2:F$746,"PÁTIO INTERNO"),0)+IFERROR(SUMIFS('Base bordo'!G$2:G$746,'Base bordo'!C$2:C$746,A931,'Base bordo'!B$2:B$746,B931,'Base bordo'!F$2:F$746,"PÁTIO EXTERNO"),0)+IFERROR(SUMIFS('Base bordo'!G$2:G$746,'Base bordo'!C$2:C$746,A931,'Base bordo'!B$2:B$746,B931,'Base bordo'!F$2:F$746,"PATIO - RESERVA"),0)+IFERROR(SUMIFS('Base bordo'!G$2:G$746,'Base bordo'!C$2:C$746,A931,'Base bordo'!B$2:B$746,B931,'Base bordo'!F$2:F$746,"MANOBRA CARRETAS-PATIO"),0)</f>
        <v>0</v>
      </c>
      <c r="J931" s="10">
        <f>IFERROR(SUMIFS('Base bordo'!G$2:G$746,'Base bordo'!C$2:C$746,A931,'Base bordo'!B$2:B$746,B931,'Base bordo'!F$2:F$746,"BALANÇA - ENTRADA"),0)+IFERROR(SUMIFS('Base bordo'!G$2:G$746,'Base bordo'!C$2:C$746,A931,'Base bordo'!B$2:B$746,B931,'Base bordo'!F$2:F$746,"BALANÇA - SAÍDA"),0)</f>
        <v>0</v>
      </c>
      <c r="K931" s="10">
        <f>IFERROR(SUMIFS('Base bordo'!G$2:G$746,'Base bordo'!C$2:C$746,A931,'Base bordo'!B$2:B$746,B931,'Base bordo'!F$2:F$746,"MAN PREVENTIVA - MECANICA"),0)+IFERROR(SUMIFS('Base bordo'!G$2:G$746,'Base bordo'!C$2:C$746,A931,'Base bordo'!B$2:B$746,B931,'Base bordo'!F$2:F$746,"MAN CORRETIVA - MECANICA"),0)</f>
        <v>0</v>
      </c>
      <c r="L931" s="10">
        <f>IFERROR(SUMIFS('Base bordo'!G$2:G$746,'Base bordo'!C$2:C$746,A931,'Base bordo'!B$2:B$746,B931,'Base bordo'!F$2:F$746,"MANUTENCAO - T O"),0)+IFERROR(SUMIFS('Base bordo'!G$2:G$746,'Base bordo'!C$2:C$746,A931,'Base bordo'!B$2:B$746,B931,'Base bordo'!F$2:F$746,"MANUTENCAO BORRACHARIA"),0)+IFERROR(SUMIFS('Base bordo'!G$2:G$746,'Base bordo'!C$2:C$746,A931,'Base bordo'!B$2:B$746,B931,'Base bordo'!F$2:F$746,"MANUTENCAO EXTERNA  CONCESSIONARIA"),0)+IFERROR(SUMIFS('Base bordo'!G$2:G$746,'Base bordo'!C$2:C$746,A931,'Base bordo'!B$2:B$746,B931,'Base bordo'!F$2:F$746,"MANUTENCAO TELEMETRIA"),0)</f>
        <v>0</v>
      </c>
      <c r="M931" s="10">
        <f>IFERROR(SUMIFS('Base bordo'!G$2:G$746,'Base bordo'!C$2:C$746,A931,'Base bordo'!B$2:B$746,B931,'Base bordo'!F$2:F$746,"AGUARDANDO MANUTENCAO"),0)</f>
        <v>0</v>
      </c>
      <c r="N931" s="10">
        <f>IFERROR(SUMIFS('Base bordo'!G$2:G$746,'Base bordo'!C$2:C$746,A931,'Base bordo'!B$2:B$746,B931,'Base bordo'!F$2:F$746,"SEM APONTAMENTO"),0)</f>
        <v>0</v>
      </c>
      <c r="O931" s="10">
        <f t="shared" si="96"/>
        <v>0</v>
      </c>
      <c r="P931" s="10">
        <f>IFERROR(SUMIFS('Base bordo'!G$2:G$746,'Base bordo'!C$2:C$746,A931,'Base bordo'!B$2:B$746,B931),0)</f>
        <v>0</v>
      </c>
      <c r="Q931" s="10">
        <f>IFERROR(SUMIFS('Base bordo'!H$2:H$746,'Base bordo'!C$2:C$746,A931,'Base bordo'!B$2:B$746,B931,'Base bordo'!F$2:F$746,"DESLOCAMENTO VAZIO"),0)</f>
        <v>0</v>
      </c>
      <c r="R931" s="10">
        <f>IFERROR(SUMIFS('Base bordo'!I$2:I$746,'Base bordo'!C$2:C$746,A931,'Base bordo'!B$2:B$746,B931,'Base bordo'!F$2:F$746,"DESLOCAMENTO VAZIO"),0)</f>
        <v>0</v>
      </c>
      <c r="S931" s="30" t="str">
        <f t="shared" si="97"/>
        <v/>
      </c>
      <c r="T931" s="10">
        <f>IFERROR(SUMIFS('Base bordo'!H$2:H$746,'Base bordo'!C$2:C$746,A931,'Base bordo'!B$2:B$746,B931,'Base bordo'!F$2:F$746,"DESLOCAMENTO CARREGADO"),0)</f>
        <v>0</v>
      </c>
      <c r="U931" s="10">
        <f>IFERROR(SUMIFS('Base bordo'!I$2:I$746,'Base bordo'!C$2:C$746,A931,'Base bordo'!B$2:B$746,B931,'Base bordo'!F$2:F$746,"DESLOCAMENTO CARREGADO"),0)</f>
        <v>0</v>
      </c>
      <c r="V931" s="30" t="str">
        <f t="shared" si="98"/>
        <v/>
      </c>
      <c r="W931" s="9">
        <f t="shared" si="99"/>
        <v>0</v>
      </c>
      <c r="X931" s="9">
        <f t="shared" si="100"/>
        <v>0</v>
      </c>
      <c r="Y931" s="9">
        <f t="shared" si="101"/>
        <v>0</v>
      </c>
    </row>
    <row r="932" spans="1:25" ht="15" customHeight="1" x14ac:dyDescent="0.35">
      <c r="A932" s="52">
        <v>8013481</v>
      </c>
      <c r="B932" s="51">
        <v>46119</v>
      </c>
      <c r="C932" s="7" t="s">
        <v>124</v>
      </c>
      <c r="D932" s="10">
        <f>IFERROR(SUMIFS('Base bordo'!G$2:G$746,'Base bordo'!C$2:C$746,A932,'Base bordo'!B$2:B$746,B932,'Base bordo'!F$2:F$746,"DESLOCAMENTO VAZIO"),0)</f>
        <v>1.5449999999999999</v>
      </c>
      <c r="E932" s="10">
        <f>IFERROR(SUMIFS('Base bordo'!G$2:G$746,'Base bordo'!C$2:C$746,A932,'Base bordo'!B$2:B$746,B932,'Base bordo'!F$2:F$746,"DESLOCAMENTO CARREGADO"),0)</f>
        <v>0</v>
      </c>
      <c r="F932" s="10">
        <f>IFERROR(SUMIFS('Base bordo'!G$2:G$746,'Base bordo'!C$2:C$746,A932,'Base bordo'!B$2:B$746,B932,'Base bordo'!F$2:F$746,"DESLOCAMENTO"),0)</f>
        <v>0</v>
      </c>
      <c r="G932" s="10">
        <f>IFERROR(SUMIFS('Base bordo'!G$2:G$746,'Base bordo'!C$2:C$746,A932,'Base bordo'!B$2:B$746,B932,'Base bordo'!F$2:F$746,"CARREGAMENTO"),0)</f>
        <v>0</v>
      </c>
      <c r="H932" s="10">
        <f>IFERROR(SUMIFS('Base bordo'!G$2:G$746,'Base bordo'!C$2:C$746,A932,'Base bordo'!B$2:B$746,B932,'Base bordo'!F$2:F$746,"AGUARDANDO TRANSBORDO"),0)</f>
        <v>0.85944444444444446</v>
      </c>
      <c r="I932" s="10">
        <f>IFERROR(SUMIFS('Base bordo'!G$2:G$746,'Base bordo'!C$2:C$746,A932,'Base bordo'!B$2:B$746,B932,'Base bordo'!F$2:F$746,"PÁTIO INTERNO"),0)+IFERROR(SUMIFS('Base bordo'!G$2:G$746,'Base bordo'!C$2:C$746,A932,'Base bordo'!B$2:B$746,B932,'Base bordo'!F$2:F$746,"PÁTIO EXTERNO"),0)+IFERROR(SUMIFS('Base bordo'!G$2:G$746,'Base bordo'!C$2:C$746,A932,'Base bordo'!B$2:B$746,B932,'Base bordo'!F$2:F$746,"PATIO - RESERVA"),0)+IFERROR(SUMIFS('Base bordo'!G$2:G$746,'Base bordo'!C$2:C$746,A932,'Base bordo'!B$2:B$746,B932,'Base bordo'!F$2:F$746,"MANOBRA CARRETAS-PATIO"),0)</f>
        <v>19.031666666666666</v>
      </c>
      <c r="J932" s="10">
        <f>IFERROR(SUMIFS('Base bordo'!G$2:G$746,'Base bordo'!C$2:C$746,A932,'Base bordo'!B$2:B$746,B932,'Base bordo'!F$2:F$746,"BALANÇA - ENTRADA"),0)+IFERROR(SUMIFS('Base bordo'!G$2:G$746,'Base bordo'!C$2:C$746,A932,'Base bordo'!B$2:B$746,B932,'Base bordo'!F$2:F$746,"BALANÇA - SAÍDA"),0)</f>
        <v>3.4722222222222224E-2</v>
      </c>
      <c r="K932" s="10">
        <f>IFERROR(SUMIFS('Base bordo'!G$2:G$746,'Base bordo'!C$2:C$746,A932,'Base bordo'!B$2:B$746,B932,'Base bordo'!F$2:F$746,"MAN PREVENTIVA - MECANICA"),0)+IFERROR(SUMIFS('Base bordo'!G$2:G$746,'Base bordo'!C$2:C$746,A932,'Base bordo'!B$2:B$746,B932,'Base bordo'!F$2:F$746,"MAN CORRETIVA - MECANICA"),0)</f>
        <v>0</v>
      </c>
      <c r="L932" s="10">
        <f>IFERROR(SUMIFS('Base bordo'!G$2:G$746,'Base bordo'!C$2:C$746,A932,'Base bordo'!B$2:B$746,B932,'Base bordo'!F$2:F$746,"MANUTENCAO - T O"),0)+IFERROR(SUMIFS('Base bordo'!G$2:G$746,'Base bordo'!C$2:C$746,A932,'Base bordo'!B$2:B$746,B932,'Base bordo'!F$2:F$746,"MANUTENCAO BORRACHARIA"),0)+IFERROR(SUMIFS('Base bordo'!G$2:G$746,'Base bordo'!C$2:C$746,A932,'Base bordo'!B$2:B$746,B932,'Base bordo'!F$2:F$746,"MANUTENCAO EXTERNA  CONCESSIONARIA"),0)+IFERROR(SUMIFS('Base bordo'!G$2:G$746,'Base bordo'!C$2:C$746,A932,'Base bordo'!B$2:B$746,B932,'Base bordo'!F$2:F$746,"MANUTENCAO TELEMETRIA"),0)</f>
        <v>0</v>
      </c>
      <c r="M932" s="10">
        <f>IFERROR(SUMIFS('Base bordo'!G$2:G$746,'Base bordo'!C$2:C$746,A932,'Base bordo'!B$2:B$746,B932,'Base bordo'!F$2:F$746,"AGUARDANDO MANUTENCAO"),0)</f>
        <v>0</v>
      </c>
      <c r="N932" s="10">
        <f>IFERROR(SUMIFS('Base bordo'!G$2:G$746,'Base bordo'!C$2:C$746,A932,'Base bordo'!B$2:B$746,B932,'Base bordo'!F$2:F$746,"SEM APONTAMENTO"),0)</f>
        <v>0</v>
      </c>
      <c r="O932" s="10">
        <f t="shared" si="96"/>
        <v>0</v>
      </c>
      <c r="P932" s="10">
        <f>IFERROR(SUMIFS('Base bordo'!G$2:G$746,'Base bordo'!C$2:C$746,A932,'Base bordo'!B$2:B$746,B932),0)</f>
        <v>21.470833333333331</v>
      </c>
      <c r="Q932" s="10">
        <f>IFERROR(SUMIFS('Base bordo'!H$2:H$746,'Base bordo'!C$2:C$746,A932,'Base bordo'!B$2:B$746,B932,'Base bordo'!F$2:F$746,"DESLOCAMENTO VAZIO"),0)</f>
        <v>180874.72000000003</v>
      </c>
      <c r="R932" s="10">
        <f>IFERROR(SUMIFS('Base bordo'!I$2:I$746,'Base bordo'!C$2:C$746,A932,'Base bordo'!B$2:B$746,B932,'Base bordo'!F$2:F$746,"DESLOCAMENTO VAZIO"),0)</f>
        <v>5562</v>
      </c>
      <c r="S932" s="30">
        <f t="shared" si="97"/>
        <v>32.519726717008275</v>
      </c>
      <c r="T932" s="10">
        <f>IFERROR(SUMIFS('Base bordo'!H$2:H$746,'Base bordo'!C$2:C$746,A932,'Base bordo'!B$2:B$746,B932,'Base bordo'!F$2:F$746,"DESLOCAMENTO CARREGADO"),0)</f>
        <v>0</v>
      </c>
      <c r="U932" s="10">
        <f>IFERROR(SUMIFS('Base bordo'!I$2:I$746,'Base bordo'!C$2:C$746,A932,'Base bordo'!B$2:B$746,B932,'Base bordo'!F$2:F$746,"DESLOCAMENTO CARREGADO"),0)</f>
        <v>0</v>
      </c>
      <c r="V932" s="30" t="str">
        <f t="shared" si="98"/>
        <v/>
      </c>
      <c r="W932" s="9">
        <f t="shared" si="99"/>
        <v>7.195808267028915E-2</v>
      </c>
      <c r="X932" s="9">
        <f t="shared" si="100"/>
        <v>0</v>
      </c>
      <c r="Y932" s="9">
        <f t="shared" si="101"/>
        <v>0.92804191732971086</v>
      </c>
    </row>
    <row r="933" spans="1:25" ht="15" customHeight="1" x14ac:dyDescent="0.35">
      <c r="A933" s="52">
        <v>8013481</v>
      </c>
      <c r="B933" s="51">
        <v>46119</v>
      </c>
      <c r="C933" s="7" t="s">
        <v>124</v>
      </c>
      <c r="D933" s="10">
        <f>IFERROR(SUMIFS('Base bordo'!G$2:G$746,'Base bordo'!C$2:C$746,A933,'Base bordo'!B$2:B$746,B933,'Base bordo'!F$2:F$746,"DESLOCAMENTO VAZIO"),0)</f>
        <v>1.5449999999999999</v>
      </c>
      <c r="E933" s="10">
        <f>IFERROR(SUMIFS('Base bordo'!G$2:G$746,'Base bordo'!C$2:C$746,A933,'Base bordo'!B$2:B$746,B933,'Base bordo'!F$2:F$746,"DESLOCAMENTO CARREGADO"),0)</f>
        <v>0</v>
      </c>
      <c r="F933" s="10">
        <f>IFERROR(SUMIFS('Base bordo'!G$2:G$746,'Base bordo'!C$2:C$746,A933,'Base bordo'!B$2:B$746,B933,'Base bordo'!F$2:F$746,"DESLOCAMENTO"),0)</f>
        <v>0</v>
      </c>
      <c r="G933" s="10">
        <f>IFERROR(SUMIFS('Base bordo'!G$2:G$746,'Base bordo'!C$2:C$746,A933,'Base bordo'!B$2:B$746,B933,'Base bordo'!F$2:F$746,"CARREGAMENTO"),0)</f>
        <v>0</v>
      </c>
      <c r="H933" s="10">
        <f>IFERROR(SUMIFS('Base bordo'!G$2:G$746,'Base bordo'!C$2:C$746,A933,'Base bordo'!B$2:B$746,B933,'Base bordo'!F$2:F$746,"AGUARDANDO TRANSBORDO"),0)</f>
        <v>0.85944444444444446</v>
      </c>
      <c r="I933" s="10">
        <f>IFERROR(SUMIFS('Base bordo'!G$2:G$746,'Base bordo'!C$2:C$746,A933,'Base bordo'!B$2:B$746,B933,'Base bordo'!F$2:F$746,"PÁTIO INTERNO"),0)+IFERROR(SUMIFS('Base bordo'!G$2:G$746,'Base bordo'!C$2:C$746,A933,'Base bordo'!B$2:B$746,B933,'Base bordo'!F$2:F$746,"PÁTIO EXTERNO"),0)+IFERROR(SUMIFS('Base bordo'!G$2:G$746,'Base bordo'!C$2:C$746,A933,'Base bordo'!B$2:B$746,B933,'Base bordo'!F$2:F$746,"PATIO - RESERVA"),0)+IFERROR(SUMIFS('Base bordo'!G$2:G$746,'Base bordo'!C$2:C$746,A933,'Base bordo'!B$2:B$746,B933,'Base bordo'!F$2:F$746,"MANOBRA CARRETAS-PATIO"),0)</f>
        <v>19.031666666666666</v>
      </c>
      <c r="J933" s="10">
        <f>IFERROR(SUMIFS('Base bordo'!G$2:G$746,'Base bordo'!C$2:C$746,A933,'Base bordo'!B$2:B$746,B933,'Base bordo'!F$2:F$746,"BALANÇA - ENTRADA"),0)+IFERROR(SUMIFS('Base bordo'!G$2:G$746,'Base bordo'!C$2:C$746,A933,'Base bordo'!B$2:B$746,B933,'Base bordo'!F$2:F$746,"BALANÇA - SAÍDA"),0)</f>
        <v>3.4722222222222224E-2</v>
      </c>
      <c r="K933" s="10">
        <f>IFERROR(SUMIFS('Base bordo'!G$2:G$746,'Base bordo'!C$2:C$746,A933,'Base bordo'!B$2:B$746,B933,'Base bordo'!F$2:F$746,"MAN PREVENTIVA - MECANICA"),0)+IFERROR(SUMIFS('Base bordo'!G$2:G$746,'Base bordo'!C$2:C$746,A933,'Base bordo'!B$2:B$746,B933,'Base bordo'!F$2:F$746,"MAN CORRETIVA - MECANICA"),0)</f>
        <v>0</v>
      </c>
      <c r="L933" s="10">
        <f>IFERROR(SUMIFS('Base bordo'!G$2:G$746,'Base bordo'!C$2:C$746,A933,'Base bordo'!B$2:B$746,B933,'Base bordo'!F$2:F$746,"MANUTENCAO - T O"),0)+IFERROR(SUMIFS('Base bordo'!G$2:G$746,'Base bordo'!C$2:C$746,A933,'Base bordo'!B$2:B$746,B933,'Base bordo'!F$2:F$746,"MANUTENCAO BORRACHARIA"),0)+IFERROR(SUMIFS('Base bordo'!G$2:G$746,'Base bordo'!C$2:C$746,A933,'Base bordo'!B$2:B$746,B933,'Base bordo'!F$2:F$746,"MANUTENCAO EXTERNA  CONCESSIONARIA"),0)+IFERROR(SUMIFS('Base bordo'!G$2:G$746,'Base bordo'!C$2:C$746,A933,'Base bordo'!B$2:B$746,B933,'Base bordo'!F$2:F$746,"MANUTENCAO TELEMETRIA"),0)</f>
        <v>0</v>
      </c>
      <c r="M933" s="10">
        <f>IFERROR(SUMIFS('Base bordo'!G$2:G$746,'Base bordo'!C$2:C$746,A933,'Base bordo'!B$2:B$746,B933,'Base bordo'!F$2:F$746,"AGUARDANDO MANUTENCAO"),0)</f>
        <v>0</v>
      </c>
      <c r="N933" s="10">
        <f>IFERROR(SUMIFS('Base bordo'!G$2:G$746,'Base bordo'!C$2:C$746,A933,'Base bordo'!B$2:B$746,B933,'Base bordo'!F$2:F$746,"SEM APONTAMENTO"),0)</f>
        <v>0</v>
      </c>
      <c r="O933" s="10">
        <f t="shared" si="96"/>
        <v>0</v>
      </c>
      <c r="P933" s="10">
        <f>IFERROR(SUMIFS('Base bordo'!G$2:G$746,'Base bordo'!C$2:C$746,A933,'Base bordo'!B$2:B$746,B933),0)</f>
        <v>21.470833333333331</v>
      </c>
      <c r="Q933" s="10">
        <f>IFERROR(SUMIFS('Base bordo'!H$2:H$746,'Base bordo'!C$2:C$746,A933,'Base bordo'!B$2:B$746,B933,'Base bordo'!F$2:F$746,"DESLOCAMENTO VAZIO"),0)</f>
        <v>180874.72000000003</v>
      </c>
      <c r="R933" s="10">
        <f>IFERROR(SUMIFS('Base bordo'!I$2:I$746,'Base bordo'!C$2:C$746,A933,'Base bordo'!B$2:B$746,B933,'Base bordo'!F$2:F$746,"DESLOCAMENTO VAZIO"),0)</f>
        <v>5562</v>
      </c>
      <c r="S933" s="30">
        <f t="shared" si="97"/>
        <v>32.519726717008275</v>
      </c>
      <c r="T933" s="10">
        <f>IFERROR(SUMIFS('Base bordo'!H$2:H$746,'Base bordo'!C$2:C$746,A933,'Base bordo'!B$2:B$746,B933,'Base bordo'!F$2:F$746,"DESLOCAMENTO CARREGADO"),0)</f>
        <v>0</v>
      </c>
      <c r="U933" s="10">
        <f>IFERROR(SUMIFS('Base bordo'!I$2:I$746,'Base bordo'!C$2:C$746,A933,'Base bordo'!B$2:B$746,B933,'Base bordo'!F$2:F$746,"DESLOCAMENTO CARREGADO"),0)</f>
        <v>0</v>
      </c>
      <c r="V933" s="30" t="str">
        <f t="shared" si="98"/>
        <v/>
      </c>
      <c r="W933" s="9">
        <f t="shared" si="99"/>
        <v>7.195808267028915E-2</v>
      </c>
      <c r="X933" s="9">
        <f t="shared" si="100"/>
        <v>0</v>
      </c>
      <c r="Y933" s="9">
        <f t="shared" si="101"/>
        <v>0.92804191732971086</v>
      </c>
    </row>
    <row r="934" spans="1:25" ht="15" customHeight="1" x14ac:dyDescent="0.35">
      <c r="A934" s="52">
        <v>8013481</v>
      </c>
      <c r="B934" s="51">
        <v>46119</v>
      </c>
      <c r="C934" s="7" t="s">
        <v>124</v>
      </c>
      <c r="D934" s="10">
        <f>IFERROR(SUMIFS('Base bordo'!G$2:G$746,'Base bordo'!C$2:C$746,A934,'Base bordo'!B$2:B$746,B934,'Base bordo'!F$2:F$746,"DESLOCAMENTO VAZIO"),0)</f>
        <v>1.5449999999999999</v>
      </c>
      <c r="E934" s="10">
        <f>IFERROR(SUMIFS('Base bordo'!G$2:G$746,'Base bordo'!C$2:C$746,A934,'Base bordo'!B$2:B$746,B934,'Base bordo'!F$2:F$746,"DESLOCAMENTO CARREGADO"),0)</f>
        <v>0</v>
      </c>
      <c r="F934" s="10">
        <f>IFERROR(SUMIFS('Base bordo'!G$2:G$746,'Base bordo'!C$2:C$746,A934,'Base bordo'!B$2:B$746,B934,'Base bordo'!F$2:F$746,"DESLOCAMENTO"),0)</f>
        <v>0</v>
      </c>
      <c r="G934" s="10">
        <f>IFERROR(SUMIFS('Base bordo'!G$2:G$746,'Base bordo'!C$2:C$746,A934,'Base bordo'!B$2:B$746,B934,'Base bordo'!F$2:F$746,"CARREGAMENTO"),0)</f>
        <v>0</v>
      </c>
      <c r="H934" s="10">
        <f>IFERROR(SUMIFS('Base bordo'!G$2:G$746,'Base bordo'!C$2:C$746,A934,'Base bordo'!B$2:B$746,B934,'Base bordo'!F$2:F$746,"AGUARDANDO TRANSBORDO"),0)</f>
        <v>0.85944444444444446</v>
      </c>
      <c r="I934" s="10">
        <f>IFERROR(SUMIFS('Base bordo'!G$2:G$746,'Base bordo'!C$2:C$746,A934,'Base bordo'!B$2:B$746,B934,'Base bordo'!F$2:F$746,"PÁTIO INTERNO"),0)+IFERROR(SUMIFS('Base bordo'!G$2:G$746,'Base bordo'!C$2:C$746,A934,'Base bordo'!B$2:B$746,B934,'Base bordo'!F$2:F$746,"PÁTIO EXTERNO"),0)+IFERROR(SUMIFS('Base bordo'!G$2:G$746,'Base bordo'!C$2:C$746,A934,'Base bordo'!B$2:B$746,B934,'Base bordo'!F$2:F$746,"PATIO - RESERVA"),0)+IFERROR(SUMIFS('Base bordo'!G$2:G$746,'Base bordo'!C$2:C$746,A934,'Base bordo'!B$2:B$746,B934,'Base bordo'!F$2:F$746,"MANOBRA CARRETAS-PATIO"),0)</f>
        <v>19.031666666666666</v>
      </c>
      <c r="J934" s="10">
        <f>IFERROR(SUMIFS('Base bordo'!G$2:G$746,'Base bordo'!C$2:C$746,A934,'Base bordo'!B$2:B$746,B934,'Base bordo'!F$2:F$746,"BALANÇA - ENTRADA"),0)+IFERROR(SUMIFS('Base bordo'!G$2:G$746,'Base bordo'!C$2:C$746,A934,'Base bordo'!B$2:B$746,B934,'Base bordo'!F$2:F$746,"BALANÇA - SAÍDA"),0)</f>
        <v>3.4722222222222224E-2</v>
      </c>
      <c r="K934" s="10">
        <f>IFERROR(SUMIFS('Base bordo'!G$2:G$746,'Base bordo'!C$2:C$746,A934,'Base bordo'!B$2:B$746,B934,'Base bordo'!F$2:F$746,"MAN PREVENTIVA - MECANICA"),0)+IFERROR(SUMIFS('Base bordo'!G$2:G$746,'Base bordo'!C$2:C$746,A934,'Base bordo'!B$2:B$746,B934,'Base bordo'!F$2:F$746,"MAN CORRETIVA - MECANICA"),0)</f>
        <v>0</v>
      </c>
      <c r="L934" s="10">
        <f>IFERROR(SUMIFS('Base bordo'!G$2:G$746,'Base bordo'!C$2:C$746,A934,'Base bordo'!B$2:B$746,B934,'Base bordo'!F$2:F$746,"MANUTENCAO - T O"),0)+IFERROR(SUMIFS('Base bordo'!G$2:G$746,'Base bordo'!C$2:C$746,A934,'Base bordo'!B$2:B$746,B934,'Base bordo'!F$2:F$746,"MANUTENCAO BORRACHARIA"),0)+IFERROR(SUMIFS('Base bordo'!G$2:G$746,'Base bordo'!C$2:C$746,A934,'Base bordo'!B$2:B$746,B934,'Base bordo'!F$2:F$746,"MANUTENCAO EXTERNA  CONCESSIONARIA"),0)+IFERROR(SUMIFS('Base bordo'!G$2:G$746,'Base bordo'!C$2:C$746,A934,'Base bordo'!B$2:B$746,B934,'Base bordo'!F$2:F$746,"MANUTENCAO TELEMETRIA"),0)</f>
        <v>0</v>
      </c>
      <c r="M934" s="10">
        <f>IFERROR(SUMIFS('Base bordo'!G$2:G$746,'Base bordo'!C$2:C$746,A934,'Base bordo'!B$2:B$746,B934,'Base bordo'!F$2:F$746,"AGUARDANDO MANUTENCAO"),0)</f>
        <v>0</v>
      </c>
      <c r="N934" s="10">
        <f>IFERROR(SUMIFS('Base bordo'!G$2:G$746,'Base bordo'!C$2:C$746,A934,'Base bordo'!B$2:B$746,B934,'Base bordo'!F$2:F$746,"SEM APONTAMENTO"),0)</f>
        <v>0</v>
      </c>
      <c r="O934" s="10">
        <f t="shared" si="96"/>
        <v>0</v>
      </c>
      <c r="P934" s="10">
        <f>IFERROR(SUMIFS('Base bordo'!G$2:G$746,'Base bordo'!C$2:C$746,A934,'Base bordo'!B$2:B$746,B934),0)</f>
        <v>21.470833333333331</v>
      </c>
      <c r="Q934" s="10">
        <f>IFERROR(SUMIFS('Base bordo'!H$2:H$746,'Base bordo'!C$2:C$746,A934,'Base bordo'!B$2:B$746,B934,'Base bordo'!F$2:F$746,"DESLOCAMENTO VAZIO"),0)</f>
        <v>180874.72000000003</v>
      </c>
      <c r="R934" s="10">
        <f>IFERROR(SUMIFS('Base bordo'!I$2:I$746,'Base bordo'!C$2:C$746,A934,'Base bordo'!B$2:B$746,B934,'Base bordo'!F$2:F$746,"DESLOCAMENTO VAZIO"),0)</f>
        <v>5562</v>
      </c>
      <c r="S934" s="30">
        <f t="shared" si="97"/>
        <v>32.519726717008275</v>
      </c>
      <c r="T934" s="10">
        <f>IFERROR(SUMIFS('Base bordo'!H$2:H$746,'Base bordo'!C$2:C$746,A934,'Base bordo'!B$2:B$746,B934,'Base bordo'!F$2:F$746,"DESLOCAMENTO CARREGADO"),0)</f>
        <v>0</v>
      </c>
      <c r="U934" s="10">
        <f>IFERROR(SUMIFS('Base bordo'!I$2:I$746,'Base bordo'!C$2:C$746,A934,'Base bordo'!B$2:B$746,B934,'Base bordo'!F$2:F$746,"DESLOCAMENTO CARREGADO"),0)</f>
        <v>0</v>
      </c>
      <c r="V934" s="30" t="str">
        <f t="shared" si="98"/>
        <v/>
      </c>
      <c r="W934" s="9">
        <f t="shared" si="99"/>
        <v>7.195808267028915E-2</v>
      </c>
      <c r="X934" s="9">
        <f t="shared" si="100"/>
        <v>0</v>
      </c>
      <c r="Y934" s="9">
        <f t="shared" si="101"/>
        <v>0.92804191732971086</v>
      </c>
    </row>
    <row r="935" spans="1:25" ht="15" customHeight="1" x14ac:dyDescent="0.35">
      <c r="A935" s="52">
        <v>8013481</v>
      </c>
      <c r="B935" s="51">
        <v>46119</v>
      </c>
      <c r="C935" s="7" t="s">
        <v>124</v>
      </c>
      <c r="D935" s="10">
        <f>IFERROR(SUMIFS('Base bordo'!G$2:G$746,'Base bordo'!C$2:C$746,A935,'Base bordo'!B$2:B$746,B935,'Base bordo'!F$2:F$746,"DESLOCAMENTO VAZIO"),0)</f>
        <v>1.5449999999999999</v>
      </c>
      <c r="E935" s="10">
        <f>IFERROR(SUMIFS('Base bordo'!G$2:G$746,'Base bordo'!C$2:C$746,A935,'Base bordo'!B$2:B$746,B935,'Base bordo'!F$2:F$746,"DESLOCAMENTO CARREGADO"),0)</f>
        <v>0</v>
      </c>
      <c r="F935" s="10">
        <f>IFERROR(SUMIFS('Base bordo'!G$2:G$746,'Base bordo'!C$2:C$746,A935,'Base bordo'!B$2:B$746,B935,'Base bordo'!F$2:F$746,"DESLOCAMENTO"),0)</f>
        <v>0</v>
      </c>
      <c r="G935" s="10">
        <f>IFERROR(SUMIFS('Base bordo'!G$2:G$746,'Base bordo'!C$2:C$746,A935,'Base bordo'!B$2:B$746,B935,'Base bordo'!F$2:F$746,"CARREGAMENTO"),0)</f>
        <v>0</v>
      </c>
      <c r="H935" s="10">
        <f>IFERROR(SUMIFS('Base bordo'!G$2:G$746,'Base bordo'!C$2:C$746,A935,'Base bordo'!B$2:B$746,B935,'Base bordo'!F$2:F$746,"AGUARDANDO TRANSBORDO"),0)</f>
        <v>0.85944444444444446</v>
      </c>
      <c r="I935" s="10">
        <f>IFERROR(SUMIFS('Base bordo'!G$2:G$746,'Base bordo'!C$2:C$746,A935,'Base bordo'!B$2:B$746,B935,'Base bordo'!F$2:F$746,"PÁTIO INTERNO"),0)+IFERROR(SUMIFS('Base bordo'!G$2:G$746,'Base bordo'!C$2:C$746,A935,'Base bordo'!B$2:B$746,B935,'Base bordo'!F$2:F$746,"PÁTIO EXTERNO"),0)+IFERROR(SUMIFS('Base bordo'!G$2:G$746,'Base bordo'!C$2:C$746,A935,'Base bordo'!B$2:B$746,B935,'Base bordo'!F$2:F$746,"PATIO - RESERVA"),0)+IFERROR(SUMIFS('Base bordo'!G$2:G$746,'Base bordo'!C$2:C$746,A935,'Base bordo'!B$2:B$746,B935,'Base bordo'!F$2:F$746,"MANOBRA CARRETAS-PATIO"),0)</f>
        <v>19.031666666666666</v>
      </c>
      <c r="J935" s="10">
        <f>IFERROR(SUMIFS('Base bordo'!G$2:G$746,'Base bordo'!C$2:C$746,A935,'Base bordo'!B$2:B$746,B935,'Base bordo'!F$2:F$746,"BALANÇA - ENTRADA"),0)+IFERROR(SUMIFS('Base bordo'!G$2:G$746,'Base bordo'!C$2:C$746,A935,'Base bordo'!B$2:B$746,B935,'Base bordo'!F$2:F$746,"BALANÇA - SAÍDA"),0)</f>
        <v>3.4722222222222224E-2</v>
      </c>
      <c r="K935" s="10">
        <f>IFERROR(SUMIFS('Base bordo'!G$2:G$746,'Base bordo'!C$2:C$746,A935,'Base bordo'!B$2:B$746,B935,'Base bordo'!F$2:F$746,"MAN PREVENTIVA - MECANICA"),0)+IFERROR(SUMIFS('Base bordo'!G$2:G$746,'Base bordo'!C$2:C$746,A935,'Base bordo'!B$2:B$746,B935,'Base bordo'!F$2:F$746,"MAN CORRETIVA - MECANICA"),0)</f>
        <v>0</v>
      </c>
      <c r="L935" s="10">
        <f>IFERROR(SUMIFS('Base bordo'!G$2:G$746,'Base bordo'!C$2:C$746,A935,'Base bordo'!B$2:B$746,B935,'Base bordo'!F$2:F$746,"MANUTENCAO - T O"),0)+IFERROR(SUMIFS('Base bordo'!G$2:G$746,'Base bordo'!C$2:C$746,A935,'Base bordo'!B$2:B$746,B935,'Base bordo'!F$2:F$746,"MANUTENCAO BORRACHARIA"),0)+IFERROR(SUMIFS('Base bordo'!G$2:G$746,'Base bordo'!C$2:C$746,A935,'Base bordo'!B$2:B$746,B935,'Base bordo'!F$2:F$746,"MANUTENCAO EXTERNA  CONCESSIONARIA"),0)+IFERROR(SUMIFS('Base bordo'!G$2:G$746,'Base bordo'!C$2:C$746,A935,'Base bordo'!B$2:B$746,B935,'Base bordo'!F$2:F$746,"MANUTENCAO TELEMETRIA"),0)</f>
        <v>0</v>
      </c>
      <c r="M935" s="10">
        <f>IFERROR(SUMIFS('Base bordo'!G$2:G$746,'Base bordo'!C$2:C$746,A935,'Base bordo'!B$2:B$746,B935,'Base bordo'!F$2:F$746,"AGUARDANDO MANUTENCAO"),0)</f>
        <v>0</v>
      </c>
      <c r="N935" s="10">
        <f>IFERROR(SUMIFS('Base bordo'!G$2:G$746,'Base bordo'!C$2:C$746,A935,'Base bordo'!B$2:B$746,B935,'Base bordo'!F$2:F$746,"SEM APONTAMENTO"),0)</f>
        <v>0</v>
      </c>
      <c r="O935" s="10">
        <f t="shared" si="96"/>
        <v>0</v>
      </c>
      <c r="P935" s="10">
        <f>IFERROR(SUMIFS('Base bordo'!G$2:G$746,'Base bordo'!C$2:C$746,A935,'Base bordo'!B$2:B$746,B935),0)</f>
        <v>21.470833333333331</v>
      </c>
      <c r="Q935" s="10">
        <f>IFERROR(SUMIFS('Base bordo'!H$2:H$746,'Base bordo'!C$2:C$746,A935,'Base bordo'!B$2:B$746,B935,'Base bordo'!F$2:F$746,"DESLOCAMENTO VAZIO"),0)</f>
        <v>180874.72000000003</v>
      </c>
      <c r="R935" s="10">
        <f>IFERROR(SUMIFS('Base bordo'!I$2:I$746,'Base bordo'!C$2:C$746,A935,'Base bordo'!B$2:B$746,B935,'Base bordo'!F$2:F$746,"DESLOCAMENTO VAZIO"),0)</f>
        <v>5562</v>
      </c>
      <c r="S935" s="30">
        <f t="shared" si="97"/>
        <v>32.519726717008275</v>
      </c>
      <c r="T935" s="10">
        <f>IFERROR(SUMIFS('Base bordo'!H$2:H$746,'Base bordo'!C$2:C$746,A935,'Base bordo'!B$2:B$746,B935,'Base bordo'!F$2:F$746,"DESLOCAMENTO CARREGADO"),0)</f>
        <v>0</v>
      </c>
      <c r="U935" s="10">
        <f>IFERROR(SUMIFS('Base bordo'!I$2:I$746,'Base bordo'!C$2:C$746,A935,'Base bordo'!B$2:B$746,B935,'Base bordo'!F$2:F$746,"DESLOCAMENTO CARREGADO"),0)</f>
        <v>0</v>
      </c>
      <c r="V935" s="30" t="str">
        <f t="shared" si="98"/>
        <v/>
      </c>
      <c r="W935" s="9">
        <f t="shared" si="99"/>
        <v>7.195808267028915E-2</v>
      </c>
      <c r="X935" s="9">
        <f t="shared" si="100"/>
        <v>0</v>
      </c>
      <c r="Y935" s="9">
        <f t="shared" si="101"/>
        <v>0.92804191732971086</v>
      </c>
    </row>
    <row r="936" spans="1:25" ht="15" customHeight="1" x14ac:dyDescent="0.35">
      <c r="A936" s="52">
        <v>8013481</v>
      </c>
      <c r="B936" s="51">
        <v>46119</v>
      </c>
      <c r="C936" s="7" t="s">
        <v>124</v>
      </c>
      <c r="D936" s="10">
        <f>IFERROR(SUMIFS('Base bordo'!G$2:G$746,'Base bordo'!C$2:C$746,A936,'Base bordo'!B$2:B$746,B936,'Base bordo'!F$2:F$746,"DESLOCAMENTO VAZIO"),0)</f>
        <v>1.5449999999999999</v>
      </c>
      <c r="E936" s="10">
        <f>IFERROR(SUMIFS('Base bordo'!G$2:G$746,'Base bordo'!C$2:C$746,A936,'Base bordo'!B$2:B$746,B936,'Base bordo'!F$2:F$746,"DESLOCAMENTO CARREGADO"),0)</f>
        <v>0</v>
      </c>
      <c r="F936" s="10">
        <f>IFERROR(SUMIFS('Base bordo'!G$2:G$746,'Base bordo'!C$2:C$746,A936,'Base bordo'!B$2:B$746,B936,'Base bordo'!F$2:F$746,"DESLOCAMENTO"),0)</f>
        <v>0</v>
      </c>
      <c r="G936" s="10">
        <f>IFERROR(SUMIFS('Base bordo'!G$2:G$746,'Base bordo'!C$2:C$746,A936,'Base bordo'!B$2:B$746,B936,'Base bordo'!F$2:F$746,"CARREGAMENTO"),0)</f>
        <v>0</v>
      </c>
      <c r="H936" s="10">
        <f>IFERROR(SUMIFS('Base bordo'!G$2:G$746,'Base bordo'!C$2:C$746,A936,'Base bordo'!B$2:B$746,B936,'Base bordo'!F$2:F$746,"AGUARDANDO TRANSBORDO"),0)</f>
        <v>0.85944444444444446</v>
      </c>
      <c r="I936" s="10">
        <f>IFERROR(SUMIFS('Base bordo'!G$2:G$746,'Base bordo'!C$2:C$746,A936,'Base bordo'!B$2:B$746,B936,'Base bordo'!F$2:F$746,"PÁTIO INTERNO"),0)+IFERROR(SUMIFS('Base bordo'!G$2:G$746,'Base bordo'!C$2:C$746,A936,'Base bordo'!B$2:B$746,B936,'Base bordo'!F$2:F$746,"PÁTIO EXTERNO"),0)+IFERROR(SUMIFS('Base bordo'!G$2:G$746,'Base bordo'!C$2:C$746,A936,'Base bordo'!B$2:B$746,B936,'Base bordo'!F$2:F$746,"PATIO - RESERVA"),0)+IFERROR(SUMIFS('Base bordo'!G$2:G$746,'Base bordo'!C$2:C$746,A936,'Base bordo'!B$2:B$746,B936,'Base bordo'!F$2:F$746,"MANOBRA CARRETAS-PATIO"),0)</f>
        <v>19.031666666666666</v>
      </c>
      <c r="J936" s="10">
        <f>IFERROR(SUMIFS('Base bordo'!G$2:G$746,'Base bordo'!C$2:C$746,A936,'Base bordo'!B$2:B$746,B936,'Base bordo'!F$2:F$746,"BALANÇA - ENTRADA"),0)+IFERROR(SUMIFS('Base bordo'!G$2:G$746,'Base bordo'!C$2:C$746,A936,'Base bordo'!B$2:B$746,B936,'Base bordo'!F$2:F$746,"BALANÇA - SAÍDA"),0)</f>
        <v>3.4722222222222224E-2</v>
      </c>
      <c r="K936" s="10">
        <f>IFERROR(SUMIFS('Base bordo'!G$2:G$746,'Base bordo'!C$2:C$746,A936,'Base bordo'!B$2:B$746,B936,'Base bordo'!F$2:F$746,"MAN PREVENTIVA - MECANICA"),0)+IFERROR(SUMIFS('Base bordo'!G$2:G$746,'Base bordo'!C$2:C$746,A936,'Base bordo'!B$2:B$746,B936,'Base bordo'!F$2:F$746,"MAN CORRETIVA - MECANICA"),0)</f>
        <v>0</v>
      </c>
      <c r="L936" s="10">
        <f>IFERROR(SUMIFS('Base bordo'!G$2:G$746,'Base bordo'!C$2:C$746,A936,'Base bordo'!B$2:B$746,B936,'Base bordo'!F$2:F$746,"MANUTENCAO - T O"),0)+IFERROR(SUMIFS('Base bordo'!G$2:G$746,'Base bordo'!C$2:C$746,A936,'Base bordo'!B$2:B$746,B936,'Base bordo'!F$2:F$746,"MANUTENCAO BORRACHARIA"),0)+IFERROR(SUMIFS('Base bordo'!G$2:G$746,'Base bordo'!C$2:C$746,A936,'Base bordo'!B$2:B$746,B936,'Base bordo'!F$2:F$746,"MANUTENCAO EXTERNA  CONCESSIONARIA"),0)+IFERROR(SUMIFS('Base bordo'!G$2:G$746,'Base bordo'!C$2:C$746,A936,'Base bordo'!B$2:B$746,B936,'Base bordo'!F$2:F$746,"MANUTENCAO TELEMETRIA"),0)</f>
        <v>0</v>
      </c>
      <c r="M936" s="10">
        <f>IFERROR(SUMIFS('Base bordo'!G$2:G$746,'Base bordo'!C$2:C$746,A936,'Base bordo'!B$2:B$746,B936,'Base bordo'!F$2:F$746,"AGUARDANDO MANUTENCAO"),0)</f>
        <v>0</v>
      </c>
      <c r="N936" s="10">
        <f>IFERROR(SUMIFS('Base bordo'!G$2:G$746,'Base bordo'!C$2:C$746,A936,'Base bordo'!B$2:B$746,B936,'Base bordo'!F$2:F$746,"SEM APONTAMENTO"),0)</f>
        <v>0</v>
      </c>
      <c r="O936" s="10">
        <f t="shared" si="96"/>
        <v>0</v>
      </c>
      <c r="P936" s="10">
        <f>IFERROR(SUMIFS('Base bordo'!G$2:G$746,'Base bordo'!C$2:C$746,A936,'Base bordo'!B$2:B$746,B936),0)</f>
        <v>21.470833333333331</v>
      </c>
      <c r="Q936" s="10">
        <f>IFERROR(SUMIFS('Base bordo'!H$2:H$746,'Base bordo'!C$2:C$746,A936,'Base bordo'!B$2:B$746,B936,'Base bordo'!F$2:F$746,"DESLOCAMENTO VAZIO"),0)</f>
        <v>180874.72000000003</v>
      </c>
      <c r="R936" s="10">
        <f>IFERROR(SUMIFS('Base bordo'!I$2:I$746,'Base bordo'!C$2:C$746,A936,'Base bordo'!B$2:B$746,B936,'Base bordo'!F$2:F$746,"DESLOCAMENTO VAZIO"),0)</f>
        <v>5562</v>
      </c>
      <c r="S936" s="30">
        <f t="shared" si="97"/>
        <v>32.519726717008275</v>
      </c>
      <c r="T936" s="10">
        <f>IFERROR(SUMIFS('Base bordo'!H$2:H$746,'Base bordo'!C$2:C$746,A936,'Base bordo'!B$2:B$746,B936,'Base bordo'!F$2:F$746,"DESLOCAMENTO CARREGADO"),0)</f>
        <v>0</v>
      </c>
      <c r="U936" s="10">
        <f>IFERROR(SUMIFS('Base bordo'!I$2:I$746,'Base bordo'!C$2:C$746,A936,'Base bordo'!B$2:B$746,B936,'Base bordo'!F$2:F$746,"DESLOCAMENTO CARREGADO"),0)</f>
        <v>0</v>
      </c>
      <c r="V936" s="30" t="str">
        <f t="shared" si="98"/>
        <v/>
      </c>
      <c r="W936" s="9">
        <f t="shared" si="99"/>
        <v>7.195808267028915E-2</v>
      </c>
      <c r="X936" s="9">
        <f t="shared" si="100"/>
        <v>0</v>
      </c>
      <c r="Y936" s="9">
        <f t="shared" si="101"/>
        <v>0.92804191732971086</v>
      </c>
    </row>
    <row r="937" spans="1:25" ht="15" customHeight="1" x14ac:dyDescent="0.35">
      <c r="A937" s="52">
        <v>8013481</v>
      </c>
      <c r="B937" s="51">
        <v>46119</v>
      </c>
      <c r="C937" s="7" t="s">
        <v>124</v>
      </c>
      <c r="D937" s="10">
        <f>IFERROR(SUMIFS('Base bordo'!G$2:G$746,'Base bordo'!C$2:C$746,A937,'Base bordo'!B$2:B$746,B937,'Base bordo'!F$2:F$746,"DESLOCAMENTO VAZIO"),0)</f>
        <v>1.5449999999999999</v>
      </c>
      <c r="E937" s="10">
        <f>IFERROR(SUMIFS('Base bordo'!G$2:G$746,'Base bordo'!C$2:C$746,A937,'Base bordo'!B$2:B$746,B937,'Base bordo'!F$2:F$746,"DESLOCAMENTO CARREGADO"),0)</f>
        <v>0</v>
      </c>
      <c r="F937" s="10">
        <f>IFERROR(SUMIFS('Base bordo'!G$2:G$746,'Base bordo'!C$2:C$746,A937,'Base bordo'!B$2:B$746,B937,'Base bordo'!F$2:F$746,"DESLOCAMENTO"),0)</f>
        <v>0</v>
      </c>
      <c r="G937" s="10">
        <f>IFERROR(SUMIFS('Base bordo'!G$2:G$746,'Base bordo'!C$2:C$746,A937,'Base bordo'!B$2:B$746,B937,'Base bordo'!F$2:F$746,"CARREGAMENTO"),0)</f>
        <v>0</v>
      </c>
      <c r="H937" s="10">
        <f>IFERROR(SUMIFS('Base bordo'!G$2:G$746,'Base bordo'!C$2:C$746,A937,'Base bordo'!B$2:B$746,B937,'Base bordo'!F$2:F$746,"AGUARDANDO TRANSBORDO"),0)</f>
        <v>0.85944444444444446</v>
      </c>
      <c r="I937" s="10">
        <f>IFERROR(SUMIFS('Base bordo'!G$2:G$746,'Base bordo'!C$2:C$746,A937,'Base bordo'!B$2:B$746,B937,'Base bordo'!F$2:F$746,"PÁTIO INTERNO"),0)+IFERROR(SUMIFS('Base bordo'!G$2:G$746,'Base bordo'!C$2:C$746,A937,'Base bordo'!B$2:B$746,B937,'Base bordo'!F$2:F$746,"PÁTIO EXTERNO"),0)+IFERROR(SUMIFS('Base bordo'!G$2:G$746,'Base bordo'!C$2:C$746,A937,'Base bordo'!B$2:B$746,B937,'Base bordo'!F$2:F$746,"PATIO - RESERVA"),0)+IFERROR(SUMIFS('Base bordo'!G$2:G$746,'Base bordo'!C$2:C$746,A937,'Base bordo'!B$2:B$746,B937,'Base bordo'!F$2:F$746,"MANOBRA CARRETAS-PATIO"),0)</f>
        <v>19.031666666666666</v>
      </c>
      <c r="J937" s="10">
        <f>IFERROR(SUMIFS('Base bordo'!G$2:G$746,'Base bordo'!C$2:C$746,A937,'Base bordo'!B$2:B$746,B937,'Base bordo'!F$2:F$746,"BALANÇA - ENTRADA"),0)+IFERROR(SUMIFS('Base bordo'!G$2:G$746,'Base bordo'!C$2:C$746,A937,'Base bordo'!B$2:B$746,B937,'Base bordo'!F$2:F$746,"BALANÇA - SAÍDA"),0)</f>
        <v>3.4722222222222224E-2</v>
      </c>
      <c r="K937" s="10">
        <f>IFERROR(SUMIFS('Base bordo'!G$2:G$746,'Base bordo'!C$2:C$746,A937,'Base bordo'!B$2:B$746,B937,'Base bordo'!F$2:F$746,"MAN PREVENTIVA - MECANICA"),0)+IFERROR(SUMIFS('Base bordo'!G$2:G$746,'Base bordo'!C$2:C$746,A937,'Base bordo'!B$2:B$746,B937,'Base bordo'!F$2:F$746,"MAN CORRETIVA - MECANICA"),0)</f>
        <v>0</v>
      </c>
      <c r="L937" s="10">
        <f>IFERROR(SUMIFS('Base bordo'!G$2:G$746,'Base bordo'!C$2:C$746,A937,'Base bordo'!B$2:B$746,B937,'Base bordo'!F$2:F$746,"MANUTENCAO - T O"),0)+IFERROR(SUMIFS('Base bordo'!G$2:G$746,'Base bordo'!C$2:C$746,A937,'Base bordo'!B$2:B$746,B937,'Base bordo'!F$2:F$746,"MANUTENCAO BORRACHARIA"),0)+IFERROR(SUMIFS('Base bordo'!G$2:G$746,'Base bordo'!C$2:C$746,A937,'Base bordo'!B$2:B$746,B937,'Base bordo'!F$2:F$746,"MANUTENCAO EXTERNA  CONCESSIONARIA"),0)+IFERROR(SUMIFS('Base bordo'!G$2:G$746,'Base bordo'!C$2:C$746,A937,'Base bordo'!B$2:B$746,B937,'Base bordo'!F$2:F$746,"MANUTENCAO TELEMETRIA"),0)</f>
        <v>0</v>
      </c>
      <c r="M937" s="10">
        <f>IFERROR(SUMIFS('Base bordo'!G$2:G$746,'Base bordo'!C$2:C$746,A937,'Base bordo'!B$2:B$746,B937,'Base bordo'!F$2:F$746,"AGUARDANDO MANUTENCAO"),0)</f>
        <v>0</v>
      </c>
      <c r="N937" s="10">
        <f>IFERROR(SUMIFS('Base bordo'!G$2:G$746,'Base bordo'!C$2:C$746,A937,'Base bordo'!B$2:B$746,B937,'Base bordo'!F$2:F$746,"SEM APONTAMENTO"),0)</f>
        <v>0</v>
      </c>
      <c r="O937" s="10">
        <f t="shared" si="96"/>
        <v>0</v>
      </c>
      <c r="P937" s="10">
        <f>IFERROR(SUMIFS('Base bordo'!G$2:G$746,'Base bordo'!C$2:C$746,A937,'Base bordo'!B$2:B$746,B937),0)</f>
        <v>21.470833333333331</v>
      </c>
      <c r="Q937" s="10">
        <f>IFERROR(SUMIFS('Base bordo'!H$2:H$746,'Base bordo'!C$2:C$746,A937,'Base bordo'!B$2:B$746,B937,'Base bordo'!F$2:F$746,"DESLOCAMENTO VAZIO"),0)</f>
        <v>180874.72000000003</v>
      </c>
      <c r="R937" s="10">
        <f>IFERROR(SUMIFS('Base bordo'!I$2:I$746,'Base bordo'!C$2:C$746,A937,'Base bordo'!B$2:B$746,B937,'Base bordo'!F$2:F$746,"DESLOCAMENTO VAZIO"),0)</f>
        <v>5562</v>
      </c>
      <c r="S937" s="30">
        <f t="shared" si="97"/>
        <v>32.519726717008275</v>
      </c>
      <c r="T937" s="10">
        <f>IFERROR(SUMIFS('Base bordo'!H$2:H$746,'Base bordo'!C$2:C$746,A937,'Base bordo'!B$2:B$746,B937,'Base bordo'!F$2:F$746,"DESLOCAMENTO CARREGADO"),0)</f>
        <v>0</v>
      </c>
      <c r="U937" s="10">
        <f>IFERROR(SUMIFS('Base bordo'!I$2:I$746,'Base bordo'!C$2:C$746,A937,'Base bordo'!B$2:B$746,B937,'Base bordo'!F$2:F$746,"DESLOCAMENTO CARREGADO"),0)</f>
        <v>0</v>
      </c>
      <c r="V937" s="30" t="str">
        <f t="shared" si="98"/>
        <v/>
      </c>
      <c r="W937" s="9">
        <f t="shared" si="99"/>
        <v>7.195808267028915E-2</v>
      </c>
      <c r="X937" s="9">
        <f t="shared" si="100"/>
        <v>0</v>
      </c>
      <c r="Y937" s="9">
        <f t="shared" si="101"/>
        <v>0.92804191732971086</v>
      </c>
    </row>
    <row r="938" spans="1:25" ht="15" customHeight="1" x14ac:dyDescent="0.35">
      <c r="A938" s="52">
        <v>8013482</v>
      </c>
      <c r="B938" s="51">
        <v>46119</v>
      </c>
      <c r="C938" s="7" t="s">
        <v>124</v>
      </c>
      <c r="D938" s="10">
        <f>IFERROR(SUMIFS('Base bordo'!G$2:G$746,'Base bordo'!C$2:C$746,A938,'Base bordo'!B$2:B$746,B938,'Base bordo'!F$2:F$746,"DESLOCAMENTO VAZIO"),0)</f>
        <v>0.10249999999999999</v>
      </c>
      <c r="E938" s="10">
        <f>IFERROR(SUMIFS('Base bordo'!G$2:G$746,'Base bordo'!C$2:C$746,A938,'Base bordo'!B$2:B$746,B938,'Base bordo'!F$2:F$746,"DESLOCAMENTO CARREGADO"),0)</f>
        <v>0</v>
      </c>
      <c r="F938" s="10">
        <f>IFERROR(SUMIFS('Base bordo'!G$2:G$746,'Base bordo'!C$2:C$746,A938,'Base bordo'!B$2:B$746,B938,'Base bordo'!F$2:F$746,"DESLOCAMENTO"),0)</f>
        <v>0</v>
      </c>
      <c r="G938" s="10">
        <f>IFERROR(SUMIFS('Base bordo'!G$2:G$746,'Base bordo'!C$2:C$746,A938,'Base bordo'!B$2:B$746,B938,'Base bordo'!F$2:F$746,"CARREGAMENTO"),0)</f>
        <v>0</v>
      </c>
      <c r="H938" s="10">
        <f>IFERROR(SUMIFS('Base bordo'!G$2:G$746,'Base bordo'!C$2:C$746,A938,'Base bordo'!B$2:B$746,B938,'Base bordo'!F$2:F$746,"AGUARDANDO TRANSBORDO"),0)</f>
        <v>0</v>
      </c>
      <c r="I938" s="10">
        <f>IFERROR(SUMIFS('Base bordo'!G$2:G$746,'Base bordo'!C$2:C$746,A938,'Base bordo'!B$2:B$746,B938,'Base bordo'!F$2:F$746,"PÁTIO INTERNO"),0)+IFERROR(SUMIFS('Base bordo'!G$2:G$746,'Base bordo'!C$2:C$746,A938,'Base bordo'!B$2:B$746,B938,'Base bordo'!F$2:F$746,"PÁTIO EXTERNO"),0)+IFERROR(SUMIFS('Base bordo'!G$2:G$746,'Base bordo'!C$2:C$746,A938,'Base bordo'!B$2:B$746,B938,'Base bordo'!F$2:F$746,"PATIO - RESERVA"),0)+IFERROR(SUMIFS('Base bordo'!G$2:G$746,'Base bordo'!C$2:C$746,A938,'Base bordo'!B$2:B$746,B938,'Base bordo'!F$2:F$746,"MANOBRA CARRETAS-PATIO"),0)</f>
        <v>0.68638888888888894</v>
      </c>
      <c r="J938" s="10">
        <f>IFERROR(SUMIFS('Base bordo'!G$2:G$746,'Base bordo'!C$2:C$746,A938,'Base bordo'!B$2:B$746,B938,'Base bordo'!F$2:F$746,"BALANÇA - ENTRADA"),0)+IFERROR(SUMIFS('Base bordo'!G$2:G$746,'Base bordo'!C$2:C$746,A938,'Base bordo'!B$2:B$746,B938,'Base bordo'!F$2:F$746,"BALANÇA - SAÍDA"),0)</f>
        <v>8.3333333333333332E-3</v>
      </c>
      <c r="K938" s="10">
        <f>IFERROR(SUMIFS('Base bordo'!G$2:G$746,'Base bordo'!C$2:C$746,A938,'Base bordo'!B$2:B$746,B938,'Base bordo'!F$2:F$746,"MAN PREVENTIVA - MECANICA"),0)+IFERROR(SUMIFS('Base bordo'!G$2:G$746,'Base bordo'!C$2:C$746,A938,'Base bordo'!B$2:B$746,B938,'Base bordo'!F$2:F$746,"MAN CORRETIVA - MECANICA"),0)</f>
        <v>0</v>
      </c>
      <c r="L938" s="10">
        <f>IFERROR(SUMIFS('Base bordo'!G$2:G$746,'Base bordo'!C$2:C$746,A938,'Base bordo'!B$2:B$746,B938,'Base bordo'!F$2:F$746,"MANUTENCAO - T O"),0)+IFERROR(SUMIFS('Base bordo'!G$2:G$746,'Base bordo'!C$2:C$746,A938,'Base bordo'!B$2:B$746,B938,'Base bordo'!F$2:F$746,"MANUTENCAO BORRACHARIA"),0)+IFERROR(SUMIFS('Base bordo'!G$2:G$746,'Base bordo'!C$2:C$746,A938,'Base bordo'!B$2:B$746,B938,'Base bordo'!F$2:F$746,"MANUTENCAO EXTERNA  CONCESSIONARIA"),0)+IFERROR(SUMIFS('Base bordo'!G$2:G$746,'Base bordo'!C$2:C$746,A938,'Base bordo'!B$2:B$746,B938,'Base bordo'!F$2:F$746,"MANUTENCAO TELEMETRIA"),0)</f>
        <v>0</v>
      </c>
      <c r="M938" s="10">
        <f>IFERROR(SUMIFS('Base bordo'!G$2:G$746,'Base bordo'!C$2:C$746,A938,'Base bordo'!B$2:B$746,B938,'Base bordo'!F$2:F$746,"AGUARDANDO MANUTENCAO"),0)</f>
        <v>0</v>
      </c>
      <c r="N938" s="10">
        <f>IFERROR(SUMIFS('Base bordo'!G$2:G$746,'Base bordo'!C$2:C$746,A938,'Base bordo'!B$2:B$746,B938,'Base bordo'!F$2:F$746,"SEM APONTAMENTO"),0)</f>
        <v>0</v>
      </c>
      <c r="O938" s="10">
        <f t="shared" si="96"/>
        <v>0</v>
      </c>
      <c r="P938" s="10">
        <f>IFERROR(SUMIFS('Base bordo'!G$2:G$746,'Base bordo'!C$2:C$746,A938,'Base bordo'!B$2:B$746,B938),0)</f>
        <v>0.79722222222222228</v>
      </c>
      <c r="Q938" s="10">
        <f>IFERROR(SUMIFS('Base bordo'!H$2:H$746,'Base bordo'!C$2:C$746,A938,'Base bordo'!B$2:B$746,B938,'Base bordo'!F$2:F$746,"DESLOCAMENTO VAZIO"),0)</f>
        <v>4022.1</v>
      </c>
      <c r="R938" s="10">
        <f>IFERROR(SUMIFS('Base bordo'!I$2:I$746,'Base bordo'!C$2:C$746,A938,'Base bordo'!B$2:B$746,B938,'Base bordo'!F$2:F$746,"DESLOCAMENTO VAZIO"),0)</f>
        <v>369</v>
      </c>
      <c r="S938" s="30">
        <f t="shared" si="97"/>
        <v>10.9</v>
      </c>
      <c r="T938" s="10">
        <f>IFERROR(SUMIFS('Base bordo'!H$2:H$746,'Base bordo'!C$2:C$746,A938,'Base bordo'!B$2:B$746,B938,'Base bordo'!F$2:F$746,"DESLOCAMENTO CARREGADO"),0)</f>
        <v>0</v>
      </c>
      <c r="U938" s="10">
        <f>IFERROR(SUMIFS('Base bordo'!I$2:I$746,'Base bordo'!C$2:C$746,A938,'Base bordo'!B$2:B$746,B938,'Base bordo'!F$2:F$746,"DESLOCAMENTO CARREGADO"),0)</f>
        <v>0</v>
      </c>
      <c r="V938" s="30" t="str">
        <f t="shared" si="98"/>
        <v/>
      </c>
      <c r="W938" s="9">
        <f t="shared" si="99"/>
        <v>0.12857142857142856</v>
      </c>
      <c r="X938" s="9">
        <f t="shared" si="100"/>
        <v>0</v>
      </c>
      <c r="Y938" s="9">
        <f t="shared" si="101"/>
        <v>0.87142857142857144</v>
      </c>
    </row>
    <row r="939" spans="1:25" ht="15" customHeight="1" x14ac:dyDescent="0.35">
      <c r="A939" s="52">
        <v>8013482</v>
      </c>
      <c r="B939" s="51">
        <v>46119</v>
      </c>
      <c r="C939" s="7" t="s">
        <v>124</v>
      </c>
      <c r="D939" s="10">
        <f>IFERROR(SUMIFS('Base bordo'!G$2:G$746,'Base bordo'!C$2:C$746,A939,'Base bordo'!B$2:B$746,B939,'Base bordo'!F$2:F$746,"DESLOCAMENTO VAZIO"),0)</f>
        <v>0.10249999999999999</v>
      </c>
      <c r="E939" s="10">
        <f>IFERROR(SUMIFS('Base bordo'!G$2:G$746,'Base bordo'!C$2:C$746,A939,'Base bordo'!B$2:B$746,B939,'Base bordo'!F$2:F$746,"DESLOCAMENTO CARREGADO"),0)</f>
        <v>0</v>
      </c>
      <c r="F939" s="10">
        <f>IFERROR(SUMIFS('Base bordo'!G$2:G$746,'Base bordo'!C$2:C$746,A939,'Base bordo'!B$2:B$746,B939,'Base bordo'!F$2:F$746,"DESLOCAMENTO"),0)</f>
        <v>0</v>
      </c>
      <c r="G939" s="10">
        <f>IFERROR(SUMIFS('Base bordo'!G$2:G$746,'Base bordo'!C$2:C$746,A939,'Base bordo'!B$2:B$746,B939,'Base bordo'!F$2:F$746,"CARREGAMENTO"),0)</f>
        <v>0</v>
      </c>
      <c r="H939" s="10">
        <f>IFERROR(SUMIFS('Base bordo'!G$2:G$746,'Base bordo'!C$2:C$746,A939,'Base bordo'!B$2:B$746,B939,'Base bordo'!F$2:F$746,"AGUARDANDO TRANSBORDO"),0)</f>
        <v>0</v>
      </c>
      <c r="I939" s="10">
        <f>IFERROR(SUMIFS('Base bordo'!G$2:G$746,'Base bordo'!C$2:C$746,A939,'Base bordo'!B$2:B$746,B939,'Base bordo'!F$2:F$746,"PÁTIO INTERNO"),0)+IFERROR(SUMIFS('Base bordo'!G$2:G$746,'Base bordo'!C$2:C$746,A939,'Base bordo'!B$2:B$746,B939,'Base bordo'!F$2:F$746,"PÁTIO EXTERNO"),0)+IFERROR(SUMIFS('Base bordo'!G$2:G$746,'Base bordo'!C$2:C$746,A939,'Base bordo'!B$2:B$746,B939,'Base bordo'!F$2:F$746,"PATIO - RESERVA"),0)+IFERROR(SUMIFS('Base bordo'!G$2:G$746,'Base bordo'!C$2:C$746,A939,'Base bordo'!B$2:B$746,B939,'Base bordo'!F$2:F$746,"MANOBRA CARRETAS-PATIO"),0)</f>
        <v>0.68638888888888894</v>
      </c>
      <c r="J939" s="10">
        <f>IFERROR(SUMIFS('Base bordo'!G$2:G$746,'Base bordo'!C$2:C$746,A939,'Base bordo'!B$2:B$746,B939,'Base bordo'!F$2:F$746,"BALANÇA - ENTRADA"),0)+IFERROR(SUMIFS('Base bordo'!G$2:G$746,'Base bordo'!C$2:C$746,A939,'Base bordo'!B$2:B$746,B939,'Base bordo'!F$2:F$746,"BALANÇA - SAÍDA"),0)</f>
        <v>8.3333333333333332E-3</v>
      </c>
      <c r="K939" s="10">
        <f>IFERROR(SUMIFS('Base bordo'!G$2:G$746,'Base bordo'!C$2:C$746,A939,'Base bordo'!B$2:B$746,B939,'Base bordo'!F$2:F$746,"MAN PREVENTIVA - MECANICA"),0)+IFERROR(SUMIFS('Base bordo'!G$2:G$746,'Base bordo'!C$2:C$746,A939,'Base bordo'!B$2:B$746,B939,'Base bordo'!F$2:F$746,"MAN CORRETIVA - MECANICA"),0)</f>
        <v>0</v>
      </c>
      <c r="L939" s="10">
        <f>IFERROR(SUMIFS('Base bordo'!G$2:G$746,'Base bordo'!C$2:C$746,A939,'Base bordo'!B$2:B$746,B939,'Base bordo'!F$2:F$746,"MANUTENCAO - T O"),0)+IFERROR(SUMIFS('Base bordo'!G$2:G$746,'Base bordo'!C$2:C$746,A939,'Base bordo'!B$2:B$746,B939,'Base bordo'!F$2:F$746,"MANUTENCAO BORRACHARIA"),0)+IFERROR(SUMIFS('Base bordo'!G$2:G$746,'Base bordo'!C$2:C$746,A939,'Base bordo'!B$2:B$746,B939,'Base bordo'!F$2:F$746,"MANUTENCAO EXTERNA  CONCESSIONARIA"),0)+IFERROR(SUMIFS('Base bordo'!G$2:G$746,'Base bordo'!C$2:C$746,A939,'Base bordo'!B$2:B$746,B939,'Base bordo'!F$2:F$746,"MANUTENCAO TELEMETRIA"),0)</f>
        <v>0</v>
      </c>
      <c r="M939" s="10">
        <f>IFERROR(SUMIFS('Base bordo'!G$2:G$746,'Base bordo'!C$2:C$746,A939,'Base bordo'!B$2:B$746,B939,'Base bordo'!F$2:F$746,"AGUARDANDO MANUTENCAO"),0)</f>
        <v>0</v>
      </c>
      <c r="N939" s="10">
        <f>IFERROR(SUMIFS('Base bordo'!G$2:G$746,'Base bordo'!C$2:C$746,A939,'Base bordo'!B$2:B$746,B939,'Base bordo'!F$2:F$746,"SEM APONTAMENTO"),0)</f>
        <v>0</v>
      </c>
      <c r="O939" s="10">
        <f t="shared" si="96"/>
        <v>0</v>
      </c>
      <c r="P939" s="10">
        <f>IFERROR(SUMIFS('Base bordo'!G$2:G$746,'Base bordo'!C$2:C$746,A939,'Base bordo'!B$2:B$746,B939),0)</f>
        <v>0.79722222222222228</v>
      </c>
      <c r="Q939" s="10">
        <f>IFERROR(SUMIFS('Base bordo'!H$2:H$746,'Base bordo'!C$2:C$746,A939,'Base bordo'!B$2:B$746,B939,'Base bordo'!F$2:F$746,"DESLOCAMENTO VAZIO"),0)</f>
        <v>4022.1</v>
      </c>
      <c r="R939" s="10">
        <f>IFERROR(SUMIFS('Base bordo'!I$2:I$746,'Base bordo'!C$2:C$746,A939,'Base bordo'!B$2:B$746,B939,'Base bordo'!F$2:F$746,"DESLOCAMENTO VAZIO"),0)</f>
        <v>369</v>
      </c>
      <c r="S939" s="30">
        <f t="shared" si="97"/>
        <v>10.9</v>
      </c>
      <c r="T939" s="10">
        <f>IFERROR(SUMIFS('Base bordo'!H$2:H$746,'Base bordo'!C$2:C$746,A939,'Base bordo'!B$2:B$746,B939,'Base bordo'!F$2:F$746,"DESLOCAMENTO CARREGADO"),0)</f>
        <v>0</v>
      </c>
      <c r="U939" s="10">
        <f>IFERROR(SUMIFS('Base bordo'!I$2:I$746,'Base bordo'!C$2:C$746,A939,'Base bordo'!B$2:B$746,B939,'Base bordo'!F$2:F$746,"DESLOCAMENTO CARREGADO"),0)</f>
        <v>0</v>
      </c>
      <c r="V939" s="30" t="str">
        <f t="shared" si="98"/>
        <v/>
      </c>
      <c r="W939" s="9">
        <f t="shared" si="99"/>
        <v>0.12857142857142856</v>
      </c>
      <c r="X939" s="9">
        <f t="shared" si="100"/>
        <v>0</v>
      </c>
      <c r="Y939" s="9">
        <f t="shared" si="101"/>
        <v>0.87142857142857144</v>
      </c>
    </row>
    <row r="940" spans="1:25" ht="15" customHeight="1" x14ac:dyDescent="0.35">
      <c r="A940" s="52">
        <v>8013482</v>
      </c>
      <c r="B940" s="51">
        <v>46119</v>
      </c>
      <c r="C940" s="7" t="s">
        <v>124</v>
      </c>
      <c r="D940" s="10">
        <f>IFERROR(SUMIFS('Base bordo'!G$2:G$746,'Base bordo'!C$2:C$746,A940,'Base bordo'!B$2:B$746,B940,'Base bordo'!F$2:F$746,"DESLOCAMENTO VAZIO"),0)</f>
        <v>0.10249999999999999</v>
      </c>
      <c r="E940" s="10">
        <f>IFERROR(SUMIFS('Base bordo'!G$2:G$746,'Base bordo'!C$2:C$746,A940,'Base bordo'!B$2:B$746,B940,'Base bordo'!F$2:F$746,"DESLOCAMENTO CARREGADO"),0)</f>
        <v>0</v>
      </c>
      <c r="F940" s="10">
        <f>IFERROR(SUMIFS('Base bordo'!G$2:G$746,'Base bordo'!C$2:C$746,A940,'Base bordo'!B$2:B$746,B940,'Base bordo'!F$2:F$746,"DESLOCAMENTO"),0)</f>
        <v>0</v>
      </c>
      <c r="G940" s="10">
        <f>IFERROR(SUMIFS('Base bordo'!G$2:G$746,'Base bordo'!C$2:C$746,A940,'Base bordo'!B$2:B$746,B940,'Base bordo'!F$2:F$746,"CARREGAMENTO"),0)</f>
        <v>0</v>
      </c>
      <c r="H940" s="10">
        <f>IFERROR(SUMIFS('Base bordo'!G$2:G$746,'Base bordo'!C$2:C$746,A940,'Base bordo'!B$2:B$746,B940,'Base bordo'!F$2:F$746,"AGUARDANDO TRANSBORDO"),0)</f>
        <v>0</v>
      </c>
      <c r="I940" s="10">
        <f>IFERROR(SUMIFS('Base bordo'!G$2:G$746,'Base bordo'!C$2:C$746,A940,'Base bordo'!B$2:B$746,B940,'Base bordo'!F$2:F$746,"PÁTIO INTERNO"),0)+IFERROR(SUMIFS('Base bordo'!G$2:G$746,'Base bordo'!C$2:C$746,A940,'Base bordo'!B$2:B$746,B940,'Base bordo'!F$2:F$746,"PÁTIO EXTERNO"),0)+IFERROR(SUMIFS('Base bordo'!G$2:G$746,'Base bordo'!C$2:C$746,A940,'Base bordo'!B$2:B$746,B940,'Base bordo'!F$2:F$746,"PATIO - RESERVA"),0)+IFERROR(SUMIFS('Base bordo'!G$2:G$746,'Base bordo'!C$2:C$746,A940,'Base bordo'!B$2:B$746,B940,'Base bordo'!F$2:F$746,"MANOBRA CARRETAS-PATIO"),0)</f>
        <v>0.68638888888888894</v>
      </c>
      <c r="J940" s="10">
        <f>IFERROR(SUMIFS('Base bordo'!G$2:G$746,'Base bordo'!C$2:C$746,A940,'Base bordo'!B$2:B$746,B940,'Base bordo'!F$2:F$746,"BALANÇA - ENTRADA"),0)+IFERROR(SUMIFS('Base bordo'!G$2:G$746,'Base bordo'!C$2:C$746,A940,'Base bordo'!B$2:B$746,B940,'Base bordo'!F$2:F$746,"BALANÇA - SAÍDA"),0)</f>
        <v>8.3333333333333332E-3</v>
      </c>
      <c r="K940" s="10">
        <f>IFERROR(SUMIFS('Base bordo'!G$2:G$746,'Base bordo'!C$2:C$746,A940,'Base bordo'!B$2:B$746,B940,'Base bordo'!F$2:F$746,"MAN PREVENTIVA - MECANICA"),0)+IFERROR(SUMIFS('Base bordo'!G$2:G$746,'Base bordo'!C$2:C$746,A940,'Base bordo'!B$2:B$746,B940,'Base bordo'!F$2:F$746,"MAN CORRETIVA - MECANICA"),0)</f>
        <v>0</v>
      </c>
      <c r="L940" s="10">
        <f>IFERROR(SUMIFS('Base bordo'!G$2:G$746,'Base bordo'!C$2:C$746,A940,'Base bordo'!B$2:B$746,B940,'Base bordo'!F$2:F$746,"MANUTENCAO - T O"),0)+IFERROR(SUMIFS('Base bordo'!G$2:G$746,'Base bordo'!C$2:C$746,A940,'Base bordo'!B$2:B$746,B940,'Base bordo'!F$2:F$746,"MANUTENCAO BORRACHARIA"),0)+IFERROR(SUMIFS('Base bordo'!G$2:G$746,'Base bordo'!C$2:C$746,A940,'Base bordo'!B$2:B$746,B940,'Base bordo'!F$2:F$746,"MANUTENCAO EXTERNA  CONCESSIONARIA"),0)+IFERROR(SUMIFS('Base bordo'!G$2:G$746,'Base bordo'!C$2:C$746,A940,'Base bordo'!B$2:B$746,B940,'Base bordo'!F$2:F$746,"MANUTENCAO TELEMETRIA"),0)</f>
        <v>0</v>
      </c>
      <c r="M940" s="10">
        <f>IFERROR(SUMIFS('Base bordo'!G$2:G$746,'Base bordo'!C$2:C$746,A940,'Base bordo'!B$2:B$746,B940,'Base bordo'!F$2:F$746,"AGUARDANDO MANUTENCAO"),0)</f>
        <v>0</v>
      </c>
      <c r="N940" s="10">
        <f>IFERROR(SUMIFS('Base bordo'!G$2:G$746,'Base bordo'!C$2:C$746,A940,'Base bordo'!B$2:B$746,B940,'Base bordo'!F$2:F$746,"SEM APONTAMENTO"),0)</f>
        <v>0</v>
      </c>
      <c r="O940" s="10">
        <f t="shared" si="96"/>
        <v>0</v>
      </c>
      <c r="P940" s="10">
        <f>IFERROR(SUMIFS('Base bordo'!G$2:G$746,'Base bordo'!C$2:C$746,A940,'Base bordo'!B$2:B$746,B940),0)</f>
        <v>0.79722222222222228</v>
      </c>
      <c r="Q940" s="10">
        <f>IFERROR(SUMIFS('Base bordo'!H$2:H$746,'Base bordo'!C$2:C$746,A940,'Base bordo'!B$2:B$746,B940,'Base bordo'!F$2:F$746,"DESLOCAMENTO VAZIO"),0)</f>
        <v>4022.1</v>
      </c>
      <c r="R940" s="10">
        <f>IFERROR(SUMIFS('Base bordo'!I$2:I$746,'Base bordo'!C$2:C$746,A940,'Base bordo'!B$2:B$746,B940,'Base bordo'!F$2:F$746,"DESLOCAMENTO VAZIO"),0)</f>
        <v>369</v>
      </c>
      <c r="S940" s="30">
        <f t="shared" si="97"/>
        <v>10.9</v>
      </c>
      <c r="T940" s="10">
        <f>IFERROR(SUMIFS('Base bordo'!H$2:H$746,'Base bordo'!C$2:C$746,A940,'Base bordo'!B$2:B$746,B940,'Base bordo'!F$2:F$746,"DESLOCAMENTO CARREGADO"),0)</f>
        <v>0</v>
      </c>
      <c r="U940" s="10">
        <f>IFERROR(SUMIFS('Base bordo'!I$2:I$746,'Base bordo'!C$2:C$746,A940,'Base bordo'!B$2:B$746,B940,'Base bordo'!F$2:F$746,"DESLOCAMENTO CARREGADO"),0)</f>
        <v>0</v>
      </c>
      <c r="V940" s="30" t="str">
        <f t="shared" si="98"/>
        <v/>
      </c>
      <c r="W940" s="9">
        <f t="shared" si="99"/>
        <v>0.12857142857142856</v>
      </c>
      <c r="X940" s="9">
        <f t="shared" si="100"/>
        <v>0</v>
      </c>
      <c r="Y940" s="9">
        <f t="shared" si="101"/>
        <v>0.87142857142857144</v>
      </c>
    </row>
    <row r="941" spans="1:25" ht="15" customHeight="1" x14ac:dyDescent="0.35">
      <c r="A941" s="52">
        <v>8013482</v>
      </c>
      <c r="B941" s="51">
        <v>46119</v>
      </c>
      <c r="C941" s="7" t="s">
        <v>124</v>
      </c>
      <c r="D941" s="10">
        <f>IFERROR(SUMIFS('Base bordo'!G$2:G$746,'Base bordo'!C$2:C$746,A941,'Base bordo'!B$2:B$746,B941,'Base bordo'!F$2:F$746,"DESLOCAMENTO VAZIO"),0)</f>
        <v>0.10249999999999999</v>
      </c>
      <c r="E941" s="10">
        <f>IFERROR(SUMIFS('Base bordo'!G$2:G$746,'Base bordo'!C$2:C$746,A941,'Base bordo'!B$2:B$746,B941,'Base bordo'!F$2:F$746,"DESLOCAMENTO CARREGADO"),0)</f>
        <v>0</v>
      </c>
      <c r="F941" s="10">
        <f>IFERROR(SUMIFS('Base bordo'!G$2:G$746,'Base bordo'!C$2:C$746,A941,'Base bordo'!B$2:B$746,B941,'Base bordo'!F$2:F$746,"DESLOCAMENTO"),0)</f>
        <v>0</v>
      </c>
      <c r="G941" s="10">
        <f>IFERROR(SUMIFS('Base bordo'!G$2:G$746,'Base bordo'!C$2:C$746,A941,'Base bordo'!B$2:B$746,B941,'Base bordo'!F$2:F$746,"CARREGAMENTO"),0)</f>
        <v>0</v>
      </c>
      <c r="H941" s="10">
        <f>IFERROR(SUMIFS('Base bordo'!G$2:G$746,'Base bordo'!C$2:C$746,A941,'Base bordo'!B$2:B$746,B941,'Base bordo'!F$2:F$746,"AGUARDANDO TRANSBORDO"),0)</f>
        <v>0</v>
      </c>
      <c r="I941" s="10">
        <f>IFERROR(SUMIFS('Base bordo'!G$2:G$746,'Base bordo'!C$2:C$746,A941,'Base bordo'!B$2:B$746,B941,'Base bordo'!F$2:F$746,"PÁTIO INTERNO"),0)+IFERROR(SUMIFS('Base bordo'!G$2:G$746,'Base bordo'!C$2:C$746,A941,'Base bordo'!B$2:B$746,B941,'Base bordo'!F$2:F$746,"PÁTIO EXTERNO"),0)+IFERROR(SUMIFS('Base bordo'!G$2:G$746,'Base bordo'!C$2:C$746,A941,'Base bordo'!B$2:B$746,B941,'Base bordo'!F$2:F$746,"PATIO - RESERVA"),0)+IFERROR(SUMIFS('Base bordo'!G$2:G$746,'Base bordo'!C$2:C$746,A941,'Base bordo'!B$2:B$746,B941,'Base bordo'!F$2:F$746,"MANOBRA CARRETAS-PATIO"),0)</f>
        <v>0.68638888888888894</v>
      </c>
      <c r="J941" s="10">
        <f>IFERROR(SUMIFS('Base bordo'!G$2:G$746,'Base bordo'!C$2:C$746,A941,'Base bordo'!B$2:B$746,B941,'Base bordo'!F$2:F$746,"BALANÇA - ENTRADA"),0)+IFERROR(SUMIFS('Base bordo'!G$2:G$746,'Base bordo'!C$2:C$746,A941,'Base bordo'!B$2:B$746,B941,'Base bordo'!F$2:F$746,"BALANÇA - SAÍDA"),0)</f>
        <v>8.3333333333333332E-3</v>
      </c>
      <c r="K941" s="10">
        <f>IFERROR(SUMIFS('Base bordo'!G$2:G$746,'Base bordo'!C$2:C$746,A941,'Base bordo'!B$2:B$746,B941,'Base bordo'!F$2:F$746,"MAN PREVENTIVA - MECANICA"),0)+IFERROR(SUMIFS('Base bordo'!G$2:G$746,'Base bordo'!C$2:C$746,A941,'Base bordo'!B$2:B$746,B941,'Base bordo'!F$2:F$746,"MAN CORRETIVA - MECANICA"),0)</f>
        <v>0</v>
      </c>
      <c r="L941" s="10">
        <f>IFERROR(SUMIFS('Base bordo'!G$2:G$746,'Base bordo'!C$2:C$746,A941,'Base bordo'!B$2:B$746,B941,'Base bordo'!F$2:F$746,"MANUTENCAO - T O"),0)+IFERROR(SUMIFS('Base bordo'!G$2:G$746,'Base bordo'!C$2:C$746,A941,'Base bordo'!B$2:B$746,B941,'Base bordo'!F$2:F$746,"MANUTENCAO BORRACHARIA"),0)+IFERROR(SUMIFS('Base bordo'!G$2:G$746,'Base bordo'!C$2:C$746,A941,'Base bordo'!B$2:B$746,B941,'Base bordo'!F$2:F$746,"MANUTENCAO EXTERNA  CONCESSIONARIA"),0)+IFERROR(SUMIFS('Base bordo'!G$2:G$746,'Base bordo'!C$2:C$746,A941,'Base bordo'!B$2:B$746,B941,'Base bordo'!F$2:F$746,"MANUTENCAO TELEMETRIA"),0)</f>
        <v>0</v>
      </c>
      <c r="M941" s="10">
        <f>IFERROR(SUMIFS('Base bordo'!G$2:G$746,'Base bordo'!C$2:C$746,A941,'Base bordo'!B$2:B$746,B941,'Base bordo'!F$2:F$746,"AGUARDANDO MANUTENCAO"),0)</f>
        <v>0</v>
      </c>
      <c r="N941" s="10">
        <f>IFERROR(SUMIFS('Base bordo'!G$2:G$746,'Base bordo'!C$2:C$746,A941,'Base bordo'!B$2:B$746,B941,'Base bordo'!F$2:F$746,"SEM APONTAMENTO"),0)</f>
        <v>0</v>
      </c>
      <c r="O941" s="10">
        <f t="shared" si="96"/>
        <v>0</v>
      </c>
      <c r="P941" s="10">
        <f>IFERROR(SUMIFS('Base bordo'!G$2:G$746,'Base bordo'!C$2:C$746,A941,'Base bordo'!B$2:B$746,B941),0)</f>
        <v>0.79722222222222228</v>
      </c>
      <c r="Q941" s="10">
        <f>IFERROR(SUMIFS('Base bordo'!H$2:H$746,'Base bordo'!C$2:C$746,A941,'Base bordo'!B$2:B$746,B941,'Base bordo'!F$2:F$746,"DESLOCAMENTO VAZIO"),0)</f>
        <v>4022.1</v>
      </c>
      <c r="R941" s="10">
        <f>IFERROR(SUMIFS('Base bordo'!I$2:I$746,'Base bordo'!C$2:C$746,A941,'Base bordo'!B$2:B$746,B941,'Base bordo'!F$2:F$746,"DESLOCAMENTO VAZIO"),0)</f>
        <v>369</v>
      </c>
      <c r="S941" s="30">
        <f t="shared" si="97"/>
        <v>10.9</v>
      </c>
      <c r="T941" s="10">
        <f>IFERROR(SUMIFS('Base bordo'!H$2:H$746,'Base bordo'!C$2:C$746,A941,'Base bordo'!B$2:B$746,B941,'Base bordo'!F$2:F$746,"DESLOCAMENTO CARREGADO"),0)</f>
        <v>0</v>
      </c>
      <c r="U941" s="10">
        <f>IFERROR(SUMIFS('Base bordo'!I$2:I$746,'Base bordo'!C$2:C$746,A941,'Base bordo'!B$2:B$746,B941,'Base bordo'!F$2:F$746,"DESLOCAMENTO CARREGADO"),0)</f>
        <v>0</v>
      </c>
      <c r="V941" s="30" t="str">
        <f t="shared" si="98"/>
        <v/>
      </c>
      <c r="W941" s="9">
        <f t="shared" si="99"/>
        <v>0.12857142857142856</v>
      </c>
      <c r="X941" s="9">
        <f t="shared" si="100"/>
        <v>0</v>
      </c>
      <c r="Y941" s="9">
        <f t="shared" si="101"/>
        <v>0.87142857142857144</v>
      </c>
    </row>
    <row r="942" spans="1:25" ht="15" customHeight="1" x14ac:dyDescent="0.35">
      <c r="A942" s="52">
        <v>8013482</v>
      </c>
      <c r="B942" s="51">
        <v>46119</v>
      </c>
      <c r="C942" s="7" t="s">
        <v>124</v>
      </c>
      <c r="D942" s="10">
        <f>IFERROR(SUMIFS('Base bordo'!G$2:G$746,'Base bordo'!C$2:C$746,A942,'Base bordo'!B$2:B$746,B942,'Base bordo'!F$2:F$746,"DESLOCAMENTO VAZIO"),0)</f>
        <v>0.10249999999999999</v>
      </c>
      <c r="E942" s="10">
        <f>IFERROR(SUMIFS('Base bordo'!G$2:G$746,'Base bordo'!C$2:C$746,A942,'Base bordo'!B$2:B$746,B942,'Base bordo'!F$2:F$746,"DESLOCAMENTO CARREGADO"),0)</f>
        <v>0</v>
      </c>
      <c r="F942" s="10">
        <f>IFERROR(SUMIFS('Base bordo'!G$2:G$746,'Base bordo'!C$2:C$746,A942,'Base bordo'!B$2:B$746,B942,'Base bordo'!F$2:F$746,"DESLOCAMENTO"),0)</f>
        <v>0</v>
      </c>
      <c r="G942" s="10">
        <f>IFERROR(SUMIFS('Base bordo'!G$2:G$746,'Base bordo'!C$2:C$746,A942,'Base bordo'!B$2:B$746,B942,'Base bordo'!F$2:F$746,"CARREGAMENTO"),0)</f>
        <v>0</v>
      </c>
      <c r="H942" s="10">
        <f>IFERROR(SUMIFS('Base bordo'!G$2:G$746,'Base bordo'!C$2:C$746,A942,'Base bordo'!B$2:B$746,B942,'Base bordo'!F$2:F$746,"AGUARDANDO TRANSBORDO"),0)</f>
        <v>0</v>
      </c>
      <c r="I942" s="10">
        <f>IFERROR(SUMIFS('Base bordo'!G$2:G$746,'Base bordo'!C$2:C$746,A942,'Base bordo'!B$2:B$746,B942,'Base bordo'!F$2:F$746,"PÁTIO INTERNO"),0)+IFERROR(SUMIFS('Base bordo'!G$2:G$746,'Base bordo'!C$2:C$746,A942,'Base bordo'!B$2:B$746,B942,'Base bordo'!F$2:F$746,"PÁTIO EXTERNO"),0)+IFERROR(SUMIFS('Base bordo'!G$2:G$746,'Base bordo'!C$2:C$746,A942,'Base bordo'!B$2:B$746,B942,'Base bordo'!F$2:F$746,"PATIO - RESERVA"),0)+IFERROR(SUMIFS('Base bordo'!G$2:G$746,'Base bordo'!C$2:C$746,A942,'Base bordo'!B$2:B$746,B942,'Base bordo'!F$2:F$746,"MANOBRA CARRETAS-PATIO"),0)</f>
        <v>0.68638888888888894</v>
      </c>
      <c r="J942" s="10">
        <f>IFERROR(SUMIFS('Base bordo'!G$2:G$746,'Base bordo'!C$2:C$746,A942,'Base bordo'!B$2:B$746,B942,'Base bordo'!F$2:F$746,"BALANÇA - ENTRADA"),0)+IFERROR(SUMIFS('Base bordo'!G$2:G$746,'Base bordo'!C$2:C$746,A942,'Base bordo'!B$2:B$746,B942,'Base bordo'!F$2:F$746,"BALANÇA - SAÍDA"),0)</f>
        <v>8.3333333333333332E-3</v>
      </c>
      <c r="K942" s="10">
        <f>IFERROR(SUMIFS('Base bordo'!G$2:G$746,'Base bordo'!C$2:C$746,A942,'Base bordo'!B$2:B$746,B942,'Base bordo'!F$2:F$746,"MAN PREVENTIVA - MECANICA"),0)+IFERROR(SUMIFS('Base bordo'!G$2:G$746,'Base bordo'!C$2:C$746,A942,'Base bordo'!B$2:B$746,B942,'Base bordo'!F$2:F$746,"MAN CORRETIVA - MECANICA"),0)</f>
        <v>0</v>
      </c>
      <c r="L942" s="10">
        <f>IFERROR(SUMIFS('Base bordo'!G$2:G$746,'Base bordo'!C$2:C$746,A942,'Base bordo'!B$2:B$746,B942,'Base bordo'!F$2:F$746,"MANUTENCAO - T O"),0)+IFERROR(SUMIFS('Base bordo'!G$2:G$746,'Base bordo'!C$2:C$746,A942,'Base bordo'!B$2:B$746,B942,'Base bordo'!F$2:F$746,"MANUTENCAO BORRACHARIA"),0)+IFERROR(SUMIFS('Base bordo'!G$2:G$746,'Base bordo'!C$2:C$746,A942,'Base bordo'!B$2:B$746,B942,'Base bordo'!F$2:F$746,"MANUTENCAO EXTERNA  CONCESSIONARIA"),0)+IFERROR(SUMIFS('Base bordo'!G$2:G$746,'Base bordo'!C$2:C$746,A942,'Base bordo'!B$2:B$746,B942,'Base bordo'!F$2:F$746,"MANUTENCAO TELEMETRIA"),0)</f>
        <v>0</v>
      </c>
      <c r="M942" s="10">
        <f>IFERROR(SUMIFS('Base bordo'!G$2:G$746,'Base bordo'!C$2:C$746,A942,'Base bordo'!B$2:B$746,B942,'Base bordo'!F$2:F$746,"AGUARDANDO MANUTENCAO"),0)</f>
        <v>0</v>
      </c>
      <c r="N942" s="10">
        <f>IFERROR(SUMIFS('Base bordo'!G$2:G$746,'Base bordo'!C$2:C$746,A942,'Base bordo'!B$2:B$746,B942,'Base bordo'!F$2:F$746,"SEM APONTAMENTO"),0)</f>
        <v>0</v>
      </c>
      <c r="O942" s="10">
        <f t="shared" si="96"/>
        <v>0</v>
      </c>
      <c r="P942" s="10">
        <f>IFERROR(SUMIFS('Base bordo'!G$2:G$746,'Base bordo'!C$2:C$746,A942,'Base bordo'!B$2:B$746,B942),0)</f>
        <v>0.79722222222222228</v>
      </c>
      <c r="Q942" s="10">
        <f>IFERROR(SUMIFS('Base bordo'!H$2:H$746,'Base bordo'!C$2:C$746,A942,'Base bordo'!B$2:B$746,B942,'Base bordo'!F$2:F$746,"DESLOCAMENTO VAZIO"),0)</f>
        <v>4022.1</v>
      </c>
      <c r="R942" s="10">
        <f>IFERROR(SUMIFS('Base bordo'!I$2:I$746,'Base bordo'!C$2:C$746,A942,'Base bordo'!B$2:B$746,B942,'Base bordo'!F$2:F$746,"DESLOCAMENTO VAZIO"),0)</f>
        <v>369</v>
      </c>
      <c r="S942" s="30">
        <f t="shared" si="97"/>
        <v>10.9</v>
      </c>
      <c r="T942" s="10">
        <f>IFERROR(SUMIFS('Base bordo'!H$2:H$746,'Base bordo'!C$2:C$746,A942,'Base bordo'!B$2:B$746,B942,'Base bordo'!F$2:F$746,"DESLOCAMENTO CARREGADO"),0)</f>
        <v>0</v>
      </c>
      <c r="U942" s="10">
        <f>IFERROR(SUMIFS('Base bordo'!I$2:I$746,'Base bordo'!C$2:C$746,A942,'Base bordo'!B$2:B$746,B942,'Base bordo'!F$2:F$746,"DESLOCAMENTO CARREGADO"),0)</f>
        <v>0</v>
      </c>
      <c r="V942" s="30" t="str">
        <f t="shared" si="98"/>
        <v/>
      </c>
      <c r="W942" s="9">
        <f t="shared" si="99"/>
        <v>0.12857142857142856</v>
      </c>
      <c r="X942" s="9">
        <f t="shared" si="100"/>
        <v>0</v>
      </c>
      <c r="Y942" s="9">
        <f t="shared" si="101"/>
        <v>0.87142857142857144</v>
      </c>
    </row>
    <row r="943" spans="1:25" ht="15" customHeight="1" x14ac:dyDescent="0.35">
      <c r="A943" s="52">
        <v>8013482</v>
      </c>
      <c r="B943" s="51">
        <v>46119</v>
      </c>
      <c r="C943" s="7" t="s">
        <v>124</v>
      </c>
      <c r="D943" s="10">
        <f>IFERROR(SUMIFS('Base bordo'!G$2:G$746,'Base bordo'!C$2:C$746,A943,'Base bordo'!B$2:B$746,B943,'Base bordo'!F$2:F$746,"DESLOCAMENTO VAZIO"),0)</f>
        <v>0.10249999999999999</v>
      </c>
      <c r="E943" s="10">
        <f>IFERROR(SUMIFS('Base bordo'!G$2:G$746,'Base bordo'!C$2:C$746,A943,'Base bordo'!B$2:B$746,B943,'Base bordo'!F$2:F$746,"DESLOCAMENTO CARREGADO"),0)</f>
        <v>0</v>
      </c>
      <c r="F943" s="10">
        <f>IFERROR(SUMIFS('Base bordo'!G$2:G$746,'Base bordo'!C$2:C$746,A943,'Base bordo'!B$2:B$746,B943,'Base bordo'!F$2:F$746,"DESLOCAMENTO"),0)</f>
        <v>0</v>
      </c>
      <c r="G943" s="10">
        <f>IFERROR(SUMIFS('Base bordo'!G$2:G$746,'Base bordo'!C$2:C$746,A943,'Base bordo'!B$2:B$746,B943,'Base bordo'!F$2:F$746,"CARREGAMENTO"),0)</f>
        <v>0</v>
      </c>
      <c r="H943" s="10">
        <f>IFERROR(SUMIFS('Base bordo'!G$2:G$746,'Base bordo'!C$2:C$746,A943,'Base bordo'!B$2:B$746,B943,'Base bordo'!F$2:F$746,"AGUARDANDO TRANSBORDO"),0)</f>
        <v>0</v>
      </c>
      <c r="I943" s="10">
        <f>IFERROR(SUMIFS('Base bordo'!G$2:G$746,'Base bordo'!C$2:C$746,A943,'Base bordo'!B$2:B$746,B943,'Base bordo'!F$2:F$746,"PÁTIO INTERNO"),0)+IFERROR(SUMIFS('Base bordo'!G$2:G$746,'Base bordo'!C$2:C$746,A943,'Base bordo'!B$2:B$746,B943,'Base bordo'!F$2:F$746,"PÁTIO EXTERNO"),0)+IFERROR(SUMIFS('Base bordo'!G$2:G$746,'Base bordo'!C$2:C$746,A943,'Base bordo'!B$2:B$746,B943,'Base bordo'!F$2:F$746,"PATIO - RESERVA"),0)+IFERROR(SUMIFS('Base bordo'!G$2:G$746,'Base bordo'!C$2:C$746,A943,'Base bordo'!B$2:B$746,B943,'Base bordo'!F$2:F$746,"MANOBRA CARRETAS-PATIO"),0)</f>
        <v>0.68638888888888894</v>
      </c>
      <c r="J943" s="10">
        <f>IFERROR(SUMIFS('Base bordo'!G$2:G$746,'Base bordo'!C$2:C$746,A943,'Base bordo'!B$2:B$746,B943,'Base bordo'!F$2:F$746,"BALANÇA - ENTRADA"),0)+IFERROR(SUMIFS('Base bordo'!G$2:G$746,'Base bordo'!C$2:C$746,A943,'Base bordo'!B$2:B$746,B943,'Base bordo'!F$2:F$746,"BALANÇA - SAÍDA"),0)</f>
        <v>8.3333333333333332E-3</v>
      </c>
      <c r="K943" s="10">
        <f>IFERROR(SUMIFS('Base bordo'!G$2:G$746,'Base bordo'!C$2:C$746,A943,'Base bordo'!B$2:B$746,B943,'Base bordo'!F$2:F$746,"MAN PREVENTIVA - MECANICA"),0)+IFERROR(SUMIFS('Base bordo'!G$2:G$746,'Base bordo'!C$2:C$746,A943,'Base bordo'!B$2:B$746,B943,'Base bordo'!F$2:F$746,"MAN CORRETIVA - MECANICA"),0)</f>
        <v>0</v>
      </c>
      <c r="L943" s="10">
        <f>IFERROR(SUMIFS('Base bordo'!G$2:G$746,'Base bordo'!C$2:C$746,A943,'Base bordo'!B$2:B$746,B943,'Base bordo'!F$2:F$746,"MANUTENCAO - T O"),0)+IFERROR(SUMIFS('Base bordo'!G$2:G$746,'Base bordo'!C$2:C$746,A943,'Base bordo'!B$2:B$746,B943,'Base bordo'!F$2:F$746,"MANUTENCAO BORRACHARIA"),0)+IFERROR(SUMIFS('Base bordo'!G$2:G$746,'Base bordo'!C$2:C$746,A943,'Base bordo'!B$2:B$746,B943,'Base bordo'!F$2:F$746,"MANUTENCAO EXTERNA  CONCESSIONARIA"),0)+IFERROR(SUMIFS('Base bordo'!G$2:G$746,'Base bordo'!C$2:C$746,A943,'Base bordo'!B$2:B$746,B943,'Base bordo'!F$2:F$746,"MANUTENCAO TELEMETRIA"),0)</f>
        <v>0</v>
      </c>
      <c r="M943" s="10">
        <f>IFERROR(SUMIFS('Base bordo'!G$2:G$746,'Base bordo'!C$2:C$746,A943,'Base bordo'!B$2:B$746,B943,'Base bordo'!F$2:F$746,"AGUARDANDO MANUTENCAO"),0)</f>
        <v>0</v>
      </c>
      <c r="N943" s="10">
        <f>IFERROR(SUMIFS('Base bordo'!G$2:G$746,'Base bordo'!C$2:C$746,A943,'Base bordo'!B$2:B$746,B943,'Base bordo'!F$2:F$746,"SEM APONTAMENTO"),0)</f>
        <v>0</v>
      </c>
      <c r="O943" s="10">
        <f t="shared" si="96"/>
        <v>0</v>
      </c>
      <c r="P943" s="10">
        <f>IFERROR(SUMIFS('Base bordo'!G$2:G$746,'Base bordo'!C$2:C$746,A943,'Base bordo'!B$2:B$746,B943),0)</f>
        <v>0.79722222222222228</v>
      </c>
      <c r="Q943" s="10">
        <f>IFERROR(SUMIFS('Base bordo'!H$2:H$746,'Base bordo'!C$2:C$746,A943,'Base bordo'!B$2:B$746,B943,'Base bordo'!F$2:F$746,"DESLOCAMENTO VAZIO"),0)</f>
        <v>4022.1</v>
      </c>
      <c r="R943" s="10">
        <f>IFERROR(SUMIFS('Base bordo'!I$2:I$746,'Base bordo'!C$2:C$746,A943,'Base bordo'!B$2:B$746,B943,'Base bordo'!F$2:F$746,"DESLOCAMENTO VAZIO"),0)</f>
        <v>369</v>
      </c>
      <c r="S943" s="30">
        <f t="shared" si="97"/>
        <v>10.9</v>
      </c>
      <c r="T943" s="10">
        <f>IFERROR(SUMIFS('Base bordo'!H$2:H$746,'Base bordo'!C$2:C$746,A943,'Base bordo'!B$2:B$746,B943,'Base bordo'!F$2:F$746,"DESLOCAMENTO CARREGADO"),0)</f>
        <v>0</v>
      </c>
      <c r="U943" s="10">
        <f>IFERROR(SUMIFS('Base bordo'!I$2:I$746,'Base bordo'!C$2:C$746,A943,'Base bordo'!B$2:B$746,B943,'Base bordo'!F$2:F$746,"DESLOCAMENTO CARREGADO"),0)</f>
        <v>0</v>
      </c>
      <c r="V943" s="30" t="str">
        <f t="shared" si="98"/>
        <v/>
      </c>
      <c r="W943" s="9">
        <f t="shared" si="99"/>
        <v>0.12857142857142856</v>
      </c>
      <c r="X943" s="9">
        <f t="shared" si="100"/>
        <v>0</v>
      </c>
      <c r="Y943" s="9">
        <f t="shared" si="101"/>
        <v>0.87142857142857144</v>
      </c>
    </row>
    <row r="944" spans="1:25" ht="15" customHeight="1" x14ac:dyDescent="0.35">
      <c r="A944" s="52">
        <v>8013482</v>
      </c>
      <c r="B944" s="51">
        <v>46119</v>
      </c>
      <c r="C944" s="7" t="s">
        <v>124</v>
      </c>
      <c r="D944" s="10">
        <f>IFERROR(SUMIFS('Base bordo'!G$2:G$746,'Base bordo'!C$2:C$746,A944,'Base bordo'!B$2:B$746,B944,'Base bordo'!F$2:F$746,"DESLOCAMENTO VAZIO"),0)</f>
        <v>0.10249999999999999</v>
      </c>
      <c r="E944" s="10">
        <f>IFERROR(SUMIFS('Base bordo'!G$2:G$746,'Base bordo'!C$2:C$746,A944,'Base bordo'!B$2:B$746,B944,'Base bordo'!F$2:F$746,"DESLOCAMENTO CARREGADO"),0)</f>
        <v>0</v>
      </c>
      <c r="F944" s="10">
        <f>IFERROR(SUMIFS('Base bordo'!G$2:G$746,'Base bordo'!C$2:C$746,A944,'Base bordo'!B$2:B$746,B944,'Base bordo'!F$2:F$746,"DESLOCAMENTO"),0)</f>
        <v>0</v>
      </c>
      <c r="G944" s="10">
        <f>IFERROR(SUMIFS('Base bordo'!G$2:G$746,'Base bordo'!C$2:C$746,A944,'Base bordo'!B$2:B$746,B944,'Base bordo'!F$2:F$746,"CARREGAMENTO"),0)</f>
        <v>0</v>
      </c>
      <c r="H944" s="10">
        <f>IFERROR(SUMIFS('Base bordo'!G$2:G$746,'Base bordo'!C$2:C$746,A944,'Base bordo'!B$2:B$746,B944,'Base bordo'!F$2:F$746,"AGUARDANDO TRANSBORDO"),0)</f>
        <v>0</v>
      </c>
      <c r="I944" s="10">
        <f>IFERROR(SUMIFS('Base bordo'!G$2:G$746,'Base bordo'!C$2:C$746,A944,'Base bordo'!B$2:B$746,B944,'Base bordo'!F$2:F$746,"PÁTIO INTERNO"),0)+IFERROR(SUMIFS('Base bordo'!G$2:G$746,'Base bordo'!C$2:C$746,A944,'Base bordo'!B$2:B$746,B944,'Base bordo'!F$2:F$746,"PÁTIO EXTERNO"),0)+IFERROR(SUMIFS('Base bordo'!G$2:G$746,'Base bordo'!C$2:C$746,A944,'Base bordo'!B$2:B$746,B944,'Base bordo'!F$2:F$746,"PATIO - RESERVA"),0)+IFERROR(SUMIFS('Base bordo'!G$2:G$746,'Base bordo'!C$2:C$746,A944,'Base bordo'!B$2:B$746,B944,'Base bordo'!F$2:F$746,"MANOBRA CARRETAS-PATIO"),0)</f>
        <v>0.68638888888888894</v>
      </c>
      <c r="J944" s="10">
        <f>IFERROR(SUMIFS('Base bordo'!G$2:G$746,'Base bordo'!C$2:C$746,A944,'Base bordo'!B$2:B$746,B944,'Base bordo'!F$2:F$746,"BALANÇA - ENTRADA"),0)+IFERROR(SUMIFS('Base bordo'!G$2:G$746,'Base bordo'!C$2:C$746,A944,'Base bordo'!B$2:B$746,B944,'Base bordo'!F$2:F$746,"BALANÇA - SAÍDA"),0)</f>
        <v>8.3333333333333332E-3</v>
      </c>
      <c r="K944" s="10">
        <f>IFERROR(SUMIFS('Base bordo'!G$2:G$746,'Base bordo'!C$2:C$746,A944,'Base bordo'!B$2:B$746,B944,'Base bordo'!F$2:F$746,"MAN PREVENTIVA - MECANICA"),0)+IFERROR(SUMIFS('Base bordo'!G$2:G$746,'Base bordo'!C$2:C$746,A944,'Base bordo'!B$2:B$746,B944,'Base bordo'!F$2:F$746,"MAN CORRETIVA - MECANICA"),0)</f>
        <v>0</v>
      </c>
      <c r="L944" s="10">
        <f>IFERROR(SUMIFS('Base bordo'!G$2:G$746,'Base bordo'!C$2:C$746,A944,'Base bordo'!B$2:B$746,B944,'Base bordo'!F$2:F$746,"MANUTENCAO - T O"),0)+IFERROR(SUMIFS('Base bordo'!G$2:G$746,'Base bordo'!C$2:C$746,A944,'Base bordo'!B$2:B$746,B944,'Base bordo'!F$2:F$746,"MANUTENCAO BORRACHARIA"),0)+IFERROR(SUMIFS('Base bordo'!G$2:G$746,'Base bordo'!C$2:C$746,A944,'Base bordo'!B$2:B$746,B944,'Base bordo'!F$2:F$746,"MANUTENCAO EXTERNA  CONCESSIONARIA"),0)+IFERROR(SUMIFS('Base bordo'!G$2:G$746,'Base bordo'!C$2:C$746,A944,'Base bordo'!B$2:B$746,B944,'Base bordo'!F$2:F$746,"MANUTENCAO TELEMETRIA"),0)</f>
        <v>0</v>
      </c>
      <c r="M944" s="10">
        <f>IFERROR(SUMIFS('Base bordo'!G$2:G$746,'Base bordo'!C$2:C$746,A944,'Base bordo'!B$2:B$746,B944,'Base bordo'!F$2:F$746,"AGUARDANDO MANUTENCAO"),0)</f>
        <v>0</v>
      </c>
      <c r="N944" s="10">
        <f>IFERROR(SUMIFS('Base bordo'!G$2:G$746,'Base bordo'!C$2:C$746,A944,'Base bordo'!B$2:B$746,B944,'Base bordo'!F$2:F$746,"SEM APONTAMENTO"),0)</f>
        <v>0</v>
      </c>
      <c r="O944" s="10">
        <f t="shared" si="96"/>
        <v>0</v>
      </c>
      <c r="P944" s="10">
        <f>IFERROR(SUMIFS('Base bordo'!G$2:G$746,'Base bordo'!C$2:C$746,A944,'Base bordo'!B$2:B$746,B944),0)</f>
        <v>0.79722222222222228</v>
      </c>
      <c r="Q944" s="10">
        <f>IFERROR(SUMIFS('Base bordo'!H$2:H$746,'Base bordo'!C$2:C$746,A944,'Base bordo'!B$2:B$746,B944,'Base bordo'!F$2:F$746,"DESLOCAMENTO VAZIO"),0)</f>
        <v>4022.1</v>
      </c>
      <c r="R944" s="10">
        <f>IFERROR(SUMIFS('Base bordo'!I$2:I$746,'Base bordo'!C$2:C$746,A944,'Base bordo'!B$2:B$746,B944,'Base bordo'!F$2:F$746,"DESLOCAMENTO VAZIO"),0)</f>
        <v>369</v>
      </c>
      <c r="S944" s="30">
        <f t="shared" si="97"/>
        <v>10.9</v>
      </c>
      <c r="T944" s="10">
        <f>IFERROR(SUMIFS('Base bordo'!H$2:H$746,'Base bordo'!C$2:C$746,A944,'Base bordo'!B$2:B$746,B944,'Base bordo'!F$2:F$746,"DESLOCAMENTO CARREGADO"),0)</f>
        <v>0</v>
      </c>
      <c r="U944" s="10">
        <f>IFERROR(SUMIFS('Base bordo'!I$2:I$746,'Base bordo'!C$2:C$746,A944,'Base bordo'!B$2:B$746,B944,'Base bordo'!F$2:F$746,"DESLOCAMENTO CARREGADO"),0)</f>
        <v>0</v>
      </c>
      <c r="V944" s="30" t="str">
        <f t="shared" si="98"/>
        <v/>
      </c>
      <c r="W944" s="9">
        <f t="shared" si="99"/>
        <v>0.12857142857142856</v>
      </c>
      <c r="X944" s="9">
        <f t="shared" si="100"/>
        <v>0</v>
      </c>
      <c r="Y944" s="9">
        <f t="shared" si="101"/>
        <v>0.87142857142857144</v>
      </c>
    </row>
    <row r="945" spans="1:25" ht="15" customHeight="1" x14ac:dyDescent="0.35">
      <c r="A945" s="52">
        <v>8013484</v>
      </c>
      <c r="B945" s="51">
        <v>46119</v>
      </c>
      <c r="C945" s="7" t="s">
        <v>124</v>
      </c>
      <c r="D945" s="10">
        <f>IFERROR(SUMIFS('Base bordo'!G$2:G$746,'Base bordo'!C$2:C$746,A945,'Base bordo'!B$2:B$746,B945,'Base bordo'!F$2:F$746,"DESLOCAMENTO VAZIO"),0)</f>
        <v>1.3769444444444445</v>
      </c>
      <c r="E945" s="10">
        <f>IFERROR(SUMIFS('Base bordo'!G$2:G$746,'Base bordo'!C$2:C$746,A945,'Base bordo'!B$2:B$746,B945,'Base bordo'!F$2:F$746,"DESLOCAMENTO CARREGADO"),0)</f>
        <v>0</v>
      </c>
      <c r="F945" s="10">
        <f>IFERROR(SUMIFS('Base bordo'!G$2:G$746,'Base bordo'!C$2:C$746,A945,'Base bordo'!B$2:B$746,B945,'Base bordo'!F$2:F$746,"DESLOCAMENTO"),0)</f>
        <v>0</v>
      </c>
      <c r="G945" s="10">
        <f>IFERROR(SUMIFS('Base bordo'!G$2:G$746,'Base bordo'!C$2:C$746,A945,'Base bordo'!B$2:B$746,B945,'Base bordo'!F$2:F$746,"CARREGAMENTO"),0)</f>
        <v>0</v>
      </c>
      <c r="H945" s="10">
        <f>IFERROR(SUMIFS('Base bordo'!G$2:G$746,'Base bordo'!C$2:C$746,A945,'Base bordo'!B$2:B$746,B945,'Base bordo'!F$2:F$746,"AGUARDANDO TRANSBORDO"),0)</f>
        <v>0</v>
      </c>
      <c r="I945" s="10">
        <f>IFERROR(SUMIFS('Base bordo'!G$2:G$746,'Base bordo'!C$2:C$746,A945,'Base bordo'!B$2:B$746,B945,'Base bordo'!F$2:F$746,"PÁTIO INTERNO"),0)+IFERROR(SUMIFS('Base bordo'!G$2:G$746,'Base bordo'!C$2:C$746,A945,'Base bordo'!B$2:B$746,B945,'Base bordo'!F$2:F$746,"PÁTIO EXTERNO"),0)+IFERROR(SUMIFS('Base bordo'!G$2:G$746,'Base bordo'!C$2:C$746,A945,'Base bordo'!B$2:B$746,B945,'Base bordo'!F$2:F$746,"PATIO - RESERVA"),0)+IFERROR(SUMIFS('Base bordo'!G$2:G$746,'Base bordo'!C$2:C$746,A945,'Base bordo'!B$2:B$746,B945,'Base bordo'!F$2:F$746,"MANOBRA CARRETAS-PATIO"),0)</f>
        <v>1.4436111111111112</v>
      </c>
      <c r="J945" s="10">
        <f>IFERROR(SUMIFS('Base bordo'!G$2:G$746,'Base bordo'!C$2:C$746,A945,'Base bordo'!B$2:B$746,B945,'Base bordo'!F$2:F$746,"BALANÇA - ENTRADA"),0)+IFERROR(SUMIFS('Base bordo'!G$2:G$746,'Base bordo'!C$2:C$746,A945,'Base bordo'!B$2:B$746,B945,'Base bordo'!F$2:F$746,"BALANÇA - SAÍDA"),0)</f>
        <v>1.6111111111111111E-2</v>
      </c>
      <c r="K945" s="10">
        <f>IFERROR(SUMIFS('Base bordo'!G$2:G$746,'Base bordo'!C$2:C$746,A945,'Base bordo'!B$2:B$746,B945,'Base bordo'!F$2:F$746,"MAN PREVENTIVA - MECANICA"),0)+IFERROR(SUMIFS('Base bordo'!G$2:G$746,'Base bordo'!C$2:C$746,A945,'Base bordo'!B$2:B$746,B945,'Base bordo'!F$2:F$746,"MAN CORRETIVA - MECANICA"),0)</f>
        <v>0</v>
      </c>
      <c r="L945" s="10">
        <f>IFERROR(SUMIFS('Base bordo'!G$2:G$746,'Base bordo'!C$2:C$746,A945,'Base bordo'!B$2:B$746,B945,'Base bordo'!F$2:F$746,"MANUTENCAO - T O"),0)+IFERROR(SUMIFS('Base bordo'!G$2:G$746,'Base bordo'!C$2:C$746,A945,'Base bordo'!B$2:B$746,B945,'Base bordo'!F$2:F$746,"MANUTENCAO BORRACHARIA"),0)+IFERROR(SUMIFS('Base bordo'!G$2:G$746,'Base bordo'!C$2:C$746,A945,'Base bordo'!B$2:B$746,B945,'Base bordo'!F$2:F$746,"MANUTENCAO EXTERNA  CONCESSIONARIA"),0)+IFERROR(SUMIFS('Base bordo'!G$2:G$746,'Base bordo'!C$2:C$746,A945,'Base bordo'!B$2:B$746,B945,'Base bordo'!F$2:F$746,"MANUTENCAO TELEMETRIA"),0)</f>
        <v>0</v>
      </c>
      <c r="M945" s="10">
        <f>IFERROR(SUMIFS('Base bordo'!G$2:G$746,'Base bordo'!C$2:C$746,A945,'Base bordo'!B$2:B$746,B945,'Base bordo'!F$2:F$746,"AGUARDANDO MANUTENCAO"),0)</f>
        <v>0</v>
      </c>
      <c r="N945" s="10">
        <f>IFERROR(SUMIFS('Base bordo'!G$2:G$746,'Base bordo'!C$2:C$746,A945,'Base bordo'!B$2:B$746,B945,'Base bordo'!F$2:F$746,"SEM APONTAMENTO"),0)</f>
        <v>0</v>
      </c>
      <c r="O945" s="10">
        <f t="shared" si="96"/>
        <v>0</v>
      </c>
      <c r="P945" s="10">
        <f>IFERROR(SUMIFS('Base bordo'!G$2:G$746,'Base bordo'!C$2:C$746,A945,'Base bordo'!B$2:B$746,B945),0)</f>
        <v>2.8366666666666669</v>
      </c>
      <c r="Q945" s="10">
        <f>IFERROR(SUMIFS('Base bordo'!H$2:H$746,'Base bordo'!C$2:C$746,A945,'Base bordo'!B$2:B$746,B945,'Base bordo'!F$2:F$746,"DESLOCAMENTO VAZIO"),0)</f>
        <v>174540.98</v>
      </c>
      <c r="R945" s="10">
        <f>IFERROR(SUMIFS('Base bordo'!I$2:I$746,'Base bordo'!C$2:C$746,A945,'Base bordo'!B$2:B$746,B945,'Base bordo'!F$2:F$746,"DESLOCAMENTO VAZIO"),0)</f>
        <v>4957</v>
      </c>
      <c r="S945" s="30">
        <f t="shared" si="97"/>
        <v>35.211010691950776</v>
      </c>
      <c r="T945" s="10">
        <f>IFERROR(SUMIFS('Base bordo'!H$2:H$746,'Base bordo'!C$2:C$746,A945,'Base bordo'!B$2:B$746,B945,'Base bordo'!F$2:F$746,"DESLOCAMENTO CARREGADO"),0)</f>
        <v>0</v>
      </c>
      <c r="U945" s="10">
        <f>IFERROR(SUMIFS('Base bordo'!I$2:I$746,'Base bordo'!C$2:C$746,A945,'Base bordo'!B$2:B$746,B945,'Base bordo'!F$2:F$746,"DESLOCAMENTO CARREGADO"),0)</f>
        <v>0</v>
      </c>
      <c r="V945" s="30" t="str">
        <f t="shared" si="98"/>
        <v/>
      </c>
      <c r="W945" s="9">
        <f t="shared" si="99"/>
        <v>0.48540932236584411</v>
      </c>
      <c r="X945" s="9">
        <f t="shared" si="100"/>
        <v>0</v>
      </c>
      <c r="Y945" s="9">
        <f t="shared" si="101"/>
        <v>0.51459067763415589</v>
      </c>
    </row>
    <row r="946" spans="1:25" ht="15" customHeight="1" x14ac:dyDescent="0.35">
      <c r="A946" s="52">
        <v>8013484</v>
      </c>
      <c r="B946" s="51">
        <v>46119</v>
      </c>
      <c r="C946" s="7" t="s">
        <v>124</v>
      </c>
      <c r="D946" s="10">
        <f>IFERROR(SUMIFS('Base bordo'!G$2:G$746,'Base bordo'!C$2:C$746,A946,'Base bordo'!B$2:B$746,B946,'Base bordo'!F$2:F$746,"DESLOCAMENTO VAZIO"),0)</f>
        <v>1.3769444444444445</v>
      </c>
      <c r="E946" s="10">
        <f>IFERROR(SUMIFS('Base bordo'!G$2:G$746,'Base bordo'!C$2:C$746,A946,'Base bordo'!B$2:B$746,B946,'Base bordo'!F$2:F$746,"DESLOCAMENTO CARREGADO"),0)</f>
        <v>0</v>
      </c>
      <c r="F946" s="10">
        <f>IFERROR(SUMIFS('Base bordo'!G$2:G$746,'Base bordo'!C$2:C$746,A946,'Base bordo'!B$2:B$746,B946,'Base bordo'!F$2:F$746,"DESLOCAMENTO"),0)</f>
        <v>0</v>
      </c>
      <c r="G946" s="10">
        <f>IFERROR(SUMIFS('Base bordo'!G$2:G$746,'Base bordo'!C$2:C$746,A946,'Base bordo'!B$2:B$746,B946,'Base bordo'!F$2:F$746,"CARREGAMENTO"),0)</f>
        <v>0</v>
      </c>
      <c r="H946" s="10">
        <f>IFERROR(SUMIFS('Base bordo'!G$2:G$746,'Base bordo'!C$2:C$746,A946,'Base bordo'!B$2:B$746,B946,'Base bordo'!F$2:F$746,"AGUARDANDO TRANSBORDO"),0)</f>
        <v>0</v>
      </c>
      <c r="I946" s="10">
        <f>IFERROR(SUMIFS('Base bordo'!G$2:G$746,'Base bordo'!C$2:C$746,A946,'Base bordo'!B$2:B$746,B946,'Base bordo'!F$2:F$746,"PÁTIO INTERNO"),0)+IFERROR(SUMIFS('Base bordo'!G$2:G$746,'Base bordo'!C$2:C$746,A946,'Base bordo'!B$2:B$746,B946,'Base bordo'!F$2:F$746,"PÁTIO EXTERNO"),0)+IFERROR(SUMIFS('Base bordo'!G$2:G$746,'Base bordo'!C$2:C$746,A946,'Base bordo'!B$2:B$746,B946,'Base bordo'!F$2:F$746,"PATIO - RESERVA"),0)+IFERROR(SUMIFS('Base bordo'!G$2:G$746,'Base bordo'!C$2:C$746,A946,'Base bordo'!B$2:B$746,B946,'Base bordo'!F$2:F$746,"MANOBRA CARRETAS-PATIO"),0)</f>
        <v>1.4436111111111112</v>
      </c>
      <c r="J946" s="10">
        <f>IFERROR(SUMIFS('Base bordo'!G$2:G$746,'Base bordo'!C$2:C$746,A946,'Base bordo'!B$2:B$746,B946,'Base bordo'!F$2:F$746,"BALANÇA - ENTRADA"),0)+IFERROR(SUMIFS('Base bordo'!G$2:G$746,'Base bordo'!C$2:C$746,A946,'Base bordo'!B$2:B$746,B946,'Base bordo'!F$2:F$746,"BALANÇA - SAÍDA"),0)</f>
        <v>1.6111111111111111E-2</v>
      </c>
      <c r="K946" s="10">
        <f>IFERROR(SUMIFS('Base bordo'!G$2:G$746,'Base bordo'!C$2:C$746,A946,'Base bordo'!B$2:B$746,B946,'Base bordo'!F$2:F$746,"MAN PREVENTIVA - MECANICA"),0)+IFERROR(SUMIFS('Base bordo'!G$2:G$746,'Base bordo'!C$2:C$746,A946,'Base bordo'!B$2:B$746,B946,'Base bordo'!F$2:F$746,"MAN CORRETIVA - MECANICA"),0)</f>
        <v>0</v>
      </c>
      <c r="L946" s="10">
        <f>IFERROR(SUMIFS('Base bordo'!G$2:G$746,'Base bordo'!C$2:C$746,A946,'Base bordo'!B$2:B$746,B946,'Base bordo'!F$2:F$746,"MANUTENCAO - T O"),0)+IFERROR(SUMIFS('Base bordo'!G$2:G$746,'Base bordo'!C$2:C$746,A946,'Base bordo'!B$2:B$746,B946,'Base bordo'!F$2:F$746,"MANUTENCAO BORRACHARIA"),0)+IFERROR(SUMIFS('Base bordo'!G$2:G$746,'Base bordo'!C$2:C$746,A946,'Base bordo'!B$2:B$746,B946,'Base bordo'!F$2:F$746,"MANUTENCAO EXTERNA  CONCESSIONARIA"),0)+IFERROR(SUMIFS('Base bordo'!G$2:G$746,'Base bordo'!C$2:C$746,A946,'Base bordo'!B$2:B$746,B946,'Base bordo'!F$2:F$746,"MANUTENCAO TELEMETRIA"),0)</f>
        <v>0</v>
      </c>
      <c r="M946" s="10">
        <f>IFERROR(SUMIFS('Base bordo'!G$2:G$746,'Base bordo'!C$2:C$746,A946,'Base bordo'!B$2:B$746,B946,'Base bordo'!F$2:F$746,"AGUARDANDO MANUTENCAO"),0)</f>
        <v>0</v>
      </c>
      <c r="N946" s="10">
        <f>IFERROR(SUMIFS('Base bordo'!G$2:G$746,'Base bordo'!C$2:C$746,A946,'Base bordo'!B$2:B$746,B946,'Base bordo'!F$2:F$746,"SEM APONTAMENTO"),0)</f>
        <v>0</v>
      </c>
      <c r="O946" s="10">
        <f t="shared" si="96"/>
        <v>0</v>
      </c>
      <c r="P946" s="10">
        <f>IFERROR(SUMIFS('Base bordo'!G$2:G$746,'Base bordo'!C$2:C$746,A946,'Base bordo'!B$2:B$746,B946),0)</f>
        <v>2.8366666666666669</v>
      </c>
      <c r="Q946" s="10">
        <f>IFERROR(SUMIFS('Base bordo'!H$2:H$746,'Base bordo'!C$2:C$746,A946,'Base bordo'!B$2:B$746,B946,'Base bordo'!F$2:F$746,"DESLOCAMENTO VAZIO"),0)</f>
        <v>174540.98</v>
      </c>
      <c r="R946" s="10">
        <f>IFERROR(SUMIFS('Base bordo'!I$2:I$746,'Base bordo'!C$2:C$746,A946,'Base bordo'!B$2:B$746,B946,'Base bordo'!F$2:F$746,"DESLOCAMENTO VAZIO"),0)</f>
        <v>4957</v>
      </c>
      <c r="S946" s="30">
        <f t="shared" si="97"/>
        <v>35.211010691950776</v>
      </c>
      <c r="T946" s="10">
        <f>IFERROR(SUMIFS('Base bordo'!H$2:H$746,'Base bordo'!C$2:C$746,A946,'Base bordo'!B$2:B$746,B946,'Base bordo'!F$2:F$746,"DESLOCAMENTO CARREGADO"),0)</f>
        <v>0</v>
      </c>
      <c r="U946" s="10">
        <f>IFERROR(SUMIFS('Base bordo'!I$2:I$746,'Base bordo'!C$2:C$746,A946,'Base bordo'!B$2:B$746,B946,'Base bordo'!F$2:F$746,"DESLOCAMENTO CARREGADO"),0)</f>
        <v>0</v>
      </c>
      <c r="V946" s="30" t="str">
        <f t="shared" si="98"/>
        <v/>
      </c>
      <c r="W946" s="9">
        <f t="shared" si="99"/>
        <v>0.48540932236584411</v>
      </c>
      <c r="X946" s="9">
        <f t="shared" si="100"/>
        <v>0</v>
      </c>
      <c r="Y946" s="9">
        <f t="shared" si="101"/>
        <v>0.51459067763415589</v>
      </c>
    </row>
    <row r="947" spans="1:25" ht="15" customHeight="1" x14ac:dyDescent="0.35">
      <c r="A947" s="52">
        <v>8013484</v>
      </c>
      <c r="B947" s="51">
        <v>46119</v>
      </c>
      <c r="C947" s="7" t="s">
        <v>124</v>
      </c>
      <c r="D947" s="10">
        <f>IFERROR(SUMIFS('Base bordo'!G$2:G$746,'Base bordo'!C$2:C$746,A947,'Base bordo'!B$2:B$746,B947,'Base bordo'!F$2:F$746,"DESLOCAMENTO VAZIO"),0)</f>
        <v>1.3769444444444445</v>
      </c>
      <c r="E947" s="10">
        <f>IFERROR(SUMIFS('Base bordo'!G$2:G$746,'Base bordo'!C$2:C$746,A947,'Base bordo'!B$2:B$746,B947,'Base bordo'!F$2:F$746,"DESLOCAMENTO CARREGADO"),0)</f>
        <v>0</v>
      </c>
      <c r="F947" s="10">
        <f>IFERROR(SUMIFS('Base bordo'!G$2:G$746,'Base bordo'!C$2:C$746,A947,'Base bordo'!B$2:B$746,B947,'Base bordo'!F$2:F$746,"DESLOCAMENTO"),0)</f>
        <v>0</v>
      </c>
      <c r="G947" s="10">
        <f>IFERROR(SUMIFS('Base bordo'!G$2:G$746,'Base bordo'!C$2:C$746,A947,'Base bordo'!B$2:B$746,B947,'Base bordo'!F$2:F$746,"CARREGAMENTO"),0)</f>
        <v>0</v>
      </c>
      <c r="H947" s="10">
        <f>IFERROR(SUMIFS('Base bordo'!G$2:G$746,'Base bordo'!C$2:C$746,A947,'Base bordo'!B$2:B$746,B947,'Base bordo'!F$2:F$746,"AGUARDANDO TRANSBORDO"),0)</f>
        <v>0</v>
      </c>
      <c r="I947" s="10">
        <f>IFERROR(SUMIFS('Base bordo'!G$2:G$746,'Base bordo'!C$2:C$746,A947,'Base bordo'!B$2:B$746,B947,'Base bordo'!F$2:F$746,"PÁTIO INTERNO"),0)+IFERROR(SUMIFS('Base bordo'!G$2:G$746,'Base bordo'!C$2:C$746,A947,'Base bordo'!B$2:B$746,B947,'Base bordo'!F$2:F$746,"PÁTIO EXTERNO"),0)+IFERROR(SUMIFS('Base bordo'!G$2:G$746,'Base bordo'!C$2:C$746,A947,'Base bordo'!B$2:B$746,B947,'Base bordo'!F$2:F$746,"PATIO - RESERVA"),0)+IFERROR(SUMIFS('Base bordo'!G$2:G$746,'Base bordo'!C$2:C$746,A947,'Base bordo'!B$2:B$746,B947,'Base bordo'!F$2:F$746,"MANOBRA CARRETAS-PATIO"),0)</f>
        <v>1.4436111111111112</v>
      </c>
      <c r="J947" s="10">
        <f>IFERROR(SUMIFS('Base bordo'!G$2:G$746,'Base bordo'!C$2:C$746,A947,'Base bordo'!B$2:B$746,B947,'Base bordo'!F$2:F$746,"BALANÇA - ENTRADA"),0)+IFERROR(SUMIFS('Base bordo'!G$2:G$746,'Base bordo'!C$2:C$746,A947,'Base bordo'!B$2:B$746,B947,'Base bordo'!F$2:F$746,"BALANÇA - SAÍDA"),0)</f>
        <v>1.6111111111111111E-2</v>
      </c>
      <c r="K947" s="10">
        <f>IFERROR(SUMIFS('Base bordo'!G$2:G$746,'Base bordo'!C$2:C$746,A947,'Base bordo'!B$2:B$746,B947,'Base bordo'!F$2:F$746,"MAN PREVENTIVA - MECANICA"),0)+IFERROR(SUMIFS('Base bordo'!G$2:G$746,'Base bordo'!C$2:C$746,A947,'Base bordo'!B$2:B$746,B947,'Base bordo'!F$2:F$746,"MAN CORRETIVA - MECANICA"),0)</f>
        <v>0</v>
      </c>
      <c r="L947" s="10">
        <f>IFERROR(SUMIFS('Base bordo'!G$2:G$746,'Base bordo'!C$2:C$746,A947,'Base bordo'!B$2:B$746,B947,'Base bordo'!F$2:F$746,"MANUTENCAO - T O"),0)+IFERROR(SUMIFS('Base bordo'!G$2:G$746,'Base bordo'!C$2:C$746,A947,'Base bordo'!B$2:B$746,B947,'Base bordo'!F$2:F$746,"MANUTENCAO BORRACHARIA"),0)+IFERROR(SUMIFS('Base bordo'!G$2:G$746,'Base bordo'!C$2:C$746,A947,'Base bordo'!B$2:B$746,B947,'Base bordo'!F$2:F$746,"MANUTENCAO EXTERNA  CONCESSIONARIA"),0)+IFERROR(SUMIFS('Base bordo'!G$2:G$746,'Base bordo'!C$2:C$746,A947,'Base bordo'!B$2:B$746,B947,'Base bordo'!F$2:F$746,"MANUTENCAO TELEMETRIA"),0)</f>
        <v>0</v>
      </c>
      <c r="M947" s="10">
        <f>IFERROR(SUMIFS('Base bordo'!G$2:G$746,'Base bordo'!C$2:C$746,A947,'Base bordo'!B$2:B$746,B947,'Base bordo'!F$2:F$746,"AGUARDANDO MANUTENCAO"),0)</f>
        <v>0</v>
      </c>
      <c r="N947" s="10">
        <f>IFERROR(SUMIFS('Base bordo'!G$2:G$746,'Base bordo'!C$2:C$746,A947,'Base bordo'!B$2:B$746,B947,'Base bordo'!F$2:F$746,"SEM APONTAMENTO"),0)</f>
        <v>0</v>
      </c>
      <c r="O947" s="10">
        <f t="shared" si="96"/>
        <v>0</v>
      </c>
      <c r="P947" s="10">
        <f>IFERROR(SUMIFS('Base bordo'!G$2:G$746,'Base bordo'!C$2:C$746,A947,'Base bordo'!B$2:B$746,B947),0)</f>
        <v>2.8366666666666669</v>
      </c>
      <c r="Q947" s="10">
        <f>IFERROR(SUMIFS('Base bordo'!H$2:H$746,'Base bordo'!C$2:C$746,A947,'Base bordo'!B$2:B$746,B947,'Base bordo'!F$2:F$746,"DESLOCAMENTO VAZIO"),0)</f>
        <v>174540.98</v>
      </c>
      <c r="R947" s="10">
        <f>IFERROR(SUMIFS('Base bordo'!I$2:I$746,'Base bordo'!C$2:C$746,A947,'Base bordo'!B$2:B$746,B947,'Base bordo'!F$2:F$746,"DESLOCAMENTO VAZIO"),0)</f>
        <v>4957</v>
      </c>
      <c r="S947" s="30">
        <f t="shared" si="97"/>
        <v>35.211010691950776</v>
      </c>
      <c r="T947" s="10">
        <f>IFERROR(SUMIFS('Base bordo'!H$2:H$746,'Base bordo'!C$2:C$746,A947,'Base bordo'!B$2:B$746,B947,'Base bordo'!F$2:F$746,"DESLOCAMENTO CARREGADO"),0)</f>
        <v>0</v>
      </c>
      <c r="U947" s="10">
        <f>IFERROR(SUMIFS('Base bordo'!I$2:I$746,'Base bordo'!C$2:C$746,A947,'Base bordo'!B$2:B$746,B947,'Base bordo'!F$2:F$746,"DESLOCAMENTO CARREGADO"),0)</f>
        <v>0</v>
      </c>
      <c r="V947" s="30" t="str">
        <f t="shared" si="98"/>
        <v/>
      </c>
      <c r="W947" s="9">
        <f t="shared" si="99"/>
        <v>0.48540932236584411</v>
      </c>
      <c r="X947" s="9">
        <f t="shared" si="100"/>
        <v>0</v>
      </c>
      <c r="Y947" s="9">
        <f t="shared" si="101"/>
        <v>0.51459067763415589</v>
      </c>
    </row>
    <row r="948" spans="1:25" ht="15" customHeight="1" x14ac:dyDescent="0.35">
      <c r="A948" s="52">
        <v>8013484</v>
      </c>
      <c r="B948" s="51">
        <v>46119</v>
      </c>
      <c r="C948" s="7" t="s">
        <v>124</v>
      </c>
      <c r="D948" s="10">
        <f>IFERROR(SUMIFS('Base bordo'!G$2:G$746,'Base bordo'!C$2:C$746,A948,'Base bordo'!B$2:B$746,B948,'Base bordo'!F$2:F$746,"DESLOCAMENTO VAZIO"),0)</f>
        <v>1.3769444444444445</v>
      </c>
      <c r="E948" s="10">
        <f>IFERROR(SUMIFS('Base bordo'!G$2:G$746,'Base bordo'!C$2:C$746,A948,'Base bordo'!B$2:B$746,B948,'Base bordo'!F$2:F$746,"DESLOCAMENTO CARREGADO"),0)</f>
        <v>0</v>
      </c>
      <c r="F948" s="10">
        <f>IFERROR(SUMIFS('Base bordo'!G$2:G$746,'Base bordo'!C$2:C$746,A948,'Base bordo'!B$2:B$746,B948,'Base bordo'!F$2:F$746,"DESLOCAMENTO"),0)</f>
        <v>0</v>
      </c>
      <c r="G948" s="10">
        <f>IFERROR(SUMIFS('Base bordo'!G$2:G$746,'Base bordo'!C$2:C$746,A948,'Base bordo'!B$2:B$746,B948,'Base bordo'!F$2:F$746,"CARREGAMENTO"),0)</f>
        <v>0</v>
      </c>
      <c r="H948" s="10">
        <f>IFERROR(SUMIFS('Base bordo'!G$2:G$746,'Base bordo'!C$2:C$746,A948,'Base bordo'!B$2:B$746,B948,'Base bordo'!F$2:F$746,"AGUARDANDO TRANSBORDO"),0)</f>
        <v>0</v>
      </c>
      <c r="I948" s="10">
        <f>IFERROR(SUMIFS('Base bordo'!G$2:G$746,'Base bordo'!C$2:C$746,A948,'Base bordo'!B$2:B$746,B948,'Base bordo'!F$2:F$746,"PÁTIO INTERNO"),0)+IFERROR(SUMIFS('Base bordo'!G$2:G$746,'Base bordo'!C$2:C$746,A948,'Base bordo'!B$2:B$746,B948,'Base bordo'!F$2:F$746,"PÁTIO EXTERNO"),0)+IFERROR(SUMIFS('Base bordo'!G$2:G$746,'Base bordo'!C$2:C$746,A948,'Base bordo'!B$2:B$746,B948,'Base bordo'!F$2:F$746,"PATIO - RESERVA"),0)+IFERROR(SUMIFS('Base bordo'!G$2:G$746,'Base bordo'!C$2:C$746,A948,'Base bordo'!B$2:B$746,B948,'Base bordo'!F$2:F$746,"MANOBRA CARRETAS-PATIO"),0)</f>
        <v>1.4436111111111112</v>
      </c>
      <c r="J948" s="10">
        <f>IFERROR(SUMIFS('Base bordo'!G$2:G$746,'Base bordo'!C$2:C$746,A948,'Base bordo'!B$2:B$746,B948,'Base bordo'!F$2:F$746,"BALANÇA - ENTRADA"),0)+IFERROR(SUMIFS('Base bordo'!G$2:G$746,'Base bordo'!C$2:C$746,A948,'Base bordo'!B$2:B$746,B948,'Base bordo'!F$2:F$746,"BALANÇA - SAÍDA"),0)</f>
        <v>1.6111111111111111E-2</v>
      </c>
      <c r="K948" s="10">
        <f>IFERROR(SUMIFS('Base bordo'!G$2:G$746,'Base bordo'!C$2:C$746,A948,'Base bordo'!B$2:B$746,B948,'Base bordo'!F$2:F$746,"MAN PREVENTIVA - MECANICA"),0)+IFERROR(SUMIFS('Base bordo'!G$2:G$746,'Base bordo'!C$2:C$746,A948,'Base bordo'!B$2:B$746,B948,'Base bordo'!F$2:F$746,"MAN CORRETIVA - MECANICA"),0)</f>
        <v>0</v>
      </c>
      <c r="L948" s="10">
        <f>IFERROR(SUMIFS('Base bordo'!G$2:G$746,'Base bordo'!C$2:C$746,A948,'Base bordo'!B$2:B$746,B948,'Base bordo'!F$2:F$746,"MANUTENCAO - T O"),0)+IFERROR(SUMIFS('Base bordo'!G$2:G$746,'Base bordo'!C$2:C$746,A948,'Base bordo'!B$2:B$746,B948,'Base bordo'!F$2:F$746,"MANUTENCAO BORRACHARIA"),0)+IFERROR(SUMIFS('Base bordo'!G$2:G$746,'Base bordo'!C$2:C$746,A948,'Base bordo'!B$2:B$746,B948,'Base bordo'!F$2:F$746,"MANUTENCAO EXTERNA  CONCESSIONARIA"),0)+IFERROR(SUMIFS('Base bordo'!G$2:G$746,'Base bordo'!C$2:C$746,A948,'Base bordo'!B$2:B$746,B948,'Base bordo'!F$2:F$746,"MANUTENCAO TELEMETRIA"),0)</f>
        <v>0</v>
      </c>
      <c r="M948" s="10">
        <f>IFERROR(SUMIFS('Base bordo'!G$2:G$746,'Base bordo'!C$2:C$746,A948,'Base bordo'!B$2:B$746,B948,'Base bordo'!F$2:F$746,"AGUARDANDO MANUTENCAO"),0)</f>
        <v>0</v>
      </c>
      <c r="N948" s="10">
        <f>IFERROR(SUMIFS('Base bordo'!G$2:G$746,'Base bordo'!C$2:C$746,A948,'Base bordo'!B$2:B$746,B948,'Base bordo'!F$2:F$746,"SEM APONTAMENTO"),0)</f>
        <v>0</v>
      </c>
      <c r="O948" s="10">
        <f t="shared" si="96"/>
        <v>0</v>
      </c>
      <c r="P948" s="10">
        <f>IFERROR(SUMIFS('Base bordo'!G$2:G$746,'Base bordo'!C$2:C$746,A948,'Base bordo'!B$2:B$746,B948),0)</f>
        <v>2.8366666666666669</v>
      </c>
      <c r="Q948" s="10">
        <f>IFERROR(SUMIFS('Base bordo'!H$2:H$746,'Base bordo'!C$2:C$746,A948,'Base bordo'!B$2:B$746,B948,'Base bordo'!F$2:F$746,"DESLOCAMENTO VAZIO"),0)</f>
        <v>174540.98</v>
      </c>
      <c r="R948" s="10">
        <f>IFERROR(SUMIFS('Base bordo'!I$2:I$746,'Base bordo'!C$2:C$746,A948,'Base bordo'!B$2:B$746,B948,'Base bordo'!F$2:F$746,"DESLOCAMENTO VAZIO"),0)</f>
        <v>4957</v>
      </c>
      <c r="S948" s="30">
        <f t="shared" si="97"/>
        <v>35.211010691950776</v>
      </c>
      <c r="T948" s="10">
        <f>IFERROR(SUMIFS('Base bordo'!H$2:H$746,'Base bordo'!C$2:C$746,A948,'Base bordo'!B$2:B$746,B948,'Base bordo'!F$2:F$746,"DESLOCAMENTO CARREGADO"),0)</f>
        <v>0</v>
      </c>
      <c r="U948" s="10">
        <f>IFERROR(SUMIFS('Base bordo'!I$2:I$746,'Base bordo'!C$2:C$746,A948,'Base bordo'!B$2:B$746,B948,'Base bordo'!F$2:F$746,"DESLOCAMENTO CARREGADO"),0)</f>
        <v>0</v>
      </c>
      <c r="V948" s="30" t="str">
        <f t="shared" si="98"/>
        <v/>
      </c>
      <c r="W948" s="9">
        <f t="shared" si="99"/>
        <v>0.48540932236584411</v>
      </c>
      <c r="X948" s="9">
        <f t="shared" si="100"/>
        <v>0</v>
      </c>
      <c r="Y948" s="9">
        <f t="shared" si="101"/>
        <v>0.51459067763415589</v>
      </c>
    </row>
    <row r="949" spans="1:25" ht="15" customHeight="1" x14ac:dyDescent="0.35">
      <c r="A949" s="52">
        <v>8013484</v>
      </c>
      <c r="B949" s="51">
        <v>46119</v>
      </c>
      <c r="C949" s="7" t="s">
        <v>124</v>
      </c>
      <c r="D949" s="10">
        <f>IFERROR(SUMIFS('Base bordo'!G$2:G$746,'Base bordo'!C$2:C$746,A949,'Base bordo'!B$2:B$746,B949,'Base bordo'!F$2:F$746,"DESLOCAMENTO VAZIO"),0)</f>
        <v>1.3769444444444445</v>
      </c>
      <c r="E949" s="10">
        <f>IFERROR(SUMIFS('Base bordo'!G$2:G$746,'Base bordo'!C$2:C$746,A949,'Base bordo'!B$2:B$746,B949,'Base bordo'!F$2:F$746,"DESLOCAMENTO CARREGADO"),0)</f>
        <v>0</v>
      </c>
      <c r="F949" s="10">
        <f>IFERROR(SUMIFS('Base bordo'!G$2:G$746,'Base bordo'!C$2:C$746,A949,'Base bordo'!B$2:B$746,B949,'Base bordo'!F$2:F$746,"DESLOCAMENTO"),0)</f>
        <v>0</v>
      </c>
      <c r="G949" s="10">
        <f>IFERROR(SUMIFS('Base bordo'!G$2:G$746,'Base bordo'!C$2:C$746,A949,'Base bordo'!B$2:B$746,B949,'Base bordo'!F$2:F$746,"CARREGAMENTO"),0)</f>
        <v>0</v>
      </c>
      <c r="H949" s="10">
        <f>IFERROR(SUMIFS('Base bordo'!G$2:G$746,'Base bordo'!C$2:C$746,A949,'Base bordo'!B$2:B$746,B949,'Base bordo'!F$2:F$746,"AGUARDANDO TRANSBORDO"),0)</f>
        <v>0</v>
      </c>
      <c r="I949" s="10">
        <f>IFERROR(SUMIFS('Base bordo'!G$2:G$746,'Base bordo'!C$2:C$746,A949,'Base bordo'!B$2:B$746,B949,'Base bordo'!F$2:F$746,"PÁTIO INTERNO"),0)+IFERROR(SUMIFS('Base bordo'!G$2:G$746,'Base bordo'!C$2:C$746,A949,'Base bordo'!B$2:B$746,B949,'Base bordo'!F$2:F$746,"PÁTIO EXTERNO"),0)+IFERROR(SUMIFS('Base bordo'!G$2:G$746,'Base bordo'!C$2:C$746,A949,'Base bordo'!B$2:B$746,B949,'Base bordo'!F$2:F$746,"PATIO - RESERVA"),0)+IFERROR(SUMIFS('Base bordo'!G$2:G$746,'Base bordo'!C$2:C$746,A949,'Base bordo'!B$2:B$746,B949,'Base bordo'!F$2:F$746,"MANOBRA CARRETAS-PATIO"),0)</f>
        <v>1.4436111111111112</v>
      </c>
      <c r="J949" s="10">
        <f>IFERROR(SUMIFS('Base bordo'!G$2:G$746,'Base bordo'!C$2:C$746,A949,'Base bordo'!B$2:B$746,B949,'Base bordo'!F$2:F$746,"BALANÇA - ENTRADA"),0)+IFERROR(SUMIFS('Base bordo'!G$2:G$746,'Base bordo'!C$2:C$746,A949,'Base bordo'!B$2:B$746,B949,'Base bordo'!F$2:F$746,"BALANÇA - SAÍDA"),0)</f>
        <v>1.6111111111111111E-2</v>
      </c>
      <c r="K949" s="10">
        <f>IFERROR(SUMIFS('Base bordo'!G$2:G$746,'Base bordo'!C$2:C$746,A949,'Base bordo'!B$2:B$746,B949,'Base bordo'!F$2:F$746,"MAN PREVENTIVA - MECANICA"),0)+IFERROR(SUMIFS('Base bordo'!G$2:G$746,'Base bordo'!C$2:C$746,A949,'Base bordo'!B$2:B$746,B949,'Base bordo'!F$2:F$746,"MAN CORRETIVA - MECANICA"),0)</f>
        <v>0</v>
      </c>
      <c r="L949" s="10">
        <f>IFERROR(SUMIFS('Base bordo'!G$2:G$746,'Base bordo'!C$2:C$746,A949,'Base bordo'!B$2:B$746,B949,'Base bordo'!F$2:F$746,"MANUTENCAO - T O"),0)+IFERROR(SUMIFS('Base bordo'!G$2:G$746,'Base bordo'!C$2:C$746,A949,'Base bordo'!B$2:B$746,B949,'Base bordo'!F$2:F$746,"MANUTENCAO BORRACHARIA"),0)+IFERROR(SUMIFS('Base bordo'!G$2:G$746,'Base bordo'!C$2:C$746,A949,'Base bordo'!B$2:B$746,B949,'Base bordo'!F$2:F$746,"MANUTENCAO EXTERNA  CONCESSIONARIA"),0)+IFERROR(SUMIFS('Base bordo'!G$2:G$746,'Base bordo'!C$2:C$746,A949,'Base bordo'!B$2:B$746,B949,'Base bordo'!F$2:F$746,"MANUTENCAO TELEMETRIA"),0)</f>
        <v>0</v>
      </c>
      <c r="M949" s="10">
        <f>IFERROR(SUMIFS('Base bordo'!G$2:G$746,'Base bordo'!C$2:C$746,A949,'Base bordo'!B$2:B$746,B949,'Base bordo'!F$2:F$746,"AGUARDANDO MANUTENCAO"),0)</f>
        <v>0</v>
      </c>
      <c r="N949" s="10">
        <f>IFERROR(SUMIFS('Base bordo'!G$2:G$746,'Base bordo'!C$2:C$746,A949,'Base bordo'!B$2:B$746,B949,'Base bordo'!F$2:F$746,"SEM APONTAMENTO"),0)</f>
        <v>0</v>
      </c>
      <c r="O949" s="10">
        <f t="shared" si="96"/>
        <v>0</v>
      </c>
      <c r="P949" s="10">
        <f>IFERROR(SUMIFS('Base bordo'!G$2:G$746,'Base bordo'!C$2:C$746,A949,'Base bordo'!B$2:B$746,B949),0)</f>
        <v>2.8366666666666669</v>
      </c>
      <c r="Q949" s="10">
        <f>IFERROR(SUMIFS('Base bordo'!H$2:H$746,'Base bordo'!C$2:C$746,A949,'Base bordo'!B$2:B$746,B949,'Base bordo'!F$2:F$746,"DESLOCAMENTO VAZIO"),0)</f>
        <v>174540.98</v>
      </c>
      <c r="R949" s="10">
        <f>IFERROR(SUMIFS('Base bordo'!I$2:I$746,'Base bordo'!C$2:C$746,A949,'Base bordo'!B$2:B$746,B949,'Base bordo'!F$2:F$746,"DESLOCAMENTO VAZIO"),0)</f>
        <v>4957</v>
      </c>
      <c r="S949" s="30">
        <f t="shared" si="97"/>
        <v>35.211010691950776</v>
      </c>
      <c r="T949" s="10">
        <f>IFERROR(SUMIFS('Base bordo'!H$2:H$746,'Base bordo'!C$2:C$746,A949,'Base bordo'!B$2:B$746,B949,'Base bordo'!F$2:F$746,"DESLOCAMENTO CARREGADO"),0)</f>
        <v>0</v>
      </c>
      <c r="U949" s="10">
        <f>IFERROR(SUMIFS('Base bordo'!I$2:I$746,'Base bordo'!C$2:C$746,A949,'Base bordo'!B$2:B$746,B949,'Base bordo'!F$2:F$746,"DESLOCAMENTO CARREGADO"),0)</f>
        <v>0</v>
      </c>
      <c r="V949" s="30" t="str">
        <f t="shared" si="98"/>
        <v/>
      </c>
      <c r="W949" s="9">
        <f t="shared" si="99"/>
        <v>0.48540932236584411</v>
      </c>
      <c r="X949" s="9">
        <f t="shared" si="100"/>
        <v>0</v>
      </c>
      <c r="Y949" s="9">
        <f t="shared" si="101"/>
        <v>0.51459067763415589</v>
      </c>
    </row>
    <row r="950" spans="1:25" ht="15" customHeight="1" x14ac:dyDescent="0.35">
      <c r="A950" s="52">
        <v>8013484</v>
      </c>
      <c r="B950" s="51">
        <v>46119</v>
      </c>
      <c r="C950" s="7" t="s">
        <v>124</v>
      </c>
      <c r="D950" s="10">
        <f>IFERROR(SUMIFS('Base bordo'!G$2:G$746,'Base bordo'!C$2:C$746,A950,'Base bordo'!B$2:B$746,B950,'Base bordo'!F$2:F$746,"DESLOCAMENTO VAZIO"),0)</f>
        <v>1.3769444444444445</v>
      </c>
      <c r="E950" s="10">
        <f>IFERROR(SUMIFS('Base bordo'!G$2:G$746,'Base bordo'!C$2:C$746,A950,'Base bordo'!B$2:B$746,B950,'Base bordo'!F$2:F$746,"DESLOCAMENTO CARREGADO"),0)</f>
        <v>0</v>
      </c>
      <c r="F950" s="10">
        <f>IFERROR(SUMIFS('Base bordo'!G$2:G$746,'Base bordo'!C$2:C$746,A950,'Base bordo'!B$2:B$746,B950,'Base bordo'!F$2:F$746,"DESLOCAMENTO"),0)</f>
        <v>0</v>
      </c>
      <c r="G950" s="10">
        <f>IFERROR(SUMIFS('Base bordo'!G$2:G$746,'Base bordo'!C$2:C$746,A950,'Base bordo'!B$2:B$746,B950,'Base bordo'!F$2:F$746,"CARREGAMENTO"),0)</f>
        <v>0</v>
      </c>
      <c r="H950" s="10">
        <f>IFERROR(SUMIFS('Base bordo'!G$2:G$746,'Base bordo'!C$2:C$746,A950,'Base bordo'!B$2:B$746,B950,'Base bordo'!F$2:F$746,"AGUARDANDO TRANSBORDO"),0)</f>
        <v>0</v>
      </c>
      <c r="I950" s="10">
        <f>IFERROR(SUMIFS('Base bordo'!G$2:G$746,'Base bordo'!C$2:C$746,A950,'Base bordo'!B$2:B$746,B950,'Base bordo'!F$2:F$746,"PÁTIO INTERNO"),0)+IFERROR(SUMIFS('Base bordo'!G$2:G$746,'Base bordo'!C$2:C$746,A950,'Base bordo'!B$2:B$746,B950,'Base bordo'!F$2:F$746,"PÁTIO EXTERNO"),0)+IFERROR(SUMIFS('Base bordo'!G$2:G$746,'Base bordo'!C$2:C$746,A950,'Base bordo'!B$2:B$746,B950,'Base bordo'!F$2:F$746,"PATIO - RESERVA"),0)+IFERROR(SUMIFS('Base bordo'!G$2:G$746,'Base bordo'!C$2:C$746,A950,'Base bordo'!B$2:B$746,B950,'Base bordo'!F$2:F$746,"MANOBRA CARRETAS-PATIO"),0)</f>
        <v>1.4436111111111112</v>
      </c>
      <c r="J950" s="10">
        <f>IFERROR(SUMIFS('Base bordo'!G$2:G$746,'Base bordo'!C$2:C$746,A950,'Base bordo'!B$2:B$746,B950,'Base bordo'!F$2:F$746,"BALANÇA - ENTRADA"),0)+IFERROR(SUMIFS('Base bordo'!G$2:G$746,'Base bordo'!C$2:C$746,A950,'Base bordo'!B$2:B$746,B950,'Base bordo'!F$2:F$746,"BALANÇA - SAÍDA"),0)</f>
        <v>1.6111111111111111E-2</v>
      </c>
      <c r="K950" s="10">
        <f>IFERROR(SUMIFS('Base bordo'!G$2:G$746,'Base bordo'!C$2:C$746,A950,'Base bordo'!B$2:B$746,B950,'Base bordo'!F$2:F$746,"MAN PREVENTIVA - MECANICA"),0)+IFERROR(SUMIFS('Base bordo'!G$2:G$746,'Base bordo'!C$2:C$746,A950,'Base bordo'!B$2:B$746,B950,'Base bordo'!F$2:F$746,"MAN CORRETIVA - MECANICA"),0)</f>
        <v>0</v>
      </c>
      <c r="L950" s="10">
        <f>IFERROR(SUMIFS('Base bordo'!G$2:G$746,'Base bordo'!C$2:C$746,A950,'Base bordo'!B$2:B$746,B950,'Base bordo'!F$2:F$746,"MANUTENCAO - T O"),0)+IFERROR(SUMIFS('Base bordo'!G$2:G$746,'Base bordo'!C$2:C$746,A950,'Base bordo'!B$2:B$746,B950,'Base bordo'!F$2:F$746,"MANUTENCAO BORRACHARIA"),0)+IFERROR(SUMIFS('Base bordo'!G$2:G$746,'Base bordo'!C$2:C$746,A950,'Base bordo'!B$2:B$746,B950,'Base bordo'!F$2:F$746,"MANUTENCAO EXTERNA  CONCESSIONARIA"),0)+IFERROR(SUMIFS('Base bordo'!G$2:G$746,'Base bordo'!C$2:C$746,A950,'Base bordo'!B$2:B$746,B950,'Base bordo'!F$2:F$746,"MANUTENCAO TELEMETRIA"),0)</f>
        <v>0</v>
      </c>
      <c r="M950" s="10">
        <f>IFERROR(SUMIFS('Base bordo'!G$2:G$746,'Base bordo'!C$2:C$746,A950,'Base bordo'!B$2:B$746,B950,'Base bordo'!F$2:F$746,"AGUARDANDO MANUTENCAO"),0)</f>
        <v>0</v>
      </c>
      <c r="N950" s="10">
        <f>IFERROR(SUMIFS('Base bordo'!G$2:G$746,'Base bordo'!C$2:C$746,A950,'Base bordo'!B$2:B$746,B950,'Base bordo'!F$2:F$746,"SEM APONTAMENTO"),0)</f>
        <v>0</v>
      </c>
      <c r="O950" s="10">
        <f t="shared" si="96"/>
        <v>0</v>
      </c>
      <c r="P950" s="10">
        <f>IFERROR(SUMIFS('Base bordo'!G$2:G$746,'Base bordo'!C$2:C$746,A950,'Base bordo'!B$2:B$746,B950),0)</f>
        <v>2.8366666666666669</v>
      </c>
      <c r="Q950" s="10">
        <f>IFERROR(SUMIFS('Base bordo'!H$2:H$746,'Base bordo'!C$2:C$746,A950,'Base bordo'!B$2:B$746,B950,'Base bordo'!F$2:F$746,"DESLOCAMENTO VAZIO"),0)</f>
        <v>174540.98</v>
      </c>
      <c r="R950" s="10">
        <f>IFERROR(SUMIFS('Base bordo'!I$2:I$746,'Base bordo'!C$2:C$746,A950,'Base bordo'!B$2:B$746,B950,'Base bordo'!F$2:F$746,"DESLOCAMENTO VAZIO"),0)</f>
        <v>4957</v>
      </c>
      <c r="S950" s="30">
        <f t="shared" si="97"/>
        <v>35.211010691950776</v>
      </c>
      <c r="T950" s="10">
        <f>IFERROR(SUMIFS('Base bordo'!H$2:H$746,'Base bordo'!C$2:C$746,A950,'Base bordo'!B$2:B$746,B950,'Base bordo'!F$2:F$746,"DESLOCAMENTO CARREGADO"),0)</f>
        <v>0</v>
      </c>
      <c r="U950" s="10">
        <f>IFERROR(SUMIFS('Base bordo'!I$2:I$746,'Base bordo'!C$2:C$746,A950,'Base bordo'!B$2:B$746,B950,'Base bordo'!F$2:F$746,"DESLOCAMENTO CARREGADO"),0)</f>
        <v>0</v>
      </c>
      <c r="V950" s="30" t="str">
        <f t="shared" si="98"/>
        <v/>
      </c>
      <c r="W950" s="9">
        <f t="shared" si="99"/>
        <v>0.48540932236584411</v>
      </c>
      <c r="X950" s="9">
        <f t="shared" si="100"/>
        <v>0</v>
      </c>
      <c r="Y950" s="9">
        <f t="shared" si="101"/>
        <v>0.51459067763415589</v>
      </c>
    </row>
    <row r="951" spans="1:25" ht="15" customHeight="1" x14ac:dyDescent="0.35">
      <c r="A951" s="52">
        <v>8013484</v>
      </c>
      <c r="B951" s="51">
        <v>46119</v>
      </c>
      <c r="C951" s="7" t="s">
        <v>124</v>
      </c>
      <c r="D951" s="10">
        <f>IFERROR(SUMIFS('Base bordo'!G$2:G$746,'Base bordo'!C$2:C$746,A951,'Base bordo'!B$2:B$746,B951,'Base bordo'!F$2:F$746,"DESLOCAMENTO VAZIO"),0)</f>
        <v>1.3769444444444445</v>
      </c>
      <c r="E951" s="10">
        <f>IFERROR(SUMIFS('Base bordo'!G$2:G$746,'Base bordo'!C$2:C$746,A951,'Base bordo'!B$2:B$746,B951,'Base bordo'!F$2:F$746,"DESLOCAMENTO CARREGADO"),0)</f>
        <v>0</v>
      </c>
      <c r="F951" s="10">
        <f>IFERROR(SUMIFS('Base bordo'!G$2:G$746,'Base bordo'!C$2:C$746,A951,'Base bordo'!B$2:B$746,B951,'Base bordo'!F$2:F$746,"DESLOCAMENTO"),0)</f>
        <v>0</v>
      </c>
      <c r="G951" s="10">
        <f>IFERROR(SUMIFS('Base bordo'!G$2:G$746,'Base bordo'!C$2:C$746,A951,'Base bordo'!B$2:B$746,B951,'Base bordo'!F$2:F$746,"CARREGAMENTO"),0)</f>
        <v>0</v>
      </c>
      <c r="H951" s="10">
        <f>IFERROR(SUMIFS('Base bordo'!G$2:G$746,'Base bordo'!C$2:C$746,A951,'Base bordo'!B$2:B$746,B951,'Base bordo'!F$2:F$746,"AGUARDANDO TRANSBORDO"),0)</f>
        <v>0</v>
      </c>
      <c r="I951" s="10">
        <f>IFERROR(SUMIFS('Base bordo'!G$2:G$746,'Base bordo'!C$2:C$746,A951,'Base bordo'!B$2:B$746,B951,'Base bordo'!F$2:F$746,"PÁTIO INTERNO"),0)+IFERROR(SUMIFS('Base bordo'!G$2:G$746,'Base bordo'!C$2:C$746,A951,'Base bordo'!B$2:B$746,B951,'Base bordo'!F$2:F$746,"PÁTIO EXTERNO"),0)+IFERROR(SUMIFS('Base bordo'!G$2:G$746,'Base bordo'!C$2:C$746,A951,'Base bordo'!B$2:B$746,B951,'Base bordo'!F$2:F$746,"PATIO - RESERVA"),0)+IFERROR(SUMIFS('Base bordo'!G$2:G$746,'Base bordo'!C$2:C$746,A951,'Base bordo'!B$2:B$746,B951,'Base bordo'!F$2:F$746,"MANOBRA CARRETAS-PATIO"),0)</f>
        <v>1.4436111111111112</v>
      </c>
      <c r="J951" s="10">
        <f>IFERROR(SUMIFS('Base bordo'!G$2:G$746,'Base bordo'!C$2:C$746,A951,'Base bordo'!B$2:B$746,B951,'Base bordo'!F$2:F$746,"BALANÇA - ENTRADA"),0)+IFERROR(SUMIFS('Base bordo'!G$2:G$746,'Base bordo'!C$2:C$746,A951,'Base bordo'!B$2:B$746,B951,'Base bordo'!F$2:F$746,"BALANÇA - SAÍDA"),0)</f>
        <v>1.6111111111111111E-2</v>
      </c>
      <c r="K951" s="10">
        <f>IFERROR(SUMIFS('Base bordo'!G$2:G$746,'Base bordo'!C$2:C$746,A951,'Base bordo'!B$2:B$746,B951,'Base bordo'!F$2:F$746,"MAN PREVENTIVA - MECANICA"),0)+IFERROR(SUMIFS('Base bordo'!G$2:G$746,'Base bordo'!C$2:C$746,A951,'Base bordo'!B$2:B$746,B951,'Base bordo'!F$2:F$746,"MAN CORRETIVA - MECANICA"),0)</f>
        <v>0</v>
      </c>
      <c r="L951" s="10">
        <f>IFERROR(SUMIFS('Base bordo'!G$2:G$746,'Base bordo'!C$2:C$746,A951,'Base bordo'!B$2:B$746,B951,'Base bordo'!F$2:F$746,"MANUTENCAO - T O"),0)+IFERROR(SUMIFS('Base bordo'!G$2:G$746,'Base bordo'!C$2:C$746,A951,'Base bordo'!B$2:B$746,B951,'Base bordo'!F$2:F$746,"MANUTENCAO BORRACHARIA"),0)+IFERROR(SUMIFS('Base bordo'!G$2:G$746,'Base bordo'!C$2:C$746,A951,'Base bordo'!B$2:B$746,B951,'Base bordo'!F$2:F$746,"MANUTENCAO EXTERNA  CONCESSIONARIA"),0)+IFERROR(SUMIFS('Base bordo'!G$2:G$746,'Base bordo'!C$2:C$746,A951,'Base bordo'!B$2:B$746,B951,'Base bordo'!F$2:F$746,"MANUTENCAO TELEMETRIA"),0)</f>
        <v>0</v>
      </c>
      <c r="M951" s="10">
        <f>IFERROR(SUMIFS('Base bordo'!G$2:G$746,'Base bordo'!C$2:C$746,A951,'Base bordo'!B$2:B$746,B951,'Base bordo'!F$2:F$746,"AGUARDANDO MANUTENCAO"),0)</f>
        <v>0</v>
      </c>
      <c r="N951" s="10">
        <f>IFERROR(SUMIFS('Base bordo'!G$2:G$746,'Base bordo'!C$2:C$746,A951,'Base bordo'!B$2:B$746,B951,'Base bordo'!F$2:F$746,"SEM APONTAMENTO"),0)</f>
        <v>0</v>
      </c>
      <c r="O951" s="10">
        <f t="shared" si="96"/>
        <v>0</v>
      </c>
      <c r="P951" s="10">
        <f>IFERROR(SUMIFS('Base bordo'!G$2:G$746,'Base bordo'!C$2:C$746,A951,'Base bordo'!B$2:B$746,B951),0)</f>
        <v>2.8366666666666669</v>
      </c>
      <c r="Q951" s="10">
        <f>IFERROR(SUMIFS('Base bordo'!H$2:H$746,'Base bordo'!C$2:C$746,A951,'Base bordo'!B$2:B$746,B951,'Base bordo'!F$2:F$746,"DESLOCAMENTO VAZIO"),0)</f>
        <v>174540.98</v>
      </c>
      <c r="R951" s="10">
        <f>IFERROR(SUMIFS('Base bordo'!I$2:I$746,'Base bordo'!C$2:C$746,A951,'Base bordo'!B$2:B$746,B951,'Base bordo'!F$2:F$746,"DESLOCAMENTO VAZIO"),0)</f>
        <v>4957</v>
      </c>
      <c r="S951" s="30">
        <f t="shared" si="97"/>
        <v>35.211010691950776</v>
      </c>
      <c r="T951" s="10">
        <f>IFERROR(SUMIFS('Base bordo'!H$2:H$746,'Base bordo'!C$2:C$746,A951,'Base bordo'!B$2:B$746,B951,'Base bordo'!F$2:F$746,"DESLOCAMENTO CARREGADO"),0)</f>
        <v>0</v>
      </c>
      <c r="U951" s="10">
        <f>IFERROR(SUMIFS('Base bordo'!I$2:I$746,'Base bordo'!C$2:C$746,A951,'Base bordo'!B$2:B$746,B951,'Base bordo'!F$2:F$746,"DESLOCAMENTO CARREGADO"),0)</f>
        <v>0</v>
      </c>
      <c r="V951" s="30" t="str">
        <f t="shared" si="98"/>
        <v/>
      </c>
      <c r="W951" s="9">
        <f t="shared" si="99"/>
        <v>0.48540932236584411</v>
      </c>
      <c r="X951" s="9">
        <f t="shared" si="100"/>
        <v>0</v>
      </c>
      <c r="Y951" s="9">
        <f t="shared" si="101"/>
        <v>0.51459067763415589</v>
      </c>
    </row>
    <row r="952" spans="1:25" ht="15" customHeight="1" x14ac:dyDescent="0.35">
      <c r="A952" s="52">
        <v>8013484</v>
      </c>
      <c r="B952" s="51">
        <v>46119</v>
      </c>
      <c r="C952" s="7" t="s">
        <v>124</v>
      </c>
      <c r="D952" s="10">
        <f>IFERROR(SUMIFS('Base bordo'!G$2:G$746,'Base bordo'!C$2:C$746,A952,'Base bordo'!B$2:B$746,B952,'Base bordo'!F$2:F$746,"DESLOCAMENTO VAZIO"),0)</f>
        <v>1.3769444444444445</v>
      </c>
      <c r="E952" s="10">
        <f>IFERROR(SUMIFS('Base bordo'!G$2:G$746,'Base bordo'!C$2:C$746,A952,'Base bordo'!B$2:B$746,B952,'Base bordo'!F$2:F$746,"DESLOCAMENTO CARREGADO"),0)</f>
        <v>0</v>
      </c>
      <c r="F952" s="10">
        <f>IFERROR(SUMIFS('Base bordo'!G$2:G$746,'Base bordo'!C$2:C$746,A952,'Base bordo'!B$2:B$746,B952,'Base bordo'!F$2:F$746,"DESLOCAMENTO"),0)</f>
        <v>0</v>
      </c>
      <c r="G952" s="10">
        <f>IFERROR(SUMIFS('Base bordo'!G$2:G$746,'Base bordo'!C$2:C$746,A952,'Base bordo'!B$2:B$746,B952,'Base bordo'!F$2:F$746,"CARREGAMENTO"),0)</f>
        <v>0</v>
      </c>
      <c r="H952" s="10">
        <f>IFERROR(SUMIFS('Base bordo'!G$2:G$746,'Base bordo'!C$2:C$746,A952,'Base bordo'!B$2:B$746,B952,'Base bordo'!F$2:F$746,"AGUARDANDO TRANSBORDO"),0)</f>
        <v>0</v>
      </c>
      <c r="I952" s="10">
        <f>IFERROR(SUMIFS('Base bordo'!G$2:G$746,'Base bordo'!C$2:C$746,A952,'Base bordo'!B$2:B$746,B952,'Base bordo'!F$2:F$746,"PÁTIO INTERNO"),0)+IFERROR(SUMIFS('Base bordo'!G$2:G$746,'Base bordo'!C$2:C$746,A952,'Base bordo'!B$2:B$746,B952,'Base bordo'!F$2:F$746,"PÁTIO EXTERNO"),0)+IFERROR(SUMIFS('Base bordo'!G$2:G$746,'Base bordo'!C$2:C$746,A952,'Base bordo'!B$2:B$746,B952,'Base bordo'!F$2:F$746,"PATIO - RESERVA"),0)+IFERROR(SUMIFS('Base bordo'!G$2:G$746,'Base bordo'!C$2:C$746,A952,'Base bordo'!B$2:B$746,B952,'Base bordo'!F$2:F$746,"MANOBRA CARRETAS-PATIO"),0)</f>
        <v>1.4436111111111112</v>
      </c>
      <c r="J952" s="10">
        <f>IFERROR(SUMIFS('Base bordo'!G$2:G$746,'Base bordo'!C$2:C$746,A952,'Base bordo'!B$2:B$746,B952,'Base bordo'!F$2:F$746,"BALANÇA - ENTRADA"),0)+IFERROR(SUMIFS('Base bordo'!G$2:G$746,'Base bordo'!C$2:C$746,A952,'Base bordo'!B$2:B$746,B952,'Base bordo'!F$2:F$746,"BALANÇA - SAÍDA"),0)</f>
        <v>1.6111111111111111E-2</v>
      </c>
      <c r="K952" s="10">
        <f>IFERROR(SUMIFS('Base bordo'!G$2:G$746,'Base bordo'!C$2:C$746,A952,'Base bordo'!B$2:B$746,B952,'Base bordo'!F$2:F$746,"MAN PREVENTIVA - MECANICA"),0)+IFERROR(SUMIFS('Base bordo'!G$2:G$746,'Base bordo'!C$2:C$746,A952,'Base bordo'!B$2:B$746,B952,'Base bordo'!F$2:F$746,"MAN CORRETIVA - MECANICA"),0)</f>
        <v>0</v>
      </c>
      <c r="L952" s="10">
        <f>IFERROR(SUMIFS('Base bordo'!G$2:G$746,'Base bordo'!C$2:C$746,A952,'Base bordo'!B$2:B$746,B952,'Base bordo'!F$2:F$746,"MANUTENCAO - T O"),0)+IFERROR(SUMIFS('Base bordo'!G$2:G$746,'Base bordo'!C$2:C$746,A952,'Base bordo'!B$2:B$746,B952,'Base bordo'!F$2:F$746,"MANUTENCAO BORRACHARIA"),0)+IFERROR(SUMIFS('Base bordo'!G$2:G$746,'Base bordo'!C$2:C$746,A952,'Base bordo'!B$2:B$746,B952,'Base bordo'!F$2:F$746,"MANUTENCAO EXTERNA  CONCESSIONARIA"),0)+IFERROR(SUMIFS('Base bordo'!G$2:G$746,'Base bordo'!C$2:C$746,A952,'Base bordo'!B$2:B$746,B952,'Base bordo'!F$2:F$746,"MANUTENCAO TELEMETRIA"),0)</f>
        <v>0</v>
      </c>
      <c r="M952" s="10">
        <f>IFERROR(SUMIFS('Base bordo'!G$2:G$746,'Base bordo'!C$2:C$746,A952,'Base bordo'!B$2:B$746,B952,'Base bordo'!F$2:F$746,"AGUARDANDO MANUTENCAO"),0)</f>
        <v>0</v>
      </c>
      <c r="N952" s="10">
        <f>IFERROR(SUMIFS('Base bordo'!G$2:G$746,'Base bordo'!C$2:C$746,A952,'Base bordo'!B$2:B$746,B952,'Base bordo'!F$2:F$746,"SEM APONTAMENTO"),0)</f>
        <v>0</v>
      </c>
      <c r="O952" s="10">
        <f t="shared" si="96"/>
        <v>0</v>
      </c>
      <c r="P952" s="10">
        <f>IFERROR(SUMIFS('Base bordo'!G$2:G$746,'Base bordo'!C$2:C$746,A952,'Base bordo'!B$2:B$746,B952),0)</f>
        <v>2.8366666666666669</v>
      </c>
      <c r="Q952" s="10">
        <f>IFERROR(SUMIFS('Base bordo'!H$2:H$746,'Base bordo'!C$2:C$746,A952,'Base bordo'!B$2:B$746,B952,'Base bordo'!F$2:F$746,"DESLOCAMENTO VAZIO"),0)</f>
        <v>174540.98</v>
      </c>
      <c r="R952" s="10">
        <f>IFERROR(SUMIFS('Base bordo'!I$2:I$746,'Base bordo'!C$2:C$746,A952,'Base bordo'!B$2:B$746,B952,'Base bordo'!F$2:F$746,"DESLOCAMENTO VAZIO"),0)</f>
        <v>4957</v>
      </c>
      <c r="S952" s="30">
        <f t="shared" si="97"/>
        <v>35.211010691950776</v>
      </c>
      <c r="T952" s="10">
        <f>IFERROR(SUMIFS('Base bordo'!H$2:H$746,'Base bordo'!C$2:C$746,A952,'Base bordo'!B$2:B$746,B952,'Base bordo'!F$2:F$746,"DESLOCAMENTO CARREGADO"),0)</f>
        <v>0</v>
      </c>
      <c r="U952" s="10">
        <f>IFERROR(SUMIFS('Base bordo'!I$2:I$746,'Base bordo'!C$2:C$746,A952,'Base bordo'!B$2:B$746,B952,'Base bordo'!F$2:F$746,"DESLOCAMENTO CARREGADO"),0)</f>
        <v>0</v>
      </c>
      <c r="V952" s="30" t="str">
        <f t="shared" si="98"/>
        <v/>
      </c>
      <c r="W952" s="9">
        <f t="shared" si="99"/>
        <v>0.48540932236584411</v>
      </c>
      <c r="X952" s="9">
        <f t="shared" si="100"/>
        <v>0</v>
      </c>
      <c r="Y952" s="9">
        <f t="shared" si="101"/>
        <v>0.51459067763415589</v>
      </c>
    </row>
    <row r="953" spans="1:25" ht="15" customHeight="1" x14ac:dyDescent="0.35">
      <c r="A953" s="52">
        <v>8013485</v>
      </c>
      <c r="B953" s="51">
        <v>46119</v>
      </c>
      <c r="C953" s="7" t="s">
        <v>124</v>
      </c>
      <c r="D953" s="10">
        <f>IFERROR(SUMIFS('Base bordo'!G$2:G$746,'Base bordo'!C$2:C$746,A953,'Base bordo'!B$2:B$746,B953,'Base bordo'!F$2:F$746,"DESLOCAMENTO VAZIO"),0)</f>
        <v>2.2908333333333335</v>
      </c>
      <c r="E953" s="10">
        <f>IFERROR(SUMIFS('Base bordo'!G$2:G$746,'Base bordo'!C$2:C$746,A953,'Base bordo'!B$2:B$746,B953,'Base bordo'!F$2:F$746,"DESLOCAMENTO CARREGADO"),0)</f>
        <v>1.8202777777777779</v>
      </c>
      <c r="F953" s="10">
        <f>IFERROR(SUMIFS('Base bordo'!G$2:G$746,'Base bordo'!C$2:C$746,A953,'Base bordo'!B$2:B$746,B953,'Base bordo'!F$2:F$746,"DESLOCAMENTO"),0)</f>
        <v>0</v>
      </c>
      <c r="G953" s="10">
        <f>IFERROR(SUMIFS('Base bordo'!G$2:G$746,'Base bordo'!C$2:C$746,A953,'Base bordo'!B$2:B$746,B953,'Base bordo'!F$2:F$746,"CARREGAMENTO"),0)</f>
        <v>0</v>
      </c>
      <c r="H953" s="10">
        <f>IFERROR(SUMIFS('Base bordo'!G$2:G$746,'Base bordo'!C$2:C$746,A953,'Base bordo'!B$2:B$746,B953,'Base bordo'!F$2:F$746,"AGUARDANDO TRANSBORDO"),0)</f>
        <v>0</v>
      </c>
      <c r="I953" s="10">
        <f>IFERROR(SUMIFS('Base bordo'!G$2:G$746,'Base bordo'!C$2:C$746,A953,'Base bordo'!B$2:B$746,B953,'Base bordo'!F$2:F$746,"PÁTIO INTERNO"),0)+IFERROR(SUMIFS('Base bordo'!G$2:G$746,'Base bordo'!C$2:C$746,A953,'Base bordo'!B$2:B$746,B953,'Base bordo'!F$2:F$746,"PÁTIO EXTERNO"),0)+IFERROR(SUMIFS('Base bordo'!G$2:G$746,'Base bordo'!C$2:C$746,A953,'Base bordo'!B$2:B$746,B953,'Base bordo'!F$2:F$746,"PATIO - RESERVA"),0)+IFERROR(SUMIFS('Base bordo'!G$2:G$746,'Base bordo'!C$2:C$746,A953,'Base bordo'!B$2:B$746,B953,'Base bordo'!F$2:F$746,"MANOBRA CARRETAS-PATIO"),0)</f>
        <v>1.9913888888888889</v>
      </c>
      <c r="J953" s="10">
        <f>IFERROR(SUMIFS('Base bordo'!G$2:G$746,'Base bordo'!C$2:C$746,A953,'Base bordo'!B$2:B$746,B953,'Base bordo'!F$2:F$746,"BALANÇA - ENTRADA"),0)+IFERROR(SUMIFS('Base bordo'!G$2:G$746,'Base bordo'!C$2:C$746,A953,'Base bordo'!B$2:B$746,B953,'Base bordo'!F$2:F$746,"BALANÇA - SAÍDA"),0)</f>
        <v>0.02</v>
      </c>
      <c r="K953" s="10">
        <f>IFERROR(SUMIFS('Base bordo'!G$2:G$746,'Base bordo'!C$2:C$746,A953,'Base bordo'!B$2:B$746,B953,'Base bordo'!F$2:F$746,"MAN PREVENTIVA - MECANICA"),0)+IFERROR(SUMIFS('Base bordo'!G$2:G$746,'Base bordo'!C$2:C$746,A953,'Base bordo'!B$2:B$746,B953,'Base bordo'!F$2:F$746,"MAN CORRETIVA - MECANICA"),0)</f>
        <v>0</v>
      </c>
      <c r="L953" s="10">
        <f>IFERROR(SUMIFS('Base bordo'!G$2:G$746,'Base bordo'!C$2:C$746,A953,'Base bordo'!B$2:B$746,B953,'Base bordo'!F$2:F$746,"MANUTENCAO - T O"),0)+IFERROR(SUMIFS('Base bordo'!G$2:G$746,'Base bordo'!C$2:C$746,A953,'Base bordo'!B$2:B$746,B953,'Base bordo'!F$2:F$746,"MANUTENCAO BORRACHARIA"),0)+IFERROR(SUMIFS('Base bordo'!G$2:G$746,'Base bordo'!C$2:C$746,A953,'Base bordo'!B$2:B$746,B953,'Base bordo'!F$2:F$746,"MANUTENCAO EXTERNA  CONCESSIONARIA"),0)+IFERROR(SUMIFS('Base bordo'!G$2:G$746,'Base bordo'!C$2:C$746,A953,'Base bordo'!B$2:B$746,B953,'Base bordo'!F$2:F$746,"MANUTENCAO TELEMETRIA"),0)</f>
        <v>0</v>
      </c>
      <c r="M953" s="10">
        <f>IFERROR(SUMIFS('Base bordo'!G$2:G$746,'Base bordo'!C$2:C$746,A953,'Base bordo'!B$2:B$746,B953,'Base bordo'!F$2:F$746,"AGUARDANDO MANUTENCAO"),0)</f>
        <v>0</v>
      </c>
      <c r="N953" s="10">
        <f>IFERROR(SUMIFS('Base bordo'!G$2:G$746,'Base bordo'!C$2:C$746,A953,'Base bordo'!B$2:B$746,B953,'Base bordo'!F$2:F$746,"SEM APONTAMENTO"),0)</f>
        <v>0</v>
      </c>
      <c r="O953" s="10">
        <f t="shared" si="96"/>
        <v>2.4166666666666003E-2</v>
      </c>
      <c r="P953" s="10">
        <f>IFERROR(SUMIFS('Base bordo'!G$2:G$746,'Base bordo'!C$2:C$746,A953,'Base bordo'!B$2:B$746,B953),0)</f>
        <v>6.1466666666666665</v>
      </c>
      <c r="Q953" s="10">
        <f>IFERROR(SUMIFS('Base bordo'!H$2:H$746,'Base bordo'!C$2:C$746,A953,'Base bordo'!B$2:B$746,B953,'Base bordo'!F$2:F$746,"DESLOCAMENTO VAZIO"),0)</f>
        <v>213698.84</v>
      </c>
      <c r="R953" s="10">
        <f>IFERROR(SUMIFS('Base bordo'!I$2:I$746,'Base bordo'!C$2:C$746,A953,'Base bordo'!B$2:B$746,B953,'Base bordo'!F$2:F$746,"DESLOCAMENTO VAZIO"),0)</f>
        <v>8247</v>
      </c>
      <c r="S953" s="30">
        <f t="shared" si="97"/>
        <v>25.912312356008243</v>
      </c>
      <c r="T953" s="10">
        <f>IFERROR(SUMIFS('Base bordo'!H$2:H$746,'Base bordo'!C$2:C$746,A953,'Base bordo'!B$2:B$746,B953,'Base bordo'!F$2:F$746,"DESLOCAMENTO CARREGADO"),0)</f>
        <v>171355.69999999998</v>
      </c>
      <c r="U953" s="10">
        <f>IFERROR(SUMIFS('Base bordo'!I$2:I$746,'Base bordo'!C$2:C$746,A953,'Base bordo'!B$2:B$746,B953,'Base bordo'!F$2:F$746,"DESLOCAMENTO CARREGADO"),0)</f>
        <v>6497</v>
      </c>
      <c r="V953" s="30">
        <f t="shared" si="98"/>
        <v>26.374588271509925</v>
      </c>
      <c r="W953" s="9">
        <f t="shared" si="99"/>
        <v>0.37269522776572672</v>
      </c>
      <c r="X953" s="9">
        <f t="shared" si="100"/>
        <v>0.29614063629790316</v>
      </c>
      <c r="Y953" s="9">
        <f t="shared" si="101"/>
        <v>0.33116413593637006</v>
      </c>
    </row>
    <row r="954" spans="1:25" ht="15" customHeight="1" x14ac:dyDescent="0.35">
      <c r="A954" s="52">
        <v>8013485</v>
      </c>
      <c r="B954" s="51">
        <v>46119</v>
      </c>
      <c r="C954" s="7" t="s">
        <v>124</v>
      </c>
      <c r="D954" s="10">
        <f>IFERROR(SUMIFS('Base bordo'!G$2:G$746,'Base bordo'!C$2:C$746,A954,'Base bordo'!B$2:B$746,B954,'Base bordo'!F$2:F$746,"DESLOCAMENTO VAZIO"),0)</f>
        <v>2.2908333333333335</v>
      </c>
      <c r="E954" s="10">
        <f>IFERROR(SUMIFS('Base bordo'!G$2:G$746,'Base bordo'!C$2:C$746,A954,'Base bordo'!B$2:B$746,B954,'Base bordo'!F$2:F$746,"DESLOCAMENTO CARREGADO"),0)</f>
        <v>1.8202777777777779</v>
      </c>
      <c r="F954" s="10">
        <f>IFERROR(SUMIFS('Base bordo'!G$2:G$746,'Base bordo'!C$2:C$746,A954,'Base bordo'!B$2:B$746,B954,'Base bordo'!F$2:F$746,"DESLOCAMENTO"),0)</f>
        <v>0</v>
      </c>
      <c r="G954" s="10">
        <f>IFERROR(SUMIFS('Base bordo'!G$2:G$746,'Base bordo'!C$2:C$746,A954,'Base bordo'!B$2:B$746,B954,'Base bordo'!F$2:F$746,"CARREGAMENTO"),0)</f>
        <v>0</v>
      </c>
      <c r="H954" s="10">
        <f>IFERROR(SUMIFS('Base bordo'!G$2:G$746,'Base bordo'!C$2:C$746,A954,'Base bordo'!B$2:B$746,B954,'Base bordo'!F$2:F$746,"AGUARDANDO TRANSBORDO"),0)</f>
        <v>0</v>
      </c>
      <c r="I954" s="10">
        <f>IFERROR(SUMIFS('Base bordo'!G$2:G$746,'Base bordo'!C$2:C$746,A954,'Base bordo'!B$2:B$746,B954,'Base bordo'!F$2:F$746,"PÁTIO INTERNO"),0)+IFERROR(SUMIFS('Base bordo'!G$2:G$746,'Base bordo'!C$2:C$746,A954,'Base bordo'!B$2:B$746,B954,'Base bordo'!F$2:F$746,"PÁTIO EXTERNO"),0)+IFERROR(SUMIFS('Base bordo'!G$2:G$746,'Base bordo'!C$2:C$746,A954,'Base bordo'!B$2:B$746,B954,'Base bordo'!F$2:F$746,"PATIO - RESERVA"),0)+IFERROR(SUMIFS('Base bordo'!G$2:G$746,'Base bordo'!C$2:C$746,A954,'Base bordo'!B$2:B$746,B954,'Base bordo'!F$2:F$746,"MANOBRA CARRETAS-PATIO"),0)</f>
        <v>1.9913888888888889</v>
      </c>
      <c r="J954" s="10">
        <f>IFERROR(SUMIFS('Base bordo'!G$2:G$746,'Base bordo'!C$2:C$746,A954,'Base bordo'!B$2:B$746,B954,'Base bordo'!F$2:F$746,"BALANÇA - ENTRADA"),0)+IFERROR(SUMIFS('Base bordo'!G$2:G$746,'Base bordo'!C$2:C$746,A954,'Base bordo'!B$2:B$746,B954,'Base bordo'!F$2:F$746,"BALANÇA - SAÍDA"),0)</f>
        <v>0.02</v>
      </c>
      <c r="K954" s="10">
        <f>IFERROR(SUMIFS('Base bordo'!G$2:G$746,'Base bordo'!C$2:C$746,A954,'Base bordo'!B$2:B$746,B954,'Base bordo'!F$2:F$746,"MAN PREVENTIVA - MECANICA"),0)+IFERROR(SUMIFS('Base bordo'!G$2:G$746,'Base bordo'!C$2:C$746,A954,'Base bordo'!B$2:B$746,B954,'Base bordo'!F$2:F$746,"MAN CORRETIVA - MECANICA"),0)</f>
        <v>0</v>
      </c>
      <c r="L954" s="10">
        <f>IFERROR(SUMIFS('Base bordo'!G$2:G$746,'Base bordo'!C$2:C$746,A954,'Base bordo'!B$2:B$746,B954,'Base bordo'!F$2:F$746,"MANUTENCAO - T O"),0)+IFERROR(SUMIFS('Base bordo'!G$2:G$746,'Base bordo'!C$2:C$746,A954,'Base bordo'!B$2:B$746,B954,'Base bordo'!F$2:F$746,"MANUTENCAO BORRACHARIA"),0)+IFERROR(SUMIFS('Base bordo'!G$2:G$746,'Base bordo'!C$2:C$746,A954,'Base bordo'!B$2:B$746,B954,'Base bordo'!F$2:F$746,"MANUTENCAO EXTERNA  CONCESSIONARIA"),0)+IFERROR(SUMIFS('Base bordo'!G$2:G$746,'Base bordo'!C$2:C$746,A954,'Base bordo'!B$2:B$746,B954,'Base bordo'!F$2:F$746,"MANUTENCAO TELEMETRIA"),0)</f>
        <v>0</v>
      </c>
      <c r="M954" s="10">
        <f>IFERROR(SUMIFS('Base bordo'!G$2:G$746,'Base bordo'!C$2:C$746,A954,'Base bordo'!B$2:B$746,B954,'Base bordo'!F$2:F$746,"AGUARDANDO MANUTENCAO"),0)</f>
        <v>0</v>
      </c>
      <c r="N954" s="10">
        <f>IFERROR(SUMIFS('Base bordo'!G$2:G$746,'Base bordo'!C$2:C$746,A954,'Base bordo'!B$2:B$746,B954,'Base bordo'!F$2:F$746,"SEM APONTAMENTO"),0)</f>
        <v>0</v>
      </c>
      <c r="O954" s="10">
        <f t="shared" si="96"/>
        <v>2.4166666666666003E-2</v>
      </c>
      <c r="P954" s="10">
        <f>IFERROR(SUMIFS('Base bordo'!G$2:G$746,'Base bordo'!C$2:C$746,A954,'Base bordo'!B$2:B$746,B954),0)</f>
        <v>6.1466666666666665</v>
      </c>
      <c r="Q954" s="10">
        <f>IFERROR(SUMIFS('Base bordo'!H$2:H$746,'Base bordo'!C$2:C$746,A954,'Base bordo'!B$2:B$746,B954,'Base bordo'!F$2:F$746,"DESLOCAMENTO VAZIO"),0)</f>
        <v>213698.84</v>
      </c>
      <c r="R954" s="10">
        <f>IFERROR(SUMIFS('Base bordo'!I$2:I$746,'Base bordo'!C$2:C$746,A954,'Base bordo'!B$2:B$746,B954,'Base bordo'!F$2:F$746,"DESLOCAMENTO VAZIO"),0)</f>
        <v>8247</v>
      </c>
      <c r="S954" s="30">
        <f t="shared" si="97"/>
        <v>25.912312356008243</v>
      </c>
      <c r="T954" s="10">
        <f>IFERROR(SUMIFS('Base bordo'!H$2:H$746,'Base bordo'!C$2:C$746,A954,'Base bordo'!B$2:B$746,B954,'Base bordo'!F$2:F$746,"DESLOCAMENTO CARREGADO"),0)</f>
        <v>171355.69999999998</v>
      </c>
      <c r="U954" s="10">
        <f>IFERROR(SUMIFS('Base bordo'!I$2:I$746,'Base bordo'!C$2:C$746,A954,'Base bordo'!B$2:B$746,B954,'Base bordo'!F$2:F$746,"DESLOCAMENTO CARREGADO"),0)</f>
        <v>6497</v>
      </c>
      <c r="V954" s="30">
        <f t="shared" si="98"/>
        <v>26.374588271509925</v>
      </c>
      <c r="W954" s="9">
        <f t="shared" si="99"/>
        <v>0.37269522776572672</v>
      </c>
      <c r="X954" s="9">
        <f t="shared" si="100"/>
        <v>0.29614063629790316</v>
      </c>
      <c r="Y954" s="9">
        <f t="shared" si="101"/>
        <v>0.33116413593637006</v>
      </c>
    </row>
    <row r="955" spans="1:25" ht="15" customHeight="1" x14ac:dyDescent="0.35">
      <c r="A955" s="52">
        <v>8013485</v>
      </c>
      <c r="B955" s="51">
        <v>46119</v>
      </c>
      <c r="C955" s="7" t="s">
        <v>124</v>
      </c>
      <c r="D955" s="10">
        <f>IFERROR(SUMIFS('Base bordo'!G$2:G$746,'Base bordo'!C$2:C$746,A955,'Base bordo'!B$2:B$746,B955,'Base bordo'!F$2:F$746,"DESLOCAMENTO VAZIO"),0)</f>
        <v>2.2908333333333335</v>
      </c>
      <c r="E955" s="10">
        <f>IFERROR(SUMIFS('Base bordo'!G$2:G$746,'Base bordo'!C$2:C$746,A955,'Base bordo'!B$2:B$746,B955,'Base bordo'!F$2:F$746,"DESLOCAMENTO CARREGADO"),0)</f>
        <v>1.8202777777777779</v>
      </c>
      <c r="F955" s="10">
        <f>IFERROR(SUMIFS('Base bordo'!G$2:G$746,'Base bordo'!C$2:C$746,A955,'Base bordo'!B$2:B$746,B955,'Base bordo'!F$2:F$746,"DESLOCAMENTO"),0)</f>
        <v>0</v>
      </c>
      <c r="G955" s="10">
        <f>IFERROR(SUMIFS('Base bordo'!G$2:G$746,'Base bordo'!C$2:C$746,A955,'Base bordo'!B$2:B$746,B955,'Base bordo'!F$2:F$746,"CARREGAMENTO"),0)</f>
        <v>0</v>
      </c>
      <c r="H955" s="10">
        <f>IFERROR(SUMIFS('Base bordo'!G$2:G$746,'Base bordo'!C$2:C$746,A955,'Base bordo'!B$2:B$746,B955,'Base bordo'!F$2:F$746,"AGUARDANDO TRANSBORDO"),0)</f>
        <v>0</v>
      </c>
      <c r="I955" s="10">
        <f>IFERROR(SUMIFS('Base bordo'!G$2:G$746,'Base bordo'!C$2:C$746,A955,'Base bordo'!B$2:B$746,B955,'Base bordo'!F$2:F$746,"PÁTIO INTERNO"),0)+IFERROR(SUMIFS('Base bordo'!G$2:G$746,'Base bordo'!C$2:C$746,A955,'Base bordo'!B$2:B$746,B955,'Base bordo'!F$2:F$746,"PÁTIO EXTERNO"),0)+IFERROR(SUMIFS('Base bordo'!G$2:G$746,'Base bordo'!C$2:C$746,A955,'Base bordo'!B$2:B$746,B955,'Base bordo'!F$2:F$746,"PATIO - RESERVA"),0)+IFERROR(SUMIFS('Base bordo'!G$2:G$746,'Base bordo'!C$2:C$746,A955,'Base bordo'!B$2:B$746,B955,'Base bordo'!F$2:F$746,"MANOBRA CARRETAS-PATIO"),0)</f>
        <v>1.9913888888888889</v>
      </c>
      <c r="J955" s="10">
        <f>IFERROR(SUMIFS('Base bordo'!G$2:G$746,'Base bordo'!C$2:C$746,A955,'Base bordo'!B$2:B$746,B955,'Base bordo'!F$2:F$746,"BALANÇA - ENTRADA"),0)+IFERROR(SUMIFS('Base bordo'!G$2:G$746,'Base bordo'!C$2:C$746,A955,'Base bordo'!B$2:B$746,B955,'Base bordo'!F$2:F$746,"BALANÇA - SAÍDA"),0)</f>
        <v>0.02</v>
      </c>
      <c r="K955" s="10">
        <f>IFERROR(SUMIFS('Base bordo'!G$2:G$746,'Base bordo'!C$2:C$746,A955,'Base bordo'!B$2:B$746,B955,'Base bordo'!F$2:F$746,"MAN PREVENTIVA - MECANICA"),0)+IFERROR(SUMIFS('Base bordo'!G$2:G$746,'Base bordo'!C$2:C$746,A955,'Base bordo'!B$2:B$746,B955,'Base bordo'!F$2:F$746,"MAN CORRETIVA - MECANICA"),0)</f>
        <v>0</v>
      </c>
      <c r="L955" s="10">
        <f>IFERROR(SUMIFS('Base bordo'!G$2:G$746,'Base bordo'!C$2:C$746,A955,'Base bordo'!B$2:B$746,B955,'Base bordo'!F$2:F$746,"MANUTENCAO - T O"),0)+IFERROR(SUMIFS('Base bordo'!G$2:G$746,'Base bordo'!C$2:C$746,A955,'Base bordo'!B$2:B$746,B955,'Base bordo'!F$2:F$746,"MANUTENCAO BORRACHARIA"),0)+IFERROR(SUMIFS('Base bordo'!G$2:G$746,'Base bordo'!C$2:C$746,A955,'Base bordo'!B$2:B$746,B955,'Base bordo'!F$2:F$746,"MANUTENCAO EXTERNA  CONCESSIONARIA"),0)+IFERROR(SUMIFS('Base bordo'!G$2:G$746,'Base bordo'!C$2:C$746,A955,'Base bordo'!B$2:B$746,B955,'Base bordo'!F$2:F$746,"MANUTENCAO TELEMETRIA"),0)</f>
        <v>0</v>
      </c>
      <c r="M955" s="10">
        <f>IFERROR(SUMIFS('Base bordo'!G$2:G$746,'Base bordo'!C$2:C$746,A955,'Base bordo'!B$2:B$746,B955,'Base bordo'!F$2:F$746,"AGUARDANDO MANUTENCAO"),0)</f>
        <v>0</v>
      </c>
      <c r="N955" s="10">
        <f>IFERROR(SUMIFS('Base bordo'!G$2:G$746,'Base bordo'!C$2:C$746,A955,'Base bordo'!B$2:B$746,B955,'Base bordo'!F$2:F$746,"SEM APONTAMENTO"),0)</f>
        <v>0</v>
      </c>
      <c r="O955" s="10">
        <f t="shared" si="96"/>
        <v>2.4166666666666003E-2</v>
      </c>
      <c r="P955" s="10">
        <f>IFERROR(SUMIFS('Base bordo'!G$2:G$746,'Base bordo'!C$2:C$746,A955,'Base bordo'!B$2:B$746,B955),0)</f>
        <v>6.1466666666666665</v>
      </c>
      <c r="Q955" s="10">
        <f>IFERROR(SUMIFS('Base bordo'!H$2:H$746,'Base bordo'!C$2:C$746,A955,'Base bordo'!B$2:B$746,B955,'Base bordo'!F$2:F$746,"DESLOCAMENTO VAZIO"),0)</f>
        <v>213698.84</v>
      </c>
      <c r="R955" s="10">
        <f>IFERROR(SUMIFS('Base bordo'!I$2:I$746,'Base bordo'!C$2:C$746,A955,'Base bordo'!B$2:B$746,B955,'Base bordo'!F$2:F$746,"DESLOCAMENTO VAZIO"),0)</f>
        <v>8247</v>
      </c>
      <c r="S955" s="30">
        <f t="shared" si="97"/>
        <v>25.912312356008243</v>
      </c>
      <c r="T955" s="10">
        <f>IFERROR(SUMIFS('Base bordo'!H$2:H$746,'Base bordo'!C$2:C$746,A955,'Base bordo'!B$2:B$746,B955,'Base bordo'!F$2:F$746,"DESLOCAMENTO CARREGADO"),0)</f>
        <v>171355.69999999998</v>
      </c>
      <c r="U955" s="10">
        <f>IFERROR(SUMIFS('Base bordo'!I$2:I$746,'Base bordo'!C$2:C$746,A955,'Base bordo'!B$2:B$746,B955,'Base bordo'!F$2:F$746,"DESLOCAMENTO CARREGADO"),0)</f>
        <v>6497</v>
      </c>
      <c r="V955" s="30">
        <f t="shared" si="98"/>
        <v>26.374588271509925</v>
      </c>
      <c r="W955" s="9">
        <f t="shared" si="99"/>
        <v>0.37269522776572672</v>
      </c>
      <c r="X955" s="9">
        <f t="shared" si="100"/>
        <v>0.29614063629790316</v>
      </c>
      <c r="Y955" s="9">
        <f t="shared" si="101"/>
        <v>0.33116413593637006</v>
      </c>
    </row>
    <row r="956" spans="1:25" ht="15" customHeight="1" x14ac:dyDescent="0.35">
      <c r="A956" s="52">
        <v>8013485</v>
      </c>
      <c r="B956" s="51">
        <v>46119</v>
      </c>
      <c r="C956" s="7" t="s">
        <v>124</v>
      </c>
      <c r="D956" s="10">
        <f>IFERROR(SUMIFS('Base bordo'!G$2:G$746,'Base bordo'!C$2:C$746,A956,'Base bordo'!B$2:B$746,B956,'Base bordo'!F$2:F$746,"DESLOCAMENTO VAZIO"),0)</f>
        <v>2.2908333333333335</v>
      </c>
      <c r="E956" s="10">
        <f>IFERROR(SUMIFS('Base bordo'!G$2:G$746,'Base bordo'!C$2:C$746,A956,'Base bordo'!B$2:B$746,B956,'Base bordo'!F$2:F$746,"DESLOCAMENTO CARREGADO"),0)</f>
        <v>1.8202777777777779</v>
      </c>
      <c r="F956" s="10">
        <f>IFERROR(SUMIFS('Base bordo'!G$2:G$746,'Base bordo'!C$2:C$746,A956,'Base bordo'!B$2:B$746,B956,'Base bordo'!F$2:F$746,"DESLOCAMENTO"),0)</f>
        <v>0</v>
      </c>
      <c r="G956" s="10">
        <f>IFERROR(SUMIFS('Base bordo'!G$2:G$746,'Base bordo'!C$2:C$746,A956,'Base bordo'!B$2:B$746,B956,'Base bordo'!F$2:F$746,"CARREGAMENTO"),0)</f>
        <v>0</v>
      </c>
      <c r="H956" s="10">
        <f>IFERROR(SUMIFS('Base bordo'!G$2:G$746,'Base bordo'!C$2:C$746,A956,'Base bordo'!B$2:B$746,B956,'Base bordo'!F$2:F$746,"AGUARDANDO TRANSBORDO"),0)</f>
        <v>0</v>
      </c>
      <c r="I956" s="10">
        <f>IFERROR(SUMIFS('Base bordo'!G$2:G$746,'Base bordo'!C$2:C$746,A956,'Base bordo'!B$2:B$746,B956,'Base bordo'!F$2:F$746,"PÁTIO INTERNO"),0)+IFERROR(SUMIFS('Base bordo'!G$2:G$746,'Base bordo'!C$2:C$746,A956,'Base bordo'!B$2:B$746,B956,'Base bordo'!F$2:F$746,"PÁTIO EXTERNO"),0)+IFERROR(SUMIFS('Base bordo'!G$2:G$746,'Base bordo'!C$2:C$746,A956,'Base bordo'!B$2:B$746,B956,'Base bordo'!F$2:F$746,"PATIO - RESERVA"),0)+IFERROR(SUMIFS('Base bordo'!G$2:G$746,'Base bordo'!C$2:C$746,A956,'Base bordo'!B$2:B$746,B956,'Base bordo'!F$2:F$746,"MANOBRA CARRETAS-PATIO"),0)</f>
        <v>1.9913888888888889</v>
      </c>
      <c r="J956" s="10">
        <f>IFERROR(SUMIFS('Base bordo'!G$2:G$746,'Base bordo'!C$2:C$746,A956,'Base bordo'!B$2:B$746,B956,'Base bordo'!F$2:F$746,"BALANÇA - ENTRADA"),0)+IFERROR(SUMIFS('Base bordo'!G$2:G$746,'Base bordo'!C$2:C$746,A956,'Base bordo'!B$2:B$746,B956,'Base bordo'!F$2:F$746,"BALANÇA - SAÍDA"),0)</f>
        <v>0.02</v>
      </c>
      <c r="K956" s="10">
        <f>IFERROR(SUMIFS('Base bordo'!G$2:G$746,'Base bordo'!C$2:C$746,A956,'Base bordo'!B$2:B$746,B956,'Base bordo'!F$2:F$746,"MAN PREVENTIVA - MECANICA"),0)+IFERROR(SUMIFS('Base bordo'!G$2:G$746,'Base bordo'!C$2:C$746,A956,'Base bordo'!B$2:B$746,B956,'Base bordo'!F$2:F$746,"MAN CORRETIVA - MECANICA"),0)</f>
        <v>0</v>
      </c>
      <c r="L956" s="10">
        <f>IFERROR(SUMIFS('Base bordo'!G$2:G$746,'Base bordo'!C$2:C$746,A956,'Base bordo'!B$2:B$746,B956,'Base bordo'!F$2:F$746,"MANUTENCAO - T O"),0)+IFERROR(SUMIFS('Base bordo'!G$2:G$746,'Base bordo'!C$2:C$746,A956,'Base bordo'!B$2:B$746,B956,'Base bordo'!F$2:F$746,"MANUTENCAO BORRACHARIA"),0)+IFERROR(SUMIFS('Base bordo'!G$2:G$746,'Base bordo'!C$2:C$746,A956,'Base bordo'!B$2:B$746,B956,'Base bordo'!F$2:F$746,"MANUTENCAO EXTERNA  CONCESSIONARIA"),0)+IFERROR(SUMIFS('Base bordo'!G$2:G$746,'Base bordo'!C$2:C$746,A956,'Base bordo'!B$2:B$746,B956,'Base bordo'!F$2:F$746,"MANUTENCAO TELEMETRIA"),0)</f>
        <v>0</v>
      </c>
      <c r="M956" s="10">
        <f>IFERROR(SUMIFS('Base bordo'!G$2:G$746,'Base bordo'!C$2:C$746,A956,'Base bordo'!B$2:B$746,B956,'Base bordo'!F$2:F$746,"AGUARDANDO MANUTENCAO"),0)</f>
        <v>0</v>
      </c>
      <c r="N956" s="10">
        <f>IFERROR(SUMIFS('Base bordo'!G$2:G$746,'Base bordo'!C$2:C$746,A956,'Base bordo'!B$2:B$746,B956,'Base bordo'!F$2:F$746,"SEM APONTAMENTO"),0)</f>
        <v>0</v>
      </c>
      <c r="O956" s="10">
        <f t="shared" si="96"/>
        <v>2.4166666666666003E-2</v>
      </c>
      <c r="P956" s="10">
        <f>IFERROR(SUMIFS('Base bordo'!G$2:G$746,'Base bordo'!C$2:C$746,A956,'Base bordo'!B$2:B$746,B956),0)</f>
        <v>6.1466666666666665</v>
      </c>
      <c r="Q956" s="10">
        <f>IFERROR(SUMIFS('Base bordo'!H$2:H$746,'Base bordo'!C$2:C$746,A956,'Base bordo'!B$2:B$746,B956,'Base bordo'!F$2:F$746,"DESLOCAMENTO VAZIO"),0)</f>
        <v>213698.84</v>
      </c>
      <c r="R956" s="10">
        <f>IFERROR(SUMIFS('Base bordo'!I$2:I$746,'Base bordo'!C$2:C$746,A956,'Base bordo'!B$2:B$746,B956,'Base bordo'!F$2:F$746,"DESLOCAMENTO VAZIO"),0)</f>
        <v>8247</v>
      </c>
      <c r="S956" s="30">
        <f t="shared" si="97"/>
        <v>25.912312356008243</v>
      </c>
      <c r="T956" s="10">
        <f>IFERROR(SUMIFS('Base bordo'!H$2:H$746,'Base bordo'!C$2:C$746,A956,'Base bordo'!B$2:B$746,B956,'Base bordo'!F$2:F$746,"DESLOCAMENTO CARREGADO"),0)</f>
        <v>171355.69999999998</v>
      </c>
      <c r="U956" s="10">
        <f>IFERROR(SUMIFS('Base bordo'!I$2:I$746,'Base bordo'!C$2:C$746,A956,'Base bordo'!B$2:B$746,B956,'Base bordo'!F$2:F$746,"DESLOCAMENTO CARREGADO"),0)</f>
        <v>6497</v>
      </c>
      <c r="V956" s="30">
        <f t="shared" si="98"/>
        <v>26.374588271509925</v>
      </c>
      <c r="W956" s="9">
        <f t="shared" si="99"/>
        <v>0.37269522776572672</v>
      </c>
      <c r="X956" s="9">
        <f t="shared" si="100"/>
        <v>0.29614063629790316</v>
      </c>
      <c r="Y956" s="9">
        <f t="shared" si="101"/>
        <v>0.33116413593637006</v>
      </c>
    </row>
    <row r="957" spans="1:25" ht="15" customHeight="1" x14ac:dyDescent="0.35">
      <c r="A957" s="52">
        <v>8013485</v>
      </c>
      <c r="B957" s="51">
        <v>46119</v>
      </c>
      <c r="C957" s="7" t="s">
        <v>124</v>
      </c>
      <c r="D957" s="10">
        <f>IFERROR(SUMIFS('Base bordo'!G$2:G$746,'Base bordo'!C$2:C$746,A957,'Base bordo'!B$2:B$746,B957,'Base bordo'!F$2:F$746,"DESLOCAMENTO VAZIO"),0)</f>
        <v>2.2908333333333335</v>
      </c>
      <c r="E957" s="10">
        <f>IFERROR(SUMIFS('Base bordo'!G$2:G$746,'Base bordo'!C$2:C$746,A957,'Base bordo'!B$2:B$746,B957,'Base bordo'!F$2:F$746,"DESLOCAMENTO CARREGADO"),0)</f>
        <v>1.8202777777777779</v>
      </c>
      <c r="F957" s="10">
        <f>IFERROR(SUMIFS('Base bordo'!G$2:G$746,'Base bordo'!C$2:C$746,A957,'Base bordo'!B$2:B$746,B957,'Base bordo'!F$2:F$746,"DESLOCAMENTO"),0)</f>
        <v>0</v>
      </c>
      <c r="G957" s="10">
        <f>IFERROR(SUMIFS('Base bordo'!G$2:G$746,'Base bordo'!C$2:C$746,A957,'Base bordo'!B$2:B$746,B957,'Base bordo'!F$2:F$746,"CARREGAMENTO"),0)</f>
        <v>0</v>
      </c>
      <c r="H957" s="10">
        <f>IFERROR(SUMIFS('Base bordo'!G$2:G$746,'Base bordo'!C$2:C$746,A957,'Base bordo'!B$2:B$746,B957,'Base bordo'!F$2:F$746,"AGUARDANDO TRANSBORDO"),0)</f>
        <v>0</v>
      </c>
      <c r="I957" s="10">
        <f>IFERROR(SUMIFS('Base bordo'!G$2:G$746,'Base bordo'!C$2:C$746,A957,'Base bordo'!B$2:B$746,B957,'Base bordo'!F$2:F$746,"PÁTIO INTERNO"),0)+IFERROR(SUMIFS('Base bordo'!G$2:G$746,'Base bordo'!C$2:C$746,A957,'Base bordo'!B$2:B$746,B957,'Base bordo'!F$2:F$746,"PÁTIO EXTERNO"),0)+IFERROR(SUMIFS('Base bordo'!G$2:G$746,'Base bordo'!C$2:C$746,A957,'Base bordo'!B$2:B$746,B957,'Base bordo'!F$2:F$746,"PATIO - RESERVA"),0)+IFERROR(SUMIFS('Base bordo'!G$2:G$746,'Base bordo'!C$2:C$746,A957,'Base bordo'!B$2:B$746,B957,'Base bordo'!F$2:F$746,"MANOBRA CARRETAS-PATIO"),0)</f>
        <v>1.9913888888888889</v>
      </c>
      <c r="J957" s="10">
        <f>IFERROR(SUMIFS('Base bordo'!G$2:G$746,'Base bordo'!C$2:C$746,A957,'Base bordo'!B$2:B$746,B957,'Base bordo'!F$2:F$746,"BALANÇA - ENTRADA"),0)+IFERROR(SUMIFS('Base bordo'!G$2:G$746,'Base bordo'!C$2:C$746,A957,'Base bordo'!B$2:B$746,B957,'Base bordo'!F$2:F$746,"BALANÇA - SAÍDA"),0)</f>
        <v>0.02</v>
      </c>
      <c r="K957" s="10">
        <f>IFERROR(SUMIFS('Base bordo'!G$2:G$746,'Base bordo'!C$2:C$746,A957,'Base bordo'!B$2:B$746,B957,'Base bordo'!F$2:F$746,"MAN PREVENTIVA - MECANICA"),0)+IFERROR(SUMIFS('Base bordo'!G$2:G$746,'Base bordo'!C$2:C$746,A957,'Base bordo'!B$2:B$746,B957,'Base bordo'!F$2:F$746,"MAN CORRETIVA - MECANICA"),0)</f>
        <v>0</v>
      </c>
      <c r="L957" s="10">
        <f>IFERROR(SUMIFS('Base bordo'!G$2:G$746,'Base bordo'!C$2:C$746,A957,'Base bordo'!B$2:B$746,B957,'Base bordo'!F$2:F$746,"MANUTENCAO - T O"),0)+IFERROR(SUMIFS('Base bordo'!G$2:G$746,'Base bordo'!C$2:C$746,A957,'Base bordo'!B$2:B$746,B957,'Base bordo'!F$2:F$746,"MANUTENCAO BORRACHARIA"),0)+IFERROR(SUMIFS('Base bordo'!G$2:G$746,'Base bordo'!C$2:C$746,A957,'Base bordo'!B$2:B$746,B957,'Base bordo'!F$2:F$746,"MANUTENCAO EXTERNA  CONCESSIONARIA"),0)+IFERROR(SUMIFS('Base bordo'!G$2:G$746,'Base bordo'!C$2:C$746,A957,'Base bordo'!B$2:B$746,B957,'Base bordo'!F$2:F$746,"MANUTENCAO TELEMETRIA"),0)</f>
        <v>0</v>
      </c>
      <c r="M957" s="10">
        <f>IFERROR(SUMIFS('Base bordo'!G$2:G$746,'Base bordo'!C$2:C$746,A957,'Base bordo'!B$2:B$746,B957,'Base bordo'!F$2:F$746,"AGUARDANDO MANUTENCAO"),0)</f>
        <v>0</v>
      </c>
      <c r="N957" s="10">
        <f>IFERROR(SUMIFS('Base bordo'!G$2:G$746,'Base bordo'!C$2:C$746,A957,'Base bordo'!B$2:B$746,B957,'Base bordo'!F$2:F$746,"SEM APONTAMENTO"),0)</f>
        <v>0</v>
      </c>
      <c r="O957" s="10">
        <f t="shared" si="96"/>
        <v>2.4166666666666003E-2</v>
      </c>
      <c r="P957" s="10">
        <f>IFERROR(SUMIFS('Base bordo'!G$2:G$746,'Base bordo'!C$2:C$746,A957,'Base bordo'!B$2:B$746,B957),0)</f>
        <v>6.1466666666666665</v>
      </c>
      <c r="Q957" s="10">
        <f>IFERROR(SUMIFS('Base bordo'!H$2:H$746,'Base bordo'!C$2:C$746,A957,'Base bordo'!B$2:B$746,B957,'Base bordo'!F$2:F$746,"DESLOCAMENTO VAZIO"),0)</f>
        <v>213698.84</v>
      </c>
      <c r="R957" s="10">
        <f>IFERROR(SUMIFS('Base bordo'!I$2:I$746,'Base bordo'!C$2:C$746,A957,'Base bordo'!B$2:B$746,B957,'Base bordo'!F$2:F$746,"DESLOCAMENTO VAZIO"),0)</f>
        <v>8247</v>
      </c>
      <c r="S957" s="30">
        <f t="shared" si="97"/>
        <v>25.912312356008243</v>
      </c>
      <c r="T957" s="10">
        <f>IFERROR(SUMIFS('Base bordo'!H$2:H$746,'Base bordo'!C$2:C$746,A957,'Base bordo'!B$2:B$746,B957,'Base bordo'!F$2:F$746,"DESLOCAMENTO CARREGADO"),0)</f>
        <v>171355.69999999998</v>
      </c>
      <c r="U957" s="10">
        <f>IFERROR(SUMIFS('Base bordo'!I$2:I$746,'Base bordo'!C$2:C$746,A957,'Base bordo'!B$2:B$746,B957,'Base bordo'!F$2:F$746,"DESLOCAMENTO CARREGADO"),0)</f>
        <v>6497</v>
      </c>
      <c r="V957" s="30">
        <f t="shared" si="98"/>
        <v>26.374588271509925</v>
      </c>
      <c r="W957" s="9">
        <f t="shared" si="99"/>
        <v>0.37269522776572672</v>
      </c>
      <c r="X957" s="9">
        <f t="shared" si="100"/>
        <v>0.29614063629790316</v>
      </c>
      <c r="Y957" s="9">
        <f t="shared" si="101"/>
        <v>0.33116413593637006</v>
      </c>
    </row>
    <row r="958" spans="1:25" ht="15" customHeight="1" x14ac:dyDescent="0.35">
      <c r="A958" s="52">
        <v>8013485</v>
      </c>
      <c r="B958" s="51">
        <v>46119</v>
      </c>
      <c r="C958" s="7" t="s">
        <v>124</v>
      </c>
      <c r="D958" s="10">
        <f>IFERROR(SUMIFS('Base bordo'!G$2:G$746,'Base bordo'!C$2:C$746,A958,'Base bordo'!B$2:B$746,B958,'Base bordo'!F$2:F$746,"DESLOCAMENTO VAZIO"),0)</f>
        <v>2.2908333333333335</v>
      </c>
      <c r="E958" s="10">
        <f>IFERROR(SUMIFS('Base bordo'!G$2:G$746,'Base bordo'!C$2:C$746,A958,'Base bordo'!B$2:B$746,B958,'Base bordo'!F$2:F$746,"DESLOCAMENTO CARREGADO"),0)</f>
        <v>1.8202777777777779</v>
      </c>
      <c r="F958" s="10">
        <f>IFERROR(SUMIFS('Base bordo'!G$2:G$746,'Base bordo'!C$2:C$746,A958,'Base bordo'!B$2:B$746,B958,'Base bordo'!F$2:F$746,"DESLOCAMENTO"),0)</f>
        <v>0</v>
      </c>
      <c r="G958" s="10">
        <f>IFERROR(SUMIFS('Base bordo'!G$2:G$746,'Base bordo'!C$2:C$746,A958,'Base bordo'!B$2:B$746,B958,'Base bordo'!F$2:F$746,"CARREGAMENTO"),0)</f>
        <v>0</v>
      </c>
      <c r="H958" s="10">
        <f>IFERROR(SUMIFS('Base bordo'!G$2:G$746,'Base bordo'!C$2:C$746,A958,'Base bordo'!B$2:B$746,B958,'Base bordo'!F$2:F$746,"AGUARDANDO TRANSBORDO"),0)</f>
        <v>0</v>
      </c>
      <c r="I958" s="10">
        <f>IFERROR(SUMIFS('Base bordo'!G$2:G$746,'Base bordo'!C$2:C$746,A958,'Base bordo'!B$2:B$746,B958,'Base bordo'!F$2:F$746,"PÁTIO INTERNO"),0)+IFERROR(SUMIFS('Base bordo'!G$2:G$746,'Base bordo'!C$2:C$746,A958,'Base bordo'!B$2:B$746,B958,'Base bordo'!F$2:F$746,"PÁTIO EXTERNO"),0)+IFERROR(SUMIFS('Base bordo'!G$2:G$746,'Base bordo'!C$2:C$746,A958,'Base bordo'!B$2:B$746,B958,'Base bordo'!F$2:F$746,"PATIO - RESERVA"),0)+IFERROR(SUMIFS('Base bordo'!G$2:G$746,'Base bordo'!C$2:C$746,A958,'Base bordo'!B$2:B$746,B958,'Base bordo'!F$2:F$746,"MANOBRA CARRETAS-PATIO"),0)</f>
        <v>1.9913888888888889</v>
      </c>
      <c r="J958" s="10">
        <f>IFERROR(SUMIFS('Base bordo'!G$2:G$746,'Base bordo'!C$2:C$746,A958,'Base bordo'!B$2:B$746,B958,'Base bordo'!F$2:F$746,"BALANÇA - ENTRADA"),0)+IFERROR(SUMIFS('Base bordo'!G$2:G$746,'Base bordo'!C$2:C$746,A958,'Base bordo'!B$2:B$746,B958,'Base bordo'!F$2:F$746,"BALANÇA - SAÍDA"),0)</f>
        <v>0.02</v>
      </c>
      <c r="K958" s="10">
        <f>IFERROR(SUMIFS('Base bordo'!G$2:G$746,'Base bordo'!C$2:C$746,A958,'Base bordo'!B$2:B$746,B958,'Base bordo'!F$2:F$746,"MAN PREVENTIVA - MECANICA"),0)+IFERROR(SUMIFS('Base bordo'!G$2:G$746,'Base bordo'!C$2:C$746,A958,'Base bordo'!B$2:B$746,B958,'Base bordo'!F$2:F$746,"MAN CORRETIVA - MECANICA"),0)</f>
        <v>0</v>
      </c>
      <c r="L958" s="10">
        <f>IFERROR(SUMIFS('Base bordo'!G$2:G$746,'Base bordo'!C$2:C$746,A958,'Base bordo'!B$2:B$746,B958,'Base bordo'!F$2:F$746,"MANUTENCAO - T O"),0)+IFERROR(SUMIFS('Base bordo'!G$2:G$746,'Base bordo'!C$2:C$746,A958,'Base bordo'!B$2:B$746,B958,'Base bordo'!F$2:F$746,"MANUTENCAO BORRACHARIA"),0)+IFERROR(SUMIFS('Base bordo'!G$2:G$746,'Base bordo'!C$2:C$746,A958,'Base bordo'!B$2:B$746,B958,'Base bordo'!F$2:F$746,"MANUTENCAO EXTERNA  CONCESSIONARIA"),0)+IFERROR(SUMIFS('Base bordo'!G$2:G$746,'Base bordo'!C$2:C$746,A958,'Base bordo'!B$2:B$746,B958,'Base bordo'!F$2:F$746,"MANUTENCAO TELEMETRIA"),0)</f>
        <v>0</v>
      </c>
      <c r="M958" s="10">
        <f>IFERROR(SUMIFS('Base bordo'!G$2:G$746,'Base bordo'!C$2:C$746,A958,'Base bordo'!B$2:B$746,B958,'Base bordo'!F$2:F$746,"AGUARDANDO MANUTENCAO"),0)</f>
        <v>0</v>
      </c>
      <c r="N958" s="10">
        <f>IFERROR(SUMIFS('Base bordo'!G$2:G$746,'Base bordo'!C$2:C$746,A958,'Base bordo'!B$2:B$746,B958,'Base bordo'!F$2:F$746,"SEM APONTAMENTO"),0)</f>
        <v>0</v>
      </c>
      <c r="O958" s="10">
        <f t="shared" si="96"/>
        <v>2.4166666666666003E-2</v>
      </c>
      <c r="P958" s="10">
        <f>IFERROR(SUMIFS('Base bordo'!G$2:G$746,'Base bordo'!C$2:C$746,A958,'Base bordo'!B$2:B$746,B958),0)</f>
        <v>6.1466666666666665</v>
      </c>
      <c r="Q958" s="10">
        <f>IFERROR(SUMIFS('Base bordo'!H$2:H$746,'Base bordo'!C$2:C$746,A958,'Base bordo'!B$2:B$746,B958,'Base bordo'!F$2:F$746,"DESLOCAMENTO VAZIO"),0)</f>
        <v>213698.84</v>
      </c>
      <c r="R958" s="10">
        <f>IFERROR(SUMIFS('Base bordo'!I$2:I$746,'Base bordo'!C$2:C$746,A958,'Base bordo'!B$2:B$746,B958,'Base bordo'!F$2:F$746,"DESLOCAMENTO VAZIO"),0)</f>
        <v>8247</v>
      </c>
      <c r="S958" s="30">
        <f t="shared" si="97"/>
        <v>25.912312356008243</v>
      </c>
      <c r="T958" s="10">
        <f>IFERROR(SUMIFS('Base bordo'!H$2:H$746,'Base bordo'!C$2:C$746,A958,'Base bordo'!B$2:B$746,B958,'Base bordo'!F$2:F$746,"DESLOCAMENTO CARREGADO"),0)</f>
        <v>171355.69999999998</v>
      </c>
      <c r="U958" s="10">
        <f>IFERROR(SUMIFS('Base bordo'!I$2:I$746,'Base bordo'!C$2:C$746,A958,'Base bordo'!B$2:B$746,B958,'Base bordo'!F$2:F$746,"DESLOCAMENTO CARREGADO"),0)</f>
        <v>6497</v>
      </c>
      <c r="V958" s="30">
        <f t="shared" si="98"/>
        <v>26.374588271509925</v>
      </c>
      <c r="W958" s="9">
        <f t="shared" si="99"/>
        <v>0.37269522776572672</v>
      </c>
      <c r="X958" s="9">
        <f t="shared" si="100"/>
        <v>0.29614063629790316</v>
      </c>
      <c r="Y958" s="9">
        <f t="shared" si="101"/>
        <v>0.33116413593637006</v>
      </c>
    </row>
    <row r="959" spans="1:25" ht="15" customHeight="1" x14ac:dyDescent="0.35">
      <c r="A959" s="52">
        <v>8013485</v>
      </c>
      <c r="B959" s="51">
        <v>46119</v>
      </c>
      <c r="C959" s="7" t="s">
        <v>124</v>
      </c>
      <c r="D959" s="10">
        <f>IFERROR(SUMIFS('Base bordo'!G$2:G$746,'Base bordo'!C$2:C$746,A959,'Base bordo'!B$2:B$746,B959,'Base bordo'!F$2:F$746,"DESLOCAMENTO VAZIO"),0)</f>
        <v>2.2908333333333335</v>
      </c>
      <c r="E959" s="10">
        <f>IFERROR(SUMIFS('Base bordo'!G$2:G$746,'Base bordo'!C$2:C$746,A959,'Base bordo'!B$2:B$746,B959,'Base bordo'!F$2:F$746,"DESLOCAMENTO CARREGADO"),0)</f>
        <v>1.8202777777777779</v>
      </c>
      <c r="F959" s="10">
        <f>IFERROR(SUMIFS('Base bordo'!G$2:G$746,'Base bordo'!C$2:C$746,A959,'Base bordo'!B$2:B$746,B959,'Base bordo'!F$2:F$746,"DESLOCAMENTO"),0)</f>
        <v>0</v>
      </c>
      <c r="G959" s="10">
        <f>IFERROR(SUMIFS('Base bordo'!G$2:G$746,'Base bordo'!C$2:C$746,A959,'Base bordo'!B$2:B$746,B959,'Base bordo'!F$2:F$746,"CARREGAMENTO"),0)</f>
        <v>0</v>
      </c>
      <c r="H959" s="10">
        <f>IFERROR(SUMIFS('Base bordo'!G$2:G$746,'Base bordo'!C$2:C$746,A959,'Base bordo'!B$2:B$746,B959,'Base bordo'!F$2:F$746,"AGUARDANDO TRANSBORDO"),0)</f>
        <v>0</v>
      </c>
      <c r="I959" s="10">
        <f>IFERROR(SUMIFS('Base bordo'!G$2:G$746,'Base bordo'!C$2:C$746,A959,'Base bordo'!B$2:B$746,B959,'Base bordo'!F$2:F$746,"PÁTIO INTERNO"),0)+IFERROR(SUMIFS('Base bordo'!G$2:G$746,'Base bordo'!C$2:C$746,A959,'Base bordo'!B$2:B$746,B959,'Base bordo'!F$2:F$746,"PÁTIO EXTERNO"),0)+IFERROR(SUMIFS('Base bordo'!G$2:G$746,'Base bordo'!C$2:C$746,A959,'Base bordo'!B$2:B$746,B959,'Base bordo'!F$2:F$746,"PATIO - RESERVA"),0)+IFERROR(SUMIFS('Base bordo'!G$2:G$746,'Base bordo'!C$2:C$746,A959,'Base bordo'!B$2:B$746,B959,'Base bordo'!F$2:F$746,"MANOBRA CARRETAS-PATIO"),0)</f>
        <v>1.9913888888888889</v>
      </c>
      <c r="J959" s="10">
        <f>IFERROR(SUMIFS('Base bordo'!G$2:G$746,'Base bordo'!C$2:C$746,A959,'Base bordo'!B$2:B$746,B959,'Base bordo'!F$2:F$746,"BALANÇA - ENTRADA"),0)+IFERROR(SUMIFS('Base bordo'!G$2:G$746,'Base bordo'!C$2:C$746,A959,'Base bordo'!B$2:B$746,B959,'Base bordo'!F$2:F$746,"BALANÇA - SAÍDA"),0)</f>
        <v>0.02</v>
      </c>
      <c r="K959" s="10">
        <f>IFERROR(SUMIFS('Base bordo'!G$2:G$746,'Base bordo'!C$2:C$746,A959,'Base bordo'!B$2:B$746,B959,'Base bordo'!F$2:F$746,"MAN PREVENTIVA - MECANICA"),0)+IFERROR(SUMIFS('Base bordo'!G$2:G$746,'Base bordo'!C$2:C$746,A959,'Base bordo'!B$2:B$746,B959,'Base bordo'!F$2:F$746,"MAN CORRETIVA - MECANICA"),0)</f>
        <v>0</v>
      </c>
      <c r="L959" s="10">
        <f>IFERROR(SUMIFS('Base bordo'!G$2:G$746,'Base bordo'!C$2:C$746,A959,'Base bordo'!B$2:B$746,B959,'Base bordo'!F$2:F$746,"MANUTENCAO - T O"),0)+IFERROR(SUMIFS('Base bordo'!G$2:G$746,'Base bordo'!C$2:C$746,A959,'Base bordo'!B$2:B$746,B959,'Base bordo'!F$2:F$746,"MANUTENCAO BORRACHARIA"),0)+IFERROR(SUMIFS('Base bordo'!G$2:G$746,'Base bordo'!C$2:C$746,A959,'Base bordo'!B$2:B$746,B959,'Base bordo'!F$2:F$746,"MANUTENCAO EXTERNA  CONCESSIONARIA"),0)+IFERROR(SUMIFS('Base bordo'!G$2:G$746,'Base bordo'!C$2:C$746,A959,'Base bordo'!B$2:B$746,B959,'Base bordo'!F$2:F$746,"MANUTENCAO TELEMETRIA"),0)</f>
        <v>0</v>
      </c>
      <c r="M959" s="10">
        <f>IFERROR(SUMIFS('Base bordo'!G$2:G$746,'Base bordo'!C$2:C$746,A959,'Base bordo'!B$2:B$746,B959,'Base bordo'!F$2:F$746,"AGUARDANDO MANUTENCAO"),0)</f>
        <v>0</v>
      </c>
      <c r="N959" s="10">
        <f>IFERROR(SUMIFS('Base bordo'!G$2:G$746,'Base bordo'!C$2:C$746,A959,'Base bordo'!B$2:B$746,B959,'Base bordo'!F$2:F$746,"SEM APONTAMENTO"),0)</f>
        <v>0</v>
      </c>
      <c r="O959" s="10">
        <f t="shared" si="96"/>
        <v>2.4166666666666003E-2</v>
      </c>
      <c r="P959" s="10">
        <f>IFERROR(SUMIFS('Base bordo'!G$2:G$746,'Base bordo'!C$2:C$746,A959,'Base bordo'!B$2:B$746,B959),0)</f>
        <v>6.1466666666666665</v>
      </c>
      <c r="Q959" s="10">
        <f>IFERROR(SUMIFS('Base bordo'!H$2:H$746,'Base bordo'!C$2:C$746,A959,'Base bordo'!B$2:B$746,B959,'Base bordo'!F$2:F$746,"DESLOCAMENTO VAZIO"),0)</f>
        <v>213698.84</v>
      </c>
      <c r="R959" s="10">
        <f>IFERROR(SUMIFS('Base bordo'!I$2:I$746,'Base bordo'!C$2:C$746,A959,'Base bordo'!B$2:B$746,B959,'Base bordo'!F$2:F$746,"DESLOCAMENTO VAZIO"),0)</f>
        <v>8247</v>
      </c>
      <c r="S959" s="30">
        <f t="shared" si="97"/>
        <v>25.912312356008243</v>
      </c>
      <c r="T959" s="10">
        <f>IFERROR(SUMIFS('Base bordo'!H$2:H$746,'Base bordo'!C$2:C$746,A959,'Base bordo'!B$2:B$746,B959,'Base bordo'!F$2:F$746,"DESLOCAMENTO CARREGADO"),0)</f>
        <v>171355.69999999998</v>
      </c>
      <c r="U959" s="10">
        <f>IFERROR(SUMIFS('Base bordo'!I$2:I$746,'Base bordo'!C$2:C$746,A959,'Base bordo'!B$2:B$746,B959,'Base bordo'!F$2:F$746,"DESLOCAMENTO CARREGADO"),0)</f>
        <v>6497</v>
      </c>
      <c r="V959" s="30">
        <f t="shared" si="98"/>
        <v>26.374588271509925</v>
      </c>
      <c r="W959" s="9">
        <f t="shared" si="99"/>
        <v>0.37269522776572672</v>
      </c>
      <c r="X959" s="9">
        <f t="shared" si="100"/>
        <v>0.29614063629790316</v>
      </c>
      <c r="Y959" s="9">
        <f t="shared" si="101"/>
        <v>0.33116413593637006</v>
      </c>
    </row>
    <row r="960" spans="1:25" ht="15" customHeight="1" x14ac:dyDescent="0.35">
      <c r="A960" s="52">
        <v>8013485</v>
      </c>
      <c r="B960" s="51">
        <v>46119</v>
      </c>
      <c r="C960" s="7" t="s">
        <v>124</v>
      </c>
      <c r="D960" s="10">
        <f>IFERROR(SUMIFS('Base bordo'!G$2:G$746,'Base bordo'!C$2:C$746,A960,'Base bordo'!B$2:B$746,B960,'Base bordo'!F$2:F$746,"DESLOCAMENTO VAZIO"),0)</f>
        <v>2.2908333333333335</v>
      </c>
      <c r="E960" s="10">
        <f>IFERROR(SUMIFS('Base bordo'!G$2:G$746,'Base bordo'!C$2:C$746,A960,'Base bordo'!B$2:B$746,B960,'Base bordo'!F$2:F$746,"DESLOCAMENTO CARREGADO"),0)</f>
        <v>1.8202777777777779</v>
      </c>
      <c r="F960" s="10">
        <f>IFERROR(SUMIFS('Base bordo'!G$2:G$746,'Base bordo'!C$2:C$746,A960,'Base bordo'!B$2:B$746,B960,'Base bordo'!F$2:F$746,"DESLOCAMENTO"),0)</f>
        <v>0</v>
      </c>
      <c r="G960" s="10">
        <f>IFERROR(SUMIFS('Base bordo'!G$2:G$746,'Base bordo'!C$2:C$746,A960,'Base bordo'!B$2:B$746,B960,'Base bordo'!F$2:F$746,"CARREGAMENTO"),0)</f>
        <v>0</v>
      </c>
      <c r="H960" s="10">
        <f>IFERROR(SUMIFS('Base bordo'!G$2:G$746,'Base bordo'!C$2:C$746,A960,'Base bordo'!B$2:B$746,B960,'Base bordo'!F$2:F$746,"AGUARDANDO TRANSBORDO"),0)</f>
        <v>0</v>
      </c>
      <c r="I960" s="10">
        <f>IFERROR(SUMIFS('Base bordo'!G$2:G$746,'Base bordo'!C$2:C$746,A960,'Base bordo'!B$2:B$746,B960,'Base bordo'!F$2:F$746,"PÁTIO INTERNO"),0)+IFERROR(SUMIFS('Base bordo'!G$2:G$746,'Base bordo'!C$2:C$746,A960,'Base bordo'!B$2:B$746,B960,'Base bordo'!F$2:F$746,"PÁTIO EXTERNO"),0)+IFERROR(SUMIFS('Base bordo'!G$2:G$746,'Base bordo'!C$2:C$746,A960,'Base bordo'!B$2:B$746,B960,'Base bordo'!F$2:F$746,"PATIO - RESERVA"),0)+IFERROR(SUMIFS('Base bordo'!G$2:G$746,'Base bordo'!C$2:C$746,A960,'Base bordo'!B$2:B$746,B960,'Base bordo'!F$2:F$746,"MANOBRA CARRETAS-PATIO"),0)</f>
        <v>1.9913888888888889</v>
      </c>
      <c r="J960" s="10">
        <f>IFERROR(SUMIFS('Base bordo'!G$2:G$746,'Base bordo'!C$2:C$746,A960,'Base bordo'!B$2:B$746,B960,'Base bordo'!F$2:F$746,"BALANÇA - ENTRADA"),0)+IFERROR(SUMIFS('Base bordo'!G$2:G$746,'Base bordo'!C$2:C$746,A960,'Base bordo'!B$2:B$746,B960,'Base bordo'!F$2:F$746,"BALANÇA - SAÍDA"),0)</f>
        <v>0.02</v>
      </c>
      <c r="K960" s="10">
        <f>IFERROR(SUMIFS('Base bordo'!G$2:G$746,'Base bordo'!C$2:C$746,A960,'Base bordo'!B$2:B$746,B960,'Base bordo'!F$2:F$746,"MAN PREVENTIVA - MECANICA"),0)+IFERROR(SUMIFS('Base bordo'!G$2:G$746,'Base bordo'!C$2:C$746,A960,'Base bordo'!B$2:B$746,B960,'Base bordo'!F$2:F$746,"MAN CORRETIVA - MECANICA"),0)</f>
        <v>0</v>
      </c>
      <c r="L960" s="10">
        <f>IFERROR(SUMIFS('Base bordo'!G$2:G$746,'Base bordo'!C$2:C$746,A960,'Base bordo'!B$2:B$746,B960,'Base bordo'!F$2:F$746,"MANUTENCAO - T O"),0)+IFERROR(SUMIFS('Base bordo'!G$2:G$746,'Base bordo'!C$2:C$746,A960,'Base bordo'!B$2:B$746,B960,'Base bordo'!F$2:F$746,"MANUTENCAO BORRACHARIA"),0)+IFERROR(SUMIFS('Base bordo'!G$2:G$746,'Base bordo'!C$2:C$746,A960,'Base bordo'!B$2:B$746,B960,'Base bordo'!F$2:F$746,"MANUTENCAO EXTERNA  CONCESSIONARIA"),0)+IFERROR(SUMIFS('Base bordo'!G$2:G$746,'Base bordo'!C$2:C$746,A960,'Base bordo'!B$2:B$746,B960,'Base bordo'!F$2:F$746,"MANUTENCAO TELEMETRIA"),0)</f>
        <v>0</v>
      </c>
      <c r="M960" s="10">
        <f>IFERROR(SUMIFS('Base bordo'!G$2:G$746,'Base bordo'!C$2:C$746,A960,'Base bordo'!B$2:B$746,B960,'Base bordo'!F$2:F$746,"AGUARDANDO MANUTENCAO"),0)</f>
        <v>0</v>
      </c>
      <c r="N960" s="10">
        <f>IFERROR(SUMIFS('Base bordo'!G$2:G$746,'Base bordo'!C$2:C$746,A960,'Base bordo'!B$2:B$746,B960,'Base bordo'!F$2:F$746,"SEM APONTAMENTO"),0)</f>
        <v>0</v>
      </c>
      <c r="O960" s="10">
        <f t="shared" si="96"/>
        <v>2.4166666666666003E-2</v>
      </c>
      <c r="P960" s="10">
        <f>IFERROR(SUMIFS('Base bordo'!G$2:G$746,'Base bordo'!C$2:C$746,A960,'Base bordo'!B$2:B$746,B960),0)</f>
        <v>6.1466666666666665</v>
      </c>
      <c r="Q960" s="10">
        <f>IFERROR(SUMIFS('Base bordo'!H$2:H$746,'Base bordo'!C$2:C$746,A960,'Base bordo'!B$2:B$746,B960,'Base bordo'!F$2:F$746,"DESLOCAMENTO VAZIO"),0)</f>
        <v>213698.84</v>
      </c>
      <c r="R960" s="10">
        <f>IFERROR(SUMIFS('Base bordo'!I$2:I$746,'Base bordo'!C$2:C$746,A960,'Base bordo'!B$2:B$746,B960,'Base bordo'!F$2:F$746,"DESLOCAMENTO VAZIO"),0)</f>
        <v>8247</v>
      </c>
      <c r="S960" s="30">
        <f t="shared" si="97"/>
        <v>25.912312356008243</v>
      </c>
      <c r="T960" s="10">
        <f>IFERROR(SUMIFS('Base bordo'!H$2:H$746,'Base bordo'!C$2:C$746,A960,'Base bordo'!B$2:B$746,B960,'Base bordo'!F$2:F$746,"DESLOCAMENTO CARREGADO"),0)</f>
        <v>171355.69999999998</v>
      </c>
      <c r="U960" s="10">
        <f>IFERROR(SUMIFS('Base bordo'!I$2:I$746,'Base bordo'!C$2:C$746,A960,'Base bordo'!B$2:B$746,B960,'Base bordo'!F$2:F$746,"DESLOCAMENTO CARREGADO"),0)</f>
        <v>6497</v>
      </c>
      <c r="V960" s="30">
        <f t="shared" si="98"/>
        <v>26.374588271509925</v>
      </c>
      <c r="W960" s="9">
        <f t="shared" si="99"/>
        <v>0.37269522776572672</v>
      </c>
      <c r="X960" s="9">
        <f t="shared" si="100"/>
        <v>0.29614063629790316</v>
      </c>
      <c r="Y960" s="9">
        <f t="shared" si="101"/>
        <v>0.33116413593637006</v>
      </c>
    </row>
    <row r="961" spans="1:25" ht="15" customHeight="1" x14ac:dyDescent="0.35">
      <c r="A961" s="52">
        <v>8013485</v>
      </c>
      <c r="B961" s="51">
        <v>46119</v>
      </c>
      <c r="C961" s="7" t="s">
        <v>124</v>
      </c>
      <c r="D961" s="10">
        <f>IFERROR(SUMIFS('Base bordo'!G$2:G$746,'Base bordo'!C$2:C$746,A961,'Base bordo'!B$2:B$746,B961,'Base bordo'!F$2:F$746,"DESLOCAMENTO VAZIO"),0)</f>
        <v>2.2908333333333335</v>
      </c>
      <c r="E961" s="10">
        <f>IFERROR(SUMIFS('Base bordo'!G$2:G$746,'Base bordo'!C$2:C$746,A961,'Base bordo'!B$2:B$746,B961,'Base bordo'!F$2:F$746,"DESLOCAMENTO CARREGADO"),0)</f>
        <v>1.8202777777777779</v>
      </c>
      <c r="F961" s="10">
        <f>IFERROR(SUMIFS('Base bordo'!G$2:G$746,'Base bordo'!C$2:C$746,A961,'Base bordo'!B$2:B$746,B961,'Base bordo'!F$2:F$746,"DESLOCAMENTO"),0)</f>
        <v>0</v>
      </c>
      <c r="G961" s="10">
        <f>IFERROR(SUMIFS('Base bordo'!G$2:G$746,'Base bordo'!C$2:C$746,A961,'Base bordo'!B$2:B$746,B961,'Base bordo'!F$2:F$746,"CARREGAMENTO"),0)</f>
        <v>0</v>
      </c>
      <c r="H961" s="10">
        <f>IFERROR(SUMIFS('Base bordo'!G$2:G$746,'Base bordo'!C$2:C$746,A961,'Base bordo'!B$2:B$746,B961,'Base bordo'!F$2:F$746,"AGUARDANDO TRANSBORDO"),0)</f>
        <v>0</v>
      </c>
      <c r="I961" s="10">
        <f>IFERROR(SUMIFS('Base bordo'!G$2:G$746,'Base bordo'!C$2:C$746,A961,'Base bordo'!B$2:B$746,B961,'Base bordo'!F$2:F$746,"PÁTIO INTERNO"),0)+IFERROR(SUMIFS('Base bordo'!G$2:G$746,'Base bordo'!C$2:C$746,A961,'Base bordo'!B$2:B$746,B961,'Base bordo'!F$2:F$746,"PÁTIO EXTERNO"),0)+IFERROR(SUMIFS('Base bordo'!G$2:G$746,'Base bordo'!C$2:C$746,A961,'Base bordo'!B$2:B$746,B961,'Base bordo'!F$2:F$746,"PATIO - RESERVA"),0)+IFERROR(SUMIFS('Base bordo'!G$2:G$746,'Base bordo'!C$2:C$746,A961,'Base bordo'!B$2:B$746,B961,'Base bordo'!F$2:F$746,"MANOBRA CARRETAS-PATIO"),0)</f>
        <v>1.9913888888888889</v>
      </c>
      <c r="J961" s="10">
        <f>IFERROR(SUMIFS('Base bordo'!G$2:G$746,'Base bordo'!C$2:C$746,A961,'Base bordo'!B$2:B$746,B961,'Base bordo'!F$2:F$746,"BALANÇA - ENTRADA"),0)+IFERROR(SUMIFS('Base bordo'!G$2:G$746,'Base bordo'!C$2:C$746,A961,'Base bordo'!B$2:B$746,B961,'Base bordo'!F$2:F$746,"BALANÇA - SAÍDA"),0)</f>
        <v>0.02</v>
      </c>
      <c r="K961" s="10">
        <f>IFERROR(SUMIFS('Base bordo'!G$2:G$746,'Base bordo'!C$2:C$746,A961,'Base bordo'!B$2:B$746,B961,'Base bordo'!F$2:F$746,"MAN PREVENTIVA - MECANICA"),0)+IFERROR(SUMIFS('Base bordo'!G$2:G$746,'Base bordo'!C$2:C$746,A961,'Base bordo'!B$2:B$746,B961,'Base bordo'!F$2:F$746,"MAN CORRETIVA - MECANICA"),0)</f>
        <v>0</v>
      </c>
      <c r="L961" s="10">
        <f>IFERROR(SUMIFS('Base bordo'!G$2:G$746,'Base bordo'!C$2:C$746,A961,'Base bordo'!B$2:B$746,B961,'Base bordo'!F$2:F$746,"MANUTENCAO - T O"),0)+IFERROR(SUMIFS('Base bordo'!G$2:G$746,'Base bordo'!C$2:C$746,A961,'Base bordo'!B$2:B$746,B961,'Base bordo'!F$2:F$746,"MANUTENCAO BORRACHARIA"),0)+IFERROR(SUMIFS('Base bordo'!G$2:G$746,'Base bordo'!C$2:C$746,A961,'Base bordo'!B$2:B$746,B961,'Base bordo'!F$2:F$746,"MANUTENCAO EXTERNA  CONCESSIONARIA"),0)+IFERROR(SUMIFS('Base bordo'!G$2:G$746,'Base bordo'!C$2:C$746,A961,'Base bordo'!B$2:B$746,B961,'Base bordo'!F$2:F$746,"MANUTENCAO TELEMETRIA"),0)</f>
        <v>0</v>
      </c>
      <c r="M961" s="10">
        <f>IFERROR(SUMIFS('Base bordo'!G$2:G$746,'Base bordo'!C$2:C$746,A961,'Base bordo'!B$2:B$746,B961,'Base bordo'!F$2:F$746,"AGUARDANDO MANUTENCAO"),0)</f>
        <v>0</v>
      </c>
      <c r="N961" s="10">
        <f>IFERROR(SUMIFS('Base bordo'!G$2:G$746,'Base bordo'!C$2:C$746,A961,'Base bordo'!B$2:B$746,B961,'Base bordo'!F$2:F$746,"SEM APONTAMENTO"),0)</f>
        <v>0</v>
      </c>
      <c r="O961" s="10">
        <f t="shared" si="96"/>
        <v>2.4166666666666003E-2</v>
      </c>
      <c r="P961" s="10">
        <f>IFERROR(SUMIFS('Base bordo'!G$2:G$746,'Base bordo'!C$2:C$746,A961,'Base bordo'!B$2:B$746,B961),0)</f>
        <v>6.1466666666666665</v>
      </c>
      <c r="Q961" s="10">
        <f>IFERROR(SUMIFS('Base bordo'!H$2:H$746,'Base bordo'!C$2:C$746,A961,'Base bordo'!B$2:B$746,B961,'Base bordo'!F$2:F$746,"DESLOCAMENTO VAZIO"),0)</f>
        <v>213698.84</v>
      </c>
      <c r="R961" s="10">
        <f>IFERROR(SUMIFS('Base bordo'!I$2:I$746,'Base bordo'!C$2:C$746,A961,'Base bordo'!B$2:B$746,B961,'Base bordo'!F$2:F$746,"DESLOCAMENTO VAZIO"),0)</f>
        <v>8247</v>
      </c>
      <c r="S961" s="30">
        <f t="shared" si="97"/>
        <v>25.912312356008243</v>
      </c>
      <c r="T961" s="10">
        <f>IFERROR(SUMIFS('Base bordo'!H$2:H$746,'Base bordo'!C$2:C$746,A961,'Base bordo'!B$2:B$746,B961,'Base bordo'!F$2:F$746,"DESLOCAMENTO CARREGADO"),0)</f>
        <v>171355.69999999998</v>
      </c>
      <c r="U961" s="10">
        <f>IFERROR(SUMIFS('Base bordo'!I$2:I$746,'Base bordo'!C$2:C$746,A961,'Base bordo'!B$2:B$746,B961,'Base bordo'!F$2:F$746,"DESLOCAMENTO CARREGADO"),0)</f>
        <v>6497</v>
      </c>
      <c r="V961" s="30">
        <f t="shared" si="98"/>
        <v>26.374588271509925</v>
      </c>
      <c r="W961" s="9">
        <f t="shared" si="99"/>
        <v>0.37269522776572672</v>
      </c>
      <c r="X961" s="9">
        <f t="shared" si="100"/>
        <v>0.29614063629790316</v>
      </c>
      <c r="Y961" s="9">
        <f t="shared" si="101"/>
        <v>0.33116413593637006</v>
      </c>
    </row>
    <row r="962" spans="1:25" ht="15" customHeight="1" x14ac:dyDescent="0.35">
      <c r="A962" s="52">
        <v>8013485</v>
      </c>
      <c r="B962" s="51">
        <v>46119</v>
      </c>
      <c r="C962" s="7" t="s">
        <v>124</v>
      </c>
      <c r="D962" s="10">
        <f>IFERROR(SUMIFS('Base bordo'!G$2:G$746,'Base bordo'!C$2:C$746,A962,'Base bordo'!B$2:B$746,B962,'Base bordo'!F$2:F$746,"DESLOCAMENTO VAZIO"),0)</f>
        <v>2.2908333333333335</v>
      </c>
      <c r="E962" s="10">
        <f>IFERROR(SUMIFS('Base bordo'!G$2:G$746,'Base bordo'!C$2:C$746,A962,'Base bordo'!B$2:B$746,B962,'Base bordo'!F$2:F$746,"DESLOCAMENTO CARREGADO"),0)</f>
        <v>1.8202777777777779</v>
      </c>
      <c r="F962" s="10">
        <f>IFERROR(SUMIFS('Base bordo'!G$2:G$746,'Base bordo'!C$2:C$746,A962,'Base bordo'!B$2:B$746,B962,'Base bordo'!F$2:F$746,"DESLOCAMENTO"),0)</f>
        <v>0</v>
      </c>
      <c r="G962" s="10">
        <f>IFERROR(SUMIFS('Base bordo'!G$2:G$746,'Base bordo'!C$2:C$746,A962,'Base bordo'!B$2:B$746,B962,'Base bordo'!F$2:F$746,"CARREGAMENTO"),0)</f>
        <v>0</v>
      </c>
      <c r="H962" s="10">
        <f>IFERROR(SUMIFS('Base bordo'!G$2:G$746,'Base bordo'!C$2:C$746,A962,'Base bordo'!B$2:B$746,B962,'Base bordo'!F$2:F$746,"AGUARDANDO TRANSBORDO"),0)</f>
        <v>0</v>
      </c>
      <c r="I962" s="10">
        <f>IFERROR(SUMIFS('Base bordo'!G$2:G$746,'Base bordo'!C$2:C$746,A962,'Base bordo'!B$2:B$746,B962,'Base bordo'!F$2:F$746,"PÁTIO INTERNO"),0)+IFERROR(SUMIFS('Base bordo'!G$2:G$746,'Base bordo'!C$2:C$746,A962,'Base bordo'!B$2:B$746,B962,'Base bordo'!F$2:F$746,"PÁTIO EXTERNO"),0)+IFERROR(SUMIFS('Base bordo'!G$2:G$746,'Base bordo'!C$2:C$746,A962,'Base bordo'!B$2:B$746,B962,'Base bordo'!F$2:F$746,"PATIO - RESERVA"),0)+IFERROR(SUMIFS('Base bordo'!G$2:G$746,'Base bordo'!C$2:C$746,A962,'Base bordo'!B$2:B$746,B962,'Base bordo'!F$2:F$746,"MANOBRA CARRETAS-PATIO"),0)</f>
        <v>1.9913888888888889</v>
      </c>
      <c r="J962" s="10">
        <f>IFERROR(SUMIFS('Base bordo'!G$2:G$746,'Base bordo'!C$2:C$746,A962,'Base bordo'!B$2:B$746,B962,'Base bordo'!F$2:F$746,"BALANÇA - ENTRADA"),0)+IFERROR(SUMIFS('Base bordo'!G$2:G$746,'Base bordo'!C$2:C$746,A962,'Base bordo'!B$2:B$746,B962,'Base bordo'!F$2:F$746,"BALANÇA - SAÍDA"),0)</f>
        <v>0.02</v>
      </c>
      <c r="K962" s="10">
        <f>IFERROR(SUMIFS('Base bordo'!G$2:G$746,'Base bordo'!C$2:C$746,A962,'Base bordo'!B$2:B$746,B962,'Base bordo'!F$2:F$746,"MAN PREVENTIVA - MECANICA"),0)+IFERROR(SUMIFS('Base bordo'!G$2:G$746,'Base bordo'!C$2:C$746,A962,'Base bordo'!B$2:B$746,B962,'Base bordo'!F$2:F$746,"MAN CORRETIVA - MECANICA"),0)</f>
        <v>0</v>
      </c>
      <c r="L962" s="10">
        <f>IFERROR(SUMIFS('Base bordo'!G$2:G$746,'Base bordo'!C$2:C$746,A962,'Base bordo'!B$2:B$746,B962,'Base bordo'!F$2:F$746,"MANUTENCAO - T O"),0)+IFERROR(SUMIFS('Base bordo'!G$2:G$746,'Base bordo'!C$2:C$746,A962,'Base bordo'!B$2:B$746,B962,'Base bordo'!F$2:F$746,"MANUTENCAO BORRACHARIA"),0)+IFERROR(SUMIFS('Base bordo'!G$2:G$746,'Base bordo'!C$2:C$746,A962,'Base bordo'!B$2:B$746,B962,'Base bordo'!F$2:F$746,"MANUTENCAO EXTERNA  CONCESSIONARIA"),0)+IFERROR(SUMIFS('Base bordo'!G$2:G$746,'Base bordo'!C$2:C$746,A962,'Base bordo'!B$2:B$746,B962,'Base bordo'!F$2:F$746,"MANUTENCAO TELEMETRIA"),0)</f>
        <v>0</v>
      </c>
      <c r="M962" s="10">
        <f>IFERROR(SUMIFS('Base bordo'!G$2:G$746,'Base bordo'!C$2:C$746,A962,'Base bordo'!B$2:B$746,B962,'Base bordo'!F$2:F$746,"AGUARDANDO MANUTENCAO"),0)</f>
        <v>0</v>
      </c>
      <c r="N962" s="10">
        <f>IFERROR(SUMIFS('Base bordo'!G$2:G$746,'Base bordo'!C$2:C$746,A962,'Base bordo'!B$2:B$746,B962,'Base bordo'!F$2:F$746,"SEM APONTAMENTO"),0)</f>
        <v>0</v>
      </c>
      <c r="O962" s="10">
        <f t="shared" si="96"/>
        <v>2.4166666666666003E-2</v>
      </c>
      <c r="P962" s="10">
        <f>IFERROR(SUMIFS('Base bordo'!G$2:G$746,'Base bordo'!C$2:C$746,A962,'Base bordo'!B$2:B$746,B962),0)</f>
        <v>6.1466666666666665</v>
      </c>
      <c r="Q962" s="10">
        <f>IFERROR(SUMIFS('Base bordo'!H$2:H$746,'Base bordo'!C$2:C$746,A962,'Base bordo'!B$2:B$746,B962,'Base bordo'!F$2:F$746,"DESLOCAMENTO VAZIO"),0)</f>
        <v>213698.84</v>
      </c>
      <c r="R962" s="10">
        <f>IFERROR(SUMIFS('Base bordo'!I$2:I$746,'Base bordo'!C$2:C$746,A962,'Base bordo'!B$2:B$746,B962,'Base bordo'!F$2:F$746,"DESLOCAMENTO VAZIO"),0)</f>
        <v>8247</v>
      </c>
      <c r="S962" s="30">
        <f t="shared" si="97"/>
        <v>25.912312356008243</v>
      </c>
      <c r="T962" s="10">
        <f>IFERROR(SUMIFS('Base bordo'!H$2:H$746,'Base bordo'!C$2:C$746,A962,'Base bordo'!B$2:B$746,B962,'Base bordo'!F$2:F$746,"DESLOCAMENTO CARREGADO"),0)</f>
        <v>171355.69999999998</v>
      </c>
      <c r="U962" s="10">
        <f>IFERROR(SUMIFS('Base bordo'!I$2:I$746,'Base bordo'!C$2:C$746,A962,'Base bordo'!B$2:B$746,B962,'Base bordo'!F$2:F$746,"DESLOCAMENTO CARREGADO"),0)</f>
        <v>6497</v>
      </c>
      <c r="V962" s="30">
        <f t="shared" si="98"/>
        <v>26.374588271509925</v>
      </c>
      <c r="W962" s="9">
        <f t="shared" si="99"/>
        <v>0.37269522776572672</v>
      </c>
      <c r="X962" s="9">
        <f t="shared" si="100"/>
        <v>0.29614063629790316</v>
      </c>
      <c r="Y962" s="9">
        <f t="shared" si="101"/>
        <v>0.33116413593637006</v>
      </c>
    </row>
    <row r="963" spans="1:25" ht="15" customHeight="1" x14ac:dyDescent="0.35">
      <c r="A963" s="52">
        <v>8013485</v>
      </c>
      <c r="B963" s="51">
        <v>46119</v>
      </c>
      <c r="C963" s="7" t="s">
        <v>124</v>
      </c>
      <c r="D963" s="10">
        <f>IFERROR(SUMIFS('Base bordo'!G$2:G$746,'Base bordo'!C$2:C$746,A963,'Base bordo'!B$2:B$746,B963,'Base bordo'!F$2:F$746,"DESLOCAMENTO VAZIO"),0)</f>
        <v>2.2908333333333335</v>
      </c>
      <c r="E963" s="10">
        <f>IFERROR(SUMIFS('Base bordo'!G$2:G$746,'Base bordo'!C$2:C$746,A963,'Base bordo'!B$2:B$746,B963,'Base bordo'!F$2:F$746,"DESLOCAMENTO CARREGADO"),0)</f>
        <v>1.8202777777777779</v>
      </c>
      <c r="F963" s="10">
        <f>IFERROR(SUMIFS('Base bordo'!G$2:G$746,'Base bordo'!C$2:C$746,A963,'Base bordo'!B$2:B$746,B963,'Base bordo'!F$2:F$746,"DESLOCAMENTO"),0)</f>
        <v>0</v>
      </c>
      <c r="G963" s="10">
        <f>IFERROR(SUMIFS('Base bordo'!G$2:G$746,'Base bordo'!C$2:C$746,A963,'Base bordo'!B$2:B$746,B963,'Base bordo'!F$2:F$746,"CARREGAMENTO"),0)</f>
        <v>0</v>
      </c>
      <c r="H963" s="10">
        <f>IFERROR(SUMIFS('Base bordo'!G$2:G$746,'Base bordo'!C$2:C$746,A963,'Base bordo'!B$2:B$746,B963,'Base bordo'!F$2:F$746,"AGUARDANDO TRANSBORDO"),0)</f>
        <v>0</v>
      </c>
      <c r="I963" s="10">
        <f>IFERROR(SUMIFS('Base bordo'!G$2:G$746,'Base bordo'!C$2:C$746,A963,'Base bordo'!B$2:B$746,B963,'Base bordo'!F$2:F$746,"PÁTIO INTERNO"),0)+IFERROR(SUMIFS('Base bordo'!G$2:G$746,'Base bordo'!C$2:C$746,A963,'Base bordo'!B$2:B$746,B963,'Base bordo'!F$2:F$746,"PÁTIO EXTERNO"),0)+IFERROR(SUMIFS('Base bordo'!G$2:G$746,'Base bordo'!C$2:C$746,A963,'Base bordo'!B$2:B$746,B963,'Base bordo'!F$2:F$746,"PATIO - RESERVA"),0)+IFERROR(SUMIFS('Base bordo'!G$2:G$746,'Base bordo'!C$2:C$746,A963,'Base bordo'!B$2:B$746,B963,'Base bordo'!F$2:F$746,"MANOBRA CARRETAS-PATIO"),0)</f>
        <v>1.9913888888888889</v>
      </c>
      <c r="J963" s="10">
        <f>IFERROR(SUMIFS('Base bordo'!G$2:G$746,'Base bordo'!C$2:C$746,A963,'Base bordo'!B$2:B$746,B963,'Base bordo'!F$2:F$746,"BALANÇA - ENTRADA"),0)+IFERROR(SUMIFS('Base bordo'!G$2:G$746,'Base bordo'!C$2:C$746,A963,'Base bordo'!B$2:B$746,B963,'Base bordo'!F$2:F$746,"BALANÇA - SAÍDA"),0)</f>
        <v>0.02</v>
      </c>
      <c r="K963" s="10">
        <f>IFERROR(SUMIFS('Base bordo'!G$2:G$746,'Base bordo'!C$2:C$746,A963,'Base bordo'!B$2:B$746,B963,'Base bordo'!F$2:F$746,"MAN PREVENTIVA - MECANICA"),0)+IFERROR(SUMIFS('Base bordo'!G$2:G$746,'Base bordo'!C$2:C$746,A963,'Base bordo'!B$2:B$746,B963,'Base bordo'!F$2:F$746,"MAN CORRETIVA - MECANICA"),0)</f>
        <v>0</v>
      </c>
      <c r="L963" s="10">
        <f>IFERROR(SUMIFS('Base bordo'!G$2:G$746,'Base bordo'!C$2:C$746,A963,'Base bordo'!B$2:B$746,B963,'Base bordo'!F$2:F$746,"MANUTENCAO - T O"),0)+IFERROR(SUMIFS('Base bordo'!G$2:G$746,'Base bordo'!C$2:C$746,A963,'Base bordo'!B$2:B$746,B963,'Base bordo'!F$2:F$746,"MANUTENCAO BORRACHARIA"),0)+IFERROR(SUMIFS('Base bordo'!G$2:G$746,'Base bordo'!C$2:C$746,A963,'Base bordo'!B$2:B$746,B963,'Base bordo'!F$2:F$746,"MANUTENCAO EXTERNA  CONCESSIONARIA"),0)+IFERROR(SUMIFS('Base bordo'!G$2:G$746,'Base bordo'!C$2:C$746,A963,'Base bordo'!B$2:B$746,B963,'Base bordo'!F$2:F$746,"MANUTENCAO TELEMETRIA"),0)</f>
        <v>0</v>
      </c>
      <c r="M963" s="10">
        <f>IFERROR(SUMIFS('Base bordo'!G$2:G$746,'Base bordo'!C$2:C$746,A963,'Base bordo'!B$2:B$746,B963,'Base bordo'!F$2:F$746,"AGUARDANDO MANUTENCAO"),0)</f>
        <v>0</v>
      </c>
      <c r="N963" s="10">
        <f>IFERROR(SUMIFS('Base bordo'!G$2:G$746,'Base bordo'!C$2:C$746,A963,'Base bordo'!B$2:B$746,B963,'Base bordo'!F$2:F$746,"SEM APONTAMENTO"),0)</f>
        <v>0</v>
      </c>
      <c r="O963" s="10">
        <f t="shared" si="96"/>
        <v>2.4166666666666003E-2</v>
      </c>
      <c r="P963" s="10">
        <f>IFERROR(SUMIFS('Base bordo'!G$2:G$746,'Base bordo'!C$2:C$746,A963,'Base bordo'!B$2:B$746,B963),0)</f>
        <v>6.1466666666666665</v>
      </c>
      <c r="Q963" s="10">
        <f>IFERROR(SUMIFS('Base bordo'!H$2:H$746,'Base bordo'!C$2:C$746,A963,'Base bordo'!B$2:B$746,B963,'Base bordo'!F$2:F$746,"DESLOCAMENTO VAZIO"),0)</f>
        <v>213698.84</v>
      </c>
      <c r="R963" s="10">
        <f>IFERROR(SUMIFS('Base bordo'!I$2:I$746,'Base bordo'!C$2:C$746,A963,'Base bordo'!B$2:B$746,B963,'Base bordo'!F$2:F$746,"DESLOCAMENTO VAZIO"),0)</f>
        <v>8247</v>
      </c>
      <c r="S963" s="30">
        <f t="shared" si="97"/>
        <v>25.912312356008243</v>
      </c>
      <c r="T963" s="10">
        <f>IFERROR(SUMIFS('Base bordo'!H$2:H$746,'Base bordo'!C$2:C$746,A963,'Base bordo'!B$2:B$746,B963,'Base bordo'!F$2:F$746,"DESLOCAMENTO CARREGADO"),0)</f>
        <v>171355.69999999998</v>
      </c>
      <c r="U963" s="10">
        <f>IFERROR(SUMIFS('Base bordo'!I$2:I$746,'Base bordo'!C$2:C$746,A963,'Base bordo'!B$2:B$746,B963,'Base bordo'!F$2:F$746,"DESLOCAMENTO CARREGADO"),0)</f>
        <v>6497</v>
      </c>
      <c r="V963" s="30">
        <f t="shared" si="98"/>
        <v>26.374588271509925</v>
      </c>
      <c r="W963" s="9">
        <f t="shared" si="99"/>
        <v>0.37269522776572672</v>
      </c>
      <c r="X963" s="9">
        <f t="shared" si="100"/>
        <v>0.29614063629790316</v>
      </c>
      <c r="Y963" s="9">
        <f t="shared" si="101"/>
        <v>0.33116413593637006</v>
      </c>
    </row>
    <row r="964" spans="1:25" ht="15" customHeight="1" x14ac:dyDescent="0.35">
      <c r="A964" s="52">
        <v>8013485</v>
      </c>
      <c r="B964" s="51">
        <v>46119</v>
      </c>
      <c r="C964" s="7" t="s">
        <v>124</v>
      </c>
      <c r="D964" s="10">
        <f>IFERROR(SUMIFS('Base bordo'!G$2:G$746,'Base bordo'!C$2:C$746,A964,'Base bordo'!B$2:B$746,B964,'Base bordo'!F$2:F$746,"DESLOCAMENTO VAZIO"),0)</f>
        <v>2.2908333333333335</v>
      </c>
      <c r="E964" s="10">
        <f>IFERROR(SUMIFS('Base bordo'!G$2:G$746,'Base bordo'!C$2:C$746,A964,'Base bordo'!B$2:B$746,B964,'Base bordo'!F$2:F$746,"DESLOCAMENTO CARREGADO"),0)</f>
        <v>1.8202777777777779</v>
      </c>
      <c r="F964" s="10">
        <f>IFERROR(SUMIFS('Base bordo'!G$2:G$746,'Base bordo'!C$2:C$746,A964,'Base bordo'!B$2:B$746,B964,'Base bordo'!F$2:F$746,"DESLOCAMENTO"),0)</f>
        <v>0</v>
      </c>
      <c r="G964" s="10">
        <f>IFERROR(SUMIFS('Base bordo'!G$2:G$746,'Base bordo'!C$2:C$746,A964,'Base bordo'!B$2:B$746,B964,'Base bordo'!F$2:F$746,"CARREGAMENTO"),0)</f>
        <v>0</v>
      </c>
      <c r="H964" s="10">
        <f>IFERROR(SUMIFS('Base bordo'!G$2:G$746,'Base bordo'!C$2:C$746,A964,'Base bordo'!B$2:B$746,B964,'Base bordo'!F$2:F$746,"AGUARDANDO TRANSBORDO"),0)</f>
        <v>0</v>
      </c>
      <c r="I964" s="10">
        <f>IFERROR(SUMIFS('Base bordo'!G$2:G$746,'Base bordo'!C$2:C$746,A964,'Base bordo'!B$2:B$746,B964,'Base bordo'!F$2:F$746,"PÁTIO INTERNO"),0)+IFERROR(SUMIFS('Base bordo'!G$2:G$746,'Base bordo'!C$2:C$746,A964,'Base bordo'!B$2:B$746,B964,'Base bordo'!F$2:F$746,"PÁTIO EXTERNO"),0)+IFERROR(SUMIFS('Base bordo'!G$2:G$746,'Base bordo'!C$2:C$746,A964,'Base bordo'!B$2:B$746,B964,'Base bordo'!F$2:F$746,"PATIO - RESERVA"),0)+IFERROR(SUMIFS('Base bordo'!G$2:G$746,'Base bordo'!C$2:C$746,A964,'Base bordo'!B$2:B$746,B964,'Base bordo'!F$2:F$746,"MANOBRA CARRETAS-PATIO"),0)</f>
        <v>1.9913888888888889</v>
      </c>
      <c r="J964" s="10">
        <f>IFERROR(SUMIFS('Base bordo'!G$2:G$746,'Base bordo'!C$2:C$746,A964,'Base bordo'!B$2:B$746,B964,'Base bordo'!F$2:F$746,"BALANÇA - ENTRADA"),0)+IFERROR(SUMIFS('Base bordo'!G$2:G$746,'Base bordo'!C$2:C$746,A964,'Base bordo'!B$2:B$746,B964,'Base bordo'!F$2:F$746,"BALANÇA - SAÍDA"),0)</f>
        <v>0.02</v>
      </c>
      <c r="K964" s="10">
        <f>IFERROR(SUMIFS('Base bordo'!G$2:G$746,'Base bordo'!C$2:C$746,A964,'Base bordo'!B$2:B$746,B964,'Base bordo'!F$2:F$746,"MAN PREVENTIVA - MECANICA"),0)+IFERROR(SUMIFS('Base bordo'!G$2:G$746,'Base bordo'!C$2:C$746,A964,'Base bordo'!B$2:B$746,B964,'Base bordo'!F$2:F$746,"MAN CORRETIVA - MECANICA"),0)</f>
        <v>0</v>
      </c>
      <c r="L964" s="10">
        <f>IFERROR(SUMIFS('Base bordo'!G$2:G$746,'Base bordo'!C$2:C$746,A964,'Base bordo'!B$2:B$746,B964,'Base bordo'!F$2:F$746,"MANUTENCAO - T O"),0)+IFERROR(SUMIFS('Base bordo'!G$2:G$746,'Base bordo'!C$2:C$746,A964,'Base bordo'!B$2:B$746,B964,'Base bordo'!F$2:F$746,"MANUTENCAO BORRACHARIA"),0)+IFERROR(SUMIFS('Base bordo'!G$2:G$746,'Base bordo'!C$2:C$746,A964,'Base bordo'!B$2:B$746,B964,'Base bordo'!F$2:F$746,"MANUTENCAO EXTERNA  CONCESSIONARIA"),0)+IFERROR(SUMIFS('Base bordo'!G$2:G$746,'Base bordo'!C$2:C$746,A964,'Base bordo'!B$2:B$746,B964,'Base bordo'!F$2:F$746,"MANUTENCAO TELEMETRIA"),0)</f>
        <v>0</v>
      </c>
      <c r="M964" s="10">
        <f>IFERROR(SUMIFS('Base bordo'!G$2:G$746,'Base bordo'!C$2:C$746,A964,'Base bordo'!B$2:B$746,B964,'Base bordo'!F$2:F$746,"AGUARDANDO MANUTENCAO"),0)</f>
        <v>0</v>
      </c>
      <c r="N964" s="10">
        <f>IFERROR(SUMIFS('Base bordo'!G$2:G$746,'Base bordo'!C$2:C$746,A964,'Base bordo'!B$2:B$746,B964,'Base bordo'!F$2:F$746,"SEM APONTAMENTO"),0)</f>
        <v>0</v>
      </c>
      <c r="O964" s="10">
        <f t="shared" si="96"/>
        <v>2.4166666666666003E-2</v>
      </c>
      <c r="P964" s="10">
        <f>IFERROR(SUMIFS('Base bordo'!G$2:G$746,'Base bordo'!C$2:C$746,A964,'Base bordo'!B$2:B$746,B964),0)</f>
        <v>6.1466666666666665</v>
      </c>
      <c r="Q964" s="10">
        <f>IFERROR(SUMIFS('Base bordo'!H$2:H$746,'Base bordo'!C$2:C$746,A964,'Base bordo'!B$2:B$746,B964,'Base bordo'!F$2:F$746,"DESLOCAMENTO VAZIO"),0)</f>
        <v>213698.84</v>
      </c>
      <c r="R964" s="10">
        <f>IFERROR(SUMIFS('Base bordo'!I$2:I$746,'Base bordo'!C$2:C$746,A964,'Base bordo'!B$2:B$746,B964,'Base bordo'!F$2:F$746,"DESLOCAMENTO VAZIO"),0)</f>
        <v>8247</v>
      </c>
      <c r="S964" s="30">
        <f t="shared" si="97"/>
        <v>25.912312356008243</v>
      </c>
      <c r="T964" s="10">
        <f>IFERROR(SUMIFS('Base bordo'!H$2:H$746,'Base bordo'!C$2:C$746,A964,'Base bordo'!B$2:B$746,B964,'Base bordo'!F$2:F$746,"DESLOCAMENTO CARREGADO"),0)</f>
        <v>171355.69999999998</v>
      </c>
      <c r="U964" s="10">
        <f>IFERROR(SUMIFS('Base bordo'!I$2:I$746,'Base bordo'!C$2:C$746,A964,'Base bordo'!B$2:B$746,B964,'Base bordo'!F$2:F$746,"DESLOCAMENTO CARREGADO"),0)</f>
        <v>6497</v>
      </c>
      <c r="V964" s="30">
        <f t="shared" si="98"/>
        <v>26.374588271509925</v>
      </c>
      <c r="W964" s="9">
        <f t="shared" si="99"/>
        <v>0.37269522776572672</v>
      </c>
      <c r="X964" s="9">
        <f t="shared" si="100"/>
        <v>0.29614063629790316</v>
      </c>
      <c r="Y964" s="9">
        <f t="shared" si="101"/>
        <v>0.33116413593637006</v>
      </c>
    </row>
    <row r="965" spans="1:25" ht="15" customHeight="1" x14ac:dyDescent="0.35">
      <c r="A965" s="52">
        <v>8013486</v>
      </c>
      <c r="B965" s="51">
        <v>46119</v>
      </c>
      <c r="C965" s="7" t="s">
        <v>124</v>
      </c>
      <c r="D965" s="10">
        <f>IFERROR(SUMIFS('Base bordo'!G$2:G$746,'Base bordo'!C$2:C$746,A965,'Base bordo'!B$2:B$746,B965,'Base bordo'!F$2:F$746,"DESLOCAMENTO VAZIO"),0)</f>
        <v>0.33</v>
      </c>
      <c r="E965" s="10">
        <f>IFERROR(SUMIFS('Base bordo'!G$2:G$746,'Base bordo'!C$2:C$746,A965,'Base bordo'!B$2:B$746,B965,'Base bordo'!F$2:F$746,"DESLOCAMENTO CARREGADO"),0)</f>
        <v>0</v>
      </c>
      <c r="F965" s="10">
        <f>IFERROR(SUMIFS('Base bordo'!G$2:G$746,'Base bordo'!C$2:C$746,A965,'Base bordo'!B$2:B$746,B965,'Base bordo'!F$2:F$746,"DESLOCAMENTO"),0)</f>
        <v>0</v>
      </c>
      <c r="G965" s="10">
        <f>IFERROR(SUMIFS('Base bordo'!G$2:G$746,'Base bordo'!C$2:C$746,A965,'Base bordo'!B$2:B$746,B965,'Base bordo'!F$2:F$746,"CARREGAMENTO"),0)</f>
        <v>0</v>
      </c>
      <c r="H965" s="10">
        <f>IFERROR(SUMIFS('Base bordo'!G$2:G$746,'Base bordo'!C$2:C$746,A965,'Base bordo'!B$2:B$746,B965,'Base bordo'!F$2:F$746,"AGUARDANDO TRANSBORDO"),0)</f>
        <v>8.666666666666667E-2</v>
      </c>
      <c r="I965" s="10">
        <f>IFERROR(SUMIFS('Base bordo'!G$2:G$746,'Base bordo'!C$2:C$746,A965,'Base bordo'!B$2:B$746,B965,'Base bordo'!F$2:F$746,"PÁTIO INTERNO"),0)+IFERROR(SUMIFS('Base bordo'!G$2:G$746,'Base bordo'!C$2:C$746,A965,'Base bordo'!B$2:B$746,B965,'Base bordo'!F$2:F$746,"PÁTIO EXTERNO"),0)+IFERROR(SUMIFS('Base bordo'!G$2:G$746,'Base bordo'!C$2:C$746,A965,'Base bordo'!B$2:B$746,B965,'Base bordo'!F$2:F$746,"PATIO - RESERVA"),0)+IFERROR(SUMIFS('Base bordo'!G$2:G$746,'Base bordo'!C$2:C$746,A965,'Base bordo'!B$2:B$746,B965,'Base bordo'!F$2:F$746,"MANOBRA CARRETAS-PATIO"),0)</f>
        <v>12.1875</v>
      </c>
      <c r="J965" s="10">
        <f>IFERROR(SUMIFS('Base bordo'!G$2:G$746,'Base bordo'!C$2:C$746,A965,'Base bordo'!B$2:B$746,B965,'Base bordo'!F$2:F$746,"BALANÇA - ENTRADA"),0)+IFERROR(SUMIFS('Base bordo'!G$2:G$746,'Base bordo'!C$2:C$746,A965,'Base bordo'!B$2:B$746,B965,'Base bordo'!F$2:F$746,"BALANÇA - SAÍDA"),0)</f>
        <v>1.0555555555555556E-2</v>
      </c>
      <c r="K965" s="10">
        <f>IFERROR(SUMIFS('Base bordo'!G$2:G$746,'Base bordo'!C$2:C$746,A965,'Base bordo'!B$2:B$746,B965,'Base bordo'!F$2:F$746,"MAN PREVENTIVA - MECANICA"),0)+IFERROR(SUMIFS('Base bordo'!G$2:G$746,'Base bordo'!C$2:C$746,A965,'Base bordo'!B$2:B$746,B965,'Base bordo'!F$2:F$746,"MAN CORRETIVA - MECANICA"),0)</f>
        <v>0</v>
      </c>
      <c r="L965" s="10">
        <f>IFERROR(SUMIFS('Base bordo'!G$2:G$746,'Base bordo'!C$2:C$746,A965,'Base bordo'!B$2:B$746,B965,'Base bordo'!F$2:F$746,"MANUTENCAO - T O"),0)+IFERROR(SUMIFS('Base bordo'!G$2:G$746,'Base bordo'!C$2:C$746,A965,'Base bordo'!B$2:B$746,B965,'Base bordo'!F$2:F$746,"MANUTENCAO BORRACHARIA"),0)+IFERROR(SUMIFS('Base bordo'!G$2:G$746,'Base bordo'!C$2:C$746,A965,'Base bordo'!B$2:B$746,B965,'Base bordo'!F$2:F$746,"MANUTENCAO EXTERNA  CONCESSIONARIA"),0)+IFERROR(SUMIFS('Base bordo'!G$2:G$746,'Base bordo'!C$2:C$746,A965,'Base bordo'!B$2:B$746,B965,'Base bordo'!F$2:F$746,"MANUTENCAO TELEMETRIA"),0)</f>
        <v>0</v>
      </c>
      <c r="M965" s="10">
        <f>IFERROR(SUMIFS('Base bordo'!G$2:G$746,'Base bordo'!C$2:C$746,A965,'Base bordo'!B$2:B$746,B965,'Base bordo'!F$2:F$746,"AGUARDANDO MANUTENCAO"),0)</f>
        <v>0</v>
      </c>
      <c r="N965" s="10">
        <f>IFERROR(SUMIFS('Base bordo'!G$2:G$746,'Base bordo'!C$2:C$746,A965,'Base bordo'!B$2:B$746,B965,'Base bordo'!F$2:F$746,"SEM APONTAMENTO"),0)</f>
        <v>0</v>
      </c>
      <c r="O965" s="10">
        <f t="shared" si="96"/>
        <v>0</v>
      </c>
      <c r="P965" s="10">
        <f>IFERROR(SUMIFS('Base bordo'!G$2:G$746,'Base bordo'!C$2:C$746,A965,'Base bordo'!B$2:B$746,B965),0)</f>
        <v>12.614722222222222</v>
      </c>
      <c r="Q965" s="10">
        <f>IFERROR(SUMIFS('Base bordo'!H$2:H$746,'Base bordo'!C$2:C$746,A965,'Base bordo'!B$2:B$746,B965,'Base bordo'!F$2:F$746,"DESLOCAMENTO VAZIO"),0)</f>
        <v>7895.41</v>
      </c>
      <c r="R965" s="10">
        <f>IFERROR(SUMIFS('Base bordo'!I$2:I$746,'Base bordo'!C$2:C$746,A965,'Base bordo'!B$2:B$746,B965,'Base bordo'!F$2:F$746,"DESLOCAMENTO VAZIO"),0)</f>
        <v>1188</v>
      </c>
      <c r="S965" s="30">
        <f t="shared" si="97"/>
        <v>6.6459680134680132</v>
      </c>
      <c r="T965" s="10">
        <f>IFERROR(SUMIFS('Base bordo'!H$2:H$746,'Base bordo'!C$2:C$746,A965,'Base bordo'!B$2:B$746,B965,'Base bordo'!F$2:F$746,"DESLOCAMENTO CARREGADO"),0)</f>
        <v>0</v>
      </c>
      <c r="U965" s="10">
        <f>IFERROR(SUMIFS('Base bordo'!I$2:I$746,'Base bordo'!C$2:C$746,A965,'Base bordo'!B$2:B$746,B965,'Base bordo'!F$2:F$746,"DESLOCAMENTO CARREGADO"),0)</f>
        <v>0</v>
      </c>
      <c r="V965" s="30" t="str">
        <f t="shared" si="98"/>
        <v/>
      </c>
      <c r="W965" s="9">
        <f t="shared" si="99"/>
        <v>2.6159910157884308E-2</v>
      </c>
      <c r="X965" s="9">
        <f t="shared" si="100"/>
        <v>0</v>
      </c>
      <c r="Y965" s="9">
        <f t="shared" si="101"/>
        <v>0.97384008984211567</v>
      </c>
    </row>
    <row r="966" spans="1:25" ht="15" customHeight="1" x14ac:dyDescent="0.35">
      <c r="A966" s="52">
        <v>8013486</v>
      </c>
      <c r="B966" s="51">
        <v>46119</v>
      </c>
      <c r="C966" s="7" t="s">
        <v>124</v>
      </c>
      <c r="D966" s="10">
        <f>IFERROR(SUMIFS('Base bordo'!G$2:G$746,'Base bordo'!C$2:C$746,A966,'Base bordo'!B$2:B$746,B966,'Base bordo'!F$2:F$746,"DESLOCAMENTO VAZIO"),0)</f>
        <v>0.33</v>
      </c>
      <c r="E966" s="10">
        <f>IFERROR(SUMIFS('Base bordo'!G$2:G$746,'Base bordo'!C$2:C$746,A966,'Base bordo'!B$2:B$746,B966,'Base bordo'!F$2:F$746,"DESLOCAMENTO CARREGADO"),0)</f>
        <v>0</v>
      </c>
      <c r="F966" s="10">
        <f>IFERROR(SUMIFS('Base bordo'!G$2:G$746,'Base bordo'!C$2:C$746,A966,'Base bordo'!B$2:B$746,B966,'Base bordo'!F$2:F$746,"DESLOCAMENTO"),0)</f>
        <v>0</v>
      </c>
      <c r="G966" s="10">
        <f>IFERROR(SUMIFS('Base bordo'!G$2:G$746,'Base bordo'!C$2:C$746,A966,'Base bordo'!B$2:B$746,B966,'Base bordo'!F$2:F$746,"CARREGAMENTO"),0)</f>
        <v>0</v>
      </c>
      <c r="H966" s="10">
        <f>IFERROR(SUMIFS('Base bordo'!G$2:G$746,'Base bordo'!C$2:C$746,A966,'Base bordo'!B$2:B$746,B966,'Base bordo'!F$2:F$746,"AGUARDANDO TRANSBORDO"),0)</f>
        <v>8.666666666666667E-2</v>
      </c>
      <c r="I966" s="10">
        <f>IFERROR(SUMIFS('Base bordo'!G$2:G$746,'Base bordo'!C$2:C$746,A966,'Base bordo'!B$2:B$746,B966,'Base bordo'!F$2:F$746,"PÁTIO INTERNO"),0)+IFERROR(SUMIFS('Base bordo'!G$2:G$746,'Base bordo'!C$2:C$746,A966,'Base bordo'!B$2:B$746,B966,'Base bordo'!F$2:F$746,"PÁTIO EXTERNO"),0)+IFERROR(SUMIFS('Base bordo'!G$2:G$746,'Base bordo'!C$2:C$746,A966,'Base bordo'!B$2:B$746,B966,'Base bordo'!F$2:F$746,"PATIO - RESERVA"),0)+IFERROR(SUMIFS('Base bordo'!G$2:G$746,'Base bordo'!C$2:C$746,A966,'Base bordo'!B$2:B$746,B966,'Base bordo'!F$2:F$746,"MANOBRA CARRETAS-PATIO"),0)</f>
        <v>12.1875</v>
      </c>
      <c r="J966" s="10">
        <f>IFERROR(SUMIFS('Base bordo'!G$2:G$746,'Base bordo'!C$2:C$746,A966,'Base bordo'!B$2:B$746,B966,'Base bordo'!F$2:F$746,"BALANÇA - ENTRADA"),0)+IFERROR(SUMIFS('Base bordo'!G$2:G$746,'Base bordo'!C$2:C$746,A966,'Base bordo'!B$2:B$746,B966,'Base bordo'!F$2:F$746,"BALANÇA - SAÍDA"),0)</f>
        <v>1.0555555555555556E-2</v>
      </c>
      <c r="K966" s="10">
        <f>IFERROR(SUMIFS('Base bordo'!G$2:G$746,'Base bordo'!C$2:C$746,A966,'Base bordo'!B$2:B$746,B966,'Base bordo'!F$2:F$746,"MAN PREVENTIVA - MECANICA"),0)+IFERROR(SUMIFS('Base bordo'!G$2:G$746,'Base bordo'!C$2:C$746,A966,'Base bordo'!B$2:B$746,B966,'Base bordo'!F$2:F$746,"MAN CORRETIVA - MECANICA"),0)</f>
        <v>0</v>
      </c>
      <c r="L966" s="10">
        <f>IFERROR(SUMIFS('Base bordo'!G$2:G$746,'Base bordo'!C$2:C$746,A966,'Base bordo'!B$2:B$746,B966,'Base bordo'!F$2:F$746,"MANUTENCAO - T O"),0)+IFERROR(SUMIFS('Base bordo'!G$2:G$746,'Base bordo'!C$2:C$746,A966,'Base bordo'!B$2:B$746,B966,'Base bordo'!F$2:F$746,"MANUTENCAO BORRACHARIA"),0)+IFERROR(SUMIFS('Base bordo'!G$2:G$746,'Base bordo'!C$2:C$746,A966,'Base bordo'!B$2:B$746,B966,'Base bordo'!F$2:F$746,"MANUTENCAO EXTERNA  CONCESSIONARIA"),0)+IFERROR(SUMIFS('Base bordo'!G$2:G$746,'Base bordo'!C$2:C$746,A966,'Base bordo'!B$2:B$746,B966,'Base bordo'!F$2:F$746,"MANUTENCAO TELEMETRIA"),0)</f>
        <v>0</v>
      </c>
      <c r="M966" s="10">
        <f>IFERROR(SUMIFS('Base bordo'!G$2:G$746,'Base bordo'!C$2:C$746,A966,'Base bordo'!B$2:B$746,B966,'Base bordo'!F$2:F$746,"AGUARDANDO MANUTENCAO"),0)</f>
        <v>0</v>
      </c>
      <c r="N966" s="10">
        <f>IFERROR(SUMIFS('Base bordo'!G$2:G$746,'Base bordo'!C$2:C$746,A966,'Base bordo'!B$2:B$746,B966,'Base bordo'!F$2:F$746,"SEM APONTAMENTO"),0)</f>
        <v>0</v>
      </c>
      <c r="O966" s="10">
        <f t="shared" si="96"/>
        <v>0</v>
      </c>
      <c r="P966" s="10">
        <f>IFERROR(SUMIFS('Base bordo'!G$2:G$746,'Base bordo'!C$2:C$746,A966,'Base bordo'!B$2:B$746,B966),0)</f>
        <v>12.614722222222222</v>
      </c>
      <c r="Q966" s="10">
        <f>IFERROR(SUMIFS('Base bordo'!H$2:H$746,'Base bordo'!C$2:C$746,A966,'Base bordo'!B$2:B$746,B966,'Base bordo'!F$2:F$746,"DESLOCAMENTO VAZIO"),0)</f>
        <v>7895.41</v>
      </c>
      <c r="R966" s="10">
        <f>IFERROR(SUMIFS('Base bordo'!I$2:I$746,'Base bordo'!C$2:C$746,A966,'Base bordo'!B$2:B$746,B966,'Base bordo'!F$2:F$746,"DESLOCAMENTO VAZIO"),0)</f>
        <v>1188</v>
      </c>
      <c r="S966" s="30">
        <f t="shared" si="97"/>
        <v>6.6459680134680132</v>
      </c>
      <c r="T966" s="10">
        <f>IFERROR(SUMIFS('Base bordo'!H$2:H$746,'Base bordo'!C$2:C$746,A966,'Base bordo'!B$2:B$746,B966,'Base bordo'!F$2:F$746,"DESLOCAMENTO CARREGADO"),0)</f>
        <v>0</v>
      </c>
      <c r="U966" s="10">
        <f>IFERROR(SUMIFS('Base bordo'!I$2:I$746,'Base bordo'!C$2:C$746,A966,'Base bordo'!B$2:B$746,B966,'Base bordo'!F$2:F$746,"DESLOCAMENTO CARREGADO"),0)</f>
        <v>0</v>
      </c>
      <c r="V966" s="30" t="str">
        <f t="shared" si="98"/>
        <v/>
      </c>
      <c r="W966" s="9">
        <f t="shared" si="99"/>
        <v>2.6159910157884308E-2</v>
      </c>
      <c r="X966" s="9">
        <f t="shared" si="100"/>
        <v>0</v>
      </c>
      <c r="Y966" s="9">
        <f t="shared" si="101"/>
        <v>0.97384008984211567</v>
      </c>
    </row>
    <row r="967" spans="1:25" ht="15" customHeight="1" x14ac:dyDescent="0.35">
      <c r="A967" s="52">
        <v>8013486</v>
      </c>
      <c r="B967" s="51">
        <v>46119</v>
      </c>
      <c r="C967" s="7" t="s">
        <v>124</v>
      </c>
      <c r="D967" s="10">
        <f>IFERROR(SUMIFS('Base bordo'!G$2:G$746,'Base bordo'!C$2:C$746,A967,'Base bordo'!B$2:B$746,B967,'Base bordo'!F$2:F$746,"DESLOCAMENTO VAZIO"),0)</f>
        <v>0.33</v>
      </c>
      <c r="E967" s="10">
        <f>IFERROR(SUMIFS('Base bordo'!G$2:G$746,'Base bordo'!C$2:C$746,A967,'Base bordo'!B$2:B$746,B967,'Base bordo'!F$2:F$746,"DESLOCAMENTO CARREGADO"),0)</f>
        <v>0</v>
      </c>
      <c r="F967" s="10">
        <f>IFERROR(SUMIFS('Base bordo'!G$2:G$746,'Base bordo'!C$2:C$746,A967,'Base bordo'!B$2:B$746,B967,'Base bordo'!F$2:F$746,"DESLOCAMENTO"),0)</f>
        <v>0</v>
      </c>
      <c r="G967" s="10">
        <f>IFERROR(SUMIFS('Base bordo'!G$2:G$746,'Base bordo'!C$2:C$746,A967,'Base bordo'!B$2:B$746,B967,'Base bordo'!F$2:F$746,"CARREGAMENTO"),0)</f>
        <v>0</v>
      </c>
      <c r="H967" s="10">
        <f>IFERROR(SUMIFS('Base bordo'!G$2:G$746,'Base bordo'!C$2:C$746,A967,'Base bordo'!B$2:B$746,B967,'Base bordo'!F$2:F$746,"AGUARDANDO TRANSBORDO"),0)</f>
        <v>8.666666666666667E-2</v>
      </c>
      <c r="I967" s="10">
        <f>IFERROR(SUMIFS('Base bordo'!G$2:G$746,'Base bordo'!C$2:C$746,A967,'Base bordo'!B$2:B$746,B967,'Base bordo'!F$2:F$746,"PÁTIO INTERNO"),0)+IFERROR(SUMIFS('Base bordo'!G$2:G$746,'Base bordo'!C$2:C$746,A967,'Base bordo'!B$2:B$746,B967,'Base bordo'!F$2:F$746,"PÁTIO EXTERNO"),0)+IFERROR(SUMIFS('Base bordo'!G$2:G$746,'Base bordo'!C$2:C$746,A967,'Base bordo'!B$2:B$746,B967,'Base bordo'!F$2:F$746,"PATIO - RESERVA"),0)+IFERROR(SUMIFS('Base bordo'!G$2:G$746,'Base bordo'!C$2:C$746,A967,'Base bordo'!B$2:B$746,B967,'Base bordo'!F$2:F$746,"MANOBRA CARRETAS-PATIO"),0)</f>
        <v>12.1875</v>
      </c>
      <c r="J967" s="10">
        <f>IFERROR(SUMIFS('Base bordo'!G$2:G$746,'Base bordo'!C$2:C$746,A967,'Base bordo'!B$2:B$746,B967,'Base bordo'!F$2:F$746,"BALANÇA - ENTRADA"),0)+IFERROR(SUMIFS('Base bordo'!G$2:G$746,'Base bordo'!C$2:C$746,A967,'Base bordo'!B$2:B$746,B967,'Base bordo'!F$2:F$746,"BALANÇA - SAÍDA"),0)</f>
        <v>1.0555555555555556E-2</v>
      </c>
      <c r="K967" s="10">
        <f>IFERROR(SUMIFS('Base bordo'!G$2:G$746,'Base bordo'!C$2:C$746,A967,'Base bordo'!B$2:B$746,B967,'Base bordo'!F$2:F$746,"MAN PREVENTIVA - MECANICA"),0)+IFERROR(SUMIFS('Base bordo'!G$2:G$746,'Base bordo'!C$2:C$746,A967,'Base bordo'!B$2:B$746,B967,'Base bordo'!F$2:F$746,"MAN CORRETIVA - MECANICA"),0)</f>
        <v>0</v>
      </c>
      <c r="L967" s="10">
        <f>IFERROR(SUMIFS('Base bordo'!G$2:G$746,'Base bordo'!C$2:C$746,A967,'Base bordo'!B$2:B$746,B967,'Base bordo'!F$2:F$746,"MANUTENCAO - T O"),0)+IFERROR(SUMIFS('Base bordo'!G$2:G$746,'Base bordo'!C$2:C$746,A967,'Base bordo'!B$2:B$746,B967,'Base bordo'!F$2:F$746,"MANUTENCAO BORRACHARIA"),0)+IFERROR(SUMIFS('Base bordo'!G$2:G$746,'Base bordo'!C$2:C$746,A967,'Base bordo'!B$2:B$746,B967,'Base bordo'!F$2:F$746,"MANUTENCAO EXTERNA  CONCESSIONARIA"),0)+IFERROR(SUMIFS('Base bordo'!G$2:G$746,'Base bordo'!C$2:C$746,A967,'Base bordo'!B$2:B$746,B967,'Base bordo'!F$2:F$746,"MANUTENCAO TELEMETRIA"),0)</f>
        <v>0</v>
      </c>
      <c r="M967" s="10">
        <f>IFERROR(SUMIFS('Base bordo'!G$2:G$746,'Base bordo'!C$2:C$746,A967,'Base bordo'!B$2:B$746,B967,'Base bordo'!F$2:F$746,"AGUARDANDO MANUTENCAO"),0)</f>
        <v>0</v>
      </c>
      <c r="N967" s="10">
        <f>IFERROR(SUMIFS('Base bordo'!G$2:G$746,'Base bordo'!C$2:C$746,A967,'Base bordo'!B$2:B$746,B967,'Base bordo'!F$2:F$746,"SEM APONTAMENTO"),0)</f>
        <v>0</v>
      </c>
      <c r="O967" s="10">
        <f t="shared" si="96"/>
        <v>0</v>
      </c>
      <c r="P967" s="10">
        <f>IFERROR(SUMIFS('Base bordo'!G$2:G$746,'Base bordo'!C$2:C$746,A967,'Base bordo'!B$2:B$746,B967),0)</f>
        <v>12.614722222222222</v>
      </c>
      <c r="Q967" s="10">
        <f>IFERROR(SUMIFS('Base bordo'!H$2:H$746,'Base bordo'!C$2:C$746,A967,'Base bordo'!B$2:B$746,B967,'Base bordo'!F$2:F$746,"DESLOCAMENTO VAZIO"),0)</f>
        <v>7895.41</v>
      </c>
      <c r="R967" s="10">
        <f>IFERROR(SUMIFS('Base bordo'!I$2:I$746,'Base bordo'!C$2:C$746,A967,'Base bordo'!B$2:B$746,B967,'Base bordo'!F$2:F$746,"DESLOCAMENTO VAZIO"),0)</f>
        <v>1188</v>
      </c>
      <c r="S967" s="30">
        <f t="shared" si="97"/>
        <v>6.6459680134680132</v>
      </c>
      <c r="T967" s="10">
        <f>IFERROR(SUMIFS('Base bordo'!H$2:H$746,'Base bordo'!C$2:C$746,A967,'Base bordo'!B$2:B$746,B967,'Base bordo'!F$2:F$746,"DESLOCAMENTO CARREGADO"),0)</f>
        <v>0</v>
      </c>
      <c r="U967" s="10">
        <f>IFERROR(SUMIFS('Base bordo'!I$2:I$746,'Base bordo'!C$2:C$746,A967,'Base bordo'!B$2:B$746,B967,'Base bordo'!F$2:F$746,"DESLOCAMENTO CARREGADO"),0)</f>
        <v>0</v>
      </c>
      <c r="V967" s="30" t="str">
        <f t="shared" si="98"/>
        <v/>
      </c>
      <c r="W967" s="9">
        <f t="shared" si="99"/>
        <v>2.6159910157884308E-2</v>
      </c>
      <c r="X967" s="9">
        <f t="shared" si="100"/>
        <v>0</v>
      </c>
      <c r="Y967" s="9">
        <f t="shared" si="101"/>
        <v>0.97384008984211567</v>
      </c>
    </row>
    <row r="968" spans="1:25" ht="15" customHeight="1" x14ac:dyDescent="0.35">
      <c r="A968" s="52">
        <v>8013486</v>
      </c>
      <c r="B968" s="51">
        <v>46119</v>
      </c>
      <c r="C968" s="7" t="s">
        <v>124</v>
      </c>
      <c r="D968" s="10">
        <f>IFERROR(SUMIFS('Base bordo'!G$2:G$746,'Base bordo'!C$2:C$746,A968,'Base bordo'!B$2:B$746,B968,'Base bordo'!F$2:F$746,"DESLOCAMENTO VAZIO"),0)</f>
        <v>0.33</v>
      </c>
      <c r="E968" s="10">
        <f>IFERROR(SUMIFS('Base bordo'!G$2:G$746,'Base bordo'!C$2:C$746,A968,'Base bordo'!B$2:B$746,B968,'Base bordo'!F$2:F$746,"DESLOCAMENTO CARREGADO"),0)</f>
        <v>0</v>
      </c>
      <c r="F968" s="10">
        <f>IFERROR(SUMIFS('Base bordo'!G$2:G$746,'Base bordo'!C$2:C$746,A968,'Base bordo'!B$2:B$746,B968,'Base bordo'!F$2:F$746,"DESLOCAMENTO"),0)</f>
        <v>0</v>
      </c>
      <c r="G968" s="10">
        <f>IFERROR(SUMIFS('Base bordo'!G$2:G$746,'Base bordo'!C$2:C$746,A968,'Base bordo'!B$2:B$746,B968,'Base bordo'!F$2:F$746,"CARREGAMENTO"),0)</f>
        <v>0</v>
      </c>
      <c r="H968" s="10">
        <f>IFERROR(SUMIFS('Base bordo'!G$2:G$746,'Base bordo'!C$2:C$746,A968,'Base bordo'!B$2:B$746,B968,'Base bordo'!F$2:F$746,"AGUARDANDO TRANSBORDO"),0)</f>
        <v>8.666666666666667E-2</v>
      </c>
      <c r="I968" s="10">
        <f>IFERROR(SUMIFS('Base bordo'!G$2:G$746,'Base bordo'!C$2:C$746,A968,'Base bordo'!B$2:B$746,B968,'Base bordo'!F$2:F$746,"PÁTIO INTERNO"),0)+IFERROR(SUMIFS('Base bordo'!G$2:G$746,'Base bordo'!C$2:C$746,A968,'Base bordo'!B$2:B$746,B968,'Base bordo'!F$2:F$746,"PÁTIO EXTERNO"),0)+IFERROR(SUMIFS('Base bordo'!G$2:G$746,'Base bordo'!C$2:C$746,A968,'Base bordo'!B$2:B$746,B968,'Base bordo'!F$2:F$746,"PATIO - RESERVA"),0)+IFERROR(SUMIFS('Base bordo'!G$2:G$746,'Base bordo'!C$2:C$746,A968,'Base bordo'!B$2:B$746,B968,'Base bordo'!F$2:F$746,"MANOBRA CARRETAS-PATIO"),0)</f>
        <v>12.1875</v>
      </c>
      <c r="J968" s="10">
        <f>IFERROR(SUMIFS('Base bordo'!G$2:G$746,'Base bordo'!C$2:C$746,A968,'Base bordo'!B$2:B$746,B968,'Base bordo'!F$2:F$746,"BALANÇA - ENTRADA"),0)+IFERROR(SUMIFS('Base bordo'!G$2:G$746,'Base bordo'!C$2:C$746,A968,'Base bordo'!B$2:B$746,B968,'Base bordo'!F$2:F$746,"BALANÇA - SAÍDA"),0)</f>
        <v>1.0555555555555556E-2</v>
      </c>
      <c r="K968" s="10">
        <f>IFERROR(SUMIFS('Base bordo'!G$2:G$746,'Base bordo'!C$2:C$746,A968,'Base bordo'!B$2:B$746,B968,'Base bordo'!F$2:F$746,"MAN PREVENTIVA - MECANICA"),0)+IFERROR(SUMIFS('Base bordo'!G$2:G$746,'Base bordo'!C$2:C$746,A968,'Base bordo'!B$2:B$746,B968,'Base bordo'!F$2:F$746,"MAN CORRETIVA - MECANICA"),0)</f>
        <v>0</v>
      </c>
      <c r="L968" s="10">
        <f>IFERROR(SUMIFS('Base bordo'!G$2:G$746,'Base bordo'!C$2:C$746,A968,'Base bordo'!B$2:B$746,B968,'Base bordo'!F$2:F$746,"MANUTENCAO - T O"),0)+IFERROR(SUMIFS('Base bordo'!G$2:G$746,'Base bordo'!C$2:C$746,A968,'Base bordo'!B$2:B$746,B968,'Base bordo'!F$2:F$746,"MANUTENCAO BORRACHARIA"),0)+IFERROR(SUMIFS('Base bordo'!G$2:G$746,'Base bordo'!C$2:C$746,A968,'Base bordo'!B$2:B$746,B968,'Base bordo'!F$2:F$746,"MANUTENCAO EXTERNA  CONCESSIONARIA"),0)+IFERROR(SUMIFS('Base bordo'!G$2:G$746,'Base bordo'!C$2:C$746,A968,'Base bordo'!B$2:B$746,B968,'Base bordo'!F$2:F$746,"MANUTENCAO TELEMETRIA"),0)</f>
        <v>0</v>
      </c>
      <c r="M968" s="10">
        <f>IFERROR(SUMIFS('Base bordo'!G$2:G$746,'Base bordo'!C$2:C$746,A968,'Base bordo'!B$2:B$746,B968,'Base bordo'!F$2:F$746,"AGUARDANDO MANUTENCAO"),0)</f>
        <v>0</v>
      </c>
      <c r="N968" s="10">
        <f>IFERROR(SUMIFS('Base bordo'!G$2:G$746,'Base bordo'!C$2:C$746,A968,'Base bordo'!B$2:B$746,B968,'Base bordo'!F$2:F$746,"SEM APONTAMENTO"),0)</f>
        <v>0</v>
      </c>
      <c r="O968" s="10">
        <f t="shared" si="96"/>
        <v>0</v>
      </c>
      <c r="P968" s="10">
        <f>IFERROR(SUMIFS('Base bordo'!G$2:G$746,'Base bordo'!C$2:C$746,A968,'Base bordo'!B$2:B$746,B968),0)</f>
        <v>12.614722222222222</v>
      </c>
      <c r="Q968" s="10">
        <f>IFERROR(SUMIFS('Base bordo'!H$2:H$746,'Base bordo'!C$2:C$746,A968,'Base bordo'!B$2:B$746,B968,'Base bordo'!F$2:F$746,"DESLOCAMENTO VAZIO"),0)</f>
        <v>7895.41</v>
      </c>
      <c r="R968" s="10">
        <f>IFERROR(SUMIFS('Base bordo'!I$2:I$746,'Base bordo'!C$2:C$746,A968,'Base bordo'!B$2:B$746,B968,'Base bordo'!F$2:F$746,"DESLOCAMENTO VAZIO"),0)</f>
        <v>1188</v>
      </c>
      <c r="S968" s="30">
        <f t="shared" si="97"/>
        <v>6.6459680134680132</v>
      </c>
      <c r="T968" s="10">
        <f>IFERROR(SUMIFS('Base bordo'!H$2:H$746,'Base bordo'!C$2:C$746,A968,'Base bordo'!B$2:B$746,B968,'Base bordo'!F$2:F$746,"DESLOCAMENTO CARREGADO"),0)</f>
        <v>0</v>
      </c>
      <c r="U968" s="10">
        <f>IFERROR(SUMIFS('Base bordo'!I$2:I$746,'Base bordo'!C$2:C$746,A968,'Base bordo'!B$2:B$746,B968,'Base bordo'!F$2:F$746,"DESLOCAMENTO CARREGADO"),0)</f>
        <v>0</v>
      </c>
      <c r="V968" s="30" t="str">
        <f t="shared" si="98"/>
        <v/>
      </c>
      <c r="W968" s="9">
        <f t="shared" si="99"/>
        <v>2.6159910157884308E-2</v>
      </c>
      <c r="X968" s="9">
        <f t="shared" si="100"/>
        <v>0</v>
      </c>
      <c r="Y968" s="9">
        <f t="shared" si="101"/>
        <v>0.97384008984211567</v>
      </c>
    </row>
    <row r="969" spans="1:25" ht="15" customHeight="1" x14ac:dyDescent="0.35">
      <c r="A969" s="52">
        <v>8013486</v>
      </c>
      <c r="B969" s="51">
        <v>46119</v>
      </c>
      <c r="C969" s="7" t="s">
        <v>124</v>
      </c>
      <c r="D969" s="10">
        <f>IFERROR(SUMIFS('Base bordo'!G$2:G$746,'Base bordo'!C$2:C$746,A969,'Base bordo'!B$2:B$746,B969,'Base bordo'!F$2:F$746,"DESLOCAMENTO VAZIO"),0)</f>
        <v>0.33</v>
      </c>
      <c r="E969" s="10">
        <f>IFERROR(SUMIFS('Base bordo'!G$2:G$746,'Base bordo'!C$2:C$746,A969,'Base bordo'!B$2:B$746,B969,'Base bordo'!F$2:F$746,"DESLOCAMENTO CARREGADO"),0)</f>
        <v>0</v>
      </c>
      <c r="F969" s="10">
        <f>IFERROR(SUMIFS('Base bordo'!G$2:G$746,'Base bordo'!C$2:C$746,A969,'Base bordo'!B$2:B$746,B969,'Base bordo'!F$2:F$746,"DESLOCAMENTO"),0)</f>
        <v>0</v>
      </c>
      <c r="G969" s="10">
        <f>IFERROR(SUMIFS('Base bordo'!G$2:G$746,'Base bordo'!C$2:C$746,A969,'Base bordo'!B$2:B$746,B969,'Base bordo'!F$2:F$746,"CARREGAMENTO"),0)</f>
        <v>0</v>
      </c>
      <c r="H969" s="10">
        <f>IFERROR(SUMIFS('Base bordo'!G$2:G$746,'Base bordo'!C$2:C$746,A969,'Base bordo'!B$2:B$746,B969,'Base bordo'!F$2:F$746,"AGUARDANDO TRANSBORDO"),0)</f>
        <v>8.666666666666667E-2</v>
      </c>
      <c r="I969" s="10">
        <f>IFERROR(SUMIFS('Base bordo'!G$2:G$746,'Base bordo'!C$2:C$746,A969,'Base bordo'!B$2:B$746,B969,'Base bordo'!F$2:F$746,"PÁTIO INTERNO"),0)+IFERROR(SUMIFS('Base bordo'!G$2:G$746,'Base bordo'!C$2:C$746,A969,'Base bordo'!B$2:B$746,B969,'Base bordo'!F$2:F$746,"PÁTIO EXTERNO"),0)+IFERROR(SUMIFS('Base bordo'!G$2:G$746,'Base bordo'!C$2:C$746,A969,'Base bordo'!B$2:B$746,B969,'Base bordo'!F$2:F$746,"PATIO - RESERVA"),0)+IFERROR(SUMIFS('Base bordo'!G$2:G$746,'Base bordo'!C$2:C$746,A969,'Base bordo'!B$2:B$746,B969,'Base bordo'!F$2:F$746,"MANOBRA CARRETAS-PATIO"),0)</f>
        <v>12.1875</v>
      </c>
      <c r="J969" s="10">
        <f>IFERROR(SUMIFS('Base bordo'!G$2:G$746,'Base bordo'!C$2:C$746,A969,'Base bordo'!B$2:B$746,B969,'Base bordo'!F$2:F$746,"BALANÇA - ENTRADA"),0)+IFERROR(SUMIFS('Base bordo'!G$2:G$746,'Base bordo'!C$2:C$746,A969,'Base bordo'!B$2:B$746,B969,'Base bordo'!F$2:F$746,"BALANÇA - SAÍDA"),0)</f>
        <v>1.0555555555555556E-2</v>
      </c>
      <c r="K969" s="10">
        <f>IFERROR(SUMIFS('Base bordo'!G$2:G$746,'Base bordo'!C$2:C$746,A969,'Base bordo'!B$2:B$746,B969,'Base bordo'!F$2:F$746,"MAN PREVENTIVA - MECANICA"),0)+IFERROR(SUMIFS('Base bordo'!G$2:G$746,'Base bordo'!C$2:C$746,A969,'Base bordo'!B$2:B$746,B969,'Base bordo'!F$2:F$746,"MAN CORRETIVA - MECANICA"),0)</f>
        <v>0</v>
      </c>
      <c r="L969" s="10">
        <f>IFERROR(SUMIFS('Base bordo'!G$2:G$746,'Base bordo'!C$2:C$746,A969,'Base bordo'!B$2:B$746,B969,'Base bordo'!F$2:F$746,"MANUTENCAO - T O"),0)+IFERROR(SUMIFS('Base bordo'!G$2:G$746,'Base bordo'!C$2:C$746,A969,'Base bordo'!B$2:B$746,B969,'Base bordo'!F$2:F$746,"MANUTENCAO BORRACHARIA"),0)+IFERROR(SUMIFS('Base bordo'!G$2:G$746,'Base bordo'!C$2:C$746,A969,'Base bordo'!B$2:B$746,B969,'Base bordo'!F$2:F$746,"MANUTENCAO EXTERNA  CONCESSIONARIA"),0)+IFERROR(SUMIFS('Base bordo'!G$2:G$746,'Base bordo'!C$2:C$746,A969,'Base bordo'!B$2:B$746,B969,'Base bordo'!F$2:F$746,"MANUTENCAO TELEMETRIA"),0)</f>
        <v>0</v>
      </c>
      <c r="M969" s="10">
        <f>IFERROR(SUMIFS('Base bordo'!G$2:G$746,'Base bordo'!C$2:C$746,A969,'Base bordo'!B$2:B$746,B969,'Base bordo'!F$2:F$746,"AGUARDANDO MANUTENCAO"),0)</f>
        <v>0</v>
      </c>
      <c r="N969" s="10">
        <f>IFERROR(SUMIFS('Base bordo'!G$2:G$746,'Base bordo'!C$2:C$746,A969,'Base bordo'!B$2:B$746,B969,'Base bordo'!F$2:F$746,"SEM APONTAMENTO"),0)</f>
        <v>0</v>
      </c>
      <c r="O969" s="10">
        <f t="shared" si="96"/>
        <v>0</v>
      </c>
      <c r="P969" s="10">
        <f>IFERROR(SUMIFS('Base bordo'!G$2:G$746,'Base bordo'!C$2:C$746,A969,'Base bordo'!B$2:B$746,B969),0)</f>
        <v>12.614722222222222</v>
      </c>
      <c r="Q969" s="10">
        <f>IFERROR(SUMIFS('Base bordo'!H$2:H$746,'Base bordo'!C$2:C$746,A969,'Base bordo'!B$2:B$746,B969,'Base bordo'!F$2:F$746,"DESLOCAMENTO VAZIO"),0)</f>
        <v>7895.41</v>
      </c>
      <c r="R969" s="10">
        <f>IFERROR(SUMIFS('Base bordo'!I$2:I$746,'Base bordo'!C$2:C$746,A969,'Base bordo'!B$2:B$746,B969,'Base bordo'!F$2:F$746,"DESLOCAMENTO VAZIO"),0)</f>
        <v>1188</v>
      </c>
      <c r="S969" s="30">
        <f t="shared" si="97"/>
        <v>6.6459680134680132</v>
      </c>
      <c r="T969" s="10">
        <f>IFERROR(SUMIFS('Base bordo'!H$2:H$746,'Base bordo'!C$2:C$746,A969,'Base bordo'!B$2:B$746,B969,'Base bordo'!F$2:F$746,"DESLOCAMENTO CARREGADO"),0)</f>
        <v>0</v>
      </c>
      <c r="U969" s="10">
        <f>IFERROR(SUMIFS('Base bordo'!I$2:I$746,'Base bordo'!C$2:C$746,A969,'Base bordo'!B$2:B$746,B969,'Base bordo'!F$2:F$746,"DESLOCAMENTO CARREGADO"),0)</f>
        <v>0</v>
      </c>
      <c r="V969" s="30" t="str">
        <f t="shared" si="98"/>
        <v/>
      </c>
      <c r="W969" s="9">
        <f t="shared" si="99"/>
        <v>2.6159910157884308E-2</v>
      </c>
      <c r="X969" s="9">
        <f t="shared" si="100"/>
        <v>0</v>
      </c>
      <c r="Y969" s="9">
        <f t="shared" si="101"/>
        <v>0.97384008984211567</v>
      </c>
    </row>
    <row r="970" spans="1:25" ht="15" customHeight="1" x14ac:dyDescent="0.35">
      <c r="A970" s="52">
        <v>8013486</v>
      </c>
      <c r="B970" s="51">
        <v>46119</v>
      </c>
      <c r="C970" s="7" t="s">
        <v>124</v>
      </c>
      <c r="D970" s="10">
        <f>IFERROR(SUMIFS('Base bordo'!G$2:G$746,'Base bordo'!C$2:C$746,A970,'Base bordo'!B$2:B$746,B970,'Base bordo'!F$2:F$746,"DESLOCAMENTO VAZIO"),0)</f>
        <v>0.33</v>
      </c>
      <c r="E970" s="10">
        <f>IFERROR(SUMIFS('Base bordo'!G$2:G$746,'Base bordo'!C$2:C$746,A970,'Base bordo'!B$2:B$746,B970,'Base bordo'!F$2:F$746,"DESLOCAMENTO CARREGADO"),0)</f>
        <v>0</v>
      </c>
      <c r="F970" s="10">
        <f>IFERROR(SUMIFS('Base bordo'!G$2:G$746,'Base bordo'!C$2:C$746,A970,'Base bordo'!B$2:B$746,B970,'Base bordo'!F$2:F$746,"DESLOCAMENTO"),0)</f>
        <v>0</v>
      </c>
      <c r="G970" s="10">
        <f>IFERROR(SUMIFS('Base bordo'!G$2:G$746,'Base bordo'!C$2:C$746,A970,'Base bordo'!B$2:B$746,B970,'Base bordo'!F$2:F$746,"CARREGAMENTO"),0)</f>
        <v>0</v>
      </c>
      <c r="H970" s="10">
        <f>IFERROR(SUMIFS('Base bordo'!G$2:G$746,'Base bordo'!C$2:C$746,A970,'Base bordo'!B$2:B$746,B970,'Base bordo'!F$2:F$746,"AGUARDANDO TRANSBORDO"),0)</f>
        <v>8.666666666666667E-2</v>
      </c>
      <c r="I970" s="10">
        <f>IFERROR(SUMIFS('Base bordo'!G$2:G$746,'Base bordo'!C$2:C$746,A970,'Base bordo'!B$2:B$746,B970,'Base bordo'!F$2:F$746,"PÁTIO INTERNO"),0)+IFERROR(SUMIFS('Base bordo'!G$2:G$746,'Base bordo'!C$2:C$746,A970,'Base bordo'!B$2:B$746,B970,'Base bordo'!F$2:F$746,"PÁTIO EXTERNO"),0)+IFERROR(SUMIFS('Base bordo'!G$2:G$746,'Base bordo'!C$2:C$746,A970,'Base bordo'!B$2:B$746,B970,'Base bordo'!F$2:F$746,"PATIO - RESERVA"),0)+IFERROR(SUMIFS('Base bordo'!G$2:G$746,'Base bordo'!C$2:C$746,A970,'Base bordo'!B$2:B$746,B970,'Base bordo'!F$2:F$746,"MANOBRA CARRETAS-PATIO"),0)</f>
        <v>12.1875</v>
      </c>
      <c r="J970" s="10">
        <f>IFERROR(SUMIFS('Base bordo'!G$2:G$746,'Base bordo'!C$2:C$746,A970,'Base bordo'!B$2:B$746,B970,'Base bordo'!F$2:F$746,"BALANÇA - ENTRADA"),0)+IFERROR(SUMIFS('Base bordo'!G$2:G$746,'Base bordo'!C$2:C$746,A970,'Base bordo'!B$2:B$746,B970,'Base bordo'!F$2:F$746,"BALANÇA - SAÍDA"),0)</f>
        <v>1.0555555555555556E-2</v>
      </c>
      <c r="K970" s="10">
        <f>IFERROR(SUMIFS('Base bordo'!G$2:G$746,'Base bordo'!C$2:C$746,A970,'Base bordo'!B$2:B$746,B970,'Base bordo'!F$2:F$746,"MAN PREVENTIVA - MECANICA"),0)+IFERROR(SUMIFS('Base bordo'!G$2:G$746,'Base bordo'!C$2:C$746,A970,'Base bordo'!B$2:B$746,B970,'Base bordo'!F$2:F$746,"MAN CORRETIVA - MECANICA"),0)</f>
        <v>0</v>
      </c>
      <c r="L970" s="10">
        <f>IFERROR(SUMIFS('Base bordo'!G$2:G$746,'Base bordo'!C$2:C$746,A970,'Base bordo'!B$2:B$746,B970,'Base bordo'!F$2:F$746,"MANUTENCAO - T O"),0)+IFERROR(SUMIFS('Base bordo'!G$2:G$746,'Base bordo'!C$2:C$746,A970,'Base bordo'!B$2:B$746,B970,'Base bordo'!F$2:F$746,"MANUTENCAO BORRACHARIA"),0)+IFERROR(SUMIFS('Base bordo'!G$2:G$746,'Base bordo'!C$2:C$746,A970,'Base bordo'!B$2:B$746,B970,'Base bordo'!F$2:F$746,"MANUTENCAO EXTERNA  CONCESSIONARIA"),0)+IFERROR(SUMIFS('Base bordo'!G$2:G$746,'Base bordo'!C$2:C$746,A970,'Base bordo'!B$2:B$746,B970,'Base bordo'!F$2:F$746,"MANUTENCAO TELEMETRIA"),0)</f>
        <v>0</v>
      </c>
      <c r="M970" s="10">
        <f>IFERROR(SUMIFS('Base bordo'!G$2:G$746,'Base bordo'!C$2:C$746,A970,'Base bordo'!B$2:B$746,B970,'Base bordo'!F$2:F$746,"AGUARDANDO MANUTENCAO"),0)</f>
        <v>0</v>
      </c>
      <c r="N970" s="10">
        <f>IFERROR(SUMIFS('Base bordo'!G$2:G$746,'Base bordo'!C$2:C$746,A970,'Base bordo'!B$2:B$746,B970,'Base bordo'!F$2:F$746,"SEM APONTAMENTO"),0)</f>
        <v>0</v>
      </c>
      <c r="O970" s="10">
        <f t="shared" si="96"/>
        <v>0</v>
      </c>
      <c r="P970" s="10">
        <f>IFERROR(SUMIFS('Base bordo'!G$2:G$746,'Base bordo'!C$2:C$746,A970,'Base bordo'!B$2:B$746,B970),0)</f>
        <v>12.614722222222222</v>
      </c>
      <c r="Q970" s="10">
        <f>IFERROR(SUMIFS('Base bordo'!H$2:H$746,'Base bordo'!C$2:C$746,A970,'Base bordo'!B$2:B$746,B970,'Base bordo'!F$2:F$746,"DESLOCAMENTO VAZIO"),0)</f>
        <v>7895.41</v>
      </c>
      <c r="R970" s="10">
        <f>IFERROR(SUMIFS('Base bordo'!I$2:I$746,'Base bordo'!C$2:C$746,A970,'Base bordo'!B$2:B$746,B970,'Base bordo'!F$2:F$746,"DESLOCAMENTO VAZIO"),0)</f>
        <v>1188</v>
      </c>
      <c r="S970" s="30">
        <f t="shared" si="97"/>
        <v>6.6459680134680132</v>
      </c>
      <c r="T970" s="10">
        <f>IFERROR(SUMIFS('Base bordo'!H$2:H$746,'Base bordo'!C$2:C$746,A970,'Base bordo'!B$2:B$746,B970,'Base bordo'!F$2:F$746,"DESLOCAMENTO CARREGADO"),0)</f>
        <v>0</v>
      </c>
      <c r="U970" s="10">
        <f>IFERROR(SUMIFS('Base bordo'!I$2:I$746,'Base bordo'!C$2:C$746,A970,'Base bordo'!B$2:B$746,B970,'Base bordo'!F$2:F$746,"DESLOCAMENTO CARREGADO"),0)</f>
        <v>0</v>
      </c>
      <c r="V970" s="30" t="str">
        <f t="shared" si="98"/>
        <v/>
      </c>
      <c r="W970" s="9">
        <f t="shared" si="99"/>
        <v>2.6159910157884308E-2</v>
      </c>
      <c r="X970" s="9">
        <f t="shared" si="100"/>
        <v>0</v>
      </c>
      <c r="Y970" s="9">
        <f t="shared" si="101"/>
        <v>0.97384008984211567</v>
      </c>
    </row>
    <row r="971" spans="1:25" ht="15" customHeight="1" x14ac:dyDescent="0.35">
      <c r="A971" s="52">
        <v>8013486</v>
      </c>
      <c r="B971" s="51">
        <v>46119</v>
      </c>
      <c r="C971" s="7" t="s">
        <v>124</v>
      </c>
      <c r="D971" s="10">
        <f>IFERROR(SUMIFS('Base bordo'!G$2:G$746,'Base bordo'!C$2:C$746,A971,'Base bordo'!B$2:B$746,B971,'Base bordo'!F$2:F$746,"DESLOCAMENTO VAZIO"),0)</f>
        <v>0.33</v>
      </c>
      <c r="E971" s="10">
        <f>IFERROR(SUMIFS('Base bordo'!G$2:G$746,'Base bordo'!C$2:C$746,A971,'Base bordo'!B$2:B$746,B971,'Base bordo'!F$2:F$746,"DESLOCAMENTO CARREGADO"),0)</f>
        <v>0</v>
      </c>
      <c r="F971" s="10">
        <f>IFERROR(SUMIFS('Base bordo'!G$2:G$746,'Base bordo'!C$2:C$746,A971,'Base bordo'!B$2:B$746,B971,'Base bordo'!F$2:F$746,"DESLOCAMENTO"),0)</f>
        <v>0</v>
      </c>
      <c r="G971" s="10">
        <f>IFERROR(SUMIFS('Base bordo'!G$2:G$746,'Base bordo'!C$2:C$746,A971,'Base bordo'!B$2:B$746,B971,'Base bordo'!F$2:F$746,"CARREGAMENTO"),0)</f>
        <v>0</v>
      </c>
      <c r="H971" s="10">
        <f>IFERROR(SUMIFS('Base bordo'!G$2:G$746,'Base bordo'!C$2:C$746,A971,'Base bordo'!B$2:B$746,B971,'Base bordo'!F$2:F$746,"AGUARDANDO TRANSBORDO"),0)</f>
        <v>8.666666666666667E-2</v>
      </c>
      <c r="I971" s="10">
        <f>IFERROR(SUMIFS('Base bordo'!G$2:G$746,'Base bordo'!C$2:C$746,A971,'Base bordo'!B$2:B$746,B971,'Base bordo'!F$2:F$746,"PÁTIO INTERNO"),0)+IFERROR(SUMIFS('Base bordo'!G$2:G$746,'Base bordo'!C$2:C$746,A971,'Base bordo'!B$2:B$746,B971,'Base bordo'!F$2:F$746,"PÁTIO EXTERNO"),0)+IFERROR(SUMIFS('Base bordo'!G$2:G$746,'Base bordo'!C$2:C$746,A971,'Base bordo'!B$2:B$746,B971,'Base bordo'!F$2:F$746,"PATIO - RESERVA"),0)+IFERROR(SUMIFS('Base bordo'!G$2:G$746,'Base bordo'!C$2:C$746,A971,'Base bordo'!B$2:B$746,B971,'Base bordo'!F$2:F$746,"MANOBRA CARRETAS-PATIO"),0)</f>
        <v>12.1875</v>
      </c>
      <c r="J971" s="10">
        <f>IFERROR(SUMIFS('Base bordo'!G$2:G$746,'Base bordo'!C$2:C$746,A971,'Base bordo'!B$2:B$746,B971,'Base bordo'!F$2:F$746,"BALANÇA - ENTRADA"),0)+IFERROR(SUMIFS('Base bordo'!G$2:G$746,'Base bordo'!C$2:C$746,A971,'Base bordo'!B$2:B$746,B971,'Base bordo'!F$2:F$746,"BALANÇA - SAÍDA"),0)</f>
        <v>1.0555555555555556E-2</v>
      </c>
      <c r="K971" s="10">
        <f>IFERROR(SUMIFS('Base bordo'!G$2:G$746,'Base bordo'!C$2:C$746,A971,'Base bordo'!B$2:B$746,B971,'Base bordo'!F$2:F$746,"MAN PREVENTIVA - MECANICA"),0)+IFERROR(SUMIFS('Base bordo'!G$2:G$746,'Base bordo'!C$2:C$746,A971,'Base bordo'!B$2:B$746,B971,'Base bordo'!F$2:F$746,"MAN CORRETIVA - MECANICA"),0)</f>
        <v>0</v>
      </c>
      <c r="L971" s="10">
        <f>IFERROR(SUMIFS('Base bordo'!G$2:G$746,'Base bordo'!C$2:C$746,A971,'Base bordo'!B$2:B$746,B971,'Base bordo'!F$2:F$746,"MANUTENCAO - T O"),0)+IFERROR(SUMIFS('Base bordo'!G$2:G$746,'Base bordo'!C$2:C$746,A971,'Base bordo'!B$2:B$746,B971,'Base bordo'!F$2:F$746,"MANUTENCAO BORRACHARIA"),0)+IFERROR(SUMIFS('Base bordo'!G$2:G$746,'Base bordo'!C$2:C$746,A971,'Base bordo'!B$2:B$746,B971,'Base bordo'!F$2:F$746,"MANUTENCAO EXTERNA  CONCESSIONARIA"),0)+IFERROR(SUMIFS('Base bordo'!G$2:G$746,'Base bordo'!C$2:C$746,A971,'Base bordo'!B$2:B$746,B971,'Base bordo'!F$2:F$746,"MANUTENCAO TELEMETRIA"),0)</f>
        <v>0</v>
      </c>
      <c r="M971" s="10">
        <f>IFERROR(SUMIFS('Base bordo'!G$2:G$746,'Base bordo'!C$2:C$746,A971,'Base bordo'!B$2:B$746,B971,'Base bordo'!F$2:F$746,"AGUARDANDO MANUTENCAO"),0)</f>
        <v>0</v>
      </c>
      <c r="N971" s="10">
        <f>IFERROR(SUMIFS('Base bordo'!G$2:G$746,'Base bordo'!C$2:C$746,A971,'Base bordo'!B$2:B$746,B971,'Base bordo'!F$2:F$746,"SEM APONTAMENTO"),0)</f>
        <v>0</v>
      </c>
      <c r="O971" s="10">
        <f t="shared" si="96"/>
        <v>0</v>
      </c>
      <c r="P971" s="10">
        <f>IFERROR(SUMIFS('Base bordo'!G$2:G$746,'Base bordo'!C$2:C$746,A971,'Base bordo'!B$2:B$746,B971),0)</f>
        <v>12.614722222222222</v>
      </c>
      <c r="Q971" s="10">
        <f>IFERROR(SUMIFS('Base bordo'!H$2:H$746,'Base bordo'!C$2:C$746,A971,'Base bordo'!B$2:B$746,B971,'Base bordo'!F$2:F$746,"DESLOCAMENTO VAZIO"),0)</f>
        <v>7895.41</v>
      </c>
      <c r="R971" s="10">
        <f>IFERROR(SUMIFS('Base bordo'!I$2:I$746,'Base bordo'!C$2:C$746,A971,'Base bordo'!B$2:B$746,B971,'Base bordo'!F$2:F$746,"DESLOCAMENTO VAZIO"),0)</f>
        <v>1188</v>
      </c>
      <c r="S971" s="30">
        <f t="shared" si="97"/>
        <v>6.6459680134680132</v>
      </c>
      <c r="T971" s="10">
        <f>IFERROR(SUMIFS('Base bordo'!H$2:H$746,'Base bordo'!C$2:C$746,A971,'Base bordo'!B$2:B$746,B971,'Base bordo'!F$2:F$746,"DESLOCAMENTO CARREGADO"),0)</f>
        <v>0</v>
      </c>
      <c r="U971" s="10">
        <f>IFERROR(SUMIFS('Base bordo'!I$2:I$746,'Base bordo'!C$2:C$746,A971,'Base bordo'!B$2:B$746,B971,'Base bordo'!F$2:F$746,"DESLOCAMENTO CARREGADO"),0)</f>
        <v>0</v>
      </c>
      <c r="V971" s="30" t="str">
        <f t="shared" si="98"/>
        <v/>
      </c>
      <c r="W971" s="9">
        <f t="shared" si="99"/>
        <v>2.6159910157884308E-2</v>
      </c>
      <c r="X971" s="9">
        <f t="shared" si="100"/>
        <v>0</v>
      </c>
      <c r="Y971" s="9">
        <f t="shared" si="101"/>
        <v>0.97384008984211567</v>
      </c>
    </row>
    <row r="972" spans="1:25" ht="15" customHeight="1" x14ac:dyDescent="0.35">
      <c r="A972" s="52">
        <v>8013486</v>
      </c>
      <c r="B972" s="51">
        <v>46119</v>
      </c>
      <c r="C972" s="7" t="s">
        <v>124</v>
      </c>
      <c r="D972" s="10">
        <f>IFERROR(SUMIFS('Base bordo'!G$2:G$746,'Base bordo'!C$2:C$746,A972,'Base bordo'!B$2:B$746,B972,'Base bordo'!F$2:F$746,"DESLOCAMENTO VAZIO"),0)</f>
        <v>0.33</v>
      </c>
      <c r="E972" s="10">
        <f>IFERROR(SUMIFS('Base bordo'!G$2:G$746,'Base bordo'!C$2:C$746,A972,'Base bordo'!B$2:B$746,B972,'Base bordo'!F$2:F$746,"DESLOCAMENTO CARREGADO"),0)</f>
        <v>0</v>
      </c>
      <c r="F972" s="10">
        <f>IFERROR(SUMIFS('Base bordo'!G$2:G$746,'Base bordo'!C$2:C$746,A972,'Base bordo'!B$2:B$746,B972,'Base bordo'!F$2:F$746,"DESLOCAMENTO"),0)</f>
        <v>0</v>
      </c>
      <c r="G972" s="10">
        <f>IFERROR(SUMIFS('Base bordo'!G$2:G$746,'Base bordo'!C$2:C$746,A972,'Base bordo'!B$2:B$746,B972,'Base bordo'!F$2:F$746,"CARREGAMENTO"),0)</f>
        <v>0</v>
      </c>
      <c r="H972" s="10">
        <f>IFERROR(SUMIFS('Base bordo'!G$2:G$746,'Base bordo'!C$2:C$746,A972,'Base bordo'!B$2:B$746,B972,'Base bordo'!F$2:F$746,"AGUARDANDO TRANSBORDO"),0)</f>
        <v>8.666666666666667E-2</v>
      </c>
      <c r="I972" s="10">
        <f>IFERROR(SUMIFS('Base bordo'!G$2:G$746,'Base bordo'!C$2:C$746,A972,'Base bordo'!B$2:B$746,B972,'Base bordo'!F$2:F$746,"PÁTIO INTERNO"),0)+IFERROR(SUMIFS('Base bordo'!G$2:G$746,'Base bordo'!C$2:C$746,A972,'Base bordo'!B$2:B$746,B972,'Base bordo'!F$2:F$746,"PÁTIO EXTERNO"),0)+IFERROR(SUMIFS('Base bordo'!G$2:G$746,'Base bordo'!C$2:C$746,A972,'Base bordo'!B$2:B$746,B972,'Base bordo'!F$2:F$746,"PATIO - RESERVA"),0)+IFERROR(SUMIFS('Base bordo'!G$2:G$746,'Base bordo'!C$2:C$746,A972,'Base bordo'!B$2:B$746,B972,'Base bordo'!F$2:F$746,"MANOBRA CARRETAS-PATIO"),0)</f>
        <v>12.1875</v>
      </c>
      <c r="J972" s="10">
        <f>IFERROR(SUMIFS('Base bordo'!G$2:G$746,'Base bordo'!C$2:C$746,A972,'Base bordo'!B$2:B$746,B972,'Base bordo'!F$2:F$746,"BALANÇA - ENTRADA"),0)+IFERROR(SUMIFS('Base bordo'!G$2:G$746,'Base bordo'!C$2:C$746,A972,'Base bordo'!B$2:B$746,B972,'Base bordo'!F$2:F$746,"BALANÇA - SAÍDA"),0)</f>
        <v>1.0555555555555556E-2</v>
      </c>
      <c r="K972" s="10">
        <f>IFERROR(SUMIFS('Base bordo'!G$2:G$746,'Base bordo'!C$2:C$746,A972,'Base bordo'!B$2:B$746,B972,'Base bordo'!F$2:F$746,"MAN PREVENTIVA - MECANICA"),0)+IFERROR(SUMIFS('Base bordo'!G$2:G$746,'Base bordo'!C$2:C$746,A972,'Base bordo'!B$2:B$746,B972,'Base bordo'!F$2:F$746,"MAN CORRETIVA - MECANICA"),0)</f>
        <v>0</v>
      </c>
      <c r="L972" s="10">
        <f>IFERROR(SUMIFS('Base bordo'!G$2:G$746,'Base bordo'!C$2:C$746,A972,'Base bordo'!B$2:B$746,B972,'Base bordo'!F$2:F$746,"MANUTENCAO - T O"),0)+IFERROR(SUMIFS('Base bordo'!G$2:G$746,'Base bordo'!C$2:C$746,A972,'Base bordo'!B$2:B$746,B972,'Base bordo'!F$2:F$746,"MANUTENCAO BORRACHARIA"),0)+IFERROR(SUMIFS('Base bordo'!G$2:G$746,'Base bordo'!C$2:C$746,A972,'Base bordo'!B$2:B$746,B972,'Base bordo'!F$2:F$746,"MANUTENCAO EXTERNA  CONCESSIONARIA"),0)+IFERROR(SUMIFS('Base bordo'!G$2:G$746,'Base bordo'!C$2:C$746,A972,'Base bordo'!B$2:B$746,B972,'Base bordo'!F$2:F$746,"MANUTENCAO TELEMETRIA"),0)</f>
        <v>0</v>
      </c>
      <c r="M972" s="10">
        <f>IFERROR(SUMIFS('Base bordo'!G$2:G$746,'Base bordo'!C$2:C$746,A972,'Base bordo'!B$2:B$746,B972,'Base bordo'!F$2:F$746,"AGUARDANDO MANUTENCAO"),0)</f>
        <v>0</v>
      </c>
      <c r="N972" s="10">
        <f>IFERROR(SUMIFS('Base bordo'!G$2:G$746,'Base bordo'!C$2:C$746,A972,'Base bordo'!B$2:B$746,B972,'Base bordo'!F$2:F$746,"SEM APONTAMENTO"),0)</f>
        <v>0</v>
      </c>
      <c r="O972" s="10">
        <f t="shared" si="96"/>
        <v>0</v>
      </c>
      <c r="P972" s="10">
        <f>IFERROR(SUMIFS('Base bordo'!G$2:G$746,'Base bordo'!C$2:C$746,A972,'Base bordo'!B$2:B$746,B972),0)</f>
        <v>12.614722222222222</v>
      </c>
      <c r="Q972" s="10">
        <f>IFERROR(SUMIFS('Base bordo'!H$2:H$746,'Base bordo'!C$2:C$746,A972,'Base bordo'!B$2:B$746,B972,'Base bordo'!F$2:F$746,"DESLOCAMENTO VAZIO"),0)</f>
        <v>7895.41</v>
      </c>
      <c r="R972" s="10">
        <f>IFERROR(SUMIFS('Base bordo'!I$2:I$746,'Base bordo'!C$2:C$746,A972,'Base bordo'!B$2:B$746,B972,'Base bordo'!F$2:F$746,"DESLOCAMENTO VAZIO"),0)</f>
        <v>1188</v>
      </c>
      <c r="S972" s="30">
        <f t="shared" si="97"/>
        <v>6.6459680134680132</v>
      </c>
      <c r="T972" s="10">
        <f>IFERROR(SUMIFS('Base bordo'!H$2:H$746,'Base bordo'!C$2:C$746,A972,'Base bordo'!B$2:B$746,B972,'Base bordo'!F$2:F$746,"DESLOCAMENTO CARREGADO"),0)</f>
        <v>0</v>
      </c>
      <c r="U972" s="10">
        <f>IFERROR(SUMIFS('Base bordo'!I$2:I$746,'Base bordo'!C$2:C$746,A972,'Base bordo'!B$2:B$746,B972,'Base bordo'!F$2:F$746,"DESLOCAMENTO CARREGADO"),0)</f>
        <v>0</v>
      </c>
      <c r="V972" s="30" t="str">
        <f t="shared" si="98"/>
        <v/>
      </c>
      <c r="W972" s="9">
        <f t="shared" si="99"/>
        <v>2.6159910157884308E-2</v>
      </c>
      <c r="X972" s="9">
        <f t="shared" si="100"/>
        <v>0</v>
      </c>
      <c r="Y972" s="9">
        <f t="shared" si="101"/>
        <v>0.97384008984211567</v>
      </c>
    </row>
    <row r="973" spans="1:25" ht="15" customHeight="1" x14ac:dyDescent="0.35">
      <c r="A973" s="52">
        <v>8013486</v>
      </c>
      <c r="B973" s="51">
        <v>46119</v>
      </c>
      <c r="C973" s="7" t="s">
        <v>124</v>
      </c>
      <c r="D973" s="10">
        <f>IFERROR(SUMIFS('Base bordo'!G$2:G$746,'Base bordo'!C$2:C$746,A973,'Base bordo'!B$2:B$746,B973,'Base bordo'!F$2:F$746,"DESLOCAMENTO VAZIO"),0)</f>
        <v>0.33</v>
      </c>
      <c r="E973" s="10">
        <f>IFERROR(SUMIFS('Base bordo'!G$2:G$746,'Base bordo'!C$2:C$746,A973,'Base bordo'!B$2:B$746,B973,'Base bordo'!F$2:F$746,"DESLOCAMENTO CARREGADO"),0)</f>
        <v>0</v>
      </c>
      <c r="F973" s="10">
        <f>IFERROR(SUMIFS('Base bordo'!G$2:G$746,'Base bordo'!C$2:C$746,A973,'Base bordo'!B$2:B$746,B973,'Base bordo'!F$2:F$746,"DESLOCAMENTO"),0)</f>
        <v>0</v>
      </c>
      <c r="G973" s="10">
        <f>IFERROR(SUMIFS('Base bordo'!G$2:G$746,'Base bordo'!C$2:C$746,A973,'Base bordo'!B$2:B$746,B973,'Base bordo'!F$2:F$746,"CARREGAMENTO"),0)</f>
        <v>0</v>
      </c>
      <c r="H973" s="10">
        <f>IFERROR(SUMIFS('Base bordo'!G$2:G$746,'Base bordo'!C$2:C$746,A973,'Base bordo'!B$2:B$746,B973,'Base bordo'!F$2:F$746,"AGUARDANDO TRANSBORDO"),0)</f>
        <v>8.666666666666667E-2</v>
      </c>
      <c r="I973" s="10">
        <f>IFERROR(SUMIFS('Base bordo'!G$2:G$746,'Base bordo'!C$2:C$746,A973,'Base bordo'!B$2:B$746,B973,'Base bordo'!F$2:F$746,"PÁTIO INTERNO"),0)+IFERROR(SUMIFS('Base bordo'!G$2:G$746,'Base bordo'!C$2:C$746,A973,'Base bordo'!B$2:B$746,B973,'Base bordo'!F$2:F$746,"PÁTIO EXTERNO"),0)+IFERROR(SUMIFS('Base bordo'!G$2:G$746,'Base bordo'!C$2:C$746,A973,'Base bordo'!B$2:B$746,B973,'Base bordo'!F$2:F$746,"PATIO - RESERVA"),0)+IFERROR(SUMIFS('Base bordo'!G$2:G$746,'Base bordo'!C$2:C$746,A973,'Base bordo'!B$2:B$746,B973,'Base bordo'!F$2:F$746,"MANOBRA CARRETAS-PATIO"),0)</f>
        <v>12.1875</v>
      </c>
      <c r="J973" s="10">
        <f>IFERROR(SUMIFS('Base bordo'!G$2:G$746,'Base bordo'!C$2:C$746,A973,'Base bordo'!B$2:B$746,B973,'Base bordo'!F$2:F$746,"BALANÇA - ENTRADA"),0)+IFERROR(SUMIFS('Base bordo'!G$2:G$746,'Base bordo'!C$2:C$746,A973,'Base bordo'!B$2:B$746,B973,'Base bordo'!F$2:F$746,"BALANÇA - SAÍDA"),0)</f>
        <v>1.0555555555555556E-2</v>
      </c>
      <c r="K973" s="10">
        <f>IFERROR(SUMIFS('Base bordo'!G$2:G$746,'Base bordo'!C$2:C$746,A973,'Base bordo'!B$2:B$746,B973,'Base bordo'!F$2:F$746,"MAN PREVENTIVA - MECANICA"),0)+IFERROR(SUMIFS('Base bordo'!G$2:G$746,'Base bordo'!C$2:C$746,A973,'Base bordo'!B$2:B$746,B973,'Base bordo'!F$2:F$746,"MAN CORRETIVA - MECANICA"),0)</f>
        <v>0</v>
      </c>
      <c r="L973" s="10">
        <f>IFERROR(SUMIFS('Base bordo'!G$2:G$746,'Base bordo'!C$2:C$746,A973,'Base bordo'!B$2:B$746,B973,'Base bordo'!F$2:F$746,"MANUTENCAO - T O"),0)+IFERROR(SUMIFS('Base bordo'!G$2:G$746,'Base bordo'!C$2:C$746,A973,'Base bordo'!B$2:B$746,B973,'Base bordo'!F$2:F$746,"MANUTENCAO BORRACHARIA"),0)+IFERROR(SUMIFS('Base bordo'!G$2:G$746,'Base bordo'!C$2:C$746,A973,'Base bordo'!B$2:B$746,B973,'Base bordo'!F$2:F$746,"MANUTENCAO EXTERNA  CONCESSIONARIA"),0)+IFERROR(SUMIFS('Base bordo'!G$2:G$746,'Base bordo'!C$2:C$746,A973,'Base bordo'!B$2:B$746,B973,'Base bordo'!F$2:F$746,"MANUTENCAO TELEMETRIA"),0)</f>
        <v>0</v>
      </c>
      <c r="M973" s="10">
        <f>IFERROR(SUMIFS('Base bordo'!G$2:G$746,'Base bordo'!C$2:C$746,A973,'Base bordo'!B$2:B$746,B973,'Base bordo'!F$2:F$746,"AGUARDANDO MANUTENCAO"),0)</f>
        <v>0</v>
      </c>
      <c r="N973" s="10">
        <f>IFERROR(SUMIFS('Base bordo'!G$2:G$746,'Base bordo'!C$2:C$746,A973,'Base bordo'!B$2:B$746,B973,'Base bordo'!F$2:F$746,"SEM APONTAMENTO"),0)</f>
        <v>0</v>
      </c>
      <c r="O973" s="10">
        <f t="shared" si="96"/>
        <v>0</v>
      </c>
      <c r="P973" s="10">
        <f>IFERROR(SUMIFS('Base bordo'!G$2:G$746,'Base bordo'!C$2:C$746,A973,'Base bordo'!B$2:B$746,B973),0)</f>
        <v>12.614722222222222</v>
      </c>
      <c r="Q973" s="10">
        <f>IFERROR(SUMIFS('Base bordo'!H$2:H$746,'Base bordo'!C$2:C$746,A973,'Base bordo'!B$2:B$746,B973,'Base bordo'!F$2:F$746,"DESLOCAMENTO VAZIO"),0)</f>
        <v>7895.41</v>
      </c>
      <c r="R973" s="10">
        <f>IFERROR(SUMIFS('Base bordo'!I$2:I$746,'Base bordo'!C$2:C$746,A973,'Base bordo'!B$2:B$746,B973,'Base bordo'!F$2:F$746,"DESLOCAMENTO VAZIO"),0)</f>
        <v>1188</v>
      </c>
      <c r="S973" s="30">
        <f t="shared" si="97"/>
        <v>6.6459680134680132</v>
      </c>
      <c r="T973" s="10">
        <f>IFERROR(SUMIFS('Base bordo'!H$2:H$746,'Base bordo'!C$2:C$746,A973,'Base bordo'!B$2:B$746,B973,'Base bordo'!F$2:F$746,"DESLOCAMENTO CARREGADO"),0)</f>
        <v>0</v>
      </c>
      <c r="U973" s="10">
        <f>IFERROR(SUMIFS('Base bordo'!I$2:I$746,'Base bordo'!C$2:C$746,A973,'Base bordo'!B$2:B$746,B973,'Base bordo'!F$2:F$746,"DESLOCAMENTO CARREGADO"),0)</f>
        <v>0</v>
      </c>
      <c r="V973" s="30" t="str">
        <f t="shared" si="98"/>
        <v/>
      </c>
      <c r="W973" s="9">
        <f t="shared" si="99"/>
        <v>2.6159910157884308E-2</v>
      </c>
      <c r="X973" s="9">
        <f t="shared" si="100"/>
        <v>0</v>
      </c>
      <c r="Y973" s="9">
        <f t="shared" si="101"/>
        <v>0.97384008984211567</v>
      </c>
    </row>
    <row r="974" spans="1:25" ht="15" customHeight="1" x14ac:dyDescent="0.35">
      <c r="A974" s="52">
        <v>8013486</v>
      </c>
      <c r="B974" s="51">
        <v>46119</v>
      </c>
      <c r="C974" s="7" t="s">
        <v>124</v>
      </c>
      <c r="D974" s="10">
        <f>IFERROR(SUMIFS('Base bordo'!G$2:G$746,'Base bordo'!C$2:C$746,A974,'Base bordo'!B$2:B$746,B974,'Base bordo'!F$2:F$746,"DESLOCAMENTO VAZIO"),0)</f>
        <v>0.33</v>
      </c>
      <c r="E974" s="10">
        <f>IFERROR(SUMIFS('Base bordo'!G$2:G$746,'Base bordo'!C$2:C$746,A974,'Base bordo'!B$2:B$746,B974,'Base bordo'!F$2:F$746,"DESLOCAMENTO CARREGADO"),0)</f>
        <v>0</v>
      </c>
      <c r="F974" s="10">
        <f>IFERROR(SUMIFS('Base bordo'!G$2:G$746,'Base bordo'!C$2:C$746,A974,'Base bordo'!B$2:B$746,B974,'Base bordo'!F$2:F$746,"DESLOCAMENTO"),0)</f>
        <v>0</v>
      </c>
      <c r="G974" s="10">
        <f>IFERROR(SUMIFS('Base bordo'!G$2:G$746,'Base bordo'!C$2:C$746,A974,'Base bordo'!B$2:B$746,B974,'Base bordo'!F$2:F$746,"CARREGAMENTO"),0)</f>
        <v>0</v>
      </c>
      <c r="H974" s="10">
        <f>IFERROR(SUMIFS('Base bordo'!G$2:G$746,'Base bordo'!C$2:C$746,A974,'Base bordo'!B$2:B$746,B974,'Base bordo'!F$2:F$746,"AGUARDANDO TRANSBORDO"),0)</f>
        <v>8.666666666666667E-2</v>
      </c>
      <c r="I974" s="10">
        <f>IFERROR(SUMIFS('Base bordo'!G$2:G$746,'Base bordo'!C$2:C$746,A974,'Base bordo'!B$2:B$746,B974,'Base bordo'!F$2:F$746,"PÁTIO INTERNO"),0)+IFERROR(SUMIFS('Base bordo'!G$2:G$746,'Base bordo'!C$2:C$746,A974,'Base bordo'!B$2:B$746,B974,'Base bordo'!F$2:F$746,"PÁTIO EXTERNO"),0)+IFERROR(SUMIFS('Base bordo'!G$2:G$746,'Base bordo'!C$2:C$746,A974,'Base bordo'!B$2:B$746,B974,'Base bordo'!F$2:F$746,"PATIO - RESERVA"),0)+IFERROR(SUMIFS('Base bordo'!G$2:G$746,'Base bordo'!C$2:C$746,A974,'Base bordo'!B$2:B$746,B974,'Base bordo'!F$2:F$746,"MANOBRA CARRETAS-PATIO"),0)</f>
        <v>12.1875</v>
      </c>
      <c r="J974" s="10">
        <f>IFERROR(SUMIFS('Base bordo'!G$2:G$746,'Base bordo'!C$2:C$746,A974,'Base bordo'!B$2:B$746,B974,'Base bordo'!F$2:F$746,"BALANÇA - ENTRADA"),0)+IFERROR(SUMIFS('Base bordo'!G$2:G$746,'Base bordo'!C$2:C$746,A974,'Base bordo'!B$2:B$746,B974,'Base bordo'!F$2:F$746,"BALANÇA - SAÍDA"),0)</f>
        <v>1.0555555555555556E-2</v>
      </c>
      <c r="K974" s="10">
        <f>IFERROR(SUMIFS('Base bordo'!G$2:G$746,'Base bordo'!C$2:C$746,A974,'Base bordo'!B$2:B$746,B974,'Base bordo'!F$2:F$746,"MAN PREVENTIVA - MECANICA"),0)+IFERROR(SUMIFS('Base bordo'!G$2:G$746,'Base bordo'!C$2:C$746,A974,'Base bordo'!B$2:B$746,B974,'Base bordo'!F$2:F$746,"MAN CORRETIVA - MECANICA"),0)</f>
        <v>0</v>
      </c>
      <c r="L974" s="10">
        <f>IFERROR(SUMIFS('Base bordo'!G$2:G$746,'Base bordo'!C$2:C$746,A974,'Base bordo'!B$2:B$746,B974,'Base bordo'!F$2:F$746,"MANUTENCAO - T O"),0)+IFERROR(SUMIFS('Base bordo'!G$2:G$746,'Base bordo'!C$2:C$746,A974,'Base bordo'!B$2:B$746,B974,'Base bordo'!F$2:F$746,"MANUTENCAO BORRACHARIA"),0)+IFERROR(SUMIFS('Base bordo'!G$2:G$746,'Base bordo'!C$2:C$746,A974,'Base bordo'!B$2:B$746,B974,'Base bordo'!F$2:F$746,"MANUTENCAO EXTERNA  CONCESSIONARIA"),0)+IFERROR(SUMIFS('Base bordo'!G$2:G$746,'Base bordo'!C$2:C$746,A974,'Base bordo'!B$2:B$746,B974,'Base bordo'!F$2:F$746,"MANUTENCAO TELEMETRIA"),0)</f>
        <v>0</v>
      </c>
      <c r="M974" s="10">
        <f>IFERROR(SUMIFS('Base bordo'!G$2:G$746,'Base bordo'!C$2:C$746,A974,'Base bordo'!B$2:B$746,B974,'Base bordo'!F$2:F$746,"AGUARDANDO MANUTENCAO"),0)</f>
        <v>0</v>
      </c>
      <c r="N974" s="10">
        <f>IFERROR(SUMIFS('Base bordo'!G$2:G$746,'Base bordo'!C$2:C$746,A974,'Base bordo'!B$2:B$746,B974,'Base bordo'!F$2:F$746,"SEM APONTAMENTO"),0)</f>
        <v>0</v>
      </c>
      <c r="O974" s="10">
        <f t="shared" si="96"/>
        <v>0</v>
      </c>
      <c r="P974" s="10">
        <f>IFERROR(SUMIFS('Base bordo'!G$2:G$746,'Base bordo'!C$2:C$746,A974,'Base bordo'!B$2:B$746,B974),0)</f>
        <v>12.614722222222222</v>
      </c>
      <c r="Q974" s="10">
        <f>IFERROR(SUMIFS('Base bordo'!H$2:H$746,'Base bordo'!C$2:C$746,A974,'Base bordo'!B$2:B$746,B974,'Base bordo'!F$2:F$746,"DESLOCAMENTO VAZIO"),0)</f>
        <v>7895.41</v>
      </c>
      <c r="R974" s="10">
        <f>IFERROR(SUMIFS('Base bordo'!I$2:I$746,'Base bordo'!C$2:C$746,A974,'Base bordo'!B$2:B$746,B974,'Base bordo'!F$2:F$746,"DESLOCAMENTO VAZIO"),0)</f>
        <v>1188</v>
      </c>
      <c r="S974" s="30">
        <f t="shared" si="97"/>
        <v>6.6459680134680132</v>
      </c>
      <c r="T974" s="10">
        <f>IFERROR(SUMIFS('Base bordo'!H$2:H$746,'Base bordo'!C$2:C$746,A974,'Base bordo'!B$2:B$746,B974,'Base bordo'!F$2:F$746,"DESLOCAMENTO CARREGADO"),0)</f>
        <v>0</v>
      </c>
      <c r="U974" s="10">
        <f>IFERROR(SUMIFS('Base bordo'!I$2:I$746,'Base bordo'!C$2:C$746,A974,'Base bordo'!B$2:B$746,B974,'Base bordo'!F$2:F$746,"DESLOCAMENTO CARREGADO"),0)</f>
        <v>0</v>
      </c>
      <c r="V974" s="30" t="str">
        <f t="shared" si="98"/>
        <v/>
      </c>
      <c r="W974" s="9">
        <f t="shared" si="99"/>
        <v>2.6159910157884308E-2</v>
      </c>
      <c r="X974" s="9">
        <f t="shared" si="100"/>
        <v>0</v>
      </c>
      <c r="Y974" s="9">
        <f t="shared" si="101"/>
        <v>0.97384008984211567</v>
      </c>
    </row>
    <row r="975" spans="1:25" ht="15" customHeight="1" x14ac:dyDescent="0.35">
      <c r="A975" s="52">
        <v>8013460</v>
      </c>
      <c r="B975" s="51">
        <v>46120</v>
      </c>
      <c r="C975" s="7" t="s">
        <v>124</v>
      </c>
      <c r="D975" s="10">
        <f>IFERROR(SUMIFS('Base bordo'!G$2:G$746,'Base bordo'!C$2:C$746,A975,'Base bordo'!B$2:B$746,B975,'Base bordo'!F$2:F$746,"DESLOCAMENTO VAZIO"),0)</f>
        <v>0</v>
      </c>
      <c r="E975" s="10">
        <f>IFERROR(SUMIFS('Base bordo'!G$2:G$746,'Base bordo'!C$2:C$746,A975,'Base bordo'!B$2:B$746,B975,'Base bordo'!F$2:F$746,"DESLOCAMENTO CARREGADO"),0)</f>
        <v>0</v>
      </c>
      <c r="F975" s="10">
        <f>IFERROR(SUMIFS('Base bordo'!G$2:G$746,'Base bordo'!C$2:C$746,A975,'Base bordo'!B$2:B$746,B975,'Base bordo'!F$2:F$746,"DESLOCAMENTO"),0)</f>
        <v>0</v>
      </c>
      <c r="G975" s="10">
        <f>IFERROR(SUMIFS('Base bordo'!G$2:G$746,'Base bordo'!C$2:C$746,A975,'Base bordo'!B$2:B$746,B975,'Base bordo'!F$2:F$746,"CARREGAMENTO"),0)</f>
        <v>0</v>
      </c>
      <c r="H975" s="10">
        <f>IFERROR(SUMIFS('Base bordo'!G$2:G$746,'Base bordo'!C$2:C$746,A975,'Base bordo'!B$2:B$746,B975,'Base bordo'!F$2:F$746,"AGUARDANDO TRANSBORDO"),0)</f>
        <v>0</v>
      </c>
      <c r="I975" s="10">
        <f>IFERROR(SUMIFS('Base bordo'!G$2:G$746,'Base bordo'!C$2:C$746,A975,'Base bordo'!B$2:B$746,B975,'Base bordo'!F$2:F$746,"PÁTIO INTERNO"),0)+IFERROR(SUMIFS('Base bordo'!G$2:G$746,'Base bordo'!C$2:C$746,A975,'Base bordo'!B$2:B$746,B975,'Base bordo'!F$2:F$746,"PÁTIO EXTERNO"),0)+IFERROR(SUMIFS('Base bordo'!G$2:G$746,'Base bordo'!C$2:C$746,A975,'Base bordo'!B$2:B$746,B975,'Base bordo'!F$2:F$746,"PATIO - RESERVA"),0)+IFERROR(SUMIFS('Base bordo'!G$2:G$746,'Base bordo'!C$2:C$746,A975,'Base bordo'!B$2:B$746,B975,'Base bordo'!F$2:F$746,"MANOBRA CARRETAS-PATIO"),0)</f>
        <v>0</v>
      </c>
      <c r="J975" s="10">
        <f>IFERROR(SUMIFS('Base bordo'!G$2:G$746,'Base bordo'!C$2:C$746,A975,'Base bordo'!B$2:B$746,B975,'Base bordo'!F$2:F$746,"BALANÇA - ENTRADA"),0)+IFERROR(SUMIFS('Base bordo'!G$2:G$746,'Base bordo'!C$2:C$746,A975,'Base bordo'!B$2:B$746,B975,'Base bordo'!F$2:F$746,"BALANÇA - SAÍDA"),0)</f>
        <v>0</v>
      </c>
      <c r="K975" s="10">
        <f>IFERROR(SUMIFS('Base bordo'!G$2:G$746,'Base bordo'!C$2:C$746,A975,'Base bordo'!B$2:B$746,B975,'Base bordo'!F$2:F$746,"MAN PREVENTIVA - MECANICA"),0)+IFERROR(SUMIFS('Base bordo'!G$2:G$746,'Base bordo'!C$2:C$746,A975,'Base bordo'!B$2:B$746,B975,'Base bordo'!F$2:F$746,"MAN CORRETIVA - MECANICA"),0)</f>
        <v>0</v>
      </c>
      <c r="L975" s="10">
        <f>IFERROR(SUMIFS('Base bordo'!G$2:G$746,'Base bordo'!C$2:C$746,A975,'Base bordo'!B$2:B$746,B975,'Base bordo'!F$2:F$746,"MANUTENCAO - T O"),0)+IFERROR(SUMIFS('Base bordo'!G$2:G$746,'Base bordo'!C$2:C$746,A975,'Base bordo'!B$2:B$746,B975,'Base bordo'!F$2:F$746,"MANUTENCAO BORRACHARIA"),0)+IFERROR(SUMIFS('Base bordo'!G$2:G$746,'Base bordo'!C$2:C$746,A975,'Base bordo'!B$2:B$746,B975,'Base bordo'!F$2:F$746,"MANUTENCAO EXTERNA  CONCESSIONARIA"),0)+IFERROR(SUMIFS('Base bordo'!G$2:G$746,'Base bordo'!C$2:C$746,A975,'Base bordo'!B$2:B$746,B975,'Base bordo'!F$2:F$746,"MANUTENCAO TELEMETRIA"),0)</f>
        <v>0</v>
      </c>
      <c r="M975" s="10">
        <f>IFERROR(SUMIFS('Base bordo'!G$2:G$746,'Base bordo'!C$2:C$746,A975,'Base bordo'!B$2:B$746,B975,'Base bordo'!F$2:F$746,"AGUARDANDO MANUTENCAO"),0)</f>
        <v>0</v>
      </c>
      <c r="N975" s="10">
        <f>IFERROR(SUMIFS('Base bordo'!G$2:G$746,'Base bordo'!C$2:C$746,A975,'Base bordo'!B$2:B$746,B975,'Base bordo'!F$2:F$746,"SEM APONTAMENTO"),0)</f>
        <v>0</v>
      </c>
      <c r="O975" s="10">
        <f t="shared" ref="O975:O1038" si="102">IFERROR(P975-SUM(D975:N975),0)</f>
        <v>0</v>
      </c>
      <c r="P975" s="10">
        <f>IFERROR(SUMIFS('Base bordo'!G$2:G$746,'Base bordo'!C$2:C$746,A975,'Base bordo'!B$2:B$746,B975),0)</f>
        <v>0</v>
      </c>
      <c r="Q975" s="10">
        <f>IFERROR(SUMIFS('Base bordo'!H$2:H$746,'Base bordo'!C$2:C$746,A975,'Base bordo'!B$2:B$746,B975,'Base bordo'!F$2:F$746,"DESLOCAMENTO VAZIO"),0)</f>
        <v>0</v>
      </c>
      <c r="R975" s="10">
        <f>IFERROR(SUMIFS('Base bordo'!I$2:I$746,'Base bordo'!C$2:C$746,A975,'Base bordo'!B$2:B$746,B975,'Base bordo'!F$2:F$746,"DESLOCAMENTO VAZIO"),0)</f>
        <v>0</v>
      </c>
      <c r="S975" s="30" t="str">
        <f t="shared" ref="S975:S1038" si="103">IFERROR(Q975/R975,"")</f>
        <v/>
      </c>
      <c r="T975" s="10">
        <f>IFERROR(SUMIFS('Base bordo'!H$2:H$746,'Base bordo'!C$2:C$746,A975,'Base bordo'!B$2:B$746,B975,'Base bordo'!F$2:F$746,"DESLOCAMENTO CARREGADO"),0)</f>
        <v>0</v>
      </c>
      <c r="U975" s="10">
        <f>IFERROR(SUMIFS('Base bordo'!I$2:I$746,'Base bordo'!C$2:C$746,A975,'Base bordo'!B$2:B$746,B975,'Base bordo'!F$2:F$746,"DESLOCAMENTO CARREGADO"),0)</f>
        <v>0</v>
      </c>
      <c r="V975" s="30" t="str">
        <f t="shared" ref="V975:V1038" si="104">IFERROR(T975/U975,"")</f>
        <v/>
      </c>
      <c r="W975" s="9">
        <f t="shared" ref="W975:W1038" si="105">IFERROR(D975/P975,0)</f>
        <v>0</v>
      </c>
      <c r="X975" s="9">
        <f t="shared" ref="X975:X1038" si="106">IFERROR(E975/P975,0)</f>
        <v>0</v>
      </c>
      <c r="Y975" s="9">
        <f t="shared" ref="Y975:Y1038" si="107">IFERROR(1-((D975+E975)/P975),0)</f>
        <v>0</v>
      </c>
    </row>
    <row r="976" spans="1:25" ht="15" customHeight="1" x14ac:dyDescent="0.35">
      <c r="A976" s="52">
        <v>8013460</v>
      </c>
      <c r="B976" s="51">
        <v>46120</v>
      </c>
      <c r="C976" s="7" t="s">
        <v>124</v>
      </c>
      <c r="D976" s="10">
        <f>IFERROR(SUMIFS('Base bordo'!G$2:G$746,'Base bordo'!C$2:C$746,A976,'Base bordo'!B$2:B$746,B976,'Base bordo'!F$2:F$746,"DESLOCAMENTO VAZIO"),0)</f>
        <v>0</v>
      </c>
      <c r="E976" s="10">
        <f>IFERROR(SUMIFS('Base bordo'!G$2:G$746,'Base bordo'!C$2:C$746,A976,'Base bordo'!B$2:B$746,B976,'Base bordo'!F$2:F$746,"DESLOCAMENTO CARREGADO"),0)</f>
        <v>0</v>
      </c>
      <c r="F976" s="10">
        <f>IFERROR(SUMIFS('Base bordo'!G$2:G$746,'Base bordo'!C$2:C$746,A976,'Base bordo'!B$2:B$746,B976,'Base bordo'!F$2:F$746,"DESLOCAMENTO"),0)</f>
        <v>0</v>
      </c>
      <c r="G976" s="10">
        <f>IFERROR(SUMIFS('Base bordo'!G$2:G$746,'Base bordo'!C$2:C$746,A976,'Base bordo'!B$2:B$746,B976,'Base bordo'!F$2:F$746,"CARREGAMENTO"),0)</f>
        <v>0</v>
      </c>
      <c r="H976" s="10">
        <f>IFERROR(SUMIFS('Base bordo'!G$2:G$746,'Base bordo'!C$2:C$746,A976,'Base bordo'!B$2:B$746,B976,'Base bordo'!F$2:F$746,"AGUARDANDO TRANSBORDO"),0)</f>
        <v>0</v>
      </c>
      <c r="I976" s="10">
        <f>IFERROR(SUMIFS('Base bordo'!G$2:G$746,'Base bordo'!C$2:C$746,A976,'Base bordo'!B$2:B$746,B976,'Base bordo'!F$2:F$746,"PÁTIO INTERNO"),0)+IFERROR(SUMIFS('Base bordo'!G$2:G$746,'Base bordo'!C$2:C$746,A976,'Base bordo'!B$2:B$746,B976,'Base bordo'!F$2:F$746,"PÁTIO EXTERNO"),0)+IFERROR(SUMIFS('Base bordo'!G$2:G$746,'Base bordo'!C$2:C$746,A976,'Base bordo'!B$2:B$746,B976,'Base bordo'!F$2:F$746,"PATIO - RESERVA"),0)+IFERROR(SUMIFS('Base bordo'!G$2:G$746,'Base bordo'!C$2:C$746,A976,'Base bordo'!B$2:B$746,B976,'Base bordo'!F$2:F$746,"MANOBRA CARRETAS-PATIO"),0)</f>
        <v>0</v>
      </c>
      <c r="J976" s="10">
        <f>IFERROR(SUMIFS('Base bordo'!G$2:G$746,'Base bordo'!C$2:C$746,A976,'Base bordo'!B$2:B$746,B976,'Base bordo'!F$2:F$746,"BALANÇA - ENTRADA"),0)+IFERROR(SUMIFS('Base bordo'!G$2:G$746,'Base bordo'!C$2:C$746,A976,'Base bordo'!B$2:B$746,B976,'Base bordo'!F$2:F$746,"BALANÇA - SAÍDA"),0)</f>
        <v>0</v>
      </c>
      <c r="K976" s="10">
        <f>IFERROR(SUMIFS('Base bordo'!G$2:G$746,'Base bordo'!C$2:C$746,A976,'Base bordo'!B$2:B$746,B976,'Base bordo'!F$2:F$746,"MAN PREVENTIVA - MECANICA"),0)+IFERROR(SUMIFS('Base bordo'!G$2:G$746,'Base bordo'!C$2:C$746,A976,'Base bordo'!B$2:B$746,B976,'Base bordo'!F$2:F$746,"MAN CORRETIVA - MECANICA"),0)</f>
        <v>0</v>
      </c>
      <c r="L976" s="10">
        <f>IFERROR(SUMIFS('Base bordo'!G$2:G$746,'Base bordo'!C$2:C$746,A976,'Base bordo'!B$2:B$746,B976,'Base bordo'!F$2:F$746,"MANUTENCAO - T O"),0)+IFERROR(SUMIFS('Base bordo'!G$2:G$746,'Base bordo'!C$2:C$746,A976,'Base bordo'!B$2:B$746,B976,'Base bordo'!F$2:F$746,"MANUTENCAO BORRACHARIA"),0)+IFERROR(SUMIFS('Base bordo'!G$2:G$746,'Base bordo'!C$2:C$746,A976,'Base bordo'!B$2:B$746,B976,'Base bordo'!F$2:F$746,"MANUTENCAO EXTERNA  CONCESSIONARIA"),0)+IFERROR(SUMIFS('Base bordo'!G$2:G$746,'Base bordo'!C$2:C$746,A976,'Base bordo'!B$2:B$746,B976,'Base bordo'!F$2:F$746,"MANUTENCAO TELEMETRIA"),0)</f>
        <v>0</v>
      </c>
      <c r="M976" s="10">
        <f>IFERROR(SUMIFS('Base bordo'!G$2:G$746,'Base bordo'!C$2:C$746,A976,'Base bordo'!B$2:B$746,B976,'Base bordo'!F$2:F$746,"AGUARDANDO MANUTENCAO"),0)</f>
        <v>0</v>
      </c>
      <c r="N976" s="10">
        <f>IFERROR(SUMIFS('Base bordo'!G$2:G$746,'Base bordo'!C$2:C$746,A976,'Base bordo'!B$2:B$746,B976,'Base bordo'!F$2:F$746,"SEM APONTAMENTO"),0)</f>
        <v>0</v>
      </c>
      <c r="O976" s="10">
        <f t="shared" si="102"/>
        <v>0</v>
      </c>
      <c r="P976" s="10">
        <f>IFERROR(SUMIFS('Base bordo'!G$2:G$746,'Base bordo'!C$2:C$746,A976,'Base bordo'!B$2:B$746,B976),0)</f>
        <v>0</v>
      </c>
      <c r="Q976" s="10">
        <f>IFERROR(SUMIFS('Base bordo'!H$2:H$746,'Base bordo'!C$2:C$746,A976,'Base bordo'!B$2:B$746,B976,'Base bordo'!F$2:F$746,"DESLOCAMENTO VAZIO"),0)</f>
        <v>0</v>
      </c>
      <c r="R976" s="10">
        <f>IFERROR(SUMIFS('Base bordo'!I$2:I$746,'Base bordo'!C$2:C$746,A976,'Base bordo'!B$2:B$746,B976,'Base bordo'!F$2:F$746,"DESLOCAMENTO VAZIO"),0)</f>
        <v>0</v>
      </c>
      <c r="S976" s="30" t="str">
        <f t="shared" si="103"/>
        <v/>
      </c>
      <c r="T976" s="10">
        <f>IFERROR(SUMIFS('Base bordo'!H$2:H$746,'Base bordo'!C$2:C$746,A976,'Base bordo'!B$2:B$746,B976,'Base bordo'!F$2:F$746,"DESLOCAMENTO CARREGADO"),0)</f>
        <v>0</v>
      </c>
      <c r="U976" s="10">
        <f>IFERROR(SUMIFS('Base bordo'!I$2:I$746,'Base bordo'!C$2:C$746,A976,'Base bordo'!B$2:B$746,B976,'Base bordo'!F$2:F$746,"DESLOCAMENTO CARREGADO"),0)</f>
        <v>0</v>
      </c>
      <c r="V976" s="30" t="str">
        <f t="shared" si="104"/>
        <v/>
      </c>
      <c r="W976" s="9">
        <f t="shared" si="105"/>
        <v>0</v>
      </c>
      <c r="X976" s="9">
        <f t="shared" si="106"/>
        <v>0</v>
      </c>
      <c r="Y976" s="9">
        <f t="shared" si="107"/>
        <v>0</v>
      </c>
    </row>
    <row r="977" spans="1:25" ht="15" customHeight="1" x14ac:dyDescent="0.35">
      <c r="A977" s="52">
        <v>8013461</v>
      </c>
      <c r="B977" s="51">
        <v>46120</v>
      </c>
      <c r="C977" s="7" t="s">
        <v>124</v>
      </c>
      <c r="D977" s="10">
        <f>IFERROR(SUMIFS('Base bordo'!G$2:G$746,'Base bordo'!C$2:C$746,A977,'Base bordo'!B$2:B$746,B977,'Base bordo'!F$2:F$746,"DESLOCAMENTO VAZIO"),0)</f>
        <v>0</v>
      </c>
      <c r="E977" s="10">
        <f>IFERROR(SUMIFS('Base bordo'!G$2:G$746,'Base bordo'!C$2:C$746,A977,'Base bordo'!B$2:B$746,B977,'Base bordo'!F$2:F$746,"DESLOCAMENTO CARREGADO"),0)</f>
        <v>0</v>
      </c>
      <c r="F977" s="10">
        <f>IFERROR(SUMIFS('Base bordo'!G$2:G$746,'Base bordo'!C$2:C$746,A977,'Base bordo'!B$2:B$746,B977,'Base bordo'!F$2:F$746,"DESLOCAMENTO"),0)</f>
        <v>0</v>
      </c>
      <c r="G977" s="10">
        <f>IFERROR(SUMIFS('Base bordo'!G$2:G$746,'Base bordo'!C$2:C$746,A977,'Base bordo'!B$2:B$746,B977,'Base bordo'!F$2:F$746,"CARREGAMENTO"),0)</f>
        <v>0</v>
      </c>
      <c r="H977" s="10">
        <f>IFERROR(SUMIFS('Base bordo'!G$2:G$746,'Base bordo'!C$2:C$746,A977,'Base bordo'!B$2:B$746,B977,'Base bordo'!F$2:F$746,"AGUARDANDO TRANSBORDO"),0)</f>
        <v>0</v>
      </c>
      <c r="I977" s="10">
        <f>IFERROR(SUMIFS('Base bordo'!G$2:G$746,'Base bordo'!C$2:C$746,A977,'Base bordo'!B$2:B$746,B977,'Base bordo'!F$2:F$746,"PÁTIO INTERNO"),0)+IFERROR(SUMIFS('Base bordo'!G$2:G$746,'Base bordo'!C$2:C$746,A977,'Base bordo'!B$2:B$746,B977,'Base bordo'!F$2:F$746,"PÁTIO EXTERNO"),0)+IFERROR(SUMIFS('Base bordo'!G$2:G$746,'Base bordo'!C$2:C$746,A977,'Base bordo'!B$2:B$746,B977,'Base bordo'!F$2:F$746,"PATIO - RESERVA"),0)+IFERROR(SUMIFS('Base bordo'!G$2:G$746,'Base bordo'!C$2:C$746,A977,'Base bordo'!B$2:B$746,B977,'Base bordo'!F$2:F$746,"MANOBRA CARRETAS-PATIO"),0)</f>
        <v>0</v>
      </c>
      <c r="J977" s="10">
        <f>IFERROR(SUMIFS('Base bordo'!G$2:G$746,'Base bordo'!C$2:C$746,A977,'Base bordo'!B$2:B$746,B977,'Base bordo'!F$2:F$746,"BALANÇA - ENTRADA"),0)+IFERROR(SUMIFS('Base bordo'!G$2:G$746,'Base bordo'!C$2:C$746,A977,'Base bordo'!B$2:B$746,B977,'Base bordo'!F$2:F$746,"BALANÇA - SAÍDA"),0)</f>
        <v>0</v>
      </c>
      <c r="K977" s="10">
        <f>IFERROR(SUMIFS('Base bordo'!G$2:G$746,'Base bordo'!C$2:C$746,A977,'Base bordo'!B$2:B$746,B977,'Base bordo'!F$2:F$746,"MAN PREVENTIVA - MECANICA"),0)+IFERROR(SUMIFS('Base bordo'!G$2:G$746,'Base bordo'!C$2:C$746,A977,'Base bordo'!B$2:B$746,B977,'Base bordo'!F$2:F$746,"MAN CORRETIVA - MECANICA"),0)</f>
        <v>0</v>
      </c>
      <c r="L977" s="10">
        <f>IFERROR(SUMIFS('Base bordo'!G$2:G$746,'Base bordo'!C$2:C$746,A977,'Base bordo'!B$2:B$746,B977,'Base bordo'!F$2:F$746,"MANUTENCAO - T O"),0)+IFERROR(SUMIFS('Base bordo'!G$2:G$746,'Base bordo'!C$2:C$746,A977,'Base bordo'!B$2:B$746,B977,'Base bordo'!F$2:F$746,"MANUTENCAO BORRACHARIA"),0)+IFERROR(SUMIFS('Base bordo'!G$2:G$746,'Base bordo'!C$2:C$746,A977,'Base bordo'!B$2:B$746,B977,'Base bordo'!F$2:F$746,"MANUTENCAO EXTERNA  CONCESSIONARIA"),0)+IFERROR(SUMIFS('Base bordo'!G$2:G$746,'Base bordo'!C$2:C$746,A977,'Base bordo'!B$2:B$746,B977,'Base bordo'!F$2:F$746,"MANUTENCAO TELEMETRIA"),0)</f>
        <v>0</v>
      </c>
      <c r="M977" s="10">
        <f>IFERROR(SUMIFS('Base bordo'!G$2:G$746,'Base bordo'!C$2:C$746,A977,'Base bordo'!B$2:B$746,B977,'Base bordo'!F$2:F$746,"AGUARDANDO MANUTENCAO"),0)</f>
        <v>0</v>
      </c>
      <c r="N977" s="10">
        <f>IFERROR(SUMIFS('Base bordo'!G$2:G$746,'Base bordo'!C$2:C$746,A977,'Base bordo'!B$2:B$746,B977,'Base bordo'!F$2:F$746,"SEM APONTAMENTO"),0)</f>
        <v>0</v>
      </c>
      <c r="O977" s="10">
        <f t="shared" si="102"/>
        <v>0</v>
      </c>
      <c r="P977" s="10">
        <f>IFERROR(SUMIFS('Base bordo'!G$2:G$746,'Base bordo'!C$2:C$746,A977,'Base bordo'!B$2:B$746,B977),0)</f>
        <v>0</v>
      </c>
      <c r="Q977" s="10">
        <f>IFERROR(SUMIFS('Base bordo'!H$2:H$746,'Base bordo'!C$2:C$746,A977,'Base bordo'!B$2:B$746,B977,'Base bordo'!F$2:F$746,"DESLOCAMENTO VAZIO"),0)</f>
        <v>0</v>
      </c>
      <c r="R977" s="10">
        <f>IFERROR(SUMIFS('Base bordo'!I$2:I$746,'Base bordo'!C$2:C$746,A977,'Base bordo'!B$2:B$746,B977,'Base bordo'!F$2:F$746,"DESLOCAMENTO VAZIO"),0)</f>
        <v>0</v>
      </c>
      <c r="S977" s="30" t="str">
        <f t="shared" si="103"/>
        <v/>
      </c>
      <c r="T977" s="10">
        <f>IFERROR(SUMIFS('Base bordo'!H$2:H$746,'Base bordo'!C$2:C$746,A977,'Base bordo'!B$2:B$746,B977,'Base bordo'!F$2:F$746,"DESLOCAMENTO CARREGADO"),0)</f>
        <v>0</v>
      </c>
      <c r="U977" s="10">
        <f>IFERROR(SUMIFS('Base bordo'!I$2:I$746,'Base bordo'!C$2:C$746,A977,'Base bordo'!B$2:B$746,B977,'Base bordo'!F$2:F$746,"DESLOCAMENTO CARREGADO"),0)</f>
        <v>0</v>
      </c>
      <c r="V977" s="30" t="str">
        <f t="shared" si="104"/>
        <v/>
      </c>
      <c r="W977" s="9">
        <f t="shared" si="105"/>
        <v>0</v>
      </c>
      <c r="X977" s="9">
        <f t="shared" si="106"/>
        <v>0</v>
      </c>
      <c r="Y977" s="9">
        <f t="shared" si="107"/>
        <v>0</v>
      </c>
    </row>
    <row r="978" spans="1:25" ht="15" customHeight="1" x14ac:dyDescent="0.35">
      <c r="A978" s="52">
        <v>8013462</v>
      </c>
      <c r="B978" s="51">
        <v>46120</v>
      </c>
      <c r="C978" s="7" t="s">
        <v>124</v>
      </c>
      <c r="D978" s="10">
        <f>IFERROR(SUMIFS('Base bordo'!G$2:G$746,'Base bordo'!C$2:C$746,A978,'Base bordo'!B$2:B$746,B978,'Base bordo'!F$2:F$746,"DESLOCAMENTO VAZIO"),0)</f>
        <v>0.12333333333333334</v>
      </c>
      <c r="E978" s="10">
        <f>IFERROR(SUMIFS('Base bordo'!G$2:G$746,'Base bordo'!C$2:C$746,A978,'Base bordo'!B$2:B$746,B978,'Base bordo'!F$2:F$746,"DESLOCAMENTO CARREGADO"),0)</f>
        <v>0</v>
      </c>
      <c r="F978" s="10">
        <f>IFERROR(SUMIFS('Base bordo'!G$2:G$746,'Base bordo'!C$2:C$746,A978,'Base bordo'!B$2:B$746,B978,'Base bordo'!F$2:F$746,"DESLOCAMENTO"),0)</f>
        <v>0</v>
      </c>
      <c r="G978" s="10">
        <f>IFERROR(SUMIFS('Base bordo'!G$2:G$746,'Base bordo'!C$2:C$746,A978,'Base bordo'!B$2:B$746,B978,'Base bordo'!F$2:F$746,"CARREGAMENTO"),0)</f>
        <v>0</v>
      </c>
      <c r="H978" s="10">
        <f>IFERROR(SUMIFS('Base bordo'!G$2:G$746,'Base bordo'!C$2:C$746,A978,'Base bordo'!B$2:B$746,B978,'Base bordo'!F$2:F$746,"AGUARDANDO TRANSBORDO"),0)</f>
        <v>0</v>
      </c>
      <c r="I978" s="10">
        <f>IFERROR(SUMIFS('Base bordo'!G$2:G$746,'Base bordo'!C$2:C$746,A978,'Base bordo'!B$2:B$746,B978,'Base bordo'!F$2:F$746,"PÁTIO INTERNO"),0)+IFERROR(SUMIFS('Base bordo'!G$2:G$746,'Base bordo'!C$2:C$746,A978,'Base bordo'!B$2:B$746,B978,'Base bordo'!F$2:F$746,"PÁTIO EXTERNO"),0)+IFERROR(SUMIFS('Base bordo'!G$2:G$746,'Base bordo'!C$2:C$746,A978,'Base bordo'!B$2:B$746,B978,'Base bordo'!F$2:F$746,"PATIO - RESERVA"),0)+IFERROR(SUMIFS('Base bordo'!G$2:G$746,'Base bordo'!C$2:C$746,A978,'Base bordo'!B$2:B$746,B978,'Base bordo'!F$2:F$746,"MANOBRA CARRETAS-PATIO"),0)</f>
        <v>0</v>
      </c>
      <c r="J978" s="10">
        <f>IFERROR(SUMIFS('Base bordo'!G$2:G$746,'Base bordo'!C$2:C$746,A978,'Base bordo'!B$2:B$746,B978,'Base bordo'!F$2:F$746,"BALANÇA - ENTRADA"),0)+IFERROR(SUMIFS('Base bordo'!G$2:G$746,'Base bordo'!C$2:C$746,A978,'Base bordo'!B$2:B$746,B978,'Base bordo'!F$2:F$746,"BALANÇA - SAÍDA"),0)</f>
        <v>0</v>
      </c>
      <c r="K978" s="10">
        <f>IFERROR(SUMIFS('Base bordo'!G$2:G$746,'Base bordo'!C$2:C$746,A978,'Base bordo'!B$2:B$746,B978,'Base bordo'!F$2:F$746,"MAN PREVENTIVA - MECANICA"),0)+IFERROR(SUMIFS('Base bordo'!G$2:G$746,'Base bordo'!C$2:C$746,A978,'Base bordo'!B$2:B$746,B978,'Base bordo'!F$2:F$746,"MAN CORRETIVA - MECANICA"),0)</f>
        <v>0</v>
      </c>
      <c r="L978" s="10">
        <f>IFERROR(SUMIFS('Base bordo'!G$2:G$746,'Base bordo'!C$2:C$746,A978,'Base bordo'!B$2:B$746,B978,'Base bordo'!F$2:F$746,"MANUTENCAO - T O"),0)+IFERROR(SUMIFS('Base bordo'!G$2:G$746,'Base bordo'!C$2:C$746,A978,'Base bordo'!B$2:B$746,B978,'Base bordo'!F$2:F$746,"MANUTENCAO BORRACHARIA"),0)+IFERROR(SUMIFS('Base bordo'!G$2:G$746,'Base bordo'!C$2:C$746,A978,'Base bordo'!B$2:B$746,B978,'Base bordo'!F$2:F$746,"MANUTENCAO EXTERNA  CONCESSIONARIA"),0)+IFERROR(SUMIFS('Base bordo'!G$2:G$746,'Base bordo'!C$2:C$746,A978,'Base bordo'!B$2:B$746,B978,'Base bordo'!F$2:F$746,"MANUTENCAO TELEMETRIA"),0)</f>
        <v>0</v>
      </c>
      <c r="M978" s="10">
        <f>IFERROR(SUMIFS('Base bordo'!G$2:G$746,'Base bordo'!C$2:C$746,A978,'Base bordo'!B$2:B$746,B978,'Base bordo'!F$2:F$746,"AGUARDANDO MANUTENCAO"),0)</f>
        <v>0</v>
      </c>
      <c r="N978" s="10">
        <f>IFERROR(SUMIFS('Base bordo'!G$2:G$746,'Base bordo'!C$2:C$746,A978,'Base bordo'!B$2:B$746,B978,'Base bordo'!F$2:F$746,"SEM APONTAMENTO"),0)</f>
        <v>0</v>
      </c>
      <c r="O978" s="10">
        <f t="shared" si="102"/>
        <v>0</v>
      </c>
      <c r="P978" s="10">
        <f>IFERROR(SUMIFS('Base bordo'!G$2:G$746,'Base bordo'!C$2:C$746,A978,'Base bordo'!B$2:B$746,B978),0)</f>
        <v>0.12333333333333334</v>
      </c>
      <c r="Q978" s="10">
        <f>IFERROR(SUMIFS('Base bordo'!H$2:H$746,'Base bordo'!C$2:C$746,A978,'Base bordo'!B$2:B$746,B978,'Base bordo'!F$2:F$746,"DESLOCAMENTO VAZIO"),0)</f>
        <v>5128.2000000000007</v>
      </c>
      <c r="R978" s="10">
        <f>IFERROR(SUMIFS('Base bordo'!I$2:I$746,'Base bordo'!C$2:C$746,A978,'Base bordo'!B$2:B$746,B978,'Base bordo'!F$2:F$746,"DESLOCAMENTO VAZIO"),0)</f>
        <v>444</v>
      </c>
      <c r="S978" s="30">
        <f t="shared" si="103"/>
        <v>11.550000000000002</v>
      </c>
      <c r="T978" s="10">
        <f>IFERROR(SUMIFS('Base bordo'!H$2:H$746,'Base bordo'!C$2:C$746,A978,'Base bordo'!B$2:B$746,B978,'Base bordo'!F$2:F$746,"DESLOCAMENTO CARREGADO"),0)</f>
        <v>0</v>
      </c>
      <c r="U978" s="10">
        <f>IFERROR(SUMIFS('Base bordo'!I$2:I$746,'Base bordo'!C$2:C$746,A978,'Base bordo'!B$2:B$746,B978,'Base bordo'!F$2:F$746,"DESLOCAMENTO CARREGADO"),0)</f>
        <v>0</v>
      </c>
      <c r="V978" s="30" t="str">
        <f t="shared" si="104"/>
        <v/>
      </c>
      <c r="W978" s="9">
        <f t="shared" si="105"/>
        <v>1</v>
      </c>
      <c r="X978" s="9">
        <f t="shared" si="106"/>
        <v>0</v>
      </c>
      <c r="Y978" s="9">
        <f t="shared" si="107"/>
        <v>0</v>
      </c>
    </row>
    <row r="979" spans="1:25" ht="15" customHeight="1" x14ac:dyDescent="0.35">
      <c r="A979" s="52">
        <v>8013462</v>
      </c>
      <c r="B979" s="51">
        <v>46120</v>
      </c>
      <c r="C979" s="7" t="s">
        <v>124</v>
      </c>
      <c r="D979" s="10">
        <f>IFERROR(SUMIFS('Base bordo'!G$2:G$746,'Base bordo'!C$2:C$746,A979,'Base bordo'!B$2:B$746,B979,'Base bordo'!F$2:F$746,"DESLOCAMENTO VAZIO"),0)</f>
        <v>0.12333333333333334</v>
      </c>
      <c r="E979" s="10">
        <f>IFERROR(SUMIFS('Base bordo'!G$2:G$746,'Base bordo'!C$2:C$746,A979,'Base bordo'!B$2:B$746,B979,'Base bordo'!F$2:F$746,"DESLOCAMENTO CARREGADO"),0)</f>
        <v>0</v>
      </c>
      <c r="F979" s="10">
        <f>IFERROR(SUMIFS('Base bordo'!G$2:G$746,'Base bordo'!C$2:C$746,A979,'Base bordo'!B$2:B$746,B979,'Base bordo'!F$2:F$746,"DESLOCAMENTO"),0)</f>
        <v>0</v>
      </c>
      <c r="G979" s="10">
        <f>IFERROR(SUMIFS('Base bordo'!G$2:G$746,'Base bordo'!C$2:C$746,A979,'Base bordo'!B$2:B$746,B979,'Base bordo'!F$2:F$746,"CARREGAMENTO"),0)</f>
        <v>0</v>
      </c>
      <c r="H979" s="10">
        <f>IFERROR(SUMIFS('Base bordo'!G$2:G$746,'Base bordo'!C$2:C$746,A979,'Base bordo'!B$2:B$746,B979,'Base bordo'!F$2:F$746,"AGUARDANDO TRANSBORDO"),0)</f>
        <v>0</v>
      </c>
      <c r="I979" s="10">
        <f>IFERROR(SUMIFS('Base bordo'!G$2:G$746,'Base bordo'!C$2:C$746,A979,'Base bordo'!B$2:B$746,B979,'Base bordo'!F$2:F$746,"PÁTIO INTERNO"),0)+IFERROR(SUMIFS('Base bordo'!G$2:G$746,'Base bordo'!C$2:C$746,A979,'Base bordo'!B$2:B$746,B979,'Base bordo'!F$2:F$746,"PÁTIO EXTERNO"),0)+IFERROR(SUMIFS('Base bordo'!G$2:G$746,'Base bordo'!C$2:C$746,A979,'Base bordo'!B$2:B$746,B979,'Base bordo'!F$2:F$746,"PATIO - RESERVA"),0)+IFERROR(SUMIFS('Base bordo'!G$2:G$746,'Base bordo'!C$2:C$746,A979,'Base bordo'!B$2:B$746,B979,'Base bordo'!F$2:F$746,"MANOBRA CARRETAS-PATIO"),0)</f>
        <v>0</v>
      </c>
      <c r="J979" s="10">
        <f>IFERROR(SUMIFS('Base bordo'!G$2:G$746,'Base bordo'!C$2:C$746,A979,'Base bordo'!B$2:B$746,B979,'Base bordo'!F$2:F$746,"BALANÇA - ENTRADA"),0)+IFERROR(SUMIFS('Base bordo'!G$2:G$746,'Base bordo'!C$2:C$746,A979,'Base bordo'!B$2:B$746,B979,'Base bordo'!F$2:F$746,"BALANÇA - SAÍDA"),0)</f>
        <v>0</v>
      </c>
      <c r="K979" s="10">
        <f>IFERROR(SUMIFS('Base bordo'!G$2:G$746,'Base bordo'!C$2:C$746,A979,'Base bordo'!B$2:B$746,B979,'Base bordo'!F$2:F$746,"MAN PREVENTIVA - MECANICA"),0)+IFERROR(SUMIFS('Base bordo'!G$2:G$746,'Base bordo'!C$2:C$746,A979,'Base bordo'!B$2:B$746,B979,'Base bordo'!F$2:F$746,"MAN CORRETIVA - MECANICA"),0)</f>
        <v>0</v>
      </c>
      <c r="L979" s="10">
        <f>IFERROR(SUMIFS('Base bordo'!G$2:G$746,'Base bordo'!C$2:C$746,A979,'Base bordo'!B$2:B$746,B979,'Base bordo'!F$2:F$746,"MANUTENCAO - T O"),0)+IFERROR(SUMIFS('Base bordo'!G$2:G$746,'Base bordo'!C$2:C$746,A979,'Base bordo'!B$2:B$746,B979,'Base bordo'!F$2:F$746,"MANUTENCAO BORRACHARIA"),0)+IFERROR(SUMIFS('Base bordo'!G$2:G$746,'Base bordo'!C$2:C$746,A979,'Base bordo'!B$2:B$746,B979,'Base bordo'!F$2:F$746,"MANUTENCAO EXTERNA  CONCESSIONARIA"),0)+IFERROR(SUMIFS('Base bordo'!G$2:G$746,'Base bordo'!C$2:C$746,A979,'Base bordo'!B$2:B$746,B979,'Base bordo'!F$2:F$746,"MANUTENCAO TELEMETRIA"),0)</f>
        <v>0</v>
      </c>
      <c r="M979" s="10">
        <f>IFERROR(SUMIFS('Base bordo'!G$2:G$746,'Base bordo'!C$2:C$746,A979,'Base bordo'!B$2:B$746,B979,'Base bordo'!F$2:F$746,"AGUARDANDO MANUTENCAO"),0)</f>
        <v>0</v>
      </c>
      <c r="N979" s="10">
        <f>IFERROR(SUMIFS('Base bordo'!G$2:G$746,'Base bordo'!C$2:C$746,A979,'Base bordo'!B$2:B$746,B979,'Base bordo'!F$2:F$746,"SEM APONTAMENTO"),0)</f>
        <v>0</v>
      </c>
      <c r="O979" s="10">
        <f t="shared" si="102"/>
        <v>0</v>
      </c>
      <c r="P979" s="10">
        <f>IFERROR(SUMIFS('Base bordo'!G$2:G$746,'Base bordo'!C$2:C$746,A979,'Base bordo'!B$2:B$746,B979),0)</f>
        <v>0.12333333333333334</v>
      </c>
      <c r="Q979" s="10">
        <f>IFERROR(SUMIFS('Base bordo'!H$2:H$746,'Base bordo'!C$2:C$746,A979,'Base bordo'!B$2:B$746,B979,'Base bordo'!F$2:F$746,"DESLOCAMENTO VAZIO"),0)</f>
        <v>5128.2000000000007</v>
      </c>
      <c r="R979" s="10">
        <f>IFERROR(SUMIFS('Base bordo'!I$2:I$746,'Base bordo'!C$2:C$746,A979,'Base bordo'!B$2:B$746,B979,'Base bordo'!F$2:F$746,"DESLOCAMENTO VAZIO"),0)</f>
        <v>444</v>
      </c>
      <c r="S979" s="30">
        <f t="shared" si="103"/>
        <v>11.550000000000002</v>
      </c>
      <c r="T979" s="10">
        <f>IFERROR(SUMIFS('Base bordo'!H$2:H$746,'Base bordo'!C$2:C$746,A979,'Base bordo'!B$2:B$746,B979,'Base bordo'!F$2:F$746,"DESLOCAMENTO CARREGADO"),0)</f>
        <v>0</v>
      </c>
      <c r="U979" s="10">
        <f>IFERROR(SUMIFS('Base bordo'!I$2:I$746,'Base bordo'!C$2:C$746,A979,'Base bordo'!B$2:B$746,B979,'Base bordo'!F$2:F$746,"DESLOCAMENTO CARREGADO"),0)</f>
        <v>0</v>
      </c>
      <c r="V979" s="30" t="str">
        <f t="shared" si="104"/>
        <v/>
      </c>
      <c r="W979" s="9">
        <f t="shared" si="105"/>
        <v>1</v>
      </c>
      <c r="X979" s="9">
        <f t="shared" si="106"/>
        <v>0</v>
      </c>
      <c r="Y979" s="9">
        <f t="shared" si="107"/>
        <v>0</v>
      </c>
    </row>
    <row r="980" spans="1:25" ht="15" customHeight="1" x14ac:dyDescent="0.35">
      <c r="A980" s="52">
        <v>8013465</v>
      </c>
      <c r="B980" s="51">
        <v>46120</v>
      </c>
      <c r="C980" s="7" t="s">
        <v>124</v>
      </c>
      <c r="D980" s="10">
        <f>IFERROR(SUMIFS('Base bordo'!G$2:G$746,'Base bordo'!C$2:C$746,A980,'Base bordo'!B$2:B$746,B980,'Base bordo'!F$2:F$746,"DESLOCAMENTO VAZIO"),0)</f>
        <v>0</v>
      </c>
      <c r="E980" s="10">
        <f>IFERROR(SUMIFS('Base bordo'!G$2:G$746,'Base bordo'!C$2:C$746,A980,'Base bordo'!B$2:B$746,B980,'Base bordo'!F$2:F$746,"DESLOCAMENTO CARREGADO"),0)</f>
        <v>0</v>
      </c>
      <c r="F980" s="10">
        <f>IFERROR(SUMIFS('Base bordo'!G$2:G$746,'Base bordo'!C$2:C$746,A980,'Base bordo'!B$2:B$746,B980,'Base bordo'!F$2:F$746,"DESLOCAMENTO"),0)</f>
        <v>0</v>
      </c>
      <c r="G980" s="10">
        <f>IFERROR(SUMIFS('Base bordo'!G$2:G$746,'Base bordo'!C$2:C$746,A980,'Base bordo'!B$2:B$746,B980,'Base bordo'!F$2:F$746,"CARREGAMENTO"),0)</f>
        <v>0</v>
      </c>
      <c r="H980" s="10">
        <f>IFERROR(SUMIFS('Base bordo'!G$2:G$746,'Base bordo'!C$2:C$746,A980,'Base bordo'!B$2:B$746,B980,'Base bordo'!F$2:F$746,"AGUARDANDO TRANSBORDO"),0)</f>
        <v>0</v>
      </c>
      <c r="I980" s="10">
        <f>IFERROR(SUMIFS('Base bordo'!G$2:G$746,'Base bordo'!C$2:C$746,A980,'Base bordo'!B$2:B$746,B980,'Base bordo'!F$2:F$746,"PÁTIO INTERNO"),0)+IFERROR(SUMIFS('Base bordo'!G$2:G$746,'Base bordo'!C$2:C$746,A980,'Base bordo'!B$2:B$746,B980,'Base bordo'!F$2:F$746,"PÁTIO EXTERNO"),0)+IFERROR(SUMIFS('Base bordo'!G$2:G$746,'Base bordo'!C$2:C$746,A980,'Base bordo'!B$2:B$746,B980,'Base bordo'!F$2:F$746,"PATIO - RESERVA"),0)+IFERROR(SUMIFS('Base bordo'!G$2:G$746,'Base bordo'!C$2:C$746,A980,'Base bordo'!B$2:B$746,B980,'Base bordo'!F$2:F$746,"MANOBRA CARRETAS-PATIO"),0)</f>
        <v>0</v>
      </c>
      <c r="J980" s="10">
        <f>IFERROR(SUMIFS('Base bordo'!G$2:G$746,'Base bordo'!C$2:C$746,A980,'Base bordo'!B$2:B$746,B980,'Base bordo'!F$2:F$746,"BALANÇA - ENTRADA"),0)+IFERROR(SUMIFS('Base bordo'!G$2:G$746,'Base bordo'!C$2:C$746,A980,'Base bordo'!B$2:B$746,B980,'Base bordo'!F$2:F$746,"BALANÇA - SAÍDA"),0)</f>
        <v>0</v>
      </c>
      <c r="K980" s="10">
        <f>IFERROR(SUMIFS('Base bordo'!G$2:G$746,'Base bordo'!C$2:C$746,A980,'Base bordo'!B$2:B$746,B980,'Base bordo'!F$2:F$746,"MAN PREVENTIVA - MECANICA"),0)+IFERROR(SUMIFS('Base bordo'!G$2:G$746,'Base bordo'!C$2:C$746,A980,'Base bordo'!B$2:B$746,B980,'Base bordo'!F$2:F$746,"MAN CORRETIVA - MECANICA"),0)</f>
        <v>0</v>
      </c>
      <c r="L980" s="10">
        <f>IFERROR(SUMIFS('Base bordo'!G$2:G$746,'Base bordo'!C$2:C$746,A980,'Base bordo'!B$2:B$746,B980,'Base bordo'!F$2:F$746,"MANUTENCAO - T O"),0)+IFERROR(SUMIFS('Base bordo'!G$2:G$746,'Base bordo'!C$2:C$746,A980,'Base bordo'!B$2:B$746,B980,'Base bordo'!F$2:F$746,"MANUTENCAO BORRACHARIA"),0)+IFERROR(SUMIFS('Base bordo'!G$2:G$746,'Base bordo'!C$2:C$746,A980,'Base bordo'!B$2:B$746,B980,'Base bordo'!F$2:F$746,"MANUTENCAO EXTERNA  CONCESSIONARIA"),0)+IFERROR(SUMIFS('Base bordo'!G$2:G$746,'Base bordo'!C$2:C$746,A980,'Base bordo'!B$2:B$746,B980,'Base bordo'!F$2:F$746,"MANUTENCAO TELEMETRIA"),0)</f>
        <v>0</v>
      </c>
      <c r="M980" s="10">
        <f>IFERROR(SUMIFS('Base bordo'!G$2:G$746,'Base bordo'!C$2:C$746,A980,'Base bordo'!B$2:B$746,B980,'Base bordo'!F$2:F$746,"AGUARDANDO MANUTENCAO"),0)</f>
        <v>0</v>
      </c>
      <c r="N980" s="10">
        <f>IFERROR(SUMIFS('Base bordo'!G$2:G$746,'Base bordo'!C$2:C$746,A980,'Base bordo'!B$2:B$746,B980,'Base bordo'!F$2:F$746,"SEM APONTAMENTO"),0)</f>
        <v>0</v>
      </c>
      <c r="O980" s="10">
        <f t="shared" si="102"/>
        <v>0</v>
      </c>
      <c r="P980" s="10">
        <f>IFERROR(SUMIFS('Base bordo'!G$2:G$746,'Base bordo'!C$2:C$746,A980,'Base bordo'!B$2:B$746,B980),0)</f>
        <v>0</v>
      </c>
      <c r="Q980" s="10">
        <f>IFERROR(SUMIFS('Base bordo'!H$2:H$746,'Base bordo'!C$2:C$746,A980,'Base bordo'!B$2:B$746,B980,'Base bordo'!F$2:F$746,"DESLOCAMENTO VAZIO"),0)</f>
        <v>0</v>
      </c>
      <c r="R980" s="10">
        <f>IFERROR(SUMIFS('Base bordo'!I$2:I$746,'Base bordo'!C$2:C$746,A980,'Base bordo'!B$2:B$746,B980,'Base bordo'!F$2:F$746,"DESLOCAMENTO VAZIO"),0)</f>
        <v>0</v>
      </c>
      <c r="S980" s="30" t="str">
        <f t="shared" si="103"/>
        <v/>
      </c>
      <c r="T980" s="10">
        <f>IFERROR(SUMIFS('Base bordo'!H$2:H$746,'Base bordo'!C$2:C$746,A980,'Base bordo'!B$2:B$746,B980,'Base bordo'!F$2:F$746,"DESLOCAMENTO CARREGADO"),0)</f>
        <v>0</v>
      </c>
      <c r="U980" s="10">
        <f>IFERROR(SUMIFS('Base bordo'!I$2:I$746,'Base bordo'!C$2:C$746,A980,'Base bordo'!B$2:B$746,B980,'Base bordo'!F$2:F$746,"DESLOCAMENTO CARREGADO"),0)</f>
        <v>0</v>
      </c>
      <c r="V980" s="30" t="str">
        <f t="shared" si="104"/>
        <v/>
      </c>
      <c r="W980" s="9">
        <f t="shared" si="105"/>
        <v>0</v>
      </c>
      <c r="X980" s="9">
        <f t="shared" si="106"/>
        <v>0</v>
      </c>
      <c r="Y980" s="9">
        <f t="shared" si="107"/>
        <v>0</v>
      </c>
    </row>
    <row r="981" spans="1:25" ht="15" customHeight="1" x14ac:dyDescent="0.35">
      <c r="A981" s="52">
        <v>8013465</v>
      </c>
      <c r="B981" s="51">
        <v>46120</v>
      </c>
      <c r="C981" s="7" t="s">
        <v>124</v>
      </c>
      <c r="D981" s="10">
        <f>IFERROR(SUMIFS('Base bordo'!G$2:G$746,'Base bordo'!C$2:C$746,A981,'Base bordo'!B$2:B$746,B981,'Base bordo'!F$2:F$746,"DESLOCAMENTO VAZIO"),0)</f>
        <v>0</v>
      </c>
      <c r="E981" s="10">
        <f>IFERROR(SUMIFS('Base bordo'!G$2:G$746,'Base bordo'!C$2:C$746,A981,'Base bordo'!B$2:B$746,B981,'Base bordo'!F$2:F$746,"DESLOCAMENTO CARREGADO"),0)</f>
        <v>0</v>
      </c>
      <c r="F981" s="10">
        <f>IFERROR(SUMIFS('Base bordo'!G$2:G$746,'Base bordo'!C$2:C$746,A981,'Base bordo'!B$2:B$746,B981,'Base bordo'!F$2:F$746,"DESLOCAMENTO"),0)</f>
        <v>0</v>
      </c>
      <c r="G981" s="10">
        <f>IFERROR(SUMIFS('Base bordo'!G$2:G$746,'Base bordo'!C$2:C$746,A981,'Base bordo'!B$2:B$746,B981,'Base bordo'!F$2:F$746,"CARREGAMENTO"),0)</f>
        <v>0</v>
      </c>
      <c r="H981" s="10">
        <f>IFERROR(SUMIFS('Base bordo'!G$2:G$746,'Base bordo'!C$2:C$746,A981,'Base bordo'!B$2:B$746,B981,'Base bordo'!F$2:F$746,"AGUARDANDO TRANSBORDO"),0)</f>
        <v>0</v>
      </c>
      <c r="I981" s="10">
        <f>IFERROR(SUMIFS('Base bordo'!G$2:G$746,'Base bordo'!C$2:C$746,A981,'Base bordo'!B$2:B$746,B981,'Base bordo'!F$2:F$746,"PÁTIO INTERNO"),0)+IFERROR(SUMIFS('Base bordo'!G$2:G$746,'Base bordo'!C$2:C$746,A981,'Base bordo'!B$2:B$746,B981,'Base bordo'!F$2:F$746,"PÁTIO EXTERNO"),0)+IFERROR(SUMIFS('Base bordo'!G$2:G$746,'Base bordo'!C$2:C$746,A981,'Base bordo'!B$2:B$746,B981,'Base bordo'!F$2:F$746,"PATIO - RESERVA"),0)+IFERROR(SUMIFS('Base bordo'!G$2:G$746,'Base bordo'!C$2:C$746,A981,'Base bordo'!B$2:B$746,B981,'Base bordo'!F$2:F$746,"MANOBRA CARRETAS-PATIO"),0)</f>
        <v>0</v>
      </c>
      <c r="J981" s="10">
        <f>IFERROR(SUMIFS('Base bordo'!G$2:G$746,'Base bordo'!C$2:C$746,A981,'Base bordo'!B$2:B$746,B981,'Base bordo'!F$2:F$746,"BALANÇA - ENTRADA"),0)+IFERROR(SUMIFS('Base bordo'!G$2:G$746,'Base bordo'!C$2:C$746,A981,'Base bordo'!B$2:B$746,B981,'Base bordo'!F$2:F$746,"BALANÇA - SAÍDA"),0)</f>
        <v>0</v>
      </c>
      <c r="K981" s="10">
        <f>IFERROR(SUMIFS('Base bordo'!G$2:G$746,'Base bordo'!C$2:C$746,A981,'Base bordo'!B$2:B$746,B981,'Base bordo'!F$2:F$746,"MAN PREVENTIVA - MECANICA"),0)+IFERROR(SUMIFS('Base bordo'!G$2:G$746,'Base bordo'!C$2:C$746,A981,'Base bordo'!B$2:B$746,B981,'Base bordo'!F$2:F$746,"MAN CORRETIVA - MECANICA"),0)</f>
        <v>0</v>
      </c>
      <c r="L981" s="10">
        <f>IFERROR(SUMIFS('Base bordo'!G$2:G$746,'Base bordo'!C$2:C$746,A981,'Base bordo'!B$2:B$746,B981,'Base bordo'!F$2:F$746,"MANUTENCAO - T O"),0)+IFERROR(SUMIFS('Base bordo'!G$2:G$746,'Base bordo'!C$2:C$746,A981,'Base bordo'!B$2:B$746,B981,'Base bordo'!F$2:F$746,"MANUTENCAO BORRACHARIA"),0)+IFERROR(SUMIFS('Base bordo'!G$2:G$746,'Base bordo'!C$2:C$746,A981,'Base bordo'!B$2:B$746,B981,'Base bordo'!F$2:F$746,"MANUTENCAO EXTERNA  CONCESSIONARIA"),0)+IFERROR(SUMIFS('Base bordo'!G$2:G$746,'Base bordo'!C$2:C$746,A981,'Base bordo'!B$2:B$746,B981,'Base bordo'!F$2:F$746,"MANUTENCAO TELEMETRIA"),0)</f>
        <v>0</v>
      </c>
      <c r="M981" s="10">
        <f>IFERROR(SUMIFS('Base bordo'!G$2:G$746,'Base bordo'!C$2:C$746,A981,'Base bordo'!B$2:B$746,B981,'Base bordo'!F$2:F$746,"AGUARDANDO MANUTENCAO"),0)</f>
        <v>0</v>
      </c>
      <c r="N981" s="10">
        <f>IFERROR(SUMIFS('Base bordo'!G$2:G$746,'Base bordo'!C$2:C$746,A981,'Base bordo'!B$2:B$746,B981,'Base bordo'!F$2:F$746,"SEM APONTAMENTO"),0)</f>
        <v>0</v>
      </c>
      <c r="O981" s="10">
        <f t="shared" si="102"/>
        <v>0</v>
      </c>
      <c r="P981" s="10">
        <f>IFERROR(SUMIFS('Base bordo'!G$2:G$746,'Base bordo'!C$2:C$746,A981,'Base bordo'!B$2:B$746,B981),0)</f>
        <v>0</v>
      </c>
      <c r="Q981" s="10">
        <f>IFERROR(SUMIFS('Base bordo'!H$2:H$746,'Base bordo'!C$2:C$746,A981,'Base bordo'!B$2:B$746,B981,'Base bordo'!F$2:F$746,"DESLOCAMENTO VAZIO"),0)</f>
        <v>0</v>
      </c>
      <c r="R981" s="10">
        <f>IFERROR(SUMIFS('Base bordo'!I$2:I$746,'Base bordo'!C$2:C$746,A981,'Base bordo'!B$2:B$746,B981,'Base bordo'!F$2:F$746,"DESLOCAMENTO VAZIO"),0)</f>
        <v>0</v>
      </c>
      <c r="S981" s="30" t="str">
        <f t="shared" si="103"/>
        <v/>
      </c>
      <c r="T981" s="10">
        <f>IFERROR(SUMIFS('Base bordo'!H$2:H$746,'Base bordo'!C$2:C$746,A981,'Base bordo'!B$2:B$746,B981,'Base bordo'!F$2:F$746,"DESLOCAMENTO CARREGADO"),0)</f>
        <v>0</v>
      </c>
      <c r="U981" s="10">
        <f>IFERROR(SUMIFS('Base bordo'!I$2:I$746,'Base bordo'!C$2:C$746,A981,'Base bordo'!B$2:B$746,B981,'Base bordo'!F$2:F$746,"DESLOCAMENTO CARREGADO"),0)</f>
        <v>0</v>
      </c>
      <c r="V981" s="30" t="str">
        <f t="shared" si="104"/>
        <v/>
      </c>
      <c r="W981" s="9">
        <f t="shared" si="105"/>
        <v>0</v>
      </c>
      <c r="X981" s="9">
        <f t="shared" si="106"/>
        <v>0</v>
      </c>
      <c r="Y981" s="9">
        <f t="shared" si="107"/>
        <v>0</v>
      </c>
    </row>
    <row r="982" spans="1:25" ht="15" customHeight="1" x14ac:dyDescent="0.35">
      <c r="A982" s="52">
        <v>8013465</v>
      </c>
      <c r="B982" s="51">
        <v>46120</v>
      </c>
      <c r="C982" s="7" t="s">
        <v>124</v>
      </c>
      <c r="D982" s="10">
        <f>IFERROR(SUMIFS('Base bordo'!G$2:G$746,'Base bordo'!C$2:C$746,A982,'Base bordo'!B$2:B$746,B982,'Base bordo'!F$2:F$746,"DESLOCAMENTO VAZIO"),0)</f>
        <v>0</v>
      </c>
      <c r="E982" s="10">
        <f>IFERROR(SUMIFS('Base bordo'!G$2:G$746,'Base bordo'!C$2:C$746,A982,'Base bordo'!B$2:B$746,B982,'Base bordo'!F$2:F$746,"DESLOCAMENTO CARREGADO"),0)</f>
        <v>0</v>
      </c>
      <c r="F982" s="10">
        <f>IFERROR(SUMIFS('Base bordo'!G$2:G$746,'Base bordo'!C$2:C$746,A982,'Base bordo'!B$2:B$746,B982,'Base bordo'!F$2:F$746,"DESLOCAMENTO"),0)</f>
        <v>0</v>
      </c>
      <c r="G982" s="10">
        <f>IFERROR(SUMIFS('Base bordo'!G$2:G$746,'Base bordo'!C$2:C$746,A982,'Base bordo'!B$2:B$746,B982,'Base bordo'!F$2:F$746,"CARREGAMENTO"),0)</f>
        <v>0</v>
      </c>
      <c r="H982" s="10">
        <f>IFERROR(SUMIFS('Base bordo'!G$2:G$746,'Base bordo'!C$2:C$746,A982,'Base bordo'!B$2:B$746,B982,'Base bordo'!F$2:F$746,"AGUARDANDO TRANSBORDO"),0)</f>
        <v>0</v>
      </c>
      <c r="I982" s="10">
        <f>IFERROR(SUMIFS('Base bordo'!G$2:G$746,'Base bordo'!C$2:C$746,A982,'Base bordo'!B$2:B$746,B982,'Base bordo'!F$2:F$746,"PÁTIO INTERNO"),0)+IFERROR(SUMIFS('Base bordo'!G$2:G$746,'Base bordo'!C$2:C$746,A982,'Base bordo'!B$2:B$746,B982,'Base bordo'!F$2:F$746,"PÁTIO EXTERNO"),0)+IFERROR(SUMIFS('Base bordo'!G$2:G$746,'Base bordo'!C$2:C$746,A982,'Base bordo'!B$2:B$746,B982,'Base bordo'!F$2:F$746,"PATIO - RESERVA"),0)+IFERROR(SUMIFS('Base bordo'!G$2:G$746,'Base bordo'!C$2:C$746,A982,'Base bordo'!B$2:B$746,B982,'Base bordo'!F$2:F$746,"MANOBRA CARRETAS-PATIO"),0)</f>
        <v>0</v>
      </c>
      <c r="J982" s="10">
        <f>IFERROR(SUMIFS('Base bordo'!G$2:G$746,'Base bordo'!C$2:C$746,A982,'Base bordo'!B$2:B$746,B982,'Base bordo'!F$2:F$746,"BALANÇA - ENTRADA"),0)+IFERROR(SUMIFS('Base bordo'!G$2:G$746,'Base bordo'!C$2:C$746,A982,'Base bordo'!B$2:B$746,B982,'Base bordo'!F$2:F$746,"BALANÇA - SAÍDA"),0)</f>
        <v>0</v>
      </c>
      <c r="K982" s="10">
        <f>IFERROR(SUMIFS('Base bordo'!G$2:G$746,'Base bordo'!C$2:C$746,A982,'Base bordo'!B$2:B$746,B982,'Base bordo'!F$2:F$746,"MAN PREVENTIVA - MECANICA"),0)+IFERROR(SUMIFS('Base bordo'!G$2:G$746,'Base bordo'!C$2:C$746,A982,'Base bordo'!B$2:B$746,B982,'Base bordo'!F$2:F$746,"MAN CORRETIVA - MECANICA"),0)</f>
        <v>0</v>
      </c>
      <c r="L982" s="10">
        <f>IFERROR(SUMIFS('Base bordo'!G$2:G$746,'Base bordo'!C$2:C$746,A982,'Base bordo'!B$2:B$746,B982,'Base bordo'!F$2:F$746,"MANUTENCAO - T O"),0)+IFERROR(SUMIFS('Base bordo'!G$2:G$746,'Base bordo'!C$2:C$746,A982,'Base bordo'!B$2:B$746,B982,'Base bordo'!F$2:F$746,"MANUTENCAO BORRACHARIA"),0)+IFERROR(SUMIFS('Base bordo'!G$2:G$746,'Base bordo'!C$2:C$746,A982,'Base bordo'!B$2:B$746,B982,'Base bordo'!F$2:F$746,"MANUTENCAO EXTERNA  CONCESSIONARIA"),0)+IFERROR(SUMIFS('Base bordo'!G$2:G$746,'Base bordo'!C$2:C$746,A982,'Base bordo'!B$2:B$746,B982,'Base bordo'!F$2:F$746,"MANUTENCAO TELEMETRIA"),0)</f>
        <v>0</v>
      </c>
      <c r="M982" s="10">
        <f>IFERROR(SUMIFS('Base bordo'!G$2:G$746,'Base bordo'!C$2:C$746,A982,'Base bordo'!B$2:B$746,B982,'Base bordo'!F$2:F$746,"AGUARDANDO MANUTENCAO"),0)</f>
        <v>0</v>
      </c>
      <c r="N982" s="10">
        <f>IFERROR(SUMIFS('Base bordo'!G$2:G$746,'Base bordo'!C$2:C$746,A982,'Base bordo'!B$2:B$746,B982,'Base bordo'!F$2:F$746,"SEM APONTAMENTO"),0)</f>
        <v>0</v>
      </c>
      <c r="O982" s="10">
        <f t="shared" si="102"/>
        <v>0</v>
      </c>
      <c r="P982" s="10">
        <f>IFERROR(SUMIFS('Base bordo'!G$2:G$746,'Base bordo'!C$2:C$746,A982,'Base bordo'!B$2:B$746,B982),0)</f>
        <v>0</v>
      </c>
      <c r="Q982" s="10">
        <f>IFERROR(SUMIFS('Base bordo'!H$2:H$746,'Base bordo'!C$2:C$746,A982,'Base bordo'!B$2:B$746,B982,'Base bordo'!F$2:F$746,"DESLOCAMENTO VAZIO"),0)</f>
        <v>0</v>
      </c>
      <c r="R982" s="10">
        <f>IFERROR(SUMIFS('Base bordo'!I$2:I$746,'Base bordo'!C$2:C$746,A982,'Base bordo'!B$2:B$746,B982,'Base bordo'!F$2:F$746,"DESLOCAMENTO VAZIO"),0)</f>
        <v>0</v>
      </c>
      <c r="S982" s="30" t="str">
        <f t="shared" si="103"/>
        <v/>
      </c>
      <c r="T982" s="10">
        <f>IFERROR(SUMIFS('Base bordo'!H$2:H$746,'Base bordo'!C$2:C$746,A982,'Base bordo'!B$2:B$746,B982,'Base bordo'!F$2:F$746,"DESLOCAMENTO CARREGADO"),0)</f>
        <v>0</v>
      </c>
      <c r="U982" s="10">
        <f>IFERROR(SUMIFS('Base bordo'!I$2:I$746,'Base bordo'!C$2:C$746,A982,'Base bordo'!B$2:B$746,B982,'Base bordo'!F$2:F$746,"DESLOCAMENTO CARREGADO"),0)</f>
        <v>0</v>
      </c>
      <c r="V982" s="30" t="str">
        <f t="shared" si="104"/>
        <v/>
      </c>
      <c r="W982" s="9">
        <f t="shared" si="105"/>
        <v>0</v>
      </c>
      <c r="X982" s="9">
        <f t="shared" si="106"/>
        <v>0</v>
      </c>
      <c r="Y982" s="9">
        <f t="shared" si="107"/>
        <v>0</v>
      </c>
    </row>
    <row r="983" spans="1:25" ht="15" customHeight="1" x14ac:dyDescent="0.35">
      <c r="A983" s="52">
        <v>8013468</v>
      </c>
      <c r="B983" s="51">
        <v>46120</v>
      </c>
      <c r="C983" s="7" t="s">
        <v>124</v>
      </c>
      <c r="D983" s="10">
        <f>IFERROR(SUMIFS('Base bordo'!G$2:G$746,'Base bordo'!C$2:C$746,A983,'Base bordo'!B$2:B$746,B983,'Base bordo'!F$2:F$746,"DESLOCAMENTO VAZIO"),0)</f>
        <v>0</v>
      </c>
      <c r="E983" s="10">
        <f>IFERROR(SUMIFS('Base bordo'!G$2:G$746,'Base bordo'!C$2:C$746,A983,'Base bordo'!B$2:B$746,B983,'Base bordo'!F$2:F$746,"DESLOCAMENTO CARREGADO"),0)</f>
        <v>0.18833333333333332</v>
      </c>
      <c r="F983" s="10">
        <f>IFERROR(SUMIFS('Base bordo'!G$2:G$746,'Base bordo'!C$2:C$746,A983,'Base bordo'!B$2:B$746,B983,'Base bordo'!F$2:F$746,"DESLOCAMENTO"),0)</f>
        <v>0</v>
      </c>
      <c r="G983" s="10">
        <f>IFERROR(SUMIFS('Base bordo'!G$2:G$746,'Base bordo'!C$2:C$746,A983,'Base bordo'!B$2:B$746,B983,'Base bordo'!F$2:F$746,"CARREGAMENTO"),0)</f>
        <v>0</v>
      </c>
      <c r="H983" s="10">
        <f>IFERROR(SUMIFS('Base bordo'!G$2:G$746,'Base bordo'!C$2:C$746,A983,'Base bordo'!B$2:B$746,B983,'Base bordo'!F$2:F$746,"AGUARDANDO TRANSBORDO"),0)</f>
        <v>0</v>
      </c>
      <c r="I983" s="10">
        <f>IFERROR(SUMIFS('Base bordo'!G$2:G$746,'Base bordo'!C$2:C$746,A983,'Base bordo'!B$2:B$746,B983,'Base bordo'!F$2:F$746,"PÁTIO INTERNO"),0)+IFERROR(SUMIFS('Base bordo'!G$2:G$746,'Base bordo'!C$2:C$746,A983,'Base bordo'!B$2:B$746,B983,'Base bordo'!F$2:F$746,"PÁTIO EXTERNO"),0)+IFERROR(SUMIFS('Base bordo'!G$2:G$746,'Base bordo'!C$2:C$746,A983,'Base bordo'!B$2:B$746,B983,'Base bordo'!F$2:F$746,"PATIO - RESERVA"),0)+IFERROR(SUMIFS('Base bordo'!G$2:G$746,'Base bordo'!C$2:C$746,A983,'Base bordo'!B$2:B$746,B983,'Base bordo'!F$2:F$746,"MANOBRA CARRETAS-PATIO"),0)</f>
        <v>2.0605555555555557</v>
      </c>
      <c r="J983" s="10">
        <f>IFERROR(SUMIFS('Base bordo'!G$2:G$746,'Base bordo'!C$2:C$746,A983,'Base bordo'!B$2:B$746,B983,'Base bordo'!F$2:F$746,"BALANÇA - ENTRADA"),0)+IFERROR(SUMIFS('Base bordo'!G$2:G$746,'Base bordo'!C$2:C$746,A983,'Base bordo'!B$2:B$746,B983,'Base bordo'!F$2:F$746,"BALANÇA - SAÍDA"),0)</f>
        <v>0</v>
      </c>
      <c r="K983" s="10">
        <f>IFERROR(SUMIFS('Base bordo'!G$2:G$746,'Base bordo'!C$2:C$746,A983,'Base bordo'!B$2:B$746,B983,'Base bordo'!F$2:F$746,"MAN PREVENTIVA - MECANICA"),0)+IFERROR(SUMIFS('Base bordo'!G$2:G$746,'Base bordo'!C$2:C$746,A983,'Base bordo'!B$2:B$746,B983,'Base bordo'!F$2:F$746,"MAN CORRETIVA - MECANICA"),0)</f>
        <v>0</v>
      </c>
      <c r="L983" s="10">
        <f>IFERROR(SUMIFS('Base bordo'!G$2:G$746,'Base bordo'!C$2:C$746,A983,'Base bordo'!B$2:B$746,B983,'Base bordo'!F$2:F$746,"MANUTENCAO - T O"),0)+IFERROR(SUMIFS('Base bordo'!G$2:G$746,'Base bordo'!C$2:C$746,A983,'Base bordo'!B$2:B$746,B983,'Base bordo'!F$2:F$746,"MANUTENCAO BORRACHARIA"),0)+IFERROR(SUMIFS('Base bordo'!G$2:G$746,'Base bordo'!C$2:C$746,A983,'Base bordo'!B$2:B$746,B983,'Base bordo'!F$2:F$746,"MANUTENCAO EXTERNA  CONCESSIONARIA"),0)+IFERROR(SUMIFS('Base bordo'!G$2:G$746,'Base bordo'!C$2:C$746,A983,'Base bordo'!B$2:B$746,B983,'Base bordo'!F$2:F$746,"MANUTENCAO TELEMETRIA"),0)</f>
        <v>0</v>
      </c>
      <c r="M983" s="10">
        <f>IFERROR(SUMIFS('Base bordo'!G$2:G$746,'Base bordo'!C$2:C$746,A983,'Base bordo'!B$2:B$746,B983,'Base bordo'!F$2:F$746,"AGUARDANDO MANUTENCAO"),0)</f>
        <v>0</v>
      </c>
      <c r="N983" s="10">
        <f>IFERROR(SUMIFS('Base bordo'!G$2:G$746,'Base bordo'!C$2:C$746,A983,'Base bordo'!B$2:B$746,B983,'Base bordo'!F$2:F$746,"SEM APONTAMENTO"),0)</f>
        <v>0</v>
      </c>
      <c r="O983" s="10">
        <f t="shared" si="102"/>
        <v>0</v>
      </c>
      <c r="P983" s="10">
        <f>IFERROR(SUMIFS('Base bordo'!G$2:G$746,'Base bordo'!C$2:C$746,A983,'Base bordo'!B$2:B$746,B983),0)</f>
        <v>2.2488888888888892</v>
      </c>
      <c r="Q983" s="10">
        <f>IFERROR(SUMIFS('Base bordo'!H$2:H$746,'Base bordo'!C$2:C$746,A983,'Base bordo'!B$2:B$746,B983,'Base bordo'!F$2:F$746,"DESLOCAMENTO VAZIO"),0)</f>
        <v>0</v>
      </c>
      <c r="R983" s="10">
        <f>IFERROR(SUMIFS('Base bordo'!I$2:I$746,'Base bordo'!C$2:C$746,A983,'Base bordo'!B$2:B$746,B983,'Base bordo'!F$2:F$746,"DESLOCAMENTO VAZIO"),0)</f>
        <v>0</v>
      </c>
      <c r="S983" s="30" t="str">
        <f t="shared" si="103"/>
        <v/>
      </c>
      <c r="T983" s="10">
        <f>IFERROR(SUMIFS('Base bordo'!H$2:H$746,'Base bordo'!C$2:C$746,A983,'Base bordo'!B$2:B$746,B983,'Base bordo'!F$2:F$746,"DESLOCAMENTO CARREGADO"),0)</f>
        <v>13892.22</v>
      </c>
      <c r="U983" s="10">
        <f>IFERROR(SUMIFS('Base bordo'!I$2:I$746,'Base bordo'!C$2:C$746,A983,'Base bordo'!B$2:B$746,B983,'Base bordo'!F$2:F$746,"DESLOCAMENTO CARREGADO"),0)</f>
        <v>678</v>
      </c>
      <c r="V983" s="30">
        <f t="shared" si="104"/>
        <v>20.49</v>
      </c>
      <c r="W983" s="9">
        <f t="shared" si="105"/>
        <v>0</v>
      </c>
      <c r="X983" s="9">
        <f t="shared" si="106"/>
        <v>8.3745059288537538E-2</v>
      </c>
      <c r="Y983" s="9">
        <f t="shared" si="107"/>
        <v>0.91625494071146241</v>
      </c>
    </row>
    <row r="984" spans="1:25" ht="15" customHeight="1" x14ac:dyDescent="0.35">
      <c r="A984" s="52">
        <v>8013469</v>
      </c>
      <c r="B984" s="51">
        <v>46120</v>
      </c>
      <c r="C984" s="7" t="s">
        <v>124</v>
      </c>
      <c r="D984" s="10">
        <f>IFERROR(SUMIFS('Base bordo'!G$2:G$746,'Base bordo'!C$2:C$746,A984,'Base bordo'!B$2:B$746,B984,'Base bordo'!F$2:F$746,"DESLOCAMENTO VAZIO"),0)</f>
        <v>0.32111111111111112</v>
      </c>
      <c r="E984" s="10">
        <f>IFERROR(SUMIFS('Base bordo'!G$2:G$746,'Base bordo'!C$2:C$746,A984,'Base bordo'!B$2:B$746,B984,'Base bordo'!F$2:F$746,"DESLOCAMENTO CARREGADO"),0)</f>
        <v>0</v>
      </c>
      <c r="F984" s="10">
        <f>IFERROR(SUMIFS('Base bordo'!G$2:G$746,'Base bordo'!C$2:C$746,A984,'Base bordo'!B$2:B$746,B984,'Base bordo'!F$2:F$746,"DESLOCAMENTO"),0)</f>
        <v>0</v>
      </c>
      <c r="G984" s="10">
        <f>IFERROR(SUMIFS('Base bordo'!G$2:G$746,'Base bordo'!C$2:C$746,A984,'Base bordo'!B$2:B$746,B984,'Base bordo'!F$2:F$746,"CARREGAMENTO"),0)</f>
        <v>0</v>
      </c>
      <c r="H984" s="10">
        <f>IFERROR(SUMIFS('Base bordo'!G$2:G$746,'Base bordo'!C$2:C$746,A984,'Base bordo'!B$2:B$746,B984,'Base bordo'!F$2:F$746,"AGUARDANDO TRANSBORDO"),0)</f>
        <v>0</v>
      </c>
      <c r="I984" s="10">
        <f>IFERROR(SUMIFS('Base bordo'!G$2:G$746,'Base bordo'!C$2:C$746,A984,'Base bordo'!B$2:B$746,B984,'Base bordo'!F$2:F$746,"PÁTIO INTERNO"),0)+IFERROR(SUMIFS('Base bordo'!G$2:G$746,'Base bordo'!C$2:C$746,A984,'Base bordo'!B$2:B$746,B984,'Base bordo'!F$2:F$746,"PÁTIO EXTERNO"),0)+IFERROR(SUMIFS('Base bordo'!G$2:G$746,'Base bordo'!C$2:C$746,A984,'Base bordo'!B$2:B$746,B984,'Base bordo'!F$2:F$746,"PATIO - RESERVA"),0)+IFERROR(SUMIFS('Base bordo'!G$2:G$746,'Base bordo'!C$2:C$746,A984,'Base bordo'!B$2:B$746,B984,'Base bordo'!F$2:F$746,"MANOBRA CARRETAS-PATIO"),0)</f>
        <v>0</v>
      </c>
      <c r="J984" s="10">
        <f>IFERROR(SUMIFS('Base bordo'!G$2:G$746,'Base bordo'!C$2:C$746,A984,'Base bordo'!B$2:B$746,B984,'Base bordo'!F$2:F$746,"BALANÇA - ENTRADA"),0)+IFERROR(SUMIFS('Base bordo'!G$2:G$746,'Base bordo'!C$2:C$746,A984,'Base bordo'!B$2:B$746,B984,'Base bordo'!F$2:F$746,"BALANÇA - SAÍDA"),0)</f>
        <v>0</v>
      </c>
      <c r="K984" s="10">
        <f>IFERROR(SUMIFS('Base bordo'!G$2:G$746,'Base bordo'!C$2:C$746,A984,'Base bordo'!B$2:B$746,B984,'Base bordo'!F$2:F$746,"MAN PREVENTIVA - MECANICA"),0)+IFERROR(SUMIFS('Base bordo'!G$2:G$746,'Base bordo'!C$2:C$746,A984,'Base bordo'!B$2:B$746,B984,'Base bordo'!F$2:F$746,"MAN CORRETIVA - MECANICA"),0)</f>
        <v>0</v>
      </c>
      <c r="L984" s="10">
        <f>IFERROR(SUMIFS('Base bordo'!G$2:G$746,'Base bordo'!C$2:C$746,A984,'Base bordo'!B$2:B$746,B984,'Base bordo'!F$2:F$746,"MANUTENCAO - T O"),0)+IFERROR(SUMIFS('Base bordo'!G$2:G$746,'Base bordo'!C$2:C$746,A984,'Base bordo'!B$2:B$746,B984,'Base bordo'!F$2:F$746,"MANUTENCAO BORRACHARIA"),0)+IFERROR(SUMIFS('Base bordo'!G$2:G$746,'Base bordo'!C$2:C$746,A984,'Base bordo'!B$2:B$746,B984,'Base bordo'!F$2:F$746,"MANUTENCAO EXTERNA  CONCESSIONARIA"),0)+IFERROR(SUMIFS('Base bordo'!G$2:G$746,'Base bordo'!C$2:C$746,A984,'Base bordo'!B$2:B$746,B984,'Base bordo'!F$2:F$746,"MANUTENCAO TELEMETRIA"),0)</f>
        <v>0</v>
      </c>
      <c r="M984" s="10">
        <f>IFERROR(SUMIFS('Base bordo'!G$2:G$746,'Base bordo'!C$2:C$746,A984,'Base bordo'!B$2:B$746,B984,'Base bordo'!F$2:F$746,"AGUARDANDO MANUTENCAO"),0)</f>
        <v>0</v>
      </c>
      <c r="N984" s="10">
        <f>IFERROR(SUMIFS('Base bordo'!G$2:G$746,'Base bordo'!C$2:C$746,A984,'Base bordo'!B$2:B$746,B984,'Base bordo'!F$2:F$746,"SEM APONTAMENTO"),0)</f>
        <v>0</v>
      </c>
      <c r="O984" s="10">
        <f t="shared" si="102"/>
        <v>0</v>
      </c>
      <c r="P984" s="10">
        <f>IFERROR(SUMIFS('Base bordo'!G$2:G$746,'Base bordo'!C$2:C$746,A984,'Base bordo'!B$2:B$746,B984),0)</f>
        <v>0.32111111111111112</v>
      </c>
      <c r="Q984" s="10">
        <f>IFERROR(SUMIFS('Base bordo'!H$2:H$746,'Base bordo'!C$2:C$746,A984,'Base bordo'!B$2:B$746,B984,'Base bordo'!F$2:F$746,"DESLOCAMENTO VAZIO"),0)</f>
        <v>33211.879999999997</v>
      </c>
      <c r="R984" s="10">
        <f>IFERROR(SUMIFS('Base bordo'!I$2:I$746,'Base bordo'!C$2:C$746,A984,'Base bordo'!B$2:B$746,B984,'Base bordo'!F$2:F$746,"DESLOCAMENTO VAZIO"),0)</f>
        <v>1156</v>
      </c>
      <c r="S984" s="30">
        <f t="shared" si="103"/>
        <v>28.729999999999997</v>
      </c>
      <c r="T984" s="10">
        <f>IFERROR(SUMIFS('Base bordo'!H$2:H$746,'Base bordo'!C$2:C$746,A984,'Base bordo'!B$2:B$746,B984,'Base bordo'!F$2:F$746,"DESLOCAMENTO CARREGADO"),0)</f>
        <v>0</v>
      </c>
      <c r="U984" s="10">
        <f>IFERROR(SUMIFS('Base bordo'!I$2:I$746,'Base bordo'!C$2:C$746,A984,'Base bordo'!B$2:B$746,B984,'Base bordo'!F$2:F$746,"DESLOCAMENTO CARREGADO"),0)</f>
        <v>0</v>
      </c>
      <c r="V984" s="30" t="str">
        <f t="shared" si="104"/>
        <v/>
      </c>
      <c r="W984" s="9">
        <f t="shared" si="105"/>
        <v>1</v>
      </c>
      <c r="X984" s="9">
        <f t="shared" si="106"/>
        <v>0</v>
      </c>
      <c r="Y984" s="9">
        <f t="shared" si="107"/>
        <v>0</v>
      </c>
    </row>
    <row r="985" spans="1:25" ht="15" customHeight="1" x14ac:dyDescent="0.35">
      <c r="A985" s="52">
        <v>8013469</v>
      </c>
      <c r="B985" s="51">
        <v>46120</v>
      </c>
      <c r="C985" s="7" t="s">
        <v>124</v>
      </c>
      <c r="D985" s="10">
        <f>IFERROR(SUMIFS('Base bordo'!G$2:G$746,'Base bordo'!C$2:C$746,A985,'Base bordo'!B$2:B$746,B985,'Base bordo'!F$2:F$746,"DESLOCAMENTO VAZIO"),0)</f>
        <v>0.32111111111111112</v>
      </c>
      <c r="E985" s="10">
        <f>IFERROR(SUMIFS('Base bordo'!G$2:G$746,'Base bordo'!C$2:C$746,A985,'Base bordo'!B$2:B$746,B985,'Base bordo'!F$2:F$746,"DESLOCAMENTO CARREGADO"),0)</f>
        <v>0</v>
      </c>
      <c r="F985" s="10">
        <f>IFERROR(SUMIFS('Base bordo'!G$2:G$746,'Base bordo'!C$2:C$746,A985,'Base bordo'!B$2:B$746,B985,'Base bordo'!F$2:F$746,"DESLOCAMENTO"),0)</f>
        <v>0</v>
      </c>
      <c r="G985" s="10">
        <f>IFERROR(SUMIFS('Base bordo'!G$2:G$746,'Base bordo'!C$2:C$746,A985,'Base bordo'!B$2:B$746,B985,'Base bordo'!F$2:F$746,"CARREGAMENTO"),0)</f>
        <v>0</v>
      </c>
      <c r="H985" s="10">
        <f>IFERROR(SUMIFS('Base bordo'!G$2:G$746,'Base bordo'!C$2:C$746,A985,'Base bordo'!B$2:B$746,B985,'Base bordo'!F$2:F$746,"AGUARDANDO TRANSBORDO"),0)</f>
        <v>0</v>
      </c>
      <c r="I985" s="10">
        <f>IFERROR(SUMIFS('Base bordo'!G$2:G$746,'Base bordo'!C$2:C$746,A985,'Base bordo'!B$2:B$746,B985,'Base bordo'!F$2:F$746,"PÁTIO INTERNO"),0)+IFERROR(SUMIFS('Base bordo'!G$2:G$746,'Base bordo'!C$2:C$746,A985,'Base bordo'!B$2:B$746,B985,'Base bordo'!F$2:F$746,"PÁTIO EXTERNO"),0)+IFERROR(SUMIFS('Base bordo'!G$2:G$746,'Base bordo'!C$2:C$746,A985,'Base bordo'!B$2:B$746,B985,'Base bordo'!F$2:F$746,"PATIO - RESERVA"),0)+IFERROR(SUMIFS('Base bordo'!G$2:G$746,'Base bordo'!C$2:C$746,A985,'Base bordo'!B$2:B$746,B985,'Base bordo'!F$2:F$746,"MANOBRA CARRETAS-PATIO"),0)</f>
        <v>0</v>
      </c>
      <c r="J985" s="10">
        <f>IFERROR(SUMIFS('Base bordo'!G$2:G$746,'Base bordo'!C$2:C$746,A985,'Base bordo'!B$2:B$746,B985,'Base bordo'!F$2:F$746,"BALANÇA - ENTRADA"),0)+IFERROR(SUMIFS('Base bordo'!G$2:G$746,'Base bordo'!C$2:C$746,A985,'Base bordo'!B$2:B$746,B985,'Base bordo'!F$2:F$746,"BALANÇA - SAÍDA"),0)</f>
        <v>0</v>
      </c>
      <c r="K985" s="10">
        <f>IFERROR(SUMIFS('Base bordo'!G$2:G$746,'Base bordo'!C$2:C$746,A985,'Base bordo'!B$2:B$746,B985,'Base bordo'!F$2:F$746,"MAN PREVENTIVA - MECANICA"),0)+IFERROR(SUMIFS('Base bordo'!G$2:G$746,'Base bordo'!C$2:C$746,A985,'Base bordo'!B$2:B$746,B985,'Base bordo'!F$2:F$746,"MAN CORRETIVA - MECANICA"),0)</f>
        <v>0</v>
      </c>
      <c r="L985" s="10">
        <f>IFERROR(SUMIFS('Base bordo'!G$2:G$746,'Base bordo'!C$2:C$746,A985,'Base bordo'!B$2:B$746,B985,'Base bordo'!F$2:F$746,"MANUTENCAO - T O"),0)+IFERROR(SUMIFS('Base bordo'!G$2:G$746,'Base bordo'!C$2:C$746,A985,'Base bordo'!B$2:B$746,B985,'Base bordo'!F$2:F$746,"MANUTENCAO BORRACHARIA"),0)+IFERROR(SUMIFS('Base bordo'!G$2:G$746,'Base bordo'!C$2:C$746,A985,'Base bordo'!B$2:B$746,B985,'Base bordo'!F$2:F$746,"MANUTENCAO EXTERNA  CONCESSIONARIA"),0)+IFERROR(SUMIFS('Base bordo'!G$2:G$746,'Base bordo'!C$2:C$746,A985,'Base bordo'!B$2:B$746,B985,'Base bordo'!F$2:F$746,"MANUTENCAO TELEMETRIA"),0)</f>
        <v>0</v>
      </c>
      <c r="M985" s="10">
        <f>IFERROR(SUMIFS('Base bordo'!G$2:G$746,'Base bordo'!C$2:C$746,A985,'Base bordo'!B$2:B$746,B985,'Base bordo'!F$2:F$746,"AGUARDANDO MANUTENCAO"),0)</f>
        <v>0</v>
      </c>
      <c r="N985" s="10">
        <f>IFERROR(SUMIFS('Base bordo'!G$2:G$746,'Base bordo'!C$2:C$746,A985,'Base bordo'!B$2:B$746,B985,'Base bordo'!F$2:F$746,"SEM APONTAMENTO"),0)</f>
        <v>0</v>
      </c>
      <c r="O985" s="10">
        <f t="shared" si="102"/>
        <v>0</v>
      </c>
      <c r="P985" s="10">
        <f>IFERROR(SUMIFS('Base bordo'!G$2:G$746,'Base bordo'!C$2:C$746,A985,'Base bordo'!B$2:B$746,B985),0)</f>
        <v>0.32111111111111112</v>
      </c>
      <c r="Q985" s="10">
        <f>IFERROR(SUMIFS('Base bordo'!H$2:H$746,'Base bordo'!C$2:C$746,A985,'Base bordo'!B$2:B$746,B985,'Base bordo'!F$2:F$746,"DESLOCAMENTO VAZIO"),0)</f>
        <v>33211.879999999997</v>
      </c>
      <c r="R985" s="10">
        <f>IFERROR(SUMIFS('Base bordo'!I$2:I$746,'Base bordo'!C$2:C$746,A985,'Base bordo'!B$2:B$746,B985,'Base bordo'!F$2:F$746,"DESLOCAMENTO VAZIO"),0)</f>
        <v>1156</v>
      </c>
      <c r="S985" s="30">
        <f t="shared" si="103"/>
        <v>28.729999999999997</v>
      </c>
      <c r="T985" s="10">
        <f>IFERROR(SUMIFS('Base bordo'!H$2:H$746,'Base bordo'!C$2:C$746,A985,'Base bordo'!B$2:B$746,B985,'Base bordo'!F$2:F$746,"DESLOCAMENTO CARREGADO"),0)</f>
        <v>0</v>
      </c>
      <c r="U985" s="10">
        <f>IFERROR(SUMIFS('Base bordo'!I$2:I$746,'Base bordo'!C$2:C$746,A985,'Base bordo'!B$2:B$746,B985,'Base bordo'!F$2:F$746,"DESLOCAMENTO CARREGADO"),0)</f>
        <v>0</v>
      </c>
      <c r="V985" s="30" t="str">
        <f t="shared" si="104"/>
        <v/>
      </c>
      <c r="W985" s="9">
        <f t="shared" si="105"/>
        <v>1</v>
      </c>
      <c r="X985" s="9">
        <f t="shared" si="106"/>
        <v>0</v>
      </c>
      <c r="Y985" s="9">
        <f t="shared" si="107"/>
        <v>0</v>
      </c>
    </row>
    <row r="986" spans="1:25" ht="15" customHeight="1" x14ac:dyDescent="0.35">
      <c r="A986" s="52">
        <v>8013469</v>
      </c>
      <c r="B986" s="51">
        <v>46120</v>
      </c>
      <c r="C986" s="7" t="s">
        <v>124</v>
      </c>
      <c r="D986" s="10">
        <f>IFERROR(SUMIFS('Base bordo'!G$2:G$746,'Base bordo'!C$2:C$746,A986,'Base bordo'!B$2:B$746,B986,'Base bordo'!F$2:F$746,"DESLOCAMENTO VAZIO"),0)</f>
        <v>0.32111111111111112</v>
      </c>
      <c r="E986" s="10">
        <f>IFERROR(SUMIFS('Base bordo'!G$2:G$746,'Base bordo'!C$2:C$746,A986,'Base bordo'!B$2:B$746,B986,'Base bordo'!F$2:F$746,"DESLOCAMENTO CARREGADO"),0)</f>
        <v>0</v>
      </c>
      <c r="F986" s="10">
        <f>IFERROR(SUMIFS('Base bordo'!G$2:G$746,'Base bordo'!C$2:C$746,A986,'Base bordo'!B$2:B$746,B986,'Base bordo'!F$2:F$746,"DESLOCAMENTO"),0)</f>
        <v>0</v>
      </c>
      <c r="G986" s="10">
        <f>IFERROR(SUMIFS('Base bordo'!G$2:G$746,'Base bordo'!C$2:C$746,A986,'Base bordo'!B$2:B$746,B986,'Base bordo'!F$2:F$746,"CARREGAMENTO"),0)</f>
        <v>0</v>
      </c>
      <c r="H986" s="10">
        <f>IFERROR(SUMIFS('Base bordo'!G$2:G$746,'Base bordo'!C$2:C$746,A986,'Base bordo'!B$2:B$746,B986,'Base bordo'!F$2:F$746,"AGUARDANDO TRANSBORDO"),0)</f>
        <v>0</v>
      </c>
      <c r="I986" s="10">
        <f>IFERROR(SUMIFS('Base bordo'!G$2:G$746,'Base bordo'!C$2:C$746,A986,'Base bordo'!B$2:B$746,B986,'Base bordo'!F$2:F$746,"PÁTIO INTERNO"),0)+IFERROR(SUMIFS('Base bordo'!G$2:G$746,'Base bordo'!C$2:C$746,A986,'Base bordo'!B$2:B$746,B986,'Base bordo'!F$2:F$746,"PÁTIO EXTERNO"),0)+IFERROR(SUMIFS('Base bordo'!G$2:G$746,'Base bordo'!C$2:C$746,A986,'Base bordo'!B$2:B$746,B986,'Base bordo'!F$2:F$746,"PATIO - RESERVA"),0)+IFERROR(SUMIFS('Base bordo'!G$2:G$746,'Base bordo'!C$2:C$746,A986,'Base bordo'!B$2:B$746,B986,'Base bordo'!F$2:F$746,"MANOBRA CARRETAS-PATIO"),0)</f>
        <v>0</v>
      </c>
      <c r="J986" s="10">
        <f>IFERROR(SUMIFS('Base bordo'!G$2:G$746,'Base bordo'!C$2:C$746,A986,'Base bordo'!B$2:B$746,B986,'Base bordo'!F$2:F$746,"BALANÇA - ENTRADA"),0)+IFERROR(SUMIFS('Base bordo'!G$2:G$746,'Base bordo'!C$2:C$746,A986,'Base bordo'!B$2:B$746,B986,'Base bordo'!F$2:F$746,"BALANÇA - SAÍDA"),0)</f>
        <v>0</v>
      </c>
      <c r="K986" s="10">
        <f>IFERROR(SUMIFS('Base bordo'!G$2:G$746,'Base bordo'!C$2:C$746,A986,'Base bordo'!B$2:B$746,B986,'Base bordo'!F$2:F$746,"MAN PREVENTIVA - MECANICA"),0)+IFERROR(SUMIFS('Base bordo'!G$2:G$746,'Base bordo'!C$2:C$746,A986,'Base bordo'!B$2:B$746,B986,'Base bordo'!F$2:F$746,"MAN CORRETIVA - MECANICA"),0)</f>
        <v>0</v>
      </c>
      <c r="L986" s="10">
        <f>IFERROR(SUMIFS('Base bordo'!G$2:G$746,'Base bordo'!C$2:C$746,A986,'Base bordo'!B$2:B$746,B986,'Base bordo'!F$2:F$746,"MANUTENCAO - T O"),0)+IFERROR(SUMIFS('Base bordo'!G$2:G$746,'Base bordo'!C$2:C$746,A986,'Base bordo'!B$2:B$746,B986,'Base bordo'!F$2:F$746,"MANUTENCAO BORRACHARIA"),0)+IFERROR(SUMIFS('Base bordo'!G$2:G$746,'Base bordo'!C$2:C$746,A986,'Base bordo'!B$2:B$746,B986,'Base bordo'!F$2:F$746,"MANUTENCAO EXTERNA  CONCESSIONARIA"),0)+IFERROR(SUMIFS('Base bordo'!G$2:G$746,'Base bordo'!C$2:C$746,A986,'Base bordo'!B$2:B$746,B986,'Base bordo'!F$2:F$746,"MANUTENCAO TELEMETRIA"),0)</f>
        <v>0</v>
      </c>
      <c r="M986" s="10">
        <f>IFERROR(SUMIFS('Base bordo'!G$2:G$746,'Base bordo'!C$2:C$746,A986,'Base bordo'!B$2:B$746,B986,'Base bordo'!F$2:F$746,"AGUARDANDO MANUTENCAO"),0)</f>
        <v>0</v>
      </c>
      <c r="N986" s="10">
        <f>IFERROR(SUMIFS('Base bordo'!G$2:G$746,'Base bordo'!C$2:C$746,A986,'Base bordo'!B$2:B$746,B986,'Base bordo'!F$2:F$746,"SEM APONTAMENTO"),0)</f>
        <v>0</v>
      </c>
      <c r="O986" s="10">
        <f t="shared" si="102"/>
        <v>0</v>
      </c>
      <c r="P986" s="10">
        <f>IFERROR(SUMIFS('Base bordo'!G$2:G$746,'Base bordo'!C$2:C$746,A986,'Base bordo'!B$2:B$746,B986),0)</f>
        <v>0.32111111111111112</v>
      </c>
      <c r="Q986" s="10">
        <f>IFERROR(SUMIFS('Base bordo'!H$2:H$746,'Base bordo'!C$2:C$746,A986,'Base bordo'!B$2:B$746,B986,'Base bordo'!F$2:F$746,"DESLOCAMENTO VAZIO"),0)</f>
        <v>33211.879999999997</v>
      </c>
      <c r="R986" s="10">
        <f>IFERROR(SUMIFS('Base bordo'!I$2:I$746,'Base bordo'!C$2:C$746,A986,'Base bordo'!B$2:B$746,B986,'Base bordo'!F$2:F$746,"DESLOCAMENTO VAZIO"),0)</f>
        <v>1156</v>
      </c>
      <c r="S986" s="30">
        <f t="shared" si="103"/>
        <v>28.729999999999997</v>
      </c>
      <c r="T986" s="10">
        <f>IFERROR(SUMIFS('Base bordo'!H$2:H$746,'Base bordo'!C$2:C$746,A986,'Base bordo'!B$2:B$746,B986,'Base bordo'!F$2:F$746,"DESLOCAMENTO CARREGADO"),0)</f>
        <v>0</v>
      </c>
      <c r="U986" s="10">
        <f>IFERROR(SUMIFS('Base bordo'!I$2:I$746,'Base bordo'!C$2:C$746,A986,'Base bordo'!B$2:B$746,B986,'Base bordo'!F$2:F$746,"DESLOCAMENTO CARREGADO"),0)</f>
        <v>0</v>
      </c>
      <c r="V986" s="30" t="str">
        <f t="shared" si="104"/>
        <v/>
      </c>
      <c r="W986" s="9">
        <f t="shared" si="105"/>
        <v>1</v>
      </c>
      <c r="X986" s="9">
        <f t="shared" si="106"/>
        <v>0</v>
      </c>
      <c r="Y986" s="9">
        <f t="shared" si="107"/>
        <v>0</v>
      </c>
    </row>
    <row r="987" spans="1:25" ht="15" customHeight="1" x14ac:dyDescent="0.35">
      <c r="A987" s="52">
        <v>8013470</v>
      </c>
      <c r="B987" s="51">
        <v>46120</v>
      </c>
      <c r="C987" s="7" t="s">
        <v>124</v>
      </c>
      <c r="D987" s="10">
        <f>IFERROR(SUMIFS('Base bordo'!G$2:G$746,'Base bordo'!C$2:C$746,A987,'Base bordo'!B$2:B$746,B987,'Base bordo'!F$2:F$746,"DESLOCAMENTO VAZIO"),0)</f>
        <v>0</v>
      </c>
      <c r="E987" s="10">
        <f>IFERROR(SUMIFS('Base bordo'!G$2:G$746,'Base bordo'!C$2:C$746,A987,'Base bordo'!B$2:B$746,B987,'Base bordo'!F$2:F$746,"DESLOCAMENTO CARREGADO"),0)</f>
        <v>0.90500000000000003</v>
      </c>
      <c r="F987" s="10">
        <f>IFERROR(SUMIFS('Base bordo'!G$2:G$746,'Base bordo'!C$2:C$746,A987,'Base bordo'!B$2:B$746,B987,'Base bordo'!F$2:F$746,"DESLOCAMENTO"),0)</f>
        <v>0</v>
      </c>
      <c r="G987" s="10">
        <f>IFERROR(SUMIFS('Base bordo'!G$2:G$746,'Base bordo'!C$2:C$746,A987,'Base bordo'!B$2:B$746,B987,'Base bordo'!F$2:F$746,"CARREGAMENTO"),0)</f>
        <v>0</v>
      </c>
      <c r="H987" s="10">
        <f>IFERROR(SUMIFS('Base bordo'!G$2:G$746,'Base bordo'!C$2:C$746,A987,'Base bordo'!B$2:B$746,B987,'Base bordo'!F$2:F$746,"AGUARDANDO TRANSBORDO"),0)</f>
        <v>0</v>
      </c>
      <c r="I987" s="10">
        <f>IFERROR(SUMIFS('Base bordo'!G$2:G$746,'Base bordo'!C$2:C$746,A987,'Base bordo'!B$2:B$746,B987,'Base bordo'!F$2:F$746,"PÁTIO INTERNO"),0)+IFERROR(SUMIFS('Base bordo'!G$2:G$746,'Base bordo'!C$2:C$746,A987,'Base bordo'!B$2:B$746,B987,'Base bordo'!F$2:F$746,"PÁTIO EXTERNO"),0)+IFERROR(SUMIFS('Base bordo'!G$2:G$746,'Base bordo'!C$2:C$746,A987,'Base bordo'!B$2:B$746,B987,'Base bordo'!F$2:F$746,"PATIO - RESERVA"),0)+IFERROR(SUMIFS('Base bordo'!G$2:G$746,'Base bordo'!C$2:C$746,A987,'Base bordo'!B$2:B$746,B987,'Base bordo'!F$2:F$746,"MANOBRA CARRETAS-PATIO"),0)</f>
        <v>3.3147222222222221</v>
      </c>
      <c r="J987" s="10">
        <f>IFERROR(SUMIFS('Base bordo'!G$2:G$746,'Base bordo'!C$2:C$746,A987,'Base bordo'!B$2:B$746,B987,'Base bordo'!F$2:F$746,"BALANÇA - ENTRADA"),0)+IFERROR(SUMIFS('Base bordo'!G$2:G$746,'Base bordo'!C$2:C$746,A987,'Base bordo'!B$2:B$746,B987,'Base bordo'!F$2:F$746,"BALANÇA - SAÍDA"),0)</f>
        <v>0</v>
      </c>
      <c r="K987" s="10">
        <f>IFERROR(SUMIFS('Base bordo'!G$2:G$746,'Base bordo'!C$2:C$746,A987,'Base bordo'!B$2:B$746,B987,'Base bordo'!F$2:F$746,"MAN PREVENTIVA - MECANICA"),0)+IFERROR(SUMIFS('Base bordo'!G$2:G$746,'Base bordo'!C$2:C$746,A987,'Base bordo'!B$2:B$746,B987,'Base bordo'!F$2:F$746,"MAN CORRETIVA - MECANICA"),0)</f>
        <v>0</v>
      </c>
      <c r="L987" s="10">
        <f>IFERROR(SUMIFS('Base bordo'!G$2:G$746,'Base bordo'!C$2:C$746,A987,'Base bordo'!B$2:B$746,B987,'Base bordo'!F$2:F$746,"MANUTENCAO - T O"),0)+IFERROR(SUMIFS('Base bordo'!G$2:G$746,'Base bordo'!C$2:C$746,A987,'Base bordo'!B$2:B$746,B987,'Base bordo'!F$2:F$746,"MANUTENCAO BORRACHARIA"),0)+IFERROR(SUMIFS('Base bordo'!G$2:G$746,'Base bordo'!C$2:C$746,A987,'Base bordo'!B$2:B$746,B987,'Base bordo'!F$2:F$746,"MANUTENCAO EXTERNA  CONCESSIONARIA"),0)+IFERROR(SUMIFS('Base bordo'!G$2:G$746,'Base bordo'!C$2:C$746,A987,'Base bordo'!B$2:B$746,B987,'Base bordo'!F$2:F$746,"MANUTENCAO TELEMETRIA"),0)</f>
        <v>0</v>
      </c>
      <c r="M987" s="10">
        <f>IFERROR(SUMIFS('Base bordo'!G$2:G$746,'Base bordo'!C$2:C$746,A987,'Base bordo'!B$2:B$746,B987,'Base bordo'!F$2:F$746,"AGUARDANDO MANUTENCAO"),0)</f>
        <v>0</v>
      </c>
      <c r="N987" s="10">
        <f>IFERROR(SUMIFS('Base bordo'!G$2:G$746,'Base bordo'!C$2:C$746,A987,'Base bordo'!B$2:B$746,B987,'Base bordo'!F$2:F$746,"SEM APONTAMENTO"),0)</f>
        <v>0</v>
      </c>
      <c r="O987" s="10">
        <f t="shared" si="102"/>
        <v>0</v>
      </c>
      <c r="P987" s="10">
        <f>IFERROR(SUMIFS('Base bordo'!G$2:G$746,'Base bordo'!C$2:C$746,A987,'Base bordo'!B$2:B$746,B987),0)</f>
        <v>4.2197222222222219</v>
      </c>
      <c r="Q987" s="10">
        <f>IFERROR(SUMIFS('Base bordo'!H$2:H$746,'Base bordo'!C$2:C$746,A987,'Base bordo'!B$2:B$746,B987,'Base bordo'!F$2:F$746,"DESLOCAMENTO VAZIO"),0)</f>
        <v>0</v>
      </c>
      <c r="R987" s="10">
        <f>IFERROR(SUMIFS('Base bordo'!I$2:I$746,'Base bordo'!C$2:C$746,A987,'Base bordo'!B$2:B$746,B987,'Base bordo'!F$2:F$746,"DESLOCAMENTO VAZIO"),0)</f>
        <v>0</v>
      </c>
      <c r="S987" s="30" t="str">
        <f t="shared" si="103"/>
        <v/>
      </c>
      <c r="T987" s="10">
        <f>IFERROR(SUMIFS('Base bordo'!H$2:H$746,'Base bordo'!C$2:C$746,A987,'Base bordo'!B$2:B$746,B987,'Base bordo'!F$2:F$746,"DESLOCAMENTO CARREGADO"),0)</f>
        <v>81971.28</v>
      </c>
      <c r="U987" s="10">
        <f>IFERROR(SUMIFS('Base bordo'!I$2:I$746,'Base bordo'!C$2:C$746,A987,'Base bordo'!B$2:B$746,B987,'Base bordo'!F$2:F$746,"DESLOCAMENTO CARREGADO"),0)</f>
        <v>3258</v>
      </c>
      <c r="V987" s="30">
        <f t="shared" si="104"/>
        <v>25.16</v>
      </c>
      <c r="W987" s="9">
        <f t="shared" si="105"/>
        <v>0</v>
      </c>
      <c r="X987" s="9">
        <f t="shared" si="106"/>
        <v>0.21446909354222898</v>
      </c>
      <c r="Y987" s="9">
        <f t="shared" si="107"/>
        <v>0.78553090645777102</v>
      </c>
    </row>
    <row r="988" spans="1:25" ht="15" customHeight="1" x14ac:dyDescent="0.35">
      <c r="A988" s="52">
        <v>8013470</v>
      </c>
      <c r="B988" s="51">
        <v>46120</v>
      </c>
      <c r="C988" s="7" t="s">
        <v>124</v>
      </c>
      <c r="D988" s="10">
        <f>IFERROR(SUMIFS('Base bordo'!G$2:G$746,'Base bordo'!C$2:C$746,A988,'Base bordo'!B$2:B$746,B988,'Base bordo'!F$2:F$746,"DESLOCAMENTO VAZIO"),0)</f>
        <v>0</v>
      </c>
      <c r="E988" s="10">
        <f>IFERROR(SUMIFS('Base bordo'!G$2:G$746,'Base bordo'!C$2:C$746,A988,'Base bordo'!B$2:B$746,B988,'Base bordo'!F$2:F$746,"DESLOCAMENTO CARREGADO"),0)</f>
        <v>0.90500000000000003</v>
      </c>
      <c r="F988" s="10">
        <f>IFERROR(SUMIFS('Base bordo'!G$2:G$746,'Base bordo'!C$2:C$746,A988,'Base bordo'!B$2:B$746,B988,'Base bordo'!F$2:F$746,"DESLOCAMENTO"),0)</f>
        <v>0</v>
      </c>
      <c r="G988" s="10">
        <f>IFERROR(SUMIFS('Base bordo'!G$2:G$746,'Base bordo'!C$2:C$746,A988,'Base bordo'!B$2:B$746,B988,'Base bordo'!F$2:F$746,"CARREGAMENTO"),0)</f>
        <v>0</v>
      </c>
      <c r="H988" s="10">
        <f>IFERROR(SUMIFS('Base bordo'!G$2:G$746,'Base bordo'!C$2:C$746,A988,'Base bordo'!B$2:B$746,B988,'Base bordo'!F$2:F$746,"AGUARDANDO TRANSBORDO"),0)</f>
        <v>0</v>
      </c>
      <c r="I988" s="10">
        <f>IFERROR(SUMIFS('Base bordo'!G$2:G$746,'Base bordo'!C$2:C$746,A988,'Base bordo'!B$2:B$746,B988,'Base bordo'!F$2:F$746,"PÁTIO INTERNO"),0)+IFERROR(SUMIFS('Base bordo'!G$2:G$746,'Base bordo'!C$2:C$746,A988,'Base bordo'!B$2:B$746,B988,'Base bordo'!F$2:F$746,"PÁTIO EXTERNO"),0)+IFERROR(SUMIFS('Base bordo'!G$2:G$746,'Base bordo'!C$2:C$746,A988,'Base bordo'!B$2:B$746,B988,'Base bordo'!F$2:F$746,"PATIO - RESERVA"),0)+IFERROR(SUMIFS('Base bordo'!G$2:G$746,'Base bordo'!C$2:C$746,A988,'Base bordo'!B$2:B$746,B988,'Base bordo'!F$2:F$746,"MANOBRA CARRETAS-PATIO"),0)</f>
        <v>3.3147222222222221</v>
      </c>
      <c r="J988" s="10">
        <f>IFERROR(SUMIFS('Base bordo'!G$2:G$746,'Base bordo'!C$2:C$746,A988,'Base bordo'!B$2:B$746,B988,'Base bordo'!F$2:F$746,"BALANÇA - ENTRADA"),0)+IFERROR(SUMIFS('Base bordo'!G$2:G$746,'Base bordo'!C$2:C$746,A988,'Base bordo'!B$2:B$746,B988,'Base bordo'!F$2:F$746,"BALANÇA - SAÍDA"),0)</f>
        <v>0</v>
      </c>
      <c r="K988" s="10">
        <f>IFERROR(SUMIFS('Base bordo'!G$2:G$746,'Base bordo'!C$2:C$746,A988,'Base bordo'!B$2:B$746,B988,'Base bordo'!F$2:F$746,"MAN PREVENTIVA - MECANICA"),0)+IFERROR(SUMIFS('Base bordo'!G$2:G$746,'Base bordo'!C$2:C$746,A988,'Base bordo'!B$2:B$746,B988,'Base bordo'!F$2:F$746,"MAN CORRETIVA - MECANICA"),0)</f>
        <v>0</v>
      </c>
      <c r="L988" s="10">
        <f>IFERROR(SUMIFS('Base bordo'!G$2:G$746,'Base bordo'!C$2:C$746,A988,'Base bordo'!B$2:B$746,B988,'Base bordo'!F$2:F$746,"MANUTENCAO - T O"),0)+IFERROR(SUMIFS('Base bordo'!G$2:G$746,'Base bordo'!C$2:C$746,A988,'Base bordo'!B$2:B$746,B988,'Base bordo'!F$2:F$746,"MANUTENCAO BORRACHARIA"),0)+IFERROR(SUMIFS('Base bordo'!G$2:G$746,'Base bordo'!C$2:C$746,A988,'Base bordo'!B$2:B$746,B988,'Base bordo'!F$2:F$746,"MANUTENCAO EXTERNA  CONCESSIONARIA"),0)+IFERROR(SUMIFS('Base bordo'!G$2:G$746,'Base bordo'!C$2:C$746,A988,'Base bordo'!B$2:B$746,B988,'Base bordo'!F$2:F$746,"MANUTENCAO TELEMETRIA"),0)</f>
        <v>0</v>
      </c>
      <c r="M988" s="10">
        <f>IFERROR(SUMIFS('Base bordo'!G$2:G$746,'Base bordo'!C$2:C$746,A988,'Base bordo'!B$2:B$746,B988,'Base bordo'!F$2:F$746,"AGUARDANDO MANUTENCAO"),0)</f>
        <v>0</v>
      </c>
      <c r="N988" s="10">
        <f>IFERROR(SUMIFS('Base bordo'!G$2:G$746,'Base bordo'!C$2:C$746,A988,'Base bordo'!B$2:B$746,B988,'Base bordo'!F$2:F$746,"SEM APONTAMENTO"),0)</f>
        <v>0</v>
      </c>
      <c r="O988" s="10">
        <f t="shared" si="102"/>
        <v>0</v>
      </c>
      <c r="P988" s="10">
        <f>IFERROR(SUMIFS('Base bordo'!G$2:G$746,'Base bordo'!C$2:C$746,A988,'Base bordo'!B$2:B$746,B988),0)</f>
        <v>4.2197222222222219</v>
      </c>
      <c r="Q988" s="10">
        <f>IFERROR(SUMIFS('Base bordo'!H$2:H$746,'Base bordo'!C$2:C$746,A988,'Base bordo'!B$2:B$746,B988,'Base bordo'!F$2:F$746,"DESLOCAMENTO VAZIO"),0)</f>
        <v>0</v>
      </c>
      <c r="R988" s="10">
        <f>IFERROR(SUMIFS('Base bordo'!I$2:I$746,'Base bordo'!C$2:C$746,A988,'Base bordo'!B$2:B$746,B988,'Base bordo'!F$2:F$746,"DESLOCAMENTO VAZIO"),0)</f>
        <v>0</v>
      </c>
      <c r="S988" s="30" t="str">
        <f t="shared" si="103"/>
        <v/>
      </c>
      <c r="T988" s="10">
        <f>IFERROR(SUMIFS('Base bordo'!H$2:H$746,'Base bordo'!C$2:C$746,A988,'Base bordo'!B$2:B$746,B988,'Base bordo'!F$2:F$746,"DESLOCAMENTO CARREGADO"),0)</f>
        <v>81971.28</v>
      </c>
      <c r="U988" s="10">
        <f>IFERROR(SUMIFS('Base bordo'!I$2:I$746,'Base bordo'!C$2:C$746,A988,'Base bordo'!B$2:B$746,B988,'Base bordo'!F$2:F$746,"DESLOCAMENTO CARREGADO"),0)</f>
        <v>3258</v>
      </c>
      <c r="V988" s="30">
        <f t="shared" si="104"/>
        <v>25.16</v>
      </c>
      <c r="W988" s="9">
        <f t="shared" si="105"/>
        <v>0</v>
      </c>
      <c r="X988" s="9">
        <f t="shared" si="106"/>
        <v>0.21446909354222898</v>
      </c>
      <c r="Y988" s="9">
        <f t="shared" si="107"/>
        <v>0.78553090645777102</v>
      </c>
    </row>
    <row r="989" spans="1:25" ht="15" customHeight="1" x14ac:dyDescent="0.35">
      <c r="A989" s="52">
        <v>8013470</v>
      </c>
      <c r="B989" s="51">
        <v>46120</v>
      </c>
      <c r="C989" s="7" t="s">
        <v>124</v>
      </c>
      <c r="D989" s="10">
        <f>IFERROR(SUMIFS('Base bordo'!G$2:G$746,'Base bordo'!C$2:C$746,A989,'Base bordo'!B$2:B$746,B989,'Base bordo'!F$2:F$746,"DESLOCAMENTO VAZIO"),0)</f>
        <v>0</v>
      </c>
      <c r="E989" s="10">
        <f>IFERROR(SUMIFS('Base bordo'!G$2:G$746,'Base bordo'!C$2:C$746,A989,'Base bordo'!B$2:B$746,B989,'Base bordo'!F$2:F$746,"DESLOCAMENTO CARREGADO"),0)</f>
        <v>0.90500000000000003</v>
      </c>
      <c r="F989" s="10">
        <f>IFERROR(SUMIFS('Base bordo'!G$2:G$746,'Base bordo'!C$2:C$746,A989,'Base bordo'!B$2:B$746,B989,'Base bordo'!F$2:F$746,"DESLOCAMENTO"),0)</f>
        <v>0</v>
      </c>
      <c r="G989" s="10">
        <f>IFERROR(SUMIFS('Base bordo'!G$2:G$746,'Base bordo'!C$2:C$746,A989,'Base bordo'!B$2:B$746,B989,'Base bordo'!F$2:F$746,"CARREGAMENTO"),0)</f>
        <v>0</v>
      </c>
      <c r="H989" s="10">
        <f>IFERROR(SUMIFS('Base bordo'!G$2:G$746,'Base bordo'!C$2:C$746,A989,'Base bordo'!B$2:B$746,B989,'Base bordo'!F$2:F$746,"AGUARDANDO TRANSBORDO"),0)</f>
        <v>0</v>
      </c>
      <c r="I989" s="10">
        <f>IFERROR(SUMIFS('Base bordo'!G$2:G$746,'Base bordo'!C$2:C$746,A989,'Base bordo'!B$2:B$746,B989,'Base bordo'!F$2:F$746,"PÁTIO INTERNO"),0)+IFERROR(SUMIFS('Base bordo'!G$2:G$746,'Base bordo'!C$2:C$746,A989,'Base bordo'!B$2:B$746,B989,'Base bordo'!F$2:F$746,"PÁTIO EXTERNO"),0)+IFERROR(SUMIFS('Base bordo'!G$2:G$746,'Base bordo'!C$2:C$746,A989,'Base bordo'!B$2:B$746,B989,'Base bordo'!F$2:F$746,"PATIO - RESERVA"),0)+IFERROR(SUMIFS('Base bordo'!G$2:G$746,'Base bordo'!C$2:C$746,A989,'Base bordo'!B$2:B$746,B989,'Base bordo'!F$2:F$746,"MANOBRA CARRETAS-PATIO"),0)</f>
        <v>3.3147222222222221</v>
      </c>
      <c r="J989" s="10">
        <f>IFERROR(SUMIFS('Base bordo'!G$2:G$746,'Base bordo'!C$2:C$746,A989,'Base bordo'!B$2:B$746,B989,'Base bordo'!F$2:F$746,"BALANÇA - ENTRADA"),0)+IFERROR(SUMIFS('Base bordo'!G$2:G$746,'Base bordo'!C$2:C$746,A989,'Base bordo'!B$2:B$746,B989,'Base bordo'!F$2:F$746,"BALANÇA - SAÍDA"),0)</f>
        <v>0</v>
      </c>
      <c r="K989" s="10">
        <f>IFERROR(SUMIFS('Base bordo'!G$2:G$746,'Base bordo'!C$2:C$746,A989,'Base bordo'!B$2:B$746,B989,'Base bordo'!F$2:F$746,"MAN PREVENTIVA - MECANICA"),0)+IFERROR(SUMIFS('Base bordo'!G$2:G$746,'Base bordo'!C$2:C$746,A989,'Base bordo'!B$2:B$746,B989,'Base bordo'!F$2:F$746,"MAN CORRETIVA - MECANICA"),0)</f>
        <v>0</v>
      </c>
      <c r="L989" s="10">
        <f>IFERROR(SUMIFS('Base bordo'!G$2:G$746,'Base bordo'!C$2:C$746,A989,'Base bordo'!B$2:B$746,B989,'Base bordo'!F$2:F$746,"MANUTENCAO - T O"),0)+IFERROR(SUMIFS('Base bordo'!G$2:G$746,'Base bordo'!C$2:C$746,A989,'Base bordo'!B$2:B$746,B989,'Base bordo'!F$2:F$746,"MANUTENCAO BORRACHARIA"),0)+IFERROR(SUMIFS('Base bordo'!G$2:G$746,'Base bordo'!C$2:C$746,A989,'Base bordo'!B$2:B$746,B989,'Base bordo'!F$2:F$746,"MANUTENCAO EXTERNA  CONCESSIONARIA"),0)+IFERROR(SUMIFS('Base bordo'!G$2:G$746,'Base bordo'!C$2:C$746,A989,'Base bordo'!B$2:B$746,B989,'Base bordo'!F$2:F$746,"MANUTENCAO TELEMETRIA"),0)</f>
        <v>0</v>
      </c>
      <c r="M989" s="10">
        <f>IFERROR(SUMIFS('Base bordo'!G$2:G$746,'Base bordo'!C$2:C$746,A989,'Base bordo'!B$2:B$746,B989,'Base bordo'!F$2:F$746,"AGUARDANDO MANUTENCAO"),0)</f>
        <v>0</v>
      </c>
      <c r="N989" s="10">
        <f>IFERROR(SUMIFS('Base bordo'!G$2:G$746,'Base bordo'!C$2:C$746,A989,'Base bordo'!B$2:B$746,B989,'Base bordo'!F$2:F$746,"SEM APONTAMENTO"),0)</f>
        <v>0</v>
      </c>
      <c r="O989" s="10">
        <f t="shared" si="102"/>
        <v>0</v>
      </c>
      <c r="P989" s="10">
        <f>IFERROR(SUMIFS('Base bordo'!G$2:G$746,'Base bordo'!C$2:C$746,A989,'Base bordo'!B$2:B$746,B989),0)</f>
        <v>4.2197222222222219</v>
      </c>
      <c r="Q989" s="10">
        <f>IFERROR(SUMIFS('Base bordo'!H$2:H$746,'Base bordo'!C$2:C$746,A989,'Base bordo'!B$2:B$746,B989,'Base bordo'!F$2:F$746,"DESLOCAMENTO VAZIO"),0)</f>
        <v>0</v>
      </c>
      <c r="R989" s="10">
        <f>IFERROR(SUMIFS('Base bordo'!I$2:I$746,'Base bordo'!C$2:C$746,A989,'Base bordo'!B$2:B$746,B989,'Base bordo'!F$2:F$746,"DESLOCAMENTO VAZIO"),0)</f>
        <v>0</v>
      </c>
      <c r="S989" s="30" t="str">
        <f t="shared" si="103"/>
        <v/>
      </c>
      <c r="T989" s="10">
        <f>IFERROR(SUMIFS('Base bordo'!H$2:H$746,'Base bordo'!C$2:C$746,A989,'Base bordo'!B$2:B$746,B989,'Base bordo'!F$2:F$746,"DESLOCAMENTO CARREGADO"),0)</f>
        <v>81971.28</v>
      </c>
      <c r="U989" s="10">
        <f>IFERROR(SUMIFS('Base bordo'!I$2:I$746,'Base bordo'!C$2:C$746,A989,'Base bordo'!B$2:B$746,B989,'Base bordo'!F$2:F$746,"DESLOCAMENTO CARREGADO"),0)</f>
        <v>3258</v>
      </c>
      <c r="V989" s="30">
        <f t="shared" si="104"/>
        <v>25.16</v>
      </c>
      <c r="W989" s="9">
        <f t="shared" si="105"/>
        <v>0</v>
      </c>
      <c r="X989" s="9">
        <f t="shared" si="106"/>
        <v>0.21446909354222898</v>
      </c>
      <c r="Y989" s="9">
        <f t="shared" si="107"/>
        <v>0.78553090645777102</v>
      </c>
    </row>
    <row r="990" spans="1:25" ht="15" customHeight="1" x14ac:dyDescent="0.35">
      <c r="A990" s="52">
        <v>8013470</v>
      </c>
      <c r="B990" s="51">
        <v>46120</v>
      </c>
      <c r="C990" s="7" t="s">
        <v>124</v>
      </c>
      <c r="D990" s="10">
        <f>IFERROR(SUMIFS('Base bordo'!G$2:G$746,'Base bordo'!C$2:C$746,A990,'Base bordo'!B$2:B$746,B990,'Base bordo'!F$2:F$746,"DESLOCAMENTO VAZIO"),0)</f>
        <v>0</v>
      </c>
      <c r="E990" s="10">
        <f>IFERROR(SUMIFS('Base bordo'!G$2:G$746,'Base bordo'!C$2:C$746,A990,'Base bordo'!B$2:B$746,B990,'Base bordo'!F$2:F$746,"DESLOCAMENTO CARREGADO"),0)</f>
        <v>0.90500000000000003</v>
      </c>
      <c r="F990" s="10">
        <f>IFERROR(SUMIFS('Base bordo'!G$2:G$746,'Base bordo'!C$2:C$746,A990,'Base bordo'!B$2:B$746,B990,'Base bordo'!F$2:F$746,"DESLOCAMENTO"),0)</f>
        <v>0</v>
      </c>
      <c r="G990" s="10">
        <f>IFERROR(SUMIFS('Base bordo'!G$2:G$746,'Base bordo'!C$2:C$746,A990,'Base bordo'!B$2:B$746,B990,'Base bordo'!F$2:F$746,"CARREGAMENTO"),0)</f>
        <v>0</v>
      </c>
      <c r="H990" s="10">
        <f>IFERROR(SUMIFS('Base bordo'!G$2:G$746,'Base bordo'!C$2:C$746,A990,'Base bordo'!B$2:B$746,B990,'Base bordo'!F$2:F$746,"AGUARDANDO TRANSBORDO"),0)</f>
        <v>0</v>
      </c>
      <c r="I990" s="10">
        <f>IFERROR(SUMIFS('Base bordo'!G$2:G$746,'Base bordo'!C$2:C$746,A990,'Base bordo'!B$2:B$746,B990,'Base bordo'!F$2:F$746,"PÁTIO INTERNO"),0)+IFERROR(SUMIFS('Base bordo'!G$2:G$746,'Base bordo'!C$2:C$746,A990,'Base bordo'!B$2:B$746,B990,'Base bordo'!F$2:F$746,"PÁTIO EXTERNO"),0)+IFERROR(SUMIFS('Base bordo'!G$2:G$746,'Base bordo'!C$2:C$746,A990,'Base bordo'!B$2:B$746,B990,'Base bordo'!F$2:F$746,"PATIO - RESERVA"),0)+IFERROR(SUMIFS('Base bordo'!G$2:G$746,'Base bordo'!C$2:C$746,A990,'Base bordo'!B$2:B$746,B990,'Base bordo'!F$2:F$746,"MANOBRA CARRETAS-PATIO"),0)</f>
        <v>3.3147222222222221</v>
      </c>
      <c r="J990" s="10">
        <f>IFERROR(SUMIFS('Base bordo'!G$2:G$746,'Base bordo'!C$2:C$746,A990,'Base bordo'!B$2:B$746,B990,'Base bordo'!F$2:F$746,"BALANÇA - ENTRADA"),0)+IFERROR(SUMIFS('Base bordo'!G$2:G$746,'Base bordo'!C$2:C$746,A990,'Base bordo'!B$2:B$746,B990,'Base bordo'!F$2:F$746,"BALANÇA - SAÍDA"),0)</f>
        <v>0</v>
      </c>
      <c r="K990" s="10">
        <f>IFERROR(SUMIFS('Base bordo'!G$2:G$746,'Base bordo'!C$2:C$746,A990,'Base bordo'!B$2:B$746,B990,'Base bordo'!F$2:F$746,"MAN PREVENTIVA - MECANICA"),0)+IFERROR(SUMIFS('Base bordo'!G$2:G$746,'Base bordo'!C$2:C$746,A990,'Base bordo'!B$2:B$746,B990,'Base bordo'!F$2:F$746,"MAN CORRETIVA - MECANICA"),0)</f>
        <v>0</v>
      </c>
      <c r="L990" s="10">
        <f>IFERROR(SUMIFS('Base bordo'!G$2:G$746,'Base bordo'!C$2:C$746,A990,'Base bordo'!B$2:B$746,B990,'Base bordo'!F$2:F$746,"MANUTENCAO - T O"),0)+IFERROR(SUMIFS('Base bordo'!G$2:G$746,'Base bordo'!C$2:C$746,A990,'Base bordo'!B$2:B$746,B990,'Base bordo'!F$2:F$746,"MANUTENCAO BORRACHARIA"),0)+IFERROR(SUMIFS('Base bordo'!G$2:G$746,'Base bordo'!C$2:C$746,A990,'Base bordo'!B$2:B$746,B990,'Base bordo'!F$2:F$746,"MANUTENCAO EXTERNA  CONCESSIONARIA"),0)+IFERROR(SUMIFS('Base bordo'!G$2:G$746,'Base bordo'!C$2:C$746,A990,'Base bordo'!B$2:B$746,B990,'Base bordo'!F$2:F$746,"MANUTENCAO TELEMETRIA"),0)</f>
        <v>0</v>
      </c>
      <c r="M990" s="10">
        <f>IFERROR(SUMIFS('Base bordo'!G$2:G$746,'Base bordo'!C$2:C$746,A990,'Base bordo'!B$2:B$746,B990,'Base bordo'!F$2:F$746,"AGUARDANDO MANUTENCAO"),0)</f>
        <v>0</v>
      </c>
      <c r="N990" s="10">
        <f>IFERROR(SUMIFS('Base bordo'!G$2:G$746,'Base bordo'!C$2:C$746,A990,'Base bordo'!B$2:B$746,B990,'Base bordo'!F$2:F$746,"SEM APONTAMENTO"),0)</f>
        <v>0</v>
      </c>
      <c r="O990" s="10">
        <f t="shared" si="102"/>
        <v>0</v>
      </c>
      <c r="P990" s="10">
        <f>IFERROR(SUMIFS('Base bordo'!G$2:G$746,'Base bordo'!C$2:C$746,A990,'Base bordo'!B$2:B$746,B990),0)</f>
        <v>4.2197222222222219</v>
      </c>
      <c r="Q990" s="10">
        <f>IFERROR(SUMIFS('Base bordo'!H$2:H$746,'Base bordo'!C$2:C$746,A990,'Base bordo'!B$2:B$746,B990,'Base bordo'!F$2:F$746,"DESLOCAMENTO VAZIO"),0)</f>
        <v>0</v>
      </c>
      <c r="R990" s="10">
        <f>IFERROR(SUMIFS('Base bordo'!I$2:I$746,'Base bordo'!C$2:C$746,A990,'Base bordo'!B$2:B$746,B990,'Base bordo'!F$2:F$746,"DESLOCAMENTO VAZIO"),0)</f>
        <v>0</v>
      </c>
      <c r="S990" s="30" t="str">
        <f t="shared" si="103"/>
        <v/>
      </c>
      <c r="T990" s="10">
        <f>IFERROR(SUMIFS('Base bordo'!H$2:H$746,'Base bordo'!C$2:C$746,A990,'Base bordo'!B$2:B$746,B990,'Base bordo'!F$2:F$746,"DESLOCAMENTO CARREGADO"),0)</f>
        <v>81971.28</v>
      </c>
      <c r="U990" s="10">
        <f>IFERROR(SUMIFS('Base bordo'!I$2:I$746,'Base bordo'!C$2:C$746,A990,'Base bordo'!B$2:B$746,B990,'Base bordo'!F$2:F$746,"DESLOCAMENTO CARREGADO"),0)</f>
        <v>3258</v>
      </c>
      <c r="V990" s="30">
        <f t="shared" si="104"/>
        <v>25.16</v>
      </c>
      <c r="W990" s="9">
        <f t="shared" si="105"/>
        <v>0</v>
      </c>
      <c r="X990" s="9">
        <f t="shared" si="106"/>
        <v>0.21446909354222898</v>
      </c>
      <c r="Y990" s="9">
        <f t="shared" si="107"/>
        <v>0.78553090645777102</v>
      </c>
    </row>
    <row r="991" spans="1:25" ht="15" customHeight="1" x14ac:dyDescent="0.35">
      <c r="A991" s="52">
        <v>8013470</v>
      </c>
      <c r="B991" s="51">
        <v>46120</v>
      </c>
      <c r="C991" s="7" t="s">
        <v>124</v>
      </c>
      <c r="D991" s="10">
        <f>IFERROR(SUMIFS('Base bordo'!G$2:G$746,'Base bordo'!C$2:C$746,A991,'Base bordo'!B$2:B$746,B991,'Base bordo'!F$2:F$746,"DESLOCAMENTO VAZIO"),0)</f>
        <v>0</v>
      </c>
      <c r="E991" s="10">
        <f>IFERROR(SUMIFS('Base bordo'!G$2:G$746,'Base bordo'!C$2:C$746,A991,'Base bordo'!B$2:B$746,B991,'Base bordo'!F$2:F$746,"DESLOCAMENTO CARREGADO"),0)</f>
        <v>0.90500000000000003</v>
      </c>
      <c r="F991" s="10">
        <f>IFERROR(SUMIFS('Base bordo'!G$2:G$746,'Base bordo'!C$2:C$746,A991,'Base bordo'!B$2:B$746,B991,'Base bordo'!F$2:F$746,"DESLOCAMENTO"),0)</f>
        <v>0</v>
      </c>
      <c r="G991" s="10">
        <f>IFERROR(SUMIFS('Base bordo'!G$2:G$746,'Base bordo'!C$2:C$746,A991,'Base bordo'!B$2:B$746,B991,'Base bordo'!F$2:F$746,"CARREGAMENTO"),0)</f>
        <v>0</v>
      </c>
      <c r="H991" s="10">
        <f>IFERROR(SUMIFS('Base bordo'!G$2:G$746,'Base bordo'!C$2:C$746,A991,'Base bordo'!B$2:B$746,B991,'Base bordo'!F$2:F$746,"AGUARDANDO TRANSBORDO"),0)</f>
        <v>0</v>
      </c>
      <c r="I991" s="10">
        <f>IFERROR(SUMIFS('Base bordo'!G$2:G$746,'Base bordo'!C$2:C$746,A991,'Base bordo'!B$2:B$746,B991,'Base bordo'!F$2:F$746,"PÁTIO INTERNO"),0)+IFERROR(SUMIFS('Base bordo'!G$2:G$746,'Base bordo'!C$2:C$746,A991,'Base bordo'!B$2:B$746,B991,'Base bordo'!F$2:F$746,"PÁTIO EXTERNO"),0)+IFERROR(SUMIFS('Base bordo'!G$2:G$746,'Base bordo'!C$2:C$746,A991,'Base bordo'!B$2:B$746,B991,'Base bordo'!F$2:F$746,"PATIO - RESERVA"),0)+IFERROR(SUMIFS('Base bordo'!G$2:G$746,'Base bordo'!C$2:C$746,A991,'Base bordo'!B$2:B$746,B991,'Base bordo'!F$2:F$746,"MANOBRA CARRETAS-PATIO"),0)</f>
        <v>3.3147222222222221</v>
      </c>
      <c r="J991" s="10">
        <f>IFERROR(SUMIFS('Base bordo'!G$2:G$746,'Base bordo'!C$2:C$746,A991,'Base bordo'!B$2:B$746,B991,'Base bordo'!F$2:F$746,"BALANÇA - ENTRADA"),0)+IFERROR(SUMIFS('Base bordo'!G$2:G$746,'Base bordo'!C$2:C$746,A991,'Base bordo'!B$2:B$746,B991,'Base bordo'!F$2:F$746,"BALANÇA - SAÍDA"),0)</f>
        <v>0</v>
      </c>
      <c r="K991" s="10">
        <f>IFERROR(SUMIFS('Base bordo'!G$2:G$746,'Base bordo'!C$2:C$746,A991,'Base bordo'!B$2:B$746,B991,'Base bordo'!F$2:F$746,"MAN PREVENTIVA - MECANICA"),0)+IFERROR(SUMIFS('Base bordo'!G$2:G$746,'Base bordo'!C$2:C$746,A991,'Base bordo'!B$2:B$746,B991,'Base bordo'!F$2:F$746,"MAN CORRETIVA - MECANICA"),0)</f>
        <v>0</v>
      </c>
      <c r="L991" s="10">
        <f>IFERROR(SUMIFS('Base bordo'!G$2:G$746,'Base bordo'!C$2:C$746,A991,'Base bordo'!B$2:B$746,B991,'Base bordo'!F$2:F$746,"MANUTENCAO - T O"),0)+IFERROR(SUMIFS('Base bordo'!G$2:G$746,'Base bordo'!C$2:C$746,A991,'Base bordo'!B$2:B$746,B991,'Base bordo'!F$2:F$746,"MANUTENCAO BORRACHARIA"),0)+IFERROR(SUMIFS('Base bordo'!G$2:G$746,'Base bordo'!C$2:C$746,A991,'Base bordo'!B$2:B$746,B991,'Base bordo'!F$2:F$746,"MANUTENCAO EXTERNA  CONCESSIONARIA"),0)+IFERROR(SUMIFS('Base bordo'!G$2:G$746,'Base bordo'!C$2:C$746,A991,'Base bordo'!B$2:B$746,B991,'Base bordo'!F$2:F$746,"MANUTENCAO TELEMETRIA"),0)</f>
        <v>0</v>
      </c>
      <c r="M991" s="10">
        <f>IFERROR(SUMIFS('Base bordo'!G$2:G$746,'Base bordo'!C$2:C$746,A991,'Base bordo'!B$2:B$746,B991,'Base bordo'!F$2:F$746,"AGUARDANDO MANUTENCAO"),0)</f>
        <v>0</v>
      </c>
      <c r="N991" s="10">
        <f>IFERROR(SUMIFS('Base bordo'!G$2:G$746,'Base bordo'!C$2:C$746,A991,'Base bordo'!B$2:B$746,B991,'Base bordo'!F$2:F$746,"SEM APONTAMENTO"),0)</f>
        <v>0</v>
      </c>
      <c r="O991" s="10">
        <f t="shared" si="102"/>
        <v>0</v>
      </c>
      <c r="P991" s="10">
        <f>IFERROR(SUMIFS('Base bordo'!G$2:G$746,'Base bordo'!C$2:C$746,A991,'Base bordo'!B$2:B$746,B991),0)</f>
        <v>4.2197222222222219</v>
      </c>
      <c r="Q991" s="10">
        <f>IFERROR(SUMIFS('Base bordo'!H$2:H$746,'Base bordo'!C$2:C$746,A991,'Base bordo'!B$2:B$746,B991,'Base bordo'!F$2:F$746,"DESLOCAMENTO VAZIO"),0)</f>
        <v>0</v>
      </c>
      <c r="R991" s="10">
        <f>IFERROR(SUMIFS('Base bordo'!I$2:I$746,'Base bordo'!C$2:C$746,A991,'Base bordo'!B$2:B$746,B991,'Base bordo'!F$2:F$746,"DESLOCAMENTO VAZIO"),0)</f>
        <v>0</v>
      </c>
      <c r="S991" s="30" t="str">
        <f t="shared" si="103"/>
        <v/>
      </c>
      <c r="T991" s="10">
        <f>IFERROR(SUMIFS('Base bordo'!H$2:H$746,'Base bordo'!C$2:C$746,A991,'Base bordo'!B$2:B$746,B991,'Base bordo'!F$2:F$746,"DESLOCAMENTO CARREGADO"),0)</f>
        <v>81971.28</v>
      </c>
      <c r="U991" s="10">
        <f>IFERROR(SUMIFS('Base bordo'!I$2:I$746,'Base bordo'!C$2:C$746,A991,'Base bordo'!B$2:B$746,B991,'Base bordo'!F$2:F$746,"DESLOCAMENTO CARREGADO"),0)</f>
        <v>3258</v>
      </c>
      <c r="V991" s="30">
        <f t="shared" si="104"/>
        <v>25.16</v>
      </c>
      <c r="W991" s="9">
        <f t="shared" si="105"/>
        <v>0</v>
      </c>
      <c r="X991" s="9">
        <f t="shared" si="106"/>
        <v>0.21446909354222898</v>
      </c>
      <c r="Y991" s="9">
        <f t="shared" si="107"/>
        <v>0.78553090645777102</v>
      </c>
    </row>
    <row r="992" spans="1:25" ht="15" customHeight="1" x14ac:dyDescent="0.35">
      <c r="A992" s="52">
        <v>8013472</v>
      </c>
      <c r="B992" s="51">
        <v>46120</v>
      </c>
      <c r="C992" s="7" t="s">
        <v>124</v>
      </c>
      <c r="D992" s="10">
        <f>IFERROR(SUMIFS('Base bordo'!G$2:G$746,'Base bordo'!C$2:C$746,A992,'Base bordo'!B$2:B$746,B992,'Base bordo'!F$2:F$746,"DESLOCAMENTO VAZIO"),0)</f>
        <v>0.57944444444444443</v>
      </c>
      <c r="E992" s="10">
        <f>IFERROR(SUMIFS('Base bordo'!G$2:G$746,'Base bordo'!C$2:C$746,A992,'Base bordo'!B$2:B$746,B992,'Base bordo'!F$2:F$746,"DESLOCAMENTO CARREGADO"),0)</f>
        <v>0</v>
      </c>
      <c r="F992" s="10">
        <f>IFERROR(SUMIFS('Base bordo'!G$2:G$746,'Base bordo'!C$2:C$746,A992,'Base bordo'!B$2:B$746,B992,'Base bordo'!F$2:F$746,"DESLOCAMENTO"),0)</f>
        <v>0</v>
      </c>
      <c r="G992" s="10">
        <f>IFERROR(SUMIFS('Base bordo'!G$2:G$746,'Base bordo'!C$2:C$746,A992,'Base bordo'!B$2:B$746,B992,'Base bordo'!F$2:F$746,"CARREGAMENTO"),0)</f>
        <v>0</v>
      </c>
      <c r="H992" s="10">
        <f>IFERROR(SUMIFS('Base bordo'!G$2:G$746,'Base bordo'!C$2:C$746,A992,'Base bordo'!B$2:B$746,B992,'Base bordo'!F$2:F$746,"AGUARDANDO TRANSBORDO"),0)</f>
        <v>0</v>
      </c>
      <c r="I992" s="10">
        <f>IFERROR(SUMIFS('Base bordo'!G$2:G$746,'Base bordo'!C$2:C$746,A992,'Base bordo'!B$2:B$746,B992,'Base bordo'!F$2:F$746,"PÁTIO INTERNO"),0)+IFERROR(SUMIFS('Base bordo'!G$2:G$746,'Base bordo'!C$2:C$746,A992,'Base bordo'!B$2:B$746,B992,'Base bordo'!F$2:F$746,"PÁTIO EXTERNO"),0)+IFERROR(SUMIFS('Base bordo'!G$2:G$746,'Base bordo'!C$2:C$746,A992,'Base bordo'!B$2:B$746,B992,'Base bordo'!F$2:F$746,"PATIO - RESERVA"),0)+IFERROR(SUMIFS('Base bordo'!G$2:G$746,'Base bordo'!C$2:C$746,A992,'Base bordo'!B$2:B$746,B992,'Base bordo'!F$2:F$746,"MANOBRA CARRETAS-PATIO"),0)</f>
        <v>0</v>
      </c>
      <c r="J992" s="10">
        <f>IFERROR(SUMIFS('Base bordo'!G$2:G$746,'Base bordo'!C$2:C$746,A992,'Base bordo'!B$2:B$746,B992,'Base bordo'!F$2:F$746,"BALANÇA - ENTRADA"),0)+IFERROR(SUMIFS('Base bordo'!G$2:G$746,'Base bordo'!C$2:C$746,A992,'Base bordo'!B$2:B$746,B992,'Base bordo'!F$2:F$746,"BALANÇA - SAÍDA"),0)</f>
        <v>0</v>
      </c>
      <c r="K992" s="10">
        <f>IFERROR(SUMIFS('Base bordo'!G$2:G$746,'Base bordo'!C$2:C$746,A992,'Base bordo'!B$2:B$746,B992,'Base bordo'!F$2:F$746,"MAN PREVENTIVA - MECANICA"),0)+IFERROR(SUMIFS('Base bordo'!G$2:G$746,'Base bordo'!C$2:C$746,A992,'Base bordo'!B$2:B$746,B992,'Base bordo'!F$2:F$746,"MAN CORRETIVA - MECANICA"),0)</f>
        <v>0</v>
      </c>
      <c r="L992" s="10">
        <f>IFERROR(SUMIFS('Base bordo'!G$2:G$746,'Base bordo'!C$2:C$746,A992,'Base bordo'!B$2:B$746,B992,'Base bordo'!F$2:F$746,"MANUTENCAO - T O"),0)+IFERROR(SUMIFS('Base bordo'!G$2:G$746,'Base bordo'!C$2:C$746,A992,'Base bordo'!B$2:B$746,B992,'Base bordo'!F$2:F$746,"MANUTENCAO BORRACHARIA"),0)+IFERROR(SUMIFS('Base bordo'!G$2:G$746,'Base bordo'!C$2:C$746,A992,'Base bordo'!B$2:B$746,B992,'Base bordo'!F$2:F$746,"MANUTENCAO EXTERNA  CONCESSIONARIA"),0)+IFERROR(SUMIFS('Base bordo'!G$2:G$746,'Base bordo'!C$2:C$746,A992,'Base bordo'!B$2:B$746,B992,'Base bordo'!F$2:F$746,"MANUTENCAO TELEMETRIA"),0)</f>
        <v>0</v>
      </c>
      <c r="M992" s="10">
        <f>IFERROR(SUMIFS('Base bordo'!G$2:G$746,'Base bordo'!C$2:C$746,A992,'Base bordo'!B$2:B$746,B992,'Base bordo'!F$2:F$746,"AGUARDANDO MANUTENCAO"),0)</f>
        <v>0</v>
      </c>
      <c r="N992" s="10">
        <f>IFERROR(SUMIFS('Base bordo'!G$2:G$746,'Base bordo'!C$2:C$746,A992,'Base bordo'!B$2:B$746,B992,'Base bordo'!F$2:F$746,"SEM APONTAMENTO"),0)</f>
        <v>0</v>
      </c>
      <c r="O992" s="10">
        <f t="shared" si="102"/>
        <v>7.9047222222222224</v>
      </c>
      <c r="P992" s="10">
        <f>IFERROR(SUMIFS('Base bordo'!G$2:G$746,'Base bordo'!C$2:C$746,A992,'Base bordo'!B$2:B$746,B992),0)</f>
        <v>8.4841666666666669</v>
      </c>
      <c r="Q992" s="10">
        <f>IFERROR(SUMIFS('Base bordo'!H$2:H$746,'Base bordo'!C$2:C$746,A992,'Base bordo'!B$2:B$746,B992,'Base bordo'!F$2:F$746,"DESLOCAMENTO VAZIO"),0)</f>
        <v>71647.22</v>
      </c>
      <c r="R992" s="10">
        <f>IFERROR(SUMIFS('Base bordo'!I$2:I$746,'Base bordo'!C$2:C$746,A992,'Base bordo'!B$2:B$746,B992,'Base bordo'!F$2:F$746,"DESLOCAMENTO VAZIO"),0)</f>
        <v>2086</v>
      </c>
      <c r="S992" s="30">
        <f t="shared" si="103"/>
        <v>34.346701821668262</v>
      </c>
      <c r="T992" s="10">
        <f>IFERROR(SUMIFS('Base bordo'!H$2:H$746,'Base bordo'!C$2:C$746,A992,'Base bordo'!B$2:B$746,B992,'Base bordo'!F$2:F$746,"DESLOCAMENTO CARREGADO"),0)</f>
        <v>0</v>
      </c>
      <c r="U992" s="10">
        <f>IFERROR(SUMIFS('Base bordo'!I$2:I$746,'Base bordo'!C$2:C$746,A992,'Base bordo'!B$2:B$746,B992,'Base bordo'!F$2:F$746,"DESLOCAMENTO CARREGADO"),0)</f>
        <v>0</v>
      </c>
      <c r="V992" s="30" t="str">
        <f t="shared" si="104"/>
        <v/>
      </c>
      <c r="W992" s="9">
        <f t="shared" si="105"/>
        <v>6.8297154830894144E-2</v>
      </c>
      <c r="X992" s="9">
        <f t="shared" si="106"/>
        <v>0</v>
      </c>
      <c r="Y992" s="9">
        <f t="shared" si="107"/>
        <v>0.93170284516910584</v>
      </c>
    </row>
    <row r="993" spans="1:25" ht="15" customHeight="1" x14ac:dyDescent="0.35">
      <c r="A993" s="52">
        <v>8013472</v>
      </c>
      <c r="B993" s="51">
        <v>46120</v>
      </c>
      <c r="C993" s="7" t="s">
        <v>124</v>
      </c>
      <c r="D993" s="10">
        <f>IFERROR(SUMIFS('Base bordo'!G$2:G$746,'Base bordo'!C$2:C$746,A993,'Base bordo'!B$2:B$746,B993,'Base bordo'!F$2:F$746,"DESLOCAMENTO VAZIO"),0)</f>
        <v>0.57944444444444443</v>
      </c>
      <c r="E993" s="10">
        <f>IFERROR(SUMIFS('Base bordo'!G$2:G$746,'Base bordo'!C$2:C$746,A993,'Base bordo'!B$2:B$746,B993,'Base bordo'!F$2:F$746,"DESLOCAMENTO CARREGADO"),0)</f>
        <v>0</v>
      </c>
      <c r="F993" s="10">
        <f>IFERROR(SUMIFS('Base bordo'!G$2:G$746,'Base bordo'!C$2:C$746,A993,'Base bordo'!B$2:B$746,B993,'Base bordo'!F$2:F$746,"DESLOCAMENTO"),0)</f>
        <v>0</v>
      </c>
      <c r="G993" s="10">
        <f>IFERROR(SUMIFS('Base bordo'!G$2:G$746,'Base bordo'!C$2:C$746,A993,'Base bordo'!B$2:B$746,B993,'Base bordo'!F$2:F$746,"CARREGAMENTO"),0)</f>
        <v>0</v>
      </c>
      <c r="H993" s="10">
        <f>IFERROR(SUMIFS('Base bordo'!G$2:G$746,'Base bordo'!C$2:C$746,A993,'Base bordo'!B$2:B$746,B993,'Base bordo'!F$2:F$746,"AGUARDANDO TRANSBORDO"),0)</f>
        <v>0</v>
      </c>
      <c r="I993" s="10">
        <f>IFERROR(SUMIFS('Base bordo'!G$2:G$746,'Base bordo'!C$2:C$746,A993,'Base bordo'!B$2:B$746,B993,'Base bordo'!F$2:F$746,"PÁTIO INTERNO"),0)+IFERROR(SUMIFS('Base bordo'!G$2:G$746,'Base bordo'!C$2:C$746,A993,'Base bordo'!B$2:B$746,B993,'Base bordo'!F$2:F$746,"PÁTIO EXTERNO"),0)+IFERROR(SUMIFS('Base bordo'!G$2:G$746,'Base bordo'!C$2:C$746,A993,'Base bordo'!B$2:B$746,B993,'Base bordo'!F$2:F$746,"PATIO - RESERVA"),0)+IFERROR(SUMIFS('Base bordo'!G$2:G$746,'Base bordo'!C$2:C$746,A993,'Base bordo'!B$2:B$746,B993,'Base bordo'!F$2:F$746,"MANOBRA CARRETAS-PATIO"),0)</f>
        <v>0</v>
      </c>
      <c r="J993" s="10">
        <f>IFERROR(SUMIFS('Base bordo'!G$2:G$746,'Base bordo'!C$2:C$746,A993,'Base bordo'!B$2:B$746,B993,'Base bordo'!F$2:F$746,"BALANÇA - ENTRADA"),0)+IFERROR(SUMIFS('Base bordo'!G$2:G$746,'Base bordo'!C$2:C$746,A993,'Base bordo'!B$2:B$746,B993,'Base bordo'!F$2:F$746,"BALANÇA - SAÍDA"),0)</f>
        <v>0</v>
      </c>
      <c r="K993" s="10">
        <f>IFERROR(SUMIFS('Base bordo'!G$2:G$746,'Base bordo'!C$2:C$746,A993,'Base bordo'!B$2:B$746,B993,'Base bordo'!F$2:F$746,"MAN PREVENTIVA - MECANICA"),0)+IFERROR(SUMIFS('Base bordo'!G$2:G$746,'Base bordo'!C$2:C$746,A993,'Base bordo'!B$2:B$746,B993,'Base bordo'!F$2:F$746,"MAN CORRETIVA - MECANICA"),0)</f>
        <v>0</v>
      </c>
      <c r="L993" s="10">
        <f>IFERROR(SUMIFS('Base bordo'!G$2:G$746,'Base bordo'!C$2:C$746,A993,'Base bordo'!B$2:B$746,B993,'Base bordo'!F$2:F$746,"MANUTENCAO - T O"),0)+IFERROR(SUMIFS('Base bordo'!G$2:G$746,'Base bordo'!C$2:C$746,A993,'Base bordo'!B$2:B$746,B993,'Base bordo'!F$2:F$746,"MANUTENCAO BORRACHARIA"),0)+IFERROR(SUMIFS('Base bordo'!G$2:G$746,'Base bordo'!C$2:C$746,A993,'Base bordo'!B$2:B$746,B993,'Base bordo'!F$2:F$746,"MANUTENCAO EXTERNA  CONCESSIONARIA"),0)+IFERROR(SUMIFS('Base bordo'!G$2:G$746,'Base bordo'!C$2:C$746,A993,'Base bordo'!B$2:B$746,B993,'Base bordo'!F$2:F$746,"MANUTENCAO TELEMETRIA"),0)</f>
        <v>0</v>
      </c>
      <c r="M993" s="10">
        <f>IFERROR(SUMIFS('Base bordo'!G$2:G$746,'Base bordo'!C$2:C$746,A993,'Base bordo'!B$2:B$746,B993,'Base bordo'!F$2:F$746,"AGUARDANDO MANUTENCAO"),0)</f>
        <v>0</v>
      </c>
      <c r="N993" s="10">
        <f>IFERROR(SUMIFS('Base bordo'!G$2:G$746,'Base bordo'!C$2:C$746,A993,'Base bordo'!B$2:B$746,B993,'Base bordo'!F$2:F$746,"SEM APONTAMENTO"),0)</f>
        <v>0</v>
      </c>
      <c r="O993" s="10">
        <f t="shared" si="102"/>
        <v>7.9047222222222224</v>
      </c>
      <c r="P993" s="10">
        <f>IFERROR(SUMIFS('Base bordo'!G$2:G$746,'Base bordo'!C$2:C$746,A993,'Base bordo'!B$2:B$746,B993),0)</f>
        <v>8.4841666666666669</v>
      </c>
      <c r="Q993" s="10">
        <f>IFERROR(SUMIFS('Base bordo'!H$2:H$746,'Base bordo'!C$2:C$746,A993,'Base bordo'!B$2:B$746,B993,'Base bordo'!F$2:F$746,"DESLOCAMENTO VAZIO"),0)</f>
        <v>71647.22</v>
      </c>
      <c r="R993" s="10">
        <f>IFERROR(SUMIFS('Base bordo'!I$2:I$746,'Base bordo'!C$2:C$746,A993,'Base bordo'!B$2:B$746,B993,'Base bordo'!F$2:F$746,"DESLOCAMENTO VAZIO"),0)</f>
        <v>2086</v>
      </c>
      <c r="S993" s="30">
        <f t="shared" si="103"/>
        <v>34.346701821668262</v>
      </c>
      <c r="T993" s="10">
        <f>IFERROR(SUMIFS('Base bordo'!H$2:H$746,'Base bordo'!C$2:C$746,A993,'Base bordo'!B$2:B$746,B993,'Base bordo'!F$2:F$746,"DESLOCAMENTO CARREGADO"),0)</f>
        <v>0</v>
      </c>
      <c r="U993" s="10">
        <f>IFERROR(SUMIFS('Base bordo'!I$2:I$746,'Base bordo'!C$2:C$746,A993,'Base bordo'!B$2:B$746,B993,'Base bordo'!F$2:F$746,"DESLOCAMENTO CARREGADO"),0)</f>
        <v>0</v>
      </c>
      <c r="V993" s="30" t="str">
        <f t="shared" si="104"/>
        <v/>
      </c>
      <c r="W993" s="9">
        <f t="shared" si="105"/>
        <v>6.8297154830894144E-2</v>
      </c>
      <c r="X993" s="9">
        <f t="shared" si="106"/>
        <v>0</v>
      </c>
      <c r="Y993" s="9">
        <f t="shared" si="107"/>
        <v>0.93170284516910584</v>
      </c>
    </row>
    <row r="994" spans="1:25" ht="15" customHeight="1" x14ac:dyDescent="0.35">
      <c r="A994" s="52">
        <v>8013473</v>
      </c>
      <c r="B994" s="51">
        <v>46120</v>
      </c>
      <c r="C994" s="7" t="s">
        <v>124</v>
      </c>
      <c r="D994" s="10">
        <f>IFERROR(SUMIFS('Base bordo'!G$2:G$746,'Base bordo'!C$2:C$746,A994,'Base bordo'!B$2:B$746,B994,'Base bordo'!F$2:F$746,"DESLOCAMENTO VAZIO"),0)</f>
        <v>0</v>
      </c>
      <c r="E994" s="10">
        <f>IFERROR(SUMIFS('Base bordo'!G$2:G$746,'Base bordo'!C$2:C$746,A994,'Base bordo'!B$2:B$746,B994,'Base bordo'!F$2:F$746,"DESLOCAMENTO CARREGADO"),0)</f>
        <v>0</v>
      </c>
      <c r="F994" s="10">
        <f>IFERROR(SUMIFS('Base bordo'!G$2:G$746,'Base bordo'!C$2:C$746,A994,'Base bordo'!B$2:B$746,B994,'Base bordo'!F$2:F$746,"DESLOCAMENTO"),0)</f>
        <v>0</v>
      </c>
      <c r="G994" s="10">
        <f>IFERROR(SUMIFS('Base bordo'!G$2:G$746,'Base bordo'!C$2:C$746,A994,'Base bordo'!B$2:B$746,B994,'Base bordo'!F$2:F$746,"CARREGAMENTO"),0)</f>
        <v>0</v>
      </c>
      <c r="H994" s="10">
        <f>IFERROR(SUMIFS('Base bordo'!G$2:G$746,'Base bordo'!C$2:C$746,A994,'Base bordo'!B$2:B$746,B994,'Base bordo'!F$2:F$746,"AGUARDANDO TRANSBORDO"),0)</f>
        <v>0</v>
      </c>
      <c r="I994" s="10">
        <f>IFERROR(SUMIFS('Base bordo'!G$2:G$746,'Base bordo'!C$2:C$746,A994,'Base bordo'!B$2:B$746,B994,'Base bordo'!F$2:F$746,"PÁTIO INTERNO"),0)+IFERROR(SUMIFS('Base bordo'!G$2:G$746,'Base bordo'!C$2:C$746,A994,'Base bordo'!B$2:B$746,B994,'Base bordo'!F$2:F$746,"PÁTIO EXTERNO"),0)+IFERROR(SUMIFS('Base bordo'!G$2:G$746,'Base bordo'!C$2:C$746,A994,'Base bordo'!B$2:B$746,B994,'Base bordo'!F$2:F$746,"PATIO - RESERVA"),0)+IFERROR(SUMIFS('Base bordo'!G$2:G$746,'Base bordo'!C$2:C$746,A994,'Base bordo'!B$2:B$746,B994,'Base bordo'!F$2:F$746,"MANOBRA CARRETAS-PATIO"),0)</f>
        <v>0</v>
      </c>
      <c r="J994" s="10">
        <f>IFERROR(SUMIFS('Base bordo'!G$2:G$746,'Base bordo'!C$2:C$746,A994,'Base bordo'!B$2:B$746,B994,'Base bordo'!F$2:F$746,"BALANÇA - ENTRADA"),0)+IFERROR(SUMIFS('Base bordo'!G$2:G$746,'Base bordo'!C$2:C$746,A994,'Base bordo'!B$2:B$746,B994,'Base bordo'!F$2:F$746,"BALANÇA - SAÍDA"),0)</f>
        <v>0</v>
      </c>
      <c r="K994" s="10">
        <f>IFERROR(SUMIFS('Base bordo'!G$2:G$746,'Base bordo'!C$2:C$746,A994,'Base bordo'!B$2:B$746,B994,'Base bordo'!F$2:F$746,"MAN PREVENTIVA - MECANICA"),0)+IFERROR(SUMIFS('Base bordo'!G$2:G$746,'Base bordo'!C$2:C$746,A994,'Base bordo'!B$2:B$746,B994,'Base bordo'!F$2:F$746,"MAN CORRETIVA - MECANICA"),0)</f>
        <v>0</v>
      </c>
      <c r="L994" s="10">
        <f>IFERROR(SUMIFS('Base bordo'!G$2:G$746,'Base bordo'!C$2:C$746,A994,'Base bordo'!B$2:B$746,B994,'Base bordo'!F$2:F$746,"MANUTENCAO - T O"),0)+IFERROR(SUMIFS('Base bordo'!G$2:G$746,'Base bordo'!C$2:C$746,A994,'Base bordo'!B$2:B$746,B994,'Base bordo'!F$2:F$746,"MANUTENCAO BORRACHARIA"),0)+IFERROR(SUMIFS('Base bordo'!G$2:G$746,'Base bordo'!C$2:C$746,A994,'Base bordo'!B$2:B$746,B994,'Base bordo'!F$2:F$746,"MANUTENCAO EXTERNA  CONCESSIONARIA"),0)+IFERROR(SUMIFS('Base bordo'!G$2:G$746,'Base bordo'!C$2:C$746,A994,'Base bordo'!B$2:B$746,B994,'Base bordo'!F$2:F$746,"MANUTENCAO TELEMETRIA"),0)</f>
        <v>0</v>
      </c>
      <c r="M994" s="10">
        <f>IFERROR(SUMIFS('Base bordo'!G$2:G$746,'Base bordo'!C$2:C$746,A994,'Base bordo'!B$2:B$746,B994,'Base bordo'!F$2:F$746,"AGUARDANDO MANUTENCAO"),0)</f>
        <v>0</v>
      </c>
      <c r="N994" s="10">
        <f>IFERROR(SUMIFS('Base bordo'!G$2:G$746,'Base bordo'!C$2:C$746,A994,'Base bordo'!B$2:B$746,B994,'Base bordo'!F$2:F$746,"SEM APONTAMENTO"),0)</f>
        <v>0</v>
      </c>
      <c r="O994" s="10">
        <f t="shared" si="102"/>
        <v>0</v>
      </c>
      <c r="P994" s="10">
        <f>IFERROR(SUMIFS('Base bordo'!G$2:G$746,'Base bordo'!C$2:C$746,A994,'Base bordo'!B$2:B$746,B994),0)</f>
        <v>0</v>
      </c>
      <c r="Q994" s="10">
        <f>IFERROR(SUMIFS('Base bordo'!H$2:H$746,'Base bordo'!C$2:C$746,A994,'Base bordo'!B$2:B$746,B994,'Base bordo'!F$2:F$746,"DESLOCAMENTO VAZIO"),0)</f>
        <v>0</v>
      </c>
      <c r="R994" s="10">
        <f>IFERROR(SUMIFS('Base bordo'!I$2:I$746,'Base bordo'!C$2:C$746,A994,'Base bordo'!B$2:B$746,B994,'Base bordo'!F$2:F$746,"DESLOCAMENTO VAZIO"),0)</f>
        <v>0</v>
      </c>
      <c r="S994" s="30" t="str">
        <f t="shared" si="103"/>
        <v/>
      </c>
      <c r="T994" s="10">
        <f>IFERROR(SUMIFS('Base bordo'!H$2:H$746,'Base bordo'!C$2:C$746,A994,'Base bordo'!B$2:B$746,B994,'Base bordo'!F$2:F$746,"DESLOCAMENTO CARREGADO"),0)</f>
        <v>0</v>
      </c>
      <c r="U994" s="10">
        <f>IFERROR(SUMIFS('Base bordo'!I$2:I$746,'Base bordo'!C$2:C$746,A994,'Base bordo'!B$2:B$746,B994,'Base bordo'!F$2:F$746,"DESLOCAMENTO CARREGADO"),0)</f>
        <v>0</v>
      </c>
      <c r="V994" s="30" t="str">
        <f t="shared" si="104"/>
        <v/>
      </c>
      <c r="W994" s="9">
        <f t="shared" si="105"/>
        <v>0</v>
      </c>
      <c r="X994" s="9">
        <f t="shared" si="106"/>
        <v>0</v>
      </c>
      <c r="Y994" s="9">
        <f t="shared" si="107"/>
        <v>0</v>
      </c>
    </row>
    <row r="995" spans="1:25" ht="15" customHeight="1" x14ac:dyDescent="0.35">
      <c r="A995" s="52">
        <v>8013473</v>
      </c>
      <c r="B995" s="51">
        <v>46120</v>
      </c>
      <c r="C995" s="7" t="s">
        <v>124</v>
      </c>
      <c r="D995" s="10">
        <f>IFERROR(SUMIFS('Base bordo'!G$2:G$746,'Base bordo'!C$2:C$746,A995,'Base bordo'!B$2:B$746,B995,'Base bordo'!F$2:F$746,"DESLOCAMENTO VAZIO"),0)</f>
        <v>0</v>
      </c>
      <c r="E995" s="10">
        <f>IFERROR(SUMIFS('Base bordo'!G$2:G$746,'Base bordo'!C$2:C$746,A995,'Base bordo'!B$2:B$746,B995,'Base bordo'!F$2:F$746,"DESLOCAMENTO CARREGADO"),0)</f>
        <v>0</v>
      </c>
      <c r="F995" s="10">
        <f>IFERROR(SUMIFS('Base bordo'!G$2:G$746,'Base bordo'!C$2:C$746,A995,'Base bordo'!B$2:B$746,B995,'Base bordo'!F$2:F$746,"DESLOCAMENTO"),0)</f>
        <v>0</v>
      </c>
      <c r="G995" s="10">
        <f>IFERROR(SUMIFS('Base bordo'!G$2:G$746,'Base bordo'!C$2:C$746,A995,'Base bordo'!B$2:B$746,B995,'Base bordo'!F$2:F$746,"CARREGAMENTO"),0)</f>
        <v>0</v>
      </c>
      <c r="H995" s="10">
        <f>IFERROR(SUMIFS('Base bordo'!G$2:G$746,'Base bordo'!C$2:C$746,A995,'Base bordo'!B$2:B$746,B995,'Base bordo'!F$2:F$746,"AGUARDANDO TRANSBORDO"),0)</f>
        <v>0</v>
      </c>
      <c r="I995" s="10">
        <f>IFERROR(SUMIFS('Base bordo'!G$2:G$746,'Base bordo'!C$2:C$746,A995,'Base bordo'!B$2:B$746,B995,'Base bordo'!F$2:F$746,"PÁTIO INTERNO"),0)+IFERROR(SUMIFS('Base bordo'!G$2:G$746,'Base bordo'!C$2:C$746,A995,'Base bordo'!B$2:B$746,B995,'Base bordo'!F$2:F$746,"PÁTIO EXTERNO"),0)+IFERROR(SUMIFS('Base bordo'!G$2:G$746,'Base bordo'!C$2:C$746,A995,'Base bordo'!B$2:B$746,B995,'Base bordo'!F$2:F$746,"PATIO - RESERVA"),0)+IFERROR(SUMIFS('Base bordo'!G$2:G$746,'Base bordo'!C$2:C$746,A995,'Base bordo'!B$2:B$746,B995,'Base bordo'!F$2:F$746,"MANOBRA CARRETAS-PATIO"),0)</f>
        <v>0</v>
      </c>
      <c r="J995" s="10">
        <f>IFERROR(SUMIFS('Base bordo'!G$2:G$746,'Base bordo'!C$2:C$746,A995,'Base bordo'!B$2:B$746,B995,'Base bordo'!F$2:F$746,"BALANÇA - ENTRADA"),0)+IFERROR(SUMIFS('Base bordo'!G$2:G$746,'Base bordo'!C$2:C$746,A995,'Base bordo'!B$2:B$746,B995,'Base bordo'!F$2:F$746,"BALANÇA - SAÍDA"),0)</f>
        <v>0</v>
      </c>
      <c r="K995" s="10">
        <f>IFERROR(SUMIFS('Base bordo'!G$2:G$746,'Base bordo'!C$2:C$746,A995,'Base bordo'!B$2:B$746,B995,'Base bordo'!F$2:F$746,"MAN PREVENTIVA - MECANICA"),0)+IFERROR(SUMIFS('Base bordo'!G$2:G$746,'Base bordo'!C$2:C$746,A995,'Base bordo'!B$2:B$746,B995,'Base bordo'!F$2:F$746,"MAN CORRETIVA - MECANICA"),0)</f>
        <v>0</v>
      </c>
      <c r="L995" s="10">
        <f>IFERROR(SUMIFS('Base bordo'!G$2:G$746,'Base bordo'!C$2:C$746,A995,'Base bordo'!B$2:B$746,B995,'Base bordo'!F$2:F$746,"MANUTENCAO - T O"),0)+IFERROR(SUMIFS('Base bordo'!G$2:G$746,'Base bordo'!C$2:C$746,A995,'Base bordo'!B$2:B$746,B995,'Base bordo'!F$2:F$746,"MANUTENCAO BORRACHARIA"),0)+IFERROR(SUMIFS('Base bordo'!G$2:G$746,'Base bordo'!C$2:C$746,A995,'Base bordo'!B$2:B$746,B995,'Base bordo'!F$2:F$746,"MANUTENCAO EXTERNA  CONCESSIONARIA"),0)+IFERROR(SUMIFS('Base bordo'!G$2:G$746,'Base bordo'!C$2:C$746,A995,'Base bordo'!B$2:B$746,B995,'Base bordo'!F$2:F$746,"MANUTENCAO TELEMETRIA"),0)</f>
        <v>0</v>
      </c>
      <c r="M995" s="10">
        <f>IFERROR(SUMIFS('Base bordo'!G$2:G$746,'Base bordo'!C$2:C$746,A995,'Base bordo'!B$2:B$746,B995,'Base bordo'!F$2:F$746,"AGUARDANDO MANUTENCAO"),0)</f>
        <v>0</v>
      </c>
      <c r="N995" s="10">
        <f>IFERROR(SUMIFS('Base bordo'!G$2:G$746,'Base bordo'!C$2:C$746,A995,'Base bordo'!B$2:B$746,B995,'Base bordo'!F$2:F$746,"SEM APONTAMENTO"),0)</f>
        <v>0</v>
      </c>
      <c r="O995" s="10">
        <f t="shared" si="102"/>
        <v>0</v>
      </c>
      <c r="P995" s="10">
        <f>IFERROR(SUMIFS('Base bordo'!G$2:G$746,'Base bordo'!C$2:C$746,A995,'Base bordo'!B$2:B$746,B995),0)</f>
        <v>0</v>
      </c>
      <c r="Q995" s="10">
        <f>IFERROR(SUMIFS('Base bordo'!H$2:H$746,'Base bordo'!C$2:C$746,A995,'Base bordo'!B$2:B$746,B995,'Base bordo'!F$2:F$746,"DESLOCAMENTO VAZIO"),0)</f>
        <v>0</v>
      </c>
      <c r="R995" s="10">
        <f>IFERROR(SUMIFS('Base bordo'!I$2:I$746,'Base bordo'!C$2:C$746,A995,'Base bordo'!B$2:B$746,B995,'Base bordo'!F$2:F$746,"DESLOCAMENTO VAZIO"),0)</f>
        <v>0</v>
      </c>
      <c r="S995" s="30" t="str">
        <f t="shared" si="103"/>
        <v/>
      </c>
      <c r="T995" s="10">
        <f>IFERROR(SUMIFS('Base bordo'!H$2:H$746,'Base bordo'!C$2:C$746,A995,'Base bordo'!B$2:B$746,B995,'Base bordo'!F$2:F$746,"DESLOCAMENTO CARREGADO"),0)</f>
        <v>0</v>
      </c>
      <c r="U995" s="10">
        <f>IFERROR(SUMIFS('Base bordo'!I$2:I$746,'Base bordo'!C$2:C$746,A995,'Base bordo'!B$2:B$746,B995,'Base bordo'!F$2:F$746,"DESLOCAMENTO CARREGADO"),0)</f>
        <v>0</v>
      </c>
      <c r="V995" s="30" t="str">
        <f t="shared" si="104"/>
        <v/>
      </c>
      <c r="W995" s="9">
        <f t="shared" si="105"/>
        <v>0</v>
      </c>
      <c r="X995" s="9">
        <f t="shared" si="106"/>
        <v>0</v>
      </c>
      <c r="Y995" s="9">
        <f t="shared" si="107"/>
        <v>0</v>
      </c>
    </row>
    <row r="996" spans="1:25" ht="15" customHeight="1" x14ac:dyDescent="0.35">
      <c r="A996" s="52">
        <v>8013474</v>
      </c>
      <c r="B996" s="51">
        <v>46120</v>
      </c>
      <c r="C996" s="7" t="s">
        <v>124</v>
      </c>
      <c r="D996" s="10">
        <f>IFERROR(SUMIFS('Base bordo'!G$2:G$746,'Base bordo'!C$2:C$746,A996,'Base bordo'!B$2:B$746,B996,'Base bordo'!F$2:F$746,"DESLOCAMENTO VAZIO"),0)</f>
        <v>0</v>
      </c>
      <c r="E996" s="10">
        <f>IFERROR(SUMIFS('Base bordo'!G$2:G$746,'Base bordo'!C$2:C$746,A996,'Base bordo'!B$2:B$746,B996,'Base bordo'!F$2:F$746,"DESLOCAMENTO CARREGADO"),0)</f>
        <v>0</v>
      </c>
      <c r="F996" s="10">
        <f>IFERROR(SUMIFS('Base bordo'!G$2:G$746,'Base bordo'!C$2:C$746,A996,'Base bordo'!B$2:B$746,B996,'Base bordo'!F$2:F$746,"DESLOCAMENTO"),0)</f>
        <v>0</v>
      </c>
      <c r="G996" s="10">
        <f>IFERROR(SUMIFS('Base bordo'!G$2:G$746,'Base bordo'!C$2:C$746,A996,'Base bordo'!B$2:B$746,B996,'Base bordo'!F$2:F$746,"CARREGAMENTO"),0)</f>
        <v>0</v>
      </c>
      <c r="H996" s="10">
        <f>IFERROR(SUMIFS('Base bordo'!G$2:G$746,'Base bordo'!C$2:C$746,A996,'Base bordo'!B$2:B$746,B996,'Base bordo'!F$2:F$746,"AGUARDANDO TRANSBORDO"),0)</f>
        <v>0</v>
      </c>
      <c r="I996" s="10">
        <f>IFERROR(SUMIFS('Base bordo'!G$2:G$746,'Base bordo'!C$2:C$746,A996,'Base bordo'!B$2:B$746,B996,'Base bordo'!F$2:F$746,"PÁTIO INTERNO"),0)+IFERROR(SUMIFS('Base bordo'!G$2:G$746,'Base bordo'!C$2:C$746,A996,'Base bordo'!B$2:B$746,B996,'Base bordo'!F$2:F$746,"PÁTIO EXTERNO"),0)+IFERROR(SUMIFS('Base bordo'!G$2:G$746,'Base bordo'!C$2:C$746,A996,'Base bordo'!B$2:B$746,B996,'Base bordo'!F$2:F$746,"PATIO - RESERVA"),0)+IFERROR(SUMIFS('Base bordo'!G$2:G$746,'Base bordo'!C$2:C$746,A996,'Base bordo'!B$2:B$746,B996,'Base bordo'!F$2:F$746,"MANOBRA CARRETAS-PATIO"),0)</f>
        <v>0</v>
      </c>
      <c r="J996" s="10">
        <f>IFERROR(SUMIFS('Base bordo'!G$2:G$746,'Base bordo'!C$2:C$746,A996,'Base bordo'!B$2:B$746,B996,'Base bordo'!F$2:F$746,"BALANÇA - ENTRADA"),0)+IFERROR(SUMIFS('Base bordo'!G$2:G$746,'Base bordo'!C$2:C$746,A996,'Base bordo'!B$2:B$746,B996,'Base bordo'!F$2:F$746,"BALANÇA - SAÍDA"),0)</f>
        <v>0</v>
      </c>
      <c r="K996" s="10">
        <f>IFERROR(SUMIFS('Base bordo'!G$2:G$746,'Base bordo'!C$2:C$746,A996,'Base bordo'!B$2:B$746,B996,'Base bordo'!F$2:F$746,"MAN PREVENTIVA - MECANICA"),0)+IFERROR(SUMIFS('Base bordo'!G$2:G$746,'Base bordo'!C$2:C$746,A996,'Base bordo'!B$2:B$746,B996,'Base bordo'!F$2:F$746,"MAN CORRETIVA - MECANICA"),0)</f>
        <v>0</v>
      </c>
      <c r="L996" s="10">
        <f>IFERROR(SUMIFS('Base bordo'!G$2:G$746,'Base bordo'!C$2:C$746,A996,'Base bordo'!B$2:B$746,B996,'Base bordo'!F$2:F$746,"MANUTENCAO - T O"),0)+IFERROR(SUMIFS('Base bordo'!G$2:G$746,'Base bordo'!C$2:C$746,A996,'Base bordo'!B$2:B$746,B996,'Base bordo'!F$2:F$746,"MANUTENCAO BORRACHARIA"),0)+IFERROR(SUMIFS('Base bordo'!G$2:G$746,'Base bordo'!C$2:C$746,A996,'Base bordo'!B$2:B$746,B996,'Base bordo'!F$2:F$746,"MANUTENCAO EXTERNA  CONCESSIONARIA"),0)+IFERROR(SUMIFS('Base bordo'!G$2:G$746,'Base bordo'!C$2:C$746,A996,'Base bordo'!B$2:B$746,B996,'Base bordo'!F$2:F$746,"MANUTENCAO TELEMETRIA"),0)</f>
        <v>0</v>
      </c>
      <c r="M996" s="10">
        <f>IFERROR(SUMIFS('Base bordo'!G$2:G$746,'Base bordo'!C$2:C$746,A996,'Base bordo'!B$2:B$746,B996,'Base bordo'!F$2:F$746,"AGUARDANDO MANUTENCAO"),0)</f>
        <v>0</v>
      </c>
      <c r="N996" s="10">
        <f>IFERROR(SUMIFS('Base bordo'!G$2:G$746,'Base bordo'!C$2:C$746,A996,'Base bordo'!B$2:B$746,B996,'Base bordo'!F$2:F$746,"SEM APONTAMENTO"),0)</f>
        <v>0</v>
      </c>
      <c r="O996" s="10">
        <f t="shared" si="102"/>
        <v>0</v>
      </c>
      <c r="P996" s="10">
        <f>IFERROR(SUMIFS('Base bordo'!G$2:G$746,'Base bordo'!C$2:C$746,A996,'Base bordo'!B$2:B$746,B996),0)</f>
        <v>0</v>
      </c>
      <c r="Q996" s="10">
        <f>IFERROR(SUMIFS('Base bordo'!H$2:H$746,'Base bordo'!C$2:C$746,A996,'Base bordo'!B$2:B$746,B996,'Base bordo'!F$2:F$746,"DESLOCAMENTO VAZIO"),0)</f>
        <v>0</v>
      </c>
      <c r="R996" s="10">
        <f>IFERROR(SUMIFS('Base bordo'!I$2:I$746,'Base bordo'!C$2:C$746,A996,'Base bordo'!B$2:B$746,B996,'Base bordo'!F$2:F$746,"DESLOCAMENTO VAZIO"),0)</f>
        <v>0</v>
      </c>
      <c r="S996" s="30" t="str">
        <f t="shared" si="103"/>
        <v/>
      </c>
      <c r="T996" s="10">
        <f>IFERROR(SUMIFS('Base bordo'!H$2:H$746,'Base bordo'!C$2:C$746,A996,'Base bordo'!B$2:B$746,B996,'Base bordo'!F$2:F$746,"DESLOCAMENTO CARREGADO"),0)</f>
        <v>0</v>
      </c>
      <c r="U996" s="10">
        <f>IFERROR(SUMIFS('Base bordo'!I$2:I$746,'Base bordo'!C$2:C$746,A996,'Base bordo'!B$2:B$746,B996,'Base bordo'!F$2:F$746,"DESLOCAMENTO CARREGADO"),0)</f>
        <v>0</v>
      </c>
      <c r="V996" s="30" t="str">
        <f t="shared" si="104"/>
        <v/>
      </c>
      <c r="W996" s="9">
        <f t="shared" si="105"/>
        <v>0</v>
      </c>
      <c r="X996" s="9">
        <f t="shared" si="106"/>
        <v>0</v>
      </c>
      <c r="Y996" s="9">
        <f t="shared" si="107"/>
        <v>0</v>
      </c>
    </row>
    <row r="997" spans="1:25" ht="15" customHeight="1" x14ac:dyDescent="0.35">
      <c r="A997" s="52">
        <v>8013475</v>
      </c>
      <c r="B997" s="51">
        <v>46120</v>
      </c>
      <c r="C997" s="7" t="s">
        <v>124</v>
      </c>
      <c r="D997" s="10">
        <f>IFERROR(SUMIFS('Base bordo'!G$2:G$746,'Base bordo'!C$2:C$746,A997,'Base bordo'!B$2:B$746,B997,'Base bordo'!F$2:F$746,"DESLOCAMENTO VAZIO"),0)</f>
        <v>0</v>
      </c>
      <c r="E997" s="10">
        <f>IFERROR(SUMIFS('Base bordo'!G$2:G$746,'Base bordo'!C$2:C$746,A997,'Base bordo'!B$2:B$746,B997,'Base bordo'!F$2:F$746,"DESLOCAMENTO CARREGADO"),0)</f>
        <v>0</v>
      </c>
      <c r="F997" s="10">
        <f>IFERROR(SUMIFS('Base bordo'!G$2:G$746,'Base bordo'!C$2:C$746,A997,'Base bordo'!B$2:B$746,B997,'Base bordo'!F$2:F$746,"DESLOCAMENTO"),0)</f>
        <v>0</v>
      </c>
      <c r="G997" s="10">
        <f>IFERROR(SUMIFS('Base bordo'!G$2:G$746,'Base bordo'!C$2:C$746,A997,'Base bordo'!B$2:B$746,B997,'Base bordo'!F$2:F$746,"CARREGAMENTO"),0)</f>
        <v>0</v>
      </c>
      <c r="H997" s="10">
        <f>IFERROR(SUMIFS('Base bordo'!G$2:G$746,'Base bordo'!C$2:C$746,A997,'Base bordo'!B$2:B$746,B997,'Base bordo'!F$2:F$746,"AGUARDANDO TRANSBORDO"),0)</f>
        <v>0</v>
      </c>
      <c r="I997" s="10">
        <f>IFERROR(SUMIFS('Base bordo'!G$2:G$746,'Base bordo'!C$2:C$746,A997,'Base bordo'!B$2:B$746,B997,'Base bordo'!F$2:F$746,"PÁTIO INTERNO"),0)+IFERROR(SUMIFS('Base bordo'!G$2:G$746,'Base bordo'!C$2:C$746,A997,'Base bordo'!B$2:B$746,B997,'Base bordo'!F$2:F$746,"PÁTIO EXTERNO"),0)+IFERROR(SUMIFS('Base bordo'!G$2:G$746,'Base bordo'!C$2:C$746,A997,'Base bordo'!B$2:B$746,B997,'Base bordo'!F$2:F$746,"PATIO - RESERVA"),0)+IFERROR(SUMIFS('Base bordo'!G$2:G$746,'Base bordo'!C$2:C$746,A997,'Base bordo'!B$2:B$746,B997,'Base bordo'!F$2:F$746,"MANOBRA CARRETAS-PATIO"),0)</f>
        <v>0</v>
      </c>
      <c r="J997" s="10">
        <f>IFERROR(SUMIFS('Base bordo'!G$2:G$746,'Base bordo'!C$2:C$746,A997,'Base bordo'!B$2:B$746,B997,'Base bordo'!F$2:F$746,"BALANÇA - ENTRADA"),0)+IFERROR(SUMIFS('Base bordo'!G$2:G$746,'Base bordo'!C$2:C$746,A997,'Base bordo'!B$2:B$746,B997,'Base bordo'!F$2:F$746,"BALANÇA - SAÍDA"),0)</f>
        <v>0</v>
      </c>
      <c r="K997" s="10">
        <f>IFERROR(SUMIFS('Base bordo'!G$2:G$746,'Base bordo'!C$2:C$746,A997,'Base bordo'!B$2:B$746,B997,'Base bordo'!F$2:F$746,"MAN PREVENTIVA - MECANICA"),0)+IFERROR(SUMIFS('Base bordo'!G$2:G$746,'Base bordo'!C$2:C$746,A997,'Base bordo'!B$2:B$746,B997,'Base bordo'!F$2:F$746,"MAN CORRETIVA - MECANICA"),0)</f>
        <v>0</v>
      </c>
      <c r="L997" s="10">
        <f>IFERROR(SUMIFS('Base bordo'!G$2:G$746,'Base bordo'!C$2:C$746,A997,'Base bordo'!B$2:B$746,B997,'Base bordo'!F$2:F$746,"MANUTENCAO - T O"),0)+IFERROR(SUMIFS('Base bordo'!G$2:G$746,'Base bordo'!C$2:C$746,A997,'Base bordo'!B$2:B$746,B997,'Base bordo'!F$2:F$746,"MANUTENCAO BORRACHARIA"),0)+IFERROR(SUMIFS('Base bordo'!G$2:G$746,'Base bordo'!C$2:C$746,A997,'Base bordo'!B$2:B$746,B997,'Base bordo'!F$2:F$746,"MANUTENCAO EXTERNA  CONCESSIONARIA"),0)+IFERROR(SUMIFS('Base bordo'!G$2:G$746,'Base bordo'!C$2:C$746,A997,'Base bordo'!B$2:B$746,B997,'Base bordo'!F$2:F$746,"MANUTENCAO TELEMETRIA"),0)</f>
        <v>0</v>
      </c>
      <c r="M997" s="10">
        <f>IFERROR(SUMIFS('Base bordo'!G$2:G$746,'Base bordo'!C$2:C$746,A997,'Base bordo'!B$2:B$746,B997,'Base bordo'!F$2:F$746,"AGUARDANDO MANUTENCAO"),0)</f>
        <v>0</v>
      </c>
      <c r="N997" s="10">
        <f>IFERROR(SUMIFS('Base bordo'!G$2:G$746,'Base bordo'!C$2:C$746,A997,'Base bordo'!B$2:B$746,B997,'Base bordo'!F$2:F$746,"SEM APONTAMENTO"),0)</f>
        <v>0</v>
      </c>
      <c r="O997" s="10">
        <f t="shared" si="102"/>
        <v>0</v>
      </c>
      <c r="P997" s="10">
        <f>IFERROR(SUMIFS('Base bordo'!G$2:G$746,'Base bordo'!C$2:C$746,A997,'Base bordo'!B$2:B$746,B997),0)</f>
        <v>0</v>
      </c>
      <c r="Q997" s="10">
        <f>IFERROR(SUMIFS('Base bordo'!H$2:H$746,'Base bordo'!C$2:C$746,A997,'Base bordo'!B$2:B$746,B997,'Base bordo'!F$2:F$746,"DESLOCAMENTO VAZIO"),0)</f>
        <v>0</v>
      </c>
      <c r="R997" s="10">
        <f>IFERROR(SUMIFS('Base bordo'!I$2:I$746,'Base bordo'!C$2:C$746,A997,'Base bordo'!B$2:B$746,B997,'Base bordo'!F$2:F$746,"DESLOCAMENTO VAZIO"),0)</f>
        <v>0</v>
      </c>
      <c r="S997" s="30" t="str">
        <f t="shared" si="103"/>
        <v/>
      </c>
      <c r="T997" s="10">
        <f>IFERROR(SUMIFS('Base bordo'!H$2:H$746,'Base bordo'!C$2:C$746,A997,'Base bordo'!B$2:B$746,B997,'Base bordo'!F$2:F$746,"DESLOCAMENTO CARREGADO"),0)</f>
        <v>0</v>
      </c>
      <c r="U997" s="10">
        <f>IFERROR(SUMIFS('Base bordo'!I$2:I$746,'Base bordo'!C$2:C$746,A997,'Base bordo'!B$2:B$746,B997,'Base bordo'!F$2:F$746,"DESLOCAMENTO CARREGADO"),0)</f>
        <v>0</v>
      </c>
      <c r="V997" s="30" t="str">
        <f t="shared" si="104"/>
        <v/>
      </c>
      <c r="W997" s="9">
        <f t="shared" si="105"/>
        <v>0</v>
      </c>
      <c r="X997" s="9">
        <f t="shared" si="106"/>
        <v>0</v>
      </c>
      <c r="Y997" s="9">
        <f t="shared" si="107"/>
        <v>0</v>
      </c>
    </row>
    <row r="998" spans="1:25" ht="15" customHeight="1" x14ac:dyDescent="0.35">
      <c r="A998" s="52">
        <v>8013475</v>
      </c>
      <c r="B998" s="51">
        <v>46120</v>
      </c>
      <c r="C998" s="7" t="s">
        <v>124</v>
      </c>
      <c r="D998" s="10">
        <f>IFERROR(SUMIFS('Base bordo'!G$2:G$746,'Base bordo'!C$2:C$746,A998,'Base bordo'!B$2:B$746,B998,'Base bordo'!F$2:F$746,"DESLOCAMENTO VAZIO"),0)</f>
        <v>0</v>
      </c>
      <c r="E998" s="10">
        <f>IFERROR(SUMIFS('Base bordo'!G$2:G$746,'Base bordo'!C$2:C$746,A998,'Base bordo'!B$2:B$746,B998,'Base bordo'!F$2:F$746,"DESLOCAMENTO CARREGADO"),0)</f>
        <v>0</v>
      </c>
      <c r="F998" s="10">
        <f>IFERROR(SUMIFS('Base bordo'!G$2:G$746,'Base bordo'!C$2:C$746,A998,'Base bordo'!B$2:B$746,B998,'Base bordo'!F$2:F$746,"DESLOCAMENTO"),0)</f>
        <v>0</v>
      </c>
      <c r="G998" s="10">
        <f>IFERROR(SUMIFS('Base bordo'!G$2:G$746,'Base bordo'!C$2:C$746,A998,'Base bordo'!B$2:B$746,B998,'Base bordo'!F$2:F$746,"CARREGAMENTO"),0)</f>
        <v>0</v>
      </c>
      <c r="H998" s="10">
        <f>IFERROR(SUMIFS('Base bordo'!G$2:G$746,'Base bordo'!C$2:C$746,A998,'Base bordo'!B$2:B$746,B998,'Base bordo'!F$2:F$746,"AGUARDANDO TRANSBORDO"),0)</f>
        <v>0</v>
      </c>
      <c r="I998" s="10">
        <f>IFERROR(SUMIFS('Base bordo'!G$2:G$746,'Base bordo'!C$2:C$746,A998,'Base bordo'!B$2:B$746,B998,'Base bordo'!F$2:F$746,"PÁTIO INTERNO"),0)+IFERROR(SUMIFS('Base bordo'!G$2:G$746,'Base bordo'!C$2:C$746,A998,'Base bordo'!B$2:B$746,B998,'Base bordo'!F$2:F$746,"PÁTIO EXTERNO"),0)+IFERROR(SUMIFS('Base bordo'!G$2:G$746,'Base bordo'!C$2:C$746,A998,'Base bordo'!B$2:B$746,B998,'Base bordo'!F$2:F$746,"PATIO - RESERVA"),0)+IFERROR(SUMIFS('Base bordo'!G$2:G$746,'Base bordo'!C$2:C$746,A998,'Base bordo'!B$2:B$746,B998,'Base bordo'!F$2:F$746,"MANOBRA CARRETAS-PATIO"),0)</f>
        <v>0</v>
      </c>
      <c r="J998" s="10">
        <f>IFERROR(SUMIFS('Base bordo'!G$2:G$746,'Base bordo'!C$2:C$746,A998,'Base bordo'!B$2:B$746,B998,'Base bordo'!F$2:F$746,"BALANÇA - ENTRADA"),0)+IFERROR(SUMIFS('Base bordo'!G$2:G$746,'Base bordo'!C$2:C$746,A998,'Base bordo'!B$2:B$746,B998,'Base bordo'!F$2:F$746,"BALANÇA - SAÍDA"),0)</f>
        <v>0</v>
      </c>
      <c r="K998" s="10">
        <f>IFERROR(SUMIFS('Base bordo'!G$2:G$746,'Base bordo'!C$2:C$746,A998,'Base bordo'!B$2:B$746,B998,'Base bordo'!F$2:F$746,"MAN PREVENTIVA - MECANICA"),0)+IFERROR(SUMIFS('Base bordo'!G$2:G$746,'Base bordo'!C$2:C$746,A998,'Base bordo'!B$2:B$746,B998,'Base bordo'!F$2:F$746,"MAN CORRETIVA - MECANICA"),0)</f>
        <v>0</v>
      </c>
      <c r="L998" s="10">
        <f>IFERROR(SUMIFS('Base bordo'!G$2:G$746,'Base bordo'!C$2:C$746,A998,'Base bordo'!B$2:B$746,B998,'Base bordo'!F$2:F$746,"MANUTENCAO - T O"),0)+IFERROR(SUMIFS('Base bordo'!G$2:G$746,'Base bordo'!C$2:C$746,A998,'Base bordo'!B$2:B$746,B998,'Base bordo'!F$2:F$746,"MANUTENCAO BORRACHARIA"),0)+IFERROR(SUMIFS('Base bordo'!G$2:G$746,'Base bordo'!C$2:C$746,A998,'Base bordo'!B$2:B$746,B998,'Base bordo'!F$2:F$746,"MANUTENCAO EXTERNA  CONCESSIONARIA"),0)+IFERROR(SUMIFS('Base bordo'!G$2:G$746,'Base bordo'!C$2:C$746,A998,'Base bordo'!B$2:B$746,B998,'Base bordo'!F$2:F$746,"MANUTENCAO TELEMETRIA"),0)</f>
        <v>0</v>
      </c>
      <c r="M998" s="10">
        <f>IFERROR(SUMIFS('Base bordo'!G$2:G$746,'Base bordo'!C$2:C$746,A998,'Base bordo'!B$2:B$746,B998,'Base bordo'!F$2:F$746,"AGUARDANDO MANUTENCAO"),0)</f>
        <v>0</v>
      </c>
      <c r="N998" s="10">
        <f>IFERROR(SUMIFS('Base bordo'!G$2:G$746,'Base bordo'!C$2:C$746,A998,'Base bordo'!B$2:B$746,B998,'Base bordo'!F$2:F$746,"SEM APONTAMENTO"),0)</f>
        <v>0</v>
      </c>
      <c r="O998" s="10">
        <f t="shared" si="102"/>
        <v>0</v>
      </c>
      <c r="P998" s="10">
        <f>IFERROR(SUMIFS('Base bordo'!G$2:G$746,'Base bordo'!C$2:C$746,A998,'Base bordo'!B$2:B$746,B998),0)</f>
        <v>0</v>
      </c>
      <c r="Q998" s="10">
        <f>IFERROR(SUMIFS('Base bordo'!H$2:H$746,'Base bordo'!C$2:C$746,A998,'Base bordo'!B$2:B$746,B998,'Base bordo'!F$2:F$746,"DESLOCAMENTO VAZIO"),0)</f>
        <v>0</v>
      </c>
      <c r="R998" s="10">
        <f>IFERROR(SUMIFS('Base bordo'!I$2:I$746,'Base bordo'!C$2:C$746,A998,'Base bordo'!B$2:B$746,B998,'Base bordo'!F$2:F$746,"DESLOCAMENTO VAZIO"),0)</f>
        <v>0</v>
      </c>
      <c r="S998" s="30" t="str">
        <f t="shared" si="103"/>
        <v/>
      </c>
      <c r="T998" s="10">
        <f>IFERROR(SUMIFS('Base bordo'!H$2:H$746,'Base bordo'!C$2:C$746,A998,'Base bordo'!B$2:B$746,B998,'Base bordo'!F$2:F$746,"DESLOCAMENTO CARREGADO"),0)</f>
        <v>0</v>
      </c>
      <c r="U998" s="10">
        <f>IFERROR(SUMIFS('Base bordo'!I$2:I$746,'Base bordo'!C$2:C$746,A998,'Base bordo'!B$2:B$746,B998,'Base bordo'!F$2:F$746,"DESLOCAMENTO CARREGADO"),0)</f>
        <v>0</v>
      </c>
      <c r="V998" s="30" t="str">
        <f t="shared" si="104"/>
        <v/>
      </c>
      <c r="W998" s="9">
        <f t="shared" si="105"/>
        <v>0</v>
      </c>
      <c r="X998" s="9">
        <f t="shared" si="106"/>
        <v>0</v>
      </c>
      <c r="Y998" s="9">
        <f t="shared" si="107"/>
        <v>0</v>
      </c>
    </row>
    <row r="999" spans="1:25" ht="15" customHeight="1" x14ac:dyDescent="0.35">
      <c r="A999" s="52">
        <v>8013476</v>
      </c>
      <c r="B999" s="51">
        <v>46120</v>
      </c>
      <c r="C999" s="7" t="s">
        <v>124</v>
      </c>
      <c r="D999" s="10">
        <f>IFERROR(SUMIFS('Base bordo'!G$2:G$746,'Base bordo'!C$2:C$746,A999,'Base bordo'!B$2:B$746,B999,'Base bordo'!F$2:F$746,"DESLOCAMENTO VAZIO"),0)</f>
        <v>0</v>
      </c>
      <c r="E999" s="10">
        <f>IFERROR(SUMIFS('Base bordo'!G$2:G$746,'Base bordo'!C$2:C$746,A999,'Base bordo'!B$2:B$746,B999,'Base bordo'!F$2:F$746,"DESLOCAMENTO CARREGADO"),0)</f>
        <v>1.5577777777777777</v>
      </c>
      <c r="F999" s="10">
        <f>IFERROR(SUMIFS('Base bordo'!G$2:G$746,'Base bordo'!C$2:C$746,A999,'Base bordo'!B$2:B$746,B999,'Base bordo'!F$2:F$746,"DESLOCAMENTO"),0)</f>
        <v>0</v>
      </c>
      <c r="G999" s="10">
        <f>IFERROR(SUMIFS('Base bordo'!G$2:G$746,'Base bordo'!C$2:C$746,A999,'Base bordo'!B$2:B$746,B999,'Base bordo'!F$2:F$746,"CARREGAMENTO"),0)</f>
        <v>0</v>
      </c>
      <c r="H999" s="10">
        <f>IFERROR(SUMIFS('Base bordo'!G$2:G$746,'Base bordo'!C$2:C$746,A999,'Base bordo'!B$2:B$746,B999,'Base bordo'!F$2:F$746,"AGUARDANDO TRANSBORDO"),0)</f>
        <v>0</v>
      </c>
      <c r="I999" s="10">
        <f>IFERROR(SUMIFS('Base bordo'!G$2:G$746,'Base bordo'!C$2:C$746,A999,'Base bordo'!B$2:B$746,B999,'Base bordo'!F$2:F$746,"PÁTIO INTERNO"),0)+IFERROR(SUMIFS('Base bordo'!G$2:G$746,'Base bordo'!C$2:C$746,A999,'Base bordo'!B$2:B$746,B999,'Base bordo'!F$2:F$746,"PÁTIO EXTERNO"),0)+IFERROR(SUMIFS('Base bordo'!G$2:G$746,'Base bordo'!C$2:C$746,A999,'Base bordo'!B$2:B$746,B999,'Base bordo'!F$2:F$746,"PATIO - RESERVA"),0)+IFERROR(SUMIFS('Base bordo'!G$2:G$746,'Base bordo'!C$2:C$746,A999,'Base bordo'!B$2:B$746,B999,'Base bordo'!F$2:F$746,"MANOBRA CARRETAS-PATIO"),0)</f>
        <v>0.27555555555555555</v>
      </c>
      <c r="J999" s="10">
        <f>IFERROR(SUMIFS('Base bordo'!G$2:G$746,'Base bordo'!C$2:C$746,A999,'Base bordo'!B$2:B$746,B999,'Base bordo'!F$2:F$746,"BALANÇA - ENTRADA"),0)+IFERROR(SUMIFS('Base bordo'!G$2:G$746,'Base bordo'!C$2:C$746,A999,'Base bordo'!B$2:B$746,B999,'Base bordo'!F$2:F$746,"BALANÇA - SAÍDA"),0)</f>
        <v>0</v>
      </c>
      <c r="K999" s="10">
        <f>IFERROR(SUMIFS('Base bordo'!G$2:G$746,'Base bordo'!C$2:C$746,A999,'Base bordo'!B$2:B$746,B999,'Base bordo'!F$2:F$746,"MAN PREVENTIVA - MECANICA"),0)+IFERROR(SUMIFS('Base bordo'!G$2:G$746,'Base bordo'!C$2:C$746,A999,'Base bordo'!B$2:B$746,B999,'Base bordo'!F$2:F$746,"MAN CORRETIVA - MECANICA"),0)</f>
        <v>0</v>
      </c>
      <c r="L999" s="10">
        <f>IFERROR(SUMIFS('Base bordo'!G$2:G$746,'Base bordo'!C$2:C$746,A999,'Base bordo'!B$2:B$746,B999,'Base bordo'!F$2:F$746,"MANUTENCAO - T O"),0)+IFERROR(SUMIFS('Base bordo'!G$2:G$746,'Base bordo'!C$2:C$746,A999,'Base bordo'!B$2:B$746,B999,'Base bordo'!F$2:F$746,"MANUTENCAO BORRACHARIA"),0)+IFERROR(SUMIFS('Base bordo'!G$2:G$746,'Base bordo'!C$2:C$746,A999,'Base bordo'!B$2:B$746,B999,'Base bordo'!F$2:F$746,"MANUTENCAO EXTERNA  CONCESSIONARIA"),0)+IFERROR(SUMIFS('Base bordo'!G$2:G$746,'Base bordo'!C$2:C$746,A999,'Base bordo'!B$2:B$746,B999,'Base bordo'!F$2:F$746,"MANUTENCAO TELEMETRIA"),0)</f>
        <v>0</v>
      </c>
      <c r="M999" s="10">
        <f>IFERROR(SUMIFS('Base bordo'!G$2:G$746,'Base bordo'!C$2:C$746,A999,'Base bordo'!B$2:B$746,B999,'Base bordo'!F$2:F$746,"AGUARDANDO MANUTENCAO"),0)</f>
        <v>0</v>
      </c>
      <c r="N999" s="10">
        <f>IFERROR(SUMIFS('Base bordo'!G$2:G$746,'Base bordo'!C$2:C$746,A999,'Base bordo'!B$2:B$746,B999,'Base bordo'!F$2:F$746,"SEM APONTAMENTO"),0)</f>
        <v>0</v>
      </c>
      <c r="O999" s="10">
        <f t="shared" si="102"/>
        <v>0</v>
      </c>
      <c r="P999" s="10">
        <f>IFERROR(SUMIFS('Base bordo'!G$2:G$746,'Base bordo'!C$2:C$746,A999,'Base bordo'!B$2:B$746,B999),0)</f>
        <v>1.8333333333333333</v>
      </c>
      <c r="Q999" s="10">
        <f>IFERROR(SUMIFS('Base bordo'!H$2:H$746,'Base bordo'!C$2:C$746,A999,'Base bordo'!B$2:B$746,B999,'Base bordo'!F$2:F$746,"DESLOCAMENTO VAZIO"),0)</f>
        <v>0</v>
      </c>
      <c r="R999" s="10">
        <f>IFERROR(SUMIFS('Base bordo'!I$2:I$746,'Base bordo'!C$2:C$746,A999,'Base bordo'!B$2:B$746,B999,'Base bordo'!F$2:F$746,"DESLOCAMENTO VAZIO"),0)</f>
        <v>0</v>
      </c>
      <c r="S999" s="30" t="str">
        <f t="shared" si="103"/>
        <v/>
      </c>
      <c r="T999" s="10">
        <f>IFERROR(SUMIFS('Base bordo'!H$2:H$746,'Base bordo'!C$2:C$746,A999,'Base bordo'!B$2:B$746,B999,'Base bordo'!F$2:F$746,"DESLOCAMENTO CARREGADO"),0)</f>
        <v>147812.13999999998</v>
      </c>
      <c r="U999" s="10">
        <f>IFERROR(SUMIFS('Base bordo'!I$2:I$746,'Base bordo'!C$2:C$746,A999,'Base bordo'!B$2:B$746,B999,'Base bordo'!F$2:F$746,"DESLOCAMENTO CARREGADO"),0)</f>
        <v>5608</v>
      </c>
      <c r="V999" s="30">
        <f t="shared" si="104"/>
        <v>26.357371611982877</v>
      </c>
      <c r="W999" s="9">
        <f t="shared" si="105"/>
        <v>0</v>
      </c>
      <c r="X999" s="9">
        <f t="shared" si="106"/>
        <v>0.84969696969696973</v>
      </c>
      <c r="Y999" s="9">
        <f t="shared" si="107"/>
        <v>0.15030303030303027</v>
      </c>
    </row>
    <row r="1000" spans="1:25" ht="15" customHeight="1" x14ac:dyDescent="0.35">
      <c r="A1000" s="52">
        <v>8013476</v>
      </c>
      <c r="B1000" s="51">
        <v>46120</v>
      </c>
      <c r="C1000" s="7" t="s">
        <v>124</v>
      </c>
      <c r="D1000" s="10">
        <f>IFERROR(SUMIFS('Base bordo'!G$2:G$746,'Base bordo'!C$2:C$746,A1000,'Base bordo'!B$2:B$746,B1000,'Base bordo'!F$2:F$746,"DESLOCAMENTO VAZIO"),0)</f>
        <v>0</v>
      </c>
      <c r="E1000" s="10">
        <f>IFERROR(SUMIFS('Base bordo'!G$2:G$746,'Base bordo'!C$2:C$746,A1000,'Base bordo'!B$2:B$746,B1000,'Base bordo'!F$2:F$746,"DESLOCAMENTO CARREGADO"),0)</f>
        <v>1.5577777777777777</v>
      </c>
      <c r="F1000" s="10">
        <f>IFERROR(SUMIFS('Base bordo'!G$2:G$746,'Base bordo'!C$2:C$746,A1000,'Base bordo'!B$2:B$746,B1000,'Base bordo'!F$2:F$746,"DESLOCAMENTO"),0)</f>
        <v>0</v>
      </c>
      <c r="G1000" s="10">
        <f>IFERROR(SUMIFS('Base bordo'!G$2:G$746,'Base bordo'!C$2:C$746,A1000,'Base bordo'!B$2:B$746,B1000,'Base bordo'!F$2:F$746,"CARREGAMENTO"),0)</f>
        <v>0</v>
      </c>
      <c r="H1000" s="10">
        <f>IFERROR(SUMIFS('Base bordo'!G$2:G$746,'Base bordo'!C$2:C$746,A1000,'Base bordo'!B$2:B$746,B1000,'Base bordo'!F$2:F$746,"AGUARDANDO TRANSBORDO"),0)</f>
        <v>0</v>
      </c>
      <c r="I1000" s="10">
        <f>IFERROR(SUMIFS('Base bordo'!G$2:G$746,'Base bordo'!C$2:C$746,A1000,'Base bordo'!B$2:B$746,B1000,'Base bordo'!F$2:F$746,"PÁTIO INTERNO"),0)+IFERROR(SUMIFS('Base bordo'!G$2:G$746,'Base bordo'!C$2:C$746,A1000,'Base bordo'!B$2:B$746,B1000,'Base bordo'!F$2:F$746,"PÁTIO EXTERNO"),0)+IFERROR(SUMIFS('Base bordo'!G$2:G$746,'Base bordo'!C$2:C$746,A1000,'Base bordo'!B$2:B$746,B1000,'Base bordo'!F$2:F$746,"PATIO - RESERVA"),0)+IFERROR(SUMIFS('Base bordo'!G$2:G$746,'Base bordo'!C$2:C$746,A1000,'Base bordo'!B$2:B$746,B1000,'Base bordo'!F$2:F$746,"MANOBRA CARRETAS-PATIO"),0)</f>
        <v>0.27555555555555555</v>
      </c>
      <c r="J1000" s="10">
        <f>IFERROR(SUMIFS('Base bordo'!G$2:G$746,'Base bordo'!C$2:C$746,A1000,'Base bordo'!B$2:B$746,B1000,'Base bordo'!F$2:F$746,"BALANÇA - ENTRADA"),0)+IFERROR(SUMIFS('Base bordo'!G$2:G$746,'Base bordo'!C$2:C$746,A1000,'Base bordo'!B$2:B$746,B1000,'Base bordo'!F$2:F$746,"BALANÇA - SAÍDA"),0)</f>
        <v>0</v>
      </c>
      <c r="K1000" s="10">
        <f>IFERROR(SUMIFS('Base bordo'!G$2:G$746,'Base bordo'!C$2:C$746,A1000,'Base bordo'!B$2:B$746,B1000,'Base bordo'!F$2:F$746,"MAN PREVENTIVA - MECANICA"),0)+IFERROR(SUMIFS('Base bordo'!G$2:G$746,'Base bordo'!C$2:C$746,A1000,'Base bordo'!B$2:B$746,B1000,'Base bordo'!F$2:F$746,"MAN CORRETIVA - MECANICA"),0)</f>
        <v>0</v>
      </c>
      <c r="L1000" s="10">
        <f>IFERROR(SUMIFS('Base bordo'!G$2:G$746,'Base bordo'!C$2:C$746,A1000,'Base bordo'!B$2:B$746,B1000,'Base bordo'!F$2:F$746,"MANUTENCAO - T O"),0)+IFERROR(SUMIFS('Base bordo'!G$2:G$746,'Base bordo'!C$2:C$746,A1000,'Base bordo'!B$2:B$746,B1000,'Base bordo'!F$2:F$746,"MANUTENCAO BORRACHARIA"),0)+IFERROR(SUMIFS('Base bordo'!G$2:G$746,'Base bordo'!C$2:C$746,A1000,'Base bordo'!B$2:B$746,B1000,'Base bordo'!F$2:F$746,"MANUTENCAO EXTERNA  CONCESSIONARIA"),0)+IFERROR(SUMIFS('Base bordo'!G$2:G$746,'Base bordo'!C$2:C$746,A1000,'Base bordo'!B$2:B$746,B1000,'Base bordo'!F$2:F$746,"MANUTENCAO TELEMETRIA"),0)</f>
        <v>0</v>
      </c>
      <c r="M1000" s="10">
        <f>IFERROR(SUMIFS('Base bordo'!G$2:G$746,'Base bordo'!C$2:C$746,A1000,'Base bordo'!B$2:B$746,B1000,'Base bordo'!F$2:F$746,"AGUARDANDO MANUTENCAO"),0)</f>
        <v>0</v>
      </c>
      <c r="N1000" s="10">
        <f>IFERROR(SUMIFS('Base bordo'!G$2:G$746,'Base bordo'!C$2:C$746,A1000,'Base bordo'!B$2:B$746,B1000,'Base bordo'!F$2:F$746,"SEM APONTAMENTO"),0)</f>
        <v>0</v>
      </c>
      <c r="O1000" s="10">
        <f t="shared" si="102"/>
        <v>0</v>
      </c>
      <c r="P1000" s="10">
        <f>IFERROR(SUMIFS('Base bordo'!G$2:G$746,'Base bordo'!C$2:C$746,A1000,'Base bordo'!B$2:B$746,B1000),0)</f>
        <v>1.8333333333333333</v>
      </c>
      <c r="Q1000" s="10">
        <f>IFERROR(SUMIFS('Base bordo'!H$2:H$746,'Base bordo'!C$2:C$746,A1000,'Base bordo'!B$2:B$746,B1000,'Base bordo'!F$2:F$746,"DESLOCAMENTO VAZIO"),0)</f>
        <v>0</v>
      </c>
      <c r="R1000" s="10">
        <f>IFERROR(SUMIFS('Base bordo'!I$2:I$746,'Base bordo'!C$2:C$746,A1000,'Base bordo'!B$2:B$746,B1000,'Base bordo'!F$2:F$746,"DESLOCAMENTO VAZIO"),0)</f>
        <v>0</v>
      </c>
      <c r="S1000" s="30" t="str">
        <f t="shared" si="103"/>
        <v/>
      </c>
      <c r="T1000" s="10">
        <f>IFERROR(SUMIFS('Base bordo'!H$2:H$746,'Base bordo'!C$2:C$746,A1000,'Base bordo'!B$2:B$746,B1000,'Base bordo'!F$2:F$746,"DESLOCAMENTO CARREGADO"),0)</f>
        <v>147812.13999999998</v>
      </c>
      <c r="U1000" s="10">
        <f>IFERROR(SUMIFS('Base bordo'!I$2:I$746,'Base bordo'!C$2:C$746,A1000,'Base bordo'!B$2:B$746,B1000,'Base bordo'!F$2:F$746,"DESLOCAMENTO CARREGADO"),0)</f>
        <v>5608</v>
      </c>
      <c r="V1000" s="30">
        <f t="shared" si="104"/>
        <v>26.357371611982877</v>
      </c>
      <c r="W1000" s="9">
        <f t="shared" si="105"/>
        <v>0</v>
      </c>
      <c r="X1000" s="9">
        <f t="shared" si="106"/>
        <v>0.84969696969696973</v>
      </c>
      <c r="Y1000" s="9">
        <f t="shared" si="107"/>
        <v>0.15030303030303027</v>
      </c>
    </row>
    <row r="1001" spans="1:25" ht="15" customHeight="1" x14ac:dyDescent="0.35">
      <c r="A1001" s="52">
        <v>8013478</v>
      </c>
      <c r="B1001" s="51">
        <v>46120</v>
      </c>
      <c r="C1001" s="7" t="s">
        <v>124</v>
      </c>
      <c r="D1001" s="10">
        <f>IFERROR(SUMIFS('Base bordo'!G$2:G$746,'Base bordo'!C$2:C$746,A1001,'Base bordo'!B$2:B$746,B1001,'Base bordo'!F$2:F$746,"DESLOCAMENTO VAZIO"),0)</f>
        <v>0</v>
      </c>
      <c r="E1001" s="10">
        <f>IFERROR(SUMIFS('Base bordo'!G$2:G$746,'Base bordo'!C$2:C$746,A1001,'Base bordo'!B$2:B$746,B1001,'Base bordo'!F$2:F$746,"DESLOCAMENTO CARREGADO"),0)</f>
        <v>0</v>
      </c>
      <c r="F1001" s="10">
        <f>IFERROR(SUMIFS('Base bordo'!G$2:G$746,'Base bordo'!C$2:C$746,A1001,'Base bordo'!B$2:B$746,B1001,'Base bordo'!F$2:F$746,"DESLOCAMENTO"),0)</f>
        <v>0</v>
      </c>
      <c r="G1001" s="10">
        <f>IFERROR(SUMIFS('Base bordo'!G$2:G$746,'Base bordo'!C$2:C$746,A1001,'Base bordo'!B$2:B$746,B1001,'Base bordo'!F$2:F$746,"CARREGAMENTO"),0)</f>
        <v>0</v>
      </c>
      <c r="H1001" s="10">
        <f>IFERROR(SUMIFS('Base bordo'!G$2:G$746,'Base bordo'!C$2:C$746,A1001,'Base bordo'!B$2:B$746,B1001,'Base bordo'!F$2:F$746,"AGUARDANDO TRANSBORDO"),0)</f>
        <v>0</v>
      </c>
      <c r="I1001" s="10">
        <f>IFERROR(SUMIFS('Base bordo'!G$2:G$746,'Base bordo'!C$2:C$746,A1001,'Base bordo'!B$2:B$746,B1001,'Base bordo'!F$2:F$746,"PÁTIO INTERNO"),0)+IFERROR(SUMIFS('Base bordo'!G$2:G$746,'Base bordo'!C$2:C$746,A1001,'Base bordo'!B$2:B$746,B1001,'Base bordo'!F$2:F$746,"PÁTIO EXTERNO"),0)+IFERROR(SUMIFS('Base bordo'!G$2:G$746,'Base bordo'!C$2:C$746,A1001,'Base bordo'!B$2:B$746,B1001,'Base bordo'!F$2:F$746,"PATIO - RESERVA"),0)+IFERROR(SUMIFS('Base bordo'!G$2:G$746,'Base bordo'!C$2:C$746,A1001,'Base bordo'!B$2:B$746,B1001,'Base bordo'!F$2:F$746,"MANOBRA CARRETAS-PATIO"),0)</f>
        <v>0</v>
      </c>
      <c r="J1001" s="10">
        <f>IFERROR(SUMIFS('Base bordo'!G$2:G$746,'Base bordo'!C$2:C$746,A1001,'Base bordo'!B$2:B$746,B1001,'Base bordo'!F$2:F$746,"BALANÇA - ENTRADA"),0)+IFERROR(SUMIFS('Base bordo'!G$2:G$746,'Base bordo'!C$2:C$746,A1001,'Base bordo'!B$2:B$746,B1001,'Base bordo'!F$2:F$746,"BALANÇA - SAÍDA"),0)</f>
        <v>0</v>
      </c>
      <c r="K1001" s="10">
        <f>IFERROR(SUMIFS('Base bordo'!G$2:G$746,'Base bordo'!C$2:C$746,A1001,'Base bordo'!B$2:B$746,B1001,'Base bordo'!F$2:F$746,"MAN PREVENTIVA - MECANICA"),0)+IFERROR(SUMIFS('Base bordo'!G$2:G$746,'Base bordo'!C$2:C$746,A1001,'Base bordo'!B$2:B$746,B1001,'Base bordo'!F$2:F$746,"MAN CORRETIVA - MECANICA"),0)</f>
        <v>0</v>
      </c>
      <c r="L1001" s="10">
        <f>IFERROR(SUMIFS('Base bordo'!G$2:G$746,'Base bordo'!C$2:C$746,A1001,'Base bordo'!B$2:B$746,B1001,'Base bordo'!F$2:F$746,"MANUTENCAO - T O"),0)+IFERROR(SUMIFS('Base bordo'!G$2:G$746,'Base bordo'!C$2:C$746,A1001,'Base bordo'!B$2:B$746,B1001,'Base bordo'!F$2:F$746,"MANUTENCAO BORRACHARIA"),0)+IFERROR(SUMIFS('Base bordo'!G$2:G$746,'Base bordo'!C$2:C$746,A1001,'Base bordo'!B$2:B$746,B1001,'Base bordo'!F$2:F$746,"MANUTENCAO EXTERNA  CONCESSIONARIA"),0)+IFERROR(SUMIFS('Base bordo'!G$2:G$746,'Base bordo'!C$2:C$746,A1001,'Base bordo'!B$2:B$746,B1001,'Base bordo'!F$2:F$746,"MANUTENCAO TELEMETRIA"),0)</f>
        <v>0</v>
      </c>
      <c r="M1001" s="10">
        <f>IFERROR(SUMIFS('Base bordo'!G$2:G$746,'Base bordo'!C$2:C$746,A1001,'Base bordo'!B$2:B$746,B1001,'Base bordo'!F$2:F$746,"AGUARDANDO MANUTENCAO"),0)</f>
        <v>0</v>
      </c>
      <c r="N1001" s="10">
        <f>IFERROR(SUMIFS('Base bordo'!G$2:G$746,'Base bordo'!C$2:C$746,A1001,'Base bordo'!B$2:B$746,B1001,'Base bordo'!F$2:F$746,"SEM APONTAMENTO"),0)</f>
        <v>0</v>
      </c>
      <c r="O1001" s="10">
        <f t="shared" si="102"/>
        <v>0</v>
      </c>
      <c r="P1001" s="10">
        <f>IFERROR(SUMIFS('Base bordo'!G$2:G$746,'Base bordo'!C$2:C$746,A1001,'Base bordo'!B$2:B$746,B1001),0)</f>
        <v>0</v>
      </c>
      <c r="Q1001" s="10">
        <f>IFERROR(SUMIFS('Base bordo'!H$2:H$746,'Base bordo'!C$2:C$746,A1001,'Base bordo'!B$2:B$746,B1001,'Base bordo'!F$2:F$746,"DESLOCAMENTO VAZIO"),0)</f>
        <v>0</v>
      </c>
      <c r="R1001" s="10">
        <f>IFERROR(SUMIFS('Base bordo'!I$2:I$746,'Base bordo'!C$2:C$746,A1001,'Base bordo'!B$2:B$746,B1001,'Base bordo'!F$2:F$746,"DESLOCAMENTO VAZIO"),0)</f>
        <v>0</v>
      </c>
      <c r="S1001" s="30" t="str">
        <f t="shared" si="103"/>
        <v/>
      </c>
      <c r="T1001" s="10">
        <f>IFERROR(SUMIFS('Base bordo'!H$2:H$746,'Base bordo'!C$2:C$746,A1001,'Base bordo'!B$2:B$746,B1001,'Base bordo'!F$2:F$746,"DESLOCAMENTO CARREGADO"),0)</f>
        <v>0</v>
      </c>
      <c r="U1001" s="10">
        <f>IFERROR(SUMIFS('Base bordo'!I$2:I$746,'Base bordo'!C$2:C$746,A1001,'Base bordo'!B$2:B$746,B1001,'Base bordo'!F$2:F$746,"DESLOCAMENTO CARREGADO"),0)</f>
        <v>0</v>
      </c>
      <c r="V1001" s="30" t="str">
        <f t="shared" si="104"/>
        <v/>
      </c>
      <c r="W1001" s="9">
        <f t="shared" si="105"/>
        <v>0</v>
      </c>
      <c r="X1001" s="9">
        <f t="shared" si="106"/>
        <v>0</v>
      </c>
      <c r="Y1001" s="9">
        <f t="shared" si="107"/>
        <v>0</v>
      </c>
    </row>
    <row r="1002" spans="1:25" ht="15" customHeight="1" x14ac:dyDescent="0.35">
      <c r="A1002" s="52">
        <v>8013481</v>
      </c>
      <c r="B1002" s="51">
        <v>46120</v>
      </c>
      <c r="C1002" s="7" t="s">
        <v>124</v>
      </c>
      <c r="D1002" s="10">
        <f>IFERROR(SUMIFS('Base bordo'!G$2:G$746,'Base bordo'!C$2:C$746,A1002,'Base bordo'!B$2:B$746,B1002,'Base bordo'!F$2:F$746,"DESLOCAMENTO VAZIO"),0)</f>
        <v>0</v>
      </c>
      <c r="E1002" s="10">
        <f>IFERROR(SUMIFS('Base bordo'!G$2:G$746,'Base bordo'!C$2:C$746,A1002,'Base bordo'!B$2:B$746,B1002,'Base bordo'!F$2:F$746,"DESLOCAMENTO CARREGADO"),0)</f>
        <v>2.0550000000000002</v>
      </c>
      <c r="F1002" s="10">
        <f>IFERROR(SUMIFS('Base bordo'!G$2:G$746,'Base bordo'!C$2:C$746,A1002,'Base bordo'!B$2:B$746,B1002,'Base bordo'!F$2:F$746,"DESLOCAMENTO"),0)</f>
        <v>0</v>
      </c>
      <c r="G1002" s="10">
        <f>IFERROR(SUMIFS('Base bordo'!G$2:G$746,'Base bordo'!C$2:C$746,A1002,'Base bordo'!B$2:B$746,B1002,'Base bordo'!F$2:F$746,"CARREGAMENTO"),0)</f>
        <v>0</v>
      </c>
      <c r="H1002" s="10">
        <f>IFERROR(SUMIFS('Base bordo'!G$2:G$746,'Base bordo'!C$2:C$746,A1002,'Base bordo'!B$2:B$746,B1002,'Base bordo'!F$2:F$746,"AGUARDANDO TRANSBORDO"),0)</f>
        <v>0</v>
      </c>
      <c r="I1002" s="10">
        <f>IFERROR(SUMIFS('Base bordo'!G$2:G$746,'Base bordo'!C$2:C$746,A1002,'Base bordo'!B$2:B$746,B1002,'Base bordo'!F$2:F$746,"PÁTIO INTERNO"),0)+IFERROR(SUMIFS('Base bordo'!G$2:G$746,'Base bordo'!C$2:C$746,A1002,'Base bordo'!B$2:B$746,B1002,'Base bordo'!F$2:F$746,"PÁTIO EXTERNO"),0)+IFERROR(SUMIFS('Base bordo'!G$2:G$746,'Base bordo'!C$2:C$746,A1002,'Base bordo'!B$2:B$746,B1002,'Base bordo'!F$2:F$746,"PATIO - RESERVA"),0)+IFERROR(SUMIFS('Base bordo'!G$2:G$746,'Base bordo'!C$2:C$746,A1002,'Base bordo'!B$2:B$746,B1002,'Base bordo'!F$2:F$746,"MANOBRA CARRETAS-PATIO"),0)</f>
        <v>0.18194444444444444</v>
      </c>
      <c r="J1002" s="10">
        <f>IFERROR(SUMIFS('Base bordo'!G$2:G$746,'Base bordo'!C$2:C$746,A1002,'Base bordo'!B$2:B$746,B1002,'Base bordo'!F$2:F$746,"BALANÇA - ENTRADA"),0)+IFERROR(SUMIFS('Base bordo'!G$2:G$746,'Base bordo'!C$2:C$746,A1002,'Base bordo'!B$2:B$746,B1002,'Base bordo'!F$2:F$746,"BALANÇA - SAÍDA"),0)</f>
        <v>0</v>
      </c>
      <c r="K1002" s="10">
        <f>IFERROR(SUMIFS('Base bordo'!G$2:G$746,'Base bordo'!C$2:C$746,A1002,'Base bordo'!B$2:B$746,B1002,'Base bordo'!F$2:F$746,"MAN PREVENTIVA - MECANICA"),0)+IFERROR(SUMIFS('Base bordo'!G$2:G$746,'Base bordo'!C$2:C$746,A1002,'Base bordo'!B$2:B$746,B1002,'Base bordo'!F$2:F$746,"MAN CORRETIVA - MECANICA"),0)</f>
        <v>0</v>
      </c>
      <c r="L1002" s="10">
        <f>IFERROR(SUMIFS('Base bordo'!G$2:G$746,'Base bordo'!C$2:C$746,A1002,'Base bordo'!B$2:B$746,B1002,'Base bordo'!F$2:F$746,"MANUTENCAO - T O"),0)+IFERROR(SUMIFS('Base bordo'!G$2:G$746,'Base bordo'!C$2:C$746,A1002,'Base bordo'!B$2:B$746,B1002,'Base bordo'!F$2:F$746,"MANUTENCAO BORRACHARIA"),0)+IFERROR(SUMIFS('Base bordo'!G$2:G$746,'Base bordo'!C$2:C$746,A1002,'Base bordo'!B$2:B$746,B1002,'Base bordo'!F$2:F$746,"MANUTENCAO EXTERNA  CONCESSIONARIA"),0)+IFERROR(SUMIFS('Base bordo'!G$2:G$746,'Base bordo'!C$2:C$746,A1002,'Base bordo'!B$2:B$746,B1002,'Base bordo'!F$2:F$746,"MANUTENCAO TELEMETRIA"),0)</f>
        <v>0</v>
      </c>
      <c r="M1002" s="10">
        <f>IFERROR(SUMIFS('Base bordo'!G$2:G$746,'Base bordo'!C$2:C$746,A1002,'Base bordo'!B$2:B$746,B1002,'Base bordo'!F$2:F$746,"AGUARDANDO MANUTENCAO"),0)</f>
        <v>0</v>
      </c>
      <c r="N1002" s="10">
        <f>IFERROR(SUMIFS('Base bordo'!G$2:G$746,'Base bordo'!C$2:C$746,A1002,'Base bordo'!B$2:B$746,B1002,'Base bordo'!F$2:F$746,"SEM APONTAMENTO"),0)</f>
        <v>0</v>
      </c>
      <c r="O1002" s="10">
        <f t="shared" si="102"/>
        <v>0</v>
      </c>
      <c r="P1002" s="10">
        <f>IFERROR(SUMIFS('Base bordo'!G$2:G$746,'Base bordo'!C$2:C$746,A1002,'Base bordo'!B$2:B$746,B1002),0)</f>
        <v>2.2369444444444446</v>
      </c>
      <c r="Q1002" s="10">
        <f>IFERROR(SUMIFS('Base bordo'!H$2:H$746,'Base bordo'!C$2:C$746,A1002,'Base bordo'!B$2:B$746,B1002,'Base bordo'!F$2:F$746,"DESLOCAMENTO VAZIO"),0)</f>
        <v>0</v>
      </c>
      <c r="R1002" s="10">
        <f>IFERROR(SUMIFS('Base bordo'!I$2:I$746,'Base bordo'!C$2:C$746,A1002,'Base bordo'!B$2:B$746,B1002,'Base bordo'!F$2:F$746,"DESLOCAMENTO VAZIO"),0)</f>
        <v>0</v>
      </c>
      <c r="S1002" s="30" t="str">
        <f t="shared" si="103"/>
        <v/>
      </c>
      <c r="T1002" s="10">
        <f>IFERROR(SUMIFS('Base bordo'!H$2:H$746,'Base bordo'!C$2:C$746,A1002,'Base bordo'!B$2:B$746,B1002,'Base bordo'!F$2:F$746,"DESLOCAMENTO CARREGADO"),0)</f>
        <v>178228.94999999998</v>
      </c>
      <c r="U1002" s="10">
        <f>IFERROR(SUMIFS('Base bordo'!I$2:I$746,'Base bordo'!C$2:C$746,A1002,'Base bordo'!B$2:B$746,B1002,'Base bordo'!F$2:F$746,"DESLOCAMENTO CARREGADO"),0)</f>
        <v>7398</v>
      </c>
      <c r="V1002" s="30">
        <f t="shared" si="104"/>
        <v>24.091504460665043</v>
      </c>
      <c r="W1002" s="9">
        <f t="shared" si="105"/>
        <v>0</v>
      </c>
      <c r="X1002" s="9">
        <f t="shared" si="106"/>
        <v>0.91866385198062839</v>
      </c>
      <c r="Y1002" s="9">
        <f t="shared" si="107"/>
        <v>8.1336148019371612E-2</v>
      </c>
    </row>
    <row r="1003" spans="1:25" ht="15" customHeight="1" x14ac:dyDescent="0.35">
      <c r="A1003" s="52">
        <v>8013481</v>
      </c>
      <c r="B1003" s="51">
        <v>46120</v>
      </c>
      <c r="C1003" s="7" t="s">
        <v>124</v>
      </c>
      <c r="D1003" s="10">
        <f>IFERROR(SUMIFS('Base bordo'!G$2:G$746,'Base bordo'!C$2:C$746,A1003,'Base bordo'!B$2:B$746,B1003,'Base bordo'!F$2:F$746,"DESLOCAMENTO VAZIO"),0)</f>
        <v>0</v>
      </c>
      <c r="E1003" s="10">
        <f>IFERROR(SUMIFS('Base bordo'!G$2:G$746,'Base bordo'!C$2:C$746,A1003,'Base bordo'!B$2:B$746,B1003,'Base bordo'!F$2:F$746,"DESLOCAMENTO CARREGADO"),0)</f>
        <v>2.0550000000000002</v>
      </c>
      <c r="F1003" s="10">
        <f>IFERROR(SUMIFS('Base bordo'!G$2:G$746,'Base bordo'!C$2:C$746,A1003,'Base bordo'!B$2:B$746,B1003,'Base bordo'!F$2:F$746,"DESLOCAMENTO"),0)</f>
        <v>0</v>
      </c>
      <c r="G1003" s="10">
        <f>IFERROR(SUMIFS('Base bordo'!G$2:G$746,'Base bordo'!C$2:C$746,A1003,'Base bordo'!B$2:B$746,B1003,'Base bordo'!F$2:F$746,"CARREGAMENTO"),0)</f>
        <v>0</v>
      </c>
      <c r="H1003" s="10">
        <f>IFERROR(SUMIFS('Base bordo'!G$2:G$746,'Base bordo'!C$2:C$746,A1003,'Base bordo'!B$2:B$746,B1003,'Base bordo'!F$2:F$746,"AGUARDANDO TRANSBORDO"),0)</f>
        <v>0</v>
      </c>
      <c r="I1003" s="10">
        <f>IFERROR(SUMIFS('Base bordo'!G$2:G$746,'Base bordo'!C$2:C$746,A1003,'Base bordo'!B$2:B$746,B1003,'Base bordo'!F$2:F$746,"PÁTIO INTERNO"),0)+IFERROR(SUMIFS('Base bordo'!G$2:G$746,'Base bordo'!C$2:C$746,A1003,'Base bordo'!B$2:B$746,B1003,'Base bordo'!F$2:F$746,"PÁTIO EXTERNO"),0)+IFERROR(SUMIFS('Base bordo'!G$2:G$746,'Base bordo'!C$2:C$746,A1003,'Base bordo'!B$2:B$746,B1003,'Base bordo'!F$2:F$746,"PATIO - RESERVA"),0)+IFERROR(SUMIFS('Base bordo'!G$2:G$746,'Base bordo'!C$2:C$746,A1003,'Base bordo'!B$2:B$746,B1003,'Base bordo'!F$2:F$746,"MANOBRA CARRETAS-PATIO"),0)</f>
        <v>0.18194444444444444</v>
      </c>
      <c r="J1003" s="10">
        <f>IFERROR(SUMIFS('Base bordo'!G$2:G$746,'Base bordo'!C$2:C$746,A1003,'Base bordo'!B$2:B$746,B1003,'Base bordo'!F$2:F$746,"BALANÇA - ENTRADA"),0)+IFERROR(SUMIFS('Base bordo'!G$2:G$746,'Base bordo'!C$2:C$746,A1003,'Base bordo'!B$2:B$746,B1003,'Base bordo'!F$2:F$746,"BALANÇA - SAÍDA"),0)</f>
        <v>0</v>
      </c>
      <c r="K1003" s="10">
        <f>IFERROR(SUMIFS('Base bordo'!G$2:G$746,'Base bordo'!C$2:C$746,A1003,'Base bordo'!B$2:B$746,B1003,'Base bordo'!F$2:F$746,"MAN PREVENTIVA - MECANICA"),0)+IFERROR(SUMIFS('Base bordo'!G$2:G$746,'Base bordo'!C$2:C$746,A1003,'Base bordo'!B$2:B$746,B1003,'Base bordo'!F$2:F$746,"MAN CORRETIVA - MECANICA"),0)</f>
        <v>0</v>
      </c>
      <c r="L1003" s="10">
        <f>IFERROR(SUMIFS('Base bordo'!G$2:G$746,'Base bordo'!C$2:C$746,A1003,'Base bordo'!B$2:B$746,B1003,'Base bordo'!F$2:F$746,"MANUTENCAO - T O"),0)+IFERROR(SUMIFS('Base bordo'!G$2:G$746,'Base bordo'!C$2:C$746,A1003,'Base bordo'!B$2:B$746,B1003,'Base bordo'!F$2:F$746,"MANUTENCAO BORRACHARIA"),0)+IFERROR(SUMIFS('Base bordo'!G$2:G$746,'Base bordo'!C$2:C$746,A1003,'Base bordo'!B$2:B$746,B1003,'Base bordo'!F$2:F$746,"MANUTENCAO EXTERNA  CONCESSIONARIA"),0)+IFERROR(SUMIFS('Base bordo'!G$2:G$746,'Base bordo'!C$2:C$746,A1003,'Base bordo'!B$2:B$746,B1003,'Base bordo'!F$2:F$746,"MANUTENCAO TELEMETRIA"),0)</f>
        <v>0</v>
      </c>
      <c r="M1003" s="10">
        <f>IFERROR(SUMIFS('Base bordo'!G$2:G$746,'Base bordo'!C$2:C$746,A1003,'Base bordo'!B$2:B$746,B1003,'Base bordo'!F$2:F$746,"AGUARDANDO MANUTENCAO"),0)</f>
        <v>0</v>
      </c>
      <c r="N1003" s="10">
        <f>IFERROR(SUMIFS('Base bordo'!G$2:G$746,'Base bordo'!C$2:C$746,A1003,'Base bordo'!B$2:B$746,B1003,'Base bordo'!F$2:F$746,"SEM APONTAMENTO"),0)</f>
        <v>0</v>
      </c>
      <c r="O1003" s="10">
        <f t="shared" si="102"/>
        <v>0</v>
      </c>
      <c r="P1003" s="10">
        <f>IFERROR(SUMIFS('Base bordo'!G$2:G$746,'Base bordo'!C$2:C$746,A1003,'Base bordo'!B$2:B$746,B1003),0)</f>
        <v>2.2369444444444446</v>
      </c>
      <c r="Q1003" s="10">
        <f>IFERROR(SUMIFS('Base bordo'!H$2:H$746,'Base bordo'!C$2:C$746,A1003,'Base bordo'!B$2:B$746,B1003,'Base bordo'!F$2:F$746,"DESLOCAMENTO VAZIO"),0)</f>
        <v>0</v>
      </c>
      <c r="R1003" s="10">
        <f>IFERROR(SUMIFS('Base bordo'!I$2:I$746,'Base bordo'!C$2:C$746,A1003,'Base bordo'!B$2:B$746,B1003,'Base bordo'!F$2:F$746,"DESLOCAMENTO VAZIO"),0)</f>
        <v>0</v>
      </c>
      <c r="S1003" s="30" t="str">
        <f t="shared" si="103"/>
        <v/>
      </c>
      <c r="T1003" s="10">
        <f>IFERROR(SUMIFS('Base bordo'!H$2:H$746,'Base bordo'!C$2:C$746,A1003,'Base bordo'!B$2:B$746,B1003,'Base bordo'!F$2:F$746,"DESLOCAMENTO CARREGADO"),0)</f>
        <v>178228.94999999998</v>
      </c>
      <c r="U1003" s="10">
        <f>IFERROR(SUMIFS('Base bordo'!I$2:I$746,'Base bordo'!C$2:C$746,A1003,'Base bordo'!B$2:B$746,B1003,'Base bordo'!F$2:F$746,"DESLOCAMENTO CARREGADO"),0)</f>
        <v>7398</v>
      </c>
      <c r="V1003" s="30">
        <f t="shared" si="104"/>
        <v>24.091504460665043</v>
      </c>
      <c r="W1003" s="9">
        <f t="shared" si="105"/>
        <v>0</v>
      </c>
      <c r="X1003" s="9">
        <f t="shared" si="106"/>
        <v>0.91866385198062839</v>
      </c>
      <c r="Y1003" s="9">
        <f t="shared" si="107"/>
        <v>8.1336148019371612E-2</v>
      </c>
    </row>
    <row r="1004" spans="1:25" ht="15" customHeight="1" x14ac:dyDescent="0.35">
      <c r="A1004" s="52">
        <v>8013481</v>
      </c>
      <c r="B1004" s="51">
        <v>46120</v>
      </c>
      <c r="C1004" s="7" t="s">
        <v>124</v>
      </c>
      <c r="D1004" s="10">
        <f>IFERROR(SUMIFS('Base bordo'!G$2:G$746,'Base bordo'!C$2:C$746,A1004,'Base bordo'!B$2:B$746,B1004,'Base bordo'!F$2:F$746,"DESLOCAMENTO VAZIO"),0)</f>
        <v>0</v>
      </c>
      <c r="E1004" s="10">
        <f>IFERROR(SUMIFS('Base bordo'!G$2:G$746,'Base bordo'!C$2:C$746,A1004,'Base bordo'!B$2:B$746,B1004,'Base bordo'!F$2:F$746,"DESLOCAMENTO CARREGADO"),0)</f>
        <v>2.0550000000000002</v>
      </c>
      <c r="F1004" s="10">
        <f>IFERROR(SUMIFS('Base bordo'!G$2:G$746,'Base bordo'!C$2:C$746,A1004,'Base bordo'!B$2:B$746,B1004,'Base bordo'!F$2:F$746,"DESLOCAMENTO"),0)</f>
        <v>0</v>
      </c>
      <c r="G1004" s="10">
        <f>IFERROR(SUMIFS('Base bordo'!G$2:G$746,'Base bordo'!C$2:C$746,A1004,'Base bordo'!B$2:B$746,B1004,'Base bordo'!F$2:F$746,"CARREGAMENTO"),0)</f>
        <v>0</v>
      </c>
      <c r="H1004" s="10">
        <f>IFERROR(SUMIFS('Base bordo'!G$2:G$746,'Base bordo'!C$2:C$746,A1004,'Base bordo'!B$2:B$746,B1004,'Base bordo'!F$2:F$746,"AGUARDANDO TRANSBORDO"),0)</f>
        <v>0</v>
      </c>
      <c r="I1004" s="10">
        <f>IFERROR(SUMIFS('Base bordo'!G$2:G$746,'Base bordo'!C$2:C$746,A1004,'Base bordo'!B$2:B$746,B1004,'Base bordo'!F$2:F$746,"PÁTIO INTERNO"),0)+IFERROR(SUMIFS('Base bordo'!G$2:G$746,'Base bordo'!C$2:C$746,A1004,'Base bordo'!B$2:B$746,B1004,'Base bordo'!F$2:F$746,"PÁTIO EXTERNO"),0)+IFERROR(SUMIFS('Base bordo'!G$2:G$746,'Base bordo'!C$2:C$746,A1004,'Base bordo'!B$2:B$746,B1004,'Base bordo'!F$2:F$746,"PATIO - RESERVA"),0)+IFERROR(SUMIFS('Base bordo'!G$2:G$746,'Base bordo'!C$2:C$746,A1004,'Base bordo'!B$2:B$746,B1004,'Base bordo'!F$2:F$746,"MANOBRA CARRETAS-PATIO"),0)</f>
        <v>0.18194444444444444</v>
      </c>
      <c r="J1004" s="10">
        <f>IFERROR(SUMIFS('Base bordo'!G$2:G$746,'Base bordo'!C$2:C$746,A1004,'Base bordo'!B$2:B$746,B1004,'Base bordo'!F$2:F$746,"BALANÇA - ENTRADA"),0)+IFERROR(SUMIFS('Base bordo'!G$2:G$746,'Base bordo'!C$2:C$746,A1004,'Base bordo'!B$2:B$746,B1004,'Base bordo'!F$2:F$746,"BALANÇA - SAÍDA"),0)</f>
        <v>0</v>
      </c>
      <c r="K1004" s="10">
        <f>IFERROR(SUMIFS('Base bordo'!G$2:G$746,'Base bordo'!C$2:C$746,A1004,'Base bordo'!B$2:B$746,B1004,'Base bordo'!F$2:F$746,"MAN PREVENTIVA - MECANICA"),0)+IFERROR(SUMIFS('Base bordo'!G$2:G$746,'Base bordo'!C$2:C$746,A1004,'Base bordo'!B$2:B$746,B1004,'Base bordo'!F$2:F$746,"MAN CORRETIVA - MECANICA"),0)</f>
        <v>0</v>
      </c>
      <c r="L1004" s="10">
        <f>IFERROR(SUMIFS('Base bordo'!G$2:G$746,'Base bordo'!C$2:C$746,A1004,'Base bordo'!B$2:B$746,B1004,'Base bordo'!F$2:F$746,"MANUTENCAO - T O"),0)+IFERROR(SUMIFS('Base bordo'!G$2:G$746,'Base bordo'!C$2:C$746,A1004,'Base bordo'!B$2:B$746,B1004,'Base bordo'!F$2:F$746,"MANUTENCAO BORRACHARIA"),0)+IFERROR(SUMIFS('Base bordo'!G$2:G$746,'Base bordo'!C$2:C$746,A1004,'Base bordo'!B$2:B$746,B1004,'Base bordo'!F$2:F$746,"MANUTENCAO EXTERNA  CONCESSIONARIA"),0)+IFERROR(SUMIFS('Base bordo'!G$2:G$746,'Base bordo'!C$2:C$746,A1004,'Base bordo'!B$2:B$746,B1004,'Base bordo'!F$2:F$746,"MANUTENCAO TELEMETRIA"),0)</f>
        <v>0</v>
      </c>
      <c r="M1004" s="10">
        <f>IFERROR(SUMIFS('Base bordo'!G$2:G$746,'Base bordo'!C$2:C$746,A1004,'Base bordo'!B$2:B$746,B1004,'Base bordo'!F$2:F$746,"AGUARDANDO MANUTENCAO"),0)</f>
        <v>0</v>
      </c>
      <c r="N1004" s="10">
        <f>IFERROR(SUMIFS('Base bordo'!G$2:G$746,'Base bordo'!C$2:C$746,A1004,'Base bordo'!B$2:B$746,B1004,'Base bordo'!F$2:F$746,"SEM APONTAMENTO"),0)</f>
        <v>0</v>
      </c>
      <c r="O1004" s="10">
        <f t="shared" si="102"/>
        <v>0</v>
      </c>
      <c r="P1004" s="10">
        <f>IFERROR(SUMIFS('Base bordo'!G$2:G$746,'Base bordo'!C$2:C$746,A1004,'Base bordo'!B$2:B$746,B1004),0)</f>
        <v>2.2369444444444446</v>
      </c>
      <c r="Q1004" s="10">
        <f>IFERROR(SUMIFS('Base bordo'!H$2:H$746,'Base bordo'!C$2:C$746,A1004,'Base bordo'!B$2:B$746,B1004,'Base bordo'!F$2:F$746,"DESLOCAMENTO VAZIO"),0)</f>
        <v>0</v>
      </c>
      <c r="R1004" s="10">
        <f>IFERROR(SUMIFS('Base bordo'!I$2:I$746,'Base bordo'!C$2:C$746,A1004,'Base bordo'!B$2:B$746,B1004,'Base bordo'!F$2:F$746,"DESLOCAMENTO VAZIO"),0)</f>
        <v>0</v>
      </c>
      <c r="S1004" s="30" t="str">
        <f t="shared" si="103"/>
        <v/>
      </c>
      <c r="T1004" s="10">
        <f>IFERROR(SUMIFS('Base bordo'!H$2:H$746,'Base bordo'!C$2:C$746,A1004,'Base bordo'!B$2:B$746,B1004,'Base bordo'!F$2:F$746,"DESLOCAMENTO CARREGADO"),0)</f>
        <v>178228.94999999998</v>
      </c>
      <c r="U1004" s="10">
        <f>IFERROR(SUMIFS('Base bordo'!I$2:I$746,'Base bordo'!C$2:C$746,A1004,'Base bordo'!B$2:B$746,B1004,'Base bordo'!F$2:F$746,"DESLOCAMENTO CARREGADO"),0)</f>
        <v>7398</v>
      </c>
      <c r="V1004" s="30">
        <f t="shared" si="104"/>
        <v>24.091504460665043</v>
      </c>
      <c r="W1004" s="9">
        <f t="shared" si="105"/>
        <v>0</v>
      </c>
      <c r="X1004" s="9">
        <f t="shared" si="106"/>
        <v>0.91866385198062839</v>
      </c>
      <c r="Y1004" s="9">
        <f t="shared" si="107"/>
        <v>8.1336148019371612E-2</v>
      </c>
    </row>
    <row r="1005" spans="1:25" ht="15" customHeight="1" x14ac:dyDescent="0.35">
      <c r="A1005" s="52">
        <v>8013481</v>
      </c>
      <c r="B1005" s="51">
        <v>46120</v>
      </c>
      <c r="C1005" s="7" t="s">
        <v>124</v>
      </c>
      <c r="D1005" s="10">
        <f>IFERROR(SUMIFS('Base bordo'!G$2:G$746,'Base bordo'!C$2:C$746,A1005,'Base bordo'!B$2:B$746,B1005,'Base bordo'!F$2:F$746,"DESLOCAMENTO VAZIO"),0)</f>
        <v>0</v>
      </c>
      <c r="E1005" s="10">
        <f>IFERROR(SUMIFS('Base bordo'!G$2:G$746,'Base bordo'!C$2:C$746,A1005,'Base bordo'!B$2:B$746,B1005,'Base bordo'!F$2:F$746,"DESLOCAMENTO CARREGADO"),0)</f>
        <v>2.0550000000000002</v>
      </c>
      <c r="F1005" s="10">
        <f>IFERROR(SUMIFS('Base bordo'!G$2:G$746,'Base bordo'!C$2:C$746,A1005,'Base bordo'!B$2:B$746,B1005,'Base bordo'!F$2:F$746,"DESLOCAMENTO"),0)</f>
        <v>0</v>
      </c>
      <c r="G1005" s="10">
        <f>IFERROR(SUMIFS('Base bordo'!G$2:G$746,'Base bordo'!C$2:C$746,A1005,'Base bordo'!B$2:B$746,B1005,'Base bordo'!F$2:F$746,"CARREGAMENTO"),0)</f>
        <v>0</v>
      </c>
      <c r="H1005" s="10">
        <f>IFERROR(SUMIFS('Base bordo'!G$2:G$746,'Base bordo'!C$2:C$746,A1005,'Base bordo'!B$2:B$746,B1005,'Base bordo'!F$2:F$746,"AGUARDANDO TRANSBORDO"),0)</f>
        <v>0</v>
      </c>
      <c r="I1005" s="10">
        <f>IFERROR(SUMIFS('Base bordo'!G$2:G$746,'Base bordo'!C$2:C$746,A1005,'Base bordo'!B$2:B$746,B1005,'Base bordo'!F$2:F$746,"PÁTIO INTERNO"),0)+IFERROR(SUMIFS('Base bordo'!G$2:G$746,'Base bordo'!C$2:C$746,A1005,'Base bordo'!B$2:B$746,B1005,'Base bordo'!F$2:F$746,"PÁTIO EXTERNO"),0)+IFERROR(SUMIFS('Base bordo'!G$2:G$746,'Base bordo'!C$2:C$746,A1005,'Base bordo'!B$2:B$746,B1005,'Base bordo'!F$2:F$746,"PATIO - RESERVA"),0)+IFERROR(SUMIFS('Base bordo'!G$2:G$746,'Base bordo'!C$2:C$746,A1005,'Base bordo'!B$2:B$746,B1005,'Base bordo'!F$2:F$746,"MANOBRA CARRETAS-PATIO"),0)</f>
        <v>0.18194444444444444</v>
      </c>
      <c r="J1005" s="10">
        <f>IFERROR(SUMIFS('Base bordo'!G$2:G$746,'Base bordo'!C$2:C$746,A1005,'Base bordo'!B$2:B$746,B1005,'Base bordo'!F$2:F$746,"BALANÇA - ENTRADA"),0)+IFERROR(SUMIFS('Base bordo'!G$2:G$746,'Base bordo'!C$2:C$746,A1005,'Base bordo'!B$2:B$746,B1005,'Base bordo'!F$2:F$746,"BALANÇA - SAÍDA"),0)</f>
        <v>0</v>
      </c>
      <c r="K1005" s="10">
        <f>IFERROR(SUMIFS('Base bordo'!G$2:G$746,'Base bordo'!C$2:C$746,A1005,'Base bordo'!B$2:B$746,B1005,'Base bordo'!F$2:F$746,"MAN PREVENTIVA - MECANICA"),0)+IFERROR(SUMIFS('Base bordo'!G$2:G$746,'Base bordo'!C$2:C$746,A1005,'Base bordo'!B$2:B$746,B1005,'Base bordo'!F$2:F$746,"MAN CORRETIVA - MECANICA"),0)</f>
        <v>0</v>
      </c>
      <c r="L1005" s="10">
        <f>IFERROR(SUMIFS('Base bordo'!G$2:G$746,'Base bordo'!C$2:C$746,A1005,'Base bordo'!B$2:B$746,B1005,'Base bordo'!F$2:F$746,"MANUTENCAO - T O"),0)+IFERROR(SUMIFS('Base bordo'!G$2:G$746,'Base bordo'!C$2:C$746,A1005,'Base bordo'!B$2:B$746,B1005,'Base bordo'!F$2:F$746,"MANUTENCAO BORRACHARIA"),0)+IFERROR(SUMIFS('Base bordo'!G$2:G$746,'Base bordo'!C$2:C$746,A1005,'Base bordo'!B$2:B$746,B1005,'Base bordo'!F$2:F$746,"MANUTENCAO EXTERNA  CONCESSIONARIA"),0)+IFERROR(SUMIFS('Base bordo'!G$2:G$746,'Base bordo'!C$2:C$746,A1005,'Base bordo'!B$2:B$746,B1005,'Base bordo'!F$2:F$746,"MANUTENCAO TELEMETRIA"),0)</f>
        <v>0</v>
      </c>
      <c r="M1005" s="10">
        <f>IFERROR(SUMIFS('Base bordo'!G$2:G$746,'Base bordo'!C$2:C$746,A1005,'Base bordo'!B$2:B$746,B1005,'Base bordo'!F$2:F$746,"AGUARDANDO MANUTENCAO"),0)</f>
        <v>0</v>
      </c>
      <c r="N1005" s="10">
        <f>IFERROR(SUMIFS('Base bordo'!G$2:G$746,'Base bordo'!C$2:C$746,A1005,'Base bordo'!B$2:B$746,B1005,'Base bordo'!F$2:F$746,"SEM APONTAMENTO"),0)</f>
        <v>0</v>
      </c>
      <c r="O1005" s="10">
        <f t="shared" si="102"/>
        <v>0</v>
      </c>
      <c r="P1005" s="10">
        <f>IFERROR(SUMIFS('Base bordo'!G$2:G$746,'Base bordo'!C$2:C$746,A1005,'Base bordo'!B$2:B$746,B1005),0)</f>
        <v>2.2369444444444446</v>
      </c>
      <c r="Q1005" s="10">
        <f>IFERROR(SUMIFS('Base bordo'!H$2:H$746,'Base bordo'!C$2:C$746,A1005,'Base bordo'!B$2:B$746,B1005,'Base bordo'!F$2:F$746,"DESLOCAMENTO VAZIO"),0)</f>
        <v>0</v>
      </c>
      <c r="R1005" s="10">
        <f>IFERROR(SUMIFS('Base bordo'!I$2:I$746,'Base bordo'!C$2:C$746,A1005,'Base bordo'!B$2:B$746,B1005,'Base bordo'!F$2:F$746,"DESLOCAMENTO VAZIO"),0)</f>
        <v>0</v>
      </c>
      <c r="S1005" s="30" t="str">
        <f t="shared" si="103"/>
        <v/>
      </c>
      <c r="T1005" s="10">
        <f>IFERROR(SUMIFS('Base bordo'!H$2:H$746,'Base bordo'!C$2:C$746,A1005,'Base bordo'!B$2:B$746,B1005,'Base bordo'!F$2:F$746,"DESLOCAMENTO CARREGADO"),0)</f>
        <v>178228.94999999998</v>
      </c>
      <c r="U1005" s="10">
        <f>IFERROR(SUMIFS('Base bordo'!I$2:I$746,'Base bordo'!C$2:C$746,A1005,'Base bordo'!B$2:B$746,B1005,'Base bordo'!F$2:F$746,"DESLOCAMENTO CARREGADO"),0)</f>
        <v>7398</v>
      </c>
      <c r="V1005" s="30">
        <f t="shared" si="104"/>
        <v>24.091504460665043</v>
      </c>
      <c r="W1005" s="9">
        <f t="shared" si="105"/>
        <v>0</v>
      </c>
      <c r="X1005" s="9">
        <f t="shared" si="106"/>
        <v>0.91866385198062839</v>
      </c>
      <c r="Y1005" s="9">
        <f t="shared" si="107"/>
        <v>8.1336148019371612E-2</v>
      </c>
    </row>
    <row r="1006" spans="1:25" ht="15" customHeight="1" x14ac:dyDescent="0.35">
      <c r="A1006" s="52">
        <v>8013481</v>
      </c>
      <c r="B1006" s="51">
        <v>46120</v>
      </c>
      <c r="C1006" s="7" t="s">
        <v>124</v>
      </c>
      <c r="D1006" s="10">
        <f>IFERROR(SUMIFS('Base bordo'!G$2:G$746,'Base bordo'!C$2:C$746,A1006,'Base bordo'!B$2:B$746,B1006,'Base bordo'!F$2:F$746,"DESLOCAMENTO VAZIO"),0)</f>
        <v>0</v>
      </c>
      <c r="E1006" s="10">
        <f>IFERROR(SUMIFS('Base bordo'!G$2:G$746,'Base bordo'!C$2:C$746,A1006,'Base bordo'!B$2:B$746,B1006,'Base bordo'!F$2:F$746,"DESLOCAMENTO CARREGADO"),0)</f>
        <v>2.0550000000000002</v>
      </c>
      <c r="F1006" s="10">
        <f>IFERROR(SUMIFS('Base bordo'!G$2:G$746,'Base bordo'!C$2:C$746,A1006,'Base bordo'!B$2:B$746,B1006,'Base bordo'!F$2:F$746,"DESLOCAMENTO"),0)</f>
        <v>0</v>
      </c>
      <c r="G1006" s="10">
        <f>IFERROR(SUMIFS('Base bordo'!G$2:G$746,'Base bordo'!C$2:C$746,A1006,'Base bordo'!B$2:B$746,B1006,'Base bordo'!F$2:F$746,"CARREGAMENTO"),0)</f>
        <v>0</v>
      </c>
      <c r="H1006" s="10">
        <f>IFERROR(SUMIFS('Base bordo'!G$2:G$746,'Base bordo'!C$2:C$746,A1006,'Base bordo'!B$2:B$746,B1006,'Base bordo'!F$2:F$746,"AGUARDANDO TRANSBORDO"),0)</f>
        <v>0</v>
      </c>
      <c r="I1006" s="10">
        <f>IFERROR(SUMIFS('Base bordo'!G$2:G$746,'Base bordo'!C$2:C$746,A1006,'Base bordo'!B$2:B$746,B1006,'Base bordo'!F$2:F$746,"PÁTIO INTERNO"),0)+IFERROR(SUMIFS('Base bordo'!G$2:G$746,'Base bordo'!C$2:C$746,A1006,'Base bordo'!B$2:B$746,B1006,'Base bordo'!F$2:F$746,"PÁTIO EXTERNO"),0)+IFERROR(SUMIFS('Base bordo'!G$2:G$746,'Base bordo'!C$2:C$746,A1006,'Base bordo'!B$2:B$746,B1006,'Base bordo'!F$2:F$746,"PATIO - RESERVA"),0)+IFERROR(SUMIFS('Base bordo'!G$2:G$746,'Base bordo'!C$2:C$746,A1006,'Base bordo'!B$2:B$746,B1006,'Base bordo'!F$2:F$746,"MANOBRA CARRETAS-PATIO"),0)</f>
        <v>0.18194444444444444</v>
      </c>
      <c r="J1006" s="10">
        <f>IFERROR(SUMIFS('Base bordo'!G$2:G$746,'Base bordo'!C$2:C$746,A1006,'Base bordo'!B$2:B$746,B1006,'Base bordo'!F$2:F$746,"BALANÇA - ENTRADA"),0)+IFERROR(SUMIFS('Base bordo'!G$2:G$746,'Base bordo'!C$2:C$746,A1006,'Base bordo'!B$2:B$746,B1006,'Base bordo'!F$2:F$746,"BALANÇA - SAÍDA"),0)</f>
        <v>0</v>
      </c>
      <c r="K1006" s="10">
        <f>IFERROR(SUMIFS('Base bordo'!G$2:G$746,'Base bordo'!C$2:C$746,A1006,'Base bordo'!B$2:B$746,B1006,'Base bordo'!F$2:F$746,"MAN PREVENTIVA - MECANICA"),0)+IFERROR(SUMIFS('Base bordo'!G$2:G$746,'Base bordo'!C$2:C$746,A1006,'Base bordo'!B$2:B$746,B1006,'Base bordo'!F$2:F$746,"MAN CORRETIVA - MECANICA"),0)</f>
        <v>0</v>
      </c>
      <c r="L1006" s="10">
        <f>IFERROR(SUMIFS('Base bordo'!G$2:G$746,'Base bordo'!C$2:C$746,A1006,'Base bordo'!B$2:B$746,B1006,'Base bordo'!F$2:F$746,"MANUTENCAO - T O"),0)+IFERROR(SUMIFS('Base bordo'!G$2:G$746,'Base bordo'!C$2:C$746,A1006,'Base bordo'!B$2:B$746,B1006,'Base bordo'!F$2:F$746,"MANUTENCAO BORRACHARIA"),0)+IFERROR(SUMIFS('Base bordo'!G$2:G$746,'Base bordo'!C$2:C$746,A1006,'Base bordo'!B$2:B$746,B1006,'Base bordo'!F$2:F$746,"MANUTENCAO EXTERNA  CONCESSIONARIA"),0)+IFERROR(SUMIFS('Base bordo'!G$2:G$746,'Base bordo'!C$2:C$746,A1006,'Base bordo'!B$2:B$746,B1006,'Base bordo'!F$2:F$746,"MANUTENCAO TELEMETRIA"),0)</f>
        <v>0</v>
      </c>
      <c r="M1006" s="10">
        <f>IFERROR(SUMIFS('Base bordo'!G$2:G$746,'Base bordo'!C$2:C$746,A1006,'Base bordo'!B$2:B$746,B1006,'Base bordo'!F$2:F$746,"AGUARDANDO MANUTENCAO"),0)</f>
        <v>0</v>
      </c>
      <c r="N1006" s="10">
        <f>IFERROR(SUMIFS('Base bordo'!G$2:G$746,'Base bordo'!C$2:C$746,A1006,'Base bordo'!B$2:B$746,B1006,'Base bordo'!F$2:F$746,"SEM APONTAMENTO"),0)</f>
        <v>0</v>
      </c>
      <c r="O1006" s="10">
        <f t="shared" si="102"/>
        <v>0</v>
      </c>
      <c r="P1006" s="10">
        <f>IFERROR(SUMIFS('Base bordo'!G$2:G$746,'Base bordo'!C$2:C$746,A1006,'Base bordo'!B$2:B$746,B1006),0)</f>
        <v>2.2369444444444446</v>
      </c>
      <c r="Q1006" s="10">
        <f>IFERROR(SUMIFS('Base bordo'!H$2:H$746,'Base bordo'!C$2:C$746,A1006,'Base bordo'!B$2:B$746,B1006,'Base bordo'!F$2:F$746,"DESLOCAMENTO VAZIO"),0)</f>
        <v>0</v>
      </c>
      <c r="R1006" s="10">
        <f>IFERROR(SUMIFS('Base bordo'!I$2:I$746,'Base bordo'!C$2:C$746,A1006,'Base bordo'!B$2:B$746,B1006,'Base bordo'!F$2:F$746,"DESLOCAMENTO VAZIO"),0)</f>
        <v>0</v>
      </c>
      <c r="S1006" s="30" t="str">
        <f t="shared" si="103"/>
        <v/>
      </c>
      <c r="T1006" s="10">
        <f>IFERROR(SUMIFS('Base bordo'!H$2:H$746,'Base bordo'!C$2:C$746,A1006,'Base bordo'!B$2:B$746,B1006,'Base bordo'!F$2:F$746,"DESLOCAMENTO CARREGADO"),0)</f>
        <v>178228.94999999998</v>
      </c>
      <c r="U1006" s="10">
        <f>IFERROR(SUMIFS('Base bordo'!I$2:I$746,'Base bordo'!C$2:C$746,A1006,'Base bordo'!B$2:B$746,B1006,'Base bordo'!F$2:F$746,"DESLOCAMENTO CARREGADO"),0)</f>
        <v>7398</v>
      </c>
      <c r="V1006" s="30">
        <f t="shared" si="104"/>
        <v>24.091504460665043</v>
      </c>
      <c r="W1006" s="9">
        <f t="shared" si="105"/>
        <v>0</v>
      </c>
      <c r="X1006" s="9">
        <f t="shared" si="106"/>
        <v>0.91866385198062839</v>
      </c>
      <c r="Y1006" s="9">
        <f t="shared" si="107"/>
        <v>8.1336148019371612E-2</v>
      </c>
    </row>
    <row r="1007" spans="1:25" ht="15" customHeight="1" x14ac:dyDescent="0.35">
      <c r="A1007" s="52">
        <v>8013482</v>
      </c>
      <c r="B1007" s="51">
        <v>46120</v>
      </c>
      <c r="C1007" s="7" t="s">
        <v>124</v>
      </c>
      <c r="D1007" s="10">
        <f>IFERROR(SUMIFS('Base bordo'!G$2:G$746,'Base bordo'!C$2:C$746,A1007,'Base bordo'!B$2:B$746,B1007,'Base bordo'!F$2:F$746,"DESLOCAMENTO VAZIO"),0)</f>
        <v>0</v>
      </c>
      <c r="E1007" s="10">
        <f>IFERROR(SUMIFS('Base bordo'!G$2:G$746,'Base bordo'!C$2:C$746,A1007,'Base bordo'!B$2:B$746,B1007,'Base bordo'!F$2:F$746,"DESLOCAMENTO CARREGADO"),0)</f>
        <v>0</v>
      </c>
      <c r="F1007" s="10">
        <f>IFERROR(SUMIFS('Base bordo'!G$2:G$746,'Base bordo'!C$2:C$746,A1007,'Base bordo'!B$2:B$746,B1007,'Base bordo'!F$2:F$746,"DESLOCAMENTO"),0)</f>
        <v>0</v>
      </c>
      <c r="G1007" s="10">
        <f>IFERROR(SUMIFS('Base bordo'!G$2:G$746,'Base bordo'!C$2:C$746,A1007,'Base bordo'!B$2:B$746,B1007,'Base bordo'!F$2:F$746,"CARREGAMENTO"),0)</f>
        <v>0</v>
      </c>
      <c r="H1007" s="10">
        <f>IFERROR(SUMIFS('Base bordo'!G$2:G$746,'Base bordo'!C$2:C$746,A1007,'Base bordo'!B$2:B$746,B1007,'Base bordo'!F$2:F$746,"AGUARDANDO TRANSBORDO"),0)</f>
        <v>0</v>
      </c>
      <c r="I1007" s="10">
        <f>IFERROR(SUMIFS('Base bordo'!G$2:G$746,'Base bordo'!C$2:C$746,A1007,'Base bordo'!B$2:B$746,B1007,'Base bordo'!F$2:F$746,"PÁTIO INTERNO"),0)+IFERROR(SUMIFS('Base bordo'!G$2:G$746,'Base bordo'!C$2:C$746,A1007,'Base bordo'!B$2:B$746,B1007,'Base bordo'!F$2:F$746,"PÁTIO EXTERNO"),0)+IFERROR(SUMIFS('Base bordo'!G$2:G$746,'Base bordo'!C$2:C$746,A1007,'Base bordo'!B$2:B$746,B1007,'Base bordo'!F$2:F$746,"PATIO - RESERVA"),0)+IFERROR(SUMIFS('Base bordo'!G$2:G$746,'Base bordo'!C$2:C$746,A1007,'Base bordo'!B$2:B$746,B1007,'Base bordo'!F$2:F$746,"MANOBRA CARRETAS-PATIO"),0)</f>
        <v>0</v>
      </c>
      <c r="J1007" s="10">
        <f>IFERROR(SUMIFS('Base bordo'!G$2:G$746,'Base bordo'!C$2:C$746,A1007,'Base bordo'!B$2:B$746,B1007,'Base bordo'!F$2:F$746,"BALANÇA - ENTRADA"),0)+IFERROR(SUMIFS('Base bordo'!G$2:G$746,'Base bordo'!C$2:C$746,A1007,'Base bordo'!B$2:B$746,B1007,'Base bordo'!F$2:F$746,"BALANÇA - SAÍDA"),0)</f>
        <v>0</v>
      </c>
      <c r="K1007" s="10">
        <f>IFERROR(SUMIFS('Base bordo'!G$2:G$746,'Base bordo'!C$2:C$746,A1007,'Base bordo'!B$2:B$746,B1007,'Base bordo'!F$2:F$746,"MAN PREVENTIVA - MECANICA"),0)+IFERROR(SUMIFS('Base bordo'!G$2:G$746,'Base bordo'!C$2:C$746,A1007,'Base bordo'!B$2:B$746,B1007,'Base bordo'!F$2:F$746,"MAN CORRETIVA - MECANICA"),0)</f>
        <v>0</v>
      </c>
      <c r="L1007" s="10">
        <f>IFERROR(SUMIFS('Base bordo'!G$2:G$746,'Base bordo'!C$2:C$746,A1007,'Base bordo'!B$2:B$746,B1007,'Base bordo'!F$2:F$746,"MANUTENCAO - T O"),0)+IFERROR(SUMIFS('Base bordo'!G$2:G$746,'Base bordo'!C$2:C$746,A1007,'Base bordo'!B$2:B$746,B1007,'Base bordo'!F$2:F$746,"MANUTENCAO BORRACHARIA"),0)+IFERROR(SUMIFS('Base bordo'!G$2:G$746,'Base bordo'!C$2:C$746,A1007,'Base bordo'!B$2:B$746,B1007,'Base bordo'!F$2:F$746,"MANUTENCAO EXTERNA  CONCESSIONARIA"),0)+IFERROR(SUMIFS('Base bordo'!G$2:G$746,'Base bordo'!C$2:C$746,A1007,'Base bordo'!B$2:B$746,B1007,'Base bordo'!F$2:F$746,"MANUTENCAO TELEMETRIA"),0)</f>
        <v>0</v>
      </c>
      <c r="M1007" s="10">
        <f>IFERROR(SUMIFS('Base bordo'!G$2:G$746,'Base bordo'!C$2:C$746,A1007,'Base bordo'!B$2:B$746,B1007,'Base bordo'!F$2:F$746,"AGUARDANDO MANUTENCAO"),0)</f>
        <v>0</v>
      </c>
      <c r="N1007" s="10">
        <f>IFERROR(SUMIFS('Base bordo'!G$2:G$746,'Base bordo'!C$2:C$746,A1007,'Base bordo'!B$2:B$746,B1007,'Base bordo'!F$2:F$746,"SEM APONTAMENTO"),0)</f>
        <v>0</v>
      </c>
      <c r="O1007" s="10">
        <f t="shared" si="102"/>
        <v>0</v>
      </c>
      <c r="P1007" s="10">
        <f>IFERROR(SUMIFS('Base bordo'!G$2:G$746,'Base bordo'!C$2:C$746,A1007,'Base bordo'!B$2:B$746,B1007),0)</f>
        <v>0</v>
      </c>
      <c r="Q1007" s="10">
        <f>IFERROR(SUMIFS('Base bordo'!H$2:H$746,'Base bordo'!C$2:C$746,A1007,'Base bordo'!B$2:B$746,B1007,'Base bordo'!F$2:F$746,"DESLOCAMENTO VAZIO"),0)</f>
        <v>0</v>
      </c>
      <c r="R1007" s="10">
        <f>IFERROR(SUMIFS('Base bordo'!I$2:I$746,'Base bordo'!C$2:C$746,A1007,'Base bordo'!B$2:B$746,B1007,'Base bordo'!F$2:F$746,"DESLOCAMENTO VAZIO"),0)</f>
        <v>0</v>
      </c>
      <c r="S1007" s="30" t="str">
        <f t="shared" si="103"/>
        <v/>
      </c>
      <c r="T1007" s="10">
        <f>IFERROR(SUMIFS('Base bordo'!H$2:H$746,'Base bordo'!C$2:C$746,A1007,'Base bordo'!B$2:B$746,B1007,'Base bordo'!F$2:F$746,"DESLOCAMENTO CARREGADO"),0)</f>
        <v>0</v>
      </c>
      <c r="U1007" s="10">
        <f>IFERROR(SUMIFS('Base bordo'!I$2:I$746,'Base bordo'!C$2:C$746,A1007,'Base bordo'!B$2:B$746,B1007,'Base bordo'!F$2:F$746,"DESLOCAMENTO CARREGADO"),0)</f>
        <v>0</v>
      </c>
      <c r="V1007" s="30" t="str">
        <f t="shared" si="104"/>
        <v/>
      </c>
      <c r="W1007" s="9">
        <f t="shared" si="105"/>
        <v>0</v>
      </c>
      <c r="X1007" s="9">
        <f t="shared" si="106"/>
        <v>0</v>
      </c>
      <c r="Y1007" s="9">
        <f t="shared" si="107"/>
        <v>0</v>
      </c>
    </row>
    <row r="1008" spans="1:25" ht="15" customHeight="1" x14ac:dyDescent="0.35">
      <c r="A1008" s="52">
        <v>8013482</v>
      </c>
      <c r="B1008" s="51">
        <v>46120</v>
      </c>
      <c r="C1008" s="7" t="s">
        <v>124</v>
      </c>
      <c r="D1008" s="10">
        <f>IFERROR(SUMIFS('Base bordo'!G$2:G$746,'Base bordo'!C$2:C$746,A1008,'Base bordo'!B$2:B$746,B1008,'Base bordo'!F$2:F$746,"DESLOCAMENTO VAZIO"),0)</f>
        <v>0</v>
      </c>
      <c r="E1008" s="10">
        <f>IFERROR(SUMIFS('Base bordo'!G$2:G$746,'Base bordo'!C$2:C$746,A1008,'Base bordo'!B$2:B$746,B1008,'Base bordo'!F$2:F$746,"DESLOCAMENTO CARREGADO"),0)</f>
        <v>0</v>
      </c>
      <c r="F1008" s="10">
        <f>IFERROR(SUMIFS('Base bordo'!G$2:G$746,'Base bordo'!C$2:C$746,A1008,'Base bordo'!B$2:B$746,B1008,'Base bordo'!F$2:F$746,"DESLOCAMENTO"),0)</f>
        <v>0</v>
      </c>
      <c r="G1008" s="10">
        <f>IFERROR(SUMIFS('Base bordo'!G$2:G$746,'Base bordo'!C$2:C$746,A1008,'Base bordo'!B$2:B$746,B1008,'Base bordo'!F$2:F$746,"CARREGAMENTO"),0)</f>
        <v>0</v>
      </c>
      <c r="H1008" s="10">
        <f>IFERROR(SUMIFS('Base bordo'!G$2:G$746,'Base bordo'!C$2:C$746,A1008,'Base bordo'!B$2:B$746,B1008,'Base bordo'!F$2:F$746,"AGUARDANDO TRANSBORDO"),0)</f>
        <v>0</v>
      </c>
      <c r="I1008" s="10">
        <f>IFERROR(SUMIFS('Base bordo'!G$2:G$746,'Base bordo'!C$2:C$746,A1008,'Base bordo'!B$2:B$746,B1008,'Base bordo'!F$2:F$746,"PÁTIO INTERNO"),0)+IFERROR(SUMIFS('Base bordo'!G$2:G$746,'Base bordo'!C$2:C$746,A1008,'Base bordo'!B$2:B$746,B1008,'Base bordo'!F$2:F$746,"PÁTIO EXTERNO"),0)+IFERROR(SUMIFS('Base bordo'!G$2:G$746,'Base bordo'!C$2:C$746,A1008,'Base bordo'!B$2:B$746,B1008,'Base bordo'!F$2:F$746,"PATIO - RESERVA"),0)+IFERROR(SUMIFS('Base bordo'!G$2:G$746,'Base bordo'!C$2:C$746,A1008,'Base bordo'!B$2:B$746,B1008,'Base bordo'!F$2:F$746,"MANOBRA CARRETAS-PATIO"),0)</f>
        <v>0</v>
      </c>
      <c r="J1008" s="10">
        <f>IFERROR(SUMIFS('Base bordo'!G$2:G$746,'Base bordo'!C$2:C$746,A1008,'Base bordo'!B$2:B$746,B1008,'Base bordo'!F$2:F$746,"BALANÇA - ENTRADA"),0)+IFERROR(SUMIFS('Base bordo'!G$2:G$746,'Base bordo'!C$2:C$746,A1008,'Base bordo'!B$2:B$746,B1008,'Base bordo'!F$2:F$746,"BALANÇA - SAÍDA"),0)</f>
        <v>0</v>
      </c>
      <c r="K1008" s="10">
        <f>IFERROR(SUMIFS('Base bordo'!G$2:G$746,'Base bordo'!C$2:C$746,A1008,'Base bordo'!B$2:B$746,B1008,'Base bordo'!F$2:F$746,"MAN PREVENTIVA - MECANICA"),0)+IFERROR(SUMIFS('Base bordo'!G$2:G$746,'Base bordo'!C$2:C$746,A1008,'Base bordo'!B$2:B$746,B1008,'Base bordo'!F$2:F$746,"MAN CORRETIVA - MECANICA"),0)</f>
        <v>0</v>
      </c>
      <c r="L1008" s="10">
        <f>IFERROR(SUMIFS('Base bordo'!G$2:G$746,'Base bordo'!C$2:C$746,A1008,'Base bordo'!B$2:B$746,B1008,'Base bordo'!F$2:F$746,"MANUTENCAO - T O"),0)+IFERROR(SUMIFS('Base bordo'!G$2:G$746,'Base bordo'!C$2:C$746,A1008,'Base bordo'!B$2:B$746,B1008,'Base bordo'!F$2:F$746,"MANUTENCAO BORRACHARIA"),0)+IFERROR(SUMIFS('Base bordo'!G$2:G$746,'Base bordo'!C$2:C$746,A1008,'Base bordo'!B$2:B$746,B1008,'Base bordo'!F$2:F$746,"MANUTENCAO EXTERNA  CONCESSIONARIA"),0)+IFERROR(SUMIFS('Base bordo'!G$2:G$746,'Base bordo'!C$2:C$746,A1008,'Base bordo'!B$2:B$746,B1008,'Base bordo'!F$2:F$746,"MANUTENCAO TELEMETRIA"),0)</f>
        <v>0</v>
      </c>
      <c r="M1008" s="10">
        <f>IFERROR(SUMIFS('Base bordo'!G$2:G$746,'Base bordo'!C$2:C$746,A1008,'Base bordo'!B$2:B$746,B1008,'Base bordo'!F$2:F$746,"AGUARDANDO MANUTENCAO"),0)</f>
        <v>0</v>
      </c>
      <c r="N1008" s="10">
        <f>IFERROR(SUMIFS('Base bordo'!G$2:G$746,'Base bordo'!C$2:C$746,A1008,'Base bordo'!B$2:B$746,B1008,'Base bordo'!F$2:F$746,"SEM APONTAMENTO"),0)</f>
        <v>0</v>
      </c>
      <c r="O1008" s="10">
        <f t="shared" si="102"/>
        <v>0</v>
      </c>
      <c r="P1008" s="10">
        <f>IFERROR(SUMIFS('Base bordo'!G$2:G$746,'Base bordo'!C$2:C$746,A1008,'Base bordo'!B$2:B$746,B1008),0)</f>
        <v>0</v>
      </c>
      <c r="Q1008" s="10">
        <f>IFERROR(SUMIFS('Base bordo'!H$2:H$746,'Base bordo'!C$2:C$746,A1008,'Base bordo'!B$2:B$746,B1008,'Base bordo'!F$2:F$746,"DESLOCAMENTO VAZIO"),0)</f>
        <v>0</v>
      </c>
      <c r="R1008" s="10">
        <f>IFERROR(SUMIFS('Base bordo'!I$2:I$746,'Base bordo'!C$2:C$746,A1008,'Base bordo'!B$2:B$746,B1008,'Base bordo'!F$2:F$746,"DESLOCAMENTO VAZIO"),0)</f>
        <v>0</v>
      </c>
      <c r="S1008" s="30" t="str">
        <f t="shared" si="103"/>
        <v/>
      </c>
      <c r="T1008" s="10">
        <f>IFERROR(SUMIFS('Base bordo'!H$2:H$746,'Base bordo'!C$2:C$746,A1008,'Base bordo'!B$2:B$746,B1008,'Base bordo'!F$2:F$746,"DESLOCAMENTO CARREGADO"),0)</f>
        <v>0</v>
      </c>
      <c r="U1008" s="10">
        <f>IFERROR(SUMIFS('Base bordo'!I$2:I$746,'Base bordo'!C$2:C$746,A1008,'Base bordo'!B$2:B$746,B1008,'Base bordo'!F$2:F$746,"DESLOCAMENTO CARREGADO"),0)</f>
        <v>0</v>
      </c>
      <c r="V1008" s="30" t="str">
        <f t="shared" si="104"/>
        <v/>
      </c>
      <c r="W1008" s="9">
        <f t="shared" si="105"/>
        <v>0</v>
      </c>
      <c r="X1008" s="9">
        <f t="shared" si="106"/>
        <v>0</v>
      </c>
      <c r="Y1008" s="9">
        <f t="shared" si="107"/>
        <v>0</v>
      </c>
    </row>
    <row r="1009" spans="1:25" ht="15" customHeight="1" x14ac:dyDescent="0.35">
      <c r="A1009" s="52">
        <v>8013483</v>
      </c>
      <c r="B1009" s="51">
        <v>46120</v>
      </c>
      <c r="C1009" s="7" t="s">
        <v>124</v>
      </c>
      <c r="D1009" s="10">
        <f>IFERROR(SUMIFS('Base bordo'!G$2:G$746,'Base bordo'!C$2:C$746,A1009,'Base bordo'!B$2:B$746,B1009,'Base bordo'!F$2:F$746,"DESLOCAMENTO VAZIO"),0)</f>
        <v>0.56499999999999995</v>
      </c>
      <c r="E1009" s="10">
        <f>IFERROR(SUMIFS('Base bordo'!G$2:G$746,'Base bordo'!C$2:C$746,A1009,'Base bordo'!B$2:B$746,B1009,'Base bordo'!F$2:F$746,"DESLOCAMENTO CARREGADO"),0)</f>
        <v>0</v>
      </c>
      <c r="F1009" s="10">
        <f>IFERROR(SUMIFS('Base bordo'!G$2:G$746,'Base bordo'!C$2:C$746,A1009,'Base bordo'!B$2:B$746,B1009,'Base bordo'!F$2:F$746,"DESLOCAMENTO"),0)</f>
        <v>0.22194444444444444</v>
      </c>
      <c r="G1009" s="10">
        <f>IFERROR(SUMIFS('Base bordo'!G$2:G$746,'Base bordo'!C$2:C$746,A1009,'Base bordo'!B$2:B$746,B1009,'Base bordo'!F$2:F$746,"CARREGAMENTO"),0)</f>
        <v>0</v>
      </c>
      <c r="H1009" s="10">
        <f>IFERROR(SUMIFS('Base bordo'!G$2:G$746,'Base bordo'!C$2:C$746,A1009,'Base bordo'!B$2:B$746,B1009,'Base bordo'!F$2:F$746,"AGUARDANDO TRANSBORDO"),0)</f>
        <v>0</v>
      </c>
      <c r="I1009" s="10">
        <f>IFERROR(SUMIFS('Base bordo'!G$2:G$746,'Base bordo'!C$2:C$746,A1009,'Base bordo'!B$2:B$746,B1009,'Base bordo'!F$2:F$746,"PÁTIO INTERNO"),0)+IFERROR(SUMIFS('Base bordo'!G$2:G$746,'Base bordo'!C$2:C$746,A1009,'Base bordo'!B$2:B$746,B1009,'Base bordo'!F$2:F$746,"PÁTIO EXTERNO"),0)+IFERROR(SUMIFS('Base bordo'!G$2:G$746,'Base bordo'!C$2:C$746,A1009,'Base bordo'!B$2:B$746,B1009,'Base bordo'!F$2:F$746,"PATIO - RESERVA"),0)+IFERROR(SUMIFS('Base bordo'!G$2:G$746,'Base bordo'!C$2:C$746,A1009,'Base bordo'!B$2:B$746,B1009,'Base bordo'!F$2:F$746,"MANOBRA CARRETAS-PATIO"),0)</f>
        <v>0</v>
      </c>
      <c r="J1009" s="10">
        <f>IFERROR(SUMIFS('Base bordo'!G$2:G$746,'Base bordo'!C$2:C$746,A1009,'Base bordo'!B$2:B$746,B1009,'Base bordo'!F$2:F$746,"BALANÇA - ENTRADA"),0)+IFERROR(SUMIFS('Base bordo'!G$2:G$746,'Base bordo'!C$2:C$746,A1009,'Base bordo'!B$2:B$746,B1009,'Base bordo'!F$2:F$746,"BALANÇA - SAÍDA"),0)</f>
        <v>0</v>
      </c>
      <c r="K1009" s="10">
        <f>IFERROR(SUMIFS('Base bordo'!G$2:G$746,'Base bordo'!C$2:C$746,A1009,'Base bordo'!B$2:B$746,B1009,'Base bordo'!F$2:F$746,"MAN PREVENTIVA - MECANICA"),0)+IFERROR(SUMIFS('Base bordo'!G$2:G$746,'Base bordo'!C$2:C$746,A1009,'Base bordo'!B$2:B$746,B1009,'Base bordo'!F$2:F$746,"MAN CORRETIVA - MECANICA"),0)</f>
        <v>0</v>
      </c>
      <c r="L1009" s="10">
        <f>IFERROR(SUMIFS('Base bordo'!G$2:G$746,'Base bordo'!C$2:C$746,A1009,'Base bordo'!B$2:B$746,B1009,'Base bordo'!F$2:F$746,"MANUTENCAO - T O"),0)+IFERROR(SUMIFS('Base bordo'!G$2:G$746,'Base bordo'!C$2:C$746,A1009,'Base bordo'!B$2:B$746,B1009,'Base bordo'!F$2:F$746,"MANUTENCAO BORRACHARIA"),0)+IFERROR(SUMIFS('Base bordo'!G$2:G$746,'Base bordo'!C$2:C$746,A1009,'Base bordo'!B$2:B$746,B1009,'Base bordo'!F$2:F$746,"MANUTENCAO EXTERNA  CONCESSIONARIA"),0)+IFERROR(SUMIFS('Base bordo'!G$2:G$746,'Base bordo'!C$2:C$746,A1009,'Base bordo'!B$2:B$746,B1009,'Base bordo'!F$2:F$746,"MANUTENCAO TELEMETRIA"),0)</f>
        <v>0.40805555555555556</v>
      </c>
      <c r="M1009" s="10">
        <f>IFERROR(SUMIFS('Base bordo'!G$2:G$746,'Base bordo'!C$2:C$746,A1009,'Base bordo'!B$2:B$746,B1009,'Base bordo'!F$2:F$746,"AGUARDANDO MANUTENCAO"),0)</f>
        <v>0</v>
      </c>
      <c r="N1009" s="10">
        <f>IFERROR(SUMIFS('Base bordo'!G$2:G$746,'Base bordo'!C$2:C$746,A1009,'Base bordo'!B$2:B$746,B1009,'Base bordo'!F$2:F$746,"SEM APONTAMENTO"),0)</f>
        <v>0</v>
      </c>
      <c r="O1009" s="10">
        <f t="shared" si="102"/>
        <v>0</v>
      </c>
      <c r="P1009" s="10">
        <f>IFERROR(SUMIFS('Base bordo'!G$2:G$746,'Base bordo'!C$2:C$746,A1009,'Base bordo'!B$2:B$746,B1009),0)</f>
        <v>1.1950000000000001</v>
      </c>
      <c r="Q1009" s="10">
        <f>IFERROR(SUMIFS('Base bordo'!H$2:H$746,'Base bordo'!C$2:C$746,A1009,'Base bordo'!B$2:B$746,B1009,'Base bordo'!F$2:F$746,"DESLOCAMENTO VAZIO"),0)</f>
        <v>40171.5</v>
      </c>
      <c r="R1009" s="10">
        <f>IFERROR(SUMIFS('Base bordo'!I$2:I$746,'Base bordo'!C$2:C$746,A1009,'Base bordo'!B$2:B$746,B1009,'Base bordo'!F$2:F$746,"DESLOCAMENTO VAZIO"),0)</f>
        <v>2034</v>
      </c>
      <c r="S1009" s="30">
        <f t="shared" si="103"/>
        <v>19.75</v>
      </c>
      <c r="T1009" s="10">
        <f>IFERROR(SUMIFS('Base bordo'!H$2:H$746,'Base bordo'!C$2:C$746,A1009,'Base bordo'!B$2:B$746,B1009,'Base bordo'!F$2:F$746,"DESLOCAMENTO CARREGADO"),0)</f>
        <v>0</v>
      </c>
      <c r="U1009" s="10">
        <f>IFERROR(SUMIFS('Base bordo'!I$2:I$746,'Base bordo'!C$2:C$746,A1009,'Base bordo'!B$2:B$746,B1009,'Base bordo'!F$2:F$746,"DESLOCAMENTO CARREGADO"),0)</f>
        <v>0</v>
      </c>
      <c r="V1009" s="30" t="str">
        <f t="shared" si="104"/>
        <v/>
      </c>
      <c r="W1009" s="9">
        <f t="shared" si="105"/>
        <v>0.47280334728033468</v>
      </c>
      <c r="X1009" s="9">
        <f t="shared" si="106"/>
        <v>0</v>
      </c>
      <c r="Y1009" s="9">
        <f t="shared" si="107"/>
        <v>0.52719665271966532</v>
      </c>
    </row>
    <row r="1010" spans="1:25" ht="15" customHeight="1" x14ac:dyDescent="0.35">
      <c r="A1010" s="52">
        <v>8013483</v>
      </c>
      <c r="B1010" s="51">
        <v>46120</v>
      </c>
      <c r="C1010" s="7" t="s">
        <v>124</v>
      </c>
      <c r="D1010" s="10">
        <f>IFERROR(SUMIFS('Base bordo'!G$2:G$746,'Base bordo'!C$2:C$746,A1010,'Base bordo'!B$2:B$746,B1010,'Base bordo'!F$2:F$746,"DESLOCAMENTO VAZIO"),0)</f>
        <v>0.56499999999999995</v>
      </c>
      <c r="E1010" s="10">
        <f>IFERROR(SUMIFS('Base bordo'!G$2:G$746,'Base bordo'!C$2:C$746,A1010,'Base bordo'!B$2:B$746,B1010,'Base bordo'!F$2:F$746,"DESLOCAMENTO CARREGADO"),0)</f>
        <v>0</v>
      </c>
      <c r="F1010" s="10">
        <f>IFERROR(SUMIFS('Base bordo'!G$2:G$746,'Base bordo'!C$2:C$746,A1010,'Base bordo'!B$2:B$746,B1010,'Base bordo'!F$2:F$746,"DESLOCAMENTO"),0)</f>
        <v>0.22194444444444444</v>
      </c>
      <c r="G1010" s="10">
        <f>IFERROR(SUMIFS('Base bordo'!G$2:G$746,'Base bordo'!C$2:C$746,A1010,'Base bordo'!B$2:B$746,B1010,'Base bordo'!F$2:F$746,"CARREGAMENTO"),0)</f>
        <v>0</v>
      </c>
      <c r="H1010" s="10">
        <f>IFERROR(SUMIFS('Base bordo'!G$2:G$746,'Base bordo'!C$2:C$746,A1010,'Base bordo'!B$2:B$746,B1010,'Base bordo'!F$2:F$746,"AGUARDANDO TRANSBORDO"),0)</f>
        <v>0</v>
      </c>
      <c r="I1010" s="10">
        <f>IFERROR(SUMIFS('Base bordo'!G$2:G$746,'Base bordo'!C$2:C$746,A1010,'Base bordo'!B$2:B$746,B1010,'Base bordo'!F$2:F$746,"PÁTIO INTERNO"),0)+IFERROR(SUMIFS('Base bordo'!G$2:G$746,'Base bordo'!C$2:C$746,A1010,'Base bordo'!B$2:B$746,B1010,'Base bordo'!F$2:F$746,"PÁTIO EXTERNO"),0)+IFERROR(SUMIFS('Base bordo'!G$2:G$746,'Base bordo'!C$2:C$746,A1010,'Base bordo'!B$2:B$746,B1010,'Base bordo'!F$2:F$746,"PATIO - RESERVA"),0)+IFERROR(SUMIFS('Base bordo'!G$2:G$746,'Base bordo'!C$2:C$746,A1010,'Base bordo'!B$2:B$746,B1010,'Base bordo'!F$2:F$746,"MANOBRA CARRETAS-PATIO"),0)</f>
        <v>0</v>
      </c>
      <c r="J1010" s="10">
        <f>IFERROR(SUMIFS('Base bordo'!G$2:G$746,'Base bordo'!C$2:C$746,A1010,'Base bordo'!B$2:B$746,B1010,'Base bordo'!F$2:F$746,"BALANÇA - ENTRADA"),0)+IFERROR(SUMIFS('Base bordo'!G$2:G$746,'Base bordo'!C$2:C$746,A1010,'Base bordo'!B$2:B$746,B1010,'Base bordo'!F$2:F$746,"BALANÇA - SAÍDA"),0)</f>
        <v>0</v>
      </c>
      <c r="K1010" s="10">
        <f>IFERROR(SUMIFS('Base bordo'!G$2:G$746,'Base bordo'!C$2:C$746,A1010,'Base bordo'!B$2:B$746,B1010,'Base bordo'!F$2:F$746,"MAN PREVENTIVA - MECANICA"),0)+IFERROR(SUMIFS('Base bordo'!G$2:G$746,'Base bordo'!C$2:C$746,A1010,'Base bordo'!B$2:B$746,B1010,'Base bordo'!F$2:F$746,"MAN CORRETIVA - MECANICA"),0)</f>
        <v>0</v>
      </c>
      <c r="L1010" s="10">
        <f>IFERROR(SUMIFS('Base bordo'!G$2:G$746,'Base bordo'!C$2:C$746,A1010,'Base bordo'!B$2:B$746,B1010,'Base bordo'!F$2:F$746,"MANUTENCAO - T O"),0)+IFERROR(SUMIFS('Base bordo'!G$2:G$746,'Base bordo'!C$2:C$746,A1010,'Base bordo'!B$2:B$746,B1010,'Base bordo'!F$2:F$746,"MANUTENCAO BORRACHARIA"),0)+IFERROR(SUMIFS('Base bordo'!G$2:G$746,'Base bordo'!C$2:C$746,A1010,'Base bordo'!B$2:B$746,B1010,'Base bordo'!F$2:F$746,"MANUTENCAO EXTERNA  CONCESSIONARIA"),0)+IFERROR(SUMIFS('Base bordo'!G$2:G$746,'Base bordo'!C$2:C$746,A1010,'Base bordo'!B$2:B$746,B1010,'Base bordo'!F$2:F$746,"MANUTENCAO TELEMETRIA"),0)</f>
        <v>0.40805555555555556</v>
      </c>
      <c r="M1010" s="10">
        <f>IFERROR(SUMIFS('Base bordo'!G$2:G$746,'Base bordo'!C$2:C$746,A1010,'Base bordo'!B$2:B$746,B1010,'Base bordo'!F$2:F$746,"AGUARDANDO MANUTENCAO"),0)</f>
        <v>0</v>
      </c>
      <c r="N1010" s="10">
        <f>IFERROR(SUMIFS('Base bordo'!G$2:G$746,'Base bordo'!C$2:C$746,A1010,'Base bordo'!B$2:B$746,B1010,'Base bordo'!F$2:F$746,"SEM APONTAMENTO"),0)</f>
        <v>0</v>
      </c>
      <c r="O1010" s="10">
        <f t="shared" si="102"/>
        <v>0</v>
      </c>
      <c r="P1010" s="10">
        <f>IFERROR(SUMIFS('Base bordo'!G$2:G$746,'Base bordo'!C$2:C$746,A1010,'Base bordo'!B$2:B$746,B1010),0)</f>
        <v>1.1950000000000001</v>
      </c>
      <c r="Q1010" s="10">
        <f>IFERROR(SUMIFS('Base bordo'!H$2:H$746,'Base bordo'!C$2:C$746,A1010,'Base bordo'!B$2:B$746,B1010,'Base bordo'!F$2:F$746,"DESLOCAMENTO VAZIO"),0)</f>
        <v>40171.5</v>
      </c>
      <c r="R1010" s="10">
        <f>IFERROR(SUMIFS('Base bordo'!I$2:I$746,'Base bordo'!C$2:C$746,A1010,'Base bordo'!B$2:B$746,B1010,'Base bordo'!F$2:F$746,"DESLOCAMENTO VAZIO"),0)</f>
        <v>2034</v>
      </c>
      <c r="S1010" s="30">
        <f t="shared" si="103"/>
        <v>19.75</v>
      </c>
      <c r="T1010" s="10">
        <f>IFERROR(SUMIFS('Base bordo'!H$2:H$746,'Base bordo'!C$2:C$746,A1010,'Base bordo'!B$2:B$746,B1010,'Base bordo'!F$2:F$746,"DESLOCAMENTO CARREGADO"),0)</f>
        <v>0</v>
      </c>
      <c r="U1010" s="10">
        <f>IFERROR(SUMIFS('Base bordo'!I$2:I$746,'Base bordo'!C$2:C$746,A1010,'Base bordo'!B$2:B$746,B1010,'Base bordo'!F$2:F$746,"DESLOCAMENTO CARREGADO"),0)</f>
        <v>0</v>
      </c>
      <c r="V1010" s="30" t="str">
        <f t="shared" si="104"/>
        <v/>
      </c>
      <c r="W1010" s="9">
        <f t="shared" si="105"/>
        <v>0.47280334728033468</v>
      </c>
      <c r="X1010" s="9">
        <f t="shared" si="106"/>
        <v>0</v>
      </c>
      <c r="Y1010" s="9">
        <f t="shared" si="107"/>
        <v>0.52719665271966532</v>
      </c>
    </row>
    <row r="1011" spans="1:25" ht="15" customHeight="1" x14ac:dyDescent="0.35">
      <c r="A1011" s="52">
        <v>8013484</v>
      </c>
      <c r="B1011" s="51">
        <v>46120</v>
      </c>
      <c r="C1011" s="7" t="s">
        <v>124</v>
      </c>
      <c r="D1011" s="10">
        <f>IFERROR(SUMIFS('Base bordo'!G$2:G$746,'Base bordo'!C$2:C$746,A1011,'Base bordo'!B$2:B$746,B1011,'Base bordo'!F$2:F$746,"DESLOCAMENTO VAZIO"),0)</f>
        <v>2.2777777777777779E-2</v>
      </c>
      <c r="E1011" s="10">
        <f>IFERROR(SUMIFS('Base bordo'!G$2:G$746,'Base bordo'!C$2:C$746,A1011,'Base bordo'!B$2:B$746,B1011,'Base bordo'!F$2:F$746,"DESLOCAMENTO CARREGADO"),0)</f>
        <v>0.14916666666666667</v>
      </c>
      <c r="F1011" s="10">
        <f>IFERROR(SUMIFS('Base bordo'!G$2:G$746,'Base bordo'!C$2:C$746,A1011,'Base bordo'!B$2:B$746,B1011,'Base bordo'!F$2:F$746,"DESLOCAMENTO"),0)</f>
        <v>0</v>
      </c>
      <c r="G1011" s="10">
        <f>IFERROR(SUMIFS('Base bordo'!G$2:G$746,'Base bordo'!C$2:C$746,A1011,'Base bordo'!B$2:B$746,B1011,'Base bordo'!F$2:F$746,"CARREGAMENTO"),0)</f>
        <v>0</v>
      </c>
      <c r="H1011" s="10">
        <f>IFERROR(SUMIFS('Base bordo'!G$2:G$746,'Base bordo'!C$2:C$746,A1011,'Base bordo'!B$2:B$746,B1011,'Base bordo'!F$2:F$746,"AGUARDANDO TRANSBORDO"),0)</f>
        <v>0.80249999999999999</v>
      </c>
      <c r="I1011" s="10">
        <f>IFERROR(SUMIFS('Base bordo'!G$2:G$746,'Base bordo'!C$2:C$746,A1011,'Base bordo'!B$2:B$746,B1011,'Base bordo'!F$2:F$746,"PÁTIO INTERNO"),0)+IFERROR(SUMIFS('Base bordo'!G$2:G$746,'Base bordo'!C$2:C$746,A1011,'Base bordo'!B$2:B$746,B1011,'Base bordo'!F$2:F$746,"PÁTIO EXTERNO"),0)+IFERROR(SUMIFS('Base bordo'!G$2:G$746,'Base bordo'!C$2:C$746,A1011,'Base bordo'!B$2:B$746,B1011,'Base bordo'!F$2:F$746,"PATIO - RESERVA"),0)+IFERROR(SUMIFS('Base bordo'!G$2:G$746,'Base bordo'!C$2:C$746,A1011,'Base bordo'!B$2:B$746,B1011,'Base bordo'!F$2:F$746,"MANOBRA CARRETAS-PATIO"),0)</f>
        <v>0</v>
      </c>
      <c r="J1011" s="10">
        <f>IFERROR(SUMIFS('Base bordo'!G$2:G$746,'Base bordo'!C$2:C$746,A1011,'Base bordo'!B$2:B$746,B1011,'Base bordo'!F$2:F$746,"BALANÇA - ENTRADA"),0)+IFERROR(SUMIFS('Base bordo'!G$2:G$746,'Base bordo'!C$2:C$746,A1011,'Base bordo'!B$2:B$746,B1011,'Base bordo'!F$2:F$746,"BALANÇA - SAÍDA"),0)</f>
        <v>0</v>
      </c>
      <c r="K1011" s="10">
        <f>IFERROR(SUMIFS('Base bordo'!G$2:G$746,'Base bordo'!C$2:C$746,A1011,'Base bordo'!B$2:B$746,B1011,'Base bordo'!F$2:F$746,"MAN PREVENTIVA - MECANICA"),0)+IFERROR(SUMIFS('Base bordo'!G$2:G$746,'Base bordo'!C$2:C$746,A1011,'Base bordo'!B$2:B$746,B1011,'Base bordo'!F$2:F$746,"MAN CORRETIVA - MECANICA"),0)</f>
        <v>0</v>
      </c>
      <c r="L1011" s="10">
        <f>IFERROR(SUMIFS('Base bordo'!G$2:G$746,'Base bordo'!C$2:C$746,A1011,'Base bordo'!B$2:B$746,B1011,'Base bordo'!F$2:F$746,"MANUTENCAO - T O"),0)+IFERROR(SUMIFS('Base bordo'!G$2:G$746,'Base bordo'!C$2:C$746,A1011,'Base bordo'!B$2:B$746,B1011,'Base bordo'!F$2:F$746,"MANUTENCAO BORRACHARIA"),0)+IFERROR(SUMIFS('Base bordo'!G$2:G$746,'Base bordo'!C$2:C$746,A1011,'Base bordo'!B$2:B$746,B1011,'Base bordo'!F$2:F$746,"MANUTENCAO EXTERNA  CONCESSIONARIA"),0)+IFERROR(SUMIFS('Base bordo'!G$2:G$746,'Base bordo'!C$2:C$746,A1011,'Base bordo'!B$2:B$746,B1011,'Base bordo'!F$2:F$746,"MANUTENCAO TELEMETRIA"),0)</f>
        <v>0</v>
      </c>
      <c r="M1011" s="10">
        <f>IFERROR(SUMIFS('Base bordo'!G$2:G$746,'Base bordo'!C$2:C$746,A1011,'Base bordo'!B$2:B$746,B1011,'Base bordo'!F$2:F$746,"AGUARDANDO MANUTENCAO"),0)</f>
        <v>0</v>
      </c>
      <c r="N1011" s="10">
        <f>IFERROR(SUMIFS('Base bordo'!G$2:G$746,'Base bordo'!C$2:C$746,A1011,'Base bordo'!B$2:B$746,B1011,'Base bordo'!F$2:F$746,"SEM APONTAMENTO"),0)</f>
        <v>0</v>
      </c>
      <c r="O1011" s="10">
        <f t="shared" si="102"/>
        <v>0</v>
      </c>
      <c r="P1011" s="10">
        <f>IFERROR(SUMIFS('Base bordo'!G$2:G$746,'Base bordo'!C$2:C$746,A1011,'Base bordo'!B$2:B$746,B1011),0)</f>
        <v>0.97444444444444445</v>
      </c>
      <c r="Q1011" s="10">
        <f>IFERROR(SUMIFS('Base bordo'!H$2:H$746,'Base bordo'!C$2:C$746,A1011,'Base bordo'!B$2:B$746,B1011,'Base bordo'!F$2:F$746,"DESLOCAMENTO VAZIO"),0)</f>
        <v>1785.96</v>
      </c>
      <c r="R1011" s="10">
        <f>IFERROR(SUMIFS('Base bordo'!I$2:I$746,'Base bordo'!C$2:C$746,A1011,'Base bordo'!B$2:B$746,B1011,'Base bordo'!F$2:F$746,"DESLOCAMENTO VAZIO"),0)</f>
        <v>82</v>
      </c>
      <c r="S1011" s="30">
        <f t="shared" si="103"/>
        <v>21.78</v>
      </c>
      <c r="T1011" s="10">
        <f>IFERROR(SUMIFS('Base bordo'!H$2:H$746,'Base bordo'!C$2:C$746,A1011,'Base bordo'!B$2:B$746,B1011,'Base bordo'!F$2:F$746,"DESLOCAMENTO CARREGADO"),0)</f>
        <v>5157.47</v>
      </c>
      <c r="U1011" s="10">
        <f>IFERROR(SUMIFS('Base bordo'!I$2:I$746,'Base bordo'!C$2:C$746,A1011,'Base bordo'!B$2:B$746,B1011,'Base bordo'!F$2:F$746,"DESLOCAMENTO CARREGADO"),0)</f>
        <v>537</v>
      </c>
      <c r="V1011" s="30">
        <f t="shared" si="104"/>
        <v>9.6042271880819374</v>
      </c>
      <c r="W1011" s="9">
        <f t="shared" si="105"/>
        <v>2.3375142531356901E-2</v>
      </c>
      <c r="X1011" s="9">
        <f t="shared" si="106"/>
        <v>0.15307867730900798</v>
      </c>
      <c r="Y1011" s="9">
        <f t="shared" si="107"/>
        <v>0.8235461801596351</v>
      </c>
    </row>
    <row r="1012" spans="1:25" ht="15" customHeight="1" x14ac:dyDescent="0.35">
      <c r="A1012" s="52">
        <v>8013484</v>
      </c>
      <c r="B1012" s="51">
        <v>46120</v>
      </c>
      <c r="C1012" s="7" t="s">
        <v>124</v>
      </c>
      <c r="D1012" s="10">
        <f>IFERROR(SUMIFS('Base bordo'!G$2:G$746,'Base bordo'!C$2:C$746,A1012,'Base bordo'!B$2:B$746,B1012,'Base bordo'!F$2:F$746,"DESLOCAMENTO VAZIO"),0)</f>
        <v>2.2777777777777779E-2</v>
      </c>
      <c r="E1012" s="10">
        <f>IFERROR(SUMIFS('Base bordo'!G$2:G$746,'Base bordo'!C$2:C$746,A1012,'Base bordo'!B$2:B$746,B1012,'Base bordo'!F$2:F$746,"DESLOCAMENTO CARREGADO"),0)</f>
        <v>0.14916666666666667</v>
      </c>
      <c r="F1012" s="10">
        <f>IFERROR(SUMIFS('Base bordo'!G$2:G$746,'Base bordo'!C$2:C$746,A1012,'Base bordo'!B$2:B$746,B1012,'Base bordo'!F$2:F$746,"DESLOCAMENTO"),0)</f>
        <v>0</v>
      </c>
      <c r="G1012" s="10">
        <f>IFERROR(SUMIFS('Base bordo'!G$2:G$746,'Base bordo'!C$2:C$746,A1012,'Base bordo'!B$2:B$746,B1012,'Base bordo'!F$2:F$746,"CARREGAMENTO"),0)</f>
        <v>0</v>
      </c>
      <c r="H1012" s="10">
        <f>IFERROR(SUMIFS('Base bordo'!G$2:G$746,'Base bordo'!C$2:C$746,A1012,'Base bordo'!B$2:B$746,B1012,'Base bordo'!F$2:F$746,"AGUARDANDO TRANSBORDO"),0)</f>
        <v>0.80249999999999999</v>
      </c>
      <c r="I1012" s="10">
        <f>IFERROR(SUMIFS('Base bordo'!G$2:G$746,'Base bordo'!C$2:C$746,A1012,'Base bordo'!B$2:B$746,B1012,'Base bordo'!F$2:F$746,"PÁTIO INTERNO"),0)+IFERROR(SUMIFS('Base bordo'!G$2:G$746,'Base bordo'!C$2:C$746,A1012,'Base bordo'!B$2:B$746,B1012,'Base bordo'!F$2:F$746,"PÁTIO EXTERNO"),0)+IFERROR(SUMIFS('Base bordo'!G$2:G$746,'Base bordo'!C$2:C$746,A1012,'Base bordo'!B$2:B$746,B1012,'Base bordo'!F$2:F$746,"PATIO - RESERVA"),0)+IFERROR(SUMIFS('Base bordo'!G$2:G$746,'Base bordo'!C$2:C$746,A1012,'Base bordo'!B$2:B$746,B1012,'Base bordo'!F$2:F$746,"MANOBRA CARRETAS-PATIO"),0)</f>
        <v>0</v>
      </c>
      <c r="J1012" s="10">
        <f>IFERROR(SUMIFS('Base bordo'!G$2:G$746,'Base bordo'!C$2:C$746,A1012,'Base bordo'!B$2:B$746,B1012,'Base bordo'!F$2:F$746,"BALANÇA - ENTRADA"),0)+IFERROR(SUMIFS('Base bordo'!G$2:G$746,'Base bordo'!C$2:C$746,A1012,'Base bordo'!B$2:B$746,B1012,'Base bordo'!F$2:F$746,"BALANÇA - SAÍDA"),0)</f>
        <v>0</v>
      </c>
      <c r="K1012" s="10">
        <f>IFERROR(SUMIFS('Base bordo'!G$2:G$746,'Base bordo'!C$2:C$746,A1012,'Base bordo'!B$2:B$746,B1012,'Base bordo'!F$2:F$746,"MAN PREVENTIVA - MECANICA"),0)+IFERROR(SUMIFS('Base bordo'!G$2:G$746,'Base bordo'!C$2:C$746,A1012,'Base bordo'!B$2:B$746,B1012,'Base bordo'!F$2:F$746,"MAN CORRETIVA - MECANICA"),0)</f>
        <v>0</v>
      </c>
      <c r="L1012" s="10">
        <f>IFERROR(SUMIFS('Base bordo'!G$2:G$746,'Base bordo'!C$2:C$746,A1012,'Base bordo'!B$2:B$746,B1012,'Base bordo'!F$2:F$746,"MANUTENCAO - T O"),0)+IFERROR(SUMIFS('Base bordo'!G$2:G$746,'Base bordo'!C$2:C$746,A1012,'Base bordo'!B$2:B$746,B1012,'Base bordo'!F$2:F$746,"MANUTENCAO BORRACHARIA"),0)+IFERROR(SUMIFS('Base bordo'!G$2:G$746,'Base bordo'!C$2:C$746,A1012,'Base bordo'!B$2:B$746,B1012,'Base bordo'!F$2:F$746,"MANUTENCAO EXTERNA  CONCESSIONARIA"),0)+IFERROR(SUMIFS('Base bordo'!G$2:G$746,'Base bordo'!C$2:C$746,A1012,'Base bordo'!B$2:B$746,B1012,'Base bordo'!F$2:F$746,"MANUTENCAO TELEMETRIA"),0)</f>
        <v>0</v>
      </c>
      <c r="M1012" s="10">
        <f>IFERROR(SUMIFS('Base bordo'!G$2:G$746,'Base bordo'!C$2:C$746,A1012,'Base bordo'!B$2:B$746,B1012,'Base bordo'!F$2:F$746,"AGUARDANDO MANUTENCAO"),0)</f>
        <v>0</v>
      </c>
      <c r="N1012" s="10">
        <f>IFERROR(SUMIFS('Base bordo'!G$2:G$746,'Base bordo'!C$2:C$746,A1012,'Base bordo'!B$2:B$746,B1012,'Base bordo'!F$2:F$746,"SEM APONTAMENTO"),0)</f>
        <v>0</v>
      </c>
      <c r="O1012" s="10">
        <f t="shared" si="102"/>
        <v>0</v>
      </c>
      <c r="P1012" s="10">
        <f>IFERROR(SUMIFS('Base bordo'!G$2:G$746,'Base bordo'!C$2:C$746,A1012,'Base bordo'!B$2:B$746,B1012),0)</f>
        <v>0.97444444444444445</v>
      </c>
      <c r="Q1012" s="10">
        <f>IFERROR(SUMIFS('Base bordo'!H$2:H$746,'Base bordo'!C$2:C$746,A1012,'Base bordo'!B$2:B$746,B1012,'Base bordo'!F$2:F$746,"DESLOCAMENTO VAZIO"),0)</f>
        <v>1785.96</v>
      </c>
      <c r="R1012" s="10">
        <f>IFERROR(SUMIFS('Base bordo'!I$2:I$746,'Base bordo'!C$2:C$746,A1012,'Base bordo'!B$2:B$746,B1012,'Base bordo'!F$2:F$746,"DESLOCAMENTO VAZIO"),0)</f>
        <v>82</v>
      </c>
      <c r="S1012" s="30">
        <f t="shared" si="103"/>
        <v>21.78</v>
      </c>
      <c r="T1012" s="10">
        <f>IFERROR(SUMIFS('Base bordo'!H$2:H$746,'Base bordo'!C$2:C$746,A1012,'Base bordo'!B$2:B$746,B1012,'Base bordo'!F$2:F$746,"DESLOCAMENTO CARREGADO"),0)</f>
        <v>5157.47</v>
      </c>
      <c r="U1012" s="10">
        <f>IFERROR(SUMIFS('Base bordo'!I$2:I$746,'Base bordo'!C$2:C$746,A1012,'Base bordo'!B$2:B$746,B1012,'Base bordo'!F$2:F$746,"DESLOCAMENTO CARREGADO"),0)</f>
        <v>537</v>
      </c>
      <c r="V1012" s="30">
        <f t="shared" si="104"/>
        <v>9.6042271880819374</v>
      </c>
      <c r="W1012" s="9">
        <f t="shared" si="105"/>
        <v>2.3375142531356901E-2</v>
      </c>
      <c r="X1012" s="9">
        <f t="shared" si="106"/>
        <v>0.15307867730900798</v>
      </c>
      <c r="Y1012" s="9">
        <f t="shared" si="107"/>
        <v>0.8235461801596351</v>
      </c>
    </row>
    <row r="1013" spans="1:25" ht="15" customHeight="1" x14ac:dyDescent="0.35">
      <c r="A1013" s="52">
        <v>8013484</v>
      </c>
      <c r="B1013" s="51">
        <v>46120</v>
      </c>
      <c r="C1013" s="7" t="s">
        <v>124</v>
      </c>
      <c r="D1013" s="10">
        <f>IFERROR(SUMIFS('Base bordo'!G$2:G$746,'Base bordo'!C$2:C$746,A1013,'Base bordo'!B$2:B$746,B1013,'Base bordo'!F$2:F$746,"DESLOCAMENTO VAZIO"),0)</f>
        <v>2.2777777777777779E-2</v>
      </c>
      <c r="E1013" s="10">
        <f>IFERROR(SUMIFS('Base bordo'!G$2:G$746,'Base bordo'!C$2:C$746,A1013,'Base bordo'!B$2:B$746,B1013,'Base bordo'!F$2:F$746,"DESLOCAMENTO CARREGADO"),0)</f>
        <v>0.14916666666666667</v>
      </c>
      <c r="F1013" s="10">
        <f>IFERROR(SUMIFS('Base bordo'!G$2:G$746,'Base bordo'!C$2:C$746,A1013,'Base bordo'!B$2:B$746,B1013,'Base bordo'!F$2:F$746,"DESLOCAMENTO"),0)</f>
        <v>0</v>
      </c>
      <c r="G1013" s="10">
        <f>IFERROR(SUMIFS('Base bordo'!G$2:G$746,'Base bordo'!C$2:C$746,A1013,'Base bordo'!B$2:B$746,B1013,'Base bordo'!F$2:F$746,"CARREGAMENTO"),0)</f>
        <v>0</v>
      </c>
      <c r="H1013" s="10">
        <f>IFERROR(SUMIFS('Base bordo'!G$2:G$746,'Base bordo'!C$2:C$746,A1013,'Base bordo'!B$2:B$746,B1013,'Base bordo'!F$2:F$746,"AGUARDANDO TRANSBORDO"),0)</f>
        <v>0.80249999999999999</v>
      </c>
      <c r="I1013" s="10">
        <f>IFERROR(SUMIFS('Base bordo'!G$2:G$746,'Base bordo'!C$2:C$746,A1013,'Base bordo'!B$2:B$746,B1013,'Base bordo'!F$2:F$746,"PÁTIO INTERNO"),0)+IFERROR(SUMIFS('Base bordo'!G$2:G$746,'Base bordo'!C$2:C$746,A1013,'Base bordo'!B$2:B$746,B1013,'Base bordo'!F$2:F$746,"PÁTIO EXTERNO"),0)+IFERROR(SUMIFS('Base bordo'!G$2:G$746,'Base bordo'!C$2:C$746,A1013,'Base bordo'!B$2:B$746,B1013,'Base bordo'!F$2:F$746,"PATIO - RESERVA"),0)+IFERROR(SUMIFS('Base bordo'!G$2:G$746,'Base bordo'!C$2:C$746,A1013,'Base bordo'!B$2:B$746,B1013,'Base bordo'!F$2:F$746,"MANOBRA CARRETAS-PATIO"),0)</f>
        <v>0</v>
      </c>
      <c r="J1013" s="10">
        <f>IFERROR(SUMIFS('Base bordo'!G$2:G$746,'Base bordo'!C$2:C$746,A1013,'Base bordo'!B$2:B$746,B1013,'Base bordo'!F$2:F$746,"BALANÇA - ENTRADA"),0)+IFERROR(SUMIFS('Base bordo'!G$2:G$746,'Base bordo'!C$2:C$746,A1013,'Base bordo'!B$2:B$746,B1013,'Base bordo'!F$2:F$746,"BALANÇA - SAÍDA"),0)</f>
        <v>0</v>
      </c>
      <c r="K1013" s="10">
        <f>IFERROR(SUMIFS('Base bordo'!G$2:G$746,'Base bordo'!C$2:C$746,A1013,'Base bordo'!B$2:B$746,B1013,'Base bordo'!F$2:F$746,"MAN PREVENTIVA - MECANICA"),0)+IFERROR(SUMIFS('Base bordo'!G$2:G$746,'Base bordo'!C$2:C$746,A1013,'Base bordo'!B$2:B$746,B1013,'Base bordo'!F$2:F$746,"MAN CORRETIVA - MECANICA"),0)</f>
        <v>0</v>
      </c>
      <c r="L1013" s="10">
        <f>IFERROR(SUMIFS('Base bordo'!G$2:G$746,'Base bordo'!C$2:C$746,A1013,'Base bordo'!B$2:B$746,B1013,'Base bordo'!F$2:F$746,"MANUTENCAO - T O"),0)+IFERROR(SUMIFS('Base bordo'!G$2:G$746,'Base bordo'!C$2:C$746,A1013,'Base bordo'!B$2:B$746,B1013,'Base bordo'!F$2:F$746,"MANUTENCAO BORRACHARIA"),0)+IFERROR(SUMIFS('Base bordo'!G$2:G$746,'Base bordo'!C$2:C$746,A1013,'Base bordo'!B$2:B$746,B1013,'Base bordo'!F$2:F$746,"MANUTENCAO EXTERNA  CONCESSIONARIA"),0)+IFERROR(SUMIFS('Base bordo'!G$2:G$746,'Base bordo'!C$2:C$746,A1013,'Base bordo'!B$2:B$746,B1013,'Base bordo'!F$2:F$746,"MANUTENCAO TELEMETRIA"),0)</f>
        <v>0</v>
      </c>
      <c r="M1013" s="10">
        <f>IFERROR(SUMIFS('Base bordo'!G$2:G$746,'Base bordo'!C$2:C$746,A1013,'Base bordo'!B$2:B$746,B1013,'Base bordo'!F$2:F$746,"AGUARDANDO MANUTENCAO"),0)</f>
        <v>0</v>
      </c>
      <c r="N1013" s="10">
        <f>IFERROR(SUMIFS('Base bordo'!G$2:G$746,'Base bordo'!C$2:C$746,A1013,'Base bordo'!B$2:B$746,B1013,'Base bordo'!F$2:F$746,"SEM APONTAMENTO"),0)</f>
        <v>0</v>
      </c>
      <c r="O1013" s="10">
        <f t="shared" si="102"/>
        <v>0</v>
      </c>
      <c r="P1013" s="10">
        <f>IFERROR(SUMIFS('Base bordo'!G$2:G$746,'Base bordo'!C$2:C$746,A1013,'Base bordo'!B$2:B$746,B1013),0)</f>
        <v>0.97444444444444445</v>
      </c>
      <c r="Q1013" s="10">
        <f>IFERROR(SUMIFS('Base bordo'!H$2:H$746,'Base bordo'!C$2:C$746,A1013,'Base bordo'!B$2:B$746,B1013,'Base bordo'!F$2:F$746,"DESLOCAMENTO VAZIO"),0)</f>
        <v>1785.96</v>
      </c>
      <c r="R1013" s="10">
        <f>IFERROR(SUMIFS('Base bordo'!I$2:I$746,'Base bordo'!C$2:C$746,A1013,'Base bordo'!B$2:B$746,B1013,'Base bordo'!F$2:F$746,"DESLOCAMENTO VAZIO"),0)</f>
        <v>82</v>
      </c>
      <c r="S1013" s="30">
        <f t="shared" si="103"/>
        <v>21.78</v>
      </c>
      <c r="T1013" s="10">
        <f>IFERROR(SUMIFS('Base bordo'!H$2:H$746,'Base bordo'!C$2:C$746,A1013,'Base bordo'!B$2:B$746,B1013,'Base bordo'!F$2:F$746,"DESLOCAMENTO CARREGADO"),0)</f>
        <v>5157.47</v>
      </c>
      <c r="U1013" s="10">
        <f>IFERROR(SUMIFS('Base bordo'!I$2:I$746,'Base bordo'!C$2:C$746,A1013,'Base bordo'!B$2:B$746,B1013,'Base bordo'!F$2:F$746,"DESLOCAMENTO CARREGADO"),0)</f>
        <v>537</v>
      </c>
      <c r="V1013" s="30">
        <f t="shared" si="104"/>
        <v>9.6042271880819374</v>
      </c>
      <c r="W1013" s="9">
        <f t="shared" si="105"/>
        <v>2.3375142531356901E-2</v>
      </c>
      <c r="X1013" s="9">
        <f t="shared" si="106"/>
        <v>0.15307867730900798</v>
      </c>
      <c r="Y1013" s="9">
        <f t="shared" si="107"/>
        <v>0.8235461801596351</v>
      </c>
    </row>
    <row r="1014" spans="1:25" ht="15" customHeight="1" x14ac:dyDescent="0.35">
      <c r="A1014" s="52">
        <v>8013485</v>
      </c>
      <c r="B1014" s="51">
        <v>46120</v>
      </c>
      <c r="C1014" s="7" t="s">
        <v>124</v>
      </c>
      <c r="D1014" s="10">
        <f>IFERROR(SUMIFS('Base bordo'!G$2:G$746,'Base bordo'!C$2:C$746,A1014,'Base bordo'!B$2:B$746,B1014,'Base bordo'!F$2:F$746,"DESLOCAMENTO VAZIO"),0)</f>
        <v>0</v>
      </c>
      <c r="E1014" s="10">
        <f>IFERROR(SUMIFS('Base bordo'!G$2:G$746,'Base bordo'!C$2:C$746,A1014,'Base bordo'!B$2:B$746,B1014,'Base bordo'!F$2:F$746,"DESLOCAMENTO CARREGADO"),0)</f>
        <v>0</v>
      </c>
      <c r="F1014" s="10">
        <f>IFERROR(SUMIFS('Base bordo'!G$2:G$746,'Base bordo'!C$2:C$746,A1014,'Base bordo'!B$2:B$746,B1014,'Base bordo'!F$2:F$746,"DESLOCAMENTO"),0)</f>
        <v>0</v>
      </c>
      <c r="G1014" s="10">
        <f>IFERROR(SUMIFS('Base bordo'!G$2:G$746,'Base bordo'!C$2:C$746,A1014,'Base bordo'!B$2:B$746,B1014,'Base bordo'!F$2:F$746,"CARREGAMENTO"),0)</f>
        <v>0</v>
      </c>
      <c r="H1014" s="10">
        <f>IFERROR(SUMIFS('Base bordo'!G$2:G$746,'Base bordo'!C$2:C$746,A1014,'Base bordo'!B$2:B$746,B1014,'Base bordo'!F$2:F$746,"AGUARDANDO TRANSBORDO"),0)</f>
        <v>0</v>
      </c>
      <c r="I1014" s="10">
        <f>IFERROR(SUMIFS('Base bordo'!G$2:G$746,'Base bordo'!C$2:C$746,A1014,'Base bordo'!B$2:B$746,B1014,'Base bordo'!F$2:F$746,"PÁTIO INTERNO"),0)+IFERROR(SUMIFS('Base bordo'!G$2:G$746,'Base bordo'!C$2:C$746,A1014,'Base bordo'!B$2:B$746,B1014,'Base bordo'!F$2:F$746,"PÁTIO EXTERNO"),0)+IFERROR(SUMIFS('Base bordo'!G$2:G$746,'Base bordo'!C$2:C$746,A1014,'Base bordo'!B$2:B$746,B1014,'Base bordo'!F$2:F$746,"PATIO - RESERVA"),0)+IFERROR(SUMIFS('Base bordo'!G$2:G$746,'Base bordo'!C$2:C$746,A1014,'Base bordo'!B$2:B$746,B1014,'Base bordo'!F$2:F$746,"MANOBRA CARRETAS-PATIO"),0)</f>
        <v>0</v>
      </c>
      <c r="J1014" s="10">
        <f>IFERROR(SUMIFS('Base bordo'!G$2:G$746,'Base bordo'!C$2:C$746,A1014,'Base bordo'!B$2:B$746,B1014,'Base bordo'!F$2:F$746,"BALANÇA - ENTRADA"),0)+IFERROR(SUMIFS('Base bordo'!G$2:G$746,'Base bordo'!C$2:C$746,A1014,'Base bordo'!B$2:B$746,B1014,'Base bordo'!F$2:F$746,"BALANÇA - SAÍDA"),0)</f>
        <v>0</v>
      </c>
      <c r="K1014" s="10">
        <f>IFERROR(SUMIFS('Base bordo'!G$2:G$746,'Base bordo'!C$2:C$746,A1014,'Base bordo'!B$2:B$746,B1014,'Base bordo'!F$2:F$746,"MAN PREVENTIVA - MECANICA"),0)+IFERROR(SUMIFS('Base bordo'!G$2:G$746,'Base bordo'!C$2:C$746,A1014,'Base bordo'!B$2:B$746,B1014,'Base bordo'!F$2:F$746,"MAN CORRETIVA - MECANICA"),0)</f>
        <v>0</v>
      </c>
      <c r="L1014" s="10">
        <f>IFERROR(SUMIFS('Base bordo'!G$2:G$746,'Base bordo'!C$2:C$746,A1014,'Base bordo'!B$2:B$746,B1014,'Base bordo'!F$2:F$746,"MANUTENCAO - T O"),0)+IFERROR(SUMIFS('Base bordo'!G$2:G$746,'Base bordo'!C$2:C$746,A1014,'Base bordo'!B$2:B$746,B1014,'Base bordo'!F$2:F$746,"MANUTENCAO BORRACHARIA"),0)+IFERROR(SUMIFS('Base bordo'!G$2:G$746,'Base bordo'!C$2:C$746,A1014,'Base bordo'!B$2:B$746,B1014,'Base bordo'!F$2:F$746,"MANUTENCAO EXTERNA  CONCESSIONARIA"),0)+IFERROR(SUMIFS('Base bordo'!G$2:G$746,'Base bordo'!C$2:C$746,A1014,'Base bordo'!B$2:B$746,B1014,'Base bordo'!F$2:F$746,"MANUTENCAO TELEMETRIA"),0)</f>
        <v>0</v>
      </c>
      <c r="M1014" s="10">
        <f>IFERROR(SUMIFS('Base bordo'!G$2:G$746,'Base bordo'!C$2:C$746,A1014,'Base bordo'!B$2:B$746,B1014,'Base bordo'!F$2:F$746,"AGUARDANDO MANUTENCAO"),0)</f>
        <v>0</v>
      </c>
      <c r="N1014" s="10">
        <f>IFERROR(SUMIFS('Base bordo'!G$2:G$746,'Base bordo'!C$2:C$746,A1014,'Base bordo'!B$2:B$746,B1014,'Base bordo'!F$2:F$746,"SEM APONTAMENTO"),0)</f>
        <v>0</v>
      </c>
      <c r="O1014" s="10">
        <f t="shared" si="102"/>
        <v>0</v>
      </c>
      <c r="P1014" s="10">
        <f>IFERROR(SUMIFS('Base bordo'!G$2:G$746,'Base bordo'!C$2:C$746,A1014,'Base bordo'!B$2:B$746,B1014),0)</f>
        <v>0</v>
      </c>
      <c r="Q1014" s="10">
        <f>IFERROR(SUMIFS('Base bordo'!H$2:H$746,'Base bordo'!C$2:C$746,A1014,'Base bordo'!B$2:B$746,B1014,'Base bordo'!F$2:F$746,"DESLOCAMENTO VAZIO"),0)</f>
        <v>0</v>
      </c>
      <c r="R1014" s="10">
        <f>IFERROR(SUMIFS('Base bordo'!I$2:I$746,'Base bordo'!C$2:C$746,A1014,'Base bordo'!B$2:B$746,B1014,'Base bordo'!F$2:F$746,"DESLOCAMENTO VAZIO"),0)</f>
        <v>0</v>
      </c>
      <c r="S1014" s="30" t="str">
        <f t="shared" si="103"/>
        <v/>
      </c>
      <c r="T1014" s="10">
        <f>IFERROR(SUMIFS('Base bordo'!H$2:H$746,'Base bordo'!C$2:C$746,A1014,'Base bordo'!B$2:B$746,B1014,'Base bordo'!F$2:F$746,"DESLOCAMENTO CARREGADO"),0)</f>
        <v>0</v>
      </c>
      <c r="U1014" s="10">
        <f>IFERROR(SUMIFS('Base bordo'!I$2:I$746,'Base bordo'!C$2:C$746,A1014,'Base bordo'!B$2:B$746,B1014,'Base bordo'!F$2:F$746,"DESLOCAMENTO CARREGADO"),0)</f>
        <v>0</v>
      </c>
      <c r="V1014" s="30" t="str">
        <f t="shared" si="104"/>
        <v/>
      </c>
      <c r="W1014" s="9">
        <f t="shared" si="105"/>
        <v>0</v>
      </c>
      <c r="X1014" s="9">
        <f t="shared" si="106"/>
        <v>0</v>
      </c>
      <c r="Y1014" s="9">
        <f t="shared" si="107"/>
        <v>0</v>
      </c>
    </row>
    <row r="1015" spans="1:25" ht="15" customHeight="1" x14ac:dyDescent="0.35">
      <c r="A1015" s="52">
        <v>8013485</v>
      </c>
      <c r="B1015" s="51">
        <v>46120</v>
      </c>
      <c r="C1015" s="7" t="s">
        <v>124</v>
      </c>
      <c r="D1015" s="10">
        <f>IFERROR(SUMIFS('Base bordo'!G$2:G$746,'Base bordo'!C$2:C$746,A1015,'Base bordo'!B$2:B$746,B1015,'Base bordo'!F$2:F$746,"DESLOCAMENTO VAZIO"),0)</f>
        <v>0</v>
      </c>
      <c r="E1015" s="10">
        <f>IFERROR(SUMIFS('Base bordo'!G$2:G$746,'Base bordo'!C$2:C$746,A1015,'Base bordo'!B$2:B$746,B1015,'Base bordo'!F$2:F$746,"DESLOCAMENTO CARREGADO"),0)</f>
        <v>0</v>
      </c>
      <c r="F1015" s="10">
        <f>IFERROR(SUMIFS('Base bordo'!G$2:G$746,'Base bordo'!C$2:C$746,A1015,'Base bordo'!B$2:B$746,B1015,'Base bordo'!F$2:F$746,"DESLOCAMENTO"),0)</f>
        <v>0</v>
      </c>
      <c r="G1015" s="10">
        <f>IFERROR(SUMIFS('Base bordo'!G$2:G$746,'Base bordo'!C$2:C$746,A1015,'Base bordo'!B$2:B$746,B1015,'Base bordo'!F$2:F$746,"CARREGAMENTO"),0)</f>
        <v>0</v>
      </c>
      <c r="H1015" s="10">
        <f>IFERROR(SUMIFS('Base bordo'!G$2:G$746,'Base bordo'!C$2:C$746,A1015,'Base bordo'!B$2:B$746,B1015,'Base bordo'!F$2:F$746,"AGUARDANDO TRANSBORDO"),0)</f>
        <v>0</v>
      </c>
      <c r="I1015" s="10">
        <f>IFERROR(SUMIFS('Base bordo'!G$2:G$746,'Base bordo'!C$2:C$746,A1015,'Base bordo'!B$2:B$746,B1015,'Base bordo'!F$2:F$746,"PÁTIO INTERNO"),0)+IFERROR(SUMIFS('Base bordo'!G$2:G$746,'Base bordo'!C$2:C$746,A1015,'Base bordo'!B$2:B$746,B1015,'Base bordo'!F$2:F$746,"PÁTIO EXTERNO"),0)+IFERROR(SUMIFS('Base bordo'!G$2:G$746,'Base bordo'!C$2:C$746,A1015,'Base bordo'!B$2:B$746,B1015,'Base bordo'!F$2:F$746,"PATIO - RESERVA"),0)+IFERROR(SUMIFS('Base bordo'!G$2:G$746,'Base bordo'!C$2:C$746,A1015,'Base bordo'!B$2:B$746,B1015,'Base bordo'!F$2:F$746,"MANOBRA CARRETAS-PATIO"),0)</f>
        <v>0</v>
      </c>
      <c r="J1015" s="10">
        <f>IFERROR(SUMIFS('Base bordo'!G$2:G$746,'Base bordo'!C$2:C$746,A1015,'Base bordo'!B$2:B$746,B1015,'Base bordo'!F$2:F$746,"BALANÇA - ENTRADA"),0)+IFERROR(SUMIFS('Base bordo'!G$2:G$746,'Base bordo'!C$2:C$746,A1015,'Base bordo'!B$2:B$746,B1015,'Base bordo'!F$2:F$746,"BALANÇA - SAÍDA"),0)</f>
        <v>0</v>
      </c>
      <c r="K1015" s="10">
        <f>IFERROR(SUMIFS('Base bordo'!G$2:G$746,'Base bordo'!C$2:C$746,A1015,'Base bordo'!B$2:B$746,B1015,'Base bordo'!F$2:F$746,"MAN PREVENTIVA - MECANICA"),0)+IFERROR(SUMIFS('Base bordo'!G$2:G$746,'Base bordo'!C$2:C$746,A1015,'Base bordo'!B$2:B$746,B1015,'Base bordo'!F$2:F$746,"MAN CORRETIVA - MECANICA"),0)</f>
        <v>0</v>
      </c>
      <c r="L1015" s="10">
        <f>IFERROR(SUMIFS('Base bordo'!G$2:G$746,'Base bordo'!C$2:C$746,A1015,'Base bordo'!B$2:B$746,B1015,'Base bordo'!F$2:F$746,"MANUTENCAO - T O"),0)+IFERROR(SUMIFS('Base bordo'!G$2:G$746,'Base bordo'!C$2:C$746,A1015,'Base bordo'!B$2:B$746,B1015,'Base bordo'!F$2:F$746,"MANUTENCAO BORRACHARIA"),0)+IFERROR(SUMIFS('Base bordo'!G$2:G$746,'Base bordo'!C$2:C$746,A1015,'Base bordo'!B$2:B$746,B1015,'Base bordo'!F$2:F$746,"MANUTENCAO EXTERNA  CONCESSIONARIA"),0)+IFERROR(SUMIFS('Base bordo'!G$2:G$746,'Base bordo'!C$2:C$746,A1015,'Base bordo'!B$2:B$746,B1015,'Base bordo'!F$2:F$746,"MANUTENCAO TELEMETRIA"),0)</f>
        <v>0</v>
      </c>
      <c r="M1015" s="10">
        <f>IFERROR(SUMIFS('Base bordo'!G$2:G$746,'Base bordo'!C$2:C$746,A1015,'Base bordo'!B$2:B$746,B1015,'Base bordo'!F$2:F$746,"AGUARDANDO MANUTENCAO"),0)</f>
        <v>0</v>
      </c>
      <c r="N1015" s="10">
        <f>IFERROR(SUMIFS('Base bordo'!G$2:G$746,'Base bordo'!C$2:C$746,A1015,'Base bordo'!B$2:B$746,B1015,'Base bordo'!F$2:F$746,"SEM APONTAMENTO"),0)</f>
        <v>0</v>
      </c>
      <c r="O1015" s="10">
        <f t="shared" si="102"/>
        <v>0</v>
      </c>
      <c r="P1015" s="10">
        <f>IFERROR(SUMIFS('Base bordo'!G$2:G$746,'Base bordo'!C$2:C$746,A1015,'Base bordo'!B$2:B$746,B1015),0)</f>
        <v>0</v>
      </c>
      <c r="Q1015" s="10">
        <f>IFERROR(SUMIFS('Base bordo'!H$2:H$746,'Base bordo'!C$2:C$746,A1015,'Base bordo'!B$2:B$746,B1015,'Base bordo'!F$2:F$746,"DESLOCAMENTO VAZIO"),0)</f>
        <v>0</v>
      </c>
      <c r="R1015" s="10">
        <f>IFERROR(SUMIFS('Base bordo'!I$2:I$746,'Base bordo'!C$2:C$746,A1015,'Base bordo'!B$2:B$746,B1015,'Base bordo'!F$2:F$746,"DESLOCAMENTO VAZIO"),0)</f>
        <v>0</v>
      </c>
      <c r="S1015" s="30" t="str">
        <f t="shared" si="103"/>
        <v/>
      </c>
      <c r="T1015" s="10">
        <f>IFERROR(SUMIFS('Base bordo'!H$2:H$746,'Base bordo'!C$2:C$746,A1015,'Base bordo'!B$2:B$746,B1015,'Base bordo'!F$2:F$746,"DESLOCAMENTO CARREGADO"),0)</f>
        <v>0</v>
      </c>
      <c r="U1015" s="10">
        <f>IFERROR(SUMIFS('Base bordo'!I$2:I$746,'Base bordo'!C$2:C$746,A1015,'Base bordo'!B$2:B$746,B1015,'Base bordo'!F$2:F$746,"DESLOCAMENTO CARREGADO"),0)</f>
        <v>0</v>
      </c>
      <c r="V1015" s="30" t="str">
        <f t="shared" si="104"/>
        <v/>
      </c>
      <c r="W1015" s="9">
        <f t="shared" si="105"/>
        <v>0</v>
      </c>
      <c r="X1015" s="9">
        <f t="shared" si="106"/>
        <v>0</v>
      </c>
      <c r="Y1015" s="9">
        <f t="shared" si="107"/>
        <v>0</v>
      </c>
    </row>
    <row r="1016" spans="1:25" ht="15" customHeight="1" x14ac:dyDescent="0.35">
      <c r="A1016" s="52">
        <v>8013486</v>
      </c>
      <c r="B1016" s="51">
        <v>46120</v>
      </c>
      <c r="C1016" s="7" t="s">
        <v>124</v>
      </c>
      <c r="D1016" s="10">
        <f>IFERROR(SUMIFS('Base bordo'!G$2:G$746,'Base bordo'!C$2:C$746,A1016,'Base bordo'!B$2:B$746,B1016,'Base bordo'!F$2:F$746,"DESLOCAMENTO VAZIO"),0)</f>
        <v>0</v>
      </c>
      <c r="E1016" s="10">
        <f>IFERROR(SUMIFS('Base bordo'!G$2:G$746,'Base bordo'!C$2:C$746,A1016,'Base bordo'!B$2:B$746,B1016,'Base bordo'!F$2:F$746,"DESLOCAMENTO CARREGADO"),0)</f>
        <v>0</v>
      </c>
      <c r="F1016" s="10">
        <f>IFERROR(SUMIFS('Base bordo'!G$2:G$746,'Base bordo'!C$2:C$746,A1016,'Base bordo'!B$2:B$746,B1016,'Base bordo'!F$2:F$746,"DESLOCAMENTO"),0)</f>
        <v>0</v>
      </c>
      <c r="G1016" s="10">
        <f>IFERROR(SUMIFS('Base bordo'!G$2:G$746,'Base bordo'!C$2:C$746,A1016,'Base bordo'!B$2:B$746,B1016,'Base bordo'!F$2:F$746,"CARREGAMENTO"),0)</f>
        <v>0</v>
      </c>
      <c r="H1016" s="10">
        <f>IFERROR(SUMIFS('Base bordo'!G$2:G$746,'Base bordo'!C$2:C$746,A1016,'Base bordo'!B$2:B$746,B1016,'Base bordo'!F$2:F$746,"AGUARDANDO TRANSBORDO"),0)</f>
        <v>0</v>
      </c>
      <c r="I1016" s="10">
        <f>IFERROR(SUMIFS('Base bordo'!G$2:G$746,'Base bordo'!C$2:C$746,A1016,'Base bordo'!B$2:B$746,B1016,'Base bordo'!F$2:F$746,"PÁTIO INTERNO"),0)+IFERROR(SUMIFS('Base bordo'!G$2:G$746,'Base bordo'!C$2:C$746,A1016,'Base bordo'!B$2:B$746,B1016,'Base bordo'!F$2:F$746,"PÁTIO EXTERNO"),0)+IFERROR(SUMIFS('Base bordo'!G$2:G$746,'Base bordo'!C$2:C$746,A1016,'Base bordo'!B$2:B$746,B1016,'Base bordo'!F$2:F$746,"PATIO - RESERVA"),0)+IFERROR(SUMIFS('Base bordo'!G$2:G$746,'Base bordo'!C$2:C$746,A1016,'Base bordo'!B$2:B$746,B1016,'Base bordo'!F$2:F$746,"MANOBRA CARRETAS-PATIO"),0)</f>
        <v>8.3333333333333332E-3</v>
      </c>
      <c r="J1016" s="10">
        <f>IFERROR(SUMIFS('Base bordo'!G$2:G$746,'Base bordo'!C$2:C$746,A1016,'Base bordo'!B$2:B$746,B1016,'Base bordo'!F$2:F$746,"BALANÇA - ENTRADA"),0)+IFERROR(SUMIFS('Base bordo'!G$2:G$746,'Base bordo'!C$2:C$746,A1016,'Base bordo'!B$2:B$746,B1016,'Base bordo'!F$2:F$746,"BALANÇA - SAÍDA"),0)</f>
        <v>0</v>
      </c>
      <c r="K1016" s="10">
        <f>IFERROR(SUMIFS('Base bordo'!G$2:G$746,'Base bordo'!C$2:C$746,A1016,'Base bordo'!B$2:B$746,B1016,'Base bordo'!F$2:F$746,"MAN PREVENTIVA - MECANICA"),0)+IFERROR(SUMIFS('Base bordo'!G$2:G$746,'Base bordo'!C$2:C$746,A1016,'Base bordo'!B$2:B$746,B1016,'Base bordo'!F$2:F$746,"MAN CORRETIVA - MECANICA"),0)</f>
        <v>0</v>
      </c>
      <c r="L1016" s="10">
        <f>IFERROR(SUMIFS('Base bordo'!G$2:G$746,'Base bordo'!C$2:C$746,A1016,'Base bordo'!B$2:B$746,B1016,'Base bordo'!F$2:F$746,"MANUTENCAO - T O"),0)+IFERROR(SUMIFS('Base bordo'!G$2:G$746,'Base bordo'!C$2:C$746,A1016,'Base bordo'!B$2:B$746,B1016,'Base bordo'!F$2:F$746,"MANUTENCAO BORRACHARIA"),0)+IFERROR(SUMIFS('Base bordo'!G$2:G$746,'Base bordo'!C$2:C$746,A1016,'Base bordo'!B$2:B$746,B1016,'Base bordo'!F$2:F$746,"MANUTENCAO EXTERNA  CONCESSIONARIA"),0)+IFERROR(SUMIFS('Base bordo'!G$2:G$746,'Base bordo'!C$2:C$746,A1016,'Base bordo'!B$2:B$746,B1016,'Base bordo'!F$2:F$746,"MANUTENCAO TELEMETRIA"),0)</f>
        <v>0</v>
      </c>
      <c r="M1016" s="10">
        <f>IFERROR(SUMIFS('Base bordo'!G$2:G$746,'Base bordo'!C$2:C$746,A1016,'Base bordo'!B$2:B$746,B1016,'Base bordo'!F$2:F$746,"AGUARDANDO MANUTENCAO"),0)</f>
        <v>0</v>
      </c>
      <c r="N1016" s="10">
        <f>IFERROR(SUMIFS('Base bordo'!G$2:G$746,'Base bordo'!C$2:C$746,A1016,'Base bordo'!B$2:B$746,B1016,'Base bordo'!F$2:F$746,"SEM APONTAMENTO"),0)</f>
        <v>0</v>
      </c>
      <c r="O1016" s="10">
        <f t="shared" si="102"/>
        <v>0</v>
      </c>
      <c r="P1016" s="10">
        <f>IFERROR(SUMIFS('Base bordo'!G$2:G$746,'Base bordo'!C$2:C$746,A1016,'Base bordo'!B$2:B$746,B1016),0)</f>
        <v>8.3333333333333332E-3</v>
      </c>
      <c r="Q1016" s="10">
        <f>IFERROR(SUMIFS('Base bordo'!H$2:H$746,'Base bordo'!C$2:C$746,A1016,'Base bordo'!B$2:B$746,B1016,'Base bordo'!F$2:F$746,"DESLOCAMENTO VAZIO"),0)</f>
        <v>0</v>
      </c>
      <c r="R1016" s="10">
        <f>IFERROR(SUMIFS('Base bordo'!I$2:I$746,'Base bordo'!C$2:C$746,A1016,'Base bordo'!B$2:B$746,B1016,'Base bordo'!F$2:F$746,"DESLOCAMENTO VAZIO"),0)</f>
        <v>0</v>
      </c>
      <c r="S1016" s="30" t="str">
        <f t="shared" si="103"/>
        <v/>
      </c>
      <c r="T1016" s="10">
        <f>IFERROR(SUMIFS('Base bordo'!H$2:H$746,'Base bordo'!C$2:C$746,A1016,'Base bordo'!B$2:B$746,B1016,'Base bordo'!F$2:F$746,"DESLOCAMENTO CARREGADO"),0)</f>
        <v>0</v>
      </c>
      <c r="U1016" s="10">
        <f>IFERROR(SUMIFS('Base bordo'!I$2:I$746,'Base bordo'!C$2:C$746,A1016,'Base bordo'!B$2:B$746,B1016,'Base bordo'!F$2:F$746,"DESLOCAMENTO CARREGADO"),0)</f>
        <v>0</v>
      </c>
      <c r="V1016" s="30" t="str">
        <f t="shared" si="104"/>
        <v/>
      </c>
      <c r="W1016" s="9">
        <f t="shared" si="105"/>
        <v>0</v>
      </c>
      <c r="X1016" s="9">
        <f t="shared" si="106"/>
        <v>0</v>
      </c>
      <c r="Y1016" s="9">
        <f t="shared" si="107"/>
        <v>1</v>
      </c>
    </row>
    <row r="1017" spans="1:25" ht="15" customHeight="1" x14ac:dyDescent="0.35">
      <c r="A1017" s="52">
        <v>8013486</v>
      </c>
      <c r="B1017" s="51">
        <v>46120</v>
      </c>
      <c r="C1017" s="7" t="s">
        <v>124</v>
      </c>
      <c r="D1017" s="10">
        <f>IFERROR(SUMIFS('Base bordo'!G$2:G$746,'Base bordo'!C$2:C$746,A1017,'Base bordo'!B$2:B$746,B1017,'Base bordo'!F$2:F$746,"DESLOCAMENTO VAZIO"),0)</f>
        <v>0</v>
      </c>
      <c r="E1017" s="10">
        <f>IFERROR(SUMIFS('Base bordo'!G$2:G$746,'Base bordo'!C$2:C$746,A1017,'Base bordo'!B$2:B$746,B1017,'Base bordo'!F$2:F$746,"DESLOCAMENTO CARREGADO"),0)</f>
        <v>0</v>
      </c>
      <c r="F1017" s="10">
        <f>IFERROR(SUMIFS('Base bordo'!G$2:G$746,'Base bordo'!C$2:C$746,A1017,'Base bordo'!B$2:B$746,B1017,'Base bordo'!F$2:F$746,"DESLOCAMENTO"),0)</f>
        <v>0</v>
      </c>
      <c r="G1017" s="10">
        <f>IFERROR(SUMIFS('Base bordo'!G$2:G$746,'Base bordo'!C$2:C$746,A1017,'Base bordo'!B$2:B$746,B1017,'Base bordo'!F$2:F$746,"CARREGAMENTO"),0)</f>
        <v>0</v>
      </c>
      <c r="H1017" s="10">
        <f>IFERROR(SUMIFS('Base bordo'!G$2:G$746,'Base bordo'!C$2:C$746,A1017,'Base bordo'!B$2:B$746,B1017,'Base bordo'!F$2:F$746,"AGUARDANDO TRANSBORDO"),0)</f>
        <v>0</v>
      </c>
      <c r="I1017" s="10">
        <f>IFERROR(SUMIFS('Base bordo'!G$2:G$746,'Base bordo'!C$2:C$746,A1017,'Base bordo'!B$2:B$746,B1017,'Base bordo'!F$2:F$746,"PÁTIO INTERNO"),0)+IFERROR(SUMIFS('Base bordo'!G$2:G$746,'Base bordo'!C$2:C$746,A1017,'Base bordo'!B$2:B$746,B1017,'Base bordo'!F$2:F$746,"PÁTIO EXTERNO"),0)+IFERROR(SUMIFS('Base bordo'!G$2:G$746,'Base bordo'!C$2:C$746,A1017,'Base bordo'!B$2:B$746,B1017,'Base bordo'!F$2:F$746,"PATIO - RESERVA"),0)+IFERROR(SUMIFS('Base bordo'!G$2:G$746,'Base bordo'!C$2:C$746,A1017,'Base bordo'!B$2:B$746,B1017,'Base bordo'!F$2:F$746,"MANOBRA CARRETAS-PATIO"),0)</f>
        <v>8.3333333333333332E-3</v>
      </c>
      <c r="J1017" s="10">
        <f>IFERROR(SUMIFS('Base bordo'!G$2:G$746,'Base bordo'!C$2:C$746,A1017,'Base bordo'!B$2:B$746,B1017,'Base bordo'!F$2:F$746,"BALANÇA - ENTRADA"),0)+IFERROR(SUMIFS('Base bordo'!G$2:G$746,'Base bordo'!C$2:C$746,A1017,'Base bordo'!B$2:B$746,B1017,'Base bordo'!F$2:F$746,"BALANÇA - SAÍDA"),0)</f>
        <v>0</v>
      </c>
      <c r="K1017" s="10">
        <f>IFERROR(SUMIFS('Base bordo'!G$2:G$746,'Base bordo'!C$2:C$746,A1017,'Base bordo'!B$2:B$746,B1017,'Base bordo'!F$2:F$746,"MAN PREVENTIVA - MECANICA"),0)+IFERROR(SUMIFS('Base bordo'!G$2:G$746,'Base bordo'!C$2:C$746,A1017,'Base bordo'!B$2:B$746,B1017,'Base bordo'!F$2:F$746,"MAN CORRETIVA - MECANICA"),0)</f>
        <v>0</v>
      </c>
      <c r="L1017" s="10">
        <f>IFERROR(SUMIFS('Base bordo'!G$2:G$746,'Base bordo'!C$2:C$746,A1017,'Base bordo'!B$2:B$746,B1017,'Base bordo'!F$2:F$746,"MANUTENCAO - T O"),0)+IFERROR(SUMIFS('Base bordo'!G$2:G$746,'Base bordo'!C$2:C$746,A1017,'Base bordo'!B$2:B$746,B1017,'Base bordo'!F$2:F$746,"MANUTENCAO BORRACHARIA"),0)+IFERROR(SUMIFS('Base bordo'!G$2:G$746,'Base bordo'!C$2:C$746,A1017,'Base bordo'!B$2:B$746,B1017,'Base bordo'!F$2:F$746,"MANUTENCAO EXTERNA  CONCESSIONARIA"),0)+IFERROR(SUMIFS('Base bordo'!G$2:G$746,'Base bordo'!C$2:C$746,A1017,'Base bordo'!B$2:B$746,B1017,'Base bordo'!F$2:F$746,"MANUTENCAO TELEMETRIA"),0)</f>
        <v>0</v>
      </c>
      <c r="M1017" s="10">
        <f>IFERROR(SUMIFS('Base bordo'!G$2:G$746,'Base bordo'!C$2:C$746,A1017,'Base bordo'!B$2:B$746,B1017,'Base bordo'!F$2:F$746,"AGUARDANDO MANUTENCAO"),0)</f>
        <v>0</v>
      </c>
      <c r="N1017" s="10">
        <f>IFERROR(SUMIFS('Base bordo'!G$2:G$746,'Base bordo'!C$2:C$746,A1017,'Base bordo'!B$2:B$746,B1017,'Base bordo'!F$2:F$746,"SEM APONTAMENTO"),0)</f>
        <v>0</v>
      </c>
      <c r="O1017" s="10">
        <f t="shared" si="102"/>
        <v>0</v>
      </c>
      <c r="P1017" s="10">
        <f>IFERROR(SUMIFS('Base bordo'!G$2:G$746,'Base bordo'!C$2:C$746,A1017,'Base bordo'!B$2:B$746,B1017),0)</f>
        <v>8.3333333333333332E-3</v>
      </c>
      <c r="Q1017" s="10">
        <f>IFERROR(SUMIFS('Base bordo'!H$2:H$746,'Base bordo'!C$2:C$746,A1017,'Base bordo'!B$2:B$746,B1017,'Base bordo'!F$2:F$746,"DESLOCAMENTO VAZIO"),0)</f>
        <v>0</v>
      </c>
      <c r="R1017" s="10">
        <f>IFERROR(SUMIFS('Base bordo'!I$2:I$746,'Base bordo'!C$2:C$746,A1017,'Base bordo'!B$2:B$746,B1017,'Base bordo'!F$2:F$746,"DESLOCAMENTO VAZIO"),0)</f>
        <v>0</v>
      </c>
      <c r="S1017" s="30" t="str">
        <f t="shared" si="103"/>
        <v/>
      </c>
      <c r="T1017" s="10">
        <f>IFERROR(SUMIFS('Base bordo'!H$2:H$746,'Base bordo'!C$2:C$746,A1017,'Base bordo'!B$2:B$746,B1017,'Base bordo'!F$2:F$746,"DESLOCAMENTO CARREGADO"),0)</f>
        <v>0</v>
      </c>
      <c r="U1017" s="10">
        <f>IFERROR(SUMIFS('Base bordo'!I$2:I$746,'Base bordo'!C$2:C$746,A1017,'Base bordo'!B$2:B$746,B1017,'Base bordo'!F$2:F$746,"DESLOCAMENTO CARREGADO"),0)</f>
        <v>0</v>
      </c>
      <c r="V1017" s="30" t="str">
        <f t="shared" si="104"/>
        <v/>
      </c>
      <c r="W1017" s="9">
        <f t="shared" si="105"/>
        <v>0</v>
      </c>
      <c r="X1017" s="9">
        <f t="shared" si="106"/>
        <v>0</v>
      </c>
      <c r="Y1017" s="9">
        <f t="shared" si="107"/>
        <v>1</v>
      </c>
    </row>
    <row r="1018" spans="1:25" ht="15" customHeight="1" x14ac:dyDescent="0.35">
      <c r="A1018" s="52">
        <v>8013460</v>
      </c>
      <c r="B1018" s="51">
        <v>46121</v>
      </c>
      <c r="C1018" s="7" t="s">
        <v>124</v>
      </c>
      <c r="D1018" s="10">
        <f>IFERROR(SUMIFS('Base bordo'!G$2:G$746,'Base bordo'!C$2:C$746,A1018,'Base bordo'!B$2:B$746,B1018,'Base bordo'!F$2:F$746,"DESLOCAMENTO VAZIO"),0)</f>
        <v>0</v>
      </c>
      <c r="E1018" s="10">
        <f>IFERROR(SUMIFS('Base bordo'!G$2:G$746,'Base bordo'!C$2:C$746,A1018,'Base bordo'!B$2:B$746,B1018,'Base bordo'!F$2:F$746,"DESLOCAMENTO CARREGADO"),0)</f>
        <v>0</v>
      </c>
      <c r="F1018" s="10">
        <f>IFERROR(SUMIFS('Base bordo'!G$2:G$746,'Base bordo'!C$2:C$746,A1018,'Base bordo'!B$2:B$746,B1018,'Base bordo'!F$2:F$746,"DESLOCAMENTO"),0)</f>
        <v>0</v>
      </c>
      <c r="G1018" s="10">
        <f>IFERROR(SUMIFS('Base bordo'!G$2:G$746,'Base bordo'!C$2:C$746,A1018,'Base bordo'!B$2:B$746,B1018,'Base bordo'!F$2:F$746,"CARREGAMENTO"),0)</f>
        <v>0</v>
      </c>
      <c r="H1018" s="10">
        <f>IFERROR(SUMIFS('Base bordo'!G$2:G$746,'Base bordo'!C$2:C$746,A1018,'Base bordo'!B$2:B$746,B1018,'Base bordo'!F$2:F$746,"AGUARDANDO TRANSBORDO"),0)</f>
        <v>0</v>
      </c>
      <c r="I1018" s="10">
        <f>IFERROR(SUMIFS('Base bordo'!G$2:G$746,'Base bordo'!C$2:C$746,A1018,'Base bordo'!B$2:B$746,B1018,'Base bordo'!F$2:F$746,"PÁTIO INTERNO"),0)+IFERROR(SUMIFS('Base bordo'!G$2:G$746,'Base bordo'!C$2:C$746,A1018,'Base bordo'!B$2:B$746,B1018,'Base bordo'!F$2:F$746,"PÁTIO EXTERNO"),0)+IFERROR(SUMIFS('Base bordo'!G$2:G$746,'Base bordo'!C$2:C$746,A1018,'Base bordo'!B$2:B$746,B1018,'Base bordo'!F$2:F$746,"PATIO - RESERVA"),0)+IFERROR(SUMIFS('Base bordo'!G$2:G$746,'Base bordo'!C$2:C$746,A1018,'Base bordo'!B$2:B$746,B1018,'Base bordo'!F$2:F$746,"MANOBRA CARRETAS-PATIO"),0)</f>
        <v>0</v>
      </c>
      <c r="J1018" s="10">
        <f>IFERROR(SUMIFS('Base bordo'!G$2:G$746,'Base bordo'!C$2:C$746,A1018,'Base bordo'!B$2:B$746,B1018,'Base bordo'!F$2:F$746,"BALANÇA - ENTRADA"),0)+IFERROR(SUMIFS('Base bordo'!G$2:G$746,'Base bordo'!C$2:C$746,A1018,'Base bordo'!B$2:B$746,B1018,'Base bordo'!F$2:F$746,"BALANÇA - SAÍDA"),0)</f>
        <v>0</v>
      </c>
      <c r="K1018" s="10">
        <f>IFERROR(SUMIFS('Base bordo'!G$2:G$746,'Base bordo'!C$2:C$746,A1018,'Base bordo'!B$2:B$746,B1018,'Base bordo'!F$2:F$746,"MAN PREVENTIVA - MECANICA"),0)+IFERROR(SUMIFS('Base bordo'!G$2:G$746,'Base bordo'!C$2:C$746,A1018,'Base bordo'!B$2:B$746,B1018,'Base bordo'!F$2:F$746,"MAN CORRETIVA - MECANICA"),0)</f>
        <v>0</v>
      </c>
      <c r="L1018" s="10">
        <f>IFERROR(SUMIFS('Base bordo'!G$2:G$746,'Base bordo'!C$2:C$746,A1018,'Base bordo'!B$2:B$746,B1018,'Base bordo'!F$2:F$746,"MANUTENCAO - T O"),0)+IFERROR(SUMIFS('Base bordo'!G$2:G$746,'Base bordo'!C$2:C$746,A1018,'Base bordo'!B$2:B$746,B1018,'Base bordo'!F$2:F$746,"MANUTENCAO BORRACHARIA"),0)+IFERROR(SUMIFS('Base bordo'!G$2:G$746,'Base bordo'!C$2:C$746,A1018,'Base bordo'!B$2:B$746,B1018,'Base bordo'!F$2:F$746,"MANUTENCAO EXTERNA  CONCESSIONARIA"),0)+IFERROR(SUMIFS('Base bordo'!G$2:G$746,'Base bordo'!C$2:C$746,A1018,'Base bordo'!B$2:B$746,B1018,'Base bordo'!F$2:F$746,"MANUTENCAO TELEMETRIA"),0)</f>
        <v>0</v>
      </c>
      <c r="M1018" s="10">
        <f>IFERROR(SUMIFS('Base bordo'!G$2:G$746,'Base bordo'!C$2:C$746,A1018,'Base bordo'!B$2:B$746,B1018,'Base bordo'!F$2:F$746,"AGUARDANDO MANUTENCAO"),0)</f>
        <v>0</v>
      </c>
      <c r="N1018" s="10">
        <f>IFERROR(SUMIFS('Base bordo'!G$2:G$746,'Base bordo'!C$2:C$746,A1018,'Base bordo'!B$2:B$746,B1018,'Base bordo'!F$2:F$746,"SEM APONTAMENTO"),0)</f>
        <v>0</v>
      </c>
      <c r="O1018" s="10">
        <f t="shared" si="102"/>
        <v>0</v>
      </c>
      <c r="P1018" s="10">
        <f>IFERROR(SUMIFS('Base bordo'!G$2:G$746,'Base bordo'!C$2:C$746,A1018,'Base bordo'!B$2:B$746,B1018),0)</f>
        <v>0</v>
      </c>
      <c r="Q1018" s="10">
        <f>IFERROR(SUMIFS('Base bordo'!H$2:H$746,'Base bordo'!C$2:C$746,A1018,'Base bordo'!B$2:B$746,B1018,'Base bordo'!F$2:F$746,"DESLOCAMENTO VAZIO"),0)</f>
        <v>0</v>
      </c>
      <c r="R1018" s="10">
        <f>IFERROR(SUMIFS('Base bordo'!I$2:I$746,'Base bordo'!C$2:C$746,A1018,'Base bordo'!B$2:B$746,B1018,'Base bordo'!F$2:F$746,"DESLOCAMENTO VAZIO"),0)</f>
        <v>0</v>
      </c>
      <c r="S1018" s="30" t="str">
        <f t="shared" si="103"/>
        <v/>
      </c>
      <c r="T1018" s="10">
        <f>IFERROR(SUMIFS('Base bordo'!H$2:H$746,'Base bordo'!C$2:C$746,A1018,'Base bordo'!B$2:B$746,B1018,'Base bordo'!F$2:F$746,"DESLOCAMENTO CARREGADO"),0)</f>
        <v>0</v>
      </c>
      <c r="U1018" s="10">
        <f>IFERROR(SUMIFS('Base bordo'!I$2:I$746,'Base bordo'!C$2:C$746,A1018,'Base bordo'!B$2:B$746,B1018,'Base bordo'!F$2:F$746,"DESLOCAMENTO CARREGADO"),0)</f>
        <v>0</v>
      </c>
      <c r="V1018" s="30" t="str">
        <f t="shared" si="104"/>
        <v/>
      </c>
      <c r="W1018" s="9">
        <f t="shared" si="105"/>
        <v>0</v>
      </c>
      <c r="X1018" s="9">
        <f t="shared" si="106"/>
        <v>0</v>
      </c>
      <c r="Y1018" s="9">
        <f t="shared" si="107"/>
        <v>0</v>
      </c>
    </row>
    <row r="1019" spans="1:25" ht="15" customHeight="1" x14ac:dyDescent="0.35">
      <c r="A1019" s="52">
        <v>8013461</v>
      </c>
      <c r="B1019" s="51">
        <v>46121</v>
      </c>
      <c r="C1019" s="7" t="s">
        <v>124</v>
      </c>
      <c r="D1019" s="10">
        <f>IFERROR(SUMIFS('Base bordo'!G$2:G$746,'Base bordo'!C$2:C$746,A1019,'Base bordo'!B$2:B$746,B1019,'Base bordo'!F$2:F$746,"DESLOCAMENTO VAZIO"),0)</f>
        <v>0</v>
      </c>
      <c r="E1019" s="10">
        <f>IFERROR(SUMIFS('Base bordo'!G$2:G$746,'Base bordo'!C$2:C$746,A1019,'Base bordo'!B$2:B$746,B1019,'Base bordo'!F$2:F$746,"DESLOCAMENTO CARREGADO"),0)</f>
        <v>0</v>
      </c>
      <c r="F1019" s="10">
        <f>IFERROR(SUMIFS('Base bordo'!G$2:G$746,'Base bordo'!C$2:C$746,A1019,'Base bordo'!B$2:B$746,B1019,'Base bordo'!F$2:F$746,"DESLOCAMENTO"),0)</f>
        <v>0</v>
      </c>
      <c r="G1019" s="10">
        <f>IFERROR(SUMIFS('Base bordo'!G$2:G$746,'Base bordo'!C$2:C$746,A1019,'Base bordo'!B$2:B$746,B1019,'Base bordo'!F$2:F$746,"CARREGAMENTO"),0)</f>
        <v>0</v>
      </c>
      <c r="H1019" s="10">
        <f>IFERROR(SUMIFS('Base bordo'!G$2:G$746,'Base bordo'!C$2:C$746,A1019,'Base bordo'!B$2:B$746,B1019,'Base bordo'!F$2:F$746,"AGUARDANDO TRANSBORDO"),0)</f>
        <v>0</v>
      </c>
      <c r="I1019" s="10">
        <f>IFERROR(SUMIFS('Base bordo'!G$2:G$746,'Base bordo'!C$2:C$746,A1019,'Base bordo'!B$2:B$746,B1019,'Base bordo'!F$2:F$746,"PÁTIO INTERNO"),0)+IFERROR(SUMIFS('Base bordo'!G$2:G$746,'Base bordo'!C$2:C$746,A1019,'Base bordo'!B$2:B$746,B1019,'Base bordo'!F$2:F$746,"PÁTIO EXTERNO"),0)+IFERROR(SUMIFS('Base bordo'!G$2:G$746,'Base bordo'!C$2:C$746,A1019,'Base bordo'!B$2:B$746,B1019,'Base bordo'!F$2:F$746,"PATIO - RESERVA"),0)+IFERROR(SUMIFS('Base bordo'!G$2:G$746,'Base bordo'!C$2:C$746,A1019,'Base bordo'!B$2:B$746,B1019,'Base bordo'!F$2:F$746,"MANOBRA CARRETAS-PATIO"),0)</f>
        <v>0</v>
      </c>
      <c r="J1019" s="10">
        <f>IFERROR(SUMIFS('Base bordo'!G$2:G$746,'Base bordo'!C$2:C$746,A1019,'Base bordo'!B$2:B$746,B1019,'Base bordo'!F$2:F$746,"BALANÇA - ENTRADA"),0)+IFERROR(SUMIFS('Base bordo'!G$2:G$746,'Base bordo'!C$2:C$746,A1019,'Base bordo'!B$2:B$746,B1019,'Base bordo'!F$2:F$746,"BALANÇA - SAÍDA"),0)</f>
        <v>0</v>
      </c>
      <c r="K1019" s="10">
        <f>IFERROR(SUMIFS('Base bordo'!G$2:G$746,'Base bordo'!C$2:C$746,A1019,'Base bordo'!B$2:B$746,B1019,'Base bordo'!F$2:F$746,"MAN PREVENTIVA - MECANICA"),0)+IFERROR(SUMIFS('Base bordo'!G$2:G$746,'Base bordo'!C$2:C$746,A1019,'Base bordo'!B$2:B$746,B1019,'Base bordo'!F$2:F$746,"MAN CORRETIVA - MECANICA"),0)</f>
        <v>0</v>
      </c>
      <c r="L1019" s="10">
        <f>IFERROR(SUMIFS('Base bordo'!G$2:G$746,'Base bordo'!C$2:C$746,A1019,'Base bordo'!B$2:B$746,B1019,'Base bordo'!F$2:F$746,"MANUTENCAO - T O"),0)+IFERROR(SUMIFS('Base bordo'!G$2:G$746,'Base bordo'!C$2:C$746,A1019,'Base bordo'!B$2:B$746,B1019,'Base bordo'!F$2:F$746,"MANUTENCAO BORRACHARIA"),0)+IFERROR(SUMIFS('Base bordo'!G$2:G$746,'Base bordo'!C$2:C$746,A1019,'Base bordo'!B$2:B$746,B1019,'Base bordo'!F$2:F$746,"MANUTENCAO EXTERNA  CONCESSIONARIA"),0)+IFERROR(SUMIFS('Base bordo'!G$2:G$746,'Base bordo'!C$2:C$746,A1019,'Base bordo'!B$2:B$746,B1019,'Base bordo'!F$2:F$746,"MANUTENCAO TELEMETRIA"),0)</f>
        <v>0</v>
      </c>
      <c r="M1019" s="10">
        <f>IFERROR(SUMIFS('Base bordo'!G$2:G$746,'Base bordo'!C$2:C$746,A1019,'Base bordo'!B$2:B$746,B1019,'Base bordo'!F$2:F$746,"AGUARDANDO MANUTENCAO"),0)</f>
        <v>0</v>
      </c>
      <c r="N1019" s="10">
        <f>IFERROR(SUMIFS('Base bordo'!G$2:G$746,'Base bordo'!C$2:C$746,A1019,'Base bordo'!B$2:B$746,B1019,'Base bordo'!F$2:F$746,"SEM APONTAMENTO"),0)</f>
        <v>0</v>
      </c>
      <c r="O1019" s="10">
        <f t="shared" si="102"/>
        <v>0</v>
      </c>
      <c r="P1019" s="10">
        <f>IFERROR(SUMIFS('Base bordo'!G$2:G$746,'Base bordo'!C$2:C$746,A1019,'Base bordo'!B$2:B$746,B1019),0)</f>
        <v>0</v>
      </c>
      <c r="Q1019" s="10">
        <f>IFERROR(SUMIFS('Base bordo'!H$2:H$746,'Base bordo'!C$2:C$746,A1019,'Base bordo'!B$2:B$746,B1019,'Base bordo'!F$2:F$746,"DESLOCAMENTO VAZIO"),0)</f>
        <v>0</v>
      </c>
      <c r="R1019" s="10">
        <f>IFERROR(SUMIFS('Base bordo'!I$2:I$746,'Base bordo'!C$2:C$746,A1019,'Base bordo'!B$2:B$746,B1019,'Base bordo'!F$2:F$746,"DESLOCAMENTO VAZIO"),0)</f>
        <v>0</v>
      </c>
      <c r="S1019" s="30" t="str">
        <f t="shared" si="103"/>
        <v/>
      </c>
      <c r="T1019" s="10">
        <f>IFERROR(SUMIFS('Base bordo'!H$2:H$746,'Base bordo'!C$2:C$746,A1019,'Base bordo'!B$2:B$746,B1019,'Base bordo'!F$2:F$746,"DESLOCAMENTO CARREGADO"),0)</f>
        <v>0</v>
      </c>
      <c r="U1019" s="10">
        <f>IFERROR(SUMIFS('Base bordo'!I$2:I$746,'Base bordo'!C$2:C$746,A1019,'Base bordo'!B$2:B$746,B1019,'Base bordo'!F$2:F$746,"DESLOCAMENTO CARREGADO"),0)</f>
        <v>0</v>
      </c>
      <c r="V1019" s="30" t="str">
        <f t="shared" si="104"/>
        <v/>
      </c>
      <c r="W1019" s="9">
        <f t="shared" si="105"/>
        <v>0</v>
      </c>
      <c r="X1019" s="9">
        <f t="shared" si="106"/>
        <v>0</v>
      </c>
      <c r="Y1019" s="9">
        <f t="shared" si="107"/>
        <v>0</v>
      </c>
    </row>
    <row r="1020" spans="1:25" ht="15" customHeight="1" x14ac:dyDescent="0.35">
      <c r="A1020" s="52">
        <v>8013462</v>
      </c>
      <c r="B1020" s="51">
        <v>46121</v>
      </c>
      <c r="C1020" s="7" t="s">
        <v>124</v>
      </c>
      <c r="D1020" s="10">
        <f>IFERROR(SUMIFS('Base bordo'!G$2:G$746,'Base bordo'!C$2:C$746,A1020,'Base bordo'!B$2:B$746,B1020,'Base bordo'!F$2:F$746,"DESLOCAMENTO VAZIO"),0)</f>
        <v>0</v>
      </c>
      <c r="E1020" s="10">
        <f>IFERROR(SUMIFS('Base bordo'!G$2:G$746,'Base bordo'!C$2:C$746,A1020,'Base bordo'!B$2:B$746,B1020,'Base bordo'!F$2:F$746,"DESLOCAMENTO CARREGADO"),0)</f>
        <v>0</v>
      </c>
      <c r="F1020" s="10">
        <f>IFERROR(SUMIFS('Base bordo'!G$2:G$746,'Base bordo'!C$2:C$746,A1020,'Base bordo'!B$2:B$746,B1020,'Base bordo'!F$2:F$746,"DESLOCAMENTO"),0)</f>
        <v>0</v>
      </c>
      <c r="G1020" s="10">
        <f>IFERROR(SUMIFS('Base bordo'!G$2:G$746,'Base bordo'!C$2:C$746,A1020,'Base bordo'!B$2:B$746,B1020,'Base bordo'!F$2:F$746,"CARREGAMENTO"),0)</f>
        <v>0</v>
      </c>
      <c r="H1020" s="10">
        <f>IFERROR(SUMIFS('Base bordo'!G$2:G$746,'Base bordo'!C$2:C$746,A1020,'Base bordo'!B$2:B$746,B1020,'Base bordo'!F$2:F$746,"AGUARDANDO TRANSBORDO"),0)</f>
        <v>0</v>
      </c>
      <c r="I1020" s="10">
        <f>IFERROR(SUMIFS('Base bordo'!G$2:G$746,'Base bordo'!C$2:C$746,A1020,'Base bordo'!B$2:B$746,B1020,'Base bordo'!F$2:F$746,"PÁTIO INTERNO"),0)+IFERROR(SUMIFS('Base bordo'!G$2:G$746,'Base bordo'!C$2:C$746,A1020,'Base bordo'!B$2:B$746,B1020,'Base bordo'!F$2:F$746,"PÁTIO EXTERNO"),0)+IFERROR(SUMIFS('Base bordo'!G$2:G$746,'Base bordo'!C$2:C$746,A1020,'Base bordo'!B$2:B$746,B1020,'Base bordo'!F$2:F$746,"PATIO - RESERVA"),0)+IFERROR(SUMIFS('Base bordo'!G$2:G$746,'Base bordo'!C$2:C$746,A1020,'Base bordo'!B$2:B$746,B1020,'Base bordo'!F$2:F$746,"MANOBRA CARRETAS-PATIO"),0)</f>
        <v>0</v>
      </c>
      <c r="J1020" s="10">
        <f>IFERROR(SUMIFS('Base bordo'!G$2:G$746,'Base bordo'!C$2:C$746,A1020,'Base bordo'!B$2:B$746,B1020,'Base bordo'!F$2:F$746,"BALANÇA - ENTRADA"),0)+IFERROR(SUMIFS('Base bordo'!G$2:G$746,'Base bordo'!C$2:C$746,A1020,'Base bordo'!B$2:B$746,B1020,'Base bordo'!F$2:F$746,"BALANÇA - SAÍDA"),0)</f>
        <v>0</v>
      </c>
      <c r="K1020" s="10">
        <f>IFERROR(SUMIFS('Base bordo'!G$2:G$746,'Base bordo'!C$2:C$746,A1020,'Base bordo'!B$2:B$746,B1020,'Base bordo'!F$2:F$746,"MAN PREVENTIVA - MECANICA"),0)+IFERROR(SUMIFS('Base bordo'!G$2:G$746,'Base bordo'!C$2:C$746,A1020,'Base bordo'!B$2:B$746,B1020,'Base bordo'!F$2:F$746,"MAN CORRETIVA - MECANICA"),0)</f>
        <v>0</v>
      </c>
      <c r="L1020" s="10">
        <f>IFERROR(SUMIFS('Base bordo'!G$2:G$746,'Base bordo'!C$2:C$746,A1020,'Base bordo'!B$2:B$746,B1020,'Base bordo'!F$2:F$746,"MANUTENCAO - T O"),0)+IFERROR(SUMIFS('Base bordo'!G$2:G$746,'Base bordo'!C$2:C$746,A1020,'Base bordo'!B$2:B$746,B1020,'Base bordo'!F$2:F$746,"MANUTENCAO BORRACHARIA"),0)+IFERROR(SUMIFS('Base bordo'!G$2:G$746,'Base bordo'!C$2:C$746,A1020,'Base bordo'!B$2:B$746,B1020,'Base bordo'!F$2:F$746,"MANUTENCAO EXTERNA  CONCESSIONARIA"),0)+IFERROR(SUMIFS('Base bordo'!G$2:G$746,'Base bordo'!C$2:C$746,A1020,'Base bordo'!B$2:B$746,B1020,'Base bordo'!F$2:F$746,"MANUTENCAO TELEMETRIA"),0)</f>
        <v>0</v>
      </c>
      <c r="M1020" s="10">
        <f>IFERROR(SUMIFS('Base bordo'!G$2:G$746,'Base bordo'!C$2:C$746,A1020,'Base bordo'!B$2:B$746,B1020,'Base bordo'!F$2:F$746,"AGUARDANDO MANUTENCAO"),0)</f>
        <v>0</v>
      </c>
      <c r="N1020" s="10">
        <f>IFERROR(SUMIFS('Base bordo'!G$2:G$746,'Base bordo'!C$2:C$746,A1020,'Base bordo'!B$2:B$746,B1020,'Base bordo'!F$2:F$746,"SEM APONTAMENTO"),0)</f>
        <v>0</v>
      </c>
      <c r="O1020" s="10">
        <f t="shared" si="102"/>
        <v>0</v>
      </c>
      <c r="P1020" s="10">
        <f>IFERROR(SUMIFS('Base bordo'!G$2:G$746,'Base bordo'!C$2:C$746,A1020,'Base bordo'!B$2:B$746,B1020),0)</f>
        <v>0</v>
      </c>
      <c r="Q1020" s="10">
        <f>IFERROR(SUMIFS('Base bordo'!H$2:H$746,'Base bordo'!C$2:C$746,A1020,'Base bordo'!B$2:B$746,B1020,'Base bordo'!F$2:F$746,"DESLOCAMENTO VAZIO"),0)</f>
        <v>0</v>
      </c>
      <c r="R1020" s="10">
        <f>IFERROR(SUMIFS('Base bordo'!I$2:I$746,'Base bordo'!C$2:C$746,A1020,'Base bordo'!B$2:B$746,B1020,'Base bordo'!F$2:F$746,"DESLOCAMENTO VAZIO"),0)</f>
        <v>0</v>
      </c>
      <c r="S1020" s="30" t="str">
        <f t="shared" si="103"/>
        <v/>
      </c>
      <c r="T1020" s="10">
        <f>IFERROR(SUMIFS('Base bordo'!H$2:H$746,'Base bordo'!C$2:C$746,A1020,'Base bordo'!B$2:B$746,B1020,'Base bordo'!F$2:F$746,"DESLOCAMENTO CARREGADO"),0)</f>
        <v>0</v>
      </c>
      <c r="U1020" s="10">
        <f>IFERROR(SUMIFS('Base bordo'!I$2:I$746,'Base bordo'!C$2:C$746,A1020,'Base bordo'!B$2:B$746,B1020,'Base bordo'!F$2:F$746,"DESLOCAMENTO CARREGADO"),0)</f>
        <v>0</v>
      </c>
      <c r="V1020" s="30" t="str">
        <f t="shared" si="104"/>
        <v/>
      </c>
      <c r="W1020" s="9">
        <f t="shared" si="105"/>
        <v>0</v>
      </c>
      <c r="X1020" s="9">
        <f t="shared" si="106"/>
        <v>0</v>
      </c>
      <c r="Y1020" s="9">
        <f t="shared" si="107"/>
        <v>0</v>
      </c>
    </row>
    <row r="1021" spans="1:25" ht="15" customHeight="1" x14ac:dyDescent="0.35">
      <c r="A1021" s="52">
        <v>8013462</v>
      </c>
      <c r="B1021" s="51">
        <v>46121</v>
      </c>
      <c r="C1021" s="7" t="s">
        <v>124</v>
      </c>
      <c r="D1021" s="10">
        <f>IFERROR(SUMIFS('Base bordo'!G$2:G$746,'Base bordo'!C$2:C$746,A1021,'Base bordo'!B$2:B$746,B1021,'Base bordo'!F$2:F$746,"DESLOCAMENTO VAZIO"),0)</f>
        <v>0</v>
      </c>
      <c r="E1021" s="10">
        <f>IFERROR(SUMIFS('Base bordo'!G$2:G$746,'Base bordo'!C$2:C$746,A1021,'Base bordo'!B$2:B$746,B1021,'Base bordo'!F$2:F$746,"DESLOCAMENTO CARREGADO"),0)</f>
        <v>0</v>
      </c>
      <c r="F1021" s="10">
        <f>IFERROR(SUMIFS('Base bordo'!G$2:G$746,'Base bordo'!C$2:C$746,A1021,'Base bordo'!B$2:B$746,B1021,'Base bordo'!F$2:F$746,"DESLOCAMENTO"),0)</f>
        <v>0</v>
      </c>
      <c r="G1021" s="10">
        <f>IFERROR(SUMIFS('Base bordo'!G$2:G$746,'Base bordo'!C$2:C$746,A1021,'Base bordo'!B$2:B$746,B1021,'Base bordo'!F$2:F$746,"CARREGAMENTO"),0)</f>
        <v>0</v>
      </c>
      <c r="H1021" s="10">
        <f>IFERROR(SUMIFS('Base bordo'!G$2:G$746,'Base bordo'!C$2:C$746,A1021,'Base bordo'!B$2:B$746,B1021,'Base bordo'!F$2:F$746,"AGUARDANDO TRANSBORDO"),0)</f>
        <v>0</v>
      </c>
      <c r="I1021" s="10">
        <f>IFERROR(SUMIFS('Base bordo'!G$2:G$746,'Base bordo'!C$2:C$746,A1021,'Base bordo'!B$2:B$746,B1021,'Base bordo'!F$2:F$746,"PÁTIO INTERNO"),0)+IFERROR(SUMIFS('Base bordo'!G$2:G$746,'Base bordo'!C$2:C$746,A1021,'Base bordo'!B$2:B$746,B1021,'Base bordo'!F$2:F$746,"PÁTIO EXTERNO"),0)+IFERROR(SUMIFS('Base bordo'!G$2:G$746,'Base bordo'!C$2:C$746,A1021,'Base bordo'!B$2:B$746,B1021,'Base bordo'!F$2:F$746,"PATIO - RESERVA"),0)+IFERROR(SUMIFS('Base bordo'!G$2:G$746,'Base bordo'!C$2:C$746,A1021,'Base bordo'!B$2:B$746,B1021,'Base bordo'!F$2:F$746,"MANOBRA CARRETAS-PATIO"),0)</f>
        <v>0</v>
      </c>
      <c r="J1021" s="10">
        <f>IFERROR(SUMIFS('Base bordo'!G$2:G$746,'Base bordo'!C$2:C$746,A1021,'Base bordo'!B$2:B$746,B1021,'Base bordo'!F$2:F$746,"BALANÇA - ENTRADA"),0)+IFERROR(SUMIFS('Base bordo'!G$2:G$746,'Base bordo'!C$2:C$746,A1021,'Base bordo'!B$2:B$746,B1021,'Base bordo'!F$2:F$746,"BALANÇA - SAÍDA"),0)</f>
        <v>0</v>
      </c>
      <c r="K1021" s="10">
        <f>IFERROR(SUMIFS('Base bordo'!G$2:G$746,'Base bordo'!C$2:C$746,A1021,'Base bordo'!B$2:B$746,B1021,'Base bordo'!F$2:F$746,"MAN PREVENTIVA - MECANICA"),0)+IFERROR(SUMIFS('Base bordo'!G$2:G$746,'Base bordo'!C$2:C$746,A1021,'Base bordo'!B$2:B$746,B1021,'Base bordo'!F$2:F$746,"MAN CORRETIVA - MECANICA"),0)</f>
        <v>0</v>
      </c>
      <c r="L1021" s="10">
        <f>IFERROR(SUMIFS('Base bordo'!G$2:G$746,'Base bordo'!C$2:C$746,A1021,'Base bordo'!B$2:B$746,B1021,'Base bordo'!F$2:F$746,"MANUTENCAO - T O"),0)+IFERROR(SUMIFS('Base bordo'!G$2:G$746,'Base bordo'!C$2:C$746,A1021,'Base bordo'!B$2:B$746,B1021,'Base bordo'!F$2:F$746,"MANUTENCAO BORRACHARIA"),0)+IFERROR(SUMIFS('Base bordo'!G$2:G$746,'Base bordo'!C$2:C$746,A1021,'Base bordo'!B$2:B$746,B1021,'Base bordo'!F$2:F$746,"MANUTENCAO EXTERNA  CONCESSIONARIA"),0)+IFERROR(SUMIFS('Base bordo'!G$2:G$746,'Base bordo'!C$2:C$746,A1021,'Base bordo'!B$2:B$746,B1021,'Base bordo'!F$2:F$746,"MANUTENCAO TELEMETRIA"),0)</f>
        <v>0</v>
      </c>
      <c r="M1021" s="10">
        <f>IFERROR(SUMIFS('Base bordo'!G$2:G$746,'Base bordo'!C$2:C$746,A1021,'Base bordo'!B$2:B$746,B1021,'Base bordo'!F$2:F$746,"AGUARDANDO MANUTENCAO"),0)</f>
        <v>0</v>
      </c>
      <c r="N1021" s="10">
        <f>IFERROR(SUMIFS('Base bordo'!G$2:G$746,'Base bordo'!C$2:C$746,A1021,'Base bordo'!B$2:B$746,B1021,'Base bordo'!F$2:F$746,"SEM APONTAMENTO"),0)</f>
        <v>0</v>
      </c>
      <c r="O1021" s="10">
        <f t="shared" si="102"/>
        <v>0</v>
      </c>
      <c r="P1021" s="10">
        <f>IFERROR(SUMIFS('Base bordo'!G$2:G$746,'Base bordo'!C$2:C$746,A1021,'Base bordo'!B$2:B$746,B1021),0)</f>
        <v>0</v>
      </c>
      <c r="Q1021" s="10">
        <f>IFERROR(SUMIFS('Base bordo'!H$2:H$746,'Base bordo'!C$2:C$746,A1021,'Base bordo'!B$2:B$746,B1021,'Base bordo'!F$2:F$746,"DESLOCAMENTO VAZIO"),0)</f>
        <v>0</v>
      </c>
      <c r="R1021" s="10">
        <f>IFERROR(SUMIFS('Base bordo'!I$2:I$746,'Base bordo'!C$2:C$746,A1021,'Base bordo'!B$2:B$746,B1021,'Base bordo'!F$2:F$746,"DESLOCAMENTO VAZIO"),0)</f>
        <v>0</v>
      </c>
      <c r="S1021" s="30" t="str">
        <f t="shared" si="103"/>
        <v/>
      </c>
      <c r="T1021" s="10">
        <f>IFERROR(SUMIFS('Base bordo'!H$2:H$746,'Base bordo'!C$2:C$746,A1021,'Base bordo'!B$2:B$746,B1021,'Base bordo'!F$2:F$746,"DESLOCAMENTO CARREGADO"),0)</f>
        <v>0</v>
      </c>
      <c r="U1021" s="10">
        <f>IFERROR(SUMIFS('Base bordo'!I$2:I$746,'Base bordo'!C$2:C$746,A1021,'Base bordo'!B$2:B$746,B1021,'Base bordo'!F$2:F$746,"DESLOCAMENTO CARREGADO"),0)</f>
        <v>0</v>
      </c>
      <c r="V1021" s="30" t="str">
        <f t="shared" si="104"/>
        <v/>
      </c>
      <c r="W1021" s="9">
        <f t="shared" si="105"/>
        <v>0</v>
      </c>
      <c r="X1021" s="9">
        <f t="shared" si="106"/>
        <v>0</v>
      </c>
      <c r="Y1021" s="9">
        <f t="shared" si="107"/>
        <v>0</v>
      </c>
    </row>
    <row r="1022" spans="1:25" ht="15" customHeight="1" x14ac:dyDescent="0.35">
      <c r="A1022" s="52">
        <v>8013465</v>
      </c>
      <c r="B1022" s="51">
        <v>46121</v>
      </c>
      <c r="C1022" s="7" t="s">
        <v>124</v>
      </c>
      <c r="D1022" s="10">
        <f>IFERROR(SUMIFS('Base bordo'!G$2:G$746,'Base bordo'!C$2:C$746,A1022,'Base bordo'!B$2:B$746,B1022,'Base bordo'!F$2:F$746,"DESLOCAMENTO VAZIO"),0)</f>
        <v>0</v>
      </c>
      <c r="E1022" s="10">
        <f>IFERROR(SUMIFS('Base bordo'!G$2:G$746,'Base bordo'!C$2:C$746,A1022,'Base bordo'!B$2:B$746,B1022,'Base bordo'!F$2:F$746,"DESLOCAMENTO CARREGADO"),0)</f>
        <v>0</v>
      </c>
      <c r="F1022" s="10">
        <f>IFERROR(SUMIFS('Base bordo'!G$2:G$746,'Base bordo'!C$2:C$746,A1022,'Base bordo'!B$2:B$746,B1022,'Base bordo'!F$2:F$746,"DESLOCAMENTO"),0)</f>
        <v>0</v>
      </c>
      <c r="G1022" s="10">
        <f>IFERROR(SUMIFS('Base bordo'!G$2:G$746,'Base bordo'!C$2:C$746,A1022,'Base bordo'!B$2:B$746,B1022,'Base bordo'!F$2:F$746,"CARREGAMENTO"),0)</f>
        <v>0</v>
      </c>
      <c r="H1022" s="10">
        <f>IFERROR(SUMIFS('Base bordo'!G$2:G$746,'Base bordo'!C$2:C$746,A1022,'Base bordo'!B$2:B$746,B1022,'Base bordo'!F$2:F$746,"AGUARDANDO TRANSBORDO"),0)</f>
        <v>0</v>
      </c>
      <c r="I1022" s="10">
        <f>IFERROR(SUMIFS('Base bordo'!G$2:G$746,'Base bordo'!C$2:C$746,A1022,'Base bordo'!B$2:B$746,B1022,'Base bordo'!F$2:F$746,"PÁTIO INTERNO"),0)+IFERROR(SUMIFS('Base bordo'!G$2:G$746,'Base bordo'!C$2:C$746,A1022,'Base bordo'!B$2:B$746,B1022,'Base bordo'!F$2:F$746,"PÁTIO EXTERNO"),0)+IFERROR(SUMIFS('Base bordo'!G$2:G$746,'Base bordo'!C$2:C$746,A1022,'Base bordo'!B$2:B$746,B1022,'Base bordo'!F$2:F$746,"PATIO - RESERVA"),0)+IFERROR(SUMIFS('Base bordo'!G$2:G$746,'Base bordo'!C$2:C$746,A1022,'Base bordo'!B$2:B$746,B1022,'Base bordo'!F$2:F$746,"MANOBRA CARRETAS-PATIO"),0)</f>
        <v>0</v>
      </c>
      <c r="J1022" s="10">
        <f>IFERROR(SUMIFS('Base bordo'!G$2:G$746,'Base bordo'!C$2:C$746,A1022,'Base bordo'!B$2:B$746,B1022,'Base bordo'!F$2:F$746,"BALANÇA - ENTRADA"),0)+IFERROR(SUMIFS('Base bordo'!G$2:G$746,'Base bordo'!C$2:C$746,A1022,'Base bordo'!B$2:B$746,B1022,'Base bordo'!F$2:F$746,"BALANÇA - SAÍDA"),0)</f>
        <v>0</v>
      </c>
      <c r="K1022" s="10">
        <f>IFERROR(SUMIFS('Base bordo'!G$2:G$746,'Base bordo'!C$2:C$746,A1022,'Base bordo'!B$2:B$746,B1022,'Base bordo'!F$2:F$746,"MAN PREVENTIVA - MECANICA"),0)+IFERROR(SUMIFS('Base bordo'!G$2:G$746,'Base bordo'!C$2:C$746,A1022,'Base bordo'!B$2:B$746,B1022,'Base bordo'!F$2:F$746,"MAN CORRETIVA - MECANICA"),0)</f>
        <v>0</v>
      </c>
      <c r="L1022" s="10">
        <f>IFERROR(SUMIFS('Base bordo'!G$2:G$746,'Base bordo'!C$2:C$746,A1022,'Base bordo'!B$2:B$746,B1022,'Base bordo'!F$2:F$746,"MANUTENCAO - T O"),0)+IFERROR(SUMIFS('Base bordo'!G$2:G$746,'Base bordo'!C$2:C$746,A1022,'Base bordo'!B$2:B$746,B1022,'Base bordo'!F$2:F$746,"MANUTENCAO BORRACHARIA"),0)+IFERROR(SUMIFS('Base bordo'!G$2:G$746,'Base bordo'!C$2:C$746,A1022,'Base bordo'!B$2:B$746,B1022,'Base bordo'!F$2:F$746,"MANUTENCAO EXTERNA  CONCESSIONARIA"),0)+IFERROR(SUMIFS('Base bordo'!G$2:G$746,'Base bordo'!C$2:C$746,A1022,'Base bordo'!B$2:B$746,B1022,'Base bordo'!F$2:F$746,"MANUTENCAO TELEMETRIA"),0)</f>
        <v>0</v>
      </c>
      <c r="M1022" s="10">
        <f>IFERROR(SUMIFS('Base bordo'!G$2:G$746,'Base bordo'!C$2:C$746,A1022,'Base bordo'!B$2:B$746,B1022,'Base bordo'!F$2:F$746,"AGUARDANDO MANUTENCAO"),0)</f>
        <v>0</v>
      </c>
      <c r="N1022" s="10">
        <f>IFERROR(SUMIFS('Base bordo'!G$2:G$746,'Base bordo'!C$2:C$746,A1022,'Base bordo'!B$2:B$746,B1022,'Base bordo'!F$2:F$746,"SEM APONTAMENTO"),0)</f>
        <v>0</v>
      </c>
      <c r="O1022" s="10">
        <f t="shared" si="102"/>
        <v>0</v>
      </c>
      <c r="P1022" s="10">
        <f>IFERROR(SUMIFS('Base bordo'!G$2:G$746,'Base bordo'!C$2:C$746,A1022,'Base bordo'!B$2:B$746,B1022),0)</f>
        <v>0</v>
      </c>
      <c r="Q1022" s="10">
        <f>IFERROR(SUMIFS('Base bordo'!H$2:H$746,'Base bordo'!C$2:C$746,A1022,'Base bordo'!B$2:B$746,B1022,'Base bordo'!F$2:F$746,"DESLOCAMENTO VAZIO"),0)</f>
        <v>0</v>
      </c>
      <c r="R1022" s="10">
        <f>IFERROR(SUMIFS('Base bordo'!I$2:I$746,'Base bordo'!C$2:C$746,A1022,'Base bordo'!B$2:B$746,B1022,'Base bordo'!F$2:F$746,"DESLOCAMENTO VAZIO"),0)</f>
        <v>0</v>
      </c>
      <c r="S1022" s="30" t="str">
        <f t="shared" si="103"/>
        <v/>
      </c>
      <c r="T1022" s="10">
        <f>IFERROR(SUMIFS('Base bordo'!H$2:H$746,'Base bordo'!C$2:C$746,A1022,'Base bordo'!B$2:B$746,B1022,'Base bordo'!F$2:F$746,"DESLOCAMENTO CARREGADO"),0)</f>
        <v>0</v>
      </c>
      <c r="U1022" s="10">
        <f>IFERROR(SUMIFS('Base bordo'!I$2:I$746,'Base bordo'!C$2:C$746,A1022,'Base bordo'!B$2:B$746,B1022,'Base bordo'!F$2:F$746,"DESLOCAMENTO CARREGADO"),0)</f>
        <v>0</v>
      </c>
      <c r="V1022" s="30" t="str">
        <f t="shared" si="104"/>
        <v/>
      </c>
      <c r="W1022" s="9">
        <f t="shared" si="105"/>
        <v>0</v>
      </c>
      <c r="X1022" s="9">
        <f t="shared" si="106"/>
        <v>0</v>
      </c>
      <c r="Y1022" s="9">
        <f t="shared" si="107"/>
        <v>0</v>
      </c>
    </row>
    <row r="1023" spans="1:25" ht="15" customHeight="1" x14ac:dyDescent="0.35">
      <c r="A1023" s="52">
        <v>8013465</v>
      </c>
      <c r="B1023" s="51">
        <v>46121</v>
      </c>
      <c r="C1023" s="7" t="s">
        <v>124</v>
      </c>
      <c r="D1023" s="10">
        <f>IFERROR(SUMIFS('Base bordo'!G$2:G$746,'Base bordo'!C$2:C$746,A1023,'Base bordo'!B$2:B$746,B1023,'Base bordo'!F$2:F$746,"DESLOCAMENTO VAZIO"),0)</f>
        <v>0</v>
      </c>
      <c r="E1023" s="10">
        <f>IFERROR(SUMIFS('Base bordo'!G$2:G$746,'Base bordo'!C$2:C$746,A1023,'Base bordo'!B$2:B$746,B1023,'Base bordo'!F$2:F$746,"DESLOCAMENTO CARREGADO"),0)</f>
        <v>0</v>
      </c>
      <c r="F1023" s="10">
        <f>IFERROR(SUMIFS('Base bordo'!G$2:G$746,'Base bordo'!C$2:C$746,A1023,'Base bordo'!B$2:B$746,B1023,'Base bordo'!F$2:F$746,"DESLOCAMENTO"),0)</f>
        <v>0</v>
      </c>
      <c r="G1023" s="10">
        <f>IFERROR(SUMIFS('Base bordo'!G$2:G$746,'Base bordo'!C$2:C$746,A1023,'Base bordo'!B$2:B$746,B1023,'Base bordo'!F$2:F$746,"CARREGAMENTO"),0)</f>
        <v>0</v>
      </c>
      <c r="H1023" s="10">
        <f>IFERROR(SUMIFS('Base bordo'!G$2:G$746,'Base bordo'!C$2:C$746,A1023,'Base bordo'!B$2:B$746,B1023,'Base bordo'!F$2:F$746,"AGUARDANDO TRANSBORDO"),0)</f>
        <v>0</v>
      </c>
      <c r="I1023" s="10">
        <f>IFERROR(SUMIFS('Base bordo'!G$2:G$746,'Base bordo'!C$2:C$746,A1023,'Base bordo'!B$2:B$746,B1023,'Base bordo'!F$2:F$746,"PÁTIO INTERNO"),0)+IFERROR(SUMIFS('Base bordo'!G$2:G$746,'Base bordo'!C$2:C$746,A1023,'Base bordo'!B$2:B$746,B1023,'Base bordo'!F$2:F$746,"PÁTIO EXTERNO"),0)+IFERROR(SUMIFS('Base bordo'!G$2:G$746,'Base bordo'!C$2:C$746,A1023,'Base bordo'!B$2:B$746,B1023,'Base bordo'!F$2:F$746,"PATIO - RESERVA"),0)+IFERROR(SUMIFS('Base bordo'!G$2:G$746,'Base bordo'!C$2:C$746,A1023,'Base bordo'!B$2:B$746,B1023,'Base bordo'!F$2:F$746,"MANOBRA CARRETAS-PATIO"),0)</f>
        <v>0</v>
      </c>
      <c r="J1023" s="10">
        <f>IFERROR(SUMIFS('Base bordo'!G$2:G$746,'Base bordo'!C$2:C$746,A1023,'Base bordo'!B$2:B$746,B1023,'Base bordo'!F$2:F$746,"BALANÇA - ENTRADA"),0)+IFERROR(SUMIFS('Base bordo'!G$2:G$746,'Base bordo'!C$2:C$746,A1023,'Base bordo'!B$2:B$746,B1023,'Base bordo'!F$2:F$746,"BALANÇA - SAÍDA"),0)</f>
        <v>0</v>
      </c>
      <c r="K1023" s="10">
        <f>IFERROR(SUMIFS('Base bordo'!G$2:G$746,'Base bordo'!C$2:C$746,A1023,'Base bordo'!B$2:B$746,B1023,'Base bordo'!F$2:F$746,"MAN PREVENTIVA - MECANICA"),0)+IFERROR(SUMIFS('Base bordo'!G$2:G$746,'Base bordo'!C$2:C$746,A1023,'Base bordo'!B$2:B$746,B1023,'Base bordo'!F$2:F$746,"MAN CORRETIVA - MECANICA"),0)</f>
        <v>0</v>
      </c>
      <c r="L1023" s="10">
        <f>IFERROR(SUMIFS('Base bordo'!G$2:G$746,'Base bordo'!C$2:C$746,A1023,'Base bordo'!B$2:B$746,B1023,'Base bordo'!F$2:F$746,"MANUTENCAO - T O"),0)+IFERROR(SUMIFS('Base bordo'!G$2:G$746,'Base bordo'!C$2:C$746,A1023,'Base bordo'!B$2:B$746,B1023,'Base bordo'!F$2:F$746,"MANUTENCAO BORRACHARIA"),0)+IFERROR(SUMIFS('Base bordo'!G$2:G$746,'Base bordo'!C$2:C$746,A1023,'Base bordo'!B$2:B$746,B1023,'Base bordo'!F$2:F$746,"MANUTENCAO EXTERNA  CONCESSIONARIA"),0)+IFERROR(SUMIFS('Base bordo'!G$2:G$746,'Base bordo'!C$2:C$746,A1023,'Base bordo'!B$2:B$746,B1023,'Base bordo'!F$2:F$746,"MANUTENCAO TELEMETRIA"),0)</f>
        <v>0</v>
      </c>
      <c r="M1023" s="10">
        <f>IFERROR(SUMIFS('Base bordo'!G$2:G$746,'Base bordo'!C$2:C$746,A1023,'Base bordo'!B$2:B$746,B1023,'Base bordo'!F$2:F$746,"AGUARDANDO MANUTENCAO"),0)</f>
        <v>0</v>
      </c>
      <c r="N1023" s="10">
        <f>IFERROR(SUMIFS('Base bordo'!G$2:G$746,'Base bordo'!C$2:C$746,A1023,'Base bordo'!B$2:B$746,B1023,'Base bordo'!F$2:F$746,"SEM APONTAMENTO"),0)</f>
        <v>0</v>
      </c>
      <c r="O1023" s="10">
        <f t="shared" si="102"/>
        <v>0</v>
      </c>
      <c r="P1023" s="10">
        <f>IFERROR(SUMIFS('Base bordo'!G$2:G$746,'Base bordo'!C$2:C$746,A1023,'Base bordo'!B$2:B$746,B1023),0)</f>
        <v>0</v>
      </c>
      <c r="Q1023" s="10">
        <f>IFERROR(SUMIFS('Base bordo'!H$2:H$746,'Base bordo'!C$2:C$746,A1023,'Base bordo'!B$2:B$746,B1023,'Base bordo'!F$2:F$746,"DESLOCAMENTO VAZIO"),0)</f>
        <v>0</v>
      </c>
      <c r="R1023" s="10">
        <f>IFERROR(SUMIFS('Base bordo'!I$2:I$746,'Base bordo'!C$2:C$746,A1023,'Base bordo'!B$2:B$746,B1023,'Base bordo'!F$2:F$746,"DESLOCAMENTO VAZIO"),0)</f>
        <v>0</v>
      </c>
      <c r="S1023" s="30" t="str">
        <f t="shared" si="103"/>
        <v/>
      </c>
      <c r="T1023" s="10">
        <f>IFERROR(SUMIFS('Base bordo'!H$2:H$746,'Base bordo'!C$2:C$746,A1023,'Base bordo'!B$2:B$746,B1023,'Base bordo'!F$2:F$746,"DESLOCAMENTO CARREGADO"),0)</f>
        <v>0</v>
      </c>
      <c r="U1023" s="10">
        <f>IFERROR(SUMIFS('Base bordo'!I$2:I$746,'Base bordo'!C$2:C$746,A1023,'Base bordo'!B$2:B$746,B1023,'Base bordo'!F$2:F$746,"DESLOCAMENTO CARREGADO"),0)</f>
        <v>0</v>
      </c>
      <c r="V1023" s="30" t="str">
        <f t="shared" si="104"/>
        <v/>
      </c>
      <c r="W1023" s="9">
        <f t="shared" si="105"/>
        <v>0</v>
      </c>
      <c r="X1023" s="9">
        <f t="shared" si="106"/>
        <v>0</v>
      </c>
      <c r="Y1023" s="9">
        <f t="shared" si="107"/>
        <v>0</v>
      </c>
    </row>
    <row r="1024" spans="1:25" ht="15" customHeight="1" x14ac:dyDescent="0.35">
      <c r="A1024" s="52">
        <v>8013468</v>
      </c>
      <c r="B1024" s="51">
        <v>46121</v>
      </c>
      <c r="C1024" s="7" t="s">
        <v>124</v>
      </c>
      <c r="D1024" s="10">
        <f>IFERROR(SUMIFS('Base bordo'!G$2:G$746,'Base bordo'!C$2:C$746,A1024,'Base bordo'!B$2:B$746,B1024,'Base bordo'!F$2:F$746,"DESLOCAMENTO VAZIO"),0)</f>
        <v>0</v>
      </c>
      <c r="E1024" s="10">
        <f>IFERROR(SUMIFS('Base bordo'!G$2:G$746,'Base bordo'!C$2:C$746,A1024,'Base bordo'!B$2:B$746,B1024,'Base bordo'!F$2:F$746,"DESLOCAMENTO CARREGADO"),0)</f>
        <v>0</v>
      </c>
      <c r="F1024" s="10">
        <f>IFERROR(SUMIFS('Base bordo'!G$2:G$746,'Base bordo'!C$2:C$746,A1024,'Base bordo'!B$2:B$746,B1024,'Base bordo'!F$2:F$746,"DESLOCAMENTO"),0)</f>
        <v>0</v>
      </c>
      <c r="G1024" s="10">
        <f>IFERROR(SUMIFS('Base bordo'!G$2:G$746,'Base bordo'!C$2:C$746,A1024,'Base bordo'!B$2:B$746,B1024,'Base bordo'!F$2:F$746,"CARREGAMENTO"),0)</f>
        <v>0</v>
      </c>
      <c r="H1024" s="10">
        <f>IFERROR(SUMIFS('Base bordo'!G$2:G$746,'Base bordo'!C$2:C$746,A1024,'Base bordo'!B$2:B$746,B1024,'Base bordo'!F$2:F$746,"AGUARDANDO TRANSBORDO"),0)</f>
        <v>0</v>
      </c>
      <c r="I1024" s="10">
        <f>IFERROR(SUMIFS('Base bordo'!G$2:G$746,'Base bordo'!C$2:C$746,A1024,'Base bordo'!B$2:B$746,B1024,'Base bordo'!F$2:F$746,"PÁTIO INTERNO"),0)+IFERROR(SUMIFS('Base bordo'!G$2:G$746,'Base bordo'!C$2:C$746,A1024,'Base bordo'!B$2:B$746,B1024,'Base bordo'!F$2:F$746,"PÁTIO EXTERNO"),0)+IFERROR(SUMIFS('Base bordo'!G$2:G$746,'Base bordo'!C$2:C$746,A1024,'Base bordo'!B$2:B$746,B1024,'Base bordo'!F$2:F$746,"PATIO - RESERVA"),0)+IFERROR(SUMIFS('Base bordo'!G$2:G$746,'Base bordo'!C$2:C$746,A1024,'Base bordo'!B$2:B$746,B1024,'Base bordo'!F$2:F$746,"MANOBRA CARRETAS-PATIO"),0)</f>
        <v>0</v>
      </c>
      <c r="J1024" s="10">
        <f>IFERROR(SUMIFS('Base bordo'!G$2:G$746,'Base bordo'!C$2:C$746,A1024,'Base bordo'!B$2:B$746,B1024,'Base bordo'!F$2:F$746,"BALANÇA - ENTRADA"),0)+IFERROR(SUMIFS('Base bordo'!G$2:G$746,'Base bordo'!C$2:C$746,A1024,'Base bordo'!B$2:B$746,B1024,'Base bordo'!F$2:F$746,"BALANÇA - SAÍDA"),0)</f>
        <v>0</v>
      </c>
      <c r="K1024" s="10">
        <f>IFERROR(SUMIFS('Base bordo'!G$2:G$746,'Base bordo'!C$2:C$746,A1024,'Base bordo'!B$2:B$746,B1024,'Base bordo'!F$2:F$746,"MAN PREVENTIVA - MECANICA"),0)+IFERROR(SUMIFS('Base bordo'!G$2:G$746,'Base bordo'!C$2:C$746,A1024,'Base bordo'!B$2:B$746,B1024,'Base bordo'!F$2:F$746,"MAN CORRETIVA - MECANICA"),0)</f>
        <v>0</v>
      </c>
      <c r="L1024" s="10">
        <f>IFERROR(SUMIFS('Base bordo'!G$2:G$746,'Base bordo'!C$2:C$746,A1024,'Base bordo'!B$2:B$746,B1024,'Base bordo'!F$2:F$746,"MANUTENCAO - T O"),0)+IFERROR(SUMIFS('Base bordo'!G$2:G$746,'Base bordo'!C$2:C$746,A1024,'Base bordo'!B$2:B$746,B1024,'Base bordo'!F$2:F$746,"MANUTENCAO BORRACHARIA"),0)+IFERROR(SUMIFS('Base bordo'!G$2:G$746,'Base bordo'!C$2:C$746,A1024,'Base bordo'!B$2:B$746,B1024,'Base bordo'!F$2:F$746,"MANUTENCAO EXTERNA  CONCESSIONARIA"),0)+IFERROR(SUMIFS('Base bordo'!G$2:G$746,'Base bordo'!C$2:C$746,A1024,'Base bordo'!B$2:B$746,B1024,'Base bordo'!F$2:F$746,"MANUTENCAO TELEMETRIA"),0)</f>
        <v>0</v>
      </c>
      <c r="M1024" s="10">
        <f>IFERROR(SUMIFS('Base bordo'!G$2:G$746,'Base bordo'!C$2:C$746,A1024,'Base bordo'!B$2:B$746,B1024,'Base bordo'!F$2:F$746,"AGUARDANDO MANUTENCAO"),0)</f>
        <v>0</v>
      </c>
      <c r="N1024" s="10">
        <f>IFERROR(SUMIFS('Base bordo'!G$2:G$746,'Base bordo'!C$2:C$746,A1024,'Base bordo'!B$2:B$746,B1024,'Base bordo'!F$2:F$746,"SEM APONTAMENTO"),0)</f>
        <v>0</v>
      </c>
      <c r="O1024" s="10">
        <f t="shared" si="102"/>
        <v>0</v>
      </c>
      <c r="P1024" s="10">
        <f>IFERROR(SUMIFS('Base bordo'!G$2:G$746,'Base bordo'!C$2:C$746,A1024,'Base bordo'!B$2:B$746,B1024),0)</f>
        <v>0</v>
      </c>
      <c r="Q1024" s="10">
        <f>IFERROR(SUMIFS('Base bordo'!H$2:H$746,'Base bordo'!C$2:C$746,A1024,'Base bordo'!B$2:B$746,B1024,'Base bordo'!F$2:F$746,"DESLOCAMENTO VAZIO"),0)</f>
        <v>0</v>
      </c>
      <c r="R1024" s="10">
        <f>IFERROR(SUMIFS('Base bordo'!I$2:I$746,'Base bordo'!C$2:C$746,A1024,'Base bordo'!B$2:B$746,B1024,'Base bordo'!F$2:F$746,"DESLOCAMENTO VAZIO"),0)</f>
        <v>0</v>
      </c>
      <c r="S1024" s="30" t="str">
        <f t="shared" si="103"/>
        <v/>
      </c>
      <c r="T1024" s="10">
        <f>IFERROR(SUMIFS('Base bordo'!H$2:H$746,'Base bordo'!C$2:C$746,A1024,'Base bordo'!B$2:B$746,B1024,'Base bordo'!F$2:F$746,"DESLOCAMENTO CARREGADO"),0)</f>
        <v>0</v>
      </c>
      <c r="U1024" s="10">
        <f>IFERROR(SUMIFS('Base bordo'!I$2:I$746,'Base bordo'!C$2:C$746,A1024,'Base bordo'!B$2:B$746,B1024,'Base bordo'!F$2:F$746,"DESLOCAMENTO CARREGADO"),0)</f>
        <v>0</v>
      </c>
      <c r="V1024" s="30" t="str">
        <f t="shared" si="104"/>
        <v/>
      </c>
      <c r="W1024" s="9">
        <f t="shared" si="105"/>
        <v>0</v>
      </c>
      <c r="X1024" s="9">
        <f t="shared" si="106"/>
        <v>0</v>
      </c>
      <c r="Y1024" s="9">
        <f t="shared" si="107"/>
        <v>0</v>
      </c>
    </row>
    <row r="1025" spans="1:25" ht="15" customHeight="1" x14ac:dyDescent="0.35">
      <c r="A1025" s="52">
        <v>8013469</v>
      </c>
      <c r="B1025" s="51">
        <v>46121</v>
      </c>
      <c r="C1025" s="7" t="s">
        <v>124</v>
      </c>
      <c r="D1025" s="10">
        <f>IFERROR(SUMIFS('Base bordo'!G$2:G$746,'Base bordo'!C$2:C$746,A1025,'Base bordo'!B$2:B$746,B1025,'Base bordo'!F$2:F$746,"DESLOCAMENTO VAZIO"),0)</f>
        <v>0</v>
      </c>
      <c r="E1025" s="10">
        <f>IFERROR(SUMIFS('Base bordo'!G$2:G$746,'Base bordo'!C$2:C$746,A1025,'Base bordo'!B$2:B$746,B1025,'Base bordo'!F$2:F$746,"DESLOCAMENTO CARREGADO"),0)</f>
        <v>0</v>
      </c>
      <c r="F1025" s="10">
        <f>IFERROR(SUMIFS('Base bordo'!G$2:G$746,'Base bordo'!C$2:C$746,A1025,'Base bordo'!B$2:B$746,B1025,'Base bordo'!F$2:F$746,"DESLOCAMENTO"),0)</f>
        <v>0</v>
      </c>
      <c r="G1025" s="10">
        <f>IFERROR(SUMIFS('Base bordo'!G$2:G$746,'Base bordo'!C$2:C$746,A1025,'Base bordo'!B$2:B$746,B1025,'Base bordo'!F$2:F$746,"CARREGAMENTO"),0)</f>
        <v>0</v>
      </c>
      <c r="H1025" s="10">
        <f>IFERROR(SUMIFS('Base bordo'!G$2:G$746,'Base bordo'!C$2:C$746,A1025,'Base bordo'!B$2:B$746,B1025,'Base bordo'!F$2:F$746,"AGUARDANDO TRANSBORDO"),0)</f>
        <v>0</v>
      </c>
      <c r="I1025" s="10">
        <f>IFERROR(SUMIFS('Base bordo'!G$2:G$746,'Base bordo'!C$2:C$746,A1025,'Base bordo'!B$2:B$746,B1025,'Base bordo'!F$2:F$746,"PÁTIO INTERNO"),0)+IFERROR(SUMIFS('Base bordo'!G$2:G$746,'Base bordo'!C$2:C$746,A1025,'Base bordo'!B$2:B$746,B1025,'Base bordo'!F$2:F$746,"PÁTIO EXTERNO"),0)+IFERROR(SUMIFS('Base bordo'!G$2:G$746,'Base bordo'!C$2:C$746,A1025,'Base bordo'!B$2:B$746,B1025,'Base bordo'!F$2:F$746,"PATIO - RESERVA"),0)+IFERROR(SUMIFS('Base bordo'!G$2:G$746,'Base bordo'!C$2:C$746,A1025,'Base bordo'!B$2:B$746,B1025,'Base bordo'!F$2:F$746,"MANOBRA CARRETAS-PATIO"),0)</f>
        <v>0</v>
      </c>
      <c r="J1025" s="10">
        <f>IFERROR(SUMIFS('Base bordo'!G$2:G$746,'Base bordo'!C$2:C$746,A1025,'Base bordo'!B$2:B$746,B1025,'Base bordo'!F$2:F$746,"BALANÇA - ENTRADA"),0)+IFERROR(SUMIFS('Base bordo'!G$2:G$746,'Base bordo'!C$2:C$746,A1025,'Base bordo'!B$2:B$746,B1025,'Base bordo'!F$2:F$746,"BALANÇA - SAÍDA"),0)</f>
        <v>0</v>
      </c>
      <c r="K1025" s="10">
        <f>IFERROR(SUMIFS('Base bordo'!G$2:G$746,'Base bordo'!C$2:C$746,A1025,'Base bordo'!B$2:B$746,B1025,'Base bordo'!F$2:F$746,"MAN PREVENTIVA - MECANICA"),0)+IFERROR(SUMIFS('Base bordo'!G$2:G$746,'Base bordo'!C$2:C$746,A1025,'Base bordo'!B$2:B$746,B1025,'Base bordo'!F$2:F$746,"MAN CORRETIVA - MECANICA"),0)</f>
        <v>0</v>
      </c>
      <c r="L1025" s="10">
        <f>IFERROR(SUMIFS('Base bordo'!G$2:G$746,'Base bordo'!C$2:C$746,A1025,'Base bordo'!B$2:B$746,B1025,'Base bordo'!F$2:F$746,"MANUTENCAO - T O"),0)+IFERROR(SUMIFS('Base bordo'!G$2:G$746,'Base bordo'!C$2:C$746,A1025,'Base bordo'!B$2:B$746,B1025,'Base bordo'!F$2:F$746,"MANUTENCAO BORRACHARIA"),0)+IFERROR(SUMIFS('Base bordo'!G$2:G$746,'Base bordo'!C$2:C$746,A1025,'Base bordo'!B$2:B$746,B1025,'Base bordo'!F$2:F$746,"MANUTENCAO EXTERNA  CONCESSIONARIA"),0)+IFERROR(SUMIFS('Base bordo'!G$2:G$746,'Base bordo'!C$2:C$746,A1025,'Base bordo'!B$2:B$746,B1025,'Base bordo'!F$2:F$746,"MANUTENCAO TELEMETRIA"),0)</f>
        <v>0</v>
      </c>
      <c r="M1025" s="10">
        <f>IFERROR(SUMIFS('Base bordo'!G$2:G$746,'Base bordo'!C$2:C$746,A1025,'Base bordo'!B$2:B$746,B1025,'Base bordo'!F$2:F$746,"AGUARDANDO MANUTENCAO"),0)</f>
        <v>0</v>
      </c>
      <c r="N1025" s="10">
        <f>IFERROR(SUMIFS('Base bordo'!G$2:G$746,'Base bordo'!C$2:C$746,A1025,'Base bordo'!B$2:B$746,B1025,'Base bordo'!F$2:F$746,"SEM APONTAMENTO"),0)</f>
        <v>0</v>
      </c>
      <c r="O1025" s="10">
        <f t="shared" si="102"/>
        <v>0</v>
      </c>
      <c r="P1025" s="10">
        <f>IFERROR(SUMIFS('Base bordo'!G$2:G$746,'Base bordo'!C$2:C$746,A1025,'Base bordo'!B$2:B$746,B1025),0)</f>
        <v>0</v>
      </c>
      <c r="Q1025" s="10">
        <f>IFERROR(SUMIFS('Base bordo'!H$2:H$746,'Base bordo'!C$2:C$746,A1025,'Base bordo'!B$2:B$746,B1025,'Base bordo'!F$2:F$746,"DESLOCAMENTO VAZIO"),0)</f>
        <v>0</v>
      </c>
      <c r="R1025" s="10">
        <f>IFERROR(SUMIFS('Base bordo'!I$2:I$746,'Base bordo'!C$2:C$746,A1025,'Base bordo'!B$2:B$746,B1025,'Base bordo'!F$2:F$746,"DESLOCAMENTO VAZIO"),0)</f>
        <v>0</v>
      </c>
      <c r="S1025" s="30" t="str">
        <f t="shared" si="103"/>
        <v/>
      </c>
      <c r="T1025" s="10">
        <f>IFERROR(SUMIFS('Base bordo'!H$2:H$746,'Base bordo'!C$2:C$746,A1025,'Base bordo'!B$2:B$746,B1025,'Base bordo'!F$2:F$746,"DESLOCAMENTO CARREGADO"),0)</f>
        <v>0</v>
      </c>
      <c r="U1025" s="10">
        <f>IFERROR(SUMIFS('Base bordo'!I$2:I$746,'Base bordo'!C$2:C$746,A1025,'Base bordo'!B$2:B$746,B1025,'Base bordo'!F$2:F$746,"DESLOCAMENTO CARREGADO"),0)</f>
        <v>0</v>
      </c>
      <c r="V1025" s="30" t="str">
        <f t="shared" si="104"/>
        <v/>
      </c>
      <c r="W1025" s="9">
        <f t="shared" si="105"/>
        <v>0</v>
      </c>
      <c r="X1025" s="9">
        <f t="shared" si="106"/>
        <v>0</v>
      </c>
      <c r="Y1025" s="9">
        <f t="shared" si="107"/>
        <v>0</v>
      </c>
    </row>
    <row r="1026" spans="1:25" ht="15" customHeight="1" x14ac:dyDescent="0.35">
      <c r="A1026" s="52">
        <v>8013470</v>
      </c>
      <c r="B1026" s="51">
        <v>46121</v>
      </c>
      <c r="C1026" s="7" t="s">
        <v>124</v>
      </c>
      <c r="D1026" s="10">
        <f>IFERROR(SUMIFS('Base bordo'!G$2:G$746,'Base bordo'!C$2:C$746,A1026,'Base bordo'!B$2:B$746,B1026,'Base bordo'!F$2:F$746,"DESLOCAMENTO VAZIO"),0)</f>
        <v>0</v>
      </c>
      <c r="E1026" s="10">
        <f>IFERROR(SUMIFS('Base bordo'!G$2:G$746,'Base bordo'!C$2:C$746,A1026,'Base bordo'!B$2:B$746,B1026,'Base bordo'!F$2:F$746,"DESLOCAMENTO CARREGADO"),0)</f>
        <v>0</v>
      </c>
      <c r="F1026" s="10">
        <f>IFERROR(SUMIFS('Base bordo'!G$2:G$746,'Base bordo'!C$2:C$746,A1026,'Base bordo'!B$2:B$746,B1026,'Base bordo'!F$2:F$746,"DESLOCAMENTO"),0)</f>
        <v>0</v>
      </c>
      <c r="G1026" s="10">
        <f>IFERROR(SUMIFS('Base bordo'!G$2:G$746,'Base bordo'!C$2:C$746,A1026,'Base bordo'!B$2:B$746,B1026,'Base bordo'!F$2:F$746,"CARREGAMENTO"),0)</f>
        <v>0</v>
      </c>
      <c r="H1026" s="10">
        <f>IFERROR(SUMIFS('Base bordo'!G$2:G$746,'Base bordo'!C$2:C$746,A1026,'Base bordo'!B$2:B$746,B1026,'Base bordo'!F$2:F$746,"AGUARDANDO TRANSBORDO"),0)</f>
        <v>0</v>
      </c>
      <c r="I1026" s="10">
        <f>IFERROR(SUMIFS('Base bordo'!G$2:G$746,'Base bordo'!C$2:C$746,A1026,'Base bordo'!B$2:B$746,B1026,'Base bordo'!F$2:F$746,"PÁTIO INTERNO"),0)+IFERROR(SUMIFS('Base bordo'!G$2:G$746,'Base bordo'!C$2:C$746,A1026,'Base bordo'!B$2:B$746,B1026,'Base bordo'!F$2:F$746,"PÁTIO EXTERNO"),0)+IFERROR(SUMIFS('Base bordo'!G$2:G$746,'Base bordo'!C$2:C$746,A1026,'Base bordo'!B$2:B$746,B1026,'Base bordo'!F$2:F$746,"PATIO - RESERVA"),0)+IFERROR(SUMIFS('Base bordo'!G$2:G$746,'Base bordo'!C$2:C$746,A1026,'Base bordo'!B$2:B$746,B1026,'Base bordo'!F$2:F$746,"MANOBRA CARRETAS-PATIO"),0)</f>
        <v>0</v>
      </c>
      <c r="J1026" s="10">
        <f>IFERROR(SUMIFS('Base bordo'!G$2:G$746,'Base bordo'!C$2:C$746,A1026,'Base bordo'!B$2:B$746,B1026,'Base bordo'!F$2:F$746,"BALANÇA - ENTRADA"),0)+IFERROR(SUMIFS('Base bordo'!G$2:G$746,'Base bordo'!C$2:C$746,A1026,'Base bordo'!B$2:B$746,B1026,'Base bordo'!F$2:F$746,"BALANÇA - SAÍDA"),0)</f>
        <v>0</v>
      </c>
      <c r="K1026" s="10">
        <f>IFERROR(SUMIFS('Base bordo'!G$2:G$746,'Base bordo'!C$2:C$746,A1026,'Base bordo'!B$2:B$746,B1026,'Base bordo'!F$2:F$746,"MAN PREVENTIVA - MECANICA"),0)+IFERROR(SUMIFS('Base bordo'!G$2:G$746,'Base bordo'!C$2:C$746,A1026,'Base bordo'!B$2:B$746,B1026,'Base bordo'!F$2:F$746,"MAN CORRETIVA - MECANICA"),0)</f>
        <v>0</v>
      </c>
      <c r="L1026" s="10">
        <f>IFERROR(SUMIFS('Base bordo'!G$2:G$746,'Base bordo'!C$2:C$746,A1026,'Base bordo'!B$2:B$746,B1026,'Base bordo'!F$2:F$746,"MANUTENCAO - T O"),0)+IFERROR(SUMIFS('Base bordo'!G$2:G$746,'Base bordo'!C$2:C$746,A1026,'Base bordo'!B$2:B$746,B1026,'Base bordo'!F$2:F$746,"MANUTENCAO BORRACHARIA"),0)+IFERROR(SUMIFS('Base bordo'!G$2:G$746,'Base bordo'!C$2:C$746,A1026,'Base bordo'!B$2:B$746,B1026,'Base bordo'!F$2:F$746,"MANUTENCAO EXTERNA  CONCESSIONARIA"),0)+IFERROR(SUMIFS('Base bordo'!G$2:G$746,'Base bordo'!C$2:C$746,A1026,'Base bordo'!B$2:B$746,B1026,'Base bordo'!F$2:F$746,"MANUTENCAO TELEMETRIA"),0)</f>
        <v>0</v>
      </c>
      <c r="M1026" s="10">
        <f>IFERROR(SUMIFS('Base bordo'!G$2:G$746,'Base bordo'!C$2:C$746,A1026,'Base bordo'!B$2:B$746,B1026,'Base bordo'!F$2:F$746,"AGUARDANDO MANUTENCAO"),0)</f>
        <v>0</v>
      </c>
      <c r="N1026" s="10">
        <f>IFERROR(SUMIFS('Base bordo'!G$2:G$746,'Base bordo'!C$2:C$746,A1026,'Base bordo'!B$2:B$746,B1026,'Base bordo'!F$2:F$746,"SEM APONTAMENTO"),0)</f>
        <v>0</v>
      </c>
      <c r="O1026" s="10">
        <f t="shared" si="102"/>
        <v>0</v>
      </c>
      <c r="P1026" s="10">
        <f>IFERROR(SUMIFS('Base bordo'!G$2:G$746,'Base bordo'!C$2:C$746,A1026,'Base bordo'!B$2:B$746,B1026),0)</f>
        <v>0</v>
      </c>
      <c r="Q1026" s="10">
        <f>IFERROR(SUMIFS('Base bordo'!H$2:H$746,'Base bordo'!C$2:C$746,A1026,'Base bordo'!B$2:B$746,B1026,'Base bordo'!F$2:F$746,"DESLOCAMENTO VAZIO"),0)</f>
        <v>0</v>
      </c>
      <c r="R1026" s="10">
        <f>IFERROR(SUMIFS('Base bordo'!I$2:I$746,'Base bordo'!C$2:C$746,A1026,'Base bordo'!B$2:B$746,B1026,'Base bordo'!F$2:F$746,"DESLOCAMENTO VAZIO"),0)</f>
        <v>0</v>
      </c>
      <c r="S1026" s="30" t="str">
        <f t="shared" si="103"/>
        <v/>
      </c>
      <c r="T1026" s="10">
        <f>IFERROR(SUMIFS('Base bordo'!H$2:H$746,'Base bordo'!C$2:C$746,A1026,'Base bordo'!B$2:B$746,B1026,'Base bordo'!F$2:F$746,"DESLOCAMENTO CARREGADO"),0)</f>
        <v>0</v>
      </c>
      <c r="U1026" s="10">
        <f>IFERROR(SUMIFS('Base bordo'!I$2:I$746,'Base bordo'!C$2:C$746,A1026,'Base bordo'!B$2:B$746,B1026,'Base bordo'!F$2:F$746,"DESLOCAMENTO CARREGADO"),0)</f>
        <v>0</v>
      </c>
      <c r="V1026" s="30" t="str">
        <f t="shared" si="104"/>
        <v/>
      </c>
      <c r="W1026" s="9">
        <f t="shared" si="105"/>
        <v>0</v>
      </c>
      <c r="X1026" s="9">
        <f t="shared" si="106"/>
        <v>0</v>
      </c>
      <c r="Y1026" s="9">
        <f t="shared" si="107"/>
        <v>0</v>
      </c>
    </row>
    <row r="1027" spans="1:25" ht="15" customHeight="1" x14ac:dyDescent="0.35">
      <c r="A1027" s="52">
        <v>8013472</v>
      </c>
      <c r="B1027" s="51">
        <v>46121</v>
      </c>
      <c r="C1027" s="7" t="s">
        <v>124</v>
      </c>
      <c r="D1027" s="10">
        <f>IFERROR(SUMIFS('Base bordo'!G$2:G$746,'Base bordo'!C$2:C$746,A1027,'Base bordo'!B$2:B$746,B1027,'Base bordo'!F$2:F$746,"DESLOCAMENTO VAZIO"),0)</f>
        <v>0</v>
      </c>
      <c r="E1027" s="10">
        <f>IFERROR(SUMIFS('Base bordo'!G$2:G$746,'Base bordo'!C$2:C$746,A1027,'Base bordo'!B$2:B$746,B1027,'Base bordo'!F$2:F$746,"DESLOCAMENTO CARREGADO"),0)</f>
        <v>0</v>
      </c>
      <c r="F1027" s="10">
        <f>IFERROR(SUMIFS('Base bordo'!G$2:G$746,'Base bordo'!C$2:C$746,A1027,'Base bordo'!B$2:B$746,B1027,'Base bordo'!F$2:F$746,"DESLOCAMENTO"),0)</f>
        <v>0</v>
      </c>
      <c r="G1027" s="10">
        <f>IFERROR(SUMIFS('Base bordo'!G$2:G$746,'Base bordo'!C$2:C$746,A1027,'Base bordo'!B$2:B$746,B1027,'Base bordo'!F$2:F$746,"CARREGAMENTO"),0)</f>
        <v>0</v>
      </c>
      <c r="H1027" s="10">
        <f>IFERROR(SUMIFS('Base bordo'!G$2:G$746,'Base bordo'!C$2:C$746,A1027,'Base bordo'!B$2:B$746,B1027,'Base bordo'!F$2:F$746,"AGUARDANDO TRANSBORDO"),0)</f>
        <v>0</v>
      </c>
      <c r="I1027" s="10">
        <f>IFERROR(SUMIFS('Base bordo'!G$2:G$746,'Base bordo'!C$2:C$746,A1027,'Base bordo'!B$2:B$746,B1027,'Base bordo'!F$2:F$746,"PÁTIO INTERNO"),0)+IFERROR(SUMIFS('Base bordo'!G$2:G$746,'Base bordo'!C$2:C$746,A1027,'Base bordo'!B$2:B$746,B1027,'Base bordo'!F$2:F$746,"PÁTIO EXTERNO"),0)+IFERROR(SUMIFS('Base bordo'!G$2:G$746,'Base bordo'!C$2:C$746,A1027,'Base bordo'!B$2:B$746,B1027,'Base bordo'!F$2:F$746,"PATIO - RESERVA"),0)+IFERROR(SUMIFS('Base bordo'!G$2:G$746,'Base bordo'!C$2:C$746,A1027,'Base bordo'!B$2:B$746,B1027,'Base bordo'!F$2:F$746,"MANOBRA CARRETAS-PATIO"),0)</f>
        <v>0</v>
      </c>
      <c r="J1027" s="10">
        <f>IFERROR(SUMIFS('Base bordo'!G$2:G$746,'Base bordo'!C$2:C$746,A1027,'Base bordo'!B$2:B$746,B1027,'Base bordo'!F$2:F$746,"BALANÇA - ENTRADA"),0)+IFERROR(SUMIFS('Base bordo'!G$2:G$746,'Base bordo'!C$2:C$746,A1027,'Base bordo'!B$2:B$746,B1027,'Base bordo'!F$2:F$746,"BALANÇA - SAÍDA"),0)</f>
        <v>0</v>
      </c>
      <c r="K1027" s="10">
        <f>IFERROR(SUMIFS('Base bordo'!G$2:G$746,'Base bordo'!C$2:C$746,A1027,'Base bordo'!B$2:B$746,B1027,'Base bordo'!F$2:F$746,"MAN PREVENTIVA - MECANICA"),0)+IFERROR(SUMIFS('Base bordo'!G$2:G$746,'Base bordo'!C$2:C$746,A1027,'Base bordo'!B$2:B$746,B1027,'Base bordo'!F$2:F$746,"MAN CORRETIVA - MECANICA"),0)</f>
        <v>0</v>
      </c>
      <c r="L1027" s="10">
        <f>IFERROR(SUMIFS('Base bordo'!G$2:G$746,'Base bordo'!C$2:C$746,A1027,'Base bordo'!B$2:B$746,B1027,'Base bordo'!F$2:F$746,"MANUTENCAO - T O"),0)+IFERROR(SUMIFS('Base bordo'!G$2:G$746,'Base bordo'!C$2:C$746,A1027,'Base bordo'!B$2:B$746,B1027,'Base bordo'!F$2:F$746,"MANUTENCAO BORRACHARIA"),0)+IFERROR(SUMIFS('Base bordo'!G$2:G$746,'Base bordo'!C$2:C$746,A1027,'Base bordo'!B$2:B$746,B1027,'Base bordo'!F$2:F$746,"MANUTENCAO EXTERNA  CONCESSIONARIA"),0)+IFERROR(SUMIFS('Base bordo'!G$2:G$746,'Base bordo'!C$2:C$746,A1027,'Base bordo'!B$2:B$746,B1027,'Base bordo'!F$2:F$746,"MANUTENCAO TELEMETRIA"),0)</f>
        <v>0</v>
      </c>
      <c r="M1027" s="10">
        <f>IFERROR(SUMIFS('Base bordo'!G$2:G$746,'Base bordo'!C$2:C$746,A1027,'Base bordo'!B$2:B$746,B1027,'Base bordo'!F$2:F$746,"AGUARDANDO MANUTENCAO"),0)</f>
        <v>0</v>
      </c>
      <c r="N1027" s="10">
        <f>IFERROR(SUMIFS('Base bordo'!G$2:G$746,'Base bordo'!C$2:C$746,A1027,'Base bordo'!B$2:B$746,B1027,'Base bordo'!F$2:F$746,"SEM APONTAMENTO"),0)</f>
        <v>0</v>
      </c>
      <c r="O1027" s="10">
        <f t="shared" si="102"/>
        <v>0</v>
      </c>
      <c r="P1027" s="10">
        <f>IFERROR(SUMIFS('Base bordo'!G$2:G$746,'Base bordo'!C$2:C$746,A1027,'Base bordo'!B$2:B$746,B1027),0)</f>
        <v>0</v>
      </c>
      <c r="Q1027" s="10">
        <f>IFERROR(SUMIFS('Base bordo'!H$2:H$746,'Base bordo'!C$2:C$746,A1027,'Base bordo'!B$2:B$746,B1027,'Base bordo'!F$2:F$746,"DESLOCAMENTO VAZIO"),0)</f>
        <v>0</v>
      </c>
      <c r="R1027" s="10">
        <f>IFERROR(SUMIFS('Base bordo'!I$2:I$746,'Base bordo'!C$2:C$746,A1027,'Base bordo'!B$2:B$746,B1027,'Base bordo'!F$2:F$746,"DESLOCAMENTO VAZIO"),0)</f>
        <v>0</v>
      </c>
      <c r="S1027" s="30" t="str">
        <f t="shared" si="103"/>
        <v/>
      </c>
      <c r="T1027" s="10">
        <f>IFERROR(SUMIFS('Base bordo'!H$2:H$746,'Base bordo'!C$2:C$746,A1027,'Base bordo'!B$2:B$746,B1027,'Base bordo'!F$2:F$746,"DESLOCAMENTO CARREGADO"),0)</f>
        <v>0</v>
      </c>
      <c r="U1027" s="10">
        <f>IFERROR(SUMIFS('Base bordo'!I$2:I$746,'Base bordo'!C$2:C$746,A1027,'Base bordo'!B$2:B$746,B1027,'Base bordo'!F$2:F$746,"DESLOCAMENTO CARREGADO"),0)</f>
        <v>0</v>
      </c>
      <c r="V1027" s="30" t="str">
        <f t="shared" si="104"/>
        <v/>
      </c>
      <c r="W1027" s="9">
        <f t="shared" si="105"/>
        <v>0</v>
      </c>
      <c r="X1027" s="9">
        <f t="shared" si="106"/>
        <v>0</v>
      </c>
      <c r="Y1027" s="9">
        <f t="shared" si="107"/>
        <v>0</v>
      </c>
    </row>
    <row r="1028" spans="1:25" ht="15" customHeight="1" x14ac:dyDescent="0.35">
      <c r="A1028" s="52">
        <v>8013473</v>
      </c>
      <c r="B1028" s="51">
        <v>46121</v>
      </c>
      <c r="C1028" s="7" t="s">
        <v>124</v>
      </c>
      <c r="D1028" s="10">
        <f>IFERROR(SUMIFS('Base bordo'!G$2:G$746,'Base bordo'!C$2:C$746,A1028,'Base bordo'!B$2:B$746,B1028,'Base bordo'!F$2:F$746,"DESLOCAMENTO VAZIO"),0)</f>
        <v>0</v>
      </c>
      <c r="E1028" s="10">
        <f>IFERROR(SUMIFS('Base bordo'!G$2:G$746,'Base bordo'!C$2:C$746,A1028,'Base bordo'!B$2:B$746,B1028,'Base bordo'!F$2:F$746,"DESLOCAMENTO CARREGADO"),0)</f>
        <v>0</v>
      </c>
      <c r="F1028" s="10">
        <f>IFERROR(SUMIFS('Base bordo'!G$2:G$746,'Base bordo'!C$2:C$746,A1028,'Base bordo'!B$2:B$746,B1028,'Base bordo'!F$2:F$746,"DESLOCAMENTO"),0)</f>
        <v>0</v>
      </c>
      <c r="G1028" s="10">
        <f>IFERROR(SUMIFS('Base bordo'!G$2:G$746,'Base bordo'!C$2:C$746,A1028,'Base bordo'!B$2:B$746,B1028,'Base bordo'!F$2:F$746,"CARREGAMENTO"),0)</f>
        <v>0</v>
      </c>
      <c r="H1028" s="10">
        <f>IFERROR(SUMIFS('Base bordo'!G$2:G$746,'Base bordo'!C$2:C$746,A1028,'Base bordo'!B$2:B$746,B1028,'Base bordo'!F$2:F$746,"AGUARDANDO TRANSBORDO"),0)</f>
        <v>0</v>
      </c>
      <c r="I1028" s="10">
        <f>IFERROR(SUMIFS('Base bordo'!G$2:G$746,'Base bordo'!C$2:C$746,A1028,'Base bordo'!B$2:B$746,B1028,'Base bordo'!F$2:F$746,"PÁTIO INTERNO"),0)+IFERROR(SUMIFS('Base bordo'!G$2:G$746,'Base bordo'!C$2:C$746,A1028,'Base bordo'!B$2:B$746,B1028,'Base bordo'!F$2:F$746,"PÁTIO EXTERNO"),0)+IFERROR(SUMIFS('Base bordo'!G$2:G$746,'Base bordo'!C$2:C$746,A1028,'Base bordo'!B$2:B$746,B1028,'Base bordo'!F$2:F$746,"PATIO - RESERVA"),0)+IFERROR(SUMIFS('Base bordo'!G$2:G$746,'Base bordo'!C$2:C$746,A1028,'Base bordo'!B$2:B$746,B1028,'Base bordo'!F$2:F$746,"MANOBRA CARRETAS-PATIO"),0)</f>
        <v>0</v>
      </c>
      <c r="J1028" s="10">
        <f>IFERROR(SUMIFS('Base bordo'!G$2:G$746,'Base bordo'!C$2:C$746,A1028,'Base bordo'!B$2:B$746,B1028,'Base bordo'!F$2:F$746,"BALANÇA - ENTRADA"),0)+IFERROR(SUMIFS('Base bordo'!G$2:G$746,'Base bordo'!C$2:C$746,A1028,'Base bordo'!B$2:B$746,B1028,'Base bordo'!F$2:F$746,"BALANÇA - SAÍDA"),0)</f>
        <v>0</v>
      </c>
      <c r="K1028" s="10">
        <f>IFERROR(SUMIFS('Base bordo'!G$2:G$746,'Base bordo'!C$2:C$746,A1028,'Base bordo'!B$2:B$746,B1028,'Base bordo'!F$2:F$746,"MAN PREVENTIVA - MECANICA"),0)+IFERROR(SUMIFS('Base bordo'!G$2:G$746,'Base bordo'!C$2:C$746,A1028,'Base bordo'!B$2:B$746,B1028,'Base bordo'!F$2:F$746,"MAN CORRETIVA - MECANICA"),0)</f>
        <v>0</v>
      </c>
      <c r="L1028" s="10">
        <f>IFERROR(SUMIFS('Base bordo'!G$2:G$746,'Base bordo'!C$2:C$746,A1028,'Base bordo'!B$2:B$746,B1028,'Base bordo'!F$2:F$746,"MANUTENCAO - T O"),0)+IFERROR(SUMIFS('Base bordo'!G$2:G$746,'Base bordo'!C$2:C$746,A1028,'Base bordo'!B$2:B$746,B1028,'Base bordo'!F$2:F$746,"MANUTENCAO BORRACHARIA"),0)+IFERROR(SUMIFS('Base bordo'!G$2:G$746,'Base bordo'!C$2:C$746,A1028,'Base bordo'!B$2:B$746,B1028,'Base bordo'!F$2:F$746,"MANUTENCAO EXTERNA  CONCESSIONARIA"),0)+IFERROR(SUMIFS('Base bordo'!G$2:G$746,'Base bordo'!C$2:C$746,A1028,'Base bordo'!B$2:B$746,B1028,'Base bordo'!F$2:F$746,"MANUTENCAO TELEMETRIA"),0)</f>
        <v>0</v>
      </c>
      <c r="M1028" s="10">
        <f>IFERROR(SUMIFS('Base bordo'!G$2:G$746,'Base bordo'!C$2:C$746,A1028,'Base bordo'!B$2:B$746,B1028,'Base bordo'!F$2:F$746,"AGUARDANDO MANUTENCAO"),0)</f>
        <v>0</v>
      </c>
      <c r="N1028" s="10">
        <f>IFERROR(SUMIFS('Base bordo'!G$2:G$746,'Base bordo'!C$2:C$746,A1028,'Base bordo'!B$2:B$746,B1028,'Base bordo'!F$2:F$746,"SEM APONTAMENTO"),0)</f>
        <v>0</v>
      </c>
      <c r="O1028" s="10">
        <f t="shared" si="102"/>
        <v>0</v>
      </c>
      <c r="P1028" s="10">
        <f>IFERROR(SUMIFS('Base bordo'!G$2:G$746,'Base bordo'!C$2:C$746,A1028,'Base bordo'!B$2:B$746,B1028),0)</f>
        <v>0</v>
      </c>
      <c r="Q1028" s="10">
        <f>IFERROR(SUMIFS('Base bordo'!H$2:H$746,'Base bordo'!C$2:C$746,A1028,'Base bordo'!B$2:B$746,B1028,'Base bordo'!F$2:F$746,"DESLOCAMENTO VAZIO"),0)</f>
        <v>0</v>
      </c>
      <c r="R1028" s="10">
        <f>IFERROR(SUMIFS('Base bordo'!I$2:I$746,'Base bordo'!C$2:C$746,A1028,'Base bordo'!B$2:B$746,B1028,'Base bordo'!F$2:F$746,"DESLOCAMENTO VAZIO"),0)</f>
        <v>0</v>
      </c>
      <c r="S1028" s="30" t="str">
        <f t="shared" si="103"/>
        <v/>
      </c>
      <c r="T1028" s="10">
        <f>IFERROR(SUMIFS('Base bordo'!H$2:H$746,'Base bordo'!C$2:C$746,A1028,'Base bordo'!B$2:B$746,B1028,'Base bordo'!F$2:F$746,"DESLOCAMENTO CARREGADO"),0)</f>
        <v>0</v>
      </c>
      <c r="U1028" s="10">
        <f>IFERROR(SUMIFS('Base bordo'!I$2:I$746,'Base bordo'!C$2:C$746,A1028,'Base bordo'!B$2:B$746,B1028,'Base bordo'!F$2:F$746,"DESLOCAMENTO CARREGADO"),0)</f>
        <v>0</v>
      </c>
      <c r="V1028" s="30" t="str">
        <f t="shared" si="104"/>
        <v/>
      </c>
      <c r="W1028" s="9">
        <f t="shared" si="105"/>
        <v>0</v>
      </c>
      <c r="X1028" s="9">
        <f t="shared" si="106"/>
        <v>0</v>
      </c>
      <c r="Y1028" s="9">
        <f t="shared" si="107"/>
        <v>0</v>
      </c>
    </row>
    <row r="1029" spans="1:25" ht="15" customHeight="1" x14ac:dyDescent="0.35">
      <c r="A1029" s="52">
        <v>8013474</v>
      </c>
      <c r="B1029" s="51">
        <v>46121</v>
      </c>
      <c r="C1029" s="7" t="s">
        <v>124</v>
      </c>
      <c r="D1029" s="10">
        <f>IFERROR(SUMIFS('Base bordo'!G$2:G$746,'Base bordo'!C$2:C$746,A1029,'Base bordo'!B$2:B$746,B1029,'Base bordo'!F$2:F$746,"DESLOCAMENTO VAZIO"),0)</f>
        <v>0</v>
      </c>
      <c r="E1029" s="10">
        <f>IFERROR(SUMIFS('Base bordo'!G$2:G$746,'Base bordo'!C$2:C$746,A1029,'Base bordo'!B$2:B$746,B1029,'Base bordo'!F$2:F$746,"DESLOCAMENTO CARREGADO"),0)</f>
        <v>0</v>
      </c>
      <c r="F1029" s="10">
        <f>IFERROR(SUMIFS('Base bordo'!G$2:G$746,'Base bordo'!C$2:C$746,A1029,'Base bordo'!B$2:B$746,B1029,'Base bordo'!F$2:F$746,"DESLOCAMENTO"),0)</f>
        <v>0</v>
      </c>
      <c r="G1029" s="10">
        <f>IFERROR(SUMIFS('Base bordo'!G$2:G$746,'Base bordo'!C$2:C$746,A1029,'Base bordo'!B$2:B$746,B1029,'Base bordo'!F$2:F$746,"CARREGAMENTO"),0)</f>
        <v>0</v>
      </c>
      <c r="H1029" s="10">
        <f>IFERROR(SUMIFS('Base bordo'!G$2:G$746,'Base bordo'!C$2:C$746,A1029,'Base bordo'!B$2:B$746,B1029,'Base bordo'!F$2:F$746,"AGUARDANDO TRANSBORDO"),0)</f>
        <v>0</v>
      </c>
      <c r="I1029" s="10">
        <f>IFERROR(SUMIFS('Base bordo'!G$2:G$746,'Base bordo'!C$2:C$746,A1029,'Base bordo'!B$2:B$746,B1029,'Base bordo'!F$2:F$746,"PÁTIO INTERNO"),0)+IFERROR(SUMIFS('Base bordo'!G$2:G$746,'Base bordo'!C$2:C$746,A1029,'Base bordo'!B$2:B$746,B1029,'Base bordo'!F$2:F$746,"PÁTIO EXTERNO"),0)+IFERROR(SUMIFS('Base bordo'!G$2:G$746,'Base bordo'!C$2:C$746,A1029,'Base bordo'!B$2:B$746,B1029,'Base bordo'!F$2:F$746,"PATIO - RESERVA"),0)+IFERROR(SUMIFS('Base bordo'!G$2:G$746,'Base bordo'!C$2:C$746,A1029,'Base bordo'!B$2:B$746,B1029,'Base bordo'!F$2:F$746,"MANOBRA CARRETAS-PATIO"),0)</f>
        <v>0</v>
      </c>
      <c r="J1029" s="10">
        <f>IFERROR(SUMIFS('Base bordo'!G$2:G$746,'Base bordo'!C$2:C$746,A1029,'Base bordo'!B$2:B$746,B1029,'Base bordo'!F$2:F$746,"BALANÇA - ENTRADA"),0)+IFERROR(SUMIFS('Base bordo'!G$2:G$746,'Base bordo'!C$2:C$746,A1029,'Base bordo'!B$2:B$746,B1029,'Base bordo'!F$2:F$746,"BALANÇA - SAÍDA"),0)</f>
        <v>0</v>
      </c>
      <c r="K1029" s="10">
        <f>IFERROR(SUMIFS('Base bordo'!G$2:G$746,'Base bordo'!C$2:C$746,A1029,'Base bordo'!B$2:B$746,B1029,'Base bordo'!F$2:F$746,"MAN PREVENTIVA - MECANICA"),0)+IFERROR(SUMIFS('Base bordo'!G$2:G$746,'Base bordo'!C$2:C$746,A1029,'Base bordo'!B$2:B$746,B1029,'Base bordo'!F$2:F$746,"MAN CORRETIVA - MECANICA"),0)</f>
        <v>0</v>
      </c>
      <c r="L1029" s="10">
        <f>IFERROR(SUMIFS('Base bordo'!G$2:G$746,'Base bordo'!C$2:C$746,A1029,'Base bordo'!B$2:B$746,B1029,'Base bordo'!F$2:F$746,"MANUTENCAO - T O"),0)+IFERROR(SUMIFS('Base bordo'!G$2:G$746,'Base bordo'!C$2:C$746,A1029,'Base bordo'!B$2:B$746,B1029,'Base bordo'!F$2:F$746,"MANUTENCAO BORRACHARIA"),0)+IFERROR(SUMIFS('Base bordo'!G$2:G$746,'Base bordo'!C$2:C$746,A1029,'Base bordo'!B$2:B$746,B1029,'Base bordo'!F$2:F$746,"MANUTENCAO EXTERNA  CONCESSIONARIA"),0)+IFERROR(SUMIFS('Base bordo'!G$2:G$746,'Base bordo'!C$2:C$746,A1029,'Base bordo'!B$2:B$746,B1029,'Base bordo'!F$2:F$746,"MANUTENCAO TELEMETRIA"),0)</f>
        <v>0</v>
      </c>
      <c r="M1029" s="10">
        <f>IFERROR(SUMIFS('Base bordo'!G$2:G$746,'Base bordo'!C$2:C$746,A1029,'Base bordo'!B$2:B$746,B1029,'Base bordo'!F$2:F$746,"AGUARDANDO MANUTENCAO"),0)</f>
        <v>0</v>
      </c>
      <c r="N1029" s="10">
        <f>IFERROR(SUMIFS('Base bordo'!G$2:G$746,'Base bordo'!C$2:C$746,A1029,'Base bordo'!B$2:B$746,B1029,'Base bordo'!F$2:F$746,"SEM APONTAMENTO"),0)</f>
        <v>0</v>
      </c>
      <c r="O1029" s="10">
        <f t="shared" si="102"/>
        <v>0</v>
      </c>
      <c r="P1029" s="10">
        <f>IFERROR(SUMIFS('Base bordo'!G$2:G$746,'Base bordo'!C$2:C$746,A1029,'Base bordo'!B$2:B$746,B1029),0)</f>
        <v>0</v>
      </c>
      <c r="Q1029" s="10">
        <f>IFERROR(SUMIFS('Base bordo'!H$2:H$746,'Base bordo'!C$2:C$746,A1029,'Base bordo'!B$2:B$746,B1029,'Base bordo'!F$2:F$746,"DESLOCAMENTO VAZIO"),0)</f>
        <v>0</v>
      </c>
      <c r="R1029" s="10">
        <f>IFERROR(SUMIFS('Base bordo'!I$2:I$746,'Base bordo'!C$2:C$746,A1029,'Base bordo'!B$2:B$746,B1029,'Base bordo'!F$2:F$746,"DESLOCAMENTO VAZIO"),0)</f>
        <v>0</v>
      </c>
      <c r="S1029" s="30" t="str">
        <f t="shared" si="103"/>
        <v/>
      </c>
      <c r="T1029" s="10">
        <f>IFERROR(SUMIFS('Base bordo'!H$2:H$746,'Base bordo'!C$2:C$746,A1029,'Base bordo'!B$2:B$746,B1029,'Base bordo'!F$2:F$746,"DESLOCAMENTO CARREGADO"),0)</f>
        <v>0</v>
      </c>
      <c r="U1029" s="10">
        <f>IFERROR(SUMIFS('Base bordo'!I$2:I$746,'Base bordo'!C$2:C$746,A1029,'Base bordo'!B$2:B$746,B1029,'Base bordo'!F$2:F$746,"DESLOCAMENTO CARREGADO"),0)</f>
        <v>0</v>
      </c>
      <c r="V1029" s="30" t="str">
        <f t="shared" si="104"/>
        <v/>
      </c>
      <c r="W1029" s="9">
        <f t="shared" si="105"/>
        <v>0</v>
      </c>
      <c r="X1029" s="9">
        <f t="shared" si="106"/>
        <v>0</v>
      </c>
      <c r="Y1029" s="9">
        <f t="shared" si="107"/>
        <v>0</v>
      </c>
    </row>
    <row r="1030" spans="1:25" ht="15" customHeight="1" x14ac:dyDescent="0.35">
      <c r="A1030" s="52">
        <v>8013474</v>
      </c>
      <c r="B1030" s="51">
        <v>46121</v>
      </c>
      <c r="C1030" s="7" t="s">
        <v>124</v>
      </c>
      <c r="D1030" s="10">
        <f>IFERROR(SUMIFS('Base bordo'!G$2:G$746,'Base bordo'!C$2:C$746,A1030,'Base bordo'!B$2:B$746,B1030,'Base bordo'!F$2:F$746,"DESLOCAMENTO VAZIO"),0)</f>
        <v>0</v>
      </c>
      <c r="E1030" s="10">
        <f>IFERROR(SUMIFS('Base bordo'!G$2:G$746,'Base bordo'!C$2:C$746,A1030,'Base bordo'!B$2:B$746,B1030,'Base bordo'!F$2:F$746,"DESLOCAMENTO CARREGADO"),0)</f>
        <v>0</v>
      </c>
      <c r="F1030" s="10">
        <f>IFERROR(SUMIFS('Base bordo'!G$2:G$746,'Base bordo'!C$2:C$746,A1030,'Base bordo'!B$2:B$746,B1030,'Base bordo'!F$2:F$746,"DESLOCAMENTO"),0)</f>
        <v>0</v>
      </c>
      <c r="G1030" s="10">
        <f>IFERROR(SUMIFS('Base bordo'!G$2:G$746,'Base bordo'!C$2:C$746,A1030,'Base bordo'!B$2:B$746,B1030,'Base bordo'!F$2:F$746,"CARREGAMENTO"),0)</f>
        <v>0</v>
      </c>
      <c r="H1030" s="10">
        <f>IFERROR(SUMIFS('Base bordo'!G$2:G$746,'Base bordo'!C$2:C$746,A1030,'Base bordo'!B$2:B$746,B1030,'Base bordo'!F$2:F$746,"AGUARDANDO TRANSBORDO"),0)</f>
        <v>0</v>
      </c>
      <c r="I1030" s="10">
        <f>IFERROR(SUMIFS('Base bordo'!G$2:G$746,'Base bordo'!C$2:C$746,A1030,'Base bordo'!B$2:B$746,B1030,'Base bordo'!F$2:F$746,"PÁTIO INTERNO"),0)+IFERROR(SUMIFS('Base bordo'!G$2:G$746,'Base bordo'!C$2:C$746,A1030,'Base bordo'!B$2:B$746,B1030,'Base bordo'!F$2:F$746,"PÁTIO EXTERNO"),0)+IFERROR(SUMIFS('Base bordo'!G$2:G$746,'Base bordo'!C$2:C$746,A1030,'Base bordo'!B$2:B$746,B1030,'Base bordo'!F$2:F$746,"PATIO - RESERVA"),0)+IFERROR(SUMIFS('Base bordo'!G$2:G$746,'Base bordo'!C$2:C$746,A1030,'Base bordo'!B$2:B$746,B1030,'Base bordo'!F$2:F$746,"MANOBRA CARRETAS-PATIO"),0)</f>
        <v>0</v>
      </c>
      <c r="J1030" s="10">
        <f>IFERROR(SUMIFS('Base bordo'!G$2:G$746,'Base bordo'!C$2:C$746,A1030,'Base bordo'!B$2:B$746,B1030,'Base bordo'!F$2:F$746,"BALANÇA - ENTRADA"),0)+IFERROR(SUMIFS('Base bordo'!G$2:G$746,'Base bordo'!C$2:C$746,A1030,'Base bordo'!B$2:B$746,B1030,'Base bordo'!F$2:F$746,"BALANÇA - SAÍDA"),0)</f>
        <v>0</v>
      </c>
      <c r="K1030" s="10">
        <f>IFERROR(SUMIFS('Base bordo'!G$2:G$746,'Base bordo'!C$2:C$746,A1030,'Base bordo'!B$2:B$746,B1030,'Base bordo'!F$2:F$746,"MAN PREVENTIVA - MECANICA"),0)+IFERROR(SUMIFS('Base bordo'!G$2:G$746,'Base bordo'!C$2:C$746,A1030,'Base bordo'!B$2:B$746,B1030,'Base bordo'!F$2:F$746,"MAN CORRETIVA - MECANICA"),0)</f>
        <v>0</v>
      </c>
      <c r="L1030" s="10">
        <f>IFERROR(SUMIFS('Base bordo'!G$2:G$746,'Base bordo'!C$2:C$746,A1030,'Base bordo'!B$2:B$746,B1030,'Base bordo'!F$2:F$746,"MANUTENCAO - T O"),0)+IFERROR(SUMIFS('Base bordo'!G$2:G$746,'Base bordo'!C$2:C$746,A1030,'Base bordo'!B$2:B$746,B1030,'Base bordo'!F$2:F$746,"MANUTENCAO BORRACHARIA"),0)+IFERROR(SUMIFS('Base bordo'!G$2:G$746,'Base bordo'!C$2:C$746,A1030,'Base bordo'!B$2:B$746,B1030,'Base bordo'!F$2:F$746,"MANUTENCAO EXTERNA  CONCESSIONARIA"),0)+IFERROR(SUMIFS('Base bordo'!G$2:G$746,'Base bordo'!C$2:C$746,A1030,'Base bordo'!B$2:B$746,B1030,'Base bordo'!F$2:F$746,"MANUTENCAO TELEMETRIA"),0)</f>
        <v>0</v>
      </c>
      <c r="M1030" s="10">
        <f>IFERROR(SUMIFS('Base bordo'!G$2:G$746,'Base bordo'!C$2:C$746,A1030,'Base bordo'!B$2:B$746,B1030,'Base bordo'!F$2:F$746,"AGUARDANDO MANUTENCAO"),0)</f>
        <v>0</v>
      </c>
      <c r="N1030" s="10">
        <f>IFERROR(SUMIFS('Base bordo'!G$2:G$746,'Base bordo'!C$2:C$746,A1030,'Base bordo'!B$2:B$746,B1030,'Base bordo'!F$2:F$746,"SEM APONTAMENTO"),0)</f>
        <v>0</v>
      </c>
      <c r="O1030" s="10">
        <f t="shared" si="102"/>
        <v>0</v>
      </c>
      <c r="P1030" s="10">
        <f>IFERROR(SUMIFS('Base bordo'!G$2:G$746,'Base bordo'!C$2:C$746,A1030,'Base bordo'!B$2:B$746,B1030),0)</f>
        <v>0</v>
      </c>
      <c r="Q1030" s="10">
        <f>IFERROR(SUMIFS('Base bordo'!H$2:H$746,'Base bordo'!C$2:C$746,A1030,'Base bordo'!B$2:B$746,B1030,'Base bordo'!F$2:F$746,"DESLOCAMENTO VAZIO"),0)</f>
        <v>0</v>
      </c>
      <c r="R1030" s="10">
        <f>IFERROR(SUMIFS('Base bordo'!I$2:I$746,'Base bordo'!C$2:C$746,A1030,'Base bordo'!B$2:B$746,B1030,'Base bordo'!F$2:F$746,"DESLOCAMENTO VAZIO"),0)</f>
        <v>0</v>
      </c>
      <c r="S1030" s="30" t="str">
        <f t="shared" si="103"/>
        <v/>
      </c>
      <c r="T1030" s="10">
        <f>IFERROR(SUMIFS('Base bordo'!H$2:H$746,'Base bordo'!C$2:C$746,A1030,'Base bordo'!B$2:B$746,B1030,'Base bordo'!F$2:F$746,"DESLOCAMENTO CARREGADO"),0)</f>
        <v>0</v>
      </c>
      <c r="U1030" s="10">
        <f>IFERROR(SUMIFS('Base bordo'!I$2:I$746,'Base bordo'!C$2:C$746,A1030,'Base bordo'!B$2:B$746,B1030,'Base bordo'!F$2:F$746,"DESLOCAMENTO CARREGADO"),0)</f>
        <v>0</v>
      </c>
      <c r="V1030" s="30" t="str">
        <f t="shared" si="104"/>
        <v/>
      </c>
      <c r="W1030" s="9">
        <f t="shared" si="105"/>
        <v>0</v>
      </c>
      <c r="X1030" s="9">
        <f t="shared" si="106"/>
        <v>0</v>
      </c>
      <c r="Y1030" s="9">
        <f t="shared" si="107"/>
        <v>0</v>
      </c>
    </row>
    <row r="1031" spans="1:25" ht="15" customHeight="1" x14ac:dyDescent="0.35">
      <c r="A1031" s="52">
        <v>8013475</v>
      </c>
      <c r="B1031" s="51">
        <v>46121</v>
      </c>
      <c r="C1031" s="7" t="s">
        <v>124</v>
      </c>
      <c r="D1031" s="10">
        <f>IFERROR(SUMIFS('Base bordo'!G$2:G$746,'Base bordo'!C$2:C$746,A1031,'Base bordo'!B$2:B$746,B1031,'Base bordo'!F$2:F$746,"DESLOCAMENTO VAZIO"),0)</f>
        <v>0</v>
      </c>
      <c r="E1031" s="10">
        <f>IFERROR(SUMIFS('Base bordo'!G$2:G$746,'Base bordo'!C$2:C$746,A1031,'Base bordo'!B$2:B$746,B1031,'Base bordo'!F$2:F$746,"DESLOCAMENTO CARREGADO"),0)</f>
        <v>0</v>
      </c>
      <c r="F1031" s="10">
        <f>IFERROR(SUMIFS('Base bordo'!G$2:G$746,'Base bordo'!C$2:C$746,A1031,'Base bordo'!B$2:B$746,B1031,'Base bordo'!F$2:F$746,"DESLOCAMENTO"),0)</f>
        <v>0</v>
      </c>
      <c r="G1031" s="10">
        <f>IFERROR(SUMIFS('Base bordo'!G$2:G$746,'Base bordo'!C$2:C$746,A1031,'Base bordo'!B$2:B$746,B1031,'Base bordo'!F$2:F$746,"CARREGAMENTO"),0)</f>
        <v>0</v>
      </c>
      <c r="H1031" s="10">
        <f>IFERROR(SUMIFS('Base bordo'!G$2:G$746,'Base bordo'!C$2:C$746,A1031,'Base bordo'!B$2:B$746,B1031,'Base bordo'!F$2:F$746,"AGUARDANDO TRANSBORDO"),0)</f>
        <v>0</v>
      </c>
      <c r="I1031" s="10">
        <f>IFERROR(SUMIFS('Base bordo'!G$2:G$746,'Base bordo'!C$2:C$746,A1031,'Base bordo'!B$2:B$746,B1031,'Base bordo'!F$2:F$746,"PÁTIO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bordo'!F$2:F$746,"PATIO - RESERVA"),0)+IFERROR(SUMIFS('Base bordo'!G$2:G$746,'Base bordo'!C$2:C$746,A1031,'Base bordo'!B$2:B$746,B1031,'Base bordo'!F$2:F$746,"MANOBRA CARRETAS-PATIO"),0)</f>
        <v>0</v>
      </c>
      <c r="J1031" s="10">
        <f>IFERROR(SUMIFS('Base bordo'!G$2:G$746,'Base bordo'!C$2:C$746,A1031,'Base bordo'!B$2:B$746,B1031,'Base bordo'!F$2:F$746,"BALANÇA - ENTRADA"),0)+IFERROR(SUMIFS('Base bordo'!G$2:G$746,'Base bordo'!C$2:C$746,A1031,'Base bordo'!B$2:B$746,B1031,'Base bordo'!F$2:F$746,"BALANÇA - SAÍDA"),0)</f>
        <v>0</v>
      </c>
      <c r="K1031" s="10">
        <f>IFERROR(SUMIFS('Base bordo'!G$2:G$746,'Base bordo'!C$2:C$746,A1031,'Base bordo'!B$2:B$746,B1031,'Base bordo'!F$2:F$746,"MAN PREVENTIVA - MECANICA"),0)+IFERROR(SUMIFS('Base bordo'!G$2:G$746,'Base bordo'!C$2:C$746,A1031,'Base bordo'!B$2:B$746,B1031,'Base bordo'!F$2:F$746,"MAN CORRETIVA - MECANICA"),0)</f>
        <v>0</v>
      </c>
      <c r="L1031" s="10">
        <f>IFERROR(SUMIFS('Base bordo'!G$2:G$746,'Base bordo'!C$2:C$746,A1031,'Base bordo'!B$2:B$746,B1031,'Base bordo'!F$2:F$746,"MANUTENCAO - T O"),0)+IFERROR(SUMIFS('Base bordo'!G$2:G$746,'Base bordo'!C$2:C$746,A1031,'Base bordo'!B$2:B$746,B1031,'Base bordo'!F$2:F$746,"MANUTENCAO BORRACHARIA"),0)+IFERROR(SUMIFS('Base bordo'!G$2:G$746,'Base bordo'!C$2:C$746,A1031,'Base bordo'!B$2:B$746,B1031,'Base bordo'!F$2:F$746,"MANUTENCAO EXTERNA  CONCESSIONARIA"),0)+IFERROR(SUMIFS('Base bordo'!G$2:G$746,'Base bordo'!C$2:C$746,A1031,'Base bordo'!B$2:B$746,B1031,'Base bordo'!F$2:F$746,"MANUTENCAO TELEMETRIA"),0)</f>
        <v>0</v>
      </c>
      <c r="M1031" s="10">
        <f>IFERROR(SUMIFS('Base bordo'!G$2:G$746,'Base bordo'!C$2:C$746,A1031,'Base bordo'!B$2:B$746,B1031,'Base bordo'!F$2:F$746,"AGUARDANDO MANUTENCAO"),0)</f>
        <v>0</v>
      </c>
      <c r="N1031" s="10">
        <f>IFERROR(SUMIFS('Base bordo'!G$2:G$746,'Base bordo'!C$2:C$746,A1031,'Base bordo'!B$2:B$746,B1031,'Base bordo'!F$2:F$746,"SEM APONTAMENTO"),0)</f>
        <v>0</v>
      </c>
      <c r="O1031" s="10">
        <f t="shared" si="102"/>
        <v>0</v>
      </c>
      <c r="P1031" s="10">
        <f>IFERROR(SUMIFS('Base bordo'!G$2:G$746,'Base bordo'!C$2:C$746,A1031,'Base bordo'!B$2:B$746,B1031),0)</f>
        <v>0</v>
      </c>
      <c r="Q1031" s="10">
        <f>IFERROR(SUMIFS('Base bordo'!H$2:H$746,'Base bordo'!C$2:C$746,A1031,'Base bordo'!B$2:B$746,B1031,'Base bordo'!F$2:F$746,"DESLOCAMENTO VAZIO"),0)</f>
        <v>0</v>
      </c>
      <c r="R1031" s="10">
        <f>IFERROR(SUMIFS('Base bordo'!I$2:I$746,'Base bordo'!C$2:C$746,A1031,'Base bordo'!B$2:B$746,B1031,'Base bordo'!F$2:F$746,"DESLOCAMENTO VAZIO"),0)</f>
        <v>0</v>
      </c>
      <c r="S1031" s="30" t="str">
        <f t="shared" si="103"/>
        <v/>
      </c>
      <c r="T1031" s="10">
        <f>IFERROR(SUMIFS('Base bordo'!H$2:H$746,'Base bordo'!C$2:C$746,A1031,'Base bordo'!B$2:B$746,B1031,'Base bordo'!F$2:F$746,"DESLOCAMENTO CARREGADO"),0)</f>
        <v>0</v>
      </c>
      <c r="U1031" s="10">
        <f>IFERROR(SUMIFS('Base bordo'!I$2:I$746,'Base bordo'!C$2:C$746,A1031,'Base bordo'!B$2:B$746,B1031,'Base bordo'!F$2:F$746,"DESLOCAMENTO CARREGADO"),0)</f>
        <v>0</v>
      </c>
      <c r="V1031" s="30" t="str">
        <f t="shared" si="104"/>
        <v/>
      </c>
      <c r="W1031" s="9">
        <f t="shared" si="105"/>
        <v>0</v>
      </c>
      <c r="X1031" s="9">
        <f t="shared" si="106"/>
        <v>0</v>
      </c>
      <c r="Y1031" s="9">
        <f t="shared" si="107"/>
        <v>0</v>
      </c>
    </row>
    <row r="1032" spans="1:25" ht="15" customHeight="1" x14ac:dyDescent="0.35">
      <c r="A1032" s="52">
        <v>8013475</v>
      </c>
      <c r="B1032" s="51">
        <v>46121</v>
      </c>
      <c r="C1032" s="7" t="s">
        <v>124</v>
      </c>
      <c r="D1032" s="10">
        <f>IFERROR(SUMIFS('Base bordo'!G$2:G$746,'Base bordo'!C$2:C$746,A1032,'Base bordo'!B$2:B$746,B1032,'Base bordo'!F$2:F$746,"DESLOCAMENTO VAZIO"),0)</f>
        <v>0</v>
      </c>
      <c r="E1032" s="10">
        <f>IFERROR(SUMIFS('Base bordo'!G$2:G$746,'Base bordo'!C$2:C$746,A1032,'Base bordo'!B$2:B$746,B1032,'Base bordo'!F$2:F$746,"DESLOCAMENTO CARREGADO"),0)</f>
        <v>0</v>
      </c>
      <c r="F1032" s="10">
        <f>IFERROR(SUMIFS('Base bordo'!G$2:G$746,'Base bordo'!C$2:C$746,A1032,'Base bordo'!B$2:B$746,B1032,'Base bordo'!F$2:F$746,"DESLOCAMENTO"),0)</f>
        <v>0</v>
      </c>
      <c r="G1032" s="10">
        <f>IFERROR(SUMIFS('Base bordo'!G$2:G$746,'Base bordo'!C$2:C$746,A1032,'Base bordo'!B$2:B$746,B1032,'Base bordo'!F$2:F$746,"CARREGAMENTO"),0)</f>
        <v>0</v>
      </c>
      <c r="H1032" s="10">
        <f>IFERROR(SUMIFS('Base bordo'!G$2:G$746,'Base bordo'!C$2:C$746,A1032,'Base bordo'!B$2:B$746,B1032,'Base bordo'!F$2:F$746,"AGUARDANDO TRANSBORDO"),0)</f>
        <v>0</v>
      </c>
      <c r="I1032" s="10">
        <f>IFERROR(SUMIFS('Base bordo'!G$2:G$746,'Base bordo'!C$2:C$746,A1032,'Base bordo'!B$2:B$746,B1032,'Base bordo'!F$2:F$746,"PÁTIO INTERNO"),0)+IFERROR(SUMIFS('Base bordo'!G$2:G$746,'Base bordo'!C$2:C$746,A1032,'Base bordo'!B$2:B$746,B1032,'Base bordo'!F$2:F$746,"PÁTIO EXTERNO"),0)+IFERROR(SUMIFS('Base bordo'!G$2:G$746,'Base bordo'!C$2:C$746,A1032,'Base bordo'!B$2:B$746,B1032,'Base bordo'!F$2:F$746,"PATIO - RESERVA"),0)+IFERROR(SUMIFS('Base bordo'!G$2:G$746,'Base bordo'!C$2:C$746,A1032,'Base bordo'!B$2:B$746,B1032,'Base bordo'!F$2:F$746,"MANOBRA CARRETAS-PATIO"),0)</f>
        <v>0</v>
      </c>
      <c r="J1032" s="10">
        <f>IFERROR(SUMIFS('Base bordo'!G$2:G$746,'Base bordo'!C$2:C$746,A1032,'Base bordo'!B$2:B$746,B1032,'Base bordo'!F$2:F$746,"BALANÇA - ENTRADA"),0)+IFERROR(SUMIFS('Base bordo'!G$2:G$746,'Base bordo'!C$2:C$746,A1032,'Base bordo'!B$2:B$746,B1032,'Base bordo'!F$2:F$746,"BALANÇA - SAÍDA"),0)</f>
        <v>0</v>
      </c>
      <c r="K1032" s="10">
        <f>IFERROR(SUMIFS('Base bordo'!G$2:G$746,'Base bordo'!C$2:C$746,A1032,'Base bordo'!B$2:B$746,B1032,'Base bordo'!F$2:F$746,"MAN PREVENTIVA - MECANICA"),0)+IFERROR(SUMIFS('Base bordo'!G$2:G$746,'Base bordo'!C$2:C$746,A1032,'Base bordo'!B$2:B$746,B1032,'Base bordo'!F$2:F$746,"MAN CORRETIVA - MECANICA"),0)</f>
        <v>0</v>
      </c>
      <c r="L1032" s="10">
        <f>IFERROR(SUMIFS('Base bordo'!G$2:G$746,'Base bordo'!C$2:C$746,A1032,'Base bordo'!B$2:B$746,B1032,'Base bordo'!F$2:F$746,"MANUTENCAO - T O"),0)+IFERROR(SUMIFS('Base bordo'!G$2:G$746,'Base bordo'!C$2:C$746,A1032,'Base bordo'!B$2:B$746,B1032,'Base bordo'!F$2:F$746,"MANUTENCAO BORRACHARIA"),0)+IFERROR(SUMIFS('Base bordo'!G$2:G$746,'Base bordo'!C$2:C$746,A1032,'Base bordo'!B$2:B$746,B1032,'Base bordo'!F$2:F$746,"MANUTENCAO EXTERNA  CONCESSIONARIA"),0)+IFERROR(SUMIFS('Base bordo'!G$2:G$746,'Base bordo'!C$2:C$746,A1032,'Base bordo'!B$2:B$746,B1032,'Base bordo'!F$2:F$746,"MANUTENCAO TELEMETRIA"),0)</f>
        <v>0</v>
      </c>
      <c r="M1032" s="10">
        <f>IFERROR(SUMIFS('Base bordo'!G$2:G$746,'Base bordo'!C$2:C$746,A1032,'Base bordo'!B$2:B$746,B1032,'Base bordo'!F$2:F$746,"AGUARDANDO MANUTENCAO"),0)</f>
        <v>0</v>
      </c>
      <c r="N1032" s="10">
        <f>IFERROR(SUMIFS('Base bordo'!G$2:G$746,'Base bordo'!C$2:C$746,A1032,'Base bordo'!B$2:B$746,B1032,'Base bordo'!F$2:F$746,"SEM APONTAMENTO"),0)</f>
        <v>0</v>
      </c>
      <c r="O1032" s="10">
        <f t="shared" si="102"/>
        <v>0</v>
      </c>
      <c r="P1032" s="10">
        <f>IFERROR(SUMIFS('Base bordo'!G$2:G$746,'Base bordo'!C$2:C$746,A1032,'Base bordo'!B$2:B$746,B1032),0)</f>
        <v>0</v>
      </c>
      <c r="Q1032" s="10">
        <f>IFERROR(SUMIFS('Base bordo'!H$2:H$746,'Base bordo'!C$2:C$746,A1032,'Base bordo'!B$2:B$746,B1032,'Base bordo'!F$2:F$746,"DESLOCAMENTO VAZIO"),0)</f>
        <v>0</v>
      </c>
      <c r="R1032" s="10">
        <f>IFERROR(SUMIFS('Base bordo'!I$2:I$746,'Base bordo'!C$2:C$746,A1032,'Base bordo'!B$2:B$746,B1032,'Base bordo'!F$2:F$746,"DESLOCAMENTO VAZIO"),0)</f>
        <v>0</v>
      </c>
      <c r="S1032" s="30" t="str">
        <f t="shared" si="103"/>
        <v/>
      </c>
      <c r="T1032" s="10">
        <f>IFERROR(SUMIFS('Base bordo'!H$2:H$746,'Base bordo'!C$2:C$746,A1032,'Base bordo'!B$2:B$746,B1032,'Base bordo'!F$2:F$746,"DESLOCAMENTO CARREGADO"),0)</f>
        <v>0</v>
      </c>
      <c r="U1032" s="10">
        <f>IFERROR(SUMIFS('Base bordo'!I$2:I$746,'Base bordo'!C$2:C$746,A1032,'Base bordo'!B$2:B$746,B1032,'Base bordo'!F$2:F$746,"DESLOCAMENTO CARREGADO"),0)</f>
        <v>0</v>
      </c>
      <c r="V1032" s="30" t="str">
        <f t="shared" si="104"/>
        <v/>
      </c>
      <c r="W1032" s="9">
        <f t="shared" si="105"/>
        <v>0</v>
      </c>
      <c r="X1032" s="9">
        <f t="shared" si="106"/>
        <v>0</v>
      </c>
      <c r="Y1032" s="9">
        <f t="shared" si="107"/>
        <v>0</v>
      </c>
    </row>
    <row r="1033" spans="1:25" ht="15" customHeight="1" x14ac:dyDescent="0.35">
      <c r="A1033" s="52">
        <v>8013476</v>
      </c>
      <c r="B1033" s="51">
        <v>46121</v>
      </c>
      <c r="C1033" s="7" t="s">
        <v>124</v>
      </c>
      <c r="D1033" s="10">
        <f>IFERROR(SUMIFS('Base bordo'!G$2:G$746,'Base bordo'!C$2:C$746,A1033,'Base bordo'!B$2:B$746,B1033,'Base bordo'!F$2:F$746,"DESLOCAMENTO VAZIO"),0)</f>
        <v>0</v>
      </c>
      <c r="E1033" s="10">
        <f>IFERROR(SUMIFS('Base bordo'!G$2:G$746,'Base bordo'!C$2:C$746,A1033,'Base bordo'!B$2:B$746,B1033,'Base bordo'!F$2:F$746,"DESLOCAMENTO CARREGADO"),0)</f>
        <v>0</v>
      </c>
      <c r="F1033" s="10">
        <f>IFERROR(SUMIFS('Base bordo'!G$2:G$746,'Base bordo'!C$2:C$746,A1033,'Base bordo'!B$2:B$746,B1033,'Base bordo'!F$2:F$746,"DESLOCAMENTO"),0)</f>
        <v>0</v>
      </c>
      <c r="G1033" s="10">
        <f>IFERROR(SUMIFS('Base bordo'!G$2:G$746,'Base bordo'!C$2:C$746,A1033,'Base bordo'!B$2:B$746,B1033,'Base bordo'!F$2:F$746,"CARREGAMENTO"),0)</f>
        <v>0</v>
      </c>
      <c r="H1033" s="10">
        <f>IFERROR(SUMIFS('Base bordo'!G$2:G$746,'Base bordo'!C$2:C$746,A1033,'Base bordo'!B$2:B$746,B1033,'Base bordo'!F$2:F$746,"AGUARDANDO TRANSBORDO"),0)</f>
        <v>0</v>
      </c>
      <c r="I1033" s="10">
        <f>IFERROR(SUMIFS('Base bordo'!G$2:G$746,'Base bordo'!C$2:C$746,A1033,'Base bordo'!B$2:B$746,B1033,'Base bordo'!F$2:F$746,"PÁTIO INTERNO"),0)+IFERROR(SUMIFS('Base bordo'!G$2:G$746,'Base bordo'!C$2:C$746,A1033,'Base bordo'!B$2:B$746,B1033,'Base bordo'!F$2:F$746,"PÁTIO EXTERNO"),0)+IFERROR(SUMIFS('Base bordo'!G$2:G$746,'Base bordo'!C$2:C$746,A1033,'Base bordo'!B$2:B$746,B1033,'Base bordo'!F$2:F$746,"PATIO - RESERVA"),0)+IFERROR(SUMIFS('Base bordo'!G$2:G$746,'Base bordo'!C$2:C$746,A1033,'Base bordo'!B$2:B$746,B1033,'Base bordo'!F$2:F$746,"MANOBRA CARRETAS-PATIO"),0)</f>
        <v>0</v>
      </c>
      <c r="J1033" s="10">
        <f>IFERROR(SUMIFS('Base bordo'!G$2:G$746,'Base bordo'!C$2:C$746,A1033,'Base bordo'!B$2:B$746,B1033,'Base bordo'!F$2:F$746,"BALANÇA - ENTRADA"),0)+IFERROR(SUMIFS('Base bordo'!G$2:G$746,'Base bordo'!C$2:C$746,A1033,'Base bordo'!B$2:B$746,B1033,'Base bordo'!F$2:F$746,"BALANÇA - SAÍDA"),0)</f>
        <v>0</v>
      </c>
      <c r="K1033" s="10">
        <f>IFERROR(SUMIFS('Base bordo'!G$2:G$746,'Base bordo'!C$2:C$746,A1033,'Base bordo'!B$2:B$746,B1033,'Base bordo'!F$2:F$746,"MAN PREVENTIVA - MECANICA"),0)+IFERROR(SUMIFS('Base bordo'!G$2:G$746,'Base bordo'!C$2:C$746,A1033,'Base bordo'!B$2:B$746,B1033,'Base bordo'!F$2:F$746,"MAN CORRETIVA - MECANICA"),0)</f>
        <v>0</v>
      </c>
      <c r="L1033" s="10">
        <f>IFERROR(SUMIFS('Base bordo'!G$2:G$746,'Base bordo'!C$2:C$746,A1033,'Base bordo'!B$2:B$746,B1033,'Base bordo'!F$2:F$746,"MANUTENCAO - T O"),0)+IFERROR(SUMIFS('Base bordo'!G$2:G$746,'Base bordo'!C$2:C$746,A1033,'Base bordo'!B$2:B$746,B1033,'Base bordo'!F$2:F$746,"MANUTENCAO BORRACHARIA"),0)+IFERROR(SUMIFS('Base bordo'!G$2:G$746,'Base bordo'!C$2:C$746,A1033,'Base bordo'!B$2:B$746,B1033,'Base bordo'!F$2:F$746,"MANUTENCAO EXTERNA  CONCESSIONARIA"),0)+IFERROR(SUMIFS('Base bordo'!G$2:G$746,'Base bordo'!C$2:C$746,A1033,'Base bordo'!B$2:B$746,B1033,'Base bordo'!F$2:F$746,"MANUTENCAO TELEMETRIA"),0)</f>
        <v>0</v>
      </c>
      <c r="M1033" s="10">
        <f>IFERROR(SUMIFS('Base bordo'!G$2:G$746,'Base bordo'!C$2:C$746,A1033,'Base bordo'!B$2:B$746,B1033,'Base bordo'!F$2:F$746,"AGUARDANDO MANUTENCAO"),0)</f>
        <v>0</v>
      </c>
      <c r="N1033" s="10">
        <f>IFERROR(SUMIFS('Base bordo'!G$2:G$746,'Base bordo'!C$2:C$746,A1033,'Base bordo'!B$2:B$746,B1033,'Base bordo'!F$2:F$746,"SEM APONTAMENTO"),0)</f>
        <v>0</v>
      </c>
      <c r="O1033" s="10">
        <f t="shared" si="102"/>
        <v>0</v>
      </c>
      <c r="P1033" s="10">
        <f>IFERROR(SUMIFS('Base bordo'!G$2:G$746,'Base bordo'!C$2:C$746,A1033,'Base bordo'!B$2:B$746,B1033),0)</f>
        <v>0</v>
      </c>
      <c r="Q1033" s="10">
        <f>IFERROR(SUMIFS('Base bordo'!H$2:H$746,'Base bordo'!C$2:C$746,A1033,'Base bordo'!B$2:B$746,B1033,'Base bordo'!F$2:F$746,"DESLOCAMENTO VAZIO"),0)</f>
        <v>0</v>
      </c>
      <c r="R1033" s="10">
        <f>IFERROR(SUMIFS('Base bordo'!I$2:I$746,'Base bordo'!C$2:C$746,A1033,'Base bordo'!B$2:B$746,B1033,'Base bordo'!F$2:F$746,"DESLOCAMENTO VAZIO"),0)</f>
        <v>0</v>
      </c>
      <c r="S1033" s="30" t="str">
        <f t="shared" si="103"/>
        <v/>
      </c>
      <c r="T1033" s="10">
        <f>IFERROR(SUMIFS('Base bordo'!H$2:H$746,'Base bordo'!C$2:C$746,A1033,'Base bordo'!B$2:B$746,B1033,'Base bordo'!F$2:F$746,"DESLOCAMENTO CARREGADO"),0)</f>
        <v>0</v>
      </c>
      <c r="U1033" s="10">
        <f>IFERROR(SUMIFS('Base bordo'!I$2:I$746,'Base bordo'!C$2:C$746,A1033,'Base bordo'!B$2:B$746,B1033,'Base bordo'!F$2:F$746,"DESLOCAMENTO CARREGADO"),0)</f>
        <v>0</v>
      </c>
      <c r="V1033" s="30" t="str">
        <f t="shared" si="104"/>
        <v/>
      </c>
      <c r="W1033" s="9">
        <f t="shared" si="105"/>
        <v>0</v>
      </c>
      <c r="X1033" s="9">
        <f t="shared" si="106"/>
        <v>0</v>
      </c>
      <c r="Y1033" s="9">
        <f t="shared" si="107"/>
        <v>0</v>
      </c>
    </row>
    <row r="1034" spans="1:25" ht="15" customHeight="1" x14ac:dyDescent="0.35">
      <c r="A1034" s="52">
        <v>8013478</v>
      </c>
      <c r="B1034" s="51">
        <v>46121</v>
      </c>
      <c r="C1034" s="7" t="s">
        <v>124</v>
      </c>
      <c r="D1034" s="10">
        <f>IFERROR(SUMIFS('Base bordo'!G$2:G$746,'Base bordo'!C$2:C$746,A1034,'Base bordo'!B$2:B$746,B1034,'Base bordo'!F$2:F$746,"DESLOCAMENTO VAZIO"),0)</f>
        <v>0.20416666666666666</v>
      </c>
      <c r="E1034" s="10">
        <f>IFERROR(SUMIFS('Base bordo'!G$2:G$746,'Base bordo'!C$2:C$746,A1034,'Base bordo'!B$2:B$746,B1034,'Base bordo'!F$2:F$746,"DESLOCAMENTO CARREGADO"),0)</f>
        <v>0</v>
      </c>
      <c r="F1034" s="10">
        <f>IFERROR(SUMIFS('Base bordo'!G$2:G$746,'Base bordo'!C$2:C$746,A1034,'Base bordo'!B$2:B$746,B1034,'Base bordo'!F$2:F$746,"DESLOCAMENTO"),0)</f>
        <v>0</v>
      </c>
      <c r="G1034" s="10">
        <f>IFERROR(SUMIFS('Base bordo'!G$2:G$746,'Base bordo'!C$2:C$746,A1034,'Base bordo'!B$2:B$746,B1034,'Base bordo'!F$2:F$746,"CARREGAMENTO"),0)</f>
        <v>0</v>
      </c>
      <c r="H1034" s="10">
        <f>IFERROR(SUMIFS('Base bordo'!G$2:G$746,'Base bordo'!C$2:C$746,A1034,'Base bordo'!B$2:B$746,B1034,'Base bordo'!F$2:F$746,"AGUARDANDO TRANSBORDO"),0)</f>
        <v>0</v>
      </c>
      <c r="I1034" s="10">
        <f>IFERROR(SUMIFS('Base bordo'!G$2:G$746,'Base bordo'!C$2:C$746,A1034,'Base bordo'!B$2:B$746,B1034,'Base bordo'!F$2:F$746,"PÁTIO INTERNO"),0)+IFERROR(SUMIFS('Base bordo'!G$2:G$746,'Base bordo'!C$2:C$746,A1034,'Base bordo'!B$2:B$746,B1034,'Base bordo'!F$2:F$746,"PÁTIO EXTERNO"),0)+IFERROR(SUMIFS('Base bordo'!G$2:G$746,'Base bordo'!C$2:C$746,A1034,'Base bordo'!B$2:B$746,B1034,'Base bordo'!F$2:F$746,"PATIO - RESERVA"),0)+IFERROR(SUMIFS('Base bordo'!G$2:G$746,'Base bordo'!C$2:C$746,A1034,'Base bordo'!B$2:B$746,B1034,'Base bordo'!F$2:F$746,"MANOBRA CARRETAS-PATIO"),0)</f>
        <v>0</v>
      </c>
      <c r="J1034" s="10">
        <f>IFERROR(SUMIFS('Base bordo'!G$2:G$746,'Base bordo'!C$2:C$746,A1034,'Base bordo'!B$2:B$746,B1034,'Base bordo'!F$2:F$746,"BALANÇA - ENTRADA"),0)+IFERROR(SUMIFS('Base bordo'!G$2:G$746,'Base bordo'!C$2:C$746,A1034,'Base bordo'!B$2:B$746,B1034,'Base bordo'!F$2:F$746,"BALANÇA - SAÍDA"),0)</f>
        <v>0</v>
      </c>
      <c r="K1034" s="10">
        <f>IFERROR(SUMIFS('Base bordo'!G$2:G$746,'Base bordo'!C$2:C$746,A1034,'Base bordo'!B$2:B$746,B1034,'Base bordo'!F$2:F$746,"MAN PREVENTIVA - MECANICA"),0)+IFERROR(SUMIFS('Base bordo'!G$2:G$746,'Base bordo'!C$2:C$746,A1034,'Base bordo'!B$2:B$746,B1034,'Base bordo'!F$2:F$746,"MAN CORRETIVA - MECANICA"),0)</f>
        <v>0</v>
      </c>
      <c r="L1034" s="10">
        <f>IFERROR(SUMIFS('Base bordo'!G$2:G$746,'Base bordo'!C$2:C$746,A1034,'Base bordo'!B$2:B$746,B1034,'Base bordo'!F$2:F$746,"MANUTENCAO - T O"),0)+IFERROR(SUMIFS('Base bordo'!G$2:G$746,'Base bordo'!C$2:C$746,A1034,'Base bordo'!B$2:B$746,B1034,'Base bordo'!F$2:F$746,"MANUTENCAO BORRACHARIA"),0)+IFERROR(SUMIFS('Base bordo'!G$2:G$746,'Base bordo'!C$2:C$746,A1034,'Base bordo'!B$2:B$746,B1034,'Base bordo'!F$2:F$746,"MANUTENCAO EXTERNA  CONCESSIONARIA"),0)+IFERROR(SUMIFS('Base bordo'!G$2:G$746,'Base bordo'!C$2:C$746,A1034,'Base bordo'!B$2:B$746,B1034,'Base bordo'!F$2:F$746,"MANUTENCAO TELEMETRIA"),0)</f>
        <v>0</v>
      </c>
      <c r="M1034" s="10">
        <f>IFERROR(SUMIFS('Base bordo'!G$2:G$746,'Base bordo'!C$2:C$746,A1034,'Base bordo'!B$2:B$746,B1034,'Base bordo'!F$2:F$746,"AGUARDANDO MANUTENCAO"),0)</f>
        <v>0</v>
      </c>
      <c r="N1034" s="10">
        <f>IFERROR(SUMIFS('Base bordo'!G$2:G$746,'Base bordo'!C$2:C$746,A1034,'Base bordo'!B$2:B$746,B1034,'Base bordo'!F$2:F$746,"SEM APONTAMENTO"),0)</f>
        <v>0</v>
      </c>
      <c r="O1034" s="10">
        <f t="shared" si="102"/>
        <v>0</v>
      </c>
      <c r="P1034" s="10">
        <f>IFERROR(SUMIFS('Base bordo'!G$2:G$746,'Base bordo'!C$2:C$746,A1034,'Base bordo'!B$2:B$746,B1034),0)</f>
        <v>0.20416666666666666</v>
      </c>
      <c r="Q1034" s="10">
        <f>IFERROR(SUMIFS('Base bordo'!H$2:H$746,'Base bordo'!C$2:C$746,A1034,'Base bordo'!B$2:B$746,B1034,'Base bordo'!F$2:F$746,"DESLOCAMENTO VAZIO"),0)</f>
        <v>17840.349999999999</v>
      </c>
      <c r="R1034" s="10">
        <f>IFERROR(SUMIFS('Base bordo'!I$2:I$746,'Base bordo'!C$2:C$746,A1034,'Base bordo'!B$2:B$746,B1034,'Base bordo'!F$2:F$746,"DESLOCAMENTO VAZIO"),0)</f>
        <v>735</v>
      </c>
      <c r="S1034" s="30">
        <f t="shared" si="103"/>
        <v>24.272585034013602</v>
      </c>
      <c r="T1034" s="10">
        <f>IFERROR(SUMIFS('Base bordo'!H$2:H$746,'Base bordo'!C$2:C$746,A1034,'Base bordo'!B$2:B$746,B1034,'Base bordo'!F$2:F$746,"DESLOCAMENTO CARREGADO"),0)</f>
        <v>0</v>
      </c>
      <c r="U1034" s="10">
        <f>IFERROR(SUMIFS('Base bordo'!I$2:I$746,'Base bordo'!C$2:C$746,A1034,'Base bordo'!B$2:B$746,B1034,'Base bordo'!F$2:F$746,"DESLOCAMENTO CARREGADO"),0)</f>
        <v>0</v>
      </c>
      <c r="V1034" s="30" t="str">
        <f t="shared" si="104"/>
        <v/>
      </c>
      <c r="W1034" s="9">
        <f t="shared" si="105"/>
        <v>1</v>
      </c>
      <c r="X1034" s="9">
        <f t="shared" si="106"/>
        <v>0</v>
      </c>
      <c r="Y1034" s="9">
        <f t="shared" si="107"/>
        <v>0</v>
      </c>
    </row>
    <row r="1035" spans="1:25" ht="15" customHeight="1" x14ac:dyDescent="0.35">
      <c r="A1035" s="52">
        <v>8013478</v>
      </c>
      <c r="B1035" s="51">
        <v>46121</v>
      </c>
      <c r="C1035" s="7" t="s">
        <v>124</v>
      </c>
      <c r="D1035" s="10">
        <f>IFERROR(SUMIFS('Base bordo'!G$2:G$746,'Base bordo'!C$2:C$746,A1035,'Base bordo'!B$2:B$746,B1035,'Base bordo'!F$2:F$746,"DESLOCAMENTO VAZIO"),0)</f>
        <v>0.20416666666666666</v>
      </c>
      <c r="E1035" s="10">
        <f>IFERROR(SUMIFS('Base bordo'!G$2:G$746,'Base bordo'!C$2:C$746,A1035,'Base bordo'!B$2:B$746,B1035,'Base bordo'!F$2:F$746,"DESLOCAMENTO CARREGADO"),0)</f>
        <v>0</v>
      </c>
      <c r="F1035" s="10">
        <f>IFERROR(SUMIFS('Base bordo'!G$2:G$746,'Base bordo'!C$2:C$746,A1035,'Base bordo'!B$2:B$746,B1035,'Base bordo'!F$2:F$746,"DESLOCAMENTO"),0)</f>
        <v>0</v>
      </c>
      <c r="G1035" s="10">
        <f>IFERROR(SUMIFS('Base bordo'!G$2:G$746,'Base bordo'!C$2:C$746,A1035,'Base bordo'!B$2:B$746,B1035,'Base bordo'!F$2:F$746,"CARREGAMENTO"),0)</f>
        <v>0</v>
      </c>
      <c r="H1035" s="10">
        <f>IFERROR(SUMIFS('Base bordo'!G$2:G$746,'Base bordo'!C$2:C$746,A1035,'Base bordo'!B$2:B$746,B1035,'Base bordo'!F$2:F$746,"AGUARDANDO TRANSBORDO"),0)</f>
        <v>0</v>
      </c>
      <c r="I1035" s="10">
        <f>IFERROR(SUMIFS('Base bordo'!G$2:G$746,'Base bordo'!C$2:C$746,A1035,'Base bordo'!B$2:B$746,B1035,'Base bordo'!F$2:F$746,"PÁTIO INTERNO"),0)+IFERROR(SUMIFS('Base bordo'!G$2:G$746,'Base bordo'!C$2:C$746,A1035,'Base bordo'!B$2:B$746,B1035,'Base bordo'!F$2:F$746,"PÁTIO EXTERNO"),0)+IFERROR(SUMIFS('Base bordo'!G$2:G$746,'Base bordo'!C$2:C$746,A1035,'Base bordo'!B$2:B$746,B1035,'Base bordo'!F$2:F$746,"PATIO - RESERVA"),0)+IFERROR(SUMIFS('Base bordo'!G$2:G$746,'Base bordo'!C$2:C$746,A1035,'Base bordo'!B$2:B$746,B1035,'Base bordo'!F$2:F$746,"MANOBRA CARRETAS-PATIO"),0)</f>
        <v>0</v>
      </c>
      <c r="J1035" s="10">
        <f>IFERROR(SUMIFS('Base bordo'!G$2:G$746,'Base bordo'!C$2:C$746,A1035,'Base bordo'!B$2:B$746,B1035,'Base bordo'!F$2:F$746,"BALANÇA - ENTRADA"),0)+IFERROR(SUMIFS('Base bordo'!G$2:G$746,'Base bordo'!C$2:C$746,A1035,'Base bordo'!B$2:B$746,B1035,'Base bordo'!F$2:F$746,"BALANÇA - SAÍDA"),0)</f>
        <v>0</v>
      </c>
      <c r="K1035" s="10">
        <f>IFERROR(SUMIFS('Base bordo'!G$2:G$746,'Base bordo'!C$2:C$746,A1035,'Base bordo'!B$2:B$746,B1035,'Base bordo'!F$2:F$746,"MAN PREVENTIVA - MECANICA"),0)+IFERROR(SUMIFS('Base bordo'!G$2:G$746,'Base bordo'!C$2:C$746,A1035,'Base bordo'!B$2:B$746,B1035,'Base bordo'!F$2:F$746,"MAN CORRETIVA - MECANICA"),0)</f>
        <v>0</v>
      </c>
      <c r="L1035" s="10">
        <f>IFERROR(SUMIFS('Base bordo'!G$2:G$746,'Base bordo'!C$2:C$746,A1035,'Base bordo'!B$2:B$746,B1035,'Base bordo'!F$2:F$746,"MANUTENCAO - T O"),0)+IFERROR(SUMIFS('Base bordo'!G$2:G$746,'Base bordo'!C$2:C$746,A1035,'Base bordo'!B$2:B$746,B1035,'Base bordo'!F$2:F$746,"MANUTENCAO BORRACHARIA"),0)+IFERROR(SUMIFS('Base bordo'!G$2:G$746,'Base bordo'!C$2:C$746,A1035,'Base bordo'!B$2:B$746,B1035,'Base bordo'!F$2:F$746,"MANUTENCAO EXTERNA  CONCESSIONARIA"),0)+IFERROR(SUMIFS('Base bordo'!G$2:G$746,'Base bordo'!C$2:C$746,A1035,'Base bordo'!B$2:B$746,B1035,'Base bordo'!F$2:F$746,"MANUTENCAO TELEMETRIA"),0)</f>
        <v>0</v>
      </c>
      <c r="M1035" s="10">
        <f>IFERROR(SUMIFS('Base bordo'!G$2:G$746,'Base bordo'!C$2:C$746,A1035,'Base bordo'!B$2:B$746,B1035,'Base bordo'!F$2:F$746,"AGUARDANDO MANUTENCAO"),0)</f>
        <v>0</v>
      </c>
      <c r="N1035" s="10">
        <f>IFERROR(SUMIFS('Base bordo'!G$2:G$746,'Base bordo'!C$2:C$746,A1035,'Base bordo'!B$2:B$746,B1035,'Base bordo'!F$2:F$746,"SEM APONTAMENTO"),0)</f>
        <v>0</v>
      </c>
      <c r="O1035" s="10">
        <f t="shared" si="102"/>
        <v>0</v>
      </c>
      <c r="P1035" s="10">
        <f>IFERROR(SUMIFS('Base bordo'!G$2:G$746,'Base bordo'!C$2:C$746,A1035,'Base bordo'!B$2:B$746,B1035),0)</f>
        <v>0.20416666666666666</v>
      </c>
      <c r="Q1035" s="10">
        <f>IFERROR(SUMIFS('Base bordo'!H$2:H$746,'Base bordo'!C$2:C$746,A1035,'Base bordo'!B$2:B$746,B1035,'Base bordo'!F$2:F$746,"DESLOCAMENTO VAZIO"),0)</f>
        <v>17840.349999999999</v>
      </c>
      <c r="R1035" s="10">
        <f>IFERROR(SUMIFS('Base bordo'!I$2:I$746,'Base bordo'!C$2:C$746,A1035,'Base bordo'!B$2:B$746,B1035,'Base bordo'!F$2:F$746,"DESLOCAMENTO VAZIO"),0)</f>
        <v>735</v>
      </c>
      <c r="S1035" s="30">
        <f t="shared" si="103"/>
        <v>24.272585034013602</v>
      </c>
      <c r="T1035" s="10">
        <f>IFERROR(SUMIFS('Base bordo'!H$2:H$746,'Base bordo'!C$2:C$746,A1035,'Base bordo'!B$2:B$746,B1035,'Base bordo'!F$2:F$746,"DESLOCAMENTO CARREGADO"),0)</f>
        <v>0</v>
      </c>
      <c r="U1035" s="10">
        <f>IFERROR(SUMIFS('Base bordo'!I$2:I$746,'Base bordo'!C$2:C$746,A1035,'Base bordo'!B$2:B$746,B1035,'Base bordo'!F$2:F$746,"DESLOCAMENTO CARREGADO"),0)</f>
        <v>0</v>
      </c>
      <c r="V1035" s="30" t="str">
        <f t="shared" si="104"/>
        <v/>
      </c>
      <c r="W1035" s="9">
        <f t="shared" si="105"/>
        <v>1</v>
      </c>
      <c r="X1035" s="9">
        <f t="shared" si="106"/>
        <v>0</v>
      </c>
      <c r="Y1035" s="9">
        <f t="shared" si="107"/>
        <v>0</v>
      </c>
    </row>
    <row r="1036" spans="1:25" ht="15" customHeight="1" x14ac:dyDescent="0.35">
      <c r="A1036" s="52">
        <v>8013478</v>
      </c>
      <c r="B1036" s="51">
        <v>46121</v>
      </c>
      <c r="C1036" s="7" t="s">
        <v>124</v>
      </c>
      <c r="D1036" s="10">
        <f>IFERROR(SUMIFS('Base bordo'!G$2:G$746,'Base bordo'!C$2:C$746,A1036,'Base bordo'!B$2:B$746,B1036,'Base bordo'!F$2:F$746,"DESLOCAMENTO VAZIO"),0)</f>
        <v>0.20416666666666666</v>
      </c>
      <c r="E1036" s="10">
        <f>IFERROR(SUMIFS('Base bordo'!G$2:G$746,'Base bordo'!C$2:C$746,A1036,'Base bordo'!B$2:B$746,B1036,'Base bordo'!F$2:F$746,"DESLOCAMENTO CARREGADO"),0)</f>
        <v>0</v>
      </c>
      <c r="F1036" s="10">
        <f>IFERROR(SUMIFS('Base bordo'!G$2:G$746,'Base bordo'!C$2:C$746,A1036,'Base bordo'!B$2:B$746,B1036,'Base bordo'!F$2:F$746,"DESLOCAMENTO"),0)</f>
        <v>0</v>
      </c>
      <c r="G1036" s="10">
        <f>IFERROR(SUMIFS('Base bordo'!G$2:G$746,'Base bordo'!C$2:C$746,A1036,'Base bordo'!B$2:B$746,B1036,'Base bordo'!F$2:F$746,"CARREGAMENTO"),0)</f>
        <v>0</v>
      </c>
      <c r="H1036" s="10">
        <f>IFERROR(SUMIFS('Base bordo'!G$2:G$746,'Base bordo'!C$2:C$746,A1036,'Base bordo'!B$2:B$746,B1036,'Base bordo'!F$2:F$746,"AGUARDANDO TRANSBORDO"),0)</f>
        <v>0</v>
      </c>
      <c r="I1036" s="10">
        <f>IFERROR(SUMIFS('Base bordo'!G$2:G$746,'Base bordo'!C$2:C$746,A1036,'Base bordo'!B$2:B$746,B1036,'Base bordo'!F$2:F$746,"PÁTIO INTERNO"),0)+IFERROR(SUMIFS('Base bordo'!G$2:G$746,'Base bordo'!C$2:C$746,A1036,'Base bordo'!B$2:B$746,B1036,'Base bordo'!F$2:F$746,"PÁTIO EXTERNO"),0)+IFERROR(SUMIFS('Base bordo'!G$2:G$746,'Base bordo'!C$2:C$746,A1036,'Base bordo'!B$2:B$746,B1036,'Base bordo'!F$2:F$746,"PATIO - RESERVA"),0)+IFERROR(SUMIFS('Base bordo'!G$2:G$746,'Base bordo'!C$2:C$746,A1036,'Base bordo'!B$2:B$746,B1036,'Base bordo'!F$2:F$746,"MANOBRA CARRETAS-PATIO"),0)</f>
        <v>0</v>
      </c>
      <c r="J1036" s="10">
        <f>IFERROR(SUMIFS('Base bordo'!G$2:G$746,'Base bordo'!C$2:C$746,A1036,'Base bordo'!B$2:B$746,B1036,'Base bordo'!F$2:F$746,"BALANÇA - ENTRADA"),0)+IFERROR(SUMIFS('Base bordo'!G$2:G$746,'Base bordo'!C$2:C$746,A1036,'Base bordo'!B$2:B$746,B1036,'Base bordo'!F$2:F$746,"BALANÇA - SAÍDA"),0)</f>
        <v>0</v>
      </c>
      <c r="K1036" s="10">
        <f>IFERROR(SUMIFS('Base bordo'!G$2:G$746,'Base bordo'!C$2:C$746,A1036,'Base bordo'!B$2:B$746,B1036,'Base bordo'!F$2:F$746,"MAN PREVENTIVA - MECANICA"),0)+IFERROR(SUMIFS('Base bordo'!G$2:G$746,'Base bordo'!C$2:C$746,A1036,'Base bordo'!B$2:B$746,B1036,'Base bordo'!F$2:F$746,"MAN CORRETIVA - MECANICA"),0)</f>
        <v>0</v>
      </c>
      <c r="L1036" s="10">
        <f>IFERROR(SUMIFS('Base bordo'!G$2:G$746,'Base bordo'!C$2:C$746,A1036,'Base bordo'!B$2:B$746,B1036,'Base bordo'!F$2:F$746,"MANUTENCAO - T O"),0)+IFERROR(SUMIFS('Base bordo'!G$2:G$746,'Base bordo'!C$2:C$746,A1036,'Base bordo'!B$2:B$746,B1036,'Base bordo'!F$2:F$746,"MANUTENCAO BORRACHARIA"),0)+IFERROR(SUMIFS('Base bordo'!G$2:G$746,'Base bordo'!C$2:C$746,A1036,'Base bordo'!B$2:B$746,B1036,'Base bordo'!F$2:F$746,"MANUTENCAO EXTERNA  CONCESSIONARIA"),0)+IFERROR(SUMIFS('Base bordo'!G$2:G$746,'Base bordo'!C$2:C$746,A1036,'Base bordo'!B$2:B$746,B1036,'Base bordo'!F$2:F$746,"MANUTENCAO TELEMETRIA"),0)</f>
        <v>0</v>
      </c>
      <c r="M1036" s="10">
        <f>IFERROR(SUMIFS('Base bordo'!G$2:G$746,'Base bordo'!C$2:C$746,A1036,'Base bordo'!B$2:B$746,B1036,'Base bordo'!F$2:F$746,"AGUARDANDO MANUTENCAO"),0)</f>
        <v>0</v>
      </c>
      <c r="N1036" s="10">
        <f>IFERROR(SUMIFS('Base bordo'!G$2:G$746,'Base bordo'!C$2:C$746,A1036,'Base bordo'!B$2:B$746,B1036,'Base bordo'!F$2:F$746,"SEM APONTAMENTO"),0)</f>
        <v>0</v>
      </c>
      <c r="O1036" s="10">
        <f t="shared" si="102"/>
        <v>0</v>
      </c>
      <c r="P1036" s="10">
        <f>IFERROR(SUMIFS('Base bordo'!G$2:G$746,'Base bordo'!C$2:C$746,A1036,'Base bordo'!B$2:B$746,B1036),0)</f>
        <v>0.20416666666666666</v>
      </c>
      <c r="Q1036" s="10">
        <f>IFERROR(SUMIFS('Base bordo'!H$2:H$746,'Base bordo'!C$2:C$746,A1036,'Base bordo'!B$2:B$746,B1036,'Base bordo'!F$2:F$746,"DESLOCAMENTO VAZIO"),0)</f>
        <v>17840.349999999999</v>
      </c>
      <c r="R1036" s="10">
        <f>IFERROR(SUMIFS('Base bordo'!I$2:I$746,'Base bordo'!C$2:C$746,A1036,'Base bordo'!B$2:B$746,B1036,'Base bordo'!F$2:F$746,"DESLOCAMENTO VAZIO"),0)</f>
        <v>735</v>
      </c>
      <c r="S1036" s="30">
        <f t="shared" si="103"/>
        <v>24.272585034013602</v>
      </c>
      <c r="T1036" s="10">
        <f>IFERROR(SUMIFS('Base bordo'!H$2:H$746,'Base bordo'!C$2:C$746,A1036,'Base bordo'!B$2:B$746,B1036,'Base bordo'!F$2:F$746,"DESLOCAMENTO CARREGADO"),0)</f>
        <v>0</v>
      </c>
      <c r="U1036" s="10">
        <f>IFERROR(SUMIFS('Base bordo'!I$2:I$746,'Base bordo'!C$2:C$746,A1036,'Base bordo'!B$2:B$746,B1036,'Base bordo'!F$2:F$746,"DESLOCAMENTO CARREGADO"),0)</f>
        <v>0</v>
      </c>
      <c r="V1036" s="30" t="str">
        <f t="shared" si="104"/>
        <v/>
      </c>
      <c r="W1036" s="9">
        <f t="shared" si="105"/>
        <v>1</v>
      </c>
      <c r="X1036" s="9">
        <f t="shared" si="106"/>
        <v>0</v>
      </c>
      <c r="Y1036" s="9">
        <f t="shared" si="107"/>
        <v>0</v>
      </c>
    </row>
    <row r="1037" spans="1:25" ht="15" customHeight="1" x14ac:dyDescent="0.35">
      <c r="A1037" s="52">
        <v>8013481</v>
      </c>
      <c r="B1037" s="51">
        <v>46121</v>
      </c>
      <c r="C1037" s="7" t="s">
        <v>124</v>
      </c>
      <c r="D1037" s="10">
        <f>IFERROR(SUMIFS('Base bordo'!G$2:G$746,'Base bordo'!C$2:C$746,A1037,'Base bordo'!B$2:B$746,B1037,'Base bordo'!F$2:F$746,"DESLOCAMENTO VAZIO"),0)</f>
        <v>0</v>
      </c>
      <c r="E1037" s="10">
        <f>IFERROR(SUMIFS('Base bordo'!G$2:G$746,'Base bordo'!C$2:C$746,A1037,'Base bordo'!B$2:B$746,B1037,'Base bordo'!F$2:F$746,"DESLOCAMENTO CARREGADO"),0)</f>
        <v>0</v>
      </c>
      <c r="F1037" s="10">
        <f>IFERROR(SUMIFS('Base bordo'!G$2:G$746,'Base bordo'!C$2:C$746,A1037,'Base bordo'!B$2:B$746,B1037,'Base bordo'!F$2:F$746,"DESLOCAMENTO"),0)</f>
        <v>0</v>
      </c>
      <c r="G1037" s="10">
        <f>IFERROR(SUMIFS('Base bordo'!G$2:G$746,'Base bordo'!C$2:C$746,A1037,'Base bordo'!B$2:B$746,B1037,'Base bordo'!F$2:F$746,"CARREGAMENTO"),0)</f>
        <v>0</v>
      </c>
      <c r="H1037" s="10">
        <f>IFERROR(SUMIFS('Base bordo'!G$2:G$746,'Base bordo'!C$2:C$746,A1037,'Base bordo'!B$2:B$746,B1037,'Base bordo'!F$2:F$746,"AGUARDANDO TRANSBORDO"),0)</f>
        <v>0</v>
      </c>
      <c r="I1037" s="10">
        <f>IFERROR(SUMIFS('Base bordo'!G$2:G$746,'Base bordo'!C$2:C$746,A1037,'Base bordo'!B$2:B$746,B1037,'Base bordo'!F$2:F$746,"PÁTIO INTERNO"),0)+IFERROR(SUMIFS('Base bordo'!G$2:G$746,'Base bordo'!C$2:C$746,A1037,'Base bordo'!B$2:B$746,B1037,'Base bordo'!F$2:F$746,"PÁTIO EXTERNO"),0)+IFERROR(SUMIFS('Base bordo'!G$2:G$746,'Base bordo'!C$2:C$746,A1037,'Base bordo'!B$2:B$746,B1037,'Base bordo'!F$2:F$746,"PATIO - RESERVA"),0)+IFERROR(SUMIFS('Base bordo'!G$2:G$746,'Base bordo'!C$2:C$746,A1037,'Base bordo'!B$2:B$746,B1037,'Base bordo'!F$2:F$746,"MANOBRA CARRETAS-PATIO"),0)</f>
        <v>0</v>
      </c>
      <c r="J1037" s="10">
        <f>IFERROR(SUMIFS('Base bordo'!G$2:G$746,'Base bordo'!C$2:C$746,A1037,'Base bordo'!B$2:B$746,B1037,'Base bordo'!F$2:F$746,"BALANÇA - ENTRADA"),0)+IFERROR(SUMIFS('Base bordo'!G$2:G$746,'Base bordo'!C$2:C$746,A1037,'Base bordo'!B$2:B$746,B1037,'Base bordo'!F$2:F$746,"BALANÇA - SAÍDA"),0)</f>
        <v>0</v>
      </c>
      <c r="K1037" s="10">
        <f>IFERROR(SUMIFS('Base bordo'!G$2:G$746,'Base bordo'!C$2:C$746,A1037,'Base bordo'!B$2:B$746,B1037,'Base bordo'!F$2:F$746,"MAN PREVENTIVA - MECANICA"),0)+IFERROR(SUMIFS('Base bordo'!G$2:G$746,'Base bordo'!C$2:C$746,A1037,'Base bordo'!B$2:B$746,B1037,'Base bordo'!F$2:F$746,"MAN CORRETIVA - MECANICA"),0)</f>
        <v>0</v>
      </c>
      <c r="L1037" s="10">
        <f>IFERROR(SUMIFS('Base bordo'!G$2:G$746,'Base bordo'!C$2:C$746,A1037,'Base bordo'!B$2:B$746,B1037,'Base bordo'!F$2:F$746,"MANUTENCAO - T O"),0)+IFERROR(SUMIFS('Base bordo'!G$2:G$746,'Base bordo'!C$2:C$746,A1037,'Base bordo'!B$2:B$746,B1037,'Base bordo'!F$2:F$746,"MANUTENCAO BORRACHARIA"),0)+IFERROR(SUMIFS('Base bordo'!G$2:G$746,'Base bordo'!C$2:C$746,A1037,'Base bordo'!B$2:B$746,B1037,'Base bordo'!F$2:F$746,"MANUTENCAO EXTERNA  CONCESSIONARIA"),0)+IFERROR(SUMIFS('Base bordo'!G$2:G$746,'Base bordo'!C$2:C$746,A1037,'Base bordo'!B$2:B$746,B1037,'Base bordo'!F$2:F$746,"MANUTENCAO TELEMETRIA"),0)</f>
        <v>0</v>
      </c>
      <c r="M1037" s="10">
        <f>IFERROR(SUMIFS('Base bordo'!G$2:G$746,'Base bordo'!C$2:C$746,A1037,'Base bordo'!B$2:B$746,B1037,'Base bordo'!F$2:F$746,"AGUARDANDO MANUTENCAO"),0)</f>
        <v>0</v>
      </c>
      <c r="N1037" s="10">
        <f>IFERROR(SUMIFS('Base bordo'!G$2:G$746,'Base bordo'!C$2:C$746,A1037,'Base bordo'!B$2:B$746,B1037,'Base bordo'!F$2:F$746,"SEM APONTAMENTO"),0)</f>
        <v>0</v>
      </c>
      <c r="O1037" s="10">
        <f t="shared" si="102"/>
        <v>0</v>
      </c>
      <c r="P1037" s="10">
        <f>IFERROR(SUMIFS('Base bordo'!G$2:G$746,'Base bordo'!C$2:C$746,A1037,'Base bordo'!B$2:B$746,B1037),0)</f>
        <v>0</v>
      </c>
      <c r="Q1037" s="10">
        <f>IFERROR(SUMIFS('Base bordo'!H$2:H$746,'Base bordo'!C$2:C$746,A1037,'Base bordo'!B$2:B$746,B1037,'Base bordo'!F$2:F$746,"DESLOCAMENTO VAZIO"),0)</f>
        <v>0</v>
      </c>
      <c r="R1037" s="10">
        <f>IFERROR(SUMIFS('Base bordo'!I$2:I$746,'Base bordo'!C$2:C$746,A1037,'Base bordo'!B$2:B$746,B1037,'Base bordo'!F$2:F$746,"DESLOCAMENTO VAZIO"),0)</f>
        <v>0</v>
      </c>
      <c r="S1037" s="30" t="str">
        <f t="shared" si="103"/>
        <v/>
      </c>
      <c r="T1037" s="10">
        <f>IFERROR(SUMIFS('Base bordo'!H$2:H$746,'Base bordo'!C$2:C$746,A1037,'Base bordo'!B$2:B$746,B1037,'Base bordo'!F$2:F$746,"DESLOCAMENTO CARREGADO"),0)</f>
        <v>0</v>
      </c>
      <c r="U1037" s="10">
        <f>IFERROR(SUMIFS('Base bordo'!I$2:I$746,'Base bordo'!C$2:C$746,A1037,'Base bordo'!B$2:B$746,B1037,'Base bordo'!F$2:F$746,"DESLOCAMENTO CARREGADO"),0)</f>
        <v>0</v>
      </c>
      <c r="V1037" s="30" t="str">
        <f t="shared" si="104"/>
        <v/>
      </c>
      <c r="W1037" s="9">
        <f t="shared" si="105"/>
        <v>0</v>
      </c>
      <c r="X1037" s="9">
        <f t="shared" si="106"/>
        <v>0</v>
      </c>
      <c r="Y1037" s="9">
        <f t="shared" si="107"/>
        <v>0</v>
      </c>
    </row>
    <row r="1038" spans="1:25" ht="15" customHeight="1" x14ac:dyDescent="0.35">
      <c r="A1038" s="52">
        <v>8013482</v>
      </c>
      <c r="B1038" s="51">
        <v>46121</v>
      </c>
      <c r="C1038" s="7" t="s">
        <v>124</v>
      </c>
      <c r="D1038" s="10">
        <f>IFERROR(SUMIFS('Base bordo'!G$2:G$746,'Base bordo'!C$2:C$746,A1038,'Base bordo'!B$2:B$746,B1038,'Base bordo'!F$2:F$746,"DESLOCAMENTO VAZIO"),0)</f>
        <v>0</v>
      </c>
      <c r="E1038" s="10">
        <f>IFERROR(SUMIFS('Base bordo'!G$2:G$746,'Base bordo'!C$2:C$746,A1038,'Base bordo'!B$2:B$746,B1038,'Base bordo'!F$2:F$746,"DESLOCAMENTO CARREGADO"),0)</f>
        <v>0</v>
      </c>
      <c r="F1038" s="10">
        <f>IFERROR(SUMIFS('Base bordo'!G$2:G$746,'Base bordo'!C$2:C$746,A1038,'Base bordo'!B$2:B$746,B1038,'Base bordo'!F$2:F$746,"DESLOCAMENTO"),0)</f>
        <v>0</v>
      </c>
      <c r="G1038" s="10">
        <f>IFERROR(SUMIFS('Base bordo'!G$2:G$746,'Base bordo'!C$2:C$746,A1038,'Base bordo'!B$2:B$746,B1038,'Base bordo'!F$2:F$746,"CARREGAMENTO"),0)</f>
        <v>0</v>
      </c>
      <c r="H1038" s="10">
        <f>IFERROR(SUMIFS('Base bordo'!G$2:G$746,'Base bordo'!C$2:C$746,A1038,'Base bordo'!B$2:B$746,B1038,'Base bordo'!F$2:F$746,"AGUARDANDO TRANSBORDO"),0)</f>
        <v>0</v>
      </c>
      <c r="I1038" s="10">
        <f>IFERROR(SUMIFS('Base bordo'!G$2:G$746,'Base bordo'!C$2:C$746,A1038,'Base bordo'!B$2:B$746,B1038,'Base bordo'!F$2:F$746,"PÁTIO INTERNO"),0)+IFERROR(SUMIFS('Base bordo'!G$2:G$746,'Base bordo'!C$2:C$746,A1038,'Base bordo'!B$2:B$746,B1038,'Base bordo'!F$2:F$746,"PÁTIO EXTERNO"),0)+IFERROR(SUMIFS('Base bordo'!G$2:G$746,'Base bordo'!C$2:C$746,A1038,'Base bordo'!B$2:B$746,B1038,'Base bordo'!F$2:F$746,"PATIO - RESERVA"),0)+IFERROR(SUMIFS('Base bordo'!G$2:G$746,'Base bordo'!C$2:C$746,A1038,'Base bordo'!B$2:B$746,B1038,'Base bordo'!F$2:F$746,"MANOBRA CARRETAS-PATIO"),0)</f>
        <v>0</v>
      </c>
      <c r="J1038" s="10">
        <f>IFERROR(SUMIFS('Base bordo'!G$2:G$746,'Base bordo'!C$2:C$746,A1038,'Base bordo'!B$2:B$746,B1038,'Base bordo'!F$2:F$746,"BALANÇA - ENTRADA"),0)+IFERROR(SUMIFS('Base bordo'!G$2:G$746,'Base bordo'!C$2:C$746,A1038,'Base bordo'!B$2:B$746,B1038,'Base bordo'!F$2:F$746,"BALANÇA - SAÍDA"),0)</f>
        <v>0</v>
      </c>
      <c r="K1038" s="10">
        <f>IFERROR(SUMIFS('Base bordo'!G$2:G$746,'Base bordo'!C$2:C$746,A1038,'Base bordo'!B$2:B$746,B1038,'Base bordo'!F$2:F$746,"MAN PREVENTIVA - MECANICA"),0)+IFERROR(SUMIFS('Base bordo'!G$2:G$746,'Base bordo'!C$2:C$746,A1038,'Base bordo'!B$2:B$746,B1038,'Base bordo'!F$2:F$746,"MAN CORRETIVA - MECANICA"),0)</f>
        <v>0</v>
      </c>
      <c r="L1038" s="10">
        <f>IFERROR(SUMIFS('Base bordo'!G$2:G$746,'Base bordo'!C$2:C$746,A1038,'Base bordo'!B$2:B$746,B1038,'Base bordo'!F$2:F$746,"MANUTENCAO - T O"),0)+IFERROR(SUMIFS('Base bordo'!G$2:G$746,'Base bordo'!C$2:C$746,A1038,'Base bordo'!B$2:B$746,B1038,'Base bordo'!F$2:F$746,"MANUTENCAO BORRACHARIA"),0)+IFERROR(SUMIFS('Base bordo'!G$2:G$746,'Base bordo'!C$2:C$746,A1038,'Base bordo'!B$2:B$746,B1038,'Base bordo'!F$2:F$746,"MANUTENCAO EXTERNA  CONCESSIONARIA"),0)+IFERROR(SUMIFS('Base bordo'!G$2:G$746,'Base bordo'!C$2:C$746,A1038,'Base bordo'!B$2:B$746,B1038,'Base bordo'!F$2:F$746,"MANUTENCAO TELEMETRIA"),0)</f>
        <v>0</v>
      </c>
      <c r="M1038" s="10">
        <f>IFERROR(SUMIFS('Base bordo'!G$2:G$746,'Base bordo'!C$2:C$746,A1038,'Base bordo'!B$2:B$746,B1038,'Base bordo'!F$2:F$746,"AGUARDANDO MANUTENCAO"),0)</f>
        <v>0</v>
      </c>
      <c r="N1038" s="10">
        <f>IFERROR(SUMIFS('Base bordo'!G$2:G$746,'Base bordo'!C$2:C$746,A1038,'Base bordo'!B$2:B$746,B1038,'Base bordo'!F$2:F$746,"SEM APONTAMENTO"),0)</f>
        <v>0</v>
      </c>
      <c r="O1038" s="10">
        <f t="shared" si="102"/>
        <v>0</v>
      </c>
      <c r="P1038" s="10">
        <f>IFERROR(SUMIFS('Base bordo'!G$2:G$746,'Base bordo'!C$2:C$746,A1038,'Base bordo'!B$2:B$746,B1038),0)</f>
        <v>0</v>
      </c>
      <c r="Q1038" s="10">
        <f>IFERROR(SUMIFS('Base bordo'!H$2:H$746,'Base bordo'!C$2:C$746,A1038,'Base bordo'!B$2:B$746,B1038,'Base bordo'!F$2:F$746,"DESLOCAMENTO VAZIO"),0)</f>
        <v>0</v>
      </c>
      <c r="R1038" s="10">
        <f>IFERROR(SUMIFS('Base bordo'!I$2:I$746,'Base bordo'!C$2:C$746,A1038,'Base bordo'!B$2:B$746,B1038,'Base bordo'!F$2:F$746,"DESLOCAMENTO VAZIO"),0)</f>
        <v>0</v>
      </c>
      <c r="S1038" s="30" t="str">
        <f t="shared" si="103"/>
        <v/>
      </c>
      <c r="T1038" s="10">
        <f>IFERROR(SUMIFS('Base bordo'!H$2:H$746,'Base bordo'!C$2:C$746,A1038,'Base bordo'!B$2:B$746,B1038,'Base bordo'!F$2:F$746,"DESLOCAMENTO CARREGADO"),0)</f>
        <v>0</v>
      </c>
      <c r="U1038" s="10">
        <f>IFERROR(SUMIFS('Base bordo'!I$2:I$746,'Base bordo'!C$2:C$746,A1038,'Base bordo'!B$2:B$746,B1038,'Base bordo'!F$2:F$746,"DESLOCAMENTO CARREGADO"),0)</f>
        <v>0</v>
      </c>
      <c r="V1038" s="30" t="str">
        <f t="shared" si="104"/>
        <v/>
      </c>
      <c r="W1038" s="9">
        <f t="shared" si="105"/>
        <v>0</v>
      </c>
      <c r="X1038" s="9">
        <f t="shared" si="106"/>
        <v>0</v>
      </c>
      <c r="Y1038" s="9">
        <f t="shared" si="107"/>
        <v>0</v>
      </c>
    </row>
    <row r="1039" spans="1:25" ht="15" customHeight="1" x14ac:dyDescent="0.35">
      <c r="A1039" s="52">
        <v>8013483</v>
      </c>
      <c r="B1039" s="51">
        <v>46121</v>
      </c>
      <c r="C1039" s="7" t="s">
        <v>124</v>
      </c>
      <c r="D1039" s="10">
        <f>IFERROR(SUMIFS('Base bordo'!G$2:G$746,'Base bordo'!C$2:C$746,A1039,'Base bordo'!B$2:B$746,B1039,'Base bordo'!F$2:F$746,"DESLOCAMENTO VAZIO"),0)</f>
        <v>0</v>
      </c>
      <c r="E1039" s="10">
        <f>IFERROR(SUMIFS('Base bordo'!G$2:G$746,'Base bordo'!C$2:C$746,A1039,'Base bordo'!B$2:B$746,B1039,'Base bordo'!F$2:F$746,"DESLOCAMENTO CARREGADO"),0)</f>
        <v>0</v>
      </c>
      <c r="F1039" s="10">
        <f>IFERROR(SUMIFS('Base bordo'!G$2:G$746,'Base bordo'!C$2:C$746,A1039,'Base bordo'!B$2:B$746,B1039,'Base bordo'!F$2:F$746,"DESLOCAMENTO"),0)</f>
        <v>0.12111111111111111</v>
      </c>
      <c r="G1039" s="10">
        <f>IFERROR(SUMIFS('Base bordo'!G$2:G$746,'Base bordo'!C$2:C$746,A1039,'Base bordo'!B$2:B$746,B1039,'Base bordo'!F$2:F$746,"CARREGAMENTO"),0)</f>
        <v>0</v>
      </c>
      <c r="H1039" s="10">
        <f>IFERROR(SUMIFS('Base bordo'!G$2:G$746,'Base bordo'!C$2:C$746,A1039,'Base bordo'!B$2:B$746,B1039,'Base bordo'!F$2:F$746,"AGUARDANDO TRANSBORDO"),0)</f>
        <v>0</v>
      </c>
      <c r="I1039" s="10">
        <f>IFERROR(SUMIFS('Base bordo'!G$2:G$746,'Base bordo'!C$2:C$746,A1039,'Base bordo'!B$2:B$746,B1039,'Base bordo'!F$2:F$746,"PÁTIO INTERNO"),0)+IFERROR(SUMIFS('Base bordo'!G$2:G$746,'Base bordo'!C$2:C$746,A1039,'Base bordo'!B$2:B$746,B1039,'Base bordo'!F$2:F$746,"PÁTIO EXTERNO"),0)+IFERROR(SUMIFS('Base bordo'!G$2:G$746,'Base bordo'!C$2:C$746,A1039,'Base bordo'!B$2:B$746,B1039,'Base bordo'!F$2:F$746,"PATIO - RESERVA"),0)+IFERROR(SUMIFS('Base bordo'!G$2:G$746,'Base bordo'!C$2:C$746,A1039,'Base bordo'!B$2:B$746,B1039,'Base bordo'!F$2:F$746,"MANOBRA CARRETAS-PATIO"),0)</f>
        <v>0</v>
      </c>
      <c r="J1039" s="10">
        <f>IFERROR(SUMIFS('Base bordo'!G$2:G$746,'Base bordo'!C$2:C$746,A1039,'Base bordo'!B$2:B$746,B1039,'Base bordo'!F$2:F$746,"BALANÇA - ENTRADA"),0)+IFERROR(SUMIFS('Base bordo'!G$2:G$746,'Base bordo'!C$2:C$746,A1039,'Base bordo'!B$2:B$746,B1039,'Base bordo'!F$2:F$746,"BALANÇA - SAÍDA"),0)</f>
        <v>0</v>
      </c>
      <c r="K1039" s="10">
        <f>IFERROR(SUMIFS('Base bordo'!G$2:G$746,'Base bordo'!C$2:C$746,A1039,'Base bordo'!B$2:B$746,B1039,'Base bordo'!F$2:F$746,"MAN PREVENTIVA - MECANICA"),0)+IFERROR(SUMIFS('Base bordo'!G$2:G$746,'Base bordo'!C$2:C$746,A1039,'Base bordo'!B$2:B$746,B1039,'Base bordo'!F$2:F$746,"MAN CORRETIVA - MECANICA"),0)</f>
        <v>0</v>
      </c>
      <c r="L1039" s="10">
        <f>IFERROR(SUMIFS('Base bordo'!G$2:G$746,'Base bordo'!C$2:C$746,A1039,'Base bordo'!B$2:B$746,B1039,'Base bordo'!F$2:F$746,"MANUTENCAO - T O"),0)+IFERROR(SUMIFS('Base bordo'!G$2:G$746,'Base bordo'!C$2:C$746,A1039,'Base bordo'!B$2:B$746,B1039,'Base bordo'!F$2:F$746,"MANUTENCAO BORRACHARIA"),0)+IFERROR(SUMIFS('Base bordo'!G$2:G$746,'Base bordo'!C$2:C$746,A1039,'Base bordo'!B$2:B$746,B1039,'Base bordo'!F$2:F$746,"MANUTENCAO EXTERNA  CONCESSIONARIA"),0)+IFERROR(SUMIFS('Base bordo'!G$2:G$746,'Base bordo'!C$2:C$746,A1039,'Base bordo'!B$2:B$746,B1039,'Base bordo'!F$2:F$746,"MANUTENCAO TELEMETRIA"),0)</f>
        <v>0</v>
      </c>
      <c r="M1039" s="10">
        <f>IFERROR(SUMIFS('Base bordo'!G$2:G$746,'Base bordo'!C$2:C$746,A1039,'Base bordo'!B$2:B$746,B1039,'Base bordo'!F$2:F$746,"AGUARDANDO MANUTENCAO"),0)</f>
        <v>0</v>
      </c>
      <c r="N1039" s="10">
        <f>IFERROR(SUMIFS('Base bordo'!G$2:G$746,'Base bordo'!C$2:C$746,A1039,'Base bordo'!B$2:B$746,B1039,'Base bordo'!F$2:F$746,"SEM APONTAMENTO"),0)</f>
        <v>0</v>
      </c>
      <c r="O1039" s="10">
        <f t="shared" ref="O1039:O1102" si="108">IFERROR(P1039-SUM(D1039:N1039),0)</f>
        <v>0</v>
      </c>
      <c r="P1039" s="10">
        <f>IFERROR(SUMIFS('Base bordo'!G$2:G$746,'Base bordo'!C$2:C$746,A1039,'Base bordo'!B$2:B$746,B1039),0)</f>
        <v>0.12111111111111111</v>
      </c>
      <c r="Q1039" s="10">
        <f>IFERROR(SUMIFS('Base bordo'!H$2:H$746,'Base bordo'!C$2:C$746,A1039,'Base bordo'!B$2:B$746,B1039,'Base bordo'!F$2:F$746,"DESLOCAMENTO VAZIO"),0)</f>
        <v>0</v>
      </c>
      <c r="R1039" s="10">
        <f>IFERROR(SUMIFS('Base bordo'!I$2:I$746,'Base bordo'!C$2:C$746,A1039,'Base bordo'!B$2:B$746,B1039,'Base bordo'!F$2:F$746,"DESLOCAMENTO VAZIO"),0)</f>
        <v>0</v>
      </c>
      <c r="S1039" s="30" t="str">
        <f t="shared" ref="S1039:S1102" si="109">IFERROR(Q1039/R1039,"")</f>
        <v/>
      </c>
      <c r="T1039" s="10">
        <f>IFERROR(SUMIFS('Base bordo'!H$2:H$746,'Base bordo'!C$2:C$746,A1039,'Base bordo'!B$2:B$746,B1039,'Base bordo'!F$2:F$746,"DESLOCAMENTO CARREGADO"),0)</f>
        <v>0</v>
      </c>
      <c r="U1039" s="10">
        <f>IFERROR(SUMIFS('Base bordo'!I$2:I$746,'Base bordo'!C$2:C$746,A1039,'Base bordo'!B$2:B$746,B1039,'Base bordo'!F$2:F$746,"DESLOCAMENTO CARREGADO"),0)</f>
        <v>0</v>
      </c>
      <c r="V1039" s="30" t="str">
        <f t="shared" ref="V1039:V1102" si="110">IFERROR(T1039/U1039,"")</f>
        <v/>
      </c>
      <c r="W1039" s="9">
        <f t="shared" ref="W1039:W1102" si="111">IFERROR(D1039/P1039,0)</f>
        <v>0</v>
      </c>
      <c r="X1039" s="9">
        <f t="shared" ref="X1039:X1102" si="112">IFERROR(E1039/P1039,0)</f>
        <v>0</v>
      </c>
      <c r="Y1039" s="9">
        <f t="shared" ref="Y1039:Y1102" si="113">IFERROR(1-((D1039+E1039)/P1039),0)</f>
        <v>1</v>
      </c>
    </row>
    <row r="1040" spans="1:25" ht="15" customHeight="1" x14ac:dyDescent="0.35">
      <c r="A1040" s="52">
        <v>8013484</v>
      </c>
      <c r="B1040" s="51">
        <v>46121</v>
      </c>
      <c r="C1040" s="7" t="s">
        <v>124</v>
      </c>
      <c r="D1040" s="10">
        <f>IFERROR(SUMIFS('Base bordo'!G$2:G$746,'Base bordo'!C$2:C$746,A1040,'Base bordo'!B$2:B$746,B1040,'Base bordo'!F$2:F$746,"DESLOCAMENTO VAZIO"),0)</f>
        <v>0</v>
      </c>
      <c r="E1040" s="10">
        <f>IFERROR(SUMIFS('Base bordo'!G$2:G$746,'Base bordo'!C$2:C$746,A1040,'Base bordo'!B$2:B$746,B1040,'Base bordo'!F$2:F$746,"DESLOCAMENTO CARREGADO"),0)</f>
        <v>0</v>
      </c>
      <c r="F1040" s="10">
        <f>IFERROR(SUMIFS('Base bordo'!G$2:G$746,'Base bordo'!C$2:C$746,A1040,'Base bordo'!B$2:B$746,B1040,'Base bordo'!F$2:F$746,"DESLOCAMENTO"),0)</f>
        <v>0</v>
      </c>
      <c r="G1040" s="10">
        <f>IFERROR(SUMIFS('Base bordo'!G$2:G$746,'Base bordo'!C$2:C$746,A1040,'Base bordo'!B$2:B$746,B1040,'Base bordo'!F$2:F$746,"CARREGAMENTO"),0)</f>
        <v>0</v>
      </c>
      <c r="H1040" s="10">
        <f>IFERROR(SUMIFS('Base bordo'!G$2:G$746,'Base bordo'!C$2:C$746,A1040,'Base bordo'!B$2:B$746,B1040,'Base bordo'!F$2:F$746,"AGUARDANDO TRANSBORDO"),0)</f>
        <v>0</v>
      </c>
      <c r="I1040" s="10">
        <f>IFERROR(SUMIFS('Base bordo'!G$2:G$746,'Base bordo'!C$2:C$746,A1040,'Base bordo'!B$2:B$746,B1040,'Base bordo'!F$2:F$746,"PÁTIO INTERNO"),0)+IFERROR(SUMIFS('Base bordo'!G$2:G$746,'Base bordo'!C$2:C$746,A1040,'Base bordo'!B$2:B$746,B1040,'Base bordo'!F$2:F$746,"PÁTIO EXTERNO"),0)+IFERROR(SUMIFS('Base bordo'!G$2:G$746,'Base bordo'!C$2:C$746,A1040,'Base bordo'!B$2:B$746,B1040,'Base bordo'!F$2:F$746,"PATIO - RESERVA"),0)+IFERROR(SUMIFS('Base bordo'!G$2:G$746,'Base bordo'!C$2:C$746,A1040,'Base bordo'!B$2:B$746,B1040,'Base bordo'!F$2:F$746,"MANOBRA CARRETAS-PATIO"),0)</f>
        <v>0</v>
      </c>
      <c r="J1040" s="10">
        <f>IFERROR(SUMIFS('Base bordo'!G$2:G$746,'Base bordo'!C$2:C$746,A1040,'Base bordo'!B$2:B$746,B1040,'Base bordo'!F$2:F$746,"BALANÇA - ENTRADA"),0)+IFERROR(SUMIFS('Base bordo'!G$2:G$746,'Base bordo'!C$2:C$746,A1040,'Base bordo'!B$2:B$746,B1040,'Base bordo'!F$2:F$746,"BALANÇA - SAÍDA"),0)</f>
        <v>0</v>
      </c>
      <c r="K1040" s="10">
        <f>IFERROR(SUMIFS('Base bordo'!G$2:G$746,'Base bordo'!C$2:C$746,A1040,'Base bordo'!B$2:B$746,B1040,'Base bordo'!F$2:F$746,"MAN PREVENTIVA - MECANICA"),0)+IFERROR(SUMIFS('Base bordo'!G$2:G$746,'Base bordo'!C$2:C$746,A1040,'Base bordo'!B$2:B$746,B1040,'Base bordo'!F$2:F$746,"MAN CORRETIVA - MECANICA"),0)</f>
        <v>0</v>
      </c>
      <c r="L1040" s="10">
        <f>IFERROR(SUMIFS('Base bordo'!G$2:G$746,'Base bordo'!C$2:C$746,A1040,'Base bordo'!B$2:B$746,B1040,'Base bordo'!F$2:F$746,"MANUTENCAO - T O"),0)+IFERROR(SUMIFS('Base bordo'!G$2:G$746,'Base bordo'!C$2:C$746,A1040,'Base bordo'!B$2:B$746,B1040,'Base bordo'!F$2:F$746,"MANUTENCAO BORRACHARIA"),0)+IFERROR(SUMIFS('Base bordo'!G$2:G$746,'Base bordo'!C$2:C$746,A1040,'Base bordo'!B$2:B$746,B1040,'Base bordo'!F$2:F$746,"MANUTENCAO EXTERNA  CONCESSIONARIA"),0)+IFERROR(SUMIFS('Base bordo'!G$2:G$746,'Base bordo'!C$2:C$746,A1040,'Base bordo'!B$2:B$746,B1040,'Base bordo'!F$2:F$746,"MANUTENCAO TELEMETRIA"),0)</f>
        <v>0</v>
      </c>
      <c r="M1040" s="10">
        <f>IFERROR(SUMIFS('Base bordo'!G$2:G$746,'Base bordo'!C$2:C$746,A1040,'Base bordo'!B$2:B$746,B1040,'Base bordo'!F$2:F$746,"AGUARDANDO MANUTENCAO"),0)</f>
        <v>0</v>
      </c>
      <c r="N1040" s="10">
        <f>IFERROR(SUMIFS('Base bordo'!G$2:G$746,'Base bordo'!C$2:C$746,A1040,'Base bordo'!B$2:B$746,B1040,'Base bordo'!F$2:F$746,"SEM APONTAMENTO"),0)</f>
        <v>0</v>
      </c>
      <c r="O1040" s="10">
        <f t="shared" si="108"/>
        <v>0</v>
      </c>
      <c r="P1040" s="10">
        <f>IFERROR(SUMIFS('Base bordo'!G$2:G$746,'Base bordo'!C$2:C$746,A1040,'Base bordo'!B$2:B$746,B1040),0)</f>
        <v>0</v>
      </c>
      <c r="Q1040" s="10">
        <f>IFERROR(SUMIFS('Base bordo'!H$2:H$746,'Base bordo'!C$2:C$746,A1040,'Base bordo'!B$2:B$746,B1040,'Base bordo'!F$2:F$746,"DESLOCAMENTO VAZIO"),0)</f>
        <v>0</v>
      </c>
      <c r="R1040" s="10">
        <f>IFERROR(SUMIFS('Base bordo'!I$2:I$746,'Base bordo'!C$2:C$746,A1040,'Base bordo'!B$2:B$746,B1040,'Base bordo'!F$2:F$746,"DESLOCAMENTO VAZIO"),0)</f>
        <v>0</v>
      </c>
      <c r="S1040" s="30" t="str">
        <f t="shared" si="109"/>
        <v/>
      </c>
      <c r="T1040" s="10">
        <f>IFERROR(SUMIFS('Base bordo'!H$2:H$746,'Base bordo'!C$2:C$746,A1040,'Base bordo'!B$2:B$746,B1040,'Base bordo'!F$2:F$746,"DESLOCAMENTO CARREGADO"),0)</f>
        <v>0</v>
      </c>
      <c r="U1040" s="10">
        <f>IFERROR(SUMIFS('Base bordo'!I$2:I$746,'Base bordo'!C$2:C$746,A1040,'Base bordo'!B$2:B$746,B1040,'Base bordo'!F$2:F$746,"DESLOCAMENTO CARREGADO"),0)</f>
        <v>0</v>
      </c>
      <c r="V1040" s="30" t="str">
        <f t="shared" si="110"/>
        <v/>
      </c>
      <c r="W1040" s="9">
        <f t="shared" si="111"/>
        <v>0</v>
      </c>
      <c r="X1040" s="9">
        <f t="shared" si="112"/>
        <v>0</v>
      </c>
      <c r="Y1040" s="9">
        <f t="shared" si="113"/>
        <v>0</v>
      </c>
    </row>
    <row r="1041" spans="1:25" ht="15" customHeight="1" x14ac:dyDescent="0.35">
      <c r="A1041" s="52">
        <v>8013485</v>
      </c>
      <c r="B1041" s="51">
        <v>46121</v>
      </c>
      <c r="C1041" s="7" t="s">
        <v>124</v>
      </c>
      <c r="D1041" s="10">
        <f>IFERROR(SUMIFS('Base bordo'!G$2:G$746,'Base bordo'!C$2:C$746,A1041,'Base bordo'!B$2:B$746,B1041,'Base bordo'!F$2:F$746,"DESLOCAMENTO VAZIO"),0)</f>
        <v>0</v>
      </c>
      <c r="E1041" s="10">
        <f>IFERROR(SUMIFS('Base bordo'!G$2:G$746,'Base bordo'!C$2:C$746,A1041,'Base bordo'!B$2:B$746,B1041,'Base bordo'!F$2:F$746,"DESLOCAMENTO CARREGADO"),0)</f>
        <v>7.3888888888888893E-2</v>
      </c>
      <c r="F1041" s="10">
        <f>IFERROR(SUMIFS('Base bordo'!G$2:G$746,'Base bordo'!C$2:C$746,A1041,'Base bordo'!B$2:B$746,B1041,'Base bordo'!F$2:F$746,"DESLOCAMENTO"),0)</f>
        <v>0.89222222222222225</v>
      </c>
      <c r="G1041" s="10">
        <f>IFERROR(SUMIFS('Base bordo'!G$2:G$746,'Base bordo'!C$2:C$746,A1041,'Base bordo'!B$2:B$746,B1041,'Base bordo'!F$2:F$746,"CARREGAMENTO"),0)</f>
        <v>0</v>
      </c>
      <c r="H1041" s="10">
        <f>IFERROR(SUMIFS('Base bordo'!G$2:G$746,'Base bordo'!C$2:C$746,A1041,'Base bordo'!B$2:B$746,B1041,'Base bordo'!F$2:F$746,"AGUARDANDO TRANSBORDO"),0)</f>
        <v>0</v>
      </c>
      <c r="I1041" s="10">
        <f>IFERROR(SUMIFS('Base bordo'!G$2:G$746,'Base bordo'!C$2:C$746,A1041,'Base bordo'!B$2:B$746,B1041,'Base bordo'!F$2:F$746,"PÁTIO INTERNO"),0)+IFERROR(SUMIFS('Base bordo'!G$2:G$746,'Base bordo'!C$2:C$746,A1041,'Base bordo'!B$2:B$746,B1041,'Base bordo'!F$2:F$746,"PÁTIO EXTERNO"),0)+IFERROR(SUMIFS('Base bordo'!G$2:G$746,'Base bordo'!C$2:C$746,A1041,'Base bordo'!B$2:B$746,B1041,'Base bordo'!F$2:F$746,"PATIO - RESERVA"),0)+IFERROR(SUMIFS('Base bordo'!G$2:G$746,'Base bordo'!C$2:C$746,A1041,'Base bordo'!B$2:B$746,B1041,'Base bordo'!F$2:F$746,"MANOBRA CARRETAS-PATIO"),0)</f>
        <v>0</v>
      </c>
      <c r="J1041" s="10">
        <f>IFERROR(SUMIFS('Base bordo'!G$2:G$746,'Base bordo'!C$2:C$746,A1041,'Base bordo'!B$2:B$746,B1041,'Base bordo'!F$2:F$746,"BALANÇA - ENTRADA"),0)+IFERROR(SUMIFS('Base bordo'!G$2:G$746,'Base bordo'!C$2:C$746,A1041,'Base bordo'!B$2:B$746,B1041,'Base bordo'!F$2:F$746,"BALANÇA - SAÍDA"),0)</f>
        <v>0</v>
      </c>
      <c r="K1041" s="10">
        <f>IFERROR(SUMIFS('Base bordo'!G$2:G$746,'Base bordo'!C$2:C$746,A1041,'Base bordo'!B$2:B$746,B1041,'Base bordo'!F$2:F$746,"MAN PREVENTIVA - MECANICA"),0)+IFERROR(SUMIFS('Base bordo'!G$2:G$746,'Base bordo'!C$2:C$746,A1041,'Base bordo'!B$2:B$746,B1041,'Base bordo'!F$2:F$746,"MAN CORRETIVA - MECANICA"),0)</f>
        <v>0</v>
      </c>
      <c r="L1041" s="10">
        <f>IFERROR(SUMIFS('Base bordo'!G$2:G$746,'Base bordo'!C$2:C$746,A1041,'Base bordo'!B$2:B$746,B1041,'Base bordo'!F$2:F$746,"MANUTENCAO - T O"),0)+IFERROR(SUMIFS('Base bordo'!G$2:G$746,'Base bordo'!C$2:C$746,A1041,'Base bordo'!B$2:B$746,B1041,'Base bordo'!F$2:F$746,"MANUTENCAO BORRACHARIA"),0)+IFERROR(SUMIFS('Base bordo'!G$2:G$746,'Base bordo'!C$2:C$746,A1041,'Base bordo'!B$2:B$746,B1041,'Base bordo'!F$2:F$746,"MANUTENCAO EXTERNA  CONCESSIONARIA"),0)+IFERROR(SUMIFS('Base bordo'!G$2:G$746,'Base bordo'!C$2:C$746,A1041,'Base bordo'!B$2:B$746,B1041,'Base bordo'!F$2:F$746,"MANUTENCAO TELEMETRIA"),0)</f>
        <v>0</v>
      </c>
      <c r="M1041" s="10">
        <f>IFERROR(SUMIFS('Base bordo'!G$2:G$746,'Base bordo'!C$2:C$746,A1041,'Base bordo'!B$2:B$746,B1041,'Base bordo'!F$2:F$746,"AGUARDANDO MANUTENCAO"),0)</f>
        <v>0</v>
      </c>
      <c r="N1041" s="10">
        <f>IFERROR(SUMIFS('Base bordo'!G$2:G$746,'Base bordo'!C$2:C$746,A1041,'Base bordo'!B$2:B$746,B1041,'Base bordo'!F$2:F$746,"SEM APONTAMENTO"),0)</f>
        <v>0</v>
      </c>
      <c r="O1041" s="10">
        <f t="shared" si="108"/>
        <v>0</v>
      </c>
      <c r="P1041" s="10">
        <f>IFERROR(SUMIFS('Base bordo'!G$2:G$746,'Base bordo'!C$2:C$746,A1041,'Base bordo'!B$2:B$746,B1041),0)</f>
        <v>0.96611111111111114</v>
      </c>
      <c r="Q1041" s="10">
        <f>IFERROR(SUMIFS('Base bordo'!H$2:H$746,'Base bordo'!C$2:C$746,A1041,'Base bordo'!B$2:B$746,B1041,'Base bordo'!F$2:F$746,"DESLOCAMENTO VAZIO"),0)</f>
        <v>0</v>
      </c>
      <c r="R1041" s="10">
        <f>IFERROR(SUMIFS('Base bordo'!I$2:I$746,'Base bordo'!C$2:C$746,A1041,'Base bordo'!B$2:B$746,B1041,'Base bordo'!F$2:F$746,"DESLOCAMENTO VAZIO"),0)</f>
        <v>0</v>
      </c>
      <c r="S1041" s="30" t="str">
        <f t="shared" si="109"/>
        <v/>
      </c>
      <c r="T1041" s="10">
        <f>IFERROR(SUMIFS('Base bordo'!H$2:H$746,'Base bordo'!C$2:C$746,A1041,'Base bordo'!B$2:B$746,B1041,'Base bordo'!F$2:F$746,"DESLOCAMENTO CARREGADO"),0)</f>
        <v>5423.74</v>
      </c>
      <c r="U1041" s="10">
        <f>IFERROR(SUMIFS('Base bordo'!I$2:I$746,'Base bordo'!C$2:C$746,A1041,'Base bordo'!B$2:B$746,B1041,'Base bordo'!F$2:F$746,"DESLOCAMENTO CARREGADO"),0)</f>
        <v>266</v>
      </c>
      <c r="V1041" s="30">
        <f t="shared" si="110"/>
        <v>20.39</v>
      </c>
      <c r="W1041" s="9">
        <f t="shared" si="111"/>
        <v>0</v>
      </c>
      <c r="X1041" s="9">
        <f t="shared" si="112"/>
        <v>7.648073605520414E-2</v>
      </c>
      <c r="Y1041" s="9">
        <f t="shared" si="113"/>
        <v>0.92351926394479589</v>
      </c>
    </row>
    <row r="1042" spans="1:25" ht="15" customHeight="1" x14ac:dyDescent="0.35">
      <c r="A1042" s="52">
        <v>8013485</v>
      </c>
      <c r="B1042" s="51">
        <v>46121</v>
      </c>
      <c r="C1042" s="7" t="s">
        <v>124</v>
      </c>
      <c r="D1042" s="10">
        <f>IFERROR(SUMIFS('Base bordo'!G$2:G$746,'Base bordo'!C$2:C$746,A1042,'Base bordo'!B$2:B$746,B1042,'Base bordo'!F$2:F$746,"DESLOCAMENTO VAZIO"),0)</f>
        <v>0</v>
      </c>
      <c r="E1042" s="10">
        <f>IFERROR(SUMIFS('Base bordo'!G$2:G$746,'Base bordo'!C$2:C$746,A1042,'Base bordo'!B$2:B$746,B1042,'Base bordo'!F$2:F$746,"DESLOCAMENTO CARREGADO"),0)</f>
        <v>7.3888888888888893E-2</v>
      </c>
      <c r="F1042" s="10">
        <f>IFERROR(SUMIFS('Base bordo'!G$2:G$746,'Base bordo'!C$2:C$746,A1042,'Base bordo'!B$2:B$746,B1042,'Base bordo'!F$2:F$746,"DESLOCAMENTO"),0)</f>
        <v>0.89222222222222225</v>
      </c>
      <c r="G1042" s="10">
        <f>IFERROR(SUMIFS('Base bordo'!G$2:G$746,'Base bordo'!C$2:C$746,A1042,'Base bordo'!B$2:B$746,B1042,'Base bordo'!F$2:F$746,"CARREGAMENTO"),0)</f>
        <v>0</v>
      </c>
      <c r="H1042" s="10">
        <f>IFERROR(SUMIFS('Base bordo'!G$2:G$746,'Base bordo'!C$2:C$746,A1042,'Base bordo'!B$2:B$746,B1042,'Base bordo'!F$2:F$746,"AGUARDANDO TRANSBORDO"),0)</f>
        <v>0</v>
      </c>
      <c r="I1042" s="10">
        <f>IFERROR(SUMIFS('Base bordo'!G$2:G$746,'Base bordo'!C$2:C$746,A1042,'Base bordo'!B$2:B$746,B1042,'Base bordo'!F$2:F$746,"PÁTIO INTERNO"),0)+IFERROR(SUMIFS('Base bordo'!G$2:G$746,'Base bordo'!C$2:C$746,A1042,'Base bordo'!B$2:B$746,B1042,'Base bordo'!F$2:F$746,"PÁTIO EXTERNO"),0)+IFERROR(SUMIFS('Base bordo'!G$2:G$746,'Base bordo'!C$2:C$746,A1042,'Base bordo'!B$2:B$746,B1042,'Base bordo'!F$2:F$746,"PATIO - RESERVA"),0)+IFERROR(SUMIFS('Base bordo'!G$2:G$746,'Base bordo'!C$2:C$746,A1042,'Base bordo'!B$2:B$746,B1042,'Base bordo'!F$2:F$746,"MANOBRA CARRETAS-PATIO"),0)</f>
        <v>0</v>
      </c>
      <c r="J1042" s="10">
        <f>IFERROR(SUMIFS('Base bordo'!G$2:G$746,'Base bordo'!C$2:C$746,A1042,'Base bordo'!B$2:B$746,B1042,'Base bordo'!F$2:F$746,"BALANÇA - ENTRADA"),0)+IFERROR(SUMIFS('Base bordo'!G$2:G$746,'Base bordo'!C$2:C$746,A1042,'Base bordo'!B$2:B$746,B1042,'Base bordo'!F$2:F$746,"BALANÇA - SAÍDA"),0)</f>
        <v>0</v>
      </c>
      <c r="K1042" s="10">
        <f>IFERROR(SUMIFS('Base bordo'!G$2:G$746,'Base bordo'!C$2:C$746,A1042,'Base bordo'!B$2:B$746,B1042,'Base bordo'!F$2:F$746,"MAN PREVENTIVA - MECANICA"),0)+IFERROR(SUMIFS('Base bordo'!G$2:G$746,'Base bordo'!C$2:C$746,A1042,'Base bordo'!B$2:B$746,B1042,'Base bordo'!F$2:F$746,"MAN CORRETIVA - MECANICA"),0)</f>
        <v>0</v>
      </c>
      <c r="L1042" s="10">
        <f>IFERROR(SUMIFS('Base bordo'!G$2:G$746,'Base bordo'!C$2:C$746,A1042,'Base bordo'!B$2:B$746,B1042,'Base bordo'!F$2:F$746,"MANUTENCAO - T O"),0)+IFERROR(SUMIFS('Base bordo'!G$2:G$746,'Base bordo'!C$2:C$746,A1042,'Base bordo'!B$2:B$746,B1042,'Base bordo'!F$2:F$746,"MANUTENCAO BORRACHARIA"),0)+IFERROR(SUMIFS('Base bordo'!G$2:G$746,'Base bordo'!C$2:C$746,A1042,'Base bordo'!B$2:B$746,B1042,'Base bordo'!F$2:F$746,"MANUTENCAO EXTERNA  CONCESSIONARIA"),0)+IFERROR(SUMIFS('Base bordo'!G$2:G$746,'Base bordo'!C$2:C$746,A1042,'Base bordo'!B$2:B$746,B1042,'Base bordo'!F$2:F$746,"MANUTENCAO TELEMETRIA"),0)</f>
        <v>0</v>
      </c>
      <c r="M1042" s="10">
        <f>IFERROR(SUMIFS('Base bordo'!G$2:G$746,'Base bordo'!C$2:C$746,A1042,'Base bordo'!B$2:B$746,B1042,'Base bordo'!F$2:F$746,"AGUARDANDO MANUTENCAO"),0)</f>
        <v>0</v>
      </c>
      <c r="N1042" s="10">
        <f>IFERROR(SUMIFS('Base bordo'!G$2:G$746,'Base bordo'!C$2:C$746,A1042,'Base bordo'!B$2:B$746,B1042,'Base bordo'!F$2:F$746,"SEM APONTAMENTO"),0)</f>
        <v>0</v>
      </c>
      <c r="O1042" s="10">
        <f t="shared" si="108"/>
        <v>0</v>
      </c>
      <c r="P1042" s="10">
        <f>IFERROR(SUMIFS('Base bordo'!G$2:G$746,'Base bordo'!C$2:C$746,A1042,'Base bordo'!B$2:B$746,B1042),0)</f>
        <v>0.96611111111111114</v>
      </c>
      <c r="Q1042" s="10">
        <f>IFERROR(SUMIFS('Base bordo'!H$2:H$746,'Base bordo'!C$2:C$746,A1042,'Base bordo'!B$2:B$746,B1042,'Base bordo'!F$2:F$746,"DESLOCAMENTO VAZIO"),0)</f>
        <v>0</v>
      </c>
      <c r="R1042" s="10">
        <f>IFERROR(SUMIFS('Base bordo'!I$2:I$746,'Base bordo'!C$2:C$746,A1042,'Base bordo'!B$2:B$746,B1042,'Base bordo'!F$2:F$746,"DESLOCAMENTO VAZIO"),0)</f>
        <v>0</v>
      </c>
      <c r="S1042" s="30" t="str">
        <f t="shared" si="109"/>
        <v/>
      </c>
      <c r="T1042" s="10">
        <f>IFERROR(SUMIFS('Base bordo'!H$2:H$746,'Base bordo'!C$2:C$746,A1042,'Base bordo'!B$2:B$746,B1042,'Base bordo'!F$2:F$746,"DESLOCAMENTO CARREGADO"),0)</f>
        <v>5423.74</v>
      </c>
      <c r="U1042" s="10">
        <f>IFERROR(SUMIFS('Base bordo'!I$2:I$746,'Base bordo'!C$2:C$746,A1042,'Base bordo'!B$2:B$746,B1042,'Base bordo'!F$2:F$746,"DESLOCAMENTO CARREGADO"),0)</f>
        <v>266</v>
      </c>
      <c r="V1042" s="30">
        <f t="shared" si="110"/>
        <v>20.39</v>
      </c>
      <c r="W1042" s="9">
        <f t="shared" si="111"/>
        <v>0</v>
      </c>
      <c r="X1042" s="9">
        <f t="shared" si="112"/>
        <v>7.648073605520414E-2</v>
      </c>
      <c r="Y1042" s="9">
        <f t="shared" si="113"/>
        <v>0.92351926394479589</v>
      </c>
    </row>
    <row r="1043" spans="1:25" ht="15" customHeight="1" x14ac:dyDescent="0.35">
      <c r="A1043" s="52">
        <v>8013486</v>
      </c>
      <c r="B1043" s="51">
        <v>46121</v>
      </c>
      <c r="C1043" s="7" t="s">
        <v>124</v>
      </c>
      <c r="D1043" s="10">
        <f>IFERROR(SUMIFS('Base bordo'!G$2:G$746,'Base bordo'!C$2:C$746,A1043,'Base bordo'!B$2:B$746,B1043,'Base bordo'!F$2:F$746,"DESLOCAMENTO VAZIO"),0)</f>
        <v>0</v>
      </c>
      <c r="E1043" s="10">
        <f>IFERROR(SUMIFS('Base bordo'!G$2:G$746,'Base bordo'!C$2:C$746,A1043,'Base bordo'!B$2:B$746,B1043,'Base bordo'!F$2:F$746,"DESLOCAMENTO CARREGADO"),0)</f>
        <v>0</v>
      </c>
      <c r="F1043" s="10">
        <f>IFERROR(SUMIFS('Base bordo'!G$2:G$746,'Base bordo'!C$2:C$746,A1043,'Base bordo'!B$2:B$746,B1043,'Base bordo'!F$2:F$746,"DESLOCAMENTO"),0)</f>
        <v>0</v>
      </c>
      <c r="G1043" s="10">
        <f>IFERROR(SUMIFS('Base bordo'!G$2:G$746,'Base bordo'!C$2:C$746,A1043,'Base bordo'!B$2:B$746,B1043,'Base bordo'!F$2:F$746,"CARREGAMENTO"),0)</f>
        <v>0</v>
      </c>
      <c r="H1043" s="10">
        <f>IFERROR(SUMIFS('Base bordo'!G$2:G$746,'Base bordo'!C$2:C$746,A1043,'Base bordo'!B$2:B$746,B1043,'Base bordo'!F$2:F$746,"AGUARDANDO TRANSBORDO"),0)</f>
        <v>0</v>
      </c>
      <c r="I1043" s="10">
        <f>IFERROR(SUMIFS('Base bordo'!G$2:G$746,'Base bordo'!C$2:C$746,A1043,'Base bordo'!B$2:B$746,B1043,'Base bordo'!F$2:F$746,"PÁTIO INTERNO"),0)+IFERROR(SUMIFS('Base bordo'!G$2:G$746,'Base bordo'!C$2:C$746,A1043,'Base bordo'!B$2:B$746,B1043,'Base bordo'!F$2:F$746,"PÁTIO EXTERNO"),0)+IFERROR(SUMIFS('Base bordo'!G$2:G$746,'Base bordo'!C$2:C$746,A1043,'Base bordo'!B$2:B$746,B1043,'Base bordo'!F$2:F$746,"PATIO - RESERVA"),0)+IFERROR(SUMIFS('Base bordo'!G$2:G$746,'Base bordo'!C$2:C$746,A1043,'Base bordo'!B$2:B$746,B1043,'Base bordo'!F$2:F$746,"MANOBRA CARRETAS-PATIO"),0)</f>
        <v>0</v>
      </c>
      <c r="J1043" s="10">
        <f>IFERROR(SUMIFS('Base bordo'!G$2:G$746,'Base bordo'!C$2:C$746,A1043,'Base bordo'!B$2:B$746,B1043,'Base bordo'!F$2:F$746,"BALANÇA - ENTRADA"),0)+IFERROR(SUMIFS('Base bordo'!G$2:G$746,'Base bordo'!C$2:C$746,A1043,'Base bordo'!B$2:B$746,B1043,'Base bordo'!F$2:F$746,"BALANÇA - SAÍDA"),0)</f>
        <v>0</v>
      </c>
      <c r="K1043" s="10">
        <f>IFERROR(SUMIFS('Base bordo'!G$2:G$746,'Base bordo'!C$2:C$746,A1043,'Base bordo'!B$2:B$746,B1043,'Base bordo'!F$2:F$746,"MAN PREVENTIVA - MECANICA"),0)+IFERROR(SUMIFS('Base bordo'!G$2:G$746,'Base bordo'!C$2:C$746,A1043,'Base bordo'!B$2:B$746,B1043,'Base bordo'!F$2:F$746,"MAN CORRETIVA - MECANICA"),0)</f>
        <v>0</v>
      </c>
      <c r="L1043" s="10">
        <f>IFERROR(SUMIFS('Base bordo'!G$2:G$746,'Base bordo'!C$2:C$746,A1043,'Base bordo'!B$2:B$746,B1043,'Base bordo'!F$2:F$746,"MANUTENCAO - T O"),0)+IFERROR(SUMIFS('Base bordo'!G$2:G$746,'Base bordo'!C$2:C$746,A1043,'Base bordo'!B$2:B$746,B1043,'Base bordo'!F$2:F$746,"MANUTENCAO BORRACHARIA"),0)+IFERROR(SUMIFS('Base bordo'!G$2:G$746,'Base bordo'!C$2:C$746,A1043,'Base bordo'!B$2:B$746,B1043,'Base bordo'!F$2:F$746,"MANUTENCAO EXTERNA  CONCESSIONARIA"),0)+IFERROR(SUMIFS('Base bordo'!G$2:G$746,'Base bordo'!C$2:C$746,A1043,'Base bordo'!B$2:B$746,B1043,'Base bordo'!F$2:F$746,"MANUTENCAO TELEMETRIA"),0)</f>
        <v>0</v>
      </c>
      <c r="M1043" s="10">
        <f>IFERROR(SUMIFS('Base bordo'!G$2:G$746,'Base bordo'!C$2:C$746,A1043,'Base bordo'!B$2:B$746,B1043,'Base bordo'!F$2:F$746,"AGUARDANDO MANUTENCAO"),0)</f>
        <v>0</v>
      </c>
      <c r="N1043" s="10">
        <f>IFERROR(SUMIFS('Base bordo'!G$2:G$746,'Base bordo'!C$2:C$746,A1043,'Base bordo'!B$2:B$746,B1043,'Base bordo'!F$2:F$746,"SEM APONTAMENTO"),0)</f>
        <v>0</v>
      </c>
      <c r="O1043" s="10">
        <f t="shared" si="108"/>
        <v>0</v>
      </c>
      <c r="P1043" s="10">
        <f>IFERROR(SUMIFS('Base bordo'!G$2:G$746,'Base bordo'!C$2:C$746,A1043,'Base bordo'!B$2:B$746,B1043),0)</f>
        <v>0</v>
      </c>
      <c r="Q1043" s="10">
        <f>IFERROR(SUMIFS('Base bordo'!H$2:H$746,'Base bordo'!C$2:C$746,A1043,'Base bordo'!B$2:B$746,B1043,'Base bordo'!F$2:F$746,"DESLOCAMENTO VAZIO"),0)</f>
        <v>0</v>
      </c>
      <c r="R1043" s="10">
        <f>IFERROR(SUMIFS('Base bordo'!I$2:I$746,'Base bordo'!C$2:C$746,A1043,'Base bordo'!B$2:B$746,B1043,'Base bordo'!F$2:F$746,"DESLOCAMENTO VAZIO"),0)</f>
        <v>0</v>
      </c>
      <c r="S1043" s="30" t="str">
        <f t="shared" si="109"/>
        <v/>
      </c>
      <c r="T1043" s="10">
        <f>IFERROR(SUMIFS('Base bordo'!H$2:H$746,'Base bordo'!C$2:C$746,A1043,'Base bordo'!B$2:B$746,B1043,'Base bordo'!F$2:F$746,"DESLOCAMENTO CARREGADO"),0)</f>
        <v>0</v>
      </c>
      <c r="U1043" s="10">
        <f>IFERROR(SUMIFS('Base bordo'!I$2:I$746,'Base bordo'!C$2:C$746,A1043,'Base bordo'!B$2:B$746,B1043,'Base bordo'!F$2:F$746,"DESLOCAMENTO CARREGADO"),0)</f>
        <v>0</v>
      </c>
      <c r="V1043" s="30" t="str">
        <f t="shared" si="110"/>
        <v/>
      </c>
      <c r="W1043" s="9">
        <f t="shared" si="111"/>
        <v>0</v>
      </c>
      <c r="X1043" s="9">
        <f t="shared" si="112"/>
        <v>0</v>
      </c>
      <c r="Y1043" s="9">
        <f t="shared" si="113"/>
        <v>0</v>
      </c>
    </row>
    <row r="1044" spans="1:25" ht="15" customHeight="1" x14ac:dyDescent="0.35">
      <c r="A1044" s="52">
        <v>8013460</v>
      </c>
      <c r="B1044" s="51">
        <v>46122</v>
      </c>
      <c r="C1044" s="7" t="s">
        <v>124</v>
      </c>
      <c r="D1044" s="10">
        <f>IFERROR(SUMIFS('Base bordo'!G$2:G$746,'Base bordo'!C$2:C$746,A1044,'Base bordo'!B$2:B$746,B1044,'Base bordo'!F$2:F$746,"DESLOCAMENTO VAZIO"),0)</f>
        <v>8.2777777777777783E-2</v>
      </c>
      <c r="E1044" s="10">
        <f>IFERROR(SUMIFS('Base bordo'!G$2:G$746,'Base bordo'!C$2:C$746,A1044,'Base bordo'!B$2:B$746,B1044,'Base bordo'!F$2:F$746,"DESLOCAMENTO CARREGADO"),0)</f>
        <v>0</v>
      </c>
      <c r="F1044" s="10">
        <f>IFERROR(SUMIFS('Base bordo'!G$2:G$746,'Base bordo'!C$2:C$746,A1044,'Base bordo'!B$2:B$746,B1044,'Base bordo'!F$2:F$746,"DESLOCAMENTO"),0)</f>
        <v>0</v>
      </c>
      <c r="G1044" s="10">
        <f>IFERROR(SUMIFS('Base bordo'!G$2:G$746,'Base bordo'!C$2:C$746,A1044,'Base bordo'!B$2:B$746,B1044,'Base bordo'!F$2:F$746,"CARREGAMENTO"),0)</f>
        <v>0</v>
      </c>
      <c r="H1044" s="10">
        <f>IFERROR(SUMIFS('Base bordo'!G$2:G$746,'Base bordo'!C$2:C$746,A1044,'Base bordo'!B$2:B$746,B1044,'Base bordo'!F$2:F$746,"AGUARDANDO TRANSBORDO"),0)</f>
        <v>0</v>
      </c>
      <c r="I1044" s="10">
        <f>IFERROR(SUMIFS('Base bordo'!G$2:G$746,'Base bordo'!C$2:C$746,A1044,'Base bordo'!B$2:B$746,B1044,'Base bordo'!F$2:F$746,"PÁTIO INTERNO"),0)+IFERROR(SUMIFS('Base bordo'!G$2:G$746,'Base bordo'!C$2:C$746,A1044,'Base bordo'!B$2:B$746,B1044,'Base bordo'!F$2:F$746,"PÁTIO EXTERNO"),0)+IFERROR(SUMIFS('Base bordo'!G$2:G$746,'Base bordo'!C$2:C$746,A1044,'Base bordo'!B$2:B$746,B1044,'Base bordo'!F$2:F$746,"PATIO - RESERVA"),0)+IFERROR(SUMIFS('Base bordo'!G$2:G$746,'Base bordo'!C$2:C$746,A1044,'Base bordo'!B$2:B$746,B1044,'Base bordo'!F$2:F$746,"MANOBRA CARRETAS-PATIO"),0)</f>
        <v>0</v>
      </c>
      <c r="J1044" s="10">
        <f>IFERROR(SUMIFS('Base bordo'!G$2:G$746,'Base bordo'!C$2:C$746,A1044,'Base bordo'!B$2:B$746,B1044,'Base bordo'!F$2:F$746,"BALANÇA - ENTRADA"),0)+IFERROR(SUMIFS('Base bordo'!G$2:G$746,'Base bordo'!C$2:C$746,A1044,'Base bordo'!B$2:B$746,B1044,'Base bordo'!F$2:F$746,"BALANÇA - SAÍDA"),0)</f>
        <v>0</v>
      </c>
      <c r="K1044" s="10">
        <f>IFERROR(SUMIFS('Base bordo'!G$2:G$746,'Base bordo'!C$2:C$746,A1044,'Base bordo'!B$2:B$746,B1044,'Base bordo'!F$2:F$746,"MAN PREVENTIVA - MECANICA"),0)+IFERROR(SUMIFS('Base bordo'!G$2:G$746,'Base bordo'!C$2:C$746,A1044,'Base bordo'!B$2:B$746,B1044,'Base bordo'!F$2:F$746,"MAN CORRETIVA - MECANICA"),0)</f>
        <v>0</v>
      </c>
      <c r="L1044" s="10">
        <f>IFERROR(SUMIFS('Base bordo'!G$2:G$746,'Base bordo'!C$2:C$746,A1044,'Base bordo'!B$2:B$746,B1044,'Base bordo'!F$2:F$746,"MANUTENCAO - T O"),0)+IFERROR(SUMIFS('Base bordo'!G$2:G$746,'Base bordo'!C$2:C$746,A1044,'Base bordo'!B$2:B$746,B1044,'Base bordo'!F$2:F$746,"MANUTENCAO BORRACHARIA"),0)+IFERROR(SUMIFS('Base bordo'!G$2:G$746,'Base bordo'!C$2:C$746,A1044,'Base bordo'!B$2:B$746,B1044,'Base bordo'!F$2:F$746,"MANUTENCAO EXTERNA  CONCESSIONARIA"),0)+IFERROR(SUMIFS('Base bordo'!G$2:G$746,'Base bordo'!C$2:C$746,A1044,'Base bordo'!B$2:B$746,B1044,'Base bordo'!F$2:F$746,"MANUTENCAO TELEMETRIA"),0)</f>
        <v>0</v>
      </c>
      <c r="M1044" s="10">
        <f>IFERROR(SUMIFS('Base bordo'!G$2:G$746,'Base bordo'!C$2:C$746,A1044,'Base bordo'!B$2:B$746,B1044,'Base bordo'!F$2:F$746,"AGUARDANDO MANUTENCAO"),0)</f>
        <v>0</v>
      </c>
      <c r="N1044" s="10">
        <f>IFERROR(SUMIFS('Base bordo'!G$2:G$746,'Base bordo'!C$2:C$746,A1044,'Base bordo'!B$2:B$746,B1044,'Base bordo'!F$2:F$746,"SEM APONTAMENTO"),0)</f>
        <v>0</v>
      </c>
      <c r="O1044" s="10">
        <f t="shared" si="108"/>
        <v>0</v>
      </c>
      <c r="P1044" s="10">
        <f>IFERROR(SUMIFS('Base bordo'!G$2:G$746,'Base bordo'!C$2:C$746,A1044,'Base bordo'!B$2:B$746,B1044),0)</f>
        <v>8.2777777777777783E-2</v>
      </c>
      <c r="Q1044" s="10">
        <f>IFERROR(SUMIFS('Base bordo'!H$2:H$746,'Base bordo'!C$2:C$746,A1044,'Base bordo'!B$2:B$746,B1044,'Base bordo'!F$2:F$746,"DESLOCAMENTO VAZIO"),0)</f>
        <v>2154.54</v>
      </c>
      <c r="R1044" s="10">
        <f>IFERROR(SUMIFS('Base bordo'!I$2:I$746,'Base bordo'!C$2:C$746,A1044,'Base bordo'!B$2:B$746,B1044,'Base bordo'!F$2:F$746,"DESLOCAMENTO VAZIO"),0)</f>
        <v>298</v>
      </c>
      <c r="S1044" s="30">
        <f t="shared" si="109"/>
        <v>7.2299999999999995</v>
      </c>
      <c r="T1044" s="10">
        <f>IFERROR(SUMIFS('Base bordo'!H$2:H$746,'Base bordo'!C$2:C$746,A1044,'Base bordo'!B$2:B$746,B1044,'Base bordo'!F$2:F$746,"DESLOCAMENTO CARREGADO"),0)</f>
        <v>0</v>
      </c>
      <c r="U1044" s="10">
        <f>IFERROR(SUMIFS('Base bordo'!I$2:I$746,'Base bordo'!C$2:C$746,A1044,'Base bordo'!B$2:B$746,B1044,'Base bordo'!F$2:F$746,"DESLOCAMENTO CARREGADO"),0)</f>
        <v>0</v>
      </c>
      <c r="V1044" s="30" t="str">
        <f t="shared" si="110"/>
        <v/>
      </c>
      <c r="W1044" s="9">
        <f t="shared" si="111"/>
        <v>1</v>
      </c>
      <c r="X1044" s="9">
        <f t="shared" si="112"/>
        <v>0</v>
      </c>
      <c r="Y1044" s="9">
        <f t="shared" si="113"/>
        <v>0</v>
      </c>
    </row>
    <row r="1045" spans="1:25" ht="15" customHeight="1" x14ac:dyDescent="0.35">
      <c r="A1045" s="52">
        <v>8013460</v>
      </c>
      <c r="B1045" s="51">
        <v>46122</v>
      </c>
      <c r="C1045" s="7" t="s">
        <v>124</v>
      </c>
      <c r="D1045" s="10">
        <f>IFERROR(SUMIFS('Base bordo'!G$2:G$746,'Base bordo'!C$2:C$746,A1045,'Base bordo'!B$2:B$746,B1045,'Base bordo'!F$2:F$746,"DESLOCAMENTO VAZIO"),0)</f>
        <v>8.2777777777777783E-2</v>
      </c>
      <c r="E1045" s="10">
        <f>IFERROR(SUMIFS('Base bordo'!G$2:G$746,'Base bordo'!C$2:C$746,A1045,'Base bordo'!B$2:B$746,B1045,'Base bordo'!F$2:F$746,"DESLOCAMENTO CARREGADO"),0)</f>
        <v>0</v>
      </c>
      <c r="F1045" s="10">
        <f>IFERROR(SUMIFS('Base bordo'!G$2:G$746,'Base bordo'!C$2:C$746,A1045,'Base bordo'!B$2:B$746,B1045,'Base bordo'!F$2:F$746,"DESLOCAMENTO"),0)</f>
        <v>0</v>
      </c>
      <c r="G1045" s="10">
        <f>IFERROR(SUMIFS('Base bordo'!G$2:G$746,'Base bordo'!C$2:C$746,A1045,'Base bordo'!B$2:B$746,B1045,'Base bordo'!F$2:F$746,"CARREGAMENTO"),0)</f>
        <v>0</v>
      </c>
      <c r="H1045" s="10">
        <f>IFERROR(SUMIFS('Base bordo'!G$2:G$746,'Base bordo'!C$2:C$746,A1045,'Base bordo'!B$2:B$746,B1045,'Base bordo'!F$2:F$746,"AGUARDANDO TRANSBORDO"),0)</f>
        <v>0</v>
      </c>
      <c r="I1045" s="10">
        <f>IFERROR(SUMIFS('Base bordo'!G$2:G$746,'Base bordo'!C$2:C$746,A1045,'Base bordo'!B$2:B$746,B1045,'Base bordo'!F$2:F$746,"PÁTIO INTERNO"),0)+IFERROR(SUMIFS('Base bordo'!G$2:G$746,'Base bordo'!C$2:C$746,A1045,'Base bordo'!B$2:B$746,B1045,'Base bordo'!F$2:F$746,"PÁTIO EXTERNO"),0)+IFERROR(SUMIFS('Base bordo'!G$2:G$746,'Base bordo'!C$2:C$746,A1045,'Base bordo'!B$2:B$746,B1045,'Base bordo'!F$2:F$746,"PATIO - RESERVA"),0)+IFERROR(SUMIFS('Base bordo'!G$2:G$746,'Base bordo'!C$2:C$746,A1045,'Base bordo'!B$2:B$746,B1045,'Base bordo'!F$2:F$746,"MANOBRA CARRETAS-PATIO"),0)</f>
        <v>0</v>
      </c>
      <c r="J1045" s="10">
        <f>IFERROR(SUMIFS('Base bordo'!G$2:G$746,'Base bordo'!C$2:C$746,A1045,'Base bordo'!B$2:B$746,B1045,'Base bordo'!F$2:F$746,"BALANÇA - ENTRADA"),0)+IFERROR(SUMIFS('Base bordo'!G$2:G$746,'Base bordo'!C$2:C$746,A1045,'Base bordo'!B$2:B$746,B1045,'Base bordo'!F$2:F$746,"BALANÇA - SAÍDA"),0)</f>
        <v>0</v>
      </c>
      <c r="K1045" s="10">
        <f>IFERROR(SUMIFS('Base bordo'!G$2:G$746,'Base bordo'!C$2:C$746,A1045,'Base bordo'!B$2:B$746,B1045,'Base bordo'!F$2:F$746,"MAN PREVENTIVA - MECANICA"),0)+IFERROR(SUMIFS('Base bordo'!G$2:G$746,'Base bordo'!C$2:C$746,A1045,'Base bordo'!B$2:B$746,B1045,'Base bordo'!F$2:F$746,"MAN CORRETIVA - MECANICA"),0)</f>
        <v>0</v>
      </c>
      <c r="L1045" s="10">
        <f>IFERROR(SUMIFS('Base bordo'!G$2:G$746,'Base bordo'!C$2:C$746,A1045,'Base bordo'!B$2:B$746,B1045,'Base bordo'!F$2:F$746,"MANUTENCAO - T O"),0)+IFERROR(SUMIFS('Base bordo'!G$2:G$746,'Base bordo'!C$2:C$746,A1045,'Base bordo'!B$2:B$746,B1045,'Base bordo'!F$2:F$746,"MANUTENCAO BORRACHARIA"),0)+IFERROR(SUMIFS('Base bordo'!G$2:G$746,'Base bordo'!C$2:C$746,A1045,'Base bordo'!B$2:B$746,B1045,'Base bordo'!F$2:F$746,"MANUTENCAO EXTERNA  CONCESSIONARIA"),0)+IFERROR(SUMIFS('Base bordo'!G$2:G$746,'Base bordo'!C$2:C$746,A1045,'Base bordo'!B$2:B$746,B1045,'Base bordo'!F$2:F$746,"MANUTENCAO TELEMETRIA"),0)</f>
        <v>0</v>
      </c>
      <c r="M1045" s="10">
        <f>IFERROR(SUMIFS('Base bordo'!G$2:G$746,'Base bordo'!C$2:C$746,A1045,'Base bordo'!B$2:B$746,B1045,'Base bordo'!F$2:F$746,"AGUARDANDO MANUTENCAO"),0)</f>
        <v>0</v>
      </c>
      <c r="N1045" s="10">
        <f>IFERROR(SUMIFS('Base bordo'!G$2:G$746,'Base bordo'!C$2:C$746,A1045,'Base bordo'!B$2:B$746,B1045,'Base bordo'!F$2:F$746,"SEM APONTAMENTO"),0)</f>
        <v>0</v>
      </c>
      <c r="O1045" s="10">
        <f t="shared" si="108"/>
        <v>0</v>
      </c>
      <c r="P1045" s="10">
        <f>IFERROR(SUMIFS('Base bordo'!G$2:G$746,'Base bordo'!C$2:C$746,A1045,'Base bordo'!B$2:B$746,B1045),0)</f>
        <v>8.2777777777777783E-2</v>
      </c>
      <c r="Q1045" s="10">
        <f>IFERROR(SUMIFS('Base bordo'!H$2:H$746,'Base bordo'!C$2:C$746,A1045,'Base bordo'!B$2:B$746,B1045,'Base bordo'!F$2:F$746,"DESLOCAMENTO VAZIO"),0)</f>
        <v>2154.54</v>
      </c>
      <c r="R1045" s="10">
        <f>IFERROR(SUMIFS('Base bordo'!I$2:I$746,'Base bordo'!C$2:C$746,A1045,'Base bordo'!B$2:B$746,B1045,'Base bordo'!F$2:F$746,"DESLOCAMENTO VAZIO"),0)</f>
        <v>298</v>
      </c>
      <c r="S1045" s="30">
        <f t="shared" si="109"/>
        <v>7.2299999999999995</v>
      </c>
      <c r="T1045" s="10">
        <f>IFERROR(SUMIFS('Base bordo'!H$2:H$746,'Base bordo'!C$2:C$746,A1045,'Base bordo'!B$2:B$746,B1045,'Base bordo'!F$2:F$746,"DESLOCAMENTO CARREGADO"),0)</f>
        <v>0</v>
      </c>
      <c r="U1045" s="10">
        <f>IFERROR(SUMIFS('Base bordo'!I$2:I$746,'Base bordo'!C$2:C$746,A1045,'Base bordo'!B$2:B$746,B1045,'Base bordo'!F$2:F$746,"DESLOCAMENTO CARREGADO"),0)</f>
        <v>0</v>
      </c>
      <c r="V1045" s="30" t="str">
        <f t="shared" si="110"/>
        <v/>
      </c>
      <c r="W1045" s="9">
        <f t="shared" si="111"/>
        <v>1</v>
      </c>
      <c r="X1045" s="9">
        <f t="shared" si="112"/>
        <v>0</v>
      </c>
      <c r="Y1045" s="9">
        <f t="shared" si="113"/>
        <v>0</v>
      </c>
    </row>
    <row r="1046" spans="1:25" ht="15" customHeight="1" x14ac:dyDescent="0.35">
      <c r="A1046" s="52">
        <v>8013460</v>
      </c>
      <c r="B1046" s="51">
        <v>46122</v>
      </c>
      <c r="C1046" s="7" t="s">
        <v>124</v>
      </c>
      <c r="D1046" s="10">
        <f>IFERROR(SUMIFS('Base bordo'!G$2:G$746,'Base bordo'!C$2:C$746,A1046,'Base bordo'!B$2:B$746,B1046,'Base bordo'!F$2:F$746,"DESLOCAMENTO VAZIO"),0)</f>
        <v>8.2777777777777783E-2</v>
      </c>
      <c r="E1046" s="10">
        <f>IFERROR(SUMIFS('Base bordo'!G$2:G$746,'Base bordo'!C$2:C$746,A1046,'Base bordo'!B$2:B$746,B1046,'Base bordo'!F$2:F$746,"DESLOCAMENTO CARREGADO"),0)</f>
        <v>0</v>
      </c>
      <c r="F1046" s="10">
        <f>IFERROR(SUMIFS('Base bordo'!G$2:G$746,'Base bordo'!C$2:C$746,A1046,'Base bordo'!B$2:B$746,B1046,'Base bordo'!F$2:F$746,"DESLOCAMENTO"),0)</f>
        <v>0</v>
      </c>
      <c r="G1046" s="10">
        <f>IFERROR(SUMIFS('Base bordo'!G$2:G$746,'Base bordo'!C$2:C$746,A1046,'Base bordo'!B$2:B$746,B1046,'Base bordo'!F$2:F$746,"CARREGAMENTO"),0)</f>
        <v>0</v>
      </c>
      <c r="H1046" s="10">
        <f>IFERROR(SUMIFS('Base bordo'!G$2:G$746,'Base bordo'!C$2:C$746,A1046,'Base bordo'!B$2:B$746,B1046,'Base bordo'!F$2:F$746,"AGUARDANDO TRANSBORDO"),0)</f>
        <v>0</v>
      </c>
      <c r="I1046" s="10">
        <f>IFERROR(SUMIFS('Base bordo'!G$2:G$746,'Base bordo'!C$2:C$746,A1046,'Base bordo'!B$2:B$746,B1046,'Base bordo'!F$2:F$746,"PÁTIO INTERNO"),0)+IFERROR(SUMIFS('Base bordo'!G$2:G$746,'Base bordo'!C$2:C$746,A1046,'Base bordo'!B$2:B$746,B1046,'Base bordo'!F$2:F$746,"PÁTIO EXTERNO"),0)+IFERROR(SUMIFS('Base bordo'!G$2:G$746,'Base bordo'!C$2:C$746,A1046,'Base bordo'!B$2:B$746,B1046,'Base bordo'!F$2:F$746,"PATIO - RESERVA"),0)+IFERROR(SUMIFS('Base bordo'!G$2:G$746,'Base bordo'!C$2:C$746,A1046,'Base bordo'!B$2:B$746,B1046,'Base bordo'!F$2:F$746,"MANOBRA CARRETAS-PATIO"),0)</f>
        <v>0</v>
      </c>
      <c r="J1046" s="10">
        <f>IFERROR(SUMIFS('Base bordo'!G$2:G$746,'Base bordo'!C$2:C$746,A1046,'Base bordo'!B$2:B$746,B1046,'Base bordo'!F$2:F$746,"BALANÇA - ENTRADA"),0)+IFERROR(SUMIFS('Base bordo'!G$2:G$746,'Base bordo'!C$2:C$746,A1046,'Base bordo'!B$2:B$746,B1046,'Base bordo'!F$2:F$746,"BALANÇA - SAÍDA"),0)</f>
        <v>0</v>
      </c>
      <c r="K1046" s="10">
        <f>IFERROR(SUMIFS('Base bordo'!G$2:G$746,'Base bordo'!C$2:C$746,A1046,'Base bordo'!B$2:B$746,B1046,'Base bordo'!F$2:F$746,"MAN PREVENTIVA - MECANICA"),0)+IFERROR(SUMIFS('Base bordo'!G$2:G$746,'Base bordo'!C$2:C$746,A1046,'Base bordo'!B$2:B$746,B1046,'Base bordo'!F$2:F$746,"MAN CORRETIVA - MECANICA"),0)</f>
        <v>0</v>
      </c>
      <c r="L1046" s="10">
        <f>IFERROR(SUMIFS('Base bordo'!G$2:G$746,'Base bordo'!C$2:C$746,A1046,'Base bordo'!B$2:B$746,B1046,'Base bordo'!F$2:F$746,"MANUTENCAO - T O"),0)+IFERROR(SUMIFS('Base bordo'!G$2:G$746,'Base bordo'!C$2:C$746,A1046,'Base bordo'!B$2:B$746,B1046,'Base bordo'!F$2:F$746,"MANUTENCAO BORRACHARIA"),0)+IFERROR(SUMIFS('Base bordo'!G$2:G$746,'Base bordo'!C$2:C$746,A1046,'Base bordo'!B$2:B$746,B1046,'Base bordo'!F$2:F$746,"MANUTENCAO EXTERNA  CONCESSIONARIA"),0)+IFERROR(SUMIFS('Base bordo'!G$2:G$746,'Base bordo'!C$2:C$746,A1046,'Base bordo'!B$2:B$746,B1046,'Base bordo'!F$2:F$746,"MANUTENCAO TELEMETRIA"),0)</f>
        <v>0</v>
      </c>
      <c r="M1046" s="10">
        <f>IFERROR(SUMIFS('Base bordo'!G$2:G$746,'Base bordo'!C$2:C$746,A1046,'Base bordo'!B$2:B$746,B1046,'Base bordo'!F$2:F$746,"AGUARDANDO MANUTENCAO"),0)</f>
        <v>0</v>
      </c>
      <c r="N1046" s="10">
        <f>IFERROR(SUMIFS('Base bordo'!G$2:G$746,'Base bordo'!C$2:C$746,A1046,'Base bordo'!B$2:B$746,B1046,'Base bordo'!F$2:F$746,"SEM APONTAMENTO"),0)</f>
        <v>0</v>
      </c>
      <c r="O1046" s="10">
        <f t="shared" si="108"/>
        <v>0</v>
      </c>
      <c r="P1046" s="10">
        <f>IFERROR(SUMIFS('Base bordo'!G$2:G$746,'Base bordo'!C$2:C$746,A1046,'Base bordo'!B$2:B$746,B1046),0)</f>
        <v>8.2777777777777783E-2</v>
      </c>
      <c r="Q1046" s="10">
        <f>IFERROR(SUMIFS('Base bordo'!H$2:H$746,'Base bordo'!C$2:C$746,A1046,'Base bordo'!B$2:B$746,B1046,'Base bordo'!F$2:F$746,"DESLOCAMENTO VAZIO"),0)</f>
        <v>2154.54</v>
      </c>
      <c r="R1046" s="10">
        <f>IFERROR(SUMIFS('Base bordo'!I$2:I$746,'Base bordo'!C$2:C$746,A1046,'Base bordo'!B$2:B$746,B1046,'Base bordo'!F$2:F$746,"DESLOCAMENTO VAZIO"),0)</f>
        <v>298</v>
      </c>
      <c r="S1046" s="30">
        <f t="shared" si="109"/>
        <v>7.2299999999999995</v>
      </c>
      <c r="T1046" s="10">
        <f>IFERROR(SUMIFS('Base bordo'!H$2:H$746,'Base bordo'!C$2:C$746,A1046,'Base bordo'!B$2:B$746,B1046,'Base bordo'!F$2:F$746,"DESLOCAMENTO CARREGADO"),0)</f>
        <v>0</v>
      </c>
      <c r="U1046" s="10">
        <f>IFERROR(SUMIFS('Base bordo'!I$2:I$746,'Base bordo'!C$2:C$746,A1046,'Base bordo'!B$2:B$746,B1046,'Base bordo'!F$2:F$746,"DESLOCAMENTO CARREGADO"),0)</f>
        <v>0</v>
      </c>
      <c r="V1046" s="30" t="str">
        <f t="shared" si="110"/>
        <v/>
      </c>
      <c r="W1046" s="9">
        <f t="shared" si="111"/>
        <v>1</v>
      </c>
      <c r="X1046" s="9">
        <f t="shared" si="112"/>
        <v>0</v>
      </c>
      <c r="Y1046" s="9">
        <f t="shared" si="113"/>
        <v>0</v>
      </c>
    </row>
    <row r="1047" spans="1:25" ht="15" customHeight="1" x14ac:dyDescent="0.35">
      <c r="A1047" s="52">
        <v>8013461</v>
      </c>
      <c r="B1047" s="51">
        <v>46122</v>
      </c>
      <c r="C1047" s="7" t="s">
        <v>124</v>
      </c>
      <c r="D1047" s="10">
        <f>IFERROR(SUMIFS('Base bordo'!G$2:G$746,'Base bordo'!C$2:C$746,A1047,'Base bordo'!B$2:B$746,B1047,'Base bordo'!F$2:F$746,"DESLOCAMENTO VAZIO"),0)</f>
        <v>0</v>
      </c>
      <c r="E1047" s="10">
        <f>IFERROR(SUMIFS('Base bordo'!G$2:G$746,'Base bordo'!C$2:C$746,A1047,'Base bordo'!B$2:B$746,B1047,'Base bordo'!F$2:F$746,"DESLOCAMENTO CARREGADO"),0)</f>
        <v>0</v>
      </c>
      <c r="F1047" s="10">
        <f>IFERROR(SUMIFS('Base bordo'!G$2:G$746,'Base bordo'!C$2:C$746,A1047,'Base bordo'!B$2:B$746,B1047,'Base bordo'!F$2:F$746,"DESLOCAMENTO"),0)</f>
        <v>0</v>
      </c>
      <c r="G1047" s="10">
        <f>IFERROR(SUMIFS('Base bordo'!G$2:G$746,'Base bordo'!C$2:C$746,A1047,'Base bordo'!B$2:B$746,B1047,'Base bordo'!F$2:F$746,"CARREGAMENTO"),0)</f>
        <v>0</v>
      </c>
      <c r="H1047" s="10">
        <f>IFERROR(SUMIFS('Base bordo'!G$2:G$746,'Base bordo'!C$2:C$746,A1047,'Base bordo'!B$2:B$746,B1047,'Base bordo'!F$2:F$746,"AGUARDANDO TRANSBORDO"),0)</f>
        <v>0</v>
      </c>
      <c r="I1047" s="10">
        <f>IFERROR(SUMIFS('Base bordo'!G$2:G$746,'Base bordo'!C$2:C$746,A1047,'Base bordo'!B$2:B$746,B1047,'Base bordo'!F$2:F$746,"PÁTIO INTERNO"),0)+IFERROR(SUMIFS('Base bordo'!G$2:G$746,'Base bordo'!C$2:C$746,A1047,'Base bordo'!B$2:B$746,B1047,'Base bordo'!F$2:F$746,"PÁTIO EXTERNO"),0)+IFERROR(SUMIFS('Base bordo'!G$2:G$746,'Base bordo'!C$2:C$746,A1047,'Base bordo'!B$2:B$746,B1047,'Base bordo'!F$2:F$746,"PATIO - RESERVA"),0)+IFERROR(SUMIFS('Base bordo'!G$2:G$746,'Base bordo'!C$2:C$746,A1047,'Base bordo'!B$2:B$746,B1047,'Base bordo'!F$2:F$746,"MANOBRA CARRETAS-PATIO"),0)</f>
        <v>0</v>
      </c>
      <c r="J1047" s="10">
        <f>IFERROR(SUMIFS('Base bordo'!G$2:G$746,'Base bordo'!C$2:C$746,A1047,'Base bordo'!B$2:B$746,B1047,'Base bordo'!F$2:F$746,"BALANÇA - ENTRADA"),0)+IFERROR(SUMIFS('Base bordo'!G$2:G$746,'Base bordo'!C$2:C$746,A1047,'Base bordo'!B$2:B$746,B1047,'Base bordo'!F$2:F$746,"BALANÇA - SAÍDA"),0)</f>
        <v>0</v>
      </c>
      <c r="K1047" s="10">
        <f>IFERROR(SUMIFS('Base bordo'!G$2:G$746,'Base bordo'!C$2:C$746,A1047,'Base bordo'!B$2:B$746,B1047,'Base bordo'!F$2:F$746,"MAN PREVENTIVA - MECANICA"),0)+IFERROR(SUMIFS('Base bordo'!G$2:G$746,'Base bordo'!C$2:C$746,A1047,'Base bordo'!B$2:B$746,B1047,'Base bordo'!F$2:F$746,"MAN CORRETIVA - MECANICA"),0)</f>
        <v>0</v>
      </c>
      <c r="L1047" s="10">
        <f>IFERROR(SUMIFS('Base bordo'!G$2:G$746,'Base bordo'!C$2:C$746,A1047,'Base bordo'!B$2:B$746,B1047,'Base bordo'!F$2:F$746,"MANUTENCAO - T O"),0)+IFERROR(SUMIFS('Base bordo'!G$2:G$746,'Base bordo'!C$2:C$746,A1047,'Base bordo'!B$2:B$746,B1047,'Base bordo'!F$2:F$746,"MANUTENCAO BORRACHARIA"),0)+IFERROR(SUMIFS('Base bordo'!G$2:G$746,'Base bordo'!C$2:C$746,A1047,'Base bordo'!B$2:B$746,B1047,'Base bordo'!F$2:F$746,"MANUTENCAO EXTERNA  CONCESSIONARIA"),0)+IFERROR(SUMIFS('Base bordo'!G$2:G$746,'Base bordo'!C$2:C$746,A1047,'Base bordo'!B$2:B$746,B1047,'Base bordo'!F$2:F$746,"MANUTENCAO TELEMETRIA"),0)</f>
        <v>0</v>
      </c>
      <c r="M1047" s="10">
        <f>IFERROR(SUMIFS('Base bordo'!G$2:G$746,'Base bordo'!C$2:C$746,A1047,'Base bordo'!B$2:B$746,B1047,'Base bordo'!F$2:F$746,"AGUARDANDO MANUTENCAO"),0)</f>
        <v>0</v>
      </c>
      <c r="N1047" s="10">
        <f>IFERROR(SUMIFS('Base bordo'!G$2:G$746,'Base bordo'!C$2:C$746,A1047,'Base bordo'!B$2:B$746,B1047,'Base bordo'!F$2:F$746,"SEM APONTAMENTO"),0)</f>
        <v>0</v>
      </c>
      <c r="O1047" s="10">
        <f t="shared" si="108"/>
        <v>0</v>
      </c>
      <c r="P1047" s="10">
        <f>IFERROR(SUMIFS('Base bordo'!G$2:G$746,'Base bordo'!C$2:C$746,A1047,'Base bordo'!B$2:B$746,B1047),0)</f>
        <v>0</v>
      </c>
      <c r="Q1047" s="10">
        <f>IFERROR(SUMIFS('Base bordo'!H$2:H$746,'Base bordo'!C$2:C$746,A1047,'Base bordo'!B$2:B$746,B1047,'Base bordo'!F$2:F$746,"DESLOCAMENTO VAZIO"),0)</f>
        <v>0</v>
      </c>
      <c r="R1047" s="10">
        <f>IFERROR(SUMIFS('Base bordo'!I$2:I$746,'Base bordo'!C$2:C$746,A1047,'Base bordo'!B$2:B$746,B1047,'Base bordo'!F$2:F$746,"DESLOCAMENTO VAZIO"),0)</f>
        <v>0</v>
      </c>
      <c r="S1047" s="30" t="str">
        <f t="shared" si="109"/>
        <v/>
      </c>
      <c r="T1047" s="10">
        <f>IFERROR(SUMIFS('Base bordo'!H$2:H$746,'Base bordo'!C$2:C$746,A1047,'Base bordo'!B$2:B$746,B1047,'Base bordo'!F$2:F$746,"DESLOCAMENTO CARREGADO"),0)</f>
        <v>0</v>
      </c>
      <c r="U1047" s="10">
        <f>IFERROR(SUMIFS('Base bordo'!I$2:I$746,'Base bordo'!C$2:C$746,A1047,'Base bordo'!B$2:B$746,B1047,'Base bordo'!F$2:F$746,"DESLOCAMENTO CARREGADO"),0)</f>
        <v>0</v>
      </c>
      <c r="V1047" s="30" t="str">
        <f t="shared" si="110"/>
        <v/>
      </c>
      <c r="W1047" s="9">
        <f t="shared" si="111"/>
        <v>0</v>
      </c>
      <c r="X1047" s="9">
        <f t="shared" si="112"/>
        <v>0</v>
      </c>
      <c r="Y1047" s="9">
        <f t="shared" si="113"/>
        <v>0</v>
      </c>
    </row>
    <row r="1048" spans="1:25" ht="15" customHeight="1" x14ac:dyDescent="0.35">
      <c r="A1048" s="52">
        <v>8013461</v>
      </c>
      <c r="B1048" s="51">
        <v>46122</v>
      </c>
      <c r="C1048" s="7" t="s">
        <v>124</v>
      </c>
      <c r="D1048" s="10">
        <f>IFERROR(SUMIFS('Base bordo'!G$2:G$746,'Base bordo'!C$2:C$746,A1048,'Base bordo'!B$2:B$746,B1048,'Base bordo'!F$2:F$746,"DESLOCAMENTO VAZIO"),0)</f>
        <v>0</v>
      </c>
      <c r="E1048" s="10">
        <f>IFERROR(SUMIFS('Base bordo'!G$2:G$746,'Base bordo'!C$2:C$746,A1048,'Base bordo'!B$2:B$746,B1048,'Base bordo'!F$2:F$746,"DESLOCAMENTO CARREGADO"),0)</f>
        <v>0</v>
      </c>
      <c r="F1048" s="10">
        <f>IFERROR(SUMIFS('Base bordo'!G$2:G$746,'Base bordo'!C$2:C$746,A1048,'Base bordo'!B$2:B$746,B1048,'Base bordo'!F$2:F$746,"DESLOCAMENTO"),0)</f>
        <v>0</v>
      </c>
      <c r="G1048" s="10">
        <f>IFERROR(SUMIFS('Base bordo'!G$2:G$746,'Base bordo'!C$2:C$746,A1048,'Base bordo'!B$2:B$746,B1048,'Base bordo'!F$2:F$746,"CARREGAMENTO"),0)</f>
        <v>0</v>
      </c>
      <c r="H1048" s="10">
        <f>IFERROR(SUMIFS('Base bordo'!G$2:G$746,'Base bordo'!C$2:C$746,A1048,'Base bordo'!B$2:B$746,B1048,'Base bordo'!F$2:F$746,"AGUARDANDO TRANSBORDO"),0)</f>
        <v>0</v>
      </c>
      <c r="I1048" s="10">
        <f>IFERROR(SUMIFS('Base bordo'!G$2:G$746,'Base bordo'!C$2:C$746,A1048,'Base bordo'!B$2:B$746,B1048,'Base bordo'!F$2:F$746,"PÁTIO INTERNO"),0)+IFERROR(SUMIFS('Base bordo'!G$2:G$746,'Base bordo'!C$2:C$746,A1048,'Base bordo'!B$2:B$746,B1048,'Base bordo'!F$2:F$746,"PÁTIO EXTERNO"),0)+IFERROR(SUMIFS('Base bordo'!G$2:G$746,'Base bordo'!C$2:C$746,A1048,'Base bordo'!B$2:B$746,B1048,'Base bordo'!F$2:F$746,"PATIO - RESERVA"),0)+IFERROR(SUMIFS('Base bordo'!G$2:G$746,'Base bordo'!C$2:C$746,A1048,'Base bordo'!B$2:B$746,B1048,'Base bordo'!F$2:F$746,"MANOBRA CARRETAS-PATIO"),0)</f>
        <v>0</v>
      </c>
      <c r="J1048" s="10">
        <f>IFERROR(SUMIFS('Base bordo'!G$2:G$746,'Base bordo'!C$2:C$746,A1048,'Base bordo'!B$2:B$746,B1048,'Base bordo'!F$2:F$746,"BALANÇA - ENTRADA"),0)+IFERROR(SUMIFS('Base bordo'!G$2:G$746,'Base bordo'!C$2:C$746,A1048,'Base bordo'!B$2:B$746,B1048,'Base bordo'!F$2:F$746,"BALANÇA - SAÍDA"),0)</f>
        <v>0</v>
      </c>
      <c r="K1048" s="10">
        <f>IFERROR(SUMIFS('Base bordo'!G$2:G$746,'Base bordo'!C$2:C$746,A1048,'Base bordo'!B$2:B$746,B1048,'Base bordo'!F$2:F$746,"MAN PREVENTIVA - MECANICA"),0)+IFERROR(SUMIFS('Base bordo'!G$2:G$746,'Base bordo'!C$2:C$746,A1048,'Base bordo'!B$2:B$746,B1048,'Base bordo'!F$2:F$746,"MAN CORRETIVA - MECANICA"),0)</f>
        <v>0</v>
      </c>
      <c r="L1048" s="10">
        <f>IFERROR(SUMIFS('Base bordo'!G$2:G$746,'Base bordo'!C$2:C$746,A1048,'Base bordo'!B$2:B$746,B1048,'Base bordo'!F$2:F$746,"MANUTENCAO - T O"),0)+IFERROR(SUMIFS('Base bordo'!G$2:G$746,'Base bordo'!C$2:C$746,A1048,'Base bordo'!B$2:B$746,B1048,'Base bordo'!F$2:F$746,"MANUTENCAO BORRACHARIA"),0)+IFERROR(SUMIFS('Base bordo'!G$2:G$746,'Base bordo'!C$2:C$746,A1048,'Base bordo'!B$2:B$746,B1048,'Base bordo'!F$2:F$746,"MANUTENCAO EXTERNA  CONCESSIONARIA"),0)+IFERROR(SUMIFS('Base bordo'!G$2:G$746,'Base bordo'!C$2:C$746,A1048,'Base bordo'!B$2:B$746,B1048,'Base bordo'!F$2:F$746,"MANUTENCAO TELEMETRIA"),0)</f>
        <v>0</v>
      </c>
      <c r="M1048" s="10">
        <f>IFERROR(SUMIFS('Base bordo'!G$2:G$746,'Base bordo'!C$2:C$746,A1048,'Base bordo'!B$2:B$746,B1048,'Base bordo'!F$2:F$746,"AGUARDANDO MANUTENCAO"),0)</f>
        <v>0</v>
      </c>
      <c r="N1048" s="10">
        <f>IFERROR(SUMIFS('Base bordo'!G$2:G$746,'Base bordo'!C$2:C$746,A1048,'Base bordo'!B$2:B$746,B1048,'Base bordo'!F$2:F$746,"SEM APONTAMENTO"),0)</f>
        <v>0</v>
      </c>
      <c r="O1048" s="10">
        <f t="shared" si="108"/>
        <v>0</v>
      </c>
      <c r="P1048" s="10">
        <f>IFERROR(SUMIFS('Base bordo'!G$2:G$746,'Base bordo'!C$2:C$746,A1048,'Base bordo'!B$2:B$746,B1048),0)</f>
        <v>0</v>
      </c>
      <c r="Q1048" s="10">
        <f>IFERROR(SUMIFS('Base bordo'!H$2:H$746,'Base bordo'!C$2:C$746,A1048,'Base bordo'!B$2:B$746,B1048,'Base bordo'!F$2:F$746,"DESLOCAMENTO VAZIO"),0)</f>
        <v>0</v>
      </c>
      <c r="R1048" s="10">
        <f>IFERROR(SUMIFS('Base bordo'!I$2:I$746,'Base bordo'!C$2:C$746,A1048,'Base bordo'!B$2:B$746,B1048,'Base bordo'!F$2:F$746,"DESLOCAMENTO VAZIO"),0)</f>
        <v>0</v>
      </c>
      <c r="S1048" s="30" t="str">
        <f t="shared" si="109"/>
        <v/>
      </c>
      <c r="T1048" s="10">
        <f>IFERROR(SUMIFS('Base bordo'!H$2:H$746,'Base bordo'!C$2:C$746,A1048,'Base bordo'!B$2:B$746,B1048,'Base bordo'!F$2:F$746,"DESLOCAMENTO CARREGADO"),0)</f>
        <v>0</v>
      </c>
      <c r="U1048" s="10">
        <f>IFERROR(SUMIFS('Base bordo'!I$2:I$746,'Base bordo'!C$2:C$746,A1048,'Base bordo'!B$2:B$746,B1048,'Base bordo'!F$2:F$746,"DESLOCAMENTO CARREGADO"),0)</f>
        <v>0</v>
      </c>
      <c r="V1048" s="30" t="str">
        <f t="shared" si="110"/>
        <v/>
      </c>
      <c r="W1048" s="9">
        <f t="shared" si="111"/>
        <v>0</v>
      </c>
      <c r="X1048" s="9">
        <f t="shared" si="112"/>
        <v>0</v>
      </c>
      <c r="Y1048" s="9">
        <f t="shared" si="113"/>
        <v>0</v>
      </c>
    </row>
    <row r="1049" spans="1:25" ht="15" customHeight="1" x14ac:dyDescent="0.35">
      <c r="A1049" s="52">
        <v>8013462</v>
      </c>
      <c r="B1049" s="51">
        <v>46122</v>
      </c>
      <c r="C1049" s="7" t="s">
        <v>124</v>
      </c>
      <c r="D1049" s="10">
        <f>IFERROR(SUMIFS('Base bordo'!G$2:G$746,'Base bordo'!C$2:C$746,A1049,'Base bordo'!B$2:B$746,B1049,'Base bordo'!F$2:F$746,"DESLOCAMENTO VAZIO"),0)</f>
        <v>0.12916666666666668</v>
      </c>
      <c r="E1049" s="10">
        <f>IFERROR(SUMIFS('Base bordo'!G$2:G$746,'Base bordo'!C$2:C$746,A1049,'Base bordo'!B$2:B$746,B1049,'Base bordo'!F$2:F$746,"DESLOCAMENTO CARREGADO"),0)</f>
        <v>0</v>
      </c>
      <c r="F1049" s="10">
        <f>IFERROR(SUMIFS('Base bordo'!G$2:G$746,'Base bordo'!C$2:C$746,A1049,'Base bordo'!B$2:B$746,B1049,'Base bordo'!F$2:F$746,"DESLOCAMENTO"),0)</f>
        <v>0</v>
      </c>
      <c r="G1049" s="10">
        <f>IFERROR(SUMIFS('Base bordo'!G$2:G$746,'Base bordo'!C$2:C$746,A1049,'Base bordo'!B$2:B$746,B1049,'Base bordo'!F$2:F$746,"CARREGAMENTO"),0)</f>
        <v>0</v>
      </c>
      <c r="H1049" s="10">
        <f>IFERROR(SUMIFS('Base bordo'!G$2:G$746,'Base bordo'!C$2:C$746,A1049,'Base bordo'!B$2:B$746,B1049,'Base bordo'!F$2:F$746,"AGUARDANDO TRANSBORDO"),0)</f>
        <v>0</v>
      </c>
      <c r="I1049" s="10">
        <f>IFERROR(SUMIFS('Base bordo'!G$2:G$746,'Base bordo'!C$2:C$746,A1049,'Base bordo'!B$2:B$746,B1049,'Base bordo'!F$2:F$746,"PÁTIO INTERNO"),0)+IFERROR(SUMIFS('Base bordo'!G$2:G$746,'Base bordo'!C$2:C$746,A1049,'Base bordo'!B$2:B$746,B1049,'Base bordo'!F$2:F$746,"PÁTIO EXTERNO"),0)+IFERROR(SUMIFS('Base bordo'!G$2:G$746,'Base bordo'!C$2:C$746,A1049,'Base bordo'!B$2:B$746,B1049,'Base bordo'!F$2:F$746,"PATIO - RESERVA"),0)+IFERROR(SUMIFS('Base bordo'!G$2:G$746,'Base bordo'!C$2:C$746,A1049,'Base bordo'!B$2:B$746,B1049,'Base bordo'!F$2:F$746,"MANOBRA CARRETAS-PATIO"),0)</f>
        <v>0</v>
      </c>
      <c r="J1049" s="10">
        <f>IFERROR(SUMIFS('Base bordo'!G$2:G$746,'Base bordo'!C$2:C$746,A1049,'Base bordo'!B$2:B$746,B1049,'Base bordo'!F$2:F$746,"BALANÇA - ENTRADA"),0)+IFERROR(SUMIFS('Base bordo'!G$2:G$746,'Base bordo'!C$2:C$746,A1049,'Base bordo'!B$2:B$746,B1049,'Base bordo'!F$2:F$746,"BALANÇA - SAÍDA"),0)</f>
        <v>0</v>
      </c>
      <c r="K1049" s="10">
        <f>IFERROR(SUMIFS('Base bordo'!G$2:G$746,'Base bordo'!C$2:C$746,A1049,'Base bordo'!B$2:B$746,B1049,'Base bordo'!F$2:F$746,"MAN PREVENTIVA - MECANICA"),0)+IFERROR(SUMIFS('Base bordo'!G$2:G$746,'Base bordo'!C$2:C$746,A1049,'Base bordo'!B$2:B$746,B1049,'Base bordo'!F$2:F$746,"MAN CORRETIVA - MECANICA"),0)</f>
        <v>0</v>
      </c>
      <c r="L1049" s="10">
        <f>IFERROR(SUMIFS('Base bordo'!G$2:G$746,'Base bordo'!C$2:C$746,A1049,'Base bordo'!B$2:B$746,B1049,'Base bordo'!F$2:F$746,"MANUTENCAO - T O"),0)+IFERROR(SUMIFS('Base bordo'!G$2:G$746,'Base bordo'!C$2:C$746,A1049,'Base bordo'!B$2:B$746,B1049,'Base bordo'!F$2:F$746,"MANUTENCAO BORRACHARIA"),0)+IFERROR(SUMIFS('Base bordo'!G$2:G$746,'Base bordo'!C$2:C$746,A1049,'Base bordo'!B$2:B$746,B1049,'Base bordo'!F$2:F$746,"MANUTENCAO EXTERNA  CONCESSIONARIA"),0)+IFERROR(SUMIFS('Base bordo'!G$2:G$746,'Base bordo'!C$2:C$746,A1049,'Base bordo'!B$2:B$746,B1049,'Base bordo'!F$2:F$746,"MANUTENCAO TELEMETRIA"),0)</f>
        <v>0</v>
      </c>
      <c r="M1049" s="10">
        <f>IFERROR(SUMIFS('Base bordo'!G$2:G$746,'Base bordo'!C$2:C$746,A1049,'Base bordo'!B$2:B$746,B1049,'Base bordo'!F$2:F$746,"AGUARDANDO MANUTENCAO"),0)</f>
        <v>0</v>
      </c>
      <c r="N1049" s="10">
        <f>IFERROR(SUMIFS('Base bordo'!G$2:G$746,'Base bordo'!C$2:C$746,A1049,'Base bordo'!B$2:B$746,B1049,'Base bordo'!F$2:F$746,"SEM APONTAMENTO"),0)</f>
        <v>0</v>
      </c>
      <c r="O1049" s="10">
        <f t="shared" si="108"/>
        <v>0</v>
      </c>
      <c r="P1049" s="10">
        <f>IFERROR(SUMIFS('Base bordo'!G$2:G$746,'Base bordo'!C$2:C$746,A1049,'Base bordo'!B$2:B$746,B1049),0)</f>
        <v>0.12916666666666668</v>
      </c>
      <c r="Q1049" s="10">
        <f>IFERROR(SUMIFS('Base bordo'!H$2:H$746,'Base bordo'!C$2:C$746,A1049,'Base bordo'!B$2:B$746,B1049,'Base bordo'!F$2:F$746,"DESLOCAMENTO VAZIO"),0)</f>
        <v>8718.75</v>
      </c>
      <c r="R1049" s="10">
        <f>IFERROR(SUMIFS('Base bordo'!I$2:I$746,'Base bordo'!C$2:C$746,A1049,'Base bordo'!B$2:B$746,B1049,'Base bordo'!F$2:F$746,"DESLOCAMENTO VAZIO"),0)</f>
        <v>465</v>
      </c>
      <c r="S1049" s="30">
        <f t="shared" si="109"/>
        <v>18.75</v>
      </c>
      <c r="T1049" s="10">
        <f>IFERROR(SUMIFS('Base bordo'!H$2:H$746,'Base bordo'!C$2:C$746,A1049,'Base bordo'!B$2:B$746,B1049,'Base bordo'!F$2:F$746,"DESLOCAMENTO CARREGADO"),0)</f>
        <v>0</v>
      </c>
      <c r="U1049" s="10">
        <f>IFERROR(SUMIFS('Base bordo'!I$2:I$746,'Base bordo'!C$2:C$746,A1049,'Base bordo'!B$2:B$746,B1049,'Base bordo'!F$2:F$746,"DESLOCAMENTO CARREGADO"),0)</f>
        <v>0</v>
      </c>
      <c r="V1049" s="30" t="str">
        <f t="shared" si="110"/>
        <v/>
      </c>
      <c r="W1049" s="9">
        <f t="shared" si="111"/>
        <v>1</v>
      </c>
      <c r="X1049" s="9">
        <f t="shared" si="112"/>
        <v>0</v>
      </c>
      <c r="Y1049" s="9">
        <f t="shared" si="113"/>
        <v>0</v>
      </c>
    </row>
    <row r="1050" spans="1:25" ht="15" customHeight="1" x14ac:dyDescent="0.35">
      <c r="A1050" s="52">
        <v>8013465</v>
      </c>
      <c r="B1050" s="51">
        <v>46122</v>
      </c>
      <c r="C1050" s="7" t="s">
        <v>124</v>
      </c>
      <c r="D1050" s="10">
        <f>IFERROR(SUMIFS('Base bordo'!G$2:G$746,'Base bordo'!C$2:C$746,A1050,'Base bordo'!B$2:B$746,B1050,'Base bordo'!F$2:F$746,"DESLOCAMENTO VAZIO"),0)</f>
        <v>0</v>
      </c>
      <c r="E1050" s="10">
        <f>IFERROR(SUMIFS('Base bordo'!G$2:G$746,'Base bordo'!C$2:C$746,A1050,'Base bordo'!B$2:B$746,B1050,'Base bordo'!F$2:F$746,"DESLOCAMENTO CARREGADO"),0)</f>
        <v>0</v>
      </c>
      <c r="F1050" s="10">
        <f>IFERROR(SUMIFS('Base bordo'!G$2:G$746,'Base bordo'!C$2:C$746,A1050,'Base bordo'!B$2:B$746,B1050,'Base bordo'!F$2:F$746,"DESLOCAMENTO"),0)</f>
        <v>0</v>
      </c>
      <c r="G1050" s="10">
        <f>IFERROR(SUMIFS('Base bordo'!G$2:G$746,'Base bordo'!C$2:C$746,A1050,'Base bordo'!B$2:B$746,B1050,'Base bordo'!F$2:F$746,"CARREGAMENTO"),0)</f>
        <v>0</v>
      </c>
      <c r="H1050" s="10">
        <f>IFERROR(SUMIFS('Base bordo'!G$2:G$746,'Base bordo'!C$2:C$746,A1050,'Base bordo'!B$2:B$746,B1050,'Base bordo'!F$2:F$746,"AGUARDANDO TRANSBORDO"),0)</f>
        <v>0</v>
      </c>
      <c r="I1050" s="10">
        <f>IFERROR(SUMIFS('Base bordo'!G$2:G$746,'Base bordo'!C$2:C$746,A1050,'Base bordo'!B$2:B$746,B1050,'Base bordo'!F$2:F$746,"PÁTIO INTERNO"),0)+IFERROR(SUMIFS('Base bordo'!G$2:G$746,'Base bordo'!C$2:C$746,A1050,'Base bordo'!B$2:B$746,B1050,'Base bordo'!F$2:F$746,"PÁTIO EXTERNO"),0)+IFERROR(SUMIFS('Base bordo'!G$2:G$746,'Base bordo'!C$2:C$746,A1050,'Base bordo'!B$2:B$746,B1050,'Base bordo'!F$2:F$746,"PATIO - RESERVA"),0)+IFERROR(SUMIFS('Base bordo'!G$2:G$746,'Base bordo'!C$2:C$746,A1050,'Base bordo'!B$2:B$746,B1050,'Base bordo'!F$2:F$746,"MANOBRA CARRETAS-PATIO"),0)</f>
        <v>0</v>
      </c>
      <c r="J1050" s="10">
        <f>IFERROR(SUMIFS('Base bordo'!G$2:G$746,'Base bordo'!C$2:C$746,A1050,'Base bordo'!B$2:B$746,B1050,'Base bordo'!F$2:F$746,"BALANÇA - ENTRADA"),0)+IFERROR(SUMIFS('Base bordo'!G$2:G$746,'Base bordo'!C$2:C$746,A1050,'Base bordo'!B$2:B$746,B1050,'Base bordo'!F$2:F$746,"BALANÇA - SAÍDA"),0)</f>
        <v>0</v>
      </c>
      <c r="K1050" s="10">
        <f>IFERROR(SUMIFS('Base bordo'!G$2:G$746,'Base bordo'!C$2:C$746,A1050,'Base bordo'!B$2:B$746,B1050,'Base bordo'!F$2:F$746,"MAN PREVENTIVA - MECANICA"),0)+IFERROR(SUMIFS('Base bordo'!G$2:G$746,'Base bordo'!C$2:C$746,A1050,'Base bordo'!B$2:B$746,B1050,'Base bordo'!F$2:F$746,"MAN CORRETIVA - MECANICA"),0)</f>
        <v>0</v>
      </c>
      <c r="L1050" s="10">
        <f>IFERROR(SUMIFS('Base bordo'!G$2:G$746,'Base bordo'!C$2:C$746,A1050,'Base bordo'!B$2:B$746,B1050,'Base bordo'!F$2:F$746,"MANUTENCAO - T O"),0)+IFERROR(SUMIFS('Base bordo'!G$2:G$746,'Base bordo'!C$2:C$746,A1050,'Base bordo'!B$2:B$746,B1050,'Base bordo'!F$2:F$746,"MANUTENCAO BORRACHARIA"),0)+IFERROR(SUMIFS('Base bordo'!G$2:G$746,'Base bordo'!C$2:C$746,A1050,'Base bordo'!B$2:B$746,B1050,'Base bordo'!F$2:F$746,"MANUTENCAO EXTERNA  CONCESSIONARIA"),0)+IFERROR(SUMIFS('Base bordo'!G$2:G$746,'Base bordo'!C$2:C$746,A1050,'Base bordo'!B$2:B$746,B1050,'Base bordo'!F$2:F$746,"MANUTENCAO TELEMETRIA"),0)</f>
        <v>0</v>
      </c>
      <c r="M1050" s="10">
        <f>IFERROR(SUMIFS('Base bordo'!G$2:G$746,'Base bordo'!C$2:C$746,A1050,'Base bordo'!B$2:B$746,B1050,'Base bordo'!F$2:F$746,"AGUARDANDO MANUTENCAO"),0)</f>
        <v>0</v>
      </c>
      <c r="N1050" s="10">
        <f>IFERROR(SUMIFS('Base bordo'!G$2:G$746,'Base bordo'!C$2:C$746,A1050,'Base bordo'!B$2:B$746,B1050,'Base bordo'!F$2:F$746,"SEM APONTAMENTO"),0)</f>
        <v>0</v>
      </c>
      <c r="O1050" s="10">
        <f t="shared" si="108"/>
        <v>0</v>
      </c>
      <c r="P1050" s="10">
        <f>IFERROR(SUMIFS('Base bordo'!G$2:G$746,'Base bordo'!C$2:C$746,A1050,'Base bordo'!B$2:B$746,B1050),0)</f>
        <v>0</v>
      </c>
      <c r="Q1050" s="10">
        <f>IFERROR(SUMIFS('Base bordo'!H$2:H$746,'Base bordo'!C$2:C$746,A1050,'Base bordo'!B$2:B$746,B1050,'Base bordo'!F$2:F$746,"DESLOCAMENTO VAZIO"),0)</f>
        <v>0</v>
      </c>
      <c r="R1050" s="10">
        <f>IFERROR(SUMIFS('Base bordo'!I$2:I$746,'Base bordo'!C$2:C$746,A1050,'Base bordo'!B$2:B$746,B1050,'Base bordo'!F$2:F$746,"DESLOCAMENTO VAZIO"),0)</f>
        <v>0</v>
      </c>
      <c r="S1050" s="30" t="str">
        <f t="shared" si="109"/>
        <v/>
      </c>
      <c r="T1050" s="10">
        <f>IFERROR(SUMIFS('Base bordo'!H$2:H$746,'Base bordo'!C$2:C$746,A1050,'Base bordo'!B$2:B$746,B1050,'Base bordo'!F$2:F$746,"DESLOCAMENTO CARREGADO"),0)</f>
        <v>0</v>
      </c>
      <c r="U1050" s="10">
        <f>IFERROR(SUMIFS('Base bordo'!I$2:I$746,'Base bordo'!C$2:C$746,A1050,'Base bordo'!B$2:B$746,B1050,'Base bordo'!F$2:F$746,"DESLOCAMENTO CARREGADO"),0)</f>
        <v>0</v>
      </c>
      <c r="V1050" s="30" t="str">
        <f t="shared" si="110"/>
        <v/>
      </c>
      <c r="W1050" s="9">
        <f t="shared" si="111"/>
        <v>0</v>
      </c>
      <c r="X1050" s="9">
        <f t="shared" si="112"/>
        <v>0</v>
      </c>
      <c r="Y1050" s="9">
        <f t="shared" si="113"/>
        <v>0</v>
      </c>
    </row>
    <row r="1051" spans="1:25" ht="15" customHeight="1" x14ac:dyDescent="0.35">
      <c r="A1051" s="52">
        <v>8013465</v>
      </c>
      <c r="B1051" s="51">
        <v>46122</v>
      </c>
      <c r="C1051" s="7" t="s">
        <v>124</v>
      </c>
      <c r="D1051" s="10">
        <f>IFERROR(SUMIFS('Base bordo'!G$2:G$746,'Base bordo'!C$2:C$746,A1051,'Base bordo'!B$2:B$746,B1051,'Base bordo'!F$2:F$746,"DESLOCAMENTO VAZIO"),0)</f>
        <v>0</v>
      </c>
      <c r="E1051" s="10">
        <f>IFERROR(SUMIFS('Base bordo'!G$2:G$746,'Base bordo'!C$2:C$746,A1051,'Base bordo'!B$2:B$746,B1051,'Base bordo'!F$2:F$746,"DESLOCAMENTO CARREGADO"),0)</f>
        <v>0</v>
      </c>
      <c r="F1051" s="10">
        <f>IFERROR(SUMIFS('Base bordo'!G$2:G$746,'Base bordo'!C$2:C$746,A1051,'Base bordo'!B$2:B$746,B1051,'Base bordo'!F$2:F$746,"DESLOCAMENTO"),0)</f>
        <v>0</v>
      </c>
      <c r="G1051" s="10">
        <f>IFERROR(SUMIFS('Base bordo'!G$2:G$746,'Base bordo'!C$2:C$746,A1051,'Base bordo'!B$2:B$746,B1051,'Base bordo'!F$2:F$746,"CARREGAMENTO"),0)</f>
        <v>0</v>
      </c>
      <c r="H1051" s="10">
        <f>IFERROR(SUMIFS('Base bordo'!G$2:G$746,'Base bordo'!C$2:C$746,A1051,'Base bordo'!B$2:B$746,B1051,'Base bordo'!F$2:F$746,"AGUARDANDO TRANSBORDO"),0)</f>
        <v>0</v>
      </c>
      <c r="I1051" s="10">
        <f>IFERROR(SUMIFS('Base bordo'!G$2:G$746,'Base bordo'!C$2:C$746,A1051,'Base bordo'!B$2:B$746,B1051,'Base bordo'!F$2:F$746,"PÁTIO INTERNO"),0)+IFERROR(SUMIFS('Base bordo'!G$2:G$746,'Base bordo'!C$2:C$746,A1051,'Base bordo'!B$2:B$746,B1051,'Base bordo'!F$2:F$746,"PÁTIO EXTERNO"),0)+IFERROR(SUMIFS('Base bordo'!G$2:G$746,'Base bordo'!C$2:C$746,A1051,'Base bordo'!B$2:B$746,B1051,'Base bordo'!F$2:F$746,"PATIO - RESERVA"),0)+IFERROR(SUMIFS('Base bordo'!G$2:G$746,'Base bordo'!C$2:C$746,A1051,'Base bordo'!B$2:B$746,B1051,'Base bordo'!F$2:F$746,"MANOBRA CARRETAS-PATIO"),0)</f>
        <v>0</v>
      </c>
      <c r="J1051" s="10">
        <f>IFERROR(SUMIFS('Base bordo'!G$2:G$746,'Base bordo'!C$2:C$746,A1051,'Base bordo'!B$2:B$746,B1051,'Base bordo'!F$2:F$746,"BALANÇA - ENTRADA"),0)+IFERROR(SUMIFS('Base bordo'!G$2:G$746,'Base bordo'!C$2:C$746,A1051,'Base bordo'!B$2:B$746,B1051,'Base bordo'!F$2:F$746,"BALANÇA - SAÍDA"),0)</f>
        <v>0</v>
      </c>
      <c r="K1051" s="10">
        <f>IFERROR(SUMIFS('Base bordo'!G$2:G$746,'Base bordo'!C$2:C$746,A1051,'Base bordo'!B$2:B$746,B1051,'Base bordo'!F$2:F$746,"MAN PREVENTIVA - MECANICA"),0)+IFERROR(SUMIFS('Base bordo'!G$2:G$746,'Base bordo'!C$2:C$746,A1051,'Base bordo'!B$2:B$746,B1051,'Base bordo'!F$2:F$746,"MAN CORRETIVA - MECANICA"),0)</f>
        <v>0</v>
      </c>
      <c r="L1051" s="10">
        <f>IFERROR(SUMIFS('Base bordo'!G$2:G$746,'Base bordo'!C$2:C$746,A1051,'Base bordo'!B$2:B$746,B1051,'Base bordo'!F$2:F$746,"MANUTENCAO - T O"),0)+IFERROR(SUMIFS('Base bordo'!G$2:G$746,'Base bordo'!C$2:C$746,A1051,'Base bordo'!B$2:B$746,B1051,'Base bordo'!F$2:F$746,"MANUTENCAO BORRACHARIA"),0)+IFERROR(SUMIFS('Base bordo'!G$2:G$746,'Base bordo'!C$2:C$746,A1051,'Base bordo'!B$2:B$746,B1051,'Base bordo'!F$2:F$746,"MANUTENCAO EXTERNA  CONCESSIONARIA"),0)+IFERROR(SUMIFS('Base bordo'!G$2:G$746,'Base bordo'!C$2:C$746,A1051,'Base bordo'!B$2:B$746,B1051,'Base bordo'!F$2:F$746,"MANUTENCAO TELEMETRIA"),0)</f>
        <v>0</v>
      </c>
      <c r="M1051" s="10">
        <f>IFERROR(SUMIFS('Base bordo'!G$2:G$746,'Base bordo'!C$2:C$746,A1051,'Base bordo'!B$2:B$746,B1051,'Base bordo'!F$2:F$746,"AGUARDANDO MANUTENCAO"),0)</f>
        <v>0</v>
      </c>
      <c r="N1051" s="10">
        <f>IFERROR(SUMIFS('Base bordo'!G$2:G$746,'Base bordo'!C$2:C$746,A1051,'Base bordo'!B$2:B$746,B1051,'Base bordo'!F$2:F$746,"SEM APONTAMENTO"),0)</f>
        <v>0</v>
      </c>
      <c r="O1051" s="10">
        <f t="shared" si="108"/>
        <v>0</v>
      </c>
      <c r="P1051" s="10">
        <f>IFERROR(SUMIFS('Base bordo'!G$2:G$746,'Base bordo'!C$2:C$746,A1051,'Base bordo'!B$2:B$746,B1051),0)</f>
        <v>0</v>
      </c>
      <c r="Q1051" s="10">
        <f>IFERROR(SUMIFS('Base bordo'!H$2:H$746,'Base bordo'!C$2:C$746,A1051,'Base bordo'!B$2:B$746,B1051,'Base bordo'!F$2:F$746,"DESLOCAMENTO VAZIO"),0)</f>
        <v>0</v>
      </c>
      <c r="R1051" s="10">
        <f>IFERROR(SUMIFS('Base bordo'!I$2:I$746,'Base bordo'!C$2:C$746,A1051,'Base bordo'!B$2:B$746,B1051,'Base bordo'!F$2:F$746,"DESLOCAMENTO VAZIO"),0)</f>
        <v>0</v>
      </c>
      <c r="S1051" s="30" t="str">
        <f t="shared" si="109"/>
        <v/>
      </c>
      <c r="T1051" s="10">
        <f>IFERROR(SUMIFS('Base bordo'!H$2:H$746,'Base bordo'!C$2:C$746,A1051,'Base bordo'!B$2:B$746,B1051,'Base bordo'!F$2:F$746,"DESLOCAMENTO CARREGADO"),0)</f>
        <v>0</v>
      </c>
      <c r="U1051" s="10">
        <f>IFERROR(SUMIFS('Base bordo'!I$2:I$746,'Base bordo'!C$2:C$746,A1051,'Base bordo'!B$2:B$746,B1051,'Base bordo'!F$2:F$746,"DESLOCAMENTO CARREGADO"),0)</f>
        <v>0</v>
      </c>
      <c r="V1051" s="30" t="str">
        <f t="shared" si="110"/>
        <v/>
      </c>
      <c r="W1051" s="9">
        <f t="shared" si="111"/>
        <v>0</v>
      </c>
      <c r="X1051" s="9">
        <f t="shared" si="112"/>
        <v>0</v>
      </c>
      <c r="Y1051" s="9">
        <f t="shared" si="113"/>
        <v>0</v>
      </c>
    </row>
    <row r="1052" spans="1:25" ht="15" customHeight="1" x14ac:dyDescent="0.35">
      <c r="A1052" s="52">
        <v>8013465</v>
      </c>
      <c r="B1052" s="51">
        <v>46122</v>
      </c>
      <c r="C1052" s="7" t="s">
        <v>124</v>
      </c>
      <c r="D1052" s="10">
        <f>IFERROR(SUMIFS('Base bordo'!G$2:G$746,'Base bordo'!C$2:C$746,A1052,'Base bordo'!B$2:B$746,B1052,'Base bordo'!F$2:F$746,"DESLOCAMENTO VAZIO"),0)</f>
        <v>0</v>
      </c>
      <c r="E1052" s="10">
        <f>IFERROR(SUMIFS('Base bordo'!G$2:G$746,'Base bordo'!C$2:C$746,A1052,'Base bordo'!B$2:B$746,B1052,'Base bordo'!F$2:F$746,"DESLOCAMENTO CARREGADO"),0)</f>
        <v>0</v>
      </c>
      <c r="F1052" s="10">
        <f>IFERROR(SUMIFS('Base bordo'!G$2:G$746,'Base bordo'!C$2:C$746,A1052,'Base bordo'!B$2:B$746,B1052,'Base bordo'!F$2:F$746,"DESLOCAMENTO"),0)</f>
        <v>0</v>
      </c>
      <c r="G1052" s="10">
        <f>IFERROR(SUMIFS('Base bordo'!G$2:G$746,'Base bordo'!C$2:C$746,A1052,'Base bordo'!B$2:B$746,B1052,'Base bordo'!F$2:F$746,"CARREGAMENTO"),0)</f>
        <v>0</v>
      </c>
      <c r="H1052" s="10">
        <f>IFERROR(SUMIFS('Base bordo'!G$2:G$746,'Base bordo'!C$2:C$746,A1052,'Base bordo'!B$2:B$746,B1052,'Base bordo'!F$2:F$746,"AGUARDANDO TRANSBORDO"),0)</f>
        <v>0</v>
      </c>
      <c r="I1052" s="10">
        <f>IFERROR(SUMIFS('Base bordo'!G$2:G$746,'Base bordo'!C$2:C$746,A1052,'Base bordo'!B$2:B$746,B1052,'Base bordo'!F$2:F$746,"PÁTIO INTERNO"),0)+IFERROR(SUMIFS('Base bordo'!G$2:G$746,'Base bordo'!C$2:C$746,A1052,'Base bordo'!B$2:B$746,B1052,'Base bordo'!F$2:F$746,"PÁTIO EXTERNO"),0)+IFERROR(SUMIFS('Base bordo'!G$2:G$746,'Base bordo'!C$2:C$746,A1052,'Base bordo'!B$2:B$746,B1052,'Base bordo'!F$2:F$746,"PATIO - RESERVA"),0)+IFERROR(SUMIFS('Base bordo'!G$2:G$746,'Base bordo'!C$2:C$746,A1052,'Base bordo'!B$2:B$746,B1052,'Base bordo'!F$2:F$746,"MANOBRA CARRETAS-PATIO"),0)</f>
        <v>0</v>
      </c>
      <c r="J1052" s="10">
        <f>IFERROR(SUMIFS('Base bordo'!G$2:G$746,'Base bordo'!C$2:C$746,A1052,'Base bordo'!B$2:B$746,B1052,'Base bordo'!F$2:F$746,"BALANÇA - ENTRADA"),0)+IFERROR(SUMIFS('Base bordo'!G$2:G$746,'Base bordo'!C$2:C$746,A1052,'Base bordo'!B$2:B$746,B1052,'Base bordo'!F$2:F$746,"BALANÇA - SAÍDA"),0)</f>
        <v>0</v>
      </c>
      <c r="K1052" s="10">
        <f>IFERROR(SUMIFS('Base bordo'!G$2:G$746,'Base bordo'!C$2:C$746,A1052,'Base bordo'!B$2:B$746,B1052,'Base bordo'!F$2:F$746,"MAN PREVENTIVA - MECANICA"),0)+IFERROR(SUMIFS('Base bordo'!G$2:G$746,'Base bordo'!C$2:C$746,A1052,'Base bordo'!B$2:B$746,B1052,'Base bordo'!F$2:F$746,"MAN CORRETIVA - MECANICA"),0)</f>
        <v>0</v>
      </c>
      <c r="L1052" s="10">
        <f>IFERROR(SUMIFS('Base bordo'!G$2:G$746,'Base bordo'!C$2:C$746,A1052,'Base bordo'!B$2:B$746,B1052,'Base bordo'!F$2:F$746,"MANUTENCAO - T O"),0)+IFERROR(SUMIFS('Base bordo'!G$2:G$746,'Base bordo'!C$2:C$746,A1052,'Base bordo'!B$2:B$746,B1052,'Base bordo'!F$2:F$746,"MANUTENCAO BORRACHARIA"),0)+IFERROR(SUMIFS('Base bordo'!G$2:G$746,'Base bordo'!C$2:C$746,A1052,'Base bordo'!B$2:B$746,B1052,'Base bordo'!F$2:F$746,"MANUTENCAO EXTERNA  CONCESSIONARIA"),0)+IFERROR(SUMIFS('Base bordo'!G$2:G$746,'Base bordo'!C$2:C$746,A1052,'Base bordo'!B$2:B$746,B1052,'Base bordo'!F$2:F$746,"MANUTENCAO TELEMETRIA"),0)</f>
        <v>0</v>
      </c>
      <c r="M1052" s="10">
        <f>IFERROR(SUMIFS('Base bordo'!G$2:G$746,'Base bordo'!C$2:C$746,A1052,'Base bordo'!B$2:B$746,B1052,'Base bordo'!F$2:F$746,"AGUARDANDO MANUTENCAO"),0)</f>
        <v>0</v>
      </c>
      <c r="N1052" s="10">
        <f>IFERROR(SUMIFS('Base bordo'!G$2:G$746,'Base bordo'!C$2:C$746,A1052,'Base bordo'!B$2:B$746,B1052,'Base bordo'!F$2:F$746,"SEM APONTAMENTO"),0)</f>
        <v>0</v>
      </c>
      <c r="O1052" s="10">
        <f t="shared" si="108"/>
        <v>0</v>
      </c>
      <c r="P1052" s="10">
        <f>IFERROR(SUMIFS('Base bordo'!G$2:G$746,'Base bordo'!C$2:C$746,A1052,'Base bordo'!B$2:B$746,B1052),0)</f>
        <v>0</v>
      </c>
      <c r="Q1052" s="10">
        <f>IFERROR(SUMIFS('Base bordo'!H$2:H$746,'Base bordo'!C$2:C$746,A1052,'Base bordo'!B$2:B$746,B1052,'Base bordo'!F$2:F$746,"DESLOCAMENTO VAZIO"),0)</f>
        <v>0</v>
      </c>
      <c r="R1052" s="10">
        <f>IFERROR(SUMIFS('Base bordo'!I$2:I$746,'Base bordo'!C$2:C$746,A1052,'Base bordo'!B$2:B$746,B1052,'Base bordo'!F$2:F$746,"DESLOCAMENTO VAZIO"),0)</f>
        <v>0</v>
      </c>
      <c r="S1052" s="30" t="str">
        <f t="shared" si="109"/>
        <v/>
      </c>
      <c r="T1052" s="10">
        <f>IFERROR(SUMIFS('Base bordo'!H$2:H$746,'Base bordo'!C$2:C$746,A1052,'Base bordo'!B$2:B$746,B1052,'Base bordo'!F$2:F$746,"DESLOCAMENTO CARREGADO"),0)</f>
        <v>0</v>
      </c>
      <c r="U1052" s="10">
        <f>IFERROR(SUMIFS('Base bordo'!I$2:I$746,'Base bordo'!C$2:C$746,A1052,'Base bordo'!B$2:B$746,B1052,'Base bordo'!F$2:F$746,"DESLOCAMENTO CARREGADO"),0)</f>
        <v>0</v>
      </c>
      <c r="V1052" s="30" t="str">
        <f t="shared" si="110"/>
        <v/>
      </c>
      <c r="W1052" s="9">
        <f t="shared" si="111"/>
        <v>0</v>
      </c>
      <c r="X1052" s="9">
        <f t="shared" si="112"/>
        <v>0</v>
      </c>
      <c r="Y1052" s="9">
        <f t="shared" si="113"/>
        <v>0</v>
      </c>
    </row>
    <row r="1053" spans="1:25" ht="15" customHeight="1" x14ac:dyDescent="0.35">
      <c r="A1053" s="52">
        <v>8013465</v>
      </c>
      <c r="B1053" s="51">
        <v>46122</v>
      </c>
      <c r="C1053" s="7" t="s">
        <v>124</v>
      </c>
      <c r="D1053" s="10">
        <f>IFERROR(SUMIFS('Base bordo'!G$2:G$746,'Base bordo'!C$2:C$746,A1053,'Base bordo'!B$2:B$746,B1053,'Base bordo'!F$2:F$746,"DESLOCAMENTO VAZIO"),0)</f>
        <v>0</v>
      </c>
      <c r="E1053" s="10">
        <f>IFERROR(SUMIFS('Base bordo'!G$2:G$746,'Base bordo'!C$2:C$746,A1053,'Base bordo'!B$2:B$746,B1053,'Base bordo'!F$2:F$746,"DESLOCAMENTO CARREGADO"),0)</f>
        <v>0</v>
      </c>
      <c r="F1053" s="10">
        <f>IFERROR(SUMIFS('Base bordo'!G$2:G$746,'Base bordo'!C$2:C$746,A1053,'Base bordo'!B$2:B$746,B1053,'Base bordo'!F$2:F$746,"DESLOCAMENTO"),0)</f>
        <v>0</v>
      </c>
      <c r="G1053" s="10">
        <f>IFERROR(SUMIFS('Base bordo'!G$2:G$746,'Base bordo'!C$2:C$746,A1053,'Base bordo'!B$2:B$746,B1053,'Base bordo'!F$2:F$746,"CARREGAMENTO"),0)</f>
        <v>0</v>
      </c>
      <c r="H1053" s="10">
        <f>IFERROR(SUMIFS('Base bordo'!G$2:G$746,'Base bordo'!C$2:C$746,A1053,'Base bordo'!B$2:B$746,B1053,'Base bordo'!F$2:F$746,"AGUARDANDO TRANSBORDO"),0)</f>
        <v>0</v>
      </c>
      <c r="I1053" s="10">
        <f>IFERROR(SUMIFS('Base bordo'!G$2:G$746,'Base bordo'!C$2:C$746,A1053,'Base bordo'!B$2:B$746,B1053,'Base bordo'!F$2:F$746,"PÁTIO INTERNO"),0)+IFERROR(SUMIFS('Base bordo'!G$2:G$746,'Base bordo'!C$2:C$746,A1053,'Base bordo'!B$2:B$746,B1053,'Base bordo'!F$2:F$746,"PÁTIO EXTERNO"),0)+IFERROR(SUMIFS('Base bordo'!G$2:G$746,'Base bordo'!C$2:C$746,A1053,'Base bordo'!B$2:B$746,B1053,'Base bordo'!F$2:F$746,"PATIO - RESERVA"),0)+IFERROR(SUMIFS('Base bordo'!G$2:G$746,'Base bordo'!C$2:C$746,A1053,'Base bordo'!B$2:B$746,B1053,'Base bordo'!F$2:F$746,"MANOBRA CARRETAS-PATIO"),0)</f>
        <v>0</v>
      </c>
      <c r="J1053" s="10">
        <f>IFERROR(SUMIFS('Base bordo'!G$2:G$746,'Base bordo'!C$2:C$746,A1053,'Base bordo'!B$2:B$746,B1053,'Base bordo'!F$2:F$746,"BALANÇA - ENTRADA"),0)+IFERROR(SUMIFS('Base bordo'!G$2:G$746,'Base bordo'!C$2:C$746,A1053,'Base bordo'!B$2:B$746,B1053,'Base bordo'!F$2:F$746,"BALANÇA - SAÍDA"),0)</f>
        <v>0</v>
      </c>
      <c r="K1053" s="10">
        <f>IFERROR(SUMIFS('Base bordo'!G$2:G$746,'Base bordo'!C$2:C$746,A1053,'Base bordo'!B$2:B$746,B1053,'Base bordo'!F$2:F$746,"MAN PREVENTIVA - MECANICA"),0)+IFERROR(SUMIFS('Base bordo'!G$2:G$746,'Base bordo'!C$2:C$746,A1053,'Base bordo'!B$2:B$746,B1053,'Base bordo'!F$2:F$746,"MAN CORRETIVA - MECANICA"),0)</f>
        <v>0</v>
      </c>
      <c r="L1053" s="10">
        <f>IFERROR(SUMIFS('Base bordo'!G$2:G$746,'Base bordo'!C$2:C$746,A1053,'Base bordo'!B$2:B$746,B1053,'Base bordo'!F$2:F$746,"MANUTENCAO - T O"),0)+IFERROR(SUMIFS('Base bordo'!G$2:G$746,'Base bordo'!C$2:C$746,A1053,'Base bordo'!B$2:B$746,B1053,'Base bordo'!F$2:F$746,"MANUTENCAO BORRACHARIA"),0)+IFERROR(SUMIFS('Base bordo'!G$2:G$746,'Base bordo'!C$2:C$746,A1053,'Base bordo'!B$2:B$746,B1053,'Base bordo'!F$2:F$746,"MANUTENCAO EXTERNA  CONCESSIONARIA"),0)+IFERROR(SUMIFS('Base bordo'!G$2:G$746,'Base bordo'!C$2:C$746,A1053,'Base bordo'!B$2:B$746,B1053,'Base bordo'!F$2:F$746,"MANUTENCAO TELEMETRIA"),0)</f>
        <v>0</v>
      </c>
      <c r="M1053" s="10">
        <f>IFERROR(SUMIFS('Base bordo'!G$2:G$746,'Base bordo'!C$2:C$746,A1053,'Base bordo'!B$2:B$746,B1053,'Base bordo'!F$2:F$746,"AGUARDANDO MANUTENCAO"),0)</f>
        <v>0</v>
      </c>
      <c r="N1053" s="10">
        <f>IFERROR(SUMIFS('Base bordo'!G$2:G$746,'Base bordo'!C$2:C$746,A1053,'Base bordo'!B$2:B$746,B1053,'Base bordo'!F$2:F$746,"SEM APONTAMENTO"),0)</f>
        <v>0</v>
      </c>
      <c r="O1053" s="10">
        <f t="shared" si="108"/>
        <v>0</v>
      </c>
      <c r="P1053" s="10">
        <f>IFERROR(SUMIFS('Base bordo'!G$2:G$746,'Base bordo'!C$2:C$746,A1053,'Base bordo'!B$2:B$746,B1053),0)</f>
        <v>0</v>
      </c>
      <c r="Q1053" s="10">
        <f>IFERROR(SUMIFS('Base bordo'!H$2:H$746,'Base bordo'!C$2:C$746,A1053,'Base bordo'!B$2:B$746,B1053,'Base bordo'!F$2:F$746,"DESLOCAMENTO VAZIO"),0)</f>
        <v>0</v>
      </c>
      <c r="R1053" s="10">
        <f>IFERROR(SUMIFS('Base bordo'!I$2:I$746,'Base bordo'!C$2:C$746,A1053,'Base bordo'!B$2:B$746,B1053,'Base bordo'!F$2:F$746,"DESLOCAMENTO VAZIO"),0)</f>
        <v>0</v>
      </c>
      <c r="S1053" s="30" t="str">
        <f t="shared" si="109"/>
        <v/>
      </c>
      <c r="T1053" s="10">
        <f>IFERROR(SUMIFS('Base bordo'!H$2:H$746,'Base bordo'!C$2:C$746,A1053,'Base bordo'!B$2:B$746,B1053,'Base bordo'!F$2:F$746,"DESLOCAMENTO CARREGADO"),0)</f>
        <v>0</v>
      </c>
      <c r="U1053" s="10">
        <f>IFERROR(SUMIFS('Base bordo'!I$2:I$746,'Base bordo'!C$2:C$746,A1053,'Base bordo'!B$2:B$746,B1053,'Base bordo'!F$2:F$746,"DESLOCAMENTO CARREGADO"),0)</f>
        <v>0</v>
      </c>
      <c r="V1053" s="30" t="str">
        <f t="shared" si="110"/>
        <v/>
      </c>
      <c r="W1053" s="9">
        <f t="shared" si="111"/>
        <v>0</v>
      </c>
      <c r="X1053" s="9">
        <f t="shared" si="112"/>
        <v>0</v>
      </c>
      <c r="Y1053" s="9">
        <f t="shared" si="113"/>
        <v>0</v>
      </c>
    </row>
    <row r="1054" spans="1:25" ht="15" customHeight="1" x14ac:dyDescent="0.35">
      <c r="A1054" s="52">
        <v>8013465</v>
      </c>
      <c r="B1054" s="51">
        <v>46122</v>
      </c>
      <c r="C1054" s="7" t="s">
        <v>124</v>
      </c>
      <c r="D1054" s="10">
        <f>IFERROR(SUMIFS('Base bordo'!G$2:G$746,'Base bordo'!C$2:C$746,A1054,'Base bordo'!B$2:B$746,B1054,'Base bordo'!F$2:F$746,"DESLOCAMENTO VAZIO"),0)</f>
        <v>0</v>
      </c>
      <c r="E1054" s="10">
        <f>IFERROR(SUMIFS('Base bordo'!G$2:G$746,'Base bordo'!C$2:C$746,A1054,'Base bordo'!B$2:B$746,B1054,'Base bordo'!F$2:F$746,"DESLOCAMENTO CARREGADO"),0)</f>
        <v>0</v>
      </c>
      <c r="F1054" s="10">
        <f>IFERROR(SUMIFS('Base bordo'!G$2:G$746,'Base bordo'!C$2:C$746,A1054,'Base bordo'!B$2:B$746,B1054,'Base bordo'!F$2:F$746,"DESLOCAMENTO"),0)</f>
        <v>0</v>
      </c>
      <c r="G1054" s="10">
        <f>IFERROR(SUMIFS('Base bordo'!G$2:G$746,'Base bordo'!C$2:C$746,A1054,'Base bordo'!B$2:B$746,B1054,'Base bordo'!F$2:F$746,"CARREGAMENTO"),0)</f>
        <v>0</v>
      </c>
      <c r="H1054" s="10">
        <f>IFERROR(SUMIFS('Base bordo'!G$2:G$746,'Base bordo'!C$2:C$746,A1054,'Base bordo'!B$2:B$746,B1054,'Base bordo'!F$2:F$746,"AGUARDANDO TRANSBORDO"),0)</f>
        <v>0</v>
      </c>
      <c r="I1054" s="10">
        <f>IFERROR(SUMIFS('Base bordo'!G$2:G$746,'Base bordo'!C$2:C$746,A1054,'Base bordo'!B$2:B$746,B1054,'Base bordo'!F$2:F$746,"PÁTIO INTERNO"),0)+IFERROR(SUMIFS('Base bordo'!G$2:G$746,'Base bordo'!C$2:C$746,A1054,'Base bordo'!B$2:B$746,B1054,'Base bordo'!F$2:F$746,"PÁTIO EXTERNO"),0)+IFERROR(SUMIFS('Base bordo'!G$2:G$746,'Base bordo'!C$2:C$746,A1054,'Base bordo'!B$2:B$746,B1054,'Base bordo'!F$2:F$746,"PATIO - RESERVA"),0)+IFERROR(SUMIFS('Base bordo'!G$2:G$746,'Base bordo'!C$2:C$746,A1054,'Base bordo'!B$2:B$746,B1054,'Base bordo'!F$2:F$746,"MANOBRA CARRETAS-PATIO"),0)</f>
        <v>0</v>
      </c>
      <c r="J1054" s="10">
        <f>IFERROR(SUMIFS('Base bordo'!G$2:G$746,'Base bordo'!C$2:C$746,A1054,'Base bordo'!B$2:B$746,B1054,'Base bordo'!F$2:F$746,"BALANÇA - ENTRADA"),0)+IFERROR(SUMIFS('Base bordo'!G$2:G$746,'Base bordo'!C$2:C$746,A1054,'Base bordo'!B$2:B$746,B1054,'Base bordo'!F$2:F$746,"BALANÇA - SAÍDA"),0)</f>
        <v>0</v>
      </c>
      <c r="K1054" s="10">
        <f>IFERROR(SUMIFS('Base bordo'!G$2:G$746,'Base bordo'!C$2:C$746,A1054,'Base bordo'!B$2:B$746,B1054,'Base bordo'!F$2:F$746,"MAN PREVENTIVA - MECANICA"),0)+IFERROR(SUMIFS('Base bordo'!G$2:G$746,'Base bordo'!C$2:C$746,A1054,'Base bordo'!B$2:B$746,B1054,'Base bordo'!F$2:F$746,"MAN CORRETIVA - MECANICA"),0)</f>
        <v>0</v>
      </c>
      <c r="L1054" s="10">
        <f>IFERROR(SUMIFS('Base bordo'!G$2:G$746,'Base bordo'!C$2:C$746,A1054,'Base bordo'!B$2:B$746,B1054,'Base bordo'!F$2:F$746,"MANUTENCAO - T O"),0)+IFERROR(SUMIFS('Base bordo'!G$2:G$746,'Base bordo'!C$2:C$746,A1054,'Base bordo'!B$2:B$746,B1054,'Base bordo'!F$2:F$746,"MANUTENCAO BORRACHARIA"),0)+IFERROR(SUMIFS('Base bordo'!G$2:G$746,'Base bordo'!C$2:C$746,A1054,'Base bordo'!B$2:B$746,B1054,'Base bordo'!F$2:F$746,"MANUTENCAO EXTERNA  CONCESSIONARIA"),0)+IFERROR(SUMIFS('Base bordo'!G$2:G$746,'Base bordo'!C$2:C$746,A1054,'Base bordo'!B$2:B$746,B1054,'Base bordo'!F$2:F$746,"MANUTENCAO TELEMETRIA"),0)</f>
        <v>0</v>
      </c>
      <c r="M1054" s="10">
        <f>IFERROR(SUMIFS('Base bordo'!G$2:G$746,'Base bordo'!C$2:C$746,A1054,'Base bordo'!B$2:B$746,B1054,'Base bordo'!F$2:F$746,"AGUARDANDO MANUTENCAO"),0)</f>
        <v>0</v>
      </c>
      <c r="N1054" s="10">
        <f>IFERROR(SUMIFS('Base bordo'!G$2:G$746,'Base bordo'!C$2:C$746,A1054,'Base bordo'!B$2:B$746,B1054,'Base bordo'!F$2:F$746,"SEM APONTAMENTO"),0)</f>
        <v>0</v>
      </c>
      <c r="O1054" s="10">
        <f t="shared" si="108"/>
        <v>0</v>
      </c>
      <c r="P1054" s="10">
        <f>IFERROR(SUMIFS('Base bordo'!G$2:G$746,'Base bordo'!C$2:C$746,A1054,'Base bordo'!B$2:B$746,B1054),0)</f>
        <v>0</v>
      </c>
      <c r="Q1054" s="10">
        <f>IFERROR(SUMIFS('Base bordo'!H$2:H$746,'Base bordo'!C$2:C$746,A1054,'Base bordo'!B$2:B$746,B1054,'Base bordo'!F$2:F$746,"DESLOCAMENTO VAZIO"),0)</f>
        <v>0</v>
      </c>
      <c r="R1054" s="10">
        <f>IFERROR(SUMIFS('Base bordo'!I$2:I$746,'Base bordo'!C$2:C$746,A1054,'Base bordo'!B$2:B$746,B1054,'Base bordo'!F$2:F$746,"DESLOCAMENTO VAZIO"),0)</f>
        <v>0</v>
      </c>
      <c r="S1054" s="30" t="str">
        <f t="shared" si="109"/>
        <v/>
      </c>
      <c r="T1054" s="10">
        <f>IFERROR(SUMIFS('Base bordo'!H$2:H$746,'Base bordo'!C$2:C$746,A1054,'Base bordo'!B$2:B$746,B1054,'Base bordo'!F$2:F$746,"DESLOCAMENTO CARREGADO"),0)</f>
        <v>0</v>
      </c>
      <c r="U1054" s="10">
        <f>IFERROR(SUMIFS('Base bordo'!I$2:I$746,'Base bordo'!C$2:C$746,A1054,'Base bordo'!B$2:B$746,B1054,'Base bordo'!F$2:F$746,"DESLOCAMENTO CARREGADO"),0)</f>
        <v>0</v>
      </c>
      <c r="V1054" s="30" t="str">
        <f t="shared" si="110"/>
        <v/>
      </c>
      <c r="W1054" s="9">
        <f t="shared" si="111"/>
        <v>0</v>
      </c>
      <c r="X1054" s="9">
        <f t="shared" si="112"/>
        <v>0</v>
      </c>
      <c r="Y1054" s="9">
        <f t="shared" si="113"/>
        <v>0</v>
      </c>
    </row>
    <row r="1055" spans="1:25" ht="15" customHeight="1" x14ac:dyDescent="0.35">
      <c r="A1055" s="52">
        <v>8013468</v>
      </c>
      <c r="B1055" s="51">
        <v>46122</v>
      </c>
      <c r="C1055" s="7" t="s">
        <v>124</v>
      </c>
      <c r="D1055" s="10">
        <f>IFERROR(SUMIFS('Base bordo'!G$2:G$746,'Base bordo'!C$2:C$746,A1055,'Base bordo'!B$2:B$746,B1055,'Base bordo'!F$2:F$746,"DESLOCAMENTO VAZIO"),0)</f>
        <v>0</v>
      </c>
      <c r="E1055" s="10">
        <f>IFERROR(SUMIFS('Base bordo'!G$2:G$746,'Base bordo'!C$2:C$746,A1055,'Base bordo'!B$2:B$746,B1055,'Base bordo'!F$2:F$746,"DESLOCAMENTO CARREGADO"),0)</f>
        <v>0</v>
      </c>
      <c r="F1055" s="10">
        <f>IFERROR(SUMIFS('Base bordo'!G$2:G$746,'Base bordo'!C$2:C$746,A1055,'Base bordo'!B$2:B$746,B1055,'Base bordo'!F$2:F$746,"DESLOCAMENTO"),0)</f>
        <v>0</v>
      </c>
      <c r="G1055" s="10">
        <f>IFERROR(SUMIFS('Base bordo'!G$2:G$746,'Base bordo'!C$2:C$746,A1055,'Base bordo'!B$2:B$746,B1055,'Base bordo'!F$2:F$746,"CARREGAMENTO"),0)</f>
        <v>0</v>
      </c>
      <c r="H1055" s="10">
        <f>IFERROR(SUMIFS('Base bordo'!G$2:G$746,'Base bordo'!C$2:C$746,A1055,'Base bordo'!B$2:B$746,B1055,'Base bordo'!F$2:F$746,"AGUARDANDO TRANSBORDO"),0)</f>
        <v>0</v>
      </c>
      <c r="I1055" s="10">
        <f>IFERROR(SUMIFS('Base bordo'!G$2:G$746,'Base bordo'!C$2:C$746,A1055,'Base bordo'!B$2:B$746,B1055,'Base bordo'!F$2:F$746,"PÁTIO INTERNO"),0)+IFERROR(SUMIFS('Base bordo'!G$2:G$746,'Base bordo'!C$2:C$746,A1055,'Base bordo'!B$2:B$746,B1055,'Base bordo'!F$2:F$746,"PÁTIO EXTERNO"),0)+IFERROR(SUMIFS('Base bordo'!G$2:G$746,'Base bordo'!C$2:C$746,A1055,'Base bordo'!B$2:B$746,B1055,'Base bordo'!F$2:F$746,"PATIO - RESERVA"),0)+IFERROR(SUMIFS('Base bordo'!G$2:G$746,'Base bordo'!C$2:C$746,A1055,'Base bordo'!B$2:B$746,B1055,'Base bordo'!F$2:F$746,"MANOBRA CARRETAS-PATIO"),0)</f>
        <v>0</v>
      </c>
      <c r="J1055" s="10">
        <f>IFERROR(SUMIFS('Base bordo'!G$2:G$746,'Base bordo'!C$2:C$746,A1055,'Base bordo'!B$2:B$746,B1055,'Base bordo'!F$2:F$746,"BALANÇA - ENTRADA"),0)+IFERROR(SUMIFS('Base bordo'!G$2:G$746,'Base bordo'!C$2:C$746,A1055,'Base bordo'!B$2:B$746,B1055,'Base bordo'!F$2:F$746,"BALANÇA - SAÍDA"),0)</f>
        <v>0</v>
      </c>
      <c r="K1055" s="10">
        <f>IFERROR(SUMIFS('Base bordo'!G$2:G$746,'Base bordo'!C$2:C$746,A1055,'Base bordo'!B$2:B$746,B1055,'Base bordo'!F$2:F$746,"MAN PREVENTIVA - MECANICA"),0)+IFERROR(SUMIFS('Base bordo'!G$2:G$746,'Base bordo'!C$2:C$746,A1055,'Base bordo'!B$2:B$746,B1055,'Base bordo'!F$2:F$746,"MAN CORRETIVA - MECANICA"),0)</f>
        <v>0</v>
      </c>
      <c r="L1055" s="10">
        <f>IFERROR(SUMIFS('Base bordo'!G$2:G$746,'Base bordo'!C$2:C$746,A1055,'Base bordo'!B$2:B$746,B1055,'Base bordo'!F$2:F$746,"MANUTENCAO - T O"),0)+IFERROR(SUMIFS('Base bordo'!G$2:G$746,'Base bordo'!C$2:C$746,A1055,'Base bordo'!B$2:B$746,B1055,'Base bordo'!F$2:F$746,"MANUTENCAO BORRACHARIA"),0)+IFERROR(SUMIFS('Base bordo'!G$2:G$746,'Base bordo'!C$2:C$746,A1055,'Base bordo'!B$2:B$746,B1055,'Base bordo'!F$2:F$746,"MANUTENCAO EXTERNA  CONCESSIONARIA"),0)+IFERROR(SUMIFS('Base bordo'!G$2:G$746,'Base bordo'!C$2:C$746,A1055,'Base bordo'!B$2:B$746,B1055,'Base bordo'!F$2:F$746,"MANUTENCAO TELEMETRIA"),0)</f>
        <v>0</v>
      </c>
      <c r="M1055" s="10">
        <f>IFERROR(SUMIFS('Base bordo'!G$2:G$746,'Base bordo'!C$2:C$746,A1055,'Base bordo'!B$2:B$746,B1055,'Base bordo'!F$2:F$746,"AGUARDANDO MANUTENCAO"),0)</f>
        <v>0</v>
      </c>
      <c r="N1055" s="10">
        <f>IFERROR(SUMIFS('Base bordo'!G$2:G$746,'Base bordo'!C$2:C$746,A1055,'Base bordo'!B$2:B$746,B1055,'Base bordo'!F$2:F$746,"SEM APONTAMENTO"),0)</f>
        <v>0</v>
      </c>
      <c r="O1055" s="10">
        <f t="shared" si="108"/>
        <v>0</v>
      </c>
      <c r="P1055" s="10">
        <f>IFERROR(SUMIFS('Base bordo'!G$2:G$746,'Base bordo'!C$2:C$746,A1055,'Base bordo'!B$2:B$746,B1055),0)</f>
        <v>0</v>
      </c>
      <c r="Q1055" s="10">
        <f>IFERROR(SUMIFS('Base bordo'!H$2:H$746,'Base bordo'!C$2:C$746,A1055,'Base bordo'!B$2:B$746,B1055,'Base bordo'!F$2:F$746,"DESLOCAMENTO VAZIO"),0)</f>
        <v>0</v>
      </c>
      <c r="R1055" s="10">
        <f>IFERROR(SUMIFS('Base bordo'!I$2:I$746,'Base bordo'!C$2:C$746,A1055,'Base bordo'!B$2:B$746,B1055,'Base bordo'!F$2:F$746,"DESLOCAMENTO VAZIO"),0)</f>
        <v>0</v>
      </c>
      <c r="S1055" s="30" t="str">
        <f t="shared" si="109"/>
        <v/>
      </c>
      <c r="T1055" s="10">
        <f>IFERROR(SUMIFS('Base bordo'!H$2:H$746,'Base bordo'!C$2:C$746,A1055,'Base bordo'!B$2:B$746,B1055,'Base bordo'!F$2:F$746,"DESLOCAMENTO CARREGADO"),0)</f>
        <v>0</v>
      </c>
      <c r="U1055" s="10">
        <f>IFERROR(SUMIFS('Base bordo'!I$2:I$746,'Base bordo'!C$2:C$746,A1055,'Base bordo'!B$2:B$746,B1055,'Base bordo'!F$2:F$746,"DESLOCAMENTO CARREGADO"),0)</f>
        <v>0</v>
      </c>
      <c r="V1055" s="30" t="str">
        <f t="shared" si="110"/>
        <v/>
      </c>
      <c r="W1055" s="9">
        <f t="shared" si="111"/>
        <v>0</v>
      </c>
      <c r="X1055" s="9">
        <f t="shared" si="112"/>
        <v>0</v>
      </c>
      <c r="Y1055" s="9">
        <f t="shared" si="113"/>
        <v>0</v>
      </c>
    </row>
    <row r="1056" spans="1:25" ht="15" customHeight="1" x14ac:dyDescent="0.35">
      <c r="A1056" s="52">
        <v>8013469</v>
      </c>
      <c r="B1056" s="51">
        <v>46122</v>
      </c>
      <c r="C1056" s="7" t="s">
        <v>124</v>
      </c>
      <c r="D1056" s="10">
        <f>IFERROR(SUMIFS('Base bordo'!G$2:G$746,'Base bordo'!C$2:C$746,A1056,'Base bordo'!B$2:B$746,B1056,'Base bordo'!F$2:F$746,"DESLOCAMENTO VAZIO"),0)</f>
        <v>0</v>
      </c>
      <c r="E1056" s="10">
        <f>IFERROR(SUMIFS('Base bordo'!G$2:G$746,'Base bordo'!C$2:C$746,A1056,'Base bordo'!B$2:B$746,B1056,'Base bordo'!F$2:F$746,"DESLOCAMENTO CARREGADO"),0)</f>
        <v>0</v>
      </c>
      <c r="F1056" s="10">
        <f>IFERROR(SUMIFS('Base bordo'!G$2:G$746,'Base bordo'!C$2:C$746,A1056,'Base bordo'!B$2:B$746,B1056,'Base bordo'!F$2:F$746,"DESLOCAMENTO"),0)</f>
        <v>0</v>
      </c>
      <c r="G1056" s="10">
        <f>IFERROR(SUMIFS('Base bordo'!G$2:G$746,'Base bordo'!C$2:C$746,A1056,'Base bordo'!B$2:B$746,B1056,'Base bordo'!F$2:F$746,"CARREGAMENTO"),0)</f>
        <v>0</v>
      </c>
      <c r="H1056" s="10">
        <f>IFERROR(SUMIFS('Base bordo'!G$2:G$746,'Base bordo'!C$2:C$746,A1056,'Base bordo'!B$2:B$746,B1056,'Base bordo'!F$2:F$746,"AGUARDANDO TRANSBORDO"),0)</f>
        <v>0</v>
      </c>
      <c r="I1056" s="10">
        <f>IFERROR(SUMIFS('Base bordo'!G$2:G$746,'Base bordo'!C$2:C$746,A1056,'Base bordo'!B$2:B$746,B1056,'Base bordo'!F$2:F$746,"PÁTIO INTERNO"),0)+IFERROR(SUMIFS('Base bordo'!G$2:G$746,'Base bordo'!C$2:C$746,A1056,'Base bordo'!B$2:B$746,B1056,'Base bordo'!F$2:F$746,"PÁTIO EXTERNO"),0)+IFERROR(SUMIFS('Base bordo'!G$2:G$746,'Base bordo'!C$2:C$746,A1056,'Base bordo'!B$2:B$746,B1056,'Base bordo'!F$2:F$746,"PATIO - RESERVA"),0)+IFERROR(SUMIFS('Base bordo'!G$2:G$746,'Base bordo'!C$2:C$746,A1056,'Base bordo'!B$2:B$746,B1056,'Base bordo'!F$2:F$746,"MANOBRA CARRETAS-PATIO"),0)</f>
        <v>0</v>
      </c>
      <c r="J1056" s="10">
        <f>IFERROR(SUMIFS('Base bordo'!G$2:G$746,'Base bordo'!C$2:C$746,A1056,'Base bordo'!B$2:B$746,B1056,'Base bordo'!F$2:F$746,"BALANÇA - ENTRADA"),0)+IFERROR(SUMIFS('Base bordo'!G$2:G$746,'Base bordo'!C$2:C$746,A1056,'Base bordo'!B$2:B$746,B1056,'Base bordo'!F$2:F$746,"BALANÇA - SAÍDA"),0)</f>
        <v>0</v>
      </c>
      <c r="K1056" s="10">
        <f>IFERROR(SUMIFS('Base bordo'!G$2:G$746,'Base bordo'!C$2:C$746,A1056,'Base bordo'!B$2:B$746,B1056,'Base bordo'!F$2:F$746,"MAN PREVENTIVA - MECANICA"),0)+IFERROR(SUMIFS('Base bordo'!G$2:G$746,'Base bordo'!C$2:C$746,A1056,'Base bordo'!B$2:B$746,B1056,'Base bordo'!F$2:F$746,"MAN CORRETIVA - MECANICA"),0)</f>
        <v>0</v>
      </c>
      <c r="L1056" s="10">
        <f>IFERROR(SUMIFS('Base bordo'!G$2:G$746,'Base bordo'!C$2:C$746,A1056,'Base bordo'!B$2:B$746,B1056,'Base bordo'!F$2:F$746,"MANUTENCAO - T O"),0)+IFERROR(SUMIFS('Base bordo'!G$2:G$746,'Base bordo'!C$2:C$746,A1056,'Base bordo'!B$2:B$746,B1056,'Base bordo'!F$2:F$746,"MANUTENCAO BORRACHARIA"),0)+IFERROR(SUMIFS('Base bordo'!G$2:G$746,'Base bordo'!C$2:C$746,A1056,'Base bordo'!B$2:B$746,B1056,'Base bordo'!F$2:F$746,"MANUTENCAO EXTERNA  CONCESSIONARIA"),0)+IFERROR(SUMIFS('Base bordo'!G$2:G$746,'Base bordo'!C$2:C$746,A1056,'Base bordo'!B$2:B$746,B1056,'Base bordo'!F$2:F$746,"MANUTENCAO TELEMETRIA"),0)</f>
        <v>0</v>
      </c>
      <c r="M1056" s="10">
        <f>IFERROR(SUMIFS('Base bordo'!G$2:G$746,'Base bordo'!C$2:C$746,A1056,'Base bordo'!B$2:B$746,B1056,'Base bordo'!F$2:F$746,"AGUARDANDO MANUTENCAO"),0)</f>
        <v>0</v>
      </c>
      <c r="N1056" s="10">
        <f>IFERROR(SUMIFS('Base bordo'!G$2:G$746,'Base bordo'!C$2:C$746,A1056,'Base bordo'!B$2:B$746,B1056,'Base bordo'!F$2:F$746,"SEM APONTAMENTO"),0)</f>
        <v>0</v>
      </c>
      <c r="O1056" s="10">
        <f t="shared" si="108"/>
        <v>0</v>
      </c>
      <c r="P1056" s="10">
        <f>IFERROR(SUMIFS('Base bordo'!G$2:G$746,'Base bordo'!C$2:C$746,A1056,'Base bordo'!B$2:B$746,B1056),0)</f>
        <v>0</v>
      </c>
      <c r="Q1056" s="10">
        <f>IFERROR(SUMIFS('Base bordo'!H$2:H$746,'Base bordo'!C$2:C$746,A1056,'Base bordo'!B$2:B$746,B1056,'Base bordo'!F$2:F$746,"DESLOCAMENTO VAZIO"),0)</f>
        <v>0</v>
      </c>
      <c r="R1056" s="10">
        <f>IFERROR(SUMIFS('Base bordo'!I$2:I$746,'Base bordo'!C$2:C$746,A1056,'Base bordo'!B$2:B$746,B1056,'Base bordo'!F$2:F$746,"DESLOCAMENTO VAZIO"),0)</f>
        <v>0</v>
      </c>
      <c r="S1056" s="30" t="str">
        <f t="shared" si="109"/>
        <v/>
      </c>
      <c r="T1056" s="10">
        <f>IFERROR(SUMIFS('Base bordo'!H$2:H$746,'Base bordo'!C$2:C$746,A1056,'Base bordo'!B$2:B$746,B1056,'Base bordo'!F$2:F$746,"DESLOCAMENTO CARREGADO"),0)</f>
        <v>0</v>
      </c>
      <c r="U1056" s="10">
        <f>IFERROR(SUMIFS('Base bordo'!I$2:I$746,'Base bordo'!C$2:C$746,A1056,'Base bordo'!B$2:B$746,B1056,'Base bordo'!F$2:F$746,"DESLOCAMENTO CARREGADO"),0)</f>
        <v>0</v>
      </c>
      <c r="V1056" s="30" t="str">
        <f t="shared" si="110"/>
        <v/>
      </c>
      <c r="W1056" s="9">
        <f t="shared" si="111"/>
        <v>0</v>
      </c>
      <c r="X1056" s="9">
        <f t="shared" si="112"/>
        <v>0</v>
      </c>
      <c r="Y1056" s="9">
        <f t="shared" si="113"/>
        <v>0</v>
      </c>
    </row>
    <row r="1057" spans="1:25" ht="15" customHeight="1" x14ac:dyDescent="0.35">
      <c r="A1057" s="52">
        <v>8013470</v>
      </c>
      <c r="B1057" s="51">
        <v>46122</v>
      </c>
      <c r="C1057" s="7" t="s">
        <v>124</v>
      </c>
      <c r="D1057" s="10">
        <f>IFERROR(SUMIFS('Base bordo'!G$2:G$746,'Base bordo'!C$2:C$746,A1057,'Base bordo'!B$2:B$746,B1057,'Base bordo'!F$2:F$746,"DESLOCAMENTO VAZIO"),0)</f>
        <v>0</v>
      </c>
      <c r="E1057" s="10">
        <f>IFERROR(SUMIFS('Base bordo'!G$2:G$746,'Base bordo'!C$2:C$746,A1057,'Base bordo'!B$2:B$746,B1057,'Base bordo'!F$2:F$746,"DESLOCAMENTO CARREGADO"),0)</f>
        <v>0</v>
      </c>
      <c r="F1057" s="10">
        <f>IFERROR(SUMIFS('Base bordo'!G$2:G$746,'Base bordo'!C$2:C$746,A1057,'Base bordo'!B$2:B$746,B1057,'Base bordo'!F$2:F$746,"DESLOCAMENTO"),0)</f>
        <v>0</v>
      </c>
      <c r="G1057" s="10">
        <f>IFERROR(SUMIFS('Base bordo'!G$2:G$746,'Base bordo'!C$2:C$746,A1057,'Base bordo'!B$2:B$746,B1057,'Base bordo'!F$2:F$746,"CARREGAMENTO"),0)</f>
        <v>0</v>
      </c>
      <c r="H1057" s="10">
        <f>IFERROR(SUMIFS('Base bordo'!G$2:G$746,'Base bordo'!C$2:C$746,A1057,'Base bordo'!B$2:B$746,B1057,'Base bordo'!F$2:F$746,"AGUARDANDO TRANSBORDO"),0)</f>
        <v>0</v>
      </c>
      <c r="I1057" s="10">
        <f>IFERROR(SUMIFS('Base bordo'!G$2:G$746,'Base bordo'!C$2:C$746,A1057,'Base bordo'!B$2:B$746,B1057,'Base bordo'!F$2:F$746,"PÁTIO INTERNO"),0)+IFERROR(SUMIFS('Base bordo'!G$2:G$746,'Base bordo'!C$2:C$746,A1057,'Base bordo'!B$2:B$746,B1057,'Base bordo'!F$2:F$746,"PÁTIO EXTERNO"),0)+IFERROR(SUMIFS('Base bordo'!G$2:G$746,'Base bordo'!C$2:C$746,A1057,'Base bordo'!B$2:B$746,B1057,'Base bordo'!F$2:F$746,"PATIO - RESERVA"),0)+IFERROR(SUMIFS('Base bordo'!G$2:G$746,'Base bordo'!C$2:C$746,A1057,'Base bordo'!B$2:B$746,B1057,'Base bordo'!F$2:F$746,"MANOBRA CARRETAS-PATIO"),0)</f>
        <v>0</v>
      </c>
      <c r="J1057" s="10">
        <f>IFERROR(SUMIFS('Base bordo'!G$2:G$746,'Base bordo'!C$2:C$746,A1057,'Base bordo'!B$2:B$746,B1057,'Base bordo'!F$2:F$746,"BALANÇA - ENTRADA"),0)+IFERROR(SUMIFS('Base bordo'!G$2:G$746,'Base bordo'!C$2:C$746,A1057,'Base bordo'!B$2:B$746,B1057,'Base bordo'!F$2:F$746,"BALANÇA - SAÍDA"),0)</f>
        <v>0</v>
      </c>
      <c r="K1057" s="10">
        <f>IFERROR(SUMIFS('Base bordo'!G$2:G$746,'Base bordo'!C$2:C$746,A1057,'Base bordo'!B$2:B$746,B1057,'Base bordo'!F$2:F$746,"MAN PREVENTIVA - MECANICA"),0)+IFERROR(SUMIFS('Base bordo'!G$2:G$746,'Base bordo'!C$2:C$746,A1057,'Base bordo'!B$2:B$746,B1057,'Base bordo'!F$2:F$746,"MAN CORRETIVA - MECANICA"),0)</f>
        <v>0</v>
      </c>
      <c r="L1057" s="10">
        <f>IFERROR(SUMIFS('Base bordo'!G$2:G$746,'Base bordo'!C$2:C$746,A1057,'Base bordo'!B$2:B$746,B1057,'Base bordo'!F$2:F$746,"MANUTENCAO - T O"),0)+IFERROR(SUMIFS('Base bordo'!G$2:G$746,'Base bordo'!C$2:C$746,A1057,'Base bordo'!B$2:B$746,B1057,'Base bordo'!F$2:F$746,"MANUTENCAO BORRACHARIA"),0)+IFERROR(SUMIFS('Base bordo'!G$2:G$746,'Base bordo'!C$2:C$746,A1057,'Base bordo'!B$2:B$746,B1057,'Base bordo'!F$2:F$746,"MANUTENCAO EXTERNA  CONCESSIONARIA"),0)+IFERROR(SUMIFS('Base bordo'!G$2:G$746,'Base bordo'!C$2:C$746,A1057,'Base bordo'!B$2:B$746,B1057,'Base bordo'!F$2:F$746,"MANUTENCAO TELEMETRIA"),0)</f>
        <v>0</v>
      </c>
      <c r="M1057" s="10">
        <f>IFERROR(SUMIFS('Base bordo'!G$2:G$746,'Base bordo'!C$2:C$746,A1057,'Base bordo'!B$2:B$746,B1057,'Base bordo'!F$2:F$746,"AGUARDANDO MANUTENCAO"),0)</f>
        <v>0</v>
      </c>
      <c r="N1057" s="10">
        <f>IFERROR(SUMIFS('Base bordo'!G$2:G$746,'Base bordo'!C$2:C$746,A1057,'Base bordo'!B$2:B$746,B1057,'Base bordo'!F$2:F$746,"SEM APONTAMENTO"),0)</f>
        <v>0</v>
      </c>
      <c r="O1057" s="10">
        <f t="shared" si="108"/>
        <v>0</v>
      </c>
      <c r="P1057" s="10">
        <f>IFERROR(SUMIFS('Base bordo'!G$2:G$746,'Base bordo'!C$2:C$746,A1057,'Base bordo'!B$2:B$746,B1057),0)</f>
        <v>0</v>
      </c>
      <c r="Q1057" s="10">
        <f>IFERROR(SUMIFS('Base bordo'!H$2:H$746,'Base bordo'!C$2:C$746,A1057,'Base bordo'!B$2:B$746,B1057,'Base bordo'!F$2:F$746,"DESLOCAMENTO VAZIO"),0)</f>
        <v>0</v>
      </c>
      <c r="R1057" s="10">
        <f>IFERROR(SUMIFS('Base bordo'!I$2:I$746,'Base bordo'!C$2:C$746,A1057,'Base bordo'!B$2:B$746,B1057,'Base bordo'!F$2:F$746,"DESLOCAMENTO VAZIO"),0)</f>
        <v>0</v>
      </c>
      <c r="S1057" s="30" t="str">
        <f t="shared" si="109"/>
        <v/>
      </c>
      <c r="T1057" s="10">
        <f>IFERROR(SUMIFS('Base bordo'!H$2:H$746,'Base bordo'!C$2:C$746,A1057,'Base bordo'!B$2:B$746,B1057,'Base bordo'!F$2:F$746,"DESLOCAMENTO CARREGADO"),0)</f>
        <v>0</v>
      </c>
      <c r="U1057" s="10">
        <f>IFERROR(SUMIFS('Base bordo'!I$2:I$746,'Base bordo'!C$2:C$746,A1057,'Base bordo'!B$2:B$746,B1057,'Base bordo'!F$2:F$746,"DESLOCAMENTO CARREGADO"),0)</f>
        <v>0</v>
      </c>
      <c r="V1057" s="30" t="str">
        <f t="shared" si="110"/>
        <v/>
      </c>
      <c r="W1057" s="9">
        <f t="shared" si="111"/>
        <v>0</v>
      </c>
      <c r="X1057" s="9">
        <f t="shared" si="112"/>
        <v>0</v>
      </c>
      <c r="Y1057" s="9">
        <f t="shared" si="113"/>
        <v>0</v>
      </c>
    </row>
    <row r="1058" spans="1:25" ht="15" customHeight="1" x14ac:dyDescent="0.35">
      <c r="A1058" s="52">
        <v>8013472</v>
      </c>
      <c r="B1058" s="51">
        <v>46122</v>
      </c>
      <c r="C1058" s="7" t="s">
        <v>124</v>
      </c>
      <c r="D1058" s="10">
        <f>IFERROR(SUMIFS('Base bordo'!G$2:G$746,'Base bordo'!C$2:C$746,A1058,'Base bordo'!B$2:B$746,B1058,'Base bordo'!F$2:F$746,"DESLOCAMENTO VAZIO"),0)</f>
        <v>0.36361111111111111</v>
      </c>
      <c r="E1058" s="10">
        <f>IFERROR(SUMIFS('Base bordo'!G$2:G$746,'Base bordo'!C$2:C$746,A1058,'Base bordo'!B$2:B$746,B1058,'Base bordo'!F$2:F$746,"DESLOCAMENTO CARREGADO"),0)</f>
        <v>0</v>
      </c>
      <c r="F1058" s="10">
        <f>IFERROR(SUMIFS('Base bordo'!G$2:G$746,'Base bordo'!C$2:C$746,A1058,'Base bordo'!B$2:B$746,B1058,'Base bordo'!F$2:F$746,"DESLOCAMENTO"),0)</f>
        <v>0</v>
      </c>
      <c r="G1058" s="10">
        <f>IFERROR(SUMIFS('Base bordo'!G$2:G$746,'Base bordo'!C$2:C$746,A1058,'Base bordo'!B$2:B$746,B1058,'Base bordo'!F$2:F$746,"CARREGAMENTO"),0)</f>
        <v>0</v>
      </c>
      <c r="H1058" s="10">
        <f>IFERROR(SUMIFS('Base bordo'!G$2:G$746,'Base bordo'!C$2:C$746,A1058,'Base bordo'!B$2:B$746,B1058,'Base bordo'!F$2:F$746,"AGUARDANDO TRANSBORDO"),0)</f>
        <v>0</v>
      </c>
      <c r="I1058" s="10">
        <f>IFERROR(SUMIFS('Base bordo'!G$2:G$746,'Base bordo'!C$2:C$746,A1058,'Base bordo'!B$2:B$746,B1058,'Base bordo'!F$2:F$746,"PÁTIO INTERNO"),0)+IFERROR(SUMIFS('Base bordo'!G$2:G$746,'Base bordo'!C$2:C$746,A1058,'Base bordo'!B$2:B$746,B1058,'Base bordo'!F$2:F$746,"PÁTIO EXTERNO"),0)+IFERROR(SUMIFS('Base bordo'!G$2:G$746,'Base bordo'!C$2:C$746,A1058,'Base bordo'!B$2:B$746,B1058,'Base bordo'!F$2:F$746,"PATIO - RESERVA"),0)+IFERROR(SUMIFS('Base bordo'!G$2:G$746,'Base bordo'!C$2:C$746,A1058,'Base bordo'!B$2:B$746,B1058,'Base bordo'!F$2:F$746,"MANOBRA CARRETAS-PATIO"),0)</f>
        <v>0</v>
      </c>
      <c r="J1058" s="10">
        <f>IFERROR(SUMIFS('Base bordo'!G$2:G$746,'Base bordo'!C$2:C$746,A1058,'Base bordo'!B$2:B$746,B1058,'Base bordo'!F$2:F$746,"BALANÇA - ENTRADA"),0)+IFERROR(SUMIFS('Base bordo'!G$2:G$746,'Base bordo'!C$2:C$746,A1058,'Base bordo'!B$2:B$746,B1058,'Base bordo'!F$2:F$746,"BALANÇA - SAÍDA"),0)</f>
        <v>0</v>
      </c>
      <c r="K1058" s="10">
        <f>IFERROR(SUMIFS('Base bordo'!G$2:G$746,'Base bordo'!C$2:C$746,A1058,'Base bordo'!B$2:B$746,B1058,'Base bordo'!F$2:F$746,"MAN PREVENTIVA - MECANICA"),0)+IFERROR(SUMIFS('Base bordo'!G$2:G$746,'Base bordo'!C$2:C$746,A1058,'Base bordo'!B$2:B$746,B1058,'Base bordo'!F$2:F$746,"MAN CORRETIVA - MECANICA"),0)</f>
        <v>0</v>
      </c>
      <c r="L1058" s="10">
        <f>IFERROR(SUMIFS('Base bordo'!G$2:G$746,'Base bordo'!C$2:C$746,A1058,'Base bordo'!B$2:B$746,B1058,'Base bordo'!F$2:F$746,"MANUTENCAO - T O"),0)+IFERROR(SUMIFS('Base bordo'!G$2:G$746,'Base bordo'!C$2:C$746,A1058,'Base bordo'!B$2:B$746,B1058,'Base bordo'!F$2:F$746,"MANUTENCAO BORRACHARIA"),0)+IFERROR(SUMIFS('Base bordo'!G$2:G$746,'Base bordo'!C$2:C$746,A1058,'Base bordo'!B$2:B$746,B1058,'Base bordo'!F$2:F$746,"MANUTENCAO EXTERNA  CONCESSIONARIA"),0)+IFERROR(SUMIFS('Base bordo'!G$2:G$746,'Base bordo'!C$2:C$746,A1058,'Base bordo'!B$2:B$746,B1058,'Base bordo'!F$2:F$746,"MANUTENCAO TELEMETRIA"),0)</f>
        <v>0</v>
      </c>
      <c r="M1058" s="10">
        <f>IFERROR(SUMIFS('Base bordo'!G$2:G$746,'Base bordo'!C$2:C$746,A1058,'Base bordo'!B$2:B$746,B1058,'Base bordo'!F$2:F$746,"AGUARDANDO MANUTENCAO"),0)</f>
        <v>0</v>
      </c>
      <c r="N1058" s="10">
        <f>IFERROR(SUMIFS('Base bordo'!G$2:G$746,'Base bordo'!C$2:C$746,A1058,'Base bordo'!B$2:B$746,B1058,'Base bordo'!F$2:F$746,"SEM APONTAMENTO"),0)</f>
        <v>0</v>
      </c>
      <c r="O1058" s="10">
        <f t="shared" si="108"/>
        <v>0</v>
      </c>
      <c r="P1058" s="10">
        <f>IFERROR(SUMIFS('Base bordo'!G$2:G$746,'Base bordo'!C$2:C$746,A1058,'Base bordo'!B$2:B$746,B1058),0)</f>
        <v>0.36361111111111111</v>
      </c>
      <c r="Q1058" s="10">
        <f>IFERROR(SUMIFS('Base bordo'!H$2:H$746,'Base bordo'!C$2:C$746,A1058,'Base bordo'!B$2:B$746,B1058,'Base bordo'!F$2:F$746,"DESLOCAMENTO VAZIO"),0)</f>
        <v>44111.770000000004</v>
      </c>
      <c r="R1058" s="10">
        <f>IFERROR(SUMIFS('Base bordo'!I$2:I$746,'Base bordo'!C$2:C$746,A1058,'Base bordo'!B$2:B$746,B1058,'Base bordo'!F$2:F$746,"DESLOCAMENTO VAZIO"),0)</f>
        <v>1309</v>
      </c>
      <c r="S1058" s="30">
        <f t="shared" si="109"/>
        <v>33.69883116883117</v>
      </c>
      <c r="T1058" s="10">
        <f>IFERROR(SUMIFS('Base bordo'!H$2:H$746,'Base bordo'!C$2:C$746,A1058,'Base bordo'!B$2:B$746,B1058,'Base bordo'!F$2:F$746,"DESLOCAMENTO CARREGADO"),0)</f>
        <v>0</v>
      </c>
      <c r="U1058" s="10">
        <f>IFERROR(SUMIFS('Base bordo'!I$2:I$746,'Base bordo'!C$2:C$746,A1058,'Base bordo'!B$2:B$746,B1058,'Base bordo'!F$2:F$746,"DESLOCAMENTO CARREGADO"),0)</f>
        <v>0</v>
      </c>
      <c r="V1058" s="30" t="str">
        <f t="shared" si="110"/>
        <v/>
      </c>
      <c r="W1058" s="9">
        <f t="shared" si="111"/>
        <v>1</v>
      </c>
      <c r="X1058" s="9">
        <f t="shared" si="112"/>
        <v>0</v>
      </c>
      <c r="Y1058" s="9">
        <f t="shared" si="113"/>
        <v>0</v>
      </c>
    </row>
    <row r="1059" spans="1:25" ht="15" customHeight="1" x14ac:dyDescent="0.35">
      <c r="A1059" s="52">
        <v>8013473</v>
      </c>
      <c r="B1059" s="51">
        <v>46122</v>
      </c>
      <c r="C1059" s="7" t="s">
        <v>124</v>
      </c>
      <c r="D1059" s="10">
        <f>IFERROR(SUMIFS('Base bordo'!G$2:G$746,'Base bordo'!C$2:C$746,A1059,'Base bordo'!B$2:B$746,B1059,'Base bordo'!F$2:F$746,"DESLOCAMENTO VAZIO"),0)</f>
        <v>7.9444444444444443E-2</v>
      </c>
      <c r="E1059" s="10">
        <f>IFERROR(SUMIFS('Base bordo'!G$2:G$746,'Base bordo'!C$2:C$746,A1059,'Base bordo'!B$2:B$746,B1059,'Base bordo'!F$2:F$746,"DESLOCAMENTO CARREGADO"),0)</f>
        <v>0</v>
      </c>
      <c r="F1059" s="10">
        <f>IFERROR(SUMIFS('Base bordo'!G$2:G$746,'Base bordo'!C$2:C$746,A1059,'Base bordo'!B$2:B$746,B1059,'Base bordo'!F$2:F$746,"DESLOCAMENTO"),0)</f>
        <v>0</v>
      </c>
      <c r="G1059" s="10">
        <f>IFERROR(SUMIFS('Base bordo'!G$2:G$746,'Base bordo'!C$2:C$746,A1059,'Base bordo'!B$2:B$746,B1059,'Base bordo'!F$2:F$746,"CARREGAMENTO"),0)</f>
        <v>0</v>
      </c>
      <c r="H1059" s="10">
        <f>IFERROR(SUMIFS('Base bordo'!G$2:G$746,'Base bordo'!C$2:C$746,A1059,'Base bordo'!B$2:B$746,B1059,'Base bordo'!F$2:F$746,"AGUARDANDO TRANSBORDO"),0)</f>
        <v>0</v>
      </c>
      <c r="I1059" s="10">
        <f>IFERROR(SUMIFS('Base bordo'!G$2:G$746,'Base bordo'!C$2:C$746,A1059,'Base bordo'!B$2:B$746,B1059,'Base bordo'!F$2:F$746,"PÁTIO INTERNO"),0)+IFERROR(SUMIFS('Base bordo'!G$2:G$746,'Base bordo'!C$2:C$746,A1059,'Base bordo'!B$2:B$746,B1059,'Base bordo'!F$2:F$746,"PÁTIO EXTERNO"),0)+IFERROR(SUMIFS('Base bordo'!G$2:G$746,'Base bordo'!C$2:C$746,A1059,'Base bordo'!B$2:B$746,B1059,'Base bordo'!F$2:F$746,"PATIO - RESERVA"),0)+IFERROR(SUMIFS('Base bordo'!G$2:G$746,'Base bordo'!C$2:C$746,A1059,'Base bordo'!B$2:B$746,B1059,'Base bordo'!F$2:F$746,"MANOBRA CARRETAS-PATIO"),0)</f>
        <v>0</v>
      </c>
      <c r="J1059" s="10">
        <f>IFERROR(SUMIFS('Base bordo'!G$2:G$746,'Base bordo'!C$2:C$746,A1059,'Base bordo'!B$2:B$746,B1059,'Base bordo'!F$2:F$746,"BALANÇA - ENTRADA"),0)+IFERROR(SUMIFS('Base bordo'!G$2:G$746,'Base bordo'!C$2:C$746,A1059,'Base bordo'!B$2:B$746,B1059,'Base bordo'!F$2:F$746,"BALANÇA - SAÍDA"),0)</f>
        <v>0</v>
      </c>
      <c r="K1059" s="10">
        <f>IFERROR(SUMIFS('Base bordo'!G$2:G$746,'Base bordo'!C$2:C$746,A1059,'Base bordo'!B$2:B$746,B1059,'Base bordo'!F$2:F$746,"MAN PREVENTIVA - MECANICA"),0)+IFERROR(SUMIFS('Base bordo'!G$2:G$746,'Base bordo'!C$2:C$746,A1059,'Base bordo'!B$2:B$746,B1059,'Base bordo'!F$2:F$746,"MAN CORRETIVA - MECANICA"),0)</f>
        <v>0</v>
      </c>
      <c r="L1059" s="10">
        <f>IFERROR(SUMIFS('Base bordo'!G$2:G$746,'Base bordo'!C$2:C$746,A1059,'Base bordo'!B$2:B$746,B1059,'Base bordo'!F$2:F$746,"MANUTENCAO - T O"),0)+IFERROR(SUMIFS('Base bordo'!G$2:G$746,'Base bordo'!C$2:C$746,A1059,'Base bordo'!B$2:B$746,B1059,'Base bordo'!F$2:F$746,"MANUTENCAO BORRACHARIA"),0)+IFERROR(SUMIFS('Base bordo'!G$2:G$746,'Base bordo'!C$2:C$746,A1059,'Base bordo'!B$2:B$746,B1059,'Base bordo'!F$2:F$746,"MANUTENCAO EXTERNA  CONCESSIONARIA"),0)+IFERROR(SUMIFS('Base bordo'!G$2:G$746,'Base bordo'!C$2:C$746,A1059,'Base bordo'!B$2:B$746,B1059,'Base bordo'!F$2:F$746,"MANUTENCAO TELEMETRIA"),0)</f>
        <v>0</v>
      </c>
      <c r="M1059" s="10">
        <f>IFERROR(SUMIFS('Base bordo'!G$2:G$746,'Base bordo'!C$2:C$746,A1059,'Base bordo'!B$2:B$746,B1059,'Base bordo'!F$2:F$746,"AGUARDANDO MANUTENCAO"),0)</f>
        <v>0</v>
      </c>
      <c r="N1059" s="10">
        <f>IFERROR(SUMIFS('Base bordo'!G$2:G$746,'Base bordo'!C$2:C$746,A1059,'Base bordo'!B$2:B$746,B1059,'Base bordo'!F$2:F$746,"SEM APONTAMENTO"),0)</f>
        <v>0</v>
      </c>
      <c r="O1059" s="10">
        <f t="shared" si="108"/>
        <v>0</v>
      </c>
      <c r="P1059" s="10">
        <f>IFERROR(SUMIFS('Base bordo'!G$2:G$746,'Base bordo'!C$2:C$746,A1059,'Base bordo'!B$2:B$746,B1059),0)</f>
        <v>7.9444444444444443E-2</v>
      </c>
      <c r="Q1059" s="10">
        <f>IFERROR(SUMIFS('Base bordo'!H$2:H$746,'Base bordo'!C$2:C$746,A1059,'Base bordo'!B$2:B$746,B1059,'Base bordo'!F$2:F$746,"DESLOCAMENTO VAZIO"),0)</f>
        <v>2113.54</v>
      </c>
      <c r="R1059" s="10">
        <f>IFERROR(SUMIFS('Base bordo'!I$2:I$746,'Base bordo'!C$2:C$746,A1059,'Base bordo'!B$2:B$746,B1059,'Base bordo'!F$2:F$746,"DESLOCAMENTO VAZIO"),0)</f>
        <v>286</v>
      </c>
      <c r="S1059" s="30">
        <f t="shared" si="109"/>
        <v>7.39</v>
      </c>
      <c r="T1059" s="10">
        <f>IFERROR(SUMIFS('Base bordo'!H$2:H$746,'Base bordo'!C$2:C$746,A1059,'Base bordo'!B$2:B$746,B1059,'Base bordo'!F$2:F$746,"DESLOCAMENTO CARREGADO"),0)</f>
        <v>0</v>
      </c>
      <c r="U1059" s="10">
        <f>IFERROR(SUMIFS('Base bordo'!I$2:I$746,'Base bordo'!C$2:C$746,A1059,'Base bordo'!B$2:B$746,B1059,'Base bordo'!F$2:F$746,"DESLOCAMENTO CARREGADO"),0)</f>
        <v>0</v>
      </c>
      <c r="V1059" s="30" t="str">
        <f t="shared" si="110"/>
        <v/>
      </c>
      <c r="W1059" s="9">
        <f t="shared" si="111"/>
        <v>1</v>
      </c>
      <c r="X1059" s="9">
        <f t="shared" si="112"/>
        <v>0</v>
      </c>
      <c r="Y1059" s="9">
        <f t="shared" si="113"/>
        <v>0</v>
      </c>
    </row>
    <row r="1060" spans="1:25" ht="15" customHeight="1" x14ac:dyDescent="0.35">
      <c r="A1060" s="52">
        <v>8013474</v>
      </c>
      <c r="B1060" s="51">
        <v>46122</v>
      </c>
      <c r="C1060" s="7" t="s">
        <v>124</v>
      </c>
      <c r="D1060" s="10">
        <f>IFERROR(SUMIFS('Base bordo'!G$2:G$746,'Base bordo'!C$2:C$746,A1060,'Base bordo'!B$2:B$746,B1060,'Base bordo'!F$2:F$746,"DESLOCAMENTO VAZIO"),0)</f>
        <v>0</v>
      </c>
      <c r="E1060" s="10">
        <f>IFERROR(SUMIFS('Base bordo'!G$2:G$746,'Base bordo'!C$2:C$746,A1060,'Base bordo'!B$2:B$746,B1060,'Base bordo'!F$2:F$746,"DESLOCAMENTO CARREGADO"),0)</f>
        <v>0</v>
      </c>
      <c r="F1060" s="10">
        <f>IFERROR(SUMIFS('Base bordo'!G$2:G$746,'Base bordo'!C$2:C$746,A1060,'Base bordo'!B$2:B$746,B1060,'Base bordo'!F$2:F$746,"DESLOCAMENTO"),0)</f>
        <v>0</v>
      </c>
      <c r="G1060" s="10">
        <f>IFERROR(SUMIFS('Base bordo'!G$2:G$746,'Base bordo'!C$2:C$746,A1060,'Base bordo'!B$2:B$746,B1060,'Base bordo'!F$2:F$746,"CARREGAMENTO"),0)</f>
        <v>0</v>
      </c>
      <c r="H1060" s="10">
        <f>IFERROR(SUMIFS('Base bordo'!G$2:G$746,'Base bordo'!C$2:C$746,A1060,'Base bordo'!B$2:B$746,B1060,'Base bordo'!F$2:F$746,"AGUARDANDO TRANSBORDO"),0)</f>
        <v>0</v>
      </c>
      <c r="I1060" s="10">
        <f>IFERROR(SUMIFS('Base bordo'!G$2:G$746,'Base bordo'!C$2:C$746,A1060,'Base bordo'!B$2:B$746,B1060,'Base bordo'!F$2:F$746,"PÁTIO INTERNO"),0)+IFERROR(SUMIFS('Base bordo'!G$2:G$746,'Base bordo'!C$2:C$746,A1060,'Base bordo'!B$2:B$746,B1060,'Base bordo'!F$2:F$746,"PÁTIO EXTERNO"),0)+IFERROR(SUMIFS('Base bordo'!G$2:G$746,'Base bordo'!C$2:C$746,A1060,'Base bordo'!B$2:B$746,B1060,'Base bordo'!F$2:F$746,"PATIO - RESERVA"),0)+IFERROR(SUMIFS('Base bordo'!G$2:G$746,'Base bordo'!C$2:C$746,A1060,'Base bordo'!B$2:B$746,B1060,'Base bordo'!F$2:F$746,"MANOBRA CARRETAS-PATIO"),0)</f>
        <v>0</v>
      </c>
      <c r="J1060" s="10">
        <f>IFERROR(SUMIFS('Base bordo'!G$2:G$746,'Base bordo'!C$2:C$746,A1060,'Base bordo'!B$2:B$746,B1060,'Base bordo'!F$2:F$746,"BALANÇA - ENTRADA"),0)+IFERROR(SUMIFS('Base bordo'!G$2:G$746,'Base bordo'!C$2:C$746,A1060,'Base bordo'!B$2:B$746,B1060,'Base bordo'!F$2:F$746,"BALANÇA - SAÍDA"),0)</f>
        <v>0</v>
      </c>
      <c r="K1060" s="10">
        <f>IFERROR(SUMIFS('Base bordo'!G$2:G$746,'Base bordo'!C$2:C$746,A1060,'Base bordo'!B$2:B$746,B1060,'Base bordo'!F$2:F$746,"MAN PREVENTIVA - MECANICA"),0)+IFERROR(SUMIFS('Base bordo'!G$2:G$746,'Base bordo'!C$2:C$746,A1060,'Base bordo'!B$2:B$746,B1060,'Base bordo'!F$2:F$746,"MAN CORRETIVA - MECANICA"),0)</f>
        <v>0</v>
      </c>
      <c r="L1060" s="10">
        <f>IFERROR(SUMIFS('Base bordo'!G$2:G$746,'Base bordo'!C$2:C$746,A1060,'Base bordo'!B$2:B$746,B1060,'Base bordo'!F$2:F$746,"MANUTENCAO - T O"),0)+IFERROR(SUMIFS('Base bordo'!G$2:G$746,'Base bordo'!C$2:C$746,A1060,'Base bordo'!B$2:B$746,B1060,'Base bordo'!F$2:F$746,"MANUTENCAO BORRACHARIA"),0)+IFERROR(SUMIFS('Base bordo'!G$2:G$746,'Base bordo'!C$2:C$746,A1060,'Base bordo'!B$2:B$746,B1060,'Base bordo'!F$2:F$746,"MANUTENCAO EXTERNA  CONCESSIONARIA"),0)+IFERROR(SUMIFS('Base bordo'!G$2:G$746,'Base bordo'!C$2:C$746,A1060,'Base bordo'!B$2:B$746,B1060,'Base bordo'!F$2:F$746,"MANUTENCAO TELEMETRIA"),0)</f>
        <v>0</v>
      </c>
      <c r="M1060" s="10">
        <f>IFERROR(SUMIFS('Base bordo'!G$2:G$746,'Base bordo'!C$2:C$746,A1060,'Base bordo'!B$2:B$746,B1060,'Base bordo'!F$2:F$746,"AGUARDANDO MANUTENCAO"),0)</f>
        <v>0</v>
      </c>
      <c r="N1060" s="10">
        <f>IFERROR(SUMIFS('Base bordo'!G$2:G$746,'Base bordo'!C$2:C$746,A1060,'Base bordo'!B$2:B$746,B1060,'Base bordo'!F$2:F$746,"SEM APONTAMENTO"),0)</f>
        <v>0</v>
      </c>
      <c r="O1060" s="10">
        <f t="shared" si="108"/>
        <v>0</v>
      </c>
      <c r="P1060" s="10">
        <f>IFERROR(SUMIFS('Base bordo'!G$2:G$746,'Base bordo'!C$2:C$746,A1060,'Base bordo'!B$2:B$746,B1060),0)</f>
        <v>0</v>
      </c>
      <c r="Q1060" s="10">
        <f>IFERROR(SUMIFS('Base bordo'!H$2:H$746,'Base bordo'!C$2:C$746,A1060,'Base bordo'!B$2:B$746,B1060,'Base bordo'!F$2:F$746,"DESLOCAMENTO VAZIO"),0)</f>
        <v>0</v>
      </c>
      <c r="R1060" s="10">
        <f>IFERROR(SUMIFS('Base bordo'!I$2:I$746,'Base bordo'!C$2:C$746,A1060,'Base bordo'!B$2:B$746,B1060,'Base bordo'!F$2:F$746,"DESLOCAMENTO VAZIO"),0)</f>
        <v>0</v>
      </c>
      <c r="S1060" s="30" t="str">
        <f t="shared" si="109"/>
        <v/>
      </c>
      <c r="T1060" s="10">
        <f>IFERROR(SUMIFS('Base bordo'!H$2:H$746,'Base bordo'!C$2:C$746,A1060,'Base bordo'!B$2:B$746,B1060,'Base bordo'!F$2:F$746,"DESLOCAMENTO CARREGADO"),0)</f>
        <v>0</v>
      </c>
      <c r="U1060" s="10">
        <f>IFERROR(SUMIFS('Base bordo'!I$2:I$746,'Base bordo'!C$2:C$746,A1060,'Base bordo'!B$2:B$746,B1060,'Base bordo'!F$2:F$746,"DESLOCAMENTO CARREGADO"),0)</f>
        <v>0</v>
      </c>
      <c r="V1060" s="30" t="str">
        <f t="shared" si="110"/>
        <v/>
      </c>
      <c r="W1060" s="9">
        <f t="shared" si="111"/>
        <v>0</v>
      </c>
      <c r="X1060" s="9">
        <f t="shared" si="112"/>
        <v>0</v>
      </c>
      <c r="Y1060" s="9">
        <f t="shared" si="113"/>
        <v>0</v>
      </c>
    </row>
    <row r="1061" spans="1:25" ht="15" customHeight="1" x14ac:dyDescent="0.35">
      <c r="A1061" s="52">
        <v>8013475</v>
      </c>
      <c r="B1061" s="51">
        <v>46122</v>
      </c>
      <c r="C1061" s="7" t="s">
        <v>124</v>
      </c>
      <c r="D1061" s="10">
        <f>IFERROR(SUMIFS('Base bordo'!G$2:G$746,'Base bordo'!C$2:C$746,A1061,'Base bordo'!B$2:B$746,B1061,'Base bordo'!F$2:F$746,"DESLOCAMENTO VAZIO"),0)</f>
        <v>0</v>
      </c>
      <c r="E1061" s="10">
        <f>IFERROR(SUMIFS('Base bordo'!G$2:G$746,'Base bordo'!C$2:C$746,A1061,'Base bordo'!B$2:B$746,B1061,'Base bordo'!F$2:F$746,"DESLOCAMENTO CARREGADO"),0)</f>
        <v>0</v>
      </c>
      <c r="F1061" s="10">
        <f>IFERROR(SUMIFS('Base bordo'!G$2:G$746,'Base bordo'!C$2:C$746,A1061,'Base bordo'!B$2:B$746,B1061,'Base bordo'!F$2:F$746,"DESLOCAMENTO"),0)</f>
        <v>0</v>
      </c>
      <c r="G1061" s="10">
        <f>IFERROR(SUMIFS('Base bordo'!G$2:G$746,'Base bordo'!C$2:C$746,A1061,'Base bordo'!B$2:B$746,B1061,'Base bordo'!F$2:F$746,"CARREGAMENTO"),0)</f>
        <v>0</v>
      </c>
      <c r="H1061" s="10">
        <f>IFERROR(SUMIFS('Base bordo'!G$2:G$746,'Base bordo'!C$2:C$746,A1061,'Base bordo'!B$2:B$746,B1061,'Base bordo'!F$2:F$746,"AGUARDANDO TRANSBORDO"),0)</f>
        <v>0</v>
      </c>
      <c r="I1061" s="10">
        <f>IFERROR(SUMIFS('Base bordo'!G$2:G$746,'Base bordo'!C$2:C$746,A1061,'Base bordo'!B$2:B$746,B1061,'Base bordo'!F$2:F$746,"PÁTIO INTERNO"),0)+IFERROR(SUMIFS('Base bordo'!G$2:G$746,'Base bordo'!C$2:C$746,A1061,'Base bordo'!B$2:B$746,B1061,'Base bordo'!F$2:F$746,"PÁTIO EXTERNO"),0)+IFERROR(SUMIFS('Base bordo'!G$2:G$746,'Base bordo'!C$2:C$746,A1061,'Base bordo'!B$2:B$746,B1061,'Base bordo'!F$2:F$746,"PATIO - RESERVA"),0)+IFERROR(SUMIFS('Base bordo'!G$2:G$746,'Base bordo'!C$2:C$746,A1061,'Base bordo'!B$2:B$746,B1061,'Base bordo'!F$2:F$746,"MANOBRA CARRETAS-PATIO"),0)</f>
        <v>0</v>
      </c>
      <c r="J1061" s="10">
        <f>IFERROR(SUMIFS('Base bordo'!G$2:G$746,'Base bordo'!C$2:C$746,A1061,'Base bordo'!B$2:B$746,B1061,'Base bordo'!F$2:F$746,"BALANÇA - ENTRADA"),0)+IFERROR(SUMIFS('Base bordo'!G$2:G$746,'Base bordo'!C$2:C$746,A1061,'Base bordo'!B$2:B$746,B1061,'Base bordo'!F$2:F$746,"BALANÇA - SAÍDA"),0)</f>
        <v>0</v>
      </c>
      <c r="K1061" s="10">
        <f>IFERROR(SUMIFS('Base bordo'!G$2:G$746,'Base bordo'!C$2:C$746,A1061,'Base bordo'!B$2:B$746,B1061,'Base bordo'!F$2:F$746,"MAN PREVENTIVA - MECANICA"),0)+IFERROR(SUMIFS('Base bordo'!G$2:G$746,'Base bordo'!C$2:C$746,A1061,'Base bordo'!B$2:B$746,B1061,'Base bordo'!F$2:F$746,"MAN CORRETIVA - MECANICA"),0)</f>
        <v>0</v>
      </c>
      <c r="L1061" s="10">
        <f>IFERROR(SUMIFS('Base bordo'!G$2:G$746,'Base bordo'!C$2:C$746,A1061,'Base bordo'!B$2:B$746,B1061,'Base bordo'!F$2:F$746,"MANUTENCAO - T O"),0)+IFERROR(SUMIFS('Base bordo'!G$2:G$746,'Base bordo'!C$2:C$746,A1061,'Base bordo'!B$2:B$746,B1061,'Base bordo'!F$2:F$746,"MANUTENCAO BORRACHARIA"),0)+IFERROR(SUMIFS('Base bordo'!G$2:G$746,'Base bordo'!C$2:C$746,A1061,'Base bordo'!B$2:B$746,B1061,'Base bordo'!F$2:F$746,"MANUTENCAO EXTERNA  CONCESSIONARIA"),0)+IFERROR(SUMIFS('Base bordo'!G$2:G$746,'Base bordo'!C$2:C$746,A1061,'Base bordo'!B$2:B$746,B1061,'Base bordo'!F$2:F$746,"MANUTENCAO TELEMETRIA"),0)</f>
        <v>0</v>
      </c>
      <c r="M1061" s="10">
        <f>IFERROR(SUMIFS('Base bordo'!G$2:G$746,'Base bordo'!C$2:C$746,A1061,'Base bordo'!B$2:B$746,B1061,'Base bordo'!F$2:F$746,"AGUARDANDO MANUTENCAO"),0)</f>
        <v>0</v>
      </c>
      <c r="N1061" s="10">
        <f>IFERROR(SUMIFS('Base bordo'!G$2:G$746,'Base bordo'!C$2:C$746,A1061,'Base bordo'!B$2:B$746,B1061,'Base bordo'!F$2:F$746,"SEM APONTAMENTO"),0)</f>
        <v>0</v>
      </c>
      <c r="O1061" s="10">
        <f t="shared" si="108"/>
        <v>0</v>
      </c>
      <c r="P1061" s="10">
        <f>IFERROR(SUMIFS('Base bordo'!G$2:G$746,'Base bordo'!C$2:C$746,A1061,'Base bordo'!B$2:B$746,B1061),0)</f>
        <v>0</v>
      </c>
      <c r="Q1061" s="10">
        <f>IFERROR(SUMIFS('Base bordo'!H$2:H$746,'Base bordo'!C$2:C$746,A1061,'Base bordo'!B$2:B$746,B1061,'Base bordo'!F$2:F$746,"DESLOCAMENTO VAZIO"),0)</f>
        <v>0</v>
      </c>
      <c r="R1061" s="10">
        <f>IFERROR(SUMIFS('Base bordo'!I$2:I$746,'Base bordo'!C$2:C$746,A1061,'Base bordo'!B$2:B$746,B1061,'Base bordo'!F$2:F$746,"DESLOCAMENTO VAZIO"),0)</f>
        <v>0</v>
      </c>
      <c r="S1061" s="30" t="str">
        <f t="shared" si="109"/>
        <v/>
      </c>
      <c r="T1061" s="10">
        <f>IFERROR(SUMIFS('Base bordo'!H$2:H$746,'Base bordo'!C$2:C$746,A1061,'Base bordo'!B$2:B$746,B1061,'Base bordo'!F$2:F$746,"DESLOCAMENTO CARREGADO"),0)</f>
        <v>0</v>
      </c>
      <c r="U1061" s="10">
        <f>IFERROR(SUMIFS('Base bordo'!I$2:I$746,'Base bordo'!C$2:C$746,A1061,'Base bordo'!B$2:B$746,B1061,'Base bordo'!F$2:F$746,"DESLOCAMENTO CARREGADO"),0)</f>
        <v>0</v>
      </c>
      <c r="V1061" s="30" t="str">
        <f t="shared" si="110"/>
        <v/>
      </c>
      <c r="W1061" s="9">
        <f t="shared" si="111"/>
        <v>0</v>
      </c>
      <c r="X1061" s="9">
        <f t="shared" si="112"/>
        <v>0</v>
      </c>
      <c r="Y1061" s="9">
        <f t="shared" si="113"/>
        <v>0</v>
      </c>
    </row>
    <row r="1062" spans="1:25" ht="15" customHeight="1" x14ac:dyDescent="0.35">
      <c r="A1062" s="52">
        <v>8013475</v>
      </c>
      <c r="B1062" s="51">
        <v>46122</v>
      </c>
      <c r="C1062" s="7" t="s">
        <v>124</v>
      </c>
      <c r="D1062" s="10">
        <f>IFERROR(SUMIFS('Base bordo'!G$2:G$746,'Base bordo'!C$2:C$746,A1062,'Base bordo'!B$2:B$746,B1062,'Base bordo'!F$2:F$746,"DESLOCAMENTO VAZIO"),0)</f>
        <v>0</v>
      </c>
      <c r="E1062" s="10">
        <f>IFERROR(SUMIFS('Base bordo'!G$2:G$746,'Base bordo'!C$2:C$746,A1062,'Base bordo'!B$2:B$746,B1062,'Base bordo'!F$2:F$746,"DESLOCAMENTO CARREGADO"),0)</f>
        <v>0</v>
      </c>
      <c r="F1062" s="10">
        <f>IFERROR(SUMIFS('Base bordo'!G$2:G$746,'Base bordo'!C$2:C$746,A1062,'Base bordo'!B$2:B$746,B1062,'Base bordo'!F$2:F$746,"DESLOCAMENTO"),0)</f>
        <v>0</v>
      </c>
      <c r="G1062" s="10">
        <f>IFERROR(SUMIFS('Base bordo'!G$2:G$746,'Base bordo'!C$2:C$746,A1062,'Base bordo'!B$2:B$746,B1062,'Base bordo'!F$2:F$746,"CARREGAMENTO"),0)</f>
        <v>0</v>
      </c>
      <c r="H1062" s="10">
        <f>IFERROR(SUMIFS('Base bordo'!G$2:G$746,'Base bordo'!C$2:C$746,A1062,'Base bordo'!B$2:B$746,B1062,'Base bordo'!F$2:F$746,"AGUARDANDO TRANSBORDO"),0)</f>
        <v>0</v>
      </c>
      <c r="I1062" s="10">
        <f>IFERROR(SUMIFS('Base bordo'!G$2:G$746,'Base bordo'!C$2:C$746,A1062,'Base bordo'!B$2:B$746,B1062,'Base bordo'!F$2:F$746,"PÁTIO INTERNO"),0)+IFERROR(SUMIFS('Base bordo'!G$2:G$746,'Base bordo'!C$2:C$746,A1062,'Base bordo'!B$2:B$746,B1062,'Base bordo'!F$2:F$746,"PÁTIO EXTERNO"),0)+IFERROR(SUMIFS('Base bordo'!G$2:G$746,'Base bordo'!C$2:C$746,A1062,'Base bordo'!B$2:B$746,B1062,'Base bordo'!F$2:F$746,"PATIO - RESERVA"),0)+IFERROR(SUMIFS('Base bordo'!G$2:G$746,'Base bordo'!C$2:C$746,A1062,'Base bordo'!B$2:B$746,B1062,'Base bordo'!F$2:F$746,"MANOBRA CARRETAS-PATIO"),0)</f>
        <v>0</v>
      </c>
      <c r="J1062" s="10">
        <f>IFERROR(SUMIFS('Base bordo'!G$2:G$746,'Base bordo'!C$2:C$746,A1062,'Base bordo'!B$2:B$746,B1062,'Base bordo'!F$2:F$746,"BALANÇA - ENTRADA"),0)+IFERROR(SUMIFS('Base bordo'!G$2:G$746,'Base bordo'!C$2:C$746,A1062,'Base bordo'!B$2:B$746,B1062,'Base bordo'!F$2:F$746,"BALANÇA - SAÍDA"),0)</f>
        <v>0</v>
      </c>
      <c r="K1062" s="10">
        <f>IFERROR(SUMIFS('Base bordo'!G$2:G$746,'Base bordo'!C$2:C$746,A1062,'Base bordo'!B$2:B$746,B1062,'Base bordo'!F$2:F$746,"MAN PREVENTIVA - MECANICA"),0)+IFERROR(SUMIFS('Base bordo'!G$2:G$746,'Base bordo'!C$2:C$746,A1062,'Base bordo'!B$2:B$746,B1062,'Base bordo'!F$2:F$746,"MAN CORRETIVA - MECANICA"),0)</f>
        <v>0</v>
      </c>
      <c r="L1062" s="10">
        <f>IFERROR(SUMIFS('Base bordo'!G$2:G$746,'Base bordo'!C$2:C$746,A1062,'Base bordo'!B$2:B$746,B1062,'Base bordo'!F$2:F$746,"MANUTENCAO - T O"),0)+IFERROR(SUMIFS('Base bordo'!G$2:G$746,'Base bordo'!C$2:C$746,A1062,'Base bordo'!B$2:B$746,B1062,'Base bordo'!F$2:F$746,"MANUTENCAO BORRACHARIA"),0)+IFERROR(SUMIFS('Base bordo'!G$2:G$746,'Base bordo'!C$2:C$746,A1062,'Base bordo'!B$2:B$746,B1062,'Base bordo'!F$2:F$746,"MANUTENCAO EXTERNA  CONCESSIONARIA"),0)+IFERROR(SUMIFS('Base bordo'!G$2:G$746,'Base bordo'!C$2:C$746,A1062,'Base bordo'!B$2:B$746,B1062,'Base bordo'!F$2:F$746,"MANUTENCAO TELEMETRIA"),0)</f>
        <v>0</v>
      </c>
      <c r="M1062" s="10">
        <f>IFERROR(SUMIFS('Base bordo'!G$2:G$746,'Base bordo'!C$2:C$746,A1062,'Base bordo'!B$2:B$746,B1062,'Base bordo'!F$2:F$746,"AGUARDANDO MANUTENCAO"),0)</f>
        <v>0</v>
      </c>
      <c r="N1062" s="10">
        <f>IFERROR(SUMIFS('Base bordo'!G$2:G$746,'Base bordo'!C$2:C$746,A1062,'Base bordo'!B$2:B$746,B1062,'Base bordo'!F$2:F$746,"SEM APONTAMENTO"),0)</f>
        <v>0</v>
      </c>
      <c r="O1062" s="10">
        <f t="shared" si="108"/>
        <v>0</v>
      </c>
      <c r="P1062" s="10">
        <f>IFERROR(SUMIFS('Base bordo'!G$2:G$746,'Base bordo'!C$2:C$746,A1062,'Base bordo'!B$2:B$746,B1062),0)</f>
        <v>0</v>
      </c>
      <c r="Q1062" s="10">
        <f>IFERROR(SUMIFS('Base bordo'!H$2:H$746,'Base bordo'!C$2:C$746,A1062,'Base bordo'!B$2:B$746,B1062,'Base bordo'!F$2:F$746,"DESLOCAMENTO VAZIO"),0)</f>
        <v>0</v>
      </c>
      <c r="R1062" s="10">
        <f>IFERROR(SUMIFS('Base bordo'!I$2:I$746,'Base bordo'!C$2:C$746,A1062,'Base bordo'!B$2:B$746,B1062,'Base bordo'!F$2:F$746,"DESLOCAMENTO VAZIO"),0)</f>
        <v>0</v>
      </c>
      <c r="S1062" s="30" t="str">
        <f t="shared" si="109"/>
        <v/>
      </c>
      <c r="T1062" s="10">
        <f>IFERROR(SUMIFS('Base bordo'!H$2:H$746,'Base bordo'!C$2:C$746,A1062,'Base bordo'!B$2:B$746,B1062,'Base bordo'!F$2:F$746,"DESLOCAMENTO CARREGADO"),0)</f>
        <v>0</v>
      </c>
      <c r="U1062" s="10">
        <f>IFERROR(SUMIFS('Base bordo'!I$2:I$746,'Base bordo'!C$2:C$746,A1062,'Base bordo'!B$2:B$746,B1062,'Base bordo'!F$2:F$746,"DESLOCAMENTO CARREGADO"),0)</f>
        <v>0</v>
      </c>
      <c r="V1062" s="30" t="str">
        <f t="shared" si="110"/>
        <v/>
      </c>
      <c r="W1062" s="9">
        <f t="shared" si="111"/>
        <v>0</v>
      </c>
      <c r="X1062" s="9">
        <f t="shared" si="112"/>
        <v>0</v>
      </c>
      <c r="Y1062" s="9">
        <f t="shared" si="113"/>
        <v>0</v>
      </c>
    </row>
    <row r="1063" spans="1:25" ht="15" customHeight="1" x14ac:dyDescent="0.35">
      <c r="A1063" s="52">
        <v>8013475</v>
      </c>
      <c r="B1063" s="51">
        <v>46122</v>
      </c>
      <c r="C1063" s="7" t="s">
        <v>124</v>
      </c>
      <c r="D1063" s="10">
        <f>IFERROR(SUMIFS('Base bordo'!G$2:G$746,'Base bordo'!C$2:C$746,A1063,'Base bordo'!B$2:B$746,B1063,'Base bordo'!F$2:F$746,"DESLOCAMENTO VAZIO"),0)</f>
        <v>0</v>
      </c>
      <c r="E1063" s="10">
        <f>IFERROR(SUMIFS('Base bordo'!G$2:G$746,'Base bordo'!C$2:C$746,A1063,'Base bordo'!B$2:B$746,B1063,'Base bordo'!F$2:F$746,"DESLOCAMENTO CARREGADO"),0)</f>
        <v>0</v>
      </c>
      <c r="F1063" s="10">
        <f>IFERROR(SUMIFS('Base bordo'!G$2:G$746,'Base bordo'!C$2:C$746,A1063,'Base bordo'!B$2:B$746,B1063,'Base bordo'!F$2:F$746,"DESLOCAMENTO"),0)</f>
        <v>0</v>
      </c>
      <c r="G1063" s="10">
        <f>IFERROR(SUMIFS('Base bordo'!G$2:G$746,'Base bordo'!C$2:C$746,A1063,'Base bordo'!B$2:B$746,B1063,'Base bordo'!F$2:F$746,"CARREGAMENTO"),0)</f>
        <v>0</v>
      </c>
      <c r="H1063" s="10">
        <f>IFERROR(SUMIFS('Base bordo'!G$2:G$746,'Base bordo'!C$2:C$746,A1063,'Base bordo'!B$2:B$746,B1063,'Base bordo'!F$2:F$746,"AGUARDANDO TRANSBORDO"),0)</f>
        <v>0</v>
      </c>
      <c r="I1063" s="10">
        <f>IFERROR(SUMIFS('Base bordo'!G$2:G$746,'Base bordo'!C$2:C$746,A1063,'Base bordo'!B$2:B$746,B1063,'Base bordo'!F$2:F$746,"PÁTIO INTERNO"),0)+IFERROR(SUMIFS('Base bordo'!G$2:G$746,'Base bordo'!C$2:C$746,A1063,'Base bordo'!B$2:B$746,B1063,'Base bordo'!F$2:F$746,"PÁTIO EXTERNO"),0)+IFERROR(SUMIFS('Base bordo'!G$2:G$746,'Base bordo'!C$2:C$746,A1063,'Base bordo'!B$2:B$746,B1063,'Base bordo'!F$2:F$746,"PATIO - RESERVA"),0)+IFERROR(SUMIFS('Base bordo'!G$2:G$746,'Base bordo'!C$2:C$746,A1063,'Base bordo'!B$2:B$746,B1063,'Base bordo'!F$2:F$746,"MANOBRA CARRETAS-PATIO"),0)</f>
        <v>0</v>
      </c>
      <c r="J1063" s="10">
        <f>IFERROR(SUMIFS('Base bordo'!G$2:G$746,'Base bordo'!C$2:C$746,A1063,'Base bordo'!B$2:B$746,B1063,'Base bordo'!F$2:F$746,"BALANÇA - ENTRADA"),0)+IFERROR(SUMIFS('Base bordo'!G$2:G$746,'Base bordo'!C$2:C$746,A1063,'Base bordo'!B$2:B$746,B1063,'Base bordo'!F$2:F$746,"BALANÇA - SAÍDA"),0)</f>
        <v>0</v>
      </c>
      <c r="K1063" s="10">
        <f>IFERROR(SUMIFS('Base bordo'!G$2:G$746,'Base bordo'!C$2:C$746,A1063,'Base bordo'!B$2:B$746,B1063,'Base bordo'!F$2:F$746,"MAN PREVENTIVA - MECANICA"),0)+IFERROR(SUMIFS('Base bordo'!G$2:G$746,'Base bordo'!C$2:C$746,A1063,'Base bordo'!B$2:B$746,B1063,'Base bordo'!F$2:F$746,"MAN CORRETIVA - MECANICA"),0)</f>
        <v>0</v>
      </c>
      <c r="L1063" s="10">
        <f>IFERROR(SUMIFS('Base bordo'!G$2:G$746,'Base bordo'!C$2:C$746,A1063,'Base bordo'!B$2:B$746,B1063,'Base bordo'!F$2:F$746,"MANUTENCAO - T O"),0)+IFERROR(SUMIFS('Base bordo'!G$2:G$746,'Base bordo'!C$2:C$746,A1063,'Base bordo'!B$2:B$746,B1063,'Base bordo'!F$2:F$746,"MANUTENCAO BORRACHARIA"),0)+IFERROR(SUMIFS('Base bordo'!G$2:G$746,'Base bordo'!C$2:C$746,A1063,'Base bordo'!B$2:B$746,B1063,'Base bordo'!F$2:F$746,"MANUTENCAO EXTERNA  CONCESSIONARIA"),0)+IFERROR(SUMIFS('Base bordo'!G$2:G$746,'Base bordo'!C$2:C$746,A1063,'Base bordo'!B$2:B$746,B1063,'Base bordo'!F$2:F$746,"MANUTENCAO TELEMETRIA"),0)</f>
        <v>0</v>
      </c>
      <c r="M1063" s="10">
        <f>IFERROR(SUMIFS('Base bordo'!G$2:G$746,'Base bordo'!C$2:C$746,A1063,'Base bordo'!B$2:B$746,B1063,'Base bordo'!F$2:F$746,"AGUARDANDO MANUTENCAO"),0)</f>
        <v>0</v>
      </c>
      <c r="N1063" s="10">
        <f>IFERROR(SUMIFS('Base bordo'!G$2:G$746,'Base bordo'!C$2:C$746,A1063,'Base bordo'!B$2:B$746,B1063,'Base bordo'!F$2:F$746,"SEM APONTAMENTO"),0)</f>
        <v>0</v>
      </c>
      <c r="O1063" s="10">
        <f t="shared" si="108"/>
        <v>0</v>
      </c>
      <c r="P1063" s="10">
        <f>IFERROR(SUMIFS('Base bordo'!G$2:G$746,'Base bordo'!C$2:C$746,A1063,'Base bordo'!B$2:B$746,B1063),0)</f>
        <v>0</v>
      </c>
      <c r="Q1063" s="10">
        <f>IFERROR(SUMIFS('Base bordo'!H$2:H$746,'Base bordo'!C$2:C$746,A1063,'Base bordo'!B$2:B$746,B1063,'Base bordo'!F$2:F$746,"DESLOCAMENTO VAZIO"),0)</f>
        <v>0</v>
      </c>
      <c r="R1063" s="10">
        <f>IFERROR(SUMIFS('Base bordo'!I$2:I$746,'Base bordo'!C$2:C$746,A1063,'Base bordo'!B$2:B$746,B1063,'Base bordo'!F$2:F$746,"DESLOCAMENTO VAZIO"),0)</f>
        <v>0</v>
      </c>
      <c r="S1063" s="30" t="str">
        <f t="shared" si="109"/>
        <v/>
      </c>
      <c r="T1063" s="10">
        <f>IFERROR(SUMIFS('Base bordo'!H$2:H$746,'Base bordo'!C$2:C$746,A1063,'Base bordo'!B$2:B$746,B1063,'Base bordo'!F$2:F$746,"DESLOCAMENTO CARREGADO"),0)</f>
        <v>0</v>
      </c>
      <c r="U1063" s="10">
        <f>IFERROR(SUMIFS('Base bordo'!I$2:I$746,'Base bordo'!C$2:C$746,A1063,'Base bordo'!B$2:B$746,B1063,'Base bordo'!F$2:F$746,"DESLOCAMENTO CARREGADO"),0)</f>
        <v>0</v>
      </c>
      <c r="V1063" s="30" t="str">
        <f t="shared" si="110"/>
        <v/>
      </c>
      <c r="W1063" s="9">
        <f t="shared" si="111"/>
        <v>0</v>
      </c>
      <c r="X1063" s="9">
        <f t="shared" si="112"/>
        <v>0</v>
      </c>
      <c r="Y1063" s="9">
        <f t="shared" si="113"/>
        <v>0</v>
      </c>
    </row>
    <row r="1064" spans="1:25" ht="15" customHeight="1" x14ac:dyDescent="0.35">
      <c r="A1064" s="52">
        <v>8013476</v>
      </c>
      <c r="B1064" s="51">
        <v>46122</v>
      </c>
      <c r="C1064" s="7" t="s">
        <v>124</v>
      </c>
      <c r="D1064" s="10">
        <f>IFERROR(SUMIFS('Base bordo'!G$2:G$746,'Base bordo'!C$2:C$746,A1064,'Base bordo'!B$2:B$746,B1064,'Base bordo'!F$2:F$746,"DESLOCAMENTO VAZIO"),0)</f>
        <v>0</v>
      </c>
      <c r="E1064" s="10">
        <f>IFERROR(SUMIFS('Base bordo'!G$2:G$746,'Base bordo'!C$2:C$746,A1064,'Base bordo'!B$2:B$746,B1064,'Base bordo'!F$2:F$746,"DESLOCAMENTO CARREGADO"),0)</f>
        <v>0</v>
      </c>
      <c r="F1064" s="10">
        <f>IFERROR(SUMIFS('Base bordo'!G$2:G$746,'Base bordo'!C$2:C$746,A1064,'Base bordo'!B$2:B$746,B1064,'Base bordo'!F$2:F$746,"DESLOCAMENTO"),0)</f>
        <v>0</v>
      </c>
      <c r="G1064" s="10">
        <f>IFERROR(SUMIFS('Base bordo'!G$2:G$746,'Base bordo'!C$2:C$746,A1064,'Base bordo'!B$2:B$746,B1064,'Base bordo'!F$2:F$746,"CARREGAMENTO"),0)</f>
        <v>0</v>
      </c>
      <c r="H1064" s="10">
        <f>IFERROR(SUMIFS('Base bordo'!G$2:G$746,'Base bordo'!C$2:C$746,A1064,'Base bordo'!B$2:B$746,B1064,'Base bordo'!F$2:F$746,"AGUARDANDO TRANSBORDO"),0)</f>
        <v>0</v>
      </c>
      <c r="I1064" s="10">
        <f>IFERROR(SUMIFS('Base bordo'!G$2:G$746,'Base bordo'!C$2:C$746,A1064,'Base bordo'!B$2:B$746,B1064,'Base bordo'!F$2:F$746,"PÁTIO INTERNO"),0)+IFERROR(SUMIFS('Base bordo'!G$2:G$746,'Base bordo'!C$2:C$746,A1064,'Base bordo'!B$2:B$746,B1064,'Base bordo'!F$2:F$746,"PÁTIO EXTERNO"),0)+IFERROR(SUMIFS('Base bordo'!G$2:G$746,'Base bordo'!C$2:C$746,A1064,'Base bordo'!B$2:B$746,B1064,'Base bordo'!F$2:F$746,"PATIO - RESERVA"),0)+IFERROR(SUMIFS('Base bordo'!G$2:G$746,'Base bordo'!C$2:C$746,A1064,'Base bordo'!B$2:B$746,B1064,'Base bordo'!F$2:F$746,"MANOBRA CARRETAS-PATIO"),0)</f>
        <v>0</v>
      </c>
      <c r="J1064" s="10">
        <f>IFERROR(SUMIFS('Base bordo'!G$2:G$746,'Base bordo'!C$2:C$746,A1064,'Base bordo'!B$2:B$746,B1064,'Base bordo'!F$2:F$746,"BALANÇA - ENTRADA"),0)+IFERROR(SUMIFS('Base bordo'!G$2:G$746,'Base bordo'!C$2:C$746,A1064,'Base bordo'!B$2:B$746,B1064,'Base bordo'!F$2:F$746,"BALANÇA - SAÍDA"),0)</f>
        <v>0</v>
      </c>
      <c r="K1064" s="10">
        <f>IFERROR(SUMIFS('Base bordo'!G$2:G$746,'Base bordo'!C$2:C$746,A1064,'Base bordo'!B$2:B$746,B1064,'Base bordo'!F$2:F$746,"MAN PREVENTIVA - MECANICA"),0)+IFERROR(SUMIFS('Base bordo'!G$2:G$746,'Base bordo'!C$2:C$746,A1064,'Base bordo'!B$2:B$746,B1064,'Base bordo'!F$2:F$746,"MAN CORRETIVA - MECANICA"),0)</f>
        <v>0</v>
      </c>
      <c r="L1064" s="10">
        <f>IFERROR(SUMIFS('Base bordo'!G$2:G$746,'Base bordo'!C$2:C$746,A1064,'Base bordo'!B$2:B$746,B1064,'Base bordo'!F$2:F$746,"MANUTENCAO - T O"),0)+IFERROR(SUMIFS('Base bordo'!G$2:G$746,'Base bordo'!C$2:C$746,A1064,'Base bordo'!B$2:B$746,B1064,'Base bordo'!F$2:F$746,"MANUTENCAO BORRACHARIA"),0)+IFERROR(SUMIFS('Base bordo'!G$2:G$746,'Base bordo'!C$2:C$746,A1064,'Base bordo'!B$2:B$746,B1064,'Base bordo'!F$2:F$746,"MANUTENCAO EXTERNA  CONCESSIONARIA"),0)+IFERROR(SUMIFS('Base bordo'!G$2:G$746,'Base bordo'!C$2:C$746,A1064,'Base bordo'!B$2:B$746,B1064,'Base bordo'!F$2:F$746,"MANUTENCAO TELEMETRIA"),0)</f>
        <v>0</v>
      </c>
      <c r="M1064" s="10">
        <f>IFERROR(SUMIFS('Base bordo'!G$2:G$746,'Base bordo'!C$2:C$746,A1064,'Base bordo'!B$2:B$746,B1064,'Base bordo'!F$2:F$746,"AGUARDANDO MANUTENCAO"),0)</f>
        <v>0</v>
      </c>
      <c r="N1064" s="10">
        <f>IFERROR(SUMIFS('Base bordo'!G$2:G$746,'Base bordo'!C$2:C$746,A1064,'Base bordo'!B$2:B$746,B1064,'Base bordo'!F$2:F$746,"SEM APONTAMENTO"),0)</f>
        <v>0</v>
      </c>
      <c r="O1064" s="10">
        <f t="shared" si="108"/>
        <v>0</v>
      </c>
      <c r="P1064" s="10">
        <f>IFERROR(SUMIFS('Base bordo'!G$2:G$746,'Base bordo'!C$2:C$746,A1064,'Base bordo'!B$2:B$746,B1064),0)</f>
        <v>0</v>
      </c>
      <c r="Q1064" s="10">
        <f>IFERROR(SUMIFS('Base bordo'!H$2:H$746,'Base bordo'!C$2:C$746,A1064,'Base bordo'!B$2:B$746,B1064,'Base bordo'!F$2:F$746,"DESLOCAMENTO VAZIO"),0)</f>
        <v>0</v>
      </c>
      <c r="R1064" s="10">
        <f>IFERROR(SUMIFS('Base bordo'!I$2:I$746,'Base bordo'!C$2:C$746,A1064,'Base bordo'!B$2:B$746,B1064,'Base bordo'!F$2:F$746,"DESLOCAMENTO VAZIO"),0)</f>
        <v>0</v>
      </c>
      <c r="S1064" s="30" t="str">
        <f t="shared" si="109"/>
        <v/>
      </c>
      <c r="T1064" s="10">
        <f>IFERROR(SUMIFS('Base bordo'!H$2:H$746,'Base bordo'!C$2:C$746,A1064,'Base bordo'!B$2:B$746,B1064,'Base bordo'!F$2:F$746,"DESLOCAMENTO CARREGADO"),0)</f>
        <v>0</v>
      </c>
      <c r="U1064" s="10">
        <f>IFERROR(SUMIFS('Base bordo'!I$2:I$746,'Base bordo'!C$2:C$746,A1064,'Base bordo'!B$2:B$746,B1064,'Base bordo'!F$2:F$746,"DESLOCAMENTO CARREGADO"),0)</f>
        <v>0</v>
      </c>
      <c r="V1064" s="30" t="str">
        <f t="shared" si="110"/>
        <v/>
      </c>
      <c r="W1064" s="9">
        <f t="shared" si="111"/>
        <v>0</v>
      </c>
      <c r="X1064" s="9">
        <f t="shared" si="112"/>
        <v>0</v>
      </c>
      <c r="Y1064" s="9">
        <f t="shared" si="113"/>
        <v>0</v>
      </c>
    </row>
    <row r="1065" spans="1:25" ht="15" customHeight="1" x14ac:dyDescent="0.35">
      <c r="A1065" s="52">
        <v>8013478</v>
      </c>
      <c r="B1065" s="51">
        <v>46122</v>
      </c>
      <c r="C1065" s="7" t="s">
        <v>124</v>
      </c>
      <c r="D1065" s="10">
        <f>IFERROR(SUMIFS('Base bordo'!G$2:G$746,'Base bordo'!C$2:C$746,A1065,'Base bordo'!B$2:B$746,B1065,'Base bordo'!F$2:F$746,"DESLOCAMENTO VAZIO"),0)</f>
        <v>1.1111111111111112E-2</v>
      </c>
      <c r="E1065" s="10">
        <f>IFERROR(SUMIFS('Base bordo'!G$2:G$746,'Base bordo'!C$2:C$746,A1065,'Base bordo'!B$2:B$746,B1065,'Base bordo'!F$2:F$746,"DESLOCAMENTO CARREGADO"),0)</f>
        <v>0</v>
      </c>
      <c r="F1065" s="10">
        <f>IFERROR(SUMIFS('Base bordo'!G$2:G$746,'Base bordo'!C$2:C$746,A1065,'Base bordo'!B$2:B$746,B1065,'Base bordo'!F$2:F$746,"DESLOCAMENTO"),0)</f>
        <v>0</v>
      </c>
      <c r="G1065" s="10">
        <f>IFERROR(SUMIFS('Base bordo'!G$2:G$746,'Base bordo'!C$2:C$746,A1065,'Base bordo'!B$2:B$746,B1065,'Base bordo'!F$2:F$746,"CARREGAMENTO"),0)</f>
        <v>0</v>
      </c>
      <c r="H1065" s="10">
        <f>IFERROR(SUMIFS('Base bordo'!G$2:G$746,'Base bordo'!C$2:C$746,A1065,'Base bordo'!B$2:B$746,B1065,'Base bordo'!F$2:F$746,"AGUARDANDO TRANSBORDO"),0)</f>
        <v>0</v>
      </c>
      <c r="I1065" s="10">
        <f>IFERROR(SUMIFS('Base bordo'!G$2:G$746,'Base bordo'!C$2:C$746,A1065,'Base bordo'!B$2:B$746,B1065,'Base bordo'!F$2:F$746,"PÁTIO INTERNO"),0)+IFERROR(SUMIFS('Base bordo'!G$2:G$746,'Base bordo'!C$2:C$746,A1065,'Base bordo'!B$2:B$746,B1065,'Base bordo'!F$2:F$746,"PÁTIO EXTERNO"),0)+IFERROR(SUMIFS('Base bordo'!G$2:G$746,'Base bordo'!C$2:C$746,A1065,'Base bordo'!B$2:B$746,B1065,'Base bordo'!F$2:F$746,"PATIO - RESERVA"),0)+IFERROR(SUMIFS('Base bordo'!G$2:G$746,'Base bordo'!C$2:C$746,A1065,'Base bordo'!B$2:B$746,B1065,'Base bordo'!F$2:F$746,"MANOBRA CARRETAS-PATIO"),0)</f>
        <v>0</v>
      </c>
      <c r="J1065" s="10">
        <f>IFERROR(SUMIFS('Base bordo'!G$2:G$746,'Base bordo'!C$2:C$746,A1065,'Base bordo'!B$2:B$746,B1065,'Base bordo'!F$2:F$746,"BALANÇA - ENTRADA"),0)+IFERROR(SUMIFS('Base bordo'!G$2:G$746,'Base bordo'!C$2:C$746,A1065,'Base bordo'!B$2:B$746,B1065,'Base bordo'!F$2:F$746,"BALANÇA - SAÍDA"),0)</f>
        <v>0</v>
      </c>
      <c r="K1065" s="10">
        <f>IFERROR(SUMIFS('Base bordo'!G$2:G$746,'Base bordo'!C$2:C$746,A1065,'Base bordo'!B$2:B$746,B1065,'Base bordo'!F$2:F$746,"MAN PREVENTIVA - MECANICA"),0)+IFERROR(SUMIFS('Base bordo'!G$2:G$746,'Base bordo'!C$2:C$746,A1065,'Base bordo'!B$2:B$746,B1065,'Base bordo'!F$2:F$746,"MAN CORRETIVA - MECANICA"),0)</f>
        <v>0</v>
      </c>
      <c r="L1065" s="10">
        <f>IFERROR(SUMIFS('Base bordo'!G$2:G$746,'Base bordo'!C$2:C$746,A1065,'Base bordo'!B$2:B$746,B1065,'Base bordo'!F$2:F$746,"MANUTENCAO - T O"),0)+IFERROR(SUMIFS('Base bordo'!G$2:G$746,'Base bordo'!C$2:C$746,A1065,'Base bordo'!B$2:B$746,B1065,'Base bordo'!F$2:F$746,"MANUTENCAO BORRACHARIA"),0)+IFERROR(SUMIFS('Base bordo'!G$2:G$746,'Base bordo'!C$2:C$746,A1065,'Base bordo'!B$2:B$746,B1065,'Base bordo'!F$2:F$746,"MANUTENCAO EXTERNA  CONCESSIONARIA"),0)+IFERROR(SUMIFS('Base bordo'!G$2:G$746,'Base bordo'!C$2:C$746,A1065,'Base bordo'!B$2:B$746,B1065,'Base bordo'!F$2:F$746,"MANUTENCAO TELEMETRIA"),0)</f>
        <v>0</v>
      </c>
      <c r="M1065" s="10">
        <f>IFERROR(SUMIFS('Base bordo'!G$2:G$746,'Base bordo'!C$2:C$746,A1065,'Base bordo'!B$2:B$746,B1065,'Base bordo'!F$2:F$746,"AGUARDANDO MANUTENCAO"),0)</f>
        <v>0</v>
      </c>
      <c r="N1065" s="10">
        <f>IFERROR(SUMIFS('Base bordo'!G$2:G$746,'Base bordo'!C$2:C$746,A1065,'Base bordo'!B$2:B$746,B1065,'Base bordo'!F$2:F$746,"SEM APONTAMENTO"),0)</f>
        <v>0</v>
      </c>
      <c r="O1065" s="10">
        <f t="shared" si="108"/>
        <v>0</v>
      </c>
      <c r="P1065" s="10">
        <f>IFERROR(SUMIFS('Base bordo'!G$2:G$746,'Base bordo'!C$2:C$746,A1065,'Base bordo'!B$2:B$746,B1065),0)</f>
        <v>1.1111111111111112E-2</v>
      </c>
      <c r="Q1065" s="10">
        <f>IFERROR(SUMIFS('Base bordo'!H$2:H$746,'Base bordo'!C$2:C$746,A1065,'Base bordo'!B$2:B$746,B1065,'Base bordo'!F$2:F$746,"DESLOCAMENTO VAZIO"),0)</f>
        <v>108.4</v>
      </c>
      <c r="R1065" s="10">
        <f>IFERROR(SUMIFS('Base bordo'!I$2:I$746,'Base bordo'!C$2:C$746,A1065,'Base bordo'!B$2:B$746,B1065,'Base bordo'!F$2:F$746,"DESLOCAMENTO VAZIO"),0)</f>
        <v>40</v>
      </c>
      <c r="S1065" s="30">
        <f t="shared" si="109"/>
        <v>2.71</v>
      </c>
      <c r="T1065" s="10">
        <f>IFERROR(SUMIFS('Base bordo'!H$2:H$746,'Base bordo'!C$2:C$746,A1065,'Base bordo'!B$2:B$746,B1065,'Base bordo'!F$2:F$746,"DESLOCAMENTO CARREGADO"),0)</f>
        <v>0</v>
      </c>
      <c r="U1065" s="10">
        <f>IFERROR(SUMIFS('Base bordo'!I$2:I$746,'Base bordo'!C$2:C$746,A1065,'Base bordo'!B$2:B$746,B1065,'Base bordo'!F$2:F$746,"DESLOCAMENTO CARREGADO"),0)</f>
        <v>0</v>
      </c>
      <c r="V1065" s="30" t="str">
        <f t="shared" si="110"/>
        <v/>
      </c>
      <c r="W1065" s="9">
        <f t="shared" si="111"/>
        <v>1</v>
      </c>
      <c r="X1065" s="9">
        <f t="shared" si="112"/>
        <v>0</v>
      </c>
      <c r="Y1065" s="9">
        <f t="shared" si="113"/>
        <v>0</v>
      </c>
    </row>
    <row r="1066" spans="1:25" ht="15" customHeight="1" x14ac:dyDescent="0.35">
      <c r="A1066" s="52">
        <v>8013481</v>
      </c>
      <c r="B1066" s="51">
        <v>46122</v>
      </c>
      <c r="C1066" s="7" t="s">
        <v>124</v>
      </c>
      <c r="D1066" s="10">
        <f>IFERROR(SUMIFS('Base bordo'!G$2:G$746,'Base bordo'!C$2:C$746,A1066,'Base bordo'!B$2:B$746,B1066,'Base bordo'!F$2:F$746,"DESLOCAMENTO VAZIO"),0)</f>
        <v>0</v>
      </c>
      <c r="E1066" s="10">
        <f>IFERROR(SUMIFS('Base bordo'!G$2:G$746,'Base bordo'!C$2:C$746,A1066,'Base bordo'!B$2:B$746,B1066,'Base bordo'!F$2:F$746,"DESLOCAMENTO CARREGADO"),0)</f>
        <v>0</v>
      </c>
      <c r="F1066" s="10">
        <f>IFERROR(SUMIFS('Base bordo'!G$2:G$746,'Base bordo'!C$2:C$746,A1066,'Base bordo'!B$2:B$746,B1066,'Base bordo'!F$2:F$746,"DESLOCAMENTO"),0)</f>
        <v>0</v>
      </c>
      <c r="G1066" s="10">
        <f>IFERROR(SUMIFS('Base bordo'!G$2:G$746,'Base bordo'!C$2:C$746,A1066,'Base bordo'!B$2:B$746,B1066,'Base bordo'!F$2:F$746,"CARREGAMENTO"),0)</f>
        <v>0</v>
      </c>
      <c r="H1066" s="10">
        <f>IFERROR(SUMIFS('Base bordo'!G$2:G$746,'Base bordo'!C$2:C$746,A1066,'Base bordo'!B$2:B$746,B1066,'Base bordo'!F$2:F$746,"AGUARDANDO TRANSBORDO"),0)</f>
        <v>0</v>
      </c>
      <c r="I1066" s="10">
        <f>IFERROR(SUMIFS('Base bordo'!G$2:G$746,'Base bordo'!C$2:C$746,A1066,'Base bordo'!B$2:B$746,B1066,'Base bordo'!F$2:F$746,"PÁTIO INTERNO"),0)+IFERROR(SUMIFS('Base bordo'!G$2:G$746,'Base bordo'!C$2:C$746,A1066,'Base bordo'!B$2:B$746,B1066,'Base bordo'!F$2:F$746,"PÁTIO EXTERNO"),0)+IFERROR(SUMIFS('Base bordo'!G$2:G$746,'Base bordo'!C$2:C$746,A1066,'Base bordo'!B$2:B$746,B1066,'Base bordo'!F$2:F$746,"PATIO - RESERVA"),0)+IFERROR(SUMIFS('Base bordo'!G$2:G$746,'Base bordo'!C$2:C$746,A1066,'Base bordo'!B$2:B$746,B1066,'Base bordo'!F$2:F$746,"MANOBRA CARRETAS-PATIO"),0)</f>
        <v>0</v>
      </c>
      <c r="J1066" s="10">
        <f>IFERROR(SUMIFS('Base bordo'!G$2:G$746,'Base bordo'!C$2:C$746,A1066,'Base bordo'!B$2:B$746,B1066,'Base bordo'!F$2:F$746,"BALANÇA - ENTRADA"),0)+IFERROR(SUMIFS('Base bordo'!G$2:G$746,'Base bordo'!C$2:C$746,A1066,'Base bordo'!B$2:B$746,B1066,'Base bordo'!F$2:F$746,"BALANÇA - SAÍDA"),0)</f>
        <v>0</v>
      </c>
      <c r="K1066" s="10">
        <f>IFERROR(SUMIFS('Base bordo'!G$2:G$746,'Base bordo'!C$2:C$746,A1066,'Base bordo'!B$2:B$746,B1066,'Base bordo'!F$2:F$746,"MAN PREVENTIVA - MECANICA"),0)+IFERROR(SUMIFS('Base bordo'!G$2:G$746,'Base bordo'!C$2:C$746,A1066,'Base bordo'!B$2:B$746,B1066,'Base bordo'!F$2:F$746,"MAN CORRETIVA - MECANICA"),0)</f>
        <v>0</v>
      </c>
      <c r="L1066" s="10">
        <f>IFERROR(SUMIFS('Base bordo'!G$2:G$746,'Base bordo'!C$2:C$746,A1066,'Base bordo'!B$2:B$746,B1066,'Base bordo'!F$2:F$746,"MANUTENCAO - T O"),0)+IFERROR(SUMIFS('Base bordo'!G$2:G$746,'Base bordo'!C$2:C$746,A1066,'Base bordo'!B$2:B$746,B1066,'Base bordo'!F$2:F$746,"MANUTENCAO BORRACHARIA"),0)+IFERROR(SUMIFS('Base bordo'!G$2:G$746,'Base bordo'!C$2:C$746,A1066,'Base bordo'!B$2:B$746,B1066,'Base bordo'!F$2:F$746,"MANUTENCAO EXTERNA  CONCESSIONARIA"),0)+IFERROR(SUMIFS('Base bordo'!G$2:G$746,'Base bordo'!C$2:C$746,A1066,'Base bordo'!B$2:B$746,B1066,'Base bordo'!F$2:F$746,"MANUTENCAO TELEMETRIA"),0)</f>
        <v>0</v>
      </c>
      <c r="M1066" s="10">
        <f>IFERROR(SUMIFS('Base bordo'!G$2:G$746,'Base bordo'!C$2:C$746,A1066,'Base bordo'!B$2:B$746,B1066,'Base bordo'!F$2:F$746,"AGUARDANDO MANUTENCAO"),0)</f>
        <v>0</v>
      </c>
      <c r="N1066" s="10">
        <f>IFERROR(SUMIFS('Base bordo'!G$2:G$746,'Base bordo'!C$2:C$746,A1066,'Base bordo'!B$2:B$746,B1066,'Base bordo'!F$2:F$746,"SEM APONTAMENTO"),0)</f>
        <v>0</v>
      </c>
      <c r="O1066" s="10">
        <f t="shared" si="108"/>
        <v>0</v>
      </c>
      <c r="P1066" s="10">
        <f>IFERROR(SUMIFS('Base bordo'!G$2:G$746,'Base bordo'!C$2:C$746,A1066,'Base bordo'!B$2:B$746,B1066),0)</f>
        <v>0</v>
      </c>
      <c r="Q1066" s="10">
        <f>IFERROR(SUMIFS('Base bordo'!H$2:H$746,'Base bordo'!C$2:C$746,A1066,'Base bordo'!B$2:B$746,B1066,'Base bordo'!F$2:F$746,"DESLOCAMENTO VAZIO"),0)</f>
        <v>0</v>
      </c>
      <c r="R1066" s="10">
        <f>IFERROR(SUMIFS('Base bordo'!I$2:I$746,'Base bordo'!C$2:C$746,A1066,'Base bordo'!B$2:B$746,B1066,'Base bordo'!F$2:F$746,"DESLOCAMENTO VAZIO"),0)</f>
        <v>0</v>
      </c>
      <c r="S1066" s="30" t="str">
        <f t="shared" si="109"/>
        <v/>
      </c>
      <c r="T1066" s="10">
        <f>IFERROR(SUMIFS('Base bordo'!H$2:H$746,'Base bordo'!C$2:C$746,A1066,'Base bordo'!B$2:B$746,B1066,'Base bordo'!F$2:F$746,"DESLOCAMENTO CARREGADO"),0)</f>
        <v>0</v>
      </c>
      <c r="U1066" s="10">
        <f>IFERROR(SUMIFS('Base bordo'!I$2:I$746,'Base bordo'!C$2:C$746,A1066,'Base bordo'!B$2:B$746,B1066,'Base bordo'!F$2:F$746,"DESLOCAMENTO CARREGADO"),0)</f>
        <v>0</v>
      </c>
      <c r="V1066" s="30" t="str">
        <f t="shared" si="110"/>
        <v/>
      </c>
      <c r="W1066" s="9">
        <f t="shared" si="111"/>
        <v>0</v>
      </c>
      <c r="X1066" s="9">
        <f t="shared" si="112"/>
        <v>0</v>
      </c>
      <c r="Y1066" s="9">
        <f t="shared" si="113"/>
        <v>0</v>
      </c>
    </row>
    <row r="1067" spans="1:25" ht="15" customHeight="1" x14ac:dyDescent="0.35">
      <c r="A1067" s="52">
        <v>8013482</v>
      </c>
      <c r="B1067" s="51">
        <v>46122</v>
      </c>
      <c r="C1067" s="7" t="s">
        <v>124</v>
      </c>
      <c r="D1067" s="10">
        <f>IFERROR(SUMIFS('Base bordo'!G$2:G$746,'Base bordo'!C$2:C$746,A1067,'Base bordo'!B$2:B$746,B1067,'Base bordo'!F$2:F$746,"DESLOCAMENTO VAZIO"),0)</f>
        <v>0</v>
      </c>
      <c r="E1067" s="10">
        <f>IFERROR(SUMIFS('Base bordo'!G$2:G$746,'Base bordo'!C$2:C$746,A1067,'Base bordo'!B$2:B$746,B1067,'Base bordo'!F$2:F$746,"DESLOCAMENTO CARREGADO"),0)</f>
        <v>0</v>
      </c>
      <c r="F1067" s="10">
        <f>IFERROR(SUMIFS('Base bordo'!G$2:G$746,'Base bordo'!C$2:C$746,A1067,'Base bordo'!B$2:B$746,B1067,'Base bordo'!F$2:F$746,"DESLOCAMENTO"),0)</f>
        <v>0</v>
      </c>
      <c r="G1067" s="10">
        <f>IFERROR(SUMIFS('Base bordo'!G$2:G$746,'Base bordo'!C$2:C$746,A1067,'Base bordo'!B$2:B$746,B1067,'Base bordo'!F$2:F$746,"CARREGAMENTO"),0)</f>
        <v>0</v>
      </c>
      <c r="H1067" s="10">
        <f>IFERROR(SUMIFS('Base bordo'!G$2:G$746,'Base bordo'!C$2:C$746,A1067,'Base bordo'!B$2:B$746,B1067,'Base bordo'!F$2:F$746,"AGUARDANDO TRANSBORDO"),0)</f>
        <v>0</v>
      </c>
      <c r="I1067" s="10">
        <f>IFERROR(SUMIFS('Base bordo'!G$2:G$746,'Base bordo'!C$2:C$746,A1067,'Base bordo'!B$2:B$746,B1067,'Base bordo'!F$2:F$746,"PÁTIO INTERNO"),0)+IFERROR(SUMIFS('Base bordo'!G$2:G$746,'Base bordo'!C$2:C$746,A1067,'Base bordo'!B$2:B$746,B1067,'Base bordo'!F$2:F$746,"PÁTIO EXTERNO"),0)+IFERROR(SUMIFS('Base bordo'!G$2:G$746,'Base bordo'!C$2:C$746,A1067,'Base bordo'!B$2:B$746,B1067,'Base bordo'!F$2:F$746,"PATIO - RESERVA"),0)+IFERROR(SUMIFS('Base bordo'!G$2:G$746,'Base bordo'!C$2:C$746,A1067,'Base bordo'!B$2:B$746,B1067,'Base bordo'!F$2:F$746,"MANOBRA CARRETAS-PATIO"),0)</f>
        <v>0</v>
      </c>
      <c r="J1067" s="10">
        <f>IFERROR(SUMIFS('Base bordo'!G$2:G$746,'Base bordo'!C$2:C$746,A1067,'Base bordo'!B$2:B$746,B1067,'Base bordo'!F$2:F$746,"BALANÇA - ENTRADA"),0)+IFERROR(SUMIFS('Base bordo'!G$2:G$746,'Base bordo'!C$2:C$746,A1067,'Base bordo'!B$2:B$746,B1067,'Base bordo'!F$2:F$746,"BALANÇA - SAÍDA"),0)</f>
        <v>0</v>
      </c>
      <c r="K1067" s="10">
        <f>IFERROR(SUMIFS('Base bordo'!G$2:G$746,'Base bordo'!C$2:C$746,A1067,'Base bordo'!B$2:B$746,B1067,'Base bordo'!F$2:F$746,"MAN PREVENTIVA - MECANICA"),0)+IFERROR(SUMIFS('Base bordo'!G$2:G$746,'Base bordo'!C$2:C$746,A1067,'Base bordo'!B$2:B$746,B1067,'Base bordo'!F$2:F$746,"MAN CORRETIVA - MECANICA"),0)</f>
        <v>0</v>
      </c>
      <c r="L1067" s="10">
        <f>IFERROR(SUMIFS('Base bordo'!G$2:G$746,'Base bordo'!C$2:C$746,A1067,'Base bordo'!B$2:B$746,B1067,'Base bordo'!F$2:F$746,"MANUTENCAO - T O"),0)+IFERROR(SUMIFS('Base bordo'!G$2:G$746,'Base bordo'!C$2:C$746,A1067,'Base bordo'!B$2:B$746,B1067,'Base bordo'!F$2:F$746,"MANUTENCAO BORRACHARIA"),0)+IFERROR(SUMIFS('Base bordo'!G$2:G$746,'Base bordo'!C$2:C$746,A1067,'Base bordo'!B$2:B$746,B1067,'Base bordo'!F$2:F$746,"MANUTENCAO EXTERNA  CONCESSIONARIA"),0)+IFERROR(SUMIFS('Base bordo'!G$2:G$746,'Base bordo'!C$2:C$746,A1067,'Base bordo'!B$2:B$746,B1067,'Base bordo'!F$2:F$746,"MANUTENCAO TELEMETRIA"),0)</f>
        <v>0</v>
      </c>
      <c r="M1067" s="10">
        <f>IFERROR(SUMIFS('Base bordo'!G$2:G$746,'Base bordo'!C$2:C$746,A1067,'Base bordo'!B$2:B$746,B1067,'Base bordo'!F$2:F$746,"AGUARDANDO MANUTENCAO"),0)</f>
        <v>0</v>
      </c>
      <c r="N1067" s="10">
        <f>IFERROR(SUMIFS('Base bordo'!G$2:G$746,'Base bordo'!C$2:C$746,A1067,'Base bordo'!B$2:B$746,B1067,'Base bordo'!F$2:F$746,"SEM APONTAMENTO"),0)</f>
        <v>0</v>
      </c>
      <c r="O1067" s="10">
        <f t="shared" si="108"/>
        <v>0</v>
      </c>
      <c r="P1067" s="10">
        <f>IFERROR(SUMIFS('Base bordo'!G$2:G$746,'Base bordo'!C$2:C$746,A1067,'Base bordo'!B$2:B$746,B1067),0)</f>
        <v>0</v>
      </c>
      <c r="Q1067" s="10">
        <f>IFERROR(SUMIFS('Base bordo'!H$2:H$746,'Base bordo'!C$2:C$746,A1067,'Base bordo'!B$2:B$746,B1067,'Base bordo'!F$2:F$746,"DESLOCAMENTO VAZIO"),0)</f>
        <v>0</v>
      </c>
      <c r="R1067" s="10">
        <f>IFERROR(SUMIFS('Base bordo'!I$2:I$746,'Base bordo'!C$2:C$746,A1067,'Base bordo'!B$2:B$746,B1067,'Base bordo'!F$2:F$746,"DESLOCAMENTO VAZIO"),0)</f>
        <v>0</v>
      </c>
      <c r="S1067" s="30" t="str">
        <f t="shared" si="109"/>
        <v/>
      </c>
      <c r="T1067" s="10">
        <f>IFERROR(SUMIFS('Base bordo'!H$2:H$746,'Base bordo'!C$2:C$746,A1067,'Base bordo'!B$2:B$746,B1067,'Base bordo'!F$2:F$746,"DESLOCAMENTO CARREGADO"),0)</f>
        <v>0</v>
      </c>
      <c r="U1067" s="10">
        <f>IFERROR(SUMIFS('Base bordo'!I$2:I$746,'Base bordo'!C$2:C$746,A1067,'Base bordo'!B$2:B$746,B1067,'Base bordo'!F$2:F$746,"DESLOCAMENTO CARREGADO"),0)</f>
        <v>0</v>
      </c>
      <c r="V1067" s="30" t="str">
        <f t="shared" si="110"/>
        <v/>
      </c>
      <c r="W1067" s="9">
        <f t="shared" si="111"/>
        <v>0</v>
      </c>
      <c r="X1067" s="9">
        <f t="shared" si="112"/>
        <v>0</v>
      </c>
      <c r="Y1067" s="9">
        <f t="shared" si="113"/>
        <v>0</v>
      </c>
    </row>
    <row r="1068" spans="1:25" ht="15" customHeight="1" x14ac:dyDescent="0.35">
      <c r="A1068" s="52">
        <v>8013483</v>
      </c>
      <c r="B1068" s="51">
        <v>46122</v>
      </c>
      <c r="C1068" s="7" t="s">
        <v>124</v>
      </c>
      <c r="D1068" s="10">
        <f>IFERROR(SUMIFS('Base bordo'!G$2:G$746,'Base bordo'!C$2:C$746,A1068,'Base bordo'!B$2:B$746,B1068,'Base bordo'!F$2:F$746,"DESLOCAMENTO VAZIO"),0)</f>
        <v>0</v>
      </c>
      <c r="E1068" s="10">
        <f>IFERROR(SUMIFS('Base bordo'!G$2:G$746,'Base bordo'!C$2:C$746,A1068,'Base bordo'!B$2:B$746,B1068,'Base bordo'!F$2:F$746,"DESLOCAMENTO CARREGADO"),0)</f>
        <v>0</v>
      </c>
      <c r="F1068" s="10">
        <f>IFERROR(SUMIFS('Base bordo'!G$2:G$746,'Base bordo'!C$2:C$746,A1068,'Base bordo'!B$2:B$746,B1068,'Base bordo'!F$2:F$746,"DESLOCAMENTO"),0)</f>
        <v>7.208333333333333</v>
      </c>
      <c r="G1068" s="10">
        <f>IFERROR(SUMIFS('Base bordo'!G$2:G$746,'Base bordo'!C$2:C$746,A1068,'Base bordo'!B$2:B$746,B1068,'Base bordo'!F$2:F$746,"CARREGAMENTO"),0)</f>
        <v>0</v>
      </c>
      <c r="H1068" s="10">
        <f>IFERROR(SUMIFS('Base bordo'!G$2:G$746,'Base bordo'!C$2:C$746,A1068,'Base bordo'!B$2:B$746,B1068,'Base bordo'!F$2:F$746,"AGUARDANDO TRANSBORDO"),0)</f>
        <v>0</v>
      </c>
      <c r="I1068" s="10">
        <f>IFERROR(SUMIFS('Base bordo'!G$2:G$746,'Base bordo'!C$2:C$746,A1068,'Base bordo'!B$2:B$746,B1068,'Base bordo'!F$2:F$746,"PÁTIO INTERNO"),0)+IFERROR(SUMIFS('Base bordo'!G$2:G$746,'Base bordo'!C$2:C$746,A1068,'Base bordo'!B$2:B$746,B1068,'Base bordo'!F$2:F$746,"PÁTIO EXTERNO"),0)+IFERROR(SUMIFS('Base bordo'!G$2:G$746,'Base bordo'!C$2:C$746,A1068,'Base bordo'!B$2:B$746,B1068,'Base bordo'!F$2:F$746,"PATIO - RESERVA"),0)+IFERROR(SUMIFS('Base bordo'!G$2:G$746,'Base bordo'!C$2:C$746,A1068,'Base bordo'!B$2:B$746,B1068,'Base bordo'!F$2:F$746,"MANOBRA CARRETAS-PATIO"),0)</f>
        <v>0</v>
      </c>
      <c r="J1068" s="10">
        <f>IFERROR(SUMIFS('Base bordo'!G$2:G$746,'Base bordo'!C$2:C$746,A1068,'Base bordo'!B$2:B$746,B1068,'Base bordo'!F$2:F$746,"BALANÇA - ENTRADA"),0)+IFERROR(SUMIFS('Base bordo'!G$2:G$746,'Base bordo'!C$2:C$746,A1068,'Base bordo'!B$2:B$746,B1068,'Base bordo'!F$2:F$746,"BALANÇA - SAÍDA"),0)</f>
        <v>0</v>
      </c>
      <c r="K1068" s="10">
        <f>IFERROR(SUMIFS('Base bordo'!G$2:G$746,'Base bordo'!C$2:C$746,A1068,'Base bordo'!B$2:B$746,B1068,'Base bordo'!F$2:F$746,"MAN PREVENTIVA - MECANICA"),0)+IFERROR(SUMIFS('Base bordo'!G$2:G$746,'Base bordo'!C$2:C$746,A1068,'Base bordo'!B$2:B$746,B1068,'Base bordo'!F$2:F$746,"MAN CORRETIVA - MECANICA"),0)</f>
        <v>0</v>
      </c>
      <c r="L1068" s="10">
        <f>IFERROR(SUMIFS('Base bordo'!G$2:G$746,'Base bordo'!C$2:C$746,A1068,'Base bordo'!B$2:B$746,B1068,'Base bordo'!F$2:F$746,"MANUTENCAO - T O"),0)+IFERROR(SUMIFS('Base bordo'!G$2:G$746,'Base bordo'!C$2:C$746,A1068,'Base bordo'!B$2:B$746,B1068,'Base bordo'!F$2:F$746,"MANUTENCAO BORRACHARIA"),0)+IFERROR(SUMIFS('Base bordo'!G$2:G$746,'Base bordo'!C$2:C$746,A1068,'Base bordo'!B$2:B$746,B1068,'Base bordo'!F$2:F$746,"MANUTENCAO EXTERNA  CONCESSIONARIA"),0)+IFERROR(SUMIFS('Base bordo'!G$2:G$746,'Base bordo'!C$2:C$746,A1068,'Base bordo'!B$2:B$746,B1068,'Base bordo'!F$2:F$746,"MANUTENCAO TELEMETRIA"),0)</f>
        <v>0</v>
      </c>
      <c r="M1068" s="10">
        <f>IFERROR(SUMIFS('Base bordo'!G$2:G$746,'Base bordo'!C$2:C$746,A1068,'Base bordo'!B$2:B$746,B1068,'Base bordo'!F$2:F$746,"AGUARDANDO MANUTENCAO"),0)</f>
        <v>0</v>
      </c>
      <c r="N1068" s="10">
        <f>IFERROR(SUMIFS('Base bordo'!G$2:G$746,'Base bordo'!C$2:C$746,A1068,'Base bordo'!B$2:B$746,B1068,'Base bordo'!F$2:F$746,"SEM APONTAMENTO"),0)</f>
        <v>0</v>
      </c>
      <c r="O1068" s="10">
        <f t="shared" si="108"/>
        <v>0</v>
      </c>
      <c r="P1068" s="10">
        <f>IFERROR(SUMIFS('Base bordo'!G$2:G$746,'Base bordo'!C$2:C$746,A1068,'Base bordo'!B$2:B$746,B1068),0)</f>
        <v>7.208333333333333</v>
      </c>
      <c r="Q1068" s="10">
        <f>IFERROR(SUMIFS('Base bordo'!H$2:H$746,'Base bordo'!C$2:C$746,A1068,'Base bordo'!B$2:B$746,B1068,'Base bordo'!F$2:F$746,"DESLOCAMENTO VAZIO"),0)</f>
        <v>0</v>
      </c>
      <c r="R1068" s="10">
        <f>IFERROR(SUMIFS('Base bordo'!I$2:I$746,'Base bordo'!C$2:C$746,A1068,'Base bordo'!B$2:B$746,B1068,'Base bordo'!F$2:F$746,"DESLOCAMENTO VAZIO"),0)</f>
        <v>0</v>
      </c>
      <c r="S1068" s="30" t="str">
        <f t="shared" si="109"/>
        <v/>
      </c>
      <c r="T1068" s="10">
        <f>IFERROR(SUMIFS('Base bordo'!H$2:H$746,'Base bordo'!C$2:C$746,A1068,'Base bordo'!B$2:B$746,B1068,'Base bordo'!F$2:F$746,"DESLOCAMENTO CARREGADO"),0)</f>
        <v>0</v>
      </c>
      <c r="U1068" s="10">
        <f>IFERROR(SUMIFS('Base bordo'!I$2:I$746,'Base bordo'!C$2:C$746,A1068,'Base bordo'!B$2:B$746,B1068,'Base bordo'!F$2:F$746,"DESLOCAMENTO CARREGADO"),0)</f>
        <v>0</v>
      </c>
      <c r="V1068" s="30" t="str">
        <f t="shared" si="110"/>
        <v/>
      </c>
      <c r="W1068" s="9">
        <f t="shared" si="111"/>
        <v>0</v>
      </c>
      <c r="X1068" s="9">
        <f t="shared" si="112"/>
        <v>0</v>
      </c>
      <c r="Y1068" s="9">
        <f t="shared" si="113"/>
        <v>1</v>
      </c>
    </row>
    <row r="1069" spans="1:25" ht="15" customHeight="1" x14ac:dyDescent="0.35">
      <c r="A1069" s="52">
        <v>8013484</v>
      </c>
      <c r="B1069" s="51">
        <v>46122</v>
      </c>
      <c r="C1069" s="7" t="s">
        <v>124</v>
      </c>
      <c r="D1069" s="10">
        <f>IFERROR(SUMIFS('Base bordo'!G$2:G$746,'Base bordo'!C$2:C$746,A1069,'Base bordo'!B$2:B$746,B1069,'Base bordo'!F$2:F$746,"DESLOCAMENTO VAZIO"),0)</f>
        <v>0</v>
      </c>
      <c r="E1069" s="10">
        <f>IFERROR(SUMIFS('Base bordo'!G$2:G$746,'Base bordo'!C$2:C$746,A1069,'Base bordo'!B$2:B$746,B1069,'Base bordo'!F$2:F$746,"DESLOCAMENTO CARREGADO"),0)</f>
        <v>1.8913888888888888</v>
      </c>
      <c r="F1069" s="10">
        <f>IFERROR(SUMIFS('Base bordo'!G$2:G$746,'Base bordo'!C$2:C$746,A1069,'Base bordo'!B$2:B$746,B1069,'Base bordo'!F$2:F$746,"DESLOCAMENTO"),0)</f>
        <v>0</v>
      </c>
      <c r="G1069" s="10">
        <f>IFERROR(SUMIFS('Base bordo'!G$2:G$746,'Base bordo'!C$2:C$746,A1069,'Base bordo'!B$2:B$746,B1069,'Base bordo'!F$2:F$746,"CARREGAMENTO"),0)</f>
        <v>0</v>
      </c>
      <c r="H1069" s="10">
        <f>IFERROR(SUMIFS('Base bordo'!G$2:G$746,'Base bordo'!C$2:C$746,A1069,'Base bordo'!B$2:B$746,B1069,'Base bordo'!F$2:F$746,"AGUARDANDO TRANSBORDO"),0)</f>
        <v>0</v>
      </c>
      <c r="I1069" s="10">
        <f>IFERROR(SUMIFS('Base bordo'!G$2:G$746,'Base bordo'!C$2:C$746,A1069,'Base bordo'!B$2:B$746,B1069,'Base bordo'!F$2:F$746,"PÁTIO INTERNO"),0)+IFERROR(SUMIFS('Base bordo'!G$2:G$746,'Base bordo'!C$2:C$746,A1069,'Base bordo'!B$2:B$746,B1069,'Base bordo'!F$2:F$746,"PÁTIO EXTERNO"),0)+IFERROR(SUMIFS('Base bordo'!G$2:G$746,'Base bordo'!C$2:C$746,A1069,'Base bordo'!B$2:B$746,B1069,'Base bordo'!F$2:F$746,"PATIO - RESERVA"),0)+IFERROR(SUMIFS('Base bordo'!G$2:G$746,'Base bordo'!C$2:C$746,A1069,'Base bordo'!B$2:B$746,B1069,'Base bordo'!F$2:F$746,"MANOBRA CARRETAS-PATIO"),0)</f>
        <v>0.15055555555555555</v>
      </c>
      <c r="J1069" s="10">
        <f>IFERROR(SUMIFS('Base bordo'!G$2:G$746,'Base bordo'!C$2:C$746,A1069,'Base bordo'!B$2:B$746,B1069,'Base bordo'!F$2:F$746,"BALANÇA - ENTRADA"),0)+IFERROR(SUMIFS('Base bordo'!G$2:G$746,'Base bordo'!C$2:C$746,A1069,'Base bordo'!B$2:B$746,B1069,'Base bordo'!F$2:F$746,"BALANÇA - SAÍDA"),0)</f>
        <v>0</v>
      </c>
      <c r="K1069" s="10">
        <f>IFERROR(SUMIFS('Base bordo'!G$2:G$746,'Base bordo'!C$2:C$746,A1069,'Base bordo'!B$2:B$746,B1069,'Base bordo'!F$2:F$746,"MAN PREVENTIVA - MECANICA"),0)+IFERROR(SUMIFS('Base bordo'!G$2:G$746,'Base bordo'!C$2:C$746,A1069,'Base bordo'!B$2:B$746,B1069,'Base bordo'!F$2:F$746,"MAN CORRETIVA - MECANICA"),0)</f>
        <v>0</v>
      </c>
      <c r="L1069" s="10">
        <f>IFERROR(SUMIFS('Base bordo'!G$2:G$746,'Base bordo'!C$2:C$746,A1069,'Base bordo'!B$2:B$746,B1069,'Base bordo'!F$2:F$746,"MANUTENCAO - T O"),0)+IFERROR(SUMIFS('Base bordo'!G$2:G$746,'Base bordo'!C$2:C$746,A1069,'Base bordo'!B$2:B$746,B1069,'Base bordo'!F$2:F$746,"MANUTENCAO BORRACHARIA"),0)+IFERROR(SUMIFS('Base bordo'!G$2:G$746,'Base bordo'!C$2:C$746,A1069,'Base bordo'!B$2:B$746,B1069,'Base bordo'!F$2:F$746,"MANUTENCAO EXTERNA  CONCESSIONARIA"),0)+IFERROR(SUMIFS('Base bordo'!G$2:G$746,'Base bordo'!C$2:C$746,A1069,'Base bordo'!B$2:B$746,B1069,'Base bordo'!F$2:F$746,"MANUTENCAO TELEMETRIA"),0)</f>
        <v>0</v>
      </c>
      <c r="M1069" s="10">
        <f>IFERROR(SUMIFS('Base bordo'!G$2:G$746,'Base bordo'!C$2:C$746,A1069,'Base bordo'!B$2:B$746,B1069,'Base bordo'!F$2:F$746,"AGUARDANDO MANUTENCAO"),0)</f>
        <v>0</v>
      </c>
      <c r="N1069" s="10">
        <f>IFERROR(SUMIFS('Base bordo'!G$2:G$746,'Base bordo'!C$2:C$746,A1069,'Base bordo'!B$2:B$746,B1069,'Base bordo'!F$2:F$746,"SEM APONTAMENTO"),0)</f>
        <v>0</v>
      </c>
      <c r="O1069" s="10">
        <f t="shared" si="108"/>
        <v>0</v>
      </c>
      <c r="P1069" s="10">
        <f>IFERROR(SUMIFS('Base bordo'!G$2:G$746,'Base bordo'!C$2:C$746,A1069,'Base bordo'!B$2:B$746,B1069),0)</f>
        <v>2.0419444444444443</v>
      </c>
      <c r="Q1069" s="10">
        <f>IFERROR(SUMIFS('Base bordo'!H$2:H$746,'Base bordo'!C$2:C$746,A1069,'Base bordo'!B$2:B$746,B1069,'Base bordo'!F$2:F$746,"DESLOCAMENTO VAZIO"),0)</f>
        <v>0</v>
      </c>
      <c r="R1069" s="10">
        <f>IFERROR(SUMIFS('Base bordo'!I$2:I$746,'Base bordo'!C$2:C$746,A1069,'Base bordo'!B$2:B$746,B1069,'Base bordo'!F$2:F$746,"DESLOCAMENTO VAZIO"),0)</f>
        <v>0</v>
      </c>
      <c r="S1069" s="30" t="str">
        <f t="shared" si="109"/>
        <v/>
      </c>
      <c r="T1069" s="10">
        <f>IFERROR(SUMIFS('Base bordo'!H$2:H$746,'Base bordo'!C$2:C$746,A1069,'Base bordo'!B$2:B$746,B1069,'Base bordo'!F$2:F$746,"DESLOCAMENTO CARREGADO"),0)</f>
        <v>169799.59</v>
      </c>
      <c r="U1069" s="10">
        <f>IFERROR(SUMIFS('Base bordo'!I$2:I$746,'Base bordo'!C$2:C$746,A1069,'Base bordo'!B$2:B$746,B1069,'Base bordo'!F$2:F$746,"DESLOCAMENTO CARREGADO"),0)</f>
        <v>6809</v>
      </c>
      <c r="V1069" s="30">
        <f t="shared" si="110"/>
        <v>24.937522396827728</v>
      </c>
      <c r="W1069" s="9">
        <f t="shared" si="111"/>
        <v>0</v>
      </c>
      <c r="X1069" s="9">
        <f t="shared" si="112"/>
        <v>0.92626853489321181</v>
      </c>
      <c r="Y1069" s="9">
        <f t="shared" si="113"/>
        <v>7.3731465106788185E-2</v>
      </c>
    </row>
    <row r="1070" spans="1:25" ht="15" customHeight="1" x14ac:dyDescent="0.35">
      <c r="A1070" s="52">
        <v>8013484</v>
      </c>
      <c r="B1070" s="51">
        <v>46122</v>
      </c>
      <c r="C1070" s="7" t="s">
        <v>124</v>
      </c>
      <c r="D1070" s="10">
        <f>IFERROR(SUMIFS('Base bordo'!G$2:G$746,'Base bordo'!C$2:C$746,A1070,'Base bordo'!B$2:B$746,B1070,'Base bordo'!F$2:F$746,"DESLOCAMENTO VAZIO"),0)</f>
        <v>0</v>
      </c>
      <c r="E1070" s="10">
        <f>IFERROR(SUMIFS('Base bordo'!G$2:G$746,'Base bordo'!C$2:C$746,A1070,'Base bordo'!B$2:B$746,B1070,'Base bordo'!F$2:F$746,"DESLOCAMENTO CARREGADO"),0)</f>
        <v>1.8913888888888888</v>
      </c>
      <c r="F1070" s="10">
        <f>IFERROR(SUMIFS('Base bordo'!G$2:G$746,'Base bordo'!C$2:C$746,A1070,'Base bordo'!B$2:B$746,B1070,'Base bordo'!F$2:F$746,"DESLOCAMENTO"),0)</f>
        <v>0</v>
      </c>
      <c r="G1070" s="10">
        <f>IFERROR(SUMIFS('Base bordo'!G$2:G$746,'Base bordo'!C$2:C$746,A1070,'Base bordo'!B$2:B$746,B1070,'Base bordo'!F$2:F$746,"CARREGAMENTO"),0)</f>
        <v>0</v>
      </c>
      <c r="H1070" s="10">
        <f>IFERROR(SUMIFS('Base bordo'!G$2:G$746,'Base bordo'!C$2:C$746,A1070,'Base bordo'!B$2:B$746,B1070,'Base bordo'!F$2:F$746,"AGUARDANDO TRANSBORDO"),0)</f>
        <v>0</v>
      </c>
      <c r="I1070" s="10">
        <f>IFERROR(SUMIFS('Base bordo'!G$2:G$746,'Base bordo'!C$2:C$746,A1070,'Base bordo'!B$2:B$746,B1070,'Base bordo'!F$2:F$746,"PÁTIO INTERNO"),0)+IFERROR(SUMIFS('Base bordo'!G$2:G$746,'Base bordo'!C$2:C$746,A1070,'Base bordo'!B$2:B$746,B1070,'Base bordo'!F$2:F$746,"PÁTIO EXTERNO"),0)+IFERROR(SUMIFS('Base bordo'!G$2:G$746,'Base bordo'!C$2:C$746,A1070,'Base bordo'!B$2:B$746,B1070,'Base bordo'!F$2:F$746,"PATIO - RESERVA"),0)+IFERROR(SUMIFS('Base bordo'!G$2:G$746,'Base bordo'!C$2:C$746,A1070,'Base bordo'!B$2:B$746,B1070,'Base bordo'!F$2:F$746,"MANOBRA CARRETAS-PATIO"),0)</f>
        <v>0.15055555555555555</v>
      </c>
      <c r="J1070" s="10">
        <f>IFERROR(SUMIFS('Base bordo'!G$2:G$746,'Base bordo'!C$2:C$746,A1070,'Base bordo'!B$2:B$746,B1070,'Base bordo'!F$2:F$746,"BALANÇA - ENTRADA"),0)+IFERROR(SUMIFS('Base bordo'!G$2:G$746,'Base bordo'!C$2:C$746,A1070,'Base bordo'!B$2:B$746,B1070,'Base bordo'!F$2:F$746,"BALANÇA - SAÍDA"),0)</f>
        <v>0</v>
      </c>
      <c r="K1070" s="10">
        <f>IFERROR(SUMIFS('Base bordo'!G$2:G$746,'Base bordo'!C$2:C$746,A1070,'Base bordo'!B$2:B$746,B1070,'Base bordo'!F$2:F$746,"MAN PREVENTIVA - MECANICA"),0)+IFERROR(SUMIFS('Base bordo'!G$2:G$746,'Base bordo'!C$2:C$746,A1070,'Base bordo'!B$2:B$746,B1070,'Base bordo'!F$2:F$746,"MAN CORRETIVA - MECANICA"),0)</f>
        <v>0</v>
      </c>
      <c r="L1070" s="10">
        <f>IFERROR(SUMIFS('Base bordo'!G$2:G$746,'Base bordo'!C$2:C$746,A1070,'Base bordo'!B$2:B$746,B1070,'Base bordo'!F$2:F$746,"MANUTENCAO - T O"),0)+IFERROR(SUMIFS('Base bordo'!G$2:G$746,'Base bordo'!C$2:C$746,A1070,'Base bordo'!B$2:B$746,B1070,'Base bordo'!F$2:F$746,"MANUTENCAO BORRACHARIA"),0)+IFERROR(SUMIFS('Base bordo'!G$2:G$746,'Base bordo'!C$2:C$746,A1070,'Base bordo'!B$2:B$746,B1070,'Base bordo'!F$2:F$746,"MANUTENCAO EXTERNA  CONCESSIONARIA"),0)+IFERROR(SUMIFS('Base bordo'!G$2:G$746,'Base bordo'!C$2:C$746,A1070,'Base bordo'!B$2:B$746,B1070,'Base bordo'!F$2:F$746,"MANUTENCAO TELEMETRIA"),0)</f>
        <v>0</v>
      </c>
      <c r="M1070" s="10">
        <f>IFERROR(SUMIFS('Base bordo'!G$2:G$746,'Base bordo'!C$2:C$746,A1070,'Base bordo'!B$2:B$746,B1070,'Base bordo'!F$2:F$746,"AGUARDANDO MANUTENCAO"),0)</f>
        <v>0</v>
      </c>
      <c r="N1070" s="10">
        <f>IFERROR(SUMIFS('Base bordo'!G$2:G$746,'Base bordo'!C$2:C$746,A1070,'Base bordo'!B$2:B$746,B1070,'Base bordo'!F$2:F$746,"SEM APONTAMENTO"),0)</f>
        <v>0</v>
      </c>
      <c r="O1070" s="10">
        <f t="shared" si="108"/>
        <v>0</v>
      </c>
      <c r="P1070" s="10">
        <f>IFERROR(SUMIFS('Base bordo'!G$2:G$746,'Base bordo'!C$2:C$746,A1070,'Base bordo'!B$2:B$746,B1070),0)</f>
        <v>2.0419444444444443</v>
      </c>
      <c r="Q1070" s="10">
        <f>IFERROR(SUMIFS('Base bordo'!H$2:H$746,'Base bordo'!C$2:C$746,A1070,'Base bordo'!B$2:B$746,B1070,'Base bordo'!F$2:F$746,"DESLOCAMENTO VAZIO"),0)</f>
        <v>0</v>
      </c>
      <c r="R1070" s="10">
        <f>IFERROR(SUMIFS('Base bordo'!I$2:I$746,'Base bordo'!C$2:C$746,A1070,'Base bordo'!B$2:B$746,B1070,'Base bordo'!F$2:F$746,"DESLOCAMENTO VAZIO"),0)</f>
        <v>0</v>
      </c>
      <c r="S1070" s="30" t="str">
        <f t="shared" si="109"/>
        <v/>
      </c>
      <c r="T1070" s="10">
        <f>IFERROR(SUMIFS('Base bordo'!H$2:H$746,'Base bordo'!C$2:C$746,A1070,'Base bordo'!B$2:B$746,B1070,'Base bordo'!F$2:F$746,"DESLOCAMENTO CARREGADO"),0)</f>
        <v>169799.59</v>
      </c>
      <c r="U1070" s="10">
        <f>IFERROR(SUMIFS('Base bordo'!I$2:I$746,'Base bordo'!C$2:C$746,A1070,'Base bordo'!B$2:B$746,B1070,'Base bordo'!F$2:F$746,"DESLOCAMENTO CARREGADO"),0)</f>
        <v>6809</v>
      </c>
      <c r="V1070" s="30">
        <f t="shared" si="110"/>
        <v>24.937522396827728</v>
      </c>
      <c r="W1070" s="9">
        <f t="shared" si="111"/>
        <v>0</v>
      </c>
      <c r="X1070" s="9">
        <f t="shared" si="112"/>
        <v>0.92626853489321181</v>
      </c>
      <c r="Y1070" s="9">
        <f t="shared" si="113"/>
        <v>7.3731465106788185E-2</v>
      </c>
    </row>
    <row r="1071" spans="1:25" ht="15" customHeight="1" x14ac:dyDescent="0.35">
      <c r="A1071" s="52">
        <v>8013484</v>
      </c>
      <c r="B1071" s="51">
        <v>46122</v>
      </c>
      <c r="C1071" s="7" t="s">
        <v>124</v>
      </c>
      <c r="D1071" s="10">
        <f>IFERROR(SUMIFS('Base bordo'!G$2:G$746,'Base bordo'!C$2:C$746,A1071,'Base bordo'!B$2:B$746,B1071,'Base bordo'!F$2:F$746,"DESLOCAMENTO VAZIO"),0)</f>
        <v>0</v>
      </c>
      <c r="E1071" s="10">
        <f>IFERROR(SUMIFS('Base bordo'!G$2:G$746,'Base bordo'!C$2:C$746,A1071,'Base bordo'!B$2:B$746,B1071,'Base bordo'!F$2:F$746,"DESLOCAMENTO CARREGADO"),0)</f>
        <v>1.8913888888888888</v>
      </c>
      <c r="F1071" s="10">
        <f>IFERROR(SUMIFS('Base bordo'!G$2:G$746,'Base bordo'!C$2:C$746,A1071,'Base bordo'!B$2:B$746,B1071,'Base bordo'!F$2:F$746,"DESLOCAMENTO"),0)</f>
        <v>0</v>
      </c>
      <c r="G1071" s="10">
        <f>IFERROR(SUMIFS('Base bordo'!G$2:G$746,'Base bordo'!C$2:C$746,A1071,'Base bordo'!B$2:B$746,B1071,'Base bordo'!F$2:F$746,"CARREGAMENTO"),0)</f>
        <v>0</v>
      </c>
      <c r="H1071" s="10">
        <f>IFERROR(SUMIFS('Base bordo'!G$2:G$746,'Base bordo'!C$2:C$746,A1071,'Base bordo'!B$2:B$746,B1071,'Base bordo'!F$2:F$746,"AGUARDANDO TRANSBORDO"),0)</f>
        <v>0</v>
      </c>
      <c r="I1071" s="10">
        <f>IFERROR(SUMIFS('Base bordo'!G$2:G$746,'Base bordo'!C$2:C$746,A1071,'Base bordo'!B$2:B$746,B1071,'Base bordo'!F$2:F$746,"PÁTIO INTERNO"),0)+IFERROR(SUMIFS('Base bordo'!G$2:G$746,'Base bordo'!C$2:C$746,A1071,'Base bordo'!B$2:B$746,B1071,'Base bordo'!F$2:F$746,"PÁTIO EXTERNO"),0)+IFERROR(SUMIFS('Base bordo'!G$2:G$746,'Base bordo'!C$2:C$746,A1071,'Base bordo'!B$2:B$746,B1071,'Base bordo'!F$2:F$746,"PATIO - RESERVA"),0)+IFERROR(SUMIFS('Base bordo'!G$2:G$746,'Base bordo'!C$2:C$746,A1071,'Base bordo'!B$2:B$746,B1071,'Base bordo'!F$2:F$746,"MANOBRA CARRETAS-PATIO"),0)</f>
        <v>0.15055555555555555</v>
      </c>
      <c r="J1071" s="10">
        <f>IFERROR(SUMIFS('Base bordo'!G$2:G$746,'Base bordo'!C$2:C$746,A1071,'Base bordo'!B$2:B$746,B1071,'Base bordo'!F$2:F$746,"BALANÇA - ENTRADA"),0)+IFERROR(SUMIFS('Base bordo'!G$2:G$746,'Base bordo'!C$2:C$746,A1071,'Base bordo'!B$2:B$746,B1071,'Base bordo'!F$2:F$746,"BALANÇA - SAÍDA"),0)</f>
        <v>0</v>
      </c>
      <c r="K1071" s="10">
        <f>IFERROR(SUMIFS('Base bordo'!G$2:G$746,'Base bordo'!C$2:C$746,A1071,'Base bordo'!B$2:B$746,B1071,'Base bordo'!F$2:F$746,"MAN PREVENTIVA - MECANICA"),0)+IFERROR(SUMIFS('Base bordo'!G$2:G$746,'Base bordo'!C$2:C$746,A1071,'Base bordo'!B$2:B$746,B1071,'Base bordo'!F$2:F$746,"MAN CORRETIVA - MECANICA"),0)</f>
        <v>0</v>
      </c>
      <c r="L1071" s="10">
        <f>IFERROR(SUMIFS('Base bordo'!G$2:G$746,'Base bordo'!C$2:C$746,A1071,'Base bordo'!B$2:B$746,B1071,'Base bordo'!F$2:F$746,"MANUTENCAO - T O"),0)+IFERROR(SUMIFS('Base bordo'!G$2:G$746,'Base bordo'!C$2:C$746,A1071,'Base bordo'!B$2:B$746,B1071,'Base bordo'!F$2:F$746,"MANUTENCAO BORRACHARIA"),0)+IFERROR(SUMIFS('Base bordo'!G$2:G$746,'Base bordo'!C$2:C$746,A1071,'Base bordo'!B$2:B$746,B1071,'Base bordo'!F$2:F$746,"MANUTENCAO EXTERNA  CONCESSIONARIA"),0)+IFERROR(SUMIFS('Base bordo'!G$2:G$746,'Base bordo'!C$2:C$746,A1071,'Base bordo'!B$2:B$746,B1071,'Base bordo'!F$2:F$746,"MANUTENCAO TELEMETRIA"),0)</f>
        <v>0</v>
      </c>
      <c r="M1071" s="10">
        <f>IFERROR(SUMIFS('Base bordo'!G$2:G$746,'Base bordo'!C$2:C$746,A1071,'Base bordo'!B$2:B$746,B1071,'Base bordo'!F$2:F$746,"AGUARDANDO MANUTENCAO"),0)</f>
        <v>0</v>
      </c>
      <c r="N1071" s="10">
        <f>IFERROR(SUMIFS('Base bordo'!G$2:G$746,'Base bordo'!C$2:C$746,A1071,'Base bordo'!B$2:B$746,B1071,'Base bordo'!F$2:F$746,"SEM APONTAMENTO"),0)</f>
        <v>0</v>
      </c>
      <c r="O1071" s="10">
        <f t="shared" si="108"/>
        <v>0</v>
      </c>
      <c r="P1071" s="10">
        <f>IFERROR(SUMIFS('Base bordo'!G$2:G$746,'Base bordo'!C$2:C$746,A1071,'Base bordo'!B$2:B$746,B1071),0)</f>
        <v>2.0419444444444443</v>
      </c>
      <c r="Q1071" s="10">
        <f>IFERROR(SUMIFS('Base bordo'!H$2:H$746,'Base bordo'!C$2:C$746,A1071,'Base bordo'!B$2:B$746,B1071,'Base bordo'!F$2:F$746,"DESLOCAMENTO VAZIO"),0)</f>
        <v>0</v>
      </c>
      <c r="R1071" s="10">
        <f>IFERROR(SUMIFS('Base bordo'!I$2:I$746,'Base bordo'!C$2:C$746,A1071,'Base bordo'!B$2:B$746,B1071,'Base bordo'!F$2:F$746,"DESLOCAMENTO VAZIO"),0)</f>
        <v>0</v>
      </c>
      <c r="S1071" s="30" t="str">
        <f t="shared" si="109"/>
        <v/>
      </c>
      <c r="T1071" s="10">
        <f>IFERROR(SUMIFS('Base bordo'!H$2:H$746,'Base bordo'!C$2:C$746,A1071,'Base bordo'!B$2:B$746,B1071,'Base bordo'!F$2:F$746,"DESLOCAMENTO CARREGADO"),0)</f>
        <v>169799.59</v>
      </c>
      <c r="U1071" s="10">
        <f>IFERROR(SUMIFS('Base bordo'!I$2:I$746,'Base bordo'!C$2:C$746,A1071,'Base bordo'!B$2:B$746,B1071,'Base bordo'!F$2:F$746,"DESLOCAMENTO CARREGADO"),0)</f>
        <v>6809</v>
      </c>
      <c r="V1071" s="30">
        <f t="shared" si="110"/>
        <v>24.937522396827728</v>
      </c>
      <c r="W1071" s="9">
        <f t="shared" si="111"/>
        <v>0</v>
      </c>
      <c r="X1071" s="9">
        <f t="shared" si="112"/>
        <v>0.92626853489321181</v>
      </c>
      <c r="Y1071" s="9">
        <f t="shared" si="113"/>
        <v>7.3731465106788185E-2</v>
      </c>
    </row>
    <row r="1072" spans="1:25" ht="15" customHeight="1" x14ac:dyDescent="0.35">
      <c r="A1072" s="52">
        <v>8013485</v>
      </c>
      <c r="B1072" s="51">
        <v>46122</v>
      </c>
      <c r="C1072" s="7" t="s">
        <v>124</v>
      </c>
      <c r="D1072" s="10">
        <f>IFERROR(SUMIFS('Base bordo'!G$2:G$746,'Base bordo'!C$2:C$746,A1072,'Base bordo'!B$2:B$746,B1072,'Base bordo'!F$2:F$746,"DESLOCAMENTO VAZIO"),0)</f>
        <v>0</v>
      </c>
      <c r="E1072" s="10">
        <f>IFERROR(SUMIFS('Base bordo'!G$2:G$746,'Base bordo'!C$2:C$746,A1072,'Base bordo'!B$2:B$746,B1072,'Base bordo'!F$2:F$746,"DESLOCAMENTO CARREGADO"),0)</f>
        <v>0</v>
      </c>
      <c r="F1072" s="10">
        <f>IFERROR(SUMIFS('Base bordo'!G$2:G$746,'Base bordo'!C$2:C$746,A1072,'Base bordo'!B$2:B$746,B1072,'Base bordo'!F$2:F$746,"DESLOCAMENTO"),0)</f>
        <v>0</v>
      </c>
      <c r="G1072" s="10">
        <f>IFERROR(SUMIFS('Base bordo'!G$2:G$746,'Base bordo'!C$2:C$746,A1072,'Base bordo'!B$2:B$746,B1072,'Base bordo'!F$2:F$746,"CARREGAMENTO"),0)</f>
        <v>0</v>
      </c>
      <c r="H1072" s="10">
        <f>IFERROR(SUMIFS('Base bordo'!G$2:G$746,'Base bordo'!C$2:C$746,A1072,'Base bordo'!B$2:B$746,B1072,'Base bordo'!F$2:F$746,"AGUARDANDO TRANSBORDO"),0)</f>
        <v>0</v>
      </c>
      <c r="I1072" s="10">
        <f>IFERROR(SUMIFS('Base bordo'!G$2:G$746,'Base bordo'!C$2:C$746,A1072,'Base bordo'!B$2:B$746,B1072,'Base bordo'!F$2:F$746,"PÁTIO INTERNO"),0)+IFERROR(SUMIFS('Base bordo'!G$2:G$746,'Base bordo'!C$2:C$746,A1072,'Base bordo'!B$2:B$746,B1072,'Base bordo'!F$2:F$746,"PÁTIO EXTERNO"),0)+IFERROR(SUMIFS('Base bordo'!G$2:G$746,'Base bordo'!C$2:C$746,A1072,'Base bordo'!B$2:B$746,B1072,'Base bordo'!F$2:F$746,"PATIO - RESERVA"),0)+IFERROR(SUMIFS('Base bordo'!G$2:G$746,'Base bordo'!C$2:C$746,A1072,'Base bordo'!B$2:B$746,B1072,'Base bordo'!F$2:F$746,"MANOBRA CARRETAS-PATIO"),0)</f>
        <v>0</v>
      </c>
      <c r="J1072" s="10">
        <f>IFERROR(SUMIFS('Base bordo'!G$2:G$746,'Base bordo'!C$2:C$746,A1072,'Base bordo'!B$2:B$746,B1072,'Base bordo'!F$2:F$746,"BALANÇA - ENTRADA"),0)+IFERROR(SUMIFS('Base bordo'!G$2:G$746,'Base bordo'!C$2:C$746,A1072,'Base bordo'!B$2:B$746,B1072,'Base bordo'!F$2:F$746,"BALANÇA - SAÍDA"),0)</f>
        <v>0</v>
      </c>
      <c r="K1072" s="10">
        <f>IFERROR(SUMIFS('Base bordo'!G$2:G$746,'Base bordo'!C$2:C$746,A1072,'Base bordo'!B$2:B$746,B1072,'Base bordo'!F$2:F$746,"MAN PREVENTIVA - MECANICA"),0)+IFERROR(SUMIFS('Base bordo'!G$2:G$746,'Base bordo'!C$2:C$746,A1072,'Base bordo'!B$2:B$746,B1072,'Base bordo'!F$2:F$746,"MAN CORRETIVA - MECANICA"),0)</f>
        <v>0</v>
      </c>
      <c r="L1072" s="10">
        <f>IFERROR(SUMIFS('Base bordo'!G$2:G$746,'Base bordo'!C$2:C$746,A1072,'Base bordo'!B$2:B$746,B1072,'Base bordo'!F$2:F$746,"MANUTENCAO - T O"),0)+IFERROR(SUMIFS('Base bordo'!G$2:G$746,'Base bordo'!C$2:C$746,A1072,'Base bordo'!B$2:B$746,B1072,'Base bordo'!F$2:F$746,"MANUTENCAO BORRACHARIA"),0)+IFERROR(SUMIFS('Base bordo'!G$2:G$746,'Base bordo'!C$2:C$746,A1072,'Base bordo'!B$2:B$746,B1072,'Base bordo'!F$2:F$746,"MANUTENCAO EXTERNA  CONCESSIONARIA"),0)+IFERROR(SUMIFS('Base bordo'!G$2:G$746,'Base bordo'!C$2:C$746,A1072,'Base bordo'!B$2:B$746,B1072,'Base bordo'!F$2:F$746,"MANUTENCAO TELEMETRIA"),0)</f>
        <v>0</v>
      </c>
      <c r="M1072" s="10">
        <f>IFERROR(SUMIFS('Base bordo'!G$2:G$746,'Base bordo'!C$2:C$746,A1072,'Base bordo'!B$2:B$746,B1072,'Base bordo'!F$2:F$746,"AGUARDANDO MANUTENCAO"),0)</f>
        <v>0</v>
      </c>
      <c r="N1072" s="10">
        <f>IFERROR(SUMIFS('Base bordo'!G$2:G$746,'Base bordo'!C$2:C$746,A1072,'Base bordo'!B$2:B$746,B1072,'Base bordo'!F$2:F$746,"SEM APONTAMENTO"),0)</f>
        <v>0</v>
      </c>
      <c r="O1072" s="10">
        <f t="shared" si="108"/>
        <v>0</v>
      </c>
      <c r="P1072" s="10">
        <f>IFERROR(SUMIFS('Base bordo'!G$2:G$746,'Base bordo'!C$2:C$746,A1072,'Base bordo'!B$2:B$746,B1072),0)</f>
        <v>0</v>
      </c>
      <c r="Q1072" s="10">
        <f>IFERROR(SUMIFS('Base bordo'!H$2:H$746,'Base bordo'!C$2:C$746,A1072,'Base bordo'!B$2:B$746,B1072,'Base bordo'!F$2:F$746,"DESLOCAMENTO VAZIO"),0)</f>
        <v>0</v>
      </c>
      <c r="R1072" s="10">
        <f>IFERROR(SUMIFS('Base bordo'!I$2:I$746,'Base bordo'!C$2:C$746,A1072,'Base bordo'!B$2:B$746,B1072,'Base bordo'!F$2:F$746,"DESLOCAMENTO VAZIO"),0)</f>
        <v>0</v>
      </c>
      <c r="S1072" s="30" t="str">
        <f t="shared" si="109"/>
        <v/>
      </c>
      <c r="T1072" s="10">
        <f>IFERROR(SUMIFS('Base bordo'!H$2:H$746,'Base bordo'!C$2:C$746,A1072,'Base bordo'!B$2:B$746,B1072,'Base bordo'!F$2:F$746,"DESLOCAMENTO CARREGADO"),0)</f>
        <v>0</v>
      </c>
      <c r="U1072" s="10">
        <f>IFERROR(SUMIFS('Base bordo'!I$2:I$746,'Base bordo'!C$2:C$746,A1072,'Base bordo'!B$2:B$746,B1072,'Base bordo'!F$2:F$746,"DESLOCAMENTO CARREGADO"),0)</f>
        <v>0</v>
      </c>
      <c r="V1072" s="30" t="str">
        <f t="shared" si="110"/>
        <v/>
      </c>
      <c r="W1072" s="9">
        <f t="shared" si="111"/>
        <v>0</v>
      </c>
      <c r="X1072" s="9">
        <f t="shared" si="112"/>
        <v>0</v>
      </c>
      <c r="Y1072" s="9">
        <f t="shared" si="113"/>
        <v>0</v>
      </c>
    </row>
    <row r="1073" spans="1:25" ht="15" customHeight="1" x14ac:dyDescent="0.35">
      <c r="A1073" s="52">
        <v>8013486</v>
      </c>
      <c r="B1073" s="51">
        <v>46122</v>
      </c>
      <c r="C1073" s="7" t="s">
        <v>124</v>
      </c>
      <c r="D1073" s="10">
        <f>IFERROR(SUMIFS('Base bordo'!G$2:G$746,'Base bordo'!C$2:C$746,A1073,'Base bordo'!B$2:B$746,B1073,'Base bordo'!F$2:F$746,"DESLOCAMENTO VAZIO"),0)</f>
        <v>0</v>
      </c>
      <c r="E1073" s="10">
        <f>IFERROR(SUMIFS('Base bordo'!G$2:G$746,'Base bordo'!C$2:C$746,A1073,'Base bordo'!B$2:B$746,B1073,'Base bordo'!F$2:F$746,"DESLOCAMENTO CARREGADO"),0)</f>
        <v>0</v>
      </c>
      <c r="F1073" s="10">
        <f>IFERROR(SUMIFS('Base bordo'!G$2:G$746,'Base bordo'!C$2:C$746,A1073,'Base bordo'!B$2:B$746,B1073,'Base bordo'!F$2:F$746,"DESLOCAMENTO"),0)</f>
        <v>0</v>
      </c>
      <c r="G1073" s="10">
        <f>IFERROR(SUMIFS('Base bordo'!G$2:G$746,'Base bordo'!C$2:C$746,A1073,'Base bordo'!B$2:B$746,B1073,'Base bordo'!F$2:F$746,"CARREGAMENTO"),0)</f>
        <v>0</v>
      </c>
      <c r="H1073" s="10">
        <f>IFERROR(SUMIFS('Base bordo'!G$2:G$746,'Base bordo'!C$2:C$746,A1073,'Base bordo'!B$2:B$746,B1073,'Base bordo'!F$2:F$746,"AGUARDANDO TRANSBORDO"),0)</f>
        <v>0</v>
      </c>
      <c r="I1073" s="10">
        <f>IFERROR(SUMIFS('Base bordo'!G$2:G$746,'Base bordo'!C$2:C$746,A1073,'Base bordo'!B$2:B$746,B1073,'Base bordo'!F$2:F$746,"PÁTIO INTERNO"),0)+IFERROR(SUMIFS('Base bordo'!G$2:G$746,'Base bordo'!C$2:C$746,A1073,'Base bordo'!B$2:B$746,B1073,'Base bordo'!F$2:F$746,"PÁTIO EXTERNO"),0)+IFERROR(SUMIFS('Base bordo'!G$2:G$746,'Base bordo'!C$2:C$746,A1073,'Base bordo'!B$2:B$746,B1073,'Base bordo'!F$2:F$746,"PATIO - RESERVA"),0)+IFERROR(SUMIFS('Base bordo'!G$2:G$746,'Base bordo'!C$2:C$746,A1073,'Base bordo'!B$2:B$746,B1073,'Base bordo'!F$2:F$746,"MANOBRA CARRETAS-PATIO"),0)</f>
        <v>1.806111111111111</v>
      </c>
      <c r="J1073" s="10">
        <f>IFERROR(SUMIFS('Base bordo'!G$2:G$746,'Base bordo'!C$2:C$746,A1073,'Base bordo'!B$2:B$746,B1073,'Base bordo'!F$2:F$746,"BALANÇA - ENTRADA"),0)+IFERROR(SUMIFS('Base bordo'!G$2:G$746,'Base bordo'!C$2:C$746,A1073,'Base bordo'!B$2:B$746,B1073,'Base bordo'!F$2:F$746,"BALANÇA - SAÍDA"),0)</f>
        <v>0</v>
      </c>
      <c r="K1073" s="10">
        <f>IFERROR(SUMIFS('Base bordo'!G$2:G$746,'Base bordo'!C$2:C$746,A1073,'Base bordo'!B$2:B$746,B1073,'Base bordo'!F$2:F$746,"MAN PREVENTIVA - MECANICA"),0)+IFERROR(SUMIFS('Base bordo'!G$2:G$746,'Base bordo'!C$2:C$746,A1073,'Base bordo'!B$2:B$746,B1073,'Base bordo'!F$2:F$746,"MAN CORRETIVA - MECANICA"),0)</f>
        <v>0</v>
      </c>
      <c r="L1073" s="10">
        <f>IFERROR(SUMIFS('Base bordo'!G$2:G$746,'Base bordo'!C$2:C$746,A1073,'Base bordo'!B$2:B$746,B1073,'Base bordo'!F$2:F$746,"MANUTENCAO - T O"),0)+IFERROR(SUMIFS('Base bordo'!G$2:G$746,'Base bordo'!C$2:C$746,A1073,'Base bordo'!B$2:B$746,B1073,'Base bordo'!F$2:F$746,"MANUTENCAO BORRACHARIA"),0)+IFERROR(SUMIFS('Base bordo'!G$2:G$746,'Base bordo'!C$2:C$746,A1073,'Base bordo'!B$2:B$746,B1073,'Base bordo'!F$2:F$746,"MANUTENCAO EXTERNA  CONCESSIONARIA"),0)+IFERROR(SUMIFS('Base bordo'!G$2:G$746,'Base bordo'!C$2:C$746,A1073,'Base bordo'!B$2:B$746,B1073,'Base bordo'!F$2:F$746,"MANUTENCAO TELEMETRIA"),0)</f>
        <v>0</v>
      </c>
      <c r="M1073" s="10">
        <f>IFERROR(SUMIFS('Base bordo'!G$2:G$746,'Base bordo'!C$2:C$746,A1073,'Base bordo'!B$2:B$746,B1073,'Base bordo'!F$2:F$746,"AGUARDANDO MANUTENCAO"),0)</f>
        <v>0</v>
      </c>
      <c r="N1073" s="10">
        <f>IFERROR(SUMIFS('Base bordo'!G$2:G$746,'Base bordo'!C$2:C$746,A1073,'Base bordo'!B$2:B$746,B1073,'Base bordo'!F$2:F$746,"SEM APONTAMENTO"),0)</f>
        <v>0</v>
      </c>
      <c r="O1073" s="10">
        <f t="shared" si="108"/>
        <v>0</v>
      </c>
      <c r="P1073" s="10">
        <f>IFERROR(SUMIFS('Base bordo'!G$2:G$746,'Base bordo'!C$2:C$746,A1073,'Base bordo'!B$2:B$746,B1073),0)</f>
        <v>1.806111111111111</v>
      </c>
      <c r="Q1073" s="10">
        <f>IFERROR(SUMIFS('Base bordo'!H$2:H$746,'Base bordo'!C$2:C$746,A1073,'Base bordo'!B$2:B$746,B1073,'Base bordo'!F$2:F$746,"DESLOCAMENTO VAZIO"),0)</f>
        <v>0</v>
      </c>
      <c r="R1073" s="10">
        <f>IFERROR(SUMIFS('Base bordo'!I$2:I$746,'Base bordo'!C$2:C$746,A1073,'Base bordo'!B$2:B$746,B1073,'Base bordo'!F$2:F$746,"DESLOCAMENTO VAZIO"),0)</f>
        <v>0</v>
      </c>
      <c r="S1073" s="30" t="str">
        <f t="shared" si="109"/>
        <v/>
      </c>
      <c r="T1073" s="10">
        <f>IFERROR(SUMIFS('Base bordo'!H$2:H$746,'Base bordo'!C$2:C$746,A1073,'Base bordo'!B$2:B$746,B1073,'Base bordo'!F$2:F$746,"DESLOCAMENTO CARREGADO"),0)</f>
        <v>0</v>
      </c>
      <c r="U1073" s="10">
        <f>IFERROR(SUMIFS('Base bordo'!I$2:I$746,'Base bordo'!C$2:C$746,A1073,'Base bordo'!B$2:B$746,B1073,'Base bordo'!F$2:F$746,"DESLOCAMENTO CARREGADO"),0)</f>
        <v>0</v>
      </c>
      <c r="V1073" s="30" t="str">
        <f t="shared" si="110"/>
        <v/>
      </c>
      <c r="W1073" s="9">
        <f t="shared" si="111"/>
        <v>0</v>
      </c>
      <c r="X1073" s="9">
        <f t="shared" si="112"/>
        <v>0</v>
      </c>
      <c r="Y1073" s="9">
        <f t="shared" si="113"/>
        <v>1</v>
      </c>
    </row>
    <row r="1074" spans="1:25" ht="15" customHeight="1" x14ac:dyDescent="0.35">
      <c r="A1074" s="52">
        <v>8013460</v>
      </c>
      <c r="B1074" s="51">
        <v>46123</v>
      </c>
      <c r="C1074" s="7" t="s">
        <v>124</v>
      </c>
      <c r="D1074" s="10">
        <f>IFERROR(SUMIFS('Base bordo'!G$2:G$746,'Base bordo'!C$2:C$746,A1074,'Base bordo'!B$2:B$746,B1074,'Base bordo'!F$2:F$746,"DESLOCAMENTO VAZIO"),0)</f>
        <v>1.8969444444444445</v>
      </c>
      <c r="E1074" s="10">
        <f>IFERROR(SUMIFS('Base bordo'!G$2:G$746,'Base bordo'!C$2:C$746,A1074,'Base bordo'!B$2:B$746,B1074,'Base bordo'!F$2:F$746,"DESLOCAMENTO CARREGADO"),0)</f>
        <v>2.5080555555555555</v>
      </c>
      <c r="F1074" s="10">
        <f>IFERROR(SUMIFS('Base bordo'!G$2:G$746,'Base bordo'!C$2:C$746,A1074,'Base bordo'!B$2:B$746,B1074,'Base bordo'!F$2:F$746,"DESLOCAMENTO"),0)</f>
        <v>0</v>
      </c>
      <c r="G1074" s="10">
        <f>IFERROR(SUMIFS('Base bordo'!G$2:G$746,'Base bordo'!C$2:C$746,A1074,'Base bordo'!B$2:B$746,B1074,'Base bordo'!F$2:F$746,"CARREGAMENTO"),0)</f>
        <v>0</v>
      </c>
      <c r="H1074" s="10">
        <f>IFERROR(SUMIFS('Base bordo'!G$2:G$746,'Base bordo'!C$2:C$746,A1074,'Base bordo'!B$2:B$746,B1074,'Base bordo'!F$2:F$746,"AGUARDANDO TRANSBORDO"),0)</f>
        <v>0</v>
      </c>
      <c r="I1074" s="10">
        <f>IFERROR(SUMIFS('Base bordo'!G$2:G$746,'Base bordo'!C$2:C$746,A1074,'Base bordo'!B$2:B$746,B1074,'Base bordo'!F$2:F$746,"PÁTIO INTERNO"),0)+IFERROR(SUMIFS('Base bordo'!G$2:G$746,'Base bordo'!C$2:C$746,A1074,'Base bordo'!B$2:B$746,B1074,'Base bordo'!F$2:F$746,"PÁTIO EXTERNO"),0)+IFERROR(SUMIFS('Base bordo'!G$2:G$746,'Base bordo'!C$2:C$746,A1074,'Base bordo'!B$2:B$746,B1074,'Base bordo'!F$2:F$746,"PATIO - RESERVA"),0)+IFERROR(SUMIFS('Base bordo'!G$2:G$746,'Base bordo'!C$2:C$746,A1074,'Base bordo'!B$2:B$746,B1074,'Base bordo'!F$2:F$746,"MANOBRA CARRETAS-PATIO"),0)</f>
        <v>2.3761111111111113</v>
      </c>
      <c r="J1074" s="10">
        <f>IFERROR(SUMIFS('Base bordo'!G$2:G$746,'Base bordo'!C$2:C$746,A1074,'Base bordo'!B$2:B$746,B1074,'Base bordo'!F$2:F$746,"BALANÇA - ENTRADA"),0)+IFERROR(SUMIFS('Base bordo'!G$2:G$746,'Base bordo'!C$2:C$746,A1074,'Base bordo'!B$2:B$746,B1074,'Base bordo'!F$2:F$746,"BALANÇA - SAÍDA"),0)</f>
        <v>0</v>
      </c>
      <c r="K1074" s="10">
        <f>IFERROR(SUMIFS('Base bordo'!G$2:G$746,'Base bordo'!C$2:C$746,A1074,'Base bordo'!B$2:B$746,B1074,'Base bordo'!F$2:F$746,"MAN PREVENTIVA - MECANICA"),0)+IFERROR(SUMIFS('Base bordo'!G$2:G$746,'Base bordo'!C$2:C$746,A1074,'Base bordo'!B$2:B$746,B1074,'Base bordo'!F$2:F$746,"MAN CORRETIVA - MECANICA"),0)</f>
        <v>0</v>
      </c>
      <c r="L1074" s="10">
        <f>IFERROR(SUMIFS('Base bordo'!G$2:G$746,'Base bordo'!C$2:C$746,A1074,'Base bordo'!B$2:B$746,B1074,'Base bordo'!F$2:F$746,"MANUTENCAO - T O"),0)+IFERROR(SUMIFS('Base bordo'!G$2:G$746,'Base bordo'!C$2:C$746,A1074,'Base bordo'!B$2:B$746,B1074,'Base bordo'!F$2:F$746,"MANUTENCAO BORRACHARIA"),0)+IFERROR(SUMIFS('Base bordo'!G$2:G$746,'Base bordo'!C$2:C$746,A1074,'Base bordo'!B$2:B$746,B1074,'Base bordo'!F$2:F$746,"MANUTENCAO EXTERNA  CONCESSIONARIA"),0)+IFERROR(SUMIFS('Base bordo'!G$2:G$746,'Base bordo'!C$2:C$746,A1074,'Base bordo'!B$2:B$746,B1074,'Base bordo'!F$2:F$746,"MANUTENCAO TELEMETRIA"),0)</f>
        <v>0</v>
      </c>
      <c r="M1074" s="10">
        <f>IFERROR(SUMIFS('Base bordo'!G$2:G$746,'Base bordo'!C$2:C$746,A1074,'Base bordo'!B$2:B$746,B1074,'Base bordo'!F$2:F$746,"AGUARDANDO MANUTENCAO"),0)</f>
        <v>0</v>
      </c>
      <c r="N1074" s="10">
        <f>IFERROR(SUMIFS('Base bordo'!G$2:G$746,'Base bordo'!C$2:C$746,A1074,'Base bordo'!B$2:B$746,B1074,'Base bordo'!F$2:F$746,"SEM APONTAMENTO"),0)</f>
        <v>0</v>
      </c>
      <c r="O1074" s="10">
        <f t="shared" si="108"/>
        <v>0.44861111111111196</v>
      </c>
      <c r="P1074" s="10">
        <f>IFERROR(SUMIFS('Base bordo'!G$2:G$746,'Base bordo'!C$2:C$746,A1074,'Base bordo'!B$2:B$746,B1074),0)</f>
        <v>7.2297222222222235</v>
      </c>
      <c r="Q1074" s="10">
        <f>IFERROR(SUMIFS('Base bordo'!H$2:H$746,'Base bordo'!C$2:C$746,A1074,'Base bordo'!B$2:B$746,B1074,'Base bordo'!F$2:F$746,"DESLOCAMENTO VAZIO"),0)</f>
        <v>236918.97</v>
      </c>
      <c r="R1074" s="10">
        <f>IFERROR(SUMIFS('Base bordo'!I$2:I$746,'Base bordo'!C$2:C$746,A1074,'Base bordo'!B$2:B$746,B1074,'Base bordo'!F$2:F$746,"DESLOCAMENTO VAZIO"),0)</f>
        <v>6829</v>
      </c>
      <c r="S1074" s="30">
        <f t="shared" si="109"/>
        <v>34.693069263435348</v>
      </c>
      <c r="T1074" s="10">
        <f>IFERROR(SUMIFS('Base bordo'!H$2:H$746,'Base bordo'!C$2:C$746,A1074,'Base bordo'!B$2:B$746,B1074,'Base bordo'!F$2:F$746,"DESLOCAMENTO CARREGADO"),0)</f>
        <v>208531.69</v>
      </c>
      <c r="U1074" s="10">
        <f>IFERROR(SUMIFS('Base bordo'!I$2:I$746,'Base bordo'!C$2:C$746,A1074,'Base bordo'!B$2:B$746,B1074,'Base bordo'!F$2:F$746,"DESLOCAMENTO CARREGADO"),0)</f>
        <v>8999</v>
      </c>
      <c r="V1074" s="30">
        <f t="shared" si="110"/>
        <v>23.172762529169908</v>
      </c>
      <c r="W1074" s="9">
        <f t="shared" si="111"/>
        <v>0.26238137318938021</v>
      </c>
      <c r="X1074" s="9">
        <f t="shared" si="112"/>
        <v>0.34690897913704993</v>
      </c>
      <c r="Y1074" s="9">
        <f t="shared" si="113"/>
        <v>0.39070964767356986</v>
      </c>
    </row>
    <row r="1075" spans="1:25" ht="15" customHeight="1" x14ac:dyDescent="0.35">
      <c r="A1075" s="52">
        <v>8013460</v>
      </c>
      <c r="B1075" s="51">
        <v>46123</v>
      </c>
      <c r="C1075" s="7" t="s">
        <v>124</v>
      </c>
      <c r="D1075" s="10">
        <f>IFERROR(SUMIFS('Base bordo'!G$2:G$746,'Base bordo'!C$2:C$746,A1075,'Base bordo'!B$2:B$746,B1075,'Base bordo'!F$2:F$746,"DESLOCAMENTO VAZIO"),0)</f>
        <v>1.8969444444444445</v>
      </c>
      <c r="E1075" s="10">
        <f>IFERROR(SUMIFS('Base bordo'!G$2:G$746,'Base bordo'!C$2:C$746,A1075,'Base bordo'!B$2:B$746,B1075,'Base bordo'!F$2:F$746,"DESLOCAMENTO CARREGADO"),0)</f>
        <v>2.5080555555555555</v>
      </c>
      <c r="F1075" s="10">
        <f>IFERROR(SUMIFS('Base bordo'!G$2:G$746,'Base bordo'!C$2:C$746,A1075,'Base bordo'!B$2:B$746,B1075,'Base bordo'!F$2:F$746,"DESLOCAMENTO"),0)</f>
        <v>0</v>
      </c>
      <c r="G1075" s="10">
        <f>IFERROR(SUMIFS('Base bordo'!G$2:G$746,'Base bordo'!C$2:C$746,A1075,'Base bordo'!B$2:B$746,B1075,'Base bordo'!F$2:F$746,"CARREGAMENTO"),0)</f>
        <v>0</v>
      </c>
      <c r="H1075" s="10">
        <f>IFERROR(SUMIFS('Base bordo'!G$2:G$746,'Base bordo'!C$2:C$746,A1075,'Base bordo'!B$2:B$746,B1075,'Base bordo'!F$2:F$746,"AGUARDANDO TRANSBORDO"),0)</f>
        <v>0</v>
      </c>
      <c r="I1075" s="10">
        <f>IFERROR(SUMIFS('Base bordo'!G$2:G$746,'Base bordo'!C$2:C$746,A1075,'Base bordo'!B$2:B$746,B1075,'Base bordo'!F$2:F$746,"PÁTIO INTERNO"),0)+IFERROR(SUMIFS('Base bordo'!G$2:G$746,'Base bordo'!C$2:C$746,A1075,'Base bordo'!B$2:B$746,B1075,'Base bordo'!F$2:F$746,"PÁTIO EXTERNO"),0)+IFERROR(SUMIFS('Base bordo'!G$2:G$746,'Base bordo'!C$2:C$746,A1075,'Base bordo'!B$2:B$746,B1075,'Base bordo'!F$2:F$746,"PATIO - RESERVA"),0)+IFERROR(SUMIFS('Base bordo'!G$2:G$746,'Base bordo'!C$2:C$746,A1075,'Base bordo'!B$2:B$746,B1075,'Base bordo'!F$2:F$746,"MANOBRA CARRETAS-PATIO"),0)</f>
        <v>2.3761111111111113</v>
      </c>
      <c r="J1075" s="10">
        <f>IFERROR(SUMIFS('Base bordo'!G$2:G$746,'Base bordo'!C$2:C$746,A1075,'Base bordo'!B$2:B$746,B1075,'Base bordo'!F$2:F$746,"BALANÇA - ENTRADA"),0)+IFERROR(SUMIFS('Base bordo'!G$2:G$746,'Base bordo'!C$2:C$746,A1075,'Base bordo'!B$2:B$746,B1075,'Base bordo'!F$2:F$746,"BALANÇA - SAÍDA"),0)</f>
        <v>0</v>
      </c>
      <c r="K1075" s="10">
        <f>IFERROR(SUMIFS('Base bordo'!G$2:G$746,'Base bordo'!C$2:C$746,A1075,'Base bordo'!B$2:B$746,B1075,'Base bordo'!F$2:F$746,"MAN PREVENTIVA - MECANICA"),0)+IFERROR(SUMIFS('Base bordo'!G$2:G$746,'Base bordo'!C$2:C$746,A1075,'Base bordo'!B$2:B$746,B1075,'Base bordo'!F$2:F$746,"MAN CORRETIVA - MECANICA"),0)</f>
        <v>0</v>
      </c>
      <c r="L1075" s="10">
        <f>IFERROR(SUMIFS('Base bordo'!G$2:G$746,'Base bordo'!C$2:C$746,A1075,'Base bordo'!B$2:B$746,B1075,'Base bordo'!F$2:F$746,"MANUTENCAO - T O"),0)+IFERROR(SUMIFS('Base bordo'!G$2:G$746,'Base bordo'!C$2:C$746,A1075,'Base bordo'!B$2:B$746,B1075,'Base bordo'!F$2:F$746,"MANUTENCAO BORRACHARIA"),0)+IFERROR(SUMIFS('Base bordo'!G$2:G$746,'Base bordo'!C$2:C$746,A1075,'Base bordo'!B$2:B$746,B1075,'Base bordo'!F$2:F$746,"MANUTENCAO EXTERNA  CONCESSIONARIA"),0)+IFERROR(SUMIFS('Base bordo'!G$2:G$746,'Base bordo'!C$2:C$746,A1075,'Base bordo'!B$2:B$746,B1075,'Base bordo'!F$2:F$746,"MANUTENCAO TELEMETRIA"),0)</f>
        <v>0</v>
      </c>
      <c r="M1075" s="10">
        <f>IFERROR(SUMIFS('Base bordo'!G$2:G$746,'Base bordo'!C$2:C$746,A1075,'Base bordo'!B$2:B$746,B1075,'Base bordo'!F$2:F$746,"AGUARDANDO MANUTENCAO"),0)</f>
        <v>0</v>
      </c>
      <c r="N1075" s="10">
        <f>IFERROR(SUMIFS('Base bordo'!G$2:G$746,'Base bordo'!C$2:C$746,A1075,'Base bordo'!B$2:B$746,B1075,'Base bordo'!F$2:F$746,"SEM APONTAMENTO"),0)</f>
        <v>0</v>
      </c>
      <c r="O1075" s="10">
        <f t="shared" si="108"/>
        <v>0.44861111111111196</v>
      </c>
      <c r="P1075" s="10">
        <f>IFERROR(SUMIFS('Base bordo'!G$2:G$746,'Base bordo'!C$2:C$746,A1075,'Base bordo'!B$2:B$746,B1075),0)</f>
        <v>7.2297222222222235</v>
      </c>
      <c r="Q1075" s="10">
        <f>IFERROR(SUMIFS('Base bordo'!H$2:H$746,'Base bordo'!C$2:C$746,A1075,'Base bordo'!B$2:B$746,B1075,'Base bordo'!F$2:F$746,"DESLOCAMENTO VAZIO"),0)</f>
        <v>236918.97</v>
      </c>
      <c r="R1075" s="10">
        <f>IFERROR(SUMIFS('Base bordo'!I$2:I$746,'Base bordo'!C$2:C$746,A1075,'Base bordo'!B$2:B$746,B1075,'Base bordo'!F$2:F$746,"DESLOCAMENTO VAZIO"),0)</f>
        <v>6829</v>
      </c>
      <c r="S1075" s="30">
        <f t="shared" si="109"/>
        <v>34.693069263435348</v>
      </c>
      <c r="T1075" s="10">
        <f>IFERROR(SUMIFS('Base bordo'!H$2:H$746,'Base bordo'!C$2:C$746,A1075,'Base bordo'!B$2:B$746,B1075,'Base bordo'!F$2:F$746,"DESLOCAMENTO CARREGADO"),0)</f>
        <v>208531.69</v>
      </c>
      <c r="U1075" s="10">
        <f>IFERROR(SUMIFS('Base bordo'!I$2:I$746,'Base bordo'!C$2:C$746,A1075,'Base bordo'!B$2:B$746,B1075,'Base bordo'!F$2:F$746,"DESLOCAMENTO CARREGADO"),0)</f>
        <v>8999</v>
      </c>
      <c r="V1075" s="30">
        <f t="shared" si="110"/>
        <v>23.172762529169908</v>
      </c>
      <c r="W1075" s="9">
        <f t="shared" si="111"/>
        <v>0.26238137318938021</v>
      </c>
      <c r="X1075" s="9">
        <f t="shared" si="112"/>
        <v>0.34690897913704993</v>
      </c>
      <c r="Y1075" s="9">
        <f t="shared" si="113"/>
        <v>0.39070964767356986</v>
      </c>
    </row>
    <row r="1076" spans="1:25" ht="15" customHeight="1" x14ac:dyDescent="0.35">
      <c r="A1076" s="52">
        <v>8013460</v>
      </c>
      <c r="B1076" s="51">
        <v>46123</v>
      </c>
      <c r="C1076" s="7" t="s">
        <v>124</v>
      </c>
      <c r="D1076" s="10">
        <f>IFERROR(SUMIFS('Base bordo'!G$2:G$746,'Base bordo'!C$2:C$746,A1076,'Base bordo'!B$2:B$746,B1076,'Base bordo'!F$2:F$746,"DESLOCAMENTO VAZIO"),0)</f>
        <v>1.8969444444444445</v>
      </c>
      <c r="E1076" s="10">
        <f>IFERROR(SUMIFS('Base bordo'!G$2:G$746,'Base bordo'!C$2:C$746,A1076,'Base bordo'!B$2:B$746,B1076,'Base bordo'!F$2:F$746,"DESLOCAMENTO CARREGADO"),0)</f>
        <v>2.5080555555555555</v>
      </c>
      <c r="F1076" s="10">
        <f>IFERROR(SUMIFS('Base bordo'!G$2:G$746,'Base bordo'!C$2:C$746,A1076,'Base bordo'!B$2:B$746,B1076,'Base bordo'!F$2:F$746,"DESLOCAMENTO"),0)</f>
        <v>0</v>
      </c>
      <c r="G1076" s="10">
        <f>IFERROR(SUMIFS('Base bordo'!G$2:G$746,'Base bordo'!C$2:C$746,A1076,'Base bordo'!B$2:B$746,B1076,'Base bordo'!F$2:F$746,"CARREGAMENTO"),0)</f>
        <v>0</v>
      </c>
      <c r="H1076" s="10">
        <f>IFERROR(SUMIFS('Base bordo'!G$2:G$746,'Base bordo'!C$2:C$746,A1076,'Base bordo'!B$2:B$746,B1076,'Base bordo'!F$2:F$746,"AGUARDANDO TRANSBORDO"),0)</f>
        <v>0</v>
      </c>
      <c r="I1076" s="10">
        <f>IFERROR(SUMIFS('Base bordo'!G$2:G$746,'Base bordo'!C$2:C$746,A1076,'Base bordo'!B$2:B$746,B1076,'Base bordo'!F$2:F$746,"PÁTIO INTERNO"),0)+IFERROR(SUMIFS('Base bordo'!G$2:G$746,'Base bordo'!C$2:C$746,A1076,'Base bordo'!B$2:B$746,B1076,'Base bordo'!F$2:F$746,"PÁTIO EXTERNO"),0)+IFERROR(SUMIFS('Base bordo'!G$2:G$746,'Base bordo'!C$2:C$746,A1076,'Base bordo'!B$2:B$746,B1076,'Base bordo'!F$2:F$746,"PATIO - RESERVA"),0)+IFERROR(SUMIFS('Base bordo'!G$2:G$746,'Base bordo'!C$2:C$746,A1076,'Base bordo'!B$2:B$746,B1076,'Base bordo'!F$2:F$746,"MANOBRA CARRETAS-PATIO"),0)</f>
        <v>2.3761111111111113</v>
      </c>
      <c r="J1076" s="10">
        <f>IFERROR(SUMIFS('Base bordo'!G$2:G$746,'Base bordo'!C$2:C$746,A1076,'Base bordo'!B$2:B$746,B1076,'Base bordo'!F$2:F$746,"BALANÇA - ENTRADA"),0)+IFERROR(SUMIFS('Base bordo'!G$2:G$746,'Base bordo'!C$2:C$746,A1076,'Base bordo'!B$2:B$746,B1076,'Base bordo'!F$2:F$746,"BALANÇA - SAÍDA"),0)</f>
        <v>0</v>
      </c>
      <c r="K1076" s="10">
        <f>IFERROR(SUMIFS('Base bordo'!G$2:G$746,'Base bordo'!C$2:C$746,A1076,'Base bordo'!B$2:B$746,B1076,'Base bordo'!F$2:F$746,"MAN PREVENTIVA - MECANICA"),0)+IFERROR(SUMIFS('Base bordo'!G$2:G$746,'Base bordo'!C$2:C$746,A1076,'Base bordo'!B$2:B$746,B1076,'Base bordo'!F$2:F$746,"MAN CORRETIVA - MECANICA"),0)</f>
        <v>0</v>
      </c>
      <c r="L1076" s="10">
        <f>IFERROR(SUMIFS('Base bordo'!G$2:G$746,'Base bordo'!C$2:C$746,A1076,'Base bordo'!B$2:B$746,B1076,'Base bordo'!F$2:F$746,"MANUTENCAO - T O"),0)+IFERROR(SUMIFS('Base bordo'!G$2:G$746,'Base bordo'!C$2:C$746,A1076,'Base bordo'!B$2:B$746,B1076,'Base bordo'!F$2:F$746,"MANUTENCAO BORRACHARIA"),0)+IFERROR(SUMIFS('Base bordo'!G$2:G$746,'Base bordo'!C$2:C$746,A1076,'Base bordo'!B$2:B$746,B1076,'Base bordo'!F$2:F$746,"MANUTENCAO EXTERNA  CONCESSIONARIA"),0)+IFERROR(SUMIFS('Base bordo'!G$2:G$746,'Base bordo'!C$2:C$746,A1076,'Base bordo'!B$2:B$746,B1076,'Base bordo'!F$2:F$746,"MANUTENCAO TELEMETRIA"),0)</f>
        <v>0</v>
      </c>
      <c r="M1076" s="10">
        <f>IFERROR(SUMIFS('Base bordo'!G$2:G$746,'Base bordo'!C$2:C$746,A1076,'Base bordo'!B$2:B$746,B1076,'Base bordo'!F$2:F$746,"AGUARDANDO MANUTENCAO"),0)</f>
        <v>0</v>
      </c>
      <c r="N1076" s="10">
        <f>IFERROR(SUMIFS('Base bordo'!G$2:G$746,'Base bordo'!C$2:C$746,A1076,'Base bordo'!B$2:B$746,B1076,'Base bordo'!F$2:F$746,"SEM APONTAMENTO"),0)</f>
        <v>0</v>
      </c>
      <c r="O1076" s="10">
        <f t="shared" si="108"/>
        <v>0.44861111111111196</v>
      </c>
      <c r="P1076" s="10">
        <f>IFERROR(SUMIFS('Base bordo'!G$2:G$746,'Base bordo'!C$2:C$746,A1076,'Base bordo'!B$2:B$746,B1076),0)</f>
        <v>7.2297222222222235</v>
      </c>
      <c r="Q1076" s="10">
        <f>IFERROR(SUMIFS('Base bordo'!H$2:H$746,'Base bordo'!C$2:C$746,A1076,'Base bordo'!B$2:B$746,B1076,'Base bordo'!F$2:F$746,"DESLOCAMENTO VAZIO"),0)</f>
        <v>236918.97</v>
      </c>
      <c r="R1076" s="10">
        <f>IFERROR(SUMIFS('Base bordo'!I$2:I$746,'Base bordo'!C$2:C$746,A1076,'Base bordo'!B$2:B$746,B1076,'Base bordo'!F$2:F$746,"DESLOCAMENTO VAZIO"),0)</f>
        <v>6829</v>
      </c>
      <c r="S1076" s="30">
        <f t="shared" si="109"/>
        <v>34.693069263435348</v>
      </c>
      <c r="T1076" s="10">
        <f>IFERROR(SUMIFS('Base bordo'!H$2:H$746,'Base bordo'!C$2:C$746,A1076,'Base bordo'!B$2:B$746,B1076,'Base bordo'!F$2:F$746,"DESLOCAMENTO CARREGADO"),0)</f>
        <v>208531.69</v>
      </c>
      <c r="U1076" s="10">
        <f>IFERROR(SUMIFS('Base bordo'!I$2:I$746,'Base bordo'!C$2:C$746,A1076,'Base bordo'!B$2:B$746,B1076,'Base bordo'!F$2:F$746,"DESLOCAMENTO CARREGADO"),0)</f>
        <v>8999</v>
      </c>
      <c r="V1076" s="30">
        <f t="shared" si="110"/>
        <v>23.172762529169908</v>
      </c>
      <c r="W1076" s="9">
        <f t="shared" si="111"/>
        <v>0.26238137318938021</v>
      </c>
      <c r="X1076" s="9">
        <f t="shared" si="112"/>
        <v>0.34690897913704993</v>
      </c>
      <c r="Y1076" s="9">
        <f t="shared" si="113"/>
        <v>0.39070964767356986</v>
      </c>
    </row>
    <row r="1077" spans="1:25" ht="15" customHeight="1" x14ac:dyDescent="0.35">
      <c r="A1077" s="52">
        <v>8013460</v>
      </c>
      <c r="B1077" s="51">
        <v>46123</v>
      </c>
      <c r="C1077" s="7" t="s">
        <v>124</v>
      </c>
      <c r="D1077" s="10">
        <f>IFERROR(SUMIFS('Base bordo'!G$2:G$746,'Base bordo'!C$2:C$746,A1077,'Base bordo'!B$2:B$746,B1077,'Base bordo'!F$2:F$746,"DESLOCAMENTO VAZIO"),0)</f>
        <v>1.8969444444444445</v>
      </c>
      <c r="E1077" s="10">
        <f>IFERROR(SUMIFS('Base bordo'!G$2:G$746,'Base bordo'!C$2:C$746,A1077,'Base bordo'!B$2:B$746,B1077,'Base bordo'!F$2:F$746,"DESLOCAMENTO CARREGADO"),0)</f>
        <v>2.5080555555555555</v>
      </c>
      <c r="F1077" s="10">
        <f>IFERROR(SUMIFS('Base bordo'!G$2:G$746,'Base bordo'!C$2:C$746,A1077,'Base bordo'!B$2:B$746,B1077,'Base bordo'!F$2:F$746,"DESLOCAMENTO"),0)</f>
        <v>0</v>
      </c>
      <c r="G1077" s="10">
        <f>IFERROR(SUMIFS('Base bordo'!G$2:G$746,'Base bordo'!C$2:C$746,A1077,'Base bordo'!B$2:B$746,B1077,'Base bordo'!F$2:F$746,"CARREGAMENTO"),0)</f>
        <v>0</v>
      </c>
      <c r="H1077" s="10">
        <f>IFERROR(SUMIFS('Base bordo'!G$2:G$746,'Base bordo'!C$2:C$746,A1077,'Base bordo'!B$2:B$746,B1077,'Base bordo'!F$2:F$746,"AGUARDANDO TRANSBORDO"),0)</f>
        <v>0</v>
      </c>
      <c r="I1077" s="10">
        <f>IFERROR(SUMIFS('Base bordo'!G$2:G$746,'Base bordo'!C$2:C$746,A1077,'Base bordo'!B$2:B$746,B1077,'Base bordo'!F$2:F$746,"PÁTIO INTERNO"),0)+IFERROR(SUMIFS('Base bordo'!G$2:G$746,'Base bordo'!C$2:C$746,A1077,'Base bordo'!B$2:B$746,B1077,'Base bordo'!F$2:F$746,"PÁTIO EXTERNO"),0)+IFERROR(SUMIFS('Base bordo'!G$2:G$746,'Base bordo'!C$2:C$746,A1077,'Base bordo'!B$2:B$746,B1077,'Base bordo'!F$2:F$746,"PATIO - RESERVA"),0)+IFERROR(SUMIFS('Base bordo'!G$2:G$746,'Base bordo'!C$2:C$746,A1077,'Base bordo'!B$2:B$746,B1077,'Base bordo'!F$2:F$746,"MANOBRA CARRETAS-PATIO"),0)</f>
        <v>2.3761111111111113</v>
      </c>
      <c r="J1077" s="10">
        <f>IFERROR(SUMIFS('Base bordo'!G$2:G$746,'Base bordo'!C$2:C$746,A1077,'Base bordo'!B$2:B$746,B1077,'Base bordo'!F$2:F$746,"BALANÇA - ENTRADA"),0)+IFERROR(SUMIFS('Base bordo'!G$2:G$746,'Base bordo'!C$2:C$746,A1077,'Base bordo'!B$2:B$746,B1077,'Base bordo'!F$2:F$746,"BALANÇA - SAÍDA"),0)</f>
        <v>0</v>
      </c>
      <c r="K1077" s="10">
        <f>IFERROR(SUMIFS('Base bordo'!G$2:G$746,'Base bordo'!C$2:C$746,A1077,'Base bordo'!B$2:B$746,B1077,'Base bordo'!F$2:F$746,"MAN PREVENTIVA - MECANICA"),0)+IFERROR(SUMIFS('Base bordo'!G$2:G$746,'Base bordo'!C$2:C$746,A1077,'Base bordo'!B$2:B$746,B1077,'Base bordo'!F$2:F$746,"MAN CORRETIVA - MECANICA"),0)</f>
        <v>0</v>
      </c>
      <c r="L1077" s="10">
        <f>IFERROR(SUMIFS('Base bordo'!G$2:G$746,'Base bordo'!C$2:C$746,A1077,'Base bordo'!B$2:B$746,B1077,'Base bordo'!F$2:F$746,"MANUTENCAO - T O"),0)+IFERROR(SUMIFS('Base bordo'!G$2:G$746,'Base bordo'!C$2:C$746,A1077,'Base bordo'!B$2:B$746,B1077,'Base bordo'!F$2:F$746,"MANUTENCAO BORRACHARIA"),0)+IFERROR(SUMIFS('Base bordo'!G$2:G$746,'Base bordo'!C$2:C$746,A1077,'Base bordo'!B$2:B$746,B1077,'Base bordo'!F$2:F$746,"MANUTENCAO EXTERNA  CONCESSIONARIA"),0)+IFERROR(SUMIFS('Base bordo'!G$2:G$746,'Base bordo'!C$2:C$746,A1077,'Base bordo'!B$2:B$746,B1077,'Base bordo'!F$2:F$746,"MANUTENCAO TELEMETRIA"),0)</f>
        <v>0</v>
      </c>
      <c r="M1077" s="10">
        <f>IFERROR(SUMIFS('Base bordo'!G$2:G$746,'Base bordo'!C$2:C$746,A1077,'Base bordo'!B$2:B$746,B1077,'Base bordo'!F$2:F$746,"AGUARDANDO MANUTENCAO"),0)</f>
        <v>0</v>
      </c>
      <c r="N1077" s="10">
        <f>IFERROR(SUMIFS('Base bordo'!G$2:G$746,'Base bordo'!C$2:C$746,A1077,'Base bordo'!B$2:B$746,B1077,'Base bordo'!F$2:F$746,"SEM APONTAMENTO"),0)</f>
        <v>0</v>
      </c>
      <c r="O1077" s="10">
        <f t="shared" si="108"/>
        <v>0.44861111111111196</v>
      </c>
      <c r="P1077" s="10">
        <f>IFERROR(SUMIFS('Base bordo'!G$2:G$746,'Base bordo'!C$2:C$746,A1077,'Base bordo'!B$2:B$746,B1077),0)</f>
        <v>7.2297222222222235</v>
      </c>
      <c r="Q1077" s="10">
        <f>IFERROR(SUMIFS('Base bordo'!H$2:H$746,'Base bordo'!C$2:C$746,A1077,'Base bordo'!B$2:B$746,B1077,'Base bordo'!F$2:F$746,"DESLOCAMENTO VAZIO"),0)</f>
        <v>236918.97</v>
      </c>
      <c r="R1077" s="10">
        <f>IFERROR(SUMIFS('Base bordo'!I$2:I$746,'Base bordo'!C$2:C$746,A1077,'Base bordo'!B$2:B$746,B1077,'Base bordo'!F$2:F$746,"DESLOCAMENTO VAZIO"),0)</f>
        <v>6829</v>
      </c>
      <c r="S1077" s="30">
        <f t="shared" si="109"/>
        <v>34.693069263435348</v>
      </c>
      <c r="T1077" s="10">
        <f>IFERROR(SUMIFS('Base bordo'!H$2:H$746,'Base bordo'!C$2:C$746,A1077,'Base bordo'!B$2:B$746,B1077,'Base bordo'!F$2:F$746,"DESLOCAMENTO CARREGADO"),0)</f>
        <v>208531.69</v>
      </c>
      <c r="U1077" s="10">
        <f>IFERROR(SUMIFS('Base bordo'!I$2:I$746,'Base bordo'!C$2:C$746,A1077,'Base bordo'!B$2:B$746,B1077,'Base bordo'!F$2:F$746,"DESLOCAMENTO CARREGADO"),0)</f>
        <v>8999</v>
      </c>
      <c r="V1077" s="30">
        <f t="shared" si="110"/>
        <v>23.172762529169908</v>
      </c>
      <c r="W1077" s="9">
        <f t="shared" si="111"/>
        <v>0.26238137318938021</v>
      </c>
      <c r="X1077" s="9">
        <f t="shared" si="112"/>
        <v>0.34690897913704993</v>
      </c>
      <c r="Y1077" s="9">
        <f t="shared" si="113"/>
        <v>0.39070964767356986</v>
      </c>
    </row>
    <row r="1078" spans="1:25" ht="15" customHeight="1" x14ac:dyDescent="0.35">
      <c r="A1078" s="52">
        <v>8013460</v>
      </c>
      <c r="B1078" s="51">
        <v>46123</v>
      </c>
      <c r="C1078" s="7" t="s">
        <v>124</v>
      </c>
      <c r="D1078" s="10">
        <f>IFERROR(SUMIFS('Base bordo'!G$2:G$746,'Base bordo'!C$2:C$746,A1078,'Base bordo'!B$2:B$746,B1078,'Base bordo'!F$2:F$746,"DESLOCAMENTO VAZIO"),0)</f>
        <v>1.8969444444444445</v>
      </c>
      <c r="E1078" s="10">
        <f>IFERROR(SUMIFS('Base bordo'!G$2:G$746,'Base bordo'!C$2:C$746,A1078,'Base bordo'!B$2:B$746,B1078,'Base bordo'!F$2:F$746,"DESLOCAMENTO CARREGADO"),0)</f>
        <v>2.5080555555555555</v>
      </c>
      <c r="F1078" s="10">
        <f>IFERROR(SUMIFS('Base bordo'!G$2:G$746,'Base bordo'!C$2:C$746,A1078,'Base bordo'!B$2:B$746,B1078,'Base bordo'!F$2:F$746,"DESLOCAMENTO"),0)</f>
        <v>0</v>
      </c>
      <c r="G1078" s="10">
        <f>IFERROR(SUMIFS('Base bordo'!G$2:G$746,'Base bordo'!C$2:C$746,A1078,'Base bordo'!B$2:B$746,B1078,'Base bordo'!F$2:F$746,"CARREGAMENTO"),0)</f>
        <v>0</v>
      </c>
      <c r="H1078" s="10">
        <f>IFERROR(SUMIFS('Base bordo'!G$2:G$746,'Base bordo'!C$2:C$746,A1078,'Base bordo'!B$2:B$746,B1078,'Base bordo'!F$2:F$746,"AGUARDANDO TRANSBORDO"),0)</f>
        <v>0</v>
      </c>
      <c r="I1078" s="10">
        <f>IFERROR(SUMIFS('Base bordo'!G$2:G$746,'Base bordo'!C$2:C$746,A1078,'Base bordo'!B$2:B$746,B1078,'Base bordo'!F$2:F$746,"PÁTIO INTERNO"),0)+IFERROR(SUMIFS('Base bordo'!G$2:G$746,'Base bordo'!C$2:C$746,A1078,'Base bordo'!B$2:B$746,B1078,'Base bordo'!F$2:F$746,"PÁTIO EXTERNO"),0)+IFERROR(SUMIFS('Base bordo'!G$2:G$746,'Base bordo'!C$2:C$746,A1078,'Base bordo'!B$2:B$746,B1078,'Base bordo'!F$2:F$746,"PATIO - RESERVA"),0)+IFERROR(SUMIFS('Base bordo'!G$2:G$746,'Base bordo'!C$2:C$746,A1078,'Base bordo'!B$2:B$746,B1078,'Base bordo'!F$2:F$746,"MANOBRA CARRETAS-PATIO"),0)</f>
        <v>2.3761111111111113</v>
      </c>
      <c r="J1078" s="10">
        <f>IFERROR(SUMIFS('Base bordo'!G$2:G$746,'Base bordo'!C$2:C$746,A1078,'Base bordo'!B$2:B$746,B1078,'Base bordo'!F$2:F$746,"BALANÇA - ENTRADA"),0)+IFERROR(SUMIFS('Base bordo'!G$2:G$746,'Base bordo'!C$2:C$746,A1078,'Base bordo'!B$2:B$746,B1078,'Base bordo'!F$2:F$746,"BALANÇA - SAÍDA"),0)</f>
        <v>0</v>
      </c>
      <c r="K1078" s="10">
        <f>IFERROR(SUMIFS('Base bordo'!G$2:G$746,'Base bordo'!C$2:C$746,A1078,'Base bordo'!B$2:B$746,B1078,'Base bordo'!F$2:F$746,"MAN PREVENTIVA - MECANICA"),0)+IFERROR(SUMIFS('Base bordo'!G$2:G$746,'Base bordo'!C$2:C$746,A1078,'Base bordo'!B$2:B$746,B1078,'Base bordo'!F$2:F$746,"MAN CORRETIVA - MECANICA"),0)</f>
        <v>0</v>
      </c>
      <c r="L1078" s="10">
        <f>IFERROR(SUMIFS('Base bordo'!G$2:G$746,'Base bordo'!C$2:C$746,A1078,'Base bordo'!B$2:B$746,B1078,'Base bordo'!F$2:F$746,"MANUTENCAO - T O"),0)+IFERROR(SUMIFS('Base bordo'!G$2:G$746,'Base bordo'!C$2:C$746,A1078,'Base bordo'!B$2:B$746,B1078,'Base bordo'!F$2:F$746,"MANUTENCAO BORRACHARIA"),0)+IFERROR(SUMIFS('Base bordo'!G$2:G$746,'Base bordo'!C$2:C$746,A1078,'Base bordo'!B$2:B$746,B1078,'Base bordo'!F$2:F$746,"MANUTENCAO EXTERNA  CONCESSIONARIA"),0)+IFERROR(SUMIFS('Base bordo'!G$2:G$746,'Base bordo'!C$2:C$746,A1078,'Base bordo'!B$2:B$746,B1078,'Base bordo'!F$2:F$746,"MANUTENCAO TELEMETRIA"),0)</f>
        <v>0</v>
      </c>
      <c r="M1078" s="10">
        <f>IFERROR(SUMIFS('Base bordo'!G$2:G$746,'Base bordo'!C$2:C$746,A1078,'Base bordo'!B$2:B$746,B1078,'Base bordo'!F$2:F$746,"AGUARDANDO MANUTENCAO"),0)</f>
        <v>0</v>
      </c>
      <c r="N1078" s="10">
        <f>IFERROR(SUMIFS('Base bordo'!G$2:G$746,'Base bordo'!C$2:C$746,A1078,'Base bordo'!B$2:B$746,B1078,'Base bordo'!F$2:F$746,"SEM APONTAMENTO"),0)</f>
        <v>0</v>
      </c>
      <c r="O1078" s="10">
        <f t="shared" si="108"/>
        <v>0.44861111111111196</v>
      </c>
      <c r="P1078" s="10">
        <f>IFERROR(SUMIFS('Base bordo'!G$2:G$746,'Base bordo'!C$2:C$746,A1078,'Base bordo'!B$2:B$746,B1078),0)</f>
        <v>7.2297222222222235</v>
      </c>
      <c r="Q1078" s="10">
        <f>IFERROR(SUMIFS('Base bordo'!H$2:H$746,'Base bordo'!C$2:C$746,A1078,'Base bordo'!B$2:B$746,B1078,'Base bordo'!F$2:F$746,"DESLOCAMENTO VAZIO"),0)</f>
        <v>236918.97</v>
      </c>
      <c r="R1078" s="10">
        <f>IFERROR(SUMIFS('Base bordo'!I$2:I$746,'Base bordo'!C$2:C$746,A1078,'Base bordo'!B$2:B$746,B1078,'Base bordo'!F$2:F$746,"DESLOCAMENTO VAZIO"),0)</f>
        <v>6829</v>
      </c>
      <c r="S1078" s="30">
        <f t="shared" si="109"/>
        <v>34.693069263435348</v>
      </c>
      <c r="T1078" s="10">
        <f>IFERROR(SUMIFS('Base bordo'!H$2:H$746,'Base bordo'!C$2:C$746,A1078,'Base bordo'!B$2:B$746,B1078,'Base bordo'!F$2:F$746,"DESLOCAMENTO CARREGADO"),0)</f>
        <v>208531.69</v>
      </c>
      <c r="U1078" s="10">
        <f>IFERROR(SUMIFS('Base bordo'!I$2:I$746,'Base bordo'!C$2:C$746,A1078,'Base bordo'!B$2:B$746,B1078,'Base bordo'!F$2:F$746,"DESLOCAMENTO CARREGADO"),0)</f>
        <v>8999</v>
      </c>
      <c r="V1078" s="30">
        <f t="shared" si="110"/>
        <v>23.172762529169908</v>
      </c>
      <c r="W1078" s="9">
        <f t="shared" si="111"/>
        <v>0.26238137318938021</v>
      </c>
      <c r="X1078" s="9">
        <f t="shared" si="112"/>
        <v>0.34690897913704993</v>
      </c>
      <c r="Y1078" s="9">
        <f t="shared" si="113"/>
        <v>0.39070964767356986</v>
      </c>
    </row>
    <row r="1079" spans="1:25" ht="15" customHeight="1" x14ac:dyDescent="0.35">
      <c r="A1079" s="52">
        <v>8013460</v>
      </c>
      <c r="B1079" s="51">
        <v>46123</v>
      </c>
      <c r="C1079" s="7" t="s">
        <v>124</v>
      </c>
      <c r="D1079" s="10">
        <f>IFERROR(SUMIFS('Base bordo'!G$2:G$746,'Base bordo'!C$2:C$746,A1079,'Base bordo'!B$2:B$746,B1079,'Base bordo'!F$2:F$746,"DESLOCAMENTO VAZIO"),0)</f>
        <v>1.8969444444444445</v>
      </c>
      <c r="E1079" s="10">
        <f>IFERROR(SUMIFS('Base bordo'!G$2:G$746,'Base bordo'!C$2:C$746,A1079,'Base bordo'!B$2:B$746,B1079,'Base bordo'!F$2:F$746,"DESLOCAMENTO CARREGADO"),0)</f>
        <v>2.5080555555555555</v>
      </c>
      <c r="F1079" s="10">
        <f>IFERROR(SUMIFS('Base bordo'!G$2:G$746,'Base bordo'!C$2:C$746,A1079,'Base bordo'!B$2:B$746,B1079,'Base bordo'!F$2:F$746,"DESLOCAMENTO"),0)</f>
        <v>0</v>
      </c>
      <c r="G1079" s="10">
        <f>IFERROR(SUMIFS('Base bordo'!G$2:G$746,'Base bordo'!C$2:C$746,A1079,'Base bordo'!B$2:B$746,B1079,'Base bordo'!F$2:F$746,"CARREGAMENTO"),0)</f>
        <v>0</v>
      </c>
      <c r="H1079" s="10">
        <f>IFERROR(SUMIFS('Base bordo'!G$2:G$746,'Base bordo'!C$2:C$746,A1079,'Base bordo'!B$2:B$746,B1079,'Base bordo'!F$2:F$746,"AGUARDANDO TRANSBORDO"),0)</f>
        <v>0</v>
      </c>
      <c r="I1079" s="10">
        <f>IFERROR(SUMIFS('Base bordo'!G$2:G$746,'Base bordo'!C$2:C$746,A1079,'Base bordo'!B$2:B$746,B1079,'Base bordo'!F$2:F$746,"PÁTIO INTERNO"),0)+IFERROR(SUMIFS('Base bordo'!G$2:G$746,'Base bordo'!C$2:C$746,A1079,'Base bordo'!B$2:B$746,B1079,'Base bordo'!F$2:F$746,"PÁTIO EXTERNO"),0)+IFERROR(SUMIFS('Base bordo'!G$2:G$746,'Base bordo'!C$2:C$746,A1079,'Base bordo'!B$2:B$746,B1079,'Base bordo'!F$2:F$746,"PATIO - RESERVA"),0)+IFERROR(SUMIFS('Base bordo'!G$2:G$746,'Base bordo'!C$2:C$746,A1079,'Base bordo'!B$2:B$746,B1079,'Base bordo'!F$2:F$746,"MANOBRA CARRETAS-PATIO"),0)</f>
        <v>2.3761111111111113</v>
      </c>
      <c r="J1079" s="10">
        <f>IFERROR(SUMIFS('Base bordo'!G$2:G$746,'Base bordo'!C$2:C$746,A1079,'Base bordo'!B$2:B$746,B1079,'Base bordo'!F$2:F$746,"BALANÇA - ENTRADA"),0)+IFERROR(SUMIFS('Base bordo'!G$2:G$746,'Base bordo'!C$2:C$746,A1079,'Base bordo'!B$2:B$746,B1079,'Base bordo'!F$2:F$746,"BALANÇA - SAÍDA"),0)</f>
        <v>0</v>
      </c>
      <c r="K1079" s="10">
        <f>IFERROR(SUMIFS('Base bordo'!G$2:G$746,'Base bordo'!C$2:C$746,A1079,'Base bordo'!B$2:B$746,B1079,'Base bordo'!F$2:F$746,"MAN PREVENTIVA - MECANICA"),0)+IFERROR(SUMIFS('Base bordo'!G$2:G$746,'Base bordo'!C$2:C$746,A1079,'Base bordo'!B$2:B$746,B1079,'Base bordo'!F$2:F$746,"MAN CORRETIVA - MECANICA"),0)</f>
        <v>0</v>
      </c>
      <c r="L1079" s="10">
        <f>IFERROR(SUMIFS('Base bordo'!G$2:G$746,'Base bordo'!C$2:C$746,A1079,'Base bordo'!B$2:B$746,B1079,'Base bordo'!F$2:F$746,"MANUTENCAO - T O"),0)+IFERROR(SUMIFS('Base bordo'!G$2:G$746,'Base bordo'!C$2:C$746,A1079,'Base bordo'!B$2:B$746,B1079,'Base bordo'!F$2:F$746,"MANUTENCAO BORRACHARIA"),0)+IFERROR(SUMIFS('Base bordo'!G$2:G$746,'Base bordo'!C$2:C$746,A1079,'Base bordo'!B$2:B$746,B1079,'Base bordo'!F$2:F$746,"MANUTENCAO EXTERNA  CONCESSIONARIA"),0)+IFERROR(SUMIFS('Base bordo'!G$2:G$746,'Base bordo'!C$2:C$746,A1079,'Base bordo'!B$2:B$746,B1079,'Base bordo'!F$2:F$746,"MANUTENCAO TELEMETRIA"),0)</f>
        <v>0</v>
      </c>
      <c r="M1079" s="10">
        <f>IFERROR(SUMIFS('Base bordo'!G$2:G$746,'Base bordo'!C$2:C$746,A1079,'Base bordo'!B$2:B$746,B1079,'Base bordo'!F$2:F$746,"AGUARDANDO MANUTENCAO"),0)</f>
        <v>0</v>
      </c>
      <c r="N1079" s="10">
        <f>IFERROR(SUMIFS('Base bordo'!G$2:G$746,'Base bordo'!C$2:C$746,A1079,'Base bordo'!B$2:B$746,B1079,'Base bordo'!F$2:F$746,"SEM APONTAMENTO"),0)</f>
        <v>0</v>
      </c>
      <c r="O1079" s="10">
        <f t="shared" si="108"/>
        <v>0.44861111111111196</v>
      </c>
      <c r="P1079" s="10">
        <f>IFERROR(SUMIFS('Base bordo'!G$2:G$746,'Base bordo'!C$2:C$746,A1079,'Base bordo'!B$2:B$746,B1079),0)</f>
        <v>7.2297222222222235</v>
      </c>
      <c r="Q1079" s="10">
        <f>IFERROR(SUMIFS('Base bordo'!H$2:H$746,'Base bordo'!C$2:C$746,A1079,'Base bordo'!B$2:B$746,B1079,'Base bordo'!F$2:F$746,"DESLOCAMENTO VAZIO"),0)</f>
        <v>236918.97</v>
      </c>
      <c r="R1079" s="10">
        <f>IFERROR(SUMIFS('Base bordo'!I$2:I$746,'Base bordo'!C$2:C$746,A1079,'Base bordo'!B$2:B$746,B1079,'Base bordo'!F$2:F$746,"DESLOCAMENTO VAZIO"),0)</f>
        <v>6829</v>
      </c>
      <c r="S1079" s="30">
        <f t="shared" si="109"/>
        <v>34.693069263435348</v>
      </c>
      <c r="T1079" s="10">
        <f>IFERROR(SUMIFS('Base bordo'!H$2:H$746,'Base bordo'!C$2:C$746,A1079,'Base bordo'!B$2:B$746,B1079,'Base bordo'!F$2:F$746,"DESLOCAMENTO CARREGADO"),0)</f>
        <v>208531.69</v>
      </c>
      <c r="U1079" s="10">
        <f>IFERROR(SUMIFS('Base bordo'!I$2:I$746,'Base bordo'!C$2:C$746,A1079,'Base bordo'!B$2:B$746,B1079,'Base bordo'!F$2:F$746,"DESLOCAMENTO CARREGADO"),0)</f>
        <v>8999</v>
      </c>
      <c r="V1079" s="30">
        <f t="shared" si="110"/>
        <v>23.172762529169908</v>
      </c>
      <c r="W1079" s="9">
        <f t="shared" si="111"/>
        <v>0.26238137318938021</v>
      </c>
      <c r="X1079" s="9">
        <f t="shared" si="112"/>
        <v>0.34690897913704993</v>
      </c>
      <c r="Y1079" s="9">
        <f t="shared" si="113"/>
        <v>0.39070964767356986</v>
      </c>
    </row>
    <row r="1080" spans="1:25" ht="15" customHeight="1" x14ac:dyDescent="0.35">
      <c r="A1080" s="52">
        <v>8013461</v>
      </c>
      <c r="B1080" s="51">
        <v>46123</v>
      </c>
      <c r="C1080" s="7" t="s">
        <v>124</v>
      </c>
      <c r="D1080" s="10">
        <f>IFERROR(SUMIFS('Base bordo'!G$2:G$746,'Base bordo'!C$2:C$746,A1080,'Base bordo'!B$2:B$746,B1080,'Base bordo'!F$2:F$746,"DESLOCAMENTO VAZIO"),0)</f>
        <v>0</v>
      </c>
      <c r="E1080" s="10">
        <f>IFERROR(SUMIFS('Base bordo'!G$2:G$746,'Base bordo'!C$2:C$746,A1080,'Base bordo'!B$2:B$746,B1080,'Base bordo'!F$2:F$746,"DESLOCAMENTO CARREGADO"),0)</f>
        <v>0</v>
      </c>
      <c r="F1080" s="10">
        <f>IFERROR(SUMIFS('Base bordo'!G$2:G$746,'Base bordo'!C$2:C$746,A1080,'Base bordo'!B$2:B$746,B1080,'Base bordo'!F$2:F$746,"DESLOCAMENTO"),0)</f>
        <v>0</v>
      </c>
      <c r="G1080" s="10">
        <f>IFERROR(SUMIFS('Base bordo'!G$2:G$746,'Base bordo'!C$2:C$746,A1080,'Base bordo'!B$2:B$746,B1080,'Base bordo'!F$2:F$746,"CARREGAMENTO"),0)</f>
        <v>0</v>
      </c>
      <c r="H1080" s="10">
        <f>IFERROR(SUMIFS('Base bordo'!G$2:G$746,'Base bordo'!C$2:C$746,A1080,'Base bordo'!B$2:B$746,B1080,'Base bordo'!F$2:F$746,"AGUARDANDO TRANSBORDO"),0)</f>
        <v>0</v>
      </c>
      <c r="I1080" s="10">
        <f>IFERROR(SUMIFS('Base bordo'!G$2:G$746,'Base bordo'!C$2:C$746,A1080,'Base bordo'!B$2:B$746,B1080,'Base bordo'!F$2:F$746,"PÁTIO INTERNO"),0)+IFERROR(SUMIFS('Base bordo'!G$2:G$746,'Base bordo'!C$2:C$746,A1080,'Base bordo'!B$2:B$746,B1080,'Base bordo'!F$2:F$746,"PÁTIO EXTERNO"),0)+IFERROR(SUMIFS('Base bordo'!G$2:G$746,'Base bordo'!C$2:C$746,A1080,'Base bordo'!B$2:B$746,B1080,'Base bordo'!F$2:F$746,"PATIO - RESERVA"),0)+IFERROR(SUMIFS('Base bordo'!G$2:G$746,'Base bordo'!C$2:C$746,A1080,'Base bordo'!B$2:B$746,B1080,'Base bordo'!F$2:F$746,"MANOBRA CARRETAS-PATIO"),0)</f>
        <v>0</v>
      </c>
      <c r="J1080" s="10">
        <f>IFERROR(SUMIFS('Base bordo'!G$2:G$746,'Base bordo'!C$2:C$746,A1080,'Base bordo'!B$2:B$746,B1080,'Base bordo'!F$2:F$746,"BALANÇA - ENTRADA"),0)+IFERROR(SUMIFS('Base bordo'!G$2:G$746,'Base bordo'!C$2:C$746,A1080,'Base bordo'!B$2:B$746,B1080,'Base bordo'!F$2:F$746,"BALANÇA - SAÍDA"),0)</f>
        <v>0</v>
      </c>
      <c r="K1080" s="10">
        <f>IFERROR(SUMIFS('Base bordo'!G$2:G$746,'Base bordo'!C$2:C$746,A1080,'Base bordo'!B$2:B$746,B1080,'Base bordo'!F$2:F$746,"MAN PREVENTIVA - MECANICA"),0)+IFERROR(SUMIFS('Base bordo'!G$2:G$746,'Base bordo'!C$2:C$746,A1080,'Base bordo'!B$2:B$746,B1080,'Base bordo'!F$2:F$746,"MAN CORRETIVA - MECANICA"),0)</f>
        <v>0</v>
      </c>
      <c r="L1080" s="10">
        <f>IFERROR(SUMIFS('Base bordo'!G$2:G$746,'Base bordo'!C$2:C$746,A1080,'Base bordo'!B$2:B$746,B1080,'Base bordo'!F$2:F$746,"MANUTENCAO - T O"),0)+IFERROR(SUMIFS('Base bordo'!G$2:G$746,'Base bordo'!C$2:C$746,A1080,'Base bordo'!B$2:B$746,B1080,'Base bordo'!F$2:F$746,"MANUTENCAO BORRACHARIA"),0)+IFERROR(SUMIFS('Base bordo'!G$2:G$746,'Base bordo'!C$2:C$746,A1080,'Base bordo'!B$2:B$746,B1080,'Base bordo'!F$2:F$746,"MANUTENCAO EXTERNA  CONCESSIONARIA"),0)+IFERROR(SUMIFS('Base bordo'!G$2:G$746,'Base bordo'!C$2:C$746,A1080,'Base bordo'!B$2:B$746,B1080,'Base bordo'!F$2:F$746,"MANUTENCAO TELEMETRIA"),0)</f>
        <v>0</v>
      </c>
      <c r="M1080" s="10">
        <f>IFERROR(SUMIFS('Base bordo'!G$2:G$746,'Base bordo'!C$2:C$746,A1080,'Base bordo'!B$2:B$746,B1080,'Base bordo'!F$2:F$746,"AGUARDANDO MANUTENCAO"),0)</f>
        <v>0</v>
      </c>
      <c r="N1080" s="10">
        <f>IFERROR(SUMIFS('Base bordo'!G$2:G$746,'Base bordo'!C$2:C$746,A1080,'Base bordo'!B$2:B$746,B1080,'Base bordo'!F$2:F$746,"SEM APONTAMENTO"),0)</f>
        <v>0</v>
      </c>
      <c r="O1080" s="10">
        <f t="shared" si="108"/>
        <v>0</v>
      </c>
      <c r="P1080" s="10">
        <f>IFERROR(SUMIFS('Base bordo'!G$2:G$746,'Base bordo'!C$2:C$746,A1080,'Base bordo'!B$2:B$746,B1080),0)</f>
        <v>0</v>
      </c>
      <c r="Q1080" s="10">
        <f>IFERROR(SUMIFS('Base bordo'!H$2:H$746,'Base bordo'!C$2:C$746,A1080,'Base bordo'!B$2:B$746,B1080,'Base bordo'!F$2:F$746,"DESLOCAMENTO VAZIO"),0)</f>
        <v>0</v>
      </c>
      <c r="R1080" s="10">
        <f>IFERROR(SUMIFS('Base bordo'!I$2:I$746,'Base bordo'!C$2:C$746,A1080,'Base bordo'!B$2:B$746,B1080,'Base bordo'!F$2:F$746,"DESLOCAMENTO VAZIO"),0)</f>
        <v>0</v>
      </c>
      <c r="S1080" s="30" t="str">
        <f t="shared" si="109"/>
        <v/>
      </c>
      <c r="T1080" s="10">
        <f>IFERROR(SUMIFS('Base bordo'!H$2:H$746,'Base bordo'!C$2:C$746,A1080,'Base bordo'!B$2:B$746,B1080,'Base bordo'!F$2:F$746,"DESLOCAMENTO CARREGADO"),0)</f>
        <v>0</v>
      </c>
      <c r="U1080" s="10">
        <f>IFERROR(SUMIFS('Base bordo'!I$2:I$746,'Base bordo'!C$2:C$746,A1080,'Base bordo'!B$2:B$746,B1080,'Base bordo'!F$2:F$746,"DESLOCAMENTO CARREGADO"),0)</f>
        <v>0</v>
      </c>
      <c r="V1080" s="30" t="str">
        <f t="shared" si="110"/>
        <v/>
      </c>
      <c r="W1080" s="9">
        <f t="shared" si="111"/>
        <v>0</v>
      </c>
      <c r="X1080" s="9">
        <f t="shared" si="112"/>
        <v>0</v>
      </c>
      <c r="Y1080" s="9">
        <f t="shared" si="113"/>
        <v>0</v>
      </c>
    </row>
    <row r="1081" spans="1:25" ht="15" customHeight="1" x14ac:dyDescent="0.35">
      <c r="A1081" s="52">
        <v>8013461</v>
      </c>
      <c r="B1081" s="51">
        <v>46123</v>
      </c>
      <c r="C1081" s="7" t="s">
        <v>124</v>
      </c>
      <c r="D1081" s="10">
        <f>IFERROR(SUMIFS('Base bordo'!G$2:G$746,'Base bordo'!C$2:C$746,A1081,'Base bordo'!B$2:B$746,B1081,'Base bordo'!F$2:F$746,"DESLOCAMENTO VAZIO"),0)</f>
        <v>0</v>
      </c>
      <c r="E1081" s="10">
        <f>IFERROR(SUMIFS('Base bordo'!G$2:G$746,'Base bordo'!C$2:C$746,A1081,'Base bordo'!B$2:B$746,B1081,'Base bordo'!F$2:F$746,"DESLOCAMENTO CARREGADO"),0)</f>
        <v>0</v>
      </c>
      <c r="F1081" s="10">
        <f>IFERROR(SUMIFS('Base bordo'!G$2:G$746,'Base bordo'!C$2:C$746,A1081,'Base bordo'!B$2:B$746,B1081,'Base bordo'!F$2:F$746,"DESLOCAMENTO"),0)</f>
        <v>0</v>
      </c>
      <c r="G1081" s="10">
        <f>IFERROR(SUMIFS('Base bordo'!G$2:G$746,'Base bordo'!C$2:C$746,A1081,'Base bordo'!B$2:B$746,B1081,'Base bordo'!F$2:F$746,"CARREGAMENTO"),0)</f>
        <v>0</v>
      </c>
      <c r="H1081" s="10">
        <f>IFERROR(SUMIFS('Base bordo'!G$2:G$746,'Base bordo'!C$2:C$746,A1081,'Base bordo'!B$2:B$746,B1081,'Base bordo'!F$2:F$746,"AGUARDANDO TRANSBORDO"),0)</f>
        <v>0</v>
      </c>
      <c r="I1081" s="10">
        <f>IFERROR(SUMIFS('Base bordo'!G$2:G$746,'Base bordo'!C$2:C$746,A1081,'Base bordo'!B$2:B$746,B1081,'Base bordo'!F$2:F$746,"PÁTIO INTERNO"),0)+IFERROR(SUMIFS('Base bordo'!G$2:G$746,'Base bordo'!C$2:C$746,A1081,'Base bordo'!B$2:B$746,B1081,'Base bordo'!F$2:F$746,"PÁTIO EXTERNO"),0)+IFERROR(SUMIFS('Base bordo'!G$2:G$746,'Base bordo'!C$2:C$746,A1081,'Base bordo'!B$2:B$746,B1081,'Base bordo'!F$2:F$746,"PATIO - RESERVA"),0)+IFERROR(SUMIFS('Base bordo'!G$2:G$746,'Base bordo'!C$2:C$746,A1081,'Base bordo'!B$2:B$746,B1081,'Base bordo'!F$2:F$746,"MANOBRA CARRETAS-PATIO"),0)</f>
        <v>0</v>
      </c>
      <c r="J1081" s="10">
        <f>IFERROR(SUMIFS('Base bordo'!G$2:G$746,'Base bordo'!C$2:C$746,A1081,'Base bordo'!B$2:B$746,B1081,'Base bordo'!F$2:F$746,"BALANÇA - ENTRADA"),0)+IFERROR(SUMIFS('Base bordo'!G$2:G$746,'Base bordo'!C$2:C$746,A1081,'Base bordo'!B$2:B$746,B1081,'Base bordo'!F$2:F$746,"BALANÇA - SAÍDA"),0)</f>
        <v>0</v>
      </c>
      <c r="K1081" s="10">
        <f>IFERROR(SUMIFS('Base bordo'!G$2:G$746,'Base bordo'!C$2:C$746,A1081,'Base bordo'!B$2:B$746,B1081,'Base bordo'!F$2:F$746,"MAN PREVENTIVA - MECANICA"),0)+IFERROR(SUMIFS('Base bordo'!G$2:G$746,'Base bordo'!C$2:C$746,A1081,'Base bordo'!B$2:B$746,B1081,'Base bordo'!F$2:F$746,"MAN CORRETIVA - MECANICA"),0)</f>
        <v>0</v>
      </c>
      <c r="L1081" s="10">
        <f>IFERROR(SUMIFS('Base bordo'!G$2:G$746,'Base bordo'!C$2:C$746,A1081,'Base bordo'!B$2:B$746,B1081,'Base bordo'!F$2:F$746,"MANUTENCAO - T O"),0)+IFERROR(SUMIFS('Base bordo'!G$2:G$746,'Base bordo'!C$2:C$746,A1081,'Base bordo'!B$2:B$746,B1081,'Base bordo'!F$2:F$746,"MANUTENCAO BORRACHARIA"),0)+IFERROR(SUMIFS('Base bordo'!G$2:G$746,'Base bordo'!C$2:C$746,A1081,'Base bordo'!B$2:B$746,B1081,'Base bordo'!F$2:F$746,"MANUTENCAO EXTERNA  CONCESSIONARIA"),0)+IFERROR(SUMIFS('Base bordo'!G$2:G$746,'Base bordo'!C$2:C$746,A1081,'Base bordo'!B$2:B$746,B1081,'Base bordo'!F$2:F$746,"MANUTENCAO TELEMETRIA"),0)</f>
        <v>0</v>
      </c>
      <c r="M1081" s="10">
        <f>IFERROR(SUMIFS('Base bordo'!G$2:G$746,'Base bordo'!C$2:C$746,A1081,'Base bordo'!B$2:B$746,B1081,'Base bordo'!F$2:F$746,"AGUARDANDO MANUTENCAO"),0)</f>
        <v>0</v>
      </c>
      <c r="N1081" s="10">
        <f>IFERROR(SUMIFS('Base bordo'!G$2:G$746,'Base bordo'!C$2:C$746,A1081,'Base bordo'!B$2:B$746,B1081,'Base bordo'!F$2:F$746,"SEM APONTAMENTO"),0)</f>
        <v>0</v>
      </c>
      <c r="O1081" s="10">
        <f t="shared" si="108"/>
        <v>0</v>
      </c>
      <c r="P1081" s="10">
        <f>IFERROR(SUMIFS('Base bordo'!G$2:G$746,'Base bordo'!C$2:C$746,A1081,'Base bordo'!B$2:B$746,B1081),0)</f>
        <v>0</v>
      </c>
      <c r="Q1081" s="10">
        <f>IFERROR(SUMIFS('Base bordo'!H$2:H$746,'Base bordo'!C$2:C$746,A1081,'Base bordo'!B$2:B$746,B1081,'Base bordo'!F$2:F$746,"DESLOCAMENTO VAZIO"),0)</f>
        <v>0</v>
      </c>
      <c r="R1081" s="10">
        <f>IFERROR(SUMIFS('Base bordo'!I$2:I$746,'Base bordo'!C$2:C$746,A1081,'Base bordo'!B$2:B$746,B1081,'Base bordo'!F$2:F$746,"DESLOCAMENTO VAZIO"),0)</f>
        <v>0</v>
      </c>
      <c r="S1081" s="30" t="str">
        <f t="shared" si="109"/>
        <v/>
      </c>
      <c r="T1081" s="10">
        <f>IFERROR(SUMIFS('Base bordo'!H$2:H$746,'Base bordo'!C$2:C$746,A1081,'Base bordo'!B$2:B$746,B1081,'Base bordo'!F$2:F$746,"DESLOCAMENTO CARREGADO"),0)</f>
        <v>0</v>
      </c>
      <c r="U1081" s="10">
        <f>IFERROR(SUMIFS('Base bordo'!I$2:I$746,'Base bordo'!C$2:C$746,A1081,'Base bordo'!B$2:B$746,B1081,'Base bordo'!F$2:F$746,"DESLOCAMENTO CARREGADO"),0)</f>
        <v>0</v>
      </c>
      <c r="V1081" s="30" t="str">
        <f t="shared" si="110"/>
        <v/>
      </c>
      <c r="W1081" s="9">
        <f t="shared" si="111"/>
        <v>0</v>
      </c>
      <c r="X1081" s="9">
        <f t="shared" si="112"/>
        <v>0</v>
      </c>
      <c r="Y1081" s="9">
        <f t="shared" si="113"/>
        <v>0</v>
      </c>
    </row>
    <row r="1082" spans="1:25" ht="15" customHeight="1" x14ac:dyDescent="0.35">
      <c r="A1082" s="52">
        <v>8013462</v>
      </c>
      <c r="B1082" s="51">
        <v>46123</v>
      </c>
      <c r="C1082" s="7" t="s">
        <v>124</v>
      </c>
      <c r="D1082" s="10">
        <f>IFERROR(SUMIFS('Base bordo'!G$2:G$746,'Base bordo'!C$2:C$746,A1082,'Base bordo'!B$2:B$746,B1082,'Base bordo'!F$2:F$746,"DESLOCAMENTO VAZIO"),0)</f>
        <v>2.4444444444444446E-2</v>
      </c>
      <c r="E1082" s="10">
        <f>IFERROR(SUMIFS('Base bordo'!G$2:G$746,'Base bordo'!C$2:C$746,A1082,'Base bordo'!B$2:B$746,B1082,'Base bordo'!F$2:F$746,"DESLOCAMENTO CARREGADO"),0)</f>
        <v>2.9533333333333331</v>
      </c>
      <c r="F1082" s="10">
        <f>IFERROR(SUMIFS('Base bordo'!G$2:G$746,'Base bordo'!C$2:C$746,A1082,'Base bordo'!B$2:B$746,B1082,'Base bordo'!F$2:F$746,"DESLOCAMENTO"),0)</f>
        <v>0.32861111111111113</v>
      </c>
      <c r="G1082" s="10">
        <f>IFERROR(SUMIFS('Base bordo'!G$2:G$746,'Base bordo'!C$2:C$746,A1082,'Base bordo'!B$2:B$746,B1082,'Base bordo'!F$2:F$746,"CARREGAMENTO"),0)</f>
        <v>0</v>
      </c>
      <c r="H1082" s="10">
        <f>IFERROR(SUMIFS('Base bordo'!G$2:G$746,'Base bordo'!C$2:C$746,A1082,'Base bordo'!B$2:B$746,B1082,'Base bordo'!F$2:F$746,"AGUARDANDO TRANSBORDO"),0)</f>
        <v>0</v>
      </c>
      <c r="I1082" s="10">
        <f>IFERROR(SUMIFS('Base bordo'!G$2:G$746,'Base bordo'!C$2:C$746,A1082,'Base bordo'!B$2:B$746,B1082,'Base bordo'!F$2:F$746,"PÁTIO INTERNO"),0)+IFERROR(SUMIFS('Base bordo'!G$2:G$746,'Base bordo'!C$2:C$746,A1082,'Base bordo'!B$2:B$746,B1082,'Base bordo'!F$2:F$746,"PÁTIO EXTERNO"),0)+IFERROR(SUMIFS('Base bordo'!G$2:G$746,'Base bordo'!C$2:C$746,A1082,'Base bordo'!B$2:B$746,B1082,'Base bordo'!F$2:F$746,"PATIO - RESERVA"),0)+IFERROR(SUMIFS('Base bordo'!G$2:G$746,'Base bordo'!C$2:C$746,A1082,'Base bordo'!B$2:B$746,B1082,'Base bordo'!F$2:F$746,"MANOBRA CARRETAS-PATIO"),0)</f>
        <v>5.2366666666666664</v>
      </c>
      <c r="J1082" s="10">
        <f>IFERROR(SUMIFS('Base bordo'!G$2:G$746,'Base bordo'!C$2:C$746,A1082,'Base bordo'!B$2:B$746,B1082,'Base bordo'!F$2:F$746,"BALANÇA - ENTRADA"),0)+IFERROR(SUMIFS('Base bordo'!G$2:G$746,'Base bordo'!C$2:C$746,A1082,'Base bordo'!B$2:B$746,B1082,'Base bordo'!F$2:F$746,"BALANÇA - SAÍDA"),0)</f>
        <v>0</v>
      </c>
      <c r="K1082" s="10">
        <f>IFERROR(SUMIFS('Base bordo'!G$2:G$746,'Base bordo'!C$2:C$746,A1082,'Base bordo'!B$2:B$746,B1082,'Base bordo'!F$2:F$746,"MAN PREVENTIVA - MECANICA"),0)+IFERROR(SUMIFS('Base bordo'!G$2:G$746,'Base bordo'!C$2:C$746,A1082,'Base bordo'!B$2:B$746,B1082,'Base bordo'!F$2:F$746,"MAN CORRETIVA - MECANICA"),0)</f>
        <v>0</v>
      </c>
      <c r="L1082" s="10">
        <f>IFERROR(SUMIFS('Base bordo'!G$2:G$746,'Base bordo'!C$2:C$746,A1082,'Base bordo'!B$2:B$746,B1082,'Base bordo'!F$2:F$746,"MANUTENCAO - T O"),0)+IFERROR(SUMIFS('Base bordo'!G$2:G$746,'Base bordo'!C$2:C$746,A1082,'Base bordo'!B$2:B$746,B1082,'Base bordo'!F$2:F$746,"MANUTENCAO BORRACHARIA"),0)+IFERROR(SUMIFS('Base bordo'!G$2:G$746,'Base bordo'!C$2:C$746,A1082,'Base bordo'!B$2:B$746,B1082,'Base bordo'!F$2:F$746,"MANUTENCAO EXTERNA  CONCESSIONARIA"),0)+IFERROR(SUMIFS('Base bordo'!G$2:G$746,'Base bordo'!C$2:C$746,A1082,'Base bordo'!B$2:B$746,B1082,'Base bordo'!F$2:F$746,"MANUTENCAO TELEMETRIA"),0)</f>
        <v>0</v>
      </c>
      <c r="M1082" s="10">
        <f>IFERROR(SUMIFS('Base bordo'!G$2:G$746,'Base bordo'!C$2:C$746,A1082,'Base bordo'!B$2:B$746,B1082,'Base bordo'!F$2:F$746,"AGUARDANDO MANUTENCAO"),0)</f>
        <v>0</v>
      </c>
      <c r="N1082" s="10">
        <f>IFERROR(SUMIFS('Base bordo'!G$2:G$746,'Base bordo'!C$2:C$746,A1082,'Base bordo'!B$2:B$746,B1082,'Base bordo'!F$2:F$746,"SEM APONTAMENTO"),0)</f>
        <v>0</v>
      </c>
      <c r="O1082" s="10">
        <f t="shared" si="108"/>
        <v>0</v>
      </c>
      <c r="P1082" s="10">
        <f>IFERROR(SUMIFS('Base bordo'!G$2:G$746,'Base bordo'!C$2:C$746,A1082,'Base bordo'!B$2:B$746,B1082),0)</f>
        <v>8.5430555555555543</v>
      </c>
      <c r="Q1082" s="10">
        <f>IFERROR(SUMIFS('Base bordo'!H$2:H$746,'Base bordo'!C$2:C$746,A1082,'Base bordo'!B$2:B$746,B1082,'Base bordo'!F$2:F$746,"DESLOCAMENTO VAZIO"),0)</f>
        <v>880</v>
      </c>
      <c r="R1082" s="10">
        <f>IFERROR(SUMIFS('Base bordo'!I$2:I$746,'Base bordo'!C$2:C$746,A1082,'Base bordo'!B$2:B$746,B1082,'Base bordo'!F$2:F$746,"DESLOCAMENTO VAZIO"),0)</f>
        <v>88</v>
      </c>
      <c r="S1082" s="30">
        <f t="shared" si="109"/>
        <v>10</v>
      </c>
      <c r="T1082" s="10">
        <f>IFERROR(SUMIFS('Base bordo'!H$2:H$746,'Base bordo'!C$2:C$746,A1082,'Base bordo'!B$2:B$746,B1082,'Base bordo'!F$2:F$746,"DESLOCAMENTO CARREGADO"),0)</f>
        <v>244097.37999999998</v>
      </c>
      <c r="U1082" s="10">
        <f>IFERROR(SUMIFS('Base bordo'!I$2:I$746,'Base bordo'!C$2:C$746,A1082,'Base bordo'!B$2:B$746,B1082,'Base bordo'!F$2:F$746,"DESLOCAMENTO CARREGADO"),0)</f>
        <v>10632</v>
      </c>
      <c r="V1082" s="30">
        <f t="shared" si="110"/>
        <v>22.958745297215948</v>
      </c>
      <c r="W1082" s="9">
        <f t="shared" si="111"/>
        <v>2.8613233620549509E-3</v>
      </c>
      <c r="X1082" s="9">
        <f t="shared" si="112"/>
        <v>0.3456998861973663</v>
      </c>
      <c r="Y1082" s="9">
        <f t="shared" si="113"/>
        <v>0.65143879044057873</v>
      </c>
    </row>
    <row r="1083" spans="1:25" ht="15" customHeight="1" x14ac:dyDescent="0.35">
      <c r="A1083" s="52">
        <v>8013462</v>
      </c>
      <c r="B1083" s="51">
        <v>46123</v>
      </c>
      <c r="C1083" s="7" t="s">
        <v>124</v>
      </c>
      <c r="D1083" s="10">
        <f>IFERROR(SUMIFS('Base bordo'!G$2:G$746,'Base bordo'!C$2:C$746,A1083,'Base bordo'!B$2:B$746,B1083,'Base bordo'!F$2:F$746,"DESLOCAMENTO VAZIO"),0)</f>
        <v>2.4444444444444446E-2</v>
      </c>
      <c r="E1083" s="10">
        <f>IFERROR(SUMIFS('Base bordo'!G$2:G$746,'Base bordo'!C$2:C$746,A1083,'Base bordo'!B$2:B$746,B1083,'Base bordo'!F$2:F$746,"DESLOCAMENTO CARREGADO"),0)</f>
        <v>2.9533333333333331</v>
      </c>
      <c r="F1083" s="10">
        <f>IFERROR(SUMIFS('Base bordo'!G$2:G$746,'Base bordo'!C$2:C$746,A1083,'Base bordo'!B$2:B$746,B1083,'Base bordo'!F$2:F$746,"DESLOCAMENTO"),0)</f>
        <v>0.32861111111111113</v>
      </c>
      <c r="G1083" s="10">
        <f>IFERROR(SUMIFS('Base bordo'!G$2:G$746,'Base bordo'!C$2:C$746,A1083,'Base bordo'!B$2:B$746,B1083,'Base bordo'!F$2:F$746,"CARREGAMENTO"),0)</f>
        <v>0</v>
      </c>
      <c r="H1083" s="10">
        <f>IFERROR(SUMIFS('Base bordo'!G$2:G$746,'Base bordo'!C$2:C$746,A1083,'Base bordo'!B$2:B$746,B1083,'Base bordo'!F$2:F$746,"AGUARDANDO TRANSBORDO"),0)</f>
        <v>0</v>
      </c>
      <c r="I1083" s="10">
        <f>IFERROR(SUMIFS('Base bordo'!G$2:G$746,'Base bordo'!C$2:C$746,A1083,'Base bordo'!B$2:B$746,B1083,'Base bordo'!F$2:F$746,"PÁTIO INTERNO"),0)+IFERROR(SUMIFS('Base bordo'!G$2:G$746,'Base bordo'!C$2:C$746,A1083,'Base bordo'!B$2:B$746,B1083,'Base bordo'!F$2:F$746,"PÁTIO EXTERNO"),0)+IFERROR(SUMIFS('Base bordo'!G$2:G$746,'Base bordo'!C$2:C$746,A1083,'Base bordo'!B$2:B$746,B1083,'Base bordo'!F$2:F$746,"PATIO - RESERVA"),0)+IFERROR(SUMIFS('Base bordo'!G$2:G$746,'Base bordo'!C$2:C$746,A1083,'Base bordo'!B$2:B$746,B1083,'Base bordo'!F$2:F$746,"MANOBRA CARRETAS-PATIO"),0)</f>
        <v>5.2366666666666664</v>
      </c>
      <c r="J1083" s="10">
        <f>IFERROR(SUMIFS('Base bordo'!G$2:G$746,'Base bordo'!C$2:C$746,A1083,'Base bordo'!B$2:B$746,B1083,'Base bordo'!F$2:F$746,"BALANÇA - ENTRADA"),0)+IFERROR(SUMIFS('Base bordo'!G$2:G$746,'Base bordo'!C$2:C$746,A1083,'Base bordo'!B$2:B$746,B1083,'Base bordo'!F$2:F$746,"BALANÇA - SAÍDA"),0)</f>
        <v>0</v>
      </c>
      <c r="K1083" s="10">
        <f>IFERROR(SUMIFS('Base bordo'!G$2:G$746,'Base bordo'!C$2:C$746,A1083,'Base bordo'!B$2:B$746,B1083,'Base bordo'!F$2:F$746,"MAN PREVENTIVA - MECANICA"),0)+IFERROR(SUMIFS('Base bordo'!G$2:G$746,'Base bordo'!C$2:C$746,A1083,'Base bordo'!B$2:B$746,B1083,'Base bordo'!F$2:F$746,"MAN CORRETIVA - MECANICA"),0)</f>
        <v>0</v>
      </c>
      <c r="L1083" s="10">
        <f>IFERROR(SUMIFS('Base bordo'!G$2:G$746,'Base bordo'!C$2:C$746,A1083,'Base bordo'!B$2:B$746,B1083,'Base bordo'!F$2:F$746,"MANUTENCAO - T O"),0)+IFERROR(SUMIFS('Base bordo'!G$2:G$746,'Base bordo'!C$2:C$746,A1083,'Base bordo'!B$2:B$746,B1083,'Base bordo'!F$2:F$746,"MANUTENCAO BORRACHARIA"),0)+IFERROR(SUMIFS('Base bordo'!G$2:G$746,'Base bordo'!C$2:C$746,A1083,'Base bordo'!B$2:B$746,B1083,'Base bordo'!F$2:F$746,"MANUTENCAO EXTERNA  CONCESSIONARIA"),0)+IFERROR(SUMIFS('Base bordo'!G$2:G$746,'Base bordo'!C$2:C$746,A1083,'Base bordo'!B$2:B$746,B1083,'Base bordo'!F$2:F$746,"MANUTENCAO TELEMETRIA"),0)</f>
        <v>0</v>
      </c>
      <c r="M1083" s="10">
        <f>IFERROR(SUMIFS('Base bordo'!G$2:G$746,'Base bordo'!C$2:C$746,A1083,'Base bordo'!B$2:B$746,B1083,'Base bordo'!F$2:F$746,"AGUARDANDO MANUTENCAO"),0)</f>
        <v>0</v>
      </c>
      <c r="N1083" s="10">
        <f>IFERROR(SUMIFS('Base bordo'!G$2:G$746,'Base bordo'!C$2:C$746,A1083,'Base bordo'!B$2:B$746,B1083,'Base bordo'!F$2:F$746,"SEM APONTAMENTO"),0)</f>
        <v>0</v>
      </c>
      <c r="O1083" s="10">
        <f t="shared" si="108"/>
        <v>0</v>
      </c>
      <c r="P1083" s="10">
        <f>IFERROR(SUMIFS('Base bordo'!G$2:G$746,'Base bordo'!C$2:C$746,A1083,'Base bordo'!B$2:B$746,B1083),0)</f>
        <v>8.5430555555555543</v>
      </c>
      <c r="Q1083" s="10">
        <f>IFERROR(SUMIFS('Base bordo'!H$2:H$746,'Base bordo'!C$2:C$746,A1083,'Base bordo'!B$2:B$746,B1083,'Base bordo'!F$2:F$746,"DESLOCAMENTO VAZIO"),0)</f>
        <v>880</v>
      </c>
      <c r="R1083" s="10">
        <f>IFERROR(SUMIFS('Base bordo'!I$2:I$746,'Base bordo'!C$2:C$746,A1083,'Base bordo'!B$2:B$746,B1083,'Base bordo'!F$2:F$746,"DESLOCAMENTO VAZIO"),0)</f>
        <v>88</v>
      </c>
      <c r="S1083" s="30">
        <f t="shared" si="109"/>
        <v>10</v>
      </c>
      <c r="T1083" s="10">
        <f>IFERROR(SUMIFS('Base bordo'!H$2:H$746,'Base bordo'!C$2:C$746,A1083,'Base bordo'!B$2:B$746,B1083,'Base bordo'!F$2:F$746,"DESLOCAMENTO CARREGADO"),0)</f>
        <v>244097.37999999998</v>
      </c>
      <c r="U1083" s="10">
        <f>IFERROR(SUMIFS('Base bordo'!I$2:I$746,'Base bordo'!C$2:C$746,A1083,'Base bordo'!B$2:B$746,B1083,'Base bordo'!F$2:F$746,"DESLOCAMENTO CARREGADO"),0)</f>
        <v>10632</v>
      </c>
      <c r="V1083" s="30">
        <f t="shared" si="110"/>
        <v>22.958745297215948</v>
      </c>
      <c r="W1083" s="9">
        <f t="shared" si="111"/>
        <v>2.8613233620549509E-3</v>
      </c>
      <c r="X1083" s="9">
        <f t="shared" si="112"/>
        <v>0.3456998861973663</v>
      </c>
      <c r="Y1083" s="9">
        <f t="shared" si="113"/>
        <v>0.65143879044057873</v>
      </c>
    </row>
    <row r="1084" spans="1:25" ht="15" customHeight="1" x14ac:dyDescent="0.35">
      <c r="A1084" s="52">
        <v>8013462</v>
      </c>
      <c r="B1084" s="51">
        <v>46123</v>
      </c>
      <c r="C1084" s="7" t="s">
        <v>124</v>
      </c>
      <c r="D1084" s="10">
        <f>IFERROR(SUMIFS('Base bordo'!G$2:G$746,'Base bordo'!C$2:C$746,A1084,'Base bordo'!B$2:B$746,B1084,'Base bordo'!F$2:F$746,"DESLOCAMENTO VAZIO"),0)</f>
        <v>2.4444444444444446E-2</v>
      </c>
      <c r="E1084" s="10">
        <f>IFERROR(SUMIFS('Base bordo'!G$2:G$746,'Base bordo'!C$2:C$746,A1084,'Base bordo'!B$2:B$746,B1084,'Base bordo'!F$2:F$746,"DESLOCAMENTO CARREGADO"),0)</f>
        <v>2.9533333333333331</v>
      </c>
      <c r="F1084" s="10">
        <f>IFERROR(SUMIFS('Base bordo'!G$2:G$746,'Base bordo'!C$2:C$746,A1084,'Base bordo'!B$2:B$746,B1084,'Base bordo'!F$2:F$746,"DESLOCAMENTO"),0)</f>
        <v>0.32861111111111113</v>
      </c>
      <c r="G1084" s="10">
        <f>IFERROR(SUMIFS('Base bordo'!G$2:G$746,'Base bordo'!C$2:C$746,A1084,'Base bordo'!B$2:B$746,B1084,'Base bordo'!F$2:F$746,"CARREGAMENTO"),0)</f>
        <v>0</v>
      </c>
      <c r="H1084" s="10">
        <f>IFERROR(SUMIFS('Base bordo'!G$2:G$746,'Base bordo'!C$2:C$746,A1084,'Base bordo'!B$2:B$746,B1084,'Base bordo'!F$2:F$746,"AGUARDANDO TRANSBORDO"),0)</f>
        <v>0</v>
      </c>
      <c r="I1084" s="10">
        <f>IFERROR(SUMIFS('Base bordo'!G$2:G$746,'Base bordo'!C$2:C$746,A1084,'Base bordo'!B$2:B$746,B1084,'Base bordo'!F$2:F$746,"PÁTIO INTERNO"),0)+IFERROR(SUMIFS('Base bordo'!G$2:G$746,'Base bordo'!C$2:C$746,A1084,'Base bordo'!B$2:B$746,B1084,'Base bordo'!F$2:F$746,"PÁTIO EXTERNO"),0)+IFERROR(SUMIFS('Base bordo'!G$2:G$746,'Base bordo'!C$2:C$746,A1084,'Base bordo'!B$2:B$746,B1084,'Base bordo'!F$2:F$746,"PATIO - RESERVA"),0)+IFERROR(SUMIFS('Base bordo'!G$2:G$746,'Base bordo'!C$2:C$746,A1084,'Base bordo'!B$2:B$746,B1084,'Base bordo'!F$2:F$746,"MANOBRA CARRETAS-PATIO"),0)</f>
        <v>5.2366666666666664</v>
      </c>
      <c r="J1084" s="10">
        <f>IFERROR(SUMIFS('Base bordo'!G$2:G$746,'Base bordo'!C$2:C$746,A1084,'Base bordo'!B$2:B$746,B1084,'Base bordo'!F$2:F$746,"BALANÇA - ENTRADA"),0)+IFERROR(SUMIFS('Base bordo'!G$2:G$746,'Base bordo'!C$2:C$746,A1084,'Base bordo'!B$2:B$746,B1084,'Base bordo'!F$2:F$746,"BALANÇA - SAÍDA"),0)</f>
        <v>0</v>
      </c>
      <c r="K1084" s="10">
        <f>IFERROR(SUMIFS('Base bordo'!G$2:G$746,'Base bordo'!C$2:C$746,A1084,'Base bordo'!B$2:B$746,B1084,'Base bordo'!F$2:F$746,"MAN PREVENTIVA - MECANICA"),0)+IFERROR(SUMIFS('Base bordo'!G$2:G$746,'Base bordo'!C$2:C$746,A1084,'Base bordo'!B$2:B$746,B1084,'Base bordo'!F$2:F$746,"MAN CORRETIVA - MECANICA"),0)</f>
        <v>0</v>
      </c>
      <c r="L1084" s="10">
        <f>IFERROR(SUMIFS('Base bordo'!G$2:G$746,'Base bordo'!C$2:C$746,A1084,'Base bordo'!B$2:B$746,B1084,'Base bordo'!F$2:F$746,"MANUTENCAO - T O"),0)+IFERROR(SUMIFS('Base bordo'!G$2:G$746,'Base bordo'!C$2:C$746,A1084,'Base bordo'!B$2:B$746,B1084,'Base bordo'!F$2:F$746,"MANUTENCAO BORRACHARIA"),0)+IFERROR(SUMIFS('Base bordo'!G$2:G$746,'Base bordo'!C$2:C$746,A1084,'Base bordo'!B$2:B$746,B1084,'Base bordo'!F$2:F$746,"MANUTENCAO EXTERNA  CONCESSIONARIA"),0)+IFERROR(SUMIFS('Base bordo'!G$2:G$746,'Base bordo'!C$2:C$746,A1084,'Base bordo'!B$2:B$746,B1084,'Base bordo'!F$2:F$746,"MANUTENCAO TELEMETRIA"),0)</f>
        <v>0</v>
      </c>
      <c r="M1084" s="10">
        <f>IFERROR(SUMIFS('Base bordo'!G$2:G$746,'Base bordo'!C$2:C$746,A1084,'Base bordo'!B$2:B$746,B1084,'Base bordo'!F$2:F$746,"AGUARDANDO MANUTENCAO"),0)</f>
        <v>0</v>
      </c>
      <c r="N1084" s="10">
        <f>IFERROR(SUMIFS('Base bordo'!G$2:G$746,'Base bordo'!C$2:C$746,A1084,'Base bordo'!B$2:B$746,B1084,'Base bordo'!F$2:F$746,"SEM APONTAMENTO"),0)</f>
        <v>0</v>
      </c>
      <c r="O1084" s="10">
        <f t="shared" si="108"/>
        <v>0</v>
      </c>
      <c r="P1084" s="10">
        <f>IFERROR(SUMIFS('Base bordo'!G$2:G$746,'Base bordo'!C$2:C$746,A1084,'Base bordo'!B$2:B$746,B1084),0)</f>
        <v>8.5430555555555543</v>
      </c>
      <c r="Q1084" s="10">
        <f>IFERROR(SUMIFS('Base bordo'!H$2:H$746,'Base bordo'!C$2:C$746,A1084,'Base bordo'!B$2:B$746,B1084,'Base bordo'!F$2:F$746,"DESLOCAMENTO VAZIO"),0)</f>
        <v>880</v>
      </c>
      <c r="R1084" s="10">
        <f>IFERROR(SUMIFS('Base bordo'!I$2:I$746,'Base bordo'!C$2:C$746,A1084,'Base bordo'!B$2:B$746,B1084,'Base bordo'!F$2:F$746,"DESLOCAMENTO VAZIO"),0)</f>
        <v>88</v>
      </c>
      <c r="S1084" s="30">
        <f t="shared" si="109"/>
        <v>10</v>
      </c>
      <c r="T1084" s="10">
        <f>IFERROR(SUMIFS('Base bordo'!H$2:H$746,'Base bordo'!C$2:C$746,A1084,'Base bordo'!B$2:B$746,B1084,'Base bordo'!F$2:F$746,"DESLOCAMENTO CARREGADO"),0)</f>
        <v>244097.37999999998</v>
      </c>
      <c r="U1084" s="10">
        <f>IFERROR(SUMIFS('Base bordo'!I$2:I$746,'Base bordo'!C$2:C$746,A1084,'Base bordo'!B$2:B$746,B1084,'Base bordo'!F$2:F$746,"DESLOCAMENTO CARREGADO"),0)</f>
        <v>10632</v>
      </c>
      <c r="V1084" s="30">
        <f t="shared" si="110"/>
        <v>22.958745297215948</v>
      </c>
      <c r="W1084" s="9">
        <f t="shared" si="111"/>
        <v>2.8613233620549509E-3</v>
      </c>
      <c r="X1084" s="9">
        <f t="shared" si="112"/>
        <v>0.3456998861973663</v>
      </c>
      <c r="Y1084" s="9">
        <f t="shared" si="113"/>
        <v>0.65143879044057873</v>
      </c>
    </row>
    <row r="1085" spans="1:25" ht="15" customHeight="1" x14ac:dyDescent="0.35">
      <c r="A1085" s="52">
        <v>8013462</v>
      </c>
      <c r="B1085" s="51">
        <v>46123</v>
      </c>
      <c r="C1085" s="7" t="s">
        <v>124</v>
      </c>
      <c r="D1085" s="10">
        <f>IFERROR(SUMIFS('Base bordo'!G$2:G$746,'Base bordo'!C$2:C$746,A1085,'Base bordo'!B$2:B$746,B1085,'Base bordo'!F$2:F$746,"DESLOCAMENTO VAZIO"),0)</f>
        <v>2.4444444444444446E-2</v>
      </c>
      <c r="E1085" s="10">
        <f>IFERROR(SUMIFS('Base bordo'!G$2:G$746,'Base bordo'!C$2:C$746,A1085,'Base bordo'!B$2:B$746,B1085,'Base bordo'!F$2:F$746,"DESLOCAMENTO CARREGADO"),0)</f>
        <v>2.9533333333333331</v>
      </c>
      <c r="F1085" s="10">
        <f>IFERROR(SUMIFS('Base bordo'!G$2:G$746,'Base bordo'!C$2:C$746,A1085,'Base bordo'!B$2:B$746,B1085,'Base bordo'!F$2:F$746,"DESLOCAMENTO"),0)</f>
        <v>0.32861111111111113</v>
      </c>
      <c r="G1085" s="10">
        <f>IFERROR(SUMIFS('Base bordo'!G$2:G$746,'Base bordo'!C$2:C$746,A1085,'Base bordo'!B$2:B$746,B1085,'Base bordo'!F$2:F$746,"CARREGAMENTO"),0)</f>
        <v>0</v>
      </c>
      <c r="H1085" s="10">
        <f>IFERROR(SUMIFS('Base bordo'!G$2:G$746,'Base bordo'!C$2:C$746,A1085,'Base bordo'!B$2:B$746,B1085,'Base bordo'!F$2:F$746,"AGUARDANDO TRANSBORDO"),0)</f>
        <v>0</v>
      </c>
      <c r="I1085" s="10">
        <f>IFERROR(SUMIFS('Base bordo'!G$2:G$746,'Base bordo'!C$2:C$746,A1085,'Base bordo'!B$2:B$746,B1085,'Base bordo'!F$2:F$746,"PÁTIO INTERNO"),0)+IFERROR(SUMIFS('Base bordo'!G$2:G$746,'Base bordo'!C$2:C$746,A1085,'Base bordo'!B$2:B$746,B1085,'Base bordo'!F$2:F$746,"PÁTIO EXTERNO"),0)+IFERROR(SUMIFS('Base bordo'!G$2:G$746,'Base bordo'!C$2:C$746,A1085,'Base bordo'!B$2:B$746,B1085,'Base bordo'!F$2:F$746,"PATIO - RESERVA"),0)+IFERROR(SUMIFS('Base bordo'!G$2:G$746,'Base bordo'!C$2:C$746,A1085,'Base bordo'!B$2:B$746,B1085,'Base bordo'!F$2:F$746,"MANOBRA CARRETAS-PATIO"),0)</f>
        <v>5.2366666666666664</v>
      </c>
      <c r="J1085" s="10">
        <f>IFERROR(SUMIFS('Base bordo'!G$2:G$746,'Base bordo'!C$2:C$746,A1085,'Base bordo'!B$2:B$746,B1085,'Base bordo'!F$2:F$746,"BALANÇA - ENTRADA"),0)+IFERROR(SUMIFS('Base bordo'!G$2:G$746,'Base bordo'!C$2:C$746,A1085,'Base bordo'!B$2:B$746,B1085,'Base bordo'!F$2:F$746,"BALANÇA - SAÍDA"),0)</f>
        <v>0</v>
      </c>
      <c r="K1085" s="10">
        <f>IFERROR(SUMIFS('Base bordo'!G$2:G$746,'Base bordo'!C$2:C$746,A1085,'Base bordo'!B$2:B$746,B1085,'Base bordo'!F$2:F$746,"MAN PREVENTIVA - MECANICA"),0)+IFERROR(SUMIFS('Base bordo'!G$2:G$746,'Base bordo'!C$2:C$746,A1085,'Base bordo'!B$2:B$746,B1085,'Base bordo'!F$2:F$746,"MAN CORRETIVA - MECANICA"),0)</f>
        <v>0</v>
      </c>
      <c r="L1085" s="10">
        <f>IFERROR(SUMIFS('Base bordo'!G$2:G$746,'Base bordo'!C$2:C$746,A1085,'Base bordo'!B$2:B$746,B1085,'Base bordo'!F$2:F$746,"MANUTENCAO - T O"),0)+IFERROR(SUMIFS('Base bordo'!G$2:G$746,'Base bordo'!C$2:C$746,A1085,'Base bordo'!B$2:B$746,B1085,'Base bordo'!F$2:F$746,"MANUTENCAO BORRACHARIA"),0)+IFERROR(SUMIFS('Base bordo'!G$2:G$746,'Base bordo'!C$2:C$746,A1085,'Base bordo'!B$2:B$746,B1085,'Base bordo'!F$2:F$746,"MANUTENCAO EXTERNA  CONCESSIONARIA"),0)+IFERROR(SUMIFS('Base bordo'!G$2:G$746,'Base bordo'!C$2:C$746,A1085,'Base bordo'!B$2:B$746,B1085,'Base bordo'!F$2:F$746,"MANUTENCAO TELEMETRIA"),0)</f>
        <v>0</v>
      </c>
      <c r="M1085" s="10">
        <f>IFERROR(SUMIFS('Base bordo'!G$2:G$746,'Base bordo'!C$2:C$746,A1085,'Base bordo'!B$2:B$746,B1085,'Base bordo'!F$2:F$746,"AGUARDANDO MANUTENCAO"),0)</f>
        <v>0</v>
      </c>
      <c r="N1085" s="10">
        <f>IFERROR(SUMIFS('Base bordo'!G$2:G$746,'Base bordo'!C$2:C$746,A1085,'Base bordo'!B$2:B$746,B1085,'Base bordo'!F$2:F$746,"SEM APONTAMENTO"),0)</f>
        <v>0</v>
      </c>
      <c r="O1085" s="10">
        <f t="shared" si="108"/>
        <v>0</v>
      </c>
      <c r="P1085" s="10">
        <f>IFERROR(SUMIFS('Base bordo'!G$2:G$746,'Base bordo'!C$2:C$746,A1085,'Base bordo'!B$2:B$746,B1085),0)</f>
        <v>8.5430555555555543</v>
      </c>
      <c r="Q1085" s="10">
        <f>IFERROR(SUMIFS('Base bordo'!H$2:H$746,'Base bordo'!C$2:C$746,A1085,'Base bordo'!B$2:B$746,B1085,'Base bordo'!F$2:F$746,"DESLOCAMENTO VAZIO"),0)</f>
        <v>880</v>
      </c>
      <c r="R1085" s="10">
        <f>IFERROR(SUMIFS('Base bordo'!I$2:I$746,'Base bordo'!C$2:C$746,A1085,'Base bordo'!B$2:B$746,B1085,'Base bordo'!F$2:F$746,"DESLOCAMENTO VAZIO"),0)</f>
        <v>88</v>
      </c>
      <c r="S1085" s="30">
        <f t="shared" si="109"/>
        <v>10</v>
      </c>
      <c r="T1085" s="10">
        <f>IFERROR(SUMIFS('Base bordo'!H$2:H$746,'Base bordo'!C$2:C$746,A1085,'Base bordo'!B$2:B$746,B1085,'Base bordo'!F$2:F$746,"DESLOCAMENTO CARREGADO"),0)</f>
        <v>244097.37999999998</v>
      </c>
      <c r="U1085" s="10">
        <f>IFERROR(SUMIFS('Base bordo'!I$2:I$746,'Base bordo'!C$2:C$746,A1085,'Base bordo'!B$2:B$746,B1085,'Base bordo'!F$2:F$746,"DESLOCAMENTO CARREGADO"),0)</f>
        <v>10632</v>
      </c>
      <c r="V1085" s="30">
        <f t="shared" si="110"/>
        <v>22.958745297215948</v>
      </c>
      <c r="W1085" s="9">
        <f t="shared" si="111"/>
        <v>2.8613233620549509E-3</v>
      </c>
      <c r="X1085" s="9">
        <f t="shared" si="112"/>
        <v>0.3456998861973663</v>
      </c>
      <c r="Y1085" s="9">
        <f t="shared" si="113"/>
        <v>0.65143879044057873</v>
      </c>
    </row>
    <row r="1086" spans="1:25" ht="15" customHeight="1" x14ac:dyDescent="0.35">
      <c r="A1086" s="52">
        <v>8013462</v>
      </c>
      <c r="B1086" s="51">
        <v>46123</v>
      </c>
      <c r="C1086" s="7" t="s">
        <v>124</v>
      </c>
      <c r="D1086" s="10">
        <f>IFERROR(SUMIFS('Base bordo'!G$2:G$746,'Base bordo'!C$2:C$746,A1086,'Base bordo'!B$2:B$746,B1086,'Base bordo'!F$2:F$746,"DESLOCAMENTO VAZIO"),0)</f>
        <v>2.4444444444444446E-2</v>
      </c>
      <c r="E1086" s="10">
        <f>IFERROR(SUMIFS('Base bordo'!G$2:G$746,'Base bordo'!C$2:C$746,A1086,'Base bordo'!B$2:B$746,B1086,'Base bordo'!F$2:F$746,"DESLOCAMENTO CARREGADO"),0)</f>
        <v>2.9533333333333331</v>
      </c>
      <c r="F1086" s="10">
        <f>IFERROR(SUMIFS('Base bordo'!G$2:G$746,'Base bordo'!C$2:C$746,A1086,'Base bordo'!B$2:B$746,B1086,'Base bordo'!F$2:F$746,"DESLOCAMENTO"),0)</f>
        <v>0.32861111111111113</v>
      </c>
      <c r="G1086" s="10">
        <f>IFERROR(SUMIFS('Base bordo'!G$2:G$746,'Base bordo'!C$2:C$746,A1086,'Base bordo'!B$2:B$746,B1086,'Base bordo'!F$2:F$746,"CARREGAMENTO"),0)</f>
        <v>0</v>
      </c>
      <c r="H1086" s="10">
        <f>IFERROR(SUMIFS('Base bordo'!G$2:G$746,'Base bordo'!C$2:C$746,A1086,'Base bordo'!B$2:B$746,B1086,'Base bordo'!F$2:F$746,"AGUARDANDO TRANSBORDO"),0)</f>
        <v>0</v>
      </c>
      <c r="I1086" s="10">
        <f>IFERROR(SUMIFS('Base bordo'!G$2:G$746,'Base bordo'!C$2:C$746,A1086,'Base bordo'!B$2:B$746,B1086,'Base bordo'!F$2:F$746,"PÁTIO INTERNO"),0)+IFERROR(SUMIFS('Base bordo'!G$2:G$746,'Base bordo'!C$2:C$746,A1086,'Base bordo'!B$2:B$746,B1086,'Base bordo'!F$2:F$746,"PÁTIO EXTERNO"),0)+IFERROR(SUMIFS('Base bordo'!G$2:G$746,'Base bordo'!C$2:C$746,A1086,'Base bordo'!B$2:B$746,B1086,'Base bordo'!F$2:F$746,"PATIO - RESERVA"),0)+IFERROR(SUMIFS('Base bordo'!G$2:G$746,'Base bordo'!C$2:C$746,A1086,'Base bordo'!B$2:B$746,B1086,'Base bordo'!F$2:F$746,"MANOBRA CARRETAS-PATIO"),0)</f>
        <v>5.2366666666666664</v>
      </c>
      <c r="J1086" s="10">
        <f>IFERROR(SUMIFS('Base bordo'!G$2:G$746,'Base bordo'!C$2:C$746,A1086,'Base bordo'!B$2:B$746,B1086,'Base bordo'!F$2:F$746,"BALANÇA - ENTRADA"),0)+IFERROR(SUMIFS('Base bordo'!G$2:G$746,'Base bordo'!C$2:C$746,A1086,'Base bordo'!B$2:B$746,B1086,'Base bordo'!F$2:F$746,"BALANÇA - SAÍDA"),0)</f>
        <v>0</v>
      </c>
      <c r="K1086" s="10">
        <f>IFERROR(SUMIFS('Base bordo'!G$2:G$746,'Base bordo'!C$2:C$746,A1086,'Base bordo'!B$2:B$746,B1086,'Base bordo'!F$2:F$746,"MAN PREVENTIVA - MECANICA"),0)+IFERROR(SUMIFS('Base bordo'!G$2:G$746,'Base bordo'!C$2:C$746,A1086,'Base bordo'!B$2:B$746,B1086,'Base bordo'!F$2:F$746,"MAN CORRETIVA - MECANICA"),0)</f>
        <v>0</v>
      </c>
      <c r="L1086" s="10">
        <f>IFERROR(SUMIFS('Base bordo'!G$2:G$746,'Base bordo'!C$2:C$746,A1086,'Base bordo'!B$2:B$746,B1086,'Base bordo'!F$2:F$746,"MANUTENCAO - T O"),0)+IFERROR(SUMIFS('Base bordo'!G$2:G$746,'Base bordo'!C$2:C$746,A1086,'Base bordo'!B$2:B$746,B1086,'Base bordo'!F$2:F$746,"MANUTENCAO BORRACHARIA"),0)+IFERROR(SUMIFS('Base bordo'!G$2:G$746,'Base bordo'!C$2:C$746,A1086,'Base bordo'!B$2:B$746,B1086,'Base bordo'!F$2:F$746,"MANUTENCAO EXTERNA  CONCESSIONARIA"),0)+IFERROR(SUMIFS('Base bordo'!G$2:G$746,'Base bordo'!C$2:C$746,A1086,'Base bordo'!B$2:B$746,B1086,'Base bordo'!F$2:F$746,"MANUTENCAO TELEMETRIA"),0)</f>
        <v>0</v>
      </c>
      <c r="M1086" s="10">
        <f>IFERROR(SUMIFS('Base bordo'!G$2:G$746,'Base bordo'!C$2:C$746,A1086,'Base bordo'!B$2:B$746,B1086,'Base bordo'!F$2:F$746,"AGUARDANDO MANUTENCAO"),0)</f>
        <v>0</v>
      </c>
      <c r="N1086" s="10">
        <f>IFERROR(SUMIFS('Base bordo'!G$2:G$746,'Base bordo'!C$2:C$746,A1086,'Base bordo'!B$2:B$746,B1086,'Base bordo'!F$2:F$746,"SEM APONTAMENTO"),0)</f>
        <v>0</v>
      </c>
      <c r="O1086" s="10">
        <f t="shared" si="108"/>
        <v>0</v>
      </c>
      <c r="P1086" s="10">
        <f>IFERROR(SUMIFS('Base bordo'!G$2:G$746,'Base bordo'!C$2:C$746,A1086,'Base bordo'!B$2:B$746,B1086),0)</f>
        <v>8.5430555555555543</v>
      </c>
      <c r="Q1086" s="10">
        <f>IFERROR(SUMIFS('Base bordo'!H$2:H$746,'Base bordo'!C$2:C$746,A1086,'Base bordo'!B$2:B$746,B1086,'Base bordo'!F$2:F$746,"DESLOCAMENTO VAZIO"),0)</f>
        <v>880</v>
      </c>
      <c r="R1086" s="10">
        <f>IFERROR(SUMIFS('Base bordo'!I$2:I$746,'Base bordo'!C$2:C$746,A1086,'Base bordo'!B$2:B$746,B1086,'Base bordo'!F$2:F$746,"DESLOCAMENTO VAZIO"),0)</f>
        <v>88</v>
      </c>
      <c r="S1086" s="30">
        <f t="shared" si="109"/>
        <v>10</v>
      </c>
      <c r="T1086" s="10">
        <f>IFERROR(SUMIFS('Base bordo'!H$2:H$746,'Base bordo'!C$2:C$746,A1086,'Base bordo'!B$2:B$746,B1086,'Base bordo'!F$2:F$746,"DESLOCAMENTO CARREGADO"),0)</f>
        <v>244097.37999999998</v>
      </c>
      <c r="U1086" s="10">
        <f>IFERROR(SUMIFS('Base bordo'!I$2:I$746,'Base bordo'!C$2:C$746,A1086,'Base bordo'!B$2:B$746,B1086,'Base bordo'!F$2:F$746,"DESLOCAMENTO CARREGADO"),0)</f>
        <v>10632</v>
      </c>
      <c r="V1086" s="30">
        <f t="shared" si="110"/>
        <v>22.958745297215948</v>
      </c>
      <c r="W1086" s="9">
        <f t="shared" si="111"/>
        <v>2.8613233620549509E-3</v>
      </c>
      <c r="X1086" s="9">
        <f t="shared" si="112"/>
        <v>0.3456998861973663</v>
      </c>
      <c r="Y1086" s="9">
        <f t="shared" si="113"/>
        <v>0.65143879044057873</v>
      </c>
    </row>
    <row r="1087" spans="1:25" ht="15" customHeight="1" x14ac:dyDescent="0.35">
      <c r="A1087" s="52">
        <v>8013462</v>
      </c>
      <c r="B1087" s="51">
        <v>46123</v>
      </c>
      <c r="C1087" s="7" t="s">
        <v>124</v>
      </c>
      <c r="D1087" s="10">
        <f>IFERROR(SUMIFS('Base bordo'!G$2:G$746,'Base bordo'!C$2:C$746,A1087,'Base bordo'!B$2:B$746,B1087,'Base bordo'!F$2:F$746,"DESLOCAMENTO VAZIO"),0)</f>
        <v>2.4444444444444446E-2</v>
      </c>
      <c r="E1087" s="10">
        <f>IFERROR(SUMIFS('Base bordo'!G$2:G$746,'Base bordo'!C$2:C$746,A1087,'Base bordo'!B$2:B$746,B1087,'Base bordo'!F$2:F$746,"DESLOCAMENTO CARREGADO"),0)</f>
        <v>2.9533333333333331</v>
      </c>
      <c r="F1087" s="10">
        <f>IFERROR(SUMIFS('Base bordo'!G$2:G$746,'Base bordo'!C$2:C$746,A1087,'Base bordo'!B$2:B$746,B1087,'Base bordo'!F$2:F$746,"DESLOCAMENTO"),0)</f>
        <v>0.32861111111111113</v>
      </c>
      <c r="G1087" s="10">
        <f>IFERROR(SUMIFS('Base bordo'!G$2:G$746,'Base bordo'!C$2:C$746,A1087,'Base bordo'!B$2:B$746,B1087,'Base bordo'!F$2:F$746,"CARREGAMENTO"),0)</f>
        <v>0</v>
      </c>
      <c r="H1087" s="10">
        <f>IFERROR(SUMIFS('Base bordo'!G$2:G$746,'Base bordo'!C$2:C$746,A1087,'Base bordo'!B$2:B$746,B1087,'Base bordo'!F$2:F$746,"AGUARDANDO TRANSBORDO"),0)</f>
        <v>0</v>
      </c>
      <c r="I1087" s="10">
        <f>IFERROR(SUMIFS('Base bordo'!G$2:G$746,'Base bordo'!C$2:C$746,A1087,'Base bordo'!B$2:B$746,B1087,'Base bordo'!F$2:F$746,"PÁTIO INTERNO"),0)+IFERROR(SUMIFS('Base bordo'!G$2:G$746,'Base bordo'!C$2:C$746,A1087,'Base bordo'!B$2:B$746,B1087,'Base bordo'!F$2:F$746,"PÁTIO EXTERNO"),0)+IFERROR(SUMIFS('Base bordo'!G$2:G$746,'Base bordo'!C$2:C$746,A1087,'Base bordo'!B$2:B$746,B1087,'Base bordo'!F$2:F$746,"PATIO - RESERVA"),0)+IFERROR(SUMIFS('Base bordo'!G$2:G$746,'Base bordo'!C$2:C$746,A1087,'Base bordo'!B$2:B$746,B1087,'Base bordo'!F$2:F$746,"MANOBRA CARRETAS-PATIO"),0)</f>
        <v>5.2366666666666664</v>
      </c>
      <c r="J1087" s="10">
        <f>IFERROR(SUMIFS('Base bordo'!G$2:G$746,'Base bordo'!C$2:C$746,A1087,'Base bordo'!B$2:B$746,B1087,'Base bordo'!F$2:F$746,"BALANÇA - ENTRADA"),0)+IFERROR(SUMIFS('Base bordo'!G$2:G$746,'Base bordo'!C$2:C$746,A1087,'Base bordo'!B$2:B$746,B1087,'Base bordo'!F$2:F$746,"BALANÇA - SAÍDA"),0)</f>
        <v>0</v>
      </c>
      <c r="K1087" s="10">
        <f>IFERROR(SUMIFS('Base bordo'!G$2:G$746,'Base bordo'!C$2:C$746,A1087,'Base bordo'!B$2:B$746,B1087,'Base bordo'!F$2:F$746,"MAN PREVENTIVA - MECANICA"),0)+IFERROR(SUMIFS('Base bordo'!G$2:G$746,'Base bordo'!C$2:C$746,A1087,'Base bordo'!B$2:B$746,B1087,'Base bordo'!F$2:F$746,"MAN CORRETIVA - MECANICA"),0)</f>
        <v>0</v>
      </c>
      <c r="L1087" s="10">
        <f>IFERROR(SUMIFS('Base bordo'!G$2:G$746,'Base bordo'!C$2:C$746,A1087,'Base bordo'!B$2:B$746,B1087,'Base bordo'!F$2:F$746,"MANUTENCAO - T O"),0)+IFERROR(SUMIFS('Base bordo'!G$2:G$746,'Base bordo'!C$2:C$746,A1087,'Base bordo'!B$2:B$746,B1087,'Base bordo'!F$2:F$746,"MANUTENCAO BORRACHARIA"),0)+IFERROR(SUMIFS('Base bordo'!G$2:G$746,'Base bordo'!C$2:C$746,A1087,'Base bordo'!B$2:B$746,B1087,'Base bordo'!F$2:F$746,"MANUTENCAO EXTERNA  CONCESSIONARIA"),0)+IFERROR(SUMIFS('Base bordo'!G$2:G$746,'Base bordo'!C$2:C$746,A1087,'Base bordo'!B$2:B$746,B1087,'Base bordo'!F$2:F$746,"MANUTENCAO TELEMETRIA"),0)</f>
        <v>0</v>
      </c>
      <c r="M1087" s="10">
        <f>IFERROR(SUMIFS('Base bordo'!G$2:G$746,'Base bordo'!C$2:C$746,A1087,'Base bordo'!B$2:B$746,B1087,'Base bordo'!F$2:F$746,"AGUARDANDO MANUTENCAO"),0)</f>
        <v>0</v>
      </c>
      <c r="N1087" s="10">
        <f>IFERROR(SUMIFS('Base bordo'!G$2:G$746,'Base bordo'!C$2:C$746,A1087,'Base bordo'!B$2:B$746,B1087,'Base bordo'!F$2:F$746,"SEM APONTAMENTO"),0)</f>
        <v>0</v>
      </c>
      <c r="O1087" s="10">
        <f t="shared" si="108"/>
        <v>0</v>
      </c>
      <c r="P1087" s="10">
        <f>IFERROR(SUMIFS('Base bordo'!G$2:G$746,'Base bordo'!C$2:C$746,A1087,'Base bordo'!B$2:B$746,B1087),0)</f>
        <v>8.5430555555555543</v>
      </c>
      <c r="Q1087" s="10">
        <f>IFERROR(SUMIFS('Base bordo'!H$2:H$746,'Base bordo'!C$2:C$746,A1087,'Base bordo'!B$2:B$746,B1087,'Base bordo'!F$2:F$746,"DESLOCAMENTO VAZIO"),0)</f>
        <v>880</v>
      </c>
      <c r="R1087" s="10">
        <f>IFERROR(SUMIFS('Base bordo'!I$2:I$746,'Base bordo'!C$2:C$746,A1087,'Base bordo'!B$2:B$746,B1087,'Base bordo'!F$2:F$746,"DESLOCAMENTO VAZIO"),0)</f>
        <v>88</v>
      </c>
      <c r="S1087" s="30">
        <f t="shared" si="109"/>
        <v>10</v>
      </c>
      <c r="T1087" s="10">
        <f>IFERROR(SUMIFS('Base bordo'!H$2:H$746,'Base bordo'!C$2:C$746,A1087,'Base bordo'!B$2:B$746,B1087,'Base bordo'!F$2:F$746,"DESLOCAMENTO CARREGADO"),0)</f>
        <v>244097.37999999998</v>
      </c>
      <c r="U1087" s="10">
        <f>IFERROR(SUMIFS('Base bordo'!I$2:I$746,'Base bordo'!C$2:C$746,A1087,'Base bordo'!B$2:B$746,B1087,'Base bordo'!F$2:F$746,"DESLOCAMENTO CARREGADO"),0)</f>
        <v>10632</v>
      </c>
      <c r="V1087" s="30">
        <f t="shared" si="110"/>
        <v>22.958745297215948</v>
      </c>
      <c r="W1087" s="9">
        <f t="shared" si="111"/>
        <v>2.8613233620549509E-3</v>
      </c>
      <c r="X1087" s="9">
        <f t="shared" si="112"/>
        <v>0.3456998861973663</v>
      </c>
      <c r="Y1087" s="9">
        <f t="shared" si="113"/>
        <v>0.65143879044057873</v>
      </c>
    </row>
    <row r="1088" spans="1:25" ht="15" customHeight="1" x14ac:dyDescent="0.35">
      <c r="A1088" s="52">
        <v>8013462</v>
      </c>
      <c r="B1088" s="51">
        <v>46123</v>
      </c>
      <c r="C1088" s="7" t="s">
        <v>124</v>
      </c>
      <c r="D1088" s="10">
        <f>IFERROR(SUMIFS('Base bordo'!G$2:G$746,'Base bordo'!C$2:C$746,A1088,'Base bordo'!B$2:B$746,B1088,'Base bordo'!F$2:F$746,"DESLOCAMENTO VAZIO"),0)</f>
        <v>2.4444444444444446E-2</v>
      </c>
      <c r="E1088" s="10">
        <f>IFERROR(SUMIFS('Base bordo'!G$2:G$746,'Base bordo'!C$2:C$746,A1088,'Base bordo'!B$2:B$746,B1088,'Base bordo'!F$2:F$746,"DESLOCAMENTO CARREGADO"),0)</f>
        <v>2.9533333333333331</v>
      </c>
      <c r="F1088" s="10">
        <f>IFERROR(SUMIFS('Base bordo'!G$2:G$746,'Base bordo'!C$2:C$746,A1088,'Base bordo'!B$2:B$746,B1088,'Base bordo'!F$2:F$746,"DESLOCAMENTO"),0)</f>
        <v>0.32861111111111113</v>
      </c>
      <c r="G1088" s="10">
        <f>IFERROR(SUMIFS('Base bordo'!G$2:G$746,'Base bordo'!C$2:C$746,A1088,'Base bordo'!B$2:B$746,B1088,'Base bordo'!F$2:F$746,"CARREGAMENTO"),0)</f>
        <v>0</v>
      </c>
      <c r="H1088" s="10">
        <f>IFERROR(SUMIFS('Base bordo'!G$2:G$746,'Base bordo'!C$2:C$746,A1088,'Base bordo'!B$2:B$746,B1088,'Base bordo'!F$2:F$746,"AGUARDANDO TRANSBORDO"),0)</f>
        <v>0</v>
      </c>
      <c r="I1088" s="10">
        <f>IFERROR(SUMIFS('Base bordo'!G$2:G$746,'Base bordo'!C$2:C$746,A1088,'Base bordo'!B$2:B$746,B1088,'Base bordo'!F$2:F$746,"PÁTIO INTERNO"),0)+IFERROR(SUMIFS('Base bordo'!G$2:G$746,'Base bordo'!C$2:C$746,A1088,'Base bordo'!B$2:B$746,B1088,'Base bordo'!F$2:F$746,"PÁTIO EXTERNO"),0)+IFERROR(SUMIFS('Base bordo'!G$2:G$746,'Base bordo'!C$2:C$746,A1088,'Base bordo'!B$2:B$746,B1088,'Base bordo'!F$2:F$746,"PATIO - RESERVA"),0)+IFERROR(SUMIFS('Base bordo'!G$2:G$746,'Base bordo'!C$2:C$746,A1088,'Base bordo'!B$2:B$746,B1088,'Base bordo'!F$2:F$746,"MANOBRA CARRETAS-PATIO"),0)</f>
        <v>5.2366666666666664</v>
      </c>
      <c r="J1088" s="10">
        <f>IFERROR(SUMIFS('Base bordo'!G$2:G$746,'Base bordo'!C$2:C$746,A1088,'Base bordo'!B$2:B$746,B1088,'Base bordo'!F$2:F$746,"BALANÇA - ENTRADA"),0)+IFERROR(SUMIFS('Base bordo'!G$2:G$746,'Base bordo'!C$2:C$746,A1088,'Base bordo'!B$2:B$746,B1088,'Base bordo'!F$2:F$746,"BALANÇA - SAÍDA"),0)</f>
        <v>0</v>
      </c>
      <c r="K1088" s="10">
        <f>IFERROR(SUMIFS('Base bordo'!G$2:G$746,'Base bordo'!C$2:C$746,A1088,'Base bordo'!B$2:B$746,B1088,'Base bordo'!F$2:F$746,"MAN PREVENTIVA - MECANICA"),0)+IFERROR(SUMIFS('Base bordo'!G$2:G$746,'Base bordo'!C$2:C$746,A1088,'Base bordo'!B$2:B$746,B1088,'Base bordo'!F$2:F$746,"MAN CORRETIVA - MECANICA"),0)</f>
        <v>0</v>
      </c>
      <c r="L1088" s="10">
        <f>IFERROR(SUMIFS('Base bordo'!G$2:G$746,'Base bordo'!C$2:C$746,A1088,'Base bordo'!B$2:B$746,B1088,'Base bordo'!F$2:F$746,"MANUTENCAO - T O"),0)+IFERROR(SUMIFS('Base bordo'!G$2:G$746,'Base bordo'!C$2:C$746,A1088,'Base bordo'!B$2:B$746,B1088,'Base bordo'!F$2:F$746,"MANUTENCAO BORRACHARIA"),0)+IFERROR(SUMIFS('Base bordo'!G$2:G$746,'Base bordo'!C$2:C$746,A1088,'Base bordo'!B$2:B$746,B1088,'Base bordo'!F$2:F$746,"MANUTENCAO EXTERNA  CONCESSIONARIA"),0)+IFERROR(SUMIFS('Base bordo'!G$2:G$746,'Base bordo'!C$2:C$746,A1088,'Base bordo'!B$2:B$746,B1088,'Base bordo'!F$2:F$746,"MANUTENCAO TELEMETRIA"),0)</f>
        <v>0</v>
      </c>
      <c r="M1088" s="10">
        <f>IFERROR(SUMIFS('Base bordo'!G$2:G$746,'Base bordo'!C$2:C$746,A1088,'Base bordo'!B$2:B$746,B1088,'Base bordo'!F$2:F$746,"AGUARDANDO MANUTENCAO"),0)</f>
        <v>0</v>
      </c>
      <c r="N1088" s="10">
        <f>IFERROR(SUMIFS('Base bordo'!G$2:G$746,'Base bordo'!C$2:C$746,A1088,'Base bordo'!B$2:B$746,B1088,'Base bordo'!F$2:F$746,"SEM APONTAMENTO"),0)</f>
        <v>0</v>
      </c>
      <c r="O1088" s="10">
        <f t="shared" si="108"/>
        <v>0</v>
      </c>
      <c r="P1088" s="10">
        <f>IFERROR(SUMIFS('Base bordo'!G$2:G$746,'Base bordo'!C$2:C$746,A1088,'Base bordo'!B$2:B$746,B1088),0)</f>
        <v>8.5430555555555543</v>
      </c>
      <c r="Q1088" s="10">
        <f>IFERROR(SUMIFS('Base bordo'!H$2:H$746,'Base bordo'!C$2:C$746,A1088,'Base bordo'!B$2:B$746,B1088,'Base bordo'!F$2:F$746,"DESLOCAMENTO VAZIO"),0)</f>
        <v>880</v>
      </c>
      <c r="R1088" s="10">
        <f>IFERROR(SUMIFS('Base bordo'!I$2:I$746,'Base bordo'!C$2:C$746,A1088,'Base bordo'!B$2:B$746,B1088,'Base bordo'!F$2:F$746,"DESLOCAMENTO VAZIO"),0)</f>
        <v>88</v>
      </c>
      <c r="S1088" s="30">
        <f t="shared" si="109"/>
        <v>10</v>
      </c>
      <c r="T1088" s="10">
        <f>IFERROR(SUMIFS('Base bordo'!H$2:H$746,'Base bordo'!C$2:C$746,A1088,'Base bordo'!B$2:B$746,B1088,'Base bordo'!F$2:F$746,"DESLOCAMENTO CARREGADO"),0)</f>
        <v>244097.37999999998</v>
      </c>
      <c r="U1088" s="10">
        <f>IFERROR(SUMIFS('Base bordo'!I$2:I$746,'Base bordo'!C$2:C$746,A1088,'Base bordo'!B$2:B$746,B1088,'Base bordo'!F$2:F$746,"DESLOCAMENTO CARREGADO"),0)</f>
        <v>10632</v>
      </c>
      <c r="V1088" s="30">
        <f t="shared" si="110"/>
        <v>22.958745297215948</v>
      </c>
      <c r="W1088" s="9">
        <f t="shared" si="111"/>
        <v>2.8613233620549509E-3</v>
      </c>
      <c r="X1088" s="9">
        <f t="shared" si="112"/>
        <v>0.3456998861973663</v>
      </c>
      <c r="Y1088" s="9">
        <f t="shared" si="113"/>
        <v>0.65143879044057873</v>
      </c>
    </row>
    <row r="1089" spans="1:25" ht="15" customHeight="1" x14ac:dyDescent="0.35">
      <c r="A1089" s="52">
        <v>8013465</v>
      </c>
      <c r="B1089" s="51">
        <v>46123</v>
      </c>
      <c r="C1089" s="7" t="s">
        <v>124</v>
      </c>
      <c r="D1089" s="10">
        <f>IFERROR(SUMIFS('Base bordo'!G$2:G$746,'Base bordo'!C$2:C$746,A1089,'Base bordo'!B$2:B$746,B1089,'Base bordo'!F$2:F$746,"DESLOCAMENTO VAZIO"),0)</f>
        <v>2.3111111111111109</v>
      </c>
      <c r="E1089" s="10">
        <f>IFERROR(SUMIFS('Base bordo'!G$2:G$746,'Base bordo'!C$2:C$746,A1089,'Base bordo'!B$2:B$746,B1089,'Base bordo'!F$2:F$746,"DESLOCAMENTO CARREGADO"),0)</f>
        <v>1.8591666666666666</v>
      </c>
      <c r="F1089" s="10">
        <f>IFERROR(SUMIFS('Base bordo'!G$2:G$746,'Base bordo'!C$2:C$746,A1089,'Base bordo'!B$2:B$746,B1089,'Base bordo'!F$2:F$746,"DESLOCAMENTO"),0)</f>
        <v>0</v>
      </c>
      <c r="G1089" s="10">
        <f>IFERROR(SUMIFS('Base bordo'!G$2:G$746,'Base bordo'!C$2:C$746,A1089,'Base bordo'!B$2:B$746,B1089,'Base bordo'!F$2:F$746,"CARREGAMENTO"),0)</f>
        <v>0</v>
      </c>
      <c r="H1089" s="10">
        <f>IFERROR(SUMIFS('Base bordo'!G$2:G$746,'Base bordo'!C$2:C$746,A1089,'Base bordo'!B$2:B$746,B1089,'Base bordo'!F$2:F$746,"AGUARDANDO TRANSBORDO"),0)</f>
        <v>0.3552777777777778</v>
      </c>
      <c r="I1089" s="10">
        <f>IFERROR(SUMIFS('Base bordo'!G$2:G$746,'Base bordo'!C$2:C$746,A1089,'Base bordo'!B$2:B$746,B1089,'Base bordo'!F$2:F$746,"PÁTIO INTERNO"),0)+IFERROR(SUMIFS('Base bordo'!G$2:G$746,'Base bordo'!C$2:C$746,A1089,'Base bordo'!B$2:B$746,B1089,'Base bordo'!F$2:F$746,"PÁTIO EXTERNO"),0)+IFERROR(SUMIFS('Base bordo'!G$2:G$746,'Base bordo'!C$2:C$746,A1089,'Base bordo'!B$2:B$746,B1089,'Base bordo'!F$2:F$746,"PATIO - RESERVA"),0)+IFERROR(SUMIFS('Base bordo'!G$2:G$746,'Base bordo'!C$2:C$746,A1089,'Base bordo'!B$2:B$746,B1089,'Base bordo'!F$2:F$746,"MANOBRA CARRETAS-PATIO"),0)</f>
        <v>0</v>
      </c>
      <c r="J1089" s="10">
        <f>IFERROR(SUMIFS('Base bordo'!G$2:G$746,'Base bordo'!C$2:C$746,A1089,'Base bordo'!B$2:B$746,B1089,'Base bordo'!F$2:F$746,"BALANÇA - ENTRADA"),0)+IFERROR(SUMIFS('Base bordo'!G$2:G$746,'Base bordo'!C$2:C$746,A1089,'Base bordo'!B$2:B$746,B1089,'Base bordo'!F$2:F$746,"BALANÇA - SAÍDA"),0)</f>
        <v>0</v>
      </c>
      <c r="K1089" s="10">
        <f>IFERROR(SUMIFS('Base bordo'!G$2:G$746,'Base bordo'!C$2:C$746,A1089,'Base bordo'!B$2:B$746,B1089,'Base bordo'!F$2:F$746,"MAN PREVENTIVA - MECANICA"),0)+IFERROR(SUMIFS('Base bordo'!G$2:G$746,'Base bordo'!C$2:C$746,A1089,'Base bordo'!B$2:B$746,B1089,'Base bordo'!F$2:F$746,"MAN CORRETIVA - MECANICA"),0)</f>
        <v>0</v>
      </c>
      <c r="L1089" s="10">
        <f>IFERROR(SUMIFS('Base bordo'!G$2:G$746,'Base bordo'!C$2:C$746,A1089,'Base bordo'!B$2:B$746,B1089,'Base bordo'!F$2:F$746,"MANUTENCAO - T O"),0)+IFERROR(SUMIFS('Base bordo'!G$2:G$746,'Base bordo'!C$2:C$746,A1089,'Base bordo'!B$2:B$746,B1089,'Base bordo'!F$2:F$746,"MANUTENCAO BORRACHARIA"),0)+IFERROR(SUMIFS('Base bordo'!G$2:G$746,'Base bordo'!C$2:C$746,A1089,'Base bordo'!B$2:B$746,B1089,'Base bordo'!F$2:F$746,"MANUTENCAO EXTERNA  CONCESSIONARIA"),0)+IFERROR(SUMIFS('Base bordo'!G$2:G$746,'Base bordo'!C$2:C$746,A1089,'Base bordo'!B$2:B$746,B1089,'Base bordo'!F$2:F$746,"MANUTENCAO TELEMETRIA"),0)</f>
        <v>0</v>
      </c>
      <c r="M1089" s="10">
        <f>IFERROR(SUMIFS('Base bordo'!G$2:G$746,'Base bordo'!C$2:C$746,A1089,'Base bordo'!B$2:B$746,B1089,'Base bordo'!F$2:F$746,"AGUARDANDO MANUTENCAO"),0)</f>
        <v>0</v>
      </c>
      <c r="N1089" s="10">
        <f>IFERROR(SUMIFS('Base bordo'!G$2:G$746,'Base bordo'!C$2:C$746,A1089,'Base bordo'!B$2:B$746,B1089,'Base bordo'!F$2:F$746,"SEM APONTAMENTO"),0)</f>
        <v>0</v>
      </c>
      <c r="O1089" s="10">
        <f t="shared" si="108"/>
        <v>0</v>
      </c>
      <c r="P1089" s="10">
        <f>IFERROR(SUMIFS('Base bordo'!G$2:G$746,'Base bordo'!C$2:C$746,A1089,'Base bordo'!B$2:B$746,B1089),0)</f>
        <v>4.525555555555556</v>
      </c>
      <c r="Q1089" s="10">
        <f>IFERROR(SUMIFS('Base bordo'!H$2:H$746,'Base bordo'!C$2:C$746,A1089,'Base bordo'!B$2:B$746,B1089,'Base bordo'!F$2:F$746,"DESLOCAMENTO VAZIO"),0)</f>
        <v>278148.95</v>
      </c>
      <c r="R1089" s="10">
        <f>IFERROR(SUMIFS('Base bordo'!I$2:I$746,'Base bordo'!C$2:C$746,A1089,'Base bordo'!B$2:B$746,B1089,'Base bordo'!F$2:F$746,"DESLOCAMENTO VAZIO"),0)</f>
        <v>8320</v>
      </c>
      <c r="S1089" s="30">
        <f t="shared" si="109"/>
        <v>33.431364182692306</v>
      </c>
      <c r="T1089" s="10">
        <f>IFERROR(SUMIFS('Base bordo'!H$2:H$746,'Base bordo'!C$2:C$746,A1089,'Base bordo'!B$2:B$746,B1089,'Base bordo'!F$2:F$746,"DESLOCAMENTO CARREGADO"),0)</f>
        <v>177737.80000000002</v>
      </c>
      <c r="U1089" s="10">
        <f>IFERROR(SUMIFS('Base bordo'!I$2:I$746,'Base bordo'!C$2:C$746,A1089,'Base bordo'!B$2:B$746,B1089,'Base bordo'!F$2:F$746,"DESLOCAMENTO CARREGADO"),0)</f>
        <v>6683</v>
      </c>
      <c r="V1089" s="30">
        <f t="shared" si="110"/>
        <v>26.595510998054767</v>
      </c>
      <c r="W1089" s="9">
        <f t="shared" si="111"/>
        <v>0.51068008838693824</v>
      </c>
      <c r="X1089" s="9">
        <f t="shared" si="112"/>
        <v>0.41081512398723297</v>
      </c>
      <c r="Y1089" s="9">
        <f t="shared" si="113"/>
        <v>7.8504787625828687E-2</v>
      </c>
    </row>
    <row r="1090" spans="1:25" ht="15" customHeight="1" x14ac:dyDescent="0.35">
      <c r="A1090" s="52">
        <v>8013465</v>
      </c>
      <c r="B1090" s="51">
        <v>46123</v>
      </c>
      <c r="C1090" s="7" t="s">
        <v>124</v>
      </c>
      <c r="D1090" s="10">
        <f>IFERROR(SUMIFS('Base bordo'!G$2:G$746,'Base bordo'!C$2:C$746,A1090,'Base bordo'!B$2:B$746,B1090,'Base bordo'!F$2:F$746,"DESLOCAMENTO VAZIO"),0)</f>
        <v>2.3111111111111109</v>
      </c>
      <c r="E1090" s="10">
        <f>IFERROR(SUMIFS('Base bordo'!G$2:G$746,'Base bordo'!C$2:C$746,A1090,'Base bordo'!B$2:B$746,B1090,'Base bordo'!F$2:F$746,"DESLOCAMENTO CARREGADO"),0)</f>
        <v>1.8591666666666666</v>
      </c>
      <c r="F1090" s="10">
        <f>IFERROR(SUMIFS('Base bordo'!G$2:G$746,'Base bordo'!C$2:C$746,A1090,'Base bordo'!B$2:B$746,B1090,'Base bordo'!F$2:F$746,"DESLOCAMENTO"),0)</f>
        <v>0</v>
      </c>
      <c r="G1090" s="10">
        <f>IFERROR(SUMIFS('Base bordo'!G$2:G$746,'Base bordo'!C$2:C$746,A1090,'Base bordo'!B$2:B$746,B1090,'Base bordo'!F$2:F$746,"CARREGAMENTO"),0)</f>
        <v>0</v>
      </c>
      <c r="H1090" s="10">
        <f>IFERROR(SUMIFS('Base bordo'!G$2:G$746,'Base bordo'!C$2:C$746,A1090,'Base bordo'!B$2:B$746,B1090,'Base bordo'!F$2:F$746,"AGUARDANDO TRANSBORDO"),0)</f>
        <v>0.3552777777777778</v>
      </c>
      <c r="I1090" s="10">
        <f>IFERROR(SUMIFS('Base bordo'!G$2:G$746,'Base bordo'!C$2:C$746,A1090,'Base bordo'!B$2:B$746,B1090,'Base bordo'!F$2:F$746,"PÁTIO INTERNO"),0)+IFERROR(SUMIFS('Base bordo'!G$2:G$746,'Base bordo'!C$2:C$746,A1090,'Base bordo'!B$2:B$746,B1090,'Base bordo'!F$2:F$746,"PÁTIO EXTERNO"),0)+IFERROR(SUMIFS('Base bordo'!G$2:G$746,'Base bordo'!C$2:C$746,A1090,'Base bordo'!B$2:B$746,B1090,'Base bordo'!F$2:F$746,"PATIO - RESERVA"),0)+IFERROR(SUMIFS('Base bordo'!G$2:G$746,'Base bordo'!C$2:C$746,A1090,'Base bordo'!B$2:B$746,B1090,'Base bordo'!F$2:F$746,"MANOBRA CARRETAS-PATIO"),0)</f>
        <v>0</v>
      </c>
      <c r="J1090" s="10">
        <f>IFERROR(SUMIFS('Base bordo'!G$2:G$746,'Base bordo'!C$2:C$746,A1090,'Base bordo'!B$2:B$746,B1090,'Base bordo'!F$2:F$746,"BALANÇA - ENTRADA"),0)+IFERROR(SUMIFS('Base bordo'!G$2:G$746,'Base bordo'!C$2:C$746,A1090,'Base bordo'!B$2:B$746,B1090,'Base bordo'!F$2:F$746,"BALANÇA - SAÍDA"),0)</f>
        <v>0</v>
      </c>
      <c r="K1090" s="10">
        <f>IFERROR(SUMIFS('Base bordo'!G$2:G$746,'Base bordo'!C$2:C$746,A1090,'Base bordo'!B$2:B$746,B1090,'Base bordo'!F$2:F$746,"MAN PREVENTIVA - MECANICA"),0)+IFERROR(SUMIFS('Base bordo'!G$2:G$746,'Base bordo'!C$2:C$746,A1090,'Base bordo'!B$2:B$746,B1090,'Base bordo'!F$2:F$746,"MAN CORRETIVA - MECANICA"),0)</f>
        <v>0</v>
      </c>
      <c r="L1090" s="10">
        <f>IFERROR(SUMIFS('Base bordo'!G$2:G$746,'Base bordo'!C$2:C$746,A1090,'Base bordo'!B$2:B$746,B1090,'Base bordo'!F$2:F$746,"MANUTENCAO - T O"),0)+IFERROR(SUMIFS('Base bordo'!G$2:G$746,'Base bordo'!C$2:C$746,A1090,'Base bordo'!B$2:B$746,B1090,'Base bordo'!F$2:F$746,"MANUTENCAO BORRACHARIA"),0)+IFERROR(SUMIFS('Base bordo'!G$2:G$746,'Base bordo'!C$2:C$746,A1090,'Base bordo'!B$2:B$746,B1090,'Base bordo'!F$2:F$746,"MANUTENCAO EXTERNA  CONCESSIONARIA"),0)+IFERROR(SUMIFS('Base bordo'!G$2:G$746,'Base bordo'!C$2:C$746,A1090,'Base bordo'!B$2:B$746,B1090,'Base bordo'!F$2:F$746,"MANUTENCAO TELEMETRIA"),0)</f>
        <v>0</v>
      </c>
      <c r="M1090" s="10">
        <f>IFERROR(SUMIFS('Base bordo'!G$2:G$746,'Base bordo'!C$2:C$746,A1090,'Base bordo'!B$2:B$746,B1090,'Base bordo'!F$2:F$746,"AGUARDANDO MANUTENCAO"),0)</f>
        <v>0</v>
      </c>
      <c r="N1090" s="10">
        <f>IFERROR(SUMIFS('Base bordo'!G$2:G$746,'Base bordo'!C$2:C$746,A1090,'Base bordo'!B$2:B$746,B1090,'Base bordo'!F$2:F$746,"SEM APONTAMENTO"),0)</f>
        <v>0</v>
      </c>
      <c r="O1090" s="10">
        <f t="shared" si="108"/>
        <v>0</v>
      </c>
      <c r="P1090" s="10">
        <f>IFERROR(SUMIFS('Base bordo'!G$2:G$746,'Base bordo'!C$2:C$746,A1090,'Base bordo'!B$2:B$746,B1090),0)</f>
        <v>4.525555555555556</v>
      </c>
      <c r="Q1090" s="10">
        <f>IFERROR(SUMIFS('Base bordo'!H$2:H$746,'Base bordo'!C$2:C$746,A1090,'Base bordo'!B$2:B$746,B1090,'Base bordo'!F$2:F$746,"DESLOCAMENTO VAZIO"),0)</f>
        <v>278148.95</v>
      </c>
      <c r="R1090" s="10">
        <f>IFERROR(SUMIFS('Base bordo'!I$2:I$746,'Base bordo'!C$2:C$746,A1090,'Base bordo'!B$2:B$746,B1090,'Base bordo'!F$2:F$746,"DESLOCAMENTO VAZIO"),0)</f>
        <v>8320</v>
      </c>
      <c r="S1090" s="30">
        <f t="shared" si="109"/>
        <v>33.431364182692306</v>
      </c>
      <c r="T1090" s="10">
        <f>IFERROR(SUMIFS('Base bordo'!H$2:H$746,'Base bordo'!C$2:C$746,A1090,'Base bordo'!B$2:B$746,B1090,'Base bordo'!F$2:F$746,"DESLOCAMENTO CARREGADO"),0)</f>
        <v>177737.80000000002</v>
      </c>
      <c r="U1090" s="10">
        <f>IFERROR(SUMIFS('Base bordo'!I$2:I$746,'Base bordo'!C$2:C$746,A1090,'Base bordo'!B$2:B$746,B1090,'Base bordo'!F$2:F$746,"DESLOCAMENTO CARREGADO"),0)</f>
        <v>6683</v>
      </c>
      <c r="V1090" s="30">
        <f t="shared" si="110"/>
        <v>26.595510998054767</v>
      </c>
      <c r="W1090" s="9">
        <f t="shared" si="111"/>
        <v>0.51068008838693824</v>
      </c>
      <c r="X1090" s="9">
        <f t="shared" si="112"/>
        <v>0.41081512398723297</v>
      </c>
      <c r="Y1090" s="9">
        <f t="shared" si="113"/>
        <v>7.8504787625828687E-2</v>
      </c>
    </row>
    <row r="1091" spans="1:25" ht="15" customHeight="1" x14ac:dyDescent="0.35">
      <c r="A1091" s="52">
        <v>8013465</v>
      </c>
      <c r="B1091" s="51">
        <v>46123</v>
      </c>
      <c r="C1091" s="7" t="s">
        <v>124</v>
      </c>
      <c r="D1091" s="10">
        <f>IFERROR(SUMIFS('Base bordo'!G$2:G$746,'Base bordo'!C$2:C$746,A1091,'Base bordo'!B$2:B$746,B1091,'Base bordo'!F$2:F$746,"DESLOCAMENTO VAZIO"),0)</f>
        <v>2.3111111111111109</v>
      </c>
      <c r="E1091" s="10">
        <f>IFERROR(SUMIFS('Base bordo'!G$2:G$746,'Base bordo'!C$2:C$746,A1091,'Base bordo'!B$2:B$746,B1091,'Base bordo'!F$2:F$746,"DESLOCAMENTO CARREGADO"),0)</f>
        <v>1.8591666666666666</v>
      </c>
      <c r="F1091" s="10">
        <f>IFERROR(SUMIFS('Base bordo'!G$2:G$746,'Base bordo'!C$2:C$746,A1091,'Base bordo'!B$2:B$746,B1091,'Base bordo'!F$2:F$746,"DESLOCAMENTO"),0)</f>
        <v>0</v>
      </c>
      <c r="G1091" s="10">
        <f>IFERROR(SUMIFS('Base bordo'!G$2:G$746,'Base bordo'!C$2:C$746,A1091,'Base bordo'!B$2:B$746,B1091,'Base bordo'!F$2:F$746,"CARREGAMENTO"),0)</f>
        <v>0</v>
      </c>
      <c r="H1091" s="10">
        <f>IFERROR(SUMIFS('Base bordo'!G$2:G$746,'Base bordo'!C$2:C$746,A1091,'Base bordo'!B$2:B$746,B1091,'Base bordo'!F$2:F$746,"AGUARDANDO TRANSBORDO"),0)</f>
        <v>0.3552777777777778</v>
      </c>
      <c r="I1091" s="10">
        <f>IFERROR(SUMIFS('Base bordo'!G$2:G$746,'Base bordo'!C$2:C$746,A1091,'Base bordo'!B$2:B$746,B1091,'Base bordo'!F$2:F$746,"PÁTIO INTERNO"),0)+IFERROR(SUMIFS('Base bordo'!G$2:G$746,'Base bordo'!C$2:C$746,A1091,'Base bordo'!B$2:B$746,B1091,'Base bordo'!F$2:F$746,"PÁTIO EXTERNO"),0)+IFERROR(SUMIFS('Base bordo'!G$2:G$746,'Base bordo'!C$2:C$746,A1091,'Base bordo'!B$2:B$746,B1091,'Base bordo'!F$2:F$746,"PATIO - RESERVA"),0)+IFERROR(SUMIFS('Base bordo'!G$2:G$746,'Base bordo'!C$2:C$746,A1091,'Base bordo'!B$2:B$746,B1091,'Base bordo'!F$2:F$746,"MANOBRA CARRETAS-PATIO"),0)</f>
        <v>0</v>
      </c>
      <c r="J1091" s="10">
        <f>IFERROR(SUMIFS('Base bordo'!G$2:G$746,'Base bordo'!C$2:C$746,A1091,'Base bordo'!B$2:B$746,B1091,'Base bordo'!F$2:F$746,"BALANÇA - ENTRADA"),0)+IFERROR(SUMIFS('Base bordo'!G$2:G$746,'Base bordo'!C$2:C$746,A1091,'Base bordo'!B$2:B$746,B1091,'Base bordo'!F$2:F$746,"BALANÇA - SAÍDA"),0)</f>
        <v>0</v>
      </c>
      <c r="K1091" s="10">
        <f>IFERROR(SUMIFS('Base bordo'!G$2:G$746,'Base bordo'!C$2:C$746,A1091,'Base bordo'!B$2:B$746,B1091,'Base bordo'!F$2:F$746,"MAN PREVENTIVA - MECANICA"),0)+IFERROR(SUMIFS('Base bordo'!G$2:G$746,'Base bordo'!C$2:C$746,A1091,'Base bordo'!B$2:B$746,B1091,'Base bordo'!F$2:F$746,"MAN CORRETIVA - MECANICA"),0)</f>
        <v>0</v>
      </c>
      <c r="L1091" s="10">
        <f>IFERROR(SUMIFS('Base bordo'!G$2:G$746,'Base bordo'!C$2:C$746,A1091,'Base bordo'!B$2:B$746,B1091,'Base bordo'!F$2:F$746,"MANUTENCAO - T O"),0)+IFERROR(SUMIFS('Base bordo'!G$2:G$746,'Base bordo'!C$2:C$746,A1091,'Base bordo'!B$2:B$746,B1091,'Base bordo'!F$2:F$746,"MANUTENCAO BORRACHARIA"),0)+IFERROR(SUMIFS('Base bordo'!G$2:G$746,'Base bordo'!C$2:C$746,A1091,'Base bordo'!B$2:B$746,B1091,'Base bordo'!F$2:F$746,"MANUTENCAO EXTERNA  CONCESSIONARIA"),0)+IFERROR(SUMIFS('Base bordo'!G$2:G$746,'Base bordo'!C$2:C$746,A1091,'Base bordo'!B$2:B$746,B1091,'Base bordo'!F$2:F$746,"MANUTENCAO TELEMETRIA"),0)</f>
        <v>0</v>
      </c>
      <c r="M1091" s="10">
        <f>IFERROR(SUMIFS('Base bordo'!G$2:G$746,'Base bordo'!C$2:C$746,A1091,'Base bordo'!B$2:B$746,B1091,'Base bordo'!F$2:F$746,"AGUARDANDO MANUTENCAO"),0)</f>
        <v>0</v>
      </c>
      <c r="N1091" s="10">
        <f>IFERROR(SUMIFS('Base bordo'!G$2:G$746,'Base bordo'!C$2:C$746,A1091,'Base bordo'!B$2:B$746,B1091,'Base bordo'!F$2:F$746,"SEM APONTAMENTO"),0)</f>
        <v>0</v>
      </c>
      <c r="O1091" s="10">
        <f t="shared" si="108"/>
        <v>0</v>
      </c>
      <c r="P1091" s="10">
        <f>IFERROR(SUMIFS('Base bordo'!G$2:G$746,'Base bordo'!C$2:C$746,A1091,'Base bordo'!B$2:B$746,B1091),0)</f>
        <v>4.525555555555556</v>
      </c>
      <c r="Q1091" s="10">
        <f>IFERROR(SUMIFS('Base bordo'!H$2:H$746,'Base bordo'!C$2:C$746,A1091,'Base bordo'!B$2:B$746,B1091,'Base bordo'!F$2:F$746,"DESLOCAMENTO VAZIO"),0)</f>
        <v>278148.95</v>
      </c>
      <c r="R1091" s="10">
        <f>IFERROR(SUMIFS('Base bordo'!I$2:I$746,'Base bordo'!C$2:C$746,A1091,'Base bordo'!B$2:B$746,B1091,'Base bordo'!F$2:F$746,"DESLOCAMENTO VAZIO"),0)</f>
        <v>8320</v>
      </c>
      <c r="S1091" s="30">
        <f t="shared" si="109"/>
        <v>33.431364182692306</v>
      </c>
      <c r="T1091" s="10">
        <f>IFERROR(SUMIFS('Base bordo'!H$2:H$746,'Base bordo'!C$2:C$746,A1091,'Base bordo'!B$2:B$746,B1091,'Base bordo'!F$2:F$746,"DESLOCAMENTO CARREGADO"),0)</f>
        <v>177737.80000000002</v>
      </c>
      <c r="U1091" s="10">
        <f>IFERROR(SUMIFS('Base bordo'!I$2:I$746,'Base bordo'!C$2:C$746,A1091,'Base bordo'!B$2:B$746,B1091,'Base bordo'!F$2:F$746,"DESLOCAMENTO CARREGADO"),0)</f>
        <v>6683</v>
      </c>
      <c r="V1091" s="30">
        <f t="shared" si="110"/>
        <v>26.595510998054767</v>
      </c>
      <c r="W1091" s="9">
        <f t="shared" si="111"/>
        <v>0.51068008838693824</v>
      </c>
      <c r="X1091" s="9">
        <f t="shared" si="112"/>
        <v>0.41081512398723297</v>
      </c>
      <c r="Y1091" s="9">
        <f t="shared" si="113"/>
        <v>7.8504787625828687E-2</v>
      </c>
    </row>
    <row r="1092" spans="1:25" ht="15" customHeight="1" x14ac:dyDescent="0.35">
      <c r="A1092" s="52">
        <v>8013465</v>
      </c>
      <c r="B1092" s="51">
        <v>46123</v>
      </c>
      <c r="C1092" s="7" t="s">
        <v>124</v>
      </c>
      <c r="D1092" s="10">
        <f>IFERROR(SUMIFS('Base bordo'!G$2:G$746,'Base bordo'!C$2:C$746,A1092,'Base bordo'!B$2:B$746,B1092,'Base bordo'!F$2:F$746,"DESLOCAMENTO VAZIO"),0)</f>
        <v>2.3111111111111109</v>
      </c>
      <c r="E1092" s="10">
        <f>IFERROR(SUMIFS('Base bordo'!G$2:G$746,'Base bordo'!C$2:C$746,A1092,'Base bordo'!B$2:B$746,B1092,'Base bordo'!F$2:F$746,"DESLOCAMENTO CARREGADO"),0)</f>
        <v>1.8591666666666666</v>
      </c>
      <c r="F1092" s="10">
        <f>IFERROR(SUMIFS('Base bordo'!G$2:G$746,'Base bordo'!C$2:C$746,A1092,'Base bordo'!B$2:B$746,B1092,'Base bordo'!F$2:F$746,"DESLOCAMENTO"),0)</f>
        <v>0</v>
      </c>
      <c r="G1092" s="10">
        <f>IFERROR(SUMIFS('Base bordo'!G$2:G$746,'Base bordo'!C$2:C$746,A1092,'Base bordo'!B$2:B$746,B1092,'Base bordo'!F$2:F$746,"CARREGAMENTO"),0)</f>
        <v>0</v>
      </c>
      <c r="H1092" s="10">
        <f>IFERROR(SUMIFS('Base bordo'!G$2:G$746,'Base bordo'!C$2:C$746,A1092,'Base bordo'!B$2:B$746,B1092,'Base bordo'!F$2:F$746,"AGUARDANDO TRANSBORDO"),0)</f>
        <v>0.3552777777777778</v>
      </c>
      <c r="I1092" s="10">
        <f>IFERROR(SUMIFS('Base bordo'!G$2:G$746,'Base bordo'!C$2:C$746,A1092,'Base bordo'!B$2:B$746,B1092,'Base bordo'!F$2:F$746,"PÁTIO INTERNO"),0)+IFERROR(SUMIFS('Base bordo'!G$2:G$746,'Base bordo'!C$2:C$746,A1092,'Base bordo'!B$2:B$746,B1092,'Base bordo'!F$2:F$746,"PÁTIO EXTERNO"),0)+IFERROR(SUMIFS('Base bordo'!G$2:G$746,'Base bordo'!C$2:C$746,A1092,'Base bordo'!B$2:B$746,B1092,'Base bordo'!F$2:F$746,"PATIO - RESERVA"),0)+IFERROR(SUMIFS('Base bordo'!G$2:G$746,'Base bordo'!C$2:C$746,A1092,'Base bordo'!B$2:B$746,B1092,'Base bordo'!F$2:F$746,"MANOBRA CARRETAS-PATIO"),0)</f>
        <v>0</v>
      </c>
      <c r="J1092" s="10">
        <f>IFERROR(SUMIFS('Base bordo'!G$2:G$746,'Base bordo'!C$2:C$746,A1092,'Base bordo'!B$2:B$746,B1092,'Base bordo'!F$2:F$746,"BALANÇA - ENTRADA"),0)+IFERROR(SUMIFS('Base bordo'!G$2:G$746,'Base bordo'!C$2:C$746,A1092,'Base bordo'!B$2:B$746,B1092,'Base bordo'!F$2:F$746,"BALANÇA - SAÍDA"),0)</f>
        <v>0</v>
      </c>
      <c r="K1092" s="10">
        <f>IFERROR(SUMIFS('Base bordo'!G$2:G$746,'Base bordo'!C$2:C$746,A1092,'Base bordo'!B$2:B$746,B1092,'Base bordo'!F$2:F$746,"MAN PREVENTIVA - MECANICA"),0)+IFERROR(SUMIFS('Base bordo'!G$2:G$746,'Base bordo'!C$2:C$746,A1092,'Base bordo'!B$2:B$746,B1092,'Base bordo'!F$2:F$746,"MAN CORRETIVA - MECANICA"),0)</f>
        <v>0</v>
      </c>
      <c r="L1092" s="10">
        <f>IFERROR(SUMIFS('Base bordo'!G$2:G$746,'Base bordo'!C$2:C$746,A1092,'Base bordo'!B$2:B$746,B1092,'Base bordo'!F$2:F$746,"MANUTENCAO - T O"),0)+IFERROR(SUMIFS('Base bordo'!G$2:G$746,'Base bordo'!C$2:C$746,A1092,'Base bordo'!B$2:B$746,B1092,'Base bordo'!F$2:F$746,"MANUTENCAO BORRACHARIA"),0)+IFERROR(SUMIFS('Base bordo'!G$2:G$746,'Base bordo'!C$2:C$746,A1092,'Base bordo'!B$2:B$746,B1092,'Base bordo'!F$2:F$746,"MANUTENCAO EXTERNA  CONCESSIONARIA"),0)+IFERROR(SUMIFS('Base bordo'!G$2:G$746,'Base bordo'!C$2:C$746,A1092,'Base bordo'!B$2:B$746,B1092,'Base bordo'!F$2:F$746,"MANUTENCAO TELEMETRIA"),0)</f>
        <v>0</v>
      </c>
      <c r="M1092" s="10">
        <f>IFERROR(SUMIFS('Base bordo'!G$2:G$746,'Base bordo'!C$2:C$746,A1092,'Base bordo'!B$2:B$746,B1092,'Base bordo'!F$2:F$746,"AGUARDANDO MANUTENCAO"),0)</f>
        <v>0</v>
      </c>
      <c r="N1092" s="10">
        <f>IFERROR(SUMIFS('Base bordo'!G$2:G$746,'Base bordo'!C$2:C$746,A1092,'Base bordo'!B$2:B$746,B1092,'Base bordo'!F$2:F$746,"SEM APONTAMENTO"),0)</f>
        <v>0</v>
      </c>
      <c r="O1092" s="10">
        <f t="shared" si="108"/>
        <v>0</v>
      </c>
      <c r="P1092" s="10">
        <f>IFERROR(SUMIFS('Base bordo'!G$2:G$746,'Base bordo'!C$2:C$746,A1092,'Base bordo'!B$2:B$746,B1092),0)</f>
        <v>4.525555555555556</v>
      </c>
      <c r="Q1092" s="10">
        <f>IFERROR(SUMIFS('Base bordo'!H$2:H$746,'Base bordo'!C$2:C$746,A1092,'Base bordo'!B$2:B$746,B1092,'Base bordo'!F$2:F$746,"DESLOCAMENTO VAZIO"),0)</f>
        <v>278148.95</v>
      </c>
      <c r="R1092" s="10">
        <f>IFERROR(SUMIFS('Base bordo'!I$2:I$746,'Base bordo'!C$2:C$746,A1092,'Base bordo'!B$2:B$746,B1092,'Base bordo'!F$2:F$746,"DESLOCAMENTO VAZIO"),0)</f>
        <v>8320</v>
      </c>
      <c r="S1092" s="30">
        <f t="shared" si="109"/>
        <v>33.431364182692306</v>
      </c>
      <c r="T1092" s="10">
        <f>IFERROR(SUMIFS('Base bordo'!H$2:H$746,'Base bordo'!C$2:C$746,A1092,'Base bordo'!B$2:B$746,B1092,'Base bordo'!F$2:F$746,"DESLOCAMENTO CARREGADO"),0)</f>
        <v>177737.80000000002</v>
      </c>
      <c r="U1092" s="10">
        <f>IFERROR(SUMIFS('Base bordo'!I$2:I$746,'Base bordo'!C$2:C$746,A1092,'Base bordo'!B$2:B$746,B1092,'Base bordo'!F$2:F$746,"DESLOCAMENTO CARREGADO"),0)</f>
        <v>6683</v>
      </c>
      <c r="V1092" s="30">
        <f t="shared" si="110"/>
        <v>26.595510998054767</v>
      </c>
      <c r="W1092" s="9">
        <f t="shared" si="111"/>
        <v>0.51068008838693824</v>
      </c>
      <c r="X1092" s="9">
        <f t="shared" si="112"/>
        <v>0.41081512398723297</v>
      </c>
      <c r="Y1092" s="9">
        <f t="shared" si="113"/>
        <v>7.8504787625828687E-2</v>
      </c>
    </row>
    <row r="1093" spans="1:25" ht="15" customHeight="1" x14ac:dyDescent="0.35">
      <c r="A1093" s="52">
        <v>8013465</v>
      </c>
      <c r="B1093" s="51">
        <v>46123</v>
      </c>
      <c r="C1093" s="7" t="s">
        <v>124</v>
      </c>
      <c r="D1093" s="10">
        <f>IFERROR(SUMIFS('Base bordo'!G$2:G$746,'Base bordo'!C$2:C$746,A1093,'Base bordo'!B$2:B$746,B1093,'Base bordo'!F$2:F$746,"DESLOCAMENTO VAZIO"),0)</f>
        <v>2.3111111111111109</v>
      </c>
      <c r="E1093" s="10">
        <f>IFERROR(SUMIFS('Base bordo'!G$2:G$746,'Base bordo'!C$2:C$746,A1093,'Base bordo'!B$2:B$746,B1093,'Base bordo'!F$2:F$746,"DESLOCAMENTO CARREGADO"),0)</f>
        <v>1.8591666666666666</v>
      </c>
      <c r="F1093" s="10">
        <f>IFERROR(SUMIFS('Base bordo'!G$2:G$746,'Base bordo'!C$2:C$746,A1093,'Base bordo'!B$2:B$746,B1093,'Base bordo'!F$2:F$746,"DESLOCAMENTO"),0)</f>
        <v>0</v>
      </c>
      <c r="G1093" s="10">
        <f>IFERROR(SUMIFS('Base bordo'!G$2:G$746,'Base bordo'!C$2:C$746,A1093,'Base bordo'!B$2:B$746,B1093,'Base bordo'!F$2:F$746,"CARREGAMENTO"),0)</f>
        <v>0</v>
      </c>
      <c r="H1093" s="10">
        <f>IFERROR(SUMIFS('Base bordo'!G$2:G$746,'Base bordo'!C$2:C$746,A1093,'Base bordo'!B$2:B$746,B1093,'Base bordo'!F$2:F$746,"AGUARDANDO TRANSBORDO"),0)</f>
        <v>0.3552777777777778</v>
      </c>
      <c r="I1093" s="10">
        <f>IFERROR(SUMIFS('Base bordo'!G$2:G$746,'Base bordo'!C$2:C$746,A1093,'Base bordo'!B$2:B$746,B1093,'Base bordo'!F$2:F$746,"PÁTIO INTERNO"),0)+IFERROR(SUMIFS('Base bordo'!G$2:G$746,'Base bordo'!C$2:C$746,A1093,'Base bordo'!B$2:B$746,B1093,'Base bordo'!F$2:F$746,"PÁTIO EXTERNO"),0)+IFERROR(SUMIFS('Base bordo'!G$2:G$746,'Base bordo'!C$2:C$746,A1093,'Base bordo'!B$2:B$746,B1093,'Base bordo'!F$2:F$746,"PATIO - RESERVA"),0)+IFERROR(SUMIFS('Base bordo'!G$2:G$746,'Base bordo'!C$2:C$746,A1093,'Base bordo'!B$2:B$746,B1093,'Base bordo'!F$2:F$746,"MANOBRA CARRETAS-PATIO"),0)</f>
        <v>0</v>
      </c>
      <c r="J1093" s="10">
        <f>IFERROR(SUMIFS('Base bordo'!G$2:G$746,'Base bordo'!C$2:C$746,A1093,'Base bordo'!B$2:B$746,B1093,'Base bordo'!F$2:F$746,"BALANÇA - ENTRADA"),0)+IFERROR(SUMIFS('Base bordo'!G$2:G$746,'Base bordo'!C$2:C$746,A1093,'Base bordo'!B$2:B$746,B1093,'Base bordo'!F$2:F$746,"BALANÇA - SAÍDA"),0)</f>
        <v>0</v>
      </c>
      <c r="K1093" s="10">
        <f>IFERROR(SUMIFS('Base bordo'!G$2:G$746,'Base bordo'!C$2:C$746,A1093,'Base bordo'!B$2:B$746,B1093,'Base bordo'!F$2:F$746,"MAN PREVENTIVA - MECANICA"),0)+IFERROR(SUMIFS('Base bordo'!G$2:G$746,'Base bordo'!C$2:C$746,A1093,'Base bordo'!B$2:B$746,B1093,'Base bordo'!F$2:F$746,"MAN CORRETIVA - MECANICA"),0)</f>
        <v>0</v>
      </c>
      <c r="L1093" s="10">
        <f>IFERROR(SUMIFS('Base bordo'!G$2:G$746,'Base bordo'!C$2:C$746,A1093,'Base bordo'!B$2:B$746,B1093,'Base bordo'!F$2:F$746,"MANUTENCAO - T O"),0)+IFERROR(SUMIFS('Base bordo'!G$2:G$746,'Base bordo'!C$2:C$746,A1093,'Base bordo'!B$2:B$746,B1093,'Base bordo'!F$2:F$746,"MANUTENCAO BORRACHARIA"),0)+IFERROR(SUMIFS('Base bordo'!G$2:G$746,'Base bordo'!C$2:C$746,A1093,'Base bordo'!B$2:B$746,B1093,'Base bordo'!F$2:F$746,"MANUTENCAO EXTERNA  CONCESSIONARIA"),0)+IFERROR(SUMIFS('Base bordo'!G$2:G$746,'Base bordo'!C$2:C$746,A1093,'Base bordo'!B$2:B$746,B1093,'Base bordo'!F$2:F$746,"MANUTENCAO TELEMETRIA"),0)</f>
        <v>0</v>
      </c>
      <c r="M1093" s="10">
        <f>IFERROR(SUMIFS('Base bordo'!G$2:G$746,'Base bordo'!C$2:C$746,A1093,'Base bordo'!B$2:B$746,B1093,'Base bordo'!F$2:F$746,"AGUARDANDO MANUTENCAO"),0)</f>
        <v>0</v>
      </c>
      <c r="N1093" s="10">
        <f>IFERROR(SUMIFS('Base bordo'!G$2:G$746,'Base bordo'!C$2:C$746,A1093,'Base bordo'!B$2:B$746,B1093,'Base bordo'!F$2:F$746,"SEM APONTAMENTO"),0)</f>
        <v>0</v>
      </c>
      <c r="O1093" s="10">
        <f t="shared" si="108"/>
        <v>0</v>
      </c>
      <c r="P1093" s="10">
        <f>IFERROR(SUMIFS('Base bordo'!G$2:G$746,'Base bordo'!C$2:C$746,A1093,'Base bordo'!B$2:B$746,B1093),0)</f>
        <v>4.525555555555556</v>
      </c>
      <c r="Q1093" s="10">
        <f>IFERROR(SUMIFS('Base bordo'!H$2:H$746,'Base bordo'!C$2:C$746,A1093,'Base bordo'!B$2:B$746,B1093,'Base bordo'!F$2:F$746,"DESLOCAMENTO VAZIO"),0)</f>
        <v>278148.95</v>
      </c>
      <c r="R1093" s="10">
        <f>IFERROR(SUMIFS('Base bordo'!I$2:I$746,'Base bordo'!C$2:C$746,A1093,'Base bordo'!B$2:B$746,B1093,'Base bordo'!F$2:F$746,"DESLOCAMENTO VAZIO"),0)</f>
        <v>8320</v>
      </c>
      <c r="S1093" s="30">
        <f t="shared" si="109"/>
        <v>33.431364182692306</v>
      </c>
      <c r="T1093" s="10">
        <f>IFERROR(SUMIFS('Base bordo'!H$2:H$746,'Base bordo'!C$2:C$746,A1093,'Base bordo'!B$2:B$746,B1093,'Base bordo'!F$2:F$746,"DESLOCAMENTO CARREGADO"),0)</f>
        <v>177737.80000000002</v>
      </c>
      <c r="U1093" s="10">
        <f>IFERROR(SUMIFS('Base bordo'!I$2:I$746,'Base bordo'!C$2:C$746,A1093,'Base bordo'!B$2:B$746,B1093,'Base bordo'!F$2:F$746,"DESLOCAMENTO CARREGADO"),0)</f>
        <v>6683</v>
      </c>
      <c r="V1093" s="30">
        <f t="shared" si="110"/>
        <v>26.595510998054767</v>
      </c>
      <c r="W1093" s="9">
        <f t="shared" si="111"/>
        <v>0.51068008838693824</v>
      </c>
      <c r="X1093" s="9">
        <f t="shared" si="112"/>
        <v>0.41081512398723297</v>
      </c>
      <c r="Y1093" s="9">
        <f t="shared" si="113"/>
        <v>7.8504787625828687E-2</v>
      </c>
    </row>
    <row r="1094" spans="1:25" ht="15" customHeight="1" x14ac:dyDescent="0.35">
      <c r="A1094" s="52">
        <v>8013465</v>
      </c>
      <c r="B1094" s="51">
        <v>46123</v>
      </c>
      <c r="C1094" s="7" t="s">
        <v>124</v>
      </c>
      <c r="D1094" s="10">
        <f>IFERROR(SUMIFS('Base bordo'!G$2:G$746,'Base bordo'!C$2:C$746,A1094,'Base bordo'!B$2:B$746,B1094,'Base bordo'!F$2:F$746,"DESLOCAMENTO VAZIO"),0)</f>
        <v>2.3111111111111109</v>
      </c>
      <c r="E1094" s="10">
        <f>IFERROR(SUMIFS('Base bordo'!G$2:G$746,'Base bordo'!C$2:C$746,A1094,'Base bordo'!B$2:B$746,B1094,'Base bordo'!F$2:F$746,"DESLOCAMENTO CARREGADO"),0)</f>
        <v>1.8591666666666666</v>
      </c>
      <c r="F1094" s="10">
        <f>IFERROR(SUMIFS('Base bordo'!G$2:G$746,'Base bordo'!C$2:C$746,A1094,'Base bordo'!B$2:B$746,B1094,'Base bordo'!F$2:F$746,"DESLOCAMENTO"),0)</f>
        <v>0</v>
      </c>
      <c r="G1094" s="10">
        <f>IFERROR(SUMIFS('Base bordo'!G$2:G$746,'Base bordo'!C$2:C$746,A1094,'Base bordo'!B$2:B$746,B1094,'Base bordo'!F$2:F$746,"CARREGAMENTO"),0)</f>
        <v>0</v>
      </c>
      <c r="H1094" s="10">
        <f>IFERROR(SUMIFS('Base bordo'!G$2:G$746,'Base bordo'!C$2:C$746,A1094,'Base bordo'!B$2:B$746,B1094,'Base bordo'!F$2:F$746,"AGUARDANDO TRANSBORDO"),0)</f>
        <v>0.3552777777777778</v>
      </c>
      <c r="I1094" s="10">
        <f>IFERROR(SUMIFS('Base bordo'!G$2:G$746,'Base bordo'!C$2:C$746,A1094,'Base bordo'!B$2:B$746,B1094,'Base bordo'!F$2:F$746,"PÁTIO INTERNO"),0)+IFERROR(SUMIFS('Base bordo'!G$2:G$746,'Base bordo'!C$2:C$746,A1094,'Base bordo'!B$2:B$746,B1094,'Base bordo'!F$2:F$746,"PÁTIO EXTERNO"),0)+IFERROR(SUMIFS('Base bordo'!G$2:G$746,'Base bordo'!C$2:C$746,A1094,'Base bordo'!B$2:B$746,B1094,'Base bordo'!F$2:F$746,"PATIO - RESERVA"),0)+IFERROR(SUMIFS('Base bordo'!G$2:G$746,'Base bordo'!C$2:C$746,A1094,'Base bordo'!B$2:B$746,B1094,'Base bordo'!F$2:F$746,"MANOBRA CARRETAS-PATIO"),0)</f>
        <v>0</v>
      </c>
      <c r="J1094" s="10">
        <f>IFERROR(SUMIFS('Base bordo'!G$2:G$746,'Base bordo'!C$2:C$746,A1094,'Base bordo'!B$2:B$746,B1094,'Base bordo'!F$2:F$746,"BALANÇA - ENTRADA"),0)+IFERROR(SUMIFS('Base bordo'!G$2:G$746,'Base bordo'!C$2:C$746,A1094,'Base bordo'!B$2:B$746,B1094,'Base bordo'!F$2:F$746,"BALANÇA - SAÍDA"),0)</f>
        <v>0</v>
      </c>
      <c r="K1094" s="10">
        <f>IFERROR(SUMIFS('Base bordo'!G$2:G$746,'Base bordo'!C$2:C$746,A1094,'Base bordo'!B$2:B$746,B1094,'Base bordo'!F$2:F$746,"MAN PREVENTIVA - MECANICA"),0)+IFERROR(SUMIFS('Base bordo'!G$2:G$746,'Base bordo'!C$2:C$746,A1094,'Base bordo'!B$2:B$746,B1094,'Base bordo'!F$2:F$746,"MAN CORRETIVA - MECANICA"),0)</f>
        <v>0</v>
      </c>
      <c r="L1094" s="10">
        <f>IFERROR(SUMIFS('Base bordo'!G$2:G$746,'Base bordo'!C$2:C$746,A1094,'Base bordo'!B$2:B$746,B1094,'Base bordo'!F$2:F$746,"MANUTENCAO - T O"),0)+IFERROR(SUMIFS('Base bordo'!G$2:G$746,'Base bordo'!C$2:C$746,A1094,'Base bordo'!B$2:B$746,B1094,'Base bordo'!F$2:F$746,"MANUTENCAO BORRACHARIA"),0)+IFERROR(SUMIFS('Base bordo'!G$2:G$746,'Base bordo'!C$2:C$746,A1094,'Base bordo'!B$2:B$746,B1094,'Base bordo'!F$2:F$746,"MANUTENCAO EXTERNA  CONCESSIONARIA"),0)+IFERROR(SUMIFS('Base bordo'!G$2:G$746,'Base bordo'!C$2:C$746,A1094,'Base bordo'!B$2:B$746,B1094,'Base bordo'!F$2:F$746,"MANUTENCAO TELEMETRIA"),0)</f>
        <v>0</v>
      </c>
      <c r="M1094" s="10">
        <f>IFERROR(SUMIFS('Base bordo'!G$2:G$746,'Base bordo'!C$2:C$746,A1094,'Base bordo'!B$2:B$746,B1094,'Base bordo'!F$2:F$746,"AGUARDANDO MANUTENCAO"),0)</f>
        <v>0</v>
      </c>
      <c r="N1094" s="10">
        <f>IFERROR(SUMIFS('Base bordo'!G$2:G$746,'Base bordo'!C$2:C$746,A1094,'Base bordo'!B$2:B$746,B1094,'Base bordo'!F$2:F$746,"SEM APONTAMENTO"),0)</f>
        <v>0</v>
      </c>
      <c r="O1094" s="10">
        <f t="shared" si="108"/>
        <v>0</v>
      </c>
      <c r="P1094" s="10">
        <f>IFERROR(SUMIFS('Base bordo'!G$2:G$746,'Base bordo'!C$2:C$746,A1094,'Base bordo'!B$2:B$746,B1094),0)</f>
        <v>4.525555555555556</v>
      </c>
      <c r="Q1094" s="10">
        <f>IFERROR(SUMIFS('Base bordo'!H$2:H$746,'Base bordo'!C$2:C$746,A1094,'Base bordo'!B$2:B$746,B1094,'Base bordo'!F$2:F$746,"DESLOCAMENTO VAZIO"),0)</f>
        <v>278148.95</v>
      </c>
      <c r="R1094" s="10">
        <f>IFERROR(SUMIFS('Base bordo'!I$2:I$746,'Base bordo'!C$2:C$746,A1094,'Base bordo'!B$2:B$746,B1094,'Base bordo'!F$2:F$746,"DESLOCAMENTO VAZIO"),0)</f>
        <v>8320</v>
      </c>
      <c r="S1094" s="30">
        <f t="shared" si="109"/>
        <v>33.431364182692306</v>
      </c>
      <c r="T1094" s="10">
        <f>IFERROR(SUMIFS('Base bordo'!H$2:H$746,'Base bordo'!C$2:C$746,A1094,'Base bordo'!B$2:B$746,B1094,'Base bordo'!F$2:F$746,"DESLOCAMENTO CARREGADO"),0)</f>
        <v>177737.80000000002</v>
      </c>
      <c r="U1094" s="10">
        <f>IFERROR(SUMIFS('Base bordo'!I$2:I$746,'Base bordo'!C$2:C$746,A1094,'Base bordo'!B$2:B$746,B1094,'Base bordo'!F$2:F$746,"DESLOCAMENTO CARREGADO"),0)</f>
        <v>6683</v>
      </c>
      <c r="V1094" s="30">
        <f t="shared" si="110"/>
        <v>26.595510998054767</v>
      </c>
      <c r="W1094" s="9">
        <f t="shared" si="111"/>
        <v>0.51068008838693824</v>
      </c>
      <c r="X1094" s="9">
        <f t="shared" si="112"/>
        <v>0.41081512398723297</v>
      </c>
      <c r="Y1094" s="9">
        <f t="shared" si="113"/>
        <v>7.8504787625828687E-2</v>
      </c>
    </row>
    <row r="1095" spans="1:25" ht="15" customHeight="1" x14ac:dyDescent="0.35">
      <c r="A1095" s="52">
        <v>8013465</v>
      </c>
      <c r="B1095" s="51">
        <v>46123</v>
      </c>
      <c r="C1095" s="7" t="s">
        <v>124</v>
      </c>
      <c r="D1095" s="10">
        <f>IFERROR(SUMIFS('Base bordo'!G$2:G$746,'Base bordo'!C$2:C$746,A1095,'Base bordo'!B$2:B$746,B1095,'Base bordo'!F$2:F$746,"DESLOCAMENTO VAZIO"),0)</f>
        <v>2.3111111111111109</v>
      </c>
      <c r="E1095" s="10">
        <f>IFERROR(SUMIFS('Base bordo'!G$2:G$746,'Base bordo'!C$2:C$746,A1095,'Base bordo'!B$2:B$746,B1095,'Base bordo'!F$2:F$746,"DESLOCAMENTO CARREGADO"),0)</f>
        <v>1.8591666666666666</v>
      </c>
      <c r="F1095" s="10">
        <f>IFERROR(SUMIFS('Base bordo'!G$2:G$746,'Base bordo'!C$2:C$746,A1095,'Base bordo'!B$2:B$746,B1095,'Base bordo'!F$2:F$746,"DESLOCAMENTO"),0)</f>
        <v>0</v>
      </c>
      <c r="G1095" s="10">
        <f>IFERROR(SUMIFS('Base bordo'!G$2:G$746,'Base bordo'!C$2:C$746,A1095,'Base bordo'!B$2:B$746,B1095,'Base bordo'!F$2:F$746,"CARREGAMENTO"),0)</f>
        <v>0</v>
      </c>
      <c r="H1095" s="10">
        <f>IFERROR(SUMIFS('Base bordo'!G$2:G$746,'Base bordo'!C$2:C$746,A1095,'Base bordo'!B$2:B$746,B1095,'Base bordo'!F$2:F$746,"AGUARDANDO TRANSBORDO"),0)</f>
        <v>0.3552777777777778</v>
      </c>
      <c r="I1095" s="10">
        <f>IFERROR(SUMIFS('Base bordo'!G$2:G$746,'Base bordo'!C$2:C$746,A1095,'Base bordo'!B$2:B$746,B1095,'Base bordo'!F$2:F$746,"PÁTIO INTERNO"),0)+IFERROR(SUMIFS('Base bordo'!G$2:G$746,'Base bordo'!C$2:C$746,A1095,'Base bordo'!B$2:B$746,B1095,'Base bordo'!F$2:F$746,"PÁTIO EXTERNO"),0)+IFERROR(SUMIFS('Base bordo'!G$2:G$746,'Base bordo'!C$2:C$746,A1095,'Base bordo'!B$2:B$746,B1095,'Base bordo'!F$2:F$746,"PATIO - RESERVA"),0)+IFERROR(SUMIFS('Base bordo'!G$2:G$746,'Base bordo'!C$2:C$746,A1095,'Base bordo'!B$2:B$746,B1095,'Base bordo'!F$2:F$746,"MANOBRA CARRETAS-PATIO"),0)</f>
        <v>0</v>
      </c>
      <c r="J1095" s="10">
        <f>IFERROR(SUMIFS('Base bordo'!G$2:G$746,'Base bordo'!C$2:C$746,A1095,'Base bordo'!B$2:B$746,B1095,'Base bordo'!F$2:F$746,"BALANÇA - ENTRADA"),0)+IFERROR(SUMIFS('Base bordo'!G$2:G$746,'Base bordo'!C$2:C$746,A1095,'Base bordo'!B$2:B$746,B1095,'Base bordo'!F$2:F$746,"BALANÇA - SAÍDA"),0)</f>
        <v>0</v>
      </c>
      <c r="K1095" s="10">
        <f>IFERROR(SUMIFS('Base bordo'!G$2:G$746,'Base bordo'!C$2:C$746,A1095,'Base bordo'!B$2:B$746,B1095,'Base bordo'!F$2:F$746,"MAN PREVENTIVA - MECANICA"),0)+IFERROR(SUMIFS('Base bordo'!G$2:G$746,'Base bordo'!C$2:C$746,A1095,'Base bordo'!B$2:B$746,B1095,'Base bordo'!F$2:F$746,"MAN CORRETIVA - MECANICA"),0)</f>
        <v>0</v>
      </c>
      <c r="L1095" s="10">
        <f>IFERROR(SUMIFS('Base bordo'!G$2:G$746,'Base bordo'!C$2:C$746,A1095,'Base bordo'!B$2:B$746,B1095,'Base bordo'!F$2:F$746,"MANUTENCAO - T O"),0)+IFERROR(SUMIFS('Base bordo'!G$2:G$746,'Base bordo'!C$2:C$746,A1095,'Base bordo'!B$2:B$746,B1095,'Base bordo'!F$2:F$746,"MANUTENCAO BORRACHARIA"),0)+IFERROR(SUMIFS('Base bordo'!G$2:G$746,'Base bordo'!C$2:C$746,A1095,'Base bordo'!B$2:B$746,B1095,'Base bordo'!F$2:F$746,"MANUTENCAO EXTERNA  CONCESSIONARIA"),0)+IFERROR(SUMIFS('Base bordo'!G$2:G$746,'Base bordo'!C$2:C$746,A1095,'Base bordo'!B$2:B$746,B1095,'Base bordo'!F$2:F$746,"MANUTENCAO TELEMETRIA"),0)</f>
        <v>0</v>
      </c>
      <c r="M1095" s="10">
        <f>IFERROR(SUMIFS('Base bordo'!G$2:G$746,'Base bordo'!C$2:C$746,A1095,'Base bordo'!B$2:B$746,B1095,'Base bordo'!F$2:F$746,"AGUARDANDO MANUTENCAO"),0)</f>
        <v>0</v>
      </c>
      <c r="N1095" s="10">
        <f>IFERROR(SUMIFS('Base bordo'!G$2:G$746,'Base bordo'!C$2:C$746,A1095,'Base bordo'!B$2:B$746,B1095,'Base bordo'!F$2:F$746,"SEM APONTAMENTO"),0)</f>
        <v>0</v>
      </c>
      <c r="O1095" s="10">
        <f t="shared" si="108"/>
        <v>0</v>
      </c>
      <c r="P1095" s="10">
        <f>IFERROR(SUMIFS('Base bordo'!G$2:G$746,'Base bordo'!C$2:C$746,A1095,'Base bordo'!B$2:B$746,B1095),0)</f>
        <v>4.525555555555556</v>
      </c>
      <c r="Q1095" s="10">
        <f>IFERROR(SUMIFS('Base bordo'!H$2:H$746,'Base bordo'!C$2:C$746,A1095,'Base bordo'!B$2:B$746,B1095,'Base bordo'!F$2:F$746,"DESLOCAMENTO VAZIO"),0)</f>
        <v>278148.95</v>
      </c>
      <c r="R1095" s="10">
        <f>IFERROR(SUMIFS('Base bordo'!I$2:I$746,'Base bordo'!C$2:C$746,A1095,'Base bordo'!B$2:B$746,B1095,'Base bordo'!F$2:F$746,"DESLOCAMENTO VAZIO"),0)</f>
        <v>8320</v>
      </c>
      <c r="S1095" s="30">
        <f t="shared" si="109"/>
        <v>33.431364182692306</v>
      </c>
      <c r="T1095" s="10">
        <f>IFERROR(SUMIFS('Base bordo'!H$2:H$746,'Base bordo'!C$2:C$746,A1095,'Base bordo'!B$2:B$746,B1095,'Base bordo'!F$2:F$746,"DESLOCAMENTO CARREGADO"),0)</f>
        <v>177737.80000000002</v>
      </c>
      <c r="U1095" s="10">
        <f>IFERROR(SUMIFS('Base bordo'!I$2:I$746,'Base bordo'!C$2:C$746,A1095,'Base bordo'!B$2:B$746,B1095,'Base bordo'!F$2:F$746,"DESLOCAMENTO CARREGADO"),0)</f>
        <v>6683</v>
      </c>
      <c r="V1095" s="30">
        <f t="shared" si="110"/>
        <v>26.595510998054767</v>
      </c>
      <c r="W1095" s="9">
        <f t="shared" si="111"/>
        <v>0.51068008838693824</v>
      </c>
      <c r="X1095" s="9">
        <f t="shared" si="112"/>
        <v>0.41081512398723297</v>
      </c>
      <c r="Y1095" s="9">
        <f t="shared" si="113"/>
        <v>7.8504787625828687E-2</v>
      </c>
    </row>
    <row r="1096" spans="1:25" ht="15" customHeight="1" x14ac:dyDescent="0.35">
      <c r="A1096" s="52">
        <v>8013465</v>
      </c>
      <c r="B1096" s="51">
        <v>46123</v>
      </c>
      <c r="C1096" s="7" t="s">
        <v>124</v>
      </c>
      <c r="D1096" s="10">
        <f>IFERROR(SUMIFS('Base bordo'!G$2:G$746,'Base bordo'!C$2:C$746,A1096,'Base bordo'!B$2:B$746,B1096,'Base bordo'!F$2:F$746,"DESLOCAMENTO VAZIO"),0)</f>
        <v>2.3111111111111109</v>
      </c>
      <c r="E1096" s="10">
        <f>IFERROR(SUMIFS('Base bordo'!G$2:G$746,'Base bordo'!C$2:C$746,A1096,'Base bordo'!B$2:B$746,B1096,'Base bordo'!F$2:F$746,"DESLOCAMENTO CARREGADO"),0)</f>
        <v>1.8591666666666666</v>
      </c>
      <c r="F1096" s="10">
        <f>IFERROR(SUMIFS('Base bordo'!G$2:G$746,'Base bordo'!C$2:C$746,A1096,'Base bordo'!B$2:B$746,B1096,'Base bordo'!F$2:F$746,"DESLOCAMENTO"),0)</f>
        <v>0</v>
      </c>
      <c r="G1096" s="10">
        <f>IFERROR(SUMIFS('Base bordo'!G$2:G$746,'Base bordo'!C$2:C$746,A1096,'Base bordo'!B$2:B$746,B1096,'Base bordo'!F$2:F$746,"CARREGAMENTO"),0)</f>
        <v>0</v>
      </c>
      <c r="H1096" s="10">
        <f>IFERROR(SUMIFS('Base bordo'!G$2:G$746,'Base bordo'!C$2:C$746,A1096,'Base bordo'!B$2:B$746,B1096,'Base bordo'!F$2:F$746,"AGUARDANDO TRANSBORDO"),0)</f>
        <v>0.3552777777777778</v>
      </c>
      <c r="I1096" s="10">
        <f>IFERROR(SUMIFS('Base bordo'!G$2:G$746,'Base bordo'!C$2:C$746,A1096,'Base bordo'!B$2:B$746,B1096,'Base bordo'!F$2:F$746,"PÁTIO INTERNO"),0)+IFERROR(SUMIFS('Base bordo'!G$2:G$746,'Base bordo'!C$2:C$746,A1096,'Base bordo'!B$2:B$746,B1096,'Base bordo'!F$2:F$746,"PÁTIO EXTERNO"),0)+IFERROR(SUMIFS('Base bordo'!G$2:G$746,'Base bordo'!C$2:C$746,A1096,'Base bordo'!B$2:B$746,B1096,'Base bordo'!F$2:F$746,"PATIO - RESERVA"),0)+IFERROR(SUMIFS('Base bordo'!G$2:G$746,'Base bordo'!C$2:C$746,A1096,'Base bordo'!B$2:B$746,B1096,'Base bordo'!F$2:F$746,"MANOBRA CARRETAS-PATIO"),0)</f>
        <v>0</v>
      </c>
      <c r="J1096" s="10">
        <f>IFERROR(SUMIFS('Base bordo'!G$2:G$746,'Base bordo'!C$2:C$746,A1096,'Base bordo'!B$2:B$746,B1096,'Base bordo'!F$2:F$746,"BALANÇA - ENTRADA"),0)+IFERROR(SUMIFS('Base bordo'!G$2:G$746,'Base bordo'!C$2:C$746,A1096,'Base bordo'!B$2:B$746,B1096,'Base bordo'!F$2:F$746,"BALANÇA - SAÍDA"),0)</f>
        <v>0</v>
      </c>
      <c r="K1096" s="10">
        <f>IFERROR(SUMIFS('Base bordo'!G$2:G$746,'Base bordo'!C$2:C$746,A1096,'Base bordo'!B$2:B$746,B1096,'Base bordo'!F$2:F$746,"MAN PREVENTIVA - MECANICA"),0)+IFERROR(SUMIFS('Base bordo'!G$2:G$746,'Base bordo'!C$2:C$746,A1096,'Base bordo'!B$2:B$746,B1096,'Base bordo'!F$2:F$746,"MAN CORRETIVA - MECANICA"),0)</f>
        <v>0</v>
      </c>
      <c r="L1096" s="10">
        <f>IFERROR(SUMIFS('Base bordo'!G$2:G$746,'Base bordo'!C$2:C$746,A1096,'Base bordo'!B$2:B$746,B1096,'Base bordo'!F$2:F$746,"MANUTENCAO - T O"),0)+IFERROR(SUMIFS('Base bordo'!G$2:G$746,'Base bordo'!C$2:C$746,A1096,'Base bordo'!B$2:B$746,B1096,'Base bordo'!F$2:F$746,"MANUTENCAO BORRACHARIA"),0)+IFERROR(SUMIFS('Base bordo'!G$2:G$746,'Base bordo'!C$2:C$746,A1096,'Base bordo'!B$2:B$746,B1096,'Base bordo'!F$2:F$746,"MANUTENCAO EXTERNA  CONCESSIONARIA"),0)+IFERROR(SUMIFS('Base bordo'!G$2:G$746,'Base bordo'!C$2:C$746,A1096,'Base bordo'!B$2:B$746,B1096,'Base bordo'!F$2:F$746,"MANUTENCAO TELEMETRIA"),0)</f>
        <v>0</v>
      </c>
      <c r="M1096" s="10">
        <f>IFERROR(SUMIFS('Base bordo'!G$2:G$746,'Base bordo'!C$2:C$746,A1096,'Base bordo'!B$2:B$746,B1096,'Base bordo'!F$2:F$746,"AGUARDANDO MANUTENCAO"),0)</f>
        <v>0</v>
      </c>
      <c r="N1096" s="10">
        <f>IFERROR(SUMIFS('Base bordo'!G$2:G$746,'Base bordo'!C$2:C$746,A1096,'Base bordo'!B$2:B$746,B1096,'Base bordo'!F$2:F$746,"SEM APONTAMENTO"),0)</f>
        <v>0</v>
      </c>
      <c r="O1096" s="10">
        <f t="shared" si="108"/>
        <v>0</v>
      </c>
      <c r="P1096" s="10">
        <f>IFERROR(SUMIFS('Base bordo'!G$2:G$746,'Base bordo'!C$2:C$746,A1096,'Base bordo'!B$2:B$746,B1096),0)</f>
        <v>4.525555555555556</v>
      </c>
      <c r="Q1096" s="10">
        <f>IFERROR(SUMIFS('Base bordo'!H$2:H$746,'Base bordo'!C$2:C$746,A1096,'Base bordo'!B$2:B$746,B1096,'Base bordo'!F$2:F$746,"DESLOCAMENTO VAZIO"),0)</f>
        <v>278148.95</v>
      </c>
      <c r="R1096" s="10">
        <f>IFERROR(SUMIFS('Base bordo'!I$2:I$746,'Base bordo'!C$2:C$746,A1096,'Base bordo'!B$2:B$746,B1096,'Base bordo'!F$2:F$746,"DESLOCAMENTO VAZIO"),0)</f>
        <v>8320</v>
      </c>
      <c r="S1096" s="30">
        <f t="shared" si="109"/>
        <v>33.431364182692306</v>
      </c>
      <c r="T1096" s="10">
        <f>IFERROR(SUMIFS('Base bordo'!H$2:H$746,'Base bordo'!C$2:C$746,A1096,'Base bordo'!B$2:B$746,B1096,'Base bordo'!F$2:F$746,"DESLOCAMENTO CARREGADO"),0)</f>
        <v>177737.80000000002</v>
      </c>
      <c r="U1096" s="10">
        <f>IFERROR(SUMIFS('Base bordo'!I$2:I$746,'Base bordo'!C$2:C$746,A1096,'Base bordo'!B$2:B$746,B1096,'Base bordo'!F$2:F$746,"DESLOCAMENTO CARREGADO"),0)</f>
        <v>6683</v>
      </c>
      <c r="V1096" s="30">
        <f t="shared" si="110"/>
        <v>26.595510998054767</v>
      </c>
      <c r="W1096" s="9">
        <f t="shared" si="111"/>
        <v>0.51068008838693824</v>
      </c>
      <c r="X1096" s="9">
        <f t="shared" si="112"/>
        <v>0.41081512398723297</v>
      </c>
      <c r="Y1096" s="9">
        <f t="shared" si="113"/>
        <v>7.8504787625828687E-2</v>
      </c>
    </row>
    <row r="1097" spans="1:25" ht="15" customHeight="1" x14ac:dyDescent="0.35">
      <c r="A1097" s="52">
        <v>8013465</v>
      </c>
      <c r="B1097" s="51">
        <v>46123</v>
      </c>
      <c r="C1097" s="7" t="s">
        <v>124</v>
      </c>
      <c r="D1097" s="10">
        <f>IFERROR(SUMIFS('Base bordo'!G$2:G$746,'Base bordo'!C$2:C$746,A1097,'Base bordo'!B$2:B$746,B1097,'Base bordo'!F$2:F$746,"DESLOCAMENTO VAZIO"),0)</f>
        <v>2.3111111111111109</v>
      </c>
      <c r="E1097" s="10">
        <f>IFERROR(SUMIFS('Base bordo'!G$2:G$746,'Base bordo'!C$2:C$746,A1097,'Base bordo'!B$2:B$746,B1097,'Base bordo'!F$2:F$746,"DESLOCAMENTO CARREGADO"),0)</f>
        <v>1.8591666666666666</v>
      </c>
      <c r="F1097" s="10">
        <f>IFERROR(SUMIFS('Base bordo'!G$2:G$746,'Base bordo'!C$2:C$746,A1097,'Base bordo'!B$2:B$746,B1097,'Base bordo'!F$2:F$746,"DESLOCAMENTO"),0)</f>
        <v>0</v>
      </c>
      <c r="G1097" s="10">
        <f>IFERROR(SUMIFS('Base bordo'!G$2:G$746,'Base bordo'!C$2:C$746,A1097,'Base bordo'!B$2:B$746,B1097,'Base bordo'!F$2:F$746,"CARREGAMENTO"),0)</f>
        <v>0</v>
      </c>
      <c r="H1097" s="10">
        <f>IFERROR(SUMIFS('Base bordo'!G$2:G$746,'Base bordo'!C$2:C$746,A1097,'Base bordo'!B$2:B$746,B1097,'Base bordo'!F$2:F$746,"AGUARDANDO TRANSBORDO"),0)</f>
        <v>0.3552777777777778</v>
      </c>
      <c r="I1097" s="10">
        <f>IFERROR(SUMIFS('Base bordo'!G$2:G$746,'Base bordo'!C$2:C$746,A1097,'Base bordo'!B$2:B$746,B1097,'Base bordo'!F$2:F$746,"PÁTIO INTERNO"),0)+IFERROR(SUMIFS('Base bordo'!G$2:G$746,'Base bordo'!C$2:C$746,A1097,'Base bordo'!B$2:B$746,B1097,'Base bordo'!F$2:F$746,"PÁTIO EXTERNO"),0)+IFERROR(SUMIFS('Base bordo'!G$2:G$746,'Base bordo'!C$2:C$746,A1097,'Base bordo'!B$2:B$746,B1097,'Base bordo'!F$2:F$746,"PATIO - RESERVA"),0)+IFERROR(SUMIFS('Base bordo'!G$2:G$746,'Base bordo'!C$2:C$746,A1097,'Base bordo'!B$2:B$746,B1097,'Base bordo'!F$2:F$746,"MANOBRA CARRETAS-PATIO"),0)</f>
        <v>0</v>
      </c>
      <c r="J1097" s="10">
        <f>IFERROR(SUMIFS('Base bordo'!G$2:G$746,'Base bordo'!C$2:C$746,A1097,'Base bordo'!B$2:B$746,B1097,'Base bordo'!F$2:F$746,"BALANÇA - ENTRADA"),0)+IFERROR(SUMIFS('Base bordo'!G$2:G$746,'Base bordo'!C$2:C$746,A1097,'Base bordo'!B$2:B$746,B1097,'Base bordo'!F$2:F$746,"BALANÇA - SAÍDA"),0)</f>
        <v>0</v>
      </c>
      <c r="K1097" s="10">
        <f>IFERROR(SUMIFS('Base bordo'!G$2:G$746,'Base bordo'!C$2:C$746,A1097,'Base bordo'!B$2:B$746,B1097,'Base bordo'!F$2:F$746,"MAN PREVENTIVA - MECANICA"),0)+IFERROR(SUMIFS('Base bordo'!G$2:G$746,'Base bordo'!C$2:C$746,A1097,'Base bordo'!B$2:B$746,B1097,'Base bordo'!F$2:F$746,"MAN CORRETIVA - MECANICA"),0)</f>
        <v>0</v>
      </c>
      <c r="L1097" s="10">
        <f>IFERROR(SUMIFS('Base bordo'!G$2:G$746,'Base bordo'!C$2:C$746,A1097,'Base bordo'!B$2:B$746,B1097,'Base bordo'!F$2:F$746,"MANUTENCAO - T O"),0)+IFERROR(SUMIFS('Base bordo'!G$2:G$746,'Base bordo'!C$2:C$746,A1097,'Base bordo'!B$2:B$746,B1097,'Base bordo'!F$2:F$746,"MANUTENCAO BORRACHARIA"),0)+IFERROR(SUMIFS('Base bordo'!G$2:G$746,'Base bordo'!C$2:C$746,A1097,'Base bordo'!B$2:B$746,B1097,'Base bordo'!F$2:F$746,"MANUTENCAO EXTERNA  CONCESSIONARIA"),0)+IFERROR(SUMIFS('Base bordo'!G$2:G$746,'Base bordo'!C$2:C$746,A1097,'Base bordo'!B$2:B$746,B1097,'Base bordo'!F$2:F$746,"MANUTENCAO TELEMETRIA"),0)</f>
        <v>0</v>
      </c>
      <c r="M1097" s="10">
        <f>IFERROR(SUMIFS('Base bordo'!G$2:G$746,'Base bordo'!C$2:C$746,A1097,'Base bordo'!B$2:B$746,B1097,'Base bordo'!F$2:F$746,"AGUARDANDO MANUTENCAO"),0)</f>
        <v>0</v>
      </c>
      <c r="N1097" s="10">
        <f>IFERROR(SUMIFS('Base bordo'!G$2:G$746,'Base bordo'!C$2:C$746,A1097,'Base bordo'!B$2:B$746,B1097,'Base bordo'!F$2:F$746,"SEM APONTAMENTO"),0)</f>
        <v>0</v>
      </c>
      <c r="O1097" s="10">
        <f t="shared" si="108"/>
        <v>0</v>
      </c>
      <c r="P1097" s="10">
        <f>IFERROR(SUMIFS('Base bordo'!G$2:G$746,'Base bordo'!C$2:C$746,A1097,'Base bordo'!B$2:B$746,B1097),0)</f>
        <v>4.525555555555556</v>
      </c>
      <c r="Q1097" s="10">
        <f>IFERROR(SUMIFS('Base bordo'!H$2:H$746,'Base bordo'!C$2:C$746,A1097,'Base bordo'!B$2:B$746,B1097,'Base bordo'!F$2:F$746,"DESLOCAMENTO VAZIO"),0)</f>
        <v>278148.95</v>
      </c>
      <c r="R1097" s="10">
        <f>IFERROR(SUMIFS('Base bordo'!I$2:I$746,'Base bordo'!C$2:C$746,A1097,'Base bordo'!B$2:B$746,B1097,'Base bordo'!F$2:F$746,"DESLOCAMENTO VAZIO"),0)</f>
        <v>8320</v>
      </c>
      <c r="S1097" s="30">
        <f t="shared" si="109"/>
        <v>33.431364182692306</v>
      </c>
      <c r="T1097" s="10">
        <f>IFERROR(SUMIFS('Base bordo'!H$2:H$746,'Base bordo'!C$2:C$746,A1097,'Base bordo'!B$2:B$746,B1097,'Base bordo'!F$2:F$746,"DESLOCAMENTO CARREGADO"),0)</f>
        <v>177737.80000000002</v>
      </c>
      <c r="U1097" s="10">
        <f>IFERROR(SUMIFS('Base bordo'!I$2:I$746,'Base bordo'!C$2:C$746,A1097,'Base bordo'!B$2:B$746,B1097,'Base bordo'!F$2:F$746,"DESLOCAMENTO CARREGADO"),0)</f>
        <v>6683</v>
      </c>
      <c r="V1097" s="30">
        <f t="shared" si="110"/>
        <v>26.595510998054767</v>
      </c>
      <c r="W1097" s="9">
        <f t="shared" si="111"/>
        <v>0.51068008838693824</v>
      </c>
      <c r="X1097" s="9">
        <f t="shared" si="112"/>
        <v>0.41081512398723297</v>
      </c>
      <c r="Y1097" s="9">
        <f t="shared" si="113"/>
        <v>7.8504787625828687E-2</v>
      </c>
    </row>
    <row r="1098" spans="1:25" ht="15" customHeight="1" x14ac:dyDescent="0.35">
      <c r="A1098" s="52">
        <v>8013468</v>
      </c>
      <c r="B1098" s="51">
        <v>46123</v>
      </c>
      <c r="C1098" s="7" t="s">
        <v>124</v>
      </c>
      <c r="D1098" s="10">
        <f>IFERROR(SUMIFS('Base bordo'!G$2:G$746,'Base bordo'!C$2:C$746,A1098,'Base bordo'!B$2:B$746,B1098,'Base bordo'!F$2:F$746,"DESLOCAMENTO VAZIO"),0)</f>
        <v>1.9583333333333333</v>
      </c>
      <c r="E1098" s="10">
        <f>IFERROR(SUMIFS('Base bordo'!G$2:G$746,'Base bordo'!C$2:C$746,A1098,'Base bordo'!B$2:B$746,B1098,'Base bordo'!F$2:F$746,"DESLOCAMENTO CARREGADO"),0)</f>
        <v>2.1616666666666666</v>
      </c>
      <c r="F1098" s="10">
        <f>IFERROR(SUMIFS('Base bordo'!G$2:G$746,'Base bordo'!C$2:C$746,A1098,'Base bordo'!B$2:B$746,B1098,'Base bordo'!F$2:F$746,"DESLOCAMENTO"),0)</f>
        <v>0</v>
      </c>
      <c r="G1098" s="10">
        <f>IFERROR(SUMIFS('Base bordo'!G$2:G$746,'Base bordo'!C$2:C$746,A1098,'Base bordo'!B$2:B$746,B1098,'Base bordo'!F$2:F$746,"CARREGAMENTO"),0)</f>
        <v>0</v>
      </c>
      <c r="H1098" s="10">
        <f>IFERROR(SUMIFS('Base bordo'!G$2:G$746,'Base bordo'!C$2:C$746,A1098,'Base bordo'!B$2:B$746,B1098,'Base bordo'!F$2:F$746,"AGUARDANDO TRANSBORDO"),0)</f>
        <v>0.82333333333333336</v>
      </c>
      <c r="I1098" s="10">
        <f>IFERROR(SUMIFS('Base bordo'!G$2:G$746,'Base bordo'!C$2:C$746,A1098,'Base bordo'!B$2:B$746,B1098,'Base bordo'!F$2:F$746,"PÁTIO INTERNO"),0)+IFERROR(SUMIFS('Base bordo'!G$2:G$746,'Base bordo'!C$2:C$746,A1098,'Base bordo'!B$2:B$746,B1098,'Base bordo'!F$2:F$746,"PÁTIO EXTERNO"),0)+IFERROR(SUMIFS('Base bordo'!G$2:G$746,'Base bordo'!C$2:C$746,A1098,'Base bordo'!B$2:B$746,B1098,'Base bordo'!F$2:F$746,"PATIO - RESERVA"),0)+IFERROR(SUMIFS('Base bordo'!G$2:G$746,'Base bordo'!C$2:C$746,A1098,'Base bordo'!B$2:B$746,B1098,'Base bordo'!F$2:F$746,"MANOBRA CARRETAS-PATIO"),0)</f>
        <v>3.9758333333333336</v>
      </c>
      <c r="J1098" s="10">
        <f>IFERROR(SUMIFS('Base bordo'!G$2:G$746,'Base bordo'!C$2:C$746,A1098,'Base bordo'!B$2:B$746,B1098,'Base bordo'!F$2:F$746,"BALANÇA - ENTRADA"),0)+IFERROR(SUMIFS('Base bordo'!G$2:G$746,'Base bordo'!C$2:C$746,A1098,'Base bordo'!B$2:B$746,B1098,'Base bordo'!F$2:F$746,"BALANÇA - SAÍDA"),0)</f>
        <v>0</v>
      </c>
      <c r="K1098" s="10">
        <f>IFERROR(SUMIFS('Base bordo'!G$2:G$746,'Base bordo'!C$2:C$746,A1098,'Base bordo'!B$2:B$746,B1098,'Base bordo'!F$2:F$746,"MAN PREVENTIVA - MECANICA"),0)+IFERROR(SUMIFS('Base bordo'!G$2:G$746,'Base bordo'!C$2:C$746,A1098,'Base bordo'!B$2:B$746,B1098,'Base bordo'!F$2:F$746,"MAN CORRETIVA - MECANICA"),0)</f>
        <v>0</v>
      </c>
      <c r="L1098" s="10">
        <f>IFERROR(SUMIFS('Base bordo'!G$2:G$746,'Base bordo'!C$2:C$746,A1098,'Base bordo'!B$2:B$746,B1098,'Base bordo'!F$2:F$746,"MANUTENCAO - T O"),0)+IFERROR(SUMIFS('Base bordo'!G$2:G$746,'Base bordo'!C$2:C$746,A1098,'Base bordo'!B$2:B$746,B1098,'Base bordo'!F$2:F$746,"MANUTENCAO BORRACHARIA"),0)+IFERROR(SUMIFS('Base bordo'!G$2:G$746,'Base bordo'!C$2:C$746,A1098,'Base bordo'!B$2:B$746,B1098,'Base bordo'!F$2:F$746,"MANUTENCAO EXTERNA  CONCESSIONARIA"),0)+IFERROR(SUMIFS('Base bordo'!G$2:G$746,'Base bordo'!C$2:C$746,A1098,'Base bordo'!B$2:B$746,B1098,'Base bordo'!F$2:F$746,"MANUTENCAO TELEMETRIA"),0)</f>
        <v>0</v>
      </c>
      <c r="M1098" s="10">
        <f>IFERROR(SUMIFS('Base bordo'!G$2:G$746,'Base bordo'!C$2:C$746,A1098,'Base bordo'!B$2:B$746,B1098,'Base bordo'!F$2:F$746,"AGUARDANDO MANUTENCAO"),0)</f>
        <v>0</v>
      </c>
      <c r="N1098" s="10">
        <f>IFERROR(SUMIFS('Base bordo'!G$2:G$746,'Base bordo'!C$2:C$746,A1098,'Base bordo'!B$2:B$746,B1098,'Base bordo'!F$2:F$746,"SEM APONTAMENTO"),0)</f>
        <v>0</v>
      </c>
      <c r="O1098" s="10">
        <f t="shared" si="108"/>
        <v>0.26222222222222236</v>
      </c>
      <c r="P1098" s="10">
        <f>IFERROR(SUMIFS('Base bordo'!G$2:G$746,'Base bordo'!C$2:C$746,A1098,'Base bordo'!B$2:B$746,B1098),0)</f>
        <v>9.1813888888888897</v>
      </c>
      <c r="Q1098" s="10">
        <f>IFERROR(SUMIFS('Base bordo'!H$2:H$746,'Base bordo'!C$2:C$746,A1098,'Base bordo'!B$2:B$746,B1098,'Base bordo'!F$2:F$746,"DESLOCAMENTO VAZIO"),0)</f>
        <v>221588.27</v>
      </c>
      <c r="R1098" s="10">
        <f>IFERROR(SUMIFS('Base bordo'!I$2:I$746,'Base bordo'!C$2:C$746,A1098,'Base bordo'!B$2:B$746,B1098,'Base bordo'!F$2:F$746,"DESLOCAMENTO VAZIO"),0)</f>
        <v>7050</v>
      </c>
      <c r="S1098" s="30">
        <f t="shared" si="109"/>
        <v>31.430960283687941</v>
      </c>
      <c r="T1098" s="10">
        <f>IFERROR(SUMIFS('Base bordo'!H$2:H$746,'Base bordo'!C$2:C$746,A1098,'Base bordo'!B$2:B$746,B1098,'Base bordo'!F$2:F$746,"DESLOCAMENTO CARREGADO"),0)</f>
        <v>177589.6</v>
      </c>
      <c r="U1098" s="10">
        <f>IFERROR(SUMIFS('Base bordo'!I$2:I$746,'Base bordo'!C$2:C$746,A1098,'Base bordo'!B$2:B$746,B1098,'Base bordo'!F$2:F$746,"DESLOCAMENTO CARREGADO"),0)</f>
        <v>7782</v>
      </c>
      <c r="V1098" s="30">
        <f t="shared" si="110"/>
        <v>22.820560267283476</v>
      </c>
      <c r="W1098" s="9">
        <f t="shared" si="111"/>
        <v>0.21329380086527694</v>
      </c>
      <c r="X1098" s="9">
        <f t="shared" si="112"/>
        <v>0.23544005082745889</v>
      </c>
      <c r="Y1098" s="9">
        <f t="shared" si="113"/>
        <v>0.55126614830726406</v>
      </c>
    </row>
    <row r="1099" spans="1:25" ht="15" customHeight="1" x14ac:dyDescent="0.35">
      <c r="A1099" s="52">
        <v>8013468</v>
      </c>
      <c r="B1099" s="51">
        <v>46123</v>
      </c>
      <c r="C1099" s="7" t="s">
        <v>124</v>
      </c>
      <c r="D1099" s="10">
        <f>IFERROR(SUMIFS('Base bordo'!G$2:G$746,'Base bordo'!C$2:C$746,A1099,'Base bordo'!B$2:B$746,B1099,'Base bordo'!F$2:F$746,"DESLOCAMENTO VAZIO"),0)</f>
        <v>1.9583333333333333</v>
      </c>
      <c r="E1099" s="10">
        <f>IFERROR(SUMIFS('Base bordo'!G$2:G$746,'Base bordo'!C$2:C$746,A1099,'Base bordo'!B$2:B$746,B1099,'Base bordo'!F$2:F$746,"DESLOCAMENTO CARREGADO"),0)</f>
        <v>2.1616666666666666</v>
      </c>
      <c r="F1099" s="10">
        <f>IFERROR(SUMIFS('Base bordo'!G$2:G$746,'Base bordo'!C$2:C$746,A1099,'Base bordo'!B$2:B$746,B1099,'Base bordo'!F$2:F$746,"DESLOCAMENTO"),0)</f>
        <v>0</v>
      </c>
      <c r="G1099" s="10">
        <f>IFERROR(SUMIFS('Base bordo'!G$2:G$746,'Base bordo'!C$2:C$746,A1099,'Base bordo'!B$2:B$746,B1099,'Base bordo'!F$2:F$746,"CARREGAMENTO"),0)</f>
        <v>0</v>
      </c>
      <c r="H1099" s="10">
        <f>IFERROR(SUMIFS('Base bordo'!G$2:G$746,'Base bordo'!C$2:C$746,A1099,'Base bordo'!B$2:B$746,B1099,'Base bordo'!F$2:F$746,"AGUARDANDO TRANSBORDO"),0)</f>
        <v>0.82333333333333336</v>
      </c>
      <c r="I1099" s="10">
        <f>IFERROR(SUMIFS('Base bordo'!G$2:G$746,'Base bordo'!C$2:C$746,A1099,'Base bordo'!B$2:B$746,B1099,'Base bordo'!F$2:F$746,"PÁTIO INTERNO"),0)+IFERROR(SUMIFS('Base bordo'!G$2:G$746,'Base bordo'!C$2:C$746,A1099,'Base bordo'!B$2:B$746,B1099,'Base bordo'!F$2:F$746,"PÁTIO EXTERNO"),0)+IFERROR(SUMIFS('Base bordo'!G$2:G$746,'Base bordo'!C$2:C$746,A1099,'Base bordo'!B$2:B$746,B1099,'Base bordo'!F$2:F$746,"PATIO - RESERVA"),0)+IFERROR(SUMIFS('Base bordo'!G$2:G$746,'Base bordo'!C$2:C$746,A1099,'Base bordo'!B$2:B$746,B1099,'Base bordo'!F$2:F$746,"MANOBRA CARRETAS-PATIO"),0)</f>
        <v>3.9758333333333336</v>
      </c>
      <c r="J1099" s="10">
        <f>IFERROR(SUMIFS('Base bordo'!G$2:G$746,'Base bordo'!C$2:C$746,A1099,'Base bordo'!B$2:B$746,B1099,'Base bordo'!F$2:F$746,"BALANÇA - ENTRADA"),0)+IFERROR(SUMIFS('Base bordo'!G$2:G$746,'Base bordo'!C$2:C$746,A1099,'Base bordo'!B$2:B$746,B1099,'Base bordo'!F$2:F$746,"BALANÇA - SAÍDA"),0)</f>
        <v>0</v>
      </c>
      <c r="K1099" s="10">
        <f>IFERROR(SUMIFS('Base bordo'!G$2:G$746,'Base bordo'!C$2:C$746,A1099,'Base bordo'!B$2:B$746,B1099,'Base bordo'!F$2:F$746,"MAN PREVENTIVA - MECANICA"),0)+IFERROR(SUMIFS('Base bordo'!G$2:G$746,'Base bordo'!C$2:C$746,A1099,'Base bordo'!B$2:B$746,B1099,'Base bordo'!F$2:F$746,"MAN CORRETIVA - MECANICA"),0)</f>
        <v>0</v>
      </c>
      <c r="L1099" s="10">
        <f>IFERROR(SUMIFS('Base bordo'!G$2:G$746,'Base bordo'!C$2:C$746,A1099,'Base bordo'!B$2:B$746,B1099,'Base bordo'!F$2:F$746,"MANUTENCAO - T O"),0)+IFERROR(SUMIFS('Base bordo'!G$2:G$746,'Base bordo'!C$2:C$746,A1099,'Base bordo'!B$2:B$746,B1099,'Base bordo'!F$2:F$746,"MANUTENCAO BORRACHARIA"),0)+IFERROR(SUMIFS('Base bordo'!G$2:G$746,'Base bordo'!C$2:C$746,A1099,'Base bordo'!B$2:B$746,B1099,'Base bordo'!F$2:F$746,"MANUTENCAO EXTERNA  CONCESSIONARIA"),0)+IFERROR(SUMIFS('Base bordo'!G$2:G$746,'Base bordo'!C$2:C$746,A1099,'Base bordo'!B$2:B$746,B1099,'Base bordo'!F$2:F$746,"MANUTENCAO TELEMETRIA"),0)</f>
        <v>0</v>
      </c>
      <c r="M1099" s="10">
        <f>IFERROR(SUMIFS('Base bordo'!G$2:G$746,'Base bordo'!C$2:C$746,A1099,'Base bordo'!B$2:B$746,B1099,'Base bordo'!F$2:F$746,"AGUARDANDO MANUTENCAO"),0)</f>
        <v>0</v>
      </c>
      <c r="N1099" s="10">
        <f>IFERROR(SUMIFS('Base bordo'!G$2:G$746,'Base bordo'!C$2:C$746,A1099,'Base bordo'!B$2:B$746,B1099,'Base bordo'!F$2:F$746,"SEM APONTAMENTO"),0)</f>
        <v>0</v>
      </c>
      <c r="O1099" s="10">
        <f t="shared" si="108"/>
        <v>0.26222222222222236</v>
      </c>
      <c r="P1099" s="10">
        <f>IFERROR(SUMIFS('Base bordo'!G$2:G$746,'Base bordo'!C$2:C$746,A1099,'Base bordo'!B$2:B$746,B1099),0)</f>
        <v>9.1813888888888897</v>
      </c>
      <c r="Q1099" s="10">
        <f>IFERROR(SUMIFS('Base bordo'!H$2:H$746,'Base bordo'!C$2:C$746,A1099,'Base bordo'!B$2:B$746,B1099,'Base bordo'!F$2:F$746,"DESLOCAMENTO VAZIO"),0)</f>
        <v>221588.27</v>
      </c>
      <c r="R1099" s="10">
        <f>IFERROR(SUMIFS('Base bordo'!I$2:I$746,'Base bordo'!C$2:C$746,A1099,'Base bordo'!B$2:B$746,B1099,'Base bordo'!F$2:F$746,"DESLOCAMENTO VAZIO"),0)</f>
        <v>7050</v>
      </c>
      <c r="S1099" s="30">
        <f t="shared" si="109"/>
        <v>31.430960283687941</v>
      </c>
      <c r="T1099" s="10">
        <f>IFERROR(SUMIFS('Base bordo'!H$2:H$746,'Base bordo'!C$2:C$746,A1099,'Base bordo'!B$2:B$746,B1099,'Base bordo'!F$2:F$746,"DESLOCAMENTO CARREGADO"),0)</f>
        <v>177589.6</v>
      </c>
      <c r="U1099" s="10">
        <f>IFERROR(SUMIFS('Base bordo'!I$2:I$746,'Base bordo'!C$2:C$746,A1099,'Base bordo'!B$2:B$746,B1099,'Base bordo'!F$2:F$746,"DESLOCAMENTO CARREGADO"),0)</f>
        <v>7782</v>
      </c>
      <c r="V1099" s="30">
        <f t="shared" si="110"/>
        <v>22.820560267283476</v>
      </c>
      <c r="W1099" s="9">
        <f t="shared" si="111"/>
        <v>0.21329380086527694</v>
      </c>
      <c r="X1099" s="9">
        <f t="shared" si="112"/>
        <v>0.23544005082745889</v>
      </c>
      <c r="Y1099" s="9">
        <f t="shared" si="113"/>
        <v>0.55126614830726406</v>
      </c>
    </row>
    <row r="1100" spans="1:25" ht="15" customHeight="1" x14ac:dyDescent="0.35">
      <c r="A1100" s="52">
        <v>8013468</v>
      </c>
      <c r="B1100" s="51">
        <v>46123</v>
      </c>
      <c r="C1100" s="7" t="s">
        <v>124</v>
      </c>
      <c r="D1100" s="10">
        <f>IFERROR(SUMIFS('Base bordo'!G$2:G$746,'Base bordo'!C$2:C$746,A1100,'Base bordo'!B$2:B$746,B1100,'Base bordo'!F$2:F$746,"DESLOCAMENTO VAZIO"),0)</f>
        <v>1.9583333333333333</v>
      </c>
      <c r="E1100" s="10">
        <f>IFERROR(SUMIFS('Base bordo'!G$2:G$746,'Base bordo'!C$2:C$746,A1100,'Base bordo'!B$2:B$746,B1100,'Base bordo'!F$2:F$746,"DESLOCAMENTO CARREGADO"),0)</f>
        <v>2.1616666666666666</v>
      </c>
      <c r="F1100" s="10">
        <f>IFERROR(SUMIFS('Base bordo'!G$2:G$746,'Base bordo'!C$2:C$746,A1100,'Base bordo'!B$2:B$746,B1100,'Base bordo'!F$2:F$746,"DESLOCAMENTO"),0)</f>
        <v>0</v>
      </c>
      <c r="G1100" s="10">
        <f>IFERROR(SUMIFS('Base bordo'!G$2:G$746,'Base bordo'!C$2:C$746,A1100,'Base bordo'!B$2:B$746,B1100,'Base bordo'!F$2:F$746,"CARREGAMENTO"),0)</f>
        <v>0</v>
      </c>
      <c r="H1100" s="10">
        <f>IFERROR(SUMIFS('Base bordo'!G$2:G$746,'Base bordo'!C$2:C$746,A1100,'Base bordo'!B$2:B$746,B1100,'Base bordo'!F$2:F$746,"AGUARDANDO TRANSBORDO"),0)</f>
        <v>0.82333333333333336</v>
      </c>
      <c r="I1100" s="10">
        <f>IFERROR(SUMIFS('Base bordo'!G$2:G$746,'Base bordo'!C$2:C$746,A1100,'Base bordo'!B$2:B$746,B1100,'Base bordo'!F$2:F$746,"PÁTIO INTERNO"),0)+IFERROR(SUMIFS('Base bordo'!G$2:G$746,'Base bordo'!C$2:C$746,A1100,'Base bordo'!B$2:B$746,B1100,'Base bordo'!F$2:F$746,"PÁTIO EXTERNO"),0)+IFERROR(SUMIFS('Base bordo'!G$2:G$746,'Base bordo'!C$2:C$746,A1100,'Base bordo'!B$2:B$746,B1100,'Base bordo'!F$2:F$746,"PATIO - RESERVA"),0)+IFERROR(SUMIFS('Base bordo'!G$2:G$746,'Base bordo'!C$2:C$746,A1100,'Base bordo'!B$2:B$746,B1100,'Base bordo'!F$2:F$746,"MANOBRA CARRETAS-PATIO"),0)</f>
        <v>3.9758333333333336</v>
      </c>
      <c r="J1100" s="10">
        <f>IFERROR(SUMIFS('Base bordo'!G$2:G$746,'Base bordo'!C$2:C$746,A1100,'Base bordo'!B$2:B$746,B1100,'Base bordo'!F$2:F$746,"BALANÇA - ENTRADA"),0)+IFERROR(SUMIFS('Base bordo'!G$2:G$746,'Base bordo'!C$2:C$746,A1100,'Base bordo'!B$2:B$746,B1100,'Base bordo'!F$2:F$746,"BALANÇA - SAÍDA"),0)</f>
        <v>0</v>
      </c>
      <c r="K1100" s="10">
        <f>IFERROR(SUMIFS('Base bordo'!G$2:G$746,'Base bordo'!C$2:C$746,A1100,'Base bordo'!B$2:B$746,B1100,'Base bordo'!F$2:F$746,"MAN PREVENTIVA - MECANICA"),0)+IFERROR(SUMIFS('Base bordo'!G$2:G$746,'Base bordo'!C$2:C$746,A1100,'Base bordo'!B$2:B$746,B1100,'Base bordo'!F$2:F$746,"MAN CORRETIVA - MECANICA"),0)</f>
        <v>0</v>
      </c>
      <c r="L1100" s="10">
        <f>IFERROR(SUMIFS('Base bordo'!G$2:G$746,'Base bordo'!C$2:C$746,A1100,'Base bordo'!B$2:B$746,B1100,'Base bordo'!F$2:F$746,"MANUTENCAO - T O"),0)+IFERROR(SUMIFS('Base bordo'!G$2:G$746,'Base bordo'!C$2:C$746,A1100,'Base bordo'!B$2:B$746,B1100,'Base bordo'!F$2:F$746,"MANUTENCAO BORRACHARIA"),0)+IFERROR(SUMIFS('Base bordo'!G$2:G$746,'Base bordo'!C$2:C$746,A1100,'Base bordo'!B$2:B$746,B1100,'Base bordo'!F$2:F$746,"MANUTENCAO EXTERNA  CONCESSIONARIA"),0)+IFERROR(SUMIFS('Base bordo'!G$2:G$746,'Base bordo'!C$2:C$746,A1100,'Base bordo'!B$2:B$746,B1100,'Base bordo'!F$2:F$746,"MANUTENCAO TELEMETRIA"),0)</f>
        <v>0</v>
      </c>
      <c r="M1100" s="10">
        <f>IFERROR(SUMIFS('Base bordo'!G$2:G$746,'Base bordo'!C$2:C$746,A1100,'Base bordo'!B$2:B$746,B1100,'Base bordo'!F$2:F$746,"AGUARDANDO MANUTENCAO"),0)</f>
        <v>0</v>
      </c>
      <c r="N1100" s="10">
        <f>IFERROR(SUMIFS('Base bordo'!G$2:G$746,'Base bordo'!C$2:C$746,A1100,'Base bordo'!B$2:B$746,B1100,'Base bordo'!F$2:F$746,"SEM APONTAMENTO"),0)</f>
        <v>0</v>
      </c>
      <c r="O1100" s="10">
        <f t="shared" si="108"/>
        <v>0.26222222222222236</v>
      </c>
      <c r="P1100" s="10">
        <f>IFERROR(SUMIFS('Base bordo'!G$2:G$746,'Base bordo'!C$2:C$746,A1100,'Base bordo'!B$2:B$746,B1100),0)</f>
        <v>9.1813888888888897</v>
      </c>
      <c r="Q1100" s="10">
        <f>IFERROR(SUMIFS('Base bordo'!H$2:H$746,'Base bordo'!C$2:C$746,A1100,'Base bordo'!B$2:B$746,B1100,'Base bordo'!F$2:F$746,"DESLOCAMENTO VAZIO"),0)</f>
        <v>221588.27</v>
      </c>
      <c r="R1100" s="10">
        <f>IFERROR(SUMIFS('Base bordo'!I$2:I$746,'Base bordo'!C$2:C$746,A1100,'Base bordo'!B$2:B$746,B1100,'Base bordo'!F$2:F$746,"DESLOCAMENTO VAZIO"),0)</f>
        <v>7050</v>
      </c>
      <c r="S1100" s="30">
        <f t="shared" si="109"/>
        <v>31.430960283687941</v>
      </c>
      <c r="T1100" s="10">
        <f>IFERROR(SUMIFS('Base bordo'!H$2:H$746,'Base bordo'!C$2:C$746,A1100,'Base bordo'!B$2:B$746,B1100,'Base bordo'!F$2:F$746,"DESLOCAMENTO CARREGADO"),0)</f>
        <v>177589.6</v>
      </c>
      <c r="U1100" s="10">
        <f>IFERROR(SUMIFS('Base bordo'!I$2:I$746,'Base bordo'!C$2:C$746,A1100,'Base bordo'!B$2:B$746,B1100,'Base bordo'!F$2:F$746,"DESLOCAMENTO CARREGADO"),0)</f>
        <v>7782</v>
      </c>
      <c r="V1100" s="30">
        <f t="shared" si="110"/>
        <v>22.820560267283476</v>
      </c>
      <c r="W1100" s="9">
        <f t="shared" si="111"/>
        <v>0.21329380086527694</v>
      </c>
      <c r="X1100" s="9">
        <f t="shared" si="112"/>
        <v>0.23544005082745889</v>
      </c>
      <c r="Y1100" s="9">
        <f t="shared" si="113"/>
        <v>0.55126614830726406</v>
      </c>
    </row>
    <row r="1101" spans="1:25" ht="15" customHeight="1" x14ac:dyDescent="0.35">
      <c r="A1101" s="52">
        <v>8013468</v>
      </c>
      <c r="B1101" s="51">
        <v>46123</v>
      </c>
      <c r="C1101" s="7" t="s">
        <v>124</v>
      </c>
      <c r="D1101" s="10">
        <f>IFERROR(SUMIFS('Base bordo'!G$2:G$746,'Base bordo'!C$2:C$746,A1101,'Base bordo'!B$2:B$746,B1101,'Base bordo'!F$2:F$746,"DESLOCAMENTO VAZIO"),0)</f>
        <v>1.9583333333333333</v>
      </c>
      <c r="E1101" s="10">
        <f>IFERROR(SUMIFS('Base bordo'!G$2:G$746,'Base bordo'!C$2:C$746,A1101,'Base bordo'!B$2:B$746,B1101,'Base bordo'!F$2:F$746,"DESLOCAMENTO CARREGADO"),0)</f>
        <v>2.1616666666666666</v>
      </c>
      <c r="F1101" s="10">
        <f>IFERROR(SUMIFS('Base bordo'!G$2:G$746,'Base bordo'!C$2:C$746,A1101,'Base bordo'!B$2:B$746,B1101,'Base bordo'!F$2:F$746,"DESLOCAMENTO"),0)</f>
        <v>0</v>
      </c>
      <c r="G1101" s="10">
        <f>IFERROR(SUMIFS('Base bordo'!G$2:G$746,'Base bordo'!C$2:C$746,A1101,'Base bordo'!B$2:B$746,B1101,'Base bordo'!F$2:F$746,"CARREGAMENTO"),0)</f>
        <v>0</v>
      </c>
      <c r="H1101" s="10">
        <f>IFERROR(SUMIFS('Base bordo'!G$2:G$746,'Base bordo'!C$2:C$746,A1101,'Base bordo'!B$2:B$746,B1101,'Base bordo'!F$2:F$746,"AGUARDANDO TRANSBORDO"),0)</f>
        <v>0.82333333333333336</v>
      </c>
      <c r="I1101" s="10">
        <f>IFERROR(SUMIFS('Base bordo'!G$2:G$746,'Base bordo'!C$2:C$746,A1101,'Base bordo'!B$2:B$746,B1101,'Base bordo'!F$2:F$746,"PÁTIO INTERNO"),0)+IFERROR(SUMIFS('Base bordo'!G$2:G$746,'Base bordo'!C$2:C$746,A1101,'Base bordo'!B$2:B$746,B1101,'Base bordo'!F$2:F$746,"PÁTIO EXTERNO"),0)+IFERROR(SUMIFS('Base bordo'!G$2:G$746,'Base bordo'!C$2:C$746,A1101,'Base bordo'!B$2:B$746,B1101,'Base bordo'!F$2:F$746,"PATIO - RESERVA"),0)+IFERROR(SUMIFS('Base bordo'!G$2:G$746,'Base bordo'!C$2:C$746,A1101,'Base bordo'!B$2:B$746,B1101,'Base bordo'!F$2:F$746,"MANOBRA CARRETAS-PATIO"),0)</f>
        <v>3.9758333333333336</v>
      </c>
      <c r="J1101" s="10">
        <f>IFERROR(SUMIFS('Base bordo'!G$2:G$746,'Base bordo'!C$2:C$746,A1101,'Base bordo'!B$2:B$746,B1101,'Base bordo'!F$2:F$746,"BALANÇA - ENTRADA"),0)+IFERROR(SUMIFS('Base bordo'!G$2:G$746,'Base bordo'!C$2:C$746,A1101,'Base bordo'!B$2:B$746,B1101,'Base bordo'!F$2:F$746,"BALANÇA - SAÍDA"),0)</f>
        <v>0</v>
      </c>
      <c r="K1101" s="10">
        <f>IFERROR(SUMIFS('Base bordo'!G$2:G$746,'Base bordo'!C$2:C$746,A1101,'Base bordo'!B$2:B$746,B1101,'Base bordo'!F$2:F$746,"MAN PREVENTIVA - MECANICA"),0)+IFERROR(SUMIFS('Base bordo'!G$2:G$746,'Base bordo'!C$2:C$746,A1101,'Base bordo'!B$2:B$746,B1101,'Base bordo'!F$2:F$746,"MAN CORRETIVA - MECANICA"),0)</f>
        <v>0</v>
      </c>
      <c r="L1101" s="10">
        <f>IFERROR(SUMIFS('Base bordo'!G$2:G$746,'Base bordo'!C$2:C$746,A1101,'Base bordo'!B$2:B$746,B1101,'Base bordo'!F$2:F$746,"MANUTENCAO - T O"),0)+IFERROR(SUMIFS('Base bordo'!G$2:G$746,'Base bordo'!C$2:C$746,A1101,'Base bordo'!B$2:B$746,B1101,'Base bordo'!F$2:F$746,"MANUTENCAO BORRACHARIA"),0)+IFERROR(SUMIFS('Base bordo'!G$2:G$746,'Base bordo'!C$2:C$746,A1101,'Base bordo'!B$2:B$746,B1101,'Base bordo'!F$2:F$746,"MANUTENCAO EXTERNA  CONCESSIONARIA"),0)+IFERROR(SUMIFS('Base bordo'!G$2:G$746,'Base bordo'!C$2:C$746,A1101,'Base bordo'!B$2:B$746,B1101,'Base bordo'!F$2:F$746,"MANUTENCAO TELEMETRIA"),0)</f>
        <v>0</v>
      </c>
      <c r="M1101" s="10">
        <f>IFERROR(SUMIFS('Base bordo'!G$2:G$746,'Base bordo'!C$2:C$746,A1101,'Base bordo'!B$2:B$746,B1101,'Base bordo'!F$2:F$746,"AGUARDANDO MANUTENCAO"),0)</f>
        <v>0</v>
      </c>
      <c r="N1101" s="10">
        <f>IFERROR(SUMIFS('Base bordo'!G$2:G$746,'Base bordo'!C$2:C$746,A1101,'Base bordo'!B$2:B$746,B1101,'Base bordo'!F$2:F$746,"SEM APONTAMENTO"),0)</f>
        <v>0</v>
      </c>
      <c r="O1101" s="10">
        <f t="shared" si="108"/>
        <v>0.26222222222222236</v>
      </c>
      <c r="P1101" s="10">
        <f>IFERROR(SUMIFS('Base bordo'!G$2:G$746,'Base bordo'!C$2:C$746,A1101,'Base bordo'!B$2:B$746,B1101),0)</f>
        <v>9.1813888888888897</v>
      </c>
      <c r="Q1101" s="10">
        <f>IFERROR(SUMIFS('Base bordo'!H$2:H$746,'Base bordo'!C$2:C$746,A1101,'Base bordo'!B$2:B$746,B1101,'Base bordo'!F$2:F$746,"DESLOCAMENTO VAZIO"),0)</f>
        <v>221588.27</v>
      </c>
      <c r="R1101" s="10">
        <f>IFERROR(SUMIFS('Base bordo'!I$2:I$746,'Base bordo'!C$2:C$746,A1101,'Base bordo'!B$2:B$746,B1101,'Base bordo'!F$2:F$746,"DESLOCAMENTO VAZIO"),0)</f>
        <v>7050</v>
      </c>
      <c r="S1101" s="30">
        <f t="shared" si="109"/>
        <v>31.430960283687941</v>
      </c>
      <c r="T1101" s="10">
        <f>IFERROR(SUMIFS('Base bordo'!H$2:H$746,'Base bordo'!C$2:C$746,A1101,'Base bordo'!B$2:B$746,B1101,'Base bordo'!F$2:F$746,"DESLOCAMENTO CARREGADO"),0)</f>
        <v>177589.6</v>
      </c>
      <c r="U1101" s="10">
        <f>IFERROR(SUMIFS('Base bordo'!I$2:I$746,'Base bordo'!C$2:C$746,A1101,'Base bordo'!B$2:B$746,B1101,'Base bordo'!F$2:F$746,"DESLOCAMENTO CARREGADO"),0)</f>
        <v>7782</v>
      </c>
      <c r="V1101" s="30">
        <f t="shared" si="110"/>
        <v>22.820560267283476</v>
      </c>
      <c r="W1101" s="9">
        <f t="shared" si="111"/>
        <v>0.21329380086527694</v>
      </c>
      <c r="X1101" s="9">
        <f t="shared" si="112"/>
        <v>0.23544005082745889</v>
      </c>
      <c r="Y1101" s="9">
        <f t="shared" si="113"/>
        <v>0.55126614830726406</v>
      </c>
    </row>
    <row r="1102" spans="1:25" ht="15" customHeight="1" x14ac:dyDescent="0.35">
      <c r="A1102" s="52">
        <v>8013468</v>
      </c>
      <c r="B1102" s="51">
        <v>46123</v>
      </c>
      <c r="C1102" s="7" t="s">
        <v>124</v>
      </c>
      <c r="D1102" s="10">
        <f>IFERROR(SUMIFS('Base bordo'!G$2:G$746,'Base bordo'!C$2:C$746,A1102,'Base bordo'!B$2:B$746,B1102,'Base bordo'!F$2:F$746,"DESLOCAMENTO VAZIO"),0)</f>
        <v>1.9583333333333333</v>
      </c>
      <c r="E1102" s="10">
        <f>IFERROR(SUMIFS('Base bordo'!G$2:G$746,'Base bordo'!C$2:C$746,A1102,'Base bordo'!B$2:B$746,B1102,'Base bordo'!F$2:F$746,"DESLOCAMENTO CARREGADO"),0)</f>
        <v>2.1616666666666666</v>
      </c>
      <c r="F1102" s="10">
        <f>IFERROR(SUMIFS('Base bordo'!G$2:G$746,'Base bordo'!C$2:C$746,A1102,'Base bordo'!B$2:B$746,B1102,'Base bordo'!F$2:F$746,"DESLOCAMENTO"),0)</f>
        <v>0</v>
      </c>
      <c r="G1102" s="10">
        <f>IFERROR(SUMIFS('Base bordo'!G$2:G$746,'Base bordo'!C$2:C$746,A1102,'Base bordo'!B$2:B$746,B1102,'Base bordo'!F$2:F$746,"CARREGAMENTO"),0)</f>
        <v>0</v>
      </c>
      <c r="H1102" s="10">
        <f>IFERROR(SUMIFS('Base bordo'!G$2:G$746,'Base bordo'!C$2:C$746,A1102,'Base bordo'!B$2:B$746,B1102,'Base bordo'!F$2:F$746,"AGUARDANDO TRANSBORDO"),0)</f>
        <v>0.82333333333333336</v>
      </c>
      <c r="I1102" s="10">
        <f>IFERROR(SUMIFS('Base bordo'!G$2:G$746,'Base bordo'!C$2:C$746,A1102,'Base bordo'!B$2:B$746,B1102,'Base bordo'!F$2:F$746,"PÁTIO INTERNO"),0)+IFERROR(SUMIFS('Base bordo'!G$2:G$746,'Base bordo'!C$2:C$746,A1102,'Base bordo'!B$2:B$746,B1102,'Base bordo'!F$2:F$746,"PÁTIO EXTERNO"),0)+IFERROR(SUMIFS('Base bordo'!G$2:G$746,'Base bordo'!C$2:C$746,A1102,'Base bordo'!B$2:B$746,B1102,'Base bordo'!F$2:F$746,"PATIO - RESERVA"),0)+IFERROR(SUMIFS('Base bordo'!G$2:G$746,'Base bordo'!C$2:C$746,A1102,'Base bordo'!B$2:B$746,B1102,'Base bordo'!F$2:F$746,"MANOBRA CARRETAS-PATIO"),0)</f>
        <v>3.9758333333333336</v>
      </c>
      <c r="J1102" s="10">
        <f>IFERROR(SUMIFS('Base bordo'!G$2:G$746,'Base bordo'!C$2:C$746,A1102,'Base bordo'!B$2:B$746,B1102,'Base bordo'!F$2:F$746,"BALANÇA - ENTRADA"),0)+IFERROR(SUMIFS('Base bordo'!G$2:G$746,'Base bordo'!C$2:C$746,A1102,'Base bordo'!B$2:B$746,B1102,'Base bordo'!F$2:F$746,"BALANÇA - SAÍDA"),0)</f>
        <v>0</v>
      </c>
      <c r="K1102" s="10">
        <f>IFERROR(SUMIFS('Base bordo'!G$2:G$746,'Base bordo'!C$2:C$746,A1102,'Base bordo'!B$2:B$746,B1102,'Base bordo'!F$2:F$746,"MAN PREVENTIVA - MECANICA"),0)+IFERROR(SUMIFS('Base bordo'!G$2:G$746,'Base bordo'!C$2:C$746,A1102,'Base bordo'!B$2:B$746,B1102,'Base bordo'!F$2:F$746,"MAN CORRETIVA - MECANICA"),0)</f>
        <v>0</v>
      </c>
      <c r="L1102" s="10">
        <f>IFERROR(SUMIFS('Base bordo'!G$2:G$746,'Base bordo'!C$2:C$746,A1102,'Base bordo'!B$2:B$746,B1102,'Base bordo'!F$2:F$746,"MANUTENCAO - T O"),0)+IFERROR(SUMIFS('Base bordo'!G$2:G$746,'Base bordo'!C$2:C$746,A1102,'Base bordo'!B$2:B$746,B1102,'Base bordo'!F$2:F$746,"MANUTENCAO BORRACHARIA"),0)+IFERROR(SUMIFS('Base bordo'!G$2:G$746,'Base bordo'!C$2:C$746,A1102,'Base bordo'!B$2:B$746,B1102,'Base bordo'!F$2:F$746,"MANUTENCAO EXTERNA  CONCESSIONARIA"),0)+IFERROR(SUMIFS('Base bordo'!G$2:G$746,'Base bordo'!C$2:C$746,A1102,'Base bordo'!B$2:B$746,B1102,'Base bordo'!F$2:F$746,"MANUTENCAO TELEMETRIA"),0)</f>
        <v>0</v>
      </c>
      <c r="M1102" s="10">
        <f>IFERROR(SUMIFS('Base bordo'!G$2:G$746,'Base bordo'!C$2:C$746,A1102,'Base bordo'!B$2:B$746,B1102,'Base bordo'!F$2:F$746,"AGUARDANDO MANUTENCAO"),0)</f>
        <v>0</v>
      </c>
      <c r="N1102" s="10">
        <f>IFERROR(SUMIFS('Base bordo'!G$2:G$746,'Base bordo'!C$2:C$746,A1102,'Base bordo'!B$2:B$746,B1102,'Base bordo'!F$2:F$746,"SEM APONTAMENTO"),0)</f>
        <v>0</v>
      </c>
      <c r="O1102" s="10">
        <f t="shared" si="108"/>
        <v>0.26222222222222236</v>
      </c>
      <c r="P1102" s="10">
        <f>IFERROR(SUMIFS('Base bordo'!G$2:G$746,'Base bordo'!C$2:C$746,A1102,'Base bordo'!B$2:B$746,B1102),0)</f>
        <v>9.1813888888888897</v>
      </c>
      <c r="Q1102" s="10">
        <f>IFERROR(SUMIFS('Base bordo'!H$2:H$746,'Base bordo'!C$2:C$746,A1102,'Base bordo'!B$2:B$746,B1102,'Base bordo'!F$2:F$746,"DESLOCAMENTO VAZIO"),0)</f>
        <v>221588.27</v>
      </c>
      <c r="R1102" s="10">
        <f>IFERROR(SUMIFS('Base bordo'!I$2:I$746,'Base bordo'!C$2:C$746,A1102,'Base bordo'!B$2:B$746,B1102,'Base bordo'!F$2:F$746,"DESLOCAMENTO VAZIO"),0)</f>
        <v>7050</v>
      </c>
      <c r="S1102" s="30">
        <f t="shared" si="109"/>
        <v>31.430960283687941</v>
      </c>
      <c r="T1102" s="10">
        <f>IFERROR(SUMIFS('Base bordo'!H$2:H$746,'Base bordo'!C$2:C$746,A1102,'Base bordo'!B$2:B$746,B1102,'Base bordo'!F$2:F$746,"DESLOCAMENTO CARREGADO"),0)</f>
        <v>177589.6</v>
      </c>
      <c r="U1102" s="10">
        <f>IFERROR(SUMIFS('Base bordo'!I$2:I$746,'Base bordo'!C$2:C$746,A1102,'Base bordo'!B$2:B$746,B1102,'Base bordo'!F$2:F$746,"DESLOCAMENTO CARREGADO"),0)</f>
        <v>7782</v>
      </c>
      <c r="V1102" s="30">
        <f t="shared" si="110"/>
        <v>22.820560267283476</v>
      </c>
      <c r="W1102" s="9">
        <f t="shared" si="111"/>
        <v>0.21329380086527694</v>
      </c>
      <c r="X1102" s="9">
        <f t="shared" si="112"/>
        <v>0.23544005082745889</v>
      </c>
      <c r="Y1102" s="9">
        <f t="shared" si="113"/>
        <v>0.55126614830726406</v>
      </c>
    </row>
    <row r="1103" spans="1:25" ht="15" customHeight="1" x14ac:dyDescent="0.35">
      <c r="A1103" s="52">
        <v>8013468</v>
      </c>
      <c r="B1103" s="51">
        <v>46123</v>
      </c>
      <c r="C1103" s="7" t="s">
        <v>124</v>
      </c>
      <c r="D1103" s="10">
        <f>IFERROR(SUMIFS('Base bordo'!G$2:G$746,'Base bordo'!C$2:C$746,A1103,'Base bordo'!B$2:B$746,B1103,'Base bordo'!F$2:F$746,"DESLOCAMENTO VAZIO"),0)</f>
        <v>1.9583333333333333</v>
      </c>
      <c r="E1103" s="10">
        <f>IFERROR(SUMIFS('Base bordo'!G$2:G$746,'Base bordo'!C$2:C$746,A1103,'Base bordo'!B$2:B$746,B1103,'Base bordo'!F$2:F$746,"DESLOCAMENTO CARREGADO"),0)</f>
        <v>2.1616666666666666</v>
      </c>
      <c r="F1103" s="10">
        <f>IFERROR(SUMIFS('Base bordo'!G$2:G$746,'Base bordo'!C$2:C$746,A1103,'Base bordo'!B$2:B$746,B1103,'Base bordo'!F$2:F$746,"DESLOCAMENTO"),0)</f>
        <v>0</v>
      </c>
      <c r="G1103" s="10">
        <f>IFERROR(SUMIFS('Base bordo'!G$2:G$746,'Base bordo'!C$2:C$746,A1103,'Base bordo'!B$2:B$746,B1103,'Base bordo'!F$2:F$746,"CARREGAMENTO"),0)</f>
        <v>0</v>
      </c>
      <c r="H1103" s="10">
        <f>IFERROR(SUMIFS('Base bordo'!G$2:G$746,'Base bordo'!C$2:C$746,A1103,'Base bordo'!B$2:B$746,B1103,'Base bordo'!F$2:F$746,"AGUARDANDO TRANSBORDO"),0)</f>
        <v>0.82333333333333336</v>
      </c>
      <c r="I1103" s="10">
        <f>IFERROR(SUMIFS('Base bordo'!G$2:G$746,'Base bordo'!C$2:C$746,A1103,'Base bordo'!B$2:B$746,B1103,'Base bordo'!F$2:F$746,"PÁTIO INTERNO"),0)+IFERROR(SUMIFS('Base bordo'!G$2:G$746,'Base bordo'!C$2:C$746,A1103,'Base bordo'!B$2:B$746,B1103,'Base bordo'!F$2:F$746,"PÁTIO EXTERNO"),0)+IFERROR(SUMIFS('Base bordo'!G$2:G$746,'Base bordo'!C$2:C$746,A1103,'Base bordo'!B$2:B$746,B1103,'Base bordo'!F$2:F$746,"PATIO - RESERVA"),0)+IFERROR(SUMIFS('Base bordo'!G$2:G$746,'Base bordo'!C$2:C$746,A1103,'Base bordo'!B$2:B$746,B1103,'Base bordo'!F$2:F$746,"MANOBRA CARRETAS-PATIO"),0)</f>
        <v>3.9758333333333336</v>
      </c>
      <c r="J1103" s="10">
        <f>IFERROR(SUMIFS('Base bordo'!G$2:G$746,'Base bordo'!C$2:C$746,A1103,'Base bordo'!B$2:B$746,B1103,'Base bordo'!F$2:F$746,"BALANÇA - ENTRADA"),0)+IFERROR(SUMIFS('Base bordo'!G$2:G$746,'Base bordo'!C$2:C$746,A1103,'Base bordo'!B$2:B$746,B1103,'Base bordo'!F$2:F$746,"BALANÇA - SAÍDA"),0)</f>
        <v>0</v>
      </c>
      <c r="K1103" s="10">
        <f>IFERROR(SUMIFS('Base bordo'!G$2:G$746,'Base bordo'!C$2:C$746,A1103,'Base bordo'!B$2:B$746,B1103,'Base bordo'!F$2:F$746,"MAN PREVENTIVA - MECANICA"),0)+IFERROR(SUMIFS('Base bordo'!G$2:G$746,'Base bordo'!C$2:C$746,A1103,'Base bordo'!B$2:B$746,B1103,'Base bordo'!F$2:F$746,"MAN CORRETIVA - MECANICA"),0)</f>
        <v>0</v>
      </c>
      <c r="L1103" s="10">
        <f>IFERROR(SUMIFS('Base bordo'!G$2:G$746,'Base bordo'!C$2:C$746,A1103,'Base bordo'!B$2:B$746,B1103,'Base bordo'!F$2:F$746,"MANUTENCAO - T O"),0)+IFERROR(SUMIFS('Base bordo'!G$2:G$746,'Base bordo'!C$2:C$746,A1103,'Base bordo'!B$2:B$746,B1103,'Base bordo'!F$2:F$746,"MANUTENCAO BORRACHARIA"),0)+IFERROR(SUMIFS('Base bordo'!G$2:G$746,'Base bordo'!C$2:C$746,A1103,'Base bordo'!B$2:B$746,B1103,'Base bordo'!F$2:F$746,"MANUTENCAO EXTERNA  CONCESSIONARIA"),0)+IFERROR(SUMIFS('Base bordo'!G$2:G$746,'Base bordo'!C$2:C$746,A1103,'Base bordo'!B$2:B$746,B1103,'Base bordo'!F$2:F$746,"MANUTENCAO TELEMETRIA"),0)</f>
        <v>0</v>
      </c>
      <c r="M1103" s="10">
        <f>IFERROR(SUMIFS('Base bordo'!G$2:G$746,'Base bordo'!C$2:C$746,A1103,'Base bordo'!B$2:B$746,B1103,'Base bordo'!F$2:F$746,"AGUARDANDO MANUTENCAO"),0)</f>
        <v>0</v>
      </c>
      <c r="N1103" s="10">
        <f>IFERROR(SUMIFS('Base bordo'!G$2:G$746,'Base bordo'!C$2:C$746,A1103,'Base bordo'!B$2:B$746,B1103,'Base bordo'!F$2:F$746,"SEM APONTAMENTO"),0)</f>
        <v>0</v>
      </c>
      <c r="O1103" s="10">
        <f t="shared" ref="O1103:O1166" si="114">IFERROR(P1103-SUM(D1103:N1103),0)</f>
        <v>0.26222222222222236</v>
      </c>
      <c r="P1103" s="10">
        <f>IFERROR(SUMIFS('Base bordo'!G$2:G$746,'Base bordo'!C$2:C$746,A1103,'Base bordo'!B$2:B$746,B1103),0)</f>
        <v>9.1813888888888897</v>
      </c>
      <c r="Q1103" s="10">
        <f>IFERROR(SUMIFS('Base bordo'!H$2:H$746,'Base bordo'!C$2:C$746,A1103,'Base bordo'!B$2:B$746,B1103,'Base bordo'!F$2:F$746,"DESLOCAMENTO VAZIO"),0)</f>
        <v>221588.27</v>
      </c>
      <c r="R1103" s="10">
        <f>IFERROR(SUMIFS('Base bordo'!I$2:I$746,'Base bordo'!C$2:C$746,A1103,'Base bordo'!B$2:B$746,B1103,'Base bordo'!F$2:F$746,"DESLOCAMENTO VAZIO"),0)</f>
        <v>7050</v>
      </c>
      <c r="S1103" s="30">
        <f t="shared" ref="S1103:S1166" si="115">IFERROR(Q1103/R1103,"")</f>
        <v>31.430960283687941</v>
      </c>
      <c r="T1103" s="10">
        <f>IFERROR(SUMIFS('Base bordo'!H$2:H$746,'Base bordo'!C$2:C$746,A1103,'Base bordo'!B$2:B$746,B1103,'Base bordo'!F$2:F$746,"DESLOCAMENTO CARREGADO"),0)</f>
        <v>177589.6</v>
      </c>
      <c r="U1103" s="10">
        <f>IFERROR(SUMIFS('Base bordo'!I$2:I$746,'Base bordo'!C$2:C$746,A1103,'Base bordo'!B$2:B$746,B1103,'Base bordo'!F$2:F$746,"DESLOCAMENTO CARREGADO"),0)</f>
        <v>7782</v>
      </c>
      <c r="V1103" s="30">
        <f t="shared" ref="V1103:V1166" si="116">IFERROR(T1103/U1103,"")</f>
        <v>22.820560267283476</v>
      </c>
      <c r="W1103" s="9">
        <f t="shared" ref="W1103:W1166" si="117">IFERROR(D1103/P1103,0)</f>
        <v>0.21329380086527694</v>
      </c>
      <c r="X1103" s="9">
        <f t="shared" ref="X1103:X1166" si="118">IFERROR(E1103/P1103,0)</f>
        <v>0.23544005082745889</v>
      </c>
      <c r="Y1103" s="9">
        <f t="shared" ref="Y1103:Y1166" si="119">IFERROR(1-((D1103+E1103)/P1103),0)</f>
        <v>0.55126614830726406</v>
      </c>
    </row>
    <row r="1104" spans="1:25" ht="15" customHeight="1" x14ac:dyDescent="0.35">
      <c r="A1104" s="52">
        <v>8013469</v>
      </c>
      <c r="B1104" s="51">
        <v>46123</v>
      </c>
      <c r="C1104" s="7" t="s">
        <v>124</v>
      </c>
      <c r="D1104" s="10">
        <f>IFERROR(SUMIFS('Base bordo'!G$2:G$746,'Base bordo'!C$2:C$746,A1104,'Base bordo'!B$2:B$746,B1104,'Base bordo'!F$2:F$746,"DESLOCAMENTO VAZIO"),0)</f>
        <v>1.6805555555555556</v>
      </c>
      <c r="E1104" s="10">
        <f>IFERROR(SUMIFS('Base bordo'!G$2:G$746,'Base bordo'!C$2:C$746,A1104,'Base bordo'!B$2:B$746,B1104,'Base bordo'!F$2:F$746,"DESLOCAMENTO CARREGADO"),0)</f>
        <v>2.6211111111111109</v>
      </c>
      <c r="F1104" s="10">
        <f>IFERROR(SUMIFS('Base bordo'!G$2:G$746,'Base bordo'!C$2:C$746,A1104,'Base bordo'!B$2:B$746,B1104,'Base bordo'!F$2:F$746,"DESLOCAMENTO"),0)</f>
        <v>0</v>
      </c>
      <c r="G1104" s="10">
        <f>IFERROR(SUMIFS('Base bordo'!G$2:G$746,'Base bordo'!C$2:C$746,A1104,'Base bordo'!B$2:B$746,B1104,'Base bordo'!F$2:F$746,"CARREGAMENTO"),0)</f>
        <v>0</v>
      </c>
      <c r="H1104" s="10">
        <f>IFERROR(SUMIFS('Base bordo'!G$2:G$746,'Base bordo'!C$2:C$746,A1104,'Base bordo'!B$2:B$746,B1104,'Base bordo'!F$2:F$746,"AGUARDANDO TRANSBORDO"),0)</f>
        <v>0.38972222222222225</v>
      </c>
      <c r="I1104" s="10">
        <f>IFERROR(SUMIFS('Base bordo'!G$2:G$746,'Base bordo'!C$2:C$746,A1104,'Base bordo'!B$2:B$746,B1104,'Base bordo'!F$2:F$746,"PÁTIO INTERNO"),0)+IFERROR(SUMIFS('Base bordo'!G$2:G$746,'Base bordo'!C$2:C$746,A1104,'Base bordo'!B$2:B$746,B1104,'Base bordo'!F$2:F$746,"PÁTIO EXTERNO"),0)+IFERROR(SUMIFS('Base bordo'!G$2:G$746,'Base bordo'!C$2:C$746,A1104,'Base bordo'!B$2:B$746,B1104,'Base bordo'!F$2:F$746,"PATIO - RESERVA"),0)+IFERROR(SUMIFS('Base bordo'!G$2:G$746,'Base bordo'!C$2:C$746,A1104,'Base bordo'!B$2:B$746,B1104,'Base bordo'!F$2:F$746,"MANOBRA CARRETAS-PATIO"),0)</f>
        <v>0.80083333333333329</v>
      </c>
      <c r="J1104" s="10">
        <f>IFERROR(SUMIFS('Base bordo'!G$2:G$746,'Base bordo'!C$2:C$746,A1104,'Base bordo'!B$2:B$746,B1104,'Base bordo'!F$2:F$746,"BALANÇA - ENTRADA"),0)+IFERROR(SUMIFS('Base bordo'!G$2:G$746,'Base bordo'!C$2:C$746,A1104,'Base bordo'!B$2:B$746,B1104,'Base bordo'!F$2:F$746,"BALANÇA - SAÍDA"),0)</f>
        <v>0</v>
      </c>
      <c r="K1104" s="10">
        <f>IFERROR(SUMIFS('Base bordo'!G$2:G$746,'Base bordo'!C$2:C$746,A1104,'Base bordo'!B$2:B$746,B1104,'Base bordo'!F$2:F$746,"MAN PREVENTIVA - MECANICA"),0)+IFERROR(SUMIFS('Base bordo'!G$2:G$746,'Base bordo'!C$2:C$746,A1104,'Base bordo'!B$2:B$746,B1104,'Base bordo'!F$2:F$746,"MAN CORRETIVA - MECANICA"),0)</f>
        <v>0</v>
      </c>
      <c r="L1104" s="10">
        <f>IFERROR(SUMIFS('Base bordo'!G$2:G$746,'Base bordo'!C$2:C$746,A1104,'Base bordo'!B$2:B$746,B1104,'Base bordo'!F$2:F$746,"MANUTENCAO - T O"),0)+IFERROR(SUMIFS('Base bordo'!G$2:G$746,'Base bordo'!C$2:C$746,A1104,'Base bordo'!B$2:B$746,B1104,'Base bordo'!F$2:F$746,"MANUTENCAO BORRACHARIA"),0)+IFERROR(SUMIFS('Base bordo'!G$2:G$746,'Base bordo'!C$2:C$746,A1104,'Base bordo'!B$2:B$746,B1104,'Base bordo'!F$2:F$746,"MANUTENCAO EXTERNA  CONCESSIONARIA"),0)+IFERROR(SUMIFS('Base bordo'!G$2:G$746,'Base bordo'!C$2:C$746,A1104,'Base bordo'!B$2:B$746,B1104,'Base bordo'!F$2:F$746,"MANUTENCAO TELEMETRIA"),0)</f>
        <v>0</v>
      </c>
      <c r="M1104" s="10">
        <f>IFERROR(SUMIFS('Base bordo'!G$2:G$746,'Base bordo'!C$2:C$746,A1104,'Base bordo'!B$2:B$746,B1104,'Base bordo'!F$2:F$746,"AGUARDANDO MANUTENCAO"),0)</f>
        <v>0</v>
      </c>
      <c r="N1104" s="10">
        <f>IFERROR(SUMIFS('Base bordo'!G$2:G$746,'Base bordo'!C$2:C$746,A1104,'Base bordo'!B$2:B$746,B1104,'Base bordo'!F$2:F$746,"SEM APONTAMENTO"),0)</f>
        <v>0</v>
      </c>
      <c r="O1104" s="10">
        <f t="shared" si="114"/>
        <v>3.0000000000000249E-2</v>
      </c>
      <c r="P1104" s="10">
        <f>IFERROR(SUMIFS('Base bordo'!G$2:G$746,'Base bordo'!C$2:C$746,A1104,'Base bordo'!B$2:B$746,B1104),0)</f>
        <v>5.5222222222222221</v>
      </c>
      <c r="Q1104" s="10">
        <f>IFERROR(SUMIFS('Base bordo'!H$2:H$746,'Base bordo'!C$2:C$746,A1104,'Base bordo'!B$2:B$746,B1104,'Base bordo'!F$2:F$746,"DESLOCAMENTO VAZIO"),0)</f>
        <v>213585.12</v>
      </c>
      <c r="R1104" s="10">
        <f>IFERROR(SUMIFS('Base bordo'!I$2:I$746,'Base bordo'!C$2:C$746,A1104,'Base bordo'!B$2:B$746,B1104,'Base bordo'!F$2:F$746,"DESLOCAMENTO VAZIO"),0)</f>
        <v>6050</v>
      </c>
      <c r="S1104" s="30">
        <f t="shared" si="115"/>
        <v>35.303325619834709</v>
      </c>
      <c r="T1104" s="10">
        <f>IFERROR(SUMIFS('Base bordo'!H$2:H$746,'Base bordo'!C$2:C$746,A1104,'Base bordo'!B$2:B$746,B1104,'Base bordo'!F$2:F$746,"DESLOCAMENTO CARREGADO"),0)</f>
        <v>215978.22</v>
      </c>
      <c r="U1104" s="10">
        <f>IFERROR(SUMIFS('Base bordo'!I$2:I$746,'Base bordo'!C$2:C$746,A1104,'Base bordo'!B$2:B$746,B1104,'Base bordo'!F$2:F$746,"DESLOCAMENTO CARREGADO"),0)</f>
        <v>9408</v>
      </c>
      <c r="V1104" s="30">
        <f t="shared" si="116"/>
        <v>22.95686862244898</v>
      </c>
      <c r="W1104" s="9">
        <f t="shared" si="117"/>
        <v>0.30432595573440646</v>
      </c>
      <c r="X1104" s="9">
        <f t="shared" si="118"/>
        <v>0.47464788732394364</v>
      </c>
      <c r="Y1104" s="9">
        <f t="shared" si="119"/>
        <v>0.22102615694164984</v>
      </c>
    </row>
    <row r="1105" spans="1:25" ht="15" customHeight="1" x14ac:dyDescent="0.35">
      <c r="A1105" s="52">
        <v>8013469</v>
      </c>
      <c r="B1105" s="51">
        <v>46123</v>
      </c>
      <c r="C1105" s="7" t="s">
        <v>124</v>
      </c>
      <c r="D1105" s="10">
        <f>IFERROR(SUMIFS('Base bordo'!G$2:G$746,'Base bordo'!C$2:C$746,A1105,'Base bordo'!B$2:B$746,B1105,'Base bordo'!F$2:F$746,"DESLOCAMENTO VAZIO"),0)</f>
        <v>1.6805555555555556</v>
      </c>
      <c r="E1105" s="10">
        <f>IFERROR(SUMIFS('Base bordo'!G$2:G$746,'Base bordo'!C$2:C$746,A1105,'Base bordo'!B$2:B$746,B1105,'Base bordo'!F$2:F$746,"DESLOCAMENTO CARREGADO"),0)</f>
        <v>2.6211111111111109</v>
      </c>
      <c r="F1105" s="10">
        <f>IFERROR(SUMIFS('Base bordo'!G$2:G$746,'Base bordo'!C$2:C$746,A1105,'Base bordo'!B$2:B$746,B1105,'Base bordo'!F$2:F$746,"DESLOCAMENTO"),0)</f>
        <v>0</v>
      </c>
      <c r="G1105" s="10">
        <f>IFERROR(SUMIFS('Base bordo'!G$2:G$746,'Base bordo'!C$2:C$746,A1105,'Base bordo'!B$2:B$746,B1105,'Base bordo'!F$2:F$746,"CARREGAMENTO"),0)</f>
        <v>0</v>
      </c>
      <c r="H1105" s="10">
        <f>IFERROR(SUMIFS('Base bordo'!G$2:G$746,'Base bordo'!C$2:C$746,A1105,'Base bordo'!B$2:B$746,B1105,'Base bordo'!F$2:F$746,"AGUARDANDO TRANSBORDO"),0)</f>
        <v>0.38972222222222225</v>
      </c>
      <c r="I1105" s="10">
        <f>IFERROR(SUMIFS('Base bordo'!G$2:G$746,'Base bordo'!C$2:C$746,A1105,'Base bordo'!B$2:B$746,B1105,'Base bordo'!F$2:F$746,"PÁTIO INTERNO"),0)+IFERROR(SUMIFS('Base bordo'!G$2:G$746,'Base bordo'!C$2:C$746,A1105,'Base bordo'!B$2:B$746,B1105,'Base bordo'!F$2:F$746,"PÁTIO EXTERNO"),0)+IFERROR(SUMIFS('Base bordo'!G$2:G$746,'Base bordo'!C$2:C$746,A1105,'Base bordo'!B$2:B$746,B1105,'Base bordo'!F$2:F$746,"PATIO - RESERVA"),0)+IFERROR(SUMIFS('Base bordo'!G$2:G$746,'Base bordo'!C$2:C$746,A1105,'Base bordo'!B$2:B$746,B1105,'Base bordo'!F$2:F$746,"MANOBRA CARRETAS-PATIO"),0)</f>
        <v>0.80083333333333329</v>
      </c>
      <c r="J1105" s="10">
        <f>IFERROR(SUMIFS('Base bordo'!G$2:G$746,'Base bordo'!C$2:C$746,A1105,'Base bordo'!B$2:B$746,B1105,'Base bordo'!F$2:F$746,"BALANÇA - ENTRADA"),0)+IFERROR(SUMIFS('Base bordo'!G$2:G$746,'Base bordo'!C$2:C$746,A1105,'Base bordo'!B$2:B$746,B1105,'Base bordo'!F$2:F$746,"BALANÇA - SAÍDA"),0)</f>
        <v>0</v>
      </c>
      <c r="K1105" s="10">
        <f>IFERROR(SUMIFS('Base bordo'!G$2:G$746,'Base bordo'!C$2:C$746,A1105,'Base bordo'!B$2:B$746,B1105,'Base bordo'!F$2:F$746,"MAN PREVENTIVA - MECANICA"),0)+IFERROR(SUMIFS('Base bordo'!G$2:G$746,'Base bordo'!C$2:C$746,A1105,'Base bordo'!B$2:B$746,B1105,'Base bordo'!F$2:F$746,"MAN CORRETIVA - MECANICA"),0)</f>
        <v>0</v>
      </c>
      <c r="L1105" s="10">
        <f>IFERROR(SUMIFS('Base bordo'!G$2:G$746,'Base bordo'!C$2:C$746,A1105,'Base bordo'!B$2:B$746,B1105,'Base bordo'!F$2:F$746,"MANUTENCAO - T O"),0)+IFERROR(SUMIFS('Base bordo'!G$2:G$746,'Base bordo'!C$2:C$746,A1105,'Base bordo'!B$2:B$746,B1105,'Base bordo'!F$2:F$746,"MANUTENCAO BORRACHARIA"),0)+IFERROR(SUMIFS('Base bordo'!G$2:G$746,'Base bordo'!C$2:C$746,A1105,'Base bordo'!B$2:B$746,B1105,'Base bordo'!F$2:F$746,"MANUTENCAO EXTERNA  CONCESSIONARIA"),0)+IFERROR(SUMIFS('Base bordo'!G$2:G$746,'Base bordo'!C$2:C$746,A1105,'Base bordo'!B$2:B$746,B1105,'Base bordo'!F$2:F$746,"MANUTENCAO TELEMETRIA"),0)</f>
        <v>0</v>
      </c>
      <c r="M1105" s="10">
        <f>IFERROR(SUMIFS('Base bordo'!G$2:G$746,'Base bordo'!C$2:C$746,A1105,'Base bordo'!B$2:B$746,B1105,'Base bordo'!F$2:F$746,"AGUARDANDO MANUTENCAO"),0)</f>
        <v>0</v>
      </c>
      <c r="N1105" s="10">
        <f>IFERROR(SUMIFS('Base bordo'!G$2:G$746,'Base bordo'!C$2:C$746,A1105,'Base bordo'!B$2:B$746,B1105,'Base bordo'!F$2:F$746,"SEM APONTAMENTO"),0)</f>
        <v>0</v>
      </c>
      <c r="O1105" s="10">
        <f t="shared" si="114"/>
        <v>3.0000000000000249E-2</v>
      </c>
      <c r="P1105" s="10">
        <f>IFERROR(SUMIFS('Base bordo'!G$2:G$746,'Base bordo'!C$2:C$746,A1105,'Base bordo'!B$2:B$746,B1105),0)</f>
        <v>5.5222222222222221</v>
      </c>
      <c r="Q1105" s="10">
        <f>IFERROR(SUMIFS('Base bordo'!H$2:H$746,'Base bordo'!C$2:C$746,A1105,'Base bordo'!B$2:B$746,B1105,'Base bordo'!F$2:F$746,"DESLOCAMENTO VAZIO"),0)</f>
        <v>213585.12</v>
      </c>
      <c r="R1105" s="10">
        <f>IFERROR(SUMIFS('Base bordo'!I$2:I$746,'Base bordo'!C$2:C$746,A1105,'Base bordo'!B$2:B$746,B1105,'Base bordo'!F$2:F$746,"DESLOCAMENTO VAZIO"),0)</f>
        <v>6050</v>
      </c>
      <c r="S1105" s="30">
        <f t="shared" si="115"/>
        <v>35.303325619834709</v>
      </c>
      <c r="T1105" s="10">
        <f>IFERROR(SUMIFS('Base bordo'!H$2:H$746,'Base bordo'!C$2:C$746,A1105,'Base bordo'!B$2:B$746,B1105,'Base bordo'!F$2:F$746,"DESLOCAMENTO CARREGADO"),0)</f>
        <v>215978.22</v>
      </c>
      <c r="U1105" s="10">
        <f>IFERROR(SUMIFS('Base bordo'!I$2:I$746,'Base bordo'!C$2:C$746,A1105,'Base bordo'!B$2:B$746,B1105,'Base bordo'!F$2:F$746,"DESLOCAMENTO CARREGADO"),0)</f>
        <v>9408</v>
      </c>
      <c r="V1105" s="30">
        <f t="shared" si="116"/>
        <v>22.95686862244898</v>
      </c>
      <c r="W1105" s="9">
        <f t="shared" si="117"/>
        <v>0.30432595573440646</v>
      </c>
      <c r="X1105" s="9">
        <f t="shared" si="118"/>
        <v>0.47464788732394364</v>
      </c>
      <c r="Y1105" s="9">
        <f t="shared" si="119"/>
        <v>0.22102615694164984</v>
      </c>
    </row>
    <row r="1106" spans="1:25" ht="15" customHeight="1" x14ac:dyDescent="0.35">
      <c r="A1106" s="52">
        <v>8013469</v>
      </c>
      <c r="B1106" s="51">
        <v>46123</v>
      </c>
      <c r="C1106" s="7" t="s">
        <v>124</v>
      </c>
      <c r="D1106" s="10">
        <f>IFERROR(SUMIFS('Base bordo'!G$2:G$746,'Base bordo'!C$2:C$746,A1106,'Base bordo'!B$2:B$746,B1106,'Base bordo'!F$2:F$746,"DESLOCAMENTO VAZIO"),0)</f>
        <v>1.6805555555555556</v>
      </c>
      <c r="E1106" s="10">
        <f>IFERROR(SUMIFS('Base bordo'!G$2:G$746,'Base bordo'!C$2:C$746,A1106,'Base bordo'!B$2:B$746,B1106,'Base bordo'!F$2:F$746,"DESLOCAMENTO CARREGADO"),0)</f>
        <v>2.6211111111111109</v>
      </c>
      <c r="F1106" s="10">
        <f>IFERROR(SUMIFS('Base bordo'!G$2:G$746,'Base bordo'!C$2:C$746,A1106,'Base bordo'!B$2:B$746,B1106,'Base bordo'!F$2:F$746,"DESLOCAMENTO"),0)</f>
        <v>0</v>
      </c>
      <c r="G1106" s="10">
        <f>IFERROR(SUMIFS('Base bordo'!G$2:G$746,'Base bordo'!C$2:C$746,A1106,'Base bordo'!B$2:B$746,B1106,'Base bordo'!F$2:F$746,"CARREGAMENTO"),0)</f>
        <v>0</v>
      </c>
      <c r="H1106" s="10">
        <f>IFERROR(SUMIFS('Base bordo'!G$2:G$746,'Base bordo'!C$2:C$746,A1106,'Base bordo'!B$2:B$746,B1106,'Base bordo'!F$2:F$746,"AGUARDANDO TRANSBORDO"),0)</f>
        <v>0.38972222222222225</v>
      </c>
      <c r="I1106" s="10">
        <f>IFERROR(SUMIFS('Base bordo'!G$2:G$746,'Base bordo'!C$2:C$746,A1106,'Base bordo'!B$2:B$746,B1106,'Base bordo'!F$2:F$746,"PÁTIO INTERNO"),0)+IFERROR(SUMIFS('Base bordo'!G$2:G$746,'Base bordo'!C$2:C$746,A1106,'Base bordo'!B$2:B$746,B1106,'Base bordo'!F$2:F$746,"PÁTIO EXTERNO"),0)+IFERROR(SUMIFS('Base bordo'!G$2:G$746,'Base bordo'!C$2:C$746,A1106,'Base bordo'!B$2:B$746,B1106,'Base bordo'!F$2:F$746,"PATIO - RESERVA"),0)+IFERROR(SUMIFS('Base bordo'!G$2:G$746,'Base bordo'!C$2:C$746,A1106,'Base bordo'!B$2:B$746,B1106,'Base bordo'!F$2:F$746,"MANOBRA CARRETAS-PATIO"),0)</f>
        <v>0.80083333333333329</v>
      </c>
      <c r="J1106" s="10">
        <f>IFERROR(SUMIFS('Base bordo'!G$2:G$746,'Base bordo'!C$2:C$746,A1106,'Base bordo'!B$2:B$746,B1106,'Base bordo'!F$2:F$746,"BALANÇA - ENTRADA"),0)+IFERROR(SUMIFS('Base bordo'!G$2:G$746,'Base bordo'!C$2:C$746,A1106,'Base bordo'!B$2:B$746,B1106,'Base bordo'!F$2:F$746,"BALANÇA - SAÍDA"),0)</f>
        <v>0</v>
      </c>
      <c r="K1106" s="10">
        <f>IFERROR(SUMIFS('Base bordo'!G$2:G$746,'Base bordo'!C$2:C$746,A1106,'Base bordo'!B$2:B$746,B1106,'Base bordo'!F$2:F$746,"MAN PREVENTIVA - MECANICA"),0)+IFERROR(SUMIFS('Base bordo'!G$2:G$746,'Base bordo'!C$2:C$746,A1106,'Base bordo'!B$2:B$746,B1106,'Base bordo'!F$2:F$746,"MAN CORRETIVA - MECANICA"),0)</f>
        <v>0</v>
      </c>
      <c r="L1106" s="10">
        <f>IFERROR(SUMIFS('Base bordo'!G$2:G$746,'Base bordo'!C$2:C$746,A1106,'Base bordo'!B$2:B$746,B1106,'Base bordo'!F$2:F$746,"MANUTENCAO - T O"),0)+IFERROR(SUMIFS('Base bordo'!G$2:G$746,'Base bordo'!C$2:C$746,A1106,'Base bordo'!B$2:B$746,B1106,'Base bordo'!F$2:F$746,"MANUTENCAO BORRACHARIA"),0)+IFERROR(SUMIFS('Base bordo'!G$2:G$746,'Base bordo'!C$2:C$746,A1106,'Base bordo'!B$2:B$746,B1106,'Base bordo'!F$2:F$746,"MANUTENCAO EXTERNA  CONCESSIONARIA"),0)+IFERROR(SUMIFS('Base bordo'!G$2:G$746,'Base bordo'!C$2:C$746,A1106,'Base bordo'!B$2:B$746,B1106,'Base bordo'!F$2:F$746,"MANUTENCAO TELEMETRIA"),0)</f>
        <v>0</v>
      </c>
      <c r="M1106" s="10">
        <f>IFERROR(SUMIFS('Base bordo'!G$2:G$746,'Base bordo'!C$2:C$746,A1106,'Base bordo'!B$2:B$746,B1106,'Base bordo'!F$2:F$746,"AGUARDANDO MANUTENCAO"),0)</f>
        <v>0</v>
      </c>
      <c r="N1106" s="10">
        <f>IFERROR(SUMIFS('Base bordo'!G$2:G$746,'Base bordo'!C$2:C$746,A1106,'Base bordo'!B$2:B$746,B1106,'Base bordo'!F$2:F$746,"SEM APONTAMENTO"),0)</f>
        <v>0</v>
      </c>
      <c r="O1106" s="10">
        <f t="shared" si="114"/>
        <v>3.0000000000000249E-2</v>
      </c>
      <c r="P1106" s="10">
        <f>IFERROR(SUMIFS('Base bordo'!G$2:G$746,'Base bordo'!C$2:C$746,A1106,'Base bordo'!B$2:B$746,B1106),0)</f>
        <v>5.5222222222222221</v>
      </c>
      <c r="Q1106" s="10">
        <f>IFERROR(SUMIFS('Base bordo'!H$2:H$746,'Base bordo'!C$2:C$746,A1106,'Base bordo'!B$2:B$746,B1106,'Base bordo'!F$2:F$746,"DESLOCAMENTO VAZIO"),0)</f>
        <v>213585.12</v>
      </c>
      <c r="R1106" s="10">
        <f>IFERROR(SUMIFS('Base bordo'!I$2:I$746,'Base bordo'!C$2:C$746,A1106,'Base bordo'!B$2:B$746,B1106,'Base bordo'!F$2:F$746,"DESLOCAMENTO VAZIO"),0)</f>
        <v>6050</v>
      </c>
      <c r="S1106" s="30">
        <f t="shared" si="115"/>
        <v>35.303325619834709</v>
      </c>
      <c r="T1106" s="10">
        <f>IFERROR(SUMIFS('Base bordo'!H$2:H$746,'Base bordo'!C$2:C$746,A1106,'Base bordo'!B$2:B$746,B1106,'Base bordo'!F$2:F$746,"DESLOCAMENTO CARREGADO"),0)</f>
        <v>215978.22</v>
      </c>
      <c r="U1106" s="10">
        <f>IFERROR(SUMIFS('Base bordo'!I$2:I$746,'Base bordo'!C$2:C$746,A1106,'Base bordo'!B$2:B$746,B1106,'Base bordo'!F$2:F$746,"DESLOCAMENTO CARREGADO"),0)</f>
        <v>9408</v>
      </c>
      <c r="V1106" s="30">
        <f t="shared" si="116"/>
        <v>22.95686862244898</v>
      </c>
      <c r="W1106" s="9">
        <f t="shared" si="117"/>
        <v>0.30432595573440646</v>
      </c>
      <c r="X1106" s="9">
        <f t="shared" si="118"/>
        <v>0.47464788732394364</v>
      </c>
      <c r="Y1106" s="9">
        <f t="shared" si="119"/>
        <v>0.22102615694164984</v>
      </c>
    </row>
    <row r="1107" spans="1:25" ht="15" customHeight="1" x14ac:dyDescent="0.35">
      <c r="A1107" s="52">
        <v>8013469</v>
      </c>
      <c r="B1107" s="51">
        <v>46123</v>
      </c>
      <c r="C1107" s="7" t="s">
        <v>124</v>
      </c>
      <c r="D1107" s="10">
        <f>IFERROR(SUMIFS('Base bordo'!G$2:G$746,'Base bordo'!C$2:C$746,A1107,'Base bordo'!B$2:B$746,B1107,'Base bordo'!F$2:F$746,"DESLOCAMENTO VAZIO"),0)</f>
        <v>1.6805555555555556</v>
      </c>
      <c r="E1107" s="10">
        <f>IFERROR(SUMIFS('Base bordo'!G$2:G$746,'Base bordo'!C$2:C$746,A1107,'Base bordo'!B$2:B$746,B1107,'Base bordo'!F$2:F$746,"DESLOCAMENTO CARREGADO"),0)</f>
        <v>2.6211111111111109</v>
      </c>
      <c r="F1107" s="10">
        <f>IFERROR(SUMIFS('Base bordo'!G$2:G$746,'Base bordo'!C$2:C$746,A1107,'Base bordo'!B$2:B$746,B1107,'Base bordo'!F$2:F$746,"DESLOCAMENTO"),0)</f>
        <v>0</v>
      </c>
      <c r="G1107" s="10">
        <f>IFERROR(SUMIFS('Base bordo'!G$2:G$746,'Base bordo'!C$2:C$746,A1107,'Base bordo'!B$2:B$746,B1107,'Base bordo'!F$2:F$746,"CARREGAMENTO"),0)</f>
        <v>0</v>
      </c>
      <c r="H1107" s="10">
        <f>IFERROR(SUMIFS('Base bordo'!G$2:G$746,'Base bordo'!C$2:C$746,A1107,'Base bordo'!B$2:B$746,B1107,'Base bordo'!F$2:F$746,"AGUARDANDO TRANSBORDO"),0)</f>
        <v>0.38972222222222225</v>
      </c>
      <c r="I1107" s="10">
        <f>IFERROR(SUMIFS('Base bordo'!G$2:G$746,'Base bordo'!C$2:C$746,A1107,'Base bordo'!B$2:B$746,B1107,'Base bordo'!F$2:F$746,"PÁTIO INTERNO"),0)+IFERROR(SUMIFS('Base bordo'!G$2:G$746,'Base bordo'!C$2:C$746,A1107,'Base bordo'!B$2:B$746,B1107,'Base bordo'!F$2:F$746,"PÁTIO EXTERNO"),0)+IFERROR(SUMIFS('Base bordo'!G$2:G$746,'Base bordo'!C$2:C$746,A1107,'Base bordo'!B$2:B$746,B1107,'Base bordo'!F$2:F$746,"PATIO - RESERVA"),0)+IFERROR(SUMIFS('Base bordo'!G$2:G$746,'Base bordo'!C$2:C$746,A1107,'Base bordo'!B$2:B$746,B1107,'Base bordo'!F$2:F$746,"MANOBRA CARRETAS-PATIO"),0)</f>
        <v>0.80083333333333329</v>
      </c>
      <c r="J1107" s="10">
        <f>IFERROR(SUMIFS('Base bordo'!G$2:G$746,'Base bordo'!C$2:C$746,A1107,'Base bordo'!B$2:B$746,B1107,'Base bordo'!F$2:F$746,"BALANÇA - ENTRADA"),0)+IFERROR(SUMIFS('Base bordo'!G$2:G$746,'Base bordo'!C$2:C$746,A1107,'Base bordo'!B$2:B$746,B1107,'Base bordo'!F$2:F$746,"BALANÇA - SAÍDA"),0)</f>
        <v>0</v>
      </c>
      <c r="K1107" s="10">
        <f>IFERROR(SUMIFS('Base bordo'!G$2:G$746,'Base bordo'!C$2:C$746,A1107,'Base bordo'!B$2:B$746,B1107,'Base bordo'!F$2:F$746,"MAN PREVENTIVA - MECANICA"),0)+IFERROR(SUMIFS('Base bordo'!G$2:G$746,'Base bordo'!C$2:C$746,A1107,'Base bordo'!B$2:B$746,B1107,'Base bordo'!F$2:F$746,"MAN CORRETIVA - MECANICA"),0)</f>
        <v>0</v>
      </c>
      <c r="L1107" s="10">
        <f>IFERROR(SUMIFS('Base bordo'!G$2:G$746,'Base bordo'!C$2:C$746,A1107,'Base bordo'!B$2:B$746,B1107,'Base bordo'!F$2:F$746,"MANUTENCAO - T O"),0)+IFERROR(SUMIFS('Base bordo'!G$2:G$746,'Base bordo'!C$2:C$746,A1107,'Base bordo'!B$2:B$746,B1107,'Base bordo'!F$2:F$746,"MANUTENCAO BORRACHARIA"),0)+IFERROR(SUMIFS('Base bordo'!G$2:G$746,'Base bordo'!C$2:C$746,A1107,'Base bordo'!B$2:B$746,B1107,'Base bordo'!F$2:F$746,"MANUTENCAO EXTERNA  CONCESSIONARIA"),0)+IFERROR(SUMIFS('Base bordo'!G$2:G$746,'Base bordo'!C$2:C$746,A1107,'Base bordo'!B$2:B$746,B1107,'Base bordo'!F$2:F$746,"MANUTENCAO TELEMETRIA"),0)</f>
        <v>0</v>
      </c>
      <c r="M1107" s="10">
        <f>IFERROR(SUMIFS('Base bordo'!G$2:G$746,'Base bordo'!C$2:C$746,A1107,'Base bordo'!B$2:B$746,B1107,'Base bordo'!F$2:F$746,"AGUARDANDO MANUTENCAO"),0)</f>
        <v>0</v>
      </c>
      <c r="N1107" s="10">
        <f>IFERROR(SUMIFS('Base bordo'!G$2:G$746,'Base bordo'!C$2:C$746,A1107,'Base bordo'!B$2:B$746,B1107,'Base bordo'!F$2:F$746,"SEM APONTAMENTO"),0)</f>
        <v>0</v>
      </c>
      <c r="O1107" s="10">
        <f t="shared" si="114"/>
        <v>3.0000000000000249E-2</v>
      </c>
      <c r="P1107" s="10">
        <f>IFERROR(SUMIFS('Base bordo'!G$2:G$746,'Base bordo'!C$2:C$746,A1107,'Base bordo'!B$2:B$746,B1107),0)</f>
        <v>5.5222222222222221</v>
      </c>
      <c r="Q1107" s="10">
        <f>IFERROR(SUMIFS('Base bordo'!H$2:H$746,'Base bordo'!C$2:C$746,A1107,'Base bordo'!B$2:B$746,B1107,'Base bordo'!F$2:F$746,"DESLOCAMENTO VAZIO"),0)</f>
        <v>213585.12</v>
      </c>
      <c r="R1107" s="10">
        <f>IFERROR(SUMIFS('Base bordo'!I$2:I$746,'Base bordo'!C$2:C$746,A1107,'Base bordo'!B$2:B$746,B1107,'Base bordo'!F$2:F$746,"DESLOCAMENTO VAZIO"),0)</f>
        <v>6050</v>
      </c>
      <c r="S1107" s="30">
        <f t="shared" si="115"/>
        <v>35.303325619834709</v>
      </c>
      <c r="T1107" s="10">
        <f>IFERROR(SUMIFS('Base bordo'!H$2:H$746,'Base bordo'!C$2:C$746,A1107,'Base bordo'!B$2:B$746,B1107,'Base bordo'!F$2:F$746,"DESLOCAMENTO CARREGADO"),0)</f>
        <v>215978.22</v>
      </c>
      <c r="U1107" s="10">
        <f>IFERROR(SUMIFS('Base bordo'!I$2:I$746,'Base bordo'!C$2:C$746,A1107,'Base bordo'!B$2:B$746,B1107,'Base bordo'!F$2:F$746,"DESLOCAMENTO CARREGADO"),0)</f>
        <v>9408</v>
      </c>
      <c r="V1107" s="30">
        <f t="shared" si="116"/>
        <v>22.95686862244898</v>
      </c>
      <c r="W1107" s="9">
        <f t="shared" si="117"/>
        <v>0.30432595573440646</v>
      </c>
      <c r="X1107" s="9">
        <f t="shared" si="118"/>
        <v>0.47464788732394364</v>
      </c>
      <c r="Y1107" s="9">
        <f t="shared" si="119"/>
        <v>0.22102615694164984</v>
      </c>
    </row>
    <row r="1108" spans="1:25" ht="15" customHeight="1" x14ac:dyDescent="0.35">
      <c r="A1108" s="52">
        <v>8013469</v>
      </c>
      <c r="B1108" s="51">
        <v>46123</v>
      </c>
      <c r="C1108" s="7" t="s">
        <v>124</v>
      </c>
      <c r="D1108" s="10">
        <f>IFERROR(SUMIFS('Base bordo'!G$2:G$746,'Base bordo'!C$2:C$746,A1108,'Base bordo'!B$2:B$746,B1108,'Base bordo'!F$2:F$746,"DESLOCAMENTO VAZIO"),0)</f>
        <v>1.6805555555555556</v>
      </c>
      <c r="E1108" s="10">
        <f>IFERROR(SUMIFS('Base bordo'!G$2:G$746,'Base bordo'!C$2:C$746,A1108,'Base bordo'!B$2:B$746,B1108,'Base bordo'!F$2:F$746,"DESLOCAMENTO CARREGADO"),0)</f>
        <v>2.6211111111111109</v>
      </c>
      <c r="F1108" s="10">
        <f>IFERROR(SUMIFS('Base bordo'!G$2:G$746,'Base bordo'!C$2:C$746,A1108,'Base bordo'!B$2:B$746,B1108,'Base bordo'!F$2:F$746,"DESLOCAMENTO"),0)</f>
        <v>0</v>
      </c>
      <c r="G1108" s="10">
        <f>IFERROR(SUMIFS('Base bordo'!G$2:G$746,'Base bordo'!C$2:C$746,A1108,'Base bordo'!B$2:B$746,B1108,'Base bordo'!F$2:F$746,"CARREGAMENTO"),0)</f>
        <v>0</v>
      </c>
      <c r="H1108" s="10">
        <f>IFERROR(SUMIFS('Base bordo'!G$2:G$746,'Base bordo'!C$2:C$746,A1108,'Base bordo'!B$2:B$746,B1108,'Base bordo'!F$2:F$746,"AGUARDANDO TRANSBORDO"),0)</f>
        <v>0.38972222222222225</v>
      </c>
      <c r="I1108" s="10">
        <f>IFERROR(SUMIFS('Base bordo'!G$2:G$746,'Base bordo'!C$2:C$746,A1108,'Base bordo'!B$2:B$746,B1108,'Base bordo'!F$2:F$746,"PÁTIO INTERNO"),0)+IFERROR(SUMIFS('Base bordo'!G$2:G$746,'Base bordo'!C$2:C$746,A1108,'Base bordo'!B$2:B$746,B1108,'Base bordo'!F$2:F$746,"PÁTIO EXTERNO"),0)+IFERROR(SUMIFS('Base bordo'!G$2:G$746,'Base bordo'!C$2:C$746,A1108,'Base bordo'!B$2:B$746,B1108,'Base bordo'!F$2:F$746,"PATIO - RESERVA"),0)+IFERROR(SUMIFS('Base bordo'!G$2:G$746,'Base bordo'!C$2:C$746,A1108,'Base bordo'!B$2:B$746,B1108,'Base bordo'!F$2:F$746,"MANOBRA CARRETAS-PATIO"),0)</f>
        <v>0.80083333333333329</v>
      </c>
      <c r="J1108" s="10">
        <f>IFERROR(SUMIFS('Base bordo'!G$2:G$746,'Base bordo'!C$2:C$746,A1108,'Base bordo'!B$2:B$746,B1108,'Base bordo'!F$2:F$746,"BALANÇA - ENTRADA"),0)+IFERROR(SUMIFS('Base bordo'!G$2:G$746,'Base bordo'!C$2:C$746,A1108,'Base bordo'!B$2:B$746,B1108,'Base bordo'!F$2:F$746,"BALANÇA - SAÍDA"),0)</f>
        <v>0</v>
      </c>
      <c r="K1108" s="10">
        <f>IFERROR(SUMIFS('Base bordo'!G$2:G$746,'Base bordo'!C$2:C$746,A1108,'Base bordo'!B$2:B$746,B1108,'Base bordo'!F$2:F$746,"MAN PREVENTIVA - MECANICA"),0)+IFERROR(SUMIFS('Base bordo'!G$2:G$746,'Base bordo'!C$2:C$746,A1108,'Base bordo'!B$2:B$746,B1108,'Base bordo'!F$2:F$746,"MAN CORRETIVA - MECANICA"),0)</f>
        <v>0</v>
      </c>
      <c r="L1108" s="10">
        <f>IFERROR(SUMIFS('Base bordo'!G$2:G$746,'Base bordo'!C$2:C$746,A1108,'Base bordo'!B$2:B$746,B1108,'Base bordo'!F$2:F$746,"MANUTENCAO - T O"),0)+IFERROR(SUMIFS('Base bordo'!G$2:G$746,'Base bordo'!C$2:C$746,A1108,'Base bordo'!B$2:B$746,B1108,'Base bordo'!F$2:F$746,"MANUTENCAO BORRACHARIA"),0)+IFERROR(SUMIFS('Base bordo'!G$2:G$746,'Base bordo'!C$2:C$746,A1108,'Base bordo'!B$2:B$746,B1108,'Base bordo'!F$2:F$746,"MANUTENCAO EXTERNA  CONCESSIONARIA"),0)+IFERROR(SUMIFS('Base bordo'!G$2:G$746,'Base bordo'!C$2:C$746,A1108,'Base bordo'!B$2:B$746,B1108,'Base bordo'!F$2:F$746,"MANUTENCAO TELEMETRIA"),0)</f>
        <v>0</v>
      </c>
      <c r="M1108" s="10">
        <f>IFERROR(SUMIFS('Base bordo'!G$2:G$746,'Base bordo'!C$2:C$746,A1108,'Base bordo'!B$2:B$746,B1108,'Base bordo'!F$2:F$746,"AGUARDANDO MANUTENCAO"),0)</f>
        <v>0</v>
      </c>
      <c r="N1108" s="10">
        <f>IFERROR(SUMIFS('Base bordo'!G$2:G$746,'Base bordo'!C$2:C$746,A1108,'Base bordo'!B$2:B$746,B1108,'Base bordo'!F$2:F$746,"SEM APONTAMENTO"),0)</f>
        <v>0</v>
      </c>
      <c r="O1108" s="10">
        <f t="shared" si="114"/>
        <v>3.0000000000000249E-2</v>
      </c>
      <c r="P1108" s="10">
        <f>IFERROR(SUMIFS('Base bordo'!G$2:G$746,'Base bordo'!C$2:C$746,A1108,'Base bordo'!B$2:B$746,B1108),0)</f>
        <v>5.5222222222222221</v>
      </c>
      <c r="Q1108" s="10">
        <f>IFERROR(SUMIFS('Base bordo'!H$2:H$746,'Base bordo'!C$2:C$746,A1108,'Base bordo'!B$2:B$746,B1108,'Base bordo'!F$2:F$746,"DESLOCAMENTO VAZIO"),0)</f>
        <v>213585.12</v>
      </c>
      <c r="R1108" s="10">
        <f>IFERROR(SUMIFS('Base bordo'!I$2:I$746,'Base bordo'!C$2:C$746,A1108,'Base bordo'!B$2:B$746,B1108,'Base bordo'!F$2:F$746,"DESLOCAMENTO VAZIO"),0)</f>
        <v>6050</v>
      </c>
      <c r="S1108" s="30">
        <f t="shared" si="115"/>
        <v>35.303325619834709</v>
      </c>
      <c r="T1108" s="10">
        <f>IFERROR(SUMIFS('Base bordo'!H$2:H$746,'Base bordo'!C$2:C$746,A1108,'Base bordo'!B$2:B$746,B1108,'Base bordo'!F$2:F$746,"DESLOCAMENTO CARREGADO"),0)</f>
        <v>215978.22</v>
      </c>
      <c r="U1108" s="10">
        <f>IFERROR(SUMIFS('Base bordo'!I$2:I$746,'Base bordo'!C$2:C$746,A1108,'Base bordo'!B$2:B$746,B1108,'Base bordo'!F$2:F$746,"DESLOCAMENTO CARREGADO"),0)</f>
        <v>9408</v>
      </c>
      <c r="V1108" s="30">
        <f t="shared" si="116"/>
        <v>22.95686862244898</v>
      </c>
      <c r="W1108" s="9">
        <f t="shared" si="117"/>
        <v>0.30432595573440646</v>
      </c>
      <c r="X1108" s="9">
        <f t="shared" si="118"/>
        <v>0.47464788732394364</v>
      </c>
      <c r="Y1108" s="9">
        <f t="shared" si="119"/>
        <v>0.22102615694164984</v>
      </c>
    </row>
    <row r="1109" spans="1:25" ht="15" customHeight="1" x14ac:dyDescent="0.35">
      <c r="A1109" s="52">
        <v>8013469</v>
      </c>
      <c r="B1109" s="51">
        <v>46123</v>
      </c>
      <c r="C1109" s="7" t="s">
        <v>124</v>
      </c>
      <c r="D1109" s="10">
        <f>IFERROR(SUMIFS('Base bordo'!G$2:G$746,'Base bordo'!C$2:C$746,A1109,'Base bordo'!B$2:B$746,B1109,'Base bordo'!F$2:F$746,"DESLOCAMENTO VAZIO"),0)</f>
        <v>1.6805555555555556</v>
      </c>
      <c r="E1109" s="10">
        <f>IFERROR(SUMIFS('Base bordo'!G$2:G$746,'Base bordo'!C$2:C$746,A1109,'Base bordo'!B$2:B$746,B1109,'Base bordo'!F$2:F$746,"DESLOCAMENTO CARREGADO"),0)</f>
        <v>2.6211111111111109</v>
      </c>
      <c r="F1109" s="10">
        <f>IFERROR(SUMIFS('Base bordo'!G$2:G$746,'Base bordo'!C$2:C$746,A1109,'Base bordo'!B$2:B$746,B1109,'Base bordo'!F$2:F$746,"DESLOCAMENTO"),0)</f>
        <v>0</v>
      </c>
      <c r="G1109" s="10">
        <f>IFERROR(SUMIFS('Base bordo'!G$2:G$746,'Base bordo'!C$2:C$746,A1109,'Base bordo'!B$2:B$746,B1109,'Base bordo'!F$2:F$746,"CARREGAMENTO"),0)</f>
        <v>0</v>
      </c>
      <c r="H1109" s="10">
        <f>IFERROR(SUMIFS('Base bordo'!G$2:G$746,'Base bordo'!C$2:C$746,A1109,'Base bordo'!B$2:B$746,B1109,'Base bordo'!F$2:F$746,"AGUARDANDO TRANSBORDO"),0)</f>
        <v>0.38972222222222225</v>
      </c>
      <c r="I1109" s="10">
        <f>IFERROR(SUMIFS('Base bordo'!G$2:G$746,'Base bordo'!C$2:C$746,A1109,'Base bordo'!B$2:B$746,B1109,'Base bordo'!F$2:F$746,"PÁTIO INTERNO"),0)+IFERROR(SUMIFS('Base bordo'!G$2:G$746,'Base bordo'!C$2:C$746,A1109,'Base bordo'!B$2:B$746,B1109,'Base bordo'!F$2:F$746,"PÁTIO EXTERNO"),0)+IFERROR(SUMIFS('Base bordo'!G$2:G$746,'Base bordo'!C$2:C$746,A1109,'Base bordo'!B$2:B$746,B1109,'Base bordo'!F$2:F$746,"PATIO - RESERVA"),0)+IFERROR(SUMIFS('Base bordo'!G$2:G$746,'Base bordo'!C$2:C$746,A1109,'Base bordo'!B$2:B$746,B1109,'Base bordo'!F$2:F$746,"MANOBRA CARRETAS-PATIO"),0)</f>
        <v>0.80083333333333329</v>
      </c>
      <c r="J1109" s="10">
        <f>IFERROR(SUMIFS('Base bordo'!G$2:G$746,'Base bordo'!C$2:C$746,A1109,'Base bordo'!B$2:B$746,B1109,'Base bordo'!F$2:F$746,"BALANÇA - ENTRADA"),0)+IFERROR(SUMIFS('Base bordo'!G$2:G$746,'Base bordo'!C$2:C$746,A1109,'Base bordo'!B$2:B$746,B1109,'Base bordo'!F$2:F$746,"BALANÇA - SAÍDA"),0)</f>
        <v>0</v>
      </c>
      <c r="K1109" s="10">
        <f>IFERROR(SUMIFS('Base bordo'!G$2:G$746,'Base bordo'!C$2:C$746,A1109,'Base bordo'!B$2:B$746,B1109,'Base bordo'!F$2:F$746,"MAN PREVENTIVA - MECANICA"),0)+IFERROR(SUMIFS('Base bordo'!G$2:G$746,'Base bordo'!C$2:C$746,A1109,'Base bordo'!B$2:B$746,B1109,'Base bordo'!F$2:F$746,"MAN CORRETIVA - MECANICA"),0)</f>
        <v>0</v>
      </c>
      <c r="L1109" s="10">
        <f>IFERROR(SUMIFS('Base bordo'!G$2:G$746,'Base bordo'!C$2:C$746,A1109,'Base bordo'!B$2:B$746,B1109,'Base bordo'!F$2:F$746,"MANUTENCAO - T O"),0)+IFERROR(SUMIFS('Base bordo'!G$2:G$746,'Base bordo'!C$2:C$746,A1109,'Base bordo'!B$2:B$746,B1109,'Base bordo'!F$2:F$746,"MANUTENCAO BORRACHARIA"),0)+IFERROR(SUMIFS('Base bordo'!G$2:G$746,'Base bordo'!C$2:C$746,A1109,'Base bordo'!B$2:B$746,B1109,'Base bordo'!F$2:F$746,"MANUTENCAO EXTERNA  CONCESSIONARIA"),0)+IFERROR(SUMIFS('Base bordo'!G$2:G$746,'Base bordo'!C$2:C$746,A1109,'Base bordo'!B$2:B$746,B1109,'Base bordo'!F$2:F$746,"MANUTENCAO TELEMETRIA"),0)</f>
        <v>0</v>
      </c>
      <c r="M1109" s="10">
        <f>IFERROR(SUMIFS('Base bordo'!G$2:G$746,'Base bordo'!C$2:C$746,A1109,'Base bordo'!B$2:B$746,B1109,'Base bordo'!F$2:F$746,"AGUARDANDO MANUTENCAO"),0)</f>
        <v>0</v>
      </c>
      <c r="N1109" s="10">
        <f>IFERROR(SUMIFS('Base bordo'!G$2:G$746,'Base bordo'!C$2:C$746,A1109,'Base bordo'!B$2:B$746,B1109,'Base bordo'!F$2:F$746,"SEM APONTAMENTO"),0)</f>
        <v>0</v>
      </c>
      <c r="O1109" s="10">
        <f t="shared" si="114"/>
        <v>3.0000000000000249E-2</v>
      </c>
      <c r="P1109" s="10">
        <f>IFERROR(SUMIFS('Base bordo'!G$2:G$746,'Base bordo'!C$2:C$746,A1109,'Base bordo'!B$2:B$746,B1109),0)</f>
        <v>5.5222222222222221</v>
      </c>
      <c r="Q1109" s="10">
        <f>IFERROR(SUMIFS('Base bordo'!H$2:H$746,'Base bordo'!C$2:C$746,A1109,'Base bordo'!B$2:B$746,B1109,'Base bordo'!F$2:F$746,"DESLOCAMENTO VAZIO"),0)</f>
        <v>213585.12</v>
      </c>
      <c r="R1109" s="10">
        <f>IFERROR(SUMIFS('Base bordo'!I$2:I$746,'Base bordo'!C$2:C$746,A1109,'Base bordo'!B$2:B$746,B1109,'Base bordo'!F$2:F$746,"DESLOCAMENTO VAZIO"),0)</f>
        <v>6050</v>
      </c>
      <c r="S1109" s="30">
        <f t="shared" si="115"/>
        <v>35.303325619834709</v>
      </c>
      <c r="T1109" s="10">
        <f>IFERROR(SUMIFS('Base bordo'!H$2:H$746,'Base bordo'!C$2:C$746,A1109,'Base bordo'!B$2:B$746,B1109,'Base bordo'!F$2:F$746,"DESLOCAMENTO CARREGADO"),0)</f>
        <v>215978.22</v>
      </c>
      <c r="U1109" s="10">
        <f>IFERROR(SUMIFS('Base bordo'!I$2:I$746,'Base bordo'!C$2:C$746,A1109,'Base bordo'!B$2:B$746,B1109,'Base bordo'!F$2:F$746,"DESLOCAMENTO CARREGADO"),0)</f>
        <v>9408</v>
      </c>
      <c r="V1109" s="30">
        <f t="shared" si="116"/>
        <v>22.95686862244898</v>
      </c>
      <c r="W1109" s="9">
        <f t="shared" si="117"/>
        <v>0.30432595573440646</v>
      </c>
      <c r="X1109" s="9">
        <f t="shared" si="118"/>
        <v>0.47464788732394364</v>
      </c>
      <c r="Y1109" s="9">
        <f t="shared" si="119"/>
        <v>0.22102615694164984</v>
      </c>
    </row>
    <row r="1110" spans="1:25" ht="15" customHeight="1" x14ac:dyDescent="0.35">
      <c r="A1110" s="52">
        <v>8013469</v>
      </c>
      <c r="B1110" s="51">
        <v>46123</v>
      </c>
      <c r="C1110" s="7" t="s">
        <v>124</v>
      </c>
      <c r="D1110" s="10">
        <f>IFERROR(SUMIFS('Base bordo'!G$2:G$746,'Base bordo'!C$2:C$746,A1110,'Base bordo'!B$2:B$746,B1110,'Base bordo'!F$2:F$746,"DESLOCAMENTO VAZIO"),0)</f>
        <v>1.6805555555555556</v>
      </c>
      <c r="E1110" s="10">
        <f>IFERROR(SUMIFS('Base bordo'!G$2:G$746,'Base bordo'!C$2:C$746,A1110,'Base bordo'!B$2:B$746,B1110,'Base bordo'!F$2:F$746,"DESLOCAMENTO CARREGADO"),0)</f>
        <v>2.6211111111111109</v>
      </c>
      <c r="F1110" s="10">
        <f>IFERROR(SUMIFS('Base bordo'!G$2:G$746,'Base bordo'!C$2:C$746,A1110,'Base bordo'!B$2:B$746,B1110,'Base bordo'!F$2:F$746,"DESLOCAMENTO"),0)</f>
        <v>0</v>
      </c>
      <c r="G1110" s="10">
        <f>IFERROR(SUMIFS('Base bordo'!G$2:G$746,'Base bordo'!C$2:C$746,A1110,'Base bordo'!B$2:B$746,B1110,'Base bordo'!F$2:F$746,"CARREGAMENTO"),0)</f>
        <v>0</v>
      </c>
      <c r="H1110" s="10">
        <f>IFERROR(SUMIFS('Base bordo'!G$2:G$746,'Base bordo'!C$2:C$746,A1110,'Base bordo'!B$2:B$746,B1110,'Base bordo'!F$2:F$746,"AGUARDANDO TRANSBORDO"),0)</f>
        <v>0.38972222222222225</v>
      </c>
      <c r="I1110" s="10">
        <f>IFERROR(SUMIFS('Base bordo'!G$2:G$746,'Base bordo'!C$2:C$746,A1110,'Base bordo'!B$2:B$746,B1110,'Base bordo'!F$2:F$746,"PÁTIO INTERNO"),0)+IFERROR(SUMIFS('Base bordo'!G$2:G$746,'Base bordo'!C$2:C$746,A1110,'Base bordo'!B$2:B$746,B1110,'Base bordo'!F$2:F$746,"PÁTIO EXTERNO"),0)+IFERROR(SUMIFS('Base bordo'!G$2:G$746,'Base bordo'!C$2:C$746,A1110,'Base bordo'!B$2:B$746,B1110,'Base bordo'!F$2:F$746,"PATIO - RESERVA"),0)+IFERROR(SUMIFS('Base bordo'!G$2:G$746,'Base bordo'!C$2:C$746,A1110,'Base bordo'!B$2:B$746,B1110,'Base bordo'!F$2:F$746,"MANOBRA CARRETAS-PATIO"),0)</f>
        <v>0.80083333333333329</v>
      </c>
      <c r="J1110" s="10">
        <f>IFERROR(SUMIFS('Base bordo'!G$2:G$746,'Base bordo'!C$2:C$746,A1110,'Base bordo'!B$2:B$746,B1110,'Base bordo'!F$2:F$746,"BALANÇA - ENTRADA"),0)+IFERROR(SUMIFS('Base bordo'!G$2:G$746,'Base bordo'!C$2:C$746,A1110,'Base bordo'!B$2:B$746,B1110,'Base bordo'!F$2:F$746,"BALANÇA - SAÍDA"),0)</f>
        <v>0</v>
      </c>
      <c r="K1110" s="10">
        <f>IFERROR(SUMIFS('Base bordo'!G$2:G$746,'Base bordo'!C$2:C$746,A1110,'Base bordo'!B$2:B$746,B1110,'Base bordo'!F$2:F$746,"MAN PREVENTIVA - MECANICA"),0)+IFERROR(SUMIFS('Base bordo'!G$2:G$746,'Base bordo'!C$2:C$746,A1110,'Base bordo'!B$2:B$746,B1110,'Base bordo'!F$2:F$746,"MAN CORRETIVA - MECANICA"),0)</f>
        <v>0</v>
      </c>
      <c r="L1110" s="10">
        <f>IFERROR(SUMIFS('Base bordo'!G$2:G$746,'Base bordo'!C$2:C$746,A1110,'Base bordo'!B$2:B$746,B1110,'Base bordo'!F$2:F$746,"MANUTENCAO - T O"),0)+IFERROR(SUMIFS('Base bordo'!G$2:G$746,'Base bordo'!C$2:C$746,A1110,'Base bordo'!B$2:B$746,B1110,'Base bordo'!F$2:F$746,"MANUTENCAO BORRACHARIA"),0)+IFERROR(SUMIFS('Base bordo'!G$2:G$746,'Base bordo'!C$2:C$746,A1110,'Base bordo'!B$2:B$746,B1110,'Base bordo'!F$2:F$746,"MANUTENCAO EXTERNA  CONCESSIONARIA"),0)+IFERROR(SUMIFS('Base bordo'!G$2:G$746,'Base bordo'!C$2:C$746,A1110,'Base bordo'!B$2:B$746,B1110,'Base bordo'!F$2:F$746,"MANUTENCAO TELEMETRIA"),0)</f>
        <v>0</v>
      </c>
      <c r="M1110" s="10">
        <f>IFERROR(SUMIFS('Base bordo'!G$2:G$746,'Base bordo'!C$2:C$746,A1110,'Base bordo'!B$2:B$746,B1110,'Base bordo'!F$2:F$746,"AGUARDANDO MANUTENCAO"),0)</f>
        <v>0</v>
      </c>
      <c r="N1110" s="10">
        <f>IFERROR(SUMIFS('Base bordo'!G$2:G$746,'Base bordo'!C$2:C$746,A1110,'Base bordo'!B$2:B$746,B1110,'Base bordo'!F$2:F$746,"SEM APONTAMENTO"),0)</f>
        <v>0</v>
      </c>
      <c r="O1110" s="10">
        <f t="shared" si="114"/>
        <v>3.0000000000000249E-2</v>
      </c>
      <c r="P1110" s="10">
        <f>IFERROR(SUMIFS('Base bordo'!G$2:G$746,'Base bordo'!C$2:C$746,A1110,'Base bordo'!B$2:B$746,B1110),0)</f>
        <v>5.5222222222222221</v>
      </c>
      <c r="Q1110" s="10">
        <f>IFERROR(SUMIFS('Base bordo'!H$2:H$746,'Base bordo'!C$2:C$746,A1110,'Base bordo'!B$2:B$746,B1110,'Base bordo'!F$2:F$746,"DESLOCAMENTO VAZIO"),0)</f>
        <v>213585.12</v>
      </c>
      <c r="R1110" s="10">
        <f>IFERROR(SUMIFS('Base bordo'!I$2:I$746,'Base bordo'!C$2:C$746,A1110,'Base bordo'!B$2:B$746,B1110,'Base bordo'!F$2:F$746,"DESLOCAMENTO VAZIO"),0)</f>
        <v>6050</v>
      </c>
      <c r="S1110" s="30">
        <f t="shared" si="115"/>
        <v>35.303325619834709</v>
      </c>
      <c r="T1110" s="10">
        <f>IFERROR(SUMIFS('Base bordo'!H$2:H$746,'Base bordo'!C$2:C$746,A1110,'Base bordo'!B$2:B$746,B1110,'Base bordo'!F$2:F$746,"DESLOCAMENTO CARREGADO"),0)</f>
        <v>215978.22</v>
      </c>
      <c r="U1110" s="10">
        <f>IFERROR(SUMIFS('Base bordo'!I$2:I$746,'Base bordo'!C$2:C$746,A1110,'Base bordo'!B$2:B$746,B1110,'Base bordo'!F$2:F$746,"DESLOCAMENTO CARREGADO"),0)</f>
        <v>9408</v>
      </c>
      <c r="V1110" s="30">
        <f t="shared" si="116"/>
        <v>22.95686862244898</v>
      </c>
      <c r="W1110" s="9">
        <f t="shared" si="117"/>
        <v>0.30432595573440646</v>
      </c>
      <c r="X1110" s="9">
        <f t="shared" si="118"/>
        <v>0.47464788732394364</v>
      </c>
      <c r="Y1110" s="9">
        <f t="shared" si="119"/>
        <v>0.22102615694164984</v>
      </c>
    </row>
    <row r="1111" spans="1:25" ht="15" customHeight="1" x14ac:dyDescent="0.35">
      <c r="A1111" s="52">
        <v>8013469</v>
      </c>
      <c r="B1111" s="51">
        <v>46123</v>
      </c>
      <c r="C1111" s="7" t="s">
        <v>124</v>
      </c>
      <c r="D1111" s="10">
        <f>IFERROR(SUMIFS('Base bordo'!G$2:G$746,'Base bordo'!C$2:C$746,A1111,'Base bordo'!B$2:B$746,B1111,'Base bordo'!F$2:F$746,"DESLOCAMENTO VAZIO"),0)</f>
        <v>1.6805555555555556</v>
      </c>
      <c r="E1111" s="10">
        <f>IFERROR(SUMIFS('Base bordo'!G$2:G$746,'Base bordo'!C$2:C$746,A1111,'Base bordo'!B$2:B$746,B1111,'Base bordo'!F$2:F$746,"DESLOCAMENTO CARREGADO"),0)</f>
        <v>2.6211111111111109</v>
      </c>
      <c r="F1111" s="10">
        <f>IFERROR(SUMIFS('Base bordo'!G$2:G$746,'Base bordo'!C$2:C$746,A1111,'Base bordo'!B$2:B$746,B1111,'Base bordo'!F$2:F$746,"DESLOCAMENTO"),0)</f>
        <v>0</v>
      </c>
      <c r="G1111" s="10">
        <f>IFERROR(SUMIFS('Base bordo'!G$2:G$746,'Base bordo'!C$2:C$746,A1111,'Base bordo'!B$2:B$746,B1111,'Base bordo'!F$2:F$746,"CARREGAMENTO"),0)</f>
        <v>0</v>
      </c>
      <c r="H1111" s="10">
        <f>IFERROR(SUMIFS('Base bordo'!G$2:G$746,'Base bordo'!C$2:C$746,A1111,'Base bordo'!B$2:B$746,B1111,'Base bordo'!F$2:F$746,"AGUARDANDO TRANSBORDO"),0)</f>
        <v>0.38972222222222225</v>
      </c>
      <c r="I1111" s="10">
        <f>IFERROR(SUMIFS('Base bordo'!G$2:G$746,'Base bordo'!C$2:C$746,A1111,'Base bordo'!B$2:B$746,B1111,'Base bordo'!F$2:F$746,"PÁTIO INTERNO"),0)+IFERROR(SUMIFS('Base bordo'!G$2:G$746,'Base bordo'!C$2:C$746,A1111,'Base bordo'!B$2:B$746,B1111,'Base bordo'!F$2:F$746,"PÁTIO EXTERNO"),0)+IFERROR(SUMIFS('Base bordo'!G$2:G$746,'Base bordo'!C$2:C$746,A1111,'Base bordo'!B$2:B$746,B1111,'Base bordo'!F$2:F$746,"PATIO - RESERVA"),0)+IFERROR(SUMIFS('Base bordo'!G$2:G$746,'Base bordo'!C$2:C$746,A1111,'Base bordo'!B$2:B$746,B1111,'Base bordo'!F$2:F$746,"MANOBRA CARRETAS-PATIO"),0)</f>
        <v>0.80083333333333329</v>
      </c>
      <c r="J1111" s="10">
        <f>IFERROR(SUMIFS('Base bordo'!G$2:G$746,'Base bordo'!C$2:C$746,A1111,'Base bordo'!B$2:B$746,B1111,'Base bordo'!F$2:F$746,"BALANÇA - ENTRADA"),0)+IFERROR(SUMIFS('Base bordo'!G$2:G$746,'Base bordo'!C$2:C$746,A1111,'Base bordo'!B$2:B$746,B1111,'Base bordo'!F$2:F$746,"BALANÇA - SAÍDA"),0)</f>
        <v>0</v>
      </c>
      <c r="K1111" s="10">
        <f>IFERROR(SUMIFS('Base bordo'!G$2:G$746,'Base bordo'!C$2:C$746,A1111,'Base bordo'!B$2:B$746,B1111,'Base bordo'!F$2:F$746,"MAN PREVENTIVA - MECANICA"),0)+IFERROR(SUMIFS('Base bordo'!G$2:G$746,'Base bordo'!C$2:C$746,A1111,'Base bordo'!B$2:B$746,B1111,'Base bordo'!F$2:F$746,"MAN CORRETIVA - MECANICA"),0)</f>
        <v>0</v>
      </c>
      <c r="L1111" s="10">
        <f>IFERROR(SUMIFS('Base bordo'!G$2:G$746,'Base bordo'!C$2:C$746,A1111,'Base bordo'!B$2:B$746,B1111,'Base bordo'!F$2:F$746,"MANUTENCAO - T O"),0)+IFERROR(SUMIFS('Base bordo'!G$2:G$746,'Base bordo'!C$2:C$746,A1111,'Base bordo'!B$2:B$746,B1111,'Base bordo'!F$2:F$746,"MANUTENCAO BORRACHARIA"),0)+IFERROR(SUMIFS('Base bordo'!G$2:G$746,'Base bordo'!C$2:C$746,A1111,'Base bordo'!B$2:B$746,B1111,'Base bordo'!F$2:F$746,"MANUTENCAO EXTERNA  CONCESSIONARIA"),0)+IFERROR(SUMIFS('Base bordo'!G$2:G$746,'Base bordo'!C$2:C$746,A1111,'Base bordo'!B$2:B$746,B1111,'Base bordo'!F$2:F$746,"MANUTENCAO TELEMETRIA"),0)</f>
        <v>0</v>
      </c>
      <c r="M1111" s="10">
        <f>IFERROR(SUMIFS('Base bordo'!G$2:G$746,'Base bordo'!C$2:C$746,A1111,'Base bordo'!B$2:B$746,B1111,'Base bordo'!F$2:F$746,"AGUARDANDO MANUTENCAO"),0)</f>
        <v>0</v>
      </c>
      <c r="N1111" s="10">
        <f>IFERROR(SUMIFS('Base bordo'!G$2:G$746,'Base bordo'!C$2:C$746,A1111,'Base bordo'!B$2:B$746,B1111,'Base bordo'!F$2:F$746,"SEM APONTAMENTO"),0)</f>
        <v>0</v>
      </c>
      <c r="O1111" s="10">
        <f t="shared" si="114"/>
        <v>3.0000000000000249E-2</v>
      </c>
      <c r="P1111" s="10">
        <f>IFERROR(SUMIFS('Base bordo'!G$2:G$746,'Base bordo'!C$2:C$746,A1111,'Base bordo'!B$2:B$746,B1111),0)</f>
        <v>5.5222222222222221</v>
      </c>
      <c r="Q1111" s="10">
        <f>IFERROR(SUMIFS('Base bordo'!H$2:H$746,'Base bordo'!C$2:C$746,A1111,'Base bordo'!B$2:B$746,B1111,'Base bordo'!F$2:F$746,"DESLOCAMENTO VAZIO"),0)</f>
        <v>213585.12</v>
      </c>
      <c r="R1111" s="10">
        <f>IFERROR(SUMIFS('Base bordo'!I$2:I$746,'Base bordo'!C$2:C$746,A1111,'Base bordo'!B$2:B$746,B1111,'Base bordo'!F$2:F$746,"DESLOCAMENTO VAZIO"),0)</f>
        <v>6050</v>
      </c>
      <c r="S1111" s="30">
        <f t="shared" si="115"/>
        <v>35.303325619834709</v>
      </c>
      <c r="T1111" s="10">
        <f>IFERROR(SUMIFS('Base bordo'!H$2:H$746,'Base bordo'!C$2:C$746,A1111,'Base bordo'!B$2:B$746,B1111,'Base bordo'!F$2:F$746,"DESLOCAMENTO CARREGADO"),0)</f>
        <v>215978.22</v>
      </c>
      <c r="U1111" s="10">
        <f>IFERROR(SUMIFS('Base bordo'!I$2:I$746,'Base bordo'!C$2:C$746,A1111,'Base bordo'!B$2:B$746,B1111,'Base bordo'!F$2:F$746,"DESLOCAMENTO CARREGADO"),0)</f>
        <v>9408</v>
      </c>
      <c r="V1111" s="30">
        <f t="shared" si="116"/>
        <v>22.95686862244898</v>
      </c>
      <c r="W1111" s="9">
        <f t="shared" si="117"/>
        <v>0.30432595573440646</v>
      </c>
      <c r="X1111" s="9">
        <f t="shared" si="118"/>
        <v>0.47464788732394364</v>
      </c>
      <c r="Y1111" s="9">
        <f t="shared" si="119"/>
        <v>0.22102615694164984</v>
      </c>
    </row>
    <row r="1112" spans="1:25" ht="15" customHeight="1" x14ac:dyDescent="0.35">
      <c r="A1112" s="52">
        <v>8013470</v>
      </c>
      <c r="B1112" s="51">
        <v>46123</v>
      </c>
      <c r="C1112" s="7" t="s">
        <v>124</v>
      </c>
      <c r="D1112" s="10">
        <f>IFERROR(SUMIFS('Base bordo'!G$2:G$746,'Base bordo'!C$2:C$746,A1112,'Base bordo'!B$2:B$746,B1112,'Base bordo'!F$2:F$746,"DESLOCAMENTO VAZIO"),0)</f>
        <v>1.4894444444444443</v>
      </c>
      <c r="E1112" s="10">
        <f>IFERROR(SUMIFS('Base bordo'!G$2:G$746,'Base bordo'!C$2:C$746,A1112,'Base bordo'!B$2:B$746,B1112,'Base bordo'!F$2:F$746,"DESLOCAMENTO CARREGADO"),0)</f>
        <v>2.7725</v>
      </c>
      <c r="F1112" s="10">
        <f>IFERROR(SUMIFS('Base bordo'!G$2:G$746,'Base bordo'!C$2:C$746,A1112,'Base bordo'!B$2:B$746,B1112,'Base bordo'!F$2:F$746,"DESLOCAMENTO"),0)</f>
        <v>1.1813888888888888</v>
      </c>
      <c r="G1112" s="10">
        <f>IFERROR(SUMIFS('Base bordo'!G$2:G$746,'Base bordo'!C$2:C$746,A1112,'Base bordo'!B$2:B$746,B1112,'Base bordo'!F$2:F$746,"CARREGAMENTO"),0)</f>
        <v>0</v>
      </c>
      <c r="H1112" s="10">
        <f>IFERROR(SUMIFS('Base bordo'!G$2:G$746,'Base bordo'!C$2:C$746,A1112,'Base bordo'!B$2:B$746,B1112,'Base bordo'!F$2:F$746,"AGUARDANDO TRANSBORDO"),0)</f>
        <v>0.10722222222222222</v>
      </c>
      <c r="I1112" s="10">
        <f>IFERROR(SUMIFS('Base bordo'!G$2:G$746,'Base bordo'!C$2:C$746,A1112,'Base bordo'!B$2:B$746,B1112,'Base bordo'!F$2:F$746,"PÁTIO INTERNO"),0)+IFERROR(SUMIFS('Base bordo'!G$2:G$746,'Base bordo'!C$2:C$746,A1112,'Base bordo'!B$2:B$746,B1112,'Base bordo'!F$2:F$746,"PÁTIO EXTERNO"),0)+IFERROR(SUMIFS('Base bordo'!G$2:G$746,'Base bordo'!C$2:C$746,A1112,'Base bordo'!B$2:B$746,B1112,'Base bordo'!F$2:F$746,"PATIO - RESERVA"),0)+IFERROR(SUMIFS('Base bordo'!G$2:G$746,'Base bordo'!C$2:C$746,A1112,'Base bordo'!B$2:B$746,B1112,'Base bordo'!F$2:F$746,"MANOBRA CARRETAS-PATIO"),0)</f>
        <v>0.56472222222222224</v>
      </c>
      <c r="J1112" s="10">
        <f>IFERROR(SUMIFS('Base bordo'!G$2:G$746,'Base bordo'!C$2:C$746,A1112,'Base bordo'!B$2:B$746,B1112,'Base bordo'!F$2:F$746,"BALANÇA - ENTRADA"),0)+IFERROR(SUMIFS('Base bordo'!G$2:G$746,'Base bordo'!C$2:C$746,A1112,'Base bordo'!B$2:B$746,B1112,'Base bordo'!F$2:F$746,"BALANÇA - SAÍDA"),0)</f>
        <v>0</v>
      </c>
      <c r="K1112" s="10">
        <f>IFERROR(SUMIFS('Base bordo'!G$2:G$746,'Base bordo'!C$2:C$746,A1112,'Base bordo'!B$2:B$746,B1112,'Base bordo'!F$2:F$746,"MAN PREVENTIVA - MECANICA"),0)+IFERROR(SUMIFS('Base bordo'!G$2:G$746,'Base bordo'!C$2:C$746,A1112,'Base bordo'!B$2:B$746,B1112,'Base bordo'!F$2:F$746,"MAN CORRETIVA - MECANICA"),0)</f>
        <v>0</v>
      </c>
      <c r="L1112" s="10">
        <f>IFERROR(SUMIFS('Base bordo'!G$2:G$746,'Base bordo'!C$2:C$746,A1112,'Base bordo'!B$2:B$746,B1112,'Base bordo'!F$2:F$746,"MANUTENCAO - T O"),0)+IFERROR(SUMIFS('Base bordo'!G$2:G$746,'Base bordo'!C$2:C$746,A1112,'Base bordo'!B$2:B$746,B1112,'Base bordo'!F$2:F$746,"MANUTENCAO BORRACHARIA"),0)+IFERROR(SUMIFS('Base bordo'!G$2:G$746,'Base bordo'!C$2:C$746,A1112,'Base bordo'!B$2:B$746,B1112,'Base bordo'!F$2:F$746,"MANUTENCAO EXTERNA  CONCESSIONARIA"),0)+IFERROR(SUMIFS('Base bordo'!G$2:G$746,'Base bordo'!C$2:C$746,A1112,'Base bordo'!B$2:B$746,B1112,'Base bordo'!F$2:F$746,"MANUTENCAO TELEMETRIA"),0)</f>
        <v>0</v>
      </c>
      <c r="M1112" s="10">
        <f>IFERROR(SUMIFS('Base bordo'!G$2:G$746,'Base bordo'!C$2:C$746,A1112,'Base bordo'!B$2:B$746,B1112,'Base bordo'!F$2:F$746,"AGUARDANDO MANUTENCAO"),0)</f>
        <v>0</v>
      </c>
      <c r="N1112" s="10">
        <f>IFERROR(SUMIFS('Base bordo'!G$2:G$746,'Base bordo'!C$2:C$746,A1112,'Base bordo'!B$2:B$746,B1112,'Base bordo'!F$2:F$746,"SEM APONTAMENTO"),0)</f>
        <v>0</v>
      </c>
      <c r="O1112" s="10">
        <f t="shared" si="114"/>
        <v>4.6666666666666856E-2</v>
      </c>
      <c r="P1112" s="10">
        <f>IFERROR(SUMIFS('Base bordo'!G$2:G$746,'Base bordo'!C$2:C$746,A1112,'Base bordo'!B$2:B$746,B1112),0)</f>
        <v>6.1619444444444449</v>
      </c>
      <c r="Q1112" s="10">
        <f>IFERROR(SUMIFS('Base bordo'!H$2:H$746,'Base bordo'!C$2:C$746,A1112,'Base bordo'!B$2:B$746,B1112,'Base bordo'!F$2:F$746,"DESLOCAMENTO VAZIO"),0)</f>
        <v>174958.3</v>
      </c>
      <c r="R1112" s="10">
        <f>IFERROR(SUMIFS('Base bordo'!I$2:I$746,'Base bordo'!C$2:C$746,A1112,'Base bordo'!B$2:B$746,B1112,'Base bordo'!F$2:F$746,"DESLOCAMENTO VAZIO"),0)</f>
        <v>5362</v>
      </c>
      <c r="S1112" s="30">
        <f t="shared" si="115"/>
        <v>32.629298769115998</v>
      </c>
      <c r="T1112" s="10">
        <f>IFERROR(SUMIFS('Base bordo'!H$2:H$746,'Base bordo'!C$2:C$746,A1112,'Base bordo'!B$2:B$746,B1112,'Base bordo'!F$2:F$746,"DESLOCAMENTO CARREGADO"),0)</f>
        <v>211588.94</v>
      </c>
      <c r="U1112" s="10">
        <f>IFERROR(SUMIFS('Base bordo'!I$2:I$746,'Base bordo'!C$2:C$746,A1112,'Base bordo'!B$2:B$746,B1112,'Base bordo'!F$2:F$746,"DESLOCAMENTO CARREGADO"),0)</f>
        <v>9967</v>
      </c>
      <c r="V1112" s="30">
        <f t="shared" si="116"/>
        <v>21.228949533460419</v>
      </c>
      <c r="W1112" s="9">
        <f t="shared" si="117"/>
        <v>0.24171662985168821</v>
      </c>
      <c r="X1112" s="9">
        <f t="shared" si="118"/>
        <v>0.44993914258666545</v>
      </c>
      <c r="Y1112" s="9">
        <f t="shared" si="119"/>
        <v>0.30834422756164637</v>
      </c>
    </row>
    <row r="1113" spans="1:25" ht="15" customHeight="1" x14ac:dyDescent="0.35">
      <c r="A1113" s="52">
        <v>8013470</v>
      </c>
      <c r="B1113" s="51">
        <v>46123</v>
      </c>
      <c r="C1113" s="7" t="s">
        <v>124</v>
      </c>
      <c r="D1113" s="10">
        <f>IFERROR(SUMIFS('Base bordo'!G$2:G$746,'Base bordo'!C$2:C$746,A1113,'Base bordo'!B$2:B$746,B1113,'Base bordo'!F$2:F$746,"DESLOCAMENTO VAZIO"),0)</f>
        <v>1.4894444444444443</v>
      </c>
      <c r="E1113" s="10">
        <f>IFERROR(SUMIFS('Base bordo'!G$2:G$746,'Base bordo'!C$2:C$746,A1113,'Base bordo'!B$2:B$746,B1113,'Base bordo'!F$2:F$746,"DESLOCAMENTO CARREGADO"),0)</f>
        <v>2.7725</v>
      </c>
      <c r="F1113" s="10">
        <f>IFERROR(SUMIFS('Base bordo'!G$2:G$746,'Base bordo'!C$2:C$746,A1113,'Base bordo'!B$2:B$746,B1113,'Base bordo'!F$2:F$746,"DESLOCAMENTO"),0)</f>
        <v>1.1813888888888888</v>
      </c>
      <c r="G1113" s="10">
        <f>IFERROR(SUMIFS('Base bordo'!G$2:G$746,'Base bordo'!C$2:C$746,A1113,'Base bordo'!B$2:B$746,B1113,'Base bordo'!F$2:F$746,"CARREGAMENTO"),0)</f>
        <v>0</v>
      </c>
      <c r="H1113" s="10">
        <f>IFERROR(SUMIFS('Base bordo'!G$2:G$746,'Base bordo'!C$2:C$746,A1113,'Base bordo'!B$2:B$746,B1113,'Base bordo'!F$2:F$746,"AGUARDANDO TRANSBORDO"),0)</f>
        <v>0.10722222222222222</v>
      </c>
      <c r="I1113" s="10">
        <f>IFERROR(SUMIFS('Base bordo'!G$2:G$746,'Base bordo'!C$2:C$746,A1113,'Base bordo'!B$2:B$746,B1113,'Base bordo'!F$2:F$746,"PÁTIO INTERNO"),0)+IFERROR(SUMIFS('Base bordo'!G$2:G$746,'Base bordo'!C$2:C$746,A1113,'Base bordo'!B$2:B$746,B1113,'Base bordo'!F$2:F$746,"PÁTIO EXTERNO"),0)+IFERROR(SUMIFS('Base bordo'!G$2:G$746,'Base bordo'!C$2:C$746,A1113,'Base bordo'!B$2:B$746,B1113,'Base bordo'!F$2:F$746,"PATIO - RESERVA"),0)+IFERROR(SUMIFS('Base bordo'!G$2:G$746,'Base bordo'!C$2:C$746,A1113,'Base bordo'!B$2:B$746,B1113,'Base bordo'!F$2:F$746,"MANOBRA CARRETAS-PATIO"),0)</f>
        <v>0.56472222222222224</v>
      </c>
      <c r="J1113" s="10">
        <f>IFERROR(SUMIFS('Base bordo'!G$2:G$746,'Base bordo'!C$2:C$746,A1113,'Base bordo'!B$2:B$746,B1113,'Base bordo'!F$2:F$746,"BALANÇA - ENTRADA"),0)+IFERROR(SUMIFS('Base bordo'!G$2:G$746,'Base bordo'!C$2:C$746,A1113,'Base bordo'!B$2:B$746,B1113,'Base bordo'!F$2:F$746,"BALANÇA - SAÍDA"),0)</f>
        <v>0</v>
      </c>
      <c r="K1113" s="10">
        <f>IFERROR(SUMIFS('Base bordo'!G$2:G$746,'Base bordo'!C$2:C$746,A1113,'Base bordo'!B$2:B$746,B1113,'Base bordo'!F$2:F$746,"MAN PREVENTIVA - MECANICA"),0)+IFERROR(SUMIFS('Base bordo'!G$2:G$746,'Base bordo'!C$2:C$746,A1113,'Base bordo'!B$2:B$746,B1113,'Base bordo'!F$2:F$746,"MAN CORRETIVA - MECANICA"),0)</f>
        <v>0</v>
      </c>
      <c r="L1113" s="10">
        <f>IFERROR(SUMIFS('Base bordo'!G$2:G$746,'Base bordo'!C$2:C$746,A1113,'Base bordo'!B$2:B$746,B1113,'Base bordo'!F$2:F$746,"MANUTENCAO - T O"),0)+IFERROR(SUMIFS('Base bordo'!G$2:G$746,'Base bordo'!C$2:C$746,A1113,'Base bordo'!B$2:B$746,B1113,'Base bordo'!F$2:F$746,"MANUTENCAO BORRACHARIA"),0)+IFERROR(SUMIFS('Base bordo'!G$2:G$746,'Base bordo'!C$2:C$746,A1113,'Base bordo'!B$2:B$746,B1113,'Base bordo'!F$2:F$746,"MANUTENCAO EXTERNA  CONCESSIONARIA"),0)+IFERROR(SUMIFS('Base bordo'!G$2:G$746,'Base bordo'!C$2:C$746,A1113,'Base bordo'!B$2:B$746,B1113,'Base bordo'!F$2:F$746,"MANUTENCAO TELEMETRIA"),0)</f>
        <v>0</v>
      </c>
      <c r="M1113" s="10">
        <f>IFERROR(SUMIFS('Base bordo'!G$2:G$746,'Base bordo'!C$2:C$746,A1113,'Base bordo'!B$2:B$746,B1113,'Base bordo'!F$2:F$746,"AGUARDANDO MANUTENCAO"),0)</f>
        <v>0</v>
      </c>
      <c r="N1113" s="10">
        <f>IFERROR(SUMIFS('Base bordo'!G$2:G$746,'Base bordo'!C$2:C$746,A1113,'Base bordo'!B$2:B$746,B1113,'Base bordo'!F$2:F$746,"SEM APONTAMENTO"),0)</f>
        <v>0</v>
      </c>
      <c r="O1113" s="10">
        <f t="shared" si="114"/>
        <v>4.6666666666666856E-2</v>
      </c>
      <c r="P1113" s="10">
        <f>IFERROR(SUMIFS('Base bordo'!G$2:G$746,'Base bordo'!C$2:C$746,A1113,'Base bordo'!B$2:B$746,B1113),0)</f>
        <v>6.1619444444444449</v>
      </c>
      <c r="Q1113" s="10">
        <f>IFERROR(SUMIFS('Base bordo'!H$2:H$746,'Base bordo'!C$2:C$746,A1113,'Base bordo'!B$2:B$746,B1113,'Base bordo'!F$2:F$746,"DESLOCAMENTO VAZIO"),0)</f>
        <v>174958.3</v>
      </c>
      <c r="R1113" s="10">
        <f>IFERROR(SUMIFS('Base bordo'!I$2:I$746,'Base bordo'!C$2:C$746,A1113,'Base bordo'!B$2:B$746,B1113,'Base bordo'!F$2:F$746,"DESLOCAMENTO VAZIO"),0)</f>
        <v>5362</v>
      </c>
      <c r="S1113" s="30">
        <f t="shared" si="115"/>
        <v>32.629298769115998</v>
      </c>
      <c r="T1113" s="10">
        <f>IFERROR(SUMIFS('Base bordo'!H$2:H$746,'Base bordo'!C$2:C$746,A1113,'Base bordo'!B$2:B$746,B1113,'Base bordo'!F$2:F$746,"DESLOCAMENTO CARREGADO"),0)</f>
        <v>211588.94</v>
      </c>
      <c r="U1113" s="10">
        <f>IFERROR(SUMIFS('Base bordo'!I$2:I$746,'Base bordo'!C$2:C$746,A1113,'Base bordo'!B$2:B$746,B1113,'Base bordo'!F$2:F$746,"DESLOCAMENTO CARREGADO"),0)</f>
        <v>9967</v>
      </c>
      <c r="V1113" s="30">
        <f t="shared" si="116"/>
        <v>21.228949533460419</v>
      </c>
      <c r="W1113" s="9">
        <f t="shared" si="117"/>
        <v>0.24171662985168821</v>
      </c>
      <c r="X1113" s="9">
        <f t="shared" si="118"/>
        <v>0.44993914258666545</v>
      </c>
      <c r="Y1113" s="9">
        <f t="shared" si="119"/>
        <v>0.30834422756164637</v>
      </c>
    </row>
    <row r="1114" spans="1:25" ht="15" customHeight="1" x14ac:dyDescent="0.35">
      <c r="A1114" s="52">
        <v>8013470</v>
      </c>
      <c r="B1114" s="51">
        <v>46123</v>
      </c>
      <c r="C1114" s="7" t="s">
        <v>124</v>
      </c>
      <c r="D1114" s="10">
        <f>IFERROR(SUMIFS('Base bordo'!G$2:G$746,'Base bordo'!C$2:C$746,A1114,'Base bordo'!B$2:B$746,B1114,'Base bordo'!F$2:F$746,"DESLOCAMENTO VAZIO"),0)</f>
        <v>1.4894444444444443</v>
      </c>
      <c r="E1114" s="10">
        <f>IFERROR(SUMIFS('Base bordo'!G$2:G$746,'Base bordo'!C$2:C$746,A1114,'Base bordo'!B$2:B$746,B1114,'Base bordo'!F$2:F$746,"DESLOCAMENTO CARREGADO"),0)</f>
        <v>2.7725</v>
      </c>
      <c r="F1114" s="10">
        <f>IFERROR(SUMIFS('Base bordo'!G$2:G$746,'Base bordo'!C$2:C$746,A1114,'Base bordo'!B$2:B$746,B1114,'Base bordo'!F$2:F$746,"DESLOCAMENTO"),0)</f>
        <v>1.1813888888888888</v>
      </c>
      <c r="G1114" s="10">
        <f>IFERROR(SUMIFS('Base bordo'!G$2:G$746,'Base bordo'!C$2:C$746,A1114,'Base bordo'!B$2:B$746,B1114,'Base bordo'!F$2:F$746,"CARREGAMENTO"),0)</f>
        <v>0</v>
      </c>
      <c r="H1114" s="10">
        <f>IFERROR(SUMIFS('Base bordo'!G$2:G$746,'Base bordo'!C$2:C$746,A1114,'Base bordo'!B$2:B$746,B1114,'Base bordo'!F$2:F$746,"AGUARDANDO TRANSBORDO"),0)</f>
        <v>0.10722222222222222</v>
      </c>
      <c r="I1114" s="10">
        <f>IFERROR(SUMIFS('Base bordo'!G$2:G$746,'Base bordo'!C$2:C$746,A1114,'Base bordo'!B$2:B$746,B1114,'Base bordo'!F$2:F$746,"PÁTIO INTERNO"),0)+IFERROR(SUMIFS('Base bordo'!G$2:G$746,'Base bordo'!C$2:C$746,A1114,'Base bordo'!B$2:B$746,B1114,'Base bordo'!F$2:F$746,"PÁTIO EXTERNO"),0)+IFERROR(SUMIFS('Base bordo'!G$2:G$746,'Base bordo'!C$2:C$746,A1114,'Base bordo'!B$2:B$746,B1114,'Base bordo'!F$2:F$746,"PATIO - RESERVA"),0)+IFERROR(SUMIFS('Base bordo'!G$2:G$746,'Base bordo'!C$2:C$746,A1114,'Base bordo'!B$2:B$746,B1114,'Base bordo'!F$2:F$746,"MANOBRA CARRETAS-PATIO"),0)</f>
        <v>0.56472222222222224</v>
      </c>
      <c r="J1114" s="10">
        <f>IFERROR(SUMIFS('Base bordo'!G$2:G$746,'Base bordo'!C$2:C$746,A1114,'Base bordo'!B$2:B$746,B1114,'Base bordo'!F$2:F$746,"BALANÇA - ENTRADA"),0)+IFERROR(SUMIFS('Base bordo'!G$2:G$746,'Base bordo'!C$2:C$746,A1114,'Base bordo'!B$2:B$746,B1114,'Base bordo'!F$2:F$746,"BALANÇA - SAÍDA"),0)</f>
        <v>0</v>
      </c>
      <c r="K1114" s="10">
        <f>IFERROR(SUMIFS('Base bordo'!G$2:G$746,'Base bordo'!C$2:C$746,A1114,'Base bordo'!B$2:B$746,B1114,'Base bordo'!F$2:F$746,"MAN PREVENTIVA - MECANICA"),0)+IFERROR(SUMIFS('Base bordo'!G$2:G$746,'Base bordo'!C$2:C$746,A1114,'Base bordo'!B$2:B$746,B1114,'Base bordo'!F$2:F$746,"MAN CORRETIVA - MECANICA"),0)</f>
        <v>0</v>
      </c>
      <c r="L1114" s="10">
        <f>IFERROR(SUMIFS('Base bordo'!G$2:G$746,'Base bordo'!C$2:C$746,A1114,'Base bordo'!B$2:B$746,B1114,'Base bordo'!F$2:F$746,"MANUTENCAO - T O"),0)+IFERROR(SUMIFS('Base bordo'!G$2:G$746,'Base bordo'!C$2:C$746,A1114,'Base bordo'!B$2:B$746,B1114,'Base bordo'!F$2:F$746,"MANUTENCAO BORRACHARIA"),0)+IFERROR(SUMIFS('Base bordo'!G$2:G$746,'Base bordo'!C$2:C$746,A1114,'Base bordo'!B$2:B$746,B1114,'Base bordo'!F$2:F$746,"MANUTENCAO EXTERNA  CONCESSIONARIA"),0)+IFERROR(SUMIFS('Base bordo'!G$2:G$746,'Base bordo'!C$2:C$746,A1114,'Base bordo'!B$2:B$746,B1114,'Base bordo'!F$2:F$746,"MANUTENCAO TELEMETRIA"),0)</f>
        <v>0</v>
      </c>
      <c r="M1114" s="10">
        <f>IFERROR(SUMIFS('Base bordo'!G$2:G$746,'Base bordo'!C$2:C$746,A1114,'Base bordo'!B$2:B$746,B1114,'Base bordo'!F$2:F$746,"AGUARDANDO MANUTENCAO"),0)</f>
        <v>0</v>
      </c>
      <c r="N1114" s="10">
        <f>IFERROR(SUMIFS('Base bordo'!G$2:G$746,'Base bordo'!C$2:C$746,A1114,'Base bordo'!B$2:B$746,B1114,'Base bordo'!F$2:F$746,"SEM APONTAMENTO"),0)</f>
        <v>0</v>
      </c>
      <c r="O1114" s="10">
        <f t="shared" si="114"/>
        <v>4.6666666666666856E-2</v>
      </c>
      <c r="P1114" s="10">
        <f>IFERROR(SUMIFS('Base bordo'!G$2:G$746,'Base bordo'!C$2:C$746,A1114,'Base bordo'!B$2:B$746,B1114),0)</f>
        <v>6.1619444444444449</v>
      </c>
      <c r="Q1114" s="10">
        <f>IFERROR(SUMIFS('Base bordo'!H$2:H$746,'Base bordo'!C$2:C$746,A1114,'Base bordo'!B$2:B$746,B1114,'Base bordo'!F$2:F$746,"DESLOCAMENTO VAZIO"),0)</f>
        <v>174958.3</v>
      </c>
      <c r="R1114" s="10">
        <f>IFERROR(SUMIFS('Base bordo'!I$2:I$746,'Base bordo'!C$2:C$746,A1114,'Base bordo'!B$2:B$746,B1114,'Base bordo'!F$2:F$746,"DESLOCAMENTO VAZIO"),0)</f>
        <v>5362</v>
      </c>
      <c r="S1114" s="30">
        <f t="shared" si="115"/>
        <v>32.629298769115998</v>
      </c>
      <c r="T1114" s="10">
        <f>IFERROR(SUMIFS('Base bordo'!H$2:H$746,'Base bordo'!C$2:C$746,A1114,'Base bordo'!B$2:B$746,B1114,'Base bordo'!F$2:F$746,"DESLOCAMENTO CARREGADO"),0)</f>
        <v>211588.94</v>
      </c>
      <c r="U1114" s="10">
        <f>IFERROR(SUMIFS('Base bordo'!I$2:I$746,'Base bordo'!C$2:C$746,A1114,'Base bordo'!B$2:B$746,B1114,'Base bordo'!F$2:F$746,"DESLOCAMENTO CARREGADO"),0)</f>
        <v>9967</v>
      </c>
      <c r="V1114" s="30">
        <f t="shared" si="116"/>
        <v>21.228949533460419</v>
      </c>
      <c r="W1114" s="9">
        <f t="shared" si="117"/>
        <v>0.24171662985168821</v>
      </c>
      <c r="X1114" s="9">
        <f t="shared" si="118"/>
        <v>0.44993914258666545</v>
      </c>
      <c r="Y1114" s="9">
        <f t="shared" si="119"/>
        <v>0.30834422756164637</v>
      </c>
    </row>
    <row r="1115" spans="1:25" ht="15" customHeight="1" x14ac:dyDescent="0.35">
      <c r="A1115" s="52">
        <v>8013470</v>
      </c>
      <c r="B1115" s="51">
        <v>46123</v>
      </c>
      <c r="C1115" s="7" t="s">
        <v>124</v>
      </c>
      <c r="D1115" s="10">
        <f>IFERROR(SUMIFS('Base bordo'!G$2:G$746,'Base bordo'!C$2:C$746,A1115,'Base bordo'!B$2:B$746,B1115,'Base bordo'!F$2:F$746,"DESLOCAMENTO VAZIO"),0)</f>
        <v>1.4894444444444443</v>
      </c>
      <c r="E1115" s="10">
        <f>IFERROR(SUMIFS('Base bordo'!G$2:G$746,'Base bordo'!C$2:C$746,A1115,'Base bordo'!B$2:B$746,B1115,'Base bordo'!F$2:F$746,"DESLOCAMENTO CARREGADO"),0)</f>
        <v>2.7725</v>
      </c>
      <c r="F1115" s="10">
        <f>IFERROR(SUMIFS('Base bordo'!G$2:G$746,'Base bordo'!C$2:C$746,A1115,'Base bordo'!B$2:B$746,B1115,'Base bordo'!F$2:F$746,"DESLOCAMENTO"),0)</f>
        <v>1.1813888888888888</v>
      </c>
      <c r="G1115" s="10">
        <f>IFERROR(SUMIFS('Base bordo'!G$2:G$746,'Base bordo'!C$2:C$746,A1115,'Base bordo'!B$2:B$746,B1115,'Base bordo'!F$2:F$746,"CARREGAMENTO"),0)</f>
        <v>0</v>
      </c>
      <c r="H1115" s="10">
        <f>IFERROR(SUMIFS('Base bordo'!G$2:G$746,'Base bordo'!C$2:C$746,A1115,'Base bordo'!B$2:B$746,B1115,'Base bordo'!F$2:F$746,"AGUARDANDO TRANSBORDO"),0)</f>
        <v>0.10722222222222222</v>
      </c>
      <c r="I1115" s="10">
        <f>IFERROR(SUMIFS('Base bordo'!G$2:G$746,'Base bordo'!C$2:C$746,A1115,'Base bordo'!B$2:B$746,B1115,'Base bordo'!F$2:F$746,"PÁTIO INTERNO"),0)+IFERROR(SUMIFS('Base bordo'!G$2:G$746,'Base bordo'!C$2:C$746,A1115,'Base bordo'!B$2:B$746,B1115,'Base bordo'!F$2:F$746,"PÁTIO EXTERNO"),0)+IFERROR(SUMIFS('Base bordo'!G$2:G$746,'Base bordo'!C$2:C$746,A1115,'Base bordo'!B$2:B$746,B1115,'Base bordo'!F$2:F$746,"PATIO - RESERVA"),0)+IFERROR(SUMIFS('Base bordo'!G$2:G$746,'Base bordo'!C$2:C$746,A1115,'Base bordo'!B$2:B$746,B1115,'Base bordo'!F$2:F$746,"MANOBRA CARRETAS-PATIO"),0)</f>
        <v>0.56472222222222224</v>
      </c>
      <c r="J1115" s="10">
        <f>IFERROR(SUMIFS('Base bordo'!G$2:G$746,'Base bordo'!C$2:C$746,A1115,'Base bordo'!B$2:B$746,B1115,'Base bordo'!F$2:F$746,"BALANÇA - ENTRADA"),0)+IFERROR(SUMIFS('Base bordo'!G$2:G$746,'Base bordo'!C$2:C$746,A1115,'Base bordo'!B$2:B$746,B1115,'Base bordo'!F$2:F$746,"BALANÇA - SAÍDA"),0)</f>
        <v>0</v>
      </c>
      <c r="K1115" s="10">
        <f>IFERROR(SUMIFS('Base bordo'!G$2:G$746,'Base bordo'!C$2:C$746,A1115,'Base bordo'!B$2:B$746,B1115,'Base bordo'!F$2:F$746,"MAN PREVENTIVA - MECANICA"),0)+IFERROR(SUMIFS('Base bordo'!G$2:G$746,'Base bordo'!C$2:C$746,A1115,'Base bordo'!B$2:B$746,B1115,'Base bordo'!F$2:F$746,"MAN CORRETIVA - MECANICA"),0)</f>
        <v>0</v>
      </c>
      <c r="L1115" s="10">
        <f>IFERROR(SUMIFS('Base bordo'!G$2:G$746,'Base bordo'!C$2:C$746,A1115,'Base bordo'!B$2:B$746,B1115,'Base bordo'!F$2:F$746,"MANUTENCAO - T O"),0)+IFERROR(SUMIFS('Base bordo'!G$2:G$746,'Base bordo'!C$2:C$746,A1115,'Base bordo'!B$2:B$746,B1115,'Base bordo'!F$2:F$746,"MANUTENCAO BORRACHARIA"),0)+IFERROR(SUMIFS('Base bordo'!G$2:G$746,'Base bordo'!C$2:C$746,A1115,'Base bordo'!B$2:B$746,B1115,'Base bordo'!F$2:F$746,"MANUTENCAO EXTERNA  CONCESSIONARIA"),0)+IFERROR(SUMIFS('Base bordo'!G$2:G$746,'Base bordo'!C$2:C$746,A1115,'Base bordo'!B$2:B$746,B1115,'Base bordo'!F$2:F$746,"MANUTENCAO TELEMETRIA"),0)</f>
        <v>0</v>
      </c>
      <c r="M1115" s="10">
        <f>IFERROR(SUMIFS('Base bordo'!G$2:G$746,'Base bordo'!C$2:C$746,A1115,'Base bordo'!B$2:B$746,B1115,'Base bordo'!F$2:F$746,"AGUARDANDO MANUTENCAO"),0)</f>
        <v>0</v>
      </c>
      <c r="N1115" s="10">
        <f>IFERROR(SUMIFS('Base bordo'!G$2:G$746,'Base bordo'!C$2:C$746,A1115,'Base bordo'!B$2:B$746,B1115,'Base bordo'!F$2:F$746,"SEM APONTAMENTO"),0)</f>
        <v>0</v>
      </c>
      <c r="O1115" s="10">
        <f t="shared" si="114"/>
        <v>4.6666666666666856E-2</v>
      </c>
      <c r="P1115" s="10">
        <f>IFERROR(SUMIFS('Base bordo'!G$2:G$746,'Base bordo'!C$2:C$746,A1115,'Base bordo'!B$2:B$746,B1115),0)</f>
        <v>6.1619444444444449</v>
      </c>
      <c r="Q1115" s="10">
        <f>IFERROR(SUMIFS('Base bordo'!H$2:H$746,'Base bordo'!C$2:C$746,A1115,'Base bordo'!B$2:B$746,B1115,'Base bordo'!F$2:F$746,"DESLOCAMENTO VAZIO"),0)</f>
        <v>174958.3</v>
      </c>
      <c r="R1115" s="10">
        <f>IFERROR(SUMIFS('Base bordo'!I$2:I$746,'Base bordo'!C$2:C$746,A1115,'Base bordo'!B$2:B$746,B1115,'Base bordo'!F$2:F$746,"DESLOCAMENTO VAZIO"),0)</f>
        <v>5362</v>
      </c>
      <c r="S1115" s="30">
        <f t="shared" si="115"/>
        <v>32.629298769115998</v>
      </c>
      <c r="T1115" s="10">
        <f>IFERROR(SUMIFS('Base bordo'!H$2:H$746,'Base bordo'!C$2:C$746,A1115,'Base bordo'!B$2:B$746,B1115,'Base bordo'!F$2:F$746,"DESLOCAMENTO CARREGADO"),0)</f>
        <v>211588.94</v>
      </c>
      <c r="U1115" s="10">
        <f>IFERROR(SUMIFS('Base bordo'!I$2:I$746,'Base bordo'!C$2:C$746,A1115,'Base bordo'!B$2:B$746,B1115,'Base bordo'!F$2:F$746,"DESLOCAMENTO CARREGADO"),0)</f>
        <v>9967</v>
      </c>
      <c r="V1115" s="30">
        <f t="shared" si="116"/>
        <v>21.228949533460419</v>
      </c>
      <c r="W1115" s="9">
        <f t="shared" si="117"/>
        <v>0.24171662985168821</v>
      </c>
      <c r="X1115" s="9">
        <f t="shared" si="118"/>
        <v>0.44993914258666545</v>
      </c>
      <c r="Y1115" s="9">
        <f t="shared" si="119"/>
        <v>0.30834422756164637</v>
      </c>
    </row>
    <row r="1116" spans="1:25" ht="15" customHeight="1" x14ac:dyDescent="0.35">
      <c r="A1116" s="52">
        <v>8013470</v>
      </c>
      <c r="B1116" s="51">
        <v>46123</v>
      </c>
      <c r="C1116" s="7" t="s">
        <v>124</v>
      </c>
      <c r="D1116" s="10">
        <f>IFERROR(SUMIFS('Base bordo'!G$2:G$746,'Base bordo'!C$2:C$746,A1116,'Base bordo'!B$2:B$746,B1116,'Base bordo'!F$2:F$746,"DESLOCAMENTO VAZIO"),0)</f>
        <v>1.4894444444444443</v>
      </c>
      <c r="E1116" s="10">
        <f>IFERROR(SUMIFS('Base bordo'!G$2:G$746,'Base bordo'!C$2:C$746,A1116,'Base bordo'!B$2:B$746,B1116,'Base bordo'!F$2:F$746,"DESLOCAMENTO CARREGADO"),0)</f>
        <v>2.7725</v>
      </c>
      <c r="F1116" s="10">
        <f>IFERROR(SUMIFS('Base bordo'!G$2:G$746,'Base bordo'!C$2:C$746,A1116,'Base bordo'!B$2:B$746,B1116,'Base bordo'!F$2:F$746,"DESLOCAMENTO"),0)</f>
        <v>1.1813888888888888</v>
      </c>
      <c r="G1116" s="10">
        <f>IFERROR(SUMIFS('Base bordo'!G$2:G$746,'Base bordo'!C$2:C$746,A1116,'Base bordo'!B$2:B$746,B1116,'Base bordo'!F$2:F$746,"CARREGAMENTO"),0)</f>
        <v>0</v>
      </c>
      <c r="H1116" s="10">
        <f>IFERROR(SUMIFS('Base bordo'!G$2:G$746,'Base bordo'!C$2:C$746,A1116,'Base bordo'!B$2:B$746,B1116,'Base bordo'!F$2:F$746,"AGUARDANDO TRANSBORDO"),0)</f>
        <v>0.10722222222222222</v>
      </c>
      <c r="I1116" s="10">
        <f>IFERROR(SUMIFS('Base bordo'!G$2:G$746,'Base bordo'!C$2:C$746,A1116,'Base bordo'!B$2:B$746,B1116,'Base bordo'!F$2:F$746,"PÁTIO INTERNO"),0)+IFERROR(SUMIFS('Base bordo'!G$2:G$746,'Base bordo'!C$2:C$746,A1116,'Base bordo'!B$2:B$746,B1116,'Base bordo'!F$2:F$746,"PÁTIO EXTERNO"),0)+IFERROR(SUMIFS('Base bordo'!G$2:G$746,'Base bordo'!C$2:C$746,A1116,'Base bordo'!B$2:B$746,B1116,'Base bordo'!F$2:F$746,"PATIO - RESERVA"),0)+IFERROR(SUMIFS('Base bordo'!G$2:G$746,'Base bordo'!C$2:C$746,A1116,'Base bordo'!B$2:B$746,B1116,'Base bordo'!F$2:F$746,"MANOBRA CARRETAS-PATIO"),0)</f>
        <v>0.56472222222222224</v>
      </c>
      <c r="J1116" s="10">
        <f>IFERROR(SUMIFS('Base bordo'!G$2:G$746,'Base bordo'!C$2:C$746,A1116,'Base bordo'!B$2:B$746,B1116,'Base bordo'!F$2:F$746,"BALANÇA - ENTRADA"),0)+IFERROR(SUMIFS('Base bordo'!G$2:G$746,'Base bordo'!C$2:C$746,A1116,'Base bordo'!B$2:B$746,B1116,'Base bordo'!F$2:F$746,"BALANÇA - SAÍDA"),0)</f>
        <v>0</v>
      </c>
      <c r="K1116" s="10">
        <f>IFERROR(SUMIFS('Base bordo'!G$2:G$746,'Base bordo'!C$2:C$746,A1116,'Base bordo'!B$2:B$746,B1116,'Base bordo'!F$2:F$746,"MAN PREVENTIVA - MECANICA"),0)+IFERROR(SUMIFS('Base bordo'!G$2:G$746,'Base bordo'!C$2:C$746,A1116,'Base bordo'!B$2:B$746,B1116,'Base bordo'!F$2:F$746,"MAN CORRETIVA - MECANICA"),0)</f>
        <v>0</v>
      </c>
      <c r="L1116" s="10">
        <f>IFERROR(SUMIFS('Base bordo'!G$2:G$746,'Base bordo'!C$2:C$746,A1116,'Base bordo'!B$2:B$746,B1116,'Base bordo'!F$2:F$746,"MANUTENCAO - T O"),0)+IFERROR(SUMIFS('Base bordo'!G$2:G$746,'Base bordo'!C$2:C$746,A1116,'Base bordo'!B$2:B$746,B1116,'Base bordo'!F$2:F$746,"MANUTENCAO BORRACHARIA"),0)+IFERROR(SUMIFS('Base bordo'!G$2:G$746,'Base bordo'!C$2:C$746,A1116,'Base bordo'!B$2:B$746,B1116,'Base bordo'!F$2:F$746,"MANUTENCAO EXTERNA  CONCESSIONARIA"),0)+IFERROR(SUMIFS('Base bordo'!G$2:G$746,'Base bordo'!C$2:C$746,A1116,'Base bordo'!B$2:B$746,B1116,'Base bordo'!F$2:F$746,"MANUTENCAO TELEMETRIA"),0)</f>
        <v>0</v>
      </c>
      <c r="M1116" s="10">
        <f>IFERROR(SUMIFS('Base bordo'!G$2:G$746,'Base bordo'!C$2:C$746,A1116,'Base bordo'!B$2:B$746,B1116,'Base bordo'!F$2:F$746,"AGUARDANDO MANUTENCAO"),0)</f>
        <v>0</v>
      </c>
      <c r="N1116" s="10">
        <f>IFERROR(SUMIFS('Base bordo'!G$2:G$746,'Base bordo'!C$2:C$746,A1116,'Base bordo'!B$2:B$746,B1116,'Base bordo'!F$2:F$746,"SEM APONTAMENTO"),0)</f>
        <v>0</v>
      </c>
      <c r="O1116" s="10">
        <f t="shared" si="114"/>
        <v>4.6666666666666856E-2</v>
      </c>
      <c r="P1116" s="10">
        <f>IFERROR(SUMIFS('Base bordo'!G$2:G$746,'Base bordo'!C$2:C$746,A1116,'Base bordo'!B$2:B$746,B1116),0)</f>
        <v>6.1619444444444449</v>
      </c>
      <c r="Q1116" s="10">
        <f>IFERROR(SUMIFS('Base bordo'!H$2:H$746,'Base bordo'!C$2:C$746,A1116,'Base bordo'!B$2:B$746,B1116,'Base bordo'!F$2:F$746,"DESLOCAMENTO VAZIO"),0)</f>
        <v>174958.3</v>
      </c>
      <c r="R1116" s="10">
        <f>IFERROR(SUMIFS('Base bordo'!I$2:I$746,'Base bordo'!C$2:C$746,A1116,'Base bordo'!B$2:B$746,B1116,'Base bordo'!F$2:F$746,"DESLOCAMENTO VAZIO"),0)</f>
        <v>5362</v>
      </c>
      <c r="S1116" s="30">
        <f t="shared" si="115"/>
        <v>32.629298769115998</v>
      </c>
      <c r="T1116" s="10">
        <f>IFERROR(SUMIFS('Base bordo'!H$2:H$746,'Base bordo'!C$2:C$746,A1116,'Base bordo'!B$2:B$746,B1116,'Base bordo'!F$2:F$746,"DESLOCAMENTO CARREGADO"),0)</f>
        <v>211588.94</v>
      </c>
      <c r="U1116" s="10">
        <f>IFERROR(SUMIFS('Base bordo'!I$2:I$746,'Base bordo'!C$2:C$746,A1116,'Base bordo'!B$2:B$746,B1116,'Base bordo'!F$2:F$746,"DESLOCAMENTO CARREGADO"),0)</f>
        <v>9967</v>
      </c>
      <c r="V1116" s="30">
        <f t="shared" si="116"/>
        <v>21.228949533460419</v>
      </c>
      <c r="W1116" s="9">
        <f t="shared" si="117"/>
        <v>0.24171662985168821</v>
      </c>
      <c r="X1116" s="9">
        <f t="shared" si="118"/>
        <v>0.44993914258666545</v>
      </c>
      <c r="Y1116" s="9">
        <f t="shared" si="119"/>
        <v>0.30834422756164637</v>
      </c>
    </row>
    <row r="1117" spans="1:25" ht="15" customHeight="1" x14ac:dyDescent="0.35">
      <c r="A1117" s="52">
        <v>8013470</v>
      </c>
      <c r="B1117" s="51">
        <v>46123</v>
      </c>
      <c r="C1117" s="7" t="s">
        <v>124</v>
      </c>
      <c r="D1117" s="10">
        <f>IFERROR(SUMIFS('Base bordo'!G$2:G$746,'Base bordo'!C$2:C$746,A1117,'Base bordo'!B$2:B$746,B1117,'Base bordo'!F$2:F$746,"DESLOCAMENTO VAZIO"),0)</f>
        <v>1.4894444444444443</v>
      </c>
      <c r="E1117" s="10">
        <f>IFERROR(SUMIFS('Base bordo'!G$2:G$746,'Base bordo'!C$2:C$746,A1117,'Base bordo'!B$2:B$746,B1117,'Base bordo'!F$2:F$746,"DESLOCAMENTO CARREGADO"),0)</f>
        <v>2.7725</v>
      </c>
      <c r="F1117" s="10">
        <f>IFERROR(SUMIFS('Base bordo'!G$2:G$746,'Base bordo'!C$2:C$746,A1117,'Base bordo'!B$2:B$746,B1117,'Base bordo'!F$2:F$746,"DESLOCAMENTO"),0)</f>
        <v>1.1813888888888888</v>
      </c>
      <c r="G1117" s="10">
        <f>IFERROR(SUMIFS('Base bordo'!G$2:G$746,'Base bordo'!C$2:C$746,A1117,'Base bordo'!B$2:B$746,B1117,'Base bordo'!F$2:F$746,"CARREGAMENTO"),0)</f>
        <v>0</v>
      </c>
      <c r="H1117" s="10">
        <f>IFERROR(SUMIFS('Base bordo'!G$2:G$746,'Base bordo'!C$2:C$746,A1117,'Base bordo'!B$2:B$746,B1117,'Base bordo'!F$2:F$746,"AGUARDANDO TRANSBORDO"),0)</f>
        <v>0.10722222222222222</v>
      </c>
      <c r="I1117" s="10">
        <f>IFERROR(SUMIFS('Base bordo'!G$2:G$746,'Base bordo'!C$2:C$746,A1117,'Base bordo'!B$2:B$746,B1117,'Base bordo'!F$2:F$746,"PÁTIO INTERNO"),0)+IFERROR(SUMIFS('Base bordo'!G$2:G$746,'Base bordo'!C$2:C$746,A1117,'Base bordo'!B$2:B$746,B1117,'Base bordo'!F$2:F$746,"PÁTIO EXTERNO"),0)+IFERROR(SUMIFS('Base bordo'!G$2:G$746,'Base bordo'!C$2:C$746,A1117,'Base bordo'!B$2:B$746,B1117,'Base bordo'!F$2:F$746,"PATIO - RESERVA"),0)+IFERROR(SUMIFS('Base bordo'!G$2:G$746,'Base bordo'!C$2:C$746,A1117,'Base bordo'!B$2:B$746,B1117,'Base bordo'!F$2:F$746,"MANOBRA CARRETAS-PATIO"),0)</f>
        <v>0.56472222222222224</v>
      </c>
      <c r="J1117" s="10">
        <f>IFERROR(SUMIFS('Base bordo'!G$2:G$746,'Base bordo'!C$2:C$746,A1117,'Base bordo'!B$2:B$746,B1117,'Base bordo'!F$2:F$746,"BALANÇA - ENTRADA"),0)+IFERROR(SUMIFS('Base bordo'!G$2:G$746,'Base bordo'!C$2:C$746,A1117,'Base bordo'!B$2:B$746,B1117,'Base bordo'!F$2:F$746,"BALANÇA - SAÍDA"),0)</f>
        <v>0</v>
      </c>
      <c r="K1117" s="10">
        <f>IFERROR(SUMIFS('Base bordo'!G$2:G$746,'Base bordo'!C$2:C$746,A1117,'Base bordo'!B$2:B$746,B1117,'Base bordo'!F$2:F$746,"MAN PREVENTIVA - MECANICA"),0)+IFERROR(SUMIFS('Base bordo'!G$2:G$746,'Base bordo'!C$2:C$746,A1117,'Base bordo'!B$2:B$746,B1117,'Base bordo'!F$2:F$746,"MAN CORRETIVA - MECANICA"),0)</f>
        <v>0</v>
      </c>
      <c r="L1117" s="10">
        <f>IFERROR(SUMIFS('Base bordo'!G$2:G$746,'Base bordo'!C$2:C$746,A1117,'Base bordo'!B$2:B$746,B1117,'Base bordo'!F$2:F$746,"MANUTENCAO - T O"),0)+IFERROR(SUMIFS('Base bordo'!G$2:G$746,'Base bordo'!C$2:C$746,A1117,'Base bordo'!B$2:B$746,B1117,'Base bordo'!F$2:F$746,"MANUTENCAO BORRACHARIA"),0)+IFERROR(SUMIFS('Base bordo'!G$2:G$746,'Base bordo'!C$2:C$746,A1117,'Base bordo'!B$2:B$746,B1117,'Base bordo'!F$2:F$746,"MANUTENCAO EXTERNA  CONCESSIONARIA"),0)+IFERROR(SUMIFS('Base bordo'!G$2:G$746,'Base bordo'!C$2:C$746,A1117,'Base bordo'!B$2:B$746,B1117,'Base bordo'!F$2:F$746,"MANUTENCAO TELEMETRIA"),0)</f>
        <v>0</v>
      </c>
      <c r="M1117" s="10">
        <f>IFERROR(SUMIFS('Base bordo'!G$2:G$746,'Base bordo'!C$2:C$746,A1117,'Base bordo'!B$2:B$746,B1117,'Base bordo'!F$2:F$746,"AGUARDANDO MANUTENCAO"),0)</f>
        <v>0</v>
      </c>
      <c r="N1117" s="10">
        <f>IFERROR(SUMIFS('Base bordo'!G$2:G$746,'Base bordo'!C$2:C$746,A1117,'Base bordo'!B$2:B$746,B1117,'Base bordo'!F$2:F$746,"SEM APONTAMENTO"),0)</f>
        <v>0</v>
      </c>
      <c r="O1117" s="10">
        <f t="shared" si="114"/>
        <v>4.6666666666666856E-2</v>
      </c>
      <c r="P1117" s="10">
        <f>IFERROR(SUMIFS('Base bordo'!G$2:G$746,'Base bordo'!C$2:C$746,A1117,'Base bordo'!B$2:B$746,B1117),0)</f>
        <v>6.1619444444444449</v>
      </c>
      <c r="Q1117" s="10">
        <f>IFERROR(SUMIFS('Base bordo'!H$2:H$746,'Base bordo'!C$2:C$746,A1117,'Base bordo'!B$2:B$746,B1117,'Base bordo'!F$2:F$746,"DESLOCAMENTO VAZIO"),0)</f>
        <v>174958.3</v>
      </c>
      <c r="R1117" s="10">
        <f>IFERROR(SUMIFS('Base bordo'!I$2:I$746,'Base bordo'!C$2:C$746,A1117,'Base bordo'!B$2:B$746,B1117,'Base bordo'!F$2:F$746,"DESLOCAMENTO VAZIO"),0)</f>
        <v>5362</v>
      </c>
      <c r="S1117" s="30">
        <f t="shared" si="115"/>
        <v>32.629298769115998</v>
      </c>
      <c r="T1117" s="10">
        <f>IFERROR(SUMIFS('Base bordo'!H$2:H$746,'Base bordo'!C$2:C$746,A1117,'Base bordo'!B$2:B$746,B1117,'Base bordo'!F$2:F$746,"DESLOCAMENTO CARREGADO"),0)</f>
        <v>211588.94</v>
      </c>
      <c r="U1117" s="10">
        <f>IFERROR(SUMIFS('Base bordo'!I$2:I$746,'Base bordo'!C$2:C$746,A1117,'Base bordo'!B$2:B$746,B1117,'Base bordo'!F$2:F$746,"DESLOCAMENTO CARREGADO"),0)</f>
        <v>9967</v>
      </c>
      <c r="V1117" s="30">
        <f t="shared" si="116"/>
        <v>21.228949533460419</v>
      </c>
      <c r="W1117" s="9">
        <f t="shared" si="117"/>
        <v>0.24171662985168821</v>
      </c>
      <c r="X1117" s="9">
        <f t="shared" si="118"/>
        <v>0.44993914258666545</v>
      </c>
      <c r="Y1117" s="9">
        <f t="shared" si="119"/>
        <v>0.30834422756164637</v>
      </c>
    </row>
    <row r="1118" spans="1:25" ht="15" customHeight="1" x14ac:dyDescent="0.35">
      <c r="A1118" s="52">
        <v>8013470</v>
      </c>
      <c r="B1118" s="51">
        <v>46123</v>
      </c>
      <c r="C1118" s="7" t="s">
        <v>124</v>
      </c>
      <c r="D1118" s="10">
        <f>IFERROR(SUMIFS('Base bordo'!G$2:G$746,'Base bordo'!C$2:C$746,A1118,'Base bordo'!B$2:B$746,B1118,'Base bordo'!F$2:F$746,"DESLOCAMENTO VAZIO"),0)</f>
        <v>1.4894444444444443</v>
      </c>
      <c r="E1118" s="10">
        <f>IFERROR(SUMIFS('Base bordo'!G$2:G$746,'Base bordo'!C$2:C$746,A1118,'Base bordo'!B$2:B$746,B1118,'Base bordo'!F$2:F$746,"DESLOCAMENTO CARREGADO"),0)</f>
        <v>2.7725</v>
      </c>
      <c r="F1118" s="10">
        <f>IFERROR(SUMIFS('Base bordo'!G$2:G$746,'Base bordo'!C$2:C$746,A1118,'Base bordo'!B$2:B$746,B1118,'Base bordo'!F$2:F$746,"DESLOCAMENTO"),0)</f>
        <v>1.1813888888888888</v>
      </c>
      <c r="G1118" s="10">
        <f>IFERROR(SUMIFS('Base bordo'!G$2:G$746,'Base bordo'!C$2:C$746,A1118,'Base bordo'!B$2:B$746,B1118,'Base bordo'!F$2:F$746,"CARREGAMENTO"),0)</f>
        <v>0</v>
      </c>
      <c r="H1118" s="10">
        <f>IFERROR(SUMIFS('Base bordo'!G$2:G$746,'Base bordo'!C$2:C$746,A1118,'Base bordo'!B$2:B$746,B1118,'Base bordo'!F$2:F$746,"AGUARDANDO TRANSBORDO"),0)</f>
        <v>0.10722222222222222</v>
      </c>
      <c r="I1118" s="10">
        <f>IFERROR(SUMIFS('Base bordo'!G$2:G$746,'Base bordo'!C$2:C$746,A1118,'Base bordo'!B$2:B$746,B1118,'Base bordo'!F$2:F$746,"PÁTIO INTERNO"),0)+IFERROR(SUMIFS('Base bordo'!G$2:G$746,'Base bordo'!C$2:C$746,A1118,'Base bordo'!B$2:B$746,B1118,'Base bordo'!F$2:F$746,"PÁTIO EXTERNO"),0)+IFERROR(SUMIFS('Base bordo'!G$2:G$746,'Base bordo'!C$2:C$746,A1118,'Base bordo'!B$2:B$746,B1118,'Base bordo'!F$2:F$746,"PATIO - RESERVA"),0)+IFERROR(SUMIFS('Base bordo'!G$2:G$746,'Base bordo'!C$2:C$746,A1118,'Base bordo'!B$2:B$746,B1118,'Base bordo'!F$2:F$746,"MANOBRA CARRETAS-PATIO"),0)</f>
        <v>0.56472222222222224</v>
      </c>
      <c r="J1118" s="10">
        <f>IFERROR(SUMIFS('Base bordo'!G$2:G$746,'Base bordo'!C$2:C$746,A1118,'Base bordo'!B$2:B$746,B1118,'Base bordo'!F$2:F$746,"BALANÇA - ENTRADA"),0)+IFERROR(SUMIFS('Base bordo'!G$2:G$746,'Base bordo'!C$2:C$746,A1118,'Base bordo'!B$2:B$746,B1118,'Base bordo'!F$2:F$746,"BALANÇA - SAÍDA"),0)</f>
        <v>0</v>
      </c>
      <c r="K1118" s="10">
        <f>IFERROR(SUMIFS('Base bordo'!G$2:G$746,'Base bordo'!C$2:C$746,A1118,'Base bordo'!B$2:B$746,B1118,'Base bordo'!F$2:F$746,"MAN PREVENTIVA - MECANICA"),0)+IFERROR(SUMIFS('Base bordo'!G$2:G$746,'Base bordo'!C$2:C$746,A1118,'Base bordo'!B$2:B$746,B1118,'Base bordo'!F$2:F$746,"MAN CORRETIVA - MECANICA"),0)</f>
        <v>0</v>
      </c>
      <c r="L1118" s="10">
        <f>IFERROR(SUMIFS('Base bordo'!G$2:G$746,'Base bordo'!C$2:C$746,A1118,'Base bordo'!B$2:B$746,B1118,'Base bordo'!F$2:F$746,"MANUTENCAO - T O"),0)+IFERROR(SUMIFS('Base bordo'!G$2:G$746,'Base bordo'!C$2:C$746,A1118,'Base bordo'!B$2:B$746,B1118,'Base bordo'!F$2:F$746,"MANUTENCAO BORRACHARIA"),0)+IFERROR(SUMIFS('Base bordo'!G$2:G$746,'Base bordo'!C$2:C$746,A1118,'Base bordo'!B$2:B$746,B1118,'Base bordo'!F$2:F$746,"MANUTENCAO EXTERNA  CONCESSIONARIA"),0)+IFERROR(SUMIFS('Base bordo'!G$2:G$746,'Base bordo'!C$2:C$746,A1118,'Base bordo'!B$2:B$746,B1118,'Base bordo'!F$2:F$746,"MANUTENCAO TELEMETRIA"),0)</f>
        <v>0</v>
      </c>
      <c r="M1118" s="10">
        <f>IFERROR(SUMIFS('Base bordo'!G$2:G$746,'Base bordo'!C$2:C$746,A1118,'Base bordo'!B$2:B$746,B1118,'Base bordo'!F$2:F$746,"AGUARDANDO MANUTENCAO"),0)</f>
        <v>0</v>
      </c>
      <c r="N1118" s="10">
        <f>IFERROR(SUMIFS('Base bordo'!G$2:G$746,'Base bordo'!C$2:C$746,A1118,'Base bordo'!B$2:B$746,B1118,'Base bordo'!F$2:F$746,"SEM APONTAMENTO"),0)</f>
        <v>0</v>
      </c>
      <c r="O1118" s="10">
        <f t="shared" si="114"/>
        <v>4.6666666666666856E-2</v>
      </c>
      <c r="P1118" s="10">
        <f>IFERROR(SUMIFS('Base bordo'!G$2:G$746,'Base bordo'!C$2:C$746,A1118,'Base bordo'!B$2:B$746,B1118),0)</f>
        <v>6.1619444444444449</v>
      </c>
      <c r="Q1118" s="10">
        <f>IFERROR(SUMIFS('Base bordo'!H$2:H$746,'Base bordo'!C$2:C$746,A1118,'Base bordo'!B$2:B$746,B1118,'Base bordo'!F$2:F$746,"DESLOCAMENTO VAZIO"),0)</f>
        <v>174958.3</v>
      </c>
      <c r="R1118" s="10">
        <f>IFERROR(SUMIFS('Base bordo'!I$2:I$746,'Base bordo'!C$2:C$746,A1118,'Base bordo'!B$2:B$746,B1118,'Base bordo'!F$2:F$746,"DESLOCAMENTO VAZIO"),0)</f>
        <v>5362</v>
      </c>
      <c r="S1118" s="30">
        <f t="shared" si="115"/>
        <v>32.629298769115998</v>
      </c>
      <c r="T1118" s="10">
        <f>IFERROR(SUMIFS('Base bordo'!H$2:H$746,'Base bordo'!C$2:C$746,A1118,'Base bordo'!B$2:B$746,B1118,'Base bordo'!F$2:F$746,"DESLOCAMENTO CARREGADO"),0)</f>
        <v>211588.94</v>
      </c>
      <c r="U1118" s="10">
        <f>IFERROR(SUMIFS('Base bordo'!I$2:I$746,'Base bordo'!C$2:C$746,A1118,'Base bordo'!B$2:B$746,B1118,'Base bordo'!F$2:F$746,"DESLOCAMENTO CARREGADO"),0)</f>
        <v>9967</v>
      </c>
      <c r="V1118" s="30">
        <f t="shared" si="116"/>
        <v>21.228949533460419</v>
      </c>
      <c r="W1118" s="9">
        <f t="shared" si="117"/>
        <v>0.24171662985168821</v>
      </c>
      <c r="X1118" s="9">
        <f t="shared" si="118"/>
        <v>0.44993914258666545</v>
      </c>
      <c r="Y1118" s="9">
        <f t="shared" si="119"/>
        <v>0.30834422756164637</v>
      </c>
    </row>
    <row r="1119" spans="1:25" ht="15" customHeight="1" x14ac:dyDescent="0.35">
      <c r="A1119" s="52">
        <v>8013470</v>
      </c>
      <c r="B1119" s="51">
        <v>46123</v>
      </c>
      <c r="C1119" s="7" t="s">
        <v>124</v>
      </c>
      <c r="D1119" s="10">
        <f>IFERROR(SUMIFS('Base bordo'!G$2:G$746,'Base bordo'!C$2:C$746,A1119,'Base bordo'!B$2:B$746,B1119,'Base bordo'!F$2:F$746,"DESLOCAMENTO VAZIO"),0)</f>
        <v>1.4894444444444443</v>
      </c>
      <c r="E1119" s="10">
        <f>IFERROR(SUMIFS('Base bordo'!G$2:G$746,'Base bordo'!C$2:C$746,A1119,'Base bordo'!B$2:B$746,B1119,'Base bordo'!F$2:F$746,"DESLOCAMENTO CARREGADO"),0)</f>
        <v>2.7725</v>
      </c>
      <c r="F1119" s="10">
        <f>IFERROR(SUMIFS('Base bordo'!G$2:G$746,'Base bordo'!C$2:C$746,A1119,'Base bordo'!B$2:B$746,B1119,'Base bordo'!F$2:F$746,"DESLOCAMENTO"),0)</f>
        <v>1.1813888888888888</v>
      </c>
      <c r="G1119" s="10">
        <f>IFERROR(SUMIFS('Base bordo'!G$2:G$746,'Base bordo'!C$2:C$746,A1119,'Base bordo'!B$2:B$746,B1119,'Base bordo'!F$2:F$746,"CARREGAMENTO"),0)</f>
        <v>0</v>
      </c>
      <c r="H1119" s="10">
        <f>IFERROR(SUMIFS('Base bordo'!G$2:G$746,'Base bordo'!C$2:C$746,A1119,'Base bordo'!B$2:B$746,B1119,'Base bordo'!F$2:F$746,"AGUARDANDO TRANSBORDO"),0)</f>
        <v>0.10722222222222222</v>
      </c>
      <c r="I1119" s="10">
        <f>IFERROR(SUMIFS('Base bordo'!G$2:G$746,'Base bordo'!C$2:C$746,A1119,'Base bordo'!B$2:B$746,B1119,'Base bordo'!F$2:F$746,"PÁTIO INTERNO"),0)+IFERROR(SUMIFS('Base bordo'!G$2:G$746,'Base bordo'!C$2:C$746,A1119,'Base bordo'!B$2:B$746,B1119,'Base bordo'!F$2:F$746,"PÁTIO EXTERNO"),0)+IFERROR(SUMIFS('Base bordo'!G$2:G$746,'Base bordo'!C$2:C$746,A1119,'Base bordo'!B$2:B$746,B1119,'Base bordo'!F$2:F$746,"PATIO - RESERVA"),0)+IFERROR(SUMIFS('Base bordo'!G$2:G$746,'Base bordo'!C$2:C$746,A1119,'Base bordo'!B$2:B$746,B1119,'Base bordo'!F$2:F$746,"MANOBRA CARRETAS-PATIO"),0)</f>
        <v>0.56472222222222224</v>
      </c>
      <c r="J1119" s="10">
        <f>IFERROR(SUMIFS('Base bordo'!G$2:G$746,'Base bordo'!C$2:C$746,A1119,'Base bordo'!B$2:B$746,B1119,'Base bordo'!F$2:F$746,"BALANÇA - ENTRADA"),0)+IFERROR(SUMIFS('Base bordo'!G$2:G$746,'Base bordo'!C$2:C$746,A1119,'Base bordo'!B$2:B$746,B1119,'Base bordo'!F$2:F$746,"BALANÇA - SAÍDA"),0)</f>
        <v>0</v>
      </c>
      <c r="K1119" s="10">
        <f>IFERROR(SUMIFS('Base bordo'!G$2:G$746,'Base bordo'!C$2:C$746,A1119,'Base bordo'!B$2:B$746,B1119,'Base bordo'!F$2:F$746,"MAN PREVENTIVA - MECANICA"),0)+IFERROR(SUMIFS('Base bordo'!G$2:G$746,'Base bordo'!C$2:C$746,A1119,'Base bordo'!B$2:B$746,B1119,'Base bordo'!F$2:F$746,"MAN CORRETIVA - MECANICA"),0)</f>
        <v>0</v>
      </c>
      <c r="L1119" s="10">
        <f>IFERROR(SUMIFS('Base bordo'!G$2:G$746,'Base bordo'!C$2:C$746,A1119,'Base bordo'!B$2:B$746,B1119,'Base bordo'!F$2:F$746,"MANUTENCAO - T O"),0)+IFERROR(SUMIFS('Base bordo'!G$2:G$746,'Base bordo'!C$2:C$746,A1119,'Base bordo'!B$2:B$746,B1119,'Base bordo'!F$2:F$746,"MANUTENCAO BORRACHARIA"),0)+IFERROR(SUMIFS('Base bordo'!G$2:G$746,'Base bordo'!C$2:C$746,A1119,'Base bordo'!B$2:B$746,B1119,'Base bordo'!F$2:F$746,"MANUTENCAO EXTERNA  CONCESSIONARIA"),0)+IFERROR(SUMIFS('Base bordo'!G$2:G$746,'Base bordo'!C$2:C$746,A1119,'Base bordo'!B$2:B$746,B1119,'Base bordo'!F$2:F$746,"MANUTENCAO TELEMETRIA"),0)</f>
        <v>0</v>
      </c>
      <c r="M1119" s="10">
        <f>IFERROR(SUMIFS('Base bordo'!G$2:G$746,'Base bordo'!C$2:C$746,A1119,'Base bordo'!B$2:B$746,B1119,'Base bordo'!F$2:F$746,"AGUARDANDO MANUTENCAO"),0)</f>
        <v>0</v>
      </c>
      <c r="N1119" s="10">
        <f>IFERROR(SUMIFS('Base bordo'!G$2:G$746,'Base bordo'!C$2:C$746,A1119,'Base bordo'!B$2:B$746,B1119,'Base bordo'!F$2:F$746,"SEM APONTAMENTO"),0)</f>
        <v>0</v>
      </c>
      <c r="O1119" s="10">
        <f t="shared" si="114"/>
        <v>4.6666666666666856E-2</v>
      </c>
      <c r="P1119" s="10">
        <f>IFERROR(SUMIFS('Base bordo'!G$2:G$746,'Base bordo'!C$2:C$746,A1119,'Base bordo'!B$2:B$746,B1119),0)</f>
        <v>6.1619444444444449</v>
      </c>
      <c r="Q1119" s="10">
        <f>IFERROR(SUMIFS('Base bordo'!H$2:H$746,'Base bordo'!C$2:C$746,A1119,'Base bordo'!B$2:B$746,B1119,'Base bordo'!F$2:F$746,"DESLOCAMENTO VAZIO"),0)</f>
        <v>174958.3</v>
      </c>
      <c r="R1119" s="10">
        <f>IFERROR(SUMIFS('Base bordo'!I$2:I$746,'Base bordo'!C$2:C$746,A1119,'Base bordo'!B$2:B$746,B1119,'Base bordo'!F$2:F$746,"DESLOCAMENTO VAZIO"),0)</f>
        <v>5362</v>
      </c>
      <c r="S1119" s="30">
        <f t="shared" si="115"/>
        <v>32.629298769115998</v>
      </c>
      <c r="T1119" s="10">
        <f>IFERROR(SUMIFS('Base bordo'!H$2:H$746,'Base bordo'!C$2:C$746,A1119,'Base bordo'!B$2:B$746,B1119,'Base bordo'!F$2:F$746,"DESLOCAMENTO CARREGADO"),0)</f>
        <v>211588.94</v>
      </c>
      <c r="U1119" s="10">
        <f>IFERROR(SUMIFS('Base bordo'!I$2:I$746,'Base bordo'!C$2:C$746,A1119,'Base bordo'!B$2:B$746,B1119,'Base bordo'!F$2:F$746,"DESLOCAMENTO CARREGADO"),0)</f>
        <v>9967</v>
      </c>
      <c r="V1119" s="30">
        <f t="shared" si="116"/>
        <v>21.228949533460419</v>
      </c>
      <c r="W1119" s="9">
        <f t="shared" si="117"/>
        <v>0.24171662985168821</v>
      </c>
      <c r="X1119" s="9">
        <f t="shared" si="118"/>
        <v>0.44993914258666545</v>
      </c>
      <c r="Y1119" s="9">
        <f t="shared" si="119"/>
        <v>0.30834422756164637</v>
      </c>
    </row>
    <row r="1120" spans="1:25" ht="15" customHeight="1" x14ac:dyDescent="0.35">
      <c r="A1120" s="52">
        <v>8013472</v>
      </c>
      <c r="B1120" s="51">
        <v>46123</v>
      </c>
      <c r="C1120" s="7" t="s">
        <v>124</v>
      </c>
      <c r="D1120" s="10">
        <f>IFERROR(SUMIFS('Base bordo'!G$2:G$746,'Base bordo'!C$2:C$746,A1120,'Base bordo'!B$2:B$746,B1120,'Base bordo'!F$2:F$746,"DESLOCAMENTO VAZIO"),0)</f>
        <v>2.9125000000000001</v>
      </c>
      <c r="E1120" s="10">
        <f>IFERROR(SUMIFS('Base bordo'!G$2:G$746,'Base bordo'!C$2:C$746,A1120,'Base bordo'!B$2:B$746,B1120,'Base bordo'!F$2:F$746,"DESLOCAMENTO CARREGADO"),0)</f>
        <v>4.025555555555556</v>
      </c>
      <c r="F1120" s="10">
        <f>IFERROR(SUMIFS('Base bordo'!G$2:G$746,'Base bordo'!C$2:C$746,A1120,'Base bordo'!B$2:B$746,B1120,'Base bordo'!F$2:F$746,"DESLOCAMENTO"),0)</f>
        <v>0</v>
      </c>
      <c r="G1120" s="10">
        <f>IFERROR(SUMIFS('Base bordo'!G$2:G$746,'Base bordo'!C$2:C$746,A1120,'Base bordo'!B$2:B$746,B1120,'Base bordo'!F$2:F$746,"CARREGAMENTO"),0)</f>
        <v>0</v>
      </c>
      <c r="H1120" s="10">
        <f>IFERROR(SUMIFS('Base bordo'!G$2:G$746,'Base bordo'!C$2:C$746,A1120,'Base bordo'!B$2:B$746,B1120,'Base bordo'!F$2:F$746,"AGUARDANDO TRANSBORDO"),0)</f>
        <v>0</v>
      </c>
      <c r="I1120" s="10">
        <f>IFERROR(SUMIFS('Base bordo'!G$2:G$746,'Base bordo'!C$2:C$746,A1120,'Base bordo'!B$2:B$746,B1120,'Base bordo'!F$2:F$746,"PÁTIO INTERNO"),0)+IFERROR(SUMIFS('Base bordo'!G$2:G$746,'Base bordo'!C$2:C$746,A1120,'Base bordo'!B$2:B$746,B1120,'Base bordo'!F$2:F$746,"PÁTIO EXTERNO"),0)+IFERROR(SUMIFS('Base bordo'!G$2:G$746,'Base bordo'!C$2:C$746,A1120,'Base bordo'!B$2:B$746,B1120,'Base bordo'!F$2:F$746,"PATIO - RESERVA"),0)+IFERROR(SUMIFS('Base bordo'!G$2:G$746,'Base bordo'!C$2:C$746,A1120,'Base bordo'!B$2:B$746,B1120,'Base bordo'!F$2:F$746,"MANOBRA CARRETAS-PATIO"),0)</f>
        <v>1.0555555555555556</v>
      </c>
      <c r="J1120" s="10">
        <f>IFERROR(SUMIFS('Base bordo'!G$2:G$746,'Base bordo'!C$2:C$746,A1120,'Base bordo'!B$2:B$746,B1120,'Base bordo'!F$2:F$746,"BALANÇA - ENTRADA"),0)+IFERROR(SUMIFS('Base bordo'!G$2:G$746,'Base bordo'!C$2:C$746,A1120,'Base bordo'!B$2:B$746,B1120,'Base bordo'!F$2:F$746,"BALANÇA - SAÍDA"),0)</f>
        <v>0</v>
      </c>
      <c r="K1120" s="10">
        <f>IFERROR(SUMIFS('Base bordo'!G$2:G$746,'Base bordo'!C$2:C$746,A1120,'Base bordo'!B$2:B$746,B1120,'Base bordo'!F$2:F$746,"MAN PREVENTIVA - MECANICA"),0)+IFERROR(SUMIFS('Base bordo'!G$2:G$746,'Base bordo'!C$2:C$746,A1120,'Base bordo'!B$2:B$746,B1120,'Base bordo'!F$2:F$746,"MAN CORRETIVA - MECANICA"),0)</f>
        <v>0</v>
      </c>
      <c r="L1120" s="10">
        <f>IFERROR(SUMIFS('Base bordo'!G$2:G$746,'Base bordo'!C$2:C$746,A1120,'Base bordo'!B$2:B$746,B1120,'Base bordo'!F$2:F$746,"MANUTENCAO - T O"),0)+IFERROR(SUMIFS('Base bordo'!G$2:G$746,'Base bordo'!C$2:C$746,A1120,'Base bordo'!B$2:B$746,B1120,'Base bordo'!F$2:F$746,"MANUTENCAO BORRACHARIA"),0)+IFERROR(SUMIFS('Base bordo'!G$2:G$746,'Base bordo'!C$2:C$746,A1120,'Base bordo'!B$2:B$746,B1120,'Base bordo'!F$2:F$746,"MANUTENCAO EXTERNA  CONCESSIONARIA"),0)+IFERROR(SUMIFS('Base bordo'!G$2:G$746,'Base bordo'!C$2:C$746,A1120,'Base bordo'!B$2:B$746,B1120,'Base bordo'!F$2:F$746,"MANUTENCAO TELEMETRIA"),0)</f>
        <v>0</v>
      </c>
      <c r="M1120" s="10">
        <f>IFERROR(SUMIFS('Base bordo'!G$2:G$746,'Base bordo'!C$2:C$746,A1120,'Base bordo'!B$2:B$746,B1120,'Base bordo'!F$2:F$746,"AGUARDANDO MANUTENCAO"),0)</f>
        <v>0</v>
      </c>
      <c r="N1120" s="10">
        <f>IFERROR(SUMIFS('Base bordo'!G$2:G$746,'Base bordo'!C$2:C$746,A1120,'Base bordo'!B$2:B$746,B1120,'Base bordo'!F$2:F$746,"SEM APONTAMENTO"),0)</f>
        <v>0</v>
      </c>
      <c r="O1120" s="10">
        <f t="shared" si="114"/>
        <v>5.4444444444444073E-2</v>
      </c>
      <c r="P1120" s="10">
        <f>IFERROR(SUMIFS('Base bordo'!G$2:G$746,'Base bordo'!C$2:C$746,A1120,'Base bordo'!B$2:B$746,B1120),0)</f>
        <v>8.0480555555555551</v>
      </c>
      <c r="Q1120" s="10">
        <f>IFERROR(SUMIFS('Base bordo'!H$2:H$746,'Base bordo'!C$2:C$746,A1120,'Base bordo'!B$2:B$746,B1120,'Base bordo'!F$2:F$746,"DESLOCAMENTO VAZIO"),0)</f>
        <v>341096.53</v>
      </c>
      <c r="R1120" s="10">
        <f>IFERROR(SUMIFS('Base bordo'!I$2:I$746,'Base bordo'!C$2:C$746,A1120,'Base bordo'!B$2:B$746,B1120,'Base bordo'!F$2:F$746,"DESLOCAMENTO VAZIO"),0)</f>
        <v>10485</v>
      </c>
      <c r="S1120" s="30">
        <f t="shared" si="115"/>
        <v>32.531857892226995</v>
      </c>
      <c r="T1120" s="10">
        <f>IFERROR(SUMIFS('Base bordo'!H$2:H$746,'Base bordo'!C$2:C$746,A1120,'Base bordo'!B$2:B$746,B1120,'Base bordo'!F$2:F$746,"DESLOCAMENTO CARREGADO"),0)</f>
        <v>344294.46</v>
      </c>
      <c r="U1120" s="10">
        <f>IFERROR(SUMIFS('Base bordo'!I$2:I$746,'Base bordo'!C$2:C$746,A1120,'Base bordo'!B$2:B$746,B1120,'Base bordo'!F$2:F$746,"DESLOCAMENTO CARREGADO"),0)</f>
        <v>14479</v>
      </c>
      <c r="V1120" s="30">
        <f t="shared" si="116"/>
        <v>23.778883900821882</v>
      </c>
      <c r="W1120" s="9">
        <f t="shared" si="117"/>
        <v>0.36188865495461292</v>
      </c>
      <c r="X1120" s="9">
        <f t="shared" si="118"/>
        <v>0.50018983191247035</v>
      </c>
      <c r="Y1120" s="9">
        <f t="shared" si="119"/>
        <v>0.13792151313291678</v>
      </c>
    </row>
    <row r="1121" spans="1:25" ht="15" customHeight="1" x14ac:dyDescent="0.35">
      <c r="A1121" s="52">
        <v>8013472</v>
      </c>
      <c r="B1121" s="51">
        <v>46123</v>
      </c>
      <c r="C1121" s="7" t="s">
        <v>124</v>
      </c>
      <c r="D1121" s="10">
        <f>IFERROR(SUMIFS('Base bordo'!G$2:G$746,'Base bordo'!C$2:C$746,A1121,'Base bordo'!B$2:B$746,B1121,'Base bordo'!F$2:F$746,"DESLOCAMENTO VAZIO"),0)</f>
        <v>2.9125000000000001</v>
      </c>
      <c r="E1121" s="10">
        <f>IFERROR(SUMIFS('Base bordo'!G$2:G$746,'Base bordo'!C$2:C$746,A1121,'Base bordo'!B$2:B$746,B1121,'Base bordo'!F$2:F$746,"DESLOCAMENTO CARREGADO"),0)</f>
        <v>4.025555555555556</v>
      </c>
      <c r="F1121" s="10">
        <f>IFERROR(SUMIFS('Base bordo'!G$2:G$746,'Base bordo'!C$2:C$746,A1121,'Base bordo'!B$2:B$746,B1121,'Base bordo'!F$2:F$746,"DESLOCAMENTO"),0)</f>
        <v>0</v>
      </c>
      <c r="G1121" s="10">
        <f>IFERROR(SUMIFS('Base bordo'!G$2:G$746,'Base bordo'!C$2:C$746,A1121,'Base bordo'!B$2:B$746,B1121,'Base bordo'!F$2:F$746,"CARREGAMENTO"),0)</f>
        <v>0</v>
      </c>
      <c r="H1121" s="10">
        <f>IFERROR(SUMIFS('Base bordo'!G$2:G$746,'Base bordo'!C$2:C$746,A1121,'Base bordo'!B$2:B$746,B1121,'Base bordo'!F$2:F$746,"AGUARDANDO TRANSBORDO"),0)</f>
        <v>0</v>
      </c>
      <c r="I1121" s="10">
        <f>IFERROR(SUMIFS('Base bordo'!G$2:G$746,'Base bordo'!C$2:C$746,A1121,'Base bordo'!B$2:B$746,B1121,'Base bordo'!F$2:F$746,"PÁTIO INTERNO"),0)+IFERROR(SUMIFS('Base bordo'!G$2:G$746,'Base bordo'!C$2:C$746,A1121,'Base bordo'!B$2:B$746,B1121,'Base bordo'!F$2:F$746,"PÁTIO EXTERNO"),0)+IFERROR(SUMIFS('Base bordo'!G$2:G$746,'Base bordo'!C$2:C$746,A1121,'Base bordo'!B$2:B$746,B1121,'Base bordo'!F$2:F$746,"PATIO - RESERVA"),0)+IFERROR(SUMIFS('Base bordo'!G$2:G$746,'Base bordo'!C$2:C$746,A1121,'Base bordo'!B$2:B$746,B1121,'Base bordo'!F$2:F$746,"MANOBRA CARRETAS-PATIO"),0)</f>
        <v>1.0555555555555556</v>
      </c>
      <c r="J1121" s="10">
        <f>IFERROR(SUMIFS('Base bordo'!G$2:G$746,'Base bordo'!C$2:C$746,A1121,'Base bordo'!B$2:B$746,B1121,'Base bordo'!F$2:F$746,"BALANÇA - ENTRADA"),0)+IFERROR(SUMIFS('Base bordo'!G$2:G$746,'Base bordo'!C$2:C$746,A1121,'Base bordo'!B$2:B$746,B1121,'Base bordo'!F$2:F$746,"BALANÇA - SAÍDA"),0)</f>
        <v>0</v>
      </c>
      <c r="K1121" s="10">
        <f>IFERROR(SUMIFS('Base bordo'!G$2:G$746,'Base bordo'!C$2:C$746,A1121,'Base bordo'!B$2:B$746,B1121,'Base bordo'!F$2:F$746,"MAN PREVENTIVA - MECANICA"),0)+IFERROR(SUMIFS('Base bordo'!G$2:G$746,'Base bordo'!C$2:C$746,A1121,'Base bordo'!B$2:B$746,B1121,'Base bordo'!F$2:F$746,"MAN CORRETIVA - MECANICA"),0)</f>
        <v>0</v>
      </c>
      <c r="L1121" s="10">
        <f>IFERROR(SUMIFS('Base bordo'!G$2:G$746,'Base bordo'!C$2:C$746,A1121,'Base bordo'!B$2:B$746,B1121,'Base bordo'!F$2:F$746,"MANUTENCAO - T O"),0)+IFERROR(SUMIFS('Base bordo'!G$2:G$746,'Base bordo'!C$2:C$746,A1121,'Base bordo'!B$2:B$746,B1121,'Base bordo'!F$2:F$746,"MANUTENCAO BORRACHARIA"),0)+IFERROR(SUMIFS('Base bordo'!G$2:G$746,'Base bordo'!C$2:C$746,A1121,'Base bordo'!B$2:B$746,B1121,'Base bordo'!F$2:F$746,"MANUTENCAO EXTERNA  CONCESSIONARIA"),0)+IFERROR(SUMIFS('Base bordo'!G$2:G$746,'Base bordo'!C$2:C$746,A1121,'Base bordo'!B$2:B$746,B1121,'Base bordo'!F$2:F$746,"MANUTENCAO TELEMETRIA"),0)</f>
        <v>0</v>
      </c>
      <c r="M1121" s="10">
        <f>IFERROR(SUMIFS('Base bordo'!G$2:G$746,'Base bordo'!C$2:C$746,A1121,'Base bordo'!B$2:B$746,B1121,'Base bordo'!F$2:F$746,"AGUARDANDO MANUTENCAO"),0)</f>
        <v>0</v>
      </c>
      <c r="N1121" s="10">
        <f>IFERROR(SUMIFS('Base bordo'!G$2:G$746,'Base bordo'!C$2:C$746,A1121,'Base bordo'!B$2:B$746,B1121,'Base bordo'!F$2:F$746,"SEM APONTAMENTO"),0)</f>
        <v>0</v>
      </c>
      <c r="O1121" s="10">
        <f t="shared" si="114"/>
        <v>5.4444444444444073E-2</v>
      </c>
      <c r="P1121" s="10">
        <f>IFERROR(SUMIFS('Base bordo'!G$2:G$746,'Base bordo'!C$2:C$746,A1121,'Base bordo'!B$2:B$746,B1121),0)</f>
        <v>8.0480555555555551</v>
      </c>
      <c r="Q1121" s="10">
        <f>IFERROR(SUMIFS('Base bordo'!H$2:H$746,'Base bordo'!C$2:C$746,A1121,'Base bordo'!B$2:B$746,B1121,'Base bordo'!F$2:F$746,"DESLOCAMENTO VAZIO"),0)</f>
        <v>341096.53</v>
      </c>
      <c r="R1121" s="10">
        <f>IFERROR(SUMIFS('Base bordo'!I$2:I$746,'Base bordo'!C$2:C$746,A1121,'Base bordo'!B$2:B$746,B1121,'Base bordo'!F$2:F$746,"DESLOCAMENTO VAZIO"),0)</f>
        <v>10485</v>
      </c>
      <c r="S1121" s="30">
        <f t="shared" si="115"/>
        <v>32.531857892226995</v>
      </c>
      <c r="T1121" s="10">
        <f>IFERROR(SUMIFS('Base bordo'!H$2:H$746,'Base bordo'!C$2:C$746,A1121,'Base bordo'!B$2:B$746,B1121,'Base bordo'!F$2:F$746,"DESLOCAMENTO CARREGADO"),0)</f>
        <v>344294.46</v>
      </c>
      <c r="U1121" s="10">
        <f>IFERROR(SUMIFS('Base bordo'!I$2:I$746,'Base bordo'!C$2:C$746,A1121,'Base bordo'!B$2:B$746,B1121,'Base bordo'!F$2:F$746,"DESLOCAMENTO CARREGADO"),0)</f>
        <v>14479</v>
      </c>
      <c r="V1121" s="30">
        <f t="shared" si="116"/>
        <v>23.778883900821882</v>
      </c>
      <c r="W1121" s="9">
        <f t="shared" si="117"/>
        <v>0.36188865495461292</v>
      </c>
      <c r="X1121" s="9">
        <f t="shared" si="118"/>
        <v>0.50018983191247035</v>
      </c>
      <c r="Y1121" s="9">
        <f t="shared" si="119"/>
        <v>0.13792151313291678</v>
      </c>
    </row>
    <row r="1122" spans="1:25" ht="15" customHeight="1" x14ac:dyDescent="0.35">
      <c r="A1122" s="52">
        <v>8013472</v>
      </c>
      <c r="B1122" s="51">
        <v>46123</v>
      </c>
      <c r="C1122" s="7" t="s">
        <v>124</v>
      </c>
      <c r="D1122" s="10">
        <f>IFERROR(SUMIFS('Base bordo'!G$2:G$746,'Base bordo'!C$2:C$746,A1122,'Base bordo'!B$2:B$746,B1122,'Base bordo'!F$2:F$746,"DESLOCAMENTO VAZIO"),0)</f>
        <v>2.9125000000000001</v>
      </c>
      <c r="E1122" s="10">
        <f>IFERROR(SUMIFS('Base bordo'!G$2:G$746,'Base bordo'!C$2:C$746,A1122,'Base bordo'!B$2:B$746,B1122,'Base bordo'!F$2:F$746,"DESLOCAMENTO CARREGADO"),0)</f>
        <v>4.025555555555556</v>
      </c>
      <c r="F1122" s="10">
        <f>IFERROR(SUMIFS('Base bordo'!G$2:G$746,'Base bordo'!C$2:C$746,A1122,'Base bordo'!B$2:B$746,B1122,'Base bordo'!F$2:F$746,"DESLOCAMENTO"),0)</f>
        <v>0</v>
      </c>
      <c r="G1122" s="10">
        <f>IFERROR(SUMIFS('Base bordo'!G$2:G$746,'Base bordo'!C$2:C$746,A1122,'Base bordo'!B$2:B$746,B1122,'Base bordo'!F$2:F$746,"CARREGAMENTO"),0)</f>
        <v>0</v>
      </c>
      <c r="H1122" s="10">
        <f>IFERROR(SUMIFS('Base bordo'!G$2:G$746,'Base bordo'!C$2:C$746,A1122,'Base bordo'!B$2:B$746,B1122,'Base bordo'!F$2:F$746,"AGUARDANDO TRANSBORDO"),0)</f>
        <v>0</v>
      </c>
      <c r="I1122" s="10">
        <f>IFERROR(SUMIFS('Base bordo'!G$2:G$746,'Base bordo'!C$2:C$746,A1122,'Base bordo'!B$2:B$746,B1122,'Base bordo'!F$2:F$746,"PÁTIO INTERNO"),0)+IFERROR(SUMIFS('Base bordo'!G$2:G$746,'Base bordo'!C$2:C$746,A1122,'Base bordo'!B$2:B$746,B1122,'Base bordo'!F$2:F$746,"PÁTIO EXTERNO"),0)+IFERROR(SUMIFS('Base bordo'!G$2:G$746,'Base bordo'!C$2:C$746,A1122,'Base bordo'!B$2:B$746,B1122,'Base bordo'!F$2:F$746,"PATIO - RESERVA"),0)+IFERROR(SUMIFS('Base bordo'!G$2:G$746,'Base bordo'!C$2:C$746,A1122,'Base bordo'!B$2:B$746,B1122,'Base bordo'!F$2:F$746,"MANOBRA CARRETAS-PATIO"),0)</f>
        <v>1.0555555555555556</v>
      </c>
      <c r="J1122" s="10">
        <f>IFERROR(SUMIFS('Base bordo'!G$2:G$746,'Base bordo'!C$2:C$746,A1122,'Base bordo'!B$2:B$746,B1122,'Base bordo'!F$2:F$746,"BALANÇA - ENTRADA"),0)+IFERROR(SUMIFS('Base bordo'!G$2:G$746,'Base bordo'!C$2:C$746,A1122,'Base bordo'!B$2:B$746,B1122,'Base bordo'!F$2:F$746,"BALANÇA - SAÍDA"),0)</f>
        <v>0</v>
      </c>
      <c r="K1122" s="10">
        <f>IFERROR(SUMIFS('Base bordo'!G$2:G$746,'Base bordo'!C$2:C$746,A1122,'Base bordo'!B$2:B$746,B1122,'Base bordo'!F$2:F$746,"MAN PREVENTIVA - MECANICA"),0)+IFERROR(SUMIFS('Base bordo'!G$2:G$746,'Base bordo'!C$2:C$746,A1122,'Base bordo'!B$2:B$746,B1122,'Base bordo'!F$2:F$746,"MAN CORRETIVA - MECANICA"),0)</f>
        <v>0</v>
      </c>
      <c r="L1122" s="10">
        <f>IFERROR(SUMIFS('Base bordo'!G$2:G$746,'Base bordo'!C$2:C$746,A1122,'Base bordo'!B$2:B$746,B1122,'Base bordo'!F$2:F$746,"MANUTENCAO - T O"),0)+IFERROR(SUMIFS('Base bordo'!G$2:G$746,'Base bordo'!C$2:C$746,A1122,'Base bordo'!B$2:B$746,B1122,'Base bordo'!F$2:F$746,"MANUTENCAO BORRACHARIA"),0)+IFERROR(SUMIFS('Base bordo'!G$2:G$746,'Base bordo'!C$2:C$746,A1122,'Base bordo'!B$2:B$746,B1122,'Base bordo'!F$2:F$746,"MANUTENCAO EXTERNA  CONCESSIONARIA"),0)+IFERROR(SUMIFS('Base bordo'!G$2:G$746,'Base bordo'!C$2:C$746,A1122,'Base bordo'!B$2:B$746,B1122,'Base bordo'!F$2:F$746,"MANUTENCAO TELEMETRIA"),0)</f>
        <v>0</v>
      </c>
      <c r="M1122" s="10">
        <f>IFERROR(SUMIFS('Base bordo'!G$2:G$746,'Base bordo'!C$2:C$746,A1122,'Base bordo'!B$2:B$746,B1122,'Base bordo'!F$2:F$746,"AGUARDANDO MANUTENCAO"),0)</f>
        <v>0</v>
      </c>
      <c r="N1122" s="10">
        <f>IFERROR(SUMIFS('Base bordo'!G$2:G$746,'Base bordo'!C$2:C$746,A1122,'Base bordo'!B$2:B$746,B1122,'Base bordo'!F$2:F$746,"SEM APONTAMENTO"),0)</f>
        <v>0</v>
      </c>
      <c r="O1122" s="10">
        <f t="shared" si="114"/>
        <v>5.4444444444444073E-2</v>
      </c>
      <c r="P1122" s="10">
        <f>IFERROR(SUMIFS('Base bordo'!G$2:G$746,'Base bordo'!C$2:C$746,A1122,'Base bordo'!B$2:B$746,B1122),0)</f>
        <v>8.0480555555555551</v>
      </c>
      <c r="Q1122" s="10">
        <f>IFERROR(SUMIFS('Base bordo'!H$2:H$746,'Base bordo'!C$2:C$746,A1122,'Base bordo'!B$2:B$746,B1122,'Base bordo'!F$2:F$746,"DESLOCAMENTO VAZIO"),0)</f>
        <v>341096.53</v>
      </c>
      <c r="R1122" s="10">
        <f>IFERROR(SUMIFS('Base bordo'!I$2:I$746,'Base bordo'!C$2:C$746,A1122,'Base bordo'!B$2:B$746,B1122,'Base bordo'!F$2:F$746,"DESLOCAMENTO VAZIO"),0)</f>
        <v>10485</v>
      </c>
      <c r="S1122" s="30">
        <f t="shared" si="115"/>
        <v>32.531857892226995</v>
      </c>
      <c r="T1122" s="10">
        <f>IFERROR(SUMIFS('Base bordo'!H$2:H$746,'Base bordo'!C$2:C$746,A1122,'Base bordo'!B$2:B$746,B1122,'Base bordo'!F$2:F$746,"DESLOCAMENTO CARREGADO"),0)</f>
        <v>344294.46</v>
      </c>
      <c r="U1122" s="10">
        <f>IFERROR(SUMIFS('Base bordo'!I$2:I$746,'Base bordo'!C$2:C$746,A1122,'Base bordo'!B$2:B$746,B1122,'Base bordo'!F$2:F$746,"DESLOCAMENTO CARREGADO"),0)</f>
        <v>14479</v>
      </c>
      <c r="V1122" s="30">
        <f t="shared" si="116"/>
        <v>23.778883900821882</v>
      </c>
      <c r="W1122" s="9">
        <f t="shared" si="117"/>
        <v>0.36188865495461292</v>
      </c>
      <c r="X1122" s="9">
        <f t="shared" si="118"/>
        <v>0.50018983191247035</v>
      </c>
      <c r="Y1122" s="9">
        <f t="shared" si="119"/>
        <v>0.13792151313291678</v>
      </c>
    </row>
    <row r="1123" spans="1:25" ht="15" customHeight="1" x14ac:dyDescent="0.35">
      <c r="A1123" s="52">
        <v>8013472</v>
      </c>
      <c r="B1123" s="51">
        <v>46123</v>
      </c>
      <c r="C1123" s="7" t="s">
        <v>124</v>
      </c>
      <c r="D1123" s="10">
        <f>IFERROR(SUMIFS('Base bordo'!G$2:G$746,'Base bordo'!C$2:C$746,A1123,'Base bordo'!B$2:B$746,B1123,'Base bordo'!F$2:F$746,"DESLOCAMENTO VAZIO"),0)</f>
        <v>2.9125000000000001</v>
      </c>
      <c r="E1123" s="10">
        <f>IFERROR(SUMIFS('Base bordo'!G$2:G$746,'Base bordo'!C$2:C$746,A1123,'Base bordo'!B$2:B$746,B1123,'Base bordo'!F$2:F$746,"DESLOCAMENTO CARREGADO"),0)</f>
        <v>4.025555555555556</v>
      </c>
      <c r="F1123" s="10">
        <f>IFERROR(SUMIFS('Base bordo'!G$2:G$746,'Base bordo'!C$2:C$746,A1123,'Base bordo'!B$2:B$746,B1123,'Base bordo'!F$2:F$746,"DESLOCAMENTO"),0)</f>
        <v>0</v>
      </c>
      <c r="G1123" s="10">
        <f>IFERROR(SUMIFS('Base bordo'!G$2:G$746,'Base bordo'!C$2:C$746,A1123,'Base bordo'!B$2:B$746,B1123,'Base bordo'!F$2:F$746,"CARREGAMENTO"),0)</f>
        <v>0</v>
      </c>
      <c r="H1123" s="10">
        <f>IFERROR(SUMIFS('Base bordo'!G$2:G$746,'Base bordo'!C$2:C$746,A1123,'Base bordo'!B$2:B$746,B1123,'Base bordo'!F$2:F$746,"AGUARDANDO TRANSBORDO"),0)</f>
        <v>0</v>
      </c>
      <c r="I1123" s="10">
        <f>IFERROR(SUMIFS('Base bordo'!G$2:G$746,'Base bordo'!C$2:C$746,A1123,'Base bordo'!B$2:B$746,B1123,'Base bordo'!F$2:F$746,"PÁTIO INTERNO"),0)+IFERROR(SUMIFS('Base bordo'!G$2:G$746,'Base bordo'!C$2:C$746,A1123,'Base bordo'!B$2:B$746,B1123,'Base bordo'!F$2:F$746,"PÁTIO EXTERNO"),0)+IFERROR(SUMIFS('Base bordo'!G$2:G$746,'Base bordo'!C$2:C$746,A1123,'Base bordo'!B$2:B$746,B1123,'Base bordo'!F$2:F$746,"PATIO - RESERVA"),0)+IFERROR(SUMIFS('Base bordo'!G$2:G$746,'Base bordo'!C$2:C$746,A1123,'Base bordo'!B$2:B$746,B1123,'Base bordo'!F$2:F$746,"MANOBRA CARRETAS-PATIO"),0)</f>
        <v>1.0555555555555556</v>
      </c>
      <c r="J1123" s="10">
        <f>IFERROR(SUMIFS('Base bordo'!G$2:G$746,'Base bordo'!C$2:C$746,A1123,'Base bordo'!B$2:B$746,B1123,'Base bordo'!F$2:F$746,"BALANÇA - ENTRADA"),0)+IFERROR(SUMIFS('Base bordo'!G$2:G$746,'Base bordo'!C$2:C$746,A1123,'Base bordo'!B$2:B$746,B1123,'Base bordo'!F$2:F$746,"BALANÇA - SAÍDA"),0)</f>
        <v>0</v>
      </c>
      <c r="K1123" s="10">
        <f>IFERROR(SUMIFS('Base bordo'!G$2:G$746,'Base bordo'!C$2:C$746,A1123,'Base bordo'!B$2:B$746,B1123,'Base bordo'!F$2:F$746,"MAN PREVENTIVA - MECANICA"),0)+IFERROR(SUMIFS('Base bordo'!G$2:G$746,'Base bordo'!C$2:C$746,A1123,'Base bordo'!B$2:B$746,B1123,'Base bordo'!F$2:F$746,"MAN CORRETIVA - MECANICA"),0)</f>
        <v>0</v>
      </c>
      <c r="L1123" s="10">
        <f>IFERROR(SUMIFS('Base bordo'!G$2:G$746,'Base bordo'!C$2:C$746,A1123,'Base bordo'!B$2:B$746,B1123,'Base bordo'!F$2:F$746,"MANUTENCAO - T O"),0)+IFERROR(SUMIFS('Base bordo'!G$2:G$746,'Base bordo'!C$2:C$746,A1123,'Base bordo'!B$2:B$746,B1123,'Base bordo'!F$2:F$746,"MANUTENCAO BORRACHARIA"),0)+IFERROR(SUMIFS('Base bordo'!G$2:G$746,'Base bordo'!C$2:C$746,A1123,'Base bordo'!B$2:B$746,B1123,'Base bordo'!F$2:F$746,"MANUTENCAO EXTERNA  CONCESSIONARIA"),0)+IFERROR(SUMIFS('Base bordo'!G$2:G$746,'Base bordo'!C$2:C$746,A1123,'Base bordo'!B$2:B$746,B1123,'Base bordo'!F$2:F$746,"MANUTENCAO TELEMETRIA"),0)</f>
        <v>0</v>
      </c>
      <c r="M1123" s="10">
        <f>IFERROR(SUMIFS('Base bordo'!G$2:G$746,'Base bordo'!C$2:C$746,A1123,'Base bordo'!B$2:B$746,B1123,'Base bordo'!F$2:F$746,"AGUARDANDO MANUTENCAO"),0)</f>
        <v>0</v>
      </c>
      <c r="N1123" s="10">
        <f>IFERROR(SUMIFS('Base bordo'!G$2:G$746,'Base bordo'!C$2:C$746,A1123,'Base bordo'!B$2:B$746,B1123,'Base bordo'!F$2:F$746,"SEM APONTAMENTO"),0)</f>
        <v>0</v>
      </c>
      <c r="O1123" s="10">
        <f t="shared" si="114"/>
        <v>5.4444444444444073E-2</v>
      </c>
      <c r="P1123" s="10">
        <f>IFERROR(SUMIFS('Base bordo'!G$2:G$746,'Base bordo'!C$2:C$746,A1123,'Base bordo'!B$2:B$746,B1123),0)</f>
        <v>8.0480555555555551</v>
      </c>
      <c r="Q1123" s="10">
        <f>IFERROR(SUMIFS('Base bordo'!H$2:H$746,'Base bordo'!C$2:C$746,A1123,'Base bordo'!B$2:B$746,B1123,'Base bordo'!F$2:F$746,"DESLOCAMENTO VAZIO"),0)</f>
        <v>341096.53</v>
      </c>
      <c r="R1123" s="10">
        <f>IFERROR(SUMIFS('Base bordo'!I$2:I$746,'Base bordo'!C$2:C$746,A1123,'Base bordo'!B$2:B$746,B1123,'Base bordo'!F$2:F$746,"DESLOCAMENTO VAZIO"),0)</f>
        <v>10485</v>
      </c>
      <c r="S1123" s="30">
        <f t="shared" si="115"/>
        <v>32.531857892226995</v>
      </c>
      <c r="T1123" s="10">
        <f>IFERROR(SUMIFS('Base bordo'!H$2:H$746,'Base bordo'!C$2:C$746,A1123,'Base bordo'!B$2:B$746,B1123,'Base bordo'!F$2:F$746,"DESLOCAMENTO CARREGADO"),0)</f>
        <v>344294.46</v>
      </c>
      <c r="U1123" s="10">
        <f>IFERROR(SUMIFS('Base bordo'!I$2:I$746,'Base bordo'!C$2:C$746,A1123,'Base bordo'!B$2:B$746,B1123,'Base bordo'!F$2:F$746,"DESLOCAMENTO CARREGADO"),0)</f>
        <v>14479</v>
      </c>
      <c r="V1123" s="30">
        <f t="shared" si="116"/>
        <v>23.778883900821882</v>
      </c>
      <c r="W1123" s="9">
        <f t="shared" si="117"/>
        <v>0.36188865495461292</v>
      </c>
      <c r="X1123" s="9">
        <f t="shared" si="118"/>
        <v>0.50018983191247035</v>
      </c>
      <c r="Y1123" s="9">
        <f t="shared" si="119"/>
        <v>0.13792151313291678</v>
      </c>
    </row>
    <row r="1124" spans="1:25" ht="15" customHeight="1" x14ac:dyDescent="0.35">
      <c r="A1124" s="52">
        <v>8013472</v>
      </c>
      <c r="B1124" s="51">
        <v>46123</v>
      </c>
      <c r="C1124" s="7" t="s">
        <v>124</v>
      </c>
      <c r="D1124" s="10">
        <f>IFERROR(SUMIFS('Base bordo'!G$2:G$746,'Base bordo'!C$2:C$746,A1124,'Base bordo'!B$2:B$746,B1124,'Base bordo'!F$2:F$746,"DESLOCAMENTO VAZIO"),0)</f>
        <v>2.9125000000000001</v>
      </c>
      <c r="E1124" s="10">
        <f>IFERROR(SUMIFS('Base bordo'!G$2:G$746,'Base bordo'!C$2:C$746,A1124,'Base bordo'!B$2:B$746,B1124,'Base bordo'!F$2:F$746,"DESLOCAMENTO CARREGADO"),0)</f>
        <v>4.025555555555556</v>
      </c>
      <c r="F1124" s="10">
        <f>IFERROR(SUMIFS('Base bordo'!G$2:G$746,'Base bordo'!C$2:C$746,A1124,'Base bordo'!B$2:B$746,B1124,'Base bordo'!F$2:F$746,"DESLOCAMENTO"),0)</f>
        <v>0</v>
      </c>
      <c r="G1124" s="10">
        <f>IFERROR(SUMIFS('Base bordo'!G$2:G$746,'Base bordo'!C$2:C$746,A1124,'Base bordo'!B$2:B$746,B1124,'Base bordo'!F$2:F$746,"CARREGAMENTO"),0)</f>
        <v>0</v>
      </c>
      <c r="H1124" s="10">
        <f>IFERROR(SUMIFS('Base bordo'!G$2:G$746,'Base bordo'!C$2:C$746,A1124,'Base bordo'!B$2:B$746,B1124,'Base bordo'!F$2:F$746,"AGUARDANDO TRANSBORDO"),0)</f>
        <v>0</v>
      </c>
      <c r="I1124" s="10">
        <f>IFERROR(SUMIFS('Base bordo'!G$2:G$746,'Base bordo'!C$2:C$746,A1124,'Base bordo'!B$2:B$746,B1124,'Base bordo'!F$2:F$746,"PÁTIO INTERNO"),0)+IFERROR(SUMIFS('Base bordo'!G$2:G$746,'Base bordo'!C$2:C$746,A1124,'Base bordo'!B$2:B$746,B1124,'Base bordo'!F$2:F$746,"PÁTIO EXTERNO"),0)+IFERROR(SUMIFS('Base bordo'!G$2:G$746,'Base bordo'!C$2:C$746,A1124,'Base bordo'!B$2:B$746,B1124,'Base bordo'!F$2:F$746,"PATIO - RESERVA"),0)+IFERROR(SUMIFS('Base bordo'!G$2:G$746,'Base bordo'!C$2:C$746,A1124,'Base bordo'!B$2:B$746,B1124,'Base bordo'!F$2:F$746,"MANOBRA CARRETAS-PATIO"),0)</f>
        <v>1.0555555555555556</v>
      </c>
      <c r="J1124" s="10">
        <f>IFERROR(SUMIFS('Base bordo'!G$2:G$746,'Base bordo'!C$2:C$746,A1124,'Base bordo'!B$2:B$746,B1124,'Base bordo'!F$2:F$746,"BALANÇA - ENTRADA"),0)+IFERROR(SUMIFS('Base bordo'!G$2:G$746,'Base bordo'!C$2:C$746,A1124,'Base bordo'!B$2:B$746,B1124,'Base bordo'!F$2:F$746,"BALANÇA - SAÍDA"),0)</f>
        <v>0</v>
      </c>
      <c r="K1124" s="10">
        <f>IFERROR(SUMIFS('Base bordo'!G$2:G$746,'Base bordo'!C$2:C$746,A1124,'Base bordo'!B$2:B$746,B1124,'Base bordo'!F$2:F$746,"MAN PREVENTIVA - MECANICA"),0)+IFERROR(SUMIFS('Base bordo'!G$2:G$746,'Base bordo'!C$2:C$746,A1124,'Base bordo'!B$2:B$746,B1124,'Base bordo'!F$2:F$746,"MAN CORRETIVA - MECANICA"),0)</f>
        <v>0</v>
      </c>
      <c r="L1124" s="10">
        <f>IFERROR(SUMIFS('Base bordo'!G$2:G$746,'Base bordo'!C$2:C$746,A1124,'Base bordo'!B$2:B$746,B1124,'Base bordo'!F$2:F$746,"MANUTENCAO - T O"),0)+IFERROR(SUMIFS('Base bordo'!G$2:G$746,'Base bordo'!C$2:C$746,A1124,'Base bordo'!B$2:B$746,B1124,'Base bordo'!F$2:F$746,"MANUTENCAO BORRACHARIA"),0)+IFERROR(SUMIFS('Base bordo'!G$2:G$746,'Base bordo'!C$2:C$746,A1124,'Base bordo'!B$2:B$746,B1124,'Base bordo'!F$2:F$746,"MANUTENCAO EXTERNA  CONCESSIONARIA"),0)+IFERROR(SUMIFS('Base bordo'!G$2:G$746,'Base bordo'!C$2:C$746,A1124,'Base bordo'!B$2:B$746,B1124,'Base bordo'!F$2:F$746,"MANUTENCAO TELEMETRIA"),0)</f>
        <v>0</v>
      </c>
      <c r="M1124" s="10">
        <f>IFERROR(SUMIFS('Base bordo'!G$2:G$746,'Base bordo'!C$2:C$746,A1124,'Base bordo'!B$2:B$746,B1124,'Base bordo'!F$2:F$746,"AGUARDANDO MANUTENCAO"),0)</f>
        <v>0</v>
      </c>
      <c r="N1124" s="10">
        <f>IFERROR(SUMIFS('Base bordo'!G$2:G$746,'Base bordo'!C$2:C$746,A1124,'Base bordo'!B$2:B$746,B1124,'Base bordo'!F$2:F$746,"SEM APONTAMENTO"),0)</f>
        <v>0</v>
      </c>
      <c r="O1124" s="10">
        <f t="shared" si="114"/>
        <v>5.4444444444444073E-2</v>
      </c>
      <c r="P1124" s="10">
        <f>IFERROR(SUMIFS('Base bordo'!G$2:G$746,'Base bordo'!C$2:C$746,A1124,'Base bordo'!B$2:B$746,B1124),0)</f>
        <v>8.0480555555555551</v>
      </c>
      <c r="Q1124" s="10">
        <f>IFERROR(SUMIFS('Base bordo'!H$2:H$746,'Base bordo'!C$2:C$746,A1124,'Base bordo'!B$2:B$746,B1124,'Base bordo'!F$2:F$746,"DESLOCAMENTO VAZIO"),0)</f>
        <v>341096.53</v>
      </c>
      <c r="R1124" s="10">
        <f>IFERROR(SUMIFS('Base bordo'!I$2:I$746,'Base bordo'!C$2:C$746,A1124,'Base bordo'!B$2:B$746,B1124,'Base bordo'!F$2:F$746,"DESLOCAMENTO VAZIO"),0)</f>
        <v>10485</v>
      </c>
      <c r="S1124" s="30">
        <f t="shared" si="115"/>
        <v>32.531857892226995</v>
      </c>
      <c r="T1124" s="10">
        <f>IFERROR(SUMIFS('Base bordo'!H$2:H$746,'Base bordo'!C$2:C$746,A1124,'Base bordo'!B$2:B$746,B1124,'Base bordo'!F$2:F$746,"DESLOCAMENTO CARREGADO"),0)</f>
        <v>344294.46</v>
      </c>
      <c r="U1124" s="10">
        <f>IFERROR(SUMIFS('Base bordo'!I$2:I$746,'Base bordo'!C$2:C$746,A1124,'Base bordo'!B$2:B$746,B1124,'Base bordo'!F$2:F$746,"DESLOCAMENTO CARREGADO"),0)</f>
        <v>14479</v>
      </c>
      <c r="V1124" s="30">
        <f t="shared" si="116"/>
        <v>23.778883900821882</v>
      </c>
      <c r="W1124" s="9">
        <f t="shared" si="117"/>
        <v>0.36188865495461292</v>
      </c>
      <c r="X1124" s="9">
        <f t="shared" si="118"/>
        <v>0.50018983191247035</v>
      </c>
      <c r="Y1124" s="9">
        <f t="shared" si="119"/>
        <v>0.13792151313291678</v>
      </c>
    </row>
    <row r="1125" spans="1:25" ht="15" customHeight="1" x14ac:dyDescent="0.35">
      <c r="A1125" s="52">
        <v>8013472</v>
      </c>
      <c r="B1125" s="51">
        <v>46123</v>
      </c>
      <c r="C1125" s="7" t="s">
        <v>124</v>
      </c>
      <c r="D1125" s="10">
        <f>IFERROR(SUMIFS('Base bordo'!G$2:G$746,'Base bordo'!C$2:C$746,A1125,'Base bordo'!B$2:B$746,B1125,'Base bordo'!F$2:F$746,"DESLOCAMENTO VAZIO"),0)</f>
        <v>2.9125000000000001</v>
      </c>
      <c r="E1125" s="10">
        <f>IFERROR(SUMIFS('Base bordo'!G$2:G$746,'Base bordo'!C$2:C$746,A1125,'Base bordo'!B$2:B$746,B1125,'Base bordo'!F$2:F$746,"DESLOCAMENTO CARREGADO"),0)</f>
        <v>4.025555555555556</v>
      </c>
      <c r="F1125" s="10">
        <f>IFERROR(SUMIFS('Base bordo'!G$2:G$746,'Base bordo'!C$2:C$746,A1125,'Base bordo'!B$2:B$746,B1125,'Base bordo'!F$2:F$746,"DESLOCAMENTO"),0)</f>
        <v>0</v>
      </c>
      <c r="G1125" s="10">
        <f>IFERROR(SUMIFS('Base bordo'!G$2:G$746,'Base bordo'!C$2:C$746,A1125,'Base bordo'!B$2:B$746,B1125,'Base bordo'!F$2:F$746,"CARREGAMENTO"),0)</f>
        <v>0</v>
      </c>
      <c r="H1125" s="10">
        <f>IFERROR(SUMIFS('Base bordo'!G$2:G$746,'Base bordo'!C$2:C$746,A1125,'Base bordo'!B$2:B$746,B1125,'Base bordo'!F$2:F$746,"AGUARDANDO TRANSBORDO"),0)</f>
        <v>0</v>
      </c>
      <c r="I1125" s="10">
        <f>IFERROR(SUMIFS('Base bordo'!G$2:G$746,'Base bordo'!C$2:C$746,A1125,'Base bordo'!B$2:B$746,B1125,'Base bordo'!F$2:F$746,"PÁTIO INTERNO"),0)+IFERROR(SUMIFS('Base bordo'!G$2:G$746,'Base bordo'!C$2:C$746,A1125,'Base bordo'!B$2:B$746,B1125,'Base bordo'!F$2:F$746,"PÁTIO EXTERNO"),0)+IFERROR(SUMIFS('Base bordo'!G$2:G$746,'Base bordo'!C$2:C$746,A1125,'Base bordo'!B$2:B$746,B1125,'Base bordo'!F$2:F$746,"PATIO - RESERVA"),0)+IFERROR(SUMIFS('Base bordo'!G$2:G$746,'Base bordo'!C$2:C$746,A1125,'Base bordo'!B$2:B$746,B1125,'Base bordo'!F$2:F$746,"MANOBRA CARRETAS-PATIO"),0)</f>
        <v>1.0555555555555556</v>
      </c>
      <c r="J1125" s="10">
        <f>IFERROR(SUMIFS('Base bordo'!G$2:G$746,'Base bordo'!C$2:C$746,A1125,'Base bordo'!B$2:B$746,B1125,'Base bordo'!F$2:F$746,"BALANÇA - ENTRADA"),0)+IFERROR(SUMIFS('Base bordo'!G$2:G$746,'Base bordo'!C$2:C$746,A1125,'Base bordo'!B$2:B$746,B1125,'Base bordo'!F$2:F$746,"BALANÇA - SAÍDA"),0)</f>
        <v>0</v>
      </c>
      <c r="K1125" s="10">
        <f>IFERROR(SUMIFS('Base bordo'!G$2:G$746,'Base bordo'!C$2:C$746,A1125,'Base bordo'!B$2:B$746,B1125,'Base bordo'!F$2:F$746,"MAN PREVENTIVA - MECANICA"),0)+IFERROR(SUMIFS('Base bordo'!G$2:G$746,'Base bordo'!C$2:C$746,A1125,'Base bordo'!B$2:B$746,B1125,'Base bordo'!F$2:F$746,"MAN CORRETIVA - MECANICA"),0)</f>
        <v>0</v>
      </c>
      <c r="L1125" s="10">
        <f>IFERROR(SUMIFS('Base bordo'!G$2:G$746,'Base bordo'!C$2:C$746,A1125,'Base bordo'!B$2:B$746,B1125,'Base bordo'!F$2:F$746,"MANUTENCAO - T O"),0)+IFERROR(SUMIFS('Base bordo'!G$2:G$746,'Base bordo'!C$2:C$746,A1125,'Base bordo'!B$2:B$746,B1125,'Base bordo'!F$2:F$746,"MANUTENCAO BORRACHARIA"),0)+IFERROR(SUMIFS('Base bordo'!G$2:G$746,'Base bordo'!C$2:C$746,A1125,'Base bordo'!B$2:B$746,B1125,'Base bordo'!F$2:F$746,"MANUTENCAO EXTERNA  CONCESSIONARIA"),0)+IFERROR(SUMIFS('Base bordo'!G$2:G$746,'Base bordo'!C$2:C$746,A1125,'Base bordo'!B$2:B$746,B1125,'Base bordo'!F$2:F$746,"MANUTENCAO TELEMETRIA"),0)</f>
        <v>0</v>
      </c>
      <c r="M1125" s="10">
        <f>IFERROR(SUMIFS('Base bordo'!G$2:G$746,'Base bordo'!C$2:C$746,A1125,'Base bordo'!B$2:B$746,B1125,'Base bordo'!F$2:F$746,"AGUARDANDO MANUTENCAO"),0)</f>
        <v>0</v>
      </c>
      <c r="N1125" s="10">
        <f>IFERROR(SUMIFS('Base bordo'!G$2:G$746,'Base bordo'!C$2:C$746,A1125,'Base bordo'!B$2:B$746,B1125,'Base bordo'!F$2:F$746,"SEM APONTAMENTO"),0)</f>
        <v>0</v>
      </c>
      <c r="O1125" s="10">
        <f t="shared" si="114"/>
        <v>5.4444444444444073E-2</v>
      </c>
      <c r="P1125" s="10">
        <f>IFERROR(SUMIFS('Base bordo'!G$2:G$746,'Base bordo'!C$2:C$746,A1125,'Base bordo'!B$2:B$746,B1125),0)</f>
        <v>8.0480555555555551</v>
      </c>
      <c r="Q1125" s="10">
        <f>IFERROR(SUMIFS('Base bordo'!H$2:H$746,'Base bordo'!C$2:C$746,A1125,'Base bordo'!B$2:B$746,B1125,'Base bordo'!F$2:F$746,"DESLOCAMENTO VAZIO"),0)</f>
        <v>341096.53</v>
      </c>
      <c r="R1125" s="10">
        <f>IFERROR(SUMIFS('Base bordo'!I$2:I$746,'Base bordo'!C$2:C$746,A1125,'Base bordo'!B$2:B$746,B1125,'Base bordo'!F$2:F$746,"DESLOCAMENTO VAZIO"),0)</f>
        <v>10485</v>
      </c>
      <c r="S1125" s="30">
        <f t="shared" si="115"/>
        <v>32.531857892226995</v>
      </c>
      <c r="T1125" s="10">
        <f>IFERROR(SUMIFS('Base bordo'!H$2:H$746,'Base bordo'!C$2:C$746,A1125,'Base bordo'!B$2:B$746,B1125,'Base bordo'!F$2:F$746,"DESLOCAMENTO CARREGADO"),0)</f>
        <v>344294.46</v>
      </c>
      <c r="U1125" s="10">
        <f>IFERROR(SUMIFS('Base bordo'!I$2:I$746,'Base bordo'!C$2:C$746,A1125,'Base bordo'!B$2:B$746,B1125,'Base bordo'!F$2:F$746,"DESLOCAMENTO CARREGADO"),0)</f>
        <v>14479</v>
      </c>
      <c r="V1125" s="30">
        <f t="shared" si="116"/>
        <v>23.778883900821882</v>
      </c>
      <c r="W1125" s="9">
        <f t="shared" si="117"/>
        <v>0.36188865495461292</v>
      </c>
      <c r="X1125" s="9">
        <f t="shared" si="118"/>
        <v>0.50018983191247035</v>
      </c>
      <c r="Y1125" s="9">
        <f t="shared" si="119"/>
        <v>0.13792151313291678</v>
      </c>
    </row>
    <row r="1126" spans="1:25" ht="15" customHeight="1" x14ac:dyDescent="0.35">
      <c r="A1126" s="52">
        <v>8013472</v>
      </c>
      <c r="B1126" s="51">
        <v>46123</v>
      </c>
      <c r="C1126" s="7" t="s">
        <v>124</v>
      </c>
      <c r="D1126" s="10">
        <f>IFERROR(SUMIFS('Base bordo'!G$2:G$746,'Base bordo'!C$2:C$746,A1126,'Base bordo'!B$2:B$746,B1126,'Base bordo'!F$2:F$746,"DESLOCAMENTO VAZIO"),0)</f>
        <v>2.9125000000000001</v>
      </c>
      <c r="E1126" s="10">
        <f>IFERROR(SUMIFS('Base bordo'!G$2:G$746,'Base bordo'!C$2:C$746,A1126,'Base bordo'!B$2:B$746,B1126,'Base bordo'!F$2:F$746,"DESLOCAMENTO CARREGADO"),0)</f>
        <v>4.025555555555556</v>
      </c>
      <c r="F1126" s="10">
        <f>IFERROR(SUMIFS('Base bordo'!G$2:G$746,'Base bordo'!C$2:C$746,A1126,'Base bordo'!B$2:B$746,B1126,'Base bordo'!F$2:F$746,"DESLOCAMENTO"),0)</f>
        <v>0</v>
      </c>
      <c r="G1126" s="10">
        <f>IFERROR(SUMIFS('Base bordo'!G$2:G$746,'Base bordo'!C$2:C$746,A1126,'Base bordo'!B$2:B$746,B1126,'Base bordo'!F$2:F$746,"CARREGAMENTO"),0)</f>
        <v>0</v>
      </c>
      <c r="H1126" s="10">
        <f>IFERROR(SUMIFS('Base bordo'!G$2:G$746,'Base bordo'!C$2:C$746,A1126,'Base bordo'!B$2:B$746,B1126,'Base bordo'!F$2:F$746,"AGUARDANDO TRANSBORDO"),0)</f>
        <v>0</v>
      </c>
      <c r="I1126" s="10">
        <f>IFERROR(SUMIFS('Base bordo'!G$2:G$746,'Base bordo'!C$2:C$746,A1126,'Base bordo'!B$2:B$746,B1126,'Base bordo'!F$2:F$746,"PÁTIO INTERNO"),0)+IFERROR(SUMIFS('Base bordo'!G$2:G$746,'Base bordo'!C$2:C$746,A1126,'Base bordo'!B$2:B$746,B1126,'Base bordo'!F$2:F$746,"PÁTIO EXTERNO"),0)+IFERROR(SUMIFS('Base bordo'!G$2:G$746,'Base bordo'!C$2:C$746,A1126,'Base bordo'!B$2:B$746,B1126,'Base bordo'!F$2:F$746,"PATIO - RESERVA"),0)+IFERROR(SUMIFS('Base bordo'!G$2:G$746,'Base bordo'!C$2:C$746,A1126,'Base bordo'!B$2:B$746,B1126,'Base bordo'!F$2:F$746,"MANOBRA CARRETAS-PATIO"),0)</f>
        <v>1.0555555555555556</v>
      </c>
      <c r="J1126" s="10">
        <f>IFERROR(SUMIFS('Base bordo'!G$2:G$746,'Base bordo'!C$2:C$746,A1126,'Base bordo'!B$2:B$746,B1126,'Base bordo'!F$2:F$746,"BALANÇA - ENTRADA"),0)+IFERROR(SUMIFS('Base bordo'!G$2:G$746,'Base bordo'!C$2:C$746,A1126,'Base bordo'!B$2:B$746,B1126,'Base bordo'!F$2:F$746,"BALANÇA - SAÍDA"),0)</f>
        <v>0</v>
      </c>
      <c r="K1126" s="10">
        <f>IFERROR(SUMIFS('Base bordo'!G$2:G$746,'Base bordo'!C$2:C$746,A1126,'Base bordo'!B$2:B$746,B1126,'Base bordo'!F$2:F$746,"MAN PREVENTIVA - MECANICA"),0)+IFERROR(SUMIFS('Base bordo'!G$2:G$746,'Base bordo'!C$2:C$746,A1126,'Base bordo'!B$2:B$746,B1126,'Base bordo'!F$2:F$746,"MAN CORRETIVA - MECANICA"),0)</f>
        <v>0</v>
      </c>
      <c r="L1126" s="10">
        <f>IFERROR(SUMIFS('Base bordo'!G$2:G$746,'Base bordo'!C$2:C$746,A1126,'Base bordo'!B$2:B$746,B1126,'Base bordo'!F$2:F$746,"MANUTENCAO - T O"),0)+IFERROR(SUMIFS('Base bordo'!G$2:G$746,'Base bordo'!C$2:C$746,A1126,'Base bordo'!B$2:B$746,B1126,'Base bordo'!F$2:F$746,"MANUTENCAO BORRACHARIA"),0)+IFERROR(SUMIFS('Base bordo'!G$2:G$746,'Base bordo'!C$2:C$746,A1126,'Base bordo'!B$2:B$746,B1126,'Base bordo'!F$2:F$746,"MANUTENCAO EXTERNA  CONCESSIONARIA"),0)+IFERROR(SUMIFS('Base bordo'!G$2:G$746,'Base bordo'!C$2:C$746,A1126,'Base bordo'!B$2:B$746,B1126,'Base bordo'!F$2:F$746,"MANUTENCAO TELEMETRIA"),0)</f>
        <v>0</v>
      </c>
      <c r="M1126" s="10">
        <f>IFERROR(SUMIFS('Base bordo'!G$2:G$746,'Base bordo'!C$2:C$746,A1126,'Base bordo'!B$2:B$746,B1126,'Base bordo'!F$2:F$746,"AGUARDANDO MANUTENCAO"),0)</f>
        <v>0</v>
      </c>
      <c r="N1126" s="10">
        <f>IFERROR(SUMIFS('Base bordo'!G$2:G$746,'Base bordo'!C$2:C$746,A1126,'Base bordo'!B$2:B$746,B1126,'Base bordo'!F$2:F$746,"SEM APONTAMENTO"),0)</f>
        <v>0</v>
      </c>
      <c r="O1126" s="10">
        <f t="shared" si="114"/>
        <v>5.4444444444444073E-2</v>
      </c>
      <c r="P1126" s="10">
        <f>IFERROR(SUMIFS('Base bordo'!G$2:G$746,'Base bordo'!C$2:C$746,A1126,'Base bordo'!B$2:B$746,B1126),0)</f>
        <v>8.0480555555555551</v>
      </c>
      <c r="Q1126" s="10">
        <f>IFERROR(SUMIFS('Base bordo'!H$2:H$746,'Base bordo'!C$2:C$746,A1126,'Base bordo'!B$2:B$746,B1126,'Base bordo'!F$2:F$746,"DESLOCAMENTO VAZIO"),0)</f>
        <v>341096.53</v>
      </c>
      <c r="R1126" s="10">
        <f>IFERROR(SUMIFS('Base bordo'!I$2:I$746,'Base bordo'!C$2:C$746,A1126,'Base bordo'!B$2:B$746,B1126,'Base bordo'!F$2:F$746,"DESLOCAMENTO VAZIO"),0)</f>
        <v>10485</v>
      </c>
      <c r="S1126" s="30">
        <f t="shared" si="115"/>
        <v>32.531857892226995</v>
      </c>
      <c r="T1126" s="10">
        <f>IFERROR(SUMIFS('Base bordo'!H$2:H$746,'Base bordo'!C$2:C$746,A1126,'Base bordo'!B$2:B$746,B1126,'Base bordo'!F$2:F$746,"DESLOCAMENTO CARREGADO"),0)</f>
        <v>344294.46</v>
      </c>
      <c r="U1126" s="10">
        <f>IFERROR(SUMIFS('Base bordo'!I$2:I$746,'Base bordo'!C$2:C$746,A1126,'Base bordo'!B$2:B$746,B1126,'Base bordo'!F$2:F$746,"DESLOCAMENTO CARREGADO"),0)</f>
        <v>14479</v>
      </c>
      <c r="V1126" s="30">
        <f t="shared" si="116"/>
        <v>23.778883900821882</v>
      </c>
      <c r="W1126" s="9">
        <f t="shared" si="117"/>
        <v>0.36188865495461292</v>
      </c>
      <c r="X1126" s="9">
        <f t="shared" si="118"/>
        <v>0.50018983191247035</v>
      </c>
      <c r="Y1126" s="9">
        <f t="shared" si="119"/>
        <v>0.13792151313291678</v>
      </c>
    </row>
    <row r="1127" spans="1:25" ht="15" customHeight="1" x14ac:dyDescent="0.35">
      <c r="A1127" s="52">
        <v>8013472</v>
      </c>
      <c r="B1127" s="51">
        <v>46123</v>
      </c>
      <c r="C1127" s="7" t="s">
        <v>124</v>
      </c>
      <c r="D1127" s="10">
        <f>IFERROR(SUMIFS('Base bordo'!G$2:G$746,'Base bordo'!C$2:C$746,A1127,'Base bordo'!B$2:B$746,B1127,'Base bordo'!F$2:F$746,"DESLOCAMENTO VAZIO"),0)</f>
        <v>2.9125000000000001</v>
      </c>
      <c r="E1127" s="10">
        <f>IFERROR(SUMIFS('Base bordo'!G$2:G$746,'Base bordo'!C$2:C$746,A1127,'Base bordo'!B$2:B$746,B1127,'Base bordo'!F$2:F$746,"DESLOCAMENTO CARREGADO"),0)</f>
        <v>4.025555555555556</v>
      </c>
      <c r="F1127" s="10">
        <f>IFERROR(SUMIFS('Base bordo'!G$2:G$746,'Base bordo'!C$2:C$746,A1127,'Base bordo'!B$2:B$746,B1127,'Base bordo'!F$2:F$746,"DESLOCAMENTO"),0)</f>
        <v>0</v>
      </c>
      <c r="G1127" s="10">
        <f>IFERROR(SUMIFS('Base bordo'!G$2:G$746,'Base bordo'!C$2:C$746,A1127,'Base bordo'!B$2:B$746,B1127,'Base bordo'!F$2:F$746,"CARREGAMENTO"),0)</f>
        <v>0</v>
      </c>
      <c r="H1127" s="10">
        <f>IFERROR(SUMIFS('Base bordo'!G$2:G$746,'Base bordo'!C$2:C$746,A1127,'Base bordo'!B$2:B$746,B1127,'Base bordo'!F$2:F$746,"AGUARDANDO TRANSBORDO"),0)</f>
        <v>0</v>
      </c>
      <c r="I1127" s="10">
        <f>IFERROR(SUMIFS('Base bordo'!G$2:G$746,'Base bordo'!C$2:C$746,A1127,'Base bordo'!B$2:B$746,B1127,'Base bordo'!F$2:F$746,"PÁTIO INTERNO"),0)+IFERROR(SUMIFS('Base bordo'!G$2:G$746,'Base bordo'!C$2:C$746,A1127,'Base bordo'!B$2:B$746,B1127,'Base bordo'!F$2:F$746,"PÁTIO EXTERNO"),0)+IFERROR(SUMIFS('Base bordo'!G$2:G$746,'Base bordo'!C$2:C$746,A1127,'Base bordo'!B$2:B$746,B1127,'Base bordo'!F$2:F$746,"PATIO - RESERVA"),0)+IFERROR(SUMIFS('Base bordo'!G$2:G$746,'Base bordo'!C$2:C$746,A1127,'Base bordo'!B$2:B$746,B1127,'Base bordo'!F$2:F$746,"MANOBRA CARRETAS-PATIO"),0)</f>
        <v>1.0555555555555556</v>
      </c>
      <c r="J1127" s="10">
        <f>IFERROR(SUMIFS('Base bordo'!G$2:G$746,'Base bordo'!C$2:C$746,A1127,'Base bordo'!B$2:B$746,B1127,'Base bordo'!F$2:F$746,"BALANÇA - ENTRADA"),0)+IFERROR(SUMIFS('Base bordo'!G$2:G$746,'Base bordo'!C$2:C$746,A1127,'Base bordo'!B$2:B$746,B1127,'Base bordo'!F$2:F$746,"BALANÇA - SAÍDA"),0)</f>
        <v>0</v>
      </c>
      <c r="K1127" s="10">
        <f>IFERROR(SUMIFS('Base bordo'!G$2:G$746,'Base bordo'!C$2:C$746,A1127,'Base bordo'!B$2:B$746,B1127,'Base bordo'!F$2:F$746,"MAN PREVENTIVA - MECANICA"),0)+IFERROR(SUMIFS('Base bordo'!G$2:G$746,'Base bordo'!C$2:C$746,A1127,'Base bordo'!B$2:B$746,B1127,'Base bordo'!F$2:F$746,"MAN CORRETIVA - MECANICA"),0)</f>
        <v>0</v>
      </c>
      <c r="L1127" s="10">
        <f>IFERROR(SUMIFS('Base bordo'!G$2:G$746,'Base bordo'!C$2:C$746,A1127,'Base bordo'!B$2:B$746,B1127,'Base bordo'!F$2:F$746,"MANUTENCAO - T O"),0)+IFERROR(SUMIFS('Base bordo'!G$2:G$746,'Base bordo'!C$2:C$746,A1127,'Base bordo'!B$2:B$746,B1127,'Base bordo'!F$2:F$746,"MANUTENCAO BORRACHARIA"),0)+IFERROR(SUMIFS('Base bordo'!G$2:G$746,'Base bordo'!C$2:C$746,A1127,'Base bordo'!B$2:B$746,B1127,'Base bordo'!F$2:F$746,"MANUTENCAO EXTERNA  CONCESSIONARIA"),0)+IFERROR(SUMIFS('Base bordo'!G$2:G$746,'Base bordo'!C$2:C$746,A1127,'Base bordo'!B$2:B$746,B1127,'Base bordo'!F$2:F$746,"MANUTENCAO TELEMETRIA"),0)</f>
        <v>0</v>
      </c>
      <c r="M1127" s="10">
        <f>IFERROR(SUMIFS('Base bordo'!G$2:G$746,'Base bordo'!C$2:C$746,A1127,'Base bordo'!B$2:B$746,B1127,'Base bordo'!F$2:F$746,"AGUARDANDO MANUTENCAO"),0)</f>
        <v>0</v>
      </c>
      <c r="N1127" s="10">
        <f>IFERROR(SUMIFS('Base bordo'!G$2:G$746,'Base bordo'!C$2:C$746,A1127,'Base bordo'!B$2:B$746,B1127,'Base bordo'!F$2:F$746,"SEM APONTAMENTO"),0)</f>
        <v>0</v>
      </c>
      <c r="O1127" s="10">
        <f t="shared" si="114"/>
        <v>5.4444444444444073E-2</v>
      </c>
      <c r="P1127" s="10">
        <f>IFERROR(SUMIFS('Base bordo'!G$2:G$746,'Base bordo'!C$2:C$746,A1127,'Base bordo'!B$2:B$746,B1127),0)</f>
        <v>8.0480555555555551</v>
      </c>
      <c r="Q1127" s="10">
        <f>IFERROR(SUMIFS('Base bordo'!H$2:H$746,'Base bordo'!C$2:C$746,A1127,'Base bordo'!B$2:B$746,B1127,'Base bordo'!F$2:F$746,"DESLOCAMENTO VAZIO"),0)</f>
        <v>341096.53</v>
      </c>
      <c r="R1127" s="10">
        <f>IFERROR(SUMIFS('Base bordo'!I$2:I$746,'Base bordo'!C$2:C$746,A1127,'Base bordo'!B$2:B$746,B1127,'Base bordo'!F$2:F$746,"DESLOCAMENTO VAZIO"),0)</f>
        <v>10485</v>
      </c>
      <c r="S1127" s="30">
        <f t="shared" si="115"/>
        <v>32.531857892226995</v>
      </c>
      <c r="T1127" s="10">
        <f>IFERROR(SUMIFS('Base bordo'!H$2:H$746,'Base bordo'!C$2:C$746,A1127,'Base bordo'!B$2:B$746,B1127,'Base bordo'!F$2:F$746,"DESLOCAMENTO CARREGADO"),0)</f>
        <v>344294.46</v>
      </c>
      <c r="U1127" s="10">
        <f>IFERROR(SUMIFS('Base bordo'!I$2:I$746,'Base bordo'!C$2:C$746,A1127,'Base bordo'!B$2:B$746,B1127,'Base bordo'!F$2:F$746,"DESLOCAMENTO CARREGADO"),0)</f>
        <v>14479</v>
      </c>
      <c r="V1127" s="30">
        <f t="shared" si="116"/>
        <v>23.778883900821882</v>
      </c>
      <c r="W1127" s="9">
        <f t="shared" si="117"/>
        <v>0.36188865495461292</v>
      </c>
      <c r="X1127" s="9">
        <f t="shared" si="118"/>
        <v>0.50018983191247035</v>
      </c>
      <c r="Y1127" s="9">
        <f t="shared" si="119"/>
        <v>0.13792151313291678</v>
      </c>
    </row>
    <row r="1128" spans="1:25" ht="15" customHeight="1" x14ac:dyDescent="0.35">
      <c r="A1128" s="52">
        <v>8013473</v>
      </c>
      <c r="B1128" s="51">
        <v>46123</v>
      </c>
      <c r="C1128" s="7" t="s">
        <v>124</v>
      </c>
      <c r="D1128" s="10">
        <f>IFERROR(SUMIFS('Base bordo'!G$2:G$746,'Base bordo'!C$2:C$746,A1128,'Base bordo'!B$2:B$746,B1128,'Base bordo'!F$2:F$746,"DESLOCAMENTO VAZIO"),0)</f>
        <v>2.2419444444444445</v>
      </c>
      <c r="E1128" s="10">
        <f>IFERROR(SUMIFS('Base bordo'!G$2:G$746,'Base bordo'!C$2:C$746,A1128,'Base bordo'!B$2:B$746,B1128,'Base bordo'!F$2:F$746,"DESLOCAMENTO CARREGADO"),0)</f>
        <v>2.7183333333333333</v>
      </c>
      <c r="F1128" s="10">
        <f>IFERROR(SUMIFS('Base bordo'!G$2:G$746,'Base bordo'!C$2:C$746,A1128,'Base bordo'!B$2:B$746,B1128,'Base bordo'!F$2:F$746,"DESLOCAMENTO"),0)</f>
        <v>0</v>
      </c>
      <c r="G1128" s="10">
        <f>IFERROR(SUMIFS('Base bordo'!G$2:G$746,'Base bordo'!C$2:C$746,A1128,'Base bordo'!B$2:B$746,B1128,'Base bordo'!F$2:F$746,"CARREGAMENTO"),0)</f>
        <v>0</v>
      </c>
      <c r="H1128" s="10">
        <f>IFERROR(SUMIFS('Base bordo'!G$2:G$746,'Base bordo'!C$2:C$746,A1128,'Base bordo'!B$2:B$746,B1128,'Base bordo'!F$2:F$746,"AGUARDANDO TRANSBORDO"),0)</f>
        <v>1.3844444444444444</v>
      </c>
      <c r="I1128" s="10">
        <f>IFERROR(SUMIFS('Base bordo'!G$2:G$746,'Base bordo'!C$2:C$746,A1128,'Base bordo'!B$2:B$746,B1128,'Base bordo'!F$2:F$746,"PÁTIO INTERNO"),0)+IFERROR(SUMIFS('Base bordo'!G$2:G$746,'Base bordo'!C$2:C$746,A1128,'Base bordo'!B$2:B$746,B1128,'Base bordo'!F$2:F$746,"PÁTIO EXTERNO"),0)+IFERROR(SUMIFS('Base bordo'!G$2:G$746,'Base bordo'!C$2:C$746,A1128,'Base bordo'!B$2:B$746,B1128,'Base bordo'!F$2:F$746,"PATIO - RESERVA"),0)+IFERROR(SUMIFS('Base bordo'!G$2:G$746,'Base bordo'!C$2:C$746,A1128,'Base bordo'!B$2:B$746,B1128,'Base bordo'!F$2:F$746,"MANOBRA CARRETAS-PATIO"),0)</f>
        <v>0.63833333333333331</v>
      </c>
      <c r="J1128" s="10">
        <f>IFERROR(SUMIFS('Base bordo'!G$2:G$746,'Base bordo'!C$2:C$746,A1128,'Base bordo'!B$2:B$746,B1128,'Base bordo'!F$2:F$746,"BALANÇA - ENTRADA"),0)+IFERROR(SUMIFS('Base bordo'!G$2:G$746,'Base bordo'!C$2:C$746,A1128,'Base bordo'!B$2:B$746,B1128,'Base bordo'!F$2:F$746,"BALANÇA - SAÍDA"),0)</f>
        <v>0</v>
      </c>
      <c r="K1128" s="10">
        <f>IFERROR(SUMIFS('Base bordo'!G$2:G$746,'Base bordo'!C$2:C$746,A1128,'Base bordo'!B$2:B$746,B1128,'Base bordo'!F$2:F$746,"MAN PREVENTIVA - MECANICA"),0)+IFERROR(SUMIFS('Base bordo'!G$2:G$746,'Base bordo'!C$2:C$746,A1128,'Base bordo'!B$2:B$746,B1128,'Base bordo'!F$2:F$746,"MAN CORRETIVA - MECANICA"),0)</f>
        <v>0</v>
      </c>
      <c r="L1128" s="10">
        <f>IFERROR(SUMIFS('Base bordo'!G$2:G$746,'Base bordo'!C$2:C$746,A1128,'Base bordo'!B$2:B$746,B1128,'Base bordo'!F$2:F$746,"MANUTENCAO - T O"),0)+IFERROR(SUMIFS('Base bordo'!G$2:G$746,'Base bordo'!C$2:C$746,A1128,'Base bordo'!B$2:B$746,B1128,'Base bordo'!F$2:F$746,"MANUTENCAO BORRACHARIA"),0)+IFERROR(SUMIFS('Base bordo'!G$2:G$746,'Base bordo'!C$2:C$746,A1128,'Base bordo'!B$2:B$746,B1128,'Base bordo'!F$2:F$746,"MANUTENCAO EXTERNA  CONCESSIONARIA"),0)+IFERROR(SUMIFS('Base bordo'!G$2:G$746,'Base bordo'!C$2:C$746,A1128,'Base bordo'!B$2:B$746,B1128,'Base bordo'!F$2:F$746,"MANUTENCAO TELEMETRIA"),0)</f>
        <v>0</v>
      </c>
      <c r="M1128" s="10">
        <f>IFERROR(SUMIFS('Base bordo'!G$2:G$746,'Base bordo'!C$2:C$746,A1128,'Base bordo'!B$2:B$746,B1128,'Base bordo'!F$2:F$746,"AGUARDANDO MANUTENCAO"),0)</f>
        <v>0</v>
      </c>
      <c r="N1128" s="10">
        <f>IFERROR(SUMIFS('Base bordo'!G$2:G$746,'Base bordo'!C$2:C$746,A1128,'Base bordo'!B$2:B$746,B1128,'Base bordo'!F$2:F$746,"SEM APONTAMENTO"),0)</f>
        <v>0</v>
      </c>
      <c r="O1128" s="10">
        <f t="shared" si="114"/>
        <v>0.22777777777777786</v>
      </c>
      <c r="P1128" s="10">
        <f>IFERROR(SUMIFS('Base bordo'!G$2:G$746,'Base bordo'!C$2:C$746,A1128,'Base bordo'!B$2:B$746,B1128),0)</f>
        <v>7.2108333333333334</v>
      </c>
      <c r="Q1128" s="10">
        <f>IFERROR(SUMIFS('Base bordo'!H$2:H$746,'Base bordo'!C$2:C$746,A1128,'Base bordo'!B$2:B$746,B1128,'Base bordo'!F$2:F$746,"DESLOCAMENTO VAZIO"),0)</f>
        <v>253000.22999999998</v>
      </c>
      <c r="R1128" s="10">
        <f>IFERROR(SUMIFS('Base bordo'!I$2:I$746,'Base bordo'!C$2:C$746,A1128,'Base bordo'!B$2:B$746,B1128,'Base bordo'!F$2:F$746,"DESLOCAMENTO VAZIO"),0)</f>
        <v>8071</v>
      </c>
      <c r="S1128" s="30">
        <f t="shared" si="115"/>
        <v>31.346825672159582</v>
      </c>
      <c r="T1128" s="10">
        <f>IFERROR(SUMIFS('Base bordo'!H$2:H$746,'Base bordo'!C$2:C$746,A1128,'Base bordo'!B$2:B$746,B1128,'Base bordo'!F$2:F$746,"DESLOCAMENTO CARREGADO"),0)</f>
        <v>222192.59000000003</v>
      </c>
      <c r="U1128" s="10">
        <f>IFERROR(SUMIFS('Base bordo'!I$2:I$746,'Base bordo'!C$2:C$746,A1128,'Base bordo'!B$2:B$746,B1128,'Base bordo'!F$2:F$746,"DESLOCAMENTO CARREGADO"),0)</f>
        <v>9786</v>
      </c>
      <c r="V1128" s="30">
        <f t="shared" si="116"/>
        <v>22.705149192724303</v>
      </c>
      <c r="W1128" s="9">
        <f t="shared" si="117"/>
        <v>0.31091336338071573</v>
      </c>
      <c r="X1128" s="9">
        <f t="shared" si="118"/>
        <v>0.37697908239916789</v>
      </c>
      <c r="Y1128" s="9">
        <f t="shared" si="119"/>
        <v>0.31210755422011638</v>
      </c>
    </row>
    <row r="1129" spans="1:25" ht="15" customHeight="1" x14ac:dyDescent="0.35">
      <c r="A1129" s="52">
        <v>8013473</v>
      </c>
      <c r="B1129" s="51">
        <v>46123</v>
      </c>
      <c r="C1129" s="7" t="s">
        <v>124</v>
      </c>
      <c r="D1129" s="10">
        <f>IFERROR(SUMIFS('Base bordo'!G$2:G$746,'Base bordo'!C$2:C$746,A1129,'Base bordo'!B$2:B$746,B1129,'Base bordo'!F$2:F$746,"DESLOCAMENTO VAZIO"),0)</f>
        <v>2.2419444444444445</v>
      </c>
      <c r="E1129" s="10">
        <f>IFERROR(SUMIFS('Base bordo'!G$2:G$746,'Base bordo'!C$2:C$746,A1129,'Base bordo'!B$2:B$746,B1129,'Base bordo'!F$2:F$746,"DESLOCAMENTO CARREGADO"),0)</f>
        <v>2.7183333333333333</v>
      </c>
      <c r="F1129" s="10">
        <f>IFERROR(SUMIFS('Base bordo'!G$2:G$746,'Base bordo'!C$2:C$746,A1129,'Base bordo'!B$2:B$746,B1129,'Base bordo'!F$2:F$746,"DESLOCAMENTO"),0)</f>
        <v>0</v>
      </c>
      <c r="G1129" s="10">
        <f>IFERROR(SUMIFS('Base bordo'!G$2:G$746,'Base bordo'!C$2:C$746,A1129,'Base bordo'!B$2:B$746,B1129,'Base bordo'!F$2:F$746,"CARREGAMENTO"),0)</f>
        <v>0</v>
      </c>
      <c r="H1129" s="10">
        <f>IFERROR(SUMIFS('Base bordo'!G$2:G$746,'Base bordo'!C$2:C$746,A1129,'Base bordo'!B$2:B$746,B1129,'Base bordo'!F$2:F$746,"AGUARDANDO TRANSBORDO"),0)</f>
        <v>1.3844444444444444</v>
      </c>
      <c r="I1129" s="10">
        <f>IFERROR(SUMIFS('Base bordo'!G$2:G$746,'Base bordo'!C$2:C$746,A1129,'Base bordo'!B$2:B$746,B1129,'Base bordo'!F$2:F$746,"PÁTIO INTERNO"),0)+IFERROR(SUMIFS('Base bordo'!G$2:G$746,'Base bordo'!C$2:C$746,A1129,'Base bordo'!B$2:B$746,B1129,'Base bordo'!F$2:F$746,"PÁTIO EXTERNO"),0)+IFERROR(SUMIFS('Base bordo'!G$2:G$746,'Base bordo'!C$2:C$746,A1129,'Base bordo'!B$2:B$746,B1129,'Base bordo'!F$2:F$746,"PATIO - RESERVA"),0)+IFERROR(SUMIFS('Base bordo'!G$2:G$746,'Base bordo'!C$2:C$746,A1129,'Base bordo'!B$2:B$746,B1129,'Base bordo'!F$2:F$746,"MANOBRA CARRETAS-PATIO"),0)</f>
        <v>0.63833333333333331</v>
      </c>
      <c r="J1129" s="10">
        <f>IFERROR(SUMIFS('Base bordo'!G$2:G$746,'Base bordo'!C$2:C$746,A1129,'Base bordo'!B$2:B$746,B1129,'Base bordo'!F$2:F$746,"BALANÇA - ENTRADA"),0)+IFERROR(SUMIFS('Base bordo'!G$2:G$746,'Base bordo'!C$2:C$746,A1129,'Base bordo'!B$2:B$746,B1129,'Base bordo'!F$2:F$746,"BALANÇA - SAÍDA"),0)</f>
        <v>0</v>
      </c>
      <c r="K1129" s="10">
        <f>IFERROR(SUMIFS('Base bordo'!G$2:G$746,'Base bordo'!C$2:C$746,A1129,'Base bordo'!B$2:B$746,B1129,'Base bordo'!F$2:F$746,"MAN PREVENTIVA - MECANICA"),0)+IFERROR(SUMIFS('Base bordo'!G$2:G$746,'Base bordo'!C$2:C$746,A1129,'Base bordo'!B$2:B$746,B1129,'Base bordo'!F$2:F$746,"MAN CORRETIVA - MECANICA"),0)</f>
        <v>0</v>
      </c>
      <c r="L1129" s="10">
        <f>IFERROR(SUMIFS('Base bordo'!G$2:G$746,'Base bordo'!C$2:C$746,A1129,'Base bordo'!B$2:B$746,B1129,'Base bordo'!F$2:F$746,"MANUTENCAO - T O"),0)+IFERROR(SUMIFS('Base bordo'!G$2:G$746,'Base bordo'!C$2:C$746,A1129,'Base bordo'!B$2:B$746,B1129,'Base bordo'!F$2:F$746,"MANUTENCAO BORRACHARIA"),0)+IFERROR(SUMIFS('Base bordo'!G$2:G$746,'Base bordo'!C$2:C$746,A1129,'Base bordo'!B$2:B$746,B1129,'Base bordo'!F$2:F$746,"MANUTENCAO EXTERNA  CONCESSIONARIA"),0)+IFERROR(SUMIFS('Base bordo'!G$2:G$746,'Base bordo'!C$2:C$746,A1129,'Base bordo'!B$2:B$746,B1129,'Base bordo'!F$2:F$746,"MANUTENCAO TELEMETRIA"),0)</f>
        <v>0</v>
      </c>
      <c r="M1129" s="10">
        <f>IFERROR(SUMIFS('Base bordo'!G$2:G$746,'Base bordo'!C$2:C$746,A1129,'Base bordo'!B$2:B$746,B1129,'Base bordo'!F$2:F$746,"AGUARDANDO MANUTENCAO"),0)</f>
        <v>0</v>
      </c>
      <c r="N1129" s="10">
        <f>IFERROR(SUMIFS('Base bordo'!G$2:G$746,'Base bordo'!C$2:C$746,A1129,'Base bordo'!B$2:B$746,B1129,'Base bordo'!F$2:F$746,"SEM APONTAMENTO"),0)</f>
        <v>0</v>
      </c>
      <c r="O1129" s="10">
        <f t="shared" si="114"/>
        <v>0.22777777777777786</v>
      </c>
      <c r="P1129" s="10">
        <f>IFERROR(SUMIFS('Base bordo'!G$2:G$746,'Base bordo'!C$2:C$746,A1129,'Base bordo'!B$2:B$746,B1129),0)</f>
        <v>7.2108333333333334</v>
      </c>
      <c r="Q1129" s="10">
        <f>IFERROR(SUMIFS('Base bordo'!H$2:H$746,'Base bordo'!C$2:C$746,A1129,'Base bordo'!B$2:B$746,B1129,'Base bordo'!F$2:F$746,"DESLOCAMENTO VAZIO"),0)</f>
        <v>253000.22999999998</v>
      </c>
      <c r="R1129" s="10">
        <f>IFERROR(SUMIFS('Base bordo'!I$2:I$746,'Base bordo'!C$2:C$746,A1129,'Base bordo'!B$2:B$746,B1129,'Base bordo'!F$2:F$746,"DESLOCAMENTO VAZIO"),0)</f>
        <v>8071</v>
      </c>
      <c r="S1129" s="30">
        <f t="shared" si="115"/>
        <v>31.346825672159582</v>
      </c>
      <c r="T1129" s="10">
        <f>IFERROR(SUMIFS('Base bordo'!H$2:H$746,'Base bordo'!C$2:C$746,A1129,'Base bordo'!B$2:B$746,B1129,'Base bordo'!F$2:F$746,"DESLOCAMENTO CARREGADO"),0)</f>
        <v>222192.59000000003</v>
      </c>
      <c r="U1129" s="10">
        <f>IFERROR(SUMIFS('Base bordo'!I$2:I$746,'Base bordo'!C$2:C$746,A1129,'Base bordo'!B$2:B$746,B1129,'Base bordo'!F$2:F$746,"DESLOCAMENTO CARREGADO"),0)</f>
        <v>9786</v>
      </c>
      <c r="V1129" s="30">
        <f t="shared" si="116"/>
        <v>22.705149192724303</v>
      </c>
      <c r="W1129" s="9">
        <f t="shared" si="117"/>
        <v>0.31091336338071573</v>
      </c>
      <c r="X1129" s="9">
        <f t="shared" si="118"/>
        <v>0.37697908239916789</v>
      </c>
      <c r="Y1129" s="9">
        <f t="shared" si="119"/>
        <v>0.31210755422011638</v>
      </c>
    </row>
    <row r="1130" spans="1:25" ht="15" customHeight="1" x14ac:dyDescent="0.35">
      <c r="A1130" s="52">
        <v>8013473</v>
      </c>
      <c r="B1130" s="51">
        <v>46123</v>
      </c>
      <c r="C1130" s="7" t="s">
        <v>124</v>
      </c>
      <c r="D1130" s="10">
        <f>IFERROR(SUMIFS('Base bordo'!G$2:G$746,'Base bordo'!C$2:C$746,A1130,'Base bordo'!B$2:B$746,B1130,'Base bordo'!F$2:F$746,"DESLOCAMENTO VAZIO"),0)</f>
        <v>2.2419444444444445</v>
      </c>
      <c r="E1130" s="10">
        <f>IFERROR(SUMIFS('Base bordo'!G$2:G$746,'Base bordo'!C$2:C$746,A1130,'Base bordo'!B$2:B$746,B1130,'Base bordo'!F$2:F$746,"DESLOCAMENTO CARREGADO"),0)</f>
        <v>2.7183333333333333</v>
      </c>
      <c r="F1130" s="10">
        <f>IFERROR(SUMIFS('Base bordo'!G$2:G$746,'Base bordo'!C$2:C$746,A1130,'Base bordo'!B$2:B$746,B1130,'Base bordo'!F$2:F$746,"DESLOCAMENTO"),0)</f>
        <v>0</v>
      </c>
      <c r="G1130" s="10">
        <f>IFERROR(SUMIFS('Base bordo'!G$2:G$746,'Base bordo'!C$2:C$746,A1130,'Base bordo'!B$2:B$746,B1130,'Base bordo'!F$2:F$746,"CARREGAMENTO"),0)</f>
        <v>0</v>
      </c>
      <c r="H1130" s="10">
        <f>IFERROR(SUMIFS('Base bordo'!G$2:G$746,'Base bordo'!C$2:C$746,A1130,'Base bordo'!B$2:B$746,B1130,'Base bordo'!F$2:F$746,"AGUARDANDO TRANSBORDO"),0)</f>
        <v>1.3844444444444444</v>
      </c>
      <c r="I1130" s="10">
        <f>IFERROR(SUMIFS('Base bordo'!G$2:G$746,'Base bordo'!C$2:C$746,A1130,'Base bordo'!B$2:B$746,B1130,'Base bordo'!F$2:F$746,"PÁTIO INTERNO"),0)+IFERROR(SUMIFS('Base bordo'!G$2:G$746,'Base bordo'!C$2:C$746,A1130,'Base bordo'!B$2:B$746,B1130,'Base bordo'!F$2:F$746,"PÁTIO EXTERNO"),0)+IFERROR(SUMIFS('Base bordo'!G$2:G$746,'Base bordo'!C$2:C$746,A1130,'Base bordo'!B$2:B$746,B1130,'Base bordo'!F$2:F$746,"PATIO - RESERVA"),0)+IFERROR(SUMIFS('Base bordo'!G$2:G$746,'Base bordo'!C$2:C$746,A1130,'Base bordo'!B$2:B$746,B1130,'Base bordo'!F$2:F$746,"MANOBRA CARRETAS-PATIO"),0)</f>
        <v>0.63833333333333331</v>
      </c>
      <c r="J1130" s="10">
        <f>IFERROR(SUMIFS('Base bordo'!G$2:G$746,'Base bordo'!C$2:C$746,A1130,'Base bordo'!B$2:B$746,B1130,'Base bordo'!F$2:F$746,"BALANÇA - ENTRADA"),0)+IFERROR(SUMIFS('Base bordo'!G$2:G$746,'Base bordo'!C$2:C$746,A1130,'Base bordo'!B$2:B$746,B1130,'Base bordo'!F$2:F$746,"BALANÇA - SAÍDA"),0)</f>
        <v>0</v>
      </c>
      <c r="K1130" s="10">
        <f>IFERROR(SUMIFS('Base bordo'!G$2:G$746,'Base bordo'!C$2:C$746,A1130,'Base bordo'!B$2:B$746,B1130,'Base bordo'!F$2:F$746,"MAN PREVENTIVA - MECANICA"),0)+IFERROR(SUMIFS('Base bordo'!G$2:G$746,'Base bordo'!C$2:C$746,A1130,'Base bordo'!B$2:B$746,B1130,'Base bordo'!F$2:F$746,"MAN CORRETIVA - MECANICA"),0)</f>
        <v>0</v>
      </c>
      <c r="L1130" s="10">
        <f>IFERROR(SUMIFS('Base bordo'!G$2:G$746,'Base bordo'!C$2:C$746,A1130,'Base bordo'!B$2:B$746,B1130,'Base bordo'!F$2:F$746,"MANUTENCAO - T O"),0)+IFERROR(SUMIFS('Base bordo'!G$2:G$746,'Base bordo'!C$2:C$746,A1130,'Base bordo'!B$2:B$746,B1130,'Base bordo'!F$2:F$746,"MANUTENCAO BORRACHARIA"),0)+IFERROR(SUMIFS('Base bordo'!G$2:G$746,'Base bordo'!C$2:C$746,A1130,'Base bordo'!B$2:B$746,B1130,'Base bordo'!F$2:F$746,"MANUTENCAO EXTERNA  CONCESSIONARIA"),0)+IFERROR(SUMIFS('Base bordo'!G$2:G$746,'Base bordo'!C$2:C$746,A1130,'Base bordo'!B$2:B$746,B1130,'Base bordo'!F$2:F$746,"MANUTENCAO TELEMETRIA"),0)</f>
        <v>0</v>
      </c>
      <c r="M1130" s="10">
        <f>IFERROR(SUMIFS('Base bordo'!G$2:G$746,'Base bordo'!C$2:C$746,A1130,'Base bordo'!B$2:B$746,B1130,'Base bordo'!F$2:F$746,"AGUARDANDO MANUTENCAO"),0)</f>
        <v>0</v>
      </c>
      <c r="N1130" s="10">
        <f>IFERROR(SUMIFS('Base bordo'!G$2:G$746,'Base bordo'!C$2:C$746,A1130,'Base bordo'!B$2:B$746,B1130,'Base bordo'!F$2:F$746,"SEM APONTAMENTO"),0)</f>
        <v>0</v>
      </c>
      <c r="O1130" s="10">
        <f t="shared" si="114"/>
        <v>0.22777777777777786</v>
      </c>
      <c r="P1130" s="10">
        <f>IFERROR(SUMIFS('Base bordo'!G$2:G$746,'Base bordo'!C$2:C$746,A1130,'Base bordo'!B$2:B$746,B1130),0)</f>
        <v>7.2108333333333334</v>
      </c>
      <c r="Q1130" s="10">
        <f>IFERROR(SUMIFS('Base bordo'!H$2:H$746,'Base bordo'!C$2:C$746,A1130,'Base bordo'!B$2:B$746,B1130,'Base bordo'!F$2:F$746,"DESLOCAMENTO VAZIO"),0)</f>
        <v>253000.22999999998</v>
      </c>
      <c r="R1130" s="10">
        <f>IFERROR(SUMIFS('Base bordo'!I$2:I$746,'Base bordo'!C$2:C$746,A1130,'Base bordo'!B$2:B$746,B1130,'Base bordo'!F$2:F$746,"DESLOCAMENTO VAZIO"),0)</f>
        <v>8071</v>
      </c>
      <c r="S1130" s="30">
        <f t="shared" si="115"/>
        <v>31.346825672159582</v>
      </c>
      <c r="T1130" s="10">
        <f>IFERROR(SUMIFS('Base bordo'!H$2:H$746,'Base bordo'!C$2:C$746,A1130,'Base bordo'!B$2:B$746,B1130,'Base bordo'!F$2:F$746,"DESLOCAMENTO CARREGADO"),0)</f>
        <v>222192.59000000003</v>
      </c>
      <c r="U1130" s="10">
        <f>IFERROR(SUMIFS('Base bordo'!I$2:I$746,'Base bordo'!C$2:C$746,A1130,'Base bordo'!B$2:B$746,B1130,'Base bordo'!F$2:F$746,"DESLOCAMENTO CARREGADO"),0)</f>
        <v>9786</v>
      </c>
      <c r="V1130" s="30">
        <f t="shared" si="116"/>
        <v>22.705149192724303</v>
      </c>
      <c r="W1130" s="9">
        <f t="shared" si="117"/>
        <v>0.31091336338071573</v>
      </c>
      <c r="X1130" s="9">
        <f t="shared" si="118"/>
        <v>0.37697908239916789</v>
      </c>
      <c r="Y1130" s="9">
        <f t="shared" si="119"/>
        <v>0.31210755422011638</v>
      </c>
    </row>
    <row r="1131" spans="1:25" ht="15" customHeight="1" x14ac:dyDescent="0.35">
      <c r="A1131" s="52">
        <v>8013473</v>
      </c>
      <c r="B1131" s="51">
        <v>46123</v>
      </c>
      <c r="C1131" s="7" t="s">
        <v>124</v>
      </c>
      <c r="D1131" s="10">
        <f>IFERROR(SUMIFS('Base bordo'!G$2:G$746,'Base bordo'!C$2:C$746,A1131,'Base bordo'!B$2:B$746,B1131,'Base bordo'!F$2:F$746,"DESLOCAMENTO VAZIO"),0)</f>
        <v>2.2419444444444445</v>
      </c>
      <c r="E1131" s="10">
        <f>IFERROR(SUMIFS('Base bordo'!G$2:G$746,'Base bordo'!C$2:C$746,A1131,'Base bordo'!B$2:B$746,B1131,'Base bordo'!F$2:F$746,"DESLOCAMENTO CARREGADO"),0)</f>
        <v>2.7183333333333333</v>
      </c>
      <c r="F1131" s="10">
        <f>IFERROR(SUMIFS('Base bordo'!G$2:G$746,'Base bordo'!C$2:C$746,A1131,'Base bordo'!B$2:B$746,B1131,'Base bordo'!F$2:F$746,"DESLOCAMENTO"),0)</f>
        <v>0</v>
      </c>
      <c r="G1131" s="10">
        <f>IFERROR(SUMIFS('Base bordo'!G$2:G$746,'Base bordo'!C$2:C$746,A1131,'Base bordo'!B$2:B$746,B1131,'Base bordo'!F$2:F$746,"CARREGAMENTO"),0)</f>
        <v>0</v>
      </c>
      <c r="H1131" s="10">
        <f>IFERROR(SUMIFS('Base bordo'!G$2:G$746,'Base bordo'!C$2:C$746,A1131,'Base bordo'!B$2:B$746,B1131,'Base bordo'!F$2:F$746,"AGUARDANDO TRANSBORDO"),0)</f>
        <v>1.3844444444444444</v>
      </c>
      <c r="I1131" s="10">
        <f>IFERROR(SUMIFS('Base bordo'!G$2:G$746,'Base bordo'!C$2:C$746,A1131,'Base bordo'!B$2:B$746,B1131,'Base bordo'!F$2:F$746,"PÁTIO INTERNO"),0)+IFERROR(SUMIFS('Base bordo'!G$2:G$746,'Base bordo'!C$2:C$746,A1131,'Base bordo'!B$2:B$746,B1131,'Base bordo'!F$2:F$746,"PÁTIO EXTERNO"),0)+IFERROR(SUMIFS('Base bordo'!G$2:G$746,'Base bordo'!C$2:C$746,A1131,'Base bordo'!B$2:B$746,B1131,'Base bordo'!F$2:F$746,"PATIO - RESERVA"),0)+IFERROR(SUMIFS('Base bordo'!G$2:G$746,'Base bordo'!C$2:C$746,A1131,'Base bordo'!B$2:B$746,B1131,'Base bordo'!F$2:F$746,"MANOBRA CARRETAS-PATIO"),0)</f>
        <v>0.63833333333333331</v>
      </c>
      <c r="J1131" s="10">
        <f>IFERROR(SUMIFS('Base bordo'!G$2:G$746,'Base bordo'!C$2:C$746,A1131,'Base bordo'!B$2:B$746,B1131,'Base bordo'!F$2:F$746,"BALANÇA - ENTRADA"),0)+IFERROR(SUMIFS('Base bordo'!G$2:G$746,'Base bordo'!C$2:C$746,A1131,'Base bordo'!B$2:B$746,B1131,'Base bordo'!F$2:F$746,"BALANÇA - SAÍDA"),0)</f>
        <v>0</v>
      </c>
      <c r="K1131" s="10">
        <f>IFERROR(SUMIFS('Base bordo'!G$2:G$746,'Base bordo'!C$2:C$746,A1131,'Base bordo'!B$2:B$746,B1131,'Base bordo'!F$2:F$746,"MAN PREVENTIVA - MECANICA"),0)+IFERROR(SUMIFS('Base bordo'!G$2:G$746,'Base bordo'!C$2:C$746,A1131,'Base bordo'!B$2:B$746,B1131,'Base bordo'!F$2:F$746,"MAN CORRETIVA - MECANICA"),0)</f>
        <v>0</v>
      </c>
      <c r="L1131" s="10">
        <f>IFERROR(SUMIFS('Base bordo'!G$2:G$746,'Base bordo'!C$2:C$746,A1131,'Base bordo'!B$2:B$746,B1131,'Base bordo'!F$2:F$746,"MANUTENCAO - T O"),0)+IFERROR(SUMIFS('Base bordo'!G$2:G$746,'Base bordo'!C$2:C$746,A1131,'Base bordo'!B$2:B$746,B1131,'Base bordo'!F$2:F$746,"MANUTENCAO BORRACHARIA"),0)+IFERROR(SUMIFS('Base bordo'!G$2:G$746,'Base bordo'!C$2:C$746,A1131,'Base bordo'!B$2:B$746,B1131,'Base bordo'!F$2:F$746,"MANUTENCAO EXTERNA  CONCESSIONARIA"),0)+IFERROR(SUMIFS('Base bordo'!G$2:G$746,'Base bordo'!C$2:C$746,A1131,'Base bordo'!B$2:B$746,B1131,'Base bordo'!F$2:F$746,"MANUTENCAO TELEMETRIA"),0)</f>
        <v>0</v>
      </c>
      <c r="M1131" s="10">
        <f>IFERROR(SUMIFS('Base bordo'!G$2:G$746,'Base bordo'!C$2:C$746,A1131,'Base bordo'!B$2:B$746,B1131,'Base bordo'!F$2:F$746,"AGUARDANDO MANUTENCAO"),0)</f>
        <v>0</v>
      </c>
      <c r="N1131" s="10">
        <f>IFERROR(SUMIFS('Base bordo'!G$2:G$746,'Base bordo'!C$2:C$746,A1131,'Base bordo'!B$2:B$746,B1131,'Base bordo'!F$2:F$746,"SEM APONTAMENTO"),0)</f>
        <v>0</v>
      </c>
      <c r="O1131" s="10">
        <f t="shared" si="114"/>
        <v>0.22777777777777786</v>
      </c>
      <c r="P1131" s="10">
        <f>IFERROR(SUMIFS('Base bordo'!G$2:G$746,'Base bordo'!C$2:C$746,A1131,'Base bordo'!B$2:B$746,B1131),0)</f>
        <v>7.2108333333333334</v>
      </c>
      <c r="Q1131" s="10">
        <f>IFERROR(SUMIFS('Base bordo'!H$2:H$746,'Base bordo'!C$2:C$746,A1131,'Base bordo'!B$2:B$746,B1131,'Base bordo'!F$2:F$746,"DESLOCAMENTO VAZIO"),0)</f>
        <v>253000.22999999998</v>
      </c>
      <c r="R1131" s="10">
        <f>IFERROR(SUMIFS('Base bordo'!I$2:I$746,'Base bordo'!C$2:C$746,A1131,'Base bordo'!B$2:B$746,B1131,'Base bordo'!F$2:F$746,"DESLOCAMENTO VAZIO"),0)</f>
        <v>8071</v>
      </c>
      <c r="S1131" s="30">
        <f t="shared" si="115"/>
        <v>31.346825672159582</v>
      </c>
      <c r="T1131" s="10">
        <f>IFERROR(SUMIFS('Base bordo'!H$2:H$746,'Base bordo'!C$2:C$746,A1131,'Base bordo'!B$2:B$746,B1131,'Base bordo'!F$2:F$746,"DESLOCAMENTO CARREGADO"),0)</f>
        <v>222192.59000000003</v>
      </c>
      <c r="U1131" s="10">
        <f>IFERROR(SUMIFS('Base bordo'!I$2:I$746,'Base bordo'!C$2:C$746,A1131,'Base bordo'!B$2:B$746,B1131,'Base bordo'!F$2:F$746,"DESLOCAMENTO CARREGADO"),0)</f>
        <v>9786</v>
      </c>
      <c r="V1131" s="30">
        <f t="shared" si="116"/>
        <v>22.705149192724303</v>
      </c>
      <c r="W1131" s="9">
        <f t="shared" si="117"/>
        <v>0.31091336338071573</v>
      </c>
      <c r="X1131" s="9">
        <f t="shared" si="118"/>
        <v>0.37697908239916789</v>
      </c>
      <c r="Y1131" s="9">
        <f t="shared" si="119"/>
        <v>0.31210755422011638</v>
      </c>
    </row>
    <row r="1132" spans="1:25" ht="15" customHeight="1" x14ac:dyDescent="0.35">
      <c r="A1132" s="52">
        <v>8013473</v>
      </c>
      <c r="B1132" s="51">
        <v>46123</v>
      </c>
      <c r="C1132" s="7" t="s">
        <v>124</v>
      </c>
      <c r="D1132" s="10">
        <f>IFERROR(SUMIFS('Base bordo'!G$2:G$746,'Base bordo'!C$2:C$746,A1132,'Base bordo'!B$2:B$746,B1132,'Base bordo'!F$2:F$746,"DESLOCAMENTO VAZIO"),0)</f>
        <v>2.2419444444444445</v>
      </c>
      <c r="E1132" s="10">
        <f>IFERROR(SUMIFS('Base bordo'!G$2:G$746,'Base bordo'!C$2:C$746,A1132,'Base bordo'!B$2:B$746,B1132,'Base bordo'!F$2:F$746,"DESLOCAMENTO CARREGADO"),0)</f>
        <v>2.7183333333333333</v>
      </c>
      <c r="F1132" s="10">
        <f>IFERROR(SUMIFS('Base bordo'!G$2:G$746,'Base bordo'!C$2:C$746,A1132,'Base bordo'!B$2:B$746,B1132,'Base bordo'!F$2:F$746,"DESLOCAMENTO"),0)</f>
        <v>0</v>
      </c>
      <c r="G1132" s="10">
        <f>IFERROR(SUMIFS('Base bordo'!G$2:G$746,'Base bordo'!C$2:C$746,A1132,'Base bordo'!B$2:B$746,B1132,'Base bordo'!F$2:F$746,"CARREGAMENTO"),0)</f>
        <v>0</v>
      </c>
      <c r="H1132" s="10">
        <f>IFERROR(SUMIFS('Base bordo'!G$2:G$746,'Base bordo'!C$2:C$746,A1132,'Base bordo'!B$2:B$746,B1132,'Base bordo'!F$2:F$746,"AGUARDANDO TRANSBORDO"),0)</f>
        <v>1.3844444444444444</v>
      </c>
      <c r="I1132" s="10">
        <f>IFERROR(SUMIFS('Base bordo'!G$2:G$746,'Base bordo'!C$2:C$746,A1132,'Base bordo'!B$2:B$746,B1132,'Base bordo'!F$2:F$746,"PÁTIO INTERNO"),0)+IFERROR(SUMIFS('Base bordo'!G$2:G$746,'Base bordo'!C$2:C$746,A1132,'Base bordo'!B$2:B$746,B1132,'Base bordo'!F$2:F$746,"PÁTIO EXTERNO"),0)+IFERROR(SUMIFS('Base bordo'!G$2:G$746,'Base bordo'!C$2:C$746,A1132,'Base bordo'!B$2:B$746,B1132,'Base bordo'!F$2:F$746,"PATIO - RESERVA"),0)+IFERROR(SUMIFS('Base bordo'!G$2:G$746,'Base bordo'!C$2:C$746,A1132,'Base bordo'!B$2:B$746,B1132,'Base bordo'!F$2:F$746,"MANOBRA CARRETAS-PATIO"),0)</f>
        <v>0.63833333333333331</v>
      </c>
      <c r="J1132" s="10">
        <f>IFERROR(SUMIFS('Base bordo'!G$2:G$746,'Base bordo'!C$2:C$746,A1132,'Base bordo'!B$2:B$746,B1132,'Base bordo'!F$2:F$746,"BALANÇA - ENTRADA"),0)+IFERROR(SUMIFS('Base bordo'!G$2:G$746,'Base bordo'!C$2:C$746,A1132,'Base bordo'!B$2:B$746,B1132,'Base bordo'!F$2:F$746,"BALANÇA - SAÍDA"),0)</f>
        <v>0</v>
      </c>
      <c r="K1132" s="10">
        <f>IFERROR(SUMIFS('Base bordo'!G$2:G$746,'Base bordo'!C$2:C$746,A1132,'Base bordo'!B$2:B$746,B1132,'Base bordo'!F$2:F$746,"MAN PREVENTIVA - MECANICA"),0)+IFERROR(SUMIFS('Base bordo'!G$2:G$746,'Base bordo'!C$2:C$746,A1132,'Base bordo'!B$2:B$746,B1132,'Base bordo'!F$2:F$746,"MAN CORRETIVA - MECANICA"),0)</f>
        <v>0</v>
      </c>
      <c r="L1132" s="10">
        <f>IFERROR(SUMIFS('Base bordo'!G$2:G$746,'Base bordo'!C$2:C$746,A1132,'Base bordo'!B$2:B$746,B1132,'Base bordo'!F$2:F$746,"MANUTENCAO - T O"),0)+IFERROR(SUMIFS('Base bordo'!G$2:G$746,'Base bordo'!C$2:C$746,A1132,'Base bordo'!B$2:B$746,B1132,'Base bordo'!F$2:F$746,"MANUTENCAO BORRACHARIA"),0)+IFERROR(SUMIFS('Base bordo'!G$2:G$746,'Base bordo'!C$2:C$746,A1132,'Base bordo'!B$2:B$746,B1132,'Base bordo'!F$2:F$746,"MANUTENCAO EXTERNA  CONCESSIONARIA"),0)+IFERROR(SUMIFS('Base bordo'!G$2:G$746,'Base bordo'!C$2:C$746,A1132,'Base bordo'!B$2:B$746,B1132,'Base bordo'!F$2:F$746,"MANUTENCAO TELEMETRIA"),0)</f>
        <v>0</v>
      </c>
      <c r="M1132" s="10">
        <f>IFERROR(SUMIFS('Base bordo'!G$2:G$746,'Base bordo'!C$2:C$746,A1132,'Base bordo'!B$2:B$746,B1132,'Base bordo'!F$2:F$746,"AGUARDANDO MANUTENCAO"),0)</f>
        <v>0</v>
      </c>
      <c r="N1132" s="10">
        <f>IFERROR(SUMIFS('Base bordo'!G$2:G$746,'Base bordo'!C$2:C$746,A1132,'Base bordo'!B$2:B$746,B1132,'Base bordo'!F$2:F$746,"SEM APONTAMENTO"),0)</f>
        <v>0</v>
      </c>
      <c r="O1132" s="10">
        <f t="shared" si="114"/>
        <v>0.22777777777777786</v>
      </c>
      <c r="P1132" s="10">
        <f>IFERROR(SUMIFS('Base bordo'!G$2:G$746,'Base bordo'!C$2:C$746,A1132,'Base bordo'!B$2:B$746,B1132),0)</f>
        <v>7.2108333333333334</v>
      </c>
      <c r="Q1132" s="10">
        <f>IFERROR(SUMIFS('Base bordo'!H$2:H$746,'Base bordo'!C$2:C$746,A1132,'Base bordo'!B$2:B$746,B1132,'Base bordo'!F$2:F$746,"DESLOCAMENTO VAZIO"),0)</f>
        <v>253000.22999999998</v>
      </c>
      <c r="R1132" s="10">
        <f>IFERROR(SUMIFS('Base bordo'!I$2:I$746,'Base bordo'!C$2:C$746,A1132,'Base bordo'!B$2:B$746,B1132,'Base bordo'!F$2:F$746,"DESLOCAMENTO VAZIO"),0)</f>
        <v>8071</v>
      </c>
      <c r="S1132" s="30">
        <f t="shared" si="115"/>
        <v>31.346825672159582</v>
      </c>
      <c r="T1132" s="10">
        <f>IFERROR(SUMIFS('Base bordo'!H$2:H$746,'Base bordo'!C$2:C$746,A1132,'Base bordo'!B$2:B$746,B1132,'Base bordo'!F$2:F$746,"DESLOCAMENTO CARREGADO"),0)</f>
        <v>222192.59000000003</v>
      </c>
      <c r="U1132" s="10">
        <f>IFERROR(SUMIFS('Base bordo'!I$2:I$746,'Base bordo'!C$2:C$746,A1132,'Base bordo'!B$2:B$746,B1132,'Base bordo'!F$2:F$746,"DESLOCAMENTO CARREGADO"),0)</f>
        <v>9786</v>
      </c>
      <c r="V1132" s="30">
        <f t="shared" si="116"/>
        <v>22.705149192724303</v>
      </c>
      <c r="W1132" s="9">
        <f t="shared" si="117"/>
        <v>0.31091336338071573</v>
      </c>
      <c r="X1132" s="9">
        <f t="shared" si="118"/>
        <v>0.37697908239916789</v>
      </c>
      <c r="Y1132" s="9">
        <f t="shared" si="119"/>
        <v>0.31210755422011638</v>
      </c>
    </row>
    <row r="1133" spans="1:25" ht="15" customHeight="1" x14ac:dyDescent="0.35">
      <c r="A1133" s="52">
        <v>8013473</v>
      </c>
      <c r="B1133" s="51">
        <v>46123</v>
      </c>
      <c r="C1133" s="7" t="s">
        <v>124</v>
      </c>
      <c r="D1133" s="10">
        <f>IFERROR(SUMIFS('Base bordo'!G$2:G$746,'Base bordo'!C$2:C$746,A1133,'Base bordo'!B$2:B$746,B1133,'Base bordo'!F$2:F$746,"DESLOCAMENTO VAZIO"),0)</f>
        <v>2.2419444444444445</v>
      </c>
      <c r="E1133" s="10">
        <f>IFERROR(SUMIFS('Base bordo'!G$2:G$746,'Base bordo'!C$2:C$746,A1133,'Base bordo'!B$2:B$746,B1133,'Base bordo'!F$2:F$746,"DESLOCAMENTO CARREGADO"),0)</f>
        <v>2.7183333333333333</v>
      </c>
      <c r="F1133" s="10">
        <f>IFERROR(SUMIFS('Base bordo'!G$2:G$746,'Base bordo'!C$2:C$746,A1133,'Base bordo'!B$2:B$746,B1133,'Base bordo'!F$2:F$746,"DESLOCAMENTO"),0)</f>
        <v>0</v>
      </c>
      <c r="G1133" s="10">
        <f>IFERROR(SUMIFS('Base bordo'!G$2:G$746,'Base bordo'!C$2:C$746,A1133,'Base bordo'!B$2:B$746,B1133,'Base bordo'!F$2:F$746,"CARREGAMENTO"),0)</f>
        <v>0</v>
      </c>
      <c r="H1133" s="10">
        <f>IFERROR(SUMIFS('Base bordo'!G$2:G$746,'Base bordo'!C$2:C$746,A1133,'Base bordo'!B$2:B$746,B1133,'Base bordo'!F$2:F$746,"AGUARDANDO TRANSBORDO"),0)</f>
        <v>1.3844444444444444</v>
      </c>
      <c r="I1133" s="10">
        <f>IFERROR(SUMIFS('Base bordo'!G$2:G$746,'Base bordo'!C$2:C$746,A1133,'Base bordo'!B$2:B$746,B1133,'Base bordo'!F$2:F$746,"PÁTIO INTERNO"),0)+IFERROR(SUMIFS('Base bordo'!G$2:G$746,'Base bordo'!C$2:C$746,A1133,'Base bordo'!B$2:B$746,B1133,'Base bordo'!F$2:F$746,"PÁTIO EXTERNO"),0)+IFERROR(SUMIFS('Base bordo'!G$2:G$746,'Base bordo'!C$2:C$746,A1133,'Base bordo'!B$2:B$746,B1133,'Base bordo'!F$2:F$746,"PATIO - RESERVA"),0)+IFERROR(SUMIFS('Base bordo'!G$2:G$746,'Base bordo'!C$2:C$746,A1133,'Base bordo'!B$2:B$746,B1133,'Base bordo'!F$2:F$746,"MANOBRA CARRETAS-PATIO"),0)</f>
        <v>0.63833333333333331</v>
      </c>
      <c r="J1133" s="10">
        <f>IFERROR(SUMIFS('Base bordo'!G$2:G$746,'Base bordo'!C$2:C$746,A1133,'Base bordo'!B$2:B$746,B1133,'Base bordo'!F$2:F$746,"BALANÇA - ENTRADA"),0)+IFERROR(SUMIFS('Base bordo'!G$2:G$746,'Base bordo'!C$2:C$746,A1133,'Base bordo'!B$2:B$746,B1133,'Base bordo'!F$2:F$746,"BALANÇA - SAÍDA"),0)</f>
        <v>0</v>
      </c>
      <c r="K1133" s="10">
        <f>IFERROR(SUMIFS('Base bordo'!G$2:G$746,'Base bordo'!C$2:C$746,A1133,'Base bordo'!B$2:B$746,B1133,'Base bordo'!F$2:F$746,"MAN PREVENTIVA - MECANICA"),0)+IFERROR(SUMIFS('Base bordo'!G$2:G$746,'Base bordo'!C$2:C$746,A1133,'Base bordo'!B$2:B$746,B1133,'Base bordo'!F$2:F$746,"MAN CORRETIVA - MECANICA"),0)</f>
        <v>0</v>
      </c>
      <c r="L1133" s="10">
        <f>IFERROR(SUMIFS('Base bordo'!G$2:G$746,'Base bordo'!C$2:C$746,A1133,'Base bordo'!B$2:B$746,B1133,'Base bordo'!F$2:F$746,"MANUTENCAO - T O"),0)+IFERROR(SUMIFS('Base bordo'!G$2:G$746,'Base bordo'!C$2:C$746,A1133,'Base bordo'!B$2:B$746,B1133,'Base bordo'!F$2:F$746,"MANUTENCAO BORRACHARIA"),0)+IFERROR(SUMIFS('Base bordo'!G$2:G$746,'Base bordo'!C$2:C$746,A1133,'Base bordo'!B$2:B$746,B1133,'Base bordo'!F$2:F$746,"MANUTENCAO EXTERNA  CONCESSIONARIA"),0)+IFERROR(SUMIFS('Base bordo'!G$2:G$746,'Base bordo'!C$2:C$746,A1133,'Base bordo'!B$2:B$746,B1133,'Base bordo'!F$2:F$746,"MANUTENCAO TELEMETRIA"),0)</f>
        <v>0</v>
      </c>
      <c r="M1133" s="10">
        <f>IFERROR(SUMIFS('Base bordo'!G$2:G$746,'Base bordo'!C$2:C$746,A1133,'Base bordo'!B$2:B$746,B1133,'Base bordo'!F$2:F$746,"AGUARDANDO MANUTENCAO"),0)</f>
        <v>0</v>
      </c>
      <c r="N1133" s="10">
        <f>IFERROR(SUMIFS('Base bordo'!G$2:G$746,'Base bordo'!C$2:C$746,A1133,'Base bordo'!B$2:B$746,B1133,'Base bordo'!F$2:F$746,"SEM APONTAMENTO"),0)</f>
        <v>0</v>
      </c>
      <c r="O1133" s="10">
        <f t="shared" si="114"/>
        <v>0.22777777777777786</v>
      </c>
      <c r="P1133" s="10">
        <f>IFERROR(SUMIFS('Base bordo'!G$2:G$746,'Base bordo'!C$2:C$746,A1133,'Base bordo'!B$2:B$746,B1133),0)</f>
        <v>7.2108333333333334</v>
      </c>
      <c r="Q1133" s="10">
        <f>IFERROR(SUMIFS('Base bordo'!H$2:H$746,'Base bordo'!C$2:C$746,A1133,'Base bordo'!B$2:B$746,B1133,'Base bordo'!F$2:F$746,"DESLOCAMENTO VAZIO"),0)</f>
        <v>253000.22999999998</v>
      </c>
      <c r="R1133" s="10">
        <f>IFERROR(SUMIFS('Base bordo'!I$2:I$746,'Base bordo'!C$2:C$746,A1133,'Base bordo'!B$2:B$746,B1133,'Base bordo'!F$2:F$746,"DESLOCAMENTO VAZIO"),0)</f>
        <v>8071</v>
      </c>
      <c r="S1133" s="30">
        <f t="shared" si="115"/>
        <v>31.346825672159582</v>
      </c>
      <c r="T1133" s="10">
        <f>IFERROR(SUMIFS('Base bordo'!H$2:H$746,'Base bordo'!C$2:C$746,A1133,'Base bordo'!B$2:B$746,B1133,'Base bordo'!F$2:F$746,"DESLOCAMENTO CARREGADO"),0)</f>
        <v>222192.59000000003</v>
      </c>
      <c r="U1133" s="10">
        <f>IFERROR(SUMIFS('Base bordo'!I$2:I$746,'Base bordo'!C$2:C$746,A1133,'Base bordo'!B$2:B$746,B1133,'Base bordo'!F$2:F$746,"DESLOCAMENTO CARREGADO"),0)</f>
        <v>9786</v>
      </c>
      <c r="V1133" s="30">
        <f t="shared" si="116"/>
        <v>22.705149192724303</v>
      </c>
      <c r="W1133" s="9">
        <f t="shared" si="117"/>
        <v>0.31091336338071573</v>
      </c>
      <c r="X1133" s="9">
        <f t="shared" si="118"/>
        <v>0.37697908239916789</v>
      </c>
      <c r="Y1133" s="9">
        <f t="shared" si="119"/>
        <v>0.31210755422011638</v>
      </c>
    </row>
    <row r="1134" spans="1:25" ht="15" customHeight="1" x14ac:dyDescent="0.35">
      <c r="A1134" s="52">
        <v>8013473</v>
      </c>
      <c r="B1134" s="51">
        <v>46123</v>
      </c>
      <c r="C1134" s="7" t="s">
        <v>124</v>
      </c>
      <c r="D1134" s="10">
        <f>IFERROR(SUMIFS('Base bordo'!G$2:G$746,'Base bordo'!C$2:C$746,A1134,'Base bordo'!B$2:B$746,B1134,'Base bordo'!F$2:F$746,"DESLOCAMENTO VAZIO"),0)</f>
        <v>2.2419444444444445</v>
      </c>
      <c r="E1134" s="10">
        <f>IFERROR(SUMIFS('Base bordo'!G$2:G$746,'Base bordo'!C$2:C$746,A1134,'Base bordo'!B$2:B$746,B1134,'Base bordo'!F$2:F$746,"DESLOCAMENTO CARREGADO"),0)</f>
        <v>2.7183333333333333</v>
      </c>
      <c r="F1134" s="10">
        <f>IFERROR(SUMIFS('Base bordo'!G$2:G$746,'Base bordo'!C$2:C$746,A1134,'Base bordo'!B$2:B$746,B1134,'Base bordo'!F$2:F$746,"DESLOCAMENTO"),0)</f>
        <v>0</v>
      </c>
      <c r="G1134" s="10">
        <f>IFERROR(SUMIFS('Base bordo'!G$2:G$746,'Base bordo'!C$2:C$746,A1134,'Base bordo'!B$2:B$746,B1134,'Base bordo'!F$2:F$746,"CARREGAMENTO"),0)</f>
        <v>0</v>
      </c>
      <c r="H1134" s="10">
        <f>IFERROR(SUMIFS('Base bordo'!G$2:G$746,'Base bordo'!C$2:C$746,A1134,'Base bordo'!B$2:B$746,B1134,'Base bordo'!F$2:F$746,"AGUARDANDO TRANSBORDO"),0)</f>
        <v>1.3844444444444444</v>
      </c>
      <c r="I1134" s="10">
        <f>IFERROR(SUMIFS('Base bordo'!G$2:G$746,'Base bordo'!C$2:C$746,A1134,'Base bordo'!B$2:B$746,B1134,'Base bordo'!F$2:F$746,"PÁTIO INTERNO"),0)+IFERROR(SUMIFS('Base bordo'!G$2:G$746,'Base bordo'!C$2:C$746,A1134,'Base bordo'!B$2:B$746,B1134,'Base bordo'!F$2:F$746,"PÁTIO EXTERNO"),0)+IFERROR(SUMIFS('Base bordo'!G$2:G$746,'Base bordo'!C$2:C$746,A1134,'Base bordo'!B$2:B$746,B1134,'Base bordo'!F$2:F$746,"PATIO - RESERVA"),0)+IFERROR(SUMIFS('Base bordo'!G$2:G$746,'Base bordo'!C$2:C$746,A1134,'Base bordo'!B$2:B$746,B1134,'Base bordo'!F$2:F$746,"MANOBRA CARRETAS-PATIO"),0)</f>
        <v>0.63833333333333331</v>
      </c>
      <c r="J1134" s="10">
        <f>IFERROR(SUMIFS('Base bordo'!G$2:G$746,'Base bordo'!C$2:C$746,A1134,'Base bordo'!B$2:B$746,B1134,'Base bordo'!F$2:F$746,"BALANÇA - ENTRADA"),0)+IFERROR(SUMIFS('Base bordo'!G$2:G$746,'Base bordo'!C$2:C$746,A1134,'Base bordo'!B$2:B$746,B1134,'Base bordo'!F$2:F$746,"BALANÇA - SAÍDA"),0)</f>
        <v>0</v>
      </c>
      <c r="K1134" s="10">
        <f>IFERROR(SUMIFS('Base bordo'!G$2:G$746,'Base bordo'!C$2:C$746,A1134,'Base bordo'!B$2:B$746,B1134,'Base bordo'!F$2:F$746,"MAN PREVENTIVA - MECANICA"),0)+IFERROR(SUMIFS('Base bordo'!G$2:G$746,'Base bordo'!C$2:C$746,A1134,'Base bordo'!B$2:B$746,B1134,'Base bordo'!F$2:F$746,"MAN CORRETIVA - MECANICA"),0)</f>
        <v>0</v>
      </c>
      <c r="L1134" s="10">
        <f>IFERROR(SUMIFS('Base bordo'!G$2:G$746,'Base bordo'!C$2:C$746,A1134,'Base bordo'!B$2:B$746,B1134,'Base bordo'!F$2:F$746,"MANUTENCAO - T O"),0)+IFERROR(SUMIFS('Base bordo'!G$2:G$746,'Base bordo'!C$2:C$746,A1134,'Base bordo'!B$2:B$746,B1134,'Base bordo'!F$2:F$746,"MANUTENCAO BORRACHARIA"),0)+IFERROR(SUMIFS('Base bordo'!G$2:G$746,'Base bordo'!C$2:C$746,A1134,'Base bordo'!B$2:B$746,B1134,'Base bordo'!F$2:F$746,"MANUTENCAO EXTERNA  CONCESSIONARIA"),0)+IFERROR(SUMIFS('Base bordo'!G$2:G$746,'Base bordo'!C$2:C$746,A1134,'Base bordo'!B$2:B$746,B1134,'Base bordo'!F$2:F$746,"MANUTENCAO TELEMETRIA"),0)</f>
        <v>0</v>
      </c>
      <c r="M1134" s="10">
        <f>IFERROR(SUMIFS('Base bordo'!G$2:G$746,'Base bordo'!C$2:C$746,A1134,'Base bordo'!B$2:B$746,B1134,'Base bordo'!F$2:F$746,"AGUARDANDO MANUTENCAO"),0)</f>
        <v>0</v>
      </c>
      <c r="N1134" s="10">
        <f>IFERROR(SUMIFS('Base bordo'!G$2:G$746,'Base bordo'!C$2:C$746,A1134,'Base bordo'!B$2:B$746,B1134,'Base bordo'!F$2:F$746,"SEM APONTAMENTO"),0)</f>
        <v>0</v>
      </c>
      <c r="O1134" s="10">
        <f t="shared" si="114"/>
        <v>0.22777777777777786</v>
      </c>
      <c r="P1134" s="10">
        <f>IFERROR(SUMIFS('Base bordo'!G$2:G$746,'Base bordo'!C$2:C$746,A1134,'Base bordo'!B$2:B$746,B1134),0)</f>
        <v>7.2108333333333334</v>
      </c>
      <c r="Q1134" s="10">
        <f>IFERROR(SUMIFS('Base bordo'!H$2:H$746,'Base bordo'!C$2:C$746,A1134,'Base bordo'!B$2:B$746,B1134,'Base bordo'!F$2:F$746,"DESLOCAMENTO VAZIO"),0)</f>
        <v>253000.22999999998</v>
      </c>
      <c r="R1134" s="10">
        <f>IFERROR(SUMIFS('Base bordo'!I$2:I$746,'Base bordo'!C$2:C$746,A1134,'Base bordo'!B$2:B$746,B1134,'Base bordo'!F$2:F$746,"DESLOCAMENTO VAZIO"),0)</f>
        <v>8071</v>
      </c>
      <c r="S1134" s="30">
        <f t="shared" si="115"/>
        <v>31.346825672159582</v>
      </c>
      <c r="T1134" s="10">
        <f>IFERROR(SUMIFS('Base bordo'!H$2:H$746,'Base bordo'!C$2:C$746,A1134,'Base bordo'!B$2:B$746,B1134,'Base bordo'!F$2:F$746,"DESLOCAMENTO CARREGADO"),0)</f>
        <v>222192.59000000003</v>
      </c>
      <c r="U1134" s="10">
        <f>IFERROR(SUMIFS('Base bordo'!I$2:I$746,'Base bordo'!C$2:C$746,A1134,'Base bordo'!B$2:B$746,B1134,'Base bordo'!F$2:F$746,"DESLOCAMENTO CARREGADO"),0)</f>
        <v>9786</v>
      </c>
      <c r="V1134" s="30">
        <f t="shared" si="116"/>
        <v>22.705149192724303</v>
      </c>
      <c r="W1134" s="9">
        <f t="shared" si="117"/>
        <v>0.31091336338071573</v>
      </c>
      <c r="X1134" s="9">
        <f t="shared" si="118"/>
        <v>0.37697908239916789</v>
      </c>
      <c r="Y1134" s="9">
        <f t="shared" si="119"/>
        <v>0.31210755422011638</v>
      </c>
    </row>
    <row r="1135" spans="1:25" ht="15" customHeight="1" x14ac:dyDescent="0.35">
      <c r="A1135" s="52">
        <v>8013474</v>
      </c>
      <c r="B1135" s="51">
        <v>46123</v>
      </c>
      <c r="C1135" s="7" t="s">
        <v>124</v>
      </c>
      <c r="D1135" s="10">
        <f>IFERROR(SUMIFS('Base bordo'!G$2:G$746,'Base bordo'!C$2:C$746,A1135,'Base bordo'!B$2:B$746,B1135,'Base bordo'!F$2:F$746,"DESLOCAMENTO VAZIO"),0)</f>
        <v>0</v>
      </c>
      <c r="E1135" s="10">
        <f>IFERROR(SUMIFS('Base bordo'!G$2:G$746,'Base bordo'!C$2:C$746,A1135,'Base bordo'!B$2:B$746,B1135,'Base bordo'!F$2:F$746,"DESLOCAMENTO CARREGADO"),0)</f>
        <v>0</v>
      </c>
      <c r="F1135" s="10">
        <f>IFERROR(SUMIFS('Base bordo'!G$2:G$746,'Base bordo'!C$2:C$746,A1135,'Base bordo'!B$2:B$746,B1135,'Base bordo'!F$2:F$746,"DESLOCAMENTO"),0)</f>
        <v>0</v>
      </c>
      <c r="G1135" s="10">
        <f>IFERROR(SUMIFS('Base bordo'!G$2:G$746,'Base bordo'!C$2:C$746,A1135,'Base bordo'!B$2:B$746,B1135,'Base bordo'!F$2:F$746,"CARREGAMENTO"),0)</f>
        <v>0</v>
      </c>
      <c r="H1135" s="10">
        <f>IFERROR(SUMIFS('Base bordo'!G$2:G$746,'Base bordo'!C$2:C$746,A1135,'Base bordo'!B$2:B$746,B1135,'Base bordo'!F$2:F$746,"AGUARDANDO TRANSBORDO"),0)</f>
        <v>0</v>
      </c>
      <c r="I1135" s="10">
        <f>IFERROR(SUMIFS('Base bordo'!G$2:G$746,'Base bordo'!C$2:C$746,A1135,'Base bordo'!B$2:B$746,B1135,'Base bordo'!F$2:F$746,"PÁTIO INTERNO"),0)+IFERROR(SUMIFS('Base bordo'!G$2:G$746,'Base bordo'!C$2:C$746,A1135,'Base bordo'!B$2:B$746,B1135,'Base bordo'!F$2:F$746,"PÁTIO EXTERNO"),0)+IFERROR(SUMIFS('Base bordo'!G$2:G$746,'Base bordo'!C$2:C$746,A1135,'Base bordo'!B$2:B$746,B1135,'Base bordo'!F$2:F$746,"PATIO - RESERVA"),0)+IFERROR(SUMIFS('Base bordo'!G$2:G$746,'Base bordo'!C$2:C$746,A1135,'Base bordo'!B$2:B$746,B1135,'Base bordo'!F$2:F$746,"MANOBRA CARRETAS-PATIO"),0)</f>
        <v>0</v>
      </c>
      <c r="J1135" s="10">
        <f>IFERROR(SUMIFS('Base bordo'!G$2:G$746,'Base bordo'!C$2:C$746,A1135,'Base bordo'!B$2:B$746,B1135,'Base bordo'!F$2:F$746,"BALANÇA - ENTRADA"),0)+IFERROR(SUMIFS('Base bordo'!G$2:G$746,'Base bordo'!C$2:C$746,A1135,'Base bordo'!B$2:B$746,B1135,'Base bordo'!F$2:F$746,"BALANÇA - SAÍDA"),0)</f>
        <v>0</v>
      </c>
      <c r="K1135" s="10">
        <f>IFERROR(SUMIFS('Base bordo'!G$2:G$746,'Base bordo'!C$2:C$746,A1135,'Base bordo'!B$2:B$746,B1135,'Base bordo'!F$2:F$746,"MAN PREVENTIVA - MECANICA"),0)+IFERROR(SUMIFS('Base bordo'!G$2:G$746,'Base bordo'!C$2:C$746,A1135,'Base bordo'!B$2:B$746,B1135,'Base bordo'!F$2:F$746,"MAN CORRETIVA - MECANICA"),0)</f>
        <v>0</v>
      </c>
      <c r="L1135" s="10">
        <f>IFERROR(SUMIFS('Base bordo'!G$2:G$746,'Base bordo'!C$2:C$746,A1135,'Base bordo'!B$2:B$746,B1135,'Base bordo'!F$2:F$746,"MANUTENCAO - T O"),0)+IFERROR(SUMIFS('Base bordo'!G$2:G$746,'Base bordo'!C$2:C$746,A1135,'Base bordo'!B$2:B$746,B1135,'Base bordo'!F$2:F$746,"MANUTENCAO BORRACHARIA"),0)+IFERROR(SUMIFS('Base bordo'!G$2:G$746,'Base bordo'!C$2:C$746,A1135,'Base bordo'!B$2:B$746,B1135,'Base bordo'!F$2:F$746,"MANUTENCAO EXTERNA  CONCESSIONARIA"),0)+IFERROR(SUMIFS('Base bordo'!G$2:G$746,'Base bordo'!C$2:C$746,A1135,'Base bordo'!B$2:B$746,B1135,'Base bordo'!F$2:F$746,"MANUTENCAO TELEMETRIA"),0)</f>
        <v>0</v>
      </c>
      <c r="M1135" s="10">
        <f>IFERROR(SUMIFS('Base bordo'!G$2:G$746,'Base bordo'!C$2:C$746,A1135,'Base bordo'!B$2:B$746,B1135,'Base bordo'!F$2:F$746,"AGUARDANDO MANUTENCAO"),0)</f>
        <v>0</v>
      </c>
      <c r="N1135" s="10">
        <f>IFERROR(SUMIFS('Base bordo'!G$2:G$746,'Base bordo'!C$2:C$746,A1135,'Base bordo'!B$2:B$746,B1135,'Base bordo'!F$2:F$746,"SEM APONTAMENTO"),0)</f>
        <v>0</v>
      </c>
      <c r="O1135" s="10">
        <f t="shared" si="114"/>
        <v>0</v>
      </c>
      <c r="P1135" s="10">
        <f>IFERROR(SUMIFS('Base bordo'!G$2:G$746,'Base bordo'!C$2:C$746,A1135,'Base bordo'!B$2:B$746,B1135),0)</f>
        <v>0</v>
      </c>
      <c r="Q1135" s="10">
        <f>IFERROR(SUMIFS('Base bordo'!H$2:H$746,'Base bordo'!C$2:C$746,A1135,'Base bordo'!B$2:B$746,B1135,'Base bordo'!F$2:F$746,"DESLOCAMENTO VAZIO"),0)</f>
        <v>0</v>
      </c>
      <c r="R1135" s="10">
        <f>IFERROR(SUMIFS('Base bordo'!I$2:I$746,'Base bordo'!C$2:C$746,A1135,'Base bordo'!B$2:B$746,B1135,'Base bordo'!F$2:F$746,"DESLOCAMENTO VAZIO"),0)</f>
        <v>0</v>
      </c>
      <c r="S1135" s="30" t="str">
        <f t="shared" si="115"/>
        <v/>
      </c>
      <c r="T1135" s="10">
        <f>IFERROR(SUMIFS('Base bordo'!H$2:H$746,'Base bordo'!C$2:C$746,A1135,'Base bordo'!B$2:B$746,B1135,'Base bordo'!F$2:F$746,"DESLOCAMENTO CARREGADO"),0)</f>
        <v>0</v>
      </c>
      <c r="U1135" s="10">
        <f>IFERROR(SUMIFS('Base bordo'!I$2:I$746,'Base bordo'!C$2:C$746,A1135,'Base bordo'!B$2:B$746,B1135,'Base bordo'!F$2:F$746,"DESLOCAMENTO CARREGADO"),0)</f>
        <v>0</v>
      </c>
      <c r="V1135" s="30" t="str">
        <f t="shared" si="116"/>
        <v/>
      </c>
      <c r="W1135" s="9">
        <f t="shared" si="117"/>
        <v>0</v>
      </c>
      <c r="X1135" s="9">
        <f t="shared" si="118"/>
        <v>0</v>
      </c>
      <c r="Y1135" s="9">
        <f t="shared" si="119"/>
        <v>0</v>
      </c>
    </row>
    <row r="1136" spans="1:25" ht="15" customHeight="1" x14ac:dyDescent="0.35">
      <c r="A1136" s="52">
        <v>8013475</v>
      </c>
      <c r="B1136" s="51">
        <v>46123</v>
      </c>
      <c r="C1136" s="7" t="s">
        <v>124</v>
      </c>
      <c r="D1136" s="10">
        <f>IFERROR(SUMIFS('Base bordo'!G$2:G$746,'Base bordo'!C$2:C$746,A1136,'Base bordo'!B$2:B$746,B1136,'Base bordo'!F$2:F$746,"DESLOCAMENTO VAZIO"),0)</f>
        <v>3.0555555555555557E-3</v>
      </c>
      <c r="E1136" s="10">
        <f>IFERROR(SUMIFS('Base bordo'!G$2:G$746,'Base bordo'!C$2:C$746,A1136,'Base bordo'!B$2:B$746,B1136,'Base bordo'!F$2:F$746,"DESLOCAMENTO CARREGADO"),0)</f>
        <v>2.8611111111111111E-2</v>
      </c>
      <c r="F1136" s="10">
        <f>IFERROR(SUMIFS('Base bordo'!G$2:G$746,'Base bordo'!C$2:C$746,A1136,'Base bordo'!B$2:B$746,B1136,'Base bordo'!F$2:F$746,"DESLOCAMENTO"),0)</f>
        <v>0</v>
      </c>
      <c r="G1136" s="10">
        <f>IFERROR(SUMIFS('Base bordo'!G$2:G$746,'Base bordo'!C$2:C$746,A1136,'Base bordo'!B$2:B$746,B1136,'Base bordo'!F$2:F$746,"CARREGAMENTO"),0)</f>
        <v>0</v>
      </c>
      <c r="H1136" s="10">
        <f>IFERROR(SUMIFS('Base bordo'!G$2:G$746,'Base bordo'!C$2:C$746,A1136,'Base bordo'!B$2:B$746,B1136,'Base bordo'!F$2:F$746,"AGUARDANDO TRANSBORDO"),0)</f>
        <v>0</v>
      </c>
      <c r="I1136" s="10">
        <f>IFERROR(SUMIFS('Base bordo'!G$2:G$746,'Base bordo'!C$2:C$746,A1136,'Base bordo'!B$2:B$746,B1136,'Base bordo'!F$2:F$746,"PÁTIO INTERNO"),0)+IFERROR(SUMIFS('Base bordo'!G$2:G$746,'Base bordo'!C$2:C$746,A1136,'Base bordo'!B$2:B$746,B1136,'Base bordo'!F$2:F$746,"PÁTIO EXTERNO"),0)+IFERROR(SUMIFS('Base bordo'!G$2:G$746,'Base bordo'!C$2:C$746,A1136,'Base bordo'!B$2:B$746,B1136,'Base bordo'!F$2:F$746,"PATIO - RESERVA"),0)+IFERROR(SUMIFS('Base bordo'!G$2:G$746,'Base bordo'!C$2:C$746,A1136,'Base bordo'!B$2:B$746,B1136,'Base bordo'!F$2:F$746,"MANOBRA CARRETAS-PATIO"),0)</f>
        <v>2.75E-2</v>
      </c>
      <c r="J1136" s="10">
        <f>IFERROR(SUMIFS('Base bordo'!G$2:G$746,'Base bordo'!C$2:C$746,A1136,'Base bordo'!B$2:B$746,B1136,'Base bordo'!F$2:F$746,"BALANÇA - ENTRADA"),0)+IFERROR(SUMIFS('Base bordo'!G$2:G$746,'Base bordo'!C$2:C$746,A1136,'Base bordo'!B$2:B$746,B1136,'Base bordo'!F$2:F$746,"BALANÇA - SAÍDA"),0)</f>
        <v>0</v>
      </c>
      <c r="K1136" s="10">
        <f>IFERROR(SUMIFS('Base bordo'!G$2:G$746,'Base bordo'!C$2:C$746,A1136,'Base bordo'!B$2:B$746,B1136,'Base bordo'!F$2:F$746,"MAN PREVENTIVA - MECANICA"),0)+IFERROR(SUMIFS('Base bordo'!G$2:G$746,'Base bordo'!C$2:C$746,A1136,'Base bordo'!B$2:B$746,B1136,'Base bordo'!F$2:F$746,"MAN CORRETIVA - MECANICA"),0)</f>
        <v>0</v>
      </c>
      <c r="L1136" s="10">
        <f>IFERROR(SUMIFS('Base bordo'!G$2:G$746,'Base bordo'!C$2:C$746,A1136,'Base bordo'!B$2:B$746,B1136,'Base bordo'!F$2:F$746,"MANUTENCAO - T O"),0)+IFERROR(SUMIFS('Base bordo'!G$2:G$746,'Base bordo'!C$2:C$746,A1136,'Base bordo'!B$2:B$746,B1136,'Base bordo'!F$2:F$746,"MANUTENCAO BORRACHARIA"),0)+IFERROR(SUMIFS('Base bordo'!G$2:G$746,'Base bordo'!C$2:C$746,A1136,'Base bordo'!B$2:B$746,B1136,'Base bordo'!F$2:F$746,"MANUTENCAO EXTERNA  CONCESSIONARIA"),0)+IFERROR(SUMIFS('Base bordo'!G$2:G$746,'Base bordo'!C$2:C$746,A1136,'Base bordo'!B$2:B$746,B1136,'Base bordo'!F$2:F$746,"MANUTENCAO TELEMETRIA"),0)</f>
        <v>0</v>
      </c>
      <c r="M1136" s="10">
        <f>IFERROR(SUMIFS('Base bordo'!G$2:G$746,'Base bordo'!C$2:C$746,A1136,'Base bordo'!B$2:B$746,B1136,'Base bordo'!F$2:F$746,"AGUARDANDO MANUTENCAO"),0)</f>
        <v>0</v>
      </c>
      <c r="N1136" s="10">
        <f>IFERROR(SUMIFS('Base bordo'!G$2:G$746,'Base bordo'!C$2:C$746,A1136,'Base bordo'!B$2:B$746,B1136,'Base bordo'!F$2:F$746,"SEM APONTAMENTO"),0)</f>
        <v>0</v>
      </c>
      <c r="O1136" s="10">
        <f t="shared" si="114"/>
        <v>-6.9388939039072284E-18</v>
      </c>
      <c r="P1136" s="10">
        <f>IFERROR(SUMIFS('Base bordo'!G$2:G$746,'Base bordo'!C$2:C$746,A1136,'Base bordo'!B$2:B$746,B1136),0)</f>
        <v>5.9166666666666666E-2</v>
      </c>
      <c r="Q1136" s="10">
        <f>IFERROR(SUMIFS('Base bordo'!H$2:H$746,'Base bordo'!C$2:C$746,A1136,'Base bordo'!B$2:B$746,B1136,'Base bordo'!F$2:F$746,"DESLOCAMENTO VAZIO"),0)</f>
        <v>40.92</v>
      </c>
      <c r="R1136" s="10">
        <f>IFERROR(SUMIFS('Base bordo'!I$2:I$746,'Base bordo'!C$2:C$746,A1136,'Base bordo'!B$2:B$746,B1136,'Base bordo'!F$2:F$746,"DESLOCAMENTO VAZIO"),0)</f>
        <v>11</v>
      </c>
      <c r="S1136" s="30">
        <f t="shared" si="115"/>
        <v>3.72</v>
      </c>
      <c r="T1136" s="10">
        <f>IFERROR(SUMIFS('Base bordo'!H$2:H$746,'Base bordo'!C$2:C$746,A1136,'Base bordo'!B$2:B$746,B1136,'Base bordo'!F$2:F$746,"DESLOCAMENTO CARREGADO"),0)</f>
        <v>386.25</v>
      </c>
      <c r="U1136" s="10">
        <f>IFERROR(SUMIFS('Base bordo'!I$2:I$746,'Base bordo'!C$2:C$746,A1136,'Base bordo'!B$2:B$746,B1136,'Base bordo'!F$2:F$746,"DESLOCAMENTO CARREGADO"),0)</f>
        <v>103</v>
      </c>
      <c r="V1136" s="30">
        <f t="shared" si="116"/>
        <v>3.75</v>
      </c>
      <c r="W1136" s="9">
        <f t="shared" si="117"/>
        <v>5.1643192488262914E-2</v>
      </c>
      <c r="X1136" s="9">
        <f t="shared" si="118"/>
        <v>0.48356807511737088</v>
      </c>
      <c r="Y1136" s="9">
        <f t="shared" si="119"/>
        <v>0.46478873239436613</v>
      </c>
    </row>
    <row r="1137" spans="1:25" ht="15" customHeight="1" x14ac:dyDescent="0.35">
      <c r="A1137" s="52">
        <v>8013475</v>
      </c>
      <c r="B1137" s="51">
        <v>46123</v>
      </c>
      <c r="C1137" s="7" t="s">
        <v>124</v>
      </c>
      <c r="D1137" s="10">
        <f>IFERROR(SUMIFS('Base bordo'!G$2:G$746,'Base bordo'!C$2:C$746,A1137,'Base bordo'!B$2:B$746,B1137,'Base bordo'!F$2:F$746,"DESLOCAMENTO VAZIO"),0)</f>
        <v>3.0555555555555557E-3</v>
      </c>
      <c r="E1137" s="10">
        <f>IFERROR(SUMIFS('Base bordo'!G$2:G$746,'Base bordo'!C$2:C$746,A1137,'Base bordo'!B$2:B$746,B1137,'Base bordo'!F$2:F$746,"DESLOCAMENTO CARREGADO"),0)</f>
        <v>2.8611111111111111E-2</v>
      </c>
      <c r="F1137" s="10">
        <f>IFERROR(SUMIFS('Base bordo'!G$2:G$746,'Base bordo'!C$2:C$746,A1137,'Base bordo'!B$2:B$746,B1137,'Base bordo'!F$2:F$746,"DESLOCAMENTO"),0)</f>
        <v>0</v>
      </c>
      <c r="G1137" s="10">
        <f>IFERROR(SUMIFS('Base bordo'!G$2:G$746,'Base bordo'!C$2:C$746,A1137,'Base bordo'!B$2:B$746,B1137,'Base bordo'!F$2:F$746,"CARREGAMENTO"),0)</f>
        <v>0</v>
      </c>
      <c r="H1137" s="10">
        <f>IFERROR(SUMIFS('Base bordo'!G$2:G$746,'Base bordo'!C$2:C$746,A1137,'Base bordo'!B$2:B$746,B1137,'Base bordo'!F$2:F$746,"AGUARDANDO TRANSBORDO"),0)</f>
        <v>0</v>
      </c>
      <c r="I1137" s="10">
        <f>IFERROR(SUMIFS('Base bordo'!G$2:G$746,'Base bordo'!C$2:C$746,A1137,'Base bordo'!B$2:B$746,B1137,'Base bordo'!F$2:F$746,"PÁTIO INTERNO"),0)+IFERROR(SUMIFS('Base bordo'!G$2:G$746,'Base bordo'!C$2:C$746,A1137,'Base bordo'!B$2:B$746,B1137,'Base bordo'!F$2:F$746,"PÁTIO EXTERNO"),0)+IFERROR(SUMIFS('Base bordo'!G$2:G$746,'Base bordo'!C$2:C$746,A1137,'Base bordo'!B$2:B$746,B1137,'Base bordo'!F$2:F$746,"PATIO - RESERVA"),0)+IFERROR(SUMIFS('Base bordo'!G$2:G$746,'Base bordo'!C$2:C$746,A1137,'Base bordo'!B$2:B$746,B1137,'Base bordo'!F$2:F$746,"MANOBRA CARRETAS-PATIO"),0)</f>
        <v>2.75E-2</v>
      </c>
      <c r="J1137" s="10">
        <f>IFERROR(SUMIFS('Base bordo'!G$2:G$746,'Base bordo'!C$2:C$746,A1137,'Base bordo'!B$2:B$746,B1137,'Base bordo'!F$2:F$746,"BALANÇA - ENTRADA"),0)+IFERROR(SUMIFS('Base bordo'!G$2:G$746,'Base bordo'!C$2:C$746,A1137,'Base bordo'!B$2:B$746,B1137,'Base bordo'!F$2:F$746,"BALANÇA - SAÍDA"),0)</f>
        <v>0</v>
      </c>
      <c r="K1137" s="10">
        <f>IFERROR(SUMIFS('Base bordo'!G$2:G$746,'Base bordo'!C$2:C$746,A1137,'Base bordo'!B$2:B$746,B1137,'Base bordo'!F$2:F$746,"MAN PREVENTIVA - MECANICA"),0)+IFERROR(SUMIFS('Base bordo'!G$2:G$746,'Base bordo'!C$2:C$746,A1137,'Base bordo'!B$2:B$746,B1137,'Base bordo'!F$2:F$746,"MAN CORRETIVA - MECANICA"),0)</f>
        <v>0</v>
      </c>
      <c r="L1137" s="10">
        <f>IFERROR(SUMIFS('Base bordo'!G$2:G$746,'Base bordo'!C$2:C$746,A1137,'Base bordo'!B$2:B$746,B1137,'Base bordo'!F$2:F$746,"MANUTENCAO - T O"),0)+IFERROR(SUMIFS('Base bordo'!G$2:G$746,'Base bordo'!C$2:C$746,A1137,'Base bordo'!B$2:B$746,B1137,'Base bordo'!F$2:F$746,"MANUTENCAO BORRACHARIA"),0)+IFERROR(SUMIFS('Base bordo'!G$2:G$746,'Base bordo'!C$2:C$746,A1137,'Base bordo'!B$2:B$746,B1137,'Base bordo'!F$2:F$746,"MANUTENCAO EXTERNA  CONCESSIONARIA"),0)+IFERROR(SUMIFS('Base bordo'!G$2:G$746,'Base bordo'!C$2:C$746,A1137,'Base bordo'!B$2:B$746,B1137,'Base bordo'!F$2:F$746,"MANUTENCAO TELEMETRIA"),0)</f>
        <v>0</v>
      </c>
      <c r="M1137" s="10">
        <f>IFERROR(SUMIFS('Base bordo'!G$2:G$746,'Base bordo'!C$2:C$746,A1137,'Base bordo'!B$2:B$746,B1137,'Base bordo'!F$2:F$746,"AGUARDANDO MANUTENCAO"),0)</f>
        <v>0</v>
      </c>
      <c r="N1137" s="10">
        <f>IFERROR(SUMIFS('Base bordo'!G$2:G$746,'Base bordo'!C$2:C$746,A1137,'Base bordo'!B$2:B$746,B1137,'Base bordo'!F$2:F$746,"SEM APONTAMENTO"),0)</f>
        <v>0</v>
      </c>
      <c r="O1137" s="10">
        <f t="shared" si="114"/>
        <v>-6.9388939039072284E-18</v>
      </c>
      <c r="P1137" s="10">
        <f>IFERROR(SUMIFS('Base bordo'!G$2:G$746,'Base bordo'!C$2:C$746,A1137,'Base bordo'!B$2:B$746,B1137),0)</f>
        <v>5.9166666666666666E-2</v>
      </c>
      <c r="Q1137" s="10">
        <f>IFERROR(SUMIFS('Base bordo'!H$2:H$746,'Base bordo'!C$2:C$746,A1137,'Base bordo'!B$2:B$746,B1137,'Base bordo'!F$2:F$746,"DESLOCAMENTO VAZIO"),0)</f>
        <v>40.92</v>
      </c>
      <c r="R1137" s="10">
        <f>IFERROR(SUMIFS('Base bordo'!I$2:I$746,'Base bordo'!C$2:C$746,A1137,'Base bordo'!B$2:B$746,B1137,'Base bordo'!F$2:F$746,"DESLOCAMENTO VAZIO"),0)</f>
        <v>11</v>
      </c>
      <c r="S1137" s="30">
        <f t="shared" si="115"/>
        <v>3.72</v>
      </c>
      <c r="T1137" s="10">
        <f>IFERROR(SUMIFS('Base bordo'!H$2:H$746,'Base bordo'!C$2:C$746,A1137,'Base bordo'!B$2:B$746,B1137,'Base bordo'!F$2:F$746,"DESLOCAMENTO CARREGADO"),0)</f>
        <v>386.25</v>
      </c>
      <c r="U1137" s="10">
        <f>IFERROR(SUMIFS('Base bordo'!I$2:I$746,'Base bordo'!C$2:C$746,A1137,'Base bordo'!B$2:B$746,B1137,'Base bordo'!F$2:F$746,"DESLOCAMENTO CARREGADO"),0)</f>
        <v>103</v>
      </c>
      <c r="V1137" s="30">
        <f t="shared" si="116"/>
        <v>3.75</v>
      </c>
      <c r="W1137" s="9">
        <f t="shared" si="117"/>
        <v>5.1643192488262914E-2</v>
      </c>
      <c r="X1137" s="9">
        <f t="shared" si="118"/>
        <v>0.48356807511737088</v>
      </c>
      <c r="Y1137" s="9">
        <f t="shared" si="119"/>
        <v>0.46478873239436613</v>
      </c>
    </row>
    <row r="1138" spans="1:25" ht="15" customHeight="1" x14ac:dyDescent="0.35">
      <c r="A1138" s="52">
        <v>8013475</v>
      </c>
      <c r="B1138" s="51">
        <v>46123</v>
      </c>
      <c r="C1138" s="7" t="s">
        <v>124</v>
      </c>
      <c r="D1138" s="10">
        <f>IFERROR(SUMIFS('Base bordo'!G$2:G$746,'Base bordo'!C$2:C$746,A1138,'Base bordo'!B$2:B$746,B1138,'Base bordo'!F$2:F$746,"DESLOCAMENTO VAZIO"),0)</f>
        <v>3.0555555555555557E-3</v>
      </c>
      <c r="E1138" s="10">
        <f>IFERROR(SUMIFS('Base bordo'!G$2:G$746,'Base bordo'!C$2:C$746,A1138,'Base bordo'!B$2:B$746,B1138,'Base bordo'!F$2:F$746,"DESLOCAMENTO CARREGADO"),0)</f>
        <v>2.8611111111111111E-2</v>
      </c>
      <c r="F1138" s="10">
        <f>IFERROR(SUMIFS('Base bordo'!G$2:G$746,'Base bordo'!C$2:C$746,A1138,'Base bordo'!B$2:B$746,B1138,'Base bordo'!F$2:F$746,"DESLOCAMENTO"),0)</f>
        <v>0</v>
      </c>
      <c r="G1138" s="10">
        <f>IFERROR(SUMIFS('Base bordo'!G$2:G$746,'Base bordo'!C$2:C$746,A1138,'Base bordo'!B$2:B$746,B1138,'Base bordo'!F$2:F$746,"CARREGAMENTO"),0)</f>
        <v>0</v>
      </c>
      <c r="H1138" s="10">
        <f>IFERROR(SUMIFS('Base bordo'!G$2:G$746,'Base bordo'!C$2:C$746,A1138,'Base bordo'!B$2:B$746,B1138,'Base bordo'!F$2:F$746,"AGUARDANDO TRANSBORDO"),0)</f>
        <v>0</v>
      </c>
      <c r="I1138" s="10">
        <f>IFERROR(SUMIFS('Base bordo'!G$2:G$746,'Base bordo'!C$2:C$746,A1138,'Base bordo'!B$2:B$746,B1138,'Base bordo'!F$2:F$746,"PÁTIO INTERNO"),0)+IFERROR(SUMIFS('Base bordo'!G$2:G$746,'Base bordo'!C$2:C$746,A1138,'Base bordo'!B$2:B$746,B1138,'Base bordo'!F$2:F$746,"PÁTIO EXTERNO"),0)+IFERROR(SUMIFS('Base bordo'!G$2:G$746,'Base bordo'!C$2:C$746,A1138,'Base bordo'!B$2:B$746,B1138,'Base bordo'!F$2:F$746,"PATIO - RESERVA"),0)+IFERROR(SUMIFS('Base bordo'!G$2:G$746,'Base bordo'!C$2:C$746,A1138,'Base bordo'!B$2:B$746,B1138,'Base bordo'!F$2:F$746,"MANOBRA CARRETAS-PATIO"),0)</f>
        <v>2.75E-2</v>
      </c>
      <c r="J1138" s="10">
        <f>IFERROR(SUMIFS('Base bordo'!G$2:G$746,'Base bordo'!C$2:C$746,A1138,'Base bordo'!B$2:B$746,B1138,'Base bordo'!F$2:F$746,"BALANÇA - ENTRADA"),0)+IFERROR(SUMIFS('Base bordo'!G$2:G$746,'Base bordo'!C$2:C$746,A1138,'Base bordo'!B$2:B$746,B1138,'Base bordo'!F$2:F$746,"BALANÇA - SAÍDA"),0)</f>
        <v>0</v>
      </c>
      <c r="K1138" s="10">
        <f>IFERROR(SUMIFS('Base bordo'!G$2:G$746,'Base bordo'!C$2:C$746,A1138,'Base bordo'!B$2:B$746,B1138,'Base bordo'!F$2:F$746,"MAN PREVENTIVA - MECANICA"),0)+IFERROR(SUMIFS('Base bordo'!G$2:G$746,'Base bordo'!C$2:C$746,A1138,'Base bordo'!B$2:B$746,B1138,'Base bordo'!F$2:F$746,"MAN CORRETIVA - MECANICA"),0)</f>
        <v>0</v>
      </c>
      <c r="L1138" s="10">
        <f>IFERROR(SUMIFS('Base bordo'!G$2:G$746,'Base bordo'!C$2:C$746,A1138,'Base bordo'!B$2:B$746,B1138,'Base bordo'!F$2:F$746,"MANUTENCAO - T O"),0)+IFERROR(SUMIFS('Base bordo'!G$2:G$746,'Base bordo'!C$2:C$746,A1138,'Base bordo'!B$2:B$746,B1138,'Base bordo'!F$2:F$746,"MANUTENCAO BORRACHARIA"),0)+IFERROR(SUMIFS('Base bordo'!G$2:G$746,'Base bordo'!C$2:C$746,A1138,'Base bordo'!B$2:B$746,B1138,'Base bordo'!F$2:F$746,"MANUTENCAO EXTERNA  CONCESSIONARIA"),0)+IFERROR(SUMIFS('Base bordo'!G$2:G$746,'Base bordo'!C$2:C$746,A1138,'Base bordo'!B$2:B$746,B1138,'Base bordo'!F$2:F$746,"MANUTENCAO TELEMETRIA"),0)</f>
        <v>0</v>
      </c>
      <c r="M1138" s="10">
        <f>IFERROR(SUMIFS('Base bordo'!G$2:G$746,'Base bordo'!C$2:C$746,A1138,'Base bordo'!B$2:B$746,B1138,'Base bordo'!F$2:F$746,"AGUARDANDO MANUTENCAO"),0)</f>
        <v>0</v>
      </c>
      <c r="N1138" s="10">
        <f>IFERROR(SUMIFS('Base bordo'!G$2:G$746,'Base bordo'!C$2:C$746,A1138,'Base bordo'!B$2:B$746,B1138,'Base bordo'!F$2:F$746,"SEM APONTAMENTO"),0)</f>
        <v>0</v>
      </c>
      <c r="O1138" s="10">
        <f t="shared" si="114"/>
        <v>-6.9388939039072284E-18</v>
      </c>
      <c r="P1138" s="10">
        <f>IFERROR(SUMIFS('Base bordo'!G$2:G$746,'Base bordo'!C$2:C$746,A1138,'Base bordo'!B$2:B$746,B1138),0)</f>
        <v>5.9166666666666666E-2</v>
      </c>
      <c r="Q1138" s="10">
        <f>IFERROR(SUMIFS('Base bordo'!H$2:H$746,'Base bordo'!C$2:C$746,A1138,'Base bordo'!B$2:B$746,B1138,'Base bordo'!F$2:F$746,"DESLOCAMENTO VAZIO"),0)</f>
        <v>40.92</v>
      </c>
      <c r="R1138" s="10">
        <f>IFERROR(SUMIFS('Base bordo'!I$2:I$746,'Base bordo'!C$2:C$746,A1138,'Base bordo'!B$2:B$746,B1138,'Base bordo'!F$2:F$746,"DESLOCAMENTO VAZIO"),0)</f>
        <v>11</v>
      </c>
      <c r="S1138" s="30">
        <f t="shared" si="115"/>
        <v>3.72</v>
      </c>
      <c r="T1138" s="10">
        <f>IFERROR(SUMIFS('Base bordo'!H$2:H$746,'Base bordo'!C$2:C$746,A1138,'Base bordo'!B$2:B$746,B1138,'Base bordo'!F$2:F$746,"DESLOCAMENTO CARREGADO"),0)</f>
        <v>386.25</v>
      </c>
      <c r="U1138" s="10">
        <f>IFERROR(SUMIFS('Base bordo'!I$2:I$746,'Base bordo'!C$2:C$746,A1138,'Base bordo'!B$2:B$746,B1138,'Base bordo'!F$2:F$746,"DESLOCAMENTO CARREGADO"),0)</f>
        <v>103</v>
      </c>
      <c r="V1138" s="30">
        <f t="shared" si="116"/>
        <v>3.75</v>
      </c>
      <c r="W1138" s="9">
        <f t="shared" si="117"/>
        <v>5.1643192488262914E-2</v>
      </c>
      <c r="X1138" s="9">
        <f t="shared" si="118"/>
        <v>0.48356807511737088</v>
      </c>
      <c r="Y1138" s="9">
        <f t="shared" si="119"/>
        <v>0.46478873239436613</v>
      </c>
    </row>
    <row r="1139" spans="1:25" ht="15" customHeight="1" x14ac:dyDescent="0.35">
      <c r="A1139" s="52">
        <v>8013476</v>
      </c>
      <c r="B1139" s="51">
        <v>46123</v>
      </c>
      <c r="C1139" s="7" t="s">
        <v>124</v>
      </c>
      <c r="D1139" s="10">
        <f>IFERROR(SUMIFS('Base bordo'!G$2:G$746,'Base bordo'!C$2:C$746,A1139,'Base bordo'!B$2:B$746,B1139,'Base bordo'!F$2:F$746,"DESLOCAMENTO VAZIO"),0)</f>
        <v>1.3552777777777778</v>
      </c>
      <c r="E1139" s="10">
        <f>IFERROR(SUMIFS('Base bordo'!G$2:G$746,'Base bordo'!C$2:C$746,A1139,'Base bordo'!B$2:B$746,B1139,'Base bordo'!F$2:F$746,"DESLOCAMENTO CARREGADO"),0)</f>
        <v>1.9111111111111112</v>
      </c>
      <c r="F1139" s="10">
        <f>IFERROR(SUMIFS('Base bordo'!G$2:G$746,'Base bordo'!C$2:C$746,A1139,'Base bordo'!B$2:B$746,B1139,'Base bordo'!F$2:F$746,"DESLOCAMENTO"),0)</f>
        <v>0</v>
      </c>
      <c r="G1139" s="10">
        <f>IFERROR(SUMIFS('Base bordo'!G$2:G$746,'Base bordo'!C$2:C$746,A1139,'Base bordo'!B$2:B$746,B1139,'Base bordo'!F$2:F$746,"CARREGAMENTO"),0)</f>
        <v>0</v>
      </c>
      <c r="H1139" s="10">
        <f>IFERROR(SUMIFS('Base bordo'!G$2:G$746,'Base bordo'!C$2:C$746,A1139,'Base bordo'!B$2:B$746,B1139,'Base bordo'!F$2:F$746,"AGUARDANDO TRANSBORDO"),0)</f>
        <v>0.59861111111111109</v>
      </c>
      <c r="I1139" s="10">
        <f>IFERROR(SUMIFS('Base bordo'!G$2:G$746,'Base bordo'!C$2:C$746,A1139,'Base bordo'!B$2:B$746,B1139,'Base bordo'!F$2:F$746,"PÁTIO INTERNO"),0)+IFERROR(SUMIFS('Base bordo'!G$2:G$746,'Base bordo'!C$2:C$746,A1139,'Base bordo'!B$2:B$746,B1139,'Base bordo'!F$2:F$746,"PÁTIO EXTERNO"),0)+IFERROR(SUMIFS('Base bordo'!G$2:G$746,'Base bordo'!C$2:C$746,A1139,'Base bordo'!B$2:B$746,B1139,'Base bordo'!F$2:F$746,"PATIO - RESERVA"),0)+IFERROR(SUMIFS('Base bordo'!G$2:G$746,'Base bordo'!C$2:C$746,A1139,'Base bordo'!B$2:B$746,B1139,'Base bordo'!F$2:F$746,"MANOBRA CARRETAS-PATIO"),0)</f>
        <v>0</v>
      </c>
      <c r="J1139" s="10">
        <f>IFERROR(SUMIFS('Base bordo'!G$2:G$746,'Base bordo'!C$2:C$746,A1139,'Base bordo'!B$2:B$746,B1139,'Base bordo'!F$2:F$746,"BALANÇA - ENTRADA"),0)+IFERROR(SUMIFS('Base bordo'!G$2:G$746,'Base bordo'!C$2:C$746,A1139,'Base bordo'!B$2:B$746,B1139,'Base bordo'!F$2:F$746,"BALANÇA - SAÍDA"),0)</f>
        <v>0</v>
      </c>
      <c r="K1139" s="10">
        <f>IFERROR(SUMIFS('Base bordo'!G$2:G$746,'Base bordo'!C$2:C$746,A1139,'Base bordo'!B$2:B$746,B1139,'Base bordo'!F$2:F$746,"MAN PREVENTIVA - MECANICA"),0)+IFERROR(SUMIFS('Base bordo'!G$2:G$746,'Base bordo'!C$2:C$746,A1139,'Base bordo'!B$2:B$746,B1139,'Base bordo'!F$2:F$746,"MAN CORRETIVA - MECANICA"),0)</f>
        <v>0</v>
      </c>
      <c r="L1139" s="10">
        <f>IFERROR(SUMIFS('Base bordo'!G$2:G$746,'Base bordo'!C$2:C$746,A1139,'Base bordo'!B$2:B$746,B1139,'Base bordo'!F$2:F$746,"MANUTENCAO - T O"),0)+IFERROR(SUMIFS('Base bordo'!G$2:G$746,'Base bordo'!C$2:C$746,A1139,'Base bordo'!B$2:B$746,B1139,'Base bordo'!F$2:F$746,"MANUTENCAO BORRACHARIA"),0)+IFERROR(SUMIFS('Base bordo'!G$2:G$746,'Base bordo'!C$2:C$746,A1139,'Base bordo'!B$2:B$746,B1139,'Base bordo'!F$2:F$746,"MANUTENCAO EXTERNA  CONCESSIONARIA"),0)+IFERROR(SUMIFS('Base bordo'!G$2:G$746,'Base bordo'!C$2:C$746,A1139,'Base bordo'!B$2:B$746,B1139,'Base bordo'!F$2:F$746,"MANUTENCAO TELEMETRIA"),0)</f>
        <v>0</v>
      </c>
      <c r="M1139" s="10">
        <f>IFERROR(SUMIFS('Base bordo'!G$2:G$746,'Base bordo'!C$2:C$746,A1139,'Base bordo'!B$2:B$746,B1139,'Base bordo'!F$2:F$746,"AGUARDANDO MANUTENCAO"),0)</f>
        <v>0</v>
      </c>
      <c r="N1139" s="10">
        <f>IFERROR(SUMIFS('Base bordo'!G$2:G$746,'Base bordo'!C$2:C$746,A1139,'Base bordo'!B$2:B$746,B1139,'Base bordo'!F$2:F$746,"SEM APONTAMENTO"),0)</f>
        <v>0</v>
      </c>
      <c r="O1139" s="10">
        <f t="shared" si="114"/>
        <v>4.7222222222220722E-3</v>
      </c>
      <c r="P1139" s="10">
        <f>IFERROR(SUMIFS('Base bordo'!G$2:G$746,'Base bordo'!C$2:C$746,A1139,'Base bordo'!B$2:B$746,B1139),0)</f>
        <v>3.8697222222222218</v>
      </c>
      <c r="Q1139" s="10">
        <f>IFERROR(SUMIFS('Base bordo'!H$2:H$746,'Base bordo'!C$2:C$746,A1139,'Base bordo'!B$2:B$746,B1139,'Base bordo'!F$2:F$746,"DESLOCAMENTO VAZIO"),0)</f>
        <v>175902.06</v>
      </c>
      <c r="R1139" s="10">
        <f>IFERROR(SUMIFS('Base bordo'!I$2:I$746,'Base bordo'!C$2:C$746,A1139,'Base bordo'!B$2:B$746,B1139,'Base bordo'!F$2:F$746,"DESLOCAMENTO VAZIO"),0)</f>
        <v>4879</v>
      </c>
      <c r="S1139" s="30">
        <f t="shared" si="115"/>
        <v>36.052891986062718</v>
      </c>
      <c r="T1139" s="10">
        <f>IFERROR(SUMIFS('Base bordo'!H$2:H$746,'Base bordo'!C$2:C$746,A1139,'Base bordo'!B$2:B$746,B1139,'Base bordo'!F$2:F$746,"DESLOCAMENTO CARREGADO"),0)</f>
        <v>178464.26</v>
      </c>
      <c r="U1139" s="10">
        <f>IFERROR(SUMIFS('Base bordo'!I$2:I$746,'Base bordo'!C$2:C$746,A1139,'Base bordo'!B$2:B$746,B1139,'Base bordo'!F$2:F$746,"DESLOCAMENTO CARREGADO"),0)</f>
        <v>6880</v>
      </c>
      <c r="V1139" s="30">
        <f t="shared" si="116"/>
        <v>25.939572674418606</v>
      </c>
      <c r="W1139" s="9">
        <f t="shared" si="117"/>
        <v>0.35022611442107532</v>
      </c>
      <c r="X1139" s="9">
        <f t="shared" si="118"/>
        <v>0.49386260857081338</v>
      </c>
      <c r="Y1139" s="9">
        <f t="shared" si="119"/>
        <v>0.15591127700811136</v>
      </c>
    </row>
    <row r="1140" spans="1:25" ht="15" customHeight="1" x14ac:dyDescent="0.35">
      <c r="A1140" s="52">
        <v>8013476</v>
      </c>
      <c r="B1140" s="51">
        <v>46123</v>
      </c>
      <c r="C1140" s="7" t="s">
        <v>124</v>
      </c>
      <c r="D1140" s="10">
        <f>IFERROR(SUMIFS('Base bordo'!G$2:G$746,'Base bordo'!C$2:C$746,A1140,'Base bordo'!B$2:B$746,B1140,'Base bordo'!F$2:F$746,"DESLOCAMENTO VAZIO"),0)</f>
        <v>1.3552777777777778</v>
      </c>
      <c r="E1140" s="10">
        <f>IFERROR(SUMIFS('Base bordo'!G$2:G$746,'Base bordo'!C$2:C$746,A1140,'Base bordo'!B$2:B$746,B1140,'Base bordo'!F$2:F$746,"DESLOCAMENTO CARREGADO"),0)</f>
        <v>1.9111111111111112</v>
      </c>
      <c r="F1140" s="10">
        <f>IFERROR(SUMIFS('Base bordo'!G$2:G$746,'Base bordo'!C$2:C$746,A1140,'Base bordo'!B$2:B$746,B1140,'Base bordo'!F$2:F$746,"DESLOCAMENTO"),0)</f>
        <v>0</v>
      </c>
      <c r="G1140" s="10">
        <f>IFERROR(SUMIFS('Base bordo'!G$2:G$746,'Base bordo'!C$2:C$746,A1140,'Base bordo'!B$2:B$746,B1140,'Base bordo'!F$2:F$746,"CARREGAMENTO"),0)</f>
        <v>0</v>
      </c>
      <c r="H1140" s="10">
        <f>IFERROR(SUMIFS('Base bordo'!G$2:G$746,'Base bordo'!C$2:C$746,A1140,'Base bordo'!B$2:B$746,B1140,'Base bordo'!F$2:F$746,"AGUARDANDO TRANSBORDO"),0)</f>
        <v>0.59861111111111109</v>
      </c>
      <c r="I1140" s="10">
        <f>IFERROR(SUMIFS('Base bordo'!G$2:G$746,'Base bordo'!C$2:C$746,A1140,'Base bordo'!B$2:B$746,B1140,'Base bordo'!F$2:F$746,"PÁTIO INTERNO"),0)+IFERROR(SUMIFS('Base bordo'!G$2:G$746,'Base bordo'!C$2:C$746,A1140,'Base bordo'!B$2:B$746,B1140,'Base bordo'!F$2:F$746,"PÁTIO EXTERNO"),0)+IFERROR(SUMIFS('Base bordo'!G$2:G$746,'Base bordo'!C$2:C$746,A1140,'Base bordo'!B$2:B$746,B1140,'Base bordo'!F$2:F$746,"PATIO - RESERVA"),0)+IFERROR(SUMIFS('Base bordo'!G$2:G$746,'Base bordo'!C$2:C$746,A1140,'Base bordo'!B$2:B$746,B1140,'Base bordo'!F$2:F$746,"MANOBRA CARRETAS-PATIO"),0)</f>
        <v>0</v>
      </c>
      <c r="J1140" s="10">
        <f>IFERROR(SUMIFS('Base bordo'!G$2:G$746,'Base bordo'!C$2:C$746,A1140,'Base bordo'!B$2:B$746,B1140,'Base bordo'!F$2:F$746,"BALANÇA - ENTRADA"),0)+IFERROR(SUMIFS('Base bordo'!G$2:G$746,'Base bordo'!C$2:C$746,A1140,'Base bordo'!B$2:B$746,B1140,'Base bordo'!F$2:F$746,"BALANÇA - SAÍDA"),0)</f>
        <v>0</v>
      </c>
      <c r="K1140" s="10">
        <f>IFERROR(SUMIFS('Base bordo'!G$2:G$746,'Base bordo'!C$2:C$746,A1140,'Base bordo'!B$2:B$746,B1140,'Base bordo'!F$2:F$746,"MAN PREVENTIVA - MECANICA"),0)+IFERROR(SUMIFS('Base bordo'!G$2:G$746,'Base bordo'!C$2:C$746,A1140,'Base bordo'!B$2:B$746,B1140,'Base bordo'!F$2:F$746,"MAN CORRETIVA - MECANICA"),0)</f>
        <v>0</v>
      </c>
      <c r="L1140" s="10">
        <f>IFERROR(SUMIFS('Base bordo'!G$2:G$746,'Base bordo'!C$2:C$746,A1140,'Base bordo'!B$2:B$746,B1140,'Base bordo'!F$2:F$746,"MANUTENCAO - T O"),0)+IFERROR(SUMIFS('Base bordo'!G$2:G$746,'Base bordo'!C$2:C$746,A1140,'Base bordo'!B$2:B$746,B1140,'Base bordo'!F$2:F$746,"MANUTENCAO BORRACHARIA"),0)+IFERROR(SUMIFS('Base bordo'!G$2:G$746,'Base bordo'!C$2:C$746,A1140,'Base bordo'!B$2:B$746,B1140,'Base bordo'!F$2:F$746,"MANUTENCAO EXTERNA  CONCESSIONARIA"),0)+IFERROR(SUMIFS('Base bordo'!G$2:G$746,'Base bordo'!C$2:C$746,A1140,'Base bordo'!B$2:B$746,B1140,'Base bordo'!F$2:F$746,"MANUTENCAO TELEMETRIA"),0)</f>
        <v>0</v>
      </c>
      <c r="M1140" s="10">
        <f>IFERROR(SUMIFS('Base bordo'!G$2:G$746,'Base bordo'!C$2:C$746,A1140,'Base bordo'!B$2:B$746,B1140,'Base bordo'!F$2:F$746,"AGUARDANDO MANUTENCAO"),0)</f>
        <v>0</v>
      </c>
      <c r="N1140" s="10">
        <f>IFERROR(SUMIFS('Base bordo'!G$2:G$746,'Base bordo'!C$2:C$746,A1140,'Base bordo'!B$2:B$746,B1140,'Base bordo'!F$2:F$746,"SEM APONTAMENTO"),0)</f>
        <v>0</v>
      </c>
      <c r="O1140" s="10">
        <f t="shared" si="114"/>
        <v>4.7222222222220722E-3</v>
      </c>
      <c r="P1140" s="10">
        <f>IFERROR(SUMIFS('Base bordo'!G$2:G$746,'Base bordo'!C$2:C$746,A1140,'Base bordo'!B$2:B$746,B1140),0)</f>
        <v>3.8697222222222218</v>
      </c>
      <c r="Q1140" s="10">
        <f>IFERROR(SUMIFS('Base bordo'!H$2:H$746,'Base bordo'!C$2:C$746,A1140,'Base bordo'!B$2:B$746,B1140,'Base bordo'!F$2:F$746,"DESLOCAMENTO VAZIO"),0)</f>
        <v>175902.06</v>
      </c>
      <c r="R1140" s="10">
        <f>IFERROR(SUMIFS('Base bordo'!I$2:I$746,'Base bordo'!C$2:C$746,A1140,'Base bordo'!B$2:B$746,B1140,'Base bordo'!F$2:F$746,"DESLOCAMENTO VAZIO"),0)</f>
        <v>4879</v>
      </c>
      <c r="S1140" s="30">
        <f t="shared" si="115"/>
        <v>36.052891986062718</v>
      </c>
      <c r="T1140" s="10">
        <f>IFERROR(SUMIFS('Base bordo'!H$2:H$746,'Base bordo'!C$2:C$746,A1140,'Base bordo'!B$2:B$746,B1140,'Base bordo'!F$2:F$746,"DESLOCAMENTO CARREGADO"),0)</f>
        <v>178464.26</v>
      </c>
      <c r="U1140" s="10">
        <f>IFERROR(SUMIFS('Base bordo'!I$2:I$746,'Base bordo'!C$2:C$746,A1140,'Base bordo'!B$2:B$746,B1140,'Base bordo'!F$2:F$746,"DESLOCAMENTO CARREGADO"),0)</f>
        <v>6880</v>
      </c>
      <c r="V1140" s="30">
        <f t="shared" si="116"/>
        <v>25.939572674418606</v>
      </c>
      <c r="W1140" s="9">
        <f t="shared" si="117"/>
        <v>0.35022611442107532</v>
      </c>
      <c r="X1140" s="9">
        <f t="shared" si="118"/>
        <v>0.49386260857081338</v>
      </c>
      <c r="Y1140" s="9">
        <f t="shared" si="119"/>
        <v>0.15591127700811136</v>
      </c>
    </row>
    <row r="1141" spans="1:25" ht="15" customHeight="1" x14ac:dyDescent="0.35">
      <c r="A1141" s="52">
        <v>8013476</v>
      </c>
      <c r="B1141" s="51">
        <v>46123</v>
      </c>
      <c r="C1141" s="7" t="s">
        <v>124</v>
      </c>
      <c r="D1141" s="10">
        <f>IFERROR(SUMIFS('Base bordo'!G$2:G$746,'Base bordo'!C$2:C$746,A1141,'Base bordo'!B$2:B$746,B1141,'Base bordo'!F$2:F$746,"DESLOCAMENTO VAZIO"),0)</f>
        <v>1.3552777777777778</v>
      </c>
      <c r="E1141" s="10">
        <f>IFERROR(SUMIFS('Base bordo'!G$2:G$746,'Base bordo'!C$2:C$746,A1141,'Base bordo'!B$2:B$746,B1141,'Base bordo'!F$2:F$746,"DESLOCAMENTO CARREGADO"),0)</f>
        <v>1.9111111111111112</v>
      </c>
      <c r="F1141" s="10">
        <f>IFERROR(SUMIFS('Base bordo'!G$2:G$746,'Base bordo'!C$2:C$746,A1141,'Base bordo'!B$2:B$746,B1141,'Base bordo'!F$2:F$746,"DESLOCAMENTO"),0)</f>
        <v>0</v>
      </c>
      <c r="G1141" s="10">
        <f>IFERROR(SUMIFS('Base bordo'!G$2:G$746,'Base bordo'!C$2:C$746,A1141,'Base bordo'!B$2:B$746,B1141,'Base bordo'!F$2:F$746,"CARREGAMENTO"),0)</f>
        <v>0</v>
      </c>
      <c r="H1141" s="10">
        <f>IFERROR(SUMIFS('Base bordo'!G$2:G$746,'Base bordo'!C$2:C$746,A1141,'Base bordo'!B$2:B$746,B1141,'Base bordo'!F$2:F$746,"AGUARDANDO TRANSBORDO"),0)</f>
        <v>0.59861111111111109</v>
      </c>
      <c r="I1141" s="10">
        <f>IFERROR(SUMIFS('Base bordo'!G$2:G$746,'Base bordo'!C$2:C$746,A1141,'Base bordo'!B$2:B$746,B1141,'Base bordo'!F$2:F$746,"PÁTIO INTERNO"),0)+IFERROR(SUMIFS('Base bordo'!G$2:G$746,'Base bordo'!C$2:C$746,A1141,'Base bordo'!B$2:B$746,B1141,'Base bordo'!F$2:F$746,"PÁTIO EXTERNO"),0)+IFERROR(SUMIFS('Base bordo'!G$2:G$746,'Base bordo'!C$2:C$746,A1141,'Base bordo'!B$2:B$746,B1141,'Base bordo'!F$2:F$746,"PATIO - RESERVA"),0)+IFERROR(SUMIFS('Base bordo'!G$2:G$746,'Base bordo'!C$2:C$746,A1141,'Base bordo'!B$2:B$746,B1141,'Base bordo'!F$2:F$746,"MANOBRA CARRETAS-PATIO"),0)</f>
        <v>0</v>
      </c>
      <c r="J1141" s="10">
        <f>IFERROR(SUMIFS('Base bordo'!G$2:G$746,'Base bordo'!C$2:C$746,A1141,'Base bordo'!B$2:B$746,B1141,'Base bordo'!F$2:F$746,"BALANÇA - ENTRADA"),0)+IFERROR(SUMIFS('Base bordo'!G$2:G$746,'Base bordo'!C$2:C$746,A1141,'Base bordo'!B$2:B$746,B1141,'Base bordo'!F$2:F$746,"BALANÇA - SAÍDA"),0)</f>
        <v>0</v>
      </c>
      <c r="K1141" s="10">
        <f>IFERROR(SUMIFS('Base bordo'!G$2:G$746,'Base bordo'!C$2:C$746,A1141,'Base bordo'!B$2:B$746,B1141,'Base bordo'!F$2:F$746,"MAN PREVENTIVA - MECANICA"),0)+IFERROR(SUMIFS('Base bordo'!G$2:G$746,'Base bordo'!C$2:C$746,A1141,'Base bordo'!B$2:B$746,B1141,'Base bordo'!F$2:F$746,"MAN CORRETIVA - MECANICA"),0)</f>
        <v>0</v>
      </c>
      <c r="L1141" s="10">
        <f>IFERROR(SUMIFS('Base bordo'!G$2:G$746,'Base bordo'!C$2:C$746,A1141,'Base bordo'!B$2:B$746,B1141,'Base bordo'!F$2:F$746,"MANUTENCAO - T O"),0)+IFERROR(SUMIFS('Base bordo'!G$2:G$746,'Base bordo'!C$2:C$746,A1141,'Base bordo'!B$2:B$746,B1141,'Base bordo'!F$2:F$746,"MANUTENCAO BORRACHARIA"),0)+IFERROR(SUMIFS('Base bordo'!G$2:G$746,'Base bordo'!C$2:C$746,A1141,'Base bordo'!B$2:B$746,B1141,'Base bordo'!F$2:F$746,"MANUTENCAO EXTERNA  CONCESSIONARIA"),0)+IFERROR(SUMIFS('Base bordo'!G$2:G$746,'Base bordo'!C$2:C$746,A1141,'Base bordo'!B$2:B$746,B1141,'Base bordo'!F$2:F$746,"MANUTENCAO TELEMETRIA"),0)</f>
        <v>0</v>
      </c>
      <c r="M1141" s="10">
        <f>IFERROR(SUMIFS('Base bordo'!G$2:G$746,'Base bordo'!C$2:C$746,A1141,'Base bordo'!B$2:B$746,B1141,'Base bordo'!F$2:F$746,"AGUARDANDO MANUTENCAO"),0)</f>
        <v>0</v>
      </c>
      <c r="N1141" s="10">
        <f>IFERROR(SUMIFS('Base bordo'!G$2:G$746,'Base bordo'!C$2:C$746,A1141,'Base bordo'!B$2:B$746,B1141,'Base bordo'!F$2:F$746,"SEM APONTAMENTO"),0)</f>
        <v>0</v>
      </c>
      <c r="O1141" s="10">
        <f t="shared" si="114"/>
        <v>4.7222222222220722E-3</v>
      </c>
      <c r="P1141" s="10">
        <f>IFERROR(SUMIFS('Base bordo'!G$2:G$746,'Base bordo'!C$2:C$746,A1141,'Base bordo'!B$2:B$746,B1141),0)</f>
        <v>3.8697222222222218</v>
      </c>
      <c r="Q1141" s="10">
        <f>IFERROR(SUMIFS('Base bordo'!H$2:H$746,'Base bordo'!C$2:C$746,A1141,'Base bordo'!B$2:B$746,B1141,'Base bordo'!F$2:F$746,"DESLOCAMENTO VAZIO"),0)</f>
        <v>175902.06</v>
      </c>
      <c r="R1141" s="10">
        <f>IFERROR(SUMIFS('Base bordo'!I$2:I$746,'Base bordo'!C$2:C$746,A1141,'Base bordo'!B$2:B$746,B1141,'Base bordo'!F$2:F$746,"DESLOCAMENTO VAZIO"),0)</f>
        <v>4879</v>
      </c>
      <c r="S1141" s="30">
        <f t="shared" si="115"/>
        <v>36.052891986062718</v>
      </c>
      <c r="T1141" s="10">
        <f>IFERROR(SUMIFS('Base bordo'!H$2:H$746,'Base bordo'!C$2:C$746,A1141,'Base bordo'!B$2:B$746,B1141,'Base bordo'!F$2:F$746,"DESLOCAMENTO CARREGADO"),0)</f>
        <v>178464.26</v>
      </c>
      <c r="U1141" s="10">
        <f>IFERROR(SUMIFS('Base bordo'!I$2:I$746,'Base bordo'!C$2:C$746,A1141,'Base bordo'!B$2:B$746,B1141,'Base bordo'!F$2:F$746,"DESLOCAMENTO CARREGADO"),0)</f>
        <v>6880</v>
      </c>
      <c r="V1141" s="30">
        <f t="shared" si="116"/>
        <v>25.939572674418606</v>
      </c>
      <c r="W1141" s="9">
        <f t="shared" si="117"/>
        <v>0.35022611442107532</v>
      </c>
      <c r="X1141" s="9">
        <f t="shared" si="118"/>
        <v>0.49386260857081338</v>
      </c>
      <c r="Y1141" s="9">
        <f t="shared" si="119"/>
        <v>0.15591127700811136</v>
      </c>
    </row>
    <row r="1142" spans="1:25" ht="15" customHeight="1" x14ac:dyDescent="0.35">
      <c r="A1142" s="52">
        <v>8013476</v>
      </c>
      <c r="B1142" s="51">
        <v>46123</v>
      </c>
      <c r="C1142" s="7" t="s">
        <v>124</v>
      </c>
      <c r="D1142" s="10">
        <f>IFERROR(SUMIFS('Base bordo'!G$2:G$746,'Base bordo'!C$2:C$746,A1142,'Base bordo'!B$2:B$746,B1142,'Base bordo'!F$2:F$746,"DESLOCAMENTO VAZIO"),0)</f>
        <v>1.3552777777777778</v>
      </c>
      <c r="E1142" s="10">
        <f>IFERROR(SUMIFS('Base bordo'!G$2:G$746,'Base bordo'!C$2:C$746,A1142,'Base bordo'!B$2:B$746,B1142,'Base bordo'!F$2:F$746,"DESLOCAMENTO CARREGADO"),0)</f>
        <v>1.9111111111111112</v>
      </c>
      <c r="F1142" s="10">
        <f>IFERROR(SUMIFS('Base bordo'!G$2:G$746,'Base bordo'!C$2:C$746,A1142,'Base bordo'!B$2:B$746,B1142,'Base bordo'!F$2:F$746,"DESLOCAMENTO"),0)</f>
        <v>0</v>
      </c>
      <c r="G1142" s="10">
        <f>IFERROR(SUMIFS('Base bordo'!G$2:G$746,'Base bordo'!C$2:C$746,A1142,'Base bordo'!B$2:B$746,B1142,'Base bordo'!F$2:F$746,"CARREGAMENTO"),0)</f>
        <v>0</v>
      </c>
      <c r="H1142" s="10">
        <f>IFERROR(SUMIFS('Base bordo'!G$2:G$746,'Base bordo'!C$2:C$746,A1142,'Base bordo'!B$2:B$746,B1142,'Base bordo'!F$2:F$746,"AGUARDANDO TRANSBORDO"),0)</f>
        <v>0.59861111111111109</v>
      </c>
      <c r="I1142" s="10">
        <f>IFERROR(SUMIFS('Base bordo'!G$2:G$746,'Base bordo'!C$2:C$746,A1142,'Base bordo'!B$2:B$746,B1142,'Base bordo'!F$2:F$746,"PÁTIO INTERNO"),0)+IFERROR(SUMIFS('Base bordo'!G$2:G$746,'Base bordo'!C$2:C$746,A1142,'Base bordo'!B$2:B$746,B1142,'Base bordo'!F$2:F$746,"PÁTIO EXTERNO"),0)+IFERROR(SUMIFS('Base bordo'!G$2:G$746,'Base bordo'!C$2:C$746,A1142,'Base bordo'!B$2:B$746,B1142,'Base bordo'!F$2:F$746,"PATIO - RESERVA"),0)+IFERROR(SUMIFS('Base bordo'!G$2:G$746,'Base bordo'!C$2:C$746,A1142,'Base bordo'!B$2:B$746,B1142,'Base bordo'!F$2:F$746,"MANOBRA CARRETAS-PATIO"),0)</f>
        <v>0</v>
      </c>
      <c r="J1142" s="10">
        <f>IFERROR(SUMIFS('Base bordo'!G$2:G$746,'Base bordo'!C$2:C$746,A1142,'Base bordo'!B$2:B$746,B1142,'Base bordo'!F$2:F$746,"BALANÇA - ENTRADA"),0)+IFERROR(SUMIFS('Base bordo'!G$2:G$746,'Base bordo'!C$2:C$746,A1142,'Base bordo'!B$2:B$746,B1142,'Base bordo'!F$2:F$746,"BALANÇA - SAÍDA"),0)</f>
        <v>0</v>
      </c>
      <c r="K1142" s="10">
        <f>IFERROR(SUMIFS('Base bordo'!G$2:G$746,'Base bordo'!C$2:C$746,A1142,'Base bordo'!B$2:B$746,B1142,'Base bordo'!F$2:F$746,"MAN PREVENTIVA - MECANICA"),0)+IFERROR(SUMIFS('Base bordo'!G$2:G$746,'Base bordo'!C$2:C$746,A1142,'Base bordo'!B$2:B$746,B1142,'Base bordo'!F$2:F$746,"MAN CORRETIVA - MECANICA"),0)</f>
        <v>0</v>
      </c>
      <c r="L1142" s="10">
        <f>IFERROR(SUMIFS('Base bordo'!G$2:G$746,'Base bordo'!C$2:C$746,A1142,'Base bordo'!B$2:B$746,B1142,'Base bordo'!F$2:F$746,"MANUTENCAO - T O"),0)+IFERROR(SUMIFS('Base bordo'!G$2:G$746,'Base bordo'!C$2:C$746,A1142,'Base bordo'!B$2:B$746,B1142,'Base bordo'!F$2:F$746,"MANUTENCAO BORRACHARIA"),0)+IFERROR(SUMIFS('Base bordo'!G$2:G$746,'Base bordo'!C$2:C$746,A1142,'Base bordo'!B$2:B$746,B1142,'Base bordo'!F$2:F$746,"MANUTENCAO EXTERNA  CONCESSIONARIA"),0)+IFERROR(SUMIFS('Base bordo'!G$2:G$746,'Base bordo'!C$2:C$746,A1142,'Base bordo'!B$2:B$746,B1142,'Base bordo'!F$2:F$746,"MANUTENCAO TELEMETRIA"),0)</f>
        <v>0</v>
      </c>
      <c r="M1142" s="10">
        <f>IFERROR(SUMIFS('Base bordo'!G$2:G$746,'Base bordo'!C$2:C$746,A1142,'Base bordo'!B$2:B$746,B1142,'Base bordo'!F$2:F$746,"AGUARDANDO MANUTENCAO"),0)</f>
        <v>0</v>
      </c>
      <c r="N1142" s="10">
        <f>IFERROR(SUMIFS('Base bordo'!G$2:G$746,'Base bordo'!C$2:C$746,A1142,'Base bordo'!B$2:B$746,B1142,'Base bordo'!F$2:F$746,"SEM APONTAMENTO"),0)</f>
        <v>0</v>
      </c>
      <c r="O1142" s="10">
        <f t="shared" si="114"/>
        <v>4.7222222222220722E-3</v>
      </c>
      <c r="P1142" s="10">
        <f>IFERROR(SUMIFS('Base bordo'!G$2:G$746,'Base bordo'!C$2:C$746,A1142,'Base bordo'!B$2:B$746,B1142),0)</f>
        <v>3.8697222222222218</v>
      </c>
      <c r="Q1142" s="10">
        <f>IFERROR(SUMIFS('Base bordo'!H$2:H$746,'Base bordo'!C$2:C$746,A1142,'Base bordo'!B$2:B$746,B1142,'Base bordo'!F$2:F$746,"DESLOCAMENTO VAZIO"),0)</f>
        <v>175902.06</v>
      </c>
      <c r="R1142" s="10">
        <f>IFERROR(SUMIFS('Base bordo'!I$2:I$746,'Base bordo'!C$2:C$746,A1142,'Base bordo'!B$2:B$746,B1142,'Base bordo'!F$2:F$746,"DESLOCAMENTO VAZIO"),0)</f>
        <v>4879</v>
      </c>
      <c r="S1142" s="30">
        <f t="shared" si="115"/>
        <v>36.052891986062718</v>
      </c>
      <c r="T1142" s="10">
        <f>IFERROR(SUMIFS('Base bordo'!H$2:H$746,'Base bordo'!C$2:C$746,A1142,'Base bordo'!B$2:B$746,B1142,'Base bordo'!F$2:F$746,"DESLOCAMENTO CARREGADO"),0)</f>
        <v>178464.26</v>
      </c>
      <c r="U1142" s="10">
        <f>IFERROR(SUMIFS('Base bordo'!I$2:I$746,'Base bordo'!C$2:C$746,A1142,'Base bordo'!B$2:B$746,B1142,'Base bordo'!F$2:F$746,"DESLOCAMENTO CARREGADO"),0)</f>
        <v>6880</v>
      </c>
      <c r="V1142" s="30">
        <f t="shared" si="116"/>
        <v>25.939572674418606</v>
      </c>
      <c r="W1142" s="9">
        <f t="shared" si="117"/>
        <v>0.35022611442107532</v>
      </c>
      <c r="X1142" s="9">
        <f t="shared" si="118"/>
        <v>0.49386260857081338</v>
      </c>
      <c r="Y1142" s="9">
        <f t="shared" si="119"/>
        <v>0.15591127700811136</v>
      </c>
    </row>
    <row r="1143" spans="1:25" ht="15" customHeight="1" x14ac:dyDescent="0.35">
      <c r="A1143" s="52">
        <v>8013478</v>
      </c>
      <c r="B1143" s="51">
        <v>46123</v>
      </c>
      <c r="C1143" s="7" t="s">
        <v>124</v>
      </c>
      <c r="D1143" s="10">
        <f>IFERROR(SUMIFS('Base bordo'!G$2:G$746,'Base bordo'!C$2:C$746,A1143,'Base bordo'!B$2:B$746,B1143,'Base bordo'!F$2:F$746,"DESLOCAMENTO VAZIO"),0)</f>
        <v>2.4488888888888889</v>
      </c>
      <c r="E1143" s="10">
        <f>IFERROR(SUMIFS('Base bordo'!G$2:G$746,'Base bordo'!C$2:C$746,A1143,'Base bordo'!B$2:B$746,B1143,'Base bordo'!F$2:F$746,"DESLOCAMENTO CARREGADO"),0)</f>
        <v>2.4197222222222221</v>
      </c>
      <c r="F1143" s="10">
        <f>IFERROR(SUMIFS('Base bordo'!G$2:G$746,'Base bordo'!C$2:C$746,A1143,'Base bordo'!B$2:B$746,B1143,'Base bordo'!F$2:F$746,"DESLOCAMENTO"),0)</f>
        <v>0</v>
      </c>
      <c r="G1143" s="10">
        <f>IFERROR(SUMIFS('Base bordo'!G$2:G$746,'Base bordo'!C$2:C$746,A1143,'Base bordo'!B$2:B$746,B1143,'Base bordo'!F$2:F$746,"CARREGAMENTO"),0)</f>
        <v>0</v>
      </c>
      <c r="H1143" s="10">
        <f>IFERROR(SUMIFS('Base bordo'!G$2:G$746,'Base bordo'!C$2:C$746,A1143,'Base bordo'!B$2:B$746,B1143,'Base bordo'!F$2:F$746,"AGUARDANDO TRANSBORDO"),0)</f>
        <v>0.2013888888888889</v>
      </c>
      <c r="I1143" s="10">
        <f>IFERROR(SUMIFS('Base bordo'!G$2:G$746,'Base bordo'!C$2:C$746,A1143,'Base bordo'!B$2:B$746,B1143,'Base bordo'!F$2:F$746,"PÁTIO INTERNO"),0)+IFERROR(SUMIFS('Base bordo'!G$2:G$746,'Base bordo'!C$2:C$746,A1143,'Base bordo'!B$2:B$746,B1143,'Base bordo'!F$2:F$746,"PÁTIO EXTERNO"),0)+IFERROR(SUMIFS('Base bordo'!G$2:G$746,'Base bordo'!C$2:C$746,A1143,'Base bordo'!B$2:B$746,B1143,'Base bordo'!F$2:F$746,"PATIO - RESERVA"),0)+IFERROR(SUMIFS('Base bordo'!G$2:G$746,'Base bordo'!C$2:C$746,A1143,'Base bordo'!B$2:B$746,B1143,'Base bordo'!F$2:F$746,"MANOBRA CARRETAS-PATIO"),0)</f>
        <v>0.60305555555555557</v>
      </c>
      <c r="J1143" s="10">
        <f>IFERROR(SUMIFS('Base bordo'!G$2:G$746,'Base bordo'!C$2:C$746,A1143,'Base bordo'!B$2:B$746,B1143,'Base bordo'!F$2:F$746,"BALANÇA - ENTRADA"),0)+IFERROR(SUMIFS('Base bordo'!G$2:G$746,'Base bordo'!C$2:C$746,A1143,'Base bordo'!B$2:B$746,B1143,'Base bordo'!F$2:F$746,"BALANÇA - SAÍDA"),0)</f>
        <v>0</v>
      </c>
      <c r="K1143" s="10">
        <f>IFERROR(SUMIFS('Base bordo'!G$2:G$746,'Base bordo'!C$2:C$746,A1143,'Base bordo'!B$2:B$746,B1143,'Base bordo'!F$2:F$746,"MAN PREVENTIVA - MECANICA"),0)+IFERROR(SUMIFS('Base bordo'!G$2:G$746,'Base bordo'!C$2:C$746,A1143,'Base bordo'!B$2:B$746,B1143,'Base bordo'!F$2:F$746,"MAN CORRETIVA - MECANICA"),0)</f>
        <v>0</v>
      </c>
      <c r="L1143" s="10">
        <f>IFERROR(SUMIFS('Base bordo'!G$2:G$746,'Base bordo'!C$2:C$746,A1143,'Base bordo'!B$2:B$746,B1143,'Base bordo'!F$2:F$746,"MANUTENCAO - T O"),0)+IFERROR(SUMIFS('Base bordo'!G$2:G$746,'Base bordo'!C$2:C$746,A1143,'Base bordo'!B$2:B$746,B1143,'Base bordo'!F$2:F$746,"MANUTENCAO BORRACHARIA"),0)+IFERROR(SUMIFS('Base bordo'!G$2:G$746,'Base bordo'!C$2:C$746,A1143,'Base bordo'!B$2:B$746,B1143,'Base bordo'!F$2:F$746,"MANUTENCAO EXTERNA  CONCESSIONARIA"),0)+IFERROR(SUMIFS('Base bordo'!G$2:G$746,'Base bordo'!C$2:C$746,A1143,'Base bordo'!B$2:B$746,B1143,'Base bordo'!F$2:F$746,"MANUTENCAO TELEMETRIA"),0)</f>
        <v>0</v>
      </c>
      <c r="M1143" s="10">
        <f>IFERROR(SUMIFS('Base bordo'!G$2:G$746,'Base bordo'!C$2:C$746,A1143,'Base bordo'!B$2:B$746,B1143,'Base bordo'!F$2:F$746,"AGUARDANDO MANUTENCAO"),0)</f>
        <v>0</v>
      </c>
      <c r="N1143" s="10">
        <f>IFERROR(SUMIFS('Base bordo'!G$2:G$746,'Base bordo'!C$2:C$746,A1143,'Base bordo'!B$2:B$746,B1143,'Base bordo'!F$2:F$746,"SEM APONTAMENTO"),0)</f>
        <v>0</v>
      </c>
      <c r="O1143" s="10">
        <f t="shared" si="114"/>
        <v>0.14583333333333304</v>
      </c>
      <c r="P1143" s="10">
        <f>IFERROR(SUMIFS('Base bordo'!G$2:G$746,'Base bordo'!C$2:C$746,A1143,'Base bordo'!B$2:B$746,B1143),0)</f>
        <v>5.818888888888889</v>
      </c>
      <c r="Q1143" s="10">
        <f>IFERROR(SUMIFS('Base bordo'!H$2:H$746,'Base bordo'!C$2:C$746,A1143,'Base bordo'!B$2:B$746,B1143,'Base bordo'!F$2:F$746,"DESLOCAMENTO VAZIO"),0)</f>
        <v>265991.25</v>
      </c>
      <c r="R1143" s="10">
        <f>IFERROR(SUMIFS('Base bordo'!I$2:I$746,'Base bordo'!C$2:C$746,A1143,'Base bordo'!B$2:B$746,B1143,'Base bordo'!F$2:F$746,"DESLOCAMENTO VAZIO"),0)</f>
        <v>8816</v>
      </c>
      <c r="S1143" s="30">
        <f t="shared" si="115"/>
        <v>30.171421279491835</v>
      </c>
      <c r="T1143" s="10">
        <f>IFERROR(SUMIFS('Base bordo'!H$2:H$746,'Base bordo'!C$2:C$746,A1143,'Base bordo'!B$2:B$746,B1143,'Base bordo'!F$2:F$746,"DESLOCAMENTO CARREGADO"),0)</f>
        <v>247310.05000000002</v>
      </c>
      <c r="U1143" s="10">
        <f>IFERROR(SUMIFS('Base bordo'!I$2:I$746,'Base bordo'!C$2:C$746,A1143,'Base bordo'!B$2:B$746,B1143,'Base bordo'!F$2:F$746,"DESLOCAMENTO CARREGADO"),0)</f>
        <v>8705</v>
      </c>
      <c r="V1143" s="30">
        <f t="shared" si="116"/>
        <v>28.410114876507755</v>
      </c>
      <c r="W1143" s="9">
        <f t="shared" si="117"/>
        <v>0.42085163261409203</v>
      </c>
      <c r="X1143" s="9">
        <f t="shared" si="118"/>
        <v>0.41583922092801218</v>
      </c>
      <c r="Y1143" s="9">
        <f t="shared" si="119"/>
        <v>0.16330914645789574</v>
      </c>
    </row>
    <row r="1144" spans="1:25" ht="15" customHeight="1" x14ac:dyDescent="0.35">
      <c r="A1144" s="52">
        <v>8013478</v>
      </c>
      <c r="B1144" s="51">
        <v>46123</v>
      </c>
      <c r="C1144" s="7" t="s">
        <v>124</v>
      </c>
      <c r="D1144" s="10">
        <f>IFERROR(SUMIFS('Base bordo'!G$2:G$746,'Base bordo'!C$2:C$746,A1144,'Base bordo'!B$2:B$746,B1144,'Base bordo'!F$2:F$746,"DESLOCAMENTO VAZIO"),0)</f>
        <v>2.4488888888888889</v>
      </c>
      <c r="E1144" s="10">
        <f>IFERROR(SUMIFS('Base bordo'!G$2:G$746,'Base bordo'!C$2:C$746,A1144,'Base bordo'!B$2:B$746,B1144,'Base bordo'!F$2:F$746,"DESLOCAMENTO CARREGADO"),0)</f>
        <v>2.4197222222222221</v>
      </c>
      <c r="F1144" s="10">
        <f>IFERROR(SUMIFS('Base bordo'!G$2:G$746,'Base bordo'!C$2:C$746,A1144,'Base bordo'!B$2:B$746,B1144,'Base bordo'!F$2:F$746,"DESLOCAMENTO"),0)</f>
        <v>0</v>
      </c>
      <c r="G1144" s="10">
        <f>IFERROR(SUMIFS('Base bordo'!G$2:G$746,'Base bordo'!C$2:C$746,A1144,'Base bordo'!B$2:B$746,B1144,'Base bordo'!F$2:F$746,"CARREGAMENTO"),0)</f>
        <v>0</v>
      </c>
      <c r="H1144" s="10">
        <f>IFERROR(SUMIFS('Base bordo'!G$2:G$746,'Base bordo'!C$2:C$746,A1144,'Base bordo'!B$2:B$746,B1144,'Base bordo'!F$2:F$746,"AGUARDANDO TRANSBORDO"),0)</f>
        <v>0.2013888888888889</v>
      </c>
      <c r="I1144" s="10">
        <f>IFERROR(SUMIFS('Base bordo'!G$2:G$746,'Base bordo'!C$2:C$746,A1144,'Base bordo'!B$2:B$746,B1144,'Base bordo'!F$2:F$746,"PÁTIO INTERNO"),0)+IFERROR(SUMIFS('Base bordo'!G$2:G$746,'Base bordo'!C$2:C$746,A1144,'Base bordo'!B$2:B$746,B1144,'Base bordo'!F$2:F$746,"PÁTIO EXTERNO"),0)+IFERROR(SUMIFS('Base bordo'!G$2:G$746,'Base bordo'!C$2:C$746,A1144,'Base bordo'!B$2:B$746,B1144,'Base bordo'!F$2:F$746,"PATIO - RESERVA"),0)+IFERROR(SUMIFS('Base bordo'!G$2:G$746,'Base bordo'!C$2:C$746,A1144,'Base bordo'!B$2:B$746,B1144,'Base bordo'!F$2:F$746,"MANOBRA CARRETAS-PATIO"),0)</f>
        <v>0.60305555555555557</v>
      </c>
      <c r="J1144" s="10">
        <f>IFERROR(SUMIFS('Base bordo'!G$2:G$746,'Base bordo'!C$2:C$746,A1144,'Base bordo'!B$2:B$746,B1144,'Base bordo'!F$2:F$746,"BALANÇA - ENTRADA"),0)+IFERROR(SUMIFS('Base bordo'!G$2:G$746,'Base bordo'!C$2:C$746,A1144,'Base bordo'!B$2:B$746,B1144,'Base bordo'!F$2:F$746,"BALANÇA - SAÍDA"),0)</f>
        <v>0</v>
      </c>
      <c r="K1144" s="10">
        <f>IFERROR(SUMIFS('Base bordo'!G$2:G$746,'Base bordo'!C$2:C$746,A1144,'Base bordo'!B$2:B$746,B1144,'Base bordo'!F$2:F$746,"MAN PREVENTIVA - MECANICA"),0)+IFERROR(SUMIFS('Base bordo'!G$2:G$746,'Base bordo'!C$2:C$746,A1144,'Base bordo'!B$2:B$746,B1144,'Base bordo'!F$2:F$746,"MAN CORRETIVA - MECANICA"),0)</f>
        <v>0</v>
      </c>
      <c r="L1144" s="10">
        <f>IFERROR(SUMIFS('Base bordo'!G$2:G$746,'Base bordo'!C$2:C$746,A1144,'Base bordo'!B$2:B$746,B1144,'Base bordo'!F$2:F$746,"MANUTENCAO - T O"),0)+IFERROR(SUMIFS('Base bordo'!G$2:G$746,'Base bordo'!C$2:C$746,A1144,'Base bordo'!B$2:B$746,B1144,'Base bordo'!F$2:F$746,"MANUTENCAO BORRACHARIA"),0)+IFERROR(SUMIFS('Base bordo'!G$2:G$746,'Base bordo'!C$2:C$746,A1144,'Base bordo'!B$2:B$746,B1144,'Base bordo'!F$2:F$746,"MANUTENCAO EXTERNA  CONCESSIONARIA"),0)+IFERROR(SUMIFS('Base bordo'!G$2:G$746,'Base bordo'!C$2:C$746,A1144,'Base bordo'!B$2:B$746,B1144,'Base bordo'!F$2:F$746,"MANUTENCAO TELEMETRIA"),0)</f>
        <v>0</v>
      </c>
      <c r="M1144" s="10">
        <f>IFERROR(SUMIFS('Base bordo'!G$2:G$746,'Base bordo'!C$2:C$746,A1144,'Base bordo'!B$2:B$746,B1144,'Base bordo'!F$2:F$746,"AGUARDANDO MANUTENCAO"),0)</f>
        <v>0</v>
      </c>
      <c r="N1144" s="10">
        <f>IFERROR(SUMIFS('Base bordo'!G$2:G$746,'Base bordo'!C$2:C$746,A1144,'Base bordo'!B$2:B$746,B1144,'Base bordo'!F$2:F$746,"SEM APONTAMENTO"),0)</f>
        <v>0</v>
      </c>
      <c r="O1144" s="10">
        <f t="shared" si="114"/>
        <v>0.14583333333333304</v>
      </c>
      <c r="P1144" s="10">
        <f>IFERROR(SUMIFS('Base bordo'!G$2:G$746,'Base bordo'!C$2:C$746,A1144,'Base bordo'!B$2:B$746,B1144),0)</f>
        <v>5.818888888888889</v>
      </c>
      <c r="Q1144" s="10">
        <f>IFERROR(SUMIFS('Base bordo'!H$2:H$746,'Base bordo'!C$2:C$746,A1144,'Base bordo'!B$2:B$746,B1144,'Base bordo'!F$2:F$746,"DESLOCAMENTO VAZIO"),0)</f>
        <v>265991.25</v>
      </c>
      <c r="R1144" s="10">
        <f>IFERROR(SUMIFS('Base bordo'!I$2:I$746,'Base bordo'!C$2:C$746,A1144,'Base bordo'!B$2:B$746,B1144,'Base bordo'!F$2:F$746,"DESLOCAMENTO VAZIO"),0)</f>
        <v>8816</v>
      </c>
      <c r="S1144" s="30">
        <f t="shared" si="115"/>
        <v>30.171421279491835</v>
      </c>
      <c r="T1144" s="10">
        <f>IFERROR(SUMIFS('Base bordo'!H$2:H$746,'Base bordo'!C$2:C$746,A1144,'Base bordo'!B$2:B$746,B1144,'Base bordo'!F$2:F$746,"DESLOCAMENTO CARREGADO"),0)</f>
        <v>247310.05000000002</v>
      </c>
      <c r="U1144" s="10">
        <f>IFERROR(SUMIFS('Base bordo'!I$2:I$746,'Base bordo'!C$2:C$746,A1144,'Base bordo'!B$2:B$746,B1144,'Base bordo'!F$2:F$746,"DESLOCAMENTO CARREGADO"),0)</f>
        <v>8705</v>
      </c>
      <c r="V1144" s="30">
        <f t="shared" si="116"/>
        <v>28.410114876507755</v>
      </c>
      <c r="W1144" s="9">
        <f t="shared" si="117"/>
        <v>0.42085163261409203</v>
      </c>
      <c r="X1144" s="9">
        <f t="shared" si="118"/>
        <v>0.41583922092801218</v>
      </c>
      <c r="Y1144" s="9">
        <f t="shared" si="119"/>
        <v>0.16330914645789574</v>
      </c>
    </row>
    <row r="1145" spans="1:25" ht="15" customHeight="1" x14ac:dyDescent="0.35">
      <c r="A1145" s="52">
        <v>8013478</v>
      </c>
      <c r="B1145" s="51">
        <v>46123</v>
      </c>
      <c r="C1145" s="7" t="s">
        <v>124</v>
      </c>
      <c r="D1145" s="10">
        <f>IFERROR(SUMIFS('Base bordo'!G$2:G$746,'Base bordo'!C$2:C$746,A1145,'Base bordo'!B$2:B$746,B1145,'Base bordo'!F$2:F$746,"DESLOCAMENTO VAZIO"),0)</f>
        <v>2.4488888888888889</v>
      </c>
      <c r="E1145" s="10">
        <f>IFERROR(SUMIFS('Base bordo'!G$2:G$746,'Base bordo'!C$2:C$746,A1145,'Base bordo'!B$2:B$746,B1145,'Base bordo'!F$2:F$746,"DESLOCAMENTO CARREGADO"),0)</f>
        <v>2.4197222222222221</v>
      </c>
      <c r="F1145" s="10">
        <f>IFERROR(SUMIFS('Base bordo'!G$2:G$746,'Base bordo'!C$2:C$746,A1145,'Base bordo'!B$2:B$746,B1145,'Base bordo'!F$2:F$746,"DESLOCAMENTO"),0)</f>
        <v>0</v>
      </c>
      <c r="G1145" s="10">
        <f>IFERROR(SUMIFS('Base bordo'!G$2:G$746,'Base bordo'!C$2:C$746,A1145,'Base bordo'!B$2:B$746,B1145,'Base bordo'!F$2:F$746,"CARREGAMENTO"),0)</f>
        <v>0</v>
      </c>
      <c r="H1145" s="10">
        <f>IFERROR(SUMIFS('Base bordo'!G$2:G$746,'Base bordo'!C$2:C$746,A1145,'Base bordo'!B$2:B$746,B1145,'Base bordo'!F$2:F$746,"AGUARDANDO TRANSBORDO"),0)</f>
        <v>0.2013888888888889</v>
      </c>
      <c r="I1145" s="10">
        <f>IFERROR(SUMIFS('Base bordo'!G$2:G$746,'Base bordo'!C$2:C$746,A1145,'Base bordo'!B$2:B$746,B1145,'Base bordo'!F$2:F$746,"PÁTIO INTERNO"),0)+IFERROR(SUMIFS('Base bordo'!G$2:G$746,'Base bordo'!C$2:C$746,A1145,'Base bordo'!B$2:B$746,B1145,'Base bordo'!F$2:F$746,"PÁTIO EXTERNO"),0)+IFERROR(SUMIFS('Base bordo'!G$2:G$746,'Base bordo'!C$2:C$746,A1145,'Base bordo'!B$2:B$746,B1145,'Base bordo'!F$2:F$746,"PATIO - RESERVA"),0)+IFERROR(SUMIFS('Base bordo'!G$2:G$746,'Base bordo'!C$2:C$746,A1145,'Base bordo'!B$2:B$746,B1145,'Base bordo'!F$2:F$746,"MANOBRA CARRETAS-PATIO"),0)</f>
        <v>0.60305555555555557</v>
      </c>
      <c r="J1145" s="10">
        <f>IFERROR(SUMIFS('Base bordo'!G$2:G$746,'Base bordo'!C$2:C$746,A1145,'Base bordo'!B$2:B$746,B1145,'Base bordo'!F$2:F$746,"BALANÇA - ENTRADA"),0)+IFERROR(SUMIFS('Base bordo'!G$2:G$746,'Base bordo'!C$2:C$746,A1145,'Base bordo'!B$2:B$746,B1145,'Base bordo'!F$2:F$746,"BALANÇA - SAÍDA"),0)</f>
        <v>0</v>
      </c>
      <c r="K1145" s="10">
        <f>IFERROR(SUMIFS('Base bordo'!G$2:G$746,'Base bordo'!C$2:C$746,A1145,'Base bordo'!B$2:B$746,B1145,'Base bordo'!F$2:F$746,"MAN PREVENTIVA - MECANICA"),0)+IFERROR(SUMIFS('Base bordo'!G$2:G$746,'Base bordo'!C$2:C$746,A1145,'Base bordo'!B$2:B$746,B1145,'Base bordo'!F$2:F$746,"MAN CORRETIVA - MECANICA"),0)</f>
        <v>0</v>
      </c>
      <c r="L1145" s="10">
        <f>IFERROR(SUMIFS('Base bordo'!G$2:G$746,'Base bordo'!C$2:C$746,A1145,'Base bordo'!B$2:B$746,B1145,'Base bordo'!F$2:F$746,"MANUTENCAO - T O"),0)+IFERROR(SUMIFS('Base bordo'!G$2:G$746,'Base bordo'!C$2:C$746,A1145,'Base bordo'!B$2:B$746,B1145,'Base bordo'!F$2:F$746,"MANUTENCAO BORRACHARIA"),0)+IFERROR(SUMIFS('Base bordo'!G$2:G$746,'Base bordo'!C$2:C$746,A1145,'Base bordo'!B$2:B$746,B1145,'Base bordo'!F$2:F$746,"MANUTENCAO EXTERNA  CONCESSIONARIA"),0)+IFERROR(SUMIFS('Base bordo'!G$2:G$746,'Base bordo'!C$2:C$746,A1145,'Base bordo'!B$2:B$746,B1145,'Base bordo'!F$2:F$746,"MANUTENCAO TELEMETRIA"),0)</f>
        <v>0</v>
      </c>
      <c r="M1145" s="10">
        <f>IFERROR(SUMIFS('Base bordo'!G$2:G$746,'Base bordo'!C$2:C$746,A1145,'Base bordo'!B$2:B$746,B1145,'Base bordo'!F$2:F$746,"AGUARDANDO MANUTENCAO"),0)</f>
        <v>0</v>
      </c>
      <c r="N1145" s="10">
        <f>IFERROR(SUMIFS('Base bordo'!G$2:G$746,'Base bordo'!C$2:C$746,A1145,'Base bordo'!B$2:B$746,B1145,'Base bordo'!F$2:F$746,"SEM APONTAMENTO"),0)</f>
        <v>0</v>
      </c>
      <c r="O1145" s="10">
        <f t="shared" si="114"/>
        <v>0.14583333333333304</v>
      </c>
      <c r="P1145" s="10">
        <f>IFERROR(SUMIFS('Base bordo'!G$2:G$746,'Base bordo'!C$2:C$746,A1145,'Base bordo'!B$2:B$746,B1145),0)</f>
        <v>5.818888888888889</v>
      </c>
      <c r="Q1145" s="10">
        <f>IFERROR(SUMIFS('Base bordo'!H$2:H$746,'Base bordo'!C$2:C$746,A1145,'Base bordo'!B$2:B$746,B1145,'Base bordo'!F$2:F$746,"DESLOCAMENTO VAZIO"),0)</f>
        <v>265991.25</v>
      </c>
      <c r="R1145" s="10">
        <f>IFERROR(SUMIFS('Base bordo'!I$2:I$746,'Base bordo'!C$2:C$746,A1145,'Base bordo'!B$2:B$746,B1145,'Base bordo'!F$2:F$746,"DESLOCAMENTO VAZIO"),0)</f>
        <v>8816</v>
      </c>
      <c r="S1145" s="30">
        <f t="shared" si="115"/>
        <v>30.171421279491835</v>
      </c>
      <c r="T1145" s="10">
        <f>IFERROR(SUMIFS('Base bordo'!H$2:H$746,'Base bordo'!C$2:C$746,A1145,'Base bordo'!B$2:B$746,B1145,'Base bordo'!F$2:F$746,"DESLOCAMENTO CARREGADO"),0)</f>
        <v>247310.05000000002</v>
      </c>
      <c r="U1145" s="10">
        <f>IFERROR(SUMIFS('Base bordo'!I$2:I$746,'Base bordo'!C$2:C$746,A1145,'Base bordo'!B$2:B$746,B1145,'Base bordo'!F$2:F$746,"DESLOCAMENTO CARREGADO"),0)</f>
        <v>8705</v>
      </c>
      <c r="V1145" s="30">
        <f t="shared" si="116"/>
        <v>28.410114876507755</v>
      </c>
      <c r="W1145" s="9">
        <f t="shared" si="117"/>
        <v>0.42085163261409203</v>
      </c>
      <c r="X1145" s="9">
        <f t="shared" si="118"/>
        <v>0.41583922092801218</v>
      </c>
      <c r="Y1145" s="9">
        <f t="shared" si="119"/>
        <v>0.16330914645789574</v>
      </c>
    </row>
    <row r="1146" spans="1:25" ht="15" customHeight="1" x14ac:dyDescent="0.35">
      <c r="A1146" s="52">
        <v>8013478</v>
      </c>
      <c r="B1146" s="51">
        <v>46123</v>
      </c>
      <c r="C1146" s="7" t="s">
        <v>124</v>
      </c>
      <c r="D1146" s="10">
        <f>IFERROR(SUMIFS('Base bordo'!G$2:G$746,'Base bordo'!C$2:C$746,A1146,'Base bordo'!B$2:B$746,B1146,'Base bordo'!F$2:F$746,"DESLOCAMENTO VAZIO"),0)</f>
        <v>2.4488888888888889</v>
      </c>
      <c r="E1146" s="10">
        <f>IFERROR(SUMIFS('Base bordo'!G$2:G$746,'Base bordo'!C$2:C$746,A1146,'Base bordo'!B$2:B$746,B1146,'Base bordo'!F$2:F$746,"DESLOCAMENTO CARREGADO"),0)</f>
        <v>2.4197222222222221</v>
      </c>
      <c r="F1146" s="10">
        <f>IFERROR(SUMIFS('Base bordo'!G$2:G$746,'Base bordo'!C$2:C$746,A1146,'Base bordo'!B$2:B$746,B1146,'Base bordo'!F$2:F$746,"DESLOCAMENTO"),0)</f>
        <v>0</v>
      </c>
      <c r="G1146" s="10">
        <f>IFERROR(SUMIFS('Base bordo'!G$2:G$746,'Base bordo'!C$2:C$746,A1146,'Base bordo'!B$2:B$746,B1146,'Base bordo'!F$2:F$746,"CARREGAMENTO"),0)</f>
        <v>0</v>
      </c>
      <c r="H1146" s="10">
        <f>IFERROR(SUMIFS('Base bordo'!G$2:G$746,'Base bordo'!C$2:C$746,A1146,'Base bordo'!B$2:B$746,B1146,'Base bordo'!F$2:F$746,"AGUARDANDO TRANSBORDO"),0)</f>
        <v>0.2013888888888889</v>
      </c>
      <c r="I1146" s="10">
        <f>IFERROR(SUMIFS('Base bordo'!G$2:G$746,'Base bordo'!C$2:C$746,A1146,'Base bordo'!B$2:B$746,B1146,'Base bordo'!F$2:F$746,"PÁTIO INTERNO"),0)+IFERROR(SUMIFS('Base bordo'!G$2:G$746,'Base bordo'!C$2:C$746,A1146,'Base bordo'!B$2:B$746,B1146,'Base bordo'!F$2:F$746,"PÁTIO EXTERNO"),0)+IFERROR(SUMIFS('Base bordo'!G$2:G$746,'Base bordo'!C$2:C$746,A1146,'Base bordo'!B$2:B$746,B1146,'Base bordo'!F$2:F$746,"PATIO - RESERVA"),0)+IFERROR(SUMIFS('Base bordo'!G$2:G$746,'Base bordo'!C$2:C$746,A1146,'Base bordo'!B$2:B$746,B1146,'Base bordo'!F$2:F$746,"MANOBRA CARRETAS-PATIO"),0)</f>
        <v>0.60305555555555557</v>
      </c>
      <c r="J1146" s="10">
        <f>IFERROR(SUMIFS('Base bordo'!G$2:G$746,'Base bordo'!C$2:C$746,A1146,'Base bordo'!B$2:B$746,B1146,'Base bordo'!F$2:F$746,"BALANÇA - ENTRADA"),0)+IFERROR(SUMIFS('Base bordo'!G$2:G$746,'Base bordo'!C$2:C$746,A1146,'Base bordo'!B$2:B$746,B1146,'Base bordo'!F$2:F$746,"BALANÇA - SAÍDA"),0)</f>
        <v>0</v>
      </c>
      <c r="K1146" s="10">
        <f>IFERROR(SUMIFS('Base bordo'!G$2:G$746,'Base bordo'!C$2:C$746,A1146,'Base bordo'!B$2:B$746,B1146,'Base bordo'!F$2:F$746,"MAN PREVENTIVA - MECANICA"),0)+IFERROR(SUMIFS('Base bordo'!G$2:G$746,'Base bordo'!C$2:C$746,A1146,'Base bordo'!B$2:B$746,B1146,'Base bordo'!F$2:F$746,"MAN CORRETIVA - MECANICA"),0)</f>
        <v>0</v>
      </c>
      <c r="L1146" s="10">
        <f>IFERROR(SUMIFS('Base bordo'!G$2:G$746,'Base bordo'!C$2:C$746,A1146,'Base bordo'!B$2:B$746,B1146,'Base bordo'!F$2:F$746,"MANUTENCAO - T O"),0)+IFERROR(SUMIFS('Base bordo'!G$2:G$746,'Base bordo'!C$2:C$746,A1146,'Base bordo'!B$2:B$746,B1146,'Base bordo'!F$2:F$746,"MANUTENCAO BORRACHARIA"),0)+IFERROR(SUMIFS('Base bordo'!G$2:G$746,'Base bordo'!C$2:C$746,A1146,'Base bordo'!B$2:B$746,B1146,'Base bordo'!F$2:F$746,"MANUTENCAO EXTERNA  CONCESSIONARIA"),0)+IFERROR(SUMIFS('Base bordo'!G$2:G$746,'Base bordo'!C$2:C$746,A1146,'Base bordo'!B$2:B$746,B1146,'Base bordo'!F$2:F$746,"MANUTENCAO TELEMETRIA"),0)</f>
        <v>0</v>
      </c>
      <c r="M1146" s="10">
        <f>IFERROR(SUMIFS('Base bordo'!G$2:G$746,'Base bordo'!C$2:C$746,A1146,'Base bordo'!B$2:B$746,B1146,'Base bordo'!F$2:F$746,"AGUARDANDO MANUTENCAO"),0)</f>
        <v>0</v>
      </c>
      <c r="N1146" s="10">
        <f>IFERROR(SUMIFS('Base bordo'!G$2:G$746,'Base bordo'!C$2:C$746,A1146,'Base bordo'!B$2:B$746,B1146,'Base bordo'!F$2:F$746,"SEM APONTAMENTO"),0)</f>
        <v>0</v>
      </c>
      <c r="O1146" s="10">
        <f t="shared" si="114"/>
        <v>0.14583333333333304</v>
      </c>
      <c r="P1146" s="10">
        <f>IFERROR(SUMIFS('Base bordo'!G$2:G$746,'Base bordo'!C$2:C$746,A1146,'Base bordo'!B$2:B$746,B1146),0)</f>
        <v>5.818888888888889</v>
      </c>
      <c r="Q1146" s="10">
        <f>IFERROR(SUMIFS('Base bordo'!H$2:H$746,'Base bordo'!C$2:C$746,A1146,'Base bordo'!B$2:B$746,B1146,'Base bordo'!F$2:F$746,"DESLOCAMENTO VAZIO"),0)</f>
        <v>265991.25</v>
      </c>
      <c r="R1146" s="10">
        <f>IFERROR(SUMIFS('Base bordo'!I$2:I$746,'Base bordo'!C$2:C$746,A1146,'Base bordo'!B$2:B$746,B1146,'Base bordo'!F$2:F$746,"DESLOCAMENTO VAZIO"),0)</f>
        <v>8816</v>
      </c>
      <c r="S1146" s="30">
        <f t="shared" si="115"/>
        <v>30.171421279491835</v>
      </c>
      <c r="T1146" s="10">
        <f>IFERROR(SUMIFS('Base bordo'!H$2:H$746,'Base bordo'!C$2:C$746,A1146,'Base bordo'!B$2:B$746,B1146,'Base bordo'!F$2:F$746,"DESLOCAMENTO CARREGADO"),0)</f>
        <v>247310.05000000002</v>
      </c>
      <c r="U1146" s="10">
        <f>IFERROR(SUMIFS('Base bordo'!I$2:I$746,'Base bordo'!C$2:C$746,A1146,'Base bordo'!B$2:B$746,B1146,'Base bordo'!F$2:F$746,"DESLOCAMENTO CARREGADO"),0)</f>
        <v>8705</v>
      </c>
      <c r="V1146" s="30">
        <f t="shared" si="116"/>
        <v>28.410114876507755</v>
      </c>
      <c r="W1146" s="9">
        <f t="shared" si="117"/>
        <v>0.42085163261409203</v>
      </c>
      <c r="X1146" s="9">
        <f t="shared" si="118"/>
        <v>0.41583922092801218</v>
      </c>
      <c r="Y1146" s="9">
        <f t="shared" si="119"/>
        <v>0.16330914645789574</v>
      </c>
    </row>
    <row r="1147" spans="1:25" ht="15" customHeight="1" x14ac:dyDescent="0.35">
      <c r="A1147" s="52">
        <v>8013478</v>
      </c>
      <c r="B1147" s="51">
        <v>46123</v>
      </c>
      <c r="C1147" s="7" t="s">
        <v>124</v>
      </c>
      <c r="D1147" s="10">
        <f>IFERROR(SUMIFS('Base bordo'!G$2:G$746,'Base bordo'!C$2:C$746,A1147,'Base bordo'!B$2:B$746,B1147,'Base bordo'!F$2:F$746,"DESLOCAMENTO VAZIO"),0)</f>
        <v>2.4488888888888889</v>
      </c>
      <c r="E1147" s="10">
        <f>IFERROR(SUMIFS('Base bordo'!G$2:G$746,'Base bordo'!C$2:C$746,A1147,'Base bordo'!B$2:B$746,B1147,'Base bordo'!F$2:F$746,"DESLOCAMENTO CARREGADO"),0)</f>
        <v>2.4197222222222221</v>
      </c>
      <c r="F1147" s="10">
        <f>IFERROR(SUMIFS('Base bordo'!G$2:G$746,'Base bordo'!C$2:C$746,A1147,'Base bordo'!B$2:B$746,B1147,'Base bordo'!F$2:F$746,"DESLOCAMENTO"),0)</f>
        <v>0</v>
      </c>
      <c r="G1147" s="10">
        <f>IFERROR(SUMIFS('Base bordo'!G$2:G$746,'Base bordo'!C$2:C$746,A1147,'Base bordo'!B$2:B$746,B1147,'Base bordo'!F$2:F$746,"CARREGAMENTO"),0)</f>
        <v>0</v>
      </c>
      <c r="H1147" s="10">
        <f>IFERROR(SUMIFS('Base bordo'!G$2:G$746,'Base bordo'!C$2:C$746,A1147,'Base bordo'!B$2:B$746,B1147,'Base bordo'!F$2:F$746,"AGUARDANDO TRANSBORDO"),0)</f>
        <v>0.2013888888888889</v>
      </c>
      <c r="I1147" s="10">
        <f>IFERROR(SUMIFS('Base bordo'!G$2:G$746,'Base bordo'!C$2:C$746,A1147,'Base bordo'!B$2:B$746,B1147,'Base bordo'!F$2:F$746,"PÁTIO INTERNO"),0)+IFERROR(SUMIFS('Base bordo'!G$2:G$746,'Base bordo'!C$2:C$746,A1147,'Base bordo'!B$2:B$746,B1147,'Base bordo'!F$2:F$746,"PÁTIO EXTERNO"),0)+IFERROR(SUMIFS('Base bordo'!G$2:G$746,'Base bordo'!C$2:C$746,A1147,'Base bordo'!B$2:B$746,B1147,'Base bordo'!F$2:F$746,"PATIO - RESERVA"),0)+IFERROR(SUMIFS('Base bordo'!G$2:G$746,'Base bordo'!C$2:C$746,A1147,'Base bordo'!B$2:B$746,B1147,'Base bordo'!F$2:F$746,"MANOBRA CARRETAS-PATIO"),0)</f>
        <v>0.60305555555555557</v>
      </c>
      <c r="J1147" s="10">
        <f>IFERROR(SUMIFS('Base bordo'!G$2:G$746,'Base bordo'!C$2:C$746,A1147,'Base bordo'!B$2:B$746,B1147,'Base bordo'!F$2:F$746,"BALANÇA - ENTRADA"),0)+IFERROR(SUMIFS('Base bordo'!G$2:G$746,'Base bordo'!C$2:C$746,A1147,'Base bordo'!B$2:B$746,B1147,'Base bordo'!F$2:F$746,"BALANÇA - SAÍDA"),0)</f>
        <v>0</v>
      </c>
      <c r="K1147" s="10">
        <f>IFERROR(SUMIFS('Base bordo'!G$2:G$746,'Base bordo'!C$2:C$746,A1147,'Base bordo'!B$2:B$746,B1147,'Base bordo'!F$2:F$746,"MAN PREVENTIVA - MECANICA"),0)+IFERROR(SUMIFS('Base bordo'!G$2:G$746,'Base bordo'!C$2:C$746,A1147,'Base bordo'!B$2:B$746,B1147,'Base bordo'!F$2:F$746,"MAN CORRETIVA - MECANICA"),0)</f>
        <v>0</v>
      </c>
      <c r="L1147" s="10">
        <f>IFERROR(SUMIFS('Base bordo'!G$2:G$746,'Base bordo'!C$2:C$746,A1147,'Base bordo'!B$2:B$746,B1147,'Base bordo'!F$2:F$746,"MANUTENCAO - T O"),0)+IFERROR(SUMIFS('Base bordo'!G$2:G$746,'Base bordo'!C$2:C$746,A1147,'Base bordo'!B$2:B$746,B1147,'Base bordo'!F$2:F$746,"MANUTENCAO BORRACHARIA"),0)+IFERROR(SUMIFS('Base bordo'!G$2:G$746,'Base bordo'!C$2:C$746,A1147,'Base bordo'!B$2:B$746,B1147,'Base bordo'!F$2:F$746,"MANUTENCAO EXTERNA  CONCESSIONARIA"),0)+IFERROR(SUMIFS('Base bordo'!G$2:G$746,'Base bordo'!C$2:C$746,A1147,'Base bordo'!B$2:B$746,B1147,'Base bordo'!F$2:F$746,"MANUTENCAO TELEMETRIA"),0)</f>
        <v>0</v>
      </c>
      <c r="M1147" s="10">
        <f>IFERROR(SUMIFS('Base bordo'!G$2:G$746,'Base bordo'!C$2:C$746,A1147,'Base bordo'!B$2:B$746,B1147,'Base bordo'!F$2:F$746,"AGUARDANDO MANUTENCAO"),0)</f>
        <v>0</v>
      </c>
      <c r="N1147" s="10">
        <f>IFERROR(SUMIFS('Base bordo'!G$2:G$746,'Base bordo'!C$2:C$746,A1147,'Base bordo'!B$2:B$746,B1147,'Base bordo'!F$2:F$746,"SEM APONTAMENTO"),0)</f>
        <v>0</v>
      </c>
      <c r="O1147" s="10">
        <f t="shared" si="114"/>
        <v>0.14583333333333304</v>
      </c>
      <c r="P1147" s="10">
        <f>IFERROR(SUMIFS('Base bordo'!G$2:G$746,'Base bordo'!C$2:C$746,A1147,'Base bordo'!B$2:B$746,B1147),0)</f>
        <v>5.818888888888889</v>
      </c>
      <c r="Q1147" s="10">
        <f>IFERROR(SUMIFS('Base bordo'!H$2:H$746,'Base bordo'!C$2:C$746,A1147,'Base bordo'!B$2:B$746,B1147,'Base bordo'!F$2:F$746,"DESLOCAMENTO VAZIO"),0)</f>
        <v>265991.25</v>
      </c>
      <c r="R1147" s="10">
        <f>IFERROR(SUMIFS('Base bordo'!I$2:I$746,'Base bordo'!C$2:C$746,A1147,'Base bordo'!B$2:B$746,B1147,'Base bordo'!F$2:F$746,"DESLOCAMENTO VAZIO"),0)</f>
        <v>8816</v>
      </c>
      <c r="S1147" s="30">
        <f t="shared" si="115"/>
        <v>30.171421279491835</v>
      </c>
      <c r="T1147" s="10">
        <f>IFERROR(SUMIFS('Base bordo'!H$2:H$746,'Base bordo'!C$2:C$746,A1147,'Base bordo'!B$2:B$746,B1147,'Base bordo'!F$2:F$746,"DESLOCAMENTO CARREGADO"),0)</f>
        <v>247310.05000000002</v>
      </c>
      <c r="U1147" s="10">
        <f>IFERROR(SUMIFS('Base bordo'!I$2:I$746,'Base bordo'!C$2:C$746,A1147,'Base bordo'!B$2:B$746,B1147,'Base bordo'!F$2:F$746,"DESLOCAMENTO CARREGADO"),0)</f>
        <v>8705</v>
      </c>
      <c r="V1147" s="30">
        <f t="shared" si="116"/>
        <v>28.410114876507755</v>
      </c>
      <c r="W1147" s="9">
        <f t="shared" si="117"/>
        <v>0.42085163261409203</v>
      </c>
      <c r="X1147" s="9">
        <f t="shared" si="118"/>
        <v>0.41583922092801218</v>
      </c>
      <c r="Y1147" s="9">
        <f t="shared" si="119"/>
        <v>0.16330914645789574</v>
      </c>
    </row>
    <row r="1148" spans="1:25" ht="15" customHeight="1" x14ac:dyDescent="0.35">
      <c r="A1148" s="52">
        <v>8013478</v>
      </c>
      <c r="B1148" s="51">
        <v>46123</v>
      </c>
      <c r="C1148" s="7" t="s">
        <v>124</v>
      </c>
      <c r="D1148" s="10">
        <f>IFERROR(SUMIFS('Base bordo'!G$2:G$746,'Base bordo'!C$2:C$746,A1148,'Base bordo'!B$2:B$746,B1148,'Base bordo'!F$2:F$746,"DESLOCAMENTO VAZIO"),0)</f>
        <v>2.4488888888888889</v>
      </c>
      <c r="E1148" s="10">
        <f>IFERROR(SUMIFS('Base bordo'!G$2:G$746,'Base bordo'!C$2:C$746,A1148,'Base bordo'!B$2:B$746,B1148,'Base bordo'!F$2:F$746,"DESLOCAMENTO CARREGADO"),0)</f>
        <v>2.4197222222222221</v>
      </c>
      <c r="F1148" s="10">
        <f>IFERROR(SUMIFS('Base bordo'!G$2:G$746,'Base bordo'!C$2:C$746,A1148,'Base bordo'!B$2:B$746,B1148,'Base bordo'!F$2:F$746,"DESLOCAMENTO"),0)</f>
        <v>0</v>
      </c>
      <c r="G1148" s="10">
        <f>IFERROR(SUMIFS('Base bordo'!G$2:G$746,'Base bordo'!C$2:C$746,A1148,'Base bordo'!B$2:B$746,B1148,'Base bordo'!F$2:F$746,"CARREGAMENTO"),0)</f>
        <v>0</v>
      </c>
      <c r="H1148" s="10">
        <f>IFERROR(SUMIFS('Base bordo'!G$2:G$746,'Base bordo'!C$2:C$746,A1148,'Base bordo'!B$2:B$746,B1148,'Base bordo'!F$2:F$746,"AGUARDANDO TRANSBORDO"),0)</f>
        <v>0.2013888888888889</v>
      </c>
      <c r="I1148" s="10">
        <f>IFERROR(SUMIFS('Base bordo'!G$2:G$746,'Base bordo'!C$2:C$746,A1148,'Base bordo'!B$2:B$746,B1148,'Base bordo'!F$2:F$746,"PÁTIO INTERNO"),0)+IFERROR(SUMIFS('Base bordo'!G$2:G$746,'Base bordo'!C$2:C$746,A1148,'Base bordo'!B$2:B$746,B1148,'Base bordo'!F$2:F$746,"PÁTIO EXTERNO"),0)+IFERROR(SUMIFS('Base bordo'!G$2:G$746,'Base bordo'!C$2:C$746,A1148,'Base bordo'!B$2:B$746,B1148,'Base bordo'!F$2:F$746,"PATIO - RESERVA"),0)+IFERROR(SUMIFS('Base bordo'!G$2:G$746,'Base bordo'!C$2:C$746,A1148,'Base bordo'!B$2:B$746,B1148,'Base bordo'!F$2:F$746,"MANOBRA CARRETAS-PATIO"),0)</f>
        <v>0.60305555555555557</v>
      </c>
      <c r="J1148" s="10">
        <f>IFERROR(SUMIFS('Base bordo'!G$2:G$746,'Base bordo'!C$2:C$746,A1148,'Base bordo'!B$2:B$746,B1148,'Base bordo'!F$2:F$746,"BALANÇA - ENTRADA"),0)+IFERROR(SUMIFS('Base bordo'!G$2:G$746,'Base bordo'!C$2:C$746,A1148,'Base bordo'!B$2:B$746,B1148,'Base bordo'!F$2:F$746,"BALANÇA - SAÍDA"),0)</f>
        <v>0</v>
      </c>
      <c r="K1148" s="10">
        <f>IFERROR(SUMIFS('Base bordo'!G$2:G$746,'Base bordo'!C$2:C$746,A1148,'Base bordo'!B$2:B$746,B1148,'Base bordo'!F$2:F$746,"MAN PREVENTIVA - MECANICA"),0)+IFERROR(SUMIFS('Base bordo'!G$2:G$746,'Base bordo'!C$2:C$746,A1148,'Base bordo'!B$2:B$746,B1148,'Base bordo'!F$2:F$746,"MAN CORRETIVA - MECANICA"),0)</f>
        <v>0</v>
      </c>
      <c r="L1148" s="10">
        <f>IFERROR(SUMIFS('Base bordo'!G$2:G$746,'Base bordo'!C$2:C$746,A1148,'Base bordo'!B$2:B$746,B1148,'Base bordo'!F$2:F$746,"MANUTENCAO - T O"),0)+IFERROR(SUMIFS('Base bordo'!G$2:G$746,'Base bordo'!C$2:C$746,A1148,'Base bordo'!B$2:B$746,B1148,'Base bordo'!F$2:F$746,"MANUTENCAO BORRACHARIA"),0)+IFERROR(SUMIFS('Base bordo'!G$2:G$746,'Base bordo'!C$2:C$746,A1148,'Base bordo'!B$2:B$746,B1148,'Base bordo'!F$2:F$746,"MANUTENCAO EXTERNA  CONCESSIONARIA"),0)+IFERROR(SUMIFS('Base bordo'!G$2:G$746,'Base bordo'!C$2:C$746,A1148,'Base bordo'!B$2:B$746,B1148,'Base bordo'!F$2:F$746,"MANUTENCAO TELEMETRIA"),0)</f>
        <v>0</v>
      </c>
      <c r="M1148" s="10">
        <f>IFERROR(SUMIFS('Base bordo'!G$2:G$746,'Base bordo'!C$2:C$746,A1148,'Base bordo'!B$2:B$746,B1148,'Base bordo'!F$2:F$746,"AGUARDANDO MANUTENCAO"),0)</f>
        <v>0</v>
      </c>
      <c r="N1148" s="10">
        <f>IFERROR(SUMIFS('Base bordo'!G$2:G$746,'Base bordo'!C$2:C$746,A1148,'Base bordo'!B$2:B$746,B1148,'Base bordo'!F$2:F$746,"SEM APONTAMENTO"),0)</f>
        <v>0</v>
      </c>
      <c r="O1148" s="10">
        <f t="shared" si="114"/>
        <v>0.14583333333333304</v>
      </c>
      <c r="P1148" s="10">
        <f>IFERROR(SUMIFS('Base bordo'!G$2:G$746,'Base bordo'!C$2:C$746,A1148,'Base bordo'!B$2:B$746,B1148),0)</f>
        <v>5.818888888888889</v>
      </c>
      <c r="Q1148" s="10">
        <f>IFERROR(SUMIFS('Base bordo'!H$2:H$746,'Base bordo'!C$2:C$746,A1148,'Base bordo'!B$2:B$746,B1148,'Base bordo'!F$2:F$746,"DESLOCAMENTO VAZIO"),0)</f>
        <v>265991.25</v>
      </c>
      <c r="R1148" s="10">
        <f>IFERROR(SUMIFS('Base bordo'!I$2:I$746,'Base bordo'!C$2:C$746,A1148,'Base bordo'!B$2:B$746,B1148,'Base bordo'!F$2:F$746,"DESLOCAMENTO VAZIO"),0)</f>
        <v>8816</v>
      </c>
      <c r="S1148" s="30">
        <f t="shared" si="115"/>
        <v>30.171421279491835</v>
      </c>
      <c r="T1148" s="10">
        <f>IFERROR(SUMIFS('Base bordo'!H$2:H$746,'Base bordo'!C$2:C$746,A1148,'Base bordo'!B$2:B$746,B1148,'Base bordo'!F$2:F$746,"DESLOCAMENTO CARREGADO"),0)</f>
        <v>247310.05000000002</v>
      </c>
      <c r="U1148" s="10">
        <f>IFERROR(SUMIFS('Base bordo'!I$2:I$746,'Base bordo'!C$2:C$746,A1148,'Base bordo'!B$2:B$746,B1148,'Base bordo'!F$2:F$746,"DESLOCAMENTO CARREGADO"),0)</f>
        <v>8705</v>
      </c>
      <c r="V1148" s="30">
        <f t="shared" si="116"/>
        <v>28.410114876507755</v>
      </c>
      <c r="W1148" s="9">
        <f t="shared" si="117"/>
        <v>0.42085163261409203</v>
      </c>
      <c r="X1148" s="9">
        <f t="shared" si="118"/>
        <v>0.41583922092801218</v>
      </c>
      <c r="Y1148" s="9">
        <f t="shared" si="119"/>
        <v>0.16330914645789574</v>
      </c>
    </row>
    <row r="1149" spans="1:25" ht="15" customHeight="1" x14ac:dyDescent="0.35">
      <c r="A1149" s="52">
        <v>8013478</v>
      </c>
      <c r="B1149" s="51">
        <v>46123</v>
      </c>
      <c r="C1149" s="7" t="s">
        <v>124</v>
      </c>
      <c r="D1149" s="10">
        <f>IFERROR(SUMIFS('Base bordo'!G$2:G$746,'Base bordo'!C$2:C$746,A1149,'Base bordo'!B$2:B$746,B1149,'Base bordo'!F$2:F$746,"DESLOCAMENTO VAZIO"),0)</f>
        <v>2.4488888888888889</v>
      </c>
      <c r="E1149" s="10">
        <f>IFERROR(SUMIFS('Base bordo'!G$2:G$746,'Base bordo'!C$2:C$746,A1149,'Base bordo'!B$2:B$746,B1149,'Base bordo'!F$2:F$746,"DESLOCAMENTO CARREGADO"),0)</f>
        <v>2.4197222222222221</v>
      </c>
      <c r="F1149" s="10">
        <f>IFERROR(SUMIFS('Base bordo'!G$2:G$746,'Base bordo'!C$2:C$746,A1149,'Base bordo'!B$2:B$746,B1149,'Base bordo'!F$2:F$746,"DESLOCAMENTO"),0)</f>
        <v>0</v>
      </c>
      <c r="G1149" s="10">
        <f>IFERROR(SUMIFS('Base bordo'!G$2:G$746,'Base bordo'!C$2:C$746,A1149,'Base bordo'!B$2:B$746,B1149,'Base bordo'!F$2:F$746,"CARREGAMENTO"),0)</f>
        <v>0</v>
      </c>
      <c r="H1149" s="10">
        <f>IFERROR(SUMIFS('Base bordo'!G$2:G$746,'Base bordo'!C$2:C$746,A1149,'Base bordo'!B$2:B$746,B1149,'Base bordo'!F$2:F$746,"AGUARDANDO TRANSBORDO"),0)</f>
        <v>0.2013888888888889</v>
      </c>
      <c r="I1149" s="10">
        <f>IFERROR(SUMIFS('Base bordo'!G$2:G$746,'Base bordo'!C$2:C$746,A1149,'Base bordo'!B$2:B$746,B1149,'Base bordo'!F$2:F$746,"PÁTIO INTERNO"),0)+IFERROR(SUMIFS('Base bordo'!G$2:G$746,'Base bordo'!C$2:C$746,A1149,'Base bordo'!B$2:B$746,B1149,'Base bordo'!F$2:F$746,"PÁTIO EXTERNO"),0)+IFERROR(SUMIFS('Base bordo'!G$2:G$746,'Base bordo'!C$2:C$746,A1149,'Base bordo'!B$2:B$746,B1149,'Base bordo'!F$2:F$746,"PATIO - RESERVA"),0)+IFERROR(SUMIFS('Base bordo'!G$2:G$746,'Base bordo'!C$2:C$746,A1149,'Base bordo'!B$2:B$746,B1149,'Base bordo'!F$2:F$746,"MANOBRA CARRETAS-PATIO"),0)</f>
        <v>0.60305555555555557</v>
      </c>
      <c r="J1149" s="10">
        <f>IFERROR(SUMIFS('Base bordo'!G$2:G$746,'Base bordo'!C$2:C$746,A1149,'Base bordo'!B$2:B$746,B1149,'Base bordo'!F$2:F$746,"BALANÇA - ENTRADA"),0)+IFERROR(SUMIFS('Base bordo'!G$2:G$746,'Base bordo'!C$2:C$746,A1149,'Base bordo'!B$2:B$746,B1149,'Base bordo'!F$2:F$746,"BALANÇA - SAÍDA"),0)</f>
        <v>0</v>
      </c>
      <c r="K1149" s="10">
        <f>IFERROR(SUMIFS('Base bordo'!G$2:G$746,'Base bordo'!C$2:C$746,A1149,'Base bordo'!B$2:B$746,B1149,'Base bordo'!F$2:F$746,"MAN PREVENTIVA - MECANICA"),0)+IFERROR(SUMIFS('Base bordo'!G$2:G$746,'Base bordo'!C$2:C$746,A1149,'Base bordo'!B$2:B$746,B1149,'Base bordo'!F$2:F$746,"MAN CORRETIVA - MECANICA"),0)</f>
        <v>0</v>
      </c>
      <c r="L1149" s="10">
        <f>IFERROR(SUMIFS('Base bordo'!G$2:G$746,'Base bordo'!C$2:C$746,A1149,'Base bordo'!B$2:B$746,B1149,'Base bordo'!F$2:F$746,"MANUTENCAO - T O"),0)+IFERROR(SUMIFS('Base bordo'!G$2:G$746,'Base bordo'!C$2:C$746,A1149,'Base bordo'!B$2:B$746,B1149,'Base bordo'!F$2:F$746,"MANUTENCAO BORRACHARIA"),0)+IFERROR(SUMIFS('Base bordo'!G$2:G$746,'Base bordo'!C$2:C$746,A1149,'Base bordo'!B$2:B$746,B1149,'Base bordo'!F$2:F$746,"MANUTENCAO EXTERNA  CONCESSIONARIA"),0)+IFERROR(SUMIFS('Base bordo'!G$2:G$746,'Base bordo'!C$2:C$746,A1149,'Base bordo'!B$2:B$746,B1149,'Base bordo'!F$2:F$746,"MANUTENCAO TELEMETRIA"),0)</f>
        <v>0</v>
      </c>
      <c r="M1149" s="10">
        <f>IFERROR(SUMIFS('Base bordo'!G$2:G$746,'Base bordo'!C$2:C$746,A1149,'Base bordo'!B$2:B$746,B1149,'Base bordo'!F$2:F$746,"AGUARDANDO MANUTENCAO"),0)</f>
        <v>0</v>
      </c>
      <c r="N1149" s="10">
        <f>IFERROR(SUMIFS('Base bordo'!G$2:G$746,'Base bordo'!C$2:C$746,A1149,'Base bordo'!B$2:B$746,B1149,'Base bordo'!F$2:F$746,"SEM APONTAMENTO"),0)</f>
        <v>0</v>
      </c>
      <c r="O1149" s="10">
        <f t="shared" si="114"/>
        <v>0.14583333333333304</v>
      </c>
      <c r="P1149" s="10">
        <f>IFERROR(SUMIFS('Base bordo'!G$2:G$746,'Base bordo'!C$2:C$746,A1149,'Base bordo'!B$2:B$746,B1149),0)</f>
        <v>5.818888888888889</v>
      </c>
      <c r="Q1149" s="10">
        <f>IFERROR(SUMIFS('Base bordo'!H$2:H$746,'Base bordo'!C$2:C$746,A1149,'Base bordo'!B$2:B$746,B1149,'Base bordo'!F$2:F$746,"DESLOCAMENTO VAZIO"),0)</f>
        <v>265991.25</v>
      </c>
      <c r="R1149" s="10">
        <f>IFERROR(SUMIFS('Base bordo'!I$2:I$746,'Base bordo'!C$2:C$746,A1149,'Base bordo'!B$2:B$746,B1149,'Base bordo'!F$2:F$746,"DESLOCAMENTO VAZIO"),0)</f>
        <v>8816</v>
      </c>
      <c r="S1149" s="30">
        <f t="shared" si="115"/>
        <v>30.171421279491835</v>
      </c>
      <c r="T1149" s="10">
        <f>IFERROR(SUMIFS('Base bordo'!H$2:H$746,'Base bordo'!C$2:C$746,A1149,'Base bordo'!B$2:B$746,B1149,'Base bordo'!F$2:F$746,"DESLOCAMENTO CARREGADO"),0)</f>
        <v>247310.05000000002</v>
      </c>
      <c r="U1149" s="10">
        <f>IFERROR(SUMIFS('Base bordo'!I$2:I$746,'Base bordo'!C$2:C$746,A1149,'Base bordo'!B$2:B$746,B1149,'Base bordo'!F$2:F$746,"DESLOCAMENTO CARREGADO"),0)</f>
        <v>8705</v>
      </c>
      <c r="V1149" s="30">
        <f t="shared" si="116"/>
        <v>28.410114876507755</v>
      </c>
      <c r="W1149" s="9">
        <f t="shared" si="117"/>
        <v>0.42085163261409203</v>
      </c>
      <c r="X1149" s="9">
        <f t="shared" si="118"/>
        <v>0.41583922092801218</v>
      </c>
      <c r="Y1149" s="9">
        <f t="shared" si="119"/>
        <v>0.16330914645789574</v>
      </c>
    </row>
    <row r="1150" spans="1:25" ht="15" customHeight="1" x14ac:dyDescent="0.35">
      <c r="A1150" s="52">
        <v>8013481</v>
      </c>
      <c r="B1150" s="51">
        <v>46123</v>
      </c>
      <c r="C1150" s="7" t="s">
        <v>124</v>
      </c>
      <c r="D1150" s="10">
        <f>IFERROR(SUMIFS('Base bordo'!G$2:G$746,'Base bordo'!C$2:C$746,A1150,'Base bordo'!B$2:B$746,B1150,'Base bordo'!F$2:F$746,"DESLOCAMENTO VAZIO"),0)</f>
        <v>0.49583333333333335</v>
      </c>
      <c r="E1150" s="10">
        <f>IFERROR(SUMIFS('Base bordo'!G$2:G$746,'Base bordo'!C$2:C$746,A1150,'Base bordo'!B$2:B$746,B1150,'Base bordo'!F$2:F$746,"DESLOCAMENTO CARREGADO"),0)</f>
        <v>0.5872222222222222</v>
      </c>
      <c r="F1150" s="10">
        <f>IFERROR(SUMIFS('Base bordo'!G$2:G$746,'Base bordo'!C$2:C$746,A1150,'Base bordo'!B$2:B$746,B1150,'Base bordo'!F$2:F$746,"DESLOCAMENTO"),0)</f>
        <v>0</v>
      </c>
      <c r="G1150" s="10">
        <f>IFERROR(SUMIFS('Base bordo'!G$2:G$746,'Base bordo'!C$2:C$746,A1150,'Base bordo'!B$2:B$746,B1150,'Base bordo'!F$2:F$746,"CARREGAMENTO"),0)</f>
        <v>0</v>
      </c>
      <c r="H1150" s="10">
        <f>IFERROR(SUMIFS('Base bordo'!G$2:G$746,'Base bordo'!C$2:C$746,A1150,'Base bordo'!B$2:B$746,B1150,'Base bordo'!F$2:F$746,"AGUARDANDO TRANSBORDO"),0)</f>
        <v>0.16916666666666666</v>
      </c>
      <c r="I1150" s="10">
        <f>IFERROR(SUMIFS('Base bordo'!G$2:G$746,'Base bordo'!C$2:C$746,A1150,'Base bordo'!B$2:B$746,B1150,'Base bordo'!F$2:F$746,"PÁTIO INTERNO"),0)+IFERROR(SUMIFS('Base bordo'!G$2:G$746,'Base bordo'!C$2:C$746,A1150,'Base bordo'!B$2:B$746,B1150,'Base bordo'!F$2:F$746,"PÁTIO EXTERNO"),0)+IFERROR(SUMIFS('Base bordo'!G$2:G$746,'Base bordo'!C$2:C$746,A1150,'Base bordo'!B$2:B$746,B1150,'Base bordo'!F$2:F$746,"PATIO - RESERVA"),0)+IFERROR(SUMIFS('Base bordo'!G$2:G$746,'Base bordo'!C$2:C$746,A1150,'Base bordo'!B$2:B$746,B1150,'Base bordo'!F$2:F$746,"MANOBRA CARRETAS-PATIO"),0)</f>
        <v>2.4105555555555553</v>
      </c>
      <c r="J1150" s="10">
        <f>IFERROR(SUMIFS('Base bordo'!G$2:G$746,'Base bordo'!C$2:C$746,A1150,'Base bordo'!B$2:B$746,B1150,'Base bordo'!F$2:F$746,"BALANÇA - ENTRADA"),0)+IFERROR(SUMIFS('Base bordo'!G$2:G$746,'Base bordo'!C$2:C$746,A1150,'Base bordo'!B$2:B$746,B1150,'Base bordo'!F$2:F$746,"BALANÇA - SAÍDA"),0)</f>
        <v>0</v>
      </c>
      <c r="K1150" s="10">
        <f>IFERROR(SUMIFS('Base bordo'!G$2:G$746,'Base bordo'!C$2:C$746,A1150,'Base bordo'!B$2:B$746,B1150,'Base bordo'!F$2:F$746,"MAN PREVENTIVA - MECANICA"),0)+IFERROR(SUMIFS('Base bordo'!G$2:G$746,'Base bordo'!C$2:C$746,A1150,'Base bordo'!B$2:B$746,B1150,'Base bordo'!F$2:F$746,"MAN CORRETIVA - MECANICA"),0)</f>
        <v>0</v>
      </c>
      <c r="L1150" s="10">
        <f>IFERROR(SUMIFS('Base bordo'!G$2:G$746,'Base bordo'!C$2:C$746,A1150,'Base bordo'!B$2:B$746,B1150,'Base bordo'!F$2:F$746,"MANUTENCAO - T O"),0)+IFERROR(SUMIFS('Base bordo'!G$2:G$746,'Base bordo'!C$2:C$746,A1150,'Base bordo'!B$2:B$746,B1150,'Base bordo'!F$2:F$746,"MANUTENCAO BORRACHARIA"),0)+IFERROR(SUMIFS('Base bordo'!G$2:G$746,'Base bordo'!C$2:C$746,A1150,'Base bordo'!B$2:B$746,B1150,'Base bordo'!F$2:F$746,"MANUTENCAO EXTERNA  CONCESSIONARIA"),0)+IFERROR(SUMIFS('Base bordo'!G$2:G$746,'Base bordo'!C$2:C$746,A1150,'Base bordo'!B$2:B$746,B1150,'Base bordo'!F$2:F$746,"MANUTENCAO TELEMETRIA"),0)</f>
        <v>0</v>
      </c>
      <c r="M1150" s="10">
        <f>IFERROR(SUMIFS('Base bordo'!G$2:G$746,'Base bordo'!C$2:C$746,A1150,'Base bordo'!B$2:B$746,B1150,'Base bordo'!F$2:F$746,"AGUARDANDO MANUTENCAO"),0)</f>
        <v>0</v>
      </c>
      <c r="N1150" s="10">
        <f>IFERROR(SUMIFS('Base bordo'!G$2:G$746,'Base bordo'!C$2:C$746,A1150,'Base bordo'!B$2:B$746,B1150,'Base bordo'!F$2:F$746,"SEM APONTAMENTO"),0)</f>
        <v>0</v>
      </c>
      <c r="O1150" s="10">
        <f t="shared" si="114"/>
        <v>5.833333333333357E-3</v>
      </c>
      <c r="P1150" s="10">
        <f>IFERROR(SUMIFS('Base bordo'!G$2:G$746,'Base bordo'!C$2:C$746,A1150,'Base bordo'!B$2:B$746,B1150),0)</f>
        <v>3.6686111111111108</v>
      </c>
      <c r="Q1150" s="10">
        <f>IFERROR(SUMIFS('Base bordo'!H$2:H$746,'Base bordo'!C$2:C$746,A1150,'Base bordo'!B$2:B$746,B1150,'Base bordo'!F$2:F$746,"DESLOCAMENTO VAZIO"),0)</f>
        <v>49686.55</v>
      </c>
      <c r="R1150" s="10">
        <f>IFERROR(SUMIFS('Base bordo'!I$2:I$746,'Base bordo'!C$2:C$746,A1150,'Base bordo'!B$2:B$746,B1150,'Base bordo'!F$2:F$746,"DESLOCAMENTO VAZIO"),0)</f>
        <v>1785</v>
      </c>
      <c r="S1150" s="30">
        <f t="shared" si="115"/>
        <v>27.83560224089636</v>
      </c>
      <c r="T1150" s="10">
        <f>IFERROR(SUMIFS('Base bordo'!H$2:H$746,'Base bordo'!C$2:C$746,A1150,'Base bordo'!B$2:B$746,B1150,'Base bordo'!F$2:F$746,"DESLOCAMENTO CARREGADO"),0)</f>
        <v>40544.140000000007</v>
      </c>
      <c r="U1150" s="10">
        <f>IFERROR(SUMIFS('Base bordo'!I$2:I$746,'Base bordo'!C$2:C$746,A1150,'Base bordo'!B$2:B$746,B1150,'Base bordo'!F$2:F$746,"DESLOCAMENTO CARREGADO"),0)</f>
        <v>2114</v>
      </c>
      <c r="V1150" s="30">
        <f t="shared" si="116"/>
        <v>19.178874172185434</v>
      </c>
      <c r="W1150" s="9">
        <f t="shared" si="117"/>
        <v>0.13515559930339974</v>
      </c>
      <c r="X1150" s="9">
        <f t="shared" si="118"/>
        <v>0.16006663133186946</v>
      </c>
      <c r="Y1150" s="9">
        <f t="shared" si="119"/>
        <v>0.7047777693647308</v>
      </c>
    </row>
    <row r="1151" spans="1:25" ht="15" customHeight="1" x14ac:dyDescent="0.35">
      <c r="A1151" s="52">
        <v>8013481</v>
      </c>
      <c r="B1151" s="51">
        <v>46123</v>
      </c>
      <c r="C1151" s="7" t="s">
        <v>124</v>
      </c>
      <c r="D1151" s="10">
        <f>IFERROR(SUMIFS('Base bordo'!G$2:G$746,'Base bordo'!C$2:C$746,A1151,'Base bordo'!B$2:B$746,B1151,'Base bordo'!F$2:F$746,"DESLOCAMENTO VAZIO"),0)</f>
        <v>0.49583333333333335</v>
      </c>
      <c r="E1151" s="10">
        <f>IFERROR(SUMIFS('Base bordo'!G$2:G$746,'Base bordo'!C$2:C$746,A1151,'Base bordo'!B$2:B$746,B1151,'Base bordo'!F$2:F$746,"DESLOCAMENTO CARREGADO"),0)</f>
        <v>0.5872222222222222</v>
      </c>
      <c r="F1151" s="10">
        <f>IFERROR(SUMIFS('Base bordo'!G$2:G$746,'Base bordo'!C$2:C$746,A1151,'Base bordo'!B$2:B$746,B1151,'Base bordo'!F$2:F$746,"DESLOCAMENTO"),0)</f>
        <v>0</v>
      </c>
      <c r="G1151" s="10">
        <f>IFERROR(SUMIFS('Base bordo'!G$2:G$746,'Base bordo'!C$2:C$746,A1151,'Base bordo'!B$2:B$746,B1151,'Base bordo'!F$2:F$746,"CARREGAMENTO"),0)</f>
        <v>0</v>
      </c>
      <c r="H1151" s="10">
        <f>IFERROR(SUMIFS('Base bordo'!G$2:G$746,'Base bordo'!C$2:C$746,A1151,'Base bordo'!B$2:B$746,B1151,'Base bordo'!F$2:F$746,"AGUARDANDO TRANSBORDO"),0)</f>
        <v>0.16916666666666666</v>
      </c>
      <c r="I1151" s="10">
        <f>IFERROR(SUMIFS('Base bordo'!G$2:G$746,'Base bordo'!C$2:C$746,A1151,'Base bordo'!B$2:B$746,B1151,'Base bordo'!F$2:F$746,"PÁTIO INTERNO"),0)+IFERROR(SUMIFS('Base bordo'!G$2:G$746,'Base bordo'!C$2:C$746,A1151,'Base bordo'!B$2:B$746,B1151,'Base bordo'!F$2:F$746,"PÁTIO EXTERNO"),0)+IFERROR(SUMIFS('Base bordo'!G$2:G$746,'Base bordo'!C$2:C$746,A1151,'Base bordo'!B$2:B$746,B1151,'Base bordo'!F$2:F$746,"PATIO - RESERVA"),0)+IFERROR(SUMIFS('Base bordo'!G$2:G$746,'Base bordo'!C$2:C$746,A1151,'Base bordo'!B$2:B$746,B1151,'Base bordo'!F$2:F$746,"MANOBRA CARRETAS-PATIO"),0)</f>
        <v>2.4105555555555553</v>
      </c>
      <c r="J1151" s="10">
        <f>IFERROR(SUMIFS('Base bordo'!G$2:G$746,'Base bordo'!C$2:C$746,A1151,'Base bordo'!B$2:B$746,B1151,'Base bordo'!F$2:F$746,"BALANÇA - ENTRADA"),0)+IFERROR(SUMIFS('Base bordo'!G$2:G$746,'Base bordo'!C$2:C$746,A1151,'Base bordo'!B$2:B$746,B1151,'Base bordo'!F$2:F$746,"BALANÇA - SAÍDA"),0)</f>
        <v>0</v>
      </c>
      <c r="K1151" s="10">
        <f>IFERROR(SUMIFS('Base bordo'!G$2:G$746,'Base bordo'!C$2:C$746,A1151,'Base bordo'!B$2:B$746,B1151,'Base bordo'!F$2:F$746,"MAN PREVENTIVA - MECANICA"),0)+IFERROR(SUMIFS('Base bordo'!G$2:G$746,'Base bordo'!C$2:C$746,A1151,'Base bordo'!B$2:B$746,B1151,'Base bordo'!F$2:F$746,"MAN CORRETIVA - MECANICA"),0)</f>
        <v>0</v>
      </c>
      <c r="L1151" s="10">
        <f>IFERROR(SUMIFS('Base bordo'!G$2:G$746,'Base bordo'!C$2:C$746,A1151,'Base bordo'!B$2:B$746,B1151,'Base bordo'!F$2:F$746,"MANUTENCAO - T O"),0)+IFERROR(SUMIFS('Base bordo'!G$2:G$746,'Base bordo'!C$2:C$746,A1151,'Base bordo'!B$2:B$746,B1151,'Base bordo'!F$2:F$746,"MANUTENCAO BORRACHARIA"),0)+IFERROR(SUMIFS('Base bordo'!G$2:G$746,'Base bordo'!C$2:C$746,A1151,'Base bordo'!B$2:B$746,B1151,'Base bordo'!F$2:F$746,"MANUTENCAO EXTERNA  CONCESSIONARIA"),0)+IFERROR(SUMIFS('Base bordo'!G$2:G$746,'Base bordo'!C$2:C$746,A1151,'Base bordo'!B$2:B$746,B1151,'Base bordo'!F$2:F$746,"MANUTENCAO TELEMETRIA"),0)</f>
        <v>0</v>
      </c>
      <c r="M1151" s="10">
        <f>IFERROR(SUMIFS('Base bordo'!G$2:G$746,'Base bordo'!C$2:C$746,A1151,'Base bordo'!B$2:B$746,B1151,'Base bordo'!F$2:F$746,"AGUARDANDO MANUTENCAO"),0)</f>
        <v>0</v>
      </c>
      <c r="N1151" s="10">
        <f>IFERROR(SUMIFS('Base bordo'!G$2:G$746,'Base bordo'!C$2:C$746,A1151,'Base bordo'!B$2:B$746,B1151,'Base bordo'!F$2:F$746,"SEM APONTAMENTO"),0)</f>
        <v>0</v>
      </c>
      <c r="O1151" s="10">
        <f t="shared" si="114"/>
        <v>5.833333333333357E-3</v>
      </c>
      <c r="P1151" s="10">
        <f>IFERROR(SUMIFS('Base bordo'!G$2:G$746,'Base bordo'!C$2:C$746,A1151,'Base bordo'!B$2:B$746,B1151),0)</f>
        <v>3.6686111111111108</v>
      </c>
      <c r="Q1151" s="10">
        <f>IFERROR(SUMIFS('Base bordo'!H$2:H$746,'Base bordo'!C$2:C$746,A1151,'Base bordo'!B$2:B$746,B1151,'Base bordo'!F$2:F$746,"DESLOCAMENTO VAZIO"),0)</f>
        <v>49686.55</v>
      </c>
      <c r="R1151" s="10">
        <f>IFERROR(SUMIFS('Base bordo'!I$2:I$746,'Base bordo'!C$2:C$746,A1151,'Base bordo'!B$2:B$746,B1151,'Base bordo'!F$2:F$746,"DESLOCAMENTO VAZIO"),0)</f>
        <v>1785</v>
      </c>
      <c r="S1151" s="30">
        <f t="shared" si="115"/>
        <v>27.83560224089636</v>
      </c>
      <c r="T1151" s="10">
        <f>IFERROR(SUMIFS('Base bordo'!H$2:H$746,'Base bordo'!C$2:C$746,A1151,'Base bordo'!B$2:B$746,B1151,'Base bordo'!F$2:F$746,"DESLOCAMENTO CARREGADO"),0)</f>
        <v>40544.140000000007</v>
      </c>
      <c r="U1151" s="10">
        <f>IFERROR(SUMIFS('Base bordo'!I$2:I$746,'Base bordo'!C$2:C$746,A1151,'Base bordo'!B$2:B$746,B1151,'Base bordo'!F$2:F$746,"DESLOCAMENTO CARREGADO"),0)</f>
        <v>2114</v>
      </c>
      <c r="V1151" s="30">
        <f t="shared" si="116"/>
        <v>19.178874172185434</v>
      </c>
      <c r="W1151" s="9">
        <f t="shared" si="117"/>
        <v>0.13515559930339974</v>
      </c>
      <c r="X1151" s="9">
        <f t="shared" si="118"/>
        <v>0.16006663133186946</v>
      </c>
      <c r="Y1151" s="9">
        <f t="shared" si="119"/>
        <v>0.7047777693647308</v>
      </c>
    </row>
    <row r="1152" spans="1:25" ht="15" customHeight="1" x14ac:dyDescent="0.35">
      <c r="A1152" s="52">
        <v>8013481</v>
      </c>
      <c r="B1152" s="51">
        <v>46123</v>
      </c>
      <c r="C1152" s="7" t="s">
        <v>124</v>
      </c>
      <c r="D1152" s="10">
        <f>IFERROR(SUMIFS('Base bordo'!G$2:G$746,'Base bordo'!C$2:C$746,A1152,'Base bordo'!B$2:B$746,B1152,'Base bordo'!F$2:F$746,"DESLOCAMENTO VAZIO"),0)</f>
        <v>0.49583333333333335</v>
      </c>
      <c r="E1152" s="10">
        <f>IFERROR(SUMIFS('Base bordo'!G$2:G$746,'Base bordo'!C$2:C$746,A1152,'Base bordo'!B$2:B$746,B1152,'Base bordo'!F$2:F$746,"DESLOCAMENTO CARREGADO"),0)</f>
        <v>0.5872222222222222</v>
      </c>
      <c r="F1152" s="10">
        <f>IFERROR(SUMIFS('Base bordo'!G$2:G$746,'Base bordo'!C$2:C$746,A1152,'Base bordo'!B$2:B$746,B1152,'Base bordo'!F$2:F$746,"DESLOCAMENTO"),0)</f>
        <v>0</v>
      </c>
      <c r="G1152" s="10">
        <f>IFERROR(SUMIFS('Base bordo'!G$2:G$746,'Base bordo'!C$2:C$746,A1152,'Base bordo'!B$2:B$746,B1152,'Base bordo'!F$2:F$746,"CARREGAMENTO"),0)</f>
        <v>0</v>
      </c>
      <c r="H1152" s="10">
        <f>IFERROR(SUMIFS('Base bordo'!G$2:G$746,'Base bordo'!C$2:C$746,A1152,'Base bordo'!B$2:B$746,B1152,'Base bordo'!F$2:F$746,"AGUARDANDO TRANSBORDO"),0)</f>
        <v>0.16916666666666666</v>
      </c>
      <c r="I1152" s="10">
        <f>IFERROR(SUMIFS('Base bordo'!G$2:G$746,'Base bordo'!C$2:C$746,A1152,'Base bordo'!B$2:B$746,B1152,'Base bordo'!F$2:F$746,"PÁTIO INTERNO"),0)+IFERROR(SUMIFS('Base bordo'!G$2:G$746,'Base bordo'!C$2:C$746,A1152,'Base bordo'!B$2:B$746,B1152,'Base bordo'!F$2:F$746,"PÁTIO EXTERNO"),0)+IFERROR(SUMIFS('Base bordo'!G$2:G$746,'Base bordo'!C$2:C$746,A1152,'Base bordo'!B$2:B$746,B1152,'Base bordo'!F$2:F$746,"PATIO - RESERVA"),0)+IFERROR(SUMIFS('Base bordo'!G$2:G$746,'Base bordo'!C$2:C$746,A1152,'Base bordo'!B$2:B$746,B1152,'Base bordo'!F$2:F$746,"MANOBRA CARRETAS-PATIO"),0)</f>
        <v>2.4105555555555553</v>
      </c>
      <c r="J1152" s="10">
        <f>IFERROR(SUMIFS('Base bordo'!G$2:G$746,'Base bordo'!C$2:C$746,A1152,'Base bordo'!B$2:B$746,B1152,'Base bordo'!F$2:F$746,"BALANÇA - ENTRADA"),0)+IFERROR(SUMIFS('Base bordo'!G$2:G$746,'Base bordo'!C$2:C$746,A1152,'Base bordo'!B$2:B$746,B1152,'Base bordo'!F$2:F$746,"BALANÇA - SAÍDA"),0)</f>
        <v>0</v>
      </c>
      <c r="K1152" s="10">
        <f>IFERROR(SUMIFS('Base bordo'!G$2:G$746,'Base bordo'!C$2:C$746,A1152,'Base bordo'!B$2:B$746,B1152,'Base bordo'!F$2:F$746,"MAN PREVENTIVA - MECANICA"),0)+IFERROR(SUMIFS('Base bordo'!G$2:G$746,'Base bordo'!C$2:C$746,A1152,'Base bordo'!B$2:B$746,B1152,'Base bordo'!F$2:F$746,"MAN CORRETIVA - MECANICA"),0)</f>
        <v>0</v>
      </c>
      <c r="L1152" s="10">
        <f>IFERROR(SUMIFS('Base bordo'!G$2:G$746,'Base bordo'!C$2:C$746,A1152,'Base bordo'!B$2:B$746,B1152,'Base bordo'!F$2:F$746,"MANUTENCAO - T O"),0)+IFERROR(SUMIFS('Base bordo'!G$2:G$746,'Base bordo'!C$2:C$746,A1152,'Base bordo'!B$2:B$746,B1152,'Base bordo'!F$2:F$746,"MANUTENCAO BORRACHARIA"),0)+IFERROR(SUMIFS('Base bordo'!G$2:G$746,'Base bordo'!C$2:C$746,A1152,'Base bordo'!B$2:B$746,B1152,'Base bordo'!F$2:F$746,"MANUTENCAO EXTERNA  CONCESSIONARIA"),0)+IFERROR(SUMIFS('Base bordo'!G$2:G$746,'Base bordo'!C$2:C$746,A1152,'Base bordo'!B$2:B$746,B1152,'Base bordo'!F$2:F$746,"MANUTENCAO TELEMETRIA"),0)</f>
        <v>0</v>
      </c>
      <c r="M1152" s="10">
        <f>IFERROR(SUMIFS('Base bordo'!G$2:G$746,'Base bordo'!C$2:C$746,A1152,'Base bordo'!B$2:B$746,B1152,'Base bordo'!F$2:F$746,"AGUARDANDO MANUTENCAO"),0)</f>
        <v>0</v>
      </c>
      <c r="N1152" s="10">
        <f>IFERROR(SUMIFS('Base bordo'!G$2:G$746,'Base bordo'!C$2:C$746,A1152,'Base bordo'!B$2:B$746,B1152,'Base bordo'!F$2:F$746,"SEM APONTAMENTO"),0)</f>
        <v>0</v>
      </c>
      <c r="O1152" s="10">
        <f t="shared" si="114"/>
        <v>5.833333333333357E-3</v>
      </c>
      <c r="P1152" s="10">
        <f>IFERROR(SUMIFS('Base bordo'!G$2:G$746,'Base bordo'!C$2:C$746,A1152,'Base bordo'!B$2:B$746,B1152),0)</f>
        <v>3.6686111111111108</v>
      </c>
      <c r="Q1152" s="10">
        <f>IFERROR(SUMIFS('Base bordo'!H$2:H$746,'Base bordo'!C$2:C$746,A1152,'Base bordo'!B$2:B$746,B1152,'Base bordo'!F$2:F$746,"DESLOCAMENTO VAZIO"),0)</f>
        <v>49686.55</v>
      </c>
      <c r="R1152" s="10">
        <f>IFERROR(SUMIFS('Base bordo'!I$2:I$746,'Base bordo'!C$2:C$746,A1152,'Base bordo'!B$2:B$746,B1152,'Base bordo'!F$2:F$746,"DESLOCAMENTO VAZIO"),0)</f>
        <v>1785</v>
      </c>
      <c r="S1152" s="30">
        <f t="shared" si="115"/>
        <v>27.83560224089636</v>
      </c>
      <c r="T1152" s="10">
        <f>IFERROR(SUMIFS('Base bordo'!H$2:H$746,'Base bordo'!C$2:C$746,A1152,'Base bordo'!B$2:B$746,B1152,'Base bordo'!F$2:F$746,"DESLOCAMENTO CARREGADO"),0)</f>
        <v>40544.140000000007</v>
      </c>
      <c r="U1152" s="10">
        <f>IFERROR(SUMIFS('Base bordo'!I$2:I$746,'Base bordo'!C$2:C$746,A1152,'Base bordo'!B$2:B$746,B1152,'Base bordo'!F$2:F$746,"DESLOCAMENTO CARREGADO"),0)</f>
        <v>2114</v>
      </c>
      <c r="V1152" s="30">
        <f t="shared" si="116"/>
        <v>19.178874172185434</v>
      </c>
      <c r="W1152" s="9">
        <f t="shared" si="117"/>
        <v>0.13515559930339974</v>
      </c>
      <c r="X1152" s="9">
        <f t="shared" si="118"/>
        <v>0.16006663133186946</v>
      </c>
      <c r="Y1152" s="9">
        <f t="shared" si="119"/>
        <v>0.7047777693647308</v>
      </c>
    </row>
    <row r="1153" spans="1:25" ht="15" customHeight="1" x14ac:dyDescent="0.35">
      <c r="A1153" s="52">
        <v>8013481</v>
      </c>
      <c r="B1153" s="51">
        <v>46123</v>
      </c>
      <c r="C1153" s="7" t="s">
        <v>124</v>
      </c>
      <c r="D1153" s="10">
        <f>IFERROR(SUMIFS('Base bordo'!G$2:G$746,'Base bordo'!C$2:C$746,A1153,'Base bordo'!B$2:B$746,B1153,'Base bordo'!F$2:F$746,"DESLOCAMENTO VAZIO"),0)</f>
        <v>0.49583333333333335</v>
      </c>
      <c r="E1153" s="10">
        <f>IFERROR(SUMIFS('Base bordo'!G$2:G$746,'Base bordo'!C$2:C$746,A1153,'Base bordo'!B$2:B$746,B1153,'Base bordo'!F$2:F$746,"DESLOCAMENTO CARREGADO"),0)</f>
        <v>0.5872222222222222</v>
      </c>
      <c r="F1153" s="10">
        <f>IFERROR(SUMIFS('Base bordo'!G$2:G$746,'Base bordo'!C$2:C$746,A1153,'Base bordo'!B$2:B$746,B1153,'Base bordo'!F$2:F$746,"DESLOCAMENTO"),0)</f>
        <v>0</v>
      </c>
      <c r="G1153" s="10">
        <f>IFERROR(SUMIFS('Base bordo'!G$2:G$746,'Base bordo'!C$2:C$746,A1153,'Base bordo'!B$2:B$746,B1153,'Base bordo'!F$2:F$746,"CARREGAMENTO"),0)</f>
        <v>0</v>
      </c>
      <c r="H1153" s="10">
        <f>IFERROR(SUMIFS('Base bordo'!G$2:G$746,'Base bordo'!C$2:C$746,A1153,'Base bordo'!B$2:B$746,B1153,'Base bordo'!F$2:F$746,"AGUARDANDO TRANSBORDO"),0)</f>
        <v>0.16916666666666666</v>
      </c>
      <c r="I1153" s="10">
        <f>IFERROR(SUMIFS('Base bordo'!G$2:G$746,'Base bordo'!C$2:C$746,A1153,'Base bordo'!B$2:B$746,B1153,'Base bordo'!F$2:F$746,"PÁTIO INTERNO"),0)+IFERROR(SUMIFS('Base bordo'!G$2:G$746,'Base bordo'!C$2:C$746,A1153,'Base bordo'!B$2:B$746,B1153,'Base bordo'!F$2:F$746,"PÁTIO EXTERNO"),0)+IFERROR(SUMIFS('Base bordo'!G$2:G$746,'Base bordo'!C$2:C$746,A1153,'Base bordo'!B$2:B$746,B1153,'Base bordo'!F$2:F$746,"PATIO - RESERVA"),0)+IFERROR(SUMIFS('Base bordo'!G$2:G$746,'Base bordo'!C$2:C$746,A1153,'Base bordo'!B$2:B$746,B1153,'Base bordo'!F$2:F$746,"MANOBRA CARRETAS-PATIO"),0)</f>
        <v>2.4105555555555553</v>
      </c>
      <c r="J1153" s="10">
        <f>IFERROR(SUMIFS('Base bordo'!G$2:G$746,'Base bordo'!C$2:C$746,A1153,'Base bordo'!B$2:B$746,B1153,'Base bordo'!F$2:F$746,"BALANÇA - ENTRADA"),0)+IFERROR(SUMIFS('Base bordo'!G$2:G$746,'Base bordo'!C$2:C$746,A1153,'Base bordo'!B$2:B$746,B1153,'Base bordo'!F$2:F$746,"BALANÇA - SAÍDA"),0)</f>
        <v>0</v>
      </c>
      <c r="K1153" s="10">
        <f>IFERROR(SUMIFS('Base bordo'!G$2:G$746,'Base bordo'!C$2:C$746,A1153,'Base bordo'!B$2:B$746,B1153,'Base bordo'!F$2:F$746,"MAN PREVENTIVA - MECANICA"),0)+IFERROR(SUMIFS('Base bordo'!G$2:G$746,'Base bordo'!C$2:C$746,A1153,'Base bordo'!B$2:B$746,B1153,'Base bordo'!F$2:F$746,"MAN CORRETIVA - MECANICA"),0)</f>
        <v>0</v>
      </c>
      <c r="L1153" s="10">
        <f>IFERROR(SUMIFS('Base bordo'!G$2:G$746,'Base bordo'!C$2:C$746,A1153,'Base bordo'!B$2:B$746,B1153,'Base bordo'!F$2:F$746,"MANUTENCAO - T O"),0)+IFERROR(SUMIFS('Base bordo'!G$2:G$746,'Base bordo'!C$2:C$746,A1153,'Base bordo'!B$2:B$746,B1153,'Base bordo'!F$2:F$746,"MANUTENCAO BORRACHARIA"),0)+IFERROR(SUMIFS('Base bordo'!G$2:G$746,'Base bordo'!C$2:C$746,A1153,'Base bordo'!B$2:B$746,B1153,'Base bordo'!F$2:F$746,"MANUTENCAO EXTERNA  CONCESSIONARIA"),0)+IFERROR(SUMIFS('Base bordo'!G$2:G$746,'Base bordo'!C$2:C$746,A1153,'Base bordo'!B$2:B$746,B1153,'Base bordo'!F$2:F$746,"MANUTENCAO TELEMETRIA"),0)</f>
        <v>0</v>
      </c>
      <c r="M1153" s="10">
        <f>IFERROR(SUMIFS('Base bordo'!G$2:G$746,'Base bordo'!C$2:C$746,A1153,'Base bordo'!B$2:B$746,B1153,'Base bordo'!F$2:F$746,"AGUARDANDO MANUTENCAO"),0)</f>
        <v>0</v>
      </c>
      <c r="N1153" s="10">
        <f>IFERROR(SUMIFS('Base bordo'!G$2:G$746,'Base bordo'!C$2:C$746,A1153,'Base bordo'!B$2:B$746,B1153,'Base bordo'!F$2:F$746,"SEM APONTAMENTO"),0)</f>
        <v>0</v>
      </c>
      <c r="O1153" s="10">
        <f t="shared" si="114"/>
        <v>5.833333333333357E-3</v>
      </c>
      <c r="P1153" s="10">
        <f>IFERROR(SUMIFS('Base bordo'!G$2:G$746,'Base bordo'!C$2:C$746,A1153,'Base bordo'!B$2:B$746,B1153),0)</f>
        <v>3.6686111111111108</v>
      </c>
      <c r="Q1153" s="10">
        <f>IFERROR(SUMIFS('Base bordo'!H$2:H$746,'Base bordo'!C$2:C$746,A1153,'Base bordo'!B$2:B$746,B1153,'Base bordo'!F$2:F$746,"DESLOCAMENTO VAZIO"),0)</f>
        <v>49686.55</v>
      </c>
      <c r="R1153" s="10">
        <f>IFERROR(SUMIFS('Base bordo'!I$2:I$746,'Base bordo'!C$2:C$746,A1153,'Base bordo'!B$2:B$746,B1153,'Base bordo'!F$2:F$746,"DESLOCAMENTO VAZIO"),0)</f>
        <v>1785</v>
      </c>
      <c r="S1153" s="30">
        <f t="shared" si="115"/>
        <v>27.83560224089636</v>
      </c>
      <c r="T1153" s="10">
        <f>IFERROR(SUMIFS('Base bordo'!H$2:H$746,'Base bordo'!C$2:C$746,A1153,'Base bordo'!B$2:B$746,B1153,'Base bordo'!F$2:F$746,"DESLOCAMENTO CARREGADO"),0)</f>
        <v>40544.140000000007</v>
      </c>
      <c r="U1153" s="10">
        <f>IFERROR(SUMIFS('Base bordo'!I$2:I$746,'Base bordo'!C$2:C$746,A1153,'Base bordo'!B$2:B$746,B1153,'Base bordo'!F$2:F$746,"DESLOCAMENTO CARREGADO"),0)</f>
        <v>2114</v>
      </c>
      <c r="V1153" s="30">
        <f t="shared" si="116"/>
        <v>19.178874172185434</v>
      </c>
      <c r="W1153" s="9">
        <f t="shared" si="117"/>
        <v>0.13515559930339974</v>
      </c>
      <c r="X1153" s="9">
        <f t="shared" si="118"/>
        <v>0.16006663133186946</v>
      </c>
      <c r="Y1153" s="9">
        <f t="shared" si="119"/>
        <v>0.7047777693647308</v>
      </c>
    </row>
    <row r="1154" spans="1:25" ht="15" customHeight="1" x14ac:dyDescent="0.35">
      <c r="A1154" s="52">
        <v>8013482</v>
      </c>
      <c r="B1154" s="51">
        <v>46123</v>
      </c>
      <c r="C1154" s="7" t="s">
        <v>124</v>
      </c>
      <c r="D1154" s="10">
        <f>IFERROR(SUMIFS('Base bordo'!G$2:G$746,'Base bordo'!C$2:C$746,A1154,'Base bordo'!B$2:B$746,B1154,'Base bordo'!F$2:F$746,"DESLOCAMENTO VAZIO"),0)</f>
        <v>1.418611111111111</v>
      </c>
      <c r="E1154" s="10">
        <f>IFERROR(SUMIFS('Base bordo'!G$2:G$746,'Base bordo'!C$2:C$746,A1154,'Base bordo'!B$2:B$746,B1154,'Base bordo'!F$2:F$746,"DESLOCAMENTO CARREGADO"),0)</f>
        <v>1.481111111111111</v>
      </c>
      <c r="F1154" s="10">
        <f>IFERROR(SUMIFS('Base bordo'!G$2:G$746,'Base bordo'!C$2:C$746,A1154,'Base bordo'!B$2:B$746,B1154,'Base bordo'!F$2:F$746,"DESLOCAMENTO"),0)</f>
        <v>0</v>
      </c>
      <c r="G1154" s="10">
        <f>IFERROR(SUMIFS('Base bordo'!G$2:G$746,'Base bordo'!C$2:C$746,A1154,'Base bordo'!B$2:B$746,B1154,'Base bordo'!F$2:F$746,"CARREGAMENTO"),0)</f>
        <v>0</v>
      </c>
      <c r="H1154" s="10">
        <f>IFERROR(SUMIFS('Base bordo'!G$2:G$746,'Base bordo'!C$2:C$746,A1154,'Base bordo'!B$2:B$746,B1154,'Base bordo'!F$2:F$746,"AGUARDANDO TRANSBORDO"),0)</f>
        <v>0.2361111111111111</v>
      </c>
      <c r="I1154" s="10">
        <f>IFERROR(SUMIFS('Base bordo'!G$2:G$746,'Base bordo'!C$2:C$746,A1154,'Base bordo'!B$2:B$746,B1154,'Base bordo'!F$2:F$746,"PÁTIO INTERNO"),0)+IFERROR(SUMIFS('Base bordo'!G$2:G$746,'Base bordo'!C$2:C$746,A1154,'Base bordo'!B$2:B$746,B1154,'Base bordo'!F$2:F$746,"PÁTIO EXTERNO"),0)+IFERROR(SUMIFS('Base bordo'!G$2:G$746,'Base bordo'!C$2:C$746,A1154,'Base bordo'!B$2:B$746,B1154,'Base bordo'!F$2:F$746,"PATIO - RESERVA"),0)+IFERROR(SUMIFS('Base bordo'!G$2:G$746,'Base bordo'!C$2:C$746,A1154,'Base bordo'!B$2:B$746,B1154,'Base bordo'!F$2:F$746,"MANOBRA CARRETAS-PATIO"),0)</f>
        <v>0</v>
      </c>
      <c r="J1154" s="10">
        <f>IFERROR(SUMIFS('Base bordo'!G$2:G$746,'Base bordo'!C$2:C$746,A1154,'Base bordo'!B$2:B$746,B1154,'Base bordo'!F$2:F$746,"BALANÇA - ENTRADA"),0)+IFERROR(SUMIFS('Base bordo'!G$2:G$746,'Base bordo'!C$2:C$746,A1154,'Base bordo'!B$2:B$746,B1154,'Base bordo'!F$2:F$746,"BALANÇA - SAÍDA"),0)</f>
        <v>0</v>
      </c>
      <c r="K1154" s="10">
        <f>IFERROR(SUMIFS('Base bordo'!G$2:G$746,'Base bordo'!C$2:C$746,A1154,'Base bordo'!B$2:B$746,B1154,'Base bordo'!F$2:F$746,"MAN PREVENTIVA - MECANICA"),0)+IFERROR(SUMIFS('Base bordo'!G$2:G$746,'Base bordo'!C$2:C$746,A1154,'Base bordo'!B$2:B$746,B1154,'Base bordo'!F$2:F$746,"MAN CORRETIVA - MECANICA"),0)</f>
        <v>0</v>
      </c>
      <c r="L1154" s="10">
        <f>IFERROR(SUMIFS('Base bordo'!G$2:G$746,'Base bordo'!C$2:C$746,A1154,'Base bordo'!B$2:B$746,B1154,'Base bordo'!F$2:F$746,"MANUTENCAO - T O"),0)+IFERROR(SUMIFS('Base bordo'!G$2:G$746,'Base bordo'!C$2:C$746,A1154,'Base bordo'!B$2:B$746,B1154,'Base bordo'!F$2:F$746,"MANUTENCAO BORRACHARIA"),0)+IFERROR(SUMIFS('Base bordo'!G$2:G$746,'Base bordo'!C$2:C$746,A1154,'Base bordo'!B$2:B$746,B1154,'Base bordo'!F$2:F$746,"MANUTENCAO EXTERNA  CONCESSIONARIA"),0)+IFERROR(SUMIFS('Base bordo'!G$2:G$746,'Base bordo'!C$2:C$746,A1154,'Base bordo'!B$2:B$746,B1154,'Base bordo'!F$2:F$746,"MANUTENCAO TELEMETRIA"),0)</f>
        <v>0</v>
      </c>
      <c r="M1154" s="10">
        <f>IFERROR(SUMIFS('Base bordo'!G$2:G$746,'Base bordo'!C$2:C$746,A1154,'Base bordo'!B$2:B$746,B1154,'Base bordo'!F$2:F$746,"AGUARDANDO MANUTENCAO"),0)</f>
        <v>0</v>
      </c>
      <c r="N1154" s="10">
        <f>IFERROR(SUMIFS('Base bordo'!G$2:G$746,'Base bordo'!C$2:C$746,A1154,'Base bordo'!B$2:B$746,B1154,'Base bordo'!F$2:F$746,"SEM APONTAMENTO"),0)</f>
        <v>0</v>
      </c>
      <c r="O1154" s="10">
        <f t="shared" si="114"/>
        <v>6.1111111111111782E-3</v>
      </c>
      <c r="P1154" s="10">
        <f>IFERROR(SUMIFS('Base bordo'!G$2:G$746,'Base bordo'!C$2:C$746,A1154,'Base bordo'!B$2:B$746,B1154),0)</f>
        <v>3.1419444444444444</v>
      </c>
      <c r="Q1154" s="10">
        <f>IFERROR(SUMIFS('Base bordo'!H$2:H$746,'Base bordo'!C$2:C$746,A1154,'Base bordo'!B$2:B$746,B1154,'Base bordo'!F$2:F$746,"DESLOCAMENTO VAZIO"),0)</f>
        <v>176641.12</v>
      </c>
      <c r="R1154" s="10">
        <f>IFERROR(SUMIFS('Base bordo'!I$2:I$746,'Base bordo'!C$2:C$746,A1154,'Base bordo'!B$2:B$746,B1154,'Base bordo'!F$2:F$746,"DESLOCAMENTO VAZIO"),0)</f>
        <v>5107</v>
      </c>
      <c r="S1154" s="30">
        <f t="shared" si="115"/>
        <v>34.588039945173293</v>
      </c>
      <c r="T1154" s="10">
        <f>IFERROR(SUMIFS('Base bordo'!H$2:H$746,'Base bordo'!C$2:C$746,A1154,'Base bordo'!B$2:B$746,B1154,'Base bordo'!F$2:F$746,"DESLOCAMENTO CARREGADO"),0)</f>
        <v>111130.40000000001</v>
      </c>
      <c r="U1154" s="10">
        <f>IFERROR(SUMIFS('Base bordo'!I$2:I$746,'Base bordo'!C$2:C$746,A1154,'Base bordo'!B$2:B$746,B1154,'Base bordo'!F$2:F$746,"DESLOCAMENTO CARREGADO"),0)</f>
        <v>5332</v>
      </c>
      <c r="V1154" s="30">
        <f t="shared" si="116"/>
        <v>20.842160540135037</v>
      </c>
      <c r="W1154" s="9">
        <f t="shared" si="117"/>
        <v>0.45150738219432407</v>
      </c>
      <c r="X1154" s="9">
        <f t="shared" si="118"/>
        <v>0.47139952258863049</v>
      </c>
      <c r="Y1154" s="9">
        <f t="shared" si="119"/>
        <v>7.7093095217045438E-2</v>
      </c>
    </row>
    <row r="1155" spans="1:25" ht="15" customHeight="1" x14ac:dyDescent="0.35">
      <c r="A1155" s="52">
        <v>8013482</v>
      </c>
      <c r="B1155" s="51">
        <v>46123</v>
      </c>
      <c r="C1155" s="7" t="s">
        <v>124</v>
      </c>
      <c r="D1155" s="10">
        <f>IFERROR(SUMIFS('Base bordo'!G$2:G$746,'Base bordo'!C$2:C$746,A1155,'Base bordo'!B$2:B$746,B1155,'Base bordo'!F$2:F$746,"DESLOCAMENTO VAZIO"),0)</f>
        <v>1.418611111111111</v>
      </c>
      <c r="E1155" s="10">
        <f>IFERROR(SUMIFS('Base bordo'!G$2:G$746,'Base bordo'!C$2:C$746,A1155,'Base bordo'!B$2:B$746,B1155,'Base bordo'!F$2:F$746,"DESLOCAMENTO CARREGADO"),0)</f>
        <v>1.481111111111111</v>
      </c>
      <c r="F1155" s="10">
        <f>IFERROR(SUMIFS('Base bordo'!G$2:G$746,'Base bordo'!C$2:C$746,A1155,'Base bordo'!B$2:B$746,B1155,'Base bordo'!F$2:F$746,"DESLOCAMENTO"),0)</f>
        <v>0</v>
      </c>
      <c r="G1155" s="10">
        <f>IFERROR(SUMIFS('Base bordo'!G$2:G$746,'Base bordo'!C$2:C$746,A1155,'Base bordo'!B$2:B$746,B1155,'Base bordo'!F$2:F$746,"CARREGAMENTO"),0)</f>
        <v>0</v>
      </c>
      <c r="H1155" s="10">
        <f>IFERROR(SUMIFS('Base bordo'!G$2:G$746,'Base bordo'!C$2:C$746,A1155,'Base bordo'!B$2:B$746,B1155,'Base bordo'!F$2:F$746,"AGUARDANDO TRANSBORDO"),0)</f>
        <v>0.2361111111111111</v>
      </c>
      <c r="I1155" s="10">
        <f>IFERROR(SUMIFS('Base bordo'!G$2:G$746,'Base bordo'!C$2:C$746,A1155,'Base bordo'!B$2:B$746,B1155,'Base bordo'!F$2:F$746,"PÁTIO INTERNO"),0)+IFERROR(SUMIFS('Base bordo'!G$2:G$746,'Base bordo'!C$2:C$746,A1155,'Base bordo'!B$2:B$746,B1155,'Base bordo'!F$2:F$746,"PÁTIO EXTERNO"),0)+IFERROR(SUMIFS('Base bordo'!G$2:G$746,'Base bordo'!C$2:C$746,A1155,'Base bordo'!B$2:B$746,B1155,'Base bordo'!F$2:F$746,"PATIO - RESERVA"),0)+IFERROR(SUMIFS('Base bordo'!G$2:G$746,'Base bordo'!C$2:C$746,A1155,'Base bordo'!B$2:B$746,B1155,'Base bordo'!F$2:F$746,"MANOBRA CARRETAS-PATIO"),0)</f>
        <v>0</v>
      </c>
      <c r="J1155" s="10">
        <f>IFERROR(SUMIFS('Base bordo'!G$2:G$746,'Base bordo'!C$2:C$746,A1155,'Base bordo'!B$2:B$746,B1155,'Base bordo'!F$2:F$746,"BALANÇA - ENTRADA"),0)+IFERROR(SUMIFS('Base bordo'!G$2:G$746,'Base bordo'!C$2:C$746,A1155,'Base bordo'!B$2:B$746,B1155,'Base bordo'!F$2:F$746,"BALANÇA - SAÍDA"),0)</f>
        <v>0</v>
      </c>
      <c r="K1155" s="10">
        <f>IFERROR(SUMIFS('Base bordo'!G$2:G$746,'Base bordo'!C$2:C$746,A1155,'Base bordo'!B$2:B$746,B1155,'Base bordo'!F$2:F$746,"MAN PREVENTIVA - MECANICA"),0)+IFERROR(SUMIFS('Base bordo'!G$2:G$746,'Base bordo'!C$2:C$746,A1155,'Base bordo'!B$2:B$746,B1155,'Base bordo'!F$2:F$746,"MAN CORRETIVA - MECANICA"),0)</f>
        <v>0</v>
      </c>
      <c r="L1155" s="10">
        <f>IFERROR(SUMIFS('Base bordo'!G$2:G$746,'Base bordo'!C$2:C$746,A1155,'Base bordo'!B$2:B$746,B1155,'Base bordo'!F$2:F$746,"MANUTENCAO - T O"),0)+IFERROR(SUMIFS('Base bordo'!G$2:G$746,'Base bordo'!C$2:C$746,A1155,'Base bordo'!B$2:B$746,B1155,'Base bordo'!F$2:F$746,"MANUTENCAO BORRACHARIA"),0)+IFERROR(SUMIFS('Base bordo'!G$2:G$746,'Base bordo'!C$2:C$746,A1155,'Base bordo'!B$2:B$746,B1155,'Base bordo'!F$2:F$746,"MANUTENCAO EXTERNA  CONCESSIONARIA"),0)+IFERROR(SUMIFS('Base bordo'!G$2:G$746,'Base bordo'!C$2:C$746,A1155,'Base bordo'!B$2:B$746,B1155,'Base bordo'!F$2:F$746,"MANUTENCAO TELEMETRIA"),0)</f>
        <v>0</v>
      </c>
      <c r="M1155" s="10">
        <f>IFERROR(SUMIFS('Base bordo'!G$2:G$746,'Base bordo'!C$2:C$746,A1155,'Base bordo'!B$2:B$746,B1155,'Base bordo'!F$2:F$746,"AGUARDANDO MANUTENCAO"),0)</f>
        <v>0</v>
      </c>
      <c r="N1155" s="10">
        <f>IFERROR(SUMIFS('Base bordo'!G$2:G$746,'Base bordo'!C$2:C$746,A1155,'Base bordo'!B$2:B$746,B1155,'Base bordo'!F$2:F$746,"SEM APONTAMENTO"),0)</f>
        <v>0</v>
      </c>
      <c r="O1155" s="10">
        <f t="shared" si="114"/>
        <v>6.1111111111111782E-3</v>
      </c>
      <c r="P1155" s="10">
        <f>IFERROR(SUMIFS('Base bordo'!G$2:G$746,'Base bordo'!C$2:C$746,A1155,'Base bordo'!B$2:B$746,B1155),0)</f>
        <v>3.1419444444444444</v>
      </c>
      <c r="Q1155" s="10">
        <f>IFERROR(SUMIFS('Base bordo'!H$2:H$746,'Base bordo'!C$2:C$746,A1155,'Base bordo'!B$2:B$746,B1155,'Base bordo'!F$2:F$746,"DESLOCAMENTO VAZIO"),0)</f>
        <v>176641.12</v>
      </c>
      <c r="R1155" s="10">
        <f>IFERROR(SUMIFS('Base bordo'!I$2:I$746,'Base bordo'!C$2:C$746,A1155,'Base bordo'!B$2:B$746,B1155,'Base bordo'!F$2:F$746,"DESLOCAMENTO VAZIO"),0)</f>
        <v>5107</v>
      </c>
      <c r="S1155" s="30">
        <f t="shared" si="115"/>
        <v>34.588039945173293</v>
      </c>
      <c r="T1155" s="10">
        <f>IFERROR(SUMIFS('Base bordo'!H$2:H$746,'Base bordo'!C$2:C$746,A1155,'Base bordo'!B$2:B$746,B1155,'Base bordo'!F$2:F$746,"DESLOCAMENTO CARREGADO"),0)</f>
        <v>111130.40000000001</v>
      </c>
      <c r="U1155" s="10">
        <f>IFERROR(SUMIFS('Base bordo'!I$2:I$746,'Base bordo'!C$2:C$746,A1155,'Base bordo'!B$2:B$746,B1155,'Base bordo'!F$2:F$746,"DESLOCAMENTO CARREGADO"),0)</f>
        <v>5332</v>
      </c>
      <c r="V1155" s="30">
        <f t="shared" si="116"/>
        <v>20.842160540135037</v>
      </c>
      <c r="W1155" s="9">
        <f t="shared" si="117"/>
        <v>0.45150738219432407</v>
      </c>
      <c r="X1155" s="9">
        <f t="shared" si="118"/>
        <v>0.47139952258863049</v>
      </c>
      <c r="Y1155" s="9">
        <f t="shared" si="119"/>
        <v>7.7093095217045438E-2</v>
      </c>
    </row>
    <row r="1156" spans="1:25" ht="15" customHeight="1" x14ac:dyDescent="0.35">
      <c r="A1156" s="52">
        <v>8013482</v>
      </c>
      <c r="B1156" s="51">
        <v>46123</v>
      </c>
      <c r="C1156" s="7" t="s">
        <v>124</v>
      </c>
      <c r="D1156" s="10">
        <f>IFERROR(SUMIFS('Base bordo'!G$2:G$746,'Base bordo'!C$2:C$746,A1156,'Base bordo'!B$2:B$746,B1156,'Base bordo'!F$2:F$746,"DESLOCAMENTO VAZIO"),0)</f>
        <v>1.418611111111111</v>
      </c>
      <c r="E1156" s="10">
        <f>IFERROR(SUMIFS('Base bordo'!G$2:G$746,'Base bordo'!C$2:C$746,A1156,'Base bordo'!B$2:B$746,B1156,'Base bordo'!F$2:F$746,"DESLOCAMENTO CARREGADO"),0)</f>
        <v>1.481111111111111</v>
      </c>
      <c r="F1156" s="10">
        <f>IFERROR(SUMIFS('Base bordo'!G$2:G$746,'Base bordo'!C$2:C$746,A1156,'Base bordo'!B$2:B$746,B1156,'Base bordo'!F$2:F$746,"DESLOCAMENTO"),0)</f>
        <v>0</v>
      </c>
      <c r="G1156" s="10">
        <f>IFERROR(SUMIFS('Base bordo'!G$2:G$746,'Base bordo'!C$2:C$746,A1156,'Base bordo'!B$2:B$746,B1156,'Base bordo'!F$2:F$746,"CARREGAMENTO"),0)</f>
        <v>0</v>
      </c>
      <c r="H1156" s="10">
        <f>IFERROR(SUMIFS('Base bordo'!G$2:G$746,'Base bordo'!C$2:C$746,A1156,'Base bordo'!B$2:B$746,B1156,'Base bordo'!F$2:F$746,"AGUARDANDO TRANSBORDO"),0)</f>
        <v>0.2361111111111111</v>
      </c>
      <c r="I1156" s="10">
        <f>IFERROR(SUMIFS('Base bordo'!G$2:G$746,'Base bordo'!C$2:C$746,A1156,'Base bordo'!B$2:B$746,B1156,'Base bordo'!F$2:F$746,"PÁTIO INTERNO"),0)+IFERROR(SUMIFS('Base bordo'!G$2:G$746,'Base bordo'!C$2:C$746,A1156,'Base bordo'!B$2:B$746,B1156,'Base bordo'!F$2:F$746,"PÁTIO EXTERNO"),0)+IFERROR(SUMIFS('Base bordo'!G$2:G$746,'Base bordo'!C$2:C$746,A1156,'Base bordo'!B$2:B$746,B1156,'Base bordo'!F$2:F$746,"PATIO - RESERVA"),0)+IFERROR(SUMIFS('Base bordo'!G$2:G$746,'Base bordo'!C$2:C$746,A1156,'Base bordo'!B$2:B$746,B1156,'Base bordo'!F$2:F$746,"MANOBRA CARRETAS-PATIO"),0)</f>
        <v>0</v>
      </c>
      <c r="J1156" s="10">
        <f>IFERROR(SUMIFS('Base bordo'!G$2:G$746,'Base bordo'!C$2:C$746,A1156,'Base bordo'!B$2:B$746,B1156,'Base bordo'!F$2:F$746,"BALANÇA - ENTRADA"),0)+IFERROR(SUMIFS('Base bordo'!G$2:G$746,'Base bordo'!C$2:C$746,A1156,'Base bordo'!B$2:B$746,B1156,'Base bordo'!F$2:F$746,"BALANÇA - SAÍDA"),0)</f>
        <v>0</v>
      </c>
      <c r="K1156" s="10">
        <f>IFERROR(SUMIFS('Base bordo'!G$2:G$746,'Base bordo'!C$2:C$746,A1156,'Base bordo'!B$2:B$746,B1156,'Base bordo'!F$2:F$746,"MAN PREVENTIVA - MECANICA"),0)+IFERROR(SUMIFS('Base bordo'!G$2:G$746,'Base bordo'!C$2:C$746,A1156,'Base bordo'!B$2:B$746,B1156,'Base bordo'!F$2:F$746,"MAN CORRETIVA - MECANICA"),0)</f>
        <v>0</v>
      </c>
      <c r="L1156" s="10">
        <f>IFERROR(SUMIFS('Base bordo'!G$2:G$746,'Base bordo'!C$2:C$746,A1156,'Base bordo'!B$2:B$746,B1156,'Base bordo'!F$2:F$746,"MANUTENCAO - T O"),0)+IFERROR(SUMIFS('Base bordo'!G$2:G$746,'Base bordo'!C$2:C$746,A1156,'Base bordo'!B$2:B$746,B1156,'Base bordo'!F$2:F$746,"MANUTENCAO BORRACHARIA"),0)+IFERROR(SUMIFS('Base bordo'!G$2:G$746,'Base bordo'!C$2:C$746,A1156,'Base bordo'!B$2:B$746,B1156,'Base bordo'!F$2:F$746,"MANUTENCAO EXTERNA  CONCESSIONARIA"),0)+IFERROR(SUMIFS('Base bordo'!G$2:G$746,'Base bordo'!C$2:C$746,A1156,'Base bordo'!B$2:B$746,B1156,'Base bordo'!F$2:F$746,"MANUTENCAO TELEMETRIA"),0)</f>
        <v>0</v>
      </c>
      <c r="M1156" s="10">
        <f>IFERROR(SUMIFS('Base bordo'!G$2:G$746,'Base bordo'!C$2:C$746,A1156,'Base bordo'!B$2:B$746,B1156,'Base bordo'!F$2:F$746,"AGUARDANDO MANUTENCAO"),0)</f>
        <v>0</v>
      </c>
      <c r="N1156" s="10">
        <f>IFERROR(SUMIFS('Base bordo'!G$2:G$746,'Base bordo'!C$2:C$746,A1156,'Base bordo'!B$2:B$746,B1156,'Base bordo'!F$2:F$746,"SEM APONTAMENTO"),0)</f>
        <v>0</v>
      </c>
      <c r="O1156" s="10">
        <f t="shared" si="114"/>
        <v>6.1111111111111782E-3</v>
      </c>
      <c r="P1156" s="10">
        <f>IFERROR(SUMIFS('Base bordo'!G$2:G$746,'Base bordo'!C$2:C$746,A1156,'Base bordo'!B$2:B$746,B1156),0)</f>
        <v>3.1419444444444444</v>
      </c>
      <c r="Q1156" s="10">
        <f>IFERROR(SUMIFS('Base bordo'!H$2:H$746,'Base bordo'!C$2:C$746,A1156,'Base bordo'!B$2:B$746,B1156,'Base bordo'!F$2:F$746,"DESLOCAMENTO VAZIO"),0)</f>
        <v>176641.12</v>
      </c>
      <c r="R1156" s="10">
        <f>IFERROR(SUMIFS('Base bordo'!I$2:I$746,'Base bordo'!C$2:C$746,A1156,'Base bordo'!B$2:B$746,B1156,'Base bordo'!F$2:F$746,"DESLOCAMENTO VAZIO"),0)</f>
        <v>5107</v>
      </c>
      <c r="S1156" s="30">
        <f t="shared" si="115"/>
        <v>34.588039945173293</v>
      </c>
      <c r="T1156" s="10">
        <f>IFERROR(SUMIFS('Base bordo'!H$2:H$746,'Base bordo'!C$2:C$746,A1156,'Base bordo'!B$2:B$746,B1156,'Base bordo'!F$2:F$746,"DESLOCAMENTO CARREGADO"),0)</f>
        <v>111130.40000000001</v>
      </c>
      <c r="U1156" s="10">
        <f>IFERROR(SUMIFS('Base bordo'!I$2:I$746,'Base bordo'!C$2:C$746,A1156,'Base bordo'!B$2:B$746,B1156,'Base bordo'!F$2:F$746,"DESLOCAMENTO CARREGADO"),0)</f>
        <v>5332</v>
      </c>
      <c r="V1156" s="30">
        <f t="shared" si="116"/>
        <v>20.842160540135037</v>
      </c>
      <c r="W1156" s="9">
        <f t="shared" si="117"/>
        <v>0.45150738219432407</v>
      </c>
      <c r="X1156" s="9">
        <f t="shared" si="118"/>
        <v>0.47139952258863049</v>
      </c>
      <c r="Y1156" s="9">
        <f t="shared" si="119"/>
        <v>7.7093095217045438E-2</v>
      </c>
    </row>
    <row r="1157" spans="1:25" ht="15" customHeight="1" x14ac:dyDescent="0.35">
      <c r="A1157" s="52">
        <v>8013483</v>
      </c>
      <c r="B1157" s="51">
        <v>46123</v>
      </c>
      <c r="C1157" s="7" t="s">
        <v>124</v>
      </c>
      <c r="D1157" s="10">
        <f>IFERROR(SUMIFS('Base bordo'!G$2:G$746,'Base bordo'!C$2:C$746,A1157,'Base bordo'!B$2:B$746,B1157,'Base bordo'!F$2:F$746,"DESLOCAMENTO VAZIO"),0)</f>
        <v>2.875</v>
      </c>
      <c r="E1157" s="10">
        <f>IFERROR(SUMIFS('Base bordo'!G$2:G$746,'Base bordo'!C$2:C$746,A1157,'Base bordo'!B$2:B$746,B1157,'Base bordo'!F$2:F$746,"DESLOCAMENTO CARREGADO"),0)</f>
        <v>1.3638888888888889</v>
      </c>
      <c r="F1157" s="10">
        <f>IFERROR(SUMIFS('Base bordo'!G$2:G$746,'Base bordo'!C$2:C$746,A1157,'Base bordo'!B$2:B$746,B1157,'Base bordo'!F$2:F$746,"DESLOCAMENTO"),0)</f>
        <v>0.20861111111111111</v>
      </c>
      <c r="G1157" s="10">
        <f>IFERROR(SUMIFS('Base bordo'!G$2:G$746,'Base bordo'!C$2:C$746,A1157,'Base bordo'!B$2:B$746,B1157,'Base bordo'!F$2:F$746,"CARREGAMENTO"),0)</f>
        <v>0</v>
      </c>
      <c r="H1157" s="10">
        <f>IFERROR(SUMIFS('Base bordo'!G$2:G$746,'Base bordo'!C$2:C$746,A1157,'Base bordo'!B$2:B$746,B1157,'Base bordo'!F$2:F$746,"AGUARDANDO TRANSBORDO"),0)</f>
        <v>0.54722222222222228</v>
      </c>
      <c r="I1157" s="10">
        <f>IFERROR(SUMIFS('Base bordo'!G$2:G$746,'Base bordo'!C$2:C$746,A1157,'Base bordo'!B$2:B$746,B1157,'Base bordo'!F$2:F$746,"PÁTIO INTERNO"),0)+IFERROR(SUMIFS('Base bordo'!G$2:G$746,'Base bordo'!C$2:C$746,A1157,'Base bordo'!B$2:B$746,B1157,'Base bordo'!F$2:F$746,"PÁTIO EXTERNO"),0)+IFERROR(SUMIFS('Base bordo'!G$2:G$746,'Base bordo'!C$2:C$746,A1157,'Base bordo'!B$2:B$746,B1157,'Base bordo'!F$2:F$746,"PATIO - RESERVA"),0)+IFERROR(SUMIFS('Base bordo'!G$2:G$746,'Base bordo'!C$2:C$746,A1157,'Base bordo'!B$2:B$746,B1157,'Base bordo'!F$2:F$746,"MANOBRA CARRETAS-PATIO"),0)</f>
        <v>0.5708333333333333</v>
      </c>
      <c r="J1157" s="10">
        <f>IFERROR(SUMIFS('Base bordo'!G$2:G$746,'Base bordo'!C$2:C$746,A1157,'Base bordo'!B$2:B$746,B1157,'Base bordo'!F$2:F$746,"BALANÇA - ENTRADA"),0)+IFERROR(SUMIFS('Base bordo'!G$2:G$746,'Base bordo'!C$2:C$746,A1157,'Base bordo'!B$2:B$746,B1157,'Base bordo'!F$2:F$746,"BALANÇA - SAÍDA"),0)</f>
        <v>0</v>
      </c>
      <c r="K1157" s="10">
        <f>IFERROR(SUMIFS('Base bordo'!G$2:G$746,'Base bordo'!C$2:C$746,A1157,'Base bordo'!B$2:B$746,B1157,'Base bordo'!F$2:F$746,"MAN PREVENTIVA - MECANICA"),0)+IFERROR(SUMIFS('Base bordo'!G$2:G$746,'Base bordo'!C$2:C$746,A1157,'Base bordo'!B$2:B$746,B1157,'Base bordo'!F$2:F$746,"MAN CORRETIVA - MECANICA"),0)</f>
        <v>0</v>
      </c>
      <c r="L1157" s="10">
        <f>IFERROR(SUMIFS('Base bordo'!G$2:G$746,'Base bordo'!C$2:C$746,A1157,'Base bordo'!B$2:B$746,B1157,'Base bordo'!F$2:F$746,"MANUTENCAO - T O"),0)+IFERROR(SUMIFS('Base bordo'!G$2:G$746,'Base bordo'!C$2:C$746,A1157,'Base bordo'!B$2:B$746,B1157,'Base bordo'!F$2:F$746,"MANUTENCAO BORRACHARIA"),0)+IFERROR(SUMIFS('Base bordo'!G$2:G$746,'Base bordo'!C$2:C$746,A1157,'Base bordo'!B$2:B$746,B1157,'Base bordo'!F$2:F$746,"MANUTENCAO EXTERNA  CONCESSIONARIA"),0)+IFERROR(SUMIFS('Base bordo'!G$2:G$746,'Base bordo'!C$2:C$746,A1157,'Base bordo'!B$2:B$746,B1157,'Base bordo'!F$2:F$746,"MANUTENCAO TELEMETRIA"),0)</f>
        <v>0</v>
      </c>
      <c r="M1157" s="10">
        <f>IFERROR(SUMIFS('Base bordo'!G$2:G$746,'Base bordo'!C$2:C$746,A1157,'Base bordo'!B$2:B$746,B1157,'Base bordo'!F$2:F$746,"AGUARDANDO MANUTENCAO"),0)</f>
        <v>0</v>
      </c>
      <c r="N1157" s="10">
        <f>IFERROR(SUMIFS('Base bordo'!G$2:G$746,'Base bordo'!C$2:C$746,A1157,'Base bordo'!B$2:B$746,B1157,'Base bordo'!F$2:F$746,"SEM APONTAMENTO"),0)</f>
        <v>0</v>
      </c>
      <c r="O1157" s="10">
        <f t="shared" si="114"/>
        <v>0.27361111111111125</v>
      </c>
      <c r="P1157" s="10">
        <f>IFERROR(SUMIFS('Base bordo'!G$2:G$746,'Base bordo'!C$2:C$746,A1157,'Base bordo'!B$2:B$746,B1157),0)</f>
        <v>5.8391666666666664</v>
      </c>
      <c r="Q1157" s="10">
        <f>IFERROR(SUMIFS('Base bordo'!H$2:H$746,'Base bordo'!C$2:C$746,A1157,'Base bordo'!B$2:B$746,B1157,'Base bordo'!F$2:F$746,"DESLOCAMENTO VAZIO"),0)</f>
        <v>352932.77</v>
      </c>
      <c r="R1157" s="10">
        <f>IFERROR(SUMIFS('Base bordo'!I$2:I$746,'Base bordo'!C$2:C$746,A1157,'Base bordo'!B$2:B$746,B1157,'Base bordo'!F$2:F$746,"DESLOCAMENTO VAZIO"),0)</f>
        <v>10350</v>
      </c>
      <c r="S1157" s="30">
        <f t="shared" si="115"/>
        <v>34.099784541062803</v>
      </c>
      <c r="T1157" s="10">
        <f>IFERROR(SUMIFS('Base bordo'!H$2:H$746,'Base bordo'!C$2:C$746,A1157,'Base bordo'!B$2:B$746,B1157,'Base bordo'!F$2:F$746,"DESLOCAMENTO CARREGADO"),0)</f>
        <v>73870.23000000001</v>
      </c>
      <c r="U1157" s="10">
        <f>IFERROR(SUMIFS('Base bordo'!I$2:I$746,'Base bordo'!C$2:C$746,A1157,'Base bordo'!B$2:B$746,B1157,'Base bordo'!F$2:F$746,"DESLOCAMENTO CARREGADO"),0)</f>
        <v>4910</v>
      </c>
      <c r="V1157" s="30">
        <f t="shared" si="116"/>
        <v>15.044853360488801</v>
      </c>
      <c r="W1157" s="9">
        <f t="shared" si="117"/>
        <v>0.49236477807906381</v>
      </c>
      <c r="X1157" s="9">
        <f t="shared" si="118"/>
        <v>0.23357594786166216</v>
      </c>
      <c r="Y1157" s="9">
        <f t="shared" si="119"/>
        <v>0.27405927405927399</v>
      </c>
    </row>
    <row r="1158" spans="1:25" ht="15" customHeight="1" x14ac:dyDescent="0.35">
      <c r="A1158" s="52">
        <v>8013483</v>
      </c>
      <c r="B1158" s="51">
        <v>46123</v>
      </c>
      <c r="C1158" s="7" t="s">
        <v>124</v>
      </c>
      <c r="D1158" s="10">
        <f>IFERROR(SUMIFS('Base bordo'!G$2:G$746,'Base bordo'!C$2:C$746,A1158,'Base bordo'!B$2:B$746,B1158,'Base bordo'!F$2:F$746,"DESLOCAMENTO VAZIO"),0)</f>
        <v>2.875</v>
      </c>
      <c r="E1158" s="10">
        <f>IFERROR(SUMIFS('Base bordo'!G$2:G$746,'Base bordo'!C$2:C$746,A1158,'Base bordo'!B$2:B$746,B1158,'Base bordo'!F$2:F$746,"DESLOCAMENTO CARREGADO"),0)</f>
        <v>1.3638888888888889</v>
      </c>
      <c r="F1158" s="10">
        <f>IFERROR(SUMIFS('Base bordo'!G$2:G$746,'Base bordo'!C$2:C$746,A1158,'Base bordo'!B$2:B$746,B1158,'Base bordo'!F$2:F$746,"DESLOCAMENTO"),0)</f>
        <v>0.20861111111111111</v>
      </c>
      <c r="G1158" s="10">
        <f>IFERROR(SUMIFS('Base bordo'!G$2:G$746,'Base bordo'!C$2:C$746,A1158,'Base bordo'!B$2:B$746,B1158,'Base bordo'!F$2:F$746,"CARREGAMENTO"),0)</f>
        <v>0</v>
      </c>
      <c r="H1158" s="10">
        <f>IFERROR(SUMIFS('Base bordo'!G$2:G$746,'Base bordo'!C$2:C$746,A1158,'Base bordo'!B$2:B$746,B1158,'Base bordo'!F$2:F$746,"AGUARDANDO TRANSBORDO"),0)</f>
        <v>0.54722222222222228</v>
      </c>
      <c r="I1158" s="10">
        <f>IFERROR(SUMIFS('Base bordo'!G$2:G$746,'Base bordo'!C$2:C$746,A1158,'Base bordo'!B$2:B$746,B1158,'Base bordo'!F$2:F$746,"PÁTIO INTERNO"),0)+IFERROR(SUMIFS('Base bordo'!G$2:G$746,'Base bordo'!C$2:C$746,A1158,'Base bordo'!B$2:B$746,B1158,'Base bordo'!F$2:F$746,"PÁTIO EXTERNO"),0)+IFERROR(SUMIFS('Base bordo'!G$2:G$746,'Base bordo'!C$2:C$746,A1158,'Base bordo'!B$2:B$746,B1158,'Base bordo'!F$2:F$746,"PATIO - RESERVA"),0)+IFERROR(SUMIFS('Base bordo'!G$2:G$746,'Base bordo'!C$2:C$746,A1158,'Base bordo'!B$2:B$746,B1158,'Base bordo'!F$2:F$746,"MANOBRA CARRETAS-PATIO"),0)</f>
        <v>0.5708333333333333</v>
      </c>
      <c r="J1158" s="10">
        <f>IFERROR(SUMIFS('Base bordo'!G$2:G$746,'Base bordo'!C$2:C$746,A1158,'Base bordo'!B$2:B$746,B1158,'Base bordo'!F$2:F$746,"BALANÇA - ENTRADA"),0)+IFERROR(SUMIFS('Base bordo'!G$2:G$746,'Base bordo'!C$2:C$746,A1158,'Base bordo'!B$2:B$746,B1158,'Base bordo'!F$2:F$746,"BALANÇA - SAÍDA"),0)</f>
        <v>0</v>
      </c>
      <c r="K1158" s="10">
        <f>IFERROR(SUMIFS('Base bordo'!G$2:G$746,'Base bordo'!C$2:C$746,A1158,'Base bordo'!B$2:B$746,B1158,'Base bordo'!F$2:F$746,"MAN PREVENTIVA - MECANICA"),0)+IFERROR(SUMIFS('Base bordo'!G$2:G$746,'Base bordo'!C$2:C$746,A1158,'Base bordo'!B$2:B$746,B1158,'Base bordo'!F$2:F$746,"MAN CORRETIVA - MECANICA"),0)</f>
        <v>0</v>
      </c>
      <c r="L1158" s="10">
        <f>IFERROR(SUMIFS('Base bordo'!G$2:G$746,'Base bordo'!C$2:C$746,A1158,'Base bordo'!B$2:B$746,B1158,'Base bordo'!F$2:F$746,"MANUTENCAO - T O"),0)+IFERROR(SUMIFS('Base bordo'!G$2:G$746,'Base bordo'!C$2:C$746,A1158,'Base bordo'!B$2:B$746,B1158,'Base bordo'!F$2:F$746,"MANUTENCAO BORRACHARIA"),0)+IFERROR(SUMIFS('Base bordo'!G$2:G$746,'Base bordo'!C$2:C$746,A1158,'Base bordo'!B$2:B$746,B1158,'Base bordo'!F$2:F$746,"MANUTENCAO EXTERNA  CONCESSIONARIA"),0)+IFERROR(SUMIFS('Base bordo'!G$2:G$746,'Base bordo'!C$2:C$746,A1158,'Base bordo'!B$2:B$746,B1158,'Base bordo'!F$2:F$746,"MANUTENCAO TELEMETRIA"),0)</f>
        <v>0</v>
      </c>
      <c r="M1158" s="10">
        <f>IFERROR(SUMIFS('Base bordo'!G$2:G$746,'Base bordo'!C$2:C$746,A1158,'Base bordo'!B$2:B$746,B1158,'Base bordo'!F$2:F$746,"AGUARDANDO MANUTENCAO"),0)</f>
        <v>0</v>
      </c>
      <c r="N1158" s="10">
        <f>IFERROR(SUMIFS('Base bordo'!G$2:G$746,'Base bordo'!C$2:C$746,A1158,'Base bordo'!B$2:B$746,B1158,'Base bordo'!F$2:F$746,"SEM APONTAMENTO"),0)</f>
        <v>0</v>
      </c>
      <c r="O1158" s="10">
        <f t="shared" si="114"/>
        <v>0.27361111111111125</v>
      </c>
      <c r="P1158" s="10">
        <f>IFERROR(SUMIFS('Base bordo'!G$2:G$746,'Base bordo'!C$2:C$746,A1158,'Base bordo'!B$2:B$746,B1158),0)</f>
        <v>5.8391666666666664</v>
      </c>
      <c r="Q1158" s="10">
        <f>IFERROR(SUMIFS('Base bordo'!H$2:H$746,'Base bordo'!C$2:C$746,A1158,'Base bordo'!B$2:B$746,B1158,'Base bordo'!F$2:F$746,"DESLOCAMENTO VAZIO"),0)</f>
        <v>352932.77</v>
      </c>
      <c r="R1158" s="10">
        <f>IFERROR(SUMIFS('Base bordo'!I$2:I$746,'Base bordo'!C$2:C$746,A1158,'Base bordo'!B$2:B$746,B1158,'Base bordo'!F$2:F$746,"DESLOCAMENTO VAZIO"),0)</f>
        <v>10350</v>
      </c>
      <c r="S1158" s="30">
        <f t="shared" si="115"/>
        <v>34.099784541062803</v>
      </c>
      <c r="T1158" s="10">
        <f>IFERROR(SUMIFS('Base bordo'!H$2:H$746,'Base bordo'!C$2:C$746,A1158,'Base bordo'!B$2:B$746,B1158,'Base bordo'!F$2:F$746,"DESLOCAMENTO CARREGADO"),0)</f>
        <v>73870.23000000001</v>
      </c>
      <c r="U1158" s="10">
        <f>IFERROR(SUMIFS('Base bordo'!I$2:I$746,'Base bordo'!C$2:C$746,A1158,'Base bordo'!B$2:B$746,B1158,'Base bordo'!F$2:F$746,"DESLOCAMENTO CARREGADO"),0)</f>
        <v>4910</v>
      </c>
      <c r="V1158" s="30">
        <f t="shared" si="116"/>
        <v>15.044853360488801</v>
      </c>
      <c r="W1158" s="9">
        <f t="shared" si="117"/>
        <v>0.49236477807906381</v>
      </c>
      <c r="X1158" s="9">
        <f t="shared" si="118"/>
        <v>0.23357594786166216</v>
      </c>
      <c r="Y1158" s="9">
        <f t="shared" si="119"/>
        <v>0.27405927405927399</v>
      </c>
    </row>
    <row r="1159" spans="1:25" ht="15" customHeight="1" x14ac:dyDescent="0.35">
      <c r="A1159" s="52">
        <v>8013483</v>
      </c>
      <c r="B1159" s="51">
        <v>46123</v>
      </c>
      <c r="C1159" s="7" t="s">
        <v>124</v>
      </c>
      <c r="D1159" s="10">
        <f>IFERROR(SUMIFS('Base bordo'!G$2:G$746,'Base bordo'!C$2:C$746,A1159,'Base bordo'!B$2:B$746,B1159,'Base bordo'!F$2:F$746,"DESLOCAMENTO VAZIO"),0)</f>
        <v>2.875</v>
      </c>
      <c r="E1159" s="10">
        <f>IFERROR(SUMIFS('Base bordo'!G$2:G$746,'Base bordo'!C$2:C$746,A1159,'Base bordo'!B$2:B$746,B1159,'Base bordo'!F$2:F$746,"DESLOCAMENTO CARREGADO"),0)</f>
        <v>1.3638888888888889</v>
      </c>
      <c r="F1159" s="10">
        <f>IFERROR(SUMIFS('Base bordo'!G$2:G$746,'Base bordo'!C$2:C$746,A1159,'Base bordo'!B$2:B$746,B1159,'Base bordo'!F$2:F$746,"DESLOCAMENTO"),0)</f>
        <v>0.20861111111111111</v>
      </c>
      <c r="G1159" s="10">
        <f>IFERROR(SUMIFS('Base bordo'!G$2:G$746,'Base bordo'!C$2:C$746,A1159,'Base bordo'!B$2:B$746,B1159,'Base bordo'!F$2:F$746,"CARREGAMENTO"),0)</f>
        <v>0</v>
      </c>
      <c r="H1159" s="10">
        <f>IFERROR(SUMIFS('Base bordo'!G$2:G$746,'Base bordo'!C$2:C$746,A1159,'Base bordo'!B$2:B$746,B1159,'Base bordo'!F$2:F$746,"AGUARDANDO TRANSBORDO"),0)</f>
        <v>0.54722222222222228</v>
      </c>
      <c r="I1159" s="10">
        <f>IFERROR(SUMIFS('Base bordo'!G$2:G$746,'Base bordo'!C$2:C$746,A1159,'Base bordo'!B$2:B$746,B1159,'Base bordo'!F$2:F$746,"PÁTIO INTERNO"),0)+IFERROR(SUMIFS('Base bordo'!G$2:G$746,'Base bordo'!C$2:C$746,A1159,'Base bordo'!B$2:B$746,B1159,'Base bordo'!F$2:F$746,"PÁTIO EXTERNO"),0)+IFERROR(SUMIFS('Base bordo'!G$2:G$746,'Base bordo'!C$2:C$746,A1159,'Base bordo'!B$2:B$746,B1159,'Base bordo'!F$2:F$746,"PATIO - RESERVA"),0)+IFERROR(SUMIFS('Base bordo'!G$2:G$746,'Base bordo'!C$2:C$746,A1159,'Base bordo'!B$2:B$746,B1159,'Base bordo'!F$2:F$746,"MANOBRA CARRETAS-PATIO"),0)</f>
        <v>0.5708333333333333</v>
      </c>
      <c r="J1159" s="10">
        <f>IFERROR(SUMIFS('Base bordo'!G$2:G$746,'Base bordo'!C$2:C$746,A1159,'Base bordo'!B$2:B$746,B1159,'Base bordo'!F$2:F$746,"BALANÇA - ENTRADA"),0)+IFERROR(SUMIFS('Base bordo'!G$2:G$746,'Base bordo'!C$2:C$746,A1159,'Base bordo'!B$2:B$746,B1159,'Base bordo'!F$2:F$746,"BALANÇA - SAÍDA"),0)</f>
        <v>0</v>
      </c>
      <c r="K1159" s="10">
        <f>IFERROR(SUMIFS('Base bordo'!G$2:G$746,'Base bordo'!C$2:C$746,A1159,'Base bordo'!B$2:B$746,B1159,'Base bordo'!F$2:F$746,"MAN PREVENTIVA - MECANICA"),0)+IFERROR(SUMIFS('Base bordo'!G$2:G$746,'Base bordo'!C$2:C$746,A1159,'Base bordo'!B$2:B$746,B1159,'Base bordo'!F$2:F$746,"MAN CORRETIVA - MECANICA"),0)</f>
        <v>0</v>
      </c>
      <c r="L1159" s="10">
        <f>IFERROR(SUMIFS('Base bordo'!G$2:G$746,'Base bordo'!C$2:C$746,A1159,'Base bordo'!B$2:B$746,B1159,'Base bordo'!F$2:F$746,"MANUTENCAO - T O"),0)+IFERROR(SUMIFS('Base bordo'!G$2:G$746,'Base bordo'!C$2:C$746,A1159,'Base bordo'!B$2:B$746,B1159,'Base bordo'!F$2:F$746,"MANUTENCAO BORRACHARIA"),0)+IFERROR(SUMIFS('Base bordo'!G$2:G$746,'Base bordo'!C$2:C$746,A1159,'Base bordo'!B$2:B$746,B1159,'Base bordo'!F$2:F$746,"MANUTENCAO EXTERNA  CONCESSIONARIA"),0)+IFERROR(SUMIFS('Base bordo'!G$2:G$746,'Base bordo'!C$2:C$746,A1159,'Base bordo'!B$2:B$746,B1159,'Base bordo'!F$2:F$746,"MANUTENCAO TELEMETRIA"),0)</f>
        <v>0</v>
      </c>
      <c r="M1159" s="10">
        <f>IFERROR(SUMIFS('Base bordo'!G$2:G$746,'Base bordo'!C$2:C$746,A1159,'Base bordo'!B$2:B$746,B1159,'Base bordo'!F$2:F$746,"AGUARDANDO MANUTENCAO"),0)</f>
        <v>0</v>
      </c>
      <c r="N1159" s="10">
        <f>IFERROR(SUMIFS('Base bordo'!G$2:G$746,'Base bordo'!C$2:C$746,A1159,'Base bordo'!B$2:B$746,B1159,'Base bordo'!F$2:F$746,"SEM APONTAMENTO"),0)</f>
        <v>0</v>
      </c>
      <c r="O1159" s="10">
        <f t="shared" si="114"/>
        <v>0.27361111111111125</v>
      </c>
      <c r="P1159" s="10">
        <f>IFERROR(SUMIFS('Base bordo'!G$2:G$746,'Base bordo'!C$2:C$746,A1159,'Base bordo'!B$2:B$746,B1159),0)</f>
        <v>5.8391666666666664</v>
      </c>
      <c r="Q1159" s="10">
        <f>IFERROR(SUMIFS('Base bordo'!H$2:H$746,'Base bordo'!C$2:C$746,A1159,'Base bordo'!B$2:B$746,B1159,'Base bordo'!F$2:F$746,"DESLOCAMENTO VAZIO"),0)</f>
        <v>352932.77</v>
      </c>
      <c r="R1159" s="10">
        <f>IFERROR(SUMIFS('Base bordo'!I$2:I$746,'Base bordo'!C$2:C$746,A1159,'Base bordo'!B$2:B$746,B1159,'Base bordo'!F$2:F$746,"DESLOCAMENTO VAZIO"),0)</f>
        <v>10350</v>
      </c>
      <c r="S1159" s="30">
        <f t="shared" si="115"/>
        <v>34.099784541062803</v>
      </c>
      <c r="T1159" s="10">
        <f>IFERROR(SUMIFS('Base bordo'!H$2:H$746,'Base bordo'!C$2:C$746,A1159,'Base bordo'!B$2:B$746,B1159,'Base bordo'!F$2:F$746,"DESLOCAMENTO CARREGADO"),0)</f>
        <v>73870.23000000001</v>
      </c>
      <c r="U1159" s="10">
        <f>IFERROR(SUMIFS('Base bordo'!I$2:I$746,'Base bordo'!C$2:C$746,A1159,'Base bordo'!B$2:B$746,B1159,'Base bordo'!F$2:F$746,"DESLOCAMENTO CARREGADO"),0)</f>
        <v>4910</v>
      </c>
      <c r="V1159" s="30">
        <f t="shared" si="116"/>
        <v>15.044853360488801</v>
      </c>
      <c r="W1159" s="9">
        <f t="shared" si="117"/>
        <v>0.49236477807906381</v>
      </c>
      <c r="X1159" s="9">
        <f t="shared" si="118"/>
        <v>0.23357594786166216</v>
      </c>
      <c r="Y1159" s="9">
        <f t="shared" si="119"/>
        <v>0.27405927405927399</v>
      </c>
    </row>
    <row r="1160" spans="1:25" ht="15" customHeight="1" x14ac:dyDescent="0.35">
      <c r="A1160" s="52">
        <v>8013483</v>
      </c>
      <c r="B1160" s="51">
        <v>46123</v>
      </c>
      <c r="C1160" s="7" t="s">
        <v>124</v>
      </c>
      <c r="D1160" s="10">
        <f>IFERROR(SUMIFS('Base bordo'!G$2:G$746,'Base bordo'!C$2:C$746,A1160,'Base bordo'!B$2:B$746,B1160,'Base bordo'!F$2:F$746,"DESLOCAMENTO VAZIO"),0)</f>
        <v>2.875</v>
      </c>
      <c r="E1160" s="10">
        <f>IFERROR(SUMIFS('Base bordo'!G$2:G$746,'Base bordo'!C$2:C$746,A1160,'Base bordo'!B$2:B$746,B1160,'Base bordo'!F$2:F$746,"DESLOCAMENTO CARREGADO"),0)</f>
        <v>1.3638888888888889</v>
      </c>
      <c r="F1160" s="10">
        <f>IFERROR(SUMIFS('Base bordo'!G$2:G$746,'Base bordo'!C$2:C$746,A1160,'Base bordo'!B$2:B$746,B1160,'Base bordo'!F$2:F$746,"DESLOCAMENTO"),0)</f>
        <v>0.20861111111111111</v>
      </c>
      <c r="G1160" s="10">
        <f>IFERROR(SUMIFS('Base bordo'!G$2:G$746,'Base bordo'!C$2:C$746,A1160,'Base bordo'!B$2:B$746,B1160,'Base bordo'!F$2:F$746,"CARREGAMENTO"),0)</f>
        <v>0</v>
      </c>
      <c r="H1160" s="10">
        <f>IFERROR(SUMIFS('Base bordo'!G$2:G$746,'Base bordo'!C$2:C$746,A1160,'Base bordo'!B$2:B$746,B1160,'Base bordo'!F$2:F$746,"AGUARDANDO TRANSBORDO"),0)</f>
        <v>0.54722222222222228</v>
      </c>
      <c r="I1160" s="10">
        <f>IFERROR(SUMIFS('Base bordo'!G$2:G$746,'Base bordo'!C$2:C$746,A1160,'Base bordo'!B$2:B$746,B1160,'Base bordo'!F$2:F$746,"PÁTIO INTERNO"),0)+IFERROR(SUMIFS('Base bordo'!G$2:G$746,'Base bordo'!C$2:C$746,A1160,'Base bordo'!B$2:B$746,B1160,'Base bordo'!F$2:F$746,"PÁTIO EXTERNO"),0)+IFERROR(SUMIFS('Base bordo'!G$2:G$746,'Base bordo'!C$2:C$746,A1160,'Base bordo'!B$2:B$746,B1160,'Base bordo'!F$2:F$746,"PATIO - RESERVA"),0)+IFERROR(SUMIFS('Base bordo'!G$2:G$746,'Base bordo'!C$2:C$746,A1160,'Base bordo'!B$2:B$746,B1160,'Base bordo'!F$2:F$746,"MANOBRA CARRETAS-PATIO"),0)</f>
        <v>0.5708333333333333</v>
      </c>
      <c r="J1160" s="10">
        <f>IFERROR(SUMIFS('Base bordo'!G$2:G$746,'Base bordo'!C$2:C$746,A1160,'Base bordo'!B$2:B$746,B1160,'Base bordo'!F$2:F$746,"BALANÇA - ENTRADA"),0)+IFERROR(SUMIFS('Base bordo'!G$2:G$746,'Base bordo'!C$2:C$746,A1160,'Base bordo'!B$2:B$746,B1160,'Base bordo'!F$2:F$746,"BALANÇA - SAÍDA"),0)</f>
        <v>0</v>
      </c>
      <c r="K1160" s="10">
        <f>IFERROR(SUMIFS('Base bordo'!G$2:G$746,'Base bordo'!C$2:C$746,A1160,'Base bordo'!B$2:B$746,B1160,'Base bordo'!F$2:F$746,"MAN PREVENTIVA - MECANICA"),0)+IFERROR(SUMIFS('Base bordo'!G$2:G$746,'Base bordo'!C$2:C$746,A1160,'Base bordo'!B$2:B$746,B1160,'Base bordo'!F$2:F$746,"MAN CORRETIVA - MECANICA"),0)</f>
        <v>0</v>
      </c>
      <c r="L1160" s="10">
        <f>IFERROR(SUMIFS('Base bordo'!G$2:G$746,'Base bordo'!C$2:C$746,A1160,'Base bordo'!B$2:B$746,B1160,'Base bordo'!F$2:F$746,"MANUTENCAO - T O"),0)+IFERROR(SUMIFS('Base bordo'!G$2:G$746,'Base bordo'!C$2:C$746,A1160,'Base bordo'!B$2:B$746,B1160,'Base bordo'!F$2:F$746,"MANUTENCAO BORRACHARIA"),0)+IFERROR(SUMIFS('Base bordo'!G$2:G$746,'Base bordo'!C$2:C$746,A1160,'Base bordo'!B$2:B$746,B1160,'Base bordo'!F$2:F$746,"MANUTENCAO EXTERNA  CONCESSIONARIA"),0)+IFERROR(SUMIFS('Base bordo'!G$2:G$746,'Base bordo'!C$2:C$746,A1160,'Base bordo'!B$2:B$746,B1160,'Base bordo'!F$2:F$746,"MANUTENCAO TELEMETRIA"),0)</f>
        <v>0</v>
      </c>
      <c r="M1160" s="10">
        <f>IFERROR(SUMIFS('Base bordo'!G$2:G$746,'Base bordo'!C$2:C$746,A1160,'Base bordo'!B$2:B$746,B1160,'Base bordo'!F$2:F$746,"AGUARDANDO MANUTENCAO"),0)</f>
        <v>0</v>
      </c>
      <c r="N1160" s="10">
        <f>IFERROR(SUMIFS('Base bordo'!G$2:G$746,'Base bordo'!C$2:C$746,A1160,'Base bordo'!B$2:B$746,B1160,'Base bordo'!F$2:F$746,"SEM APONTAMENTO"),0)</f>
        <v>0</v>
      </c>
      <c r="O1160" s="10">
        <f t="shared" si="114"/>
        <v>0.27361111111111125</v>
      </c>
      <c r="P1160" s="10">
        <f>IFERROR(SUMIFS('Base bordo'!G$2:G$746,'Base bordo'!C$2:C$746,A1160,'Base bordo'!B$2:B$746,B1160),0)</f>
        <v>5.8391666666666664</v>
      </c>
      <c r="Q1160" s="10">
        <f>IFERROR(SUMIFS('Base bordo'!H$2:H$746,'Base bordo'!C$2:C$746,A1160,'Base bordo'!B$2:B$746,B1160,'Base bordo'!F$2:F$746,"DESLOCAMENTO VAZIO"),0)</f>
        <v>352932.77</v>
      </c>
      <c r="R1160" s="10">
        <f>IFERROR(SUMIFS('Base bordo'!I$2:I$746,'Base bordo'!C$2:C$746,A1160,'Base bordo'!B$2:B$746,B1160,'Base bordo'!F$2:F$746,"DESLOCAMENTO VAZIO"),0)</f>
        <v>10350</v>
      </c>
      <c r="S1160" s="30">
        <f t="shared" si="115"/>
        <v>34.099784541062803</v>
      </c>
      <c r="T1160" s="10">
        <f>IFERROR(SUMIFS('Base bordo'!H$2:H$746,'Base bordo'!C$2:C$746,A1160,'Base bordo'!B$2:B$746,B1160,'Base bordo'!F$2:F$746,"DESLOCAMENTO CARREGADO"),0)</f>
        <v>73870.23000000001</v>
      </c>
      <c r="U1160" s="10">
        <f>IFERROR(SUMIFS('Base bordo'!I$2:I$746,'Base bordo'!C$2:C$746,A1160,'Base bordo'!B$2:B$746,B1160,'Base bordo'!F$2:F$746,"DESLOCAMENTO CARREGADO"),0)</f>
        <v>4910</v>
      </c>
      <c r="V1160" s="30">
        <f t="shared" si="116"/>
        <v>15.044853360488801</v>
      </c>
      <c r="W1160" s="9">
        <f t="shared" si="117"/>
        <v>0.49236477807906381</v>
      </c>
      <c r="X1160" s="9">
        <f t="shared" si="118"/>
        <v>0.23357594786166216</v>
      </c>
      <c r="Y1160" s="9">
        <f t="shared" si="119"/>
        <v>0.27405927405927399</v>
      </c>
    </row>
    <row r="1161" spans="1:25" ht="15" customHeight="1" x14ac:dyDescent="0.35">
      <c r="A1161" s="52">
        <v>8013483</v>
      </c>
      <c r="B1161" s="51">
        <v>46123</v>
      </c>
      <c r="C1161" s="7" t="s">
        <v>124</v>
      </c>
      <c r="D1161" s="10">
        <f>IFERROR(SUMIFS('Base bordo'!G$2:G$746,'Base bordo'!C$2:C$746,A1161,'Base bordo'!B$2:B$746,B1161,'Base bordo'!F$2:F$746,"DESLOCAMENTO VAZIO"),0)</f>
        <v>2.875</v>
      </c>
      <c r="E1161" s="10">
        <f>IFERROR(SUMIFS('Base bordo'!G$2:G$746,'Base bordo'!C$2:C$746,A1161,'Base bordo'!B$2:B$746,B1161,'Base bordo'!F$2:F$746,"DESLOCAMENTO CARREGADO"),0)</f>
        <v>1.3638888888888889</v>
      </c>
      <c r="F1161" s="10">
        <f>IFERROR(SUMIFS('Base bordo'!G$2:G$746,'Base bordo'!C$2:C$746,A1161,'Base bordo'!B$2:B$746,B1161,'Base bordo'!F$2:F$746,"DESLOCAMENTO"),0)</f>
        <v>0.20861111111111111</v>
      </c>
      <c r="G1161" s="10">
        <f>IFERROR(SUMIFS('Base bordo'!G$2:G$746,'Base bordo'!C$2:C$746,A1161,'Base bordo'!B$2:B$746,B1161,'Base bordo'!F$2:F$746,"CARREGAMENTO"),0)</f>
        <v>0</v>
      </c>
      <c r="H1161" s="10">
        <f>IFERROR(SUMIFS('Base bordo'!G$2:G$746,'Base bordo'!C$2:C$746,A1161,'Base bordo'!B$2:B$746,B1161,'Base bordo'!F$2:F$746,"AGUARDANDO TRANSBORDO"),0)</f>
        <v>0.54722222222222228</v>
      </c>
      <c r="I1161" s="10">
        <f>IFERROR(SUMIFS('Base bordo'!G$2:G$746,'Base bordo'!C$2:C$746,A1161,'Base bordo'!B$2:B$746,B1161,'Base bordo'!F$2:F$746,"PÁTIO INTERNO"),0)+IFERROR(SUMIFS('Base bordo'!G$2:G$746,'Base bordo'!C$2:C$746,A1161,'Base bordo'!B$2:B$746,B1161,'Base bordo'!F$2:F$746,"PÁTIO EXTERNO"),0)+IFERROR(SUMIFS('Base bordo'!G$2:G$746,'Base bordo'!C$2:C$746,A1161,'Base bordo'!B$2:B$746,B1161,'Base bordo'!F$2:F$746,"PATIO - RESERVA"),0)+IFERROR(SUMIFS('Base bordo'!G$2:G$746,'Base bordo'!C$2:C$746,A1161,'Base bordo'!B$2:B$746,B1161,'Base bordo'!F$2:F$746,"MANOBRA CARRETAS-PATIO"),0)</f>
        <v>0.5708333333333333</v>
      </c>
      <c r="J1161" s="10">
        <f>IFERROR(SUMIFS('Base bordo'!G$2:G$746,'Base bordo'!C$2:C$746,A1161,'Base bordo'!B$2:B$746,B1161,'Base bordo'!F$2:F$746,"BALANÇA - ENTRADA"),0)+IFERROR(SUMIFS('Base bordo'!G$2:G$746,'Base bordo'!C$2:C$746,A1161,'Base bordo'!B$2:B$746,B1161,'Base bordo'!F$2:F$746,"BALANÇA - SAÍDA"),0)</f>
        <v>0</v>
      </c>
      <c r="K1161" s="10">
        <f>IFERROR(SUMIFS('Base bordo'!G$2:G$746,'Base bordo'!C$2:C$746,A1161,'Base bordo'!B$2:B$746,B1161,'Base bordo'!F$2:F$746,"MAN PREVENTIVA - MECANICA"),0)+IFERROR(SUMIFS('Base bordo'!G$2:G$746,'Base bordo'!C$2:C$746,A1161,'Base bordo'!B$2:B$746,B1161,'Base bordo'!F$2:F$746,"MAN CORRETIVA - MECANICA"),0)</f>
        <v>0</v>
      </c>
      <c r="L1161" s="10">
        <f>IFERROR(SUMIFS('Base bordo'!G$2:G$746,'Base bordo'!C$2:C$746,A1161,'Base bordo'!B$2:B$746,B1161,'Base bordo'!F$2:F$746,"MANUTENCAO - T O"),0)+IFERROR(SUMIFS('Base bordo'!G$2:G$746,'Base bordo'!C$2:C$746,A1161,'Base bordo'!B$2:B$746,B1161,'Base bordo'!F$2:F$746,"MANUTENCAO BORRACHARIA"),0)+IFERROR(SUMIFS('Base bordo'!G$2:G$746,'Base bordo'!C$2:C$746,A1161,'Base bordo'!B$2:B$746,B1161,'Base bordo'!F$2:F$746,"MANUTENCAO EXTERNA  CONCESSIONARIA"),0)+IFERROR(SUMIFS('Base bordo'!G$2:G$746,'Base bordo'!C$2:C$746,A1161,'Base bordo'!B$2:B$746,B1161,'Base bordo'!F$2:F$746,"MANUTENCAO TELEMETRIA"),0)</f>
        <v>0</v>
      </c>
      <c r="M1161" s="10">
        <f>IFERROR(SUMIFS('Base bordo'!G$2:G$746,'Base bordo'!C$2:C$746,A1161,'Base bordo'!B$2:B$746,B1161,'Base bordo'!F$2:F$746,"AGUARDANDO MANUTENCAO"),0)</f>
        <v>0</v>
      </c>
      <c r="N1161" s="10">
        <f>IFERROR(SUMIFS('Base bordo'!G$2:G$746,'Base bordo'!C$2:C$746,A1161,'Base bordo'!B$2:B$746,B1161,'Base bordo'!F$2:F$746,"SEM APONTAMENTO"),0)</f>
        <v>0</v>
      </c>
      <c r="O1161" s="10">
        <f t="shared" si="114"/>
        <v>0.27361111111111125</v>
      </c>
      <c r="P1161" s="10">
        <f>IFERROR(SUMIFS('Base bordo'!G$2:G$746,'Base bordo'!C$2:C$746,A1161,'Base bordo'!B$2:B$746,B1161),0)</f>
        <v>5.8391666666666664</v>
      </c>
      <c r="Q1161" s="10">
        <f>IFERROR(SUMIFS('Base bordo'!H$2:H$746,'Base bordo'!C$2:C$746,A1161,'Base bordo'!B$2:B$746,B1161,'Base bordo'!F$2:F$746,"DESLOCAMENTO VAZIO"),0)</f>
        <v>352932.77</v>
      </c>
      <c r="R1161" s="10">
        <f>IFERROR(SUMIFS('Base bordo'!I$2:I$746,'Base bordo'!C$2:C$746,A1161,'Base bordo'!B$2:B$746,B1161,'Base bordo'!F$2:F$746,"DESLOCAMENTO VAZIO"),0)</f>
        <v>10350</v>
      </c>
      <c r="S1161" s="30">
        <f t="shared" si="115"/>
        <v>34.099784541062803</v>
      </c>
      <c r="T1161" s="10">
        <f>IFERROR(SUMIFS('Base bordo'!H$2:H$746,'Base bordo'!C$2:C$746,A1161,'Base bordo'!B$2:B$746,B1161,'Base bordo'!F$2:F$746,"DESLOCAMENTO CARREGADO"),0)</f>
        <v>73870.23000000001</v>
      </c>
      <c r="U1161" s="10">
        <f>IFERROR(SUMIFS('Base bordo'!I$2:I$746,'Base bordo'!C$2:C$746,A1161,'Base bordo'!B$2:B$746,B1161,'Base bordo'!F$2:F$746,"DESLOCAMENTO CARREGADO"),0)</f>
        <v>4910</v>
      </c>
      <c r="V1161" s="30">
        <f t="shared" si="116"/>
        <v>15.044853360488801</v>
      </c>
      <c r="W1161" s="9">
        <f t="shared" si="117"/>
        <v>0.49236477807906381</v>
      </c>
      <c r="X1161" s="9">
        <f t="shared" si="118"/>
        <v>0.23357594786166216</v>
      </c>
      <c r="Y1161" s="9">
        <f t="shared" si="119"/>
        <v>0.27405927405927399</v>
      </c>
    </row>
    <row r="1162" spans="1:25" ht="15" customHeight="1" x14ac:dyDescent="0.35">
      <c r="A1162" s="52">
        <v>8013484</v>
      </c>
      <c r="B1162" s="51">
        <v>46123</v>
      </c>
      <c r="C1162" s="7" t="s">
        <v>124</v>
      </c>
      <c r="D1162" s="10">
        <f>IFERROR(SUMIFS('Base bordo'!G$2:G$746,'Base bordo'!C$2:C$746,A1162,'Base bordo'!B$2:B$746,B1162,'Base bordo'!F$2:F$746,"DESLOCAMENTO VAZIO"),0)</f>
        <v>1.3186111111111112</v>
      </c>
      <c r="E1162" s="10">
        <f>IFERROR(SUMIFS('Base bordo'!G$2:G$746,'Base bordo'!C$2:C$746,A1162,'Base bordo'!B$2:B$746,B1162,'Base bordo'!F$2:F$746,"DESLOCAMENTO CARREGADO"),0)</f>
        <v>2.0469444444444442</v>
      </c>
      <c r="F1162" s="10">
        <f>IFERROR(SUMIFS('Base bordo'!G$2:G$746,'Base bordo'!C$2:C$746,A1162,'Base bordo'!B$2:B$746,B1162,'Base bordo'!F$2:F$746,"DESLOCAMENTO"),0)</f>
        <v>0</v>
      </c>
      <c r="G1162" s="10">
        <f>IFERROR(SUMIFS('Base bordo'!G$2:G$746,'Base bordo'!C$2:C$746,A1162,'Base bordo'!B$2:B$746,B1162,'Base bordo'!F$2:F$746,"CARREGAMENTO"),0)</f>
        <v>0</v>
      </c>
      <c r="H1162" s="10">
        <f>IFERROR(SUMIFS('Base bordo'!G$2:G$746,'Base bordo'!C$2:C$746,A1162,'Base bordo'!B$2:B$746,B1162,'Base bordo'!F$2:F$746,"AGUARDANDO TRANSBORDO"),0)</f>
        <v>0.2688888888888889</v>
      </c>
      <c r="I1162" s="10">
        <f>IFERROR(SUMIFS('Base bordo'!G$2:G$746,'Base bordo'!C$2:C$746,A1162,'Base bordo'!B$2:B$746,B1162,'Base bordo'!F$2:F$746,"PÁTIO INTERNO"),0)+IFERROR(SUMIFS('Base bordo'!G$2:G$746,'Base bordo'!C$2:C$746,A1162,'Base bordo'!B$2:B$746,B1162,'Base bordo'!F$2:F$746,"PÁTIO EXTERNO"),0)+IFERROR(SUMIFS('Base bordo'!G$2:G$746,'Base bordo'!C$2:C$746,A1162,'Base bordo'!B$2:B$746,B1162,'Base bordo'!F$2:F$746,"PATIO - RESERVA"),0)+IFERROR(SUMIFS('Base bordo'!G$2:G$746,'Base bordo'!C$2:C$746,A1162,'Base bordo'!B$2:B$746,B1162,'Base bordo'!F$2:F$746,"MANOBRA CARRETAS-PATIO"),0)</f>
        <v>2.7616666666666667</v>
      </c>
      <c r="J1162" s="10">
        <f>IFERROR(SUMIFS('Base bordo'!G$2:G$746,'Base bordo'!C$2:C$746,A1162,'Base bordo'!B$2:B$746,B1162,'Base bordo'!F$2:F$746,"BALANÇA - ENTRADA"),0)+IFERROR(SUMIFS('Base bordo'!G$2:G$746,'Base bordo'!C$2:C$746,A1162,'Base bordo'!B$2:B$746,B1162,'Base bordo'!F$2:F$746,"BALANÇA - SAÍDA"),0)</f>
        <v>2.4722222222222222E-2</v>
      </c>
      <c r="K1162" s="10">
        <f>IFERROR(SUMIFS('Base bordo'!G$2:G$746,'Base bordo'!C$2:C$746,A1162,'Base bordo'!B$2:B$746,B1162,'Base bordo'!F$2:F$746,"MAN PREVENTIVA - MECANICA"),0)+IFERROR(SUMIFS('Base bordo'!G$2:G$746,'Base bordo'!C$2:C$746,A1162,'Base bordo'!B$2:B$746,B1162,'Base bordo'!F$2:F$746,"MAN CORRETIVA - MECANICA"),0)</f>
        <v>0</v>
      </c>
      <c r="L1162" s="10">
        <f>IFERROR(SUMIFS('Base bordo'!G$2:G$746,'Base bordo'!C$2:C$746,A1162,'Base bordo'!B$2:B$746,B1162,'Base bordo'!F$2:F$746,"MANUTENCAO - T O"),0)+IFERROR(SUMIFS('Base bordo'!G$2:G$746,'Base bordo'!C$2:C$746,A1162,'Base bordo'!B$2:B$746,B1162,'Base bordo'!F$2:F$746,"MANUTENCAO BORRACHARIA"),0)+IFERROR(SUMIFS('Base bordo'!G$2:G$746,'Base bordo'!C$2:C$746,A1162,'Base bordo'!B$2:B$746,B1162,'Base bordo'!F$2:F$746,"MANUTENCAO EXTERNA  CONCESSIONARIA"),0)+IFERROR(SUMIFS('Base bordo'!G$2:G$746,'Base bordo'!C$2:C$746,A1162,'Base bordo'!B$2:B$746,B1162,'Base bordo'!F$2:F$746,"MANUTENCAO TELEMETRIA"),0)</f>
        <v>0</v>
      </c>
      <c r="M1162" s="10">
        <f>IFERROR(SUMIFS('Base bordo'!G$2:G$746,'Base bordo'!C$2:C$746,A1162,'Base bordo'!B$2:B$746,B1162,'Base bordo'!F$2:F$746,"AGUARDANDO MANUTENCAO"),0)</f>
        <v>0</v>
      </c>
      <c r="N1162" s="10">
        <f>IFERROR(SUMIFS('Base bordo'!G$2:G$746,'Base bordo'!C$2:C$746,A1162,'Base bordo'!B$2:B$746,B1162,'Base bordo'!F$2:F$746,"SEM APONTAMENTO"),0)</f>
        <v>0</v>
      </c>
      <c r="O1162" s="10">
        <f t="shared" si="114"/>
        <v>0.68777777777777871</v>
      </c>
      <c r="P1162" s="10">
        <f>IFERROR(SUMIFS('Base bordo'!G$2:G$746,'Base bordo'!C$2:C$746,A1162,'Base bordo'!B$2:B$746,B1162),0)</f>
        <v>7.1086111111111121</v>
      </c>
      <c r="Q1162" s="10">
        <f>IFERROR(SUMIFS('Base bordo'!H$2:H$746,'Base bordo'!C$2:C$746,A1162,'Base bordo'!B$2:B$746,B1162,'Base bordo'!F$2:F$746,"DESLOCAMENTO VAZIO"),0)</f>
        <v>173939.91999999998</v>
      </c>
      <c r="R1162" s="10">
        <f>IFERROR(SUMIFS('Base bordo'!I$2:I$746,'Base bordo'!C$2:C$746,A1162,'Base bordo'!B$2:B$746,B1162,'Base bordo'!F$2:F$746,"DESLOCAMENTO VAZIO"),0)</f>
        <v>4747</v>
      </c>
      <c r="S1162" s="30">
        <f t="shared" si="115"/>
        <v>36.642072888139872</v>
      </c>
      <c r="T1162" s="10">
        <f>IFERROR(SUMIFS('Base bordo'!H$2:H$746,'Base bordo'!C$2:C$746,A1162,'Base bordo'!B$2:B$746,B1162,'Base bordo'!F$2:F$746,"DESLOCAMENTO CARREGADO"),0)</f>
        <v>184357.02</v>
      </c>
      <c r="U1162" s="10">
        <f>IFERROR(SUMIFS('Base bordo'!I$2:I$746,'Base bordo'!C$2:C$746,A1162,'Base bordo'!B$2:B$746,B1162,'Base bordo'!F$2:F$746,"DESLOCAMENTO CARREGADO"),0)</f>
        <v>7369</v>
      </c>
      <c r="V1162" s="30">
        <f t="shared" si="116"/>
        <v>25.017915592346313</v>
      </c>
      <c r="W1162" s="9">
        <f t="shared" si="117"/>
        <v>0.18549490055097492</v>
      </c>
      <c r="X1162" s="9">
        <f t="shared" si="118"/>
        <v>0.28795279590481021</v>
      </c>
      <c r="Y1162" s="9">
        <f t="shared" si="119"/>
        <v>0.52655230354421478</v>
      </c>
    </row>
    <row r="1163" spans="1:25" ht="15" customHeight="1" x14ac:dyDescent="0.35">
      <c r="A1163" s="52">
        <v>8013484</v>
      </c>
      <c r="B1163" s="51">
        <v>46123</v>
      </c>
      <c r="C1163" s="7" t="s">
        <v>124</v>
      </c>
      <c r="D1163" s="10">
        <f>IFERROR(SUMIFS('Base bordo'!G$2:G$746,'Base bordo'!C$2:C$746,A1163,'Base bordo'!B$2:B$746,B1163,'Base bordo'!F$2:F$746,"DESLOCAMENTO VAZIO"),0)</f>
        <v>1.3186111111111112</v>
      </c>
      <c r="E1163" s="10">
        <f>IFERROR(SUMIFS('Base bordo'!G$2:G$746,'Base bordo'!C$2:C$746,A1163,'Base bordo'!B$2:B$746,B1163,'Base bordo'!F$2:F$746,"DESLOCAMENTO CARREGADO"),0)</f>
        <v>2.0469444444444442</v>
      </c>
      <c r="F1163" s="10">
        <f>IFERROR(SUMIFS('Base bordo'!G$2:G$746,'Base bordo'!C$2:C$746,A1163,'Base bordo'!B$2:B$746,B1163,'Base bordo'!F$2:F$746,"DESLOCAMENTO"),0)</f>
        <v>0</v>
      </c>
      <c r="G1163" s="10">
        <f>IFERROR(SUMIFS('Base bordo'!G$2:G$746,'Base bordo'!C$2:C$746,A1163,'Base bordo'!B$2:B$746,B1163,'Base bordo'!F$2:F$746,"CARREGAMENTO"),0)</f>
        <v>0</v>
      </c>
      <c r="H1163" s="10">
        <f>IFERROR(SUMIFS('Base bordo'!G$2:G$746,'Base bordo'!C$2:C$746,A1163,'Base bordo'!B$2:B$746,B1163,'Base bordo'!F$2:F$746,"AGUARDANDO TRANSBORDO"),0)</f>
        <v>0.2688888888888889</v>
      </c>
      <c r="I1163" s="10">
        <f>IFERROR(SUMIFS('Base bordo'!G$2:G$746,'Base bordo'!C$2:C$746,A1163,'Base bordo'!B$2:B$746,B1163,'Base bordo'!F$2:F$746,"PÁTIO INTERNO"),0)+IFERROR(SUMIFS('Base bordo'!G$2:G$746,'Base bordo'!C$2:C$746,A1163,'Base bordo'!B$2:B$746,B1163,'Base bordo'!F$2:F$746,"PÁTIO EXTERNO"),0)+IFERROR(SUMIFS('Base bordo'!G$2:G$746,'Base bordo'!C$2:C$746,A1163,'Base bordo'!B$2:B$746,B1163,'Base bordo'!F$2:F$746,"PATIO - RESERVA"),0)+IFERROR(SUMIFS('Base bordo'!G$2:G$746,'Base bordo'!C$2:C$746,A1163,'Base bordo'!B$2:B$746,B1163,'Base bordo'!F$2:F$746,"MANOBRA CARRETAS-PATIO"),0)</f>
        <v>2.7616666666666667</v>
      </c>
      <c r="J1163" s="10">
        <f>IFERROR(SUMIFS('Base bordo'!G$2:G$746,'Base bordo'!C$2:C$746,A1163,'Base bordo'!B$2:B$746,B1163,'Base bordo'!F$2:F$746,"BALANÇA - ENTRADA"),0)+IFERROR(SUMIFS('Base bordo'!G$2:G$746,'Base bordo'!C$2:C$746,A1163,'Base bordo'!B$2:B$746,B1163,'Base bordo'!F$2:F$746,"BALANÇA - SAÍDA"),0)</f>
        <v>2.4722222222222222E-2</v>
      </c>
      <c r="K1163" s="10">
        <f>IFERROR(SUMIFS('Base bordo'!G$2:G$746,'Base bordo'!C$2:C$746,A1163,'Base bordo'!B$2:B$746,B1163,'Base bordo'!F$2:F$746,"MAN PREVENTIVA - MECANICA"),0)+IFERROR(SUMIFS('Base bordo'!G$2:G$746,'Base bordo'!C$2:C$746,A1163,'Base bordo'!B$2:B$746,B1163,'Base bordo'!F$2:F$746,"MAN CORRETIVA - MECANICA"),0)</f>
        <v>0</v>
      </c>
      <c r="L1163" s="10">
        <f>IFERROR(SUMIFS('Base bordo'!G$2:G$746,'Base bordo'!C$2:C$746,A1163,'Base bordo'!B$2:B$746,B1163,'Base bordo'!F$2:F$746,"MANUTENCAO - T O"),0)+IFERROR(SUMIFS('Base bordo'!G$2:G$746,'Base bordo'!C$2:C$746,A1163,'Base bordo'!B$2:B$746,B1163,'Base bordo'!F$2:F$746,"MANUTENCAO BORRACHARIA"),0)+IFERROR(SUMIFS('Base bordo'!G$2:G$746,'Base bordo'!C$2:C$746,A1163,'Base bordo'!B$2:B$746,B1163,'Base bordo'!F$2:F$746,"MANUTENCAO EXTERNA  CONCESSIONARIA"),0)+IFERROR(SUMIFS('Base bordo'!G$2:G$746,'Base bordo'!C$2:C$746,A1163,'Base bordo'!B$2:B$746,B1163,'Base bordo'!F$2:F$746,"MANUTENCAO TELEMETRIA"),0)</f>
        <v>0</v>
      </c>
      <c r="M1163" s="10">
        <f>IFERROR(SUMIFS('Base bordo'!G$2:G$746,'Base bordo'!C$2:C$746,A1163,'Base bordo'!B$2:B$746,B1163,'Base bordo'!F$2:F$746,"AGUARDANDO MANUTENCAO"),0)</f>
        <v>0</v>
      </c>
      <c r="N1163" s="10">
        <f>IFERROR(SUMIFS('Base bordo'!G$2:G$746,'Base bordo'!C$2:C$746,A1163,'Base bordo'!B$2:B$746,B1163,'Base bordo'!F$2:F$746,"SEM APONTAMENTO"),0)</f>
        <v>0</v>
      </c>
      <c r="O1163" s="10">
        <f t="shared" si="114"/>
        <v>0.68777777777777871</v>
      </c>
      <c r="P1163" s="10">
        <f>IFERROR(SUMIFS('Base bordo'!G$2:G$746,'Base bordo'!C$2:C$746,A1163,'Base bordo'!B$2:B$746,B1163),0)</f>
        <v>7.1086111111111121</v>
      </c>
      <c r="Q1163" s="10">
        <f>IFERROR(SUMIFS('Base bordo'!H$2:H$746,'Base bordo'!C$2:C$746,A1163,'Base bordo'!B$2:B$746,B1163,'Base bordo'!F$2:F$746,"DESLOCAMENTO VAZIO"),0)</f>
        <v>173939.91999999998</v>
      </c>
      <c r="R1163" s="10">
        <f>IFERROR(SUMIFS('Base bordo'!I$2:I$746,'Base bordo'!C$2:C$746,A1163,'Base bordo'!B$2:B$746,B1163,'Base bordo'!F$2:F$746,"DESLOCAMENTO VAZIO"),0)</f>
        <v>4747</v>
      </c>
      <c r="S1163" s="30">
        <f t="shared" si="115"/>
        <v>36.642072888139872</v>
      </c>
      <c r="T1163" s="10">
        <f>IFERROR(SUMIFS('Base bordo'!H$2:H$746,'Base bordo'!C$2:C$746,A1163,'Base bordo'!B$2:B$746,B1163,'Base bordo'!F$2:F$746,"DESLOCAMENTO CARREGADO"),0)</f>
        <v>184357.02</v>
      </c>
      <c r="U1163" s="10">
        <f>IFERROR(SUMIFS('Base bordo'!I$2:I$746,'Base bordo'!C$2:C$746,A1163,'Base bordo'!B$2:B$746,B1163,'Base bordo'!F$2:F$746,"DESLOCAMENTO CARREGADO"),0)</f>
        <v>7369</v>
      </c>
      <c r="V1163" s="30">
        <f t="shared" si="116"/>
        <v>25.017915592346313</v>
      </c>
      <c r="W1163" s="9">
        <f t="shared" si="117"/>
        <v>0.18549490055097492</v>
      </c>
      <c r="X1163" s="9">
        <f t="shared" si="118"/>
        <v>0.28795279590481021</v>
      </c>
      <c r="Y1163" s="9">
        <f t="shared" si="119"/>
        <v>0.52655230354421478</v>
      </c>
    </row>
    <row r="1164" spans="1:25" ht="15" customHeight="1" x14ac:dyDescent="0.35">
      <c r="A1164" s="52">
        <v>8013484</v>
      </c>
      <c r="B1164" s="51">
        <v>46123</v>
      </c>
      <c r="C1164" s="7" t="s">
        <v>124</v>
      </c>
      <c r="D1164" s="10">
        <f>IFERROR(SUMIFS('Base bordo'!G$2:G$746,'Base bordo'!C$2:C$746,A1164,'Base bordo'!B$2:B$746,B1164,'Base bordo'!F$2:F$746,"DESLOCAMENTO VAZIO"),0)</f>
        <v>1.3186111111111112</v>
      </c>
      <c r="E1164" s="10">
        <f>IFERROR(SUMIFS('Base bordo'!G$2:G$746,'Base bordo'!C$2:C$746,A1164,'Base bordo'!B$2:B$746,B1164,'Base bordo'!F$2:F$746,"DESLOCAMENTO CARREGADO"),0)</f>
        <v>2.0469444444444442</v>
      </c>
      <c r="F1164" s="10">
        <f>IFERROR(SUMIFS('Base bordo'!G$2:G$746,'Base bordo'!C$2:C$746,A1164,'Base bordo'!B$2:B$746,B1164,'Base bordo'!F$2:F$746,"DESLOCAMENTO"),0)</f>
        <v>0</v>
      </c>
      <c r="G1164" s="10">
        <f>IFERROR(SUMIFS('Base bordo'!G$2:G$746,'Base bordo'!C$2:C$746,A1164,'Base bordo'!B$2:B$746,B1164,'Base bordo'!F$2:F$746,"CARREGAMENTO"),0)</f>
        <v>0</v>
      </c>
      <c r="H1164" s="10">
        <f>IFERROR(SUMIFS('Base bordo'!G$2:G$746,'Base bordo'!C$2:C$746,A1164,'Base bordo'!B$2:B$746,B1164,'Base bordo'!F$2:F$746,"AGUARDANDO TRANSBORDO"),0)</f>
        <v>0.2688888888888889</v>
      </c>
      <c r="I1164" s="10">
        <f>IFERROR(SUMIFS('Base bordo'!G$2:G$746,'Base bordo'!C$2:C$746,A1164,'Base bordo'!B$2:B$746,B1164,'Base bordo'!F$2:F$746,"PÁTIO INTERNO"),0)+IFERROR(SUMIFS('Base bordo'!G$2:G$746,'Base bordo'!C$2:C$746,A1164,'Base bordo'!B$2:B$746,B1164,'Base bordo'!F$2:F$746,"PÁTIO EXTERNO"),0)+IFERROR(SUMIFS('Base bordo'!G$2:G$746,'Base bordo'!C$2:C$746,A1164,'Base bordo'!B$2:B$746,B1164,'Base bordo'!F$2:F$746,"PATIO - RESERVA"),0)+IFERROR(SUMIFS('Base bordo'!G$2:G$746,'Base bordo'!C$2:C$746,A1164,'Base bordo'!B$2:B$746,B1164,'Base bordo'!F$2:F$746,"MANOBRA CARRETAS-PATIO"),0)</f>
        <v>2.7616666666666667</v>
      </c>
      <c r="J1164" s="10">
        <f>IFERROR(SUMIFS('Base bordo'!G$2:G$746,'Base bordo'!C$2:C$746,A1164,'Base bordo'!B$2:B$746,B1164,'Base bordo'!F$2:F$746,"BALANÇA - ENTRADA"),0)+IFERROR(SUMIFS('Base bordo'!G$2:G$746,'Base bordo'!C$2:C$746,A1164,'Base bordo'!B$2:B$746,B1164,'Base bordo'!F$2:F$746,"BALANÇA - SAÍDA"),0)</f>
        <v>2.4722222222222222E-2</v>
      </c>
      <c r="K1164" s="10">
        <f>IFERROR(SUMIFS('Base bordo'!G$2:G$746,'Base bordo'!C$2:C$746,A1164,'Base bordo'!B$2:B$746,B1164,'Base bordo'!F$2:F$746,"MAN PREVENTIVA - MECANICA"),0)+IFERROR(SUMIFS('Base bordo'!G$2:G$746,'Base bordo'!C$2:C$746,A1164,'Base bordo'!B$2:B$746,B1164,'Base bordo'!F$2:F$746,"MAN CORRETIVA - MECANICA"),0)</f>
        <v>0</v>
      </c>
      <c r="L1164" s="10">
        <f>IFERROR(SUMIFS('Base bordo'!G$2:G$746,'Base bordo'!C$2:C$746,A1164,'Base bordo'!B$2:B$746,B1164,'Base bordo'!F$2:F$746,"MANUTENCAO - T O"),0)+IFERROR(SUMIFS('Base bordo'!G$2:G$746,'Base bordo'!C$2:C$746,A1164,'Base bordo'!B$2:B$746,B1164,'Base bordo'!F$2:F$746,"MANUTENCAO BORRACHARIA"),0)+IFERROR(SUMIFS('Base bordo'!G$2:G$746,'Base bordo'!C$2:C$746,A1164,'Base bordo'!B$2:B$746,B1164,'Base bordo'!F$2:F$746,"MANUTENCAO EXTERNA  CONCESSIONARIA"),0)+IFERROR(SUMIFS('Base bordo'!G$2:G$746,'Base bordo'!C$2:C$746,A1164,'Base bordo'!B$2:B$746,B1164,'Base bordo'!F$2:F$746,"MANUTENCAO TELEMETRIA"),0)</f>
        <v>0</v>
      </c>
      <c r="M1164" s="10">
        <f>IFERROR(SUMIFS('Base bordo'!G$2:G$746,'Base bordo'!C$2:C$746,A1164,'Base bordo'!B$2:B$746,B1164,'Base bordo'!F$2:F$746,"AGUARDANDO MANUTENCAO"),0)</f>
        <v>0</v>
      </c>
      <c r="N1164" s="10">
        <f>IFERROR(SUMIFS('Base bordo'!G$2:G$746,'Base bordo'!C$2:C$746,A1164,'Base bordo'!B$2:B$746,B1164,'Base bordo'!F$2:F$746,"SEM APONTAMENTO"),0)</f>
        <v>0</v>
      </c>
      <c r="O1164" s="10">
        <f t="shared" si="114"/>
        <v>0.68777777777777871</v>
      </c>
      <c r="P1164" s="10">
        <f>IFERROR(SUMIFS('Base bordo'!G$2:G$746,'Base bordo'!C$2:C$746,A1164,'Base bordo'!B$2:B$746,B1164),0)</f>
        <v>7.1086111111111121</v>
      </c>
      <c r="Q1164" s="10">
        <f>IFERROR(SUMIFS('Base bordo'!H$2:H$746,'Base bordo'!C$2:C$746,A1164,'Base bordo'!B$2:B$746,B1164,'Base bordo'!F$2:F$746,"DESLOCAMENTO VAZIO"),0)</f>
        <v>173939.91999999998</v>
      </c>
      <c r="R1164" s="10">
        <f>IFERROR(SUMIFS('Base bordo'!I$2:I$746,'Base bordo'!C$2:C$746,A1164,'Base bordo'!B$2:B$746,B1164,'Base bordo'!F$2:F$746,"DESLOCAMENTO VAZIO"),0)</f>
        <v>4747</v>
      </c>
      <c r="S1164" s="30">
        <f t="shared" si="115"/>
        <v>36.642072888139872</v>
      </c>
      <c r="T1164" s="10">
        <f>IFERROR(SUMIFS('Base bordo'!H$2:H$746,'Base bordo'!C$2:C$746,A1164,'Base bordo'!B$2:B$746,B1164,'Base bordo'!F$2:F$746,"DESLOCAMENTO CARREGADO"),0)</f>
        <v>184357.02</v>
      </c>
      <c r="U1164" s="10">
        <f>IFERROR(SUMIFS('Base bordo'!I$2:I$746,'Base bordo'!C$2:C$746,A1164,'Base bordo'!B$2:B$746,B1164,'Base bordo'!F$2:F$746,"DESLOCAMENTO CARREGADO"),0)</f>
        <v>7369</v>
      </c>
      <c r="V1164" s="30">
        <f t="shared" si="116"/>
        <v>25.017915592346313</v>
      </c>
      <c r="W1164" s="9">
        <f t="shared" si="117"/>
        <v>0.18549490055097492</v>
      </c>
      <c r="X1164" s="9">
        <f t="shared" si="118"/>
        <v>0.28795279590481021</v>
      </c>
      <c r="Y1164" s="9">
        <f t="shared" si="119"/>
        <v>0.52655230354421478</v>
      </c>
    </row>
    <row r="1165" spans="1:25" ht="15" customHeight="1" x14ac:dyDescent="0.35">
      <c r="A1165" s="52">
        <v>8013484</v>
      </c>
      <c r="B1165" s="51">
        <v>46123</v>
      </c>
      <c r="C1165" s="7" t="s">
        <v>124</v>
      </c>
      <c r="D1165" s="10">
        <f>IFERROR(SUMIFS('Base bordo'!G$2:G$746,'Base bordo'!C$2:C$746,A1165,'Base bordo'!B$2:B$746,B1165,'Base bordo'!F$2:F$746,"DESLOCAMENTO VAZIO"),0)</f>
        <v>1.3186111111111112</v>
      </c>
      <c r="E1165" s="10">
        <f>IFERROR(SUMIFS('Base bordo'!G$2:G$746,'Base bordo'!C$2:C$746,A1165,'Base bordo'!B$2:B$746,B1165,'Base bordo'!F$2:F$746,"DESLOCAMENTO CARREGADO"),0)</f>
        <v>2.0469444444444442</v>
      </c>
      <c r="F1165" s="10">
        <f>IFERROR(SUMIFS('Base bordo'!G$2:G$746,'Base bordo'!C$2:C$746,A1165,'Base bordo'!B$2:B$746,B1165,'Base bordo'!F$2:F$746,"DESLOCAMENTO"),0)</f>
        <v>0</v>
      </c>
      <c r="G1165" s="10">
        <f>IFERROR(SUMIFS('Base bordo'!G$2:G$746,'Base bordo'!C$2:C$746,A1165,'Base bordo'!B$2:B$746,B1165,'Base bordo'!F$2:F$746,"CARREGAMENTO"),0)</f>
        <v>0</v>
      </c>
      <c r="H1165" s="10">
        <f>IFERROR(SUMIFS('Base bordo'!G$2:G$746,'Base bordo'!C$2:C$746,A1165,'Base bordo'!B$2:B$746,B1165,'Base bordo'!F$2:F$746,"AGUARDANDO TRANSBORDO"),0)</f>
        <v>0.2688888888888889</v>
      </c>
      <c r="I1165" s="10">
        <f>IFERROR(SUMIFS('Base bordo'!G$2:G$746,'Base bordo'!C$2:C$746,A1165,'Base bordo'!B$2:B$746,B1165,'Base bordo'!F$2:F$746,"PÁTIO INTERNO"),0)+IFERROR(SUMIFS('Base bordo'!G$2:G$746,'Base bordo'!C$2:C$746,A1165,'Base bordo'!B$2:B$746,B1165,'Base bordo'!F$2:F$746,"PÁTIO EXTERNO"),0)+IFERROR(SUMIFS('Base bordo'!G$2:G$746,'Base bordo'!C$2:C$746,A1165,'Base bordo'!B$2:B$746,B1165,'Base bordo'!F$2:F$746,"PATIO - RESERVA"),0)+IFERROR(SUMIFS('Base bordo'!G$2:G$746,'Base bordo'!C$2:C$746,A1165,'Base bordo'!B$2:B$746,B1165,'Base bordo'!F$2:F$746,"MANOBRA CARRETAS-PATIO"),0)</f>
        <v>2.7616666666666667</v>
      </c>
      <c r="J1165" s="10">
        <f>IFERROR(SUMIFS('Base bordo'!G$2:G$746,'Base bordo'!C$2:C$746,A1165,'Base bordo'!B$2:B$746,B1165,'Base bordo'!F$2:F$746,"BALANÇA - ENTRADA"),0)+IFERROR(SUMIFS('Base bordo'!G$2:G$746,'Base bordo'!C$2:C$746,A1165,'Base bordo'!B$2:B$746,B1165,'Base bordo'!F$2:F$746,"BALANÇA - SAÍDA"),0)</f>
        <v>2.4722222222222222E-2</v>
      </c>
      <c r="K1165" s="10">
        <f>IFERROR(SUMIFS('Base bordo'!G$2:G$746,'Base bordo'!C$2:C$746,A1165,'Base bordo'!B$2:B$746,B1165,'Base bordo'!F$2:F$746,"MAN PREVENTIVA - MECANICA"),0)+IFERROR(SUMIFS('Base bordo'!G$2:G$746,'Base bordo'!C$2:C$746,A1165,'Base bordo'!B$2:B$746,B1165,'Base bordo'!F$2:F$746,"MAN CORRETIVA - MECANICA"),0)</f>
        <v>0</v>
      </c>
      <c r="L1165" s="10">
        <f>IFERROR(SUMIFS('Base bordo'!G$2:G$746,'Base bordo'!C$2:C$746,A1165,'Base bordo'!B$2:B$746,B1165,'Base bordo'!F$2:F$746,"MANUTENCAO - T O"),0)+IFERROR(SUMIFS('Base bordo'!G$2:G$746,'Base bordo'!C$2:C$746,A1165,'Base bordo'!B$2:B$746,B1165,'Base bordo'!F$2:F$746,"MANUTENCAO BORRACHARIA"),0)+IFERROR(SUMIFS('Base bordo'!G$2:G$746,'Base bordo'!C$2:C$746,A1165,'Base bordo'!B$2:B$746,B1165,'Base bordo'!F$2:F$746,"MANUTENCAO EXTERNA  CONCESSIONARIA"),0)+IFERROR(SUMIFS('Base bordo'!G$2:G$746,'Base bordo'!C$2:C$746,A1165,'Base bordo'!B$2:B$746,B1165,'Base bordo'!F$2:F$746,"MANUTENCAO TELEMETRIA"),0)</f>
        <v>0</v>
      </c>
      <c r="M1165" s="10">
        <f>IFERROR(SUMIFS('Base bordo'!G$2:G$746,'Base bordo'!C$2:C$746,A1165,'Base bordo'!B$2:B$746,B1165,'Base bordo'!F$2:F$746,"AGUARDANDO MANUTENCAO"),0)</f>
        <v>0</v>
      </c>
      <c r="N1165" s="10">
        <f>IFERROR(SUMIFS('Base bordo'!G$2:G$746,'Base bordo'!C$2:C$746,A1165,'Base bordo'!B$2:B$746,B1165,'Base bordo'!F$2:F$746,"SEM APONTAMENTO"),0)</f>
        <v>0</v>
      </c>
      <c r="O1165" s="10">
        <f t="shared" si="114"/>
        <v>0.68777777777777871</v>
      </c>
      <c r="P1165" s="10">
        <f>IFERROR(SUMIFS('Base bordo'!G$2:G$746,'Base bordo'!C$2:C$746,A1165,'Base bordo'!B$2:B$746,B1165),0)</f>
        <v>7.1086111111111121</v>
      </c>
      <c r="Q1165" s="10">
        <f>IFERROR(SUMIFS('Base bordo'!H$2:H$746,'Base bordo'!C$2:C$746,A1165,'Base bordo'!B$2:B$746,B1165,'Base bordo'!F$2:F$746,"DESLOCAMENTO VAZIO"),0)</f>
        <v>173939.91999999998</v>
      </c>
      <c r="R1165" s="10">
        <f>IFERROR(SUMIFS('Base bordo'!I$2:I$746,'Base bordo'!C$2:C$746,A1165,'Base bordo'!B$2:B$746,B1165,'Base bordo'!F$2:F$746,"DESLOCAMENTO VAZIO"),0)</f>
        <v>4747</v>
      </c>
      <c r="S1165" s="30">
        <f t="shared" si="115"/>
        <v>36.642072888139872</v>
      </c>
      <c r="T1165" s="10">
        <f>IFERROR(SUMIFS('Base bordo'!H$2:H$746,'Base bordo'!C$2:C$746,A1165,'Base bordo'!B$2:B$746,B1165,'Base bordo'!F$2:F$746,"DESLOCAMENTO CARREGADO"),0)</f>
        <v>184357.02</v>
      </c>
      <c r="U1165" s="10">
        <f>IFERROR(SUMIFS('Base bordo'!I$2:I$746,'Base bordo'!C$2:C$746,A1165,'Base bordo'!B$2:B$746,B1165,'Base bordo'!F$2:F$746,"DESLOCAMENTO CARREGADO"),0)</f>
        <v>7369</v>
      </c>
      <c r="V1165" s="30">
        <f t="shared" si="116"/>
        <v>25.017915592346313</v>
      </c>
      <c r="W1165" s="9">
        <f t="shared" si="117"/>
        <v>0.18549490055097492</v>
      </c>
      <c r="X1165" s="9">
        <f t="shared" si="118"/>
        <v>0.28795279590481021</v>
      </c>
      <c r="Y1165" s="9">
        <f t="shared" si="119"/>
        <v>0.52655230354421478</v>
      </c>
    </row>
    <row r="1166" spans="1:25" ht="15" customHeight="1" x14ac:dyDescent="0.35">
      <c r="A1166" s="52">
        <v>8013485</v>
      </c>
      <c r="B1166" s="51">
        <v>46123</v>
      </c>
      <c r="C1166" s="7" t="s">
        <v>124</v>
      </c>
      <c r="D1166" s="10">
        <f>IFERROR(SUMIFS('Base bordo'!G$2:G$746,'Base bordo'!C$2:C$746,A1166,'Base bordo'!B$2:B$746,B1166,'Base bordo'!F$2:F$746,"DESLOCAMENTO VAZIO"),0)</f>
        <v>1.8255555555555556</v>
      </c>
      <c r="E1166" s="10">
        <f>IFERROR(SUMIFS('Base bordo'!G$2:G$746,'Base bordo'!C$2:C$746,A1166,'Base bordo'!B$2:B$746,B1166,'Base bordo'!F$2:F$746,"DESLOCAMENTO CARREGADO"),0)</f>
        <v>2.5369444444444444</v>
      </c>
      <c r="F1166" s="10">
        <f>IFERROR(SUMIFS('Base bordo'!G$2:G$746,'Base bordo'!C$2:C$746,A1166,'Base bordo'!B$2:B$746,B1166,'Base bordo'!F$2:F$746,"DESLOCAMENTO"),0)</f>
        <v>0.6694444444444444</v>
      </c>
      <c r="G1166" s="10">
        <f>IFERROR(SUMIFS('Base bordo'!G$2:G$746,'Base bordo'!C$2:C$746,A1166,'Base bordo'!B$2:B$746,B1166,'Base bordo'!F$2:F$746,"CARREGAMENTO"),0)</f>
        <v>0</v>
      </c>
      <c r="H1166" s="10">
        <f>IFERROR(SUMIFS('Base bordo'!G$2:G$746,'Base bordo'!C$2:C$746,A1166,'Base bordo'!B$2:B$746,B1166,'Base bordo'!F$2:F$746,"AGUARDANDO TRANSBORDO"),0)</f>
        <v>0.45916666666666667</v>
      </c>
      <c r="I1166" s="10">
        <f>IFERROR(SUMIFS('Base bordo'!G$2:G$746,'Base bordo'!C$2:C$746,A1166,'Base bordo'!B$2:B$746,B1166,'Base bordo'!F$2:F$746,"PÁTIO INTERNO"),0)+IFERROR(SUMIFS('Base bordo'!G$2:G$746,'Base bordo'!C$2:C$746,A1166,'Base bordo'!B$2:B$746,B1166,'Base bordo'!F$2:F$746,"PÁTIO EXTERNO"),0)+IFERROR(SUMIFS('Base bordo'!G$2:G$746,'Base bordo'!C$2:C$746,A1166,'Base bordo'!B$2:B$746,B1166,'Base bordo'!F$2:F$746,"PATIO - RESERVA"),0)+IFERROR(SUMIFS('Base bordo'!G$2:G$746,'Base bordo'!C$2:C$746,A1166,'Base bordo'!B$2:B$746,B1166,'Base bordo'!F$2:F$746,"MANOBRA CARRETAS-PATIO"),0)</f>
        <v>4.2497222222222222</v>
      </c>
      <c r="J1166" s="10">
        <f>IFERROR(SUMIFS('Base bordo'!G$2:G$746,'Base bordo'!C$2:C$746,A1166,'Base bordo'!B$2:B$746,B1166,'Base bordo'!F$2:F$746,"BALANÇA - ENTRADA"),0)+IFERROR(SUMIFS('Base bordo'!G$2:G$746,'Base bordo'!C$2:C$746,A1166,'Base bordo'!B$2:B$746,B1166,'Base bordo'!F$2:F$746,"BALANÇA - SAÍDA"),0)</f>
        <v>0</v>
      </c>
      <c r="K1166" s="10">
        <f>IFERROR(SUMIFS('Base bordo'!G$2:G$746,'Base bordo'!C$2:C$746,A1166,'Base bordo'!B$2:B$746,B1166,'Base bordo'!F$2:F$746,"MAN PREVENTIVA - MECANICA"),0)+IFERROR(SUMIFS('Base bordo'!G$2:G$746,'Base bordo'!C$2:C$746,A1166,'Base bordo'!B$2:B$746,B1166,'Base bordo'!F$2:F$746,"MAN CORRETIVA - MECANICA"),0)</f>
        <v>0</v>
      </c>
      <c r="L1166" s="10">
        <f>IFERROR(SUMIFS('Base bordo'!G$2:G$746,'Base bordo'!C$2:C$746,A1166,'Base bordo'!B$2:B$746,B1166,'Base bordo'!F$2:F$746,"MANUTENCAO - T O"),0)+IFERROR(SUMIFS('Base bordo'!G$2:G$746,'Base bordo'!C$2:C$746,A1166,'Base bordo'!B$2:B$746,B1166,'Base bordo'!F$2:F$746,"MANUTENCAO BORRACHARIA"),0)+IFERROR(SUMIFS('Base bordo'!G$2:G$746,'Base bordo'!C$2:C$746,A1166,'Base bordo'!B$2:B$746,B1166,'Base bordo'!F$2:F$746,"MANUTENCAO EXTERNA  CONCESSIONARIA"),0)+IFERROR(SUMIFS('Base bordo'!G$2:G$746,'Base bordo'!C$2:C$746,A1166,'Base bordo'!B$2:B$746,B1166,'Base bordo'!F$2:F$746,"MANUTENCAO TELEMETRIA"),0)</f>
        <v>0</v>
      </c>
      <c r="M1166" s="10">
        <f>IFERROR(SUMIFS('Base bordo'!G$2:G$746,'Base bordo'!C$2:C$746,A1166,'Base bordo'!B$2:B$746,B1166,'Base bordo'!F$2:F$746,"AGUARDANDO MANUTENCAO"),0)</f>
        <v>0</v>
      </c>
      <c r="N1166" s="10">
        <f>IFERROR(SUMIFS('Base bordo'!G$2:G$746,'Base bordo'!C$2:C$746,A1166,'Base bordo'!B$2:B$746,B1166,'Base bordo'!F$2:F$746,"SEM APONTAMENTO"),0)</f>
        <v>0</v>
      </c>
      <c r="O1166" s="10">
        <f t="shared" si="114"/>
        <v>0.10194444444444528</v>
      </c>
      <c r="P1166" s="10">
        <f>IFERROR(SUMIFS('Base bordo'!G$2:G$746,'Base bordo'!C$2:C$746,A1166,'Base bordo'!B$2:B$746,B1166),0)</f>
        <v>9.8427777777777781</v>
      </c>
      <c r="Q1166" s="10">
        <f>IFERROR(SUMIFS('Base bordo'!H$2:H$746,'Base bordo'!C$2:C$746,A1166,'Base bordo'!B$2:B$746,B1166,'Base bordo'!F$2:F$746,"DESLOCAMENTO VAZIO"),0)</f>
        <v>203208.90000000002</v>
      </c>
      <c r="R1166" s="10">
        <f>IFERROR(SUMIFS('Base bordo'!I$2:I$746,'Base bordo'!C$2:C$746,A1166,'Base bordo'!B$2:B$746,B1166,'Base bordo'!F$2:F$746,"DESLOCAMENTO VAZIO"),0)</f>
        <v>6572</v>
      </c>
      <c r="S1166" s="30">
        <f t="shared" si="115"/>
        <v>30.920404747413272</v>
      </c>
      <c r="T1166" s="10">
        <f>IFERROR(SUMIFS('Base bordo'!H$2:H$746,'Base bordo'!C$2:C$746,A1166,'Base bordo'!B$2:B$746,B1166,'Base bordo'!F$2:F$746,"DESLOCAMENTO CARREGADO"),0)</f>
        <v>202982.89</v>
      </c>
      <c r="U1166" s="10">
        <f>IFERROR(SUMIFS('Base bordo'!I$2:I$746,'Base bordo'!C$2:C$746,A1166,'Base bordo'!B$2:B$746,B1166,'Base bordo'!F$2:F$746,"DESLOCAMENTO CARREGADO"),0)</f>
        <v>9133</v>
      </c>
      <c r="V1166" s="30">
        <f t="shared" si="116"/>
        <v>22.225215153837734</v>
      </c>
      <c r="W1166" s="9">
        <f t="shared" si="117"/>
        <v>0.18547158096743241</v>
      </c>
      <c r="X1166" s="9">
        <f t="shared" si="118"/>
        <v>0.25774679686177115</v>
      </c>
      <c r="Y1166" s="9">
        <f t="shared" si="119"/>
        <v>0.55678162217079641</v>
      </c>
    </row>
    <row r="1167" spans="1:25" ht="15" customHeight="1" x14ac:dyDescent="0.35">
      <c r="A1167" s="52">
        <v>8013485</v>
      </c>
      <c r="B1167" s="51">
        <v>46123</v>
      </c>
      <c r="C1167" s="7" t="s">
        <v>124</v>
      </c>
      <c r="D1167" s="10">
        <f>IFERROR(SUMIFS('Base bordo'!G$2:G$746,'Base bordo'!C$2:C$746,A1167,'Base bordo'!B$2:B$746,B1167,'Base bordo'!F$2:F$746,"DESLOCAMENTO VAZIO"),0)</f>
        <v>1.8255555555555556</v>
      </c>
      <c r="E1167" s="10">
        <f>IFERROR(SUMIFS('Base bordo'!G$2:G$746,'Base bordo'!C$2:C$746,A1167,'Base bordo'!B$2:B$746,B1167,'Base bordo'!F$2:F$746,"DESLOCAMENTO CARREGADO"),0)</f>
        <v>2.5369444444444444</v>
      </c>
      <c r="F1167" s="10">
        <f>IFERROR(SUMIFS('Base bordo'!G$2:G$746,'Base bordo'!C$2:C$746,A1167,'Base bordo'!B$2:B$746,B1167,'Base bordo'!F$2:F$746,"DESLOCAMENTO"),0)</f>
        <v>0.6694444444444444</v>
      </c>
      <c r="G1167" s="10">
        <f>IFERROR(SUMIFS('Base bordo'!G$2:G$746,'Base bordo'!C$2:C$746,A1167,'Base bordo'!B$2:B$746,B1167,'Base bordo'!F$2:F$746,"CARREGAMENTO"),0)</f>
        <v>0</v>
      </c>
      <c r="H1167" s="10">
        <f>IFERROR(SUMIFS('Base bordo'!G$2:G$746,'Base bordo'!C$2:C$746,A1167,'Base bordo'!B$2:B$746,B1167,'Base bordo'!F$2:F$746,"AGUARDANDO TRANSBORDO"),0)</f>
        <v>0.45916666666666667</v>
      </c>
      <c r="I1167" s="10">
        <f>IFERROR(SUMIFS('Base bordo'!G$2:G$746,'Base bordo'!C$2:C$746,A1167,'Base bordo'!B$2:B$746,B1167,'Base bordo'!F$2:F$746,"PÁTIO INTERNO"),0)+IFERROR(SUMIFS('Base bordo'!G$2:G$746,'Base bordo'!C$2:C$746,A1167,'Base bordo'!B$2:B$746,B1167,'Base bordo'!F$2:F$746,"PÁTIO EXTERNO"),0)+IFERROR(SUMIFS('Base bordo'!G$2:G$746,'Base bordo'!C$2:C$746,A1167,'Base bordo'!B$2:B$746,B1167,'Base bordo'!F$2:F$746,"PATIO - RESERVA"),0)+IFERROR(SUMIFS('Base bordo'!G$2:G$746,'Base bordo'!C$2:C$746,A1167,'Base bordo'!B$2:B$746,B1167,'Base bordo'!F$2:F$746,"MANOBRA CARRETAS-PATIO"),0)</f>
        <v>4.2497222222222222</v>
      </c>
      <c r="J1167" s="10">
        <f>IFERROR(SUMIFS('Base bordo'!G$2:G$746,'Base bordo'!C$2:C$746,A1167,'Base bordo'!B$2:B$746,B1167,'Base bordo'!F$2:F$746,"BALANÇA - ENTRADA"),0)+IFERROR(SUMIFS('Base bordo'!G$2:G$746,'Base bordo'!C$2:C$746,A1167,'Base bordo'!B$2:B$746,B1167,'Base bordo'!F$2:F$746,"BALANÇA - SAÍDA"),0)</f>
        <v>0</v>
      </c>
      <c r="K1167" s="10">
        <f>IFERROR(SUMIFS('Base bordo'!G$2:G$746,'Base bordo'!C$2:C$746,A1167,'Base bordo'!B$2:B$746,B1167,'Base bordo'!F$2:F$746,"MAN PREVENTIVA - MECANICA"),0)+IFERROR(SUMIFS('Base bordo'!G$2:G$746,'Base bordo'!C$2:C$746,A1167,'Base bordo'!B$2:B$746,B1167,'Base bordo'!F$2:F$746,"MAN CORRETIVA - MECANICA"),0)</f>
        <v>0</v>
      </c>
      <c r="L1167" s="10">
        <f>IFERROR(SUMIFS('Base bordo'!G$2:G$746,'Base bordo'!C$2:C$746,A1167,'Base bordo'!B$2:B$746,B1167,'Base bordo'!F$2:F$746,"MANUTENCAO - T O"),0)+IFERROR(SUMIFS('Base bordo'!G$2:G$746,'Base bordo'!C$2:C$746,A1167,'Base bordo'!B$2:B$746,B1167,'Base bordo'!F$2:F$746,"MANUTENCAO BORRACHARIA"),0)+IFERROR(SUMIFS('Base bordo'!G$2:G$746,'Base bordo'!C$2:C$746,A1167,'Base bordo'!B$2:B$746,B1167,'Base bordo'!F$2:F$746,"MANUTENCAO EXTERNA  CONCESSIONARIA"),0)+IFERROR(SUMIFS('Base bordo'!G$2:G$746,'Base bordo'!C$2:C$746,A1167,'Base bordo'!B$2:B$746,B1167,'Base bordo'!F$2:F$746,"MANUTENCAO TELEMETRIA"),0)</f>
        <v>0</v>
      </c>
      <c r="M1167" s="10">
        <f>IFERROR(SUMIFS('Base bordo'!G$2:G$746,'Base bordo'!C$2:C$746,A1167,'Base bordo'!B$2:B$746,B1167,'Base bordo'!F$2:F$746,"AGUARDANDO MANUTENCAO"),0)</f>
        <v>0</v>
      </c>
      <c r="N1167" s="10">
        <f>IFERROR(SUMIFS('Base bordo'!G$2:G$746,'Base bordo'!C$2:C$746,A1167,'Base bordo'!B$2:B$746,B1167,'Base bordo'!F$2:F$746,"SEM APONTAMENTO"),0)</f>
        <v>0</v>
      </c>
      <c r="O1167" s="10">
        <f t="shared" ref="O1167:O1230" si="120">IFERROR(P1167-SUM(D1167:N1167),0)</f>
        <v>0.10194444444444528</v>
      </c>
      <c r="P1167" s="10">
        <f>IFERROR(SUMIFS('Base bordo'!G$2:G$746,'Base bordo'!C$2:C$746,A1167,'Base bordo'!B$2:B$746,B1167),0)</f>
        <v>9.8427777777777781</v>
      </c>
      <c r="Q1167" s="10">
        <f>IFERROR(SUMIFS('Base bordo'!H$2:H$746,'Base bordo'!C$2:C$746,A1167,'Base bordo'!B$2:B$746,B1167,'Base bordo'!F$2:F$746,"DESLOCAMENTO VAZIO"),0)</f>
        <v>203208.90000000002</v>
      </c>
      <c r="R1167" s="10">
        <f>IFERROR(SUMIFS('Base bordo'!I$2:I$746,'Base bordo'!C$2:C$746,A1167,'Base bordo'!B$2:B$746,B1167,'Base bordo'!F$2:F$746,"DESLOCAMENTO VAZIO"),0)</f>
        <v>6572</v>
      </c>
      <c r="S1167" s="30">
        <f t="shared" ref="S1167:S1230" si="121">IFERROR(Q1167/R1167,"")</f>
        <v>30.920404747413272</v>
      </c>
      <c r="T1167" s="10">
        <f>IFERROR(SUMIFS('Base bordo'!H$2:H$746,'Base bordo'!C$2:C$746,A1167,'Base bordo'!B$2:B$746,B1167,'Base bordo'!F$2:F$746,"DESLOCAMENTO CARREGADO"),0)</f>
        <v>202982.89</v>
      </c>
      <c r="U1167" s="10">
        <f>IFERROR(SUMIFS('Base bordo'!I$2:I$746,'Base bordo'!C$2:C$746,A1167,'Base bordo'!B$2:B$746,B1167,'Base bordo'!F$2:F$746,"DESLOCAMENTO CARREGADO"),0)</f>
        <v>9133</v>
      </c>
      <c r="V1167" s="30">
        <f t="shared" ref="V1167:V1230" si="122">IFERROR(T1167/U1167,"")</f>
        <v>22.225215153837734</v>
      </c>
      <c r="W1167" s="9">
        <f t="shared" ref="W1167:W1230" si="123">IFERROR(D1167/P1167,0)</f>
        <v>0.18547158096743241</v>
      </c>
      <c r="X1167" s="9">
        <f t="shared" ref="X1167:X1230" si="124">IFERROR(E1167/P1167,0)</f>
        <v>0.25774679686177115</v>
      </c>
      <c r="Y1167" s="9">
        <f t="shared" ref="Y1167:Y1230" si="125">IFERROR(1-((D1167+E1167)/P1167),0)</f>
        <v>0.55678162217079641</v>
      </c>
    </row>
    <row r="1168" spans="1:25" ht="15" customHeight="1" x14ac:dyDescent="0.35">
      <c r="A1168" s="52">
        <v>8013485</v>
      </c>
      <c r="B1168" s="51">
        <v>46123</v>
      </c>
      <c r="C1168" s="7" t="s">
        <v>124</v>
      </c>
      <c r="D1168" s="10">
        <f>IFERROR(SUMIFS('Base bordo'!G$2:G$746,'Base bordo'!C$2:C$746,A1168,'Base bordo'!B$2:B$746,B1168,'Base bordo'!F$2:F$746,"DESLOCAMENTO VAZIO"),0)</f>
        <v>1.8255555555555556</v>
      </c>
      <c r="E1168" s="10">
        <f>IFERROR(SUMIFS('Base bordo'!G$2:G$746,'Base bordo'!C$2:C$746,A1168,'Base bordo'!B$2:B$746,B1168,'Base bordo'!F$2:F$746,"DESLOCAMENTO CARREGADO"),0)</f>
        <v>2.5369444444444444</v>
      </c>
      <c r="F1168" s="10">
        <f>IFERROR(SUMIFS('Base bordo'!G$2:G$746,'Base bordo'!C$2:C$746,A1168,'Base bordo'!B$2:B$746,B1168,'Base bordo'!F$2:F$746,"DESLOCAMENTO"),0)</f>
        <v>0.6694444444444444</v>
      </c>
      <c r="G1168" s="10">
        <f>IFERROR(SUMIFS('Base bordo'!G$2:G$746,'Base bordo'!C$2:C$746,A1168,'Base bordo'!B$2:B$746,B1168,'Base bordo'!F$2:F$746,"CARREGAMENTO"),0)</f>
        <v>0</v>
      </c>
      <c r="H1168" s="10">
        <f>IFERROR(SUMIFS('Base bordo'!G$2:G$746,'Base bordo'!C$2:C$746,A1168,'Base bordo'!B$2:B$746,B1168,'Base bordo'!F$2:F$746,"AGUARDANDO TRANSBORDO"),0)</f>
        <v>0.45916666666666667</v>
      </c>
      <c r="I1168" s="10">
        <f>IFERROR(SUMIFS('Base bordo'!G$2:G$746,'Base bordo'!C$2:C$746,A1168,'Base bordo'!B$2:B$746,B1168,'Base bordo'!F$2:F$746,"PÁTIO INTERNO"),0)+IFERROR(SUMIFS('Base bordo'!G$2:G$746,'Base bordo'!C$2:C$746,A1168,'Base bordo'!B$2:B$746,B1168,'Base bordo'!F$2:F$746,"PÁTIO EXTERNO"),0)+IFERROR(SUMIFS('Base bordo'!G$2:G$746,'Base bordo'!C$2:C$746,A1168,'Base bordo'!B$2:B$746,B1168,'Base bordo'!F$2:F$746,"PATIO - RESERVA"),0)+IFERROR(SUMIFS('Base bordo'!G$2:G$746,'Base bordo'!C$2:C$746,A1168,'Base bordo'!B$2:B$746,B1168,'Base bordo'!F$2:F$746,"MANOBRA CARRETAS-PATIO"),0)</f>
        <v>4.2497222222222222</v>
      </c>
      <c r="J1168" s="10">
        <f>IFERROR(SUMIFS('Base bordo'!G$2:G$746,'Base bordo'!C$2:C$746,A1168,'Base bordo'!B$2:B$746,B1168,'Base bordo'!F$2:F$746,"BALANÇA - ENTRADA"),0)+IFERROR(SUMIFS('Base bordo'!G$2:G$746,'Base bordo'!C$2:C$746,A1168,'Base bordo'!B$2:B$746,B1168,'Base bordo'!F$2:F$746,"BALANÇA - SAÍDA"),0)</f>
        <v>0</v>
      </c>
      <c r="K1168" s="10">
        <f>IFERROR(SUMIFS('Base bordo'!G$2:G$746,'Base bordo'!C$2:C$746,A1168,'Base bordo'!B$2:B$746,B1168,'Base bordo'!F$2:F$746,"MAN PREVENTIVA - MECANICA"),0)+IFERROR(SUMIFS('Base bordo'!G$2:G$746,'Base bordo'!C$2:C$746,A1168,'Base bordo'!B$2:B$746,B1168,'Base bordo'!F$2:F$746,"MAN CORRETIVA - MECANICA"),0)</f>
        <v>0</v>
      </c>
      <c r="L1168" s="10">
        <f>IFERROR(SUMIFS('Base bordo'!G$2:G$746,'Base bordo'!C$2:C$746,A1168,'Base bordo'!B$2:B$746,B1168,'Base bordo'!F$2:F$746,"MANUTENCAO - T O"),0)+IFERROR(SUMIFS('Base bordo'!G$2:G$746,'Base bordo'!C$2:C$746,A1168,'Base bordo'!B$2:B$746,B1168,'Base bordo'!F$2:F$746,"MANUTENCAO BORRACHARIA"),0)+IFERROR(SUMIFS('Base bordo'!G$2:G$746,'Base bordo'!C$2:C$746,A1168,'Base bordo'!B$2:B$746,B1168,'Base bordo'!F$2:F$746,"MANUTENCAO EXTERNA  CONCESSIONARIA"),0)+IFERROR(SUMIFS('Base bordo'!G$2:G$746,'Base bordo'!C$2:C$746,A1168,'Base bordo'!B$2:B$746,B1168,'Base bordo'!F$2:F$746,"MANUTENCAO TELEMETRIA"),0)</f>
        <v>0</v>
      </c>
      <c r="M1168" s="10">
        <f>IFERROR(SUMIFS('Base bordo'!G$2:G$746,'Base bordo'!C$2:C$746,A1168,'Base bordo'!B$2:B$746,B1168,'Base bordo'!F$2:F$746,"AGUARDANDO MANUTENCAO"),0)</f>
        <v>0</v>
      </c>
      <c r="N1168" s="10">
        <f>IFERROR(SUMIFS('Base bordo'!G$2:G$746,'Base bordo'!C$2:C$746,A1168,'Base bordo'!B$2:B$746,B1168,'Base bordo'!F$2:F$746,"SEM APONTAMENTO"),0)</f>
        <v>0</v>
      </c>
      <c r="O1168" s="10">
        <f t="shared" si="120"/>
        <v>0.10194444444444528</v>
      </c>
      <c r="P1168" s="10">
        <f>IFERROR(SUMIFS('Base bordo'!G$2:G$746,'Base bordo'!C$2:C$746,A1168,'Base bordo'!B$2:B$746,B1168),0)</f>
        <v>9.8427777777777781</v>
      </c>
      <c r="Q1168" s="10">
        <f>IFERROR(SUMIFS('Base bordo'!H$2:H$746,'Base bordo'!C$2:C$746,A1168,'Base bordo'!B$2:B$746,B1168,'Base bordo'!F$2:F$746,"DESLOCAMENTO VAZIO"),0)</f>
        <v>203208.90000000002</v>
      </c>
      <c r="R1168" s="10">
        <f>IFERROR(SUMIFS('Base bordo'!I$2:I$746,'Base bordo'!C$2:C$746,A1168,'Base bordo'!B$2:B$746,B1168,'Base bordo'!F$2:F$746,"DESLOCAMENTO VAZIO"),0)</f>
        <v>6572</v>
      </c>
      <c r="S1168" s="30">
        <f t="shared" si="121"/>
        <v>30.920404747413272</v>
      </c>
      <c r="T1168" s="10">
        <f>IFERROR(SUMIFS('Base bordo'!H$2:H$746,'Base bordo'!C$2:C$746,A1168,'Base bordo'!B$2:B$746,B1168,'Base bordo'!F$2:F$746,"DESLOCAMENTO CARREGADO"),0)</f>
        <v>202982.89</v>
      </c>
      <c r="U1168" s="10">
        <f>IFERROR(SUMIFS('Base bordo'!I$2:I$746,'Base bordo'!C$2:C$746,A1168,'Base bordo'!B$2:B$746,B1168,'Base bordo'!F$2:F$746,"DESLOCAMENTO CARREGADO"),0)</f>
        <v>9133</v>
      </c>
      <c r="V1168" s="30">
        <f t="shared" si="122"/>
        <v>22.225215153837734</v>
      </c>
      <c r="W1168" s="9">
        <f t="shared" si="123"/>
        <v>0.18547158096743241</v>
      </c>
      <c r="X1168" s="9">
        <f t="shared" si="124"/>
        <v>0.25774679686177115</v>
      </c>
      <c r="Y1168" s="9">
        <f t="shared" si="125"/>
        <v>0.55678162217079641</v>
      </c>
    </row>
    <row r="1169" spans="1:25" ht="15" customHeight="1" x14ac:dyDescent="0.35">
      <c r="A1169" s="52">
        <v>8013485</v>
      </c>
      <c r="B1169" s="51">
        <v>46123</v>
      </c>
      <c r="C1169" s="7" t="s">
        <v>124</v>
      </c>
      <c r="D1169" s="10">
        <f>IFERROR(SUMIFS('Base bordo'!G$2:G$746,'Base bordo'!C$2:C$746,A1169,'Base bordo'!B$2:B$746,B1169,'Base bordo'!F$2:F$746,"DESLOCAMENTO VAZIO"),0)</f>
        <v>1.8255555555555556</v>
      </c>
      <c r="E1169" s="10">
        <f>IFERROR(SUMIFS('Base bordo'!G$2:G$746,'Base bordo'!C$2:C$746,A1169,'Base bordo'!B$2:B$746,B1169,'Base bordo'!F$2:F$746,"DESLOCAMENTO CARREGADO"),0)</f>
        <v>2.5369444444444444</v>
      </c>
      <c r="F1169" s="10">
        <f>IFERROR(SUMIFS('Base bordo'!G$2:G$746,'Base bordo'!C$2:C$746,A1169,'Base bordo'!B$2:B$746,B1169,'Base bordo'!F$2:F$746,"DESLOCAMENTO"),0)</f>
        <v>0.6694444444444444</v>
      </c>
      <c r="G1169" s="10">
        <f>IFERROR(SUMIFS('Base bordo'!G$2:G$746,'Base bordo'!C$2:C$746,A1169,'Base bordo'!B$2:B$746,B1169,'Base bordo'!F$2:F$746,"CARREGAMENTO"),0)</f>
        <v>0</v>
      </c>
      <c r="H1169" s="10">
        <f>IFERROR(SUMIFS('Base bordo'!G$2:G$746,'Base bordo'!C$2:C$746,A1169,'Base bordo'!B$2:B$746,B1169,'Base bordo'!F$2:F$746,"AGUARDANDO TRANSBORDO"),0)</f>
        <v>0.45916666666666667</v>
      </c>
      <c r="I1169" s="10">
        <f>IFERROR(SUMIFS('Base bordo'!G$2:G$746,'Base bordo'!C$2:C$746,A1169,'Base bordo'!B$2:B$746,B1169,'Base bordo'!F$2:F$746,"PÁTIO INTERNO"),0)+IFERROR(SUMIFS('Base bordo'!G$2:G$746,'Base bordo'!C$2:C$746,A1169,'Base bordo'!B$2:B$746,B1169,'Base bordo'!F$2:F$746,"PÁTIO EXTERNO"),0)+IFERROR(SUMIFS('Base bordo'!G$2:G$746,'Base bordo'!C$2:C$746,A1169,'Base bordo'!B$2:B$746,B1169,'Base bordo'!F$2:F$746,"PATIO - RESERVA"),0)+IFERROR(SUMIFS('Base bordo'!G$2:G$746,'Base bordo'!C$2:C$746,A1169,'Base bordo'!B$2:B$746,B1169,'Base bordo'!F$2:F$746,"MANOBRA CARRETAS-PATIO"),0)</f>
        <v>4.2497222222222222</v>
      </c>
      <c r="J1169" s="10">
        <f>IFERROR(SUMIFS('Base bordo'!G$2:G$746,'Base bordo'!C$2:C$746,A1169,'Base bordo'!B$2:B$746,B1169,'Base bordo'!F$2:F$746,"BALANÇA - ENTRADA"),0)+IFERROR(SUMIFS('Base bordo'!G$2:G$746,'Base bordo'!C$2:C$746,A1169,'Base bordo'!B$2:B$746,B1169,'Base bordo'!F$2:F$746,"BALANÇA - SAÍDA"),0)</f>
        <v>0</v>
      </c>
      <c r="K1169" s="10">
        <f>IFERROR(SUMIFS('Base bordo'!G$2:G$746,'Base bordo'!C$2:C$746,A1169,'Base bordo'!B$2:B$746,B1169,'Base bordo'!F$2:F$746,"MAN PREVENTIVA - MECANICA"),0)+IFERROR(SUMIFS('Base bordo'!G$2:G$746,'Base bordo'!C$2:C$746,A1169,'Base bordo'!B$2:B$746,B1169,'Base bordo'!F$2:F$746,"MAN CORRETIVA - MECANICA"),0)</f>
        <v>0</v>
      </c>
      <c r="L1169" s="10">
        <f>IFERROR(SUMIFS('Base bordo'!G$2:G$746,'Base bordo'!C$2:C$746,A1169,'Base bordo'!B$2:B$746,B1169,'Base bordo'!F$2:F$746,"MANUTENCAO - T O"),0)+IFERROR(SUMIFS('Base bordo'!G$2:G$746,'Base bordo'!C$2:C$746,A1169,'Base bordo'!B$2:B$746,B1169,'Base bordo'!F$2:F$746,"MANUTENCAO BORRACHARIA"),0)+IFERROR(SUMIFS('Base bordo'!G$2:G$746,'Base bordo'!C$2:C$746,A1169,'Base bordo'!B$2:B$746,B1169,'Base bordo'!F$2:F$746,"MANUTENCAO EXTERNA  CONCESSIONARIA"),0)+IFERROR(SUMIFS('Base bordo'!G$2:G$746,'Base bordo'!C$2:C$746,A1169,'Base bordo'!B$2:B$746,B1169,'Base bordo'!F$2:F$746,"MANUTENCAO TELEMETRIA"),0)</f>
        <v>0</v>
      </c>
      <c r="M1169" s="10">
        <f>IFERROR(SUMIFS('Base bordo'!G$2:G$746,'Base bordo'!C$2:C$746,A1169,'Base bordo'!B$2:B$746,B1169,'Base bordo'!F$2:F$746,"AGUARDANDO MANUTENCAO"),0)</f>
        <v>0</v>
      </c>
      <c r="N1169" s="10">
        <f>IFERROR(SUMIFS('Base bordo'!G$2:G$746,'Base bordo'!C$2:C$746,A1169,'Base bordo'!B$2:B$746,B1169,'Base bordo'!F$2:F$746,"SEM APONTAMENTO"),0)</f>
        <v>0</v>
      </c>
      <c r="O1169" s="10">
        <f t="shared" si="120"/>
        <v>0.10194444444444528</v>
      </c>
      <c r="P1169" s="10">
        <f>IFERROR(SUMIFS('Base bordo'!G$2:G$746,'Base bordo'!C$2:C$746,A1169,'Base bordo'!B$2:B$746,B1169),0)</f>
        <v>9.8427777777777781</v>
      </c>
      <c r="Q1169" s="10">
        <f>IFERROR(SUMIFS('Base bordo'!H$2:H$746,'Base bordo'!C$2:C$746,A1169,'Base bordo'!B$2:B$746,B1169,'Base bordo'!F$2:F$746,"DESLOCAMENTO VAZIO"),0)</f>
        <v>203208.90000000002</v>
      </c>
      <c r="R1169" s="10">
        <f>IFERROR(SUMIFS('Base bordo'!I$2:I$746,'Base bordo'!C$2:C$746,A1169,'Base bordo'!B$2:B$746,B1169,'Base bordo'!F$2:F$746,"DESLOCAMENTO VAZIO"),0)</f>
        <v>6572</v>
      </c>
      <c r="S1169" s="30">
        <f t="shared" si="121"/>
        <v>30.920404747413272</v>
      </c>
      <c r="T1169" s="10">
        <f>IFERROR(SUMIFS('Base bordo'!H$2:H$746,'Base bordo'!C$2:C$746,A1169,'Base bordo'!B$2:B$746,B1169,'Base bordo'!F$2:F$746,"DESLOCAMENTO CARREGADO"),0)</f>
        <v>202982.89</v>
      </c>
      <c r="U1169" s="10">
        <f>IFERROR(SUMIFS('Base bordo'!I$2:I$746,'Base bordo'!C$2:C$746,A1169,'Base bordo'!B$2:B$746,B1169,'Base bordo'!F$2:F$746,"DESLOCAMENTO CARREGADO"),0)</f>
        <v>9133</v>
      </c>
      <c r="V1169" s="30">
        <f t="shared" si="122"/>
        <v>22.225215153837734</v>
      </c>
      <c r="W1169" s="9">
        <f t="shared" si="123"/>
        <v>0.18547158096743241</v>
      </c>
      <c r="X1169" s="9">
        <f t="shared" si="124"/>
        <v>0.25774679686177115</v>
      </c>
      <c r="Y1169" s="9">
        <f t="shared" si="125"/>
        <v>0.55678162217079641</v>
      </c>
    </row>
    <row r="1170" spans="1:25" ht="15" customHeight="1" x14ac:dyDescent="0.35">
      <c r="A1170" s="52">
        <v>8013485</v>
      </c>
      <c r="B1170" s="51">
        <v>46123</v>
      </c>
      <c r="C1170" s="7" t="s">
        <v>124</v>
      </c>
      <c r="D1170" s="10">
        <f>IFERROR(SUMIFS('Base bordo'!G$2:G$746,'Base bordo'!C$2:C$746,A1170,'Base bordo'!B$2:B$746,B1170,'Base bordo'!F$2:F$746,"DESLOCAMENTO VAZIO"),0)</f>
        <v>1.8255555555555556</v>
      </c>
      <c r="E1170" s="10">
        <f>IFERROR(SUMIFS('Base bordo'!G$2:G$746,'Base bordo'!C$2:C$746,A1170,'Base bordo'!B$2:B$746,B1170,'Base bordo'!F$2:F$746,"DESLOCAMENTO CARREGADO"),0)</f>
        <v>2.5369444444444444</v>
      </c>
      <c r="F1170" s="10">
        <f>IFERROR(SUMIFS('Base bordo'!G$2:G$746,'Base bordo'!C$2:C$746,A1170,'Base bordo'!B$2:B$746,B1170,'Base bordo'!F$2:F$746,"DESLOCAMENTO"),0)</f>
        <v>0.6694444444444444</v>
      </c>
      <c r="G1170" s="10">
        <f>IFERROR(SUMIFS('Base bordo'!G$2:G$746,'Base bordo'!C$2:C$746,A1170,'Base bordo'!B$2:B$746,B1170,'Base bordo'!F$2:F$746,"CARREGAMENTO"),0)</f>
        <v>0</v>
      </c>
      <c r="H1170" s="10">
        <f>IFERROR(SUMIFS('Base bordo'!G$2:G$746,'Base bordo'!C$2:C$746,A1170,'Base bordo'!B$2:B$746,B1170,'Base bordo'!F$2:F$746,"AGUARDANDO TRANSBORDO"),0)</f>
        <v>0.45916666666666667</v>
      </c>
      <c r="I1170" s="10">
        <f>IFERROR(SUMIFS('Base bordo'!G$2:G$746,'Base bordo'!C$2:C$746,A1170,'Base bordo'!B$2:B$746,B1170,'Base bordo'!F$2:F$746,"PÁTIO INTERNO"),0)+IFERROR(SUMIFS('Base bordo'!G$2:G$746,'Base bordo'!C$2:C$746,A1170,'Base bordo'!B$2:B$746,B1170,'Base bordo'!F$2:F$746,"PÁTIO EXTERNO"),0)+IFERROR(SUMIFS('Base bordo'!G$2:G$746,'Base bordo'!C$2:C$746,A1170,'Base bordo'!B$2:B$746,B1170,'Base bordo'!F$2:F$746,"PATIO - RESERVA"),0)+IFERROR(SUMIFS('Base bordo'!G$2:G$746,'Base bordo'!C$2:C$746,A1170,'Base bordo'!B$2:B$746,B1170,'Base bordo'!F$2:F$746,"MANOBRA CARRETAS-PATIO"),0)</f>
        <v>4.2497222222222222</v>
      </c>
      <c r="J1170" s="10">
        <f>IFERROR(SUMIFS('Base bordo'!G$2:G$746,'Base bordo'!C$2:C$746,A1170,'Base bordo'!B$2:B$746,B1170,'Base bordo'!F$2:F$746,"BALANÇA - ENTRADA"),0)+IFERROR(SUMIFS('Base bordo'!G$2:G$746,'Base bordo'!C$2:C$746,A1170,'Base bordo'!B$2:B$746,B1170,'Base bordo'!F$2:F$746,"BALANÇA - SAÍDA"),0)</f>
        <v>0</v>
      </c>
      <c r="K1170" s="10">
        <f>IFERROR(SUMIFS('Base bordo'!G$2:G$746,'Base bordo'!C$2:C$746,A1170,'Base bordo'!B$2:B$746,B1170,'Base bordo'!F$2:F$746,"MAN PREVENTIVA - MECANICA"),0)+IFERROR(SUMIFS('Base bordo'!G$2:G$746,'Base bordo'!C$2:C$746,A1170,'Base bordo'!B$2:B$746,B1170,'Base bordo'!F$2:F$746,"MAN CORRETIVA - MECANICA"),0)</f>
        <v>0</v>
      </c>
      <c r="L1170" s="10">
        <f>IFERROR(SUMIFS('Base bordo'!G$2:G$746,'Base bordo'!C$2:C$746,A1170,'Base bordo'!B$2:B$746,B1170,'Base bordo'!F$2:F$746,"MANUTENCAO - T O"),0)+IFERROR(SUMIFS('Base bordo'!G$2:G$746,'Base bordo'!C$2:C$746,A1170,'Base bordo'!B$2:B$746,B1170,'Base bordo'!F$2:F$746,"MANUTENCAO BORRACHARIA"),0)+IFERROR(SUMIFS('Base bordo'!G$2:G$746,'Base bordo'!C$2:C$746,A1170,'Base bordo'!B$2:B$746,B1170,'Base bordo'!F$2:F$746,"MANUTENCAO EXTERNA  CONCESSIONARIA"),0)+IFERROR(SUMIFS('Base bordo'!G$2:G$746,'Base bordo'!C$2:C$746,A1170,'Base bordo'!B$2:B$746,B1170,'Base bordo'!F$2:F$746,"MANUTENCAO TELEMETRIA"),0)</f>
        <v>0</v>
      </c>
      <c r="M1170" s="10">
        <f>IFERROR(SUMIFS('Base bordo'!G$2:G$746,'Base bordo'!C$2:C$746,A1170,'Base bordo'!B$2:B$746,B1170,'Base bordo'!F$2:F$746,"AGUARDANDO MANUTENCAO"),0)</f>
        <v>0</v>
      </c>
      <c r="N1170" s="10">
        <f>IFERROR(SUMIFS('Base bordo'!G$2:G$746,'Base bordo'!C$2:C$746,A1170,'Base bordo'!B$2:B$746,B1170,'Base bordo'!F$2:F$746,"SEM APONTAMENTO"),0)</f>
        <v>0</v>
      </c>
      <c r="O1170" s="10">
        <f t="shared" si="120"/>
        <v>0.10194444444444528</v>
      </c>
      <c r="P1170" s="10">
        <f>IFERROR(SUMIFS('Base bordo'!G$2:G$746,'Base bordo'!C$2:C$746,A1170,'Base bordo'!B$2:B$746,B1170),0)</f>
        <v>9.8427777777777781</v>
      </c>
      <c r="Q1170" s="10">
        <f>IFERROR(SUMIFS('Base bordo'!H$2:H$746,'Base bordo'!C$2:C$746,A1170,'Base bordo'!B$2:B$746,B1170,'Base bordo'!F$2:F$746,"DESLOCAMENTO VAZIO"),0)</f>
        <v>203208.90000000002</v>
      </c>
      <c r="R1170" s="10">
        <f>IFERROR(SUMIFS('Base bordo'!I$2:I$746,'Base bordo'!C$2:C$746,A1170,'Base bordo'!B$2:B$746,B1170,'Base bordo'!F$2:F$746,"DESLOCAMENTO VAZIO"),0)</f>
        <v>6572</v>
      </c>
      <c r="S1170" s="30">
        <f t="shared" si="121"/>
        <v>30.920404747413272</v>
      </c>
      <c r="T1170" s="10">
        <f>IFERROR(SUMIFS('Base bordo'!H$2:H$746,'Base bordo'!C$2:C$746,A1170,'Base bordo'!B$2:B$746,B1170,'Base bordo'!F$2:F$746,"DESLOCAMENTO CARREGADO"),0)</f>
        <v>202982.89</v>
      </c>
      <c r="U1170" s="10">
        <f>IFERROR(SUMIFS('Base bordo'!I$2:I$746,'Base bordo'!C$2:C$746,A1170,'Base bordo'!B$2:B$746,B1170,'Base bordo'!F$2:F$746,"DESLOCAMENTO CARREGADO"),0)</f>
        <v>9133</v>
      </c>
      <c r="V1170" s="30">
        <f t="shared" si="122"/>
        <v>22.225215153837734</v>
      </c>
      <c r="W1170" s="9">
        <f t="shared" si="123"/>
        <v>0.18547158096743241</v>
      </c>
      <c r="X1170" s="9">
        <f t="shared" si="124"/>
        <v>0.25774679686177115</v>
      </c>
      <c r="Y1170" s="9">
        <f t="shared" si="125"/>
        <v>0.55678162217079641</v>
      </c>
    </row>
    <row r="1171" spans="1:25" ht="15" customHeight="1" x14ac:dyDescent="0.35">
      <c r="A1171" s="52">
        <v>8013485</v>
      </c>
      <c r="B1171" s="51">
        <v>46123</v>
      </c>
      <c r="C1171" s="7" t="s">
        <v>124</v>
      </c>
      <c r="D1171" s="10">
        <f>IFERROR(SUMIFS('Base bordo'!G$2:G$746,'Base bordo'!C$2:C$746,A1171,'Base bordo'!B$2:B$746,B1171,'Base bordo'!F$2:F$746,"DESLOCAMENTO VAZIO"),0)</f>
        <v>1.8255555555555556</v>
      </c>
      <c r="E1171" s="10">
        <f>IFERROR(SUMIFS('Base bordo'!G$2:G$746,'Base bordo'!C$2:C$746,A1171,'Base bordo'!B$2:B$746,B1171,'Base bordo'!F$2:F$746,"DESLOCAMENTO CARREGADO"),0)</f>
        <v>2.5369444444444444</v>
      </c>
      <c r="F1171" s="10">
        <f>IFERROR(SUMIFS('Base bordo'!G$2:G$746,'Base bordo'!C$2:C$746,A1171,'Base bordo'!B$2:B$746,B1171,'Base bordo'!F$2:F$746,"DESLOCAMENTO"),0)</f>
        <v>0.6694444444444444</v>
      </c>
      <c r="G1171" s="10">
        <f>IFERROR(SUMIFS('Base bordo'!G$2:G$746,'Base bordo'!C$2:C$746,A1171,'Base bordo'!B$2:B$746,B1171,'Base bordo'!F$2:F$746,"CARREGAMENTO"),0)</f>
        <v>0</v>
      </c>
      <c r="H1171" s="10">
        <f>IFERROR(SUMIFS('Base bordo'!G$2:G$746,'Base bordo'!C$2:C$746,A1171,'Base bordo'!B$2:B$746,B1171,'Base bordo'!F$2:F$746,"AGUARDANDO TRANSBORDO"),0)</f>
        <v>0.45916666666666667</v>
      </c>
      <c r="I1171" s="10">
        <f>IFERROR(SUMIFS('Base bordo'!G$2:G$746,'Base bordo'!C$2:C$746,A1171,'Base bordo'!B$2:B$746,B1171,'Base bordo'!F$2:F$746,"PÁTIO INTERNO"),0)+IFERROR(SUMIFS('Base bordo'!G$2:G$746,'Base bordo'!C$2:C$746,A1171,'Base bordo'!B$2:B$746,B1171,'Base bordo'!F$2:F$746,"PÁTIO EXTERNO"),0)+IFERROR(SUMIFS('Base bordo'!G$2:G$746,'Base bordo'!C$2:C$746,A1171,'Base bordo'!B$2:B$746,B1171,'Base bordo'!F$2:F$746,"PATIO - RESERVA"),0)+IFERROR(SUMIFS('Base bordo'!G$2:G$746,'Base bordo'!C$2:C$746,A1171,'Base bordo'!B$2:B$746,B1171,'Base bordo'!F$2:F$746,"MANOBRA CARRETAS-PATIO"),0)</f>
        <v>4.2497222222222222</v>
      </c>
      <c r="J1171" s="10">
        <f>IFERROR(SUMIFS('Base bordo'!G$2:G$746,'Base bordo'!C$2:C$746,A1171,'Base bordo'!B$2:B$746,B1171,'Base bordo'!F$2:F$746,"BALANÇA - ENTRADA"),0)+IFERROR(SUMIFS('Base bordo'!G$2:G$746,'Base bordo'!C$2:C$746,A1171,'Base bordo'!B$2:B$746,B1171,'Base bordo'!F$2:F$746,"BALANÇA - SAÍDA"),0)</f>
        <v>0</v>
      </c>
      <c r="K1171" s="10">
        <f>IFERROR(SUMIFS('Base bordo'!G$2:G$746,'Base bordo'!C$2:C$746,A1171,'Base bordo'!B$2:B$746,B1171,'Base bordo'!F$2:F$746,"MAN PREVENTIVA - MECANICA"),0)+IFERROR(SUMIFS('Base bordo'!G$2:G$746,'Base bordo'!C$2:C$746,A1171,'Base bordo'!B$2:B$746,B1171,'Base bordo'!F$2:F$746,"MAN CORRETIVA - MECANICA"),0)</f>
        <v>0</v>
      </c>
      <c r="L1171" s="10">
        <f>IFERROR(SUMIFS('Base bordo'!G$2:G$746,'Base bordo'!C$2:C$746,A1171,'Base bordo'!B$2:B$746,B1171,'Base bordo'!F$2:F$746,"MANUTENCAO - T O"),0)+IFERROR(SUMIFS('Base bordo'!G$2:G$746,'Base bordo'!C$2:C$746,A1171,'Base bordo'!B$2:B$746,B1171,'Base bordo'!F$2:F$746,"MANUTENCAO BORRACHARIA"),0)+IFERROR(SUMIFS('Base bordo'!G$2:G$746,'Base bordo'!C$2:C$746,A1171,'Base bordo'!B$2:B$746,B1171,'Base bordo'!F$2:F$746,"MANUTENCAO EXTERNA  CONCESSIONARIA"),0)+IFERROR(SUMIFS('Base bordo'!G$2:G$746,'Base bordo'!C$2:C$746,A1171,'Base bordo'!B$2:B$746,B1171,'Base bordo'!F$2:F$746,"MANUTENCAO TELEMETRIA"),0)</f>
        <v>0</v>
      </c>
      <c r="M1171" s="10">
        <f>IFERROR(SUMIFS('Base bordo'!G$2:G$746,'Base bordo'!C$2:C$746,A1171,'Base bordo'!B$2:B$746,B1171,'Base bordo'!F$2:F$746,"AGUARDANDO MANUTENCAO"),0)</f>
        <v>0</v>
      </c>
      <c r="N1171" s="10">
        <f>IFERROR(SUMIFS('Base bordo'!G$2:G$746,'Base bordo'!C$2:C$746,A1171,'Base bordo'!B$2:B$746,B1171,'Base bordo'!F$2:F$746,"SEM APONTAMENTO"),0)</f>
        <v>0</v>
      </c>
      <c r="O1171" s="10">
        <f t="shared" si="120"/>
        <v>0.10194444444444528</v>
      </c>
      <c r="P1171" s="10">
        <f>IFERROR(SUMIFS('Base bordo'!G$2:G$746,'Base bordo'!C$2:C$746,A1171,'Base bordo'!B$2:B$746,B1171),0)</f>
        <v>9.8427777777777781</v>
      </c>
      <c r="Q1171" s="10">
        <f>IFERROR(SUMIFS('Base bordo'!H$2:H$746,'Base bordo'!C$2:C$746,A1171,'Base bordo'!B$2:B$746,B1171,'Base bordo'!F$2:F$746,"DESLOCAMENTO VAZIO"),0)</f>
        <v>203208.90000000002</v>
      </c>
      <c r="R1171" s="10">
        <f>IFERROR(SUMIFS('Base bordo'!I$2:I$746,'Base bordo'!C$2:C$746,A1171,'Base bordo'!B$2:B$746,B1171,'Base bordo'!F$2:F$746,"DESLOCAMENTO VAZIO"),0)</f>
        <v>6572</v>
      </c>
      <c r="S1171" s="30">
        <f t="shared" si="121"/>
        <v>30.920404747413272</v>
      </c>
      <c r="T1171" s="10">
        <f>IFERROR(SUMIFS('Base bordo'!H$2:H$746,'Base bordo'!C$2:C$746,A1171,'Base bordo'!B$2:B$746,B1171,'Base bordo'!F$2:F$746,"DESLOCAMENTO CARREGADO"),0)</f>
        <v>202982.89</v>
      </c>
      <c r="U1171" s="10">
        <f>IFERROR(SUMIFS('Base bordo'!I$2:I$746,'Base bordo'!C$2:C$746,A1171,'Base bordo'!B$2:B$746,B1171,'Base bordo'!F$2:F$746,"DESLOCAMENTO CARREGADO"),0)</f>
        <v>9133</v>
      </c>
      <c r="V1171" s="30">
        <f t="shared" si="122"/>
        <v>22.225215153837734</v>
      </c>
      <c r="W1171" s="9">
        <f t="shared" si="123"/>
        <v>0.18547158096743241</v>
      </c>
      <c r="X1171" s="9">
        <f t="shared" si="124"/>
        <v>0.25774679686177115</v>
      </c>
      <c r="Y1171" s="9">
        <f t="shared" si="125"/>
        <v>0.55678162217079641</v>
      </c>
    </row>
    <row r="1172" spans="1:25" ht="15" customHeight="1" x14ac:dyDescent="0.35">
      <c r="A1172" s="52">
        <v>8013486</v>
      </c>
      <c r="B1172" s="51">
        <v>46123</v>
      </c>
      <c r="C1172" s="7" t="s">
        <v>124</v>
      </c>
      <c r="D1172" s="10">
        <f>IFERROR(SUMIFS('Base bordo'!G$2:G$746,'Base bordo'!C$2:C$746,A1172,'Base bordo'!B$2:B$746,B1172,'Base bordo'!F$2:F$746,"DESLOCAMENTO VAZIO"),0)</f>
        <v>0</v>
      </c>
      <c r="E1172" s="10">
        <f>IFERROR(SUMIFS('Base bordo'!G$2:G$746,'Base bordo'!C$2:C$746,A1172,'Base bordo'!B$2:B$746,B1172,'Base bordo'!F$2:F$746,"DESLOCAMENTO CARREGADO"),0)</f>
        <v>0</v>
      </c>
      <c r="F1172" s="10">
        <f>IFERROR(SUMIFS('Base bordo'!G$2:G$746,'Base bordo'!C$2:C$746,A1172,'Base bordo'!B$2:B$746,B1172,'Base bordo'!F$2:F$746,"DESLOCAMENTO"),0)</f>
        <v>0</v>
      </c>
      <c r="G1172" s="10">
        <f>IFERROR(SUMIFS('Base bordo'!G$2:G$746,'Base bordo'!C$2:C$746,A1172,'Base bordo'!B$2:B$746,B1172,'Base bordo'!F$2:F$746,"CARREGAMENTO"),0)</f>
        <v>0</v>
      </c>
      <c r="H1172" s="10">
        <f>IFERROR(SUMIFS('Base bordo'!G$2:G$746,'Base bordo'!C$2:C$746,A1172,'Base bordo'!B$2:B$746,B1172,'Base bordo'!F$2:F$746,"AGUARDANDO TRANSBORDO"),0)</f>
        <v>0</v>
      </c>
      <c r="I1172" s="10">
        <f>IFERROR(SUMIFS('Base bordo'!G$2:G$746,'Base bordo'!C$2:C$746,A1172,'Base bordo'!B$2:B$746,B1172,'Base bordo'!F$2:F$746,"PÁTIO INTERNO"),0)+IFERROR(SUMIFS('Base bordo'!G$2:G$746,'Base bordo'!C$2:C$746,A1172,'Base bordo'!B$2:B$746,B1172,'Base bordo'!F$2:F$746,"PÁTIO EXTERNO"),0)+IFERROR(SUMIFS('Base bordo'!G$2:G$746,'Base bordo'!C$2:C$746,A1172,'Base bordo'!B$2:B$746,B1172,'Base bordo'!F$2:F$746,"PATIO - RESERVA"),0)+IFERROR(SUMIFS('Base bordo'!G$2:G$746,'Base bordo'!C$2:C$746,A1172,'Base bordo'!B$2:B$746,B1172,'Base bordo'!F$2:F$746,"MANOBRA CARRETAS-PATIO"),0)</f>
        <v>0</v>
      </c>
      <c r="J1172" s="10">
        <f>IFERROR(SUMIFS('Base bordo'!G$2:G$746,'Base bordo'!C$2:C$746,A1172,'Base bordo'!B$2:B$746,B1172,'Base bordo'!F$2:F$746,"BALANÇA - ENTRADA"),0)+IFERROR(SUMIFS('Base bordo'!G$2:G$746,'Base bordo'!C$2:C$746,A1172,'Base bordo'!B$2:B$746,B1172,'Base bordo'!F$2:F$746,"BALANÇA - SAÍDA"),0)</f>
        <v>0</v>
      </c>
      <c r="K1172" s="10">
        <f>IFERROR(SUMIFS('Base bordo'!G$2:G$746,'Base bordo'!C$2:C$746,A1172,'Base bordo'!B$2:B$746,B1172,'Base bordo'!F$2:F$746,"MAN PREVENTIVA - MECANICA"),0)+IFERROR(SUMIFS('Base bordo'!G$2:G$746,'Base bordo'!C$2:C$746,A1172,'Base bordo'!B$2:B$746,B1172,'Base bordo'!F$2:F$746,"MAN CORRETIVA - MECANICA"),0)</f>
        <v>0</v>
      </c>
      <c r="L1172" s="10">
        <f>IFERROR(SUMIFS('Base bordo'!G$2:G$746,'Base bordo'!C$2:C$746,A1172,'Base bordo'!B$2:B$746,B1172,'Base bordo'!F$2:F$746,"MANUTENCAO - T O"),0)+IFERROR(SUMIFS('Base bordo'!G$2:G$746,'Base bordo'!C$2:C$746,A1172,'Base bordo'!B$2:B$746,B1172,'Base bordo'!F$2:F$746,"MANUTENCAO BORRACHARIA"),0)+IFERROR(SUMIFS('Base bordo'!G$2:G$746,'Base bordo'!C$2:C$746,A1172,'Base bordo'!B$2:B$746,B1172,'Base bordo'!F$2:F$746,"MANUTENCAO EXTERNA  CONCESSIONARIA"),0)+IFERROR(SUMIFS('Base bordo'!G$2:G$746,'Base bordo'!C$2:C$746,A1172,'Base bordo'!B$2:B$746,B1172,'Base bordo'!F$2:F$746,"MANUTENCAO TELEMETRIA"),0)</f>
        <v>0</v>
      </c>
      <c r="M1172" s="10">
        <f>IFERROR(SUMIFS('Base bordo'!G$2:G$746,'Base bordo'!C$2:C$746,A1172,'Base bordo'!B$2:B$746,B1172,'Base bordo'!F$2:F$746,"AGUARDANDO MANUTENCAO"),0)</f>
        <v>0</v>
      </c>
      <c r="N1172" s="10">
        <f>IFERROR(SUMIFS('Base bordo'!G$2:G$746,'Base bordo'!C$2:C$746,A1172,'Base bordo'!B$2:B$746,B1172,'Base bordo'!F$2:F$746,"SEM APONTAMENTO"),0)</f>
        <v>0</v>
      </c>
      <c r="O1172" s="10">
        <f t="shared" si="120"/>
        <v>0</v>
      </c>
      <c r="P1172" s="10">
        <f>IFERROR(SUMIFS('Base bordo'!G$2:G$746,'Base bordo'!C$2:C$746,A1172,'Base bordo'!B$2:B$746,B1172),0)</f>
        <v>0</v>
      </c>
      <c r="Q1172" s="10">
        <f>IFERROR(SUMIFS('Base bordo'!H$2:H$746,'Base bordo'!C$2:C$746,A1172,'Base bordo'!B$2:B$746,B1172,'Base bordo'!F$2:F$746,"DESLOCAMENTO VAZIO"),0)</f>
        <v>0</v>
      </c>
      <c r="R1172" s="10">
        <f>IFERROR(SUMIFS('Base bordo'!I$2:I$746,'Base bordo'!C$2:C$746,A1172,'Base bordo'!B$2:B$746,B1172,'Base bordo'!F$2:F$746,"DESLOCAMENTO VAZIO"),0)</f>
        <v>0</v>
      </c>
      <c r="S1172" s="30" t="str">
        <f t="shared" si="121"/>
        <v/>
      </c>
      <c r="T1172" s="10">
        <f>IFERROR(SUMIFS('Base bordo'!H$2:H$746,'Base bordo'!C$2:C$746,A1172,'Base bordo'!B$2:B$746,B1172,'Base bordo'!F$2:F$746,"DESLOCAMENTO CARREGADO"),0)</f>
        <v>0</v>
      </c>
      <c r="U1172" s="10">
        <f>IFERROR(SUMIFS('Base bordo'!I$2:I$746,'Base bordo'!C$2:C$746,A1172,'Base bordo'!B$2:B$746,B1172,'Base bordo'!F$2:F$746,"DESLOCAMENTO CARREGADO"),0)</f>
        <v>0</v>
      </c>
      <c r="V1172" s="30" t="str">
        <f t="shared" si="122"/>
        <v/>
      </c>
      <c r="W1172" s="9">
        <f t="shared" si="123"/>
        <v>0</v>
      </c>
      <c r="X1172" s="9">
        <f t="shared" si="124"/>
        <v>0</v>
      </c>
      <c r="Y1172" s="9">
        <f t="shared" si="125"/>
        <v>0</v>
      </c>
    </row>
    <row r="1173" spans="1:25" ht="15" customHeight="1" x14ac:dyDescent="0.35">
      <c r="A1173" s="52">
        <v>8013460</v>
      </c>
      <c r="B1173" s="51">
        <v>46124</v>
      </c>
      <c r="C1173" s="7" t="s">
        <v>124</v>
      </c>
      <c r="D1173" s="10">
        <f>IFERROR(SUMIFS('Base bordo'!G$2:G$746,'Base bordo'!C$2:C$746,A1173,'Base bordo'!B$2:B$746,B1173,'Base bordo'!F$2:F$746,"DESLOCAMENTO VAZIO"),0)</f>
        <v>3.2269444444444444</v>
      </c>
      <c r="E1173" s="10">
        <f>IFERROR(SUMIFS('Base bordo'!G$2:G$746,'Base bordo'!C$2:C$746,A1173,'Base bordo'!B$2:B$746,B1173,'Base bordo'!F$2:F$746,"DESLOCAMENTO CARREGADO"),0)</f>
        <v>4.5991666666666671</v>
      </c>
      <c r="F1173" s="10">
        <f>IFERROR(SUMIFS('Base bordo'!G$2:G$746,'Base bordo'!C$2:C$746,A1173,'Base bordo'!B$2:B$746,B1173,'Base bordo'!F$2:F$746,"DESLOCAMENTO"),0)</f>
        <v>0</v>
      </c>
      <c r="G1173" s="10">
        <f>IFERROR(SUMIFS('Base bordo'!G$2:G$746,'Base bordo'!C$2:C$746,A1173,'Base bordo'!B$2:B$746,B1173,'Base bordo'!F$2:F$746,"CARREGAMENTO"),0)</f>
        <v>0</v>
      </c>
      <c r="H1173" s="10">
        <f>IFERROR(SUMIFS('Base bordo'!G$2:G$746,'Base bordo'!C$2:C$746,A1173,'Base bordo'!B$2:B$746,B1173,'Base bordo'!F$2:F$746,"AGUARDANDO TRANSBORDO"),0)</f>
        <v>0.1763888888888889</v>
      </c>
      <c r="I1173" s="10">
        <f>IFERROR(SUMIFS('Base bordo'!G$2:G$746,'Base bordo'!C$2:C$746,A1173,'Base bordo'!B$2:B$746,B1173,'Base bordo'!F$2:F$746,"PÁTIO INTERNO"),0)+IFERROR(SUMIFS('Base bordo'!G$2:G$746,'Base bordo'!C$2:C$746,A1173,'Base bordo'!B$2:B$746,B1173,'Base bordo'!F$2:F$746,"PÁTIO EXTERNO"),0)+IFERROR(SUMIFS('Base bordo'!G$2:G$746,'Base bordo'!C$2:C$746,A1173,'Base bordo'!B$2:B$746,B1173,'Base bordo'!F$2:F$746,"PATIO - RESERVA"),0)+IFERROR(SUMIFS('Base bordo'!G$2:G$746,'Base bordo'!C$2:C$746,A1173,'Base bordo'!B$2:B$746,B1173,'Base bordo'!F$2:F$746,"MANOBRA CARRETAS-PATIO"),0)</f>
        <v>8.8005555555555546</v>
      </c>
      <c r="J1173" s="10">
        <f>IFERROR(SUMIFS('Base bordo'!G$2:G$746,'Base bordo'!C$2:C$746,A1173,'Base bordo'!B$2:B$746,B1173,'Base bordo'!F$2:F$746,"BALANÇA - ENTRADA"),0)+IFERROR(SUMIFS('Base bordo'!G$2:G$746,'Base bordo'!C$2:C$746,A1173,'Base bordo'!B$2:B$746,B1173,'Base bordo'!F$2:F$746,"BALANÇA - SAÍDA"),0)</f>
        <v>0.12222222222222223</v>
      </c>
      <c r="K1173" s="10">
        <f>IFERROR(SUMIFS('Base bordo'!G$2:G$746,'Base bordo'!C$2:C$746,A1173,'Base bordo'!B$2:B$746,B1173,'Base bordo'!F$2:F$746,"MAN PREVENTIVA - MECANICA"),0)+IFERROR(SUMIFS('Base bordo'!G$2:G$746,'Base bordo'!C$2:C$746,A1173,'Base bordo'!B$2:B$746,B1173,'Base bordo'!F$2:F$746,"MAN CORRETIVA - MECANICA"),0)</f>
        <v>0</v>
      </c>
      <c r="L1173" s="10">
        <f>IFERROR(SUMIFS('Base bordo'!G$2:G$746,'Base bordo'!C$2:C$746,A1173,'Base bordo'!B$2:B$746,B1173,'Base bordo'!F$2:F$746,"MANUTENCAO - T O"),0)+IFERROR(SUMIFS('Base bordo'!G$2:G$746,'Base bordo'!C$2:C$746,A1173,'Base bordo'!B$2:B$746,B1173,'Base bordo'!F$2:F$746,"MANUTENCAO BORRACHARIA"),0)+IFERROR(SUMIFS('Base bordo'!G$2:G$746,'Base bordo'!C$2:C$746,A1173,'Base bordo'!B$2:B$746,B1173,'Base bordo'!F$2:F$746,"MANUTENCAO EXTERNA  CONCESSIONARIA"),0)+IFERROR(SUMIFS('Base bordo'!G$2:G$746,'Base bordo'!C$2:C$746,A1173,'Base bordo'!B$2:B$746,B1173,'Base bordo'!F$2:F$746,"MANUTENCAO TELEMETRIA"),0)</f>
        <v>0</v>
      </c>
      <c r="M1173" s="10">
        <f>IFERROR(SUMIFS('Base bordo'!G$2:G$746,'Base bordo'!C$2:C$746,A1173,'Base bordo'!B$2:B$746,B1173,'Base bordo'!F$2:F$746,"AGUARDANDO MANUTENCAO"),0)</f>
        <v>0</v>
      </c>
      <c r="N1173" s="10">
        <f>IFERROR(SUMIFS('Base bordo'!G$2:G$746,'Base bordo'!C$2:C$746,A1173,'Base bordo'!B$2:B$746,B1173,'Base bordo'!F$2:F$746,"SEM APONTAMENTO"),0)</f>
        <v>0</v>
      </c>
      <c r="O1173" s="10">
        <f t="shared" si="120"/>
        <v>0</v>
      </c>
      <c r="P1173" s="10">
        <f>IFERROR(SUMIFS('Base bordo'!G$2:G$746,'Base bordo'!C$2:C$746,A1173,'Base bordo'!B$2:B$746,B1173),0)</f>
        <v>16.925277777777776</v>
      </c>
      <c r="Q1173" s="10">
        <f>IFERROR(SUMIFS('Base bordo'!H$2:H$746,'Base bordo'!C$2:C$746,A1173,'Base bordo'!B$2:B$746,B1173,'Base bordo'!F$2:F$746,"DESLOCAMENTO VAZIO"),0)</f>
        <v>360275.76</v>
      </c>
      <c r="R1173" s="10">
        <f>IFERROR(SUMIFS('Base bordo'!I$2:I$746,'Base bordo'!C$2:C$746,A1173,'Base bordo'!B$2:B$746,B1173,'Base bordo'!F$2:F$746,"DESLOCAMENTO VAZIO"),0)</f>
        <v>11617</v>
      </c>
      <c r="S1173" s="30">
        <f t="shared" si="121"/>
        <v>31.012805371438411</v>
      </c>
      <c r="T1173" s="10">
        <f>IFERROR(SUMIFS('Base bordo'!H$2:H$746,'Base bordo'!C$2:C$746,A1173,'Base bordo'!B$2:B$746,B1173,'Base bordo'!F$2:F$746,"DESLOCAMENTO CARREGADO"),0)</f>
        <v>354323.07999999996</v>
      </c>
      <c r="U1173" s="10">
        <f>IFERROR(SUMIFS('Base bordo'!I$2:I$746,'Base bordo'!C$2:C$746,A1173,'Base bordo'!B$2:B$746,B1173,'Base bordo'!F$2:F$746,"DESLOCAMENTO CARREGADO"),0)</f>
        <v>16557</v>
      </c>
      <c r="V1173" s="30">
        <f t="shared" si="122"/>
        <v>21.400198103521166</v>
      </c>
      <c r="W1173" s="9">
        <f t="shared" si="123"/>
        <v>0.19065828560174625</v>
      </c>
      <c r="X1173" s="9">
        <f t="shared" si="124"/>
        <v>0.27173360030198096</v>
      </c>
      <c r="Y1173" s="9">
        <f t="shared" si="125"/>
        <v>0.53760811409627274</v>
      </c>
    </row>
    <row r="1174" spans="1:25" ht="15" customHeight="1" x14ac:dyDescent="0.35">
      <c r="A1174" s="52">
        <v>8013460</v>
      </c>
      <c r="B1174" s="51">
        <v>46124</v>
      </c>
      <c r="C1174" s="7" t="s">
        <v>124</v>
      </c>
      <c r="D1174" s="10">
        <f>IFERROR(SUMIFS('Base bordo'!G$2:G$746,'Base bordo'!C$2:C$746,A1174,'Base bordo'!B$2:B$746,B1174,'Base bordo'!F$2:F$746,"DESLOCAMENTO VAZIO"),0)</f>
        <v>3.2269444444444444</v>
      </c>
      <c r="E1174" s="10">
        <f>IFERROR(SUMIFS('Base bordo'!G$2:G$746,'Base bordo'!C$2:C$746,A1174,'Base bordo'!B$2:B$746,B1174,'Base bordo'!F$2:F$746,"DESLOCAMENTO CARREGADO"),0)</f>
        <v>4.5991666666666671</v>
      </c>
      <c r="F1174" s="10">
        <f>IFERROR(SUMIFS('Base bordo'!G$2:G$746,'Base bordo'!C$2:C$746,A1174,'Base bordo'!B$2:B$746,B1174,'Base bordo'!F$2:F$746,"DESLOCAMENTO"),0)</f>
        <v>0</v>
      </c>
      <c r="G1174" s="10">
        <f>IFERROR(SUMIFS('Base bordo'!G$2:G$746,'Base bordo'!C$2:C$746,A1174,'Base bordo'!B$2:B$746,B1174,'Base bordo'!F$2:F$746,"CARREGAMENTO"),0)</f>
        <v>0</v>
      </c>
      <c r="H1174" s="10">
        <f>IFERROR(SUMIFS('Base bordo'!G$2:G$746,'Base bordo'!C$2:C$746,A1174,'Base bordo'!B$2:B$746,B1174,'Base bordo'!F$2:F$746,"AGUARDANDO TRANSBORDO"),0)</f>
        <v>0.1763888888888889</v>
      </c>
      <c r="I1174" s="10">
        <f>IFERROR(SUMIFS('Base bordo'!G$2:G$746,'Base bordo'!C$2:C$746,A1174,'Base bordo'!B$2:B$746,B1174,'Base bordo'!F$2:F$746,"PÁTIO INTERNO"),0)+IFERROR(SUMIFS('Base bordo'!G$2:G$746,'Base bordo'!C$2:C$746,A1174,'Base bordo'!B$2:B$746,B1174,'Base bordo'!F$2:F$746,"PÁTIO EXTERNO"),0)+IFERROR(SUMIFS('Base bordo'!G$2:G$746,'Base bordo'!C$2:C$746,A1174,'Base bordo'!B$2:B$746,B1174,'Base bordo'!F$2:F$746,"PATIO - RESERVA"),0)+IFERROR(SUMIFS('Base bordo'!G$2:G$746,'Base bordo'!C$2:C$746,A1174,'Base bordo'!B$2:B$746,B1174,'Base bordo'!F$2:F$746,"MANOBRA CARRETAS-PATIO"),0)</f>
        <v>8.8005555555555546</v>
      </c>
      <c r="J1174" s="10">
        <f>IFERROR(SUMIFS('Base bordo'!G$2:G$746,'Base bordo'!C$2:C$746,A1174,'Base bordo'!B$2:B$746,B1174,'Base bordo'!F$2:F$746,"BALANÇA - ENTRADA"),0)+IFERROR(SUMIFS('Base bordo'!G$2:G$746,'Base bordo'!C$2:C$746,A1174,'Base bordo'!B$2:B$746,B1174,'Base bordo'!F$2:F$746,"BALANÇA - SAÍDA"),0)</f>
        <v>0.12222222222222223</v>
      </c>
      <c r="K1174" s="10">
        <f>IFERROR(SUMIFS('Base bordo'!G$2:G$746,'Base bordo'!C$2:C$746,A1174,'Base bordo'!B$2:B$746,B1174,'Base bordo'!F$2:F$746,"MAN PREVENTIVA - MECANICA"),0)+IFERROR(SUMIFS('Base bordo'!G$2:G$746,'Base bordo'!C$2:C$746,A1174,'Base bordo'!B$2:B$746,B1174,'Base bordo'!F$2:F$746,"MAN CORRETIVA - MECANICA"),0)</f>
        <v>0</v>
      </c>
      <c r="L1174" s="10">
        <f>IFERROR(SUMIFS('Base bordo'!G$2:G$746,'Base bordo'!C$2:C$746,A1174,'Base bordo'!B$2:B$746,B1174,'Base bordo'!F$2:F$746,"MANUTENCAO - T O"),0)+IFERROR(SUMIFS('Base bordo'!G$2:G$746,'Base bordo'!C$2:C$746,A1174,'Base bordo'!B$2:B$746,B1174,'Base bordo'!F$2:F$746,"MANUTENCAO BORRACHARIA"),0)+IFERROR(SUMIFS('Base bordo'!G$2:G$746,'Base bordo'!C$2:C$746,A1174,'Base bordo'!B$2:B$746,B1174,'Base bordo'!F$2:F$746,"MANUTENCAO EXTERNA  CONCESSIONARIA"),0)+IFERROR(SUMIFS('Base bordo'!G$2:G$746,'Base bordo'!C$2:C$746,A1174,'Base bordo'!B$2:B$746,B1174,'Base bordo'!F$2:F$746,"MANUTENCAO TELEMETRIA"),0)</f>
        <v>0</v>
      </c>
      <c r="M1174" s="10">
        <f>IFERROR(SUMIFS('Base bordo'!G$2:G$746,'Base bordo'!C$2:C$746,A1174,'Base bordo'!B$2:B$746,B1174,'Base bordo'!F$2:F$746,"AGUARDANDO MANUTENCAO"),0)</f>
        <v>0</v>
      </c>
      <c r="N1174" s="10">
        <f>IFERROR(SUMIFS('Base bordo'!G$2:G$746,'Base bordo'!C$2:C$746,A1174,'Base bordo'!B$2:B$746,B1174,'Base bordo'!F$2:F$746,"SEM APONTAMENTO"),0)</f>
        <v>0</v>
      </c>
      <c r="O1174" s="10">
        <f t="shared" si="120"/>
        <v>0</v>
      </c>
      <c r="P1174" s="10">
        <f>IFERROR(SUMIFS('Base bordo'!G$2:G$746,'Base bordo'!C$2:C$746,A1174,'Base bordo'!B$2:B$746,B1174),0)</f>
        <v>16.925277777777776</v>
      </c>
      <c r="Q1174" s="10">
        <f>IFERROR(SUMIFS('Base bordo'!H$2:H$746,'Base bordo'!C$2:C$746,A1174,'Base bordo'!B$2:B$746,B1174,'Base bordo'!F$2:F$746,"DESLOCAMENTO VAZIO"),0)</f>
        <v>360275.76</v>
      </c>
      <c r="R1174" s="10">
        <f>IFERROR(SUMIFS('Base bordo'!I$2:I$746,'Base bordo'!C$2:C$746,A1174,'Base bordo'!B$2:B$746,B1174,'Base bordo'!F$2:F$746,"DESLOCAMENTO VAZIO"),0)</f>
        <v>11617</v>
      </c>
      <c r="S1174" s="30">
        <f t="shared" si="121"/>
        <v>31.012805371438411</v>
      </c>
      <c r="T1174" s="10">
        <f>IFERROR(SUMIFS('Base bordo'!H$2:H$746,'Base bordo'!C$2:C$746,A1174,'Base bordo'!B$2:B$746,B1174,'Base bordo'!F$2:F$746,"DESLOCAMENTO CARREGADO"),0)</f>
        <v>354323.07999999996</v>
      </c>
      <c r="U1174" s="10">
        <f>IFERROR(SUMIFS('Base bordo'!I$2:I$746,'Base bordo'!C$2:C$746,A1174,'Base bordo'!B$2:B$746,B1174,'Base bordo'!F$2:F$746,"DESLOCAMENTO CARREGADO"),0)</f>
        <v>16557</v>
      </c>
      <c r="V1174" s="30">
        <f t="shared" si="122"/>
        <v>21.400198103521166</v>
      </c>
      <c r="W1174" s="9">
        <f t="shared" si="123"/>
        <v>0.19065828560174625</v>
      </c>
      <c r="X1174" s="9">
        <f t="shared" si="124"/>
        <v>0.27173360030198096</v>
      </c>
      <c r="Y1174" s="9">
        <f t="shared" si="125"/>
        <v>0.53760811409627274</v>
      </c>
    </row>
    <row r="1175" spans="1:25" ht="15" customHeight="1" x14ac:dyDescent="0.35">
      <c r="A1175" s="52">
        <v>8013460</v>
      </c>
      <c r="B1175" s="51">
        <v>46124</v>
      </c>
      <c r="C1175" s="7" t="s">
        <v>124</v>
      </c>
      <c r="D1175" s="10">
        <f>IFERROR(SUMIFS('Base bordo'!G$2:G$746,'Base bordo'!C$2:C$746,A1175,'Base bordo'!B$2:B$746,B1175,'Base bordo'!F$2:F$746,"DESLOCAMENTO VAZIO"),0)</f>
        <v>3.2269444444444444</v>
      </c>
      <c r="E1175" s="10">
        <f>IFERROR(SUMIFS('Base bordo'!G$2:G$746,'Base bordo'!C$2:C$746,A1175,'Base bordo'!B$2:B$746,B1175,'Base bordo'!F$2:F$746,"DESLOCAMENTO CARREGADO"),0)</f>
        <v>4.5991666666666671</v>
      </c>
      <c r="F1175" s="10">
        <f>IFERROR(SUMIFS('Base bordo'!G$2:G$746,'Base bordo'!C$2:C$746,A1175,'Base bordo'!B$2:B$746,B1175,'Base bordo'!F$2:F$746,"DESLOCAMENTO"),0)</f>
        <v>0</v>
      </c>
      <c r="G1175" s="10">
        <f>IFERROR(SUMIFS('Base bordo'!G$2:G$746,'Base bordo'!C$2:C$746,A1175,'Base bordo'!B$2:B$746,B1175,'Base bordo'!F$2:F$746,"CARREGAMENTO"),0)</f>
        <v>0</v>
      </c>
      <c r="H1175" s="10">
        <f>IFERROR(SUMIFS('Base bordo'!G$2:G$746,'Base bordo'!C$2:C$746,A1175,'Base bordo'!B$2:B$746,B1175,'Base bordo'!F$2:F$746,"AGUARDANDO TRANSBORDO"),0)</f>
        <v>0.1763888888888889</v>
      </c>
      <c r="I1175" s="10">
        <f>IFERROR(SUMIFS('Base bordo'!G$2:G$746,'Base bordo'!C$2:C$746,A1175,'Base bordo'!B$2:B$746,B1175,'Base bordo'!F$2:F$746,"PÁTIO INTERNO"),0)+IFERROR(SUMIFS('Base bordo'!G$2:G$746,'Base bordo'!C$2:C$746,A1175,'Base bordo'!B$2:B$746,B1175,'Base bordo'!F$2:F$746,"PÁTIO EXTERNO"),0)+IFERROR(SUMIFS('Base bordo'!G$2:G$746,'Base bordo'!C$2:C$746,A1175,'Base bordo'!B$2:B$746,B1175,'Base bordo'!F$2:F$746,"PATIO - RESERVA"),0)+IFERROR(SUMIFS('Base bordo'!G$2:G$746,'Base bordo'!C$2:C$746,A1175,'Base bordo'!B$2:B$746,B1175,'Base bordo'!F$2:F$746,"MANOBRA CARRETAS-PATIO"),0)</f>
        <v>8.8005555555555546</v>
      </c>
      <c r="J1175" s="10">
        <f>IFERROR(SUMIFS('Base bordo'!G$2:G$746,'Base bordo'!C$2:C$746,A1175,'Base bordo'!B$2:B$746,B1175,'Base bordo'!F$2:F$746,"BALANÇA - ENTRADA"),0)+IFERROR(SUMIFS('Base bordo'!G$2:G$746,'Base bordo'!C$2:C$746,A1175,'Base bordo'!B$2:B$746,B1175,'Base bordo'!F$2:F$746,"BALANÇA - SAÍDA"),0)</f>
        <v>0.12222222222222223</v>
      </c>
      <c r="K1175" s="10">
        <f>IFERROR(SUMIFS('Base bordo'!G$2:G$746,'Base bordo'!C$2:C$746,A1175,'Base bordo'!B$2:B$746,B1175,'Base bordo'!F$2:F$746,"MAN PREVENTIVA - MECANICA"),0)+IFERROR(SUMIFS('Base bordo'!G$2:G$746,'Base bordo'!C$2:C$746,A1175,'Base bordo'!B$2:B$746,B1175,'Base bordo'!F$2:F$746,"MAN CORRETIVA - MECANICA"),0)</f>
        <v>0</v>
      </c>
      <c r="L1175" s="10">
        <f>IFERROR(SUMIFS('Base bordo'!G$2:G$746,'Base bordo'!C$2:C$746,A1175,'Base bordo'!B$2:B$746,B1175,'Base bordo'!F$2:F$746,"MANUTENCAO - T O"),0)+IFERROR(SUMIFS('Base bordo'!G$2:G$746,'Base bordo'!C$2:C$746,A1175,'Base bordo'!B$2:B$746,B1175,'Base bordo'!F$2:F$746,"MANUTENCAO BORRACHARIA"),0)+IFERROR(SUMIFS('Base bordo'!G$2:G$746,'Base bordo'!C$2:C$746,A1175,'Base bordo'!B$2:B$746,B1175,'Base bordo'!F$2:F$746,"MANUTENCAO EXTERNA  CONCESSIONARIA"),0)+IFERROR(SUMIFS('Base bordo'!G$2:G$746,'Base bordo'!C$2:C$746,A1175,'Base bordo'!B$2:B$746,B1175,'Base bordo'!F$2:F$746,"MANUTENCAO TELEMETRIA"),0)</f>
        <v>0</v>
      </c>
      <c r="M1175" s="10">
        <f>IFERROR(SUMIFS('Base bordo'!G$2:G$746,'Base bordo'!C$2:C$746,A1175,'Base bordo'!B$2:B$746,B1175,'Base bordo'!F$2:F$746,"AGUARDANDO MANUTENCAO"),0)</f>
        <v>0</v>
      </c>
      <c r="N1175" s="10">
        <f>IFERROR(SUMIFS('Base bordo'!G$2:G$746,'Base bordo'!C$2:C$746,A1175,'Base bordo'!B$2:B$746,B1175,'Base bordo'!F$2:F$746,"SEM APONTAMENTO"),0)</f>
        <v>0</v>
      </c>
      <c r="O1175" s="10">
        <f t="shared" si="120"/>
        <v>0</v>
      </c>
      <c r="P1175" s="10">
        <f>IFERROR(SUMIFS('Base bordo'!G$2:G$746,'Base bordo'!C$2:C$746,A1175,'Base bordo'!B$2:B$746,B1175),0)</f>
        <v>16.925277777777776</v>
      </c>
      <c r="Q1175" s="10">
        <f>IFERROR(SUMIFS('Base bordo'!H$2:H$746,'Base bordo'!C$2:C$746,A1175,'Base bordo'!B$2:B$746,B1175,'Base bordo'!F$2:F$746,"DESLOCAMENTO VAZIO"),0)</f>
        <v>360275.76</v>
      </c>
      <c r="R1175" s="10">
        <f>IFERROR(SUMIFS('Base bordo'!I$2:I$746,'Base bordo'!C$2:C$746,A1175,'Base bordo'!B$2:B$746,B1175,'Base bordo'!F$2:F$746,"DESLOCAMENTO VAZIO"),0)</f>
        <v>11617</v>
      </c>
      <c r="S1175" s="30">
        <f t="shared" si="121"/>
        <v>31.012805371438411</v>
      </c>
      <c r="T1175" s="10">
        <f>IFERROR(SUMIFS('Base bordo'!H$2:H$746,'Base bordo'!C$2:C$746,A1175,'Base bordo'!B$2:B$746,B1175,'Base bordo'!F$2:F$746,"DESLOCAMENTO CARREGADO"),0)</f>
        <v>354323.07999999996</v>
      </c>
      <c r="U1175" s="10">
        <f>IFERROR(SUMIFS('Base bordo'!I$2:I$746,'Base bordo'!C$2:C$746,A1175,'Base bordo'!B$2:B$746,B1175,'Base bordo'!F$2:F$746,"DESLOCAMENTO CARREGADO"),0)</f>
        <v>16557</v>
      </c>
      <c r="V1175" s="30">
        <f t="shared" si="122"/>
        <v>21.400198103521166</v>
      </c>
      <c r="W1175" s="9">
        <f t="shared" si="123"/>
        <v>0.19065828560174625</v>
      </c>
      <c r="X1175" s="9">
        <f t="shared" si="124"/>
        <v>0.27173360030198096</v>
      </c>
      <c r="Y1175" s="9">
        <f t="shared" si="125"/>
        <v>0.53760811409627274</v>
      </c>
    </row>
    <row r="1176" spans="1:25" ht="15" customHeight="1" x14ac:dyDescent="0.35">
      <c r="A1176" s="52">
        <v>8013460</v>
      </c>
      <c r="B1176" s="51">
        <v>46124</v>
      </c>
      <c r="C1176" s="7" t="s">
        <v>124</v>
      </c>
      <c r="D1176" s="10">
        <f>IFERROR(SUMIFS('Base bordo'!G$2:G$746,'Base bordo'!C$2:C$746,A1176,'Base bordo'!B$2:B$746,B1176,'Base bordo'!F$2:F$746,"DESLOCAMENTO VAZIO"),0)</f>
        <v>3.2269444444444444</v>
      </c>
      <c r="E1176" s="10">
        <f>IFERROR(SUMIFS('Base bordo'!G$2:G$746,'Base bordo'!C$2:C$746,A1176,'Base bordo'!B$2:B$746,B1176,'Base bordo'!F$2:F$746,"DESLOCAMENTO CARREGADO"),0)</f>
        <v>4.5991666666666671</v>
      </c>
      <c r="F1176" s="10">
        <f>IFERROR(SUMIFS('Base bordo'!G$2:G$746,'Base bordo'!C$2:C$746,A1176,'Base bordo'!B$2:B$746,B1176,'Base bordo'!F$2:F$746,"DESLOCAMENTO"),0)</f>
        <v>0</v>
      </c>
      <c r="G1176" s="10">
        <f>IFERROR(SUMIFS('Base bordo'!G$2:G$746,'Base bordo'!C$2:C$746,A1176,'Base bordo'!B$2:B$746,B1176,'Base bordo'!F$2:F$746,"CARREGAMENTO"),0)</f>
        <v>0</v>
      </c>
      <c r="H1176" s="10">
        <f>IFERROR(SUMIFS('Base bordo'!G$2:G$746,'Base bordo'!C$2:C$746,A1176,'Base bordo'!B$2:B$746,B1176,'Base bordo'!F$2:F$746,"AGUARDANDO TRANSBORDO"),0)</f>
        <v>0.1763888888888889</v>
      </c>
      <c r="I1176" s="10">
        <f>IFERROR(SUMIFS('Base bordo'!G$2:G$746,'Base bordo'!C$2:C$746,A1176,'Base bordo'!B$2:B$746,B1176,'Base bordo'!F$2:F$746,"PÁTIO INTERNO"),0)+IFERROR(SUMIFS('Base bordo'!G$2:G$746,'Base bordo'!C$2:C$746,A1176,'Base bordo'!B$2:B$746,B1176,'Base bordo'!F$2:F$746,"PÁTIO EXTERNO"),0)+IFERROR(SUMIFS('Base bordo'!G$2:G$746,'Base bordo'!C$2:C$746,A1176,'Base bordo'!B$2:B$746,B1176,'Base bordo'!F$2:F$746,"PATIO - RESERVA"),0)+IFERROR(SUMIFS('Base bordo'!G$2:G$746,'Base bordo'!C$2:C$746,A1176,'Base bordo'!B$2:B$746,B1176,'Base bordo'!F$2:F$746,"MANOBRA CARRETAS-PATIO"),0)</f>
        <v>8.8005555555555546</v>
      </c>
      <c r="J1176" s="10">
        <f>IFERROR(SUMIFS('Base bordo'!G$2:G$746,'Base bordo'!C$2:C$746,A1176,'Base bordo'!B$2:B$746,B1176,'Base bordo'!F$2:F$746,"BALANÇA - ENTRADA"),0)+IFERROR(SUMIFS('Base bordo'!G$2:G$746,'Base bordo'!C$2:C$746,A1176,'Base bordo'!B$2:B$746,B1176,'Base bordo'!F$2:F$746,"BALANÇA - SAÍDA"),0)</f>
        <v>0.12222222222222223</v>
      </c>
      <c r="K1176" s="10">
        <f>IFERROR(SUMIFS('Base bordo'!G$2:G$746,'Base bordo'!C$2:C$746,A1176,'Base bordo'!B$2:B$746,B1176,'Base bordo'!F$2:F$746,"MAN PREVENTIVA - MECANICA"),0)+IFERROR(SUMIFS('Base bordo'!G$2:G$746,'Base bordo'!C$2:C$746,A1176,'Base bordo'!B$2:B$746,B1176,'Base bordo'!F$2:F$746,"MAN CORRETIVA - MECANICA"),0)</f>
        <v>0</v>
      </c>
      <c r="L1176" s="10">
        <f>IFERROR(SUMIFS('Base bordo'!G$2:G$746,'Base bordo'!C$2:C$746,A1176,'Base bordo'!B$2:B$746,B1176,'Base bordo'!F$2:F$746,"MANUTENCAO - T O"),0)+IFERROR(SUMIFS('Base bordo'!G$2:G$746,'Base bordo'!C$2:C$746,A1176,'Base bordo'!B$2:B$746,B1176,'Base bordo'!F$2:F$746,"MANUTENCAO BORRACHARIA"),0)+IFERROR(SUMIFS('Base bordo'!G$2:G$746,'Base bordo'!C$2:C$746,A1176,'Base bordo'!B$2:B$746,B1176,'Base bordo'!F$2:F$746,"MANUTENCAO EXTERNA  CONCESSIONARIA"),0)+IFERROR(SUMIFS('Base bordo'!G$2:G$746,'Base bordo'!C$2:C$746,A1176,'Base bordo'!B$2:B$746,B1176,'Base bordo'!F$2:F$746,"MANUTENCAO TELEMETRIA"),0)</f>
        <v>0</v>
      </c>
      <c r="M1176" s="10">
        <f>IFERROR(SUMIFS('Base bordo'!G$2:G$746,'Base bordo'!C$2:C$746,A1176,'Base bordo'!B$2:B$746,B1176,'Base bordo'!F$2:F$746,"AGUARDANDO MANUTENCAO"),0)</f>
        <v>0</v>
      </c>
      <c r="N1176" s="10">
        <f>IFERROR(SUMIFS('Base bordo'!G$2:G$746,'Base bordo'!C$2:C$746,A1176,'Base bordo'!B$2:B$746,B1176,'Base bordo'!F$2:F$746,"SEM APONTAMENTO"),0)</f>
        <v>0</v>
      </c>
      <c r="O1176" s="10">
        <f t="shared" si="120"/>
        <v>0</v>
      </c>
      <c r="P1176" s="10">
        <f>IFERROR(SUMIFS('Base bordo'!G$2:G$746,'Base bordo'!C$2:C$746,A1176,'Base bordo'!B$2:B$746,B1176),0)</f>
        <v>16.925277777777776</v>
      </c>
      <c r="Q1176" s="10">
        <f>IFERROR(SUMIFS('Base bordo'!H$2:H$746,'Base bordo'!C$2:C$746,A1176,'Base bordo'!B$2:B$746,B1176,'Base bordo'!F$2:F$746,"DESLOCAMENTO VAZIO"),0)</f>
        <v>360275.76</v>
      </c>
      <c r="R1176" s="10">
        <f>IFERROR(SUMIFS('Base bordo'!I$2:I$746,'Base bordo'!C$2:C$746,A1176,'Base bordo'!B$2:B$746,B1176,'Base bordo'!F$2:F$746,"DESLOCAMENTO VAZIO"),0)</f>
        <v>11617</v>
      </c>
      <c r="S1176" s="30">
        <f t="shared" si="121"/>
        <v>31.012805371438411</v>
      </c>
      <c r="T1176" s="10">
        <f>IFERROR(SUMIFS('Base bordo'!H$2:H$746,'Base bordo'!C$2:C$746,A1176,'Base bordo'!B$2:B$746,B1176,'Base bordo'!F$2:F$746,"DESLOCAMENTO CARREGADO"),0)</f>
        <v>354323.07999999996</v>
      </c>
      <c r="U1176" s="10">
        <f>IFERROR(SUMIFS('Base bordo'!I$2:I$746,'Base bordo'!C$2:C$746,A1176,'Base bordo'!B$2:B$746,B1176,'Base bordo'!F$2:F$746,"DESLOCAMENTO CARREGADO"),0)</f>
        <v>16557</v>
      </c>
      <c r="V1176" s="30">
        <f t="shared" si="122"/>
        <v>21.400198103521166</v>
      </c>
      <c r="W1176" s="9">
        <f t="shared" si="123"/>
        <v>0.19065828560174625</v>
      </c>
      <c r="X1176" s="9">
        <f t="shared" si="124"/>
        <v>0.27173360030198096</v>
      </c>
      <c r="Y1176" s="9">
        <f t="shared" si="125"/>
        <v>0.53760811409627274</v>
      </c>
    </row>
    <row r="1177" spans="1:25" ht="15" customHeight="1" x14ac:dyDescent="0.35">
      <c r="A1177" s="52">
        <v>8013460</v>
      </c>
      <c r="B1177" s="51">
        <v>46124</v>
      </c>
      <c r="C1177" s="7" t="s">
        <v>124</v>
      </c>
      <c r="D1177" s="10">
        <f>IFERROR(SUMIFS('Base bordo'!G$2:G$746,'Base bordo'!C$2:C$746,A1177,'Base bordo'!B$2:B$746,B1177,'Base bordo'!F$2:F$746,"DESLOCAMENTO VAZIO"),0)</f>
        <v>3.2269444444444444</v>
      </c>
      <c r="E1177" s="10">
        <f>IFERROR(SUMIFS('Base bordo'!G$2:G$746,'Base bordo'!C$2:C$746,A1177,'Base bordo'!B$2:B$746,B1177,'Base bordo'!F$2:F$746,"DESLOCAMENTO CARREGADO"),0)</f>
        <v>4.5991666666666671</v>
      </c>
      <c r="F1177" s="10">
        <f>IFERROR(SUMIFS('Base bordo'!G$2:G$746,'Base bordo'!C$2:C$746,A1177,'Base bordo'!B$2:B$746,B1177,'Base bordo'!F$2:F$746,"DESLOCAMENTO"),0)</f>
        <v>0</v>
      </c>
      <c r="G1177" s="10">
        <f>IFERROR(SUMIFS('Base bordo'!G$2:G$746,'Base bordo'!C$2:C$746,A1177,'Base bordo'!B$2:B$746,B1177,'Base bordo'!F$2:F$746,"CARREGAMENTO"),0)</f>
        <v>0</v>
      </c>
      <c r="H1177" s="10">
        <f>IFERROR(SUMIFS('Base bordo'!G$2:G$746,'Base bordo'!C$2:C$746,A1177,'Base bordo'!B$2:B$746,B1177,'Base bordo'!F$2:F$746,"AGUARDANDO TRANSBORDO"),0)</f>
        <v>0.1763888888888889</v>
      </c>
      <c r="I1177" s="10">
        <f>IFERROR(SUMIFS('Base bordo'!G$2:G$746,'Base bordo'!C$2:C$746,A1177,'Base bordo'!B$2:B$746,B1177,'Base bordo'!F$2:F$746,"PÁTIO INTERNO"),0)+IFERROR(SUMIFS('Base bordo'!G$2:G$746,'Base bordo'!C$2:C$746,A1177,'Base bordo'!B$2:B$746,B1177,'Base bordo'!F$2:F$746,"PÁTIO EXTERNO"),0)+IFERROR(SUMIFS('Base bordo'!G$2:G$746,'Base bordo'!C$2:C$746,A1177,'Base bordo'!B$2:B$746,B1177,'Base bordo'!F$2:F$746,"PATIO - RESERVA"),0)+IFERROR(SUMIFS('Base bordo'!G$2:G$746,'Base bordo'!C$2:C$746,A1177,'Base bordo'!B$2:B$746,B1177,'Base bordo'!F$2:F$746,"MANOBRA CARRETAS-PATIO"),0)</f>
        <v>8.8005555555555546</v>
      </c>
      <c r="J1177" s="10">
        <f>IFERROR(SUMIFS('Base bordo'!G$2:G$746,'Base bordo'!C$2:C$746,A1177,'Base bordo'!B$2:B$746,B1177,'Base bordo'!F$2:F$746,"BALANÇA - ENTRADA"),0)+IFERROR(SUMIFS('Base bordo'!G$2:G$746,'Base bordo'!C$2:C$746,A1177,'Base bordo'!B$2:B$746,B1177,'Base bordo'!F$2:F$746,"BALANÇA - SAÍDA"),0)</f>
        <v>0.12222222222222223</v>
      </c>
      <c r="K1177" s="10">
        <f>IFERROR(SUMIFS('Base bordo'!G$2:G$746,'Base bordo'!C$2:C$746,A1177,'Base bordo'!B$2:B$746,B1177,'Base bordo'!F$2:F$746,"MAN PREVENTIVA - MECANICA"),0)+IFERROR(SUMIFS('Base bordo'!G$2:G$746,'Base bordo'!C$2:C$746,A1177,'Base bordo'!B$2:B$746,B1177,'Base bordo'!F$2:F$746,"MAN CORRETIVA - MECANICA"),0)</f>
        <v>0</v>
      </c>
      <c r="L1177" s="10">
        <f>IFERROR(SUMIFS('Base bordo'!G$2:G$746,'Base bordo'!C$2:C$746,A1177,'Base bordo'!B$2:B$746,B1177,'Base bordo'!F$2:F$746,"MANUTENCAO - T O"),0)+IFERROR(SUMIFS('Base bordo'!G$2:G$746,'Base bordo'!C$2:C$746,A1177,'Base bordo'!B$2:B$746,B1177,'Base bordo'!F$2:F$746,"MANUTENCAO BORRACHARIA"),0)+IFERROR(SUMIFS('Base bordo'!G$2:G$746,'Base bordo'!C$2:C$746,A1177,'Base bordo'!B$2:B$746,B1177,'Base bordo'!F$2:F$746,"MANUTENCAO EXTERNA  CONCESSIONARIA"),0)+IFERROR(SUMIFS('Base bordo'!G$2:G$746,'Base bordo'!C$2:C$746,A1177,'Base bordo'!B$2:B$746,B1177,'Base bordo'!F$2:F$746,"MANUTENCAO TELEMETRIA"),0)</f>
        <v>0</v>
      </c>
      <c r="M1177" s="10">
        <f>IFERROR(SUMIFS('Base bordo'!G$2:G$746,'Base bordo'!C$2:C$746,A1177,'Base bordo'!B$2:B$746,B1177,'Base bordo'!F$2:F$746,"AGUARDANDO MANUTENCAO"),0)</f>
        <v>0</v>
      </c>
      <c r="N1177" s="10">
        <f>IFERROR(SUMIFS('Base bordo'!G$2:G$746,'Base bordo'!C$2:C$746,A1177,'Base bordo'!B$2:B$746,B1177,'Base bordo'!F$2:F$746,"SEM APONTAMENTO"),0)</f>
        <v>0</v>
      </c>
      <c r="O1177" s="10">
        <f t="shared" si="120"/>
        <v>0</v>
      </c>
      <c r="P1177" s="10">
        <f>IFERROR(SUMIFS('Base bordo'!G$2:G$746,'Base bordo'!C$2:C$746,A1177,'Base bordo'!B$2:B$746,B1177),0)</f>
        <v>16.925277777777776</v>
      </c>
      <c r="Q1177" s="10">
        <f>IFERROR(SUMIFS('Base bordo'!H$2:H$746,'Base bordo'!C$2:C$746,A1177,'Base bordo'!B$2:B$746,B1177,'Base bordo'!F$2:F$746,"DESLOCAMENTO VAZIO"),0)</f>
        <v>360275.76</v>
      </c>
      <c r="R1177" s="10">
        <f>IFERROR(SUMIFS('Base bordo'!I$2:I$746,'Base bordo'!C$2:C$746,A1177,'Base bordo'!B$2:B$746,B1177,'Base bordo'!F$2:F$746,"DESLOCAMENTO VAZIO"),0)</f>
        <v>11617</v>
      </c>
      <c r="S1177" s="30">
        <f t="shared" si="121"/>
        <v>31.012805371438411</v>
      </c>
      <c r="T1177" s="10">
        <f>IFERROR(SUMIFS('Base bordo'!H$2:H$746,'Base bordo'!C$2:C$746,A1177,'Base bordo'!B$2:B$746,B1177,'Base bordo'!F$2:F$746,"DESLOCAMENTO CARREGADO"),0)</f>
        <v>354323.07999999996</v>
      </c>
      <c r="U1177" s="10">
        <f>IFERROR(SUMIFS('Base bordo'!I$2:I$746,'Base bordo'!C$2:C$746,A1177,'Base bordo'!B$2:B$746,B1177,'Base bordo'!F$2:F$746,"DESLOCAMENTO CARREGADO"),0)</f>
        <v>16557</v>
      </c>
      <c r="V1177" s="30">
        <f t="shared" si="122"/>
        <v>21.400198103521166</v>
      </c>
      <c r="W1177" s="9">
        <f t="shared" si="123"/>
        <v>0.19065828560174625</v>
      </c>
      <c r="X1177" s="9">
        <f t="shared" si="124"/>
        <v>0.27173360030198096</v>
      </c>
      <c r="Y1177" s="9">
        <f t="shared" si="125"/>
        <v>0.53760811409627274</v>
      </c>
    </row>
    <row r="1178" spans="1:25" ht="15" customHeight="1" x14ac:dyDescent="0.35">
      <c r="A1178" s="52">
        <v>8013460</v>
      </c>
      <c r="B1178" s="51">
        <v>46124</v>
      </c>
      <c r="C1178" s="7" t="s">
        <v>124</v>
      </c>
      <c r="D1178" s="10">
        <f>IFERROR(SUMIFS('Base bordo'!G$2:G$746,'Base bordo'!C$2:C$746,A1178,'Base bordo'!B$2:B$746,B1178,'Base bordo'!F$2:F$746,"DESLOCAMENTO VAZIO"),0)</f>
        <v>3.2269444444444444</v>
      </c>
      <c r="E1178" s="10">
        <f>IFERROR(SUMIFS('Base bordo'!G$2:G$746,'Base bordo'!C$2:C$746,A1178,'Base bordo'!B$2:B$746,B1178,'Base bordo'!F$2:F$746,"DESLOCAMENTO CARREGADO"),0)</f>
        <v>4.5991666666666671</v>
      </c>
      <c r="F1178" s="10">
        <f>IFERROR(SUMIFS('Base bordo'!G$2:G$746,'Base bordo'!C$2:C$746,A1178,'Base bordo'!B$2:B$746,B1178,'Base bordo'!F$2:F$746,"DESLOCAMENTO"),0)</f>
        <v>0</v>
      </c>
      <c r="G1178" s="10">
        <f>IFERROR(SUMIFS('Base bordo'!G$2:G$746,'Base bordo'!C$2:C$746,A1178,'Base bordo'!B$2:B$746,B1178,'Base bordo'!F$2:F$746,"CARREGAMENTO"),0)</f>
        <v>0</v>
      </c>
      <c r="H1178" s="10">
        <f>IFERROR(SUMIFS('Base bordo'!G$2:G$746,'Base bordo'!C$2:C$746,A1178,'Base bordo'!B$2:B$746,B1178,'Base bordo'!F$2:F$746,"AGUARDANDO TRANSBORDO"),0)</f>
        <v>0.1763888888888889</v>
      </c>
      <c r="I1178" s="10">
        <f>IFERROR(SUMIFS('Base bordo'!G$2:G$746,'Base bordo'!C$2:C$746,A1178,'Base bordo'!B$2:B$746,B1178,'Base bordo'!F$2:F$746,"PÁTIO INTERNO"),0)+IFERROR(SUMIFS('Base bordo'!G$2:G$746,'Base bordo'!C$2:C$746,A1178,'Base bordo'!B$2:B$746,B1178,'Base bordo'!F$2:F$746,"PÁTIO EXTERNO"),0)+IFERROR(SUMIFS('Base bordo'!G$2:G$746,'Base bordo'!C$2:C$746,A1178,'Base bordo'!B$2:B$746,B1178,'Base bordo'!F$2:F$746,"PATIO - RESERVA"),0)+IFERROR(SUMIFS('Base bordo'!G$2:G$746,'Base bordo'!C$2:C$746,A1178,'Base bordo'!B$2:B$746,B1178,'Base bordo'!F$2:F$746,"MANOBRA CARRETAS-PATIO"),0)</f>
        <v>8.8005555555555546</v>
      </c>
      <c r="J1178" s="10">
        <f>IFERROR(SUMIFS('Base bordo'!G$2:G$746,'Base bordo'!C$2:C$746,A1178,'Base bordo'!B$2:B$746,B1178,'Base bordo'!F$2:F$746,"BALANÇA - ENTRADA"),0)+IFERROR(SUMIFS('Base bordo'!G$2:G$746,'Base bordo'!C$2:C$746,A1178,'Base bordo'!B$2:B$746,B1178,'Base bordo'!F$2:F$746,"BALANÇA - SAÍDA"),0)</f>
        <v>0.12222222222222223</v>
      </c>
      <c r="K1178" s="10">
        <f>IFERROR(SUMIFS('Base bordo'!G$2:G$746,'Base bordo'!C$2:C$746,A1178,'Base bordo'!B$2:B$746,B1178,'Base bordo'!F$2:F$746,"MAN PREVENTIVA - MECANICA"),0)+IFERROR(SUMIFS('Base bordo'!G$2:G$746,'Base bordo'!C$2:C$746,A1178,'Base bordo'!B$2:B$746,B1178,'Base bordo'!F$2:F$746,"MAN CORRETIVA - MECANICA"),0)</f>
        <v>0</v>
      </c>
      <c r="L1178" s="10">
        <f>IFERROR(SUMIFS('Base bordo'!G$2:G$746,'Base bordo'!C$2:C$746,A1178,'Base bordo'!B$2:B$746,B1178,'Base bordo'!F$2:F$746,"MANUTENCAO - T O"),0)+IFERROR(SUMIFS('Base bordo'!G$2:G$746,'Base bordo'!C$2:C$746,A1178,'Base bordo'!B$2:B$746,B1178,'Base bordo'!F$2:F$746,"MANUTENCAO BORRACHARIA"),0)+IFERROR(SUMIFS('Base bordo'!G$2:G$746,'Base bordo'!C$2:C$746,A1178,'Base bordo'!B$2:B$746,B1178,'Base bordo'!F$2:F$746,"MANUTENCAO EXTERNA  CONCESSIONARIA"),0)+IFERROR(SUMIFS('Base bordo'!G$2:G$746,'Base bordo'!C$2:C$746,A1178,'Base bordo'!B$2:B$746,B1178,'Base bordo'!F$2:F$746,"MANUTENCAO TELEMETRIA"),0)</f>
        <v>0</v>
      </c>
      <c r="M1178" s="10">
        <f>IFERROR(SUMIFS('Base bordo'!G$2:G$746,'Base bordo'!C$2:C$746,A1178,'Base bordo'!B$2:B$746,B1178,'Base bordo'!F$2:F$746,"AGUARDANDO MANUTENCAO"),0)</f>
        <v>0</v>
      </c>
      <c r="N1178" s="10">
        <f>IFERROR(SUMIFS('Base bordo'!G$2:G$746,'Base bordo'!C$2:C$746,A1178,'Base bordo'!B$2:B$746,B1178,'Base bordo'!F$2:F$746,"SEM APONTAMENTO"),0)</f>
        <v>0</v>
      </c>
      <c r="O1178" s="10">
        <f t="shared" si="120"/>
        <v>0</v>
      </c>
      <c r="P1178" s="10">
        <f>IFERROR(SUMIFS('Base bordo'!G$2:G$746,'Base bordo'!C$2:C$746,A1178,'Base bordo'!B$2:B$746,B1178),0)</f>
        <v>16.925277777777776</v>
      </c>
      <c r="Q1178" s="10">
        <f>IFERROR(SUMIFS('Base bordo'!H$2:H$746,'Base bordo'!C$2:C$746,A1178,'Base bordo'!B$2:B$746,B1178,'Base bordo'!F$2:F$746,"DESLOCAMENTO VAZIO"),0)</f>
        <v>360275.76</v>
      </c>
      <c r="R1178" s="10">
        <f>IFERROR(SUMIFS('Base bordo'!I$2:I$746,'Base bordo'!C$2:C$746,A1178,'Base bordo'!B$2:B$746,B1178,'Base bordo'!F$2:F$746,"DESLOCAMENTO VAZIO"),0)</f>
        <v>11617</v>
      </c>
      <c r="S1178" s="30">
        <f t="shared" si="121"/>
        <v>31.012805371438411</v>
      </c>
      <c r="T1178" s="10">
        <f>IFERROR(SUMIFS('Base bordo'!H$2:H$746,'Base bordo'!C$2:C$746,A1178,'Base bordo'!B$2:B$746,B1178,'Base bordo'!F$2:F$746,"DESLOCAMENTO CARREGADO"),0)</f>
        <v>354323.07999999996</v>
      </c>
      <c r="U1178" s="10">
        <f>IFERROR(SUMIFS('Base bordo'!I$2:I$746,'Base bordo'!C$2:C$746,A1178,'Base bordo'!B$2:B$746,B1178,'Base bordo'!F$2:F$746,"DESLOCAMENTO CARREGADO"),0)</f>
        <v>16557</v>
      </c>
      <c r="V1178" s="30">
        <f t="shared" si="122"/>
        <v>21.400198103521166</v>
      </c>
      <c r="W1178" s="9">
        <f t="shared" si="123"/>
        <v>0.19065828560174625</v>
      </c>
      <c r="X1178" s="9">
        <f t="shared" si="124"/>
        <v>0.27173360030198096</v>
      </c>
      <c r="Y1178" s="9">
        <f t="shared" si="125"/>
        <v>0.53760811409627274</v>
      </c>
    </row>
    <row r="1179" spans="1:25" ht="15" customHeight="1" x14ac:dyDescent="0.35">
      <c r="A1179" s="52">
        <v>8013460</v>
      </c>
      <c r="B1179" s="51">
        <v>46124</v>
      </c>
      <c r="C1179" s="7" t="s">
        <v>124</v>
      </c>
      <c r="D1179" s="10">
        <f>IFERROR(SUMIFS('Base bordo'!G$2:G$746,'Base bordo'!C$2:C$746,A1179,'Base bordo'!B$2:B$746,B1179,'Base bordo'!F$2:F$746,"DESLOCAMENTO VAZIO"),0)</f>
        <v>3.2269444444444444</v>
      </c>
      <c r="E1179" s="10">
        <f>IFERROR(SUMIFS('Base bordo'!G$2:G$746,'Base bordo'!C$2:C$746,A1179,'Base bordo'!B$2:B$746,B1179,'Base bordo'!F$2:F$746,"DESLOCAMENTO CARREGADO"),0)</f>
        <v>4.5991666666666671</v>
      </c>
      <c r="F1179" s="10">
        <f>IFERROR(SUMIFS('Base bordo'!G$2:G$746,'Base bordo'!C$2:C$746,A1179,'Base bordo'!B$2:B$746,B1179,'Base bordo'!F$2:F$746,"DESLOCAMENTO"),0)</f>
        <v>0</v>
      </c>
      <c r="G1179" s="10">
        <f>IFERROR(SUMIFS('Base bordo'!G$2:G$746,'Base bordo'!C$2:C$746,A1179,'Base bordo'!B$2:B$746,B1179,'Base bordo'!F$2:F$746,"CARREGAMENTO"),0)</f>
        <v>0</v>
      </c>
      <c r="H1179" s="10">
        <f>IFERROR(SUMIFS('Base bordo'!G$2:G$746,'Base bordo'!C$2:C$746,A1179,'Base bordo'!B$2:B$746,B1179,'Base bordo'!F$2:F$746,"AGUARDANDO TRANSBORDO"),0)</f>
        <v>0.1763888888888889</v>
      </c>
      <c r="I1179" s="10">
        <f>IFERROR(SUMIFS('Base bordo'!G$2:G$746,'Base bordo'!C$2:C$746,A1179,'Base bordo'!B$2:B$746,B1179,'Base bordo'!F$2:F$746,"PÁTIO INTERNO"),0)+IFERROR(SUMIFS('Base bordo'!G$2:G$746,'Base bordo'!C$2:C$746,A1179,'Base bordo'!B$2:B$746,B1179,'Base bordo'!F$2:F$746,"PÁTIO EXTERNO"),0)+IFERROR(SUMIFS('Base bordo'!G$2:G$746,'Base bordo'!C$2:C$746,A1179,'Base bordo'!B$2:B$746,B1179,'Base bordo'!F$2:F$746,"PATIO - RESERVA"),0)+IFERROR(SUMIFS('Base bordo'!G$2:G$746,'Base bordo'!C$2:C$746,A1179,'Base bordo'!B$2:B$746,B1179,'Base bordo'!F$2:F$746,"MANOBRA CARRETAS-PATIO"),0)</f>
        <v>8.8005555555555546</v>
      </c>
      <c r="J1179" s="10">
        <f>IFERROR(SUMIFS('Base bordo'!G$2:G$746,'Base bordo'!C$2:C$746,A1179,'Base bordo'!B$2:B$746,B1179,'Base bordo'!F$2:F$746,"BALANÇA - ENTRADA"),0)+IFERROR(SUMIFS('Base bordo'!G$2:G$746,'Base bordo'!C$2:C$746,A1179,'Base bordo'!B$2:B$746,B1179,'Base bordo'!F$2:F$746,"BALANÇA - SAÍDA"),0)</f>
        <v>0.12222222222222223</v>
      </c>
      <c r="K1179" s="10">
        <f>IFERROR(SUMIFS('Base bordo'!G$2:G$746,'Base bordo'!C$2:C$746,A1179,'Base bordo'!B$2:B$746,B1179,'Base bordo'!F$2:F$746,"MAN PREVENTIVA - MECANICA"),0)+IFERROR(SUMIFS('Base bordo'!G$2:G$746,'Base bordo'!C$2:C$746,A1179,'Base bordo'!B$2:B$746,B1179,'Base bordo'!F$2:F$746,"MAN CORRETIVA - MECANICA"),0)</f>
        <v>0</v>
      </c>
      <c r="L1179" s="10">
        <f>IFERROR(SUMIFS('Base bordo'!G$2:G$746,'Base bordo'!C$2:C$746,A1179,'Base bordo'!B$2:B$746,B1179,'Base bordo'!F$2:F$746,"MANUTENCAO - T O"),0)+IFERROR(SUMIFS('Base bordo'!G$2:G$746,'Base bordo'!C$2:C$746,A1179,'Base bordo'!B$2:B$746,B1179,'Base bordo'!F$2:F$746,"MANUTENCAO BORRACHARIA"),0)+IFERROR(SUMIFS('Base bordo'!G$2:G$746,'Base bordo'!C$2:C$746,A1179,'Base bordo'!B$2:B$746,B1179,'Base bordo'!F$2:F$746,"MANUTENCAO EXTERNA  CONCESSIONARIA"),0)+IFERROR(SUMIFS('Base bordo'!G$2:G$746,'Base bordo'!C$2:C$746,A1179,'Base bordo'!B$2:B$746,B1179,'Base bordo'!F$2:F$746,"MANUTENCAO TELEMETRIA"),0)</f>
        <v>0</v>
      </c>
      <c r="M1179" s="10">
        <f>IFERROR(SUMIFS('Base bordo'!G$2:G$746,'Base bordo'!C$2:C$746,A1179,'Base bordo'!B$2:B$746,B1179,'Base bordo'!F$2:F$746,"AGUARDANDO MANUTENCAO"),0)</f>
        <v>0</v>
      </c>
      <c r="N1179" s="10">
        <f>IFERROR(SUMIFS('Base bordo'!G$2:G$746,'Base bordo'!C$2:C$746,A1179,'Base bordo'!B$2:B$746,B1179,'Base bordo'!F$2:F$746,"SEM APONTAMENTO"),0)</f>
        <v>0</v>
      </c>
      <c r="O1179" s="10">
        <f t="shared" si="120"/>
        <v>0</v>
      </c>
      <c r="P1179" s="10">
        <f>IFERROR(SUMIFS('Base bordo'!G$2:G$746,'Base bordo'!C$2:C$746,A1179,'Base bordo'!B$2:B$746,B1179),0)</f>
        <v>16.925277777777776</v>
      </c>
      <c r="Q1179" s="10">
        <f>IFERROR(SUMIFS('Base bordo'!H$2:H$746,'Base bordo'!C$2:C$746,A1179,'Base bordo'!B$2:B$746,B1179,'Base bordo'!F$2:F$746,"DESLOCAMENTO VAZIO"),0)</f>
        <v>360275.76</v>
      </c>
      <c r="R1179" s="10">
        <f>IFERROR(SUMIFS('Base bordo'!I$2:I$746,'Base bordo'!C$2:C$746,A1179,'Base bordo'!B$2:B$746,B1179,'Base bordo'!F$2:F$746,"DESLOCAMENTO VAZIO"),0)</f>
        <v>11617</v>
      </c>
      <c r="S1179" s="30">
        <f t="shared" si="121"/>
        <v>31.012805371438411</v>
      </c>
      <c r="T1179" s="10">
        <f>IFERROR(SUMIFS('Base bordo'!H$2:H$746,'Base bordo'!C$2:C$746,A1179,'Base bordo'!B$2:B$746,B1179,'Base bordo'!F$2:F$746,"DESLOCAMENTO CARREGADO"),0)</f>
        <v>354323.07999999996</v>
      </c>
      <c r="U1179" s="10">
        <f>IFERROR(SUMIFS('Base bordo'!I$2:I$746,'Base bordo'!C$2:C$746,A1179,'Base bordo'!B$2:B$746,B1179,'Base bordo'!F$2:F$746,"DESLOCAMENTO CARREGADO"),0)</f>
        <v>16557</v>
      </c>
      <c r="V1179" s="30">
        <f t="shared" si="122"/>
        <v>21.400198103521166</v>
      </c>
      <c r="W1179" s="9">
        <f t="shared" si="123"/>
        <v>0.19065828560174625</v>
      </c>
      <c r="X1179" s="9">
        <f t="shared" si="124"/>
        <v>0.27173360030198096</v>
      </c>
      <c r="Y1179" s="9">
        <f t="shared" si="125"/>
        <v>0.53760811409627274</v>
      </c>
    </row>
    <row r="1180" spans="1:25" ht="15" customHeight="1" x14ac:dyDescent="0.35">
      <c r="A1180" s="52">
        <v>8013460</v>
      </c>
      <c r="B1180" s="51">
        <v>46124</v>
      </c>
      <c r="C1180" s="7" t="s">
        <v>124</v>
      </c>
      <c r="D1180" s="10">
        <f>IFERROR(SUMIFS('Base bordo'!G$2:G$746,'Base bordo'!C$2:C$746,A1180,'Base bordo'!B$2:B$746,B1180,'Base bordo'!F$2:F$746,"DESLOCAMENTO VAZIO"),0)</f>
        <v>3.2269444444444444</v>
      </c>
      <c r="E1180" s="10">
        <f>IFERROR(SUMIFS('Base bordo'!G$2:G$746,'Base bordo'!C$2:C$746,A1180,'Base bordo'!B$2:B$746,B1180,'Base bordo'!F$2:F$746,"DESLOCAMENTO CARREGADO"),0)</f>
        <v>4.5991666666666671</v>
      </c>
      <c r="F1180" s="10">
        <f>IFERROR(SUMIFS('Base bordo'!G$2:G$746,'Base bordo'!C$2:C$746,A1180,'Base bordo'!B$2:B$746,B1180,'Base bordo'!F$2:F$746,"DESLOCAMENTO"),0)</f>
        <v>0</v>
      </c>
      <c r="G1180" s="10">
        <f>IFERROR(SUMIFS('Base bordo'!G$2:G$746,'Base bordo'!C$2:C$746,A1180,'Base bordo'!B$2:B$746,B1180,'Base bordo'!F$2:F$746,"CARREGAMENTO"),0)</f>
        <v>0</v>
      </c>
      <c r="H1180" s="10">
        <f>IFERROR(SUMIFS('Base bordo'!G$2:G$746,'Base bordo'!C$2:C$746,A1180,'Base bordo'!B$2:B$746,B1180,'Base bordo'!F$2:F$746,"AGUARDANDO TRANSBORDO"),0)</f>
        <v>0.1763888888888889</v>
      </c>
      <c r="I1180" s="10">
        <f>IFERROR(SUMIFS('Base bordo'!G$2:G$746,'Base bordo'!C$2:C$746,A1180,'Base bordo'!B$2:B$746,B1180,'Base bordo'!F$2:F$746,"PÁTIO INTERNO"),0)+IFERROR(SUMIFS('Base bordo'!G$2:G$746,'Base bordo'!C$2:C$746,A1180,'Base bordo'!B$2:B$746,B1180,'Base bordo'!F$2:F$746,"PÁTIO EXTERNO"),0)+IFERROR(SUMIFS('Base bordo'!G$2:G$746,'Base bordo'!C$2:C$746,A1180,'Base bordo'!B$2:B$746,B1180,'Base bordo'!F$2:F$746,"PATIO - RESERVA"),0)+IFERROR(SUMIFS('Base bordo'!G$2:G$746,'Base bordo'!C$2:C$746,A1180,'Base bordo'!B$2:B$746,B1180,'Base bordo'!F$2:F$746,"MANOBRA CARRETAS-PATIO"),0)</f>
        <v>8.8005555555555546</v>
      </c>
      <c r="J1180" s="10">
        <f>IFERROR(SUMIFS('Base bordo'!G$2:G$746,'Base bordo'!C$2:C$746,A1180,'Base bordo'!B$2:B$746,B1180,'Base bordo'!F$2:F$746,"BALANÇA - ENTRADA"),0)+IFERROR(SUMIFS('Base bordo'!G$2:G$746,'Base bordo'!C$2:C$746,A1180,'Base bordo'!B$2:B$746,B1180,'Base bordo'!F$2:F$746,"BALANÇA - SAÍDA"),0)</f>
        <v>0.12222222222222223</v>
      </c>
      <c r="K1180" s="10">
        <f>IFERROR(SUMIFS('Base bordo'!G$2:G$746,'Base bordo'!C$2:C$746,A1180,'Base bordo'!B$2:B$746,B1180,'Base bordo'!F$2:F$746,"MAN PREVENTIVA - MECANICA"),0)+IFERROR(SUMIFS('Base bordo'!G$2:G$746,'Base bordo'!C$2:C$746,A1180,'Base bordo'!B$2:B$746,B1180,'Base bordo'!F$2:F$746,"MAN CORRETIVA - MECANICA"),0)</f>
        <v>0</v>
      </c>
      <c r="L1180" s="10">
        <f>IFERROR(SUMIFS('Base bordo'!G$2:G$746,'Base bordo'!C$2:C$746,A1180,'Base bordo'!B$2:B$746,B1180,'Base bordo'!F$2:F$746,"MANUTENCAO - T O"),0)+IFERROR(SUMIFS('Base bordo'!G$2:G$746,'Base bordo'!C$2:C$746,A1180,'Base bordo'!B$2:B$746,B1180,'Base bordo'!F$2:F$746,"MANUTENCAO BORRACHARIA"),0)+IFERROR(SUMIFS('Base bordo'!G$2:G$746,'Base bordo'!C$2:C$746,A1180,'Base bordo'!B$2:B$746,B1180,'Base bordo'!F$2:F$746,"MANUTENCAO EXTERNA  CONCESSIONARIA"),0)+IFERROR(SUMIFS('Base bordo'!G$2:G$746,'Base bordo'!C$2:C$746,A1180,'Base bordo'!B$2:B$746,B1180,'Base bordo'!F$2:F$746,"MANUTENCAO TELEMETRIA"),0)</f>
        <v>0</v>
      </c>
      <c r="M1180" s="10">
        <f>IFERROR(SUMIFS('Base bordo'!G$2:G$746,'Base bordo'!C$2:C$746,A1180,'Base bordo'!B$2:B$746,B1180,'Base bordo'!F$2:F$746,"AGUARDANDO MANUTENCAO"),0)</f>
        <v>0</v>
      </c>
      <c r="N1180" s="10">
        <f>IFERROR(SUMIFS('Base bordo'!G$2:G$746,'Base bordo'!C$2:C$746,A1180,'Base bordo'!B$2:B$746,B1180,'Base bordo'!F$2:F$746,"SEM APONTAMENTO"),0)</f>
        <v>0</v>
      </c>
      <c r="O1180" s="10">
        <f t="shared" si="120"/>
        <v>0</v>
      </c>
      <c r="P1180" s="10">
        <f>IFERROR(SUMIFS('Base bordo'!G$2:G$746,'Base bordo'!C$2:C$746,A1180,'Base bordo'!B$2:B$746,B1180),0)</f>
        <v>16.925277777777776</v>
      </c>
      <c r="Q1180" s="10">
        <f>IFERROR(SUMIFS('Base bordo'!H$2:H$746,'Base bordo'!C$2:C$746,A1180,'Base bordo'!B$2:B$746,B1180,'Base bordo'!F$2:F$746,"DESLOCAMENTO VAZIO"),0)</f>
        <v>360275.76</v>
      </c>
      <c r="R1180" s="10">
        <f>IFERROR(SUMIFS('Base bordo'!I$2:I$746,'Base bordo'!C$2:C$746,A1180,'Base bordo'!B$2:B$746,B1180,'Base bordo'!F$2:F$746,"DESLOCAMENTO VAZIO"),0)</f>
        <v>11617</v>
      </c>
      <c r="S1180" s="30">
        <f t="shared" si="121"/>
        <v>31.012805371438411</v>
      </c>
      <c r="T1180" s="10">
        <f>IFERROR(SUMIFS('Base bordo'!H$2:H$746,'Base bordo'!C$2:C$746,A1180,'Base bordo'!B$2:B$746,B1180,'Base bordo'!F$2:F$746,"DESLOCAMENTO CARREGADO"),0)</f>
        <v>354323.07999999996</v>
      </c>
      <c r="U1180" s="10">
        <f>IFERROR(SUMIFS('Base bordo'!I$2:I$746,'Base bordo'!C$2:C$746,A1180,'Base bordo'!B$2:B$746,B1180,'Base bordo'!F$2:F$746,"DESLOCAMENTO CARREGADO"),0)</f>
        <v>16557</v>
      </c>
      <c r="V1180" s="30">
        <f t="shared" si="122"/>
        <v>21.400198103521166</v>
      </c>
      <c r="W1180" s="9">
        <f t="shared" si="123"/>
        <v>0.19065828560174625</v>
      </c>
      <c r="X1180" s="9">
        <f t="shared" si="124"/>
        <v>0.27173360030198096</v>
      </c>
      <c r="Y1180" s="9">
        <f t="shared" si="125"/>
        <v>0.53760811409627274</v>
      </c>
    </row>
    <row r="1181" spans="1:25" ht="15" customHeight="1" x14ac:dyDescent="0.35">
      <c r="A1181" s="52">
        <v>8013460</v>
      </c>
      <c r="B1181" s="51">
        <v>46124</v>
      </c>
      <c r="C1181" s="7" t="s">
        <v>124</v>
      </c>
      <c r="D1181" s="10">
        <f>IFERROR(SUMIFS('Base bordo'!G$2:G$746,'Base bordo'!C$2:C$746,A1181,'Base bordo'!B$2:B$746,B1181,'Base bordo'!F$2:F$746,"DESLOCAMENTO VAZIO"),0)</f>
        <v>3.2269444444444444</v>
      </c>
      <c r="E1181" s="10">
        <f>IFERROR(SUMIFS('Base bordo'!G$2:G$746,'Base bordo'!C$2:C$746,A1181,'Base bordo'!B$2:B$746,B1181,'Base bordo'!F$2:F$746,"DESLOCAMENTO CARREGADO"),0)</f>
        <v>4.5991666666666671</v>
      </c>
      <c r="F1181" s="10">
        <f>IFERROR(SUMIFS('Base bordo'!G$2:G$746,'Base bordo'!C$2:C$746,A1181,'Base bordo'!B$2:B$746,B1181,'Base bordo'!F$2:F$746,"DESLOCAMENTO"),0)</f>
        <v>0</v>
      </c>
      <c r="G1181" s="10">
        <f>IFERROR(SUMIFS('Base bordo'!G$2:G$746,'Base bordo'!C$2:C$746,A1181,'Base bordo'!B$2:B$746,B1181,'Base bordo'!F$2:F$746,"CARREGAMENTO"),0)</f>
        <v>0</v>
      </c>
      <c r="H1181" s="10">
        <f>IFERROR(SUMIFS('Base bordo'!G$2:G$746,'Base bordo'!C$2:C$746,A1181,'Base bordo'!B$2:B$746,B1181,'Base bordo'!F$2:F$746,"AGUARDANDO TRANSBORDO"),0)</f>
        <v>0.1763888888888889</v>
      </c>
      <c r="I1181" s="10">
        <f>IFERROR(SUMIFS('Base bordo'!G$2:G$746,'Base bordo'!C$2:C$746,A1181,'Base bordo'!B$2:B$746,B1181,'Base bordo'!F$2:F$746,"PÁTIO INTERNO"),0)+IFERROR(SUMIFS('Base bordo'!G$2:G$746,'Base bordo'!C$2:C$746,A1181,'Base bordo'!B$2:B$746,B1181,'Base bordo'!F$2:F$746,"PÁTIO EXTERNO"),0)+IFERROR(SUMIFS('Base bordo'!G$2:G$746,'Base bordo'!C$2:C$746,A1181,'Base bordo'!B$2:B$746,B1181,'Base bordo'!F$2:F$746,"PATIO - RESERVA"),0)+IFERROR(SUMIFS('Base bordo'!G$2:G$746,'Base bordo'!C$2:C$746,A1181,'Base bordo'!B$2:B$746,B1181,'Base bordo'!F$2:F$746,"MANOBRA CARRETAS-PATIO"),0)</f>
        <v>8.8005555555555546</v>
      </c>
      <c r="J1181" s="10">
        <f>IFERROR(SUMIFS('Base bordo'!G$2:G$746,'Base bordo'!C$2:C$746,A1181,'Base bordo'!B$2:B$746,B1181,'Base bordo'!F$2:F$746,"BALANÇA - ENTRADA"),0)+IFERROR(SUMIFS('Base bordo'!G$2:G$746,'Base bordo'!C$2:C$746,A1181,'Base bordo'!B$2:B$746,B1181,'Base bordo'!F$2:F$746,"BALANÇA - SAÍDA"),0)</f>
        <v>0.12222222222222223</v>
      </c>
      <c r="K1181" s="10">
        <f>IFERROR(SUMIFS('Base bordo'!G$2:G$746,'Base bordo'!C$2:C$746,A1181,'Base bordo'!B$2:B$746,B1181,'Base bordo'!F$2:F$746,"MAN PREVENTIVA - MECANICA"),0)+IFERROR(SUMIFS('Base bordo'!G$2:G$746,'Base bordo'!C$2:C$746,A1181,'Base bordo'!B$2:B$746,B1181,'Base bordo'!F$2:F$746,"MAN CORRETIVA - MECANICA"),0)</f>
        <v>0</v>
      </c>
      <c r="L1181" s="10">
        <f>IFERROR(SUMIFS('Base bordo'!G$2:G$746,'Base bordo'!C$2:C$746,A1181,'Base bordo'!B$2:B$746,B1181,'Base bordo'!F$2:F$746,"MANUTENCAO - T O"),0)+IFERROR(SUMIFS('Base bordo'!G$2:G$746,'Base bordo'!C$2:C$746,A1181,'Base bordo'!B$2:B$746,B1181,'Base bordo'!F$2:F$746,"MANUTENCAO BORRACHARIA"),0)+IFERROR(SUMIFS('Base bordo'!G$2:G$746,'Base bordo'!C$2:C$746,A1181,'Base bordo'!B$2:B$746,B1181,'Base bordo'!F$2:F$746,"MANUTENCAO EXTERNA  CONCESSIONARIA"),0)+IFERROR(SUMIFS('Base bordo'!G$2:G$746,'Base bordo'!C$2:C$746,A1181,'Base bordo'!B$2:B$746,B1181,'Base bordo'!F$2:F$746,"MANUTENCAO TELEMETRIA"),0)</f>
        <v>0</v>
      </c>
      <c r="M1181" s="10">
        <f>IFERROR(SUMIFS('Base bordo'!G$2:G$746,'Base bordo'!C$2:C$746,A1181,'Base bordo'!B$2:B$746,B1181,'Base bordo'!F$2:F$746,"AGUARDANDO MANUTENCAO"),0)</f>
        <v>0</v>
      </c>
      <c r="N1181" s="10">
        <f>IFERROR(SUMIFS('Base bordo'!G$2:G$746,'Base bordo'!C$2:C$746,A1181,'Base bordo'!B$2:B$746,B1181,'Base bordo'!F$2:F$746,"SEM APONTAMENTO"),0)</f>
        <v>0</v>
      </c>
      <c r="O1181" s="10">
        <f t="shared" si="120"/>
        <v>0</v>
      </c>
      <c r="P1181" s="10">
        <f>IFERROR(SUMIFS('Base bordo'!G$2:G$746,'Base bordo'!C$2:C$746,A1181,'Base bordo'!B$2:B$746,B1181),0)</f>
        <v>16.925277777777776</v>
      </c>
      <c r="Q1181" s="10">
        <f>IFERROR(SUMIFS('Base bordo'!H$2:H$746,'Base bordo'!C$2:C$746,A1181,'Base bordo'!B$2:B$746,B1181,'Base bordo'!F$2:F$746,"DESLOCAMENTO VAZIO"),0)</f>
        <v>360275.76</v>
      </c>
      <c r="R1181" s="10">
        <f>IFERROR(SUMIFS('Base bordo'!I$2:I$746,'Base bordo'!C$2:C$746,A1181,'Base bordo'!B$2:B$746,B1181,'Base bordo'!F$2:F$746,"DESLOCAMENTO VAZIO"),0)</f>
        <v>11617</v>
      </c>
      <c r="S1181" s="30">
        <f t="shared" si="121"/>
        <v>31.012805371438411</v>
      </c>
      <c r="T1181" s="10">
        <f>IFERROR(SUMIFS('Base bordo'!H$2:H$746,'Base bordo'!C$2:C$746,A1181,'Base bordo'!B$2:B$746,B1181,'Base bordo'!F$2:F$746,"DESLOCAMENTO CARREGADO"),0)</f>
        <v>354323.07999999996</v>
      </c>
      <c r="U1181" s="10">
        <f>IFERROR(SUMIFS('Base bordo'!I$2:I$746,'Base bordo'!C$2:C$746,A1181,'Base bordo'!B$2:B$746,B1181,'Base bordo'!F$2:F$746,"DESLOCAMENTO CARREGADO"),0)</f>
        <v>16557</v>
      </c>
      <c r="V1181" s="30">
        <f t="shared" si="122"/>
        <v>21.400198103521166</v>
      </c>
      <c r="W1181" s="9">
        <f t="shared" si="123"/>
        <v>0.19065828560174625</v>
      </c>
      <c r="X1181" s="9">
        <f t="shared" si="124"/>
        <v>0.27173360030198096</v>
      </c>
      <c r="Y1181" s="9">
        <f t="shared" si="125"/>
        <v>0.53760811409627274</v>
      </c>
    </row>
    <row r="1182" spans="1:25" ht="15" customHeight="1" x14ac:dyDescent="0.35">
      <c r="A1182" s="52">
        <v>8013460</v>
      </c>
      <c r="B1182" s="51">
        <v>46124</v>
      </c>
      <c r="C1182" s="7" t="s">
        <v>124</v>
      </c>
      <c r="D1182" s="10">
        <f>IFERROR(SUMIFS('Base bordo'!G$2:G$746,'Base bordo'!C$2:C$746,A1182,'Base bordo'!B$2:B$746,B1182,'Base bordo'!F$2:F$746,"DESLOCAMENTO VAZIO"),0)</f>
        <v>3.2269444444444444</v>
      </c>
      <c r="E1182" s="10">
        <f>IFERROR(SUMIFS('Base bordo'!G$2:G$746,'Base bordo'!C$2:C$746,A1182,'Base bordo'!B$2:B$746,B1182,'Base bordo'!F$2:F$746,"DESLOCAMENTO CARREGADO"),0)</f>
        <v>4.5991666666666671</v>
      </c>
      <c r="F1182" s="10">
        <f>IFERROR(SUMIFS('Base bordo'!G$2:G$746,'Base bordo'!C$2:C$746,A1182,'Base bordo'!B$2:B$746,B1182,'Base bordo'!F$2:F$746,"DESLOCAMENTO"),0)</f>
        <v>0</v>
      </c>
      <c r="G1182" s="10">
        <f>IFERROR(SUMIFS('Base bordo'!G$2:G$746,'Base bordo'!C$2:C$746,A1182,'Base bordo'!B$2:B$746,B1182,'Base bordo'!F$2:F$746,"CARREGAMENTO"),0)</f>
        <v>0</v>
      </c>
      <c r="H1182" s="10">
        <f>IFERROR(SUMIFS('Base bordo'!G$2:G$746,'Base bordo'!C$2:C$746,A1182,'Base bordo'!B$2:B$746,B1182,'Base bordo'!F$2:F$746,"AGUARDANDO TRANSBORDO"),0)</f>
        <v>0.1763888888888889</v>
      </c>
      <c r="I1182" s="10">
        <f>IFERROR(SUMIFS('Base bordo'!G$2:G$746,'Base bordo'!C$2:C$746,A1182,'Base bordo'!B$2:B$746,B1182,'Base bordo'!F$2:F$746,"PÁTIO INTERNO"),0)+IFERROR(SUMIFS('Base bordo'!G$2:G$746,'Base bordo'!C$2:C$746,A1182,'Base bordo'!B$2:B$746,B1182,'Base bordo'!F$2:F$746,"PÁTIO EXTERNO"),0)+IFERROR(SUMIFS('Base bordo'!G$2:G$746,'Base bordo'!C$2:C$746,A1182,'Base bordo'!B$2:B$746,B1182,'Base bordo'!F$2:F$746,"PATIO - RESERVA"),0)+IFERROR(SUMIFS('Base bordo'!G$2:G$746,'Base bordo'!C$2:C$746,A1182,'Base bordo'!B$2:B$746,B1182,'Base bordo'!F$2:F$746,"MANOBRA CARRETAS-PATIO"),0)</f>
        <v>8.8005555555555546</v>
      </c>
      <c r="J1182" s="10">
        <f>IFERROR(SUMIFS('Base bordo'!G$2:G$746,'Base bordo'!C$2:C$746,A1182,'Base bordo'!B$2:B$746,B1182,'Base bordo'!F$2:F$746,"BALANÇA - ENTRADA"),0)+IFERROR(SUMIFS('Base bordo'!G$2:G$746,'Base bordo'!C$2:C$746,A1182,'Base bordo'!B$2:B$746,B1182,'Base bordo'!F$2:F$746,"BALANÇA - SAÍDA"),0)</f>
        <v>0.12222222222222223</v>
      </c>
      <c r="K1182" s="10">
        <f>IFERROR(SUMIFS('Base bordo'!G$2:G$746,'Base bordo'!C$2:C$746,A1182,'Base bordo'!B$2:B$746,B1182,'Base bordo'!F$2:F$746,"MAN PREVENTIVA - MECANICA"),0)+IFERROR(SUMIFS('Base bordo'!G$2:G$746,'Base bordo'!C$2:C$746,A1182,'Base bordo'!B$2:B$746,B1182,'Base bordo'!F$2:F$746,"MAN CORRETIVA - MECANICA"),0)</f>
        <v>0</v>
      </c>
      <c r="L1182" s="10">
        <f>IFERROR(SUMIFS('Base bordo'!G$2:G$746,'Base bordo'!C$2:C$746,A1182,'Base bordo'!B$2:B$746,B1182,'Base bordo'!F$2:F$746,"MANUTENCAO - T O"),0)+IFERROR(SUMIFS('Base bordo'!G$2:G$746,'Base bordo'!C$2:C$746,A1182,'Base bordo'!B$2:B$746,B1182,'Base bordo'!F$2:F$746,"MANUTENCAO BORRACHARIA"),0)+IFERROR(SUMIFS('Base bordo'!G$2:G$746,'Base bordo'!C$2:C$746,A1182,'Base bordo'!B$2:B$746,B1182,'Base bordo'!F$2:F$746,"MANUTENCAO EXTERNA  CONCESSIONARIA"),0)+IFERROR(SUMIFS('Base bordo'!G$2:G$746,'Base bordo'!C$2:C$746,A1182,'Base bordo'!B$2:B$746,B1182,'Base bordo'!F$2:F$746,"MANUTENCAO TELEMETRIA"),0)</f>
        <v>0</v>
      </c>
      <c r="M1182" s="10">
        <f>IFERROR(SUMIFS('Base bordo'!G$2:G$746,'Base bordo'!C$2:C$746,A1182,'Base bordo'!B$2:B$746,B1182,'Base bordo'!F$2:F$746,"AGUARDANDO MANUTENCAO"),0)</f>
        <v>0</v>
      </c>
      <c r="N1182" s="10">
        <f>IFERROR(SUMIFS('Base bordo'!G$2:G$746,'Base bordo'!C$2:C$746,A1182,'Base bordo'!B$2:B$746,B1182,'Base bordo'!F$2:F$746,"SEM APONTAMENTO"),0)</f>
        <v>0</v>
      </c>
      <c r="O1182" s="10">
        <f t="shared" si="120"/>
        <v>0</v>
      </c>
      <c r="P1182" s="10">
        <f>IFERROR(SUMIFS('Base bordo'!G$2:G$746,'Base bordo'!C$2:C$746,A1182,'Base bordo'!B$2:B$746,B1182),0)</f>
        <v>16.925277777777776</v>
      </c>
      <c r="Q1182" s="10">
        <f>IFERROR(SUMIFS('Base bordo'!H$2:H$746,'Base bordo'!C$2:C$746,A1182,'Base bordo'!B$2:B$746,B1182,'Base bordo'!F$2:F$746,"DESLOCAMENTO VAZIO"),0)</f>
        <v>360275.76</v>
      </c>
      <c r="R1182" s="10">
        <f>IFERROR(SUMIFS('Base bordo'!I$2:I$746,'Base bordo'!C$2:C$746,A1182,'Base bordo'!B$2:B$746,B1182,'Base bordo'!F$2:F$746,"DESLOCAMENTO VAZIO"),0)</f>
        <v>11617</v>
      </c>
      <c r="S1182" s="30">
        <f t="shared" si="121"/>
        <v>31.012805371438411</v>
      </c>
      <c r="T1182" s="10">
        <f>IFERROR(SUMIFS('Base bordo'!H$2:H$746,'Base bordo'!C$2:C$746,A1182,'Base bordo'!B$2:B$746,B1182,'Base bordo'!F$2:F$746,"DESLOCAMENTO CARREGADO"),0)</f>
        <v>354323.07999999996</v>
      </c>
      <c r="U1182" s="10">
        <f>IFERROR(SUMIFS('Base bordo'!I$2:I$746,'Base bordo'!C$2:C$746,A1182,'Base bordo'!B$2:B$746,B1182,'Base bordo'!F$2:F$746,"DESLOCAMENTO CARREGADO"),0)</f>
        <v>16557</v>
      </c>
      <c r="V1182" s="30">
        <f t="shared" si="122"/>
        <v>21.400198103521166</v>
      </c>
      <c r="W1182" s="9">
        <f t="shared" si="123"/>
        <v>0.19065828560174625</v>
      </c>
      <c r="X1182" s="9">
        <f t="shared" si="124"/>
        <v>0.27173360030198096</v>
      </c>
      <c r="Y1182" s="9">
        <f t="shared" si="125"/>
        <v>0.53760811409627274</v>
      </c>
    </row>
    <row r="1183" spans="1:25" ht="15" customHeight="1" x14ac:dyDescent="0.35">
      <c r="A1183" s="52">
        <v>8013461</v>
      </c>
      <c r="B1183" s="51">
        <v>46124</v>
      </c>
      <c r="C1183" s="7" t="s">
        <v>124</v>
      </c>
      <c r="D1183" s="10">
        <f>IFERROR(SUMIFS('Base bordo'!G$2:G$746,'Base bordo'!C$2:C$746,A1183,'Base bordo'!B$2:B$746,B1183,'Base bordo'!F$2:F$746,"DESLOCAMENTO VAZIO"),0)</f>
        <v>2.7680555555555557</v>
      </c>
      <c r="E1183" s="10">
        <f>IFERROR(SUMIFS('Base bordo'!G$2:G$746,'Base bordo'!C$2:C$746,A1183,'Base bordo'!B$2:B$746,B1183,'Base bordo'!F$2:F$746,"DESLOCAMENTO CARREGADO"),0)</f>
        <v>1.8997222222222223</v>
      </c>
      <c r="F1183" s="10">
        <f>IFERROR(SUMIFS('Base bordo'!G$2:G$746,'Base bordo'!C$2:C$746,A1183,'Base bordo'!B$2:B$746,B1183,'Base bordo'!F$2:F$746,"DESLOCAMENTO"),0)</f>
        <v>0</v>
      </c>
      <c r="G1183" s="10">
        <f>IFERROR(SUMIFS('Base bordo'!G$2:G$746,'Base bordo'!C$2:C$746,A1183,'Base bordo'!B$2:B$746,B1183,'Base bordo'!F$2:F$746,"CARREGAMENTO"),0)</f>
        <v>0</v>
      </c>
      <c r="H1183" s="10">
        <f>IFERROR(SUMIFS('Base bordo'!G$2:G$746,'Base bordo'!C$2:C$746,A1183,'Base bordo'!B$2:B$746,B1183,'Base bordo'!F$2:F$746,"AGUARDANDO TRANSBORDO"),0)</f>
        <v>0.61305555555555558</v>
      </c>
      <c r="I1183" s="10">
        <f>IFERROR(SUMIFS('Base bordo'!G$2:G$746,'Base bordo'!C$2:C$746,A1183,'Base bordo'!B$2:B$746,B1183,'Base bordo'!F$2:F$746,"PÁTIO INTERNO"),0)+IFERROR(SUMIFS('Base bordo'!G$2:G$746,'Base bordo'!C$2:C$746,A1183,'Base bordo'!B$2:B$746,B1183,'Base bordo'!F$2:F$746,"PÁTIO EXTERNO"),0)+IFERROR(SUMIFS('Base bordo'!G$2:G$746,'Base bordo'!C$2:C$746,A1183,'Base bordo'!B$2:B$746,B1183,'Base bordo'!F$2:F$746,"PATIO - RESERVA"),0)+IFERROR(SUMIFS('Base bordo'!G$2:G$746,'Base bordo'!C$2:C$746,A1183,'Base bordo'!B$2:B$746,B1183,'Base bordo'!F$2:F$746,"MANOBRA CARRETAS-PATIO"),0)</f>
        <v>4.3969444444444443</v>
      </c>
      <c r="J1183" s="10">
        <f>IFERROR(SUMIFS('Base bordo'!G$2:G$746,'Base bordo'!C$2:C$746,A1183,'Base bordo'!B$2:B$746,B1183,'Base bordo'!F$2:F$746,"BALANÇA - ENTRADA"),0)+IFERROR(SUMIFS('Base bordo'!G$2:G$746,'Base bordo'!C$2:C$746,A1183,'Base bordo'!B$2:B$746,B1183,'Base bordo'!F$2:F$746,"BALANÇA - SAÍDA"),0)</f>
        <v>0.3175</v>
      </c>
      <c r="K1183" s="10">
        <f>IFERROR(SUMIFS('Base bordo'!G$2:G$746,'Base bordo'!C$2:C$746,A1183,'Base bordo'!B$2:B$746,B1183,'Base bordo'!F$2:F$746,"MAN PREVENTIVA - MECANICA"),0)+IFERROR(SUMIFS('Base bordo'!G$2:G$746,'Base bordo'!C$2:C$746,A1183,'Base bordo'!B$2:B$746,B1183,'Base bordo'!F$2:F$746,"MAN CORRETIVA - MECANICA"),0)</f>
        <v>0</v>
      </c>
      <c r="L1183" s="10">
        <f>IFERROR(SUMIFS('Base bordo'!G$2:G$746,'Base bordo'!C$2:C$746,A1183,'Base bordo'!B$2:B$746,B1183,'Base bordo'!F$2:F$746,"MANUTENCAO - T O"),0)+IFERROR(SUMIFS('Base bordo'!G$2:G$746,'Base bordo'!C$2:C$746,A1183,'Base bordo'!B$2:B$746,B1183,'Base bordo'!F$2:F$746,"MANUTENCAO BORRACHARIA"),0)+IFERROR(SUMIFS('Base bordo'!G$2:G$746,'Base bordo'!C$2:C$746,A1183,'Base bordo'!B$2:B$746,B1183,'Base bordo'!F$2:F$746,"MANUTENCAO EXTERNA  CONCESSIONARIA"),0)+IFERROR(SUMIFS('Base bordo'!G$2:G$746,'Base bordo'!C$2:C$746,A1183,'Base bordo'!B$2:B$746,B1183,'Base bordo'!F$2:F$746,"MANUTENCAO TELEMETRIA"),0)</f>
        <v>0</v>
      </c>
      <c r="M1183" s="10">
        <f>IFERROR(SUMIFS('Base bordo'!G$2:G$746,'Base bordo'!C$2:C$746,A1183,'Base bordo'!B$2:B$746,B1183,'Base bordo'!F$2:F$746,"AGUARDANDO MANUTENCAO"),0)</f>
        <v>0</v>
      </c>
      <c r="N1183" s="10">
        <f>IFERROR(SUMIFS('Base bordo'!G$2:G$746,'Base bordo'!C$2:C$746,A1183,'Base bordo'!B$2:B$746,B1183,'Base bordo'!F$2:F$746,"SEM APONTAMENTO"),0)</f>
        <v>0</v>
      </c>
      <c r="O1183" s="10">
        <f t="shared" si="120"/>
        <v>1.7763568394002505E-15</v>
      </c>
      <c r="P1183" s="10">
        <f>IFERROR(SUMIFS('Base bordo'!G$2:G$746,'Base bordo'!C$2:C$746,A1183,'Base bordo'!B$2:B$746,B1183),0)</f>
        <v>9.9952777777777797</v>
      </c>
      <c r="Q1183" s="10">
        <f>IFERROR(SUMIFS('Base bordo'!H$2:H$746,'Base bordo'!C$2:C$746,A1183,'Base bordo'!B$2:B$746,B1183,'Base bordo'!F$2:F$746,"DESLOCAMENTO VAZIO"),0)</f>
        <v>281004.56</v>
      </c>
      <c r="R1183" s="10">
        <f>IFERROR(SUMIFS('Base bordo'!I$2:I$746,'Base bordo'!C$2:C$746,A1183,'Base bordo'!B$2:B$746,B1183,'Base bordo'!F$2:F$746,"DESLOCAMENTO VAZIO"),0)</f>
        <v>9965</v>
      </c>
      <c r="S1183" s="30">
        <f t="shared" si="121"/>
        <v>28.199153035624686</v>
      </c>
      <c r="T1183" s="10">
        <f>IFERROR(SUMIFS('Base bordo'!H$2:H$746,'Base bordo'!C$2:C$746,A1183,'Base bordo'!B$2:B$746,B1183,'Base bordo'!F$2:F$746,"DESLOCAMENTO CARREGADO"),0)</f>
        <v>117740.31000000001</v>
      </c>
      <c r="U1183" s="10">
        <f>IFERROR(SUMIFS('Base bordo'!I$2:I$746,'Base bordo'!C$2:C$746,A1183,'Base bordo'!B$2:B$746,B1183,'Base bordo'!F$2:F$746,"DESLOCAMENTO CARREGADO"),0)</f>
        <v>6839</v>
      </c>
      <c r="V1183" s="30">
        <f t="shared" si="122"/>
        <v>17.216012574937857</v>
      </c>
      <c r="W1183" s="9">
        <f t="shared" si="123"/>
        <v>0.27693633104521576</v>
      </c>
      <c r="X1183" s="9">
        <f t="shared" si="124"/>
        <v>0.19006197370980737</v>
      </c>
      <c r="Y1183" s="9">
        <f t="shared" si="125"/>
        <v>0.53300169524497676</v>
      </c>
    </row>
    <row r="1184" spans="1:25" ht="15" customHeight="1" x14ac:dyDescent="0.35">
      <c r="A1184" s="52">
        <v>8013461</v>
      </c>
      <c r="B1184" s="51">
        <v>46124</v>
      </c>
      <c r="C1184" s="7" t="s">
        <v>124</v>
      </c>
      <c r="D1184" s="10">
        <f>IFERROR(SUMIFS('Base bordo'!G$2:G$746,'Base bordo'!C$2:C$746,A1184,'Base bordo'!B$2:B$746,B1184,'Base bordo'!F$2:F$746,"DESLOCAMENTO VAZIO"),0)</f>
        <v>2.7680555555555557</v>
      </c>
      <c r="E1184" s="10">
        <f>IFERROR(SUMIFS('Base bordo'!G$2:G$746,'Base bordo'!C$2:C$746,A1184,'Base bordo'!B$2:B$746,B1184,'Base bordo'!F$2:F$746,"DESLOCAMENTO CARREGADO"),0)</f>
        <v>1.8997222222222223</v>
      </c>
      <c r="F1184" s="10">
        <f>IFERROR(SUMIFS('Base bordo'!G$2:G$746,'Base bordo'!C$2:C$746,A1184,'Base bordo'!B$2:B$746,B1184,'Base bordo'!F$2:F$746,"DESLOCAMENTO"),0)</f>
        <v>0</v>
      </c>
      <c r="G1184" s="10">
        <f>IFERROR(SUMIFS('Base bordo'!G$2:G$746,'Base bordo'!C$2:C$746,A1184,'Base bordo'!B$2:B$746,B1184,'Base bordo'!F$2:F$746,"CARREGAMENTO"),0)</f>
        <v>0</v>
      </c>
      <c r="H1184" s="10">
        <f>IFERROR(SUMIFS('Base bordo'!G$2:G$746,'Base bordo'!C$2:C$746,A1184,'Base bordo'!B$2:B$746,B1184,'Base bordo'!F$2:F$746,"AGUARDANDO TRANSBORDO"),0)</f>
        <v>0.61305555555555558</v>
      </c>
      <c r="I1184" s="10">
        <f>IFERROR(SUMIFS('Base bordo'!G$2:G$746,'Base bordo'!C$2:C$746,A1184,'Base bordo'!B$2:B$746,B1184,'Base bordo'!F$2:F$746,"PÁTIO INTERNO"),0)+IFERROR(SUMIFS('Base bordo'!G$2:G$746,'Base bordo'!C$2:C$746,A1184,'Base bordo'!B$2:B$746,B1184,'Base bordo'!F$2:F$746,"PÁTIO EXTERNO"),0)+IFERROR(SUMIFS('Base bordo'!G$2:G$746,'Base bordo'!C$2:C$746,A1184,'Base bordo'!B$2:B$746,B1184,'Base bordo'!F$2:F$746,"PATIO - RESERVA"),0)+IFERROR(SUMIFS('Base bordo'!G$2:G$746,'Base bordo'!C$2:C$746,A1184,'Base bordo'!B$2:B$746,B1184,'Base bordo'!F$2:F$746,"MANOBRA CARRETAS-PATIO"),0)</f>
        <v>4.3969444444444443</v>
      </c>
      <c r="J1184" s="10">
        <f>IFERROR(SUMIFS('Base bordo'!G$2:G$746,'Base bordo'!C$2:C$746,A1184,'Base bordo'!B$2:B$746,B1184,'Base bordo'!F$2:F$746,"BALANÇA - ENTRADA"),0)+IFERROR(SUMIFS('Base bordo'!G$2:G$746,'Base bordo'!C$2:C$746,A1184,'Base bordo'!B$2:B$746,B1184,'Base bordo'!F$2:F$746,"BALANÇA - SAÍDA"),0)</f>
        <v>0.3175</v>
      </c>
      <c r="K1184" s="10">
        <f>IFERROR(SUMIFS('Base bordo'!G$2:G$746,'Base bordo'!C$2:C$746,A1184,'Base bordo'!B$2:B$746,B1184,'Base bordo'!F$2:F$746,"MAN PREVENTIVA - MECANICA"),0)+IFERROR(SUMIFS('Base bordo'!G$2:G$746,'Base bordo'!C$2:C$746,A1184,'Base bordo'!B$2:B$746,B1184,'Base bordo'!F$2:F$746,"MAN CORRETIVA - MECANICA"),0)</f>
        <v>0</v>
      </c>
      <c r="L1184" s="10">
        <f>IFERROR(SUMIFS('Base bordo'!G$2:G$746,'Base bordo'!C$2:C$746,A1184,'Base bordo'!B$2:B$746,B1184,'Base bordo'!F$2:F$746,"MANUTENCAO - T O"),0)+IFERROR(SUMIFS('Base bordo'!G$2:G$746,'Base bordo'!C$2:C$746,A1184,'Base bordo'!B$2:B$746,B1184,'Base bordo'!F$2:F$746,"MANUTENCAO BORRACHARIA"),0)+IFERROR(SUMIFS('Base bordo'!G$2:G$746,'Base bordo'!C$2:C$746,A1184,'Base bordo'!B$2:B$746,B1184,'Base bordo'!F$2:F$746,"MANUTENCAO EXTERNA  CONCESSIONARIA"),0)+IFERROR(SUMIFS('Base bordo'!G$2:G$746,'Base bordo'!C$2:C$746,A1184,'Base bordo'!B$2:B$746,B1184,'Base bordo'!F$2:F$746,"MANUTENCAO TELEMETRIA"),0)</f>
        <v>0</v>
      </c>
      <c r="M1184" s="10">
        <f>IFERROR(SUMIFS('Base bordo'!G$2:G$746,'Base bordo'!C$2:C$746,A1184,'Base bordo'!B$2:B$746,B1184,'Base bordo'!F$2:F$746,"AGUARDANDO MANUTENCAO"),0)</f>
        <v>0</v>
      </c>
      <c r="N1184" s="10">
        <f>IFERROR(SUMIFS('Base bordo'!G$2:G$746,'Base bordo'!C$2:C$746,A1184,'Base bordo'!B$2:B$746,B1184,'Base bordo'!F$2:F$746,"SEM APONTAMENTO"),0)</f>
        <v>0</v>
      </c>
      <c r="O1184" s="10">
        <f t="shared" si="120"/>
        <v>1.7763568394002505E-15</v>
      </c>
      <c r="P1184" s="10">
        <f>IFERROR(SUMIFS('Base bordo'!G$2:G$746,'Base bordo'!C$2:C$746,A1184,'Base bordo'!B$2:B$746,B1184),0)</f>
        <v>9.9952777777777797</v>
      </c>
      <c r="Q1184" s="10">
        <f>IFERROR(SUMIFS('Base bordo'!H$2:H$746,'Base bordo'!C$2:C$746,A1184,'Base bordo'!B$2:B$746,B1184,'Base bordo'!F$2:F$746,"DESLOCAMENTO VAZIO"),0)</f>
        <v>281004.56</v>
      </c>
      <c r="R1184" s="10">
        <f>IFERROR(SUMIFS('Base bordo'!I$2:I$746,'Base bordo'!C$2:C$746,A1184,'Base bordo'!B$2:B$746,B1184,'Base bordo'!F$2:F$746,"DESLOCAMENTO VAZIO"),0)</f>
        <v>9965</v>
      </c>
      <c r="S1184" s="30">
        <f t="shared" si="121"/>
        <v>28.199153035624686</v>
      </c>
      <c r="T1184" s="10">
        <f>IFERROR(SUMIFS('Base bordo'!H$2:H$746,'Base bordo'!C$2:C$746,A1184,'Base bordo'!B$2:B$746,B1184,'Base bordo'!F$2:F$746,"DESLOCAMENTO CARREGADO"),0)</f>
        <v>117740.31000000001</v>
      </c>
      <c r="U1184" s="10">
        <f>IFERROR(SUMIFS('Base bordo'!I$2:I$746,'Base bordo'!C$2:C$746,A1184,'Base bordo'!B$2:B$746,B1184,'Base bordo'!F$2:F$746,"DESLOCAMENTO CARREGADO"),0)</f>
        <v>6839</v>
      </c>
      <c r="V1184" s="30">
        <f t="shared" si="122"/>
        <v>17.216012574937857</v>
      </c>
      <c r="W1184" s="9">
        <f t="shared" si="123"/>
        <v>0.27693633104521576</v>
      </c>
      <c r="X1184" s="9">
        <f t="shared" si="124"/>
        <v>0.19006197370980737</v>
      </c>
      <c r="Y1184" s="9">
        <f t="shared" si="125"/>
        <v>0.53300169524497676</v>
      </c>
    </row>
    <row r="1185" spans="1:25" ht="15" customHeight="1" x14ac:dyDescent="0.35">
      <c r="A1185" s="52">
        <v>8013461</v>
      </c>
      <c r="B1185" s="51">
        <v>46124</v>
      </c>
      <c r="C1185" s="7" t="s">
        <v>124</v>
      </c>
      <c r="D1185" s="10">
        <f>IFERROR(SUMIFS('Base bordo'!G$2:G$746,'Base bordo'!C$2:C$746,A1185,'Base bordo'!B$2:B$746,B1185,'Base bordo'!F$2:F$746,"DESLOCAMENTO VAZIO"),0)</f>
        <v>2.7680555555555557</v>
      </c>
      <c r="E1185" s="10">
        <f>IFERROR(SUMIFS('Base bordo'!G$2:G$746,'Base bordo'!C$2:C$746,A1185,'Base bordo'!B$2:B$746,B1185,'Base bordo'!F$2:F$746,"DESLOCAMENTO CARREGADO"),0)</f>
        <v>1.8997222222222223</v>
      </c>
      <c r="F1185" s="10">
        <f>IFERROR(SUMIFS('Base bordo'!G$2:G$746,'Base bordo'!C$2:C$746,A1185,'Base bordo'!B$2:B$746,B1185,'Base bordo'!F$2:F$746,"DESLOCAMENTO"),0)</f>
        <v>0</v>
      </c>
      <c r="G1185" s="10">
        <f>IFERROR(SUMIFS('Base bordo'!G$2:G$746,'Base bordo'!C$2:C$746,A1185,'Base bordo'!B$2:B$746,B1185,'Base bordo'!F$2:F$746,"CARREGAMENTO"),0)</f>
        <v>0</v>
      </c>
      <c r="H1185" s="10">
        <f>IFERROR(SUMIFS('Base bordo'!G$2:G$746,'Base bordo'!C$2:C$746,A1185,'Base bordo'!B$2:B$746,B1185,'Base bordo'!F$2:F$746,"AGUARDANDO TRANSBORDO"),0)</f>
        <v>0.61305555555555558</v>
      </c>
      <c r="I1185" s="10">
        <f>IFERROR(SUMIFS('Base bordo'!G$2:G$746,'Base bordo'!C$2:C$746,A1185,'Base bordo'!B$2:B$746,B1185,'Base bordo'!F$2:F$746,"PÁTIO INTERNO"),0)+IFERROR(SUMIFS('Base bordo'!G$2:G$746,'Base bordo'!C$2:C$746,A1185,'Base bordo'!B$2:B$746,B1185,'Base bordo'!F$2:F$746,"PÁTIO EXTERNO"),0)+IFERROR(SUMIFS('Base bordo'!G$2:G$746,'Base bordo'!C$2:C$746,A1185,'Base bordo'!B$2:B$746,B1185,'Base bordo'!F$2:F$746,"PATIO - RESERVA"),0)+IFERROR(SUMIFS('Base bordo'!G$2:G$746,'Base bordo'!C$2:C$746,A1185,'Base bordo'!B$2:B$746,B1185,'Base bordo'!F$2:F$746,"MANOBRA CARRETAS-PATIO"),0)</f>
        <v>4.3969444444444443</v>
      </c>
      <c r="J1185" s="10">
        <f>IFERROR(SUMIFS('Base bordo'!G$2:G$746,'Base bordo'!C$2:C$746,A1185,'Base bordo'!B$2:B$746,B1185,'Base bordo'!F$2:F$746,"BALANÇA - ENTRADA"),0)+IFERROR(SUMIFS('Base bordo'!G$2:G$746,'Base bordo'!C$2:C$746,A1185,'Base bordo'!B$2:B$746,B1185,'Base bordo'!F$2:F$746,"BALANÇA - SAÍDA"),0)</f>
        <v>0.3175</v>
      </c>
      <c r="K1185" s="10">
        <f>IFERROR(SUMIFS('Base bordo'!G$2:G$746,'Base bordo'!C$2:C$746,A1185,'Base bordo'!B$2:B$746,B1185,'Base bordo'!F$2:F$746,"MAN PREVENTIVA - MECANICA"),0)+IFERROR(SUMIFS('Base bordo'!G$2:G$746,'Base bordo'!C$2:C$746,A1185,'Base bordo'!B$2:B$746,B1185,'Base bordo'!F$2:F$746,"MAN CORRETIVA - MECANICA"),0)</f>
        <v>0</v>
      </c>
      <c r="L1185" s="10">
        <f>IFERROR(SUMIFS('Base bordo'!G$2:G$746,'Base bordo'!C$2:C$746,A1185,'Base bordo'!B$2:B$746,B1185,'Base bordo'!F$2:F$746,"MANUTENCAO - T O"),0)+IFERROR(SUMIFS('Base bordo'!G$2:G$746,'Base bordo'!C$2:C$746,A1185,'Base bordo'!B$2:B$746,B1185,'Base bordo'!F$2:F$746,"MANUTENCAO BORRACHARIA"),0)+IFERROR(SUMIFS('Base bordo'!G$2:G$746,'Base bordo'!C$2:C$746,A1185,'Base bordo'!B$2:B$746,B1185,'Base bordo'!F$2:F$746,"MANUTENCAO EXTERNA  CONCESSIONARIA"),0)+IFERROR(SUMIFS('Base bordo'!G$2:G$746,'Base bordo'!C$2:C$746,A1185,'Base bordo'!B$2:B$746,B1185,'Base bordo'!F$2:F$746,"MANUTENCAO TELEMETRIA"),0)</f>
        <v>0</v>
      </c>
      <c r="M1185" s="10">
        <f>IFERROR(SUMIFS('Base bordo'!G$2:G$746,'Base bordo'!C$2:C$746,A1185,'Base bordo'!B$2:B$746,B1185,'Base bordo'!F$2:F$746,"AGUARDANDO MANUTENCAO"),0)</f>
        <v>0</v>
      </c>
      <c r="N1185" s="10">
        <f>IFERROR(SUMIFS('Base bordo'!G$2:G$746,'Base bordo'!C$2:C$746,A1185,'Base bordo'!B$2:B$746,B1185,'Base bordo'!F$2:F$746,"SEM APONTAMENTO"),0)</f>
        <v>0</v>
      </c>
      <c r="O1185" s="10">
        <f t="shared" si="120"/>
        <v>1.7763568394002505E-15</v>
      </c>
      <c r="P1185" s="10">
        <f>IFERROR(SUMIFS('Base bordo'!G$2:G$746,'Base bordo'!C$2:C$746,A1185,'Base bordo'!B$2:B$746,B1185),0)</f>
        <v>9.9952777777777797</v>
      </c>
      <c r="Q1185" s="10">
        <f>IFERROR(SUMIFS('Base bordo'!H$2:H$746,'Base bordo'!C$2:C$746,A1185,'Base bordo'!B$2:B$746,B1185,'Base bordo'!F$2:F$746,"DESLOCAMENTO VAZIO"),0)</f>
        <v>281004.56</v>
      </c>
      <c r="R1185" s="10">
        <f>IFERROR(SUMIFS('Base bordo'!I$2:I$746,'Base bordo'!C$2:C$746,A1185,'Base bordo'!B$2:B$746,B1185,'Base bordo'!F$2:F$746,"DESLOCAMENTO VAZIO"),0)</f>
        <v>9965</v>
      </c>
      <c r="S1185" s="30">
        <f t="shared" si="121"/>
        <v>28.199153035624686</v>
      </c>
      <c r="T1185" s="10">
        <f>IFERROR(SUMIFS('Base bordo'!H$2:H$746,'Base bordo'!C$2:C$746,A1185,'Base bordo'!B$2:B$746,B1185,'Base bordo'!F$2:F$746,"DESLOCAMENTO CARREGADO"),0)</f>
        <v>117740.31000000001</v>
      </c>
      <c r="U1185" s="10">
        <f>IFERROR(SUMIFS('Base bordo'!I$2:I$746,'Base bordo'!C$2:C$746,A1185,'Base bordo'!B$2:B$746,B1185,'Base bordo'!F$2:F$746,"DESLOCAMENTO CARREGADO"),0)</f>
        <v>6839</v>
      </c>
      <c r="V1185" s="30">
        <f t="shared" si="122"/>
        <v>17.216012574937857</v>
      </c>
      <c r="W1185" s="9">
        <f t="shared" si="123"/>
        <v>0.27693633104521576</v>
      </c>
      <c r="X1185" s="9">
        <f t="shared" si="124"/>
        <v>0.19006197370980737</v>
      </c>
      <c r="Y1185" s="9">
        <f t="shared" si="125"/>
        <v>0.53300169524497676</v>
      </c>
    </row>
    <row r="1186" spans="1:25" ht="15" customHeight="1" x14ac:dyDescent="0.35">
      <c r="A1186" s="52">
        <v>8013461</v>
      </c>
      <c r="B1186" s="51">
        <v>46124</v>
      </c>
      <c r="C1186" s="7" t="s">
        <v>124</v>
      </c>
      <c r="D1186" s="10">
        <f>IFERROR(SUMIFS('Base bordo'!G$2:G$746,'Base bordo'!C$2:C$746,A1186,'Base bordo'!B$2:B$746,B1186,'Base bordo'!F$2:F$746,"DESLOCAMENTO VAZIO"),0)</f>
        <v>2.7680555555555557</v>
      </c>
      <c r="E1186" s="10">
        <f>IFERROR(SUMIFS('Base bordo'!G$2:G$746,'Base bordo'!C$2:C$746,A1186,'Base bordo'!B$2:B$746,B1186,'Base bordo'!F$2:F$746,"DESLOCAMENTO CARREGADO"),0)</f>
        <v>1.8997222222222223</v>
      </c>
      <c r="F1186" s="10">
        <f>IFERROR(SUMIFS('Base bordo'!G$2:G$746,'Base bordo'!C$2:C$746,A1186,'Base bordo'!B$2:B$746,B1186,'Base bordo'!F$2:F$746,"DESLOCAMENTO"),0)</f>
        <v>0</v>
      </c>
      <c r="G1186" s="10">
        <f>IFERROR(SUMIFS('Base bordo'!G$2:G$746,'Base bordo'!C$2:C$746,A1186,'Base bordo'!B$2:B$746,B1186,'Base bordo'!F$2:F$746,"CARREGAMENTO"),0)</f>
        <v>0</v>
      </c>
      <c r="H1186" s="10">
        <f>IFERROR(SUMIFS('Base bordo'!G$2:G$746,'Base bordo'!C$2:C$746,A1186,'Base bordo'!B$2:B$746,B1186,'Base bordo'!F$2:F$746,"AGUARDANDO TRANSBORDO"),0)</f>
        <v>0.61305555555555558</v>
      </c>
      <c r="I1186" s="10">
        <f>IFERROR(SUMIFS('Base bordo'!G$2:G$746,'Base bordo'!C$2:C$746,A1186,'Base bordo'!B$2:B$746,B1186,'Base bordo'!F$2:F$746,"PÁTIO INTERNO"),0)+IFERROR(SUMIFS('Base bordo'!G$2:G$746,'Base bordo'!C$2:C$746,A1186,'Base bordo'!B$2:B$746,B1186,'Base bordo'!F$2:F$746,"PÁTIO EXTERNO"),0)+IFERROR(SUMIFS('Base bordo'!G$2:G$746,'Base bordo'!C$2:C$746,A1186,'Base bordo'!B$2:B$746,B1186,'Base bordo'!F$2:F$746,"PATIO - RESERVA"),0)+IFERROR(SUMIFS('Base bordo'!G$2:G$746,'Base bordo'!C$2:C$746,A1186,'Base bordo'!B$2:B$746,B1186,'Base bordo'!F$2:F$746,"MANOBRA CARRETAS-PATIO"),0)</f>
        <v>4.3969444444444443</v>
      </c>
      <c r="J1186" s="10">
        <f>IFERROR(SUMIFS('Base bordo'!G$2:G$746,'Base bordo'!C$2:C$746,A1186,'Base bordo'!B$2:B$746,B1186,'Base bordo'!F$2:F$746,"BALANÇA - ENTRADA"),0)+IFERROR(SUMIFS('Base bordo'!G$2:G$746,'Base bordo'!C$2:C$746,A1186,'Base bordo'!B$2:B$746,B1186,'Base bordo'!F$2:F$746,"BALANÇA - SAÍDA"),0)</f>
        <v>0.3175</v>
      </c>
      <c r="K1186" s="10">
        <f>IFERROR(SUMIFS('Base bordo'!G$2:G$746,'Base bordo'!C$2:C$746,A1186,'Base bordo'!B$2:B$746,B1186,'Base bordo'!F$2:F$746,"MAN PREVENTIVA - MECANICA"),0)+IFERROR(SUMIFS('Base bordo'!G$2:G$746,'Base bordo'!C$2:C$746,A1186,'Base bordo'!B$2:B$746,B1186,'Base bordo'!F$2:F$746,"MAN CORRETIVA - MECANICA"),0)</f>
        <v>0</v>
      </c>
      <c r="L1186" s="10">
        <f>IFERROR(SUMIFS('Base bordo'!G$2:G$746,'Base bordo'!C$2:C$746,A1186,'Base bordo'!B$2:B$746,B1186,'Base bordo'!F$2:F$746,"MANUTENCAO - T O"),0)+IFERROR(SUMIFS('Base bordo'!G$2:G$746,'Base bordo'!C$2:C$746,A1186,'Base bordo'!B$2:B$746,B1186,'Base bordo'!F$2:F$746,"MANUTENCAO BORRACHARIA"),0)+IFERROR(SUMIFS('Base bordo'!G$2:G$746,'Base bordo'!C$2:C$746,A1186,'Base bordo'!B$2:B$746,B1186,'Base bordo'!F$2:F$746,"MANUTENCAO EXTERNA  CONCESSIONARIA"),0)+IFERROR(SUMIFS('Base bordo'!G$2:G$746,'Base bordo'!C$2:C$746,A1186,'Base bordo'!B$2:B$746,B1186,'Base bordo'!F$2:F$746,"MANUTENCAO TELEMETRIA"),0)</f>
        <v>0</v>
      </c>
      <c r="M1186" s="10">
        <f>IFERROR(SUMIFS('Base bordo'!G$2:G$746,'Base bordo'!C$2:C$746,A1186,'Base bordo'!B$2:B$746,B1186,'Base bordo'!F$2:F$746,"AGUARDANDO MANUTENCAO"),0)</f>
        <v>0</v>
      </c>
      <c r="N1186" s="10">
        <f>IFERROR(SUMIFS('Base bordo'!G$2:G$746,'Base bordo'!C$2:C$746,A1186,'Base bordo'!B$2:B$746,B1186,'Base bordo'!F$2:F$746,"SEM APONTAMENTO"),0)</f>
        <v>0</v>
      </c>
      <c r="O1186" s="10">
        <f t="shared" si="120"/>
        <v>1.7763568394002505E-15</v>
      </c>
      <c r="P1186" s="10">
        <f>IFERROR(SUMIFS('Base bordo'!G$2:G$746,'Base bordo'!C$2:C$746,A1186,'Base bordo'!B$2:B$746,B1186),0)</f>
        <v>9.9952777777777797</v>
      </c>
      <c r="Q1186" s="10">
        <f>IFERROR(SUMIFS('Base bordo'!H$2:H$746,'Base bordo'!C$2:C$746,A1186,'Base bordo'!B$2:B$746,B1186,'Base bordo'!F$2:F$746,"DESLOCAMENTO VAZIO"),0)</f>
        <v>281004.56</v>
      </c>
      <c r="R1186" s="10">
        <f>IFERROR(SUMIFS('Base bordo'!I$2:I$746,'Base bordo'!C$2:C$746,A1186,'Base bordo'!B$2:B$746,B1186,'Base bordo'!F$2:F$746,"DESLOCAMENTO VAZIO"),0)</f>
        <v>9965</v>
      </c>
      <c r="S1186" s="30">
        <f t="shared" si="121"/>
        <v>28.199153035624686</v>
      </c>
      <c r="T1186" s="10">
        <f>IFERROR(SUMIFS('Base bordo'!H$2:H$746,'Base bordo'!C$2:C$746,A1186,'Base bordo'!B$2:B$746,B1186,'Base bordo'!F$2:F$746,"DESLOCAMENTO CARREGADO"),0)</f>
        <v>117740.31000000001</v>
      </c>
      <c r="U1186" s="10">
        <f>IFERROR(SUMIFS('Base bordo'!I$2:I$746,'Base bordo'!C$2:C$746,A1186,'Base bordo'!B$2:B$746,B1186,'Base bordo'!F$2:F$746,"DESLOCAMENTO CARREGADO"),0)</f>
        <v>6839</v>
      </c>
      <c r="V1186" s="30">
        <f t="shared" si="122"/>
        <v>17.216012574937857</v>
      </c>
      <c r="W1186" s="9">
        <f t="shared" si="123"/>
        <v>0.27693633104521576</v>
      </c>
      <c r="X1186" s="9">
        <f t="shared" si="124"/>
        <v>0.19006197370980737</v>
      </c>
      <c r="Y1186" s="9">
        <f t="shared" si="125"/>
        <v>0.53300169524497676</v>
      </c>
    </row>
    <row r="1187" spans="1:25" ht="15" customHeight="1" x14ac:dyDescent="0.35">
      <c r="A1187" s="52">
        <v>8013461</v>
      </c>
      <c r="B1187" s="51">
        <v>46124</v>
      </c>
      <c r="C1187" s="7" t="s">
        <v>124</v>
      </c>
      <c r="D1187" s="10">
        <f>IFERROR(SUMIFS('Base bordo'!G$2:G$746,'Base bordo'!C$2:C$746,A1187,'Base bordo'!B$2:B$746,B1187,'Base bordo'!F$2:F$746,"DESLOCAMENTO VAZIO"),0)</f>
        <v>2.7680555555555557</v>
      </c>
      <c r="E1187" s="10">
        <f>IFERROR(SUMIFS('Base bordo'!G$2:G$746,'Base bordo'!C$2:C$746,A1187,'Base bordo'!B$2:B$746,B1187,'Base bordo'!F$2:F$746,"DESLOCAMENTO CARREGADO"),0)</f>
        <v>1.8997222222222223</v>
      </c>
      <c r="F1187" s="10">
        <f>IFERROR(SUMIFS('Base bordo'!G$2:G$746,'Base bordo'!C$2:C$746,A1187,'Base bordo'!B$2:B$746,B1187,'Base bordo'!F$2:F$746,"DESLOCAMENTO"),0)</f>
        <v>0</v>
      </c>
      <c r="G1187" s="10">
        <f>IFERROR(SUMIFS('Base bordo'!G$2:G$746,'Base bordo'!C$2:C$746,A1187,'Base bordo'!B$2:B$746,B1187,'Base bordo'!F$2:F$746,"CARREGAMENTO"),0)</f>
        <v>0</v>
      </c>
      <c r="H1187" s="10">
        <f>IFERROR(SUMIFS('Base bordo'!G$2:G$746,'Base bordo'!C$2:C$746,A1187,'Base bordo'!B$2:B$746,B1187,'Base bordo'!F$2:F$746,"AGUARDANDO TRANSBORDO"),0)</f>
        <v>0.61305555555555558</v>
      </c>
      <c r="I1187" s="10">
        <f>IFERROR(SUMIFS('Base bordo'!G$2:G$746,'Base bordo'!C$2:C$746,A1187,'Base bordo'!B$2:B$746,B1187,'Base bordo'!F$2:F$746,"PÁTIO INTERNO"),0)+IFERROR(SUMIFS('Base bordo'!G$2:G$746,'Base bordo'!C$2:C$746,A1187,'Base bordo'!B$2:B$746,B1187,'Base bordo'!F$2:F$746,"PÁTIO EXTERNO"),0)+IFERROR(SUMIFS('Base bordo'!G$2:G$746,'Base bordo'!C$2:C$746,A1187,'Base bordo'!B$2:B$746,B1187,'Base bordo'!F$2:F$746,"PATIO - RESERVA"),0)+IFERROR(SUMIFS('Base bordo'!G$2:G$746,'Base bordo'!C$2:C$746,A1187,'Base bordo'!B$2:B$746,B1187,'Base bordo'!F$2:F$746,"MANOBRA CARRETAS-PATIO"),0)</f>
        <v>4.3969444444444443</v>
      </c>
      <c r="J1187" s="10">
        <f>IFERROR(SUMIFS('Base bordo'!G$2:G$746,'Base bordo'!C$2:C$746,A1187,'Base bordo'!B$2:B$746,B1187,'Base bordo'!F$2:F$746,"BALANÇA - ENTRADA"),0)+IFERROR(SUMIFS('Base bordo'!G$2:G$746,'Base bordo'!C$2:C$746,A1187,'Base bordo'!B$2:B$746,B1187,'Base bordo'!F$2:F$746,"BALANÇA - SAÍDA"),0)</f>
        <v>0.3175</v>
      </c>
      <c r="K1187" s="10">
        <f>IFERROR(SUMIFS('Base bordo'!G$2:G$746,'Base bordo'!C$2:C$746,A1187,'Base bordo'!B$2:B$746,B1187,'Base bordo'!F$2:F$746,"MAN PREVENTIVA - MECANICA"),0)+IFERROR(SUMIFS('Base bordo'!G$2:G$746,'Base bordo'!C$2:C$746,A1187,'Base bordo'!B$2:B$746,B1187,'Base bordo'!F$2:F$746,"MAN CORRETIVA - MECANICA"),0)</f>
        <v>0</v>
      </c>
      <c r="L1187" s="10">
        <f>IFERROR(SUMIFS('Base bordo'!G$2:G$746,'Base bordo'!C$2:C$746,A1187,'Base bordo'!B$2:B$746,B1187,'Base bordo'!F$2:F$746,"MANUTENCAO - T O"),0)+IFERROR(SUMIFS('Base bordo'!G$2:G$746,'Base bordo'!C$2:C$746,A1187,'Base bordo'!B$2:B$746,B1187,'Base bordo'!F$2:F$746,"MANUTENCAO BORRACHARIA"),0)+IFERROR(SUMIFS('Base bordo'!G$2:G$746,'Base bordo'!C$2:C$746,A1187,'Base bordo'!B$2:B$746,B1187,'Base bordo'!F$2:F$746,"MANUTENCAO EXTERNA  CONCESSIONARIA"),0)+IFERROR(SUMIFS('Base bordo'!G$2:G$746,'Base bordo'!C$2:C$746,A1187,'Base bordo'!B$2:B$746,B1187,'Base bordo'!F$2:F$746,"MANUTENCAO TELEMETRIA"),0)</f>
        <v>0</v>
      </c>
      <c r="M1187" s="10">
        <f>IFERROR(SUMIFS('Base bordo'!G$2:G$746,'Base bordo'!C$2:C$746,A1187,'Base bordo'!B$2:B$746,B1187,'Base bordo'!F$2:F$746,"AGUARDANDO MANUTENCAO"),0)</f>
        <v>0</v>
      </c>
      <c r="N1187" s="10">
        <f>IFERROR(SUMIFS('Base bordo'!G$2:G$746,'Base bordo'!C$2:C$746,A1187,'Base bordo'!B$2:B$746,B1187,'Base bordo'!F$2:F$746,"SEM APONTAMENTO"),0)</f>
        <v>0</v>
      </c>
      <c r="O1187" s="10">
        <f t="shared" si="120"/>
        <v>1.7763568394002505E-15</v>
      </c>
      <c r="P1187" s="10">
        <f>IFERROR(SUMIFS('Base bordo'!G$2:G$746,'Base bordo'!C$2:C$746,A1187,'Base bordo'!B$2:B$746,B1187),0)</f>
        <v>9.9952777777777797</v>
      </c>
      <c r="Q1187" s="10">
        <f>IFERROR(SUMIFS('Base bordo'!H$2:H$746,'Base bordo'!C$2:C$746,A1187,'Base bordo'!B$2:B$746,B1187,'Base bordo'!F$2:F$746,"DESLOCAMENTO VAZIO"),0)</f>
        <v>281004.56</v>
      </c>
      <c r="R1187" s="10">
        <f>IFERROR(SUMIFS('Base bordo'!I$2:I$746,'Base bordo'!C$2:C$746,A1187,'Base bordo'!B$2:B$746,B1187,'Base bordo'!F$2:F$746,"DESLOCAMENTO VAZIO"),0)</f>
        <v>9965</v>
      </c>
      <c r="S1187" s="30">
        <f t="shared" si="121"/>
        <v>28.199153035624686</v>
      </c>
      <c r="T1187" s="10">
        <f>IFERROR(SUMIFS('Base bordo'!H$2:H$746,'Base bordo'!C$2:C$746,A1187,'Base bordo'!B$2:B$746,B1187,'Base bordo'!F$2:F$746,"DESLOCAMENTO CARREGADO"),0)</f>
        <v>117740.31000000001</v>
      </c>
      <c r="U1187" s="10">
        <f>IFERROR(SUMIFS('Base bordo'!I$2:I$746,'Base bordo'!C$2:C$746,A1187,'Base bordo'!B$2:B$746,B1187,'Base bordo'!F$2:F$746,"DESLOCAMENTO CARREGADO"),0)</f>
        <v>6839</v>
      </c>
      <c r="V1187" s="30">
        <f t="shared" si="122"/>
        <v>17.216012574937857</v>
      </c>
      <c r="W1187" s="9">
        <f t="shared" si="123"/>
        <v>0.27693633104521576</v>
      </c>
      <c r="X1187" s="9">
        <f t="shared" si="124"/>
        <v>0.19006197370980737</v>
      </c>
      <c r="Y1187" s="9">
        <f t="shared" si="125"/>
        <v>0.53300169524497676</v>
      </c>
    </row>
    <row r="1188" spans="1:25" ht="15" customHeight="1" x14ac:dyDescent="0.35">
      <c r="A1188" s="52">
        <v>8013461</v>
      </c>
      <c r="B1188" s="51">
        <v>46124</v>
      </c>
      <c r="C1188" s="7" t="s">
        <v>124</v>
      </c>
      <c r="D1188" s="10">
        <f>IFERROR(SUMIFS('Base bordo'!G$2:G$746,'Base bordo'!C$2:C$746,A1188,'Base bordo'!B$2:B$746,B1188,'Base bordo'!F$2:F$746,"DESLOCAMENTO VAZIO"),0)</f>
        <v>2.7680555555555557</v>
      </c>
      <c r="E1188" s="10">
        <f>IFERROR(SUMIFS('Base bordo'!G$2:G$746,'Base bordo'!C$2:C$746,A1188,'Base bordo'!B$2:B$746,B1188,'Base bordo'!F$2:F$746,"DESLOCAMENTO CARREGADO"),0)</f>
        <v>1.8997222222222223</v>
      </c>
      <c r="F1188" s="10">
        <f>IFERROR(SUMIFS('Base bordo'!G$2:G$746,'Base bordo'!C$2:C$746,A1188,'Base bordo'!B$2:B$746,B1188,'Base bordo'!F$2:F$746,"DESLOCAMENTO"),0)</f>
        <v>0</v>
      </c>
      <c r="G1188" s="10">
        <f>IFERROR(SUMIFS('Base bordo'!G$2:G$746,'Base bordo'!C$2:C$746,A1188,'Base bordo'!B$2:B$746,B1188,'Base bordo'!F$2:F$746,"CARREGAMENTO"),0)</f>
        <v>0</v>
      </c>
      <c r="H1188" s="10">
        <f>IFERROR(SUMIFS('Base bordo'!G$2:G$746,'Base bordo'!C$2:C$746,A1188,'Base bordo'!B$2:B$746,B1188,'Base bordo'!F$2:F$746,"AGUARDANDO TRANSBORDO"),0)</f>
        <v>0.61305555555555558</v>
      </c>
      <c r="I1188" s="10">
        <f>IFERROR(SUMIFS('Base bordo'!G$2:G$746,'Base bordo'!C$2:C$746,A1188,'Base bordo'!B$2:B$746,B1188,'Base bordo'!F$2:F$746,"PÁTIO INTERNO"),0)+IFERROR(SUMIFS('Base bordo'!G$2:G$746,'Base bordo'!C$2:C$746,A1188,'Base bordo'!B$2:B$746,B1188,'Base bordo'!F$2:F$746,"PÁTIO EXTERNO"),0)+IFERROR(SUMIFS('Base bordo'!G$2:G$746,'Base bordo'!C$2:C$746,A1188,'Base bordo'!B$2:B$746,B1188,'Base bordo'!F$2:F$746,"PATIO - RESERVA"),0)+IFERROR(SUMIFS('Base bordo'!G$2:G$746,'Base bordo'!C$2:C$746,A1188,'Base bordo'!B$2:B$746,B1188,'Base bordo'!F$2:F$746,"MANOBRA CARRETAS-PATIO"),0)</f>
        <v>4.3969444444444443</v>
      </c>
      <c r="J1188" s="10">
        <f>IFERROR(SUMIFS('Base bordo'!G$2:G$746,'Base bordo'!C$2:C$746,A1188,'Base bordo'!B$2:B$746,B1188,'Base bordo'!F$2:F$746,"BALANÇA - ENTRADA"),0)+IFERROR(SUMIFS('Base bordo'!G$2:G$746,'Base bordo'!C$2:C$746,A1188,'Base bordo'!B$2:B$746,B1188,'Base bordo'!F$2:F$746,"BALANÇA - SAÍDA"),0)</f>
        <v>0.3175</v>
      </c>
      <c r="K1188" s="10">
        <f>IFERROR(SUMIFS('Base bordo'!G$2:G$746,'Base bordo'!C$2:C$746,A1188,'Base bordo'!B$2:B$746,B1188,'Base bordo'!F$2:F$746,"MAN PREVENTIVA - MECANICA"),0)+IFERROR(SUMIFS('Base bordo'!G$2:G$746,'Base bordo'!C$2:C$746,A1188,'Base bordo'!B$2:B$746,B1188,'Base bordo'!F$2:F$746,"MAN CORRETIVA - MECANICA"),0)</f>
        <v>0</v>
      </c>
      <c r="L1188" s="10">
        <f>IFERROR(SUMIFS('Base bordo'!G$2:G$746,'Base bordo'!C$2:C$746,A1188,'Base bordo'!B$2:B$746,B1188,'Base bordo'!F$2:F$746,"MANUTENCAO - T O"),0)+IFERROR(SUMIFS('Base bordo'!G$2:G$746,'Base bordo'!C$2:C$746,A1188,'Base bordo'!B$2:B$746,B1188,'Base bordo'!F$2:F$746,"MANUTENCAO BORRACHARIA"),0)+IFERROR(SUMIFS('Base bordo'!G$2:G$746,'Base bordo'!C$2:C$746,A1188,'Base bordo'!B$2:B$746,B1188,'Base bordo'!F$2:F$746,"MANUTENCAO EXTERNA  CONCESSIONARIA"),0)+IFERROR(SUMIFS('Base bordo'!G$2:G$746,'Base bordo'!C$2:C$746,A1188,'Base bordo'!B$2:B$746,B1188,'Base bordo'!F$2:F$746,"MANUTENCAO TELEMETRIA"),0)</f>
        <v>0</v>
      </c>
      <c r="M1188" s="10">
        <f>IFERROR(SUMIFS('Base bordo'!G$2:G$746,'Base bordo'!C$2:C$746,A1188,'Base bordo'!B$2:B$746,B1188,'Base bordo'!F$2:F$746,"AGUARDANDO MANUTENCAO"),0)</f>
        <v>0</v>
      </c>
      <c r="N1188" s="10">
        <f>IFERROR(SUMIFS('Base bordo'!G$2:G$746,'Base bordo'!C$2:C$746,A1188,'Base bordo'!B$2:B$746,B1188,'Base bordo'!F$2:F$746,"SEM APONTAMENTO"),0)</f>
        <v>0</v>
      </c>
      <c r="O1188" s="10">
        <f t="shared" si="120"/>
        <v>1.7763568394002505E-15</v>
      </c>
      <c r="P1188" s="10">
        <f>IFERROR(SUMIFS('Base bordo'!G$2:G$746,'Base bordo'!C$2:C$746,A1188,'Base bordo'!B$2:B$746,B1188),0)</f>
        <v>9.9952777777777797</v>
      </c>
      <c r="Q1188" s="10">
        <f>IFERROR(SUMIFS('Base bordo'!H$2:H$746,'Base bordo'!C$2:C$746,A1188,'Base bordo'!B$2:B$746,B1188,'Base bordo'!F$2:F$746,"DESLOCAMENTO VAZIO"),0)</f>
        <v>281004.56</v>
      </c>
      <c r="R1188" s="10">
        <f>IFERROR(SUMIFS('Base bordo'!I$2:I$746,'Base bordo'!C$2:C$746,A1188,'Base bordo'!B$2:B$746,B1188,'Base bordo'!F$2:F$746,"DESLOCAMENTO VAZIO"),0)</f>
        <v>9965</v>
      </c>
      <c r="S1188" s="30">
        <f t="shared" si="121"/>
        <v>28.199153035624686</v>
      </c>
      <c r="T1188" s="10">
        <f>IFERROR(SUMIFS('Base bordo'!H$2:H$746,'Base bordo'!C$2:C$746,A1188,'Base bordo'!B$2:B$746,B1188,'Base bordo'!F$2:F$746,"DESLOCAMENTO CARREGADO"),0)</f>
        <v>117740.31000000001</v>
      </c>
      <c r="U1188" s="10">
        <f>IFERROR(SUMIFS('Base bordo'!I$2:I$746,'Base bordo'!C$2:C$746,A1188,'Base bordo'!B$2:B$746,B1188,'Base bordo'!F$2:F$746,"DESLOCAMENTO CARREGADO"),0)</f>
        <v>6839</v>
      </c>
      <c r="V1188" s="30">
        <f t="shared" si="122"/>
        <v>17.216012574937857</v>
      </c>
      <c r="W1188" s="9">
        <f t="shared" si="123"/>
        <v>0.27693633104521576</v>
      </c>
      <c r="X1188" s="9">
        <f t="shared" si="124"/>
        <v>0.19006197370980737</v>
      </c>
      <c r="Y1188" s="9">
        <f t="shared" si="125"/>
        <v>0.53300169524497676</v>
      </c>
    </row>
    <row r="1189" spans="1:25" ht="15" customHeight="1" x14ac:dyDescent="0.35">
      <c r="A1189" s="52">
        <v>8013461</v>
      </c>
      <c r="B1189" s="51">
        <v>46124</v>
      </c>
      <c r="C1189" s="7" t="s">
        <v>124</v>
      </c>
      <c r="D1189" s="10">
        <f>IFERROR(SUMIFS('Base bordo'!G$2:G$746,'Base bordo'!C$2:C$746,A1189,'Base bordo'!B$2:B$746,B1189,'Base bordo'!F$2:F$746,"DESLOCAMENTO VAZIO"),0)</f>
        <v>2.7680555555555557</v>
      </c>
      <c r="E1189" s="10">
        <f>IFERROR(SUMIFS('Base bordo'!G$2:G$746,'Base bordo'!C$2:C$746,A1189,'Base bordo'!B$2:B$746,B1189,'Base bordo'!F$2:F$746,"DESLOCAMENTO CARREGADO"),0)</f>
        <v>1.8997222222222223</v>
      </c>
      <c r="F1189" s="10">
        <f>IFERROR(SUMIFS('Base bordo'!G$2:G$746,'Base bordo'!C$2:C$746,A1189,'Base bordo'!B$2:B$746,B1189,'Base bordo'!F$2:F$746,"DESLOCAMENTO"),0)</f>
        <v>0</v>
      </c>
      <c r="G1189" s="10">
        <f>IFERROR(SUMIFS('Base bordo'!G$2:G$746,'Base bordo'!C$2:C$746,A1189,'Base bordo'!B$2:B$746,B1189,'Base bordo'!F$2:F$746,"CARREGAMENTO"),0)</f>
        <v>0</v>
      </c>
      <c r="H1189" s="10">
        <f>IFERROR(SUMIFS('Base bordo'!G$2:G$746,'Base bordo'!C$2:C$746,A1189,'Base bordo'!B$2:B$746,B1189,'Base bordo'!F$2:F$746,"AGUARDANDO TRANSBORDO"),0)</f>
        <v>0.61305555555555558</v>
      </c>
      <c r="I1189" s="10">
        <f>IFERROR(SUMIFS('Base bordo'!G$2:G$746,'Base bordo'!C$2:C$746,A1189,'Base bordo'!B$2:B$746,B1189,'Base bordo'!F$2:F$746,"PÁTIO INTERNO"),0)+IFERROR(SUMIFS('Base bordo'!G$2:G$746,'Base bordo'!C$2:C$746,A1189,'Base bordo'!B$2:B$746,B1189,'Base bordo'!F$2:F$746,"PÁTIO EXTERNO"),0)+IFERROR(SUMIFS('Base bordo'!G$2:G$746,'Base bordo'!C$2:C$746,A1189,'Base bordo'!B$2:B$746,B1189,'Base bordo'!F$2:F$746,"PATIO - RESERVA"),0)+IFERROR(SUMIFS('Base bordo'!G$2:G$746,'Base bordo'!C$2:C$746,A1189,'Base bordo'!B$2:B$746,B1189,'Base bordo'!F$2:F$746,"MANOBRA CARRETAS-PATIO"),0)</f>
        <v>4.3969444444444443</v>
      </c>
      <c r="J1189" s="10">
        <f>IFERROR(SUMIFS('Base bordo'!G$2:G$746,'Base bordo'!C$2:C$746,A1189,'Base bordo'!B$2:B$746,B1189,'Base bordo'!F$2:F$746,"BALANÇA - ENTRADA"),0)+IFERROR(SUMIFS('Base bordo'!G$2:G$746,'Base bordo'!C$2:C$746,A1189,'Base bordo'!B$2:B$746,B1189,'Base bordo'!F$2:F$746,"BALANÇA - SAÍDA"),0)</f>
        <v>0.3175</v>
      </c>
      <c r="K1189" s="10">
        <f>IFERROR(SUMIFS('Base bordo'!G$2:G$746,'Base bordo'!C$2:C$746,A1189,'Base bordo'!B$2:B$746,B1189,'Base bordo'!F$2:F$746,"MAN PREVENTIVA - MECANICA"),0)+IFERROR(SUMIFS('Base bordo'!G$2:G$746,'Base bordo'!C$2:C$746,A1189,'Base bordo'!B$2:B$746,B1189,'Base bordo'!F$2:F$746,"MAN CORRETIVA - MECANICA"),0)</f>
        <v>0</v>
      </c>
      <c r="L1189" s="10">
        <f>IFERROR(SUMIFS('Base bordo'!G$2:G$746,'Base bordo'!C$2:C$746,A1189,'Base bordo'!B$2:B$746,B1189,'Base bordo'!F$2:F$746,"MANUTENCAO - T O"),0)+IFERROR(SUMIFS('Base bordo'!G$2:G$746,'Base bordo'!C$2:C$746,A1189,'Base bordo'!B$2:B$746,B1189,'Base bordo'!F$2:F$746,"MANUTENCAO BORRACHARIA"),0)+IFERROR(SUMIFS('Base bordo'!G$2:G$746,'Base bordo'!C$2:C$746,A1189,'Base bordo'!B$2:B$746,B1189,'Base bordo'!F$2:F$746,"MANUTENCAO EXTERNA  CONCESSIONARIA"),0)+IFERROR(SUMIFS('Base bordo'!G$2:G$746,'Base bordo'!C$2:C$746,A1189,'Base bordo'!B$2:B$746,B1189,'Base bordo'!F$2:F$746,"MANUTENCAO TELEMETRIA"),0)</f>
        <v>0</v>
      </c>
      <c r="M1189" s="10">
        <f>IFERROR(SUMIFS('Base bordo'!G$2:G$746,'Base bordo'!C$2:C$746,A1189,'Base bordo'!B$2:B$746,B1189,'Base bordo'!F$2:F$746,"AGUARDANDO MANUTENCAO"),0)</f>
        <v>0</v>
      </c>
      <c r="N1189" s="10">
        <f>IFERROR(SUMIFS('Base bordo'!G$2:G$746,'Base bordo'!C$2:C$746,A1189,'Base bordo'!B$2:B$746,B1189,'Base bordo'!F$2:F$746,"SEM APONTAMENTO"),0)</f>
        <v>0</v>
      </c>
      <c r="O1189" s="10">
        <f t="shared" si="120"/>
        <v>1.7763568394002505E-15</v>
      </c>
      <c r="P1189" s="10">
        <f>IFERROR(SUMIFS('Base bordo'!G$2:G$746,'Base bordo'!C$2:C$746,A1189,'Base bordo'!B$2:B$746,B1189),0)</f>
        <v>9.9952777777777797</v>
      </c>
      <c r="Q1189" s="10">
        <f>IFERROR(SUMIFS('Base bordo'!H$2:H$746,'Base bordo'!C$2:C$746,A1189,'Base bordo'!B$2:B$746,B1189,'Base bordo'!F$2:F$746,"DESLOCAMENTO VAZIO"),0)</f>
        <v>281004.56</v>
      </c>
      <c r="R1189" s="10">
        <f>IFERROR(SUMIFS('Base bordo'!I$2:I$746,'Base bordo'!C$2:C$746,A1189,'Base bordo'!B$2:B$746,B1189,'Base bordo'!F$2:F$746,"DESLOCAMENTO VAZIO"),0)</f>
        <v>9965</v>
      </c>
      <c r="S1189" s="30">
        <f t="shared" si="121"/>
        <v>28.199153035624686</v>
      </c>
      <c r="T1189" s="10">
        <f>IFERROR(SUMIFS('Base bordo'!H$2:H$746,'Base bordo'!C$2:C$746,A1189,'Base bordo'!B$2:B$746,B1189,'Base bordo'!F$2:F$746,"DESLOCAMENTO CARREGADO"),0)</f>
        <v>117740.31000000001</v>
      </c>
      <c r="U1189" s="10">
        <f>IFERROR(SUMIFS('Base bordo'!I$2:I$746,'Base bordo'!C$2:C$746,A1189,'Base bordo'!B$2:B$746,B1189,'Base bordo'!F$2:F$746,"DESLOCAMENTO CARREGADO"),0)</f>
        <v>6839</v>
      </c>
      <c r="V1189" s="30">
        <f t="shared" si="122"/>
        <v>17.216012574937857</v>
      </c>
      <c r="W1189" s="9">
        <f t="shared" si="123"/>
        <v>0.27693633104521576</v>
      </c>
      <c r="X1189" s="9">
        <f t="shared" si="124"/>
        <v>0.19006197370980737</v>
      </c>
      <c r="Y1189" s="9">
        <f t="shared" si="125"/>
        <v>0.53300169524497676</v>
      </c>
    </row>
    <row r="1190" spans="1:25" ht="15" customHeight="1" x14ac:dyDescent="0.35">
      <c r="A1190" s="52">
        <v>8013461</v>
      </c>
      <c r="B1190" s="51">
        <v>46124</v>
      </c>
      <c r="C1190" s="7" t="s">
        <v>124</v>
      </c>
      <c r="D1190" s="10">
        <f>IFERROR(SUMIFS('Base bordo'!G$2:G$746,'Base bordo'!C$2:C$746,A1190,'Base bordo'!B$2:B$746,B1190,'Base bordo'!F$2:F$746,"DESLOCAMENTO VAZIO"),0)</f>
        <v>2.7680555555555557</v>
      </c>
      <c r="E1190" s="10">
        <f>IFERROR(SUMIFS('Base bordo'!G$2:G$746,'Base bordo'!C$2:C$746,A1190,'Base bordo'!B$2:B$746,B1190,'Base bordo'!F$2:F$746,"DESLOCAMENTO CARREGADO"),0)</f>
        <v>1.8997222222222223</v>
      </c>
      <c r="F1190" s="10">
        <f>IFERROR(SUMIFS('Base bordo'!G$2:G$746,'Base bordo'!C$2:C$746,A1190,'Base bordo'!B$2:B$746,B1190,'Base bordo'!F$2:F$746,"DESLOCAMENTO"),0)</f>
        <v>0</v>
      </c>
      <c r="G1190" s="10">
        <f>IFERROR(SUMIFS('Base bordo'!G$2:G$746,'Base bordo'!C$2:C$746,A1190,'Base bordo'!B$2:B$746,B1190,'Base bordo'!F$2:F$746,"CARREGAMENTO"),0)</f>
        <v>0</v>
      </c>
      <c r="H1190" s="10">
        <f>IFERROR(SUMIFS('Base bordo'!G$2:G$746,'Base bordo'!C$2:C$746,A1190,'Base bordo'!B$2:B$746,B1190,'Base bordo'!F$2:F$746,"AGUARDANDO TRANSBORDO"),0)</f>
        <v>0.61305555555555558</v>
      </c>
      <c r="I1190" s="10">
        <f>IFERROR(SUMIFS('Base bordo'!G$2:G$746,'Base bordo'!C$2:C$746,A1190,'Base bordo'!B$2:B$746,B1190,'Base bordo'!F$2:F$746,"PÁTIO INTERNO"),0)+IFERROR(SUMIFS('Base bordo'!G$2:G$746,'Base bordo'!C$2:C$746,A1190,'Base bordo'!B$2:B$746,B1190,'Base bordo'!F$2:F$746,"PÁTIO EXTERNO"),0)+IFERROR(SUMIFS('Base bordo'!G$2:G$746,'Base bordo'!C$2:C$746,A1190,'Base bordo'!B$2:B$746,B1190,'Base bordo'!F$2:F$746,"PATIO - RESERVA"),0)+IFERROR(SUMIFS('Base bordo'!G$2:G$746,'Base bordo'!C$2:C$746,A1190,'Base bordo'!B$2:B$746,B1190,'Base bordo'!F$2:F$746,"MANOBRA CARRETAS-PATIO"),0)</f>
        <v>4.3969444444444443</v>
      </c>
      <c r="J1190" s="10">
        <f>IFERROR(SUMIFS('Base bordo'!G$2:G$746,'Base bordo'!C$2:C$746,A1190,'Base bordo'!B$2:B$746,B1190,'Base bordo'!F$2:F$746,"BALANÇA - ENTRADA"),0)+IFERROR(SUMIFS('Base bordo'!G$2:G$746,'Base bordo'!C$2:C$746,A1190,'Base bordo'!B$2:B$746,B1190,'Base bordo'!F$2:F$746,"BALANÇA - SAÍDA"),0)</f>
        <v>0.3175</v>
      </c>
      <c r="K1190" s="10">
        <f>IFERROR(SUMIFS('Base bordo'!G$2:G$746,'Base bordo'!C$2:C$746,A1190,'Base bordo'!B$2:B$746,B1190,'Base bordo'!F$2:F$746,"MAN PREVENTIVA - MECANICA"),0)+IFERROR(SUMIFS('Base bordo'!G$2:G$746,'Base bordo'!C$2:C$746,A1190,'Base bordo'!B$2:B$746,B1190,'Base bordo'!F$2:F$746,"MAN CORRETIVA - MECANICA"),0)</f>
        <v>0</v>
      </c>
      <c r="L1190" s="10">
        <f>IFERROR(SUMIFS('Base bordo'!G$2:G$746,'Base bordo'!C$2:C$746,A1190,'Base bordo'!B$2:B$746,B1190,'Base bordo'!F$2:F$746,"MANUTENCAO - T O"),0)+IFERROR(SUMIFS('Base bordo'!G$2:G$746,'Base bordo'!C$2:C$746,A1190,'Base bordo'!B$2:B$746,B1190,'Base bordo'!F$2:F$746,"MANUTENCAO BORRACHARIA"),0)+IFERROR(SUMIFS('Base bordo'!G$2:G$746,'Base bordo'!C$2:C$746,A1190,'Base bordo'!B$2:B$746,B1190,'Base bordo'!F$2:F$746,"MANUTENCAO EXTERNA  CONCESSIONARIA"),0)+IFERROR(SUMIFS('Base bordo'!G$2:G$746,'Base bordo'!C$2:C$746,A1190,'Base bordo'!B$2:B$746,B1190,'Base bordo'!F$2:F$746,"MANUTENCAO TELEMETRIA"),0)</f>
        <v>0</v>
      </c>
      <c r="M1190" s="10">
        <f>IFERROR(SUMIFS('Base bordo'!G$2:G$746,'Base bordo'!C$2:C$746,A1190,'Base bordo'!B$2:B$746,B1190,'Base bordo'!F$2:F$746,"AGUARDANDO MANUTENCAO"),0)</f>
        <v>0</v>
      </c>
      <c r="N1190" s="10">
        <f>IFERROR(SUMIFS('Base bordo'!G$2:G$746,'Base bordo'!C$2:C$746,A1190,'Base bordo'!B$2:B$746,B1190,'Base bordo'!F$2:F$746,"SEM APONTAMENTO"),0)</f>
        <v>0</v>
      </c>
      <c r="O1190" s="10">
        <f t="shared" si="120"/>
        <v>1.7763568394002505E-15</v>
      </c>
      <c r="P1190" s="10">
        <f>IFERROR(SUMIFS('Base bordo'!G$2:G$746,'Base bordo'!C$2:C$746,A1190,'Base bordo'!B$2:B$746,B1190),0)</f>
        <v>9.9952777777777797</v>
      </c>
      <c r="Q1190" s="10">
        <f>IFERROR(SUMIFS('Base bordo'!H$2:H$746,'Base bordo'!C$2:C$746,A1190,'Base bordo'!B$2:B$746,B1190,'Base bordo'!F$2:F$746,"DESLOCAMENTO VAZIO"),0)</f>
        <v>281004.56</v>
      </c>
      <c r="R1190" s="10">
        <f>IFERROR(SUMIFS('Base bordo'!I$2:I$746,'Base bordo'!C$2:C$746,A1190,'Base bordo'!B$2:B$746,B1190,'Base bordo'!F$2:F$746,"DESLOCAMENTO VAZIO"),0)</f>
        <v>9965</v>
      </c>
      <c r="S1190" s="30">
        <f t="shared" si="121"/>
        <v>28.199153035624686</v>
      </c>
      <c r="T1190" s="10">
        <f>IFERROR(SUMIFS('Base bordo'!H$2:H$746,'Base bordo'!C$2:C$746,A1190,'Base bordo'!B$2:B$746,B1190,'Base bordo'!F$2:F$746,"DESLOCAMENTO CARREGADO"),0)</f>
        <v>117740.31000000001</v>
      </c>
      <c r="U1190" s="10">
        <f>IFERROR(SUMIFS('Base bordo'!I$2:I$746,'Base bordo'!C$2:C$746,A1190,'Base bordo'!B$2:B$746,B1190,'Base bordo'!F$2:F$746,"DESLOCAMENTO CARREGADO"),0)</f>
        <v>6839</v>
      </c>
      <c r="V1190" s="30">
        <f t="shared" si="122"/>
        <v>17.216012574937857</v>
      </c>
      <c r="W1190" s="9">
        <f t="shared" si="123"/>
        <v>0.27693633104521576</v>
      </c>
      <c r="X1190" s="9">
        <f t="shared" si="124"/>
        <v>0.19006197370980737</v>
      </c>
      <c r="Y1190" s="9">
        <f t="shared" si="125"/>
        <v>0.53300169524497676</v>
      </c>
    </row>
    <row r="1191" spans="1:25" ht="15" customHeight="1" x14ac:dyDescent="0.35">
      <c r="A1191" s="52">
        <v>8013461</v>
      </c>
      <c r="B1191" s="51">
        <v>46124</v>
      </c>
      <c r="C1191" s="7" t="s">
        <v>124</v>
      </c>
      <c r="D1191" s="10">
        <f>IFERROR(SUMIFS('Base bordo'!G$2:G$746,'Base bordo'!C$2:C$746,A1191,'Base bordo'!B$2:B$746,B1191,'Base bordo'!F$2:F$746,"DESLOCAMENTO VAZIO"),0)</f>
        <v>2.7680555555555557</v>
      </c>
      <c r="E1191" s="10">
        <f>IFERROR(SUMIFS('Base bordo'!G$2:G$746,'Base bordo'!C$2:C$746,A1191,'Base bordo'!B$2:B$746,B1191,'Base bordo'!F$2:F$746,"DESLOCAMENTO CARREGADO"),0)</f>
        <v>1.8997222222222223</v>
      </c>
      <c r="F1191" s="10">
        <f>IFERROR(SUMIFS('Base bordo'!G$2:G$746,'Base bordo'!C$2:C$746,A1191,'Base bordo'!B$2:B$746,B1191,'Base bordo'!F$2:F$746,"DESLOCAMENTO"),0)</f>
        <v>0</v>
      </c>
      <c r="G1191" s="10">
        <f>IFERROR(SUMIFS('Base bordo'!G$2:G$746,'Base bordo'!C$2:C$746,A1191,'Base bordo'!B$2:B$746,B1191,'Base bordo'!F$2:F$746,"CARREGAMENTO"),0)</f>
        <v>0</v>
      </c>
      <c r="H1191" s="10">
        <f>IFERROR(SUMIFS('Base bordo'!G$2:G$746,'Base bordo'!C$2:C$746,A1191,'Base bordo'!B$2:B$746,B1191,'Base bordo'!F$2:F$746,"AGUARDANDO TRANSBORDO"),0)</f>
        <v>0.61305555555555558</v>
      </c>
      <c r="I1191" s="10">
        <f>IFERROR(SUMIFS('Base bordo'!G$2:G$746,'Base bordo'!C$2:C$746,A1191,'Base bordo'!B$2:B$746,B1191,'Base bordo'!F$2:F$746,"PÁTIO INTERNO"),0)+IFERROR(SUMIFS('Base bordo'!G$2:G$746,'Base bordo'!C$2:C$746,A1191,'Base bordo'!B$2:B$746,B1191,'Base bordo'!F$2:F$746,"PÁTIO EXTERNO"),0)+IFERROR(SUMIFS('Base bordo'!G$2:G$746,'Base bordo'!C$2:C$746,A1191,'Base bordo'!B$2:B$746,B1191,'Base bordo'!F$2:F$746,"PATIO - RESERVA"),0)+IFERROR(SUMIFS('Base bordo'!G$2:G$746,'Base bordo'!C$2:C$746,A1191,'Base bordo'!B$2:B$746,B1191,'Base bordo'!F$2:F$746,"MANOBRA CARRETAS-PATIO"),0)</f>
        <v>4.3969444444444443</v>
      </c>
      <c r="J1191" s="10">
        <f>IFERROR(SUMIFS('Base bordo'!G$2:G$746,'Base bordo'!C$2:C$746,A1191,'Base bordo'!B$2:B$746,B1191,'Base bordo'!F$2:F$746,"BALANÇA - ENTRADA"),0)+IFERROR(SUMIFS('Base bordo'!G$2:G$746,'Base bordo'!C$2:C$746,A1191,'Base bordo'!B$2:B$746,B1191,'Base bordo'!F$2:F$746,"BALANÇA - SAÍDA"),0)</f>
        <v>0.3175</v>
      </c>
      <c r="K1191" s="10">
        <f>IFERROR(SUMIFS('Base bordo'!G$2:G$746,'Base bordo'!C$2:C$746,A1191,'Base bordo'!B$2:B$746,B1191,'Base bordo'!F$2:F$746,"MAN PREVENTIVA - MECANICA"),0)+IFERROR(SUMIFS('Base bordo'!G$2:G$746,'Base bordo'!C$2:C$746,A1191,'Base bordo'!B$2:B$746,B1191,'Base bordo'!F$2:F$746,"MAN CORRETIVA - MECANICA"),0)</f>
        <v>0</v>
      </c>
      <c r="L1191" s="10">
        <f>IFERROR(SUMIFS('Base bordo'!G$2:G$746,'Base bordo'!C$2:C$746,A1191,'Base bordo'!B$2:B$746,B1191,'Base bordo'!F$2:F$746,"MANUTENCAO - T O"),0)+IFERROR(SUMIFS('Base bordo'!G$2:G$746,'Base bordo'!C$2:C$746,A1191,'Base bordo'!B$2:B$746,B1191,'Base bordo'!F$2:F$746,"MANUTENCAO BORRACHARIA"),0)+IFERROR(SUMIFS('Base bordo'!G$2:G$746,'Base bordo'!C$2:C$746,A1191,'Base bordo'!B$2:B$746,B1191,'Base bordo'!F$2:F$746,"MANUTENCAO EXTERNA  CONCESSIONARIA"),0)+IFERROR(SUMIFS('Base bordo'!G$2:G$746,'Base bordo'!C$2:C$746,A1191,'Base bordo'!B$2:B$746,B1191,'Base bordo'!F$2:F$746,"MANUTENCAO TELEMETRIA"),0)</f>
        <v>0</v>
      </c>
      <c r="M1191" s="10">
        <f>IFERROR(SUMIFS('Base bordo'!G$2:G$746,'Base bordo'!C$2:C$746,A1191,'Base bordo'!B$2:B$746,B1191,'Base bordo'!F$2:F$746,"AGUARDANDO MANUTENCAO"),0)</f>
        <v>0</v>
      </c>
      <c r="N1191" s="10">
        <f>IFERROR(SUMIFS('Base bordo'!G$2:G$746,'Base bordo'!C$2:C$746,A1191,'Base bordo'!B$2:B$746,B1191,'Base bordo'!F$2:F$746,"SEM APONTAMENTO"),0)</f>
        <v>0</v>
      </c>
      <c r="O1191" s="10">
        <f t="shared" si="120"/>
        <v>1.7763568394002505E-15</v>
      </c>
      <c r="P1191" s="10">
        <f>IFERROR(SUMIFS('Base bordo'!G$2:G$746,'Base bordo'!C$2:C$746,A1191,'Base bordo'!B$2:B$746,B1191),0)</f>
        <v>9.9952777777777797</v>
      </c>
      <c r="Q1191" s="10">
        <f>IFERROR(SUMIFS('Base bordo'!H$2:H$746,'Base bordo'!C$2:C$746,A1191,'Base bordo'!B$2:B$746,B1191,'Base bordo'!F$2:F$746,"DESLOCAMENTO VAZIO"),0)</f>
        <v>281004.56</v>
      </c>
      <c r="R1191" s="10">
        <f>IFERROR(SUMIFS('Base bordo'!I$2:I$746,'Base bordo'!C$2:C$746,A1191,'Base bordo'!B$2:B$746,B1191,'Base bordo'!F$2:F$746,"DESLOCAMENTO VAZIO"),0)</f>
        <v>9965</v>
      </c>
      <c r="S1191" s="30">
        <f t="shared" si="121"/>
        <v>28.199153035624686</v>
      </c>
      <c r="T1191" s="10">
        <f>IFERROR(SUMIFS('Base bordo'!H$2:H$746,'Base bordo'!C$2:C$746,A1191,'Base bordo'!B$2:B$746,B1191,'Base bordo'!F$2:F$746,"DESLOCAMENTO CARREGADO"),0)</f>
        <v>117740.31000000001</v>
      </c>
      <c r="U1191" s="10">
        <f>IFERROR(SUMIFS('Base bordo'!I$2:I$746,'Base bordo'!C$2:C$746,A1191,'Base bordo'!B$2:B$746,B1191,'Base bordo'!F$2:F$746,"DESLOCAMENTO CARREGADO"),0)</f>
        <v>6839</v>
      </c>
      <c r="V1191" s="30">
        <f t="shared" si="122"/>
        <v>17.216012574937857</v>
      </c>
      <c r="W1191" s="9">
        <f t="shared" si="123"/>
        <v>0.27693633104521576</v>
      </c>
      <c r="X1191" s="9">
        <f t="shared" si="124"/>
        <v>0.19006197370980737</v>
      </c>
      <c r="Y1191" s="9">
        <f t="shared" si="125"/>
        <v>0.53300169524497676</v>
      </c>
    </row>
    <row r="1192" spans="1:25" ht="15" customHeight="1" x14ac:dyDescent="0.35">
      <c r="A1192" s="52">
        <v>8013461</v>
      </c>
      <c r="B1192" s="51">
        <v>46124</v>
      </c>
      <c r="C1192" s="7" t="s">
        <v>124</v>
      </c>
      <c r="D1192" s="10">
        <f>IFERROR(SUMIFS('Base bordo'!G$2:G$746,'Base bordo'!C$2:C$746,A1192,'Base bordo'!B$2:B$746,B1192,'Base bordo'!F$2:F$746,"DESLOCAMENTO VAZIO"),0)</f>
        <v>2.7680555555555557</v>
      </c>
      <c r="E1192" s="10">
        <f>IFERROR(SUMIFS('Base bordo'!G$2:G$746,'Base bordo'!C$2:C$746,A1192,'Base bordo'!B$2:B$746,B1192,'Base bordo'!F$2:F$746,"DESLOCAMENTO CARREGADO"),0)</f>
        <v>1.8997222222222223</v>
      </c>
      <c r="F1192" s="10">
        <f>IFERROR(SUMIFS('Base bordo'!G$2:G$746,'Base bordo'!C$2:C$746,A1192,'Base bordo'!B$2:B$746,B1192,'Base bordo'!F$2:F$746,"DESLOCAMENTO"),0)</f>
        <v>0</v>
      </c>
      <c r="G1192" s="10">
        <f>IFERROR(SUMIFS('Base bordo'!G$2:G$746,'Base bordo'!C$2:C$746,A1192,'Base bordo'!B$2:B$746,B1192,'Base bordo'!F$2:F$746,"CARREGAMENTO"),0)</f>
        <v>0</v>
      </c>
      <c r="H1192" s="10">
        <f>IFERROR(SUMIFS('Base bordo'!G$2:G$746,'Base bordo'!C$2:C$746,A1192,'Base bordo'!B$2:B$746,B1192,'Base bordo'!F$2:F$746,"AGUARDANDO TRANSBORDO"),0)</f>
        <v>0.61305555555555558</v>
      </c>
      <c r="I1192" s="10">
        <f>IFERROR(SUMIFS('Base bordo'!G$2:G$746,'Base bordo'!C$2:C$746,A1192,'Base bordo'!B$2:B$746,B1192,'Base bordo'!F$2:F$746,"PÁTIO INTERNO"),0)+IFERROR(SUMIFS('Base bordo'!G$2:G$746,'Base bordo'!C$2:C$746,A1192,'Base bordo'!B$2:B$746,B1192,'Base bordo'!F$2:F$746,"PÁTIO EXTERNO"),0)+IFERROR(SUMIFS('Base bordo'!G$2:G$746,'Base bordo'!C$2:C$746,A1192,'Base bordo'!B$2:B$746,B1192,'Base bordo'!F$2:F$746,"PATIO - RESERVA"),0)+IFERROR(SUMIFS('Base bordo'!G$2:G$746,'Base bordo'!C$2:C$746,A1192,'Base bordo'!B$2:B$746,B1192,'Base bordo'!F$2:F$746,"MANOBRA CARRETAS-PATIO"),0)</f>
        <v>4.3969444444444443</v>
      </c>
      <c r="J1192" s="10">
        <f>IFERROR(SUMIFS('Base bordo'!G$2:G$746,'Base bordo'!C$2:C$746,A1192,'Base bordo'!B$2:B$746,B1192,'Base bordo'!F$2:F$746,"BALANÇA - ENTRADA"),0)+IFERROR(SUMIFS('Base bordo'!G$2:G$746,'Base bordo'!C$2:C$746,A1192,'Base bordo'!B$2:B$746,B1192,'Base bordo'!F$2:F$746,"BALANÇA - SAÍDA"),0)</f>
        <v>0.3175</v>
      </c>
      <c r="K1192" s="10">
        <f>IFERROR(SUMIFS('Base bordo'!G$2:G$746,'Base bordo'!C$2:C$746,A1192,'Base bordo'!B$2:B$746,B1192,'Base bordo'!F$2:F$746,"MAN PREVENTIVA - MECANICA"),0)+IFERROR(SUMIFS('Base bordo'!G$2:G$746,'Base bordo'!C$2:C$746,A1192,'Base bordo'!B$2:B$746,B1192,'Base bordo'!F$2:F$746,"MAN CORRETIVA - MECANICA"),0)</f>
        <v>0</v>
      </c>
      <c r="L1192" s="10">
        <f>IFERROR(SUMIFS('Base bordo'!G$2:G$746,'Base bordo'!C$2:C$746,A1192,'Base bordo'!B$2:B$746,B1192,'Base bordo'!F$2:F$746,"MANUTENCAO - T O"),0)+IFERROR(SUMIFS('Base bordo'!G$2:G$746,'Base bordo'!C$2:C$746,A1192,'Base bordo'!B$2:B$746,B1192,'Base bordo'!F$2:F$746,"MANUTENCAO BORRACHARIA"),0)+IFERROR(SUMIFS('Base bordo'!G$2:G$746,'Base bordo'!C$2:C$746,A1192,'Base bordo'!B$2:B$746,B1192,'Base bordo'!F$2:F$746,"MANUTENCAO EXTERNA  CONCESSIONARIA"),0)+IFERROR(SUMIFS('Base bordo'!G$2:G$746,'Base bordo'!C$2:C$746,A1192,'Base bordo'!B$2:B$746,B1192,'Base bordo'!F$2:F$746,"MANUTENCAO TELEMETRIA"),0)</f>
        <v>0</v>
      </c>
      <c r="M1192" s="10">
        <f>IFERROR(SUMIFS('Base bordo'!G$2:G$746,'Base bordo'!C$2:C$746,A1192,'Base bordo'!B$2:B$746,B1192,'Base bordo'!F$2:F$746,"AGUARDANDO MANUTENCAO"),0)</f>
        <v>0</v>
      </c>
      <c r="N1192" s="10">
        <f>IFERROR(SUMIFS('Base bordo'!G$2:G$746,'Base bordo'!C$2:C$746,A1192,'Base bordo'!B$2:B$746,B1192,'Base bordo'!F$2:F$746,"SEM APONTAMENTO"),0)</f>
        <v>0</v>
      </c>
      <c r="O1192" s="10">
        <f t="shared" si="120"/>
        <v>1.7763568394002505E-15</v>
      </c>
      <c r="P1192" s="10">
        <f>IFERROR(SUMIFS('Base bordo'!G$2:G$746,'Base bordo'!C$2:C$746,A1192,'Base bordo'!B$2:B$746,B1192),0)</f>
        <v>9.9952777777777797</v>
      </c>
      <c r="Q1192" s="10">
        <f>IFERROR(SUMIFS('Base bordo'!H$2:H$746,'Base bordo'!C$2:C$746,A1192,'Base bordo'!B$2:B$746,B1192,'Base bordo'!F$2:F$746,"DESLOCAMENTO VAZIO"),0)</f>
        <v>281004.56</v>
      </c>
      <c r="R1192" s="10">
        <f>IFERROR(SUMIFS('Base bordo'!I$2:I$746,'Base bordo'!C$2:C$746,A1192,'Base bordo'!B$2:B$746,B1192,'Base bordo'!F$2:F$746,"DESLOCAMENTO VAZIO"),0)</f>
        <v>9965</v>
      </c>
      <c r="S1192" s="30">
        <f t="shared" si="121"/>
        <v>28.199153035624686</v>
      </c>
      <c r="T1192" s="10">
        <f>IFERROR(SUMIFS('Base bordo'!H$2:H$746,'Base bordo'!C$2:C$746,A1192,'Base bordo'!B$2:B$746,B1192,'Base bordo'!F$2:F$746,"DESLOCAMENTO CARREGADO"),0)</f>
        <v>117740.31000000001</v>
      </c>
      <c r="U1192" s="10">
        <f>IFERROR(SUMIFS('Base bordo'!I$2:I$746,'Base bordo'!C$2:C$746,A1192,'Base bordo'!B$2:B$746,B1192,'Base bordo'!F$2:F$746,"DESLOCAMENTO CARREGADO"),0)</f>
        <v>6839</v>
      </c>
      <c r="V1192" s="30">
        <f t="shared" si="122"/>
        <v>17.216012574937857</v>
      </c>
      <c r="W1192" s="9">
        <f t="shared" si="123"/>
        <v>0.27693633104521576</v>
      </c>
      <c r="X1192" s="9">
        <f t="shared" si="124"/>
        <v>0.19006197370980737</v>
      </c>
      <c r="Y1192" s="9">
        <f t="shared" si="125"/>
        <v>0.53300169524497676</v>
      </c>
    </row>
    <row r="1193" spans="1:25" ht="15" customHeight="1" x14ac:dyDescent="0.35">
      <c r="A1193" s="52">
        <v>8013462</v>
      </c>
      <c r="B1193" s="51">
        <v>46124</v>
      </c>
      <c r="C1193" s="7" t="s">
        <v>124</v>
      </c>
      <c r="D1193" s="10">
        <f>IFERROR(SUMIFS('Base bordo'!G$2:G$746,'Base bordo'!C$2:C$746,A1193,'Base bordo'!B$2:B$746,B1193,'Base bordo'!F$2:F$746,"DESLOCAMENTO VAZIO"),0)</f>
        <v>2.6541666666666668</v>
      </c>
      <c r="E1193" s="10">
        <f>IFERROR(SUMIFS('Base bordo'!G$2:G$746,'Base bordo'!C$2:C$746,A1193,'Base bordo'!B$2:B$746,B1193,'Base bordo'!F$2:F$746,"DESLOCAMENTO CARREGADO"),0)</f>
        <v>2.0155555555555558</v>
      </c>
      <c r="F1193" s="10">
        <f>IFERROR(SUMIFS('Base bordo'!G$2:G$746,'Base bordo'!C$2:C$746,A1193,'Base bordo'!B$2:B$746,B1193,'Base bordo'!F$2:F$746,"DESLOCAMENTO"),0)</f>
        <v>0</v>
      </c>
      <c r="G1193" s="10">
        <f>IFERROR(SUMIFS('Base bordo'!G$2:G$746,'Base bordo'!C$2:C$746,A1193,'Base bordo'!B$2:B$746,B1193,'Base bordo'!F$2:F$746,"CARREGAMENTO"),0)</f>
        <v>0</v>
      </c>
      <c r="H1193" s="10">
        <f>IFERROR(SUMIFS('Base bordo'!G$2:G$746,'Base bordo'!C$2:C$746,A1193,'Base bordo'!B$2:B$746,B1193,'Base bordo'!F$2:F$746,"AGUARDANDO TRANSBORDO"),0)</f>
        <v>0.33611111111111114</v>
      </c>
      <c r="I1193" s="10">
        <f>IFERROR(SUMIFS('Base bordo'!G$2:G$746,'Base bordo'!C$2:C$746,A1193,'Base bordo'!B$2:B$746,B1193,'Base bordo'!F$2:F$746,"PÁTIO INTERNO"),0)+IFERROR(SUMIFS('Base bordo'!G$2:G$746,'Base bordo'!C$2:C$746,A1193,'Base bordo'!B$2:B$746,B1193,'Base bordo'!F$2:F$746,"PÁTIO EXTERNO"),0)+IFERROR(SUMIFS('Base bordo'!G$2:G$746,'Base bordo'!C$2:C$746,A1193,'Base bordo'!B$2:B$746,B1193,'Base bordo'!F$2:F$746,"PATIO - RESERVA"),0)+IFERROR(SUMIFS('Base bordo'!G$2:G$746,'Base bordo'!C$2:C$746,A1193,'Base bordo'!B$2:B$746,B1193,'Base bordo'!F$2:F$746,"MANOBRA CARRETAS-PATIO"),0)</f>
        <v>10.451944444444445</v>
      </c>
      <c r="J1193" s="10">
        <f>IFERROR(SUMIFS('Base bordo'!G$2:G$746,'Base bordo'!C$2:C$746,A1193,'Base bordo'!B$2:B$746,B1193,'Base bordo'!F$2:F$746,"BALANÇA - ENTRADA"),0)+IFERROR(SUMIFS('Base bordo'!G$2:G$746,'Base bordo'!C$2:C$746,A1193,'Base bordo'!B$2:B$746,B1193,'Base bordo'!F$2:F$746,"BALANÇA - SAÍDA"),0)</f>
        <v>0.15138888888888888</v>
      </c>
      <c r="K1193" s="10">
        <f>IFERROR(SUMIFS('Base bordo'!G$2:G$746,'Base bordo'!C$2:C$746,A1193,'Base bordo'!B$2:B$746,B1193,'Base bordo'!F$2:F$746,"MAN PREVENTIVA - MECANICA"),0)+IFERROR(SUMIFS('Base bordo'!G$2:G$746,'Base bordo'!C$2:C$746,A1193,'Base bordo'!B$2:B$746,B1193,'Base bordo'!F$2:F$746,"MAN CORRETIVA - MECANICA"),0)</f>
        <v>0</v>
      </c>
      <c r="L1193" s="10">
        <f>IFERROR(SUMIFS('Base bordo'!G$2:G$746,'Base bordo'!C$2:C$746,A1193,'Base bordo'!B$2:B$746,B1193,'Base bordo'!F$2:F$746,"MANUTENCAO - T O"),0)+IFERROR(SUMIFS('Base bordo'!G$2:G$746,'Base bordo'!C$2:C$746,A1193,'Base bordo'!B$2:B$746,B1193,'Base bordo'!F$2:F$746,"MANUTENCAO BORRACHARIA"),0)+IFERROR(SUMIFS('Base bordo'!G$2:G$746,'Base bordo'!C$2:C$746,A1193,'Base bordo'!B$2:B$746,B1193,'Base bordo'!F$2:F$746,"MANUTENCAO EXTERNA  CONCESSIONARIA"),0)+IFERROR(SUMIFS('Base bordo'!G$2:G$746,'Base bordo'!C$2:C$746,A1193,'Base bordo'!B$2:B$746,B1193,'Base bordo'!F$2:F$746,"MANUTENCAO TELEMETRIA"),0)</f>
        <v>0</v>
      </c>
      <c r="M1193" s="10">
        <f>IFERROR(SUMIFS('Base bordo'!G$2:G$746,'Base bordo'!C$2:C$746,A1193,'Base bordo'!B$2:B$746,B1193,'Base bordo'!F$2:F$746,"AGUARDANDO MANUTENCAO"),0)</f>
        <v>0</v>
      </c>
      <c r="N1193" s="10">
        <f>IFERROR(SUMIFS('Base bordo'!G$2:G$746,'Base bordo'!C$2:C$746,A1193,'Base bordo'!B$2:B$746,B1193,'Base bordo'!F$2:F$746,"SEM APONTAMENTO"),0)</f>
        <v>0</v>
      </c>
      <c r="O1193" s="10">
        <f t="shared" si="120"/>
        <v>0</v>
      </c>
      <c r="P1193" s="10">
        <f>IFERROR(SUMIFS('Base bordo'!G$2:G$746,'Base bordo'!C$2:C$746,A1193,'Base bordo'!B$2:B$746,B1193),0)</f>
        <v>15.609166666666667</v>
      </c>
      <c r="Q1193" s="10">
        <f>IFERROR(SUMIFS('Base bordo'!H$2:H$746,'Base bordo'!C$2:C$746,A1193,'Base bordo'!B$2:B$746,B1193,'Base bordo'!F$2:F$746,"DESLOCAMENTO VAZIO"),0)</f>
        <v>401876.54000000004</v>
      </c>
      <c r="R1193" s="10">
        <f>IFERROR(SUMIFS('Base bordo'!I$2:I$746,'Base bordo'!C$2:C$746,A1193,'Base bordo'!B$2:B$746,B1193,'Base bordo'!F$2:F$746,"DESLOCAMENTO VAZIO"),0)</f>
        <v>9555</v>
      </c>
      <c r="S1193" s="30">
        <f t="shared" si="121"/>
        <v>42.05929251700681</v>
      </c>
      <c r="T1193" s="10">
        <f>IFERROR(SUMIFS('Base bordo'!H$2:H$746,'Base bordo'!C$2:C$746,A1193,'Base bordo'!B$2:B$746,B1193,'Base bordo'!F$2:F$746,"DESLOCAMENTO CARREGADO"),0)</f>
        <v>198098.78999999998</v>
      </c>
      <c r="U1193" s="10">
        <f>IFERROR(SUMIFS('Base bordo'!I$2:I$746,'Base bordo'!C$2:C$746,A1193,'Base bordo'!B$2:B$746,B1193,'Base bordo'!F$2:F$746,"DESLOCAMENTO CARREGADO"),0)</f>
        <v>7256</v>
      </c>
      <c r="V1193" s="30">
        <f t="shared" si="122"/>
        <v>27.301376791620726</v>
      </c>
      <c r="W1193" s="9">
        <f t="shared" si="123"/>
        <v>0.1700389728257968</v>
      </c>
      <c r="X1193" s="9">
        <f t="shared" si="124"/>
        <v>0.12912640364458208</v>
      </c>
      <c r="Y1193" s="9">
        <f t="shared" si="125"/>
        <v>0.700834623529621</v>
      </c>
    </row>
    <row r="1194" spans="1:25" ht="15" customHeight="1" x14ac:dyDescent="0.35">
      <c r="A1194" s="52">
        <v>8013462</v>
      </c>
      <c r="B1194" s="51">
        <v>46124</v>
      </c>
      <c r="C1194" s="7" t="s">
        <v>124</v>
      </c>
      <c r="D1194" s="10">
        <f>IFERROR(SUMIFS('Base bordo'!G$2:G$746,'Base bordo'!C$2:C$746,A1194,'Base bordo'!B$2:B$746,B1194,'Base bordo'!F$2:F$746,"DESLOCAMENTO VAZIO"),0)</f>
        <v>2.6541666666666668</v>
      </c>
      <c r="E1194" s="10">
        <f>IFERROR(SUMIFS('Base bordo'!G$2:G$746,'Base bordo'!C$2:C$746,A1194,'Base bordo'!B$2:B$746,B1194,'Base bordo'!F$2:F$746,"DESLOCAMENTO CARREGADO"),0)</f>
        <v>2.0155555555555558</v>
      </c>
      <c r="F1194" s="10">
        <f>IFERROR(SUMIFS('Base bordo'!G$2:G$746,'Base bordo'!C$2:C$746,A1194,'Base bordo'!B$2:B$746,B1194,'Base bordo'!F$2:F$746,"DESLOCAMENTO"),0)</f>
        <v>0</v>
      </c>
      <c r="G1194" s="10">
        <f>IFERROR(SUMIFS('Base bordo'!G$2:G$746,'Base bordo'!C$2:C$746,A1194,'Base bordo'!B$2:B$746,B1194,'Base bordo'!F$2:F$746,"CARREGAMENTO"),0)</f>
        <v>0</v>
      </c>
      <c r="H1194" s="10">
        <f>IFERROR(SUMIFS('Base bordo'!G$2:G$746,'Base bordo'!C$2:C$746,A1194,'Base bordo'!B$2:B$746,B1194,'Base bordo'!F$2:F$746,"AGUARDANDO TRANSBORDO"),0)</f>
        <v>0.33611111111111114</v>
      </c>
      <c r="I1194" s="10">
        <f>IFERROR(SUMIFS('Base bordo'!G$2:G$746,'Base bordo'!C$2:C$746,A1194,'Base bordo'!B$2:B$746,B1194,'Base bordo'!F$2:F$746,"PÁTIO INTERNO"),0)+IFERROR(SUMIFS('Base bordo'!G$2:G$746,'Base bordo'!C$2:C$746,A1194,'Base bordo'!B$2:B$746,B1194,'Base bordo'!F$2:F$746,"PÁTIO EXTERNO"),0)+IFERROR(SUMIFS('Base bordo'!G$2:G$746,'Base bordo'!C$2:C$746,A1194,'Base bordo'!B$2:B$746,B1194,'Base bordo'!F$2:F$746,"PATIO - RESERVA"),0)+IFERROR(SUMIFS('Base bordo'!G$2:G$746,'Base bordo'!C$2:C$746,A1194,'Base bordo'!B$2:B$746,B1194,'Base bordo'!F$2:F$746,"MANOBRA CARRETAS-PATIO"),0)</f>
        <v>10.451944444444445</v>
      </c>
      <c r="J1194" s="10">
        <f>IFERROR(SUMIFS('Base bordo'!G$2:G$746,'Base bordo'!C$2:C$746,A1194,'Base bordo'!B$2:B$746,B1194,'Base bordo'!F$2:F$746,"BALANÇA - ENTRADA"),0)+IFERROR(SUMIFS('Base bordo'!G$2:G$746,'Base bordo'!C$2:C$746,A1194,'Base bordo'!B$2:B$746,B1194,'Base bordo'!F$2:F$746,"BALANÇA - SAÍDA"),0)</f>
        <v>0.15138888888888888</v>
      </c>
      <c r="K1194" s="10">
        <f>IFERROR(SUMIFS('Base bordo'!G$2:G$746,'Base bordo'!C$2:C$746,A1194,'Base bordo'!B$2:B$746,B1194,'Base bordo'!F$2:F$746,"MAN PREVENTIVA - MECANICA"),0)+IFERROR(SUMIFS('Base bordo'!G$2:G$746,'Base bordo'!C$2:C$746,A1194,'Base bordo'!B$2:B$746,B1194,'Base bordo'!F$2:F$746,"MAN CORRETIVA - MECANICA"),0)</f>
        <v>0</v>
      </c>
      <c r="L1194" s="10">
        <f>IFERROR(SUMIFS('Base bordo'!G$2:G$746,'Base bordo'!C$2:C$746,A1194,'Base bordo'!B$2:B$746,B1194,'Base bordo'!F$2:F$746,"MANUTENCAO - T O"),0)+IFERROR(SUMIFS('Base bordo'!G$2:G$746,'Base bordo'!C$2:C$746,A1194,'Base bordo'!B$2:B$746,B1194,'Base bordo'!F$2:F$746,"MANUTENCAO BORRACHARIA"),0)+IFERROR(SUMIFS('Base bordo'!G$2:G$746,'Base bordo'!C$2:C$746,A1194,'Base bordo'!B$2:B$746,B1194,'Base bordo'!F$2:F$746,"MANUTENCAO EXTERNA  CONCESSIONARIA"),0)+IFERROR(SUMIFS('Base bordo'!G$2:G$746,'Base bordo'!C$2:C$746,A1194,'Base bordo'!B$2:B$746,B1194,'Base bordo'!F$2:F$746,"MANUTENCAO TELEMETRIA"),0)</f>
        <v>0</v>
      </c>
      <c r="M1194" s="10">
        <f>IFERROR(SUMIFS('Base bordo'!G$2:G$746,'Base bordo'!C$2:C$746,A1194,'Base bordo'!B$2:B$746,B1194,'Base bordo'!F$2:F$746,"AGUARDANDO MANUTENCAO"),0)</f>
        <v>0</v>
      </c>
      <c r="N1194" s="10">
        <f>IFERROR(SUMIFS('Base bordo'!G$2:G$746,'Base bordo'!C$2:C$746,A1194,'Base bordo'!B$2:B$746,B1194,'Base bordo'!F$2:F$746,"SEM APONTAMENTO"),0)</f>
        <v>0</v>
      </c>
      <c r="O1194" s="10">
        <f t="shared" si="120"/>
        <v>0</v>
      </c>
      <c r="P1194" s="10">
        <f>IFERROR(SUMIFS('Base bordo'!G$2:G$746,'Base bordo'!C$2:C$746,A1194,'Base bordo'!B$2:B$746,B1194),0)</f>
        <v>15.609166666666667</v>
      </c>
      <c r="Q1194" s="10">
        <f>IFERROR(SUMIFS('Base bordo'!H$2:H$746,'Base bordo'!C$2:C$746,A1194,'Base bordo'!B$2:B$746,B1194,'Base bordo'!F$2:F$746,"DESLOCAMENTO VAZIO"),0)</f>
        <v>401876.54000000004</v>
      </c>
      <c r="R1194" s="10">
        <f>IFERROR(SUMIFS('Base bordo'!I$2:I$746,'Base bordo'!C$2:C$746,A1194,'Base bordo'!B$2:B$746,B1194,'Base bordo'!F$2:F$746,"DESLOCAMENTO VAZIO"),0)</f>
        <v>9555</v>
      </c>
      <c r="S1194" s="30">
        <f t="shared" si="121"/>
        <v>42.05929251700681</v>
      </c>
      <c r="T1194" s="10">
        <f>IFERROR(SUMIFS('Base bordo'!H$2:H$746,'Base bordo'!C$2:C$746,A1194,'Base bordo'!B$2:B$746,B1194,'Base bordo'!F$2:F$746,"DESLOCAMENTO CARREGADO"),0)</f>
        <v>198098.78999999998</v>
      </c>
      <c r="U1194" s="10">
        <f>IFERROR(SUMIFS('Base bordo'!I$2:I$746,'Base bordo'!C$2:C$746,A1194,'Base bordo'!B$2:B$746,B1194,'Base bordo'!F$2:F$746,"DESLOCAMENTO CARREGADO"),0)</f>
        <v>7256</v>
      </c>
      <c r="V1194" s="30">
        <f t="shared" si="122"/>
        <v>27.301376791620726</v>
      </c>
      <c r="W1194" s="9">
        <f t="shared" si="123"/>
        <v>0.1700389728257968</v>
      </c>
      <c r="X1194" s="9">
        <f t="shared" si="124"/>
        <v>0.12912640364458208</v>
      </c>
      <c r="Y1194" s="9">
        <f t="shared" si="125"/>
        <v>0.700834623529621</v>
      </c>
    </row>
    <row r="1195" spans="1:25" ht="15" customHeight="1" x14ac:dyDescent="0.35">
      <c r="A1195" s="52">
        <v>8013462</v>
      </c>
      <c r="B1195" s="51">
        <v>46124</v>
      </c>
      <c r="C1195" s="7" t="s">
        <v>124</v>
      </c>
      <c r="D1195" s="10">
        <f>IFERROR(SUMIFS('Base bordo'!G$2:G$746,'Base bordo'!C$2:C$746,A1195,'Base bordo'!B$2:B$746,B1195,'Base bordo'!F$2:F$746,"DESLOCAMENTO VAZIO"),0)</f>
        <v>2.6541666666666668</v>
      </c>
      <c r="E1195" s="10">
        <f>IFERROR(SUMIFS('Base bordo'!G$2:G$746,'Base bordo'!C$2:C$746,A1195,'Base bordo'!B$2:B$746,B1195,'Base bordo'!F$2:F$746,"DESLOCAMENTO CARREGADO"),0)</f>
        <v>2.0155555555555558</v>
      </c>
      <c r="F1195" s="10">
        <f>IFERROR(SUMIFS('Base bordo'!G$2:G$746,'Base bordo'!C$2:C$746,A1195,'Base bordo'!B$2:B$746,B1195,'Base bordo'!F$2:F$746,"DESLOCAMENTO"),0)</f>
        <v>0</v>
      </c>
      <c r="G1195" s="10">
        <f>IFERROR(SUMIFS('Base bordo'!G$2:G$746,'Base bordo'!C$2:C$746,A1195,'Base bordo'!B$2:B$746,B1195,'Base bordo'!F$2:F$746,"CARREGAMENTO"),0)</f>
        <v>0</v>
      </c>
      <c r="H1195" s="10">
        <f>IFERROR(SUMIFS('Base bordo'!G$2:G$746,'Base bordo'!C$2:C$746,A1195,'Base bordo'!B$2:B$746,B1195,'Base bordo'!F$2:F$746,"AGUARDANDO TRANSBORDO"),0)</f>
        <v>0.33611111111111114</v>
      </c>
      <c r="I1195" s="10">
        <f>IFERROR(SUMIFS('Base bordo'!G$2:G$746,'Base bordo'!C$2:C$746,A1195,'Base bordo'!B$2:B$746,B1195,'Base bordo'!F$2:F$746,"PÁTIO INTERNO"),0)+IFERROR(SUMIFS('Base bordo'!G$2:G$746,'Base bordo'!C$2:C$746,A1195,'Base bordo'!B$2:B$746,B1195,'Base bordo'!F$2:F$746,"PÁTIO EXTERNO"),0)+IFERROR(SUMIFS('Base bordo'!G$2:G$746,'Base bordo'!C$2:C$746,A1195,'Base bordo'!B$2:B$746,B1195,'Base bordo'!F$2:F$746,"PATIO - RESERVA"),0)+IFERROR(SUMIFS('Base bordo'!G$2:G$746,'Base bordo'!C$2:C$746,A1195,'Base bordo'!B$2:B$746,B1195,'Base bordo'!F$2:F$746,"MANOBRA CARRETAS-PATIO"),0)</f>
        <v>10.451944444444445</v>
      </c>
      <c r="J1195" s="10">
        <f>IFERROR(SUMIFS('Base bordo'!G$2:G$746,'Base bordo'!C$2:C$746,A1195,'Base bordo'!B$2:B$746,B1195,'Base bordo'!F$2:F$746,"BALANÇA - ENTRADA"),0)+IFERROR(SUMIFS('Base bordo'!G$2:G$746,'Base bordo'!C$2:C$746,A1195,'Base bordo'!B$2:B$746,B1195,'Base bordo'!F$2:F$746,"BALANÇA - SAÍDA"),0)</f>
        <v>0.15138888888888888</v>
      </c>
      <c r="K1195" s="10">
        <f>IFERROR(SUMIFS('Base bordo'!G$2:G$746,'Base bordo'!C$2:C$746,A1195,'Base bordo'!B$2:B$746,B1195,'Base bordo'!F$2:F$746,"MAN PREVENTIVA - MECANICA"),0)+IFERROR(SUMIFS('Base bordo'!G$2:G$746,'Base bordo'!C$2:C$746,A1195,'Base bordo'!B$2:B$746,B1195,'Base bordo'!F$2:F$746,"MAN CORRETIVA - MECANICA"),0)</f>
        <v>0</v>
      </c>
      <c r="L1195" s="10">
        <f>IFERROR(SUMIFS('Base bordo'!G$2:G$746,'Base bordo'!C$2:C$746,A1195,'Base bordo'!B$2:B$746,B1195,'Base bordo'!F$2:F$746,"MANUTENCAO - T O"),0)+IFERROR(SUMIFS('Base bordo'!G$2:G$746,'Base bordo'!C$2:C$746,A1195,'Base bordo'!B$2:B$746,B1195,'Base bordo'!F$2:F$746,"MANUTENCAO BORRACHARIA"),0)+IFERROR(SUMIFS('Base bordo'!G$2:G$746,'Base bordo'!C$2:C$746,A1195,'Base bordo'!B$2:B$746,B1195,'Base bordo'!F$2:F$746,"MANUTENCAO EXTERNA  CONCESSIONARIA"),0)+IFERROR(SUMIFS('Base bordo'!G$2:G$746,'Base bordo'!C$2:C$746,A1195,'Base bordo'!B$2:B$746,B1195,'Base bordo'!F$2:F$746,"MANUTENCAO TELEMETRIA"),0)</f>
        <v>0</v>
      </c>
      <c r="M1195" s="10">
        <f>IFERROR(SUMIFS('Base bordo'!G$2:G$746,'Base bordo'!C$2:C$746,A1195,'Base bordo'!B$2:B$746,B1195,'Base bordo'!F$2:F$746,"AGUARDANDO MANUTENCAO"),0)</f>
        <v>0</v>
      </c>
      <c r="N1195" s="10">
        <f>IFERROR(SUMIFS('Base bordo'!G$2:G$746,'Base bordo'!C$2:C$746,A1195,'Base bordo'!B$2:B$746,B1195,'Base bordo'!F$2:F$746,"SEM APONTAMENTO"),0)</f>
        <v>0</v>
      </c>
      <c r="O1195" s="10">
        <f t="shared" si="120"/>
        <v>0</v>
      </c>
      <c r="P1195" s="10">
        <f>IFERROR(SUMIFS('Base bordo'!G$2:G$746,'Base bordo'!C$2:C$746,A1195,'Base bordo'!B$2:B$746,B1195),0)</f>
        <v>15.609166666666667</v>
      </c>
      <c r="Q1195" s="10">
        <f>IFERROR(SUMIFS('Base bordo'!H$2:H$746,'Base bordo'!C$2:C$746,A1195,'Base bordo'!B$2:B$746,B1195,'Base bordo'!F$2:F$746,"DESLOCAMENTO VAZIO"),0)</f>
        <v>401876.54000000004</v>
      </c>
      <c r="R1195" s="10">
        <f>IFERROR(SUMIFS('Base bordo'!I$2:I$746,'Base bordo'!C$2:C$746,A1195,'Base bordo'!B$2:B$746,B1195,'Base bordo'!F$2:F$746,"DESLOCAMENTO VAZIO"),0)</f>
        <v>9555</v>
      </c>
      <c r="S1195" s="30">
        <f t="shared" si="121"/>
        <v>42.05929251700681</v>
      </c>
      <c r="T1195" s="10">
        <f>IFERROR(SUMIFS('Base bordo'!H$2:H$746,'Base bordo'!C$2:C$746,A1195,'Base bordo'!B$2:B$746,B1195,'Base bordo'!F$2:F$746,"DESLOCAMENTO CARREGADO"),0)</f>
        <v>198098.78999999998</v>
      </c>
      <c r="U1195" s="10">
        <f>IFERROR(SUMIFS('Base bordo'!I$2:I$746,'Base bordo'!C$2:C$746,A1195,'Base bordo'!B$2:B$746,B1195,'Base bordo'!F$2:F$746,"DESLOCAMENTO CARREGADO"),0)</f>
        <v>7256</v>
      </c>
      <c r="V1195" s="30">
        <f t="shared" si="122"/>
        <v>27.301376791620726</v>
      </c>
      <c r="W1195" s="9">
        <f t="shared" si="123"/>
        <v>0.1700389728257968</v>
      </c>
      <c r="X1195" s="9">
        <f t="shared" si="124"/>
        <v>0.12912640364458208</v>
      </c>
      <c r="Y1195" s="9">
        <f t="shared" si="125"/>
        <v>0.700834623529621</v>
      </c>
    </row>
    <row r="1196" spans="1:25" ht="15" customHeight="1" x14ac:dyDescent="0.35">
      <c r="A1196" s="52">
        <v>8013462</v>
      </c>
      <c r="B1196" s="51">
        <v>46124</v>
      </c>
      <c r="C1196" s="7" t="s">
        <v>124</v>
      </c>
      <c r="D1196" s="10">
        <f>IFERROR(SUMIFS('Base bordo'!G$2:G$746,'Base bordo'!C$2:C$746,A1196,'Base bordo'!B$2:B$746,B1196,'Base bordo'!F$2:F$746,"DESLOCAMENTO VAZIO"),0)</f>
        <v>2.6541666666666668</v>
      </c>
      <c r="E1196" s="10">
        <f>IFERROR(SUMIFS('Base bordo'!G$2:G$746,'Base bordo'!C$2:C$746,A1196,'Base bordo'!B$2:B$746,B1196,'Base bordo'!F$2:F$746,"DESLOCAMENTO CARREGADO"),0)</f>
        <v>2.0155555555555558</v>
      </c>
      <c r="F1196" s="10">
        <f>IFERROR(SUMIFS('Base bordo'!G$2:G$746,'Base bordo'!C$2:C$746,A1196,'Base bordo'!B$2:B$746,B1196,'Base bordo'!F$2:F$746,"DESLOCAMENTO"),0)</f>
        <v>0</v>
      </c>
      <c r="G1196" s="10">
        <f>IFERROR(SUMIFS('Base bordo'!G$2:G$746,'Base bordo'!C$2:C$746,A1196,'Base bordo'!B$2:B$746,B1196,'Base bordo'!F$2:F$746,"CARREGAMENTO"),0)</f>
        <v>0</v>
      </c>
      <c r="H1196" s="10">
        <f>IFERROR(SUMIFS('Base bordo'!G$2:G$746,'Base bordo'!C$2:C$746,A1196,'Base bordo'!B$2:B$746,B1196,'Base bordo'!F$2:F$746,"AGUARDANDO TRANSBORDO"),0)</f>
        <v>0.33611111111111114</v>
      </c>
      <c r="I1196" s="10">
        <f>IFERROR(SUMIFS('Base bordo'!G$2:G$746,'Base bordo'!C$2:C$746,A1196,'Base bordo'!B$2:B$746,B1196,'Base bordo'!F$2:F$746,"PÁTIO INTERNO"),0)+IFERROR(SUMIFS('Base bordo'!G$2:G$746,'Base bordo'!C$2:C$746,A1196,'Base bordo'!B$2:B$746,B1196,'Base bordo'!F$2:F$746,"PÁTIO EXTERNO"),0)+IFERROR(SUMIFS('Base bordo'!G$2:G$746,'Base bordo'!C$2:C$746,A1196,'Base bordo'!B$2:B$746,B1196,'Base bordo'!F$2:F$746,"PATIO - RESERVA"),0)+IFERROR(SUMIFS('Base bordo'!G$2:G$746,'Base bordo'!C$2:C$746,A1196,'Base bordo'!B$2:B$746,B1196,'Base bordo'!F$2:F$746,"MANOBRA CARRETAS-PATIO"),0)</f>
        <v>10.451944444444445</v>
      </c>
      <c r="J1196" s="10">
        <f>IFERROR(SUMIFS('Base bordo'!G$2:G$746,'Base bordo'!C$2:C$746,A1196,'Base bordo'!B$2:B$746,B1196,'Base bordo'!F$2:F$746,"BALANÇA - ENTRADA"),0)+IFERROR(SUMIFS('Base bordo'!G$2:G$746,'Base bordo'!C$2:C$746,A1196,'Base bordo'!B$2:B$746,B1196,'Base bordo'!F$2:F$746,"BALANÇA - SAÍDA"),0)</f>
        <v>0.15138888888888888</v>
      </c>
      <c r="K1196" s="10">
        <f>IFERROR(SUMIFS('Base bordo'!G$2:G$746,'Base bordo'!C$2:C$746,A1196,'Base bordo'!B$2:B$746,B1196,'Base bordo'!F$2:F$746,"MAN PREVENTIVA - MECANICA"),0)+IFERROR(SUMIFS('Base bordo'!G$2:G$746,'Base bordo'!C$2:C$746,A1196,'Base bordo'!B$2:B$746,B1196,'Base bordo'!F$2:F$746,"MAN CORRETIVA - MECANICA"),0)</f>
        <v>0</v>
      </c>
      <c r="L1196" s="10">
        <f>IFERROR(SUMIFS('Base bordo'!G$2:G$746,'Base bordo'!C$2:C$746,A1196,'Base bordo'!B$2:B$746,B1196,'Base bordo'!F$2:F$746,"MANUTENCAO - T O"),0)+IFERROR(SUMIFS('Base bordo'!G$2:G$746,'Base bordo'!C$2:C$746,A1196,'Base bordo'!B$2:B$746,B1196,'Base bordo'!F$2:F$746,"MANUTENCAO BORRACHARIA"),0)+IFERROR(SUMIFS('Base bordo'!G$2:G$746,'Base bordo'!C$2:C$746,A1196,'Base bordo'!B$2:B$746,B1196,'Base bordo'!F$2:F$746,"MANUTENCAO EXTERNA  CONCESSIONARIA"),0)+IFERROR(SUMIFS('Base bordo'!G$2:G$746,'Base bordo'!C$2:C$746,A1196,'Base bordo'!B$2:B$746,B1196,'Base bordo'!F$2:F$746,"MANUTENCAO TELEMETRIA"),0)</f>
        <v>0</v>
      </c>
      <c r="M1196" s="10">
        <f>IFERROR(SUMIFS('Base bordo'!G$2:G$746,'Base bordo'!C$2:C$746,A1196,'Base bordo'!B$2:B$746,B1196,'Base bordo'!F$2:F$746,"AGUARDANDO MANUTENCAO"),0)</f>
        <v>0</v>
      </c>
      <c r="N1196" s="10">
        <f>IFERROR(SUMIFS('Base bordo'!G$2:G$746,'Base bordo'!C$2:C$746,A1196,'Base bordo'!B$2:B$746,B1196,'Base bordo'!F$2:F$746,"SEM APONTAMENTO"),0)</f>
        <v>0</v>
      </c>
      <c r="O1196" s="10">
        <f t="shared" si="120"/>
        <v>0</v>
      </c>
      <c r="P1196" s="10">
        <f>IFERROR(SUMIFS('Base bordo'!G$2:G$746,'Base bordo'!C$2:C$746,A1196,'Base bordo'!B$2:B$746,B1196),0)</f>
        <v>15.609166666666667</v>
      </c>
      <c r="Q1196" s="10">
        <f>IFERROR(SUMIFS('Base bordo'!H$2:H$746,'Base bordo'!C$2:C$746,A1196,'Base bordo'!B$2:B$746,B1196,'Base bordo'!F$2:F$746,"DESLOCAMENTO VAZIO"),0)</f>
        <v>401876.54000000004</v>
      </c>
      <c r="R1196" s="10">
        <f>IFERROR(SUMIFS('Base bordo'!I$2:I$746,'Base bordo'!C$2:C$746,A1196,'Base bordo'!B$2:B$746,B1196,'Base bordo'!F$2:F$746,"DESLOCAMENTO VAZIO"),0)</f>
        <v>9555</v>
      </c>
      <c r="S1196" s="30">
        <f t="shared" si="121"/>
        <v>42.05929251700681</v>
      </c>
      <c r="T1196" s="10">
        <f>IFERROR(SUMIFS('Base bordo'!H$2:H$746,'Base bordo'!C$2:C$746,A1196,'Base bordo'!B$2:B$746,B1196,'Base bordo'!F$2:F$746,"DESLOCAMENTO CARREGADO"),0)</f>
        <v>198098.78999999998</v>
      </c>
      <c r="U1196" s="10">
        <f>IFERROR(SUMIFS('Base bordo'!I$2:I$746,'Base bordo'!C$2:C$746,A1196,'Base bordo'!B$2:B$746,B1196,'Base bordo'!F$2:F$746,"DESLOCAMENTO CARREGADO"),0)</f>
        <v>7256</v>
      </c>
      <c r="V1196" s="30">
        <f t="shared" si="122"/>
        <v>27.301376791620726</v>
      </c>
      <c r="W1196" s="9">
        <f t="shared" si="123"/>
        <v>0.1700389728257968</v>
      </c>
      <c r="X1196" s="9">
        <f t="shared" si="124"/>
        <v>0.12912640364458208</v>
      </c>
      <c r="Y1196" s="9">
        <f t="shared" si="125"/>
        <v>0.700834623529621</v>
      </c>
    </row>
    <row r="1197" spans="1:25" ht="15" customHeight="1" x14ac:dyDescent="0.35">
      <c r="A1197" s="52">
        <v>8013462</v>
      </c>
      <c r="B1197" s="51">
        <v>46124</v>
      </c>
      <c r="C1197" s="7" t="s">
        <v>124</v>
      </c>
      <c r="D1197" s="10">
        <f>IFERROR(SUMIFS('Base bordo'!G$2:G$746,'Base bordo'!C$2:C$746,A1197,'Base bordo'!B$2:B$746,B1197,'Base bordo'!F$2:F$746,"DESLOCAMENTO VAZIO"),0)</f>
        <v>2.6541666666666668</v>
      </c>
      <c r="E1197" s="10">
        <f>IFERROR(SUMIFS('Base bordo'!G$2:G$746,'Base bordo'!C$2:C$746,A1197,'Base bordo'!B$2:B$746,B1197,'Base bordo'!F$2:F$746,"DESLOCAMENTO CARREGADO"),0)</f>
        <v>2.0155555555555558</v>
      </c>
      <c r="F1197" s="10">
        <f>IFERROR(SUMIFS('Base bordo'!G$2:G$746,'Base bordo'!C$2:C$746,A1197,'Base bordo'!B$2:B$746,B1197,'Base bordo'!F$2:F$746,"DESLOCAMENTO"),0)</f>
        <v>0</v>
      </c>
      <c r="G1197" s="10">
        <f>IFERROR(SUMIFS('Base bordo'!G$2:G$746,'Base bordo'!C$2:C$746,A1197,'Base bordo'!B$2:B$746,B1197,'Base bordo'!F$2:F$746,"CARREGAMENTO"),0)</f>
        <v>0</v>
      </c>
      <c r="H1197" s="10">
        <f>IFERROR(SUMIFS('Base bordo'!G$2:G$746,'Base bordo'!C$2:C$746,A1197,'Base bordo'!B$2:B$746,B1197,'Base bordo'!F$2:F$746,"AGUARDANDO TRANSBORDO"),0)</f>
        <v>0.33611111111111114</v>
      </c>
      <c r="I1197" s="10">
        <f>IFERROR(SUMIFS('Base bordo'!G$2:G$746,'Base bordo'!C$2:C$746,A1197,'Base bordo'!B$2:B$746,B1197,'Base bordo'!F$2:F$746,"PÁTIO INTERNO"),0)+IFERROR(SUMIFS('Base bordo'!G$2:G$746,'Base bordo'!C$2:C$746,A1197,'Base bordo'!B$2:B$746,B1197,'Base bordo'!F$2:F$746,"PÁTIO EXTERNO"),0)+IFERROR(SUMIFS('Base bordo'!G$2:G$746,'Base bordo'!C$2:C$746,A1197,'Base bordo'!B$2:B$746,B1197,'Base bordo'!F$2:F$746,"PATIO - RESERVA"),0)+IFERROR(SUMIFS('Base bordo'!G$2:G$746,'Base bordo'!C$2:C$746,A1197,'Base bordo'!B$2:B$746,B1197,'Base bordo'!F$2:F$746,"MANOBRA CARRETAS-PATIO"),0)</f>
        <v>10.451944444444445</v>
      </c>
      <c r="J1197" s="10">
        <f>IFERROR(SUMIFS('Base bordo'!G$2:G$746,'Base bordo'!C$2:C$746,A1197,'Base bordo'!B$2:B$746,B1197,'Base bordo'!F$2:F$746,"BALANÇA - ENTRADA"),0)+IFERROR(SUMIFS('Base bordo'!G$2:G$746,'Base bordo'!C$2:C$746,A1197,'Base bordo'!B$2:B$746,B1197,'Base bordo'!F$2:F$746,"BALANÇA - SAÍDA"),0)</f>
        <v>0.15138888888888888</v>
      </c>
      <c r="K1197" s="10">
        <f>IFERROR(SUMIFS('Base bordo'!G$2:G$746,'Base bordo'!C$2:C$746,A1197,'Base bordo'!B$2:B$746,B1197,'Base bordo'!F$2:F$746,"MAN PREVENTIVA - MECANICA"),0)+IFERROR(SUMIFS('Base bordo'!G$2:G$746,'Base bordo'!C$2:C$746,A1197,'Base bordo'!B$2:B$746,B1197,'Base bordo'!F$2:F$746,"MAN CORRETIVA - MECANICA"),0)</f>
        <v>0</v>
      </c>
      <c r="L1197" s="10">
        <f>IFERROR(SUMIFS('Base bordo'!G$2:G$746,'Base bordo'!C$2:C$746,A1197,'Base bordo'!B$2:B$746,B1197,'Base bordo'!F$2:F$746,"MANUTENCAO - T O"),0)+IFERROR(SUMIFS('Base bordo'!G$2:G$746,'Base bordo'!C$2:C$746,A1197,'Base bordo'!B$2:B$746,B1197,'Base bordo'!F$2:F$746,"MANUTENCAO BORRACHARIA"),0)+IFERROR(SUMIFS('Base bordo'!G$2:G$746,'Base bordo'!C$2:C$746,A1197,'Base bordo'!B$2:B$746,B1197,'Base bordo'!F$2:F$746,"MANUTENCAO EXTERNA  CONCESSIONARIA"),0)+IFERROR(SUMIFS('Base bordo'!G$2:G$746,'Base bordo'!C$2:C$746,A1197,'Base bordo'!B$2:B$746,B1197,'Base bordo'!F$2:F$746,"MANUTENCAO TELEMETRIA"),0)</f>
        <v>0</v>
      </c>
      <c r="M1197" s="10">
        <f>IFERROR(SUMIFS('Base bordo'!G$2:G$746,'Base bordo'!C$2:C$746,A1197,'Base bordo'!B$2:B$746,B1197,'Base bordo'!F$2:F$746,"AGUARDANDO MANUTENCAO"),0)</f>
        <v>0</v>
      </c>
      <c r="N1197" s="10">
        <f>IFERROR(SUMIFS('Base bordo'!G$2:G$746,'Base bordo'!C$2:C$746,A1197,'Base bordo'!B$2:B$746,B1197,'Base bordo'!F$2:F$746,"SEM APONTAMENTO"),0)</f>
        <v>0</v>
      </c>
      <c r="O1197" s="10">
        <f t="shared" si="120"/>
        <v>0</v>
      </c>
      <c r="P1197" s="10">
        <f>IFERROR(SUMIFS('Base bordo'!G$2:G$746,'Base bordo'!C$2:C$746,A1197,'Base bordo'!B$2:B$746,B1197),0)</f>
        <v>15.609166666666667</v>
      </c>
      <c r="Q1197" s="10">
        <f>IFERROR(SUMIFS('Base bordo'!H$2:H$746,'Base bordo'!C$2:C$746,A1197,'Base bordo'!B$2:B$746,B1197,'Base bordo'!F$2:F$746,"DESLOCAMENTO VAZIO"),0)</f>
        <v>401876.54000000004</v>
      </c>
      <c r="R1197" s="10">
        <f>IFERROR(SUMIFS('Base bordo'!I$2:I$746,'Base bordo'!C$2:C$746,A1197,'Base bordo'!B$2:B$746,B1197,'Base bordo'!F$2:F$746,"DESLOCAMENTO VAZIO"),0)</f>
        <v>9555</v>
      </c>
      <c r="S1197" s="30">
        <f t="shared" si="121"/>
        <v>42.05929251700681</v>
      </c>
      <c r="T1197" s="10">
        <f>IFERROR(SUMIFS('Base bordo'!H$2:H$746,'Base bordo'!C$2:C$746,A1197,'Base bordo'!B$2:B$746,B1197,'Base bordo'!F$2:F$746,"DESLOCAMENTO CARREGADO"),0)</f>
        <v>198098.78999999998</v>
      </c>
      <c r="U1197" s="10">
        <f>IFERROR(SUMIFS('Base bordo'!I$2:I$746,'Base bordo'!C$2:C$746,A1197,'Base bordo'!B$2:B$746,B1197,'Base bordo'!F$2:F$746,"DESLOCAMENTO CARREGADO"),0)</f>
        <v>7256</v>
      </c>
      <c r="V1197" s="30">
        <f t="shared" si="122"/>
        <v>27.301376791620726</v>
      </c>
      <c r="W1197" s="9">
        <f t="shared" si="123"/>
        <v>0.1700389728257968</v>
      </c>
      <c r="X1197" s="9">
        <f t="shared" si="124"/>
        <v>0.12912640364458208</v>
      </c>
      <c r="Y1197" s="9">
        <f t="shared" si="125"/>
        <v>0.700834623529621</v>
      </c>
    </row>
    <row r="1198" spans="1:25" ht="15" customHeight="1" x14ac:dyDescent="0.35">
      <c r="A1198" s="52">
        <v>8013462</v>
      </c>
      <c r="B1198" s="51">
        <v>46124</v>
      </c>
      <c r="C1198" s="7" t="s">
        <v>124</v>
      </c>
      <c r="D1198" s="10">
        <f>IFERROR(SUMIFS('Base bordo'!G$2:G$746,'Base bordo'!C$2:C$746,A1198,'Base bordo'!B$2:B$746,B1198,'Base bordo'!F$2:F$746,"DESLOCAMENTO VAZIO"),0)</f>
        <v>2.6541666666666668</v>
      </c>
      <c r="E1198" s="10">
        <f>IFERROR(SUMIFS('Base bordo'!G$2:G$746,'Base bordo'!C$2:C$746,A1198,'Base bordo'!B$2:B$746,B1198,'Base bordo'!F$2:F$746,"DESLOCAMENTO CARREGADO"),0)</f>
        <v>2.0155555555555558</v>
      </c>
      <c r="F1198" s="10">
        <f>IFERROR(SUMIFS('Base bordo'!G$2:G$746,'Base bordo'!C$2:C$746,A1198,'Base bordo'!B$2:B$746,B1198,'Base bordo'!F$2:F$746,"DESLOCAMENTO"),0)</f>
        <v>0</v>
      </c>
      <c r="G1198" s="10">
        <f>IFERROR(SUMIFS('Base bordo'!G$2:G$746,'Base bordo'!C$2:C$746,A1198,'Base bordo'!B$2:B$746,B1198,'Base bordo'!F$2:F$746,"CARREGAMENTO"),0)</f>
        <v>0</v>
      </c>
      <c r="H1198" s="10">
        <f>IFERROR(SUMIFS('Base bordo'!G$2:G$746,'Base bordo'!C$2:C$746,A1198,'Base bordo'!B$2:B$746,B1198,'Base bordo'!F$2:F$746,"AGUARDANDO TRANSBORDO"),0)</f>
        <v>0.33611111111111114</v>
      </c>
      <c r="I1198" s="10">
        <f>IFERROR(SUMIFS('Base bordo'!G$2:G$746,'Base bordo'!C$2:C$746,A1198,'Base bordo'!B$2:B$746,B1198,'Base bordo'!F$2:F$746,"PÁTIO INTERNO"),0)+IFERROR(SUMIFS('Base bordo'!G$2:G$746,'Base bordo'!C$2:C$746,A1198,'Base bordo'!B$2:B$746,B1198,'Base bordo'!F$2:F$746,"PÁTIO EXTERNO"),0)+IFERROR(SUMIFS('Base bordo'!G$2:G$746,'Base bordo'!C$2:C$746,A1198,'Base bordo'!B$2:B$746,B1198,'Base bordo'!F$2:F$746,"PATIO - RESERVA"),0)+IFERROR(SUMIFS('Base bordo'!G$2:G$746,'Base bordo'!C$2:C$746,A1198,'Base bordo'!B$2:B$746,B1198,'Base bordo'!F$2:F$746,"MANOBRA CARRETAS-PATIO"),0)</f>
        <v>10.451944444444445</v>
      </c>
      <c r="J1198" s="10">
        <f>IFERROR(SUMIFS('Base bordo'!G$2:G$746,'Base bordo'!C$2:C$746,A1198,'Base bordo'!B$2:B$746,B1198,'Base bordo'!F$2:F$746,"BALANÇA - ENTRADA"),0)+IFERROR(SUMIFS('Base bordo'!G$2:G$746,'Base bordo'!C$2:C$746,A1198,'Base bordo'!B$2:B$746,B1198,'Base bordo'!F$2:F$746,"BALANÇA - SAÍDA"),0)</f>
        <v>0.15138888888888888</v>
      </c>
      <c r="K1198" s="10">
        <f>IFERROR(SUMIFS('Base bordo'!G$2:G$746,'Base bordo'!C$2:C$746,A1198,'Base bordo'!B$2:B$746,B1198,'Base bordo'!F$2:F$746,"MAN PREVENTIVA - MECANICA"),0)+IFERROR(SUMIFS('Base bordo'!G$2:G$746,'Base bordo'!C$2:C$746,A1198,'Base bordo'!B$2:B$746,B1198,'Base bordo'!F$2:F$746,"MAN CORRETIVA - MECANICA"),0)</f>
        <v>0</v>
      </c>
      <c r="L1198" s="10">
        <f>IFERROR(SUMIFS('Base bordo'!G$2:G$746,'Base bordo'!C$2:C$746,A1198,'Base bordo'!B$2:B$746,B1198,'Base bordo'!F$2:F$746,"MANUTENCAO - T O"),0)+IFERROR(SUMIFS('Base bordo'!G$2:G$746,'Base bordo'!C$2:C$746,A1198,'Base bordo'!B$2:B$746,B1198,'Base bordo'!F$2:F$746,"MANUTENCAO BORRACHARIA"),0)+IFERROR(SUMIFS('Base bordo'!G$2:G$746,'Base bordo'!C$2:C$746,A1198,'Base bordo'!B$2:B$746,B1198,'Base bordo'!F$2:F$746,"MANUTENCAO EXTERNA  CONCESSIONARIA"),0)+IFERROR(SUMIFS('Base bordo'!G$2:G$746,'Base bordo'!C$2:C$746,A1198,'Base bordo'!B$2:B$746,B1198,'Base bordo'!F$2:F$746,"MANUTENCAO TELEMETRIA"),0)</f>
        <v>0</v>
      </c>
      <c r="M1198" s="10">
        <f>IFERROR(SUMIFS('Base bordo'!G$2:G$746,'Base bordo'!C$2:C$746,A1198,'Base bordo'!B$2:B$746,B1198,'Base bordo'!F$2:F$746,"AGUARDANDO MANUTENCAO"),0)</f>
        <v>0</v>
      </c>
      <c r="N1198" s="10">
        <f>IFERROR(SUMIFS('Base bordo'!G$2:G$746,'Base bordo'!C$2:C$746,A1198,'Base bordo'!B$2:B$746,B1198,'Base bordo'!F$2:F$746,"SEM APONTAMENTO"),0)</f>
        <v>0</v>
      </c>
      <c r="O1198" s="10">
        <f t="shared" si="120"/>
        <v>0</v>
      </c>
      <c r="P1198" s="10">
        <f>IFERROR(SUMIFS('Base bordo'!G$2:G$746,'Base bordo'!C$2:C$746,A1198,'Base bordo'!B$2:B$746,B1198),0)</f>
        <v>15.609166666666667</v>
      </c>
      <c r="Q1198" s="10">
        <f>IFERROR(SUMIFS('Base bordo'!H$2:H$746,'Base bordo'!C$2:C$746,A1198,'Base bordo'!B$2:B$746,B1198,'Base bordo'!F$2:F$746,"DESLOCAMENTO VAZIO"),0)</f>
        <v>401876.54000000004</v>
      </c>
      <c r="R1198" s="10">
        <f>IFERROR(SUMIFS('Base bordo'!I$2:I$746,'Base bordo'!C$2:C$746,A1198,'Base bordo'!B$2:B$746,B1198,'Base bordo'!F$2:F$746,"DESLOCAMENTO VAZIO"),0)</f>
        <v>9555</v>
      </c>
      <c r="S1198" s="30">
        <f t="shared" si="121"/>
        <v>42.05929251700681</v>
      </c>
      <c r="T1198" s="10">
        <f>IFERROR(SUMIFS('Base bordo'!H$2:H$746,'Base bordo'!C$2:C$746,A1198,'Base bordo'!B$2:B$746,B1198,'Base bordo'!F$2:F$746,"DESLOCAMENTO CARREGADO"),0)</f>
        <v>198098.78999999998</v>
      </c>
      <c r="U1198" s="10">
        <f>IFERROR(SUMIFS('Base bordo'!I$2:I$746,'Base bordo'!C$2:C$746,A1198,'Base bordo'!B$2:B$746,B1198,'Base bordo'!F$2:F$746,"DESLOCAMENTO CARREGADO"),0)</f>
        <v>7256</v>
      </c>
      <c r="V1198" s="30">
        <f t="shared" si="122"/>
        <v>27.301376791620726</v>
      </c>
      <c r="W1198" s="9">
        <f t="shared" si="123"/>
        <v>0.1700389728257968</v>
      </c>
      <c r="X1198" s="9">
        <f t="shared" si="124"/>
        <v>0.12912640364458208</v>
      </c>
      <c r="Y1198" s="9">
        <f t="shared" si="125"/>
        <v>0.700834623529621</v>
      </c>
    </row>
    <row r="1199" spans="1:25" ht="15" customHeight="1" x14ac:dyDescent="0.35">
      <c r="A1199" s="52">
        <v>8013462</v>
      </c>
      <c r="B1199" s="51">
        <v>46124</v>
      </c>
      <c r="C1199" s="7" t="s">
        <v>124</v>
      </c>
      <c r="D1199" s="10">
        <f>IFERROR(SUMIFS('Base bordo'!G$2:G$746,'Base bordo'!C$2:C$746,A1199,'Base bordo'!B$2:B$746,B1199,'Base bordo'!F$2:F$746,"DESLOCAMENTO VAZIO"),0)</f>
        <v>2.6541666666666668</v>
      </c>
      <c r="E1199" s="10">
        <f>IFERROR(SUMIFS('Base bordo'!G$2:G$746,'Base bordo'!C$2:C$746,A1199,'Base bordo'!B$2:B$746,B1199,'Base bordo'!F$2:F$746,"DESLOCAMENTO CARREGADO"),0)</f>
        <v>2.0155555555555558</v>
      </c>
      <c r="F1199" s="10">
        <f>IFERROR(SUMIFS('Base bordo'!G$2:G$746,'Base bordo'!C$2:C$746,A1199,'Base bordo'!B$2:B$746,B1199,'Base bordo'!F$2:F$746,"DESLOCAMENTO"),0)</f>
        <v>0</v>
      </c>
      <c r="G1199" s="10">
        <f>IFERROR(SUMIFS('Base bordo'!G$2:G$746,'Base bordo'!C$2:C$746,A1199,'Base bordo'!B$2:B$746,B1199,'Base bordo'!F$2:F$746,"CARREGAMENTO"),0)</f>
        <v>0</v>
      </c>
      <c r="H1199" s="10">
        <f>IFERROR(SUMIFS('Base bordo'!G$2:G$746,'Base bordo'!C$2:C$746,A1199,'Base bordo'!B$2:B$746,B1199,'Base bordo'!F$2:F$746,"AGUARDANDO TRANSBORDO"),0)</f>
        <v>0.33611111111111114</v>
      </c>
      <c r="I1199" s="10">
        <f>IFERROR(SUMIFS('Base bordo'!G$2:G$746,'Base bordo'!C$2:C$746,A1199,'Base bordo'!B$2:B$746,B1199,'Base bordo'!F$2:F$746,"PÁTIO INTERNO"),0)+IFERROR(SUMIFS('Base bordo'!G$2:G$746,'Base bordo'!C$2:C$746,A1199,'Base bordo'!B$2:B$746,B1199,'Base bordo'!F$2:F$746,"PÁTIO EXTERNO"),0)+IFERROR(SUMIFS('Base bordo'!G$2:G$746,'Base bordo'!C$2:C$746,A1199,'Base bordo'!B$2:B$746,B1199,'Base bordo'!F$2:F$746,"PATIO - RESERVA"),0)+IFERROR(SUMIFS('Base bordo'!G$2:G$746,'Base bordo'!C$2:C$746,A1199,'Base bordo'!B$2:B$746,B1199,'Base bordo'!F$2:F$746,"MANOBRA CARRETAS-PATIO"),0)</f>
        <v>10.451944444444445</v>
      </c>
      <c r="J1199" s="10">
        <f>IFERROR(SUMIFS('Base bordo'!G$2:G$746,'Base bordo'!C$2:C$746,A1199,'Base bordo'!B$2:B$746,B1199,'Base bordo'!F$2:F$746,"BALANÇA - ENTRADA"),0)+IFERROR(SUMIFS('Base bordo'!G$2:G$746,'Base bordo'!C$2:C$746,A1199,'Base bordo'!B$2:B$746,B1199,'Base bordo'!F$2:F$746,"BALANÇA - SAÍDA"),0)</f>
        <v>0.15138888888888888</v>
      </c>
      <c r="K1199" s="10">
        <f>IFERROR(SUMIFS('Base bordo'!G$2:G$746,'Base bordo'!C$2:C$746,A1199,'Base bordo'!B$2:B$746,B1199,'Base bordo'!F$2:F$746,"MAN PREVENTIVA - MECANICA"),0)+IFERROR(SUMIFS('Base bordo'!G$2:G$746,'Base bordo'!C$2:C$746,A1199,'Base bordo'!B$2:B$746,B1199,'Base bordo'!F$2:F$746,"MAN CORRETIVA - MECANICA"),0)</f>
        <v>0</v>
      </c>
      <c r="L1199" s="10">
        <f>IFERROR(SUMIFS('Base bordo'!G$2:G$746,'Base bordo'!C$2:C$746,A1199,'Base bordo'!B$2:B$746,B1199,'Base bordo'!F$2:F$746,"MANUTENCAO - T O"),0)+IFERROR(SUMIFS('Base bordo'!G$2:G$746,'Base bordo'!C$2:C$746,A1199,'Base bordo'!B$2:B$746,B1199,'Base bordo'!F$2:F$746,"MANUTENCAO BORRACHARIA"),0)+IFERROR(SUMIFS('Base bordo'!G$2:G$746,'Base bordo'!C$2:C$746,A1199,'Base bordo'!B$2:B$746,B1199,'Base bordo'!F$2:F$746,"MANUTENCAO EXTERNA  CONCESSIONARIA"),0)+IFERROR(SUMIFS('Base bordo'!G$2:G$746,'Base bordo'!C$2:C$746,A1199,'Base bordo'!B$2:B$746,B1199,'Base bordo'!F$2:F$746,"MANUTENCAO TELEMETRIA"),0)</f>
        <v>0</v>
      </c>
      <c r="M1199" s="10">
        <f>IFERROR(SUMIFS('Base bordo'!G$2:G$746,'Base bordo'!C$2:C$746,A1199,'Base bordo'!B$2:B$746,B1199,'Base bordo'!F$2:F$746,"AGUARDANDO MANUTENCAO"),0)</f>
        <v>0</v>
      </c>
      <c r="N1199" s="10">
        <f>IFERROR(SUMIFS('Base bordo'!G$2:G$746,'Base bordo'!C$2:C$746,A1199,'Base bordo'!B$2:B$746,B1199,'Base bordo'!F$2:F$746,"SEM APONTAMENTO"),0)</f>
        <v>0</v>
      </c>
      <c r="O1199" s="10">
        <f t="shared" si="120"/>
        <v>0</v>
      </c>
      <c r="P1199" s="10">
        <f>IFERROR(SUMIFS('Base bordo'!G$2:G$746,'Base bordo'!C$2:C$746,A1199,'Base bordo'!B$2:B$746,B1199),0)</f>
        <v>15.609166666666667</v>
      </c>
      <c r="Q1199" s="10">
        <f>IFERROR(SUMIFS('Base bordo'!H$2:H$746,'Base bordo'!C$2:C$746,A1199,'Base bordo'!B$2:B$746,B1199,'Base bordo'!F$2:F$746,"DESLOCAMENTO VAZIO"),0)</f>
        <v>401876.54000000004</v>
      </c>
      <c r="R1199" s="10">
        <f>IFERROR(SUMIFS('Base bordo'!I$2:I$746,'Base bordo'!C$2:C$746,A1199,'Base bordo'!B$2:B$746,B1199,'Base bordo'!F$2:F$746,"DESLOCAMENTO VAZIO"),0)</f>
        <v>9555</v>
      </c>
      <c r="S1199" s="30">
        <f t="shared" si="121"/>
        <v>42.05929251700681</v>
      </c>
      <c r="T1199" s="10">
        <f>IFERROR(SUMIFS('Base bordo'!H$2:H$746,'Base bordo'!C$2:C$746,A1199,'Base bordo'!B$2:B$746,B1199,'Base bordo'!F$2:F$746,"DESLOCAMENTO CARREGADO"),0)</f>
        <v>198098.78999999998</v>
      </c>
      <c r="U1199" s="10">
        <f>IFERROR(SUMIFS('Base bordo'!I$2:I$746,'Base bordo'!C$2:C$746,A1199,'Base bordo'!B$2:B$746,B1199,'Base bordo'!F$2:F$746,"DESLOCAMENTO CARREGADO"),0)</f>
        <v>7256</v>
      </c>
      <c r="V1199" s="30">
        <f t="shared" si="122"/>
        <v>27.301376791620726</v>
      </c>
      <c r="W1199" s="9">
        <f t="shared" si="123"/>
        <v>0.1700389728257968</v>
      </c>
      <c r="X1199" s="9">
        <f t="shared" si="124"/>
        <v>0.12912640364458208</v>
      </c>
      <c r="Y1199" s="9">
        <f t="shared" si="125"/>
        <v>0.700834623529621</v>
      </c>
    </row>
    <row r="1200" spans="1:25" ht="15" customHeight="1" x14ac:dyDescent="0.35">
      <c r="A1200" s="52">
        <v>8013462</v>
      </c>
      <c r="B1200" s="51">
        <v>46124</v>
      </c>
      <c r="C1200" s="7" t="s">
        <v>124</v>
      </c>
      <c r="D1200" s="10">
        <f>IFERROR(SUMIFS('Base bordo'!G$2:G$746,'Base bordo'!C$2:C$746,A1200,'Base bordo'!B$2:B$746,B1200,'Base bordo'!F$2:F$746,"DESLOCAMENTO VAZIO"),0)</f>
        <v>2.6541666666666668</v>
      </c>
      <c r="E1200" s="10">
        <f>IFERROR(SUMIFS('Base bordo'!G$2:G$746,'Base bordo'!C$2:C$746,A1200,'Base bordo'!B$2:B$746,B1200,'Base bordo'!F$2:F$746,"DESLOCAMENTO CARREGADO"),0)</f>
        <v>2.0155555555555558</v>
      </c>
      <c r="F1200" s="10">
        <f>IFERROR(SUMIFS('Base bordo'!G$2:G$746,'Base bordo'!C$2:C$746,A1200,'Base bordo'!B$2:B$746,B1200,'Base bordo'!F$2:F$746,"DESLOCAMENTO"),0)</f>
        <v>0</v>
      </c>
      <c r="G1200" s="10">
        <f>IFERROR(SUMIFS('Base bordo'!G$2:G$746,'Base bordo'!C$2:C$746,A1200,'Base bordo'!B$2:B$746,B1200,'Base bordo'!F$2:F$746,"CARREGAMENTO"),0)</f>
        <v>0</v>
      </c>
      <c r="H1200" s="10">
        <f>IFERROR(SUMIFS('Base bordo'!G$2:G$746,'Base bordo'!C$2:C$746,A1200,'Base bordo'!B$2:B$746,B1200,'Base bordo'!F$2:F$746,"AGUARDANDO TRANSBORDO"),0)</f>
        <v>0.33611111111111114</v>
      </c>
      <c r="I1200" s="10">
        <f>IFERROR(SUMIFS('Base bordo'!G$2:G$746,'Base bordo'!C$2:C$746,A1200,'Base bordo'!B$2:B$746,B1200,'Base bordo'!F$2:F$746,"PÁTIO INTERNO"),0)+IFERROR(SUMIFS('Base bordo'!G$2:G$746,'Base bordo'!C$2:C$746,A1200,'Base bordo'!B$2:B$746,B1200,'Base bordo'!F$2:F$746,"PÁTIO EXTERNO"),0)+IFERROR(SUMIFS('Base bordo'!G$2:G$746,'Base bordo'!C$2:C$746,A1200,'Base bordo'!B$2:B$746,B1200,'Base bordo'!F$2:F$746,"PATIO - RESERVA"),0)+IFERROR(SUMIFS('Base bordo'!G$2:G$746,'Base bordo'!C$2:C$746,A1200,'Base bordo'!B$2:B$746,B1200,'Base bordo'!F$2:F$746,"MANOBRA CARRETAS-PATIO"),0)</f>
        <v>10.451944444444445</v>
      </c>
      <c r="J1200" s="10">
        <f>IFERROR(SUMIFS('Base bordo'!G$2:G$746,'Base bordo'!C$2:C$746,A1200,'Base bordo'!B$2:B$746,B1200,'Base bordo'!F$2:F$746,"BALANÇA - ENTRADA"),0)+IFERROR(SUMIFS('Base bordo'!G$2:G$746,'Base bordo'!C$2:C$746,A1200,'Base bordo'!B$2:B$746,B1200,'Base bordo'!F$2:F$746,"BALANÇA - SAÍDA"),0)</f>
        <v>0.15138888888888888</v>
      </c>
      <c r="K1200" s="10">
        <f>IFERROR(SUMIFS('Base bordo'!G$2:G$746,'Base bordo'!C$2:C$746,A1200,'Base bordo'!B$2:B$746,B1200,'Base bordo'!F$2:F$746,"MAN PREVENTIVA - MECANICA"),0)+IFERROR(SUMIFS('Base bordo'!G$2:G$746,'Base bordo'!C$2:C$746,A1200,'Base bordo'!B$2:B$746,B1200,'Base bordo'!F$2:F$746,"MAN CORRETIVA - MECANICA"),0)</f>
        <v>0</v>
      </c>
      <c r="L1200" s="10">
        <f>IFERROR(SUMIFS('Base bordo'!G$2:G$746,'Base bordo'!C$2:C$746,A1200,'Base bordo'!B$2:B$746,B1200,'Base bordo'!F$2:F$746,"MANUTENCAO - T O"),0)+IFERROR(SUMIFS('Base bordo'!G$2:G$746,'Base bordo'!C$2:C$746,A1200,'Base bordo'!B$2:B$746,B1200,'Base bordo'!F$2:F$746,"MANUTENCAO BORRACHARIA"),0)+IFERROR(SUMIFS('Base bordo'!G$2:G$746,'Base bordo'!C$2:C$746,A1200,'Base bordo'!B$2:B$746,B1200,'Base bordo'!F$2:F$746,"MANUTENCAO EXTERNA  CONCESSIONARIA"),0)+IFERROR(SUMIFS('Base bordo'!G$2:G$746,'Base bordo'!C$2:C$746,A1200,'Base bordo'!B$2:B$746,B1200,'Base bordo'!F$2:F$746,"MANUTENCAO TELEMETRIA"),0)</f>
        <v>0</v>
      </c>
      <c r="M1200" s="10">
        <f>IFERROR(SUMIFS('Base bordo'!G$2:G$746,'Base bordo'!C$2:C$746,A1200,'Base bordo'!B$2:B$746,B1200,'Base bordo'!F$2:F$746,"AGUARDANDO MANUTENCAO"),0)</f>
        <v>0</v>
      </c>
      <c r="N1200" s="10">
        <f>IFERROR(SUMIFS('Base bordo'!G$2:G$746,'Base bordo'!C$2:C$746,A1200,'Base bordo'!B$2:B$746,B1200,'Base bordo'!F$2:F$746,"SEM APONTAMENTO"),0)</f>
        <v>0</v>
      </c>
      <c r="O1200" s="10">
        <f t="shared" si="120"/>
        <v>0</v>
      </c>
      <c r="P1200" s="10">
        <f>IFERROR(SUMIFS('Base bordo'!G$2:G$746,'Base bordo'!C$2:C$746,A1200,'Base bordo'!B$2:B$746,B1200),0)</f>
        <v>15.609166666666667</v>
      </c>
      <c r="Q1200" s="10">
        <f>IFERROR(SUMIFS('Base bordo'!H$2:H$746,'Base bordo'!C$2:C$746,A1200,'Base bordo'!B$2:B$746,B1200,'Base bordo'!F$2:F$746,"DESLOCAMENTO VAZIO"),0)</f>
        <v>401876.54000000004</v>
      </c>
      <c r="R1200" s="10">
        <f>IFERROR(SUMIFS('Base bordo'!I$2:I$746,'Base bordo'!C$2:C$746,A1200,'Base bordo'!B$2:B$746,B1200,'Base bordo'!F$2:F$746,"DESLOCAMENTO VAZIO"),0)</f>
        <v>9555</v>
      </c>
      <c r="S1200" s="30">
        <f t="shared" si="121"/>
        <v>42.05929251700681</v>
      </c>
      <c r="T1200" s="10">
        <f>IFERROR(SUMIFS('Base bordo'!H$2:H$746,'Base bordo'!C$2:C$746,A1200,'Base bordo'!B$2:B$746,B1200,'Base bordo'!F$2:F$746,"DESLOCAMENTO CARREGADO"),0)</f>
        <v>198098.78999999998</v>
      </c>
      <c r="U1200" s="10">
        <f>IFERROR(SUMIFS('Base bordo'!I$2:I$746,'Base bordo'!C$2:C$746,A1200,'Base bordo'!B$2:B$746,B1200,'Base bordo'!F$2:F$746,"DESLOCAMENTO CARREGADO"),0)</f>
        <v>7256</v>
      </c>
      <c r="V1200" s="30">
        <f t="shared" si="122"/>
        <v>27.301376791620726</v>
      </c>
      <c r="W1200" s="9">
        <f t="shared" si="123"/>
        <v>0.1700389728257968</v>
      </c>
      <c r="X1200" s="9">
        <f t="shared" si="124"/>
        <v>0.12912640364458208</v>
      </c>
      <c r="Y1200" s="9">
        <f t="shared" si="125"/>
        <v>0.700834623529621</v>
      </c>
    </row>
    <row r="1201" spans="1:25" ht="15" customHeight="1" x14ac:dyDescent="0.35">
      <c r="A1201" s="52">
        <v>8013462</v>
      </c>
      <c r="B1201" s="51">
        <v>46124</v>
      </c>
      <c r="C1201" s="7" t="s">
        <v>124</v>
      </c>
      <c r="D1201" s="10">
        <f>IFERROR(SUMIFS('Base bordo'!G$2:G$746,'Base bordo'!C$2:C$746,A1201,'Base bordo'!B$2:B$746,B1201,'Base bordo'!F$2:F$746,"DESLOCAMENTO VAZIO"),0)</f>
        <v>2.6541666666666668</v>
      </c>
      <c r="E1201" s="10">
        <f>IFERROR(SUMIFS('Base bordo'!G$2:G$746,'Base bordo'!C$2:C$746,A1201,'Base bordo'!B$2:B$746,B1201,'Base bordo'!F$2:F$746,"DESLOCAMENTO CARREGADO"),0)</f>
        <v>2.0155555555555558</v>
      </c>
      <c r="F1201" s="10">
        <f>IFERROR(SUMIFS('Base bordo'!G$2:G$746,'Base bordo'!C$2:C$746,A1201,'Base bordo'!B$2:B$746,B1201,'Base bordo'!F$2:F$746,"DESLOCAMENTO"),0)</f>
        <v>0</v>
      </c>
      <c r="G1201" s="10">
        <f>IFERROR(SUMIFS('Base bordo'!G$2:G$746,'Base bordo'!C$2:C$746,A1201,'Base bordo'!B$2:B$746,B1201,'Base bordo'!F$2:F$746,"CARREGAMENTO"),0)</f>
        <v>0</v>
      </c>
      <c r="H1201" s="10">
        <f>IFERROR(SUMIFS('Base bordo'!G$2:G$746,'Base bordo'!C$2:C$746,A1201,'Base bordo'!B$2:B$746,B1201,'Base bordo'!F$2:F$746,"AGUARDANDO TRANSBORDO"),0)</f>
        <v>0.33611111111111114</v>
      </c>
      <c r="I1201" s="10">
        <f>IFERROR(SUMIFS('Base bordo'!G$2:G$746,'Base bordo'!C$2:C$746,A1201,'Base bordo'!B$2:B$746,B1201,'Base bordo'!F$2:F$746,"PÁTIO INTERNO"),0)+IFERROR(SUMIFS('Base bordo'!G$2:G$746,'Base bordo'!C$2:C$746,A1201,'Base bordo'!B$2:B$746,B1201,'Base bordo'!F$2:F$746,"PÁTIO EXTERNO"),0)+IFERROR(SUMIFS('Base bordo'!G$2:G$746,'Base bordo'!C$2:C$746,A1201,'Base bordo'!B$2:B$746,B1201,'Base bordo'!F$2:F$746,"PATIO - RESERVA"),0)+IFERROR(SUMIFS('Base bordo'!G$2:G$746,'Base bordo'!C$2:C$746,A1201,'Base bordo'!B$2:B$746,B1201,'Base bordo'!F$2:F$746,"MANOBRA CARRETAS-PATIO"),0)</f>
        <v>10.451944444444445</v>
      </c>
      <c r="J1201" s="10">
        <f>IFERROR(SUMIFS('Base bordo'!G$2:G$746,'Base bordo'!C$2:C$746,A1201,'Base bordo'!B$2:B$746,B1201,'Base bordo'!F$2:F$746,"BALANÇA - ENTRADA"),0)+IFERROR(SUMIFS('Base bordo'!G$2:G$746,'Base bordo'!C$2:C$746,A1201,'Base bordo'!B$2:B$746,B1201,'Base bordo'!F$2:F$746,"BALANÇA - SAÍDA"),0)</f>
        <v>0.15138888888888888</v>
      </c>
      <c r="K1201" s="10">
        <f>IFERROR(SUMIFS('Base bordo'!G$2:G$746,'Base bordo'!C$2:C$746,A1201,'Base bordo'!B$2:B$746,B1201,'Base bordo'!F$2:F$746,"MAN PREVENTIVA - MECANICA"),0)+IFERROR(SUMIFS('Base bordo'!G$2:G$746,'Base bordo'!C$2:C$746,A1201,'Base bordo'!B$2:B$746,B1201,'Base bordo'!F$2:F$746,"MAN CORRETIVA - MECANICA"),0)</f>
        <v>0</v>
      </c>
      <c r="L1201" s="10">
        <f>IFERROR(SUMIFS('Base bordo'!G$2:G$746,'Base bordo'!C$2:C$746,A1201,'Base bordo'!B$2:B$746,B1201,'Base bordo'!F$2:F$746,"MANUTENCAO - T O"),0)+IFERROR(SUMIFS('Base bordo'!G$2:G$746,'Base bordo'!C$2:C$746,A1201,'Base bordo'!B$2:B$746,B1201,'Base bordo'!F$2:F$746,"MANUTENCAO BORRACHARIA"),0)+IFERROR(SUMIFS('Base bordo'!G$2:G$746,'Base bordo'!C$2:C$746,A1201,'Base bordo'!B$2:B$746,B1201,'Base bordo'!F$2:F$746,"MANUTENCAO EXTERNA  CONCESSIONARIA"),0)+IFERROR(SUMIFS('Base bordo'!G$2:G$746,'Base bordo'!C$2:C$746,A1201,'Base bordo'!B$2:B$746,B1201,'Base bordo'!F$2:F$746,"MANUTENCAO TELEMETRIA"),0)</f>
        <v>0</v>
      </c>
      <c r="M1201" s="10">
        <f>IFERROR(SUMIFS('Base bordo'!G$2:G$746,'Base bordo'!C$2:C$746,A1201,'Base bordo'!B$2:B$746,B1201,'Base bordo'!F$2:F$746,"AGUARDANDO MANUTENCAO"),0)</f>
        <v>0</v>
      </c>
      <c r="N1201" s="10">
        <f>IFERROR(SUMIFS('Base bordo'!G$2:G$746,'Base bordo'!C$2:C$746,A1201,'Base bordo'!B$2:B$746,B1201,'Base bordo'!F$2:F$746,"SEM APONTAMENTO"),0)</f>
        <v>0</v>
      </c>
      <c r="O1201" s="10">
        <f t="shared" si="120"/>
        <v>0</v>
      </c>
      <c r="P1201" s="10">
        <f>IFERROR(SUMIFS('Base bordo'!G$2:G$746,'Base bordo'!C$2:C$746,A1201,'Base bordo'!B$2:B$746,B1201),0)</f>
        <v>15.609166666666667</v>
      </c>
      <c r="Q1201" s="10">
        <f>IFERROR(SUMIFS('Base bordo'!H$2:H$746,'Base bordo'!C$2:C$746,A1201,'Base bordo'!B$2:B$746,B1201,'Base bordo'!F$2:F$746,"DESLOCAMENTO VAZIO"),0)</f>
        <v>401876.54000000004</v>
      </c>
      <c r="R1201" s="10">
        <f>IFERROR(SUMIFS('Base bordo'!I$2:I$746,'Base bordo'!C$2:C$746,A1201,'Base bordo'!B$2:B$746,B1201,'Base bordo'!F$2:F$746,"DESLOCAMENTO VAZIO"),0)</f>
        <v>9555</v>
      </c>
      <c r="S1201" s="30">
        <f t="shared" si="121"/>
        <v>42.05929251700681</v>
      </c>
      <c r="T1201" s="10">
        <f>IFERROR(SUMIFS('Base bordo'!H$2:H$746,'Base bordo'!C$2:C$746,A1201,'Base bordo'!B$2:B$746,B1201,'Base bordo'!F$2:F$746,"DESLOCAMENTO CARREGADO"),0)</f>
        <v>198098.78999999998</v>
      </c>
      <c r="U1201" s="10">
        <f>IFERROR(SUMIFS('Base bordo'!I$2:I$746,'Base bordo'!C$2:C$746,A1201,'Base bordo'!B$2:B$746,B1201,'Base bordo'!F$2:F$746,"DESLOCAMENTO CARREGADO"),0)</f>
        <v>7256</v>
      </c>
      <c r="V1201" s="30">
        <f t="shared" si="122"/>
        <v>27.301376791620726</v>
      </c>
      <c r="W1201" s="9">
        <f t="shared" si="123"/>
        <v>0.1700389728257968</v>
      </c>
      <c r="X1201" s="9">
        <f t="shared" si="124"/>
        <v>0.12912640364458208</v>
      </c>
      <c r="Y1201" s="9">
        <f t="shared" si="125"/>
        <v>0.700834623529621</v>
      </c>
    </row>
    <row r="1202" spans="1:25" ht="15" customHeight="1" x14ac:dyDescent="0.35">
      <c r="A1202" s="52">
        <v>8013462</v>
      </c>
      <c r="B1202" s="51">
        <v>46124</v>
      </c>
      <c r="C1202" s="7" t="s">
        <v>124</v>
      </c>
      <c r="D1202" s="10">
        <f>IFERROR(SUMIFS('Base bordo'!G$2:G$746,'Base bordo'!C$2:C$746,A1202,'Base bordo'!B$2:B$746,B1202,'Base bordo'!F$2:F$746,"DESLOCAMENTO VAZIO"),0)</f>
        <v>2.6541666666666668</v>
      </c>
      <c r="E1202" s="10">
        <f>IFERROR(SUMIFS('Base bordo'!G$2:G$746,'Base bordo'!C$2:C$746,A1202,'Base bordo'!B$2:B$746,B1202,'Base bordo'!F$2:F$746,"DESLOCAMENTO CARREGADO"),0)</f>
        <v>2.0155555555555558</v>
      </c>
      <c r="F1202" s="10">
        <f>IFERROR(SUMIFS('Base bordo'!G$2:G$746,'Base bordo'!C$2:C$746,A1202,'Base bordo'!B$2:B$746,B1202,'Base bordo'!F$2:F$746,"DESLOCAMENTO"),0)</f>
        <v>0</v>
      </c>
      <c r="G1202" s="10">
        <f>IFERROR(SUMIFS('Base bordo'!G$2:G$746,'Base bordo'!C$2:C$746,A1202,'Base bordo'!B$2:B$746,B1202,'Base bordo'!F$2:F$746,"CARREGAMENTO"),0)</f>
        <v>0</v>
      </c>
      <c r="H1202" s="10">
        <f>IFERROR(SUMIFS('Base bordo'!G$2:G$746,'Base bordo'!C$2:C$746,A1202,'Base bordo'!B$2:B$746,B1202,'Base bordo'!F$2:F$746,"AGUARDANDO TRANSBORDO"),0)</f>
        <v>0.33611111111111114</v>
      </c>
      <c r="I1202" s="10">
        <f>IFERROR(SUMIFS('Base bordo'!G$2:G$746,'Base bordo'!C$2:C$746,A1202,'Base bordo'!B$2:B$746,B1202,'Base bordo'!F$2:F$746,"PÁTIO INTERNO"),0)+IFERROR(SUMIFS('Base bordo'!G$2:G$746,'Base bordo'!C$2:C$746,A1202,'Base bordo'!B$2:B$746,B1202,'Base bordo'!F$2:F$746,"PÁTIO EXTERNO"),0)+IFERROR(SUMIFS('Base bordo'!G$2:G$746,'Base bordo'!C$2:C$746,A1202,'Base bordo'!B$2:B$746,B1202,'Base bordo'!F$2:F$746,"PATIO - RESERVA"),0)+IFERROR(SUMIFS('Base bordo'!G$2:G$746,'Base bordo'!C$2:C$746,A1202,'Base bordo'!B$2:B$746,B1202,'Base bordo'!F$2:F$746,"MANOBRA CARRETAS-PATIO"),0)</f>
        <v>10.451944444444445</v>
      </c>
      <c r="J1202" s="10">
        <f>IFERROR(SUMIFS('Base bordo'!G$2:G$746,'Base bordo'!C$2:C$746,A1202,'Base bordo'!B$2:B$746,B1202,'Base bordo'!F$2:F$746,"BALANÇA - ENTRADA"),0)+IFERROR(SUMIFS('Base bordo'!G$2:G$746,'Base bordo'!C$2:C$746,A1202,'Base bordo'!B$2:B$746,B1202,'Base bordo'!F$2:F$746,"BALANÇA - SAÍDA"),0)</f>
        <v>0.15138888888888888</v>
      </c>
      <c r="K1202" s="10">
        <f>IFERROR(SUMIFS('Base bordo'!G$2:G$746,'Base bordo'!C$2:C$746,A1202,'Base bordo'!B$2:B$746,B1202,'Base bordo'!F$2:F$746,"MAN PREVENTIVA - MECANICA"),0)+IFERROR(SUMIFS('Base bordo'!G$2:G$746,'Base bordo'!C$2:C$746,A1202,'Base bordo'!B$2:B$746,B1202,'Base bordo'!F$2:F$746,"MAN CORRETIVA - MECANICA"),0)</f>
        <v>0</v>
      </c>
      <c r="L1202" s="10">
        <f>IFERROR(SUMIFS('Base bordo'!G$2:G$746,'Base bordo'!C$2:C$746,A1202,'Base bordo'!B$2:B$746,B1202,'Base bordo'!F$2:F$746,"MANUTENCAO - T O"),0)+IFERROR(SUMIFS('Base bordo'!G$2:G$746,'Base bordo'!C$2:C$746,A1202,'Base bordo'!B$2:B$746,B1202,'Base bordo'!F$2:F$746,"MANUTENCAO BORRACHARIA"),0)+IFERROR(SUMIFS('Base bordo'!G$2:G$746,'Base bordo'!C$2:C$746,A1202,'Base bordo'!B$2:B$746,B1202,'Base bordo'!F$2:F$746,"MANUTENCAO EXTERNA  CONCESSIONARIA"),0)+IFERROR(SUMIFS('Base bordo'!G$2:G$746,'Base bordo'!C$2:C$746,A1202,'Base bordo'!B$2:B$746,B1202,'Base bordo'!F$2:F$746,"MANUTENCAO TELEMETRIA"),0)</f>
        <v>0</v>
      </c>
      <c r="M1202" s="10">
        <f>IFERROR(SUMIFS('Base bordo'!G$2:G$746,'Base bordo'!C$2:C$746,A1202,'Base bordo'!B$2:B$746,B1202,'Base bordo'!F$2:F$746,"AGUARDANDO MANUTENCAO"),0)</f>
        <v>0</v>
      </c>
      <c r="N1202" s="10">
        <f>IFERROR(SUMIFS('Base bordo'!G$2:G$746,'Base bordo'!C$2:C$746,A1202,'Base bordo'!B$2:B$746,B1202,'Base bordo'!F$2:F$746,"SEM APONTAMENTO"),0)</f>
        <v>0</v>
      </c>
      <c r="O1202" s="10">
        <f t="shared" si="120"/>
        <v>0</v>
      </c>
      <c r="P1202" s="10">
        <f>IFERROR(SUMIFS('Base bordo'!G$2:G$746,'Base bordo'!C$2:C$746,A1202,'Base bordo'!B$2:B$746,B1202),0)</f>
        <v>15.609166666666667</v>
      </c>
      <c r="Q1202" s="10">
        <f>IFERROR(SUMIFS('Base bordo'!H$2:H$746,'Base bordo'!C$2:C$746,A1202,'Base bordo'!B$2:B$746,B1202,'Base bordo'!F$2:F$746,"DESLOCAMENTO VAZIO"),0)</f>
        <v>401876.54000000004</v>
      </c>
      <c r="R1202" s="10">
        <f>IFERROR(SUMIFS('Base bordo'!I$2:I$746,'Base bordo'!C$2:C$746,A1202,'Base bordo'!B$2:B$746,B1202,'Base bordo'!F$2:F$746,"DESLOCAMENTO VAZIO"),0)</f>
        <v>9555</v>
      </c>
      <c r="S1202" s="30">
        <f t="shared" si="121"/>
        <v>42.05929251700681</v>
      </c>
      <c r="T1202" s="10">
        <f>IFERROR(SUMIFS('Base bordo'!H$2:H$746,'Base bordo'!C$2:C$746,A1202,'Base bordo'!B$2:B$746,B1202,'Base bordo'!F$2:F$746,"DESLOCAMENTO CARREGADO"),0)</f>
        <v>198098.78999999998</v>
      </c>
      <c r="U1202" s="10">
        <f>IFERROR(SUMIFS('Base bordo'!I$2:I$746,'Base bordo'!C$2:C$746,A1202,'Base bordo'!B$2:B$746,B1202,'Base bordo'!F$2:F$746,"DESLOCAMENTO CARREGADO"),0)</f>
        <v>7256</v>
      </c>
      <c r="V1202" s="30">
        <f t="shared" si="122"/>
        <v>27.301376791620726</v>
      </c>
      <c r="W1202" s="9">
        <f t="shared" si="123"/>
        <v>0.1700389728257968</v>
      </c>
      <c r="X1202" s="9">
        <f t="shared" si="124"/>
        <v>0.12912640364458208</v>
      </c>
      <c r="Y1202" s="9">
        <f t="shared" si="125"/>
        <v>0.700834623529621</v>
      </c>
    </row>
    <row r="1203" spans="1:25" ht="15" customHeight="1" x14ac:dyDescent="0.35">
      <c r="A1203" s="52">
        <v>8013462</v>
      </c>
      <c r="B1203" s="51">
        <v>46124</v>
      </c>
      <c r="C1203" s="7" t="s">
        <v>124</v>
      </c>
      <c r="D1203" s="10">
        <f>IFERROR(SUMIFS('Base bordo'!G$2:G$746,'Base bordo'!C$2:C$746,A1203,'Base bordo'!B$2:B$746,B1203,'Base bordo'!F$2:F$746,"DESLOCAMENTO VAZIO"),0)</f>
        <v>2.6541666666666668</v>
      </c>
      <c r="E1203" s="10">
        <f>IFERROR(SUMIFS('Base bordo'!G$2:G$746,'Base bordo'!C$2:C$746,A1203,'Base bordo'!B$2:B$746,B1203,'Base bordo'!F$2:F$746,"DESLOCAMENTO CARREGADO"),0)</f>
        <v>2.0155555555555558</v>
      </c>
      <c r="F1203" s="10">
        <f>IFERROR(SUMIFS('Base bordo'!G$2:G$746,'Base bordo'!C$2:C$746,A1203,'Base bordo'!B$2:B$746,B1203,'Base bordo'!F$2:F$746,"DESLOCAMENTO"),0)</f>
        <v>0</v>
      </c>
      <c r="G1203" s="10">
        <f>IFERROR(SUMIFS('Base bordo'!G$2:G$746,'Base bordo'!C$2:C$746,A1203,'Base bordo'!B$2:B$746,B1203,'Base bordo'!F$2:F$746,"CARREGAMENTO"),0)</f>
        <v>0</v>
      </c>
      <c r="H1203" s="10">
        <f>IFERROR(SUMIFS('Base bordo'!G$2:G$746,'Base bordo'!C$2:C$746,A1203,'Base bordo'!B$2:B$746,B1203,'Base bordo'!F$2:F$746,"AGUARDANDO TRANSBORDO"),0)</f>
        <v>0.33611111111111114</v>
      </c>
      <c r="I1203" s="10">
        <f>IFERROR(SUMIFS('Base bordo'!G$2:G$746,'Base bordo'!C$2:C$746,A1203,'Base bordo'!B$2:B$746,B1203,'Base bordo'!F$2:F$746,"PÁTIO INTERNO"),0)+IFERROR(SUMIFS('Base bordo'!G$2:G$746,'Base bordo'!C$2:C$746,A1203,'Base bordo'!B$2:B$746,B1203,'Base bordo'!F$2:F$746,"PÁTIO EXTERNO"),0)+IFERROR(SUMIFS('Base bordo'!G$2:G$746,'Base bordo'!C$2:C$746,A1203,'Base bordo'!B$2:B$746,B1203,'Base bordo'!F$2:F$746,"PATIO - RESERVA"),0)+IFERROR(SUMIFS('Base bordo'!G$2:G$746,'Base bordo'!C$2:C$746,A1203,'Base bordo'!B$2:B$746,B1203,'Base bordo'!F$2:F$746,"MANOBRA CARRETAS-PATIO"),0)</f>
        <v>10.451944444444445</v>
      </c>
      <c r="J1203" s="10">
        <f>IFERROR(SUMIFS('Base bordo'!G$2:G$746,'Base bordo'!C$2:C$746,A1203,'Base bordo'!B$2:B$746,B1203,'Base bordo'!F$2:F$746,"BALANÇA - ENTRADA"),0)+IFERROR(SUMIFS('Base bordo'!G$2:G$746,'Base bordo'!C$2:C$746,A1203,'Base bordo'!B$2:B$746,B1203,'Base bordo'!F$2:F$746,"BALANÇA - SAÍDA"),0)</f>
        <v>0.15138888888888888</v>
      </c>
      <c r="K1203" s="10">
        <f>IFERROR(SUMIFS('Base bordo'!G$2:G$746,'Base bordo'!C$2:C$746,A1203,'Base bordo'!B$2:B$746,B1203,'Base bordo'!F$2:F$746,"MAN PREVENTIVA - MECANICA"),0)+IFERROR(SUMIFS('Base bordo'!G$2:G$746,'Base bordo'!C$2:C$746,A1203,'Base bordo'!B$2:B$746,B1203,'Base bordo'!F$2:F$746,"MAN CORRETIVA - MECANICA"),0)</f>
        <v>0</v>
      </c>
      <c r="L1203" s="10">
        <f>IFERROR(SUMIFS('Base bordo'!G$2:G$746,'Base bordo'!C$2:C$746,A1203,'Base bordo'!B$2:B$746,B1203,'Base bordo'!F$2:F$746,"MANUTENCAO - T O"),0)+IFERROR(SUMIFS('Base bordo'!G$2:G$746,'Base bordo'!C$2:C$746,A1203,'Base bordo'!B$2:B$746,B1203,'Base bordo'!F$2:F$746,"MANUTENCAO BORRACHARIA"),0)+IFERROR(SUMIFS('Base bordo'!G$2:G$746,'Base bordo'!C$2:C$746,A1203,'Base bordo'!B$2:B$746,B1203,'Base bordo'!F$2:F$746,"MANUTENCAO EXTERNA  CONCESSIONARIA"),0)+IFERROR(SUMIFS('Base bordo'!G$2:G$746,'Base bordo'!C$2:C$746,A1203,'Base bordo'!B$2:B$746,B1203,'Base bordo'!F$2:F$746,"MANUTENCAO TELEMETRIA"),0)</f>
        <v>0</v>
      </c>
      <c r="M1203" s="10">
        <f>IFERROR(SUMIFS('Base bordo'!G$2:G$746,'Base bordo'!C$2:C$746,A1203,'Base bordo'!B$2:B$746,B1203,'Base bordo'!F$2:F$746,"AGUARDANDO MANUTENCAO"),0)</f>
        <v>0</v>
      </c>
      <c r="N1203" s="10">
        <f>IFERROR(SUMIFS('Base bordo'!G$2:G$746,'Base bordo'!C$2:C$746,A1203,'Base bordo'!B$2:B$746,B1203,'Base bordo'!F$2:F$746,"SEM APONTAMENTO"),0)</f>
        <v>0</v>
      </c>
      <c r="O1203" s="10">
        <f t="shared" si="120"/>
        <v>0</v>
      </c>
      <c r="P1203" s="10">
        <f>IFERROR(SUMIFS('Base bordo'!G$2:G$746,'Base bordo'!C$2:C$746,A1203,'Base bordo'!B$2:B$746,B1203),0)</f>
        <v>15.609166666666667</v>
      </c>
      <c r="Q1203" s="10">
        <f>IFERROR(SUMIFS('Base bordo'!H$2:H$746,'Base bordo'!C$2:C$746,A1203,'Base bordo'!B$2:B$746,B1203,'Base bordo'!F$2:F$746,"DESLOCAMENTO VAZIO"),0)</f>
        <v>401876.54000000004</v>
      </c>
      <c r="R1203" s="10">
        <f>IFERROR(SUMIFS('Base bordo'!I$2:I$746,'Base bordo'!C$2:C$746,A1203,'Base bordo'!B$2:B$746,B1203,'Base bordo'!F$2:F$746,"DESLOCAMENTO VAZIO"),0)</f>
        <v>9555</v>
      </c>
      <c r="S1203" s="30">
        <f t="shared" si="121"/>
        <v>42.05929251700681</v>
      </c>
      <c r="T1203" s="10">
        <f>IFERROR(SUMIFS('Base bordo'!H$2:H$746,'Base bordo'!C$2:C$746,A1203,'Base bordo'!B$2:B$746,B1203,'Base bordo'!F$2:F$746,"DESLOCAMENTO CARREGADO"),0)</f>
        <v>198098.78999999998</v>
      </c>
      <c r="U1203" s="10">
        <f>IFERROR(SUMIFS('Base bordo'!I$2:I$746,'Base bordo'!C$2:C$746,A1203,'Base bordo'!B$2:B$746,B1203,'Base bordo'!F$2:F$746,"DESLOCAMENTO CARREGADO"),0)</f>
        <v>7256</v>
      </c>
      <c r="V1203" s="30">
        <f t="shared" si="122"/>
        <v>27.301376791620726</v>
      </c>
      <c r="W1203" s="9">
        <f t="shared" si="123"/>
        <v>0.1700389728257968</v>
      </c>
      <c r="X1203" s="9">
        <f t="shared" si="124"/>
        <v>0.12912640364458208</v>
      </c>
      <c r="Y1203" s="9">
        <f t="shared" si="125"/>
        <v>0.700834623529621</v>
      </c>
    </row>
    <row r="1204" spans="1:25" ht="15" customHeight="1" x14ac:dyDescent="0.35">
      <c r="A1204" s="52">
        <v>8013462</v>
      </c>
      <c r="B1204" s="51">
        <v>46124</v>
      </c>
      <c r="C1204" s="7" t="s">
        <v>124</v>
      </c>
      <c r="D1204" s="10">
        <f>IFERROR(SUMIFS('Base bordo'!G$2:G$746,'Base bordo'!C$2:C$746,A1204,'Base bordo'!B$2:B$746,B1204,'Base bordo'!F$2:F$746,"DESLOCAMENTO VAZIO"),0)</f>
        <v>2.6541666666666668</v>
      </c>
      <c r="E1204" s="10">
        <f>IFERROR(SUMIFS('Base bordo'!G$2:G$746,'Base bordo'!C$2:C$746,A1204,'Base bordo'!B$2:B$746,B1204,'Base bordo'!F$2:F$746,"DESLOCAMENTO CARREGADO"),0)</f>
        <v>2.0155555555555558</v>
      </c>
      <c r="F1204" s="10">
        <f>IFERROR(SUMIFS('Base bordo'!G$2:G$746,'Base bordo'!C$2:C$746,A1204,'Base bordo'!B$2:B$746,B1204,'Base bordo'!F$2:F$746,"DESLOCAMENTO"),0)</f>
        <v>0</v>
      </c>
      <c r="G1204" s="10">
        <f>IFERROR(SUMIFS('Base bordo'!G$2:G$746,'Base bordo'!C$2:C$746,A1204,'Base bordo'!B$2:B$746,B1204,'Base bordo'!F$2:F$746,"CARREGAMENTO"),0)</f>
        <v>0</v>
      </c>
      <c r="H1204" s="10">
        <f>IFERROR(SUMIFS('Base bordo'!G$2:G$746,'Base bordo'!C$2:C$746,A1204,'Base bordo'!B$2:B$746,B1204,'Base bordo'!F$2:F$746,"AGUARDANDO TRANSBORDO"),0)</f>
        <v>0.33611111111111114</v>
      </c>
      <c r="I1204" s="10">
        <f>IFERROR(SUMIFS('Base bordo'!G$2:G$746,'Base bordo'!C$2:C$746,A1204,'Base bordo'!B$2:B$746,B1204,'Base bordo'!F$2:F$746,"PÁTIO INTERNO"),0)+IFERROR(SUMIFS('Base bordo'!G$2:G$746,'Base bordo'!C$2:C$746,A1204,'Base bordo'!B$2:B$746,B1204,'Base bordo'!F$2:F$746,"PÁTIO EXTERNO"),0)+IFERROR(SUMIFS('Base bordo'!G$2:G$746,'Base bordo'!C$2:C$746,A1204,'Base bordo'!B$2:B$746,B1204,'Base bordo'!F$2:F$746,"PATIO - RESERVA"),0)+IFERROR(SUMIFS('Base bordo'!G$2:G$746,'Base bordo'!C$2:C$746,A1204,'Base bordo'!B$2:B$746,B1204,'Base bordo'!F$2:F$746,"MANOBRA CARRETAS-PATIO"),0)</f>
        <v>10.451944444444445</v>
      </c>
      <c r="J1204" s="10">
        <f>IFERROR(SUMIFS('Base bordo'!G$2:G$746,'Base bordo'!C$2:C$746,A1204,'Base bordo'!B$2:B$746,B1204,'Base bordo'!F$2:F$746,"BALANÇA - ENTRADA"),0)+IFERROR(SUMIFS('Base bordo'!G$2:G$746,'Base bordo'!C$2:C$746,A1204,'Base bordo'!B$2:B$746,B1204,'Base bordo'!F$2:F$746,"BALANÇA - SAÍDA"),0)</f>
        <v>0.15138888888888888</v>
      </c>
      <c r="K1204" s="10">
        <f>IFERROR(SUMIFS('Base bordo'!G$2:G$746,'Base bordo'!C$2:C$746,A1204,'Base bordo'!B$2:B$746,B1204,'Base bordo'!F$2:F$746,"MAN PREVENTIVA - MECANICA"),0)+IFERROR(SUMIFS('Base bordo'!G$2:G$746,'Base bordo'!C$2:C$746,A1204,'Base bordo'!B$2:B$746,B1204,'Base bordo'!F$2:F$746,"MAN CORRETIVA - MECANICA"),0)</f>
        <v>0</v>
      </c>
      <c r="L1204" s="10">
        <f>IFERROR(SUMIFS('Base bordo'!G$2:G$746,'Base bordo'!C$2:C$746,A1204,'Base bordo'!B$2:B$746,B1204,'Base bordo'!F$2:F$746,"MANUTENCAO - T O"),0)+IFERROR(SUMIFS('Base bordo'!G$2:G$746,'Base bordo'!C$2:C$746,A1204,'Base bordo'!B$2:B$746,B1204,'Base bordo'!F$2:F$746,"MANUTENCAO BORRACHARIA"),0)+IFERROR(SUMIFS('Base bordo'!G$2:G$746,'Base bordo'!C$2:C$746,A1204,'Base bordo'!B$2:B$746,B1204,'Base bordo'!F$2:F$746,"MANUTENCAO EXTERNA  CONCESSIONARIA"),0)+IFERROR(SUMIFS('Base bordo'!G$2:G$746,'Base bordo'!C$2:C$746,A1204,'Base bordo'!B$2:B$746,B1204,'Base bordo'!F$2:F$746,"MANUTENCAO TELEMETRIA"),0)</f>
        <v>0</v>
      </c>
      <c r="M1204" s="10">
        <f>IFERROR(SUMIFS('Base bordo'!G$2:G$746,'Base bordo'!C$2:C$746,A1204,'Base bordo'!B$2:B$746,B1204,'Base bordo'!F$2:F$746,"AGUARDANDO MANUTENCAO"),0)</f>
        <v>0</v>
      </c>
      <c r="N1204" s="10">
        <f>IFERROR(SUMIFS('Base bordo'!G$2:G$746,'Base bordo'!C$2:C$746,A1204,'Base bordo'!B$2:B$746,B1204,'Base bordo'!F$2:F$746,"SEM APONTAMENTO"),0)</f>
        <v>0</v>
      </c>
      <c r="O1204" s="10">
        <f t="shared" si="120"/>
        <v>0</v>
      </c>
      <c r="P1204" s="10">
        <f>IFERROR(SUMIFS('Base bordo'!G$2:G$746,'Base bordo'!C$2:C$746,A1204,'Base bordo'!B$2:B$746,B1204),0)</f>
        <v>15.609166666666667</v>
      </c>
      <c r="Q1204" s="10">
        <f>IFERROR(SUMIFS('Base bordo'!H$2:H$746,'Base bordo'!C$2:C$746,A1204,'Base bordo'!B$2:B$746,B1204,'Base bordo'!F$2:F$746,"DESLOCAMENTO VAZIO"),0)</f>
        <v>401876.54000000004</v>
      </c>
      <c r="R1204" s="10">
        <f>IFERROR(SUMIFS('Base bordo'!I$2:I$746,'Base bordo'!C$2:C$746,A1204,'Base bordo'!B$2:B$746,B1204,'Base bordo'!F$2:F$746,"DESLOCAMENTO VAZIO"),0)</f>
        <v>9555</v>
      </c>
      <c r="S1204" s="30">
        <f t="shared" si="121"/>
        <v>42.05929251700681</v>
      </c>
      <c r="T1204" s="10">
        <f>IFERROR(SUMIFS('Base bordo'!H$2:H$746,'Base bordo'!C$2:C$746,A1204,'Base bordo'!B$2:B$746,B1204,'Base bordo'!F$2:F$746,"DESLOCAMENTO CARREGADO"),0)</f>
        <v>198098.78999999998</v>
      </c>
      <c r="U1204" s="10">
        <f>IFERROR(SUMIFS('Base bordo'!I$2:I$746,'Base bordo'!C$2:C$746,A1204,'Base bordo'!B$2:B$746,B1204,'Base bordo'!F$2:F$746,"DESLOCAMENTO CARREGADO"),0)</f>
        <v>7256</v>
      </c>
      <c r="V1204" s="30">
        <f t="shared" si="122"/>
        <v>27.301376791620726</v>
      </c>
      <c r="W1204" s="9">
        <f t="shared" si="123"/>
        <v>0.1700389728257968</v>
      </c>
      <c r="X1204" s="9">
        <f t="shared" si="124"/>
        <v>0.12912640364458208</v>
      </c>
      <c r="Y1204" s="9">
        <f t="shared" si="125"/>
        <v>0.700834623529621</v>
      </c>
    </row>
    <row r="1205" spans="1:25" ht="15" customHeight="1" x14ac:dyDescent="0.35">
      <c r="A1205" s="52">
        <v>8013465</v>
      </c>
      <c r="B1205" s="51">
        <v>46124</v>
      </c>
      <c r="C1205" s="7" t="s">
        <v>124</v>
      </c>
      <c r="D1205" s="10">
        <f>IFERROR(SUMIFS('Base bordo'!G$2:G$746,'Base bordo'!C$2:C$746,A1205,'Base bordo'!B$2:B$746,B1205,'Base bordo'!F$2:F$746,"DESLOCAMENTO VAZIO"),0)</f>
        <v>2.6761111111111111</v>
      </c>
      <c r="E1205" s="10">
        <f>IFERROR(SUMIFS('Base bordo'!G$2:G$746,'Base bordo'!C$2:C$746,A1205,'Base bordo'!B$2:B$746,B1205,'Base bordo'!F$2:F$746,"DESLOCAMENTO CARREGADO"),0)</f>
        <v>5.5052777777777777</v>
      </c>
      <c r="F1205" s="10">
        <f>IFERROR(SUMIFS('Base bordo'!G$2:G$746,'Base bordo'!C$2:C$746,A1205,'Base bordo'!B$2:B$746,B1205,'Base bordo'!F$2:F$746,"DESLOCAMENTO"),0)</f>
        <v>0</v>
      </c>
      <c r="G1205" s="10">
        <f>IFERROR(SUMIFS('Base bordo'!G$2:G$746,'Base bordo'!C$2:C$746,A1205,'Base bordo'!B$2:B$746,B1205,'Base bordo'!F$2:F$746,"CARREGAMENTO"),0)</f>
        <v>0</v>
      </c>
      <c r="H1205" s="10">
        <f>IFERROR(SUMIFS('Base bordo'!G$2:G$746,'Base bordo'!C$2:C$746,A1205,'Base bordo'!B$2:B$746,B1205,'Base bordo'!F$2:F$746,"AGUARDANDO TRANSBORDO"),0)</f>
        <v>0.45055555555555554</v>
      </c>
      <c r="I1205" s="10">
        <f>IFERROR(SUMIFS('Base bordo'!G$2:G$746,'Base bordo'!C$2:C$746,A1205,'Base bordo'!B$2:B$746,B1205,'Base bordo'!F$2:F$746,"PÁTIO INTERNO"),0)+IFERROR(SUMIFS('Base bordo'!G$2:G$746,'Base bordo'!C$2:C$746,A1205,'Base bordo'!B$2:B$746,B1205,'Base bordo'!F$2:F$746,"PÁTIO EXTERNO"),0)+IFERROR(SUMIFS('Base bordo'!G$2:G$746,'Base bordo'!C$2:C$746,A1205,'Base bordo'!B$2:B$746,B1205,'Base bordo'!F$2:F$746,"PATIO - RESERVA"),0)+IFERROR(SUMIFS('Base bordo'!G$2:G$746,'Base bordo'!C$2:C$746,A1205,'Base bordo'!B$2:B$746,B1205,'Base bordo'!F$2:F$746,"MANOBRA CARRETAS-PATIO"),0)</f>
        <v>2.5047222222222221</v>
      </c>
      <c r="J1205" s="10">
        <f>IFERROR(SUMIFS('Base bordo'!G$2:G$746,'Base bordo'!C$2:C$746,A1205,'Base bordo'!B$2:B$746,B1205,'Base bordo'!F$2:F$746,"BALANÇA - ENTRADA"),0)+IFERROR(SUMIFS('Base bordo'!G$2:G$746,'Base bordo'!C$2:C$746,A1205,'Base bordo'!B$2:B$746,B1205,'Base bordo'!F$2:F$746,"BALANÇA - SAÍDA"),0)</f>
        <v>0</v>
      </c>
      <c r="K1205" s="10">
        <f>IFERROR(SUMIFS('Base bordo'!G$2:G$746,'Base bordo'!C$2:C$746,A1205,'Base bordo'!B$2:B$746,B1205,'Base bordo'!F$2:F$746,"MAN PREVENTIVA - MECANICA"),0)+IFERROR(SUMIFS('Base bordo'!G$2:G$746,'Base bordo'!C$2:C$746,A1205,'Base bordo'!B$2:B$746,B1205,'Base bordo'!F$2:F$746,"MAN CORRETIVA - MECANICA"),0)</f>
        <v>0</v>
      </c>
      <c r="L1205" s="10">
        <f>IFERROR(SUMIFS('Base bordo'!G$2:G$746,'Base bordo'!C$2:C$746,A1205,'Base bordo'!B$2:B$746,B1205,'Base bordo'!F$2:F$746,"MANUTENCAO - T O"),0)+IFERROR(SUMIFS('Base bordo'!G$2:G$746,'Base bordo'!C$2:C$746,A1205,'Base bordo'!B$2:B$746,B1205,'Base bordo'!F$2:F$746,"MANUTENCAO BORRACHARIA"),0)+IFERROR(SUMIFS('Base bordo'!G$2:G$746,'Base bordo'!C$2:C$746,A1205,'Base bordo'!B$2:B$746,B1205,'Base bordo'!F$2:F$746,"MANUTENCAO EXTERNA  CONCESSIONARIA"),0)+IFERROR(SUMIFS('Base bordo'!G$2:G$746,'Base bordo'!C$2:C$746,A1205,'Base bordo'!B$2:B$746,B1205,'Base bordo'!F$2:F$746,"MANUTENCAO TELEMETRIA"),0)</f>
        <v>0</v>
      </c>
      <c r="M1205" s="10">
        <f>IFERROR(SUMIFS('Base bordo'!G$2:G$746,'Base bordo'!C$2:C$746,A1205,'Base bordo'!B$2:B$746,B1205,'Base bordo'!F$2:F$746,"AGUARDANDO MANUTENCAO"),0)</f>
        <v>0</v>
      </c>
      <c r="N1205" s="10">
        <f>IFERROR(SUMIFS('Base bordo'!G$2:G$746,'Base bordo'!C$2:C$746,A1205,'Base bordo'!B$2:B$746,B1205,'Base bordo'!F$2:F$746,"SEM APONTAMENTO"),0)</f>
        <v>0</v>
      </c>
      <c r="O1205" s="10">
        <f t="shared" si="120"/>
        <v>2.1111111111110858E-2</v>
      </c>
      <c r="P1205" s="10">
        <f>IFERROR(SUMIFS('Base bordo'!G$2:G$746,'Base bordo'!C$2:C$746,A1205,'Base bordo'!B$2:B$746,B1205),0)</f>
        <v>11.157777777777778</v>
      </c>
      <c r="Q1205" s="10">
        <f>IFERROR(SUMIFS('Base bordo'!H$2:H$746,'Base bordo'!C$2:C$746,A1205,'Base bordo'!B$2:B$746,B1205,'Base bordo'!F$2:F$746,"DESLOCAMENTO VAZIO"),0)</f>
        <v>384446.33</v>
      </c>
      <c r="R1205" s="10">
        <f>IFERROR(SUMIFS('Base bordo'!I$2:I$746,'Base bordo'!C$2:C$746,A1205,'Base bordo'!B$2:B$746,B1205,'Base bordo'!F$2:F$746,"DESLOCAMENTO VAZIO"),0)</f>
        <v>9634</v>
      </c>
      <c r="S1205" s="30">
        <f t="shared" si="121"/>
        <v>39.905161926510274</v>
      </c>
      <c r="T1205" s="10">
        <f>IFERROR(SUMIFS('Base bordo'!H$2:H$746,'Base bordo'!C$2:C$746,A1205,'Base bordo'!B$2:B$746,B1205,'Base bordo'!F$2:F$746,"DESLOCAMENTO CARREGADO"),0)</f>
        <v>426423.94999999995</v>
      </c>
      <c r="U1205" s="10">
        <f>IFERROR(SUMIFS('Base bordo'!I$2:I$746,'Base bordo'!C$2:C$746,A1205,'Base bordo'!B$2:B$746,B1205,'Base bordo'!F$2:F$746,"DESLOCAMENTO CARREGADO"),0)</f>
        <v>19819</v>
      </c>
      <c r="V1205" s="30">
        <f t="shared" si="122"/>
        <v>21.515916544729802</v>
      </c>
      <c r="W1205" s="9">
        <f t="shared" si="123"/>
        <v>0.23984266082453695</v>
      </c>
      <c r="X1205" s="9">
        <f t="shared" si="124"/>
        <v>0.49340270862378011</v>
      </c>
      <c r="Y1205" s="9">
        <f t="shared" si="125"/>
        <v>0.2667546305516828</v>
      </c>
    </row>
    <row r="1206" spans="1:25" ht="15" customHeight="1" x14ac:dyDescent="0.35">
      <c r="A1206" s="52">
        <v>8013465</v>
      </c>
      <c r="B1206" s="51">
        <v>46124</v>
      </c>
      <c r="C1206" s="7" t="s">
        <v>124</v>
      </c>
      <c r="D1206" s="10">
        <f>IFERROR(SUMIFS('Base bordo'!G$2:G$746,'Base bordo'!C$2:C$746,A1206,'Base bordo'!B$2:B$746,B1206,'Base bordo'!F$2:F$746,"DESLOCAMENTO VAZIO"),0)</f>
        <v>2.6761111111111111</v>
      </c>
      <c r="E1206" s="10">
        <f>IFERROR(SUMIFS('Base bordo'!G$2:G$746,'Base bordo'!C$2:C$746,A1206,'Base bordo'!B$2:B$746,B1206,'Base bordo'!F$2:F$746,"DESLOCAMENTO CARREGADO"),0)</f>
        <v>5.5052777777777777</v>
      </c>
      <c r="F1206" s="10">
        <f>IFERROR(SUMIFS('Base bordo'!G$2:G$746,'Base bordo'!C$2:C$746,A1206,'Base bordo'!B$2:B$746,B1206,'Base bordo'!F$2:F$746,"DESLOCAMENTO"),0)</f>
        <v>0</v>
      </c>
      <c r="G1206" s="10">
        <f>IFERROR(SUMIFS('Base bordo'!G$2:G$746,'Base bordo'!C$2:C$746,A1206,'Base bordo'!B$2:B$746,B1206,'Base bordo'!F$2:F$746,"CARREGAMENTO"),0)</f>
        <v>0</v>
      </c>
      <c r="H1206" s="10">
        <f>IFERROR(SUMIFS('Base bordo'!G$2:G$746,'Base bordo'!C$2:C$746,A1206,'Base bordo'!B$2:B$746,B1206,'Base bordo'!F$2:F$746,"AGUARDANDO TRANSBORDO"),0)</f>
        <v>0.45055555555555554</v>
      </c>
      <c r="I1206" s="10">
        <f>IFERROR(SUMIFS('Base bordo'!G$2:G$746,'Base bordo'!C$2:C$746,A1206,'Base bordo'!B$2:B$746,B1206,'Base bordo'!F$2:F$746,"PÁTIO INTERNO"),0)+IFERROR(SUMIFS('Base bordo'!G$2:G$746,'Base bordo'!C$2:C$746,A1206,'Base bordo'!B$2:B$746,B1206,'Base bordo'!F$2:F$746,"PÁTIO EXTERNO"),0)+IFERROR(SUMIFS('Base bordo'!G$2:G$746,'Base bordo'!C$2:C$746,A1206,'Base bordo'!B$2:B$746,B1206,'Base bordo'!F$2:F$746,"PATIO - RESERVA"),0)+IFERROR(SUMIFS('Base bordo'!G$2:G$746,'Base bordo'!C$2:C$746,A1206,'Base bordo'!B$2:B$746,B1206,'Base bordo'!F$2:F$746,"MANOBRA CARRETAS-PATIO"),0)</f>
        <v>2.5047222222222221</v>
      </c>
      <c r="J1206" s="10">
        <f>IFERROR(SUMIFS('Base bordo'!G$2:G$746,'Base bordo'!C$2:C$746,A1206,'Base bordo'!B$2:B$746,B1206,'Base bordo'!F$2:F$746,"BALANÇA - ENTRADA"),0)+IFERROR(SUMIFS('Base bordo'!G$2:G$746,'Base bordo'!C$2:C$746,A1206,'Base bordo'!B$2:B$746,B1206,'Base bordo'!F$2:F$746,"BALANÇA - SAÍDA"),0)</f>
        <v>0</v>
      </c>
      <c r="K1206" s="10">
        <f>IFERROR(SUMIFS('Base bordo'!G$2:G$746,'Base bordo'!C$2:C$746,A1206,'Base bordo'!B$2:B$746,B1206,'Base bordo'!F$2:F$746,"MAN PREVENTIVA - MECANICA"),0)+IFERROR(SUMIFS('Base bordo'!G$2:G$746,'Base bordo'!C$2:C$746,A1206,'Base bordo'!B$2:B$746,B1206,'Base bordo'!F$2:F$746,"MAN CORRETIVA - MECANICA"),0)</f>
        <v>0</v>
      </c>
      <c r="L1206" s="10">
        <f>IFERROR(SUMIFS('Base bordo'!G$2:G$746,'Base bordo'!C$2:C$746,A1206,'Base bordo'!B$2:B$746,B1206,'Base bordo'!F$2:F$746,"MANUTENCAO - T O"),0)+IFERROR(SUMIFS('Base bordo'!G$2:G$746,'Base bordo'!C$2:C$746,A1206,'Base bordo'!B$2:B$746,B1206,'Base bordo'!F$2:F$746,"MANUTENCAO BORRACHARIA"),0)+IFERROR(SUMIFS('Base bordo'!G$2:G$746,'Base bordo'!C$2:C$746,A1206,'Base bordo'!B$2:B$746,B1206,'Base bordo'!F$2:F$746,"MANUTENCAO EXTERNA  CONCESSIONARIA"),0)+IFERROR(SUMIFS('Base bordo'!G$2:G$746,'Base bordo'!C$2:C$746,A1206,'Base bordo'!B$2:B$746,B1206,'Base bordo'!F$2:F$746,"MANUTENCAO TELEMETRIA"),0)</f>
        <v>0</v>
      </c>
      <c r="M1206" s="10">
        <f>IFERROR(SUMIFS('Base bordo'!G$2:G$746,'Base bordo'!C$2:C$746,A1206,'Base bordo'!B$2:B$746,B1206,'Base bordo'!F$2:F$746,"AGUARDANDO MANUTENCAO"),0)</f>
        <v>0</v>
      </c>
      <c r="N1206" s="10">
        <f>IFERROR(SUMIFS('Base bordo'!G$2:G$746,'Base bordo'!C$2:C$746,A1206,'Base bordo'!B$2:B$746,B1206,'Base bordo'!F$2:F$746,"SEM APONTAMENTO"),0)</f>
        <v>0</v>
      </c>
      <c r="O1206" s="10">
        <f t="shared" si="120"/>
        <v>2.1111111111110858E-2</v>
      </c>
      <c r="P1206" s="10">
        <f>IFERROR(SUMIFS('Base bordo'!G$2:G$746,'Base bordo'!C$2:C$746,A1206,'Base bordo'!B$2:B$746,B1206),0)</f>
        <v>11.157777777777778</v>
      </c>
      <c r="Q1206" s="10">
        <f>IFERROR(SUMIFS('Base bordo'!H$2:H$746,'Base bordo'!C$2:C$746,A1206,'Base bordo'!B$2:B$746,B1206,'Base bordo'!F$2:F$746,"DESLOCAMENTO VAZIO"),0)</f>
        <v>384446.33</v>
      </c>
      <c r="R1206" s="10">
        <f>IFERROR(SUMIFS('Base bordo'!I$2:I$746,'Base bordo'!C$2:C$746,A1206,'Base bordo'!B$2:B$746,B1206,'Base bordo'!F$2:F$746,"DESLOCAMENTO VAZIO"),0)</f>
        <v>9634</v>
      </c>
      <c r="S1206" s="30">
        <f t="shared" si="121"/>
        <v>39.905161926510274</v>
      </c>
      <c r="T1206" s="10">
        <f>IFERROR(SUMIFS('Base bordo'!H$2:H$746,'Base bordo'!C$2:C$746,A1206,'Base bordo'!B$2:B$746,B1206,'Base bordo'!F$2:F$746,"DESLOCAMENTO CARREGADO"),0)</f>
        <v>426423.94999999995</v>
      </c>
      <c r="U1206" s="10">
        <f>IFERROR(SUMIFS('Base bordo'!I$2:I$746,'Base bordo'!C$2:C$746,A1206,'Base bordo'!B$2:B$746,B1206,'Base bordo'!F$2:F$746,"DESLOCAMENTO CARREGADO"),0)</f>
        <v>19819</v>
      </c>
      <c r="V1206" s="30">
        <f t="shared" si="122"/>
        <v>21.515916544729802</v>
      </c>
      <c r="W1206" s="9">
        <f t="shared" si="123"/>
        <v>0.23984266082453695</v>
      </c>
      <c r="X1206" s="9">
        <f t="shared" si="124"/>
        <v>0.49340270862378011</v>
      </c>
      <c r="Y1206" s="9">
        <f t="shared" si="125"/>
        <v>0.2667546305516828</v>
      </c>
    </row>
    <row r="1207" spans="1:25" ht="15" customHeight="1" x14ac:dyDescent="0.35">
      <c r="A1207" s="52">
        <v>8013465</v>
      </c>
      <c r="B1207" s="51">
        <v>46124</v>
      </c>
      <c r="C1207" s="7" t="s">
        <v>124</v>
      </c>
      <c r="D1207" s="10">
        <f>IFERROR(SUMIFS('Base bordo'!G$2:G$746,'Base bordo'!C$2:C$746,A1207,'Base bordo'!B$2:B$746,B1207,'Base bordo'!F$2:F$746,"DESLOCAMENTO VAZIO"),0)</f>
        <v>2.6761111111111111</v>
      </c>
      <c r="E1207" s="10">
        <f>IFERROR(SUMIFS('Base bordo'!G$2:G$746,'Base bordo'!C$2:C$746,A1207,'Base bordo'!B$2:B$746,B1207,'Base bordo'!F$2:F$746,"DESLOCAMENTO CARREGADO"),0)</f>
        <v>5.5052777777777777</v>
      </c>
      <c r="F1207" s="10">
        <f>IFERROR(SUMIFS('Base bordo'!G$2:G$746,'Base bordo'!C$2:C$746,A1207,'Base bordo'!B$2:B$746,B1207,'Base bordo'!F$2:F$746,"DESLOCAMENTO"),0)</f>
        <v>0</v>
      </c>
      <c r="G1207" s="10">
        <f>IFERROR(SUMIFS('Base bordo'!G$2:G$746,'Base bordo'!C$2:C$746,A1207,'Base bordo'!B$2:B$746,B1207,'Base bordo'!F$2:F$746,"CARREGAMENTO"),0)</f>
        <v>0</v>
      </c>
      <c r="H1207" s="10">
        <f>IFERROR(SUMIFS('Base bordo'!G$2:G$746,'Base bordo'!C$2:C$746,A1207,'Base bordo'!B$2:B$746,B1207,'Base bordo'!F$2:F$746,"AGUARDANDO TRANSBORDO"),0)</f>
        <v>0.45055555555555554</v>
      </c>
      <c r="I1207" s="10">
        <f>IFERROR(SUMIFS('Base bordo'!G$2:G$746,'Base bordo'!C$2:C$746,A1207,'Base bordo'!B$2:B$746,B1207,'Base bordo'!F$2:F$746,"PÁTIO INTERNO"),0)+IFERROR(SUMIFS('Base bordo'!G$2:G$746,'Base bordo'!C$2:C$746,A1207,'Base bordo'!B$2:B$746,B1207,'Base bordo'!F$2:F$746,"PÁTIO EXTERNO"),0)+IFERROR(SUMIFS('Base bordo'!G$2:G$746,'Base bordo'!C$2:C$746,A1207,'Base bordo'!B$2:B$746,B1207,'Base bordo'!F$2:F$746,"PATIO - RESERVA"),0)+IFERROR(SUMIFS('Base bordo'!G$2:G$746,'Base bordo'!C$2:C$746,A1207,'Base bordo'!B$2:B$746,B1207,'Base bordo'!F$2:F$746,"MANOBRA CARRETAS-PATIO"),0)</f>
        <v>2.5047222222222221</v>
      </c>
      <c r="J1207" s="10">
        <f>IFERROR(SUMIFS('Base bordo'!G$2:G$746,'Base bordo'!C$2:C$746,A1207,'Base bordo'!B$2:B$746,B1207,'Base bordo'!F$2:F$746,"BALANÇA - ENTRADA"),0)+IFERROR(SUMIFS('Base bordo'!G$2:G$746,'Base bordo'!C$2:C$746,A1207,'Base bordo'!B$2:B$746,B1207,'Base bordo'!F$2:F$746,"BALANÇA - SAÍDA"),0)</f>
        <v>0</v>
      </c>
      <c r="K1207" s="10">
        <f>IFERROR(SUMIFS('Base bordo'!G$2:G$746,'Base bordo'!C$2:C$746,A1207,'Base bordo'!B$2:B$746,B1207,'Base bordo'!F$2:F$746,"MAN PREVENTIVA - MECANICA"),0)+IFERROR(SUMIFS('Base bordo'!G$2:G$746,'Base bordo'!C$2:C$746,A1207,'Base bordo'!B$2:B$746,B1207,'Base bordo'!F$2:F$746,"MAN CORRETIVA - MECANICA"),0)</f>
        <v>0</v>
      </c>
      <c r="L1207" s="10">
        <f>IFERROR(SUMIFS('Base bordo'!G$2:G$746,'Base bordo'!C$2:C$746,A1207,'Base bordo'!B$2:B$746,B1207,'Base bordo'!F$2:F$746,"MANUTENCAO - T O"),0)+IFERROR(SUMIFS('Base bordo'!G$2:G$746,'Base bordo'!C$2:C$746,A1207,'Base bordo'!B$2:B$746,B1207,'Base bordo'!F$2:F$746,"MANUTENCAO BORRACHARIA"),0)+IFERROR(SUMIFS('Base bordo'!G$2:G$746,'Base bordo'!C$2:C$746,A1207,'Base bordo'!B$2:B$746,B1207,'Base bordo'!F$2:F$746,"MANUTENCAO EXTERNA  CONCESSIONARIA"),0)+IFERROR(SUMIFS('Base bordo'!G$2:G$746,'Base bordo'!C$2:C$746,A1207,'Base bordo'!B$2:B$746,B1207,'Base bordo'!F$2:F$746,"MANUTENCAO TELEMETRIA"),0)</f>
        <v>0</v>
      </c>
      <c r="M1207" s="10">
        <f>IFERROR(SUMIFS('Base bordo'!G$2:G$746,'Base bordo'!C$2:C$746,A1207,'Base bordo'!B$2:B$746,B1207,'Base bordo'!F$2:F$746,"AGUARDANDO MANUTENCAO"),0)</f>
        <v>0</v>
      </c>
      <c r="N1207" s="10">
        <f>IFERROR(SUMIFS('Base bordo'!G$2:G$746,'Base bordo'!C$2:C$746,A1207,'Base bordo'!B$2:B$746,B1207,'Base bordo'!F$2:F$746,"SEM APONTAMENTO"),0)</f>
        <v>0</v>
      </c>
      <c r="O1207" s="10">
        <f t="shared" si="120"/>
        <v>2.1111111111110858E-2</v>
      </c>
      <c r="P1207" s="10">
        <f>IFERROR(SUMIFS('Base bordo'!G$2:G$746,'Base bordo'!C$2:C$746,A1207,'Base bordo'!B$2:B$746,B1207),0)</f>
        <v>11.157777777777778</v>
      </c>
      <c r="Q1207" s="10">
        <f>IFERROR(SUMIFS('Base bordo'!H$2:H$746,'Base bordo'!C$2:C$746,A1207,'Base bordo'!B$2:B$746,B1207,'Base bordo'!F$2:F$746,"DESLOCAMENTO VAZIO"),0)</f>
        <v>384446.33</v>
      </c>
      <c r="R1207" s="10">
        <f>IFERROR(SUMIFS('Base bordo'!I$2:I$746,'Base bordo'!C$2:C$746,A1207,'Base bordo'!B$2:B$746,B1207,'Base bordo'!F$2:F$746,"DESLOCAMENTO VAZIO"),0)</f>
        <v>9634</v>
      </c>
      <c r="S1207" s="30">
        <f t="shared" si="121"/>
        <v>39.905161926510274</v>
      </c>
      <c r="T1207" s="10">
        <f>IFERROR(SUMIFS('Base bordo'!H$2:H$746,'Base bordo'!C$2:C$746,A1207,'Base bordo'!B$2:B$746,B1207,'Base bordo'!F$2:F$746,"DESLOCAMENTO CARREGADO"),0)</f>
        <v>426423.94999999995</v>
      </c>
      <c r="U1207" s="10">
        <f>IFERROR(SUMIFS('Base bordo'!I$2:I$746,'Base bordo'!C$2:C$746,A1207,'Base bordo'!B$2:B$746,B1207,'Base bordo'!F$2:F$746,"DESLOCAMENTO CARREGADO"),0)</f>
        <v>19819</v>
      </c>
      <c r="V1207" s="30">
        <f t="shared" si="122"/>
        <v>21.515916544729802</v>
      </c>
      <c r="W1207" s="9">
        <f t="shared" si="123"/>
        <v>0.23984266082453695</v>
      </c>
      <c r="X1207" s="9">
        <f t="shared" si="124"/>
        <v>0.49340270862378011</v>
      </c>
      <c r="Y1207" s="9">
        <f t="shared" si="125"/>
        <v>0.2667546305516828</v>
      </c>
    </row>
    <row r="1208" spans="1:25" ht="15" customHeight="1" x14ac:dyDescent="0.35">
      <c r="A1208" s="52">
        <v>8013465</v>
      </c>
      <c r="B1208" s="51">
        <v>46124</v>
      </c>
      <c r="C1208" s="7" t="s">
        <v>124</v>
      </c>
      <c r="D1208" s="10">
        <f>IFERROR(SUMIFS('Base bordo'!G$2:G$746,'Base bordo'!C$2:C$746,A1208,'Base bordo'!B$2:B$746,B1208,'Base bordo'!F$2:F$746,"DESLOCAMENTO VAZIO"),0)</f>
        <v>2.6761111111111111</v>
      </c>
      <c r="E1208" s="10">
        <f>IFERROR(SUMIFS('Base bordo'!G$2:G$746,'Base bordo'!C$2:C$746,A1208,'Base bordo'!B$2:B$746,B1208,'Base bordo'!F$2:F$746,"DESLOCAMENTO CARREGADO"),0)</f>
        <v>5.5052777777777777</v>
      </c>
      <c r="F1208" s="10">
        <f>IFERROR(SUMIFS('Base bordo'!G$2:G$746,'Base bordo'!C$2:C$746,A1208,'Base bordo'!B$2:B$746,B1208,'Base bordo'!F$2:F$746,"DESLOCAMENTO"),0)</f>
        <v>0</v>
      </c>
      <c r="G1208" s="10">
        <f>IFERROR(SUMIFS('Base bordo'!G$2:G$746,'Base bordo'!C$2:C$746,A1208,'Base bordo'!B$2:B$746,B1208,'Base bordo'!F$2:F$746,"CARREGAMENTO"),0)</f>
        <v>0</v>
      </c>
      <c r="H1208" s="10">
        <f>IFERROR(SUMIFS('Base bordo'!G$2:G$746,'Base bordo'!C$2:C$746,A1208,'Base bordo'!B$2:B$746,B1208,'Base bordo'!F$2:F$746,"AGUARDANDO TRANSBORDO"),0)</f>
        <v>0.45055555555555554</v>
      </c>
      <c r="I1208" s="10">
        <f>IFERROR(SUMIFS('Base bordo'!G$2:G$746,'Base bordo'!C$2:C$746,A1208,'Base bordo'!B$2:B$746,B1208,'Base bordo'!F$2:F$746,"PÁTIO INTERNO"),0)+IFERROR(SUMIFS('Base bordo'!G$2:G$746,'Base bordo'!C$2:C$746,A1208,'Base bordo'!B$2:B$746,B1208,'Base bordo'!F$2:F$746,"PÁTIO EXTERNO"),0)+IFERROR(SUMIFS('Base bordo'!G$2:G$746,'Base bordo'!C$2:C$746,A1208,'Base bordo'!B$2:B$746,B1208,'Base bordo'!F$2:F$746,"PATIO - RESERVA"),0)+IFERROR(SUMIFS('Base bordo'!G$2:G$746,'Base bordo'!C$2:C$746,A1208,'Base bordo'!B$2:B$746,B1208,'Base bordo'!F$2:F$746,"MANOBRA CARRETAS-PATIO"),0)</f>
        <v>2.5047222222222221</v>
      </c>
      <c r="J1208" s="10">
        <f>IFERROR(SUMIFS('Base bordo'!G$2:G$746,'Base bordo'!C$2:C$746,A1208,'Base bordo'!B$2:B$746,B1208,'Base bordo'!F$2:F$746,"BALANÇA - ENTRADA"),0)+IFERROR(SUMIFS('Base bordo'!G$2:G$746,'Base bordo'!C$2:C$746,A1208,'Base bordo'!B$2:B$746,B1208,'Base bordo'!F$2:F$746,"BALANÇA - SAÍDA"),0)</f>
        <v>0</v>
      </c>
      <c r="K1208" s="10">
        <f>IFERROR(SUMIFS('Base bordo'!G$2:G$746,'Base bordo'!C$2:C$746,A1208,'Base bordo'!B$2:B$746,B1208,'Base bordo'!F$2:F$746,"MAN PREVENTIVA - MECANICA"),0)+IFERROR(SUMIFS('Base bordo'!G$2:G$746,'Base bordo'!C$2:C$746,A1208,'Base bordo'!B$2:B$746,B1208,'Base bordo'!F$2:F$746,"MAN CORRETIVA - MECANICA"),0)</f>
        <v>0</v>
      </c>
      <c r="L1208" s="10">
        <f>IFERROR(SUMIFS('Base bordo'!G$2:G$746,'Base bordo'!C$2:C$746,A1208,'Base bordo'!B$2:B$746,B1208,'Base bordo'!F$2:F$746,"MANUTENCAO - T O"),0)+IFERROR(SUMIFS('Base bordo'!G$2:G$746,'Base bordo'!C$2:C$746,A1208,'Base bordo'!B$2:B$746,B1208,'Base bordo'!F$2:F$746,"MANUTENCAO BORRACHARIA"),0)+IFERROR(SUMIFS('Base bordo'!G$2:G$746,'Base bordo'!C$2:C$746,A1208,'Base bordo'!B$2:B$746,B1208,'Base bordo'!F$2:F$746,"MANUTENCAO EXTERNA  CONCESSIONARIA"),0)+IFERROR(SUMIFS('Base bordo'!G$2:G$746,'Base bordo'!C$2:C$746,A1208,'Base bordo'!B$2:B$746,B1208,'Base bordo'!F$2:F$746,"MANUTENCAO TELEMETRIA"),0)</f>
        <v>0</v>
      </c>
      <c r="M1208" s="10">
        <f>IFERROR(SUMIFS('Base bordo'!G$2:G$746,'Base bordo'!C$2:C$746,A1208,'Base bordo'!B$2:B$746,B1208,'Base bordo'!F$2:F$746,"AGUARDANDO MANUTENCAO"),0)</f>
        <v>0</v>
      </c>
      <c r="N1208" s="10">
        <f>IFERROR(SUMIFS('Base bordo'!G$2:G$746,'Base bordo'!C$2:C$746,A1208,'Base bordo'!B$2:B$746,B1208,'Base bordo'!F$2:F$746,"SEM APONTAMENTO"),0)</f>
        <v>0</v>
      </c>
      <c r="O1208" s="10">
        <f t="shared" si="120"/>
        <v>2.1111111111110858E-2</v>
      </c>
      <c r="P1208" s="10">
        <f>IFERROR(SUMIFS('Base bordo'!G$2:G$746,'Base bordo'!C$2:C$746,A1208,'Base bordo'!B$2:B$746,B1208),0)</f>
        <v>11.157777777777778</v>
      </c>
      <c r="Q1208" s="10">
        <f>IFERROR(SUMIFS('Base bordo'!H$2:H$746,'Base bordo'!C$2:C$746,A1208,'Base bordo'!B$2:B$746,B1208,'Base bordo'!F$2:F$746,"DESLOCAMENTO VAZIO"),0)</f>
        <v>384446.33</v>
      </c>
      <c r="R1208" s="10">
        <f>IFERROR(SUMIFS('Base bordo'!I$2:I$746,'Base bordo'!C$2:C$746,A1208,'Base bordo'!B$2:B$746,B1208,'Base bordo'!F$2:F$746,"DESLOCAMENTO VAZIO"),0)</f>
        <v>9634</v>
      </c>
      <c r="S1208" s="30">
        <f t="shared" si="121"/>
        <v>39.905161926510274</v>
      </c>
      <c r="T1208" s="10">
        <f>IFERROR(SUMIFS('Base bordo'!H$2:H$746,'Base bordo'!C$2:C$746,A1208,'Base bordo'!B$2:B$746,B1208,'Base bordo'!F$2:F$746,"DESLOCAMENTO CARREGADO"),0)</f>
        <v>426423.94999999995</v>
      </c>
      <c r="U1208" s="10">
        <f>IFERROR(SUMIFS('Base bordo'!I$2:I$746,'Base bordo'!C$2:C$746,A1208,'Base bordo'!B$2:B$746,B1208,'Base bordo'!F$2:F$746,"DESLOCAMENTO CARREGADO"),0)</f>
        <v>19819</v>
      </c>
      <c r="V1208" s="30">
        <f t="shared" si="122"/>
        <v>21.515916544729802</v>
      </c>
      <c r="W1208" s="9">
        <f t="shared" si="123"/>
        <v>0.23984266082453695</v>
      </c>
      <c r="X1208" s="9">
        <f t="shared" si="124"/>
        <v>0.49340270862378011</v>
      </c>
      <c r="Y1208" s="9">
        <f t="shared" si="125"/>
        <v>0.2667546305516828</v>
      </c>
    </row>
    <row r="1209" spans="1:25" ht="15" customHeight="1" x14ac:dyDescent="0.35">
      <c r="A1209" s="52">
        <v>8013465</v>
      </c>
      <c r="B1209" s="51">
        <v>46124</v>
      </c>
      <c r="C1209" s="7" t="s">
        <v>124</v>
      </c>
      <c r="D1209" s="10">
        <f>IFERROR(SUMIFS('Base bordo'!G$2:G$746,'Base bordo'!C$2:C$746,A1209,'Base bordo'!B$2:B$746,B1209,'Base bordo'!F$2:F$746,"DESLOCAMENTO VAZIO"),0)</f>
        <v>2.6761111111111111</v>
      </c>
      <c r="E1209" s="10">
        <f>IFERROR(SUMIFS('Base bordo'!G$2:G$746,'Base bordo'!C$2:C$746,A1209,'Base bordo'!B$2:B$746,B1209,'Base bordo'!F$2:F$746,"DESLOCAMENTO CARREGADO"),0)</f>
        <v>5.5052777777777777</v>
      </c>
      <c r="F1209" s="10">
        <f>IFERROR(SUMIFS('Base bordo'!G$2:G$746,'Base bordo'!C$2:C$746,A1209,'Base bordo'!B$2:B$746,B1209,'Base bordo'!F$2:F$746,"DESLOCAMENTO"),0)</f>
        <v>0</v>
      </c>
      <c r="G1209" s="10">
        <f>IFERROR(SUMIFS('Base bordo'!G$2:G$746,'Base bordo'!C$2:C$746,A1209,'Base bordo'!B$2:B$746,B1209,'Base bordo'!F$2:F$746,"CARREGAMENTO"),0)</f>
        <v>0</v>
      </c>
      <c r="H1209" s="10">
        <f>IFERROR(SUMIFS('Base bordo'!G$2:G$746,'Base bordo'!C$2:C$746,A1209,'Base bordo'!B$2:B$746,B1209,'Base bordo'!F$2:F$746,"AGUARDANDO TRANSBORDO"),0)</f>
        <v>0.45055555555555554</v>
      </c>
      <c r="I1209" s="10">
        <f>IFERROR(SUMIFS('Base bordo'!G$2:G$746,'Base bordo'!C$2:C$746,A1209,'Base bordo'!B$2:B$746,B1209,'Base bordo'!F$2:F$746,"PÁTIO INTERNO"),0)+IFERROR(SUMIFS('Base bordo'!G$2:G$746,'Base bordo'!C$2:C$746,A1209,'Base bordo'!B$2:B$746,B1209,'Base bordo'!F$2:F$746,"PÁTIO EXTERNO"),0)+IFERROR(SUMIFS('Base bordo'!G$2:G$746,'Base bordo'!C$2:C$746,A1209,'Base bordo'!B$2:B$746,B1209,'Base bordo'!F$2:F$746,"PATIO - RESERVA"),0)+IFERROR(SUMIFS('Base bordo'!G$2:G$746,'Base bordo'!C$2:C$746,A1209,'Base bordo'!B$2:B$746,B1209,'Base bordo'!F$2:F$746,"MANOBRA CARRETAS-PATIO"),0)</f>
        <v>2.5047222222222221</v>
      </c>
      <c r="J1209" s="10">
        <f>IFERROR(SUMIFS('Base bordo'!G$2:G$746,'Base bordo'!C$2:C$746,A1209,'Base bordo'!B$2:B$746,B1209,'Base bordo'!F$2:F$746,"BALANÇA - ENTRADA"),0)+IFERROR(SUMIFS('Base bordo'!G$2:G$746,'Base bordo'!C$2:C$746,A1209,'Base bordo'!B$2:B$746,B1209,'Base bordo'!F$2:F$746,"BALANÇA - SAÍDA"),0)</f>
        <v>0</v>
      </c>
      <c r="K1209" s="10">
        <f>IFERROR(SUMIFS('Base bordo'!G$2:G$746,'Base bordo'!C$2:C$746,A1209,'Base bordo'!B$2:B$746,B1209,'Base bordo'!F$2:F$746,"MAN PREVENTIVA - MECANICA"),0)+IFERROR(SUMIFS('Base bordo'!G$2:G$746,'Base bordo'!C$2:C$746,A1209,'Base bordo'!B$2:B$746,B1209,'Base bordo'!F$2:F$746,"MAN CORRETIVA - MECANICA"),0)</f>
        <v>0</v>
      </c>
      <c r="L1209" s="10">
        <f>IFERROR(SUMIFS('Base bordo'!G$2:G$746,'Base bordo'!C$2:C$746,A1209,'Base bordo'!B$2:B$746,B1209,'Base bordo'!F$2:F$746,"MANUTENCAO - T O"),0)+IFERROR(SUMIFS('Base bordo'!G$2:G$746,'Base bordo'!C$2:C$746,A1209,'Base bordo'!B$2:B$746,B1209,'Base bordo'!F$2:F$746,"MANUTENCAO BORRACHARIA"),0)+IFERROR(SUMIFS('Base bordo'!G$2:G$746,'Base bordo'!C$2:C$746,A1209,'Base bordo'!B$2:B$746,B1209,'Base bordo'!F$2:F$746,"MANUTENCAO EXTERNA  CONCESSIONARIA"),0)+IFERROR(SUMIFS('Base bordo'!G$2:G$746,'Base bordo'!C$2:C$746,A1209,'Base bordo'!B$2:B$746,B1209,'Base bordo'!F$2:F$746,"MANUTENCAO TELEMETRIA"),0)</f>
        <v>0</v>
      </c>
      <c r="M1209" s="10">
        <f>IFERROR(SUMIFS('Base bordo'!G$2:G$746,'Base bordo'!C$2:C$746,A1209,'Base bordo'!B$2:B$746,B1209,'Base bordo'!F$2:F$746,"AGUARDANDO MANUTENCAO"),0)</f>
        <v>0</v>
      </c>
      <c r="N1209" s="10">
        <f>IFERROR(SUMIFS('Base bordo'!G$2:G$746,'Base bordo'!C$2:C$746,A1209,'Base bordo'!B$2:B$746,B1209,'Base bordo'!F$2:F$746,"SEM APONTAMENTO"),0)</f>
        <v>0</v>
      </c>
      <c r="O1209" s="10">
        <f t="shared" si="120"/>
        <v>2.1111111111110858E-2</v>
      </c>
      <c r="P1209" s="10">
        <f>IFERROR(SUMIFS('Base bordo'!G$2:G$746,'Base bordo'!C$2:C$746,A1209,'Base bordo'!B$2:B$746,B1209),0)</f>
        <v>11.157777777777778</v>
      </c>
      <c r="Q1209" s="10">
        <f>IFERROR(SUMIFS('Base bordo'!H$2:H$746,'Base bordo'!C$2:C$746,A1209,'Base bordo'!B$2:B$746,B1209,'Base bordo'!F$2:F$746,"DESLOCAMENTO VAZIO"),0)</f>
        <v>384446.33</v>
      </c>
      <c r="R1209" s="10">
        <f>IFERROR(SUMIFS('Base bordo'!I$2:I$746,'Base bordo'!C$2:C$746,A1209,'Base bordo'!B$2:B$746,B1209,'Base bordo'!F$2:F$746,"DESLOCAMENTO VAZIO"),0)</f>
        <v>9634</v>
      </c>
      <c r="S1209" s="30">
        <f t="shared" si="121"/>
        <v>39.905161926510274</v>
      </c>
      <c r="T1209" s="10">
        <f>IFERROR(SUMIFS('Base bordo'!H$2:H$746,'Base bordo'!C$2:C$746,A1209,'Base bordo'!B$2:B$746,B1209,'Base bordo'!F$2:F$746,"DESLOCAMENTO CARREGADO"),0)</f>
        <v>426423.94999999995</v>
      </c>
      <c r="U1209" s="10">
        <f>IFERROR(SUMIFS('Base bordo'!I$2:I$746,'Base bordo'!C$2:C$746,A1209,'Base bordo'!B$2:B$746,B1209,'Base bordo'!F$2:F$746,"DESLOCAMENTO CARREGADO"),0)</f>
        <v>19819</v>
      </c>
      <c r="V1209" s="30">
        <f t="shared" si="122"/>
        <v>21.515916544729802</v>
      </c>
      <c r="W1209" s="9">
        <f t="shared" si="123"/>
        <v>0.23984266082453695</v>
      </c>
      <c r="X1209" s="9">
        <f t="shared" si="124"/>
        <v>0.49340270862378011</v>
      </c>
      <c r="Y1209" s="9">
        <f t="shared" si="125"/>
        <v>0.2667546305516828</v>
      </c>
    </row>
    <row r="1210" spans="1:25" ht="15" customHeight="1" x14ac:dyDescent="0.35">
      <c r="A1210" s="52">
        <v>8013465</v>
      </c>
      <c r="B1210" s="51">
        <v>46124</v>
      </c>
      <c r="C1210" s="7" t="s">
        <v>124</v>
      </c>
      <c r="D1210" s="10">
        <f>IFERROR(SUMIFS('Base bordo'!G$2:G$746,'Base bordo'!C$2:C$746,A1210,'Base bordo'!B$2:B$746,B1210,'Base bordo'!F$2:F$746,"DESLOCAMENTO VAZIO"),0)</f>
        <v>2.6761111111111111</v>
      </c>
      <c r="E1210" s="10">
        <f>IFERROR(SUMIFS('Base bordo'!G$2:G$746,'Base bordo'!C$2:C$746,A1210,'Base bordo'!B$2:B$746,B1210,'Base bordo'!F$2:F$746,"DESLOCAMENTO CARREGADO"),0)</f>
        <v>5.5052777777777777</v>
      </c>
      <c r="F1210" s="10">
        <f>IFERROR(SUMIFS('Base bordo'!G$2:G$746,'Base bordo'!C$2:C$746,A1210,'Base bordo'!B$2:B$746,B1210,'Base bordo'!F$2:F$746,"DESLOCAMENTO"),0)</f>
        <v>0</v>
      </c>
      <c r="G1210" s="10">
        <f>IFERROR(SUMIFS('Base bordo'!G$2:G$746,'Base bordo'!C$2:C$746,A1210,'Base bordo'!B$2:B$746,B1210,'Base bordo'!F$2:F$746,"CARREGAMENTO"),0)</f>
        <v>0</v>
      </c>
      <c r="H1210" s="10">
        <f>IFERROR(SUMIFS('Base bordo'!G$2:G$746,'Base bordo'!C$2:C$746,A1210,'Base bordo'!B$2:B$746,B1210,'Base bordo'!F$2:F$746,"AGUARDANDO TRANSBORDO"),0)</f>
        <v>0.45055555555555554</v>
      </c>
      <c r="I1210" s="10">
        <f>IFERROR(SUMIFS('Base bordo'!G$2:G$746,'Base bordo'!C$2:C$746,A1210,'Base bordo'!B$2:B$746,B1210,'Base bordo'!F$2:F$746,"PÁTIO INTERNO"),0)+IFERROR(SUMIFS('Base bordo'!G$2:G$746,'Base bordo'!C$2:C$746,A1210,'Base bordo'!B$2:B$746,B1210,'Base bordo'!F$2:F$746,"PÁTIO EXTERNO"),0)+IFERROR(SUMIFS('Base bordo'!G$2:G$746,'Base bordo'!C$2:C$746,A1210,'Base bordo'!B$2:B$746,B1210,'Base bordo'!F$2:F$746,"PATIO - RESERVA"),0)+IFERROR(SUMIFS('Base bordo'!G$2:G$746,'Base bordo'!C$2:C$746,A1210,'Base bordo'!B$2:B$746,B1210,'Base bordo'!F$2:F$746,"MANOBRA CARRETAS-PATIO"),0)</f>
        <v>2.5047222222222221</v>
      </c>
      <c r="J1210" s="10">
        <f>IFERROR(SUMIFS('Base bordo'!G$2:G$746,'Base bordo'!C$2:C$746,A1210,'Base bordo'!B$2:B$746,B1210,'Base bordo'!F$2:F$746,"BALANÇA - ENTRADA"),0)+IFERROR(SUMIFS('Base bordo'!G$2:G$746,'Base bordo'!C$2:C$746,A1210,'Base bordo'!B$2:B$746,B1210,'Base bordo'!F$2:F$746,"BALANÇA - SAÍDA"),0)</f>
        <v>0</v>
      </c>
      <c r="K1210" s="10">
        <f>IFERROR(SUMIFS('Base bordo'!G$2:G$746,'Base bordo'!C$2:C$746,A1210,'Base bordo'!B$2:B$746,B1210,'Base bordo'!F$2:F$746,"MAN PREVENTIVA - MECANICA"),0)+IFERROR(SUMIFS('Base bordo'!G$2:G$746,'Base bordo'!C$2:C$746,A1210,'Base bordo'!B$2:B$746,B1210,'Base bordo'!F$2:F$746,"MAN CORRETIVA - MECANICA"),0)</f>
        <v>0</v>
      </c>
      <c r="L1210" s="10">
        <f>IFERROR(SUMIFS('Base bordo'!G$2:G$746,'Base bordo'!C$2:C$746,A1210,'Base bordo'!B$2:B$746,B1210,'Base bordo'!F$2:F$746,"MANUTENCAO - T O"),0)+IFERROR(SUMIFS('Base bordo'!G$2:G$746,'Base bordo'!C$2:C$746,A1210,'Base bordo'!B$2:B$746,B1210,'Base bordo'!F$2:F$746,"MANUTENCAO BORRACHARIA"),0)+IFERROR(SUMIFS('Base bordo'!G$2:G$746,'Base bordo'!C$2:C$746,A1210,'Base bordo'!B$2:B$746,B1210,'Base bordo'!F$2:F$746,"MANUTENCAO EXTERNA  CONCESSIONARIA"),0)+IFERROR(SUMIFS('Base bordo'!G$2:G$746,'Base bordo'!C$2:C$746,A1210,'Base bordo'!B$2:B$746,B1210,'Base bordo'!F$2:F$746,"MANUTENCAO TELEMETRIA"),0)</f>
        <v>0</v>
      </c>
      <c r="M1210" s="10">
        <f>IFERROR(SUMIFS('Base bordo'!G$2:G$746,'Base bordo'!C$2:C$746,A1210,'Base bordo'!B$2:B$746,B1210,'Base bordo'!F$2:F$746,"AGUARDANDO MANUTENCAO"),0)</f>
        <v>0</v>
      </c>
      <c r="N1210" s="10">
        <f>IFERROR(SUMIFS('Base bordo'!G$2:G$746,'Base bordo'!C$2:C$746,A1210,'Base bordo'!B$2:B$746,B1210,'Base bordo'!F$2:F$746,"SEM APONTAMENTO"),0)</f>
        <v>0</v>
      </c>
      <c r="O1210" s="10">
        <f t="shared" si="120"/>
        <v>2.1111111111110858E-2</v>
      </c>
      <c r="P1210" s="10">
        <f>IFERROR(SUMIFS('Base bordo'!G$2:G$746,'Base bordo'!C$2:C$746,A1210,'Base bordo'!B$2:B$746,B1210),0)</f>
        <v>11.157777777777778</v>
      </c>
      <c r="Q1210" s="10">
        <f>IFERROR(SUMIFS('Base bordo'!H$2:H$746,'Base bordo'!C$2:C$746,A1210,'Base bordo'!B$2:B$746,B1210,'Base bordo'!F$2:F$746,"DESLOCAMENTO VAZIO"),0)</f>
        <v>384446.33</v>
      </c>
      <c r="R1210" s="10">
        <f>IFERROR(SUMIFS('Base bordo'!I$2:I$746,'Base bordo'!C$2:C$746,A1210,'Base bordo'!B$2:B$746,B1210,'Base bordo'!F$2:F$746,"DESLOCAMENTO VAZIO"),0)</f>
        <v>9634</v>
      </c>
      <c r="S1210" s="30">
        <f t="shared" si="121"/>
        <v>39.905161926510274</v>
      </c>
      <c r="T1210" s="10">
        <f>IFERROR(SUMIFS('Base bordo'!H$2:H$746,'Base bordo'!C$2:C$746,A1210,'Base bordo'!B$2:B$746,B1210,'Base bordo'!F$2:F$746,"DESLOCAMENTO CARREGADO"),0)</f>
        <v>426423.94999999995</v>
      </c>
      <c r="U1210" s="10">
        <f>IFERROR(SUMIFS('Base bordo'!I$2:I$746,'Base bordo'!C$2:C$746,A1210,'Base bordo'!B$2:B$746,B1210,'Base bordo'!F$2:F$746,"DESLOCAMENTO CARREGADO"),0)</f>
        <v>19819</v>
      </c>
      <c r="V1210" s="30">
        <f t="shared" si="122"/>
        <v>21.515916544729802</v>
      </c>
      <c r="W1210" s="9">
        <f t="shared" si="123"/>
        <v>0.23984266082453695</v>
      </c>
      <c r="X1210" s="9">
        <f t="shared" si="124"/>
        <v>0.49340270862378011</v>
      </c>
      <c r="Y1210" s="9">
        <f t="shared" si="125"/>
        <v>0.2667546305516828</v>
      </c>
    </row>
    <row r="1211" spans="1:25" ht="15" customHeight="1" x14ac:dyDescent="0.35">
      <c r="A1211" s="52">
        <v>8013465</v>
      </c>
      <c r="B1211" s="51">
        <v>46124</v>
      </c>
      <c r="C1211" s="7" t="s">
        <v>124</v>
      </c>
      <c r="D1211" s="10">
        <f>IFERROR(SUMIFS('Base bordo'!G$2:G$746,'Base bordo'!C$2:C$746,A1211,'Base bordo'!B$2:B$746,B1211,'Base bordo'!F$2:F$746,"DESLOCAMENTO VAZIO"),0)</f>
        <v>2.6761111111111111</v>
      </c>
      <c r="E1211" s="10">
        <f>IFERROR(SUMIFS('Base bordo'!G$2:G$746,'Base bordo'!C$2:C$746,A1211,'Base bordo'!B$2:B$746,B1211,'Base bordo'!F$2:F$746,"DESLOCAMENTO CARREGADO"),0)</f>
        <v>5.5052777777777777</v>
      </c>
      <c r="F1211" s="10">
        <f>IFERROR(SUMIFS('Base bordo'!G$2:G$746,'Base bordo'!C$2:C$746,A1211,'Base bordo'!B$2:B$746,B1211,'Base bordo'!F$2:F$746,"DESLOCAMENTO"),0)</f>
        <v>0</v>
      </c>
      <c r="G1211" s="10">
        <f>IFERROR(SUMIFS('Base bordo'!G$2:G$746,'Base bordo'!C$2:C$746,A1211,'Base bordo'!B$2:B$746,B1211,'Base bordo'!F$2:F$746,"CARREGAMENTO"),0)</f>
        <v>0</v>
      </c>
      <c r="H1211" s="10">
        <f>IFERROR(SUMIFS('Base bordo'!G$2:G$746,'Base bordo'!C$2:C$746,A1211,'Base bordo'!B$2:B$746,B1211,'Base bordo'!F$2:F$746,"AGUARDANDO TRANSBORDO"),0)</f>
        <v>0.45055555555555554</v>
      </c>
      <c r="I1211" s="10">
        <f>IFERROR(SUMIFS('Base bordo'!G$2:G$746,'Base bordo'!C$2:C$746,A1211,'Base bordo'!B$2:B$746,B1211,'Base bordo'!F$2:F$746,"PÁTIO INTERNO"),0)+IFERROR(SUMIFS('Base bordo'!G$2:G$746,'Base bordo'!C$2:C$746,A1211,'Base bordo'!B$2:B$746,B1211,'Base bordo'!F$2:F$746,"PÁTIO EXTERNO"),0)+IFERROR(SUMIFS('Base bordo'!G$2:G$746,'Base bordo'!C$2:C$746,A1211,'Base bordo'!B$2:B$746,B1211,'Base bordo'!F$2:F$746,"PATIO - RESERVA"),0)+IFERROR(SUMIFS('Base bordo'!G$2:G$746,'Base bordo'!C$2:C$746,A1211,'Base bordo'!B$2:B$746,B1211,'Base bordo'!F$2:F$746,"MANOBRA CARRETAS-PATIO"),0)</f>
        <v>2.5047222222222221</v>
      </c>
      <c r="J1211" s="10">
        <f>IFERROR(SUMIFS('Base bordo'!G$2:G$746,'Base bordo'!C$2:C$746,A1211,'Base bordo'!B$2:B$746,B1211,'Base bordo'!F$2:F$746,"BALANÇA - ENTRADA"),0)+IFERROR(SUMIFS('Base bordo'!G$2:G$746,'Base bordo'!C$2:C$746,A1211,'Base bordo'!B$2:B$746,B1211,'Base bordo'!F$2:F$746,"BALANÇA - SAÍDA"),0)</f>
        <v>0</v>
      </c>
      <c r="K1211" s="10">
        <f>IFERROR(SUMIFS('Base bordo'!G$2:G$746,'Base bordo'!C$2:C$746,A1211,'Base bordo'!B$2:B$746,B1211,'Base bordo'!F$2:F$746,"MAN PREVENTIVA - MECANICA"),0)+IFERROR(SUMIFS('Base bordo'!G$2:G$746,'Base bordo'!C$2:C$746,A1211,'Base bordo'!B$2:B$746,B1211,'Base bordo'!F$2:F$746,"MAN CORRETIVA - MECANICA"),0)</f>
        <v>0</v>
      </c>
      <c r="L1211" s="10">
        <f>IFERROR(SUMIFS('Base bordo'!G$2:G$746,'Base bordo'!C$2:C$746,A1211,'Base bordo'!B$2:B$746,B1211,'Base bordo'!F$2:F$746,"MANUTENCAO - T O"),0)+IFERROR(SUMIFS('Base bordo'!G$2:G$746,'Base bordo'!C$2:C$746,A1211,'Base bordo'!B$2:B$746,B1211,'Base bordo'!F$2:F$746,"MANUTENCAO BORRACHARIA"),0)+IFERROR(SUMIFS('Base bordo'!G$2:G$746,'Base bordo'!C$2:C$746,A1211,'Base bordo'!B$2:B$746,B1211,'Base bordo'!F$2:F$746,"MANUTENCAO EXTERNA  CONCESSIONARIA"),0)+IFERROR(SUMIFS('Base bordo'!G$2:G$746,'Base bordo'!C$2:C$746,A1211,'Base bordo'!B$2:B$746,B1211,'Base bordo'!F$2:F$746,"MANUTENCAO TELEMETRIA"),0)</f>
        <v>0</v>
      </c>
      <c r="M1211" s="10">
        <f>IFERROR(SUMIFS('Base bordo'!G$2:G$746,'Base bordo'!C$2:C$746,A1211,'Base bordo'!B$2:B$746,B1211,'Base bordo'!F$2:F$746,"AGUARDANDO MANUTENCAO"),0)</f>
        <v>0</v>
      </c>
      <c r="N1211" s="10">
        <f>IFERROR(SUMIFS('Base bordo'!G$2:G$746,'Base bordo'!C$2:C$746,A1211,'Base bordo'!B$2:B$746,B1211,'Base bordo'!F$2:F$746,"SEM APONTAMENTO"),0)</f>
        <v>0</v>
      </c>
      <c r="O1211" s="10">
        <f t="shared" si="120"/>
        <v>2.1111111111110858E-2</v>
      </c>
      <c r="P1211" s="10">
        <f>IFERROR(SUMIFS('Base bordo'!G$2:G$746,'Base bordo'!C$2:C$746,A1211,'Base bordo'!B$2:B$746,B1211),0)</f>
        <v>11.157777777777778</v>
      </c>
      <c r="Q1211" s="10">
        <f>IFERROR(SUMIFS('Base bordo'!H$2:H$746,'Base bordo'!C$2:C$746,A1211,'Base bordo'!B$2:B$746,B1211,'Base bordo'!F$2:F$746,"DESLOCAMENTO VAZIO"),0)</f>
        <v>384446.33</v>
      </c>
      <c r="R1211" s="10">
        <f>IFERROR(SUMIFS('Base bordo'!I$2:I$746,'Base bordo'!C$2:C$746,A1211,'Base bordo'!B$2:B$746,B1211,'Base bordo'!F$2:F$746,"DESLOCAMENTO VAZIO"),0)</f>
        <v>9634</v>
      </c>
      <c r="S1211" s="30">
        <f t="shared" si="121"/>
        <v>39.905161926510274</v>
      </c>
      <c r="T1211" s="10">
        <f>IFERROR(SUMIFS('Base bordo'!H$2:H$746,'Base bordo'!C$2:C$746,A1211,'Base bordo'!B$2:B$746,B1211,'Base bordo'!F$2:F$746,"DESLOCAMENTO CARREGADO"),0)</f>
        <v>426423.94999999995</v>
      </c>
      <c r="U1211" s="10">
        <f>IFERROR(SUMIFS('Base bordo'!I$2:I$746,'Base bordo'!C$2:C$746,A1211,'Base bordo'!B$2:B$746,B1211,'Base bordo'!F$2:F$746,"DESLOCAMENTO CARREGADO"),0)</f>
        <v>19819</v>
      </c>
      <c r="V1211" s="30">
        <f t="shared" si="122"/>
        <v>21.515916544729802</v>
      </c>
      <c r="W1211" s="9">
        <f t="shared" si="123"/>
        <v>0.23984266082453695</v>
      </c>
      <c r="X1211" s="9">
        <f t="shared" si="124"/>
        <v>0.49340270862378011</v>
      </c>
      <c r="Y1211" s="9">
        <f t="shared" si="125"/>
        <v>0.2667546305516828</v>
      </c>
    </row>
    <row r="1212" spans="1:25" ht="15" customHeight="1" x14ac:dyDescent="0.35">
      <c r="A1212" s="52">
        <v>8013465</v>
      </c>
      <c r="B1212" s="51">
        <v>46124</v>
      </c>
      <c r="C1212" s="7" t="s">
        <v>124</v>
      </c>
      <c r="D1212" s="10">
        <f>IFERROR(SUMIFS('Base bordo'!G$2:G$746,'Base bordo'!C$2:C$746,A1212,'Base bordo'!B$2:B$746,B1212,'Base bordo'!F$2:F$746,"DESLOCAMENTO VAZIO"),0)</f>
        <v>2.6761111111111111</v>
      </c>
      <c r="E1212" s="10">
        <f>IFERROR(SUMIFS('Base bordo'!G$2:G$746,'Base bordo'!C$2:C$746,A1212,'Base bordo'!B$2:B$746,B1212,'Base bordo'!F$2:F$746,"DESLOCAMENTO CARREGADO"),0)</f>
        <v>5.5052777777777777</v>
      </c>
      <c r="F1212" s="10">
        <f>IFERROR(SUMIFS('Base bordo'!G$2:G$746,'Base bordo'!C$2:C$746,A1212,'Base bordo'!B$2:B$746,B1212,'Base bordo'!F$2:F$746,"DESLOCAMENTO"),0)</f>
        <v>0</v>
      </c>
      <c r="G1212" s="10">
        <f>IFERROR(SUMIFS('Base bordo'!G$2:G$746,'Base bordo'!C$2:C$746,A1212,'Base bordo'!B$2:B$746,B1212,'Base bordo'!F$2:F$746,"CARREGAMENTO"),0)</f>
        <v>0</v>
      </c>
      <c r="H1212" s="10">
        <f>IFERROR(SUMIFS('Base bordo'!G$2:G$746,'Base bordo'!C$2:C$746,A1212,'Base bordo'!B$2:B$746,B1212,'Base bordo'!F$2:F$746,"AGUARDANDO TRANSBORDO"),0)</f>
        <v>0.45055555555555554</v>
      </c>
      <c r="I1212" s="10">
        <f>IFERROR(SUMIFS('Base bordo'!G$2:G$746,'Base bordo'!C$2:C$746,A1212,'Base bordo'!B$2:B$746,B1212,'Base bordo'!F$2:F$746,"PÁTIO INTERNO"),0)+IFERROR(SUMIFS('Base bordo'!G$2:G$746,'Base bordo'!C$2:C$746,A1212,'Base bordo'!B$2:B$746,B1212,'Base bordo'!F$2:F$746,"PÁTIO EXTERNO"),0)+IFERROR(SUMIFS('Base bordo'!G$2:G$746,'Base bordo'!C$2:C$746,A1212,'Base bordo'!B$2:B$746,B1212,'Base bordo'!F$2:F$746,"PATIO - RESERVA"),0)+IFERROR(SUMIFS('Base bordo'!G$2:G$746,'Base bordo'!C$2:C$746,A1212,'Base bordo'!B$2:B$746,B1212,'Base bordo'!F$2:F$746,"MANOBRA CARRETAS-PATIO"),0)</f>
        <v>2.5047222222222221</v>
      </c>
      <c r="J1212" s="10">
        <f>IFERROR(SUMIFS('Base bordo'!G$2:G$746,'Base bordo'!C$2:C$746,A1212,'Base bordo'!B$2:B$746,B1212,'Base bordo'!F$2:F$746,"BALANÇA - ENTRADA"),0)+IFERROR(SUMIFS('Base bordo'!G$2:G$746,'Base bordo'!C$2:C$746,A1212,'Base bordo'!B$2:B$746,B1212,'Base bordo'!F$2:F$746,"BALANÇA - SAÍDA"),0)</f>
        <v>0</v>
      </c>
      <c r="K1212" s="10">
        <f>IFERROR(SUMIFS('Base bordo'!G$2:G$746,'Base bordo'!C$2:C$746,A1212,'Base bordo'!B$2:B$746,B1212,'Base bordo'!F$2:F$746,"MAN PREVENTIVA - MECANICA"),0)+IFERROR(SUMIFS('Base bordo'!G$2:G$746,'Base bordo'!C$2:C$746,A1212,'Base bordo'!B$2:B$746,B1212,'Base bordo'!F$2:F$746,"MAN CORRETIVA - MECANICA"),0)</f>
        <v>0</v>
      </c>
      <c r="L1212" s="10">
        <f>IFERROR(SUMIFS('Base bordo'!G$2:G$746,'Base bordo'!C$2:C$746,A1212,'Base bordo'!B$2:B$746,B1212,'Base bordo'!F$2:F$746,"MANUTENCAO - T O"),0)+IFERROR(SUMIFS('Base bordo'!G$2:G$746,'Base bordo'!C$2:C$746,A1212,'Base bordo'!B$2:B$746,B1212,'Base bordo'!F$2:F$746,"MANUTENCAO BORRACHARIA"),0)+IFERROR(SUMIFS('Base bordo'!G$2:G$746,'Base bordo'!C$2:C$746,A1212,'Base bordo'!B$2:B$746,B1212,'Base bordo'!F$2:F$746,"MANUTENCAO EXTERNA  CONCESSIONARIA"),0)+IFERROR(SUMIFS('Base bordo'!G$2:G$746,'Base bordo'!C$2:C$746,A1212,'Base bordo'!B$2:B$746,B1212,'Base bordo'!F$2:F$746,"MANUTENCAO TELEMETRIA"),0)</f>
        <v>0</v>
      </c>
      <c r="M1212" s="10">
        <f>IFERROR(SUMIFS('Base bordo'!G$2:G$746,'Base bordo'!C$2:C$746,A1212,'Base bordo'!B$2:B$746,B1212,'Base bordo'!F$2:F$746,"AGUARDANDO MANUTENCAO"),0)</f>
        <v>0</v>
      </c>
      <c r="N1212" s="10">
        <f>IFERROR(SUMIFS('Base bordo'!G$2:G$746,'Base bordo'!C$2:C$746,A1212,'Base bordo'!B$2:B$746,B1212,'Base bordo'!F$2:F$746,"SEM APONTAMENTO"),0)</f>
        <v>0</v>
      </c>
      <c r="O1212" s="10">
        <f t="shared" si="120"/>
        <v>2.1111111111110858E-2</v>
      </c>
      <c r="P1212" s="10">
        <f>IFERROR(SUMIFS('Base bordo'!G$2:G$746,'Base bordo'!C$2:C$746,A1212,'Base bordo'!B$2:B$746,B1212),0)</f>
        <v>11.157777777777778</v>
      </c>
      <c r="Q1212" s="10">
        <f>IFERROR(SUMIFS('Base bordo'!H$2:H$746,'Base bordo'!C$2:C$746,A1212,'Base bordo'!B$2:B$746,B1212,'Base bordo'!F$2:F$746,"DESLOCAMENTO VAZIO"),0)</f>
        <v>384446.33</v>
      </c>
      <c r="R1212" s="10">
        <f>IFERROR(SUMIFS('Base bordo'!I$2:I$746,'Base bordo'!C$2:C$746,A1212,'Base bordo'!B$2:B$746,B1212,'Base bordo'!F$2:F$746,"DESLOCAMENTO VAZIO"),0)</f>
        <v>9634</v>
      </c>
      <c r="S1212" s="30">
        <f t="shared" si="121"/>
        <v>39.905161926510274</v>
      </c>
      <c r="T1212" s="10">
        <f>IFERROR(SUMIFS('Base bordo'!H$2:H$746,'Base bordo'!C$2:C$746,A1212,'Base bordo'!B$2:B$746,B1212,'Base bordo'!F$2:F$746,"DESLOCAMENTO CARREGADO"),0)</f>
        <v>426423.94999999995</v>
      </c>
      <c r="U1212" s="10">
        <f>IFERROR(SUMIFS('Base bordo'!I$2:I$746,'Base bordo'!C$2:C$746,A1212,'Base bordo'!B$2:B$746,B1212,'Base bordo'!F$2:F$746,"DESLOCAMENTO CARREGADO"),0)</f>
        <v>19819</v>
      </c>
      <c r="V1212" s="30">
        <f t="shared" si="122"/>
        <v>21.515916544729802</v>
      </c>
      <c r="W1212" s="9">
        <f t="shared" si="123"/>
        <v>0.23984266082453695</v>
      </c>
      <c r="X1212" s="9">
        <f t="shared" si="124"/>
        <v>0.49340270862378011</v>
      </c>
      <c r="Y1212" s="9">
        <f t="shared" si="125"/>
        <v>0.2667546305516828</v>
      </c>
    </row>
    <row r="1213" spans="1:25" ht="15" customHeight="1" x14ac:dyDescent="0.35">
      <c r="A1213" s="52">
        <v>8013465</v>
      </c>
      <c r="B1213" s="51">
        <v>46124</v>
      </c>
      <c r="C1213" s="7" t="s">
        <v>124</v>
      </c>
      <c r="D1213" s="10">
        <f>IFERROR(SUMIFS('Base bordo'!G$2:G$746,'Base bordo'!C$2:C$746,A1213,'Base bordo'!B$2:B$746,B1213,'Base bordo'!F$2:F$746,"DESLOCAMENTO VAZIO"),0)</f>
        <v>2.6761111111111111</v>
      </c>
      <c r="E1213" s="10">
        <f>IFERROR(SUMIFS('Base bordo'!G$2:G$746,'Base bordo'!C$2:C$746,A1213,'Base bordo'!B$2:B$746,B1213,'Base bordo'!F$2:F$746,"DESLOCAMENTO CARREGADO"),0)</f>
        <v>5.5052777777777777</v>
      </c>
      <c r="F1213" s="10">
        <f>IFERROR(SUMIFS('Base bordo'!G$2:G$746,'Base bordo'!C$2:C$746,A1213,'Base bordo'!B$2:B$746,B1213,'Base bordo'!F$2:F$746,"DESLOCAMENTO"),0)</f>
        <v>0</v>
      </c>
      <c r="G1213" s="10">
        <f>IFERROR(SUMIFS('Base bordo'!G$2:G$746,'Base bordo'!C$2:C$746,A1213,'Base bordo'!B$2:B$746,B1213,'Base bordo'!F$2:F$746,"CARREGAMENTO"),0)</f>
        <v>0</v>
      </c>
      <c r="H1213" s="10">
        <f>IFERROR(SUMIFS('Base bordo'!G$2:G$746,'Base bordo'!C$2:C$746,A1213,'Base bordo'!B$2:B$746,B1213,'Base bordo'!F$2:F$746,"AGUARDANDO TRANSBORDO"),0)</f>
        <v>0.45055555555555554</v>
      </c>
      <c r="I1213" s="10">
        <f>IFERROR(SUMIFS('Base bordo'!G$2:G$746,'Base bordo'!C$2:C$746,A1213,'Base bordo'!B$2:B$746,B1213,'Base bordo'!F$2:F$746,"PÁTIO INTERNO"),0)+IFERROR(SUMIFS('Base bordo'!G$2:G$746,'Base bordo'!C$2:C$746,A1213,'Base bordo'!B$2:B$746,B1213,'Base bordo'!F$2:F$746,"PÁTIO EXTERNO"),0)+IFERROR(SUMIFS('Base bordo'!G$2:G$746,'Base bordo'!C$2:C$746,A1213,'Base bordo'!B$2:B$746,B1213,'Base bordo'!F$2:F$746,"PATIO - RESERVA"),0)+IFERROR(SUMIFS('Base bordo'!G$2:G$746,'Base bordo'!C$2:C$746,A1213,'Base bordo'!B$2:B$746,B1213,'Base bordo'!F$2:F$746,"MANOBRA CARRETAS-PATIO"),0)</f>
        <v>2.5047222222222221</v>
      </c>
      <c r="J1213" s="10">
        <f>IFERROR(SUMIFS('Base bordo'!G$2:G$746,'Base bordo'!C$2:C$746,A1213,'Base bordo'!B$2:B$746,B1213,'Base bordo'!F$2:F$746,"BALANÇA - ENTRADA"),0)+IFERROR(SUMIFS('Base bordo'!G$2:G$746,'Base bordo'!C$2:C$746,A1213,'Base bordo'!B$2:B$746,B1213,'Base bordo'!F$2:F$746,"BALANÇA - SAÍDA"),0)</f>
        <v>0</v>
      </c>
      <c r="K1213" s="10">
        <f>IFERROR(SUMIFS('Base bordo'!G$2:G$746,'Base bordo'!C$2:C$746,A1213,'Base bordo'!B$2:B$746,B1213,'Base bordo'!F$2:F$746,"MAN PREVENTIVA - MECANICA"),0)+IFERROR(SUMIFS('Base bordo'!G$2:G$746,'Base bordo'!C$2:C$746,A1213,'Base bordo'!B$2:B$746,B1213,'Base bordo'!F$2:F$746,"MAN CORRETIVA - MECANICA"),0)</f>
        <v>0</v>
      </c>
      <c r="L1213" s="10">
        <f>IFERROR(SUMIFS('Base bordo'!G$2:G$746,'Base bordo'!C$2:C$746,A1213,'Base bordo'!B$2:B$746,B1213,'Base bordo'!F$2:F$746,"MANUTENCAO - T O"),0)+IFERROR(SUMIFS('Base bordo'!G$2:G$746,'Base bordo'!C$2:C$746,A1213,'Base bordo'!B$2:B$746,B1213,'Base bordo'!F$2:F$746,"MANUTENCAO BORRACHARIA"),0)+IFERROR(SUMIFS('Base bordo'!G$2:G$746,'Base bordo'!C$2:C$746,A1213,'Base bordo'!B$2:B$746,B1213,'Base bordo'!F$2:F$746,"MANUTENCAO EXTERNA  CONCESSIONARIA"),0)+IFERROR(SUMIFS('Base bordo'!G$2:G$746,'Base bordo'!C$2:C$746,A1213,'Base bordo'!B$2:B$746,B1213,'Base bordo'!F$2:F$746,"MANUTENCAO TELEMETRIA"),0)</f>
        <v>0</v>
      </c>
      <c r="M1213" s="10">
        <f>IFERROR(SUMIFS('Base bordo'!G$2:G$746,'Base bordo'!C$2:C$746,A1213,'Base bordo'!B$2:B$746,B1213,'Base bordo'!F$2:F$746,"AGUARDANDO MANUTENCAO"),0)</f>
        <v>0</v>
      </c>
      <c r="N1213" s="10">
        <f>IFERROR(SUMIFS('Base bordo'!G$2:G$746,'Base bordo'!C$2:C$746,A1213,'Base bordo'!B$2:B$746,B1213,'Base bordo'!F$2:F$746,"SEM APONTAMENTO"),0)</f>
        <v>0</v>
      </c>
      <c r="O1213" s="10">
        <f t="shared" si="120"/>
        <v>2.1111111111110858E-2</v>
      </c>
      <c r="P1213" s="10">
        <f>IFERROR(SUMIFS('Base bordo'!G$2:G$746,'Base bordo'!C$2:C$746,A1213,'Base bordo'!B$2:B$746,B1213),0)</f>
        <v>11.157777777777778</v>
      </c>
      <c r="Q1213" s="10">
        <f>IFERROR(SUMIFS('Base bordo'!H$2:H$746,'Base bordo'!C$2:C$746,A1213,'Base bordo'!B$2:B$746,B1213,'Base bordo'!F$2:F$746,"DESLOCAMENTO VAZIO"),0)</f>
        <v>384446.33</v>
      </c>
      <c r="R1213" s="10">
        <f>IFERROR(SUMIFS('Base bordo'!I$2:I$746,'Base bordo'!C$2:C$746,A1213,'Base bordo'!B$2:B$746,B1213,'Base bordo'!F$2:F$746,"DESLOCAMENTO VAZIO"),0)</f>
        <v>9634</v>
      </c>
      <c r="S1213" s="30">
        <f t="shared" si="121"/>
        <v>39.905161926510274</v>
      </c>
      <c r="T1213" s="10">
        <f>IFERROR(SUMIFS('Base bordo'!H$2:H$746,'Base bordo'!C$2:C$746,A1213,'Base bordo'!B$2:B$746,B1213,'Base bordo'!F$2:F$746,"DESLOCAMENTO CARREGADO"),0)</f>
        <v>426423.94999999995</v>
      </c>
      <c r="U1213" s="10">
        <f>IFERROR(SUMIFS('Base bordo'!I$2:I$746,'Base bordo'!C$2:C$746,A1213,'Base bordo'!B$2:B$746,B1213,'Base bordo'!F$2:F$746,"DESLOCAMENTO CARREGADO"),0)</f>
        <v>19819</v>
      </c>
      <c r="V1213" s="30">
        <f t="shared" si="122"/>
        <v>21.515916544729802</v>
      </c>
      <c r="W1213" s="9">
        <f t="shared" si="123"/>
        <v>0.23984266082453695</v>
      </c>
      <c r="X1213" s="9">
        <f t="shared" si="124"/>
        <v>0.49340270862378011</v>
      </c>
      <c r="Y1213" s="9">
        <f t="shared" si="125"/>
        <v>0.2667546305516828</v>
      </c>
    </row>
    <row r="1214" spans="1:25" ht="15" customHeight="1" x14ac:dyDescent="0.35">
      <c r="A1214" s="52">
        <v>8013465</v>
      </c>
      <c r="B1214" s="51">
        <v>46124</v>
      </c>
      <c r="C1214" s="7" t="s">
        <v>124</v>
      </c>
      <c r="D1214" s="10">
        <f>IFERROR(SUMIFS('Base bordo'!G$2:G$746,'Base bordo'!C$2:C$746,A1214,'Base bordo'!B$2:B$746,B1214,'Base bordo'!F$2:F$746,"DESLOCAMENTO VAZIO"),0)</f>
        <v>2.6761111111111111</v>
      </c>
      <c r="E1214" s="10">
        <f>IFERROR(SUMIFS('Base bordo'!G$2:G$746,'Base bordo'!C$2:C$746,A1214,'Base bordo'!B$2:B$746,B1214,'Base bordo'!F$2:F$746,"DESLOCAMENTO CARREGADO"),0)</f>
        <v>5.5052777777777777</v>
      </c>
      <c r="F1214" s="10">
        <f>IFERROR(SUMIFS('Base bordo'!G$2:G$746,'Base bordo'!C$2:C$746,A1214,'Base bordo'!B$2:B$746,B1214,'Base bordo'!F$2:F$746,"DESLOCAMENTO"),0)</f>
        <v>0</v>
      </c>
      <c r="G1214" s="10">
        <f>IFERROR(SUMIFS('Base bordo'!G$2:G$746,'Base bordo'!C$2:C$746,A1214,'Base bordo'!B$2:B$746,B1214,'Base bordo'!F$2:F$746,"CARREGAMENTO"),0)</f>
        <v>0</v>
      </c>
      <c r="H1214" s="10">
        <f>IFERROR(SUMIFS('Base bordo'!G$2:G$746,'Base bordo'!C$2:C$746,A1214,'Base bordo'!B$2:B$746,B1214,'Base bordo'!F$2:F$746,"AGUARDANDO TRANSBORDO"),0)</f>
        <v>0.45055555555555554</v>
      </c>
      <c r="I1214" s="10">
        <f>IFERROR(SUMIFS('Base bordo'!G$2:G$746,'Base bordo'!C$2:C$746,A1214,'Base bordo'!B$2:B$746,B1214,'Base bordo'!F$2:F$746,"PÁTIO INTERNO"),0)+IFERROR(SUMIFS('Base bordo'!G$2:G$746,'Base bordo'!C$2:C$746,A1214,'Base bordo'!B$2:B$746,B1214,'Base bordo'!F$2:F$746,"PÁTIO EXTERNO"),0)+IFERROR(SUMIFS('Base bordo'!G$2:G$746,'Base bordo'!C$2:C$746,A1214,'Base bordo'!B$2:B$746,B1214,'Base bordo'!F$2:F$746,"PATIO - RESERVA"),0)+IFERROR(SUMIFS('Base bordo'!G$2:G$746,'Base bordo'!C$2:C$746,A1214,'Base bordo'!B$2:B$746,B1214,'Base bordo'!F$2:F$746,"MANOBRA CARRETAS-PATIO"),0)</f>
        <v>2.5047222222222221</v>
      </c>
      <c r="J1214" s="10">
        <f>IFERROR(SUMIFS('Base bordo'!G$2:G$746,'Base bordo'!C$2:C$746,A1214,'Base bordo'!B$2:B$746,B1214,'Base bordo'!F$2:F$746,"BALANÇA - ENTRADA"),0)+IFERROR(SUMIFS('Base bordo'!G$2:G$746,'Base bordo'!C$2:C$746,A1214,'Base bordo'!B$2:B$746,B1214,'Base bordo'!F$2:F$746,"BALANÇA - SAÍDA"),0)</f>
        <v>0</v>
      </c>
      <c r="K1214" s="10">
        <f>IFERROR(SUMIFS('Base bordo'!G$2:G$746,'Base bordo'!C$2:C$746,A1214,'Base bordo'!B$2:B$746,B1214,'Base bordo'!F$2:F$746,"MAN PREVENTIVA - MECANICA"),0)+IFERROR(SUMIFS('Base bordo'!G$2:G$746,'Base bordo'!C$2:C$746,A1214,'Base bordo'!B$2:B$746,B1214,'Base bordo'!F$2:F$746,"MAN CORRETIVA - MECANICA"),0)</f>
        <v>0</v>
      </c>
      <c r="L1214" s="10">
        <f>IFERROR(SUMIFS('Base bordo'!G$2:G$746,'Base bordo'!C$2:C$746,A1214,'Base bordo'!B$2:B$746,B1214,'Base bordo'!F$2:F$746,"MANUTENCAO - T O"),0)+IFERROR(SUMIFS('Base bordo'!G$2:G$746,'Base bordo'!C$2:C$746,A1214,'Base bordo'!B$2:B$746,B1214,'Base bordo'!F$2:F$746,"MANUTENCAO BORRACHARIA"),0)+IFERROR(SUMIFS('Base bordo'!G$2:G$746,'Base bordo'!C$2:C$746,A1214,'Base bordo'!B$2:B$746,B1214,'Base bordo'!F$2:F$746,"MANUTENCAO EXTERNA  CONCESSIONARIA"),0)+IFERROR(SUMIFS('Base bordo'!G$2:G$746,'Base bordo'!C$2:C$746,A1214,'Base bordo'!B$2:B$746,B1214,'Base bordo'!F$2:F$746,"MANUTENCAO TELEMETRIA"),0)</f>
        <v>0</v>
      </c>
      <c r="M1214" s="10">
        <f>IFERROR(SUMIFS('Base bordo'!G$2:G$746,'Base bordo'!C$2:C$746,A1214,'Base bordo'!B$2:B$746,B1214,'Base bordo'!F$2:F$746,"AGUARDANDO MANUTENCAO"),0)</f>
        <v>0</v>
      </c>
      <c r="N1214" s="10">
        <f>IFERROR(SUMIFS('Base bordo'!G$2:G$746,'Base bordo'!C$2:C$746,A1214,'Base bordo'!B$2:B$746,B1214,'Base bordo'!F$2:F$746,"SEM APONTAMENTO"),0)</f>
        <v>0</v>
      </c>
      <c r="O1214" s="10">
        <f t="shared" si="120"/>
        <v>2.1111111111110858E-2</v>
      </c>
      <c r="P1214" s="10">
        <f>IFERROR(SUMIFS('Base bordo'!G$2:G$746,'Base bordo'!C$2:C$746,A1214,'Base bordo'!B$2:B$746,B1214),0)</f>
        <v>11.157777777777778</v>
      </c>
      <c r="Q1214" s="10">
        <f>IFERROR(SUMIFS('Base bordo'!H$2:H$746,'Base bordo'!C$2:C$746,A1214,'Base bordo'!B$2:B$746,B1214,'Base bordo'!F$2:F$746,"DESLOCAMENTO VAZIO"),0)</f>
        <v>384446.33</v>
      </c>
      <c r="R1214" s="10">
        <f>IFERROR(SUMIFS('Base bordo'!I$2:I$746,'Base bordo'!C$2:C$746,A1214,'Base bordo'!B$2:B$746,B1214,'Base bordo'!F$2:F$746,"DESLOCAMENTO VAZIO"),0)</f>
        <v>9634</v>
      </c>
      <c r="S1214" s="30">
        <f t="shared" si="121"/>
        <v>39.905161926510274</v>
      </c>
      <c r="T1214" s="10">
        <f>IFERROR(SUMIFS('Base bordo'!H$2:H$746,'Base bordo'!C$2:C$746,A1214,'Base bordo'!B$2:B$746,B1214,'Base bordo'!F$2:F$746,"DESLOCAMENTO CARREGADO"),0)</f>
        <v>426423.94999999995</v>
      </c>
      <c r="U1214" s="10">
        <f>IFERROR(SUMIFS('Base bordo'!I$2:I$746,'Base bordo'!C$2:C$746,A1214,'Base bordo'!B$2:B$746,B1214,'Base bordo'!F$2:F$746,"DESLOCAMENTO CARREGADO"),0)</f>
        <v>19819</v>
      </c>
      <c r="V1214" s="30">
        <f t="shared" si="122"/>
        <v>21.515916544729802</v>
      </c>
      <c r="W1214" s="9">
        <f t="shared" si="123"/>
        <v>0.23984266082453695</v>
      </c>
      <c r="X1214" s="9">
        <f t="shared" si="124"/>
        <v>0.49340270862378011</v>
      </c>
      <c r="Y1214" s="9">
        <f t="shared" si="125"/>
        <v>0.2667546305516828</v>
      </c>
    </row>
    <row r="1215" spans="1:25" ht="15" customHeight="1" x14ac:dyDescent="0.35">
      <c r="A1215" s="52">
        <v>8013465</v>
      </c>
      <c r="B1215" s="51">
        <v>46124</v>
      </c>
      <c r="C1215" s="7" t="s">
        <v>124</v>
      </c>
      <c r="D1215" s="10">
        <f>IFERROR(SUMIFS('Base bordo'!G$2:G$746,'Base bordo'!C$2:C$746,A1215,'Base bordo'!B$2:B$746,B1215,'Base bordo'!F$2:F$746,"DESLOCAMENTO VAZIO"),0)</f>
        <v>2.6761111111111111</v>
      </c>
      <c r="E1215" s="10">
        <f>IFERROR(SUMIFS('Base bordo'!G$2:G$746,'Base bordo'!C$2:C$746,A1215,'Base bordo'!B$2:B$746,B1215,'Base bordo'!F$2:F$746,"DESLOCAMENTO CARREGADO"),0)</f>
        <v>5.5052777777777777</v>
      </c>
      <c r="F1215" s="10">
        <f>IFERROR(SUMIFS('Base bordo'!G$2:G$746,'Base bordo'!C$2:C$746,A1215,'Base bordo'!B$2:B$746,B1215,'Base bordo'!F$2:F$746,"DESLOCAMENTO"),0)</f>
        <v>0</v>
      </c>
      <c r="G1215" s="10">
        <f>IFERROR(SUMIFS('Base bordo'!G$2:G$746,'Base bordo'!C$2:C$746,A1215,'Base bordo'!B$2:B$746,B1215,'Base bordo'!F$2:F$746,"CARREGAMENTO"),0)</f>
        <v>0</v>
      </c>
      <c r="H1215" s="10">
        <f>IFERROR(SUMIFS('Base bordo'!G$2:G$746,'Base bordo'!C$2:C$746,A1215,'Base bordo'!B$2:B$746,B1215,'Base bordo'!F$2:F$746,"AGUARDANDO TRANSBORDO"),0)</f>
        <v>0.45055555555555554</v>
      </c>
      <c r="I1215" s="10">
        <f>IFERROR(SUMIFS('Base bordo'!G$2:G$746,'Base bordo'!C$2:C$746,A1215,'Base bordo'!B$2:B$746,B1215,'Base bordo'!F$2:F$746,"PÁTIO INTERNO"),0)+IFERROR(SUMIFS('Base bordo'!G$2:G$746,'Base bordo'!C$2:C$746,A1215,'Base bordo'!B$2:B$746,B1215,'Base bordo'!F$2:F$746,"PÁTIO EXTERNO"),0)+IFERROR(SUMIFS('Base bordo'!G$2:G$746,'Base bordo'!C$2:C$746,A1215,'Base bordo'!B$2:B$746,B1215,'Base bordo'!F$2:F$746,"PATIO - RESERVA"),0)+IFERROR(SUMIFS('Base bordo'!G$2:G$746,'Base bordo'!C$2:C$746,A1215,'Base bordo'!B$2:B$746,B1215,'Base bordo'!F$2:F$746,"MANOBRA CARRETAS-PATIO"),0)</f>
        <v>2.5047222222222221</v>
      </c>
      <c r="J1215" s="10">
        <f>IFERROR(SUMIFS('Base bordo'!G$2:G$746,'Base bordo'!C$2:C$746,A1215,'Base bordo'!B$2:B$746,B1215,'Base bordo'!F$2:F$746,"BALANÇA - ENTRADA"),0)+IFERROR(SUMIFS('Base bordo'!G$2:G$746,'Base bordo'!C$2:C$746,A1215,'Base bordo'!B$2:B$746,B1215,'Base bordo'!F$2:F$746,"BALANÇA - SAÍDA"),0)</f>
        <v>0</v>
      </c>
      <c r="K1215" s="10">
        <f>IFERROR(SUMIFS('Base bordo'!G$2:G$746,'Base bordo'!C$2:C$746,A1215,'Base bordo'!B$2:B$746,B1215,'Base bordo'!F$2:F$746,"MAN PREVENTIVA - MECANICA"),0)+IFERROR(SUMIFS('Base bordo'!G$2:G$746,'Base bordo'!C$2:C$746,A1215,'Base bordo'!B$2:B$746,B1215,'Base bordo'!F$2:F$746,"MAN CORRETIVA - MECANICA"),0)</f>
        <v>0</v>
      </c>
      <c r="L1215" s="10">
        <f>IFERROR(SUMIFS('Base bordo'!G$2:G$746,'Base bordo'!C$2:C$746,A1215,'Base bordo'!B$2:B$746,B1215,'Base bordo'!F$2:F$746,"MANUTENCAO - T O"),0)+IFERROR(SUMIFS('Base bordo'!G$2:G$746,'Base bordo'!C$2:C$746,A1215,'Base bordo'!B$2:B$746,B1215,'Base bordo'!F$2:F$746,"MANUTENCAO BORRACHARIA"),0)+IFERROR(SUMIFS('Base bordo'!G$2:G$746,'Base bordo'!C$2:C$746,A1215,'Base bordo'!B$2:B$746,B1215,'Base bordo'!F$2:F$746,"MANUTENCAO EXTERNA  CONCESSIONARIA"),0)+IFERROR(SUMIFS('Base bordo'!G$2:G$746,'Base bordo'!C$2:C$746,A1215,'Base bordo'!B$2:B$746,B1215,'Base bordo'!F$2:F$746,"MANUTENCAO TELEMETRIA"),0)</f>
        <v>0</v>
      </c>
      <c r="M1215" s="10">
        <f>IFERROR(SUMIFS('Base bordo'!G$2:G$746,'Base bordo'!C$2:C$746,A1215,'Base bordo'!B$2:B$746,B1215,'Base bordo'!F$2:F$746,"AGUARDANDO MANUTENCAO"),0)</f>
        <v>0</v>
      </c>
      <c r="N1215" s="10">
        <f>IFERROR(SUMIFS('Base bordo'!G$2:G$746,'Base bordo'!C$2:C$746,A1215,'Base bordo'!B$2:B$746,B1215,'Base bordo'!F$2:F$746,"SEM APONTAMENTO"),0)</f>
        <v>0</v>
      </c>
      <c r="O1215" s="10">
        <f t="shared" si="120"/>
        <v>2.1111111111110858E-2</v>
      </c>
      <c r="P1215" s="10">
        <f>IFERROR(SUMIFS('Base bordo'!G$2:G$746,'Base bordo'!C$2:C$746,A1215,'Base bordo'!B$2:B$746,B1215),0)</f>
        <v>11.157777777777778</v>
      </c>
      <c r="Q1215" s="10">
        <f>IFERROR(SUMIFS('Base bordo'!H$2:H$746,'Base bordo'!C$2:C$746,A1215,'Base bordo'!B$2:B$746,B1215,'Base bordo'!F$2:F$746,"DESLOCAMENTO VAZIO"),0)</f>
        <v>384446.33</v>
      </c>
      <c r="R1215" s="10">
        <f>IFERROR(SUMIFS('Base bordo'!I$2:I$746,'Base bordo'!C$2:C$746,A1215,'Base bordo'!B$2:B$746,B1215,'Base bordo'!F$2:F$746,"DESLOCAMENTO VAZIO"),0)</f>
        <v>9634</v>
      </c>
      <c r="S1215" s="30">
        <f t="shared" si="121"/>
        <v>39.905161926510274</v>
      </c>
      <c r="T1215" s="10">
        <f>IFERROR(SUMIFS('Base bordo'!H$2:H$746,'Base bordo'!C$2:C$746,A1215,'Base bordo'!B$2:B$746,B1215,'Base bordo'!F$2:F$746,"DESLOCAMENTO CARREGADO"),0)</f>
        <v>426423.94999999995</v>
      </c>
      <c r="U1215" s="10">
        <f>IFERROR(SUMIFS('Base bordo'!I$2:I$746,'Base bordo'!C$2:C$746,A1215,'Base bordo'!B$2:B$746,B1215,'Base bordo'!F$2:F$746,"DESLOCAMENTO CARREGADO"),0)</f>
        <v>19819</v>
      </c>
      <c r="V1215" s="30">
        <f t="shared" si="122"/>
        <v>21.515916544729802</v>
      </c>
      <c r="W1215" s="9">
        <f t="shared" si="123"/>
        <v>0.23984266082453695</v>
      </c>
      <c r="X1215" s="9">
        <f t="shared" si="124"/>
        <v>0.49340270862378011</v>
      </c>
      <c r="Y1215" s="9">
        <f t="shared" si="125"/>
        <v>0.2667546305516828</v>
      </c>
    </row>
    <row r="1216" spans="1:25" ht="15" customHeight="1" x14ac:dyDescent="0.35">
      <c r="A1216" s="52">
        <v>8013468</v>
      </c>
      <c r="B1216" s="51">
        <v>46124</v>
      </c>
      <c r="C1216" s="7" t="s">
        <v>124</v>
      </c>
      <c r="D1216" s="10">
        <f>IFERROR(SUMIFS('Base bordo'!G$2:G$746,'Base bordo'!C$2:C$746,A1216,'Base bordo'!B$2:B$746,B1216,'Base bordo'!F$2:F$746,"DESLOCAMENTO VAZIO"),0)</f>
        <v>2.4347222222222222</v>
      </c>
      <c r="E1216" s="10">
        <f>IFERROR(SUMIFS('Base bordo'!G$2:G$746,'Base bordo'!C$2:C$746,A1216,'Base bordo'!B$2:B$746,B1216,'Base bordo'!F$2:F$746,"DESLOCAMENTO CARREGADO"),0)</f>
        <v>3.8097222222222222</v>
      </c>
      <c r="F1216" s="10">
        <f>IFERROR(SUMIFS('Base bordo'!G$2:G$746,'Base bordo'!C$2:C$746,A1216,'Base bordo'!B$2:B$746,B1216,'Base bordo'!F$2:F$746,"DESLOCAMENTO"),0)</f>
        <v>0</v>
      </c>
      <c r="G1216" s="10">
        <f>IFERROR(SUMIFS('Base bordo'!G$2:G$746,'Base bordo'!C$2:C$746,A1216,'Base bordo'!B$2:B$746,B1216,'Base bordo'!F$2:F$746,"CARREGAMENTO"),0)</f>
        <v>0</v>
      </c>
      <c r="H1216" s="10">
        <f>IFERROR(SUMIFS('Base bordo'!G$2:G$746,'Base bordo'!C$2:C$746,A1216,'Base bordo'!B$2:B$746,B1216,'Base bordo'!F$2:F$746,"AGUARDANDO TRANSBORDO"),0)</f>
        <v>0.71027777777777779</v>
      </c>
      <c r="I1216" s="10">
        <f>IFERROR(SUMIFS('Base bordo'!G$2:G$746,'Base bordo'!C$2:C$746,A1216,'Base bordo'!B$2:B$746,B1216,'Base bordo'!F$2:F$746,"PÁTIO INTERNO"),0)+IFERROR(SUMIFS('Base bordo'!G$2:G$746,'Base bordo'!C$2:C$746,A1216,'Base bordo'!B$2:B$746,B1216,'Base bordo'!F$2:F$746,"PÁTIO EXTERNO"),0)+IFERROR(SUMIFS('Base bordo'!G$2:G$746,'Base bordo'!C$2:C$746,A1216,'Base bordo'!B$2:B$746,B1216,'Base bordo'!F$2:F$746,"PATIO - RESERVA"),0)+IFERROR(SUMIFS('Base bordo'!G$2:G$746,'Base bordo'!C$2:C$746,A1216,'Base bordo'!B$2:B$746,B1216,'Base bordo'!F$2:F$746,"MANOBRA CARRETAS-PATIO"),0)</f>
        <v>5.4283333333333337</v>
      </c>
      <c r="J1216" s="10">
        <f>IFERROR(SUMIFS('Base bordo'!G$2:G$746,'Base bordo'!C$2:C$746,A1216,'Base bordo'!B$2:B$746,B1216,'Base bordo'!F$2:F$746,"BALANÇA - ENTRADA"),0)+IFERROR(SUMIFS('Base bordo'!G$2:G$746,'Base bordo'!C$2:C$746,A1216,'Base bordo'!B$2:B$746,B1216,'Base bordo'!F$2:F$746,"BALANÇA - SAÍDA"),0)</f>
        <v>0.4177777777777778</v>
      </c>
      <c r="K1216" s="10">
        <f>IFERROR(SUMIFS('Base bordo'!G$2:G$746,'Base bordo'!C$2:C$746,A1216,'Base bordo'!B$2:B$746,B1216,'Base bordo'!F$2:F$746,"MAN PREVENTIVA - MECANICA"),0)+IFERROR(SUMIFS('Base bordo'!G$2:G$746,'Base bordo'!C$2:C$746,A1216,'Base bordo'!B$2:B$746,B1216,'Base bordo'!F$2:F$746,"MAN CORRETIVA - MECANICA"),0)</f>
        <v>0</v>
      </c>
      <c r="L1216" s="10">
        <f>IFERROR(SUMIFS('Base bordo'!G$2:G$746,'Base bordo'!C$2:C$746,A1216,'Base bordo'!B$2:B$746,B1216,'Base bordo'!F$2:F$746,"MANUTENCAO - T O"),0)+IFERROR(SUMIFS('Base bordo'!G$2:G$746,'Base bordo'!C$2:C$746,A1216,'Base bordo'!B$2:B$746,B1216,'Base bordo'!F$2:F$746,"MANUTENCAO BORRACHARIA"),0)+IFERROR(SUMIFS('Base bordo'!G$2:G$746,'Base bordo'!C$2:C$746,A1216,'Base bordo'!B$2:B$746,B1216,'Base bordo'!F$2:F$746,"MANUTENCAO EXTERNA  CONCESSIONARIA"),0)+IFERROR(SUMIFS('Base bordo'!G$2:G$746,'Base bordo'!C$2:C$746,A1216,'Base bordo'!B$2:B$746,B1216,'Base bordo'!F$2:F$746,"MANUTENCAO TELEMETRIA"),0)</f>
        <v>0</v>
      </c>
      <c r="M1216" s="10">
        <f>IFERROR(SUMIFS('Base bordo'!G$2:G$746,'Base bordo'!C$2:C$746,A1216,'Base bordo'!B$2:B$746,B1216,'Base bordo'!F$2:F$746,"AGUARDANDO MANUTENCAO"),0)</f>
        <v>0</v>
      </c>
      <c r="N1216" s="10">
        <f>IFERROR(SUMIFS('Base bordo'!G$2:G$746,'Base bordo'!C$2:C$746,A1216,'Base bordo'!B$2:B$746,B1216,'Base bordo'!F$2:F$746,"SEM APONTAMENTO"),0)</f>
        <v>0</v>
      </c>
      <c r="O1216" s="10">
        <f t="shared" si="120"/>
        <v>1.7763568394002505E-15</v>
      </c>
      <c r="P1216" s="10">
        <f>IFERROR(SUMIFS('Base bordo'!G$2:G$746,'Base bordo'!C$2:C$746,A1216,'Base bordo'!B$2:B$746,B1216),0)</f>
        <v>12.800833333333335</v>
      </c>
      <c r="Q1216" s="10">
        <f>IFERROR(SUMIFS('Base bordo'!H$2:H$746,'Base bordo'!C$2:C$746,A1216,'Base bordo'!B$2:B$746,B1216,'Base bordo'!F$2:F$746,"DESLOCAMENTO VAZIO"),0)</f>
        <v>322127.41000000003</v>
      </c>
      <c r="R1216" s="10">
        <f>IFERROR(SUMIFS('Base bordo'!I$2:I$746,'Base bordo'!C$2:C$746,A1216,'Base bordo'!B$2:B$746,B1216,'Base bordo'!F$2:F$746,"DESLOCAMENTO VAZIO"),0)</f>
        <v>8765</v>
      </c>
      <c r="S1216" s="30">
        <f t="shared" si="121"/>
        <v>36.751558471192247</v>
      </c>
      <c r="T1216" s="10">
        <f>IFERROR(SUMIFS('Base bordo'!H$2:H$746,'Base bordo'!C$2:C$746,A1216,'Base bordo'!B$2:B$746,B1216,'Base bordo'!F$2:F$746,"DESLOCAMENTO CARREGADO"),0)</f>
        <v>341587.70999999996</v>
      </c>
      <c r="U1216" s="10">
        <f>IFERROR(SUMIFS('Base bordo'!I$2:I$746,'Base bordo'!C$2:C$746,A1216,'Base bordo'!B$2:B$746,B1216,'Base bordo'!F$2:F$746,"DESLOCAMENTO CARREGADO"),0)</f>
        <v>13715</v>
      </c>
      <c r="V1216" s="30">
        <f t="shared" si="122"/>
        <v>24.906139992708709</v>
      </c>
      <c r="W1216" s="9">
        <f t="shared" si="123"/>
        <v>0.19020029077968012</v>
      </c>
      <c r="X1216" s="9">
        <f t="shared" si="124"/>
        <v>0.29761517262331005</v>
      </c>
      <c r="Y1216" s="9">
        <f t="shared" si="125"/>
        <v>0.5121845365970098</v>
      </c>
    </row>
    <row r="1217" spans="1:25" ht="15" customHeight="1" x14ac:dyDescent="0.35">
      <c r="A1217" s="52">
        <v>8013468</v>
      </c>
      <c r="B1217" s="51">
        <v>46124</v>
      </c>
      <c r="C1217" s="7" t="s">
        <v>124</v>
      </c>
      <c r="D1217" s="10">
        <f>IFERROR(SUMIFS('Base bordo'!G$2:G$746,'Base bordo'!C$2:C$746,A1217,'Base bordo'!B$2:B$746,B1217,'Base bordo'!F$2:F$746,"DESLOCAMENTO VAZIO"),0)</f>
        <v>2.4347222222222222</v>
      </c>
      <c r="E1217" s="10">
        <f>IFERROR(SUMIFS('Base bordo'!G$2:G$746,'Base bordo'!C$2:C$746,A1217,'Base bordo'!B$2:B$746,B1217,'Base bordo'!F$2:F$746,"DESLOCAMENTO CARREGADO"),0)</f>
        <v>3.8097222222222222</v>
      </c>
      <c r="F1217" s="10">
        <f>IFERROR(SUMIFS('Base bordo'!G$2:G$746,'Base bordo'!C$2:C$746,A1217,'Base bordo'!B$2:B$746,B1217,'Base bordo'!F$2:F$746,"DESLOCAMENTO"),0)</f>
        <v>0</v>
      </c>
      <c r="G1217" s="10">
        <f>IFERROR(SUMIFS('Base bordo'!G$2:G$746,'Base bordo'!C$2:C$746,A1217,'Base bordo'!B$2:B$746,B1217,'Base bordo'!F$2:F$746,"CARREGAMENTO"),0)</f>
        <v>0</v>
      </c>
      <c r="H1217" s="10">
        <f>IFERROR(SUMIFS('Base bordo'!G$2:G$746,'Base bordo'!C$2:C$746,A1217,'Base bordo'!B$2:B$746,B1217,'Base bordo'!F$2:F$746,"AGUARDANDO TRANSBORDO"),0)</f>
        <v>0.71027777777777779</v>
      </c>
      <c r="I1217" s="10">
        <f>IFERROR(SUMIFS('Base bordo'!G$2:G$746,'Base bordo'!C$2:C$746,A1217,'Base bordo'!B$2:B$746,B1217,'Base bordo'!F$2:F$746,"PÁTIO INTERNO"),0)+IFERROR(SUMIFS('Base bordo'!G$2:G$746,'Base bordo'!C$2:C$746,A1217,'Base bordo'!B$2:B$746,B1217,'Base bordo'!F$2:F$746,"PÁTIO EXTERNO"),0)+IFERROR(SUMIFS('Base bordo'!G$2:G$746,'Base bordo'!C$2:C$746,A1217,'Base bordo'!B$2:B$746,B1217,'Base bordo'!F$2:F$746,"PATIO - RESERVA"),0)+IFERROR(SUMIFS('Base bordo'!G$2:G$746,'Base bordo'!C$2:C$746,A1217,'Base bordo'!B$2:B$746,B1217,'Base bordo'!F$2:F$746,"MANOBRA CARRETAS-PATIO"),0)</f>
        <v>5.4283333333333337</v>
      </c>
      <c r="J1217" s="10">
        <f>IFERROR(SUMIFS('Base bordo'!G$2:G$746,'Base bordo'!C$2:C$746,A1217,'Base bordo'!B$2:B$746,B1217,'Base bordo'!F$2:F$746,"BALANÇA - ENTRADA"),0)+IFERROR(SUMIFS('Base bordo'!G$2:G$746,'Base bordo'!C$2:C$746,A1217,'Base bordo'!B$2:B$746,B1217,'Base bordo'!F$2:F$746,"BALANÇA - SAÍDA"),0)</f>
        <v>0.4177777777777778</v>
      </c>
      <c r="K1217" s="10">
        <f>IFERROR(SUMIFS('Base bordo'!G$2:G$746,'Base bordo'!C$2:C$746,A1217,'Base bordo'!B$2:B$746,B1217,'Base bordo'!F$2:F$746,"MAN PREVENTIVA - MECANICA"),0)+IFERROR(SUMIFS('Base bordo'!G$2:G$746,'Base bordo'!C$2:C$746,A1217,'Base bordo'!B$2:B$746,B1217,'Base bordo'!F$2:F$746,"MAN CORRETIVA - MECANICA"),0)</f>
        <v>0</v>
      </c>
      <c r="L1217" s="10">
        <f>IFERROR(SUMIFS('Base bordo'!G$2:G$746,'Base bordo'!C$2:C$746,A1217,'Base bordo'!B$2:B$746,B1217,'Base bordo'!F$2:F$746,"MANUTENCAO - T O"),0)+IFERROR(SUMIFS('Base bordo'!G$2:G$746,'Base bordo'!C$2:C$746,A1217,'Base bordo'!B$2:B$746,B1217,'Base bordo'!F$2:F$746,"MANUTENCAO BORRACHARIA"),0)+IFERROR(SUMIFS('Base bordo'!G$2:G$746,'Base bordo'!C$2:C$746,A1217,'Base bordo'!B$2:B$746,B1217,'Base bordo'!F$2:F$746,"MANUTENCAO EXTERNA  CONCESSIONARIA"),0)+IFERROR(SUMIFS('Base bordo'!G$2:G$746,'Base bordo'!C$2:C$746,A1217,'Base bordo'!B$2:B$746,B1217,'Base bordo'!F$2:F$746,"MANUTENCAO TELEMETRIA"),0)</f>
        <v>0</v>
      </c>
      <c r="M1217" s="10">
        <f>IFERROR(SUMIFS('Base bordo'!G$2:G$746,'Base bordo'!C$2:C$746,A1217,'Base bordo'!B$2:B$746,B1217,'Base bordo'!F$2:F$746,"AGUARDANDO MANUTENCAO"),0)</f>
        <v>0</v>
      </c>
      <c r="N1217" s="10">
        <f>IFERROR(SUMIFS('Base bordo'!G$2:G$746,'Base bordo'!C$2:C$746,A1217,'Base bordo'!B$2:B$746,B1217,'Base bordo'!F$2:F$746,"SEM APONTAMENTO"),0)</f>
        <v>0</v>
      </c>
      <c r="O1217" s="10">
        <f t="shared" si="120"/>
        <v>1.7763568394002505E-15</v>
      </c>
      <c r="P1217" s="10">
        <f>IFERROR(SUMIFS('Base bordo'!G$2:G$746,'Base bordo'!C$2:C$746,A1217,'Base bordo'!B$2:B$746,B1217),0)</f>
        <v>12.800833333333335</v>
      </c>
      <c r="Q1217" s="10">
        <f>IFERROR(SUMIFS('Base bordo'!H$2:H$746,'Base bordo'!C$2:C$746,A1217,'Base bordo'!B$2:B$746,B1217,'Base bordo'!F$2:F$746,"DESLOCAMENTO VAZIO"),0)</f>
        <v>322127.41000000003</v>
      </c>
      <c r="R1217" s="10">
        <f>IFERROR(SUMIFS('Base bordo'!I$2:I$746,'Base bordo'!C$2:C$746,A1217,'Base bordo'!B$2:B$746,B1217,'Base bordo'!F$2:F$746,"DESLOCAMENTO VAZIO"),0)</f>
        <v>8765</v>
      </c>
      <c r="S1217" s="30">
        <f t="shared" si="121"/>
        <v>36.751558471192247</v>
      </c>
      <c r="T1217" s="10">
        <f>IFERROR(SUMIFS('Base bordo'!H$2:H$746,'Base bordo'!C$2:C$746,A1217,'Base bordo'!B$2:B$746,B1217,'Base bordo'!F$2:F$746,"DESLOCAMENTO CARREGADO"),0)</f>
        <v>341587.70999999996</v>
      </c>
      <c r="U1217" s="10">
        <f>IFERROR(SUMIFS('Base bordo'!I$2:I$746,'Base bordo'!C$2:C$746,A1217,'Base bordo'!B$2:B$746,B1217,'Base bordo'!F$2:F$746,"DESLOCAMENTO CARREGADO"),0)</f>
        <v>13715</v>
      </c>
      <c r="V1217" s="30">
        <f t="shared" si="122"/>
        <v>24.906139992708709</v>
      </c>
      <c r="W1217" s="9">
        <f t="shared" si="123"/>
        <v>0.19020029077968012</v>
      </c>
      <c r="X1217" s="9">
        <f t="shared" si="124"/>
        <v>0.29761517262331005</v>
      </c>
      <c r="Y1217" s="9">
        <f t="shared" si="125"/>
        <v>0.5121845365970098</v>
      </c>
    </row>
    <row r="1218" spans="1:25" ht="15" customHeight="1" x14ac:dyDescent="0.35">
      <c r="A1218" s="52">
        <v>8013468</v>
      </c>
      <c r="B1218" s="51">
        <v>46124</v>
      </c>
      <c r="C1218" s="7" t="s">
        <v>124</v>
      </c>
      <c r="D1218" s="10">
        <f>IFERROR(SUMIFS('Base bordo'!G$2:G$746,'Base bordo'!C$2:C$746,A1218,'Base bordo'!B$2:B$746,B1218,'Base bordo'!F$2:F$746,"DESLOCAMENTO VAZIO"),0)</f>
        <v>2.4347222222222222</v>
      </c>
      <c r="E1218" s="10">
        <f>IFERROR(SUMIFS('Base bordo'!G$2:G$746,'Base bordo'!C$2:C$746,A1218,'Base bordo'!B$2:B$746,B1218,'Base bordo'!F$2:F$746,"DESLOCAMENTO CARREGADO"),0)</f>
        <v>3.8097222222222222</v>
      </c>
      <c r="F1218" s="10">
        <f>IFERROR(SUMIFS('Base bordo'!G$2:G$746,'Base bordo'!C$2:C$746,A1218,'Base bordo'!B$2:B$746,B1218,'Base bordo'!F$2:F$746,"DESLOCAMENTO"),0)</f>
        <v>0</v>
      </c>
      <c r="G1218" s="10">
        <f>IFERROR(SUMIFS('Base bordo'!G$2:G$746,'Base bordo'!C$2:C$746,A1218,'Base bordo'!B$2:B$746,B1218,'Base bordo'!F$2:F$746,"CARREGAMENTO"),0)</f>
        <v>0</v>
      </c>
      <c r="H1218" s="10">
        <f>IFERROR(SUMIFS('Base bordo'!G$2:G$746,'Base bordo'!C$2:C$746,A1218,'Base bordo'!B$2:B$746,B1218,'Base bordo'!F$2:F$746,"AGUARDANDO TRANSBORDO"),0)</f>
        <v>0.71027777777777779</v>
      </c>
      <c r="I1218" s="10">
        <f>IFERROR(SUMIFS('Base bordo'!G$2:G$746,'Base bordo'!C$2:C$746,A1218,'Base bordo'!B$2:B$746,B1218,'Base bordo'!F$2:F$746,"PÁTIO INTERNO"),0)+IFERROR(SUMIFS('Base bordo'!G$2:G$746,'Base bordo'!C$2:C$746,A1218,'Base bordo'!B$2:B$746,B1218,'Base bordo'!F$2:F$746,"PÁTIO EXTERNO"),0)+IFERROR(SUMIFS('Base bordo'!G$2:G$746,'Base bordo'!C$2:C$746,A1218,'Base bordo'!B$2:B$746,B1218,'Base bordo'!F$2:F$746,"PATIO - RESERVA"),0)+IFERROR(SUMIFS('Base bordo'!G$2:G$746,'Base bordo'!C$2:C$746,A1218,'Base bordo'!B$2:B$746,B1218,'Base bordo'!F$2:F$746,"MANOBRA CARRETAS-PATIO"),0)</f>
        <v>5.4283333333333337</v>
      </c>
      <c r="J1218" s="10">
        <f>IFERROR(SUMIFS('Base bordo'!G$2:G$746,'Base bordo'!C$2:C$746,A1218,'Base bordo'!B$2:B$746,B1218,'Base bordo'!F$2:F$746,"BALANÇA - ENTRADA"),0)+IFERROR(SUMIFS('Base bordo'!G$2:G$746,'Base bordo'!C$2:C$746,A1218,'Base bordo'!B$2:B$746,B1218,'Base bordo'!F$2:F$746,"BALANÇA - SAÍDA"),0)</f>
        <v>0.4177777777777778</v>
      </c>
      <c r="K1218" s="10">
        <f>IFERROR(SUMIFS('Base bordo'!G$2:G$746,'Base bordo'!C$2:C$746,A1218,'Base bordo'!B$2:B$746,B1218,'Base bordo'!F$2:F$746,"MAN PREVENTIVA - MECANICA"),0)+IFERROR(SUMIFS('Base bordo'!G$2:G$746,'Base bordo'!C$2:C$746,A1218,'Base bordo'!B$2:B$746,B1218,'Base bordo'!F$2:F$746,"MAN CORRETIVA - MECANICA"),0)</f>
        <v>0</v>
      </c>
      <c r="L1218" s="10">
        <f>IFERROR(SUMIFS('Base bordo'!G$2:G$746,'Base bordo'!C$2:C$746,A1218,'Base bordo'!B$2:B$746,B1218,'Base bordo'!F$2:F$746,"MANUTENCAO - T O"),0)+IFERROR(SUMIFS('Base bordo'!G$2:G$746,'Base bordo'!C$2:C$746,A1218,'Base bordo'!B$2:B$746,B1218,'Base bordo'!F$2:F$746,"MANUTENCAO BORRACHARIA"),0)+IFERROR(SUMIFS('Base bordo'!G$2:G$746,'Base bordo'!C$2:C$746,A1218,'Base bordo'!B$2:B$746,B1218,'Base bordo'!F$2:F$746,"MANUTENCAO EXTERNA  CONCESSIONARIA"),0)+IFERROR(SUMIFS('Base bordo'!G$2:G$746,'Base bordo'!C$2:C$746,A1218,'Base bordo'!B$2:B$746,B1218,'Base bordo'!F$2:F$746,"MANUTENCAO TELEMETRIA"),0)</f>
        <v>0</v>
      </c>
      <c r="M1218" s="10">
        <f>IFERROR(SUMIFS('Base bordo'!G$2:G$746,'Base bordo'!C$2:C$746,A1218,'Base bordo'!B$2:B$746,B1218,'Base bordo'!F$2:F$746,"AGUARDANDO MANUTENCAO"),0)</f>
        <v>0</v>
      </c>
      <c r="N1218" s="10">
        <f>IFERROR(SUMIFS('Base bordo'!G$2:G$746,'Base bordo'!C$2:C$746,A1218,'Base bordo'!B$2:B$746,B1218,'Base bordo'!F$2:F$746,"SEM APONTAMENTO"),0)</f>
        <v>0</v>
      </c>
      <c r="O1218" s="10">
        <f t="shared" si="120"/>
        <v>1.7763568394002505E-15</v>
      </c>
      <c r="P1218" s="10">
        <f>IFERROR(SUMIFS('Base bordo'!G$2:G$746,'Base bordo'!C$2:C$746,A1218,'Base bordo'!B$2:B$746,B1218),0)</f>
        <v>12.800833333333335</v>
      </c>
      <c r="Q1218" s="10">
        <f>IFERROR(SUMIFS('Base bordo'!H$2:H$746,'Base bordo'!C$2:C$746,A1218,'Base bordo'!B$2:B$746,B1218,'Base bordo'!F$2:F$746,"DESLOCAMENTO VAZIO"),0)</f>
        <v>322127.41000000003</v>
      </c>
      <c r="R1218" s="10">
        <f>IFERROR(SUMIFS('Base bordo'!I$2:I$746,'Base bordo'!C$2:C$746,A1218,'Base bordo'!B$2:B$746,B1218,'Base bordo'!F$2:F$746,"DESLOCAMENTO VAZIO"),0)</f>
        <v>8765</v>
      </c>
      <c r="S1218" s="30">
        <f t="shared" si="121"/>
        <v>36.751558471192247</v>
      </c>
      <c r="T1218" s="10">
        <f>IFERROR(SUMIFS('Base bordo'!H$2:H$746,'Base bordo'!C$2:C$746,A1218,'Base bordo'!B$2:B$746,B1218,'Base bordo'!F$2:F$746,"DESLOCAMENTO CARREGADO"),0)</f>
        <v>341587.70999999996</v>
      </c>
      <c r="U1218" s="10">
        <f>IFERROR(SUMIFS('Base bordo'!I$2:I$746,'Base bordo'!C$2:C$746,A1218,'Base bordo'!B$2:B$746,B1218,'Base bordo'!F$2:F$746,"DESLOCAMENTO CARREGADO"),0)</f>
        <v>13715</v>
      </c>
      <c r="V1218" s="30">
        <f t="shared" si="122"/>
        <v>24.906139992708709</v>
      </c>
      <c r="W1218" s="9">
        <f t="shared" si="123"/>
        <v>0.19020029077968012</v>
      </c>
      <c r="X1218" s="9">
        <f t="shared" si="124"/>
        <v>0.29761517262331005</v>
      </c>
      <c r="Y1218" s="9">
        <f t="shared" si="125"/>
        <v>0.5121845365970098</v>
      </c>
    </row>
    <row r="1219" spans="1:25" ht="15" customHeight="1" x14ac:dyDescent="0.35">
      <c r="A1219" s="52">
        <v>8013468</v>
      </c>
      <c r="B1219" s="51">
        <v>46124</v>
      </c>
      <c r="C1219" s="7" t="s">
        <v>124</v>
      </c>
      <c r="D1219" s="10">
        <f>IFERROR(SUMIFS('Base bordo'!G$2:G$746,'Base bordo'!C$2:C$746,A1219,'Base bordo'!B$2:B$746,B1219,'Base bordo'!F$2:F$746,"DESLOCAMENTO VAZIO"),0)</f>
        <v>2.4347222222222222</v>
      </c>
      <c r="E1219" s="10">
        <f>IFERROR(SUMIFS('Base bordo'!G$2:G$746,'Base bordo'!C$2:C$746,A1219,'Base bordo'!B$2:B$746,B1219,'Base bordo'!F$2:F$746,"DESLOCAMENTO CARREGADO"),0)</f>
        <v>3.8097222222222222</v>
      </c>
      <c r="F1219" s="10">
        <f>IFERROR(SUMIFS('Base bordo'!G$2:G$746,'Base bordo'!C$2:C$746,A1219,'Base bordo'!B$2:B$746,B1219,'Base bordo'!F$2:F$746,"DESLOCAMENTO"),0)</f>
        <v>0</v>
      </c>
      <c r="G1219" s="10">
        <f>IFERROR(SUMIFS('Base bordo'!G$2:G$746,'Base bordo'!C$2:C$746,A1219,'Base bordo'!B$2:B$746,B1219,'Base bordo'!F$2:F$746,"CARREGAMENTO"),0)</f>
        <v>0</v>
      </c>
      <c r="H1219" s="10">
        <f>IFERROR(SUMIFS('Base bordo'!G$2:G$746,'Base bordo'!C$2:C$746,A1219,'Base bordo'!B$2:B$746,B1219,'Base bordo'!F$2:F$746,"AGUARDANDO TRANSBORDO"),0)</f>
        <v>0.71027777777777779</v>
      </c>
      <c r="I1219" s="10">
        <f>IFERROR(SUMIFS('Base bordo'!G$2:G$746,'Base bordo'!C$2:C$746,A1219,'Base bordo'!B$2:B$746,B1219,'Base bordo'!F$2:F$746,"PÁTIO INTERNO"),0)+IFERROR(SUMIFS('Base bordo'!G$2:G$746,'Base bordo'!C$2:C$746,A1219,'Base bordo'!B$2:B$746,B1219,'Base bordo'!F$2:F$746,"PÁTIO EXTERNO"),0)+IFERROR(SUMIFS('Base bordo'!G$2:G$746,'Base bordo'!C$2:C$746,A1219,'Base bordo'!B$2:B$746,B1219,'Base bordo'!F$2:F$746,"PATIO - RESERVA"),0)+IFERROR(SUMIFS('Base bordo'!G$2:G$746,'Base bordo'!C$2:C$746,A1219,'Base bordo'!B$2:B$746,B1219,'Base bordo'!F$2:F$746,"MANOBRA CARRETAS-PATIO"),0)</f>
        <v>5.4283333333333337</v>
      </c>
      <c r="J1219" s="10">
        <f>IFERROR(SUMIFS('Base bordo'!G$2:G$746,'Base bordo'!C$2:C$746,A1219,'Base bordo'!B$2:B$746,B1219,'Base bordo'!F$2:F$746,"BALANÇA - ENTRADA"),0)+IFERROR(SUMIFS('Base bordo'!G$2:G$746,'Base bordo'!C$2:C$746,A1219,'Base bordo'!B$2:B$746,B1219,'Base bordo'!F$2:F$746,"BALANÇA - SAÍDA"),0)</f>
        <v>0.4177777777777778</v>
      </c>
      <c r="K1219" s="10">
        <f>IFERROR(SUMIFS('Base bordo'!G$2:G$746,'Base bordo'!C$2:C$746,A1219,'Base bordo'!B$2:B$746,B1219,'Base bordo'!F$2:F$746,"MAN PREVENTIVA - MECANICA"),0)+IFERROR(SUMIFS('Base bordo'!G$2:G$746,'Base bordo'!C$2:C$746,A1219,'Base bordo'!B$2:B$746,B1219,'Base bordo'!F$2:F$746,"MAN CORRETIVA - MECANICA"),0)</f>
        <v>0</v>
      </c>
      <c r="L1219" s="10">
        <f>IFERROR(SUMIFS('Base bordo'!G$2:G$746,'Base bordo'!C$2:C$746,A1219,'Base bordo'!B$2:B$746,B1219,'Base bordo'!F$2:F$746,"MANUTENCAO - T O"),0)+IFERROR(SUMIFS('Base bordo'!G$2:G$746,'Base bordo'!C$2:C$746,A1219,'Base bordo'!B$2:B$746,B1219,'Base bordo'!F$2:F$746,"MANUTENCAO BORRACHARIA"),0)+IFERROR(SUMIFS('Base bordo'!G$2:G$746,'Base bordo'!C$2:C$746,A1219,'Base bordo'!B$2:B$746,B1219,'Base bordo'!F$2:F$746,"MANUTENCAO EXTERNA  CONCESSIONARIA"),0)+IFERROR(SUMIFS('Base bordo'!G$2:G$746,'Base bordo'!C$2:C$746,A1219,'Base bordo'!B$2:B$746,B1219,'Base bordo'!F$2:F$746,"MANUTENCAO TELEMETRIA"),0)</f>
        <v>0</v>
      </c>
      <c r="M1219" s="10">
        <f>IFERROR(SUMIFS('Base bordo'!G$2:G$746,'Base bordo'!C$2:C$746,A1219,'Base bordo'!B$2:B$746,B1219,'Base bordo'!F$2:F$746,"AGUARDANDO MANUTENCAO"),0)</f>
        <v>0</v>
      </c>
      <c r="N1219" s="10">
        <f>IFERROR(SUMIFS('Base bordo'!G$2:G$746,'Base bordo'!C$2:C$746,A1219,'Base bordo'!B$2:B$746,B1219,'Base bordo'!F$2:F$746,"SEM APONTAMENTO"),0)</f>
        <v>0</v>
      </c>
      <c r="O1219" s="10">
        <f t="shared" si="120"/>
        <v>1.7763568394002505E-15</v>
      </c>
      <c r="P1219" s="10">
        <f>IFERROR(SUMIFS('Base bordo'!G$2:G$746,'Base bordo'!C$2:C$746,A1219,'Base bordo'!B$2:B$746,B1219),0)</f>
        <v>12.800833333333335</v>
      </c>
      <c r="Q1219" s="10">
        <f>IFERROR(SUMIFS('Base bordo'!H$2:H$746,'Base bordo'!C$2:C$746,A1219,'Base bordo'!B$2:B$746,B1219,'Base bordo'!F$2:F$746,"DESLOCAMENTO VAZIO"),0)</f>
        <v>322127.41000000003</v>
      </c>
      <c r="R1219" s="10">
        <f>IFERROR(SUMIFS('Base bordo'!I$2:I$746,'Base bordo'!C$2:C$746,A1219,'Base bordo'!B$2:B$746,B1219,'Base bordo'!F$2:F$746,"DESLOCAMENTO VAZIO"),0)</f>
        <v>8765</v>
      </c>
      <c r="S1219" s="30">
        <f t="shared" si="121"/>
        <v>36.751558471192247</v>
      </c>
      <c r="T1219" s="10">
        <f>IFERROR(SUMIFS('Base bordo'!H$2:H$746,'Base bordo'!C$2:C$746,A1219,'Base bordo'!B$2:B$746,B1219,'Base bordo'!F$2:F$746,"DESLOCAMENTO CARREGADO"),0)</f>
        <v>341587.70999999996</v>
      </c>
      <c r="U1219" s="10">
        <f>IFERROR(SUMIFS('Base bordo'!I$2:I$746,'Base bordo'!C$2:C$746,A1219,'Base bordo'!B$2:B$746,B1219,'Base bordo'!F$2:F$746,"DESLOCAMENTO CARREGADO"),0)</f>
        <v>13715</v>
      </c>
      <c r="V1219" s="30">
        <f t="shared" si="122"/>
        <v>24.906139992708709</v>
      </c>
      <c r="W1219" s="9">
        <f t="shared" si="123"/>
        <v>0.19020029077968012</v>
      </c>
      <c r="X1219" s="9">
        <f t="shared" si="124"/>
        <v>0.29761517262331005</v>
      </c>
      <c r="Y1219" s="9">
        <f t="shared" si="125"/>
        <v>0.5121845365970098</v>
      </c>
    </row>
    <row r="1220" spans="1:25" ht="15" customHeight="1" x14ac:dyDescent="0.35">
      <c r="A1220" s="52">
        <v>8013468</v>
      </c>
      <c r="B1220" s="51">
        <v>46124</v>
      </c>
      <c r="C1220" s="7" t="s">
        <v>124</v>
      </c>
      <c r="D1220" s="10">
        <f>IFERROR(SUMIFS('Base bordo'!G$2:G$746,'Base bordo'!C$2:C$746,A1220,'Base bordo'!B$2:B$746,B1220,'Base bordo'!F$2:F$746,"DESLOCAMENTO VAZIO"),0)</f>
        <v>2.4347222222222222</v>
      </c>
      <c r="E1220" s="10">
        <f>IFERROR(SUMIFS('Base bordo'!G$2:G$746,'Base bordo'!C$2:C$746,A1220,'Base bordo'!B$2:B$746,B1220,'Base bordo'!F$2:F$746,"DESLOCAMENTO CARREGADO"),0)</f>
        <v>3.8097222222222222</v>
      </c>
      <c r="F1220" s="10">
        <f>IFERROR(SUMIFS('Base bordo'!G$2:G$746,'Base bordo'!C$2:C$746,A1220,'Base bordo'!B$2:B$746,B1220,'Base bordo'!F$2:F$746,"DESLOCAMENTO"),0)</f>
        <v>0</v>
      </c>
      <c r="G1220" s="10">
        <f>IFERROR(SUMIFS('Base bordo'!G$2:G$746,'Base bordo'!C$2:C$746,A1220,'Base bordo'!B$2:B$746,B1220,'Base bordo'!F$2:F$746,"CARREGAMENTO"),0)</f>
        <v>0</v>
      </c>
      <c r="H1220" s="10">
        <f>IFERROR(SUMIFS('Base bordo'!G$2:G$746,'Base bordo'!C$2:C$746,A1220,'Base bordo'!B$2:B$746,B1220,'Base bordo'!F$2:F$746,"AGUARDANDO TRANSBORDO"),0)</f>
        <v>0.71027777777777779</v>
      </c>
      <c r="I1220" s="10">
        <f>IFERROR(SUMIFS('Base bordo'!G$2:G$746,'Base bordo'!C$2:C$746,A1220,'Base bordo'!B$2:B$746,B1220,'Base bordo'!F$2:F$746,"PÁTIO INTERNO"),0)+IFERROR(SUMIFS('Base bordo'!G$2:G$746,'Base bordo'!C$2:C$746,A1220,'Base bordo'!B$2:B$746,B1220,'Base bordo'!F$2:F$746,"PÁTIO EXTERNO"),0)+IFERROR(SUMIFS('Base bordo'!G$2:G$746,'Base bordo'!C$2:C$746,A1220,'Base bordo'!B$2:B$746,B1220,'Base bordo'!F$2:F$746,"PATIO - RESERVA"),0)+IFERROR(SUMIFS('Base bordo'!G$2:G$746,'Base bordo'!C$2:C$746,A1220,'Base bordo'!B$2:B$746,B1220,'Base bordo'!F$2:F$746,"MANOBRA CARRETAS-PATIO"),0)</f>
        <v>5.4283333333333337</v>
      </c>
      <c r="J1220" s="10">
        <f>IFERROR(SUMIFS('Base bordo'!G$2:G$746,'Base bordo'!C$2:C$746,A1220,'Base bordo'!B$2:B$746,B1220,'Base bordo'!F$2:F$746,"BALANÇA - ENTRADA"),0)+IFERROR(SUMIFS('Base bordo'!G$2:G$746,'Base bordo'!C$2:C$746,A1220,'Base bordo'!B$2:B$746,B1220,'Base bordo'!F$2:F$746,"BALANÇA - SAÍDA"),0)</f>
        <v>0.4177777777777778</v>
      </c>
      <c r="K1220" s="10">
        <f>IFERROR(SUMIFS('Base bordo'!G$2:G$746,'Base bordo'!C$2:C$746,A1220,'Base bordo'!B$2:B$746,B1220,'Base bordo'!F$2:F$746,"MAN PREVENTIVA - MECANICA"),0)+IFERROR(SUMIFS('Base bordo'!G$2:G$746,'Base bordo'!C$2:C$746,A1220,'Base bordo'!B$2:B$746,B1220,'Base bordo'!F$2:F$746,"MAN CORRETIVA - MECANICA"),0)</f>
        <v>0</v>
      </c>
      <c r="L1220" s="10">
        <f>IFERROR(SUMIFS('Base bordo'!G$2:G$746,'Base bordo'!C$2:C$746,A1220,'Base bordo'!B$2:B$746,B1220,'Base bordo'!F$2:F$746,"MANUTENCAO - T O"),0)+IFERROR(SUMIFS('Base bordo'!G$2:G$746,'Base bordo'!C$2:C$746,A1220,'Base bordo'!B$2:B$746,B1220,'Base bordo'!F$2:F$746,"MANUTENCAO BORRACHARIA"),0)+IFERROR(SUMIFS('Base bordo'!G$2:G$746,'Base bordo'!C$2:C$746,A1220,'Base bordo'!B$2:B$746,B1220,'Base bordo'!F$2:F$746,"MANUTENCAO EXTERNA  CONCESSIONARIA"),0)+IFERROR(SUMIFS('Base bordo'!G$2:G$746,'Base bordo'!C$2:C$746,A1220,'Base bordo'!B$2:B$746,B1220,'Base bordo'!F$2:F$746,"MANUTENCAO TELEMETRIA"),0)</f>
        <v>0</v>
      </c>
      <c r="M1220" s="10">
        <f>IFERROR(SUMIFS('Base bordo'!G$2:G$746,'Base bordo'!C$2:C$746,A1220,'Base bordo'!B$2:B$746,B1220,'Base bordo'!F$2:F$746,"AGUARDANDO MANUTENCAO"),0)</f>
        <v>0</v>
      </c>
      <c r="N1220" s="10">
        <f>IFERROR(SUMIFS('Base bordo'!G$2:G$746,'Base bordo'!C$2:C$746,A1220,'Base bordo'!B$2:B$746,B1220,'Base bordo'!F$2:F$746,"SEM APONTAMENTO"),0)</f>
        <v>0</v>
      </c>
      <c r="O1220" s="10">
        <f t="shared" si="120"/>
        <v>1.7763568394002505E-15</v>
      </c>
      <c r="P1220" s="10">
        <f>IFERROR(SUMIFS('Base bordo'!G$2:G$746,'Base bordo'!C$2:C$746,A1220,'Base bordo'!B$2:B$746,B1220),0)</f>
        <v>12.800833333333335</v>
      </c>
      <c r="Q1220" s="10">
        <f>IFERROR(SUMIFS('Base bordo'!H$2:H$746,'Base bordo'!C$2:C$746,A1220,'Base bordo'!B$2:B$746,B1220,'Base bordo'!F$2:F$746,"DESLOCAMENTO VAZIO"),0)</f>
        <v>322127.41000000003</v>
      </c>
      <c r="R1220" s="10">
        <f>IFERROR(SUMIFS('Base bordo'!I$2:I$746,'Base bordo'!C$2:C$746,A1220,'Base bordo'!B$2:B$746,B1220,'Base bordo'!F$2:F$746,"DESLOCAMENTO VAZIO"),0)</f>
        <v>8765</v>
      </c>
      <c r="S1220" s="30">
        <f t="shared" si="121"/>
        <v>36.751558471192247</v>
      </c>
      <c r="T1220" s="10">
        <f>IFERROR(SUMIFS('Base bordo'!H$2:H$746,'Base bordo'!C$2:C$746,A1220,'Base bordo'!B$2:B$746,B1220,'Base bordo'!F$2:F$746,"DESLOCAMENTO CARREGADO"),0)</f>
        <v>341587.70999999996</v>
      </c>
      <c r="U1220" s="10">
        <f>IFERROR(SUMIFS('Base bordo'!I$2:I$746,'Base bordo'!C$2:C$746,A1220,'Base bordo'!B$2:B$746,B1220,'Base bordo'!F$2:F$746,"DESLOCAMENTO CARREGADO"),0)</f>
        <v>13715</v>
      </c>
      <c r="V1220" s="30">
        <f t="shared" si="122"/>
        <v>24.906139992708709</v>
      </c>
      <c r="W1220" s="9">
        <f t="shared" si="123"/>
        <v>0.19020029077968012</v>
      </c>
      <c r="X1220" s="9">
        <f t="shared" si="124"/>
        <v>0.29761517262331005</v>
      </c>
      <c r="Y1220" s="9">
        <f t="shared" si="125"/>
        <v>0.5121845365970098</v>
      </c>
    </row>
    <row r="1221" spans="1:25" ht="15" customHeight="1" x14ac:dyDescent="0.35">
      <c r="A1221" s="52">
        <v>8013468</v>
      </c>
      <c r="B1221" s="51">
        <v>46124</v>
      </c>
      <c r="C1221" s="7" t="s">
        <v>124</v>
      </c>
      <c r="D1221" s="10">
        <f>IFERROR(SUMIFS('Base bordo'!G$2:G$746,'Base bordo'!C$2:C$746,A1221,'Base bordo'!B$2:B$746,B1221,'Base bordo'!F$2:F$746,"DESLOCAMENTO VAZIO"),0)</f>
        <v>2.4347222222222222</v>
      </c>
      <c r="E1221" s="10">
        <f>IFERROR(SUMIFS('Base bordo'!G$2:G$746,'Base bordo'!C$2:C$746,A1221,'Base bordo'!B$2:B$746,B1221,'Base bordo'!F$2:F$746,"DESLOCAMENTO CARREGADO"),0)</f>
        <v>3.8097222222222222</v>
      </c>
      <c r="F1221" s="10">
        <f>IFERROR(SUMIFS('Base bordo'!G$2:G$746,'Base bordo'!C$2:C$746,A1221,'Base bordo'!B$2:B$746,B1221,'Base bordo'!F$2:F$746,"DESLOCAMENTO"),0)</f>
        <v>0</v>
      </c>
      <c r="G1221" s="10">
        <f>IFERROR(SUMIFS('Base bordo'!G$2:G$746,'Base bordo'!C$2:C$746,A1221,'Base bordo'!B$2:B$746,B1221,'Base bordo'!F$2:F$746,"CARREGAMENTO"),0)</f>
        <v>0</v>
      </c>
      <c r="H1221" s="10">
        <f>IFERROR(SUMIFS('Base bordo'!G$2:G$746,'Base bordo'!C$2:C$746,A1221,'Base bordo'!B$2:B$746,B1221,'Base bordo'!F$2:F$746,"AGUARDANDO TRANSBORDO"),0)</f>
        <v>0.71027777777777779</v>
      </c>
      <c r="I1221" s="10">
        <f>IFERROR(SUMIFS('Base bordo'!G$2:G$746,'Base bordo'!C$2:C$746,A1221,'Base bordo'!B$2:B$746,B1221,'Base bordo'!F$2:F$746,"PÁTIO INTERNO"),0)+IFERROR(SUMIFS('Base bordo'!G$2:G$746,'Base bordo'!C$2:C$746,A1221,'Base bordo'!B$2:B$746,B1221,'Base bordo'!F$2:F$746,"PÁTIO EXTERNO"),0)+IFERROR(SUMIFS('Base bordo'!G$2:G$746,'Base bordo'!C$2:C$746,A1221,'Base bordo'!B$2:B$746,B1221,'Base bordo'!F$2:F$746,"PATIO - RESERVA"),0)+IFERROR(SUMIFS('Base bordo'!G$2:G$746,'Base bordo'!C$2:C$746,A1221,'Base bordo'!B$2:B$746,B1221,'Base bordo'!F$2:F$746,"MANOBRA CARRETAS-PATIO"),0)</f>
        <v>5.4283333333333337</v>
      </c>
      <c r="J1221" s="10">
        <f>IFERROR(SUMIFS('Base bordo'!G$2:G$746,'Base bordo'!C$2:C$746,A1221,'Base bordo'!B$2:B$746,B1221,'Base bordo'!F$2:F$746,"BALANÇA - ENTRADA"),0)+IFERROR(SUMIFS('Base bordo'!G$2:G$746,'Base bordo'!C$2:C$746,A1221,'Base bordo'!B$2:B$746,B1221,'Base bordo'!F$2:F$746,"BALANÇA - SAÍDA"),0)</f>
        <v>0.4177777777777778</v>
      </c>
      <c r="K1221" s="10">
        <f>IFERROR(SUMIFS('Base bordo'!G$2:G$746,'Base bordo'!C$2:C$746,A1221,'Base bordo'!B$2:B$746,B1221,'Base bordo'!F$2:F$746,"MAN PREVENTIVA - MECANICA"),0)+IFERROR(SUMIFS('Base bordo'!G$2:G$746,'Base bordo'!C$2:C$746,A1221,'Base bordo'!B$2:B$746,B1221,'Base bordo'!F$2:F$746,"MAN CORRETIVA - MECANICA"),0)</f>
        <v>0</v>
      </c>
      <c r="L1221" s="10">
        <f>IFERROR(SUMIFS('Base bordo'!G$2:G$746,'Base bordo'!C$2:C$746,A1221,'Base bordo'!B$2:B$746,B1221,'Base bordo'!F$2:F$746,"MANUTENCAO - T O"),0)+IFERROR(SUMIFS('Base bordo'!G$2:G$746,'Base bordo'!C$2:C$746,A1221,'Base bordo'!B$2:B$746,B1221,'Base bordo'!F$2:F$746,"MANUTENCAO BORRACHARIA"),0)+IFERROR(SUMIFS('Base bordo'!G$2:G$746,'Base bordo'!C$2:C$746,A1221,'Base bordo'!B$2:B$746,B1221,'Base bordo'!F$2:F$746,"MANUTENCAO EXTERNA  CONCESSIONARIA"),0)+IFERROR(SUMIFS('Base bordo'!G$2:G$746,'Base bordo'!C$2:C$746,A1221,'Base bordo'!B$2:B$746,B1221,'Base bordo'!F$2:F$746,"MANUTENCAO TELEMETRIA"),0)</f>
        <v>0</v>
      </c>
      <c r="M1221" s="10">
        <f>IFERROR(SUMIFS('Base bordo'!G$2:G$746,'Base bordo'!C$2:C$746,A1221,'Base bordo'!B$2:B$746,B1221,'Base bordo'!F$2:F$746,"AGUARDANDO MANUTENCAO"),0)</f>
        <v>0</v>
      </c>
      <c r="N1221" s="10">
        <f>IFERROR(SUMIFS('Base bordo'!G$2:G$746,'Base bordo'!C$2:C$746,A1221,'Base bordo'!B$2:B$746,B1221,'Base bordo'!F$2:F$746,"SEM APONTAMENTO"),0)</f>
        <v>0</v>
      </c>
      <c r="O1221" s="10">
        <f t="shared" si="120"/>
        <v>1.7763568394002505E-15</v>
      </c>
      <c r="P1221" s="10">
        <f>IFERROR(SUMIFS('Base bordo'!G$2:G$746,'Base bordo'!C$2:C$746,A1221,'Base bordo'!B$2:B$746,B1221),0)</f>
        <v>12.800833333333335</v>
      </c>
      <c r="Q1221" s="10">
        <f>IFERROR(SUMIFS('Base bordo'!H$2:H$746,'Base bordo'!C$2:C$746,A1221,'Base bordo'!B$2:B$746,B1221,'Base bordo'!F$2:F$746,"DESLOCAMENTO VAZIO"),0)</f>
        <v>322127.41000000003</v>
      </c>
      <c r="R1221" s="10">
        <f>IFERROR(SUMIFS('Base bordo'!I$2:I$746,'Base bordo'!C$2:C$746,A1221,'Base bordo'!B$2:B$746,B1221,'Base bordo'!F$2:F$746,"DESLOCAMENTO VAZIO"),0)</f>
        <v>8765</v>
      </c>
      <c r="S1221" s="30">
        <f t="shared" si="121"/>
        <v>36.751558471192247</v>
      </c>
      <c r="T1221" s="10">
        <f>IFERROR(SUMIFS('Base bordo'!H$2:H$746,'Base bordo'!C$2:C$746,A1221,'Base bordo'!B$2:B$746,B1221,'Base bordo'!F$2:F$746,"DESLOCAMENTO CARREGADO"),0)</f>
        <v>341587.70999999996</v>
      </c>
      <c r="U1221" s="10">
        <f>IFERROR(SUMIFS('Base bordo'!I$2:I$746,'Base bordo'!C$2:C$746,A1221,'Base bordo'!B$2:B$746,B1221,'Base bordo'!F$2:F$746,"DESLOCAMENTO CARREGADO"),0)</f>
        <v>13715</v>
      </c>
      <c r="V1221" s="30">
        <f t="shared" si="122"/>
        <v>24.906139992708709</v>
      </c>
      <c r="W1221" s="9">
        <f t="shared" si="123"/>
        <v>0.19020029077968012</v>
      </c>
      <c r="X1221" s="9">
        <f t="shared" si="124"/>
        <v>0.29761517262331005</v>
      </c>
      <c r="Y1221" s="9">
        <f t="shared" si="125"/>
        <v>0.5121845365970098</v>
      </c>
    </row>
    <row r="1222" spans="1:25" ht="15" customHeight="1" x14ac:dyDescent="0.35">
      <c r="A1222" s="52">
        <v>8013468</v>
      </c>
      <c r="B1222" s="51">
        <v>46124</v>
      </c>
      <c r="C1222" s="7" t="s">
        <v>124</v>
      </c>
      <c r="D1222" s="10">
        <f>IFERROR(SUMIFS('Base bordo'!G$2:G$746,'Base bordo'!C$2:C$746,A1222,'Base bordo'!B$2:B$746,B1222,'Base bordo'!F$2:F$746,"DESLOCAMENTO VAZIO"),0)</f>
        <v>2.4347222222222222</v>
      </c>
      <c r="E1222" s="10">
        <f>IFERROR(SUMIFS('Base bordo'!G$2:G$746,'Base bordo'!C$2:C$746,A1222,'Base bordo'!B$2:B$746,B1222,'Base bordo'!F$2:F$746,"DESLOCAMENTO CARREGADO"),0)</f>
        <v>3.8097222222222222</v>
      </c>
      <c r="F1222" s="10">
        <f>IFERROR(SUMIFS('Base bordo'!G$2:G$746,'Base bordo'!C$2:C$746,A1222,'Base bordo'!B$2:B$746,B1222,'Base bordo'!F$2:F$746,"DESLOCAMENTO"),0)</f>
        <v>0</v>
      </c>
      <c r="G1222" s="10">
        <f>IFERROR(SUMIFS('Base bordo'!G$2:G$746,'Base bordo'!C$2:C$746,A1222,'Base bordo'!B$2:B$746,B1222,'Base bordo'!F$2:F$746,"CARREGAMENTO"),0)</f>
        <v>0</v>
      </c>
      <c r="H1222" s="10">
        <f>IFERROR(SUMIFS('Base bordo'!G$2:G$746,'Base bordo'!C$2:C$746,A1222,'Base bordo'!B$2:B$746,B1222,'Base bordo'!F$2:F$746,"AGUARDANDO TRANSBORDO"),0)</f>
        <v>0.71027777777777779</v>
      </c>
      <c r="I1222" s="10">
        <f>IFERROR(SUMIFS('Base bordo'!G$2:G$746,'Base bordo'!C$2:C$746,A1222,'Base bordo'!B$2:B$746,B1222,'Base bordo'!F$2:F$746,"PÁTIO INTERNO"),0)+IFERROR(SUMIFS('Base bordo'!G$2:G$746,'Base bordo'!C$2:C$746,A1222,'Base bordo'!B$2:B$746,B1222,'Base bordo'!F$2:F$746,"PÁTIO EXTERNO"),0)+IFERROR(SUMIFS('Base bordo'!G$2:G$746,'Base bordo'!C$2:C$746,A1222,'Base bordo'!B$2:B$746,B1222,'Base bordo'!F$2:F$746,"PATIO - RESERVA"),0)+IFERROR(SUMIFS('Base bordo'!G$2:G$746,'Base bordo'!C$2:C$746,A1222,'Base bordo'!B$2:B$746,B1222,'Base bordo'!F$2:F$746,"MANOBRA CARRETAS-PATIO"),0)</f>
        <v>5.4283333333333337</v>
      </c>
      <c r="J1222" s="10">
        <f>IFERROR(SUMIFS('Base bordo'!G$2:G$746,'Base bordo'!C$2:C$746,A1222,'Base bordo'!B$2:B$746,B1222,'Base bordo'!F$2:F$746,"BALANÇA - ENTRADA"),0)+IFERROR(SUMIFS('Base bordo'!G$2:G$746,'Base bordo'!C$2:C$746,A1222,'Base bordo'!B$2:B$746,B1222,'Base bordo'!F$2:F$746,"BALANÇA - SAÍDA"),0)</f>
        <v>0.4177777777777778</v>
      </c>
      <c r="K1222" s="10">
        <f>IFERROR(SUMIFS('Base bordo'!G$2:G$746,'Base bordo'!C$2:C$746,A1222,'Base bordo'!B$2:B$746,B1222,'Base bordo'!F$2:F$746,"MAN PREVENTIVA - MECANICA"),0)+IFERROR(SUMIFS('Base bordo'!G$2:G$746,'Base bordo'!C$2:C$746,A1222,'Base bordo'!B$2:B$746,B1222,'Base bordo'!F$2:F$746,"MAN CORRETIVA - MECANICA"),0)</f>
        <v>0</v>
      </c>
      <c r="L1222" s="10">
        <f>IFERROR(SUMIFS('Base bordo'!G$2:G$746,'Base bordo'!C$2:C$746,A1222,'Base bordo'!B$2:B$746,B1222,'Base bordo'!F$2:F$746,"MANUTENCAO - T O"),0)+IFERROR(SUMIFS('Base bordo'!G$2:G$746,'Base bordo'!C$2:C$746,A1222,'Base bordo'!B$2:B$746,B1222,'Base bordo'!F$2:F$746,"MANUTENCAO BORRACHARIA"),0)+IFERROR(SUMIFS('Base bordo'!G$2:G$746,'Base bordo'!C$2:C$746,A1222,'Base bordo'!B$2:B$746,B1222,'Base bordo'!F$2:F$746,"MANUTENCAO EXTERNA  CONCESSIONARIA"),0)+IFERROR(SUMIFS('Base bordo'!G$2:G$746,'Base bordo'!C$2:C$746,A1222,'Base bordo'!B$2:B$746,B1222,'Base bordo'!F$2:F$746,"MANUTENCAO TELEMETRIA"),0)</f>
        <v>0</v>
      </c>
      <c r="M1222" s="10">
        <f>IFERROR(SUMIFS('Base bordo'!G$2:G$746,'Base bordo'!C$2:C$746,A1222,'Base bordo'!B$2:B$746,B1222,'Base bordo'!F$2:F$746,"AGUARDANDO MANUTENCAO"),0)</f>
        <v>0</v>
      </c>
      <c r="N1222" s="10">
        <f>IFERROR(SUMIFS('Base bordo'!G$2:G$746,'Base bordo'!C$2:C$746,A1222,'Base bordo'!B$2:B$746,B1222,'Base bordo'!F$2:F$746,"SEM APONTAMENTO"),0)</f>
        <v>0</v>
      </c>
      <c r="O1222" s="10">
        <f t="shared" si="120"/>
        <v>1.7763568394002505E-15</v>
      </c>
      <c r="P1222" s="10">
        <f>IFERROR(SUMIFS('Base bordo'!G$2:G$746,'Base bordo'!C$2:C$746,A1222,'Base bordo'!B$2:B$746,B1222),0)</f>
        <v>12.800833333333335</v>
      </c>
      <c r="Q1222" s="10">
        <f>IFERROR(SUMIFS('Base bordo'!H$2:H$746,'Base bordo'!C$2:C$746,A1222,'Base bordo'!B$2:B$746,B1222,'Base bordo'!F$2:F$746,"DESLOCAMENTO VAZIO"),0)</f>
        <v>322127.41000000003</v>
      </c>
      <c r="R1222" s="10">
        <f>IFERROR(SUMIFS('Base bordo'!I$2:I$746,'Base bordo'!C$2:C$746,A1222,'Base bordo'!B$2:B$746,B1222,'Base bordo'!F$2:F$746,"DESLOCAMENTO VAZIO"),0)</f>
        <v>8765</v>
      </c>
      <c r="S1222" s="30">
        <f t="shared" si="121"/>
        <v>36.751558471192247</v>
      </c>
      <c r="T1222" s="10">
        <f>IFERROR(SUMIFS('Base bordo'!H$2:H$746,'Base bordo'!C$2:C$746,A1222,'Base bordo'!B$2:B$746,B1222,'Base bordo'!F$2:F$746,"DESLOCAMENTO CARREGADO"),0)</f>
        <v>341587.70999999996</v>
      </c>
      <c r="U1222" s="10">
        <f>IFERROR(SUMIFS('Base bordo'!I$2:I$746,'Base bordo'!C$2:C$746,A1222,'Base bordo'!B$2:B$746,B1222,'Base bordo'!F$2:F$746,"DESLOCAMENTO CARREGADO"),0)</f>
        <v>13715</v>
      </c>
      <c r="V1222" s="30">
        <f t="shared" si="122"/>
        <v>24.906139992708709</v>
      </c>
      <c r="W1222" s="9">
        <f t="shared" si="123"/>
        <v>0.19020029077968012</v>
      </c>
      <c r="X1222" s="9">
        <f t="shared" si="124"/>
        <v>0.29761517262331005</v>
      </c>
      <c r="Y1222" s="9">
        <f t="shared" si="125"/>
        <v>0.5121845365970098</v>
      </c>
    </row>
    <row r="1223" spans="1:25" ht="15" customHeight="1" x14ac:dyDescent="0.35">
      <c r="A1223" s="52">
        <v>8013468</v>
      </c>
      <c r="B1223" s="51">
        <v>46124</v>
      </c>
      <c r="C1223" s="7" t="s">
        <v>124</v>
      </c>
      <c r="D1223" s="10">
        <f>IFERROR(SUMIFS('Base bordo'!G$2:G$746,'Base bordo'!C$2:C$746,A1223,'Base bordo'!B$2:B$746,B1223,'Base bordo'!F$2:F$746,"DESLOCAMENTO VAZIO"),0)</f>
        <v>2.4347222222222222</v>
      </c>
      <c r="E1223" s="10">
        <f>IFERROR(SUMIFS('Base bordo'!G$2:G$746,'Base bordo'!C$2:C$746,A1223,'Base bordo'!B$2:B$746,B1223,'Base bordo'!F$2:F$746,"DESLOCAMENTO CARREGADO"),0)</f>
        <v>3.8097222222222222</v>
      </c>
      <c r="F1223" s="10">
        <f>IFERROR(SUMIFS('Base bordo'!G$2:G$746,'Base bordo'!C$2:C$746,A1223,'Base bordo'!B$2:B$746,B1223,'Base bordo'!F$2:F$746,"DESLOCAMENTO"),0)</f>
        <v>0</v>
      </c>
      <c r="G1223" s="10">
        <f>IFERROR(SUMIFS('Base bordo'!G$2:G$746,'Base bordo'!C$2:C$746,A1223,'Base bordo'!B$2:B$746,B1223,'Base bordo'!F$2:F$746,"CARREGAMENTO"),0)</f>
        <v>0</v>
      </c>
      <c r="H1223" s="10">
        <f>IFERROR(SUMIFS('Base bordo'!G$2:G$746,'Base bordo'!C$2:C$746,A1223,'Base bordo'!B$2:B$746,B1223,'Base bordo'!F$2:F$746,"AGUARDANDO TRANSBORDO"),0)</f>
        <v>0.71027777777777779</v>
      </c>
      <c r="I1223" s="10">
        <f>IFERROR(SUMIFS('Base bordo'!G$2:G$746,'Base bordo'!C$2:C$746,A1223,'Base bordo'!B$2:B$746,B1223,'Base bordo'!F$2:F$746,"PÁTIO INTERNO"),0)+IFERROR(SUMIFS('Base bordo'!G$2:G$746,'Base bordo'!C$2:C$746,A1223,'Base bordo'!B$2:B$746,B1223,'Base bordo'!F$2:F$746,"PÁTIO EXTERNO"),0)+IFERROR(SUMIFS('Base bordo'!G$2:G$746,'Base bordo'!C$2:C$746,A1223,'Base bordo'!B$2:B$746,B1223,'Base bordo'!F$2:F$746,"PATIO - RESERVA"),0)+IFERROR(SUMIFS('Base bordo'!G$2:G$746,'Base bordo'!C$2:C$746,A1223,'Base bordo'!B$2:B$746,B1223,'Base bordo'!F$2:F$746,"MANOBRA CARRETAS-PATIO"),0)</f>
        <v>5.4283333333333337</v>
      </c>
      <c r="J1223" s="10">
        <f>IFERROR(SUMIFS('Base bordo'!G$2:G$746,'Base bordo'!C$2:C$746,A1223,'Base bordo'!B$2:B$746,B1223,'Base bordo'!F$2:F$746,"BALANÇA - ENTRADA"),0)+IFERROR(SUMIFS('Base bordo'!G$2:G$746,'Base bordo'!C$2:C$746,A1223,'Base bordo'!B$2:B$746,B1223,'Base bordo'!F$2:F$746,"BALANÇA - SAÍDA"),0)</f>
        <v>0.4177777777777778</v>
      </c>
      <c r="K1223" s="10">
        <f>IFERROR(SUMIFS('Base bordo'!G$2:G$746,'Base bordo'!C$2:C$746,A1223,'Base bordo'!B$2:B$746,B1223,'Base bordo'!F$2:F$746,"MAN PREVENTIVA - MECANICA"),0)+IFERROR(SUMIFS('Base bordo'!G$2:G$746,'Base bordo'!C$2:C$746,A1223,'Base bordo'!B$2:B$746,B1223,'Base bordo'!F$2:F$746,"MAN CORRETIVA - MECANICA"),0)</f>
        <v>0</v>
      </c>
      <c r="L1223" s="10">
        <f>IFERROR(SUMIFS('Base bordo'!G$2:G$746,'Base bordo'!C$2:C$746,A1223,'Base bordo'!B$2:B$746,B1223,'Base bordo'!F$2:F$746,"MANUTENCAO - T O"),0)+IFERROR(SUMIFS('Base bordo'!G$2:G$746,'Base bordo'!C$2:C$746,A1223,'Base bordo'!B$2:B$746,B1223,'Base bordo'!F$2:F$746,"MANUTENCAO BORRACHARIA"),0)+IFERROR(SUMIFS('Base bordo'!G$2:G$746,'Base bordo'!C$2:C$746,A1223,'Base bordo'!B$2:B$746,B1223,'Base bordo'!F$2:F$746,"MANUTENCAO EXTERNA  CONCESSIONARIA"),0)+IFERROR(SUMIFS('Base bordo'!G$2:G$746,'Base bordo'!C$2:C$746,A1223,'Base bordo'!B$2:B$746,B1223,'Base bordo'!F$2:F$746,"MANUTENCAO TELEMETRIA"),0)</f>
        <v>0</v>
      </c>
      <c r="M1223" s="10">
        <f>IFERROR(SUMIFS('Base bordo'!G$2:G$746,'Base bordo'!C$2:C$746,A1223,'Base bordo'!B$2:B$746,B1223,'Base bordo'!F$2:F$746,"AGUARDANDO MANUTENCAO"),0)</f>
        <v>0</v>
      </c>
      <c r="N1223" s="10">
        <f>IFERROR(SUMIFS('Base bordo'!G$2:G$746,'Base bordo'!C$2:C$746,A1223,'Base bordo'!B$2:B$746,B1223,'Base bordo'!F$2:F$746,"SEM APONTAMENTO"),0)</f>
        <v>0</v>
      </c>
      <c r="O1223" s="10">
        <f t="shared" si="120"/>
        <v>1.7763568394002505E-15</v>
      </c>
      <c r="P1223" s="10">
        <f>IFERROR(SUMIFS('Base bordo'!G$2:G$746,'Base bordo'!C$2:C$746,A1223,'Base bordo'!B$2:B$746,B1223),0)</f>
        <v>12.800833333333335</v>
      </c>
      <c r="Q1223" s="10">
        <f>IFERROR(SUMIFS('Base bordo'!H$2:H$746,'Base bordo'!C$2:C$746,A1223,'Base bordo'!B$2:B$746,B1223,'Base bordo'!F$2:F$746,"DESLOCAMENTO VAZIO"),0)</f>
        <v>322127.41000000003</v>
      </c>
      <c r="R1223" s="10">
        <f>IFERROR(SUMIFS('Base bordo'!I$2:I$746,'Base bordo'!C$2:C$746,A1223,'Base bordo'!B$2:B$746,B1223,'Base bordo'!F$2:F$746,"DESLOCAMENTO VAZIO"),0)</f>
        <v>8765</v>
      </c>
      <c r="S1223" s="30">
        <f t="shared" si="121"/>
        <v>36.751558471192247</v>
      </c>
      <c r="T1223" s="10">
        <f>IFERROR(SUMIFS('Base bordo'!H$2:H$746,'Base bordo'!C$2:C$746,A1223,'Base bordo'!B$2:B$746,B1223,'Base bordo'!F$2:F$746,"DESLOCAMENTO CARREGADO"),0)</f>
        <v>341587.70999999996</v>
      </c>
      <c r="U1223" s="10">
        <f>IFERROR(SUMIFS('Base bordo'!I$2:I$746,'Base bordo'!C$2:C$746,A1223,'Base bordo'!B$2:B$746,B1223,'Base bordo'!F$2:F$746,"DESLOCAMENTO CARREGADO"),0)</f>
        <v>13715</v>
      </c>
      <c r="V1223" s="30">
        <f t="shared" si="122"/>
        <v>24.906139992708709</v>
      </c>
      <c r="W1223" s="9">
        <f t="shared" si="123"/>
        <v>0.19020029077968012</v>
      </c>
      <c r="X1223" s="9">
        <f t="shared" si="124"/>
        <v>0.29761517262331005</v>
      </c>
      <c r="Y1223" s="9">
        <f t="shared" si="125"/>
        <v>0.5121845365970098</v>
      </c>
    </row>
    <row r="1224" spans="1:25" ht="15" customHeight="1" x14ac:dyDescent="0.35">
      <c r="A1224" s="52">
        <v>8013468</v>
      </c>
      <c r="B1224" s="51">
        <v>46124</v>
      </c>
      <c r="C1224" s="7" t="s">
        <v>124</v>
      </c>
      <c r="D1224" s="10">
        <f>IFERROR(SUMIFS('Base bordo'!G$2:G$746,'Base bordo'!C$2:C$746,A1224,'Base bordo'!B$2:B$746,B1224,'Base bordo'!F$2:F$746,"DESLOCAMENTO VAZIO"),0)</f>
        <v>2.4347222222222222</v>
      </c>
      <c r="E1224" s="10">
        <f>IFERROR(SUMIFS('Base bordo'!G$2:G$746,'Base bordo'!C$2:C$746,A1224,'Base bordo'!B$2:B$746,B1224,'Base bordo'!F$2:F$746,"DESLOCAMENTO CARREGADO"),0)</f>
        <v>3.8097222222222222</v>
      </c>
      <c r="F1224" s="10">
        <f>IFERROR(SUMIFS('Base bordo'!G$2:G$746,'Base bordo'!C$2:C$746,A1224,'Base bordo'!B$2:B$746,B1224,'Base bordo'!F$2:F$746,"DESLOCAMENTO"),0)</f>
        <v>0</v>
      </c>
      <c r="G1224" s="10">
        <f>IFERROR(SUMIFS('Base bordo'!G$2:G$746,'Base bordo'!C$2:C$746,A1224,'Base bordo'!B$2:B$746,B1224,'Base bordo'!F$2:F$746,"CARREGAMENTO"),0)</f>
        <v>0</v>
      </c>
      <c r="H1224" s="10">
        <f>IFERROR(SUMIFS('Base bordo'!G$2:G$746,'Base bordo'!C$2:C$746,A1224,'Base bordo'!B$2:B$746,B1224,'Base bordo'!F$2:F$746,"AGUARDANDO TRANSBORDO"),0)</f>
        <v>0.71027777777777779</v>
      </c>
      <c r="I1224" s="10">
        <f>IFERROR(SUMIFS('Base bordo'!G$2:G$746,'Base bordo'!C$2:C$746,A1224,'Base bordo'!B$2:B$746,B1224,'Base bordo'!F$2:F$746,"PÁTIO INTERNO"),0)+IFERROR(SUMIFS('Base bordo'!G$2:G$746,'Base bordo'!C$2:C$746,A1224,'Base bordo'!B$2:B$746,B1224,'Base bordo'!F$2:F$746,"PÁTIO EXTERNO"),0)+IFERROR(SUMIFS('Base bordo'!G$2:G$746,'Base bordo'!C$2:C$746,A1224,'Base bordo'!B$2:B$746,B1224,'Base bordo'!F$2:F$746,"PATIO - RESERVA"),0)+IFERROR(SUMIFS('Base bordo'!G$2:G$746,'Base bordo'!C$2:C$746,A1224,'Base bordo'!B$2:B$746,B1224,'Base bordo'!F$2:F$746,"MANOBRA CARRETAS-PATIO"),0)</f>
        <v>5.4283333333333337</v>
      </c>
      <c r="J1224" s="10">
        <f>IFERROR(SUMIFS('Base bordo'!G$2:G$746,'Base bordo'!C$2:C$746,A1224,'Base bordo'!B$2:B$746,B1224,'Base bordo'!F$2:F$746,"BALANÇA - ENTRADA"),0)+IFERROR(SUMIFS('Base bordo'!G$2:G$746,'Base bordo'!C$2:C$746,A1224,'Base bordo'!B$2:B$746,B1224,'Base bordo'!F$2:F$746,"BALANÇA - SAÍDA"),0)</f>
        <v>0.4177777777777778</v>
      </c>
      <c r="K1224" s="10">
        <f>IFERROR(SUMIFS('Base bordo'!G$2:G$746,'Base bordo'!C$2:C$746,A1224,'Base bordo'!B$2:B$746,B1224,'Base bordo'!F$2:F$746,"MAN PREVENTIVA - MECANICA"),0)+IFERROR(SUMIFS('Base bordo'!G$2:G$746,'Base bordo'!C$2:C$746,A1224,'Base bordo'!B$2:B$746,B1224,'Base bordo'!F$2:F$746,"MAN CORRETIVA - MECANICA"),0)</f>
        <v>0</v>
      </c>
      <c r="L1224" s="10">
        <f>IFERROR(SUMIFS('Base bordo'!G$2:G$746,'Base bordo'!C$2:C$746,A1224,'Base bordo'!B$2:B$746,B1224,'Base bordo'!F$2:F$746,"MANUTENCAO - T O"),0)+IFERROR(SUMIFS('Base bordo'!G$2:G$746,'Base bordo'!C$2:C$746,A1224,'Base bordo'!B$2:B$746,B1224,'Base bordo'!F$2:F$746,"MANUTENCAO BORRACHARIA"),0)+IFERROR(SUMIFS('Base bordo'!G$2:G$746,'Base bordo'!C$2:C$746,A1224,'Base bordo'!B$2:B$746,B1224,'Base bordo'!F$2:F$746,"MANUTENCAO EXTERNA  CONCESSIONARIA"),0)+IFERROR(SUMIFS('Base bordo'!G$2:G$746,'Base bordo'!C$2:C$746,A1224,'Base bordo'!B$2:B$746,B1224,'Base bordo'!F$2:F$746,"MANUTENCAO TELEMETRIA"),0)</f>
        <v>0</v>
      </c>
      <c r="M1224" s="10">
        <f>IFERROR(SUMIFS('Base bordo'!G$2:G$746,'Base bordo'!C$2:C$746,A1224,'Base bordo'!B$2:B$746,B1224,'Base bordo'!F$2:F$746,"AGUARDANDO MANUTENCAO"),0)</f>
        <v>0</v>
      </c>
      <c r="N1224" s="10">
        <f>IFERROR(SUMIFS('Base bordo'!G$2:G$746,'Base bordo'!C$2:C$746,A1224,'Base bordo'!B$2:B$746,B1224,'Base bordo'!F$2:F$746,"SEM APONTAMENTO"),0)</f>
        <v>0</v>
      </c>
      <c r="O1224" s="10">
        <f t="shared" si="120"/>
        <v>1.7763568394002505E-15</v>
      </c>
      <c r="P1224" s="10">
        <f>IFERROR(SUMIFS('Base bordo'!G$2:G$746,'Base bordo'!C$2:C$746,A1224,'Base bordo'!B$2:B$746,B1224),0)</f>
        <v>12.800833333333335</v>
      </c>
      <c r="Q1224" s="10">
        <f>IFERROR(SUMIFS('Base bordo'!H$2:H$746,'Base bordo'!C$2:C$746,A1224,'Base bordo'!B$2:B$746,B1224,'Base bordo'!F$2:F$746,"DESLOCAMENTO VAZIO"),0)</f>
        <v>322127.41000000003</v>
      </c>
      <c r="R1224" s="10">
        <f>IFERROR(SUMIFS('Base bordo'!I$2:I$746,'Base bordo'!C$2:C$746,A1224,'Base bordo'!B$2:B$746,B1224,'Base bordo'!F$2:F$746,"DESLOCAMENTO VAZIO"),0)</f>
        <v>8765</v>
      </c>
      <c r="S1224" s="30">
        <f t="shared" si="121"/>
        <v>36.751558471192247</v>
      </c>
      <c r="T1224" s="10">
        <f>IFERROR(SUMIFS('Base bordo'!H$2:H$746,'Base bordo'!C$2:C$746,A1224,'Base bordo'!B$2:B$746,B1224,'Base bordo'!F$2:F$746,"DESLOCAMENTO CARREGADO"),0)</f>
        <v>341587.70999999996</v>
      </c>
      <c r="U1224" s="10">
        <f>IFERROR(SUMIFS('Base bordo'!I$2:I$746,'Base bordo'!C$2:C$746,A1224,'Base bordo'!B$2:B$746,B1224,'Base bordo'!F$2:F$746,"DESLOCAMENTO CARREGADO"),0)</f>
        <v>13715</v>
      </c>
      <c r="V1224" s="30">
        <f t="shared" si="122"/>
        <v>24.906139992708709</v>
      </c>
      <c r="W1224" s="9">
        <f t="shared" si="123"/>
        <v>0.19020029077968012</v>
      </c>
      <c r="X1224" s="9">
        <f t="shared" si="124"/>
        <v>0.29761517262331005</v>
      </c>
      <c r="Y1224" s="9">
        <f t="shared" si="125"/>
        <v>0.5121845365970098</v>
      </c>
    </row>
    <row r="1225" spans="1:25" ht="15" customHeight="1" x14ac:dyDescent="0.35">
      <c r="A1225" s="52">
        <v>8013468</v>
      </c>
      <c r="B1225" s="51">
        <v>46124</v>
      </c>
      <c r="C1225" s="7" t="s">
        <v>124</v>
      </c>
      <c r="D1225" s="10">
        <f>IFERROR(SUMIFS('Base bordo'!G$2:G$746,'Base bordo'!C$2:C$746,A1225,'Base bordo'!B$2:B$746,B1225,'Base bordo'!F$2:F$746,"DESLOCAMENTO VAZIO"),0)</f>
        <v>2.4347222222222222</v>
      </c>
      <c r="E1225" s="10">
        <f>IFERROR(SUMIFS('Base bordo'!G$2:G$746,'Base bordo'!C$2:C$746,A1225,'Base bordo'!B$2:B$746,B1225,'Base bordo'!F$2:F$746,"DESLOCAMENTO CARREGADO"),0)</f>
        <v>3.8097222222222222</v>
      </c>
      <c r="F1225" s="10">
        <f>IFERROR(SUMIFS('Base bordo'!G$2:G$746,'Base bordo'!C$2:C$746,A1225,'Base bordo'!B$2:B$746,B1225,'Base bordo'!F$2:F$746,"DESLOCAMENTO"),0)</f>
        <v>0</v>
      </c>
      <c r="G1225" s="10">
        <f>IFERROR(SUMIFS('Base bordo'!G$2:G$746,'Base bordo'!C$2:C$746,A1225,'Base bordo'!B$2:B$746,B1225,'Base bordo'!F$2:F$746,"CARREGAMENTO"),0)</f>
        <v>0</v>
      </c>
      <c r="H1225" s="10">
        <f>IFERROR(SUMIFS('Base bordo'!G$2:G$746,'Base bordo'!C$2:C$746,A1225,'Base bordo'!B$2:B$746,B1225,'Base bordo'!F$2:F$746,"AGUARDANDO TRANSBORDO"),0)</f>
        <v>0.71027777777777779</v>
      </c>
      <c r="I1225" s="10">
        <f>IFERROR(SUMIFS('Base bordo'!G$2:G$746,'Base bordo'!C$2:C$746,A1225,'Base bordo'!B$2:B$746,B1225,'Base bordo'!F$2:F$746,"PÁTIO INTERNO"),0)+IFERROR(SUMIFS('Base bordo'!G$2:G$746,'Base bordo'!C$2:C$746,A1225,'Base bordo'!B$2:B$746,B1225,'Base bordo'!F$2:F$746,"PÁTIO EXTERNO"),0)+IFERROR(SUMIFS('Base bordo'!G$2:G$746,'Base bordo'!C$2:C$746,A1225,'Base bordo'!B$2:B$746,B1225,'Base bordo'!F$2:F$746,"PATIO - RESERVA"),0)+IFERROR(SUMIFS('Base bordo'!G$2:G$746,'Base bordo'!C$2:C$746,A1225,'Base bordo'!B$2:B$746,B1225,'Base bordo'!F$2:F$746,"MANOBRA CARRETAS-PATIO"),0)</f>
        <v>5.4283333333333337</v>
      </c>
      <c r="J1225" s="10">
        <f>IFERROR(SUMIFS('Base bordo'!G$2:G$746,'Base bordo'!C$2:C$746,A1225,'Base bordo'!B$2:B$746,B1225,'Base bordo'!F$2:F$746,"BALANÇA - ENTRADA"),0)+IFERROR(SUMIFS('Base bordo'!G$2:G$746,'Base bordo'!C$2:C$746,A1225,'Base bordo'!B$2:B$746,B1225,'Base bordo'!F$2:F$746,"BALANÇA - SAÍDA"),0)</f>
        <v>0.4177777777777778</v>
      </c>
      <c r="K1225" s="10">
        <f>IFERROR(SUMIFS('Base bordo'!G$2:G$746,'Base bordo'!C$2:C$746,A1225,'Base bordo'!B$2:B$746,B1225,'Base bordo'!F$2:F$746,"MAN PREVENTIVA - MECANICA"),0)+IFERROR(SUMIFS('Base bordo'!G$2:G$746,'Base bordo'!C$2:C$746,A1225,'Base bordo'!B$2:B$746,B1225,'Base bordo'!F$2:F$746,"MAN CORRETIVA - MECANICA"),0)</f>
        <v>0</v>
      </c>
      <c r="L1225" s="10">
        <f>IFERROR(SUMIFS('Base bordo'!G$2:G$746,'Base bordo'!C$2:C$746,A1225,'Base bordo'!B$2:B$746,B1225,'Base bordo'!F$2:F$746,"MANUTENCAO - T O"),0)+IFERROR(SUMIFS('Base bordo'!G$2:G$746,'Base bordo'!C$2:C$746,A1225,'Base bordo'!B$2:B$746,B1225,'Base bordo'!F$2:F$746,"MANUTENCAO BORRACHARIA"),0)+IFERROR(SUMIFS('Base bordo'!G$2:G$746,'Base bordo'!C$2:C$746,A1225,'Base bordo'!B$2:B$746,B1225,'Base bordo'!F$2:F$746,"MANUTENCAO EXTERNA  CONCESSIONARIA"),0)+IFERROR(SUMIFS('Base bordo'!G$2:G$746,'Base bordo'!C$2:C$746,A1225,'Base bordo'!B$2:B$746,B1225,'Base bordo'!F$2:F$746,"MANUTENCAO TELEMETRIA"),0)</f>
        <v>0</v>
      </c>
      <c r="M1225" s="10">
        <f>IFERROR(SUMIFS('Base bordo'!G$2:G$746,'Base bordo'!C$2:C$746,A1225,'Base bordo'!B$2:B$746,B1225,'Base bordo'!F$2:F$746,"AGUARDANDO MANUTENCAO"),0)</f>
        <v>0</v>
      </c>
      <c r="N1225" s="10">
        <f>IFERROR(SUMIFS('Base bordo'!G$2:G$746,'Base bordo'!C$2:C$746,A1225,'Base bordo'!B$2:B$746,B1225,'Base bordo'!F$2:F$746,"SEM APONTAMENTO"),0)</f>
        <v>0</v>
      </c>
      <c r="O1225" s="10">
        <f t="shared" si="120"/>
        <v>1.7763568394002505E-15</v>
      </c>
      <c r="P1225" s="10">
        <f>IFERROR(SUMIFS('Base bordo'!G$2:G$746,'Base bordo'!C$2:C$746,A1225,'Base bordo'!B$2:B$746,B1225),0)</f>
        <v>12.800833333333335</v>
      </c>
      <c r="Q1225" s="10">
        <f>IFERROR(SUMIFS('Base bordo'!H$2:H$746,'Base bordo'!C$2:C$746,A1225,'Base bordo'!B$2:B$746,B1225,'Base bordo'!F$2:F$746,"DESLOCAMENTO VAZIO"),0)</f>
        <v>322127.41000000003</v>
      </c>
      <c r="R1225" s="10">
        <f>IFERROR(SUMIFS('Base bordo'!I$2:I$746,'Base bordo'!C$2:C$746,A1225,'Base bordo'!B$2:B$746,B1225,'Base bordo'!F$2:F$746,"DESLOCAMENTO VAZIO"),0)</f>
        <v>8765</v>
      </c>
      <c r="S1225" s="30">
        <f t="shared" si="121"/>
        <v>36.751558471192247</v>
      </c>
      <c r="T1225" s="10">
        <f>IFERROR(SUMIFS('Base bordo'!H$2:H$746,'Base bordo'!C$2:C$746,A1225,'Base bordo'!B$2:B$746,B1225,'Base bordo'!F$2:F$746,"DESLOCAMENTO CARREGADO"),0)</f>
        <v>341587.70999999996</v>
      </c>
      <c r="U1225" s="10">
        <f>IFERROR(SUMIFS('Base bordo'!I$2:I$746,'Base bordo'!C$2:C$746,A1225,'Base bordo'!B$2:B$746,B1225,'Base bordo'!F$2:F$746,"DESLOCAMENTO CARREGADO"),0)</f>
        <v>13715</v>
      </c>
      <c r="V1225" s="30">
        <f t="shared" si="122"/>
        <v>24.906139992708709</v>
      </c>
      <c r="W1225" s="9">
        <f t="shared" si="123"/>
        <v>0.19020029077968012</v>
      </c>
      <c r="X1225" s="9">
        <f t="shared" si="124"/>
        <v>0.29761517262331005</v>
      </c>
      <c r="Y1225" s="9">
        <f t="shared" si="125"/>
        <v>0.5121845365970098</v>
      </c>
    </row>
    <row r="1226" spans="1:25" ht="15" customHeight="1" x14ac:dyDescent="0.35">
      <c r="A1226" s="52">
        <v>8013468</v>
      </c>
      <c r="B1226" s="51">
        <v>46124</v>
      </c>
      <c r="C1226" s="7" t="s">
        <v>124</v>
      </c>
      <c r="D1226" s="10">
        <f>IFERROR(SUMIFS('Base bordo'!G$2:G$746,'Base bordo'!C$2:C$746,A1226,'Base bordo'!B$2:B$746,B1226,'Base bordo'!F$2:F$746,"DESLOCAMENTO VAZIO"),0)</f>
        <v>2.4347222222222222</v>
      </c>
      <c r="E1226" s="10">
        <f>IFERROR(SUMIFS('Base bordo'!G$2:G$746,'Base bordo'!C$2:C$746,A1226,'Base bordo'!B$2:B$746,B1226,'Base bordo'!F$2:F$746,"DESLOCAMENTO CARREGADO"),0)</f>
        <v>3.8097222222222222</v>
      </c>
      <c r="F1226" s="10">
        <f>IFERROR(SUMIFS('Base bordo'!G$2:G$746,'Base bordo'!C$2:C$746,A1226,'Base bordo'!B$2:B$746,B1226,'Base bordo'!F$2:F$746,"DESLOCAMENTO"),0)</f>
        <v>0</v>
      </c>
      <c r="G1226" s="10">
        <f>IFERROR(SUMIFS('Base bordo'!G$2:G$746,'Base bordo'!C$2:C$746,A1226,'Base bordo'!B$2:B$746,B1226,'Base bordo'!F$2:F$746,"CARREGAMENTO"),0)</f>
        <v>0</v>
      </c>
      <c r="H1226" s="10">
        <f>IFERROR(SUMIFS('Base bordo'!G$2:G$746,'Base bordo'!C$2:C$746,A1226,'Base bordo'!B$2:B$746,B1226,'Base bordo'!F$2:F$746,"AGUARDANDO TRANSBORDO"),0)</f>
        <v>0.71027777777777779</v>
      </c>
      <c r="I1226" s="10">
        <f>IFERROR(SUMIFS('Base bordo'!G$2:G$746,'Base bordo'!C$2:C$746,A1226,'Base bordo'!B$2:B$746,B1226,'Base bordo'!F$2:F$746,"PÁTIO INTERNO"),0)+IFERROR(SUMIFS('Base bordo'!G$2:G$746,'Base bordo'!C$2:C$746,A1226,'Base bordo'!B$2:B$746,B1226,'Base bordo'!F$2:F$746,"PÁTIO EXTERNO"),0)+IFERROR(SUMIFS('Base bordo'!G$2:G$746,'Base bordo'!C$2:C$746,A1226,'Base bordo'!B$2:B$746,B1226,'Base bordo'!F$2:F$746,"PATIO - RESERVA"),0)+IFERROR(SUMIFS('Base bordo'!G$2:G$746,'Base bordo'!C$2:C$746,A1226,'Base bordo'!B$2:B$746,B1226,'Base bordo'!F$2:F$746,"MANOBRA CARRETAS-PATIO"),0)</f>
        <v>5.4283333333333337</v>
      </c>
      <c r="J1226" s="10">
        <f>IFERROR(SUMIFS('Base bordo'!G$2:G$746,'Base bordo'!C$2:C$746,A1226,'Base bordo'!B$2:B$746,B1226,'Base bordo'!F$2:F$746,"BALANÇA - ENTRADA"),0)+IFERROR(SUMIFS('Base bordo'!G$2:G$746,'Base bordo'!C$2:C$746,A1226,'Base bordo'!B$2:B$746,B1226,'Base bordo'!F$2:F$746,"BALANÇA - SAÍDA"),0)</f>
        <v>0.4177777777777778</v>
      </c>
      <c r="K1226" s="10">
        <f>IFERROR(SUMIFS('Base bordo'!G$2:G$746,'Base bordo'!C$2:C$746,A1226,'Base bordo'!B$2:B$746,B1226,'Base bordo'!F$2:F$746,"MAN PREVENTIVA - MECANICA"),0)+IFERROR(SUMIFS('Base bordo'!G$2:G$746,'Base bordo'!C$2:C$746,A1226,'Base bordo'!B$2:B$746,B1226,'Base bordo'!F$2:F$746,"MAN CORRETIVA - MECANICA"),0)</f>
        <v>0</v>
      </c>
      <c r="L1226" s="10">
        <f>IFERROR(SUMIFS('Base bordo'!G$2:G$746,'Base bordo'!C$2:C$746,A1226,'Base bordo'!B$2:B$746,B1226,'Base bordo'!F$2:F$746,"MANUTENCAO - T O"),0)+IFERROR(SUMIFS('Base bordo'!G$2:G$746,'Base bordo'!C$2:C$746,A1226,'Base bordo'!B$2:B$746,B1226,'Base bordo'!F$2:F$746,"MANUTENCAO BORRACHARIA"),0)+IFERROR(SUMIFS('Base bordo'!G$2:G$746,'Base bordo'!C$2:C$746,A1226,'Base bordo'!B$2:B$746,B1226,'Base bordo'!F$2:F$746,"MANUTENCAO EXTERNA  CONCESSIONARIA"),0)+IFERROR(SUMIFS('Base bordo'!G$2:G$746,'Base bordo'!C$2:C$746,A1226,'Base bordo'!B$2:B$746,B1226,'Base bordo'!F$2:F$746,"MANUTENCAO TELEMETRIA"),0)</f>
        <v>0</v>
      </c>
      <c r="M1226" s="10">
        <f>IFERROR(SUMIFS('Base bordo'!G$2:G$746,'Base bordo'!C$2:C$746,A1226,'Base bordo'!B$2:B$746,B1226,'Base bordo'!F$2:F$746,"AGUARDANDO MANUTENCAO"),0)</f>
        <v>0</v>
      </c>
      <c r="N1226" s="10">
        <f>IFERROR(SUMIFS('Base bordo'!G$2:G$746,'Base bordo'!C$2:C$746,A1226,'Base bordo'!B$2:B$746,B1226,'Base bordo'!F$2:F$746,"SEM APONTAMENTO"),0)</f>
        <v>0</v>
      </c>
      <c r="O1226" s="10">
        <f t="shared" si="120"/>
        <v>1.7763568394002505E-15</v>
      </c>
      <c r="P1226" s="10">
        <f>IFERROR(SUMIFS('Base bordo'!G$2:G$746,'Base bordo'!C$2:C$746,A1226,'Base bordo'!B$2:B$746,B1226),0)</f>
        <v>12.800833333333335</v>
      </c>
      <c r="Q1226" s="10">
        <f>IFERROR(SUMIFS('Base bordo'!H$2:H$746,'Base bordo'!C$2:C$746,A1226,'Base bordo'!B$2:B$746,B1226,'Base bordo'!F$2:F$746,"DESLOCAMENTO VAZIO"),0)</f>
        <v>322127.41000000003</v>
      </c>
      <c r="R1226" s="10">
        <f>IFERROR(SUMIFS('Base bordo'!I$2:I$746,'Base bordo'!C$2:C$746,A1226,'Base bordo'!B$2:B$746,B1226,'Base bordo'!F$2:F$746,"DESLOCAMENTO VAZIO"),0)</f>
        <v>8765</v>
      </c>
      <c r="S1226" s="30">
        <f t="shared" si="121"/>
        <v>36.751558471192247</v>
      </c>
      <c r="T1226" s="10">
        <f>IFERROR(SUMIFS('Base bordo'!H$2:H$746,'Base bordo'!C$2:C$746,A1226,'Base bordo'!B$2:B$746,B1226,'Base bordo'!F$2:F$746,"DESLOCAMENTO CARREGADO"),0)</f>
        <v>341587.70999999996</v>
      </c>
      <c r="U1226" s="10">
        <f>IFERROR(SUMIFS('Base bordo'!I$2:I$746,'Base bordo'!C$2:C$746,A1226,'Base bordo'!B$2:B$746,B1226,'Base bordo'!F$2:F$746,"DESLOCAMENTO CARREGADO"),0)</f>
        <v>13715</v>
      </c>
      <c r="V1226" s="30">
        <f t="shared" si="122"/>
        <v>24.906139992708709</v>
      </c>
      <c r="W1226" s="9">
        <f t="shared" si="123"/>
        <v>0.19020029077968012</v>
      </c>
      <c r="X1226" s="9">
        <f t="shared" si="124"/>
        <v>0.29761517262331005</v>
      </c>
      <c r="Y1226" s="9">
        <f t="shared" si="125"/>
        <v>0.5121845365970098</v>
      </c>
    </row>
    <row r="1227" spans="1:25" ht="15" customHeight="1" x14ac:dyDescent="0.35">
      <c r="A1227" s="52">
        <v>8013468</v>
      </c>
      <c r="B1227" s="51">
        <v>46124</v>
      </c>
      <c r="C1227" s="7" t="s">
        <v>124</v>
      </c>
      <c r="D1227" s="10">
        <f>IFERROR(SUMIFS('Base bordo'!G$2:G$746,'Base bordo'!C$2:C$746,A1227,'Base bordo'!B$2:B$746,B1227,'Base bordo'!F$2:F$746,"DESLOCAMENTO VAZIO"),0)</f>
        <v>2.4347222222222222</v>
      </c>
      <c r="E1227" s="10">
        <f>IFERROR(SUMIFS('Base bordo'!G$2:G$746,'Base bordo'!C$2:C$746,A1227,'Base bordo'!B$2:B$746,B1227,'Base bordo'!F$2:F$746,"DESLOCAMENTO CARREGADO"),0)</f>
        <v>3.8097222222222222</v>
      </c>
      <c r="F1227" s="10">
        <f>IFERROR(SUMIFS('Base bordo'!G$2:G$746,'Base bordo'!C$2:C$746,A1227,'Base bordo'!B$2:B$746,B1227,'Base bordo'!F$2:F$746,"DESLOCAMENTO"),0)</f>
        <v>0</v>
      </c>
      <c r="G1227" s="10">
        <f>IFERROR(SUMIFS('Base bordo'!G$2:G$746,'Base bordo'!C$2:C$746,A1227,'Base bordo'!B$2:B$746,B1227,'Base bordo'!F$2:F$746,"CARREGAMENTO"),0)</f>
        <v>0</v>
      </c>
      <c r="H1227" s="10">
        <f>IFERROR(SUMIFS('Base bordo'!G$2:G$746,'Base bordo'!C$2:C$746,A1227,'Base bordo'!B$2:B$746,B1227,'Base bordo'!F$2:F$746,"AGUARDANDO TRANSBORDO"),0)</f>
        <v>0.71027777777777779</v>
      </c>
      <c r="I1227" s="10">
        <f>IFERROR(SUMIFS('Base bordo'!G$2:G$746,'Base bordo'!C$2:C$746,A1227,'Base bordo'!B$2:B$746,B1227,'Base bordo'!F$2:F$746,"PÁTIO INTERNO"),0)+IFERROR(SUMIFS('Base bordo'!G$2:G$746,'Base bordo'!C$2:C$746,A1227,'Base bordo'!B$2:B$746,B1227,'Base bordo'!F$2:F$746,"PÁTIO EXTERNO"),0)+IFERROR(SUMIFS('Base bordo'!G$2:G$746,'Base bordo'!C$2:C$746,A1227,'Base bordo'!B$2:B$746,B1227,'Base bordo'!F$2:F$746,"PATIO - RESERVA"),0)+IFERROR(SUMIFS('Base bordo'!G$2:G$746,'Base bordo'!C$2:C$746,A1227,'Base bordo'!B$2:B$746,B1227,'Base bordo'!F$2:F$746,"MANOBRA CARRETAS-PATIO"),0)</f>
        <v>5.4283333333333337</v>
      </c>
      <c r="J1227" s="10">
        <f>IFERROR(SUMIFS('Base bordo'!G$2:G$746,'Base bordo'!C$2:C$746,A1227,'Base bordo'!B$2:B$746,B1227,'Base bordo'!F$2:F$746,"BALANÇA - ENTRADA"),0)+IFERROR(SUMIFS('Base bordo'!G$2:G$746,'Base bordo'!C$2:C$746,A1227,'Base bordo'!B$2:B$746,B1227,'Base bordo'!F$2:F$746,"BALANÇA - SAÍDA"),0)</f>
        <v>0.4177777777777778</v>
      </c>
      <c r="K1227" s="10">
        <f>IFERROR(SUMIFS('Base bordo'!G$2:G$746,'Base bordo'!C$2:C$746,A1227,'Base bordo'!B$2:B$746,B1227,'Base bordo'!F$2:F$746,"MAN PREVENTIVA - MECANICA"),0)+IFERROR(SUMIFS('Base bordo'!G$2:G$746,'Base bordo'!C$2:C$746,A1227,'Base bordo'!B$2:B$746,B1227,'Base bordo'!F$2:F$746,"MAN CORRETIVA - MECANICA"),0)</f>
        <v>0</v>
      </c>
      <c r="L1227" s="10">
        <f>IFERROR(SUMIFS('Base bordo'!G$2:G$746,'Base bordo'!C$2:C$746,A1227,'Base bordo'!B$2:B$746,B1227,'Base bordo'!F$2:F$746,"MANUTENCAO - T O"),0)+IFERROR(SUMIFS('Base bordo'!G$2:G$746,'Base bordo'!C$2:C$746,A1227,'Base bordo'!B$2:B$746,B1227,'Base bordo'!F$2:F$746,"MANUTENCAO BORRACHARIA"),0)+IFERROR(SUMIFS('Base bordo'!G$2:G$746,'Base bordo'!C$2:C$746,A1227,'Base bordo'!B$2:B$746,B1227,'Base bordo'!F$2:F$746,"MANUTENCAO EXTERNA  CONCESSIONARIA"),0)+IFERROR(SUMIFS('Base bordo'!G$2:G$746,'Base bordo'!C$2:C$746,A1227,'Base bordo'!B$2:B$746,B1227,'Base bordo'!F$2:F$746,"MANUTENCAO TELEMETRIA"),0)</f>
        <v>0</v>
      </c>
      <c r="M1227" s="10">
        <f>IFERROR(SUMIFS('Base bordo'!G$2:G$746,'Base bordo'!C$2:C$746,A1227,'Base bordo'!B$2:B$746,B1227,'Base bordo'!F$2:F$746,"AGUARDANDO MANUTENCAO"),0)</f>
        <v>0</v>
      </c>
      <c r="N1227" s="10">
        <f>IFERROR(SUMIFS('Base bordo'!G$2:G$746,'Base bordo'!C$2:C$746,A1227,'Base bordo'!B$2:B$746,B1227,'Base bordo'!F$2:F$746,"SEM APONTAMENTO"),0)</f>
        <v>0</v>
      </c>
      <c r="O1227" s="10">
        <f t="shared" si="120"/>
        <v>1.7763568394002505E-15</v>
      </c>
      <c r="P1227" s="10">
        <f>IFERROR(SUMIFS('Base bordo'!G$2:G$746,'Base bordo'!C$2:C$746,A1227,'Base bordo'!B$2:B$746,B1227),0)</f>
        <v>12.800833333333335</v>
      </c>
      <c r="Q1227" s="10">
        <f>IFERROR(SUMIFS('Base bordo'!H$2:H$746,'Base bordo'!C$2:C$746,A1227,'Base bordo'!B$2:B$746,B1227,'Base bordo'!F$2:F$746,"DESLOCAMENTO VAZIO"),0)</f>
        <v>322127.41000000003</v>
      </c>
      <c r="R1227" s="10">
        <f>IFERROR(SUMIFS('Base bordo'!I$2:I$746,'Base bordo'!C$2:C$746,A1227,'Base bordo'!B$2:B$746,B1227,'Base bordo'!F$2:F$746,"DESLOCAMENTO VAZIO"),0)</f>
        <v>8765</v>
      </c>
      <c r="S1227" s="30">
        <f t="shared" si="121"/>
        <v>36.751558471192247</v>
      </c>
      <c r="T1227" s="10">
        <f>IFERROR(SUMIFS('Base bordo'!H$2:H$746,'Base bordo'!C$2:C$746,A1227,'Base bordo'!B$2:B$746,B1227,'Base bordo'!F$2:F$746,"DESLOCAMENTO CARREGADO"),0)</f>
        <v>341587.70999999996</v>
      </c>
      <c r="U1227" s="10">
        <f>IFERROR(SUMIFS('Base bordo'!I$2:I$746,'Base bordo'!C$2:C$746,A1227,'Base bordo'!B$2:B$746,B1227,'Base bordo'!F$2:F$746,"DESLOCAMENTO CARREGADO"),0)</f>
        <v>13715</v>
      </c>
      <c r="V1227" s="30">
        <f t="shared" si="122"/>
        <v>24.906139992708709</v>
      </c>
      <c r="W1227" s="9">
        <f t="shared" si="123"/>
        <v>0.19020029077968012</v>
      </c>
      <c r="X1227" s="9">
        <f t="shared" si="124"/>
        <v>0.29761517262331005</v>
      </c>
      <c r="Y1227" s="9">
        <f t="shared" si="125"/>
        <v>0.5121845365970098</v>
      </c>
    </row>
    <row r="1228" spans="1:25" ht="15" customHeight="1" x14ac:dyDescent="0.35">
      <c r="A1228" s="52">
        <v>8013469</v>
      </c>
      <c r="B1228" s="51">
        <v>46124</v>
      </c>
      <c r="C1228" s="7" t="s">
        <v>124</v>
      </c>
      <c r="D1228" s="10">
        <f>IFERROR(SUMIFS('Base bordo'!G$2:G$746,'Base bordo'!C$2:C$746,A1228,'Base bordo'!B$2:B$746,B1228,'Base bordo'!F$2:F$746,"DESLOCAMENTO VAZIO"),0)</f>
        <v>2.4083333333333332</v>
      </c>
      <c r="E1228" s="10">
        <f>IFERROR(SUMIFS('Base bordo'!G$2:G$746,'Base bordo'!C$2:C$746,A1228,'Base bordo'!B$2:B$746,B1228,'Base bordo'!F$2:F$746,"DESLOCAMENTO CARREGADO"),0)</f>
        <v>1.3047222222222221</v>
      </c>
      <c r="F1228" s="10">
        <f>IFERROR(SUMIFS('Base bordo'!G$2:G$746,'Base bordo'!C$2:C$746,A1228,'Base bordo'!B$2:B$746,B1228,'Base bordo'!F$2:F$746,"DESLOCAMENTO"),0)</f>
        <v>0</v>
      </c>
      <c r="G1228" s="10">
        <f>IFERROR(SUMIFS('Base bordo'!G$2:G$746,'Base bordo'!C$2:C$746,A1228,'Base bordo'!B$2:B$746,B1228,'Base bordo'!F$2:F$746,"CARREGAMENTO"),0)</f>
        <v>0</v>
      </c>
      <c r="H1228" s="10">
        <f>IFERROR(SUMIFS('Base bordo'!G$2:G$746,'Base bordo'!C$2:C$746,A1228,'Base bordo'!B$2:B$746,B1228,'Base bordo'!F$2:F$746,"AGUARDANDO TRANSBORDO"),0)</f>
        <v>0</v>
      </c>
      <c r="I1228" s="10">
        <f>IFERROR(SUMIFS('Base bordo'!G$2:G$746,'Base bordo'!C$2:C$746,A1228,'Base bordo'!B$2:B$746,B1228,'Base bordo'!F$2:F$746,"PÁTIO INTERNO"),0)+IFERROR(SUMIFS('Base bordo'!G$2:G$746,'Base bordo'!C$2:C$746,A1228,'Base bordo'!B$2:B$746,B1228,'Base bordo'!F$2:F$746,"PÁTIO EXTERNO"),0)+IFERROR(SUMIFS('Base bordo'!G$2:G$746,'Base bordo'!C$2:C$746,A1228,'Base bordo'!B$2:B$746,B1228,'Base bordo'!F$2:F$746,"PATIO - RESERVA"),0)+IFERROR(SUMIFS('Base bordo'!G$2:G$746,'Base bordo'!C$2:C$746,A1228,'Base bordo'!B$2:B$746,B1228,'Base bordo'!F$2:F$746,"MANOBRA CARRETAS-PATIO"),0)</f>
        <v>6.987222222222222</v>
      </c>
      <c r="J1228" s="10">
        <f>IFERROR(SUMIFS('Base bordo'!G$2:G$746,'Base bordo'!C$2:C$746,A1228,'Base bordo'!B$2:B$746,B1228,'Base bordo'!F$2:F$746,"BALANÇA - ENTRADA"),0)+IFERROR(SUMIFS('Base bordo'!G$2:G$746,'Base bordo'!C$2:C$746,A1228,'Base bordo'!B$2:B$746,B1228,'Base bordo'!F$2:F$746,"BALANÇA - SAÍDA"),0)</f>
        <v>0.10888888888888888</v>
      </c>
      <c r="K1228" s="10">
        <f>IFERROR(SUMIFS('Base bordo'!G$2:G$746,'Base bordo'!C$2:C$746,A1228,'Base bordo'!B$2:B$746,B1228,'Base bordo'!F$2:F$746,"MAN PREVENTIVA - MECANICA"),0)+IFERROR(SUMIFS('Base bordo'!G$2:G$746,'Base bordo'!C$2:C$746,A1228,'Base bordo'!B$2:B$746,B1228,'Base bordo'!F$2:F$746,"MAN CORRETIVA - MECANICA"),0)</f>
        <v>0</v>
      </c>
      <c r="L1228" s="10">
        <f>IFERROR(SUMIFS('Base bordo'!G$2:G$746,'Base bordo'!C$2:C$746,A1228,'Base bordo'!B$2:B$746,B1228,'Base bordo'!F$2:F$746,"MANUTENCAO - T O"),0)+IFERROR(SUMIFS('Base bordo'!G$2:G$746,'Base bordo'!C$2:C$746,A1228,'Base bordo'!B$2:B$746,B1228,'Base bordo'!F$2:F$746,"MANUTENCAO BORRACHARIA"),0)+IFERROR(SUMIFS('Base bordo'!G$2:G$746,'Base bordo'!C$2:C$746,A1228,'Base bordo'!B$2:B$746,B1228,'Base bordo'!F$2:F$746,"MANUTENCAO EXTERNA  CONCESSIONARIA"),0)+IFERROR(SUMIFS('Base bordo'!G$2:G$746,'Base bordo'!C$2:C$746,A1228,'Base bordo'!B$2:B$746,B1228,'Base bordo'!F$2:F$746,"MANUTENCAO TELEMETRIA"),0)</f>
        <v>0</v>
      </c>
      <c r="M1228" s="10">
        <f>IFERROR(SUMIFS('Base bordo'!G$2:G$746,'Base bordo'!C$2:C$746,A1228,'Base bordo'!B$2:B$746,B1228,'Base bordo'!F$2:F$746,"AGUARDANDO MANUTENCAO"),0)</f>
        <v>0</v>
      </c>
      <c r="N1228" s="10">
        <f>IFERROR(SUMIFS('Base bordo'!G$2:G$746,'Base bordo'!C$2:C$746,A1228,'Base bordo'!B$2:B$746,B1228,'Base bordo'!F$2:F$746,"SEM APONTAMENTO"),0)</f>
        <v>0</v>
      </c>
      <c r="O1228" s="10">
        <f t="shared" si="120"/>
        <v>1.7763568394002505E-15</v>
      </c>
      <c r="P1228" s="10">
        <f>IFERROR(SUMIFS('Base bordo'!G$2:G$746,'Base bordo'!C$2:C$746,A1228,'Base bordo'!B$2:B$746,B1228),0)</f>
        <v>10.809166666666668</v>
      </c>
      <c r="Q1228" s="10">
        <f>IFERROR(SUMIFS('Base bordo'!H$2:H$746,'Base bordo'!C$2:C$746,A1228,'Base bordo'!B$2:B$746,B1228,'Base bordo'!F$2:F$746,"DESLOCAMENTO VAZIO"),0)</f>
        <v>279312.71000000002</v>
      </c>
      <c r="R1228" s="10">
        <f>IFERROR(SUMIFS('Base bordo'!I$2:I$746,'Base bordo'!C$2:C$746,A1228,'Base bordo'!B$2:B$746,B1228,'Base bordo'!F$2:F$746,"DESLOCAMENTO VAZIO"),0)</f>
        <v>8670</v>
      </c>
      <c r="S1228" s="30">
        <f t="shared" si="121"/>
        <v>32.215998846597465</v>
      </c>
      <c r="T1228" s="10">
        <f>IFERROR(SUMIFS('Base bordo'!H$2:H$746,'Base bordo'!C$2:C$746,A1228,'Base bordo'!B$2:B$746,B1228,'Base bordo'!F$2:F$746,"DESLOCAMENTO CARREGADO"),0)</f>
        <v>82241.990000000005</v>
      </c>
      <c r="U1228" s="10">
        <f>IFERROR(SUMIFS('Base bordo'!I$2:I$746,'Base bordo'!C$2:C$746,A1228,'Base bordo'!B$2:B$746,B1228,'Base bordo'!F$2:F$746,"DESLOCAMENTO CARREGADO"),0)</f>
        <v>4697</v>
      </c>
      <c r="V1228" s="30">
        <f t="shared" si="122"/>
        <v>17.50947200340643</v>
      </c>
      <c r="W1228" s="9">
        <f t="shared" si="123"/>
        <v>0.22280471821756223</v>
      </c>
      <c r="X1228" s="9">
        <f t="shared" si="124"/>
        <v>0.12070516279906456</v>
      </c>
      <c r="Y1228" s="9">
        <f t="shared" si="125"/>
        <v>0.65649011898337317</v>
      </c>
    </row>
    <row r="1229" spans="1:25" ht="15" customHeight="1" x14ac:dyDescent="0.35">
      <c r="A1229" s="52">
        <v>8013469</v>
      </c>
      <c r="B1229" s="51">
        <v>46124</v>
      </c>
      <c r="C1229" s="7" t="s">
        <v>124</v>
      </c>
      <c r="D1229" s="10">
        <f>IFERROR(SUMIFS('Base bordo'!G$2:G$746,'Base bordo'!C$2:C$746,A1229,'Base bordo'!B$2:B$746,B1229,'Base bordo'!F$2:F$746,"DESLOCAMENTO VAZIO"),0)</f>
        <v>2.4083333333333332</v>
      </c>
      <c r="E1229" s="10">
        <f>IFERROR(SUMIFS('Base bordo'!G$2:G$746,'Base bordo'!C$2:C$746,A1229,'Base bordo'!B$2:B$746,B1229,'Base bordo'!F$2:F$746,"DESLOCAMENTO CARREGADO"),0)</f>
        <v>1.3047222222222221</v>
      </c>
      <c r="F1229" s="10">
        <f>IFERROR(SUMIFS('Base bordo'!G$2:G$746,'Base bordo'!C$2:C$746,A1229,'Base bordo'!B$2:B$746,B1229,'Base bordo'!F$2:F$746,"DESLOCAMENTO"),0)</f>
        <v>0</v>
      </c>
      <c r="G1229" s="10">
        <f>IFERROR(SUMIFS('Base bordo'!G$2:G$746,'Base bordo'!C$2:C$746,A1229,'Base bordo'!B$2:B$746,B1229,'Base bordo'!F$2:F$746,"CARREGAMENTO"),0)</f>
        <v>0</v>
      </c>
      <c r="H1229" s="10">
        <f>IFERROR(SUMIFS('Base bordo'!G$2:G$746,'Base bordo'!C$2:C$746,A1229,'Base bordo'!B$2:B$746,B1229,'Base bordo'!F$2:F$746,"AGUARDANDO TRANSBORDO"),0)</f>
        <v>0</v>
      </c>
      <c r="I1229" s="10">
        <f>IFERROR(SUMIFS('Base bordo'!G$2:G$746,'Base bordo'!C$2:C$746,A1229,'Base bordo'!B$2:B$746,B1229,'Base bordo'!F$2:F$746,"PÁTIO INTERNO"),0)+IFERROR(SUMIFS('Base bordo'!G$2:G$746,'Base bordo'!C$2:C$746,A1229,'Base bordo'!B$2:B$746,B1229,'Base bordo'!F$2:F$746,"PÁTIO EXTERNO"),0)+IFERROR(SUMIFS('Base bordo'!G$2:G$746,'Base bordo'!C$2:C$746,A1229,'Base bordo'!B$2:B$746,B1229,'Base bordo'!F$2:F$746,"PATIO - RESERVA"),0)+IFERROR(SUMIFS('Base bordo'!G$2:G$746,'Base bordo'!C$2:C$746,A1229,'Base bordo'!B$2:B$746,B1229,'Base bordo'!F$2:F$746,"MANOBRA CARRETAS-PATIO"),0)</f>
        <v>6.987222222222222</v>
      </c>
      <c r="J1229" s="10">
        <f>IFERROR(SUMIFS('Base bordo'!G$2:G$746,'Base bordo'!C$2:C$746,A1229,'Base bordo'!B$2:B$746,B1229,'Base bordo'!F$2:F$746,"BALANÇA - ENTRADA"),0)+IFERROR(SUMIFS('Base bordo'!G$2:G$746,'Base bordo'!C$2:C$746,A1229,'Base bordo'!B$2:B$746,B1229,'Base bordo'!F$2:F$746,"BALANÇA - SAÍDA"),0)</f>
        <v>0.10888888888888888</v>
      </c>
      <c r="K1229" s="10">
        <f>IFERROR(SUMIFS('Base bordo'!G$2:G$746,'Base bordo'!C$2:C$746,A1229,'Base bordo'!B$2:B$746,B1229,'Base bordo'!F$2:F$746,"MAN PREVENTIVA - MECANICA"),0)+IFERROR(SUMIFS('Base bordo'!G$2:G$746,'Base bordo'!C$2:C$746,A1229,'Base bordo'!B$2:B$746,B1229,'Base bordo'!F$2:F$746,"MAN CORRETIVA - MECANICA"),0)</f>
        <v>0</v>
      </c>
      <c r="L1229" s="10">
        <f>IFERROR(SUMIFS('Base bordo'!G$2:G$746,'Base bordo'!C$2:C$746,A1229,'Base bordo'!B$2:B$746,B1229,'Base bordo'!F$2:F$746,"MANUTENCAO - T O"),0)+IFERROR(SUMIFS('Base bordo'!G$2:G$746,'Base bordo'!C$2:C$746,A1229,'Base bordo'!B$2:B$746,B1229,'Base bordo'!F$2:F$746,"MANUTENCAO BORRACHARIA"),0)+IFERROR(SUMIFS('Base bordo'!G$2:G$746,'Base bordo'!C$2:C$746,A1229,'Base bordo'!B$2:B$746,B1229,'Base bordo'!F$2:F$746,"MANUTENCAO EXTERNA  CONCESSIONARIA"),0)+IFERROR(SUMIFS('Base bordo'!G$2:G$746,'Base bordo'!C$2:C$746,A1229,'Base bordo'!B$2:B$746,B1229,'Base bordo'!F$2:F$746,"MANUTENCAO TELEMETRIA"),0)</f>
        <v>0</v>
      </c>
      <c r="M1229" s="10">
        <f>IFERROR(SUMIFS('Base bordo'!G$2:G$746,'Base bordo'!C$2:C$746,A1229,'Base bordo'!B$2:B$746,B1229,'Base bordo'!F$2:F$746,"AGUARDANDO MANUTENCAO"),0)</f>
        <v>0</v>
      </c>
      <c r="N1229" s="10">
        <f>IFERROR(SUMIFS('Base bordo'!G$2:G$746,'Base bordo'!C$2:C$746,A1229,'Base bordo'!B$2:B$746,B1229,'Base bordo'!F$2:F$746,"SEM APONTAMENTO"),0)</f>
        <v>0</v>
      </c>
      <c r="O1229" s="10">
        <f t="shared" si="120"/>
        <v>1.7763568394002505E-15</v>
      </c>
      <c r="P1229" s="10">
        <f>IFERROR(SUMIFS('Base bordo'!G$2:G$746,'Base bordo'!C$2:C$746,A1229,'Base bordo'!B$2:B$746,B1229),0)</f>
        <v>10.809166666666668</v>
      </c>
      <c r="Q1229" s="10">
        <f>IFERROR(SUMIFS('Base bordo'!H$2:H$746,'Base bordo'!C$2:C$746,A1229,'Base bordo'!B$2:B$746,B1229,'Base bordo'!F$2:F$746,"DESLOCAMENTO VAZIO"),0)</f>
        <v>279312.71000000002</v>
      </c>
      <c r="R1229" s="10">
        <f>IFERROR(SUMIFS('Base bordo'!I$2:I$746,'Base bordo'!C$2:C$746,A1229,'Base bordo'!B$2:B$746,B1229,'Base bordo'!F$2:F$746,"DESLOCAMENTO VAZIO"),0)</f>
        <v>8670</v>
      </c>
      <c r="S1229" s="30">
        <f t="shared" si="121"/>
        <v>32.215998846597465</v>
      </c>
      <c r="T1229" s="10">
        <f>IFERROR(SUMIFS('Base bordo'!H$2:H$746,'Base bordo'!C$2:C$746,A1229,'Base bordo'!B$2:B$746,B1229,'Base bordo'!F$2:F$746,"DESLOCAMENTO CARREGADO"),0)</f>
        <v>82241.990000000005</v>
      </c>
      <c r="U1229" s="10">
        <f>IFERROR(SUMIFS('Base bordo'!I$2:I$746,'Base bordo'!C$2:C$746,A1229,'Base bordo'!B$2:B$746,B1229,'Base bordo'!F$2:F$746,"DESLOCAMENTO CARREGADO"),0)</f>
        <v>4697</v>
      </c>
      <c r="V1229" s="30">
        <f t="shared" si="122"/>
        <v>17.50947200340643</v>
      </c>
      <c r="W1229" s="9">
        <f t="shared" si="123"/>
        <v>0.22280471821756223</v>
      </c>
      <c r="X1229" s="9">
        <f t="shared" si="124"/>
        <v>0.12070516279906456</v>
      </c>
      <c r="Y1229" s="9">
        <f t="shared" si="125"/>
        <v>0.65649011898337317</v>
      </c>
    </row>
    <row r="1230" spans="1:25" ht="15" customHeight="1" x14ac:dyDescent="0.35">
      <c r="A1230" s="52">
        <v>8013469</v>
      </c>
      <c r="B1230" s="51">
        <v>46124</v>
      </c>
      <c r="C1230" s="7" t="s">
        <v>124</v>
      </c>
      <c r="D1230" s="10">
        <f>IFERROR(SUMIFS('Base bordo'!G$2:G$746,'Base bordo'!C$2:C$746,A1230,'Base bordo'!B$2:B$746,B1230,'Base bordo'!F$2:F$746,"DESLOCAMENTO VAZIO"),0)</f>
        <v>2.4083333333333332</v>
      </c>
      <c r="E1230" s="10">
        <f>IFERROR(SUMIFS('Base bordo'!G$2:G$746,'Base bordo'!C$2:C$746,A1230,'Base bordo'!B$2:B$746,B1230,'Base bordo'!F$2:F$746,"DESLOCAMENTO CARREGADO"),0)</f>
        <v>1.3047222222222221</v>
      </c>
      <c r="F1230" s="10">
        <f>IFERROR(SUMIFS('Base bordo'!G$2:G$746,'Base bordo'!C$2:C$746,A1230,'Base bordo'!B$2:B$746,B1230,'Base bordo'!F$2:F$746,"DESLOCAMENTO"),0)</f>
        <v>0</v>
      </c>
      <c r="G1230" s="10">
        <f>IFERROR(SUMIFS('Base bordo'!G$2:G$746,'Base bordo'!C$2:C$746,A1230,'Base bordo'!B$2:B$746,B1230,'Base bordo'!F$2:F$746,"CARREGAMENTO"),0)</f>
        <v>0</v>
      </c>
      <c r="H1230" s="10">
        <f>IFERROR(SUMIFS('Base bordo'!G$2:G$746,'Base bordo'!C$2:C$746,A1230,'Base bordo'!B$2:B$746,B1230,'Base bordo'!F$2:F$746,"AGUARDANDO TRANSBORDO"),0)</f>
        <v>0</v>
      </c>
      <c r="I1230" s="10">
        <f>IFERROR(SUMIFS('Base bordo'!G$2:G$746,'Base bordo'!C$2:C$746,A1230,'Base bordo'!B$2:B$746,B1230,'Base bordo'!F$2:F$746,"PÁTIO INTERNO"),0)+IFERROR(SUMIFS('Base bordo'!G$2:G$746,'Base bordo'!C$2:C$746,A1230,'Base bordo'!B$2:B$746,B1230,'Base bordo'!F$2:F$746,"PÁTIO EXTERNO"),0)+IFERROR(SUMIFS('Base bordo'!G$2:G$746,'Base bordo'!C$2:C$746,A1230,'Base bordo'!B$2:B$746,B1230,'Base bordo'!F$2:F$746,"PATIO - RESERVA"),0)+IFERROR(SUMIFS('Base bordo'!G$2:G$746,'Base bordo'!C$2:C$746,A1230,'Base bordo'!B$2:B$746,B1230,'Base bordo'!F$2:F$746,"MANOBRA CARRETAS-PATIO"),0)</f>
        <v>6.987222222222222</v>
      </c>
      <c r="J1230" s="10">
        <f>IFERROR(SUMIFS('Base bordo'!G$2:G$746,'Base bordo'!C$2:C$746,A1230,'Base bordo'!B$2:B$746,B1230,'Base bordo'!F$2:F$746,"BALANÇA - ENTRADA"),0)+IFERROR(SUMIFS('Base bordo'!G$2:G$746,'Base bordo'!C$2:C$746,A1230,'Base bordo'!B$2:B$746,B1230,'Base bordo'!F$2:F$746,"BALANÇA - SAÍDA"),0)</f>
        <v>0.10888888888888888</v>
      </c>
      <c r="K1230" s="10">
        <f>IFERROR(SUMIFS('Base bordo'!G$2:G$746,'Base bordo'!C$2:C$746,A1230,'Base bordo'!B$2:B$746,B1230,'Base bordo'!F$2:F$746,"MAN PREVENTIVA - MECANICA"),0)+IFERROR(SUMIFS('Base bordo'!G$2:G$746,'Base bordo'!C$2:C$746,A1230,'Base bordo'!B$2:B$746,B1230,'Base bordo'!F$2:F$746,"MAN CORRETIVA - MECANICA"),0)</f>
        <v>0</v>
      </c>
      <c r="L1230" s="10">
        <f>IFERROR(SUMIFS('Base bordo'!G$2:G$746,'Base bordo'!C$2:C$746,A1230,'Base bordo'!B$2:B$746,B1230,'Base bordo'!F$2:F$746,"MANUTENCAO - T O"),0)+IFERROR(SUMIFS('Base bordo'!G$2:G$746,'Base bordo'!C$2:C$746,A1230,'Base bordo'!B$2:B$746,B1230,'Base bordo'!F$2:F$746,"MANUTENCAO BORRACHARIA"),0)+IFERROR(SUMIFS('Base bordo'!G$2:G$746,'Base bordo'!C$2:C$746,A1230,'Base bordo'!B$2:B$746,B1230,'Base bordo'!F$2:F$746,"MANUTENCAO EXTERNA  CONCESSIONARIA"),0)+IFERROR(SUMIFS('Base bordo'!G$2:G$746,'Base bordo'!C$2:C$746,A1230,'Base bordo'!B$2:B$746,B1230,'Base bordo'!F$2:F$746,"MANUTENCAO TELEMETRIA"),0)</f>
        <v>0</v>
      </c>
      <c r="M1230" s="10">
        <f>IFERROR(SUMIFS('Base bordo'!G$2:G$746,'Base bordo'!C$2:C$746,A1230,'Base bordo'!B$2:B$746,B1230,'Base bordo'!F$2:F$746,"AGUARDANDO MANUTENCAO"),0)</f>
        <v>0</v>
      </c>
      <c r="N1230" s="10">
        <f>IFERROR(SUMIFS('Base bordo'!G$2:G$746,'Base bordo'!C$2:C$746,A1230,'Base bordo'!B$2:B$746,B1230,'Base bordo'!F$2:F$746,"SEM APONTAMENTO"),0)</f>
        <v>0</v>
      </c>
      <c r="O1230" s="10">
        <f t="shared" si="120"/>
        <v>1.7763568394002505E-15</v>
      </c>
      <c r="P1230" s="10">
        <f>IFERROR(SUMIFS('Base bordo'!G$2:G$746,'Base bordo'!C$2:C$746,A1230,'Base bordo'!B$2:B$746,B1230),0)</f>
        <v>10.809166666666668</v>
      </c>
      <c r="Q1230" s="10">
        <f>IFERROR(SUMIFS('Base bordo'!H$2:H$746,'Base bordo'!C$2:C$746,A1230,'Base bordo'!B$2:B$746,B1230,'Base bordo'!F$2:F$746,"DESLOCAMENTO VAZIO"),0)</f>
        <v>279312.71000000002</v>
      </c>
      <c r="R1230" s="10">
        <f>IFERROR(SUMIFS('Base bordo'!I$2:I$746,'Base bordo'!C$2:C$746,A1230,'Base bordo'!B$2:B$746,B1230,'Base bordo'!F$2:F$746,"DESLOCAMENTO VAZIO"),0)</f>
        <v>8670</v>
      </c>
      <c r="S1230" s="30">
        <f t="shared" si="121"/>
        <v>32.215998846597465</v>
      </c>
      <c r="T1230" s="10">
        <f>IFERROR(SUMIFS('Base bordo'!H$2:H$746,'Base bordo'!C$2:C$746,A1230,'Base bordo'!B$2:B$746,B1230,'Base bordo'!F$2:F$746,"DESLOCAMENTO CARREGADO"),0)</f>
        <v>82241.990000000005</v>
      </c>
      <c r="U1230" s="10">
        <f>IFERROR(SUMIFS('Base bordo'!I$2:I$746,'Base bordo'!C$2:C$746,A1230,'Base bordo'!B$2:B$746,B1230,'Base bordo'!F$2:F$746,"DESLOCAMENTO CARREGADO"),0)</f>
        <v>4697</v>
      </c>
      <c r="V1230" s="30">
        <f t="shared" si="122"/>
        <v>17.50947200340643</v>
      </c>
      <c r="W1230" s="9">
        <f t="shared" si="123"/>
        <v>0.22280471821756223</v>
      </c>
      <c r="X1230" s="9">
        <f t="shared" si="124"/>
        <v>0.12070516279906456</v>
      </c>
      <c r="Y1230" s="9">
        <f t="shared" si="125"/>
        <v>0.65649011898337317</v>
      </c>
    </row>
    <row r="1231" spans="1:25" ht="15" customHeight="1" x14ac:dyDescent="0.35">
      <c r="A1231" s="52">
        <v>8013469</v>
      </c>
      <c r="B1231" s="51">
        <v>46124</v>
      </c>
      <c r="C1231" s="7" t="s">
        <v>124</v>
      </c>
      <c r="D1231" s="10">
        <f>IFERROR(SUMIFS('Base bordo'!G$2:G$746,'Base bordo'!C$2:C$746,A1231,'Base bordo'!B$2:B$746,B1231,'Base bordo'!F$2:F$746,"DESLOCAMENTO VAZIO"),0)</f>
        <v>2.4083333333333332</v>
      </c>
      <c r="E1231" s="10">
        <f>IFERROR(SUMIFS('Base bordo'!G$2:G$746,'Base bordo'!C$2:C$746,A1231,'Base bordo'!B$2:B$746,B1231,'Base bordo'!F$2:F$746,"DESLOCAMENTO CARREGADO"),0)</f>
        <v>1.3047222222222221</v>
      </c>
      <c r="F1231" s="10">
        <f>IFERROR(SUMIFS('Base bordo'!G$2:G$746,'Base bordo'!C$2:C$746,A1231,'Base bordo'!B$2:B$746,B1231,'Base bordo'!F$2:F$746,"DESLOCAMENTO"),0)</f>
        <v>0</v>
      </c>
      <c r="G1231" s="10">
        <f>IFERROR(SUMIFS('Base bordo'!G$2:G$746,'Base bordo'!C$2:C$746,A1231,'Base bordo'!B$2:B$746,B1231,'Base bordo'!F$2:F$746,"CARREGAMENTO"),0)</f>
        <v>0</v>
      </c>
      <c r="H1231" s="10">
        <f>IFERROR(SUMIFS('Base bordo'!G$2:G$746,'Base bordo'!C$2:C$746,A1231,'Base bordo'!B$2:B$746,B1231,'Base bordo'!F$2:F$746,"AGUARDANDO TRANSBORDO"),0)</f>
        <v>0</v>
      </c>
      <c r="I1231" s="10">
        <f>IFERROR(SUMIFS('Base bordo'!G$2:G$746,'Base bordo'!C$2:C$746,A1231,'Base bordo'!B$2:B$746,B1231,'Base bordo'!F$2:F$746,"PÁTIO INTERNO"),0)+IFERROR(SUMIFS('Base bordo'!G$2:G$746,'Base bordo'!C$2:C$746,A1231,'Base bordo'!B$2:B$746,B1231,'Base bordo'!F$2:F$746,"PÁTIO EXTERNO"),0)+IFERROR(SUMIFS('Base bordo'!G$2:G$746,'Base bordo'!C$2:C$746,A1231,'Base bordo'!B$2:B$746,B1231,'Base bordo'!F$2:F$746,"PATIO - RESERVA"),0)+IFERROR(SUMIFS('Base bordo'!G$2:G$746,'Base bordo'!C$2:C$746,A1231,'Base bordo'!B$2:B$746,B1231,'Base bordo'!F$2:F$746,"MANOBRA CARRETAS-PATIO"),0)</f>
        <v>6.987222222222222</v>
      </c>
      <c r="J1231" s="10">
        <f>IFERROR(SUMIFS('Base bordo'!G$2:G$746,'Base bordo'!C$2:C$746,A1231,'Base bordo'!B$2:B$746,B1231,'Base bordo'!F$2:F$746,"BALANÇA - ENTRADA"),0)+IFERROR(SUMIFS('Base bordo'!G$2:G$746,'Base bordo'!C$2:C$746,A1231,'Base bordo'!B$2:B$746,B1231,'Base bordo'!F$2:F$746,"BALANÇA - SAÍDA"),0)</f>
        <v>0.10888888888888888</v>
      </c>
      <c r="K1231" s="10">
        <f>IFERROR(SUMIFS('Base bordo'!G$2:G$746,'Base bordo'!C$2:C$746,A1231,'Base bordo'!B$2:B$746,B1231,'Base bordo'!F$2:F$746,"MAN PREVENTIVA - MECANICA"),0)+IFERROR(SUMIFS('Base bordo'!G$2:G$746,'Base bordo'!C$2:C$746,A1231,'Base bordo'!B$2:B$746,B1231,'Base bordo'!F$2:F$746,"MAN CORRETIVA - MECANICA"),0)</f>
        <v>0</v>
      </c>
      <c r="L1231" s="10">
        <f>IFERROR(SUMIFS('Base bordo'!G$2:G$746,'Base bordo'!C$2:C$746,A1231,'Base bordo'!B$2:B$746,B1231,'Base bordo'!F$2:F$746,"MANUTENCAO - T O"),0)+IFERROR(SUMIFS('Base bordo'!G$2:G$746,'Base bordo'!C$2:C$746,A1231,'Base bordo'!B$2:B$746,B1231,'Base bordo'!F$2:F$746,"MANUTENCAO BORRACHARIA"),0)+IFERROR(SUMIFS('Base bordo'!G$2:G$746,'Base bordo'!C$2:C$746,A1231,'Base bordo'!B$2:B$746,B1231,'Base bordo'!F$2:F$746,"MANUTENCAO EXTERNA  CONCESSIONARIA"),0)+IFERROR(SUMIFS('Base bordo'!G$2:G$746,'Base bordo'!C$2:C$746,A1231,'Base bordo'!B$2:B$746,B1231,'Base bordo'!F$2:F$746,"MANUTENCAO TELEMETRIA"),0)</f>
        <v>0</v>
      </c>
      <c r="M1231" s="10">
        <f>IFERROR(SUMIFS('Base bordo'!G$2:G$746,'Base bordo'!C$2:C$746,A1231,'Base bordo'!B$2:B$746,B1231,'Base bordo'!F$2:F$746,"AGUARDANDO MANUTENCAO"),0)</f>
        <v>0</v>
      </c>
      <c r="N1231" s="10">
        <f>IFERROR(SUMIFS('Base bordo'!G$2:G$746,'Base bordo'!C$2:C$746,A1231,'Base bordo'!B$2:B$746,B1231,'Base bordo'!F$2:F$746,"SEM APONTAMENTO"),0)</f>
        <v>0</v>
      </c>
      <c r="O1231" s="10">
        <f t="shared" ref="O1231:O1294" si="126">IFERROR(P1231-SUM(D1231:N1231),0)</f>
        <v>1.7763568394002505E-15</v>
      </c>
      <c r="P1231" s="10">
        <f>IFERROR(SUMIFS('Base bordo'!G$2:G$746,'Base bordo'!C$2:C$746,A1231,'Base bordo'!B$2:B$746,B1231),0)</f>
        <v>10.809166666666668</v>
      </c>
      <c r="Q1231" s="10">
        <f>IFERROR(SUMIFS('Base bordo'!H$2:H$746,'Base bordo'!C$2:C$746,A1231,'Base bordo'!B$2:B$746,B1231,'Base bordo'!F$2:F$746,"DESLOCAMENTO VAZIO"),0)</f>
        <v>279312.71000000002</v>
      </c>
      <c r="R1231" s="10">
        <f>IFERROR(SUMIFS('Base bordo'!I$2:I$746,'Base bordo'!C$2:C$746,A1231,'Base bordo'!B$2:B$746,B1231,'Base bordo'!F$2:F$746,"DESLOCAMENTO VAZIO"),0)</f>
        <v>8670</v>
      </c>
      <c r="S1231" s="30">
        <f t="shared" ref="S1231:S1294" si="127">IFERROR(Q1231/R1231,"")</f>
        <v>32.215998846597465</v>
      </c>
      <c r="T1231" s="10">
        <f>IFERROR(SUMIFS('Base bordo'!H$2:H$746,'Base bordo'!C$2:C$746,A1231,'Base bordo'!B$2:B$746,B1231,'Base bordo'!F$2:F$746,"DESLOCAMENTO CARREGADO"),0)</f>
        <v>82241.990000000005</v>
      </c>
      <c r="U1231" s="10">
        <f>IFERROR(SUMIFS('Base bordo'!I$2:I$746,'Base bordo'!C$2:C$746,A1231,'Base bordo'!B$2:B$746,B1231,'Base bordo'!F$2:F$746,"DESLOCAMENTO CARREGADO"),0)</f>
        <v>4697</v>
      </c>
      <c r="V1231" s="30">
        <f t="shared" ref="V1231:V1294" si="128">IFERROR(T1231/U1231,"")</f>
        <v>17.50947200340643</v>
      </c>
      <c r="W1231" s="9">
        <f t="shared" ref="W1231:W1294" si="129">IFERROR(D1231/P1231,0)</f>
        <v>0.22280471821756223</v>
      </c>
      <c r="X1231" s="9">
        <f t="shared" ref="X1231:X1294" si="130">IFERROR(E1231/P1231,0)</f>
        <v>0.12070516279906456</v>
      </c>
      <c r="Y1231" s="9">
        <f t="shared" ref="Y1231:Y1294" si="131">IFERROR(1-((D1231+E1231)/P1231),0)</f>
        <v>0.65649011898337317</v>
      </c>
    </row>
    <row r="1232" spans="1:25" ht="15" customHeight="1" x14ac:dyDescent="0.35">
      <c r="A1232" s="52">
        <v>8013469</v>
      </c>
      <c r="B1232" s="51">
        <v>46124</v>
      </c>
      <c r="C1232" s="7" t="s">
        <v>124</v>
      </c>
      <c r="D1232" s="10">
        <f>IFERROR(SUMIFS('Base bordo'!G$2:G$746,'Base bordo'!C$2:C$746,A1232,'Base bordo'!B$2:B$746,B1232,'Base bordo'!F$2:F$746,"DESLOCAMENTO VAZIO"),0)</f>
        <v>2.4083333333333332</v>
      </c>
      <c r="E1232" s="10">
        <f>IFERROR(SUMIFS('Base bordo'!G$2:G$746,'Base bordo'!C$2:C$746,A1232,'Base bordo'!B$2:B$746,B1232,'Base bordo'!F$2:F$746,"DESLOCAMENTO CARREGADO"),0)</f>
        <v>1.3047222222222221</v>
      </c>
      <c r="F1232" s="10">
        <f>IFERROR(SUMIFS('Base bordo'!G$2:G$746,'Base bordo'!C$2:C$746,A1232,'Base bordo'!B$2:B$746,B1232,'Base bordo'!F$2:F$746,"DESLOCAMENTO"),0)</f>
        <v>0</v>
      </c>
      <c r="G1232" s="10">
        <f>IFERROR(SUMIFS('Base bordo'!G$2:G$746,'Base bordo'!C$2:C$746,A1232,'Base bordo'!B$2:B$746,B1232,'Base bordo'!F$2:F$746,"CARREGAMENTO"),0)</f>
        <v>0</v>
      </c>
      <c r="H1232" s="10">
        <f>IFERROR(SUMIFS('Base bordo'!G$2:G$746,'Base bordo'!C$2:C$746,A1232,'Base bordo'!B$2:B$746,B1232,'Base bordo'!F$2:F$746,"AGUARDANDO TRANSBORDO"),0)</f>
        <v>0</v>
      </c>
      <c r="I1232" s="10">
        <f>IFERROR(SUMIFS('Base bordo'!G$2:G$746,'Base bordo'!C$2:C$746,A1232,'Base bordo'!B$2:B$746,B1232,'Base bordo'!F$2:F$746,"PÁTIO INTERNO"),0)+IFERROR(SUMIFS('Base bordo'!G$2:G$746,'Base bordo'!C$2:C$746,A1232,'Base bordo'!B$2:B$746,B1232,'Base bordo'!F$2:F$746,"PÁTIO EXTERNO"),0)+IFERROR(SUMIFS('Base bordo'!G$2:G$746,'Base bordo'!C$2:C$746,A1232,'Base bordo'!B$2:B$746,B1232,'Base bordo'!F$2:F$746,"PATIO - RESERVA"),0)+IFERROR(SUMIFS('Base bordo'!G$2:G$746,'Base bordo'!C$2:C$746,A1232,'Base bordo'!B$2:B$746,B1232,'Base bordo'!F$2:F$746,"MANOBRA CARRETAS-PATIO"),0)</f>
        <v>6.987222222222222</v>
      </c>
      <c r="J1232" s="10">
        <f>IFERROR(SUMIFS('Base bordo'!G$2:G$746,'Base bordo'!C$2:C$746,A1232,'Base bordo'!B$2:B$746,B1232,'Base bordo'!F$2:F$746,"BALANÇA - ENTRADA"),0)+IFERROR(SUMIFS('Base bordo'!G$2:G$746,'Base bordo'!C$2:C$746,A1232,'Base bordo'!B$2:B$746,B1232,'Base bordo'!F$2:F$746,"BALANÇA - SAÍDA"),0)</f>
        <v>0.10888888888888888</v>
      </c>
      <c r="K1232" s="10">
        <f>IFERROR(SUMIFS('Base bordo'!G$2:G$746,'Base bordo'!C$2:C$746,A1232,'Base bordo'!B$2:B$746,B1232,'Base bordo'!F$2:F$746,"MAN PREVENTIVA - MECANICA"),0)+IFERROR(SUMIFS('Base bordo'!G$2:G$746,'Base bordo'!C$2:C$746,A1232,'Base bordo'!B$2:B$746,B1232,'Base bordo'!F$2:F$746,"MAN CORRETIVA - MECANICA"),0)</f>
        <v>0</v>
      </c>
      <c r="L1232" s="10">
        <f>IFERROR(SUMIFS('Base bordo'!G$2:G$746,'Base bordo'!C$2:C$746,A1232,'Base bordo'!B$2:B$746,B1232,'Base bordo'!F$2:F$746,"MANUTENCAO - T O"),0)+IFERROR(SUMIFS('Base bordo'!G$2:G$746,'Base bordo'!C$2:C$746,A1232,'Base bordo'!B$2:B$746,B1232,'Base bordo'!F$2:F$746,"MANUTENCAO BORRACHARIA"),0)+IFERROR(SUMIFS('Base bordo'!G$2:G$746,'Base bordo'!C$2:C$746,A1232,'Base bordo'!B$2:B$746,B1232,'Base bordo'!F$2:F$746,"MANUTENCAO EXTERNA  CONCESSIONARIA"),0)+IFERROR(SUMIFS('Base bordo'!G$2:G$746,'Base bordo'!C$2:C$746,A1232,'Base bordo'!B$2:B$746,B1232,'Base bordo'!F$2:F$746,"MANUTENCAO TELEMETRIA"),0)</f>
        <v>0</v>
      </c>
      <c r="M1232" s="10">
        <f>IFERROR(SUMIFS('Base bordo'!G$2:G$746,'Base bordo'!C$2:C$746,A1232,'Base bordo'!B$2:B$746,B1232,'Base bordo'!F$2:F$746,"AGUARDANDO MANUTENCAO"),0)</f>
        <v>0</v>
      </c>
      <c r="N1232" s="10">
        <f>IFERROR(SUMIFS('Base bordo'!G$2:G$746,'Base bordo'!C$2:C$746,A1232,'Base bordo'!B$2:B$746,B1232,'Base bordo'!F$2:F$746,"SEM APONTAMENTO"),0)</f>
        <v>0</v>
      </c>
      <c r="O1232" s="10">
        <f t="shared" si="126"/>
        <v>1.7763568394002505E-15</v>
      </c>
      <c r="P1232" s="10">
        <f>IFERROR(SUMIFS('Base bordo'!G$2:G$746,'Base bordo'!C$2:C$746,A1232,'Base bordo'!B$2:B$746,B1232),0)</f>
        <v>10.809166666666668</v>
      </c>
      <c r="Q1232" s="10">
        <f>IFERROR(SUMIFS('Base bordo'!H$2:H$746,'Base bordo'!C$2:C$746,A1232,'Base bordo'!B$2:B$746,B1232,'Base bordo'!F$2:F$746,"DESLOCAMENTO VAZIO"),0)</f>
        <v>279312.71000000002</v>
      </c>
      <c r="R1232" s="10">
        <f>IFERROR(SUMIFS('Base bordo'!I$2:I$746,'Base bordo'!C$2:C$746,A1232,'Base bordo'!B$2:B$746,B1232,'Base bordo'!F$2:F$746,"DESLOCAMENTO VAZIO"),0)</f>
        <v>8670</v>
      </c>
      <c r="S1232" s="30">
        <f t="shared" si="127"/>
        <v>32.215998846597465</v>
      </c>
      <c r="T1232" s="10">
        <f>IFERROR(SUMIFS('Base bordo'!H$2:H$746,'Base bordo'!C$2:C$746,A1232,'Base bordo'!B$2:B$746,B1232,'Base bordo'!F$2:F$746,"DESLOCAMENTO CARREGADO"),0)</f>
        <v>82241.990000000005</v>
      </c>
      <c r="U1232" s="10">
        <f>IFERROR(SUMIFS('Base bordo'!I$2:I$746,'Base bordo'!C$2:C$746,A1232,'Base bordo'!B$2:B$746,B1232,'Base bordo'!F$2:F$746,"DESLOCAMENTO CARREGADO"),0)</f>
        <v>4697</v>
      </c>
      <c r="V1232" s="30">
        <f t="shared" si="128"/>
        <v>17.50947200340643</v>
      </c>
      <c r="W1232" s="9">
        <f t="shared" si="129"/>
        <v>0.22280471821756223</v>
      </c>
      <c r="X1232" s="9">
        <f t="shared" si="130"/>
        <v>0.12070516279906456</v>
      </c>
      <c r="Y1232" s="9">
        <f t="shared" si="131"/>
        <v>0.65649011898337317</v>
      </c>
    </row>
    <row r="1233" spans="1:25" ht="15" customHeight="1" x14ac:dyDescent="0.35">
      <c r="A1233" s="52">
        <v>8013469</v>
      </c>
      <c r="B1233" s="51">
        <v>46124</v>
      </c>
      <c r="C1233" s="7" t="s">
        <v>124</v>
      </c>
      <c r="D1233" s="10">
        <f>IFERROR(SUMIFS('Base bordo'!G$2:G$746,'Base bordo'!C$2:C$746,A1233,'Base bordo'!B$2:B$746,B1233,'Base bordo'!F$2:F$746,"DESLOCAMENTO VAZIO"),0)</f>
        <v>2.4083333333333332</v>
      </c>
      <c r="E1233" s="10">
        <f>IFERROR(SUMIFS('Base bordo'!G$2:G$746,'Base bordo'!C$2:C$746,A1233,'Base bordo'!B$2:B$746,B1233,'Base bordo'!F$2:F$746,"DESLOCAMENTO CARREGADO"),0)</f>
        <v>1.3047222222222221</v>
      </c>
      <c r="F1233" s="10">
        <f>IFERROR(SUMIFS('Base bordo'!G$2:G$746,'Base bordo'!C$2:C$746,A1233,'Base bordo'!B$2:B$746,B1233,'Base bordo'!F$2:F$746,"DESLOCAMENTO"),0)</f>
        <v>0</v>
      </c>
      <c r="G1233" s="10">
        <f>IFERROR(SUMIFS('Base bordo'!G$2:G$746,'Base bordo'!C$2:C$746,A1233,'Base bordo'!B$2:B$746,B1233,'Base bordo'!F$2:F$746,"CARREGAMENTO"),0)</f>
        <v>0</v>
      </c>
      <c r="H1233" s="10">
        <f>IFERROR(SUMIFS('Base bordo'!G$2:G$746,'Base bordo'!C$2:C$746,A1233,'Base bordo'!B$2:B$746,B1233,'Base bordo'!F$2:F$746,"AGUARDANDO TRANSBORDO"),0)</f>
        <v>0</v>
      </c>
      <c r="I1233" s="10">
        <f>IFERROR(SUMIFS('Base bordo'!G$2:G$746,'Base bordo'!C$2:C$746,A1233,'Base bordo'!B$2:B$746,B1233,'Base bordo'!F$2:F$746,"PÁTIO INTERNO"),0)+IFERROR(SUMIFS('Base bordo'!G$2:G$746,'Base bordo'!C$2:C$746,A1233,'Base bordo'!B$2:B$746,B1233,'Base bordo'!F$2:F$746,"PÁTIO EXTERNO"),0)+IFERROR(SUMIFS('Base bordo'!G$2:G$746,'Base bordo'!C$2:C$746,A1233,'Base bordo'!B$2:B$746,B1233,'Base bordo'!F$2:F$746,"PATIO - RESERVA"),0)+IFERROR(SUMIFS('Base bordo'!G$2:G$746,'Base bordo'!C$2:C$746,A1233,'Base bordo'!B$2:B$746,B1233,'Base bordo'!F$2:F$746,"MANOBRA CARRETAS-PATIO"),0)</f>
        <v>6.987222222222222</v>
      </c>
      <c r="J1233" s="10">
        <f>IFERROR(SUMIFS('Base bordo'!G$2:G$746,'Base bordo'!C$2:C$746,A1233,'Base bordo'!B$2:B$746,B1233,'Base bordo'!F$2:F$746,"BALANÇA - ENTRADA"),0)+IFERROR(SUMIFS('Base bordo'!G$2:G$746,'Base bordo'!C$2:C$746,A1233,'Base bordo'!B$2:B$746,B1233,'Base bordo'!F$2:F$746,"BALANÇA - SAÍDA"),0)</f>
        <v>0.10888888888888888</v>
      </c>
      <c r="K1233" s="10">
        <f>IFERROR(SUMIFS('Base bordo'!G$2:G$746,'Base bordo'!C$2:C$746,A1233,'Base bordo'!B$2:B$746,B1233,'Base bordo'!F$2:F$746,"MAN PREVENTIVA - MECANICA"),0)+IFERROR(SUMIFS('Base bordo'!G$2:G$746,'Base bordo'!C$2:C$746,A1233,'Base bordo'!B$2:B$746,B1233,'Base bordo'!F$2:F$746,"MAN CORRETIVA - MECANICA"),0)</f>
        <v>0</v>
      </c>
      <c r="L1233" s="10">
        <f>IFERROR(SUMIFS('Base bordo'!G$2:G$746,'Base bordo'!C$2:C$746,A1233,'Base bordo'!B$2:B$746,B1233,'Base bordo'!F$2:F$746,"MANUTENCAO - T O"),0)+IFERROR(SUMIFS('Base bordo'!G$2:G$746,'Base bordo'!C$2:C$746,A1233,'Base bordo'!B$2:B$746,B1233,'Base bordo'!F$2:F$746,"MANUTENCAO BORRACHARIA"),0)+IFERROR(SUMIFS('Base bordo'!G$2:G$746,'Base bordo'!C$2:C$746,A1233,'Base bordo'!B$2:B$746,B1233,'Base bordo'!F$2:F$746,"MANUTENCAO EXTERNA  CONCESSIONARIA"),0)+IFERROR(SUMIFS('Base bordo'!G$2:G$746,'Base bordo'!C$2:C$746,A1233,'Base bordo'!B$2:B$746,B1233,'Base bordo'!F$2:F$746,"MANUTENCAO TELEMETRIA"),0)</f>
        <v>0</v>
      </c>
      <c r="M1233" s="10">
        <f>IFERROR(SUMIFS('Base bordo'!G$2:G$746,'Base bordo'!C$2:C$746,A1233,'Base bordo'!B$2:B$746,B1233,'Base bordo'!F$2:F$746,"AGUARDANDO MANUTENCAO"),0)</f>
        <v>0</v>
      </c>
      <c r="N1233" s="10">
        <f>IFERROR(SUMIFS('Base bordo'!G$2:G$746,'Base bordo'!C$2:C$746,A1233,'Base bordo'!B$2:B$746,B1233,'Base bordo'!F$2:F$746,"SEM APONTAMENTO"),0)</f>
        <v>0</v>
      </c>
      <c r="O1233" s="10">
        <f t="shared" si="126"/>
        <v>1.7763568394002505E-15</v>
      </c>
      <c r="P1233" s="10">
        <f>IFERROR(SUMIFS('Base bordo'!G$2:G$746,'Base bordo'!C$2:C$746,A1233,'Base bordo'!B$2:B$746,B1233),0)</f>
        <v>10.809166666666668</v>
      </c>
      <c r="Q1233" s="10">
        <f>IFERROR(SUMIFS('Base bordo'!H$2:H$746,'Base bordo'!C$2:C$746,A1233,'Base bordo'!B$2:B$746,B1233,'Base bordo'!F$2:F$746,"DESLOCAMENTO VAZIO"),0)</f>
        <v>279312.71000000002</v>
      </c>
      <c r="R1233" s="10">
        <f>IFERROR(SUMIFS('Base bordo'!I$2:I$746,'Base bordo'!C$2:C$746,A1233,'Base bordo'!B$2:B$746,B1233,'Base bordo'!F$2:F$746,"DESLOCAMENTO VAZIO"),0)</f>
        <v>8670</v>
      </c>
      <c r="S1233" s="30">
        <f t="shared" si="127"/>
        <v>32.215998846597465</v>
      </c>
      <c r="T1233" s="10">
        <f>IFERROR(SUMIFS('Base bordo'!H$2:H$746,'Base bordo'!C$2:C$746,A1233,'Base bordo'!B$2:B$746,B1233,'Base bordo'!F$2:F$746,"DESLOCAMENTO CARREGADO"),0)</f>
        <v>82241.990000000005</v>
      </c>
      <c r="U1233" s="10">
        <f>IFERROR(SUMIFS('Base bordo'!I$2:I$746,'Base bordo'!C$2:C$746,A1233,'Base bordo'!B$2:B$746,B1233,'Base bordo'!F$2:F$746,"DESLOCAMENTO CARREGADO"),0)</f>
        <v>4697</v>
      </c>
      <c r="V1233" s="30">
        <f t="shared" si="128"/>
        <v>17.50947200340643</v>
      </c>
      <c r="W1233" s="9">
        <f t="shared" si="129"/>
        <v>0.22280471821756223</v>
      </c>
      <c r="X1233" s="9">
        <f t="shared" si="130"/>
        <v>0.12070516279906456</v>
      </c>
      <c r="Y1233" s="9">
        <f t="shared" si="131"/>
        <v>0.65649011898337317</v>
      </c>
    </row>
    <row r="1234" spans="1:25" ht="15" customHeight="1" x14ac:dyDescent="0.35">
      <c r="A1234" s="52">
        <v>8013469</v>
      </c>
      <c r="B1234" s="51">
        <v>46124</v>
      </c>
      <c r="C1234" s="7" t="s">
        <v>124</v>
      </c>
      <c r="D1234" s="10">
        <f>IFERROR(SUMIFS('Base bordo'!G$2:G$746,'Base bordo'!C$2:C$746,A1234,'Base bordo'!B$2:B$746,B1234,'Base bordo'!F$2:F$746,"DESLOCAMENTO VAZIO"),0)</f>
        <v>2.4083333333333332</v>
      </c>
      <c r="E1234" s="10">
        <f>IFERROR(SUMIFS('Base bordo'!G$2:G$746,'Base bordo'!C$2:C$746,A1234,'Base bordo'!B$2:B$746,B1234,'Base bordo'!F$2:F$746,"DESLOCAMENTO CARREGADO"),0)</f>
        <v>1.3047222222222221</v>
      </c>
      <c r="F1234" s="10">
        <f>IFERROR(SUMIFS('Base bordo'!G$2:G$746,'Base bordo'!C$2:C$746,A1234,'Base bordo'!B$2:B$746,B1234,'Base bordo'!F$2:F$746,"DESLOCAMENTO"),0)</f>
        <v>0</v>
      </c>
      <c r="G1234" s="10">
        <f>IFERROR(SUMIFS('Base bordo'!G$2:G$746,'Base bordo'!C$2:C$746,A1234,'Base bordo'!B$2:B$746,B1234,'Base bordo'!F$2:F$746,"CARREGAMENTO"),0)</f>
        <v>0</v>
      </c>
      <c r="H1234" s="10">
        <f>IFERROR(SUMIFS('Base bordo'!G$2:G$746,'Base bordo'!C$2:C$746,A1234,'Base bordo'!B$2:B$746,B1234,'Base bordo'!F$2:F$746,"AGUARDANDO TRANSBORDO"),0)</f>
        <v>0</v>
      </c>
      <c r="I1234" s="10">
        <f>IFERROR(SUMIFS('Base bordo'!G$2:G$746,'Base bordo'!C$2:C$746,A1234,'Base bordo'!B$2:B$746,B1234,'Base bordo'!F$2:F$746,"PÁTIO INTERNO"),0)+IFERROR(SUMIFS('Base bordo'!G$2:G$746,'Base bordo'!C$2:C$746,A1234,'Base bordo'!B$2:B$746,B1234,'Base bordo'!F$2:F$746,"PÁTIO EXTERNO"),0)+IFERROR(SUMIFS('Base bordo'!G$2:G$746,'Base bordo'!C$2:C$746,A1234,'Base bordo'!B$2:B$746,B1234,'Base bordo'!F$2:F$746,"PATIO - RESERVA"),0)+IFERROR(SUMIFS('Base bordo'!G$2:G$746,'Base bordo'!C$2:C$746,A1234,'Base bordo'!B$2:B$746,B1234,'Base bordo'!F$2:F$746,"MANOBRA CARRETAS-PATIO"),0)</f>
        <v>6.987222222222222</v>
      </c>
      <c r="J1234" s="10">
        <f>IFERROR(SUMIFS('Base bordo'!G$2:G$746,'Base bordo'!C$2:C$746,A1234,'Base bordo'!B$2:B$746,B1234,'Base bordo'!F$2:F$746,"BALANÇA - ENTRADA"),0)+IFERROR(SUMIFS('Base bordo'!G$2:G$746,'Base bordo'!C$2:C$746,A1234,'Base bordo'!B$2:B$746,B1234,'Base bordo'!F$2:F$746,"BALANÇA - SAÍDA"),0)</f>
        <v>0.10888888888888888</v>
      </c>
      <c r="K1234" s="10">
        <f>IFERROR(SUMIFS('Base bordo'!G$2:G$746,'Base bordo'!C$2:C$746,A1234,'Base bordo'!B$2:B$746,B1234,'Base bordo'!F$2:F$746,"MAN PREVENTIVA - MECANICA"),0)+IFERROR(SUMIFS('Base bordo'!G$2:G$746,'Base bordo'!C$2:C$746,A1234,'Base bordo'!B$2:B$746,B1234,'Base bordo'!F$2:F$746,"MAN CORRETIVA - MECANICA"),0)</f>
        <v>0</v>
      </c>
      <c r="L1234" s="10">
        <f>IFERROR(SUMIFS('Base bordo'!G$2:G$746,'Base bordo'!C$2:C$746,A1234,'Base bordo'!B$2:B$746,B1234,'Base bordo'!F$2:F$746,"MANUTENCAO - T O"),0)+IFERROR(SUMIFS('Base bordo'!G$2:G$746,'Base bordo'!C$2:C$746,A1234,'Base bordo'!B$2:B$746,B1234,'Base bordo'!F$2:F$746,"MANUTENCAO BORRACHARIA"),0)+IFERROR(SUMIFS('Base bordo'!G$2:G$746,'Base bordo'!C$2:C$746,A1234,'Base bordo'!B$2:B$746,B1234,'Base bordo'!F$2:F$746,"MANUTENCAO EXTERNA  CONCESSIONARIA"),0)+IFERROR(SUMIFS('Base bordo'!G$2:G$746,'Base bordo'!C$2:C$746,A1234,'Base bordo'!B$2:B$746,B1234,'Base bordo'!F$2:F$746,"MANUTENCAO TELEMETRIA"),0)</f>
        <v>0</v>
      </c>
      <c r="M1234" s="10">
        <f>IFERROR(SUMIFS('Base bordo'!G$2:G$746,'Base bordo'!C$2:C$746,A1234,'Base bordo'!B$2:B$746,B1234,'Base bordo'!F$2:F$746,"AGUARDANDO MANUTENCAO"),0)</f>
        <v>0</v>
      </c>
      <c r="N1234" s="10">
        <f>IFERROR(SUMIFS('Base bordo'!G$2:G$746,'Base bordo'!C$2:C$746,A1234,'Base bordo'!B$2:B$746,B1234,'Base bordo'!F$2:F$746,"SEM APONTAMENTO"),0)</f>
        <v>0</v>
      </c>
      <c r="O1234" s="10">
        <f t="shared" si="126"/>
        <v>1.7763568394002505E-15</v>
      </c>
      <c r="P1234" s="10">
        <f>IFERROR(SUMIFS('Base bordo'!G$2:G$746,'Base bordo'!C$2:C$746,A1234,'Base bordo'!B$2:B$746,B1234),0)</f>
        <v>10.809166666666668</v>
      </c>
      <c r="Q1234" s="10">
        <f>IFERROR(SUMIFS('Base bordo'!H$2:H$746,'Base bordo'!C$2:C$746,A1234,'Base bordo'!B$2:B$746,B1234,'Base bordo'!F$2:F$746,"DESLOCAMENTO VAZIO"),0)</f>
        <v>279312.71000000002</v>
      </c>
      <c r="R1234" s="10">
        <f>IFERROR(SUMIFS('Base bordo'!I$2:I$746,'Base bordo'!C$2:C$746,A1234,'Base bordo'!B$2:B$746,B1234,'Base bordo'!F$2:F$746,"DESLOCAMENTO VAZIO"),0)</f>
        <v>8670</v>
      </c>
      <c r="S1234" s="30">
        <f t="shared" si="127"/>
        <v>32.215998846597465</v>
      </c>
      <c r="T1234" s="10">
        <f>IFERROR(SUMIFS('Base bordo'!H$2:H$746,'Base bordo'!C$2:C$746,A1234,'Base bordo'!B$2:B$746,B1234,'Base bordo'!F$2:F$746,"DESLOCAMENTO CARREGADO"),0)</f>
        <v>82241.990000000005</v>
      </c>
      <c r="U1234" s="10">
        <f>IFERROR(SUMIFS('Base bordo'!I$2:I$746,'Base bordo'!C$2:C$746,A1234,'Base bordo'!B$2:B$746,B1234,'Base bordo'!F$2:F$746,"DESLOCAMENTO CARREGADO"),0)</f>
        <v>4697</v>
      </c>
      <c r="V1234" s="30">
        <f t="shared" si="128"/>
        <v>17.50947200340643</v>
      </c>
      <c r="W1234" s="9">
        <f t="shared" si="129"/>
        <v>0.22280471821756223</v>
      </c>
      <c r="X1234" s="9">
        <f t="shared" si="130"/>
        <v>0.12070516279906456</v>
      </c>
      <c r="Y1234" s="9">
        <f t="shared" si="131"/>
        <v>0.65649011898337317</v>
      </c>
    </row>
    <row r="1235" spans="1:25" ht="15" customHeight="1" x14ac:dyDescent="0.35">
      <c r="A1235" s="52">
        <v>8013469</v>
      </c>
      <c r="B1235" s="51">
        <v>46124</v>
      </c>
      <c r="C1235" s="7" t="s">
        <v>124</v>
      </c>
      <c r="D1235" s="10">
        <f>IFERROR(SUMIFS('Base bordo'!G$2:G$746,'Base bordo'!C$2:C$746,A1235,'Base bordo'!B$2:B$746,B1235,'Base bordo'!F$2:F$746,"DESLOCAMENTO VAZIO"),0)</f>
        <v>2.4083333333333332</v>
      </c>
      <c r="E1235" s="10">
        <f>IFERROR(SUMIFS('Base bordo'!G$2:G$746,'Base bordo'!C$2:C$746,A1235,'Base bordo'!B$2:B$746,B1235,'Base bordo'!F$2:F$746,"DESLOCAMENTO CARREGADO"),0)</f>
        <v>1.3047222222222221</v>
      </c>
      <c r="F1235" s="10">
        <f>IFERROR(SUMIFS('Base bordo'!G$2:G$746,'Base bordo'!C$2:C$746,A1235,'Base bordo'!B$2:B$746,B1235,'Base bordo'!F$2:F$746,"DESLOCAMENTO"),0)</f>
        <v>0</v>
      </c>
      <c r="G1235" s="10">
        <f>IFERROR(SUMIFS('Base bordo'!G$2:G$746,'Base bordo'!C$2:C$746,A1235,'Base bordo'!B$2:B$746,B1235,'Base bordo'!F$2:F$746,"CARREGAMENTO"),0)</f>
        <v>0</v>
      </c>
      <c r="H1235" s="10">
        <f>IFERROR(SUMIFS('Base bordo'!G$2:G$746,'Base bordo'!C$2:C$746,A1235,'Base bordo'!B$2:B$746,B1235,'Base bordo'!F$2:F$746,"AGUARDANDO TRANSBORDO"),0)</f>
        <v>0</v>
      </c>
      <c r="I1235" s="10">
        <f>IFERROR(SUMIFS('Base bordo'!G$2:G$746,'Base bordo'!C$2:C$746,A1235,'Base bordo'!B$2:B$746,B1235,'Base bordo'!F$2:F$746,"PÁTIO INTERNO"),0)+IFERROR(SUMIFS('Base bordo'!G$2:G$746,'Base bordo'!C$2:C$746,A1235,'Base bordo'!B$2:B$746,B1235,'Base bordo'!F$2:F$746,"PÁTIO EXTERNO"),0)+IFERROR(SUMIFS('Base bordo'!G$2:G$746,'Base bordo'!C$2:C$746,A1235,'Base bordo'!B$2:B$746,B1235,'Base bordo'!F$2:F$746,"PATIO - RESERVA"),0)+IFERROR(SUMIFS('Base bordo'!G$2:G$746,'Base bordo'!C$2:C$746,A1235,'Base bordo'!B$2:B$746,B1235,'Base bordo'!F$2:F$746,"MANOBRA CARRETAS-PATIO"),0)</f>
        <v>6.987222222222222</v>
      </c>
      <c r="J1235" s="10">
        <f>IFERROR(SUMIFS('Base bordo'!G$2:G$746,'Base bordo'!C$2:C$746,A1235,'Base bordo'!B$2:B$746,B1235,'Base bordo'!F$2:F$746,"BALANÇA - ENTRADA"),0)+IFERROR(SUMIFS('Base bordo'!G$2:G$746,'Base bordo'!C$2:C$746,A1235,'Base bordo'!B$2:B$746,B1235,'Base bordo'!F$2:F$746,"BALANÇA - SAÍDA"),0)</f>
        <v>0.10888888888888888</v>
      </c>
      <c r="K1235" s="10">
        <f>IFERROR(SUMIFS('Base bordo'!G$2:G$746,'Base bordo'!C$2:C$746,A1235,'Base bordo'!B$2:B$746,B1235,'Base bordo'!F$2:F$746,"MAN PREVENTIVA - MECANICA"),0)+IFERROR(SUMIFS('Base bordo'!G$2:G$746,'Base bordo'!C$2:C$746,A1235,'Base bordo'!B$2:B$746,B1235,'Base bordo'!F$2:F$746,"MAN CORRETIVA - MECANICA"),0)</f>
        <v>0</v>
      </c>
      <c r="L1235" s="10">
        <f>IFERROR(SUMIFS('Base bordo'!G$2:G$746,'Base bordo'!C$2:C$746,A1235,'Base bordo'!B$2:B$746,B1235,'Base bordo'!F$2:F$746,"MANUTENCAO - T O"),0)+IFERROR(SUMIFS('Base bordo'!G$2:G$746,'Base bordo'!C$2:C$746,A1235,'Base bordo'!B$2:B$746,B1235,'Base bordo'!F$2:F$746,"MANUTENCAO BORRACHARIA"),0)+IFERROR(SUMIFS('Base bordo'!G$2:G$746,'Base bordo'!C$2:C$746,A1235,'Base bordo'!B$2:B$746,B1235,'Base bordo'!F$2:F$746,"MANUTENCAO EXTERNA  CONCESSIONARIA"),0)+IFERROR(SUMIFS('Base bordo'!G$2:G$746,'Base bordo'!C$2:C$746,A1235,'Base bordo'!B$2:B$746,B1235,'Base bordo'!F$2:F$746,"MANUTENCAO TELEMETRIA"),0)</f>
        <v>0</v>
      </c>
      <c r="M1235" s="10">
        <f>IFERROR(SUMIFS('Base bordo'!G$2:G$746,'Base bordo'!C$2:C$746,A1235,'Base bordo'!B$2:B$746,B1235,'Base bordo'!F$2:F$746,"AGUARDANDO MANUTENCAO"),0)</f>
        <v>0</v>
      </c>
      <c r="N1235" s="10">
        <f>IFERROR(SUMIFS('Base bordo'!G$2:G$746,'Base bordo'!C$2:C$746,A1235,'Base bordo'!B$2:B$746,B1235,'Base bordo'!F$2:F$746,"SEM APONTAMENTO"),0)</f>
        <v>0</v>
      </c>
      <c r="O1235" s="10">
        <f t="shared" si="126"/>
        <v>1.7763568394002505E-15</v>
      </c>
      <c r="P1235" s="10">
        <f>IFERROR(SUMIFS('Base bordo'!G$2:G$746,'Base bordo'!C$2:C$746,A1235,'Base bordo'!B$2:B$746,B1235),0)</f>
        <v>10.809166666666668</v>
      </c>
      <c r="Q1235" s="10">
        <f>IFERROR(SUMIFS('Base bordo'!H$2:H$746,'Base bordo'!C$2:C$746,A1235,'Base bordo'!B$2:B$746,B1235,'Base bordo'!F$2:F$746,"DESLOCAMENTO VAZIO"),0)</f>
        <v>279312.71000000002</v>
      </c>
      <c r="R1235" s="10">
        <f>IFERROR(SUMIFS('Base bordo'!I$2:I$746,'Base bordo'!C$2:C$746,A1235,'Base bordo'!B$2:B$746,B1235,'Base bordo'!F$2:F$746,"DESLOCAMENTO VAZIO"),0)</f>
        <v>8670</v>
      </c>
      <c r="S1235" s="30">
        <f t="shared" si="127"/>
        <v>32.215998846597465</v>
      </c>
      <c r="T1235" s="10">
        <f>IFERROR(SUMIFS('Base bordo'!H$2:H$746,'Base bordo'!C$2:C$746,A1235,'Base bordo'!B$2:B$746,B1235,'Base bordo'!F$2:F$746,"DESLOCAMENTO CARREGADO"),0)</f>
        <v>82241.990000000005</v>
      </c>
      <c r="U1235" s="10">
        <f>IFERROR(SUMIFS('Base bordo'!I$2:I$746,'Base bordo'!C$2:C$746,A1235,'Base bordo'!B$2:B$746,B1235,'Base bordo'!F$2:F$746,"DESLOCAMENTO CARREGADO"),0)</f>
        <v>4697</v>
      </c>
      <c r="V1235" s="30">
        <f t="shared" si="128"/>
        <v>17.50947200340643</v>
      </c>
      <c r="W1235" s="9">
        <f t="shared" si="129"/>
        <v>0.22280471821756223</v>
      </c>
      <c r="X1235" s="9">
        <f t="shared" si="130"/>
        <v>0.12070516279906456</v>
      </c>
      <c r="Y1235" s="9">
        <f t="shared" si="131"/>
        <v>0.65649011898337317</v>
      </c>
    </row>
    <row r="1236" spans="1:25" ht="15" customHeight="1" x14ac:dyDescent="0.35">
      <c r="A1236" s="52">
        <v>8013469</v>
      </c>
      <c r="B1236" s="51">
        <v>46124</v>
      </c>
      <c r="C1236" s="7" t="s">
        <v>124</v>
      </c>
      <c r="D1236" s="10">
        <f>IFERROR(SUMIFS('Base bordo'!G$2:G$746,'Base bordo'!C$2:C$746,A1236,'Base bordo'!B$2:B$746,B1236,'Base bordo'!F$2:F$746,"DESLOCAMENTO VAZIO"),0)</f>
        <v>2.4083333333333332</v>
      </c>
      <c r="E1236" s="10">
        <f>IFERROR(SUMIFS('Base bordo'!G$2:G$746,'Base bordo'!C$2:C$746,A1236,'Base bordo'!B$2:B$746,B1236,'Base bordo'!F$2:F$746,"DESLOCAMENTO CARREGADO"),0)</f>
        <v>1.3047222222222221</v>
      </c>
      <c r="F1236" s="10">
        <f>IFERROR(SUMIFS('Base bordo'!G$2:G$746,'Base bordo'!C$2:C$746,A1236,'Base bordo'!B$2:B$746,B1236,'Base bordo'!F$2:F$746,"DESLOCAMENTO"),0)</f>
        <v>0</v>
      </c>
      <c r="G1236" s="10">
        <f>IFERROR(SUMIFS('Base bordo'!G$2:G$746,'Base bordo'!C$2:C$746,A1236,'Base bordo'!B$2:B$746,B1236,'Base bordo'!F$2:F$746,"CARREGAMENTO"),0)</f>
        <v>0</v>
      </c>
      <c r="H1236" s="10">
        <f>IFERROR(SUMIFS('Base bordo'!G$2:G$746,'Base bordo'!C$2:C$746,A1236,'Base bordo'!B$2:B$746,B1236,'Base bordo'!F$2:F$746,"AGUARDANDO TRANSBORDO"),0)</f>
        <v>0</v>
      </c>
      <c r="I1236" s="10">
        <f>IFERROR(SUMIFS('Base bordo'!G$2:G$746,'Base bordo'!C$2:C$746,A1236,'Base bordo'!B$2:B$746,B1236,'Base bordo'!F$2:F$746,"PÁTIO INTERNO"),0)+IFERROR(SUMIFS('Base bordo'!G$2:G$746,'Base bordo'!C$2:C$746,A1236,'Base bordo'!B$2:B$746,B1236,'Base bordo'!F$2:F$746,"PÁTIO EXTERNO"),0)+IFERROR(SUMIFS('Base bordo'!G$2:G$746,'Base bordo'!C$2:C$746,A1236,'Base bordo'!B$2:B$746,B1236,'Base bordo'!F$2:F$746,"PATIO - RESERVA"),0)+IFERROR(SUMIFS('Base bordo'!G$2:G$746,'Base bordo'!C$2:C$746,A1236,'Base bordo'!B$2:B$746,B1236,'Base bordo'!F$2:F$746,"MANOBRA CARRETAS-PATIO"),0)</f>
        <v>6.987222222222222</v>
      </c>
      <c r="J1236" s="10">
        <f>IFERROR(SUMIFS('Base bordo'!G$2:G$746,'Base bordo'!C$2:C$746,A1236,'Base bordo'!B$2:B$746,B1236,'Base bordo'!F$2:F$746,"BALANÇA - ENTRADA"),0)+IFERROR(SUMIFS('Base bordo'!G$2:G$746,'Base bordo'!C$2:C$746,A1236,'Base bordo'!B$2:B$746,B1236,'Base bordo'!F$2:F$746,"BALANÇA - SAÍDA"),0)</f>
        <v>0.10888888888888888</v>
      </c>
      <c r="K1236" s="10">
        <f>IFERROR(SUMIFS('Base bordo'!G$2:G$746,'Base bordo'!C$2:C$746,A1236,'Base bordo'!B$2:B$746,B1236,'Base bordo'!F$2:F$746,"MAN PREVENTIVA - MECANICA"),0)+IFERROR(SUMIFS('Base bordo'!G$2:G$746,'Base bordo'!C$2:C$746,A1236,'Base bordo'!B$2:B$746,B1236,'Base bordo'!F$2:F$746,"MAN CORRETIVA - MECANICA"),0)</f>
        <v>0</v>
      </c>
      <c r="L1236" s="10">
        <f>IFERROR(SUMIFS('Base bordo'!G$2:G$746,'Base bordo'!C$2:C$746,A1236,'Base bordo'!B$2:B$746,B1236,'Base bordo'!F$2:F$746,"MANUTENCAO - T O"),0)+IFERROR(SUMIFS('Base bordo'!G$2:G$746,'Base bordo'!C$2:C$746,A1236,'Base bordo'!B$2:B$746,B1236,'Base bordo'!F$2:F$746,"MANUTENCAO BORRACHARIA"),0)+IFERROR(SUMIFS('Base bordo'!G$2:G$746,'Base bordo'!C$2:C$746,A1236,'Base bordo'!B$2:B$746,B1236,'Base bordo'!F$2:F$746,"MANUTENCAO EXTERNA  CONCESSIONARIA"),0)+IFERROR(SUMIFS('Base bordo'!G$2:G$746,'Base bordo'!C$2:C$746,A1236,'Base bordo'!B$2:B$746,B1236,'Base bordo'!F$2:F$746,"MANUTENCAO TELEMETRIA"),0)</f>
        <v>0</v>
      </c>
      <c r="M1236" s="10">
        <f>IFERROR(SUMIFS('Base bordo'!G$2:G$746,'Base bordo'!C$2:C$746,A1236,'Base bordo'!B$2:B$746,B1236,'Base bordo'!F$2:F$746,"AGUARDANDO MANUTENCAO"),0)</f>
        <v>0</v>
      </c>
      <c r="N1236" s="10">
        <f>IFERROR(SUMIFS('Base bordo'!G$2:G$746,'Base bordo'!C$2:C$746,A1236,'Base bordo'!B$2:B$746,B1236,'Base bordo'!F$2:F$746,"SEM APONTAMENTO"),0)</f>
        <v>0</v>
      </c>
      <c r="O1236" s="10">
        <f t="shared" si="126"/>
        <v>1.7763568394002505E-15</v>
      </c>
      <c r="P1236" s="10">
        <f>IFERROR(SUMIFS('Base bordo'!G$2:G$746,'Base bordo'!C$2:C$746,A1236,'Base bordo'!B$2:B$746,B1236),0)</f>
        <v>10.809166666666668</v>
      </c>
      <c r="Q1236" s="10">
        <f>IFERROR(SUMIFS('Base bordo'!H$2:H$746,'Base bordo'!C$2:C$746,A1236,'Base bordo'!B$2:B$746,B1236,'Base bordo'!F$2:F$746,"DESLOCAMENTO VAZIO"),0)</f>
        <v>279312.71000000002</v>
      </c>
      <c r="R1236" s="10">
        <f>IFERROR(SUMIFS('Base bordo'!I$2:I$746,'Base bordo'!C$2:C$746,A1236,'Base bordo'!B$2:B$746,B1236,'Base bordo'!F$2:F$746,"DESLOCAMENTO VAZIO"),0)</f>
        <v>8670</v>
      </c>
      <c r="S1236" s="30">
        <f t="shared" si="127"/>
        <v>32.215998846597465</v>
      </c>
      <c r="T1236" s="10">
        <f>IFERROR(SUMIFS('Base bordo'!H$2:H$746,'Base bordo'!C$2:C$746,A1236,'Base bordo'!B$2:B$746,B1236,'Base bordo'!F$2:F$746,"DESLOCAMENTO CARREGADO"),0)</f>
        <v>82241.990000000005</v>
      </c>
      <c r="U1236" s="10">
        <f>IFERROR(SUMIFS('Base bordo'!I$2:I$746,'Base bordo'!C$2:C$746,A1236,'Base bordo'!B$2:B$746,B1236,'Base bordo'!F$2:F$746,"DESLOCAMENTO CARREGADO"),0)</f>
        <v>4697</v>
      </c>
      <c r="V1236" s="30">
        <f t="shared" si="128"/>
        <v>17.50947200340643</v>
      </c>
      <c r="W1236" s="9">
        <f t="shared" si="129"/>
        <v>0.22280471821756223</v>
      </c>
      <c r="X1236" s="9">
        <f t="shared" si="130"/>
        <v>0.12070516279906456</v>
      </c>
      <c r="Y1236" s="9">
        <f t="shared" si="131"/>
        <v>0.65649011898337317</v>
      </c>
    </row>
    <row r="1237" spans="1:25" ht="15" customHeight="1" x14ac:dyDescent="0.35">
      <c r="A1237" s="52">
        <v>8013469</v>
      </c>
      <c r="B1237" s="51">
        <v>46124</v>
      </c>
      <c r="C1237" s="7" t="s">
        <v>124</v>
      </c>
      <c r="D1237" s="10">
        <f>IFERROR(SUMIFS('Base bordo'!G$2:G$746,'Base bordo'!C$2:C$746,A1237,'Base bordo'!B$2:B$746,B1237,'Base bordo'!F$2:F$746,"DESLOCAMENTO VAZIO"),0)</f>
        <v>2.4083333333333332</v>
      </c>
      <c r="E1237" s="10">
        <f>IFERROR(SUMIFS('Base bordo'!G$2:G$746,'Base bordo'!C$2:C$746,A1237,'Base bordo'!B$2:B$746,B1237,'Base bordo'!F$2:F$746,"DESLOCAMENTO CARREGADO"),0)</f>
        <v>1.3047222222222221</v>
      </c>
      <c r="F1237" s="10">
        <f>IFERROR(SUMIFS('Base bordo'!G$2:G$746,'Base bordo'!C$2:C$746,A1237,'Base bordo'!B$2:B$746,B1237,'Base bordo'!F$2:F$746,"DESLOCAMENTO"),0)</f>
        <v>0</v>
      </c>
      <c r="G1237" s="10">
        <f>IFERROR(SUMIFS('Base bordo'!G$2:G$746,'Base bordo'!C$2:C$746,A1237,'Base bordo'!B$2:B$746,B1237,'Base bordo'!F$2:F$746,"CARREGAMENTO"),0)</f>
        <v>0</v>
      </c>
      <c r="H1237" s="10">
        <f>IFERROR(SUMIFS('Base bordo'!G$2:G$746,'Base bordo'!C$2:C$746,A1237,'Base bordo'!B$2:B$746,B1237,'Base bordo'!F$2:F$746,"AGUARDANDO TRANSBORDO"),0)</f>
        <v>0</v>
      </c>
      <c r="I1237" s="10">
        <f>IFERROR(SUMIFS('Base bordo'!G$2:G$746,'Base bordo'!C$2:C$746,A1237,'Base bordo'!B$2:B$746,B1237,'Base bordo'!F$2:F$746,"PÁTIO INTERNO"),0)+IFERROR(SUMIFS('Base bordo'!G$2:G$746,'Base bordo'!C$2:C$746,A1237,'Base bordo'!B$2:B$746,B1237,'Base bordo'!F$2:F$746,"PÁTIO EXTERNO"),0)+IFERROR(SUMIFS('Base bordo'!G$2:G$746,'Base bordo'!C$2:C$746,A1237,'Base bordo'!B$2:B$746,B1237,'Base bordo'!F$2:F$746,"PATIO - RESERVA"),0)+IFERROR(SUMIFS('Base bordo'!G$2:G$746,'Base bordo'!C$2:C$746,A1237,'Base bordo'!B$2:B$746,B1237,'Base bordo'!F$2:F$746,"MANOBRA CARRETAS-PATIO"),0)</f>
        <v>6.987222222222222</v>
      </c>
      <c r="J1237" s="10">
        <f>IFERROR(SUMIFS('Base bordo'!G$2:G$746,'Base bordo'!C$2:C$746,A1237,'Base bordo'!B$2:B$746,B1237,'Base bordo'!F$2:F$746,"BALANÇA - ENTRADA"),0)+IFERROR(SUMIFS('Base bordo'!G$2:G$746,'Base bordo'!C$2:C$746,A1237,'Base bordo'!B$2:B$746,B1237,'Base bordo'!F$2:F$746,"BALANÇA - SAÍDA"),0)</f>
        <v>0.10888888888888888</v>
      </c>
      <c r="K1237" s="10">
        <f>IFERROR(SUMIFS('Base bordo'!G$2:G$746,'Base bordo'!C$2:C$746,A1237,'Base bordo'!B$2:B$746,B1237,'Base bordo'!F$2:F$746,"MAN PREVENTIVA - MECANICA"),0)+IFERROR(SUMIFS('Base bordo'!G$2:G$746,'Base bordo'!C$2:C$746,A1237,'Base bordo'!B$2:B$746,B1237,'Base bordo'!F$2:F$746,"MAN CORRETIVA - MECANICA"),0)</f>
        <v>0</v>
      </c>
      <c r="L1237" s="10">
        <f>IFERROR(SUMIFS('Base bordo'!G$2:G$746,'Base bordo'!C$2:C$746,A1237,'Base bordo'!B$2:B$746,B1237,'Base bordo'!F$2:F$746,"MANUTENCAO - T O"),0)+IFERROR(SUMIFS('Base bordo'!G$2:G$746,'Base bordo'!C$2:C$746,A1237,'Base bordo'!B$2:B$746,B1237,'Base bordo'!F$2:F$746,"MANUTENCAO BORRACHARIA"),0)+IFERROR(SUMIFS('Base bordo'!G$2:G$746,'Base bordo'!C$2:C$746,A1237,'Base bordo'!B$2:B$746,B1237,'Base bordo'!F$2:F$746,"MANUTENCAO EXTERNA  CONCESSIONARIA"),0)+IFERROR(SUMIFS('Base bordo'!G$2:G$746,'Base bordo'!C$2:C$746,A1237,'Base bordo'!B$2:B$746,B1237,'Base bordo'!F$2:F$746,"MANUTENCAO TELEMETRIA"),0)</f>
        <v>0</v>
      </c>
      <c r="M1237" s="10">
        <f>IFERROR(SUMIFS('Base bordo'!G$2:G$746,'Base bordo'!C$2:C$746,A1237,'Base bordo'!B$2:B$746,B1237,'Base bordo'!F$2:F$746,"AGUARDANDO MANUTENCAO"),0)</f>
        <v>0</v>
      </c>
      <c r="N1237" s="10">
        <f>IFERROR(SUMIFS('Base bordo'!G$2:G$746,'Base bordo'!C$2:C$746,A1237,'Base bordo'!B$2:B$746,B1237,'Base bordo'!F$2:F$746,"SEM APONTAMENTO"),0)</f>
        <v>0</v>
      </c>
      <c r="O1237" s="10">
        <f t="shared" si="126"/>
        <v>1.7763568394002505E-15</v>
      </c>
      <c r="P1237" s="10">
        <f>IFERROR(SUMIFS('Base bordo'!G$2:G$746,'Base bordo'!C$2:C$746,A1237,'Base bordo'!B$2:B$746,B1237),0)</f>
        <v>10.809166666666668</v>
      </c>
      <c r="Q1237" s="10">
        <f>IFERROR(SUMIFS('Base bordo'!H$2:H$746,'Base bordo'!C$2:C$746,A1237,'Base bordo'!B$2:B$746,B1237,'Base bordo'!F$2:F$746,"DESLOCAMENTO VAZIO"),0)</f>
        <v>279312.71000000002</v>
      </c>
      <c r="R1237" s="10">
        <f>IFERROR(SUMIFS('Base bordo'!I$2:I$746,'Base bordo'!C$2:C$746,A1237,'Base bordo'!B$2:B$746,B1237,'Base bordo'!F$2:F$746,"DESLOCAMENTO VAZIO"),0)</f>
        <v>8670</v>
      </c>
      <c r="S1237" s="30">
        <f t="shared" si="127"/>
        <v>32.215998846597465</v>
      </c>
      <c r="T1237" s="10">
        <f>IFERROR(SUMIFS('Base bordo'!H$2:H$746,'Base bordo'!C$2:C$746,A1237,'Base bordo'!B$2:B$746,B1237,'Base bordo'!F$2:F$746,"DESLOCAMENTO CARREGADO"),0)</f>
        <v>82241.990000000005</v>
      </c>
      <c r="U1237" s="10">
        <f>IFERROR(SUMIFS('Base bordo'!I$2:I$746,'Base bordo'!C$2:C$746,A1237,'Base bordo'!B$2:B$746,B1237,'Base bordo'!F$2:F$746,"DESLOCAMENTO CARREGADO"),0)</f>
        <v>4697</v>
      </c>
      <c r="V1237" s="30">
        <f t="shared" si="128"/>
        <v>17.50947200340643</v>
      </c>
      <c r="W1237" s="9">
        <f t="shared" si="129"/>
        <v>0.22280471821756223</v>
      </c>
      <c r="X1237" s="9">
        <f t="shared" si="130"/>
        <v>0.12070516279906456</v>
      </c>
      <c r="Y1237" s="9">
        <f t="shared" si="131"/>
        <v>0.65649011898337317</v>
      </c>
    </row>
    <row r="1238" spans="1:25" ht="15" customHeight="1" x14ac:dyDescent="0.35">
      <c r="A1238" s="52">
        <v>8013470</v>
      </c>
      <c r="B1238" s="51">
        <v>46124</v>
      </c>
      <c r="C1238" s="7" t="s">
        <v>124</v>
      </c>
      <c r="D1238" s="10">
        <f>IFERROR(SUMIFS('Base bordo'!G$2:G$746,'Base bordo'!C$2:C$746,A1238,'Base bordo'!B$2:B$746,B1238,'Base bordo'!F$2:F$746,"DESLOCAMENTO VAZIO"),0)</f>
        <v>2.2769444444444447</v>
      </c>
      <c r="E1238" s="10">
        <f>IFERROR(SUMIFS('Base bordo'!G$2:G$746,'Base bordo'!C$2:C$746,A1238,'Base bordo'!B$2:B$746,B1238,'Base bordo'!F$2:F$746,"DESLOCAMENTO CARREGADO"),0)</f>
        <v>6.3111111111111109</v>
      </c>
      <c r="F1238" s="10">
        <f>IFERROR(SUMIFS('Base bordo'!G$2:G$746,'Base bordo'!C$2:C$746,A1238,'Base bordo'!B$2:B$746,B1238,'Base bordo'!F$2:F$746,"DESLOCAMENTO"),0)</f>
        <v>0</v>
      </c>
      <c r="G1238" s="10">
        <f>IFERROR(SUMIFS('Base bordo'!G$2:G$746,'Base bordo'!C$2:C$746,A1238,'Base bordo'!B$2:B$746,B1238,'Base bordo'!F$2:F$746,"CARREGAMENTO"),0)</f>
        <v>0</v>
      </c>
      <c r="H1238" s="10">
        <f>IFERROR(SUMIFS('Base bordo'!G$2:G$746,'Base bordo'!C$2:C$746,A1238,'Base bordo'!B$2:B$746,B1238,'Base bordo'!F$2:F$746,"AGUARDANDO TRANSBORDO"),0)</f>
        <v>0.24416666666666667</v>
      </c>
      <c r="I1238" s="10">
        <f>IFERROR(SUMIFS('Base bordo'!G$2:G$746,'Base bordo'!C$2:C$746,A1238,'Base bordo'!B$2:B$746,B1238,'Base bordo'!F$2:F$746,"PÁTIO INTERNO"),0)+IFERROR(SUMIFS('Base bordo'!G$2:G$746,'Base bordo'!C$2:C$746,A1238,'Base bordo'!B$2:B$746,B1238,'Base bordo'!F$2:F$746,"PÁTIO EXTERNO"),0)+IFERROR(SUMIFS('Base bordo'!G$2:G$746,'Base bordo'!C$2:C$746,A1238,'Base bordo'!B$2:B$746,B1238,'Base bordo'!F$2:F$746,"PATIO - RESERVA"),0)+IFERROR(SUMIFS('Base bordo'!G$2:G$746,'Base bordo'!C$2:C$746,A1238,'Base bordo'!B$2:B$746,B1238,'Base bordo'!F$2:F$746,"MANOBRA CARRETAS-PATIO"),0)</f>
        <v>3.2016666666666667</v>
      </c>
      <c r="J1238" s="10">
        <f>IFERROR(SUMIFS('Base bordo'!G$2:G$746,'Base bordo'!C$2:C$746,A1238,'Base bordo'!B$2:B$746,B1238,'Base bordo'!F$2:F$746,"BALANÇA - ENTRADA"),0)+IFERROR(SUMIFS('Base bordo'!G$2:G$746,'Base bordo'!C$2:C$746,A1238,'Base bordo'!B$2:B$746,B1238,'Base bordo'!F$2:F$746,"BALANÇA - SAÍDA"),0)</f>
        <v>0.21722222222222221</v>
      </c>
      <c r="K1238" s="10">
        <f>IFERROR(SUMIFS('Base bordo'!G$2:G$746,'Base bordo'!C$2:C$746,A1238,'Base bordo'!B$2:B$746,B1238,'Base bordo'!F$2:F$746,"MAN PREVENTIVA - MECANICA"),0)+IFERROR(SUMIFS('Base bordo'!G$2:G$746,'Base bordo'!C$2:C$746,A1238,'Base bordo'!B$2:B$746,B1238,'Base bordo'!F$2:F$746,"MAN CORRETIVA - MECANICA"),0)</f>
        <v>0</v>
      </c>
      <c r="L1238" s="10">
        <f>IFERROR(SUMIFS('Base bordo'!G$2:G$746,'Base bordo'!C$2:C$746,A1238,'Base bordo'!B$2:B$746,B1238,'Base bordo'!F$2:F$746,"MANUTENCAO - T O"),0)+IFERROR(SUMIFS('Base bordo'!G$2:G$746,'Base bordo'!C$2:C$746,A1238,'Base bordo'!B$2:B$746,B1238,'Base bordo'!F$2:F$746,"MANUTENCAO BORRACHARIA"),0)+IFERROR(SUMIFS('Base bordo'!G$2:G$746,'Base bordo'!C$2:C$746,A1238,'Base bordo'!B$2:B$746,B1238,'Base bordo'!F$2:F$746,"MANUTENCAO EXTERNA  CONCESSIONARIA"),0)+IFERROR(SUMIFS('Base bordo'!G$2:G$746,'Base bordo'!C$2:C$746,A1238,'Base bordo'!B$2:B$746,B1238,'Base bordo'!F$2:F$746,"MANUTENCAO TELEMETRIA"),0)</f>
        <v>0</v>
      </c>
      <c r="M1238" s="10">
        <f>IFERROR(SUMIFS('Base bordo'!G$2:G$746,'Base bordo'!C$2:C$746,A1238,'Base bordo'!B$2:B$746,B1238,'Base bordo'!F$2:F$746,"AGUARDANDO MANUTENCAO"),0)</f>
        <v>0</v>
      </c>
      <c r="N1238" s="10">
        <f>IFERROR(SUMIFS('Base bordo'!G$2:G$746,'Base bordo'!C$2:C$746,A1238,'Base bordo'!B$2:B$746,B1238,'Base bordo'!F$2:F$746,"SEM APONTAMENTO"),0)</f>
        <v>0</v>
      </c>
      <c r="O1238" s="10">
        <f t="shared" si="126"/>
        <v>6.3333333333332575E-2</v>
      </c>
      <c r="P1238" s="10">
        <f>IFERROR(SUMIFS('Base bordo'!G$2:G$746,'Base bordo'!C$2:C$746,A1238,'Base bordo'!B$2:B$746,B1238),0)</f>
        <v>12.314444444444444</v>
      </c>
      <c r="Q1238" s="10">
        <f>IFERROR(SUMIFS('Base bordo'!H$2:H$746,'Base bordo'!C$2:C$746,A1238,'Base bordo'!B$2:B$746,B1238,'Base bordo'!F$2:F$746,"DESLOCAMENTO VAZIO"),0)</f>
        <v>282969.98000000004</v>
      </c>
      <c r="R1238" s="10">
        <f>IFERROR(SUMIFS('Base bordo'!I$2:I$746,'Base bordo'!C$2:C$746,A1238,'Base bordo'!B$2:B$746,B1238,'Base bordo'!F$2:F$746,"DESLOCAMENTO VAZIO"),0)</f>
        <v>8186</v>
      </c>
      <c r="S1238" s="30">
        <f t="shared" si="127"/>
        <v>34.567551917908631</v>
      </c>
      <c r="T1238" s="10">
        <f>IFERROR(SUMIFS('Base bordo'!H$2:H$746,'Base bordo'!C$2:C$746,A1238,'Base bordo'!B$2:B$746,B1238,'Base bordo'!F$2:F$746,"DESLOCAMENTO CARREGADO"),0)</f>
        <v>649243.22</v>
      </c>
      <c r="U1238" s="10">
        <f>IFERROR(SUMIFS('Base bordo'!I$2:I$746,'Base bordo'!C$2:C$746,A1238,'Base bordo'!B$2:B$746,B1238,'Base bordo'!F$2:F$746,"DESLOCAMENTO CARREGADO"),0)</f>
        <v>22720</v>
      </c>
      <c r="V1238" s="30">
        <f t="shared" si="128"/>
        <v>28.575845950704224</v>
      </c>
      <c r="W1238" s="9">
        <f t="shared" si="129"/>
        <v>0.18490029775331593</v>
      </c>
      <c r="X1238" s="9">
        <f t="shared" si="130"/>
        <v>0.51249661643959221</v>
      </c>
      <c r="Y1238" s="9">
        <f t="shared" si="131"/>
        <v>0.30260308580709183</v>
      </c>
    </row>
    <row r="1239" spans="1:25" ht="15" customHeight="1" x14ac:dyDescent="0.35">
      <c r="A1239" s="52">
        <v>8013470</v>
      </c>
      <c r="B1239" s="51">
        <v>46124</v>
      </c>
      <c r="C1239" s="7" t="s">
        <v>124</v>
      </c>
      <c r="D1239" s="10">
        <f>IFERROR(SUMIFS('Base bordo'!G$2:G$746,'Base bordo'!C$2:C$746,A1239,'Base bordo'!B$2:B$746,B1239,'Base bordo'!F$2:F$746,"DESLOCAMENTO VAZIO"),0)</f>
        <v>2.2769444444444447</v>
      </c>
      <c r="E1239" s="10">
        <f>IFERROR(SUMIFS('Base bordo'!G$2:G$746,'Base bordo'!C$2:C$746,A1239,'Base bordo'!B$2:B$746,B1239,'Base bordo'!F$2:F$746,"DESLOCAMENTO CARREGADO"),0)</f>
        <v>6.3111111111111109</v>
      </c>
      <c r="F1239" s="10">
        <f>IFERROR(SUMIFS('Base bordo'!G$2:G$746,'Base bordo'!C$2:C$746,A1239,'Base bordo'!B$2:B$746,B1239,'Base bordo'!F$2:F$746,"DESLOCAMENTO"),0)</f>
        <v>0</v>
      </c>
      <c r="G1239" s="10">
        <f>IFERROR(SUMIFS('Base bordo'!G$2:G$746,'Base bordo'!C$2:C$746,A1239,'Base bordo'!B$2:B$746,B1239,'Base bordo'!F$2:F$746,"CARREGAMENTO"),0)</f>
        <v>0</v>
      </c>
      <c r="H1239" s="10">
        <f>IFERROR(SUMIFS('Base bordo'!G$2:G$746,'Base bordo'!C$2:C$746,A1239,'Base bordo'!B$2:B$746,B1239,'Base bordo'!F$2:F$746,"AGUARDANDO TRANSBORDO"),0)</f>
        <v>0.24416666666666667</v>
      </c>
      <c r="I1239" s="10">
        <f>IFERROR(SUMIFS('Base bordo'!G$2:G$746,'Base bordo'!C$2:C$746,A1239,'Base bordo'!B$2:B$746,B1239,'Base bordo'!F$2:F$746,"PÁTIO INTERNO"),0)+IFERROR(SUMIFS('Base bordo'!G$2:G$746,'Base bordo'!C$2:C$746,A1239,'Base bordo'!B$2:B$746,B1239,'Base bordo'!F$2:F$746,"PÁTIO EXTERNO"),0)+IFERROR(SUMIFS('Base bordo'!G$2:G$746,'Base bordo'!C$2:C$746,A1239,'Base bordo'!B$2:B$746,B1239,'Base bordo'!F$2:F$746,"PATIO - RESERVA"),0)+IFERROR(SUMIFS('Base bordo'!G$2:G$746,'Base bordo'!C$2:C$746,A1239,'Base bordo'!B$2:B$746,B1239,'Base bordo'!F$2:F$746,"MANOBRA CARRETAS-PATIO"),0)</f>
        <v>3.2016666666666667</v>
      </c>
      <c r="J1239" s="10">
        <f>IFERROR(SUMIFS('Base bordo'!G$2:G$746,'Base bordo'!C$2:C$746,A1239,'Base bordo'!B$2:B$746,B1239,'Base bordo'!F$2:F$746,"BALANÇA - ENTRADA"),0)+IFERROR(SUMIFS('Base bordo'!G$2:G$746,'Base bordo'!C$2:C$746,A1239,'Base bordo'!B$2:B$746,B1239,'Base bordo'!F$2:F$746,"BALANÇA - SAÍDA"),0)</f>
        <v>0.21722222222222221</v>
      </c>
      <c r="K1239" s="10">
        <f>IFERROR(SUMIFS('Base bordo'!G$2:G$746,'Base bordo'!C$2:C$746,A1239,'Base bordo'!B$2:B$746,B1239,'Base bordo'!F$2:F$746,"MAN PREVENTIVA - MECANICA"),0)+IFERROR(SUMIFS('Base bordo'!G$2:G$746,'Base bordo'!C$2:C$746,A1239,'Base bordo'!B$2:B$746,B1239,'Base bordo'!F$2:F$746,"MAN CORRETIVA - MECANICA"),0)</f>
        <v>0</v>
      </c>
      <c r="L1239" s="10">
        <f>IFERROR(SUMIFS('Base bordo'!G$2:G$746,'Base bordo'!C$2:C$746,A1239,'Base bordo'!B$2:B$746,B1239,'Base bordo'!F$2:F$746,"MANUTENCAO - T O"),0)+IFERROR(SUMIFS('Base bordo'!G$2:G$746,'Base bordo'!C$2:C$746,A1239,'Base bordo'!B$2:B$746,B1239,'Base bordo'!F$2:F$746,"MANUTENCAO BORRACHARIA"),0)+IFERROR(SUMIFS('Base bordo'!G$2:G$746,'Base bordo'!C$2:C$746,A1239,'Base bordo'!B$2:B$746,B1239,'Base bordo'!F$2:F$746,"MANUTENCAO EXTERNA  CONCESSIONARIA"),0)+IFERROR(SUMIFS('Base bordo'!G$2:G$746,'Base bordo'!C$2:C$746,A1239,'Base bordo'!B$2:B$746,B1239,'Base bordo'!F$2:F$746,"MANUTENCAO TELEMETRIA"),0)</f>
        <v>0</v>
      </c>
      <c r="M1239" s="10">
        <f>IFERROR(SUMIFS('Base bordo'!G$2:G$746,'Base bordo'!C$2:C$746,A1239,'Base bordo'!B$2:B$746,B1239,'Base bordo'!F$2:F$746,"AGUARDANDO MANUTENCAO"),0)</f>
        <v>0</v>
      </c>
      <c r="N1239" s="10">
        <f>IFERROR(SUMIFS('Base bordo'!G$2:G$746,'Base bordo'!C$2:C$746,A1239,'Base bordo'!B$2:B$746,B1239,'Base bordo'!F$2:F$746,"SEM APONTAMENTO"),0)</f>
        <v>0</v>
      </c>
      <c r="O1239" s="10">
        <f t="shared" si="126"/>
        <v>6.3333333333332575E-2</v>
      </c>
      <c r="P1239" s="10">
        <f>IFERROR(SUMIFS('Base bordo'!G$2:G$746,'Base bordo'!C$2:C$746,A1239,'Base bordo'!B$2:B$746,B1239),0)</f>
        <v>12.314444444444444</v>
      </c>
      <c r="Q1239" s="10">
        <f>IFERROR(SUMIFS('Base bordo'!H$2:H$746,'Base bordo'!C$2:C$746,A1239,'Base bordo'!B$2:B$746,B1239,'Base bordo'!F$2:F$746,"DESLOCAMENTO VAZIO"),0)</f>
        <v>282969.98000000004</v>
      </c>
      <c r="R1239" s="10">
        <f>IFERROR(SUMIFS('Base bordo'!I$2:I$746,'Base bordo'!C$2:C$746,A1239,'Base bordo'!B$2:B$746,B1239,'Base bordo'!F$2:F$746,"DESLOCAMENTO VAZIO"),0)</f>
        <v>8186</v>
      </c>
      <c r="S1239" s="30">
        <f t="shared" si="127"/>
        <v>34.567551917908631</v>
      </c>
      <c r="T1239" s="10">
        <f>IFERROR(SUMIFS('Base bordo'!H$2:H$746,'Base bordo'!C$2:C$746,A1239,'Base bordo'!B$2:B$746,B1239,'Base bordo'!F$2:F$746,"DESLOCAMENTO CARREGADO"),0)</f>
        <v>649243.22</v>
      </c>
      <c r="U1239" s="10">
        <f>IFERROR(SUMIFS('Base bordo'!I$2:I$746,'Base bordo'!C$2:C$746,A1239,'Base bordo'!B$2:B$746,B1239,'Base bordo'!F$2:F$746,"DESLOCAMENTO CARREGADO"),0)</f>
        <v>22720</v>
      </c>
      <c r="V1239" s="30">
        <f t="shared" si="128"/>
        <v>28.575845950704224</v>
      </c>
      <c r="W1239" s="9">
        <f t="shared" si="129"/>
        <v>0.18490029775331593</v>
      </c>
      <c r="X1239" s="9">
        <f t="shared" si="130"/>
        <v>0.51249661643959221</v>
      </c>
      <c r="Y1239" s="9">
        <f t="shared" si="131"/>
        <v>0.30260308580709183</v>
      </c>
    </row>
    <row r="1240" spans="1:25" ht="15" customHeight="1" x14ac:dyDescent="0.35">
      <c r="A1240" s="52">
        <v>8013470</v>
      </c>
      <c r="B1240" s="51">
        <v>46124</v>
      </c>
      <c r="C1240" s="7" t="s">
        <v>124</v>
      </c>
      <c r="D1240" s="10">
        <f>IFERROR(SUMIFS('Base bordo'!G$2:G$746,'Base bordo'!C$2:C$746,A1240,'Base bordo'!B$2:B$746,B1240,'Base bordo'!F$2:F$746,"DESLOCAMENTO VAZIO"),0)</f>
        <v>2.2769444444444447</v>
      </c>
      <c r="E1240" s="10">
        <f>IFERROR(SUMIFS('Base bordo'!G$2:G$746,'Base bordo'!C$2:C$746,A1240,'Base bordo'!B$2:B$746,B1240,'Base bordo'!F$2:F$746,"DESLOCAMENTO CARREGADO"),0)</f>
        <v>6.3111111111111109</v>
      </c>
      <c r="F1240" s="10">
        <f>IFERROR(SUMIFS('Base bordo'!G$2:G$746,'Base bordo'!C$2:C$746,A1240,'Base bordo'!B$2:B$746,B1240,'Base bordo'!F$2:F$746,"DESLOCAMENTO"),0)</f>
        <v>0</v>
      </c>
      <c r="G1240" s="10">
        <f>IFERROR(SUMIFS('Base bordo'!G$2:G$746,'Base bordo'!C$2:C$746,A1240,'Base bordo'!B$2:B$746,B1240,'Base bordo'!F$2:F$746,"CARREGAMENTO"),0)</f>
        <v>0</v>
      </c>
      <c r="H1240" s="10">
        <f>IFERROR(SUMIFS('Base bordo'!G$2:G$746,'Base bordo'!C$2:C$746,A1240,'Base bordo'!B$2:B$746,B1240,'Base bordo'!F$2:F$746,"AGUARDANDO TRANSBORDO"),0)</f>
        <v>0.24416666666666667</v>
      </c>
      <c r="I1240" s="10">
        <f>IFERROR(SUMIFS('Base bordo'!G$2:G$746,'Base bordo'!C$2:C$746,A1240,'Base bordo'!B$2:B$746,B1240,'Base bordo'!F$2:F$746,"PÁTIO INTERNO"),0)+IFERROR(SUMIFS('Base bordo'!G$2:G$746,'Base bordo'!C$2:C$746,A1240,'Base bordo'!B$2:B$746,B1240,'Base bordo'!F$2:F$746,"PÁTIO EXTERNO"),0)+IFERROR(SUMIFS('Base bordo'!G$2:G$746,'Base bordo'!C$2:C$746,A1240,'Base bordo'!B$2:B$746,B1240,'Base bordo'!F$2:F$746,"PATIO - RESERVA"),0)+IFERROR(SUMIFS('Base bordo'!G$2:G$746,'Base bordo'!C$2:C$746,A1240,'Base bordo'!B$2:B$746,B1240,'Base bordo'!F$2:F$746,"MANOBRA CARRETAS-PATIO"),0)</f>
        <v>3.2016666666666667</v>
      </c>
      <c r="J1240" s="10">
        <f>IFERROR(SUMIFS('Base bordo'!G$2:G$746,'Base bordo'!C$2:C$746,A1240,'Base bordo'!B$2:B$746,B1240,'Base bordo'!F$2:F$746,"BALANÇA - ENTRADA"),0)+IFERROR(SUMIFS('Base bordo'!G$2:G$746,'Base bordo'!C$2:C$746,A1240,'Base bordo'!B$2:B$746,B1240,'Base bordo'!F$2:F$746,"BALANÇA - SAÍDA"),0)</f>
        <v>0.21722222222222221</v>
      </c>
      <c r="K1240" s="10">
        <f>IFERROR(SUMIFS('Base bordo'!G$2:G$746,'Base bordo'!C$2:C$746,A1240,'Base bordo'!B$2:B$746,B1240,'Base bordo'!F$2:F$746,"MAN PREVENTIVA - MECANICA"),0)+IFERROR(SUMIFS('Base bordo'!G$2:G$746,'Base bordo'!C$2:C$746,A1240,'Base bordo'!B$2:B$746,B1240,'Base bordo'!F$2:F$746,"MAN CORRETIVA - MECANICA"),0)</f>
        <v>0</v>
      </c>
      <c r="L1240" s="10">
        <f>IFERROR(SUMIFS('Base bordo'!G$2:G$746,'Base bordo'!C$2:C$746,A1240,'Base bordo'!B$2:B$746,B1240,'Base bordo'!F$2:F$746,"MANUTENCAO - T O"),0)+IFERROR(SUMIFS('Base bordo'!G$2:G$746,'Base bordo'!C$2:C$746,A1240,'Base bordo'!B$2:B$746,B1240,'Base bordo'!F$2:F$746,"MANUTENCAO BORRACHARIA"),0)+IFERROR(SUMIFS('Base bordo'!G$2:G$746,'Base bordo'!C$2:C$746,A1240,'Base bordo'!B$2:B$746,B1240,'Base bordo'!F$2:F$746,"MANUTENCAO EXTERNA  CONCESSIONARIA"),0)+IFERROR(SUMIFS('Base bordo'!G$2:G$746,'Base bordo'!C$2:C$746,A1240,'Base bordo'!B$2:B$746,B1240,'Base bordo'!F$2:F$746,"MANUTENCAO TELEMETRIA"),0)</f>
        <v>0</v>
      </c>
      <c r="M1240" s="10">
        <f>IFERROR(SUMIFS('Base bordo'!G$2:G$746,'Base bordo'!C$2:C$746,A1240,'Base bordo'!B$2:B$746,B1240,'Base bordo'!F$2:F$746,"AGUARDANDO MANUTENCAO"),0)</f>
        <v>0</v>
      </c>
      <c r="N1240" s="10">
        <f>IFERROR(SUMIFS('Base bordo'!G$2:G$746,'Base bordo'!C$2:C$746,A1240,'Base bordo'!B$2:B$746,B1240,'Base bordo'!F$2:F$746,"SEM APONTAMENTO"),0)</f>
        <v>0</v>
      </c>
      <c r="O1240" s="10">
        <f t="shared" si="126"/>
        <v>6.3333333333332575E-2</v>
      </c>
      <c r="P1240" s="10">
        <f>IFERROR(SUMIFS('Base bordo'!G$2:G$746,'Base bordo'!C$2:C$746,A1240,'Base bordo'!B$2:B$746,B1240),0)</f>
        <v>12.314444444444444</v>
      </c>
      <c r="Q1240" s="10">
        <f>IFERROR(SUMIFS('Base bordo'!H$2:H$746,'Base bordo'!C$2:C$746,A1240,'Base bordo'!B$2:B$746,B1240,'Base bordo'!F$2:F$746,"DESLOCAMENTO VAZIO"),0)</f>
        <v>282969.98000000004</v>
      </c>
      <c r="R1240" s="10">
        <f>IFERROR(SUMIFS('Base bordo'!I$2:I$746,'Base bordo'!C$2:C$746,A1240,'Base bordo'!B$2:B$746,B1240,'Base bordo'!F$2:F$746,"DESLOCAMENTO VAZIO"),0)</f>
        <v>8186</v>
      </c>
      <c r="S1240" s="30">
        <f t="shared" si="127"/>
        <v>34.567551917908631</v>
      </c>
      <c r="T1240" s="10">
        <f>IFERROR(SUMIFS('Base bordo'!H$2:H$746,'Base bordo'!C$2:C$746,A1240,'Base bordo'!B$2:B$746,B1240,'Base bordo'!F$2:F$746,"DESLOCAMENTO CARREGADO"),0)</f>
        <v>649243.22</v>
      </c>
      <c r="U1240" s="10">
        <f>IFERROR(SUMIFS('Base bordo'!I$2:I$746,'Base bordo'!C$2:C$746,A1240,'Base bordo'!B$2:B$746,B1240,'Base bordo'!F$2:F$746,"DESLOCAMENTO CARREGADO"),0)</f>
        <v>22720</v>
      </c>
      <c r="V1240" s="30">
        <f t="shared" si="128"/>
        <v>28.575845950704224</v>
      </c>
      <c r="W1240" s="9">
        <f t="shared" si="129"/>
        <v>0.18490029775331593</v>
      </c>
      <c r="X1240" s="9">
        <f t="shared" si="130"/>
        <v>0.51249661643959221</v>
      </c>
      <c r="Y1240" s="9">
        <f t="shared" si="131"/>
        <v>0.30260308580709183</v>
      </c>
    </row>
    <row r="1241" spans="1:25" ht="15" customHeight="1" x14ac:dyDescent="0.35">
      <c r="A1241" s="52">
        <v>8013470</v>
      </c>
      <c r="B1241" s="51">
        <v>46124</v>
      </c>
      <c r="C1241" s="7" t="s">
        <v>124</v>
      </c>
      <c r="D1241" s="10">
        <f>IFERROR(SUMIFS('Base bordo'!G$2:G$746,'Base bordo'!C$2:C$746,A1241,'Base bordo'!B$2:B$746,B1241,'Base bordo'!F$2:F$746,"DESLOCAMENTO VAZIO"),0)</f>
        <v>2.2769444444444447</v>
      </c>
      <c r="E1241" s="10">
        <f>IFERROR(SUMIFS('Base bordo'!G$2:G$746,'Base bordo'!C$2:C$746,A1241,'Base bordo'!B$2:B$746,B1241,'Base bordo'!F$2:F$746,"DESLOCAMENTO CARREGADO"),0)</f>
        <v>6.3111111111111109</v>
      </c>
      <c r="F1241" s="10">
        <f>IFERROR(SUMIFS('Base bordo'!G$2:G$746,'Base bordo'!C$2:C$746,A1241,'Base bordo'!B$2:B$746,B1241,'Base bordo'!F$2:F$746,"DESLOCAMENTO"),0)</f>
        <v>0</v>
      </c>
      <c r="G1241" s="10">
        <f>IFERROR(SUMIFS('Base bordo'!G$2:G$746,'Base bordo'!C$2:C$746,A1241,'Base bordo'!B$2:B$746,B1241,'Base bordo'!F$2:F$746,"CARREGAMENTO"),0)</f>
        <v>0</v>
      </c>
      <c r="H1241" s="10">
        <f>IFERROR(SUMIFS('Base bordo'!G$2:G$746,'Base bordo'!C$2:C$746,A1241,'Base bordo'!B$2:B$746,B1241,'Base bordo'!F$2:F$746,"AGUARDANDO TRANSBORDO"),0)</f>
        <v>0.24416666666666667</v>
      </c>
      <c r="I1241" s="10">
        <f>IFERROR(SUMIFS('Base bordo'!G$2:G$746,'Base bordo'!C$2:C$746,A1241,'Base bordo'!B$2:B$746,B1241,'Base bordo'!F$2:F$746,"PÁTIO INTERNO"),0)+IFERROR(SUMIFS('Base bordo'!G$2:G$746,'Base bordo'!C$2:C$746,A1241,'Base bordo'!B$2:B$746,B1241,'Base bordo'!F$2:F$746,"PÁTIO EXTERNO"),0)+IFERROR(SUMIFS('Base bordo'!G$2:G$746,'Base bordo'!C$2:C$746,A1241,'Base bordo'!B$2:B$746,B1241,'Base bordo'!F$2:F$746,"PATIO - RESERVA"),0)+IFERROR(SUMIFS('Base bordo'!G$2:G$746,'Base bordo'!C$2:C$746,A1241,'Base bordo'!B$2:B$746,B1241,'Base bordo'!F$2:F$746,"MANOBRA CARRETAS-PATIO"),0)</f>
        <v>3.2016666666666667</v>
      </c>
      <c r="J1241" s="10">
        <f>IFERROR(SUMIFS('Base bordo'!G$2:G$746,'Base bordo'!C$2:C$746,A1241,'Base bordo'!B$2:B$746,B1241,'Base bordo'!F$2:F$746,"BALANÇA - ENTRADA"),0)+IFERROR(SUMIFS('Base bordo'!G$2:G$746,'Base bordo'!C$2:C$746,A1241,'Base bordo'!B$2:B$746,B1241,'Base bordo'!F$2:F$746,"BALANÇA - SAÍDA"),0)</f>
        <v>0.21722222222222221</v>
      </c>
      <c r="K1241" s="10">
        <f>IFERROR(SUMIFS('Base bordo'!G$2:G$746,'Base bordo'!C$2:C$746,A1241,'Base bordo'!B$2:B$746,B1241,'Base bordo'!F$2:F$746,"MAN PREVENTIVA - MECANICA"),0)+IFERROR(SUMIFS('Base bordo'!G$2:G$746,'Base bordo'!C$2:C$746,A1241,'Base bordo'!B$2:B$746,B1241,'Base bordo'!F$2:F$746,"MAN CORRETIVA - MECANICA"),0)</f>
        <v>0</v>
      </c>
      <c r="L1241" s="10">
        <f>IFERROR(SUMIFS('Base bordo'!G$2:G$746,'Base bordo'!C$2:C$746,A1241,'Base bordo'!B$2:B$746,B1241,'Base bordo'!F$2:F$746,"MANUTENCAO - T O"),0)+IFERROR(SUMIFS('Base bordo'!G$2:G$746,'Base bordo'!C$2:C$746,A1241,'Base bordo'!B$2:B$746,B1241,'Base bordo'!F$2:F$746,"MANUTENCAO BORRACHARIA"),0)+IFERROR(SUMIFS('Base bordo'!G$2:G$746,'Base bordo'!C$2:C$746,A1241,'Base bordo'!B$2:B$746,B1241,'Base bordo'!F$2:F$746,"MANUTENCAO EXTERNA  CONCESSIONARIA"),0)+IFERROR(SUMIFS('Base bordo'!G$2:G$746,'Base bordo'!C$2:C$746,A1241,'Base bordo'!B$2:B$746,B1241,'Base bordo'!F$2:F$746,"MANUTENCAO TELEMETRIA"),0)</f>
        <v>0</v>
      </c>
      <c r="M1241" s="10">
        <f>IFERROR(SUMIFS('Base bordo'!G$2:G$746,'Base bordo'!C$2:C$746,A1241,'Base bordo'!B$2:B$746,B1241,'Base bordo'!F$2:F$746,"AGUARDANDO MANUTENCAO"),0)</f>
        <v>0</v>
      </c>
      <c r="N1241" s="10">
        <f>IFERROR(SUMIFS('Base bordo'!G$2:G$746,'Base bordo'!C$2:C$746,A1241,'Base bordo'!B$2:B$746,B1241,'Base bordo'!F$2:F$746,"SEM APONTAMENTO"),0)</f>
        <v>0</v>
      </c>
      <c r="O1241" s="10">
        <f t="shared" si="126"/>
        <v>6.3333333333332575E-2</v>
      </c>
      <c r="P1241" s="10">
        <f>IFERROR(SUMIFS('Base bordo'!G$2:G$746,'Base bordo'!C$2:C$746,A1241,'Base bordo'!B$2:B$746,B1241),0)</f>
        <v>12.314444444444444</v>
      </c>
      <c r="Q1241" s="10">
        <f>IFERROR(SUMIFS('Base bordo'!H$2:H$746,'Base bordo'!C$2:C$746,A1241,'Base bordo'!B$2:B$746,B1241,'Base bordo'!F$2:F$746,"DESLOCAMENTO VAZIO"),0)</f>
        <v>282969.98000000004</v>
      </c>
      <c r="R1241" s="10">
        <f>IFERROR(SUMIFS('Base bordo'!I$2:I$746,'Base bordo'!C$2:C$746,A1241,'Base bordo'!B$2:B$746,B1241,'Base bordo'!F$2:F$746,"DESLOCAMENTO VAZIO"),0)</f>
        <v>8186</v>
      </c>
      <c r="S1241" s="30">
        <f t="shared" si="127"/>
        <v>34.567551917908631</v>
      </c>
      <c r="T1241" s="10">
        <f>IFERROR(SUMIFS('Base bordo'!H$2:H$746,'Base bordo'!C$2:C$746,A1241,'Base bordo'!B$2:B$746,B1241,'Base bordo'!F$2:F$746,"DESLOCAMENTO CARREGADO"),0)</f>
        <v>649243.22</v>
      </c>
      <c r="U1241" s="10">
        <f>IFERROR(SUMIFS('Base bordo'!I$2:I$746,'Base bordo'!C$2:C$746,A1241,'Base bordo'!B$2:B$746,B1241,'Base bordo'!F$2:F$746,"DESLOCAMENTO CARREGADO"),0)</f>
        <v>22720</v>
      </c>
      <c r="V1241" s="30">
        <f t="shared" si="128"/>
        <v>28.575845950704224</v>
      </c>
      <c r="W1241" s="9">
        <f t="shared" si="129"/>
        <v>0.18490029775331593</v>
      </c>
      <c r="X1241" s="9">
        <f t="shared" si="130"/>
        <v>0.51249661643959221</v>
      </c>
      <c r="Y1241" s="9">
        <f t="shared" si="131"/>
        <v>0.30260308580709183</v>
      </c>
    </row>
    <row r="1242" spans="1:25" ht="15" customHeight="1" x14ac:dyDescent="0.35">
      <c r="A1242" s="52">
        <v>8013470</v>
      </c>
      <c r="B1242" s="51">
        <v>46124</v>
      </c>
      <c r="C1242" s="7" t="s">
        <v>124</v>
      </c>
      <c r="D1242" s="10">
        <f>IFERROR(SUMIFS('Base bordo'!G$2:G$746,'Base bordo'!C$2:C$746,A1242,'Base bordo'!B$2:B$746,B1242,'Base bordo'!F$2:F$746,"DESLOCAMENTO VAZIO"),0)</f>
        <v>2.2769444444444447</v>
      </c>
      <c r="E1242" s="10">
        <f>IFERROR(SUMIFS('Base bordo'!G$2:G$746,'Base bordo'!C$2:C$746,A1242,'Base bordo'!B$2:B$746,B1242,'Base bordo'!F$2:F$746,"DESLOCAMENTO CARREGADO"),0)</f>
        <v>6.3111111111111109</v>
      </c>
      <c r="F1242" s="10">
        <f>IFERROR(SUMIFS('Base bordo'!G$2:G$746,'Base bordo'!C$2:C$746,A1242,'Base bordo'!B$2:B$746,B1242,'Base bordo'!F$2:F$746,"DESLOCAMENTO"),0)</f>
        <v>0</v>
      </c>
      <c r="G1242" s="10">
        <f>IFERROR(SUMIFS('Base bordo'!G$2:G$746,'Base bordo'!C$2:C$746,A1242,'Base bordo'!B$2:B$746,B1242,'Base bordo'!F$2:F$746,"CARREGAMENTO"),0)</f>
        <v>0</v>
      </c>
      <c r="H1242" s="10">
        <f>IFERROR(SUMIFS('Base bordo'!G$2:G$746,'Base bordo'!C$2:C$746,A1242,'Base bordo'!B$2:B$746,B1242,'Base bordo'!F$2:F$746,"AGUARDANDO TRANSBORDO"),0)</f>
        <v>0.24416666666666667</v>
      </c>
      <c r="I1242" s="10">
        <f>IFERROR(SUMIFS('Base bordo'!G$2:G$746,'Base bordo'!C$2:C$746,A1242,'Base bordo'!B$2:B$746,B1242,'Base bordo'!F$2:F$746,"PÁTIO INTERNO"),0)+IFERROR(SUMIFS('Base bordo'!G$2:G$746,'Base bordo'!C$2:C$746,A1242,'Base bordo'!B$2:B$746,B1242,'Base bordo'!F$2:F$746,"PÁTIO EXTERNO"),0)+IFERROR(SUMIFS('Base bordo'!G$2:G$746,'Base bordo'!C$2:C$746,A1242,'Base bordo'!B$2:B$746,B1242,'Base bordo'!F$2:F$746,"PATIO - RESERVA"),0)+IFERROR(SUMIFS('Base bordo'!G$2:G$746,'Base bordo'!C$2:C$746,A1242,'Base bordo'!B$2:B$746,B1242,'Base bordo'!F$2:F$746,"MANOBRA CARRETAS-PATIO"),0)</f>
        <v>3.2016666666666667</v>
      </c>
      <c r="J1242" s="10">
        <f>IFERROR(SUMIFS('Base bordo'!G$2:G$746,'Base bordo'!C$2:C$746,A1242,'Base bordo'!B$2:B$746,B1242,'Base bordo'!F$2:F$746,"BALANÇA - ENTRADA"),0)+IFERROR(SUMIFS('Base bordo'!G$2:G$746,'Base bordo'!C$2:C$746,A1242,'Base bordo'!B$2:B$746,B1242,'Base bordo'!F$2:F$746,"BALANÇA - SAÍDA"),0)</f>
        <v>0.21722222222222221</v>
      </c>
      <c r="K1242" s="10">
        <f>IFERROR(SUMIFS('Base bordo'!G$2:G$746,'Base bordo'!C$2:C$746,A1242,'Base bordo'!B$2:B$746,B1242,'Base bordo'!F$2:F$746,"MAN PREVENTIVA - MECANICA"),0)+IFERROR(SUMIFS('Base bordo'!G$2:G$746,'Base bordo'!C$2:C$746,A1242,'Base bordo'!B$2:B$746,B1242,'Base bordo'!F$2:F$746,"MAN CORRETIVA - MECANICA"),0)</f>
        <v>0</v>
      </c>
      <c r="L1242" s="10">
        <f>IFERROR(SUMIFS('Base bordo'!G$2:G$746,'Base bordo'!C$2:C$746,A1242,'Base bordo'!B$2:B$746,B1242,'Base bordo'!F$2:F$746,"MANUTENCAO - T O"),0)+IFERROR(SUMIFS('Base bordo'!G$2:G$746,'Base bordo'!C$2:C$746,A1242,'Base bordo'!B$2:B$746,B1242,'Base bordo'!F$2:F$746,"MANUTENCAO BORRACHARIA"),0)+IFERROR(SUMIFS('Base bordo'!G$2:G$746,'Base bordo'!C$2:C$746,A1242,'Base bordo'!B$2:B$746,B1242,'Base bordo'!F$2:F$746,"MANUTENCAO EXTERNA  CONCESSIONARIA"),0)+IFERROR(SUMIFS('Base bordo'!G$2:G$746,'Base bordo'!C$2:C$746,A1242,'Base bordo'!B$2:B$746,B1242,'Base bordo'!F$2:F$746,"MANUTENCAO TELEMETRIA"),0)</f>
        <v>0</v>
      </c>
      <c r="M1242" s="10">
        <f>IFERROR(SUMIFS('Base bordo'!G$2:G$746,'Base bordo'!C$2:C$746,A1242,'Base bordo'!B$2:B$746,B1242,'Base bordo'!F$2:F$746,"AGUARDANDO MANUTENCAO"),0)</f>
        <v>0</v>
      </c>
      <c r="N1242" s="10">
        <f>IFERROR(SUMIFS('Base bordo'!G$2:G$746,'Base bordo'!C$2:C$746,A1242,'Base bordo'!B$2:B$746,B1242,'Base bordo'!F$2:F$746,"SEM APONTAMENTO"),0)</f>
        <v>0</v>
      </c>
      <c r="O1242" s="10">
        <f t="shared" si="126"/>
        <v>6.3333333333332575E-2</v>
      </c>
      <c r="P1242" s="10">
        <f>IFERROR(SUMIFS('Base bordo'!G$2:G$746,'Base bordo'!C$2:C$746,A1242,'Base bordo'!B$2:B$746,B1242),0)</f>
        <v>12.314444444444444</v>
      </c>
      <c r="Q1242" s="10">
        <f>IFERROR(SUMIFS('Base bordo'!H$2:H$746,'Base bordo'!C$2:C$746,A1242,'Base bordo'!B$2:B$746,B1242,'Base bordo'!F$2:F$746,"DESLOCAMENTO VAZIO"),0)</f>
        <v>282969.98000000004</v>
      </c>
      <c r="R1242" s="10">
        <f>IFERROR(SUMIFS('Base bordo'!I$2:I$746,'Base bordo'!C$2:C$746,A1242,'Base bordo'!B$2:B$746,B1242,'Base bordo'!F$2:F$746,"DESLOCAMENTO VAZIO"),0)</f>
        <v>8186</v>
      </c>
      <c r="S1242" s="30">
        <f t="shared" si="127"/>
        <v>34.567551917908631</v>
      </c>
      <c r="T1242" s="10">
        <f>IFERROR(SUMIFS('Base bordo'!H$2:H$746,'Base bordo'!C$2:C$746,A1242,'Base bordo'!B$2:B$746,B1242,'Base bordo'!F$2:F$746,"DESLOCAMENTO CARREGADO"),0)</f>
        <v>649243.22</v>
      </c>
      <c r="U1242" s="10">
        <f>IFERROR(SUMIFS('Base bordo'!I$2:I$746,'Base bordo'!C$2:C$746,A1242,'Base bordo'!B$2:B$746,B1242,'Base bordo'!F$2:F$746,"DESLOCAMENTO CARREGADO"),0)</f>
        <v>22720</v>
      </c>
      <c r="V1242" s="30">
        <f t="shared" si="128"/>
        <v>28.575845950704224</v>
      </c>
      <c r="W1242" s="9">
        <f t="shared" si="129"/>
        <v>0.18490029775331593</v>
      </c>
      <c r="X1242" s="9">
        <f t="shared" si="130"/>
        <v>0.51249661643959221</v>
      </c>
      <c r="Y1242" s="9">
        <f t="shared" si="131"/>
        <v>0.30260308580709183</v>
      </c>
    </row>
    <row r="1243" spans="1:25" ht="15" customHeight="1" x14ac:dyDescent="0.35">
      <c r="A1243" s="52">
        <v>8013470</v>
      </c>
      <c r="B1243" s="51">
        <v>46124</v>
      </c>
      <c r="C1243" s="7" t="s">
        <v>124</v>
      </c>
      <c r="D1243" s="10">
        <f>IFERROR(SUMIFS('Base bordo'!G$2:G$746,'Base bordo'!C$2:C$746,A1243,'Base bordo'!B$2:B$746,B1243,'Base bordo'!F$2:F$746,"DESLOCAMENTO VAZIO"),0)</f>
        <v>2.2769444444444447</v>
      </c>
      <c r="E1243" s="10">
        <f>IFERROR(SUMIFS('Base bordo'!G$2:G$746,'Base bordo'!C$2:C$746,A1243,'Base bordo'!B$2:B$746,B1243,'Base bordo'!F$2:F$746,"DESLOCAMENTO CARREGADO"),0)</f>
        <v>6.3111111111111109</v>
      </c>
      <c r="F1243" s="10">
        <f>IFERROR(SUMIFS('Base bordo'!G$2:G$746,'Base bordo'!C$2:C$746,A1243,'Base bordo'!B$2:B$746,B1243,'Base bordo'!F$2:F$746,"DESLOCAMENTO"),0)</f>
        <v>0</v>
      </c>
      <c r="G1243" s="10">
        <f>IFERROR(SUMIFS('Base bordo'!G$2:G$746,'Base bordo'!C$2:C$746,A1243,'Base bordo'!B$2:B$746,B1243,'Base bordo'!F$2:F$746,"CARREGAMENTO"),0)</f>
        <v>0</v>
      </c>
      <c r="H1243" s="10">
        <f>IFERROR(SUMIFS('Base bordo'!G$2:G$746,'Base bordo'!C$2:C$746,A1243,'Base bordo'!B$2:B$746,B1243,'Base bordo'!F$2:F$746,"AGUARDANDO TRANSBORDO"),0)</f>
        <v>0.24416666666666667</v>
      </c>
      <c r="I1243" s="10">
        <f>IFERROR(SUMIFS('Base bordo'!G$2:G$746,'Base bordo'!C$2:C$746,A1243,'Base bordo'!B$2:B$746,B1243,'Base bordo'!F$2:F$746,"PÁTIO INTERNO"),0)+IFERROR(SUMIFS('Base bordo'!G$2:G$746,'Base bordo'!C$2:C$746,A1243,'Base bordo'!B$2:B$746,B1243,'Base bordo'!F$2:F$746,"PÁTIO EXTERNO"),0)+IFERROR(SUMIFS('Base bordo'!G$2:G$746,'Base bordo'!C$2:C$746,A1243,'Base bordo'!B$2:B$746,B1243,'Base bordo'!F$2:F$746,"PATIO - RESERVA"),0)+IFERROR(SUMIFS('Base bordo'!G$2:G$746,'Base bordo'!C$2:C$746,A1243,'Base bordo'!B$2:B$746,B1243,'Base bordo'!F$2:F$746,"MANOBRA CARRETAS-PATIO"),0)</f>
        <v>3.2016666666666667</v>
      </c>
      <c r="J1243" s="10">
        <f>IFERROR(SUMIFS('Base bordo'!G$2:G$746,'Base bordo'!C$2:C$746,A1243,'Base bordo'!B$2:B$746,B1243,'Base bordo'!F$2:F$746,"BALANÇA - ENTRADA"),0)+IFERROR(SUMIFS('Base bordo'!G$2:G$746,'Base bordo'!C$2:C$746,A1243,'Base bordo'!B$2:B$746,B1243,'Base bordo'!F$2:F$746,"BALANÇA - SAÍDA"),0)</f>
        <v>0.21722222222222221</v>
      </c>
      <c r="K1243" s="10">
        <f>IFERROR(SUMIFS('Base bordo'!G$2:G$746,'Base bordo'!C$2:C$746,A1243,'Base bordo'!B$2:B$746,B1243,'Base bordo'!F$2:F$746,"MAN PREVENTIVA - MECANICA"),0)+IFERROR(SUMIFS('Base bordo'!G$2:G$746,'Base bordo'!C$2:C$746,A1243,'Base bordo'!B$2:B$746,B1243,'Base bordo'!F$2:F$746,"MAN CORRETIVA - MECANICA"),0)</f>
        <v>0</v>
      </c>
      <c r="L1243" s="10">
        <f>IFERROR(SUMIFS('Base bordo'!G$2:G$746,'Base bordo'!C$2:C$746,A1243,'Base bordo'!B$2:B$746,B1243,'Base bordo'!F$2:F$746,"MANUTENCAO - T O"),0)+IFERROR(SUMIFS('Base bordo'!G$2:G$746,'Base bordo'!C$2:C$746,A1243,'Base bordo'!B$2:B$746,B1243,'Base bordo'!F$2:F$746,"MANUTENCAO BORRACHARIA"),0)+IFERROR(SUMIFS('Base bordo'!G$2:G$746,'Base bordo'!C$2:C$746,A1243,'Base bordo'!B$2:B$746,B1243,'Base bordo'!F$2:F$746,"MANUTENCAO EXTERNA  CONCESSIONARIA"),0)+IFERROR(SUMIFS('Base bordo'!G$2:G$746,'Base bordo'!C$2:C$746,A1243,'Base bordo'!B$2:B$746,B1243,'Base bordo'!F$2:F$746,"MANUTENCAO TELEMETRIA"),0)</f>
        <v>0</v>
      </c>
      <c r="M1243" s="10">
        <f>IFERROR(SUMIFS('Base bordo'!G$2:G$746,'Base bordo'!C$2:C$746,A1243,'Base bordo'!B$2:B$746,B1243,'Base bordo'!F$2:F$746,"AGUARDANDO MANUTENCAO"),0)</f>
        <v>0</v>
      </c>
      <c r="N1243" s="10">
        <f>IFERROR(SUMIFS('Base bordo'!G$2:G$746,'Base bordo'!C$2:C$746,A1243,'Base bordo'!B$2:B$746,B1243,'Base bordo'!F$2:F$746,"SEM APONTAMENTO"),0)</f>
        <v>0</v>
      </c>
      <c r="O1243" s="10">
        <f t="shared" si="126"/>
        <v>6.3333333333332575E-2</v>
      </c>
      <c r="P1243" s="10">
        <f>IFERROR(SUMIFS('Base bordo'!G$2:G$746,'Base bordo'!C$2:C$746,A1243,'Base bordo'!B$2:B$746,B1243),0)</f>
        <v>12.314444444444444</v>
      </c>
      <c r="Q1243" s="10">
        <f>IFERROR(SUMIFS('Base bordo'!H$2:H$746,'Base bordo'!C$2:C$746,A1243,'Base bordo'!B$2:B$746,B1243,'Base bordo'!F$2:F$746,"DESLOCAMENTO VAZIO"),0)</f>
        <v>282969.98000000004</v>
      </c>
      <c r="R1243" s="10">
        <f>IFERROR(SUMIFS('Base bordo'!I$2:I$746,'Base bordo'!C$2:C$746,A1243,'Base bordo'!B$2:B$746,B1243,'Base bordo'!F$2:F$746,"DESLOCAMENTO VAZIO"),0)</f>
        <v>8186</v>
      </c>
      <c r="S1243" s="30">
        <f t="shared" si="127"/>
        <v>34.567551917908631</v>
      </c>
      <c r="T1243" s="10">
        <f>IFERROR(SUMIFS('Base bordo'!H$2:H$746,'Base bordo'!C$2:C$746,A1243,'Base bordo'!B$2:B$746,B1243,'Base bordo'!F$2:F$746,"DESLOCAMENTO CARREGADO"),0)</f>
        <v>649243.22</v>
      </c>
      <c r="U1243" s="10">
        <f>IFERROR(SUMIFS('Base bordo'!I$2:I$746,'Base bordo'!C$2:C$746,A1243,'Base bordo'!B$2:B$746,B1243,'Base bordo'!F$2:F$746,"DESLOCAMENTO CARREGADO"),0)</f>
        <v>22720</v>
      </c>
      <c r="V1243" s="30">
        <f t="shared" si="128"/>
        <v>28.575845950704224</v>
      </c>
      <c r="W1243" s="9">
        <f t="shared" si="129"/>
        <v>0.18490029775331593</v>
      </c>
      <c r="X1243" s="9">
        <f t="shared" si="130"/>
        <v>0.51249661643959221</v>
      </c>
      <c r="Y1243" s="9">
        <f t="shared" si="131"/>
        <v>0.30260308580709183</v>
      </c>
    </row>
    <row r="1244" spans="1:25" ht="15" customHeight="1" x14ac:dyDescent="0.35">
      <c r="A1244" s="52">
        <v>8013470</v>
      </c>
      <c r="B1244" s="51">
        <v>46124</v>
      </c>
      <c r="C1244" s="7" t="s">
        <v>124</v>
      </c>
      <c r="D1244" s="10">
        <f>IFERROR(SUMIFS('Base bordo'!G$2:G$746,'Base bordo'!C$2:C$746,A1244,'Base bordo'!B$2:B$746,B1244,'Base bordo'!F$2:F$746,"DESLOCAMENTO VAZIO"),0)</f>
        <v>2.2769444444444447</v>
      </c>
      <c r="E1244" s="10">
        <f>IFERROR(SUMIFS('Base bordo'!G$2:G$746,'Base bordo'!C$2:C$746,A1244,'Base bordo'!B$2:B$746,B1244,'Base bordo'!F$2:F$746,"DESLOCAMENTO CARREGADO"),0)</f>
        <v>6.3111111111111109</v>
      </c>
      <c r="F1244" s="10">
        <f>IFERROR(SUMIFS('Base bordo'!G$2:G$746,'Base bordo'!C$2:C$746,A1244,'Base bordo'!B$2:B$746,B1244,'Base bordo'!F$2:F$746,"DESLOCAMENTO"),0)</f>
        <v>0</v>
      </c>
      <c r="G1244" s="10">
        <f>IFERROR(SUMIFS('Base bordo'!G$2:G$746,'Base bordo'!C$2:C$746,A1244,'Base bordo'!B$2:B$746,B1244,'Base bordo'!F$2:F$746,"CARREGAMENTO"),0)</f>
        <v>0</v>
      </c>
      <c r="H1244" s="10">
        <f>IFERROR(SUMIFS('Base bordo'!G$2:G$746,'Base bordo'!C$2:C$746,A1244,'Base bordo'!B$2:B$746,B1244,'Base bordo'!F$2:F$746,"AGUARDANDO TRANSBORDO"),0)</f>
        <v>0.24416666666666667</v>
      </c>
      <c r="I1244" s="10">
        <f>IFERROR(SUMIFS('Base bordo'!G$2:G$746,'Base bordo'!C$2:C$746,A1244,'Base bordo'!B$2:B$746,B1244,'Base bordo'!F$2:F$746,"PÁTIO INTERNO"),0)+IFERROR(SUMIFS('Base bordo'!G$2:G$746,'Base bordo'!C$2:C$746,A1244,'Base bordo'!B$2:B$746,B1244,'Base bordo'!F$2:F$746,"PÁTIO EXTERNO"),0)+IFERROR(SUMIFS('Base bordo'!G$2:G$746,'Base bordo'!C$2:C$746,A1244,'Base bordo'!B$2:B$746,B1244,'Base bordo'!F$2:F$746,"PATIO - RESERVA"),0)+IFERROR(SUMIFS('Base bordo'!G$2:G$746,'Base bordo'!C$2:C$746,A1244,'Base bordo'!B$2:B$746,B1244,'Base bordo'!F$2:F$746,"MANOBRA CARRETAS-PATIO"),0)</f>
        <v>3.2016666666666667</v>
      </c>
      <c r="J1244" s="10">
        <f>IFERROR(SUMIFS('Base bordo'!G$2:G$746,'Base bordo'!C$2:C$746,A1244,'Base bordo'!B$2:B$746,B1244,'Base bordo'!F$2:F$746,"BALANÇA - ENTRADA"),0)+IFERROR(SUMIFS('Base bordo'!G$2:G$746,'Base bordo'!C$2:C$746,A1244,'Base bordo'!B$2:B$746,B1244,'Base bordo'!F$2:F$746,"BALANÇA - SAÍDA"),0)</f>
        <v>0.21722222222222221</v>
      </c>
      <c r="K1244" s="10">
        <f>IFERROR(SUMIFS('Base bordo'!G$2:G$746,'Base bordo'!C$2:C$746,A1244,'Base bordo'!B$2:B$746,B1244,'Base bordo'!F$2:F$746,"MAN PREVENTIVA - MECANICA"),0)+IFERROR(SUMIFS('Base bordo'!G$2:G$746,'Base bordo'!C$2:C$746,A1244,'Base bordo'!B$2:B$746,B1244,'Base bordo'!F$2:F$746,"MAN CORRETIVA - MECANICA"),0)</f>
        <v>0</v>
      </c>
      <c r="L1244" s="10">
        <f>IFERROR(SUMIFS('Base bordo'!G$2:G$746,'Base bordo'!C$2:C$746,A1244,'Base bordo'!B$2:B$746,B1244,'Base bordo'!F$2:F$746,"MANUTENCAO - T O"),0)+IFERROR(SUMIFS('Base bordo'!G$2:G$746,'Base bordo'!C$2:C$746,A1244,'Base bordo'!B$2:B$746,B1244,'Base bordo'!F$2:F$746,"MANUTENCAO BORRACHARIA"),0)+IFERROR(SUMIFS('Base bordo'!G$2:G$746,'Base bordo'!C$2:C$746,A1244,'Base bordo'!B$2:B$746,B1244,'Base bordo'!F$2:F$746,"MANUTENCAO EXTERNA  CONCESSIONARIA"),0)+IFERROR(SUMIFS('Base bordo'!G$2:G$746,'Base bordo'!C$2:C$746,A1244,'Base bordo'!B$2:B$746,B1244,'Base bordo'!F$2:F$746,"MANUTENCAO TELEMETRIA"),0)</f>
        <v>0</v>
      </c>
      <c r="M1244" s="10">
        <f>IFERROR(SUMIFS('Base bordo'!G$2:G$746,'Base bordo'!C$2:C$746,A1244,'Base bordo'!B$2:B$746,B1244,'Base bordo'!F$2:F$746,"AGUARDANDO MANUTENCAO"),0)</f>
        <v>0</v>
      </c>
      <c r="N1244" s="10">
        <f>IFERROR(SUMIFS('Base bordo'!G$2:G$746,'Base bordo'!C$2:C$746,A1244,'Base bordo'!B$2:B$746,B1244,'Base bordo'!F$2:F$746,"SEM APONTAMENTO"),0)</f>
        <v>0</v>
      </c>
      <c r="O1244" s="10">
        <f t="shared" si="126"/>
        <v>6.3333333333332575E-2</v>
      </c>
      <c r="P1244" s="10">
        <f>IFERROR(SUMIFS('Base bordo'!G$2:G$746,'Base bordo'!C$2:C$746,A1244,'Base bordo'!B$2:B$746,B1244),0)</f>
        <v>12.314444444444444</v>
      </c>
      <c r="Q1244" s="10">
        <f>IFERROR(SUMIFS('Base bordo'!H$2:H$746,'Base bordo'!C$2:C$746,A1244,'Base bordo'!B$2:B$746,B1244,'Base bordo'!F$2:F$746,"DESLOCAMENTO VAZIO"),0)</f>
        <v>282969.98000000004</v>
      </c>
      <c r="R1244" s="10">
        <f>IFERROR(SUMIFS('Base bordo'!I$2:I$746,'Base bordo'!C$2:C$746,A1244,'Base bordo'!B$2:B$746,B1244,'Base bordo'!F$2:F$746,"DESLOCAMENTO VAZIO"),0)</f>
        <v>8186</v>
      </c>
      <c r="S1244" s="30">
        <f t="shared" si="127"/>
        <v>34.567551917908631</v>
      </c>
      <c r="T1244" s="10">
        <f>IFERROR(SUMIFS('Base bordo'!H$2:H$746,'Base bordo'!C$2:C$746,A1244,'Base bordo'!B$2:B$746,B1244,'Base bordo'!F$2:F$746,"DESLOCAMENTO CARREGADO"),0)</f>
        <v>649243.22</v>
      </c>
      <c r="U1244" s="10">
        <f>IFERROR(SUMIFS('Base bordo'!I$2:I$746,'Base bordo'!C$2:C$746,A1244,'Base bordo'!B$2:B$746,B1244,'Base bordo'!F$2:F$746,"DESLOCAMENTO CARREGADO"),0)</f>
        <v>22720</v>
      </c>
      <c r="V1244" s="30">
        <f t="shared" si="128"/>
        <v>28.575845950704224</v>
      </c>
      <c r="W1244" s="9">
        <f t="shared" si="129"/>
        <v>0.18490029775331593</v>
      </c>
      <c r="X1244" s="9">
        <f t="shared" si="130"/>
        <v>0.51249661643959221</v>
      </c>
      <c r="Y1244" s="9">
        <f t="shared" si="131"/>
        <v>0.30260308580709183</v>
      </c>
    </row>
    <row r="1245" spans="1:25" ht="15" customHeight="1" x14ac:dyDescent="0.35">
      <c r="A1245" s="52">
        <v>8013470</v>
      </c>
      <c r="B1245" s="51">
        <v>46124</v>
      </c>
      <c r="C1245" s="7" t="s">
        <v>124</v>
      </c>
      <c r="D1245" s="10">
        <f>IFERROR(SUMIFS('Base bordo'!G$2:G$746,'Base bordo'!C$2:C$746,A1245,'Base bordo'!B$2:B$746,B1245,'Base bordo'!F$2:F$746,"DESLOCAMENTO VAZIO"),0)</f>
        <v>2.2769444444444447</v>
      </c>
      <c r="E1245" s="10">
        <f>IFERROR(SUMIFS('Base bordo'!G$2:G$746,'Base bordo'!C$2:C$746,A1245,'Base bordo'!B$2:B$746,B1245,'Base bordo'!F$2:F$746,"DESLOCAMENTO CARREGADO"),0)</f>
        <v>6.3111111111111109</v>
      </c>
      <c r="F1245" s="10">
        <f>IFERROR(SUMIFS('Base bordo'!G$2:G$746,'Base bordo'!C$2:C$746,A1245,'Base bordo'!B$2:B$746,B1245,'Base bordo'!F$2:F$746,"DESLOCAMENTO"),0)</f>
        <v>0</v>
      </c>
      <c r="G1245" s="10">
        <f>IFERROR(SUMIFS('Base bordo'!G$2:G$746,'Base bordo'!C$2:C$746,A1245,'Base bordo'!B$2:B$746,B1245,'Base bordo'!F$2:F$746,"CARREGAMENTO"),0)</f>
        <v>0</v>
      </c>
      <c r="H1245" s="10">
        <f>IFERROR(SUMIFS('Base bordo'!G$2:G$746,'Base bordo'!C$2:C$746,A1245,'Base bordo'!B$2:B$746,B1245,'Base bordo'!F$2:F$746,"AGUARDANDO TRANSBORDO"),0)</f>
        <v>0.24416666666666667</v>
      </c>
      <c r="I1245" s="10">
        <f>IFERROR(SUMIFS('Base bordo'!G$2:G$746,'Base bordo'!C$2:C$746,A1245,'Base bordo'!B$2:B$746,B1245,'Base bordo'!F$2:F$746,"PÁTIO INTERNO"),0)+IFERROR(SUMIFS('Base bordo'!G$2:G$746,'Base bordo'!C$2:C$746,A1245,'Base bordo'!B$2:B$746,B1245,'Base bordo'!F$2:F$746,"PÁTIO EXTERNO"),0)+IFERROR(SUMIFS('Base bordo'!G$2:G$746,'Base bordo'!C$2:C$746,A1245,'Base bordo'!B$2:B$746,B1245,'Base bordo'!F$2:F$746,"PATIO - RESERVA"),0)+IFERROR(SUMIFS('Base bordo'!G$2:G$746,'Base bordo'!C$2:C$746,A1245,'Base bordo'!B$2:B$746,B1245,'Base bordo'!F$2:F$746,"MANOBRA CARRETAS-PATIO"),0)</f>
        <v>3.2016666666666667</v>
      </c>
      <c r="J1245" s="10">
        <f>IFERROR(SUMIFS('Base bordo'!G$2:G$746,'Base bordo'!C$2:C$746,A1245,'Base bordo'!B$2:B$746,B1245,'Base bordo'!F$2:F$746,"BALANÇA - ENTRADA"),0)+IFERROR(SUMIFS('Base bordo'!G$2:G$746,'Base bordo'!C$2:C$746,A1245,'Base bordo'!B$2:B$746,B1245,'Base bordo'!F$2:F$746,"BALANÇA - SAÍDA"),0)</f>
        <v>0.21722222222222221</v>
      </c>
      <c r="K1245" s="10">
        <f>IFERROR(SUMIFS('Base bordo'!G$2:G$746,'Base bordo'!C$2:C$746,A1245,'Base bordo'!B$2:B$746,B1245,'Base bordo'!F$2:F$746,"MAN PREVENTIVA - MECANICA"),0)+IFERROR(SUMIFS('Base bordo'!G$2:G$746,'Base bordo'!C$2:C$746,A1245,'Base bordo'!B$2:B$746,B1245,'Base bordo'!F$2:F$746,"MAN CORRETIVA - MECANICA"),0)</f>
        <v>0</v>
      </c>
      <c r="L1245" s="10">
        <f>IFERROR(SUMIFS('Base bordo'!G$2:G$746,'Base bordo'!C$2:C$746,A1245,'Base bordo'!B$2:B$746,B1245,'Base bordo'!F$2:F$746,"MANUTENCAO - T O"),0)+IFERROR(SUMIFS('Base bordo'!G$2:G$746,'Base bordo'!C$2:C$746,A1245,'Base bordo'!B$2:B$746,B1245,'Base bordo'!F$2:F$746,"MANUTENCAO BORRACHARIA"),0)+IFERROR(SUMIFS('Base bordo'!G$2:G$746,'Base bordo'!C$2:C$746,A1245,'Base bordo'!B$2:B$746,B1245,'Base bordo'!F$2:F$746,"MANUTENCAO EXTERNA  CONCESSIONARIA"),0)+IFERROR(SUMIFS('Base bordo'!G$2:G$746,'Base bordo'!C$2:C$746,A1245,'Base bordo'!B$2:B$746,B1245,'Base bordo'!F$2:F$746,"MANUTENCAO TELEMETRIA"),0)</f>
        <v>0</v>
      </c>
      <c r="M1245" s="10">
        <f>IFERROR(SUMIFS('Base bordo'!G$2:G$746,'Base bordo'!C$2:C$746,A1245,'Base bordo'!B$2:B$746,B1245,'Base bordo'!F$2:F$746,"AGUARDANDO MANUTENCAO"),0)</f>
        <v>0</v>
      </c>
      <c r="N1245" s="10">
        <f>IFERROR(SUMIFS('Base bordo'!G$2:G$746,'Base bordo'!C$2:C$746,A1245,'Base bordo'!B$2:B$746,B1245,'Base bordo'!F$2:F$746,"SEM APONTAMENTO"),0)</f>
        <v>0</v>
      </c>
      <c r="O1245" s="10">
        <f t="shared" si="126"/>
        <v>6.3333333333332575E-2</v>
      </c>
      <c r="P1245" s="10">
        <f>IFERROR(SUMIFS('Base bordo'!G$2:G$746,'Base bordo'!C$2:C$746,A1245,'Base bordo'!B$2:B$746,B1245),0)</f>
        <v>12.314444444444444</v>
      </c>
      <c r="Q1245" s="10">
        <f>IFERROR(SUMIFS('Base bordo'!H$2:H$746,'Base bordo'!C$2:C$746,A1245,'Base bordo'!B$2:B$746,B1245,'Base bordo'!F$2:F$746,"DESLOCAMENTO VAZIO"),0)</f>
        <v>282969.98000000004</v>
      </c>
      <c r="R1245" s="10">
        <f>IFERROR(SUMIFS('Base bordo'!I$2:I$746,'Base bordo'!C$2:C$746,A1245,'Base bordo'!B$2:B$746,B1245,'Base bordo'!F$2:F$746,"DESLOCAMENTO VAZIO"),0)</f>
        <v>8186</v>
      </c>
      <c r="S1245" s="30">
        <f t="shared" si="127"/>
        <v>34.567551917908631</v>
      </c>
      <c r="T1245" s="10">
        <f>IFERROR(SUMIFS('Base bordo'!H$2:H$746,'Base bordo'!C$2:C$746,A1245,'Base bordo'!B$2:B$746,B1245,'Base bordo'!F$2:F$746,"DESLOCAMENTO CARREGADO"),0)</f>
        <v>649243.22</v>
      </c>
      <c r="U1245" s="10">
        <f>IFERROR(SUMIFS('Base bordo'!I$2:I$746,'Base bordo'!C$2:C$746,A1245,'Base bordo'!B$2:B$746,B1245,'Base bordo'!F$2:F$746,"DESLOCAMENTO CARREGADO"),0)</f>
        <v>22720</v>
      </c>
      <c r="V1245" s="30">
        <f t="shared" si="128"/>
        <v>28.575845950704224</v>
      </c>
      <c r="W1245" s="9">
        <f t="shared" si="129"/>
        <v>0.18490029775331593</v>
      </c>
      <c r="X1245" s="9">
        <f t="shared" si="130"/>
        <v>0.51249661643959221</v>
      </c>
      <c r="Y1245" s="9">
        <f t="shared" si="131"/>
        <v>0.30260308580709183</v>
      </c>
    </row>
    <row r="1246" spans="1:25" ht="15" customHeight="1" x14ac:dyDescent="0.35">
      <c r="A1246" s="52">
        <v>8013470</v>
      </c>
      <c r="B1246" s="51">
        <v>46124</v>
      </c>
      <c r="C1246" s="7" t="s">
        <v>124</v>
      </c>
      <c r="D1246" s="10">
        <f>IFERROR(SUMIFS('Base bordo'!G$2:G$746,'Base bordo'!C$2:C$746,A1246,'Base bordo'!B$2:B$746,B1246,'Base bordo'!F$2:F$746,"DESLOCAMENTO VAZIO"),0)</f>
        <v>2.2769444444444447</v>
      </c>
      <c r="E1246" s="10">
        <f>IFERROR(SUMIFS('Base bordo'!G$2:G$746,'Base bordo'!C$2:C$746,A1246,'Base bordo'!B$2:B$746,B1246,'Base bordo'!F$2:F$746,"DESLOCAMENTO CARREGADO"),0)</f>
        <v>6.3111111111111109</v>
      </c>
      <c r="F1246" s="10">
        <f>IFERROR(SUMIFS('Base bordo'!G$2:G$746,'Base bordo'!C$2:C$746,A1246,'Base bordo'!B$2:B$746,B1246,'Base bordo'!F$2:F$746,"DESLOCAMENTO"),0)</f>
        <v>0</v>
      </c>
      <c r="G1246" s="10">
        <f>IFERROR(SUMIFS('Base bordo'!G$2:G$746,'Base bordo'!C$2:C$746,A1246,'Base bordo'!B$2:B$746,B1246,'Base bordo'!F$2:F$746,"CARREGAMENTO"),0)</f>
        <v>0</v>
      </c>
      <c r="H1246" s="10">
        <f>IFERROR(SUMIFS('Base bordo'!G$2:G$746,'Base bordo'!C$2:C$746,A1246,'Base bordo'!B$2:B$746,B1246,'Base bordo'!F$2:F$746,"AGUARDANDO TRANSBORDO"),0)</f>
        <v>0.24416666666666667</v>
      </c>
      <c r="I1246" s="10">
        <f>IFERROR(SUMIFS('Base bordo'!G$2:G$746,'Base bordo'!C$2:C$746,A1246,'Base bordo'!B$2:B$746,B1246,'Base bordo'!F$2:F$746,"PÁTIO INTERNO"),0)+IFERROR(SUMIFS('Base bordo'!G$2:G$746,'Base bordo'!C$2:C$746,A1246,'Base bordo'!B$2:B$746,B1246,'Base bordo'!F$2:F$746,"PÁTIO EXTERNO"),0)+IFERROR(SUMIFS('Base bordo'!G$2:G$746,'Base bordo'!C$2:C$746,A1246,'Base bordo'!B$2:B$746,B1246,'Base bordo'!F$2:F$746,"PATIO - RESERVA"),0)+IFERROR(SUMIFS('Base bordo'!G$2:G$746,'Base bordo'!C$2:C$746,A1246,'Base bordo'!B$2:B$746,B1246,'Base bordo'!F$2:F$746,"MANOBRA CARRETAS-PATIO"),0)</f>
        <v>3.2016666666666667</v>
      </c>
      <c r="J1246" s="10">
        <f>IFERROR(SUMIFS('Base bordo'!G$2:G$746,'Base bordo'!C$2:C$746,A1246,'Base bordo'!B$2:B$746,B1246,'Base bordo'!F$2:F$746,"BALANÇA - ENTRADA"),0)+IFERROR(SUMIFS('Base bordo'!G$2:G$746,'Base bordo'!C$2:C$746,A1246,'Base bordo'!B$2:B$746,B1246,'Base bordo'!F$2:F$746,"BALANÇA - SAÍDA"),0)</f>
        <v>0.21722222222222221</v>
      </c>
      <c r="K1246" s="10">
        <f>IFERROR(SUMIFS('Base bordo'!G$2:G$746,'Base bordo'!C$2:C$746,A1246,'Base bordo'!B$2:B$746,B1246,'Base bordo'!F$2:F$746,"MAN PREVENTIVA - MECANICA"),0)+IFERROR(SUMIFS('Base bordo'!G$2:G$746,'Base bordo'!C$2:C$746,A1246,'Base bordo'!B$2:B$746,B1246,'Base bordo'!F$2:F$746,"MAN CORRETIVA - MECANICA"),0)</f>
        <v>0</v>
      </c>
      <c r="L1246" s="10">
        <f>IFERROR(SUMIFS('Base bordo'!G$2:G$746,'Base bordo'!C$2:C$746,A1246,'Base bordo'!B$2:B$746,B1246,'Base bordo'!F$2:F$746,"MANUTENCAO - T O"),0)+IFERROR(SUMIFS('Base bordo'!G$2:G$746,'Base bordo'!C$2:C$746,A1246,'Base bordo'!B$2:B$746,B1246,'Base bordo'!F$2:F$746,"MANUTENCAO BORRACHARIA"),0)+IFERROR(SUMIFS('Base bordo'!G$2:G$746,'Base bordo'!C$2:C$746,A1246,'Base bordo'!B$2:B$746,B1246,'Base bordo'!F$2:F$746,"MANUTENCAO EXTERNA  CONCESSIONARIA"),0)+IFERROR(SUMIFS('Base bordo'!G$2:G$746,'Base bordo'!C$2:C$746,A1246,'Base bordo'!B$2:B$746,B1246,'Base bordo'!F$2:F$746,"MANUTENCAO TELEMETRIA"),0)</f>
        <v>0</v>
      </c>
      <c r="M1246" s="10">
        <f>IFERROR(SUMIFS('Base bordo'!G$2:G$746,'Base bordo'!C$2:C$746,A1246,'Base bordo'!B$2:B$746,B1246,'Base bordo'!F$2:F$746,"AGUARDANDO MANUTENCAO"),0)</f>
        <v>0</v>
      </c>
      <c r="N1246" s="10">
        <f>IFERROR(SUMIFS('Base bordo'!G$2:G$746,'Base bordo'!C$2:C$746,A1246,'Base bordo'!B$2:B$746,B1246,'Base bordo'!F$2:F$746,"SEM APONTAMENTO"),0)</f>
        <v>0</v>
      </c>
      <c r="O1246" s="10">
        <f t="shared" si="126"/>
        <v>6.3333333333332575E-2</v>
      </c>
      <c r="P1246" s="10">
        <f>IFERROR(SUMIFS('Base bordo'!G$2:G$746,'Base bordo'!C$2:C$746,A1246,'Base bordo'!B$2:B$746,B1246),0)</f>
        <v>12.314444444444444</v>
      </c>
      <c r="Q1246" s="10">
        <f>IFERROR(SUMIFS('Base bordo'!H$2:H$746,'Base bordo'!C$2:C$746,A1246,'Base bordo'!B$2:B$746,B1246,'Base bordo'!F$2:F$746,"DESLOCAMENTO VAZIO"),0)</f>
        <v>282969.98000000004</v>
      </c>
      <c r="R1246" s="10">
        <f>IFERROR(SUMIFS('Base bordo'!I$2:I$746,'Base bordo'!C$2:C$746,A1246,'Base bordo'!B$2:B$746,B1246,'Base bordo'!F$2:F$746,"DESLOCAMENTO VAZIO"),0)</f>
        <v>8186</v>
      </c>
      <c r="S1246" s="30">
        <f t="shared" si="127"/>
        <v>34.567551917908631</v>
      </c>
      <c r="T1246" s="10">
        <f>IFERROR(SUMIFS('Base bordo'!H$2:H$746,'Base bordo'!C$2:C$746,A1246,'Base bordo'!B$2:B$746,B1246,'Base bordo'!F$2:F$746,"DESLOCAMENTO CARREGADO"),0)</f>
        <v>649243.22</v>
      </c>
      <c r="U1246" s="10">
        <f>IFERROR(SUMIFS('Base bordo'!I$2:I$746,'Base bordo'!C$2:C$746,A1246,'Base bordo'!B$2:B$746,B1246,'Base bordo'!F$2:F$746,"DESLOCAMENTO CARREGADO"),0)</f>
        <v>22720</v>
      </c>
      <c r="V1246" s="30">
        <f t="shared" si="128"/>
        <v>28.575845950704224</v>
      </c>
      <c r="W1246" s="9">
        <f t="shared" si="129"/>
        <v>0.18490029775331593</v>
      </c>
      <c r="X1246" s="9">
        <f t="shared" si="130"/>
        <v>0.51249661643959221</v>
      </c>
      <c r="Y1246" s="9">
        <f t="shared" si="131"/>
        <v>0.30260308580709183</v>
      </c>
    </row>
    <row r="1247" spans="1:25" ht="15" customHeight="1" x14ac:dyDescent="0.35">
      <c r="A1247" s="52">
        <v>8013470</v>
      </c>
      <c r="B1247" s="51">
        <v>46124</v>
      </c>
      <c r="C1247" s="7" t="s">
        <v>124</v>
      </c>
      <c r="D1247" s="10">
        <f>IFERROR(SUMIFS('Base bordo'!G$2:G$746,'Base bordo'!C$2:C$746,A1247,'Base bordo'!B$2:B$746,B1247,'Base bordo'!F$2:F$746,"DESLOCAMENTO VAZIO"),0)</f>
        <v>2.2769444444444447</v>
      </c>
      <c r="E1247" s="10">
        <f>IFERROR(SUMIFS('Base bordo'!G$2:G$746,'Base bordo'!C$2:C$746,A1247,'Base bordo'!B$2:B$746,B1247,'Base bordo'!F$2:F$746,"DESLOCAMENTO CARREGADO"),0)</f>
        <v>6.3111111111111109</v>
      </c>
      <c r="F1247" s="10">
        <f>IFERROR(SUMIFS('Base bordo'!G$2:G$746,'Base bordo'!C$2:C$746,A1247,'Base bordo'!B$2:B$746,B1247,'Base bordo'!F$2:F$746,"DESLOCAMENTO"),0)</f>
        <v>0</v>
      </c>
      <c r="G1247" s="10">
        <f>IFERROR(SUMIFS('Base bordo'!G$2:G$746,'Base bordo'!C$2:C$746,A1247,'Base bordo'!B$2:B$746,B1247,'Base bordo'!F$2:F$746,"CARREGAMENTO"),0)</f>
        <v>0</v>
      </c>
      <c r="H1247" s="10">
        <f>IFERROR(SUMIFS('Base bordo'!G$2:G$746,'Base bordo'!C$2:C$746,A1247,'Base bordo'!B$2:B$746,B1247,'Base bordo'!F$2:F$746,"AGUARDANDO TRANSBORDO"),0)</f>
        <v>0.24416666666666667</v>
      </c>
      <c r="I1247" s="10">
        <f>IFERROR(SUMIFS('Base bordo'!G$2:G$746,'Base bordo'!C$2:C$746,A1247,'Base bordo'!B$2:B$746,B1247,'Base bordo'!F$2:F$746,"PÁTIO INTERNO"),0)+IFERROR(SUMIFS('Base bordo'!G$2:G$746,'Base bordo'!C$2:C$746,A1247,'Base bordo'!B$2:B$746,B1247,'Base bordo'!F$2:F$746,"PÁTIO EXTERNO"),0)+IFERROR(SUMIFS('Base bordo'!G$2:G$746,'Base bordo'!C$2:C$746,A1247,'Base bordo'!B$2:B$746,B1247,'Base bordo'!F$2:F$746,"PATIO - RESERVA"),0)+IFERROR(SUMIFS('Base bordo'!G$2:G$746,'Base bordo'!C$2:C$746,A1247,'Base bordo'!B$2:B$746,B1247,'Base bordo'!F$2:F$746,"MANOBRA CARRETAS-PATIO"),0)</f>
        <v>3.2016666666666667</v>
      </c>
      <c r="J1247" s="10">
        <f>IFERROR(SUMIFS('Base bordo'!G$2:G$746,'Base bordo'!C$2:C$746,A1247,'Base bordo'!B$2:B$746,B1247,'Base bordo'!F$2:F$746,"BALANÇA - ENTRADA"),0)+IFERROR(SUMIFS('Base bordo'!G$2:G$746,'Base bordo'!C$2:C$746,A1247,'Base bordo'!B$2:B$746,B1247,'Base bordo'!F$2:F$746,"BALANÇA - SAÍDA"),0)</f>
        <v>0.21722222222222221</v>
      </c>
      <c r="K1247" s="10">
        <f>IFERROR(SUMIFS('Base bordo'!G$2:G$746,'Base bordo'!C$2:C$746,A1247,'Base bordo'!B$2:B$746,B1247,'Base bordo'!F$2:F$746,"MAN PREVENTIVA - MECANICA"),0)+IFERROR(SUMIFS('Base bordo'!G$2:G$746,'Base bordo'!C$2:C$746,A1247,'Base bordo'!B$2:B$746,B1247,'Base bordo'!F$2:F$746,"MAN CORRETIVA - MECANICA"),0)</f>
        <v>0</v>
      </c>
      <c r="L1247" s="10">
        <f>IFERROR(SUMIFS('Base bordo'!G$2:G$746,'Base bordo'!C$2:C$746,A1247,'Base bordo'!B$2:B$746,B1247,'Base bordo'!F$2:F$746,"MANUTENCAO - T O"),0)+IFERROR(SUMIFS('Base bordo'!G$2:G$746,'Base bordo'!C$2:C$746,A1247,'Base bordo'!B$2:B$746,B1247,'Base bordo'!F$2:F$746,"MANUTENCAO BORRACHARIA"),0)+IFERROR(SUMIFS('Base bordo'!G$2:G$746,'Base bordo'!C$2:C$746,A1247,'Base bordo'!B$2:B$746,B1247,'Base bordo'!F$2:F$746,"MANUTENCAO EXTERNA  CONCESSIONARIA"),0)+IFERROR(SUMIFS('Base bordo'!G$2:G$746,'Base bordo'!C$2:C$746,A1247,'Base bordo'!B$2:B$746,B1247,'Base bordo'!F$2:F$746,"MANUTENCAO TELEMETRIA"),0)</f>
        <v>0</v>
      </c>
      <c r="M1247" s="10">
        <f>IFERROR(SUMIFS('Base bordo'!G$2:G$746,'Base bordo'!C$2:C$746,A1247,'Base bordo'!B$2:B$746,B1247,'Base bordo'!F$2:F$746,"AGUARDANDO MANUTENCAO"),0)</f>
        <v>0</v>
      </c>
      <c r="N1247" s="10">
        <f>IFERROR(SUMIFS('Base bordo'!G$2:G$746,'Base bordo'!C$2:C$746,A1247,'Base bordo'!B$2:B$746,B1247,'Base bordo'!F$2:F$746,"SEM APONTAMENTO"),0)</f>
        <v>0</v>
      </c>
      <c r="O1247" s="10">
        <f t="shared" si="126"/>
        <v>6.3333333333332575E-2</v>
      </c>
      <c r="P1247" s="10">
        <f>IFERROR(SUMIFS('Base bordo'!G$2:G$746,'Base bordo'!C$2:C$746,A1247,'Base bordo'!B$2:B$746,B1247),0)</f>
        <v>12.314444444444444</v>
      </c>
      <c r="Q1247" s="10">
        <f>IFERROR(SUMIFS('Base bordo'!H$2:H$746,'Base bordo'!C$2:C$746,A1247,'Base bordo'!B$2:B$746,B1247,'Base bordo'!F$2:F$746,"DESLOCAMENTO VAZIO"),0)</f>
        <v>282969.98000000004</v>
      </c>
      <c r="R1247" s="10">
        <f>IFERROR(SUMIFS('Base bordo'!I$2:I$746,'Base bordo'!C$2:C$746,A1247,'Base bordo'!B$2:B$746,B1247,'Base bordo'!F$2:F$746,"DESLOCAMENTO VAZIO"),0)</f>
        <v>8186</v>
      </c>
      <c r="S1247" s="30">
        <f t="shared" si="127"/>
        <v>34.567551917908631</v>
      </c>
      <c r="T1247" s="10">
        <f>IFERROR(SUMIFS('Base bordo'!H$2:H$746,'Base bordo'!C$2:C$746,A1247,'Base bordo'!B$2:B$746,B1247,'Base bordo'!F$2:F$746,"DESLOCAMENTO CARREGADO"),0)</f>
        <v>649243.22</v>
      </c>
      <c r="U1247" s="10">
        <f>IFERROR(SUMIFS('Base bordo'!I$2:I$746,'Base bordo'!C$2:C$746,A1247,'Base bordo'!B$2:B$746,B1247,'Base bordo'!F$2:F$746,"DESLOCAMENTO CARREGADO"),0)</f>
        <v>22720</v>
      </c>
      <c r="V1247" s="30">
        <f t="shared" si="128"/>
        <v>28.575845950704224</v>
      </c>
      <c r="W1247" s="9">
        <f t="shared" si="129"/>
        <v>0.18490029775331593</v>
      </c>
      <c r="X1247" s="9">
        <f t="shared" si="130"/>
        <v>0.51249661643959221</v>
      </c>
      <c r="Y1247" s="9">
        <f t="shared" si="131"/>
        <v>0.30260308580709183</v>
      </c>
    </row>
    <row r="1248" spans="1:25" ht="15" customHeight="1" x14ac:dyDescent="0.35">
      <c r="A1248" s="52">
        <v>8013470</v>
      </c>
      <c r="B1248" s="51">
        <v>46124</v>
      </c>
      <c r="C1248" s="7" t="s">
        <v>124</v>
      </c>
      <c r="D1248" s="10">
        <f>IFERROR(SUMIFS('Base bordo'!G$2:G$746,'Base bordo'!C$2:C$746,A1248,'Base bordo'!B$2:B$746,B1248,'Base bordo'!F$2:F$746,"DESLOCAMENTO VAZIO"),0)</f>
        <v>2.2769444444444447</v>
      </c>
      <c r="E1248" s="10">
        <f>IFERROR(SUMIFS('Base bordo'!G$2:G$746,'Base bordo'!C$2:C$746,A1248,'Base bordo'!B$2:B$746,B1248,'Base bordo'!F$2:F$746,"DESLOCAMENTO CARREGADO"),0)</f>
        <v>6.3111111111111109</v>
      </c>
      <c r="F1248" s="10">
        <f>IFERROR(SUMIFS('Base bordo'!G$2:G$746,'Base bordo'!C$2:C$746,A1248,'Base bordo'!B$2:B$746,B1248,'Base bordo'!F$2:F$746,"DESLOCAMENTO"),0)</f>
        <v>0</v>
      </c>
      <c r="G1248" s="10">
        <f>IFERROR(SUMIFS('Base bordo'!G$2:G$746,'Base bordo'!C$2:C$746,A1248,'Base bordo'!B$2:B$746,B1248,'Base bordo'!F$2:F$746,"CARREGAMENTO"),0)</f>
        <v>0</v>
      </c>
      <c r="H1248" s="10">
        <f>IFERROR(SUMIFS('Base bordo'!G$2:G$746,'Base bordo'!C$2:C$746,A1248,'Base bordo'!B$2:B$746,B1248,'Base bordo'!F$2:F$746,"AGUARDANDO TRANSBORDO"),0)</f>
        <v>0.24416666666666667</v>
      </c>
      <c r="I1248" s="10">
        <f>IFERROR(SUMIFS('Base bordo'!G$2:G$746,'Base bordo'!C$2:C$746,A1248,'Base bordo'!B$2:B$746,B1248,'Base bordo'!F$2:F$746,"PÁTIO INTERNO"),0)+IFERROR(SUMIFS('Base bordo'!G$2:G$746,'Base bordo'!C$2:C$746,A1248,'Base bordo'!B$2:B$746,B1248,'Base bordo'!F$2:F$746,"PÁTIO EXTERNO"),0)+IFERROR(SUMIFS('Base bordo'!G$2:G$746,'Base bordo'!C$2:C$746,A1248,'Base bordo'!B$2:B$746,B1248,'Base bordo'!F$2:F$746,"PATIO - RESERVA"),0)+IFERROR(SUMIFS('Base bordo'!G$2:G$746,'Base bordo'!C$2:C$746,A1248,'Base bordo'!B$2:B$746,B1248,'Base bordo'!F$2:F$746,"MANOBRA CARRETAS-PATIO"),0)</f>
        <v>3.2016666666666667</v>
      </c>
      <c r="J1248" s="10">
        <f>IFERROR(SUMIFS('Base bordo'!G$2:G$746,'Base bordo'!C$2:C$746,A1248,'Base bordo'!B$2:B$746,B1248,'Base bordo'!F$2:F$746,"BALANÇA - ENTRADA"),0)+IFERROR(SUMIFS('Base bordo'!G$2:G$746,'Base bordo'!C$2:C$746,A1248,'Base bordo'!B$2:B$746,B1248,'Base bordo'!F$2:F$746,"BALANÇA - SAÍDA"),0)</f>
        <v>0.21722222222222221</v>
      </c>
      <c r="K1248" s="10">
        <f>IFERROR(SUMIFS('Base bordo'!G$2:G$746,'Base bordo'!C$2:C$746,A1248,'Base bordo'!B$2:B$746,B1248,'Base bordo'!F$2:F$746,"MAN PREVENTIVA - MECANICA"),0)+IFERROR(SUMIFS('Base bordo'!G$2:G$746,'Base bordo'!C$2:C$746,A1248,'Base bordo'!B$2:B$746,B1248,'Base bordo'!F$2:F$746,"MAN CORRETIVA - MECANICA"),0)</f>
        <v>0</v>
      </c>
      <c r="L1248" s="10">
        <f>IFERROR(SUMIFS('Base bordo'!G$2:G$746,'Base bordo'!C$2:C$746,A1248,'Base bordo'!B$2:B$746,B1248,'Base bordo'!F$2:F$746,"MANUTENCAO - T O"),0)+IFERROR(SUMIFS('Base bordo'!G$2:G$746,'Base bordo'!C$2:C$746,A1248,'Base bordo'!B$2:B$746,B1248,'Base bordo'!F$2:F$746,"MANUTENCAO BORRACHARIA"),0)+IFERROR(SUMIFS('Base bordo'!G$2:G$746,'Base bordo'!C$2:C$746,A1248,'Base bordo'!B$2:B$746,B1248,'Base bordo'!F$2:F$746,"MANUTENCAO EXTERNA  CONCESSIONARIA"),0)+IFERROR(SUMIFS('Base bordo'!G$2:G$746,'Base bordo'!C$2:C$746,A1248,'Base bordo'!B$2:B$746,B1248,'Base bordo'!F$2:F$746,"MANUTENCAO TELEMETRIA"),0)</f>
        <v>0</v>
      </c>
      <c r="M1248" s="10">
        <f>IFERROR(SUMIFS('Base bordo'!G$2:G$746,'Base bordo'!C$2:C$746,A1248,'Base bordo'!B$2:B$746,B1248,'Base bordo'!F$2:F$746,"AGUARDANDO MANUTENCAO"),0)</f>
        <v>0</v>
      </c>
      <c r="N1248" s="10">
        <f>IFERROR(SUMIFS('Base bordo'!G$2:G$746,'Base bordo'!C$2:C$746,A1248,'Base bordo'!B$2:B$746,B1248,'Base bordo'!F$2:F$746,"SEM APONTAMENTO"),0)</f>
        <v>0</v>
      </c>
      <c r="O1248" s="10">
        <f t="shared" si="126"/>
        <v>6.3333333333332575E-2</v>
      </c>
      <c r="P1248" s="10">
        <f>IFERROR(SUMIFS('Base bordo'!G$2:G$746,'Base bordo'!C$2:C$746,A1248,'Base bordo'!B$2:B$746,B1248),0)</f>
        <v>12.314444444444444</v>
      </c>
      <c r="Q1248" s="10">
        <f>IFERROR(SUMIFS('Base bordo'!H$2:H$746,'Base bordo'!C$2:C$746,A1248,'Base bordo'!B$2:B$746,B1248,'Base bordo'!F$2:F$746,"DESLOCAMENTO VAZIO"),0)</f>
        <v>282969.98000000004</v>
      </c>
      <c r="R1248" s="10">
        <f>IFERROR(SUMIFS('Base bordo'!I$2:I$746,'Base bordo'!C$2:C$746,A1248,'Base bordo'!B$2:B$746,B1248,'Base bordo'!F$2:F$746,"DESLOCAMENTO VAZIO"),0)</f>
        <v>8186</v>
      </c>
      <c r="S1248" s="30">
        <f t="shared" si="127"/>
        <v>34.567551917908631</v>
      </c>
      <c r="T1248" s="10">
        <f>IFERROR(SUMIFS('Base bordo'!H$2:H$746,'Base bordo'!C$2:C$746,A1248,'Base bordo'!B$2:B$746,B1248,'Base bordo'!F$2:F$746,"DESLOCAMENTO CARREGADO"),0)</f>
        <v>649243.22</v>
      </c>
      <c r="U1248" s="10">
        <f>IFERROR(SUMIFS('Base bordo'!I$2:I$746,'Base bordo'!C$2:C$746,A1248,'Base bordo'!B$2:B$746,B1248,'Base bordo'!F$2:F$746,"DESLOCAMENTO CARREGADO"),0)</f>
        <v>22720</v>
      </c>
      <c r="V1248" s="30">
        <f t="shared" si="128"/>
        <v>28.575845950704224</v>
      </c>
      <c r="W1248" s="9">
        <f t="shared" si="129"/>
        <v>0.18490029775331593</v>
      </c>
      <c r="X1248" s="9">
        <f t="shared" si="130"/>
        <v>0.51249661643959221</v>
      </c>
      <c r="Y1248" s="9">
        <f t="shared" si="131"/>
        <v>0.30260308580709183</v>
      </c>
    </row>
    <row r="1249" spans="1:25" ht="15" customHeight="1" x14ac:dyDescent="0.35">
      <c r="A1249" s="52">
        <v>8013470</v>
      </c>
      <c r="B1249" s="51">
        <v>46124</v>
      </c>
      <c r="C1249" s="7" t="s">
        <v>124</v>
      </c>
      <c r="D1249" s="10">
        <f>IFERROR(SUMIFS('Base bordo'!G$2:G$746,'Base bordo'!C$2:C$746,A1249,'Base bordo'!B$2:B$746,B1249,'Base bordo'!F$2:F$746,"DESLOCAMENTO VAZIO"),0)</f>
        <v>2.2769444444444447</v>
      </c>
      <c r="E1249" s="10">
        <f>IFERROR(SUMIFS('Base bordo'!G$2:G$746,'Base bordo'!C$2:C$746,A1249,'Base bordo'!B$2:B$746,B1249,'Base bordo'!F$2:F$746,"DESLOCAMENTO CARREGADO"),0)</f>
        <v>6.3111111111111109</v>
      </c>
      <c r="F1249" s="10">
        <f>IFERROR(SUMIFS('Base bordo'!G$2:G$746,'Base bordo'!C$2:C$746,A1249,'Base bordo'!B$2:B$746,B1249,'Base bordo'!F$2:F$746,"DESLOCAMENTO"),0)</f>
        <v>0</v>
      </c>
      <c r="G1249" s="10">
        <f>IFERROR(SUMIFS('Base bordo'!G$2:G$746,'Base bordo'!C$2:C$746,A1249,'Base bordo'!B$2:B$746,B1249,'Base bordo'!F$2:F$746,"CARREGAMENTO"),0)</f>
        <v>0</v>
      </c>
      <c r="H1249" s="10">
        <f>IFERROR(SUMIFS('Base bordo'!G$2:G$746,'Base bordo'!C$2:C$746,A1249,'Base bordo'!B$2:B$746,B1249,'Base bordo'!F$2:F$746,"AGUARDANDO TRANSBORDO"),0)</f>
        <v>0.24416666666666667</v>
      </c>
      <c r="I1249" s="10">
        <f>IFERROR(SUMIFS('Base bordo'!G$2:G$746,'Base bordo'!C$2:C$746,A1249,'Base bordo'!B$2:B$746,B1249,'Base bordo'!F$2:F$746,"PÁTIO INTERNO"),0)+IFERROR(SUMIFS('Base bordo'!G$2:G$746,'Base bordo'!C$2:C$746,A1249,'Base bordo'!B$2:B$746,B1249,'Base bordo'!F$2:F$746,"PÁTIO EXTERNO"),0)+IFERROR(SUMIFS('Base bordo'!G$2:G$746,'Base bordo'!C$2:C$746,A1249,'Base bordo'!B$2:B$746,B1249,'Base bordo'!F$2:F$746,"PATIO - RESERVA"),0)+IFERROR(SUMIFS('Base bordo'!G$2:G$746,'Base bordo'!C$2:C$746,A1249,'Base bordo'!B$2:B$746,B1249,'Base bordo'!F$2:F$746,"MANOBRA CARRETAS-PATIO"),0)</f>
        <v>3.2016666666666667</v>
      </c>
      <c r="J1249" s="10">
        <f>IFERROR(SUMIFS('Base bordo'!G$2:G$746,'Base bordo'!C$2:C$746,A1249,'Base bordo'!B$2:B$746,B1249,'Base bordo'!F$2:F$746,"BALANÇA - ENTRADA"),0)+IFERROR(SUMIFS('Base bordo'!G$2:G$746,'Base bordo'!C$2:C$746,A1249,'Base bordo'!B$2:B$746,B1249,'Base bordo'!F$2:F$746,"BALANÇA - SAÍDA"),0)</f>
        <v>0.21722222222222221</v>
      </c>
      <c r="K1249" s="10">
        <f>IFERROR(SUMIFS('Base bordo'!G$2:G$746,'Base bordo'!C$2:C$746,A1249,'Base bordo'!B$2:B$746,B1249,'Base bordo'!F$2:F$746,"MAN PREVENTIVA - MECANICA"),0)+IFERROR(SUMIFS('Base bordo'!G$2:G$746,'Base bordo'!C$2:C$746,A1249,'Base bordo'!B$2:B$746,B1249,'Base bordo'!F$2:F$746,"MAN CORRETIVA - MECANICA"),0)</f>
        <v>0</v>
      </c>
      <c r="L1249" s="10">
        <f>IFERROR(SUMIFS('Base bordo'!G$2:G$746,'Base bordo'!C$2:C$746,A1249,'Base bordo'!B$2:B$746,B1249,'Base bordo'!F$2:F$746,"MANUTENCAO - T O"),0)+IFERROR(SUMIFS('Base bordo'!G$2:G$746,'Base bordo'!C$2:C$746,A1249,'Base bordo'!B$2:B$746,B1249,'Base bordo'!F$2:F$746,"MANUTENCAO BORRACHARIA"),0)+IFERROR(SUMIFS('Base bordo'!G$2:G$746,'Base bordo'!C$2:C$746,A1249,'Base bordo'!B$2:B$746,B1249,'Base bordo'!F$2:F$746,"MANUTENCAO EXTERNA  CONCESSIONARIA"),0)+IFERROR(SUMIFS('Base bordo'!G$2:G$746,'Base bordo'!C$2:C$746,A1249,'Base bordo'!B$2:B$746,B1249,'Base bordo'!F$2:F$746,"MANUTENCAO TELEMETRIA"),0)</f>
        <v>0</v>
      </c>
      <c r="M1249" s="10">
        <f>IFERROR(SUMIFS('Base bordo'!G$2:G$746,'Base bordo'!C$2:C$746,A1249,'Base bordo'!B$2:B$746,B1249,'Base bordo'!F$2:F$746,"AGUARDANDO MANUTENCAO"),0)</f>
        <v>0</v>
      </c>
      <c r="N1249" s="10">
        <f>IFERROR(SUMIFS('Base bordo'!G$2:G$746,'Base bordo'!C$2:C$746,A1249,'Base bordo'!B$2:B$746,B1249,'Base bordo'!F$2:F$746,"SEM APONTAMENTO"),0)</f>
        <v>0</v>
      </c>
      <c r="O1249" s="10">
        <f t="shared" si="126"/>
        <v>6.3333333333332575E-2</v>
      </c>
      <c r="P1249" s="10">
        <f>IFERROR(SUMIFS('Base bordo'!G$2:G$746,'Base bordo'!C$2:C$746,A1249,'Base bordo'!B$2:B$746,B1249),0)</f>
        <v>12.314444444444444</v>
      </c>
      <c r="Q1249" s="10">
        <f>IFERROR(SUMIFS('Base bordo'!H$2:H$746,'Base bordo'!C$2:C$746,A1249,'Base bordo'!B$2:B$746,B1249,'Base bordo'!F$2:F$746,"DESLOCAMENTO VAZIO"),0)</f>
        <v>282969.98000000004</v>
      </c>
      <c r="R1249" s="10">
        <f>IFERROR(SUMIFS('Base bordo'!I$2:I$746,'Base bordo'!C$2:C$746,A1249,'Base bordo'!B$2:B$746,B1249,'Base bordo'!F$2:F$746,"DESLOCAMENTO VAZIO"),0)</f>
        <v>8186</v>
      </c>
      <c r="S1249" s="30">
        <f t="shared" si="127"/>
        <v>34.567551917908631</v>
      </c>
      <c r="T1249" s="10">
        <f>IFERROR(SUMIFS('Base bordo'!H$2:H$746,'Base bordo'!C$2:C$746,A1249,'Base bordo'!B$2:B$746,B1249,'Base bordo'!F$2:F$746,"DESLOCAMENTO CARREGADO"),0)</f>
        <v>649243.22</v>
      </c>
      <c r="U1249" s="10">
        <f>IFERROR(SUMIFS('Base bordo'!I$2:I$746,'Base bordo'!C$2:C$746,A1249,'Base bordo'!B$2:B$746,B1249,'Base bordo'!F$2:F$746,"DESLOCAMENTO CARREGADO"),0)</f>
        <v>22720</v>
      </c>
      <c r="V1249" s="30">
        <f t="shared" si="128"/>
        <v>28.575845950704224</v>
      </c>
      <c r="W1249" s="9">
        <f t="shared" si="129"/>
        <v>0.18490029775331593</v>
      </c>
      <c r="X1249" s="9">
        <f t="shared" si="130"/>
        <v>0.51249661643959221</v>
      </c>
      <c r="Y1249" s="9">
        <f t="shared" si="131"/>
        <v>0.30260308580709183</v>
      </c>
    </row>
    <row r="1250" spans="1:25" ht="15" customHeight="1" x14ac:dyDescent="0.35">
      <c r="A1250" s="52">
        <v>8013472</v>
      </c>
      <c r="B1250" s="51">
        <v>46124</v>
      </c>
      <c r="C1250" s="7" t="s">
        <v>124</v>
      </c>
      <c r="D1250" s="10">
        <f>IFERROR(SUMIFS('Base bordo'!G$2:G$746,'Base bordo'!C$2:C$746,A1250,'Base bordo'!B$2:B$746,B1250,'Base bordo'!F$2:F$746,"DESLOCAMENTO VAZIO"),0)</f>
        <v>3.0741666666666667</v>
      </c>
      <c r="E1250" s="10">
        <f>IFERROR(SUMIFS('Base bordo'!G$2:G$746,'Base bordo'!C$2:C$746,A1250,'Base bordo'!B$2:B$746,B1250,'Base bordo'!F$2:F$746,"DESLOCAMENTO CARREGADO"),0)</f>
        <v>4.4763888888888888</v>
      </c>
      <c r="F1250" s="10">
        <f>IFERROR(SUMIFS('Base bordo'!G$2:G$746,'Base bordo'!C$2:C$746,A1250,'Base bordo'!B$2:B$746,B1250,'Base bordo'!F$2:F$746,"DESLOCAMENTO"),0)</f>
        <v>0</v>
      </c>
      <c r="G1250" s="10">
        <f>IFERROR(SUMIFS('Base bordo'!G$2:G$746,'Base bordo'!C$2:C$746,A1250,'Base bordo'!B$2:B$746,B1250,'Base bordo'!F$2:F$746,"CARREGAMENTO"),0)</f>
        <v>0</v>
      </c>
      <c r="H1250" s="10">
        <f>IFERROR(SUMIFS('Base bordo'!G$2:G$746,'Base bordo'!C$2:C$746,A1250,'Base bordo'!B$2:B$746,B1250,'Base bordo'!F$2:F$746,"AGUARDANDO TRANSBORDO"),0)</f>
        <v>0.55777777777777782</v>
      </c>
      <c r="I1250" s="10">
        <f>IFERROR(SUMIFS('Base bordo'!G$2:G$746,'Base bordo'!C$2:C$746,A1250,'Base bordo'!B$2:B$746,B1250,'Base bordo'!F$2:F$746,"PÁTIO INTERNO"),0)+IFERROR(SUMIFS('Base bordo'!G$2:G$746,'Base bordo'!C$2:C$746,A1250,'Base bordo'!B$2:B$746,B1250,'Base bordo'!F$2:F$746,"PÁTIO EXTERNO"),0)+IFERROR(SUMIFS('Base bordo'!G$2:G$746,'Base bordo'!C$2:C$746,A1250,'Base bordo'!B$2:B$746,B1250,'Base bordo'!F$2:F$746,"PATIO - RESERVA"),0)+IFERROR(SUMIFS('Base bordo'!G$2:G$746,'Base bordo'!C$2:C$746,A1250,'Base bordo'!B$2:B$746,B1250,'Base bordo'!F$2:F$746,"MANOBRA CARRETAS-PATIO"),0)</f>
        <v>4.0902777777777777</v>
      </c>
      <c r="J1250" s="10">
        <f>IFERROR(SUMIFS('Base bordo'!G$2:G$746,'Base bordo'!C$2:C$746,A1250,'Base bordo'!B$2:B$746,B1250,'Base bordo'!F$2:F$746,"BALANÇA - ENTRADA"),0)+IFERROR(SUMIFS('Base bordo'!G$2:G$746,'Base bordo'!C$2:C$746,A1250,'Base bordo'!B$2:B$746,B1250,'Base bordo'!F$2:F$746,"BALANÇA - SAÍDA"),0)</f>
        <v>5.5555555555555552E-2</v>
      </c>
      <c r="K1250" s="10">
        <f>IFERROR(SUMIFS('Base bordo'!G$2:G$746,'Base bordo'!C$2:C$746,A1250,'Base bordo'!B$2:B$746,B1250,'Base bordo'!F$2:F$746,"MAN PREVENTIVA - MECANICA"),0)+IFERROR(SUMIFS('Base bordo'!G$2:G$746,'Base bordo'!C$2:C$746,A1250,'Base bordo'!B$2:B$746,B1250,'Base bordo'!F$2:F$746,"MAN CORRETIVA - MECANICA"),0)</f>
        <v>0</v>
      </c>
      <c r="L1250" s="10">
        <f>IFERROR(SUMIFS('Base bordo'!G$2:G$746,'Base bordo'!C$2:C$746,A1250,'Base bordo'!B$2:B$746,B1250,'Base bordo'!F$2:F$746,"MANUTENCAO - T O"),0)+IFERROR(SUMIFS('Base bordo'!G$2:G$746,'Base bordo'!C$2:C$746,A1250,'Base bordo'!B$2:B$746,B1250,'Base bordo'!F$2:F$746,"MANUTENCAO BORRACHARIA"),0)+IFERROR(SUMIFS('Base bordo'!G$2:G$746,'Base bordo'!C$2:C$746,A1250,'Base bordo'!B$2:B$746,B1250,'Base bordo'!F$2:F$746,"MANUTENCAO EXTERNA  CONCESSIONARIA"),0)+IFERROR(SUMIFS('Base bordo'!G$2:G$746,'Base bordo'!C$2:C$746,A1250,'Base bordo'!B$2:B$746,B1250,'Base bordo'!F$2:F$746,"MANUTENCAO TELEMETRIA"),0)</f>
        <v>0</v>
      </c>
      <c r="M1250" s="10">
        <f>IFERROR(SUMIFS('Base bordo'!G$2:G$746,'Base bordo'!C$2:C$746,A1250,'Base bordo'!B$2:B$746,B1250,'Base bordo'!F$2:F$746,"AGUARDANDO MANUTENCAO"),0)</f>
        <v>0</v>
      </c>
      <c r="N1250" s="10">
        <f>IFERROR(SUMIFS('Base bordo'!G$2:G$746,'Base bordo'!C$2:C$746,A1250,'Base bordo'!B$2:B$746,B1250,'Base bordo'!F$2:F$746,"SEM APONTAMENTO"),0)</f>
        <v>0</v>
      </c>
      <c r="O1250" s="10">
        <f t="shared" si="126"/>
        <v>3.5527136788005009E-15</v>
      </c>
      <c r="P1250" s="10">
        <f>IFERROR(SUMIFS('Base bordo'!G$2:G$746,'Base bordo'!C$2:C$746,A1250,'Base bordo'!B$2:B$746,B1250),0)</f>
        <v>12.254166666666668</v>
      </c>
      <c r="Q1250" s="10">
        <f>IFERROR(SUMIFS('Base bordo'!H$2:H$746,'Base bordo'!C$2:C$746,A1250,'Base bordo'!B$2:B$746,B1250,'Base bordo'!F$2:F$746,"DESLOCAMENTO VAZIO"),0)</f>
        <v>415361.29000000004</v>
      </c>
      <c r="R1250" s="10">
        <f>IFERROR(SUMIFS('Base bordo'!I$2:I$746,'Base bordo'!C$2:C$746,A1250,'Base bordo'!B$2:B$746,B1250,'Base bordo'!F$2:F$746,"DESLOCAMENTO VAZIO"),0)</f>
        <v>11067</v>
      </c>
      <c r="S1250" s="30">
        <f t="shared" si="127"/>
        <v>37.531516219390987</v>
      </c>
      <c r="T1250" s="10">
        <f>IFERROR(SUMIFS('Base bordo'!H$2:H$746,'Base bordo'!C$2:C$746,A1250,'Base bordo'!B$2:B$746,B1250,'Base bordo'!F$2:F$746,"DESLOCAMENTO CARREGADO"),0)</f>
        <v>393703.57999999996</v>
      </c>
      <c r="U1250" s="10">
        <f>IFERROR(SUMIFS('Base bordo'!I$2:I$746,'Base bordo'!C$2:C$746,A1250,'Base bordo'!B$2:B$746,B1250,'Base bordo'!F$2:F$746,"DESLOCAMENTO CARREGADO"),0)</f>
        <v>16115</v>
      </c>
      <c r="V1250" s="30">
        <f t="shared" si="128"/>
        <v>24.430876822835863</v>
      </c>
      <c r="W1250" s="9">
        <f t="shared" si="129"/>
        <v>0.25086705202312137</v>
      </c>
      <c r="X1250" s="9">
        <f t="shared" si="130"/>
        <v>0.36529525104839616</v>
      </c>
      <c r="Y1250" s="9">
        <f t="shared" si="131"/>
        <v>0.38383769692848246</v>
      </c>
    </row>
    <row r="1251" spans="1:25" ht="15" customHeight="1" x14ac:dyDescent="0.35">
      <c r="A1251" s="52">
        <v>8013472</v>
      </c>
      <c r="B1251" s="51">
        <v>46124</v>
      </c>
      <c r="C1251" s="7" t="s">
        <v>124</v>
      </c>
      <c r="D1251" s="10">
        <f>IFERROR(SUMIFS('Base bordo'!G$2:G$746,'Base bordo'!C$2:C$746,A1251,'Base bordo'!B$2:B$746,B1251,'Base bordo'!F$2:F$746,"DESLOCAMENTO VAZIO"),0)</f>
        <v>3.0741666666666667</v>
      </c>
      <c r="E1251" s="10">
        <f>IFERROR(SUMIFS('Base bordo'!G$2:G$746,'Base bordo'!C$2:C$746,A1251,'Base bordo'!B$2:B$746,B1251,'Base bordo'!F$2:F$746,"DESLOCAMENTO CARREGADO"),0)</f>
        <v>4.4763888888888888</v>
      </c>
      <c r="F1251" s="10">
        <f>IFERROR(SUMIFS('Base bordo'!G$2:G$746,'Base bordo'!C$2:C$746,A1251,'Base bordo'!B$2:B$746,B1251,'Base bordo'!F$2:F$746,"DESLOCAMENTO"),0)</f>
        <v>0</v>
      </c>
      <c r="G1251" s="10">
        <f>IFERROR(SUMIFS('Base bordo'!G$2:G$746,'Base bordo'!C$2:C$746,A1251,'Base bordo'!B$2:B$746,B1251,'Base bordo'!F$2:F$746,"CARREGAMENTO"),0)</f>
        <v>0</v>
      </c>
      <c r="H1251" s="10">
        <f>IFERROR(SUMIFS('Base bordo'!G$2:G$746,'Base bordo'!C$2:C$746,A1251,'Base bordo'!B$2:B$746,B1251,'Base bordo'!F$2:F$746,"AGUARDANDO TRANSBORDO"),0)</f>
        <v>0.55777777777777782</v>
      </c>
      <c r="I1251" s="10">
        <f>IFERROR(SUMIFS('Base bordo'!G$2:G$746,'Base bordo'!C$2:C$746,A1251,'Base bordo'!B$2:B$746,B1251,'Base bordo'!F$2:F$746,"PÁTIO INTERNO"),0)+IFERROR(SUMIFS('Base bordo'!G$2:G$746,'Base bordo'!C$2:C$746,A1251,'Base bordo'!B$2:B$746,B1251,'Base bordo'!F$2:F$746,"PÁTIO EXTERNO"),0)+IFERROR(SUMIFS('Base bordo'!G$2:G$746,'Base bordo'!C$2:C$746,A1251,'Base bordo'!B$2:B$746,B1251,'Base bordo'!F$2:F$746,"PATIO - RESERVA"),0)+IFERROR(SUMIFS('Base bordo'!G$2:G$746,'Base bordo'!C$2:C$746,A1251,'Base bordo'!B$2:B$746,B1251,'Base bordo'!F$2:F$746,"MANOBRA CARRETAS-PATIO"),0)</f>
        <v>4.0902777777777777</v>
      </c>
      <c r="J1251" s="10">
        <f>IFERROR(SUMIFS('Base bordo'!G$2:G$746,'Base bordo'!C$2:C$746,A1251,'Base bordo'!B$2:B$746,B1251,'Base bordo'!F$2:F$746,"BALANÇA - ENTRADA"),0)+IFERROR(SUMIFS('Base bordo'!G$2:G$746,'Base bordo'!C$2:C$746,A1251,'Base bordo'!B$2:B$746,B1251,'Base bordo'!F$2:F$746,"BALANÇA - SAÍDA"),0)</f>
        <v>5.5555555555555552E-2</v>
      </c>
      <c r="K1251" s="10">
        <f>IFERROR(SUMIFS('Base bordo'!G$2:G$746,'Base bordo'!C$2:C$746,A1251,'Base bordo'!B$2:B$746,B1251,'Base bordo'!F$2:F$746,"MAN PREVENTIVA - MECANICA"),0)+IFERROR(SUMIFS('Base bordo'!G$2:G$746,'Base bordo'!C$2:C$746,A1251,'Base bordo'!B$2:B$746,B1251,'Base bordo'!F$2:F$746,"MAN CORRETIVA - MECANICA"),0)</f>
        <v>0</v>
      </c>
      <c r="L1251" s="10">
        <f>IFERROR(SUMIFS('Base bordo'!G$2:G$746,'Base bordo'!C$2:C$746,A1251,'Base bordo'!B$2:B$746,B1251,'Base bordo'!F$2:F$746,"MANUTENCAO - T O"),0)+IFERROR(SUMIFS('Base bordo'!G$2:G$746,'Base bordo'!C$2:C$746,A1251,'Base bordo'!B$2:B$746,B1251,'Base bordo'!F$2:F$746,"MANUTENCAO BORRACHARIA"),0)+IFERROR(SUMIFS('Base bordo'!G$2:G$746,'Base bordo'!C$2:C$746,A1251,'Base bordo'!B$2:B$746,B1251,'Base bordo'!F$2:F$746,"MANUTENCAO EXTERNA  CONCESSIONARIA"),0)+IFERROR(SUMIFS('Base bordo'!G$2:G$746,'Base bordo'!C$2:C$746,A1251,'Base bordo'!B$2:B$746,B1251,'Base bordo'!F$2:F$746,"MANUTENCAO TELEMETRIA"),0)</f>
        <v>0</v>
      </c>
      <c r="M1251" s="10">
        <f>IFERROR(SUMIFS('Base bordo'!G$2:G$746,'Base bordo'!C$2:C$746,A1251,'Base bordo'!B$2:B$746,B1251,'Base bordo'!F$2:F$746,"AGUARDANDO MANUTENCAO"),0)</f>
        <v>0</v>
      </c>
      <c r="N1251" s="10">
        <f>IFERROR(SUMIFS('Base bordo'!G$2:G$746,'Base bordo'!C$2:C$746,A1251,'Base bordo'!B$2:B$746,B1251,'Base bordo'!F$2:F$746,"SEM APONTAMENTO"),0)</f>
        <v>0</v>
      </c>
      <c r="O1251" s="10">
        <f t="shared" si="126"/>
        <v>3.5527136788005009E-15</v>
      </c>
      <c r="P1251" s="10">
        <f>IFERROR(SUMIFS('Base bordo'!G$2:G$746,'Base bordo'!C$2:C$746,A1251,'Base bordo'!B$2:B$746,B1251),0)</f>
        <v>12.254166666666668</v>
      </c>
      <c r="Q1251" s="10">
        <f>IFERROR(SUMIFS('Base bordo'!H$2:H$746,'Base bordo'!C$2:C$746,A1251,'Base bordo'!B$2:B$746,B1251,'Base bordo'!F$2:F$746,"DESLOCAMENTO VAZIO"),0)</f>
        <v>415361.29000000004</v>
      </c>
      <c r="R1251" s="10">
        <f>IFERROR(SUMIFS('Base bordo'!I$2:I$746,'Base bordo'!C$2:C$746,A1251,'Base bordo'!B$2:B$746,B1251,'Base bordo'!F$2:F$746,"DESLOCAMENTO VAZIO"),0)</f>
        <v>11067</v>
      </c>
      <c r="S1251" s="30">
        <f t="shared" si="127"/>
        <v>37.531516219390987</v>
      </c>
      <c r="T1251" s="10">
        <f>IFERROR(SUMIFS('Base bordo'!H$2:H$746,'Base bordo'!C$2:C$746,A1251,'Base bordo'!B$2:B$746,B1251,'Base bordo'!F$2:F$746,"DESLOCAMENTO CARREGADO"),0)</f>
        <v>393703.57999999996</v>
      </c>
      <c r="U1251" s="10">
        <f>IFERROR(SUMIFS('Base bordo'!I$2:I$746,'Base bordo'!C$2:C$746,A1251,'Base bordo'!B$2:B$746,B1251,'Base bordo'!F$2:F$746,"DESLOCAMENTO CARREGADO"),0)</f>
        <v>16115</v>
      </c>
      <c r="V1251" s="30">
        <f t="shared" si="128"/>
        <v>24.430876822835863</v>
      </c>
      <c r="W1251" s="9">
        <f t="shared" si="129"/>
        <v>0.25086705202312137</v>
      </c>
      <c r="X1251" s="9">
        <f t="shared" si="130"/>
        <v>0.36529525104839616</v>
      </c>
      <c r="Y1251" s="9">
        <f t="shared" si="131"/>
        <v>0.38383769692848246</v>
      </c>
    </row>
    <row r="1252" spans="1:25" ht="15" customHeight="1" x14ac:dyDescent="0.35">
      <c r="A1252" s="52">
        <v>8013472</v>
      </c>
      <c r="B1252" s="51">
        <v>46124</v>
      </c>
      <c r="C1252" s="7" t="s">
        <v>124</v>
      </c>
      <c r="D1252" s="10">
        <f>IFERROR(SUMIFS('Base bordo'!G$2:G$746,'Base bordo'!C$2:C$746,A1252,'Base bordo'!B$2:B$746,B1252,'Base bordo'!F$2:F$746,"DESLOCAMENTO VAZIO"),0)</f>
        <v>3.0741666666666667</v>
      </c>
      <c r="E1252" s="10">
        <f>IFERROR(SUMIFS('Base bordo'!G$2:G$746,'Base bordo'!C$2:C$746,A1252,'Base bordo'!B$2:B$746,B1252,'Base bordo'!F$2:F$746,"DESLOCAMENTO CARREGADO"),0)</f>
        <v>4.4763888888888888</v>
      </c>
      <c r="F1252" s="10">
        <f>IFERROR(SUMIFS('Base bordo'!G$2:G$746,'Base bordo'!C$2:C$746,A1252,'Base bordo'!B$2:B$746,B1252,'Base bordo'!F$2:F$746,"DESLOCAMENTO"),0)</f>
        <v>0</v>
      </c>
      <c r="G1252" s="10">
        <f>IFERROR(SUMIFS('Base bordo'!G$2:G$746,'Base bordo'!C$2:C$746,A1252,'Base bordo'!B$2:B$746,B1252,'Base bordo'!F$2:F$746,"CARREGAMENTO"),0)</f>
        <v>0</v>
      </c>
      <c r="H1252" s="10">
        <f>IFERROR(SUMIFS('Base bordo'!G$2:G$746,'Base bordo'!C$2:C$746,A1252,'Base bordo'!B$2:B$746,B1252,'Base bordo'!F$2:F$746,"AGUARDANDO TRANSBORDO"),0)</f>
        <v>0.55777777777777782</v>
      </c>
      <c r="I1252" s="10">
        <f>IFERROR(SUMIFS('Base bordo'!G$2:G$746,'Base bordo'!C$2:C$746,A1252,'Base bordo'!B$2:B$746,B1252,'Base bordo'!F$2:F$746,"PÁTIO INTERNO"),0)+IFERROR(SUMIFS('Base bordo'!G$2:G$746,'Base bordo'!C$2:C$746,A1252,'Base bordo'!B$2:B$746,B1252,'Base bordo'!F$2:F$746,"PÁTIO EXTERNO"),0)+IFERROR(SUMIFS('Base bordo'!G$2:G$746,'Base bordo'!C$2:C$746,A1252,'Base bordo'!B$2:B$746,B1252,'Base bordo'!F$2:F$746,"PATIO - RESERVA"),0)+IFERROR(SUMIFS('Base bordo'!G$2:G$746,'Base bordo'!C$2:C$746,A1252,'Base bordo'!B$2:B$746,B1252,'Base bordo'!F$2:F$746,"MANOBRA CARRETAS-PATIO"),0)</f>
        <v>4.0902777777777777</v>
      </c>
      <c r="J1252" s="10">
        <f>IFERROR(SUMIFS('Base bordo'!G$2:G$746,'Base bordo'!C$2:C$746,A1252,'Base bordo'!B$2:B$746,B1252,'Base bordo'!F$2:F$746,"BALANÇA - ENTRADA"),0)+IFERROR(SUMIFS('Base bordo'!G$2:G$746,'Base bordo'!C$2:C$746,A1252,'Base bordo'!B$2:B$746,B1252,'Base bordo'!F$2:F$746,"BALANÇA - SAÍDA"),0)</f>
        <v>5.5555555555555552E-2</v>
      </c>
      <c r="K1252" s="10">
        <f>IFERROR(SUMIFS('Base bordo'!G$2:G$746,'Base bordo'!C$2:C$746,A1252,'Base bordo'!B$2:B$746,B1252,'Base bordo'!F$2:F$746,"MAN PREVENTIVA - MECANICA"),0)+IFERROR(SUMIFS('Base bordo'!G$2:G$746,'Base bordo'!C$2:C$746,A1252,'Base bordo'!B$2:B$746,B1252,'Base bordo'!F$2:F$746,"MAN CORRETIVA - MECANICA"),0)</f>
        <v>0</v>
      </c>
      <c r="L1252" s="10">
        <f>IFERROR(SUMIFS('Base bordo'!G$2:G$746,'Base bordo'!C$2:C$746,A1252,'Base bordo'!B$2:B$746,B1252,'Base bordo'!F$2:F$746,"MANUTENCAO - T O"),0)+IFERROR(SUMIFS('Base bordo'!G$2:G$746,'Base bordo'!C$2:C$746,A1252,'Base bordo'!B$2:B$746,B1252,'Base bordo'!F$2:F$746,"MANUTENCAO BORRACHARIA"),0)+IFERROR(SUMIFS('Base bordo'!G$2:G$746,'Base bordo'!C$2:C$746,A1252,'Base bordo'!B$2:B$746,B1252,'Base bordo'!F$2:F$746,"MANUTENCAO EXTERNA  CONCESSIONARIA"),0)+IFERROR(SUMIFS('Base bordo'!G$2:G$746,'Base bordo'!C$2:C$746,A1252,'Base bordo'!B$2:B$746,B1252,'Base bordo'!F$2:F$746,"MANUTENCAO TELEMETRIA"),0)</f>
        <v>0</v>
      </c>
      <c r="M1252" s="10">
        <f>IFERROR(SUMIFS('Base bordo'!G$2:G$746,'Base bordo'!C$2:C$746,A1252,'Base bordo'!B$2:B$746,B1252,'Base bordo'!F$2:F$746,"AGUARDANDO MANUTENCAO"),0)</f>
        <v>0</v>
      </c>
      <c r="N1252" s="10">
        <f>IFERROR(SUMIFS('Base bordo'!G$2:G$746,'Base bordo'!C$2:C$746,A1252,'Base bordo'!B$2:B$746,B1252,'Base bordo'!F$2:F$746,"SEM APONTAMENTO"),0)</f>
        <v>0</v>
      </c>
      <c r="O1252" s="10">
        <f t="shared" si="126"/>
        <v>3.5527136788005009E-15</v>
      </c>
      <c r="P1252" s="10">
        <f>IFERROR(SUMIFS('Base bordo'!G$2:G$746,'Base bordo'!C$2:C$746,A1252,'Base bordo'!B$2:B$746,B1252),0)</f>
        <v>12.254166666666668</v>
      </c>
      <c r="Q1252" s="10">
        <f>IFERROR(SUMIFS('Base bordo'!H$2:H$746,'Base bordo'!C$2:C$746,A1252,'Base bordo'!B$2:B$746,B1252,'Base bordo'!F$2:F$746,"DESLOCAMENTO VAZIO"),0)</f>
        <v>415361.29000000004</v>
      </c>
      <c r="R1252" s="10">
        <f>IFERROR(SUMIFS('Base bordo'!I$2:I$746,'Base bordo'!C$2:C$746,A1252,'Base bordo'!B$2:B$746,B1252,'Base bordo'!F$2:F$746,"DESLOCAMENTO VAZIO"),0)</f>
        <v>11067</v>
      </c>
      <c r="S1252" s="30">
        <f t="shared" si="127"/>
        <v>37.531516219390987</v>
      </c>
      <c r="T1252" s="10">
        <f>IFERROR(SUMIFS('Base bordo'!H$2:H$746,'Base bordo'!C$2:C$746,A1252,'Base bordo'!B$2:B$746,B1252,'Base bordo'!F$2:F$746,"DESLOCAMENTO CARREGADO"),0)</f>
        <v>393703.57999999996</v>
      </c>
      <c r="U1252" s="10">
        <f>IFERROR(SUMIFS('Base bordo'!I$2:I$746,'Base bordo'!C$2:C$746,A1252,'Base bordo'!B$2:B$746,B1252,'Base bordo'!F$2:F$746,"DESLOCAMENTO CARREGADO"),0)</f>
        <v>16115</v>
      </c>
      <c r="V1252" s="30">
        <f t="shared" si="128"/>
        <v>24.430876822835863</v>
      </c>
      <c r="W1252" s="9">
        <f t="shared" si="129"/>
        <v>0.25086705202312137</v>
      </c>
      <c r="X1252" s="9">
        <f t="shared" si="130"/>
        <v>0.36529525104839616</v>
      </c>
      <c r="Y1252" s="9">
        <f t="shared" si="131"/>
        <v>0.38383769692848246</v>
      </c>
    </row>
    <row r="1253" spans="1:25" ht="15" customHeight="1" x14ac:dyDescent="0.35">
      <c r="A1253" s="52">
        <v>8013472</v>
      </c>
      <c r="B1253" s="51">
        <v>46124</v>
      </c>
      <c r="C1253" s="7" t="s">
        <v>124</v>
      </c>
      <c r="D1253" s="10">
        <f>IFERROR(SUMIFS('Base bordo'!G$2:G$746,'Base bordo'!C$2:C$746,A1253,'Base bordo'!B$2:B$746,B1253,'Base bordo'!F$2:F$746,"DESLOCAMENTO VAZIO"),0)</f>
        <v>3.0741666666666667</v>
      </c>
      <c r="E1253" s="10">
        <f>IFERROR(SUMIFS('Base bordo'!G$2:G$746,'Base bordo'!C$2:C$746,A1253,'Base bordo'!B$2:B$746,B1253,'Base bordo'!F$2:F$746,"DESLOCAMENTO CARREGADO"),0)</f>
        <v>4.4763888888888888</v>
      </c>
      <c r="F1253" s="10">
        <f>IFERROR(SUMIFS('Base bordo'!G$2:G$746,'Base bordo'!C$2:C$746,A1253,'Base bordo'!B$2:B$746,B1253,'Base bordo'!F$2:F$746,"DESLOCAMENTO"),0)</f>
        <v>0</v>
      </c>
      <c r="G1253" s="10">
        <f>IFERROR(SUMIFS('Base bordo'!G$2:G$746,'Base bordo'!C$2:C$746,A1253,'Base bordo'!B$2:B$746,B1253,'Base bordo'!F$2:F$746,"CARREGAMENTO"),0)</f>
        <v>0</v>
      </c>
      <c r="H1253" s="10">
        <f>IFERROR(SUMIFS('Base bordo'!G$2:G$746,'Base bordo'!C$2:C$746,A1253,'Base bordo'!B$2:B$746,B1253,'Base bordo'!F$2:F$746,"AGUARDANDO TRANSBORDO"),0)</f>
        <v>0.55777777777777782</v>
      </c>
      <c r="I1253" s="10">
        <f>IFERROR(SUMIFS('Base bordo'!G$2:G$746,'Base bordo'!C$2:C$746,A1253,'Base bordo'!B$2:B$746,B1253,'Base bordo'!F$2:F$746,"PÁTIO INTERNO"),0)+IFERROR(SUMIFS('Base bordo'!G$2:G$746,'Base bordo'!C$2:C$746,A1253,'Base bordo'!B$2:B$746,B1253,'Base bordo'!F$2:F$746,"PÁTIO EXTERNO"),0)+IFERROR(SUMIFS('Base bordo'!G$2:G$746,'Base bordo'!C$2:C$746,A1253,'Base bordo'!B$2:B$746,B1253,'Base bordo'!F$2:F$746,"PATIO - RESERVA"),0)+IFERROR(SUMIFS('Base bordo'!G$2:G$746,'Base bordo'!C$2:C$746,A1253,'Base bordo'!B$2:B$746,B1253,'Base bordo'!F$2:F$746,"MANOBRA CARRETAS-PATIO"),0)</f>
        <v>4.0902777777777777</v>
      </c>
      <c r="J1253" s="10">
        <f>IFERROR(SUMIFS('Base bordo'!G$2:G$746,'Base bordo'!C$2:C$746,A1253,'Base bordo'!B$2:B$746,B1253,'Base bordo'!F$2:F$746,"BALANÇA - ENTRADA"),0)+IFERROR(SUMIFS('Base bordo'!G$2:G$746,'Base bordo'!C$2:C$746,A1253,'Base bordo'!B$2:B$746,B1253,'Base bordo'!F$2:F$746,"BALANÇA - SAÍDA"),0)</f>
        <v>5.5555555555555552E-2</v>
      </c>
      <c r="K1253" s="10">
        <f>IFERROR(SUMIFS('Base bordo'!G$2:G$746,'Base bordo'!C$2:C$746,A1253,'Base bordo'!B$2:B$746,B1253,'Base bordo'!F$2:F$746,"MAN PREVENTIVA - MECANICA"),0)+IFERROR(SUMIFS('Base bordo'!G$2:G$746,'Base bordo'!C$2:C$746,A1253,'Base bordo'!B$2:B$746,B1253,'Base bordo'!F$2:F$746,"MAN CORRETIVA - MECANICA"),0)</f>
        <v>0</v>
      </c>
      <c r="L1253" s="10">
        <f>IFERROR(SUMIFS('Base bordo'!G$2:G$746,'Base bordo'!C$2:C$746,A1253,'Base bordo'!B$2:B$746,B1253,'Base bordo'!F$2:F$746,"MANUTENCAO - T O"),0)+IFERROR(SUMIFS('Base bordo'!G$2:G$746,'Base bordo'!C$2:C$746,A1253,'Base bordo'!B$2:B$746,B1253,'Base bordo'!F$2:F$746,"MANUTENCAO BORRACHARIA"),0)+IFERROR(SUMIFS('Base bordo'!G$2:G$746,'Base bordo'!C$2:C$746,A1253,'Base bordo'!B$2:B$746,B1253,'Base bordo'!F$2:F$746,"MANUTENCAO EXTERNA  CONCESSIONARIA"),0)+IFERROR(SUMIFS('Base bordo'!G$2:G$746,'Base bordo'!C$2:C$746,A1253,'Base bordo'!B$2:B$746,B1253,'Base bordo'!F$2:F$746,"MANUTENCAO TELEMETRIA"),0)</f>
        <v>0</v>
      </c>
      <c r="M1253" s="10">
        <f>IFERROR(SUMIFS('Base bordo'!G$2:G$746,'Base bordo'!C$2:C$746,A1253,'Base bordo'!B$2:B$746,B1253,'Base bordo'!F$2:F$746,"AGUARDANDO MANUTENCAO"),0)</f>
        <v>0</v>
      </c>
      <c r="N1253" s="10">
        <f>IFERROR(SUMIFS('Base bordo'!G$2:G$746,'Base bordo'!C$2:C$746,A1253,'Base bordo'!B$2:B$746,B1253,'Base bordo'!F$2:F$746,"SEM APONTAMENTO"),0)</f>
        <v>0</v>
      </c>
      <c r="O1253" s="10">
        <f t="shared" si="126"/>
        <v>3.5527136788005009E-15</v>
      </c>
      <c r="P1253" s="10">
        <f>IFERROR(SUMIFS('Base bordo'!G$2:G$746,'Base bordo'!C$2:C$746,A1253,'Base bordo'!B$2:B$746,B1253),0)</f>
        <v>12.254166666666668</v>
      </c>
      <c r="Q1253" s="10">
        <f>IFERROR(SUMIFS('Base bordo'!H$2:H$746,'Base bordo'!C$2:C$746,A1253,'Base bordo'!B$2:B$746,B1253,'Base bordo'!F$2:F$746,"DESLOCAMENTO VAZIO"),0)</f>
        <v>415361.29000000004</v>
      </c>
      <c r="R1253" s="10">
        <f>IFERROR(SUMIFS('Base bordo'!I$2:I$746,'Base bordo'!C$2:C$746,A1253,'Base bordo'!B$2:B$746,B1253,'Base bordo'!F$2:F$746,"DESLOCAMENTO VAZIO"),0)</f>
        <v>11067</v>
      </c>
      <c r="S1253" s="30">
        <f t="shared" si="127"/>
        <v>37.531516219390987</v>
      </c>
      <c r="T1253" s="10">
        <f>IFERROR(SUMIFS('Base bordo'!H$2:H$746,'Base bordo'!C$2:C$746,A1253,'Base bordo'!B$2:B$746,B1253,'Base bordo'!F$2:F$746,"DESLOCAMENTO CARREGADO"),0)</f>
        <v>393703.57999999996</v>
      </c>
      <c r="U1253" s="10">
        <f>IFERROR(SUMIFS('Base bordo'!I$2:I$746,'Base bordo'!C$2:C$746,A1253,'Base bordo'!B$2:B$746,B1253,'Base bordo'!F$2:F$746,"DESLOCAMENTO CARREGADO"),0)</f>
        <v>16115</v>
      </c>
      <c r="V1253" s="30">
        <f t="shared" si="128"/>
        <v>24.430876822835863</v>
      </c>
      <c r="W1253" s="9">
        <f t="shared" si="129"/>
        <v>0.25086705202312137</v>
      </c>
      <c r="X1253" s="9">
        <f t="shared" si="130"/>
        <v>0.36529525104839616</v>
      </c>
      <c r="Y1253" s="9">
        <f t="shared" si="131"/>
        <v>0.38383769692848246</v>
      </c>
    </row>
    <row r="1254" spans="1:25" ht="15" customHeight="1" x14ac:dyDescent="0.35">
      <c r="A1254" s="52">
        <v>8013472</v>
      </c>
      <c r="B1254" s="51">
        <v>46124</v>
      </c>
      <c r="C1254" s="7" t="s">
        <v>124</v>
      </c>
      <c r="D1254" s="10">
        <f>IFERROR(SUMIFS('Base bordo'!G$2:G$746,'Base bordo'!C$2:C$746,A1254,'Base bordo'!B$2:B$746,B1254,'Base bordo'!F$2:F$746,"DESLOCAMENTO VAZIO"),0)</f>
        <v>3.0741666666666667</v>
      </c>
      <c r="E1254" s="10">
        <f>IFERROR(SUMIFS('Base bordo'!G$2:G$746,'Base bordo'!C$2:C$746,A1254,'Base bordo'!B$2:B$746,B1254,'Base bordo'!F$2:F$746,"DESLOCAMENTO CARREGADO"),0)</f>
        <v>4.4763888888888888</v>
      </c>
      <c r="F1254" s="10">
        <f>IFERROR(SUMIFS('Base bordo'!G$2:G$746,'Base bordo'!C$2:C$746,A1254,'Base bordo'!B$2:B$746,B1254,'Base bordo'!F$2:F$746,"DESLOCAMENTO"),0)</f>
        <v>0</v>
      </c>
      <c r="G1254" s="10">
        <f>IFERROR(SUMIFS('Base bordo'!G$2:G$746,'Base bordo'!C$2:C$746,A1254,'Base bordo'!B$2:B$746,B1254,'Base bordo'!F$2:F$746,"CARREGAMENTO"),0)</f>
        <v>0</v>
      </c>
      <c r="H1254" s="10">
        <f>IFERROR(SUMIFS('Base bordo'!G$2:G$746,'Base bordo'!C$2:C$746,A1254,'Base bordo'!B$2:B$746,B1254,'Base bordo'!F$2:F$746,"AGUARDANDO TRANSBORDO"),0)</f>
        <v>0.55777777777777782</v>
      </c>
      <c r="I1254" s="10">
        <f>IFERROR(SUMIFS('Base bordo'!G$2:G$746,'Base bordo'!C$2:C$746,A1254,'Base bordo'!B$2:B$746,B1254,'Base bordo'!F$2:F$746,"PÁTIO INTERNO"),0)+IFERROR(SUMIFS('Base bordo'!G$2:G$746,'Base bordo'!C$2:C$746,A1254,'Base bordo'!B$2:B$746,B1254,'Base bordo'!F$2:F$746,"PÁTIO EXTERNO"),0)+IFERROR(SUMIFS('Base bordo'!G$2:G$746,'Base bordo'!C$2:C$746,A1254,'Base bordo'!B$2:B$746,B1254,'Base bordo'!F$2:F$746,"PATIO - RESERVA"),0)+IFERROR(SUMIFS('Base bordo'!G$2:G$746,'Base bordo'!C$2:C$746,A1254,'Base bordo'!B$2:B$746,B1254,'Base bordo'!F$2:F$746,"MANOBRA CARRETAS-PATIO"),0)</f>
        <v>4.0902777777777777</v>
      </c>
      <c r="J1254" s="10">
        <f>IFERROR(SUMIFS('Base bordo'!G$2:G$746,'Base bordo'!C$2:C$746,A1254,'Base bordo'!B$2:B$746,B1254,'Base bordo'!F$2:F$746,"BALANÇA - ENTRADA"),0)+IFERROR(SUMIFS('Base bordo'!G$2:G$746,'Base bordo'!C$2:C$746,A1254,'Base bordo'!B$2:B$746,B1254,'Base bordo'!F$2:F$746,"BALANÇA - SAÍDA"),0)</f>
        <v>5.5555555555555552E-2</v>
      </c>
      <c r="K1254" s="10">
        <f>IFERROR(SUMIFS('Base bordo'!G$2:G$746,'Base bordo'!C$2:C$746,A1254,'Base bordo'!B$2:B$746,B1254,'Base bordo'!F$2:F$746,"MAN PREVENTIVA - MECANICA"),0)+IFERROR(SUMIFS('Base bordo'!G$2:G$746,'Base bordo'!C$2:C$746,A1254,'Base bordo'!B$2:B$746,B1254,'Base bordo'!F$2:F$746,"MAN CORRETIVA - MECANICA"),0)</f>
        <v>0</v>
      </c>
      <c r="L1254" s="10">
        <f>IFERROR(SUMIFS('Base bordo'!G$2:G$746,'Base bordo'!C$2:C$746,A1254,'Base bordo'!B$2:B$746,B1254,'Base bordo'!F$2:F$746,"MANUTENCAO - T O"),0)+IFERROR(SUMIFS('Base bordo'!G$2:G$746,'Base bordo'!C$2:C$746,A1254,'Base bordo'!B$2:B$746,B1254,'Base bordo'!F$2:F$746,"MANUTENCAO BORRACHARIA"),0)+IFERROR(SUMIFS('Base bordo'!G$2:G$746,'Base bordo'!C$2:C$746,A1254,'Base bordo'!B$2:B$746,B1254,'Base bordo'!F$2:F$746,"MANUTENCAO EXTERNA  CONCESSIONARIA"),0)+IFERROR(SUMIFS('Base bordo'!G$2:G$746,'Base bordo'!C$2:C$746,A1254,'Base bordo'!B$2:B$746,B1254,'Base bordo'!F$2:F$746,"MANUTENCAO TELEMETRIA"),0)</f>
        <v>0</v>
      </c>
      <c r="M1254" s="10">
        <f>IFERROR(SUMIFS('Base bordo'!G$2:G$746,'Base bordo'!C$2:C$746,A1254,'Base bordo'!B$2:B$746,B1254,'Base bordo'!F$2:F$746,"AGUARDANDO MANUTENCAO"),0)</f>
        <v>0</v>
      </c>
      <c r="N1254" s="10">
        <f>IFERROR(SUMIFS('Base bordo'!G$2:G$746,'Base bordo'!C$2:C$746,A1254,'Base bordo'!B$2:B$746,B1254,'Base bordo'!F$2:F$746,"SEM APONTAMENTO"),0)</f>
        <v>0</v>
      </c>
      <c r="O1254" s="10">
        <f t="shared" si="126"/>
        <v>3.5527136788005009E-15</v>
      </c>
      <c r="P1254" s="10">
        <f>IFERROR(SUMIFS('Base bordo'!G$2:G$746,'Base bordo'!C$2:C$746,A1254,'Base bordo'!B$2:B$746,B1254),0)</f>
        <v>12.254166666666668</v>
      </c>
      <c r="Q1254" s="10">
        <f>IFERROR(SUMIFS('Base bordo'!H$2:H$746,'Base bordo'!C$2:C$746,A1254,'Base bordo'!B$2:B$746,B1254,'Base bordo'!F$2:F$746,"DESLOCAMENTO VAZIO"),0)</f>
        <v>415361.29000000004</v>
      </c>
      <c r="R1254" s="10">
        <f>IFERROR(SUMIFS('Base bordo'!I$2:I$746,'Base bordo'!C$2:C$746,A1254,'Base bordo'!B$2:B$746,B1254,'Base bordo'!F$2:F$746,"DESLOCAMENTO VAZIO"),0)</f>
        <v>11067</v>
      </c>
      <c r="S1254" s="30">
        <f t="shared" si="127"/>
        <v>37.531516219390987</v>
      </c>
      <c r="T1254" s="10">
        <f>IFERROR(SUMIFS('Base bordo'!H$2:H$746,'Base bordo'!C$2:C$746,A1254,'Base bordo'!B$2:B$746,B1254,'Base bordo'!F$2:F$746,"DESLOCAMENTO CARREGADO"),0)</f>
        <v>393703.57999999996</v>
      </c>
      <c r="U1254" s="10">
        <f>IFERROR(SUMIFS('Base bordo'!I$2:I$746,'Base bordo'!C$2:C$746,A1254,'Base bordo'!B$2:B$746,B1254,'Base bordo'!F$2:F$746,"DESLOCAMENTO CARREGADO"),0)</f>
        <v>16115</v>
      </c>
      <c r="V1254" s="30">
        <f t="shared" si="128"/>
        <v>24.430876822835863</v>
      </c>
      <c r="W1254" s="9">
        <f t="shared" si="129"/>
        <v>0.25086705202312137</v>
      </c>
      <c r="X1254" s="9">
        <f t="shared" si="130"/>
        <v>0.36529525104839616</v>
      </c>
      <c r="Y1254" s="9">
        <f t="shared" si="131"/>
        <v>0.38383769692848246</v>
      </c>
    </row>
    <row r="1255" spans="1:25" ht="15" customHeight="1" x14ac:dyDescent="0.35">
      <c r="A1255" s="52">
        <v>8013472</v>
      </c>
      <c r="B1255" s="51">
        <v>46124</v>
      </c>
      <c r="C1255" s="7" t="s">
        <v>124</v>
      </c>
      <c r="D1255" s="10">
        <f>IFERROR(SUMIFS('Base bordo'!G$2:G$746,'Base bordo'!C$2:C$746,A1255,'Base bordo'!B$2:B$746,B1255,'Base bordo'!F$2:F$746,"DESLOCAMENTO VAZIO"),0)</f>
        <v>3.0741666666666667</v>
      </c>
      <c r="E1255" s="10">
        <f>IFERROR(SUMIFS('Base bordo'!G$2:G$746,'Base bordo'!C$2:C$746,A1255,'Base bordo'!B$2:B$746,B1255,'Base bordo'!F$2:F$746,"DESLOCAMENTO CARREGADO"),0)</f>
        <v>4.4763888888888888</v>
      </c>
      <c r="F1255" s="10">
        <f>IFERROR(SUMIFS('Base bordo'!G$2:G$746,'Base bordo'!C$2:C$746,A1255,'Base bordo'!B$2:B$746,B1255,'Base bordo'!F$2:F$746,"DESLOCAMENTO"),0)</f>
        <v>0</v>
      </c>
      <c r="G1255" s="10">
        <f>IFERROR(SUMIFS('Base bordo'!G$2:G$746,'Base bordo'!C$2:C$746,A1255,'Base bordo'!B$2:B$746,B1255,'Base bordo'!F$2:F$746,"CARREGAMENTO"),0)</f>
        <v>0</v>
      </c>
      <c r="H1255" s="10">
        <f>IFERROR(SUMIFS('Base bordo'!G$2:G$746,'Base bordo'!C$2:C$746,A1255,'Base bordo'!B$2:B$746,B1255,'Base bordo'!F$2:F$746,"AGUARDANDO TRANSBORDO"),0)</f>
        <v>0.55777777777777782</v>
      </c>
      <c r="I1255" s="10">
        <f>IFERROR(SUMIFS('Base bordo'!G$2:G$746,'Base bordo'!C$2:C$746,A1255,'Base bordo'!B$2:B$746,B1255,'Base bordo'!F$2:F$746,"PÁTIO INTERNO"),0)+IFERROR(SUMIFS('Base bordo'!G$2:G$746,'Base bordo'!C$2:C$746,A1255,'Base bordo'!B$2:B$746,B1255,'Base bordo'!F$2:F$746,"PÁTIO EXTERNO"),0)+IFERROR(SUMIFS('Base bordo'!G$2:G$746,'Base bordo'!C$2:C$746,A1255,'Base bordo'!B$2:B$746,B1255,'Base bordo'!F$2:F$746,"PATIO - RESERVA"),0)+IFERROR(SUMIFS('Base bordo'!G$2:G$746,'Base bordo'!C$2:C$746,A1255,'Base bordo'!B$2:B$746,B1255,'Base bordo'!F$2:F$746,"MANOBRA CARRETAS-PATIO"),0)</f>
        <v>4.0902777777777777</v>
      </c>
      <c r="J1255" s="10">
        <f>IFERROR(SUMIFS('Base bordo'!G$2:G$746,'Base bordo'!C$2:C$746,A1255,'Base bordo'!B$2:B$746,B1255,'Base bordo'!F$2:F$746,"BALANÇA - ENTRADA"),0)+IFERROR(SUMIFS('Base bordo'!G$2:G$746,'Base bordo'!C$2:C$746,A1255,'Base bordo'!B$2:B$746,B1255,'Base bordo'!F$2:F$746,"BALANÇA - SAÍDA"),0)</f>
        <v>5.5555555555555552E-2</v>
      </c>
      <c r="K1255" s="10">
        <f>IFERROR(SUMIFS('Base bordo'!G$2:G$746,'Base bordo'!C$2:C$746,A1255,'Base bordo'!B$2:B$746,B1255,'Base bordo'!F$2:F$746,"MAN PREVENTIVA - MECANICA"),0)+IFERROR(SUMIFS('Base bordo'!G$2:G$746,'Base bordo'!C$2:C$746,A1255,'Base bordo'!B$2:B$746,B1255,'Base bordo'!F$2:F$746,"MAN CORRETIVA - MECANICA"),0)</f>
        <v>0</v>
      </c>
      <c r="L1255" s="10">
        <f>IFERROR(SUMIFS('Base bordo'!G$2:G$746,'Base bordo'!C$2:C$746,A1255,'Base bordo'!B$2:B$746,B1255,'Base bordo'!F$2:F$746,"MANUTENCAO - T O"),0)+IFERROR(SUMIFS('Base bordo'!G$2:G$746,'Base bordo'!C$2:C$746,A1255,'Base bordo'!B$2:B$746,B1255,'Base bordo'!F$2:F$746,"MANUTENCAO BORRACHARIA"),0)+IFERROR(SUMIFS('Base bordo'!G$2:G$746,'Base bordo'!C$2:C$746,A1255,'Base bordo'!B$2:B$746,B1255,'Base bordo'!F$2:F$746,"MANUTENCAO EXTERNA  CONCESSIONARIA"),0)+IFERROR(SUMIFS('Base bordo'!G$2:G$746,'Base bordo'!C$2:C$746,A1255,'Base bordo'!B$2:B$746,B1255,'Base bordo'!F$2:F$746,"MANUTENCAO TELEMETRIA"),0)</f>
        <v>0</v>
      </c>
      <c r="M1255" s="10">
        <f>IFERROR(SUMIFS('Base bordo'!G$2:G$746,'Base bordo'!C$2:C$746,A1255,'Base bordo'!B$2:B$746,B1255,'Base bordo'!F$2:F$746,"AGUARDANDO MANUTENCAO"),0)</f>
        <v>0</v>
      </c>
      <c r="N1255" s="10">
        <f>IFERROR(SUMIFS('Base bordo'!G$2:G$746,'Base bordo'!C$2:C$746,A1255,'Base bordo'!B$2:B$746,B1255,'Base bordo'!F$2:F$746,"SEM APONTAMENTO"),0)</f>
        <v>0</v>
      </c>
      <c r="O1255" s="10">
        <f t="shared" si="126"/>
        <v>3.5527136788005009E-15</v>
      </c>
      <c r="P1255" s="10">
        <f>IFERROR(SUMIFS('Base bordo'!G$2:G$746,'Base bordo'!C$2:C$746,A1255,'Base bordo'!B$2:B$746,B1255),0)</f>
        <v>12.254166666666668</v>
      </c>
      <c r="Q1255" s="10">
        <f>IFERROR(SUMIFS('Base bordo'!H$2:H$746,'Base bordo'!C$2:C$746,A1255,'Base bordo'!B$2:B$746,B1255,'Base bordo'!F$2:F$746,"DESLOCAMENTO VAZIO"),0)</f>
        <v>415361.29000000004</v>
      </c>
      <c r="R1255" s="10">
        <f>IFERROR(SUMIFS('Base bordo'!I$2:I$746,'Base bordo'!C$2:C$746,A1255,'Base bordo'!B$2:B$746,B1255,'Base bordo'!F$2:F$746,"DESLOCAMENTO VAZIO"),0)</f>
        <v>11067</v>
      </c>
      <c r="S1255" s="30">
        <f t="shared" si="127"/>
        <v>37.531516219390987</v>
      </c>
      <c r="T1255" s="10">
        <f>IFERROR(SUMIFS('Base bordo'!H$2:H$746,'Base bordo'!C$2:C$746,A1255,'Base bordo'!B$2:B$746,B1255,'Base bordo'!F$2:F$746,"DESLOCAMENTO CARREGADO"),0)</f>
        <v>393703.57999999996</v>
      </c>
      <c r="U1255" s="10">
        <f>IFERROR(SUMIFS('Base bordo'!I$2:I$746,'Base bordo'!C$2:C$746,A1255,'Base bordo'!B$2:B$746,B1255,'Base bordo'!F$2:F$746,"DESLOCAMENTO CARREGADO"),0)</f>
        <v>16115</v>
      </c>
      <c r="V1255" s="30">
        <f t="shared" si="128"/>
        <v>24.430876822835863</v>
      </c>
      <c r="W1255" s="9">
        <f t="shared" si="129"/>
        <v>0.25086705202312137</v>
      </c>
      <c r="X1255" s="9">
        <f t="shared" si="130"/>
        <v>0.36529525104839616</v>
      </c>
      <c r="Y1255" s="9">
        <f t="shared" si="131"/>
        <v>0.38383769692848246</v>
      </c>
    </row>
    <row r="1256" spans="1:25" ht="15" customHeight="1" x14ac:dyDescent="0.35">
      <c r="A1256" s="52">
        <v>8013472</v>
      </c>
      <c r="B1256" s="51">
        <v>46124</v>
      </c>
      <c r="C1256" s="7" t="s">
        <v>124</v>
      </c>
      <c r="D1256" s="10">
        <f>IFERROR(SUMIFS('Base bordo'!G$2:G$746,'Base bordo'!C$2:C$746,A1256,'Base bordo'!B$2:B$746,B1256,'Base bordo'!F$2:F$746,"DESLOCAMENTO VAZIO"),0)</f>
        <v>3.0741666666666667</v>
      </c>
      <c r="E1256" s="10">
        <f>IFERROR(SUMIFS('Base bordo'!G$2:G$746,'Base bordo'!C$2:C$746,A1256,'Base bordo'!B$2:B$746,B1256,'Base bordo'!F$2:F$746,"DESLOCAMENTO CARREGADO"),0)</f>
        <v>4.4763888888888888</v>
      </c>
      <c r="F1256" s="10">
        <f>IFERROR(SUMIFS('Base bordo'!G$2:G$746,'Base bordo'!C$2:C$746,A1256,'Base bordo'!B$2:B$746,B1256,'Base bordo'!F$2:F$746,"DESLOCAMENTO"),0)</f>
        <v>0</v>
      </c>
      <c r="G1256" s="10">
        <f>IFERROR(SUMIFS('Base bordo'!G$2:G$746,'Base bordo'!C$2:C$746,A1256,'Base bordo'!B$2:B$746,B1256,'Base bordo'!F$2:F$746,"CARREGAMENTO"),0)</f>
        <v>0</v>
      </c>
      <c r="H1256" s="10">
        <f>IFERROR(SUMIFS('Base bordo'!G$2:G$746,'Base bordo'!C$2:C$746,A1256,'Base bordo'!B$2:B$746,B1256,'Base bordo'!F$2:F$746,"AGUARDANDO TRANSBORDO"),0)</f>
        <v>0.55777777777777782</v>
      </c>
      <c r="I1256" s="10">
        <f>IFERROR(SUMIFS('Base bordo'!G$2:G$746,'Base bordo'!C$2:C$746,A1256,'Base bordo'!B$2:B$746,B1256,'Base bordo'!F$2:F$746,"PÁTIO INTERNO"),0)+IFERROR(SUMIFS('Base bordo'!G$2:G$746,'Base bordo'!C$2:C$746,A1256,'Base bordo'!B$2:B$746,B1256,'Base bordo'!F$2:F$746,"PÁTIO EXTERNO"),0)+IFERROR(SUMIFS('Base bordo'!G$2:G$746,'Base bordo'!C$2:C$746,A1256,'Base bordo'!B$2:B$746,B1256,'Base bordo'!F$2:F$746,"PATIO - RESERVA"),0)+IFERROR(SUMIFS('Base bordo'!G$2:G$746,'Base bordo'!C$2:C$746,A1256,'Base bordo'!B$2:B$746,B1256,'Base bordo'!F$2:F$746,"MANOBRA CARRETAS-PATIO"),0)</f>
        <v>4.0902777777777777</v>
      </c>
      <c r="J1256" s="10">
        <f>IFERROR(SUMIFS('Base bordo'!G$2:G$746,'Base bordo'!C$2:C$746,A1256,'Base bordo'!B$2:B$746,B1256,'Base bordo'!F$2:F$746,"BALANÇA - ENTRADA"),0)+IFERROR(SUMIFS('Base bordo'!G$2:G$746,'Base bordo'!C$2:C$746,A1256,'Base bordo'!B$2:B$746,B1256,'Base bordo'!F$2:F$746,"BALANÇA - SAÍDA"),0)</f>
        <v>5.5555555555555552E-2</v>
      </c>
      <c r="K1256" s="10">
        <f>IFERROR(SUMIFS('Base bordo'!G$2:G$746,'Base bordo'!C$2:C$746,A1256,'Base bordo'!B$2:B$746,B1256,'Base bordo'!F$2:F$746,"MAN PREVENTIVA - MECANICA"),0)+IFERROR(SUMIFS('Base bordo'!G$2:G$746,'Base bordo'!C$2:C$746,A1256,'Base bordo'!B$2:B$746,B1256,'Base bordo'!F$2:F$746,"MAN CORRETIVA - MECANICA"),0)</f>
        <v>0</v>
      </c>
      <c r="L1256" s="10">
        <f>IFERROR(SUMIFS('Base bordo'!G$2:G$746,'Base bordo'!C$2:C$746,A1256,'Base bordo'!B$2:B$746,B1256,'Base bordo'!F$2:F$746,"MANUTENCAO - T O"),0)+IFERROR(SUMIFS('Base bordo'!G$2:G$746,'Base bordo'!C$2:C$746,A1256,'Base bordo'!B$2:B$746,B1256,'Base bordo'!F$2:F$746,"MANUTENCAO BORRACHARIA"),0)+IFERROR(SUMIFS('Base bordo'!G$2:G$746,'Base bordo'!C$2:C$746,A1256,'Base bordo'!B$2:B$746,B1256,'Base bordo'!F$2:F$746,"MANUTENCAO EXTERNA  CONCESSIONARIA"),0)+IFERROR(SUMIFS('Base bordo'!G$2:G$746,'Base bordo'!C$2:C$746,A1256,'Base bordo'!B$2:B$746,B1256,'Base bordo'!F$2:F$746,"MANUTENCAO TELEMETRIA"),0)</f>
        <v>0</v>
      </c>
      <c r="M1256" s="10">
        <f>IFERROR(SUMIFS('Base bordo'!G$2:G$746,'Base bordo'!C$2:C$746,A1256,'Base bordo'!B$2:B$746,B1256,'Base bordo'!F$2:F$746,"AGUARDANDO MANUTENCAO"),0)</f>
        <v>0</v>
      </c>
      <c r="N1256" s="10">
        <f>IFERROR(SUMIFS('Base bordo'!G$2:G$746,'Base bordo'!C$2:C$746,A1256,'Base bordo'!B$2:B$746,B1256,'Base bordo'!F$2:F$746,"SEM APONTAMENTO"),0)</f>
        <v>0</v>
      </c>
      <c r="O1256" s="10">
        <f t="shared" si="126"/>
        <v>3.5527136788005009E-15</v>
      </c>
      <c r="P1256" s="10">
        <f>IFERROR(SUMIFS('Base bordo'!G$2:G$746,'Base bordo'!C$2:C$746,A1256,'Base bordo'!B$2:B$746,B1256),0)</f>
        <v>12.254166666666668</v>
      </c>
      <c r="Q1256" s="10">
        <f>IFERROR(SUMIFS('Base bordo'!H$2:H$746,'Base bordo'!C$2:C$746,A1256,'Base bordo'!B$2:B$746,B1256,'Base bordo'!F$2:F$746,"DESLOCAMENTO VAZIO"),0)</f>
        <v>415361.29000000004</v>
      </c>
      <c r="R1256" s="10">
        <f>IFERROR(SUMIFS('Base bordo'!I$2:I$746,'Base bordo'!C$2:C$746,A1256,'Base bordo'!B$2:B$746,B1256,'Base bordo'!F$2:F$746,"DESLOCAMENTO VAZIO"),0)</f>
        <v>11067</v>
      </c>
      <c r="S1256" s="30">
        <f t="shared" si="127"/>
        <v>37.531516219390987</v>
      </c>
      <c r="T1256" s="10">
        <f>IFERROR(SUMIFS('Base bordo'!H$2:H$746,'Base bordo'!C$2:C$746,A1256,'Base bordo'!B$2:B$746,B1256,'Base bordo'!F$2:F$746,"DESLOCAMENTO CARREGADO"),0)</f>
        <v>393703.57999999996</v>
      </c>
      <c r="U1256" s="10">
        <f>IFERROR(SUMIFS('Base bordo'!I$2:I$746,'Base bordo'!C$2:C$746,A1256,'Base bordo'!B$2:B$746,B1256,'Base bordo'!F$2:F$746,"DESLOCAMENTO CARREGADO"),0)</f>
        <v>16115</v>
      </c>
      <c r="V1256" s="30">
        <f t="shared" si="128"/>
        <v>24.430876822835863</v>
      </c>
      <c r="W1256" s="9">
        <f t="shared" si="129"/>
        <v>0.25086705202312137</v>
      </c>
      <c r="X1256" s="9">
        <f t="shared" si="130"/>
        <v>0.36529525104839616</v>
      </c>
      <c r="Y1256" s="9">
        <f t="shared" si="131"/>
        <v>0.38383769692848246</v>
      </c>
    </row>
    <row r="1257" spans="1:25" ht="15" customHeight="1" x14ac:dyDescent="0.35">
      <c r="A1257" s="52">
        <v>8013472</v>
      </c>
      <c r="B1257" s="51">
        <v>46124</v>
      </c>
      <c r="C1257" s="7" t="s">
        <v>124</v>
      </c>
      <c r="D1257" s="10">
        <f>IFERROR(SUMIFS('Base bordo'!G$2:G$746,'Base bordo'!C$2:C$746,A1257,'Base bordo'!B$2:B$746,B1257,'Base bordo'!F$2:F$746,"DESLOCAMENTO VAZIO"),0)</f>
        <v>3.0741666666666667</v>
      </c>
      <c r="E1257" s="10">
        <f>IFERROR(SUMIFS('Base bordo'!G$2:G$746,'Base bordo'!C$2:C$746,A1257,'Base bordo'!B$2:B$746,B1257,'Base bordo'!F$2:F$746,"DESLOCAMENTO CARREGADO"),0)</f>
        <v>4.4763888888888888</v>
      </c>
      <c r="F1257" s="10">
        <f>IFERROR(SUMIFS('Base bordo'!G$2:G$746,'Base bordo'!C$2:C$746,A1257,'Base bordo'!B$2:B$746,B1257,'Base bordo'!F$2:F$746,"DESLOCAMENTO"),0)</f>
        <v>0</v>
      </c>
      <c r="G1257" s="10">
        <f>IFERROR(SUMIFS('Base bordo'!G$2:G$746,'Base bordo'!C$2:C$746,A1257,'Base bordo'!B$2:B$746,B1257,'Base bordo'!F$2:F$746,"CARREGAMENTO"),0)</f>
        <v>0</v>
      </c>
      <c r="H1257" s="10">
        <f>IFERROR(SUMIFS('Base bordo'!G$2:G$746,'Base bordo'!C$2:C$746,A1257,'Base bordo'!B$2:B$746,B1257,'Base bordo'!F$2:F$746,"AGUARDANDO TRANSBORDO"),0)</f>
        <v>0.55777777777777782</v>
      </c>
      <c r="I1257" s="10">
        <f>IFERROR(SUMIFS('Base bordo'!G$2:G$746,'Base bordo'!C$2:C$746,A1257,'Base bordo'!B$2:B$746,B1257,'Base bordo'!F$2:F$746,"PÁTIO INTERNO"),0)+IFERROR(SUMIFS('Base bordo'!G$2:G$746,'Base bordo'!C$2:C$746,A1257,'Base bordo'!B$2:B$746,B1257,'Base bordo'!F$2:F$746,"PÁTIO EXTERNO"),0)+IFERROR(SUMIFS('Base bordo'!G$2:G$746,'Base bordo'!C$2:C$746,A1257,'Base bordo'!B$2:B$746,B1257,'Base bordo'!F$2:F$746,"PATIO - RESERVA"),0)+IFERROR(SUMIFS('Base bordo'!G$2:G$746,'Base bordo'!C$2:C$746,A1257,'Base bordo'!B$2:B$746,B1257,'Base bordo'!F$2:F$746,"MANOBRA CARRETAS-PATIO"),0)</f>
        <v>4.0902777777777777</v>
      </c>
      <c r="J1257" s="10">
        <f>IFERROR(SUMIFS('Base bordo'!G$2:G$746,'Base bordo'!C$2:C$746,A1257,'Base bordo'!B$2:B$746,B1257,'Base bordo'!F$2:F$746,"BALANÇA - ENTRADA"),0)+IFERROR(SUMIFS('Base bordo'!G$2:G$746,'Base bordo'!C$2:C$746,A1257,'Base bordo'!B$2:B$746,B1257,'Base bordo'!F$2:F$746,"BALANÇA - SAÍDA"),0)</f>
        <v>5.5555555555555552E-2</v>
      </c>
      <c r="K1257" s="10">
        <f>IFERROR(SUMIFS('Base bordo'!G$2:G$746,'Base bordo'!C$2:C$746,A1257,'Base bordo'!B$2:B$746,B1257,'Base bordo'!F$2:F$746,"MAN PREVENTIVA - MECANICA"),0)+IFERROR(SUMIFS('Base bordo'!G$2:G$746,'Base bordo'!C$2:C$746,A1257,'Base bordo'!B$2:B$746,B1257,'Base bordo'!F$2:F$746,"MAN CORRETIVA - MECANICA"),0)</f>
        <v>0</v>
      </c>
      <c r="L1257" s="10">
        <f>IFERROR(SUMIFS('Base bordo'!G$2:G$746,'Base bordo'!C$2:C$746,A1257,'Base bordo'!B$2:B$746,B1257,'Base bordo'!F$2:F$746,"MANUTENCAO - T O"),0)+IFERROR(SUMIFS('Base bordo'!G$2:G$746,'Base bordo'!C$2:C$746,A1257,'Base bordo'!B$2:B$746,B1257,'Base bordo'!F$2:F$746,"MANUTENCAO BORRACHARIA"),0)+IFERROR(SUMIFS('Base bordo'!G$2:G$746,'Base bordo'!C$2:C$746,A1257,'Base bordo'!B$2:B$746,B1257,'Base bordo'!F$2:F$746,"MANUTENCAO EXTERNA  CONCESSIONARIA"),0)+IFERROR(SUMIFS('Base bordo'!G$2:G$746,'Base bordo'!C$2:C$746,A1257,'Base bordo'!B$2:B$746,B1257,'Base bordo'!F$2:F$746,"MANUTENCAO TELEMETRIA"),0)</f>
        <v>0</v>
      </c>
      <c r="M1257" s="10">
        <f>IFERROR(SUMIFS('Base bordo'!G$2:G$746,'Base bordo'!C$2:C$746,A1257,'Base bordo'!B$2:B$746,B1257,'Base bordo'!F$2:F$746,"AGUARDANDO MANUTENCAO"),0)</f>
        <v>0</v>
      </c>
      <c r="N1257" s="10">
        <f>IFERROR(SUMIFS('Base bordo'!G$2:G$746,'Base bordo'!C$2:C$746,A1257,'Base bordo'!B$2:B$746,B1257,'Base bordo'!F$2:F$746,"SEM APONTAMENTO"),0)</f>
        <v>0</v>
      </c>
      <c r="O1257" s="10">
        <f t="shared" si="126"/>
        <v>3.5527136788005009E-15</v>
      </c>
      <c r="P1257" s="10">
        <f>IFERROR(SUMIFS('Base bordo'!G$2:G$746,'Base bordo'!C$2:C$746,A1257,'Base bordo'!B$2:B$746,B1257),0)</f>
        <v>12.254166666666668</v>
      </c>
      <c r="Q1257" s="10">
        <f>IFERROR(SUMIFS('Base bordo'!H$2:H$746,'Base bordo'!C$2:C$746,A1257,'Base bordo'!B$2:B$746,B1257,'Base bordo'!F$2:F$746,"DESLOCAMENTO VAZIO"),0)</f>
        <v>415361.29000000004</v>
      </c>
      <c r="R1257" s="10">
        <f>IFERROR(SUMIFS('Base bordo'!I$2:I$746,'Base bordo'!C$2:C$746,A1257,'Base bordo'!B$2:B$746,B1257,'Base bordo'!F$2:F$746,"DESLOCAMENTO VAZIO"),0)</f>
        <v>11067</v>
      </c>
      <c r="S1257" s="30">
        <f t="shared" si="127"/>
        <v>37.531516219390987</v>
      </c>
      <c r="T1257" s="10">
        <f>IFERROR(SUMIFS('Base bordo'!H$2:H$746,'Base bordo'!C$2:C$746,A1257,'Base bordo'!B$2:B$746,B1257,'Base bordo'!F$2:F$746,"DESLOCAMENTO CARREGADO"),0)</f>
        <v>393703.57999999996</v>
      </c>
      <c r="U1257" s="10">
        <f>IFERROR(SUMIFS('Base bordo'!I$2:I$746,'Base bordo'!C$2:C$746,A1257,'Base bordo'!B$2:B$746,B1257,'Base bordo'!F$2:F$746,"DESLOCAMENTO CARREGADO"),0)</f>
        <v>16115</v>
      </c>
      <c r="V1257" s="30">
        <f t="shared" si="128"/>
        <v>24.430876822835863</v>
      </c>
      <c r="W1257" s="9">
        <f t="shared" si="129"/>
        <v>0.25086705202312137</v>
      </c>
      <c r="X1257" s="9">
        <f t="shared" si="130"/>
        <v>0.36529525104839616</v>
      </c>
      <c r="Y1257" s="9">
        <f t="shared" si="131"/>
        <v>0.38383769692848246</v>
      </c>
    </row>
    <row r="1258" spans="1:25" ht="15" customHeight="1" x14ac:dyDescent="0.35">
      <c r="A1258" s="52">
        <v>8013472</v>
      </c>
      <c r="B1258" s="51">
        <v>46124</v>
      </c>
      <c r="C1258" s="7" t="s">
        <v>124</v>
      </c>
      <c r="D1258" s="10">
        <f>IFERROR(SUMIFS('Base bordo'!G$2:G$746,'Base bordo'!C$2:C$746,A1258,'Base bordo'!B$2:B$746,B1258,'Base bordo'!F$2:F$746,"DESLOCAMENTO VAZIO"),0)</f>
        <v>3.0741666666666667</v>
      </c>
      <c r="E1258" s="10">
        <f>IFERROR(SUMIFS('Base bordo'!G$2:G$746,'Base bordo'!C$2:C$746,A1258,'Base bordo'!B$2:B$746,B1258,'Base bordo'!F$2:F$746,"DESLOCAMENTO CARREGADO"),0)</f>
        <v>4.4763888888888888</v>
      </c>
      <c r="F1258" s="10">
        <f>IFERROR(SUMIFS('Base bordo'!G$2:G$746,'Base bordo'!C$2:C$746,A1258,'Base bordo'!B$2:B$746,B1258,'Base bordo'!F$2:F$746,"DESLOCAMENTO"),0)</f>
        <v>0</v>
      </c>
      <c r="G1258" s="10">
        <f>IFERROR(SUMIFS('Base bordo'!G$2:G$746,'Base bordo'!C$2:C$746,A1258,'Base bordo'!B$2:B$746,B1258,'Base bordo'!F$2:F$746,"CARREGAMENTO"),0)</f>
        <v>0</v>
      </c>
      <c r="H1258" s="10">
        <f>IFERROR(SUMIFS('Base bordo'!G$2:G$746,'Base bordo'!C$2:C$746,A1258,'Base bordo'!B$2:B$746,B1258,'Base bordo'!F$2:F$746,"AGUARDANDO TRANSBORDO"),0)</f>
        <v>0.55777777777777782</v>
      </c>
      <c r="I1258" s="10">
        <f>IFERROR(SUMIFS('Base bordo'!G$2:G$746,'Base bordo'!C$2:C$746,A1258,'Base bordo'!B$2:B$746,B1258,'Base bordo'!F$2:F$746,"PÁTIO INTERNO"),0)+IFERROR(SUMIFS('Base bordo'!G$2:G$746,'Base bordo'!C$2:C$746,A1258,'Base bordo'!B$2:B$746,B1258,'Base bordo'!F$2:F$746,"PÁTIO EXTERNO"),0)+IFERROR(SUMIFS('Base bordo'!G$2:G$746,'Base bordo'!C$2:C$746,A1258,'Base bordo'!B$2:B$746,B1258,'Base bordo'!F$2:F$746,"PATIO - RESERVA"),0)+IFERROR(SUMIFS('Base bordo'!G$2:G$746,'Base bordo'!C$2:C$746,A1258,'Base bordo'!B$2:B$746,B1258,'Base bordo'!F$2:F$746,"MANOBRA CARRETAS-PATIO"),0)</f>
        <v>4.0902777777777777</v>
      </c>
      <c r="J1258" s="10">
        <f>IFERROR(SUMIFS('Base bordo'!G$2:G$746,'Base bordo'!C$2:C$746,A1258,'Base bordo'!B$2:B$746,B1258,'Base bordo'!F$2:F$746,"BALANÇA - ENTRADA"),0)+IFERROR(SUMIFS('Base bordo'!G$2:G$746,'Base bordo'!C$2:C$746,A1258,'Base bordo'!B$2:B$746,B1258,'Base bordo'!F$2:F$746,"BALANÇA - SAÍDA"),0)</f>
        <v>5.5555555555555552E-2</v>
      </c>
      <c r="K1258" s="10">
        <f>IFERROR(SUMIFS('Base bordo'!G$2:G$746,'Base bordo'!C$2:C$746,A1258,'Base bordo'!B$2:B$746,B1258,'Base bordo'!F$2:F$746,"MAN PREVENTIVA - MECANICA"),0)+IFERROR(SUMIFS('Base bordo'!G$2:G$746,'Base bordo'!C$2:C$746,A1258,'Base bordo'!B$2:B$746,B1258,'Base bordo'!F$2:F$746,"MAN CORRETIVA - MECANICA"),0)</f>
        <v>0</v>
      </c>
      <c r="L1258" s="10">
        <f>IFERROR(SUMIFS('Base bordo'!G$2:G$746,'Base bordo'!C$2:C$746,A1258,'Base bordo'!B$2:B$746,B1258,'Base bordo'!F$2:F$746,"MANUTENCAO - T O"),0)+IFERROR(SUMIFS('Base bordo'!G$2:G$746,'Base bordo'!C$2:C$746,A1258,'Base bordo'!B$2:B$746,B1258,'Base bordo'!F$2:F$746,"MANUTENCAO BORRACHARIA"),0)+IFERROR(SUMIFS('Base bordo'!G$2:G$746,'Base bordo'!C$2:C$746,A1258,'Base bordo'!B$2:B$746,B1258,'Base bordo'!F$2:F$746,"MANUTENCAO EXTERNA  CONCESSIONARIA"),0)+IFERROR(SUMIFS('Base bordo'!G$2:G$746,'Base bordo'!C$2:C$746,A1258,'Base bordo'!B$2:B$746,B1258,'Base bordo'!F$2:F$746,"MANUTENCAO TELEMETRIA"),0)</f>
        <v>0</v>
      </c>
      <c r="M1258" s="10">
        <f>IFERROR(SUMIFS('Base bordo'!G$2:G$746,'Base bordo'!C$2:C$746,A1258,'Base bordo'!B$2:B$746,B1258,'Base bordo'!F$2:F$746,"AGUARDANDO MANUTENCAO"),0)</f>
        <v>0</v>
      </c>
      <c r="N1258" s="10">
        <f>IFERROR(SUMIFS('Base bordo'!G$2:G$746,'Base bordo'!C$2:C$746,A1258,'Base bordo'!B$2:B$746,B1258,'Base bordo'!F$2:F$746,"SEM APONTAMENTO"),0)</f>
        <v>0</v>
      </c>
      <c r="O1258" s="10">
        <f t="shared" si="126"/>
        <v>3.5527136788005009E-15</v>
      </c>
      <c r="P1258" s="10">
        <f>IFERROR(SUMIFS('Base bordo'!G$2:G$746,'Base bordo'!C$2:C$746,A1258,'Base bordo'!B$2:B$746,B1258),0)</f>
        <v>12.254166666666668</v>
      </c>
      <c r="Q1258" s="10">
        <f>IFERROR(SUMIFS('Base bordo'!H$2:H$746,'Base bordo'!C$2:C$746,A1258,'Base bordo'!B$2:B$746,B1258,'Base bordo'!F$2:F$746,"DESLOCAMENTO VAZIO"),0)</f>
        <v>415361.29000000004</v>
      </c>
      <c r="R1258" s="10">
        <f>IFERROR(SUMIFS('Base bordo'!I$2:I$746,'Base bordo'!C$2:C$746,A1258,'Base bordo'!B$2:B$746,B1258,'Base bordo'!F$2:F$746,"DESLOCAMENTO VAZIO"),0)</f>
        <v>11067</v>
      </c>
      <c r="S1258" s="30">
        <f t="shared" si="127"/>
        <v>37.531516219390987</v>
      </c>
      <c r="T1258" s="10">
        <f>IFERROR(SUMIFS('Base bordo'!H$2:H$746,'Base bordo'!C$2:C$746,A1258,'Base bordo'!B$2:B$746,B1258,'Base bordo'!F$2:F$746,"DESLOCAMENTO CARREGADO"),0)</f>
        <v>393703.57999999996</v>
      </c>
      <c r="U1258" s="10">
        <f>IFERROR(SUMIFS('Base bordo'!I$2:I$746,'Base bordo'!C$2:C$746,A1258,'Base bordo'!B$2:B$746,B1258,'Base bordo'!F$2:F$746,"DESLOCAMENTO CARREGADO"),0)</f>
        <v>16115</v>
      </c>
      <c r="V1258" s="30">
        <f t="shared" si="128"/>
        <v>24.430876822835863</v>
      </c>
      <c r="W1258" s="9">
        <f t="shared" si="129"/>
        <v>0.25086705202312137</v>
      </c>
      <c r="X1258" s="9">
        <f t="shared" si="130"/>
        <v>0.36529525104839616</v>
      </c>
      <c r="Y1258" s="9">
        <f t="shared" si="131"/>
        <v>0.38383769692848246</v>
      </c>
    </row>
    <row r="1259" spans="1:25" ht="15" customHeight="1" x14ac:dyDescent="0.35">
      <c r="A1259" s="52">
        <v>8013472</v>
      </c>
      <c r="B1259" s="51">
        <v>46124</v>
      </c>
      <c r="C1259" s="7" t="s">
        <v>124</v>
      </c>
      <c r="D1259" s="10">
        <f>IFERROR(SUMIFS('Base bordo'!G$2:G$746,'Base bordo'!C$2:C$746,A1259,'Base bordo'!B$2:B$746,B1259,'Base bordo'!F$2:F$746,"DESLOCAMENTO VAZIO"),0)</f>
        <v>3.0741666666666667</v>
      </c>
      <c r="E1259" s="10">
        <f>IFERROR(SUMIFS('Base bordo'!G$2:G$746,'Base bordo'!C$2:C$746,A1259,'Base bordo'!B$2:B$746,B1259,'Base bordo'!F$2:F$746,"DESLOCAMENTO CARREGADO"),0)</f>
        <v>4.4763888888888888</v>
      </c>
      <c r="F1259" s="10">
        <f>IFERROR(SUMIFS('Base bordo'!G$2:G$746,'Base bordo'!C$2:C$746,A1259,'Base bordo'!B$2:B$746,B1259,'Base bordo'!F$2:F$746,"DESLOCAMENTO"),0)</f>
        <v>0</v>
      </c>
      <c r="G1259" s="10">
        <f>IFERROR(SUMIFS('Base bordo'!G$2:G$746,'Base bordo'!C$2:C$746,A1259,'Base bordo'!B$2:B$746,B1259,'Base bordo'!F$2:F$746,"CARREGAMENTO"),0)</f>
        <v>0</v>
      </c>
      <c r="H1259" s="10">
        <f>IFERROR(SUMIFS('Base bordo'!G$2:G$746,'Base bordo'!C$2:C$746,A1259,'Base bordo'!B$2:B$746,B1259,'Base bordo'!F$2:F$746,"AGUARDANDO TRANSBORDO"),0)</f>
        <v>0.55777777777777782</v>
      </c>
      <c r="I1259" s="10">
        <f>IFERROR(SUMIFS('Base bordo'!G$2:G$746,'Base bordo'!C$2:C$746,A1259,'Base bordo'!B$2:B$746,B1259,'Base bordo'!F$2:F$746,"PÁTIO INTERNO"),0)+IFERROR(SUMIFS('Base bordo'!G$2:G$746,'Base bordo'!C$2:C$746,A1259,'Base bordo'!B$2:B$746,B1259,'Base bordo'!F$2:F$746,"PÁTIO EXTERNO"),0)+IFERROR(SUMIFS('Base bordo'!G$2:G$746,'Base bordo'!C$2:C$746,A1259,'Base bordo'!B$2:B$746,B1259,'Base bordo'!F$2:F$746,"PATIO - RESERVA"),0)+IFERROR(SUMIFS('Base bordo'!G$2:G$746,'Base bordo'!C$2:C$746,A1259,'Base bordo'!B$2:B$746,B1259,'Base bordo'!F$2:F$746,"MANOBRA CARRETAS-PATIO"),0)</f>
        <v>4.0902777777777777</v>
      </c>
      <c r="J1259" s="10">
        <f>IFERROR(SUMIFS('Base bordo'!G$2:G$746,'Base bordo'!C$2:C$746,A1259,'Base bordo'!B$2:B$746,B1259,'Base bordo'!F$2:F$746,"BALANÇA - ENTRADA"),0)+IFERROR(SUMIFS('Base bordo'!G$2:G$746,'Base bordo'!C$2:C$746,A1259,'Base bordo'!B$2:B$746,B1259,'Base bordo'!F$2:F$746,"BALANÇA - SAÍDA"),0)</f>
        <v>5.5555555555555552E-2</v>
      </c>
      <c r="K1259" s="10">
        <f>IFERROR(SUMIFS('Base bordo'!G$2:G$746,'Base bordo'!C$2:C$746,A1259,'Base bordo'!B$2:B$746,B1259,'Base bordo'!F$2:F$746,"MAN PREVENTIVA - MECANICA"),0)+IFERROR(SUMIFS('Base bordo'!G$2:G$746,'Base bordo'!C$2:C$746,A1259,'Base bordo'!B$2:B$746,B1259,'Base bordo'!F$2:F$746,"MAN CORRETIVA - MECANICA"),0)</f>
        <v>0</v>
      </c>
      <c r="L1259" s="10">
        <f>IFERROR(SUMIFS('Base bordo'!G$2:G$746,'Base bordo'!C$2:C$746,A1259,'Base bordo'!B$2:B$746,B1259,'Base bordo'!F$2:F$746,"MANUTENCAO - T O"),0)+IFERROR(SUMIFS('Base bordo'!G$2:G$746,'Base bordo'!C$2:C$746,A1259,'Base bordo'!B$2:B$746,B1259,'Base bordo'!F$2:F$746,"MANUTENCAO BORRACHARIA"),0)+IFERROR(SUMIFS('Base bordo'!G$2:G$746,'Base bordo'!C$2:C$746,A1259,'Base bordo'!B$2:B$746,B1259,'Base bordo'!F$2:F$746,"MANUTENCAO EXTERNA  CONCESSIONARIA"),0)+IFERROR(SUMIFS('Base bordo'!G$2:G$746,'Base bordo'!C$2:C$746,A1259,'Base bordo'!B$2:B$746,B1259,'Base bordo'!F$2:F$746,"MANUTENCAO TELEMETRIA"),0)</f>
        <v>0</v>
      </c>
      <c r="M1259" s="10">
        <f>IFERROR(SUMIFS('Base bordo'!G$2:G$746,'Base bordo'!C$2:C$746,A1259,'Base bordo'!B$2:B$746,B1259,'Base bordo'!F$2:F$746,"AGUARDANDO MANUTENCAO"),0)</f>
        <v>0</v>
      </c>
      <c r="N1259" s="10">
        <f>IFERROR(SUMIFS('Base bordo'!G$2:G$746,'Base bordo'!C$2:C$746,A1259,'Base bordo'!B$2:B$746,B1259,'Base bordo'!F$2:F$746,"SEM APONTAMENTO"),0)</f>
        <v>0</v>
      </c>
      <c r="O1259" s="10">
        <f t="shared" si="126"/>
        <v>3.5527136788005009E-15</v>
      </c>
      <c r="P1259" s="10">
        <f>IFERROR(SUMIFS('Base bordo'!G$2:G$746,'Base bordo'!C$2:C$746,A1259,'Base bordo'!B$2:B$746,B1259),0)</f>
        <v>12.254166666666668</v>
      </c>
      <c r="Q1259" s="10">
        <f>IFERROR(SUMIFS('Base bordo'!H$2:H$746,'Base bordo'!C$2:C$746,A1259,'Base bordo'!B$2:B$746,B1259,'Base bordo'!F$2:F$746,"DESLOCAMENTO VAZIO"),0)</f>
        <v>415361.29000000004</v>
      </c>
      <c r="R1259" s="10">
        <f>IFERROR(SUMIFS('Base bordo'!I$2:I$746,'Base bordo'!C$2:C$746,A1259,'Base bordo'!B$2:B$746,B1259,'Base bordo'!F$2:F$746,"DESLOCAMENTO VAZIO"),0)</f>
        <v>11067</v>
      </c>
      <c r="S1259" s="30">
        <f t="shared" si="127"/>
        <v>37.531516219390987</v>
      </c>
      <c r="T1259" s="10">
        <f>IFERROR(SUMIFS('Base bordo'!H$2:H$746,'Base bordo'!C$2:C$746,A1259,'Base bordo'!B$2:B$746,B1259,'Base bordo'!F$2:F$746,"DESLOCAMENTO CARREGADO"),0)</f>
        <v>393703.57999999996</v>
      </c>
      <c r="U1259" s="10">
        <f>IFERROR(SUMIFS('Base bordo'!I$2:I$746,'Base bordo'!C$2:C$746,A1259,'Base bordo'!B$2:B$746,B1259,'Base bordo'!F$2:F$746,"DESLOCAMENTO CARREGADO"),0)</f>
        <v>16115</v>
      </c>
      <c r="V1259" s="30">
        <f t="shared" si="128"/>
        <v>24.430876822835863</v>
      </c>
      <c r="W1259" s="9">
        <f t="shared" si="129"/>
        <v>0.25086705202312137</v>
      </c>
      <c r="X1259" s="9">
        <f t="shared" si="130"/>
        <v>0.36529525104839616</v>
      </c>
      <c r="Y1259" s="9">
        <f t="shared" si="131"/>
        <v>0.38383769692848246</v>
      </c>
    </row>
    <row r="1260" spans="1:25" ht="15" customHeight="1" x14ac:dyDescent="0.35">
      <c r="A1260" s="52">
        <v>8013472</v>
      </c>
      <c r="B1260" s="51">
        <v>46124</v>
      </c>
      <c r="C1260" s="7" t="s">
        <v>124</v>
      </c>
      <c r="D1260" s="10">
        <f>IFERROR(SUMIFS('Base bordo'!G$2:G$746,'Base bordo'!C$2:C$746,A1260,'Base bordo'!B$2:B$746,B1260,'Base bordo'!F$2:F$746,"DESLOCAMENTO VAZIO"),0)</f>
        <v>3.0741666666666667</v>
      </c>
      <c r="E1260" s="10">
        <f>IFERROR(SUMIFS('Base bordo'!G$2:G$746,'Base bordo'!C$2:C$746,A1260,'Base bordo'!B$2:B$746,B1260,'Base bordo'!F$2:F$746,"DESLOCAMENTO CARREGADO"),0)</f>
        <v>4.4763888888888888</v>
      </c>
      <c r="F1260" s="10">
        <f>IFERROR(SUMIFS('Base bordo'!G$2:G$746,'Base bordo'!C$2:C$746,A1260,'Base bordo'!B$2:B$746,B1260,'Base bordo'!F$2:F$746,"DESLOCAMENTO"),0)</f>
        <v>0</v>
      </c>
      <c r="G1260" s="10">
        <f>IFERROR(SUMIFS('Base bordo'!G$2:G$746,'Base bordo'!C$2:C$746,A1260,'Base bordo'!B$2:B$746,B1260,'Base bordo'!F$2:F$746,"CARREGAMENTO"),0)</f>
        <v>0</v>
      </c>
      <c r="H1260" s="10">
        <f>IFERROR(SUMIFS('Base bordo'!G$2:G$746,'Base bordo'!C$2:C$746,A1260,'Base bordo'!B$2:B$746,B1260,'Base bordo'!F$2:F$746,"AGUARDANDO TRANSBORDO"),0)</f>
        <v>0.55777777777777782</v>
      </c>
      <c r="I1260" s="10">
        <f>IFERROR(SUMIFS('Base bordo'!G$2:G$746,'Base bordo'!C$2:C$746,A1260,'Base bordo'!B$2:B$746,B1260,'Base bordo'!F$2:F$746,"PÁTIO INTERNO"),0)+IFERROR(SUMIFS('Base bordo'!G$2:G$746,'Base bordo'!C$2:C$746,A1260,'Base bordo'!B$2:B$746,B1260,'Base bordo'!F$2:F$746,"PÁTIO EXTERNO"),0)+IFERROR(SUMIFS('Base bordo'!G$2:G$746,'Base bordo'!C$2:C$746,A1260,'Base bordo'!B$2:B$746,B1260,'Base bordo'!F$2:F$746,"PATIO - RESERVA"),0)+IFERROR(SUMIFS('Base bordo'!G$2:G$746,'Base bordo'!C$2:C$746,A1260,'Base bordo'!B$2:B$746,B1260,'Base bordo'!F$2:F$746,"MANOBRA CARRETAS-PATIO"),0)</f>
        <v>4.0902777777777777</v>
      </c>
      <c r="J1260" s="10">
        <f>IFERROR(SUMIFS('Base bordo'!G$2:G$746,'Base bordo'!C$2:C$746,A1260,'Base bordo'!B$2:B$746,B1260,'Base bordo'!F$2:F$746,"BALANÇA - ENTRADA"),0)+IFERROR(SUMIFS('Base bordo'!G$2:G$746,'Base bordo'!C$2:C$746,A1260,'Base bordo'!B$2:B$746,B1260,'Base bordo'!F$2:F$746,"BALANÇA - SAÍDA"),0)</f>
        <v>5.5555555555555552E-2</v>
      </c>
      <c r="K1260" s="10">
        <f>IFERROR(SUMIFS('Base bordo'!G$2:G$746,'Base bordo'!C$2:C$746,A1260,'Base bordo'!B$2:B$746,B1260,'Base bordo'!F$2:F$746,"MAN PREVENTIVA - MECANICA"),0)+IFERROR(SUMIFS('Base bordo'!G$2:G$746,'Base bordo'!C$2:C$746,A1260,'Base bordo'!B$2:B$746,B1260,'Base bordo'!F$2:F$746,"MAN CORRETIVA - MECANICA"),0)</f>
        <v>0</v>
      </c>
      <c r="L1260" s="10">
        <f>IFERROR(SUMIFS('Base bordo'!G$2:G$746,'Base bordo'!C$2:C$746,A1260,'Base bordo'!B$2:B$746,B1260,'Base bordo'!F$2:F$746,"MANUTENCAO - T O"),0)+IFERROR(SUMIFS('Base bordo'!G$2:G$746,'Base bordo'!C$2:C$746,A1260,'Base bordo'!B$2:B$746,B1260,'Base bordo'!F$2:F$746,"MANUTENCAO BORRACHARIA"),0)+IFERROR(SUMIFS('Base bordo'!G$2:G$746,'Base bordo'!C$2:C$746,A1260,'Base bordo'!B$2:B$746,B1260,'Base bordo'!F$2:F$746,"MANUTENCAO EXTERNA  CONCESSIONARIA"),0)+IFERROR(SUMIFS('Base bordo'!G$2:G$746,'Base bordo'!C$2:C$746,A1260,'Base bordo'!B$2:B$746,B1260,'Base bordo'!F$2:F$746,"MANUTENCAO TELEMETRIA"),0)</f>
        <v>0</v>
      </c>
      <c r="M1260" s="10">
        <f>IFERROR(SUMIFS('Base bordo'!G$2:G$746,'Base bordo'!C$2:C$746,A1260,'Base bordo'!B$2:B$746,B1260,'Base bordo'!F$2:F$746,"AGUARDANDO MANUTENCAO"),0)</f>
        <v>0</v>
      </c>
      <c r="N1260" s="10">
        <f>IFERROR(SUMIFS('Base bordo'!G$2:G$746,'Base bordo'!C$2:C$746,A1260,'Base bordo'!B$2:B$746,B1260,'Base bordo'!F$2:F$746,"SEM APONTAMENTO"),0)</f>
        <v>0</v>
      </c>
      <c r="O1260" s="10">
        <f t="shared" si="126"/>
        <v>3.5527136788005009E-15</v>
      </c>
      <c r="P1260" s="10">
        <f>IFERROR(SUMIFS('Base bordo'!G$2:G$746,'Base bordo'!C$2:C$746,A1260,'Base bordo'!B$2:B$746,B1260),0)</f>
        <v>12.254166666666668</v>
      </c>
      <c r="Q1260" s="10">
        <f>IFERROR(SUMIFS('Base bordo'!H$2:H$746,'Base bordo'!C$2:C$746,A1260,'Base bordo'!B$2:B$746,B1260,'Base bordo'!F$2:F$746,"DESLOCAMENTO VAZIO"),0)</f>
        <v>415361.29000000004</v>
      </c>
      <c r="R1260" s="10">
        <f>IFERROR(SUMIFS('Base bordo'!I$2:I$746,'Base bordo'!C$2:C$746,A1260,'Base bordo'!B$2:B$746,B1260,'Base bordo'!F$2:F$746,"DESLOCAMENTO VAZIO"),0)</f>
        <v>11067</v>
      </c>
      <c r="S1260" s="30">
        <f t="shared" si="127"/>
        <v>37.531516219390987</v>
      </c>
      <c r="T1260" s="10">
        <f>IFERROR(SUMIFS('Base bordo'!H$2:H$746,'Base bordo'!C$2:C$746,A1260,'Base bordo'!B$2:B$746,B1260,'Base bordo'!F$2:F$746,"DESLOCAMENTO CARREGADO"),0)</f>
        <v>393703.57999999996</v>
      </c>
      <c r="U1260" s="10">
        <f>IFERROR(SUMIFS('Base bordo'!I$2:I$746,'Base bordo'!C$2:C$746,A1260,'Base bordo'!B$2:B$746,B1260,'Base bordo'!F$2:F$746,"DESLOCAMENTO CARREGADO"),0)</f>
        <v>16115</v>
      </c>
      <c r="V1260" s="30">
        <f t="shared" si="128"/>
        <v>24.430876822835863</v>
      </c>
      <c r="W1260" s="9">
        <f t="shared" si="129"/>
        <v>0.25086705202312137</v>
      </c>
      <c r="X1260" s="9">
        <f t="shared" si="130"/>
        <v>0.36529525104839616</v>
      </c>
      <c r="Y1260" s="9">
        <f t="shared" si="131"/>
        <v>0.38383769692848246</v>
      </c>
    </row>
    <row r="1261" spans="1:25" ht="15" customHeight="1" x14ac:dyDescent="0.35">
      <c r="A1261" s="52">
        <v>8013472</v>
      </c>
      <c r="B1261" s="51">
        <v>46124</v>
      </c>
      <c r="C1261" s="7" t="s">
        <v>124</v>
      </c>
      <c r="D1261" s="10">
        <f>IFERROR(SUMIFS('Base bordo'!G$2:G$746,'Base bordo'!C$2:C$746,A1261,'Base bordo'!B$2:B$746,B1261,'Base bordo'!F$2:F$746,"DESLOCAMENTO VAZIO"),0)</f>
        <v>3.0741666666666667</v>
      </c>
      <c r="E1261" s="10">
        <f>IFERROR(SUMIFS('Base bordo'!G$2:G$746,'Base bordo'!C$2:C$746,A1261,'Base bordo'!B$2:B$746,B1261,'Base bordo'!F$2:F$746,"DESLOCAMENTO CARREGADO"),0)</f>
        <v>4.4763888888888888</v>
      </c>
      <c r="F1261" s="10">
        <f>IFERROR(SUMIFS('Base bordo'!G$2:G$746,'Base bordo'!C$2:C$746,A1261,'Base bordo'!B$2:B$746,B1261,'Base bordo'!F$2:F$746,"DESLOCAMENTO"),0)</f>
        <v>0</v>
      </c>
      <c r="G1261" s="10">
        <f>IFERROR(SUMIFS('Base bordo'!G$2:G$746,'Base bordo'!C$2:C$746,A1261,'Base bordo'!B$2:B$746,B1261,'Base bordo'!F$2:F$746,"CARREGAMENTO"),0)</f>
        <v>0</v>
      </c>
      <c r="H1261" s="10">
        <f>IFERROR(SUMIFS('Base bordo'!G$2:G$746,'Base bordo'!C$2:C$746,A1261,'Base bordo'!B$2:B$746,B1261,'Base bordo'!F$2:F$746,"AGUARDANDO TRANSBORDO"),0)</f>
        <v>0.55777777777777782</v>
      </c>
      <c r="I1261" s="10">
        <f>IFERROR(SUMIFS('Base bordo'!G$2:G$746,'Base bordo'!C$2:C$746,A1261,'Base bordo'!B$2:B$746,B1261,'Base bordo'!F$2:F$746,"PÁTIO INTERNO"),0)+IFERROR(SUMIFS('Base bordo'!G$2:G$746,'Base bordo'!C$2:C$746,A1261,'Base bordo'!B$2:B$746,B1261,'Base bordo'!F$2:F$746,"PÁTIO EXTERNO"),0)+IFERROR(SUMIFS('Base bordo'!G$2:G$746,'Base bordo'!C$2:C$746,A1261,'Base bordo'!B$2:B$746,B1261,'Base bordo'!F$2:F$746,"PATIO - RESERVA"),0)+IFERROR(SUMIFS('Base bordo'!G$2:G$746,'Base bordo'!C$2:C$746,A1261,'Base bordo'!B$2:B$746,B1261,'Base bordo'!F$2:F$746,"MANOBRA CARRETAS-PATIO"),0)</f>
        <v>4.0902777777777777</v>
      </c>
      <c r="J1261" s="10">
        <f>IFERROR(SUMIFS('Base bordo'!G$2:G$746,'Base bordo'!C$2:C$746,A1261,'Base bordo'!B$2:B$746,B1261,'Base bordo'!F$2:F$746,"BALANÇA - ENTRADA"),0)+IFERROR(SUMIFS('Base bordo'!G$2:G$746,'Base bordo'!C$2:C$746,A1261,'Base bordo'!B$2:B$746,B1261,'Base bordo'!F$2:F$746,"BALANÇA - SAÍDA"),0)</f>
        <v>5.5555555555555552E-2</v>
      </c>
      <c r="K1261" s="10">
        <f>IFERROR(SUMIFS('Base bordo'!G$2:G$746,'Base bordo'!C$2:C$746,A1261,'Base bordo'!B$2:B$746,B1261,'Base bordo'!F$2:F$746,"MAN PREVENTIVA - MECANICA"),0)+IFERROR(SUMIFS('Base bordo'!G$2:G$746,'Base bordo'!C$2:C$746,A1261,'Base bordo'!B$2:B$746,B1261,'Base bordo'!F$2:F$746,"MAN CORRETIVA - MECANICA"),0)</f>
        <v>0</v>
      </c>
      <c r="L1261" s="10">
        <f>IFERROR(SUMIFS('Base bordo'!G$2:G$746,'Base bordo'!C$2:C$746,A1261,'Base bordo'!B$2:B$746,B1261,'Base bordo'!F$2:F$746,"MANUTENCAO - T O"),0)+IFERROR(SUMIFS('Base bordo'!G$2:G$746,'Base bordo'!C$2:C$746,A1261,'Base bordo'!B$2:B$746,B1261,'Base bordo'!F$2:F$746,"MANUTENCAO BORRACHARIA"),0)+IFERROR(SUMIFS('Base bordo'!G$2:G$746,'Base bordo'!C$2:C$746,A1261,'Base bordo'!B$2:B$746,B1261,'Base bordo'!F$2:F$746,"MANUTENCAO EXTERNA  CONCESSIONARIA"),0)+IFERROR(SUMIFS('Base bordo'!G$2:G$746,'Base bordo'!C$2:C$746,A1261,'Base bordo'!B$2:B$746,B1261,'Base bordo'!F$2:F$746,"MANUTENCAO TELEMETRIA"),0)</f>
        <v>0</v>
      </c>
      <c r="M1261" s="10">
        <f>IFERROR(SUMIFS('Base bordo'!G$2:G$746,'Base bordo'!C$2:C$746,A1261,'Base bordo'!B$2:B$746,B1261,'Base bordo'!F$2:F$746,"AGUARDANDO MANUTENCAO"),0)</f>
        <v>0</v>
      </c>
      <c r="N1261" s="10">
        <f>IFERROR(SUMIFS('Base bordo'!G$2:G$746,'Base bordo'!C$2:C$746,A1261,'Base bordo'!B$2:B$746,B1261,'Base bordo'!F$2:F$746,"SEM APONTAMENTO"),0)</f>
        <v>0</v>
      </c>
      <c r="O1261" s="10">
        <f t="shared" si="126"/>
        <v>3.5527136788005009E-15</v>
      </c>
      <c r="P1261" s="10">
        <f>IFERROR(SUMIFS('Base bordo'!G$2:G$746,'Base bordo'!C$2:C$746,A1261,'Base bordo'!B$2:B$746,B1261),0)</f>
        <v>12.254166666666668</v>
      </c>
      <c r="Q1261" s="10">
        <f>IFERROR(SUMIFS('Base bordo'!H$2:H$746,'Base bordo'!C$2:C$746,A1261,'Base bordo'!B$2:B$746,B1261,'Base bordo'!F$2:F$746,"DESLOCAMENTO VAZIO"),0)</f>
        <v>415361.29000000004</v>
      </c>
      <c r="R1261" s="10">
        <f>IFERROR(SUMIFS('Base bordo'!I$2:I$746,'Base bordo'!C$2:C$746,A1261,'Base bordo'!B$2:B$746,B1261,'Base bordo'!F$2:F$746,"DESLOCAMENTO VAZIO"),0)</f>
        <v>11067</v>
      </c>
      <c r="S1261" s="30">
        <f t="shared" si="127"/>
        <v>37.531516219390987</v>
      </c>
      <c r="T1261" s="10">
        <f>IFERROR(SUMIFS('Base bordo'!H$2:H$746,'Base bordo'!C$2:C$746,A1261,'Base bordo'!B$2:B$746,B1261,'Base bordo'!F$2:F$746,"DESLOCAMENTO CARREGADO"),0)</f>
        <v>393703.57999999996</v>
      </c>
      <c r="U1261" s="10">
        <f>IFERROR(SUMIFS('Base bordo'!I$2:I$746,'Base bordo'!C$2:C$746,A1261,'Base bordo'!B$2:B$746,B1261,'Base bordo'!F$2:F$746,"DESLOCAMENTO CARREGADO"),0)</f>
        <v>16115</v>
      </c>
      <c r="V1261" s="30">
        <f t="shared" si="128"/>
        <v>24.430876822835863</v>
      </c>
      <c r="W1261" s="9">
        <f t="shared" si="129"/>
        <v>0.25086705202312137</v>
      </c>
      <c r="X1261" s="9">
        <f t="shared" si="130"/>
        <v>0.36529525104839616</v>
      </c>
      <c r="Y1261" s="9">
        <f t="shared" si="131"/>
        <v>0.38383769692848246</v>
      </c>
    </row>
    <row r="1262" spans="1:25" ht="15" customHeight="1" x14ac:dyDescent="0.35">
      <c r="A1262" s="52">
        <v>8013472</v>
      </c>
      <c r="B1262" s="51">
        <v>46124</v>
      </c>
      <c r="C1262" s="7" t="s">
        <v>124</v>
      </c>
      <c r="D1262" s="10">
        <f>IFERROR(SUMIFS('Base bordo'!G$2:G$746,'Base bordo'!C$2:C$746,A1262,'Base bordo'!B$2:B$746,B1262,'Base bordo'!F$2:F$746,"DESLOCAMENTO VAZIO"),0)</f>
        <v>3.0741666666666667</v>
      </c>
      <c r="E1262" s="10">
        <f>IFERROR(SUMIFS('Base bordo'!G$2:G$746,'Base bordo'!C$2:C$746,A1262,'Base bordo'!B$2:B$746,B1262,'Base bordo'!F$2:F$746,"DESLOCAMENTO CARREGADO"),0)</f>
        <v>4.4763888888888888</v>
      </c>
      <c r="F1262" s="10">
        <f>IFERROR(SUMIFS('Base bordo'!G$2:G$746,'Base bordo'!C$2:C$746,A1262,'Base bordo'!B$2:B$746,B1262,'Base bordo'!F$2:F$746,"DESLOCAMENTO"),0)</f>
        <v>0</v>
      </c>
      <c r="G1262" s="10">
        <f>IFERROR(SUMIFS('Base bordo'!G$2:G$746,'Base bordo'!C$2:C$746,A1262,'Base bordo'!B$2:B$746,B1262,'Base bordo'!F$2:F$746,"CARREGAMENTO"),0)</f>
        <v>0</v>
      </c>
      <c r="H1262" s="10">
        <f>IFERROR(SUMIFS('Base bordo'!G$2:G$746,'Base bordo'!C$2:C$746,A1262,'Base bordo'!B$2:B$746,B1262,'Base bordo'!F$2:F$746,"AGUARDANDO TRANSBORDO"),0)</f>
        <v>0.55777777777777782</v>
      </c>
      <c r="I1262" s="10">
        <f>IFERROR(SUMIFS('Base bordo'!G$2:G$746,'Base bordo'!C$2:C$746,A1262,'Base bordo'!B$2:B$746,B1262,'Base bordo'!F$2:F$746,"PÁTIO INTERNO"),0)+IFERROR(SUMIFS('Base bordo'!G$2:G$746,'Base bordo'!C$2:C$746,A1262,'Base bordo'!B$2:B$746,B1262,'Base bordo'!F$2:F$746,"PÁTIO EXTERNO"),0)+IFERROR(SUMIFS('Base bordo'!G$2:G$746,'Base bordo'!C$2:C$746,A1262,'Base bordo'!B$2:B$746,B1262,'Base bordo'!F$2:F$746,"PATIO - RESERVA"),0)+IFERROR(SUMIFS('Base bordo'!G$2:G$746,'Base bordo'!C$2:C$746,A1262,'Base bordo'!B$2:B$746,B1262,'Base bordo'!F$2:F$746,"MANOBRA CARRETAS-PATIO"),0)</f>
        <v>4.0902777777777777</v>
      </c>
      <c r="J1262" s="10">
        <f>IFERROR(SUMIFS('Base bordo'!G$2:G$746,'Base bordo'!C$2:C$746,A1262,'Base bordo'!B$2:B$746,B1262,'Base bordo'!F$2:F$746,"BALANÇA - ENTRADA"),0)+IFERROR(SUMIFS('Base bordo'!G$2:G$746,'Base bordo'!C$2:C$746,A1262,'Base bordo'!B$2:B$746,B1262,'Base bordo'!F$2:F$746,"BALANÇA - SAÍDA"),0)</f>
        <v>5.5555555555555552E-2</v>
      </c>
      <c r="K1262" s="10">
        <f>IFERROR(SUMIFS('Base bordo'!G$2:G$746,'Base bordo'!C$2:C$746,A1262,'Base bordo'!B$2:B$746,B1262,'Base bordo'!F$2:F$746,"MAN PREVENTIVA - MECANICA"),0)+IFERROR(SUMIFS('Base bordo'!G$2:G$746,'Base bordo'!C$2:C$746,A1262,'Base bordo'!B$2:B$746,B1262,'Base bordo'!F$2:F$746,"MAN CORRETIVA - MECANICA"),0)</f>
        <v>0</v>
      </c>
      <c r="L1262" s="10">
        <f>IFERROR(SUMIFS('Base bordo'!G$2:G$746,'Base bordo'!C$2:C$746,A1262,'Base bordo'!B$2:B$746,B1262,'Base bordo'!F$2:F$746,"MANUTENCAO - T O"),0)+IFERROR(SUMIFS('Base bordo'!G$2:G$746,'Base bordo'!C$2:C$746,A1262,'Base bordo'!B$2:B$746,B1262,'Base bordo'!F$2:F$746,"MANUTENCAO BORRACHARIA"),0)+IFERROR(SUMIFS('Base bordo'!G$2:G$746,'Base bordo'!C$2:C$746,A1262,'Base bordo'!B$2:B$746,B1262,'Base bordo'!F$2:F$746,"MANUTENCAO EXTERNA  CONCESSIONARIA"),0)+IFERROR(SUMIFS('Base bordo'!G$2:G$746,'Base bordo'!C$2:C$746,A1262,'Base bordo'!B$2:B$746,B1262,'Base bordo'!F$2:F$746,"MANUTENCAO TELEMETRIA"),0)</f>
        <v>0</v>
      </c>
      <c r="M1262" s="10">
        <f>IFERROR(SUMIFS('Base bordo'!G$2:G$746,'Base bordo'!C$2:C$746,A1262,'Base bordo'!B$2:B$746,B1262,'Base bordo'!F$2:F$746,"AGUARDANDO MANUTENCAO"),0)</f>
        <v>0</v>
      </c>
      <c r="N1262" s="10">
        <f>IFERROR(SUMIFS('Base bordo'!G$2:G$746,'Base bordo'!C$2:C$746,A1262,'Base bordo'!B$2:B$746,B1262,'Base bordo'!F$2:F$746,"SEM APONTAMENTO"),0)</f>
        <v>0</v>
      </c>
      <c r="O1262" s="10">
        <f t="shared" si="126"/>
        <v>3.5527136788005009E-15</v>
      </c>
      <c r="P1262" s="10">
        <f>IFERROR(SUMIFS('Base bordo'!G$2:G$746,'Base bordo'!C$2:C$746,A1262,'Base bordo'!B$2:B$746,B1262),0)</f>
        <v>12.254166666666668</v>
      </c>
      <c r="Q1262" s="10">
        <f>IFERROR(SUMIFS('Base bordo'!H$2:H$746,'Base bordo'!C$2:C$746,A1262,'Base bordo'!B$2:B$746,B1262,'Base bordo'!F$2:F$746,"DESLOCAMENTO VAZIO"),0)</f>
        <v>415361.29000000004</v>
      </c>
      <c r="R1262" s="10">
        <f>IFERROR(SUMIFS('Base bordo'!I$2:I$746,'Base bordo'!C$2:C$746,A1262,'Base bordo'!B$2:B$746,B1262,'Base bordo'!F$2:F$746,"DESLOCAMENTO VAZIO"),0)</f>
        <v>11067</v>
      </c>
      <c r="S1262" s="30">
        <f t="shared" si="127"/>
        <v>37.531516219390987</v>
      </c>
      <c r="T1262" s="10">
        <f>IFERROR(SUMIFS('Base bordo'!H$2:H$746,'Base bordo'!C$2:C$746,A1262,'Base bordo'!B$2:B$746,B1262,'Base bordo'!F$2:F$746,"DESLOCAMENTO CARREGADO"),0)</f>
        <v>393703.57999999996</v>
      </c>
      <c r="U1262" s="10">
        <f>IFERROR(SUMIFS('Base bordo'!I$2:I$746,'Base bordo'!C$2:C$746,A1262,'Base bordo'!B$2:B$746,B1262,'Base bordo'!F$2:F$746,"DESLOCAMENTO CARREGADO"),0)</f>
        <v>16115</v>
      </c>
      <c r="V1262" s="30">
        <f t="shared" si="128"/>
        <v>24.430876822835863</v>
      </c>
      <c r="W1262" s="9">
        <f t="shared" si="129"/>
        <v>0.25086705202312137</v>
      </c>
      <c r="X1262" s="9">
        <f t="shared" si="130"/>
        <v>0.36529525104839616</v>
      </c>
      <c r="Y1262" s="9">
        <f t="shared" si="131"/>
        <v>0.38383769692848246</v>
      </c>
    </row>
    <row r="1263" spans="1:25" ht="15" customHeight="1" x14ac:dyDescent="0.35">
      <c r="A1263" s="52">
        <v>8013472</v>
      </c>
      <c r="B1263" s="51">
        <v>46124</v>
      </c>
      <c r="C1263" s="7" t="s">
        <v>124</v>
      </c>
      <c r="D1263" s="10">
        <f>IFERROR(SUMIFS('Base bordo'!G$2:G$746,'Base bordo'!C$2:C$746,A1263,'Base bordo'!B$2:B$746,B1263,'Base bordo'!F$2:F$746,"DESLOCAMENTO VAZIO"),0)</f>
        <v>3.0741666666666667</v>
      </c>
      <c r="E1263" s="10">
        <f>IFERROR(SUMIFS('Base bordo'!G$2:G$746,'Base bordo'!C$2:C$746,A1263,'Base bordo'!B$2:B$746,B1263,'Base bordo'!F$2:F$746,"DESLOCAMENTO CARREGADO"),0)</f>
        <v>4.4763888888888888</v>
      </c>
      <c r="F1263" s="10">
        <f>IFERROR(SUMIFS('Base bordo'!G$2:G$746,'Base bordo'!C$2:C$746,A1263,'Base bordo'!B$2:B$746,B1263,'Base bordo'!F$2:F$746,"DESLOCAMENTO"),0)</f>
        <v>0</v>
      </c>
      <c r="G1263" s="10">
        <f>IFERROR(SUMIFS('Base bordo'!G$2:G$746,'Base bordo'!C$2:C$746,A1263,'Base bordo'!B$2:B$746,B1263,'Base bordo'!F$2:F$746,"CARREGAMENTO"),0)</f>
        <v>0</v>
      </c>
      <c r="H1263" s="10">
        <f>IFERROR(SUMIFS('Base bordo'!G$2:G$746,'Base bordo'!C$2:C$746,A1263,'Base bordo'!B$2:B$746,B1263,'Base bordo'!F$2:F$746,"AGUARDANDO TRANSBORDO"),0)</f>
        <v>0.55777777777777782</v>
      </c>
      <c r="I1263" s="10">
        <f>IFERROR(SUMIFS('Base bordo'!G$2:G$746,'Base bordo'!C$2:C$746,A1263,'Base bordo'!B$2:B$746,B1263,'Base bordo'!F$2:F$746,"PÁTIO INTERNO"),0)+IFERROR(SUMIFS('Base bordo'!G$2:G$746,'Base bordo'!C$2:C$746,A1263,'Base bordo'!B$2:B$746,B1263,'Base bordo'!F$2:F$746,"PÁTIO EXTERNO"),0)+IFERROR(SUMIFS('Base bordo'!G$2:G$746,'Base bordo'!C$2:C$746,A1263,'Base bordo'!B$2:B$746,B1263,'Base bordo'!F$2:F$746,"PATIO - RESERVA"),0)+IFERROR(SUMIFS('Base bordo'!G$2:G$746,'Base bordo'!C$2:C$746,A1263,'Base bordo'!B$2:B$746,B1263,'Base bordo'!F$2:F$746,"MANOBRA CARRETAS-PATIO"),0)</f>
        <v>4.0902777777777777</v>
      </c>
      <c r="J1263" s="10">
        <f>IFERROR(SUMIFS('Base bordo'!G$2:G$746,'Base bordo'!C$2:C$746,A1263,'Base bordo'!B$2:B$746,B1263,'Base bordo'!F$2:F$746,"BALANÇA - ENTRADA"),0)+IFERROR(SUMIFS('Base bordo'!G$2:G$746,'Base bordo'!C$2:C$746,A1263,'Base bordo'!B$2:B$746,B1263,'Base bordo'!F$2:F$746,"BALANÇA - SAÍDA"),0)</f>
        <v>5.5555555555555552E-2</v>
      </c>
      <c r="K1263" s="10">
        <f>IFERROR(SUMIFS('Base bordo'!G$2:G$746,'Base bordo'!C$2:C$746,A1263,'Base bordo'!B$2:B$746,B1263,'Base bordo'!F$2:F$746,"MAN PREVENTIVA - MECANICA"),0)+IFERROR(SUMIFS('Base bordo'!G$2:G$746,'Base bordo'!C$2:C$746,A1263,'Base bordo'!B$2:B$746,B1263,'Base bordo'!F$2:F$746,"MAN CORRETIVA - MECANICA"),0)</f>
        <v>0</v>
      </c>
      <c r="L1263" s="10">
        <f>IFERROR(SUMIFS('Base bordo'!G$2:G$746,'Base bordo'!C$2:C$746,A1263,'Base bordo'!B$2:B$746,B1263,'Base bordo'!F$2:F$746,"MANUTENCAO - T O"),0)+IFERROR(SUMIFS('Base bordo'!G$2:G$746,'Base bordo'!C$2:C$746,A1263,'Base bordo'!B$2:B$746,B1263,'Base bordo'!F$2:F$746,"MANUTENCAO BORRACHARIA"),0)+IFERROR(SUMIFS('Base bordo'!G$2:G$746,'Base bordo'!C$2:C$746,A1263,'Base bordo'!B$2:B$746,B1263,'Base bordo'!F$2:F$746,"MANUTENCAO EXTERNA  CONCESSIONARIA"),0)+IFERROR(SUMIFS('Base bordo'!G$2:G$746,'Base bordo'!C$2:C$746,A1263,'Base bordo'!B$2:B$746,B1263,'Base bordo'!F$2:F$746,"MANUTENCAO TELEMETRIA"),0)</f>
        <v>0</v>
      </c>
      <c r="M1263" s="10">
        <f>IFERROR(SUMIFS('Base bordo'!G$2:G$746,'Base bordo'!C$2:C$746,A1263,'Base bordo'!B$2:B$746,B1263,'Base bordo'!F$2:F$746,"AGUARDANDO MANUTENCAO"),0)</f>
        <v>0</v>
      </c>
      <c r="N1263" s="10">
        <f>IFERROR(SUMIFS('Base bordo'!G$2:G$746,'Base bordo'!C$2:C$746,A1263,'Base bordo'!B$2:B$746,B1263,'Base bordo'!F$2:F$746,"SEM APONTAMENTO"),0)</f>
        <v>0</v>
      </c>
      <c r="O1263" s="10">
        <f t="shared" si="126"/>
        <v>3.5527136788005009E-15</v>
      </c>
      <c r="P1263" s="10">
        <f>IFERROR(SUMIFS('Base bordo'!G$2:G$746,'Base bordo'!C$2:C$746,A1263,'Base bordo'!B$2:B$746,B1263),0)</f>
        <v>12.254166666666668</v>
      </c>
      <c r="Q1263" s="10">
        <f>IFERROR(SUMIFS('Base bordo'!H$2:H$746,'Base bordo'!C$2:C$746,A1263,'Base bordo'!B$2:B$746,B1263,'Base bordo'!F$2:F$746,"DESLOCAMENTO VAZIO"),0)</f>
        <v>415361.29000000004</v>
      </c>
      <c r="R1263" s="10">
        <f>IFERROR(SUMIFS('Base bordo'!I$2:I$746,'Base bordo'!C$2:C$746,A1263,'Base bordo'!B$2:B$746,B1263,'Base bordo'!F$2:F$746,"DESLOCAMENTO VAZIO"),0)</f>
        <v>11067</v>
      </c>
      <c r="S1263" s="30">
        <f t="shared" si="127"/>
        <v>37.531516219390987</v>
      </c>
      <c r="T1263" s="10">
        <f>IFERROR(SUMIFS('Base bordo'!H$2:H$746,'Base bordo'!C$2:C$746,A1263,'Base bordo'!B$2:B$746,B1263,'Base bordo'!F$2:F$746,"DESLOCAMENTO CARREGADO"),0)</f>
        <v>393703.57999999996</v>
      </c>
      <c r="U1263" s="10">
        <f>IFERROR(SUMIFS('Base bordo'!I$2:I$746,'Base bordo'!C$2:C$746,A1263,'Base bordo'!B$2:B$746,B1263,'Base bordo'!F$2:F$746,"DESLOCAMENTO CARREGADO"),0)</f>
        <v>16115</v>
      </c>
      <c r="V1263" s="30">
        <f t="shared" si="128"/>
        <v>24.430876822835863</v>
      </c>
      <c r="W1263" s="9">
        <f t="shared" si="129"/>
        <v>0.25086705202312137</v>
      </c>
      <c r="X1263" s="9">
        <f t="shared" si="130"/>
        <v>0.36529525104839616</v>
      </c>
      <c r="Y1263" s="9">
        <f t="shared" si="131"/>
        <v>0.38383769692848246</v>
      </c>
    </row>
    <row r="1264" spans="1:25" ht="15" customHeight="1" x14ac:dyDescent="0.35">
      <c r="A1264" s="52">
        <v>8013472</v>
      </c>
      <c r="B1264" s="51">
        <v>46124</v>
      </c>
      <c r="C1264" s="7" t="s">
        <v>124</v>
      </c>
      <c r="D1264" s="10">
        <f>IFERROR(SUMIFS('Base bordo'!G$2:G$746,'Base bordo'!C$2:C$746,A1264,'Base bordo'!B$2:B$746,B1264,'Base bordo'!F$2:F$746,"DESLOCAMENTO VAZIO"),0)</f>
        <v>3.0741666666666667</v>
      </c>
      <c r="E1264" s="10">
        <f>IFERROR(SUMIFS('Base bordo'!G$2:G$746,'Base bordo'!C$2:C$746,A1264,'Base bordo'!B$2:B$746,B1264,'Base bordo'!F$2:F$746,"DESLOCAMENTO CARREGADO"),0)</f>
        <v>4.4763888888888888</v>
      </c>
      <c r="F1264" s="10">
        <f>IFERROR(SUMIFS('Base bordo'!G$2:G$746,'Base bordo'!C$2:C$746,A1264,'Base bordo'!B$2:B$746,B1264,'Base bordo'!F$2:F$746,"DESLOCAMENTO"),0)</f>
        <v>0</v>
      </c>
      <c r="G1264" s="10">
        <f>IFERROR(SUMIFS('Base bordo'!G$2:G$746,'Base bordo'!C$2:C$746,A1264,'Base bordo'!B$2:B$746,B1264,'Base bordo'!F$2:F$746,"CARREGAMENTO"),0)</f>
        <v>0</v>
      </c>
      <c r="H1264" s="10">
        <f>IFERROR(SUMIFS('Base bordo'!G$2:G$746,'Base bordo'!C$2:C$746,A1264,'Base bordo'!B$2:B$746,B1264,'Base bordo'!F$2:F$746,"AGUARDANDO TRANSBORDO"),0)</f>
        <v>0.55777777777777782</v>
      </c>
      <c r="I1264" s="10">
        <f>IFERROR(SUMIFS('Base bordo'!G$2:G$746,'Base bordo'!C$2:C$746,A1264,'Base bordo'!B$2:B$746,B1264,'Base bordo'!F$2:F$746,"PÁTIO INTERNO"),0)+IFERROR(SUMIFS('Base bordo'!G$2:G$746,'Base bordo'!C$2:C$746,A1264,'Base bordo'!B$2:B$746,B1264,'Base bordo'!F$2:F$746,"PÁTIO EXTERNO"),0)+IFERROR(SUMIFS('Base bordo'!G$2:G$746,'Base bordo'!C$2:C$746,A1264,'Base bordo'!B$2:B$746,B1264,'Base bordo'!F$2:F$746,"PATIO - RESERVA"),0)+IFERROR(SUMIFS('Base bordo'!G$2:G$746,'Base bordo'!C$2:C$746,A1264,'Base bordo'!B$2:B$746,B1264,'Base bordo'!F$2:F$746,"MANOBRA CARRETAS-PATIO"),0)</f>
        <v>4.0902777777777777</v>
      </c>
      <c r="J1264" s="10">
        <f>IFERROR(SUMIFS('Base bordo'!G$2:G$746,'Base bordo'!C$2:C$746,A1264,'Base bordo'!B$2:B$746,B1264,'Base bordo'!F$2:F$746,"BALANÇA - ENTRADA"),0)+IFERROR(SUMIFS('Base bordo'!G$2:G$746,'Base bordo'!C$2:C$746,A1264,'Base bordo'!B$2:B$746,B1264,'Base bordo'!F$2:F$746,"BALANÇA - SAÍDA"),0)</f>
        <v>5.5555555555555552E-2</v>
      </c>
      <c r="K1264" s="10">
        <f>IFERROR(SUMIFS('Base bordo'!G$2:G$746,'Base bordo'!C$2:C$746,A1264,'Base bordo'!B$2:B$746,B1264,'Base bordo'!F$2:F$746,"MAN PREVENTIVA - MECANICA"),0)+IFERROR(SUMIFS('Base bordo'!G$2:G$746,'Base bordo'!C$2:C$746,A1264,'Base bordo'!B$2:B$746,B1264,'Base bordo'!F$2:F$746,"MAN CORRETIVA - MECANICA"),0)</f>
        <v>0</v>
      </c>
      <c r="L1264" s="10">
        <f>IFERROR(SUMIFS('Base bordo'!G$2:G$746,'Base bordo'!C$2:C$746,A1264,'Base bordo'!B$2:B$746,B1264,'Base bordo'!F$2:F$746,"MANUTENCAO - T O"),0)+IFERROR(SUMIFS('Base bordo'!G$2:G$746,'Base bordo'!C$2:C$746,A1264,'Base bordo'!B$2:B$746,B1264,'Base bordo'!F$2:F$746,"MANUTENCAO BORRACHARIA"),0)+IFERROR(SUMIFS('Base bordo'!G$2:G$746,'Base bordo'!C$2:C$746,A1264,'Base bordo'!B$2:B$746,B1264,'Base bordo'!F$2:F$746,"MANUTENCAO EXTERNA  CONCESSIONARIA"),0)+IFERROR(SUMIFS('Base bordo'!G$2:G$746,'Base bordo'!C$2:C$746,A1264,'Base bordo'!B$2:B$746,B1264,'Base bordo'!F$2:F$746,"MANUTENCAO TELEMETRIA"),0)</f>
        <v>0</v>
      </c>
      <c r="M1264" s="10">
        <f>IFERROR(SUMIFS('Base bordo'!G$2:G$746,'Base bordo'!C$2:C$746,A1264,'Base bordo'!B$2:B$746,B1264,'Base bordo'!F$2:F$746,"AGUARDANDO MANUTENCAO"),0)</f>
        <v>0</v>
      </c>
      <c r="N1264" s="10">
        <f>IFERROR(SUMIFS('Base bordo'!G$2:G$746,'Base bordo'!C$2:C$746,A1264,'Base bordo'!B$2:B$746,B1264,'Base bordo'!F$2:F$746,"SEM APONTAMENTO"),0)</f>
        <v>0</v>
      </c>
      <c r="O1264" s="10">
        <f t="shared" si="126"/>
        <v>3.5527136788005009E-15</v>
      </c>
      <c r="P1264" s="10">
        <f>IFERROR(SUMIFS('Base bordo'!G$2:G$746,'Base bordo'!C$2:C$746,A1264,'Base bordo'!B$2:B$746,B1264),0)</f>
        <v>12.254166666666668</v>
      </c>
      <c r="Q1264" s="10">
        <f>IFERROR(SUMIFS('Base bordo'!H$2:H$746,'Base bordo'!C$2:C$746,A1264,'Base bordo'!B$2:B$746,B1264,'Base bordo'!F$2:F$746,"DESLOCAMENTO VAZIO"),0)</f>
        <v>415361.29000000004</v>
      </c>
      <c r="R1264" s="10">
        <f>IFERROR(SUMIFS('Base bordo'!I$2:I$746,'Base bordo'!C$2:C$746,A1264,'Base bordo'!B$2:B$746,B1264,'Base bordo'!F$2:F$746,"DESLOCAMENTO VAZIO"),0)</f>
        <v>11067</v>
      </c>
      <c r="S1264" s="30">
        <f t="shared" si="127"/>
        <v>37.531516219390987</v>
      </c>
      <c r="T1264" s="10">
        <f>IFERROR(SUMIFS('Base bordo'!H$2:H$746,'Base bordo'!C$2:C$746,A1264,'Base bordo'!B$2:B$746,B1264,'Base bordo'!F$2:F$746,"DESLOCAMENTO CARREGADO"),0)</f>
        <v>393703.57999999996</v>
      </c>
      <c r="U1264" s="10">
        <f>IFERROR(SUMIFS('Base bordo'!I$2:I$746,'Base bordo'!C$2:C$746,A1264,'Base bordo'!B$2:B$746,B1264,'Base bordo'!F$2:F$746,"DESLOCAMENTO CARREGADO"),0)</f>
        <v>16115</v>
      </c>
      <c r="V1264" s="30">
        <f t="shared" si="128"/>
        <v>24.430876822835863</v>
      </c>
      <c r="W1264" s="9">
        <f t="shared" si="129"/>
        <v>0.25086705202312137</v>
      </c>
      <c r="X1264" s="9">
        <f t="shared" si="130"/>
        <v>0.36529525104839616</v>
      </c>
      <c r="Y1264" s="9">
        <f t="shared" si="131"/>
        <v>0.38383769692848246</v>
      </c>
    </row>
    <row r="1265" spans="1:25" ht="15" customHeight="1" x14ac:dyDescent="0.35">
      <c r="A1265" s="52">
        <v>8013473</v>
      </c>
      <c r="B1265" s="51">
        <v>46124</v>
      </c>
      <c r="C1265" s="7" t="s">
        <v>124</v>
      </c>
      <c r="D1265" s="10">
        <f>IFERROR(SUMIFS('Base bordo'!G$2:G$746,'Base bordo'!C$2:C$746,A1265,'Base bordo'!B$2:B$746,B1265,'Base bordo'!F$2:F$746,"DESLOCAMENTO VAZIO"),0)</f>
        <v>3.3650000000000002</v>
      </c>
      <c r="E1265" s="10">
        <f>IFERROR(SUMIFS('Base bordo'!G$2:G$746,'Base bordo'!C$2:C$746,A1265,'Base bordo'!B$2:B$746,B1265,'Base bordo'!F$2:F$746,"DESLOCAMENTO CARREGADO"),0)</f>
        <v>4.0566666666666666</v>
      </c>
      <c r="F1265" s="10">
        <f>IFERROR(SUMIFS('Base bordo'!G$2:G$746,'Base bordo'!C$2:C$746,A1265,'Base bordo'!B$2:B$746,B1265,'Base bordo'!F$2:F$746,"DESLOCAMENTO"),0)</f>
        <v>0</v>
      </c>
      <c r="G1265" s="10">
        <f>IFERROR(SUMIFS('Base bordo'!G$2:G$746,'Base bordo'!C$2:C$746,A1265,'Base bordo'!B$2:B$746,B1265,'Base bordo'!F$2:F$746,"CARREGAMENTO"),0)</f>
        <v>0</v>
      </c>
      <c r="H1265" s="10">
        <f>IFERROR(SUMIFS('Base bordo'!G$2:G$746,'Base bordo'!C$2:C$746,A1265,'Base bordo'!B$2:B$746,B1265,'Base bordo'!F$2:F$746,"AGUARDANDO TRANSBORDO"),0)</f>
        <v>0.39333333333333331</v>
      </c>
      <c r="I1265" s="10">
        <f>IFERROR(SUMIFS('Base bordo'!G$2:G$746,'Base bordo'!C$2:C$746,A1265,'Base bordo'!B$2:B$746,B1265,'Base bordo'!F$2:F$746,"PÁTIO INTERNO"),0)+IFERROR(SUMIFS('Base bordo'!G$2:G$746,'Base bordo'!C$2:C$746,A1265,'Base bordo'!B$2:B$746,B1265,'Base bordo'!F$2:F$746,"PÁTIO EXTERNO"),0)+IFERROR(SUMIFS('Base bordo'!G$2:G$746,'Base bordo'!C$2:C$746,A1265,'Base bordo'!B$2:B$746,B1265,'Base bordo'!F$2:F$746,"PATIO - RESERVA"),0)+IFERROR(SUMIFS('Base bordo'!G$2:G$746,'Base bordo'!C$2:C$746,A1265,'Base bordo'!B$2:B$746,B1265,'Base bordo'!F$2:F$746,"MANOBRA CARRETAS-PATIO"),0)</f>
        <v>4.1744444444444442</v>
      </c>
      <c r="J1265" s="10">
        <f>IFERROR(SUMIFS('Base bordo'!G$2:G$746,'Base bordo'!C$2:C$746,A1265,'Base bordo'!B$2:B$746,B1265,'Base bordo'!F$2:F$746,"BALANÇA - ENTRADA"),0)+IFERROR(SUMIFS('Base bordo'!G$2:G$746,'Base bordo'!C$2:C$746,A1265,'Base bordo'!B$2:B$746,B1265,'Base bordo'!F$2:F$746,"BALANÇA - SAÍDA"),0)</f>
        <v>0.27249999999999996</v>
      </c>
      <c r="K1265" s="10">
        <f>IFERROR(SUMIFS('Base bordo'!G$2:G$746,'Base bordo'!C$2:C$746,A1265,'Base bordo'!B$2:B$746,B1265,'Base bordo'!F$2:F$746,"MAN PREVENTIVA - MECANICA"),0)+IFERROR(SUMIFS('Base bordo'!G$2:G$746,'Base bordo'!C$2:C$746,A1265,'Base bordo'!B$2:B$746,B1265,'Base bordo'!F$2:F$746,"MAN CORRETIVA - MECANICA"),0)</f>
        <v>0</v>
      </c>
      <c r="L1265" s="10">
        <f>IFERROR(SUMIFS('Base bordo'!G$2:G$746,'Base bordo'!C$2:C$746,A1265,'Base bordo'!B$2:B$746,B1265,'Base bordo'!F$2:F$746,"MANUTENCAO - T O"),0)+IFERROR(SUMIFS('Base bordo'!G$2:G$746,'Base bordo'!C$2:C$746,A1265,'Base bordo'!B$2:B$746,B1265,'Base bordo'!F$2:F$746,"MANUTENCAO BORRACHARIA"),0)+IFERROR(SUMIFS('Base bordo'!G$2:G$746,'Base bordo'!C$2:C$746,A1265,'Base bordo'!B$2:B$746,B1265,'Base bordo'!F$2:F$746,"MANUTENCAO EXTERNA  CONCESSIONARIA"),0)+IFERROR(SUMIFS('Base bordo'!G$2:G$746,'Base bordo'!C$2:C$746,A1265,'Base bordo'!B$2:B$746,B1265,'Base bordo'!F$2:F$746,"MANUTENCAO TELEMETRIA"),0)</f>
        <v>0</v>
      </c>
      <c r="M1265" s="10">
        <f>IFERROR(SUMIFS('Base bordo'!G$2:G$746,'Base bordo'!C$2:C$746,A1265,'Base bordo'!B$2:B$746,B1265,'Base bordo'!F$2:F$746,"AGUARDANDO MANUTENCAO"),0)</f>
        <v>0</v>
      </c>
      <c r="N1265" s="10">
        <f>IFERROR(SUMIFS('Base bordo'!G$2:G$746,'Base bordo'!C$2:C$746,A1265,'Base bordo'!B$2:B$746,B1265,'Base bordo'!F$2:F$746,"SEM APONTAMENTO"),0)</f>
        <v>0</v>
      </c>
      <c r="O1265" s="10">
        <f t="shared" si="126"/>
        <v>0.26305555555555138</v>
      </c>
      <c r="P1265" s="10">
        <f>IFERROR(SUMIFS('Base bordo'!G$2:G$746,'Base bordo'!C$2:C$746,A1265,'Base bordo'!B$2:B$746,B1265),0)</f>
        <v>12.524999999999997</v>
      </c>
      <c r="Q1265" s="10">
        <f>IFERROR(SUMIFS('Base bordo'!H$2:H$746,'Base bordo'!C$2:C$746,A1265,'Base bordo'!B$2:B$746,B1265,'Base bordo'!F$2:F$746,"DESLOCAMENTO VAZIO"),0)</f>
        <v>427465.79</v>
      </c>
      <c r="R1265" s="10">
        <f>IFERROR(SUMIFS('Base bordo'!I$2:I$746,'Base bordo'!C$2:C$746,A1265,'Base bordo'!B$2:B$746,B1265,'Base bordo'!F$2:F$746,"DESLOCAMENTO VAZIO"),0)</f>
        <v>12114</v>
      </c>
      <c r="S1265" s="30">
        <f t="shared" si="127"/>
        <v>35.286923394419681</v>
      </c>
      <c r="T1265" s="10">
        <f>IFERROR(SUMIFS('Base bordo'!H$2:H$746,'Base bordo'!C$2:C$746,A1265,'Base bordo'!B$2:B$746,B1265,'Base bordo'!F$2:F$746,"DESLOCAMENTO CARREGADO"),0)</f>
        <v>388337.10000000003</v>
      </c>
      <c r="U1265" s="10">
        <f>IFERROR(SUMIFS('Base bordo'!I$2:I$746,'Base bordo'!C$2:C$746,A1265,'Base bordo'!B$2:B$746,B1265,'Base bordo'!F$2:F$746,"DESLOCAMENTO CARREGADO"),0)</f>
        <v>14604</v>
      </c>
      <c r="V1265" s="30">
        <f t="shared" si="128"/>
        <v>26.591146261298277</v>
      </c>
      <c r="W1265" s="9">
        <f t="shared" si="129"/>
        <v>0.26866267465069871</v>
      </c>
      <c r="X1265" s="9">
        <f t="shared" si="130"/>
        <v>0.32388556220891557</v>
      </c>
      <c r="Y1265" s="9">
        <f t="shared" si="131"/>
        <v>0.40745176314038578</v>
      </c>
    </row>
    <row r="1266" spans="1:25" ht="15" customHeight="1" x14ac:dyDescent="0.35">
      <c r="A1266" s="52">
        <v>8013473</v>
      </c>
      <c r="B1266" s="51">
        <v>46124</v>
      </c>
      <c r="C1266" s="7" t="s">
        <v>124</v>
      </c>
      <c r="D1266" s="10">
        <f>IFERROR(SUMIFS('Base bordo'!G$2:G$746,'Base bordo'!C$2:C$746,A1266,'Base bordo'!B$2:B$746,B1266,'Base bordo'!F$2:F$746,"DESLOCAMENTO VAZIO"),0)</f>
        <v>3.3650000000000002</v>
      </c>
      <c r="E1266" s="10">
        <f>IFERROR(SUMIFS('Base bordo'!G$2:G$746,'Base bordo'!C$2:C$746,A1266,'Base bordo'!B$2:B$746,B1266,'Base bordo'!F$2:F$746,"DESLOCAMENTO CARREGADO"),0)</f>
        <v>4.0566666666666666</v>
      </c>
      <c r="F1266" s="10">
        <f>IFERROR(SUMIFS('Base bordo'!G$2:G$746,'Base bordo'!C$2:C$746,A1266,'Base bordo'!B$2:B$746,B1266,'Base bordo'!F$2:F$746,"DESLOCAMENTO"),0)</f>
        <v>0</v>
      </c>
      <c r="G1266" s="10">
        <f>IFERROR(SUMIFS('Base bordo'!G$2:G$746,'Base bordo'!C$2:C$746,A1266,'Base bordo'!B$2:B$746,B1266,'Base bordo'!F$2:F$746,"CARREGAMENTO"),0)</f>
        <v>0</v>
      </c>
      <c r="H1266" s="10">
        <f>IFERROR(SUMIFS('Base bordo'!G$2:G$746,'Base bordo'!C$2:C$746,A1266,'Base bordo'!B$2:B$746,B1266,'Base bordo'!F$2:F$746,"AGUARDANDO TRANSBORDO"),0)</f>
        <v>0.39333333333333331</v>
      </c>
      <c r="I1266" s="10">
        <f>IFERROR(SUMIFS('Base bordo'!G$2:G$746,'Base bordo'!C$2:C$746,A1266,'Base bordo'!B$2:B$746,B1266,'Base bordo'!F$2:F$746,"PÁTIO INTERNO"),0)+IFERROR(SUMIFS('Base bordo'!G$2:G$746,'Base bordo'!C$2:C$746,A1266,'Base bordo'!B$2:B$746,B1266,'Base bordo'!F$2:F$746,"PÁTIO EXTERNO"),0)+IFERROR(SUMIFS('Base bordo'!G$2:G$746,'Base bordo'!C$2:C$746,A1266,'Base bordo'!B$2:B$746,B1266,'Base bordo'!F$2:F$746,"PATIO - RESERVA"),0)+IFERROR(SUMIFS('Base bordo'!G$2:G$746,'Base bordo'!C$2:C$746,A1266,'Base bordo'!B$2:B$746,B1266,'Base bordo'!F$2:F$746,"MANOBRA CARRETAS-PATIO"),0)</f>
        <v>4.1744444444444442</v>
      </c>
      <c r="J1266" s="10">
        <f>IFERROR(SUMIFS('Base bordo'!G$2:G$746,'Base bordo'!C$2:C$746,A1266,'Base bordo'!B$2:B$746,B1266,'Base bordo'!F$2:F$746,"BALANÇA - ENTRADA"),0)+IFERROR(SUMIFS('Base bordo'!G$2:G$746,'Base bordo'!C$2:C$746,A1266,'Base bordo'!B$2:B$746,B1266,'Base bordo'!F$2:F$746,"BALANÇA - SAÍDA"),0)</f>
        <v>0.27249999999999996</v>
      </c>
      <c r="K1266" s="10">
        <f>IFERROR(SUMIFS('Base bordo'!G$2:G$746,'Base bordo'!C$2:C$746,A1266,'Base bordo'!B$2:B$746,B1266,'Base bordo'!F$2:F$746,"MAN PREVENTIVA - MECANICA"),0)+IFERROR(SUMIFS('Base bordo'!G$2:G$746,'Base bordo'!C$2:C$746,A1266,'Base bordo'!B$2:B$746,B1266,'Base bordo'!F$2:F$746,"MAN CORRETIVA - MECANICA"),0)</f>
        <v>0</v>
      </c>
      <c r="L1266" s="10">
        <f>IFERROR(SUMIFS('Base bordo'!G$2:G$746,'Base bordo'!C$2:C$746,A1266,'Base bordo'!B$2:B$746,B1266,'Base bordo'!F$2:F$746,"MANUTENCAO - T O"),0)+IFERROR(SUMIFS('Base bordo'!G$2:G$746,'Base bordo'!C$2:C$746,A1266,'Base bordo'!B$2:B$746,B1266,'Base bordo'!F$2:F$746,"MANUTENCAO BORRACHARIA"),0)+IFERROR(SUMIFS('Base bordo'!G$2:G$746,'Base bordo'!C$2:C$746,A1266,'Base bordo'!B$2:B$746,B1266,'Base bordo'!F$2:F$746,"MANUTENCAO EXTERNA  CONCESSIONARIA"),0)+IFERROR(SUMIFS('Base bordo'!G$2:G$746,'Base bordo'!C$2:C$746,A1266,'Base bordo'!B$2:B$746,B1266,'Base bordo'!F$2:F$746,"MANUTENCAO TELEMETRIA"),0)</f>
        <v>0</v>
      </c>
      <c r="M1266" s="10">
        <f>IFERROR(SUMIFS('Base bordo'!G$2:G$746,'Base bordo'!C$2:C$746,A1266,'Base bordo'!B$2:B$746,B1266,'Base bordo'!F$2:F$746,"AGUARDANDO MANUTENCAO"),0)</f>
        <v>0</v>
      </c>
      <c r="N1266" s="10">
        <f>IFERROR(SUMIFS('Base bordo'!G$2:G$746,'Base bordo'!C$2:C$746,A1266,'Base bordo'!B$2:B$746,B1266,'Base bordo'!F$2:F$746,"SEM APONTAMENTO"),0)</f>
        <v>0</v>
      </c>
      <c r="O1266" s="10">
        <f t="shared" si="126"/>
        <v>0.26305555555555138</v>
      </c>
      <c r="P1266" s="10">
        <f>IFERROR(SUMIFS('Base bordo'!G$2:G$746,'Base bordo'!C$2:C$746,A1266,'Base bordo'!B$2:B$746,B1266),0)</f>
        <v>12.524999999999997</v>
      </c>
      <c r="Q1266" s="10">
        <f>IFERROR(SUMIFS('Base bordo'!H$2:H$746,'Base bordo'!C$2:C$746,A1266,'Base bordo'!B$2:B$746,B1266,'Base bordo'!F$2:F$746,"DESLOCAMENTO VAZIO"),0)</f>
        <v>427465.79</v>
      </c>
      <c r="R1266" s="10">
        <f>IFERROR(SUMIFS('Base bordo'!I$2:I$746,'Base bordo'!C$2:C$746,A1266,'Base bordo'!B$2:B$746,B1266,'Base bordo'!F$2:F$746,"DESLOCAMENTO VAZIO"),0)</f>
        <v>12114</v>
      </c>
      <c r="S1266" s="30">
        <f t="shared" si="127"/>
        <v>35.286923394419681</v>
      </c>
      <c r="T1266" s="10">
        <f>IFERROR(SUMIFS('Base bordo'!H$2:H$746,'Base bordo'!C$2:C$746,A1266,'Base bordo'!B$2:B$746,B1266,'Base bordo'!F$2:F$746,"DESLOCAMENTO CARREGADO"),0)</f>
        <v>388337.10000000003</v>
      </c>
      <c r="U1266" s="10">
        <f>IFERROR(SUMIFS('Base bordo'!I$2:I$746,'Base bordo'!C$2:C$746,A1266,'Base bordo'!B$2:B$746,B1266,'Base bordo'!F$2:F$746,"DESLOCAMENTO CARREGADO"),0)</f>
        <v>14604</v>
      </c>
      <c r="V1266" s="30">
        <f t="shared" si="128"/>
        <v>26.591146261298277</v>
      </c>
      <c r="W1266" s="9">
        <f t="shared" si="129"/>
        <v>0.26866267465069871</v>
      </c>
      <c r="X1266" s="9">
        <f t="shared" si="130"/>
        <v>0.32388556220891557</v>
      </c>
      <c r="Y1266" s="9">
        <f t="shared" si="131"/>
        <v>0.40745176314038578</v>
      </c>
    </row>
    <row r="1267" spans="1:25" ht="15" customHeight="1" x14ac:dyDescent="0.35">
      <c r="A1267" s="52">
        <v>8013473</v>
      </c>
      <c r="B1267" s="51">
        <v>46124</v>
      </c>
      <c r="C1267" s="7" t="s">
        <v>124</v>
      </c>
      <c r="D1267" s="10">
        <f>IFERROR(SUMIFS('Base bordo'!G$2:G$746,'Base bordo'!C$2:C$746,A1267,'Base bordo'!B$2:B$746,B1267,'Base bordo'!F$2:F$746,"DESLOCAMENTO VAZIO"),0)</f>
        <v>3.3650000000000002</v>
      </c>
      <c r="E1267" s="10">
        <f>IFERROR(SUMIFS('Base bordo'!G$2:G$746,'Base bordo'!C$2:C$746,A1267,'Base bordo'!B$2:B$746,B1267,'Base bordo'!F$2:F$746,"DESLOCAMENTO CARREGADO"),0)</f>
        <v>4.0566666666666666</v>
      </c>
      <c r="F1267" s="10">
        <f>IFERROR(SUMIFS('Base bordo'!G$2:G$746,'Base bordo'!C$2:C$746,A1267,'Base bordo'!B$2:B$746,B1267,'Base bordo'!F$2:F$746,"DESLOCAMENTO"),0)</f>
        <v>0</v>
      </c>
      <c r="G1267" s="10">
        <f>IFERROR(SUMIFS('Base bordo'!G$2:G$746,'Base bordo'!C$2:C$746,A1267,'Base bordo'!B$2:B$746,B1267,'Base bordo'!F$2:F$746,"CARREGAMENTO"),0)</f>
        <v>0</v>
      </c>
      <c r="H1267" s="10">
        <f>IFERROR(SUMIFS('Base bordo'!G$2:G$746,'Base bordo'!C$2:C$746,A1267,'Base bordo'!B$2:B$746,B1267,'Base bordo'!F$2:F$746,"AGUARDANDO TRANSBORDO"),0)</f>
        <v>0.39333333333333331</v>
      </c>
      <c r="I1267" s="10">
        <f>IFERROR(SUMIFS('Base bordo'!G$2:G$746,'Base bordo'!C$2:C$746,A1267,'Base bordo'!B$2:B$746,B1267,'Base bordo'!F$2:F$746,"PÁTIO INTERNO"),0)+IFERROR(SUMIFS('Base bordo'!G$2:G$746,'Base bordo'!C$2:C$746,A1267,'Base bordo'!B$2:B$746,B1267,'Base bordo'!F$2:F$746,"PÁTIO EXTERNO"),0)+IFERROR(SUMIFS('Base bordo'!G$2:G$746,'Base bordo'!C$2:C$746,A1267,'Base bordo'!B$2:B$746,B1267,'Base bordo'!F$2:F$746,"PATIO - RESERVA"),0)+IFERROR(SUMIFS('Base bordo'!G$2:G$746,'Base bordo'!C$2:C$746,A1267,'Base bordo'!B$2:B$746,B1267,'Base bordo'!F$2:F$746,"MANOBRA CARRETAS-PATIO"),0)</f>
        <v>4.1744444444444442</v>
      </c>
      <c r="J1267" s="10">
        <f>IFERROR(SUMIFS('Base bordo'!G$2:G$746,'Base bordo'!C$2:C$746,A1267,'Base bordo'!B$2:B$746,B1267,'Base bordo'!F$2:F$746,"BALANÇA - ENTRADA"),0)+IFERROR(SUMIFS('Base bordo'!G$2:G$746,'Base bordo'!C$2:C$746,A1267,'Base bordo'!B$2:B$746,B1267,'Base bordo'!F$2:F$746,"BALANÇA - SAÍDA"),0)</f>
        <v>0.27249999999999996</v>
      </c>
      <c r="K1267" s="10">
        <f>IFERROR(SUMIFS('Base bordo'!G$2:G$746,'Base bordo'!C$2:C$746,A1267,'Base bordo'!B$2:B$746,B1267,'Base bordo'!F$2:F$746,"MAN PREVENTIVA - MECANICA"),0)+IFERROR(SUMIFS('Base bordo'!G$2:G$746,'Base bordo'!C$2:C$746,A1267,'Base bordo'!B$2:B$746,B1267,'Base bordo'!F$2:F$746,"MAN CORRETIVA - MECANICA"),0)</f>
        <v>0</v>
      </c>
      <c r="L1267" s="10">
        <f>IFERROR(SUMIFS('Base bordo'!G$2:G$746,'Base bordo'!C$2:C$746,A1267,'Base bordo'!B$2:B$746,B1267,'Base bordo'!F$2:F$746,"MANUTENCAO - T O"),0)+IFERROR(SUMIFS('Base bordo'!G$2:G$746,'Base bordo'!C$2:C$746,A1267,'Base bordo'!B$2:B$746,B1267,'Base bordo'!F$2:F$746,"MANUTENCAO BORRACHARIA"),0)+IFERROR(SUMIFS('Base bordo'!G$2:G$746,'Base bordo'!C$2:C$746,A1267,'Base bordo'!B$2:B$746,B1267,'Base bordo'!F$2:F$746,"MANUTENCAO EXTERNA  CONCESSIONARIA"),0)+IFERROR(SUMIFS('Base bordo'!G$2:G$746,'Base bordo'!C$2:C$746,A1267,'Base bordo'!B$2:B$746,B1267,'Base bordo'!F$2:F$746,"MANUTENCAO TELEMETRIA"),0)</f>
        <v>0</v>
      </c>
      <c r="M1267" s="10">
        <f>IFERROR(SUMIFS('Base bordo'!G$2:G$746,'Base bordo'!C$2:C$746,A1267,'Base bordo'!B$2:B$746,B1267,'Base bordo'!F$2:F$746,"AGUARDANDO MANUTENCAO"),0)</f>
        <v>0</v>
      </c>
      <c r="N1267" s="10">
        <f>IFERROR(SUMIFS('Base bordo'!G$2:G$746,'Base bordo'!C$2:C$746,A1267,'Base bordo'!B$2:B$746,B1267,'Base bordo'!F$2:F$746,"SEM APONTAMENTO"),0)</f>
        <v>0</v>
      </c>
      <c r="O1267" s="10">
        <f t="shared" si="126"/>
        <v>0.26305555555555138</v>
      </c>
      <c r="P1267" s="10">
        <f>IFERROR(SUMIFS('Base bordo'!G$2:G$746,'Base bordo'!C$2:C$746,A1267,'Base bordo'!B$2:B$746,B1267),0)</f>
        <v>12.524999999999997</v>
      </c>
      <c r="Q1267" s="10">
        <f>IFERROR(SUMIFS('Base bordo'!H$2:H$746,'Base bordo'!C$2:C$746,A1267,'Base bordo'!B$2:B$746,B1267,'Base bordo'!F$2:F$746,"DESLOCAMENTO VAZIO"),0)</f>
        <v>427465.79</v>
      </c>
      <c r="R1267" s="10">
        <f>IFERROR(SUMIFS('Base bordo'!I$2:I$746,'Base bordo'!C$2:C$746,A1267,'Base bordo'!B$2:B$746,B1267,'Base bordo'!F$2:F$746,"DESLOCAMENTO VAZIO"),0)</f>
        <v>12114</v>
      </c>
      <c r="S1267" s="30">
        <f t="shared" si="127"/>
        <v>35.286923394419681</v>
      </c>
      <c r="T1267" s="10">
        <f>IFERROR(SUMIFS('Base bordo'!H$2:H$746,'Base bordo'!C$2:C$746,A1267,'Base bordo'!B$2:B$746,B1267,'Base bordo'!F$2:F$746,"DESLOCAMENTO CARREGADO"),0)</f>
        <v>388337.10000000003</v>
      </c>
      <c r="U1267" s="10">
        <f>IFERROR(SUMIFS('Base bordo'!I$2:I$746,'Base bordo'!C$2:C$746,A1267,'Base bordo'!B$2:B$746,B1267,'Base bordo'!F$2:F$746,"DESLOCAMENTO CARREGADO"),0)</f>
        <v>14604</v>
      </c>
      <c r="V1267" s="30">
        <f t="shared" si="128"/>
        <v>26.591146261298277</v>
      </c>
      <c r="W1267" s="9">
        <f t="shared" si="129"/>
        <v>0.26866267465069871</v>
      </c>
      <c r="X1267" s="9">
        <f t="shared" si="130"/>
        <v>0.32388556220891557</v>
      </c>
      <c r="Y1267" s="9">
        <f t="shared" si="131"/>
        <v>0.40745176314038578</v>
      </c>
    </row>
    <row r="1268" spans="1:25" ht="15" customHeight="1" x14ac:dyDescent="0.35">
      <c r="A1268" s="52">
        <v>8013473</v>
      </c>
      <c r="B1268" s="51">
        <v>46124</v>
      </c>
      <c r="C1268" s="7" t="s">
        <v>124</v>
      </c>
      <c r="D1268" s="10">
        <f>IFERROR(SUMIFS('Base bordo'!G$2:G$746,'Base bordo'!C$2:C$746,A1268,'Base bordo'!B$2:B$746,B1268,'Base bordo'!F$2:F$746,"DESLOCAMENTO VAZIO"),0)</f>
        <v>3.3650000000000002</v>
      </c>
      <c r="E1268" s="10">
        <f>IFERROR(SUMIFS('Base bordo'!G$2:G$746,'Base bordo'!C$2:C$746,A1268,'Base bordo'!B$2:B$746,B1268,'Base bordo'!F$2:F$746,"DESLOCAMENTO CARREGADO"),0)</f>
        <v>4.0566666666666666</v>
      </c>
      <c r="F1268" s="10">
        <f>IFERROR(SUMIFS('Base bordo'!G$2:G$746,'Base bordo'!C$2:C$746,A1268,'Base bordo'!B$2:B$746,B1268,'Base bordo'!F$2:F$746,"DESLOCAMENTO"),0)</f>
        <v>0</v>
      </c>
      <c r="G1268" s="10">
        <f>IFERROR(SUMIFS('Base bordo'!G$2:G$746,'Base bordo'!C$2:C$746,A1268,'Base bordo'!B$2:B$746,B1268,'Base bordo'!F$2:F$746,"CARREGAMENTO"),0)</f>
        <v>0</v>
      </c>
      <c r="H1268" s="10">
        <f>IFERROR(SUMIFS('Base bordo'!G$2:G$746,'Base bordo'!C$2:C$746,A1268,'Base bordo'!B$2:B$746,B1268,'Base bordo'!F$2:F$746,"AGUARDANDO TRANSBORDO"),0)</f>
        <v>0.39333333333333331</v>
      </c>
      <c r="I1268" s="10">
        <f>IFERROR(SUMIFS('Base bordo'!G$2:G$746,'Base bordo'!C$2:C$746,A1268,'Base bordo'!B$2:B$746,B1268,'Base bordo'!F$2:F$746,"PÁTIO INTERNO"),0)+IFERROR(SUMIFS('Base bordo'!G$2:G$746,'Base bordo'!C$2:C$746,A1268,'Base bordo'!B$2:B$746,B1268,'Base bordo'!F$2:F$746,"PÁTIO EXTERNO"),0)+IFERROR(SUMIFS('Base bordo'!G$2:G$746,'Base bordo'!C$2:C$746,A1268,'Base bordo'!B$2:B$746,B1268,'Base bordo'!F$2:F$746,"PATIO - RESERVA"),0)+IFERROR(SUMIFS('Base bordo'!G$2:G$746,'Base bordo'!C$2:C$746,A1268,'Base bordo'!B$2:B$746,B1268,'Base bordo'!F$2:F$746,"MANOBRA CARRETAS-PATIO"),0)</f>
        <v>4.1744444444444442</v>
      </c>
      <c r="J1268" s="10">
        <f>IFERROR(SUMIFS('Base bordo'!G$2:G$746,'Base bordo'!C$2:C$746,A1268,'Base bordo'!B$2:B$746,B1268,'Base bordo'!F$2:F$746,"BALANÇA - ENTRADA"),0)+IFERROR(SUMIFS('Base bordo'!G$2:G$746,'Base bordo'!C$2:C$746,A1268,'Base bordo'!B$2:B$746,B1268,'Base bordo'!F$2:F$746,"BALANÇA - SAÍDA"),0)</f>
        <v>0.27249999999999996</v>
      </c>
      <c r="K1268" s="10">
        <f>IFERROR(SUMIFS('Base bordo'!G$2:G$746,'Base bordo'!C$2:C$746,A1268,'Base bordo'!B$2:B$746,B1268,'Base bordo'!F$2:F$746,"MAN PREVENTIVA - MECANICA"),0)+IFERROR(SUMIFS('Base bordo'!G$2:G$746,'Base bordo'!C$2:C$746,A1268,'Base bordo'!B$2:B$746,B1268,'Base bordo'!F$2:F$746,"MAN CORRETIVA - MECANICA"),0)</f>
        <v>0</v>
      </c>
      <c r="L1268" s="10">
        <f>IFERROR(SUMIFS('Base bordo'!G$2:G$746,'Base bordo'!C$2:C$746,A1268,'Base bordo'!B$2:B$746,B1268,'Base bordo'!F$2:F$746,"MANUTENCAO - T O"),0)+IFERROR(SUMIFS('Base bordo'!G$2:G$746,'Base bordo'!C$2:C$746,A1268,'Base bordo'!B$2:B$746,B1268,'Base bordo'!F$2:F$746,"MANUTENCAO BORRACHARIA"),0)+IFERROR(SUMIFS('Base bordo'!G$2:G$746,'Base bordo'!C$2:C$746,A1268,'Base bordo'!B$2:B$746,B1268,'Base bordo'!F$2:F$746,"MANUTENCAO EXTERNA  CONCESSIONARIA"),0)+IFERROR(SUMIFS('Base bordo'!G$2:G$746,'Base bordo'!C$2:C$746,A1268,'Base bordo'!B$2:B$746,B1268,'Base bordo'!F$2:F$746,"MANUTENCAO TELEMETRIA"),0)</f>
        <v>0</v>
      </c>
      <c r="M1268" s="10">
        <f>IFERROR(SUMIFS('Base bordo'!G$2:G$746,'Base bordo'!C$2:C$746,A1268,'Base bordo'!B$2:B$746,B1268,'Base bordo'!F$2:F$746,"AGUARDANDO MANUTENCAO"),0)</f>
        <v>0</v>
      </c>
      <c r="N1268" s="10">
        <f>IFERROR(SUMIFS('Base bordo'!G$2:G$746,'Base bordo'!C$2:C$746,A1268,'Base bordo'!B$2:B$746,B1268,'Base bordo'!F$2:F$746,"SEM APONTAMENTO"),0)</f>
        <v>0</v>
      </c>
      <c r="O1268" s="10">
        <f t="shared" si="126"/>
        <v>0.26305555555555138</v>
      </c>
      <c r="P1268" s="10">
        <f>IFERROR(SUMIFS('Base bordo'!G$2:G$746,'Base bordo'!C$2:C$746,A1268,'Base bordo'!B$2:B$746,B1268),0)</f>
        <v>12.524999999999997</v>
      </c>
      <c r="Q1268" s="10">
        <f>IFERROR(SUMIFS('Base bordo'!H$2:H$746,'Base bordo'!C$2:C$746,A1268,'Base bordo'!B$2:B$746,B1268,'Base bordo'!F$2:F$746,"DESLOCAMENTO VAZIO"),0)</f>
        <v>427465.79</v>
      </c>
      <c r="R1268" s="10">
        <f>IFERROR(SUMIFS('Base bordo'!I$2:I$746,'Base bordo'!C$2:C$746,A1268,'Base bordo'!B$2:B$746,B1268,'Base bordo'!F$2:F$746,"DESLOCAMENTO VAZIO"),0)</f>
        <v>12114</v>
      </c>
      <c r="S1268" s="30">
        <f t="shared" si="127"/>
        <v>35.286923394419681</v>
      </c>
      <c r="T1268" s="10">
        <f>IFERROR(SUMIFS('Base bordo'!H$2:H$746,'Base bordo'!C$2:C$746,A1268,'Base bordo'!B$2:B$746,B1268,'Base bordo'!F$2:F$746,"DESLOCAMENTO CARREGADO"),0)</f>
        <v>388337.10000000003</v>
      </c>
      <c r="U1268" s="10">
        <f>IFERROR(SUMIFS('Base bordo'!I$2:I$746,'Base bordo'!C$2:C$746,A1268,'Base bordo'!B$2:B$746,B1268,'Base bordo'!F$2:F$746,"DESLOCAMENTO CARREGADO"),0)</f>
        <v>14604</v>
      </c>
      <c r="V1268" s="30">
        <f t="shared" si="128"/>
        <v>26.591146261298277</v>
      </c>
      <c r="W1268" s="9">
        <f t="shared" si="129"/>
        <v>0.26866267465069871</v>
      </c>
      <c r="X1268" s="9">
        <f t="shared" si="130"/>
        <v>0.32388556220891557</v>
      </c>
      <c r="Y1268" s="9">
        <f t="shared" si="131"/>
        <v>0.40745176314038578</v>
      </c>
    </row>
    <row r="1269" spans="1:25" ht="15" customHeight="1" x14ac:dyDescent="0.35">
      <c r="A1269" s="52">
        <v>8013473</v>
      </c>
      <c r="B1269" s="51">
        <v>46124</v>
      </c>
      <c r="C1269" s="7" t="s">
        <v>124</v>
      </c>
      <c r="D1269" s="10">
        <f>IFERROR(SUMIFS('Base bordo'!G$2:G$746,'Base bordo'!C$2:C$746,A1269,'Base bordo'!B$2:B$746,B1269,'Base bordo'!F$2:F$746,"DESLOCAMENTO VAZIO"),0)</f>
        <v>3.3650000000000002</v>
      </c>
      <c r="E1269" s="10">
        <f>IFERROR(SUMIFS('Base bordo'!G$2:G$746,'Base bordo'!C$2:C$746,A1269,'Base bordo'!B$2:B$746,B1269,'Base bordo'!F$2:F$746,"DESLOCAMENTO CARREGADO"),0)</f>
        <v>4.0566666666666666</v>
      </c>
      <c r="F1269" s="10">
        <f>IFERROR(SUMIFS('Base bordo'!G$2:G$746,'Base bordo'!C$2:C$746,A1269,'Base bordo'!B$2:B$746,B1269,'Base bordo'!F$2:F$746,"DESLOCAMENTO"),0)</f>
        <v>0</v>
      </c>
      <c r="G1269" s="10">
        <f>IFERROR(SUMIFS('Base bordo'!G$2:G$746,'Base bordo'!C$2:C$746,A1269,'Base bordo'!B$2:B$746,B1269,'Base bordo'!F$2:F$746,"CARREGAMENTO"),0)</f>
        <v>0</v>
      </c>
      <c r="H1269" s="10">
        <f>IFERROR(SUMIFS('Base bordo'!G$2:G$746,'Base bordo'!C$2:C$746,A1269,'Base bordo'!B$2:B$746,B1269,'Base bordo'!F$2:F$746,"AGUARDANDO TRANSBORDO"),0)</f>
        <v>0.39333333333333331</v>
      </c>
      <c r="I1269" s="10">
        <f>IFERROR(SUMIFS('Base bordo'!G$2:G$746,'Base bordo'!C$2:C$746,A1269,'Base bordo'!B$2:B$746,B1269,'Base bordo'!F$2:F$746,"PÁTIO INTERNO"),0)+IFERROR(SUMIFS('Base bordo'!G$2:G$746,'Base bordo'!C$2:C$746,A1269,'Base bordo'!B$2:B$746,B1269,'Base bordo'!F$2:F$746,"PÁTIO EXTERNO"),0)+IFERROR(SUMIFS('Base bordo'!G$2:G$746,'Base bordo'!C$2:C$746,A1269,'Base bordo'!B$2:B$746,B1269,'Base bordo'!F$2:F$746,"PATIO - RESERVA"),0)+IFERROR(SUMIFS('Base bordo'!G$2:G$746,'Base bordo'!C$2:C$746,A1269,'Base bordo'!B$2:B$746,B1269,'Base bordo'!F$2:F$746,"MANOBRA CARRETAS-PATIO"),0)</f>
        <v>4.1744444444444442</v>
      </c>
      <c r="J1269" s="10">
        <f>IFERROR(SUMIFS('Base bordo'!G$2:G$746,'Base bordo'!C$2:C$746,A1269,'Base bordo'!B$2:B$746,B1269,'Base bordo'!F$2:F$746,"BALANÇA - ENTRADA"),0)+IFERROR(SUMIFS('Base bordo'!G$2:G$746,'Base bordo'!C$2:C$746,A1269,'Base bordo'!B$2:B$746,B1269,'Base bordo'!F$2:F$746,"BALANÇA - SAÍDA"),0)</f>
        <v>0.27249999999999996</v>
      </c>
      <c r="K1269" s="10">
        <f>IFERROR(SUMIFS('Base bordo'!G$2:G$746,'Base bordo'!C$2:C$746,A1269,'Base bordo'!B$2:B$746,B1269,'Base bordo'!F$2:F$746,"MAN PREVENTIVA - MECANICA"),0)+IFERROR(SUMIFS('Base bordo'!G$2:G$746,'Base bordo'!C$2:C$746,A1269,'Base bordo'!B$2:B$746,B1269,'Base bordo'!F$2:F$746,"MAN CORRETIVA - MECANICA"),0)</f>
        <v>0</v>
      </c>
      <c r="L1269" s="10">
        <f>IFERROR(SUMIFS('Base bordo'!G$2:G$746,'Base bordo'!C$2:C$746,A1269,'Base bordo'!B$2:B$746,B1269,'Base bordo'!F$2:F$746,"MANUTENCAO - T O"),0)+IFERROR(SUMIFS('Base bordo'!G$2:G$746,'Base bordo'!C$2:C$746,A1269,'Base bordo'!B$2:B$746,B1269,'Base bordo'!F$2:F$746,"MANUTENCAO BORRACHARIA"),0)+IFERROR(SUMIFS('Base bordo'!G$2:G$746,'Base bordo'!C$2:C$746,A1269,'Base bordo'!B$2:B$746,B1269,'Base bordo'!F$2:F$746,"MANUTENCAO EXTERNA  CONCESSIONARIA"),0)+IFERROR(SUMIFS('Base bordo'!G$2:G$746,'Base bordo'!C$2:C$746,A1269,'Base bordo'!B$2:B$746,B1269,'Base bordo'!F$2:F$746,"MANUTENCAO TELEMETRIA"),0)</f>
        <v>0</v>
      </c>
      <c r="M1269" s="10">
        <f>IFERROR(SUMIFS('Base bordo'!G$2:G$746,'Base bordo'!C$2:C$746,A1269,'Base bordo'!B$2:B$746,B1269,'Base bordo'!F$2:F$746,"AGUARDANDO MANUTENCAO"),0)</f>
        <v>0</v>
      </c>
      <c r="N1269" s="10">
        <f>IFERROR(SUMIFS('Base bordo'!G$2:G$746,'Base bordo'!C$2:C$746,A1269,'Base bordo'!B$2:B$746,B1269,'Base bordo'!F$2:F$746,"SEM APONTAMENTO"),0)</f>
        <v>0</v>
      </c>
      <c r="O1269" s="10">
        <f t="shared" si="126"/>
        <v>0.26305555555555138</v>
      </c>
      <c r="P1269" s="10">
        <f>IFERROR(SUMIFS('Base bordo'!G$2:G$746,'Base bordo'!C$2:C$746,A1269,'Base bordo'!B$2:B$746,B1269),0)</f>
        <v>12.524999999999997</v>
      </c>
      <c r="Q1269" s="10">
        <f>IFERROR(SUMIFS('Base bordo'!H$2:H$746,'Base bordo'!C$2:C$746,A1269,'Base bordo'!B$2:B$746,B1269,'Base bordo'!F$2:F$746,"DESLOCAMENTO VAZIO"),0)</f>
        <v>427465.79</v>
      </c>
      <c r="R1269" s="10">
        <f>IFERROR(SUMIFS('Base bordo'!I$2:I$746,'Base bordo'!C$2:C$746,A1269,'Base bordo'!B$2:B$746,B1269,'Base bordo'!F$2:F$746,"DESLOCAMENTO VAZIO"),0)</f>
        <v>12114</v>
      </c>
      <c r="S1269" s="30">
        <f t="shared" si="127"/>
        <v>35.286923394419681</v>
      </c>
      <c r="T1269" s="10">
        <f>IFERROR(SUMIFS('Base bordo'!H$2:H$746,'Base bordo'!C$2:C$746,A1269,'Base bordo'!B$2:B$746,B1269,'Base bordo'!F$2:F$746,"DESLOCAMENTO CARREGADO"),0)</f>
        <v>388337.10000000003</v>
      </c>
      <c r="U1269" s="10">
        <f>IFERROR(SUMIFS('Base bordo'!I$2:I$746,'Base bordo'!C$2:C$746,A1269,'Base bordo'!B$2:B$746,B1269,'Base bordo'!F$2:F$746,"DESLOCAMENTO CARREGADO"),0)</f>
        <v>14604</v>
      </c>
      <c r="V1269" s="30">
        <f t="shared" si="128"/>
        <v>26.591146261298277</v>
      </c>
      <c r="W1269" s="9">
        <f t="shared" si="129"/>
        <v>0.26866267465069871</v>
      </c>
      <c r="X1269" s="9">
        <f t="shared" si="130"/>
        <v>0.32388556220891557</v>
      </c>
      <c r="Y1269" s="9">
        <f t="shared" si="131"/>
        <v>0.40745176314038578</v>
      </c>
    </row>
    <row r="1270" spans="1:25" ht="15" customHeight="1" x14ac:dyDescent="0.35">
      <c r="A1270" s="52">
        <v>8013473</v>
      </c>
      <c r="B1270" s="51">
        <v>46124</v>
      </c>
      <c r="C1270" s="7" t="s">
        <v>124</v>
      </c>
      <c r="D1270" s="10">
        <f>IFERROR(SUMIFS('Base bordo'!G$2:G$746,'Base bordo'!C$2:C$746,A1270,'Base bordo'!B$2:B$746,B1270,'Base bordo'!F$2:F$746,"DESLOCAMENTO VAZIO"),0)</f>
        <v>3.3650000000000002</v>
      </c>
      <c r="E1270" s="10">
        <f>IFERROR(SUMIFS('Base bordo'!G$2:G$746,'Base bordo'!C$2:C$746,A1270,'Base bordo'!B$2:B$746,B1270,'Base bordo'!F$2:F$746,"DESLOCAMENTO CARREGADO"),0)</f>
        <v>4.0566666666666666</v>
      </c>
      <c r="F1270" s="10">
        <f>IFERROR(SUMIFS('Base bordo'!G$2:G$746,'Base bordo'!C$2:C$746,A1270,'Base bordo'!B$2:B$746,B1270,'Base bordo'!F$2:F$746,"DESLOCAMENTO"),0)</f>
        <v>0</v>
      </c>
      <c r="G1270" s="10">
        <f>IFERROR(SUMIFS('Base bordo'!G$2:G$746,'Base bordo'!C$2:C$746,A1270,'Base bordo'!B$2:B$746,B1270,'Base bordo'!F$2:F$746,"CARREGAMENTO"),0)</f>
        <v>0</v>
      </c>
      <c r="H1270" s="10">
        <f>IFERROR(SUMIFS('Base bordo'!G$2:G$746,'Base bordo'!C$2:C$746,A1270,'Base bordo'!B$2:B$746,B1270,'Base bordo'!F$2:F$746,"AGUARDANDO TRANSBORDO"),0)</f>
        <v>0.39333333333333331</v>
      </c>
      <c r="I1270" s="10">
        <f>IFERROR(SUMIFS('Base bordo'!G$2:G$746,'Base bordo'!C$2:C$746,A1270,'Base bordo'!B$2:B$746,B1270,'Base bordo'!F$2:F$746,"PÁTIO INTERNO"),0)+IFERROR(SUMIFS('Base bordo'!G$2:G$746,'Base bordo'!C$2:C$746,A1270,'Base bordo'!B$2:B$746,B1270,'Base bordo'!F$2:F$746,"PÁTIO EXTERNO"),0)+IFERROR(SUMIFS('Base bordo'!G$2:G$746,'Base bordo'!C$2:C$746,A1270,'Base bordo'!B$2:B$746,B1270,'Base bordo'!F$2:F$746,"PATIO - RESERVA"),0)+IFERROR(SUMIFS('Base bordo'!G$2:G$746,'Base bordo'!C$2:C$746,A1270,'Base bordo'!B$2:B$746,B1270,'Base bordo'!F$2:F$746,"MANOBRA CARRETAS-PATIO"),0)</f>
        <v>4.1744444444444442</v>
      </c>
      <c r="J1270" s="10">
        <f>IFERROR(SUMIFS('Base bordo'!G$2:G$746,'Base bordo'!C$2:C$746,A1270,'Base bordo'!B$2:B$746,B1270,'Base bordo'!F$2:F$746,"BALANÇA - ENTRADA"),0)+IFERROR(SUMIFS('Base bordo'!G$2:G$746,'Base bordo'!C$2:C$746,A1270,'Base bordo'!B$2:B$746,B1270,'Base bordo'!F$2:F$746,"BALANÇA - SAÍDA"),0)</f>
        <v>0.27249999999999996</v>
      </c>
      <c r="K1270" s="10">
        <f>IFERROR(SUMIFS('Base bordo'!G$2:G$746,'Base bordo'!C$2:C$746,A1270,'Base bordo'!B$2:B$746,B1270,'Base bordo'!F$2:F$746,"MAN PREVENTIVA - MECANICA"),0)+IFERROR(SUMIFS('Base bordo'!G$2:G$746,'Base bordo'!C$2:C$746,A1270,'Base bordo'!B$2:B$746,B1270,'Base bordo'!F$2:F$746,"MAN CORRETIVA - MECANICA"),0)</f>
        <v>0</v>
      </c>
      <c r="L1270" s="10">
        <f>IFERROR(SUMIFS('Base bordo'!G$2:G$746,'Base bordo'!C$2:C$746,A1270,'Base bordo'!B$2:B$746,B1270,'Base bordo'!F$2:F$746,"MANUTENCAO - T O"),0)+IFERROR(SUMIFS('Base bordo'!G$2:G$746,'Base bordo'!C$2:C$746,A1270,'Base bordo'!B$2:B$746,B1270,'Base bordo'!F$2:F$746,"MANUTENCAO BORRACHARIA"),0)+IFERROR(SUMIFS('Base bordo'!G$2:G$746,'Base bordo'!C$2:C$746,A1270,'Base bordo'!B$2:B$746,B1270,'Base bordo'!F$2:F$746,"MANUTENCAO EXTERNA  CONCESSIONARIA"),0)+IFERROR(SUMIFS('Base bordo'!G$2:G$746,'Base bordo'!C$2:C$746,A1270,'Base bordo'!B$2:B$746,B1270,'Base bordo'!F$2:F$746,"MANUTENCAO TELEMETRIA"),0)</f>
        <v>0</v>
      </c>
      <c r="M1270" s="10">
        <f>IFERROR(SUMIFS('Base bordo'!G$2:G$746,'Base bordo'!C$2:C$746,A1270,'Base bordo'!B$2:B$746,B1270,'Base bordo'!F$2:F$746,"AGUARDANDO MANUTENCAO"),0)</f>
        <v>0</v>
      </c>
      <c r="N1270" s="10">
        <f>IFERROR(SUMIFS('Base bordo'!G$2:G$746,'Base bordo'!C$2:C$746,A1270,'Base bordo'!B$2:B$746,B1270,'Base bordo'!F$2:F$746,"SEM APONTAMENTO"),0)</f>
        <v>0</v>
      </c>
      <c r="O1270" s="10">
        <f t="shared" si="126"/>
        <v>0.26305555555555138</v>
      </c>
      <c r="P1270" s="10">
        <f>IFERROR(SUMIFS('Base bordo'!G$2:G$746,'Base bordo'!C$2:C$746,A1270,'Base bordo'!B$2:B$746,B1270),0)</f>
        <v>12.524999999999997</v>
      </c>
      <c r="Q1270" s="10">
        <f>IFERROR(SUMIFS('Base bordo'!H$2:H$746,'Base bordo'!C$2:C$746,A1270,'Base bordo'!B$2:B$746,B1270,'Base bordo'!F$2:F$746,"DESLOCAMENTO VAZIO"),0)</f>
        <v>427465.79</v>
      </c>
      <c r="R1270" s="10">
        <f>IFERROR(SUMIFS('Base bordo'!I$2:I$746,'Base bordo'!C$2:C$746,A1270,'Base bordo'!B$2:B$746,B1270,'Base bordo'!F$2:F$746,"DESLOCAMENTO VAZIO"),0)</f>
        <v>12114</v>
      </c>
      <c r="S1270" s="30">
        <f t="shared" si="127"/>
        <v>35.286923394419681</v>
      </c>
      <c r="T1270" s="10">
        <f>IFERROR(SUMIFS('Base bordo'!H$2:H$746,'Base bordo'!C$2:C$746,A1270,'Base bordo'!B$2:B$746,B1270,'Base bordo'!F$2:F$746,"DESLOCAMENTO CARREGADO"),0)</f>
        <v>388337.10000000003</v>
      </c>
      <c r="U1270" s="10">
        <f>IFERROR(SUMIFS('Base bordo'!I$2:I$746,'Base bordo'!C$2:C$746,A1270,'Base bordo'!B$2:B$746,B1270,'Base bordo'!F$2:F$746,"DESLOCAMENTO CARREGADO"),0)</f>
        <v>14604</v>
      </c>
      <c r="V1270" s="30">
        <f t="shared" si="128"/>
        <v>26.591146261298277</v>
      </c>
      <c r="W1270" s="9">
        <f t="shared" si="129"/>
        <v>0.26866267465069871</v>
      </c>
      <c r="X1270" s="9">
        <f t="shared" si="130"/>
        <v>0.32388556220891557</v>
      </c>
      <c r="Y1270" s="9">
        <f t="shared" si="131"/>
        <v>0.40745176314038578</v>
      </c>
    </row>
    <row r="1271" spans="1:25" ht="15" customHeight="1" x14ac:dyDescent="0.35">
      <c r="A1271" s="52">
        <v>8013473</v>
      </c>
      <c r="B1271" s="51">
        <v>46124</v>
      </c>
      <c r="C1271" s="7" t="s">
        <v>124</v>
      </c>
      <c r="D1271" s="10">
        <f>IFERROR(SUMIFS('Base bordo'!G$2:G$746,'Base bordo'!C$2:C$746,A1271,'Base bordo'!B$2:B$746,B1271,'Base bordo'!F$2:F$746,"DESLOCAMENTO VAZIO"),0)</f>
        <v>3.3650000000000002</v>
      </c>
      <c r="E1271" s="10">
        <f>IFERROR(SUMIFS('Base bordo'!G$2:G$746,'Base bordo'!C$2:C$746,A1271,'Base bordo'!B$2:B$746,B1271,'Base bordo'!F$2:F$746,"DESLOCAMENTO CARREGADO"),0)</f>
        <v>4.0566666666666666</v>
      </c>
      <c r="F1271" s="10">
        <f>IFERROR(SUMIFS('Base bordo'!G$2:G$746,'Base bordo'!C$2:C$746,A1271,'Base bordo'!B$2:B$746,B1271,'Base bordo'!F$2:F$746,"DESLOCAMENTO"),0)</f>
        <v>0</v>
      </c>
      <c r="G1271" s="10">
        <f>IFERROR(SUMIFS('Base bordo'!G$2:G$746,'Base bordo'!C$2:C$746,A1271,'Base bordo'!B$2:B$746,B1271,'Base bordo'!F$2:F$746,"CARREGAMENTO"),0)</f>
        <v>0</v>
      </c>
      <c r="H1271" s="10">
        <f>IFERROR(SUMIFS('Base bordo'!G$2:G$746,'Base bordo'!C$2:C$746,A1271,'Base bordo'!B$2:B$746,B1271,'Base bordo'!F$2:F$746,"AGUARDANDO TRANSBORDO"),0)</f>
        <v>0.39333333333333331</v>
      </c>
      <c r="I1271" s="10">
        <f>IFERROR(SUMIFS('Base bordo'!G$2:G$746,'Base bordo'!C$2:C$746,A1271,'Base bordo'!B$2:B$746,B1271,'Base bordo'!F$2:F$746,"PÁTIO INTERNO"),0)+IFERROR(SUMIFS('Base bordo'!G$2:G$746,'Base bordo'!C$2:C$746,A1271,'Base bordo'!B$2:B$746,B1271,'Base bordo'!F$2:F$746,"PÁTIO EXTERNO"),0)+IFERROR(SUMIFS('Base bordo'!G$2:G$746,'Base bordo'!C$2:C$746,A1271,'Base bordo'!B$2:B$746,B1271,'Base bordo'!F$2:F$746,"PATIO - RESERVA"),0)+IFERROR(SUMIFS('Base bordo'!G$2:G$746,'Base bordo'!C$2:C$746,A1271,'Base bordo'!B$2:B$746,B1271,'Base bordo'!F$2:F$746,"MANOBRA CARRETAS-PATIO"),0)</f>
        <v>4.1744444444444442</v>
      </c>
      <c r="J1271" s="10">
        <f>IFERROR(SUMIFS('Base bordo'!G$2:G$746,'Base bordo'!C$2:C$746,A1271,'Base bordo'!B$2:B$746,B1271,'Base bordo'!F$2:F$746,"BALANÇA - ENTRADA"),0)+IFERROR(SUMIFS('Base bordo'!G$2:G$746,'Base bordo'!C$2:C$746,A1271,'Base bordo'!B$2:B$746,B1271,'Base bordo'!F$2:F$746,"BALANÇA - SAÍDA"),0)</f>
        <v>0.27249999999999996</v>
      </c>
      <c r="K1271" s="10">
        <f>IFERROR(SUMIFS('Base bordo'!G$2:G$746,'Base bordo'!C$2:C$746,A1271,'Base bordo'!B$2:B$746,B1271,'Base bordo'!F$2:F$746,"MAN PREVENTIVA - MECANICA"),0)+IFERROR(SUMIFS('Base bordo'!G$2:G$746,'Base bordo'!C$2:C$746,A1271,'Base bordo'!B$2:B$746,B1271,'Base bordo'!F$2:F$746,"MAN CORRETIVA - MECANICA"),0)</f>
        <v>0</v>
      </c>
      <c r="L1271" s="10">
        <f>IFERROR(SUMIFS('Base bordo'!G$2:G$746,'Base bordo'!C$2:C$746,A1271,'Base bordo'!B$2:B$746,B1271,'Base bordo'!F$2:F$746,"MANUTENCAO - T O"),0)+IFERROR(SUMIFS('Base bordo'!G$2:G$746,'Base bordo'!C$2:C$746,A1271,'Base bordo'!B$2:B$746,B1271,'Base bordo'!F$2:F$746,"MANUTENCAO BORRACHARIA"),0)+IFERROR(SUMIFS('Base bordo'!G$2:G$746,'Base bordo'!C$2:C$746,A1271,'Base bordo'!B$2:B$746,B1271,'Base bordo'!F$2:F$746,"MANUTENCAO EXTERNA  CONCESSIONARIA"),0)+IFERROR(SUMIFS('Base bordo'!G$2:G$746,'Base bordo'!C$2:C$746,A1271,'Base bordo'!B$2:B$746,B1271,'Base bordo'!F$2:F$746,"MANUTENCAO TELEMETRIA"),0)</f>
        <v>0</v>
      </c>
      <c r="M1271" s="10">
        <f>IFERROR(SUMIFS('Base bordo'!G$2:G$746,'Base bordo'!C$2:C$746,A1271,'Base bordo'!B$2:B$746,B1271,'Base bordo'!F$2:F$746,"AGUARDANDO MANUTENCAO"),0)</f>
        <v>0</v>
      </c>
      <c r="N1271" s="10">
        <f>IFERROR(SUMIFS('Base bordo'!G$2:G$746,'Base bordo'!C$2:C$746,A1271,'Base bordo'!B$2:B$746,B1271,'Base bordo'!F$2:F$746,"SEM APONTAMENTO"),0)</f>
        <v>0</v>
      </c>
      <c r="O1271" s="10">
        <f t="shared" si="126"/>
        <v>0.26305555555555138</v>
      </c>
      <c r="P1271" s="10">
        <f>IFERROR(SUMIFS('Base bordo'!G$2:G$746,'Base bordo'!C$2:C$746,A1271,'Base bordo'!B$2:B$746,B1271),0)</f>
        <v>12.524999999999997</v>
      </c>
      <c r="Q1271" s="10">
        <f>IFERROR(SUMIFS('Base bordo'!H$2:H$746,'Base bordo'!C$2:C$746,A1271,'Base bordo'!B$2:B$746,B1271,'Base bordo'!F$2:F$746,"DESLOCAMENTO VAZIO"),0)</f>
        <v>427465.79</v>
      </c>
      <c r="R1271" s="10">
        <f>IFERROR(SUMIFS('Base bordo'!I$2:I$746,'Base bordo'!C$2:C$746,A1271,'Base bordo'!B$2:B$746,B1271,'Base bordo'!F$2:F$746,"DESLOCAMENTO VAZIO"),0)</f>
        <v>12114</v>
      </c>
      <c r="S1271" s="30">
        <f t="shared" si="127"/>
        <v>35.286923394419681</v>
      </c>
      <c r="T1271" s="10">
        <f>IFERROR(SUMIFS('Base bordo'!H$2:H$746,'Base bordo'!C$2:C$746,A1271,'Base bordo'!B$2:B$746,B1271,'Base bordo'!F$2:F$746,"DESLOCAMENTO CARREGADO"),0)</f>
        <v>388337.10000000003</v>
      </c>
      <c r="U1271" s="10">
        <f>IFERROR(SUMIFS('Base bordo'!I$2:I$746,'Base bordo'!C$2:C$746,A1271,'Base bordo'!B$2:B$746,B1271,'Base bordo'!F$2:F$746,"DESLOCAMENTO CARREGADO"),0)</f>
        <v>14604</v>
      </c>
      <c r="V1271" s="30">
        <f t="shared" si="128"/>
        <v>26.591146261298277</v>
      </c>
      <c r="W1271" s="9">
        <f t="shared" si="129"/>
        <v>0.26866267465069871</v>
      </c>
      <c r="X1271" s="9">
        <f t="shared" si="130"/>
        <v>0.32388556220891557</v>
      </c>
      <c r="Y1271" s="9">
        <f t="shared" si="131"/>
        <v>0.40745176314038578</v>
      </c>
    </row>
    <row r="1272" spans="1:25" ht="15" customHeight="1" x14ac:dyDescent="0.35">
      <c r="A1272" s="52">
        <v>8013473</v>
      </c>
      <c r="B1272" s="51">
        <v>46124</v>
      </c>
      <c r="C1272" s="7" t="s">
        <v>124</v>
      </c>
      <c r="D1272" s="10">
        <f>IFERROR(SUMIFS('Base bordo'!G$2:G$746,'Base bordo'!C$2:C$746,A1272,'Base bordo'!B$2:B$746,B1272,'Base bordo'!F$2:F$746,"DESLOCAMENTO VAZIO"),0)</f>
        <v>3.3650000000000002</v>
      </c>
      <c r="E1272" s="10">
        <f>IFERROR(SUMIFS('Base bordo'!G$2:G$746,'Base bordo'!C$2:C$746,A1272,'Base bordo'!B$2:B$746,B1272,'Base bordo'!F$2:F$746,"DESLOCAMENTO CARREGADO"),0)</f>
        <v>4.0566666666666666</v>
      </c>
      <c r="F1272" s="10">
        <f>IFERROR(SUMIFS('Base bordo'!G$2:G$746,'Base bordo'!C$2:C$746,A1272,'Base bordo'!B$2:B$746,B1272,'Base bordo'!F$2:F$746,"DESLOCAMENTO"),0)</f>
        <v>0</v>
      </c>
      <c r="G1272" s="10">
        <f>IFERROR(SUMIFS('Base bordo'!G$2:G$746,'Base bordo'!C$2:C$746,A1272,'Base bordo'!B$2:B$746,B1272,'Base bordo'!F$2:F$746,"CARREGAMENTO"),0)</f>
        <v>0</v>
      </c>
      <c r="H1272" s="10">
        <f>IFERROR(SUMIFS('Base bordo'!G$2:G$746,'Base bordo'!C$2:C$746,A1272,'Base bordo'!B$2:B$746,B1272,'Base bordo'!F$2:F$746,"AGUARDANDO TRANSBORDO"),0)</f>
        <v>0.39333333333333331</v>
      </c>
      <c r="I1272" s="10">
        <f>IFERROR(SUMIFS('Base bordo'!G$2:G$746,'Base bordo'!C$2:C$746,A1272,'Base bordo'!B$2:B$746,B1272,'Base bordo'!F$2:F$746,"PÁTIO INTERNO"),0)+IFERROR(SUMIFS('Base bordo'!G$2:G$746,'Base bordo'!C$2:C$746,A1272,'Base bordo'!B$2:B$746,B1272,'Base bordo'!F$2:F$746,"PÁTIO EXTERNO"),0)+IFERROR(SUMIFS('Base bordo'!G$2:G$746,'Base bordo'!C$2:C$746,A1272,'Base bordo'!B$2:B$746,B1272,'Base bordo'!F$2:F$746,"PATIO - RESERVA"),0)+IFERROR(SUMIFS('Base bordo'!G$2:G$746,'Base bordo'!C$2:C$746,A1272,'Base bordo'!B$2:B$746,B1272,'Base bordo'!F$2:F$746,"MANOBRA CARRETAS-PATIO"),0)</f>
        <v>4.1744444444444442</v>
      </c>
      <c r="J1272" s="10">
        <f>IFERROR(SUMIFS('Base bordo'!G$2:G$746,'Base bordo'!C$2:C$746,A1272,'Base bordo'!B$2:B$746,B1272,'Base bordo'!F$2:F$746,"BALANÇA - ENTRADA"),0)+IFERROR(SUMIFS('Base bordo'!G$2:G$746,'Base bordo'!C$2:C$746,A1272,'Base bordo'!B$2:B$746,B1272,'Base bordo'!F$2:F$746,"BALANÇA - SAÍDA"),0)</f>
        <v>0.27249999999999996</v>
      </c>
      <c r="K1272" s="10">
        <f>IFERROR(SUMIFS('Base bordo'!G$2:G$746,'Base bordo'!C$2:C$746,A1272,'Base bordo'!B$2:B$746,B1272,'Base bordo'!F$2:F$746,"MAN PREVENTIVA - MECANICA"),0)+IFERROR(SUMIFS('Base bordo'!G$2:G$746,'Base bordo'!C$2:C$746,A1272,'Base bordo'!B$2:B$746,B1272,'Base bordo'!F$2:F$746,"MAN CORRETIVA - MECANICA"),0)</f>
        <v>0</v>
      </c>
      <c r="L1272" s="10">
        <f>IFERROR(SUMIFS('Base bordo'!G$2:G$746,'Base bordo'!C$2:C$746,A1272,'Base bordo'!B$2:B$746,B1272,'Base bordo'!F$2:F$746,"MANUTENCAO - T O"),0)+IFERROR(SUMIFS('Base bordo'!G$2:G$746,'Base bordo'!C$2:C$746,A1272,'Base bordo'!B$2:B$746,B1272,'Base bordo'!F$2:F$746,"MANUTENCAO BORRACHARIA"),0)+IFERROR(SUMIFS('Base bordo'!G$2:G$746,'Base bordo'!C$2:C$746,A1272,'Base bordo'!B$2:B$746,B1272,'Base bordo'!F$2:F$746,"MANUTENCAO EXTERNA  CONCESSIONARIA"),0)+IFERROR(SUMIFS('Base bordo'!G$2:G$746,'Base bordo'!C$2:C$746,A1272,'Base bordo'!B$2:B$746,B1272,'Base bordo'!F$2:F$746,"MANUTENCAO TELEMETRIA"),0)</f>
        <v>0</v>
      </c>
      <c r="M1272" s="10">
        <f>IFERROR(SUMIFS('Base bordo'!G$2:G$746,'Base bordo'!C$2:C$746,A1272,'Base bordo'!B$2:B$746,B1272,'Base bordo'!F$2:F$746,"AGUARDANDO MANUTENCAO"),0)</f>
        <v>0</v>
      </c>
      <c r="N1272" s="10">
        <f>IFERROR(SUMIFS('Base bordo'!G$2:G$746,'Base bordo'!C$2:C$746,A1272,'Base bordo'!B$2:B$746,B1272,'Base bordo'!F$2:F$746,"SEM APONTAMENTO"),0)</f>
        <v>0</v>
      </c>
      <c r="O1272" s="10">
        <f t="shared" si="126"/>
        <v>0.26305555555555138</v>
      </c>
      <c r="P1272" s="10">
        <f>IFERROR(SUMIFS('Base bordo'!G$2:G$746,'Base bordo'!C$2:C$746,A1272,'Base bordo'!B$2:B$746,B1272),0)</f>
        <v>12.524999999999997</v>
      </c>
      <c r="Q1272" s="10">
        <f>IFERROR(SUMIFS('Base bordo'!H$2:H$746,'Base bordo'!C$2:C$746,A1272,'Base bordo'!B$2:B$746,B1272,'Base bordo'!F$2:F$746,"DESLOCAMENTO VAZIO"),0)</f>
        <v>427465.79</v>
      </c>
      <c r="R1272" s="10">
        <f>IFERROR(SUMIFS('Base bordo'!I$2:I$746,'Base bordo'!C$2:C$746,A1272,'Base bordo'!B$2:B$746,B1272,'Base bordo'!F$2:F$746,"DESLOCAMENTO VAZIO"),0)</f>
        <v>12114</v>
      </c>
      <c r="S1272" s="30">
        <f t="shared" si="127"/>
        <v>35.286923394419681</v>
      </c>
      <c r="T1272" s="10">
        <f>IFERROR(SUMIFS('Base bordo'!H$2:H$746,'Base bordo'!C$2:C$746,A1272,'Base bordo'!B$2:B$746,B1272,'Base bordo'!F$2:F$746,"DESLOCAMENTO CARREGADO"),0)</f>
        <v>388337.10000000003</v>
      </c>
      <c r="U1272" s="10">
        <f>IFERROR(SUMIFS('Base bordo'!I$2:I$746,'Base bordo'!C$2:C$746,A1272,'Base bordo'!B$2:B$746,B1272,'Base bordo'!F$2:F$746,"DESLOCAMENTO CARREGADO"),0)</f>
        <v>14604</v>
      </c>
      <c r="V1272" s="30">
        <f t="shared" si="128"/>
        <v>26.591146261298277</v>
      </c>
      <c r="W1272" s="9">
        <f t="shared" si="129"/>
        <v>0.26866267465069871</v>
      </c>
      <c r="X1272" s="9">
        <f t="shared" si="130"/>
        <v>0.32388556220891557</v>
      </c>
      <c r="Y1272" s="9">
        <f t="shared" si="131"/>
        <v>0.40745176314038578</v>
      </c>
    </row>
    <row r="1273" spans="1:25" ht="15" customHeight="1" x14ac:dyDescent="0.35">
      <c r="A1273" s="52">
        <v>8013473</v>
      </c>
      <c r="B1273" s="51">
        <v>46124</v>
      </c>
      <c r="C1273" s="7" t="s">
        <v>124</v>
      </c>
      <c r="D1273" s="10">
        <f>IFERROR(SUMIFS('Base bordo'!G$2:G$746,'Base bordo'!C$2:C$746,A1273,'Base bordo'!B$2:B$746,B1273,'Base bordo'!F$2:F$746,"DESLOCAMENTO VAZIO"),0)</f>
        <v>3.3650000000000002</v>
      </c>
      <c r="E1273" s="10">
        <f>IFERROR(SUMIFS('Base bordo'!G$2:G$746,'Base bordo'!C$2:C$746,A1273,'Base bordo'!B$2:B$746,B1273,'Base bordo'!F$2:F$746,"DESLOCAMENTO CARREGADO"),0)</f>
        <v>4.0566666666666666</v>
      </c>
      <c r="F1273" s="10">
        <f>IFERROR(SUMIFS('Base bordo'!G$2:G$746,'Base bordo'!C$2:C$746,A1273,'Base bordo'!B$2:B$746,B1273,'Base bordo'!F$2:F$746,"DESLOCAMENTO"),0)</f>
        <v>0</v>
      </c>
      <c r="G1273" s="10">
        <f>IFERROR(SUMIFS('Base bordo'!G$2:G$746,'Base bordo'!C$2:C$746,A1273,'Base bordo'!B$2:B$746,B1273,'Base bordo'!F$2:F$746,"CARREGAMENTO"),0)</f>
        <v>0</v>
      </c>
      <c r="H1273" s="10">
        <f>IFERROR(SUMIFS('Base bordo'!G$2:G$746,'Base bordo'!C$2:C$746,A1273,'Base bordo'!B$2:B$746,B1273,'Base bordo'!F$2:F$746,"AGUARDANDO TRANSBORDO"),0)</f>
        <v>0.39333333333333331</v>
      </c>
      <c r="I1273" s="10">
        <f>IFERROR(SUMIFS('Base bordo'!G$2:G$746,'Base bordo'!C$2:C$746,A1273,'Base bordo'!B$2:B$746,B1273,'Base bordo'!F$2:F$746,"PÁTIO INTERNO"),0)+IFERROR(SUMIFS('Base bordo'!G$2:G$746,'Base bordo'!C$2:C$746,A1273,'Base bordo'!B$2:B$746,B1273,'Base bordo'!F$2:F$746,"PÁTIO EXTERNO"),0)+IFERROR(SUMIFS('Base bordo'!G$2:G$746,'Base bordo'!C$2:C$746,A1273,'Base bordo'!B$2:B$746,B1273,'Base bordo'!F$2:F$746,"PATIO - RESERVA"),0)+IFERROR(SUMIFS('Base bordo'!G$2:G$746,'Base bordo'!C$2:C$746,A1273,'Base bordo'!B$2:B$746,B1273,'Base bordo'!F$2:F$746,"MANOBRA CARRETAS-PATIO"),0)</f>
        <v>4.1744444444444442</v>
      </c>
      <c r="J1273" s="10">
        <f>IFERROR(SUMIFS('Base bordo'!G$2:G$746,'Base bordo'!C$2:C$746,A1273,'Base bordo'!B$2:B$746,B1273,'Base bordo'!F$2:F$746,"BALANÇA - ENTRADA"),0)+IFERROR(SUMIFS('Base bordo'!G$2:G$746,'Base bordo'!C$2:C$746,A1273,'Base bordo'!B$2:B$746,B1273,'Base bordo'!F$2:F$746,"BALANÇA - SAÍDA"),0)</f>
        <v>0.27249999999999996</v>
      </c>
      <c r="K1273" s="10">
        <f>IFERROR(SUMIFS('Base bordo'!G$2:G$746,'Base bordo'!C$2:C$746,A1273,'Base bordo'!B$2:B$746,B1273,'Base bordo'!F$2:F$746,"MAN PREVENTIVA - MECANICA"),0)+IFERROR(SUMIFS('Base bordo'!G$2:G$746,'Base bordo'!C$2:C$746,A1273,'Base bordo'!B$2:B$746,B1273,'Base bordo'!F$2:F$746,"MAN CORRETIVA - MECANICA"),0)</f>
        <v>0</v>
      </c>
      <c r="L1273" s="10">
        <f>IFERROR(SUMIFS('Base bordo'!G$2:G$746,'Base bordo'!C$2:C$746,A1273,'Base bordo'!B$2:B$746,B1273,'Base bordo'!F$2:F$746,"MANUTENCAO - T O"),0)+IFERROR(SUMIFS('Base bordo'!G$2:G$746,'Base bordo'!C$2:C$746,A1273,'Base bordo'!B$2:B$746,B1273,'Base bordo'!F$2:F$746,"MANUTENCAO BORRACHARIA"),0)+IFERROR(SUMIFS('Base bordo'!G$2:G$746,'Base bordo'!C$2:C$746,A1273,'Base bordo'!B$2:B$746,B1273,'Base bordo'!F$2:F$746,"MANUTENCAO EXTERNA  CONCESSIONARIA"),0)+IFERROR(SUMIFS('Base bordo'!G$2:G$746,'Base bordo'!C$2:C$746,A1273,'Base bordo'!B$2:B$746,B1273,'Base bordo'!F$2:F$746,"MANUTENCAO TELEMETRIA"),0)</f>
        <v>0</v>
      </c>
      <c r="M1273" s="10">
        <f>IFERROR(SUMIFS('Base bordo'!G$2:G$746,'Base bordo'!C$2:C$746,A1273,'Base bordo'!B$2:B$746,B1273,'Base bordo'!F$2:F$746,"AGUARDANDO MANUTENCAO"),0)</f>
        <v>0</v>
      </c>
      <c r="N1273" s="10">
        <f>IFERROR(SUMIFS('Base bordo'!G$2:G$746,'Base bordo'!C$2:C$746,A1273,'Base bordo'!B$2:B$746,B1273,'Base bordo'!F$2:F$746,"SEM APONTAMENTO"),0)</f>
        <v>0</v>
      </c>
      <c r="O1273" s="10">
        <f t="shared" si="126"/>
        <v>0.26305555555555138</v>
      </c>
      <c r="P1273" s="10">
        <f>IFERROR(SUMIFS('Base bordo'!G$2:G$746,'Base bordo'!C$2:C$746,A1273,'Base bordo'!B$2:B$746,B1273),0)</f>
        <v>12.524999999999997</v>
      </c>
      <c r="Q1273" s="10">
        <f>IFERROR(SUMIFS('Base bordo'!H$2:H$746,'Base bordo'!C$2:C$746,A1273,'Base bordo'!B$2:B$746,B1273,'Base bordo'!F$2:F$746,"DESLOCAMENTO VAZIO"),0)</f>
        <v>427465.79</v>
      </c>
      <c r="R1273" s="10">
        <f>IFERROR(SUMIFS('Base bordo'!I$2:I$746,'Base bordo'!C$2:C$746,A1273,'Base bordo'!B$2:B$746,B1273,'Base bordo'!F$2:F$746,"DESLOCAMENTO VAZIO"),0)</f>
        <v>12114</v>
      </c>
      <c r="S1273" s="30">
        <f t="shared" si="127"/>
        <v>35.286923394419681</v>
      </c>
      <c r="T1273" s="10">
        <f>IFERROR(SUMIFS('Base bordo'!H$2:H$746,'Base bordo'!C$2:C$746,A1273,'Base bordo'!B$2:B$746,B1273,'Base bordo'!F$2:F$746,"DESLOCAMENTO CARREGADO"),0)</f>
        <v>388337.10000000003</v>
      </c>
      <c r="U1273" s="10">
        <f>IFERROR(SUMIFS('Base bordo'!I$2:I$746,'Base bordo'!C$2:C$746,A1273,'Base bordo'!B$2:B$746,B1273,'Base bordo'!F$2:F$746,"DESLOCAMENTO CARREGADO"),0)</f>
        <v>14604</v>
      </c>
      <c r="V1273" s="30">
        <f t="shared" si="128"/>
        <v>26.591146261298277</v>
      </c>
      <c r="W1273" s="9">
        <f t="shared" si="129"/>
        <v>0.26866267465069871</v>
      </c>
      <c r="X1273" s="9">
        <f t="shared" si="130"/>
        <v>0.32388556220891557</v>
      </c>
      <c r="Y1273" s="9">
        <f t="shared" si="131"/>
        <v>0.40745176314038578</v>
      </c>
    </row>
    <row r="1274" spans="1:25" ht="15" customHeight="1" x14ac:dyDescent="0.35">
      <c r="A1274" s="52">
        <v>8013473</v>
      </c>
      <c r="B1274" s="51">
        <v>46124</v>
      </c>
      <c r="C1274" s="7" t="s">
        <v>124</v>
      </c>
      <c r="D1274" s="10">
        <f>IFERROR(SUMIFS('Base bordo'!G$2:G$746,'Base bordo'!C$2:C$746,A1274,'Base bordo'!B$2:B$746,B1274,'Base bordo'!F$2:F$746,"DESLOCAMENTO VAZIO"),0)</f>
        <v>3.3650000000000002</v>
      </c>
      <c r="E1274" s="10">
        <f>IFERROR(SUMIFS('Base bordo'!G$2:G$746,'Base bordo'!C$2:C$746,A1274,'Base bordo'!B$2:B$746,B1274,'Base bordo'!F$2:F$746,"DESLOCAMENTO CARREGADO"),0)</f>
        <v>4.0566666666666666</v>
      </c>
      <c r="F1274" s="10">
        <f>IFERROR(SUMIFS('Base bordo'!G$2:G$746,'Base bordo'!C$2:C$746,A1274,'Base bordo'!B$2:B$746,B1274,'Base bordo'!F$2:F$746,"DESLOCAMENTO"),0)</f>
        <v>0</v>
      </c>
      <c r="G1274" s="10">
        <f>IFERROR(SUMIFS('Base bordo'!G$2:G$746,'Base bordo'!C$2:C$746,A1274,'Base bordo'!B$2:B$746,B1274,'Base bordo'!F$2:F$746,"CARREGAMENTO"),0)</f>
        <v>0</v>
      </c>
      <c r="H1274" s="10">
        <f>IFERROR(SUMIFS('Base bordo'!G$2:G$746,'Base bordo'!C$2:C$746,A1274,'Base bordo'!B$2:B$746,B1274,'Base bordo'!F$2:F$746,"AGUARDANDO TRANSBORDO"),0)</f>
        <v>0.39333333333333331</v>
      </c>
      <c r="I1274" s="10">
        <f>IFERROR(SUMIFS('Base bordo'!G$2:G$746,'Base bordo'!C$2:C$746,A1274,'Base bordo'!B$2:B$746,B1274,'Base bordo'!F$2:F$746,"PÁTIO INTERNO"),0)+IFERROR(SUMIFS('Base bordo'!G$2:G$746,'Base bordo'!C$2:C$746,A1274,'Base bordo'!B$2:B$746,B1274,'Base bordo'!F$2:F$746,"PÁTIO EXTERNO"),0)+IFERROR(SUMIFS('Base bordo'!G$2:G$746,'Base bordo'!C$2:C$746,A1274,'Base bordo'!B$2:B$746,B1274,'Base bordo'!F$2:F$746,"PATIO - RESERVA"),0)+IFERROR(SUMIFS('Base bordo'!G$2:G$746,'Base bordo'!C$2:C$746,A1274,'Base bordo'!B$2:B$746,B1274,'Base bordo'!F$2:F$746,"MANOBRA CARRETAS-PATIO"),0)</f>
        <v>4.1744444444444442</v>
      </c>
      <c r="J1274" s="10">
        <f>IFERROR(SUMIFS('Base bordo'!G$2:G$746,'Base bordo'!C$2:C$746,A1274,'Base bordo'!B$2:B$746,B1274,'Base bordo'!F$2:F$746,"BALANÇA - ENTRADA"),0)+IFERROR(SUMIFS('Base bordo'!G$2:G$746,'Base bordo'!C$2:C$746,A1274,'Base bordo'!B$2:B$746,B1274,'Base bordo'!F$2:F$746,"BALANÇA - SAÍDA"),0)</f>
        <v>0.27249999999999996</v>
      </c>
      <c r="K1274" s="10">
        <f>IFERROR(SUMIFS('Base bordo'!G$2:G$746,'Base bordo'!C$2:C$746,A1274,'Base bordo'!B$2:B$746,B1274,'Base bordo'!F$2:F$746,"MAN PREVENTIVA - MECANICA"),0)+IFERROR(SUMIFS('Base bordo'!G$2:G$746,'Base bordo'!C$2:C$746,A1274,'Base bordo'!B$2:B$746,B1274,'Base bordo'!F$2:F$746,"MAN CORRETIVA - MECANICA"),0)</f>
        <v>0</v>
      </c>
      <c r="L1274" s="10">
        <f>IFERROR(SUMIFS('Base bordo'!G$2:G$746,'Base bordo'!C$2:C$746,A1274,'Base bordo'!B$2:B$746,B1274,'Base bordo'!F$2:F$746,"MANUTENCAO - T O"),0)+IFERROR(SUMIFS('Base bordo'!G$2:G$746,'Base bordo'!C$2:C$746,A1274,'Base bordo'!B$2:B$746,B1274,'Base bordo'!F$2:F$746,"MANUTENCAO BORRACHARIA"),0)+IFERROR(SUMIFS('Base bordo'!G$2:G$746,'Base bordo'!C$2:C$746,A1274,'Base bordo'!B$2:B$746,B1274,'Base bordo'!F$2:F$746,"MANUTENCAO EXTERNA  CONCESSIONARIA"),0)+IFERROR(SUMIFS('Base bordo'!G$2:G$746,'Base bordo'!C$2:C$746,A1274,'Base bordo'!B$2:B$746,B1274,'Base bordo'!F$2:F$746,"MANUTENCAO TELEMETRIA"),0)</f>
        <v>0</v>
      </c>
      <c r="M1274" s="10">
        <f>IFERROR(SUMIFS('Base bordo'!G$2:G$746,'Base bordo'!C$2:C$746,A1274,'Base bordo'!B$2:B$746,B1274,'Base bordo'!F$2:F$746,"AGUARDANDO MANUTENCAO"),0)</f>
        <v>0</v>
      </c>
      <c r="N1274" s="10">
        <f>IFERROR(SUMIFS('Base bordo'!G$2:G$746,'Base bordo'!C$2:C$746,A1274,'Base bordo'!B$2:B$746,B1274,'Base bordo'!F$2:F$746,"SEM APONTAMENTO"),0)</f>
        <v>0</v>
      </c>
      <c r="O1274" s="10">
        <f t="shared" si="126"/>
        <v>0.26305555555555138</v>
      </c>
      <c r="P1274" s="10">
        <f>IFERROR(SUMIFS('Base bordo'!G$2:G$746,'Base bordo'!C$2:C$746,A1274,'Base bordo'!B$2:B$746,B1274),0)</f>
        <v>12.524999999999997</v>
      </c>
      <c r="Q1274" s="10">
        <f>IFERROR(SUMIFS('Base bordo'!H$2:H$746,'Base bordo'!C$2:C$746,A1274,'Base bordo'!B$2:B$746,B1274,'Base bordo'!F$2:F$746,"DESLOCAMENTO VAZIO"),0)</f>
        <v>427465.79</v>
      </c>
      <c r="R1274" s="10">
        <f>IFERROR(SUMIFS('Base bordo'!I$2:I$746,'Base bordo'!C$2:C$746,A1274,'Base bordo'!B$2:B$746,B1274,'Base bordo'!F$2:F$746,"DESLOCAMENTO VAZIO"),0)</f>
        <v>12114</v>
      </c>
      <c r="S1274" s="30">
        <f t="shared" si="127"/>
        <v>35.286923394419681</v>
      </c>
      <c r="T1274" s="10">
        <f>IFERROR(SUMIFS('Base bordo'!H$2:H$746,'Base bordo'!C$2:C$746,A1274,'Base bordo'!B$2:B$746,B1274,'Base bordo'!F$2:F$746,"DESLOCAMENTO CARREGADO"),0)</f>
        <v>388337.10000000003</v>
      </c>
      <c r="U1274" s="10">
        <f>IFERROR(SUMIFS('Base bordo'!I$2:I$746,'Base bordo'!C$2:C$746,A1274,'Base bordo'!B$2:B$746,B1274,'Base bordo'!F$2:F$746,"DESLOCAMENTO CARREGADO"),0)</f>
        <v>14604</v>
      </c>
      <c r="V1274" s="30">
        <f t="shared" si="128"/>
        <v>26.591146261298277</v>
      </c>
      <c r="W1274" s="9">
        <f t="shared" si="129"/>
        <v>0.26866267465069871</v>
      </c>
      <c r="X1274" s="9">
        <f t="shared" si="130"/>
        <v>0.32388556220891557</v>
      </c>
      <c r="Y1274" s="9">
        <f t="shared" si="131"/>
        <v>0.40745176314038578</v>
      </c>
    </row>
    <row r="1275" spans="1:25" ht="15" customHeight="1" x14ac:dyDescent="0.35">
      <c r="A1275" s="52">
        <v>8013473</v>
      </c>
      <c r="B1275" s="51">
        <v>46124</v>
      </c>
      <c r="C1275" s="7" t="s">
        <v>124</v>
      </c>
      <c r="D1275" s="10">
        <f>IFERROR(SUMIFS('Base bordo'!G$2:G$746,'Base bordo'!C$2:C$746,A1275,'Base bordo'!B$2:B$746,B1275,'Base bordo'!F$2:F$746,"DESLOCAMENTO VAZIO"),0)</f>
        <v>3.3650000000000002</v>
      </c>
      <c r="E1275" s="10">
        <f>IFERROR(SUMIFS('Base bordo'!G$2:G$746,'Base bordo'!C$2:C$746,A1275,'Base bordo'!B$2:B$746,B1275,'Base bordo'!F$2:F$746,"DESLOCAMENTO CARREGADO"),0)</f>
        <v>4.0566666666666666</v>
      </c>
      <c r="F1275" s="10">
        <f>IFERROR(SUMIFS('Base bordo'!G$2:G$746,'Base bordo'!C$2:C$746,A1275,'Base bordo'!B$2:B$746,B1275,'Base bordo'!F$2:F$746,"DESLOCAMENTO"),0)</f>
        <v>0</v>
      </c>
      <c r="G1275" s="10">
        <f>IFERROR(SUMIFS('Base bordo'!G$2:G$746,'Base bordo'!C$2:C$746,A1275,'Base bordo'!B$2:B$746,B1275,'Base bordo'!F$2:F$746,"CARREGAMENTO"),0)</f>
        <v>0</v>
      </c>
      <c r="H1275" s="10">
        <f>IFERROR(SUMIFS('Base bordo'!G$2:G$746,'Base bordo'!C$2:C$746,A1275,'Base bordo'!B$2:B$746,B1275,'Base bordo'!F$2:F$746,"AGUARDANDO TRANSBORDO"),0)</f>
        <v>0.39333333333333331</v>
      </c>
      <c r="I1275" s="10">
        <f>IFERROR(SUMIFS('Base bordo'!G$2:G$746,'Base bordo'!C$2:C$746,A1275,'Base bordo'!B$2:B$746,B1275,'Base bordo'!F$2:F$746,"PÁTIO INTERNO"),0)+IFERROR(SUMIFS('Base bordo'!G$2:G$746,'Base bordo'!C$2:C$746,A1275,'Base bordo'!B$2:B$746,B1275,'Base bordo'!F$2:F$746,"PÁTIO EXTERNO"),0)+IFERROR(SUMIFS('Base bordo'!G$2:G$746,'Base bordo'!C$2:C$746,A1275,'Base bordo'!B$2:B$746,B1275,'Base bordo'!F$2:F$746,"PATIO - RESERVA"),0)+IFERROR(SUMIFS('Base bordo'!G$2:G$746,'Base bordo'!C$2:C$746,A1275,'Base bordo'!B$2:B$746,B1275,'Base bordo'!F$2:F$746,"MANOBRA CARRETAS-PATIO"),0)</f>
        <v>4.1744444444444442</v>
      </c>
      <c r="J1275" s="10">
        <f>IFERROR(SUMIFS('Base bordo'!G$2:G$746,'Base bordo'!C$2:C$746,A1275,'Base bordo'!B$2:B$746,B1275,'Base bordo'!F$2:F$746,"BALANÇA - ENTRADA"),0)+IFERROR(SUMIFS('Base bordo'!G$2:G$746,'Base bordo'!C$2:C$746,A1275,'Base bordo'!B$2:B$746,B1275,'Base bordo'!F$2:F$746,"BALANÇA - SAÍDA"),0)</f>
        <v>0.27249999999999996</v>
      </c>
      <c r="K1275" s="10">
        <f>IFERROR(SUMIFS('Base bordo'!G$2:G$746,'Base bordo'!C$2:C$746,A1275,'Base bordo'!B$2:B$746,B1275,'Base bordo'!F$2:F$746,"MAN PREVENTIVA - MECANICA"),0)+IFERROR(SUMIFS('Base bordo'!G$2:G$746,'Base bordo'!C$2:C$746,A1275,'Base bordo'!B$2:B$746,B1275,'Base bordo'!F$2:F$746,"MAN CORRETIVA - MECANICA"),0)</f>
        <v>0</v>
      </c>
      <c r="L1275" s="10">
        <f>IFERROR(SUMIFS('Base bordo'!G$2:G$746,'Base bordo'!C$2:C$746,A1275,'Base bordo'!B$2:B$746,B1275,'Base bordo'!F$2:F$746,"MANUTENCAO - T O"),0)+IFERROR(SUMIFS('Base bordo'!G$2:G$746,'Base bordo'!C$2:C$746,A1275,'Base bordo'!B$2:B$746,B1275,'Base bordo'!F$2:F$746,"MANUTENCAO BORRACHARIA"),0)+IFERROR(SUMIFS('Base bordo'!G$2:G$746,'Base bordo'!C$2:C$746,A1275,'Base bordo'!B$2:B$746,B1275,'Base bordo'!F$2:F$746,"MANUTENCAO EXTERNA  CONCESSIONARIA"),0)+IFERROR(SUMIFS('Base bordo'!G$2:G$746,'Base bordo'!C$2:C$746,A1275,'Base bordo'!B$2:B$746,B1275,'Base bordo'!F$2:F$746,"MANUTENCAO TELEMETRIA"),0)</f>
        <v>0</v>
      </c>
      <c r="M1275" s="10">
        <f>IFERROR(SUMIFS('Base bordo'!G$2:G$746,'Base bordo'!C$2:C$746,A1275,'Base bordo'!B$2:B$746,B1275,'Base bordo'!F$2:F$746,"AGUARDANDO MANUTENCAO"),0)</f>
        <v>0</v>
      </c>
      <c r="N1275" s="10">
        <f>IFERROR(SUMIFS('Base bordo'!G$2:G$746,'Base bordo'!C$2:C$746,A1275,'Base bordo'!B$2:B$746,B1275,'Base bordo'!F$2:F$746,"SEM APONTAMENTO"),0)</f>
        <v>0</v>
      </c>
      <c r="O1275" s="10">
        <f t="shared" si="126"/>
        <v>0.26305555555555138</v>
      </c>
      <c r="P1275" s="10">
        <f>IFERROR(SUMIFS('Base bordo'!G$2:G$746,'Base bordo'!C$2:C$746,A1275,'Base bordo'!B$2:B$746,B1275),0)</f>
        <v>12.524999999999997</v>
      </c>
      <c r="Q1275" s="10">
        <f>IFERROR(SUMIFS('Base bordo'!H$2:H$746,'Base bordo'!C$2:C$746,A1275,'Base bordo'!B$2:B$746,B1275,'Base bordo'!F$2:F$746,"DESLOCAMENTO VAZIO"),0)</f>
        <v>427465.79</v>
      </c>
      <c r="R1275" s="10">
        <f>IFERROR(SUMIFS('Base bordo'!I$2:I$746,'Base bordo'!C$2:C$746,A1275,'Base bordo'!B$2:B$746,B1275,'Base bordo'!F$2:F$746,"DESLOCAMENTO VAZIO"),0)</f>
        <v>12114</v>
      </c>
      <c r="S1275" s="30">
        <f t="shared" si="127"/>
        <v>35.286923394419681</v>
      </c>
      <c r="T1275" s="10">
        <f>IFERROR(SUMIFS('Base bordo'!H$2:H$746,'Base bordo'!C$2:C$746,A1275,'Base bordo'!B$2:B$746,B1275,'Base bordo'!F$2:F$746,"DESLOCAMENTO CARREGADO"),0)</f>
        <v>388337.10000000003</v>
      </c>
      <c r="U1275" s="10">
        <f>IFERROR(SUMIFS('Base bordo'!I$2:I$746,'Base bordo'!C$2:C$746,A1275,'Base bordo'!B$2:B$746,B1275,'Base bordo'!F$2:F$746,"DESLOCAMENTO CARREGADO"),0)</f>
        <v>14604</v>
      </c>
      <c r="V1275" s="30">
        <f t="shared" si="128"/>
        <v>26.591146261298277</v>
      </c>
      <c r="W1275" s="9">
        <f t="shared" si="129"/>
        <v>0.26866267465069871</v>
      </c>
      <c r="X1275" s="9">
        <f t="shared" si="130"/>
        <v>0.32388556220891557</v>
      </c>
      <c r="Y1275" s="9">
        <f t="shared" si="131"/>
        <v>0.40745176314038578</v>
      </c>
    </row>
    <row r="1276" spans="1:25" ht="15" customHeight="1" x14ac:dyDescent="0.35">
      <c r="A1276" s="52">
        <v>8013473</v>
      </c>
      <c r="B1276" s="51">
        <v>46124</v>
      </c>
      <c r="C1276" s="7" t="s">
        <v>124</v>
      </c>
      <c r="D1276" s="10">
        <f>IFERROR(SUMIFS('Base bordo'!G$2:G$746,'Base bordo'!C$2:C$746,A1276,'Base bordo'!B$2:B$746,B1276,'Base bordo'!F$2:F$746,"DESLOCAMENTO VAZIO"),0)</f>
        <v>3.3650000000000002</v>
      </c>
      <c r="E1276" s="10">
        <f>IFERROR(SUMIFS('Base bordo'!G$2:G$746,'Base bordo'!C$2:C$746,A1276,'Base bordo'!B$2:B$746,B1276,'Base bordo'!F$2:F$746,"DESLOCAMENTO CARREGADO"),0)</f>
        <v>4.0566666666666666</v>
      </c>
      <c r="F1276" s="10">
        <f>IFERROR(SUMIFS('Base bordo'!G$2:G$746,'Base bordo'!C$2:C$746,A1276,'Base bordo'!B$2:B$746,B1276,'Base bordo'!F$2:F$746,"DESLOCAMENTO"),0)</f>
        <v>0</v>
      </c>
      <c r="G1276" s="10">
        <f>IFERROR(SUMIFS('Base bordo'!G$2:G$746,'Base bordo'!C$2:C$746,A1276,'Base bordo'!B$2:B$746,B1276,'Base bordo'!F$2:F$746,"CARREGAMENTO"),0)</f>
        <v>0</v>
      </c>
      <c r="H1276" s="10">
        <f>IFERROR(SUMIFS('Base bordo'!G$2:G$746,'Base bordo'!C$2:C$746,A1276,'Base bordo'!B$2:B$746,B1276,'Base bordo'!F$2:F$746,"AGUARDANDO TRANSBORDO"),0)</f>
        <v>0.39333333333333331</v>
      </c>
      <c r="I1276" s="10">
        <f>IFERROR(SUMIFS('Base bordo'!G$2:G$746,'Base bordo'!C$2:C$746,A1276,'Base bordo'!B$2:B$746,B1276,'Base bordo'!F$2:F$746,"PÁTIO INTERNO"),0)+IFERROR(SUMIFS('Base bordo'!G$2:G$746,'Base bordo'!C$2:C$746,A1276,'Base bordo'!B$2:B$746,B1276,'Base bordo'!F$2:F$746,"PÁTIO EXTERNO"),0)+IFERROR(SUMIFS('Base bordo'!G$2:G$746,'Base bordo'!C$2:C$746,A1276,'Base bordo'!B$2:B$746,B1276,'Base bordo'!F$2:F$746,"PATIO - RESERVA"),0)+IFERROR(SUMIFS('Base bordo'!G$2:G$746,'Base bordo'!C$2:C$746,A1276,'Base bordo'!B$2:B$746,B1276,'Base bordo'!F$2:F$746,"MANOBRA CARRETAS-PATIO"),0)</f>
        <v>4.1744444444444442</v>
      </c>
      <c r="J1276" s="10">
        <f>IFERROR(SUMIFS('Base bordo'!G$2:G$746,'Base bordo'!C$2:C$746,A1276,'Base bordo'!B$2:B$746,B1276,'Base bordo'!F$2:F$746,"BALANÇA - ENTRADA"),0)+IFERROR(SUMIFS('Base bordo'!G$2:G$746,'Base bordo'!C$2:C$746,A1276,'Base bordo'!B$2:B$746,B1276,'Base bordo'!F$2:F$746,"BALANÇA - SAÍDA"),0)</f>
        <v>0.27249999999999996</v>
      </c>
      <c r="K1276" s="10">
        <f>IFERROR(SUMIFS('Base bordo'!G$2:G$746,'Base bordo'!C$2:C$746,A1276,'Base bordo'!B$2:B$746,B1276,'Base bordo'!F$2:F$746,"MAN PREVENTIVA - MECANICA"),0)+IFERROR(SUMIFS('Base bordo'!G$2:G$746,'Base bordo'!C$2:C$746,A1276,'Base bordo'!B$2:B$746,B1276,'Base bordo'!F$2:F$746,"MAN CORRETIVA - MECANICA"),0)</f>
        <v>0</v>
      </c>
      <c r="L1276" s="10">
        <f>IFERROR(SUMIFS('Base bordo'!G$2:G$746,'Base bordo'!C$2:C$746,A1276,'Base bordo'!B$2:B$746,B1276,'Base bordo'!F$2:F$746,"MANUTENCAO - T O"),0)+IFERROR(SUMIFS('Base bordo'!G$2:G$746,'Base bordo'!C$2:C$746,A1276,'Base bordo'!B$2:B$746,B1276,'Base bordo'!F$2:F$746,"MANUTENCAO BORRACHARIA"),0)+IFERROR(SUMIFS('Base bordo'!G$2:G$746,'Base bordo'!C$2:C$746,A1276,'Base bordo'!B$2:B$746,B1276,'Base bordo'!F$2:F$746,"MANUTENCAO EXTERNA  CONCESSIONARIA"),0)+IFERROR(SUMIFS('Base bordo'!G$2:G$746,'Base bordo'!C$2:C$746,A1276,'Base bordo'!B$2:B$746,B1276,'Base bordo'!F$2:F$746,"MANUTENCAO TELEMETRIA"),0)</f>
        <v>0</v>
      </c>
      <c r="M1276" s="10">
        <f>IFERROR(SUMIFS('Base bordo'!G$2:G$746,'Base bordo'!C$2:C$746,A1276,'Base bordo'!B$2:B$746,B1276,'Base bordo'!F$2:F$746,"AGUARDANDO MANUTENCAO"),0)</f>
        <v>0</v>
      </c>
      <c r="N1276" s="10">
        <f>IFERROR(SUMIFS('Base bordo'!G$2:G$746,'Base bordo'!C$2:C$746,A1276,'Base bordo'!B$2:B$746,B1276,'Base bordo'!F$2:F$746,"SEM APONTAMENTO"),0)</f>
        <v>0</v>
      </c>
      <c r="O1276" s="10">
        <f t="shared" si="126"/>
        <v>0.26305555555555138</v>
      </c>
      <c r="P1276" s="10">
        <f>IFERROR(SUMIFS('Base bordo'!G$2:G$746,'Base bordo'!C$2:C$746,A1276,'Base bordo'!B$2:B$746,B1276),0)</f>
        <v>12.524999999999997</v>
      </c>
      <c r="Q1276" s="10">
        <f>IFERROR(SUMIFS('Base bordo'!H$2:H$746,'Base bordo'!C$2:C$746,A1276,'Base bordo'!B$2:B$746,B1276,'Base bordo'!F$2:F$746,"DESLOCAMENTO VAZIO"),0)</f>
        <v>427465.79</v>
      </c>
      <c r="R1276" s="10">
        <f>IFERROR(SUMIFS('Base bordo'!I$2:I$746,'Base bordo'!C$2:C$746,A1276,'Base bordo'!B$2:B$746,B1276,'Base bordo'!F$2:F$746,"DESLOCAMENTO VAZIO"),0)</f>
        <v>12114</v>
      </c>
      <c r="S1276" s="30">
        <f t="shared" si="127"/>
        <v>35.286923394419681</v>
      </c>
      <c r="T1276" s="10">
        <f>IFERROR(SUMIFS('Base bordo'!H$2:H$746,'Base bordo'!C$2:C$746,A1276,'Base bordo'!B$2:B$746,B1276,'Base bordo'!F$2:F$746,"DESLOCAMENTO CARREGADO"),0)</f>
        <v>388337.10000000003</v>
      </c>
      <c r="U1276" s="10">
        <f>IFERROR(SUMIFS('Base bordo'!I$2:I$746,'Base bordo'!C$2:C$746,A1276,'Base bordo'!B$2:B$746,B1276,'Base bordo'!F$2:F$746,"DESLOCAMENTO CARREGADO"),0)</f>
        <v>14604</v>
      </c>
      <c r="V1276" s="30">
        <f t="shared" si="128"/>
        <v>26.591146261298277</v>
      </c>
      <c r="W1276" s="9">
        <f t="shared" si="129"/>
        <v>0.26866267465069871</v>
      </c>
      <c r="X1276" s="9">
        <f t="shared" si="130"/>
        <v>0.32388556220891557</v>
      </c>
      <c r="Y1276" s="9">
        <f t="shared" si="131"/>
        <v>0.40745176314038578</v>
      </c>
    </row>
    <row r="1277" spans="1:25" ht="15" customHeight="1" x14ac:dyDescent="0.35">
      <c r="A1277" s="52">
        <v>8013474</v>
      </c>
      <c r="B1277" s="51">
        <v>46124</v>
      </c>
      <c r="C1277" s="7" t="s">
        <v>124</v>
      </c>
      <c r="D1277" s="10">
        <f>IFERROR(SUMIFS('Base bordo'!G$2:G$746,'Base bordo'!C$2:C$746,A1277,'Base bordo'!B$2:B$746,B1277,'Base bordo'!F$2:F$746,"DESLOCAMENTO VAZIO"),0)</f>
        <v>4.3047222222222219</v>
      </c>
      <c r="E1277" s="10">
        <f>IFERROR(SUMIFS('Base bordo'!G$2:G$746,'Base bordo'!C$2:C$746,A1277,'Base bordo'!B$2:B$746,B1277,'Base bordo'!F$2:F$746,"DESLOCAMENTO CARREGADO"),0)</f>
        <v>5.5750000000000002</v>
      </c>
      <c r="F1277" s="10">
        <f>IFERROR(SUMIFS('Base bordo'!G$2:G$746,'Base bordo'!C$2:C$746,A1277,'Base bordo'!B$2:B$746,B1277,'Base bordo'!F$2:F$746,"DESLOCAMENTO"),0)</f>
        <v>0</v>
      </c>
      <c r="G1277" s="10">
        <f>IFERROR(SUMIFS('Base bordo'!G$2:G$746,'Base bordo'!C$2:C$746,A1277,'Base bordo'!B$2:B$746,B1277,'Base bordo'!F$2:F$746,"CARREGAMENTO"),0)</f>
        <v>0</v>
      </c>
      <c r="H1277" s="10">
        <f>IFERROR(SUMIFS('Base bordo'!G$2:G$746,'Base bordo'!C$2:C$746,A1277,'Base bordo'!B$2:B$746,B1277,'Base bordo'!F$2:F$746,"AGUARDANDO TRANSBORDO"),0)</f>
        <v>0.92527777777777775</v>
      </c>
      <c r="I1277" s="10">
        <f>IFERROR(SUMIFS('Base bordo'!G$2:G$746,'Base bordo'!C$2:C$746,A1277,'Base bordo'!B$2:B$746,B1277,'Base bordo'!F$2:F$746,"PÁTIO INTERNO"),0)+IFERROR(SUMIFS('Base bordo'!G$2:G$746,'Base bordo'!C$2:C$746,A1277,'Base bordo'!B$2:B$746,B1277,'Base bordo'!F$2:F$746,"PÁTIO EXTERNO"),0)+IFERROR(SUMIFS('Base bordo'!G$2:G$746,'Base bordo'!C$2:C$746,A1277,'Base bordo'!B$2:B$746,B1277,'Base bordo'!F$2:F$746,"PATIO - RESERVA"),0)+IFERROR(SUMIFS('Base bordo'!G$2:G$746,'Base bordo'!C$2:C$746,A1277,'Base bordo'!B$2:B$746,B1277,'Base bordo'!F$2:F$746,"MANOBRA CARRETAS-PATIO"),0)</f>
        <v>1.7619444444444445</v>
      </c>
      <c r="J1277" s="10">
        <f>IFERROR(SUMIFS('Base bordo'!G$2:G$746,'Base bordo'!C$2:C$746,A1277,'Base bordo'!B$2:B$746,B1277,'Base bordo'!F$2:F$746,"BALANÇA - ENTRADA"),0)+IFERROR(SUMIFS('Base bordo'!G$2:G$746,'Base bordo'!C$2:C$746,A1277,'Base bordo'!B$2:B$746,B1277,'Base bordo'!F$2:F$746,"BALANÇA - SAÍDA"),0)</f>
        <v>9.6944444444444444E-2</v>
      </c>
      <c r="K1277" s="10">
        <f>IFERROR(SUMIFS('Base bordo'!G$2:G$746,'Base bordo'!C$2:C$746,A1277,'Base bordo'!B$2:B$746,B1277,'Base bordo'!F$2:F$746,"MAN PREVENTIVA - MECANICA"),0)+IFERROR(SUMIFS('Base bordo'!G$2:G$746,'Base bordo'!C$2:C$746,A1277,'Base bordo'!B$2:B$746,B1277,'Base bordo'!F$2:F$746,"MAN CORRETIVA - MECANICA"),0)</f>
        <v>0</v>
      </c>
      <c r="L1277" s="10">
        <f>IFERROR(SUMIFS('Base bordo'!G$2:G$746,'Base bordo'!C$2:C$746,A1277,'Base bordo'!B$2:B$746,B1277,'Base bordo'!F$2:F$746,"MANUTENCAO - T O"),0)+IFERROR(SUMIFS('Base bordo'!G$2:G$746,'Base bordo'!C$2:C$746,A1277,'Base bordo'!B$2:B$746,B1277,'Base bordo'!F$2:F$746,"MANUTENCAO BORRACHARIA"),0)+IFERROR(SUMIFS('Base bordo'!G$2:G$746,'Base bordo'!C$2:C$746,A1277,'Base bordo'!B$2:B$746,B1277,'Base bordo'!F$2:F$746,"MANUTENCAO EXTERNA  CONCESSIONARIA"),0)+IFERROR(SUMIFS('Base bordo'!G$2:G$746,'Base bordo'!C$2:C$746,A1277,'Base bordo'!B$2:B$746,B1277,'Base bordo'!F$2:F$746,"MANUTENCAO TELEMETRIA"),0)</f>
        <v>0</v>
      </c>
      <c r="M1277" s="10">
        <f>IFERROR(SUMIFS('Base bordo'!G$2:G$746,'Base bordo'!C$2:C$746,A1277,'Base bordo'!B$2:B$746,B1277,'Base bordo'!F$2:F$746,"AGUARDANDO MANUTENCAO"),0)</f>
        <v>0</v>
      </c>
      <c r="N1277" s="10">
        <f>IFERROR(SUMIFS('Base bordo'!G$2:G$746,'Base bordo'!C$2:C$746,A1277,'Base bordo'!B$2:B$746,B1277,'Base bordo'!F$2:F$746,"SEM APONTAMENTO"),0)</f>
        <v>0</v>
      </c>
      <c r="O1277" s="10">
        <f t="shared" si="126"/>
        <v>0</v>
      </c>
      <c r="P1277" s="10">
        <f>IFERROR(SUMIFS('Base bordo'!G$2:G$746,'Base bordo'!C$2:C$746,A1277,'Base bordo'!B$2:B$746,B1277),0)</f>
        <v>12.66388888888889</v>
      </c>
      <c r="Q1277" s="10">
        <f>IFERROR(SUMIFS('Base bordo'!H$2:H$746,'Base bordo'!C$2:C$746,A1277,'Base bordo'!B$2:B$746,B1277,'Base bordo'!F$2:F$746,"DESLOCAMENTO VAZIO"),0)</f>
        <v>535356.59</v>
      </c>
      <c r="R1277" s="10">
        <f>IFERROR(SUMIFS('Base bordo'!I$2:I$746,'Base bordo'!C$2:C$746,A1277,'Base bordo'!B$2:B$746,B1277,'Base bordo'!F$2:F$746,"DESLOCAMENTO VAZIO"),0)</f>
        <v>15497</v>
      </c>
      <c r="S1277" s="30">
        <f t="shared" si="127"/>
        <v>34.545821126669679</v>
      </c>
      <c r="T1277" s="10">
        <f>IFERROR(SUMIFS('Base bordo'!H$2:H$746,'Base bordo'!C$2:C$746,A1277,'Base bordo'!B$2:B$746,B1277,'Base bordo'!F$2:F$746,"DESLOCAMENTO CARREGADO"),0)</f>
        <v>488002.63</v>
      </c>
      <c r="U1277" s="10">
        <f>IFERROR(SUMIFS('Base bordo'!I$2:I$746,'Base bordo'!C$2:C$746,A1277,'Base bordo'!B$2:B$746,B1277,'Base bordo'!F$2:F$746,"DESLOCAMENTO CARREGADO"),0)</f>
        <v>20070</v>
      </c>
      <c r="V1277" s="30">
        <f t="shared" si="128"/>
        <v>24.31502889885401</v>
      </c>
      <c r="W1277" s="9">
        <f t="shared" si="129"/>
        <v>0.33992103531476198</v>
      </c>
      <c r="X1277" s="9">
        <f t="shared" si="130"/>
        <v>0.44022812020179863</v>
      </c>
      <c r="Y1277" s="9">
        <f t="shared" si="131"/>
        <v>0.21985084448343939</v>
      </c>
    </row>
    <row r="1278" spans="1:25" ht="15" customHeight="1" x14ac:dyDescent="0.35">
      <c r="A1278" s="52">
        <v>8013474</v>
      </c>
      <c r="B1278" s="51">
        <v>46124</v>
      </c>
      <c r="C1278" s="7" t="s">
        <v>124</v>
      </c>
      <c r="D1278" s="10">
        <f>IFERROR(SUMIFS('Base bordo'!G$2:G$746,'Base bordo'!C$2:C$746,A1278,'Base bordo'!B$2:B$746,B1278,'Base bordo'!F$2:F$746,"DESLOCAMENTO VAZIO"),0)</f>
        <v>4.3047222222222219</v>
      </c>
      <c r="E1278" s="10">
        <f>IFERROR(SUMIFS('Base bordo'!G$2:G$746,'Base bordo'!C$2:C$746,A1278,'Base bordo'!B$2:B$746,B1278,'Base bordo'!F$2:F$746,"DESLOCAMENTO CARREGADO"),0)</f>
        <v>5.5750000000000002</v>
      </c>
      <c r="F1278" s="10">
        <f>IFERROR(SUMIFS('Base bordo'!G$2:G$746,'Base bordo'!C$2:C$746,A1278,'Base bordo'!B$2:B$746,B1278,'Base bordo'!F$2:F$746,"DESLOCAMENTO"),0)</f>
        <v>0</v>
      </c>
      <c r="G1278" s="10">
        <f>IFERROR(SUMIFS('Base bordo'!G$2:G$746,'Base bordo'!C$2:C$746,A1278,'Base bordo'!B$2:B$746,B1278,'Base bordo'!F$2:F$746,"CARREGAMENTO"),0)</f>
        <v>0</v>
      </c>
      <c r="H1278" s="10">
        <f>IFERROR(SUMIFS('Base bordo'!G$2:G$746,'Base bordo'!C$2:C$746,A1278,'Base bordo'!B$2:B$746,B1278,'Base bordo'!F$2:F$746,"AGUARDANDO TRANSBORDO"),0)</f>
        <v>0.92527777777777775</v>
      </c>
      <c r="I1278" s="10">
        <f>IFERROR(SUMIFS('Base bordo'!G$2:G$746,'Base bordo'!C$2:C$746,A1278,'Base bordo'!B$2:B$746,B1278,'Base bordo'!F$2:F$746,"PÁTIO INTERNO"),0)+IFERROR(SUMIFS('Base bordo'!G$2:G$746,'Base bordo'!C$2:C$746,A1278,'Base bordo'!B$2:B$746,B1278,'Base bordo'!F$2:F$746,"PÁTIO EXTERNO"),0)+IFERROR(SUMIFS('Base bordo'!G$2:G$746,'Base bordo'!C$2:C$746,A1278,'Base bordo'!B$2:B$746,B1278,'Base bordo'!F$2:F$746,"PATIO - RESERVA"),0)+IFERROR(SUMIFS('Base bordo'!G$2:G$746,'Base bordo'!C$2:C$746,A1278,'Base bordo'!B$2:B$746,B1278,'Base bordo'!F$2:F$746,"MANOBRA CARRETAS-PATIO"),0)</f>
        <v>1.7619444444444445</v>
      </c>
      <c r="J1278" s="10">
        <f>IFERROR(SUMIFS('Base bordo'!G$2:G$746,'Base bordo'!C$2:C$746,A1278,'Base bordo'!B$2:B$746,B1278,'Base bordo'!F$2:F$746,"BALANÇA - ENTRADA"),0)+IFERROR(SUMIFS('Base bordo'!G$2:G$746,'Base bordo'!C$2:C$746,A1278,'Base bordo'!B$2:B$746,B1278,'Base bordo'!F$2:F$746,"BALANÇA - SAÍDA"),0)</f>
        <v>9.6944444444444444E-2</v>
      </c>
      <c r="K1278" s="10">
        <f>IFERROR(SUMIFS('Base bordo'!G$2:G$746,'Base bordo'!C$2:C$746,A1278,'Base bordo'!B$2:B$746,B1278,'Base bordo'!F$2:F$746,"MAN PREVENTIVA - MECANICA"),0)+IFERROR(SUMIFS('Base bordo'!G$2:G$746,'Base bordo'!C$2:C$746,A1278,'Base bordo'!B$2:B$746,B1278,'Base bordo'!F$2:F$746,"MAN CORRETIVA - MECANICA"),0)</f>
        <v>0</v>
      </c>
      <c r="L1278" s="10">
        <f>IFERROR(SUMIFS('Base bordo'!G$2:G$746,'Base bordo'!C$2:C$746,A1278,'Base bordo'!B$2:B$746,B1278,'Base bordo'!F$2:F$746,"MANUTENCAO - T O"),0)+IFERROR(SUMIFS('Base bordo'!G$2:G$746,'Base bordo'!C$2:C$746,A1278,'Base bordo'!B$2:B$746,B1278,'Base bordo'!F$2:F$746,"MANUTENCAO BORRACHARIA"),0)+IFERROR(SUMIFS('Base bordo'!G$2:G$746,'Base bordo'!C$2:C$746,A1278,'Base bordo'!B$2:B$746,B1278,'Base bordo'!F$2:F$746,"MANUTENCAO EXTERNA  CONCESSIONARIA"),0)+IFERROR(SUMIFS('Base bordo'!G$2:G$746,'Base bordo'!C$2:C$746,A1278,'Base bordo'!B$2:B$746,B1278,'Base bordo'!F$2:F$746,"MANUTENCAO TELEMETRIA"),0)</f>
        <v>0</v>
      </c>
      <c r="M1278" s="10">
        <f>IFERROR(SUMIFS('Base bordo'!G$2:G$746,'Base bordo'!C$2:C$746,A1278,'Base bordo'!B$2:B$746,B1278,'Base bordo'!F$2:F$746,"AGUARDANDO MANUTENCAO"),0)</f>
        <v>0</v>
      </c>
      <c r="N1278" s="10">
        <f>IFERROR(SUMIFS('Base bordo'!G$2:G$746,'Base bordo'!C$2:C$746,A1278,'Base bordo'!B$2:B$746,B1278,'Base bordo'!F$2:F$746,"SEM APONTAMENTO"),0)</f>
        <v>0</v>
      </c>
      <c r="O1278" s="10">
        <f t="shared" si="126"/>
        <v>0</v>
      </c>
      <c r="P1278" s="10">
        <f>IFERROR(SUMIFS('Base bordo'!G$2:G$746,'Base bordo'!C$2:C$746,A1278,'Base bordo'!B$2:B$746,B1278),0)</f>
        <v>12.66388888888889</v>
      </c>
      <c r="Q1278" s="10">
        <f>IFERROR(SUMIFS('Base bordo'!H$2:H$746,'Base bordo'!C$2:C$746,A1278,'Base bordo'!B$2:B$746,B1278,'Base bordo'!F$2:F$746,"DESLOCAMENTO VAZIO"),0)</f>
        <v>535356.59</v>
      </c>
      <c r="R1278" s="10">
        <f>IFERROR(SUMIFS('Base bordo'!I$2:I$746,'Base bordo'!C$2:C$746,A1278,'Base bordo'!B$2:B$746,B1278,'Base bordo'!F$2:F$746,"DESLOCAMENTO VAZIO"),0)</f>
        <v>15497</v>
      </c>
      <c r="S1278" s="30">
        <f t="shared" si="127"/>
        <v>34.545821126669679</v>
      </c>
      <c r="T1278" s="10">
        <f>IFERROR(SUMIFS('Base bordo'!H$2:H$746,'Base bordo'!C$2:C$746,A1278,'Base bordo'!B$2:B$746,B1278,'Base bordo'!F$2:F$746,"DESLOCAMENTO CARREGADO"),0)</f>
        <v>488002.63</v>
      </c>
      <c r="U1278" s="10">
        <f>IFERROR(SUMIFS('Base bordo'!I$2:I$746,'Base bordo'!C$2:C$746,A1278,'Base bordo'!B$2:B$746,B1278,'Base bordo'!F$2:F$746,"DESLOCAMENTO CARREGADO"),0)</f>
        <v>20070</v>
      </c>
      <c r="V1278" s="30">
        <f t="shared" si="128"/>
        <v>24.31502889885401</v>
      </c>
      <c r="W1278" s="9">
        <f t="shared" si="129"/>
        <v>0.33992103531476198</v>
      </c>
      <c r="X1278" s="9">
        <f t="shared" si="130"/>
        <v>0.44022812020179863</v>
      </c>
      <c r="Y1278" s="9">
        <f t="shared" si="131"/>
        <v>0.21985084448343939</v>
      </c>
    </row>
    <row r="1279" spans="1:25" ht="15" customHeight="1" x14ac:dyDescent="0.35">
      <c r="A1279" s="52">
        <v>8013474</v>
      </c>
      <c r="B1279" s="51">
        <v>46124</v>
      </c>
      <c r="C1279" s="7" t="s">
        <v>124</v>
      </c>
      <c r="D1279" s="10">
        <f>IFERROR(SUMIFS('Base bordo'!G$2:G$746,'Base bordo'!C$2:C$746,A1279,'Base bordo'!B$2:B$746,B1279,'Base bordo'!F$2:F$746,"DESLOCAMENTO VAZIO"),0)</f>
        <v>4.3047222222222219</v>
      </c>
      <c r="E1279" s="10">
        <f>IFERROR(SUMIFS('Base bordo'!G$2:G$746,'Base bordo'!C$2:C$746,A1279,'Base bordo'!B$2:B$746,B1279,'Base bordo'!F$2:F$746,"DESLOCAMENTO CARREGADO"),0)</f>
        <v>5.5750000000000002</v>
      </c>
      <c r="F1279" s="10">
        <f>IFERROR(SUMIFS('Base bordo'!G$2:G$746,'Base bordo'!C$2:C$746,A1279,'Base bordo'!B$2:B$746,B1279,'Base bordo'!F$2:F$746,"DESLOCAMENTO"),0)</f>
        <v>0</v>
      </c>
      <c r="G1279" s="10">
        <f>IFERROR(SUMIFS('Base bordo'!G$2:G$746,'Base bordo'!C$2:C$746,A1279,'Base bordo'!B$2:B$746,B1279,'Base bordo'!F$2:F$746,"CARREGAMENTO"),0)</f>
        <v>0</v>
      </c>
      <c r="H1279" s="10">
        <f>IFERROR(SUMIFS('Base bordo'!G$2:G$746,'Base bordo'!C$2:C$746,A1279,'Base bordo'!B$2:B$746,B1279,'Base bordo'!F$2:F$746,"AGUARDANDO TRANSBORDO"),0)</f>
        <v>0.92527777777777775</v>
      </c>
      <c r="I1279" s="10">
        <f>IFERROR(SUMIFS('Base bordo'!G$2:G$746,'Base bordo'!C$2:C$746,A1279,'Base bordo'!B$2:B$746,B1279,'Base bordo'!F$2:F$746,"PÁTIO INTERNO"),0)+IFERROR(SUMIFS('Base bordo'!G$2:G$746,'Base bordo'!C$2:C$746,A1279,'Base bordo'!B$2:B$746,B1279,'Base bordo'!F$2:F$746,"PÁTIO EXTERNO"),0)+IFERROR(SUMIFS('Base bordo'!G$2:G$746,'Base bordo'!C$2:C$746,A1279,'Base bordo'!B$2:B$746,B1279,'Base bordo'!F$2:F$746,"PATIO - RESERVA"),0)+IFERROR(SUMIFS('Base bordo'!G$2:G$746,'Base bordo'!C$2:C$746,A1279,'Base bordo'!B$2:B$746,B1279,'Base bordo'!F$2:F$746,"MANOBRA CARRETAS-PATIO"),0)</f>
        <v>1.7619444444444445</v>
      </c>
      <c r="J1279" s="10">
        <f>IFERROR(SUMIFS('Base bordo'!G$2:G$746,'Base bordo'!C$2:C$746,A1279,'Base bordo'!B$2:B$746,B1279,'Base bordo'!F$2:F$746,"BALANÇA - ENTRADA"),0)+IFERROR(SUMIFS('Base bordo'!G$2:G$746,'Base bordo'!C$2:C$746,A1279,'Base bordo'!B$2:B$746,B1279,'Base bordo'!F$2:F$746,"BALANÇA - SAÍDA"),0)</f>
        <v>9.6944444444444444E-2</v>
      </c>
      <c r="K1279" s="10">
        <f>IFERROR(SUMIFS('Base bordo'!G$2:G$746,'Base bordo'!C$2:C$746,A1279,'Base bordo'!B$2:B$746,B1279,'Base bordo'!F$2:F$746,"MAN PREVENTIVA - MECANICA"),0)+IFERROR(SUMIFS('Base bordo'!G$2:G$746,'Base bordo'!C$2:C$746,A1279,'Base bordo'!B$2:B$746,B1279,'Base bordo'!F$2:F$746,"MAN CORRETIVA - MECANICA"),0)</f>
        <v>0</v>
      </c>
      <c r="L1279" s="10">
        <f>IFERROR(SUMIFS('Base bordo'!G$2:G$746,'Base bordo'!C$2:C$746,A1279,'Base bordo'!B$2:B$746,B1279,'Base bordo'!F$2:F$746,"MANUTENCAO - T O"),0)+IFERROR(SUMIFS('Base bordo'!G$2:G$746,'Base bordo'!C$2:C$746,A1279,'Base bordo'!B$2:B$746,B1279,'Base bordo'!F$2:F$746,"MANUTENCAO BORRACHARIA"),0)+IFERROR(SUMIFS('Base bordo'!G$2:G$746,'Base bordo'!C$2:C$746,A1279,'Base bordo'!B$2:B$746,B1279,'Base bordo'!F$2:F$746,"MANUTENCAO EXTERNA  CONCESSIONARIA"),0)+IFERROR(SUMIFS('Base bordo'!G$2:G$746,'Base bordo'!C$2:C$746,A1279,'Base bordo'!B$2:B$746,B1279,'Base bordo'!F$2:F$746,"MANUTENCAO TELEMETRIA"),0)</f>
        <v>0</v>
      </c>
      <c r="M1279" s="10">
        <f>IFERROR(SUMIFS('Base bordo'!G$2:G$746,'Base bordo'!C$2:C$746,A1279,'Base bordo'!B$2:B$746,B1279,'Base bordo'!F$2:F$746,"AGUARDANDO MANUTENCAO"),0)</f>
        <v>0</v>
      </c>
      <c r="N1279" s="10">
        <f>IFERROR(SUMIFS('Base bordo'!G$2:G$746,'Base bordo'!C$2:C$746,A1279,'Base bordo'!B$2:B$746,B1279,'Base bordo'!F$2:F$746,"SEM APONTAMENTO"),0)</f>
        <v>0</v>
      </c>
      <c r="O1279" s="10">
        <f t="shared" si="126"/>
        <v>0</v>
      </c>
      <c r="P1279" s="10">
        <f>IFERROR(SUMIFS('Base bordo'!G$2:G$746,'Base bordo'!C$2:C$746,A1279,'Base bordo'!B$2:B$746,B1279),0)</f>
        <v>12.66388888888889</v>
      </c>
      <c r="Q1279" s="10">
        <f>IFERROR(SUMIFS('Base bordo'!H$2:H$746,'Base bordo'!C$2:C$746,A1279,'Base bordo'!B$2:B$746,B1279,'Base bordo'!F$2:F$746,"DESLOCAMENTO VAZIO"),0)</f>
        <v>535356.59</v>
      </c>
      <c r="R1279" s="10">
        <f>IFERROR(SUMIFS('Base bordo'!I$2:I$746,'Base bordo'!C$2:C$746,A1279,'Base bordo'!B$2:B$746,B1279,'Base bordo'!F$2:F$746,"DESLOCAMENTO VAZIO"),0)</f>
        <v>15497</v>
      </c>
      <c r="S1279" s="30">
        <f t="shared" si="127"/>
        <v>34.545821126669679</v>
      </c>
      <c r="T1279" s="10">
        <f>IFERROR(SUMIFS('Base bordo'!H$2:H$746,'Base bordo'!C$2:C$746,A1279,'Base bordo'!B$2:B$746,B1279,'Base bordo'!F$2:F$746,"DESLOCAMENTO CARREGADO"),0)</f>
        <v>488002.63</v>
      </c>
      <c r="U1279" s="10">
        <f>IFERROR(SUMIFS('Base bordo'!I$2:I$746,'Base bordo'!C$2:C$746,A1279,'Base bordo'!B$2:B$746,B1279,'Base bordo'!F$2:F$746,"DESLOCAMENTO CARREGADO"),0)</f>
        <v>20070</v>
      </c>
      <c r="V1279" s="30">
        <f t="shared" si="128"/>
        <v>24.31502889885401</v>
      </c>
      <c r="W1279" s="9">
        <f t="shared" si="129"/>
        <v>0.33992103531476198</v>
      </c>
      <c r="X1279" s="9">
        <f t="shared" si="130"/>
        <v>0.44022812020179863</v>
      </c>
      <c r="Y1279" s="9">
        <f t="shared" si="131"/>
        <v>0.21985084448343939</v>
      </c>
    </row>
    <row r="1280" spans="1:25" ht="15" customHeight="1" x14ac:dyDescent="0.35">
      <c r="A1280" s="52">
        <v>8013474</v>
      </c>
      <c r="B1280" s="51">
        <v>46124</v>
      </c>
      <c r="C1280" s="7" t="s">
        <v>124</v>
      </c>
      <c r="D1280" s="10">
        <f>IFERROR(SUMIFS('Base bordo'!G$2:G$746,'Base bordo'!C$2:C$746,A1280,'Base bordo'!B$2:B$746,B1280,'Base bordo'!F$2:F$746,"DESLOCAMENTO VAZIO"),0)</f>
        <v>4.3047222222222219</v>
      </c>
      <c r="E1280" s="10">
        <f>IFERROR(SUMIFS('Base bordo'!G$2:G$746,'Base bordo'!C$2:C$746,A1280,'Base bordo'!B$2:B$746,B1280,'Base bordo'!F$2:F$746,"DESLOCAMENTO CARREGADO"),0)</f>
        <v>5.5750000000000002</v>
      </c>
      <c r="F1280" s="10">
        <f>IFERROR(SUMIFS('Base bordo'!G$2:G$746,'Base bordo'!C$2:C$746,A1280,'Base bordo'!B$2:B$746,B1280,'Base bordo'!F$2:F$746,"DESLOCAMENTO"),0)</f>
        <v>0</v>
      </c>
      <c r="G1280" s="10">
        <f>IFERROR(SUMIFS('Base bordo'!G$2:G$746,'Base bordo'!C$2:C$746,A1280,'Base bordo'!B$2:B$746,B1280,'Base bordo'!F$2:F$746,"CARREGAMENTO"),0)</f>
        <v>0</v>
      </c>
      <c r="H1280" s="10">
        <f>IFERROR(SUMIFS('Base bordo'!G$2:G$746,'Base bordo'!C$2:C$746,A1280,'Base bordo'!B$2:B$746,B1280,'Base bordo'!F$2:F$746,"AGUARDANDO TRANSBORDO"),0)</f>
        <v>0.92527777777777775</v>
      </c>
      <c r="I1280" s="10">
        <f>IFERROR(SUMIFS('Base bordo'!G$2:G$746,'Base bordo'!C$2:C$746,A1280,'Base bordo'!B$2:B$746,B1280,'Base bordo'!F$2:F$746,"PÁTIO INTERNO"),0)+IFERROR(SUMIFS('Base bordo'!G$2:G$746,'Base bordo'!C$2:C$746,A1280,'Base bordo'!B$2:B$746,B1280,'Base bordo'!F$2:F$746,"PÁTIO EXTERNO"),0)+IFERROR(SUMIFS('Base bordo'!G$2:G$746,'Base bordo'!C$2:C$746,A1280,'Base bordo'!B$2:B$746,B1280,'Base bordo'!F$2:F$746,"PATIO - RESERVA"),0)+IFERROR(SUMIFS('Base bordo'!G$2:G$746,'Base bordo'!C$2:C$746,A1280,'Base bordo'!B$2:B$746,B1280,'Base bordo'!F$2:F$746,"MANOBRA CARRETAS-PATIO"),0)</f>
        <v>1.7619444444444445</v>
      </c>
      <c r="J1280" s="10">
        <f>IFERROR(SUMIFS('Base bordo'!G$2:G$746,'Base bordo'!C$2:C$746,A1280,'Base bordo'!B$2:B$746,B1280,'Base bordo'!F$2:F$746,"BALANÇA - ENTRADA"),0)+IFERROR(SUMIFS('Base bordo'!G$2:G$746,'Base bordo'!C$2:C$746,A1280,'Base bordo'!B$2:B$746,B1280,'Base bordo'!F$2:F$746,"BALANÇA - SAÍDA"),0)</f>
        <v>9.6944444444444444E-2</v>
      </c>
      <c r="K1280" s="10">
        <f>IFERROR(SUMIFS('Base bordo'!G$2:G$746,'Base bordo'!C$2:C$746,A1280,'Base bordo'!B$2:B$746,B1280,'Base bordo'!F$2:F$746,"MAN PREVENTIVA - MECANICA"),0)+IFERROR(SUMIFS('Base bordo'!G$2:G$746,'Base bordo'!C$2:C$746,A1280,'Base bordo'!B$2:B$746,B1280,'Base bordo'!F$2:F$746,"MAN CORRETIVA - MECANICA"),0)</f>
        <v>0</v>
      </c>
      <c r="L1280" s="10">
        <f>IFERROR(SUMIFS('Base bordo'!G$2:G$746,'Base bordo'!C$2:C$746,A1280,'Base bordo'!B$2:B$746,B1280,'Base bordo'!F$2:F$746,"MANUTENCAO - T O"),0)+IFERROR(SUMIFS('Base bordo'!G$2:G$746,'Base bordo'!C$2:C$746,A1280,'Base bordo'!B$2:B$746,B1280,'Base bordo'!F$2:F$746,"MANUTENCAO BORRACHARIA"),0)+IFERROR(SUMIFS('Base bordo'!G$2:G$746,'Base bordo'!C$2:C$746,A1280,'Base bordo'!B$2:B$746,B1280,'Base bordo'!F$2:F$746,"MANUTENCAO EXTERNA  CONCESSIONARIA"),0)+IFERROR(SUMIFS('Base bordo'!G$2:G$746,'Base bordo'!C$2:C$746,A1280,'Base bordo'!B$2:B$746,B1280,'Base bordo'!F$2:F$746,"MANUTENCAO TELEMETRIA"),0)</f>
        <v>0</v>
      </c>
      <c r="M1280" s="10">
        <f>IFERROR(SUMIFS('Base bordo'!G$2:G$746,'Base bordo'!C$2:C$746,A1280,'Base bordo'!B$2:B$746,B1280,'Base bordo'!F$2:F$746,"AGUARDANDO MANUTENCAO"),0)</f>
        <v>0</v>
      </c>
      <c r="N1280" s="10">
        <f>IFERROR(SUMIFS('Base bordo'!G$2:G$746,'Base bordo'!C$2:C$746,A1280,'Base bordo'!B$2:B$746,B1280,'Base bordo'!F$2:F$746,"SEM APONTAMENTO"),0)</f>
        <v>0</v>
      </c>
      <c r="O1280" s="10">
        <f t="shared" si="126"/>
        <v>0</v>
      </c>
      <c r="P1280" s="10">
        <f>IFERROR(SUMIFS('Base bordo'!G$2:G$746,'Base bordo'!C$2:C$746,A1280,'Base bordo'!B$2:B$746,B1280),0)</f>
        <v>12.66388888888889</v>
      </c>
      <c r="Q1280" s="10">
        <f>IFERROR(SUMIFS('Base bordo'!H$2:H$746,'Base bordo'!C$2:C$746,A1280,'Base bordo'!B$2:B$746,B1280,'Base bordo'!F$2:F$746,"DESLOCAMENTO VAZIO"),0)</f>
        <v>535356.59</v>
      </c>
      <c r="R1280" s="10">
        <f>IFERROR(SUMIFS('Base bordo'!I$2:I$746,'Base bordo'!C$2:C$746,A1280,'Base bordo'!B$2:B$746,B1280,'Base bordo'!F$2:F$746,"DESLOCAMENTO VAZIO"),0)</f>
        <v>15497</v>
      </c>
      <c r="S1280" s="30">
        <f t="shared" si="127"/>
        <v>34.545821126669679</v>
      </c>
      <c r="T1280" s="10">
        <f>IFERROR(SUMIFS('Base bordo'!H$2:H$746,'Base bordo'!C$2:C$746,A1280,'Base bordo'!B$2:B$746,B1280,'Base bordo'!F$2:F$746,"DESLOCAMENTO CARREGADO"),0)</f>
        <v>488002.63</v>
      </c>
      <c r="U1280" s="10">
        <f>IFERROR(SUMIFS('Base bordo'!I$2:I$746,'Base bordo'!C$2:C$746,A1280,'Base bordo'!B$2:B$746,B1280,'Base bordo'!F$2:F$746,"DESLOCAMENTO CARREGADO"),0)</f>
        <v>20070</v>
      </c>
      <c r="V1280" s="30">
        <f t="shared" si="128"/>
        <v>24.31502889885401</v>
      </c>
      <c r="W1280" s="9">
        <f t="shared" si="129"/>
        <v>0.33992103531476198</v>
      </c>
      <c r="X1280" s="9">
        <f t="shared" si="130"/>
        <v>0.44022812020179863</v>
      </c>
      <c r="Y1280" s="9">
        <f t="shared" si="131"/>
        <v>0.21985084448343939</v>
      </c>
    </row>
    <row r="1281" spans="1:25" ht="15" customHeight="1" x14ac:dyDescent="0.35">
      <c r="A1281" s="52">
        <v>8013474</v>
      </c>
      <c r="B1281" s="51">
        <v>46124</v>
      </c>
      <c r="C1281" s="7" t="s">
        <v>124</v>
      </c>
      <c r="D1281" s="10">
        <f>IFERROR(SUMIFS('Base bordo'!G$2:G$746,'Base bordo'!C$2:C$746,A1281,'Base bordo'!B$2:B$746,B1281,'Base bordo'!F$2:F$746,"DESLOCAMENTO VAZIO"),0)</f>
        <v>4.3047222222222219</v>
      </c>
      <c r="E1281" s="10">
        <f>IFERROR(SUMIFS('Base bordo'!G$2:G$746,'Base bordo'!C$2:C$746,A1281,'Base bordo'!B$2:B$746,B1281,'Base bordo'!F$2:F$746,"DESLOCAMENTO CARREGADO"),0)</f>
        <v>5.5750000000000002</v>
      </c>
      <c r="F1281" s="10">
        <f>IFERROR(SUMIFS('Base bordo'!G$2:G$746,'Base bordo'!C$2:C$746,A1281,'Base bordo'!B$2:B$746,B1281,'Base bordo'!F$2:F$746,"DESLOCAMENTO"),0)</f>
        <v>0</v>
      </c>
      <c r="G1281" s="10">
        <f>IFERROR(SUMIFS('Base bordo'!G$2:G$746,'Base bordo'!C$2:C$746,A1281,'Base bordo'!B$2:B$746,B1281,'Base bordo'!F$2:F$746,"CARREGAMENTO"),0)</f>
        <v>0</v>
      </c>
      <c r="H1281" s="10">
        <f>IFERROR(SUMIFS('Base bordo'!G$2:G$746,'Base bordo'!C$2:C$746,A1281,'Base bordo'!B$2:B$746,B1281,'Base bordo'!F$2:F$746,"AGUARDANDO TRANSBORDO"),0)</f>
        <v>0.92527777777777775</v>
      </c>
      <c r="I1281" s="10">
        <f>IFERROR(SUMIFS('Base bordo'!G$2:G$746,'Base bordo'!C$2:C$746,A1281,'Base bordo'!B$2:B$746,B1281,'Base bordo'!F$2:F$746,"PÁTIO INTERNO"),0)+IFERROR(SUMIFS('Base bordo'!G$2:G$746,'Base bordo'!C$2:C$746,A1281,'Base bordo'!B$2:B$746,B1281,'Base bordo'!F$2:F$746,"PÁTIO EXTERNO"),0)+IFERROR(SUMIFS('Base bordo'!G$2:G$746,'Base bordo'!C$2:C$746,A1281,'Base bordo'!B$2:B$746,B1281,'Base bordo'!F$2:F$746,"PATIO - RESERVA"),0)+IFERROR(SUMIFS('Base bordo'!G$2:G$746,'Base bordo'!C$2:C$746,A1281,'Base bordo'!B$2:B$746,B1281,'Base bordo'!F$2:F$746,"MANOBRA CARRETAS-PATIO"),0)</f>
        <v>1.7619444444444445</v>
      </c>
      <c r="J1281" s="10">
        <f>IFERROR(SUMIFS('Base bordo'!G$2:G$746,'Base bordo'!C$2:C$746,A1281,'Base bordo'!B$2:B$746,B1281,'Base bordo'!F$2:F$746,"BALANÇA - ENTRADA"),0)+IFERROR(SUMIFS('Base bordo'!G$2:G$746,'Base bordo'!C$2:C$746,A1281,'Base bordo'!B$2:B$746,B1281,'Base bordo'!F$2:F$746,"BALANÇA - SAÍDA"),0)</f>
        <v>9.6944444444444444E-2</v>
      </c>
      <c r="K1281" s="10">
        <f>IFERROR(SUMIFS('Base bordo'!G$2:G$746,'Base bordo'!C$2:C$746,A1281,'Base bordo'!B$2:B$746,B1281,'Base bordo'!F$2:F$746,"MAN PREVENTIVA - MECANICA"),0)+IFERROR(SUMIFS('Base bordo'!G$2:G$746,'Base bordo'!C$2:C$746,A1281,'Base bordo'!B$2:B$746,B1281,'Base bordo'!F$2:F$746,"MAN CORRETIVA - MECANICA"),0)</f>
        <v>0</v>
      </c>
      <c r="L1281" s="10">
        <f>IFERROR(SUMIFS('Base bordo'!G$2:G$746,'Base bordo'!C$2:C$746,A1281,'Base bordo'!B$2:B$746,B1281,'Base bordo'!F$2:F$746,"MANUTENCAO - T O"),0)+IFERROR(SUMIFS('Base bordo'!G$2:G$746,'Base bordo'!C$2:C$746,A1281,'Base bordo'!B$2:B$746,B1281,'Base bordo'!F$2:F$746,"MANUTENCAO BORRACHARIA"),0)+IFERROR(SUMIFS('Base bordo'!G$2:G$746,'Base bordo'!C$2:C$746,A1281,'Base bordo'!B$2:B$746,B1281,'Base bordo'!F$2:F$746,"MANUTENCAO EXTERNA  CONCESSIONARIA"),0)+IFERROR(SUMIFS('Base bordo'!G$2:G$746,'Base bordo'!C$2:C$746,A1281,'Base bordo'!B$2:B$746,B1281,'Base bordo'!F$2:F$746,"MANUTENCAO TELEMETRIA"),0)</f>
        <v>0</v>
      </c>
      <c r="M1281" s="10">
        <f>IFERROR(SUMIFS('Base bordo'!G$2:G$746,'Base bordo'!C$2:C$746,A1281,'Base bordo'!B$2:B$746,B1281,'Base bordo'!F$2:F$746,"AGUARDANDO MANUTENCAO"),0)</f>
        <v>0</v>
      </c>
      <c r="N1281" s="10">
        <f>IFERROR(SUMIFS('Base bordo'!G$2:G$746,'Base bordo'!C$2:C$746,A1281,'Base bordo'!B$2:B$746,B1281,'Base bordo'!F$2:F$746,"SEM APONTAMENTO"),0)</f>
        <v>0</v>
      </c>
      <c r="O1281" s="10">
        <f t="shared" si="126"/>
        <v>0</v>
      </c>
      <c r="P1281" s="10">
        <f>IFERROR(SUMIFS('Base bordo'!G$2:G$746,'Base bordo'!C$2:C$746,A1281,'Base bordo'!B$2:B$746,B1281),0)</f>
        <v>12.66388888888889</v>
      </c>
      <c r="Q1281" s="10">
        <f>IFERROR(SUMIFS('Base bordo'!H$2:H$746,'Base bordo'!C$2:C$746,A1281,'Base bordo'!B$2:B$746,B1281,'Base bordo'!F$2:F$746,"DESLOCAMENTO VAZIO"),0)</f>
        <v>535356.59</v>
      </c>
      <c r="R1281" s="10">
        <f>IFERROR(SUMIFS('Base bordo'!I$2:I$746,'Base bordo'!C$2:C$746,A1281,'Base bordo'!B$2:B$746,B1281,'Base bordo'!F$2:F$746,"DESLOCAMENTO VAZIO"),0)</f>
        <v>15497</v>
      </c>
      <c r="S1281" s="30">
        <f t="shared" si="127"/>
        <v>34.545821126669679</v>
      </c>
      <c r="T1281" s="10">
        <f>IFERROR(SUMIFS('Base bordo'!H$2:H$746,'Base bordo'!C$2:C$746,A1281,'Base bordo'!B$2:B$746,B1281,'Base bordo'!F$2:F$746,"DESLOCAMENTO CARREGADO"),0)</f>
        <v>488002.63</v>
      </c>
      <c r="U1281" s="10">
        <f>IFERROR(SUMIFS('Base bordo'!I$2:I$746,'Base bordo'!C$2:C$746,A1281,'Base bordo'!B$2:B$746,B1281,'Base bordo'!F$2:F$746,"DESLOCAMENTO CARREGADO"),0)</f>
        <v>20070</v>
      </c>
      <c r="V1281" s="30">
        <f t="shared" si="128"/>
        <v>24.31502889885401</v>
      </c>
      <c r="W1281" s="9">
        <f t="shared" si="129"/>
        <v>0.33992103531476198</v>
      </c>
      <c r="X1281" s="9">
        <f t="shared" si="130"/>
        <v>0.44022812020179863</v>
      </c>
      <c r="Y1281" s="9">
        <f t="shared" si="131"/>
        <v>0.21985084448343939</v>
      </c>
    </row>
    <row r="1282" spans="1:25" ht="15" customHeight="1" x14ac:dyDescent="0.35">
      <c r="A1282" s="52">
        <v>8013474</v>
      </c>
      <c r="B1282" s="51">
        <v>46124</v>
      </c>
      <c r="C1282" s="7" t="s">
        <v>124</v>
      </c>
      <c r="D1282" s="10">
        <f>IFERROR(SUMIFS('Base bordo'!G$2:G$746,'Base bordo'!C$2:C$746,A1282,'Base bordo'!B$2:B$746,B1282,'Base bordo'!F$2:F$746,"DESLOCAMENTO VAZIO"),0)</f>
        <v>4.3047222222222219</v>
      </c>
      <c r="E1282" s="10">
        <f>IFERROR(SUMIFS('Base bordo'!G$2:G$746,'Base bordo'!C$2:C$746,A1282,'Base bordo'!B$2:B$746,B1282,'Base bordo'!F$2:F$746,"DESLOCAMENTO CARREGADO"),0)</f>
        <v>5.5750000000000002</v>
      </c>
      <c r="F1282" s="10">
        <f>IFERROR(SUMIFS('Base bordo'!G$2:G$746,'Base bordo'!C$2:C$746,A1282,'Base bordo'!B$2:B$746,B1282,'Base bordo'!F$2:F$746,"DESLOCAMENTO"),0)</f>
        <v>0</v>
      </c>
      <c r="G1282" s="10">
        <f>IFERROR(SUMIFS('Base bordo'!G$2:G$746,'Base bordo'!C$2:C$746,A1282,'Base bordo'!B$2:B$746,B1282,'Base bordo'!F$2:F$746,"CARREGAMENTO"),0)</f>
        <v>0</v>
      </c>
      <c r="H1282" s="10">
        <f>IFERROR(SUMIFS('Base bordo'!G$2:G$746,'Base bordo'!C$2:C$746,A1282,'Base bordo'!B$2:B$746,B1282,'Base bordo'!F$2:F$746,"AGUARDANDO TRANSBORDO"),0)</f>
        <v>0.92527777777777775</v>
      </c>
      <c r="I1282" s="10">
        <f>IFERROR(SUMIFS('Base bordo'!G$2:G$746,'Base bordo'!C$2:C$746,A1282,'Base bordo'!B$2:B$746,B1282,'Base bordo'!F$2:F$746,"PÁTIO INTERNO"),0)+IFERROR(SUMIFS('Base bordo'!G$2:G$746,'Base bordo'!C$2:C$746,A1282,'Base bordo'!B$2:B$746,B1282,'Base bordo'!F$2:F$746,"PÁTIO EXTERNO"),0)+IFERROR(SUMIFS('Base bordo'!G$2:G$746,'Base bordo'!C$2:C$746,A1282,'Base bordo'!B$2:B$746,B1282,'Base bordo'!F$2:F$746,"PATIO - RESERVA"),0)+IFERROR(SUMIFS('Base bordo'!G$2:G$746,'Base bordo'!C$2:C$746,A1282,'Base bordo'!B$2:B$746,B1282,'Base bordo'!F$2:F$746,"MANOBRA CARRETAS-PATIO"),0)</f>
        <v>1.7619444444444445</v>
      </c>
      <c r="J1282" s="10">
        <f>IFERROR(SUMIFS('Base bordo'!G$2:G$746,'Base bordo'!C$2:C$746,A1282,'Base bordo'!B$2:B$746,B1282,'Base bordo'!F$2:F$746,"BALANÇA - ENTRADA"),0)+IFERROR(SUMIFS('Base bordo'!G$2:G$746,'Base bordo'!C$2:C$746,A1282,'Base bordo'!B$2:B$746,B1282,'Base bordo'!F$2:F$746,"BALANÇA - SAÍDA"),0)</f>
        <v>9.6944444444444444E-2</v>
      </c>
      <c r="K1282" s="10">
        <f>IFERROR(SUMIFS('Base bordo'!G$2:G$746,'Base bordo'!C$2:C$746,A1282,'Base bordo'!B$2:B$746,B1282,'Base bordo'!F$2:F$746,"MAN PREVENTIVA - MECANICA"),0)+IFERROR(SUMIFS('Base bordo'!G$2:G$746,'Base bordo'!C$2:C$746,A1282,'Base bordo'!B$2:B$746,B1282,'Base bordo'!F$2:F$746,"MAN CORRETIVA - MECANICA"),0)</f>
        <v>0</v>
      </c>
      <c r="L1282" s="10">
        <f>IFERROR(SUMIFS('Base bordo'!G$2:G$746,'Base bordo'!C$2:C$746,A1282,'Base bordo'!B$2:B$746,B1282,'Base bordo'!F$2:F$746,"MANUTENCAO - T O"),0)+IFERROR(SUMIFS('Base bordo'!G$2:G$746,'Base bordo'!C$2:C$746,A1282,'Base bordo'!B$2:B$746,B1282,'Base bordo'!F$2:F$746,"MANUTENCAO BORRACHARIA"),0)+IFERROR(SUMIFS('Base bordo'!G$2:G$746,'Base bordo'!C$2:C$746,A1282,'Base bordo'!B$2:B$746,B1282,'Base bordo'!F$2:F$746,"MANUTENCAO EXTERNA  CONCESSIONARIA"),0)+IFERROR(SUMIFS('Base bordo'!G$2:G$746,'Base bordo'!C$2:C$746,A1282,'Base bordo'!B$2:B$746,B1282,'Base bordo'!F$2:F$746,"MANUTENCAO TELEMETRIA"),0)</f>
        <v>0</v>
      </c>
      <c r="M1282" s="10">
        <f>IFERROR(SUMIFS('Base bordo'!G$2:G$746,'Base bordo'!C$2:C$746,A1282,'Base bordo'!B$2:B$746,B1282,'Base bordo'!F$2:F$746,"AGUARDANDO MANUTENCAO"),0)</f>
        <v>0</v>
      </c>
      <c r="N1282" s="10">
        <f>IFERROR(SUMIFS('Base bordo'!G$2:G$746,'Base bordo'!C$2:C$746,A1282,'Base bordo'!B$2:B$746,B1282,'Base bordo'!F$2:F$746,"SEM APONTAMENTO"),0)</f>
        <v>0</v>
      </c>
      <c r="O1282" s="10">
        <f t="shared" si="126"/>
        <v>0</v>
      </c>
      <c r="P1282" s="10">
        <f>IFERROR(SUMIFS('Base bordo'!G$2:G$746,'Base bordo'!C$2:C$746,A1282,'Base bordo'!B$2:B$746,B1282),0)</f>
        <v>12.66388888888889</v>
      </c>
      <c r="Q1282" s="10">
        <f>IFERROR(SUMIFS('Base bordo'!H$2:H$746,'Base bordo'!C$2:C$746,A1282,'Base bordo'!B$2:B$746,B1282,'Base bordo'!F$2:F$746,"DESLOCAMENTO VAZIO"),0)</f>
        <v>535356.59</v>
      </c>
      <c r="R1282" s="10">
        <f>IFERROR(SUMIFS('Base bordo'!I$2:I$746,'Base bordo'!C$2:C$746,A1282,'Base bordo'!B$2:B$746,B1282,'Base bordo'!F$2:F$746,"DESLOCAMENTO VAZIO"),0)</f>
        <v>15497</v>
      </c>
      <c r="S1282" s="30">
        <f t="shared" si="127"/>
        <v>34.545821126669679</v>
      </c>
      <c r="T1282" s="10">
        <f>IFERROR(SUMIFS('Base bordo'!H$2:H$746,'Base bordo'!C$2:C$746,A1282,'Base bordo'!B$2:B$746,B1282,'Base bordo'!F$2:F$746,"DESLOCAMENTO CARREGADO"),0)</f>
        <v>488002.63</v>
      </c>
      <c r="U1282" s="10">
        <f>IFERROR(SUMIFS('Base bordo'!I$2:I$746,'Base bordo'!C$2:C$746,A1282,'Base bordo'!B$2:B$746,B1282,'Base bordo'!F$2:F$746,"DESLOCAMENTO CARREGADO"),0)</f>
        <v>20070</v>
      </c>
      <c r="V1282" s="30">
        <f t="shared" si="128"/>
        <v>24.31502889885401</v>
      </c>
      <c r="W1282" s="9">
        <f t="shared" si="129"/>
        <v>0.33992103531476198</v>
      </c>
      <c r="X1282" s="9">
        <f t="shared" si="130"/>
        <v>0.44022812020179863</v>
      </c>
      <c r="Y1282" s="9">
        <f t="shared" si="131"/>
        <v>0.21985084448343939</v>
      </c>
    </row>
    <row r="1283" spans="1:25" ht="15" customHeight="1" x14ac:dyDescent="0.35">
      <c r="A1283" s="52">
        <v>8013474</v>
      </c>
      <c r="B1283" s="51">
        <v>46124</v>
      </c>
      <c r="C1283" s="7" t="s">
        <v>124</v>
      </c>
      <c r="D1283" s="10">
        <f>IFERROR(SUMIFS('Base bordo'!G$2:G$746,'Base bordo'!C$2:C$746,A1283,'Base bordo'!B$2:B$746,B1283,'Base bordo'!F$2:F$746,"DESLOCAMENTO VAZIO"),0)</f>
        <v>4.3047222222222219</v>
      </c>
      <c r="E1283" s="10">
        <f>IFERROR(SUMIFS('Base bordo'!G$2:G$746,'Base bordo'!C$2:C$746,A1283,'Base bordo'!B$2:B$746,B1283,'Base bordo'!F$2:F$746,"DESLOCAMENTO CARREGADO"),0)</f>
        <v>5.5750000000000002</v>
      </c>
      <c r="F1283" s="10">
        <f>IFERROR(SUMIFS('Base bordo'!G$2:G$746,'Base bordo'!C$2:C$746,A1283,'Base bordo'!B$2:B$746,B1283,'Base bordo'!F$2:F$746,"DESLOCAMENTO"),0)</f>
        <v>0</v>
      </c>
      <c r="G1283" s="10">
        <f>IFERROR(SUMIFS('Base bordo'!G$2:G$746,'Base bordo'!C$2:C$746,A1283,'Base bordo'!B$2:B$746,B1283,'Base bordo'!F$2:F$746,"CARREGAMENTO"),0)</f>
        <v>0</v>
      </c>
      <c r="H1283" s="10">
        <f>IFERROR(SUMIFS('Base bordo'!G$2:G$746,'Base bordo'!C$2:C$746,A1283,'Base bordo'!B$2:B$746,B1283,'Base bordo'!F$2:F$746,"AGUARDANDO TRANSBORDO"),0)</f>
        <v>0.92527777777777775</v>
      </c>
      <c r="I1283" s="10">
        <f>IFERROR(SUMIFS('Base bordo'!G$2:G$746,'Base bordo'!C$2:C$746,A1283,'Base bordo'!B$2:B$746,B1283,'Base bordo'!F$2:F$746,"PÁTIO INTERNO"),0)+IFERROR(SUMIFS('Base bordo'!G$2:G$746,'Base bordo'!C$2:C$746,A1283,'Base bordo'!B$2:B$746,B1283,'Base bordo'!F$2:F$746,"PÁTIO EXTERNO"),0)+IFERROR(SUMIFS('Base bordo'!G$2:G$746,'Base bordo'!C$2:C$746,A1283,'Base bordo'!B$2:B$746,B1283,'Base bordo'!F$2:F$746,"PATIO - RESERVA"),0)+IFERROR(SUMIFS('Base bordo'!G$2:G$746,'Base bordo'!C$2:C$746,A1283,'Base bordo'!B$2:B$746,B1283,'Base bordo'!F$2:F$746,"MANOBRA CARRETAS-PATIO"),0)</f>
        <v>1.7619444444444445</v>
      </c>
      <c r="J1283" s="10">
        <f>IFERROR(SUMIFS('Base bordo'!G$2:G$746,'Base bordo'!C$2:C$746,A1283,'Base bordo'!B$2:B$746,B1283,'Base bordo'!F$2:F$746,"BALANÇA - ENTRADA"),0)+IFERROR(SUMIFS('Base bordo'!G$2:G$746,'Base bordo'!C$2:C$746,A1283,'Base bordo'!B$2:B$746,B1283,'Base bordo'!F$2:F$746,"BALANÇA - SAÍDA"),0)</f>
        <v>9.6944444444444444E-2</v>
      </c>
      <c r="K1283" s="10">
        <f>IFERROR(SUMIFS('Base bordo'!G$2:G$746,'Base bordo'!C$2:C$746,A1283,'Base bordo'!B$2:B$746,B1283,'Base bordo'!F$2:F$746,"MAN PREVENTIVA - MECANICA"),0)+IFERROR(SUMIFS('Base bordo'!G$2:G$746,'Base bordo'!C$2:C$746,A1283,'Base bordo'!B$2:B$746,B1283,'Base bordo'!F$2:F$746,"MAN CORRETIVA - MECANICA"),0)</f>
        <v>0</v>
      </c>
      <c r="L1283" s="10">
        <f>IFERROR(SUMIFS('Base bordo'!G$2:G$746,'Base bordo'!C$2:C$746,A1283,'Base bordo'!B$2:B$746,B1283,'Base bordo'!F$2:F$746,"MANUTENCAO - T O"),0)+IFERROR(SUMIFS('Base bordo'!G$2:G$746,'Base bordo'!C$2:C$746,A1283,'Base bordo'!B$2:B$746,B1283,'Base bordo'!F$2:F$746,"MANUTENCAO BORRACHARIA"),0)+IFERROR(SUMIFS('Base bordo'!G$2:G$746,'Base bordo'!C$2:C$746,A1283,'Base bordo'!B$2:B$746,B1283,'Base bordo'!F$2:F$746,"MANUTENCAO EXTERNA  CONCESSIONARIA"),0)+IFERROR(SUMIFS('Base bordo'!G$2:G$746,'Base bordo'!C$2:C$746,A1283,'Base bordo'!B$2:B$746,B1283,'Base bordo'!F$2:F$746,"MANUTENCAO TELEMETRIA"),0)</f>
        <v>0</v>
      </c>
      <c r="M1283" s="10">
        <f>IFERROR(SUMIFS('Base bordo'!G$2:G$746,'Base bordo'!C$2:C$746,A1283,'Base bordo'!B$2:B$746,B1283,'Base bordo'!F$2:F$746,"AGUARDANDO MANUTENCAO"),0)</f>
        <v>0</v>
      </c>
      <c r="N1283" s="10">
        <f>IFERROR(SUMIFS('Base bordo'!G$2:G$746,'Base bordo'!C$2:C$746,A1283,'Base bordo'!B$2:B$746,B1283,'Base bordo'!F$2:F$746,"SEM APONTAMENTO"),0)</f>
        <v>0</v>
      </c>
      <c r="O1283" s="10">
        <f t="shared" si="126"/>
        <v>0</v>
      </c>
      <c r="P1283" s="10">
        <f>IFERROR(SUMIFS('Base bordo'!G$2:G$746,'Base bordo'!C$2:C$746,A1283,'Base bordo'!B$2:B$746,B1283),0)</f>
        <v>12.66388888888889</v>
      </c>
      <c r="Q1283" s="10">
        <f>IFERROR(SUMIFS('Base bordo'!H$2:H$746,'Base bordo'!C$2:C$746,A1283,'Base bordo'!B$2:B$746,B1283,'Base bordo'!F$2:F$746,"DESLOCAMENTO VAZIO"),0)</f>
        <v>535356.59</v>
      </c>
      <c r="R1283" s="10">
        <f>IFERROR(SUMIFS('Base bordo'!I$2:I$746,'Base bordo'!C$2:C$746,A1283,'Base bordo'!B$2:B$746,B1283,'Base bordo'!F$2:F$746,"DESLOCAMENTO VAZIO"),0)</f>
        <v>15497</v>
      </c>
      <c r="S1283" s="30">
        <f t="shared" si="127"/>
        <v>34.545821126669679</v>
      </c>
      <c r="T1283" s="10">
        <f>IFERROR(SUMIFS('Base bordo'!H$2:H$746,'Base bordo'!C$2:C$746,A1283,'Base bordo'!B$2:B$746,B1283,'Base bordo'!F$2:F$746,"DESLOCAMENTO CARREGADO"),0)</f>
        <v>488002.63</v>
      </c>
      <c r="U1283" s="10">
        <f>IFERROR(SUMIFS('Base bordo'!I$2:I$746,'Base bordo'!C$2:C$746,A1283,'Base bordo'!B$2:B$746,B1283,'Base bordo'!F$2:F$746,"DESLOCAMENTO CARREGADO"),0)</f>
        <v>20070</v>
      </c>
      <c r="V1283" s="30">
        <f t="shared" si="128"/>
        <v>24.31502889885401</v>
      </c>
      <c r="W1283" s="9">
        <f t="shared" si="129"/>
        <v>0.33992103531476198</v>
      </c>
      <c r="X1283" s="9">
        <f t="shared" si="130"/>
        <v>0.44022812020179863</v>
      </c>
      <c r="Y1283" s="9">
        <f t="shared" si="131"/>
        <v>0.21985084448343939</v>
      </c>
    </row>
    <row r="1284" spans="1:25" ht="15" customHeight="1" x14ac:dyDescent="0.35">
      <c r="A1284" s="52">
        <v>8013474</v>
      </c>
      <c r="B1284" s="51">
        <v>46124</v>
      </c>
      <c r="C1284" s="7" t="s">
        <v>124</v>
      </c>
      <c r="D1284" s="10">
        <f>IFERROR(SUMIFS('Base bordo'!G$2:G$746,'Base bordo'!C$2:C$746,A1284,'Base bordo'!B$2:B$746,B1284,'Base bordo'!F$2:F$746,"DESLOCAMENTO VAZIO"),0)</f>
        <v>4.3047222222222219</v>
      </c>
      <c r="E1284" s="10">
        <f>IFERROR(SUMIFS('Base bordo'!G$2:G$746,'Base bordo'!C$2:C$746,A1284,'Base bordo'!B$2:B$746,B1284,'Base bordo'!F$2:F$746,"DESLOCAMENTO CARREGADO"),0)</f>
        <v>5.5750000000000002</v>
      </c>
      <c r="F1284" s="10">
        <f>IFERROR(SUMIFS('Base bordo'!G$2:G$746,'Base bordo'!C$2:C$746,A1284,'Base bordo'!B$2:B$746,B1284,'Base bordo'!F$2:F$746,"DESLOCAMENTO"),0)</f>
        <v>0</v>
      </c>
      <c r="G1284" s="10">
        <f>IFERROR(SUMIFS('Base bordo'!G$2:G$746,'Base bordo'!C$2:C$746,A1284,'Base bordo'!B$2:B$746,B1284,'Base bordo'!F$2:F$746,"CARREGAMENTO"),0)</f>
        <v>0</v>
      </c>
      <c r="H1284" s="10">
        <f>IFERROR(SUMIFS('Base bordo'!G$2:G$746,'Base bordo'!C$2:C$746,A1284,'Base bordo'!B$2:B$746,B1284,'Base bordo'!F$2:F$746,"AGUARDANDO TRANSBORDO"),0)</f>
        <v>0.92527777777777775</v>
      </c>
      <c r="I1284" s="10">
        <f>IFERROR(SUMIFS('Base bordo'!G$2:G$746,'Base bordo'!C$2:C$746,A1284,'Base bordo'!B$2:B$746,B1284,'Base bordo'!F$2:F$746,"PÁTIO INTERNO"),0)+IFERROR(SUMIFS('Base bordo'!G$2:G$746,'Base bordo'!C$2:C$746,A1284,'Base bordo'!B$2:B$746,B1284,'Base bordo'!F$2:F$746,"PÁTIO EXTERNO"),0)+IFERROR(SUMIFS('Base bordo'!G$2:G$746,'Base bordo'!C$2:C$746,A1284,'Base bordo'!B$2:B$746,B1284,'Base bordo'!F$2:F$746,"PATIO - RESERVA"),0)+IFERROR(SUMIFS('Base bordo'!G$2:G$746,'Base bordo'!C$2:C$746,A1284,'Base bordo'!B$2:B$746,B1284,'Base bordo'!F$2:F$746,"MANOBRA CARRETAS-PATIO"),0)</f>
        <v>1.7619444444444445</v>
      </c>
      <c r="J1284" s="10">
        <f>IFERROR(SUMIFS('Base bordo'!G$2:G$746,'Base bordo'!C$2:C$746,A1284,'Base bordo'!B$2:B$746,B1284,'Base bordo'!F$2:F$746,"BALANÇA - ENTRADA"),0)+IFERROR(SUMIFS('Base bordo'!G$2:G$746,'Base bordo'!C$2:C$746,A1284,'Base bordo'!B$2:B$746,B1284,'Base bordo'!F$2:F$746,"BALANÇA - SAÍDA"),0)</f>
        <v>9.6944444444444444E-2</v>
      </c>
      <c r="K1284" s="10">
        <f>IFERROR(SUMIFS('Base bordo'!G$2:G$746,'Base bordo'!C$2:C$746,A1284,'Base bordo'!B$2:B$746,B1284,'Base bordo'!F$2:F$746,"MAN PREVENTIVA - MECANICA"),0)+IFERROR(SUMIFS('Base bordo'!G$2:G$746,'Base bordo'!C$2:C$746,A1284,'Base bordo'!B$2:B$746,B1284,'Base bordo'!F$2:F$746,"MAN CORRETIVA - MECANICA"),0)</f>
        <v>0</v>
      </c>
      <c r="L1284" s="10">
        <f>IFERROR(SUMIFS('Base bordo'!G$2:G$746,'Base bordo'!C$2:C$746,A1284,'Base bordo'!B$2:B$746,B1284,'Base bordo'!F$2:F$746,"MANUTENCAO - T O"),0)+IFERROR(SUMIFS('Base bordo'!G$2:G$746,'Base bordo'!C$2:C$746,A1284,'Base bordo'!B$2:B$746,B1284,'Base bordo'!F$2:F$746,"MANUTENCAO BORRACHARIA"),0)+IFERROR(SUMIFS('Base bordo'!G$2:G$746,'Base bordo'!C$2:C$746,A1284,'Base bordo'!B$2:B$746,B1284,'Base bordo'!F$2:F$746,"MANUTENCAO EXTERNA  CONCESSIONARIA"),0)+IFERROR(SUMIFS('Base bordo'!G$2:G$746,'Base bordo'!C$2:C$746,A1284,'Base bordo'!B$2:B$746,B1284,'Base bordo'!F$2:F$746,"MANUTENCAO TELEMETRIA"),0)</f>
        <v>0</v>
      </c>
      <c r="M1284" s="10">
        <f>IFERROR(SUMIFS('Base bordo'!G$2:G$746,'Base bordo'!C$2:C$746,A1284,'Base bordo'!B$2:B$746,B1284,'Base bordo'!F$2:F$746,"AGUARDANDO MANUTENCAO"),0)</f>
        <v>0</v>
      </c>
      <c r="N1284" s="10">
        <f>IFERROR(SUMIFS('Base bordo'!G$2:G$746,'Base bordo'!C$2:C$746,A1284,'Base bordo'!B$2:B$746,B1284,'Base bordo'!F$2:F$746,"SEM APONTAMENTO"),0)</f>
        <v>0</v>
      </c>
      <c r="O1284" s="10">
        <f t="shared" si="126"/>
        <v>0</v>
      </c>
      <c r="P1284" s="10">
        <f>IFERROR(SUMIFS('Base bordo'!G$2:G$746,'Base bordo'!C$2:C$746,A1284,'Base bordo'!B$2:B$746,B1284),0)</f>
        <v>12.66388888888889</v>
      </c>
      <c r="Q1284" s="10">
        <f>IFERROR(SUMIFS('Base bordo'!H$2:H$746,'Base bordo'!C$2:C$746,A1284,'Base bordo'!B$2:B$746,B1284,'Base bordo'!F$2:F$746,"DESLOCAMENTO VAZIO"),0)</f>
        <v>535356.59</v>
      </c>
      <c r="R1284" s="10">
        <f>IFERROR(SUMIFS('Base bordo'!I$2:I$746,'Base bordo'!C$2:C$746,A1284,'Base bordo'!B$2:B$746,B1284,'Base bordo'!F$2:F$746,"DESLOCAMENTO VAZIO"),0)</f>
        <v>15497</v>
      </c>
      <c r="S1284" s="30">
        <f t="shared" si="127"/>
        <v>34.545821126669679</v>
      </c>
      <c r="T1284" s="10">
        <f>IFERROR(SUMIFS('Base bordo'!H$2:H$746,'Base bordo'!C$2:C$746,A1284,'Base bordo'!B$2:B$746,B1284,'Base bordo'!F$2:F$746,"DESLOCAMENTO CARREGADO"),0)</f>
        <v>488002.63</v>
      </c>
      <c r="U1284" s="10">
        <f>IFERROR(SUMIFS('Base bordo'!I$2:I$746,'Base bordo'!C$2:C$746,A1284,'Base bordo'!B$2:B$746,B1284,'Base bordo'!F$2:F$746,"DESLOCAMENTO CARREGADO"),0)</f>
        <v>20070</v>
      </c>
      <c r="V1284" s="30">
        <f t="shared" si="128"/>
        <v>24.31502889885401</v>
      </c>
      <c r="W1284" s="9">
        <f t="shared" si="129"/>
        <v>0.33992103531476198</v>
      </c>
      <c r="X1284" s="9">
        <f t="shared" si="130"/>
        <v>0.44022812020179863</v>
      </c>
      <c r="Y1284" s="9">
        <f t="shared" si="131"/>
        <v>0.21985084448343939</v>
      </c>
    </row>
    <row r="1285" spans="1:25" ht="15" customHeight="1" x14ac:dyDescent="0.35">
      <c r="A1285" s="52">
        <v>8013474</v>
      </c>
      <c r="B1285" s="51">
        <v>46124</v>
      </c>
      <c r="C1285" s="7" t="s">
        <v>124</v>
      </c>
      <c r="D1285" s="10">
        <f>IFERROR(SUMIFS('Base bordo'!G$2:G$746,'Base bordo'!C$2:C$746,A1285,'Base bordo'!B$2:B$746,B1285,'Base bordo'!F$2:F$746,"DESLOCAMENTO VAZIO"),0)</f>
        <v>4.3047222222222219</v>
      </c>
      <c r="E1285" s="10">
        <f>IFERROR(SUMIFS('Base bordo'!G$2:G$746,'Base bordo'!C$2:C$746,A1285,'Base bordo'!B$2:B$746,B1285,'Base bordo'!F$2:F$746,"DESLOCAMENTO CARREGADO"),0)</f>
        <v>5.5750000000000002</v>
      </c>
      <c r="F1285" s="10">
        <f>IFERROR(SUMIFS('Base bordo'!G$2:G$746,'Base bordo'!C$2:C$746,A1285,'Base bordo'!B$2:B$746,B1285,'Base bordo'!F$2:F$746,"DESLOCAMENTO"),0)</f>
        <v>0</v>
      </c>
      <c r="G1285" s="10">
        <f>IFERROR(SUMIFS('Base bordo'!G$2:G$746,'Base bordo'!C$2:C$746,A1285,'Base bordo'!B$2:B$746,B1285,'Base bordo'!F$2:F$746,"CARREGAMENTO"),0)</f>
        <v>0</v>
      </c>
      <c r="H1285" s="10">
        <f>IFERROR(SUMIFS('Base bordo'!G$2:G$746,'Base bordo'!C$2:C$746,A1285,'Base bordo'!B$2:B$746,B1285,'Base bordo'!F$2:F$746,"AGUARDANDO TRANSBORDO"),0)</f>
        <v>0.92527777777777775</v>
      </c>
      <c r="I1285" s="10">
        <f>IFERROR(SUMIFS('Base bordo'!G$2:G$746,'Base bordo'!C$2:C$746,A1285,'Base bordo'!B$2:B$746,B1285,'Base bordo'!F$2:F$746,"PÁTIO INTERNO"),0)+IFERROR(SUMIFS('Base bordo'!G$2:G$746,'Base bordo'!C$2:C$746,A1285,'Base bordo'!B$2:B$746,B1285,'Base bordo'!F$2:F$746,"PÁTIO EXTERNO"),0)+IFERROR(SUMIFS('Base bordo'!G$2:G$746,'Base bordo'!C$2:C$746,A1285,'Base bordo'!B$2:B$746,B1285,'Base bordo'!F$2:F$746,"PATIO - RESERVA"),0)+IFERROR(SUMIFS('Base bordo'!G$2:G$746,'Base bordo'!C$2:C$746,A1285,'Base bordo'!B$2:B$746,B1285,'Base bordo'!F$2:F$746,"MANOBRA CARRETAS-PATIO"),0)</f>
        <v>1.7619444444444445</v>
      </c>
      <c r="J1285" s="10">
        <f>IFERROR(SUMIFS('Base bordo'!G$2:G$746,'Base bordo'!C$2:C$746,A1285,'Base bordo'!B$2:B$746,B1285,'Base bordo'!F$2:F$746,"BALANÇA - ENTRADA"),0)+IFERROR(SUMIFS('Base bordo'!G$2:G$746,'Base bordo'!C$2:C$746,A1285,'Base bordo'!B$2:B$746,B1285,'Base bordo'!F$2:F$746,"BALANÇA - SAÍDA"),0)</f>
        <v>9.6944444444444444E-2</v>
      </c>
      <c r="K1285" s="10">
        <f>IFERROR(SUMIFS('Base bordo'!G$2:G$746,'Base bordo'!C$2:C$746,A1285,'Base bordo'!B$2:B$746,B1285,'Base bordo'!F$2:F$746,"MAN PREVENTIVA - MECANICA"),0)+IFERROR(SUMIFS('Base bordo'!G$2:G$746,'Base bordo'!C$2:C$746,A1285,'Base bordo'!B$2:B$746,B1285,'Base bordo'!F$2:F$746,"MAN CORRETIVA - MECANICA"),0)</f>
        <v>0</v>
      </c>
      <c r="L1285" s="10">
        <f>IFERROR(SUMIFS('Base bordo'!G$2:G$746,'Base bordo'!C$2:C$746,A1285,'Base bordo'!B$2:B$746,B1285,'Base bordo'!F$2:F$746,"MANUTENCAO - T O"),0)+IFERROR(SUMIFS('Base bordo'!G$2:G$746,'Base bordo'!C$2:C$746,A1285,'Base bordo'!B$2:B$746,B1285,'Base bordo'!F$2:F$746,"MANUTENCAO BORRACHARIA"),0)+IFERROR(SUMIFS('Base bordo'!G$2:G$746,'Base bordo'!C$2:C$746,A1285,'Base bordo'!B$2:B$746,B1285,'Base bordo'!F$2:F$746,"MANUTENCAO EXTERNA  CONCESSIONARIA"),0)+IFERROR(SUMIFS('Base bordo'!G$2:G$746,'Base bordo'!C$2:C$746,A1285,'Base bordo'!B$2:B$746,B1285,'Base bordo'!F$2:F$746,"MANUTENCAO TELEMETRIA"),0)</f>
        <v>0</v>
      </c>
      <c r="M1285" s="10">
        <f>IFERROR(SUMIFS('Base bordo'!G$2:G$746,'Base bordo'!C$2:C$746,A1285,'Base bordo'!B$2:B$746,B1285,'Base bordo'!F$2:F$746,"AGUARDANDO MANUTENCAO"),0)</f>
        <v>0</v>
      </c>
      <c r="N1285" s="10">
        <f>IFERROR(SUMIFS('Base bordo'!G$2:G$746,'Base bordo'!C$2:C$746,A1285,'Base bordo'!B$2:B$746,B1285,'Base bordo'!F$2:F$746,"SEM APONTAMENTO"),0)</f>
        <v>0</v>
      </c>
      <c r="O1285" s="10">
        <f t="shared" si="126"/>
        <v>0</v>
      </c>
      <c r="P1285" s="10">
        <f>IFERROR(SUMIFS('Base bordo'!G$2:G$746,'Base bordo'!C$2:C$746,A1285,'Base bordo'!B$2:B$746,B1285),0)</f>
        <v>12.66388888888889</v>
      </c>
      <c r="Q1285" s="10">
        <f>IFERROR(SUMIFS('Base bordo'!H$2:H$746,'Base bordo'!C$2:C$746,A1285,'Base bordo'!B$2:B$746,B1285,'Base bordo'!F$2:F$746,"DESLOCAMENTO VAZIO"),0)</f>
        <v>535356.59</v>
      </c>
      <c r="R1285" s="10">
        <f>IFERROR(SUMIFS('Base bordo'!I$2:I$746,'Base bordo'!C$2:C$746,A1285,'Base bordo'!B$2:B$746,B1285,'Base bordo'!F$2:F$746,"DESLOCAMENTO VAZIO"),0)</f>
        <v>15497</v>
      </c>
      <c r="S1285" s="30">
        <f t="shared" si="127"/>
        <v>34.545821126669679</v>
      </c>
      <c r="T1285" s="10">
        <f>IFERROR(SUMIFS('Base bordo'!H$2:H$746,'Base bordo'!C$2:C$746,A1285,'Base bordo'!B$2:B$746,B1285,'Base bordo'!F$2:F$746,"DESLOCAMENTO CARREGADO"),0)</f>
        <v>488002.63</v>
      </c>
      <c r="U1285" s="10">
        <f>IFERROR(SUMIFS('Base bordo'!I$2:I$746,'Base bordo'!C$2:C$746,A1285,'Base bordo'!B$2:B$746,B1285,'Base bordo'!F$2:F$746,"DESLOCAMENTO CARREGADO"),0)</f>
        <v>20070</v>
      </c>
      <c r="V1285" s="30">
        <f t="shared" si="128"/>
        <v>24.31502889885401</v>
      </c>
      <c r="W1285" s="9">
        <f t="shared" si="129"/>
        <v>0.33992103531476198</v>
      </c>
      <c r="X1285" s="9">
        <f t="shared" si="130"/>
        <v>0.44022812020179863</v>
      </c>
      <c r="Y1285" s="9">
        <f t="shared" si="131"/>
        <v>0.21985084448343939</v>
      </c>
    </row>
    <row r="1286" spans="1:25" ht="15" customHeight="1" x14ac:dyDescent="0.35">
      <c r="A1286" s="52">
        <v>8013474</v>
      </c>
      <c r="B1286" s="51">
        <v>46124</v>
      </c>
      <c r="C1286" s="7" t="s">
        <v>124</v>
      </c>
      <c r="D1286" s="10">
        <f>IFERROR(SUMIFS('Base bordo'!G$2:G$746,'Base bordo'!C$2:C$746,A1286,'Base bordo'!B$2:B$746,B1286,'Base bordo'!F$2:F$746,"DESLOCAMENTO VAZIO"),0)</f>
        <v>4.3047222222222219</v>
      </c>
      <c r="E1286" s="10">
        <f>IFERROR(SUMIFS('Base bordo'!G$2:G$746,'Base bordo'!C$2:C$746,A1286,'Base bordo'!B$2:B$746,B1286,'Base bordo'!F$2:F$746,"DESLOCAMENTO CARREGADO"),0)</f>
        <v>5.5750000000000002</v>
      </c>
      <c r="F1286" s="10">
        <f>IFERROR(SUMIFS('Base bordo'!G$2:G$746,'Base bordo'!C$2:C$746,A1286,'Base bordo'!B$2:B$746,B1286,'Base bordo'!F$2:F$746,"DESLOCAMENTO"),0)</f>
        <v>0</v>
      </c>
      <c r="G1286" s="10">
        <f>IFERROR(SUMIFS('Base bordo'!G$2:G$746,'Base bordo'!C$2:C$746,A1286,'Base bordo'!B$2:B$746,B1286,'Base bordo'!F$2:F$746,"CARREGAMENTO"),0)</f>
        <v>0</v>
      </c>
      <c r="H1286" s="10">
        <f>IFERROR(SUMIFS('Base bordo'!G$2:G$746,'Base bordo'!C$2:C$746,A1286,'Base bordo'!B$2:B$746,B1286,'Base bordo'!F$2:F$746,"AGUARDANDO TRANSBORDO"),0)</f>
        <v>0.92527777777777775</v>
      </c>
      <c r="I1286" s="10">
        <f>IFERROR(SUMIFS('Base bordo'!G$2:G$746,'Base bordo'!C$2:C$746,A1286,'Base bordo'!B$2:B$746,B1286,'Base bordo'!F$2:F$746,"PÁTIO INTERNO"),0)+IFERROR(SUMIFS('Base bordo'!G$2:G$746,'Base bordo'!C$2:C$746,A1286,'Base bordo'!B$2:B$746,B1286,'Base bordo'!F$2:F$746,"PÁTIO EXTERNO"),0)+IFERROR(SUMIFS('Base bordo'!G$2:G$746,'Base bordo'!C$2:C$746,A1286,'Base bordo'!B$2:B$746,B1286,'Base bordo'!F$2:F$746,"PATIO - RESERVA"),0)+IFERROR(SUMIFS('Base bordo'!G$2:G$746,'Base bordo'!C$2:C$746,A1286,'Base bordo'!B$2:B$746,B1286,'Base bordo'!F$2:F$746,"MANOBRA CARRETAS-PATIO"),0)</f>
        <v>1.7619444444444445</v>
      </c>
      <c r="J1286" s="10">
        <f>IFERROR(SUMIFS('Base bordo'!G$2:G$746,'Base bordo'!C$2:C$746,A1286,'Base bordo'!B$2:B$746,B1286,'Base bordo'!F$2:F$746,"BALANÇA - ENTRADA"),0)+IFERROR(SUMIFS('Base bordo'!G$2:G$746,'Base bordo'!C$2:C$746,A1286,'Base bordo'!B$2:B$746,B1286,'Base bordo'!F$2:F$746,"BALANÇA - SAÍDA"),0)</f>
        <v>9.6944444444444444E-2</v>
      </c>
      <c r="K1286" s="10">
        <f>IFERROR(SUMIFS('Base bordo'!G$2:G$746,'Base bordo'!C$2:C$746,A1286,'Base bordo'!B$2:B$746,B1286,'Base bordo'!F$2:F$746,"MAN PREVENTIVA - MECANICA"),0)+IFERROR(SUMIFS('Base bordo'!G$2:G$746,'Base bordo'!C$2:C$746,A1286,'Base bordo'!B$2:B$746,B1286,'Base bordo'!F$2:F$746,"MAN CORRETIVA - MECANICA"),0)</f>
        <v>0</v>
      </c>
      <c r="L1286" s="10">
        <f>IFERROR(SUMIFS('Base bordo'!G$2:G$746,'Base bordo'!C$2:C$746,A1286,'Base bordo'!B$2:B$746,B1286,'Base bordo'!F$2:F$746,"MANUTENCAO - T O"),0)+IFERROR(SUMIFS('Base bordo'!G$2:G$746,'Base bordo'!C$2:C$746,A1286,'Base bordo'!B$2:B$746,B1286,'Base bordo'!F$2:F$746,"MANUTENCAO BORRACHARIA"),0)+IFERROR(SUMIFS('Base bordo'!G$2:G$746,'Base bordo'!C$2:C$746,A1286,'Base bordo'!B$2:B$746,B1286,'Base bordo'!F$2:F$746,"MANUTENCAO EXTERNA  CONCESSIONARIA"),0)+IFERROR(SUMIFS('Base bordo'!G$2:G$746,'Base bordo'!C$2:C$746,A1286,'Base bordo'!B$2:B$746,B1286,'Base bordo'!F$2:F$746,"MANUTENCAO TELEMETRIA"),0)</f>
        <v>0</v>
      </c>
      <c r="M1286" s="10">
        <f>IFERROR(SUMIFS('Base bordo'!G$2:G$746,'Base bordo'!C$2:C$746,A1286,'Base bordo'!B$2:B$746,B1286,'Base bordo'!F$2:F$746,"AGUARDANDO MANUTENCAO"),0)</f>
        <v>0</v>
      </c>
      <c r="N1286" s="10">
        <f>IFERROR(SUMIFS('Base bordo'!G$2:G$746,'Base bordo'!C$2:C$746,A1286,'Base bordo'!B$2:B$746,B1286,'Base bordo'!F$2:F$746,"SEM APONTAMENTO"),0)</f>
        <v>0</v>
      </c>
      <c r="O1286" s="10">
        <f t="shared" si="126"/>
        <v>0</v>
      </c>
      <c r="P1286" s="10">
        <f>IFERROR(SUMIFS('Base bordo'!G$2:G$746,'Base bordo'!C$2:C$746,A1286,'Base bordo'!B$2:B$746,B1286),0)</f>
        <v>12.66388888888889</v>
      </c>
      <c r="Q1286" s="10">
        <f>IFERROR(SUMIFS('Base bordo'!H$2:H$746,'Base bordo'!C$2:C$746,A1286,'Base bordo'!B$2:B$746,B1286,'Base bordo'!F$2:F$746,"DESLOCAMENTO VAZIO"),0)</f>
        <v>535356.59</v>
      </c>
      <c r="R1286" s="10">
        <f>IFERROR(SUMIFS('Base bordo'!I$2:I$746,'Base bordo'!C$2:C$746,A1286,'Base bordo'!B$2:B$746,B1286,'Base bordo'!F$2:F$746,"DESLOCAMENTO VAZIO"),0)</f>
        <v>15497</v>
      </c>
      <c r="S1286" s="30">
        <f t="shared" si="127"/>
        <v>34.545821126669679</v>
      </c>
      <c r="T1286" s="10">
        <f>IFERROR(SUMIFS('Base bordo'!H$2:H$746,'Base bordo'!C$2:C$746,A1286,'Base bordo'!B$2:B$746,B1286,'Base bordo'!F$2:F$746,"DESLOCAMENTO CARREGADO"),0)</f>
        <v>488002.63</v>
      </c>
      <c r="U1286" s="10">
        <f>IFERROR(SUMIFS('Base bordo'!I$2:I$746,'Base bordo'!C$2:C$746,A1286,'Base bordo'!B$2:B$746,B1286,'Base bordo'!F$2:F$746,"DESLOCAMENTO CARREGADO"),0)</f>
        <v>20070</v>
      </c>
      <c r="V1286" s="30">
        <f t="shared" si="128"/>
        <v>24.31502889885401</v>
      </c>
      <c r="W1286" s="9">
        <f t="shared" si="129"/>
        <v>0.33992103531476198</v>
      </c>
      <c r="X1286" s="9">
        <f t="shared" si="130"/>
        <v>0.44022812020179863</v>
      </c>
      <c r="Y1286" s="9">
        <f t="shared" si="131"/>
        <v>0.21985084448343939</v>
      </c>
    </row>
    <row r="1287" spans="1:25" ht="15" customHeight="1" x14ac:dyDescent="0.35">
      <c r="A1287" s="52">
        <v>8013474</v>
      </c>
      <c r="B1287" s="51">
        <v>46124</v>
      </c>
      <c r="C1287" s="7" t="s">
        <v>124</v>
      </c>
      <c r="D1287" s="10">
        <f>IFERROR(SUMIFS('Base bordo'!G$2:G$746,'Base bordo'!C$2:C$746,A1287,'Base bordo'!B$2:B$746,B1287,'Base bordo'!F$2:F$746,"DESLOCAMENTO VAZIO"),0)</f>
        <v>4.3047222222222219</v>
      </c>
      <c r="E1287" s="10">
        <f>IFERROR(SUMIFS('Base bordo'!G$2:G$746,'Base bordo'!C$2:C$746,A1287,'Base bordo'!B$2:B$746,B1287,'Base bordo'!F$2:F$746,"DESLOCAMENTO CARREGADO"),0)</f>
        <v>5.5750000000000002</v>
      </c>
      <c r="F1287" s="10">
        <f>IFERROR(SUMIFS('Base bordo'!G$2:G$746,'Base bordo'!C$2:C$746,A1287,'Base bordo'!B$2:B$746,B1287,'Base bordo'!F$2:F$746,"DESLOCAMENTO"),0)</f>
        <v>0</v>
      </c>
      <c r="G1287" s="10">
        <f>IFERROR(SUMIFS('Base bordo'!G$2:G$746,'Base bordo'!C$2:C$746,A1287,'Base bordo'!B$2:B$746,B1287,'Base bordo'!F$2:F$746,"CARREGAMENTO"),0)</f>
        <v>0</v>
      </c>
      <c r="H1287" s="10">
        <f>IFERROR(SUMIFS('Base bordo'!G$2:G$746,'Base bordo'!C$2:C$746,A1287,'Base bordo'!B$2:B$746,B1287,'Base bordo'!F$2:F$746,"AGUARDANDO TRANSBORDO"),0)</f>
        <v>0.92527777777777775</v>
      </c>
      <c r="I1287" s="10">
        <f>IFERROR(SUMIFS('Base bordo'!G$2:G$746,'Base bordo'!C$2:C$746,A1287,'Base bordo'!B$2:B$746,B1287,'Base bordo'!F$2:F$746,"PÁTIO INTERNO"),0)+IFERROR(SUMIFS('Base bordo'!G$2:G$746,'Base bordo'!C$2:C$746,A1287,'Base bordo'!B$2:B$746,B1287,'Base bordo'!F$2:F$746,"PÁTIO EXTERNO"),0)+IFERROR(SUMIFS('Base bordo'!G$2:G$746,'Base bordo'!C$2:C$746,A1287,'Base bordo'!B$2:B$746,B1287,'Base bordo'!F$2:F$746,"PATIO - RESERVA"),0)+IFERROR(SUMIFS('Base bordo'!G$2:G$746,'Base bordo'!C$2:C$746,A1287,'Base bordo'!B$2:B$746,B1287,'Base bordo'!F$2:F$746,"MANOBRA CARRETAS-PATIO"),0)</f>
        <v>1.7619444444444445</v>
      </c>
      <c r="J1287" s="10">
        <f>IFERROR(SUMIFS('Base bordo'!G$2:G$746,'Base bordo'!C$2:C$746,A1287,'Base bordo'!B$2:B$746,B1287,'Base bordo'!F$2:F$746,"BALANÇA - ENTRADA"),0)+IFERROR(SUMIFS('Base bordo'!G$2:G$746,'Base bordo'!C$2:C$746,A1287,'Base bordo'!B$2:B$746,B1287,'Base bordo'!F$2:F$746,"BALANÇA - SAÍDA"),0)</f>
        <v>9.6944444444444444E-2</v>
      </c>
      <c r="K1287" s="10">
        <f>IFERROR(SUMIFS('Base bordo'!G$2:G$746,'Base bordo'!C$2:C$746,A1287,'Base bordo'!B$2:B$746,B1287,'Base bordo'!F$2:F$746,"MAN PREVENTIVA - MECANICA"),0)+IFERROR(SUMIFS('Base bordo'!G$2:G$746,'Base bordo'!C$2:C$746,A1287,'Base bordo'!B$2:B$746,B1287,'Base bordo'!F$2:F$746,"MAN CORRETIVA - MECANICA"),0)</f>
        <v>0</v>
      </c>
      <c r="L1287" s="10">
        <f>IFERROR(SUMIFS('Base bordo'!G$2:G$746,'Base bordo'!C$2:C$746,A1287,'Base bordo'!B$2:B$746,B1287,'Base bordo'!F$2:F$746,"MANUTENCAO - T O"),0)+IFERROR(SUMIFS('Base bordo'!G$2:G$746,'Base bordo'!C$2:C$746,A1287,'Base bordo'!B$2:B$746,B1287,'Base bordo'!F$2:F$746,"MANUTENCAO BORRACHARIA"),0)+IFERROR(SUMIFS('Base bordo'!G$2:G$746,'Base bordo'!C$2:C$746,A1287,'Base bordo'!B$2:B$746,B1287,'Base bordo'!F$2:F$746,"MANUTENCAO EXTERNA  CONCESSIONARIA"),0)+IFERROR(SUMIFS('Base bordo'!G$2:G$746,'Base bordo'!C$2:C$746,A1287,'Base bordo'!B$2:B$746,B1287,'Base bordo'!F$2:F$746,"MANUTENCAO TELEMETRIA"),0)</f>
        <v>0</v>
      </c>
      <c r="M1287" s="10">
        <f>IFERROR(SUMIFS('Base bordo'!G$2:G$746,'Base bordo'!C$2:C$746,A1287,'Base bordo'!B$2:B$746,B1287,'Base bordo'!F$2:F$746,"AGUARDANDO MANUTENCAO"),0)</f>
        <v>0</v>
      </c>
      <c r="N1287" s="10">
        <f>IFERROR(SUMIFS('Base bordo'!G$2:G$746,'Base bordo'!C$2:C$746,A1287,'Base bordo'!B$2:B$746,B1287,'Base bordo'!F$2:F$746,"SEM APONTAMENTO"),0)</f>
        <v>0</v>
      </c>
      <c r="O1287" s="10">
        <f t="shared" si="126"/>
        <v>0</v>
      </c>
      <c r="P1287" s="10">
        <f>IFERROR(SUMIFS('Base bordo'!G$2:G$746,'Base bordo'!C$2:C$746,A1287,'Base bordo'!B$2:B$746,B1287),0)</f>
        <v>12.66388888888889</v>
      </c>
      <c r="Q1287" s="10">
        <f>IFERROR(SUMIFS('Base bordo'!H$2:H$746,'Base bordo'!C$2:C$746,A1287,'Base bordo'!B$2:B$746,B1287,'Base bordo'!F$2:F$746,"DESLOCAMENTO VAZIO"),0)</f>
        <v>535356.59</v>
      </c>
      <c r="R1287" s="10">
        <f>IFERROR(SUMIFS('Base bordo'!I$2:I$746,'Base bordo'!C$2:C$746,A1287,'Base bordo'!B$2:B$746,B1287,'Base bordo'!F$2:F$746,"DESLOCAMENTO VAZIO"),0)</f>
        <v>15497</v>
      </c>
      <c r="S1287" s="30">
        <f t="shared" si="127"/>
        <v>34.545821126669679</v>
      </c>
      <c r="T1287" s="10">
        <f>IFERROR(SUMIFS('Base bordo'!H$2:H$746,'Base bordo'!C$2:C$746,A1287,'Base bordo'!B$2:B$746,B1287,'Base bordo'!F$2:F$746,"DESLOCAMENTO CARREGADO"),0)</f>
        <v>488002.63</v>
      </c>
      <c r="U1287" s="10">
        <f>IFERROR(SUMIFS('Base bordo'!I$2:I$746,'Base bordo'!C$2:C$746,A1287,'Base bordo'!B$2:B$746,B1287,'Base bordo'!F$2:F$746,"DESLOCAMENTO CARREGADO"),0)</f>
        <v>20070</v>
      </c>
      <c r="V1287" s="30">
        <f t="shared" si="128"/>
        <v>24.31502889885401</v>
      </c>
      <c r="W1287" s="9">
        <f t="shared" si="129"/>
        <v>0.33992103531476198</v>
      </c>
      <c r="X1287" s="9">
        <f t="shared" si="130"/>
        <v>0.44022812020179863</v>
      </c>
      <c r="Y1287" s="9">
        <f t="shared" si="131"/>
        <v>0.21985084448343939</v>
      </c>
    </row>
    <row r="1288" spans="1:25" ht="15" customHeight="1" x14ac:dyDescent="0.35">
      <c r="A1288" s="52">
        <v>8013474</v>
      </c>
      <c r="B1288" s="51">
        <v>46124</v>
      </c>
      <c r="C1288" s="7" t="s">
        <v>124</v>
      </c>
      <c r="D1288" s="10">
        <f>IFERROR(SUMIFS('Base bordo'!G$2:G$746,'Base bordo'!C$2:C$746,A1288,'Base bordo'!B$2:B$746,B1288,'Base bordo'!F$2:F$746,"DESLOCAMENTO VAZIO"),0)</f>
        <v>4.3047222222222219</v>
      </c>
      <c r="E1288" s="10">
        <f>IFERROR(SUMIFS('Base bordo'!G$2:G$746,'Base bordo'!C$2:C$746,A1288,'Base bordo'!B$2:B$746,B1288,'Base bordo'!F$2:F$746,"DESLOCAMENTO CARREGADO"),0)</f>
        <v>5.5750000000000002</v>
      </c>
      <c r="F1288" s="10">
        <f>IFERROR(SUMIFS('Base bordo'!G$2:G$746,'Base bordo'!C$2:C$746,A1288,'Base bordo'!B$2:B$746,B1288,'Base bordo'!F$2:F$746,"DESLOCAMENTO"),0)</f>
        <v>0</v>
      </c>
      <c r="G1288" s="10">
        <f>IFERROR(SUMIFS('Base bordo'!G$2:G$746,'Base bordo'!C$2:C$746,A1288,'Base bordo'!B$2:B$746,B1288,'Base bordo'!F$2:F$746,"CARREGAMENTO"),0)</f>
        <v>0</v>
      </c>
      <c r="H1288" s="10">
        <f>IFERROR(SUMIFS('Base bordo'!G$2:G$746,'Base bordo'!C$2:C$746,A1288,'Base bordo'!B$2:B$746,B1288,'Base bordo'!F$2:F$746,"AGUARDANDO TRANSBORDO"),0)</f>
        <v>0.92527777777777775</v>
      </c>
      <c r="I1288" s="10">
        <f>IFERROR(SUMIFS('Base bordo'!G$2:G$746,'Base bordo'!C$2:C$746,A1288,'Base bordo'!B$2:B$746,B1288,'Base bordo'!F$2:F$746,"PÁTIO INTERNO"),0)+IFERROR(SUMIFS('Base bordo'!G$2:G$746,'Base bordo'!C$2:C$746,A1288,'Base bordo'!B$2:B$746,B1288,'Base bordo'!F$2:F$746,"PÁTIO EXTERNO"),0)+IFERROR(SUMIFS('Base bordo'!G$2:G$746,'Base bordo'!C$2:C$746,A1288,'Base bordo'!B$2:B$746,B1288,'Base bordo'!F$2:F$746,"PATIO - RESERVA"),0)+IFERROR(SUMIFS('Base bordo'!G$2:G$746,'Base bordo'!C$2:C$746,A1288,'Base bordo'!B$2:B$746,B1288,'Base bordo'!F$2:F$746,"MANOBRA CARRETAS-PATIO"),0)</f>
        <v>1.7619444444444445</v>
      </c>
      <c r="J1288" s="10">
        <f>IFERROR(SUMIFS('Base bordo'!G$2:G$746,'Base bordo'!C$2:C$746,A1288,'Base bordo'!B$2:B$746,B1288,'Base bordo'!F$2:F$746,"BALANÇA - ENTRADA"),0)+IFERROR(SUMIFS('Base bordo'!G$2:G$746,'Base bordo'!C$2:C$746,A1288,'Base bordo'!B$2:B$746,B1288,'Base bordo'!F$2:F$746,"BALANÇA - SAÍDA"),0)</f>
        <v>9.6944444444444444E-2</v>
      </c>
      <c r="K1288" s="10">
        <f>IFERROR(SUMIFS('Base bordo'!G$2:G$746,'Base bordo'!C$2:C$746,A1288,'Base bordo'!B$2:B$746,B1288,'Base bordo'!F$2:F$746,"MAN PREVENTIVA - MECANICA"),0)+IFERROR(SUMIFS('Base bordo'!G$2:G$746,'Base bordo'!C$2:C$746,A1288,'Base bordo'!B$2:B$746,B1288,'Base bordo'!F$2:F$746,"MAN CORRETIVA - MECANICA"),0)</f>
        <v>0</v>
      </c>
      <c r="L1288" s="10">
        <f>IFERROR(SUMIFS('Base bordo'!G$2:G$746,'Base bordo'!C$2:C$746,A1288,'Base bordo'!B$2:B$746,B1288,'Base bordo'!F$2:F$746,"MANUTENCAO - T O"),0)+IFERROR(SUMIFS('Base bordo'!G$2:G$746,'Base bordo'!C$2:C$746,A1288,'Base bordo'!B$2:B$746,B1288,'Base bordo'!F$2:F$746,"MANUTENCAO BORRACHARIA"),0)+IFERROR(SUMIFS('Base bordo'!G$2:G$746,'Base bordo'!C$2:C$746,A1288,'Base bordo'!B$2:B$746,B1288,'Base bordo'!F$2:F$746,"MANUTENCAO EXTERNA  CONCESSIONARIA"),0)+IFERROR(SUMIFS('Base bordo'!G$2:G$746,'Base bordo'!C$2:C$746,A1288,'Base bordo'!B$2:B$746,B1288,'Base bordo'!F$2:F$746,"MANUTENCAO TELEMETRIA"),0)</f>
        <v>0</v>
      </c>
      <c r="M1288" s="10">
        <f>IFERROR(SUMIFS('Base bordo'!G$2:G$746,'Base bordo'!C$2:C$746,A1288,'Base bordo'!B$2:B$746,B1288,'Base bordo'!F$2:F$746,"AGUARDANDO MANUTENCAO"),0)</f>
        <v>0</v>
      </c>
      <c r="N1288" s="10">
        <f>IFERROR(SUMIFS('Base bordo'!G$2:G$746,'Base bordo'!C$2:C$746,A1288,'Base bordo'!B$2:B$746,B1288,'Base bordo'!F$2:F$746,"SEM APONTAMENTO"),0)</f>
        <v>0</v>
      </c>
      <c r="O1288" s="10">
        <f t="shared" si="126"/>
        <v>0</v>
      </c>
      <c r="P1288" s="10">
        <f>IFERROR(SUMIFS('Base bordo'!G$2:G$746,'Base bordo'!C$2:C$746,A1288,'Base bordo'!B$2:B$746,B1288),0)</f>
        <v>12.66388888888889</v>
      </c>
      <c r="Q1288" s="10">
        <f>IFERROR(SUMIFS('Base bordo'!H$2:H$746,'Base bordo'!C$2:C$746,A1288,'Base bordo'!B$2:B$746,B1288,'Base bordo'!F$2:F$746,"DESLOCAMENTO VAZIO"),0)</f>
        <v>535356.59</v>
      </c>
      <c r="R1288" s="10">
        <f>IFERROR(SUMIFS('Base bordo'!I$2:I$746,'Base bordo'!C$2:C$746,A1288,'Base bordo'!B$2:B$746,B1288,'Base bordo'!F$2:F$746,"DESLOCAMENTO VAZIO"),0)</f>
        <v>15497</v>
      </c>
      <c r="S1288" s="30">
        <f t="shared" si="127"/>
        <v>34.545821126669679</v>
      </c>
      <c r="T1288" s="10">
        <f>IFERROR(SUMIFS('Base bordo'!H$2:H$746,'Base bordo'!C$2:C$746,A1288,'Base bordo'!B$2:B$746,B1288,'Base bordo'!F$2:F$746,"DESLOCAMENTO CARREGADO"),0)</f>
        <v>488002.63</v>
      </c>
      <c r="U1288" s="10">
        <f>IFERROR(SUMIFS('Base bordo'!I$2:I$746,'Base bordo'!C$2:C$746,A1288,'Base bordo'!B$2:B$746,B1288,'Base bordo'!F$2:F$746,"DESLOCAMENTO CARREGADO"),0)</f>
        <v>20070</v>
      </c>
      <c r="V1288" s="30">
        <f t="shared" si="128"/>
        <v>24.31502889885401</v>
      </c>
      <c r="W1288" s="9">
        <f t="shared" si="129"/>
        <v>0.33992103531476198</v>
      </c>
      <c r="X1288" s="9">
        <f t="shared" si="130"/>
        <v>0.44022812020179863</v>
      </c>
      <c r="Y1288" s="9">
        <f t="shared" si="131"/>
        <v>0.21985084448343939</v>
      </c>
    </row>
    <row r="1289" spans="1:25" ht="15" customHeight="1" x14ac:dyDescent="0.35">
      <c r="A1289" s="52">
        <v>8013475</v>
      </c>
      <c r="B1289" s="51">
        <v>46124</v>
      </c>
      <c r="C1289" s="7" t="s">
        <v>124</v>
      </c>
      <c r="D1289" s="10">
        <f>IFERROR(SUMIFS('Base bordo'!G$2:G$746,'Base bordo'!C$2:C$746,A1289,'Base bordo'!B$2:B$746,B1289,'Base bordo'!F$2:F$746,"DESLOCAMENTO VAZIO"),0)</f>
        <v>0.7005555555555556</v>
      </c>
      <c r="E1289" s="10">
        <f>IFERROR(SUMIFS('Base bordo'!G$2:G$746,'Base bordo'!C$2:C$746,A1289,'Base bordo'!B$2:B$746,B1289,'Base bordo'!F$2:F$746,"DESLOCAMENTO CARREGADO"),0)</f>
        <v>0.60333333333333339</v>
      </c>
      <c r="F1289" s="10">
        <f>IFERROR(SUMIFS('Base bordo'!G$2:G$746,'Base bordo'!C$2:C$746,A1289,'Base bordo'!B$2:B$746,B1289,'Base bordo'!F$2:F$746,"DESLOCAMENTO"),0)</f>
        <v>0</v>
      </c>
      <c r="G1289" s="10">
        <f>IFERROR(SUMIFS('Base bordo'!G$2:G$746,'Base bordo'!C$2:C$746,A1289,'Base bordo'!B$2:B$746,B1289,'Base bordo'!F$2:F$746,"CARREGAMENTO"),0)</f>
        <v>0</v>
      </c>
      <c r="H1289" s="10">
        <f>IFERROR(SUMIFS('Base bordo'!G$2:G$746,'Base bordo'!C$2:C$746,A1289,'Base bordo'!B$2:B$746,B1289,'Base bordo'!F$2:F$746,"AGUARDANDO TRANSBORDO"),0)</f>
        <v>0.57722222222222219</v>
      </c>
      <c r="I1289" s="10">
        <f>IFERROR(SUMIFS('Base bordo'!G$2:G$746,'Base bordo'!C$2:C$746,A1289,'Base bordo'!B$2:B$746,B1289,'Base bordo'!F$2:F$746,"PÁTIO INTERNO"),0)+IFERROR(SUMIFS('Base bordo'!G$2:G$746,'Base bordo'!C$2:C$746,A1289,'Base bordo'!B$2:B$746,B1289,'Base bordo'!F$2:F$746,"PÁTIO EXTERNO"),0)+IFERROR(SUMIFS('Base bordo'!G$2:G$746,'Base bordo'!C$2:C$746,A1289,'Base bordo'!B$2:B$746,B1289,'Base bordo'!F$2:F$746,"PATIO - RESERVA"),0)+IFERROR(SUMIFS('Base bordo'!G$2:G$746,'Base bordo'!C$2:C$746,A1289,'Base bordo'!B$2:B$746,B1289,'Base bordo'!F$2:F$746,"MANOBRA CARRETAS-PATIO"),0)</f>
        <v>5.7852777777777771</v>
      </c>
      <c r="J1289" s="10">
        <f>IFERROR(SUMIFS('Base bordo'!G$2:G$746,'Base bordo'!C$2:C$746,A1289,'Base bordo'!B$2:B$746,B1289,'Base bordo'!F$2:F$746,"BALANÇA - ENTRADA"),0)+IFERROR(SUMIFS('Base bordo'!G$2:G$746,'Base bordo'!C$2:C$746,A1289,'Base bordo'!B$2:B$746,B1289,'Base bordo'!F$2:F$746,"BALANÇA - SAÍDA"),0)</f>
        <v>7.8611111111111104E-2</v>
      </c>
      <c r="K1289" s="10">
        <f>IFERROR(SUMIFS('Base bordo'!G$2:G$746,'Base bordo'!C$2:C$746,A1289,'Base bordo'!B$2:B$746,B1289,'Base bordo'!F$2:F$746,"MAN PREVENTIVA - MECANICA"),0)+IFERROR(SUMIFS('Base bordo'!G$2:G$746,'Base bordo'!C$2:C$746,A1289,'Base bordo'!B$2:B$746,B1289,'Base bordo'!F$2:F$746,"MAN CORRETIVA - MECANICA"),0)</f>
        <v>0</v>
      </c>
      <c r="L1289" s="10">
        <f>IFERROR(SUMIFS('Base bordo'!G$2:G$746,'Base bordo'!C$2:C$746,A1289,'Base bordo'!B$2:B$746,B1289,'Base bordo'!F$2:F$746,"MANUTENCAO - T O"),0)+IFERROR(SUMIFS('Base bordo'!G$2:G$746,'Base bordo'!C$2:C$746,A1289,'Base bordo'!B$2:B$746,B1289,'Base bordo'!F$2:F$746,"MANUTENCAO BORRACHARIA"),0)+IFERROR(SUMIFS('Base bordo'!G$2:G$746,'Base bordo'!C$2:C$746,A1289,'Base bordo'!B$2:B$746,B1289,'Base bordo'!F$2:F$746,"MANUTENCAO EXTERNA  CONCESSIONARIA"),0)+IFERROR(SUMIFS('Base bordo'!G$2:G$746,'Base bordo'!C$2:C$746,A1289,'Base bordo'!B$2:B$746,B1289,'Base bordo'!F$2:F$746,"MANUTENCAO TELEMETRIA"),0)</f>
        <v>0</v>
      </c>
      <c r="M1289" s="10">
        <f>IFERROR(SUMIFS('Base bordo'!G$2:G$746,'Base bordo'!C$2:C$746,A1289,'Base bordo'!B$2:B$746,B1289,'Base bordo'!F$2:F$746,"AGUARDANDO MANUTENCAO"),0)</f>
        <v>0</v>
      </c>
      <c r="N1289" s="10">
        <f>IFERROR(SUMIFS('Base bordo'!G$2:G$746,'Base bordo'!C$2:C$746,A1289,'Base bordo'!B$2:B$746,B1289,'Base bordo'!F$2:F$746,"SEM APONTAMENTO"),0)</f>
        <v>0</v>
      </c>
      <c r="O1289" s="10">
        <f t="shared" si="126"/>
        <v>-8.8817841970012523E-16</v>
      </c>
      <c r="P1289" s="10">
        <f>IFERROR(SUMIFS('Base bordo'!G$2:G$746,'Base bordo'!C$2:C$746,A1289,'Base bordo'!B$2:B$746,B1289),0)</f>
        <v>7.7449999999999983</v>
      </c>
      <c r="Q1289" s="10">
        <f>IFERROR(SUMIFS('Base bordo'!H$2:H$746,'Base bordo'!C$2:C$746,A1289,'Base bordo'!B$2:B$746,B1289,'Base bordo'!F$2:F$746,"DESLOCAMENTO VAZIO"),0)</f>
        <v>56346.78</v>
      </c>
      <c r="R1289" s="10">
        <f>IFERROR(SUMIFS('Base bordo'!I$2:I$746,'Base bordo'!C$2:C$746,A1289,'Base bordo'!B$2:B$746,B1289,'Base bordo'!F$2:F$746,"DESLOCAMENTO VAZIO"),0)</f>
        <v>2522</v>
      </c>
      <c r="S1289" s="30">
        <f t="shared" si="127"/>
        <v>22.342101506740683</v>
      </c>
      <c r="T1289" s="10">
        <f>IFERROR(SUMIFS('Base bordo'!H$2:H$746,'Base bordo'!C$2:C$746,A1289,'Base bordo'!B$2:B$746,B1289,'Base bordo'!F$2:F$746,"DESLOCAMENTO CARREGADO"),0)</f>
        <v>41086.33</v>
      </c>
      <c r="U1289" s="10">
        <f>IFERROR(SUMIFS('Base bordo'!I$2:I$746,'Base bordo'!C$2:C$746,A1289,'Base bordo'!B$2:B$746,B1289,'Base bordo'!F$2:F$746,"DESLOCAMENTO CARREGADO"),0)</f>
        <v>2172</v>
      </c>
      <c r="V1289" s="30">
        <f t="shared" si="128"/>
        <v>18.916358195211789</v>
      </c>
      <c r="W1289" s="9">
        <f t="shared" si="129"/>
        <v>9.0452621763144711E-2</v>
      </c>
      <c r="X1289" s="9">
        <f t="shared" si="130"/>
        <v>7.7899720249623439E-2</v>
      </c>
      <c r="Y1289" s="9">
        <f t="shared" si="131"/>
        <v>0.83164765798723184</v>
      </c>
    </row>
    <row r="1290" spans="1:25" ht="15" customHeight="1" x14ac:dyDescent="0.35">
      <c r="A1290" s="52">
        <v>8013475</v>
      </c>
      <c r="B1290" s="51">
        <v>46124</v>
      </c>
      <c r="C1290" s="7" t="s">
        <v>124</v>
      </c>
      <c r="D1290" s="10">
        <f>IFERROR(SUMIFS('Base bordo'!G$2:G$746,'Base bordo'!C$2:C$746,A1290,'Base bordo'!B$2:B$746,B1290,'Base bordo'!F$2:F$746,"DESLOCAMENTO VAZIO"),0)</f>
        <v>0.7005555555555556</v>
      </c>
      <c r="E1290" s="10">
        <f>IFERROR(SUMIFS('Base bordo'!G$2:G$746,'Base bordo'!C$2:C$746,A1290,'Base bordo'!B$2:B$746,B1290,'Base bordo'!F$2:F$746,"DESLOCAMENTO CARREGADO"),0)</f>
        <v>0.60333333333333339</v>
      </c>
      <c r="F1290" s="10">
        <f>IFERROR(SUMIFS('Base bordo'!G$2:G$746,'Base bordo'!C$2:C$746,A1290,'Base bordo'!B$2:B$746,B1290,'Base bordo'!F$2:F$746,"DESLOCAMENTO"),0)</f>
        <v>0</v>
      </c>
      <c r="G1290" s="10">
        <f>IFERROR(SUMIFS('Base bordo'!G$2:G$746,'Base bordo'!C$2:C$746,A1290,'Base bordo'!B$2:B$746,B1290,'Base bordo'!F$2:F$746,"CARREGAMENTO"),0)</f>
        <v>0</v>
      </c>
      <c r="H1290" s="10">
        <f>IFERROR(SUMIFS('Base bordo'!G$2:G$746,'Base bordo'!C$2:C$746,A1290,'Base bordo'!B$2:B$746,B1290,'Base bordo'!F$2:F$746,"AGUARDANDO TRANSBORDO"),0)</f>
        <v>0.57722222222222219</v>
      </c>
      <c r="I1290" s="10">
        <f>IFERROR(SUMIFS('Base bordo'!G$2:G$746,'Base bordo'!C$2:C$746,A1290,'Base bordo'!B$2:B$746,B1290,'Base bordo'!F$2:F$746,"PÁTIO INTERNO"),0)+IFERROR(SUMIFS('Base bordo'!G$2:G$746,'Base bordo'!C$2:C$746,A1290,'Base bordo'!B$2:B$746,B1290,'Base bordo'!F$2:F$746,"PÁTIO EXTERNO"),0)+IFERROR(SUMIFS('Base bordo'!G$2:G$746,'Base bordo'!C$2:C$746,A1290,'Base bordo'!B$2:B$746,B1290,'Base bordo'!F$2:F$746,"PATIO - RESERVA"),0)+IFERROR(SUMIFS('Base bordo'!G$2:G$746,'Base bordo'!C$2:C$746,A1290,'Base bordo'!B$2:B$746,B1290,'Base bordo'!F$2:F$746,"MANOBRA CARRETAS-PATIO"),0)</f>
        <v>5.7852777777777771</v>
      </c>
      <c r="J1290" s="10">
        <f>IFERROR(SUMIFS('Base bordo'!G$2:G$746,'Base bordo'!C$2:C$746,A1290,'Base bordo'!B$2:B$746,B1290,'Base bordo'!F$2:F$746,"BALANÇA - ENTRADA"),0)+IFERROR(SUMIFS('Base bordo'!G$2:G$746,'Base bordo'!C$2:C$746,A1290,'Base bordo'!B$2:B$746,B1290,'Base bordo'!F$2:F$746,"BALANÇA - SAÍDA"),0)</f>
        <v>7.8611111111111104E-2</v>
      </c>
      <c r="K1290" s="10">
        <f>IFERROR(SUMIFS('Base bordo'!G$2:G$746,'Base bordo'!C$2:C$746,A1290,'Base bordo'!B$2:B$746,B1290,'Base bordo'!F$2:F$746,"MAN PREVENTIVA - MECANICA"),0)+IFERROR(SUMIFS('Base bordo'!G$2:G$746,'Base bordo'!C$2:C$746,A1290,'Base bordo'!B$2:B$746,B1290,'Base bordo'!F$2:F$746,"MAN CORRETIVA - MECANICA"),0)</f>
        <v>0</v>
      </c>
      <c r="L1290" s="10">
        <f>IFERROR(SUMIFS('Base bordo'!G$2:G$746,'Base bordo'!C$2:C$746,A1290,'Base bordo'!B$2:B$746,B1290,'Base bordo'!F$2:F$746,"MANUTENCAO - T O"),0)+IFERROR(SUMIFS('Base bordo'!G$2:G$746,'Base bordo'!C$2:C$746,A1290,'Base bordo'!B$2:B$746,B1290,'Base bordo'!F$2:F$746,"MANUTENCAO BORRACHARIA"),0)+IFERROR(SUMIFS('Base bordo'!G$2:G$746,'Base bordo'!C$2:C$746,A1290,'Base bordo'!B$2:B$746,B1290,'Base bordo'!F$2:F$746,"MANUTENCAO EXTERNA  CONCESSIONARIA"),0)+IFERROR(SUMIFS('Base bordo'!G$2:G$746,'Base bordo'!C$2:C$746,A1290,'Base bordo'!B$2:B$746,B1290,'Base bordo'!F$2:F$746,"MANUTENCAO TELEMETRIA"),0)</f>
        <v>0</v>
      </c>
      <c r="M1290" s="10">
        <f>IFERROR(SUMIFS('Base bordo'!G$2:G$746,'Base bordo'!C$2:C$746,A1290,'Base bordo'!B$2:B$746,B1290,'Base bordo'!F$2:F$746,"AGUARDANDO MANUTENCAO"),0)</f>
        <v>0</v>
      </c>
      <c r="N1290" s="10">
        <f>IFERROR(SUMIFS('Base bordo'!G$2:G$746,'Base bordo'!C$2:C$746,A1290,'Base bordo'!B$2:B$746,B1290,'Base bordo'!F$2:F$746,"SEM APONTAMENTO"),0)</f>
        <v>0</v>
      </c>
      <c r="O1290" s="10">
        <f t="shared" si="126"/>
        <v>-8.8817841970012523E-16</v>
      </c>
      <c r="P1290" s="10">
        <f>IFERROR(SUMIFS('Base bordo'!G$2:G$746,'Base bordo'!C$2:C$746,A1290,'Base bordo'!B$2:B$746,B1290),0)</f>
        <v>7.7449999999999983</v>
      </c>
      <c r="Q1290" s="10">
        <f>IFERROR(SUMIFS('Base bordo'!H$2:H$746,'Base bordo'!C$2:C$746,A1290,'Base bordo'!B$2:B$746,B1290,'Base bordo'!F$2:F$746,"DESLOCAMENTO VAZIO"),0)</f>
        <v>56346.78</v>
      </c>
      <c r="R1290" s="10">
        <f>IFERROR(SUMIFS('Base bordo'!I$2:I$746,'Base bordo'!C$2:C$746,A1290,'Base bordo'!B$2:B$746,B1290,'Base bordo'!F$2:F$746,"DESLOCAMENTO VAZIO"),0)</f>
        <v>2522</v>
      </c>
      <c r="S1290" s="30">
        <f t="shared" si="127"/>
        <v>22.342101506740683</v>
      </c>
      <c r="T1290" s="10">
        <f>IFERROR(SUMIFS('Base bordo'!H$2:H$746,'Base bordo'!C$2:C$746,A1290,'Base bordo'!B$2:B$746,B1290,'Base bordo'!F$2:F$746,"DESLOCAMENTO CARREGADO"),0)</f>
        <v>41086.33</v>
      </c>
      <c r="U1290" s="10">
        <f>IFERROR(SUMIFS('Base bordo'!I$2:I$746,'Base bordo'!C$2:C$746,A1290,'Base bordo'!B$2:B$746,B1290,'Base bordo'!F$2:F$746,"DESLOCAMENTO CARREGADO"),0)</f>
        <v>2172</v>
      </c>
      <c r="V1290" s="30">
        <f t="shared" si="128"/>
        <v>18.916358195211789</v>
      </c>
      <c r="W1290" s="9">
        <f t="shared" si="129"/>
        <v>9.0452621763144711E-2</v>
      </c>
      <c r="X1290" s="9">
        <f t="shared" si="130"/>
        <v>7.7899720249623439E-2</v>
      </c>
      <c r="Y1290" s="9">
        <f t="shared" si="131"/>
        <v>0.83164765798723184</v>
      </c>
    </row>
    <row r="1291" spans="1:25" ht="15" customHeight="1" x14ac:dyDescent="0.35">
      <c r="A1291" s="52">
        <v>8013475</v>
      </c>
      <c r="B1291" s="51">
        <v>46124</v>
      </c>
      <c r="C1291" s="7" t="s">
        <v>124</v>
      </c>
      <c r="D1291" s="10">
        <f>IFERROR(SUMIFS('Base bordo'!G$2:G$746,'Base bordo'!C$2:C$746,A1291,'Base bordo'!B$2:B$746,B1291,'Base bordo'!F$2:F$746,"DESLOCAMENTO VAZIO"),0)</f>
        <v>0.7005555555555556</v>
      </c>
      <c r="E1291" s="10">
        <f>IFERROR(SUMIFS('Base bordo'!G$2:G$746,'Base bordo'!C$2:C$746,A1291,'Base bordo'!B$2:B$746,B1291,'Base bordo'!F$2:F$746,"DESLOCAMENTO CARREGADO"),0)</f>
        <v>0.60333333333333339</v>
      </c>
      <c r="F1291" s="10">
        <f>IFERROR(SUMIFS('Base bordo'!G$2:G$746,'Base bordo'!C$2:C$746,A1291,'Base bordo'!B$2:B$746,B1291,'Base bordo'!F$2:F$746,"DESLOCAMENTO"),0)</f>
        <v>0</v>
      </c>
      <c r="G1291" s="10">
        <f>IFERROR(SUMIFS('Base bordo'!G$2:G$746,'Base bordo'!C$2:C$746,A1291,'Base bordo'!B$2:B$746,B1291,'Base bordo'!F$2:F$746,"CARREGAMENTO"),0)</f>
        <v>0</v>
      </c>
      <c r="H1291" s="10">
        <f>IFERROR(SUMIFS('Base bordo'!G$2:G$746,'Base bordo'!C$2:C$746,A1291,'Base bordo'!B$2:B$746,B1291,'Base bordo'!F$2:F$746,"AGUARDANDO TRANSBORDO"),0)</f>
        <v>0.57722222222222219</v>
      </c>
      <c r="I1291" s="10">
        <f>IFERROR(SUMIFS('Base bordo'!G$2:G$746,'Base bordo'!C$2:C$746,A1291,'Base bordo'!B$2:B$746,B1291,'Base bordo'!F$2:F$746,"PÁTIO INTERNO"),0)+IFERROR(SUMIFS('Base bordo'!G$2:G$746,'Base bordo'!C$2:C$746,A1291,'Base bordo'!B$2:B$746,B1291,'Base bordo'!F$2:F$746,"PÁTIO EXTERNO"),0)+IFERROR(SUMIFS('Base bordo'!G$2:G$746,'Base bordo'!C$2:C$746,A1291,'Base bordo'!B$2:B$746,B1291,'Base bordo'!F$2:F$746,"PATIO - RESERVA"),0)+IFERROR(SUMIFS('Base bordo'!G$2:G$746,'Base bordo'!C$2:C$746,A1291,'Base bordo'!B$2:B$746,B1291,'Base bordo'!F$2:F$746,"MANOBRA CARRETAS-PATIO"),0)</f>
        <v>5.7852777777777771</v>
      </c>
      <c r="J1291" s="10">
        <f>IFERROR(SUMIFS('Base bordo'!G$2:G$746,'Base bordo'!C$2:C$746,A1291,'Base bordo'!B$2:B$746,B1291,'Base bordo'!F$2:F$746,"BALANÇA - ENTRADA"),0)+IFERROR(SUMIFS('Base bordo'!G$2:G$746,'Base bordo'!C$2:C$746,A1291,'Base bordo'!B$2:B$746,B1291,'Base bordo'!F$2:F$746,"BALANÇA - SAÍDA"),0)</f>
        <v>7.8611111111111104E-2</v>
      </c>
      <c r="K1291" s="10">
        <f>IFERROR(SUMIFS('Base bordo'!G$2:G$746,'Base bordo'!C$2:C$746,A1291,'Base bordo'!B$2:B$746,B1291,'Base bordo'!F$2:F$746,"MAN PREVENTIVA - MECANICA"),0)+IFERROR(SUMIFS('Base bordo'!G$2:G$746,'Base bordo'!C$2:C$746,A1291,'Base bordo'!B$2:B$746,B1291,'Base bordo'!F$2:F$746,"MAN CORRETIVA - MECANICA"),0)</f>
        <v>0</v>
      </c>
      <c r="L1291" s="10">
        <f>IFERROR(SUMIFS('Base bordo'!G$2:G$746,'Base bordo'!C$2:C$746,A1291,'Base bordo'!B$2:B$746,B1291,'Base bordo'!F$2:F$746,"MANUTENCAO - T O"),0)+IFERROR(SUMIFS('Base bordo'!G$2:G$746,'Base bordo'!C$2:C$746,A1291,'Base bordo'!B$2:B$746,B1291,'Base bordo'!F$2:F$746,"MANUTENCAO BORRACHARIA"),0)+IFERROR(SUMIFS('Base bordo'!G$2:G$746,'Base bordo'!C$2:C$746,A1291,'Base bordo'!B$2:B$746,B1291,'Base bordo'!F$2:F$746,"MANUTENCAO EXTERNA  CONCESSIONARIA"),0)+IFERROR(SUMIFS('Base bordo'!G$2:G$746,'Base bordo'!C$2:C$746,A1291,'Base bordo'!B$2:B$746,B1291,'Base bordo'!F$2:F$746,"MANUTENCAO TELEMETRIA"),0)</f>
        <v>0</v>
      </c>
      <c r="M1291" s="10">
        <f>IFERROR(SUMIFS('Base bordo'!G$2:G$746,'Base bordo'!C$2:C$746,A1291,'Base bordo'!B$2:B$746,B1291,'Base bordo'!F$2:F$746,"AGUARDANDO MANUTENCAO"),0)</f>
        <v>0</v>
      </c>
      <c r="N1291" s="10">
        <f>IFERROR(SUMIFS('Base bordo'!G$2:G$746,'Base bordo'!C$2:C$746,A1291,'Base bordo'!B$2:B$746,B1291,'Base bordo'!F$2:F$746,"SEM APONTAMENTO"),0)</f>
        <v>0</v>
      </c>
      <c r="O1291" s="10">
        <f t="shared" si="126"/>
        <v>-8.8817841970012523E-16</v>
      </c>
      <c r="P1291" s="10">
        <f>IFERROR(SUMIFS('Base bordo'!G$2:G$746,'Base bordo'!C$2:C$746,A1291,'Base bordo'!B$2:B$746,B1291),0)</f>
        <v>7.7449999999999983</v>
      </c>
      <c r="Q1291" s="10">
        <f>IFERROR(SUMIFS('Base bordo'!H$2:H$746,'Base bordo'!C$2:C$746,A1291,'Base bordo'!B$2:B$746,B1291,'Base bordo'!F$2:F$746,"DESLOCAMENTO VAZIO"),0)</f>
        <v>56346.78</v>
      </c>
      <c r="R1291" s="10">
        <f>IFERROR(SUMIFS('Base bordo'!I$2:I$746,'Base bordo'!C$2:C$746,A1291,'Base bordo'!B$2:B$746,B1291,'Base bordo'!F$2:F$746,"DESLOCAMENTO VAZIO"),0)</f>
        <v>2522</v>
      </c>
      <c r="S1291" s="30">
        <f t="shared" si="127"/>
        <v>22.342101506740683</v>
      </c>
      <c r="T1291" s="10">
        <f>IFERROR(SUMIFS('Base bordo'!H$2:H$746,'Base bordo'!C$2:C$746,A1291,'Base bordo'!B$2:B$746,B1291,'Base bordo'!F$2:F$746,"DESLOCAMENTO CARREGADO"),0)</f>
        <v>41086.33</v>
      </c>
      <c r="U1291" s="10">
        <f>IFERROR(SUMIFS('Base bordo'!I$2:I$746,'Base bordo'!C$2:C$746,A1291,'Base bordo'!B$2:B$746,B1291,'Base bordo'!F$2:F$746,"DESLOCAMENTO CARREGADO"),0)</f>
        <v>2172</v>
      </c>
      <c r="V1291" s="30">
        <f t="shared" si="128"/>
        <v>18.916358195211789</v>
      </c>
      <c r="W1291" s="9">
        <f t="shared" si="129"/>
        <v>9.0452621763144711E-2</v>
      </c>
      <c r="X1291" s="9">
        <f t="shared" si="130"/>
        <v>7.7899720249623439E-2</v>
      </c>
      <c r="Y1291" s="9">
        <f t="shared" si="131"/>
        <v>0.83164765798723184</v>
      </c>
    </row>
    <row r="1292" spans="1:25" ht="15" customHeight="1" x14ac:dyDescent="0.35">
      <c r="A1292" s="52">
        <v>8013475</v>
      </c>
      <c r="B1292" s="51">
        <v>46124</v>
      </c>
      <c r="C1292" s="7" t="s">
        <v>124</v>
      </c>
      <c r="D1292" s="10">
        <f>IFERROR(SUMIFS('Base bordo'!G$2:G$746,'Base bordo'!C$2:C$746,A1292,'Base bordo'!B$2:B$746,B1292,'Base bordo'!F$2:F$746,"DESLOCAMENTO VAZIO"),0)</f>
        <v>0.7005555555555556</v>
      </c>
      <c r="E1292" s="10">
        <f>IFERROR(SUMIFS('Base bordo'!G$2:G$746,'Base bordo'!C$2:C$746,A1292,'Base bordo'!B$2:B$746,B1292,'Base bordo'!F$2:F$746,"DESLOCAMENTO CARREGADO"),0)</f>
        <v>0.60333333333333339</v>
      </c>
      <c r="F1292" s="10">
        <f>IFERROR(SUMIFS('Base bordo'!G$2:G$746,'Base bordo'!C$2:C$746,A1292,'Base bordo'!B$2:B$746,B1292,'Base bordo'!F$2:F$746,"DESLOCAMENTO"),0)</f>
        <v>0</v>
      </c>
      <c r="G1292" s="10">
        <f>IFERROR(SUMIFS('Base bordo'!G$2:G$746,'Base bordo'!C$2:C$746,A1292,'Base bordo'!B$2:B$746,B1292,'Base bordo'!F$2:F$746,"CARREGAMENTO"),0)</f>
        <v>0</v>
      </c>
      <c r="H1292" s="10">
        <f>IFERROR(SUMIFS('Base bordo'!G$2:G$746,'Base bordo'!C$2:C$746,A1292,'Base bordo'!B$2:B$746,B1292,'Base bordo'!F$2:F$746,"AGUARDANDO TRANSBORDO"),0)</f>
        <v>0.57722222222222219</v>
      </c>
      <c r="I1292" s="10">
        <f>IFERROR(SUMIFS('Base bordo'!G$2:G$746,'Base bordo'!C$2:C$746,A1292,'Base bordo'!B$2:B$746,B1292,'Base bordo'!F$2:F$746,"PÁTIO INTERNO"),0)+IFERROR(SUMIFS('Base bordo'!G$2:G$746,'Base bordo'!C$2:C$746,A1292,'Base bordo'!B$2:B$746,B1292,'Base bordo'!F$2:F$746,"PÁTIO EXTERNO"),0)+IFERROR(SUMIFS('Base bordo'!G$2:G$746,'Base bordo'!C$2:C$746,A1292,'Base bordo'!B$2:B$746,B1292,'Base bordo'!F$2:F$746,"PATIO - RESERVA"),0)+IFERROR(SUMIFS('Base bordo'!G$2:G$746,'Base bordo'!C$2:C$746,A1292,'Base bordo'!B$2:B$746,B1292,'Base bordo'!F$2:F$746,"MANOBRA CARRETAS-PATIO"),0)</f>
        <v>5.7852777777777771</v>
      </c>
      <c r="J1292" s="10">
        <f>IFERROR(SUMIFS('Base bordo'!G$2:G$746,'Base bordo'!C$2:C$746,A1292,'Base bordo'!B$2:B$746,B1292,'Base bordo'!F$2:F$746,"BALANÇA - ENTRADA"),0)+IFERROR(SUMIFS('Base bordo'!G$2:G$746,'Base bordo'!C$2:C$746,A1292,'Base bordo'!B$2:B$746,B1292,'Base bordo'!F$2:F$746,"BALANÇA - SAÍDA"),0)</f>
        <v>7.8611111111111104E-2</v>
      </c>
      <c r="K1292" s="10">
        <f>IFERROR(SUMIFS('Base bordo'!G$2:G$746,'Base bordo'!C$2:C$746,A1292,'Base bordo'!B$2:B$746,B1292,'Base bordo'!F$2:F$746,"MAN PREVENTIVA - MECANICA"),0)+IFERROR(SUMIFS('Base bordo'!G$2:G$746,'Base bordo'!C$2:C$746,A1292,'Base bordo'!B$2:B$746,B1292,'Base bordo'!F$2:F$746,"MAN CORRETIVA - MECANICA"),0)</f>
        <v>0</v>
      </c>
      <c r="L1292" s="10">
        <f>IFERROR(SUMIFS('Base bordo'!G$2:G$746,'Base bordo'!C$2:C$746,A1292,'Base bordo'!B$2:B$746,B1292,'Base bordo'!F$2:F$746,"MANUTENCAO - T O"),0)+IFERROR(SUMIFS('Base bordo'!G$2:G$746,'Base bordo'!C$2:C$746,A1292,'Base bordo'!B$2:B$746,B1292,'Base bordo'!F$2:F$746,"MANUTENCAO BORRACHARIA"),0)+IFERROR(SUMIFS('Base bordo'!G$2:G$746,'Base bordo'!C$2:C$746,A1292,'Base bordo'!B$2:B$746,B1292,'Base bordo'!F$2:F$746,"MANUTENCAO EXTERNA  CONCESSIONARIA"),0)+IFERROR(SUMIFS('Base bordo'!G$2:G$746,'Base bordo'!C$2:C$746,A1292,'Base bordo'!B$2:B$746,B1292,'Base bordo'!F$2:F$746,"MANUTENCAO TELEMETRIA"),0)</f>
        <v>0</v>
      </c>
      <c r="M1292" s="10">
        <f>IFERROR(SUMIFS('Base bordo'!G$2:G$746,'Base bordo'!C$2:C$746,A1292,'Base bordo'!B$2:B$746,B1292,'Base bordo'!F$2:F$746,"AGUARDANDO MANUTENCAO"),0)</f>
        <v>0</v>
      </c>
      <c r="N1292" s="10">
        <f>IFERROR(SUMIFS('Base bordo'!G$2:G$746,'Base bordo'!C$2:C$746,A1292,'Base bordo'!B$2:B$746,B1292,'Base bordo'!F$2:F$746,"SEM APONTAMENTO"),0)</f>
        <v>0</v>
      </c>
      <c r="O1292" s="10">
        <f t="shared" si="126"/>
        <v>-8.8817841970012523E-16</v>
      </c>
      <c r="P1292" s="10">
        <f>IFERROR(SUMIFS('Base bordo'!G$2:G$746,'Base bordo'!C$2:C$746,A1292,'Base bordo'!B$2:B$746,B1292),0)</f>
        <v>7.7449999999999983</v>
      </c>
      <c r="Q1292" s="10">
        <f>IFERROR(SUMIFS('Base bordo'!H$2:H$746,'Base bordo'!C$2:C$746,A1292,'Base bordo'!B$2:B$746,B1292,'Base bordo'!F$2:F$746,"DESLOCAMENTO VAZIO"),0)</f>
        <v>56346.78</v>
      </c>
      <c r="R1292" s="10">
        <f>IFERROR(SUMIFS('Base bordo'!I$2:I$746,'Base bordo'!C$2:C$746,A1292,'Base bordo'!B$2:B$746,B1292,'Base bordo'!F$2:F$746,"DESLOCAMENTO VAZIO"),0)</f>
        <v>2522</v>
      </c>
      <c r="S1292" s="30">
        <f t="shared" si="127"/>
        <v>22.342101506740683</v>
      </c>
      <c r="T1292" s="10">
        <f>IFERROR(SUMIFS('Base bordo'!H$2:H$746,'Base bordo'!C$2:C$746,A1292,'Base bordo'!B$2:B$746,B1292,'Base bordo'!F$2:F$746,"DESLOCAMENTO CARREGADO"),0)</f>
        <v>41086.33</v>
      </c>
      <c r="U1292" s="10">
        <f>IFERROR(SUMIFS('Base bordo'!I$2:I$746,'Base bordo'!C$2:C$746,A1292,'Base bordo'!B$2:B$746,B1292,'Base bordo'!F$2:F$746,"DESLOCAMENTO CARREGADO"),0)</f>
        <v>2172</v>
      </c>
      <c r="V1292" s="30">
        <f t="shared" si="128"/>
        <v>18.916358195211789</v>
      </c>
      <c r="W1292" s="9">
        <f t="shared" si="129"/>
        <v>9.0452621763144711E-2</v>
      </c>
      <c r="X1292" s="9">
        <f t="shared" si="130"/>
        <v>7.7899720249623439E-2</v>
      </c>
      <c r="Y1292" s="9">
        <f t="shared" si="131"/>
        <v>0.83164765798723184</v>
      </c>
    </row>
    <row r="1293" spans="1:25" ht="15" customHeight="1" x14ac:dyDescent="0.35">
      <c r="A1293" s="52">
        <v>8013475</v>
      </c>
      <c r="B1293" s="51">
        <v>46124</v>
      </c>
      <c r="C1293" s="7" t="s">
        <v>124</v>
      </c>
      <c r="D1293" s="10">
        <f>IFERROR(SUMIFS('Base bordo'!G$2:G$746,'Base bordo'!C$2:C$746,A1293,'Base bordo'!B$2:B$746,B1293,'Base bordo'!F$2:F$746,"DESLOCAMENTO VAZIO"),0)</f>
        <v>0.7005555555555556</v>
      </c>
      <c r="E1293" s="10">
        <f>IFERROR(SUMIFS('Base bordo'!G$2:G$746,'Base bordo'!C$2:C$746,A1293,'Base bordo'!B$2:B$746,B1293,'Base bordo'!F$2:F$746,"DESLOCAMENTO CARREGADO"),0)</f>
        <v>0.60333333333333339</v>
      </c>
      <c r="F1293" s="10">
        <f>IFERROR(SUMIFS('Base bordo'!G$2:G$746,'Base bordo'!C$2:C$746,A1293,'Base bordo'!B$2:B$746,B1293,'Base bordo'!F$2:F$746,"DESLOCAMENTO"),0)</f>
        <v>0</v>
      </c>
      <c r="G1293" s="10">
        <f>IFERROR(SUMIFS('Base bordo'!G$2:G$746,'Base bordo'!C$2:C$746,A1293,'Base bordo'!B$2:B$746,B1293,'Base bordo'!F$2:F$746,"CARREGAMENTO"),0)</f>
        <v>0</v>
      </c>
      <c r="H1293" s="10">
        <f>IFERROR(SUMIFS('Base bordo'!G$2:G$746,'Base bordo'!C$2:C$746,A1293,'Base bordo'!B$2:B$746,B1293,'Base bordo'!F$2:F$746,"AGUARDANDO TRANSBORDO"),0)</f>
        <v>0.57722222222222219</v>
      </c>
      <c r="I1293" s="10">
        <f>IFERROR(SUMIFS('Base bordo'!G$2:G$746,'Base bordo'!C$2:C$746,A1293,'Base bordo'!B$2:B$746,B1293,'Base bordo'!F$2:F$746,"PÁTIO INTERNO"),0)+IFERROR(SUMIFS('Base bordo'!G$2:G$746,'Base bordo'!C$2:C$746,A1293,'Base bordo'!B$2:B$746,B1293,'Base bordo'!F$2:F$746,"PÁTIO EXTERNO"),0)+IFERROR(SUMIFS('Base bordo'!G$2:G$746,'Base bordo'!C$2:C$746,A1293,'Base bordo'!B$2:B$746,B1293,'Base bordo'!F$2:F$746,"PATIO - RESERVA"),0)+IFERROR(SUMIFS('Base bordo'!G$2:G$746,'Base bordo'!C$2:C$746,A1293,'Base bordo'!B$2:B$746,B1293,'Base bordo'!F$2:F$746,"MANOBRA CARRETAS-PATIO"),0)</f>
        <v>5.7852777777777771</v>
      </c>
      <c r="J1293" s="10">
        <f>IFERROR(SUMIFS('Base bordo'!G$2:G$746,'Base bordo'!C$2:C$746,A1293,'Base bordo'!B$2:B$746,B1293,'Base bordo'!F$2:F$746,"BALANÇA - ENTRADA"),0)+IFERROR(SUMIFS('Base bordo'!G$2:G$746,'Base bordo'!C$2:C$746,A1293,'Base bordo'!B$2:B$746,B1293,'Base bordo'!F$2:F$746,"BALANÇA - SAÍDA"),0)</f>
        <v>7.8611111111111104E-2</v>
      </c>
      <c r="K1293" s="10">
        <f>IFERROR(SUMIFS('Base bordo'!G$2:G$746,'Base bordo'!C$2:C$746,A1293,'Base bordo'!B$2:B$746,B1293,'Base bordo'!F$2:F$746,"MAN PREVENTIVA - MECANICA"),0)+IFERROR(SUMIFS('Base bordo'!G$2:G$746,'Base bordo'!C$2:C$746,A1293,'Base bordo'!B$2:B$746,B1293,'Base bordo'!F$2:F$746,"MAN CORRETIVA - MECANICA"),0)</f>
        <v>0</v>
      </c>
      <c r="L1293" s="10">
        <f>IFERROR(SUMIFS('Base bordo'!G$2:G$746,'Base bordo'!C$2:C$746,A1293,'Base bordo'!B$2:B$746,B1293,'Base bordo'!F$2:F$746,"MANUTENCAO - T O"),0)+IFERROR(SUMIFS('Base bordo'!G$2:G$746,'Base bordo'!C$2:C$746,A1293,'Base bordo'!B$2:B$746,B1293,'Base bordo'!F$2:F$746,"MANUTENCAO BORRACHARIA"),0)+IFERROR(SUMIFS('Base bordo'!G$2:G$746,'Base bordo'!C$2:C$746,A1293,'Base bordo'!B$2:B$746,B1293,'Base bordo'!F$2:F$746,"MANUTENCAO EXTERNA  CONCESSIONARIA"),0)+IFERROR(SUMIFS('Base bordo'!G$2:G$746,'Base bordo'!C$2:C$746,A1293,'Base bordo'!B$2:B$746,B1293,'Base bordo'!F$2:F$746,"MANUTENCAO TELEMETRIA"),0)</f>
        <v>0</v>
      </c>
      <c r="M1293" s="10">
        <f>IFERROR(SUMIFS('Base bordo'!G$2:G$746,'Base bordo'!C$2:C$746,A1293,'Base bordo'!B$2:B$746,B1293,'Base bordo'!F$2:F$746,"AGUARDANDO MANUTENCAO"),0)</f>
        <v>0</v>
      </c>
      <c r="N1293" s="10">
        <f>IFERROR(SUMIFS('Base bordo'!G$2:G$746,'Base bordo'!C$2:C$746,A1293,'Base bordo'!B$2:B$746,B1293,'Base bordo'!F$2:F$746,"SEM APONTAMENTO"),0)</f>
        <v>0</v>
      </c>
      <c r="O1293" s="10">
        <f t="shared" si="126"/>
        <v>-8.8817841970012523E-16</v>
      </c>
      <c r="P1293" s="10">
        <f>IFERROR(SUMIFS('Base bordo'!G$2:G$746,'Base bordo'!C$2:C$746,A1293,'Base bordo'!B$2:B$746,B1293),0)</f>
        <v>7.7449999999999983</v>
      </c>
      <c r="Q1293" s="10">
        <f>IFERROR(SUMIFS('Base bordo'!H$2:H$746,'Base bordo'!C$2:C$746,A1293,'Base bordo'!B$2:B$746,B1293,'Base bordo'!F$2:F$746,"DESLOCAMENTO VAZIO"),0)</f>
        <v>56346.78</v>
      </c>
      <c r="R1293" s="10">
        <f>IFERROR(SUMIFS('Base bordo'!I$2:I$746,'Base bordo'!C$2:C$746,A1293,'Base bordo'!B$2:B$746,B1293,'Base bordo'!F$2:F$746,"DESLOCAMENTO VAZIO"),0)</f>
        <v>2522</v>
      </c>
      <c r="S1293" s="30">
        <f t="shared" si="127"/>
        <v>22.342101506740683</v>
      </c>
      <c r="T1293" s="10">
        <f>IFERROR(SUMIFS('Base bordo'!H$2:H$746,'Base bordo'!C$2:C$746,A1293,'Base bordo'!B$2:B$746,B1293,'Base bordo'!F$2:F$746,"DESLOCAMENTO CARREGADO"),0)</f>
        <v>41086.33</v>
      </c>
      <c r="U1293" s="10">
        <f>IFERROR(SUMIFS('Base bordo'!I$2:I$746,'Base bordo'!C$2:C$746,A1293,'Base bordo'!B$2:B$746,B1293,'Base bordo'!F$2:F$746,"DESLOCAMENTO CARREGADO"),0)</f>
        <v>2172</v>
      </c>
      <c r="V1293" s="30">
        <f t="shared" si="128"/>
        <v>18.916358195211789</v>
      </c>
      <c r="W1293" s="9">
        <f t="shared" si="129"/>
        <v>9.0452621763144711E-2</v>
      </c>
      <c r="X1293" s="9">
        <f t="shared" si="130"/>
        <v>7.7899720249623439E-2</v>
      </c>
      <c r="Y1293" s="9">
        <f t="shared" si="131"/>
        <v>0.83164765798723184</v>
      </c>
    </row>
    <row r="1294" spans="1:25" ht="15" customHeight="1" x14ac:dyDescent="0.35">
      <c r="A1294" s="52">
        <v>8013475</v>
      </c>
      <c r="B1294" s="51">
        <v>46124</v>
      </c>
      <c r="C1294" s="7" t="s">
        <v>124</v>
      </c>
      <c r="D1294" s="10">
        <f>IFERROR(SUMIFS('Base bordo'!G$2:G$746,'Base bordo'!C$2:C$746,A1294,'Base bordo'!B$2:B$746,B1294,'Base bordo'!F$2:F$746,"DESLOCAMENTO VAZIO"),0)</f>
        <v>0.7005555555555556</v>
      </c>
      <c r="E1294" s="10">
        <f>IFERROR(SUMIFS('Base bordo'!G$2:G$746,'Base bordo'!C$2:C$746,A1294,'Base bordo'!B$2:B$746,B1294,'Base bordo'!F$2:F$746,"DESLOCAMENTO CARREGADO"),0)</f>
        <v>0.60333333333333339</v>
      </c>
      <c r="F1294" s="10">
        <f>IFERROR(SUMIFS('Base bordo'!G$2:G$746,'Base bordo'!C$2:C$746,A1294,'Base bordo'!B$2:B$746,B1294,'Base bordo'!F$2:F$746,"DESLOCAMENTO"),0)</f>
        <v>0</v>
      </c>
      <c r="G1294" s="10">
        <f>IFERROR(SUMIFS('Base bordo'!G$2:G$746,'Base bordo'!C$2:C$746,A1294,'Base bordo'!B$2:B$746,B1294,'Base bordo'!F$2:F$746,"CARREGAMENTO"),0)</f>
        <v>0</v>
      </c>
      <c r="H1294" s="10">
        <f>IFERROR(SUMIFS('Base bordo'!G$2:G$746,'Base bordo'!C$2:C$746,A1294,'Base bordo'!B$2:B$746,B1294,'Base bordo'!F$2:F$746,"AGUARDANDO TRANSBORDO"),0)</f>
        <v>0.57722222222222219</v>
      </c>
      <c r="I1294" s="10">
        <f>IFERROR(SUMIFS('Base bordo'!G$2:G$746,'Base bordo'!C$2:C$746,A1294,'Base bordo'!B$2:B$746,B1294,'Base bordo'!F$2:F$746,"PÁTIO INTERNO"),0)+IFERROR(SUMIFS('Base bordo'!G$2:G$746,'Base bordo'!C$2:C$746,A1294,'Base bordo'!B$2:B$746,B1294,'Base bordo'!F$2:F$746,"PÁTIO EXTERNO"),0)+IFERROR(SUMIFS('Base bordo'!G$2:G$746,'Base bordo'!C$2:C$746,A1294,'Base bordo'!B$2:B$746,B1294,'Base bordo'!F$2:F$746,"PATIO - RESERVA"),0)+IFERROR(SUMIFS('Base bordo'!G$2:G$746,'Base bordo'!C$2:C$746,A1294,'Base bordo'!B$2:B$746,B1294,'Base bordo'!F$2:F$746,"MANOBRA CARRETAS-PATIO"),0)</f>
        <v>5.7852777777777771</v>
      </c>
      <c r="J1294" s="10">
        <f>IFERROR(SUMIFS('Base bordo'!G$2:G$746,'Base bordo'!C$2:C$746,A1294,'Base bordo'!B$2:B$746,B1294,'Base bordo'!F$2:F$746,"BALANÇA - ENTRADA"),0)+IFERROR(SUMIFS('Base bordo'!G$2:G$746,'Base bordo'!C$2:C$746,A1294,'Base bordo'!B$2:B$746,B1294,'Base bordo'!F$2:F$746,"BALANÇA - SAÍDA"),0)</f>
        <v>7.8611111111111104E-2</v>
      </c>
      <c r="K1294" s="10">
        <f>IFERROR(SUMIFS('Base bordo'!G$2:G$746,'Base bordo'!C$2:C$746,A1294,'Base bordo'!B$2:B$746,B1294,'Base bordo'!F$2:F$746,"MAN PREVENTIVA - MECANICA"),0)+IFERROR(SUMIFS('Base bordo'!G$2:G$746,'Base bordo'!C$2:C$746,A1294,'Base bordo'!B$2:B$746,B1294,'Base bordo'!F$2:F$746,"MAN CORRETIVA - MECANICA"),0)</f>
        <v>0</v>
      </c>
      <c r="L1294" s="10">
        <f>IFERROR(SUMIFS('Base bordo'!G$2:G$746,'Base bordo'!C$2:C$746,A1294,'Base bordo'!B$2:B$746,B1294,'Base bordo'!F$2:F$746,"MANUTENCAO - T O"),0)+IFERROR(SUMIFS('Base bordo'!G$2:G$746,'Base bordo'!C$2:C$746,A1294,'Base bordo'!B$2:B$746,B1294,'Base bordo'!F$2:F$746,"MANUTENCAO BORRACHARIA"),0)+IFERROR(SUMIFS('Base bordo'!G$2:G$746,'Base bordo'!C$2:C$746,A1294,'Base bordo'!B$2:B$746,B1294,'Base bordo'!F$2:F$746,"MANUTENCAO EXTERNA  CONCESSIONARIA"),0)+IFERROR(SUMIFS('Base bordo'!G$2:G$746,'Base bordo'!C$2:C$746,A1294,'Base bordo'!B$2:B$746,B1294,'Base bordo'!F$2:F$746,"MANUTENCAO TELEMETRIA"),0)</f>
        <v>0</v>
      </c>
      <c r="M1294" s="10">
        <f>IFERROR(SUMIFS('Base bordo'!G$2:G$746,'Base bordo'!C$2:C$746,A1294,'Base bordo'!B$2:B$746,B1294,'Base bordo'!F$2:F$746,"AGUARDANDO MANUTENCAO"),0)</f>
        <v>0</v>
      </c>
      <c r="N1294" s="10">
        <f>IFERROR(SUMIFS('Base bordo'!G$2:G$746,'Base bordo'!C$2:C$746,A1294,'Base bordo'!B$2:B$746,B1294,'Base bordo'!F$2:F$746,"SEM APONTAMENTO"),0)</f>
        <v>0</v>
      </c>
      <c r="O1294" s="10">
        <f t="shared" si="126"/>
        <v>-8.8817841970012523E-16</v>
      </c>
      <c r="P1294" s="10">
        <f>IFERROR(SUMIFS('Base bordo'!G$2:G$746,'Base bordo'!C$2:C$746,A1294,'Base bordo'!B$2:B$746,B1294),0)</f>
        <v>7.7449999999999983</v>
      </c>
      <c r="Q1294" s="10">
        <f>IFERROR(SUMIFS('Base bordo'!H$2:H$746,'Base bordo'!C$2:C$746,A1294,'Base bordo'!B$2:B$746,B1294,'Base bordo'!F$2:F$746,"DESLOCAMENTO VAZIO"),0)</f>
        <v>56346.78</v>
      </c>
      <c r="R1294" s="10">
        <f>IFERROR(SUMIFS('Base bordo'!I$2:I$746,'Base bordo'!C$2:C$746,A1294,'Base bordo'!B$2:B$746,B1294,'Base bordo'!F$2:F$746,"DESLOCAMENTO VAZIO"),0)</f>
        <v>2522</v>
      </c>
      <c r="S1294" s="30">
        <f t="shared" si="127"/>
        <v>22.342101506740683</v>
      </c>
      <c r="T1294" s="10">
        <f>IFERROR(SUMIFS('Base bordo'!H$2:H$746,'Base bordo'!C$2:C$746,A1294,'Base bordo'!B$2:B$746,B1294,'Base bordo'!F$2:F$746,"DESLOCAMENTO CARREGADO"),0)</f>
        <v>41086.33</v>
      </c>
      <c r="U1294" s="10">
        <f>IFERROR(SUMIFS('Base bordo'!I$2:I$746,'Base bordo'!C$2:C$746,A1294,'Base bordo'!B$2:B$746,B1294,'Base bordo'!F$2:F$746,"DESLOCAMENTO CARREGADO"),0)</f>
        <v>2172</v>
      </c>
      <c r="V1294" s="30">
        <f t="shared" si="128"/>
        <v>18.916358195211789</v>
      </c>
      <c r="W1294" s="9">
        <f t="shared" si="129"/>
        <v>9.0452621763144711E-2</v>
      </c>
      <c r="X1294" s="9">
        <f t="shared" si="130"/>
        <v>7.7899720249623439E-2</v>
      </c>
      <c r="Y1294" s="9">
        <f t="shared" si="131"/>
        <v>0.83164765798723184</v>
      </c>
    </row>
    <row r="1295" spans="1:25" ht="15" customHeight="1" x14ac:dyDescent="0.35">
      <c r="A1295" s="52">
        <v>8013475</v>
      </c>
      <c r="B1295" s="51">
        <v>46124</v>
      </c>
      <c r="C1295" s="7" t="s">
        <v>124</v>
      </c>
      <c r="D1295" s="10">
        <f>IFERROR(SUMIFS('Base bordo'!G$2:G$746,'Base bordo'!C$2:C$746,A1295,'Base bordo'!B$2:B$746,B1295,'Base bordo'!F$2:F$746,"DESLOCAMENTO VAZIO"),0)</f>
        <v>0.7005555555555556</v>
      </c>
      <c r="E1295" s="10">
        <f>IFERROR(SUMIFS('Base bordo'!G$2:G$746,'Base bordo'!C$2:C$746,A1295,'Base bordo'!B$2:B$746,B1295,'Base bordo'!F$2:F$746,"DESLOCAMENTO CARREGADO"),0)</f>
        <v>0.60333333333333339</v>
      </c>
      <c r="F1295" s="10">
        <f>IFERROR(SUMIFS('Base bordo'!G$2:G$746,'Base bordo'!C$2:C$746,A1295,'Base bordo'!B$2:B$746,B1295,'Base bordo'!F$2:F$746,"DESLOCAMENTO"),0)</f>
        <v>0</v>
      </c>
      <c r="G1295" s="10">
        <f>IFERROR(SUMIFS('Base bordo'!G$2:G$746,'Base bordo'!C$2:C$746,A1295,'Base bordo'!B$2:B$746,B1295,'Base bordo'!F$2:F$746,"CARREGAMENTO"),0)</f>
        <v>0</v>
      </c>
      <c r="H1295" s="10">
        <f>IFERROR(SUMIFS('Base bordo'!G$2:G$746,'Base bordo'!C$2:C$746,A1295,'Base bordo'!B$2:B$746,B1295,'Base bordo'!F$2:F$746,"AGUARDANDO TRANSBORDO"),0)</f>
        <v>0.57722222222222219</v>
      </c>
      <c r="I1295" s="10">
        <f>IFERROR(SUMIFS('Base bordo'!G$2:G$746,'Base bordo'!C$2:C$746,A1295,'Base bordo'!B$2:B$746,B1295,'Base bordo'!F$2:F$746,"PÁTIO INTERNO"),0)+IFERROR(SUMIFS('Base bordo'!G$2:G$746,'Base bordo'!C$2:C$746,A1295,'Base bordo'!B$2:B$746,B1295,'Base bordo'!F$2:F$746,"PÁTIO EXTERNO"),0)+IFERROR(SUMIFS('Base bordo'!G$2:G$746,'Base bordo'!C$2:C$746,A1295,'Base bordo'!B$2:B$746,B1295,'Base bordo'!F$2:F$746,"PATIO - RESERVA"),0)+IFERROR(SUMIFS('Base bordo'!G$2:G$746,'Base bordo'!C$2:C$746,A1295,'Base bordo'!B$2:B$746,B1295,'Base bordo'!F$2:F$746,"MANOBRA CARRETAS-PATIO"),0)</f>
        <v>5.7852777777777771</v>
      </c>
      <c r="J1295" s="10">
        <f>IFERROR(SUMIFS('Base bordo'!G$2:G$746,'Base bordo'!C$2:C$746,A1295,'Base bordo'!B$2:B$746,B1295,'Base bordo'!F$2:F$746,"BALANÇA - ENTRADA"),0)+IFERROR(SUMIFS('Base bordo'!G$2:G$746,'Base bordo'!C$2:C$746,A1295,'Base bordo'!B$2:B$746,B1295,'Base bordo'!F$2:F$746,"BALANÇA - SAÍDA"),0)</f>
        <v>7.8611111111111104E-2</v>
      </c>
      <c r="K1295" s="10">
        <f>IFERROR(SUMIFS('Base bordo'!G$2:G$746,'Base bordo'!C$2:C$746,A1295,'Base bordo'!B$2:B$746,B1295,'Base bordo'!F$2:F$746,"MAN PREVENTIVA - MECANICA"),0)+IFERROR(SUMIFS('Base bordo'!G$2:G$746,'Base bordo'!C$2:C$746,A1295,'Base bordo'!B$2:B$746,B1295,'Base bordo'!F$2:F$746,"MAN CORRETIVA - MECANICA"),0)</f>
        <v>0</v>
      </c>
      <c r="L1295" s="10">
        <f>IFERROR(SUMIFS('Base bordo'!G$2:G$746,'Base bordo'!C$2:C$746,A1295,'Base bordo'!B$2:B$746,B1295,'Base bordo'!F$2:F$746,"MANUTENCAO - T O"),0)+IFERROR(SUMIFS('Base bordo'!G$2:G$746,'Base bordo'!C$2:C$746,A1295,'Base bordo'!B$2:B$746,B1295,'Base bordo'!F$2:F$746,"MANUTENCAO BORRACHARIA"),0)+IFERROR(SUMIFS('Base bordo'!G$2:G$746,'Base bordo'!C$2:C$746,A1295,'Base bordo'!B$2:B$746,B1295,'Base bordo'!F$2:F$746,"MANUTENCAO EXTERNA  CONCESSIONARIA"),0)+IFERROR(SUMIFS('Base bordo'!G$2:G$746,'Base bordo'!C$2:C$746,A1295,'Base bordo'!B$2:B$746,B1295,'Base bordo'!F$2:F$746,"MANUTENCAO TELEMETRIA"),0)</f>
        <v>0</v>
      </c>
      <c r="M1295" s="10">
        <f>IFERROR(SUMIFS('Base bordo'!G$2:G$746,'Base bordo'!C$2:C$746,A1295,'Base bordo'!B$2:B$746,B1295,'Base bordo'!F$2:F$746,"AGUARDANDO MANUTENCAO"),0)</f>
        <v>0</v>
      </c>
      <c r="N1295" s="10">
        <f>IFERROR(SUMIFS('Base bordo'!G$2:G$746,'Base bordo'!C$2:C$746,A1295,'Base bordo'!B$2:B$746,B1295,'Base bordo'!F$2:F$746,"SEM APONTAMENTO"),0)</f>
        <v>0</v>
      </c>
      <c r="O1295" s="10">
        <f t="shared" ref="O1295:O1358" si="132">IFERROR(P1295-SUM(D1295:N1295),0)</f>
        <v>-8.8817841970012523E-16</v>
      </c>
      <c r="P1295" s="10">
        <f>IFERROR(SUMIFS('Base bordo'!G$2:G$746,'Base bordo'!C$2:C$746,A1295,'Base bordo'!B$2:B$746,B1295),0)</f>
        <v>7.7449999999999983</v>
      </c>
      <c r="Q1295" s="10">
        <f>IFERROR(SUMIFS('Base bordo'!H$2:H$746,'Base bordo'!C$2:C$746,A1295,'Base bordo'!B$2:B$746,B1295,'Base bordo'!F$2:F$746,"DESLOCAMENTO VAZIO"),0)</f>
        <v>56346.78</v>
      </c>
      <c r="R1295" s="10">
        <f>IFERROR(SUMIFS('Base bordo'!I$2:I$746,'Base bordo'!C$2:C$746,A1295,'Base bordo'!B$2:B$746,B1295,'Base bordo'!F$2:F$746,"DESLOCAMENTO VAZIO"),0)</f>
        <v>2522</v>
      </c>
      <c r="S1295" s="30">
        <f t="shared" ref="S1295:S1358" si="133">IFERROR(Q1295/R1295,"")</f>
        <v>22.342101506740683</v>
      </c>
      <c r="T1295" s="10">
        <f>IFERROR(SUMIFS('Base bordo'!H$2:H$746,'Base bordo'!C$2:C$746,A1295,'Base bordo'!B$2:B$746,B1295,'Base bordo'!F$2:F$746,"DESLOCAMENTO CARREGADO"),0)</f>
        <v>41086.33</v>
      </c>
      <c r="U1295" s="10">
        <f>IFERROR(SUMIFS('Base bordo'!I$2:I$746,'Base bordo'!C$2:C$746,A1295,'Base bordo'!B$2:B$746,B1295,'Base bordo'!F$2:F$746,"DESLOCAMENTO CARREGADO"),0)</f>
        <v>2172</v>
      </c>
      <c r="V1295" s="30">
        <f t="shared" ref="V1295:V1358" si="134">IFERROR(T1295/U1295,"")</f>
        <v>18.916358195211789</v>
      </c>
      <c r="W1295" s="9">
        <f t="shared" ref="W1295:W1358" si="135">IFERROR(D1295/P1295,0)</f>
        <v>9.0452621763144711E-2</v>
      </c>
      <c r="X1295" s="9">
        <f t="shared" ref="X1295:X1358" si="136">IFERROR(E1295/P1295,0)</f>
        <v>7.7899720249623439E-2</v>
      </c>
      <c r="Y1295" s="9">
        <f t="shared" ref="Y1295:Y1358" si="137">IFERROR(1-((D1295+E1295)/P1295),0)</f>
        <v>0.83164765798723184</v>
      </c>
    </row>
    <row r="1296" spans="1:25" ht="15" customHeight="1" x14ac:dyDescent="0.35">
      <c r="A1296" s="52">
        <v>8013475</v>
      </c>
      <c r="B1296" s="51">
        <v>46124</v>
      </c>
      <c r="C1296" s="7" t="s">
        <v>124</v>
      </c>
      <c r="D1296" s="10">
        <f>IFERROR(SUMIFS('Base bordo'!G$2:G$746,'Base bordo'!C$2:C$746,A1296,'Base bordo'!B$2:B$746,B1296,'Base bordo'!F$2:F$746,"DESLOCAMENTO VAZIO"),0)</f>
        <v>0.7005555555555556</v>
      </c>
      <c r="E1296" s="10">
        <f>IFERROR(SUMIFS('Base bordo'!G$2:G$746,'Base bordo'!C$2:C$746,A1296,'Base bordo'!B$2:B$746,B1296,'Base bordo'!F$2:F$746,"DESLOCAMENTO CARREGADO"),0)</f>
        <v>0.60333333333333339</v>
      </c>
      <c r="F1296" s="10">
        <f>IFERROR(SUMIFS('Base bordo'!G$2:G$746,'Base bordo'!C$2:C$746,A1296,'Base bordo'!B$2:B$746,B1296,'Base bordo'!F$2:F$746,"DESLOCAMENTO"),0)</f>
        <v>0</v>
      </c>
      <c r="G1296" s="10">
        <f>IFERROR(SUMIFS('Base bordo'!G$2:G$746,'Base bordo'!C$2:C$746,A1296,'Base bordo'!B$2:B$746,B1296,'Base bordo'!F$2:F$746,"CARREGAMENTO"),0)</f>
        <v>0</v>
      </c>
      <c r="H1296" s="10">
        <f>IFERROR(SUMIFS('Base bordo'!G$2:G$746,'Base bordo'!C$2:C$746,A1296,'Base bordo'!B$2:B$746,B1296,'Base bordo'!F$2:F$746,"AGUARDANDO TRANSBORDO"),0)</f>
        <v>0.57722222222222219</v>
      </c>
      <c r="I1296" s="10">
        <f>IFERROR(SUMIFS('Base bordo'!G$2:G$746,'Base bordo'!C$2:C$746,A1296,'Base bordo'!B$2:B$746,B1296,'Base bordo'!F$2:F$746,"PÁTIO INTERNO"),0)+IFERROR(SUMIFS('Base bordo'!G$2:G$746,'Base bordo'!C$2:C$746,A1296,'Base bordo'!B$2:B$746,B1296,'Base bordo'!F$2:F$746,"PÁTIO EXTERNO"),0)+IFERROR(SUMIFS('Base bordo'!G$2:G$746,'Base bordo'!C$2:C$746,A1296,'Base bordo'!B$2:B$746,B1296,'Base bordo'!F$2:F$746,"PATIO - RESERVA"),0)+IFERROR(SUMIFS('Base bordo'!G$2:G$746,'Base bordo'!C$2:C$746,A1296,'Base bordo'!B$2:B$746,B1296,'Base bordo'!F$2:F$746,"MANOBRA CARRETAS-PATIO"),0)</f>
        <v>5.7852777777777771</v>
      </c>
      <c r="J1296" s="10">
        <f>IFERROR(SUMIFS('Base bordo'!G$2:G$746,'Base bordo'!C$2:C$746,A1296,'Base bordo'!B$2:B$746,B1296,'Base bordo'!F$2:F$746,"BALANÇA - ENTRADA"),0)+IFERROR(SUMIFS('Base bordo'!G$2:G$746,'Base bordo'!C$2:C$746,A1296,'Base bordo'!B$2:B$746,B1296,'Base bordo'!F$2:F$746,"BALANÇA - SAÍDA"),0)</f>
        <v>7.8611111111111104E-2</v>
      </c>
      <c r="K1296" s="10">
        <f>IFERROR(SUMIFS('Base bordo'!G$2:G$746,'Base bordo'!C$2:C$746,A1296,'Base bordo'!B$2:B$746,B1296,'Base bordo'!F$2:F$746,"MAN PREVENTIVA - MECANICA"),0)+IFERROR(SUMIFS('Base bordo'!G$2:G$746,'Base bordo'!C$2:C$746,A1296,'Base bordo'!B$2:B$746,B1296,'Base bordo'!F$2:F$746,"MAN CORRETIVA - MECANICA"),0)</f>
        <v>0</v>
      </c>
      <c r="L1296" s="10">
        <f>IFERROR(SUMIFS('Base bordo'!G$2:G$746,'Base bordo'!C$2:C$746,A1296,'Base bordo'!B$2:B$746,B1296,'Base bordo'!F$2:F$746,"MANUTENCAO - T O"),0)+IFERROR(SUMIFS('Base bordo'!G$2:G$746,'Base bordo'!C$2:C$746,A1296,'Base bordo'!B$2:B$746,B1296,'Base bordo'!F$2:F$746,"MANUTENCAO BORRACHARIA"),0)+IFERROR(SUMIFS('Base bordo'!G$2:G$746,'Base bordo'!C$2:C$746,A1296,'Base bordo'!B$2:B$746,B1296,'Base bordo'!F$2:F$746,"MANUTENCAO EXTERNA  CONCESSIONARIA"),0)+IFERROR(SUMIFS('Base bordo'!G$2:G$746,'Base bordo'!C$2:C$746,A1296,'Base bordo'!B$2:B$746,B1296,'Base bordo'!F$2:F$746,"MANUTENCAO TELEMETRIA"),0)</f>
        <v>0</v>
      </c>
      <c r="M1296" s="10">
        <f>IFERROR(SUMIFS('Base bordo'!G$2:G$746,'Base bordo'!C$2:C$746,A1296,'Base bordo'!B$2:B$746,B1296,'Base bordo'!F$2:F$746,"AGUARDANDO MANUTENCAO"),0)</f>
        <v>0</v>
      </c>
      <c r="N1296" s="10">
        <f>IFERROR(SUMIFS('Base bordo'!G$2:G$746,'Base bordo'!C$2:C$746,A1296,'Base bordo'!B$2:B$746,B1296,'Base bordo'!F$2:F$746,"SEM APONTAMENTO"),0)</f>
        <v>0</v>
      </c>
      <c r="O1296" s="10">
        <f t="shared" si="132"/>
        <v>-8.8817841970012523E-16</v>
      </c>
      <c r="P1296" s="10">
        <f>IFERROR(SUMIFS('Base bordo'!G$2:G$746,'Base bordo'!C$2:C$746,A1296,'Base bordo'!B$2:B$746,B1296),0)</f>
        <v>7.7449999999999983</v>
      </c>
      <c r="Q1296" s="10">
        <f>IFERROR(SUMIFS('Base bordo'!H$2:H$746,'Base bordo'!C$2:C$746,A1296,'Base bordo'!B$2:B$746,B1296,'Base bordo'!F$2:F$746,"DESLOCAMENTO VAZIO"),0)</f>
        <v>56346.78</v>
      </c>
      <c r="R1296" s="10">
        <f>IFERROR(SUMIFS('Base bordo'!I$2:I$746,'Base bordo'!C$2:C$746,A1296,'Base bordo'!B$2:B$746,B1296,'Base bordo'!F$2:F$746,"DESLOCAMENTO VAZIO"),0)</f>
        <v>2522</v>
      </c>
      <c r="S1296" s="30">
        <f t="shared" si="133"/>
        <v>22.342101506740683</v>
      </c>
      <c r="T1296" s="10">
        <f>IFERROR(SUMIFS('Base bordo'!H$2:H$746,'Base bordo'!C$2:C$746,A1296,'Base bordo'!B$2:B$746,B1296,'Base bordo'!F$2:F$746,"DESLOCAMENTO CARREGADO"),0)</f>
        <v>41086.33</v>
      </c>
      <c r="U1296" s="10">
        <f>IFERROR(SUMIFS('Base bordo'!I$2:I$746,'Base bordo'!C$2:C$746,A1296,'Base bordo'!B$2:B$746,B1296,'Base bordo'!F$2:F$746,"DESLOCAMENTO CARREGADO"),0)</f>
        <v>2172</v>
      </c>
      <c r="V1296" s="30">
        <f t="shared" si="134"/>
        <v>18.916358195211789</v>
      </c>
      <c r="W1296" s="9">
        <f t="shared" si="135"/>
        <v>9.0452621763144711E-2</v>
      </c>
      <c r="X1296" s="9">
        <f t="shared" si="136"/>
        <v>7.7899720249623439E-2</v>
      </c>
      <c r="Y1296" s="9">
        <f t="shared" si="137"/>
        <v>0.83164765798723184</v>
      </c>
    </row>
    <row r="1297" spans="1:25" ht="15" customHeight="1" x14ac:dyDescent="0.35">
      <c r="A1297" s="52">
        <v>8013475</v>
      </c>
      <c r="B1297" s="51">
        <v>46124</v>
      </c>
      <c r="C1297" s="7" t="s">
        <v>124</v>
      </c>
      <c r="D1297" s="10">
        <f>IFERROR(SUMIFS('Base bordo'!G$2:G$746,'Base bordo'!C$2:C$746,A1297,'Base bordo'!B$2:B$746,B1297,'Base bordo'!F$2:F$746,"DESLOCAMENTO VAZIO"),0)</f>
        <v>0.7005555555555556</v>
      </c>
      <c r="E1297" s="10">
        <f>IFERROR(SUMIFS('Base bordo'!G$2:G$746,'Base bordo'!C$2:C$746,A1297,'Base bordo'!B$2:B$746,B1297,'Base bordo'!F$2:F$746,"DESLOCAMENTO CARREGADO"),0)</f>
        <v>0.60333333333333339</v>
      </c>
      <c r="F1297" s="10">
        <f>IFERROR(SUMIFS('Base bordo'!G$2:G$746,'Base bordo'!C$2:C$746,A1297,'Base bordo'!B$2:B$746,B1297,'Base bordo'!F$2:F$746,"DESLOCAMENTO"),0)</f>
        <v>0</v>
      </c>
      <c r="G1297" s="10">
        <f>IFERROR(SUMIFS('Base bordo'!G$2:G$746,'Base bordo'!C$2:C$746,A1297,'Base bordo'!B$2:B$746,B1297,'Base bordo'!F$2:F$746,"CARREGAMENTO"),0)</f>
        <v>0</v>
      </c>
      <c r="H1297" s="10">
        <f>IFERROR(SUMIFS('Base bordo'!G$2:G$746,'Base bordo'!C$2:C$746,A1297,'Base bordo'!B$2:B$746,B1297,'Base bordo'!F$2:F$746,"AGUARDANDO TRANSBORDO"),0)</f>
        <v>0.57722222222222219</v>
      </c>
      <c r="I1297" s="10">
        <f>IFERROR(SUMIFS('Base bordo'!G$2:G$746,'Base bordo'!C$2:C$746,A1297,'Base bordo'!B$2:B$746,B1297,'Base bordo'!F$2:F$746,"PÁTIO INTERNO"),0)+IFERROR(SUMIFS('Base bordo'!G$2:G$746,'Base bordo'!C$2:C$746,A1297,'Base bordo'!B$2:B$746,B1297,'Base bordo'!F$2:F$746,"PÁTIO EXTERNO"),0)+IFERROR(SUMIFS('Base bordo'!G$2:G$746,'Base bordo'!C$2:C$746,A1297,'Base bordo'!B$2:B$746,B1297,'Base bordo'!F$2:F$746,"PATIO - RESERVA"),0)+IFERROR(SUMIFS('Base bordo'!G$2:G$746,'Base bordo'!C$2:C$746,A1297,'Base bordo'!B$2:B$746,B1297,'Base bordo'!F$2:F$746,"MANOBRA CARRETAS-PATIO"),0)</f>
        <v>5.7852777777777771</v>
      </c>
      <c r="J1297" s="10">
        <f>IFERROR(SUMIFS('Base bordo'!G$2:G$746,'Base bordo'!C$2:C$746,A1297,'Base bordo'!B$2:B$746,B1297,'Base bordo'!F$2:F$746,"BALANÇA - ENTRADA"),0)+IFERROR(SUMIFS('Base bordo'!G$2:G$746,'Base bordo'!C$2:C$746,A1297,'Base bordo'!B$2:B$746,B1297,'Base bordo'!F$2:F$746,"BALANÇA - SAÍDA"),0)</f>
        <v>7.8611111111111104E-2</v>
      </c>
      <c r="K1297" s="10">
        <f>IFERROR(SUMIFS('Base bordo'!G$2:G$746,'Base bordo'!C$2:C$746,A1297,'Base bordo'!B$2:B$746,B1297,'Base bordo'!F$2:F$746,"MAN PREVENTIVA - MECANICA"),0)+IFERROR(SUMIFS('Base bordo'!G$2:G$746,'Base bordo'!C$2:C$746,A1297,'Base bordo'!B$2:B$746,B1297,'Base bordo'!F$2:F$746,"MAN CORRETIVA - MECANICA"),0)</f>
        <v>0</v>
      </c>
      <c r="L1297" s="10">
        <f>IFERROR(SUMIFS('Base bordo'!G$2:G$746,'Base bordo'!C$2:C$746,A1297,'Base bordo'!B$2:B$746,B1297,'Base bordo'!F$2:F$746,"MANUTENCAO - T O"),0)+IFERROR(SUMIFS('Base bordo'!G$2:G$746,'Base bordo'!C$2:C$746,A1297,'Base bordo'!B$2:B$746,B1297,'Base bordo'!F$2:F$746,"MANUTENCAO BORRACHARIA"),0)+IFERROR(SUMIFS('Base bordo'!G$2:G$746,'Base bordo'!C$2:C$746,A1297,'Base bordo'!B$2:B$746,B1297,'Base bordo'!F$2:F$746,"MANUTENCAO EXTERNA  CONCESSIONARIA"),0)+IFERROR(SUMIFS('Base bordo'!G$2:G$746,'Base bordo'!C$2:C$746,A1297,'Base bordo'!B$2:B$746,B1297,'Base bordo'!F$2:F$746,"MANUTENCAO TELEMETRIA"),0)</f>
        <v>0</v>
      </c>
      <c r="M1297" s="10">
        <f>IFERROR(SUMIFS('Base bordo'!G$2:G$746,'Base bordo'!C$2:C$746,A1297,'Base bordo'!B$2:B$746,B1297,'Base bordo'!F$2:F$746,"AGUARDANDO MANUTENCAO"),0)</f>
        <v>0</v>
      </c>
      <c r="N1297" s="10">
        <f>IFERROR(SUMIFS('Base bordo'!G$2:G$746,'Base bordo'!C$2:C$746,A1297,'Base bordo'!B$2:B$746,B1297,'Base bordo'!F$2:F$746,"SEM APONTAMENTO"),0)</f>
        <v>0</v>
      </c>
      <c r="O1297" s="10">
        <f t="shared" si="132"/>
        <v>-8.8817841970012523E-16</v>
      </c>
      <c r="P1297" s="10">
        <f>IFERROR(SUMIFS('Base bordo'!G$2:G$746,'Base bordo'!C$2:C$746,A1297,'Base bordo'!B$2:B$746,B1297),0)</f>
        <v>7.7449999999999983</v>
      </c>
      <c r="Q1297" s="10">
        <f>IFERROR(SUMIFS('Base bordo'!H$2:H$746,'Base bordo'!C$2:C$746,A1297,'Base bordo'!B$2:B$746,B1297,'Base bordo'!F$2:F$746,"DESLOCAMENTO VAZIO"),0)</f>
        <v>56346.78</v>
      </c>
      <c r="R1297" s="10">
        <f>IFERROR(SUMIFS('Base bordo'!I$2:I$746,'Base bordo'!C$2:C$746,A1297,'Base bordo'!B$2:B$746,B1297,'Base bordo'!F$2:F$746,"DESLOCAMENTO VAZIO"),0)</f>
        <v>2522</v>
      </c>
      <c r="S1297" s="30">
        <f t="shared" si="133"/>
        <v>22.342101506740683</v>
      </c>
      <c r="T1297" s="10">
        <f>IFERROR(SUMIFS('Base bordo'!H$2:H$746,'Base bordo'!C$2:C$746,A1297,'Base bordo'!B$2:B$746,B1297,'Base bordo'!F$2:F$746,"DESLOCAMENTO CARREGADO"),0)</f>
        <v>41086.33</v>
      </c>
      <c r="U1297" s="10">
        <f>IFERROR(SUMIFS('Base bordo'!I$2:I$746,'Base bordo'!C$2:C$746,A1297,'Base bordo'!B$2:B$746,B1297,'Base bordo'!F$2:F$746,"DESLOCAMENTO CARREGADO"),0)</f>
        <v>2172</v>
      </c>
      <c r="V1297" s="30">
        <f t="shared" si="134"/>
        <v>18.916358195211789</v>
      </c>
      <c r="W1297" s="9">
        <f t="shared" si="135"/>
        <v>9.0452621763144711E-2</v>
      </c>
      <c r="X1297" s="9">
        <f t="shared" si="136"/>
        <v>7.7899720249623439E-2</v>
      </c>
      <c r="Y1297" s="9">
        <f t="shared" si="137"/>
        <v>0.83164765798723184</v>
      </c>
    </row>
    <row r="1298" spans="1:25" ht="15" customHeight="1" x14ac:dyDescent="0.35">
      <c r="A1298" s="52">
        <v>8013476</v>
      </c>
      <c r="B1298" s="51">
        <v>46124</v>
      </c>
      <c r="C1298" s="7" t="s">
        <v>124</v>
      </c>
      <c r="D1298" s="10">
        <f>IFERROR(SUMIFS('Base bordo'!G$2:G$746,'Base bordo'!C$2:C$746,A1298,'Base bordo'!B$2:B$746,B1298,'Base bordo'!F$2:F$746,"DESLOCAMENTO VAZIO"),0)</f>
        <v>2.296388888888889</v>
      </c>
      <c r="E1298" s="10">
        <f>IFERROR(SUMIFS('Base bordo'!G$2:G$746,'Base bordo'!C$2:C$746,A1298,'Base bordo'!B$2:B$746,B1298,'Base bordo'!F$2:F$746,"DESLOCAMENTO CARREGADO"),0)</f>
        <v>2.1016666666666666</v>
      </c>
      <c r="F1298" s="10">
        <f>IFERROR(SUMIFS('Base bordo'!G$2:G$746,'Base bordo'!C$2:C$746,A1298,'Base bordo'!B$2:B$746,B1298,'Base bordo'!F$2:F$746,"DESLOCAMENTO"),0)</f>
        <v>0</v>
      </c>
      <c r="G1298" s="10">
        <f>IFERROR(SUMIFS('Base bordo'!G$2:G$746,'Base bordo'!C$2:C$746,A1298,'Base bordo'!B$2:B$746,B1298,'Base bordo'!F$2:F$746,"CARREGAMENTO"),0)</f>
        <v>0</v>
      </c>
      <c r="H1298" s="10">
        <f>IFERROR(SUMIFS('Base bordo'!G$2:G$746,'Base bordo'!C$2:C$746,A1298,'Base bordo'!B$2:B$746,B1298,'Base bordo'!F$2:F$746,"AGUARDANDO TRANSBORDO"),0)</f>
        <v>0.23694444444444446</v>
      </c>
      <c r="I1298" s="10">
        <f>IFERROR(SUMIFS('Base bordo'!G$2:G$746,'Base bordo'!C$2:C$746,A1298,'Base bordo'!B$2:B$746,B1298,'Base bordo'!F$2:F$746,"PÁTIO INTERNO"),0)+IFERROR(SUMIFS('Base bordo'!G$2:G$746,'Base bordo'!C$2:C$746,A1298,'Base bordo'!B$2:B$746,B1298,'Base bordo'!F$2:F$746,"PÁTIO EXTERNO"),0)+IFERROR(SUMIFS('Base bordo'!G$2:G$746,'Base bordo'!C$2:C$746,A1298,'Base bordo'!B$2:B$746,B1298,'Base bordo'!F$2:F$746,"PATIO - RESERVA"),0)+IFERROR(SUMIFS('Base bordo'!G$2:G$746,'Base bordo'!C$2:C$746,A1298,'Base bordo'!B$2:B$746,B1298,'Base bordo'!F$2:F$746,"MANOBRA CARRETAS-PATIO"),0)</f>
        <v>5.0583333333333336</v>
      </c>
      <c r="J1298" s="10">
        <f>IFERROR(SUMIFS('Base bordo'!G$2:G$746,'Base bordo'!C$2:C$746,A1298,'Base bordo'!B$2:B$746,B1298,'Base bordo'!F$2:F$746,"BALANÇA - ENTRADA"),0)+IFERROR(SUMIFS('Base bordo'!G$2:G$746,'Base bordo'!C$2:C$746,A1298,'Base bordo'!B$2:B$746,B1298,'Base bordo'!F$2:F$746,"BALANÇA - SAÍDA"),0)</f>
        <v>0.23805555555555558</v>
      </c>
      <c r="K1298" s="10">
        <f>IFERROR(SUMIFS('Base bordo'!G$2:G$746,'Base bordo'!C$2:C$746,A1298,'Base bordo'!B$2:B$746,B1298,'Base bordo'!F$2:F$746,"MAN PREVENTIVA - MECANICA"),0)+IFERROR(SUMIFS('Base bordo'!G$2:G$746,'Base bordo'!C$2:C$746,A1298,'Base bordo'!B$2:B$746,B1298,'Base bordo'!F$2:F$746,"MAN CORRETIVA - MECANICA"),0)</f>
        <v>0</v>
      </c>
      <c r="L1298" s="10">
        <f>IFERROR(SUMIFS('Base bordo'!G$2:G$746,'Base bordo'!C$2:C$746,A1298,'Base bordo'!B$2:B$746,B1298,'Base bordo'!F$2:F$746,"MANUTENCAO - T O"),0)+IFERROR(SUMIFS('Base bordo'!G$2:G$746,'Base bordo'!C$2:C$746,A1298,'Base bordo'!B$2:B$746,B1298,'Base bordo'!F$2:F$746,"MANUTENCAO BORRACHARIA"),0)+IFERROR(SUMIFS('Base bordo'!G$2:G$746,'Base bordo'!C$2:C$746,A1298,'Base bordo'!B$2:B$746,B1298,'Base bordo'!F$2:F$746,"MANUTENCAO EXTERNA  CONCESSIONARIA"),0)+IFERROR(SUMIFS('Base bordo'!G$2:G$746,'Base bordo'!C$2:C$746,A1298,'Base bordo'!B$2:B$746,B1298,'Base bordo'!F$2:F$746,"MANUTENCAO TELEMETRIA"),0)</f>
        <v>0</v>
      </c>
      <c r="M1298" s="10">
        <f>IFERROR(SUMIFS('Base bordo'!G$2:G$746,'Base bordo'!C$2:C$746,A1298,'Base bordo'!B$2:B$746,B1298,'Base bordo'!F$2:F$746,"AGUARDANDO MANUTENCAO"),0)</f>
        <v>0</v>
      </c>
      <c r="N1298" s="10">
        <f>IFERROR(SUMIFS('Base bordo'!G$2:G$746,'Base bordo'!C$2:C$746,A1298,'Base bordo'!B$2:B$746,B1298,'Base bordo'!F$2:F$746,"SEM APONTAMENTO"),0)</f>
        <v>0</v>
      </c>
      <c r="O1298" s="10">
        <f t="shared" si="132"/>
        <v>0</v>
      </c>
      <c r="P1298" s="10">
        <f>IFERROR(SUMIFS('Base bordo'!G$2:G$746,'Base bordo'!C$2:C$746,A1298,'Base bordo'!B$2:B$746,B1298),0)</f>
        <v>9.9313888888888897</v>
      </c>
      <c r="Q1298" s="10">
        <f>IFERROR(SUMIFS('Base bordo'!H$2:H$746,'Base bordo'!C$2:C$746,A1298,'Base bordo'!B$2:B$746,B1298,'Base bordo'!F$2:F$746,"DESLOCAMENTO VAZIO"),0)</f>
        <v>272442.8</v>
      </c>
      <c r="R1298" s="10">
        <f>IFERROR(SUMIFS('Base bordo'!I$2:I$746,'Base bordo'!C$2:C$746,A1298,'Base bordo'!B$2:B$746,B1298,'Base bordo'!F$2:F$746,"DESLOCAMENTO VAZIO"),0)</f>
        <v>8267</v>
      </c>
      <c r="S1298" s="30">
        <f t="shared" si="133"/>
        <v>32.955461473327688</v>
      </c>
      <c r="T1298" s="10">
        <f>IFERROR(SUMIFS('Base bordo'!H$2:H$746,'Base bordo'!C$2:C$746,A1298,'Base bordo'!B$2:B$746,B1298,'Base bordo'!F$2:F$746,"DESLOCAMENTO CARREGADO"),0)</f>
        <v>216680.51</v>
      </c>
      <c r="U1298" s="10">
        <f>IFERROR(SUMIFS('Base bordo'!I$2:I$746,'Base bordo'!C$2:C$746,A1298,'Base bordo'!B$2:B$746,B1298,'Base bordo'!F$2:F$746,"DESLOCAMENTO CARREGADO"),0)</f>
        <v>7566</v>
      </c>
      <c r="V1298" s="30">
        <f t="shared" si="134"/>
        <v>28.638713983610891</v>
      </c>
      <c r="W1298" s="9">
        <f t="shared" si="135"/>
        <v>0.23122535171873687</v>
      </c>
      <c r="X1298" s="9">
        <f t="shared" si="136"/>
        <v>0.21161860543171199</v>
      </c>
      <c r="Y1298" s="9">
        <f t="shared" si="137"/>
        <v>0.55715604284955111</v>
      </c>
    </row>
    <row r="1299" spans="1:25" ht="15" customHeight="1" x14ac:dyDescent="0.35">
      <c r="A1299" s="52">
        <v>8013476</v>
      </c>
      <c r="B1299" s="51">
        <v>46124</v>
      </c>
      <c r="C1299" s="7" t="s">
        <v>124</v>
      </c>
      <c r="D1299" s="10">
        <f>IFERROR(SUMIFS('Base bordo'!G$2:G$746,'Base bordo'!C$2:C$746,A1299,'Base bordo'!B$2:B$746,B1299,'Base bordo'!F$2:F$746,"DESLOCAMENTO VAZIO"),0)</f>
        <v>2.296388888888889</v>
      </c>
      <c r="E1299" s="10">
        <f>IFERROR(SUMIFS('Base bordo'!G$2:G$746,'Base bordo'!C$2:C$746,A1299,'Base bordo'!B$2:B$746,B1299,'Base bordo'!F$2:F$746,"DESLOCAMENTO CARREGADO"),0)</f>
        <v>2.1016666666666666</v>
      </c>
      <c r="F1299" s="10">
        <f>IFERROR(SUMIFS('Base bordo'!G$2:G$746,'Base bordo'!C$2:C$746,A1299,'Base bordo'!B$2:B$746,B1299,'Base bordo'!F$2:F$746,"DESLOCAMENTO"),0)</f>
        <v>0</v>
      </c>
      <c r="G1299" s="10">
        <f>IFERROR(SUMIFS('Base bordo'!G$2:G$746,'Base bordo'!C$2:C$746,A1299,'Base bordo'!B$2:B$746,B1299,'Base bordo'!F$2:F$746,"CARREGAMENTO"),0)</f>
        <v>0</v>
      </c>
      <c r="H1299" s="10">
        <f>IFERROR(SUMIFS('Base bordo'!G$2:G$746,'Base bordo'!C$2:C$746,A1299,'Base bordo'!B$2:B$746,B1299,'Base bordo'!F$2:F$746,"AGUARDANDO TRANSBORDO"),0)</f>
        <v>0.23694444444444446</v>
      </c>
      <c r="I1299" s="10">
        <f>IFERROR(SUMIFS('Base bordo'!G$2:G$746,'Base bordo'!C$2:C$746,A1299,'Base bordo'!B$2:B$746,B1299,'Base bordo'!F$2:F$746,"PÁTIO INTERNO"),0)+IFERROR(SUMIFS('Base bordo'!G$2:G$746,'Base bordo'!C$2:C$746,A1299,'Base bordo'!B$2:B$746,B1299,'Base bordo'!F$2:F$746,"PÁTIO EXTERNO"),0)+IFERROR(SUMIFS('Base bordo'!G$2:G$746,'Base bordo'!C$2:C$746,A1299,'Base bordo'!B$2:B$746,B1299,'Base bordo'!F$2:F$746,"PATIO - RESERVA"),0)+IFERROR(SUMIFS('Base bordo'!G$2:G$746,'Base bordo'!C$2:C$746,A1299,'Base bordo'!B$2:B$746,B1299,'Base bordo'!F$2:F$746,"MANOBRA CARRETAS-PATIO"),0)</f>
        <v>5.0583333333333336</v>
      </c>
      <c r="J1299" s="10">
        <f>IFERROR(SUMIFS('Base bordo'!G$2:G$746,'Base bordo'!C$2:C$746,A1299,'Base bordo'!B$2:B$746,B1299,'Base bordo'!F$2:F$746,"BALANÇA - ENTRADA"),0)+IFERROR(SUMIFS('Base bordo'!G$2:G$746,'Base bordo'!C$2:C$746,A1299,'Base bordo'!B$2:B$746,B1299,'Base bordo'!F$2:F$746,"BALANÇA - SAÍDA"),0)</f>
        <v>0.23805555555555558</v>
      </c>
      <c r="K1299" s="10">
        <f>IFERROR(SUMIFS('Base bordo'!G$2:G$746,'Base bordo'!C$2:C$746,A1299,'Base bordo'!B$2:B$746,B1299,'Base bordo'!F$2:F$746,"MAN PREVENTIVA - MECANICA"),0)+IFERROR(SUMIFS('Base bordo'!G$2:G$746,'Base bordo'!C$2:C$746,A1299,'Base bordo'!B$2:B$746,B1299,'Base bordo'!F$2:F$746,"MAN CORRETIVA - MECANICA"),0)</f>
        <v>0</v>
      </c>
      <c r="L1299" s="10">
        <f>IFERROR(SUMIFS('Base bordo'!G$2:G$746,'Base bordo'!C$2:C$746,A1299,'Base bordo'!B$2:B$746,B1299,'Base bordo'!F$2:F$746,"MANUTENCAO - T O"),0)+IFERROR(SUMIFS('Base bordo'!G$2:G$746,'Base bordo'!C$2:C$746,A1299,'Base bordo'!B$2:B$746,B1299,'Base bordo'!F$2:F$746,"MANUTENCAO BORRACHARIA"),0)+IFERROR(SUMIFS('Base bordo'!G$2:G$746,'Base bordo'!C$2:C$746,A1299,'Base bordo'!B$2:B$746,B1299,'Base bordo'!F$2:F$746,"MANUTENCAO EXTERNA  CONCESSIONARIA"),0)+IFERROR(SUMIFS('Base bordo'!G$2:G$746,'Base bordo'!C$2:C$746,A1299,'Base bordo'!B$2:B$746,B1299,'Base bordo'!F$2:F$746,"MANUTENCAO TELEMETRIA"),0)</f>
        <v>0</v>
      </c>
      <c r="M1299" s="10">
        <f>IFERROR(SUMIFS('Base bordo'!G$2:G$746,'Base bordo'!C$2:C$746,A1299,'Base bordo'!B$2:B$746,B1299,'Base bordo'!F$2:F$746,"AGUARDANDO MANUTENCAO"),0)</f>
        <v>0</v>
      </c>
      <c r="N1299" s="10">
        <f>IFERROR(SUMIFS('Base bordo'!G$2:G$746,'Base bordo'!C$2:C$746,A1299,'Base bordo'!B$2:B$746,B1299,'Base bordo'!F$2:F$746,"SEM APONTAMENTO"),0)</f>
        <v>0</v>
      </c>
      <c r="O1299" s="10">
        <f t="shared" si="132"/>
        <v>0</v>
      </c>
      <c r="P1299" s="10">
        <f>IFERROR(SUMIFS('Base bordo'!G$2:G$746,'Base bordo'!C$2:C$746,A1299,'Base bordo'!B$2:B$746,B1299),0)</f>
        <v>9.9313888888888897</v>
      </c>
      <c r="Q1299" s="10">
        <f>IFERROR(SUMIFS('Base bordo'!H$2:H$746,'Base bordo'!C$2:C$746,A1299,'Base bordo'!B$2:B$746,B1299,'Base bordo'!F$2:F$746,"DESLOCAMENTO VAZIO"),0)</f>
        <v>272442.8</v>
      </c>
      <c r="R1299" s="10">
        <f>IFERROR(SUMIFS('Base bordo'!I$2:I$746,'Base bordo'!C$2:C$746,A1299,'Base bordo'!B$2:B$746,B1299,'Base bordo'!F$2:F$746,"DESLOCAMENTO VAZIO"),0)</f>
        <v>8267</v>
      </c>
      <c r="S1299" s="30">
        <f t="shared" si="133"/>
        <v>32.955461473327688</v>
      </c>
      <c r="T1299" s="10">
        <f>IFERROR(SUMIFS('Base bordo'!H$2:H$746,'Base bordo'!C$2:C$746,A1299,'Base bordo'!B$2:B$746,B1299,'Base bordo'!F$2:F$746,"DESLOCAMENTO CARREGADO"),0)</f>
        <v>216680.51</v>
      </c>
      <c r="U1299" s="10">
        <f>IFERROR(SUMIFS('Base bordo'!I$2:I$746,'Base bordo'!C$2:C$746,A1299,'Base bordo'!B$2:B$746,B1299,'Base bordo'!F$2:F$746,"DESLOCAMENTO CARREGADO"),0)</f>
        <v>7566</v>
      </c>
      <c r="V1299" s="30">
        <f t="shared" si="134"/>
        <v>28.638713983610891</v>
      </c>
      <c r="W1299" s="9">
        <f t="shared" si="135"/>
        <v>0.23122535171873687</v>
      </c>
      <c r="X1299" s="9">
        <f t="shared" si="136"/>
        <v>0.21161860543171199</v>
      </c>
      <c r="Y1299" s="9">
        <f t="shared" si="137"/>
        <v>0.55715604284955111</v>
      </c>
    </row>
    <row r="1300" spans="1:25" ht="15" customHeight="1" x14ac:dyDescent="0.35">
      <c r="A1300" s="52">
        <v>8013476</v>
      </c>
      <c r="B1300" s="51">
        <v>46124</v>
      </c>
      <c r="C1300" s="7" t="s">
        <v>124</v>
      </c>
      <c r="D1300" s="10">
        <f>IFERROR(SUMIFS('Base bordo'!G$2:G$746,'Base bordo'!C$2:C$746,A1300,'Base bordo'!B$2:B$746,B1300,'Base bordo'!F$2:F$746,"DESLOCAMENTO VAZIO"),0)</f>
        <v>2.296388888888889</v>
      </c>
      <c r="E1300" s="10">
        <f>IFERROR(SUMIFS('Base bordo'!G$2:G$746,'Base bordo'!C$2:C$746,A1300,'Base bordo'!B$2:B$746,B1300,'Base bordo'!F$2:F$746,"DESLOCAMENTO CARREGADO"),0)</f>
        <v>2.1016666666666666</v>
      </c>
      <c r="F1300" s="10">
        <f>IFERROR(SUMIFS('Base bordo'!G$2:G$746,'Base bordo'!C$2:C$746,A1300,'Base bordo'!B$2:B$746,B1300,'Base bordo'!F$2:F$746,"DESLOCAMENTO"),0)</f>
        <v>0</v>
      </c>
      <c r="G1300" s="10">
        <f>IFERROR(SUMIFS('Base bordo'!G$2:G$746,'Base bordo'!C$2:C$746,A1300,'Base bordo'!B$2:B$746,B1300,'Base bordo'!F$2:F$746,"CARREGAMENTO"),0)</f>
        <v>0</v>
      </c>
      <c r="H1300" s="10">
        <f>IFERROR(SUMIFS('Base bordo'!G$2:G$746,'Base bordo'!C$2:C$746,A1300,'Base bordo'!B$2:B$746,B1300,'Base bordo'!F$2:F$746,"AGUARDANDO TRANSBORDO"),0)</f>
        <v>0.23694444444444446</v>
      </c>
      <c r="I1300" s="10">
        <f>IFERROR(SUMIFS('Base bordo'!G$2:G$746,'Base bordo'!C$2:C$746,A1300,'Base bordo'!B$2:B$746,B1300,'Base bordo'!F$2:F$746,"PÁTIO INTERNO"),0)+IFERROR(SUMIFS('Base bordo'!G$2:G$746,'Base bordo'!C$2:C$746,A1300,'Base bordo'!B$2:B$746,B1300,'Base bordo'!F$2:F$746,"PÁTIO EXTERNO"),0)+IFERROR(SUMIFS('Base bordo'!G$2:G$746,'Base bordo'!C$2:C$746,A1300,'Base bordo'!B$2:B$746,B1300,'Base bordo'!F$2:F$746,"PATIO - RESERVA"),0)+IFERROR(SUMIFS('Base bordo'!G$2:G$746,'Base bordo'!C$2:C$746,A1300,'Base bordo'!B$2:B$746,B1300,'Base bordo'!F$2:F$746,"MANOBRA CARRETAS-PATIO"),0)</f>
        <v>5.0583333333333336</v>
      </c>
      <c r="J1300" s="10">
        <f>IFERROR(SUMIFS('Base bordo'!G$2:G$746,'Base bordo'!C$2:C$746,A1300,'Base bordo'!B$2:B$746,B1300,'Base bordo'!F$2:F$746,"BALANÇA - ENTRADA"),0)+IFERROR(SUMIFS('Base bordo'!G$2:G$746,'Base bordo'!C$2:C$746,A1300,'Base bordo'!B$2:B$746,B1300,'Base bordo'!F$2:F$746,"BALANÇA - SAÍDA"),0)</f>
        <v>0.23805555555555558</v>
      </c>
      <c r="K1300" s="10">
        <f>IFERROR(SUMIFS('Base bordo'!G$2:G$746,'Base bordo'!C$2:C$746,A1300,'Base bordo'!B$2:B$746,B1300,'Base bordo'!F$2:F$746,"MAN PREVENTIVA - MECANICA"),0)+IFERROR(SUMIFS('Base bordo'!G$2:G$746,'Base bordo'!C$2:C$746,A1300,'Base bordo'!B$2:B$746,B1300,'Base bordo'!F$2:F$746,"MAN CORRETIVA - MECANICA"),0)</f>
        <v>0</v>
      </c>
      <c r="L1300" s="10">
        <f>IFERROR(SUMIFS('Base bordo'!G$2:G$746,'Base bordo'!C$2:C$746,A1300,'Base bordo'!B$2:B$746,B1300,'Base bordo'!F$2:F$746,"MANUTENCAO - T O"),0)+IFERROR(SUMIFS('Base bordo'!G$2:G$746,'Base bordo'!C$2:C$746,A1300,'Base bordo'!B$2:B$746,B1300,'Base bordo'!F$2:F$746,"MANUTENCAO BORRACHARIA"),0)+IFERROR(SUMIFS('Base bordo'!G$2:G$746,'Base bordo'!C$2:C$746,A1300,'Base bordo'!B$2:B$746,B1300,'Base bordo'!F$2:F$746,"MANUTENCAO EXTERNA  CONCESSIONARIA"),0)+IFERROR(SUMIFS('Base bordo'!G$2:G$746,'Base bordo'!C$2:C$746,A1300,'Base bordo'!B$2:B$746,B1300,'Base bordo'!F$2:F$746,"MANUTENCAO TELEMETRIA"),0)</f>
        <v>0</v>
      </c>
      <c r="M1300" s="10">
        <f>IFERROR(SUMIFS('Base bordo'!G$2:G$746,'Base bordo'!C$2:C$746,A1300,'Base bordo'!B$2:B$746,B1300,'Base bordo'!F$2:F$746,"AGUARDANDO MANUTENCAO"),0)</f>
        <v>0</v>
      </c>
      <c r="N1300" s="10">
        <f>IFERROR(SUMIFS('Base bordo'!G$2:G$746,'Base bordo'!C$2:C$746,A1300,'Base bordo'!B$2:B$746,B1300,'Base bordo'!F$2:F$746,"SEM APONTAMENTO"),0)</f>
        <v>0</v>
      </c>
      <c r="O1300" s="10">
        <f t="shared" si="132"/>
        <v>0</v>
      </c>
      <c r="P1300" s="10">
        <f>IFERROR(SUMIFS('Base bordo'!G$2:G$746,'Base bordo'!C$2:C$746,A1300,'Base bordo'!B$2:B$746,B1300),0)</f>
        <v>9.9313888888888897</v>
      </c>
      <c r="Q1300" s="10">
        <f>IFERROR(SUMIFS('Base bordo'!H$2:H$746,'Base bordo'!C$2:C$746,A1300,'Base bordo'!B$2:B$746,B1300,'Base bordo'!F$2:F$746,"DESLOCAMENTO VAZIO"),0)</f>
        <v>272442.8</v>
      </c>
      <c r="R1300" s="10">
        <f>IFERROR(SUMIFS('Base bordo'!I$2:I$746,'Base bordo'!C$2:C$746,A1300,'Base bordo'!B$2:B$746,B1300,'Base bordo'!F$2:F$746,"DESLOCAMENTO VAZIO"),0)</f>
        <v>8267</v>
      </c>
      <c r="S1300" s="30">
        <f t="shared" si="133"/>
        <v>32.955461473327688</v>
      </c>
      <c r="T1300" s="10">
        <f>IFERROR(SUMIFS('Base bordo'!H$2:H$746,'Base bordo'!C$2:C$746,A1300,'Base bordo'!B$2:B$746,B1300,'Base bordo'!F$2:F$746,"DESLOCAMENTO CARREGADO"),0)</f>
        <v>216680.51</v>
      </c>
      <c r="U1300" s="10">
        <f>IFERROR(SUMIFS('Base bordo'!I$2:I$746,'Base bordo'!C$2:C$746,A1300,'Base bordo'!B$2:B$746,B1300,'Base bordo'!F$2:F$746,"DESLOCAMENTO CARREGADO"),0)</f>
        <v>7566</v>
      </c>
      <c r="V1300" s="30">
        <f t="shared" si="134"/>
        <v>28.638713983610891</v>
      </c>
      <c r="W1300" s="9">
        <f t="shared" si="135"/>
        <v>0.23122535171873687</v>
      </c>
      <c r="X1300" s="9">
        <f t="shared" si="136"/>
        <v>0.21161860543171199</v>
      </c>
      <c r="Y1300" s="9">
        <f t="shared" si="137"/>
        <v>0.55715604284955111</v>
      </c>
    </row>
    <row r="1301" spans="1:25" ht="15" customHeight="1" x14ac:dyDescent="0.35">
      <c r="A1301" s="52">
        <v>8013476</v>
      </c>
      <c r="B1301" s="51">
        <v>46124</v>
      </c>
      <c r="C1301" s="7" t="s">
        <v>124</v>
      </c>
      <c r="D1301" s="10">
        <f>IFERROR(SUMIFS('Base bordo'!G$2:G$746,'Base bordo'!C$2:C$746,A1301,'Base bordo'!B$2:B$746,B1301,'Base bordo'!F$2:F$746,"DESLOCAMENTO VAZIO"),0)</f>
        <v>2.296388888888889</v>
      </c>
      <c r="E1301" s="10">
        <f>IFERROR(SUMIFS('Base bordo'!G$2:G$746,'Base bordo'!C$2:C$746,A1301,'Base bordo'!B$2:B$746,B1301,'Base bordo'!F$2:F$746,"DESLOCAMENTO CARREGADO"),0)</f>
        <v>2.1016666666666666</v>
      </c>
      <c r="F1301" s="10">
        <f>IFERROR(SUMIFS('Base bordo'!G$2:G$746,'Base bordo'!C$2:C$746,A1301,'Base bordo'!B$2:B$746,B1301,'Base bordo'!F$2:F$746,"DESLOCAMENTO"),0)</f>
        <v>0</v>
      </c>
      <c r="G1301" s="10">
        <f>IFERROR(SUMIFS('Base bordo'!G$2:G$746,'Base bordo'!C$2:C$746,A1301,'Base bordo'!B$2:B$746,B1301,'Base bordo'!F$2:F$746,"CARREGAMENTO"),0)</f>
        <v>0</v>
      </c>
      <c r="H1301" s="10">
        <f>IFERROR(SUMIFS('Base bordo'!G$2:G$746,'Base bordo'!C$2:C$746,A1301,'Base bordo'!B$2:B$746,B1301,'Base bordo'!F$2:F$746,"AGUARDANDO TRANSBORDO"),0)</f>
        <v>0.23694444444444446</v>
      </c>
      <c r="I1301" s="10">
        <f>IFERROR(SUMIFS('Base bordo'!G$2:G$746,'Base bordo'!C$2:C$746,A1301,'Base bordo'!B$2:B$746,B1301,'Base bordo'!F$2:F$746,"PÁTIO INTERNO"),0)+IFERROR(SUMIFS('Base bordo'!G$2:G$746,'Base bordo'!C$2:C$746,A1301,'Base bordo'!B$2:B$746,B1301,'Base bordo'!F$2:F$746,"PÁTIO EXTERNO"),0)+IFERROR(SUMIFS('Base bordo'!G$2:G$746,'Base bordo'!C$2:C$746,A1301,'Base bordo'!B$2:B$746,B1301,'Base bordo'!F$2:F$746,"PATIO - RESERVA"),0)+IFERROR(SUMIFS('Base bordo'!G$2:G$746,'Base bordo'!C$2:C$746,A1301,'Base bordo'!B$2:B$746,B1301,'Base bordo'!F$2:F$746,"MANOBRA CARRETAS-PATIO"),0)</f>
        <v>5.0583333333333336</v>
      </c>
      <c r="J1301" s="10">
        <f>IFERROR(SUMIFS('Base bordo'!G$2:G$746,'Base bordo'!C$2:C$746,A1301,'Base bordo'!B$2:B$746,B1301,'Base bordo'!F$2:F$746,"BALANÇA - ENTRADA"),0)+IFERROR(SUMIFS('Base bordo'!G$2:G$746,'Base bordo'!C$2:C$746,A1301,'Base bordo'!B$2:B$746,B1301,'Base bordo'!F$2:F$746,"BALANÇA - SAÍDA"),0)</f>
        <v>0.23805555555555558</v>
      </c>
      <c r="K1301" s="10">
        <f>IFERROR(SUMIFS('Base bordo'!G$2:G$746,'Base bordo'!C$2:C$746,A1301,'Base bordo'!B$2:B$746,B1301,'Base bordo'!F$2:F$746,"MAN PREVENTIVA - MECANICA"),0)+IFERROR(SUMIFS('Base bordo'!G$2:G$746,'Base bordo'!C$2:C$746,A1301,'Base bordo'!B$2:B$746,B1301,'Base bordo'!F$2:F$746,"MAN CORRETIVA - MECANICA"),0)</f>
        <v>0</v>
      </c>
      <c r="L1301" s="10">
        <f>IFERROR(SUMIFS('Base bordo'!G$2:G$746,'Base bordo'!C$2:C$746,A1301,'Base bordo'!B$2:B$746,B1301,'Base bordo'!F$2:F$746,"MANUTENCAO - T O"),0)+IFERROR(SUMIFS('Base bordo'!G$2:G$746,'Base bordo'!C$2:C$746,A1301,'Base bordo'!B$2:B$746,B1301,'Base bordo'!F$2:F$746,"MANUTENCAO BORRACHARIA"),0)+IFERROR(SUMIFS('Base bordo'!G$2:G$746,'Base bordo'!C$2:C$746,A1301,'Base bordo'!B$2:B$746,B1301,'Base bordo'!F$2:F$746,"MANUTENCAO EXTERNA  CONCESSIONARIA"),0)+IFERROR(SUMIFS('Base bordo'!G$2:G$746,'Base bordo'!C$2:C$746,A1301,'Base bordo'!B$2:B$746,B1301,'Base bordo'!F$2:F$746,"MANUTENCAO TELEMETRIA"),0)</f>
        <v>0</v>
      </c>
      <c r="M1301" s="10">
        <f>IFERROR(SUMIFS('Base bordo'!G$2:G$746,'Base bordo'!C$2:C$746,A1301,'Base bordo'!B$2:B$746,B1301,'Base bordo'!F$2:F$746,"AGUARDANDO MANUTENCAO"),0)</f>
        <v>0</v>
      </c>
      <c r="N1301" s="10">
        <f>IFERROR(SUMIFS('Base bordo'!G$2:G$746,'Base bordo'!C$2:C$746,A1301,'Base bordo'!B$2:B$746,B1301,'Base bordo'!F$2:F$746,"SEM APONTAMENTO"),0)</f>
        <v>0</v>
      </c>
      <c r="O1301" s="10">
        <f t="shared" si="132"/>
        <v>0</v>
      </c>
      <c r="P1301" s="10">
        <f>IFERROR(SUMIFS('Base bordo'!G$2:G$746,'Base bordo'!C$2:C$746,A1301,'Base bordo'!B$2:B$746,B1301),0)</f>
        <v>9.9313888888888897</v>
      </c>
      <c r="Q1301" s="10">
        <f>IFERROR(SUMIFS('Base bordo'!H$2:H$746,'Base bordo'!C$2:C$746,A1301,'Base bordo'!B$2:B$746,B1301,'Base bordo'!F$2:F$746,"DESLOCAMENTO VAZIO"),0)</f>
        <v>272442.8</v>
      </c>
      <c r="R1301" s="10">
        <f>IFERROR(SUMIFS('Base bordo'!I$2:I$746,'Base bordo'!C$2:C$746,A1301,'Base bordo'!B$2:B$746,B1301,'Base bordo'!F$2:F$746,"DESLOCAMENTO VAZIO"),0)</f>
        <v>8267</v>
      </c>
      <c r="S1301" s="30">
        <f t="shared" si="133"/>
        <v>32.955461473327688</v>
      </c>
      <c r="T1301" s="10">
        <f>IFERROR(SUMIFS('Base bordo'!H$2:H$746,'Base bordo'!C$2:C$746,A1301,'Base bordo'!B$2:B$746,B1301,'Base bordo'!F$2:F$746,"DESLOCAMENTO CARREGADO"),0)</f>
        <v>216680.51</v>
      </c>
      <c r="U1301" s="10">
        <f>IFERROR(SUMIFS('Base bordo'!I$2:I$746,'Base bordo'!C$2:C$746,A1301,'Base bordo'!B$2:B$746,B1301,'Base bordo'!F$2:F$746,"DESLOCAMENTO CARREGADO"),0)</f>
        <v>7566</v>
      </c>
      <c r="V1301" s="30">
        <f t="shared" si="134"/>
        <v>28.638713983610891</v>
      </c>
      <c r="W1301" s="9">
        <f t="shared" si="135"/>
        <v>0.23122535171873687</v>
      </c>
      <c r="X1301" s="9">
        <f t="shared" si="136"/>
        <v>0.21161860543171199</v>
      </c>
      <c r="Y1301" s="9">
        <f t="shared" si="137"/>
        <v>0.55715604284955111</v>
      </c>
    </row>
    <row r="1302" spans="1:25" ht="15" customHeight="1" x14ac:dyDescent="0.35">
      <c r="A1302" s="52">
        <v>8013476</v>
      </c>
      <c r="B1302" s="51">
        <v>46124</v>
      </c>
      <c r="C1302" s="7" t="s">
        <v>124</v>
      </c>
      <c r="D1302" s="10">
        <f>IFERROR(SUMIFS('Base bordo'!G$2:G$746,'Base bordo'!C$2:C$746,A1302,'Base bordo'!B$2:B$746,B1302,'Base bordo'!F$2:F$746,"DESLOCAMENTO VAZIO"),0)</f>
        <v>2.296388888888889</v>
      </c>
      <c r="E1302" s="10">
        <f>IFERROR(SUMIFS('Base bordo'!G$2:G$746,'Base bordo'!C$2:C$746,A1302,'Base bordo'!B$2:B$746,B1302,'Base bordo'!F$2:F$746,"DESLOCAMENTO CARREGADO"),0)</f>
        <v>2.1016666666666666</v>
      </c>
      <c r="F1302" s="10">
        <f>IFERROR(SUMIFS('Base bordo'!G$2:G$746,'Base bordo'!C$2:C$746,A1302,'Base bordo'!B$2:B$746,B1302,'Base bordo'!F$2:F$746,"DESLOCAMENTO"),0)</f>
        <v>0</v>
      </c>
      <c r="G1302" s="10">
        <f>IFERROR(SUMIFS('Base bordo'!G$2:G$746,'Base bordo'!C$2:C$746,A1302,'Base bordo'!B$2:B$746,B1302,'Base bordo'!F$2:F$746,"CARREGAMENTO"),0)</f>
        <v>0</v>
      </c>
      <c r="H1302" s="10">
        <f>IFERROR(SUMIFS('Base bordo'!G$2:G$746,'Base bordo'!C$2:C$746,A1302,'Base bordo'!B$2:B$746,B1302,'Base bordo'!F$2:F$746,"AGUARDANDO TRANSBORDO"),0)</f>
        <v>0.23694444444444446</v>
      </c>
      <c r="I1302" s="10">
        <f>IFERROR(SUMIFS('Base bordo'!G$2:G$746,'Base bordo'!C$2:C$746,A1302,'Base bordo'!B$2:B$746,B1302,'Base bordo'!F$2:F$746,"PÁTIO INTERNO"),0)+IFERROR(SUMIFS('Base bordo'!G$2:G$746,'Base bordo'!C$2:C$746,A1302,'Base bordo'!B$2:B$746,B1302,'Base bordo'!F$2:F$746,"PÁTIO EXTERNO"),0)+IFERROR(SUMIFS('Base bordo'!G$2:G$746,'Base bordo'!C$2:C$746,A1302,'Base bordo'!B$2:B$746,B1302,'Base bordo'!F$2:F$746,"PATIO - RESERVA"),0)+IFERROR(SUMIFS('Base bordo'!G$2:G$746,'Base bordo'!C$2:C$746,A1302,'Base bordo'!B$2:B$746,B1302,'Base bordo'!F$2:F$746,"MANOBRA CARRETAS-PATIO"),0)</f>
        <v>5.0583333333333336</v>
      </c>
      <c r="J1302" s="10">
        <f>IFERROR(SUMIFS('Base bordo'!G$2:G$746,'Base bordo'!C$2:C$746,A1302,'Base bordo'!B$2:B$746,B1302,'Base bordo'!F$2:F$746,"BALANÇA - ENTRADA"),0)+IFERROR(SUMIFS('Base bordo'!G$2:G$746,'Base bordo'!C$2:C$746,A1302,'Base bordo'!B$2:B$746,B1302,'Base bordo'!F$2:F$746,"BALANÇA - SAÍDA"),0)</f>
        <v>0.23805555555555558</v>
      </c>
      <c r="K1302" s="10">
        <f>IFERROR(SUMIFS('Base bordo'!G$2:G$746,'Base bordo'!C$2:C$746,A1302,'Base bordo'!B$2:B$746,B1302,'Base bordo'!F$2:F$746,"MAN PREVENTIVA - MECANICA"),0)+IFERROR(SUMIFS('Base bordo'!G$2:G$746,'Base bordo'!C$2:C$746,A1302,'Base bordo'!B$2:B$746,B1302,'Base bordo'!F$2:F$746,"MAN CORRETIVA - MECANICA"),0)</f>
        <v>0</v>
      </c>
      <c r="L1302" s="10">
        <f>IFERROR(SUMIFS('Base bordo'!G$2:G$746,'Base bordo'!C$2:C$746,A1302,'Base bordo'!B$2:B$746,B1302,'Base bordo'!F$2:F$746,"MANUTENCAO - T O"),0)+IFERROR(SUMIFS('Base bordo'!G$2:G$746,'Base bordo'!C$2:C$746,A1302,'Base bordo'!B$2:B$746,B1302,'Base bordo'!F$2:F$746,"MANUTENCAO BORRACHARIA"),0)+IFERROR(SUMIFS('Base bordo'!G$2:G$746,'Base bordo'!C$2:C$746,A1302,'Base bordo'!B$2:B$746,B1302,'Base bordo'!F$2:F$746,"MANUTENCAO EXTERNA  CONCESSIONARIA"),0)+IFERROR(SUMIFS('Base bordo'!G$2:G$746,'Base bordo'!C$2:C$746,A1302,'Base bordo'!B$2:B$746,B1302,'Base bordo'!F$2:F$746,"MANUTENCAO TELEMETRIA"),0)</f>
        <v>0</v>
      </c>
      <c r="M1302" s="10">
        <f>IFERROR(SUMIFS('Base bordo'!G$2:G$746,'Base bordo'!C$2:C$746,A1302,'Base bordo'!B$2:B$746,B1302,'Base bordo'!F$2:F$746,"AGUARDANDO MANUTENCAO"),0)</f>
        <v>0</v>
      </c>
      <c r="N1302" s="10">
        <f>IFERROR(SUMIFS('Base bordo'!G$2:G$746,'Base bordo'!C$2:C$746,A1302,'Base bordo'!B$2:B$746,B1302,'Base bordo'!F$2:F$746,"SEM APONTAMENTO"),0)</f>
        <v>0</v>
      </c>
      <c r="O1302" s="10">
        <f t="shared" si="132"/>
        <v>0</v>
      </c>
      <c r="P1302" s="10">
        <f>IFERROR(SUMIFS('Base bordo'!G$2:G$746,'Base bordo'!C$2:C$746,A1302,'Base bordo'!B$2:B$746,B1302),0)</f>
        <v>9.9313888888888897</v>
      </c>
      <c r="Q1302" s="10">
        <f>IFERROR(SUMIFS('Base bordo'!H$2:H$746,'Base bordo'!C$2:C$746,A1302,'Base bordo'!B$2:B$746,B1302,'Base bordo'!F$2:F$746,"DESLOCAMENTO VAZIO"),0)</f>
        <v>272442.8</v>
      </c>
      <c r="R1302" s="10">
        <f>IFERROR(SUMIFS('Base bordo'!I$2:I$746,'Base bordo'!C$2:C$746,A1302,'Base bordo'!B$2:B$746,B1302,'Base bordo'!F$2:F$746,"DESLOCAMENTO VAZIO"),0)</f>
        <v>8267</v>
      </c>
      <c r="S1302" s="30">
        <f t="shared" si="133"/>
        <v>32.955461473327688</v>
      </c>
      <c r="T1302" s="10">
        <f>IFERROR(SUMIFS('Base bordo'!H$2:H$746,'Base bordo'!C$2:C$746,A1302,'Base bordo'!B$2:B$746,B1302,'Base bordo'!F$2:F$746,"DESLOCAMENTO CARREGADO"),0)</f>
        <v>216680.51</v>
      </c>
      <c r="U1302" s="10">
        <f>IFERROR(SUMIFS('Base bordo'!I$2:I$746,'Base bordo'!C$2:C$746,A1302,'Base bordo'!B$2:B$746,B1302,'Base bordo'!F$2:F$746,"DESLOCAMENTO CARREGADO"),0)</f>
        <v>7566</v>
      </c>
      <c r="V1302" s="30">
        <f t="shared" si="134"/>
        <v>28.638713983610891</v>
      </c>
      <c r="W1302" s="9">
        <f t="shared" si="135"/>
        <v>0.23122535171873687</v>
      </c>
      <c r="X1302" s="9">
        <f t="shared" si="136"/>
        <v>0.21161860543171199</v>
      </c>
      <c r="Y1302" s="9">
        <f t="shared" si="137"/>
        <v>0.55715604284955111</v>
      </c>
    </row>
    <row r="1303" spans="1:25" ht="15" customHeight="1" x14ac:dyDescent="0.35">
      <c r="A1303" s="52">
        <v>8013476</v>
      </c>
      <c r="B1303" s="51">
        <v>46124</v>
      </c>
      <c r="C1303" s="7" t="s">
        <v>124</v>
      </c>
      <c r="D1303" s="10">
        <f>IFERROR(SUMIFS('Base bordo'!G$2:G$746,'Base bordo'!C$2:C$746,A1303,'Base bordo'!B$2:B$746,B1303,'Base bordo'!F$2:F$746,"DESLOCAMENTO VAZIO"),0)</f>
        <v>2.296388888888889</v>
      </c>
      <c r="E1303" s="10">
        <f>IFERROR(SUMIFS('Base bordo'!G$2:G$746,'Base bordo'!C$2:C$746,A1303,'Base bordo'!B$2:B$746,B1303,'Base bordo'!F$2:F$746,"DESLOCAMENTO CARREGADO"),0)</f>
        <v>2.1016666666666666</v>
      </c>
      <c r="F1303" s="10">
        <f>IFERROR(SUMIFS('Base bordo'!G$2:G$746,'Base bordo'!C$2:C$746,A1303,'Base bordo'!B$2:B$746,B1303,'Base bordo'!F$2:F$746,"DESLOCAMENTO"),0)</f>
        <v>0</v>
      </c>
      <c r="G1303" s="10">
        <f>IFERROR(SUMIFS('Base bordo'!G$2:G$746,'Base bordo'!C$2:C$746,A1303,'Base bordo'!B$2:B$746,B1303,'Base bordo'!F$2:F$746,"CARREGAMENTO"),0)</f>
        <v>0</v>
      </c>
      <c r="H1303" s="10">
        <f>IFERROR(SUMIFS('Base bordo'!G$2:G$746,'Base bordo'!C$2:C$746,A1303,'Base bordo'!B$2:B$746,B1303,'Base bordo'!F$2:F$746,"AGUARDANDO TRANSBORDO"),0)</f>
        <v>0.23694444444444446</v>
      </c>
      <c r="I1303" s="10">
        <f>IFERROR(SUMIFS('Base bordo'!G$2:G$746,'Base bordo'!C$2:C$746,A1303,'Base bordo'!B$2:B$746,B1303,'Base bordo'!F$2:F$746,"PÁTIO INTERNO"),0)+IFERROR(SUMIFS('Base bordo'!G$2:G$746,'Base bordo'!C$2:C$746,A1303,'Base bordo'!B$2:B$746,B1303,'Base bordo'!F$2:F$746,"PÁTIO EXTERNO"),0)+IFERROR(SUMIFS('Base bordo'!G$2:G$746,'Base bordo'!C$2:C$746,A1303,'Base bordo'!B$2:B$746,B1303,'Base bordo'!F$2:F$746,"PATIO - RESERVA"),0)+IFERROR(SUMIFS('Base bordo'!G$2:G$746,'Base bordo'!C$2:C$746,A1303,'Base bordo'!B$2:B$746,B1303,'Base bordo'!F$2:F$746,"MANOBRA CARRETAS-PATIO"),0)</f>
        <v>5.0583333333333336</v>
      </c>
      <c r="J1303" s="10">
        <f>IFERROR(SUMIFS('Base bordo'!G$2:G$746,'Base bordo'!C$2:C$746,A1303,'Base bordo'!B$2:B$746,B1303,'Base bordo'!F$2:F$746,"BALANÇA - ENTRADA"),0)+IFERROR(SUMIFS('Base bordo'!G$2:G$746,'Base bordo'!C$2:C$746,A1303,'Base bordo'!B$2:B$746,B1303,'Base bordo'!F$2:F$746,"BALANÇA - SAÍDA"),0)</f>
        <v>0.23805555555555558</v>
      </c>
      <c r="K1303" s="10">
        <f>IFERROR(SUMIFS('Base bordo'!G$2:G$746,'Base bordo'!C$2:C$746,A1303,'Base bordo'!B$2:B$746,B1303,'Base bordo'!F$2:F$746,"MAN PREVENTIVA - MECANICA"),0)+IFERROR(SUMIFS('Base bordo'!G$2:G$746,'Base bordo'!C$2:C$746,A1303,'Base bordo'!B$2:B$746,B1303,'Base bordo'!F$2:F$746,"MAN CORRETIVA - MECANICA"),0)</f>
        <v>0</v>
      </c>
      <c r="L1303" s="10">
        <f>IFERROR(SUMIFS('Base bordo'!G$2:G$746,'Base bordo'!C$2:C$746,A1303,'Base bordo'!B$2:B$746,B1303,'Base bordo'!F$2:F$746,"MANUTENCAO - T O"),0)+IFERROR(SUMIFS('Base bordo'!G$2:G$746,'Base bordo'!C$2:C$746,A1303,'Base bordo'!B$2:B$746,B1303,'Base bordo'!F$2:F$746,"MANUTENCAO BORRACHARIA"),0)+IFERROR(SUMIFS('Base bordo'!G$2:G$746,'Base bordo'!C$2:C$746,A1303,'Base bordo'!B$2:B$746,B1303,'Base bordo'!F$2:F$746,"MANUTENCAO EXTERNA  CONCESSIONARIA"),0)+IFERROR(SUMIFS('Base bordo'!G$2:G$746,'Base bordo'!C$2:C$746,A1303,'Base bordo'!B$2:B$746,B1303,'Base bordo'!F$2:F$746,"MANUTENCAO TELEMETRIA"),0)</f>
        <v>0</v>
      </c>
      <c r="M1303" s="10">
        <f>IFERROR(SUMIFS('Base bordo'!G$2:G$746,'Base bordo'!C$2:C$746,A1303,'Base bordo'!B$2:B$746,B1303,'Base bordo'!F$2:F$746,"AGUARDANDO MANUTENCAO"),0)</f>
        <v>0</v>
      </c>
      <c r="N1303" s="10">
        <f>IFERROR(SUMIFS('Base bordo'!G$2:G$746,'Base bordo'!C$2:C$746,A1303,'Base bordo'!B$2:B$746,B1303,'Base bordo'!F$2:F$746,"SEM APONTAMENTO"),0)</f>
        <v>0</v>
      </c>
      <c r="O1303" s="10">
        <f t="shared" si="132"/>
        <v>0</v>
      </c>
      <c r="P1303" s="10">
        <f>IFERROR(SUMIFS('Base bordo'!G$2:G$746,'Base bordo'!C$2:C$746,A1303,'Base bordo'!B$2:B$746,B1303),0)</f>
        <v>9.9313888888888897</v>
      </c>
      <c r="Q1303" s="10">
        <f>IFERROR(SUMIFS('Base bordo'!H$2:H$746,'Base bordo'!C$2:C$746,A1303,'Base bordo'!B$2:B$746,B1303,'Base bordo'!F$2:F$746,"DESLOCAMENTO VAZIO"),0)</f>
        <v>272442.8</v>
      </c>
      <c r="R1303" s="10">
        <f>IFERROR(SUMIFS('Base bordo'!I$2:I$746,'Base bordo'!C$2:C$746,A1303,'Base bordo'!B$2:B$746,B1303,'Base bordo'!F$2:F$746,"DESLOCAMENTO VAZIO"),0)</f>
        <v>8267</v>
      </c>
      <c r="S1303" s="30">
        <f t="shared" si="133"/>
        <v>32.955461473327688</v>
      </c>
      <c r="T1303" s="10">
        <f>IFERROR(SUMIFS('Base bordo'!H$2:H$746,'Base bordo'!C$2:C$746,A1303,'Base bordo'!B$2:B$746,B1303,'Base bordo'!F$2:F$746,"DESLOCAMENTO CARREGADO"),0)</f>
        <v>216680.51</v>
      </c>
      <c r="U1303" s="10">
        <f>IFERROR(SUMIFS('Base bordo'!I$2:I$746,'Base bordo'!C$2:C$746,A1303,'Base bordo'!B$2:B$746,B1303,'Base bordo'!F$2:F$746,"DESLOCAMENTO CARREGADO"),0)</f>
        <v>7566</v>
      </c>
      <c r="V1303" s="30">
        <f t="shared" si="134"/>
        <v>28.638713983610891</v>
      </c>
      <c r="W1303" s="9">
        <f t="shared" si="135"/>
        <v>0.23122535171873687</v>
      </c>
      <c r="X1303" s="9">
        <f t="shared" si="136"/>
        <v>0.21161860543171199</v>
      </c>
      <c r="Y1303" s="9">
        <f t="shared" si="137"/>
        <v>0.55715604284955111</v>
      </c>
    </row>
    <row r="1304" spans="1:25" ht="15" customHeight="1" x14ac:dyDescent="0.35">
      <c r="A1304" s="52">
        <v>8013476</v>
      </c>
      <c r="B1304" s="51">
        <v>46124</v>
      </c>
      <c r="C1304" s="7" t="s">
        <v>124</v>
      </c>
      <c r="D1304" s="10">
        <f>IFERROR(SUMIFS('Base bordo'!G$2:G$746,'Base bordo'!C$2:C$746,A1304,'Base bordo'!B$2:B$746,B1304,'Base bordo'!F$2:F$746,"DESLOCAMENTO VAZIO"),0)</f>
        <v>2.296388888888889</v>
      </c>
      <c r="E1304" s="10">
        <f>IFERROR(SUMIFS('Base bordo'!G$2:G$746,'Base bordo'!C$2:C$746,A1304,'Base bordo'!B$2:B$746,B1304,'Base bordo'!F$2:F$746,"DESLOCAMENTO CARREGADO"),0)</f>
        <v>2.1016666666666666</v>
      </c>
      <c r="F1304" s="10">
        <f>IFERROR(SUMIFS('Base bordo'!G$2:G$746,'Base bordo'!C$2:C$746,A1304,'Base bordo'!B$2:B$746,B1304,'Base bordo'!F$2:F$746,"DESLOCAMENTO"),0)</f>
        <v>0</v>
      </c>
      <c r="G1304" s="10">
        <f>IFERROR(SUMIFS('Base bordo'!G$2:G$746,'Base bordo'!C$2:C$746,A1304,'Base bordo'!B$2:B$746,B1304,'Base bordo'!F$2:F$746,"CARREGAMENTO"),0)</f>
        <v>0</v>
      </c>
      <c r="H1304" s="10">
        <f>IFERROR(SUMIFS('Base bordo'!G$2:G$746,'Base bordo'!C$2:C$746,A1304,'Base bordo'!B$2:B$746,B1304,'Base bordo'!F$2:F$746,"AGUARDANDO TRANSBORDO"),0)</f>
        <v>0.23694444444444446</v>
      </c>
      <c r="I1304" s="10">
        <f>IFERROR(SUMIFS('Base bordo'!G$2:G$746,'Base bordo'!C$2:C$746,A1304,'Base bordo'!B$2:B$746,B1304,'Base bordo'!F$2:F$746,"PÁTIO INTERNO"),0)+IFERROR(SUMIFS('Base bordo'!G$2:G$746,'Base bordo'!C$2:C$746,A1304,'Base bordo'!B$2:B$746,B1304,'Base bordo'!F$2:F$746,"PÁTIO EXTERNO"),0)+IFERROR(SUMIFS('Base bordo'!G$2:G$746,'Base bordo'!C$2:C$746,A1304,'Base bordo'!B$2:B$746,B1304,'Base bordo'!F$2:F$746,"PATIO - RESERVA"),0)+IFERROR(SUMIFS('Base bordo'!G$2:G$746,'Base bordo'!C$2:C$746,A1304,'Base bordo'!B$2:B$746,B1304,'Base bordo'!F$2:F$746,"MANOBRA CARRETAS-PATIO"),0)</f>
        <v>5.0583333333333336</v>
      </c>
      <c r="J1304" s="10">
        <f>IFERROR(SUMIFS('Base bordo'!G$2:G$746,'Base bordo'!C$2:C$746,A1304,'Base bordo'!B$2:B$746,B1304,'Base bordo'!F$2:F$746,"BALANÇA - ENTRADA"),0)+IFERROR(SUMIFS('Base bordo'!G$2:G$746,'Base bordo'!C$2:C$746,A1304,'Base bordo'!B$2:B$746,B1304,'Base bordo'!F$2:F$746,"BALANÇA - SAÍDA"),0)</f>
        <v>0.23805555555555558</v>
      </c>
      <c r="K1304" s="10">
        <f>IFERROR(SUMIFS('Base bordo'!G$2:G$746,'Base bordo'!C$2:C$746,A1304,'Base bordo'!B$2:B$746,B1304,'Base bordo'!F$2:F$746,"MAN PREVENTIVA - MECANICA"),0)+IFERROR(SUMIFS('Base bordo'!G$2:G$746,'Base bordo'!C$2:C$746,A1304,'Base bordo'!B$2:B$746,B1304,'Base bordo'!F$2:F$746,"MAN CORRETIVA - MECANICA"),0)</f>
        <v>0</v>
      </c>
      <c r="L1304" s="10">
        <f>IFERROR(SUMIFS('Base bordo'!G$2:G$746,'Base bordo'!C$2:C$746,A1304,'Base bordo'!B$2:B$746,B1304,'Base bordo'!F$2:F$746,"MANUTENCAO - T O"),0)+IFERROR(SUMIFS('Base bordo'!G$2:G$746,'Base bordo'!C$2:C$746,A1304,'Base bordo'!B$2:B$746,B1304,'Base bordo'!F$2:F$746,"MANUTENCAO BORRACHARIA"),0)+IFERROR(SUMIFS('Base bordo'!G$2:G$746,'Base bordo'!C$2:C$746,A1304,'Base bordo'!B$2:B$746,B1304,'Base bordo'!F$2:F$746,"MANUTENCAO EXTERNA  CONCESSIONARIA"),0)+IFERROR(SUMIFS('Base bordo'!G$2:G$746,'Base bordo'!C$2:C$746,A1304,'Base bordo'!B$2:B$746,B1304,'Base bordo'!F$2:F$746,"MANUTENCAO TELEMETRIA"),0)</f>
        <v>0</v>
      </c>
      <c r="M1304" s="10">
        <f>IFERROR(SUMIFS('Base bordo'!G$2:G$746,'Base bordo'!C$2:C$746,A1304,'Base bordo'!B$2:B$746,B1304,'Base bordo'!F$2:F$746,"AGUARDANDO MANUTENCAO"),0)</f>
        <v>0</v>
      </c>
      <c r="N1304" s="10">
        <f>IFERROR(SUMIFS('Base bordo'!G$2:G$746,'Base bordo'!C$2:C$746,A1304,'Base bordo'!B$2:B$746,B1304,'Base bordo'!F$2:F$746,"SEM APONTAMENTO"),0)</f>
        <v>0</v>
      </c>
      <c r="O1304" s="10">
        <f t="shared" si="132"/>
        <v>0</v>
      </c>
      <c r="P1304" s="10">
        <f>IFERROR(SUMIFS('Base bordo'!G$2:G$746,'Base bordo'!C$2:C$746,A1304,'Base bordo'!B$2:B$746,B1304),0)</f>
        <v>9.9313888888888897</v>
      </c>
      <c r="Q1304" s="10">
        <f>IFERROR(SUMIFS('Base bordo'!H$2:H$746,'Base bordo'!C$2:C$746,A1304,'Base bordo'!B$2:B$746,B1304,'Base bordo'!F$2:F$746,"DESLOCAMENTO VAZIO"),0)</f>
        <v>272442.8</v>
      </c>
      <c r="R1304" s="10">
        <f>IFERROR(SUMIFS('Base bordo'!I$2:I$746,'Base bordo'!C$2:C$746,A1304,'Base bordo'!B$2:B$746,B1304,'Base bordo'!F$2:F$746,"DESLOCAMENTO VAZIO"),0)</f>
        <v>8267</v>
      </c>
      <c r="S1304" s="30">
        <f t="shared" si="133"/>
        <v>32.955461473327688</v>
      </c>
      <c r="T1304" s="10">
        <f>IFERROR(SUMIFS('Base bordo'!H$2:H$746,'Base bordo'!C$2:C$746,A1304,'Base bordo'!B$2:B$746,B1304,'Base bordo'!F$2:F$746,"DESLOCAMENTO CARREGADO"),0)</f>
        <v>216680.51</v>
      </c>
      <c r="U1304" s="10">
        <f>IFERROR(SUMIFS('Base bordo'!I$2:I$746,'Base bordo'!C$2:C$746,A1304,'Base bordo'!B$2:B$746,B1304,'Base bordo'!F$2:F$746,"DESLOCAMENTO CARREGADO"),0)</f>
        <v>7566</v>
      </c>
      <c r="V1304" s="30">
        <f t="shared" si="134"/>
        <v>28.638713983610891</v>
      </c>
      <c r="W1304" s="9">
        <f t="shared" si="135"/>
        <v>0.23122535171873687</v>
      </c>
      <c r="X1304" s="9">
        <f t="shared" si="136"/>
        <v>0.21161860543171199</v>
      </c>
      <c r="Y1304" s="9">
        <f t="shared" si="137"/>
        <v>0.55715604284955111</v>
      </c>
    </row>
    <row r="1305" spans="1:25" ht="15" customHeight="1" x14ac:dyDescent="0.35">
      <c r="A1305" s="52">
        <v>8013476</v>
      </c>
      <c r="B1305" s="51">
        <v>46124</v>
      </c>
      <c r="C1305" s="7" t="s">
        <v>124</v>
      </c>
      <c r="D1305" s="10">
        <f>IFERROR(SUMIFS('Base bordo'!G$2:G$746,'Base bordo'!C$2:C$746,A1305,'Base bordo'!B$2:B$746,B1305,'Base bordo'!F$2:F$746,"DESLOCAMENTO VAZIO"),0)</f>
        <v>2.296388888888889</v>
      </c>
      <c r="E1305" s="10">
        <f>IFERROR(SUMIFS('Base bordo'!G$2:G$746,'Base bordo'!C$2:C$746,A1305,'Base bordo'!B$2:B$746,B1305,'Base bordo'!F$2:F$746,"DESLOCAMENTO CARREGADO"),0)</f>
        <v>2.1016666666666666</v>
      </c>
      <c r="F1305" s="10">
        <f>IFERROR(SUMIFS('Base bordo'!G$2:G$746,'Base bordo'!C$2:C$746,A1305,'Base bordo'!B$2:B$746,B1305,'Base bordo'!F$2:F$746,"DESLOCAMENTO"),0)</f>
        <v>0</v>
      </c>
      <c r="G1305" s="10">
        <f>IFERROR(SUMIFS('Base bordo'!G$2:G$746,'Base bordo'!C$2:C$746,A1305,'Base bordo'!B$2:B$746,B1305,'Base bordo'!F$2:F$746,"CARREGAMENTO"),0)</f>
        <v>0</v>
      </c>
      <c r="H1305" s="10">
        <f>IFERROR(SUMIFS('Base bordo'!G$2:G$746,'Base bordo'!C$2:C$746,A1305,'Base bordo'!B$2:B$746,B1305,'Base bordo'!F$2:F$746,"AGUARDANDO TRANSBORDO"),0)</f>
        <v>0.23694444444444446</v>
      </c>
      <c r="I1305" s="10">
        <f>IFERROR(SUMIFS('Base bordo'!G$2:G$746,'Base bordo'!C$2:C$746,A1305,'Base bordo'!B$2:B$746,B1305,'Base bordo'!F$2:F$746,"PÁTIO INTERNO"),0)+IFERROR(SUMIFS('Base bordo'!G$2:G$746,'Base bordo'!C$2:C$746,A1305,'Base bordo'!B$2:B$746,B1305,'Base bordo'!F$2:F$746,"PÁTIO EXTERNO"),0)+IFERROR(SUMIFS('Base bordo'!G$2:G$746,'Base bordo'!C$2:C$746,A1305,'Base bordo'!B$2:B$746,B1305,'Base bordo'!F$2:F$746,"PATIO - RESERVA"),0)+IFERROR(SUMIFS('Base bordo'!G$2:G$746,'Base bordo'!C$2:C$746,A1305,'Base bordo'!B$2:B$746,B1305,'Base bordo'!F$2:F$746,"MANOBRA CARRETAS-PATIO"),0)</f>
        <v>5.0583333333333336</v>
      </c>
      <c r="J1305" s="10">
        <f>IFERROR(SUMIFS('Base bordo'!G$2:G$746,'Base bordo'!C$2:C$746,A1305,'Base bordo'!B$2:B$746,B1305,'Base bordo'!F$2:F$746,"BALANÇA - ENTRADA"),0)+IFERROR(SUMIFS('Base bordo'!G$2:G$746,'Base bordo'!C$2:C$746,A1305,'Base bordo'!B$2:B$746,B1305,'Base bordo'!F$2:F$746,"BALANÇA - SAÍDA"),0)</f>
        <v>0.23805555555555558</v>
      </c>
      <c r="K1305" s="10">
        <f>IFERROR(SUMIFS('Base bordo'!G$2:G$746,'Base bordo'!C$2:C$746,A1305,'Base bordo'!B$2:B$746,B1305,'Base bordo'!F$2:F$746,"MAN PREVENTIVA - MECANICA"),0)+IFERROR(SUMIFS('Base bordo'!G$2:G$746,'Base bordo'!C$2:C$746,A1305,'Base bordo'!B$2:B$746,B1305,'Base bordo'!F$2:F$746,"MAN CORRETIVA - MECANICA"),0)</f>
        <v>0</v>
      </c>
      <c r="L1305" s="10">
        <f>IFERROR(SUMIFS('Base bordo'!G$2:G$746,'Base bordo'!C$2:C$746,A1305,'Base bordo'!B$2:B$746,B1305,'Base bordo'!F$2:F$746,"MANUTENCAO - T O"),0)+IFERROR(SUMIFS('Base bordo'!G$2:G$746,'Base bordo'!C$2:C$746,A1305,'Base bordo'!B$2:B$746,B1305,'Base bordo'!F$2:F$746,"MANUTENCAO BORRACHARIA"),0)+IFERROR(SUMIFS('Base bordo'!G$2:G$746,'Base bordo'!C$2:C$746,A1305,'Base bordo'!B$2:B$746,B1305,'Base bordo'!F$2:F$746,"MANUTENCAO EXTERNA  CONCESSIONARIA"),0)+IFERROR(SUMIFS('Base bordo'!G$2:G$746,'Base bordo'!C$2:C$746,A1305,'Base bordo'!B$2:B$746,B1305,'Base bordo'!F$2:F$746,"MANUTENCAO TELEMETRIA"),0)</f>
        <v>0</v>
      </c>
      <c r="M1305" s="10">
        <f>IFERROR(SUMIFS('Base bordo'!G$2:G$746,'Base bordo'!C$2:C$746,A1305,'Base bordo'!B$2:B$746,B1305,'Base bordo'!F$2:F$746,"AGUARDANDO MANUTENCAO"),0)</f>
        <v>0</v>
      </c>
      <c r="N1305" s="10">
        <f>IFERROR(SUMIFS('Base bordo'!G$2:G$746,'Base bordo'!C$2:C$746,A1305,'Base bordo'!B$2:B$746,B1305,'Base bordo'!F$2:F$746,"SEM APONTAMENTO"),0)</f>
        <v>0</v>
      </c>
      <c r="O1305" s="10">
        <f t="shared" si="132"/>
        <v>0</v>
      </c>
      <c r="P1305" s="10">
        <f>IFERROR(SUMIFS('Base bordo'!G$2:G$746,'Base bordo'!C$2:C$746,A1305,'Base bordo'!B$2:B$746,B1305),0)</f>
        <v>9.9313888888888897</v>
      </c>
      <c r="Q1305" s="10">
        <f>IFERROR(SUMIFS('Base bordo'!H$2:H$746,'Base bordo'!C$2:C$746,A1305,'Base bordo'!B$2:B$746,B1305,'Base bordo'!F$2:F$746,"DESLOCAMENTO VAZIO"),0)</f>
        <v>272442.8</v>
      </c>
      <c r="R1305" s="10">
        <f>IFERROR(SUMIFS('Base bordo'!I$2:I$746,'Base bordo'!C$2:C$746,A1305,'Base bordo'!B$2:B$746,B1305,'Base bordo'!F$2:F$746,"DESLOCAMENTO VAZIO"),0)</f>
        <v>8267</v>
      </c>
      <c r="S1305" s="30">
        <f t="shared" si="133"/>
        <v>32.955461473327688</v>
      </c>
      <c r="T1305" s="10">
        <f>IFERROR(SUMIFS('Base bordo'!H$2:H$746,'Base bordo'!C$2:C$746,A1305,'Base bordo'!B$2:B$746,B1305,'Base bordo'!F$2:F$746,"DESLOCAMENTO CARREGADO"),0)</f>
        <v>216680.51</v>
      </c>
      <c r="U1305" s="10">
        <f>IFERROR(SUMIFS('Base bordo'!I$2:I$746,'Base bordo'!C$2:C$746,A1305,'Base bordo'!B$2:B$746,B1305,'Base bordo'!F$2:F$746,"DESLOCAMENTO CARREGADO"),0)</f>
        <v>7566</v>
      </c>
      <c r="V1305" s="30">
        <f t="shared" si="134"/>
        <v>28.638713983610891</v>
      </c>
      <c r="W1305" s="9">
        <f t="shared" si="135"/>
        <v>0.23122535171873687</v>
      </c>
      <c r="X1305" s="9">
        <f t="shared" si="136"/>
        <v>0.21161860543171199</v>
      </c>
      <c r="Y1305" s="9">
        <f t="shared" si="137"/>
        <v>0.55715604284955111</v>
      </c>
    </row>
    <row r="1306" spans="1:25" ht="15" customHeight="1" x14ac:dyDescent="0.35">
      <c r="A1306" s="52">
        <v>8013476</v>
      </c>
      <c r="B1306" s="51">
        <v>46124</v>
      </c>
      <c r="C1306" s="7" t="s">
        <v>124</v>
      </c>
      <c r="D1306" s="10">
        <f>IFERROR(SUMIFS('Base bordo'!G$2:G$746,'Base bordo'!C$2:C$746,A1306,'Base bordo'!B$2:B$746,B1306,'Base bordo'!F$2:F$746,"DESLOCAMENTO VAZIO"),0)</f>
        <v>2.296388888888889</v>
      </c>
      <c r="E1306" s="10">
        <f>IFERROR(SUMIFS('Base bordo'!G$2:G$746,'Base bordo'!C$2:C$746,A1306,'Base bordo'!B$2:B$746,B1306,'Base bordo'!F$2:F$746,"DESLOCAMENTO CARREGADO"),0)</f>
        <v>2.1016666666666666</v>
      </c>
      <c r="F1306" s="10">
        <f>IFERROR(SUMIFS('Base bordo'!G$2:G$746,'Base bordo'!C$2:C$746,A1306,'Base bordo'!B$2:B$746,B1306,'Base bordo'!F$2:F$746,"DESLOCAMENTO"),0)</f>
        <v>0</v>
      </c>
      <c r="G1306" s="10">
        <f>IFERROR(SUMIFS('Base bordo'!G$2:G$746,'Base bordo'!C$2:C$746,A1306,'Base bordo'!B$2:B$746,B1306,'Base bordo'!F$2:F$746,"CARREGAMENTO"),0)</f>
        <v>0</v>
      </c>
      <c r="H1306" s="10">
        <f>IFERROR(SUMIFS('Base bordo'!G$2:G$746,'Base bordo'!C$2:C$746,A1306,'Base bordo'!B$2:B$746,B1306,'Base bordo'!F$2:F$746,"AGUARDANDO TRANSBORDO"),0)</f>
        <v>0.23694444444444446</v>
      </c>
      <c r="I1306" s="10">
        <f>IFERROR(SUMIFS('Base bordo'!G$2:G$746,'Base bordo'!C$2:C$746,A1306,'Base bordo'!B$2:B$746,B1306,'Base bordo'!F$2:F$746,"PÁTIO INTERNO"),0)+IFERROR(SUMIFS('Base bordo'!G$2:G$746,'Base bordo'!C$2:C$746,A1306,'Base bordo'!B$2:B$746,B1306,'Base bordo'!F$2:F$746,"PÁTIO EXTERNO"),0)+IFERROR(SUMIFS('Base bordo'!G$2:G$746,'Base bordo'!C$2:C$746,A1306,'Base bordo'!B$2:B$746,B1306,'Base bordo'!F$2:F$746,"PATIO - RESERVA"),0)+IFERROR(SUMIFS('Base bordo'!G$2:G$746,'Base bordo'!C$2:C$746,A1306,'Base bordo'!B$2:B$746,B1306,'Base bordo'!F$2:F$746,"MANOBRA CARRETAS-PATIO"),0)</f>
        <v>5.0583333333333336</v>
      </c>
      <c r="J1306" s="10">
        <f>IFERROR(SUMIFS('Base bordo'!G$2:G$746,'Base bordo'!C$2:C$746,A1306,'Base bordo'!B$2:B$746,B1306,'Base bordo'!F$2:F$746,"BALANÇA - ENTRADA"),0)+IFERROR(SUMIFS('Base bordo'!G$2:G$746,'Base bordo'!C$2:C$746,A1306,'Base bordo'!B$2:B$746,B1306,'Base bordo'!F$2:F$746,"BALANÇA - SAÍDA"),0)</f>
        <v>0.23805555555555558</v>
      </c>
      <c r="K1306" s="10">
        <f>IFERROR(SUMIFS('Base bordo'!G$2:G$746,'Base bordo'!C$2:C$746,A1306,'Base bordo'!B$2:B$746,B1306,'Base bordo'!F$2:F$746,"MAN PREVENTIVA - MECANICA"),0)+IFERROR(SUMIFS('Base bordo'!G$2:G$746,'Base bordo'!C$2:C$746,A1306,'Base bordo'!B$2:B$746,B1306,'Base bordo'!F$2:F$746,"MAN CORRETIVA - MECANICA"),0)</f>
        <v>0</v>
      </c>
      <c r="L1306" s="10">
        <f>IFERROR(SUMIFS('Base bordo'!G$2:G$746,'Base bordo'!C$2:C$746,A1306,'Base bordo'!B$2:B$746,B1306,'Base bordo'!F$2:F$746,"MANUTENCAO - T O"),0)+IFERROR(SUMIFS('Base bordo'!G$2:G$746,'Base bordo'!C$2:C$746,A1306,'Base bordo'!B$2:B$746,B1306,'Base bordo'!F$2:F$746,"MANUTENCAO BORRACHARIA"),0)+IFERROR(SUMIFS('Base bordo'!G$2:G$746,'Base bordo'!C$2:C$746,A1306,'Base bordo'!B$2:B$746,B1306,'Base bordo'!F$2:F$746,"MANUTENCAO EXTERNA  CONCESSIONARIA"),0)+IFERROR(SUMIFS('Base bordo'!G$2:G$746,'Base bordo'!C$2:C$746,A1306,'Base bordo'!B$2:B$746,B1306,'Base bordo'!F$2:F$746,"MANUTENCAO TELEMETRIA"),0)</f>
        <v>0</v>
      </c>
      <c r="M1306" s="10">
        <f>IFERROR(SUMIFS('Base bordo'!G$2:G$746,'Base bordo'!C$2:C$746,A1306,'Base bordo'!B$2:B$746,B1306,'Base bordo'!F$2:F$746,"AGUARDANDO MANUTENCAO"),0)</f>
        <v>0</v>
      </c>
      <c r="N1306" s="10">
        <f>IFERROR(SUMIFS('Base bordo'!G$2:G$746,'Base bordo'!C$2:C$746,A1306,'Base bordo'!B$2:B$746,B1306,'Base bordo'!F$2:F$746,"SEM APONTAMENTO"),0)</f>
        <v>0</v>
      </c>
      <c r="O1306" s="10">
        <f t="shared" si="132"/>
        <v>0</v>
      </c>
      <c r="P1306" s="10">
        <f>IFERROR(SUMIFS('Base bordo'!G$2:G$746,'Base bordo'!C$2:C$746,A1306,'Base bordo'!B$2:B$746,B1306),0)</f>
        <v>9.9313888888888897</v>
      </c>
      <c r="Q1306" s="10">
        <f>IFERROR(SUMIFS('Base bordo'!H$2:H$746,'Base bordo'!C$2:C$746,A1306,'Base bordo'!B$2:B$746,B1306,'Base bordo'!F$2:F$746,"DESLOCAMENTO VAZIO"),0)</f>
        <v>272442.8</v>
      </c>
      <c r="R1306" s="10">
        <f>IFERROR(SUMIFS('Base bordo'!I$2:I$746,'Base bordo'!C$2:C$746,A1306,'Base bordo'!B$2:B$746,B1306,'Base bordo'!F$2:F$746,"DESLOCAMENTO VAZIO"),0)</f>
        <v>8267</v>
      </c>
      <c r="S1306" s="30">
        <f t="shared" si="133"/>
        <v>32.955461473327688</v>
      </c>
      <c r="T1306" s="10">
        <f>IFERROR(SUMIFS('Base bordo'!H$2:H$746,'Base bordo'!C$2:C$746,A1306,'Base bordo'!B$2:B$746,B1306,'Base bordo'!F$2:F$746,"DESLOCAMENTO CARREGADO"),0)</f>
        <v>216680.51</v>
      </c>
      <c r="U1306" s="10">
        <f>IFERROR(SUMIFS('Base bordo'!I$2:I$746,'Base bordo'!C$2:C$746,A1306,'Base bordo'!B$2:B$746,B1306,'Base bordo'!F$2:F$746,"DESLOCAMENTO CARREGADO"),0)</f>
        <v>7566</v>
      </c>
      <c r="V1306" s="30">
        <f t="shared" si="134"/>
        <v>28.638713983610891</v>
      </c>
      <c r="W1306" s="9">
        <f t="shared" si="135"/>
        <v>0.23122535171873687</v>
      </c>
      <c r="X1306" s="9">
        <f t="shared" si="136"/>
        <v>0.21161860543171199</v>
      </c>
      <c r="Y1306" s="9">
        <f t="shared" si="137"/>
        <v>0.55715604284955111</v>
      </c>
    </row>
    <row r="1307" spans="1:25" ht="15" customHeight="1" x14ac:dyDescent="0.35">
      <c r="A1307" s="52">
        <v>8013476</v>
      </c>
      <c r="B1307" s="51">
        <v>46124</v>
      </c>
      <c r="C1307" s="7" t="s">
        <v>124</v>
      </c>
      <c r="D1307" s="10">
        <f>IFERROR(SUMIFS('Base bordo'!G$2:G$746,'Base bordo'!C$2:C$746,A1307,'Base bordo'!B$2:B$746,B1307,'Base bordo'!F$2:F$746,"DESLOCAMENTO VAZIO"),0)</f>
        <v>2.296388888888889</v>
      </c>
      <c r="E1307" s="10">
        <f>IFERROR(SUMIFS('Base bordo'!G$2:G$746,'Base bordo'!C$2:C$746,A1307,'Base bordo'!B$2:B$746,B1307,'Base bordo'!F$2:F$746,"DESLOCAMENTO CARREGADO"),0)</f>
        <v>2.1016666666666666</v>
      </c>
      <c r="F1307" s="10">
        <f>IFERROR(SUMIFS('Base bordo'!G$2:G$746,'Base bordo'!C$2:C$746,A1307,'Base bordo'!B$2:B$746,B1307,'Base bordo'!F$2:F$746,"DESLOCAMENTO"),0)</f>
        <v>0</v>
      </c>
      <c r="G1307" s="10">
        <f>IFERROR(SUMIFS('Base bordo'!G$2:G$746,'Base bordo'!C$2:C$746,A1307,'Base bordo'!B$2:B$746,B1307,'Base bordo'!F$2:F$746,"CARREGAMENTO"),0)</f>
        <v>0</v>
      </c>
      <c r="H1307" s="10">
        <f>IFERROR(SUMIFS('Base bordo'!G$2:G$746,'Base bordo'!C$2:C$746,A1307,'Base bordo'!B$2:B$746,B1307,'Base bordo'!F$2:F$746,"AGUARDANDO TRANSBORDO"),0)</f>
        <v>0.23694444444444446</v>
      </c>
      <c r="I1307" s="10">
        <f>IFERROR(SUMIFS('Base bordo'!G$2:G$746,'Base bordo'!C$2:C$746,A1307,'Base bordo'!B$2:B$746,B1307,'Base bordo'!F$2:F$746,"PÁTIO INTERNO"),0)+IFERROR(SUMIFS('Base bordo'!G$2:G$746,'Base bordo'!C$2:C$746,A1307,'Base bordo'!B$2:B$746,B1307,'Base bordo'!F$2:F$746,"PÁTIO EXTERNO"),0)+IFERROR(SUMIFS('Base bordo'!G$2:G$746,'Base bordo'!C$2:C$746,A1307,'Base bordo'!B$2:B$746,B1307,'Base bordo'!F$2:F$746,"PATIO - RESERVA"),0)+IFERROR(SUMIFS('Base bordo'!G$2:G$746,'Base bordo'!C$2:C$746,A1307,'Base bordo'!B$2:B$746,B1307,'Base bordo'!F$2:F$746,"MANOBRA CARRETAS-PATIO"),0)</f>
        <v>5.0583333333333336</v>
      </c>
      <c r="J1307" s="10">
        <f>IFERROR(SUMIFS('Base bordo'!G$2:G$746,'Base bordo'!C$2:C$746,A1307,'Base bordo'!B$2:B$746,B1307,'Base bordo'!F$2:F$746,"BALANÇA - ENTRADA"),0)+IFERROR(SUMIFS('Base bordo'!G$2:G$746,'Base bordo'!C$2:C$746,A1307,'Base bordo'!B$2:B$746,B1307,'Base bordo'!F$2:F$746,"BALANÇA - SAÍDA"),0)</f>
        <v>0.23805555555555558</v>
      </c>
      <c r="K1307" s="10">
        <f>IFERROR(SUMIFS('Base bordo'!G$2:G$746,'Base bordo'!C$2:C$746,A1307,'Base bordo'!B$2:B$746,B1307,'Base bordo'!F$2:F$746,"MAN PREVENTIVA - MECANICA"),0)+IFERROR(SUMIFS('Base bordo'!G$2:G$746,'Base bordo'!C$2:C$746,A1307,'Base bordo'!B$2:B$746,B1307,'Base bordo'!F$2:F$746,"MAN CORRETIVA - MECANICA"),0)</f>
        <v>0</v>
      </c>
      <c r="L1307" s="10">
        <f>IFERROR(SUMIFS('Base bordo'!G$2:G$746,'Base bordo'!C$2:C$746,A1307,'Base bordo'!B$2:B$746,B1307,'Base bordo'!F$2:F$746,"MANUTENCAO - T O"),0)+IFERROR(SUMIFS('Base bordo'!G$2:G$746,'Base bordo'!C$2:C$746,A1307,'Base bordo'!B$2:B$746,B1307,'Base bordo'!F$2:F$746,"MANUTENCAO BORRACHARIA"),0)+IFERROR(SUMIFS('Base bordo'!G$2:G$746,'Base bordo'!C$2:C$746,A1307,'Base bordo'!B$2:B$746,B1307,'Base bordo'!F$2:F$746,"MANUTENCAO EXTERNA  CONCESSIONARIA"),0)+IFERROR(SUMIFS('Base bordo'!G$2:G$746,'Base bordo'!C$2:C$746,A1307,'Base bordo'!B$2:B$746,B1307,'Base bordo'!F$2:F$746,"MANUTENCAO TELEMETRIA"),0)</f>
        <v>0</v>
      </c>
      <c r="M1307" s="10">
        <f>IFERROR(SUMIFS('Base bordo'!G$2:G$746,'Base bordo'!C$2:C$746,A1307,'Base bordo'!B$2:B$746,B1307,'Base bordo'!F$2:F$746,"AGUARDANDO MANUTENCAO"),0)</f>
        <v>0</v>
      </c>
      <c r="N1307" s="10">
        <f>IFERROR(SUMIFS('Base bordo'!G$2:G$746,'Base bordo'!C$2:C$746,A1307,'Base bordo'!B$2:B$746,B1307,'Base bordo'!F$2:F$746,"SEM APONTAMENTO"),0)</f>
        <v>0</v>
      </c>
      <c r="O1307" s="10">
        <f t="shared" si="132"/>
        <v>0</v>
      </c>
      <c r="P1307" s="10">
        <f>IFERROR(SUMIFS('Base bordo'!G$2:G$746,'Base bordo'!C$2:C$746,A1307,'Base bordo'!B$2:B$746,B1307),0)</f>
        <v>9.9313888888888897</v>
      </c>
      <c r="Q1307" s="10">
        <f>IFERROR(SUMIFS('Base bordo'!H$2:H$746,'Base bordo'!C$2:C$746,A1307,'Base bordo'!B$2:B$746,B1307,'Base bordo'!F$2:F$746,"DESLOCAMENTO VAZIO"),0)</f>
        <v>272442.8</v>
      </c>
      <c r="R1307" s="10">
        <f>IFERROR(SUMIFS('Base bordo'!I$2:I$746,'Base bordo'!C$2:C$746,A1307,'Base bordo'!B$2:B$746,B1307,'Base bordo'!F$2:F$746,"DESLOCAMENTO VAZIO"),0)</f>
        <v>8267</v>
      </c>
      <c r="S1307" s="30">
        <f t="shared" si="133"/>
        <v>32.955461473327688</v>
      </c>
      <c r="T1307" s="10">
        <f>IFERROR(SUMIFS('Base bordo'!H$2:H$746,'Base bordo'!C$2:C$746,A1307,'Base bordo'!B$2:B$746,B1307,'Base bordo'!F$2:F$746,"DESLOCAMENTO CARREGADO"),0)</f>
        <v>216680.51</v>
      </c>
      <c r="U1307" s="10">
        <f>IFERROR(SUMIFS('Base bordo'!I$2:I$746,'Base bordo'!C$2:C$746,A1307,'Base bordo'!B$2:B$746,B1307,'Base bordo'!F$2:F$746,"DESLOCAMENTO CARREGADO"),0)</f>
        <v>7566</v>
      </c>
      <c r="V1307" s="30">
        <f t="shared" si="134"/>
        <v>28.638713983610891</v>
      </c>
      <c r="W1307" s="9">
        <f t="shared" si="135"/>
        <v>0.23122535171873687</v>
      </c>
      <c r="X1307" s="9">
        <f t="shared" si="136"/>
        <v>0.21161860543171199</v>
      </c>
      <c r="Y1307" s="9">
        <f t="shared" si="137"/>
        <v>0.55715604284955111</v>
      </c>
    </row>
    <row r="1308" spans="1:25" ht="15" customHeight="1" x14ac:dyDescent="0.35">
      <c r="A1308" s="52">
        <v>8013476</v>
      </c>
      <c r="B1308" s="51">
        <v>46124</v>
      </c>
      <c r="C1308" s="7" t="s">
        <v>124</v>
      </c>
      <c r="D1308" s="10">
        <f>IFERROR(SUMIFS('Base bordo'!G$2:G$746,'Base bordo'!C$2:C$746,A1308,'Base bordo'!B$2:B$746,B1308,'Base bordo'!F$2:F$746,"DESLOCAMENTO VAZIO"),0)</f>
        <v>2.296388888888889</v>
      </c>
      <c r="E1308" s="10">
        <f>IFERROR(SUMIFS('Base bordo'!G$2:G$746,'Base bordo'!C$2:C$746,A1308,'Base bordo'!B$2:B$746,B1308,'Base bordo'!F$2:F$746,"DESLOCAMENTO CARREGADO"),0)</f>
        <v>2.1016666666666666</v>
      </c>
      <c r="F1308" s="10">
        <f>IFERROR(SUMIFS('Base bordo'!G$2:G$746,'Base bordo'!C$2:C$746,A1308,'Base bordo'!B$2:B$746,B1308,'Base bordo'!F$2:F$746,"DESLOCAMENTO"),0)</f>
        <v>0</v>
      </c>
      <c r="G1308" s="10">
        <f>IFERROR(SUMIFS('Base bordo'!G$2:G$746,'Base bordo'!C$2:C$746,A1308,'Base bordo'!B$2:B$746,B1308,'Base bordo'!F$2:F$746,"CARREGAMENTO"),0)</f>
        <v>0</v>
      </c>
      <c r="H1308" s="10">
        <f>IFERROR(SUMIFS('Base bordo'!G$2:G$746,'Base bordo'!C$2:C$746,A1308,'Base bordo'!B$2:B$746,B1308,'Base bordo'!F$2:F$746,"AGUARDANDO TRANSBORDO"),0)</f>
        <v>0.23694444444444446</v>
      </c>
      <c r="I1308" s="10">
        <f>IFERROR(SUMIFS('Base bordo'!G$2:G$746,'Base bordo'!C$2:C$746,A1308,'Base bordo'!B$2:B$746,B1308,'Base bordo'!F$2:F$746,"PÁTIO INTERNO"),0)+IFERROR(SUMIFS('Base bordo'!G$2:G$746,'Base bordo'!C$2:C$746,A1308,'Base bordo'!B$2:B$746,B1308,'Base bordo'!F$2:F$746,"PÁTIO EXTERNO"),0)+IFERROR(SUMIFS('Base bordo'!G$2:G$746,'Base bordo'!C$2:C$746,A1308,'Base bordo'!B$2:B$746,B1308,'Base bordo'!F$2:F$746,"PATIO - RESERVA"),0)+IFERROR(SUMIFS('Base bordo'!G$2:G$746,'Base bordo'!C$2:C$746,A1308,'Base bordo'!B$2:B$746,B1308,'Base bordo'!F$2:F$746,"MANOBRA CARRETAS-PATIO"),0)</f>
        <v>5.0583333333333336</v>
      </c>
      <c r="J1308" s="10">
        <f>IFERROR(SUMIFS('Base bordo'!G$2:G$746,'Base bordo'!C$2:C$746,A1308,'Base bordo'!B$2:B$746,B1308,'Base bordo'!F$2:F$746,"BALANÇA - ENTRADA"),0)+IFERROR(SUMIFS('Base bordo'!G$2:G$746,'Base bordo'!C$2:C$746,A1308,'Base bordo'!B$2:B$746,B1308,'Base bordo'!F$2:F$746,"BALANÇA - SAÍDA"),0)</f>
        <v>0.23805555555555558</v>
      </c>
      <c r="K1308" s="10">
        <f>IFERROR(SUMIFS('Base bordo'!G$2:G$746,'Base bordo'!C$2:C$746,A1308,'Base bordo'!B$2:B$746,B1308,'Base bordo'!F$2:F$746,"MAN PREVENTIVA - MECANICA"),0)+IFERROR(SUMIFS('Base bordo'!G$2:G$746,'Base bordo'!C$2:C$746,A1308,'Base bordo'!B$2:B$746,B1308,'Base bordo'!F$2:F$746,"MAN CORRETIVA - MECANICA"),0)</f>
        <v>0</v>
      </c>
      <c r="L1308" s="10">
        <f>IFERROR(SUMIFS('Base bordo'!G$2:G$746,'Base bordo'!C$2:C$746,A1308,'Base bordo'!B$2:B$746,B1308,'Base bordo'!F$2:F$746,"MANUTENCAO - T O"),0)+IFERROR(SUMIFS('Base bordo'!G$2:G$746,'Base bordo'!C$2:C$746,A1308,'Base bordo'!B$2:B$746,B1308,'Base bordo'!F$2:F$746,"MANUTENCAO BORRACHARIA"),0)+IFERROR(SUMIFS('Base bordo'!G$2:G$746,'Base bordo'!C$2:C$746,A1308,'Base bordo'!B$2:B$746,B1308,'Base bordo'!F$2:F$746,"MANUTENCAO EXTERNA  CONCESSIONARIA"),0)+IFERROR(SUMIFS('Base bordo'!G$2:G$746,'Base bordo'!C$2:C$746,A1308,'Base bordo'!B$2:B$746,B1308,'Base bordo'!F$2:F$746,"MANUTENCAO TELEMETRIA"),0)</f>
        <v>0</v>
      </c>
      <c r="M1308" s="10">
        <f>IFERROR(SUMIFS('Base bordo'!G$2:G$746,'Base bordo'!C$2:C$746,A1308,'Base bordo'!B$2:B$746,B1308,'Base bordo'!F$2:F$746,"AGUARDANDO MANUTENCAO"),0)</f>
        <v>0</v>
      </c>
      <c r="N1308" s="10">
        <f>IFERROR(SUMIFS('Base bordo'!G$2:G$746,'Base bordo'!C$2:C$746,A1308,'Base bordo'!B$2:B$746,B1308,'Base bordo'!F$2:F$746,"SEM APONTAMENTO"),0)</f>
        <v>0</v>
      </c>
      <c r="O1308" s="10">
        <f t="shared" si="132"/>
        <v>0</v>
      </c>
      <c r="P1308" s="10">
        <f>IFERROR(SUMIFS('Base bordo'!G$2:G$746,'Base bordo'!C$2:C$746,A1308,'Base bordo'!B$2:B$746,B1308),0)</f>
        <v>9.9313888888888897</v>
      </c>
      <c r="Q1308" s="10">
        <f>IFERROR(SUMIFS('Base bordo'!H$2:H$746,'Base bordo'!C$2:C$746,A1308,'Base bordo'!B$2:B$746,B1308,'Base bordo'!F$2:F$746,"DESLOCAMENTO VAZIO"),0)</f>
        <v>272442.8</v>
      </c>
      <c r="R1308" s="10">
        <f>IFERROR(SUMIFS('Base bordo'!I$2:I$746,'Base bordo'!C$2:C$746,A1308,'Base bordo'!B$2:B$746,B1308,'Base bordo'!F$2:F$746,"DESLOCAMENTO VAZIO"),0)</f>
        <v>8267</v>
      </c>
      <c r="S1308" s="30">
        <f t="shared" si="133"/>
        <v>32.955461473327688</v>
      </c>
      <c r="T1308" s="10">
        <f>IFERROR(SUMIFS('Base bordo'!H$2:H$746,'Base bordo'!C$2:C$746,A1308,'Base bordo'!B$2:B$746,B1308,'Base bordo'!F$2:F$746,"DESLOCAMENTO CARREGADO"),0)</f>
        <v>216680.51</v>
      </c>
      <c r="U1308" s="10">
        <f>IFERROR(SUMIFS('Base bordo'!I$2:I$746,'Base bordo'!C$2:C$746,A1308,'Base bordo'!B$2:B$746,B1308,'Base bordo'!F$2:F$746,"DESLOCAMENTO CARREGADO"),0)</f>
        <v>7566</v>
      </c>
      <c r="V1308" s="30">
        <f t="shared" si="134"/>
        <v>28.638713983610891</v>
      </c>
      <c r="W1308" s="9">
        <f t="shared" si="135"/>
        <v>0.23122535171873687</v>
      </c>
      <c r="X1308" s="9">
        <f t="shared" si="136"/>
        <v>0.21161860543171199</v>
      </c>
      <c r="Y1308" s="9">
        <f t="shared" si="137"/>
        <v>0.55715604284955111</v>
      </c>
    </row>
    <row r="1309" spans="1:25" ht="15" customHeight="1" x14ac:dyDescent="0.35">
      <c r="A1309" s="52">
        <v>8013476</v>
      </c>
      <c r="B1309" s="51">
        <v>46124</v>
      </c>
      <c r="C1309" s="7" t="s">
        <v>124</v>
      </c>
      <c r="D1309" s="10">
        <f>IFERROR(SUMIFS('Base bordo'!G$2:G$746,'Base bordo'!C$2:C$746,A1309,'Base bordo'!B$2:B$746,B1309,'Base bordo'!F$2:F$746,"DESLOCAMENTO VAZIO"),0)</f>
        <v>2.296388888888889</v>
      </c>
      <c r="E1309" s="10">
        <f>IFERROR(SUMIFS('Base bordo'!G$2:G$746,'Base bordo'!C$2:C$746,A1309,'Base bordo'!B$2:B$746,B1309,'Base bordo'!F$2:F$746,"DESLOCAMENTO CARREGADO"),0)</f>
        <v>2.1016666666666666</v>
      </c>
      <c r="F1309" s="10">
        <f>IFERROR(SUMIFS('Base bordo'!G$2:G$746,'Base bordo'!C$2:C$746,A1309,'Base bordo'!B$2:B$746,B1309,'Base bordo'!F$2:F$746,"DESLOCAMENTO"),0)</f>
        <v>0</v>
      </c>
      <c r="G1309" s="10">
        <f>IFERROR(SUMIFS('Base bordo'!G$2:G$746,'Base bordo'!C$2:C$746,A1309,'Base bordo'!B$2:B$746,B1309,'Base bordo'!F$2:F$746,"CARREGAMENTO"),0)</f>
        <v>0</v>
      </c>
      <c r="H1309" s="10">
        <f>IFERROR(SUMIFS('Base bordo'!G$2:G$746,'Base bordo'!C$2:C$746,A1309,'Base bordo'!B$2:B$746,B1309,'Base bordo'!F$2:F$746,"AGUARDANDO TRANSBORDO"),0)</f>
        <v>0.23694444444444446</v>
      </c>
      <c r="I1309" s="10">
        <f>IFERROR(SUMIFS('Base bordo'!G$2:G$746,'Base bordo'!C$2:C$746,A1309,'Base bordo'!B$2:B$746,B1309,'Base bordo'!F$2:F$746,"PÁTIO INTERNO"),0)+IFERROR(SUMIFS('Base bordo'!G$2:G$746,'Base bordo'!C$2:C$746,A1309,'Base bordo'!B$2:B$746,B1309,'Base bordo'!F$2:F$746,"PÁTIO EXTERNO"),0)+IFERROR(SUMIFS('Base bordo'!G$2:G$746,'Base bordo'!C$2:C$746,A1309,'Base bordo'!B$2:B$746,B1309,'Base bordo'!F$2:F$746,"PATIO - RESERVA"),0)+IFERROR(SUMIFS('Base bordo'!G$2:G$746,'Base bordo'!C$2:C$746,A1309,'Base bordo'!B$2:B$746,B1309,'Base bordo'!F$2:F$746,"MANOBRA CARRETAS-PATIO"),0)</f>
        <v>5.0583333333333336</v>
      </c>
      <c r="J1309" s="10">
        <f>IFERROR(SUMIFS('Base bordo'!G$2:G$746,'Base bordo'!C$2:C$746,A1309,'Base bordo'!B$2:B$746,B1309,'Base bordo'!F$2:F$746,"BALANÇA - ENTRADA"),0)+IFERROR(SUMIFS('Base bordo'!G$2:G$746,'Base bordo'!C$2:C$746,A1309,'Base bordo'!B$2:B$746,B1309,'Base bordo'!F$2:F$746,"BALANÇA - SAÍDA"),0)</f>
        <v>0.23805555555555558</v>
      </c>
      <c r="K1309" s="10">
        <f>IFERROR(SUMIFS('Base bordo'!G$2:G$746,'Base bordo'!C$2:C$746,A1309,'Base bordo'!B$2:B$746,B1309,'Base bordo'!F$2:F$746,"MAN PREVENTIVA - MECANICA"),0)+IFERROR(SUMIFS('Base bordo'!G$2:G$746,'Base bordo'!C$2:C$746,A1309,'Base bordo'!B$2:B$746,B1309,'Base bordo'!F$2:F$746,"MAN CORRETIVA - MECANICA"),0)</f>
        <v>0</v>
      </c>
      <c r="L1309" s="10">
        <f>IFERROR(SUMIFS('Base bordo'!G$2:G$746,'Base bordo'!C$2:C$746,A1309,'Base bordo'!B$2:B$746,B1309,'Base bordo'!F$2:F$746,"MANUTENCAO - T O"),0)+IFERROR(SUMIFS('Base bordo'!G$2:G$746,'Base bordo'!C$2:C$746,A1309,'Base bordo'!B$2:B$746,B1309,'Base bordo'!F$2:F$746,"MANUTENCAO BORRACHARIA"),0)+IFERROR(SUMIFS('Base bordo'!G$2:G$746,'Base bordo'!C$2:C$746,A1309,'Base bordo'!B$2:B$746,B1309,'Base bordo'!F$2:F$746,"MANUTENCAO EXTERNA  CONCESSIONARIA"),0)+IFERROR(SUMIFS('Base bordo'!G$2:G$746,'Base bordo'!C$2:C$746,A1309,'Base bordo'!B$2:B$746,B1309,'Base bordo'!F$2:F$746,"MANUTENCAO TELEMETRIA"),0)</f>
        <v>0</v>
      </c>
      <c r="M1309" s="10">
        <f>IFERROR(SUMIFS('Base bordo'!G$2:G$746,'Base bordo'!C$2:C$746,A1309,'Base bordo'!B$2:B$746,B1309,'Base bordo'!F$2:F$746,"AGUARDANDO MANUTENCAO"),0)</f>
        <v>0</v>
      </c>
      <c r="N1309" s="10">
        <f>IFERROR(SUMIFS('Base bordo'!G$2:G$746,'Base bordo'!C$2:C$746,A1309,'Base bordo'!B$2:B$746,B1309,'Base bordo'!F$2:F$746,"SEM APONTAMENTO"),0)</f>
        <v>0</v>
      </c>
      <c r="O1309" s="10">
        <f t="shared" si="132"/>
        <v>0</v>
      </c>
      <c r="P1309" s="10">
        <f>IFERROR(SUMIFS('Base bordo'!G$2:G$746,'Base bordo'!C$2:C$746,A1309,'Base bordo'!B$2:B$746,B1309),0)</f>
        <v>9.9313888888888897</v>
      </c>
      <c r="Q1309" s="10">
        <f>IFERROR(SUMIFS('Base bordo'!H$2:H$746,'Base bordo'!C$2:C$746,A1309,'Base bordo'!B$2:B$746,B1309,'Base bordo'!F$2:F$746,"DESLOCAMENTO VAZIO"),0)</f>
        <v>272442.8</v>
      </c>
      <c r="R1309" s="10">
        <f>IFERROR(SUMIFS('Base bordo'!I$2:I$746,'Base bordo'!C$2:C$746,A1309,'Base bordo'!B$2:B$746,B1309,'Base bordo'!F$2:F$746,"DESLOCAMENTO VAZIO"),0)</f>
        <v>8267</v>
      </c>
      <c r="S1309" s="30">
        <f t="shared" si="133"/>
        <v>32.955461473327688</v>
      </c>
      <c r="T1309" s="10">
        <f>IFERROR(SUMIFS('Base bordo'!H$2:H$746,'Base bordo'!C$2:C$746,A1309,'Base bordo'!B$2:B$746,B1309,'Base bordo'!F$2:F$746,"DESLOCAMENTO CARREGADO"),0)</f>
        <v>216680.51</v>
      </c>
      <c r="U1309" s="10">
        <f>IFERROR(SUMIFS('Base bordo'!I$2:I$746,'Base bordo'!C$2:C$746,A1309,'Base bordo'!B$2:B$746,B1309,'Base bordo'!F$2:F$746,"DESLOCAMENTO CARREGADO"),0)</f>
        <v>7566</v>
      </c>
      <c r="V1309" s="30">
        <f t="shared" si="134"/>
        <v>28.638713983610891</v>
      </c>
      <c r="W1309" s="9">
        <f t="shared" si="135"/>
        <v>0.23122535171873687</v>
      </c>
      <c r="X1309" s="9">
        <f t="shared" si="136"/>
        <v>0.21161860543171199</v>
      </c>
      <c r="Y1309" s="9">
        <f t="shared" si="137"/>
        <v>0.55715604284955111</v>
      </c>
    </row>
    <row r="1310" spans="1:25" ht="15" customHeight="1" x14ac:dyDescent="0.35">
      <c r="A1310" s="52">
        <v>8013476</v>
      </c>
      <c r="B1310" s="51">
        <v>46124</v>
      </c>
      <c r="C1310" s="7" t="s">
        <v>124</v>
      </c>
      <c r="D1310" s="10">
        <f>IFERROR(SUMIFS('Base bordo'!G$2:G$746,'Base bordo'!C$2:C$746,A1310,'Base bordo'!B$2:B$746,B1310,'Base bordo'!F$2:F$746,"DESLOCAMENTO VAZIO"),0)</f>
        <v>2.296388888888889</v>
      </c>
      <c r="E1310" s="10">
        <f>IFERROR(SUMIFS('Base bordo'!G$2:G$746,'Base bordo'!C$2:C$746,A1310,'Base bordo'!B$2:B$746,B1310,'Base bordo'!F$2:F$746,"DESLOCAMENTO CARREGADO"),0)</f>
        <v>2.1016666666666666</v>
      </c>
      <c r="F1310" s="10">
        <f>IFERROR(SUMIFS('Base bordo'!G$2:G$746,'Base bordo'!C$2:C$746,A1310,'Base bordo'!B$2:B$746,B1310,'Base bordo'!F$2:F$746,"DESLOCAMENTO"),0)</f>
        <v>0</v>
      </c>
      <c r="G1310" s="10">
        <f>IFERROR(SUMIFS('Base bordo'!G$2:G$746,'Base bordo'!C$2:C$746,A1310,'Base bordo'!B$2:B$746,B1310,'Base bordo'!F$2:F$746,"CARREGAMENTO"),0)</f>
        <v>0</v>
      </c>
      <c r="H1310" s="10">
        <f>IFERROR(SUMIFS('Base bordo'!G$2:G$746,'Base bordo'!C$2:C$746,A1310,'Base bordo'!B$2:B$746,B1310,'Base bordo'!F$2:F$746,"AGUARDANDO TRANSBORDO"),0)</f>
        <v>0.23694444444444446</v>
      </c>
      <c r="I1310" s="10">
        <f>IFERROR(SUMIFS('Base bordo'!G$2:G$746,'Base bordo'!C$2:C$746,A1310,'Base bordo'!B$2:B$746,B1310,'Base bordo'!F$2:F$746,"PÁTIO INTERNO"),0)+IFERROR(SUMIFS('Base bordo'!G$2:G$746,'Base bordo'!C$2:C$746,A1310,'Base bordo'!B$2:B$746,B1310,'Base bordo'!F$2:F$746,"PÁTIO EXTERNO"),0)+IFERROR(SUMIFS('Base bordo'!G$2:G$746,'Base bordo'!C$2:C$746,A1310,'Base bordo'!B$2:B$746,B1310,'Base bordo'!F$2:F$746,"PATIO - RESERVA"),0)+IFERROR(SUMIFS('Base bordo'!G$2:G$746,'Base bordo'!C$2:C$746,A1310,'Base bordo'!B$2:B$746,B1310,'Base bordo'!F$2:F$746,"MANOBRA CARRETAS-PATIO"),0)</f>
        <v>5.0583333333333336</v>
      </c>
      <c r="J1310" s="10">
        <f>IFERROR(SUMIFS('Base bordo'!G$2:G$746,'Base bordo'!C$2:C$746,A1310,'Base bordo'!B$2:B$746,B1310,'Base bordo'!F$2:F$746,"BALANÇA - ENTRADA"),0)+IFERROR(SUMIFS('Base bordo'!G$2:G$746,'Base bordo'!C$2:C$746,A1310,'Base bordo'!B$2:B$746,B1310,'Base bordo'!F$2:F$746,"BALANÇA - SAÍDA"),0)</f>
        <v>0.23805555555555558</v>
      </c>
      <c r="K1310" s="10">
        <f>IFERROR(SUMIFS('Base bordo'!G$2:G$746,'Base bordo'!C$2:C$746,A1310,'Base bordo'!B$2:B$746,B1310,'Base bordo'!F$2:F$746,"MAN PREVENTIVA - MECANICA"),0)+IFERROR(SUMIFS('Base bordo'!G$2:G$746,'Base bordo'!C$2:C$746,A1310,'Base bordo'!B$2:B$746,B1310,'Base bordo'!F$2:F$746,"MAN CORRETIVA - MECANICA"),0)</f>
        <v>0</v>
      </c>
      <c r="L1310" s="10">
        <f>IFERROR(SUMIFS('Base bordo'!G$2:G$746,'Base bordo'!C$2:C$746,A1310,'Base bordo'!B$2:B$746,B1310,'Base bordo'!F$2:F$746,"MANUTENCAO - T O"),0)+IFERROR(SUMIFS('Base bordo'!G$2:G$746,'Base bordo'!C$2:C$746,A1310,'Base bordo'!B$2:B$746,B1310,'Base bordo'!F$2:F$746,"MANUTENCAO BORRACHARIA"),0)+IFERROR(SUMIFS('Base bordo'!G$2:G$746,'Base bordo'!C$2:C$746,A1310,'Base bordo'!B$2:B$746,B1310,'Base bordo'!F$2:F$746,"MANUTENCAO EXTERNA  CONCESSIONARIA"),0)+IFERROR(SUMIFS('Base bordo'!G$2:G$746,'Base bordo'!C$2:C$746,A1310,'Base bordo'!B$2:B$746,B1310,'Base bordo'!F$2:F$746,"MANUTENCAO TELEMETRIA"),0)</f>
        <v>0</v>
      </c>
      <c r="M1310" s="10">
        <f>IFERROR(SUMIFS('Base bordo'!G$2:G$746,'Base bordo'!C$2:C$746,A1310,'Base bordo'!B$2:B$746,B1310,'Base bordo'!F$2:F$746,"AGUARDANDO MANUTENCAO"),0)</f>
        <v>0</v>
      </c>
      <c r="N1310" s="10">
        <f>IFERROR(SUMIFS('Base bordo'!G$2:G$746,'Base bordo'!C$2:C$746,A1310,'Base bordo'!B$2:B$746,B1310,'Base bordo'!F$2:F$746,"SEM APONTAMENTO"),0)</f>
        <v>0</v>
      </c>
      <c r="O1310" s="10">
        <f t="shared" si="132"/>
        <v>0</v>
      </c>
      <c r="P1310" s="10">
        <f>IFERROR(SUMIFS('Base bordo'!G$2:G$746,'Base bordo'!C$2:C$746,A1310,'Base bordo'!B$2:B$746,B1310),0)</f>
        <v>9.9313888888888897</v>
      </c>
      <c r="Q1310" s="10">
        <f>IFERROR(SUMIFS('Base bordo'!H$2:H$746,'Base bordo'!C$2:C$746,A1310,'Base bordo'!B$2:B$746,B1310,'Base bordo'!F$2:F$746,"DESLOCAMENTO VAZIO"),0)</f>
        <v>272442.8</v>
      </c>
      <c r="R1310" s="10">
        <f>IFERROR(SUMIFS('Base bordo'!I$2:I$746,'Base bordo'!C$2:C$746,A1310,'Base bordo'!B$2:B$746,B1310,'Base bordo'!F$2:F$746,"DESLOCAMENTO VAZIO"),0)</f>
        <v>8267</v>
      </c>
      <c r="S1310" s="30">
        <f t="shared" si="133"/>
        <v>32.955461473327688</v>
      </c>
      <c r="T1310" s="10">
        <f>IFERROR(SUMIFS('Base bordo'!H$2:H$746,'Base bordo'!C$2:C$746,A1310,'Base bordo'!B$2:B$746,B1310,'Base bordo'!F$2:F$746,"DESLOCAMENTO CARREGADO"),0)</f>
        <v>216680.51</v>
      </c>
      <c r="U1310" s="10">
        <f>IFERROR(SUMIFS('Base bordo'!I$2:I$746,'Base bordo'!C$2:C$746,A1310,'Base bordo'!B$2:B$746,B1310,'Base bordo'!F$2:F$746,"DESLOCAMENTO CARREGADO"),0)</f>
        <v>7566</v>
      </c>
      <c r="V1310" s="30">
        <f t="shared" si="134"/>
        <v>28.638713983610891</v>
      </c>
      <c r="W1310" s="9">
        <f t="shared" si="135"/>
        <v>0.23122535171873687</v>
      </c>
      <c r="X1310" s="9">
        <f t="shared" si="136"/>
        <v>0.21161860543171199</v>
      </c>
      <c r="Y1310" s="9">
        <f t="shared" si="137"/>
        <v>0.55715604284955111</v>
      </c>
    </row>
    <row r="1311" spans="1:25" ht="15" customHeight="1" x14ac:dyDescent="0.35">
      <c r="A1311" s="52">
        <v>8013478</v>
      </c>
      <c r="B1311" s="51">
        <v>46124</v>
      </c>
      <c r="C1311" s="7" t="s">
        <v>124</v>
      </c>
      <c r="D1311" s="10">
        <f>IFERROR(SUMIFS('Base bordo'!G$2:G$746,'Base bordo'!C$2:C$746,A1311,'Base bordo'!B$2:B$746,B1311,'Base bordo'!F$2:F$746,"DESLOCAMENTO VAZIO"),0)</f>
        <v>2.069722222222222</v>
      </c>
      <c r="E1311" s="10">
        <f>IFERROR(SUMIFS('Base bordo'!G$2:G$746,'Base bordo'!C$2:C$746,A1311,'Base bordo'!B$2:B$746,B1311,'Base bordo'!F$2:F$746,"DESLOCAMENTO CARREGADO"),0)</f>
        <v>4.5216666666666665</v>
      </c>
      <c r="F1311" s="10">
        <f>IFERROR(SUMIFS('Base bordo'!G$2:G$746,'Base bordo'!C$2:C$746,A1311,'Base bordo'!B$2:B$746,B1311,'Base bordo'!F$2:F$746,"DESLOCAMENTO"),0)</f>
        <v>0</v>
      </c>
      <c r="G1311" s="10">
        <f>IFERROR(SUMIFS('Base bordo'!G$2:G$746,'Base bordo'!C$2:C$746,A1311,'Base bordo'!B$2:B$746,B1311,'Base bordo'!F$2:F$746,"CARREGAMENTO"),0)</f>
        <v>0</v>
      </c>
      <c r="H1311" s="10">
        <f>IFERROR(SUMIFS('Base bordo'!G$2:G$746,'Base bordo'!C$2:C$746,A1311,'Base bordo'!B$2:B$746,B1311,'Base bordo'!F$2:F$746,"AGUARDANDO TRANSBORDO"),0)</f>
        <v>0.42222222222222222</v>
      </c>
      <c r="I1311" s="10">
        <f>IFERROR(SUMIFS('Base bordo'!G$2:G$746,'Base bordo'!C$2:C$746,A1311,'Base bordo'!B$2:B$746,B1311,'Base bordo'!F$2:F$746,"PÁTIO INTERNO"),0)+IFERROR(SUMIFS('Base bordo'!G$2:G$746,'Base bordo'!C$2:C$746,A1311,'Base bordo'!B$2:B$746,B1311,'Base bordo'!F$2:F$746,"PÁTIO EXTERNO"),0)+IFERROR(SUMIFS('Base bordo'!G$2:G$746,'Base bordo'!C$2:C$746,A1311,'Base bordo'!B$2:B$746,B1311,'Base bordo'!F$2:F$746,"PATIO - RESERVA"),0)+IFERROR(SUMIFS('Base bordo'!G$2:G$746,'Base bordo'!C$2:C$746,A1311,'Base bordo'!B$2:B$746,B1311,'Base bordo'!F$2:F$746,"MANOBRA CARRETAS-PATIO"),0)</f>
        <v>2.931111111111111</v>
      </c>
      <c r="J1311" s="10">
        <f>IFERROR(SUMIFS('Base bordo'!G$2:G$746,'Base bordo'!C$2:C$746,A1311,'Base bordo'!B$2:B$746,B1311,'Base bordo'!F$2:F$746,"BALANÇA - ENTRADA"),0)+IFERROR(SUMIFS('Base bordo'!G$2:G$746,'Base bordo'!C$2:C$746,A1311,'Base bordo'!B$2:B$746,B1311,'Base bordo'!F$2:F$746,"BALANÇA - SAÍDA"),0)</f>
        <v>9.5833333333333326E-2</v>
      </c>
      <c r="K1311" s="10">
        <f>IFERROR(SUMIFS('Base bordo'!G$2:G$746,'Base bordo'!C$2:C$746,A1311,'Base bordo'!B$2:B$746,B1311,'Base bordo'!F$2:F$746,"MAN PREVENTIVA - MECANICA"),0)+IFERROR(SUMIFS('Base bordo'!G$2:G$746,'Base bordo'!C$2:C$746,A1311,'Base bordo'!B$2:B$746,B1311,'Base bordo'!F$2:F$746,"MAN CORRETIVA - MECANICA"),0)</f>
        <v>0</v>
      </c>
      <c r="L1311" s="10">
        <f>IFERROR(SUMIFS('Base bordo'!G$2:G$746,'Base bordo'!C$2:C$746,A1311,'Base bordo'!B$2:B$746,B1311,'Base bordo'!F$2:F$746,"MANUTENCAO - T O"),0)+IFERROR(SUMIFS('Base bordo'!G$2:G$746,'Base bordo'!C$2:C$746,A1311,'Base bordo'!B$2:B$746,B1311,'Base bordo'!F$2:F$746,"MANUTENCAO BORRACHARIA"),0)+IFERROR(SUMIFS('Base bordo'!G$2:G$746,'Base bordo'!C$2:C$746,A1311,'Base bordo'!B$2:B$746,B1311,'Base bordo'!F$2:F$746,"MANUTENCAO EXTERNA  CONCESSIONARIA"),0)+IFERROR(SUMIFS('Base bordo'!G$2:G$746,'Base bordo'!C$2:C$746,A1311,'Base bordo'!B$2:B$746,B1311,'Base bordo'!F$2:F$746,"MANUTENCAO TELEMETRIA"),0)</f>
        <v>0</v>
      </c>
      <c r="M1311" s="10">
        <f>IFERROR(SUMIFS('Base bordo'!G$2:G$746,'Base bordo'!C$2:C$746,A1311,'Base bordo'!B$2:B$746,B1311,'Base bordo'!F$2:F$746,"AGUARDANDO MANUTENCAO"),0)</f>
        <v>0</v>
      </c>
      <c r="N1311" s="10">
        <f>IFERROR(SUMIFS('Base bordo'!G$2:G$746,'Base bordo'!C$2:C$746,A1311,'Base bordo'!B$2:B$746,B1311,'Base bordo'!F$2:F$746,"SEM APONTAMENTO"),0)</f>
        <v>0</v>
      </c>
      <c r="O1311" s="10">
        <f t="shared" si="132"/>
        <v>0</v>
      </c>
      <c r="P1311" s="10">
        <f>IFERROR(SUMIFS('Base bordo'!G$2:G$746,'Base bordo'!C$2:C$746,A1311,'Base bordo'!B$2:B$746,B1311),0)</f>
        <v>10.040555555555555</v>
      </c>
      <c r="Q1311" s="10">
        <f>IFERROR(SUMIFS('Base bordo'!H$2:H$746,'Base bordo'!C$2:C$746,A1311,'Base bordo'!B$2:B$746,B1311,'Base bordo'!F$2:F$746,"DESLOCAMENTO VAZIO"),0)</f>
        <v>230432.85</v>
      </c>
      <c r="R1311" s="10">
        <f>IFERROR(SUMIFS('Base bordo'!I$2:I$746,'Base bordo'!C$2:C$746,A1311,'Base bordo'!B$2:B$746,B1311,'Base bordo'!F$2:F$746,"DESLOCAMENTO VAZIO"),0)</f>
        <v>7451</v>
      </c>
      <c r="S1311" s="30">
        <f t="shared" si="133"/>
        <v>30.926432693598176</v>
      </c>
      <c r="T1311" s="10">
        <f>IFERROR(SUMIFS('Base bordo'!H$2:H$746,'Base bordo'!C$2:C$746,A1311,'Base bordo'!B$2:B$746,B1311,'Base bordo'!F$2:F$746,"DESLOCAMENTO CARREGADO"),0)</f>
        <v>396489.03</v>
      </c>
      <c r="U1311" s="10">
        <f>IFERROR(SUMIFS('Base bordo'!I$2:I$746,'Base bordo'!C$2:C$746,A1311,'Base bordo'!B$2:B$746,B1311,'Base bordo'!F$2:F$746,"DESLOCAMENTO CARREGADO"),0)</f>
        <v>16278</v>
      </c>
      <c r="V1311" s="30">
        <f t="shared" si="134"/>
        <v>24.357355326207152</v>
      </c>
      <c r="W1311" s="9">
        <f t="shared" si="135"/>
        <v>0.2061362253084712</v>
      </c>
      <c r="X1311" s="9">
        <f t="shared" si="136"/>
        <v>0.45034028661539316</v>
      </c>
      <c r="Y1311" s="9">
        <f t="shared" si="137"/>
        <v>0.34352348807613575</v>
      </c>
    </row>
    <row r="1312" spans="1:25" ht="15" customHeight="1" x14ac:dyDescent="0.35">
      <c r="A1312" s="52">
        <v>8013478</v>
      </c>
      <c r="B1312" s="51">
        <v>46124</v>
      </c>
      <c r="C1312" s="7" t="s">
        <v>124</v>
      </c>
      <c r="D1312" s="10">
        <f>IFERROR(SUMIFS('Base bordo'!G$2:G$746,'Base bordo'!C$2:C$746,A1312,'Base bordo'!B$2:B$746,B1312,'Base bordo'!F$2:F$746,"DESLOCAMENTO VAZIO"),0)</f>
        <v>2.069722222222222</v>
      </c>
      <c r="E1312" s="10">
        <f>IFERROR(SUMIFS('Base bordo'!G$2:G$746,'Base bordo'!C$2:C$746,A1312,'Base bordo'!B$2:B$746,B1312,'Base bordo'!F$2:F$746,"DESLOCAMENTO CARREGADO"),0)</f>
        <v>4.5216666666666665</v>
      </c>
      <c r="F1312" s="10">
        <f>IFERROR(SUMIFS('Base bordo'!G$2:G$746,'Base bordo'!C$2:C$746,A1312,'Base bordo'!B$2:B$746,B1312,'Base bordo'!F$2:F$746,"DESLOCAMENTO"),0)</f>
        <v>0</v>
      </c>
      <c r="G1312" s="10">
        <f>IFERROR(SUMIFS('Base bordo'!G$2:G$746,'Base bordo'!C$2:C$746,A1312,'Base bordo'!B$2:B$746,B1312,'Base bordo'!F$2:F$746,"CARREGAMENTO"),0)</f>
        <v>0</v>
      </c>
      <c r="H1312" s="10">
        <f>IFERROR(SUMIFS('Base bordo'!G$2:G$746,'Base bordo'!C$2:C$746,A1312,'Base bordo'!B$2:B$746,B1312,'Base bordo'!F$2:F$746,"AGUARDANDO TRANSBORDO"),0)</f>
        <v>0.42222222222222222</v>
      </c>
      <c r="I1312" s="10">
        <f>IFERROR(SUMIFS('Base bordo'!G$2:G$746,'Base bordo'!C$2:C$746,A1312,'Base bordo'!B$2:B$746,B1312,'Base bordo'!F$2:F$746,"PÁTIO INTERNO"),0)+IFERROR(SUMIFS('Base bordo'!G$2:G$746,'Base bordo'!C$2:C$746,A1312,'Base bordo'!B$2:B$746,B1312,'Base bordo'!F$2:F$746,"PÁTIO EXTERNO"),0)+IFERROR(SUMIFS('Base bordo'!G$2:G$746,'Base bordo'!C$2:C$746,A1312,'Base bordo'!B$2:B$746,B1312,'Base bordo'!F$2:F$746,"PATIO - RESERVA"),0)+IFERROR(SUMIFS('Base bordo'!G$2:G$746,'Base bordo'!C$2:C$746,A1312,'Base bordo'!B$2:B$746,B1312,'Base bordo'!F$2:F$746,"MANOBRA CARRETAS-PATIO"),0)</f>
        <v>2.931111111111111</v>
      </c>
      <c r="J1312" s="10">
        <f>IFERROR(SUMIFS('Base bordo'!G$2:G$746,'Base bordo'!C$2:C$746,A1312,'Base bordo'!B$2:B$746,B1312,'Base bordo'!F$2:F$746,"BALANÇA - ENTRADA"),0)+IFERROR(SUMIFS('Base bordo'!G$2:G$746,'Base bordo'!C$2:C$746,A1312,'Base bordo'!B$2:B$746,B1312,'Base bordo'!F$2:F$746,"BALANÇA - SAÍDA"),0)</f>
        <v>9.5833333333333326E-2</v>
      </c>
      <c r="K1312" s="10">
        <f>IFERROR(SUMIFS('Base bordo'!G$2:G$746,'Base bordo'!C$2:C$746,A1312,'Base bordo'!B$2:B$746,B1312,'Base bordo'!F$2:F$746,"MAN PREVENTIVA - MECANICA"),0)+IFERROR(SUMIFS('Base bordo'!G$2:G$746,'Base bordo'!C$2:C$746,A1312,'Base bordo'!B$2:B$746,B1312,'Base bordo'!F$2:F$746,"MAN CORRETIVA - MECANICA"),0)</f>
        <v>0</v>
      </c>
      <c r="L1312" s="10">
        <f>IFERROR(SUMIFS('Base bordo'!G$2:G$746,'Base bordo'!C$2:C$746,A1312,'Base bordo'!B$2:B$746,B1312,'Base bordo'!F$2:F$746,"MANUTENCAO - T O"),0)+IFERROR(SUMIFS('Base bordo'!G$2:G$746,'Base bordo'!C$2:C$746,A1312,'Base bordo'!B$2:B$746,B1312,'Base bordo'!F$2:F$746,"MANUTENCAO BORRACHARIA"),0)+IFERROR(SUMIFS('Base bordo'!G$2:G$746,'Base bordo'!C$2:C$746,A1312,'Base bordo'!B$2:B$746,B1312,'Base bordo'!F$2:F$746,"MANUTENCAO EXTERNA  CONCESSIONARIA"),0)+IFERROR(SUMIFS('Base bordo'!G$2:G$746,'Base bordo'!C$2:C$746,A1312,'Base bordo'!B$2:B$746,B1312,'Base bordo'!F$2:F$746,"MANUTENCAO TELEMETRIA"),0)</f>
        <v>0</v>
      </c>
      <c r="M1312" s="10">
        <f>IFERROR(SUMIFS('Base bordo'!G$2:G$746,'Base bordo'!C$2:C$746,A1312,'Base bordo'!B$2:B$746,B1312,'Base bordo'!F$2:F$746,"AGUARDANDO MANUTENCAO"),0)</f>
        <v>0</v>
      </c>
      <c r="N1312" s="10">
        <f>IFERROR(SUMIFS('Base bordo'!G$2:G$746,'Base bordo'!C$2:C$746,A1312,'Base bordo'!B$2:B$746,B1312,'Base bordo'!F$2:F$746,"SEM APONTAMENTO"),0)</f>
        <v>0</v>
      </c>
      <c r="O1312" s="10">
        <f t="shared" si="132"/>
        <v>0</v>
      </c>
      <c r="P1312" s="10">
        <f>IFERROR(SUMIFS('Base bordo'!G$2:G$746,'Base bordo'!C$2:C$746,A1312,'Base bordo'!B$2:B$746,B1312),0)</f>
        <v>10.040555555555555</v>
      </c>
      <c r="Q1312" s="10">
        <f>IFERROR(SUMIFS('Base bordo'!H$2:H$746,'Base bordo'!C$2:C$746,A1312,'Base bordo'!B$2:B$746,B1312,'Base bordo'!F$2:F$746,"DESLOCAMENTO VAZIO"),0)</f>
        <v>230432.85</v>
      </c>
      <c r="R1312" s="10">
        <f>IFERROR(SUMIFS('Base bordo'!I$2:I$746,'Base bordo'!C$2:C$746,A1312,'Base bordo'!B$2:B$746,B1312,'Base bordo'!F$2:F$746,"DESLOCAMENTO VAZIO"),0)</f>
        <v>7451</v>
      </c>
      <c r="S1312" s="30">
        <f t="shared" si="133"/>
        <v>30.926432693598176</v>
      </c>
      <c r="T1312" s="10">
        <f>IFERROR(SUMIFS('Base bordo'!H$2:H$746,'Base bordo'!C$2:C$746,A1312,'Base bordo'!B$2:B$746,B1312,'Base bordo'!F$2:F$746,"DESLOCAMENTO CARREGADO"),0)</f>
        <v>396489.03</v>
      </c>
      <c r="U1312" s="10">
        <f>IFERROR(SUMIFS('Base bordo'!I$2:I$746,'Base bordo'!C$2:C$746,A1312,'Base bordo'!B$2:B$746,B1312,'Base bordo'!F$2:F$746,"DESLOCAMENTO CARREGADO"),0)</f>
        <v>16278</v>
      </c>
      <c r="V1312" s="30">
        <f t="shared" si="134"/>
        <v>24.357355326207152</v>
      </c>
      <c r="W1312" s="9">
        <f t="shared" si="135"/>
        <v>0.2061362253084712</v>
      </c>
      <c r="X1312" s="9">
        <f t="shared" si="136"/>
        <v>0.45034028661539316</v>
      </c>
      <c r="Y1312" s="9">
        <f t="shared" si="137"/>
        <v>0.34352348807613575</v>
      </c>
    </row>
    <row r="1313" spans="1:25" ht="15" customHeight="1" x14ac:dyDescent="0.35">
      <c r="A1313" s="52">
        <v>8013478</v>
      </c>
      <c r="B1313" s="51">
        <v>46124</v>
      </c>
      <c r="C1313" s="7" t="s">
        <v>124</v>
      </c>
      <c r="D1313" s="10">
        <f>IFERROR(SUMIFS('Base bordo'!G$2:G$746,'Base bordo'!C$2:C$746,A1313,'Base bordo'!B$2:B$746,B1313,'Base bordo'!F$2:F$746,"DESLOCAMENTO VAZIO"),0)</f>
        <v>2.069722222222222</v>
      </c>
      <c r="E1313" s="10">
        <f>IFERROR(SUMIFS('Base bordo'!G$2:G$746,'Base bordo'!C$2:C$746,A1313,'Base bordo'!B$2:B$746,B1313,'Base bordo'!F$2:F$746,"DESLOCAMENTO CARREGADO"),0)</f>
        <v>4.5216666666666665</v>
      </c>
      <c r="F1313" s="10">
        <f>IFERROR(SUMIFS('Base bordo'!G$2:G$746,'Base bordo'!C$2:C$746,A1313,'Base bordo'!B$2:B$746,B1313,'Base bordo'!F$2:F$746,"DESLOCAMENTO"),0)</f>
        <v>0</v>
      </c>
      <c r="G1313" s="10">
        <f>IFERROR(SUMIFS('Base bordo'!G$2:G$746,'Base bordo'!C$2:C$746,A1313,'Base bordo'!B$2:B$746,B1313,'Base bordo'!F$2:F$746,"CARREGAMENTO"),0)</f>
        <v>0</v>
      </c>
      <c r="H1313" s="10">
        <f>IFERROR(SUMIFS('Base bordo'!G$2:G$746,'Base bordo'!C$2:C$746,A1313,'Base bordo'!B$2:B$746,B1313,'Base bordo'!F$2:F$746,"AGUARDANDO TRANSBORDO"),0)</f>
        <v>0.42222222222222222</v>
      </c>
      <c r="I1313" s="10">
        <f>IFERROR(SUMIFS('Base bordo'!G$2:G$746,'Base bordo'!C$2:C$746,A1313,'Base bordo'!B$2:B$746,B1313,'Base bordo'!F$2:F$746,"PÁTIO INTERNO"),0)+IFERROR(SUMIFS('Base bordo'!G$2:G$746,'Base bordo'!C$2:C$746,A1313,'Base bordo'!B$2:B$746,B1313,'Base bordo'!F$2:F$746,"PÁTIO EXTERNO"),0)+IFERROR(SUMIFS('Base bordo'!G$2:G$746,'Base bordo'!C$2:C$746,A1313,'Base bordo'!B$2:B$746,B1313,'Base bordo'!F$2:F$746,"PATIO - RESERVA"),0)+IFERROR(SUMIFS('Base bordo'!G$2:G$746,'Base bordo'!C$2:C$746,A1313,'Base bordo'!B$2:B$746,B1313,'Base bordo'!F$2:F$746,"MANOBRA CARRETAS-PATIO"),0)</f>
        <v>2.931111111111111</v>
      </c>
      <c r="J1313" s="10">
        <f>IFERROR(SUMIFS('Base bordo'!G$2:G$746,'Base bordo'!C$2:C$746,A1313,'Base bordo'!B$2:B$746,B1313,'Base bordo'!F$2:F$746,"BALANÇA - ENTRADA"),0)+IFERROR(SUMIFS('Base bordo'!G$2:G$746,'Base bordo'!C$2:C$746,A1313,'Base bordo'!B$2:B$746,B1313,'Base bordo'!F$2:F$746,"BALANÇA - SAÍDA"),0)</f>
        <v>9.5833333333333326E-2</v>
      </c>
      <c r="K1313" s="10">
        <f>IFERROR(SUMIFS('Base bordo'!G$2:G$746,'Base bordo'!C$2:C$746,A1313,'Base bordo'!B$2:B$746,B1313,'Base bordo'!F$2:F$746,"MAN PREVENTIVA - MECANICA"),0)+IFERROR(SUMIFS('Base bordo'!G$2:G$746,'Base bordo'!C$2:C$746,A1313,'Base bordo'!B$2:B$746,B1313,'Base bordo'!F$2:F$746,"MAN CORRETIVA - MECANICA"),0)</f>
        <v>0</v>
      </c>
      <c r="L1313" s="10">
        <f>IFERROR(SUMIFS('Base bordo'!G$2:G$746,'Base bordo'!C$2:C$746,A1313,'Base bordo'!B$2:B$746,B1313,'Base bordo'!F$2:F$746,"MANUTENCAO - T O"),0)+IFERROR(SUMIFS('Base bordo'!G$2:G$746,'Base bordo'!C$2:C$746,A1313,'Base bordo'!B$2:B$746,B1313,'Base bordo'!F$2:F$746,"MANUTENCAO BORRACHARIA"),0)+IFERROR(SUMIFS('Base bordo'!G$2:G$746,'Base bordo'!C$2:C$746,A1313,'Base bordo'!B$2:B$746,B1313,'Base bordo'!F$2:F$746,"MANUTENCAO EXTERNA  CONCESSIONARIA"),0)+IFERROR(SUMIFS('Base bordo'!G$2:G$746,'Base bordo'!C$2:C$746,A1313,'Base bordo'!B$2:B$746,B1313,'Base bordo'!F$2:F$746,"MANUTENCAO TELEMETRIA"),0)</f>
        <v>0</v>
      </c>
      <c r="M1313" s="10">
        <f>IFERROR(SUMIFS('Base bordo'!G$2:G$746,'Base bordo'!C$2:C$746,A1313,'Base bordo'!B$2:B$746,B1313,'Base bordo'!F$2:F$746,"AGUARDANDO MANUTENCAO"),0)</f>
        <v>0</v>
      </c>
      <c r="N1313" s="10">
        <f>IFERROR(SUMIFS('Base bordo'!G$2:G$746,'Base bordo'!C$2:C$746,A1313,'Base bordo'!B$2:B$746,B1313,'Base bordo'!F$2:F$746,"SEM APONTAMENTO"),0)</f>
        <v>0</v>
      </c>
      <c r="O1313" s="10">
        <f t="shared" si="132"/>
        <v>0</v>
      </c>
      <c r="P1313" s="10">
        <f>IFERROR(SUMIFS('Base bordo'!G$2:G$746,'Base bordo'!C$2:C$746,A1313,'Base bordo'!B$2:B$746,B1313),0)</f>
        <v>10.040555555555555</v>
      </c>
      <c r="Q1313" s="10">
        <f>IFERROR(SUMIFS('Base bordo'!H$2:H$746,'Base bordo'!C$2:C$746,A1313,'Base bordo'!B$2:B$746,B1313,'Base bordo'!F$2:F$746,"DESLOCAMENTO VAZIO"),0)</f>
        <v>230432.85</v>
      </c>
      <c r="R1313" s="10">
        <f>IFERROR(SUMIFS('Base bordo'!I$2:I$746,'Base bordo'!C$2:C$746,A1313,'Base bordo'!B$2:B$746,B1313,'Base bordo'!F$2:F$746,"DESLOCAMENTO VAZIO"),0)</f>
        <v>7451</v>
      </c>
      <c r="S1313" s="30">
        <f t="shared" si="133"/>
        <v>30.926432693598176</v>
      </c>
      <c r="T1313" s="10">
        <f>IFERROR(SUMIFS('Base bordo'!H$2:H$746,'Base bordo'!C$2:C$746,A1313,'Base bordo'!B$2:B$746,B1313,'Base bordo'!F$2:F$746,"DESLOCAMENTO CARREGADO"),0)</f>
        <v>396489.03</v>
      </c>
      <c r="U1313" s="10">
        <f>IFERROR(SUMIFS('Base bordo'!I$2:I$746,'Base bordo'!C$2:C$746,A1313,'Base bordo'!B$2:B$746,B1313,'Base bordo'!F$2:F$746,"DESLOCAMENTO CARREGADO"),0)</f>
        <v>16278</v>
      </c>
      <c r="V1313" s="30">
        <f t="shared" si="134"/>
        <v>24.357355326207152</v>
      </c>
      <c r="W1313" s="9">
        <f t="shared" si="135"/>
        <v>0.2061362253084712</v>
      </c>
      <c r="X1313" s="9">
        <f t="shared" si="136"/>
        <v>0.45034028661539316</v>
      </c>
      <c r="Y1313" s="9">
        <f t="shared" si="137"/>
        <v>0.34352348807613575</v>
      </c>
    </row>
    <row r="1314" spans="1:25" ht="15" customHeight="1" x14ac:dyDescent="0.35">
      <c r="A1314" s="52">
        <v>8013478</v>
      </c>
      <c r="B1314" s="51">
        <v>46124</v>
      </c>
      <c r="C1314" s="7" t="s">
        <v>124</v>
      </c>
      <c r="D1314" s="10">
        <f>IFERROR(SUMIFS('Base bordo'!G$2:G$746,'Base bordo'!C$2:C$746,A1314,'Base bordo'!B$2:B$746,B1314,'Base bordo'!F$2:F$746,"DESLOCAMENTO VAZIO"),0)</f>
        <v>2.069722222222222</v>
      </c>
      <c r="E1314" s="10">
        <f>IFERROR(SUMIFS('Base bordo'!G$2:G$746,'Base bordo'!C$2:C$746,A1314,'Base bordo'!B$2:B$746,B1314,'Base bordo'!F$2:F$746,"DESLOCAMENTO CARREGADO"),0)</f>
        <v>4.5216666666666665</v>
      </c>
      <c r="F1314" s="10">
        <f>IFERROR(SUMIFS('Base bordo'!G$2:G$746,'Base bordo'!C$2:C$746,A1314,'Base bordo'!B$2:B$746,B1314,'Base bordo'!F$2:F$746,"DESLOCAMENTO"),0)</f>
        <v>0</v>
      </c>
      <c r="G1314" s="10">
        <f>IFERROR(SUMIFS('Base bordo'!G$2:G$746,'Base bordo'!C$2:C$746,A1314,'Base bordo'!B$2:B$746,B1314,'Base bordo'!F$2:F$746,"CARREGAMENTO"),0)</f>
        <v>0</v>
      </c>
      <c r="H1314" s="10">
        <f>IFERROR(SUMIFS('Base bordo'!G$2:G$746,'Base bordo'!C$2:C$746,A1314,'Base bordo'!B$2:B$746,B1314,'Base bordo'!F$2:F$746,"AGUARDANDO TRANSBORDO"),0)</f>
        <v>0.42222222222222222</v>
      </c>
      <c r="I1314" s="10">
        <f>IFERROR(SUMIFS('Base bordo'!G$2:G$746,'Base bordo'!C$2:C$746,A1314,'Base bordo'!B$2:B$746,B1314,'Base bordo'!F$2:F$746,"PÁTIO INTERNO"),0)+IFERROR(SUMIFS('Base bordo'!G$2:G$746,'Base bordo'!C$2:C$746,A1314,'Base bordo'!B$2:B$746,B1314,'Base bordo'!F$2:F$746,"PÁTIO EXTERNO"),0)+IFERROR(SUMIFS('Base bordo'!G$2:G$746,'Base bordo'!C$2:C$746,A1314,'Base bordo'!B$2:B$746,B1314,'Base bordo'!F$2:F$746,"PATIO - RESERVA"),0)+IFERROR(SUMIFS('Base bordo'!G$2:G$746,'Base bordo'!C$2:C$746,A1314,'Base bordo'!B$2:B$746,B1314,'Base bordo'!F$2:F$746,"MANOBRA CARRETAS-PATIO"),0)</f>
        <v>2.931111111111111</v>
      </c>
      <c r="J1314" s="10">
        <f>IFERROR(SUMIFS('Base bordo'!G$2:G$746,'Base bordo'!C$2:C$746,A1314,'Base bordo'!B$2:B$746,B1314,'Base bordo'!F$2:F$746,"BALANÇA - ENTRADA"),0)+IFERROR(SUMIFS('Base bordo'!G$2:G$746,'Base bordo'!C$2:C$746,A1314,'Base bordo'!B$2:B$746,B1314,'Base bordo'!F$2:F$746,"BALANÇA - SAÍDA"),0)</f>
        <v>9.5833333333333326E-2</v>
      </c>
      <c r="K1314" s="10">
        <f>IFERROR(SUMIFS('Base bordo'!G$2:G$746,'Base bordo'!C$2:C$746,A1314,'Base bordo'!B$2:B$746,B1314,'Base bordo'!F$2:F$746,"MAN PREVENTIVA - MECANICA"),0)+IFERROR(SUMIFS('Base bordo'!G$2:G$746,'Base bordo'!C$2:C$746,A1314,'Base bordo'!B$2:B$746,B1314,'Base bordo'!F$2:F$746,"MAN CORRETIVA - MECANICA"),0)</f>
        <v>0</v>
      </c>
      <c r="L1314" s="10">
        <f>IFERROR(SUMIFS('Base bordo'!G$2:G$746,'Base bordo'!C$2:C$746,A1314,'Base bordo'!B$2:B$746,B1314,'Base bordo'!F$2:F$746,"MANUTENCAO - T O"),0)+IFERROR(SUMIFS('Base bordo'!G$2:G$746,'Base bordo'!C$2:C$746,A1314,'Base bordo'!B$2:B$746,B1314,'Base bordo'!F$2:F$746,"MANUTENCAO BORRACHARIA"),0)+IFERROR(SUMIFS('Base bordo'!G$2:G$746,'Base bordo'!C$2:C$746,A1314,'Base bordo'!B$2:B$746,B1314,'Base bordo'!F$2:F$746,"MANUTENCAO EXTERNA  CONCESSIONARIA"),0)+IFERROR(SUMIFS('Base bordo'!G$2:G$746,'Base bordo'!C$2:C$746,A1314,'Base bordo'!B$2:B$746,B1314,'Base bordo'!F$2:F$746,"MANUTENCAO TELEMETRIA"),0)</f>
        <v>0</v>
      </c>
      <c r="M1314" s="10">
        <f>IFERROR(SUMIFS('Base bordo'!G$2:G$746,'Base bordo'!C$2:C$746,A1314,'Base bordo'!B$2:B$746,B1314,'Base bordo'!F$2:F$746,"AGUARDANDO MANUTENCAO"),0)</f>
        <v>0</v>
      </c>
      <c r="N1314" s="10">
        <f>IFERROR(SUMIFS('Base bordo'!G$2:G$746,'Base bordo'!C$2:C$746,A1314,'Base bordo'!B$2:B$746,B1314,'Base bordo'!F$2:F$746,"SEM APONTAMENTO"),0)</f>
        <v>0</v>
      </c>
      <c r="O1314" s="10">
        <f t="shared" si="132"/>
        <v>0</v>
      </c>
      <c r="P1314" s="10">
        <f>IFERROR(SUMIFS('Base bordo'!G$2:G$746,'Base bordo'!C$2:C$746,A1314,'Base bordo'!B$2:B$746,B1314),0)</f>
        <v>10.040555555555555</v>
      </c>
      <c r="Q1314" s="10">
        <f>IFERROR(SUMIFS('Base bordo'!H$2:H$746,'Base bordo'!C$2:C$746,A1314,'Base bordo'!B$2:B$746,B1314,'Base bordo'!F$2:F$746,"DESLOCAMENTO VAZIO"),0)</f>
        <v>230432.85</v>
      </c>
      <c r="R1314" s="10">
        <f>IFERROR(SUMIFS('Base bordo'!I$2:I$746,'Base bordo'!C$2:C$746,A1314,'Base bordo'!B$2:B$746,B1314,'Base bordo'!F$2:F$746,"DESLOCAMENTO VAZIO"),0)</f>
        <v>7451</v>
      </c>
      <c r="S1314" s="30">
        <f t="shared" si="133"/>
        <v>30.926432693598176</v>
      </c>
      <c r="T1314" s="10">
        <f>IFERROR(SUMIFS('Base bordo'!H$2:H$746,'Base bordo'!C$2:C$746,A1314,'Base bordo'!B$2:B$746,B1314,'Base bordo'!F$2:F$746,"DESLOCAMENTO CARREGADO"),0)</f>
        <v>396489.03</v>
      </c>
      <c r="U1314" s="10">
        <f>IFERROR(SUMIFS('Base bordo'!I$2:I$746,'Base bordo'!C$2:C$746,A1314,'Base bordo'!B$2:B$746,B1314,'Base bordo'!F$2:F$746,"DESLOCAMENTO CARREGADO"),0)</f>
        <v>16278</v>
      </c>
      <c r="V1314" s="30">
        <f t="shared" si="134"/>
        <v>24.357355326207152</v>
      </c>
      <c r="W1314" s="9">
        <f t="shared" si="135"/>
        <v>0.2061362253084712</v>
      </c>
      <c r="X1314" s="9">
        <f t="shared" si="136"/>
        <v>0.45034028661539316</v>
      </c>
      <c r="Y1314" s="9">
        <f t="shared" si="137"/>
        <v>0.34352348807613575</v>
      </c>
    </row>
    <row r="1315" spans="1:25" ht="15" customHeight="1" x14ac:dyDescent="0.35">
      <c r="A1315" s="52">
        <v>8013478</v>
      </c>
      <c r="B1315" s="51">
        <v>46124</v>
      </c>
      <c r="C1315" s="7" t="s">
        <v>124</v>
      </c>
      <c r="D1315" s="10">
        <f>IFERROR(SUMIFS('Base bordo'!G$2:G$746,'Base bordo'!C$2:C$746,A1315,'Base bordo'!B$2:B$746,B1315,'Base bordo'!F$2:F$746,"DESLOCAMENTO VAZIO"),0)</f>
        <v>2.069722222222222</v>
      </c>
      <c r="E1315" s="10">
        <f>IFERROR(SUMIFS('Base bordo'!G$2:G$746,'Base bordo'!C$2:C$746,A1315,'Base bordo'!B$2:B$746,B1315,'Base bordo'!F$2:F$746,"DESLOCAMENTO CARREGADO"),0)</f>
        <v>4.5216666666666665</v>
      </c>
      <c r="F1315" s="10">
        <f>IFERROR(SUMIFS('Base bordo'!G$2:G$746,'Base bordo'!C$2:C$746,A1315,'Base bordo'!B$2:B$746,B1315,'Base bordo'!F$2:F$746,"DESLOCAMENTO"),0)</f>
        <v>0</v>
      </c>
      <c r="G1315" s="10">
        <f>IFERROR(SUMIFS('Base bordo'!G$2:G$746,'Base bordo'!C$2:C$746,A1315,'Base bordo'!B$2:B$746,B1315,'Base bordo'!F$2:F$746,"CARREGAMENTO"),0)</f>
        <v>0</v>
      </c>
      <c r="H1315" s="10">
        <f>IFERROR(SUMIFS('Base bordo'!G$2:G$746,'Base bordo'!C$2:C$746,A1315,'Base bordo'!B$2:B$746,B1315,'Base bordo'!F$2:F$746,"AGUARDANDO TRANSBORDO"),0)</f>
        <v>0.42222222222222222</v>
      </c>
      <c r="I1315" s="10">
        <f>IFERROR(SUMIFS('Base bordo'!G$2:G$746,'Base bordo'!C$2:C$746,A1315,'Base bordo'!B$2:B$746,B1315,'Base bordo'!F$2:F$746,"PÁTIO INTERNO"),0)+IFERROR(SUMIFS('Base bordo'!G$2:G$746,'Base bordo'!C$2:C$746,A1315,'Base bordo'!B$2:B$746,B1315,'Base bordo'!F$2:F$746,"PÁTIO EXTERNO"),0)+IFERROR(SUMIFS('Base bordo'!G$2:G$746,'Base bordo'!C$2:C$746,A1315,'Base bordo'!B$2:B$746,B1315,'Base bordo'!F$2:F$746,"PATIO - RESERVA"),0)+IFERROR(SUMIFS('Base bordo'!G$2:G$746,'Base bordo'!C$2:C$746,A1315,'Base bordo'!B$2:B$746,B1315,'Base bordo'!F$2:F$746,"MANOBRA CARRETAS-PATIO"),0)</f>
        <v>2.931111111111111</v>
      </c>
      <c r="J1315" s="10">
        <f>IFERROR(SUMIFS('Base bordo'!G$2:G$746,'Base bordo'!C$2:C$746,A1315,'Base bordo'!B$2:B$746,B1315,'Base bordo'!F$2:F$746,"BALANÇA - ENTRADA"),0)+IFERROR(SUMIFS('Base bordo'!G$2:G$746,'Base bordo'!C$2:C$746,A1315,'Base bordo'!B$2:B$746,B1315,'Base bordo'!F$2:F$746,"BALANÇA - SAÍDA"),0)</f>
        <v>9.5833333333333326E-2</v>
      </c>
      <c r="K1315" s="10">
        <f>IFERROR(SUMIFS('Base bordo'!G$2:G$746,'Base bordo'!C$2:C$746,A1315,'Base bordo'!B$2:B$746,B1315,'Base bordo'!F$2:F$746,"MAN PREVENTIVA - MECANICA"),0)+IFERROR(SUMIFS('Base bordo'!G$2:G$746,'Base bordo'!C$2:C$746,A1315,'Base bordo'!B$2:B$746,B1315,'Base bordo'!F$2:F$746,"MAN CORRETIVA - MECANICA"),0)</f>
        <v>0</v>
      </c>
      <c r="L1315" s="10">
        <f>IFERROR(SUMIFS('Base bordo'!G$2:G$746,'Base bordo'!C$2:C$746,A1315,'Base bordo'!B$2:B$746,B1315,'Base bordo'!F$2:F$746,"MANUTENCAO - T O"),0)+IFERROR(SUMIFS('Base bordo'!G$2:G$746,'Base bordo'!C$2:C$746,A1315,'Base bordo'!B$2:B$746,B1315,'Base bordo'!F$2:F$746,"MANUTENCAO BORRACHARIA"),0)+IFERROR(SUMIFS('Base bordo'!G$2:G$746,'Base bordo'!C$2:C$746,A1315,'Base bordo'!B$2:B$746,B1315,'Base bordo'!F$2:F$746,"MANUTENCAO EXTERNA  CONCESSIONARIA"),0)+IFERROR(SUMIFS('Base bordo'!G$2:G$746,'Base bordo'!C$2:C$746,A1315,'Base bordo'!B$2:B$746,B1315,'Base bordo'!F$2:F$746,"MANUTENCAO TELEMETRIA"),0)</f>
        <v>0</v>
      </c>
      <c r="M1315" s="10">
        <f>IFERROR(SUMIFS('Base bordo'!G$2:G$746,'Base bordo'!C$2:C$746,A1315,'Base bordo'!B$2:B$746,B1315,'Base bordo'!F$2:F$746,"AGUARDANDO MANUTENCAO"),0)</f>
        <v>0</v>
      </c>
      <c r="N1315" s="10">
        <f>IFERROR(SUMIFS('Base bordo'!G$2:G$746,'Base bordo'!C$2:C$746,A1315,'Base bordo'!B$2:B$746,B1315,'Base bordo'!F$2:F$746,"SEM APONTAMENTO"),0)</f>
        <v>0</v>
      </c>
      <c r="O1315" s="10">
        <f t="shared" si="132"/>
        <v>0</v>
      </c>
      <c r="P1315" s="10">
        <f>IFERROR(SUMIFS('Base bordo'!G$2:G$746,'Base bordo'!C$2:C$746,A1315,'Base bordo'!B$2:B$746,B1315),0)</f>
        <v>10.040555555555555</v>
      </c>
      <c r="Q1315" s="10">
        <f>IFERROR(SUMIFS('Base bordo'!H$2:H$746,'Base bordo'!C$2:C$746,A1315,'Base bordo'!B$2:B$746,B1315,'Base bordo'!F$2:F$746,"DESLOCAMENTO VAZIO"),0)</f>
        <v>230432.85</v>
      </c>
      <c r="R1315" s="10">
        <f>IFERROR(SUMIFS('Base bordo'!I$2:I$746,'Base bordo'!C$2:C$746,A1315,'Base bordo'!B$2:B$746,B1315,'Base bordo'!F$2:F$746,"DESLOCAMENTO VAZIO"),0)</f>
        <v>7451</v>
      </c>
      <c r="S1315" s="30">
        <f t="shared" si="133"/>
        <v>30.926432693598176</v>
      </c>
      <c r="T1315" s="10">
        <f>IFERROR(SUMIFS('Base bordo'!H$2:H$746,'Base bordo'!C$2:C$746,A1315,'Base bordo'!B$2:B$746,B1315,'Base bordo'!F$2:F$746,"DESLOCAMENTO CARREGADO"),0)</f>
        <v>396489.03</v>
      </c>
      <c r="U1315" s="10">
        <f>IFERROR(SUMIFS('Base bordo'!I$2:I$746,'Base bordo'!C$2:C$746,A1315,'Base bordo'!B$2:B$746,B1315,'Base bordo'!F$2:F$746,"DESLOCAMENTO CARREGADO"),0)</f>
        <v>16278</v>
      </c>
      <c r="V1315" s="30">
        <f t="shared" si="134"/>
        <v>24.357355326207152</v>
      </c>
      <c r="W1315" s="9">
        <f t="shared" si="135"/>
        <v>0.2061362253084712</v>
      </c>
      <c r="X1315" s="9">
        <f t="shared" si="136"/>
        <v>0.45034028661539316</v>
      </c>
      <c r="Y1315" s="9">
        <f t="shared" si="137"/>
        <v>0.34352348807613575</v>
      </c>
    </row>
    <row r="1316" spans="1:25" ht="15" customHeight="1" x14ac:dyDescent="0.35">
      <c r="A1316" s="52">
        <v>8013478</v>
      </c>
      <c r="B1316" s="51">
        <v>46124</v>
      </c>
      <c r="C1316" s="7" t="s">
        <v>124</v>
      </c>
      <c r="D1316" s="10">
        <f>IFERROR(SUMIFS('Base bordo'!G$2:G$746,'Base bordo'!C$2:C$746,A1316,'Base bordo'!B$2:B$746,B1316,'Base bordo'!F$2:F$746,"DESLOCAMENTO VAZIO"),0)</f>
        <v>2.069722222222222</v>
      </c>
      <c r="E1316" s="10">
        <f>IFERROR(SUMIFS('Base bordo'!G$2:G$746,'Base bordo'!C$2:C$746,A1316,'Base bordo'!B$2:B$746,B1316,'Base bordo'!F$2:F$746,"DESLOCAMENTO CARREGADO"),0)</f>
        <v>4.5216666666666665</v>
      </c>
      <c r="F1316" s="10">
        <f>IFERROR(SUMIFS('Base bordo'!G$2:G$746,'Base bordo'!C$2:C$746,A1316,'Base bordo'!B$2:B$746,B1316,'Base bordo'!F$2:F$746,"DESLOCAMENTO"),0)</f>
        <v>0</v>
      </c>
      <c r="G1316" s="10">
        <f>IFERROR(SUMIFS('Base bordo'!G$2:G$746,'Base bordo'!C$2:C$746,A1316,'Base bordo'!B$2:B$746,B1316,'Base bordo'!F$2:F$746,"CARREGAMENTO"),0)</f>
        <v>0</v>
      </c>
      <c r="H1316" s="10">
        <f>IFERROR(SUMIFS('Base bordo'!G$2:G$746,'Base bordo'!C$2:C$746,A1316,'Base bordo'!B$2:B$746,B1316,'Base bordo'!F$2:F$746,"AGUARDANDO TRANSBORDO"),0)</f>
        <v>0.42222222222222222</v>
      </c>
      <c r="I1316" s="10">
        <f>IFERROR(SUMIFS('Base bordo'!G$2:G$746,'Base bordo'!C$2:C$746,A1316,'Base bordo'!B$2:B$746,B1316,'Base bordo'!F$2:F$746,"PÁTIO INTERNO"),0)+IFERROR(SUMIFS('Base bordo'!G$2:G$746,'Base bordo'!C$2:C$746,A1316,'Base bordo'!B$2:B$746,B1316,'Base bordo'!F$2:F$746,"PÁTIO EXTERNO"),0)+IFERROR(SUMIFS('Base bordo'!G$2:G$746,'Base bordo'!C$2:C$746,A1316,'Base bordo'!B$2:B$746,B1316,'Base bordo'!F$2:F$746,"PATIO - RESERVA"),0)+IFERROR(SUMIFS('Base bordo'!G$2:G$746,'Base bordo'!C$2:C$746,A1316,'Base bordo'!B$2:B$746,B1316,'Base bordo'!F$2:F$746,"MANOBRA CARRETAS-PATIO"),0)</f>
        <v>2.931111111111111</v>
      </c>
      <c r="J1316" s="10">
        <f>IFERROR(SUMIFS('Base bordo'!G$2:G$746,'Base bordo'!C$2:C$746,A1316,'Base bordo'!B$2:B$746,B1316,'Base bordo'!F$2:F$746,"BALANÇA - ENTRADA"),0)+IFERROR(SUMIFS('Base bordo'!G$2:G$746,'Base bordo'!C$2:C$746,A1316,'Base bordo'!B$2:B$746,B1316,'Base bordo'!F$2:F$746,"BALANÇA - SAÍDA"),0)</f>
        <v>9.5833333333333326E-2</v>
      </c>
      <c r="K1316" s="10">
        <f>IFERROR(SUMIFS('Base bordo'!G$2:G$746,'Base bordo'!C$2:C$746,A1316,'Base bordo'!B$2:B$746,B1316,'Base bordo'!F$2:F$746,"MAN PREVENTIVA - MECANICA"),0)+IFERROR(SUMIFS('Base bordo'!G$2:G$746,'Base bordo'!C$2:C$746,A1316,'Base bordo'!B$2:B$746,B1316,'Base bordo'!F$2:F$746,"MAN CORRETIVA - MECANICA"),0)</f>
        <v>0</v>
      </c>
      <c r="L1316" s="10">
        <f>IFERROR(SUMIFS('Base bordo'!G$2:G$746,'Base bordo'!C$2:C$746,A1316,'Base bordo'!B$2:B$746,B1316,'Base bordo'!F$2:F$746,"MANUTENCAO - T O"),0)+IFERROR(SUMIFS('Base bordo'!G$2:G$746,'Base bordo'!C$2:C$746,A1316,'Base bordo'!B$2:B$746,B1316,'Base bordo'!F$2:F$746,"MANUTENCAO BORRACHARIA"),0)+IFERROR(SUMIFS('Base bordo'!G$2:G$746,'Base bordo'!C$2:C$746,A1316,'Base bordo'!B$2:B$746,B1316,'Base bordo'!F$2:F$746,"MANUTENCAO EXTERNA  CONCESSIONARIA"),0)+IFERROR(SUMIFS('Base bordo'!G$2:G$746,'Base bordo'!C$2:C$746,A1316,'Base bordo'!B$2:B$746,B1316,'Base bordo'!F$2:F$746,"MANUTENCAO TELEMETRIA"),0)</f>
        <v>0</v>
      </c>
      <c r="M1316" s="10">
        <f>IFERROR(SUMIFS('Base bordo'!G$2:G$746,'Base bordo'!C$2:C$746,A1316,'Base bordo'!B$2:B$746,B1316,'Base bordo'!F$2:F$746,"AGUARDANDO MANUTENCAO"),0)</f>
        <v>0</v>
      </c>
      <c r="N1316" s="10">
        <f>IFERROR(SUMIFS('Base bordo'!G$2:G$746,'Base bordo'!C$2:C$746,A1316,'Base bordo'!B$2:B$746,B1316,'Base bordo'!F$2:F$746,"SEM APONTAMENTO"),0)</f>
        <v>0</v>
      </c>
      <c r="O1316" s="10">
        <f t="shared" si="132"/>
        <v>0</v>
      </c>
      <c r="P1316" s="10">
        <f>IFERROR(SUMIFS('Base bordo'!G$2:G$746,'Base bordo'!C$2:C$746,A1316,'Base bordo'!B$2:B$746,B1316),0)</f>
        <v>10.040555555555555</v>
      </c>
      <c r="Q1316" s="10">
        <f>IFERROR(SUMIFS('Base bordo'!H$2:H$746,'Base bordo'!C$2:C$746,A1316,'Base bordo'!B$2:B$746,B1316,'Base bordo'!F$2:F$746,"DESLOCAMENTO VAZIO"),0)</f>
        <v>230432.85</v>
      </c>
      <c r="R1316" s="10">
        <f>IFERROR(SUMIFS('Base bordo'!I$2:I$746,'Base bordo'!C$2:C$746,A1316,'Base bordo'!B$2:B$746,B1316,'Base bordo'!F$2:F$746,"DESLOCAMENTO VAZIO"),0)</f>
        <v>7451</v>
      </c>
      <c r="S1316" s="30">
        <f t="shared" si="133"/>
        <v>30.926432693598176</v>
      </c>
      <c r="T1316" s="10">
        <f>IFERROR(SUMIFS('Base bordo'!H$2:H$746,'Base bordo'!C$2:C$746,A1316,'Base bordo'!B$2:B$746,B1316,'Base bordo'!F$2:F$746,"DESLOCAMENTO CARREGADO"),0)</f>
        <v>396489.03</v>
      </c>
      <c r="U1316" s="10">
        <f>IFERROR(SUMIFS('Base bordo'!I$2:I$746,'Base bordo'!C$2:C$746,A1316,'Base bordo'!B$2:B$746,B1316,'Base bordo'!F$2:F$746,"DESLOCAMENTO CARREGADO"),0)</f>
        <v>16278</v>
      </c>
      <c r="V1316" s="30">
        <f t="shared" si="134"/>
        <v>24.357355326207152</v>
      </c>
      <c r="W1316" s="9">
        <f t="shared" si="135"/>
        <v>0.2061362253084712</v>
      </c>
      <c r="X1316" s="9">
        <f t="shared" si="136"/>
        <v>0.45034028661539316</v>
      </c>
      <c r="Y1316" s="9">
        <f t="shared" si="137"/>
        <v>0.34352348807613575</v>
      </c>
    </row>
    <row r="1317" spans="1:25" ht="15" customHeight="1" x14ac:dyDescent="0.35">
      <c r="A1317" s="52">
        <v>8013478</v>
      </c>
      <c r="B1317" s="51">
        <v>46124</v>
      </c>
      <c r="C1317" s="7" t="s">
        <v>124</v>
      </c>
      <c r="D1317" s="10">
        <f>IFERROR(SUMIFS('Base bordo'!G$2:G$746,'Base bordo'!C$2:C$746,A1317,'Base bordo'!B$2:B$746,B1317,'Base bordo'!F$2:F$746,"DESLOCAMENTO VAZIO"),0)</f>
        <v>2.069722222222222</v>
      </c>
      <c r="E1317" s="10">
        <f>IFERROR(SUMIFS('Base bordo'!G$2:G$746,'Base bordo'!C$2:C$746,A1317,'Base bordo'!B$2:B$746,B1317,'Base bordo'!F$2:F$746,"DESLOCAMENTO CARREGADO"),0)</f>
        <v>4.5216666666666665</v>
      </c>
      <c r="F1317" s="10">
        <f>IFERROR(SUMIFS('Base bordo'!G$2:G$746,'Base bordo'!C$2:C$746,A1317,'Base bordo'!B$2:B$746,B1317,'Base bordo'!F$2:F$746,"DESLOCAMENTO"),0)</f>
        <v>0</v>
      </c>
      <c r="G1317" s="10">
        <f>IFERROR(SUMIFS('Base bordo'!G$2:G$746,'Base bordo'!C$2:C$746,A1317,'Base bordo'!B$2:B$746,B1317,'Base bordo'!F$2:F$746,"CARREGAMENTO"),0)</f>
        <v>0</v>
      </c>
      <c r="H1317" s="10">
        <f>IFERROR(SUMIFS('Base bordo'!G$2:G$746,'Base bordo'!C$2:C$746,A1317,'Base bordo'!B$2:B$746,B1317,'Base bordo'!F$2:F$746,"AGUARDANDO TRANSBORDO"),0)</f>
        <v>0.42222222222222222</v>
      </c>
      <c r="I1317" s="10">
        <f>IFERROR(SUMIFS('Base bordo'!G$2:G$746,'Base bordo'!C$2:C$746,A1317,'Base bordo'!B$2:B$746,B1317,'Base bordo'!F$2:F$746,"PÁTIO INTERNO"),0)+IFERROR(SUMIFS('Base bordo'!G$2:G$746,'Base bordo'!C$2:C$746,A1317,'Base bordo'!B$2:B$746,B1317,'Base bordo'!F$2:F$746,"PÁTIO EXTERNO"),0)+IFERROR(SUMIFS('Base bordo'!G$2:G$746,'Base bordo'!C$2:C$746,A1317,'Base bordo'!B$2:B$746,B1317,'Base bordo'!F$2:F$746,"PATIO - RESERVA"),0)+IFERROR(SUMIFS('Base bordo'!G$2:G$746,'Base bordo'!C$2:C$746,A1317,'Base bordo'!B$2:B$746,B1317,'Base bordo'!F$2:F$746,"MANOBRA CARRETAS-PATIO"),0)</f>
        <v>2.931111111111111</v>
      </c>
      <c r="J1317" s="10">
        <f>IFERROR(SUMIFS('Base bordo'!G$2:G$746,'Base bordo'!C$2:C$746,A1317,'Base bordo'!B$2:B$746,B1317,'Base bordo'!F$2:F$746,"BALANÇA - ENTRADA"),0)+IFERROR(SUMIFS('Base bordo'!G$2:G$746,'Base bordo'!C$2:C$746,A1317,'Base bordo'!B$2:B$746,B1317,'Base bordo'!F$2:F$746,"BALANÇA - SAÍDA"),0)</f>
        <v>9.5833333333333326E-2</v>
      </c>
      <c r="K1317" s="10">
        <f>IFERROR(SUMIFS('Base bordo'!G$2:G$746,'Base bordo'!C$2:C$746,A1317,'Base bordo'!B$2:B$746,B1317,'Base bordo'!F$2:F$746,"MAN PREVENTIVA - MECANICA"),0)+IFERROR(SUMIFS('Base bordo'!G$2:G$746,'Base bordo'!C$2:C$746,A1317,'Base bordo'!B$2:B$746,B1317,'Base bordo'!F$2:F$746,"MAN CORRETIVA - MECANICA"),0)</f>
        <v>0</v>
      </c>
      <c r="L1317" s="10">
        <f>IFERROR(SUMIFS('Base bordo'!G$2:G$746,'Base bordo'!C$2:C$746,A1317,'Base bordo'!B$2:B$746,B1317,'Base bordo'!F$2:F$746,"MANUTENCAO - T O"),0)+IFERROR(SUMIFS('Base bordo'!G$2:G$746,'Base bordo'!C$2:C$746,A1317,'Base bordo'!B$2:B$746,B1317,'Base bordo'!F$2:F$746,"MANUTENCAO BORRACHARIA"),0)+IFERROR(SUMIFS('Base bordo'!G$2:G$746,'Base bordo'!C$2:C$746,A1317,'Base bordo'!B$2:B$746,B1317,'Base bordo'!F$2:F$746,"MANUTENCAO EXTERNA  CONCESSIONARIA"),0)+IFERROR(SUMIFS('Base bordo'!G$2:G$746,'Base bordo'!C$2:C$746,A1317,'Base bordo'!B$2:B$746,B1317,'Base bordo'!F$2:F$746,"MANUTENCAO TELEMETRIA"),0)</f>
        <v>0</v>
      </c>
      <c r="M1317" s="10">
        <f>IFERROR(SUMIFS('Base bordo'!G$2:G$746,'Base bordo'!C$2:C$746,A1317,'Base bordo'!B$2:B$746,B1317,'Base bordo'!F$2:F$746,"AGUARDANDO MANUTENCAO"),0)</f>
        <v>0</v>
      </c>
      <c r="N1317" s="10">
        <f>IFERROR(SUMIFS('Base bordo'!G$2:G$746,'Base bordo'!C$2:C$746,A1317,'Base bordo'!B$2:B$746,B1317,'Base bordo'!F$2:F$746,"SEM APONTAMENTO"),0)</f>
        <v>0</v>
      </c>
      <c r="O1317" s="10">
        <f t="shared" si="132"/>
        <v>0</v>
      </c>
      <c r="P1317" s="10">
        <f>IFERROR(SUMIFS('Base bordo'!G$2:G$746,'Base bordo'!C$2:C$746,A1317,'Base bordo'!B$2:B$746,B1317),0)</f>
        <v>10.040555555555555</v>
      </c>
      <c r="Q1317" s="10">
        <f>IFERROR(SUMIFS('Base bordo'!H$2:H$746,'Base bordo'!C$2:C$746,A1317,'Base bordo'!B$2:B$746,B1317,'Base bordo'!F$2:F$746,"DESLOCAMENTO VAZIO"),0)</f>
        <v>230432.85</v>
      </c>
      <c r="R1317" s="10">
        <f>IFERROR(SUMIFS('Base bordo'!I$2:I$746,'Base bordo'!C$2:C$746,A1317,'Base bordo'!B$2:B$746,B1317,'Base bordo'!F$2:F$746,"DESLOCAMENTO VAZIO"),0)</f>
        <v>7451</v>
      </c>
      <c r="S1317" s="30">
        <f t="shared" si="133"/>
        <v>30.926432693598176</v>
      </c>
      <c r="T1317" s="10">
        <f>IFERROR(SUMIFS('Base bordo'!H$2:H$746,'Base bordo'!C$2:C$746,A1317,'Base bordo'!B$2:B$746,B1317,'Base bordo'!F$2:F$746,"DESLOCAMENTO CARREGADO"),0)</f>
        <v>396489.03</v>
      </c>
      <c r="U1317" s="10">
        <f>IFERROR(SUMIFS('Base bordo'!I$2:I$746,'Base bordo'!C$2:C$746,A1317,'Base bordo'!B$2:B$746,B1317,'Base bordo'!F$2:F$746,"DESLOCAMENTO CARREGADO"),0)</f>
        <v>16278</v>
      </c>
      <c r="V1317" s="30">
        <f t="shared" si="134"/>
        <v>24.357355326207152</v>
      </c>
      <c r="W1317" s="9">
        <f t="shared" si="135"/>
        <v>0.2061362253084712</v>
      </c>
      <c r="X1317" s="9">
        <f t="shared" si="136"/>
        <v>0.45034028661539316</v>
      </c>
      <c r="Y1317" s="9">
        <f t="shared" si="137"/>
        <v>0.34352348807613575</v>
      </c>
    </row>
    <row r="1318" spans="1:25" ht="15" customHeight="1" x14ac:dyDescent="0.35">
      <c r="A1318" s="52">
        <v>8013478</v>
      </c>
      <c r="B1318" s="51">
        <v>46124</v>
      </c>
      <c r="C1318" s="7" t="s">
        <v>124</v>
      </c>
      <c r="D1318" s="10">
        <f>IFERROR(SUMIFS('Base bordo'!G$2:G$746,'Base bordo'!C$2:C$746,A1318,'Base bordo'!B$2:B$746,B1318,'Base bordo'!F$2:F$746,"DESLOCAMENTO VAZIO"),0)</f>
        <v>2.069722222222222</v>
      </c>
      <c r="E1318" s="10">
        <f>IFERROR(SUMIFS('Base bordo'!G$2:G$746,'Base bordo'!C$2:C$746,A1318,'Base bordo'!B$2:B$746,B1318,'Base bordo'!F$2:F$746,"DESLOCAMENTO CARREGADO"),0)</f>
        <v>4.5216666666666665</v>
      </c>
      <c r="F1318" s="10">
        <f>IFERROR(SUMIFS('Base bordo'!G$2:G$746,'Base bordo'!C$2:C$746,A1318,'Base bordo'!B$2:B$746,B1318,'Base bordo'!F$2:F$746,"DESLOCAMENTO"),0)</f>
        <v>0</v>
      </c>
      <c r="G1318" s="10">
        <f>IFERROR(SUMIFS('Base bordo'!G$2:G$746,'Base bordo'!C$2:C$746,A1318,'Base bordo'!B$2:B$746,B1318,'Base bordo'!F$2:F$746,"CARREGAMENTO"),0)</f>
        <v>0</v>
      </c>
      <c r="H1318" s="10">
        <f>IFERROR(SUMIFS('Base bordo'!G$2:G$746,'Base bordo'!C$2:C$746,A1318,'Base bordo'!B$2:B$746,B1318,'Base bordo'!F$2:F$746,"AGUARDANDO TRANSBORDO"),0)</f>
        <v>0.42222222222222222</v>
      </c>
      <c r="I1318" s="10">
        <f>IFERROR(SUMIFS('Base bordo'!G$2:G$746,'Base bordo'!C$2:C$746,A1318,'Base bordo'!B$2:B$746,B1318,'Base bordo'!F$2:F$746,"PÁTIO INTERNO"),0)+IFERROR(SUMIFS('Base bordo'!G$2:G$746,'Base bordo'!C$2:C$746,A1318,'Base bordo'!B$2:B$746,B1318,'Base bordo'!F$2:F$746,"PÁTIO EXTERNO"),0)+IFERROR(SUMIFS('Base bordo'!G$2:G$746,'Base bordo'!C$2:C$746,A1318,'Base bordo'!B$2:B$746,B1318,'Base bordo'!F$2:F$746,"PATIO - RESERVA"),0)+IFERROR(SUMIFS('Base bordo'!G$2:G$746,'Base bordo'!C$2:C$746,A1318,'Base bordo'!B$2:B$746,B1318,'Base bordo'!F$2:F$746,"MANOBRA CARRETAS-PATIO"),0)</f>
        <v>2.931111111111111</v>
      </c>
      <c r="J1318" s="10">
        <f>IFERROR(SUMIFS('Base bordo'!G$2:G$746,'Base bordo'!C$2:C$746,A1318,'Base bordo'!B$2:B$746,B1318,'Base bordo'!F$2:F$746,"BALANÇA - ENTRADA"),0)+IFERROR(SUMIFS('Base bordo'!G$2:G$746,'Base bordo'!C$2:C$746,A1318,'Base bordo'!B$2:B$746,B1318,'Base bordo'!F$2:F$746,"BALANÇA - SAÍDA"),0)</f>
        <v>9.5833333333333326E-2</v>
      </c>
      <c r="K1318" s="10">
        <f>IFERROR(SUMIFS('Base bordo'!G$2:G$746,'Base bordo'!C$2:C$746,A1318,'Base bordo'!B$2:B$746,B1318,'Base bordo'!F$2:F$746,"MAN PREVENTIVA - MECANICA"),0)+IFERROR(SUMIFS('Base bordo'!G$2:G$746,'Base bordo'!C$2:C$746,A1318,'Base bordo'!B$2:B$746,B1318,'Base bordo'!F$2:F$746,"MAN CORRETIVA - MECANICA"),0)</f>
        <v>0</v>
      </c>
      <c r="L1318" s="10">
        <f>IFERROR(SUMIFS('Base bordo'!G$2:G$746,'Base bordo'!C$2:C$746,A1318,'Base bordo'!B$2:B$746,B1318,'Base bordo'!F$2:F$746,"MANUTENCAO - T O"),0)+IFERROR(SUMIFS('Base bordo'!G$2:G$746,'Base bordo'!C$2:C$746,A1318,'Base bordo'!B$2:B$746,B1318,'Base bordo'!F$2:F$746,"MANUTENCAO BORRACHARIA"),0)+IFERROR(SUMIFS('Base bordo'!G$2:G$746,'Base bordo'!C$2:C$746,A1318,'Base bordo'!B$2:B$746,B1318,'Base bordo'!F$2:F$746,"MANUTENCAO EXTERNA  CONCESSIONARIA"),0)+IFERROR(SUMIFS('Base bordo'!G$2:G$746,'Base bordo'!C$2:C$746,A1318,'Base bordo'!B$2:B$746,B1318,'Base bordo'!F$2:F$746,"MANUTENCAO TELEMETRIA"),0)</f>
        <v>0</v>
      </c>
      <c r="M1318" s="10">
        <f>IFERROR(SUMIFS('Base bordo'!G$2:G$746,'Base bordo'!C$2:C$746,A1318,'Base bordo'!B$2:B$746,B1318,'Base bordo'!F$2:F$746,"AGUARDANDO MANUTENCAO"),0)</f>
        <v>0</v>
      </c>
      <c r="N1318" s="10">
        <f>IFERROR(SUMIFS('Base bordo'!G$2:G$746,'Base bordo'!C$2:C$746,A1318,'Base bordo'!B$2:B$746,B1318,'Base bordo'!F$2:F$746,"SEM APONTAMENTO"),0)</f>
        <v>0</v>
      </c>
      <c r="O1318" s="10">
        <f t="shared" si="132"/>
        <v>0</v>
      </c>
      <c r="P1318" s="10">
        <f>IFERROR(SUMIFS('Base bordo'!G$2:G$746,'Base bordo'!C$2:C$746,A1318,'Base bordo'!B$2:B$746,B1318),0)</f>
        <v>10.040555555555555</v>
      </c>
      <c r="Q1318" s="10">
        <f>IFERROR(SUMIFS('Base bordo'!H$2:H$746,'Base bordo'!C$2:C$746,A1318,'Base bordo'!B$2:B$746,B1318,'Base bordo'!F$2:F$746,"DESLOCAMENTO VAZIO"),0)</f>
        <v>230432.85</v>
      </c>
      <c r="R1318" s="10">
        <f>IFERROR(SUMIFS('Base bordo'!I$2:I$746,'Base bordo'!C$2:C$746,A1318,'Base bordo'!B$2:B$746,B1318,'Base bordo'!F$2:F$746,"DESLOCAMENTO VAZIO"),0)</f>
        <v>7451</v>
      </c>
      <c r="S1318" s="30">
        <f t="shared" si="133"/>
        <v>30.926432693598176</v>
      </c>
      <c r="T1318" s="10">
        <f>IFERROR(SUMIFS('Base bordo'!H$2:H$746,'Base bordo'!C$2:C$746,A1318,'Base bordo'!B$2:B$746,B1318,'Base bordo'!F$2:F$746,"DESLOCAMENTO CARREGADO"),0)</f>
        <v>396489.03</v>
      </c>
      <c r="U1318" s="10">
        <f>IFERROR(SUMIFS('Base bordo'!I$2:I$746,'Base bordo'!C$2:C$746,A1318,'Base bordo'!B$2:B$746,B1318,'Base bordo'!F$2:F$746,"DESLOCAMENTO CARREGADO"),0)</f>
        <v>16278</v>
      </c>
      <c r="V1318" s="30">
        <f t="shared" si="134"/>
        <v>24.357355326207152</v>
      </c>
      <c r="W1318" s="9">
        <f t="shared" si="135"/>
        <v>0.2061362253084712</v>
      </c>
      <c r="X1318" s="9">
        <f t="shared" si="136"/>
        <v>0.45034028661539316</v>
      </c>
      <c r="Y1318" s="9">
        <f t="shared" si="137"/>
        <v>0.34352348807613575</v>
      </c>
    </row>
    <row r="1319" spans="1:25" ht="15" customHeight="1" x14ac:dyDescent="0.35">
      <c r="A1319" s="52">
        <v>8013478</v>
      </c>
      <c r="B1319" s="51">
        <v>46124</v>
      </c>
      <c r="C1319" s="7" t="s">
        <v>124</v>
      </c>
      <c r="D1319" s="10">
        <f>IFERROR(SUMIFS('Base bordo'!G$2:G$746,'Base bordo'!C$2:C$746,A1319,'Base bordo'!B$2:B$746,B1319,'Base bordo'!F$2:F$746,"DESLOCAMENTO VAZIO"),0)</f>
        <v>2.069722222222222</v>
      </c>
      <c r="E1319" s="10">
        <f>IFERROR(SUMIFS('Base bordo'!G$2:G$746,'Base bordo'!C$2:C$746,A1319,'Base bordo'!B$2:B$746,B1319,'Base bordo'!F$2:F$746,"DESLOCAMENTO CARREGADO"),0)</f>
        <v>4.5216666666666665</v>
      </c>
      <c r="F1319" s="10">
        <f>IFERROR(SUMIFS('Base bordo'!G$2:G$746,'Base bordo'!C$2:C$746,A1319,'Base bordo'!B$2:B$746,B1319,'Base bordo'!F$2:F$746,"DESLOCAMENTO"),0)</f>
        <v>0</v>
      </c>
      <c r="G1319" s="10">
        <f>IFERROR(SUMIFS('Base bordo'!G$2:G$746,'Base bordo'!C$2:C$746,A1319,'Base bordo'!B$2:B$746,B1319,'Base bordo'!F$2:F$746,"CARREGAMENTO"),0)</f>
        <v>0</v>
      </c>
      <c r="H1319" s="10">
        <f>IFERROR(SUMIFS('Base bordo'!G$2:G$746,'Base bordo'!C$2:C$746,A1319,'Base bordo'!B$2:B$746,B1319,'Base bordo'!F$2:F$746,"AGUARDANDO TRANSBORDO"),0)</f>
        <v>0.42222222222222222</v>
      </c>
      <c r="I1319" s="10">
        <f>IFERROR(SUMIFS('Base bordo'!G$2:G$746,'Base bordo'!C$2:C$746,A1319,'Base bordo'!B$2:B$746,B1319,'Base bordo'!F$2:F$746,"PÁTIO INTERNO"),0)+IFERROR(SUMIFS('Base bordo'!G$2:G$746,'Base bordo'!C$2:C$746,A1319,'Base bordo'!B$2:B$746,B1319,'Base bordo'!F$2:F$746,"PÁTIO EXTERNO"),0)+IFERROR(SUMIFS('Base bordo'!G$2:G$746,'Base bordo'!C$2:C$746,A1319,'Base bordo'!B$2:B$746,B1319,'Base bordo'!F$2:F$746,"PATIO - RESERVA"),0)+IFERROR(SUMIFS('Base bordo'!G$2:G$746,'Base bordo'!C$2:C$746,A1319,'Base bordo'!B$2:B$746,B1319,'Base bordo'!F$2:F$746,"MANOBRA CARRETAS-PATIO"),0)</f>
        <v>2.931111111111111</v>
      </c>
      <c r="J1319" s="10">
        <f>IFERROR(SUMIFS('Base bordo'!G$2:G$746,'Base bordo'!C$2:C$746,A1319,'Base bordo'!B$2:B$746,B1319,'Base bordo'!F$2:F$746,"BALANÇA - ENTRADA"),0)+IFERROR(SUMIFS('Base bordo'!G$2:G$746,'Base bordo'!C$2:C$746,A1319,'Base bordo'!B$2:B$746,B1319,'Base bordo'!F$2:F$746,"BALANÇA - SAÍDA"),0)</f>
        <v>9.5833333333333326E-2</v>
      </c>
      <c r="K1319" s="10">
        <f>IFERROR(SUMIFS('Base bordo'!G$2:G$746,'Base bordo'!C$2:C$746,A1319,'Base bordo'!B$2:B$746,B1319,'Base bordo'!F$2:F$746,"MAN PREVENTIVA - MECANICA"),0)+IFERROR(SUMIFS('Base bordo'!G$2:G$746,'Base bordo'!C$2:C$746,A1319,'Base bordo'!B$2:B$746,B1319,'Base bordo'!F$2:F$746,"MAN CORRETIVA - MECANICA"),0)</f>
        <v>0</v>
      </c>
      <c r="L1319" s="10">
        <f>IFERROR(SUMIFS('Base bordo'!G$2:G$746,'Base bordo'!C$2:C$746,A1319,'Base bordo'!B$2:B$746,B1319,'Base bordo'!F$2:F$746,"MANUTENCAO - T O"),0)+IFERROR(SUMIFS('Base bordo'!G$2:G$746,'Base bordo'!C$2:C$746,A1319,'Base bordo'!B$2:B$746,B1319,'Base bordo'!F$2:F$746,"MANUTENCAO BORRACHARIA"),0)+IFERROR(SUMIFS('Base bordo'!G$2:G$746,'Base bordo'!C$2:C$746,A1319,'Base bordo'!B$2:B$746,B1319,'Base bordo'!F$2:F$746,"MANUTENCAO EXTERNA  CONCESSIONARIA"),0)+IFERROR(SUMIFS('Base bordo'!G$2:G$746,'Base bordo'!C$2:C$746,A1319,'Base bordo'!B$2:B$746,B1319,'Base bordo'!F$2:F$746,"MANUTENCAO TELEMETRIA"),0)</f>
        <v>0</v>
      </c>
      <c r="M1319" s="10">
        <f>IFERROR(SUMIFS('Base bordo'!G$2:G$746,'Base bordo'!C$2:C$746,A1319,'Base bordo'!B$2:B$746,B1319,'Base bordo'!F$2:F$746,"AGUARDANDO MANUTENCAO"),0)</f>
        <v>0</v>
      </c>
      <c r="N1319" s="10">
        <f>IFERROR(SUMIFS('Base bordo'!G$2:G$746,'Base bordo'!C$2:C$746,A1319,'Base bordo'!B$2:B$746,B1319,'Base bordo'!F$2:F$746,"SEM APONTAMENTO"),0)</f>
        <v>0</v>
      </c>
      <c r="O1319" s="10">
        <f t="shared" si="132"/>
        <v>0</v>
      </c>
      <c r="P1319" s="10">
        <f>IFERROR(SUMIFS('Base bordo'!G$2:G$746,'Base bordo'!C$2:C$746,A1319,'Base bordo'!B$2:B$746,B1319),0)</f>
        <v>10.040555555555555</v>
      </c>
      <c r="Q1319" s="10">
        <f>IFERROR(SUMIFS('Base bordo'!H$2:H$746,'Base bordo'!C$2:C$746,A1319,'Base bordo'!B$2:B$746,B1319,'Base bordo'!F$2:F$746,"DESLOCAMENTO VAZIO"),0)</f>
        <v>230432.85</v>
      </c>
      <c r="R1319" s="10">
        <f>IFERROR(SUMIFS('Base bordo'!I$2:I$746,'Base bordo'!C$2:C$746,A1319,'Base bordo'!B$2:B$746,B1319,'Base bordo'!F$2:F$746,"DESLOCAMENTO VAZIO"),0)</f>
        <v>7451</v>
      </c>
      <c r="S1319" s="30">
        <f t="shared" si="133"/>
        <v>30.926432693598176</v>
      </c>
      <c r="T1319" s="10">
        <f>IFERROR(SUMIFS('Base bordo'!H$2:H$746,'Base bordo'!C$2:C$746,A1319,'Base bordo'!B$2:B$746,B1319,'Base bordo'!F$2:F$746,"DESLOCAMENTO CARREGADO"),0)</f>
        <v>396489.03</v>
      </c>
      <c r="U1319" s="10">
        <f>IFERROR(SUMIFS('Base bordo'!I$2:I$746,'Base bordo'!C$2:C$746,A1319,'Base bordo'!B$2:B$746,B1319,'Base bordo'!F$2:F$746,"DESLOCAMENTO CARREGADO"),0)</f>
        <v>16278</v>
      </c>
      <c r="V1319" s="30">
        <f t="shared" si="134"/>
        <v>24.357355326207152</v>
      </c>
      <c r="W1319" s="9">
        <f t="shared" si="135"/>
        <v>0.2061362253084712</v>
      </c>
      <c r="X1319" s="9">
        <f t="shared" si="136"/>
        <v>0.45034028661539316</v>
      </c>
      <c r="Y1319" s="9">
        <f t="shared" si="137"/>
        <v>0.34352348807613575</v>
      </c>
    </row>
    <row r="1320" spans="1:25" ht="15" customHeight="1" x14ac:dyDescent="0.35">
      <c r="A1320" s="52">
        <v>8013478</v>
      </c>
      <c r="B1320" s="51">
        <v>46124</v>
      </c>
      <c r="C1320" s="7" t="s">
        <v>124</v>
      </c>
      <c r="D1320" s="10">
        <f>IFERROR(SUMIFS('Base bordo'!G$2:G$746,'Base bordo'!C$2:C$746,A1320,'Base bordo'!B$2:B$746,B1320,'Base bordo'!F$2:F$746,"DESLOCAMENTO VAZIO"),0)</f>
        <v>2.069722222222222</v>
      </c>
      <c r="E1320" s="10">
        <f>IFERROR(SUMIFS('Base bordo'!G$2:G$746,'Base bordo'!C$2:C$746,A1320,'Base bordo'!B$2:B$746,B1320,'Base bordo'!F$2:F$746,"DESLOCAMENTO CARREGADO"),0)</f>
        <v>4.5216666666666665</v>
      </c>
      <c r="F1320" s="10">
        <f>IFERROR(SUMIFS('Base bordo'!G$2:G$746,'Base bordo'!C$2:C$746,A1320,'Base bordo'!B$2:B$746,B1320,'Base bordo'!F$2:F$746,"DESLOCAMENTO"),0)</f>
        <v>0</v>
      </c>
      <c r="G1320" s="10">
        <f>IFERROR(SUMIFS('Base bordo'!G$2:G$746,'Base bordo'!C$2:C$746,A1320,'Base bordo'!B$2:B$746,B1320,'Base bordo'!F$2:F$746,"CARREGAMENTO"),0)</f>
        <v>0</v>
      </c>
      <c r="H1320" s="10">
        <f>IFERROR(SUMIFS('Base bordo'!G$2:G$746,'Base bordo'!C$2:C$746,A1320,'Base bordo'!B$2:B$746,B1320,'Base bordo'!F$2:F$746,"AGUARDANDO TRANSBORDO"),0)</f>
        <v>0.42222222222222222</v>
      </c>
      <c r="I1320" s="10">
        <f>IFERROR(SUMIFS('Base bordo'!G$2:G$746,'Base bordo'!C$2:C$746,A1320,'Base bordo'!B$2:B$746,B1320,'Base bordo'!F$2:F$746,"PÁTIO INTERNO"),0)+IFERROR(SUMIFS('Base bordo'!G$2:G$746,'Base bordo'!C$2:C$746,A1320,'Base bordo'!B$2:B$746,B1320,'Base bordo'!F$2:F$746,"PÁTIO EXTERNO"),0)+IFERROR(SUMIFS('Base bordo'!G$2:G$746,'Base bordo'!C$2:C$746,A1320,'Base bordo'!B$2:B$746,B1320,'Base bordo'!F$2:F$746,"PATIO - RESERVA"),0)+IFERROR(SUMIFS('Base bordo'!G$2:G$746,'Base bordo'!C$2:C$746,A1320,'Base bordo'!B$2:B$746,B1320,'Base bordo'!F$2:F$746,"MANOBRA CARRETAS-PATIO"),0)</f>
        <v>2.931111111111111</v>
      </c>
      <c r="J1320" s="10">
        <f>IFERROR(SUMIFS('Base bordo'!G$2:G$746,'Base bordo'!C$2:C$746,A1320,'Base bordo'!B$2:B$746,B1320,'Base bordo'!F$2:F$746,"BALANÇA - ENTRADA"),0)+IFERROR(SUMIFS('Base bordo'!G$2:G$746,'Base bordo'!C$2:C$746,A1320,'Base bordo'!B$2:B$746,B1320,'Base bordo'!F$2:F$746,"BALANÇA - SAÍDA"),0)</f>
        <v>9.5833333333333326E-2</v>
      </c>
      <c r="K1320" s="10">
        <f>IFERROR(SUMIFS('Base bordo'!G$2:G$746,'Base bordo'!C$2:C$746,A1320,'Base bordo'!B$2:B$746,B1320,'Base bordo'!F$2:F$746,"MAN PREVENTIVA - MECANICA"),0)+IFERROR(SUMIFS('Base bordo'!G$2:G$746,'Base bordo'!C$2:C$746,A1320,'Base bordo'!B$2:B$746,B1320,'Base bordo'!F$2:F$746,"MAN CORRETIVA - MECANICA"),0)</f>
        <v>0</v>
      </c>
      <c r="L1320" s="10">
        <f>IFERROR(SUMIFS('Base bordo'!G$2:G$746,'Base bordo'!C$2:C$746,A1320,'Base bordo'!B$2:B$746,B1320,'Base bordo'!F$2:F$746,"MANUTENCAO - T O"),0)+IFERROR(SUMIFS('Base bordo'!G$2:G$746,'Base bordo'!C$2:C$746,A1320,'Base bordo'!B$2:B$746,B1320,'Base bordo'!F$2:F$746,"MANUTENCAO BORRACHARIA"),0)+IFERROR(SUMIFS('Base bordo'!G$2:G$746,'Base bordo'!C$2:C$746,A1320,'Base bordo'!B$2:B$746,B1320,'Base bordo'!F$2:F$746,"MANUTENCAO EXTERNA  CONCESSIONARIA"),0)+IFERROR(SUMIFS('Base bordo'!G$2:G$746,'Base bordo'!C$2:C$746,A1320,'Base bordo'!B$2:B$746,B1320,'Base bordo'!F$2:F$746,"MANUTENCAO TELEMETRIA"),0)</f>
        <v>0</v>
      </c>
      <c r="M1320" s="10">
        <f>IFERROR(SUMIFS('Base bordo'!G$2:G$746,'Base bordo'!C$2:C$746,A1320,'Base bordo'!B$2:B$746,B1320,'Base bordo'!F$2:F$746,"AGUARDANDO MANUTENCAO"),0)</f>
        <v>0</v>
      </c>
      <c r="N1320" s="10">
        <f>IFERROR(SUMIFS('Base bordo'!G$2:G$746,'Base bordo'!C$2:C$746,A1320,'Base bordo'!B$2:B$746,B1320,'Base bordo'!F$2:F$746,"SEM APONTAMENTO"),0)</f>
        <v>0</v>
      </c>
      <c r="O1320" s="10">
        <f t="shared" si="132"/>
        <v>0</v>
      </c>
      <c r="P1320" s="10">
        <f>IFERROR(SUMIFS('Base bordo'!G$2:G$746,'Base bordo'!C$2:C$746,A1320,'Base bordo'!B$2:B$746,B1320),0)</f>
        <v>10.040555555555555</v>
      </c>
      <c r="Q1320" s="10">
        <f>IFERROR(SUMIFS('Base bordo'!H$2:H$746,'Base bordo'!C$2:C$746,A1320,'Base bordo'!B$2:B$746,B1320,'Base bordo'!F$2:F$746,"DESLOCAMENTO VAZIO"),0)</f>
        <v>230432.85</v>
      </c>
      <c r="R1320" s="10">
        <f>IFERROR(SUMIFS('Base bordo'!I$2:I$746,'Base bordo'!C$2:C$746,A1320,'Base bordo'!B$2:B$746,B1320,'Base bordo'!F$2:F$746,"DESLOCAMENTO VAZIO"),0)</f>
        <v>7451</v>
      </c>
      <c r="S1320" s="30">
        <f t="shared" si="133"/>
        <v>30.926432693598176</v>
      </c>
      <c r="T1320" s="10">
        <f>IFERROR(SUMIFS('Base bordo'!H$2:H$746,'Base bordo'!C$2:C$746,A1320,'Base bordo'!B$2:B$746,B1320,'Base bordo'!F$2:F$746,"DESLOCAMENTO CARREGADO"),0)</f>
        <v>396489.03</v>
      </c>
      <c r="U1320" s="10">
        <f>IFERROR(SUMIFS('Base bordo'!I$2:I$746,'Base bordo'!C$2:C$746,A1320,'Base bordo'!B$2:B$746,B1320,'Base bordo'!F$2:F$746,"DESLOCAMENTO CARREGADO"),0)</f>
        <v>16278</v>
      </c>
      <c r="V1320" s="30">
        <f t="shared" si="134"/>
        <v>24.357355326207152</v>
      </c>
      <c r="W1320" s="9">
        <f t="shared" si="135"/>
        <v>0.2061362253084712</v>
      </c>
      <c r="X1320" s="9">
        <f t="shared" si="136"/>
        <v>0.45034028661539316</v>
      </c>
      <c r="Y1320" s="9">
        <f t="shared" si="137"/>
        <v>0.34352348807613575</v>
      </c>
    </row>
    <row r="1321" spans="1:25" ht="15" customHeight="1" x14ac:dyDescent="0.35">
      <c r="A1321" s="52">
        <v>8013478</v>
      </c>
      <c r="B1321" s="51">
        <v>46124</v>
      </c>
      <c r="C1321" s="7" t="s">
        <v>124</v>
      </c>
      <c r="D1321" s="10">
        <f>IFERROR(SUMIFS('Base bordo'!G$2:G$746,'Base bordo'!C$2:C$746,A1321,'Base bordo'!B$2:B$746,B1321,'Base bordo'!F$2:F$746,"DESLOCAMENTO VAZIO"),0)</f>
        <v>2.069722222222222</v>
      </c>
      <c r="E1321" s="10">
        <f>IFERROR(SUMIFS('Base bordo'!G$2:G$746,'Base bordo'!C$2:C$746,A1321,'Base bordo'!B$2:B$746,B1321,'Base bordo'!F$2:F$746,"DESLOCAMENTO CARREGADO"),0)</f>
        <v>4.5216666666666665</v>
      </c>
      <c r="F1321" s="10">
        <f>IFERROR(SUMIFS('Base bordo'!G$2:G$746,'Base bordo'!C$2:C$746,A1321,'Base bordo'!B$2:B$746,B1321,'Base bordo'!F$2:F$746,"DESLOCAMENTO"),0)</f>
        <v>0</v>
      </c>
      <c r="G1321" s="10">
        <f>IFERROR(SUMIFS('Base bordo'!G$2:G$746,'Base bordo'!C$2:C$746,A1321,'Base bordo'!B$2:B$746,B1321,'Base bordo'!F$2:F$746,"CARREGAMENTO"),0)</f>
        <v>0</v>
      </c>
      <c r="H1321" s="10">
        <f>IFERROR(SUMIFS('Base bordo'!G$2:G$746,'Base bordo'!C$2:C$746,A1321,'Base bordo'!B$2:B$746,B1321,'Base bordo'!F$2:F$746,"AGUARDANDO TRANSBORDO"),0)</f>
        <v>0.42222222222222222</v>
      </c>
      <c r="I1321" s="10">
        <f>IFERROR(SUMIFS('Base bordo'!G$2:G$746,'Base bordo'!C$2:C$746,A1321,'Base bordo'!B$2:B$746,B1321,'Base bordo'!F$2:F$746,"PÁTIO INTERNO"),0)+IFERROR(SUMIFS('Base bordo'!G$2:G$746,'Base bordo'!C$2:C$746,A1321,'Base bordo'!B$2:B$746,B1321,'Base bordo'!F$2:F$746,"PÁTIO EXTERNO"),0)+IFERROR(SUMIFS('Base bordo'!G$2:G$746,'Base bordo'!C$2:C$746,A1321,'Base bordo'!B$2:B$746,B1321,'Base bordo'!F$2:F$746,"PATIO - RESERVA"),0)+IFERROR(SUMIFS('Base bordo'!G$2:G$746,'Base bordo'!C$2:C$746,A1321,'Base bordo'!B$2:B$746,B1321,'Base bordo'!F$2:F$746,"MANOBRA CARRETAS-PATIO"),0)</f>
        <v>2.931111111111111</v>
      </c>
      <c r="J1321" s="10">
        <f>IFERROR(SUMIFS('Base bordo'!G$2:G$746,'Base bordo'!C$2:C$746,A1321,'Base bordo'!B$2:B$746,B1321,'Base bordo'!F$2:F$746,"BALANÇA - ENTRADA"),0)+IFERROR(SUMIFS('Base bordo'!G$2:G$746,'Base bordo'!C$2:C$746,A1321,'Base bordo'!B$2:B$746,B1321,'Base bordo'!F$2:F$746,"BALANÇA - SAÍDA"),0)</f>
        <v>9.5833333333333326E-2</v>
      </c>
      <c r="K1321" s="10">
        <f>IFERROR(SUMIFS('Base bordo'!G$2:G$746,'Base bordo'!C$2:C$746,A1321,'Base bordo'!B$2:B$746,B1321,'Base bordo'!F$2:F$746,"MAN PREVENTIVA - MECANICA"),0)+IFERROR(SUMIFS('Base bordo'!G$2:G$746,'Base bordo'!C$2:C$746,A1321,'Base bordo'!B$2:B$746,B1321,'Base bordo'!F$2:F$746,"MAN CORRETIVA - MECANICA"),0)</f>
        <v>0</v>
      </c>
      <c r="L1321" s="10">
        <f>IFERROR(SUMIFS('Base bordo'!G$2:G$746,'Base bordo'!C$2:C$746,A1321,'Base bordo'!B$2:B$746,B1321,'Base bordo'!F$2:F$746,"MANUTENCAO - T O"),0)+IFERROR(SUMIFS('Base bordo'!G$2:G$746,'Base bordo'!C$2:C$746,A1321,'Base bordo'!B$2:B$746,B1321,'Base bordo'!F$2:F$746,"MANUTENCAO BORRACHARIA"),0)+IFERROR(SUMIFS('Base bordo'!G$2:G$746,'Base bordo'!C$2:C$746,A1321,'Base bordo'!B$2:B$746,B1321,'Base bordo'!F$2:F$746,"MANUTENCAO EXTERNA  CONCESSIONARIA"),0)+IFERROR(SUMIFS('Base bordo'!G$2:G$746,'Base bordo'!C$2:C$746,A1321,'Base bordo'!B$2:B$746,B1321,'Base bordo'!F$2:F$746,"MANUTENCAO TELEMETRIA"),0)</f>
        <v>0</v>
      </c>
      <c r="M1321" s="10">
        <f>IFERROR(SUMIFS('Base bordo'!G$2:G$746,'Base bordo'!C$2:C$746,A1321,'Base bordo'!B$2:B$746,B1321,'Base bordo'!F$2:F$746,"AGUARDANDO MANUTENCAO"),0)</f>
        <v>0</v>
      </c>
      <c r="N1321" s="10">
        <f>IFERROR(SUMIFS('Base bordo'!G$2:G$746,'Base bordo'!C$2:C$746,A1321,'Base bordo'!B$2:B$746,B1321,'Base bordo'!F$2:F$746,"SEM APONTAMENTO"),0)</f>
        <v>0</v>
      </c>
      <c r="O1321" s="10">
        <f t="shared" si="132"/>
        <v>0</v>
      </c>
      <c r="P1321" s="10">
        <f>IFERROR(SUMIFS('Base bordo'!G$2:G$746,'Base bordo'!C$2:C$746,A1321,'Base bordo'!B$2:B$746,B1321),0)</f>
        <v>10.040555555555555</v>
      </c>
      <c r="Q1321" s="10">
        <f>IFERROR(SUMIFS('Base bordo'!H$2:H$746,'Base bordo'!C$2:C$746,A1321,'Base bordo'!B$2:B$746,B1321,'Base bordo'!F$2:F$746,"DESLOCAMENTO VAZIO"),0)</f>
        <v>230432.85</v>
      </c>
      <c r="R1321" s="10">
        <f>IFERROR(SUMIFS('Base bordo'!I$2:I$746,'Base bordo'!C$2:C$746,A1321,'Base bordo'!B$2:B$746,B1321,'Base bordo'!F$2:F$746,"DESLOCAMENTO VAZIO"),0)</f>
        <v>7451</v>
      </c>
      <c r="S1321" s="30">
        <f t="shared" si="133"/>
        <v>30.926432693598176</v>
      </c>
      <c r="T1321" s="10">
        <f>IFERROR(SUMIFS('Base bordo'!H$2:H$746,'Base bordo'!C$2:C$746,A1321,'Base bordo'!B$2:B$746,B1321,'Base bordo'!F$2:F$746,"DESLOCAMENTO CARREGADO"),0)</f>
        <v>396489.03</v>
      </c>
      <c r="U1321" s="10">
        <f>IFERROR(SUMIFS('Base bordo'!I$2:I$746,'Base bordo'!C$2:C$746,A1321,'Base bordo'!B$2:B$746,B1321,'Base bordo'!F$2:F$746,"DESLOCAMENTO CARREGADO"),0)</f>
        <v>16278</v>
      </c>
      <c r="V1321" s="30">
        <f t="shared" si="134"/>
        <v>24.357355326207152</v>
      </c>
      <c r="W1321" s="9">
        <f t="shared" si="135"/>
        <v>0.2061362253084712</v>
      </c>
      <c r="X1321" s="9">
        <f t="shared" si="136"/>
        <v>0.45034028661539316</v>
      </c>
      <c r="Y1321" s="9">
        <f t="shared" si="137"/>
        <v>0.34352348807613575</v>
      </c>
    </row>
    <row r="1322" spans="1:25" ht="15" customHeight="1" x14ac:dyDescent="0.35">
      <c r="A1322" s="52">
        <v>8013478</v>
      </c>
      <c r="B1322" s="51">
        <v>46124</v>
      </c>
      <c r="C1322" s="7" t="s">
        <v>124</v>
      </c>
      <c r="D1322" s="10">
        <f>IFERROR(SUMIFS('Base bordo'!G$2:G$746,'Base bordo'!C$2:C$746,A1322,'Base bordo'!B$2:B$746,B1322,'Base bordo'!F$2:F$746,"DESLOCAMENTO VAZIO"),0)</f>
        <v>2.069722222222222</v>
      </c>
      <c r="E1322" s="10">
        <f>IFERROR(SUMIFS('Base bordo'!G$2:G$746,'Base bordo'!C$2:C$746,A1322,'Base bordo'!B$2:B$746,B1322,'Base bordo'!F$2:F$746,"DESLOCAMENTO CARREGADO"),0)</f>
        <v>4.5216666666666665</v>
      </c>
      <c r="F1322" s="10">
        <f>IFERROR(SUMIFS('Base bordo'!G$2:G$746,'Base bordo'!C$2:C$746,A1322,'Base bordo'!B$2:B$746,B1322,'Base bordo'!F$2:F$746,"DESLOCAMENTO"),0)</f>
        <v>0</v>
      </c>
      <c r="G1322" s="10">
        <f>IFERROR(SUMIFS('Base bordo'!G$2:G$746,'Base bordo'!C$2:C$746,A1322,'Base bordo'!B$2:B$746,B1322,'Base bordo'!F$2:F$746,"CARREGAMENTO"),0)</f>
        <v>0</v>
      </c>
      <c r="H1322" s="10">
        <f>IFERROR(SUMIFS('Base bordo'!G$2:G$746,'Base bordo'!C$2:C$746,A1322,'Base bordo'!B$2:B$746,B1322,'Base bordo'!F$2:F$746,"AGUARDANDO TRANSBORDO"),0)</f>
        <v>0.42222222222222222</v>
      </c>
      <c r="I1322" s="10">
        <f>IFERROR(SUMIFS('Base bordo'!G$2:G$746,'Base bordo'!C$2:C$746,A1322,'Base bordo'!B$2:B$746,B1322,'Base bordo'!F$2:F$746,"PÁTIO INTERNO"),0)+IFERROR(SUMIFS('Base bordo'!G$2:G$746,'Base bordo'!C$2:C$746,A1322,'Base bordo'!B$2:B$746,B1322,'Base bordo'!F$2:F$746,"PÁTIO EXTERNO"),0)+IFERROR(SUMIFS('Base bordo'!G$2:G$746,'Base bordo'!C$2:C$746,A1322,'Base bordo'!B$2:B$746,B1322,'Base bordo'!F$2:F$746,"PATIO - RESERVA"),0)+IFERROR(SUMIFS('Base bordo'!G$2:G$746,'Base bordo'!C$2:C$746,A1322,'Base bordo'!B$2:B$746,B1322,'Base bordo'!F$2:F$746,"MANOBRA CARRETAS-PATIO"),0)</f>
        <v>2.931111111111111</v>
      </c>
      <c r="J1322" s="10">
        <f>IFERROR(SUMIFS('Base bordo'!G$2:G$746,'Base bordo'!C$2:C$746,A1322,'Base bordo'!B$2:B$746,B1322,'Base bordo'!F$2:F$746,"BALANÇA - ENTRADA"),0)+IFERROR(SUMIFS('Base bordo'!G$2:G$746,'Base bordo'!C$2:C$746,A1322,'Base bordo'!B$2:B$746,B1322,'Base bordo'!F$2:F$746,"BALANÇA - SAÍDA"),0)</f>
        <v>9.5833333333333326E-2</v>
      </c>
      <c r="K1322" s="10">
        <f>IFERROR(SUMIFS('Base bordo'!G$2:G$746,'Base bordo'!C$2:C$746,A1322,'Base bordo'!B$2:B$746,B1322,'Base bordo'!F$2:F$746,"MAN PREVENTIVA - MECANICA"),0)+IFERROR(SUMIFS('Base bordo'!G$2:G$746,'Base bordo'!C$2:C$746,A1322,'Base bordo'!B$2:B$746,B1322,'Base bordo'!F$2:F$746,"MAN CORRETIVA - MECANICA"),0)</f>
        <v>0</v>
      </c>
      <c r="L1322" s="10">
        <f>IFERROR(SUMIFS('Base bordo'!G$2:G$746,'Base bordo'!C$2:C$746,A1322,'Base bordo'!B$2:B$746,B1322,'Base bordo'!F$2:F$746,"MANUTENCAO - T O"),0)+IFERROR(SUMIFS('Base bordo'!G$2:G$746,'Base bordo'!C$2:C$746,A1322,'Base bordo'!B$2:B$746,B1322,'Base bordo'!F$2:F$746,"MANUTENCAO BORRACHARIA"),0)+IFERROR(SUMIFS('Base bordo'!G$2:G$746,'Base bordo'!C$2:C$746,A1322,'Base bordo'!B$2:B$746,B1322,'Base bordo'!F$2:F$746,"MANUTENCAO EXTERNA  CONCESSIONARIA"),0)+IFERROR(SUMIFS('Base bordo'!G$2:G$746,'Base bordo'!C$2:C$746,A1322,'Base bordo'!B$2:B$746,B1322,'Base bordo'!F$2:F$746,"MANUTENCAO TELEMETRIA"),0)</f>
        <v>0</v>
      </c>
      <c r="M1322" s="10">
        <f>IFERROR(SUMIFS('Base bordo'!G$2:G$746,'Base bordo'!C$2:C$746,A1322,'Base bordo'!B$2:B$746,B1322,'Base bordo'!F$2:F$746,"AGUARDANDO MANUTENCAO"),0)</f>
        <v>0</v>
      </c>
      <c r="N1322" s="10">
        <f>IFERROR(SUMIFS('Base bordo'!G$2:G$746,'Base bordo'!C$2:C$746,A1322,'Base bordo'!B$2:B$746,B1322,'Base bordo'!F$2:F$746,"SEM APONTAMENTO"),0)</f>
        <v>0</v>
      </c>
      <c r="O1322" s="10">
        <f t="shared" si="132"/>
        <v>0</v>
      </c>
      <c r="P1322" s="10">
        <f>IFERROR(SUMIFS('Base bordo'!G$2:G$746,'Base bordo'!C$2:C$746,A1322,'Base bordo'!B$2:B$746,B1322),0)</f>
        <v>10.040555555555555</v>
      </c>
      <c r="Q1322" s="10">
        <f>IFERROR(SUMIFS('Base bordo'!H$2:H$746,'Base bordo'!C$2:C$746,A1322,'Base bordo'!B$2:B$746,B1322,'Base bordo'!F$2:F$746,"DESLOCAMENTO VAZIO"),0)</f>
        <v>230432.85</v>
      </c>
      <c r="R1322" s="10">
        <f>IFERROR(SUMIFS('Base bordo'!I$2:I$746,'Base bordo'!C$2:C$746,A1322,'Base bordo'!B$2:B$746,B1322,'Base bordo'!F$2:F$746,"DESLOCAMENTO VAZIO"),0)</f>
        <v>7451</v>
      </c>
      <c r="S1322" s="30">
        <f t="shared" si="133"/>
        <v>30.926432693598176</v>
      </c>
      <c r="T1322" s="10">
        <f>IFERROR(SUMIFS('Base bordo'!H$2:H$746,'Base bordo'!C$2:C$746,A1322,'Base bordo'!B$2:B$746,B1322,'Base bordo'!F$2:F$746,"DESLOCAMENTO CARREGADO"),0)</f>
        <v>396489.03</v>
      </c>
      <c r="U1322" s="10">
        <f>IFERROR(SUMIFS('Base bordo'!I$2:I$746,'Base bordo'!C$2:C$746,A1322,'Base bordo'!B$2:B$746,B1322,'Base bordo'!F$2:F$746,"DESLOCAMENTO CARREGADO"),0)</f>
        <v>16278</v>
      </c>
      <c r="V1322" s="30">
        <f t="shared" si="134"/>
        <v>24.357355326207152</v>
      </c>
      <c r="W1322" s="9">
        <f t="shared" si="135"/>
        <v>0.2061362253084712</v>
      </c>
      <c r="X1322" s="9">
        <f t="shared" si="136"/>
        <v>0.45034028661539316</v>
      </c>
      <c r="Y1322" s="9">
        <f t="shared" si="137"/>
        <v>0.34352348807613575</v>
      </c>
    </row>
    <row r="1323" spans="1:25" ht="15" customHeight="1" x14ac:dyDescent="0.35">
      <c r="A1323" s="52">
        <v>8013481</v>
      </c>
      <c r="B1323" s="51">
        <v>46124</v>
      </c>
      <c r="C1323" s="7" t="s">
        <v>124</v>
      </c>
      <c r="D1323" s="10">
        <f>IFERROR(SUMIFS('Base bordo'!G$2:G$746,'Base bordo'!C$2:C$746,A1323,'Base bordo'!B$2:B$746,B1323,'Base bordo'!F$2:F$746,"DESLOCAMENTO VAZIO"),0)</f>
        <v>1.6861111111111111</v>
      </c>
      <c r="E1323" s="10">
        <f>IFERROR(SUMIFS('Base bordo'!G$2:G$746,'Base bordo'!C$2:C$746,A1323,'Base bordo'!B$2:B$746,B1323,'Base bordo'!F$2:F$746,"DESLOCAMENTO CARREGADO"),0)</f>
        <v>2.4669444444444446</v>
      </c>
      <c r="F1323" s="10">
        <f>IFERROR(SUMIFS('Base bordo'!G$2:G$746,'Base bordo'!C$2:C$746,A1323,'Base bordo'!B$2:B$746,B1323,'Base bordo'!F$2:F$746,"DESLOCAMENTO"),0)</f>
        <v>0</v>
      </c>
      <c r="G1323" s="10">
        <f>IFERROR(SUMIFS('Base bordo'!G$2:G$746,'Base bordo'!C$2:C$746,A1323,'Base bordo'!B$2:B$746,B1323,'Base bordo'!F$2:F$746,"CARREGAMENTO"),0)</f>
        <v>0</v>
      </c>
      <c r="H1323" s="10">
        <f>IFERROR(SUMIFS('Base bordo'!G$2:G$746,'Base bordo'!C$2:C$746,A1323,'Base bordo'!B$2:B$746,B1323,'Base bordo'!F$2:F$746,"AGUARDANDO TRANSBORDO"),0)</f>
        <v>0</v>
      </c>
      <c r="I1323" s="10">
        <f>IFERROR(SUMIFS('Base bordo'!G$2:G$746,'Base bordo'!C$2:C$746,A1323,'Base bordo'!B$2:B$746,B1323,'Base bordo'!F$2:F$746,"PÁTIO INTERNO"),0)+IFERROR(SUMIFS('Base bordo'!G$2:G$746,'Base bordo'!C$2:C$746,A1323,'Base bordo'!B$2:B$746,B1323,'Base bordo'!F$2:F$746,"PÁTIO EXTERNO"),0)+IFERROR(SUMIFS('Base bordo'!G$2:G$746,'Base bordo'!C$2:C$746,A1323,'Base bordo'!B$2:B$746,B1323,'Base bordo'!F$2:F$746,"PATIO - RESERVA"),0)+IFERROR(SUMIFS('Base bordo'!G$2:G$746,'Base bordo'!C$2:C$746,A1323,'Base bordo'!B$2:B$746,B1323,'Base bordo'!F$2:F$746,"MANOBRA CARRETAS-PATIO"),0)</f>
        <v>14.274166666666666</v>
      </c>
      <c r="J1323" s="10">
        <f>IFERROR(SUMIFS('Base bordo'!G$2:G$746,'Base bordo'!C$2:C$746,A1323,'Base bordo'!B$2:B$746,B1323,'Base bordo'!F$2:F$746,"BALANÇA - ENTRADA"),0)+IFERROR(SUMIFS('Base bordo'!G$2:G$746,'Base bordo'!C$2:C$746,A1323,'Base bordo'!B$2:B$746,B1323,'Base bordo'!F$2:F$746,"BALANÇA - SAÍDA"),0)</f>
        <v>7.4166666666666659E-2</v>
      </c>
      <c r="K1323" s="10">
        <f>IFERROR(SUMIFS('Base bordo'!G$2:G$746,'Base bordo'!C$2:C$746,A1323,'Base bordo'!B$2:B$746,B1323,'Base bordo'!F$2:F$746,"MAN PREVENTIVA - MECANICA"),0)+IFERROR(SUMIFS('Base bordo'!G$2:G$746,'Base bordo'!C$2:C$746,A1323,'Base bordo'!B$2:B$746,B1323,'Base bordo'!F$2:F$746,"MAN CORRETIVA - MECANICA"),0)</f>
        <v>0</v>
      </c>
      <c r="L1323" s="10">
        <f>IFERROR(SUMIFS('Base bordo'!G$2:G$746,'Base bordo'!C$2:C$746,A1323,'Base bordo'!B$2:B$746,B1323,'Base bordo'!F$2:F$746,"MANUTENCAO - T O"),0)+IFERROR(SUMIFS('Base bordo'!G$2:G$746,'Base bordo'!C$2:C$746,A1323,'Base bordo'!B$2:B$746,B1323,'Base bordo'!F$2:F$746,"MANUTENCAO BORRACHARIA"),0)+IFERROR(SUMIFS('Base bordo'!G$2:G$746,'Base bordo'!C$2:C$746,A1323,'Base bordo'!B$2:B$746,B1323,'Base bordo'!F$2:F$746,"MANUTENCAO EXTERNA  CONCESSIONARIA"),0)+IFERROR(SUMIFS('Base bordo'!G$2:G$746,'Base bordo'!C$2:C$746,A1323,'Base bordo'!B$2:B$746,B1323,'Base bordo'!F$2:F$746,"MANUTENCAO TELEMETRIA"),0)</f>
        <v>0</v>
      </c>
      <c r="M1323" s="10">
        <f>IFERROR(SUMIFS('Base bordo'!G$2:G$746,'Base bordo'!C$2:C$746,A1323,'Base bordo'!B$2:B$746,B1323,'Base bordo'!F$2:F$746,"AGUARDANDO MANUTENCAO"),0)</f>
        <v>0</v>
      </c>
      <c r="N1323" s="10">
        <f>IFERROR(SUMIFS('Base bordo'!G$2:G$746,'Base bordo'!C$2:C$746,A1323,'Base bordo'!B$2:B$746,B1323,'Base bordo'!F$2:F$746,"SEM APONTAMENTO"),0)</f>
        <v>0</v>
      </c>
      <c r="O1323" s="10">
        <f t="shared" si="132"/>
        <v>0</v>
      </c>
      <c r="P1323" s="10">
        <f>IFERROR(SUMIFS('Base bordo'!G$2:G$746,'Base bordo'!C$2:C$746,A1323,'Base bordo'!B$2:B$746,B1323),0)</f>
        <v>18.501388888888886</v>
      </c>
      <c r="Q1323" s="10">
        <f>IFERROR(SUMIFS('Base bordo'!H$2:H$746,'Base bordo'!C$2:C$746,A1323,'Base bordo'!B$2:B$746,B1323,'Base bordo'!F$2:F$746,"DESLOCAMENTO VAZIO"),0)</f>
        <v>216936.43</v>
      </c>
      <c r="R1323" s="10">
        <f>IFERROR(SUMIFS('Base bordo'!I$2:I$746,'Base bordo'!C$2:C$746,A1323,'Base bordo'!B$2:B$746,B1323,'Base bordo'!F$2:F$746,"DESLOCAMENTO VAZIO"),0)</f>
        <v>6070</v>
      </c>
      <c r="S1323" s="30">
        <f t="shared" si="133"/>
        <v>35.739115321252058</v>
      </c>
      <c r="T1323" s="10">
        <f>IFERROR(SUMIFS('Base bordo'!H$2:H$746,'Base bordo'!C$2:C$746,A1323,'Base bordo'!B$2:B$746,B1323,'Base bordo'!F$2:F$746,"DESLOCAMENTO CARREGADO"),0)</f>
        <v>221432.38999999998</v>
      </c>
      <c r="U1323" s="10">
        <f>IFERROR(SUMIFS('Base bordo'!I$2:I$746,'Base bordo'!C$2:C$746,A1323,'Base bordo'!B$2:B$746,B1323,'Base bordo'!F$2:F$746,"DESLOCAMENTO CARREGADO"),0)</f>
        <v>8881</v>
      </c>
      <c r="V1323" s="30">
        <f t="shared" si="134"/>
        <v>24.933272154036707</v>
      </c>
      <c r="W1323" s="9">
        <f t="shared" si="135"/>
        <v>9.1134299226784787E-2</v>
      </c>
      <c r="X1323" s="9">
        <f t="shared" si="136"/>
        <v>0.13333833796261543</v>
      </c>
      <c r="Y1323" s="9">
        <f t="shared" si="137"/>
        <v>0.77552736281059975</v>
      </c>
    </row>
    <row r="1324" spans="1:25" ht="15" customHeight="1" x14ac:dyDescent="0.35">
      <c r="A1324" s="52">
        <v>8013481</v>
      </c>
      <c r="B1324" s="51">
        <v>46124</v>
      </c>
      <c r="C1324" s="7" t="s">
        <v>124</v>
      </c>
      <c r="D1324" s="10">
        <f>IFERROR(SUMIFS('Base bordo'!G$2:G$746,'Base bordo'!C$2:C$746,A1324,'Base bordo'!B$2:B$746,B1324,'Base bordo'!F$2:F$746,"DESLOCAMENTO VAZIO"),0)</f>
        <v>1.6861111111111111</v>
      </c>
      <c r="E1324" s="10">
        <f>IFERROR(SUMIFS('Base bordo'!G$2:G$746,'Base bordo'!C$2:C$746,A1324,'Base bordo'!B$2:B$746,B1324,'Base bordo'!F$2:F$746,"DESLOCAMENTO CARREGADO"),0)</f>
        <v>2.4669444444444446</v>
      </c>
      <c r="F1324" s="10">
        <f>IFERROR(SUMIFS('Base bordo'!G$2:G$746,'Base bordo'!C$2:C$746,A1324,'Base bordo'!B$2:B$746,B1324,'Base bordo'!F$2:F$746,"DESLOCAMENTO"),0)</f>
        <v>0</v>
      </c>
      <c r="G1324" s="10">
        <f>IFERROR(SUMIFS('Base bordo'!G$2:G$746,'Base bordo'!C$2:C$746,A1324,'Base bordo'!B$2:B$746,B1324,'Base bordo'!F$2:F$746,"CARREGAMENTO"),0)</f>
        <v>0</v>
      </c>
      <c r="H1324" s="10">
        <f>IFERROR(SUMIFS('Base bordo'!G$2:G$746,'Base bordo'!C$2:C$746,A1324,'Base bordo'!B$2:B$746,B1324,'Base bordo'!F$2:F$746,"AGUARDANDO TRANSBORDO"),0)</f>
        <v>0</v>
      </c>
      <c r="I1324" s="10">
        <f>IFERROR(SUMIFS('Base bordo'!G$2:G$746,'Base bordo'!C$2:C$746,A1324,'Base bordo'!B$2:B$746,B1324,'Base bordo'!F$2:F$746,"PÁTIO INTERNO"),0)+IFERROR(SUMIFS('Base bordo'!G$2:G$746,'Base bordo'!C$2:C$746,A1324,'Base bordo'!B$2:B$746,B1324,'Base bordo'!F$2:F$746,"PÁTIO EXTERNO"),0)+IFERROR(SUMIFS('Base bordo'!G$2:G$746,'Base bordo'!C$2:C$746,A1324,'Base bordo'!B$2:B$746,B1324,'Base bordo'!F$2:F$746,"PATIO - RESERVA"),0)+IFERROR(SUMIFS('Base bordo'!G$2:G$746,'Base bordo'!C$2:C$746,A1324,'Base bordo'!B$2:B$746,B1324,'Base bordo'!F$2:F$746,"MANOBRA CARRETAS-PATIO"),0)</f>
        <v>14.274166666666666</v>
      </c>
      <c r="J1324" s="10">
        <f>IFERROR(SUMIFS('Base bordo'!G$2:G$746,'Base bordo'!C$2:C$746,A1324,'Base bordo'!B$2:B$746,B1324,'Base bordo'!F$2:F$746,"BALANÇA - ENTRADA"),0)+IFERROR(SUMIFS('Base bordo'!G$2:G$746,'Base bordo'!C$2:C$746,A1324,'Base bordo'!B$2:B$746,B1324,'Base bordo'!F$2:F$746,"BALANÇA - SAÍDA"),0)</f>
        <v>7.4166666666666659E-2</v>
      </c>
      <c r="K1324" s="10">
        <f>IFERROR(SUMIFS('Base bordo'!G$2:G$746,'Base bordo'!C$2:C$746,A1324,'Base bordo'!B$2:B$746,B1324,'Base bordo'!F$2:F$746,"MAN PREVENTIVA - MECANICA"),0)+IFERROR(SUMIFS('Base bordo'!G$2:G$746,'Base bordo'!C$2:C$746,A1324,'Base bordo'!B$2:B$746,B1324,'Base bordo'!F$2:F$746,"MAN CORRETIVA - MECANICA"),0)</f>
        <v>0</v>
      </c>
      <c r="L1324" s="10">
        <f>IFERROR(SUMIFS('Base bordo'!G$2:G$746,'Base bordo'!C$2:C$746,A1324,'Base bordo'!B$2:B$746,B1324,'Base bordo'!F$2:F$746,"MANUTENCAO - T O"),0)+IFERROR(SUMIFS('Base bordo'!G$2:G$746,'Base bordo'!C$2:C$746,A1324,'Base bordo'!B$2:B$746,B1324,'Base bordo'!F$2:F$746,"MANUTENCAO BORRACHARIA"),0)+IFERROR(SUMIFS('Base bordo'!G$2:G$746,'Base bordo'!C$2:C$746,A1324,'Base bordo'!B$2:B$746,B1324,'Base bordo'!F$2:F$746,"MANUTENCAO EXTERNA  CONCESSIONARIA"),0)+IFERROR(SUMIFS('Base bordo'!G$2:G$746,'Base bordo'!C$2:C$746,A1324,'Base bordo'!B$2:B$746,B1324,'Base bordo'!F$2:F$746,"MANUTENCAO TELEMETRIA"),0)</f>
        <v>0</v>
      </c>
      <c r="M1324" s="10">
        <f>IFERROR(SUMIFS('Base bordo'!G$2:G$746,'Base bordo'!C$2:C$746,A1324,'Base bordo'!B$2:B$746,B1324,'Base bordo'!F$2:F$746,"AGUARDANDO MANUTENCAO"),0)</f>
        <v>0</v>
      </c>
      <c r="N1324" s="10">
        <f>IFERROR(SUMIFS('Base bordo'!G$2:G$746,'Base bordo'!C$2:C$746,A1324,'Base bordo'!B$2:B$746,B1324,'Base bordo'!F$2:F$746,"SEM APONTAMENTO"),0)</f>
        <v>0</v>
      </c>
      <c r="O1324" s="10">
        <f t="shared" si="132"/>
        <v>0</v>
      </c>
      <c r="P1324" s="10">
        <f>IFERROR(SUMIFS('Base bordo'!G$2:G$746,'Base bordo'!C$2:C$746,A1324,'Base bordo'!B$2:B$746,B1324),0)</f>
        <v>18.501388888888886</v>
      </c>
      <c r="Q1324" s="10">
        <f>IFERROR(SUMIFS('Base bordo'!H$2:H$746,'Base bordo'!C$2:C$746,A1324,'Base bordo'!B$2:B$746,B1324,'Base bordo'!F$2:F$746,"DESLOCAMENTO VAZIO"),0)</f>
        <v>216936.43</v>
      </c>
      <c r="R1324" s="10">
        <f>IFERROR(SUMIFS('Base bordo'!I$2:I$746,'Base bordo'!C$2:C$746,A1324,'Base bordo'!B$2:B$746,B1324,'Base bordo'!F$2:F$746,"DESLOCAMENTO VAZIO"),0)</f>
        <v>6070</v>
      </c>
      <c r="S1324" s="30">
        <f t="shared" si="133"/>
        <v>35.739115321252058</v>
      </c>
      <c r="T1324" s="10">
        <f>IFERROR(SUMIFS('Base bordo'!H$2:H$746,'Base bordo'!C$2:C$746,A1324,'Base bordo'!B$2:B$746,B1324,'Base bordo'!F$2:F$746,"DESLOCAMENTO CARREGADO"),0)</f>
        <v>221432.38999999998</v>
      </c>
      <c r="U1324" s="10">
        <f>IFERROR(SUMIFS('Base bordo'!I$2:I$746,'Base bordo'!C$2:C$746,A1324,'Base bordo'!B$2:B$746,B1324,'Base bordo'!F$2:F$746,"DESLOCAMENTO CARREGADO"),0)</f>
        <v>8881</v>
      </c>
      <c r="V1324" s="30">
        <f t="shared" si="134"/>
        <v>24.933272154036707</v>
      </c>
      <c r="W1324" s="9">
        <f t="shared" si="135"/>
        <v>9.1134299226784787E-2</v>
      </c>
      <c r="X1324" s="9">
        <f t="shared" si="136"/>
        <v>0.13333833796261543</v>
      </c>
      <c r="Y1324" s="9">
        <f t="shared" si="137"/>
        <v>0.77552736281059975</v>
      </c>
    </row>
    <row r="1325" spans="1:25" ht="15" customHeight="1" x14ac:dyDescent="0.35">
      <c r="A1325" s="52">
        <v>8013481</v>
      </c>
      <c r="B1325" s="51">
        <v>46124</v>
      </c>
      <c r="C1325" s="7" t="s">
        <v>124</v>
      </c>
      <c r="D1325" s="10">
        <f>IFERROR(SUMIFS('Base bordo'!G$2:G$746,'Base bordo'!C$2:C$746,A1325,'Base bordo'!B$2:B$746,B1325,'Base bordo'!F$2:F$746,"DESLOCAMENTO VAZIO"),0)</f>
        <v>1.6861111111111111</v>
      </c>
      <c r="E1325" s="10">
        <f>IFERROR(SUMIFS('Base bordo'!G$2:G$746,'Base bordo'!C$2:C$746,A1325,'Base bordo'!B$2:B$746,B1325,'Base bordo'!F$2:F$746,"DESLOCAMENTO CARREGADO"),0)</f>
        <v>2.4669444444444446</v>
      </c>
      <c r="F1325" s="10">
        <f>IFERROR(SUMIFS('Base bordo'!G$2:G$746,'Base bordo'!C$2:C$746,A1325,'Base bordo'!B$2:B$746,B1325,'Base bordo'!F$2:F$746,"DESLOCAMENTO"),0)</f>
        <v>0</v>
      </c>
      <c r="G1325" s="10">
        <f>IFERROR(SUMIFS('Base bordo'!G$2:G$746,'Base bordo'!C$2:C$746,A1325,'Base bordo'!B$2:B$746,B1325,'Base bordo'!F$2:F$746,"CARREGAMENTO"),0)</f>
        <v>0</v>
      </c>
      <c r="H1325" s="10">
        <f>IFERROR(SUMIFS('Base bordo'!G$2:G$746,'Base bordo'!C$2:C$746,A1325,'Base bordo'!B$2:B$746,B1325,'Base bordo'!F$2:F$746,"AGUARDANDO TRANSBORDO"),0)</f>
        <v>0</v>
      </c>
      <c r="I1325" s="10">
        <f>IFERROR(SUMIFS('Base bordo'!G$2:G$746,'Base bordo'!C$2:C$746,A1325,'Base bordo'!B$2:B$746,B1325,'Base bordo'!F$2:F$746,"PÁTIO INTERNO"),0)+IFERROR(SUMIFS('Base bordo'!G$2:G$746,'Base bordo'!C$2:C$746,A1325,'Base bordo'!B$2:B$746,B1325,'Base bordo'!F$2:F$746,"PÁTIO EXTERNO"),0)+IFERROR(SUMIFS('Base bordo'!G$2:G$746,'Base bordo'!C$2:C$746,A1325,'Base bordo'!B$2:B$746,B1325,'Base bordo'!F$2:F$746,"PATIO - RESERVA"),0)+IFERROR(SUMIFS('Base bordo'!G$2:G$746,'Base bordo'!C$2:C$746,A1325,'Base bordo'!B$2:B$746,B1325,'Base bordo'!F$2:F$746,"MANOBRA CARRETAS-PATIO"),0)</f>
        <v>14.274166666666666</v>
      </c>
      <c r="J1325" s="10">
        <f>IFERROR(SUMIFS('Base bordo'!G$2:G$746,'Base bordo'!C$2:C$746,A1325,'Base bordo'!B$2:B$746,B1325,'Base bordo'!F$2:F$746,"BALANÇA - ENTRADA"),0)+IFERROR(SUMIFS('Base bordo'!G$2:G$746,'Base bordo'!C$2:C$746,A1325,'Base bordo'!B$2:B$746,B1325,'Base bordo'!F$2:F$746,"BALANÇA - SAÍDA"),0)</f>
        <v>7.4166666666666659E-2</v>
      </c>
      <c r="K1325" s="10">
        <f>IFERROR(SUMIFS('Base bordo'!G$2:G$746,'Base bordo'!C$2:C$746,A1325,'Base bordo'!B$2:B$746,B1325,'Base bordo'!F$2:F$746,"MAN PREVENTIVA - MECANICA"),0)+IFERROR(SUMIFS('Base bordo'!G$2:G$746,'Base bordo'!C$2:C$746,A1325,'Base bordo'!B$2:B$746,B1325,'Base bordo'!F$2:F$746,"MAN CORRETIVA - MECANICA"),0)</f>
        <v>0</v>
      </c>
      <c r="L1325" s="10">
        <f>IFERROR(SUMIFS('Base bordo'!G$2:G$746,'Base bordo'!C$2:C$746,A1325,'Base bordo'!B$2:B$746,B1325,'Base bordo'!F$2:F$746,"MANUTENCAO - T O"),0)+IFERROR(SUMIFS('Base bordo'!G$2:G$746,'Base bordo'!C$2:C$746,A1325,'Base bordo'!B$2:B$746,B1325,'Base bordo'!F$2:F$746,"MANUTENCAO BORRACHARIA"),0)+IFERROR(SUMIFS('Base bordo'!G$2:G$746,'Base bordo'!C$2:C$746,A1325,'Base bordo'!B$2:B$746,B1325,'Base bordo'!F$2:F$746,"MANUTENCAO EXTERNA  CONCESSIONARIA"),0)+IFERROR(SUMIFS('Base bordo'!G$2:G$746,'Base bordo'!C$2:C$746,A1325,'Base bordo'!B$2:B$746,B1325,'Base bordo'!F$2:F$746,"MANUTENCAO TELEMETRIA"),0)</f>
        <v>0</v>
      </c>
      <c r="M1325" s="10">
        <f>IFERROR(SUMIFS('Base bordo'!G$2:G$746,'Base bordo'!C$2:C$746,A1325,'Base bordo'!B$2:B$746,B1325,'Base bordo'!F$2:F$746,"AGUARDANDO MANUTENCAO"),0)</f>
        <v>0</v>
      </c>
      <c r="N1325" s="10">
        <f>IFERROR(SUMIFS('Base bordo'!G$2:G$746,'Base bordo'!C$2:C$746,A1325,'Base bordo'!B$2:B$746,B1325,'Base bordo'!F$2:F$746,"SEM APONTAMENTO"),0)</f>
        <v>0</v>
      </c>
      <c r="O1325" s="10">
        <f t="shared" si="132"/>
        <v>0</v>
      </c>
      <c r="P1325" s="10">
        <f>IFERROR(SUMIFS('Base bordo'!G$2:G$746,'Base bordo'!C$2:C$746,A1325,'Base bordo'!B$2:B$746,B1325),0)</f>
        <v>18.501388888888886</v>
      </c>
      <c r="Q1325" s="10">
        <f>IFERROR(SUMIFS('Base bordo'!H$2:H$746,'Base bordo'!C$2:C$746,A1325,'Base bordo'!B$2:B$746,B1325,'Base bordo'!F$2:F$746,"DESLOCAMENTO VAZIO"),0)</f>
        <v>216936.43</v>
      </c>
      <c r="R1325" s="10">
        <f>IFERROR(SUMIFS('Base bordo'!I$2:I$746,'Base bordo'!C$2:C$746,A1325,'Base bordo'!B$2:B$746,B1325,'Base bordo'!F$2:F$746,"DESLOCAMENTO VAZIO"),0)</f>
        <v>6070</v>
      </c>
      <c r="S1325" s="30">
        <f t="shared" si="133"/>
        <v>35.739115321252058</v>
      </c>
      <c r="T1325" s="10">
        <f>IFERROR(SUMIFS('Base bordo'!H$2:H$746,'Base bordo'!C$2:C$746,A1325,'Base bordo'!B$2:B$746,B1325,'Base bordo'!F$2:F$746,"DESLOCAMENTO CARREGADO"),0)</f>
        <v>221432.38999999998</v>
      </c>
      <c r="U1325" s="10">
        <f>IFERROR(SUMIFS('Base bordo'!I$2:I$746,'Base bordo'!C$2:C$746,A1325,'Base bordo'!B$2:B$746,B1325,'Base bordo'!F$2:F$746,"DESLOCAMENTO CARREGADO"),0)</f>
        <v>8881</v>
      </c>
      <c r="V1325" s="30">
        <f t="shared" si="134"/>
        <v>24.933272154036707</v>
      </c>
      <c r="W1325" s="9">
        <f t="shared" si="135"/>
        <v>9.1134299226784787E-2</v>
      </c>
      <c r="X1325" s="9">
        <f t="shared" si="136"/>
        <v>0.13333833796261543</v>
      </c>
      <c r="Y1325" s="9">
        <f t="shared" si="137"/>
        <v>0.77552736281059975</v>
      </c>
    </row>
    <row r="1326" spans="1:25" ht="15" customHeight="1" x14ac:dyDescent="0.35">
      <c r="A1326" s="52">
        <v>8013481</v>
      </c>
      <c r="B1326" s="51">
        <v>46124</v>
      </c>
      <c r="C1326" s="7" t="s">
        <v>124</v>
      </c>
      <c r="D1326" s="10">
        <f>IFERROR(SUMIFS('Base bordo'!G$2:G$746,'Base bordo'!C$2:C$746,A1326,'Base bordo'!B$2:B$746,B1326,'Base bordo'!F$2:F$746,"DESLOCAMENTO VAZIO"),0)</f>
        <v>1.6861111111111111</v>
      </c>
      <c r="E1326" s="10">
        <f>IFERROR(SUMIFS('Base bordo'!G$2:G$746,'Base bordo'!C$2:C$746,A1326,'Base bordo'!B$2:B$746,B1326,'Base bordo'!F$2:F$746,"DESLOCAMENTO CARREGADO"),0)</f>
        <v>2.4669444444444446</v>
      </c>
      <c r="F1326" s="10">
        <f>IFERROR(SUMIFS('Base bordo'!G$2:G$746,'Base bordo'!C$2:C$746,A1326,'Base bordo'!B$2:B$746,B1326,'Base bordo'!F$2:F$746,"DESLOCAMENTO"),0)</f>
        <v>0</v>
      </c>
      <c r="G1326" s="10">
        <f>IFERROR(SUMIFS('Base bordo'!G$2:G$746,'Base bordo'!C$2:C$746,A1326,'Base bordo'!B$2:B$746,B1326,'Base bordo'!F$2:F$746,"CARREGAMENTO"),0)</f>
        <v>0</v>
      </c>
      <c r="H1326" s="10">
        <f>IFERROR(SUMIFS('Base bordo'!G$2:G$746,'Base bordo'!C$2:C$746,A1326,'Base bordo'!B$2:B$746,B1326,'Base bordo'!F$2:F$746,"AGUARDANDO TRANSBORDO"),0)</f>
        <v>0</v>
      </c>
      <c r="I1326" s="10">
        <f>IFERROR(SUMIFS('Base bordo'!G$2:G$746,'Base bordo'!C$2:C$746,A1326,'Base bordo'!B$2:B$746,B1326,'Base bordo'!F$2:F$746,"PÁTIO INTERNO"),0)+IFERROR(SUMIFS('Base bordo'!G$2:G$746,'Base bordo'!C$2:C$746,A1326,'Base bordo'!B$2:B$746,B1326,'Base bordo'!F$2:F$746,"PÁTIO EXTERNO"),0)+IFERROR(SUMIFS('Base bordo'!G$2:G$746,'Base bordo'!C$2:C$746,A1326,'Base bordo'!B$2:B$746,B1326,'Base bordo'!F$2:F$746,"PATIO - RESERVA"),0)+IFERROR(SUMIFS('Base bordo'!G$2:G$746,'Base bordo'!C$2:C$746,A1326,'Base bordo'!B$2:B$746,B1326,'Base bordo'!F$2:F$746,"MANOBRA CARRETAS-PATIO"),0)</f>
        <v>14.274166666666666</v>
      </c>
      <c r="J1326" s="10">
        <f>IFERROR(SUMIFS('Base bordo'!G$2:G$746,'Base bordo'!C$2:C$746,A1326,'Base bordo'!B$2:B$746,B1326,'Base bordo'!F$2:F$746,"BALANÇA - ENTRADA"),0)+IFERROR(SUMIFS('Base bordo'!G$2:G$746,'Base bordo'!C$2:C$746,A1326,'Base bordo'!B$2:B$746,B1326,'Base bordo'!F$2:F$746,"BALANÇA - SAÍDA"),0)</f>
        <v>7.4166666666666659E-2</v>
      </c>
      <c r="K1326" s="10">
        <f>IFERROR(SUMIFS('Base bordo'!G$2:G$746,'Base bordo'!C$2:C$746,A1326,'Base bordo'!B$2:B$746,B1326,'Base bordo'!F$2:F$746,"MAN PREVENTIVA - MECANICA"),0)+IFERROR(SUMIFS('Base bordo'!G$2:G$746,'Base bordo'!C$2:C$746,A1326,'Base bordo'!B$2:B$746,B1326,'Base bordo'!F$2:F$746,"MAN CORRETIVA - MECANICA"),0)</f>
        <v>0</v>
      </c>
      <c r="L1326" s="10">
        <f>IFERROR(SUMIFS('Base bordo'!G$2:G$746,'Base bordo'!C$2:C$746,A1326,'Base bordo'!B$2:B$746,B1326,'Base bordo'!F$2:F$746,"MANUTENCAO - T O"),0)+IFERROR(SUMIFS('Base bordo'!G$2:G$746,'Base bordo'!C$2:C$746,A1326,'Base bordo'!B$2:B$746,B1326,'Base bordo'!F$2:F$746,"MANUTENCAO BORRACHARIA"),0)+IFERROR(SUMIFS('Base bordo'!G$2:G$746,'Base bordo'!C$2:C$746,A1326,'Base bordo'!B$2:B$746,B1326,'Base bordo'!F$2:F$746,"MANUTENCAO EXTERNA  CONCESSIONARIA"),0)+IFERROR(SUMIFS('Base bordo'!G$2:G$746,'Base bordo'!C$2:C$746,A1326,'Base bordo'!B$2:B$746,B1326,'Base bordo'!F$2:F$746,"MANUTENCAO TELEMETRIA"),0)</f>
        <v>0</v>
      </c>
      <c r="M1326" s="10">
        <f>IFERROR(SUMIFS('Base bordo'!G$2:G$746,'Base bordo'!C$2:C$746,A1326,'Base bordo'!B$2:B$746,B1326,'Base bordo'!F$2:F$746,"AGUARDANDO MANUTENCAO"),0)</f>
        <v>0</v>
      </c>
      <c r="N1326" s="10">
        <f>IFERROR(SUMIFS('Base bordo'!G$2:G$746,'Base bordo'!C$2:C$746,A1326,'Base bordo'!B$2:B$746,B1326,'Base bordo'!F$2:F$746,"SEM APONTAMENTO"),0)</f>
        <v>0</v>
      </c>
      <c r="O1326" s="10">
        <f t="shared" si="132"/>
        <v>0</v>
      </c>
      <c r="P1326" s="10">
        <f>IFERROR(SUMIFS('Base bordo'!G$2:G$746,'Base bordo'!C$2:C$746,A1326,'Base bordo'!B$2:B$746,B1326),0)</f>
        <v>18.501388888888886</v>
      </c>
      <c r="Q1326" s="10">
        <f>IFERROR(SUMIFS('Base bordo'!H$2:H$746,'Base bordo'!C$2:C$746,A1326,'Base bordo'!B$2:B$746,B1326,'Base bordo'!F$2:F$746,"DESLOCAMENTO VAZIO"),0)</f>
        <v>216936.43</v>
      </c>
      <c r="R1326" s="10">
        <f>IFERROR(SUMIFS('Base bordo'!I$2:I$746,'Base bordo'!C$2:C$746,A1326,'Base bordo'!B$2:B$746,B1326,'Base bordo'!F$2:F$746,"DESLOCAMENTO VAZIO"),0)</f>
        <v>6070</v>
      </c>
      <c r="S1326" s="30">
        <f t="shared" si="133"/>
        <v>35.739115321252058</v>
      </c>
      <c r="T1326" s="10">
        <f>IFERROR(SUMIFS('Base bordo'!H$2:H$746,'Base bordo'!C$2:C$746,A1326,'Base bordo'!B$2:B$746,B1326,'Base bordo'!F$2:F$746,"DESLOCAMENTO CARREGADO"),0)</f>
        <v>221432.38999999998</v>
      </c>
      <c r="U1326" s="10">
        <f>IFERROR(SUMIFS('Base bordo'!I$2:I$746,'Base bordo'!C$2:C$746,A1326,'Base bordo'!B$2:B$746,B1326,'Base bordo'!F$2:F$746,"DESLOCAMENTO CARREGADO"),0)</f>
        <v>8881</v>
      </c>
      <c r="V1326" s="30">
        <f t="shared" si="134"/>
        <v>24.933272154036707</v>
      </c>
      <c r="W1326" s="9">
        <f t="shared" si="135"/>
        <v>9.1134299226784787E-2</v>
      </c>
      <c r="X1326" s="9">
        <f t="shared" si="136"/>
        <v>0.13333833796261543</v>
      </c>
      <c r="Y1326" s="9">
        <f t="shared" si="137"/>
        <v>0.77552736281059975</v>
      </c>
    </row>
    <row r="1327" spans="1:25" ht="15" customHeight="1" x14ac:dyDescent="0.35">
      <c r="A1327" s="52">
        <v>8013481</v>
      </c>
      <c r="B1327" s="51">
        <v>46124</v>
      </c>
      <c r="C1327" s="7" t="s">
        <v>124</v>
      </c>
      <c r="D1327" s="10">
        <f>IFERROR(SUMIFS('Base bordo'!G$2:G$746,'Base bordo'!C$2:C$746,A1327,'Base bordo'!B$2:B$746,B1327,'Base bordo'!F$2:F$746,"DESLOCAMENTO VAZIO"),0)</f>
        <v>1.6861111111111111</v>
      </c>
      <c r="E1327" s="10">
        <f>IFERROR(SUMIFS('Base bordo'!G$2:G$746,'Base bordo'!C$2:C$746,A1327,'Base bordo'!B$2:B$746,B1327,'Base bordo'!F$2:F$746,"DESLOCAMENTO CARREGADO"),0)</f>
        <v>2.4669444444444446</v>
      </c>
      <c r="F1327" s="10">
        <f>IFERROR(SUMIFS('Base bordo'!G$2:G$746,'Base bordo'!C$2:C$746,A1327,'Base bordo'!B$2:B$746,B1327,'Base bordo'!F$2:F$746,"DESLOCAMENTO"),0)</f>
        <v>0</v>
      </c>
      <c r="G1327" s="10">
        <f>IFERROR(SUMIFS('Base bordo'!G$2:G$746,'Base bordo'!C$2:C$746,A1327,'Base bordo'!B$2:B$746,B1327,'Base bordo'!F$2:F$746,"CARREGAMENTO"),0)</f>
        <v>0</v>
      </c>
      <c r="H1327" s="10">
        <f>IFERROR(SUMIFS('Base bordo'!G$2:G$746,'Base bordo'!C$2:C$746,A1327,'Base bordo'!B$2:B$746,B1327,'Base bordo'!F$2:F$746,"AGUARDANDO TRANSBORDO"),0)</f>
        <v>0</v>
      </c>
      <c r="I1327" s="10">
        <f>IFERROR(SUMIFS('Base bordo'!G$2:G$746,'Base bordo'!C$2:C$746,A1327,'Base bordo'!B$2:B$746,B1327,'Base bordo'!F$2:F$746,"PÁTIO INTERNO"),0)+IFERROR(SUMIFS('Base bordo'!G$2:G$746,'Base bordo'!C$2:C$746,A1327,'Base bordo'!B$2:B$746,B1327,'Base bordo'!F$2:F$746,"PÁTIO EXTERNO"),0)+IFERROR(SUMIFS('Base bordo'!G$2:G$746,'Base bordo'!C$2:C$746,A1327,'Base bordo'!B$2:B$746,B1327,'Base bordo'!F$2:F$746,"PATIO - RESERVA"),0)+IFERROR(SUMIFS('Base bordo'!G$2:G$746,'Base bordo'!C$2:C$746,A1327,'Base bordo'!B$2:B$746,B1327,'Base bordo'!F$2:F$746,"MANOBRA CARRETAS-PATIO"),0)</f>
        <v>14.274166666666666</v>
      </c>
      <c r="J1327" s="10">
        <f>IFERROR(SUMIFS('Base bordo'!G$2:G$746,'Base bordo'!C$2:C$746,A1327,'Base bordo'!B$2:B$746,B1327,'Base bordo'!F$2:F$746,"BALANÇA - ENTRADA"),0)+IFERROR(SUMIFS('Base bordo'!G$2:G$746,'Base bordo'!C$2:C$746,A1327,'Base bordo'!B$2:B$746,B1327,'Base bordo'!F$2:F$746,"BALANÇA - SAÍDA"),0)</f>
        <v>7.4166666666666659E-2</v>
      </c>
      <c r="K1327" s="10">
        <f>IFERROR(SUMIFS('Base bordo'!G$2:G$746,'Base bordo'!C$2:C$746,A1327,'Base bordo'!B$2:B$746,B1327,'Base bordo'!F$2:F$746,"MAN PREVENTIVA - MECANICA"),0)+IFERROR(SUMIFS('Base bordo'!G$2:G$746,'Base bordo'!C$2:C$746,A1327,'Base bordo'!B$2:B$746,B1327,'Base bordo'!F$2:F$746,"MAN CORRETIVA - MECANICA"),0)</f>
        <v>0</v>
      </c>
      <c r="L1327" s="10">
        <f>IFERROR(SUMIFS('Base bordo'!G$2:G$746,'Base bordo'!C$2:C$746,A1327,'Base bordo'!B$2:B$746,B1327,'Base bordo'!F$2:F$746,"MANUTENCAO - T O"),0)+IFERROR(SUMIFS('Base bordo'!G$2:G$746,'Base bordo'!C$2:C$746,A1327,'Base bordo'!B$2:B$746,B1327,'Base bordo'!F$2:F$746,"MANUTENCAO BORRACHARIA"),0)+IFERROR(SUMIFS('Base bordo'!G$2:G$746,'Base bordo'!C$2:C$746,A1327,'Base bordo'!B$2:B$746,B1327,'Base bordo'!F$2:F$746,"MANUTENCAO EXTERNA  CONCESSIONARIA"),0)+IFERROR(SUMIFS('Base bordo'!G$2:G$746,'Base bordo'!C$2:C$746,A1327,'Base bordo'!B$2:B$746,B1327,'Base bordo'!F$2:F$746,"MANUTENCAO TELEMETRIA"),0)</f>
        <v>0</v>
      </c>
      <c r="M1327" s="10">
        <f>IFERROR(SUMIFS('Base bordo'!G$2:G$746,'Base bordo'!C$2:C$746,A1327,'Base bordo'!B$2:B$746,B1327,'Base bordo'!F$2:F$746,"AGUARDANDO MANUTENCAO"),0)</f>
        <v>0</v>
      </c>
      <c r="N1327" s="10">
        <f>IFERROR(SUMIFS('Base bordo'!G$2:G$746,'Base bordo'!C$2:C$746,A1327,'Base bordo'!B$2:B$746,B1327,'Base bordo'!F$2:F$746,"SEM APONTAMENTO"),0)</f>
        <v>0</v>
      </c>
      <c r="O1327" s="10">
        <f t="shared" si="132"/>
        <v>0</v>
      </c>
      <c r="P1327" s="10">
        <f>IFERROR(SUMIFS('Base bordo'!G$2:G$746,'Base bordo'!C$2:C$746,A1327,'Base bordo'!B$2:B$746,B1327),0)</f>
        <v>18.501388888888886</v>
      </c>
      <c r="Q1327" s="10">
        <f>IFERROR(SUMIFS('Base bordo'!H$2:H$746,'Base bordo'!C$2:C$746,A1327,'Base bordo'!B$2:B$746,B1327,'Base bordo'!F$2:F$746,"DESLOCAMENTO VAZIO"),0)</f>
        <v>216936.43</v>
      </c>
      <c r="R1327" s="10">
        <f>IFERROR(SUMIFS('Base bordo'!I$2:I$746,'Base bordo'!C$2:C$746,A1327,'Base bordo'!B$2:B$746,B1327,'Base bordo'!F$2:F$746,"DESLOCAMENTO VAZIO"),0)</f>
        <v>6070</v>
      </c>
      <c r="S1327" s="30">
        <f t="shared" si="133"/>
        <v>35.739115321252058</v>
      </c>
      <c r="T1327" s="10">
        <f>IFERROR(SUMIFS('Base bordo'!H$2:H$746,'Base bordo'!C$2:C$746,A1327,'Base bordo'!B$2:B$746,B1327,'Base bordo'!F$2:F$746,"DESLOCAMENTO CARREGADO"),0)</f>
        <v>221432.38999999998</v>
      </c>
      <c r="U1327" s="10">
        <f>IFERROR(SUMIFS('Base bordo'!I$2:I$746,'Base bordo'!C$2:C$746,A1327,'Base bordo'!B$2:B$746,B1327,'Base bordo'!F$2:F$746,"DESLOCAMENTO CARREGADO"),0)</f>
        <v>8881</v>
      </c>
      <c r="V1327" s="30">
        <f t="shared" si="134"/>
        <v>24.933272154036707</v>
      </c>
      <c r="W1327" s="9">
        <f t="shared" si="135"/>
        <v>9.1134299226784787E-2</v>
      </c>
      <c r="X1327" s="9">
        <f t="shared" si="136"/>
        <v>0.13333833796261543</v>
      </c>
      <c r="Y1327" s="9">
        <f t="shared" si="137"/>
        <v>0.77552736281059975</v>
      </c>
    </row>
    <row r="1328" spans="1:25" ht="15" customHeight="1" x14ac:dyDescent="0.35">
      <c r="A1328" s="52">
        <v>8013481</v>
      </c>
      <c r="B1328" s="51">
        <v>46124</v>
      </c>
      <c r="C1328" s="7" t="s">
        <v>124</v>
      </c>
      <c r="D1328" s="10">
        <f>IFERROR(SUMIFS('Base bordo'!G$2:G$746,'Base bordo'!C$2:C$746,A1328,'Base bordo'!B$2:B$746,B1328,'Base bordo'!F$2:F$746,"DESLOCAMENTO VAZIO"),0)</f>
        <v>1.6861111111111111</v>
      </c>
      <c r="E1328" s="10">
        <f>IFERROR(SUMIFS('Base bordo'!G$2:G$746,'Base bordo'!C$2:C$746,A1328,'Base bordo'!B$2:B$746,B1328,'Base bordo'!F$2:F$746,"DESLOCAMENTO CARREGADO"),0)</f>
        <v>2.4669444444444446</v>
      </c>
      <c r="F1328" s="10">
        <f>IFERROR(SUMIFS('Base bordo'!G$2:G$746,'Base bordo'!C$2:C$746,A1328,'Base bordo'!B$2:B$746,B1328,'Base bordo'!F$2:F$746,"DESLOCAMENTO"),0)</f>
        <v>0</v>
      </c>
      <c r="G1328" s="10">
        <f>IFERROR(SUMIFS('Base bordo'!G$2:G$746,'Base bordo'!C$2:C$746,A1328,'Base bordo'!B$2:B$746,B1328,'Base bordo'!F$2:F$746,"CARREGAMENTO"),0)</f>
        <v>0</v>
      </c>
      <c r="H1328" s="10">
        <f>IFERROR(SUMIFS('Base bordo'!G$2:G$746,'Base bordo'!C$2:C$746,A1328,'Base bordo'!B$2:B$746,B1328,'Base bordo'!F$2:F$746,"AGUARDANDO TRANSBORDO"),0)</f>
        <v>0</v>
      </c>
      <c r="I1328" s="10">
        <f>IFERROR(SUMIFS('Base bordo'!G$2:G$746,'Base bordo'!C$2:C$746,A1328,'Base bordo'!B$2:B$746,B1328,'Base bordo'!F$2:F$746,"PÁTIO INTERNO"),0)+IFERROR(SUMIFS('Base bordo'!G$2:G$746,'Base bordo'!C$2:C$746,A1328,'Base bordo'!B$2:B$746,B1328,'Base bordo'!F$2:F$746,"PÁTIO EXTERNO"),0)+IFERROR(SUMIFS('Base bordo'!G$2:G$746,'Base bordo'!C$2:C$746,A1328,'Base bordo'!B$2:B$746,B1328,'Base bordo'!F$2:F$746,"PATIO - RESERVA"),0)+IFERROR(SUMIFS('Base bordo'!G$2:G$746,'Base bordo'!C$2:C$746,A1328,'Base bordo'!B$2:B$746,B1328,'Base bordo'!F$2:F$746,"MANOBRA CARRETAS-PATIO"),0)</f>
        <v>14.274166666666666</v>
      </c>
      <c r="J1328" s="10">
        <f>IFERROR(SUMIFS('Base bordo'!G$2:G$746,'Base bordo'!C$2:C$746,A1328,'Base bordo'!B$2:B$746,B1328,'Base bordo'!F$2:F$746,"BALANÇA - ENTRADA"),0)+IFERROR(SUMIFS('Base bordo'!G$2:G$746,'Base bordo'!C$2:C$746,A1328,'Base bordo'!B$2:B$746,B1328,'Base bordo'!F$2:F$746,"BALANÇA - SAÍDA"),0)</f>
        <v>7.4166666666666659E-2</v>
      </c>
      <c r="K1328" s="10">
        <f>IFERROR(SUMIFS('Base bordo'!G$2:G$746,'Base bordo'!C$2:C$746,A1328,'Base bordo'!B$2:B$746,B1328,'Base bordo'!F$2:F$746,"MAN PREVENTIVA - MECANICA"),0)+IFERROR(SUMIFS('Base bordo'!G$2:G$746,'Base bordo'!C$2:C$746,A1328,'Base bordo'!B$2:B$746,B1328,'Base bordo'!F$2:F$746,"MAN CORRETIVA - MECANICA"),0)</f>
        <v>0</v>
      </c>
      <c r="L1328" s="10">
        <f>IFERROR(SUMIFS('Base bordo'!G$2:G$746,'Base bordo'!C$2:C$746,A1328,'Base bordo'!B$2:B$746,B1328,'Base bordo'!F$2:F$746,"MANUTENCAO - T O"),0)+IFERROR(SUMIFS('Base bordo'!G$2:G$746,'Base bordo'!C$2:C$746,A1328,'Base bordo'!B$2:B$746,B1328,'Base bordo'!F$2:F$746,"MANUTENCAO BORRACHARIA"),0)+IFERROR(SUMIFS('Base bordo'!G$2:G$746,'Base bordo'!C$2:C$746,A1328,'Base bordo'!B$2:B$746,B1328,'Base bordo'!F$2:F$746,"MANUTENCAO EXTERNA  CONCESSIONARIA"),0)+IFERROR(SUMIFS('Base bordo'!G$2:G$746,'Base bordo'!C$2:C$746,A1328,'Base bordo'!B$2:B$746,B1328,'Base bordo'!F$2:F$746,"MANUTENCAO TELEMETRIA"),0)</f>
        <v>0</v>
      </c>
      <c r="M1328" s="10">
        <f>IFERROR(SUMIFS('Base bordo'!G$2:G$746,'Base bordo'!C$2:C$746,A1328,'Base bordo'!B$2:B$746,B1328,'Base bordo'!F$2:F$746,"AGUARDANDO MANUTENCAO"),0)</f>
        <v>0</v>
      </c>
      <c r="N1328" s="10">
        <f>IFERROR(SUMIFS('Base bordo'!G$2:G$746,'Base bordo'!C$2:C$746,A1328,'Base bordo'!B$2:B$746,B1328,'Base bordo'!F$2:F$746,"SEM APONTAMENTO"),0)</f>
        <v>0</v>
      </c>
      <c r="O1328" s="10">
        <f t="shared" si="132"/>
        <v>0</v>
      </c>
      <c r="P1328" s="10">
        <f>IFERROR(SUMIFS('Base bordo'!G$2:G$746,'Base bordo'!C$2:C$746,A1328,'Base bordo'!B$2:B$746,B1328),0)</f>
        <v>18.501388888888886</v>
      </c>
      <c r="Q1328" s="10">
        <f>IFERROR(SUMIFS('Base bordo'!H$2:H$746,'Base bordo'!C$2:C$746,A1328,'Base bordo'!B$2:B$746,B1328,'Base bordo'!F$2:F$746,"DESLOCAMENTO VAZIO"),0)</f>
        <v>216936.43</v>
      </c>
      <c r="R1328" s="10">
        <f>IFERROR(SUMIFS('Base bordo'!I$2:I$746,'Base bordo'!C$2:C$746,A1328,'Base bordo'!B$2:B$746,B1328,'Base bordo'!F$2:F$746,"DESLOCAMENTO VAZIO"),0)</f>
        <v>6070</v>
      </c>
      <c r="S1328" s="30">
        <f t="shared" si="133"/>
        <v>35.739115321252058</v>
      </c>
      <c r="T1328" s="10">
        <f>IFERROR(SUMIFS('Base bordo'!H$2:H$746,'Base bordo'!C$2:C$746,A1328,'Base bordo'!B$2:B$746,B1328,'Base bordo'!F$2:F$746,"DESLOCAMENTO CARREGADO"),0)</f>
        <v>221432.38999999998</v>
      </c>
      <c r="U1328" s="10">
        <f>IFERROR(SUMIFS('Base bordo'!I$2:I$746,'Base bordo'!C$2:C$746,A1328,'Base bordo'!B$2:B$746,B1328,'Base bordo'!F$2:F$746,"DESLOCAMENTO CARREGADO"),0)</f>
        <v>8881</v>
      </c>
      <c r="V1328" s="30">
        <f t="shared" si="134"/>
        <v>24.933272154036707</v>
      </c>
      <c r="W1328" s="9">
        <f t="shared" si="135"/>
        <v>9.1134299226784787E-2</v>
      </c>
      <c r="X1328" s="9">
        <f t="shared" si="136"/>
        <v>0.13333833796261543</v>
      </c>
      <c r="Y1328" s="9">
        <f t="shared" si="137"/>
        <v>0.77552736281059975</v>
      </c>
    </row>
    <row r="1329" spans="1:25" ht="15" customHeight="1" x14ac:dyDescent="0.35">
      <c r="A1329" s="52">
        <v>8013481</v>
      </c>
      <c r="B1329" s="51">
        <v>46124</v>
      </c>
      <c r="C1329" s="7" t="s">
        <v>124</v>
      </c>
      <c r="D1329" s="10">
        <f>IFERROR(SUMIFS('Base bordo'!G$2:G$746,'Base bordo'!C$2:C$746,A1329,'Base bordo'!B$2:B$746,B1329,'Base bordo'!F$2:F$746,"DESLOCAMENTO VAZIO"),0)</f>
        <v>1.6861111111111111</v>
      </c>
      <c r="E1329" s="10">
        <f>IFERROR(SUMIFS('Base bordo'!G$2:G$746,'Base bordo'!C$2:C$746,A1329,'Base bordo'!B$2:B$746,B1329,'Base bordo'!F$2:F$746,"DESLOCAMENTO CARREGADO"),0)</f>
        <v>2.4669444444444446</v>
      </c>
      <c r="F1329" s="10">
        <f>IFERROR(SUMIFS('Base bordo'!G$2:G$746,'Base bordo'!C$2:C$746,A1329,'Base bordo'!B$2:B$746,B1329,'Base bordo'!F$2:F$746,"DESLOCAMENTO"),0)</f>
        <v>0</v>
      </c>
      <c r="G1329" s="10">
        <f>IFERROR(SUMIFS('Base bordo'!G$2:G$746,'Base bordo'!C$2:C$746,A1329,'Base bordo'!B$2:B$746,B1329,'Base bordo'!F$2:F$746,"CARREGAMENTO"),0)</f>
        <v>0</v>
      </c>
      <c r="H1329" s="10">
        <f>IFERROR(SUMIFS('Base bordo'!G$2:G$746,'Base bordo'!C$2:C$746,A1329,'Base bordo'!B$2:B$746,B1329,'Base bordo'!F$2:F$746,"AGUARDANDO TRANSBORDO"),0)</f>
        <v>0</v>
      </c>
      <c r="I1329" s="10">
        <f>IFERROR(SUMIFS('Base bordo'!G$2:G$746,'Base bordo'!C$2:C$746,A1329,'Base bordo'!B$2:B$746,B1329,'Base bordo'!F$2:F$746,"PÁTIO INTERNO"),0)+IFERROR(SUMIFS('Base bordo'!G$2:G$746,'Base bordo'!C$2:C$746,A1329,'Base bordo'!B$2:B$746,B1329,'Base bordo'!F$2:F$746,"PÁTIO EXTERNO"),0)+IFERROR(SUMIFS('Base bordo'!G$2:G$746,'Base bordo'!C$2:C$746,A1329,'Base bordo'!B$2:B$746,B1329,'Base bordo'!F$2:F$746,"PATIO - RESERVA"),0)+IFERROR(SUMIFS('Base bordo'!G$2:G$746,'Base bordo'!C$2:C$746,A1329,'Base bordo'!B$2:B$746,B1329,'Base bordo'!F$2:F$746,"MANOBRA CARRETAS-PATIO"),0)</f>
        <v>14.274166666666666</v>
      </c>
      <c r="J1329" s="10">
        <f>IFERROR(SUMIFS('Base bordo'!G$2:G$746,'Base bordo'!C$2:C$746,A1329,'Base bordo'!B$2:B$746,B1329,'Base bordo'!F$2:F$746,"BALANÇA - ENTRADA"),0)+IFERROR(SUMIFS('Base bordo'!G$2:G$746,'Base bordo'!C$2:C$746,A1329,'Base bordo'!B$2:B$746,B1329,'Base bordo'!F$2:F$746,"BALANÇA - SAÍDA"),0)</f>
        <v>7.4166666666666659E-2</v>
      </c>
      <c r="K1329" s="10">
        <f>IFERROR(SUMIFS('Base bordo'!G$2:G$746,'Base bordo'!C$2:C$746,A1329,'Base bordo'!B$2:B$746,B1329,'Base bordo'!F$2:F$746,"MAN PREVENTIVA - MECANICA"),0)+IFERROR(SUMIFS('Base bordo'!G$2:G$746,'Base bordo'!C$2:C$746,A1329,'Base bordo'!B$2:B$746,B1329,'Base bordo'!F$2:F$746,"MAN CORRETIVA - MECANICA"),0)</f>
        <v>0</v>
      </c>
      <c r="L1329" s="10">
        <f>IFERROR(SUMIFS('Base bordo'!G$2:G$746,'Base bordo'!C$2:C$746,A1329,'Base bordo'!B$2:B$746,B1329,'Base bordo'!F$2:F$746,"MANUTENCAO - T O"),0)+IFERROR(SUMIFS('Base bordo'!G$2:G$746,'Base bordo'!C$2:C$746,A1329,'Base bordo'!B$2:B$746,B1329,'Base bordo'!F$2:F$746,"MANUTENCAO BORRACHARIA"),0)+IFERROR(SUMIFS('Base bordo'!G$2:G$746,'Base bordo'!C$2:C$746,A1329,'Base bordo'!B$2:B$746,B1329,'Base bordo'!F$2:F$746,"MANUTENCAO EXTERNA  CONCESSIONARIA"),0)+IFERROR(SUMIFS('Base bordo'!G$2:G$746,'Base bordo'!C$2:C$746,A1329,'Base bordo'!B$2:B$746,B1329,'Base bordo'!F$2:F$746,"MANUTENCAO TELEMETRIA"),0)</f>
        <v>0</v>
      </c>
      <c r="M1329" s="10">
        <f>IFERROR(SUMIFS('Base bordo'!G$2:G$746,'Base bordo'!C$2:C$746,A1329,'Base bordo'!B$2:B$746,B1329,'Base bordo'!F$2:F$746,"AGUARDANDO MANUTENCAO"),0)</f>
        <v>0</v>
      </c>
      <c r="N1329" s="10">
        <f>IFERROR(SUMIFS('Base bordo'!G$2:G$746,'Base bordo'!C$2:C$746,A1329,'Base bordo'!B$2:B$746,B1329,'Base bordo'!F$2:F$746,"SEM APONTAMENTO"),0)</f>
        <v>0</v>
      </c>
      <c r="O1329" s="10">
        <f t="shared" si="132"/>
        <v>0</v>
      </c>
      <c r="P1329" s="10">
        <f>IFERROR(SUMIFS('Base bordo'!G$2:G$746,'Base bordo'!C$2:C$746,A1329,'Base bordo'!B$2:B$746,B1329),0)</f>
        <v>18.501388888888886</v>
      </c>
      <c r="Q1329" s="10">
        <f>IFERROR(SUMIFS('Base bordo'!H$2:H$746,'Base bordo'!C$2:C$746,A1329,'Base bordo'!B$2:B$746,B1329,'Base bordo'!F$2:F$746,"DESLOCAMENTO VAZIO"),0)</f>
        <v>216936.43</v>
      </c>
      <c r="R1329" s="10">
        <f>IFERROR(SUMIFS('Base bordo'!I$2:I$746,'Base bordo'!C$2:C$746,A1329,'Base bordo'!B$2:B$746,B1329,'Base bordo'!F$2:F$746,"DESLOCAMENTO VAZIO"),0)</f>
        <v>6070</v>
      </c>
      <c r="S1329" s="30">
        <f t="shared" si="133"/>
        <v>35.739115321252058</v>
      </c>
      <c r="T1329" s="10">
        <f>IFERROR(SUMIFS('Base bordo'!H$2:H$746,'Base bordo'!C$2:C$746,A1329,'Base bordo'!B$2:B$746,B1329,'Base bordo'!F$2:F$746,"DESLOCAMENTO CARREGADO"),0)</f>
        <v>221432.38999999998</v>
      </c>
      <c r="U1329" s="10">
        <f>IFERROR(SUMIFS('Base bordo'!I$2:I$746,'Base bordo'!C$2:C$746,A1329,'Base bordo'!B$2:B$746,B1329,'Base bordo'!F$2:F$746,"DESLOCAMENTO CARREGADO"),0)</f>
        <v>8881</v>
      </c>
      <c r="V1329" s="30">
        <f t="shared" si="134"/>
        <v>24.933272154036707</v>
      </c>
      <c r="W1329" s="9">
        <f t="shared" si="135"/>
        <v>9.1134299226784787E-2</v>
      </c>
      <c r="X1329" s="9">
        <f t="shared" si="136"/>
        <v>0.13333833796261543</v>
      </c>
      <c r="Y1329" s="9">
        <f t="shared" si="137"/>
        <v>0.77552736281059975</v>
      </c>
    </row>
    <row r="1330" spans="1:25" ht="15" customHeight="1" x14ac:dyDescent="0.35">
      <c r="A1330" s="52">
        <v>8013481</v>
      </c>
      <c r="B1330" s="51">
        <v>46124</v>
      </c>
      <c r="C1330" s="7" t="s">
        <v>124</v>
      </c>
      <c r="D1330" s="10">
        <f>IFERROR(SUMIFS('Base bordo'!G$2:G$746,'Base bordo'!C$2:C$746,A1330,'Base bordo'!B$2:B$746,B1330,'Base bordo'!F$2:F$746,"DESLOCAMENTO VAZIO"),0)</f>
        <v>1.6861111111111111</v>
      </c>
      <c r="E1330" s="10">
        <f>IFERROR(SUMIFS('Base bordo'!G$2:G$746,'Base bordo'!C$2:C$746,A1330,'Base bordo'!B$2:B$746,B1330,'Base bordo'!F$2:F$746,"DESLOCAMENTO CARREGADO"),0)</f>
        <v>2.4669444444444446</v>
      </c>
      <c r="F1330" s="10">
        <f>IFERROR(SUMIFS('Base bordo'!G$2:G$746,'Base bordo'!C$2:C$746,A1330,'Base bordo'!B$2:B$746,B1330,'Base bordo'!F$2:F$746,"DESLOCAMENTO"),0)</f>
        <v>0</v>
      </c>
      <c r="G1330" s="10">
        <f>IFERROR(SUMIFS('Base bordo'!G$2:G$746,'Base bordo'!C$2:C$746,A1330,'Base bordo'!B$2:B$746,B1330,'Base bordo'!F$2:F$746,"CARREGAMENTO"),0)</f>
        <v>0</v>
      </c>
      <c r="H1330" s="10">
        <f>IFERROR(SUMIFS('Base bordo'!G$2:G$746,'Base bordo'!C$2:C$746,A1330,'Base bordo'!B$2:B$746,B1330,'Base bordo'!F$2:F$746,"AGUARDANDO TRANSBORDO"),0)</f>
        <v>0</v>
      </c>
      <c r="I1330" s="10">
        <f>IFERROR(SUMIFS('Base bordo'!G$2:G$746,'Base bordo'!C$2:C$746,A1330,'Base bordo'!B$2:B$746,B1330,'Base bordo'!F$2:F$746,"PÁTIO INTERNO"),0)+IFERROR(SUMIFS('Base bordo'!G$2:G$746,'Base bordo'!C$2:C$746,A1330,'Base bordo'!B$2:B$746,B1330,'Base bordo'!F$2:F$746,"PÁTIO EXTERNO"),0)+IFERROR(SUMIFS('Base bordo'!G$2:G$746,'Base bordo'!C$2:C$746,A1330,'Base bordo'!B$2:B$746,B1330,'Base bordo'!F$2:F$746,"PATIO - RESERVA"),0)+IFERROR(SUMIFS('Base bordo'!G$2:G$746,'Base bordo'!C$2:C$746,A1330,'Base bordo'!B$2:B$746,B1330,'Base bordo'!F$2:F$746,"MANOBRA CARRETAS-PATIO"),0)</f>
        <v>14.274166666666666</v>
      </c>
      <c r="J1330" s="10">
        <f>IFERROR(SUMIFS('Base bordo'!G$2:G$746,'Base bordo'!C$2:C$746,A1330,'Base bordo'!B$2:B$746,B1330,'Base bordo'!F$2:F$746,"BALANÇA - ENTRADA"),0)+IFERROR(SUMIFS('Base bordo'!G$2:G$746,'Base bordo'!C$2:C$746,A1330,'Base bordo'!B$2:B$746,B1330,'Base bordo'!F$2:F$746,"BALANÇA - SAÍDA"),0)</f>
        <v>7.4166666666666659E-2</v>
      </c>
      <c r="K1330" s="10">
        <f>IFERROR(SUMIFS('Base bordo'!G$2:G$746,'Base bordo'!C$2:C$746,A1330,'Base bordo'!B$2:B$746,B1330,'Base bordo'!F$2:F$746,"MAN PREVENTIVA - MECANICA"),0)+IFERROR(SUMIFS('Base bordo'!G$2:G$746,'Base bordo'!C$2:C$746,A1330,'Base bordo'!B$2:B$746,B1330,'Base bordo'!F$2:F$746,"MAN CORRETIVA - MECANICA"),0)</f>
        <v>0</v>
      </c>
      <c r="L1330" s="10">
        <f>IFERROR(SUMIFS('Base bordo'!G$2:G$746,'Base bordo'!C$2:C$746,A1330,'Base bordo'!B$2:B$746,B1330,'Base bordo'!F$2:F$746,"MANUTENCAO - T O"),0)+IFERROR(SUMIFS('Base bordo'!G$2:G$746,'Base bordo'!C$2:C$746,A1330,'Base bordo'!B$2:B$746,B1330,'Base bordo'!F$2:F$746,"MANUTENCAO BORRACHARIA"),0)+IFERROR(SUMIFS('Base bordo'!G$2:G$746,'Base bordo'!C$2:C$746,A1330,'Base bordo'!B$2:B$746,B1330,'Base bordo'!F$2:F$746,"MANUTENCAO EXTERNA  CONCESSIONARIA"),0)+IFERROR(SUMIFS('Base bordo'!G$2:G$746,'Base bordo'!C$2:C$746,A1330,'Base bordo'!B$2:B$746,B1330,'Base bordo'!F$2:F$746,"MANUTENCAO TELEMETRIA"),0)</f>
        <v>0</v>
      </c>
      <c r="M1330" s="10">
        <f>IFERROR(SUMIFS('Base bordo'!G$2:G$746,'Base bordo'!C$2:C$746,A1330,'Base bordo'!B$2:B$746,B1330,'Base bordo'!F$2:F$746,"AGUARDANDO MANUTENCAO"),0)</f>
        <v>0</v>
      </c>
      <c r="N1330" s="10">
        <f>IFERROR(SUMIFS('Base bordo'!G$2:G$746,'Base bordo'!C$2:C$746,A1330,'Base bordo'!B$2:B$746,B1330,'Base bordo'!F$2:F$746,"SEM APONTAMENTO"),0)</f>
        <v>0</v>
      </c>
      <c r="O1330" s="10">
        <f t="shared" si="132"/>
        <v>0</v>
      </c>
      <c r="P1330" s="10">
        <f>IFERROR(SUMIFS('Base bordo'!G$2:G$746,'Base bordo'!C$2:C$746,A1330,'Base bordo'!B$2:B$746,B1330),0)</f>
        <v>18.501388888888886</v>
      </c>
      <c r="Q1330" s="10">
        <f>IFERROR(SUMIFS('Base bordo'!H$2:H$746,'Base bordo'!C$2:C$746,A1330,'Base bordo'!B$2:B$746,B1330,'Base bordo'!F$2:F$746,"DESLOCAMENTO VAZIO"),0)</f>
        <v>216936.43</v>
      </c>
      <c r="R1330" s="10">
        <f>IFERROR(SUMIFS('Base bordo'!I$2:I$746,'Base bordo'!C$2:C$746,A1330,'Base bordo'!B$2:B$746,B1330,'Base bordo'!F$2:F$746,"DESLOCAMENTO VAZIO"),0)</f>
        <v>6070</v>
      </c>
      <c r="S1330" s="30">
        <f t="shared" si="133"/>
        <v>35.739115321252058</v>
      </c>
      <c r="T1330" s="10">
        <f>IFERROR(SUMIFS('Base bordo'!H$2:H$746,'Base bordo'!C$2:C$746,A1330,'Base bordo'!B$2:B$746,B1330,'Base bordo'!F$2:F$746,"DESLOCAMENTO CARREGADO"),0)</f>
        <v>221432.38999999998</v>
      </c>
      <c r="U1330" s="10">
        <f>IFERROR(SUMIFS('Base bordo'!I$2:I$746,'Base bordo'!C$2:C$746,A1330,'Base bordo'!B$2:B$746,B1330,'Base bordo'!F$2:F$746,"DESLOCAMENTO CARREGADO"),0)</f>
        <v>8881</v>
      </c>
      <c r="V1330" s="30">
        <f t="shared" si="134"/>
        <v>24.933272154036707</v>
      </c>
      <c r="W1330" s="9">
        <f t="shared" si="135"/>
        <v>9.1134299226784787E-2</v>
      </c>
      <c r="X1330" s="9">
        <f t="shared" si="136"/>
        <v>0.13333833796261543</v>
      </c>
      <c r="Y1330" s="9">
        <f t="shared" si="137"/>
        <v>0.77552736281059975</v>
      </c>
    </row>
    <row r="1331" spans="1:25" ht="15" customHeight="1" x14ac:dyDescent="0.35">
      <c r="A1331" s="52">
        <v>8013481</v>
      </c>
      <c r="B1331" s="51">
        <v>46124</v>
      </c>
      <c r="C1331" s="7" t="s">
        <v>124</v>
      </c>
      <c r="D1331" s="10">
        <f>IFERROR(SUMIFS('Base bordo'!G$2:G$746,'Base bordo'!C$2:C$746,A1331,'Base bordo'!B$2:B$746,B1331,'Base bordo'!F$2:F$746,"DESLOCAMENTO VAZIO"),0)</f>
        <v>1.6861111111111111</v>
      </c>
      <c r="E1331" s="10">
        <f>IFERROR(SUMIFS('Base bordo'!G$2:G$746,'Base bordo'!C$2:C$746,A1331,'Base bordo'!B$2:B$746,B1331,'Base bordo'!F$2:F$746,"DESLOCAMENTO CARREGADO"),0)</f>
        <v>2.4669444444444446</v>
      </c>
      <c r="F1331" s="10">
        <f>IFERROR(SUMIFS('Base bordo'!G$2:G$746,'Base bordo'!C$2:C$746,A1331,'Base bordo'!B$2:B$746,B1331,'Base bordo'!F$2:F$746,"DESLOCAMENTO"),0)</f>
        <v>0</v>
      </c>
      <c r="G1331" s="10">
        <f>IFERROR(SUMIFS('Base bordo'!G$2:G$746,'Base bordo'!C$2:C$746,A1331,'Base bordo'!B$2:B$746,B1331,'Base bordo'!F$2:F$746,"CARREGAMENTO"),0)</f>
        <v>0</v>
      </c>
      <c r="H1331" s="10">
        <f>IFERROR(SUMIFS('Base bordo'!G$2:G$746,'Base bordo'!C$2:C$746,A1331,'Base bordo'!B$2:B$746,B1331,'Base bordo'!F$2:F$746,"AGUARDANDO TRANSBORDO"),0)</f>
        <v>0</v>
      </c>
      <c r="I1331" s="10">
        <f>IFERROR(SUMIFS('Base bordo'!G$2:G$746,'Base bordo'!C$2:C$746,A1331,'Base bordo'!B$2:B$746,B1331,'Base bordo'!F$2:F$746,"PÁTIO INTERNO"),0)+IFERROR(SUMIFS('Base bordo'!G$2:G$746,'Base bordo'!C$2:C$746,A1331,'Base bordo'!B$2:B$746,B1331,'Base bordo'!F$2:F$746,"PÁTIO EXTERNO"),0)+IFERROR(SUMIFS('Base bordo'!G$2:G$746,'Base bordo'!C$2:C$746,A1331,'Base bordo'!B$2:B$746,B1331,'Base bordo'!F$2:F$746,"PATIO - RESERVA"),0)+IFERROR(SUMIFS('Base bordo'!G$2:G$746,'Base bordo'!C$2:C$746,A1331,'Base bordo'!B$2:B$746,B1331,'Base bordo'!F$2:F$746,"MANOBRA CARRETAS-PATIO"),0)</f>
        <v>14.274166666666666</v>
      </c>
      <c r="J1331" s="10">
        <f>IFERROR(SUMIFS('Base bordo'!G$2:G$746,'Base bordo'!C$2:C$746,A1331,'Base bordo'!B$2:B$746,B1331,'Base bordo'!F$2:F$746,"BALANÇA - ENTRADA"),0)+IFERROR(SUMIFS('Base bordo'!G$2:G$746,'Base bordo'!C$2:C$746,A1331,'Base bordo'!B$2:B$746,B1331,'Base bordo'!F$2:F$746,"BALANÇA - SAÍDA"),0)</f>
        <v>7.4166666666666659E-2</v>
      </c>
      <c r="K1331" s="10">
        <f>IFERROR(SUMIFS('Base bordo'!G$2:G$746,'Base bordo'!C$2:C$746,A1331,'Base bordo'!B$2:B$746,B1331,'Base bordo'!F$2:F$746,"MAN PREVENTIVA - MECANICA"),0)+IFERROR(SUMIFS('Base bordo'!G$2:G$746,'Base bordo'!C$2:C$746,A1331,'Base bordo'!B$2:B$746,B1331,'Base bordo'!F$2:F$746,"MAN CORRETIVA - MECANICA"),0)</f>
        <v>0</v>
      </c>
      <c r="L1331" s="10">
        <f>IFERROR(SUMIFS('Base bordo'!G$2:G$746,'Base bordo'!C$2:C$746,A1331,'Base bordo'!B$2:B$746,B1331,'Base bordo'!F$2:F$746,"MANUTENCAO - T O"),0)+IFERROR(SUMIFS('Base bordo'!G$2:G$746,'Base bordo'!C$2:C$746,A1331,'Base bordo'!B$2:B$746,B1331,'Base bordo'!F$2:F$746,"MANUTENCAO BORRACHARIA"),0)+IFERROR(SUMIFS('Base bordo'!G$2:G$746,'Base bordo'!C$2:C$746,A1331,'Base bordo'!B$2:B$746,B1331,'Base bordo'!F$2:F$746,"MANUTENCAO EXTERNA  CONCESSIONARIA"),0)+IFERROR(SUMIFS('Base bordo'!G$2:G$746,'Base bordo'!C$2:C$746,A1331,'Base bordo'!B$2:B$746,B1331,'Base bordo'!F$2:F$746,"MANUTENCAO TELEMETRIA"),0)</f>
        <v>0</v>
      </c>
      <c r="M1331" s="10">
        <f>IFERROR(SUMIFS('Base bordo'!G$2:G$746,'Base bordo'!C$2:C$746,A1331,'Base bordo'!B$2:B$746,B1331,'Base bordo'!F$2:F$746,"AGUARDANDO MANUTENCAO"),0)</f>
        <v>0</v>
      </c>
      <c r="N1331" s="10">
        <f>IFERROR(SUMIFS('Base bordo'!G$2:G$746,'Base bordo'!C$2:C$746,A1331,'Base bordo'!B$2:B$746,B1331,'Base bordo'!F$2:F$746,"SEM APONTAMENTO"),0)</f>
        <v>0</v>
      </c>
      <c r="O1331" s="10">
        <f t="shared" si="132"/>
        <v>0</v>
      </c>
      <c r="P1331" s="10">
        <f>IFERROR(SUMIFS('Base bordo'!G$2:G$746,'Base bordo'!C$2:C$746,A1331,'Base bordo'!B$2:B$746,B1331),0)</f>
        <v>18.501388888888886</v>
      </c>
      <c r="Q1331" s="10">
        <f>IFERROR(SUMIFS('Base bordo'!H$2:H$746,'Base bordo'!C$2:C$746,A1331,'Base bordo'!B$2:B$746,B1331,'Base bordo'!F$2:F$746,"DESLOCAMENTO VAZIO"),0)</f>
        <v>216936.43</v>
      </c>
      <c r="R1331" s="10">
        <f>IFERROR(SUMIFS('Base bordo'!I$2:I$746,'Base bordo'!C$2:C$746,A1331,'Base bordo'!B$2:B$746,B1331,'Base bordo'!F$2:F$746,"DESLOCAMENTO VAZIO"),0)</f>
        <v>6070</v>
      </c>
      <c r="S1331" s="30">
        <f t="shared" si="133"/>
        <v>35.739115321252058</v>
      </c>
      <c r="T1331" s="10">
        <f>IFERROR(SUMIFS('Base bordo'!H$2:H$746,'Base bordo'!C$2:C$746,A1331,'Base bordo'!B$2:B$746,B1331,'Base bordo'!F$2:F$746,"DESLOCAMENTO CARREGADO"),0)</f>
        <v>221432.38999999998</v>
      </c>
      <c r="U1331" s="10">
        <f>IFERROR(SUMIFS('Base bordo'!I$2:I$746,'Base bordo'!C$2:C$746,A1331,'Base bordo'!B$2:B$746,B1331,'Base bordo'!F$2:F$746,"DESLOCAMENTO CARREGADO"),0)</f>
        <v>8881</v>
      </c>
      <c r="V1331" s="30">
        <f t="shared" si="134"/>
        <v>24.933272154036707</v>
      </c>
      <c r="W1331" s="9">
        <f t="shared" si="135"/>
        <v>9.1134299226784787E-2</v>
      </c>
      <c r="X1331" s="9">
        <f t="shared" si="136"/>
        <v>0.13333833796261543</v>
      </c>
      <c r="Y1331" s="9">
        <f t="shared" si="137"/>
        <v>0.77552736281059975</v>
      </c>
    </row>
    <row r="1332" spans="1:25" ht="15" customHeight="1" x14ac:dyDescent="0.35">
      <c r="A1332" s="52">
        <v>8013481</v>
      </c>
      <c r="B1332" s="51">
        <v>46124</v>
      </c>
      <c r="C1332" s="7" t="s">
        <v>124</v>
      </c>
      <c r="D1332" s="10">
        <f>IFERROR(SUMIFS('Base bordo'!G$2:G$746,'Base bordo'!C$2:C$746,A1332,'Base bordo'!B$2:B$746,B1332,'Base bordo'!F$2:F$746,"DESLOCAMENTO VAZIO"),0)</f>
        <v>1.6861111111111111</v>
      </c>
      <c r="E1332" s="10">
        <f>IFERROR(SUMIFS('Base bordo'!G$2:G$746,'Base bordo'!C$2:C$746,A1332,'Base bordo'!B$2:B$746,B1332,'Base bordo'!F$2:F$746,"DESLOCAMENTO CARREGADO"),0)</f>
        <v>2.4669444444444446</v>
      </c>
      <c r="F1332" s="10">
        <f>IFERROR(SUMIFS('Base bordo'!G$2:G$746,'Base bordo'!C$2:C$746,A1332,'Base bordo'!B$2:B$746,B1332,'Base bordo'!F$2:F$746,"DESLOCAMENTO"),0)</f>
        <v>0</v>
      </c>
      <c r="G1332" s="10">
        <f>IFERROR(SUMIFS('Base bordo'!G$2:G$746,'Base bordo'!C$2:C$746,A1332,'Base bordo'!B$2:B$746,B1332,'Base bordo'!F$2:F$746,"CARREGAMENTO"),0)</f>
        <v>0</v>
      </c>
      <c r="H1332" s="10">
        <f>IFERROR(SUMIFS('Base bordo'!G$2:G$746,'Base bordo'!C$2:C$746,A1332,'Base bordo'!B$2:B$746,B1332,'Base bordo'!F$2:F$746,"AGUARDANDO TRANSBORDO"),0)</f>
        <v>0</v>
      </c>
      <c r="I1332" s="10">
        <f>IFERROR(SUMIFS('Base bordo'!G$2:G$746,'Base bordo'!C$2:C$746,A1332,'Base bordo'!B$2:B$746,B1332,'Base bordo'!F$2:F$746,"PÁTIO INTERNO"),0)+IFERROR(SUMIFS('Base bordo'!G$2:G$746,'Base bordo'!C$2:C$746,A1332,'Base bordo'!B$2:B$746,B1332,'Base bordo'!F$2:F$746,"PÁTIO EXTERNO"),0)+IFERROR(SUMIFS('Base bordo'!G$2:G$746,'Base bordo'!C$2:C$746,A1332,'Base bordo'!B$2:B$746,B1332,'Base bordo'!F$2:F$746,"PATIO - RESERVA"),0)+IFERROR(SUMIFS('Base bordo'!G$2:G$746,'Base bordo'!C$2:C$746,A1332,'Base bordo'!B$2:B$746,B1332,'Base bordo'!F$2:F$746,"MANOBRA CARRETAS-PATIO"),0)</f>
        <v>14.274166666666666</v>
      </c>
      <c r="J1332" s="10">
        <f>IFERROR(SUMIFS('Base bordo'!G$2:G$746,'Base bordo'!C$2:C$746,A1332,'Base bordo'!B$2:B$746,B1332,'Base bordo'!F$2:F$746,"BALANÇA - ENTRADA"),0)+IFERROR(SUMIFS('Base bordo'!G$2:G$746,'Base bordo'!C$2:C$746,A1332,'Base bordo'!B$2:B$746,B1332,'Base bordo'!F$2:F$746,"BALANÇA - SAÍDA"),0)</f>
        <v>7.4166666666666659E-2</v>
      </c>
      <c r="K1332" s="10">
        <f>IFERROR(SUMIFS('Base bordo'!G$2:G$746,'Base bordo'!C$2:C$746,A1332,'Base bordo'!B$2:B$746,B1332,'Base bordo'!F$2:F$746,"MAN PREVENTIVA - MECANICA"),0)+IFERROR(SUMIFS('Base bordo'!G$2:G$746,'Base bordo'!C$2:C$746,A1332,'Base bordo'!B$2:B$746,B1332,'Base bordo'!F$2:F$746,"MAN CORRETIVA - MECANICA"),0)</f>
        <v>0</v>
      </c>
      <c r="L1332" s="10">
        <f>IFERROR(SUMIFS('Base bordo'!G$2:G$746,'Base bordo'!C$2:C$746,A1332,'Base bordo'!B$2:B$746,B1332,'Base bordo'!F$2:F$746,"MANUTENCAO - T O"),0)+IFERROR(SUMIFS('Base bordo'!G$2:G$746,'Base bordo'!C$2:C$746,A1332,'Base bordo'!B$2:B$746,B1332,'Base bordo'!F$2:F$746,"MANUTENCAO BORRACHARIA"),0)+IFERROR(SUMIFS('Base bordo'!G$2:G$746,'Base bordo'!C$2:C$746,A1332,'Base bordo'!B$2:B$746,B1332,'Base bordo'!F$2:F$746,"MANUTENCAO EXTERNA  CONCESSIONARIA"),0)+IFERROR(SUMIFS('Base bordo'!G$2:G$746,'Base bordo'!C$2:C$746,A1332,'Base bordo'!B$2:B$746,B1332,'Base bordo'!F$2:F$746,"MANUTENCAO TELEMETRIA"),0)</f>
        <v>0</v>
      </c>
      <c r="M1332" s="10">
        <f>IFERROR(SUMIFS('Base bordo'!G$2:G$746,'Base bordo'!C$2:C$746,A1332,'Base bordo'!B$2:B$746,B1332,'Base bordo'!F$2:F$746,"AGUARDANDO MANUTENCAO"),0)</f>
        <v>0</v>
      </c>
      <c r="N1332" s="10">
        <f>IFERROR(SUMIFS('Base bordo'!G$2:G$746,'Base bordo'!C$2:C$746,A1332,'Base bordo'!B$2:B$746,B1332,'Base bordo'!F$2:F$746,"SEM APONTAMENTO"),0)</f>
        <v>0</v>
      </c>
      <c r="O1332" s="10">
        <f t="shared" si="132"/>
        <v>0</v>
      </c>
      <c r="P1332" s="10">
        <f>IFERROR(SUMIFS('Base bordo'!G$2:G$746,'Base bordo'!C$2:C$746,A1332,'Base bordo'!B$2:B$746,B1332),0)</f>
        <v>18.501388888888886</v>
      </c>
      <c r="Q1332" s="10">
        <f>IFERROR(SUMIFS('Base bordo'!H$2:H$746,'Base bordo'!C$2:C$746,A1332,'Base bordo'!B$2:B$746,B1332,'Base bordo'!F$2:F$746,"DESLOCAMENTO VAZIO"),0)</f>
        <v>216936.43</v>
      </c>
      <c r="R1332" s="10">
        <f>IFERROR(SUMIFS('Base bordo'!I$2:I$746,'Base bordo'!C$2:C$746,A1332,'Base bordo'!B$2:B$746,B1332,'Base bordo'!F$2:F$746,"DESLOCAMENTO VAZIO"),0)</f>
        <v>6070</v>
      </c>
      <c r="S1332" s="30">
        <f t="shared" si="133"/>
        <v>35.739115321252058</v>
      </c>
      <c r="T1332" s="10">
        <f>IFERROR(SUMIFS('Base bordo'!H$2:H$746,'Base bordo'!C$2:C$746,A1332,'Base bordo'!B$2:B$746,B1332,'Base bordo'!F$2:F$746,"DESLOCAMENTO CARREGADO"),0)</f>
        <v>221432.38999999998</v>
      </c>
      <c r="U1332" s="10">
        <f>IFERROR(SUMIFS('Base bordo'!I$2:I$746,'Base bordo'!C$2:C$746,A1332,'Base bordo'!B$2:B$746,B1332,'Base bordo'!F$2:F$746,"DESLOCAMENTO CARREGADO"),0)</f>
        <v>8881</v>
      </c>
      <c r="V1332" s="30">
        <f t="shared" si="134"/>
        <v>24.933272154036707</v>
      </c>
      <c r="W1332" s="9">
        <f t="shared" si="135"/>
        <v>9.1134299226784787E-2</v>
      </c>
      <c r="X1332" s="9">
        <f t="shared" si="136"/>
        <v>0.13333833796261543</v>
      </c>
      <c r="Y1332" s="9">
        <f t="shared" si="137"/>
        <v>0.77552736281059975</v>
      </c>
    </row>
    <row r="1333" spans="1:25" ht="15" customHeight="1" x14ac:dyDescent="0.35">
      <c r="A1333" s="52">
        <v>8013482</v>
      </c>
      <c r="B1333" s="51">
        <v>46124</v>
      </c>
      <c r="C1333" s="7" t="s">
        <v>124</v>
      </c>
      <c r="D1333" s="10">
        <f>IFERROR(SUMIFS('Base bordo'!G$2:G$746,'Base bordo'!C$2:C$746,A1333,'Base bordo'!B$2:B$746,B1333,'Base bordo'!F$2:F$746,"DESLOCAMENTO VAZIO"),0)</f>
        <v>3.1158333333333332</v>
      </c>
      <c r="E1333" s="10">
        <f>IFERROR(SUMIFS('Base bordo'!G$2:G$746,'Base bordo'!C$2:C$746,A1333,'Base bordo'!B$2:B$746,B1333,'Base bordo'!F$2:F$746,"DESLOCAMENTO CARREGADO"),0)</f>
        <v>4.7358333333333329</v>
      </c>
      <c r="F1333" s="10">
        <f>IFERROR(SUMIFS('Base bordo'!G$2:G$746,'Base bordo'!C$2:C$746,A1333,'Base bordo'!B$2:B$746,B1333,'Base bordo'!F$2:F$746,"DESLOCAMENTO"),0)</f>
        <v>0</v>
      </c>
      <c r="G1333" s="10">
        <f>IFERROR(SUMIFS('Base bordo'!G$2:G$746,'Base bordo'!C$2:C$746,A1333,'Base bordo'!B$2:B$746,B1333,'Base bordo'!F$2:F$746,"CARREGAMENTO"),0)</f>
        <v>0</v>
      </c>
      <c r="H1333" s="10">
        <f>IFERROR(SUMIFS('Base bordo'!G$2:G$746,'Base bordo'!C$2:C$746,A1333,'Base bordo'!B$2:B$746,B1333,'Base bordo'!F$2:F$746,"AGUARDANDO TRANSBORDO"),0)</f>
        <v>0.68361111111111106</v>
      </c>
      <c r="I1333" s="10">
        <f>IFERROR(SUMIFS('Base bordo'!G$2:G$746,'Base bordo'!C$2:C$746,A1333,'Base bordo'!B$2:B$746,B1333,'Base bordo'!F$2:F$746,"PÁTIO INTERNO"),0)+IFERROR(SUMIFS('Base bordo'!G$2:G$746,'Base bordo'!C$2:C$746,A1333,'Base bordo'!B$2:B$746,B1333,'Base bordo'!F$2:F$746,"PÁTIO EXTERNO"),0)+IFERROR(SUMIFS('Base bordo'!G$2:G$746,'Base bordo'!C$2:C$746,A1333,'Base bordo'!B$2:B$746,B1333,'Base bordo'!F$2:F$746,"PATIO - RESERVA"),0)+IFERROR(SUMIFS('Base bordo'!G$2:G$746,'Base bordo'!C$2:C$746,A1333,'Base bordo'!B$2:B$746,B1333,'Base bordo'!F$2:F$746,"MANOBRA CARRETAS-PATIO"),0)</f>
        <v>3.3277777777777775</v>
      </c>
      <c r="J1333" s="10">
        <f>IFERROR(SUMIFS('Base bordo'!G$2:G$746,'Base bordo'!C$2:C$746,A1333,'Base bordo'!B$2:B$746,B1333,'Base bordo'!F$2:F$746,"BALANÇA - ENTRADA"),0)+IFERROR(SUMIFS('Base bordo'!G$2:G$746,'Base bordo'!C$2:C$746,A1333,'Base bordo'!B$2:B$746,B1333,'Base bordo'!F$2:F$746,"BALANÇA - SAÍDA"),0)</f>
        <v>0.1336111111111111</v>
      </c>
      <c r="K1333" s="10">
        <f>IFERROR(SUMIFS('Base bordo'!G$2:G$746,'Base bordo'!C$2:C$746,A1333,'Base bordo'!B$2:B$746,B1333,'Base bordo'!F$2:F$746,"MAN PREVENTIVA - MECANICA"),0)+IFERROR(SUMIFS('Base bordo'!G$2:G$746,'Base bordo'!C$2:C$746,A1333,'Base bordo'!B$2:B$746,B1333,'Base bordo'!F$2:F$746,"MAN CORRETIVA - MECANICA"),0)</f>
        <v>0</v>
      </c>
      <c r="L1333" s="10">
        <f>IFERROR(SUMIFS('Base bordo'!G$2:G$746,'Base bordo'!C$2:C$746,A1333,'Base bordo'!B$2:B$746,B1333,'Base bordo'!F$2:F$746,"MANUTENCAO - T O"),0)+IFERROR(SUMIFS('Base bordo'!G$2:G$746,'Base bordo'!C$2:C$746,A1333,'Base bordo'!B$2:B$746,B1333,'Base bordo'!F$2:F$746,"MANUTENCAO BORRACHARIA"),0)+IFERROR(SUMIFS('Base bordo'!G$2:G$746,'Base bordo'!C$2:C$746,A1333,'Base bordo'!B$2:B$746,B1333,'Base bordo'!F$2:F$746,"MANUTENCAO EXTERNA  CONCESSIONARIA"),0)+IFERROR(SUMIFS('Base bordo'!G$2:G$746,'Base bordo'!C$2:C$746,A1333,'Base bordo'!B$2:B$746,B1333,'Base bordo'!F$2:F$746,"MANUTENCAO TELEMETRIA"),0)</f>
        <v>0</v>
      </c>
      <c r="M1333" s="10">
        <f>IFERROR(SUMIFS('Base bordo'!G$2:G$746,'Base bordo'!C$2:C$746,A1333,'Base bordo'!B$2:B$746,B1333,'Base bordo'!F$2:F$746,"AGUARDANDO MANUTENCAO"),0)</f>
        <v>0</v>
      </c>
      <c r="N1333" s="10">
        <f>IFERROR(SUMIFS('Base bordo'!G$2:G$746,'Base bordo'!C$2:C$746,A1333,'Base bordo'!B$2:B$746,B1333,'Base bordo'!F$2:F$746,"SEM APONTAMENTO"),0)</f>
        <v>0</v>
      </c>
      <c r="O1333" s="10">
        <f t="shared" si="132"/>
        <v>0</v>
      </c>
      <c r="P1333" s="10">
        <f>IFERROR(SUMIFS('Base bordo'!G$2:G$746,'Base bordo'!C$2:C$746,A1333,'Base bordo'!B$2:B$746,B1333),0)</f>
        <v>11.996666666666666</v>
      </c>
      <c r="Q1333" s="10">
        <f>IFERROR(SUMIFS('Base bordo'!H$2:H$746,'Base bordo'!C$2:C$746,A1333,'Base bordo'!B$2:B$746,B1333,'Base bordo'!F$2:F$746,"DESLOCAMENTO VAZIO"),0)</f>
        <v>368512.23</v>
      </c>
      <c r="R1333" s="10">
        <f>IFERROR(SUMIFS('Base bordo'!I$2:I$746,'Base bordo'!C$2:C$746,A1333,'Base bordo'!B$2:B$746,B1333,'Base bordo'!F$2:F$746,"DESLOCAMENTO VAZIO"),0)</f>
        <v>11217</v>
      </c>
      <c r="S1333" s="30">
        <f t="shared" si="133"/>
        <v>32.853011500401173</v>
      </c>
      <c r="T1333" s="10">
        <f>IFERROR(SUMIFS('Base bordo'!H$2:H$746,'Base bordo'!C$2:C$746,A1333,'Base bordo'!B$2:B$746,B1333,'Base bordo'!F$2:F$746,"DESLOCAMENTO CARREGADO"),0)</f>
        <v>421365.02999999997</v>
      </c>
      <c r="U1333" s="10">
        <f>IFERROR(SUMIFS('Base bordo'!I$2:I$746,'Base bordo'!C$2:C$746,A1333,'Base bordo'!B$2:B$746,B1333,'Base bordo'!F$2:F$746,"DESLOCAMENTO CARREGADO"),0)</f>
        <v>17049</v>
      </c>
      <c r="V1333" s="30">
        <f t="shared" si="134"/>
        <v>24.714941052261128</v>
      </c>
      <c r="W1333" s="9">
        <f t="shared" si="135"/>
        <v>0.25972492358988608</v>
      </c>
      <c r="X1333" s="9">
        <f t="shared" si="136"/>
        <v>0.39476243400944705</v>
      </c>
      <c r="Y1333" s="9">
        <f t="shared" si="137"/>
        <v>0.34551264240066681</v>
      </c>
    </row>
    <row r="1334" spans="1:25" ht="15" customHeight="1" x14ac:dyDescent="0.35">
      <c r="A1334" s="52">
        <v>8013482</v>
      </c>
      <c r="B1334" s="51">
        <v>46124</v>
      </c>
      <c r="C1334" s="7" t="s">
        <v>124</v>
      </c>
      <c r="D1334" s="10">
        <f>IFERROR(SUMIFS('Base bordo'!G$2:G$746,'Base bordo'!C$2:C$746,A1334,'Base bordo'!B$2:B$746,B1334,'Base bordo'!F$2:F$746,"DESLOCAMENTO VAZIO"),0)</f>
        <v>3.1158333333333332</v>
      </c>
      <c r="E1334" s="10">
        <f>IFERROR(SUMIFS('Base bordo'!G$2:G$746,'Base bordo'!C$2:C$746,A1334,'Base bordo'!B$2:B$746,B1334,'Base bordo'!F$2:F$746,"DESLOCAMENTO CARREGADO"),0)</f>
        <v>4.7358333333333329</v>
      </c>
      <c r="F1334" s="10">
        <f>IFERROR(SUMIFS('Base bordo'!G$2:G$746,'Base bordo'!C$2:C$746,A1334,'Base bordo'!B$2:B$746,B1334,'Base bordo'!F$2:F$746,"DESLOCAMENTO"),0)</f>
        <v>0</v>
      </c>
      <c r="G1334" s="10">
        <f>IFERROR(SUMIFS('Base bordo'!G$2:G$746,'Base bordo'!C$2:C$746,A1334,'Base bordo'!B$2:B$746,B1334,'Base bordo'!F$2:F$746,"CARREGAMENTO"),0)</f>
        <v>0</v>
      </c>
      <c r="H1334" s="10">
        <f>IFERROR(SUMIFS('Base bordo'!G$2:G$746,'Base bordo'!C$2:C$746,A1334,'Base bordo'!B$2:B$746,B1334,'Base bordo'!F$2:F$746,"AGUARDANDO TRANSBORDO"),0)</f>
        <v>0.68361111111111106</v>
      </c>
      <c r="I1334" s="10">
        <f>IFERROR(SUMIFS('Base bordo'!G$2:G$746,'Base bordo'!C$2:C$746,A1334,'Base bordo'!B$2:B$746,B1334,'Base bordo'!F$2:F$746,"PÁTIO INTERNO"),0)+IFERROR(SUMIFS('Base bordo'!G$2:G$746,'Base bordo'!C$2:C$746,A1334,'Base bordo'!B$2:B$746,B1334,'Base bordo'!F$2:F$746,"PÁTIO EXTERNO"),0)+IFERROR(SUMIFS('Base bordo'!G$2:G$746,'Base bordo'!C$2:C$746,A1334,'Base bordo'!B$2:B$746,B1334,'Base bordo'!F$2:F$746,"PATIO - RESERVA"),0)+IFERROR(SUMIFS('Base bordo'!G$2:G$746,'Base bordo'!C$2:C$746,A1334,'Base bordo'!B$2:B$746,B1334,'Base bordo'!F$2:F$746,"MANOBRA CARRETAS-PATIO"),0)</f>
        <v>3.3277777777777775</v>
      </c>
      <c r="J1334" s="10">
        <f>IFERROR(SUMIFS('Base bordo'!G$2:G$746,'Base bordo'!C$2:C$746,A1334,'Base bordo'!B$2:B$746,B1334,'Base bordo'!F$2:F$746,"BALANÇA - ENTRADA"),0)+IFERROR(SUMIFS('Base bordo'!G$2:G$746,'Base bordo'!C$2:C$746,A1334,'Base bordo'!B$2:B$746,B1334,'Base bordo'!F$2:F$746,"BALANÇA - SAÍDA"),0)</f>
        <v>0.1336111111111111</v>
      </c>
      <c r="K1334" s="10">
        <f>IFERROR(SUMIFS('Base bordo'!G$2:G$746,'Base bordo'!C$2:C$746,A1334,'Base bordo'!B$2:B$746,B1334,'Base bordo'!F$2:F$746,"MAN PREVENTIVA - MECANICA"),0)+IFERROR(SUMIFS('Base bordo'!G$2:G$746,'Base bordo'!C$2:C$746,A1334,'Base bordo'!B$2:B$746,B1334,'Base bordo'!F$2:F$746,"MAN CORRETIVA - MECANICA"),0)</f>
        <v>0</v>
      </c>
      <c r="L1334" s="10">
        <f>IFERROR(SUMIFS('Base bordo'!G$2:G$746,'Base bordo'!C$2:C$746,A1334,'Base bordo'!B$2:B$746,B1334,'Base bordo'!F$2:F$746,"MANUTENCAO - T O"),0)+IFERROR(SUMIFS('Base bordo'!G$2:G$746,'Base bordo'!C$2:C$746,A1334,'Base bordo'!B$2:B$746,B1334,'Base bordo'!F$2:F$746,"MANUTENCAO BORRACHARIA"),0)+IFERROR(SUMIFS('Base bordo'!G$2:G$746,'Base bordo'!C$2:C$746,A1334,'Base bordo'!B$2:B$746,B1334,'Base bordo'!F$2:F$746,"MANUTENCAO EXTERNA  CONCESSIONARIA"),0)+IFERROR(SUMIFS('Base bordo'!G$2:G$746,'Base bordo'!C$2:C$746,A1334,'Base bordo'!B$2:B$746,B1334,'Base bordo'!F$2:F$746,"MANUTENCAO TELEMETRIA"),0)</f>
        <v>0</v>
      </c>
      <c r="M1334" s="10">
        <f>IFERROR(SUMIFS('Base bordo'!G$2:G$746,'Base bordo'!C$2:C$746,A1334,'Base bordo'!B$2:B$746,B1334,'Base bordo'!F$2:F$746,"AGUARDANDO MANUTENCAO"),0)</f>
        <v>0</v>
      </c>
      <c r="N1334" s="10">
        <f>IFERROR(SUMIFS('Base bordo'!G$2:G$746,'Base bordo'!C$2:C$746,A1334,'Base bordo'!B$2:B$746,B1334,'Base bordo'!F$2:F$746,"SEM APONTAMENTO"),0)</f>
        <v>0</v>
      </c>
      <c r="O1334" s="10">
        <f t="shared" si="132"/>
        <v>0</v>
      </c>
      <c r="P1334" s="10">
        <f>IFERROR(SUMIFS('Base bordo'!G$2:G$746,'Base bordo'!C$2:C$746,A1334,'Base bordo'!B$2:B$746,B1334),0)</f>
        <v>11.996666666666666</v>
      </c>
      <c r="Q1334" s="10">
        <f>IFERROR(SUMIFS('Base bordo'!H$2:H$746,'Base bordo'!C$2:C$746,A1334,'Base bordo'!B$2:B$746,B1334,'Base bordo'!F$2:F$746,"DESLOCAMENTO VAZIO"),0)</f>
        <v>368512.23</v>
      </c>
      <c r="R1334" s="10">
        <f>IFERROR(SUMIFS('Base bordo'!I$2:I$746,'Base bordo'!C$2:C$746,A1334,'Base bordo'!B$2:B$746,B1334,'Base bordo'!F$2:F$746,"DESLOCAMENTO VAZIO"),0)</f>
        <v>11217</v>
      </c>
      <c r="S1334" s="30">
        <f t="shared" si="133"/>
        <v>32.853011500401173</v>
      </c>
      <c r="T1334" s="10">
        <f>IFERROR(SUMIFS('Base bordo'!H$2:H$746,'Base bordo'!C$2:C$746,A1334,'Base bordo'!B$2:B$746,B1334,'Base bordo'!F$2:F$746,"DESLOCAMENTO CARREGADO"),0)</f>
        <v>421365.02999999997</v>
      </c>
      <c r="U1334" s="10">
        <f>IFERROR(SUMIFS('Base bordo'!I$2:I$746,'Base bordo'!C$2:C$746,A1334,'Base bordo'!B$2:B$746,B1334,'Base bordo'!F$2:F$746,"DESLOCAMENTO CARREGADO"),0)</f>
        <v>17049</v>
      </c>
      <c r="V1334" s="30">
        <f t="shared" si="134"/>
        <v>24.714941052261128</v>
      </c>
      <c r="W1334" s="9">
        <f t="shared" si="135"/>
        <v>0.25972492358988608</v>
      </c>
      <c r="X1334" s="9">
        <f t="shared" si="136"/>
        <v>0.39476243400944705</v>
      </c>
      <c r="Y1334" s="9">
        <f t="shared" si="137"/>
        <v>0.34551264240066681</v>
      </c>
    </row>
    <row r="1335" spans="1:25" ht="15" customHeight="1" x14ac:dyDescent="0.35">
      <c r="A1335" s="52">
        <v>8013482</v>
      </c>
      <c r="B1335" s="51">
        <v>46124</v>
      </c>
      <c r="C1335" s="7" t="s">
        <v>124</v>
      </c>
      <c r="D1335" s="10">
        <f>IFERROR(SUMIFS('Base bordo'!G$2:G$746,'Base bordo'!C$2:C$746,A1335,'Base bordo'!B$2:B$746,B1335,'Base bordo'!F$2:F$746,"DESLOCAMENTO VAZIO"),0)</f>
        <v>3.1158333333333332</v>
      </c>
      <c r="E1335" s="10">
        <f>IFERROR(SUMIFS('Base bordo'!G$2:G$746,'Base bordo'!C$2:C$746,A1335,'Base bordo'!B$2:B$746,B1335,'Base bordo'!F$2:F$746,"DESLOCAMENTO CARREGADO"),0)</f>
        <v>4.7358333333333329</v>
      </c>
      <c r="F1335" s="10">
        <f>IFERROR(SUMIFS('Base bordo'!G$2:G$746,'Base bordo'!C$2:C$746,A1335,'Base bordo'!B$2:B$746,B1335,'Base bordo'!F$2:F$746,"DESLOCAMENTO"),0)</f>
        <v>0</v>
      </c>
      <c r="G1335" s="10">
        <f>IFERROR(SUMIFS('Base bordo'!G$2:G$746,'Base bordo'!C$2:C$746,A1335,'Base bordo'!B$2:B$746,B1335,'Base bordo'!F$2:F$746,"CARREGAMENTO"),0)</f>
        <v>0</v>
      </c>
      <c r="H1335" s="10">
        <f>IFERROR(SUMIFS('Base bordo'!G$2:G$746,'Base bordo'!C$2:C$746,A1335,'Base bordo'!B$2:B$746,B1335,'Base bordo'!F$2:F$746,"AGUARDANDO TRANSBORDO"),0)</f>
        <v>0.68361111111111106</v>
      </c>
      <c r="I1335" s="10">
        <f>IFERROR(SUMIFS('Base bordo'!G$2:G$746,'Base bordo'!C$2:C$746,A1335,'Base bordo'!B$2:B$746,B1335,'Base bordo'!F$2:F$746,"PÁTIO INTERNO"),0)+IFERROR(SUMIFS('Base bordo'!G$2:G$746,'Base bordo'!C$2:C$746,A1335,'Base bordo'!B$2:B$746,B1335,'Base bordo'!F$2:F$746,"PÁTIO EXTERNO"),0)+IFERROR(SUMIFS('Base bordo'!G$2:G$746,'Base bordo'!C$2:C$746,A1335,'Base bordo'!B$2:B$746,B1335,'Base bordo'!F$2:F$746,"PATIO - RESERVA"),0)+IFERROR(SUMIFS('Base bordo'!G$2:G$746,'Base bordo'!C$2:C$746,A1335,'Base bordo'!B$2:B$746,B1335,'Base bordo'!F$2:F$746,"MANOBRA CARRETAS-PATIO"),0)</f>
        <v>3.3277777777777775</v>
      </c>
      <c r="J1335" s="10">
        <f>IFERROR(SUMIFS('Base bordo'!G$2:G$746,'Base bordo'!C$2:C$746,A1335,'Base bordo'!B$2:B$746,B1335,'Base bordo'!F$2:F$746,"BALANÇA - ENTRADA"),0)+IFERROR(SUMIFS('Base bordo'!G$2:G$746,'Base bordo'!C$2:C$746,A1335,'Base bordo'!B$2:B$746,B1335,'Base bordo'!F$2:F$746,"BALANÇA - SAÍDA"),0)</f>
        <v>0.1336111111111111</v>
      </c>
      <c r="K1335" s="10">
        <f>IFERROR(SUMIFS('Base bordo'!G$2:G$746,'Base bordo'!C$2:C$746,A1335,'Base bordo'!B$2:B$746,B1335,'Base bordo'!F$2:F$746,"MAN PREVENTIVA - MECANICA"),0)+IFERROR(SUMIFS('Base bordo'!G$2:G$746,'Base bordo'!C$2:C$746,A1335,'Base bordo'!B$2:B$746,B1335,'Base bordo'!F$2:F$746,"MAN CORRETIVA - MECANICA"),0)</f>
        <v>0</v>
      </c>
      <c r="L1335" s="10">
        <f>IFERROR(SUMIFS('Base bordo'!G$2:G$746,'Base bordo'!C$2:C$746,A1335,'Base bordo'!B$2:B$746,B1335,'Base bordo'!F$2:F$746,"MANUTENCAO - T O"),0)+IFERROR(SUMIFS('Base bordo'!G$2:G$746,'Base bordo'!C$2:C$746,A1335,'Base bordo'!B$2:B$746,B1335,'Base bordo'!F$2:F$746,"MANUTENCAO BORRACHARIA"),0)+IFERROR(SUMIFS('Base bordo'!G$2:G$746,'Base bordo'!C$2:C$746,A1335,'Base bordo'!B$2:B$746,B1335,'Base bordo'!F$2:F$746,"MANUTENCAO EXTERNA  CONCESSIONARIA"),0)+IFERROR(SUMIFS('Base bordo'!G$2:G$746,'Base bordo'!C$2:C$746,A1335,'Base bordo'!B$2:B$746,B1335,'Base bordo'!F$2:F$746,"MANUTENCAO TELEMETRIA"),0)</f>
        <v>0</v>
      </c>
      <c r="M1335" s="10">
        <f>IFERROR(SUMIFS('Base bordo'!G$2:G$746,'Base bordo'!C$2:C$746,A1335,'Base bordo'!B$2:B$746,B1335,'Base bordo'!F$2:F$746,"AGUARDANDO MANUTENCAO"),0)</f>
        <v>0</v>
      </c>
      <c r="N1335" s="10">
        <f>IFERROR(SUMIFS('Base bordo'!G$2:G$746,'Base bordo'!C$2:C$746,A1335,'Base bordo'!B$2:B$746,B1335,'Base bordo'!F$2:F$746,"SEM APONTAMENTO"),0)</f>
        <v>0</v>
      </c>
      <c r="O1335" s="10">
        <f t="shared" si="132"/>
        <v>0</v>
      </c>
      <c r="P1335" s="10">
        <f>IFERROR(SUMIFS('Base bordo'!G$2:G$746,'Base bordo'!C$2:C$746,A1335,'Base bordo'!B$2:B$746,B1335),0)</f>
        <v>11.996666666666666</v>
      </c>
      <c r="Q1335" s="10">
        <f>IFERROR(SUMIFS('Base bordo'!H$2:H$746,'Base bordo'!C$2:C$746,A1335,'Base bordo'!B$2:B$746,B1335,'Base bordo'!F$2:F$746,"DESLOCAMENTO VAZIO"),0)</f>
        <v>368512.23</v>
      </c>
      <c r="R1335" s="10">
        <f>IFERROR(SUMIFS('Base bordo'!I$2:I$746,'Base bordo'!C$2:C$746,A1335,'Base bordo'!B$2:B$746,B1335,'Base bordo'!F$2:F$746,"DESLOCAMENTO VAZIO"),0)</f>
        <v>11217</v>
      </c>
      <c r="S1335" s="30">
        <f t="shared" si="133"/>
        <v>32.853011500401173</v>
      </c>
      <c r="T1335" s="10">
        <f>IFERROR(SUMIFS('Base bordo'!H$2:H$746,'Base bordo'!C$2:C$746,A1335,'Base bordo'!B$2:B$746,B1335,'Base bordo'!F$2:F$746,"DESLOCAMENTO CARREGADO"),0)</f>
        <v>421365.02999999997</v>
      </c>
      <c r="U1335" s="10">
        <f>IFERROR(SUMIFS('Base bordo'!I$2:I$746,'Base bordo'!C$2:C$746,A1335,'Base bordo'!B$2:B$746,B1335,'Base bordo'!F$2:F$746,"DESLOCAMENTO CARREGADO"),0)</f>
        <v>17049</v>
      </c>
      <c r="V1335" s="30">
        <f t="shared" si="134"/>
        <v>24.714941052261128</v>
      </c>
      <c r="W1335" s="9">
        <f t="shared" si="135"/>
        <v>0.25972492358988608</v>
      </c>
      <c r="X1335" s="9">
        <f t="shared" si="136"/>
        <v>0.39476243400944705</v>
      </c>
      <c r="Y1335" s="9">
        <f t="shared" si="137"/>
        <v>0.34551264240066681</v>
      </c>
    </row>
    <row r="1336" spans="1:25" ht="15" customHeight="1" x14ac:dyDescent="0.35">
      <c r="A1336" s="52">
        <v>8013482</v>
      </c>
      <c r="B1336" s="51">
        <v>46124</v>
      </c>
      <c r="C1336" s="7" t="s">
        <v>124</v>
      </c>
      <c r="D1336" s="10">
        <f>IFERROR(SUMIFS('Base bordo'!G$2:G$746,'Base bordo'!C$2:C$746,A1336,'Base bordo'!B$2:B$746,B1336,'Base bordo'!F$2:F$746,"DESLOCAMENTO VAZIO"),0)</f>
        <v>3.1158333333333332</v>
      </c>
      <c r="E1336" s="10">
        <f>IFERROR(SUMIFS('Base bordo'!G$2:G$746,'Base bordo'!C$2:C$746,A1336,'Base bordo'!B$2:B$746,B1336,'Base bordo'!F$2:F$746,"DESLOCAMENTO CARREGADO"),0)</f>
        <v>4.7358333333333329</v>
      </c>
      <c r="F1336" s="10">
        <f>IFERROR(SUMIFS('Base bordo'!G$2:G$746,'Base bordo'!C$2:C$746,A1336,'Base bordo'!B$2:B$746,B1336,'Base bordo'!F$2:F$746,"DESLOCAMENTO"),0)</f>
        <v>0</v>
      </c>
      <c r="G1336" s="10">
        <f>IFERROR(SUMIFS('Base bordo'!G$2:G$746,'Base bordo'!C$2:C$746,A1336,'Base bordo'!B$2:B$746,B1336,'Base bordo'!F$2:F$746,"CARREGAMENTO"),0)</f>
        <v>0</v>
      </c>
      <c r="H1336" s="10">
        <f>IFERROR(SUMIFS('Base bordo'!G$2:G$746,'Base bordo'!C$2:C$746,A1336,'Base bordo'!B$2:B$746,B1336,'Base bordo'!F$2:F$746,"AGUARDANDO TRANSBORDO"),0)</f>
        <v>0.68361111111111106</v>
      </c>
      <c r="I1336" s="10">
        <f>IFERROR(SUMIFS('Base bordo'!G$2:G$746,'Base bordo'!C$2:C$746,A1336,'Base bordo'!B$2:B$746,B1336,'Base bordo'!F$2:F$746,"PÁTIO INTERNO"),0)+IFERROR(SUMIFS('Base bordo'!G$2:G$746,'Base bordo'!C$2:C$746,A1336,'Base bordo'!B$2:B$746,B1336,'Base bordo'!F$2:F$746,"PÁTIO EXTERNO"),0)+IFERROR(SUMIFS('Base bordo'!G$2:G$746,'Base bordo'!C$2:C$746,A1336,'Base bordo'!B$2:B$746,B1336,'Base bordo'!F$2:F$746,"PATIO - RESERVA"),0)+IFERROR(SUMIFS('Base bordo'!G$2:G$746,'Base bordo'!C$2:C$746,A1336,'Base bordo'!B$2:B$746,B1336,'Base bordo'!F$2:F$746,"MANOBRA CARRETAS-PATIO"),0)</f>
        <v>3.3277777777777775</v>
      </c>
      <c r="J1336" s="10">
        <f>IFERROR(SUMIFS('Base bordo'!G$2:G$746,'Base bordo'!C$2:C$746,A1336,'Base bordo'!B$2:B$746,B1336,'Base bordo'!F$2:F$746,"BALANÇA - ENTRADA"),0)+IFERROR(SUMIFS('Base bordo'!G$2:G$746,'Base bordo'!C$2:C$746,A1336,'Base bordo'!B$2:B$746,B1336,'Base bordo'!F$2:F$746,"BALANÇA - SAÍDA"),0)</f>
        <v>0.1336111111111111</v>
      </c>
      <c r="K1336" s="10">
        <f>IFERROR(SUMIFS('Base bordo'!G$2:G$746,'Base bordo'!C$2:C$746,A1336,'Base bordo'!B$2:B$746,B1336,'Base bordo'!F$2:F$746,"MAN PREVENTIVA - MECANICA"),0)+IFERROR(SUMIFS('Base bordo'!G$2:G$746,'Base bordo'!C$2:C$746,A1336,'Base bordo'!B$2:B$746,B1336,'Base bordo'!F$2:F$746,"MAN CORRETIVA - MECANICA"),0)</f>
        <v>0</v>
      </c>
      <c r="L1336" s="10">
        <f>IFERROR(SUMIFS('Base bordo'!G$2:G$746,'Base bordo'!C$2:C$746,A1336,'Base bordo'!B$2:B$746,B1336,'Base bordo'!F$2:F$746,"MANUTENCAO - T O"),0)+IFERROR(SUMIFS('Base bordo'!G$2:G$746,'Base bordo'!C$2:C$746,A1336,'Base bordo'!B$2:B$746,B1336,'Base bordo'!F$2:F$746,"MANUTENCAO BORRACHARIA"),0)+IFERROR(SUMIFS('Base bordo'!G$2:G$746,'Base bordo'!C$2:C$746,A1336,'Base bordo'!B$2:B$746,B1336,'Base bordo'!F$2:F$746,"MANUTENCAO EXTERNA  CONCESSIONARIA"),0)+IFERROR(SUMIFS('Base bordo'!G$2:G$746,'Base bordo'!C$2:C$746,A1336,'Base bordo'!B$2:B$746,B1336,'Base bordo'!F$2:F$746,"MANUTENCAO TELEMETRIA"),0)</f>
        <v>0</v>
      </c>
      <c r="M1336" s="10">
        <f>IFERROR(SUMIFS('Base bordo'!G$2:G$746,'Base bordo'!C$2:C$746,A1336,'Base bordo'!B$2:B$746,B1336,'Base bordo'!F$2:F$746,"AGUARDANDO MANUTENCAO"),0)</f>
        <v>0</v>
      </c>
      <c r="N1336" s="10">
        <f>IFERROR(SUMIFS('Base bordo'!G$2:G$746,'Base bordo'!C$2:C$746,A1336,'Base bordo'!B$2:B$746,B1336,'Base bordo'!F$2:F$746,"SEM APONTAMENTO"),0)</f>
        <v>0</v>
      </c>
      <c r="O1336" s="10">
        <f t="shared" si="132"/>
        <v>0</v>
      </c>
      <c r="P1336" s="10">
        <f>IFERROR(SUMIFS('Base bordo'!G$2:G$746,'Base bordo'!C$2:C$746,A1336,'Base bordo'!B$2:B$746,B1336),0)</f>
        <v>11.996666666666666</v>
      </c>
      <c r="Q1336" s="10">
        <f>IFERROR(SUMIFS('Base bordo'!H$2:H$746,'Base bordo'!C$2:C$746,A1336,'Base bordo'!B$2:B$746,B1336,'Base bordo'!F$2:F$746,"DESLOCAMENTO VAZIO"),0)</f>
        <v>368512.23</v>
      </c>
      <c r="R1336" s="10">
        <f>IFERROR(SUMIFS('Base bordo'!I$2:I$746,'Base bordo'!C$2:C$746,A1336,'Base bordo'!B$2:B$746,B1336,'Base bordo'!F$2:F$746,"DESLOCAMENTO VAZIO"),0)</f>
        <v>11217</v>
      </c>
      <c r="S1336" s="30">
        <f t="shared" si="133"/>
        <v>32.853011500401173</v>
      </c>
      <c r="T1336" s="10">
        <f>IFERROR(SUMIFS('Base bordo'!H$2:H$746,'Base bordo'!C$2:C$746,A1336,'Base bordo'!B$2:B$746,B1336,'Base bordo'!F$2:F$746,"DESLOCAMENTO CARREGADO"),0)</f>
        <v>421365.02999999997</v>
      </c>
      <c r="U1336" s="10">
        <f>IFERROR(SUMIFS('Base bordo'!I$2:I$746,'Base bordo'!C$2:C$746,A1336,'Base bordo'!B$2:B$746,B1336,'Base bordo'!F$2:F$746,"DESLOCAMENTO CARREGADO"),0)</f>
        <v>17049</v>
      </c>
      <c r="V1336" s="30">
        <f t="shared" si="134"/>
        <v>24.714941052261128</v>
      </c>
      <c r="W1336" s="9">
        <f t="shared" si="135"/>
        <v>0.25972492358988608</v>
      </c>
      <c r="X1336" s="9">
        <f t="shared" si="136"/>
        <v>0.39476243400944705</v>
      </c>
      <c r="Y1336" s="9">
        <f t="shared" si="137"/>
        <v>0.34551264240066681</v>
      </c>
    </row>
    <row r="1337" spans="1:25" ht="15" customHeight="1" x14ac:dyDescent="0.35">
      <c r="A1337" s="52">
        <v>8013482</v>
      </c>
      <c r="B1337" s="51">
        <v>46124</v>
      </c>
      <c r="C1337" s="7" t="s">
        <v>124</v>
      </c>
      <c r="D1337" s="10">
        <f>IFERROR(SUMIFS('Base bordo'!G$2:G$746,'Base bordo'!C$2:C$746,A1337,'Base bordo'!B$2:B$746,B1337,'Base bordo'!F$2:F$746,"DESLOCAMENTO VAZIO"),0)</f>
        <v>3.1158333333333332</v>
      </c>
      <c r="E1337" s="10">
        <f>IFERROR(SUMIFS('Base bordo'!G$2:G$746,'Base bordo'!C$2:C$746,A1337,'Base bordo'!B$2:B$746,B1337,'Base bordo'!F$2:F$746,"DESLOCAMENTO CARREGADO"),0)</f>
        <v>4.7358333333333329</v>
      </c>
      <c r="F1337" s="10">
        <f>IFERROR(SUMIFS('Base bordo'!G$2:G$746,'Base bordo'!C$2:C$746,A1337,'Base bordo'!B$2:B$746,B1337,'Base bordo'!F$2:F$746,"DESLOCAMENTO"),0)</f>
        <v>0</v>
      </c>
      <c r="G1337" s="10">
        <f>IFERROR(SUMIFS('Base bordo'!G$2:G$746,'Base bordo'!C$2:C$746,A1337,'Base bordo'!B$2:B$746,B1337,'Base bordo'!F$2:F$746,"CARREGAMENTO"),0)</f>
        <v>0</v>
      </c>
      <c r="H1337" s="10">
        <f>IFERROR(SUMIFS('Base bordo'!G$2:G$746,'Base bordo'!C$2:C$746,A1337,'Base bordo'!B$2:B$746,B1337,'Base bordo'!F$2:F$746,"AGUARDANDO TRANSBORDO"),0)</f>
        <v>0.68361111111111106</v>
      </c>
      <c r="I1337" s="10">
        <f>IFERROR(SUMIFS('Base bordo'!G$2:G$746,'Base bordo'!C$2:C$746,A1337,'Base bordo'!B$2:B$746,B1337,'Base bordo'!F$2:F$746,"PÁTIO INTERNO"),0)+IFERROR(SUMIFS('Base bordo'!G$2:G$746,'Base bordo'!C$2:C$746,A1337,'Base bordo'!B$2:B$746,B1337,'Base bordo'!F$2:F$746,"PÁTIO EXTERNO"),0)+IFERROR(SUMIFS('Base bordo'!G$2:G$746,'Base bordo'!C$2:C$746,A1337,'Base bordo'!B$2:B$746,B1337,'Base bordo'!F$2:F$746,"PATIO - RESERVA"),0)+IFERROR(SUMIFS('Base bordo'!G$2:G$746,'Base bordo'!C$2:C$746,A1337,'Base bordo'!B$2:B$746,B1337,'Base bordo'!F$2:F$746,"MANOBRA CARRETAS-PATIO"),0)</f>
        <v>3.3277777777777775</v>
      </c>
      <c r="J1337" s="10">
        <f>IFERROR(SUMIFS('Base bordo'!G$2:G$746,'Base bordo'!C$2:C$746,A1337,'Base bordo'!B$2:B$746,B1337,'Base bordo'!F$2:F$746,"BALANÇA - ENTRADA"),0)+IFERROR(SUMIFS('Base bordo'!G$2:G$746,'Base bordo'!C$2:C$746,A1337,'Base bordo'!B$2:B$746,B1337,'Base bordo'!F$2:F$746,"BALANÇA - SAÍDA"),0)</f>
        <v>0.1336111111111111</v>
      </c>
      <c r="K1337" s="10">
        <f>IFERROR(SUMIFS('Base bordo'!G$2:G$746,'Base bordo'!C$2:C$746,A1337,'Base bordo'!B$2:B$746,B1337,'Base bordo'!F$2:F$746,"MAN PREVENTIVA - MECANICA"),0)+IFERROR(SUMIFS('Base bordo'!G$2:G$746,'Base bordo'!C$2:C$746,A1337,'Base bordo'!B$2:B$746,B1337,'Base bordo'!F$2:F$746,"MAN CORRETIVA - MECANICA"),0)</f>
        <v>0</v>
      </c>
      <c r="L1337" s="10">
        <f>IFERROR(SUMIFS('Base bordo'!G$2:G$746,'Base bordo'!C$2:C$746,A1337,'Base bordo'!B$2:B$746,B1337,'Base bordo'!F$2:F$746,"MANUTENCAO - T O"),0)+IFERROR(SUMIFS('Base bordo'!G$2:G$746,'Base bordo'!C$2:C$746,A1337,'Base bordo'!B$2:B$746,B1337,'Base bordo'!F$2:F$746,"MANUTENCAO BORRACHARIA"),0)+IFERROR(SUMIFS('Base bordo'!G$2:G$746,'Base bordo'!C$2:C$746,A1337,'Base bordo'!B$2:B$746,B1337,'Base bordo'!F$2:F$746,"MANUTENCAO EXTERNA  CONCESSIONARIA"),0)+IFERROR(SUMIFS('Base bordo'!G$2:G$746,'Base bordo'!C$2:C$746,A1337,'Base bordo'!B$2:B$746,B1337,'Base bordo'!F$2:F$746,"MANUTENCAO TELEMETRIA"),0)</f>
        <v>0</v>
      </c>
      <c r="M1337" s="10">
        <f>IFERROR(SUMIFS('Base bordo'!G$2:G$746,'Base bordo'!C$2:C$746,A1337,'Base bordo'!B$2:B$746,B1337,'Base bordo'!F$2:F$746,"AGUARDANDO MANUTENCAO"),0)</f>
        <v>0</v>
      </c>
      <c r="N1337" s="10">
        <f>IFERROR(SUMIFS('Base bordo'!G$2:G$746,'Base bordo'!C$2:C$746,A1337,'Base bordo'!B$2:B$746,B1337,'Base bordo'!F$2:F$746,"SEM APONTAMENTO"),0)</f>
        <v>0</v>
      </c>
      <c r="O1337" s="10">
        <f t="shared" si="132"/>
        <v>0</v>
      </c>
      <c r="P1337" s="10">
        <f>IFERROR(SUMIFS('Base bordo'!G$2:G$746,'Base bordo'!C$2:C$746,A1337,'Base bordo'!B$2:B$746,B1337),0)</f>
        <v>11.996666666666666</v>
      </c>
      <c r="Q1337" s="10">
        <f>IFERROR(SUMIFS('Base bordo'!H$2:H$746,'Base bordo'!C$2:C$746,A1337,'Base bordo'!B$2:B$746,B1337,'Base bordo'!F$2:F$746,"DESLOCAMENTO VAZIO"),0)</f>
        <v>368512.23</v>
      </c>
      <c r="R1337" s="10">
        <f>IFERROR(SUMIFS('Base bordo'!I$2:I$746,'Base bordo'!C$2:C$746,A1337,'Base bordo'!B$2:B$746,B1337,'Base bordo'!F$2:F$746,"DESLOCAMENTO VAZIO"),0)</f>
        <v>11217</v>
      </c>
      <c r="S1337" s="30">
        <f t="shared" si="133"/>
        <v>32.853011500401173</v>
      </c>
      <c r="T1337" s="10">
        <f>IFERROR(SUMIFS('Base bordo'!H$2:H$746,'Base bordo'!C$2:C$746,A1337,'Base bordo'!B$2:B$746,B1337,'Base bordo'!F$2:F$746,"DESLOCAMENTO CARREGADO"),0)</f>
        <v>421365.02999999997</v>
      </c>
      <c r="U1337" s="10">
        <f>IFERROR(SUMIFS('Base bordo'!I$2:I$746,'Base bordo'!C$2:C$746,A1337,'Base bordo'!B$2:B$746,B1337,'Base bordo'!F$2:F$746,"DESLOCAMENTO CARREGADO"),0)</f>
        <v>17049</v>
      </c>
      <c r="V1337" s="30">
        <f t="shared" si="134"/>
        <v>24.714941052261128</v>
      </c>
      <c r="W1337" s="9">
        <f t="shared" si="135"/>
        <v>0.25972492358988608</v>
      </c>
      <c r="X1337" s="9">
        <f t="shared" si="136"/>
        <v>0.39476243400944705</v>
      </c>
      <c r="Y1337" s="9">
        <f t="shared" si="137"/>
        <v>0.34551264240066681</v>
      </c>
    </row>
    <row r="1338" spans="1:25" ht="15" customHeight="1" x14ac:dyDescent="0.35">
      <c r="A1338" s="52">
        <v>8013482</v>
      </c>
      <c r="B1338" s="51">
        <v>46124</v>
      </c>
      <c r="C1338" s="7" t="s">
        <v>124</v>
      </c>
      <c r="D1338" s="10">
        <f>IFERROR(SUMIFS('Base bordo'!G$2:G$746,'Base bordo'!C$2:C$746,A1338,'Base bordo'!B$2:B$746,B1338,'Base bordo'!F$2:F$746,"DESLOCAMENTO VAZIO"),0)</f>
        <v>3.1158333333333332</v>
      </c>
      <c r="E1338" s="10">
        <f>IFERROR(SUMIFS('Base bordo'!G$2:G$746,'Base bordo'!C$2:C$746,A1338,'Base bordo'!B$2:B$746,B1338,'Base bordo'!F$2:F$746,"DESLOCAMENTO CARREGADO"),0)</f>
        <v>4.7358333333333329</v>
      </c>
      <c r="F1338" s="10">
        <f>IFERROR(SUMIFS('Base bordo'!G$2:G$746,'Base bordo'!C$2:C$746,A1338,'Base bordo'!B$2:B$746,B1338,'Base bordo'!F$2:F$746,"DESLOCAMENTO"),0)</f>
        <v>0</v>
      </c>
      <c r="G1338" s="10">
        <f>IFERROR(SUMIFS('Base bordo'!G$2:G$746,'Base bordo'!C$2:C$746,A1338,'Base bordo'!B$2:B$746,B1338,'Base bordo'!F$2:F$746,"CARREGAMENTO"),0)</f>
        <v>0</v>
      </c>
      <c r="H1338" s="10">
        <f>IFERROR(SUMIFS('Base bordo'!G$2:G$746,'Base bordo'!C$2:C$746,A1338,'Base bordo'!B$2:B$746,B1338,'Base bordo'!F$2:F$746,"AGUARDANDO TRANSBORDO"),0)</f>
        <v>0.68361111111111106</v>
      </c>
      <c r="I1338" s="10">
        <f>IFERROR(SUMIFS('Base bordo'!G$2:G$746,'Base bordo'!C$2:C$746,A1338,'Base bordo'!B$2:B$746,B1338,'Base bordo'!F$2:F$746,"PÁTIO INTERNO"),0)+IFERROR(SUMIFS('Base bordo'!G$2:G$746,'Base bordo'!C$2:C$746,A1338,'Base bordo'!B$2:B$746,B1338,'Base bordo'!F$2:F$746,"PÁTIO EXTERNO"),0)+IFERROR(SUMIFS('Base bordo'!G$2:G$746,'Base bordo'!C$2:C$746,A1338,'Base bordo'!B$2:B$746,B1338,'Base bordo'!F$2:F$746,"PATIO - RESERVA"),0)+IFERROR(SUMIFS('Base bordo'!G$2:G$746,'Base bordo'!C$2:C$746,A1338,'Base bordo'!B$2:B$746,B1338,'Base bordo'!F$2:F$746,"MANOBRA CARRETAS-PATIO"),0)</f>
        <v>3.3277777777777775</v>
      </c>
      <c r="J1338" s="10">
        <f>IFERROR(SUMIFS('Base bordo'!G$2:G$746,'Base bordo'!C$2:C$746,A1338,'Base bordo'!B$2:B$746,B1338,'Base bordo'!F$2:F$746,"BALANÇA - ENTRADA"),0)+IFERROR(SUMIFS('Base bordo'!G$2:G$746,'Base bordo'!C$2:C$746,A1338,'Base bordo'!B$2:B$746,B1338,'Base bordo'!F$2:F$746,"BALANÇA - SAÍDA"),0)</f>
        <v>0.1336111111111111</v>
      </c>
      <c r="K1338" s="10">
        <f>IFERROR(SUMIFS('Base bordo'!G$2:G$746,'Base bordo'!C$2:C$746,A1338,'Base bordo'!B$2:B$746,B1338,'Base bordo'!F$2:F$746,"MAN PREVENTIVA - MECANICA"),0)+IFERROR(SUMIFS('Base bordo'!G$2:G$746,'Base bordo'!C$2:C$746,A1338,'Base bordo'!B$2:B$746,B1338,'Base bordo'!F$2:F$746,"MAN CORRETIVA - MECANICA"),0)</f>
        <v>0</v>
      </c>
      <c r="L1338" s="10">
        <f>IFERROR(SUMIFS('Base bordo'!G$2:G$746,'Base bordo'!C$2:C$746,A1338,'Base bordo'!B$2:B$746,B1338,'Base bordo'!F$2:F$746,"MANUTENCAO - T O"),0)+IFERROR(SUMIFS('Base bordo'!G$2:G$746,'Base bordo'!C$2:C$746,A1338,'Base bordo'!B$2:B$746,B1338,'Base bordo'!F$2:F$746,"MANUTENCAO BORRACHARIA"),0)+IFERROR(SUMIFS('Base bordo'!G$2:G$746,'Base bordo'!C$2:C$746,A1338,'Base bordo'!B$2:B$746,B1338,'Base bordo'!F$2:F$746,"MANUTENCAO EXTERNA  CONCESSIONARIA"),0)+IFERROR(SUMIFS('Base bordo'!G$2:G$746,'Base bordo'!C$2:C$746,A1338,'Base bordo'!B$2:B$746,B1338,'Base bordo'!F$2:F$746,"MANUTENCAO TELEMETRIA"),0)</f>
        <v>0</v>
      </c>
      <c r="M1338" s="10">
        <f>IFERROR(SUMIFS('Base bordo'!G$2:G$746,'Base bordo'!C$2:C$746,A1338,'Base bordo'!B$2:B$746,B1338,'Base bordo'!F$2:F$746,"AGUARDANDO MANUTENCAO"),0)</f>
        <v>0</v>
      </c>
      <c r="N1338" s="10">
        <f>IFERROR(SUMIFS('Base bordo'!G$2:G$746,'Base bordo'!C$2:C$746,A1338,'Base bordo'!B$2:B$746,B1338,'Base bordo'!F$2:F$746,"SEM APONTAMENTO"),0)</f>
        <v>0</v>
      </c>
      <c r="O1338" s="10">
        <f t="shared" si="132"/>
        <v>0</v>
      </c>
      <c r="P1338" s="10">
        <f>IFERROR(SUMIFS('Base bordo'!G$2:G$746,'Base bordo'!C$2:C$746,A1338,'Base bordo'!B$2:B$746,B1338),0)</f>
        <v>11.996666666666666</v>
      </c>
      <c r="Q1338" s="10">
        <f>IFERROR(SUMIFS('Base bordo'!H$2:H$746,'Base bordo'!C$2:C$746,A1338,'Base bordo'!B$2:B$746,B1338,'Base bordo'!F$2:F$746,"DESLOCAMENTO VAZIO"),0)</f>
        <v>368512.23</v>
      </c>
      <c r="R1338" s="10">
        <f>IFERROR(SUMIFS('Base bordo'!I$2:I$746,'Base bordo'!C$2:C$746,A1338,'Base bordo'!B$2:B$746,B1338,'Base bordo'!F$2:F$746,"DESLOCAMENTO VAZIO"),0)</f>
        <v>11217</v>
      </c>
      <c r="S1338" s="30">
        <f t="shared" si="133"/>
        <v>32.853011500401173</v>
      </c>
      <c r="T1338" s="10">
        <f>IFERROR(SUMIFS('Base bordo'!H$2:H$746,'Base bordo'!C$2:C$746,A1338,'Base bordo'!B$2:B$746,B1338,'Base bordo'!F$2:F$746,"DESLOCAMENTO CARREGADO"),0)</f>
        <v>421365.02999999997</v>
      </c>
      <c r="U1338" s="10">
        <f>IFERROR(SUMIFS('Base bordo'!I$2:I$746,'Base bordo'!C$2:C$746,A1338,'Base bordo'!B$2:B$746,B1338,'Base bordo'!F$2:F$746,"DESLOCAMENTO CARREGADO"),0)</f>
        <v>17049</v>
      </c>
      <c r="V1338" s="30">
        <f t="shared" si="134"/>
        <v>24.714941052261128</v>
      </c>
      <c r="W1338" s="9">
        <f t="shared" si="135"/>
        <v>0.25972492358988608</v>
      </c>
      <c r="X1338" s="9">
        <f t="shared" si="136"/>
        <v>0.39476243400944705</v>
      </c>
      <c r="Y1338" s="9">
        <f t="shared" si="137"/>
        <v>0.34551264240066681</v>
      </c>
    </row>
    <row r="1339" spans="1:25" ht="15" customHeight="1" x14ac:dyDescent="0.35">
      <c r="A1339" s="52">
        <v>8013482</v>
      </c>
      <c r="B1339" s="51">
        <v>46124</v>
      </c>
      <c r="C1339" s="7" t="s">
        <v>124</v>
      </c>
      <c r="D1339" s="10">
        <f>IFERROR(SUMIFS('Base bordo'!G$2:G$746,'Base bordo'!C$2:C$746,A1339,'Base bordo'!B$2:B$746,B1339,'Base bordo'!F$2:F$746,"DESLOCAMENTO VAZIO"),0)</f>
        <v>3.1158333333333332</v>
      </c>
      <c r="E1339" s="10">
        <f>IFERROR(SUMIFS('Base bordo'!G$2:G$746,'Base bordo'!C$2:C$746,A1339,'Base bordo'!B$2:B$746,B1339,'Base bordo'!F$2:F$746,"DESLOCAMENTO CARREGADO"),0)</f>
        <v>4.7358333333333329</v>
      </c>
      <c r="F1339" s="10">
        <f>IFERROR(SUMIFS('Base bordo'!G$2:G$746,'Base bordo'!C$2:C$746,A1339,'Base bordo'!B$2:B$746,B1339,'Base bordo'!F$2:F$746,"DESLOCAMENTO"),0)</f>
        <v>0</v>
      </c>
      <c r="G1339" s="10">
        <f>IFERROR(SUMIFS('Base bordo'!G$2:G$746,'Base bordo'!C$2:C$746,A1339,'Base bordo'!B$2:B$746,B1339,'Base bordo'!F$2:F$746,"CARREGAMENTO"),0)</f>
        <v>0</v>
      </c>
      <c r="H1339" s="10">
        <f>IFERROR(SUMIFS('Base bordo'!G$2:G$746,'Base bordo'!C$2:C$746,A1339,'Base bordo'!B$2:B$746,B1339,'Base bordo'!F$2:F$746,"AGUARDANDO TRANSBORDO"),0)</f>
        <v>0.68361111111111106</v>
      </c>
      <c r="I1339" s="10">
        <f>IFERROR(SUMIFS('Base bordo'!G$2:G$746,'Base bordo'!C$2:C$746,A1339,'Base bordo'!B$2:B$746,B1339,'Base bordo'!F$2:F$746,"PÁTIO INTERNO"),0)+IFERROR(SUMIFS('Base bordo'!G$2:G$746,'Base bordo'!C$2:C$746,A1339,'Base bordo'!B$2:B$746,B1339,'Base bordo'!F$2:F$746,"PÁTIO EXTERNO"),0)+IFERROR(SUMIFS('Base bordo'!G$2:G$746,'Base bordo'!C$2:C$746,A1339,'Base bordo'!B$2:B$746,B1339,'Base bordo'!F$2:F$746,"PATIO - RESERVA"),0)+IFERROR(SUMIFS('Base bordo'!G$2:G$746,'Base bordo'!C$2:C$746,A1339,'Base bordo'!B$2:B$746,B1339,'Base bordo'!F$2:F$746,"MANOBRA CARRETAS-PATIO"),0)</f>
        <v>3.3277777777777775</v>
      </c>
      <c r="J1339" s="10">
        <f>IFERROR(SUMIFS('Base bordo'!G$2:G$746,'Base bordo'!C$2:C$746,A1339,'Base bordo'!B$2:B$746,B1339,'Base bordo'!F$2:F$746,"BALANÇA - ENTRADA"),0)+IFERROR(SUMIFS('Base bordo'!G$2:G$746,'Base bordo'!C$2:C$746,A1339,'Base bordo'!B$2:B$746,B1339,'Base bordo'!F$2:F$746,"BALANÇA - SAÍDA"),0)</f>
        <v>0.1336111111111111</v>
      </c>
      <c r="K1339" s="10">
        <f>IFERROR(SUMIFS('Base bordo'!G$2:G$746,'Base bordo'!C$2:C$746,A1339,'Base bordo'!B$2:B$746,B1339,'Base bordo'!F$2:F$746,"MAN PREVENTIVA - MECANICA"),0)+IFERROR(SUMIFS('Base bordo'!G$2:G$746,'Base bordo'!C$2:C$746,A1339,'Base bordo'!B$2:B$746,B1339,'Base bordo'!F$2:F$746,"MAN CORRETIVA - MECANICA"),0)</f>
        <v>0</v>
      </c>
      <c r="L1339" s="10">
        <f>IFERROR(SUMIFS('Base bordo'!G$2:G$746,'Base bordo'!C$2:C$746,A1339,'Base bordo'!B$2:B$746,B1339,'Base bordo'!F$2:F$746,"MANUTENCAO - T O"),0)+IFERROR(SUMIFS('Base bordo'!G$2:G$746,'Base bordo'!C$2:C$746,A1339,'Base bordo'!B$2:B$746,B1339,'Base bordo'!F$2:F$746,"MANUTENCAO BORRACHARIA"),0)+IFERROR(SUMIFS('Base bordo'!G$2:G$746,'Base bordo'!C$2:C$746,A1339,'Base bordo'!B$2:B$746,B1339,'Base bordo'!F$2:F$746,"MANUTENCAO EXTERNA  CONCESSIONARIA"),0)+IFERROR(SUMIFS('Base bordo'!G$2:G$746,'Base bordo'!C$2:C$746,A1339,'Base bordo'!B$2:B$746,B1339,'Base bordo'!F$2:F$746,"MANUTENCAO TELEMETRIA"),0)</f>
        <v>0</v>
      </c>
      <c r="M1339" s="10">
        <f>IFERROR(SUMIFS('Base bordo'!G$2:G$746,'Base bordo'!C$2:C$746,A1339,'Base bordo'!B$2:B$746,B1339,'Base bordo'!F$2:F$746,"AGUARDANDO MANUTENCAO"),0)</f>
        <v>0</v>
      </c>
      <c r="N1339" s="10">
        <f>IFERROR(SUMIFS('Base bordo'!G$2:G$746,'Base bordo'!C$2:C$746,A1339,'Base bordo'!B$2:B$746,B1339,'Base bordo'!F$2:F$746,"SEM APONTAMENTO"),0)</f>
        <v>0</v>
      </c>
      <c r="O1339" s="10">
        <f t="shared" si="132"/>
        <v>0</v>
      </c>
      <c r="P1339" s="10">
        <f>IFERROR(SUMIFS('Base bordo'!G$2:G$746,'Base bordo'!C$2:C$746,A1339,'Base bordo'!B$2:B$746,B1339),0)</f>
        <v>11.996666666666666</v>
      </c>
      <c r="Q1339" s="10">
        <f>IFERROR(SUMIFS('Base bordo'!H$2:H$746,'Base bordo'!C$2:C$746,A1339,'Base bordo'!B$2:B$746,B1339,'Base bordo'!F$2:F$746,"DESLOCAMENTO VAZIO"),0)</f>
        <v>368512.23</v>
      </c>
      <c r="R1339" s="10">
        <f>IFERROR(SUMIFS('Base bordo'!I$2:I$746,'Base bordo'!C$2:C$746,A1339,'Base bordo'!B$2:B$746,B1339,'Base bordo'!F$2:F$746,"DESLOCAMENTO VAZIO"),0)</f>
        <v>11217</v>
      </c>
      <c r="S1339" s="30">
        <f t="shared" si="133"/>
        <v>32.853011500401173</v>
      </c>
      <c r="T1339" s="10">
        <f>IFERROR(SUMIFS('Base bordo'!H$2:H$746,'Base bordo'!C$2:C$746,A1339,'Base bordo'!B$2:B$746,B1339,'Base bordo'!F$2:F$746,"DESLOCAMENTO CARREGADO"),0)</f>
        <v>421365.02999999997</v>
      </c>
      <c r="U1339" s="10">
        <f>IFERROR(SUMIFS('Base bordo'!I$2:I$746,'Base bordo'!C$2:C$746,A1339,'Base bordo'!B$2:B$746,B1339,'Base bordo'!F$2:F$746,"DESLOCAMENTO CARREGADO"),0)</f>
        <v>17049</v>
      </c>
      <c r="V1339" s="30">
        <f t="shared" si="134"/>
        <v>24.714941052261128</v>
      </c>
      <c r="W1339" s="9">
        <f t="shared" si="135"/>
        <v>0.25972492358988608</v>
      </c>
      <c r="X1339" s="9">
        <f t="shared" si="136"/>
        <v>0.39476243400944705</v>
      </c>
      <c r="Y1339" s="9">
        <f t="shared" si="137"/>
        <v>0.34551264240066681</v>
      </c>
    </row>
    <row r="1340" spans="1:25" ht="15" customHeight="1" x14ac:dyDescent="0.35">
      <c r="A1340" s="52">
        <v>8013482</v>
      </c>
      <c r="B1340" s="51">
        <v>46124</v>
      </c>
      <c r="C1340" s="7" t="s">
        <v>124</v>
      </c>
      <c r="D1340" s="10">
        <f>IFERROR(SUMIFS('Base bordo'!G$2:G$746,'Base bordo'!C$2:C$746,A1340,'Base bordo'!B$2:B$746,B1340,'Base bordo'!F$2:F$746,"DESLOCAMENTO VAZIO"),0)</f>
        <v>3.1158333333333332</v>
      </c>
      <c r="E1340" s="10">
        <f>IFERROR(SUMIFS('Base bordo'!G$2:G$746,'Base bordo'!C$2:C$746,A1340,'Base bordo'!B$2:B$746,B1340,'Base bordo'!F$2:F$746,"DESLOCAMENTO CARREGADO"),0)</f>
        <v>4.7358333333333329</v>
      </c>
      <c r="F1340" s="10">
        <f>IFERROR(SUMIFS('Base bordo'!G$2:G$746,'Base bordo'!C$2:C$746,A1340,'Base bordo'!B$2:B$746,B1340,'Base bordo'!F$2:F$746,"DESLOCAMENTO"),0)</f>
        <v>0</v>
      </c>
      <c r="G1340" s="10">
        <f>IFERROR(SUMIFS('Base bordo'!G$2:G$746,'Base bordo'!C$2:C$746,A1340,'Base bordo'!B$2:B$746,B1340,'Base bordo'!F$2:F$746,"CARREGAMENTO"),0)</f>
        <v>0</v>
      </c>
      <c r="H1340" s="10">
        <f>IFERROR(SUMIFS('Base bordo'!G$2:G$746,'Base bordo'!C$2:C$746,A1340,'Base bordo'!B$2:B$746,B1340,'Base bordo'!F$2:F$746,"AGUARDANDO TRANSBORDO"),0)</f>
        <v>0.68361111111111106</v>
      </c>
      <c r="I1340" s="10">
        <f>IFERROR(SUMIFS('Base bordo'!G$2:G$746,'Base bordo'!C$2:C$746,A1340,'Base bordo'!B$2:B$746,B1340,'Base bordo'!F$2:F$746,"PÁTIO INTERNO"),0)+IFERROR(SUMIFS('Base bordo'!G$2:G$746,'Base bordo'!C$2:C$746,A1340,'Base bordo'!B$2:B$746,B1340,'Base bordo'!F$2:F$746,"PÁTIO EXTERNO"),0)+IFERROR(SUMIFS('Base bordo'!G$2:G$746,'Base bordo'!C$2:C$746,A1340,'Base bordo'!B$2:B$746,B1340,'Base bordo'!F$2:F$746,"PATIO - RESERVA"),0)+IFERROR(SUMIFS('Base bordo'!G$2:G$746,'Base bordo'!C$2:C$746,A1340,'Base bordo'!B$2:B$746,B1340,'Base bordo'!F$2:F$746,"MANOBRA CARRETAS-PATIO"),0)</f>
        <v>3.3277777777777775</v>
      </c>
      <c r="J1340" s="10">
        <f>IFERROR(SUMIFS('Base bordo'!G$2:G$746,'Base bordo'!C$2:C$746,A1340,'Base bordo'!B$2:B$746,B1340,'Base bordo'!F$2:F$746,"BALANÇA - ENTRADA"),0)+IFERROR(SUMIFS('Base bordo'!G$2:G$746,'Base bordo'!C$2:C$746,A1340,'Base bordo'!B$2:B$746,B1340,'Base bordo'!F$2:F$746,"BALANÇA - SAÍDA"),0)</f>
        <v>0.1336111111111111</v>
      </c>
      <c r="K1340" s="10">
        <f>IFERROR(SUMIFS('Base bordo'!G$2:G$746,'Base bordo'!C$2:C$746,A1340,'Base bordo'!B$2:B$746,B1340,'Base bordo'!F$2:F$746,"MAN PREVENTIVA - MECANICA"),0)+IFERROR(SUMIFS('Base bordo'!G$2:G$746,'Base bordo'!C$2:C$746,A1340,'Base bordo'!B$2:B$746,B1340,'Base bordo'!F$2:F$746,"MAN CORRETIVA - MECANICA"),0)</f>
        <v>0</v>
      </c>
      <c r="L1340" s="10">
        <f>IFERROR(SUMIFS('Base bordo'!G$2:G$746,'Base bordo'!C$2:C$746,A1340,'Base bordo'!B$2:B$746,B1340,'Base bordo'!F$2:F$746,"MANUTENCAO - T O"),0)+IFERROR(SUMIFS('Base bordo'!G$2:G$746,'Base bordo'!C$2:C$746,A1340,'Base bordo'!B$2:B$746,B1340,'Base bordo'!F$2:F$746,"MANUTENCAO BORRACHARIA"),0)+IFERROR(SUMIFS('Base bordo'!G$2:G$746,'Base bordo'!C$2:C$746,A1340,'Base bordo'!B$2:B$746,B1340,'Base bordo'!F$2:F$746,"MANUTENCAO EXTERNA  CONCESSIONARIA"),0)+IFERROR(SUMIFS('Base bordo'!G$2:G$746,'Base bordo'!C$2:C$746,A1340,'Base bordo'!B$2:B$746,B1340,'Base bordo'!F$2:F$746,"MANUTENCAO TELEMETRIA"),0)</f>
        <v>0</v>
      </c>
      <c r="M1340" s="10">
        <f>IFERROR(SUMIFS('Base bordo'!G$2:G$746,'Base bordo'!C$2:C$746,A1340,'Base bordo'!B$2:B$746,B1340,'Base bordo'!F$2:F$746,"AGUARDANDO MANUTENCAO"),0)</f>
        <v>0</v>
      </c>
      <c r="N1340" s="10">
        <f>IFERROR(SUMIFS('Base bordo'!G$2:G$746,'Base bordo'!C$2:C$746,A1340,'Base bordo'!B$2:B$746,B1340,'Base bordo'!F$2:F$746,"SEM APONTAMENTO"),0)</f>
        <v>0</v>
      </c>
      <c r="O1340" s="10">
        <f t="shared" si="132"/>
        <v>0</v>
      </c>
      <c r="P1340" s="10">
        <f>IFERROR(SUMIFS('Base bordo'!G$2:G$746,'Base bordo'!C$2:C$746,A1340,'Base bordo'!B$2:B$746,B1340),0)</f>
        <v>11.996666666666666</v>
      </c>
      <c r="Q1340" s="10">
        <f>IFERROR(SUMIFS('Base bordo'!H$2:H$746,'Base bordo'!C$2:C$746,A1340,'Base bordo'!B$2:B$746,B1340,'Base bordo'!F$2:F$746,"DESLOCAMENTO VAZIO"),0)</f>
        <v>368512.23</v>
      </c>
      <c r="R1340" s="10">
        <f>IFERROR(SUMIFS('Base bordo'!I$2:I$746,'Base bordo'!C$2:C$746,A1340,'Base bordo'!B$2:B$746,B1340,'Base bordo'!F$2:F$746,"DESLOCAMENTO VAZIO"),0)</f>
        <v>11217</v>
      </c>
      <c r="S1340" s="30">
        <f t="shared" si="133"/>
        <v>32.853011500401173</v>
      </c>
      <c r="T1340" s="10">
        <f>IFERROR(SUMIFS('Base bordo'!H$2:H$746,'Base bordo'!C$2:C$746,A1340,'Base bordo'!B$2:B$746,B1340,'Base bordo'!F$2:F$746,"DESLOCAMENTO CARREGADO"),0)</f>
        <v>421365.02999999997</v>
      </c>
      <c r="U1340" s="10">
        <f>IFERROR(SUMIFS('Base bordo'!I$2:I$746,'Base bordo'!C$2:C$746,A1340,'Base bordo'!B$2:B$746,B1340,'Base bordo'!F$2:F$746,"DESLOCAMENTO CARREGADO"),0)</f>
        <v>17049</v>
      </c>
      <c r="V1340" s="30">
        <f t="shared" si="134"/>
        <v>24.714941052261128</v>
      </c>
      <c r="W1340" s="9">
        <f t="shared" si="135"/>
        <v>0.25972492358988608</v>
      </c>
      <c r="X1340" s="9">
        <f t="shared" si="136"/>
        <v>0.39476243400944705</v>
      </c>
      <c r="Y1340" s="9">
        <f t="shared" si="137"/>
        <v>0.34551264240066681</v>
      </c>
    </row>
    <row r="1341" spans="1:25" ht="15" customHeight="1" x14ac:dyDescent="0.35">
      <c r="A1341" s="52">
        <v>8013482</v>
      </c>
      <c r="B1341" s="51">
        <v>46124</v>
      </c>
      <c r="C1341" s="7" t="s">
        <v>124</v>
      </c>
      <c r="D1341" s="10">
        <f>IFERROR(SUMIFS('Base bordo'!G$2:G$746,'Base bordo'!C$2:C$746,A1341,'Base bordo'!B$2:B$746,B1341,'Base bordo'!F$2:F$746,"DESLOCAMENTO VAZIO"),0)</f>
        <v>3.1158333333333332</v>
      </c>
      <c r="E1341" s="10">
        <f>IFERROR(SUMIFS('Base bordo'!G$2:G$746,'Base bordo'!C$2:C$746,A1341,'Base bordo'!B$2:B$746,B1341,'Base bordo'!F$2:F$746,"DESLOCAMENTO CARREGADO"),0)</f>
        <v>4.7358333333333329</v>
      </c>
      <c r="F1341" s="10">
        <f>IFERROR(SUMIFS('Base bordo'!G$2:G$746,'Base bordo'!C$2:C$746,A1341,'Base bordo'!B$2:B$746,B1341,'Base bordo'!F$2:F$746,"DESLOCAMENTO"),0)</f>
        <v>0</v>
      </c>
      <c r="G1341" s="10">
        <f>IFERROR(SUMIFS('Base bordo'!G$2:G$746,'Base bordo'!C$2:C$746,A1341,'Base bordo'!B$2:B$746,B1341,'Base bordo'!F$2:F$746,"CARREGAMENTO"),0)</f>
        <v>0</v>
      </c>
      <c r="H1341" s="10">
        <f>IFERROR(SUMIFS('Base bordo'!G$2:G$746,'Base bordo'!C$2:C$746,A1341,'Base bordo'!B$2:B$746,B1341,'Base bordo'!F$2:F$746,"AGUARDANDO TRANSBORDO"),0)</f>
        <v>0.68361111111111106</v>
      </c>
      <c r="I1341" s="10">
        <f>IFERROR(SUMIFS('Base bordo'!G$2:G$746,'Base bordo'!C$2:C$746,A1341,'Base bordo'!B$2:B$746,B1341,'Base bordo'!F$2:F$746,"PÁTIO INTERNO"),0)+IFERROR(SUMIFS('Base bordo'!G$2:G$746,'Base bordo'!C$2:C$746,A1341,'Base bordo'!B$2:B$746,B1341,'Base bordo'!F$2:F$746,"PÁTIO EXTERNO"),0)+IFERROR(SUMIFS('Base bordo'!G$2:G$746,'Base bordo'!C$2:C$746,A1341,'Base bordo'!B$2:B$746,B1341,'Base bordo'!F$2:F$746,"PATIO - RESERVA"),0)+IFERROR(SUMIFS('Base bordo'!G$2:G$746,'Base bordo'!C$2:C$746,A1341,'Base bordo'!B$2:B$746,B1341,'Base bordo'!F$2:F$746,"MANOBRA CARRETAS-PATIO"),0)</f>
        <v>3.3277777777777775</v>
      </c>
      <c r="J1341" s="10">
        <f>IFERROR(SUMIFS('Base bordo'!G$2:G$746,'Base bordo'!C$2:C$746,A1341,'Base bordo'!B$2:B$746,B1341,'Base bordo'!F$2:F$746,"BALANÇA - ENTRADA"),0)+IFERROR(SUMIFS('Base bordo'!G$2:G$746,'Base bordo'!C$2:C$746,A1341,'Base bordo'!B$2:B$746,B1341,'Base bordo'!F$2:F$746,"BALANÇA - SAÍDA"),0)</f>
        <v>0.1336111111111111</v>
      </c>
      <c r="K1341" s="10">
        <f>IFERROR(SUMIFS('Base bordo'!G$2:G$746,'Base bordo'!C$2:C$746,A1341,'Base bordo'!B$2:B$746,B1341,'Base bordo'!F$2:F$746,"MAN PREVENTIVA - MECANICA"),0)+IFERROR(SUMIFS('Base bordo'!G$2:G$746,'Base bordo'!C$2:C$746,A1341,'Base bordo'!B$2:B$746,B1341,'Base bordo'!F$2:F$746,"MAN CORRETIVA - MECANICA"),0)</f>
        <v>0</v>
      </c>
      <c r="L1341" s="10">
        <f>IFERROR(SUMIFS('Base bordo'!G$2:G$746,'Base bordo'!C$2:C$746,A1341,'Base bordo'!B$2:B$746,B1341,'Base bordo'!F$2:F$746,"MANUTENCAO - T O"),0)+IFERROR(SUMIFS('Base bordo'!G$2:G$746,'Base bordo'!C$2:C$746,A1341,'Base bordo'!B$2:B$746,B1341,'Base bordo'!F$2:F$746,"MANUTENCAO BORRACHARIA"),0)+IFERROR(SUMIFS('Base bordo'!G$2:G$746,'Base bordo'!C$2:C$746,A1341,'Base bordo'!B$2:B$746,B1341,'Base bordo'!F$2:F$746,"MANUTENCAO EXTERNA  CONCESSIONARIA"),0)+IFERROR(SUMIFS('Base bordo'!G$2:G$746,'Base bordo'!C$2:C$746,A1341,'Base bordo'!B$2:B$746,B1341,'Base bordo'!F$2:F$746,"MANUTENCAO TELEMETRIA"),0)</f>
        <v>0</v>
      </c>
      <c r="M1341" s="10">
        <f>IFERROR(SUMIFS('Base bordo'!G$2:G$746,'Base bordo'!C$2:C$746,A1341,'Base bordo'!B$2:B$746,B1341,'Base bordo'!F$2:F$746,"AGUARDANDO MANUTENCAO"),0)</f>
        <v>0</v>
      </c>
      <c r="N1341" s="10">
        <f>IFERROR(SUMIFS('Base bordo'!G$2:G$746,'Base bordo'!C$2:C$746,A1341,'Base bordo'!B$2:B$746,B1341,'Base bordo'!F$2:F$746,"SEM APONTAMENTO"),0)</f>
        <v>0</v>
      </c>
      <c r="O1341" s="10">
        <f t="shared" si="132"/>
        <v>0</v>
      </c>
      <c r="P1341" s="10">
        <f>IFERROR(SUMIFS('Base bordo'!G$2:G$746,'Base bordo'!C$2:C$746,A1341,'Base bordo'!B$2:B$746,B1341),0)</f>
        <v>11.996666666666666</v>
      </c>
      <c r="Q1341" s="10">
        <f>IFERROR(SUMIFS('Base bordo'!H$2:H$746,'Base bordo'!C$2:C$746,A1341,'Base bordo'!B$2:B$746,B1341,'Base bordo'!F$2:F$746,"DESLOCAMENTO VAZIO"),0)</f>
        <v>368512.23</v>
      </c>
      <c r="R1341" s="10">
        <f>IFERROR(SUMIFS('Base bordo'!I$2:I$746,'Base bordo'!C$2:C$746,A1341,'Base bordo'!B$2:B$746,B1341,'Base bordo'!F$2:F$746,"DESLOCAMENTO VAZIO"),0)</f>
        <v>11217</v>
      </c>
      <c r="S1341" s="30">
        <f t="shared" si="133"/>
        <v>32.853011500401173</v>
      </c>
      <c r="T1341" s="10">
        <f>IFERROR(SUMIFS('Base bordo'!H$2:H$746,'Base bordo'!C$2:C$746,A1341,'Base bordo'!B$2:B$746,B1341,'Base bordo'!F$2:F$746,"DESLOCAMENTO CARREGADO"),0)</f>
        <v>421365.02999999997</v>
      </c>
      <c r="U1341" s="10">
        <f>IFERROR(SUMIFS('Base bordo'!I$2:I$746,'Base bordo'!C$2:C$746,A1341,'Base bordo'!B$2:B$746,B1341,'Base bordo'!F$2:F$746,"DESLOCAMENTO CARREGADO"),0)</f>
        <v>17049</v>
      </c>
      <c r="V1341" s="30">
        <f t="shared" si="134"/>
        <v>24.714941052261128</v>
      </c>
      <c r="W1341" s="9">
        <f t="shared" si="135"/>
        <v>0.25972492358988608</v>
      </c>
      <c r="X1341" s="9">
        <f t="shared" si="136"/>
        <v>0.39476243400944705</v>
      </c>
      <c r="Y1341" s="9">
        <f t="shared" si="137"/>
        <v>0.34551264240066681</v>
      </c>
    </row>
    <row r="1342" spans="1:25" ht="15" customHeight="1" x14ac:dyDescent="0.35">
      <c r="A1342" s="52">
        <v>8013482</v>
      </c>
      <c r="B1342" s="51">
        <v>46124</v>
      </c>
      <c r="C1342" s="7" t="s">
        <v>124</v>
      </c>
      <c r="D1342" s="10">
        <f>IFERROR(SUMIFS('Base bordo'!G$2:G$746,'Base bordo'!C$2:C$746,A1342,'Base bordo'!B$2:B$746,B1342,'Base bordo'!F$2:F$746,"DESLOCAMENTO VAZIO"),0)</f>
        <v>3.1158333333333332</v>
      </c>
      <c r="E1342" s="10">
        <f>IFERROR(SUMIFS('Base bordo'!G$2:G$746,'Base bordo'!C$2:C$746,A1342,'Base bordo'!B$2:B$746,B1342,'Base bordo'!F$2:F$746,"DESLOCAMENTO CARREGADO"),0)</f>
        <v>4.7358333333333329</v>
      </c>
      <c r="F1342" s="10">
        <f>IFERROR(SUMIFS('Base bordo'!G$2:G$746,'Base bordo'!C$2:C$746,A1342,'Base bordo'!B$2:B$746,B1342,'Base bordo'!F$2:F$746,"DESLOCAMENTO"),0)</f>
        <v>0</v>
      </c>
      <c r="G1342" s="10">
        <f>IFERROR(SUMIFS('Base bordo'!G$2:G$746,'Base bordo'!C$2:C$746,A1342,'Base bordo'!B$2:B$746,B1342,'Base bordo'!F$2:F$746,"CARREGAMENTO"),0)</f>
        <v>0</v>
      </c>
      <c r="H1342" s="10">
        <f>IFERROR(SUMIFS('Base bordo'!G$2:G$746,'Base bordo'!C$2:C$746,A1342,'Base bordo'!B$2:B$746,B1342,'Base bordo'!F$2:F$746,"AGUARDANDO TRANSBORDO"),0)</f>
        <v>0.68361111111111106</v>
      </c>
      <c r="I1342" s="10">
        <f>IFERROR(SUMIFS('Base bordo'!G$2:G$746,'Base bordo'!C$2:C$746,A1342,'Base bordo'!B$2:B$746,B1342,'Base bordo'!F$2:F$746,"PÁTIO INTERNO"),0)+IFERROR(SUMIFS('Base bordo'!G$2:G$746,'Base bordo'!C$2:C$746,A1342,'Base bordo'!B$2:B$746,B1342,'Base bordo'!F$2:F$746,"PÁTIO EXTERNO"),0)+IFERROR(SUMIFS('Base bordo'!G$2:G$746,'Base bordo'!C$2:C$746,A1342,'Base bordo'!B$2:B$746,B1342,'Base bordo'!F$2:F$746,"PATIO - RESERVA"),0)+IFERROR(SUMIFS('Base bordo'!G$2:G$746,'Base bordo'!C$2:C$746,A1342,'Base bordo'!B$2:B$746,B1342,'Base bordo'!F$2:F$746,"MANOBRA CARRETAS-PATIO"),0)</f>
        <v>3.3277777777777775</v>
      </c>
      <c r="J1342" s="10">
        <f>IFERROR(SUMIFS('Base bordo'!G$2:G$746,'Base bordo'!C$2:C$746,A1342,'Base bordo'!B$2:B$746,B1342,'Base bordo'!F$2:F$746,"BALANÇA - ENTRADA"),0)+IFERROR(SUMIFS('Base bordo'!G$2:G$746,'Base bordo'!C$2:C$746,A1342,'Base bordo'!B$2:B$746,B1342,'Base bordo'!F$2:F$746,"BALANÇA - SAÍDA"),0)</f>
        <v>0.1336111111111111</v>
      </c>
      <c r="K1342" s="10">
        <f>IFERROR(SUMIFS('Base bordo'!G$2:G$746,'Base bordo'!C$2:C$746,A1342,'Base bordo'!B$2:B$746,B1342,'Base bordo'!F$2:F$746,"MAN PREVENTIVA - MECANICA"),0)+IFERROR(SUMIFS('Base bordo'!G$2:G$746,'Base bordo'!C$2:C$746,A1342,'Base bordo'!B$2:B$746,B1342,'Base bordo'!F$2:F$746,"MAN CORRETIVA - MECANICA"),0)</f>
        <v>0</v>
      </c>
      <c r="L1342" s="10">
        <f>IFERROR(SUMIFS('Base bordo'!G$2:G$746,'Base bordo'!C$2:C$746,A1342,'Base bordo'!B$2:B$746,B1342,'Base bordo'!F$2:F$746,"MANUTENCAO - T O"),0)+IFERROR(SUMIFS('Base bordo'!G$2:G$746,'Base bordo'!C$2:C$746,A1342,'Base bordo'!B$2:B$746,B1342,'Base bordo'!F$2:F$746,"MANUTENCAO BORRACHARIA"),0)+IFERROR(SUMIFS('Base bordo'!G$2:G$746,'Base bordo'!C$2:C$746,A1342,'Base bordo'!B$2:B$746,B1342,'Base bordo'!F$2:F$746,"MANUTENCAO EXTERNA  CONCESSIONARIA"),0)+IFERROR(SUMIFS('Base bordo'!G$2:G$746,'Base bordo'!C$2:C$746,A1342,'Base bordo'!B$2:B$746,B1342,'Base bordo'!F$2:F$746,"MANUTENCAO TELEMETRIA"),0)</f>
        <v>0</v>
      </c>
      <c r="M1342" s="10">
        <f>IFERROR(SUMIFS('Base bordo'!G$2:G$746,'Base bordo'!C$2:C$746,A1342,'Base bordo'!B$2:B$746,B1342,'Base bordo'!F$2:F$746,"AGUARDANDO MANUTENCAO"),0)</f>
        <v>0</v>
      </c>
      <c r="N1342" s="10">
        <f>IFERROR(SUMIFS('Base bordo'!G$2:G$746,'Base bordo'!C$2:C$746,A1342,'Base bordo'!B$2:B$746,B1342,'Base bordo'!F$2:F$746,"SEM APONTAMENTO"),0)</f>
        <v>0</v>
      </c>
      <c r="O1342" s="10">
        <f t="shared" si="132"/>
        <v>0</v>
      </c>
      <c r="P1342" s="10">
        <f>IFERROR(SUMIFS('Base bordo'!G$2:G$746,'Base bordo'!C$2:C$746,A1342,'Base bordo'!B$2:B$746,B1342),0)</f>
        <v>11.996666666666666</v>
      </c>
      <c r="Q1342" s="10">
        <f>IFERROR(SUMIFS('Base bordo'!H$2:H$746,'Base bordo'!C$2:C$746,A1342,'Base bordo'!B$2:B$746,B1342,'Base bordo'!F$2:F$746,"DESLOCAMENTO VAZIO"),0)</f>
        <v>368512.23</v>
      </c>
      <c r="R1342" s="10">
        <f>IFERROR(SUMIFS('Base bordo'!I$2:I$746,'Base bordo'!C$2:C$746,A1342,'Base bordo'!B$2:B$746,B1342,'Base bordo'!F$2:F$746,"DESLOCAMENTO VAZIO"),0)</f>
        <v>11217</v>
      </c>
      <c r="S1342" s="30">
        <f t="shared" si="133"/>
        <v>32.853011500401173</v>
      </c>
      <c r="T1342" s="10">
        <f>IFERROR(SUMIFS('Base bordo'!H$2:H$746,'Base bordo'!C$2:C$746,A1342,'Base bordo'!B$2:B$746,B1342,'Base bordo'!F$2:F$746,"DESLOCAMENTO CARREGADO"),0)</f>
        <v>421365.02999999997</v>
      </c>
      <c r="U1342" s="10">
        <f>IFERROR(SUMIFS('Base bordo'!I$2:I$746,'Base bordo'!C$2:C$746,A1342,'Base bordo'!B$2:B$746,B1342,'Base bordo'!F$2:F$746,"DESLOCAMENTO CARREGADO"),0)</f>
        <v>17049</v>
      </c>
      <c r="V1342" s="30">
        <f t="shared" si="134"/>
        <v>24.714941052261128</v>
      </c>
      <c r="W1342" s="9">
        <f t="shared" si="135"/>
        <v>0.25972492358988608</v>
      </c>
      <c r="X1342" s="9">
        <f t="shared" si="136"/>
        <v>0.39476243400944705</v>
      </c>
      <c r="Y1342" s="9">
        <f t="shared" si="137"/>
        <v>0.34551264240066681</v>
      </c>
    </row>
    <row r="1343" spans="1:25" ht="15" customHeight="1" x14ac:dyDescent="0.35">
      <c r="A1343" s="52">
        <v>8013483</v>
      </c>
      <c r="B1343" s="51">
        <v>46124</v>
      </c>
      <c r="C1343" s="7" t="s">
        <v>124</v>
      </c>
      <c r="D1343" s="10">
        <f>IFERROR(SUMIFS('Base bordo'!G$2:G$746,'Base bordo'!C$2:C$746,A1343,'Base bordo'!B$2:B$746,B1343,'Base bordo'!F$2:F$746,"DESLOCAMENTO VAZIO"),0)</f>
        <v>3.0661111111111112</v>
      </c>
      <c r="E1343" s="10">
        <f>IFERROR(SUMIFS('Base bordo'!G$2:G$746,'Base bordo'!C$2:C$746,A1343,'Base bordo'!B$2:B$746,B1343,'Base bordo'!F$2:F$746,"DESLOCAMENTO CARREGADO"),0)</f>
        <v>5.7730555555555556</v>
      </c>
      <c r="F1343" s="10">
        <f>IFERROR(SUMIFS('Base bordo'!G$2:G$746,'Base bordo'!C$2:C$746,A1343,'Base bordo'!B$2:B$746,B1343,'Base bordo'!F$2:F$746,"DESLOCAMENTO"),0)</f>
        <v>0</v>
      </c>
      <c r="G1343" s="10">
        <f>IFERROR(SUMIFS('Base bordo'!G$2:G$746,'Base bordo'!C$2:C$746,A1343,'Base bordo'!B$2:B$746,B1343,'Base bordo'!F$2:F$746,"CARREGAMENTO"),0)</f>
        <v>0</v>
      </c>
      <c r="H1343" s="10">
        <f>IFERROR(SUMIFS('Base bordo'!G$2:G$746,'Base bordo'!C$2:C$746,A1343,'Base bordo'!B$2:B$746,B1343,'Base bordo'!F$2:F$746,"AGUARDANDO TRANSBORDO"),0)</f>
        <v>0.55083333333333329</v>
      </c>
      <c r="I1343" s="10">
        <f>IFERROR(SUMIFS('Base bordo'!G$2:G$746,'Base bordo'!C$2:C$746,A1343,'Base bordo'!B$2:B$746,B1343,'Base bordo'!F$2:F$746,"PÁTIO INTERNO"),0)+IFERROR(SUMIFS('Base bordo'!G$2:G$746,'Base bordo'!C$2:C$746,A1343,'Base bordo'!B$2:B$746,B1343,'Base bordo'!F$2:F$746,"PÁTIO EXTERNO"),0)+IFERROR(SUMIFS('Base bordo'!G$2:G$746,'Base bordo'!C$2:C$746,A1343,'Base bordo'!B$2:B$746,B1343,'Base bordo'!F$2:F$746,"PATIO - RESERVA"),0)+IFERROR(SUMIFS('Base bordo'!G$2:G$746,'Base bordo'!C$2:C$746,A1343,'Base bordo'!B$2:B$746,B1343,'Base bordo'!F$2:F$746,"MANOBRA CARRETAS-PATIO"),0)</f>
        <v>6.1611111111111114</v>
      </c>
      <c r="J1343" s="10">
        <f>IFERROR(SUMIFS('Base bordo'!G$2:G$746,'Base bordo'!C$2:C$746,A1343,'Base bordo'!B$2:B$746,B1343,'Base bordo'!F$2:F$746,"BALANÇA - ENTRADA"),0)+IFERROR(SUMIFS('Base bordo'!G$2:G$746,'Base bordo'!C$2:C$746,A1343,'Base bordo'!B$2:B$746,B1343,'Base bordo'!F$2:F$746,"BALANÇA - SAÍDA"),0)</f>
        <v>0.17694444444444446</v>
      </c>
      <c r="K1343" s="10">
        <f>IFERROR(SUMIFS('Base bordo'!G$2:G$746,'Base bordo'!C$2:C$746,A1343,'Base bordo'!B$2:B$746,B1343,'Base bordo'!F$2:F$746,"MAN PREVENTIVA - MECANICA"),0)+IFERROR(SUMIFS('Base bordo'!G$2:G$746,'Base bordo'!C$2:C$746,A1343,'Base bordo'!B$2:B$746,B1343,'Base bordo'!F$2:F$746,"MAN CORRETIVA - MECANICA"),0)</f>
        <v>0</v>
      </c>
      <c r="L1343" s="10">
        <f>IFERROR(SUMIFS('Base bordo'!G$2:G$746,'Base bordo'!C$2:C$746,A1343,'Base bordo'!B$2:B$746,B1343,'Base bordo'!F$2:F$746,"MANUTENCAO - T O"),0)+IFERROR(SUMIFS('Base bordo'!G$2:G$746,'Base bordo'!C$2:C$746,A1343,'Base bordo'!B$2:B$746,B1343,'Base bordo'!F$2:F$746,"MANUTENCAO BORRACHARIA"),0)+IFERROR(SUMIFS('Base bordo'!G$2:G$746,'Base bordo'!C$2:C$746,A1343,'Base bordo'!B$2:B$746,B1343,'Base bordo'!F$2:F$746,"MANUTENCAO EXTERNA  CONCESSIONARIA"),0)+IFERROR(SUMIFS('Base bordo'!G$2:G$746,'Base bordo'!C$2:C$746,A1343,'Base bordo'!B$2:B$746,B1343,'Base bordo'!F$2:F$746,"MANUTENCAO TELEMETRIA"),0)</f>
        <v>0</v>
      </c>
      <c r="M1343" s="10">
        <f>IFERROR(SUMIFS('Base bordo'!G$2:G$746,'Base bordo'!C$2:C$746,A1343,'Base bordo'!B$2:B$746,B1343,'Base bordo'!F$2:F$746,"AGUARDANDO MANUTENCAO"),0)</f>
        <v>0</v>
      </c>
      <c r="N1343" s="10">
        <f>IFERROR(SUMIFS('Base bordo'!G$2:G$746,'Base bordo'!C$2:C$746,A1343,'Base bordo'!B$2:B$746,B1343,'Base bordo'!F$2:F$746,"SEM APONTAMENTO"),0)</f>
        <v>0</v>
      </c>
      <c r="O1343" s="10">
        <f t="shared" si="132"/>
        <v>-1.7763568394002505E-15</v>
      </c>
      <c r="P1343" s="10">
        <f>IFERROR(SUMIFS('Base bordo'!G$2:G$746,'Base bordo'!C$2:C$746,A1343,'Base bordo'!B$2:B$746,B1343),0)</f>
        <v>15.728055555555555</v>
      </c>
      <c r="Q1343" s="10">
        <f>IFERROR(SUMIFS('Base bordo'!H$2:H$746,'Base bordo'!C$2:C$746,A1343,'Base bordo'!B$2:B$746,B1343,'Base bordo'!F$2:F$746,"DESLOCAMENTO VAZIO"),0)</f>
        <v>357738.43000000005</v>
      </c>
      <c r="R1343" s="10">
        <f>IFERROR(SUMIFS('Base bordo'!I$2:I$746,'Base bordo'!C$2:C$746,A1343,'Base bordo'!B$2:B$746,B1343,'Base bordo'!F$2:F$746,"DESLOCAMENTO VAZIO"),0)</f>
        <v>11038</v>
      </c>
      <c r="S1343" s="30">
        <f t="shared" si="133"/>
        <v>32.409714622214175</v>
      </c>
      <c r="T1343" s="10">
        <f>IFERROR(SUMIFS('Base bordo'!H$2:H$746,'Base bordo'!C$2:C$746,A1343,'Base bordo'!B$2:B$746,B1343,'Base bordo'!F$2:F$746,"DESLOCAMENTO CARREGADO"),0)</f>
        <v>519150.98000000004</v>
      </c>
      <c r="U1343" s="10">
        <f>IFERROR(SUMIFS('Base bordo'!I$2:I$746,'Base bordo'!C$2:C$746,A1343,'Base bordo'!B$2:B$746,B1343,'Base bordo'!F$2:F$746,"DESLOCAMENTO CARREGADO"),0)</f>
        <v>20783</v>
      </c>
      <c r="V1343" s="30">
        <f t="shared" si="134"/>
        <v>24.979597748159556</v>
      </c>
      <c r="W1343" s="9">
        <f t="shared" si="135"/>
        <v>0.19494533830204344</v>
      </c>
      <c r="X1343" s="9">
        <f t="shared" si="136"/>
        <v>0.36705462637537312</v>
      </c>
      <c r="Y1343" s="9">
        <f t="shared" si="137"/>
        <v>0.43800003532258347</v>
      </c>
    </row>
    <row r="1344" spans="1:25" ht="15" customHeight="1" x14ac:dyDescent="0.35">
      <c r="A1344" s="52">
        <v>8013483</v>
      </c>
      <c r="B1344" s="51">
        <v>46124</v>
      </c>
      <c r="C1344" s="7" t="s">
        <v>124</v>
      </c>
      <c r="D1344" s="10">
        <f>IFERROR(SUMIFS('Base bordo'!G$2:G$746,'Base bordo'!C$2:C$746,A1344,'Base bordo'!B$2:B$746,B1344,'Base bordo'!F$2:F$746,"DESLOCAMENTO VAZIO"),0)</f>
        <v>3.0661111111111112</v>
      </c>
      <c r="E1344" s="10">
        <f>IFERROR(SUMIFS('Base bordo'!G$2:G$746,'Base bordo'!C$2:C$746,A1344,'Base bordo'!B$2:B$746,B1344,'Base bordo'!F$2:F$746,"DESLOCAMENTO CARREGADO"),0)</f>
        <v>5.7730555555555556</v>
      </c>
      <c r="F1344" s="10">
        <f>IFERROR(SUMIFS('Base bordo'!G$2:G$746,'Base bordo'!C$2:C$746,A1344,'Base bordo'!B$2:B$746,B1344,'Base bordo'!F$2:F$746,"DESLOCAMENTO"),0)</f>
        <v>0</v>
      </c>
      <c r="G1344" s="10">
        <f>IFERROR(SUMIFS('Base bordo'!G$2:G$746,'Base bordo'!C$2:C$746,A1344,'Base bordo'!B$2:B$746,B1344,'Base bordo'!F$2:F$746,"CARREGAMENTO"),0)</f>
        <v>0</v>
      </c>
      <c r="H1344" s="10">
        <f>IFERROR(SUMIFS('Base bordo'!G$2:G$746,'Base bordo'!C$2:C$746,A1344,'Base bordo'!B$2:B$746,B1344,'Base bordo'!F$2:F$746,"AGUARDANDO TRANSBORDO"),0)</f>
        <v>0.55083333333333329</v>
      </c>
      <c r="I1344" s="10">
        <f>IFERROR(SUMIFS('Base bordo'!G$2:G$746,'Base bordo'!C$2:C$746,A1344,'Base bordo'!B$2:B$746,B1344,'Base bordo'!F$2:F$746,"PÁTIO INTERNO"),0)+IFERROR(SUMIFS('Base bordo'!G$2:G$746,'Base bordo'!C$2:C$746,A1344,'Base bordo'!B$2:B$746,B1344,'Base bordo'!F$2:F$746,"PÁTIO EXTERNO"),0)+IFERROR(SUMIFS('Base bordo'!G$2:G$746,'Base bordo'!C$2:C$746,A1344,'Base bordo'!B$2:B$746,B1344,'Base bordo'!F$2:F$746,"PATIO - RESERVA"),0)+IFERROR(SUMIFS('Base bordo'!G$2:G$746,'Base bordo'!C$2:C$746,A1344,'Base bordo'!B$2:B$746,B1344,'Base bordo'!F$2:F$746,"MANOBRA CARRETAS-PATIO"),0)</f>
        <v>6.1611111111111114</v>
      </c>
      <c r="J1344" s="10">
        <f>IFERROR(SUMIFS('Base bordo'!G$2:G$746,'Base bordo'!C$2:C$746,A1344,'Base bordo'!B$2:B$746,B1344,'Base bordo'!F$2:F$746,"BALANÇA - ENTRADA"),0)+IFERROR(SUMIFS('Base bordo'!G$2:G$746,'Base bordo'!C$2:C$746,A1344,'Base bordo'!B$2:B$746,B1344,'Base bordo'!F$2:F$746,"BALANÇA - SAÍDA"),0)</f>
        <v>0.17694444444444446</v>
      </c>
      <c r="K1344" s="10">
        <f>IFERROR(SUMIFS('Base bordo'!G$2:G$746,'Base bordo'!C$2:C$746,A1344,'Base bordo'!B$2:B$746,B1344,'Base bordo'!F$2:F$746,"MAN PREVENTIVA - MECANICA"),0)+IFERROR(SUMIFS('Base bordo'!G$2:G$746,'Base bordo'!C$2:C$746,A1344,'Base bordo'!B$2:B$746,B1344,'Base bordo'!F$2:F$746,"MAN CORRETIVA - MECANICA"),0)</f>
        <v>0</v>
      </c>
      <c r="L1344" s="10">
        <f>IFERROR(SUMIFS('Base bordo'!G$2:G$746,'Base bordo'!C$2:C$746,A1344,'Base bordo'!B$2:B$746,B1344,'Base bordo'!F$2:F$746,"MANUTENCAO - T O"),0)+IFERROR(SUMIFS('Base bordo'!G$2:G$746,'Base bordo'!C$2:C$746,A1344,'Base bordo'!B$2:B$746,B1344,'Base bordo'!F$2:F$746,"MANUTENCAO BORRACHARIA"),0)+IFERROR(SUMIFS('Base bordo'!G$2:G$746,'Base bordo'!C$2:C$746,A1344,'Base bordo'!B$2:B$746,B1344,'Base bordo'!F$2:F$746,"MANUTENCAO EXTERNA  CONCESSIONARIA"),0)+IFERROR(SUMIFS('Base bordo'!G$2:G$746,'Base bordo'!C$2:C$746,A1344,'Base bordo'!B$2:B$746,B1344,'Base bordo'!F$2:F$746,"MANUTENCAO TELEMETRIA"),0)</f>
        <v>0</v>
      </c>
      <c r="M1344" s="10">
        <f>IFERROR(SUMIFS('Base bordo'!G$2:G$746,'Base bordo'!C$2:C$746,A1344,'Base bordo'!B$2:B$746,B1344,'Base bordo'!F$2:F$746,"AGUARDANDO MANUTENCAO"),0)</f>
        <v>0</v>
      </c>
      <c r="N1344" s="10">
        <f>IFERROR(SUMIFS('Base bordo'!G$2:G$746,'Base bordo'!C$2:C$746,A1344,'Base bordo'!B$2:B$746,B1344,'Base bordo'!F$2:F$746,"SEM APONTAMENTO"),0)</f>
        <v>0</v>
      </c>
      <c r="O1344" s="10">
        <f t="shared" si="132"/>
        <v>-1.7763568394002505E-15</v>
      </c>
      <c r="P1344" s="10">
        <f>IFERROR(SUMIFS('Base bordo'!G$2:G$746,'Base bordo'!C$2:C$746,A1344,'Base bordo'!B$2:B$746,B1344),0)</f>
        <v>15.728055555555555</v>
      </c>
      <c r="Q1344" s="10">
        <f>IFERROR(SUMIFS('Base bordo'!H$2:H$746,'Base bordo'!C$2:C$746,A1344,'Base bordo'!B$2:B$746,B1344,'Base bordo'!F$2:F$746,"DESLOCAMENTO VAZIO"),0)</f>
        <v>357738.43000000005</v>
      </c>
      <c r="R1344" s="10">
        <f>IFERROR(SUMIFS('Base bordo'!I$2:I$746,'Base bordo'!C$2:C$746,A1344,'Base bordo'!B$2:B$746,B1344,'Base bordo'!F$2:F$746,"DESLOCAMENTO VAZIO"),0)</f>
        <v>11038</v>
      </c>
      <c r="S1344" s="30">
        <f t="shared" si="133"/>
        <v>32.409714622214175</v>
      </c>
      <c r="T1344" s="10">
        <f>IFERROR(SUMIFS('Base bordo'!H$2:H$746,'Base bordo'!C$2:C$746,A1344,'Base bordo'!B$2:B$746,B1344,'Base bordo'!F$2:F$746,"DESLOCAMENTO CARREGADO"),0)</f>
        <v>519150.98000000004</v>
      </c>
      <c r="U1344" s="10">
        <f>IFERROR(SUMIFS('Base bordo'!I$2:I$746,'Base bordo'!C$2:C$746,A1344,'Base bordo'!B$2:B$746,B1344,'Base bordo'!F$2:F$746,"DESLOCAMENTO CARREGADO"),0)</f>
        <v>20783</v>
      </c>
      <c r="V1344" s="30">
        <f t="shared" si="134"/>
        <v>24.979597748159556</v>
      </c>
      <c r="W1344" s="9">
        <f t="shared" si="135"/>
        <v>0.19494533830204344</v>
      </c>
      <c r="X1344" s="9">
        <f t="shared" si="136"/>
        <v>0.36705462637537312</v>
      </c>
      <c r="Y1344" s="9">
        <f t="shared" si="137"/>
        <v>0.43800003532258347</v>
      </c>
    </row>
    <row r="1345" spans="1:25" ht="15" customHeight="1" x14ac:dyDescent="0.35">
      <c r="A1345" s="52">
        <v>8013483</v>
      </c>
      <c r="B1345" s="51">
        <v>46124</v>
      </c>
      <c r="C1345" s="7" t="s">
        <v>124</v>
      </c>
      <c r="D1345" s="10">
        <f>IFERROR(SUMIFS('Base bordo'!G$2:G$746,'Base bordo'!C$2:C$746,A1345,'Base bordo'!B$2:B$746,B1345,'Base bordo'!F$2:F$746,"DESLOCAMENTO VAZIO"),0)</f>
        <v>3.0661111111111112</v>
      </c>
      <c r="E1345" s="10">
        <f>IFERROR(SUMIFS('Base bordo'!G$2:G$746,'Base bordo'!C$2:C$746,A1345,'Base bordo'!B$2:B$746,B1345,'Base bordo'!F$2:F$746,"DESLOCAMENTO CARREGADO"),0)</f>
        <v>5.7730555555555556</v>
      </c>
      <c r="F1345" s="10">
        <f>IFERROR(SUMIFS('Base bordo'!G$2:G$746,'Base bordo'!C$2:C$746,A1345,'Base bordo'!B$2:B$746,B1345,'Base bordo'!F$2:F$746,"DESLOCAMENTO"),0)</f>
        <v>0</v>
      </c>
      <c r="G1345" s="10">
        <f>IFERROR(SUMIFS('Base bordo'!G$2:G$746,'Base bordo'!C$2:C$746,A1345,'Base bordo'!B$2:B$746,B1345,'Base bordo'!F$2:F$746,"CARREGAMENTO"),0)</f>
        <v>0</v>
      </c>
      <c r="H1345" s="10">
        <f>IFERROR(SUMIFS('Base bordo'!G$2:G$746,'Base bordo'!C$2:C$746,A1345,'Base bordo'!B$2:B$746,B1345,'Base bordo'!F$2:F$746,"AGUARDANDO TRANSBORDO"),0)</f>
        <v>0.55083333333333329</v>
      </c>
      <c r="I1345" s="10">
        <f>IFERROR(SUMIFS('Base bordo'!G$2:G$746,'Base bordo'!C$2:C$746,A1345,'Base bordo'!B$2:B$746,B1345,'Base bordo'!F$2:F$746,"PÁTIO INTERNO"),0)+IFERROR(SUMIFS('Base bordo'!G$2:G$746,'Base bordo'!C$2:C$746,A1345,'Base bordo'!B$2:B$746,B1345,'Base bordo'!F$2:F$746,"PÁTIO EXTERNO"),0)+IFERROR(SUMIFS('Base bordo'!G$2:G$746,'Base bordo'!C$2:C$746,A1345,'Base bordo'!B$2:B$746,B1345,'Base bordo'!F$2:F$746,"PATIO - RESERVA"),0)+IFERROR(SUMIFS('Base bordo'!G$2:G$746,'Base bordo'!C$2:C$746,A1345,'Base bordo'!B$2:B$746,B1345,'Base bordo'!F$2:F$746,"MANOBRA CARRETAS-PATIO"),0)</f>
        <v>6.1611111111111114</v>
      </c>
      <c r="J1345" s="10">
        <f>IFERROR(SUMIFS('Base bordo'!G$2:G$746,'Base bordo'!C$2:C$746,A1345,'Base bordo'!B$2:B$746,B1345,'Base bordo'!F$2:F$746,"BALANÇA - ENTRADA"),0)+IFERROR(SUMIFS('Base bordo'!G$2:G$746,'Base bordo'!C$2:C$746,A1345,'Base bordo'!B$2:B$746,B1345,'Base bordo'!F$2:F$746,"BALANÇA - SAÍDA"),0)</f>
        <v>0.17694444444444446</v>
      </c>
      <c r="K1345" s="10">
        <f>IFERROR(SUMIFS('Base bordo'!G$2:G$746,'Base bordo'!C$2:C$746,A1345,'Base bordo'!B$2:B$746,B1345,'Base bordo'!F$2:F$746,"MAN PREVENTIVA - MECANICA"),0)+IFERROR(SUMIFS('Base bordo'!G$2:G$746,'Base bordo'!C$2:C$746,A1345,'Base bordo'!B$2:B$746,B1345,'Base bordo'!F$2:F$746,"MAN CORRETIVA - MECANICA"),0)</f>
        <v>0</v>
      </c>
      <c r="L1345" s="10">
        <f>IFERROR(SUMIFS('Base bordo'!G$2:G$746,'Base bordo'!C$2:C$746,A1345,'Base bordo'!B$2:B$746,B1345,'Base bordo'!F$2:F$746,"MANUTENCAO - T O"),0)+IFERROR(SUMIFS('Base bordo'!G$2:G$746,'Base bordo'!C$2:C$746,A1345,'Base bordo'!B$2:B$746,B1345,'Base bordo'!F$2:F$746,"MANUTENCAO BORRACHARIA"),0)+IFERROR(SUMIFS('Base bordo'!G$2:G$746,'Base bordo'!C$2:C$746,A1345,'Base bordo'!B$2:B$746,B1345,'Base bordo'!F$2:F$746,"MANUTENCAO EXTERNA  CONCESSIONARIA"),0)+IFERROR(SUMIFS('Base bordo'!G$2:G$746,'Base bordo'!C$2:C$746,A1345,'Base bordo'!B$2:B$746,B1345,'Base bordo'!F$2:F$746,"MANUTENCAO TELEMETRIA"),0)</f>
        <v>0</v>
      </c>
      <c r="M1345" s="10">
        <f>IFERROR(SUMIFS('Base bordo'!G$2:G$746,'Base bordo'!C$2:C$746,A1345,'Base bordo'!B$2:B$746,B1345,'Base bordo'!F$2:F$746,"AGUARDANDO MANUTENCAO"),0)</f>
        <v>0</v>
      </c>
      <c r="N1345" s="10">
        <f>IFERROR(SUMIFS('Base bordo'!G$2:G$746,'Base bordo'!C$2:C$746,A1345,'Base bordo'!B$2:B$746,B1345,'Base bordo'!F$2:F$746,"SEM APONTAMENTO"),0)</f>
        <v>0</v>
      </c>
      <c r="O1345" s="10">
        <f t="shared" si="132"/>
        <v>-1.7763568394002505E-15</v>
      </c>
      <c r="P1345" s="10">
        <f>IFERROR(SUMIFS('Base bordo'!G$2:G$746,'Base bordo'!C$2:C$746,A1345,'Base bordo'!B$2:B$746,B1345),0)</f>
        <v>15.728055555555555</v>
      </c>
      <c r="Q1345" s="10">
        <f>IFERROR(SUMIFS('Base bordo'!H$2:H$746,'Base bordo'!C$2:C$746,A1345,'Base bordo'!B$2:B$746,B1345,'Base bordo'!F$2:F$746,"DESLOCAMENTO VAZIO"),0)</f>
        <v>357738.43000000005</v>
      </c>
      <c r="R1345" s="10">
        <f>IFERROR(SUMIFS('Base bordo'!I$2:I$746,'Base bordo'!C$2:C$746,A1345,'Base bordo'!B$2:B$746,B1345,'Base bordo'!F$2:F$746,"DESLOCAMENTO VAZIO"),0)</f>
        <v>11038</v>
      </c>
      <c r="S1345" s="30">
        <f t="shared" si="133"/>
        <v>32.409714622214175</v>
      </c>
      <c r="T1345" s="10">
        <f>IFERROR(SUMIFS('Base bordo'!H$2:H$746,'Base bordo'!C$2:C$746,A1345,'Base bordo'!B$2:B$746,B1345,'Base bordo'!F$2:F$746,"DESLOCAMENTO CARREGADO"),0)</f>
        <v>519150.98000000004</v>
      </c>
      <c r="U1345" s="10">
        <f>IFERROR(SUMIFS('Base bordo'!I$2:I$746,'Base bordo'!C$2:C$746,A1345,'Base bordo'!B$2:B$746,B1345,'Base bordo'!F$2:F$746,"DESLOCAMENTO CARREGADO"),0)</f>
        <v>20783</v>
      </c>
      <c r="V1345" s="30">
        <f t="shared" si="134"/>
        <v>24.979597748159556</v>
      </c>
      <c r="W1345" s="9">
        <f t="shared" si="135"/>
        <v>0.19494533830204344</v>
      </c>
      <c r="X1345" s="9">
        <f t="shared" si="136"/>
        <v>0.36705462637537312</v>
      </c>
      <c r="Y1345" s="9">
        <f t="shared" si="137"/>
        <v>0.43800003532258347</v>
      </c>
    </row>
    <row r="1346" spans="1:25" ht="15" customHeight="1" x14ac:dyDescent="0.35">
      <c r="A1346" s="52">
        <v>8013483</v>
      </c>
      <c r="B1346" s="51">
        <v>46124</v>
      </c>
      <c r="C1346" s="7" t="s">
        <v>124</v>
      </c>
      <c r="D1346" s="10">
        <f>IFERROR(SUMIFS('Base bordo'!G$2:G$746,'Base bordo'!C$2:C$746,A1346,'Base bordo'!B$2:B$746,B1346,'Base bordo'!F$2:F$746,"DESLOCAMENTO VAZIO"),0)</f>
        <v>3.0661111111111112</v>
      </c>
      <c r="E1346" s="10">
        <f>IFERROR(SUMIFS('Base bordo'!G$2:G$746,'Base bordo'!C$2:C$746,A1346,'Base bordo'!B$2:B$746,B1346,'Base bordo'!F$2:F$746,"DESLOCAMENTO CARREGADO"),0)</f>
        <v>5.7730555555555556</v>
      </c>
      <c r="F1346" s="10">
        <f>IFERROR(SUMIFS('Base bordo'!G$2:G$746,'Base bordo'!C$2:C$746,A1346,'Base bordo'!B$2:B$746,B1346,'Base bordo'!F$2:F$746,"DESLOCAMENTO"),0)</f>
        <v>0</v>
      </c>
      <c r="G1346" s="10">
        <f>IFERROR(SUMIFS('Base bordo'!G$2:G$746,'Base bordo'!C$2:C$746,A1346,'Base bordo'!B$2:B$746,B1346,'Base bordo'!F$2:F$746,"CARREGAMENTO"),0)</f>
        <v>0</v>
      </c>
      <c r="H1346" s="10">
        <f>IFERROR(SUMIFS('Base bordo'!G$2:G$746,'Base bordo'!C$2:C$746,A1346,'Base bordo'!B$2:B$746,B1346,'Base bordo'!F$2:F$746,"AGUARDANDO TRANSBORDO"),0)</f>
        <v>0.55083333333333329</v>
      </c>
      <c r="I1346" s="10">
        <f>IFERROR(SUMIFS('Base bordo'!G$2:G$746,'Base bordo'!C$2:C$746,A1346,'Base bordo'!B$2:B$746,B1346,'Base bordo'!F$2:F$746,"PÁTIO INTERNO"),0)+IFERROR(SUMIFS('Base bordo'!G$2:G$746,'Base bordo'!C$2:C$746,A1346,'Base bordo'!B$2:B$746,B1346,'Base bordo'!F$2:F$746,"PÁTIO EXTERNO"),0)+IFERROR(SUMIFS('Base bordo'!G$2:G$746,'Base bordo'!C$2:C$746,A1346,'Base bordo'!B$2:B$746,B1346,'Base bordo'!F$2:F$746,"PATIO - RESERVA"),0)+IFERROR(SUMIFS('Base bordo'!G$2:G$746,'Base bordo'!C$2:C$746,A1346,'Base bordo'!B$2:B$746,B1346,'Base bordo'!F$2:F$746,"MANOBRA CARRETAS-PATIO"),0)</f>
        <v>6.1611111111111114</v>
      </c>
      <c r="J1346" s="10">
        <f>IFERROR(SUMIFS('Base bordo'!G$2:G$746,'Base bordo'!C$2:C$746,A1346,'Base bordo'!B$2:B$746,B1346,'Base bordo'!F$2:F$746,"BALANÇA - ENTRADA"),0)+IFERROR(SUMIFS('Base bordo'!G$2:G$746,'Base bordo'!C$2:C$746,A1346,'Base bordo'!B$2:B$746,B1346,'Base bordo'!F$2:F$746,"BALANÇA - SAÍDA"),0)</f>
        <v>0.17694444444444446</v>
      </c>
      <c r="K1346" s="10">
        <f>IFERROR(SUMIFS('Base bordo'!G$2:G$746,'Base bordo'!C$2:C$746,A1346,'Base bordo'!B$2:B$746,B1346,'Base bordo'!F$2:F$746,"MAN PREVENTIVA - MECANICA"),0)+IFERROR(SUMIFS('Base bordo'!G$2:G$746,'Base bordo'!C$2:C$746,A1346,'Base bordo'!B$2:B$746,B1346,'Base bordo'!F$2:F$746,"MAN CORRETIVA - MECANICA"),0)</f>
        <v>0</v>
      </c>
      <c r="L1346" s="10">
        <f>IFERROR(SUMIFS('Base bordo'!G$2:G$746,'Base bordo'!C$2:C$746,A1346,'Base bordo'!B$2:B$746,B1346,'Base bordo'!F$2:F$746,"MANUTENCAO - T O"),0)+IFERROR(SUMIFS('Base bordo'!G$2:G$746,'Base bordo'!C$2:C$746,A1346,'Base bordo'!B$2:B$746,B1346,'Base bordo'!F$2:F$746,"MANUTENCAO BORRACHARIA"),0)+IFERROR(SUMIFS('Base bordo'!G$2:G$746,'Base bordo'!C$2:C$746,A1346,'Base bordo'!B$2:B$746,B1346,'Base bordo'!F$2:F$746,"MANUTENCAO EXTERNA  CONCESSIONARIA"),0)+IFERROR(SUMIFS('Base bordo'!G$2:G$746,'Base bordo'!C$2:C$746,A1346,'Base bordo'!B$2:B$746,B1346,'Base bordo'!F$2:F$746,"MANUTENCAO TELEMETRIA"),0)</f>
        <v>0</v>
      </c>
      <c r="M1346" s="10">
        <f>IFERROR(SUMIFS('Base bordo'!G$2:G$746,'Base bordo'!C$2:C$746,A1346,'Base bordo'!B$2:B$746,B1346,'Base bordo'!F$2:F$746,"AGUARDANDO MANUTENCAO"),0)</f>
        <v>0</v>
      </c>
      <c r="N1346" s="10">
        <f>IFERROR(SUMIFS('Base bordo'!G$2:G$746,'Base bordo'!C$2:C$746,A1346,'Base bordo'!B$2:B$746,B1346,'Base bordo'!F$2:F$746,"SEM APONTAMENTO"),0)</f>
        <v>0</v>
      </c>
      <c r="O1346" s="10">
        <f t="shared" si="132"/>
        <v>-1.7763568394002505E-15</v>
      </c>
      <c r="P1346" s="10">
        <f>IFERROR(SUMIFS('Base bordo'!G$2:G$746,'Base bordo'!C$2:C$746,A1346,'Base bordo'!B$2:B$746,B1346),0)</f>
        <v>15.728055555555555</v>
      </c>
      <c r="Q1346" s="10">
        <f>IFERROR(SUMIFS('Base bordo'!H$2:H$746,'Base bordo'!C$2:C$746,A1346,'Base bordo'!B$2:B$746,B1346,'Base bordo'!F$2:F$746,"DESLOCAMENTO VAZIO"),0)</f>
        <v>357738.43000000005</v>
      </c>
      <c r="R1346" s="10">
        <f>IFERROR(SUMIFS('Base bordo'!I$2:I$746,'Base bordo'!C$2:C$746,A1346,'Base bordo'!B$2:B$746,B1346,'Base bordo'!F$2:F$746,"DESLOCAMENTO VAZIO"),0)</f>
        <v>11038</v>
      </c>
      <c r="S1346" s="30">
        <f t="shared" si="133"/>
        <v>32.409714622214175</v>
      </c>
      <c r="T1346" s="10">
        <f>IFERROR(SUMIFS('Base bordo'!H$2:H$746,'Base bordo'!C$2:C$746,A1346,'Base bordo'!B$2:B$746,B1346,'Base bordo'!F$2:F$746,"DESLOCAMENTO CARREGADO"),0)</f>
        <v>519150.98000000004</v>
      </c>
      <c r="U1346" s="10">
        <f>IFERROR(SUMIFS('Base bordo'!I$2:I$746,'Base bordo'!C$2:C$746,A1346,'Base bordo'!B$2:B$746,B1346,'Base bordo'!F$2:F$746,"DESLOCAMENTO CARREGADO"),0)</f>
        <v>20783</v>
      </c>
      <c r="V1346" s="30">
        <f t="shared" si="134"/>
        <v>24.979597748159556</v>
      </c>
      <c r="W1346" s="9">
        <f t="shared" si="135"/>
        <v>0.19494533830204344</v>
      </c>
      <c r="X1346" s="9">
        <f t="shared" si="136"/>
        <v>0.36705462637537312</v>
      </c>
      <c r="Y1346" s="9">
        <f t="shared" si="137"/>
        <v>0.43800003532258347</v>
      </c>
    </row>
    <row r="1347" spans="1:25" ht="15" customHeight="1" x14ac:dyDescent="0.35">
      <c r="A1347" s="52">
        <v>8013483</v>
      </c>
      <c r="B1347" s="51">
        <v>46124</v>
      </c>
      <c r="C1347" s="7" t="s">
        <v>124</v>
      </c>
      <c r="D1347" s="10">
        <f>IFERROR(SUMIFS('Base bordo'!G$2:G$746,'Base bordo'!C$2:C$746,A1347,'Base bordo'!B$2:B$746,B1347,'Base bordo'!F$2:F$746,"DESLOCAMENTO VAZIO"),0)</f>
        <v>3.0661111111111112</v>
      </c>
      <c r="E1347" s="10">
        <f>IFERROR(SUMIFS('Base bordo'!G$2:G$746,'Base bordo'!C$2:C$746,A1347,'Base bordo'!B$2:B$746,B1347,'Base bordo'!F$2:F$746,"DESLOCAMENTO CARREGADO"),0)</f>
        <v>5.7730555555555556</v>
      </c>
      <c r="F1347" s="10">
        <f>IFERROR(SUMIFS('Base bordo'!G$2:G$746,'Base bordo'!C$2:C$746,A1347,'Base bordo'!B$2:B$746,B1347,'Base bordo'!F$2:F$746,"DESLOCAMENTO"),0)</f>
        <v>0</v>
      </c>
      <c r="G1347" s="10">
        <f>IFERROR(SUMIFS('Base bordo'!G$2:G$746,'Base bordo'!C$2:C$746,A1347,'Base bordo'!B$2:B$746,B1347,'Base bordo'!F$2:F$746,"CARREGAMENTO"),0)</f>
        <v>0</v>
      </c>
      <c r="H1347" s="10">
        <f>IFERROR(SUMIFS('Base bordo'!G$2:G$746,'Base bordo'!C$2:C$746,A1347,'Base bordo'!B$2:B$746,B1347,'Base bordo'!F$2:F$746,"AGUARDANDO TRANSBORDO"),0)</f>
        <v>0.55083333333333329</v>
      </c>
      <c r="I1347" s="10">
        <f>IFERROR(SUMIFS('Base bordo'!G$2:G$746,'Base bordo'!C$2:C$746,A1347,'Base bordo'!B$2:B$746,B1347,'Base bordo'!F$2:F$746,"PÁTIO INTERNO"),0)+IFERROR(SUMIFS('Base bordo'!G$2:G$746,'Base bordo'!C$2:C$746,A1347,'Base bordo'!B$2:B$746,B1347,'Base bordo'!F$2:F$746,"PÁTIO EXTERNO"),0)+IFERROR(SUMIFS('Base bordo'!G$2:G$746,'Base bordo'!C$2:C$746,A1347,'Base bordo'!B$2:B$746,B1347,'Base bordo'!F$2:F$746,"PATIO - RESERVA"),0)+IFERROR(SUMIFS('Base bordo'!G$2:G$746,'Base bordo'!C$2:C$746,A1347,'Base bordo'!B$2:B$746,B1347,'Base bordo'!F$2:F$746,"MANOBRA CARRETAS-PATIO"),0)</f>
        <v>6.1611111111111114</v>
      </c>
      <c r="J1347" s="10">
        <f>IFERROR(SUMIFS('Base bordo'!G$2:G$746,'Base bordo'!C$2:C$746,A1347,'Base bordo'!B$2:B$746,B1347,'Base bordo'!F$2:F$746,"BALANÇA - ENTRADA"),0)+IFERROR(SUMIFS('Base bordo'!G$2:G$746,'Base bordo'!C$2:C$746,A1347,'Base bordo'!B$2:B$746,B1347,'Base bordo'!F$2:F$746,"BALANÇA - SAÍDA"),0)</f>
        <v>0.17694444444444446</v>
      </c>
      <c r="K1347" s="10">
        <f>IFERROR(SUMIFS('Base bordo'!G$2:G$746,'Base bordo'!C$2:C$746,A1347,'Base bordo'!B$2:B$746,B1347,'Base bordo'!F$2:F$746,"MAN PREVENTIVA - MECANICA"),0)+IFERROR(SUMIFS('Base bordo'!G$2:G$746,'Base bordo'!C$2:C$746,A1347,'Base bordo'!B$2:B$746,B1347,'Base bordo'!F$2:F$746,"MAN CORRETIVA - MECANICA"),0)</f>
        <v>0</v>
      </c>
      <c r="L1347" s="10">
        <f>IFERROR(SUMIFS('Base bordo'!G$2:G$746,'Base bordo'!C$2:C$746,A1347,'Base bordo'!B$2:B$746,B1347,'Base bordo'!F$2:F$746,"MANUTENCAO - T O"),0)+IFERROR(SUMIFS('Base bordo'!G$2:G$746,'Base bordo'!C$2:C$746,A1347,'Base bordo'!B$2:B$746,B1347,'Base bordo'!F$2:F$746,"MANUTENCAO BORRACHARIA"),0)+IFERROR(SUMIFS('Base bordo'!G$2:G$746,'Base bordo'!C$2:C$746,A1347,'Base bordo'!B$2:B$746,B1347,'Base bordo'!F$2:F$746,"MANUTENCAO EXTERNA  CONCESSIONARIA"),0)+IFERROR(SUMIFS('Base bordo'!G$2:G$746,'Base bordo'!C$2:C$746,A1347,'Base bordo'!B$2:B$746,B1347,'Base bordo'!F$2:F$746,"MANUTENCAO TELEMETRIA"),0)</f>
        <v>0</v>
      </c>
      <c r="M1347" s="10">
        <f>IFERROR(SUMIFS('Base bordo'!G$2:G$746,'Base bordo'!C$2:C$746,A1347,'Base bordo'!B$2:B$746,B1347,'Base bordo'!F$2:F$746,"AGUARDANDO MANUTENCAO"),0)</f>
        <v>0</v>
      </c>
      <c r="N1347" s="10">
        <f>IFERROR(SUMIFS('Base bordo'!G$2:G$746,'Base bordo'!C$2:C$746,A1347,'Base bordo'!B$2:B$746,B1347,'Base bordo'!F$2:F$746,"SEM APONTAMENTO"),0)</f>
        <v>0</v>
      </c>
      <c r="O1347" s="10">
        <f t="shared" si="132"/>
        <v>-1.7763568394002505E-15</v>
      </c>
      <c r="P1347" s="10">
        <f>IFERROR(SUMIFS('Base bordo'!G$2:G$746,'Base bordo'!C$2:C$746,A1347,'Base bordo'!B$2:B$746,B1347),0)</f>
        <v>15.728055555555555</v>
      </c>
      <c r="Q1347" s="10">
        <f>IFERROR(SUMIFS('Base bordo'!H$2:H$746,'Base bordo'!C$2:C$746,A1347,'Base bordo'!B$2:B$746,B1347,'Base bordo'!F$2:F$746,"DESLOCAMENTO VAZIO"),0)</f>
        <v>357738.43000000005</v>
      </c>
      <c r="R1347" s="10">
        <f>IFERROR(SUMIFS('Base bordo'!I$2:I$746,'Base bordo'!C$2:C$746,A1347,'Base bordo'!B$2:B$746,B1347,'Base bordo'!F$2:F$746,"DESLOCAMENTO VAZIO"),0)</f>
        <v>11038</v>
      </c>
      <c r="S1347" s="30">
        <f t="shared" si="133"/>
        <v>32.409714622214175</v>
      </c>
      <c r="T1347" s="10">
        <f>IFERROR(SUMIFS('Base bordo'!H$2:H$746,'Base bordo'!C$2:C$746,A1347,'Base bordo'!B$2:B$746,B1347,'Base bordo'!F$2:F$746,"DESLOCAMENTO CARREGADO"),0)</f>
        <v>519150.98000000004</v>
      </c>
      <c r="U1347" s="10">
        <f>IFERROR(SUMIFS('Base bordo'!I$2:I$746,'Base bordo'!C$2:C$746,A1347,'Base bordo'!B$2:B$746,B1347,'Base bordo'!F$2:F$746,"DESLOCAMENTO CARREGADO"),0)</f>
        <v>20783</v>
      </c>
      <c r="V1347" s="30">
        <f t="shared" si="134"/>
        <v>24.979597748159556</v>
      </c>
      <c r="W1347" s="9">
        <f t="shared" si="135"/>
        <v>0.19494533830204344</v>
      </c>
      <c r="X1347" s="9">
        <f t="shared" si="136"/>
        <v>0.36705462637537312</v>
      </c>
      <c r="Y1347" s="9">
        <f t="shared" si="137"/>
        <v>0.43800003532258347</v>
      </c>
    </row>
    <row r="1348" spans="1:25" ht="15" customHeight="1" x14ac:dyDescent="0.35">
      <c r="A1348" s="52">
        <v>8013483</v>
      </c>
      <c r="B1348" s="51">
        <v>46124</v>
      </c>
      <c r="C1348" s="7" t="s">
        <v>124</v>
      </c>
      <c r="D1348" s="10">
        <f>IFERROR(SUMIFS('Base bordo'!G$2:G$746,'Base bordo'!C$2:C$746,A1348,'Base bordo'!B$2:B$746,B1348,'Base bordo'!F$2:F$746,"DESLOCAMENTO VAZIO"),0)</f>
        <v>3.0661111111111112</v>
      </c>
      <c r="E1348" s="10">
        <f>IFERROR(SUMIFS('Base bordo'!G$2:G$746,'Base bordo'!C$2:C$746,A1348,'Base bordo'!B$2:B$746,B1348,'Base bordo'!F$2:F$746,"DESLOCAMENTO CARREGADO"),0)</f>
        <v>5.7730555555555556</v>
      </c>
      <c r="F1348" s="10">
        <f>IFERROR(SUMIFS('Base bordo'!G$2:G$746,'Base bordo'!C$2:C$746,A1348,'Base bordo'!B$2:B$746,B1348,'Base bordo'!F$2:F$746,"DESLOCAMENTO"),0)</f>
        <v>0</v>
      </c>
      <c r="G1348" s="10">
        <f>IFERROR(SUMIFS('Base bordo'!G$2:G$746,'Base bordo'!C$2:C$746,A1348,'Base bordo'!B$2:B$746,B1348,'Base bordo'!F$2:F$746,"CARREGAMENTO"),0)</f>
        <v>0</v>
      </c>
      <c r="H1348" s="10">
        <f>IFERROR(SUMIFS('Base bordo'!G$2:G$746,'Base bordo'!C$2:C$746,A1348,'Base bordo'!B$2:B$746,B1348,'Base bordo'!F$2:F$746,"AGUARDANDO TRANSBORDO"),0)</f>
        <v>0.55083333333333329</v>
      </c>
      <c r="I1348" s="10">
        <f>IFERROR(SUMIFS('Base bordo'!G$2:G$746,'Base bordo'!C$2:C$746,A1348,'Base bordo'!B$2:B$746,B1348,'Base bordo'!F$2:F$746,"PÁTIO INTERNO"),0)+IFERROR(SUMIFS('Base bordo'!G$2:G$746,'Base bordo'!C$2:C$746,A1348,'Base bordo'!B$2:B$746,B1348,'Base bordo'!F$2:F$746,"PÁTIO EXTERNO"),0)+IFERROR(SUMIFS('Base bordo'!G$2:G$746,'Base bordo'!C$2:C$746,A1348,'Base bordo'!B$2:B$746,B1348,'Base bordo'!F$2:F$746,"PATIO - RESERVA"),0)+IFERROR(SUMIFS('Base bordo'!G$2:G$746,'Base bordo'!C$2:C$746,A1348,'Base bordo'!B$2:B$746,B1348,'Base bordo'!F$2:F$746,"MANOBRA CARRETAS-PATIO"),0)</f>
        <v>6.1611111111111114</v>
      </c>
      <c r="J1348" s="10">
        <f>IFERROR(SUMIFS('Base bordo'!G$2:G$746,'Base bordo'!C$2:C$746,A1348,'Base bordo'!B$2:B$746,B1348,'Base bordo'!F$2:F$746,"BALANÇA - ENTRADA"),0)+IFERROR(SUMIFS('Base bordo'!G$2:G$746,'Base bordo'!C$2:C$746,A1348,'Base bordo'!B$2:B$746,B1348,'Base bordo'!F$2:F$746,"BALANÇA - SAÍDA"),0)</f>
        <v>0.17694444444444446</v>
      </c>
      <c r="K1348" s="10">
        <f>IFERROR(SUMIFS('Base bordo'!G$2:G$746,'Base bordo'!C$2:C$746,A1348,'Base bordo'!B$2:B$746,B1348,'Base bordo'!F$2:F$746,"MAN PREVENTIVA - MECANICA"),0)+IFERROR(SUMIFS('Base bordo'!G$2:G$746,'Base bordo'!C$2:C$746,A1348,'Base bordo'!B$2:B$746,B1348,'Base bordo'!F$2:F$746,"MAN CORRETIVA - MECANICA"),0)</f>
        <v>0</v>
      </c>
      <c r="L1348" s="10">
        <f>IFERROR(SUMIFS('Base bordo'!G$2:G$746,'Base bordo'!C$2:C$746,A1348,'Base bordo'!B$2:B$746,B1348,'Base bordo'!F$2:F$746,"MANUTENCAO - T O"),0)+IFERROR(SUMIFS('Base bordo'!G$2:G$746,'Base bordo'!C$2:C$746,A1348,'Base bordo'!B$2:B$746,B1348,'Base bordo'!F$2:F$746,"MANUTENCAO BORRACHARIA"),0)+IFERROR(SUMIFS('Base bordo'!G$2:G$746,'Base bordo'!C$2:C$746,A1348,'Base bordo'!B$2:B$746,B1348,'Base bordo'!F$2:F$746,"MANUTENCAO EXTERNA  CONCESSIONARIA"),0)+IFERROR(SUMIFS('Base bordo'!G$2:G$746,'Base bordo'!C$2:C$746,A1348,'Base bordo'!B$2:B$746,B1348,'Base bordo'!F$2:F$746,"MANUTENCAO TELEMETRIA"),0)</f>
        <v>0</v>
      </c>
      <c r="M1348" s="10">
        <f>IFERROR(SUMIFS('Base bordo'!G$2:G$746,'Base bordo'!C$2:C$746,A1348,'Base bordo'!B$2:B$746,B1348,'Base bordo'!F$2:F$746,"AGUARDANDO MANUTENCAO"),0)</f>
        <v>0</v>
      </c>
      <c r="N1348" s="10">
        <f>IFERROR(SUMIFS('Base bordo'!G$2:G$746,'Base bordo'!C$2:C$746,A1348,'Base bordo'!B$2:B$746,B1348,'Base bordo'!F$2:F$746,"SEM APONTAMENTO"),0)</f>
        <v>0</v>
      </c>
      <c r="O1348" s="10">
        <f t="shared" si="132"/>
        <v>-1.7763568394002505E-15</v>
      </c>
      <c r="P1348" s="10">
        <f>IFERROR(SUMIFS('Base bordo'!G$2:G$746,'Base bordo'!C$2:C$746,A1348,'Base bordo'!B$2:B$746,B1348),0)</f>
        <v>15.728055555555555</v>
      </c>
      <c r="Q1348" s="10">
        <f>IFERROR(SUMIFS('Base bordo'!H$2:H$746,'Base bordo'!C$2:C$746,A1348,'Base bordo'!B$2:B$746,B1348,'Base bordo'!F$2:F$746,"DESLOCAMENTO VAZIO"),0)</f>
        <v>357738.43000000005</v>
      </c>
      <c r="R1348" s="10">
        <f>IFERROR(SUMIFS('Base bordo'!I$2:I$746,'Base bordo'!C$2:C$746,A1348,'Base bordo'!B$2:B$746,B1348,'Base bordo'!F$2:F$746,"DESLOCAMENTO VAZIO"),0)</f>
        <v>11038</v>
      </c>
      <c r="S1348" s="30">
        <f t="shared" si="133"/>
        <v>32.409714622214175</v>
      </c>
      <c r="T1348" s="10">
        <f>IFERROR(SUMIFS('Base bordo'!H$2:H$746,'Base bordo'!C$2:C$746,A1348,'Base bordo'!B$2:B$746,B1348,'Base bordo'!F$2:F$746,"DESLOCAMENTO CARREGADO"),0)</f>
        <v>519150.98000000004</v>
      </c>
      <c r="U1348" s="10">
        <f>IFERROR(SUMIFS('Base bordo'!I$2:I$746,'Base bordo'!C$2:C$746,A1348,'Base bordo'!B$2:B$746,B1348,'Base bordo'!F$2:F$746,"DESLOCAMENTO CARREGADO"),0)</f>
        <v>20783</v>
      </c>
      <c r="V1348" s="30">
        <f t="shared" si="134"/>
        <v>24.979597748159556</v>
      </c>
      <c r="W1348" s="9">
        <f t="shared" si="135"/>
        <v>0.19494533830204344</v>
      </c>
      <c r="X1348" s="9">
        <f t="shared" si="136"/>
        <v>0.36705462637537312</v>
      </c>
      <c r="Y1348" s="9">
        <f t="shared" si="137"/>
        <v>0.43800003532258347</v>
      </c>
    </row>
    <row r="1349" spans="1:25" ht="15" customHeight="1" x14ac:dyDescent="0.35">
      <c r="A1349" s="52">
        <v>8013483</v>
      </c>
      <c r="B1349" s="51">
        <v>46124</v>
      </c>
      <c r="C1349" s="7" t="s">
        <v>124</v>
      </c>
      <c r="D1349" s="10">
        <f>IFERROR(SUMIFS('Base bordo'!G$2:G$746,'Base bordo'!C$2:C$746,A1349,'Base bordo'!B$2:B$746,B1349,'Base bordo'!F$2:F$746,"DESLOCAMENTO VAZIO"),0)</f>
        <v>3.0661111111111112</v>
      </c>
      <c r="E1349" s="10">
        <f>IFERROR(SUMIFS('Base bordo'!G$2:G$746,'Base bordo'!C$2:C$746,A1349,'Base bordo'!B$2:B$746,B1349,'Base bordo'!F$2:F$746,"DESLOCAMENTO CARREGADO"),0)</f>
        <v>5.7730555555555556</v>
      </c>
      <c r="F1349" s="10">
        <f>IFERROR(SUMIFS('Base bordo'!G$2:G$746,'Base bordo'!C$2:C$746,A1349,'Base bordo'!B$2:B$746,B1349,'Base bordo'!F$2:F$746,"DESLOCAMENTO"),0)</f>
        <v>0</v>
      </c>
      <c r="G1349" s="10">
        <f>IFERROR(SUMIFS('Base bordo'!G$2:G$746,'Base bordo'!C$2:C$746,A1349,'Base bordo'!B$2:B$746,B1349,'Base bordo'!F$2:F$746,"CARREGAMENTO"),0)</f>
        <v>0</v>
      </c>
      <c r="H1349" s="10">
        <f>IFERROR(SUMIFS('Base bordo'!G$2:G$746,'Base bordo'!C$2:C$746,A1349,'Base bordo'!B$2:B$746,B1349,'Base bordo'!F$2:F$746,"AGUARDANDO TRANSBORDO"),0)</f>
        <v>0.55083333333333329</v>
      </c>
      <c r="I1349" s="10">
        <f>IFERROR(SUMIFS('Base bordo'!G$2:G$746,'Base bordo'!C$2:C$746,A1349,'Base bordo'!B$2:B$746,B1349,'Base bordo'!F$2:F$746,"PÁTIO INTERNO"),0)+IFERROR(SUMIFS('Base bordo'!G$2:G$746,'Base bordo'!C$2:C$746,A1349,'Base bordo'!B$2:B$746,B1349,'Base bordo'!F$2:F$746,"PÁTIO EXTERNO"),0)+IFERROR(SUMIFS('Base bordo'!G$2:G$746,'Base bordo'!C$2:C$746,A1349,'Base bordo'!B$2:B$746,B1349,'Base bordo'!F$2:F$746,"PATIO - RESERVA"),0)+IFERROR(SUMIFS('Base bordo'!G$2:G$746,'Base bordo'!C$2:C$746,A1349,'Base bordo'!B$2:B$746,B1349,'Base bordo'!F$2:F$746,"MANOBRA CARRETAS-PATIO"),0)</f>
        <v>6.1611111111111114</v>
      </c>
      <c r="J1349" s="10">
        <f>IFERROR(SUMIFS('Base bordo'!G$2:G$746,'Base bordo'!C$2:C$746,A1349,'Base bordo'!B$2:B$746,B1349,'Base bordo'!F$2:F$746,"BALANÇA - ENTRADA"),0)+IFERROR(SUMIFS('Base bordo'!G$2:G$746,'Base bordo'!C$2:C$746,A1349,'Base bordo'!B$2:B$746,B1349,'Base bordo'!F$2:F$746,"BALANÇA - SAÍDA"),0)</f>
        <v>0.17694444444444446</v>
      </c>
      <c r="K1349" s="10">
        <f>IFERROR(SUMIFS('Base bordo'!G$2:G$746,'Base bordo'!C$2:C$746,A1349,'Base bordo'!B$2:B$746,B1349,'Base bordo'!F$2:F$746,"MAN PREVENTIVA - MECANICA"),0)+IFERROR(SUMIFS('Base bordo'!G$2:G$746,'Base bordo'!C$2:C$746,A1349,'Base bordo'!B$2:B$746,B1349,'Base bordo'!F$2:F$746,"MAN CORRETIVA - MECANICA"),0)</f>
        <v>0</v>
      </c>
      <c r="L1349" s="10">
        <f>IFERROR(SUMIFS('Base bordo'!G$2:G$746,'Base bordo'!C$2:C$746,A1349,'Base bordo'!B$2:B$746,B1349,'Base bordo'!F$2:F$746,"MANUTENCAO - T O"),0)+IFERROR(SUMIFS('Base bordo'!G$2:G$746,'Base bordo'!C$2:C$746,A1349,'Base bordo'!B$2:B$746,B1349,'Base bordo'!F$2:F$746,"MANUTENCAO BORRACHARIA"),0)+IFERROR(SUMIFS('Base bordo'!G$2:G$746,'Base bordo'!C$2:C$746,A1349,'Base bordo'!B$2:B$746,B1349,'Base bordo'!F$2:F$746,"MANUTENCAO EXTERNA  CONCESSIONARIA"),0)+IFERROR(SUMIFS('Base bordo'!G$2:G$746,'Base bordo'!C$2:C$746,A1349,'Base bordo'!B$2:B$746,B1349,'Base bordo'!F$2:F$746,"MANUTENCAO TELEMETRIA"),0)</f>
        <v>0</v>
      </c>
      <c r="M1349" s="10">
        <f>IFERROR(SUMIFS('Base bordo'!G$2:G$746,'Base bordo'!C$2:C$746,A1349,'Base bordo'!B$2:B$746,B1349,'Base bordo'!F$2:F$746,"AGUARDANDO MANUTENCAO"),0)</f>
        <v>0</v>
      </c>
      <c r="N1349" s="10">
        <f>IFERROR(SUMIFS('Base bordo'!G$2:G$746,'Base bordo'!C$2:C$746,A1349,'Base bordo'!B$2:B$746,B1349,'Base bordo'!F$2:F$746,"SEM APONTAMENTO"),0)</f>
        <v>0</v>
      </c>
      <c r="O1349" s="10">
        <f t="shared" si="132"/>
        <v>-1.7763568394002505E-15</v>
      </c>
      <c r="P1349" s="10">
        <f>IFERROR(SUMIFS('Base bordo'!G$2:G$746,'Base bordo'!C$2:C$746,A1349,'Base bordo'!B$2:B$746,B1349),0)</f>
        <v>15.728055555555555</v>
      </c>
      <c r="Q1349" s="10">
        <f>IFERROR(SUMIFS('Base bordo'!H$2:H$746,'Base bordo'!C$2:C$746,A1349,'Base bordo'!B$2:B$746,B1349,'Base bordo'!F$2:F$746,"DESLOCAMENTO VAZIO"),0)</f>
        <v>357738.43000000005</v>
      </c>
      <c r="R1349" s="10">
        <f>IFERROR(SUMIFS('Base bordo'!I$2:I$746,'Base bordo'!C$2:C$746,A1349,'Base bordo'!B$2:B$746,B1349,'Base bordo'!F$2:F$746,"DESLOCAMENTO VAZIO"),0)</f>
        <v>11038</v>
      </c>
      <c r="S1349" s="30">
        <f t="shared" si="133"/>
        <v>32.409714622214175</v>
      </c>
      <c r="T1349" s="10">
        <f>IFERROR(SUMIFS('Base bordo'!H$2:H$746,'Base bordo'!C$2:C$746,A1349,'Base bordo'!B$2:B$746,B1349,'Base bordo'!F$2:F$746,"DESLOCAMENTO CARREGADO"),0)</f>
        <v>519150.98000000004</v>
      </c>
      <c r="U1349" s="10">
        <f>IFERROR(SUMIFS('Base bordo'!I$2:I$746,'Base bordo'!C$2:C$746,A1349,'Base bordo'!B$2:B$746,B1349,'Base bordo'!F$2:F$746,"DESLOCAMENTO CARREGADO"),0)</f>
        <v>20783</v>
      </c>
      <c r="V1349" s="30">
        <f t="shared" si="134"/>
        <v>24.979597748159556</v>
      </c>
      <c r="W1349" s="9">
        <f t="shared" si="135"/>
        <v>0.19494533830204344</v>
      </c>
      <c r="X1349" s="9">
        <f t="shared" si="136"/>
        <v>0.36705462637537312</v>
      </c>
      <c r="Y1349" s="9">
        <f t="shared" si="137"/>
        <v>0.43800003532258347</v>
      </c>
    </row>
    <row r="1350" spans="1:25" ht="15" customHeight="1" x14ac:dyDescent="0.35">
      <c r="A1350" s="52">
        <v>8013483</v>
      </c>
      <c r="B1350" s="51">
        <v>46124</v>
      </c>
      <c r="C1350" s="7" t="s">
        <v>124</v>
      </c>
      <c r="D1350" s="10">
        <f>IFERROR(SUMIFS('Base bordo'!G$2:G$746,'Base bordo'!C$2:C$746,A1350,'Base bordo'!B$2:B$746,B1350,'Base bordo'!F$2:F$746,"DESLOCAMENTO VAZIO"),0)</f>
        <v>3.0661111111111112</v>
      </c>
      <c r="E1350" s="10">
        <f>IFERROR(SUMIFS('Base bordo'!G$2:G$746,'Base bordo'!C$2:C$746,A1350,'Base bordo'!B$2:B$746,B1350,'Base bordo'!F$2:F$746,"DESLOCAMENTO CARREGADO"),0)</f>
        <v>5.7730555555555556</v>
      </c>
      <c r="F1350" s="10">
        <f>IFERROR(SUMIFS('Base bordo'!G$2:G$746,'Base bordo'!C$2:C$746,A1350,'Base bordo'!B$2:B$746,B1350,'Base bordo'!F$2:F$746,"DESLOCAMENTO"),0)</f>
        <v>0</v>
      </c>
      <c r="G1350" s="10">
        <f>IFERROR(SUMIFS('Base bordo'!G$2:G$746,'Base bordo'!C$2:C$746,A1350,'Base bordo'!B$2:B$746,B1350,'Base bordo'!F$2:F$746,"CARREGAMENTO"),0)</f>
        <v>0</v>
      </c>
      <c r="H1350" s="10">
        <f>IFERROR(SUMIFS('Base bordo'!G$2:G$746,'Base bordo'!C$2:C$746,A1350,'Base bordo'!B$2:B$746,B1350,'Base bordo'!F$2:F$746,"AGUARDANDO TRANSBORDO"),0)</f>
        <v>0.55083333333333329</v>
      </c>
      <c r="I1350" s="10">
        <f>IFERROR(SUMIFS('Base bordo'!G$2:G$746,'Base bordo'!C$2:C$746,A1350,'Base bordo'!B$2:B$746,B1350,'Base bordo'!F$2:F$746,"PÁTIO INTERNO"),0)+IFERROR(SUMIFS('Base bordo'!G$2:G$746,'Base bordo'!C$2:C$746,A1350,'Base bordo'!B$2:B$746,B1350,'Base bordo'!F$2:F$746,"PÁTIO EXTERNO"),0)+IFERROR(SUMIFS('Base bordo'!G$2:G$746,'Base bordo'!C$2:C$746,A1350,'Base bordo'!B$2:B$746,B1350,'Base bordo'!F$2:F$746,"PATIO - RESERVA"),0)+IFERROR(SUMIFS('Base bordo'!G$2:G$746,'Base bordo'!C$2:C$746,A1350,'Base bordo'!B$2:B$746,B1350,'Base bordo'!F$2:F$746,"MANOBRA CARRETAS-PATIO"),0)</f>
        <v>6.1611111111111114</v>
      </c>
      <c r="J1350" s="10">
        <f>IFERROR(SUMIFS('Base bordo'!G$2:G$746,'Base bordo'!C$2:C$746,A1350,'Base bordo'!B$2:B$746,B1350,'Base bordo'!F$2:F$746,"BALANÇA - ENTRADA"),0)+IFERROR(SUMIFS('Base bordo'!G$2:G$746,'Base bordo'!C$2:C$746,A1350,'Base bordo'!B$2:B$746,B1350,'Base bordo'!F$2:F$746,"BALANÇA - SAÍDA"),0)</f>
        <v>0.17694444444444446</v>
      </c>
      <c r="K1350" s="10">
        <f>IFERROR(SUMIFS('Base bordo'!G$2:G$746,'Base bordo'!C$2:C$746,A1350,'Base bordo'!B$2:B$746,B1350,'Base bordo'!F$2:F$746,"MAN PREVENTIVA - MECANICA"),0)+IFERROR(SUMIFS('Base bordo'!G$2:G$746,'Base bordo'!C$2:C$746,A1350,'Base bordo'!B$2:B$746,B1350,'Base bordo'!F$2:F$746,"MAN CORRETIVA - MECANICA"),0)</f>
        <v>0</v>
      </c>
      <c r="L1350" s="10">
        <f>IFERROR(SUMIFS('Base bordo'!G$2:G$746,'Base bordo'!C$2:C$746,A1350,'Base bordo'!B$2:B$746,B1350,'Base bordo'!F$2:F$746,"MANUTENCAO - T O"),0)+IFERROR(SUMIFS('Base bordo'!G$2:G$746,'Base bordo'!C$2:C$746,A1350,'Base bordo'!B$2:B$746,B1350,'Base bordo'!F$2:F$746,"MANUTENCAO BORRACHARIA"),0)+IFERROR(SUMIFS('Base bordo'!G$2:G$746,'Base bordo'!C$2:C$746,A1350,'Base bordo'!B$2:B$746,B1350,'Base bordo'!F$2:F$746,"MANUTENCAO EXTERNA  CONCESSIONARIA"),0)+IFERROR(SUMIFS('Base bordo'!G$2:G$746,'Base bordo'!C$2:C$746,A1350,'Base bordo'!B$2:B$746,B1350,'Base bordo'!F$2:F$746,"MANUTENCAO TELEMETRIA"),0)</f>
        <v>0</v>
      </c>
      <c r="M1350" s="10">
        <f>IFERROR(SUMIFS('Base bordo'!G$2:G$746,'Base bordo'!C$2:C$746,A1350,'Base bordo'!B$2:B$746,B1350,'Base bordo'!F$2:F$746,"AGUARDANDO MANUTENCAO"),0)</f>
        <v>0</v>
      </c>
      <c r="N1350" s="10">
        <f>IFERROR(SUMIFS('Base bordo'!G$2:G$746,'Base bordo'!C$2:C$746,A1350,'Base bordo'!B$2:B$746,B1350,'Base bordo'!F$2:F$746,"SEM APONTAMENTO"),0)</f>
        <v>0</v>
      </c>
      <c r="O1350" s="10">
        <f t="shared" si="132"/>
        <v>-1.7763568394002505E-15</v>
      </c>
      <c r="P1350" s="10">
        <f>IFERROR(SUMIFS('Base bordo'!G$2:G$746,'Base bordo'!C$2:C$746,A1350,'Base bordo'!B$2:B$746,B1350),0)</f>
        <v>15.728055555555555</v>
      </c>
      <c r="Q1350" s="10">
        <f>IFERROR(SUMIFS('Base bordo'!H$2:H$746,'Base bordo'!C$2:C$746,A1350,'Base bordo'!B$2:B$746,B1350,'Base bordo'!F$2:F$746,"DESLOCAMENTO VAZIO"),0)</f>
        <v>357738.43000000005</v>
      </c>
      <c r="R1350" s="10">
        <f>IFERROR(SUMIFS('Base bordo'!I$2:I$746,'Base bordo'!C$2:C$746,A1350,'Base bordo'!B$2:B$746,B1350,'Base bordo'!F$2:F$746,"DESLOCAMENTO VAZIO"),0)</f>
        <v>11038</v>
      </c>
      <c r="S1350" s="30">
        <f t="shared" si="133"/>
        <v>32.409714622214175</v>
      </c>
      <c r="T1350" s="10">
        <f>IFERROR(SUMIFS('Base bordo'!H$2:H$746,'Base bordo'!C$2:C$746,A1350,'Base bordo'!B$2:B$746,B1350,'Base bordo'!F$2:F$746,"DESLOCAMENTO CARREGADO"),0)</f>
        <v>519150.98000000004</v>
      </c>
      <c r="U1350" s="10">
        <f>IFERROR(SUMIFS('Base bordo'!I$2:I$746,'Base bordo'!C$2:C$746,A1350,'Base bordo'!B$2:B$746,B1350,'Base bordo'!F$2:F$746,"DESLOCAMENTO CARREGADO"),0)</f>
        <v>20783</v>
      </c>
      <c r="V1350" s="30">
        <f t="shared" si="134"/>
        <v>24.979597748159556</v>
      </c>
      <c r="W1350" s="9">
        <f t="shared" si="135"/>
        <v>0.19494533830204344</v>
      </c>
      <c r="X1350" s="9">
        <f t="shared" si="136"/>
        <v>0.36705462637537312</v>
      </c>
      <c r="Y1350" s="9">
        <f t="shared" si="137"/>
        <v>0.43800003532258347</v>
      </c>
    </row>
    <row r="1351" spans="1:25" ht="15" customHeight="1" x14ac:dyDescent="0.35">
      <c r="A1351" s="52">
        <v>8013483</v>
      </c>
      <c r="B1351" s="51">
        <v>46124</v>
      </c>
      <c r="C1351" s="7" t="s">
        <v>124</v>
      </c>
      <c r="D1351" s="10">
        <f>IFERROR(SUMIFS('Base bordo'!G$2:G$746,'Base bordo'!C$2:C$746,A1351,'Base bordo'!B$2:B$746,B1351,'Base bordo'!F$2:F$746,"DESLOCAMENTO VAZIO"),0)</f>
        <v>3.0661111111111112</v>
      </c>
      <c r="E1351" s="10">
        <f>IFERROR(SUMIFS('Base bordo'!G$2:G$746,'Base bordo'!C$2:C$746,A1351,'Base bordo'!B$2:B$746,B1351,'Base bordo'!F$2:F$746,"DESLOCAMENTO CARREGADO"),0)</f>
        <v>5.7730555555555556</v>
      </c>
      <c r="F1351" s="10">
        <f>IFERROR(SUMIFS('Base bordo'!G$2:G$746,'Base bordo'!C$2:C$746,A1351,'Base bordo'!B$2:B$746,B1351,'Base bordo'!F$2:F$746,"DESLOCAMENTO"),0)</f>
        <v>0</v>
      </c>
      <c r="G1351" s="10">
        <f>IFERROR(SUMIFS('Base bordo'!G$2:G$746,'Base bordo'!C$2:C$746,A1351,'Base bordo'!B$2:B$746,B1351,'Base bordo'!F$2:F$746,"CARREGAMENTO"),0)</f>
        <v>0</v>
      </c>
      <c r="H1351" s="10">
        <f>IFERROR(SUMIFS('Base bordo'!G$2:G$746,'Base bordo'!C$2:C$746,A1351,'Base bordo'!B$2:B$746,B1351,'Base bordo'!F$2:F$746,"AGUARDANDO TRANSBORDO"),0)</f>
        <v>0.55083333333333329</v>
      </c>
      <c r="I1351" s="10">
        <f>IFERROR(SUMIFS('Base bordo'!G$2:G$746,'Base bordo'!C$2:C$746,A1351,'Base bordo'!B$2:B$746,B1351,'Base bordo'!F$2:F$746,"PÁTIO INTERNO"),0)+IFERROR(SUMIFS('Base bordo'!G$2:G$746,'Base bordo'!C$2:C$746,A1351,'Base bordo'!B$2:B$746,B1351,'Base bordo'!F$2:F$746,"PÁTIO EXTERNO"),0)+IFERROR(SUMIFS('Base bordo'!G$2:G$746,'Base bordo'!C$2:C$746,A1351,'Base bordo'!B$2:B$746,B1351,'Base bordo'!F$2:F$746,"PATIO - RESERVA"),0)+IFERROR(SUMIFS('Base bordo'!G$2:G$746,'Base bordo'!C$2:C$746,A1351,'Base bordo'!B$2:B$746,B1351,'Base bordo'!F$2:F$746,"MANOBRA CARRETAS-PATIO"),0)</f>
        <v>6.1611111111111114</v>
      </c>
      <c r="J1351" s="10">
        <f>IFERROR(SUMIFS('Base bordo'!G$2:G$746,'Base bordo'!C$2:C$746,A1351,'Base bordo'!B$2:B$746,B1351,'Base bordo'!F$2:F$746,"BALANÇA - ENTRADA"),0)+IFERROR(SUMIFS('Base bordo'!G$2:G$746,'Base bordo'!C$2:C$746,A1351,'Base bordo'!B$2:B$746,B1351,'Base bordo'!F$2:F$746,"BALANÇA - SAÍDA"),0)</f>
        <v>0.17694444444444446</v>
      </c>
      <c r="K1351" s="10">
        <f>IFERROR(SUMIFS('Base bordo'!G$2:G$746,'Base bordo'!C$2:C$746,A1351,'Base bordo'!B$2:B$746,B1351,'Base bordo'!F$2:F$746,"MAN PREVENTIVA - MECANICA"),0)+IFERROR(SUMIFS('Base bordo'!G$2:G$746,'Base bordo'!C$2:C$746,A1351,'Base bordo'!B$2:B$746,B1351,'Base bordo'!F$2:F$746,"MAN CORRETIVA - MECANICA"),0)</f>
        <v>0</v>
      </c>
      <c r="L1351" s="10">
        <f>IFERROR(SUMIFS('Base bordo'!G$2:G$746,'Base bordo'!C$2:C$746,A1351,'Base bordo'!B$2:B$746,B1351,'Base bordo'!F$2:F$746,"MANUTENCAO - T O"),0)+IFERROR(SUMIFS('Base bordo'!G$2:G$746,'Base bordo'!C$2:C$746,A1351,'Base bordo'!B$2:B$746,B1351,'Base bordo'!F$2:F$746,"MANUTENCAO BORRACHARIA"),0)+IFERROR(SUMIFS('Base bordo'!G$2:G$746,'Base bordo'!C$2:C$746,A1351,'Base bordo'!B$2:B$746,B1351,'Base bordo'!F$2:F$746,"MANUTENCAO EXTERNA  CONCESSIONARIA"),0)+IFERROR(SUMIFS('Base bordo'!G$2:G$746,'Base bordo'!C$2:C$746,A1351,'Base bordo'!B$2:B$746,B1351,'Base bordo'!F$2:F$746,"MANUTENCAO TELEMETRIA"),0)</f>
        <v>0</v>
      </c>
      <c r="M1351" s="10">
        <f>IFERROR(SUMIFS('Base bordo'!G$2:G$746,'Base bordo'!C$2:C$746,A1351,'Base bordo'!B$2:B$746,B1351,'Base bordo'!F$2:F$746,"AGUARDANDO MANUTENCAO"),0)</f>
        <v>0</v>
      </c>
      <c r="N1351" s="10">
        <f>IFERROR(SUMIFS('Base bordo'!G$2:G$746,'Base bordo'!C$2:C$746,A1351,'Base bordo'!B$2:B$746,B1351,'Base bordo'!F$2:F$746,"SEM APONTAMENTO"),0)</f>
        <v>0</v>
      </c>
      <c r="O1351" s="10">
        <f t="shared" si="132"/>
        <v>-1.7763568394002505E-15</v>
      </c>
      <c r="P1351" s="10">
        <f>IFERROR(SUMIFS('Base bordo'!G$2:G$746,'Base bordo'!C$2:C$746,A1351,'Base bordo'!B$2:B$746,B1351),0)</f>
        <v>15.728055555555555</v>
      </c>
      <c r="Q1351" s="10">
        <f>IFERROR(SUMIFS('Base bordo'!H$2:H$746,'Base bordo'!C$2:C$746,A1351,'Base bordo'!B$2:B$746,B1351,'Base bordo'!F$2:F$746,"DESLOCAMENTO VAZIO"),0)</f>
        <v>357738.43000000005</v>
      </c>
      <c r="R1351" s="10">
        <f>IFERROR(SUMIFS('Base bordo'!I$2:I$746,'Base bordo'!C$2:C$746,A1351,'Base bordo'!B$2:B$746,B1351,'Base bordo'!F$2:F$746,"DESLOCAMENTO VAZIO"),0)</f>
        <v>11038</v>
      </c>
      <c r="S1351" s="30">
        <f t="shared" si="133"/>
        <v>32.409714622214175</v>
      </c>
      <c r="T1351" s="10">
        <f>IFERROR(SUMIFS('Base bordo'!H$2:H$746,'Base bordo'!C$2:C$746,A1351,'Base bordo'!B$2:B$746,B1351,'Base bordo'!F$2:F$746,"DESLOCAMENTO CARREGADO"),0)</f>
        <v>519150.98000000004</v>
      </c>
      <c r="U1351" s="10">
        <f>IFERROR(SUMIFS('Base bordo'!I$2:I$746,'Base bordo'!C$2:C$746,A1351,'Base bordo'!B$2:B$746,B1351,'Base bordo'!F$2:F$746,"DESLOCAMENTO CARREGADO"),0)</f>
        <v>20783</v>
      </c>
      <c r="V1351" s="30">
        <f t="shared" si="134"/>
        <v>24.979597748159556</v>
      </c>
      <c r="W1351" s="9">
        <f t="shared" si="135"/>
        <v>0.19494533830204344</v>
      </c>
      <c r="X1351" s="9">
        <f t="shared" si="136"/>
        <v>0.36705462637537312</v>
      </c>
      <c r="Y1351" s="9">
        <f t="shared" si="137"/>
        <v>0.43800003532258347</v>
      </c>
    </row>
    <row r="1352" spans="1:25" ht="15" customHeight="1" x14ac:dyDescent="0.35">
      <c r="A1352" s="52">
        <v>8013483</v>
      </c>
      <c r="B1352" s="51">
        <v>46124</v>
      </c>
      <c r="C1352" s="7" t="s">
        <v>124</v>
      </c>
      <c r="D1352" s="10">
        <f>IFERROR(SUMIFS('Base bordo'!G$2:G$746,'Base bordo'!C$2:C$746,A1352,'Base bordo'!B$2:B$746,B1352,'Base bordo'!F$2:F$746,"DESLOCAMENTO VAZIO"),0)</f>
        <v>3.0661111111111112</v>
      </c>
      <c r="E1352" s="10">
        <f>IFERROR(SUMIFS('Base bordo'!G$2:G$746,'Base bordo'!C$2:C$746,A1352,'Base bordo'!B$2:B$746,B1352,'Base bordo'!F$2:F$746,"DESLOCAMENTO CARREGADO"),0)</f>
        <v>5.7730555555555556</v>
      </c>
      <c r="F1352" s="10">
        <f>IFERROR(SUMIFS('Base bordo'!G$2:G$746,'Base bordo'!C$2:C$746,A1352,'Base bordo'!B$2:B$746,B1352,'Base bordo'!F$2:F$746,"DESLOCAMENTO"),0)</f>
        <v>0</v>
      </c>
      <c r="G1352" s="10">
        <f>IFERROR(SUMIFS('Base bordo'!G$2:G$746,'Base bordo'!C$2:C$746,A1352,'Base bordo'!B$2:B$746,B1352,'Base bordo'!F$2:F$746,"CARREGAMENTO"),0)</f>
        <v>0</v>
      </c>
      <c r="H1352" s="10">
        <f>IFERROR(SUMIFS('Base bordo'!G$2:G$746,'Base bordo'!C$2:C$746,A1352,'Base bordo'!B$2:B$746,B1352,'Base bordo'!F$2:F$746,"AGUARDANDO TRANSBORDO"),0)</f>
        <v>0.55083333333333329</v>
      </c>
      <c r="I1352" s="10">
        <f>IFERROR(SUMIFS('Base bordo'!G$2:G$746,'Base bordo'!C$2:C$746,A1352,'Base bordo'!B$2:B$746,B1352,'Base bordo'!F$2:F$746,"PÁTIO INTERNO"),0)+IFERROR(SUMIFS('Base bordo'!G$2:G$746,'Base bordo'!C$2:C$746,A1352,'Base bordo'!B$2:B$746,B1352,'Base bordo'!F$2:F$746,"PÁTIO EXTERNO"),0)+IFERROR(SUMIFS('Base bordo'!G$2:G$746,'Base bordo'!C$2:C$746,A1352,'Base bordo'!B$2:B$746,B1352,'Base bordo'!F$2:F$746,"PATIO - RESERVA"),0)+IFERROR(SUMIFS('Base bordo'!G$2:G$746,'Base bordo'!C$2:C$746,A1352,'Base bordo'!B$2:B$746,B1352,'Base bordo'!F$2:F$746,"MANOBRA CARRETAS-PATIO"),0)</f>
        <v>6.1611111111111114</v>
      </c>
      <c r="J1352" s="10">
        <f>IFERROR(SUMIFS('Base bordo'!G$2:G$746,'Base bordo'!C$2:C$746,A1352,'Base bordo'!B$2:B$746,B1352,'Base bordo'!F$2:F$746,"BALANÇA - ENTRADA"),0)+IFERROR(SUMIFS('Base bordo'!G$2:G$746,'Base bordo'!C$2:C$746,A1352,'Base bordo'!B$2:B$746,B1352,'Base bordo'!F$2:F$746,"BALANÇA - SAÍDA"),0)</f>
        <v>0.17694444444444446</v>
      </c>
      <c r="K1352" s="10">
        <f>IFERROR(SUMIFS('Base bordo'!G$2:G$746,'Base bordo'!C$2:C$746,A1352,'Base bordo'!B$2:B$746,B1352,'Base bordo'!F$2:F$746,"MAN PREVENTIVA - MECANICA"),0)+IFERROR(SUMIFS('Base bordo'!G$2:G$746,'Base bordo'!C$2:C$746,A1352,'Base bordo'!B$2:B$746,B1352,'Base bordo'!F$2:F$746,"MAN CORRETIVA - MECANICA"),0)</f>
        <v>0</v>
      </c>
      <c r="L1352" s="10">
        <f>IFERROR(SUMIFS('Base bordo'!G$2:G$746,'Base bordo'!C$2:C$746,A1352,'Base bordo'!B$2:B$746,B1352,'Base bordo'!F$2:F$746,"MANUTENCAO - T O"),0)+IFERROR(SUMIFS('Base bordo'!G$2:G$746,'Base bordo'!C$2:C$746,A1352,'Base bordo'!B$2:B$746,B1352,'Base bordo'!F$2:F$746,"MANUTENCAO BORRACHARIA"),0)+IFERROR(SUMIFS('Base bordo'!G$2:G$746,'Base bordo'!C$2:C$746,A1352,'Base bordo'!B$2:B$746,B1352,'Base bordo'!F$2:F$746,"MANUTENCAO EXTERNA  CONCESSIONARIA"),0)+IFERROR(SUMIFS('Base bordo'!G$2:G$746,'Base bordo'!C$2:C$746,A1352,'Base bordo'!B$2:B$746,B1352,'Base bordo'!F$2:F$746,"MANUTENCAO TELEMETRIA"),0)</f>
        <v>0</v>
      </c>
      <c r="M1352" s="10">
        <f>IFERROR(SUMIFS('Base bordo'!G$2:G$746,'Base bordo'!C$2:C$746,A1352,'Base bordo'!B$2:B$746,B1352,'Base bordo'!F$2:F$746,"AGUARDANDO MANUTENCAO"),0)</f>
        <v>0</v>
      </c>
      <c r="N1352" s="10">
        <f>IFERROR(SUMIFS('Base bordo'!G$2:G$746,'Base bordo'!C$2:C$746,A1352,'Base bordo'!B$2:B$746,B1352,'Base bordo'!F$2:F$746,"SEM APONTAMENTO"),0)</f>
        <v>0</v>
      </c>
      <c r="O1352" s="10">
        <f t="shared" si="132"/>
        <v>-1.7763568394002505E-15</v>
      </c>
      <c r="P1352" s="10">
        <f>IFERROR(SUMIFS('Base bordo'!G$2:G$746,'Base bordo'!C$2:C$746,A1352,'Base bordo'!B$2:B$746,B1352),0)</f>
        <v>15.728055555555555</v>
      </c>
      <c r="Q1352" s="10">
        <f>IFERROR(SUMIFS('Base bordo'!H$2:H$746,'Base bordo'!C$2:C$746,A1352,'Base bordo'!B$2:B$746,B1352,'Base bordo'!F$2:F$746,"DESLOCAMENTO VAZIO"),0)</f>
        <v>357738.43000000005</v>
      </c>
      <c r="R1352" s="10">
        <f>IFERROR(SUMIFS('Base bordo'!I$2:I$746,'Base bordo'!C$2:C$746,A1352,'Base bordo'!B$2:B$746,B1352,'Base bordo'!F$2:F$746,"DESLOCAMENTO VAZIO"),0)</f>
        <v>11038</v>
      </c>
      <c r="S1352" s="30">
        <f t="shared" si="133"/>
        <v>32.409714622214175</v>
      </c>
      <c r="T1352" s="10">
        <f>IFERROR(SUMIFS('Base bordo'!H$2:H$746,'Base bordo'!C$2:C$746,A1352,'Base bordo'!B$2:B$746,B1352,'Base bordo'!F$2:F$746,"DESLOCAMENTO CARREGADO"),0)</f>
        <v>519150.98000000004</v>
      </c>
      <c r="U1352" s="10">
        <f>IFERROR(SUMIFS('Base bordo'!I$2:I$746,'Base bordo'!C$2:C$746,A1352,'Base bordo'!B$2:B$746,B1352,'Base bordo'!F$2:F$746,"DESLOCAMENTO CARREGADO"),0)</f>
        <v>20783</v>
      </c>
      <c r="V1352" s="30">
        <f t="shared" si="134"/>
        <v>24.979597748159556</v>
      </c>
      <c r="W1352" s="9">
        <f t="shared" si="135"/>
        <v>0.19494533830204344</v>
      </c>
      <c r="X1352" s="9">
        <f t="shared" si="136"/>
        <v>0.36705462637537312</v>
      </c>
      <c r="Y1352" s="9">
        <f t="shared" si="137"/>
        <v>0.43800003532258347</v>
      </c>
    </row>
    <row r="1353" spans="1:25" ht="15" customHeight="1" x14ac:dyDescent="0.35">
      <c r="A1353" s="52">
        <v>8013483</v>
      </c>
      <c r="B1353" s="51">
        <v>46124</v>
      </c>
      <c r="C1353" s="7" t="s">
        <v>124</v>
      </c>
      <c r="D1353" s="10">
        <f>IFERROR(SUMIFS('Base bordo'!G$2:G$746,'Base bordo'!C$2:C$746,A1353,'Base bordo'!B$2:B$746,B1353,'Base bordo'!F$2:F$746,"DESLOCAMENTO VAZIO"),0)</f>
        <v>3.0661111111111112</v>
      </c>
      <c r="E1353" s="10">
        <f>IFERROR(SUMIFS('Base bordo'!G$2:G$746,'Base bordo'!C$2:C$746,A1353,'Base bordo'!B$2:B$746,B1353,'Base bordo'!F$2:F$746,"DESLOCAMENTO CARREGADO"),0)</f>
        <v>5.7730555555555556</v>
      </c>
      <c r="F1353" s="10">
        <f>IFERROR(SUMIFS('Base bordo'!G$2:G$746,'Base bordo'!C$2:C$746,A1353,'Base bordo'!B$2:B$746,B1353,'Base bordo'!F$2:F$746,"DESLOCAMENTO"),0)</f>
        <v>0</v>
      </c>
      <c r="G1353" s="10">
        <f>IFERROR(SUMIFS('Base bordo'!G$2:G$746,'Base bordo'!C$2:C$746,A1353,'Base bordo'!B$2:B$746,B1353,'Base bordo'!F$2:F$746,"CARREGAMENTO"),0)</f>
        <v>0</v>
      </c>
      <c r="H1353" s="10">
        <f>IFERROR(SUMIFS('Base bordo'!G$2:G$746,'Base bordo'!C$2:C$746,A1353,'Base bordo'!B$2:B$746,B1353,'Base bordo'!F$2:F$746,"AGUARDANDO TRANSBORDO"),0)</f>
        <v>0.55083333333333329</v>
      </c>
      <c r="I1353" s="10">
        <f>IFERROR(SUMIFS('Base bordo'!G$2:G$746,'Base bordo'!C$2:C$746,A1353,'Base bordo'!B$2:B$746,B1353,'Base bordo'!F$2:F$746,"PÁTIO INTERNO"),0)+IFERROR(SUMIFS('Base bordo'!G$2:G$746,'Base bordo'!C$2:C$746,A1353,'Base bordo'!B$2:B$746,B1353,'Base bordo'!F$2:F$746,"PÁTIO EXTERNO"),0)+IFERROR(SUMIFS('Base bordo'!G$2:G$746,'Base bordo'!C$2:C$746,A1353,'Base bordo'!B$2:B$746,B1353,'Base bordo'!F$2:F$746,"PATIO - RESERVA"),0)+IFERROR(SUMIFS('Base bordo'!G$2:G$746,'Base bordo'!C$2:C$746,A1353,'Base bordo'!B$2:B$746,B1353,'Base bordo'!F$2:F$746,"MANOBRA CARRETAS-PATIO"),0)</f>
        <v>6.1611111111111114</v>
      </c>
      <c r="J1353" s="10">
        <f>IFERROR(SUMIFS('Base bordo'!G$2:G$746,'Base bordo'!C$2:C$746,A1353,'Base bordo'!B$2:B$746,B1353,'Base bordo'!F$2:F$746,"BALANÇA - ENTRADA"),0)+IFERROR(SUMIFS('Base bordo'!G$2:G$746,'Base bordo'!C$2:C$746,A1353,'Base bordo'!B$2:B$746,B1353,'Base bordo'!F$2:F$746,"BALANÇA - SAÍDA"),0)</f>
        <v>0.17694444444444446</v>
      </c>
      <c r="K1353" s="10">
        <f>IFERROR(SUMIFS('Base bordo'!G$2:G$746,'Base bordo'!C$2:C$746,A1353,'Base bordo'!B$2:B$746,B1353,'Base bordo'!F$2:F$746,"MAN PREVENTIVA - MECANICA"),0)+IFERROR(SUMIFS('Base bordo'!G$2:G$746,'Base bordo'!C$2:C$746,A1353,'Base bordo'!B$2:B$746,B1353,'Base bordo'!F$2:F$746,"MAN CORRETIVA - MECANICA"),0)</f>
        <v>0</v>
      </c>
      <c r="L1353" s="10">
        <f>IFERROR(SUMIFS('Base bordo'!G$2:G$746,'Base bordo'!C$2:C$746,A1353,'Base bordo'!B$2:B$746,B1353,'Base bordo'!F$2:F$746,"MANUTENCAO - T O"),0)+IFERROR(SUMIFS('Base bordo'!G$2:G$746,'Base bordo'!C$2:C$746,A1353,'Base bordo'!B$2:B$746,B1353,'Base bordo'!F$2:F$746,"MANUTENCAO BORRACHARIA"),0)+IFERROR(SUMIFS('Base bordo'!G$2:G$746,'Base bordo'!C$2:C$746,A1353,'Base bordo'!B$2:B$746,B1353,'Base bordo'!F$2:F$746,"MANUTENCAO EXTERNA  CONCESSIONARIA"),0)+IFERROR(SUMIFS('Base bordo'!G$2:G$746,'Base bordo'!C$2:C$746,A1353,'Base bordo'!B$2:B$746,B1353,'Base bordo'!F$2:F$746,"MANUTENCAO TELEMETRIA"),0)</f>
        <v>0</v>
      </c>
      <c r="M1353" s="10">
        <f>IFERROR(SUMIFS('Base bordo'!G$2:G$746,'Base bordo'!C$2:C$746,A1353,'Base bordo'!B$2:B$746,B1353,'Base bordo'!F$2:F$746,"AGUARDANDO MANUTENCAO"),0)</f>
        <v>0</v>
      </c>
      <c r="N1353" s="10">
        <f>IFERROR(SUMIFS('Base bordo'!G$2:G$746,'Base bordo'!C$2:C$746,A1353,'Base bordo'!B$2:B$746,B1353,'Base bordo'!F$2:F$746,"SEM APONTAMENTO"),0)</f>
        <v>0</v>
      </c>
      <c r="O1353" s="10">
        <f t="shared" si="132"/>
        <v>-1.7763568394002505E-15</v>
      </c>
      <c r="P1353" s="10">
        <f>IFERROR(SUMIFS('Base bordo'!G$2:G$746,'Base bordo'!C$2:C$746,A1353,'Base bordo'!B$2:B$746,B1353),0)</f>
        <v>15.728055555555555</v>
      </c>
      <c r="Q1353" s="10">
        <f>IFERROR(SUMIFS('Base bordo'!H$2:H$746,'Base bordo'!C$2:C$746,A1353,'Base bordo'!B$2:B$746,B1353,'Base bordo'!F$2:F$746,"DESLOCAMENTO VAZIO"),0)</f>
        <v>357738.43000000005</v>
      </c>
      <c r="R1353" s="10">
        <f>IFERROR(SUMIFS('Base bordo'!I$2:I$746,'Base bordo'!C$2:C$746,A1353,'Base bordo'!B$2:B$746,B1353,'Base bordo'!F$2:F$746,"DESLOCAMENTO VAZIO"),0)</f>
        <v>11038</v>
      </c>
      <c r="S1353" s="30">
        <f t="shared" si="133"/>
        <v>32.409714622214175</v>
      </c>
      <c r="T1353" s="10">
        <f>IFERROR(SUMIFS('Base bordo'!H$2:H$746,'Base bordo'!C$2:C$746,A1353,'Base bordo'!B$2:B$746,B1353,'Base bordo'!F$2:F$746,"DESLOCAMENTO CARREGADO"),0)</f>
        <v>519150.98000000004</v>
      </c>
      <c r="U1353" s="10">
        <f>IFERROR(SUMIFS('Base bordo'!I$2:I$746,'Base bordo'!C$2:C$746,A1353,'Base bordo'!B$2:B$746,B1353,'Base bordo'!F$2:F$746,"DESLOCAMENTO CARREGADO"),0)</f>
        <v>20783</v>
      </c>
      <c r="V1353" s="30">
        <f t="shared" si="134"/>
        <v>24.979597748159556</v>
      </c>
      <c r="W1353" s="9">
        <f t="shared" si="135"/>
        <v>0.19494533830204344</v>
      </c>
      <c r="X1353" s="9">
        <f t="shared" si="136"/>
        <v>0.36705462637537312</v>
      </c>
      <c r="Y1353" s="9">
        <f t="shared" si="137"/>
        <v>0.43800003532258347</v>
      </c>
    </row>
    <row r="1354" spans="1:25" ht="15" customHeight="1" x14ac:dyDescent="0.35">
      <c r="A1354" s="52">
        <v>8013484</v>
      </c>
      <c r="B1354" s="51">
        <v>46124</v>
      </c>
      <c r="C1354" s="7" t="s">
        <v>124</v>
      </c>
      <c r="D1354" s="10">
        <f>IFERROR(SUMIFS('Base bordo'!G$2:G$746,'Base bordo'!C$2:C$746,A1354,'Base bordo'!B$2:B$746,B1354,'Base bordo'!F$2:F$746,"DESLOCAMENTO VAZIO"),0)</f>
        <v>2.078611111111111</v>
      </c>
      <c r="E1354" s="10">
        <f>IFERROR(SUMIFS('Base bordo'!G$2:G$746,'Base bordo'!C$2:C$746,A1354,'Base bordo'!B$2:B$746,B1354,'Base bordo'!F$2:F$746,"DESLOCAMENTO CARREGADO"),0)</f>
        <v>2.0197222222222222</v>
      </c>
      <c r="F1354" s="10">
        <f>IFERROR(SUMIFS('Base bordo'!G$2:G$746,'Base bordo'!C$2:C$746,A1354,'Base bordo'!B$2:B$746,B1354,'Base bordo'!F$2:F$746,"DESLOCAMENTO"),0)</f>
        <v>0.28999999999999998</v>
      </c>
      <c r="G1354" s="10">
        <f>IFERROR(SUMIFS('Base bordo'!G$2:G$746,'Base bordo'!C$2:C$746,A1354,'Base bordo'!B$2:B$746,B1354,'Base bordo'!F$2:F$746,"CARREGAMENTO"),0)</f>
        <v>0</v>
      </c>
      <c r="H1354" s="10">
        <f>IFERROR(SUMIFS('Base bordo'!G$2:G$746,'Base bordo'!C$2:C$746,A1354,'Base bordo'!B$2:B$746,B1354,'Base bordo'!F$2:F$746,"AGUARDANDO TRANSBORDO"),0)</f>
        <v>0.16944444444444445</v>
      </c>
      <c r="I1354" s="10">
        <f>IFERROR(SUMIFS('Base bordo'!G$2:G$746,'Base bordo'!C$2:C$746,A1354,'Base bordo'!B$2:B$746,B1354,'Base bordo'!F$2:F$746,"PÁTIO INTERNO"),0)+IFERROR(SUMIFS('Base bordo'!G$2:G$746,'Base bordo'!C$2:C$746,A1354,'Base bordo'!B$2:B$746,B1354,'Base bordo'!F$2:F$746,"PÁTIO EXTERNO"),0)+IFERROR(SUMIFS('Base bordo'!G$2:G$746,'Base bordo'!C$2:C$746,A1354,'Base bordo'!B$2:B$746,B1354,'Base bordo'!F$2:F$746,"PATIO - RESERVA"),0)+IFERROR(SUMIFS('Base bordo'!G$2:G$746,'Base bordo'!C$2:C$746,A1354,'Base bordo'!B$2:B$746,B1354,'Base bordo'!F$2:F$746,"MANOBRA CARRETAS-PATIO"),0)</f>
        <v>10.112499999999999</v>
      </c>
      <c r="J1354" s="10">
        <f>IFERROR(SUMIFS('Base bordo'!G$2:G$746,'Base bordo'!C$2:C$746,A1354,'Base bordo'!B$2:B$746,B1354,'Base bordo'!F$2:F$746,"BALANÇA - ENTRADA"),0)+IFERROR(SUMIFS('Base bordo'!G$2:G$746,'Base bordo'!C$2:C$746,A1354,'Base bordo'!B$2:B$746,B1354,'Base bordo'!F$2:F$746,"BALANÇA - SAÍDA"),0)</f>
        <v>0.13666666666666666</v>
      </c>
      <c r="K1354" s="10">
        <f>IFERROR(SUMIFS('Base bordo'!G$2:G$746,'Base bordo'!C$2:C$746,A1354,'Base bordo'!B$2:B$746,B1354,'Base bordo'!F$2:F$746,"MAN PREVENTIVA - MECANICA"),0)+IFERROR(SUMIFS('Base bordo'!G$2:G$746,'Base bordo'!C$2:C$746,A1354,'Base bordo'!B$2:B$746,B1354,'Base bordo'!F$2:F$746,"MAN CORRETIVA - MECANICA"),0)</f>
        <v>0</v>
      </c>
      <c r="L1354" s="10">
        <f>IFERROR(SUMIFS('Base bordo'!G$2:G$746,'Base bordo'!C$2:C$746,A1354,'Base bordo'!B$2:B$746,B1354,'Base bordo'!F$2:F$746,"MANUTENCAO - T O"),0)+IFERROR(SUMIFS('Base bordo'!G$2:G$746,'Base bordo'!C$2:C$746,A1354,'Base bordo'!B$2:B$746,B1354,'Base bordo'!F$2:F$746,"MANUTENCAO BORRACHARIA"),0)+IFERROR(SUMIFS('Base bordo'!G$2:G$746,'Base bordo'!C$2:C$746,A1354,'Base bordo'!B$2:B$746,B1354,'Base bordo'!F$2:F$746,"MANUTENCAO EXTERNA  CONCESSIONARIA"),0)+IFERROR(SUMIFS('Base bordo'!G$2:G$746,'Base bordo'!C$2:C$746,A1354,'Base bordo'!B$2:B$746,B1354,'Base bordo'!F$2:F$746,"MANUTENCAO TELEMETRIA"),0)</f>
        <v>0.28944444444444445</v>
      </c>
      <c r="M1354" s="10">
        <f>IFERROR(SUMIFS('Base bordo'!G$2:G$746,'Base bordo'!C$2:C$746,A1354,'Base bordo'!B$2:B$746,B1354,'Base bordo'!F$2:F$746,"AGUARDANDO MANUTENCAO"),0)</f>
        <v>0</v>
      </c>
      <c r="N1354" s="10">
        <f>IFERROR(SUMIFS('Base bordo'!G$2:G$746,'Base bordo'!C$2:C$746,A1354,'Base bordo'!B$2:B$746,B1354,'Base bordo'!F$2:F$746,"SEM APONTAMENTO"),0)</f>
        <v>0</v>
      </c>
      <c r="O1354" s="10">
        <f t="shared" si="132"/>
        <v>0</v>
      </c>
      <c r="P1354" s="10">
        <f>IFERROR(SUMIFS('Base bordo'!G$2:G$746,'Base bordo'!C$2:C$746,A1354,'Base bordo'!B$2:B$746,B1354),0)</f>
        <v>15.096388888888889</v>
      </c>
      <c r="Q1354" s="10">
        <f>IFERROR(SUMIFS('Base bordo'!H$2:H$746,'Base bordo'!C$2:C$746,A1354,'Base bordo'!B$2:B$746,B1354,'Base bordo'!F$2:F$746,"DESLOCAMENTO VAZIO"),0)</f>
        <v>217205.70999999996</v>
      </c>
      <c r="R1354" s="10">
        <f>IFERROR(SUMIFS('Base bordo'!I$2:I$746,'Base bordo'!C$2:C$746,A1354,'Base bordo'!B$2:B$746,B1354,'Base bordo'!F$2:F$746,"DESLOCAMENTO VAZIO"),0)</f>
        <v>7483</v>
      </c>
      <c r="S1354" s="30">
        <f t="shared" si="133"/>
        <v>29.026554857677397</v>
      </c>
      <c r="T1354" s="10">
        <f>IFERROR(SUMIFS('Base bordo'!H$2:H$746,'Base bordo'!C$2:C$746,A1354,'Base bordo'!B$2:B$746,B1354,'Base bordo'!F$2:F$746,"DESLOCAMENTO CARREGADO"),0)</f>
        <v>176129.33000000002</v>
      </c>
      <c r="U1354" s="10">
        <f>IFERROR(SUMIFS('Base bordo'!I$2:I$746,'Base bordo'!C$2:C$746,A1354,'Base bordo'!B$2:B$746,B1354,'Base bordo'!F$2:F$746,"DESLOCAMENTO CARREGADO"),0)</f>
        <v>7271</v>
      </c>
      <c r="V1354" s="30">
        <f t="shared" si="134"/>
        <v>24.22353596479164</v>
      </c>
      <c r="W1354" s="9">
        <f t="shared" si="135"/>
        <v>0.13768929287725173</v>
      </c>
      <c r="X1354" s="9">
        <f t="shared" si="136"/>
        <v>0.13378843358419049</v>
      </c>
      <c r="Y1354" s="9">
        <f t="shared" si="137"/>
        <v>0.72852227353855781</v>
      </c>
    </row>
    <row r="1355" spans="1:25" ht="15" customHeight="1" x14ac:dyDescent="0.35">
      <c r="A1355" s="52">
        <v>8013484</v>
      </c>
      <c r="B1355" s="51">
        <v>46124</v>
      </c>
      <c r="C1355" s="7" t="s">
        <v>124</v>
      </c>
      <c r="D1355" s="10">
        <f>IFERROR(SUMIFS('Base bordo'!G$2:G$746,'Base bordo'!C$2:C$746,A1355,'Base bordo'!B$2:B$746,B1355,'Base bordo'!F$2:F$746,"DESLOCAMENTO VAZIO"),0)</f>
        <v>2.078611111111111</v>
      </c>
      <c r="E1355" s="10">
        <f>IFERROR(SUMIFS('Base bordo'!G$2:G$746,'Base bordo'!C$2:C$746,A1355,'Base bordo'!B$2:B$746,B1355,'Base bordo'!F$2:F$746,"DESLOCAMENTO CARREGADO"),0)</f>
        <v>2.0197222222222222</v>
      </c>
      <c r="F1355" s="10">
        <f>IFERROR(SUMIFS('Base bordo'!G$2:G$746,'Base bordo'!C$2:C$746,A1355,'Base bordo'!B$2:B$746,B1355,'Base bordo'!F$2:F$746,"DESLOCAMENTO"),0)</f>
        <v>0.28999999999999998</v>
      </c>
      <c r="G1355" s="10">
        <f>IFERROR(SUMIFS('Base bordo'!G$2:G$746,'Base bordo'!C$2:C$746,A1355,'Base bordo'!B$2:B$746,B1355,'Base bordo'!F$2:F$746,"CARREGAMENTO"),0)</f>
        <v>0</v>
      </c>
      <c r="H1355" s="10">
        <f>IFERROR(SUMIFS('Base bordo'!G$2:G$746,'Base bordo'!C$2:C$746,A1355,'Base bordo'!B$2:B$746,B1355,'Base bordo'!F$2:F$746,"AGUARDANDO TRANSBORDO"),0)</f>
        <v>0.16944444444444445</v>
      </c>
      <c r="I1355" s="10">
        <f>IFERROR(SUMIFS('Base bordo'!G$2:G$746,'Base bordo'!C$2:C$746,A1355,'Base bordo'!B$2:B$746,B1355,'Base bordo'!F$2:F$746,"PÁTIO INTERNO"),0)+IFERROR(SUMIFS('Base bordo'!G$2:G$746,'Base bordo'!C$2:C$746,A1355,'Base bordo'!B$2:B$746,B1355,'Base bordo'!F$2:F$746,"PÁTIO EXTERNO"),0)+IFERROR(SUMIFS('Base bordo'!G$2:G$746,'Base bordo'!C$2:C$746,A1355,'Base bordo'!B$2:B$746,B1355,'Base bordo'!F$2:F$746,"PATIO - RESERVA"),0)+IFERROR(SUMIFS('Base bordo'!G$2:G$746,'Base bordo'!C$2:C$746,A1355,'Base bordo'!B$2:B$746,B1355,'Base bordo'!F$2:F$746,"MANOBRA CARRETAS-PATIO"),0)</f>
        <v>10.112499999999999</v>
      </c>
      <c r="J1355" s="10">
        <f>IFERROR(SUMIFS('Base bordo'!G$2:G$746,'Base bordo'!C$2:C$746,A1355,'Base bordo'!B$2:B$746,B1355,'Base bordo'!F$2:F$746,"BALANÇA - ENTRADA"),0)+IFERROR(SUMIFS('Base bordo'!G$2:G$746,'Base bordo'!C$2:C$746,A1355,'Base bordo'!B$2:B$746,B1355,'Base bordo'!F$2:F$746,"BALANÇA - SAÍDA"),0)</f>
        <v>0.13666666666666666</v>
      </c>
      <c r="K1355" s="10">
        <f>IFERROR(SUMIFS('Base bordo'!G$2:G$746,'Base bordo'!C$2:C$746,A1355,'Base bordo'!B$2:B$746,B1355,'Base bordo'!F$2:F$746,"MAN PREVENTIVA - MECANICA"),0)+IFERROR(SUMIFS('Base bordo'!G$2:G$746,'Base bordo'!C$2:C$746,A1355,'Base bordo'!B$2:B$746,B1355,'Base bordo'!F$2:F$746,"MAN CORRETIVA - MECANICA"),0)</f>
        <v>0</v>
      </c>
      <c r="L1355" s="10">
        <f>IFERROR(SUMIFS('Base bordo'!G$2:G$746,'Base bordo'!C$2:C$746,A1355,'Base bordo'!B$2:B$746,B1355,'Base bordo'!F$2:F$746,"MANUTENCAO - T O"),0)+IFERROR(SUMIFS('Base bordo'!G$2:G$746,'Base bordo'!C$2:C$746,A1355,'Base bordo'!B$2:B$746,B1355,'Base bordo'!F$2:F$746,"MANUTENCAO BORRACHARIA"),0)+IFERROR(SUMIFS('Base bordo'!G$2:G$746,'Base bordo'!C$2:C$746,A1355,'Base bordo'!B$2:B$746,B1355,'Base bordo'!F$2:F$746,"MANUTENCAO EXTERNA  CONCESSIONARIA"),0)+IFERROR(SUMIFS('Base bordo'!G$2:G$746,'Base bordo'!C$2:C$746,A1355,'Base bordo'!B$2:B$746,B1355,'Base bordo'!F$2:F$746,"MANUTENCAO TELEMETRIA"),0)</f>
        <v>0.28944444444444445</v>
      </c>
      <c r="M1355" s="10">
        <f>IFERROR(SUMIFS('Base bordo'!G$2:G$746,'Base bordo'!C$2:C$746,A1355,'Base bordo'!B$2:B$746,B1355,'Base bordo'!F$2:F$746,"AGUARDANDO MANUTENCAO"),0)</f>
        <v>0</v>
      </c>
      <c r="N1355" s="10">
        <f>IFERROR(SUMIFS('Base bordo'!G$2:G$746,'Base bordo'!C$2:C$746,A1355,'Base bordo'!B$2:B$746,B1355,'Base bordo'!F$2:F$746,"SEM APONTAMENTO"),0)</f>
        <v>0</v>
      </c>
      <c r="O1355" s="10">
        <f t="shared" si="132"/>
        <v>0</v>
      </c>
      <c r="P1355" s="10">
        <f>IFERROR(SUMIFS('Base bordo'!G$2:G$746,'Base bordo'!C$2:C$746,A1355,'Base bordo'!B$2:B$746,B1355),0)</f>
        <v>15.096388888888889</v>
      </c>
      <c r="Q1355" s="10">
        <f>IFERROR(SUMIFS('Base bordo'!H$2:H$746,'Base bordo'!C$2:C$746,A1355,'Base bordo'!B$2:B$746,B1355,'Base bordo'!F$2:F$746,"DESLOCAMENTO VAZIO"),0)</f>
        <v>217205.70999999996</v>
      </c>
      <c r="R1355" s="10">
        <f>IFERROR(SUMIFS('Base bordo'!I$2:I$746,'Base bordo'!C$2:C$746,A1355,'Base bordo'!B$2:B$746,B1355,'Base bordo'!F$2:F$746,"DESLOCAMENTO VAZIO"),0)</f>
        <v>7483</v>
      </c>
      <c r="S1355" s="30">
        <f t="shared" si="133"/>
        <v>29.026554857677397</v>
      </c>
      <c r="T1355" s="10">
        <f>IFERROR(SUMIFS('Base bordo'!H$2:H$746,'Base bordo'!C$2:C$746,A1355,'Base bordo'!B$2:B$746,B1355,'Base bordo'!F$2:F$746,"DESLOCAMENTO CARREGADO"),0)</f>
        <v>176129.33000000002</v>
      </c>
      <c r="U1355" s="10">
        <f>IFERROR(SUMIFS('Base bordo'!I$2:I$746,'Base bordo'!C$2:C$746,A1355,'Base bordo'!B$2:B$746,B1355,'Base bordo'!F$2:F$746,"DESLOCAMENTO CARREGADO"),0)</f>
        <v>7271</v>
      </c>
      <c r="V1355" s="30">
        <f t="shared" si="134"/>
        <v>24.22353596479164</v>
      </c>
      <c r="W1355" s="9">
        <f t="shared" si="135"/>
        <v>0.13768929287725173</v>
      </c>
      <c r="X1355" s="9">
        <f t="shared" si="136"/>
        <v>0.13378843358419049</v>
      </c>
      <c r="Y1355" s="9">
        <f t="shared" si="137"/>
        <v>0.72852227353855781</v>
      </c>
    </row>
    <row r="1356" spans="1:25" ht="15" customHeight="1" x14ac:dyDescent="0.35">
      <c r="A1356" s="52">
        <v>8013484</v>
      </c>
      <c r="B1356" s="51">
        <v>46124</v>
      </c>
      <c r="C1356" s="7" t="s">
        <v>124</v>
      </c>
      <c r="D1356" s="10">
        <f>IFERROR(SUMIFS('Base bordo'!G$2:G$746,'Base bordo'!C$2:C$746,A1356,'Base bordo'!B$2:B$746,B1356,'Base bordo'!F$2:F$746,"DESLOCAMENTO VAZIO"),0)</f>
        <v>2.078611111111111</v>
      </c>
      <c r="E1356" s="10">
        <f>IFERROR(SUMIFS('Base bordo'!G$2:G$746,'Base bordo'!C$2:C$746,A1356,'Base bordo'!B$2:B$746,B1356,'Base bordo'!F$2:F$746,"DESLOCAMENTO CARREGADO"),0)</f>
        <v>2.0197222222222222</v>
      </c>
      <c r="F1356" s="10">
        <f>IFERROR(SUMIFS('Base bordo'!G$2:G$746,'Base bordo'!C$2:C$746,A1356,'Base bordo'!B$2:B$746,B1356,'Base bordo'!F$2:F$746,"DESLOCAMENTO"),0)</f>
        <v>0.28999999999999998</v>
      </c>
      <c r="G1356" s="10">
        <f>IFERROR(SUMIFS('Base bordo'!G$2:G$746,'Base bordo'!C$2:C$746,A1356,'Base bordo'!B$2:B$746,B1356,'Base bordo'!F$2:F$746,"CARREGAMENTO"),0)</f>
        <v>0</v>
      </c>
      <c r="H1356" s="10">
        <f>IFERROR(SUMIFS('Base bordo'!G$2:G$746,'Base bordo'!C$2:C$746,A1356,'Base bordo'!B$2:B$746,B1356,'Base bordo'!F$2:F$746,"AGUARDANDO TRANSBORDO"),0)</f>
        <v>0.16944444444444445</v>
      </c>
      <c r="I1356" s="10">
        <f>IFERROR(SUMIFS('Base bordo'!G$2:G$746,'Base bordo'!C$2:C$746,A1356,'Base bordo'!B$2:B$746,B1356,'Base bordo'!F$2:F$746,"PÁTIO INTERNO"),0)+IFERROR(SUMIFS('Base bordo'!G$2:G$746,'Base bordo'!C$2:C$746,A1356,'Base bordo'!B$2:B$746,B1356,'Base bordo'!F$2:F$746,"PÁTIO EXTERNO"),0)+IFERROR(SUMIFS('Base bordo'!G$2:G$746,'Base bordo'!C$2:C$746,A1356,'Base bordo'!B$2:B$746,B1356,'Base bordo'!F$2:F$746,"PATIO - RESERVA"),0)+IFERROR(SUMIFS('Base bordo'!G$2:G$746,'Base bordo'!C$2:C$746,A1356,'Base bordo'!B$2:B$746,B1356,'Base bordo'!F$2:F$746,"MANOBRA CARRETAS-PATIO"),0)</f>
        <v>10.112499999999999</v>
      </c>
      <c r="J1356" s="10">
        <f>IFERROR(SUMIFS('Base bordo'!G$2:G$746,'Base bordo'!C$2:C$746,A1356,'Base bordo'!B$2:B$746,B1356,'Base bordo'!F$2:F$746,"BALANÇA - ENTRADA"),0)+IFERROR(SUMIFS('Base bordo'!G$2:G$746,'Base bordo'!C$2:C$746,A1356,'Base bordo'!B$2:B$746,B1356,'Base bordo'!F$2:F$746,"BALANÇA - SAÍDA"),0)</f>
        <v>0.13666666666666666</v>
      </c>
      <c r="K1356" s="10">
        <f>IFERROR(SUMIFS('Base bordo'!G$2:G$746,'Base bordo'!C$2:C$746,A1356,'Base bordo'!B$2:B$746,B1356,'Base bordo'!F$2:F$746,"MAN PREVENTIVA - MECANICA"),0)+IFERROR(SUMIFS('Base bordo'!G$2:G$746,'Base bordo'!C$2:C$746,A1356,'Base bordo'!B$2:B$746,B1356,'Base bordo'!F$2:F$746,"MAN CORRETIVA - MECANICA"),0)</f>
        <v>0</v>
      </c>
      <c r="L1356" s="10">
        <f>IFERROR(SUMIFS('Base bordo'!G$2:G$746,'Base bordo'!C$2:C$746,A1356,'Base bordo'!B$2:B$746,B1356,'Base bordo'!F$2:F$746,"MANUTENCAO - T O"),0)+IFERROR(SUMIFS('Base bordo'!G$2:G$746,'Base bordo'!C$2:C$746,A1356,'Base bordo'!B$2:B$746,B1356,'Base bordo'!F$2:F$746,"MANUTENCAO BORRACHARIA"),0)+IFERROR(SUMIFS('Base bordo'!G$2:G$746,'Base bordo'!C$2:C$746,A1356,'Base bordo'!B$2:B$746,B1356,'Base bordo'!F$2:F$746,"MANUTENCAO EXTERNA  CONCESSIONARIA"),0)+IFERROR(SUMIFS('Base bordo'!G$2:G$746,'Base bordo'!C$2:C$746,A1356,'Base bordo'!B$2:B$746,B1356,'Base bordo'!F$2:F$746,"MANUTENCAO TELEMETRIA"),0)</f>
        <v>0.28944444444444445</v>
      </c>
      <c r="M1356" s="10">
        <f>IFERROR(SUMIFS('Base bordo'!G$2:G$746,'Base bordo'!C$2:C$746,A1356,'Base bordo'!B$2:B$746,B1356,'Base bordo'!F$2:F$746,"AGUARDANDO MANUTENCAO"),0)</f>
        <v>0</v>
      </c>
      <c r="N1356" s="10">
        <f>IFERROR(SUMIFS('Base bordo'!G$2:G$746,'Base bordo'!C$2:C$746,A1356,'Base bordo'!B$2:B$746,B1356,'Base bordo'!F$2:F$746,"SEM APONTAMENTO"),0)</f>
        <v>0</v>
      </c>
      <c r="O1356" s="10">
        <f t="shared" si="132"/>
        <v>0</v>
      </c>
      <c r="P1356" s="10">
        <f>IFERROR(SUMIFS('Base bordo'!G$2:G$746,'Base bordo'!C$2:C$746,A1356,'Base bordo'!B$2:B$746,B1356),0)</f>
        <v>15.096388888888889</v>
      </c>
      <c r="Q1356" s="10">
        <f>IFERROR(SUMIFS('Base bordo'!H$2:H$746,'Base bordo'!C$2:C$746,A1356,'Base bordo'!B$2:B$746,B1356,'Base bordo'!F$2:F$746,"DESLOCAMENTO VAZIO"),0)</f>
        <v>217205.70999999996</v>
      </c>
      <c r="R1356" s="10">
        <f>IFERROR(SUMIFS('Base bordo'!I$2:I$746,'Base bordo'!C$2:C$746,A1356,'Base bordo'!B$2:B$746,B1356,'Base bordo'!F$2:F$746,"DESLOCAMENTO VAZIO"),0)</f>
        <v>7483</v>
      </c>
      <c r="S1356" s="30">
        <f t="shared" si="133"/>
        <v>29.026554857677397</v>
      </c>
      <c r="T1356" s="10">
        <f>IFERROR(SUMIFS('Base bordo'!H$2:H$746,'Base bordo'!C$2:C$746,A1356,'Base bordo'!B$2:B$746,B1356,'Base bordo'!F$2:F$746,"DESLOCAMENTO CARREGADO"),0)</f>
        <v>176129.33000000002</v>
      </c>
      <c r="U1356" s="10">
        <f>IFERROR(SUMIFS('Base bordo'!I$2:I$746,'Base bordo'!C$2:C$746,A1356,'Base bordo'!B$2:B$746,B1356,'Base bordo'!F$2:F$746,"DESLOCAMENTO CARREGADO"),0)</f>
        <v>7271</v>
      </c>
      <c r="V1356" s="30">
        <f t="shared" si="134"/>
        <v>24.22353596479164</v>
      </c>
      <c r="W1356" s="9">
        <f t="shared" si="135"/>
        <v>0.13768929287725173</v>
      </c>
      <c r="X1356" s="9">
        <f t="shared" si="136"/>
        <v>0.13378843358419049</v>
      </c>
      <c r="Y1356" s="9">
        <f t="shared" si="137"/>
        <v>0.72852227353855781</v>
      </c>
    </row>
    <row r="1357" spans="1:25" ht="15" customHeight="1" x14ac:dyDescent="0.35">
      <c r="A1357" s="52">
        <v>8013484</v>
      </c>
      <c r="B1357" s="51">
        <v>46124</v>
      </c>
      <c r="C1357" s="7" t="s">
        <v>124</v>
      </c>
      <c r="D1357" s="10">
        <f>IFERROR(SUMIFS('Base bordo'!G$2:G$746,'Base bordo'!C$2:C$746,A1357,'Base bordo'!B$2:B$746,B1357,'Base bordo'!F$2:F$746,"DESLOCAMENTO VAZIO"),0)</f>
        <v>2.078611111111111</v>
      </c>
      <c r="E1357" s="10">
        <f>IFERROR(SUMIFS('Base bordo'!G$2:G$746,'Base bordo'!C$2:C$746,A1357,'Base bordo'!B$2:B$746,B1357,'Base bordo'!F$2:F$746,"DESLOCAMENTO CARREGADO"),0)</f>
        <v>2.0197222222222222</v>
      </c>
      <c r="F1357" s="10">
        <f>IFERROR(SUMIFS('Base bordo'!G$2:G$746,'Base bordo'!C$2:C$746,A1357,'Base bordo'!B$2:B$746,B1357,'Base bordo'!F$2:F$746,"DESLOCAMENTO"),0)</f>
        <v>0.28999999999999998</v>
      </c>
      <c r="G1357" s="10">
        <f>IFERROR(SUMIFS('Base bordo'!G$2:G$746,'Base bordo'!C$2:C$746,A1357,'Base bordo'!B$2:B$746,B1357,'Base bordo'!F$2:F$746,"CARREGAMENTO"),0)</f>
        <v>0</v>
      </c>
      <c r="H1357" s="10">
        <f>IFERROR(SUMIFS('Base bordo'!G$2:G$746,'Base bordo'!C$2:C$746,A1357,'Base bordo'!B$2:B$746,B1357,'Base bordo'!F$2:F$746,"AGUARDANDO TRANSBORDO"),0)</f>
        <v>0.16944444444444445</v>
      </c>
      <c r="I1357" s="10">
        <f>IFERROR(SUMIFS('Base bordo'!G$2:G$746,'Base bordo'!C$2:C$746,A1357,'Base bordo'!B$2:B$746,B1357,'Base bordo'!F$2:F$746,"PÁTIO INTERNO"),0)+IFERROR(SUMIFS('Base bordo'!G$2:G$746,'Base bordo'!C$2:C$746,A1357,'Base bordo'!B$2:B$746,B1357,'Base bordo'!F$2:F$746,"PÁTIO EXTERNO"),0)+IFERROR(SUMIFS('Base bordo'!G$2:G$746,'Base bordo'!C$2:C$746,A1357,'Base bordo'!B$2:B$746,B1357,'Base bordo'!F$2:F$746,"PATIO - RESERVA"),0)+IFERROR(SUMIFS('Base bordo'!G$2:G$746,'Base bordo'!C$2:C$746,A1357,'Base bordo'!B$2:B$746,B1357,'Base bordo'!F$2:F$746,"MANOBRA CARRETAS-PATIO"),0)</f>
        <v>10.112499999999999</v>
      </c>
      <c r="J1357" s="10">
        <f>IFERROR(SUMIFS('Base bordo'!G$2:G$746,'Base bordo'!C$2:C$746,A1357,'Base bordo'!B$2:B$746,B1357,'Base bordo'!F$2:F$746,"BALANÇA - ENTRADA"),0)+IFERROR(SUMIFS('Base bordo'!G$2:G$746,'Base bordo'!C$2:C$746,A1357,'Base bordo'!B$2:B$746,B1357,'Base bordo'!F$2:F$746,"BALANÇA - SAÍDA"),0)</f>
        <v>0.13666666666666666</v>
      </c>
      <c r="K1357" s="10">
        <f>IFERROR(SUMIFS('Base bordo'!G$2:G$746,'Base bordo'!C$2:C$746,A1357,'Base bordo'!B$2:B$746,B1357,'Base bordo'!F$2:F$746,"MAN PREVENTIVA - MECANICA"),0)+IFERROR(SUMIFS('Base bordo'!G$2:G$746,'Base bordo'!C$2:C$746,A1357,'Base bordo'!B$2:B$746,B1357,'Base bordo'!F$2:F$746,"MAN CORRETIVA - MECANICA"),0)</f>
        <v>0</v>
      </c>
      <c r="L1357" s="10">
        <f>IFERROR(SUMIFS('Base bordo'!G$2:G$746,'Base bordo'!C$2:C$746,A1357,'Base bordo'!B$2:B$746,B1357,'Base bordo'!F$2:F$746,"MANUTENCAO - T O"),0)+IFERROR(SUMIFS('Base bordo'!G$2:G$746,'Base bordo'!C$2:C$746,A1357,'Base bordo'!B$2:B$746,B1357,'Base bordo'!F$2:F$746,"MANUTENCAO BORRACHARIA"),0)+IFERROR(SUMIFS('Base bordo'!G$2:G$746,'Base bordo'!C$2:C$746,A1357,'Base bordo'!B$2:B$746,B1357,'Base bordo'!F$2:F$746,"MANUTENCAO EXTERNA  CONCESSIONARIA"),0)+IFERROR(SUMIFS('Base bordo'!G$2:G$746,'Base bordo'!C$2:C$746,A1357,'Base bordo'!B$2:B$746,B1357,'Base bordo'!F$2:F$746,"MANUTENCAO TELEMETRIA"),0)</f>
        <v>0.28944444444444445</v>
      </c>
      <c r="M1357" s="10">
        <f>IFERROR(SUMIFS('Base bordo'!G$2:G$746,'Base bordo'!C$2:C$746,A1357,'Base bordo'!B$2:B$746,B1357,'Base bordo'!F$2:F$746,"AGUARDANDO MANUTENCAO"),0)</f>
        <v>0</v>
      </c>
      <c r="N1357" s="10">
        <f>IFERROR(SUMIFS('Base bordo'!G$2:G$746,'Base bordo'!C$2:C$746,A1357,'Base bordo'!B$2:B$746,B1357,'Base bordo'!F$2:F$746,"SEM APONTAMENTO"),0)</f>
        <v>0</v>
      </c>
      <c r="O1357" s="10">
        <f t="shared" si="132"/>
        <v>0</v>
      </c>
      <c r="P1357" s="10">
        <f>IFERROR(SUMIFS('Base bordo'!G$2:G$746,'Base bordo'!C$2:C$746,A1357,'Base bordo'!B$2:B$746,B1357),0)</f>
        <v>15.096388888888889</v>
      </c>
      <c r="Q1357" s="10">
        <f>IFERROR(SUMIFS('Base bordo'!H$2:H$746,'Base bordo'!C$2:C$746,A1357,'Base bordo'!B$2:B$746,B1357,'Base bordo'!F$2:F$746,"DESLOCAMENTO VAZIO"),0)</f>
        <v>217205.70999999996</v>
      </c>
      <c r="R1357" s="10">
        <f>IFERROR(SUMIFS('Base bordo'!I$2:I$746,'Base bordo'!C$2:C$746,A1357,'Base bordo'!B$2:B$746,B1357,'Base bordo'!F$2:F$746,"DESLOCAMENTO VAZIO"),0)</f>
        <v>7483</v>
      </c>
      <c r="S1357" s="30">
        <f t="shared" si="133"/>
        <v>29.026554857677397</v>
      </c>
      <c r="T1357" s="10">
        <f>IFERROR(SUMIFS('Base bordo'!H$2:H$746,'Base bordo'!C$2:C$746,A1357,'Base bordo'!B$2:B$746,B1357,'Base bordo'!F$2:F$746,"DESLOCAMENTO CARREGADO"),0)</f>
        <v>176129.33000000002</v>
      </c>
      <c r="U1357" s="10">
        <f>IFERROR(SUMIFS('Base bordo'!I$2:I$746,'Base bordo'!C$2:C$746,A1357,'Base bordo'!B$2:B$746,B1357,'Base bordo'!F$2:F$746,"DESLOCAMENTO CARREGADO"),0)</f>
        <v>7271</v>
      </c>
      <c r="V1357" s="30">
        <f t="shared" si="134"/>
        <v>24.22353596479164</v>
      </c>
      <c r="W1357" s="9">
        <f t="shared" si="135"/>
        <v>0.13768929287725173</v>
      </c>
      <c r="X1357" s="9">
        <f t="shared" si="136"/>
        <v>0.13378843358419049</v>
      </c>
      <c r="Y1357" s="9">
        <f t="shared" si="137"/>
        <v>0.72852227353855781</v>
      </c>
    </row>
    <row r="1358" spans="1:25" ht="15" customHeight="1" x14ac:dyDescent="0.35">
      <c r="A1358" s="52">
        <v>8013484</v>
      </c>
      <c r="B1358" s="51">
        <v>46124</v>
      </c>
      <c r="C1358" s="7" t="s">
        <v>124</v>
      </c>
      <c r="D1358" s="10">
        <f>IFERROR(SUMIFS('Base bordo'!G$2:G$746,'Base bordo'!C$2:C$746,A1358,'Base bordo'!B$2:B$746,B1358,'Base bordo'!F$2:F$746,"DESLOCAMENTO VAZIO"),0)</f>
        <v>2.078611111111111</v>
      </c>
      <c r="E1358" s="10">
        <f>IFERROR(SUMIFS('Base bordo'!G$2:G$746,'Base bordo'!C$2:C$746,A1358,'Base bordo'!B$2:B$746,B1358,'Base bordo'!F$2:F$746,"DESLOCAMENTO CARREGADO"),0)</f>
        <v>2.0197222222222222</v>
      </c>
      <c r="F1358" s="10">
        <f>IFERROR(SUMIFS('Base bordo'!G$2:G$746,'Base bordo'!C$2:C$746,A1358,'Base bordo'!B$2:B$746,B1358,'Base bordo'!F$2:F$746,"DESLOCAMENTO"),0)</f>
        <v>0.28999999999999998</v>
      </c>
      <c r="G1358" s="10">
        <f>IFERROR(SUMIFS('Base bordo'!G$2:G$746,'Base bordo'!C$2:C$746,A1358,'Base bordo'!B$2:B$746,B1358,'Base bordo'!F$2:F$746,"CARREGAMENTO"),0)</f>
        <v>0</v>
      </c>
      <c r="H1358" s="10">
        <f>IFERROR(SUMIFS('Base bordo'!G$2:G$746,'Base bordo'!C$2:C$746,A1358,'Base bordo'!B$2:B$746,B1358,'Base bordo'!F$2:F$746,"AGUARDANDO TRANSBORDO"),0)</f>
        <v>0.16944444444444445</v>
      </c>
      <c r="I1358" s="10">
        <f>IFERROR(SUMIFS('Base bordo'!G$2:G$746,'Base bordo'!C$2:C$746,A1358,'Base bordo'!B$2:B$746,B1358,'Base bordo'!F$2:F$746,"PÁTIO INTERNO"),0)+IFERROR(SUMIFS('Base bordo'!G$2:G$746,'Base bordo'!C$2:C$746,A1358,'Base bordo'!B$2:B$746,B1358,'Base bordo'!F$2:F$746,"PÁTIO EXTERNO"),0)+IFERROR(SUMIFS('Base bordo'!G$2:G$746,'Base bordo'!C$2:C$746,A1358,'Base bordo'!B$2:B$746,B1358,'Base bordo'!F$2:F$746,"PATIO - RESERVA"),0)+IFERROR(SUMIFS('Base bordo'!G$2:G$746,'Base bordo'!C$2:C$746,A1358,'Base bordo'!B$2:B$746,B1358,'Base bordo'!F$2:F$746,"MANOBRA CARRETAS-PATIO"),0)</f>
        <v>10.112499999999999</v>
      </c>
      <c r="J1358" s="10">
        <f>IFERROR(SUMIFS('Base bordo'!G$2:G$746,'Base bordo'!C$2:C$746,A1358,'Base bordo'!B$2:B$746,B1358,'Base bordo'!F$2:F$746,"BALANÇA - ENTRADA"),0)+IFERROR(SUMIFS('Base bordo'!G$2:G$746,'Base bordo'!C$2:C$746,A1358,'Base bordo'!B$2:B$746,B1358,'Base bordo'!F$2:F$746,"BALANÇA - SAÍDA"),0)</f>
        <v>0.13666666666666666</v>
      </c>
      <c r="K1358" s="10">
        <f>IFERROR(SUMIFS('Base bordo'!G$2:G$746,'Base bordo'!C$2:C$746,A1358,'Base bordo'!B$2:B$746,B1358,'Base bordo'!F$2:F$746,"MAN PREVENTIVA - MECANICA"),0)+IFERROR(SUMIFS('Base bordo'!G$2:G$746,'Base bordo'!C$2:C$746,A1358,'Base bordo'!B$2:B$746,B1358,'Base bordo'!F$2:F$746,"MAN CORRETIVA - MECANICA"),0)</f>
        <v>0</v>
      </c>
      <c r="L1358" s="10">
        <f>IFERROR(SUMIFS('Base bordo'!G$2:G$746,'Base bordo'!C$2:C$746,A1358,'Base bordo'!B$2:B$746,B1358,'Base bordo'!F$2:F$746,"MANUTENCAO - T O"),0)+IFERROR(SUMIFS('Base bordo'!G$2:G$746,'Base bordo'!C$2:C$746,A1358,'Base bordo'!B$2:B$746,B1358,'Base bordo'!F$2:F$746,"MANUTENCAO BORRACHARIA"),0)+IFERROR(SUMIFS('Base bordo'!G$2:G$746,'Base bordo'!C$2:C$746,A1358,'Base bordo'!B$2:B$746,B1358,'Base bordo'!F$2:F$746,"MANUTENCAO EXTERNA  CONCESSIONARIA"),0)+IFERROR(SUMIFS('Base bordo'!G$2:G$746,'Base bordo'!C$2:C$746,A1358,'Base bordo'!B$2:B$746,B1358,'Base bordo'!F$2:F$746,"MANUTENCAO TELEMETRIA"),0)</f>
        <v>0.28944444444444445</v>
      </c>
      <c r="M1358" s="10">
        <f>IFERROR(SUMIFS('Base bordo'!G$2:G$746,'Base bordo'!C$2:C$746,A1358,'Base bordo'!B$2:B$746,B1358,'Base bordo'!F$2:F$746,"AGUARDANDO MANUTENCAO"),0)</f>
        <v>0</v>
      </c>
      <c r="N1358" s="10">
        <f>IFERROR(SUMIFS('Base bordo'!G$2:G$746,'Base bordo'!C$2:C$746,A1358,'Base bordo'!B$2:B$746,B1358,'Base bordo'!F$2:F$746,"SEM APONTAMENTO"),0)</f>
        <v>0</v>
      </c>
      <c r="O1358" s="10">
        <f t="shared" si="132"/>
        <v>0</v>
      </c>
      <c r="P1358" s="10">
        <f>IFERROR(SUMIFS('Base bordo'!G$2:G$746,'Base bordo'!C$2:C$746,A1358,'Base bordo'!B$2:B$746,B1358),0)</f>
        <v>15.096388888888889</v>
      </c>
      <c r="Q1358" s="10">
        <f>IFERROR(SUMIFS('Base bordo'!H$2:H$746,'Base bordo'!C$2:C$746,A1358,'Base bordo'!B$2:B$746,B1358,'Base bordo'!F$2:F$746,"DESLOCAMENTO VAZIO"),0)</f>
        <v>217205.70999999996</v>
      </c>
      <c r="R1358" s="10">
        <f>IFERROR(SUMIFS('Base bordo'!I$2:I$746,'Base bordo'!C$2:C$746,A1358,'Base bordo'!B$2:B$746,B1358,'Base bordo'!F$2:F$746,"DESLOCAMENTO VAZIO"),0)</f>
        <v>7483</v>
      </c>
      <c r="S1358" s="30">
        <f t="shared" si="133"/>
        <v>29.026554857677397</v>
      </c>
      <c r="T1358" s="10">
        <f>IFERROR(SUMIFS('Base bordo'!H$2:H$746,'Base bordo'!C$2:C$746,A1358,'Base bordo'!B$2:B$746,B1358,'Base bordo'!F$2:F$746,"DESLOCAMENTO CARREGADO"),0)</f>
        <v>176129.33000000002</v>
      </c>
      <c r="U1358" s="10">
        <f>IFERROR(SUMIFS('Base bordo'!I$2:I$746,'Base bordo'!C$2:C$746,A1358,'Base bordo'!B$2:B$746,B1358,'Base bordo'!F$2:F$746,"DESLOCAMENTO CARREGADO"),0)</f>
        <v>7271</v>
      </c>
      <c r="V1358" s="30">
        <f t="shared" si="134"/>
        <v>24.22353596479164</v>
      </c>
      <c r="W1358" s="9">
        <f t="shared" si="135"/>
        <v>0.13768929287725173</v>
      </c>
      <c r="X1358" s="9">
        <f t="shared" si="136"/>
        <v>0.13378843358419049</v>
      </c>
      <c r="Y1358" s="9">
        <f t="shared" si="137"/>
        <v>0.72852227353855781</v>
      </c>
    </row>
    <row r="1359" spans="1:25" ht="15" customHeight="1" x14ac:dyDescent="0.35">
      <c r="A1359" s="52">
        <v>8013484</v>
      </c>
      <c r="B1359" s="51">
        <v>46124</v>
      </c>
      <c r="C1359" s="7" t="s">
        <v>124</v>
      </c>
      <c r="D1359" s="10">
        <f>IFERROR(SUMIFS('Base bordo'!G$2:G$746,'Base bordo'!C$2:C$746,A1359,'Base bordo'!B$2:B$746,B1359,'Base bordo'!F$2:F$746,"DESLOCAMENTO VAZIO"),0)</f>
        <v>2.078611111111111</v>
      </c>
      <c r="E1359" s="10">
        <f>IFERROR(SUMIFS('Base bordo'!G$2:G$746,'Base bordo'!C$2:C$746,A1359,'Base bordo'!B$2:B$746,B1359,'Base bordo'!F$2:F$746,"DESLOCAMENTO CARREGADO"),0)</f>
        <v>2.0197222222222222</v>
      </c>
      <c r="F1359" s="10">
        <f>IFERROR(SUMIFS('Base bordo'!G$2:G$746,'Base bordo'!C$2:C$746,A1359,'Base bordo'!B$2:B$746,B1359,'Base bordo'!F$2:F$746,"DESLOCAMENTO"),0)</f>
        <v>0.28999999999999998</v>
      </c>
      <c r="G1359" s="10">
        <f>IFERROR(SUMIFS('Base bordo'!G$2:G$746,'Base bordo'!C$2:C$746,A1359,'Base bordo'!B$2:B$746,B1359,'Base bordo'!F$2:F$746,"CARREGAMENTO"),0)</f>
        <v>0</v>
      </c>
      <c r="H1359" s="10">
        <f>IFERROR(SUMIFS('Base bordo'!G$2:G$746,'Base bordo'!C$2:C$746,A1359,'Base bordo'!B$2:B$746,B1359,'Base bordo'!F$2:F$746,"AGUARDANDO TRANSBORDO"),0)</f>
        <v>0.16944444444444445</v>
      </c>
      <c r="I1359" s="10">
        <f>IFERROR(SUMIFS('Base bordo'!G$2:G$746,'Base bordo'!C$2:C$746,A1359,'Base bordo'!B$2:B$746,B1359,'Base bordo'!F$2:F$746,"PÁTIO INTERNO"),0)+IFERROR(SUMIFS('Base bordo'!G$2:G$746,'Base bordo'!C$2:C$746,A1359,'Base bordo'!B$2:B$746,B1359,'Base bordo'!F$2:F$746,"PÁTIO EXTERNO"),0)+IFERROR(SUMIFS('Base bordo'!G$2:G$746,'Base bordo'!C$2:C$746,A1359,'Base bordo'!B$2:B$746,B1359,'Base bordo'!F$2:F$746,"PATIO - RESERVA"),0)+IFERROR(SUMIFS('Base bordo'!G$2:G$746,'Base bordo'!C$2:C$746,A1359,'Base bordo'!B$2:B$746,B1359,'Base bordo'!F$2:F$746,"MANOBRA CARRETAS-PATIO"),0)</f>
        <v>10.112499999999999</v>
      </c>
      <c r="J1359" s="10">
        <f>IFERROR(SUMIFS('Base bordo'!G$2:G$746,'Base bordo'!C$2:C$746,A1359,'Base bordo'!B$2:B$746,B1359,'Base bordo'!F$2:F$746,"BALANÇA - ENTRADA"),0)+IFERROR(SUMIFS('Base bordo'!G$2:G$746,'Base bordo'!C$2:C$746,A1359,'Base bordo'!B$2:B$746,B1359,'Base bordo'!F$2:F$746,"BALANÇA - SAÍDA"),0)</f>
        <v>0.13666666666666666</v>
      </c>
      <c r="K1359" s="10">
        <f>IFERROR(SUMIFS('Base bordo'!G$2:G$746,'Base bordo'!C$2:C$746,A1359,'Base bordo'!B$2:B$746,B1359,'Base bordo'!F$2:F$746,"MAN PREVENTIVA - MECANICA"),0)+IFERROR(SUMIFS('Base bordo'!G$2:G$746,'Base bordo'!C$2:C$746,A1359,'Base bordo'!B$2:B$746,B1359,'Base bordo'!F$2:F$746,"MAN CORRETIVA - MECANICA"),0)</f>
        <v>0</v>
      </c>
      <c r="L1359" s="10">
        <f>IFERROR(SUMIFS('Base bordo'!G$2:G$746,'Base bordo'!C$2:C$746,A1359,'Base bordo'!B$2:B$746,B1359,'Base bordo'!F$2:F$746,"MANUTENCAO - T O"),0)+IFERROR(SUMIFS('Base bordo'!G$2:G$746,'Base bordo'!C$2:C$746,A1359,'Base bordo'!B$2:B$746,B1359,'Base bordo'!F$2:F$746,"MANUTENCAO BORRACHARIA"),0)+IFERROR(SUMIFS('Base bordo'!G$2:G$746,'Base bordo'!C$2:C$746,A1359,'Base bordo'!B$2:B$746,B1359,'Base bordo'!F$2:F$746,"MANUTENCAO EXTERNA  CONCESSIONARIA"),0)+IFERROR(SUMIFS('Base bordo'!G$2:G$746,'Base bordo'!C$2:C$746,A1359,'Base bordo'!B$2:B$746,B1359,'Base bordo'!F$2:F$746,"MANUTENCAO TELEMETRIA"),0)</f>
        <v>0.28944444444444445</v>
      </c>
      <c r="M1359" s="10">
        <f>IFERROR(SUMIFS('Base bordo'!G$2:G$746,'Base bordo'!C$2:C$746,A1359,'Base bordo'!B$2:B$746,B1359,'Base bordo'!F$2:F$746,"AGUARDANDO MANUTENCAO"),0)</f>
        <v>0</v>
      </c>
      <c r="N1359" s="10">
        <f>IFERROR(SUMIFS('Base bordo'!G$2:G$746,'Base bordo'!C$2:C$746,A1359,'Base bordo'!B$2:B$746,B1359,'Base bordo'!F$2:F$746,"SEM APONTAMENTO"),0)</f>
        <v>0</v>
      </c>
      <c r="O1359" s="10">
        <f t="shared" ref="O1359:O1422" si="138">IFERROR(P1359-SUM(D1359:N1359),0)</f>
        <v>0</v>
      </c>
      <c r="P1359" s="10">
        <f>IFERROR(SUMIFS('Base bordo'!G$2:G$746,'Base bordo'!C$2:C$746,A1359,'Base bordo'!B$2:B$746,B1359),0)</f>
        <v>15.096388888888889</v>
      </c>
      <c r="Q1359" s="10">
        <f>IFERROR(SUMIFS('Base bordo'!H$2:H$746,'Base bordo'!C$2:C$746,A1359,'Base bordo'!B$2:B$746,B1359,'Base bordo'!F$2:F$746,"DESLOCAMENTO VAZIO"),0)</f>
        <v>217205.70999999996</v>
      </c>
      <c r="R1359" s="10">
        <f>IFERROR(SUMIFS('Base bordo'!I$2:I$746,'Base bordo'!C$2:C$746,A1359,'Base bordo'!B$2:B$746,B1359,'Base bordo'!F$2:F$746,"DESLOCAMENTO VAZIO"),0)</f>
        <v>7483</v>
      </c>
      <c r="S1359" s="30">
        <f t="shared" ref="S1359:S1422" si="139">IFERROR(Q1359/R1359,"")</f>
        <v>29.026554857677397</v>
      </c>
      <c r="T1359" s="10">
        <f>IFERROR(SUMIFS('Base bordo'!H$2:H$746,'Base bordo'!C$2:C$746,A1359,'Base bordo'!B$2:B$746,B1359,'Base bordo'!F$2:F$746,"DESLOCAMENTO CARREGADO"),0)</f>
        <v>176129.33000000002</v>
      </c>
      <c r="U1359" s="10">
        <f>IFERROR(SUMIFS('Base bordo'!I$2:I$746,'Base bordo'!C$2:C$746,A1359,'Base bordo'!B$2:B$746,B1359,'Base bordo'!F$2:F$746,"DESLOCAMENTO CARREGADO"),0)</f>
        <v>7271</v>
      </c>
      <c r="V1359" s="30">
        <f t="shared" ref="V1359:V1422" si="140">IFERROR(T1359/U1359,"")</f>
        <v>24.22353596479164</v>
      </c>
      <c r="W1359" s="9">
        <f t="shared" ref="W1359:W1422" si="141">IFERROR(D1359/P1359,0)</f>
        <v>0.13768929287725173</v>
      </c>
      <c r="X1359" s="9">
        <f t="shared" ref="X1359:X1422" si="142">IFERROR(E1359/P1359,0)</f>
        <v>0.13378843358419049</v>
      </c>
      <c r="Y1359" s="9">
        <f t="shared" ref="Y1359:Y1422" si="143">IFERROR(1-((D1359+E1359)/P1359),0)</f>
        <v>0.72852227353855781</v>
      </c>
    </row>
    <row r="1360" spans="1:25" ht="15" customHeight="1" x14ac:dyDescent="0.35">
      <c r="A1360" s="52">
        <v>8013484</v>
      </c>
      <c r="B1360" s="51">
        <v>46124</v>
      </c>
      <c r="C1360" s="7" t="s">
        <v>124</v>
      </c>
      <c r="D1360" s="10">
        <f>IFERROR(SUMIFS('Base bordo'!G$2:G$746,'Base bordo'!C$2:C$746,A1360,'Base bordo'!B$2:B$746,B1360,'Base bordo'!F$2:F$746,"DESLOCAMENTO VAZIO"),0)</f>
        <v>2.078611111111111</v>
      </c>
      <c r="E1360" s="10">
        <f>IFERROR(SUMIFS('Base bordo'!G$2:G$746,'Base bordo'!C$2:C$746,A1360,'Base bordo'!B$2:B$746,B1360,'Base bordo'!F$2:F$746,"DESLOCAMENTO CARREGADO"),0)</f>
        <v>2.0197222222222222</v>
      </c>
      <c r="F1360" s="10">
        <f>IFERROR(SUMIFS('Base bordo'!G$2:G$746,'Base bordo'!C$2:C$746,A1360,'Base bordo'!B$2:B$746,B1360,'Base bordo'!F$2:F$746,"DESLOCAMENTO"),0)</f>
        <v>0.28999999999999998</v>
      </c>
      <c r="G1360" s="10">
        <f>IFERROR(SUMIFS('Base bordo'!G$2:G$746,'Base bordo'!C$2:C$746,A1360,'Base bordo'!B$2:B$746,B1360,'Base bordo'!F$2:F$746,"CARREGAMENTO"),0)</f>
        <v>0</v>
      </c>
      <c r="H1360" s="10">
        <f>IFERROR(SUMIFS('Base bordo'!G$2:G$746,'Base bordo'!C$2:C$746,A1360,'Base bordo'!B$2:B$746,B1360,'Base bordo'!F$2:F$746,"AGUARDANDO TRANSBORDO"),0)</f>
        <v>0.16944444444444445</v>
      </c>
      <c r="I1360" s="10">
        <f>IFERROR(SUMIFS('Base bordo'!G$2:G$746,'Base bordo'!C$2:C$746,A1360,'Base bordo'!B$2:B$746,B1360,'Base bordo'!F$2:F$746,"PÁTIO INTERNO"),0)+IFERROR(SUMIFS('Base bordo'!G$2:G$746,'Base bordo'!C$2:C$746,A1360,'Base bordo'!B$2:B$746,B1360,'Base bordo'!F$2:F$746,"PÁTIO EXTERNO"),0)+IFERROR(SUMIFS('Base bordo'!G$2:G$746,'Base bordo'!C$2:C$746,A1360,'Base bordo'!B$2:B$746,B1360,'Base bordo'!F$2:F$746,"PATIO - RESERVA"),0)+IFERROR(SUMIFS('Base bordo'!G$2:G$746,'Base bordo'!C$2:C$746,A1360,'Base bordo'!B$2:B$746,B1360,'Base bordo'!F$2:F$746,"MANOBRA CARRETAS-PATIO"),0)</f>
        <v>10.112499999999999</v>
      </c>
      <c r="J1360" s="10">
        <f>IFERROR(SUMIFS('Base bordo'!G$2:G$746,'Base bordo'!C$2:C$746,A1360,'Base bordo'!B$2:B$746,B1360,'Base bordo'!F$2:F$746,"BALANÇA - ENTRADA"),0)+IFERROR(SUMIFS('Base bordo'!G$2:G$746,'Base bordo'!C$2:C$746,A1360,'Base bordo'!B$2:B$746,B1360,'Base bordo'!F$2:F$746,"BALANÇA - SAÍDA"),0)</f>
        <v>0.13666666666666666</v>
      </c>
      <c r="K1360" s="10">
        <f>IFERROR(SUMIFS('Base bordo'!G$2:G$746,'Base bordo'!C$2:C$746,A1360,'Base bordo'!B$2:B$746,B1360,'Base bordo'!F$2:F$746,"MAN PREVENTIVA - MECANICA"),0)+IFERROR(SUMIFS('Base bordo'!G$2:G$746,'Base bordo'!C$2:C$746,A1360,'Base bordo'!B$2:B$746,B1360,'Base bordo'!F$2:F$746,"MAN CORRETIVA - MECANICA"),0)</f>
        <v>0</v>
      </c>
      <c r="L1360" s="10">
        <f>IFERROR(SUMIFS('Base bordo'!G$2:G$746,'Base bordo'!C$2:C$746,A1360,'Base bordo'!B$2:B$746,B1360,'Base bordo'!F$2:F$746,"MANUTENCAO - T O"),0)+IFERROR(SUMIFS('Base bordo'!G$2:G$746,'Base bordo'!C$2:C$746,A1360,'Base bordo'!B$2:B$746,B1360,'Base bordo'!F$2:F$746,"MANUTENCAO BORRACHARIA"),0)+IFERROR(SUMIFS('Base bordo'!G$2:G$746,'Base bordo'!C$2:C$746,A1360,'Base bordo'!B$2:B$746,B1360,'Base bordo'!F$2:F$746,"MANUTENCAO EXTERNA  CONCESSIONARIA"),0)+IFERROR(SUMIFS('Base bordo'!G$2:G$746,'Base bordo'!C$2:C$746,A1360,'Base bordo'!B$2:B$746,B1360,'Base bordo'!F$2:F$746,"MANUTENCAO TELEMETRIA"),0)</f>
        <v>0.28944444444444445</v>
      </c>
      <c r="M1360" s="10">
        <f>IFERROR(SUMIFS('Base bordo'!G$2:G$746,'Base bordo'!C$2:C$746,A1360,'Base bordo'!B$2:B$746,B1360,'Base bordo'!F$2:F$746,"AGUARDANDO MANUTENCAO"),0)</f>
        <v>0</v>
      </c>
      <c r="N1360" s="10">
        <f>IFERROR(SUMIFS('Base bordo'!G$2:G$746,'Base bordo'!C$2:C$746,A1360,'Base bordo'!B$2:B$746,B1360,'Base bordo'!F$2:F$746,"SEM APONTAMENTO"),0)</f>
        <v>0</v>
      </c>
      <c r="O1360" s="10">
        <f t="shared" si="138"/>
        <v>0</v>
      </c>
      <c r="P1360" s="10">
        <f>IFERROR(SUMIFS('Base bordo'!G$2:G$746,'Base bordo'!C$2:C$746,A1360,'Base bordo'!B$2:B$746,B1360),0)</f>
        <v>15.096388888888889</v>
      </c>
      <c r="Q1360" s="10">
        <f>IFERROR(SUMIFS('Base bordo'!H$2:H$746,'Base bordo'!C$2:C$746,A1360,'Base bordo'!B$2:B$746,B1360,'Base bordo'!F$2:F$746,"DESLOCAMENTO VAZIO"),0)</f>
        <v>217205.70999999996</v>
      </c>
      <c r="R1360" s="10">
        <f>IFERROR(SUMIFS('Base bordo'!I$2:I$746,'Base bordo'!C$2:C$746,A1360,'Base bordo'!B$2:B$746,B1360,'Base bordo'!F$2:F$746,"DESLOCAMENTO VAZIO"),0)</f>
        <v>7483</v>
      </c>
      <c r="S1360" s="30">
        <f t="shared" si="139"/>
        <v>29.026554857677397</v>
      </c>
      <c r="T1360" s="10">
        <f>IFERROR(SUMIFS('Base bordo'!H$2:H$746,'Base bordo'!C$2:C$746,A1360,'Base bordo'!B$2:B$746,B1360,'Base bordo'!F$2:F$746,"DESLOCAMENTO CARREGADO"),0)</f>
        <v>176129.33000000002</v>
      </c>
      <c r="U1360" s="10">
        <f>IFERROR(SUMIFS('Base bordo'!I$2:I$746,'Base bordo'!C$2:C$746,A1360,'Base bordo'!B$2:B$746,B1360,'Base bordo'!F$2:F$746,"DESLOCAMENTO CARREGADO"),0)</f>
        <v>7271</v>
      </c>
      <c r="V1360" s="30">
        <f t="shared" si="140"/>
        <v>24.22353596479164</v>
      </c>
      <c r="W1360" s="9">
        <f t="shared" si="141"/>
        <v>0.13768929287725173</v>
      </c>
      <c r="X1360" s="9">
        <f t="shared" si="142"/>
        <v>0.13378843358419049</v>
      </c>
      <c r="Y1360" s="9">
        <f t="shared" si="143"/>
        <v>0.72852227353855781</v>
      </c>
    </row>
    <row r="1361" spans="1:25" ht="15" customHeight="1" x14ac:dyDescent="0.35">
      <c r="A1361" s="52">
        <v>8013484</v>
      </c>
      <c r="B1361" s="51">
        <v>46124</v>
      </c>
      <c r="C1361" s="7" t="s">
        <v>124</v>
      </c>
      <c r="D1361" s="10">
        <f>IFERROR(SUMIFS('Base bordo'!G$2:G$746,'Base bordo'!C$2:C$746,A1361,'Base bordo'!B$2:B$746,B1361,'Base bordo'!F$2:F$746,"DESLOCAMENTO VAZIO"),0)</f>
        <v>2.078611111111111</v>
      </c>
      <c r="E1361" s="10">
        <f>IFERROR(SUMIFS('Base bordo'!G$2:G$746,'Base bordo'!C$2:C$746,A1361,'Base bordo'!B$2:B$746,B1361,'Base bordo'!F$2:F$746,"DESLOCAMENTO CARREGADO"),0)</f>
        <v>2.0197222222222222</v>
      </c>
      <c r="F1361" s="10">
        <f>IFERROR(SUMIFS('Base bordo'!G$2:G$746,'Base bordo'!C$2:C$746,A1361,'Base bordo'!B$2:B$746,B1361,'Base bordo'!F$2:F$746,"DESLOCAMENTO"),0)</f>
        <v>0.28999999999999998</v>
      </c>
      <c r="G1361" s="10">
        <f>IFERROR(SUMIFS('Base bordo'!G$2:G$746,'Base bordo'!C$2:C$746,A1361,'Base bordo'!B$2:B$746,B1361,'Base bordo'!F$2:F$746,"CARREGAMENTO"),0)</f>
        <v>0</v>
      </c>
      <c r="H1361" s="10">
        <f>IFERROR(SUMIFS('Base bordo'!G$2:G$746,'Base bordo'!C$2:C$746,A1361,'Base bordo'!B$2:B$746,B1361,'Base bordo'!F$2:F$746,"AGUARDANDO TRANSBORDO"),0)</f>
        <v>0.16944444444444445</v>
      </c>
      <c r="I1361" s="10">
        <f>IFERROR(SUMIFS('Base bordo'!G$2:G$746,'Base bordo'!C$2:C$746,A1361,'Base bordo'!B$2:B$746,B1361,'Base bordo'!F$2:F$746,"PÁTIO INTERNO"),0)+IFERROR(SUMIFS('Base bordo'!G$2:G$746,'Base bordo'!C$2:C$746,A1361,'Base bordo'!B$2:B$746,B1361,'Base bordo'!F$2:F$746,"PÁTIO EXTERNO"),0)+IFERROR(SUMIFS('Base bordo'!G$2:G$746,'Base bordo'!C$2:C$746,A1361,'Base bordo'!B$2:B$746,B1361,'Base bordo'!F$2:F$746,"PATIO - RESERVA"),0)+IFERROR(SUMIFS('Base bordo'!G$2:G$746,'Base bordo'!C$2:C$746,A1361,'Base bordo'!B$2:B$746,B1361,'Base bordo'!F$2:F$746,"MANOBRA CARRETAS-PATIO"),0)</f>
        <v>10.112499999999999</v>
      </c>
      <c r="J1361" s="10">
        <f>IFERROR(SUMIFS('Base bordo'!G$2:G$746,'Base bordo'!C$2:C$746,A1361,'Base bordo'!B$2:B$746,B1361,'Base bordo'!F$2:F$746,"BALANÇA - ENTRADA"),0)+IFERROR(SUMIFS('Base bordo'!G$2:G$746,'Base bordo'!C$2:C$746,A1361,'Base bordo'!B$2:B$746,B1361,'Base bordo'!F$2:F$746,"BALANÇA - SAÍDA"),0)</f>
        <v>0.13666666666666666</v>
      </c>
      <c r="K1361" s="10">
        <f>IFERROR(SUMIFS('Base bordo'!G$2:G$746,'Base bordo'!C$2:C$746,A1361,'Base bordo'!B$2:B$746,B1361,'Base bordo'!F$2:F$746,"MAN PREVENTIVA - MECANICA"),0)+IFERROR(SUMIFS('Base bordo'!G$2:G$746,'Base bordo'!C$2:C$746,A1361,'Base bordo'!B$2:B$746,B1361,'Base bordo'!F$2:F$746,"MAN CORRETIVA - MECANICA"),0)</f>
        <v>0</v>
      </c>
      <c r="L1361" s="10">
        <f>IFERROR(SUMIFS('Base bordo'!G$2:G$746,'Base bordo'!C$2:C$746,A1361,'Base bordo'!B$2:B$746,B1361,'Base bordo'!F$2:F$746,"MANUTENCAO - T O"),0)+IFERROR(SUMIFS('Base bordo'!G$2:G$746,'Base bordo'!C$2:C$746,A1361,'Base bordo'!B$2:B$746,B1361,'Base bordo'!F$2:F$746,"MANUTENCAO BORRACHARIA"),0)+IFERROR(SUMIFS('Base bordo'!G$2:G$746,'Base bordo'!C$2:C$746,A1361,'Base bordo'!B$2:B$746,B1361,'Base bordo'!F$2:F$746,"MANUTENCAO EXTERNA  CONCESSIONARIA"),0)+IFERROR(SUMIFS('Base bordo'!G$2:G$746,'Base bordo'!C$2:C$746,A1361,'Base bordo'!B$2:B$746,B1361,'Base bordo'!F$2:F$746,"MANUTENCAO TELEMETRIA"),0)</f>
        <v>0.28944444444444445</v>
      </c>
      <c r="M1361" s="10">
        <f>IFERROR(SUMIFS('Base bordo'!G$2:G$746,'Base bordo'!C$2:C$746,A1361,'Base bordo'!B$2:B$746,B1361,'Base bordo'!F$2:F$746,"AGUARDANDO MANUTENCAO"),0)</f>
        <v>0</v>
      </c>
      <c r="N1361" s="10">
        <f>IFERROR(SUMIFS('Base bordo'!G$2:G$746,'Base bordo'!C$2:C$746,A1361,'Base bordo'!B$2:B$746,B1361,'Base bordo'!F$2:F$746,"SEM APONTAMENTO"),0)</f>
        <v>0</v>
      </c>
      <c r="O1361" s="10">
        <f t="shared" si="138"/>
        <v>0</v>
      </c>
      <c r="P1361" s="10">
        <f>IFERROR(SUMIFS('Base bordo'!G$2:G$746,'Base bordo'!C$2:C$746,A1361,'Base bordo'!B$2:B$746,B1361),0)</f>
        <v>15.096388888888889</v>
      </c>
      <c r="Q1361" s="10">
        <f>IFERROR(SUMIFS('Base bordo'!H$2:H$746,'Base bordo'!C$2:C$746,A1361,'Base bordo'!B$2:B$746,B1361,'Base bordo'!F$2:F$746,"DESLOCAMENTO VAZIO"),0)</f>
        <v>217205.70999999996</v>
      </c>
      <c r="R1361" s="10">
        <f>IFERROR(SUMIFS('Base bordo'!I$2:I$746,'Base bordo'!C$2:C$746,A1361,'Base bordo'!B$2:B$746,B1361,'Base bordo'!F$2:F$746,"DESLOCAMENTO VAZIO"),0)</f>
        <v>7483</v>
      </c>
      <c r="S1361" s="30">
        <f t="shared" si="139"/>
        <v>29.026554857677397</v>
      </c>
      <c r="T1361" s="10">
        <f>IFERROR(SUMIFS('Base bordo'!H$2:H$746,'Base bordo'!C$2:C$746,A1361,'Base bordo'!B$2:B$746,B1361,'Base bordo'!F$2:F$746,"DESLOCAMENTO CARREGADO"),0)</f>
        <v>176129.33000000002</v>
      </c>
      <c r="U1361" s="10">
        <f>IFERROR(SUMIFS('Base bordo'!I$2:I$746,'Base bordo'!C$2:C$746,A1361,'Base bordo'!B$2:B$746,B1361,'Base bordo'!F$2:F$746,"DESLOCAMENTO CARREGADO"),0)</f>
        <v>7271</v>
      </c>
      <c r="V1361" s="30">
        <f t="shared" si="140"/>
        <v>24.22353596479164</v>
      </c>
      <c r="W1361" s="9">
        <f t="shared" si="141"/>
        <v>0.13768929287725173</v>
      </c>
      <c r="X1361" s="9">
        <f t="shared" si="142"/>
        <v>0.13378843358419049</v>
      </c>
      <c r="Y1361" s="9">
        <f t="shared" si="143"/>
        <v>0.72852227353855781</v>
      </c>
    </row>
    <row r="1362" spans="1:25" ht="15" customHeight="1" x14ac:dyDescent="0.35">
      <c r="A1362" s="52">
        <v>8013484</v>
      </c>
      <c r="B1362" s="51">
        <v>46124</v>
      </c>
      <c r="C1362" s="7" t="s">
        <v>124</v>
      </c>
      <c r="D1362" s="10">
        <f>IFERROR(SUMIFS('Base bordo'!G$2:G$746,'Base bordo'!C$2:C$746,A1362,'Base bordo'!B$2:B$746,B1362,'Base bordo'!F$2:F$746,"DESLOCAMENTO VAZIO"),0)</f>
        <v>2.078611111111111</v>
      </c>
      <c r="E1362" s="10">
        <f>IFERROR(SUMIFS('Base bordo'!G$2:G$746,'Base bordo'!C$2:C$746,A1362,'Base bordo'!B$2:B$746,B1362,'Base bordo'!F$2:F$746,"DESLOCAMENTO CARREGADO"),0)</f>
        <v>2.0197222222222222</v>
      </c>
      <c r="F1362" s="10">
        <f>IFERROR(SUMIFS('Base bordo'!G$2:G$746,'Base bordo'!C$2:C$746,A1362,'Base bordo'!B$2:B$746,B1362,'Base bordo'!F$2:F$746,"DESLOCAMENTO"),0)</f>
        <v>0.28999999999999998</v>
      </c>
      <c r="G1362" s="10">
        <f>IFERROR(SUMIFS('Base bordo'!G$2:G$746,'Base bordo'!C$2:C$746,A1362,'Base bordo'!B$2:B$746,B1362,'Base bordo'!F$2:F$746,"CARREGAMENTO"),0)</f>
        <v>0</v>
      </c>
      <c r="H1362" s="10">
        <f>IFERROR(SUMIFS('Base bordo'!G$2:G$746,'Base bordo'!C$2:C$746,A1362,'Base bordo'!B$2:B$746,B1362,'Base bordo'!F$2:F$746,"AGUARDANDO TRANSBORDO"),0)</f>
        <v>0.16944444444444445</v>
      </c>
      <c r="I1362" s="10">
        <f>IFERROR(SUMIFS('Base bordo'!G$2:G$746,'Base bordo'!C$2:C$746,A1362,'Base bordo'!B$2:B$746,B1362,'Base bordo'!F$2:F$746,"PÁTIO INTERNO"),0)+IFERROR(SUMIFS('Base bordo'!G$2:G$746,'Base bordo'!C$2:C$746,A1362,'Base bordo'!B$2:B$746,B1362,'Base bordo'!F$2:F$746,"PÁTIO EXTERNO"),0)+IFERROR(SUMIFS('Base bordo'!G$2:G$746,'Base bordo'!C$2:C$746,A1362,'Base bordo'!B$2:B$746,B1362,'Base bordo'!F$2:F$746,"PATIO - RESERVA"),0)+IFERROR(SUMIFS('Base bordo'!G$2:G$746,'Base bordo'!C$2:C$746,A1362,'Base bordo'!B$2:B$746,B1362,'Base bordo'!F$2:F$746,"MANOBRA CARRETAS-PATIO"),0)</f>
        <v>10.112499999999999</v>
      </c>
      <c r="J1362" s="10">
        <f>IFERROR(SUMIFS('Base bordo'!G$2:G$746,'Base bordo'!C$2:C$746,A1362,'Base bordo'!B$2:B$746,B1362,'Base bordo'!F$2:F$746,"BALANÇA - ENTRADA"),0)+IFERROR(SUMIFS('Base bordo'!G$2:G$746,'Base bordo'!C$2:C$746,A1362,'Base bordo'!B$2:B$746,B1362,'Base bordo'!F$2:F$746,"BALANÇA - SAÍDA"),0)</f>
        <v>0.13666666666666666</v>
      </c>
      <c r="K1362" s="10">
        <f>IFERROR(SUMIFS('Base bordo'!G$2:G$746,'Base bordo'!C$2:C$746,A1362,'Base bordo'!B$2:B$746,B1362,'Base bordo'!F$2:F$746,"MAN PREVENTIVA - MECANICA"),0)+IFERROR(SUMIFS('Base bordo'!G$2:G$746,'Base bordo'!C$2:C$746,A1362,'Base bordo'!B$2:B$746,B1362,'Base bordo'!F$2:F$746,"MAN CORRETIVA - MECANICA"),0)</f>
        <v>0</v>
      </c>
      <c r="L1362" s="10">
        <f>IFERROR(SUMIFS('Base bordo'!G$2:G$746,'Base bordo'!C$2:C$746,A1362,'Base bordo'!B$2:B$746,B1362,'Base bordo'!F$2:F$746,"MANUTENCAO - T O"),0)+IFERROR(SUMIFS('Base bordo'!G$2:G$746,'Base bordo'!C$2:C$746,A1362,'Base bordo'!B$2:B$746,B1362,'Base bordo'!F$2:F$746,"MANUTENCAO BORRACHARIA"),0)+IFERROR(SUMIFS('Base bordo'!G$2:G$746,'Base bordo'!C$2:C$746,A1362,'Base bordo'!B$2:B$746,B1362,'Base bordo'!F$2:F$746,"MANUTENCAO EXTERNA  CONCESSIONARIA"),0)+IFERROR(SUMIFS('Base bordo'!G$2:G$746,'Base bordo'!C$2:C$746,A1362,'Base bordo'!B$2:B$746,B1362,'Base bordo'!F$2:F$746,"MANUTENCAO TELEMETRIA"),0)</f>
        <v>0.28944444444444445</v>
      </c>
      <c r="M1362" s="10">
        <f>IFERROR(SUMIFS('Base bordo'!G$2:G$746,'Base bordo'!C$2:C$746,A1362,'Base bordo'!B$2:B$746,B1362,'Base bordo'!F$2:F$746,"AGUARDANDO MANUTENCAO"),0)</f>
        <v>0</v>
      </c>
      <c r="N1362" s="10">
        <f>IFERROR(SUMIFS('Base bordo'!G$2:G$746,'Base bordo'!C$2:C$746,A1362,'Base bordo'!B$2:B$746,B1362,'Base bordo'!F$2:F$746,"SEM APONTAMENTO"),0)</f>
        <v>0</v>
      </c>
      <c r="O1362" s="10">
        <f t="shared" si="138"/>
        <v>0</v>
      </c>
      <c r="P1362" s="10">
        <f>IFERROR(SUMIFS('Base bordo'!G$2:G$746,'Base bordo'!C$2:C$746,A1362,'Base bordo'!B$2:B$746,B1362),0)</f>
        <v>15.096388888888889</v>
      </c>
      <c r="Q1362" s="10">
        <f>IFERROR(SUMIFS('Base bordo'!H$2:H$746,'Base bordo'!C$2:C$746,A1362,'Base bordo'!B$2:B$746,B1362,'Base bordo'!F$2:F$746,"DESLOCAMENTO VAZIO"),0)</f>
        <v>217205.70999999996</v>
      </c>
      <c r="R1362" s="10">
        <f>IFERROR(SUMIFS('Base bordo'!I$2:I$746,'Base bordo'!C$2:C$746,A1362,'Base bordo'!B$2:B$746,B1362,'Base bordo'!F$2:F$746,"DESLOCAMENTO VAZIO"),0)</f>
        <v>7483</v>
      </c>
      <c r="S1362" s="30">
        <f t="shared" si="139"/>
        <v>29.026554857677397</v>
      </c>
      <c r="T1362" s="10">
        <f>IFERROR(SUMIFS('Base bordo'!H$2:H$746,'Base bordo'!C$2:C$746,A1362,'Base bordo'!B$2:B$746,B1362,'Base bordo'!F$2:F$746,"DESLOCAMENTO CARREGADO"),0)</f>
        <v>176129.33000000002</v>
      </c>
      <c r="U1362" s="10">
        <f>IFERROR(SUMIFS('Base bordo'!I$2:I$746,'Base bordo'!C$2:C$746,A1362,'Base bordo'!B$2:B$746,B1362,'Base bordo'!F$2:F$746,"DESLOCAMENTO CARREGADO"),0)</f>
        <v>7271</v>
      </c>
      <c r="V1362" s="30">
        <f t="shared" si="140"/>
        <v>24.22353596479164</v>
      </c>
      <c r="W1362" s="9">
        <f t="shared" si="141"/>
        <v>0.13768929287725173</v>
      </c>
      <c r="X1362" s="9">
        <f t="shared" si="142"/>
        <v>0.13378843358419049</v>
      </c>
      <c r="Y1362" s="9">
        <f t="shared" si="143"/>
        <v>0.72852227353855781</v>
      </c>
    </row>
    <row r="1363" spans="1:25" ht="15" customHeight="1" x14ac:dyDescent="0.35">
      <c r="A1363" s="52">
        <v>8013484</v>
      </c>
      <c r="B1363" s="51">
        <v>46124</v>
      </c>
      <c r="C1363" s="7" t="s">
        <v>124</v>
      </c>
      <c r="D1363" s="10">
        <f>IFERROR(SUMIFS('Base bordo'!G$2:G$746,'Base bordo'!C$2:C$746,A1363,'Base bordo'!B$2:B$746,B1363,'Base bordo'!F$2:F$746,"DESLOCAMENTO VAZIO"),0)</f>
        <v>2.078611111111111</v>
      </c>
      <c r="E1363" s="10">
        <f>IFERROR(SUMIFS('Base bordo'!G$2:G$746,'Base bordo'!C$2:C$746,A1363,'Base bordo'!B$2:B$746,B1363,'Base bordo'!F$2:F$746,"DESLOCAMENTO CARREGADO"),0)</f>
        <v>2.0197222222222222</v>
      </c>
      <c r="F1363" s="10">
        <f>IFERROR(SUMIFS('Base bordo'!G$2:G$746,'Base bordo'!C$2:C$746,A1363,'Base bordo'!B$2:B$746,B1363,'Base bordo'!F$2:F$746,"DESLOCAMENTO"),0)</f>
        <v>0.28999999999999998</v>
      </c>
      <c r="G1363" s="10">
        <f>IFERROR(SUMIFS('Base bordo'!G$2:G$746,'Base bordo'!C$2:C$746,A1363,'Base bordo'!B$2:B$746,B1363,'Base bordo'!F$2:F$746,"CARREGAMENTO"),0)</f>
        <v>0</v>
      </c>
      <c r="H1363" s="10">
        <f>IFERROR(SUMIFS('Base bordo'!G$2:G$746,'Base bordo'!C$2:C$746,A1363,'Base bordo'!B$2:B$746,B1363,'Base bordo'!F$2:F$746,"AGUARDANDO TRANSBORDO"),0)</f>
        <v>0.16944444444444445</v>
      </c>
      <c r="I1363" s="10">
        <f>IFERROR(SUMIFS('Base bordo'!G$2:G$746,'Base bordo'!C$2:C$746,A1363,'Base bordo'!B$2:B$746,B1363,'Base bordo'!F$2:F$746,"PÁTIO INTERNO"),0)+IFERROR(SUMIFS('Base bordo'!G$2:G$746,'Base bordo'!C$2:C$746,A1363,'Base bordo'!B$2:B$746,B1363,'Base bordo'!F$2:F$746,"PÁTIO EXTERNO"),0)+IFERROR(SUMIFS('Base bordo'!G$2:G$746,'Base bordo'!C$2:C$746,A1363,'Base bordo'!B$2:B$746,B1363,'Base bordo'!F$2:F$746,"PATIO - RESERVA"),0)+IFERROR(SUMIFS('Base bordo'!G$2:G$746,'Base bordo'!C$2:C$746,A1363,'Base bordo'!B$2:B$746,B1363,'Base bordo'!F$2:F$746,"MANOBRA CARRETAS-PATIO"),0)</f>
        <v>10.112499999999999</v>
      </c>
      <c r="J1363" s="10">
        <f>IFERROR(SUMIFS('Base bordo'!G$2:G$746,'Base bordo'!C$2:C$746,A1363,'Base bordo'!B$2:B$746,B1363,'Base bordo'!F$2:F$746,"BALANÇA - ENTRADA"),0)+IFERROR(SUMIFS('Base bordo'!G$2:G$746,'Base bordo'!C$2:C$746,A1363,'Base bordo'!B$2:B$746,B1363,'Base bordo'!F$2:F$746,"BALANÇA - SAÍDA"),0)</f>
        <v>0.13666666666666666</v>
      </c>
      <c r="K1363" s="10">
        <f>IFERROR(SUMIFS('Base bordo'!G$2:G$746,'Base bordo'!C$2:C$746,A1363,'Base bordo'!B$2:B$746,B1363,'Base bordo'!F$2:F$746,"MAN PREVENTIVA - MECANICA"),0)+IFERROR(SUMIFS('Base bordo'!G$2:G$746,'Base bordo'!C$2:C$746,A1363,'Base bordo'!B$2:B$746,B1363,'Base bordo'!F$2:F$746,"MAN CORRETIVA - MECANICA"),0)</f>
        <v>0</v>
      </c>
      <c r="L1363" s="10">
        <f>IFERROR(SUMIFS('Base bordo'!G$2:G$746,'Base bordo'!C$2:C$746,A1363,'Base bordo'!B$2:B$746,B1363,'Base bordo'!F$2:F$746,"MANUTENCAO - T O"),0)+IFERROR(SUMIFS('Base bordo'!G$2:G$746,'Base bordo'!C$2:C$746,A1363,'Base bordo'!B$2:B$746,B1363,'Base bordo'!F$2:F$746,"MANUTENCAO BORRACHARIA"),0)+IFERROR(SUMIFS('Base bordo'!G$2:G$746,'Base bordo'!C$2:C$746,A1363,'Base bordo'!B$2:B$746,B1363,'Base bordo'!F$2:F$746,"MANUTENCAO EXTERNA  CONCESSIONARIA"),0)+IFERROR(SUMIFS('Base bordo'!G$2:G$746,'Base bordo'!C$2:C$746,A1363,'Base bordo'!B$2:B$746,B1363,'Base bordo'!F$2:F$746,"MANUTENCAO TELEMETRIA"),0)</f>
        <v>0.28944444444444445</v>
      </c>
      <c r="M1363" s="10">
        <f>IFERROR(SUMIFS('Base bordo'!G$2:G$746,'Base bordo'!C$2:C$746,A1363,'Base bordo'!B$2:B$746,B1363,'Base bordo'!F$2:F$746,"AGUARDANDO MANUTENCAO"),0)</f>
        <v>0</v>
      </c>
      <c r="N1363" s="10">
        <f>IFERROR(SUMIFS('Base bordo'!G$2:G$746,'Base bordo'!C$2:C$746,A1363,'Base bordo'!B$2:B$746,B1363,'Base bordo'!F$2:F$746,"SEM APONTAMENTO"),0)</f>
        <v>0</v>
      </c>
      <c r="O1363" s="10">
        <f t="shared" si="138"/>
        <v>0</v>
      </c>
      <c r="P1363" s="10">
        <f>IFERROR(SUMIFS('Base bordo'!G$2:G$746,'Base bordo'!C$2:C$746,A1363,'Base bordo'!B$2:B$746,B1363),0)</f>
        <v>15.096388888888889</v>
      </c>
      <c r="Q1363" s="10">
        <f>IFERROR(SUMIFS('Base bordo'!H$2:H$746,'Base bordo'!C$2:C$746,A1363,'Base bordo'!B$2:B$746,B1363,'Base bordo'!F$2:F$746,"DESLOCAMENTO VAZIO"),0)</f>
        <v>217205.70999999996</v>
      </c>
      <c r="R1363" s="10">
        <f>IFERROR(SUMIFS('Base bordo'!I$2:I$746,'Base bordo'!C$2:C$746,A1363,'Base bordo'!B$2:B$746,B1363,'Base bordo'!F$2:F$746,"DESLOCAMENTO VAZIO"),0)</f>
        <v>7483</v>
      </c>
      <c r="S1363" s="30">
        <f t="shared" si="139"/>
        <v>29.026554857677397</v>
      </c>
      <c r="T1363" s="10">
        <f>IFERROR(SUMIFS('Base bordo'!H$2:H$746,'Base bordo'!C$2:C$746,A1363,'Base bordo'!B$2:B$746,B1363,'Base bordo'!F$2:F$746,"DESLOCAMENTO CARREGADO"),0)</f>
        <v>176129.33000000002</v>
      </c>
      <c r="U1363" s="10">
        <f>IFERROR(SUMIFS('Base bordo'!I$2:I$746,'Base bordo'!C$2:C$746,A1363,'Base bordo'!B$2:B$746,B1363,'Base bordo'!F$2:F$746,"DESLOCAMENTO CARREGADO"),0)</f>
        <v>7271</v>
      </c>
      <c r="V1363" s="30">
        <f t="shared" si="140"/>
        <v>24.22353596479164</v>
      </c>
      <c r="W1363" s="9">
        <f t="shared" si="141"/>
        <v>0.13768929287725173</v>
      </c>
      <c r="X1363" s="9">
        <f t="shared" si="142"/>
        <v>0.13378843358419049</v>
      </c>
      <c r="Y1363" s="9">
        <f t="shared" si="143"/>
        <v>0.72852227353855781</v>
      </c>
    </row>
    <row r="1364" spans="1:25" ht="15" customHeight="1" x14ac:dyDescent="0.35">
      <c r="A1364" s="52">
        <v>8013484</v>
      </c>
      <c r="B1364" s="51">
        <v>46124</v>
      </c>
      <c r="C1364" s="7" t="s">
        <v>124</v>
      </c>
      <c r="D1364" s="10">
        <f>IFERROR(SUMIFS('Base bordo'!G$2:G$746,'Base bordo'!C$2:C$746,A1364,'Base bordo'!B$2:B$746,B1364,'Base bordo'!F$2:F$746,"DESLOCAMENTO VAZIO"),0)</f>
        <v>2.078611111111111</v>
      </c>
      <c r="E1364" s="10">
        <f>IFERROR(SUMIFS('Base bordo'!G$2:G$746,'Base bordo'!C$2:C$746,A1364,'Base bordo'!B$2:B$746,B1364,'Base bordo'!F$2:F$746,"DESLOCAMENTO CARREGADO"),0)</f>
        <v>2.0197222222222222</v>
      </c>
      <c r="F1364" s="10">
        <f>IFERROR(SUMIFS('Base bordo'!G$2:G$746,'Base bordo'!C$2:C$746,A1364,'Base bordo'!B$2:B$746,B1364,'Base bordo'!F$2:F$746,"DESLOCAMENTO"),0)</f>
        <v>0.28999999999999998</v>
      </c>
      <c r="G1364" s="10">
        <f>IFERROR(SUMIFS('Base bordo'!G$2:G$746,'Base bordo'!C$2:C$746,A1364,'Base bordo'!B$2:B$746,B1364,'Base bordo'!F$2:F$746,"CARREGAMENTO"),0)</f>
        <v>0</v>
      </c>
      <c r="H1364" s="10">
        <f>IFERROR(SUMIFS('Base bordo'!G$2:G$746,'Base bordo'!C$2:C$746,A1364,'Base bordo'!B$2:B$746,B1364,'Base bordo'!F$2:F$746,"AGUARDANDO TRANSBORDO"),0)</f>
        <v>0.16944444444444445</v>
      </c>
      <c r="I1364" s="10">
        <f>IFERROR(SUMIFS('Base bordo'!G$2:G$746,'Base bordo'!C$2:C$746,A1364,'Base bordo'!B$2:B$746,B1364,'Base bordo'!F$2:F$746,"PÁTIO INTERNO"),0)+IFERROR(SUMIFS('Base bordo'!G$2:G$746,'Base bordo'!C$2:C$746,A1364,'Base bordo'!B$2:B$746,B1364,'Base bordo'!F$2:F$746,"PÁTIO EXTERNO"),0)+IFERROR(SUMIFS('Base bordo'!G$2:G$746,'Base bordo'!C$2:C$746,A1364,'Base bordo'!B$2:B$746,B1364,'Base bordo'!F$2:F$746,"PATIO - RESERVA"),0)+IFERROR(SUMIFS('Base bordo'!G$2:G$746,'Base bordo'!C$2:C$746,A1364,'Base bordo'!B$2:B$746,B1364,'Base bordo'!F$2:F$746,"MANOBRA CARRETAS-PATIO"),0)</f>
        <v>10.112499999999999</v>
      </c>
      <c r="J1364" s="10">
        <f>IFERROR(SUMIFS('Base bordo'!G$2:G$746,'Base bordo'!C$2:C$746,A1364,'Base bordo'!B$2:B$746,B1364,'Base bordo'!F$2:F$746,"BALANÇA - ENTRADA"),0)+IFERROR(SUMIFS('Base bordo'!G$2:G$746,'Base bordo'!C$2:C$746,A1364,'Base bordo'!B$2:B$746,B1364,'Base bordo'!F$2:F$746,"BALANÇA - SAÍDA"),0)</f>
        <v>0.13666666666666666</v>
      </c>
      <c r="K1364" s="10">
        <f>IFERROR(SUMIFS('Base bordo'!G$2:G$746,'Base bordo'!C$2:C$746,A1364,'Base bordo'!B$2:B$746,B1364,'Base bordo'!F$2:F$746,"MAN PREVENTIVA - MECANICA"),0)+IFERROR(SUMIFS('Base bordo'!G$2:G$746,'Base bordo'!C$2:C$746,A1364,'Base bordo'!B$2:B$746,B1364,'Base bordo'!F$2:F$746,"MAN CORRETIVA - MECANICA"),0)</f>
        <v>0</v>
      </c>
      <c r="L1364" s="10">
        <f>IFERROR(SUMIFS('Base bordo'!G$2:G$746,'Base bordo'!C$2:C$746,A1364,'Base bordo'!B$2:B$746,B1364,'Base bordo'!F$2:F$746,"MANUTENCAO - T O"),0)+IFERROR(SUMIFS('Base bordo'!G$2:G$746,'Base bordo'!C$2:C$746,A1364,'Base bordo'!B$2:B$746,B1364,'Base bordo'!F$2:F$746,"MANUTENCAO BORRACHARIA"),0)+IFERROR(SUMIFS('Base bordo'!G$2:G$746,'Base bordo'!C$2:C$746,A1364,'Base bordo'!B$2:B$746,B1364,'Base bordo'!F$2:F$746,"MANUTENCAO EXTERNA  CONCESSIONARIA"),0)+IFERROR(SUMIFS('Base bordo'!G$2:G$746,'Base bordo'!C$2:C$746,A1364,'Base bordo'!B$2:B$746,B1364,'Base bordo'!F$2:F$746,"MANUTENCAO TELEMETRIA"),0)</f>
        <v>0.28944444444444445</v>
      </c>
      <c r="M1364" s="10">
        <f>IFERROR(SUMIFS('Base bordo'!G$2:G$746,'Base bordo'!C$2:C$746,A1364,'Base bordo'!B$2:B$746,B1364,'Base bordo'!F$2:F$746,"AGUARDANDO MANUTENCAO"),0)</f>
        <v>0</v>
      </c>
      <c r="N1364" s="10">
        <f>IFERROR(SUMIFS('Base bordo'!G$2:G$746,'Base bordo'!C$2:C$746,A1364,'Base bordo'!B$2:B$746,B1364,'Base bordo'!F$2:F$746,"SEM APONTAMENTO"),0)</f>
        <v>0</v>
      </c>
      <c r="O1364" s="10">
        <f t="shared" si="138"/>
        <v>0</v>
      </c>
      <c r="P1364" s="10">
        <f>IFERROR(SUMIFS('Base bordo'!G$2:G$746,'Base bordo'!C$2:C$746,A1364,'Base bordo'!B$2:B$746,B1364),0)</f>
        <v>15.096388888888889</v>
      </c>
      <c r="Q1364" s="10">
        <f>IFERROR(SUMIFS('Base bordo'!H$2:H$746,'Base bordo'!C$2:C$746,A1364,'Base bordo'!B$2:B$746,B1364,'Base bordo'!F$2:F$746,"DESLOCAMENTO VAZIO"),0)</f>
        <v>217205.70999999996</v>
      </c>
      <c r="R1364" s="10">
        <f>IFERROR(SUMIFS('Base bordo'!I$2:I$746,'Base bordo'!C$2:C$746,A1364,'Base bordo'!B$2:B$746,B1364,'Base bordo'!F$2:F$746,"DESLOCAMENTO VAZIO"),0)</f>
        <v>7483</v>
      </c>
      <c r="S1364" s="30">
        <f t="shared" si="139"/>
        <v>29.026554857677397</v>
      </c>
      <c r="T1364" s="10">
        <f>IFERROR(SUMIFS('Base bordo'!H$2:H$746,'Base bordo'!C$2:C$746,A1364,'Base bordo'!B$2:B$746,B1364,'Base bordo'!F$2:F$746,"DESLOCAMENTO CARREGADO"),0)</f>
        <v>176129.33000000002</v>
      </c>
      <c r="U1364" s="10">
        <f>IFERROR(SUMIFS('Base bordo'!I$2:I$746,'Base bordo'!C$2:C$746,A1364,'Base bordo'!B$2:B$746,B1364,'Base bordo'!F$2:F$746,"DESLOCAMENTO CARREGADO"),0)</f>
        <v>7271</v>
      </c>
      <c r="V1364" s="30">
        <f t="shared" si="140"/>
        <v>24.22353596479164</v>
      </c>
      <c r="W1364" s="9">
        <f t="shared" si="141"/>
        <v>0.13768929287725173</v>
      </c>
      <c r="X1364" s="9">
        <f t="shared" si="142"/>
        <v>0.13378843358419049</v>
      </c>
      <c r="Y1364" s="9">
        <f t="shared" si="143"/>
        <v>0.72852227353855781</v>
      </c>
    </row>
    <row r="1365" spans="1:25" ht="15" customHeight="1" x14ac:dyDescent="0.35">
      <c r="A1365" s="52">
        <v>8013485</v>
      </c>
      <c r="B1365" s="51">
        <v>46124</v>
      </c>
      <c r="C1365" s="7" t="s">
        <v>124</v>
      </c>
      <c r="D1365" s="10">
        <f>IFERROR(SUMIFS('Base bordo'!G$2:G$746,'Base bordo'!C$2:C$746,A1365,'Base bordo'!B$2:B$746,B1365,'Base bordo'!F$2:F$746,"DESLOCAMENTO VAZIO"),0)</f>
        <v>1.7575000000000001</v>
      </c>
      <c r="E1365" s="10">
        <f>IFERROR(SUMIFS('Base bordo'!G$2:G$746,'Base bordo'!C$2:C$746,A1365,'Base bordo'!B$2:B$746,B1365,'Base bordo'!F$2:F$746,"DESLOCAMENTO CARREGADO"),0)</f>
        <v>0.59722222222222221</v>
      </c>
      <c r="F1365" s="10">
        <f>IFERROR(SUMIFS('Base bordo'!G$2:G$746,'Base bordo'!C$2:C$746,A1365,'Base bordo'!B$2:B$746,B1365,'Base bordo'!F$2:F$746,"DESLOCAMENTO"),0)</f>
        <v>0</v>
      </c>
      <c r="G1365" s="10">
        <f>IFERROR(SUMIFS('Base bordo'!G$2:G$746,'Base bordo'!C$2:C$746,A1365,'Base bordo'!B$2:B$746,B1365,'Base bordo'!F$2:F$746,"CARREGAMENTO"),0)</f>
        <v>0</v>
      </c>
      <c r="H1365" s="10">
        <f>IFERROR(SUMIFS('Base bordo'!G$2:G$746,'Base bordo'!C$2:C$746,A1365,'Base bordo'!B$2:B$746,B1365,'Base bordo'!F$2:F$746,"AGUARDANDO TRANSBORDO"),0)</f>
        <v>0.35833333333333334</v>
      </c>
      <c r="I1365" s="10">
        <f>IFERROR(SUMIFS('Base bordo'!G$2:G$746,'Base bordo'!C$2:C$746,A1365,'Base bordo'!B$2:B$746,B1365,'Base bordo'!F$2:F$746,"PÁTIO INTERNO"),0)+IFERROR(SUMIFS('Base bordo'!G$2:G$746,'Base bordo'!C$2:C$746,A1365,'Base bordo'!B$2:B$746,B1365,'Base bordo'!F$2:F$746,"PÁTIO EXTERNO"),0)+IFERROR(SUMIFS('Base bordo'!G$2:G$746,'Base bordo'!C$2:C$746,A1365,'Base bordo'!B$2:B$746,B1365,'Base bordo'!F$2:F$746,"PATIO - RESERVA"),0)+IFERROR(SUMIFS('Base bordo'!G$2:G$746,'Base bordo'!C$2:C$746,A1365,'Base bordo'!B$2:B$746,B1365,'Base bordo'!F$2:F$746,"MANOBRA CARRETAS-PATIO"),0)</f>
        <v>4.17</v>
      </c>
      <c r="J1365" s="10">
        <f>IFERROR(SUMIFS('Base bordo'!G$2:G$746,'Base bordo'!C$2:C$746,A1365,'Base bordo'!B$2:B$746,B1365,'Base bordo'!F$2:F$746,"BALANÇA - ENTRADA"),0)+IFERROR(SUMIFS('Base bordo'!G$2:G$746,'Base bordo'!C$2:C$746,A1365,'Base bordo'!B$2:B$746,B1365,'Base bordo'!F$2:F$746,"BALANÇA - SAÍDA"),0)</f>
        <v>0.19083333333333333</v>
      </c>
      <c r="K1365" s="10">
        <f>IFERROR(SUMIFS('Base bordo'!G$2:G$746,'Base bordo'!C$2:C$746,A1365,'Base bordo'!B$2:B$746,B1365,'Base bordo'!F$2:F$746,"MAN PREVENTIVA - MECANICA"),0)+IFERROR(SUMIFS('Base bordo'!G$2:G$746,'Base bordo'!C$2:C$746,A1365,'Base bordo'!B$2:B$746,B1365,'Base bordo'!F$2:F$746,"MAN CORRETIVA - MECANICA"),0)</f>
        <v>0</v>
      </c>
      <c r="L1365" s="10">
        <f>IFERROR(SUMIFS('Base bordo'!G$2:G$746,'Base bordo'!C$2:C$746,A1365,'Base bordo'!B$2:B$746,B1365,'Base bordo'!F$2:F$746,"MANUTENCAO - T O"),0)+IFERROR(SUMIFS('Base bordo'!G$2:G$746,'Base bordo'!C$2:C$746,A1365,'Base bordo'!B$2:B$746,B1365,'Base bordo'!F$2:F$746,"MANUTENCAO BORRACHARIA"),0)+IFERROR(SUMIFS('Base bordo'!G$2:G$746,'Base bordo'!C$2:C$746,A1365,'Base bordo'!B$2:B$746,B1365,'Base bordo'!F$2:F$746,"MANUTENCAO EXTERNA  CONCESSIONARIA"),0)+IFERROR(SUMIFS('Base bordo'!G$2:G$746,'Base bordo'!C$2:C$746,A1365,'Base bordo'!B$2:B$746,B1365,'Base bordo'!F$2:F$746,"MANUTENCAO TELEMETRIA"),0)</f>
        <v>0</v>
      </c>
      <c r="M1365" s="10">
        <f>IFERROR(SUMIFS('Base bordo'!G$2:G$746,'Base bordo'!C$2:C$746,A1365,'Base bordo'!B$2:B$746,B1365,'Base bordo'!F$2:F$746,"AGUARDANDO MANUTENCAO"),0)</f>
        <v>0</v>
      </c>
      <c r="N1365" s="10">
        <f>IFERROR(SUMIFS('Base bordo'!G$2:G$746,'Base bordo'!C$2:C$746,A1365,'Base bordo'!B$2:B$746,B1365,'Base bordo'!F$2:F$746,"SEM APONTAMENTO"),0)</f>
        <v>0</v>
      </c>
      <c r="O1365" s="10">
        <f t="shared" si="138"/>
        <v>8.8817841970012523E-16</v>
      </c>
      <c r="P1365" s="10">
        <f>IFERROR(SUMIFS('Base bordo'!G$2:G$746,'Base bordo'!C$2:C$746,A1365,'Base bordo'!B$2:B$746,B1365),0)</f>
        <v>7.0738888888888898</v>
      </c>
      <c r="Q1365" s="10">
        <f>IFERROR(SUMIFS('Base bordo'!H$2:H$746,'Base bordo'!C$2:C$746,A1365,'Base bordo'!B$2:B$746,B1365,'Base bordo'!F$2:F$746,"DESLOCAMENTO VAZIO"),0)</f>
        <v>57117.96</v>
      </c>
      <c r="R1365" s="10">
        <f>IFERROR(SUMIFS('Base bordo'!I$2:I$746,'Base bordo'!C$2:C$746,A1365,'Base bordo'!B$2:B$746,B1365,'Base bordo'!F$2:F$746,"DESLOCAMENTO VAZIO"),0)</f>
        <v>2727</v>
      </c>
      <c r="S1365" s="30">
        <f t="shared" si="139"/>
        <v>20.945346534653464</v>
      </c>
      <c r="T1365" s="10">
        <f>IFERROR(SUMIFS('Base bordo'!H$2:H$746,'Base bordo'!C$2:C$746,A1365,'Base bordo'!B$2:B$746,B1365,'Base bordo'!F$2:F$746,"DESLOCAMENTO CARREGADO"),0)</f>
        <v>40859.899999999994</v>
      </c>
      <c r="U1365" s="10">
        <f>IFERROR(SUMIFS('Base bordo'!I$2:I$746,'Base bordo'!C$2:C$746,A1365,'Base bordo'!B$2:B$746,B1365,'Base bordo'!F$2:F$746,"DESLOCAMENTO CARREGADO"),0)</f>
        <v>2150</v>
      </c>
      <c r="V1365" s="30">
        <f t="shared" si="140"/>
        <v>19.004604651162786</v>
      </c>
      <c r="W1365" s="9">
        <f t="shared" si="141"/>
        <v>0.24844891227519042</v>
      </c>
      <c r="X1365" s="9">
        <f t="shared" si="142"/>
        <v>8.4426293882038789E-2</v>
      </c>
      <c r="Y1365" s="9">
        <f t="shared" si="143"/>
        <v>0.66712479384277079</v>
      </c>
    </row>
    <row r="1366" spans="1:25" ht="15" customHeight="1" x14ac:dyDescent="0.35">
      <c r="A1366" s="52">
        <v>8013485</v>
      </c>
      <c r="B1366" s="51">
        <v>46124</v>
      </c>
      <c r="C1366" s="7" t="s">
        <v>124</v>
      </c>
      <c r="D1366" s="10">
        <f>IFERROR(SUMIFS('Base bordo'!G$2:G$746,'Base bordo'!C$2:C$746,A1366,'Base bordo'!B$2:B$746,B1366,'Base bordo'!F$2:F$746,"DESLOCAMENTO VAZIO"),0)</f>
        <v>1.7575000000000001</v>
      </c>
      <c r="E1366" s="10">
        <f>IFERROR(SUMIFS('Base bordo'!G$2:G$746,'Base bordo'!C$2:C$746,A1366,'Base bordo'!B$2:B$746,B1366,'Base bordo'!F$2:F$746,"DESLOCAMENTO CARREGADO"),0)</f>
        <v>0.59722222222222221</v>
      </c>
      <c r="F1366" s="10">
        <f>IFERROR(SUMIFS('Base bordo'!G$2:G$746,'Base bordo'!C$2:C$746,A1366,'Base bordo'!B$2:B$746,B1366,'Base bordo'!F$2:F$746,"DESLOCAMENTO"),0)</f>
        <v>0</v>
      </c>
      <c r="G1366" s="10">
        <f>IFERROR(SUMIFS('Base bordo'!G$2:G$746,'Base bordo'!C$2:C$746,A1366,'Base bordo'!B$2:B$746,B1366,'Base bordo'!F$2:F$746,"CARREGAMENTO"),0)</f>
        <v>0</v>
      </c>
      <c r="H1366" s="10">
        <f>IFERROR(SUMIFS('Base bordo'!G$2:G$746,'Base bordo'!C$2:C$746,A1366,'Base bordo'!B$2:B$746,B1366,'Base bordo'!F$2:F$746,"AGUARDANDO TRANSBORDO"),0)</f>
        <v>0.35833333333333334</v>
      </c>
      <c r="I1366" s="10">
        <f>IFERROR(SUMIFS('Base bordo'!G$2:G$746,'Base bordo'!C$2:C$746,A1366,'Base bordo'!B$2:B$746,B1366,'Base bordo'!F$2:F$746,"PÁTIO INTERNO"),0)+IFERROR(SUMIFS('Base bordo'!G$2:G$746,'Base bordo'!C$2:C$746,A1366,'Base bordo'!B$2:B$746,B1366,'Base bordo'!F$2:F$746,"PÁTIO EXTERNO"),0)+IFERROR(SUMIFS('Base bordo'!G$2:G$746,'Base bordo'!C$2:C$746,A1366,'Base bordo'!B$2:B$746,B1366,'Base bordo'!F$2:F$746,"PATIO - RESERVA"),0)+IFERROR(SUMIFS('Base bordo'!G$2:G$746,'Base bordo'!C$2:C$746,A1366,'Base bordo'!B$2:B$746,B1366,'Base bordo'!F$2:F$746,"MANOBRA CARRETAS-PATIO"),0)</f>
        <v>4.17</v>
      </c>
      <c r="J1366" s="10">
        <f>IFERROR(SUMIFS('Base bordo'!G$2:G$746,'Base bordo'!C$2:C$746,A1366,'Base bordo'!B$2:B$746,B1366,'Base bordo'!F$2:F$746,"BALANÇA - ENTRADA"),0)+IFERROR(SUMIFS('Base bordo'!G$2:G$746,'Base bordo'!C$2:C$746,A1366,'Base bordo'!B$2:B$746,B1366,'Base bordo'!F$2:F$746,"BALANÇA - SAÍDA"),0)</f>
        <v>0.19083333333333333</v>
      </c>
      <c r="K1366" s="10">
        <f>IFERROR(SUMIFS('Base bordo'!G$2:G$746,'Base bordo'!C$2:C$746,A1366,'Base bordo'!B$2:B$746,B1366,'Base bordo'!F$2:F$746,"MAN PREVENTIVA - MECANICA"),0)+IFERROR(SUMIFS('Base bordo'!G$2:G$746,'Base bordo'!C$2:C$746,A1366,'Base bordo'!B$2:B$746,B1366,'Base bordo'!F$2:F$746,"MAN CORRETIVA - MECANICA"),0)</f>
        <v>0</v>
      </c>
      <c r="L1366" s="10">
        <f>IFERROR(SUMIFS('Base bordo'!G$2:G$746,'Base bordo'!C$2:C$746,A1366,'Base bordo'!B$2:B$746,B1366,'Base bordo'!F$2:F$746,"MANUTENCAO - T O"),0)+IFERROR(SUMIFS('Base bordo'!G$2:G$746,'Base bordo'!C$2:C$746,A1366,'Base bordo'!B$2:B$746,B1366,'Base bordo'!F$2:F$746,"MANUTENCAO BORRACHARIA"),0)+IFERROR(SUMIFS('Base bordo'!G$2:G$746,'Base bordo'!C$2:C$746,A1366,'Base bordo'!B$2:B$746,B1366,'Base bordo'!F$2:F$746,"MANUTENCAO EXTERNA  CONCESSIONARIA"),0)+IFERROR(SUMIFS('Base bordo'!G$2:G$746,'Base bordo'!C$2:C$746,A1366,'Base bordo'!B$2:B$746,B1366,'Base bordo'!F$2:F$746,"MANUTENCAO TELEMETRIA"),0)</f>
        <v>0</v>
      </c>
      <c r="M1366" s="10">
        <f>IFERROR(SUMIFS('Base bordo'!G$2:G$746,'Base bordo'!C$2:C$746,A1366,'Base bordo'!B$2:B$746,B1366,'Base bordo'!F$2:F$746,"AGUARDANDO MANUTENCAO"),0)</f>
        <v>0</v>
      </c>
      <c r="N1366" s="10">
        <f>IFERROR(SUMIFS('Base bordo'!G$2:G$746,'Base bordo'!C$2:C$746,A1366,'Base bordo'!B$2:B$746,B1366,'Base bordo'!F$2:F$746,"SEM APONTAMENTO"),0)</f>
        <v>0</v>
      </c>
      <c r="O1366" s="10">
        <f t="shared" si="138"/>
        <v>8.8817841970012523E-16</v>
      </c>
      <c r="P1366" s="10">
        <f>IFERROR(SUMIFS('Base bordo'!G$2:G$746,'Base bordo'!C$2:C$746,A1366,'Base bordo'!B$2:B$746,B1366),0)</f>
        <v>7.0738888888888898</v>
      </c>
      <c r="Q1366" s="10">
        <f>IFERROR(SUMIFS('Base bordo'!H$2:H$746,'Base bordo'!C$2:C$746,A1366,'Base bordo'!B$2:B$746,B1366,'Base bordo'!F$2:F$746,"DESLOCAMENTO VAZIO"),0)</f>
        <v>57117.96</v>
      </c>
      <c r="R1366" s="10">
        <f>IFERROR(SUMIFS('Base bordo'!I$2:I$746,'Base bordo'!C$2:C$746,A1366,'Base bordo'!B$2:B$746,B1366,'Base bordo'!F$2:F$746,"DESLOCAMENTO VAZIO"),0)</f>
        <v>2727</v>
      </c>
      <c r="S1366" s="30">
        <f t="shared" si="139"/>
        <v>20.945346534653464</v>
      </c>
      <c r="T1366" s="10">
        <f>IFERROR(SUMIFS('Base bordo'!H$2:H$746,'Base bordo'!C$2:C$746,A1366,'Base bordo'!B$2:B$746,B1366,'Base bordo'!F$2:F$746,"DESLOCAMENTO CARREGADO"),0)</f>
        <v>40859.899999999994</v>
      </c>
      <c r="U1366" s="10">
        <f>IFERROR(SUMIFS('Base bordo'!I$2:I$746,'Base bordo'!C$2:C$746,A1366,'Base bordo'!B$2:B$746,B1366,'Base bordo'!F$2:F$746,"DESLOCAMENTO CARREGADO"),0)</f>
        <v>2150</v>
      </c>
      <c r="V1366" s="30">
        <f t="shared" si="140"/>
        <v>19.004604651162786</v>
      </c>
      <c r="W1366" s="9">
        <f t="shared" si="141"/>
        <v>0.24844891227519042</v>
      </c>
      <c r="X1366" s="9">
        <f t="shared" si="142"/>
        <v>8.4426293882038789E-2</v>
      </c>
      <c r="Y1366" s="9">
        <f t="shared" si="143"/>
        <v>0.66712479384277079</v>
      </c>
    </row>
    <row r="1367" spans="1:25" ht="15" customHeight="1" x14ac:dyDescent="0.35">
      <c r="A1367" s="52">
        <v>8013485</v>
      </c>
      <c r="B1367" s="51">
        <v>46124</v>
      </c>
      <c r="C1367" s="7" t="s">
        <v>124</v>
      </c>
      <c r="D1367" s="10">
        <f>IFERROR(SUMIFS('Base bordo'!G$2:G$746,'Base bordo'!C$2:C$746,A1367,'Base bordo'!B$2:B$746,B1367,'Base bordo'!F$2:F$746,"DESLOCAMENTO VAZIO"),0)</f>
        <v>1.7575000000000001</v>
      </c>
      <c r="E1367" s="10">
        <f>IFERROR(SUMIFS('Base bordo'!G$2:G$746,'Base bordo'!C$2:C$746,A1367,'Base bordo'!B$2:B$746,B1367,'Base bordo'!F$2:F$746,"DESLOCAMENTO CARREGADO"),0)</f>
        <v>0.59722222222222221</v>
      </c>
      <c r="F1367" s="10">
        <f>IFERROR(SUMIFS('Base bordo'!G$2:G$746,'Base bordo'!C$2:C$746,A1367,'Base bordo'!B$2:B$746,B1367,'Base bordo'!F$2:F$746,"DESLOCAMENTO"),0)</f>
        <v>0</v>
      </c>
      <c r="G1367" s="10">
        <f>IFERROR(SUMIFS('Base bordo'!G$2:G$746,'Base bordo'!C$2:C$746,A1367,'Base bordo'!B$2:B$746,B1367,'Base bordo'!F$2:F$746,"CARREGAMENTO"),0)</f>
        <v>0</v>
      </c>
      <c r="H1367" s="10">
        <f>IFERROR(SUMIFS('Base bordo'!G$2:G$746,'Base bordo'!C$2:C$746,A1367,'Base bordo'!B$2:B$746,B1367,'Base bordo'!F$2:F$746,"AGUARDANDO TRANSBORDO"),0)</f>
        <v>0.35833333333333334</v>
      </c>
      <c r="I1367" s="10">
        <f>IFERROR(SUMIFS('Base bordo'!G$2:G$746,'Base bordo'!C$2:C$746,A1367,'Base bordo'!B$2:B$746,B1367,'Base bordo'!F$2:F$746,"PÁTIO INTERNO"),0)+IFERROR(SUMIFS('Base bordo'!G$2:G$746,'Base bordo'!C$2:C$746,A1367,'Base bordo'!B$2:B$746,B1367,'Base bordo'!F$2:F$746,"PÁTIO EXTERNO"),0)+IFERROR(SUMIFS('Base bordo'!G$2:G$746,'Base bordo'!C$2:C$746,A1367,'Base bordo'!B$2:B$746,B1367,'Base bordo'!F$2:F$746,"PATIO - RESERVA"),0)+IFERROR(SUMIFS('Base bordo'!G$2:G$746,'Base bordo'!C$2:C$746,A1367,'Base bordo'!B$2:B$746,B1367,'Base bordo'!F$2:F$746,"MANOBRA CARRETAS-PATIO"),0)</f>
        <v>4.17</v>
      </c>
      <c r="J1367" s="10">
        <f>IFERROR(SUMIFS('Base bordo'!G$2:G$746,'Base bordo'!C$2:C$746,A1367,'Base bordo'!B$2:B$746,B1367,'Base bordo'!F$2:F$746,"BALANÇA - ENTRADA"),0)+IFERROR(SUMIFS('Base bordo'!G$2:G$746,'Base bordo'!C$2:C$746,A1367,'Base bordo'!B$2:B$746,B1367,'Base bordo'!F$2:F$746,"BALANÇA - SAÍDA"),0)</f>
        <v>0.19083333333333333</v>
      </c>
      <c r="K1367" s="10">
        <f>IFERROR(SUMIFS('Base bordo'!G$2:G$746,'Base bordo'!C$2:C$746,A1367,'Base bordo'!B$2:B$746,B1367,'Base bordo'!F$2:F$746,"MAN PREVENTIVA - MECANICA"),0)+IFERROR(SUMIFS('Base bordo'!G$2:G$746,'Base bordo'!C$2:C$746,A1367,'Base bordo'!B$2:B$746,B1367,'Base bordo'!F$2:F$746,"MAN CORRETIVA - MECANICA"),0)</f>
        <v>0</v>
      </c>
      <c r="L1367" s="10">
        <f>IFERROR(SUMIFS('Base bordo'!G$2:G$746,'Base bordo'!C$2:C$746,A1367,'Base bordo'!B$2:B$746,B1367,'Base bordo'!F$2:F$746,"MANUTENCAO - T O"),0)+IFERROR(SUMIFS('Base bordo'!G$2:G$746,'Base bordo'!C$2:C$746,A1367,'Base bordo'!B$2:B$746,B1367,'Base bordo'!F$2:F$746,"MANUTENCAO BORRACHARIA"),0)+IFERROR(SUMIFS('Base bordo'!G$2:G$746,'Base bordo'!C$2:C$746,A1367,'Base bordo'!B$2:B$746,B1367,'Base bordo'!F$2:F$746,"MANUTENCAO EXTERNA  CONCESSIONARIA"),0)+IFERROR(SUMIFS('Base bordo'!G$2:G$746,'Base bordo'!C$2:C$746,A1367,'Base bordo'!B$2:B$746,B1367,'Base bordo'!F$2:F$746,"MANUTENCAO TELEMETRIA"),0)</f>
        <v>0</v>
      </c>
      <c r="M1367" s="10">
        <f>IFERROR(SUMIFS('Base bordo'!G$2:G$746,'Base bordo'!C$2:C$746,A1367,'Base bordo'!B$2:B$746,B1367,'Base bordo'!F$2:F$746,"AGUARDANDO MANUTENCAO"),0)</f>
        <v>0</v>
      </c>
      <c r="N1367" s="10">
        <f>IFERROR(SUMIFS('Base bordo'!G$2:G$746,'Base bordo'!C$2:C$746,A1367,'Base bordo'!B$2:B$746,B1367,'Base bordo'!F$2:F$746,"SEM APONTAMENTO"),0)</f>
        <v>0</v>
      </c>
      <c r="O1367" s="10">
        <f t="shared" si="138"/>
        <v>8.8817841970012523E-16</v>
      </c>
      <c r="P1367" s="10">
        <f>IFERROR(SUMIFS('Base bordo'!G$2:G$746,'Base bordo'!C$2:C$746,A1367,'Base bordo'!B$2:B$746,B1367),0)</f>
        <v>7.0738888888888898</v>
      </c>
      <c r="Q1367" s="10">
        <f>IFERROR(SUMIFS('Base bordo'!H$2:H$746,'Base bordo'!C$2:C$746,A1367,'Base bordo'!B$2:B$746,B1367,'Base bordo'!F$2:F$746,"DESLOCAMENTO VAZIO"),0)</f>
        <v>57117.96</v>
      </c>
      <c r="R1367" s="10">
        <f>IFERROR(SUMIFS('Base bordo'!I$2:I$746,'Base bordo'!C$2:C$746,A1367,'Base bordo'!B$2:B$746,B1367,'Base bordo'!F$2:F$746,"DESLOCAMENTO VAZIO"),0)</f>
        <v>2727</v>
      </c>
      <c r="S1367" s="30">
        <f t="shared" si="139"/>
        <v>20.945346534653464</v>
      </c>
      <c r="T1367" s="10">
        <f>IFERROR(SUMIFS('Base bordo'!H$2:H$746,'Base bordo'!C$2:C$746,A1367,'Base bordo'!B$2:B$746,B1367,'Base bordo'!F$2:F$746,"DESLOCAMENTO CARREGADO"),0)</f>
        <v>40859.899999999994</v>
      </c>
      <c r="U1367" s="10">
        <f>IFERROR(SUMIFS('Base bordo'!I$2:I$746,'Base bordo'!C$2:C$746,A1367,'Base bordo'!B$2:B$746,B1367,'Base bordo'!F$2:F$746,"DESLOCAMENTO CARREGADO"),0)</f>
        <v>2150</v>
      </c>
      <c r="V1367" s="30">
        <f t="shared" si="140"/>
        <v>19.004604651162786</v>
      </c>
      <c r="W1367" s="9">
        <f t="shared" si="141"/>
        <v>0.24844891227519042</v>
      </c>
      <c r="X1367" s="9">
        <f t="shared" si="142"/>
        <v>8.4426293882038789E-2</v>
      </c>
      <c r="Y1367" s="9">
        <f t="shared" si="143"/>
        <v>0.66712479384277079</v>
      </c>
    </row>
    <row r="1368" spans="1:25" ht="15" customHeight="1" x14ac:dyDescent="0.35">
      <c r="A1368" s="52">
        <v>8013485</v>
      </c>
      <c r="B1368" s="51">
        <v>46124</v>
      </c>
      <c r="C1368" s="7" t="s">
        <v>124</v>
      </c>
      <c r="D1368" s="10">
        <f>IFERROR(SUMIFS('Base bordo'!G$2:G$746,'Base bordo'!C$2:C$746,A1368,'Base bordo'!B$2:B$746,B1368,'Base bordo'!F$2:F$746,"DESLOCAMENTO VAZIO"),0)</f>
        <v>1.7575000000000001</v>
      </c>
      <c r="E1368" s="10">
        <f>IFERROR(SUMIFS('Base bordo'!G$2:G$746,'Base bordo'!C$2:C$746,A1368,'Base bordo'!B$2:B$746,B1368,'Base bordo'!F$2:F$746,"DESLOCAMENTO CARREGADO"),0)</f>
        <v>0.59722222222222221</v>
      </c>
      <c r="F1368" s="10">
        <f>IFERROR(SUMIFS('Base bordo'!G$2:G$746,'Base bordo'!C$2:C$746,A1368,'Base bordo'!B$2:B$746,B1368,'Base bordo'!F$2:F$746,"DESLOCAMENTO"),0)</f>
        <v>0</v>
      </c>
      <c r="G1368" s="10">
        <f>IFERROR(SUMIFS('Base bordo'!G$2:G$746,'Base bordo'!C$2:C$746,A1368,'Base bordo'!B$2:B$746,B1368,'Base bordo'!F$2:F$746,"CARREGAMENTO"),0)</f>
        <v>0</v>
      </c>
      <c r="H1368" s="10">
        <f>IFERROR(SUMIFS('Base bordo'!G$2:G$746,'Base bordo'!C$2:C$746,A1368,'Base bordo'!B$2:B$746,B1368,'Base bordo'!F$2:F$746,"AGUARDANDO TRANSBORDO"),0)</f>
        <v>0.35833333333333334</v>
      </c>
      <c r="I1368" s="10">
        <f>IFERROR(SUMIFS('Base bordo'!G$2:G$746,'Base bordo'!C$2:C$746,A1368,'Base bordo'!B$2:B$746,B1368,'Base bordo'!F$2:F$746,"PÁTIO INTERNO"),0)+IFERROR(SUMIFS('Base bordo'!G$2:G$746,'Base bordo'!C$2:C$746,A1368,'Base bordo'!B$2:B$746,B1368,'Base bordo'!F$2:F$746,"PÁTIO EXTERNO"),0)+IFERROR(SUMIFS('Base bordo'!G$2:G$746,'Base bordo'!C$2:C$746,A1368,'Base bordo'!B$2:B$746,B1368,'Base bordo'!F$2:F$746,"PATIO - RESERVA"),0)+IFERROR(SUMIFS('Base bordo'!G$2:G$746,'Base bordo'!C$2:C$746,A1368,'Base bordo'!B$2:B$746,B1368,'Base bordo'!F$2:F$746,"MANOBRA CARRETAS-PATIO"),0)</f>
        <v>4.17</v>
      </c>
      <c r="J1368" s="10">
        <f>IFERROR(SUMIFS('Base bordo'!G$2:G$746,'Base bordo'!C$2:C$746,A1368,'Base bordo'!B$2:B$746,B1368,'Base bordo'!F$2:F$746,"BALANÇA - ENTRADA"),0)+IFERROR(SUMIFS('Base bordo'!G$2:G$746,'Base bordo'!C$2:C$746,A1368,'Base bordo'!B$2:B$746,B1368,'Base bordo'!F$2:F$746,"BALANÇA - SAÍDA"),0)</f>
        <v>0.19083333333333333</v>
      </c>
      <c r="K1368" s="10">
        <f>IFERROR(SUMIFS('Base bordo'!G$2:G$746,'Base bordo'!C$2:C$746,A1368,'Base bordo'!B$2:B$746,B1368,'Base bordo'!F$2:F$746,"MAN PREVENTIVA - MECANICA"),0)+IFERROR(SUMIFS('Base bordo'!G$2:G$746,'Base bordo'!C$2:C$746,A1368,'Base bordo'!B$2:B$746,B1368,'Base bordo'!F$2:F$746,"MAN CORRETIVA - MECANICA"),0)</f>
        <v>0</v>
      </c>
      <c r="L1368" s="10">
        <f>IFERROR(SUMIFS('Base bordo'!G$2:G$746,'Base bordo'!C$2:C$746,A1368,'Base bordo'!B$2:B$746,B1368,'Base bordo'!F$2:F$746,"MANUTENCAO - T O"),0)+IFERROR(SUMIFS('Base bordo'!G$2:G$746,'Base bordo'!C$2:C$746,A1368,'Base bordo'!B$2:B$746,B1368,'Base bordo'!F$2:F$746,"MANUTENCAO BORRACHARIA"),0)+IFERROR(SUMIFS('Base bordo'!G$2:G$746,'Base bordo'!C$2:C$746,A1368,'Base bordo'!B$2:B$746,B1368,'Base bordo'!F$2:F$746,"MANUTENCAO EXTERNA  CONCESSIONARIA"),0)+IFERROR(SUMIFS('Base bordo'!G$2:G$746,'Base bordo'!C$2:C$746,A1368,'Base bordo'!B$2:B$746,B1368,'Base bordo'!F$2:F$746,"MANUTENCAO TELEMETRIA"),0)</f>
        <v>0</v>
      </c>
      <c r="M1368" s="10">
        <f>IFERROR(SUMIFS('Base bordo'!G$2:G$746,'Base bordo'!C$2:C$746,A1368,'Base bordo'!B$2:B$746,B1368,'Base bordo'!F$2:F$746,"AGUARDANDO MANUTENCAO"),0)</f>
        <v>0</v>
      </c>
      <c r="N1368" s="10">
        <f>IFERROR(SUMIFS('Base bordo'!G$2:G$746,'Base bordo'!C$2:C$746,A1368,'Base bordo'!B$2:B$746,B1368,'Base bordo'!F$2:F$746,"SEM APONTAMENTO"),0)</f>
        <v>0</v>
      </c>
      <c r="O1368" s="10">
        <f t="shared" si="138"/>
        <v>8.8817841970012523E-16</v>
      </c>
      <c r="P1368" s="10">
        <f>IFERROR(SUMIFS('Base bordo'!G$2:G$746,'Base bordo'!C$2:C$746,A1368,'Base bordo'!B$2:B$746,B1368),0)</f>
        <v>7.0738888888888898</v>
      </c>
      <c r="Q1368" s="10">
        <f>IFERROR(SUMIFS('Base bordo'!H$2:H$746,'Base bordo'!C$2:C$746,A1368,'Base bordo'!B$2:B$746,B1368,'Base bordo'!F$2:F$746,"DESLOCAMENTO VAZIO"),0)</f>
        <v>57117.96</v>
      </c>
      <c r="R1368" s="10">
        <f>IFERROR(SUMIFS('Base bordo'!I$2:I$746,'Base bordo'!C$2:C$746,A1368,'Base bordo'!B$2:B$746,B1368,'Base bordo'!F$2:F$746,"DESLOCAMENTO VAZIO"),0)</f>
        <v>2727</v>
      </c>
      <c r="S1368" s="30">
        <f t="shared" si="139"/>
        <v>20.945346534653464</v>
      </c>
      <c r="T1368" s="10">
        <f>IFERROR(SUMIFS('Base bordo'!H$2:H$746,'Base bordo'!C$2:C$746,A1368,'Base bordo'!B$2:B$746,B1368,'Base bordo'!F$2:F$746,"DESLOCAMENTO CARREGADO"),0)</f>
        <v>40859.899999999994</v>
      </c>
      <c r="U1368" s="10">
        <f>IFERROR(SUMIFS('Base bordo'!I$2:I$746,'Base bordo'!C$2:C$746,A1368,'Base bordo'!B$2:B$746,B1368,'Base bordo'!F$2:F$746,"DESLOCAMENTO CARREGADO"),0)</f>
        <v>2150</v>
      </c>
      <c r="V1368" s="30">
        <f t="shared" si="140"/>
        <v>19.004604651162786</v>
      </c>
      <c r="W1368" s="9">
        <f t="shared" si="141"/>
        <v>0.24844891227519042</v>
      </c>
      <c r="X1368" s="9">
        <f t="shared" si="142"/>
        <v>8.4426293882038789E-2</v>
      </c>
      <c r="Y1368" s="9">
        <f t="shared" si="143"/>
        <v>0.66712479384277079</v>
      </c>
    </row>
    <row r="1369" spans="1:25" ht="15" customHeight="1" x14ac:dyDescent="0.35">
      <c r="A1369" s="52">
        <v>8013485</v>
      </c>
      <c r="B1369" s="51">
        <v>46124</v>
      </c>
      <c r="C1369" s="7" t="s">
        <v>124</v>
      </c>
      <c r="D1369" s="10">
        <f>IFERROR(SUMIFS('Base bordo'!G$2:G$746,'Base bordo'!C$2:C$746,A1369,'Base bordo'!B$2:B$746,B1369,'Base bordo'!F$2:F$746,"DESLOCAMENTO VAZIO"),0)</f>
        <v>1.7575000000000001</v>
      </c>
      <c r="E1369" s="10">
        <f>IFERROR(SUMIFS('Base bordo'!G$2:G$746,'Base bordo'!C$2:C$746,A1369,'Base bordo'!B$2:B$746,B1369,'Base bordo'!F$2:F$746,"DESLOCAMENTO CARREGADO"),0)</f>
        <v>0.59722222222222221</v>
      </c>
      <c r="F1369" s="10">
        <f>IFERROR(SUMIFS('Base bordo'!G$2:G$746,'Base bordo'!C$2:C$746,A1369,'Base bordo'!B$2:B$746,B1369,'Base bordo'!F$2:F$746,"DESLOCAMENTO"),0)</f>
        <v>0</v>
      </c>
      <c r="G1369" s="10">
        <f>IFERROR(SUMIFS('Base bordo'!G$2:G$746,'Base bordo'!C$2:C$746,A1369,'Base bordo'!B$2:B$746,B1369,'Base bordo'!F$2:F$746,"CARREGAMENTO"),0)</f>
        <v>0</v>
      </c>
      <c r="H1369" s="10">
        <f>IFERROR(SUMIFS('Base bordo'!G$2:G$746,'Base bordo'!C$2:C$746,A1369,'Base bordo'!B$2:B$746,B1369,'Base bordo'!F$2:F$746,"AGUARDANDO TRANSBORDO"),0)</f>
        <v>0.35833333333333334</v>
      </c>
      <c r="I1369" s="10">
        <f>IFERROR(SUMIFS('Base bordo'!G$2:G$746,'Base bordo'!C$2:C$746,A1369,'Base bordo'!B$2:B$746,B1369,'Base bordo'!F$2:F$746,"PÁTIO INTERNO"),0)+IFERROR(SUMIFS('Base bordo'!G$2:G$746,'Base bordo'!C$2:C$746,A1369,'Base bordo'!B$2:B$746,B1369,'Base bordo'!F$2:F$746,"PÁTIO EXTERNO"),0)+IFERROR(SUMIFS('Base bordo'!G$2:G$746,'Base bordo'!C$2:C$746,A1369,'Base bordo'!B$2:B$746,B1369,'Base bordo'!F$2:F$746,"PATIO - RESERVA"),0)+IFERROR(SUMIFS('Base bordo'!G$2:G$746,'Base bordo'!C$2:C$746,A1369,'Base bordo'!B$2:B$746,B1369,'Base bordo'!F$2:F$746,"MANOBRA CARRETAS-PATIO"),0)</f>
        <v>4.17</v>
      </c>
      <c r="J1369" s="10">
        <f>IFERROR(SUMIFS('Base bordo'!G$2:G$746,'Base bordo'!C$2:C$746,A1369,'Base bordo'!B$2:B$746,B1369,'Base bordo'!F$2:F$746,"BALANÇA - ENTRADA"),0)+IFERROR(SUMIFS('Base bordo'!G$2:G$746,'Base bordo'!C$2:C$746,A1369,'Base bordo'!B$2:B$746,B1369,'Base bordo'!F$2:F$746,"BALANÇA - SAÍDA"),0)</f>
        <v>0.19083333333333333</v>
      </c>
      <c r="K1369" s="10">
        <f>IFERROR(SUMIFS('Base bordo'!G$2:G$746,'Base bordo'!C$2:C$746,A1369,'Base bordo'!B$2:B$746,B1369,'Base bordo'!F$2:F$746,"MAN PREVENTIVA - MECANICA"),0)+IFERROR(SUMIFS('Base bordo'!G$2:G$746,'Base bordo'!C$2:C$746,A1369,'Base bordo'!B$2:B$746,B1369,'Base bordo'!F$2:F$746,"MAN CORRETIVA - MECANICA"),0)</f>
        <v>0</v>
      </c>
      <c r="L1369" s="10">
        <f>IFERROR(SUMIFS('Base bordo'!G$2:G$746,'Base bordo'!C$2:C$746,A1369,'Base bordo'!B$2:B$746,B1369,'Base bordo'!F$2:F$746,"MANUTENCAO - T O"),0)+IFERROR(SUMIFS('Base bordo'!G$2:G$746,'Base bordo'!C$2:C$746,A1369,'Base bordo'!B$2:B$746,B1369,'Base bordo'!F$2:F$746,"MANUTENCAO BORRACHARIA"),0)+IFERROR(SUMIFS('Base bordo'!G$2:G$746,'Base bordo'!C$2:C$746,A1369,'Base bordo'!B$2:B$746,B1369,'Base bordo'!F$2:F$746,"MANUTENCAO EXTERNA  CONCESSIONARIA"),0)+IFERROR(SUMIFS('Base bordo'!G$2:G$746,'Base bordo'!C$2:C$746,A1369,'Base bordo'!B$2:B$746,B1369,'Base bordo'!F$2:F$746,"MANUTENCAO TELEMETRIA"),0)</f>
        <v>0</v>
      </c>
      <c r="M1369" s="10">
        <f>IFERROR(SUMIFS('Base bordo'!G$2:G$746,'Base bordo'!C$2:C$746,A1369,'Base bordo'!B$2:B$746,B1369,'Base bordo'!F$2:F$746,"AGUARDANDO MANUTENCAO"),0)</f>
        <v>0</v>
      </c>
      <c r="N1369" s="10">
        <f>IFERROR(SUMIFS('Base bordo'!G$2:G$746,'Base bordo'!C$2:C$746,A1369,'Base bordo'!B$2:B$746,B1369,'Base bordo'!F$2:F$746,"SEM APONTAMENTO"),0)</f>
        <v>0</v>
      </c>
      <c r="O1369" s="10">
        <f t="shared" si="138"/>
        <v>8.8817841970012523E-16</v>
      </c>
      <c r="P1369" s="10">
        <f>IFERROR(SUMIFS('Base bordo'!G$2:G$746,'Base bordo'!C$2:C$746,A1369,'Base bordo'!B$2:B$746,B1369),0)</f>
        <v>7.0738888888888898</v>
      </c>
      <c r="Q1369" s="10">
        <f>IFERROR(SUMIFS('Base bordo'!H$2:H$746,'Base bordo'!C$2:C$746,A1369,'Base bordo'!B$2:B$746,B1369,'Base bordo'!F$2:F$746,"DESLOCAMENTO VAZIO"),0)</f>
        <v>57117.96</v>
      </c>
      <c r="R1369" s="10">
        <f>IFERROR(SUMIFS('Base bordo'!I$2:I$746,'Base bordo'!C$2:C$746,A1369,'Base bordo'!B$2:B$746,B1369,'Base bordo'!F$2:F$746,"DESLOCAMENTO VAZIO"),0)</f>
        <v>2727</v>
      </c>
      <c r="S1369" s="30">
        <f t="shared" si="139"/>
        <v>20.945346534653464</v>
      </c>
      <c r="T1369" s="10">
        <f>IFERROR(SUMIFS('Base bordo'!H$2:H$746,'Base bordo'!C$2:C$746,A1369,'Base bordo'!B$2:B$746,B1369,'Base bordo'!F$2:F$746,"DESLOCAMENTO CARREGADO"),0)</f>
        <v>40859.899999999994</v>
      </c>
      <c r="U1369" s="10">
        <f>IFERROR(SUMIFS('Base bordo'!I$2:I$746,'Base bordo'!C$2:C$746,A1369,'Base bordo'!B$2:B$746,B1369,'Base bordo'!F$2:F$746,"DESLOCAMENTO CARREGADO"),0)</f>
        <v>2150</v>
      </c>
      <c r="V1369" s="30">
        <f t="shared" si="140"/>
        <v>19.004604651162786</v>
      </c>
      <c r="W1369" s="9">
        <f t="shared" si="141"/>
        <v>0.24844891227519042</v>
      </c>
      <c r="X1369" s="9">
        <f t="shared" si="142"/>
        <v>8.4426293882038789E-2</v>
      </c>
      <c r="Y1369" s="9">
        <f t="shared" si="143"/>
        <v>0.66712479384277079</v>
      </c>
    </row>
    <row r="1370" spans="1:25" ht="15" customHeight="1" x14ac:dyDescent="0.35">
      <c r="A1370" s="52">
        <v>8013485</v>
      </c>
      <c r="B1370" s="51">
        <v>46124</v>
      </c>
      <c r="C1370" s="7" t="s">
        <v>124</v>
      </c>
      <c r="D1370" s="10">
        <f>IFERROR(SUMIFS('Base bordo'!G$2:G$746,'Base bordo'!C$2:C$746,A1370,'Base bordo'!B$2:B$746,B1370,'Base bordo'!F$2:F$746,"DESLOCAMENTO VAZIO"),0)</f>
        <v>1.7575000000000001</v>
      </c>
      <c r="E1370" s="10">
        <f>IFERROR(SUMIFS('Base bordo'!G$2:G$746,'Base bordo'!C$2:C$746,A1370,'Base bordo'!B$2:B$746,B1370,'Base bordo'!F$2:F$746,"DESLOCAMENTO CARREGADO"),0)</f>
        <v>0.59722222222222221</v>
      </c>
      <c r="F1370" s="10">
        <f>IFERROR(SUMIFS('Base bordo'!G$2:G$746,'Base bordo'!C$2:C$746,A1370,'Base bordo'!B$2:B$746,B1370,'Base bordo'!F$2:F$746,"DESLOCAMENTO"),0)</f>
        <v>0</v>
      </c>
      <c r="G1370" s="10">
        <f>IFERROR(SUMIFS('Base bordo'!G$2:G$746,'Base bordo'!C$2:C$746,A1370,'Base bordo'!B$2:B$746,B1370,'Base bordo'!F$2:F$746,"CARREGAMENTO"),0)</f>
        <v>0</v>
      </c>
      <c r="H1370" s="10">
        <f>IFERROR(SUMIFS('Base bordo'!G$2:G$746,'Base bordo'!C$2:C$746,A1370,'Base bordo'!B$2:B$746,B1370,'Base bordo'!F$2:F$746,"AGUARDANDO TRANSBORDO"),0)</f>
        <v>0.35833333333333334</v>
      </c>
      <c r="I1370" s="10">
        <f>IFERROR(SUMIFS('Base bordo'!G$2:G$746,'Base bordo'!C$2:C$746,A1370,'Base bordo'!B$2:B$746,B1370,'Base bordo'!F$2:F$746,"PÁTIO INTERNO"),0)+IFERROR(SUMIFS('Base bordo'!G$2:G$746,'Base bordo'!C$2:C$746,A1370,'Base bordo'!B$2:B$746,B1370,'Base bordo'!F$2:F$746,"PÁTIO EXTERNO"),0)+IFERROR(SUMIFS('Base bordo'!G$2:G$746,'Base bordo'!C$2:C$746,A1370,'Base bordo'!B$2:B$746,B1370,'Base bordo'!F$2:F$746,"PATIO - RESERVA"),0)+IFERROR(SUMIFS('Base bordo'!G$2:G$746,'Base bordo'!C$2:C$746,A1370,'Base bordo'!B$2:B$746,B1370,'Base bordo'!F$2:F$746,"MANOBRA CARRETAS-PATIO"),0)</f>
        <v>4.17</v>
      </c>
      <c r="J1370" s="10">
        <f>IFERROR(SUMIFS('Base bordo'!G$2:G$746,'Base bordo'!C$2:C$746,A1370,'Base bordo'!B$2:B$746,B1370,'Base bordo'!F$2:F$746,"BALANÇA - ENTRADA"),0)+IFERROR(SUMIFS('Base bordo'!G$2:G$746,'Base bordo'!C$2:C$746,A1370,'Base bordo'!B$2:B$746,B1370,'Base bordo'!F$2:F$746,"BALANÇA - SAÍDA"),0)</f>
        <v>0.19083333333333333</v>
      </c>
      <c r="K1370" s="10">
        <f>IFERROR(SUMIFS('Base bordo'!G$2:G$746,'Base bordo'!C$2:C$746,A1370,'Base bordo'!B$2:B$746,B1370,'Base bordo'!F$2:F$746,"MAN PREVENTIVA - MECANICA"),0)+IFERROR(SUMIFS('Base bordo'!G$2:G$746,'Base bordo'!C$2:C$746,A1370,'Base bordo'!B$2:B$746,B1370,'Base bordo'!F$2:F$746,"MAN CORRETIVA - MECANICA"),0)</f>
        <v>0</v>
      </c>
      <c r="L1370" s="10">
        <f>IFERROR(SUMIFS('Base bordo'!G$2:G$746,'Base bordo'!C$2:C$746,A1370,'Base bordo'!B$2:B$746,B1370,'Base bordo'!F$2:F$746,"MANUTENCAO - T O"),0)+IFERROR(SUMIFS('Base bordo'!G$2:G$746,'Base bordo'!C$2:C$746,A1370,'Base bordo'!B$2:B$746,B1370,'Base bordo'!F$2:F$746,"MANUTENCAO BORRACHARIA"),0)+IFERROR(SUMIFS('Base bordo'!G$2:G$746,'Base bordo'!C$2:C$746,A1370,'Base bordo'!B$2:B$746,B1370,'Base bordo'!F$2:F$746,"MANUTENCAO EXTERNA  CONCESSIONARIA"),0)+IFERROR(SUMIFS('Base bordo'!G$2:G$746,'Base bordo'!C$2:C$746,A1370,'Base bordo'!B$2:B$746,B1370,'Base bordo'!F$2:F$746,"MANUTENCAO TELEMETRIA"),0)</f>
        <v>0</v>
      </c>
      <c r="M1370" s="10">
        <f>IFERROR(SUMIFS('Base bordo'!G$2:G$746,'Base bordo'!C$2:C$746,A1370,'Base bordo'!B$2:B$746,B1370,'Base bordo'!F$2:F$746,"AGUARDANDO MANUTENCAO"),0)</f>
        <v>0</v>
      </c>
      <c r="N1370" s="10">
        <f>IFERROR(SUMIFS('Base bordo'!G$2:G$746,'Base bordo'!C$2:C$746,A1370,'Base bordo'!B$2:B$746,B1370,'Base bordo'!F$2:F$746,"SEM APONTAMENTO"),0)</f>
        <v>0</v>
      </c>
      <c r="O1370" s="10">
        <f t="shared" si="138"/>
        <v>8.8817841970012523E-16</v>
      </c>
      <c r="P1370" s="10">
        <f>IFERROR(SUMIFS('Base bordo'!G$2:G$746,'Base bordo'!C$2:C$746,A1370,'Base bordo'!B$2:B$746,B1370),0)</f>
        <v>7.0738888888888898</v>
      </c>
      <c r="Q1370" s="10">
        <f>IFERROR(SUMIFS('Base bordo'!H$2:H$746,'Base bordo'!C$2:C$746,A1370,'Base bordo'!B$2:B$746,B1370,'Base bordo'!F$2:F$746,"DESLOCAMENTO VAZIO"),0)</f>
        <v>57117.96</v>
      </c>
      <c r="R1370" s="10">
        <f>IFERROR(SUMIFS('Base bordo'!I$2:I$746,'Base bordo'!C$2:C$746,A1370,'Base bordo'!B$2:B$746,B1370,'Base bordo'!F$2:F$746,"DESLOCAMENTO VAZIO"),0)</f>
        <v>2727</v>
      </c>
      <c r="S1370" s="30">
        <f t="shared" si="139"/>
        <v>20.945346534653464</v>
      </c>
      <c r="T1370" s="10">
        <f>IFERROR(SUMIFS('Base bordo'!H$2:H$746,'Base bordo'!C$2:C$746,A1370,'Base bordo'!B$2:B$746,B1370,'Base bordo'!F$2:F$746,"DESLOCAMENTO CARREGADO"),0)</f>
        <v>40859.899999999994</v>
      </c>
      <c r="U1370" s="10">
        <f>IFERROR(SUMIFS('Base bordo'!I$2:I$746,'Base bordo'!C$2:C$746,A1370,'Base bordo'!B$2:B$746,B1370,'Base bordo'!F$2:F$746,"DESLOCAMENTO CARREGADO"),0)</f>
        <v>2150</v>
      </c>
      <c r="V1370" s="30">
        <f t="shared" si="140"/>
        <v>19.004604651162786</v>
      </c>
      <c r="W1370" s="9">
        <f t="shared" si="141"/>
        <v>0.24844891227519042</v>
      </c>
      <c r="X1370" s="9">
        <f t="shared" si="142"/>
        <v>8.4426293882038789E-2</v>
      </c>
      <c r="Y1370" s="9">
        <f t="shared" si="143"/>
        <v>0.66712479384277079</v>
      </c>
    </row>
    <row r="1371" spans="1:25" ht="15" customHeight="1" x14ac:dyDescent="0.35">
      <c r="A1371" s="52">
        <v>8013485</v>
      </c>
      <c r="B1371" s="51">
        <v>46124</v>
      </c>
      <c r="C1371" s="7" t="s">
        <v>124</v>
      </c>
      <c r="D1371" s="10">
        <f>IFERROR(SUMIFS('Base bordo'!G$2:G$746,'Base bordo'!C$2:C$746,A1371,'Base bordo'!B$2:B$746,B1371,'Base bordo'!F$2:F$746,"DESLOCAMENTO VAZIO"),0)</f>
        <v>1.7575000000000001</v>
      </c>
      <c r="E1371" s="10">
        <f>IFERROR(SUMIFS('Base bordo'!G$2:G$746,'Base bordo'!C$2:C$746,A1371,'Base bordo'!B$2:B$746,B1371,'Base bordo'!F$2:F$746,"DESLOCAMENTO CARREGADO"),0)</f>
        <v>0.59722222222222221</v>
      </c>
      <c r="F1371" s="10">
        <f>IFERROR(SUMIFS('Base bordo'!G$2:G$746,'Base bordo'!C$2:C$746,A1371,'Base bordo'!B$2:B$746,B1371,'Base bordo'!F$2:F$746,"DESLOCAMENTO"),0)</f>
        <v>0</v>
      </c>
      <c r="G1371" s="10">
        <f>IFERROR(SUMIFS('Base bordo'!G$2:G$746,'Base bordo'!C$2:C$746,A1371,'Base bordo'!B$2:B$746,B1371,'Base bordo'!F$2:F$746,"CARREGAMENTO"),0)</f>
        <v>0</v>
      </c>
      <c r="H1371" s="10">
        <f>IFERROR(SUMIFS('Base bordo'!G$2:G$746,'Base bordo'!C$2:C$746,A1371,'Base bordo'!B$2:B$746,B1371,'Base bordo'!F$2:F$746,"AGUARDANDO TRANSBORDO"),0)</f>
        <v>0.35833333333333334</v>
      </c>
      <c r="I1371" s="10">
        <f>IFERROR(SUMIFS('Base bordo'!G$2:G$746,'Base bordo'!C$2:C$746,A1371,'Base bordo'!B$2:B$746,B1371,'Base bordo'!F$2:F$746,"PÁTIO INTERNO"),0)+IFERROR(SUMIFS('Base bordo'!G$2:G$746,'Base bordo'!C$2:C$746,A1371,'Base bordo'!B$2:B$746,B1371,'Base bordo'!F$2:F$746,"PÁTIO EXTERNO"),0)+IFERROR(SUMIFS('Base bordo'!G$2:G$746,'Base bordo'!C$2:C$746,A1371,'Base bordo'!B$2:B$746,B1371,'Base bordo'!F$2:F$746,"PATIO - RESERVA"),0)+IFERROR(SUMIFS('Base bordo'!G$2:G$746,'Base bordo'!C$2:C$746,A1371,'Base bordo'!B$2:B$746,B1371,'Base bordo'!F$2:F$746,"MANOBRA CARRETAS-PATIO"),0)</f>
        <v>4.17</v>
      </c>
      <c r="J1371" s="10">
        <f>IFERROR(SUMIFS('Base bordo'!G$2:G$746,'Base bordo'!C$2:C$746,A1371,'Base bordo'!B$2:B$746,B1371,'Base bordo'!F$2:F$746,"BALANÇA - ENTRADA"),0)+IFERROR(SUMIFS('Base bordo'!G$2:G$746,'Base bordo'!C$2:C$746,A1371,'Base bordo'!B$2:B$746,B1371,'Base bordo'!F$2:F$746,"BALANÇA - SAÍDA"),0)</f>
        <v>0.19083333333333333</v>
      </c>
      <c r="K1371" s="10">
        <f>IFERROR(SUMIFS('Base bordo'!G$2:G$746,'Base bordo'!C$2:C$746,A1371,'Base bordo'!B$2:B$746,B1371,'Base bordo'!F$2:F$746,"MAN PREVENTIVA - MECANICA"),0)+IFERROR(SUMIFS('Base bordo'!G$2:G$746,'Base bordo'!C$2:C$746,A1371,'Base bordo'!B$2:B$746,B1371,'Base bordo'!F$2:F$746,"MAN CORRETIVA - MECANICA"),0)</f>
        <v>0</v>
      </c>
      <c r="L1371" s="10">
        <f>IFERROR(SUMIFS('Base bordo'!G$2:G$746,'Base bordo'!C$2:C$746,A1371,'Base bordo'!B$2:B$746,B1371,'Base bordo'!F$2:F$746,"MANUTENCAO - T O"),0)+IFERROR(SUMIFS('Base bordo'!G$2:G$746,'Base bordo'!C$2:C$746,A1371,'Base bordo'!B$2:B$746,B1371,'Base bordo'!F$2:F$746,"MANUTENCAO BORRACHARIA"),0)+IFERROR(SUMIFS('Base bordo'!G$2:G$746,'Base bordo'!C$2:C$746,A1371,'Base bordo'!B$2:B$746,B1371,'Base bordo'!F$2:F$746,"MANUTENCAO EXTERNA  CONCESSIONARIA"),0)+IFERROR(SUMIFS('Base bordo'!G$2:G$746,'Base bordo'!C$2:C$746,A1371,'Base bordo'!B$2:B$746,B1371,'Base bordo'!F$2:F$746,"MANUTENCAO TELEMETRIA"),0)</f>
        <v>0</v>
      </c>
      <c r="M1371" s="10">
        <f>IFERROR(SUMIFS('Base bordo'!G$2:G$746,'Base bordo'!C$2:C$746,A1371,'Base bordo'!B$2:B$746,B1371,'Base bordo'!F$2:F$746,"AGUARDANDO MANUTENCAO"),0)</f>
        <v>0</v>
      </c>
      <c r="N1371" s="10">
        <f>IFERROR(SUMIFS('Base bordo'!G$2:G$746,'Base bordo'!C$2:C$746,A1371,'Base bordo'!B$2:B$746,B1371,'Base bordo'!F$2:F$746,"SEM APONTAMENTO"),0)</f>
        <v>0</v>
      </c>
      <c r="O1371" s="10">
        <f t="shared" si="138"/>
        <v>8.8817841970012523E-16</v>
      </c>
      <c r="P1371" s="10">
        <f>IFERROR(SUMIFS('Base bordo'!G$2:G$746,'Base bordo'!C$2:C$746,A1371,'Base bordo'!B$2:B$746,B1371),0)</f>
        <v>7.0738888888888898</v>
      </c>
      <c r="Q1371" s="10">
        <f>IFERROR(SUMIFS('Base bordo'!H$2:H$746,'Base bordo'!C$2:C$746,A1371,'Base bordo'!B$2:B$746,B1371,'Base bordo'!F$2:F$746,"DESLOCAMENTO VAZIO"),0)</f>
        <v>57117.96</v>
      </c>
      <c r="R1371" s="10">
        <f>IFERROR(SUMIFS('Base bordo'!I$2:I$746,'Base bordo'!C$2:C$746,A1371,'Base bordo'!B$2:B$746,B1371,'Base bordo'!F$2:F$746,"DESLOCAMENTO VAZIO"),0)</f>
        <v>2727</v>
      </c>
      <c r="S1371" s="30">
        <f t="shared" si="139"/>
        <v>20.945346534653464</v>
      </c>
      <c r="T1371" s="10">
        <f>IFERROR(SUMIFS('Base bordo'!H$2:H$746,'Base bordo'!C$2:C$746,A1371,'Base bordo'!B$2:B$746,B1371,'Base bordo'!F$2:F$746,"DESLOCAMENTO CARREGADO"),0)</f>
        <v>40859.899999999994</v>
      </c>
      <c r="U1371" s="10">
        <f>IFERROR(SUMIFS('Base bordo'!I$2:I$746,'Base bordo'!C$2:C$746,A1371,'Base bordo'!B$2:B$746,B1371,'Base bordo'!F$2:F$746,"DESLOCAMENTO CARREGADO"),0)</f>
        <v>2150</v>
      </c>
      <c r="V1371" s="30">
        <f t="shared" si="140"/>
        <v>19.004604651162786</v>
      </c>
      <c r="W1371" s="9">
        <f t="shared" si="141"/>
        <v>0.24844891227519042</v>
      </c>
      <c r="X1371" s="9">
        <f t="shared" si="142"/>
        <v>8.4426293882038789E-2</v>
      </c>
      <c r="Y1371" s="9">
        <f t="shared" si="143"/>
        <v>0.66712479384277079</v>
      </c>
    </row>
    <row r="1372" spans="1:25" ht="15" customHeight="1" x14ac:dyDescent="0.35">
      <c r="A1372" s="52">
        <v>8013485</v>
      </c>
      <c r="B1372" s="51">
        <v>46124</v>
      </c>
      <c r="C1372" s="7" t="s">
        <v>124</v>
      </c>
      <c r="D1372" s="10">
        <f>IFERROR(SUMIFS('Base bordo'!G$2:G$746,'Base bordo'!C$2:C$746,A1372,'Base bordo'!B$2:B$746,B1372,'Base bordo'!F$2:F$746,"DESLOCAMENTO VAZIO"),0)</f>
        <v>1.7575000000000001</v>
      </c>
      <c r="E1372" s="10">
        <f>IFERROR(SUMIFS('Base bordo'!G$2:G$746,'Base bordo'!C$2:C$746,A1372,'Base bordo'!B$2:B$746,B1372,'Base bordo'!F$2:F$746,"DESLOCAMENTO CARREGADO"),0)</f>
        <v>0.59722222222222221</v>
      </c>
      <c r="F1372" s="10">
        <f>IFERROR(SUMIFS('Base bordo'!G$2:G$746,'Base bordo'!C$2:C$746,A1372,'Base bordo'!B$2:B$746,B1372,'Base bordo'!F$2:F$746,"DESLOCAMENTO"),0)</f>
        <v>0</v>
      </c>
      <c r="G1372" s="10">
        <f>IFERROR(SUMIFS('Base bordo'!G$2:G$746,'Base bordo'!C$2:C$746,A1372,'Base bordo'!B$2:B$746,B1372,'Base bordo'!F$2:F$746,"CARREGAMENTO"),0)</f>
        <v>0</v>
      </c>
      <c r="H1372" s="10">
        <f>IFERROR(SUMIFS('Base bordo'!G$2:G$746,'Base bordo'!C$2:C$746,A1372,'Base bordo'!B$2:B$746,B1372,'Base bordo'!F$2:F$746,"AGUARDANDO TRANSBORDO"),0)</f>
        <v>0.35833333333333334</v>
      </c>
      <c r="I1372" s="10">
        <f>IFERROR(SUMIFS('Base bordo'!G$2:G$746,'Base bordo'!C$2:C$746,A1372,'Base bordo'!B$2:B$746,B1372,'Base bordo'!F$2:F$746,"PÁTIO INTERNO"),0)+IFERROR(SUMIFS('Base bordo'!G$2:G$746,'Base bordo'!C$2:C$746,A1372,'Base bordo'!B$2:B$746,B1372,'Base bordo'!F$2:F$746,"PÁTIO EXTERNO"),0)+IFERROR(SUMIFS('Base bordo'!G$2:G$746,'Base bordo'!C$2:C$746,A1372,'Base bordo'!B$2:B$746,B1372,'Base bordo'!F$2:F$746,"PATIO - RESERVA"),0)+IFERROR(SUMIFS('Base bordo'!G$2:G$746,'Base bordo'!C$2:C$746,A1372,'Base bordo'!B$2:B$746,B1372,'Base bordo'!F$2:F$746,"MANOBRA CARRETAS-PATIO"),0)</f>
        <v>4.17</v>
      </c>
      <c r="J1372" s="10">
        <f>IFERROR(SUMIFS('Base bordo'!G$2:G$746,'Base bordo'!C$2:C$746,A1372,'Base bordo'!B$2:B$746,B1372,'Base bordo'!F$2:F$746,"BALANÇA - ENTRADA"),0)+IFERROR(SUMIFS('Base bordo'!G$2:G$746,'Base bordo'!C$2:C$746,A1372,'Base bordo'!B$2:B$746,B1372,'Base bordo'!F$2:F$746,"BALANÇA - SAÍDA"),0)</f>
        <v>0.19083333333333333</v>
      </c>
      <c r="K1372" s="10">
        <f>IFERROR(SUMIFS('Base bordo'!G$2:G$746,'Base bordo'!C$2:C$746,A1372,'Base bordo'!B$2:B$746,B1372,'Base bordo'!F$2:F$746,"MAN PREVENTIVA - MECANICA"),0)+IFERROR(SUMIFS('Base bordo'!G$2:G$746,'Base bordo'!C$2:C$746,A1372,'Base bordo'!B$2:B$746,B1372,'Base bordo'!F$2:F$746,"MAN CORRETIVA - MECANICA"),0)</f>
        <v>0</v>
      </c>
      <c r="L1372" s="10">
        <f>IFERROR(SUMIFS('Base bordo'!G$2:G$746,'Base bordo'!C$2:C$746,A1372,'Base bordo'!B$2:B$746,B1372,'Base bordo'!F$2:F$746,"MANUTENCAO - T O"),0)+IFERROR(SUMIFS('Base bordo'!G$2:G$746,'Base bordo'!C$2:C$746,A1372,'Base bordo'!B$2:B$746,B1372,'Base bordo'!F$2:F$746,"MANUTENCAO BORRACHARIA"),0)+IFERROR(SUMIFS('Base bordo'!G$2:G$746,'Base bordo'!C$2:C$746,A1372,'Base bordo'!B$2:B$746,B1372,'Base bordo'!F$2:F$746,"MANUTENCAO EXTERNA  CONCESSIONARIA"),0)+IFERROR(SUMIFS('Base bordo'!G$2:G$746,'Base bordo'!C$2:C$746,A1372,'Base bordo'!B$2:B$746,B1372,'Base bordo'!F$2:F$746,"MANUTENCAO TELEMETRIA"),0)</f>
        <v>0</v>
      </c>
      <c r="M1372" s="10">
        <f>IFERROR(SUMIFS('Base bordo'!G$2:G$746,'Base bordo'!C$2:C$746,A1372,'Base bordo'!B$2:B$746,B1372,'Base bordo'!F$2:F$746,"AGUARDANDO MANUTENCAO"),0)</f>
        <v>0</v>
      </c>
      <c r="N1372" s="10">
        <f>IFERROR(SUMIFS('Base bordo'!G$2:G$746,'Base bordo'!C$2:C$746,A1372,'Base bordo'!B$2:B$746,B1372,'Base bordo'!F$2:F$746,"SEM APONTAMENTO"),0)</f>
        <v>0</v>
      </c>
      <c r="O1372" s="10">
        <f t="shared" si="138"/>
        <v>8.8817841970012523E-16</v>
      </c>
      <c r="P1372" s="10">
        <f>IFERROR(SUMIFS('Base bordo'!G$2:G$746,'Base bordo'!C$2:C$746,A1372,'Base bordo'!B$2:B$746,B1372),0)</f>
        <v>7.0738888888888898</v>
      </c>
      <c r="Q1372" s="10">
        <f>IFERROR(SUMIFS('Base bordo'!H$2:H$746,'Base bordo'!C$2:C$746,A1372,'Base bordo'!B$2:B$746,B1372,'Base bordo'!F$2:F$746,"DESLOCAMENTO VAZIO"),0)</f>
        <v>57117.96</v>
      </c>
      <c r="R1372" s="10">
        <f>IFERROR(SUMIFS('Base bordo'!I$2:I$746,'Base bordo'!C$2:C$746,A1372,'Base bordo'!B$2:B$746,B1372,'Base bordo'!F$2:F$746,"DESLOCAMENTO VAZIO"),0)</f>
        <v>2727</v>
      </c>
      <c r="S1372" s="30">
        <f t="shared" si="139"/>
        <v>20.945346534653464</v>
      </c>
      <c r="T1372" s="10">
        <f>IFERROR(SUMIFS('Base bordo'!H$2:H$746,'Base bordo'!C$2:C$746,A1372,'Base bordo'!B$2:B$746,B1372,'Base bordo'!F$2:F$746,"DESLOCAMENTO CARREGADO"),0)</f>
        <v>40859.899999999994</v>
      </c>
      <c r="U1372" s="10">
        <f>IFERROR(SUMIFS('Base bordo'!I$2:I$746,'Base bordo'!C$2:C$746,A1372,'Base bordo'!B$2:B$746,B1372,'Base bordo'!F$2:F$746,"DESLOCAMENTO CARREGADO"),0)</f>
        <v>2150</v>
      </c>
      <c r="V1372" s="30">
        <f t="shared" si="140"/>
        <v>19.004604651162786</v>
      </c>
      <c r="W1372" s="9">
        <f t="shared" si="141"/>
        <v>0.24844891227519042</v>
      </c>
      <c r="X1372" s="9">
        <f t="shared" si="142"/>
        <v>8.4426293882038789E-2</v>
      </c>
      <c r="Y1372" s="9">
        <f t="shared" si="143"/>
        <v>0.66712479384277079</v>
      </c>
    </row>
    <row r="1373" spans="1:25" ht="15" customHeight="1" x14ac:dyDescent="0.35">
      <c r="A1373" s="52">
        <v>8013485</v>
      </c>
      <c r="B1373" s="51">
        <v>46124</v>
      </c>
      <c r="C1373" s="7" t="s">
        <v>124</v>
      </c>
      <c r="D1373" s="10">
        <f>IFERROR(SUMIFS('Base bordo'!G$2:G$746,'Base bordo'!C$2:C$746,A1373,'Base bordo'!B$2:B$746,B1373,'Base bordo'!F$2:F$746,"DESLOCAMENTO VAZIO"),0)</f>
        <v>1.7575000000000001</v>
      </c>
      <c r="E1373" s="10">
        <f>IFERROR(SUMIFS('Base bordo'!G$2:G$746,'Base bordo'!C$2:C$746,A1373,'Base bordo'!B$2:B$746,B1373,'Base bordo'!F$2:F$746,"DESLOCAMENTO CARREGADO"),0)</f>
        <v>0.59722222222222221</v>
      </c>
      <c r="F1373" s="10">
        <f>IFERROR(SUMIFS('Base bordo'!G$2:G$746,'Base bordo'!C$2:C$746,A1373,'Base bordo'!B$2:B$746,B1373,'Base bordo'!F$2:F$746,"DESLOCAMENTO"),0)</f>
        <v>0</v>
      </c>
      <c r="G1373" s="10">
        <f>IFERROR(SUMIFS('Base bordo'!G$2:G$746,'Base bordo'!C$2:C$746,A1373,'Base bordo'!B$2:B$746,B1373,'Base bordo'!F$2:F$746,"CARREGAMENTO"),0)</f>
        <v>0</v>
      </c>
      <c r="H1373" s="10">
        <f>IFERROR(SUMIFS('Base bordo'!G$2:G$746,'Base bordo'!C$2:C$746,A1373,'Base bordo'!B$2:B$746,B1373,'Base bordo'!F$2:F$746,"AGUARDANDO TRANSBORDO"),0)</f>
        <v>0.35833333333333334</v>
      </c>
      <c r="I1373" s="10">
        <f>IFERROR(SUMIFS('Base bordo'!G$2:G$746,'Base bordo'!C$2:C$746,A1373,'Base bordo'!B$2:B$746,B1373,'Base bordo'!F$2:F$746,"PÁTIO INTERNO"),0)+IFERROR(SUMIFS('Base bordo'!G$2:G$746,'Base bordo'!C$2:C$746,A1373,'Base bordo'!B$2:B$746,B1373,'Base bordo'!F$2:F$746,"PÁTIO EXTERNO"),0)+IFERROR(SUMIFS('Base bordo'!G$2:G$746,'Base bordo'!C$2:C$746,A1373,'Base bordo'!B$2:B$746,B1373,'Base bordo'!F$2:F$746,"PATIO - RESERVA"),0)+IFERROR(SUMIFS('Base bordo'!G$2:G$746,'Base bordo'!C$2:C$746,A1373,'Base bordo'!B$2:B$746,B1373,'Base bordo'!F$2:F$746,"MANOBRA CARRETAS-PATIO"),0)</f>
        <v>4.17</v>
      </c>
      <c r="J1373" s="10">
        <f>IFERROR(SUMIFS('Base bordo'!G$2:G$746,'Base bordo'!C$2:C$746,A1373,'Base bordo'!B$2:B$746,B1373,'Base bordo'!F$2:F$746,"BALANÇA - ENTRADA"),0)+IFERROR(SUMIFS('Base bordo'!G$2:G$746,'Base bordo'!C$2:C$746,A1373,'Base bordo'!B$2:B$746,B1373,'Base bordo'!F$2:F$746,"BALANÇA - SAÍDA"),0)</f>
        <v>0.19083333333333333</v>
      </c>
      <c r="K1373" s="10">
        <f>IFERROR(SUMIFS('Base bordo'!G$2:G$746,'Base bordo'!C$2:C$746,A1373,'Base bordo'!B$2:B$746,B1373,'Base bordo'!F$2:F$746,"MAN PREVENTIVA - MECANICA"),0)+IFERROR(SUMIFS('Base bordo'!G$2:G$746,'Base bordo'!C$2:C$746,A1373,'Base bordo'!B$2:B$746,B1373,'Base bordo'!F$2:F$746,"MAN CORRETIVA - MECANICA"),0)</f>
        <v>0</v>
      </c>
      <c r="L1373" s="10">
        <f>IFERROR(SUMIFS('Base bordo'!G$2:G$746,'Base bordo'!C$2:C$746,A1373,'Base bordo'!B$2:B$746,B1373,'Base bordo'!F$2:F$746,"MANUTENCAO - T O"),0)+IFERROR(SUMIFS('Base bordo'!G$2:G$746,'Base bordo'!C$2:C$746,A1373,'Base bordo'!B$2:B$746,B1373,'Base bordo'!F$2:F$746,"MANUTENCAO BORRACHARIA"),0)+IFERROR(SUMIFS('Base bordo'!G$2:G$746,'Base bordo'!C$2:C$746,A1373,'Base bordo'!B$2:B$746,B1373,'Base bordo'!F$2:F$746,"MANUTENCAO EXTERNA  CONCESSIONARIA"),0)+IFERROR(SUMIFS('Base bordo'!G$2:G$746,'Base bordo'!C$2:C$746,A1373,'Base bordo'!B$2:B$746,B1373,'Base bordo'!F$2:F$746,"MANUTENCAO TELEMETRIA"),0)</f>
        <v>0</v>
      </c>
      <c r="M1373" s="10">
        <f>IFERROR(SUMIFS('Base bordo'!G$2:G$746,'Base bordo'!C$2:C$746,A1373,'Base bordo'!B$2:B$746,B1373,'Base bordo'!F$2:F$746,"AGUARDANDO MANUTENCAO"),0)</f>
        <v>0</v>
      </c>
      <c r="N1373" s="10">
        <f>IFERROR(SUMIFS('Base bordo'!G$2:G$746,'Base bordo'!C$2:C$746,A1373,'Base bordo'!B$2:B$746,B1373,'Base bordo'!F$2:F$746,"SEM APONTAMENTO"),0)</f>
        <v>0</v>
      </c>
      <c r="O1373" s="10">
        <f t="shared" si="138"/>
        <v>8.8817841970012523E-16</v>
      </c>
      <c r="P1373" s="10">
        <f>IFERROR(SUMIFS('Base bordo'!G$2:G$746,'Base bordo'!C$2:C$746,A1373,'Base bordo'!B$2:B$746,B1373),0)</f>
        <v>7.0738888888888898</v>
      </c>
      <c r="Q1373" s="10">
        <f>IFERROR(SUMIFS('Base bordo'!H$2:H$746,'Base bordo'!C$2:C$746,A1373,'Base bordo'!B$2:B$746,B1373,'Base bordo'!F$2:F$746,"DESLOCAMENTO VAZIO"),0)</f>
        <v>57117.96</v>
      </c>
      <c r="R1373" s="10">
        <f>IFERROR(SUMIFS('Base bordo'!I$2:I$746,'Base bordo'!C$2:C$746,A1373,'Base bordo'!B$2:B$746,B1373,'Base bordo'!F$2:F$746,"DESLOCAMENTO VAZIO"),0)</f>
        <v>2727</v>
      </c>
      <c r="S1373" s="30">
        <f t="shared" si="139"/>
        <v>20.945346534653464</v>
      </c>
      <c r="T1373" s="10">
        <f>IFERROR(SUMIFS('Base bordo'!H$2:H$746,'Base bordo'!C$2:C$746,A1373,'Base bordo'!B$2:B$746,B1373,'Base bordo'!F$2:F$746,"DESLOCAMENTO CARREGADO"),0)</f>
        <v>40859.899999999994</v>
      </c>
      <c r="U1373" s="10">
        <f>IFERROR(SUMIFS('Base bordo'!I$2:I$746,'Base bordo'!C$2:C$746,A1373,'Base bordo'!B$2:B$746,B1373,'Base bordo'!F$2:F$746,"DESLOCAMENTO CARREGADO"),0)</f>
        <v>2150</v>
      </c>
      <c r="V1373" s="30">
        <f t="shared" si="140"/>
        <v>19.004604651162786</v>
      </c>
      <c r="W1373" s="9">
        <f t="shared" si="141"/>
        <v>0.24844891227519042</v>
      </c>
      <c r="X1373" s="9">
        <f t="shared" si="142"/>
        <v>8.4426293882038789E-2</v>
      </c>
      <c r="Y1373" s="9">
        <f t="shared" si="143"/>
        <v>0.66712479384277079</v>
      </c>
    </row>
    <row r="1374" spans="1:25" ht="15" customHeight="1" x14ac:dyDescent="0.35">
      <c r="A1374" s="52">
        <v>8013485</v>
      </c>
      <c r="B1374" s="51">
        <v>46124</v>
      </c>
      <c r="C1374" s="7" t="s">
        <v>124</v>
      </c>
      <c r="D1374" s="10">
        <f>IFERROR(SUMIFS('Base bordo'!G$2:G$746,'Base bordo'!C$2:C$746,A1374,'Base bordo'!B$2:B$746,B1374,'Base bordo'!F$2:F$746,"DESLOCAMENTO VAZIO"),0)</f>
        <v>1.7575000000000001</v>
      </c>
      <c r="E1374" s="10">
        <f>IFERROR(SUMIFS('Base bordo'!G$2:G$746,'Base bordo'!C$2:C$746,A1374,'Base bordo'!B$2:B$746,B1374,'Base bordo'!F$2:F$746,"DESLOCAMENTO CARREGADO"),0)</f>
        <v>0.59722222222222221</v>
      </c>
      <c r="F1374" s="10">
        <f>IFERROR(SUMIFS('Base bordo'!G$2:G$746,'Base bordo'!C$2:C$746,A1374,'Base bordo'!B$2:B$746,B1374,'Base bordo'!F$2:F$746,"DESLOCAMENTO"),0)</f>
        <v>0</v>
      </c>
      <c r="G1374" s="10">
        <f>IFERROR(SUMIFS('Base bordo'!G$2:G$746,'Base bordo'!C$2:C$746,A1374,'Base bordo'!B$2:B$746,B1374,'Base bordo'!F$2:F$746,"CARREGAMENTO"),0)</f>
        <v>0</v>
      </c>
      <c r="H1374" s="10">
        <f>IFERROR(SUMIFS('Base bordo'!G$2:G$746,'Base bordo'!C$2:C$746,A1374,'Base bordo'!B$2:B$746,B1374,'Base bordo'!F$2:F$746,"AGUARDANDO TRANSBORDO"),0)</f>
        <v>0.35833333333333334</v>
      </c>
      <c r="I1374" s="10">
        <f>IFERROR(SUMIFS('Base bordo'!G$2:G$746,'Base bordo'!C$2:C$746,A1374,'Base bordo'!B$2:B$746,B1374,'Base bordo'!F$2:F$746,"PÁTIO INTERNO"),0)+IFERROR(SUMIFS('Base bordo'!G$2:G$746,'Base bordo'!C$2:C$746,A1374,'Base bordo'!B$2:B$746,B1374,'Base bordo'!F$2:F$746,"PÁTIO EXTERNO"),0)+IFERROR(SUMIFS('Base bordo'!G$2:G$746,'Base bordo'!C$2:C$746,A1374,'Base bordo'!B$2:B$746,B1374,'Base bordo'!F$2:F$746,"PATIO - RESERVA"),0)+IFERROR(SUMIFS('Base bordo'!G$2:G$746,'Base bordo'!C$2:C$746,A1374,'Base bordo'!B$2:B$746,B1374,'Base bordo'!F$2:F$746,"MANOBRA CARRETAS-PATIO"),0)</f>
        <v>4.17</v>
      </c>
      <c r="J1374" s="10">
        <f>IFERROR(SUMIFS('Base bordo'!G$2:G$746,'Base bordo'!C$2:C$746,A1374,'Base bordo'!B$2:B$746,B1374,'Base bordo'!F$2:F$746,"BALANÇA - ENTRADA"),0)+IFERROR(SUMIFS('Base bordo'!G$2:G$746,'Base bordo'!C$2:C$746,A1374,'Base bordo'!B$2:B$746,B1374,'Base bordo'!F$2:F$746,"BALANÇA - SAÍDA"),0)</f>
        <v>0.19083333333333333</v>
      </c>
      <c r="K1374" s="10">
        <f>IFERROR(SUMIFS('Base bordo'!G$2:G$746,'Base bordo'!C$2:C$746,A1374,'Base bordo'!B$2:B$746,B1374,'Base bordo'!F$2:F$746,"MAN PREVENTIVA - MECANICA"),0)+IFERROR(SUMIFS('Base bordo'!G$2:G$746,'Base bordo'!C$2:C$746,A1374,'Base bordo'!B$2:B$746,B1374,'Base bordo'!F$2:F$746,"MAN CORRETIVA - MECANICA"),0)</f>
        <v>0</v>
      </c>
      <c r="L1374" s="10">
        <f>IFERROR(SUMIFS('Base bordo'!G$2:G$746,'Base bordo'!C$2:C$746,A1374,'Base bordo'!B$2:B$746,B1374,'Base bordo'!F$2:F$746,"MANUTENCAO - T O"),0)+IFERROR(SUMIFS('Base bordo'!G$2:G$746,'Base bordo'!C$2:C$746,A1374,'Base bordo'!B$2:B$746,B1374,'Base bordo'!F$2:F$746,"MANUTENCAO BORRACHARIA"),0)+IFERROR(SUMIFS('Base bordo'!G$2:G$746,'Base bordo'!C$2:C$746,A1374,'Base bordo'!B$2:B$746,B1374,'Base bordo'!F$2:F$746,"MANUTENCAO EXTERNA  CONCESSIONARIA"),0)+IFERROR(SUMIFS('Base bordo'!G$2:G$746,'Base bordo'!C$2:C$746,A1374,'Base bordo'!B$2:B$746,B1374,'Base bordo'!F$2:F$746,"MANUTENCAO TELEMETRIA"),0)</f>
        <v>0</v>
      </c>
      <c r="M1374" s="10">
        <f>IFERROR(SUMIFS('Base bordo'!G$2:G$746,'Base bordo'!C$2:C$746,A1374,'Base bordo'!B$2:B$746,B1374,'Base bordo'!F$2:F$746,"AGUARDANDO MANUTENCAO"),0)</f>
        <v>0</v>
      </c>
      <c r="N1374" s="10">
        <f>IFERROR(SUMIFS('Base bordo'!G$2:G$746,'Base bordo'!C$2:C$746,A1374,'Base bordo'!B$2:B$746,B1374,'Base bordo'!F$2:F$746,"SEM APONTAMENTO"),0)</f>
        <v>0</v>
      </c>
      <c r="O1374" s="10">
        <f t="shared" si="138"/>
        <v>8.8817841970012523E-16</v>
      </c>
      <c r="P1374" s="10">
        <f>IFERROR(SUMIFS('Base bordo'!G$2:G$746,'Base bordo'!C$2:C$746,A1374,'Base bordo'!B$2:B$746,B1374),0)</f>
        <v>7.0738888888888898</v>
      </c>
      <c r="Q1374" s="10">
        <f>IFERROR(SUMIFS('Base bordo'!H$2:H$746,'Base bordo'!C$2:C$746,A1374,'Base bordo'!B$2:B$746,B1374,'Base bordo'!F$2:F$746,"DESLOCAMENTO VAZIO"),0)</f>
        <v>57117.96</v>
      </c>
      <c r="R1374" s="10">
        <f>IFERROR(SUMIFS('Base bordo'!I$2:I$746,'Base bordo'!C$2:C$746,A1374,'Base bordo'!B$2:B$746,B1374,'Base bordo'!F$2:F$746,"DESLOCAMENTO VAZIO"),0)</f>
        <v>2727</v>
      </c>
      <c r="S1374" s="30">
        <f t="shared" si="139"/>
        <v>20.945346534653464</v>
      </c>
      <c r="T1374" s="10">
        <f>IFERROR(SUMIFS('Base bordo'!H$2:H$746,'Base bordo'!C$2:C$746,A1374,'Base bordo'!B$2:B$746,B1374,'Base bordo'!F$2:F$746,"DESLOCAMENTO CARREGADO"),0)</f>
        <v>40859.899999999994</v>
      </c>
      <c r="U1374" s="10">
        <f>IFERROR(SUMIFS('Base bordo'!I$2:I$746,'Base bordo'!C$2:C$746,A1374,'Base bordo'!B$2:B$746,B1374,'Base bordo'!F$2:F$746,"DESLOCAMENTO CARREGADO"),0)</f>
        <v>2150</v>
      </c>
      <c r="V1374" s="30">
        <f t="shared" si="140"/>
        <v>19.004604651162786</v>
      </c>
      <c r="W1374" s="9">
        <f t="shared" si="141"/>
        <v>0.24844891227519042</v>
      </c>
      <c r="X1374" s="9">
        <f t="shared" si="142"/>
        <v>8.4426293882038789E-2</v>
      </c>
      <c r="Y1374" s="9">
        <f t="shared" si="143"/>
        <v>0.66712479384277079</v>
      </c>
    </row>
    <row r="1375" spans="1:25" ht="15" customHeight="1" x14ac:dyDescent="0.35">
      <c r="A1375" s="52">
        <v>8013485</v>
      </c>
      <c r="B1375" s="51">
        <v>46124</v>
      </c>
      <c r="C1375" s="7" t="s">
        <v>124</v>
      </c>
      <c r="D1375" s="10">
        <f>IFERROR(SUMIFS('Base bordo'!G$2:G$746,'Base bordo'!C$2:C$746,A1375,'Base bordo'!B$2:B$746,B1375,'Base bordo'!F$2:F$746,"DESLOCAMENTO VAZIO"),0)</f>
        <v>1.7575000000000001</v>
      </c>
      <c r="E1375" s="10">
        <f>IFERROR(SUMIFS('Base bordo'!G$2:G$746,'Base bordo'!C$2:C$746,A1375,'Base bordo'!B$2:B$746,B1375,'Base bordo'!F$2:F$746,"DESLOCAMENTO CARREGADO"),0)</f>
        <v>0.59722222222222221</v>
      </c>
      <c r="F1375" s="10">
        <f>IFERROR(SUMIFS('Base bordo'!G$2:G$746,'Base bordo'!C$2:C$746,A1375,'Base bordo'!B$2:B$746,B1375,'Base bordo'!F$2:F$746,"DESLOCAMENTO"),0)</f>
        <v>0</v>
      </c>
      <c r="G1375" s="10">
        <f>IFERROR(SUMIFS('Base bordo'!G$2:G$746,'Base bordo'!C$2:C$746,A1375,'Base bordo'!B$2:B$746,B1375,'Base bordo'!F$2:F$746,"CARREGAMENTO"),0)</f>
        <v>0</v>
      </c>
      <c r="H1375" s="10">
        <f>IFERROR(SUMIFS('Base bordo'!G$2:G$746,'Base bordo'!C$2:C$746,A1375,'Base bordo'!B$2:B$746,B1375,'Base bordo'!F$2:F$746,"AGUARDANDO TRANSBORDO"),0)</f>
        <v>0.35833333333333334</v>
      </c>
      <c r="I1375" s="10">
        <f>IFERROR(SUMIFS('Base bordo'!G$2:G$746,'Base bordo'!C$2:C$746,A1375,'Base bordo'!B$2:B$746,B1375,'Base bordo'!F$2:F$746,"PÁTIO INTERNO"),0)+IFERROR(SUMIFS('Base bordo'!G$2:G$746,'Base bordo'!C$2:C$746,A1375,'Base bordo'!B$2:B$746,B1375,'Base bordo'!F$2:F$746,"PÁTIO EXTERNO"),0)+IFERROR(SUMIFS('Base bordo'!G$2:G$746,'Base bordo'!C$2:C$746,A1375,'Base bordo'!B$2:B$746,B1375,'Base bordo'!F$2:F$746,"PATIO - RESERVA"),0)+IFERROR(SUMIFS('Base bordo'!G$2:G$746,'Base bordo'!C$2:C$746,A1375,'Base bordo'!B$2:B$746,B1375,'Base bordo'!F$2:F$746,"MANOBRA CARRETAS-PATIO"),0)</f>
        <v>4.17</v>
      </c>
      <c r="J1375" s="10">
        <f>IFERROR(SUMIFS('Base bordo'!G$2:G$746,'Base bordo'!C$2:C$746,A1375,'Base bordo'!B$2:B$746,B1375,'Base bordo'!F$2:F$746,"BALANÇA - ENTRADA"),0)+IFERROR(SUMIFS('Base bordo'!G$2:G$746,'Base bordo'!C$2:C$746,A1375,'Base bordo'!B$2:B$746,B1375,'Base bordo'!F$2:F$746,"BALANÇA - SAÍDA"),0)</f>
        <v>0.19083333333333333</v>
      </c>
      <c r="K1375" s="10">
        <f>IFERROR(SUMIFS('Base bordo'!G$2:G$746,'Base bordo'!C$2:C$746,A1375,'Base bordo'!B$2:B$746,B1375,'Base bordo'!F$2:F$746,"MAN PREVENTIVA - MECANICA"),0)+IFERROR(SUMIFS('Base bordo'!G$2:G$746,'Base bordo'!C$2:C$746,A1375,'Base bordo'!B$2:B$746,B1375,'Base bordo'!F$2:F$746,"MAN CORRETIVA - MECANICA"),0)</f>
        <v>0</v>
      </c>
      <c r="L1375" s="10">
        <f>IFERROR(SUMIFS('Base bordo'!G$2:G$746,'Base bordo'!C$2:C$746,A1375,'Base bordo'!B$2:B$746,B1375,'Base bordo'!F$2:F$746,"MANUTENCAO - T O"),0)+IFERROR(SUMIFS('Base bordo'!G$2:G$746,'Base bordo'!C$2:C$746,A1375,'Base bordo'!B$2:B$746,B1375,'Base bordo'!F$2:F$746,"MANUTENCAO BORRACHARIA"),0)+IFERROR(SUMIFS('Base bordo'!G$2:G$746,'Base bordo'!C$2:C$746,A1375,'Base bordo'!B$2:B$746,B1375,'Base bordo'!F$2:F$746,"MANUTENCAO EXTERNA  CONCESSIONARIA"),0)+IFERROR(SUMIFS('Base bordo'!G$2:G$746,'Base bordo'!C$2:C$746,A1375,'Base bordo'!B$2:B$746,B1375,'Base bordo'!F$2:F$746,"MANUTENCAO TELEMETRIA"),0)</f>
        <v>0</v>
      </c>
      <c r="M1375" s="10">
        <f>IFERROR(SUMIFS('Base bordo'!G$2:G$746,'Base bordo'!C$2:C$746,A1375,'Base bordo'!B$2:B$746,B1375,'Base bordo'!F$2:F$746,"AGUARDANDO MANUTENCAO"),0)</f>
        <v>0</v>
      </c>
      <c r="N1375" s="10">
        <f>IFERROR(SUMIFS('Base bordo'!G$2:G$746,'Base bordo'!C$2:C$746,A1375,'Base bordo'!B$2:B$746,B1375,'Base bordo'!F$2:F$746,"SEM APONTAMENTO"),0)</f>
        <v>0</v>
      </c>
      <c r="O1375" s="10">
        <f t="shared" si="138"/>
        <v>8.8817841970012523E-16</v>
      </c>
      <c r="P1375" s="10">
        <f>IFERROR(SUMIFS('Base bordo'!G$2:G$746,'Base bordo'!C$2:C$746,A1375,'Base bordo'!B$2:B$746,B1375),0)</f>
        <v>7.0738888888888898</v>
      </c>
      <c r="Q1375" s="10">
        <f>IFERROR(SUMIFS('Base bordo'!H$2:H$746,'Base bordo'!C$2:C$746,A1375,'Base bordo'!B$2:B$746,B1375,'Base bordo'!F$2:F$746,"DESLOCAMENTO VAZIO"),0)</f>
        <v>57117.96</v>
      </c>
      <c r="R1375" s="10">
        <f>IFERROR(SUMIFS('Base bordo'!I$2:I$746,'Base bordo'!C$2:C$746,A1375,'Base bordo'!B$2:B$746,B1375,'Base bordo'!F$2:F$746,"DESLOCAMENTO VAZIO"),0)</f>
        <v>2727</v>
      </c>
      <c r="S1375" s="30">
        <f t="shared" si="139"/>
        <v>20.945346534653464</v>
      </c>
      <c r="T1375" s="10">
        <f>IFERROR(SUMIFS('Base bordo'!H$2:H$746,'Base bordo'!C$2:C$746,A1375,'Base bordo'!B$2:B$746,B1375,'Base bordo'!F$2:F$746,"DESLOCAMENTO CARREGADO"),0)</f>
        <v>40859.899999999994</v>
      </c>
      <c r="U1375" s="10">
        <f>IFERROR(SUMIFS('Base bordo'!I$2:I$746,'Base bordo'!C$2:C$746,A1375,'Base bordo'!B$2:B$746,B1375,'Base bordo'!F$2:F$746,"DESLOCAMENTO CARREGADO"),0)</f>
        <v>2150</v>
      </c>
      <c r="V1375" s="30">
        <f t="shared" si="140"/>
        <v>19.004604651162786</v>
      </c>
      <c r="W1375" s="9">
        <f t="shared" si="141"/>
        <v>0.24844891227519042</v>
      </c>
      <c r="X1375" s="9">
        <f t="shared" si="142"/>
        <v>8.4426293882038789E-2</v>
      </c>
      <c r="Y1375" s="9">
        <f t="shared" si="143"/>
        <v>0.66712479384277079</v>
      </c>
    </row>
    <row r="1376" spans="1:25" ht="15" customHeight="1" x14ac:dyDescent="0.35">
      <c r="A1376" s="52">
        <v>8013485</v>
      </c>
      <c r="B1376" s="51">
        <v>46124</v>
      </c>
      <c r="C1376" s="7" t="s">
        <v>124</v>
      </c>
      <c r="D1376" s="10">
        <f>IFERROR(SUMIFS('Base bordo'!G$2:G$746,'Base bordo'!C$2:C$746,A1376,'Base bordo'!B$2:B$746,B1376,'Base bordo'!F$2:F$746,"DESLOCAMENTO VAZIO"),0)</f>
        <v>1.7575000000000001</v>
      </c>
      <c r="E1376" s="10">
        <f>IFERROR(SUMIFS('Base bordo'!G$2:G$746,'Base bordo'!C$2:C$746,A1376,'Base bordo'!B$2:B$746,B1376,'Base bordo'!F$2:F$746,"DESLOCAMENTO CARREGADO"),0)</f>
        <v>0.59722222222222221</v>
      </c>
      <c r="F1376" s="10">
        <f>IFERROR(SUMIFS('Base bordo'!G$2:G$746,'Base bordo'!C$2:C$746,A1376,'Base bordo'!B$2:B$746,B1376,'Base bordo'!F$2:F$746,"DESLOCAMENTO"),0)</f>
        <v>0</v>
      </c>
      <c r="G1376" s="10">
        <f>IFERROR(SUMIFS('Base bordo'!G$2:G$746,'Base bordo'!C$2:C$746,A1376,'Base bordo'!B$2:B$746,B1376,'Base bordo'!F$2:F$746,"CARREGAMENTO"),0)</f>
        <v>0</v>
      </c>
      <c r="H1376" s="10">
        <f>IFERROR(SUMIFS('Base bordo'!G$2:G$746,'Base bordo'!C$2:C$746,A1376,'Base bordo'!B$2:B$746,B1376,'Base bordo'!F$2:F$746,"AGUARDANDO TRANSBORDO"),0)</f>
        <v>0.35833333333333334</v>
      </c>
      <c r="I1376" s="10">
        <f>IFERROR(SUMIFS('Base bordo'!G$2:G$746,'Base bordo'!C$2:C$746,A1376,'Base bordo'!B$2:B$746,B1376,'Base bordo'!F$2:F$746,"PÁTIO INTERNO"),0)+IFERROR(SUMIFS('Base bordo'!G$2:G$746,'Base bordo'!C$2:C$746,A1376,'Base bordo'!B$2:B$746,B1376,'Base bordo'!F$2:F$746,"PÁTIO EXTERNO"),0)+IFERROR(SUMIFS('Base bordo'!G$2:G$746,'Base bordo'!C$2:C$746,A1376,'Base bordo'!B$2:B$746,B1376,'Base bordo'!F$2:F$746,"PATIO - RESERVA"),0)+IFERROR(SUMIFS('Base bordo'!G$2:G$746,'Base bordo'!C$2:C$746,A1376,'Base bordo'!B$2:B$746,B1376,'Base bordo'!F$2:F$746,"MANOBRA CARRETAS-PATIO"),0)</f>
        <v>4.17</v>
      </c>
      <c r="J1376" s="10">
        <f>IFERROR(SUMIFS('Base bordo'!G$2:G$746,'Base bordo'!C$2:C$746,A1376,'Base bordo'!B$2:B$746,B1376,'Base bordo'!F$2:F$746,"BALANÇA - ENTRADA"),0)+IFERROR(SUMIFS('Base bordo'!G$2:G$746,'Base bordo'!C$2:C$746,A1376,'Base bordo'!B$2:B$746,B1376,'Base bordo'!F$2:F$746,"BALANÇA - SAÍDA"),0)</f>
        <v>0.19083333333333333</v>
      </c>
      <c r="K1376" s="10">
        <f>IFERROR(SUMIFS('Base bordo'!G$2:G$746,'Base bordo'!C$2:C$746,A1376,'Base bordo'!B$2:B$746,B1376,'Base bordo'!F$2:F$746,"MAN PREVENTIVA - MECANICA"),0)+IFERROR(SUMIFS('Base bordo'!G$2:G$746,'Base bordo'!C$2:C$746,A1376,'Base bordo'!B$2:B$746,B1376,'Base bordo'!F$2:F$746,"MAN CORRETIVA - MECANICA"),0)</f>
        <v>0</v>
      </c>
      <c r="L1376" s="10">
        <f>IFERROR(SUMIFS('Base bordo'!G$2:G$746,'Base bordo'!C$2:C$746,A1376,'Base bordo'!B$2:B$746,B1376,'Base bordo'!F$2:F$746,"MANUTENCAO - T O"),0)+IFERROR(SUMIFS('Base bordo'!G$2:G$746,'Base bordo'!C$2:C$746,A1376,'Base bordo'!B$2:B$746,B1376,'Base bordo'!F$2:F$746,"MANUTENCAO BORRACHARIA"),0)+IFERROR(SUMIFS('Base bordo'!G$2:G$746,'Base bordo'!C$2:C$746,A1376,'Base bordo'!B$2:B$746,B1376,'Base bordo'!F$2:F$746,"MANUTENCAO EXTERNA  CONCESSIONARIA"),0)+IFERROR(SUMIFS('Base bordo'!G$2:G$746,'Base bordo'!C$2:C$746,A1376,'Base bordo'!B$2:B$746,B1376,'Base bordo'!F$2:F$746,"MANUTENCAO TELEMETRIA"),0)</f>
        <v>0</v>
      </c>
      <c r="M1376" s="10">
        <f>IFERROR(SUMIFS('Base bordo'!G$2:G$746,'Base bordo'!C$2:C$746,A1376,'Base bordo'!B$2:B$746,B1376,'Base bordo'!F$2:F$746,"AGUARDANDO MANUTENCAO"),0)</f>
        <v>0</v>
      </c>
      <c r="N1376" s="10">
        <f>IFERROR(SUMIFS('Base bordo'!G$2:G$746,'Base bordo'!C$2:C$746,A1376,'Base bordo'!B$2:B$746,B1376,'Base bordo'!F$2:F$746,"SEM APONTAMENTO"),0)</f>
        <v>0</v>
      </c>
      <c r="O1376" s="10">
        <f t="shared" si="138"/>
        <v>8.8817841970012523E-16</v>
      </c>
      <c r="P1376" s="10">
        <f>IFERROR(SUMIFS('Base bordo'!G$2:G$746,'Base bordo'!C$2:C$746,A1376,'Base bordo'!B$2:B$746,B1376),0)</f>
        <v>7.0738888888888898</v>
      </c>
      <c r="Q1376" s="10">
        <f>IFERROR(SUMIFS('Base bordo'!H$2:H$746,'Base bordo'!C$2:C$746,A1376,'Base bordo'!B$2:B$746,B1376,'Base bordo'!F$2:F$746,"DESLOCAMENTO VAZIO"),0)</f>
        <v>57117.96</v>
      </c>
      <c r="R1376" s="10">
        <f>IFERROR(SUMIFS('Base bordo'!I$2:I$746,'Base bordo'!C$2:C$746,A1376,'Base bordo'!B$2:B$746,B1376,'Base bordo'!F$2:F$746,"DESLOCAMENTO VAZIO"),0)</f>
        <v>2727</v>
      </c>
      <c r="S1376" s="30">
        <f t="shared" si="139"/>
        <v>20.945346534653464</v>
      </c>
      <c r="T1376" s="10">
        <f>IFERROR(SUMIFS('Base bordo'!H$2:H$746,'Base bordo'!C$2:C$746,A1376,'Base bordo'!B$2:B$746,B1376,'Base bordo'!F$2:F$746,"DESLOCAMENTO CARREGADO"),0)</f>
        <v>40859.899999999994</v>
      </c>
      <c r="U1376" s="10">
        <f>IFERROR(SUMIFS('Base bordo'!I$2:I$746,'Base bordo'!C$2:C$746,A1376,'Base bordo'!B$2:B$746,B1376,'Base bordo'!F$2:F$746,"DESLOCAMENTO CARREGADO"),0)</f>
        <v>2150</v>
      </c>
      <c r="V1376" s="30">
        <f t="shared" si="140"/>
        <v>19.004604651162786</v>
      </c>
      <c r="W1376" s="9">
        <f t="shared" si="141"/>
        <v>0.24844891227519042</v>
      </c>
      <c r="X1376" s="9">
        <f t="shared" si="142"/>
        <v>8.4426293882038789E-2</v>
      </c>
      <c r="Y1376" s="9">
        <f t="shared" si="143"/>
        <v>0.66712479384277079</v>
      </c>
    </row>
    <row r="1377" spans="1:25" ht="15" customHeight="1" x14ac:dyDescent="0.35">
      <c r="A1377" s="52">
        <v>8013485</v>
      </c>
      <c r="B1377" s="51">
        <v>46124</v>
      </c>
      <c r="C1377" s="7" t="s">
        <v>124</v>
      </c>
      <c r="D1377" s="10">
        <f>IFERROR(SUMIFS('Base bordo'!G$2:G$746,'Base bordo'!C$2:C$746,A1377,'Base bordo'!B$2:B$746,B1377,'Base bordo'!F$2:F$746,"DESLOCAMENTO VAZIO"),0)</f>
        <v>1.7575000000000001</v>
      </c>
      <c r="E1377" s="10">
        <f>IFERROR(SUMIFS('Base bordo'!G$2:G$746,'Base bordo'!C$2:C$746,A1377,'Base bordo'!B$2:B$746,B1377,'Base bordo'!F$2:F$746,"DESLOCAMENTO CARREGADO"),0)</f>
        <v>0.59722222222222221</v>
      </c>
      <c r="F1377" s="10">
        <f>IFERROR(SUMIFS('Base bordo'!G$2:G$746,'Base bordo'!C$2:C$746,A1377,'Base bordo'!B$2:B$746,B1377,'Base bordo'!F$2:F$746,"DESLOCAMENTO"),0)</f>
        <v>0</v>
      </c>
      <c r="G1377" s="10">
        <f>IFERROR(SUMIFS('Base bordo'!G$2:G$746,'Base bordo'!C$2:C$746,A1377,'Base bordo'!B$2:B$746,B1377,'Base bordo'!F$2:F$746,"CARREGAMENTO"),0)</f>
        <v>0</v>
      </c>
      <c r="H1377" s="10">
        <f>IFERROR(SUMIFS('Base bordo'!G$2:G$746,'Base bordo'!C$2:C$746,A1377,'Base bordo'!B$2:B$746,B1377,'Base bordo'!F$2:F$746,"AGUARDANDO TRANSBORDO"),0)</f>
        <v>0.35833333333333334</v>
      </c>
      <c r="I1377" s="10">
        <f>IFERROR(SUMIFS('Base bordo'!G$2:G$746,'Base bordo'!C$2:C$746,A1377,'Base bordo'!B$2:B$746,B1377,'Base bordo'!F$2:F$746,"PÁTIO INTERNO"),0)+IFERROR(SUMIFS('Base bordo'!G$2:G$746,'Base bordo'!C$2:C$746,A1377,'Base bordo'!B$2:B$746,B1377,'Base bordo'!F$2:F$746,"PÁTIO EXTERNO"),0)+IFERROR(SUMIFS('Base bordo'!G$2:G$746,'Base bordo'!C$2:C$746,A1377,'Base bordo'!B$2:B$746,B1377,'Base bordo'!F$2:F$746,"PATIO - RESERVA"),0)+IFERROR(SUMIFS('Base bordo'!G$2:G$746,'Base bordo'!C$2:C$746,A1377,'Base bordo'!B$2:B$746,B1377,'Base bordo'!F$2:F$746,"MANOBRA CARRETAS-PATIO"),0)</f>
        <v>4.17</v>
      </c>
      <c r="J1377" s="10">
        <f>IFERROR(SUMIFS('Base bordo'!G$2:G$746,'Base bordo'!C$2:C$746,A1377,'Base bordo'!B$2:B$746,B1377,'Base bordo'!F$2:F$746,"BALANÇA - ENTRADA"),0)+IFERROR(SUMIFS('Base bordo'!G$2:G$746,'Base bordo'!C$2:C$746,A1377,'Base bordo'!B$2:B$746,B1377,'Base bordo'!F$2:F$746,"BALANÇA - SAÍDA"),0)</f>
        <v>0.19083333333333333</v>
      </c>
      <c r="K1377" s="10">
        <f>IFERROR(SUMIFS('Base bordo'!G$2:G$746,'Base bordo'!C$2:C$746,A1377,'Base bordo'!B$2:B$746,B1377,'Base bordo'!F$2:F$746,"MAN PREVENTIVA - MECANICA"),0)+IFERROR(SUMIFS('Base bordo'!G$2:G$746,'Base bordo'!C$2:C$746,A1377,'Base bordo'!B$2:B$746,B1377,'Base bordo'!F$2:F$746,"MAN CORRETIVA - MECANICA"),0)</f>
        <v>0</v>
      </c>
      <c r="L1377" s="10">
        <f>IFERROR(SUMIFS('Base bordo'!G$2:G$746,'Base bordo'!C$2:C$746,A1377,'Base bordo'!B$2:B$746,B1377,'Base bordo'!F$2:F$746,"MANUTENCAO - T O"),0)+IFERROR(SUMIFS('Base bordo'!G$2:G$746,'Base bordo'!C$2:C$746,A1377,'Base bordo'!B$2:B$746,B1377,'Base bordo'!F$2:F$746,"MANUTENCAO BORRACHARIA"),0)+IFERROR(SUMIFS('Base bordo'!G$2:G$746,'Base bordo'!C$2:C$746,A1377,'Base bordo'!B$2:B$746,B1377,'Base bordo'!F$2:F$746,"MANUTENCAO EXTERNA  CONCESSIONARIA"),0)+IFERROR(SUMIFS('Base bordo'!G$2:G$746,'Base bordo'!C$2:C$746,A1377,'Base bordo'!B$2:B$746,B1377,'Base bordo'!F$2:F$746,"MANUTENCAO TELEMETRIA"),0)</f>
        <v>0</v>
      </c>
      <c r="M1377" s="10">
        <f>IFERROR(SUMIFS('Base bordo'!G$2:G$746,'Base bordo'!C$2:C$746,A1377,'Base bordo'!B$2:B$746,B1377,'Base bordo'!F$2:F$746,"AGUARDANDO MANUTENCAO"),0)</f>
        <v>0</v>
      </c>
      <c r="N1377" s="10">
        <f>IFERROR(SUMIFS('Base bordo'!G$2:G$746,'Base bordo'!C$2:C$746,A1377,'Base bordo'!B$2:B$746,B1377,'Base bordo'!F$2:F$746,"SEM APONTAMENTO"),0)</f>
        <v>0</v>
      </c>
      <c r="O1377" s="10">
        <f t="shared" si="138"/>
        <v>8.8817841970012523E-16</v>
      </c>
      <c r="P1377" s="10">
        <f>IFERROR(SUMIFS('Base bordo'!G$2:G$746,'Base bordo'!C$2:C$746,A1377,'Base bordo'!B$2:B$746,B1377),0)</f>
        <v>7.0738888888888898</v>
      </c>
      <c r="Q1377" s="10">
        <f>IFERROR(SUMIFS('Base bordo'!H$2:H$746,'Base bordo'!C$2:C$746,A1377,'Base bordo'!B$2:B$746,B1377,'Base bordo'!F$2:F$746,"DESLOCAMENTO VAZIO"),0)</f>
        <v>57117.96</v>
      </c>
      <c r="R1377" s="10">
        <f>IFERROR(SUMIFS('Base bordo'!I$2:I$746,'Base bordo'!C$2:C$746,A1377,'Base bordo'!B$2:B$746,B1377,'Base bordo'!F$2:F$746,"DESLOCAMENTO VAZIO"),0)</f>
        <v>2727</v>
      </c>
      <c r="S1377" s="30">
        <f t="shared" si="139"/>
        <v>20.945346534653464</v>
      </c>
      <c r="T1377" s="10">
        <f>IFERROR(SUMIFS('Base bordo'!H$2:H$746,'Base bordo'!C$2:C$746,A1377,'Base bordo'!B$2:B$746,B1377,'Base bordo'!F$2:F$746,"DESLOCAMENTO CARREGADO"),0)</f>
        <v>40859.899999999994</v>
      </c>
      <c r="U1377" s="10">
        <f>IFERROR(SUMIFS('Base bordo'!I$2:I$746,'Base bordo'!C$2:C$746,A1377,'Base bordo'!B$2:B$746,B1377,'Base bordo'!F$2:F$746,"DESLOCAMENTO CARREGADO"),0)</f>
        <v>2150</v>
      </c>
      <c r="V1377" s="30">
        <f t="shared" si="140"/>
        <v>19.004604651162786</v>
      </c>
      <c r="W1377" s="9">
        <f t="shared" si="141"/>
        <v>0.24844891227519042</v>
      </c>
      <c r="X1377" s="9">
        <f t="shared" si="142"/>
        <v>8.4426293882038789E-2</v>
      </c>
      <c r="Y1377" s="9">
        <f t="shared" si="143"/>
        <v>0.66712479384277079</v>
      </c>
    </row>
    <row r="1378" spans="1:25" ht="15" customHeight="1" x14ac:dyDescent="0.35">
      <c r="A1378" s="52">
        <v>8013486</v>
      </c>
      <c r="B1378" s="51">
        <v>46124</v>
      </c>
      <c r="C1378" s="7" t="s">
        <v>124</v>
      </c>
      <c r="D1378" s="10">
        <f>IFERROR(SUMIFS('Base bordo'!G$2:G$746,'Base bordo'!C$2:C$746,A1378,'Base bordo'!B$2:B$746,B1378,'Base bordo'!F$2:F$746,"DESLOCAMENTO VAZIO"),0)</f>
        <v>1.6141666666666667</v>
      </c>
      <c r="E1378" s="10">
        <f>IFERROR(SUMIFS('Base bordo'!G$2:G$746,'Base bordo'!C$2:C$746,A1378,'Base bordo'!B$2:B$746,B1378,'Base bordo'!F$2:F$746,"DESLOCAMENTO CARREGADO"),0)</f>
        <v>9.7500000000000003E-2</v>
      </c>
      <c r="F1378" s="10">
        <f>IFERROR(SUMIFS('Base bordo'!G$2:G$746,'Base bordo'!C$2:C$746,A1378,'Base bordo'!B$2:B$746,B1378,'Base bordo'!F$2:F$746,"DESLOCAMENTO"),0)</f>
        <v>0</v>
      </c>
      <c r="G1378" s="10">
        <f>IFERROR(SUMIFS('Base bordo'!G$2:G$746,'Base bordo'!C$2:C$746,A1378,'Base bordo'!B$2:B$746,B1378,'Base bordo'!F$2:F$746,"CARREGAMENTO"),0)</f>
        <v>0</v>
      </c>
      <c r="H1378" s="10">
        <f>IFERROR(SUMIFS('Base bordo'!G$2:G$746,'Base bordo'!C$2:C$746,A1378,'Base bordo'!B$2:B$746,B1378,'Base bordo'!F$2:F$746,"AGUARDANDO TRANSBORDO"),0)</f>
        <v>0.10888888888888888</v>
      </c>
      <c r="I1378" s="10">
        <f>IFERROR(SUMIFS('Base bordo'!G$2:G$746,'Base bordo'!C$2:C$746,A1378,'Base bordo'!B$2:B$746,B1378,'Base bordo'!F$2:F$746,"PÁTIO INTERNO"),0)+IFERROR(SUMIFS('Base bordo'!G$2:G$746,'Base bordo'!C$2:C$746,A1378,'Base bordo'!B$2:B$746,B1378,'Base bordo'!F$2:F$746,"PÁTIO EXTERNO"),0)+IFERROR(SUMIFS('Base bordo'!G$2:G$746,'Base bordo'!C$2:C$746,A1378,'Base bordo'!B$2:B$746,B1378,'Base bordo'!F$2:F$746,"PATIO - RESERVA"),0)+IFERROR(SUMIFS('Base bordo'!G$2:G$746,'Base bordo'!C$2:C$746,A1378,'Base bordo'!B$2:B$746,B1378,'Base bordo'!F$2:F$746,"MANOBRA CARRETAS-PATIO"),0)</f>
        <v>4.8677777777777784</v>
      </c>
      <c r="J1378" s="10">
        <f>IFERROR(SUMIFS('Base bordo'!G$2:G$746,'Base bordo'!C$2:C$746,A1378,'Base bordo'!B$2:B$746,B1378,'Base bordo'!F$2:F$746,"BALANÇA - ENTRADA"),0)+IFERROR(SUMIFS('Base bordo'!G$2:G$746,'Base bordo'!C$2:C$746,A1378,'Base bordo'!B$2:B$746,B1378,'Base bordo'!F$2:F$746,"BALANÇA - SAÍDA"),0)</f>
        <v>0.14000000000000001</v>
      </c>
      <c r="K1378" s="10">
        <f>IFERROR(SUMIFS('Base bordo'!G$2:G$746,'Base bordo'!C$2:C$746,A1378,'Base bordo'!B$2:B$746,B1378,'Base bordo'!F$2:F$746,"MAN PREVENTIVA - MECANICA"),0)+IFERROR(SUMIFS('Base bordo'!G$2:G$746,'Base bordo'!C$2:C$746,A1378,'Base bordo'!B$2:B$746,B1378,'Base bordo'!F$2:F$746,"MAN CORRETIVA - MECANICA"),0)</f>
        <v>0</v>
      </c>
      <c r="L1378" s="10">
        <f>IFERROR(SUMIFS('Base bordo'!G$2:G$746,'Base bordo'!C$2:C$746,A1378,'Base bordo'!B$2:B$746,B1378,'Base bordo'!F$2:F$746,"MANUTENCAO - T O"),0)+IFERROR(SUMIFS('Base bordo'!G$2:G$746,'Base bordo'!C$2:C$746,A1378,'Base bordo'!B$2:B$746,B1378,'Base bordo'!F$2:F$746,"MANUTENCAO BORRACHARIA"),0)+IFERROR(SUMIFS('Base bordo'!G$2:G$746,'Base bordo'!C$2:C$746,A1378,'Base bordo'!B$2:B$746,B1378,'Base bordo'!F$2:F$746,"MANUTENCAO EXTERNA  CONCESSIONARIA"),0)+IFERROR(SUMIFS('Base bordo'!G$2:G$746,'Base bordo'!C$2:C$746,A1378,'Base bordo'!B$2:B$746,B1378,'Base bordo'!F$2:F$746,"MANUTENCAO TELEMETRIA"),0)</f>
        <v>0</v>
      </c>
      <c r="M1378" s="10">
        <f>IFERROR(SUMIFS('Base bordo'!G$2:G$746,'Base bordo'!C$2:C$746,A1378,'Base bordo'!B$2:B$746,B1378,'Base bordo'!F$2:F$746,"AGUARDANDO MANUTENCAO"),0)</f>
        <v>0</v>
      </c>
      <c r="N1378" s="10">
        <f>IFERROR(SUMIFS('Base bordo'!G$2:G$746,'Base bordo'!C$2:C$746,A1378,'Base bordo'!B$2:B$746,B1378,'Base bordo'!F$2:F$746,"SEM APONTAMENTO"),0)</f>
        <v>0</v>
      </c>
      <c r="O1378" s="10">
        <f t="shared" si="138"/>
        <v>1.4722222222222747E-2</v>
      </c>
      <c r="P1378" s="10">
        <f>IFERROR(SUMIFS('Base bordo'!G$2:G$746,'Base bordo'!C$2:C$746,A1378,'Base bordo'!B$2:B$746,B1378),0)</f>
        <v>6.8430555555555568</v>
      </c>
      <c r="Q1378" s="10">
        <f>IFERROR(SUMIFS('Base bordo'!H$2:H$746,'Base bordo'!C$2:C$746,A1378,'Base bordo'!B$2:B$746,B1378,'Base bordo'!F$2:F$746,"DESLOCAMENTO VAZIO"),0)</f>
        <v>181720.6</v>
      </c>
      <c r="R1378" s="10">
        <f>IFERROR(SUMIFS('Base bordo'!I$2:I$746,'Base bordo'!C$2:C$746,A1378,'Base bordo'!B$2:B$746,B1378,'Base bordo'!F$2:F$746,"DESLOCAMENTO VAZIO"),0)</f>
        <v>5811</v>
      </c>
      <c r="S1378" s="30">
        <f t="shared" si="139"/>
        <v>31.271829289278955</v>
      </c>
      <c r="T1378" s="10">
        <f>IFERROR(SUMIFS('Base bordo'!H$2:H$746,'Base bordo'!C$2:C$746,A1378,'Base bordo'!B$2:B$746,B1378,'Base bordo'!F$2:F$746,"DESLOCAMENTO CARREGADO"),0)</f>
        <v>2571.7599999999998</v>
      </c>
      <c r="U1378" s="10">
        <f>IFERROR(SUMIFS('Base bordo'!I$2:I$746,'Base bordo'!C$2:C$746,A1378,'Base bordo'!B$2:B$746,B1378,'Base bordo'!F$2:F$746,"DESLOCAMENTO CARREGADO"),0)</f>
        <v>332</v>
      </c>
      <c r="V1378" s="30">
        <f t="shared" si="140"/>
        <v>7.7462650602409635</v>
      </c>
      <c r="W1378" s="9">
        <f t="shared" si="141"/>
        <v>0.23588390501319259</v>
      </c>
      <c r="X1378" s="9">
        <f t="shared" si="142"/>
        <v>1.4248021108179418E-2</v>
      </c>
      <c r="Y1378" s="9">
        <f t="shared" si="143"/>
        <v>0.74986807387862808</v>
      </c>
    </row>
    <row r="1379" spans="1:25" ht="15" customHeight="1" x14ac:dyDescent="0.35">
      <c r="A1379" s="52">
        <v>8013486</v>
      </c>
      <c r="B1379" s="51">
        <v>46124</v>
      </c>
      <c r="C1379" s="7" t="s">
        <v>124</v>
      </c>
      <c r="D1379" s="10">
        <f>IFERROR(SUMIFS('Base bordo'!G$2:G$746,'Base bordo'!C$2:C$746,A1379,'Base bordo'!B$2:B$746,B1379,'Base bordo'!F$2:F$746,"DESLOCAMENTO VAZIO"),0)</f>
        <v>1.6141666666666667</v>
      </c>
      <c r="E1379" s="10">
        <f>IFERROR(SUMIFS('Base bordo'!G$2:G$746,'Base bordo'!C$2:C$746,A1379,'Base bordo'!B$2:B$746,B1379,'Base bordo'!F$2:F$746,"DESLOCAMENTO CARREGADO"),0)</f>
        <v>9.7500000000000003E-2</v>
      </c>
      <c r="F1379" s="10">
        <f>IFERROR(SUMIFS('Base bordo'!G$2:G$746,'Base bordo'!C$2:C$746,A1379,'Base bordo'!B$2:B$746,B1379,'Base bordo'!F$2:F$746,"DESLOCAMENTO"),0)</f>
        <v>0</v>
      </c>
      <c r="G1379" s="10">
        <f>IFERROR(SUMIFS('Base bordo'!G$2:G$746,'Base bordo'!C$2:C$746,A1379,'Base bordo'!B$2:B$746,B1379,'Base bordo'!F$2:F$746,"CARREGAMENTO"),0)</f>
        <v>0</v>
      </c>
      <c r="H1379" s="10">
        <f>IFERROR(SUMIFS('Base bordo'!G$2:G$746,'Base bordo'!C$2:C$746,A1379,'Base bordo'!B$2:B$746,B1379,'Base bordo'!F$2:F$746,"AGUARDANDO TRANSBORDO"),0)</f>
        <v>0.10888888888888888</v>
      </c>
      <c r="I1379" s="10">
        <f>IFERROR(SUMIFS('Base bordo'!G$2:G$746,'Base bordo'!C$2:C$746,A1379,'Base bordo'!B$2:B$746,B1379,'Base bordo'!F$2:F$746,"PÁTIO INTERNO"),0)+IFERROR(SUMIFS('Base bordo'!G$2:G$746,'Base bordo'!C$2:C$746,A1379,'Base bordo'!B$2:B$746,B1379,'Base bordo'!F$2:F$746,"PÁTIO EXTERNO"),0)+IFERROR(SUMIFS('Base bordo'!G$2:G$746,'Base bordo'!C$2:C$746,A1379,'Base bordo'!B$2:B$746,B1379,'Base bordo'!F$2:F$746,"PATIO - RESERVA"),0)+IFERROR(SUMIFS('Base bordo'!G$2:G$746,'Base bordo'!C$2:C$746,A1379,'Base bordo'!B$2:B$746,B1379,'Base bordo'!F$2:F$746,"MANOBRA CARRETAS-PATIO"),0)</f>
        <v>4.8677777777777784</v>
      </c>
      <c r="J1379" s="10">
        <f>IFERROR(SUMIFS('Base bordo'!G$2:G$746,'Base bordo'!C$2:C$746,A1379,'Base bordo'!B$2:B$746,B1379,'Base bordo'!F$2:F$746,"BALANÇA - ENTRADA"),0)+IFERROR(SUMIFS('Base bordo'!G$2:G$746,'Base bordo'!C$2:C$746,A1379,'Base bordo'!B$2:B$746,B1379,'Base bordo'!F$2:F$746,"BALANÇA - SAÍDA"),0)</f>
        <v>0.14000000000000001</v>
      </c>
      <c r="K1379" s="10">
        <f>IFERROR(SUMIFS('Base bordo'!G$2:G$746,'Base bordo'!C$2:C$746,A1379,'Base bordo'!B$2:B$746,B1379,'Base bordo'!F$2:F$746,"MAN PREVENTIVA - MECANICA"),0)+IFERROR(SUMIFS('Base bordo'!G$2:G$746,'Base bordo'!C$2:C$746,A1379,'Base bordo'!B$2:B$746,B1379,'Base bordo'!F$2:F$746,"MAN CORRETIVA - MECANICA"),0)</f>
        <v>0</v>
      </c>
      <c r="L1379" s="10">
        <f>IFERROR(SUMIFS('Base bordo'!G$2:G$746,'Base bordo'!C$2:C$746,A1379,'Base bordo'!B$2:B$746,B1379,'Base bordo'!F$2:F$746,"MANUTENCAO - T O"),0)+IFERROR(SUMIFS('Base bordo'!G$2:G$746,'Base bordo'!C$2:C$746,A1379,'Base bordo'!B$2:B$746,B1379,'Base bordo'!F$2:F$746,"MANUTENCAO BORRACHARIA"),0)+IFERROR(SUMIFS('Base bordo'!G$2:G$746,'Base bordo'!C$2:C$746,A1379,'Base bordo'!B$2:B$746,B1379,'Base bordo'!F$2:F$746,"MANUTENCAO EXTERNA  CONCESSIONARIA"),0)+IFERROR(SUMIFS('Base bordo'!G$2:G$746,'Base bordo'!C$2:C$746,A1379,'Base bordo'!B$2:B$746,B1379,'Base bordo'!F$2:F$746,"MANUTENCAO TELEMETRIA"),0)</f>
        <v>0</v>
      </c>
      <c r="M1379" s="10">
        <f>IFERROR(SUMIFS('Base bordo'!G$2:G$746,'Base bordo'!C$2:C$746,A1379,'Base bordo'!B$2:B$746,B1379,'Base bordo'!F$2:F$746,"AGUARDANDO MANUTENCAO"),0)</f>
        <v>0</v>
      </c>
      <c r="N1379" s="10">
        <f>IFERROR(SUMIFS('Base bordo'!G$2:G$746,'Base bordo'!C$2:C$746,A1379,'Base bordo'!B$2:B$746,B1379,'Base bordo'!F$2:F$746,"SEM APONTAMENTO"),0)</f>
        <v>0</v>
      </c>
      <c r="O1379" s="10">
        <f t="shared" si="138"/>
        <v>1.4722222222222747E-2</v>
      </c>
      <c r="P1379" s="10">
        <f>IFERROR(SUMIFS('Base bordo'!G$2:G$746,'Base bordo'!C$2:C$746,A1379,'Base bordo'!B$2:B$746,B1379),0)</f>
        <v>6.8430555555555568</v>
      </c>
      <c r="Q1379" s="10">
        <f>IFERROR(SUMIFS('Base bordo'!H$2:H$746,'Base bordo'!C$2:C$746,A1379,'Base bordo'!B$2:B$746,B1379,'Base bordo'!F$2:F$746,"DESLOCAMENTO VAZIO"),0)</f>
        <v>181720.6</v>
      </c>
      <c r="R1379" s="10">
        <f>IFERROR(SUMIFS('Base bordo'!I$2:I$746,'Base bordo'!C$2:C$746,A1379,'Base bordo'!B$2:B$746,B1379,'Base bordo'!F$2:F$746,"DESLOCAMENTO VAZIO"),0)</f>
        <v>5811</v>
      </c>
      <c r="S1379" s="30">
        <f t="shared" si="139"/>
        <v>31.271829289278955</v>
      </c>
      <c r="T1379" s="10">
        <f>IFERROR(SUMIFS('Base bordo'!H$2:H$746,'Base bordo'!C$2:C$746,A1379,'Base bordo'!B$2:B$746,B1379,'Base bordo'!F$2:F$746,"DESLOCAMENTO CARREGADO"),0)</f>
        <v>2571.7599999999998</v>
      </c>
      <c r="U1379" s="10">
        <f>IFERROR(SUMIFS('Base bordo'!I$2:I$746,'Base bordo'!C$2:C$746,A1379,'Base bordo'!B$2:B$746,B1379,'Base bordo'!F$2:F$746,"DESLOCAMENTO CARREGADO"),0)</f>
        <v>332</v>
      </c>
      <c r="V1379" s="30">
        <f t="shared" si="140"/>
        <v>7.7462650602409635</v>
      </c>
      <c r="W1379" s="9">
        <f t="shared" si="141"/>
        <v>0.23588390501319259</v>
      </c>
      <c r="X1379" s="9">
        <f t="shared" si="142"/>
        <v>1.4248021108179418E-2</v>
      </c>
      <c r="Y1379" s="9">
        <f t="shared" si="143"/>
        <v>0.74986807387862808</v>
      </c>
    </row>
    <row r="1380" spans="1:25" ht="15" customHeight="1" x14ac:dyDescent="0.35">
      <c r="A1380" s="52">
        <v>8013486</v>
      </c>
      <c r="B1380" s="51">
        <v>46124</v>
      </c>
      <c r="C1380" s="7" t="s">
        <v>124</v>
      </c>
      <c r="D1380" s="10">
        <f>IFERROR(SUMIFS('Base bordo'!G$2:G$746,'Base bordo'!C$2:C$746,A1380,'Base bordo'!B$2:B$746,B1380,'Base bordo'!F$2:F$746,"DESLOCAMENTO VAZIO"),0)</f>
        <v>1.6141666666666667</v>
      </c>
      <c r="E1380" s="10">
        <f>IFERROR(SUMIFS('Base bordo'!G$2:G$746,'Base bordo'!C$2:C$746,A1380,'Base bordo'!B$2:B$746,B1380,'Base bordo'!F$2:F$746,"DESLOCAMENTO CARREGADO"),0)</f>
        <v>9.7500000000000003E-2</v>
      </c>
      <c r="F1380" s="10">
        <f>IFERROR(SUMIFS('Base bordo'!G$2:G$746,'Base bordo'!C$2:C$746,A1380,'Base bordo'!B$2:B$746,B1380,'Base bordo'!F$2:F$746,"DESLOCAMENTO"),0)</f>
        <v>0</v>
      </c>
      <c r="G1380" s="10">
        <f>IFERROR(SUMIFS('Base bordo'!G$2:G$746,'Base bordo'!C$2:C$746,A1380,'Base bordo'!B$2:B$746,B1380,'Base bordo'!F$2:F$746,"CARREGAMENTO"),0)</f>
        <v>0</v>
      </c>
      <c r="H1380" s="10">
        <f>IFERROR(SUMIFS('Base bordo'!G$2:G$746,'Base bordo'!C$2:C$746,A1380,'Base bordo'!B$2:B$746,B1380,'Base bordo'!F$2:F$746,"AGUARDANDO TRANSBORDO"),0)</f>
        <v>0.10888888888888888</v>
      </c>
      <c r="I1380" s="10">
        <f>IFERROR(SUMIFS('Base bordo'!G$2:G$746,'Base bordo'!C$2:C$746,A1380,'Base bordo'!B$2:B$746,B1380,'Base bordo'!F$2:F$746,"PÁTIO INTERNO"),0)+IFERROR(SUMIFS('Base bordo'!G$2:G$746,'Base bordo'!C$2:C$746,A1380,'Base bordo'!B$2:B$746,B1380,'Base bordo'!F$2:F$746,"PÁTIO EXTERNO"),0)+IFERROR(SUMIFS('Base bordo'!G$2:G$746,'Base bordo'!C$2:C$746,A1380,'Base bordo'!B$2:B$746,B1380,'Base bordo'!F$2:F$746,"PATIO - RESERVA"),0)+IFERROR(SUMIFS('Base bordo'!G$2:G$746,'Base bordo'!C$2:C$746,A1380,'Base bordo'!B$2:B$746,B1380,'Base bordo'!F$2:F$746,"MANOBRA CARRETAS-PATIO"),0)</f>
        <v>4.8677777777777784</v>
      </c>
      <c r="J1380" s="10">
        <f>IFERROR(SUMIFS('Base bordo'!G$2:G$746,'Base bordo'!C$2:C$746,A1380,'Base bordo'!B$2:B$746,B1380,'Base bordo'!F$2:F$746,"BALANÇA - ENTRADA"),0)+IFERROR(SUMIFS('Base bordo'!G$2:G$746,'Base bordo'!C$2:C$746,A1380,'Base bordo'!B$2:B$746,B1380,'Base bordo'!F$2:F$746,"BALANÇA - SAÍDA"),0)</f>
        <v>0.14000000000000001</v>
      </c>
      <c r="K1380" s="10">
        <f>IFERROR(SUMIFS('Base bordo'!G$2:G$746,'Base bordo'!C$2:C$746,A1380,'Base bordo'!B$2:B$746,B1380,'Base bordo'!F$2:F$746,"MAN PREVENTIVA - MECANICA"),0)+IFERROR(SUMIFS('Base bordo'!G$2:G$746,'Base bordo'!C$2:C$746,A1380,'Base bordo'!B$2:B$746,B1380,'Base bordo'!F$2:F$746,"MAN CORRETIVA - MECANICA"),0)</f>
        <v>0</v>
      </c>
      <c r="L1380" s="10">
        <f>IFERROR(SUMIFS('Base bordo'!G$2:G$746,'Base bordo'!C$2:C$746,A1380,'Base bordo'!B$2:B$746,B1380,'Base bordo'!F$2:F$746,"MANUTENCAO - T O"),0)+IFERROR(SUMIFS('Base bordo'!G$2:G$746,'Base bordo'!C$2:C$746,A1380,'Base bordo'!B$2:B$746,B1380,'Base bordo'!F$2:F$746,"MANUTENCAO BORRACHARIA"),0)+IFERROR(SUMIFS('Base bordo'!G$2:G$746,'Base bordo'!C$2:C$746,A1380,'Base bordo'!B$2:B$746,B1380,'Base bordo'!F$2:F$746,"MANUTENCAO EXTERNA  CONCESSIONARIA"),0)+IFERROR(SUMIFS('Base bordo'!G$2:G$746,'Base bordo'!C$2:C$746,A1380,'Base bordo'!B$2:B$746,B1380,'Base bordo'!F$2:F$746,"MANUTENCAO TELEMETRIA"),0)</f>
        <v>0</v>
      </c>
      <c r="M1380" s="10">
        <f>IFERROR(SUMIFS('Base bordo'!G$2:G$746,'Base bordo'!C$2:C$746,A1380,'Base bordo'!B$2:B$746,B1380,'Base bordo'!F$2:F$746,"AGUARDANDO MANUTENCAO"),0)</f>
        <v>0</v>
      </c>
      <c r="N1380" s="10">
        <f>IFERROR(SUMIFS('Base bordo'!G$2:G$746,'Base bordo'!C$2:C$746,A1380,'Base bordo'!B$2:B$746,B1380,'Base bordo'!F$2:F$746,"SEM APONTAMENTO"),0)</f>
        <v>0</v>
      </c>
      <c r="O1380" s="10">
        <f t="shared" si="138"/>
        <v>1.4722222222222747E-2</v>
      </c>
      <c r="P1380" s="10">
        <f>IFERROR(SUMIFS('Base bordo'!G$2:G$746,'Base bordo'!C$2:C$746,A1380,'Base bordo'!B$2:B$746,B1380),0)</f>
        <v>6.8430555555555568</v>
      </c>
      <c r="Q1380" s="10">
        <f>IFERROR(SUMIFS('Base bordo'!H$2:H$746,'Base bordo'!C$2:C$746,A1380,'Base bordo'!B$2:B$746,B1380,'Base bordo'!F$2:F$746,"DESLOCAMENTO VAZIO"),0)</f>
        <v>181720.6</v>
      </c>
      <c r="R1380" s="10">
        <f>IFERROR(SUMIFS('Base bordo'!I$2:I$746,'Base bordo'!C$2:C$746,A1380,'Base bordo'!B$2:B$746,B1380,'Base bordo'!F$2:F$746,"DESLOCAMENTO VAZIO"),0)</f>
        <v>5811</v>
      </c>
      <c r="S1380" s="30">
        <f t="shared" si="139"/>
        <v>31.271829289278955</v>
      </c>
      <c r="T1380" s="10">
        <f>IFERROR(SUMIFS('Base bordo'!H$2:H$746,'Base bordo'!C$2:C$746,A1380,'Base bordo'!B$2:B$746,B1380,'Base bordo'!F$2:F$746,"DESLOCAMENTO CARREGADO"),0)</f>
        <v>2571.7599999999998</v>
      </c>
      <c r="U1380" s="10">
        <f>IFERROR(SUMIFS('Base bordo'!I$2:I$746,'Base bordo'!C$2:C$746,A1380,'Base bordo'!B$2:B$746,B1380,'Base bordo'!F$2:F$746,"DESLOCAMENTO CARREGADO"),0)</f>
        <v>332</v>
      </c>
      <c r="V1380" s="30">
        <f t="shared" si="140"/>
        <v>7.7462650602409635</v>
      </c>
      <c r="W1380" s="9">
        <f t="shared" si="141"/>
        <v>0.23588390501319259</v>
      </c>
      <c r="X1380" s="9">
        <f t="shared" si="142"/>
        <v>1.4248021108179418E-2</v>
      </c>
      <c r="Y1380" s="9">
        <f t="shared" si="143"/>
        <v>0.74986807387862808</v>
      </c>
    </row>
    <row r="1381" spans="1:25" ht="15" customHeight="1" x14ac:dyDescent="0.35">
      <c r="A1381" s="52">
        <v>8013486</v>
      </c>
      <c r="B1381" s="51">
        <v>46124</v>
      </c>
      <c r="C1381" s="7" t="s">
        <v>124</v>
      </c>
      <c r="D1381" s="10">
        <f>IFERROR(SUMIFS('Base bordo'!G$2:G$746,'Base bordo'!C$2:C$746,A1381,'Base bordo'!B$2:B$746,B1381,'Base bordo'!F$2:F$746,"DESLOCAMENTO VAZIO"),0)</f>
        <v>1.6141666666666667</v>
      </c>
      <c r="E1381" s="10">
        <f>IFERROR(SUMIFS('Base bordo'!G$2:G$746,'Base bordo'!C$2:C$746,A1381,'Base bordo'!B$2:B$746,B1381,'Base bordo'!F$2:F$746,"DESLOCAMENTO CARREGADO"),0)</f>
        <v>9.7500000000000003E-2</v>
      </c>
      <c r="F1381" s="10">
        <f>IFERROR(SUMIFS('Base bordo'!G$2:G$746,'Base bordo'!C$2:C$746,A1381,'Base bordo'!B$2:B$746,B1381,'Base bordo'!F$2:F$746,"DESLOCAMENTO"),0)</f>
        <v>0</v>
      </c>
      <c r="G1381" s="10">
        <f>IFERROR(SUMIFS('Base bordo'!G$2:G$746,'Base bordo'!C$2:C$746,A1381,'Base bordo'!B$2:B$746,B1381,'Base bordo'!F$2:F$746,"CARREGAMENTO"),0)</f>
        <v>0</v>
      </c>
      <c r="H1381" s="10">
        <f>IFERROR(SUMIFS('Base bordo'!G$2:G$746,'Base bordo'!C$2:C$746,A1381,'Base bordo'!B$2:B$746,B1381,'Base bordo'!F$2:F$746,"AGUARDANDO TRANSBORDO"),0)</f>
        <v>0.10888888888888888</v>
      </c>
      <c r="I1381" s="10">
        <f>IFERROR(SUMIFS('Base bordo'!G$2:G$746,'Base bordo'!C$2:C$746,A1381,'Base bordo'!B$2:B$746,B1381,'Base bordo'!F$2:F$746,"PÁTIO INTERNO"),0)+IFERROR(SUMIFS('Base bordo'!G$2:G$746,'Base bordo'!C$2:C$746,A1381,'Base bordo'!B$2:B$746,B1381,'Base bordo'!F$2:F$746,"PÁTIO EXTERNO"),0)+IFERROR(SUMIFS('Base bordo'!G$2:G$746,'Base bordo'!C$2:C$746,A1381,'Base bordo'!B$2:B$746,B1381,'Base bordo'!F$2:F$746,"PATIO - RESERVA"),0)+IFERROR(SUMIFS('Base bordo'!G$2:G$746,'Base bordo'!C$2:C$746,A1381,'Base bordo'!B$2:B$746,B1381,'Base bordo'!F$2:F$746,"MANOBRA CARRETAS-PATIO"),0)</f>
        <v>4.8677777777777784</v>
      </c>
      <c r="J1381" s="10">
        <f>IFERROR(SUMIFS('Base bordo'!G$2:G$746,'Base bordo'!C$2:C$746,A1381,'Base bordo'!B$2:B$746,B1381,'Base bordo'!F$2:F$746,"BALANÇA - ENTRADA"),0)+IFERROR(SUMIFS('Base bordo'!G$2:G$746,'Base bordo'!C$2:C$746,A1381,'Base bordo'!B$2:B$746,B1381,'Base bordo'!F$2:F$746,"BALANÇA - SAÍDA"),0)</f>
        <v>0.14000000000000001</v>
      </c>
      <c r="K1381" s="10">
        <f>IFERROR(SUMIFS('Base bordo'!G$2:G$746,'Base bordo'!C$2:C$746,A1381,'Base bordo'!B$2:B$746,B1381,'Base bordo'!F$2:F$746,"MAN PREVENTIVA - MECANICA"),0)+IFERROR(SUMIFS('Base bordo'!G$2:G$746,'Base bordo'!C$2:C$746,A1381,'Base bordo'!B$2:B$746,B1381,'Base bordo'!F$2:F$746,"MAN CORRETIVA - MECANICA"),0)</f>
        <v>0</v>
      </c>
      <c r="L1381" s="10">
        <f>IFERROR(SUMIFS('Base bordo'!G$2:G$746,'Base bordo'!C$2:C$746,A1381,'Base bordo'!B$2:B$746,B1381,'Base bordo'!F$2:F$746,"MANUTENCAO - T O"),0)+IFERROR(SUMIFS('Base bordo'!G$2:G$746,'Base bordo'!C$2:C$746,A1381,'Base bordo'!B$2:B$746,B1381,'Base bordo'!F$2:F$746,"MANUTENCAO BORRACHARIA"),0)+IFERROR(SUMIFS('Base bordo'!G$2:G$746,'Base bordo'!C$2:C$746,A1381,'Base bordo'!B$2:B$746,B1381,'Base bordo'!F$2:F$746,"MANUTENCAO EXTERNA  CONCESSIONARIA"),0)+IFERROR(SUMIFS('Base bordo'!G$2:G$746,'Base bordo'!C$2:C$746,A1381,'Base bordo'!B$2:B$746,B1381,'Base bordo'!F$2:F$746,"MANUTENCAO TELEMETRIA"),0)</f>
        <v>0</v>
      </c>
      <c r="M1381" s="10">
        <f>IFERROR(SUMIFS('Base bordo'!G$2:G$746,'Base bordo'!C$2:C$746,A1381,'Base bordo'!B$2:B$746,B1381,'Base bordo'!F$2:F$746,"AGUARDANDO MANUTENCAO"),0)</f>
        <v>0</v>
      </c>
      <c r="N1381" s="10">
        <f>IFERROR(SUMIFS('Base bordo'!G$2:G$746,'Base bordo'!C$2:C$746,A1381,'Base bordo'!B$2:B$746,B1381,'Base bordo'!F$2:F$746,"SEM APONTAMENTO"),0)</f>
        <v>0</v>
      </c>
      <c r="O1381" s="10">
        <f t="shared" si="138"/>
        <v>1.4722222222222747E-2</v>
      </c>
      <c r="P1381" s="10">
        <f>IFERROR(SUMIFS('Base bordo'!G$2:G$746,'Base bordo'!C$2:C$746,A1381,'Base bordo'!B$2:B$746,B1381),0)</f>
        <v>6.8430555555555568</v>
      </c>
      <c r="Q1381" s="10">
        <f>IFERROR(SUMIFS('Base bordo'!H$2:H$746,'Base bordo'!C$2:C$746,A1381,'Base bordo'!B$2:B$746,B1381,'Base bordo'!F$2:F$746,"DESLOCAMENTO VAZIO"),0)</f>
        <v>181720.6</v>
      </c>
      <c r="R1381" s="10">
        <f>IFERROR(SUMIFS('Base bordo'!I$2:I$746,'Base bordo'!C$2:C$746,A1381,'Base bordo'!B$2:B$746,B1381,'Base bordo'!F$2:F$746,"DESLOCAMENTO VAZIO"),0)</f>
        <v>5811</v>
      </c>
      <c r="S1381" s="30">
        <f t="shared" si="139"/>
        <v>31.271829289278955</v>
      </c>
      <c r="T1381" s="10">
        <f>IFERROR(SUMIFS('Base bordo'!H$2:H$746,'Base bordo'!C$2:C$746,A1381,'Base bordo'!B$2:B$746,B1381,'Base bordo'!F$2:F$746,"DESLOCAMENTO CARREGADO"),0)</f>
        <v>2571.7599999999998</v>
      </c>
      <c r="U1381" s="10">
        <f>IFERROR(SUMIFS('Base bordo'!I$2:I$746,'Base bordo'!C$2:C$746,A1381,'Base bordo'!B$2:B$746,B1381,'Base bordo'!F$2:F$746,"DESLOCAMENTO CARREGADO"),0)</f>
        <v>332</v>
      </c>
      <c r="V1381" s="30">
        <f t="shared" si="140"/>
        <v>7.7462650602409635</v>
      </c>
      <c r="W1381" s="9">
        <f t="shared" si="141"/>
        <v>0.23588390501319259</v>
      </c>
      <c r="X1381" s="9">
        <f t="shared" si="142"/>
        <v>1.4248021108179418E-2</v>
      </c>
      <c r="Y1381" s="9">
        <f t="shared" si="143"/>
        <v>0.74986807387862808</v>
      </c>
    </row>
    <row r="1382" spans="1:25" ht="15" customHeight="1" x14ac:dyDescent="0.35">
      <c r="A1382" s="52">
        <v>8013486</v>
      </c>
      <c r="B1382" s="51">
        <v>46124</v>
      </c>
      <c r="C1382" s="7" t="s">
        <v>124</v>
      </c>
      <c r="D1382" s="10">
        <f>IFERROR(SUMIFS('Base bordo'!G$2:G$746,'Base bordo'!C$2:C$746,A1382,'Base bordo'!B$2:B$746,B1382,'Base bordo'!F$2:F$746,"DESLOCAMENTO VAZIO"),0)</f>
        <v>1.6141666666666667</v>
      </c>
      <c r="E1382" s="10">
        <f>IFERROR(SUMIFS('Base bordo'!G$2:G$746,'Base bordo'!C$2:C$746,A1382,'Base bordo'!B$2:B$746,B1382,'Base bordo'!F$2:F$746,"DESLOCAMENTO CARREGADO"),0)</f>
        <v>9.7500000000000003E-2</v>
      </c>
      <c r="F1382" s="10">
        <f>IFERROR(SUMIFS('Base bordo'!G$2:G$746,'Base bordo'!C$2:C$746,A1382,'Base bordo'!B$2:B$746,B1382,'Base bordo'!F$2:F$746,"DESLOCAMENTO"),0)</f>
        <v>0</v>
      </c>
      <c r="G1382" s="10">
        <f>IFERROR(SUMIFS('Base bordo'!G$2:G$746,'Base bordo'!C$2:C$746,A1382,'Base bordo'!B$2:B$746,B1382,'Base bordo'!F$2:F$746,"CARREGAMENTO"),0)</f>
        <v>0</v>
      </c>
      <c r="H1382" s="10">
        <f>IFERROR(SUMIFS('Base bordo'!G$2:G$746,'Base bordo'!C$2:C$746,A1382,'Base bordo'!B$2:B$746,B1382,'Base bordo'!F$2:F$746,"AGUARDANDO TRANSBORDO"),0)</f>
        <v>0.10888888888888888</v>
      </c>
      <c r="I1382" s="10">
        <f>IFERROR(SUMIFS('Base bordo'!G$2:G$746,'Base bordo'!C$2:C$746,A1382,'Base bordo'!B$2:B$746,B1382,'Base bordo'!F$2:F$746,"PÁTIO INTERNO"),0)+IFERROR(SUMIFS('Base bordo'!G$2:G$746,'Base bordo'!C$2:C$746,A1382,'Base bordo'!B$2:B$746,B1382,'Base bordo'!F$2:F$746,"PÁTIO EXTERNO"),0)+IFERROR(SUMIFS('Base bordo'!G$2:G$746,'Base bordo'!C$2:C$746,A1382,'Base bordo'!B$2:B$746,B1382,'Base bordo'!F$2:F$746,"PATIO - RESERVA"),0)+IFERROR(SUMIFS('Base bordo'!G$2:G$746,'Base bordo'!C$2:C$746,A1382,'Base bordo'!B$2:B$746,B1382,'Base bordo'!F$2:F$746,"MANOBRA CARRETAS-PATIO"),0)</f>
        <v>4.8677777777777784</v>
      </c>
      <c r="J1382" s="10">
        <f>IFERROR(SUMIFS('Base bordo'!G$2:G$746,'Base bordo'!C$2:C$746,A1382,'Base bordo'!B$2:B$746,B1382,'Base bordo'!F$2:F$746,"BALANÇA - ENTRADA"),0)+IFERROR(SUMIFS('Base bordo'!G$2:G$746,'Base bordo'!C$2:C$746,A1382,'Base bordo'!B$2:B$746,B1382,'Base bordo'!F$2:F$746,"BALANÇA - SAÍDA"),0)</f>
        <v>0.14000000000000001</v>
      </c>
      <c r="K1382" s="10">
        <f>IFERROR(SUMIFS('Base bordo'!G$2:G$746,'Base bordo'!C$2:C$746,A1382,'Base bordo'!B$2:B$746,B1382,'Base bordo'!F$2:F$746,"MAN PREVENTIVA - MECANICA"),0)+IFERROR(SUMIFS('Base bordo'!G$2:G$746,'Base bordo'!C$2:C$746,A1382,'Base bordo'!B$2:B$746,B1382,'Base bordo'!F$2:F$746,"MAN CORRETIVA - MECANICA"),0)</f>
        <v>0</v>
      </c>
      <c r="L1382" s="10">
        <f>IFERROR(SUMIFS('Base bordo'!G$2:G$746,'Base bordo'!C$2:C$746,A1382,'Base bordo'!B$2:B$746,B1382,'Base bordo'!F$2:F$746,"MANUTENCAO - T O"),0)+IFERROR(SUMIFS('Base bordo'!G$2:G$746,'Base bordo'!C$2:C$746,A1382,'Base bordo'!B$2:B$746,B1382,'Base bordo'!F$2:F$746,"MANUTENCAO BORRACHARIA"),0)+IFERROR(SUMIFS('Base bordo'!G$2:G$746,'Base bordo'!C$2:C$746,A1382,'Base bordo'!B$2:B$746,B1382,'Base bordo'!F$2:F$746,"MANUTENCAO EXTERNA  CONCESSIONARIA"),0)+IFERROR(SUMIFS('Base bordo'!G$2:G$746,'Base bordo'!C$2:C$746,A1382,'Base bordo'!B$2:B$746,B1382,'Base bordo'!F$2:F$746,"MANUTENCAO TELEMETRIA"),0)</f>
        <v>0</v>
      </c>
      <c r="M1382" s="10">
        <f>IFERROR(SUMIFS('Base bordo'!G$2:G$746,'Base bordo'!C$2:C$746,A1382,'Base bordo'!B$2:B$746,B1382,'Base bordo'!F$2:F$746,"AGUARDANDO MANUTENCAO"),0)</f>
        <v>0</v>
      </c>
      <c r="N1382" s="10">
        <f>IFERROR(SUMIFS('Base bordo'!G$2:G$746,'Base bordo'!C$2:C$746,A1382,'Base bordo'!B$2:B$746,B1382,'Base bordo'!F$2:F$746,"SEM APONTAMENTO"),0)</f>
        <v>0</v>
      </c>
      <c r="O1382" s="10">
        <f t="shared" si="138"/>
        <v>1.4722222222222747E-2</v>
      </c>
      <c r="P1382" s="10">
        <f>IFERROR(SUMIFS('Base bordo'!G$2:G$746,'Base bordo'!C$2:C$746,A1382,'Base bordo'!B$2:B$746,B1382),0)</f>
        <v>6.8430555555555568</v>
      </c>
      <c r="Q1382" s="10">
        <f>IFERROR(SUMIFS('Base bordo'!H$2:H$746,'Base bordo'!C$2:C$746,A1382,'Base bordo'!B$2:B$746,B1382,'Base bordo'!F$2:F$746,"DESLOCAMENTO VAZIO"),0)</f>
        <v>181720.6</v>
      </c>
      <c r="R1382" s="10">
        <f>IFERROR(SUMIFS('Base bordo'!I$2:I$746,'Base bordo'!C$2:C$746,A1382,'Base bordo'!B$2:B$746,B1382,'Base bordo'!F$2:F$746,"DESLOCAMENTO VAZIO"),0)</f>
        <v>5811</v>
      </c>
      <c r="S1382" s="30">
        <f t="shared" si="139"/>
        <v>31.271829289278955</v>
      </c>
      <c r="T1382" s="10">
        <f>IFERROR(SUMIFS('Base bordo'!H$2:H$746,'Base bordo'!C$2:C$746,A1382,'Base bordo'!B$2:B$746,B1382,'Base bordo'!F$2:F$746,"DESLOCAMENTO CARREGADO"),0)</f>
        <v>2571.7599999999998</v>
      </c>
      <c r="U1382" s="10">
        <f>IFERROR(SUMIFS('Base bordo'!I$2:I$746,'Base bordo'!C$2:C$746,A1382,'Base bordo'!B$2:B$746,B1382,'Base bordo'!F$2:F$746,"DESLOCAMENTO CARREGADO"),0)</f>
        <v>332</v>
      </c>
      <c r="V1382" s="30">
        <f t="shared" si="140"/>
        <v>7.7462650602409635</v>
      </c>
      <c r="W1382" s="9">
        <f t="shared" si="141"/>
        <v>0.23588390501319259</v>
      </c>
      <c r="X1382" s="9">
        <f t="shared" si="142"/>
        <v>1.4248021108179418E-2</v>
      </c>
      <c r="Y1382" s="9">
        <f t="shared" si="143"/>
        <v>0.74986807387862808</v>
      </c>
    </row>
    <row r="1383" spans="1:25" ht="15" customHeight="1" x14ac:dyDescent="0.35">
      <c r="A1383" s="52">
        <v>8013486</v>
      </c>
      <c r="B1383" s="51">
        <v>46124</v>
      </c>
      <c r="C1383" s="7" t="s">
        <v>124</v>
      </c>
      <c r="D1383" s="10">
        <f>IFERROR(SUMIFS('Base bordo'!G$2:G$746,'Base bordo'!C$2:C$746,A1383,'Base bordo'!B$2:B$746,B1383,'Base bordo'!F$2:F$746,"DESLOCAMENTO VAZIO"),0)</f>
        <v>1.6141666666666667</v>
      </c>
      <c r="E1383" s="10">
        <f>IFERROR(SUMIFS('Base bordo'!G$2:G$746,'Base bordo'!C$2:C$746,A1383,'Base bordo'!B$2:B$746,B1383,'Base bordo'!F$2:F$746,"DESLOCAMENTO CARREGADO"),0)</f>
        <v>9.7500000000000003E-2</v>
      </c>
      <c r="F1383" s="10">
        <f>IFERROR(SUMIFS('Base bordo'!G$2:G$746,'Base bordo'!C$2:C$746,A1383,'Base bordo'!B$2:B$746,B1383,'Base bordo'!F$2:F$746,"DESLOCAMENTO"),0)</f>
        <v>0</v>
      </c>
      <c r="G1383" s="10">
        <f>IFERROR(SUMIFS('Base bordo'!G$2:G$746,'Base bordo'!C$2:C$746,A1383,'Base bordo'!B$2:B$746,B1383,'Base bordo'!F$2:F$746,"CARREGAMENTO"),0)</f>
        <v>0</v>
      </c>
      <c r="H1383" s="10">
        <f>IFERROR(SUMIFS('Base bordo'!G$2:G$746,'Base bordo'!C$2:C$746,A1383,'Base bordo'!B$2:B$746,B1383,'Base bordo'!F$2:F$746,"AGUARDANDO TRANSBORDO"),0)</f>
        <v>0.10888888888888888</v>
      </c>
      <c r="I1383" s="10">
        <f>IFERROR(SUMIFS('Base bordo'!G$2:G$746,'Base bordo'!C$2:C$746,A1383,'Base bordo'!B$2:B$746,B1383,'Base bordo'!F$2:F$746,"PÁTIO INTERNO"),0)+IFERROR(SUMIFS('Base bordo'!G$2:G$746,'Base bordo'!C$2:C$746,A1383,'Base bordo'!B$2:B$746,B1383,'Base bordo'!F$2:F$746,"PÁTIO EXTERNO"),0)+IFERROR(SUMIFS('Base bordo'!G$2:G$746,'Base bordo'!C$2:C$746,A1383,'Base bordo'!B$2:B$746,B1383,'Base bordo'!F$2:F$746,"PATIO - RESERVA"),0)+IFERROR(SUMIFS('Base bordo'!G$2:G$746,'Base bordo'!C$2:C$746,A1383,'Base bordo'!B$2:B$746,B1383,'Base bordo'!F$2:F$746,"MANOBRA CARRETAS-PATIO"),0)</f>
        <v>4.8677777777777784</v>
      </c>
      <c r="J1383" s="10">
        <f>IFERROR(SUMIFS('Base bordo'!G$2:G$746,'Base bordo'!C$2:C$746,A1383,'Base bordo'!B$2:B$746,B1383,'Base bordo'!F$2:F$746,"BALANÇA - ENTRADA"),0)+IFERROR(SUMIFS('Base bordo'!G$2:G$746,'Base bordo'!C$2:C$746,A1383,'Base bordo'!B$2:B$746,B1383,'Base bordo'!F$2:F$746,"BALANÇA - SAÍDA"),0)</f>
        <v>0.14000000000000001</v>
      </c>
      <c r="K1383" s="10">
        <f>IFERROR(SUMIFS('Base bordo'!G$2:G$746,'Base bordo'!C$2:C$746,A1383,'Base bordo'!B$2:B$746,B1383,'Base bordo'!F$2:F$746,"MAN PREVENTIVA - MECANICA"),0)+IFERROR(SUMIFS('Base bordo'!G$2:G$746,'Base bordo'!C$2:C$746,A1383,'Base bordo'!B$2:B$746,B1383,'Base bordo'!F$2:F$746,"MAN CORRETIVA - MECANICA"),0)</f>
        <v>0</v>
      </c>
      <c r="L1383" s="10">
        <f>IFERROR(SUMIFS('Base bordo'!G$2:G$746,'Base bordo'!C$2:C$746,A1383,'Base bordo'!B$2:B$746,B1383,'Base bordo'!F$2:F$746,"MANUTENCAO - T O"),0)+IFERROR(SUMIFS('Base bordo'!G$2:G$746,'Base bordo'!C$2:C$746,A1383,'Base bordo'!B$2:B$746,B1383,'Base bordo'!F$2:F$746,"MANUTENCAO BORRACHARIA"),0)+IFERROR(SUMIFS('Base bordo'!G$2:G$746,'Base bordo'!C$2:C$746,A1383,'Base bordo'!B$2:B$746,B1383,'Base bordo'!F$2:F$746,"MANUTENCAO EXTERNA  CONCESSIONARIA"),0)+IFERROR(SUMIFS('Base bordo'!G$2:G$746,'Base bordo'!C$2:C$746,A1383,'Base bordo'!B$2:B$746,B1383,'Base bordo'!F$2:F$746,"MANUTENCAO TELEMETRIA"),0)</f>
        <v>0</v>
      </c>
      <c r="M1383" s="10">
        <f>IFERROR(SUMIFS('Base bordo'!G$2:G$746,'Base bordo'!C$2:C$746,A1383,'Base bordo'!B$2:B$746,B1383,'Base bordo'!F$2:F$746,"AGUARDANDO MANUTENCAO"),0)</f>
        <v>0</v>
      </c>
      <c r="N1383" s="10">
        <f>IFERROR(SUMIFS('Base bordo'!G$2:G$746,'Base bordo'!C$2:C$746,A1383,'Base bordo'!B$2:B$746,B1383,'Base bordo'!F$2:F$746,"SEM APONTAMENTO"),0)</f>
        <v>0</v>
      </c>
      <c r="O1383" s="10">
        <f t="shared" si="138"/>
        <v>1.4722222222222747E-2</v>
      </c>
      <c r="P1383" s="10">
        <f>IFERROR(SUMIFS('Base bordo'!G$2:G$746,'Base bordo'!C$2:C$746,A1383,'Base bordo'!B$2:B$746,B1383),0)</f>
        <v>6.8430555555555568</v>
      </c>
      <c r="Q1383" s="10">
        <f>IFERROR(SUMIFS('Base bordo'!H$2:H$746,'Base bordo'!C$2:C$746,A1383,'Base bordo'!B$2:B$746,B1383,'Base bordo'!F$2:F$746,"DESLOCAMENTO VAZIO"),0)</f>
        <v>181720.6</v>
      </c>
      <c r="R1383" s="10">
        <f>IFERROR(SUMIFS('Base bordo'!I$2:I$746,'Base bordo'!C$2:C$746,A1383,'Base bordo'!B$2:B$746,B1383,'Base bordo'!F$2:F$746,"DESLOCAMENTO VAZIO"),0)</f>
        <v>5811</v>
      </c>
      <c r="S1383" s="30">
        <f t="shared" si="139"/>
        <v>31.271829289278955</v>
      </c>
      <c r="T1383" s="10">
        <f>IFERROR(SUMIFS('Base bordo'!H$2:H$746,'Base bordo'!C$2:C$746,A1383,'Base bordo'!B$2:B$746,B1383,'Base bordo'!F$2:F$746,"DESLOCAMENTO CARREGADO"),0)</f>
        <v>2571.7599999999998</v>
      </c>
      <c r="U1383" s="10">
        <f>IFERROR(SUMIFS('Base bordo'!I$2:I$746,'Base bordo'!C$2:C$746,A1383,'Base bordo'!B$2:B$746,B1383,'Base bordo'!F$2:F$746,"DESLOCAMENTO CARREGADO"),0)</f>
        <v>332</v>
      </c>
      <c r="V1383" s="30">
        <f t="shared" si="140"/>
        <v>7.7462650602409635</v>
      </c>
      <c r="W1383" s="9">
        <f t="shared" si="141"/>
        <v>0.23588390501319259</v>
      </c>
      <c r="X1383" s="9">
        <f t="shared" si="142"/>
        <v>1.4248021108179418E-2</v>
      </c>
      <c r="Y1383" s="9">
        <f t="shared" si="143"/>
        <v>0.74986807387862808</v>
      </c>
    </row>
    <row r="1384" spans="1:25" ht="15" customHeight="1" x14ac:dyDescent="0.35">
      <c r="A1384" s="52">
        <v>8013460</v>
      </c>
      <c r="B1384" s="51">
        <v>46116</v>
      </c>
      <c r="C1384" s="7" t="s">
        <v>124</v>
      </c>
      <c r="D1384" s="10">
        <f>IFERROR(SUMIFS('Base bordo'!G$2:G$746,'Base bordo'!C$2:C$746,A1384,'Base bordo'!B$2:B$746,B1384,'Base bordo'!F$2:F$746,"DESLOCAMENTO VAZIO"),0)</f>
        <v>2.9722222222222223E-2</v>
      </c>
      <c r="E1384" s="10">
        <f>IFERROR(SUMIFS('Base bordo'!G$2:G$746,'Base bordo'!C$2:C$746,A1384,'Base bordo'!B$2:B$746,B1384,'Base bordo'!F$2:F$746,"DESLOCAMENTO CARREGADO"),0)</f>
        <v>0</v>
      </c>
      <c r="F1384" s="10">
        <f>IFERROR(SUMIFS('Base bordo'!G$2:G$746,'Base bordo'!C$2:C$746,A1384,'Base bordo'!B$2:B$746,B1384,'Base bordo'!F$2:F$746,"DESLOCAMENTO"),0)</f>
        <v>0</v>
      </c>
      <c r="G1384" s="10">
        <f>IFERROR(SUMIFS('Base bordo'!G$2:G$746,'Base bordo'!C$2:C$746,A1384,'Base bordo'!B$2:B$746,B1384,'Base bordo'!F$2:F$746,"CARREGAMENTO"),0)</f>
        <v>0</v>
      </c>
      <c r="H1384" s="10">
        <f>IFERROR(SUMIFS('Base bordo'!G$2:G$746,'Base bordo'!C$2:C$746,A1384,'Base bordo'!B$2:B$746,B1384,'Base bordo'!F$2:F$746,"AGUARDANDO TRANSBORDO"),0)</f>
        <v>0</v>
      </c>
      <c r="I1384" s="10">
        <f>IFERROR(SUMIFS('Base bordo'!G$2:G$746,'Base bordo'!C$2:C$746,A1384,'Base bordo'!B$2:B$746,B1384,'Base bordo'!F$2:F$746,"PÁTIO INTERNO"),0)+IFERROR(SUMIFS('Base bordo'!G$2:G$746,'Base bordo'!C$2:C$746,A1384,'Base bordo'!B$2:B$746,B1384,'Base bordo'!F$2:F$746,"PÁTIO EXTERNO"),0)+IFERROR(SUMIFS('Base bordo'!G$2:G$746,'Base bordo'!C$2:C$746,A1384,'Base bordo'!B$2:B$746,B1384,'Base bordo'!F$2:F$746,"PATIO - RESERVA"),0)+IFERROR(SUMIFS('Base bordo'!G$2:G$746,'Base bordo'!C$2:C$746,A1384,'Base bordo'!B$2:B$746,B1384,'Base bordo'!F$2:F$746,"MANOBRA CARRETAS-PATIO"),0)</f>
        <v>0</v>
      </c>
      <c r="J1384" s="10">
        <f>IFERROR(SUMIFS('Base bordo'!G$2:G$746,'Base bordo'!C$2:C$746,A1384,'Base bordo'!B$2:B$746,B1384,'Base bordo'!F$2:F$746,"BALANÇA - ENTRADA"),0)+IFERROR(SUMIFS('Base bordo'!G$2:G$746,'Base bordo'!C$2:C$746,A1384,'Base bordo'!B$2:B$746,B1384,'Base bordo'!F$2:F$746,"BALANÇA - SAÍDA"),0)</f>
        <v>0</v>
      </c>
      <c r="K1384" s="10">
        <f>IFERROR(SUMIFS('Base bordo'!G$2:G$746,'Base bordo'!C$2:C$746,A1384,'Base bordo'!B$2:B$746,B1384,'Base bordo'!F$2:F$746,"MAN PREVENTIVA - MECANICA"),0)+IFERROR(SUMIFS('Base bordo'!G$2:G$746,'Base bordo'!C$2:C$746,A1384,'Base bordo'!B$2:B$746,B1384,'Base bordo'!F$2:F$746,"MAN CORRETIVA - MECANICA"),0)</f>
        <v>0</v>
      </c>
      <c r="L1384" s="10">
        <f>IFERROR(SUMIFS('Base bordo'!G$2:G$746,'Base bordo'!C$2:C$746,A1384,'Base bordo'!B$2:B$746,B1384,'Base bordo'!F$2:F$746,"MANUTENCAO - T O"),0)+IFERROR(SUMIFS('Base bordo'!G$2:G$746,'Base bordo'!C$2:C$746,A1384,'Base bordo'!B$2:B$746,B1384,'Base bordo'!F$2:F$746,"MANUTENCAO BORRACHARIA"),0)+IFERROR(SUMIFS('Base bordo'!G$2:G$746,'Base bordo'!C$2:C$746,A1384,'Base bordo'!B$2:B$746,B1384,'Base bordo'!F$2:F$746,"MANUTENCAO EXTERNA  CONCESSIONARIA"),0)+IFERROR(SUMIFS('Base bordo'!G$2:G$746,'Base bordo'!C$2:C$746,A1384,'Base bordo'!B$2:B$746,B1384,'Base bordo'!F$2:F$746,"MANUTENCAO TELEMETRIA"),0)</f>
        <v>4.5788888888888888</v>
      </c>
      <c r="M1384" s="10">
        <f>IFERROR(SUMIFS('Base bordo'!G$2:G$746,'Base bordo'!C$2:C$746,A1384,'Base bordo'!B$2:B$746,B1384,'Base bordo'!F$2:F$746,"AGUARDANDO MANUTENCAO"),0)</f>
        <v>0</v>
      </c>
      <c r="N1384" s="10">
        <f>IFERROR(SUMIFS('Base bordo'!G$2:G$746,'Base bordo'!C$2:C$746,A1384,'Base bordo'!B$2:B$746,B1384,'Base bordo'!F$2:F$746,"SEM APONTAMENTO"),0)</f>
        <v>0</v>
      </c>
      <c r="O1384" s="10">
        <f t="shared" si="138"/>
        <v>0</v>
      </c>
      <c r="P1384" s="10">
        <f>IFERROR(SUMIFS('Base bordo'!G$2:G$746,'Base bordo'!C$2:C$746,A1384,'Base bordo'!B$2:B$746,B1384),0)</f>
        <v>4.6086111111111112</v>
      </c>
      <c r="Q1384" s="10">
        <f>IFERROR(SUMIFS('Base bordo'!H$2:H$746,'Base bordo'!C$2:C$746,A1384,'Base bordo'!B$2:B$746,B1384,'Base bordo'!F$2:F$746,"DESLOCAMENTO VAZIO"),0)</f>
        <v>601.34</v>
      </c>
      <c r="R1384" s="10">
        <f>IFERROR(SUMIFS('Base bordo'!I$2:I$746,'Base bordo'!C$2:C$746,A1384,'Base bordo'!B$2:B$746,B1384,'Base bordo'!F$2:F$746,"DESLOCAMENTO VAZIO"),0)</f>
        <v>107</v>
      </c>
      <c r="S1384" s="30">
        <f t="shared" si="139"/>
        <v>5.62</v>
      </c>
      <c r="T1384" s="10">
        <f>IFERROR(SUMIFS('Base bordo'!H$2:H$746,'Base bordo'!C$2:C$746,A1384,'Base bordo'!B$2:B$746,B1384,'Base bordo'!F$2:F$746,"DESLOCAMENTO CARREGADO"),0)</f>
        <v>0</v>
      </c>
      <c r="U1384" s="10">
        <f>IFERROR(SUMIFS('Base bordo'!I$2:I$746,'Base bordo'!C$2:C$746,A1384,'Base bordo'!B$2:B$746,B1384,'Base bordo'!F$2:F$746,"DESLOCAMENTO CARREGADO"),0)</f>
        <v>0</v>
      </c>
      <c r="V1384" s="30" t="str">
        <f t="shared" si="140"/>
        <v/>
      </c>
      <c r="W1384" s="9">
        <f t="shared" si="141"/>
        <v>6.4492797299740825E-3</v>
      </c>
      <c r="X1384" s="9">
        <f t="shared" si="142"/>
        <v>0</v>
      </c>
      <c r="Y1384" s="9">
        <f t="shared" si="143"/>
        <v>0.99355072027002589</v>
      </c>
    </row>
    <row r="1385" spans="1:25" ht="15" customHeight="1" x14ac:dyDescent="0.35">
      <c r="A1385" s="52">
        <v>8013460</v>
      </c>
      <c r="B1385" s="51">
        <v>46116</v>
      </c>
      <c r="C1385" s="7" t="s">
        <v>124</v>
      </c>
      <c r="D1385" s="10">
        <f>IFERROR(SUMIFS('Base bordo'!G$2:G$746,'Base bordo'!C$2:C$746,A1385,'Base bordo'!B$2:B$746,B1385,'Base bordo'!F$2:F$746,"DESLOCAMENTO VAZIO"),0)</f>
        <v>2.9722222222222223E-2</v>
      </c>
      <c r="E1385" s="10">
        <f>IFERROR(SUMIFS('Base bordo'!G$2:G$746,'Base bordo'!C$2:C$746,A1385,'Base bordo'!B$2:B$746,B1385,'Base bordo'!F$2:F$746,"DESLOCAMENTO CARREGADO"),0)</f>
        <v>0</v>
      </c>
      <c r="F1385" s="10">
        <f>IFERROR(SUMIFS('Base bordo'!G$2:G$746,'Base bordo'!C$2:C$746,A1385,'Base bordo'!B$2:B$746,B1385,'Base bordo'!F$2:F$746,"DESLOCAMENTO"),0)</f>
        <v>0</v>
      </c>
      <c r="G1385" s="10">
        <f>IFERROR(SUMIFS('Base bordo'!G$2:G$746,'Base bordo'!C$2:C$746,A1385,'Base bordo'!B$2:B$746,B1385,'Base bordo'!F$2:F$746,"CARREGAMENTO"),0)</f>
        <v>0</v>
      </c>
      <c r="H1385" s="10">
        <f>IFERROR(SUMIFS('Base bordo'!G$2:G$746,'Base bordo'!C$2:C$746,A1385,'Base bordo'!B$2:B$746,B1385,'Base bordo'!F$2:F$746,"AGUARDANDO TRANSBORDO"),0)</f>
        <v>0</v>
      </c>
      <c r="I1385" s="10">
        <f>IFERROR(SUMIFS('Base bordo'!G$2:G$746,'Base bordo'!C$2:C$746,A1385,'Base bordo'!B$2:B$746,B1385,'Base bordo'!F$2:F$746,"PÁTIO INTERNO"),0)+IFERROR(SUMIFS('Base bordo'!G$2:G$746,'Base bordo'!C$2:C$746,A1385,'Base bordo'!B$2:B$746,B1385,'Base bordo'!F$2:F$746,"PÁTIO EXTERNO"),0)+IFERROR(SUMIFS('Base bordo'!G$2:G$746,'Base bordo'!C$2:C$746,A1385,'Base bordo'!B$2:B$746,B1385,'Base bordo'!F$2:F$746,"PATIO - RESERVA"),0)+IFERROR(SUMIFS('Base bordo'!G$2:G$746,'Base bordo'!C$2:C$746,A1385,'Base bordo'!B$2:B$746,B1385,'Base bordo'!F$2:F$746,"MANOBRA CARRETAS-PATIO"),0)</f>
        <v>0</v>
      </c>
      <c r="J1385" s="10">
        <f>IFERROR(SUMIFS('Base bordo'!G$2:G$746,'Base bordo'!C$2:C$746,A1385,'Base bordo'!B$2:B$746,B1385,'Base bordo'!F$2:F$746,"BALANÇA - ENTRADA"),0)+IFERROR(SUMIFS('Base bordo'!G$2:G$746,'Base bordo'!C$2:C$746,A1385,'Base bordo'!B$2:B$746,B1385,'Base bordo'!F$2:F$746,"BALANÇA - SAÍDA"),0)</f>
        <v>0</v>
      </c>
      <c r="K1385" s="10">
        <f>IFERROR(SUMIFS('Base bordo'!G$2:G$746,'Base bordo'!C$2:C$746,A1385,'Base bordo'!B$2:B$746,B1385,'Base bordo'!F$2:F$746,"MAN PREVENTIVA - MECANICA"),0)+IFERROR(SUMIFS('Base bordo'!G$2:G$746,'Base bordo'!C$2:C$746,A1385,'Base bordo'!B$2:B$746,B1385,'Base bordo'!F$2:F$746,"MAN CORRETIVA - MECANICA"),0)</f>
        <v>0</v>
      </c>
      <c r="L1385" s="10">
        <f>IFERROR(SUMIFS('Base bordo'!G$2:G$746,'Base bordo'!C$2:C$746,A1385,'Base bordo'!B$2:B$746,B1385,'Base bordo'!F$2:F$746,"MANUTENCAO - T O"),0)+IFERROR(SUMIFS('Base bordo'!G$2:G$746,'Base bordo'!C$2:C$746,A1385,'Base bordo'!B$2:B$746,B1385,'Base bordo'!F$2:F$746,"MANUTENCAO BORRACHARIA"),0)+IFERROR(SUMIFS('Base bordo'!G$2:G$746,'Base bordo'!C$2:C$746,A1385,'Base bordo'!B$2:B$746,B1385,'Base bordo'!F$2:F$746,"MANUTENCAO EXTERNA  CONCESSIONARIA"),0)+IFERROR(SUMIFS('Base bordo'!G$2:G$746,'Base bordo'!C$2:C$746,A1385,'Base bordo'!B$2:B$746,B1385,'Base bordo'!F$2:F$746,"MANUTENCAO TELEMETRIA"),0)</f>
        <v>4.5788888888888888</v>
      </c>
      <c r="M1385" s="10">
        <f>IFERROR(SUMIFS('Base bordo'!G$2:G$746,'Base bordo'!C$2:C$746,A1385,'Base bordo'!B$2:B$746,B1385,'Base bordo'!F$2:F$746,"AGUARDANDO MANUTENCAO"),0)</f>
        <v>0</v>
      </c>
      <c r="N1385" s="10">
        <f>IFERROR(SUMIFS('Base bordo'!G$2:G$746,'Base bordo'!C$2:C$746,A1385,'Base bordo'!B$2:B$746,B1385,'Base bordo'!F$2:F$746,"SEM APONTAMENTO"),0)</f>
        <v>0</v>
      </c>
      <c r="O1385" s="10">
        <f t="shared" si="138"/>
        <v>0</v>
      </c>
      <c r="P1385" s="10">
        <f>IFERROR(SUMIFS('Base bordo'!G$2:G$746,'Base bordo'!C$2:C$746,A1385,'Base bordo'!B$2:B$746,B1385),0)</f>
        <v>4.6086111111111112</v>
      </c>
      <c r="Q1385" s="10">
        <f>IFERROR(SUMIFS('Base bordo'!H$2:H$746,'Base bordo'!C$2:C$746,A1385,'Base bordo'!B$2:B$746,B1385,'Base bordo'!F$2:F$746,"DESLOCAMENTO VAZIO"),0)</f>
        <v>601.34</v>
      </c>
      <c r="R1385" s="10">
        <f>IFERROR(SUMIFS('Base bordo'!I$2:I$746,'Base bordo'!C$2:C$746,A1385,'Base bordo'!B$2:B$746,B1385,'Base bordo'!F$2:F$746,"DESLOCAMENTO VAZIO"),0)</f>
        <v>107</v>
      </c>
      <c r="S1385" s="30">
        <f t="shared" si="139"/>
        <v>5.62</v>
      </c>
      <c r="T1385" s="10">
        <f>IFERROR(SUMIFS('Base bordo'!H$2:H$746,'Base bordo'!C$2:C$746,A1385,'Base bordo'!B$2:B$746,B1385,'Base bordo'!F$2:F$746,"DESLOCAMENTO CARREGADO"),0)</f>
        <v>0</v>
      </c>
      <c r="U1385" s="10">
        <f>IFERROR(SUMIFS('Base bordo'!I$2:I$746,'Base bordo'!C$2:C$746,A1385,'Base bordo'!B$2:B$746,B1385,'Base bordo'!F$2:F$746,"DESLOCAMENTO CARREGADO"),0)</f>
        <v>0</v>
      </c>
      <c r="V1385" s="30" t="str">
        <f t="shared" si="140"/>
        <v/>
      </c>
      <c r="W1385" s="9">
        <f t="shared" si="141"/>
        <v>6.4492797299740825E-3</v>
      </c>
      <c r="X1385" s="9">
        <f t="shared" si="142"/>
        <v>0</v>
      </c>
      <c r="Y1385" s="9">
        <f t="shared" si="143"/>
        <v>0.99355072027002589</v>
      </c>
    </row>
    <row r="1386" spans="1:25" ht="15" customHeight="1" x14ac:dyDescent="0.35">
      <c r="A1386" s="52">
        <v>8013465</v>
      </c>
      <c r="B1386" s="51">
        <v>46116</v>
      </c>
      <c r="C1386" s="7" t="s">
        <v>124</v>
      </c>
      <c r="D1386" s="10">
        <f>IFERROR(SUMIFS('Base bordo'!G$2:G$746,'Base bordo'!C$2:C$746,A1386,'Base bordo'!B$2:B$746,B1386,'Base bordo'!F$2:F$746,"DESLOCAMENTO VAZIO"),0)</f>
        <v>4.0833333333333333E-2</v>
      </c>
      <c r="E1386" s="10">
        <f>IFERROR(SUMIFS('Base bordo'!G$2:G$746,'Base bordo'!C$2:C$746,A1386,'Base bordo'!B$2:B$746,B1386,'Base bordo'!F$2:F$746,"DESLOCAMENTO CARREGADO"),0)</f>
        <v>0</v>
      </c>
      <c r="F1386" s="10">
        <f>IFERROR(SUMIFS('Base bordo'!G$2:G$746,'Base bordo'!C$2:C$746,A1386,'Base bordo'!B$2:B$746,B1386,'Base bordo'!F$2:F$746,"DESLOCAMENTO"),0)</f>
        <v>1.1111111111111112E-2</v>
      </c>
      <c r="G1386" s="10">
        <f>IFERROR(SUMIFS('Base bordo'!G$2:G$746,'Base bordo'!C$2:C$746,A1386,'Base bordo'!B$2:B$746,B1386,'Base bordo'!F$2:F$746,"CARREGAMENTO"),0)</f>
        <v>0</v>
      </c>
      <c r="H1386" s="10">
        <f>IFERROR(SUMIFS('Base bordo'!G$2:G$746,'Base bordo'!C$2:C$746,A1386,'Base bordo'!B$2:B$746,B1386,'Base bordo'!F$2:F$746,"AGUARDANDO TRANSBORDO"),0)</f>
        <v>0</v>
      </c>
      <c r="I1386" s="10">
        <f>IFERROR(SUMIFS('Base bordo'!G$2:G$746,'Base bordo'!C$2:C$746,A1386,'Base bordo'!B$2:B$746,B1386,'Base bordo'!F$2:F$746,"PÁTIO INTERNO"),0)+IFERROR(SUMIFS('Base bordo'!G$2:G$746,'Base bordo'!C$2:C$746,A1386,'Base bordo'!B$2:B$746,B1386,'Base bordo'!F$2:F$746,"PÁTIO EXTERNO"),0)+IFERROR(SUMIFS('Base bordo'!G$2:G$746,'Base bordo'!C$2:C$746,A1386,'Base bordo'!B$2:B$746,B1386,'Base bordo'!F$2:F$746,"PATIO - RESERVA"),0)+IFERROR(SUMIFS('Base bordo'!G$2:G$746,'Base bordo'!C$2:C$746,A1386,'Base bordo'!B$2:B$746,B1386,'Base bordo'!F$2:F$746,"MANOBRA CARRETAS-PATIO"),0)</f>
        <v>0</v>
      </c>
      <c r="J1386" s="10">
        <f>IFERROR(SUMIFS('Base bordo'!G$2:G$746,'Base bordo'!C$2:C$746,A1386,'Base bordo'!B$2:B$746,B1386,'Base bordo'!F$2:F$746,"BALANÇA - ENTRADA"),0)+IFERROR(SUMIFS('Base bordo'!G$2:G$746,'Base bordo'!C$2:C$746,A1386,'Base bordo'!B$2:B$746,B1386,'Base bordo'!F$2:F$746,"BALANÇA - SAÍDA"),0)</f>
        <v>0</v>
      </c>
      <c r="K1386" s="10">
        <f>IFERROR(SUMIFS('Base bordo'!G$2:G$746,'Base bordo'!C$2:C$746,A1386,'Base bordo'!B$2:B$746,B1386,'Base bordo'!F$2:F$746,"MAN PREVENTIVA - MECANICA"),0)+IFERROR(SUMIFS('Base bordo'!G$2:G$746,'Base bordo'!C$2:C$746,A1386,'Base bordo'!B$2:B$746,B1386,'Base bordo'!F$2:F$746,"MAN CORRETIVA - MECANICA"),0)</f>
        <v>0</v>
      </c>
      <c r="L1386" s="10">
        <f>IFERROR(SUMIFS('Base bordo'!G$2:G$746,'Base bordo'!C$2:C$746,A1386,'Base bordo'!B$2:B$746,B1386,'Base bordo'!F$2:F$746,"MANUTENCAO - T O"),0)+IFERROR(SUMIFS('Base bordo'!G$2:G$746,'Base bordo'!C$2:C$746,A1386,'Base bordo'!B$2:B$746,B1386,'Base bordo'!F$2:F$746,"MANUTENCAO BORRACHARIA"),0)+IFERROR(SUMIFS('Base bordo'!G$2:G$746,'Base bordo'!C$2:C$746,A1386,'Base bordo'!B$2:B$746,B1386,'Base bordo'!F$2:F$746,"MANUTENCAO EXTERNA  CONCESSIONARIA"),0)+IFERROR(SUMIFS('Base bordo'!G$2:G$746,'Base bordo'!C$2:C$746,A1386,'Base bordo'!B$2:B$746,B1386,'Base bordo'!F$2:F$746,"MANUTENCAO TELEMETRIA"),0)</f>
        <v>4.1519444444444442</v>
      </c>
      <c r="M1386" s="10">
        <f>IFERROR(SUMIFS('Base bordo'!G$2:G$746,'Base bordo'!C$2:C$746,A1386,'Base bordo'!B$2:B$746,B1386,'Base bordo'!F$2:F$746,"AGUARDANDO MANUTENCAO"),0)</f>
        <v>0</v>
      </c>
      <c r="N1386" s="10">
        <f>IFERROR(SUMIFS('Base bordo'!G$2:G$746,'Base bordo'!C$2:C$746,A1386,'Base bordo'!B$2:B$746,B1386,'Base bordo'!F$2:F$746,"SEM APONTAMENTO"),0)</f>
        <v>0</v>
      </c>
      <c r="O1386" s="10">
        <f t="shared" si="138"/>
        <v>0</v>
      </c>
      <c r="P1386" s="10">
        <f>IFERROR(SUMIFS('Base bordo'!G$2:G$746,'Base bordo'!C$2:C$746,A1386,'Base bordo'!B$2:B$746,B1386),0)</f>
        <v>4.2038888888888888</v>
      </c>
      <c r="Q1386" s="10">
        <f>IFERROR(SUMIFS('Base bordo'!H$2:H$746,'Base bordo'!C$2:C$746,A1386,'Base bordo'!B$2:B$746,B1386,'Base bordo'!F$2:F$746,"DESLOCAMENTO VAZIO"),0)</f>
        <v>435.12</v>
      </c>
      <c r="R1386" s="10">
        <f>IFERROR(SUMIFS('Base bordo'!I$2:I$746,'Base bordo'!C$2:C$746,A1386,'Base bordo'!B$2:B$746,B1386,'Base bordo'!F$2:F$746,"DESLOCAMENTO VAZIO"),0)</f>
        <v>147</v>
      </c>
      <c r="S1386" s="30">
        <f t="shared" si="139"/>
        <v>2.96</v>
      </c>
      <c r="T1386" s="10">
        <f>IFERROR(SUMIFS('Base bordo'!H$2:H$746,'Base bordo'!C$2:C$746,A1386,'Base bordo'!B$2:B$746,B1386,'Base bordo'!F$2:F$746,"DESLOCAMENTO CARREGADO"),0)</f>
        <v>0</v>
      </c>
      <c r="U1386" s="10">
        <f>IFERROR(SUMIFS('Base bordo'!I$2:I$746,'Base bordo'!C$2:C$746,A1386,'Base bordo'!B$2:B$746,B1386,'Base bordo'!F$2:F$746,"DESLOCAMENTO CARREGADO"),0)</f>
        <v>0</v>
      </c>
      <c r="V1386" s="30" t="str">
        <f t="shared" si="140"/>
        <v/>
      </c>
      <c r="W1386" s="9">
        <f t="shared" si="141"/>
        <v>9.7132284921369102E-3</v>
      </c>
      <c r="X1386" s="9">
        <f t="shared" si="142"/>
        <v>0</v>
      </c>
      <c r="Y1386" s="9">
        <f t="shared" si="143"/>
        <v>0.99028677150786304</v>
      </c>
    </row>
    <row r="1387" spans="1:25" ht="15" customHeight="1" x14ac:dyDescent="0.35">
      <c r="A1387" s="52">
        <v>8013465</v>
      </c>
      <c r="B1387" s="51">
        <v>46116</v>
      </c>
      <c r="C1387" s="7" t="s">
        <v>124</v>
      </c>
      <c r="D1387" s="10">
        <f>IFERROR(SUMIFS('Base bordo'!G$2:G$746,'Base bordo'!C$2:C$746,A1387,'Base bordo'!B$2:B$746,B1387,'Base bordo'!F$2:F$746,"DESLOCAMENTO VAZIO"),0)</f>
        <v>4.0833333333333333E-2</v>
      </c>
      <c r="E1387" s="10">
        <f>IFERROR(SUMIFS('Base bordo'!G$2:G$746,'Base bordo'!C$2:C$746,A1387,'Base bordo'!B$2:B$746,B1387,'Base bordo'!F$2:F$746,"DESLOCAMENTO CARREGADO"),0)</f>
        <v>0</v>
      </c>
      <c r="F1387" s="10">
        <f>IFERROR(SUMIFS('Base bordo'!G$2:G$746,'Base bordo'!C$2:C$746,A1387,'Base bordo'!B$2:B$746,B1387,'Base bordo'!F$2:F$746,"DESLOCAMENTO"),0)</f>
        <v>1.1111111111111112E-2</v>
      </c>
      <c r="G1387" s="10">
        <f>IFERROR(SUMIFS('Base bordo'!G$2:G$746,'Base bordo'!C$2:C$746,A1387,'Base bordo'!B$2:B$746,B1387,'Base bordo'!F$2:F$746,"CARREGAMENTO"),0)</f>
        <v>0</v>
      </c>
      <c r="H1387" s="10">
        <f>IFERROR(SUMIFS('Base bordo'!G$2:G$746,'Base bordo'!C$2:C$746,A1387,'Base bordo'!B$2:B$746,B1387,'Base bordo'!F$2:F$746,"AGUARDANDO TRANSBORDO"),0)</f>
        <v>0</v>
      </c>
      <c r="I1387" s="10">
        <f>IFERROR(SUMIFS('Base bordo'!G$2:G$746,'Base bordo'!C$2:C$746,A1387,'Base bordo'!B$2:B$746,B1387,'Base bordo'!F$2:F$746,"PÁTIO INTERNO"),0)+IFERROR(SUMIFS('Base bordo'!G$2:G$746,'Base bordo'!C$2:C$746,A1387,'Base bordo'!B$2:B$746,B1387,'Base bordo'!F$2:F$746,"PÁTIO EXTERNO"),0)+IFERROR(SUMIFS('Base bordo'!G$2:G$746,'Base bordo'!C$2:C$746,A1387,'Base bordo'!B$2:B$746,B1387,'Base bordo'!F$2:F$746,"PATIO - RESERVA"),0)+IFERROR(SUMIFS('Base bordo'!G$2:G$746,'Base bordo'!C$2:C$746,A1387,'Base bordo'!B$2:B$746,B1387,'Base bordo'!F$2:F$746,"MANOBRA CARRETAS-PATIO"),0)</f>
        <v>0</v>
      </c>
      <c r="J1387" s="10">
        <f>IFERROR(SUMIFS('Base bordo'!G$2:G$746,'Base bordo'!C$2:C$746,A1387,'Base bordo'!B$2:B$746,B1387,'Base bordo'!F$2:F$746,"BALANÇA - ENTRADA"),0)+IFERROR(SUMIFS('Base bordo'!G$2:G$746,'Base bordo'!C$2:C$746,A1387,'Base bordo'!B$2:B$746,B1387,'Base bordo'!F$2:F$746,"BALANÇA - SAÍDA"),0)</f>
        <v>0</v>
      </c>
      <c r="K1387" s="10">
        <f>IFERROR(SUMIFS('Base bordo'!G$2:G$746,'Base bordo'!C$2:C$746,A1387,'Base bordo'!B$2:B$746,B1387,'Base bordo'!F$2:F$746,"MAN PREVENTIVA - MECANICA"),0)+IFERROR(SUMIFS('Base bordo'!G$2:G$746,'Base bordo'!C$2:C$746,A1387,'Base bordo'!B$2:B$746,B1387,'Base bordo'!F$2:F$746,"MAN CORRETIVA - MECANICA"),0)</f>
        <v>0</v>
      </c>
      <c r="L1387" s="10">
        <f>IFERROR(SUMIFS('Base bordo'!G$2:G$746,'Base bordo'!C$2:C$746,A1387,'Base bordo'!B$2:B$746,B1387,'Base bordo'!F$2:F$746,"MANUTENCAO - T O"),0)+IFERROR(SUMIFS('Base bordo'!G$2:G$746,'Base bordo'!C$2:C$746,A1387,'Base bordo'!B$2:B$746,B1387,'Base bordo'!F$2:F$746,"MANUTENCAO BORRACHARIA"),0)+IFERROR(SUMIFS('Base bordo'!G$2:G$746,'Base bordo'!C$2:C$746,A1387,'Base bordo'!B$2:B$746,B1387,'Base bordo'!F$2:F$746,"MANUTENCAO EXTERNA  CONCESSIONARIA"),0)+IFERROR(SUMIFS('Base bordo'!G$2:G$746,'Base bordo'!C$2:C$746,A1387,'Base bordo'!B$2:B$746,B1387,'Base bordo'!F$2:F$746,"MANUTENCAO TELEMETRIA"),0)</f>
        <v>4.1519444444444442</v>
      </c>
      <c r="M1387" s="10">
        <f>IFERROR(SUMIFS('Base bordo'!G$2:G$746,'Base bordo'!C$2:C$746,A1387,'Base bordo'!B$2:B$746,B1387,'Base bordo'!F$2:F$746,"AGUARDANDO MANUTENCAO"),0)</f>
        <v>0</v>
      </c>
      <c r="N1387" s="10">
        <f>IFERROR(SUMIFS('Base bordo'!G$2:G$746,'Base bordo'!C$2:C$746,A1387,'Base bordo'!B$2:B$746,B1387,'Base bordo'!F$2:F$746,"SEM APONTAMENTO"),0)</f>
        <v>0</v>
      </c>
      <c r="O1387" s="10">
        <f t="shared" si="138"/>
        <v>0</v>
      </c>
      <c r="P1387" s="10">
        <f>IFERROR(SUMIFS('Base bordo'!G$2:G$746,'Base bordo'!C$2:C$746,A1387,'Base bordo'!B$2:B$746,B1387),0)</f>
        <v>4.2038888888888888</v>
      </c>
      <c r="Q1387" s="10">
        <f>IFERROR(SUMIFS('Base bordo'!H$2:H$746,'Base bordo'!C$2:C$746,A1387,'Base bordo'!B$2:B$746,B1387,'Base bordo'!F$2:F$746,"DESLOCAMENTO VAZIO"),0)</f>
        <v>435.12</v>
      </c>
      <c r="R1387" s="10">
        <f>IFERROR(SUMIFS('Base bordo'!I$2:I$746,'Base bordo'!C$2:C$746,A1387,'Base bordo'!B$2:B$746,B1387,'Base bordo'!F$2:F$746,"DESLOCAMENTO VAZIO"),0)</f>
        <v>147</v>
      </c>
      <c r="S1387" s="30">
        <f t="shared" si="139"/>
        <v>2.96</v>
      </c>
      <c r="T1387" s="10">
        <f>IFERROR(SUMIFS('Base bordo'!H$2:H$746,'Base bordo'!C$2:C$746,A1387,'Base bordo'!B$2:B$746,B1387,'Base bordo'!F$2:F$746,"DESLOCAMENTO CARREGADO"),0)</f>
        <v>0</v>
      </c>
      <c r="U1387" s="10">
        <f>IFERROR(SUMIFS('Base bordo'!I$2:I$746,'Base bordo'!C$2:C$746,A1387,'Base bordo'!B$2:B$746,B1387,'Base bordo'!F$2:F$746,"DESLOCAMENTO CARREGADO"),0)</f>
        <v>0</v>
      </c>
      <c r="V1387" s="30" t="str">
        <f t="shared" si="140"/>
        <v/>
      </c>
      <c r="W1387" s="9">
        <f t="shared" si="141"/>
        <v>9.7132284921369102E-3</v>
      </c>
      <c r="X1387" s="9">
        <f t="shared" si="142"/>
        <v>0</v>
      </c>
      <c r="Y1387" s="9">
        <f t="shared" si="143"/>
        <v>0.99028677150786304</v>
      </c>
    </row>
    <row r="1388" spans="1:25" ht="15" customHeight="1" x14ac:dyDescent="0.35">
      <c r="A1388" s="52">
        <v>8013468</v>
      </c>
      <c r="B1388" s="51">
        <v>46116</v>
      </c>
      <c r="C1388" s="7" t="s">
        <v>124</v>
      </c>
      <c r="D1388" s="10">
        <f>IFERROR(SUMIFS('Base bordo'!G$2:G$746,'Base bordo'!C$2:C$746,A1388,'Base bordo'!B$2:B$746,B1388,'Base bordo'!F$2:F$746,"DESLOCAMENTO VAZIO"),0)</f>
        <v>0</v>
      </c>
      <c r="E1388" s="10">
        <f>IFERROR(SUMIFS('Base bordo'!G$2:G$746,'Base bordo'!C$2:C$746,A1388,'Base bordo'!B$2:B$746,B1388,'Base bordo'!F$2:F$746,"DESLOCAMENTO CARREGADO"),0)</f>
        <v>0</v>
      </c>
      <c r="F1388" s="10">
        <f>IFERROR(SUMIFS('Base bordo'!G$2:G$746,'Base bordo'!C$2:C$746,A1388,'Base bordo'!B$2:B$746,B1388,'Base bordo'!F$2:F$746,"DESLOCAMENTO"),0)</f>
        <v>3.4722222222222224E-2</v>
      </c>
      <c r="G1388" s="10">
        <f>IFERROR(SUMIFS('Base bordo'!G$2:G$746,'Base bordo'!C$2:C$746,A1388,'Base bordo'!B$2:B$746,B1388,'Base bordo'!F$2:F$746,"CARREGAMENTO"),0)</f>
        <v>0</v>
      </c>
      <c r="H1388" s="10">
        <f>IFERROR(SUMIFS('Base bordo'!G$2:G$746,'Base bordo'!C$2:C$746,A1388,'Base bordo'!B$2:B$746,B1388,'Base bordo'!F$2:F$746,"AGUARDANDO TRANSBORDO"),0)</f>
        <v>0</v>
      </c>
      <c r="I1388" s="10">
        <f>IFERROR(SUMIFS('Base bordo'!G$2:G$746,'Base bordo'!C$2:C$746,A1388,'Base bordo'!B$2:B$746,B1388,'Base bordo'!F$2:F$746,"PÁTIO INTERNO"),0)+IFERROR(SUMIFS('Base bordo'!G$2:G$746,'Base bordo'!C$2:C$746,A1388,'Base bordo'!B$2:B$746,B1388,'Base bordo'!F$2:F$746,"PÁTIO EXTERNO"),0)+IFERROR(SUMIFS('Base bordo'!G$2:G$746,'Base bordo'!C$2:C$746,A1388,'Base bordo'!B$2:B$746,B1388,'Base bordo'!F$2:F$746,"PATIO - RESERVA"),0)+IFERROR(SUMIFS('Base bordo'!G$2:G$746,'Base bordo'!C$2:C$746,A1388,'Base bordo'!B$2:B$746,B1388,'Base bordo'!F$2:F$746,"MANOBRA CARRETAS-PATIO"),0)</f>
        <v>0</v>
      </c>
      <c r="J1388" s="10">
        <f>IFERROR(SUMIFS('Base bordo'!G$2:G$746,'Base bordo'!C$2:C$746,A1388,'Base bordo'!B$2:B$746,B1388,'Base bordo'!F$2:F$746,"BALANÇA - ENTRADA"),0)+IFERROR(SUMIFS('Base bordo'!G$2:G$746,'Base bordo'!C$2:C$746,A1388,'Base bordo'!B$2:B$746,B1388,'Base bordo'!F$2:F$746,"BALANÇA - SAÍDA"),0)</f>
        <v>0</v>
      </c>
      <c r="K1388" s="10">
        <f>IFERROR(SUMIFS('Base bordo'!G$2:G$746,'Base bordo'!C$2:C$746,A1388,'Base bordo'!B$2:B$746,B1388,'Base bordo'!F$2:F$746,"MAN PREVENTIVA - MECANICA"),0)+IFERROR(SUMIFS('Base bordo'!G$2:G$746,'Base bordo'!C$2:C$746,A1388,'Base bordo'!B$2:B$746,B1388,'Base bordo'!F$2:F$746,"MAN CORRETIVA - MECANICA"),0)</f>
        <v>0</v>
      </c>
      <c r="L1388" s="10">
        <f>IFERROR(SUMIFS('Base bordo'!G$2:G$746,'Base bordo'!C$2:C$746,A1388,'Base bordo'!B$2:B$746,B1388,'Base bordo'!F$2:F$746,"MANUTENCAO - T O"),0)+IFERROR(SUMIFS('Base bordo'!G$2:G$746,'Base bordo'!C$2:C$746,A1388,'Base bordo'!B$2:B$746,B1388,'Base bordo'!F$2:F$746,"MANUTENCAO BORRACHARIA"),0)+IFERROR(SUMIFS('Base bordo'!G$2:G$746,'Base bordo'!C$2:C$746,A1388,'Base bordo'!B$2:B$746,B1388,'Base bordo'!F$2:F$746,"MANUTENCAO EXTERNA  CONCESSIONARIA"),0)+IFERROR(SUMIFS('Base bordo'!G$2:G$746,'Base bordo'!C$2:C$746,A1388,'Base bordo'!B$2:B$746,B1388,'Base bordo'!F$2:F$746,"MANUTENCAO TELEMETRIA"),0)</f>
        <v>0</v>
      </c>
      <c r="M1388" s="10">
        <f>IFERROR(SUMIFS('Base bordo'!G$2:G$746,'Base bordo'!C$2:C$746,A1388,'Base bordo'!B$2:B$746,B1388,'Base bordo'!F$2:F$746,"AGUARDANDO MANUTENCAO"),0)</f>
        <v>0</v>
      </c>
      <c r="N1388" s="10">
        <f>IFERROR(SUMIFS('Base bordo'!G$2:G$746,'Base bordo'!C$2:C$746,A1388,'Base bordo'!B$2:B$746,B1388,'Base bordo'!F$2:F$746,"SEM APONTAMENTO"),0)</f>
        <v>0</v>
      </c>
      <c r="O1388" s="10">
        <f t="shared" si="138"/>
        <v>0</v>
      </c>
      <c r="P1388" s="10">
        <f>IFERROR(SUMIFS('Base bordo'!G$2:G$746,'Base bordo'!C$2:C$746,A1388,'Base bordo'!B$2:B$746,B1388),0)</f>
        <v>3.4722222222222224E-2</v>
      </c>
      <c r="Q1388" s="10">
        <f>IFERROR(SUMIFS('Base bordo'!H$2:H$746,'Base bordo'!C$2:C$746,A1388,'Base bordo'!B$2:B$746,B1388,'Base bordo'!F$2:F$746,"DESLOCAMENTO VAZIO"),0)</f>
        <v>0</v>
      </c>
      <c r="R1388" s="10">
        <f>IFERROR(SUMIFS('Base bordo'!I$2:I$746,'Base bordo'!C$2:C$746,A1388,'Base bordo'!B$2:B$746,B1388,'Base bordo'!F$2:F$746,"DESLOCAMENTO VAZIO"),0)</f>
        <v>0</v>
      </c>
      <c r="S1388" s="30" t="str">
        <f t="shared" si="139"/>
        <v/>
      </c>
      <c r="T1388" s="10">
        <f>IFERROR(SUMIFS('Base bordo'!H$2:H$746,'Base bordo'!C$2:C$746,A1388,'Base bordo'!B$2:B$746,B1388,'Base bordo'!F$2:F$746,"DESLOCAMENTO CARREGADO"),0)</f>
        <v>0</v>
      </c>
      <c r="U1388" s="10">
        <f>IFERROR(SUMIFS('Base bordo'!I$2:I$746,'Base bordo'!C$2:C$746,A1388,'Base bordo'!B$2:B$746,B1388,'Base bordo'!F$2:F$746,"DESLOCAMENTO CARREGADO"),0)</f>
        <v>0</v>
      </c>
      <c r="V1388" s="30" t="str">
        <f t="shared" si="140"/>
        <v/>
      </c>
      <c r="W1388" s="9">
        <f t="shared" si="141"/>
        <v>0</v>
      </c>
      <c r="X1388" s="9">
        <f t="shared" si="142"/>
        <v>0</v>
      </c>
      <c r="Y1388" s="9">
        <f t="shared" si="143"/>
        <v>1</v>
      </c>
    </row>
    <row r="1389" spans="1:25" ht="15" customHeight="1" x14ac:dyDescent="0.35">
      <c r="A1389" s="52">
        <v>8013468</v>
      </c>
      <c r="B1389" s="51">
        <v>46116</v>
      </c>
      <c r="C1389" s="7" t="s">
        <v>124</v>
      </c>
      <c r="D1389" s="10">
        <f>IFERROR(SUMIFS('Base bordo'!G$2:G$746,'Base bordo'!C$2:C$746,A1389,'Base bordo'!B$2:B$746,B1389,'Base bordo'!F$2:F$746,"DESLOCAMENTO VAZIO"),0)</f>
        <v>0</v>
      </c>
      <c r="E1389" s="10">
        <f>IFERROR(SUMIFS('Base bordo'!G$2:G$746,'Base bordo'!C$2:C$746,A1389,'Base bordo'!B$2:B$746,B1389,'Base bordo'!F$2:F$746,"DESLOCAMENTO CARREGADO"),0)</f>
        <v>0</v>
      </c>
      <c r="F1389" s="10">
        <f>IFERROR(SUMIFS('Base bordo'!G$2:G$746,'Base bordo'!C$2:C$746,A1389,'Base bordo'!B$2:B$746,B1389,'Base bordo'!F$2:F$746,"DESLOCAMENTO"),0)</f>
        <v>3.4722222222222224E-2</v>
      </c>
      <c r="G1389" s="10">
        <f>IFERROR(SUMIFS('Base bordo'!G$2:G$746,'Base bordo'!C$2:C$746,A1389,'Base bordo'!B$2:B$746,B1389,'Base bordo'!F$2:F$746,"CARREGAMENTO"),0)</f>
        <v>0</v>
      </c>
      <c r="H1389" s="10">
        <f>IFERROR(SUMIFS('Base bordo'!G$2:G$746,'Base bordo'!C$2:C$746,A1389,'Base bordo'!B$2:B$746,B1389,'Base bordo'!F$2:F$746,"AGUARDANDO TRANSBORDO"),0)</f>
        <v>0</v>
      </c>
      <c r="I1389" s="10">
        <f>IFERROR(SUMIFS('Base bordo'!G$2:G$746,'Base bordo'!C$2:C$746,A1389,'Base bordo'!B$2:B$746,B1389,'Base bordo'!F$2:F$746,"PÁTIO INTERNO"),0)+IFERROR(SUMIFS('Base bordo'!G$2:G$746,'Base bordo'!C$2:C$746,A1389,'Base bordo'!B$2:B$746,B1389,'Base bordo'!F$2:F$746,"PÁTIO EXTERNO"),0)+IFERROR(SUMIFS('Base bordo'!G$2:G$746,'Base bordo'!C$2:C$746,A1389,'Base bordo'!B$2:B$746,B1389,'Base bordo'!F$2:F$746,"PATIO - RESERVA"),0)+IFERROR(SUMIFS('Base bordo'!G$2:G$746,'Base bordo'!C$2:C$746,A1389,'Base bordo'!B$2:B$746,B1389,'Base bordo'!F$2:F$746,"MANOBRA CARRETAS-PATIO"),0)</f>
        <v>0</v>
      </c>
      <c r="J1389" s="10">
        <f>IFERROR(SUMIFS('Base bordo'!G$2:G$746,'Base bordo'!C$2:C$746,A1389,'Base bordo'!B$2:B$746,B1389,'Base bordo'!F$2:F$746,"BALANÇA - ENTRADA"),0)+IFERROR(SUMIFS('Base bordo'!G$2:G$746,'Base bordo'!C$2:C$746,A1389,'Base bordo'!B$2:B$746,B1389,'Base bordo'!F$2:F$746,"BALANÇA - SAÍDA"),0)</f>
        <v>0</v>
      </c>
      <c r="K1389" s="10">
        <f>IFERROR(SUMIFS('Base bordo'!G$2:G$746,'Base bordo'!C$2:C$746,A1389,'Base bordo'!B$2:B$746,B1389,'Base bordo'!F$2:F$746,"MAN PREVENTIVA - MECANICA"),0)+IFERROR(SUMIFS('Base bordo'!G$2:G$746,'Base bordo'!C$2:C$746,A1389,'Base bordo'!B$2:B$746,B1389,'Base bordo'!F$2:F$746,"MAN CORRETIVA - MECANICA"),0)</f>
        <v>0</v>
      </c>
      <c r="L1389" s="10">
        <f>IFERROR(SUMIFS('Base bordo'!G$2:G$746,'Base bordo'!C$2:C$746,A1389,'Base bordo'!B$2:B$746,B1389,'Base bordo'!F$2:F$746,"MANUTENCAO - T O"),0)+IFERROR(SUMIFS('Base bordo'!G$2:G$746,'Base bordo'!C$2:C$746,A1389,'Base bordo'!B$2:B$746,B1389,'Base bordo'!F$2:F$746,"MANUTENCAO BORRACHARIA"),0)+IFERROR(SUMIFS('Base bordo'!G$2:G$746,'Base bordo'!C$2:C$746,A1389,'Base bordo'!B$2:B$746,B1389,'Base bordo'!F$2:F$746,"MANUTENCAO EXTERNA  CONCESSIONARIA"),0)+IFERROR(SUMIFS('Base bordo'!G$2:G$746,'Base bordo'!C$2:C$746,A1389,'Base bordo'!B$2:B$746,B1389,'Base bordo'!F$2:F$746,"MANUTENCAO TELEMETRIA"),0)</f>
        <v>0</v>
      </c>
      <c r="M1389" s="10">
        <f>IFERROR(SUMIFS('Base bordo'!G$2:G$746,'Base bordo'!C$2:C$746,A1389,'Base bordo'!B$2:B$746,B1389,'Base bordo'!F$2:F$746,"AGUARDANDO MANUTENCAO"),0)</f>
        <v>0</v>
      </c>
      <c r="N1389" s="10">
        <f>IFERROR(SUMIFS('Base bordo'!G$2:G$746,'Base bordo'!C$2:C$746,A1389,'Base bordo'!B$2:B$746,B1389,'Base bordo'!F$2:F$746,"SEM APONTAMENTO"),0)</f>
        <v>0</v>
      </c>
      <c r="O1389" s="10">
        <f t="shared" si="138"/>
        <v>0</v>
      </c>
      <c r="P1389" s="10">
        <f>IFERROR(SUMIFS('Base bordo'!G$2:G$746,'Base bordo'!C$2:C$746,A1389,'Base bordo'!B$2:B$746,B1389),0)</f>
        <v>3.4722222222222224E-2</v>
      </c>
      <c r="Q1389" s="10">
        <f>IFERROR(SUMIFS('Base bordo'!H$2:H$746,'Base bordo'!C$2:C$746,A1389,'Base bordo'!B$2:B$746,B1389,'Base bordo'!F$2:F$746,"DESLOCAMENTO VAZIO"),0)</f>
        <v>0</v>
      </c>
      <c r="R1389" s="10">
        <f>IFERROR(SUMIFS('Base bordo'!I$2:I$746,'Base bordo'!C$2:C$746,A1389,'Base bordo'!B$2:B$746,B1389,'Base bordo'!F$2:F$746,"DESLOCAMENTO VAZIO"),0)</f>
        <v>0</v>
      </c>
      <c r="S1389" s="30" t="str">
        <f t="shared" si="139"/>
        <v/>
      </c>
      <c r="T1389" s="10">
        <f>IFERROR(SUMIFS('Base bordo'!H$2:H$746,'Base bordo'!C$2:C$746,A1389,'Base bordo'!B$2:B$746,B1389,'Base bordo'!F$2:F$746,"DESLOCAMENTO CARREGADO"),0)</f>
        <v>0</v>
      </c>
      <c r="U1389" s="10">
        <f>IFERROR(SUMIFS('Base bordo'!I$2:I$746,'Base bordo'!C$2:C$746,A1389,'Base bordo'!B$2:B$746,B1389,'Base bordo'!F$2:F$746,"DESLOCAMENTO CARREGADO"),0)</f>
        <v>0</v>
      </c>
      <c r="V1389" s="30" t="str">
        <f t="shared" si="140"/>
        <v/>
      </c>
      <c r="W1389" s="9">
        <f t="shared" si="141"/>
        <v>0</v>
      </c>
      <c r="X1389" s="9">
        <f t="shared" si="142"/>
        <v>0</v>
      </c>
      <c r="Y1389" s="9">
        <f t="shared" si="143"/>
        <v>1</v>
      </c>
    </row>
    <row r="1390" spans="1:25" ht="15" customHeight="1" x14ac:dyDescent="0.35">
      <c r="A1390" s="52">
        <v>8013470</v>
      </c>
      <c r="B1390" s="51">
        <v>46116</v>
      </c>
      <c r="C1390" s="7" t="s">
        <v>124</v>
      </c>
      <c r="D1390" s="10">
        <f>IFERROR(SUMIFS('Base bordo'!G$2:G$746,'Base bordo'!C$2:C$746,A1390,'Base bordo'!B$2:B$746,B1390,'Base bordo'!F$2:F$746,"DESLOCAMENTO VAZIO"),0)</f>
        <v>0</v>
      </c>
      <c r="E1390" s="10">
        <f>IFERROR(SUMIFS('Base bordo'!G$2:G$746,'Base bordo'!C$2:C$746,A1390,'Base bordo'!B$2:B$746,B1390,'Base bordo'!F$2:F$746,"DESLOCAMENTO CARREGADO"),0)</f>
        <v>0</v>
      </c>
      <c r="F1390" s="10">
        <f>IFERROR(SUMIFS('Base bordo'!G$2:G$746,'Base bordo'!C$2:C$746,A1390,'Base bordo'!B$2:B$746,B1390,'Base bordo'!F$2:F$746,"DESLOCAMENTO"),0)</f>
        <v>0</v>
      </c>
      <c r="G1390" s="10">
        <f>IFERROR(SUMIFS('Base bordo'!G$2:G$746,'Base bordo'!C$2:C$746,A1390,'Base bordo'!B$2:B$746,B1390,'Base bordo'!F$2:F$746,"CARREGAMENTO"),0)</f>
        <v>0</v>
      </c>
      <c r="H1390" s="10">
        <f>IFERROR(SUMIFS('Base bordo'!G$2:G$746,'Base bordo'!C$2:C$746,A1390,'Base bordo'!B$2:B$746,B1390,'Base bordo'!F$2:F$746,"AGUARDANDO TRANSBORDO"),0)</f>
        <v>0</v>
      </c>
      <c r="I1390" s="10">
        <f>IFERROR(SUMIFS('Base bordo'!G$2:G$746,'Base bordo'!C$2:C$746,A1390,'Base bordo'!B$2:B$746,B1390,'Base bordo'!F$2:F$746,"PÁTIO INTERNO"),0)+IFERROR(SUMIFS('Base bordo'!G$2:G$746,'Base bordo'!C$2:C$746,A1390,'Base bordo'!B$2:B$746,B1390,'Base bordo'!F$2:F$746,"PÁTIO EXTERNO"),0)+IFERROR(SUMIFS('Base bordo'!G$2:G$746,'Base bordo'!C$2:C$746,A1390,'Base bordo'!B$2:B$746,B1390,'Base bordo'!F$2:F$746,"PATIO - RESERVA"),0)+IFERROR(SUMIFS('Base bordo'!G$2:G$746,'Base bordo'!C$2:C$746,A1390,'Base bordo'!B$2:B$746,B1390,'Base bordo'!F$2:F$746,"MANOBRA CARRETAS-PATIO"),0)</f>
        <v>0</v>
      </c>
      <c r="J1390" s="10">
        <f>IFERROR(SUMIFS('Base bordo'!G$2:G$746,'Base bordo'!C$2:C$746,A1390,'Base bordo'!B$2:B$746,B1390,'Base bordo'!F$2:F$746,"BALANÇA - ENTRADA"),0)+IFERROR(SUMIFS('Base bordo'!G$2:G$746,'Base bordo'!C$2:C$746,A1390,'Base bordo'!B$2:B$746,B1390,'Base bordo'!F$2:F$746,"BALANÇA - SAÍDA"),0)</f>
        <v>0</v>
      </c>
      <c r="K1390" s="10">
        <f>IFERROR(SUMIFS('Base bordo'!G$2:G$746,'Base bordo'!C$2:C$746,A1390,'Base bordo'!B$2:B$746,B1390,'Base bordo'!F$2:F$746,"MAN PREVENTIVA - MECANICA"),0)+IFERROR(SUMIFS('Base bordo'!G$2:G$746,'Base bordo'!C$2:C$746,A1390,'Base bordo'!B$2:B$746,B1390,'Base bordo'!F$2:F$746,"MAN CORRETIVA - MECANICA"),0)</f>
        <v>0</v>
      </c>
      <c r="L1390" s="10">
        <f>IFERROR(SUMIFS('Base bordo'!G$2:G$746,'Base bordo'!C$2:C$746,A1390,'Base bordo'!B$2:B$746,B1390,'Base bordo'!F$2:F$746,"MANUTENCAO - T O"),0)+IFERROR(SUMIFS('Base bordo'!G$2:G$746,'Base bordo'!C$2:C$746,A1390,'Base bordo'!B$2:B$746,B1390,'Base bordo'!F$2:F$746,"MANUTENCAO BORRACHARIA"),0)+IFERROR(SUMIFS('Base bordo'!G$2:G$746,'Base bordo'!C$2:C$746,A1390,'Base bordo'!B$2:B$746,B1390,'Base bordo'!F$2:F$746,"MANUTENCAO EXTERNA  CONCESSIONARIA"),0)+IFERROR(SUMIFS('Base bordo'!G$2:G$746,'Base bordo'!C$2:C$746,A1390,'Base bordo'!B$2:B$746,B1390,'Base bordo'!F$2:F$746,"MANUTENCAO TELEMETRIA"),0)</f>
        <v>6.6969444444444441</v>
      </c>
      <c r="M1390" s="10">
        <f>IFERROR(SUMIFS('Base bordo'!G$2:G$746,'Base bordo'!C$2:C$746,A1390,'Base bordo'!B$2:B$746,B1390,'Base bordo'!F$2:F$746,"AGUARDANDO MANUTENCAO"),0)</f>
        <v>0</v>
      </c>
      <c r="N1390" s="10">
        <f>IFERROR(SUMIFS('Base bordo'!G$2:G$746,'Base bordo'!C$2:C$746,A1390,'Base bordo'!B$2:B$746,B1390,'Base bordo'!F$2:F$746,"SEM APONTAMENTO"),0)</f>
        <v>0</v>
      </c>
      <c r="O1390" s="10">
        <f t="shared" si="138"/>
        <v>0</v>
      </c>
      <c r="P1390" s="10">
        <f>IFERROR(SUMIFS('Base bordo'!G$2:G$746,'Base bordo'!C$2:C$746,A1390,'Base bordo'!B$2:B$746,B1390),0)</f>
        <v>6.6969444444444441</v>
      </c>
      <c r="Q1390" s="10">
        <f>IFERROR(SUMIFS('Base bordo'!H$2:H$746,'Base bordo'!C$2:C$746,A1390,'Base bordo'!B$2:B$746,B1390,'Base bordo'!F$2:F$746,"DESLOCAMENTO VAZIO"),0)</f>
        <v>0</v>
      </c>
      <c r="R1390" s="10">
        <f>IFERROR(SUMIFS('Base bordo'!I$2:I$746,'Base bordo'!C$2:C$746,A1390,'Base bordo'!B$2:B$746,B1390,'Base bordo'!F$2:F$746,"DESLOCAMENTO VAZIO"),0)</f>
        <v>0</v>
      </c>
      <c r="S1390" s="30" t="str">
        <f t="shared" si="139"/>
        <v/>
      </c>
      <c r="T1390" s="10">
        <f>IFERROR(SUMIFS('Base bordo'!H$2:H$746,'Base bordo'!C$2:C$746,A1390,'Base bordo'!B$2:B$746,B1390,'Base bordo'!F$2:F$746,"DESLOCAMENTO CARREGADO"),0)</f>
        <v>0</v>
      </c>
      <c r="U1390" s="10">
        <f>IFERROR(SUMIFS('Base bordo'!I$2:I$746,'Base bordo'!C$2:C$746,A1390,'Base bordo'!B$2:B$746,B1390,'Base bordo'!F$2:F$746,"DESLOCAMENTO CARREGADO"),0)</f>
        <v>0</v>
      </c>
      <c r="V1390" s="30" t="str">
        <f t="shared" si="140"/>
        <v/>
      </c>
      <c r="W1390" s="9">
        <f t="shared" si="141"/>
        <v>0</v>
      </c>
      <c r="X1390" s="9">
        <f t="shared" si="142"/>
        <v>0</v>
      </c>
      <c r="Y1390" s="9">
        <f t="shared" si="143"/>
        <v>1</v>
      </c>
    </row>
    <row r="1391" spans="1:25" ht="15" customHeight="1" x14ac:dyDescent="0.35">
      <c r="A1391" s="52">
        <v>8013470</v>
      </c>
      <c r="B1391" s="51">
        <v>46116</v>
      </c>
      <c r="C1391" s="7" t="s">
        <v>124</v>
      </c>
      <c r="D1391" s="10">
        <f>IFERROR(SUMIFS('Base bordo'!G$2:G$746,'Base bordo'!C$2:C$746,A1391,'Base bordo'!B$2:B$746,B1391,'Base bordo'!F$2:F$746,"DESLOCAMENTO VAZIO"),0)</f>
        <v>0</v>
      </c>
      <c r="E1391" s="10">
        <f>IFERROR(SUMIFS('Base bordo'!G$2:G$746,'Base bordo'!C$2:C$746,A1391,'Base bordo'!B$2:B$746,B1391,'Base bordo'!F$2:F$746,"DESLOCAMENTO CARREGADO"),0)</f>
        <v>0</v>
      </c>
      <c r="F1391" s="10">
        <f>IFERROR(SUMIFS('Base bordo'!G$2:G$746,'Base bordo'!C$2:C$746,A1391,'Base bordo'!B$2:B$746,B1391,'Base bordo'!F$2:F$746,"DESLOCAMENTO"),0)</f>
        <v>0</v>
      </c>
      <c r="G1391" s="10">
        <f>IFERROR(SUMIFS('Base bordo'!G$2:G$746,'Base bordo'!C$2:C$746,A1391,'Base bordo'!B$2:B$746,B1391,'Base bordo'!F$2:F$746,"CARREGAMENTO"),0)</f>
        <v>0</v>
      </c>
      <c r="H1391" s="10">
        <f>IFERROR(SUMIFS('Base bordo'!G$2:G$746,'Base bordo'!C$2:C$746,A1391,'Base bordo'!B$2:B$746,B1391,'Base bordo'!F$2:F$746,"AGUARDANDO TRANSBORDO"),0)</f>
        <v>0</v>
      </c>
      <c r="I1391" s="10">
        <f>IFERROR(SUMIFS('Base bordo'!G$2:G$746,'Base bordo'!C$2:C$746,A1391,'Base bordo'!B$2:B$746,B1391,'Base bordo'!F$2:F$746,"PÁTIO INTERNO"),0)+IFERROR(SUMIFS('Base bordo'!G$2:G$746,'Base bordo'!C$2:C$746,A1391,'Base bordo'!B$2:B$746,B1391,'Base bordo'!F$2:F$746,"PÁTIO EXTERNO"),0)+IFERROR(SUMIFS('Base bordo'!G$2:G$746,'Base bordo'!C$2:C$746,A1391,'Base bordo'!B$2:B$746,B1391,'Base bordo'!F$2:F$746,"PATIO - RESERVA"),0)+IFERROR(SUMIFS('Base bordo'!G$2:G$746,'Base bordo'!C$2:C$746,A1391,'Base bordo'!B$2:B$746,B1391,'Base bordo'!F$2:F$746,"MANOBRA CARRETAS-PATIO"),0)</f>
        <v>0</v>
      </c>
      <c r="J1391" s="10">
        <f>IFERROR(SUMIFS('Base bordo'!G$2:G$746,'Base bordo'!C$2:C$746,A1391,'Base bordo'!B$2:B$746,B1391,'Base bordo'!F$2:F$746,"BALANÇA - ENTRADA"),0)+IFERROR(SUMIFS('Base bordo'!G$2:G$746,'Base bordo'!C$2:C$746,A1391,'Base bordo'!B$2:B$746,B1391,'Base bordo'!F$2:F$746,"BALANÇA - SAÍDA"),0)</f>
        <v>0</v>
      </c>
      <c r="K1391" s="10">
        <f>IFERROR(SUMIFS('Base bordo'!G$2:G$746,'Base bordo'!C$2:C$746,A1391,'Base bordo'!B$2:B$746,B1391,'Base bordo'!F$2:F$746,"MAN PREVENTIVA - MECANICA"),0)+IFERROR(SUMIFS('Base bordo'!G$2:G$746,'Base bordo'!C$2:C$746,A1391,'Base bordo'!B$2:B$746,B1391,'Base bordo'!F$2:F$746,"MAN CORRETIVA - MECANICA"),0)</f>
        <v>0</v>
      </c>
      <c r="L1391" s="10">
        <f>IFERROR(SUMIFS('Base bordo'!G$2:G$746,'Base bordo'!C$2:C$746,A1391,'Base bordo'!B$2:B$746,B1391,'Base bordo'!F$2:F$746,"MANUTENCAO - T O"),0)+IFERROR(SUMIFS('Base bordo'!G$2:G$746,'Base bordo'!C$2:C$746,A1391,'Base bordo'!B$2:B$746,B1391,'Base bordo'!F$2:F$746,"MANUTENCAO BORRACHARIA"),0)+IFERROR(SUMIFS('Base bordo'!G$2:G$746,'Base bordo'!C$2:C$746,A1391,'Base bordo'!B$2:B$746,B1391,'Base bordo'!F$2:F$746,"MANUTENCAO EXTERNA  CONCESSIONARIA"),0)+IFERROR(SUMIFS('Base bordo'!G$2:G$746,'Base bordo'!C$2:C$746,A1391,'Base bordo'!B$2:B$746,B1391,'Base bordo'!F$2:F$746,"MANUTENCAO TELEMETRIA"),0)</f>
        <v>6.6969444444444441</v>
      </c>
      <c r="M1391" s="10">
        <f>IFERROR(SUMIFS('Base bordo'!G$2:G$746,'Base bordo'!C$2:C$746,A1391,'Base bordo'!B$2:B$746,B1391,'Base bordo'!F$2:F$746,"AGUARDANDO MANUTENCAO"),0)</f>
        <v>0</v>
      </c>
      <c r="N1391" s="10">
        <f>IFERROR(SUMIFS('Base bordo'!G$2:G$746,'Base bordo'!C$2:C$746,A1391,'Base bordo'!B$2:B$746,B1391,'Base bordo'!F$2:F$746,"SEM APONTAMENTO"),0)</f>
        <v>0</v>
      </c>
      <c r="O1391" s="10">
        <f t="shared" si="138"/>
        <v>0</v>
      </c>
      <c r="P1391" s="10">
        <f>IFERROR(SUMIFS('Base bordo'!G$2:G$746,'Base bordo'!C$2:C$746,A1391,'Base bordo'!B$2:B$746,B1391),0)</f>
        <v>6.6969444444444441</v>
      </c>
      <c r="Q1391" s="10">
        <f>IFERROR(SUMIFS('Base bordo'!H$2:H$746,'Base bordo'!C$2:C$746,A1391,'Base bordo'!B$2:B$746,B1391,'Base bordo'!F$2:F$746,"DESLOCAMENTO VAZIO"),0)</f>
        <v>0</v>
      </c>
      <c r="R1391" s="10">
        <f>IFERROR(SUMIFS('Base bordo'!I$2:I$746,'Base bordo'!C$2:C$746,A1391,'Base bordo'!B$2:B$746,B1391,'Base bordo'!F$2:F$746,"DESLOCAMENTO VAZIO"),0)</f>
        <v>0</v>
      </c>
      <c r="S1391" s="30" t="str">
        <f t="shared" si="139"/>
        <v/>
      </c>
      <c r="T1391" s="10">
        <f>IFERROR(SUMIFS('Base bordo'!H$2:H$746,'Base bordo'!C$2:C$746,A1391,'Base bordo'!B$2:B$746,B1391,'Base bordo'!F$2:F$746,"DESLOCAMENTO CARREGADO"),0)</f>
        <v>0</v>
      </c>
      <c r="U1391" s="10">
        <f>IFERROR(SUMIFS('Base bordo'!I$2:I$746,'Base bordo'!C$2:C$746,A1391,'Base bordo'!B$2:B$746,B1391,'Base bordo'!F$2:F$746,"DESLOCAMENTO CARREGADO"),0)</f>
        <v>0</v>
      </c>
      <c r="V1391" s="30" t="str">
        <f t="shared" si="140"/>
        <v/>
      </c>
      <c r="W1391" s="9">
        <f t="shared" si="141"/>
        <v>0</v>
      </c>
      <c r="X1391" s="9">
        <f t="shared" si="142"/>
        <v>0</v>
      </c>
      <c r="Y1391" s="9">
        <f t="shared" si="143"/>
        <v>1</v>
      </c>
    </row>
    <row r="1392" spans="1:25" ht="15" customHeight="1" x14ac:dyDescent="0.35">
      <c r="A1392" s="52">
        <v>8013473</v>
      </c>
      <c r="B1392" s="51">
        <v>46116</v>
      </c>
      <c r="C1392" s="7" t="s">
        <v>124</v>
      </c>
      <c r="D1392" s="10">
        <f>IFERROR(SUMIFS('Base bordo'!G$2:G$746,'Base bordo'!C$2:C$746,A1392,'Base bordo'!B$2:B$746,B1392,'Base bordo'!F$2:F$746,"DESLOCAMENTO VAZIO"),0)</f>
        <v>0</v>
      </c>
      <c r="E1392" s="10">
        <f>IFERROR(SUMIFS('Base bordo'!G$2:G$746,'Base bordo'!C$2:C$746,A1392,'Base bordo'!B$2:B$746,B1392,'Base bordo'!F$2:F$746,"DESLOCAMENTO CARREGADO"),0)</f>
        <v>0</v>
      </c>
      <c r="F1392" s="10">
        <f>IFERROR(SUMIFS('Base bordo'!G$2:G$746,'Base bordo'!C$2:C$746,A1392,'Base bordo'!B$2:B$746,B1392,'Base bordo'!F$2:F$746,"DESLOCAMENTO"),0)</f>
        <v>0</v>
      </c>
      <c r="G1392" s="10">
        <f>IFERROR(SUMIFS('Base bordo'!G$2:G$746,'Base bordo'!C$2:C$746,A1392,'Base bordo'!B$2:B$746,B1392,'Base bordo'!F$2:F$746,"CARREGAMENTO"),0)</f>
        <v>0</v>
      </c>
      <c r="H1392" s="10">
        <f>IFERROR(SUMIFS('Base bordo'!G$2:G$746,'Base bordo'!C$2:C$746,A1392,'Base bordo'!B$2:B$746,B1392,'Base bordo'!F$2:F$746,"AGUARDANDO TRANSBORDO"),0)</f>
        <v>0</v>
      </c>
      <c r="I1392" s="10">
        <f>IFERROR(SUMIFS('Base bordo'!G$2:G$746,'Base bordo'!C$2:C$746,A1392,'Base bordo'!B$2:B$746,B1392,'Base bordo'!F$2:F$746,"PÁTIO INTERNO"),0)+IFERROR(SUMIFS('Base bordo'!G$2:G$746,'Base bordo'!C$2:C$746,A1392,'Base bordo'!B$2:B$746,B1392,'Base bordo'!F$2:F$746,"PÁTIO EXTERNO"),0)+IFERROR(SUMIFS('Base bordo'!G$2:G$746,'Base bordo'!C$2:C$746,A1392,'Base bordo'!B$2:B$746,B1392,'Base bordo'!F$2:F$746,"PATIO - RESERVA"),0)+IFERROR(SUMIFS('Base bordo'!G$2:G$746,'Base bordo'!C$2:C$746,A1392,'Base bordo'!B$2:B$746,B1392,'Base bordo'!F$2:F$746,"MANOBRA CARRETAS-PATIO"),0)</f>
        <v>0</v>
      </c>
      <c r="J1392" s="10">
        <f>IFERROR(SUMIFS('Base bordo'!G$2:G$746,'Base bordo'!C$2:C$746,A1392,'Base bordo'!B$2:B$746,B1392,'Base bordo'!F$2:F$746,"BALANÇA - ENTRADA"),0)+IFERROR(SUMIFS('Base bordo'!G$2:G$746,'Base bordo'!C$2:C$746,A1392,'Base bordo'!B$2:B$746,B1392,'Base bordo'!F$2:F$746,"BALANÇA - SAÍDA"),0)</f>
        <v>0</v>
      </c>
      <c r="K1392" s="10">
        <f>IFERROR(SUMIFS('Base bordo'!G$2:G$746,'Base bordo'!C$2:C$746,A1392,'Base bordo'!B$2:B$746,B1392,'Base bordo'!F$2:F$746,"MAN PREVENTIVA - MECANICA"),0)+IFERROR(SUMIFS('Base bordo'!G$2:G$746,'Base bordo'!C$2:C$746,A1392,'Base bordo'!B$2:B$746,B1392,'Base bordo'!F$2:F$746,"MAN CORRETIVA - MECANICA"),0)</f>
        <v>0</v>
      </c>
      <c r="L1392" s="10">
        <f>IFERROR(SUMIFS('Base bordo'!G$2:G$746,'Base bordo'!C$2:C$746,A1392,'Base bordo'!B$2:B$746,B1392,'Base bordo'!F$2:F$746,"MANUTENCAO - T O"),0)+IFERROR(SUMIFS('Base bordo'!G$2:G$746,'Base bordo'!C$2:C$746,A1392,'Base bordo'!B$2:B$746,B1392,'Base bordo'!F$2:F$746,"MANUTENCAO BORRACHARIA"),0)+IFERROR(SUMIFS('Base bordo'!G$2:G$746,'Base bordo'!C$2:C$746,A1392,'Base bordo'!B$2:B$746,B1392,'Base bordo'!F$2:F$746,"MANUTENCAO EXTERNA  CONCESSIONARIA"),0)+IFERROR(SUMIFS('Base bordo'!G$2:G$746,'Base bordo'!C$2:C$746,A1392,'Base bordo'!B$2:B$746,B1392,'Base bordo'!F$2:F$746,"MANUTENCAO TELEMETRIA"),0)</f>
        <v>0</v>
      </c>
      <c r="M1392" s="10">
        <f>IFERROR(SUMIFS('Base bordo'!G$2:G$746,'Base bordo'!C$2:C$746,A1392,'Base bordo'!B$2:B$746,B1392,'Base bordo'!F$2:F$746,"AGUARDANDO MANUTENCAO"),0)</f>
        <v>0</v>
      </c>
      <c r="N1392" s="10">
        <f>IFERROR(SUMIFS('Base bordo'!G$2:G$746,'Base bordo'!C$2:C$746,A1392,'Base bordo'!B$2:B$746,B1392,'Base bordo'!F$2:F$746,"SEM APONTAMENTO"),0)</f>
        <v>0</v>
      </c>
      <c r="O1392" s="10">
        <f t="shared" si="138"/>
        <v>0</v>
      </c>
      <c r="P1392" s="10">
        <f>IFERROR(SUMIFS('Base bordo'!G$2:G$746,'Base bordo'!C$2:C$746,A1392,'Base bordo'!B$2:B$746,B1392),0)</f>
        <v>0</v>
      </c>
      <c r="Q1392" s="10">
        <f>IFERROR(SUMIFS('Base bordo'!H$2:H$746,'Base bordo'!C$2:C$746,A1392,'Base bordo'!B$2:B$746,B1392,'Base bordo'!F$2:F$746,"DESLOCAMENTO VAZIO"),0)</f>
        <v>0</v>
      </c>
      <c r="R1392" s="10">
        <f>IFERROR(SUMIFS('Base bordo'!I$2:I$746,'Base bordo'!C$2:C$746,A1392,'Base bordo'!B$2:B$746,B1392,'Base bordo'!F$2:F$746,"DESLOCAMENTO VAZIO"),0)</f>
        <v>0</v>
      </c>
      <c r="S1392" s="30" t="str">
        <f t="shared" si="139"/>
        <v/>
      </c>
      <c r="T1392" s="10">
        <f>IFERROR(SUMIFS('Base bordo'!H$2:H$746,'Base bordo'!C$2:C$746,A1392,'Base bordo'!B$2:B$746,B1392,'Base bordo'!F$2:F$746,"DESLOCAMENTO CARREGADO"),0)</f>
        <v>0</v>
      </c>
      <c r="U1392" s="10">
        <f>IFERROR(SUMIFS('Base bordo'!I$2:I$746,'Base bordo'!C$2:C$746,A1392,'Base bordo'!B$2:B$746,B1392,'Base bordo'!F$2:F$746,"DESLOCAMENTO CARREGADO"),0)</f>
        <v>0</v>
      </c>
      <c r="V1392" s="30" t="str">
        <f t="shared" si="140"/>
        <v/>
      </c>
      <c r="W1392" s="9">
        <f t="shared" si="141"/>
        <v>0</v>
      </c>
      <c r="X1392" s="9">
        <f t="shared" si="142"/>
        <v>0</v>
      </c>
      <c r="Y1392" s="9">
        <f t="shared" si="143"/>
        <v>0</v>
      </c>
    </row>
    <row r="1393" spans="1:25" ht="15" customHeight="1" x14ac:dyDescent="0.35">
      <c r="A1393" s="52">
        <v>8013474</v>
      </c>
      <c r="B1393" s="51">
        <v>46116</v>
      </c>
      <c r="C1393" s="7" t="s">
        <v>124</v>
      </c>
      <c r="D1393" s="10">
        <f>IFERROR(SUMIFS('Base bordo'!G$2:G$746,'Base bordo'!C$2:C$746,A1393,'Base bordo'!B$2:B$746,B1393,'Base bordo'!F$2:F$746,"DESLOCAMENTO VAZIO"),0)</f>
        <v>0</v>
      </c>
      <c r="E1393" s="10">
        <f>IFERROR(SUMIFS('Base bordo'!G$2:G$746,'Base bordo'!C$2:C$746,A1393,'Base bordo'!B$2:B$746,B1393,'Base bordo'!F$2:F$746,"DESLOCAMENTO CARREGADO"),0)</f>
        <v>0</v>
      </c>
      <c r="F1393" s="10">
        <f>IFERROR(SUMIFS('Base bordo'!G$2:G$746,'Base bordo'!C$2:C$746,A1393,'Base bordo'!B$2:B$746,B1393,'Base bordo'!F$2:F$746,"DESLOCAMENTO"),0)</f>
        <v>0</v>
      </c>
      <c r="G1393" s="10">
        <f>IFERROR(SUMIFS('Base bordo'!G$2:G$746,'Base bordo'!C$2:C$746,A1393,'Base bordo'!B$2:B$746,B1393,'Base bordo'!F$2:F$746,"CARREGAMENTO"),0)</f>
        <v>0</v>
      </c>
      <c r="H1393" s="10">
        <f>IFERROR(SUMIFS('Base bordo'!G$2:G$746,'Base bordo'!C$2:C$746,A1393,'Base bordo'!B$2:B$746,B1393,'Base bordo'!F$2:F$746,"AGUARDANDO TRANSBORDO"),0)</f>
        <v>0</v>
      </c>
      <c r="I1393" s="10">
        <f>IFERROR(SUMIFS('Base bordo'!G$2:G$746,'Base bordo'!C$2:C$746,A1393,'Base bordo'!B$2:B$746,B1393,'Base bordo'!F$2:F$746,"PÁTIO INTERNO"),0)+IFERROR(SUMIFS('Base bordo'!G$2:G$746,'Base bordo'!C$2:C$746,A1393,'Base bordo'!B$2:B$746,B1393,'Base bordo'!F$2:F$746,"PÁTIO EXTERNO"),0)+IFERROR(SUMIFS('Base bordo'!G$2:G$746,'Base bordo'!C$2:C$746,A1393,'Base bordo'!B$2:B$746,B1393,'Base bordo'!F$2:F$746,"PATIO - RESERVA"),0)+IFERROR(SUMIFS('Base bordo'!G$2:G$746,'Base bordo'!C$2:C$746,A1393,'Base bordo'!B$2:B$746,B1393,'Base bordo'!F$2:F$746,"MANOBRA CARRETAS-PATIO"),0)</f>
        <v>0</v>
      </c>
      <c r="J1393" s="10">
        <f>IFERROR(SUMIFS('Base bordo'!G$2:G$746,'Base bordo'!C$2:C$746,A1393,'Base bordo'!B$2:B$746,B1393,'Base bordo'!F$2:F$746,"BALANÇA - ENTRADA"),0)+IFERROR(SUMIFS('Base bordo'!G$2:G$746,'Base bordo'!C$2:C$746,A1393,'Base bordo'!B$2:B$746,B1393,'Base bordo'!F$2:F$746,"BALANÇA - SAÍDA"),0)</f>
        <v>0</v>
      </c>
      <c r="K1393" s="10">
        <f>IFERROR(SUMIFS('Base bordo'!G$2:G$746,'Base bordo'!C$2:C$746,A1393,'Base bordo'!B$2:B$746,B1393,'Base bordo'!F$2:F$746,"MAN PREVENTIVA - MECANICA"),0)+IFERROR(SUMIFS('Base bordo'!G$2:G$746,'Base bordo'!C$2:C$746,A1393,'Base bordo'!B$2:B$746,B1393,'Base bordo'!F$2:F$746,"MAN CORRETIVA - MECANICA"),0)</f>
        <v>0</v>
      </c>
      <c r="L1393" s="10">
        <f>IFERROR(SUMIFS('Base bordo'!G$2:G$746,'Base bordo'!C$2:C$746,A1393,'Base bordo'!B$2:B$746,B1393,'Base bordo'!F$2:F$746,"MANUTENCAO - T O"),0)+IFERROR(SUMIFS('Base bordo'!G$2:G$746,'Base bordo'!C$2:C$746,A1393,'Base bordo'!B$2:B$746,B1393,'Base bordo'!F$2:F$746,"MANUTENCAO BORRACHARIA"),0)+IFERROR(SUMIFS('Base bordo'!G$2:G$746,'Base bordo'!C$2:C$746,A1393,'Base bordo'!B$2:B$746,B1393,'Base bordo'!F$2:F$746,"MANUTENCAO EXTERNA  CONCESSIONARIA"),0)+IFERROR(SUMIFS('Base bordo'!G$2:G$746,'Base bordo'!C$2:C$746,A1393,'Base bordo'!B$2:B$746,B1393,'Base bordo'!F$2:F$746,"MANUTENCAO TELEMETRIA"),0)</f>
        <v>0.80694444444444446</v>
      </c>
      <c r="M1393" s="10">
        <f>IFERROR(SUMIFS('Base bordo'!G$2:G$746,'Base bordo'!C$2:C$746,A1393,'Base bordo'!B$2:B$746,B1393,'Base bordo'!F$2:F$746,"AGUARDANDO MANUTENCAO"),0)</f>
        <v>0</v>
      </c>
      <c r="N1393" s="10">
        <f>IFERROR(SUMIFS('Base bordo'!G$2:G$746,'Base bordo'!C$2:C$746,A1393,'Base bordo'!B$2:B$746,B1393,'Base bordo'!F$2:F$746,"SEM APONTAMENTO"),0)</f>
        <v>0</v>
      </c>
      <c r="O1393" s="10">
        <f t="shared" si="138"/>
        <v>0</v>
      </c>
      <c r="P1393" s="10">
        <f>IFERROR(SUMIFS('Base bordo'!G$2:G$746,'Base bordo'!C$2:C$746,A1393,'Base bordo'!B$2:B$746,B1393),0)</f>
        <v>0.80694444444444446</v>
      </c>
      <c r="Q1393" s="10">
        <f>IFERROR(SUMIFS('Base bordo'!H$2:H$746,'Base bordo'!C$2:C$746,A1393,'Base bordo'!B$2:B$746,B1393,'Base bordo'!F$2:F$746,"DESLOCAMENTO VAZIO"),0)</f>
        <v>0</v>
      </c>
      <c r="R1393" s="10">
        <f>IFERROR(SUMIFS('Base bordo'!I$2:I$746,'Base bordo'!C$2:C$746,A1393,'Base bordo'!B$2:B$746,B1393,'Base bordo'!F$2:F$746,"DESLOCAMENTO VAZIO"),0)</f>
        <v>0</v>
      </c>
      <c r="S1393" s="30" t="str">
        <f t="shared" si="139"/>
        <v/>
      </c>
      <c r="T1393" s="10">
        <f>IFERROR(SUMIFS('Base bordo'!H$2:H$746,'Base bordo'!C$2:C$746,A1393,'Base bordo'!B$2:B$746,B1393,'Base bordo'!F$2:F$746,"DESLOCAMENTO CARREGADO"),0)</f>
        <v>0</v>
      </c>
      <c r="U1393" s="10">
        <f>IFERROR(SUMIFS('Base bordo'!I$2:I$746,'Base bordo'!C$2:C$746,A1393,'Base bordo'!B$2:B$746,B1393,'Base bordo'!F$2:F$746,"DESLOCAMENTO CARREGADO"),0)</f>
        <v>0</v>
      </c>
      <c r="V1393" s="30" t="str">
        <f t="shared" si="140"/>
        <v/>
      </c>
      <c r="W1393" s="9">
        <f t="shared" si="141"/>
        <v>0</v>
      </c>
      <c r="X1393" s="9">
        <f t="shared" si="142"/>
        <v>0</v>
      </c>
      <c r="Y1393" s="9">
        <f t="shared" si="143"/>
        <v>1</v>
      </c>
    </row>
    <row r="1394" spans="1:25" ht="15" customHeight="1" x14ac:dyDescent="0.35">
      <c r="A1394" s="52">
        <v>8013475</v>
      </c>
      <c r="B1394" s="51">
        <v>46116</v>
      </c>
      <c r="C1394" s="7" t="s">
        <v>124</v>
      </c>
      <c r="D1394" s="10">
        <f>IFERROR(SUMIFS('Base bordo'!G$2:G$746,'Base bordo'!C$2:C$746,A1394,'Base bordo'!B$2:B$746,B1394,'Base bordo'!F$2:F$746,"DESLOCAMENTO VAZIO"),0)</f>
        <v>0</v>
      </c>
      <c r="E1394" s="10">
        <f>IFERROR(SUMIFS('Base bordo'!G$2:G$746,'Base bordo'!C$2:C$746,A1394,'Base bordo'!B$2:B$746,B1394,'Base bordo'!F$2:F$746,"DESLOCAMENTO CARREGADO"),0)</f>
        <v>0</v>
      </c>
      <c r="F1394" s="10">
        <f>IFERROR(SUMIFS('Base bordo'!G$2:G$746,'Base bordo'!C$2:C$746,A1394,'Base bordo'!B$2:B$746,B1394,'Base bordo'!F$2:F$746,"DESLOCAMENTO"),0)</f>
        <v>0</v>
      </c>
      <c r="G1394" s="10">
        <f>IFERROR(SUMIFS('Base bordo'!G$2:G$746,'Base bordo'!C$2:C$746,A1394,'Base bordo'!B$2:B$746,B1394,'Base bordo'!F$2:F$746,"CARREGAMENTO"),0)</f>
        <v>0</v>
      </c>
      <c r="H1394" s="10">
        <f>IFERROR(SUMIFS('Base bordo'!G$2:G$746,'Base bordo'!C$2:C$746,A1394,'Base bordo'!B$2:B$746,B1394,'Base bordo'!F$2:F$746,"AGUARDANDO TRANSBORDO"),0)</f>
        <v>0</v>
      </c>
      <c r="I1394" s="10">
        <f>IFERROR(SUMIFS('Base bordo'!G$2:G$746,'Base bordo'!C$2:C$746,A1394,'Base bordo'!B$2:B$746,B1394,'Base bordo'!F$2:F$746,"PÁTIO INTERNO"),0)+IFERROR(SUMIFS('Base bordo'!G$2:G$746,'Base bordo'!C$2:C$746,A1394,'Base bordo'!B$2:B$746,B1394,'Base bordo'!F$2:F$746,"PÁTIO EXTERNO"),0)+IFERROR(SUMIFS('Base bordo'!G$2:G$746,'Base bordo'!C$2:C$746,A1394,'Base bordo'!B$2:B$746,B1394,'Base bordo'!F$2:F$746,"PATIO - RESERVA"),0)+IFERROR(SUMIFS('Base bordo'!G$2:G$746,'Base bordo'!C$2:C$746,A1394,'Base bordo'!B$2:B$746,B1394,'Base bordo'!F$2:F$746,"MANOBRA CARRETAS-PATIO"),0)</f>
        <v>0</v>
      </c>
      <c r="J1394" s="10">
        <f>IFERROR(SUMIFS('Base bordo'!G$2:G$746,'Base bordo'!C$2:C$746,A1394,'Base bordo'!B$2:B$746,B1394,'Base bordo'!F$2:F$746,"BALANÇA - ENTRADA"),0)+IFERROR(SUMIFS('Base bordo'!G$2:G$746,'Base bordo'!C$2:C$746,A1394,'Base bordo'!B$2:B$746,B1394,'Base bordo'!F$2:F$746,"BALANÇA - SAÍDA"),0)</f>
        <v>0</v>
      </c>
      <c r="K1394" s="10">
        <f>IFERROR(SUMIFS('Base bordo'!G$2:G$746,'Base bordo'!C$2:C$746,A1394,'Base bordo'!B$2:B$746,B1394,'Base bordo'!F$2:F$746,"MAN PREVENTIVA - MECANICA"),0)+IFERROR(SUMIFS('Base bordo'!G$2:G$746,'Base bordo'!C$2:C$746,A1394,'Base bordo'!B$2:B$746,B1394,'Base bordo'!F$2:F$746,"MAN CORRETIVA - MECANICA"),0)</f>
        <v>0</v>
      </c>
      <c r="L1394" s="10">
        <f>IFERROR(SUMIFS('Base bordo'!G$2:G$746,'Base bordo'!C$2:C$746,A1394,'Base bordo'!B$2:B$746,B1394,'Base bordo'!F$2:F$746,"MANUTENCAO - T O"),0)+IFERROR(SUMIFS('Base bordo'!G$2:G$746,'Base bordo'!C$2:C$746,A1394,'Base bordo'!B$2:B$746,B1394,'Base bordo'!F$2:F$746,"MANUTENCAO BORRACHARIA"),0)+IFERROR(SUMIFS('Base bordo'!G$2:G$746,'Base bordo'!C$2:C$746,A1394,'Base bordo'!B$2:B$746,B1394,'Base bordo'!F$2:F$746,"MANUTENCAO EXTERNA  CONCESSIONARIA"),0)+IFERROR(SUMIFS('Base bordo'!G$2:G$746,'Base bordo'!C$2:C$746,A1394,'Base bordo'!B$2:B$746,B1394,'Base bordo'!F$2:F$746,"MANUTENCAO TELEMETRIA"),0)</f>
        <v>1.8027777777777778</v>
      </c>
      <c r="M1394" s="10">
        <f>IFERROR(SUMIFS('Base bordo'!G$2:G$746,'Base bordo'!C$2:C$746,A1394,'Base bordo'!B$2:B$746,B1394,'Base bordo'!F$2:F$746,"AGUARDANDO MANUTENCAO"),0)</f>
        <v>0</v>
      </c>
      <c r="N1394" s="10">
        <f>IFERROR(SUMIFS('Base bordo'!G$2:G$746,'Base bordo'!C$2:C$746,A1394,'Base bordo'!B$2:B$746,B1394,'Base bordo'!F$2:F$746,"SEM APONTAMENTO"),0)</f>
        <v>0</v>
      </c>
      <c r="O1394" s="10">
        <f t="shared" si="138"/>
        <v>0</v>
      </c>
      <c r="P1394" s="10">
        <f>IFERROR(SUMIFS('Base bordo'!G$2:G$746,'Base bordo'!C$2:C$746,A1394,'Base bordo'!B$2:B$746,B1394),0)</f>
        <v>1.8027777777777778</v>
      </c>
      <c r="Q1394" s="10">
        <f>IFERROR(SUMIFS('Base bordo'!H$2:H$746,'Base bordo'!C$2:C$746,A1394,'Base bordo'!B$2:B$746,B1394,'Base bordo'!F$2:F$746,"DESLOCAMENTO VAZIO"),0)</f>
        <v>0</v>
      </c>
      <c r="R1394" s="10">
        <f>IFERROR(SUMIFS('Base bordo'!I$2:I$746,'Base bordo'!C$2:C$746,A1394,'Base bordo'!B$2:B$746,B1394,'Base bordo'!F$2:F$746,"DESLOCAMENTO VAZIO"),0)</f>
        <v>0</v>
      </c>
      <c r="S1394" s="30" t="str">
        <f t="shared" si="139"/>
        <v/>
      </c>
      <c r="T1394" s="10">
        <f>IFERROR(SUMIFS('Base bordo'!H$2:H$746,'Base bordo'!C$2:C$746,A1394,'Base bordo'!B$2:B$746,B1394,'Base bordo'!F$2:F$746,"DESLOCAMENTO CARREGADO"),0)</f>
        <v>0</v>
      </c>
      <c r="U1394" s="10">
        <f>IFERROR(SUMIFS('Base bordo'!I$2:I$746,'Base bordo'!C$2:C$746,A1394,'Base bordo'!B$2:B$746,B1394,'Base bordo'!F$2:F$746,"DESLOCAMENTO CARREGADO"),0)</f>
        <v>0</v>
      </c>
      <c r="V1394" s="30" t="str">
        <f t="shared" si="140"/>
        <v/>
      </c>
      <c r="W1394" s="9">
        <f t="shared" si="141"/>
        <v>0</v>
      </c>
      <c r="X1394" s="9">
        <f t="shared" si="142"/>
        <v>0</v>
      </c>
      <c r="Y1394" s="9">
        <f t="shared" si="143"/>
        <v>1</v>
      </c>
    </row>
    <row r="1395" spans="1:25" ht="15" customHeight="1" x14ac:dyDescent="0.35">
      <c r="A1395" s="52">
        <v>8013476</v>
      </c>
      <c r="B1395" s="51">
        <v>46116</v>
      </c>
      <c r="C1395" s="7" t="s">
        <v>124</v>
      </c>
      <c r="D1395" s="10">
        <f>IFERROR(SUMIFS('Base bordo'!G$2:G$746,'Base bordo'!C$2:C$746,A1395,'Base bordo'!B$2:B$746,B1395,'Base bordo'!F$2:F$746,"DESLOCAMENTO VAZIO"),0)</f>
        <v>0</v>
      </c>
      <c r="E1395" s="10">
        <f>IFERROR(SUMIFS('Base bordo'!G$2:G$746,'Base bordo'!C$2:C$746,A1395,'Base bordo'!B$2:B$746,B1395,'Base bordo'!F$2:F$746,"DESLOCAMENTO CARREGADO"),0)</f>
        <v>0</v>
      </c>
      <c r="F1395" s="10">
        <f>IFERROR(SUMIFS('Base bordo'!G$2:G$746,'Base bordo'!C$2:C$746,A1395,'Base bordo'!B$2:B$746,B1395,'Base bordo'!F$2:F$746,"DESLOCAMENTO"),0)</f>
        <v>0</v>
      </c>
      <c r="G1395" s="10">
        <f>IFERROR(SUMIFS('Base bordo'!G$2:G$746,'Base bordo'!C$2:C$746,A1395,'Base bordo'!B$2:B$746,B1395,'Base bordo'!F$2:F$746,"CARREGAMENTO"),0)</f>
        <v>0</v>
      </c>
      <c r="H1395" s="10">
        <f>IFERROR(SUMIFS('Base bordo'!G$2:G$746,'Base bordo'!C$2:C$746,A1395,'Base bordo'!B$2:B$746,B1395,'Base bordo'!F$2:F$746,"AGUARDANDO TRANSBORDO"),0)</f>
        <v>0</v>
      </c>
      <c r="I1395" s="10">
        <f>IFERROR(SUMIFS('Base bordo'!G$2:G$746,'Base bordo'!C$2:C$746,A1395,'Base bordo'!B$2:B$746,B1395,'Base bordo'!F$2:F$746,"PÁTIO INTERNO"),0)+IFERROR(SUMIFS('Base bordo'!G$2:G$746,'Base bordo'!C$2:C$746,A1395,'Base bordo'!B$2:B$746,B1395,'Base bordo'!F$2:F$746,"PÁTIO EXTERNO"),0)+IFERROR(SUMIFS('Base bordo'!G$2:G$746,'Base bordo'!C$2:C$746,A1395,'Base bordo'!B$2:B$746,B1395,'Base bordo'!F$2:F$746,"PATIO - RESERVA"),0)+IFERROR(SUMIFS('Base bordo'!G$2:G$746,'Base bordo'!C$2:C$746,A1395,'Base bordo'!B$2:B$746,B1395,'Base bordo'!F$2:F$746,"MANOBRA CARRETAS-PATIO"),0)</f>
        <v>0</v>
      </c>
      <c r="J1395" s="10">
        <f>IFERROR(SUMIFS('Base bordo'!G$2:G$746,'Base bordo'!C$2:C$746,A1395,'Base bordo'!B$2:B$746,B1395,'Base bordo'!F$2:F$746,"BALANÇA - ENTRADA"),0)+IFERROR(SUMIFS('Base bordo'!G$2:G$746,'Base bordo'!C$2:C$746,A1395,'Base bordo'!B$2:B$746,B1395,'Base bordo'!F$2:F$746,"BALANÇA - SAÍDA"),0)</f>
        <v>0</v>
      </c>
      <c r="K1395" s="10">
        <f>IFERROR(SUMIFS('Base bordo'!G$2:G$746,'Base bordo'!C$2:C$746,A1395,'Base bordo'!B$2:B$746,B1395,'Base bordo'!F$2:F$746,"MAN PREVENTIVA - MECANICA"),0)+IFERROR(SUMIFS('Base bordo'!G$2:G$746,'Base bordo'!C$2:C$746,A1395,'Base bordo'!B$2:B$746,B1395,'Base bordo'!F$2:F$746,"MAN CORRETIVA - MECANICA"),0)</f>
        <v>0</v>
      </c>
      <c r="L1395" s="10">
        <f>IFERROR(SUMIFS('Base bordo'!G$2:G$746,'Base bordo'!C$2:C$746,A1395,'Base bordo'!B$2:B$746,B1395,'Base bordo'!F$2:F$746,"MANUTENCAO - T O"),0)+IFERROR(SUMIFS('Base bordo'!G$2:G$746,'Base bordo'!C$2:C$746,A1395,'Base bordo'!B$2:B$746,B1395,'Base bordo'!F$2:F$746,"MANUTENCAO BORRACHARIA"),0)+IFERROR(SUMIFS('Base bordo'!G$2:G$746,'Base bordo'!C$2:C$746,A1395,'Base bordo'!B$2:B$746,B1395,'Base bordo'!F$2:F$746,"MANUTENCAO EXTERNA  CONCESSIONARIA"),0)+IFERROR(SUMIFS('Base bordo'!G$2:G$746,'Base bordo'!C$2:C$746,A1395,'Base bordo'!B$2:B$746,B1395,'Base bordo'!F$2:F$746,"MANUTENCAO TELEMETRIA"),0)</f>
        <v>0</v>
      </c>
      <c r="M1395" s="10">
        <f>IFERROR(SUMIFS('Base bordo'!G$2:G$746,'Base bordo'!C$2:C$746,A1395,'Base bordo'!B$2:B$746,B1395,'Base bordo'!F$2:F$746,"AGUARDANDO MANUTENCAO"),0)</f>
        <v>0</v>
      </c>
      <c r="N1395" s="10">
        <f>IFERROR(SUMIFS('Base bordo'!G$2:G$746,'Base bordo'!C$2:C$746,A1395,'Base bordo'!B$2:B$746,B1395,'Base bordo'!F$2:F$746,"SEM APONTAMENTO"),0)</f>
        <v>0</v>
      </c>
      <c r="O1395" s="10">
        <f t="shared" si="138"/>
        <v>0</v>
      </c>
      <c r="P1395" s="10">
        <f>IFERROR(SUMIFS('Base bordo'!G$2:G$746,'Base bordo'!C$2:C$746,A1395,'Base bordo'!B$2:B$746,B1395),0)</f>
        <v>0</v>
      </c>
      <c r="Q1395" s="10">
        <f>IFERROR(SUMIFS('Base bordo'!H$2:H$746,'Base bordo'!C$2:C$746,A1395,'Base bordo'!B$2:B$746,B1395,'Base bordo'!F$2:F$746,"DESLOCAMENTO VAZIO"),0)</f>
        <v>0</v>
      </c>
      <c r="R1395" s="10">
        <f>IFERROR(SUMIFS('Base bordo'!I$2:I$746,'Base bordo'!C$2:C$746,A1395,'Base bordo'!B$2:B$746,B1395,'Base bordo'!F$2:F$746,"DESLOCAMENTO VAZIO"),0)</f>
        <v>0</v>
      </c>
      <c r="S1395" s="30" t="str">
        <f t="shared" si="139"/>
        <v/>
      </c>
      <c r="T1395" s="10">
        <f>IFERROR(SUMIFS('Base bordo'!H$2:H$746,'Base bordo'!C$2:C$746,A1395,'Base bordo'!B$2:B$746,B1395,'Base bordo'!F$2:F$746,"DESLOCAMENTO CARREGADO"),0)</f>
        <v>0</v>
      </c>
      <c r="U1395" s="10">
        <f>IFERROR(SUMIFS('Base bordo'!I$2:I$746,'Base bordo'!C$2:C$746,A1395,'Base bordo'!B$2:B$746,B1395,'Base bordo'!F$2:F$746,"DESLOCAMENTO CARREGADO"),0)</f>
        <v>0</v>
      </c>
      <c r="V1395" s="30" t="str">
        <f t="shared" si="140"/>
        <v/>
      </c>
      <c r="W1395" s="9">
        <f t="shared" si="141"/>
        <v>0</v>
      </c>
      <c r="X1395" s="9">
        <f t="shared" si="142"/>
        <v>0</v>
      </c>
      <c r="Y1395" s="9">
        <f t="shared" si="143"/>
        <v>0</v>
      </c>
    </row>
    <row r="1396" spans="1:25" ht="15" customHeight="1" x14ac:dyDescent="0.35">
      <c r="A1396" s="52">
        <v>8013478</v>
      </c>
      <c r="B1396" s="51">
        <v>46116</v>
      </c>
      <c r="C1396" s="7" t="s">
        <v>124</v>
      </c>
      <c r="D1396" s="10">
        <f>IFERROR(SUMIFS('Base bordo'!G$2:G$746,'Base bordo'!C$2:C$746,A1396,'Base bordo'!B$2:B$746,B1396,'Base bordo'!F$2:F$746,"DESLOCAMENTO VAZIO"),0)</f>
        <v>0</v>
      </c>
      <c r="E1396" s="10">
        <f>IFERROR(SUMIFS('Base bordo'!G$2:G$746,'Base bordo'!C$2:C$746,A1396,'Base bordo'!B$2:B$746,B1396,'Base bordo'!F$2:F$746,"DESLOCAMENTO CARREGADO"),0)</f>
        <v>0</v>
      </c>
      <c r="F1396" s="10">
        <f>IFERROR(SUMIFS('Base bordo'!G$2:G$746,'Base bordo'!C$2:C$746,A1396,'Base bordo'!B$2:B$746,B1396,'Base bordo'!F$2:F$746,"DESLOCAMENTO"),0)</f>
        <v>0</v>
      </c>
      <c r="G1396" s="10">
        <f>IFERROR(SUMIFS('Base bordo'!G$2:G$746,'Base bordo'!C$2:C$746,A1396,'Base bordo'!B$2:B$746,B1396,'Base bordo'!F$2:F$746,"CARREGAMENTO"),0)</f>
        <v>0</v>
      </c>
      <c r="H1396" s="10">
        <f>IFERROR(SUMIFS('Base bordo'!G$2:G$746,'Base bordo'!C$2:C$746,A1396,'Base bordo'!B$2:B$746,B1396,'Base bordo'!F$2:F$746,"AGUARDANDO TRANSBORDO"),0)</f>
        <v>0</v>
      </c>
      <c r="I1396" s="10">
        <f>IFERROR(SUMIFS('Base bordo'!G$2:G$746,'Base bordo'!C$2:C$746,A1396,'Base bordo'!B$2:B$746,B1396,'Base bordo'!F$2:F$746,"PÁTIO INTERNO"),0)+IFERROR(SUMIFS('Base bordo'!G$2:G$746,'Base bordo'!C$2:C$746,A1396,'Base bordo'!B$2:B$746,B1396,'Base bordo'!F$2:F$746,"PÁTIO EXTERNO"),0)+IFERROR(SUMIFS('Base bordo'!G$2:G$746,'Base bordo'!C$2:C$746,A1396,'Base bordo'!B$2:B$746,B1396,'Base bordo'!F$2:F$746,"PATIO - RESERVA"),0)+IFERROR(SUMIFS('Base bordo'!G$2:G$746,'Base bordo'!C$2:C$746,A1396,'Base bordo'!B$2:B$746,B1396,'Base bordo'!F$2:F$746,"MANOBRA CARRETAS-PATIO"),0)</f>
        <v>0</v>
      </c>
      <c r="J1396" s="10">
        <f>IFERROR(SUMIFS('Base bordo'!G$2:G$746,'Base bordo'!C$2:C$746,A1396,'Base bordo'!B$2:B$746,B1396,'Base bordo'!F$2:F$746,"BALANÇA - ENTRADA"),0)+IFERROR(SUMIFS('Base bordo'!G$2:G$746,'Base bordo'!C$2:C$746,A1396,'Base bordo'!B$2:B$746,B1396,'Base bordo'!F$2:F$746,"BALANÇA - SAÍDA"),0)</f>
        <v>0</v>
      </c>
      <c r="K1396" s="10">
        <f>IFERROR(SUMIFS('Base bordo'!G$2:G$746,'Base bordo'!C$2:C$746,A1396,'Base bordo'!B$2:B$746,B1396,'Base bordo'!F$2:F$746,"MAN PREVENTIVA - MECANICA"),0)+IFERROR(SUMIFS('Base bordo'!G$2:G$746,'Base bordo'!C$2:C$746,A1396,'Base bordo'!B$2:B$746,B1396,'Base bordo'!F$2:F$746,"MAN CORRETIVA - MECANICA"),0)</f>
        <v>0</v>
      </c>
      <c r="L1396" s="10">
        <f>IFERROR(SUMIFS('Base bordo'!G$2:G$746,'Base bordo'!C$2:C$746,A1396,'Base bordo'!B$2:B$746,B1396,'Base bordo'!F$2:F$746,"MANUTENCAO - T O"),0)+IFERROR(SUMIFS('Base bordo'!G$2:G$746,'Base bordo'!C$2:C$746,A1396,'Base bordo'!B$2:B$746,B1396,'Base bordo'!F$2:F$746,"MANUTENCAO BORRACHARIA"),0)+IFERROR(SUMIFS('Base bordo'!G$2:G$746,'Base bordo'!C$2:C$746,A1396,'Base bordo'!B$2:B$746,B1396,'Base bordo'!F$2:F$746,"MANUTENCAO EXTERNA  CONCESSIONARIA"),0)+IFERROR(SUMIFS('Base bordo'!G$2:G$746,'Base bordo'!C$2:C$746,A1396,'Base bordo'!B$2:B$746,B1396,'Base bordo'!F$2:F$746,"MANUTENCAO TELEMETRIA"),0)</f>
        <v>0</v>
      </c>
      <c r="M1396" s="10">
        <f>IFERROR(SUMIFS('Base bordo'!G$2:G$746,'Base bordo'!C$2:C$746,A1396,'Base bordo'!B$2:B$746,B1396,'Base bordo'!F$2:F$746,"AGUARDANDO MANUTENCAO"),0)</f>
        <v>0</v>
      </c>
      <c r="N1396" s="10">
        <f>IFERROR(SUMIFS('Base bordo'!G$2:G$746,'Base bordo'!C$2:C$746,A1396,'Base bordo'!B$2:B$746,B1396,'Base bordo'!F$2:F$746,"SEM APONTAMENTO"),0)</f>
        <v>0</v>
      </c>
      <c r="O1396" s="10">
        <f t="shared" si="138"/>
        <v>0</v>
      </c>
      <c r="P1396" s="10">
        <f>IFERROR(SUMIFS('Base bordo'!G$2:G$746,'Base bordo'!C$2:C$746,A1396,'Base bordo'!B$2:B$746,B1396),0)</f>
        <v>0</v>
      </c>
      <c r="Q1396" s="10">
        <f>IFERROR(SUMIFS('Base bordo'!H$2:H$746,'Base bordo'!C$2:C$746,A1396,'Base bordo'!B$2:B$746,B1396,'Base bordo'!F$2:F$746,"DESLOCAMENTO VAZIO"),0)</f>
        <v>0</v>
      </c>
      <c r="R1396" s="10">
        <f>IFERROR(SUMIFS('Base bordo'!I$2:I$746,'Base bordo'!C$2:C$746,A1396,'Base bordo'!B$2:B$746,B1396,'Base bordo'!F$2:F$746,"DESLOCAMENTO VAZIO"),0)</f>
        <v>0</v>
      </c>
      <c r="S1396" s="30" t="str">
        <f t="shared" si="139"/>
        <v/>
      </c>
      <c r="T1396" s="10">
        <f>IFERROR(SUMIFS('Base bordo'!H$2:H$746,'Base bordo'!C$2:C$746,A1396,'Base bordo'!B$2:B$746,B1396,'Base bordo'!F$2:F$746,"DESLOCAMENTO CARREGADO"),0)</f>
        <v>0</v>
      </c>
      <c r="U1396" s="10">
        <f>IFERROR(SUMIFS('Base bordo'!I$2:I$746,'Base bordo'!C$2:C$746,A1396,'Base bordo'!B$2:B$746,B1396,'Base bordo'!F$2:F$746,"DESLOCAMENTO CARREGADO"),0)</f>
        <v>0</v>
      </c>
      <c r="V1396" s="30" t="str">
        <f t="shared" si="140"/>
        <v/>
      </c>
      <c r="W1396" s="9">
        <f t="shared" si="141"/>
        <v>0</v>
      </c>
      <c r="X1396" s="9">
        <f t="shared" si="142"/>
        <v>0</v>
      </c>
      <c r="Y1396" s="9">
        <f t="shared" si="143"/>
        <v>0</v>
      </c>
    </row>
    <row r="1397" spans="1:25" ht="15" customHeight="1" x14ac:dyDescent="0.35">
      <c r="A1397" s="52">
        <v>8013480</v>
      </c>
      <c r="B1397" s="51">
        <v>46116</v>
      </c>
      <c r="C1397" s="7" t="s">
        <v>124</v>
      </c>
      <c r="D1397" s="10">
        <f>IFERROR(SUMIFS('Base bordo'!G$2:G$746,'Base bordo'!C$2:C$746,A1397,'Base bordo'!B$2:B$746,B1397,'Base bordo'!F$2:F$746,"DESLOCAMENTO VAZIO"),0)</f>
        <v>0</v>
      </c>
      <c r="E1397" s="10">
        <f>IFERROR(SUMIFS('Base bordo'!G$2:G$746,'Base bordo'!C$2:C$746,A1397,'Base bordo'!B$2:B$746,B1397,'Base bordo'!F$2:F$746,"DESLOCAMENTO CARREGADO"),0)</f>
        <v>0</v>
      </c>
      <c r="F1397" s="10">
        <f>IFERROR(SUMIFS('Base bordo'!G$2:G$746,'Base bordo'!C$2:C$746,A1397,'Base bordo'!B$2:B$746,B1397,'Base bordo'!F$2:F$746,"DESLOCAMENTO"),0)</f>
        <v>0</v>
      </c>
      <c r="G1397" s="10">
        <f>IFERROR(SUMIFS('Base bordo'!G$2:G$746,'Base bordo'!C$2:C$746,A1397,'Base bordo'!B$2:B$746,B1397,'Base bordo'!F$2:F$746,"CARREGAMENTO"),0)</f>
        <v>0</v>
      </c>
      <c r="H1397" s="10">
        <f>IFERROR(SUMIFS('Base bordo'!G$2:G$746,'Base bordo'!C$2:C$746,A1397,'Base bordo'!B$2:B$746,B1397,'Base bordo'!F$2:F$746,"AGUARDANDO TRANSBORDO"),0)</f>
        <v>0</v>
      </c>
      <c r="I1397" s="10">
        <f>IFERROR(SUMIFS('Base bordo'!G$2:G$746,'Base bordo'!C$2:C$746,A1397,'Base bordo'!B$2:B$746,B1397,'Base bordo'!F$2:F$746,"PÁTIO INTERNO"),0)+IFERROR(SUMIFS('Base bordo'!G$2:G$746,'Base bordo'!C$2:C$746,A1397,'Base bordo'!B$2:B$746,B1397,'Base bordo'!F$2:F$746,"PÁTIO EXTERNO"),0)+IFERROR(SUMIFS('Base bordo'!G$2:G$746,'Base bordo'!C$2:C$746,A1397,'Base bordo'!B$2:B$746,B1397,'Base bordo'!F$2:F$746,"PATIO - RESERVA"),0)+IFERROR(SUMIFS('Base bordo'!G$2:G$746,'Base bordo'!C$2:C$746,A1397,'Base bordo'!B$2:B$746,B1397,'Base bordo'!F$2:F$746,"MANOBRA CARRETAS-PATIO"),0)</f>
        <v>0</v>
      </c>
      <c r="J1397" s="10">
        <f>IFERROR(SUMIFS('Base bordo'!G$2:G$746,'Base bordo'!C$2:C$746,A1397,'Base bordo'!B$2:B$746,B1397,'Base bordo'!F$2:F$746,"BALANÇA - ENTRADA"),0)+IFERROR(SUMIFS('Base bordo'!G$2:G$746,'Base bordo'!C$2:C$746,A1397,'Base bordo'!B$2:B$746,B1397,'Base bordo'!F$2:F$746,"BALANÇA - SAÍDA"),0)</f>
        <v>0</v>
      </c>
      <c r="K1397" s="10">
        <f>IFERROR(SUMIFS('Base bordo'!G$2:G$746,'Base bordo'!C$2:C$746,A1397,'Base bordo'!B$2:B$746,B1397,'Base bordo'!F$2:F$746,"MAN PREVENTIVA - MECANICA"),0)+IFERROR(SUMIFS('Base bordo'!G$2:G$746,'Base bordo'!C$2:C$746,A1397,'Base bordo'!B$2:B$746,B1397,'Base bordo'!F$2:F$746,"MAN CORRETIVA - MECANICA"),0)</f>
        <v>0</v>
      </c>
      <c r="L1397" s="10">
        <f>IFERROR(SUMIFS('Base bordo'!G$2:G$746,'Base bordo'!C$2:C$746,A1397,'Base bordo'!B$2:B$746,B1397,'Base bordo'!F$2:F$746,"MANUTENCAO - T O"),0)+IFERROR(SUMIFS('Base bordo'!G$2:G$746,'Base bordo'!C$2:C$746,A1397,'Base bordo'!B$2:B$746,B1397,'Base bordo'!F$2:F$746,"MANUTENCAO BORRACHARIA"),0)+IFERROR(SUMIFS('Base bordo'!G$2:G$746,'Base bordo'!C$2:C$746,A1397,'Base bordo'!B$2:B$746,B1397,'Base bordo'!F$2:F$746,"MANUTENCAO EXTERNA  CONCESSIONARIA"),0)+IFERROR(SUMIFS('Base bordo'!G$2:G$746,'Base bordo'!C$2:C$746,A1397,'Base bordo'!B$2:B$746,B1397,'Base bordo'!F$2:F$746,"MANUTENCAO TELEMETRIA"),0)</f>
        <v>0</v>
      </c>
      <c r="M1397" s="10">
        <f>IFERROR(SUMIFS('Base bordo'!G$2:G$746,'Base bordo'!C$2:C$746,A1397,'Base bordo'!B$2:B$746,B1397,'Base bordo'!F$2:F$746,"AGUARDANDO MANUTENCAO"),0)</f>
        <v>0</v>
      </c>
      <c r="N1397" s="10">
        <f>IFERROR(SUMIFS('Base bordo'!G$2:G$746,'Base bordo'!C$2:C$746,A1397,'Base bordo'!B$2:B$746,B1397,'Base bordo'!F$2:F$746,"SEM APONTAMENTO"),0)</f>
        <v>0</v>
      </c>
      <c r="O1397" s="10">
        <f t="shared" si="138"/>
        <v>0</v>
      </c>
      <c r="P1397" s="10">
        <f>IFERROR(SUMIFS('Base bordo'!G$2:G$746,'Base bordo'!C$2:C$746,A1397,'Base bordo'!B$2:B$746,B1397),0)</f>
        <v>0</v>
      </c>
      <c r="Q1397" s="10">
        <f>IFERROR(SUMIFS('Base bordo'!H$2:H$746,'Base bordo'!C$2:C$746,A1397,'Base bordo'!B$2:B$746,B1397,'Base bordo'!F$2:F$746,"DESLOCAMENTO VAZIO"),0)</f>
        <v>0</v>
      </c>
      <c r="R1397" s="10">
        <f>IFERROR(SUMIFS('Base bordo'!I$2:I$746,'Base bordo'!C$2:C$746,A1397,'Base bordo'!B$2:B$746,B1397,'Base bordo'!F$2:F$746,"DESLOCAMENTO VAZIO"),0)</f>
        <v>0</v>
      </c>
      <c r="S1397" s="30" t="str">
        <f t="shared" si="139"/>
        <v/>
      </c>
      <c r="T1397" s="10">
        <f>IFERROR(SUMIFS('Base bordo'!H$2:H$746,'Base bordo'!C$2:C$746,A1397,'Base bordo'!B$2:B$746,B1397,'Base bordo'!F$2:F$746,"DESLOCAMENTO CARREGADO"),0)</f>
        <v>0</v>
      </c>
      <c r="U1397" s="10">
        <f>IFERROR(SUMIFS('Base bordo'!I$2:I$746,'Base bordo'!C$2:C$746,A1397,'Base bordo'!B$2:B$746,B1397,'Base bordo'!F$2:F$746,"DESLOCAMENTO CARREGADO"),0)</f>
        <v>0</v>
      </c>
      <c r="V1397" s="30" t="str">
        <f t="shared" si="140"/>
        <v/>
      </c>
      <c r="W1397" s="9">
        <f t="shared" si="141"/>
        <v>0</v>
      </c>
      <c r="X1397" s="9">
        <f t="shared" si="142"/>
        <v>0</v>
      </c>
      <c r="Y1397" s="9">
        <f t="shared" si="143"/>
        <v>0</v>
      </c>
    </row>
    <row r="1398" spans="1:25" ht="15" customHeight="1" x14ac:dyDescent="0.35">
      <c r="A1398" s="52">
        <v>8013481</v>
      </c>
      <c r="B1398" s="51">
        <v>46116</v>
      </c>
      <c r="C1398" s="7" t="s">
        <v>124</v>
      </c>
      <c r="D1398" s="10">
        <f>IFERROR(SUMIFS('Base bordo'!G$2:G$746,'Base bordo'!C$2:C$746,A1398,'Base bordo'!B$2:B$746,B1398,'Base bordo'!F$2:F$746,"DESLOCAMENTO VAZIO"),0)</f>
        <v>0</v>
      </c>
      <c r="E1398" s="10">
        <f>IFERROR(SUMIFS('Base bordo'!G$2:G$746,'Base bordo'!C$2:C$746,A1398,'Base bordo'!B$2:B$746,B1398,'Base bordo'!F$2:F$746,"DESLOCAMENTO CARREGADO"),0)</f>
        <v>0</v>
      </c>
      <c r="F1398" s="10">
        <f>IFERROR(SUMIFS('Base bordo'!G$2:G$746,'Base bordo'!C$2:C$746,A1398,'Base bordo'!B$2:B$746,B1398,'Base bordo'!F$2:F$746,"DESLOCAMENTO"),0)</f>
        <v>0</v>
      </c>
      <c r="G1398" s="10">
        <f>IFERROR(SUMIFS('Base bordo'!G$2:G$746,'Base bordo'!C$2:C$746,A1398,'Base bordo'!B$2:B$746,B1398,'Base bordo'!F$2:F$746,"CARREGAMENTO"),0)</f>
        <v>0</v>
      </c>
      <c r="H1398" s="10">
        <f>IFERROR(SUMIFS('Base bordo'!G$2:G$746,'Base bordo'!C$2:C$746,A1398,'Base bordo'!B$2:B$746,B1398,'Base bordo'!F$2:F$746,"AGUARDANDO TRANSBORDO"),0)</f>
        <v>0</v>
      </c>
      <c r="I1398" s="10">
        <f>IFERROR(SUMIFS('Base bordo'!G$2:G$746,'Base bordo'!C$2:C$746,A1398,'Base bordo'!B$2:B$746,B1398,'Base bordo'!F$2:F$746,"PÁTIO INTERNO"),0)+IFERROR(SUMIFS('Base bordo'!G$2:G$746,'Base bordo'!C$2:C$746,A1398,'Base bordo'!B$2:B$746,B1398,'Base bordo'!F$2:F$746,"PÁTIO EXTERNO"),0)+IFERROR(SUMIFS('Base bordo'!G$2:G$746,'Base bordo'!C$2:C$746,A1398,'Base bordo'!B$2:B$746,B1398,'Base bordo'!F$2:F$746,"PATIO - RESERVA"),0)+IFERROR(SUMIFS('Base bordo'!G$2:G$746,'Base bordo'!C$2:C$746,A1398,'Base bordo'!B$2:B$746,B1398,'Base bordo'!F$2:F$746,"MANOBRA CARRETAS-PATIO"),0)</f>
        <v>0</v>
      </c>
      <c r="J1398" s="10">
        <f>IFERROR(SUMIFS('Base bordo'!G$2:G$746,'Base bordo'!C$2:C$746,A1398,'Base bordo'!B$2:B$746,B1398,'Base bordo'!F$2:F$746,"BALANÇA - ENTRADA"),0)+IFERROR(SUMIFS('Base bordo'!G$2:G$746,'Base bordo'!C$2:C$746,A1398,'Base bordo'!B$2:B$746,B1398,'Base bordo'!F$2:F$746,"BALANÇA - SAÍDA"),0)</f>
        <v>0</v>
      </c>
      <c r="K1398" s="10">
        <f>IFERROR(SUMIFS('Base bordo'!G$2:G$746,'Base bordo'!C$2:C$746,A1398,'Base bordo'!B$2:B$746,B1398,'Base bordo'!F$2:F$746,"MAN PREVENTIVA - MECANICA"),0)+IFERROR(SUMIFS('Base bordo'!G$2:G$746,'Base bordo'!C$2:C$746,A1398,'Base bordo'!B$2:B$746,B1398,'Base bordo'!F$2:F$746,"MAN CORRETIVA - MECANICA"),0)</f>
        <v>0</v>
      </c>
      <c r="L1398" s="10">
        <f>IFERROR(SUMIFS('Base bordo'!G$2:G$746,'Base bordo'!C$2:C$746,A1398,'Base bordo'!B$2:B$746,B1398,'Base bordo'!F$2:F$746,"MANUTENCAO - T O"),0)+IFERROR(SUMIFS('Base bordo'!G$2:G$746,'Base bordo'!C$2:C$746,A1398,'Base bordo'!B$2:B$746,B1398,'Base bordo'!F$2:F$746,"MANUTENCAO BORRACHARIA"),0)+IFERROR(SUMIFS('Base bordo'!G$2:G$746,'Base bordo'!C$2:C$746,A1398,'Base bordo'!B$2:B$746,B1398,'Base bordo'!F$2:F$746,"MANUTENCAO EXTERNA  CONCESSIONARIA"),0)+IFERROR(SUMIFS('Base bordo'!G$2:G$746,'Base bordo'!C$2:C$746,A1398,'Base bordo'!B$2:B$746,B1398,'Base bordo'!F$2:F$746,"MANUTENCAO TELEMETRIA"),0)</f>
        <v>0</v>
      </c>
      <c r="M1398" s="10">
        <f>IFERROR(SUMIFS('Base bordo'!G$2:G$746,'Base bordo'!C$2:C$746,A1398,'Base bordo'!B$2:B$746,B1398,'Base bordo'!F$2:F$746,"AGUARDANDO MANUTENCAO"),0)</f>
        <v>0</v>
      </c>
      <c r="N1398" s="10">
        <f>IFERROR(SUMIFS('Base bordo'!G$2:G$746,'Base bordo'!C$2:C$746,A1398,'Base bordo'!B$2:B$746,B1398,'Base bordo'!F$2:F$746,"SEM APONTAMENTO"),0)</f>
        <v>0</v>
      </c>
      <c r="O1398" s="10">
        <f t="shared" si="138"/>
        <v>0</v>
      </c>
      <c r="P1398" s="10">
        <f>IFERROR(SUMIFS('Base bordo'!G$2:G$746,'Base bordo'!C$2:C$746,A1398,'Base bordo'!B$2:B$746,B1398),0)</f>
        <v>0</v>
      </c>
      <c r="Q1398" s="10">
        <f>IFERROR(SUMIFS('Base bordo'!H$2:H$746,'Base bordo'!C$2:C$746,A1398,'Base bordo'!B$2:B$746,B1398,'Base bordo'!F$2:F$746,"DESLOCAMENTO VAZIO"),0)</f>
        <v>0</v>
      </c>
      <c r="R1398" s="10">
        <f>IFERROR(SUMIFS('Base bordo'!I$2:I$746,'Base bordo'!C$2:C$746,A1398,'Base bordo'!B$2:B$746,B1398,'Base bordo'!F$2:F$746,"DESLOCAMENTO VAZIO"),0)</f>
        <v>0</v>
      </c>
      <c r="S1398" s="30" t="str">
        <f t="shared" si="139"/>
        <v/>
      </c>
      <c r="T1398" s="10">
        <f>IFERROR(SUMIFS('Base bordo'!H$2:H$746,'Base bordo'!C$2:C$746,A1398,'Base bordo'!B$2:B$746,B1398,'Base bordo'!F$2:F$746,"DESLOCAMENTO CARREGADO"),0)</f>
        <v>0</v>
      </c>
      <c r="U1398" s="10">
        <f>IFERROR(SUMIFS('Base bordo'!I$2:I$746,'Base bordo'!C$2:C$746,A1398,'Base bordo'!B$2:B$746,B1398,'Base bordo'!F$2:F$746,"DESLOCAMENTO CARREGADO"),0)</f>
        <v>0</v>
      </c>
      <c r="V1398" s="30" t="str">
        <f t="shared" si="140"/>
        <v/>
      </c>
      <c r="W1398" s="9">
        <f t="shared" si="141"/>
        <v>0</v>
      </c>
      <c r="X1398" s="9">
        <f t="shared" si="142"/>
        <v>0</v>
      </c>
      <c r="Y1398" s="9">
        <f t="shared" si="143"/>
        <v>0</v>
      </c>
    </row>
    <row r="1399" spans="1:25" ht="15" customHeight="1" x14ac:dyDescent="0.35">
      <c r="A1399" s="52">
        <v>8013482</v>
      </c>
      <c r="B1399" s="51">
        <v>46116</v>
      </c>
      <c r="C1399" s="7" t="s">
        <v>124</v>
      </c>
      <c r="D1399" s="10">
        <f>IFERROR(SUMIFS('Base bordo'!G$2:G$746,'Base bordo'!C$2:C$746,A1399,'Base bordo'!B$2:B$746,B1399,'Base bordo'!F$2:F$746,"DESLOCAMENTO VAZIO"),0)</f>
        <v>0</v>
      </c>
      <c r="E1399" s="10">
        <f>IFERROR(SUMIFS('Base bordo'!G$2:G$746,'Base bordo'!C$2:C$746,A1399,'Base bordo'!B$2:B$746,B1399,'Base bordo'!F$2:F$746,"DESLOCAMENTO CARREGADO"),0)</f>
        <v>0</v>
      </c>
      <c r="F1399" s="10">
        <f>IFERROR(SUMIFS('Base bordo'!G$2:G$746,'Base bordo'!C$2:C$746,A1399,'Base bordo'!B$2:B$746,B1399,'Base bordo'!F$2:F$746,"DESLOCAMENTO"),0)</f>
        <v>0</v>
      </c>
      <c r="G1399" s="10">
        <f>IFERROR(SUMIFS('Base bordo'!G$2:G$746,'Base bordo'!C$2:C$746,A1399,'Base bordo'!B$2:B$746,B1399,'Base bordo'!F$2:F$746,"CARREGAMENTO"),0)</f>
        <v>0</v>
      </c>
      <c r="H1399" s="10">
        <f>IFERROR(SUMIFS('Base bordo'!G$2:G$746,'Base bordo'!C$2:C$746,A1399,'Base bordo'!B$2:B$746,B1399,'Base bordo'!F$2:F$746,"AGUARDANDO TRANSBORDO"),0)</f>
        <v>0</v>
      </c>
      <c r="I1399" s="10">
        <f>IFERROR(SUMIFS('Base bordo'!G$2:G$746,'Base bordo'!C$2:C$746,A1399,'Base bordo'!B$2:B$746,B1399,'Base bordo'!F$2:F$746,"PÁTIO INTERNO"),0)+IFERROR(SUMIFS('Base bordo'!G$2:G$746,'Base bordo'!C$2:C$746,A1399,'Base bordo'!B$2:B$746,B1399,'Base bordo'!F$2:F$746,"PÁTIO EXTERNO"),0)+IFERROR(SUMIFS('Base bordo'!G$2:G$746,'Base bordo'!C$2:C$746,A1399,'Base bordo'!B$2:B$746,B1399,'Base bordo'!F$2:F$746,"PATIO - RESERVA"),0)+IFERROR(SUMIFS('Base bordo'!G$2:G$746,'Base bordo'!C$2:C$746,A1399,'Base bordo'!B$2:B$746,B1399,'Base bordo'!F$2:F$746,"MANOBRA CARRETAS-PATIO"),0)</f>
        <v>0</v>
      </c>
      <c r="J1399" s="10">
        <f>IFERROR(SUMIFS('Base bordo'!G$2:G$746,'Base bordo'!C$2:C$746,A1399,'Base bordo'!B$2:B$746,B1399,'Base bordo'!F$2:F$746,"BALANÇA - ENTRADA"),0)+IFERROR(SUMIFS('Base bordo'!G$2:G$746,'Base bordo'!C$2:C$746,A1399,'Base bordo'!B$2:B$746,B1399,'Base bordo'!F$2:F$746,"BALANÇA - SAÍDA"),0)</f>
        <v>0</v>
      </c>
      <c r="K1399" s="10">
        <f>IFERROR(SUMIFS('Base bordo'!G$2:G$746,'Base bordo'!C$2:C$746,A1399,'Base bordo'!B$2:B$746,B1399,'Base bordo'!F$2:F$746,"MAN PREVENTIVA - MECANICA"),0)+IFERROR(SUMIFS('Base bordo'!G$2:G$746,'Base bordo'!C$2:C$746,A1399,'Base bordo'!B$2:B$746,B1399,'Base bordo'!F$2:F$746,"MAN CORRETIVA - MECANICA"),0)</f>
        <v>0</v>
      </c>
      <c r="L1399" s="10">
        <f>IFERROR(SUMIFS('Base bordo'!G$2:G$746,'Base bordo'!C$2:C$746,A1399,'Base bordo'!B$2:B$746,B1399,'Base bordo'!F$2:F$746,"MANUTENCAO - T O"),0)+IFERROR(SUMIFS('Base bordo'!G$2:G$746,'Base bordo'!C$2:C$746,A1399,'Base bordo'!B$2:B$746,B1399,'Base bordo'!F$2:F$746,"MANUTENCAO BORRACHARIA"),0)+IFERROR(SUMIFS('Base bordo'!G$2:G$746,'Base bordo'!C$2:C$746,A1399,'Base bordo'!B$2:B$746,B1399,'Base bordo'!F$2:F$746,"MANUTENCAO EXTERNA  CONCESSIONARIA"),0)+IFERROR(SUMIFS('Base bordo'!G$2:G$746,'Base bordo'!C$2:C$746,A1399,'Base bordo'!B$2:B$746,B1399,'Base bordo'!F$2:F$746,"MANUTENCAO TELEMETRIA"),0)</f>
        <v>9.2813888888888894</v>
      </c>
      <c r="M1399" s="10">
        <f>IFERROR(SUMIFS('Base bordo'!G$2:G$746,'Base bordo'!C$2:C$746,A1399,'Base bordo'!B$2:B$746,B1399,'Base bordo'!F$2:F$746,"AGUARDANDO MANUTENCAO"),0)</f>
        <v>0</v>
      </c>
      <c r="N1399" s="10">
        <f>IFERROR(SUMIFS('Base bordo'!G$2:G$746,'Base bordo'!C$2:C$746,A1399,'Base bordo'!B$2:B$746,B1399,'Base bordo'!F$2:F$746,"SEM APONTAMENTO"),0)</f>
        <v>0</v>
      </c>
      <c r="O1399" s="10">
        <f t="shared" si="138"/>
        <v>0</v>
      </c>
      <c r="P1399" s="10">
        <f>IFERROR(SUMIFS('Base bordo'!G$2:G$746,'Base bordo'!C$2:C$746,A1399,'Base bordo'!B$2:B$746,B1399),0)</f>
        <v>9.2813888888888894</v>
      </c>
      <c r="Q1399" s="10">
        <f>IFERROR(SUMIFS('Base bordo'!H$2:H$746,'Base bordo'!C$2:C$746,A1399,'Base bordo'!B$2:B$746,B1399,'Base bordo'!F$2:F$746,"DESLOCAMENTO VAZIO"),0)</f>
        <v>0</v>
      </c>
      <c r="R1399" s="10">
        <f>IFERROR(SUMIFS('Base bordo'!I$2:I$746,'Base bordo'!C$2:C$746,A1399,'Base bordo'!B$2:B$746,B1399,'Base bordo'!F$2:F$746,"DESLOCAMENTO VAZIO"),0)</f>
        <v>0</v>
      </c>
      <c r="S1399" s="30" t="str">
        <f t="shared" si="139"/>
        <v/>
      </c>
      <c r="T1399" s="10">
        <f>IFERROR(SUMIFS('Base bordo'!H$2:H$746,'Base bordo'!C$2:C$746,A1399,'Base bordo'!B$2:B$746,B1399,'Base bordo'!F$2:F$746,"DESLOCAMENTO CARREGADO"),0)</f>
        <v>0</v>
      </c>
      <c r="U1399" s="10">
        <f>IFERROR(SUMIFS('Base bordo'!I$2:I$746,'Base bordo'!C$2:C$746,A1399,'Base bordo'!B$2:B$746,B1399,'Base bordo'!F$2:F$746,"DESLOCAMENTO CARREGADO"),0)</f>
        <v>0</v>
      </c>
      <c r="V1399" s="30" t="str">
        <f t="shared" si="140"/>
        <v/>
      </c>
      <c r="W1399" s="9">
        <f t="shared" si="141"/>
        <v>0</v>
      </c>
      <c r="X1399" s="9">
        <f t="shared" si="142"/>
        <v>0</v>
      </c>
      <c r="Y1399" s="9">
        <f t="shared" si="143"/>
        <v>1</v>
      </c>
    </row>
    <row r="1400" spans="1:25" ht="15" customHeight="1" x14ac:dyDescent="0.35">
      <c r="A1400" s="52">
        <v>8013483</v>
      </c>
      <c r="B1400" s="51">
        <v>46116</v>
      </c>
      <c r="C1400" s="7" t="s">
        <v>124</v>
      </c>
      <c r="D1400" s="10">
        <f>IFERROR(SUMIFS('Base bordo'!G$2:G$746,'Base bordo'!C$2:C$746,A1400,'Base bordo'!B$2:B$746,B1400,'Base bordo'!F$2:F$746,"DESLOCAMENTO VAZIO"),0)</f>
        <v>0</v>
      </c>
      <c r="E1400" s="10">
        <f>IFERROR(SUMIFS('Base bordo'!G$2:G$746,'Base bordo'!C$2:C$746,A1400,'Base bordo'!B$2:B$746,B1400,'Base bordo'!F$2:F$746,"DESLOCAMENTO CARREGADO"),0)</f>
        <v>0</v>
      </c>
      <c r="F1400" s="10">
        <f>IFERROR(SUMIFS('Base bordo'!G$2:G$746,'Base bordo'!C$2:C$746,A1400,'Base bordo'!B$2:B$746,B1400,'Base bordo'!F$2:F$746,"DESLOCAMENTO"),0)</f>
        <v>0</v>
      </c>
      <c r="G1400" s="10">
        <f>IFERROR(SUMIFS('Base bordo'!G$2:G$746,'Base bordo'!C$2:C$746,A1400,'Base bordo'!B$2:B$746,B1400,'Base bordo'!F$2:F$746,"CARREGAMENTO"),0)</f>
        <v>0</v>
      </c>
      <c r="H1400" s="10">
        <f>IFERROR(SUMIFS('Base bordo'!G$2:G$746,'Base bordo'!C$2:C$746,A1400,'Base bordo'!B$2:B$746,B1400,'Base bordo'!F$2:F$746,"AGUARDANDO TRANSBORDO"),0)</f>
        <v>0</v>
      </c>
      <c r="I1400" s="10">
        <f>IFERROR(SUMIFS('Base bordo'!G$2:G$746,'Base bordo'!C$2:C$746,A1400,'Base bordo'!B$2:B$746,B1400,'Base bordo'!F$2:F$746,"PÁTIO INTERNO"),0)+IFERROR(SUMIFS('Base bordo'!G$2:G$746,'Base bordo'!C$2:C$746,A1400,'Base bordo'!B$2:B$746,B1400,'Base bordo'!F$2:F$746,"PÁTIO EXTERNO"),0)+IFERROR(SUMIFS('Base bordo'!G$2:G$746,'Base bordo'!C$2:C$746,A1400,'Base bordo'!B$2:B$746,B1400,'Base bordo'!F$2:F$746,"PATIO - RESERVA"),0)+IFERROR(SUMIFS('Base bordo'!G$2:G$746,'Base bordo'!C$2:C$746,A1400,'Base bordo'!B$2:B$746,B1400,'Base bordo'!F$2:F$746,"MANOBRA CARRETAS-PATIO"),0)</f>
        <v>0</v>
      </c>
      <c r="J1400" s="10">
        <f>IFERROR(SUMIFS('Base bordo'!G$2:G$746,'Base bordo'!C$2:C$746,A1400,'Base bordo'!B$2:B$746,B1400,'Base bordo'!F$2:F$746,"BALANÇA - ENTRADA"),0)+IFERROR(SUMIFS('Base bordo'!G$2:G$746,'Base bordo'!C$2:C$746,A1400,'Base bordo'!B$2:B$746,B1400,'Base bordo'!F$2:F$746,"BALANÇA - SAÍDA"),0)</f>
        <v>0</v>
      </c>
      <c r="K1400" s="10">
        <f>IFERROR(SUMIFS('Base bordo'!G$2:G$746,'Base bordo'!C$2:C$746,A1400,'Base bordo'!B$2:B$746,B1400,'Base bordo'!F$2:F$746,"MAN PREVENTIVA - MECANICA"),0)+IFERROR(SUMIFS('Base bordo'!G$2:G$746,'Base bordo'!C$2:C$746,A1400,'Base bordo'!B$2:B$746,B1400,'Base bordo'!F$2:F$746,"MAN CORRETIVA - MECANICA"),0)</f>
        <v>0</v>
      </c>
      <c r="L1400" s="10">
        <f>IFERROR(SUMIFS('Base bordo'!G$2:G$746,'Base bordo'!C$2:C$746,A1400,'Base bordo'!B$2:B$746,B1400,'Base bordo'!F$2:F$746,"MANUTENCAO - T O"),0)+IFERROR(SUMIFS('Base bordo'!G$2:G$746,'Base bordo'!C$2:C$746,A1400,'Base bordo'!B$2:B$746,B1400,'Base bordo'!F$2:F$746,"MANUTENCAO BORRACHARIA"),0)+IFERROR(SUMIFS('Base bordo'!G$2:G$746,'Base bordo'!C$2:C$746,A1400,'Base bordo'!B$2:B$746,B1400,'Base bordo'!F$2:F$746,"MANUTENCAO EXTERNA  CONCESSIONARIA"),0)+IFERROR(SUMIFS('Base bordo'!G$2:G$746,'Base bordo'!C$2:C$746,A1400,'Base bordo'!B$2:B$746,B1400,'Base bordo'!F$2:F$746,"MANUTENCAO TELEMETRIA"),0)</f>
        <v>2.0166666666666666</v>
      </c>
      <c r="M1400" s="10">
        <f>IFERROR(SUMIFS('Base bordo'!G$2:G$746,'Base bordo'!C$2:C$746,A1400,'Base bordo'!B$2:B$746,B1400,'Base bordo'!F$2:F$746,"AGUARDANDO MANUTENCAO"),0)</f>
        <v>0</v>
      </c>
      <c r="N1400" s="10">
        <f>IFERROR(SUMIFS('Base bordo'!G$2:G$746,'Base bordo'!C$2:C$746,A1400,'Base bordo'!B$2:B$746,B1400,'Base bordo'!F$2:F$746,"SEM APONTAMENTO"),0)</f>
        <v>0</v>
      </c>
      <c r="O1400" s="10">
        <f t="shared" si="138"/>
        <v>0</v>
      </c>
      <c r="P1400" s="10">
        <f>IFERROR(SUMIFS('Base bordo'!G$2:G$746,'Base bordo'!C$2:C$746,A1400,'Base bordo'!B$2:B$746,B1400),0)</f>
        <v>2.0166666666666666</v>
      </c>
      <c r="Q1400" s="10">
        <f>IFERROR(SUMIFS('Base bordo'!H$2:H$746,'Base bordo'!C$2:C$746,A1400,'Base bordo'!B$2:B$746,B1400,'Base bordo'!F$2:F$746,"DESLOCAMENTO VAZIO"),0)</f>
        <v>0</v>
      </c>
      <c r="R1400" s="10">
        <f>IFERROR(SUMIFS('Base bordo'!I$2:I$746,'Base bordo'!C$2:C$746,A1400,'Base bordo'!B$2:B$746,B1400,'Base bordo'!F$2:F$746,"DESLOCAMENTO VAZIO"),0)</f>
        <v>0</v>
      </c>
      <c r="S1400" s="30" t="str">
        <f t="shared" si="139"/>
        <v/>
      </c>
      <c r="T1400" s="10">
        <f>IFERROR(SUMIFS('Base bordo'!H$2:H$746,'Base bordo'!C$2:C$746,A1400,'Base bordo'!B$2:B$746,B1400,'Base bordo'!F$2:F$746,"DESLOCAMENTO CARREGADO"),0)</f>
        <v>0</v>
      </c>
      <c r="U1400" s="10">
        <f>IFERROR(SUMIFS('Base bordo'!I$2:I$746,'Base bordo'!C$2:C$746,A1400,'Base bordo'!B$2:B$746,B1400,'Base bordo'!F$2:F$746,"DESLOCAMENTO CARREGADO"),0)</f>
        <v>0</v>
      </c>
      <c r="V1400" s="30" t="str">
        <f t="shared" si="140"/>
        <v/>
      </c>
      <c r="W1400" s="9">
        <f t="shared" si="141"/>
        <v>0</v>
      </c>
      <c r="X1400" s="9">
        <f t="shared" si="142"/>
        <v>0</v>
      </c>
      <c r="Y1400" s="9">
        <f t="shared" si="143"/>
        <v>1</v>
      </c>
    </row>
    <row r="1401" spans="1:25" ht="15" customHeight="1" x14ac:dyDescent="0.35">
      <c r="A1401" s="52">
        <v>8013483</v>
      </c>
      <c r="B1401" s="51">
        <v>46116</v>
      </c>
      <c r="C1401" s="7" t="s">
        <v>124</v>
      </c>
      <c r="D1401" s="10">
        <f>IFERROR(SUMIFS('Base bordo'!G$2:G$746,'Base bordo'!C$2:C$746,A1401,'Base bordo'!B$2:B$746,B1401,'Base bordo'!F$2:F$746,"DESLOCAMENTO VAZIO"),0)</f>
        <v>0</v>
      </c>
      <c r="E1401" s="10">
        <f>IFERROR(SUMIFS('Base bordo'!G$2:G$746,'Base bordo'!C$2:C$746,A1401,'Base bordo'!B$2:B$746,B1401,'Base bordo'!F$2:F$746,"DESLOCAMENTO CARREGADO"),0)</f>
        <v>0</v>
      </c>
      <c r="F1401" s="10">
        <f>IFERROR(SUMIFS('Base bordo'!G$2:G$746,'Base bordo'!C$2:C$746,A1401,'Base bordo'!B$2:B$746,B1401,'Base bordo'!F$2:F$746,"DESLOCAMENTO"),0)</f>
        <v>0</v>
      </c>
      <c r="G1401" s="10">
        <f>IFERROR(SUMIFS('Base bordo'!G$2:G$746,'Base bordo'!C$2:C$746,A1401,'Base bordo'!B$2:B$746,B1401,'Base bordo'!F$2:F$746,"CARREGAMENTO"),0)</f>
        <v>0</v>
      </c>
      <c r="H1401" s="10">
        <f>IFERROR(SUMIFS('Base bordo'!G$2:G$746,'Base bordo'!C$2:C$746,A1401,'Base bordo'!B$2:B$746,B1401,'Base bordo'!F$2:F$746,"AGUARDANDO TRANSBORDO"),0)</f>
        <v>0</v>
      </c>
      <c r="I1401" s="10">
        <f>IFERROR(SUMIFS('Base bordo'!G$2:G$746,'Base bordo'!C$2:C$746,A1401,'Base bordo'!B$2:B$746,B1401,'Base bordo'!F$2:F$746,"PÁTIO INTERNO"),0)+IFERROR(SUMIFS('Base bordo'!G$2:G$746,'Base bordo'!C$2:C$746,A1401,'Base bordo'!B$2:B$746,B1401,'Base bordo'!F$2:F$746,"PÁTIO EXTERNO"),0)+IFERROR(SUMIFS('Base bordo'!G$2:G$746,'Base bordo'!C$2:C$746,A1401,'Base bordo'!B$2:B$746,B1401,'Base bordo'!F$2:F$746,"PATIO - RESERVA"),0)+IFERROR(SUMIFS('Base bordo'!G$2:G$746,'Base bordo'!C$2:C$746,A1401,'Base bordo'!B$2:B$746,B1401,'Base bordo'!F$2:F$746,"MANOBRA CARRETAS-PATIO"),0)</f>
        <v>0</v>
      </c>
      <c r="J1401" s="10">
        <f>IFERROR(SUMIFS('Base bordo'!G$2:G$746,'Base bordo'!C$2:C$746,A1401,'Base bordo'!B$2:B$746,B1401,'Base bordo'!F$2:F$746,"BALANÇA - ENTRADA"),0)+IFERROR(SUMIFS('Base bordo'!G$2:G$746,'Base bordo'!C$2:C$746,A1401,'Base bordo'!B$2:B$746,B1401,'Base bordo'!F$2:F$746,"BALANÇA - SAÍDA"),0)</f>
        <v>0</v>
      </c>
      <c r="K1401" s="10">
        <f>IFERROR(SUMIFS('Base bordo'!G$2:G$746,'Base bordo'!C$2:C$746,A1401,'Base bordo'!B$2:B$746,B1401,'Base bordo'!F$2:F$746,"MAN PREVENTIVA - MECANICA"),0)+IFERROR(SUMIFS('Base bordo'!G$2:G$746,'Base bordo'!C$2:C$746,A1401,'Base bordo'!B$2:B$746,B1401,'Base bordo'!F$2:F$746,"MAN CORRETIVA - MECANICA"),0)</f>
        <v>0</v>
      </c>
      <c r="L1401" s="10">
        <f>IFERROR(SUMIFS('Base bordo'!G$2:G$746,'Base bordo'!C$2:C$746,A1401,'Base bordo'!B$2:B$746,B1401,'Base bordo'!F$2:F$746,"MANUTENCAO - T O"),0)+IFERROR(SUMIFS('Base bordo'!G$2:G$746,'Base bordo'!C$2:C$746,A1401,'Base bordo'!B$2:B$746,B1401,'Base bordo'!F$2:F$746,"MANUTENCAO BORRACHARIA"),0)+IFERROR(SUMIFS('Base bordo'!G$2:G$746,'Base bordo'!C$2:C$746,A1401,'Base bordo'!B$2:B$746,B1401,'Base bordo'!F$2:F$746,"MANUTENCAO EXTERNA  CONCESSIONARIA"),0)+IFERROR(SUMIFS('Base bordo'!G$2:G$746,'Base bordo'!C$2:C$746,A1401,'Base bordo'!B$2:B$746,B1401,'Base bordo'!F$2:F$746,"MANUTENCAO TELEMETRIA"),0)</f>
        <v>2.0166666666666666</v>
      </c>
      <c r="M1401" s="10">
        <f>IFERROR(SUMIFS('Base bordo'!G$2:G$746,'Base bordo'!C$2:C$746,A1401,'Base bordo'!B$2:B$746,B1401,'Base bordo'!F$2:F$746,"AGUARDANDO MANUTENCAO"),0)</f>
        <v>0</v>
      </c>
      <c r="N1401" s="10">
        <f>IFERROR(SUMIFS('Base bordo'!G$2:G$746,'Base bordo'!C$2:C$746,A1401,'Base bordo'!B$2:B$746,B1401,'Base bordo'!F$2:F$746,"SEM APONTAMENTO"),0)</f>
        <v>0</v>
      </c>
      <c r="O1401" s="10">
        <f t="shared" si="138"/>
        <v>0</v>
      </c>
      <c r="P1401" s="10">
        <f>IFERROR(SUMIFS('Base bordo'!G$2:G$746,'Base bordo'!C$2:C$746,A1401,'Base bordo'!B$2:B$746,B1401),0)</f>
        <v>2.0166666666666666</v>
      </c>
      <c r="Q1401" s="10">
        <f>IFERROR(SUMIFS('Base bordo'!H$2:H$746,'Base bordo'!C$2:C$746,A1401,'Base bordo'!B$2:B$746,B1401,'Base bordo'!F$2:F$746,"DESLOCAMENTO VAZIO"),0)</f>
        <v>0</v>
      </c>
      <c r="R1401" s="10">
        <f>IFERROR(SUMIFS('Base bordo'!I$2:I$746,'Base bordo'!C$2:C$746,A1401,'Base bordo'!B$2:B$746,B1401,'Base bordo'!F$2:F$746,"DESLOCAMENTO VAZIO"),0)</f>
        <v>0</v>
      </c>
      <c r="S1401" s="30" t="str">
        <f t="shared" si="139"/>
        <v/>
      </c>
      <c r="T1401" s="10">
        <f>IFERROR(SUMIFS('Base bordo'!H$2:H$746,'Base bordo'!C$2:C$746,A1401,'Base bordo'!B$2:B$746,B1401,'Base bordo'!F$2:F$746,"DESLOCAMENTO CARREGADO"),0)</f>
        <v>0</v>
      </c>
      <c r="U1401" s="10">
        <f>IFERROR(SUMIFS('Base bordo'!I$2:I$746,'Base bordo'!C$2:C$746,A1401,'Base bordo'!B$2:B$746,B1401,'Base bordo'!F$2:F$746,"DESLOCAMENTO CARREGADO"),0)</f>
        <v>0</v>
      </c>
      <c r="V1401" s="30" t="str">
        <f t="shared" si="140"/>
        <v/>
      </c>
      <c r="W1401" s="9">
        <f t="shared" si="141"/>
        <v>0</v>
      </c>
      <c r="X1401" s="9">
        <f t="shared" si="142"/>
        <v>0</v>
      </c>
      <c r="Y1401" s="9">
        <f t="shared" si="143"/>
        <v>1</v>
      </c>
    </row>
    <row r="1402" spans="1:25" ht="15" customHeight="1" x14ac:dyDescent="0.35">
      <c r="A1402" s="52">
        <v>8013485</v>
      </c>
      <c r="B1402" s="51">
        <v>46116</v>
      </c>
      <c r="C1402" s="7" t="s">
        <v>124</v>
      </c>
      <c r="D1402" s="10">
        <f>IFERROR(SUMIFS('Base bordo'!G$2:G$746,'Base bordo'!C$2:C$746,A1402,'Base bordo'!B$2:B$746,B1402,'Base bordo'!F$2:F$746,"DESLOCAMENTO VAZIO"),0)</f>
        <v>0</v>
      </c>
      <c r="E1402" s="10">
        <f>IFERROR(SUMIFS('Base bordo'!G$2:G$746,'Base bordo'!C$2:C$746,A1402,'Base bordo'!B$2:B$746,B1402,'Base bordo'!F$2:F$746,"DESLOCAMENTO CARREGADO"),0)</f>
        <v>0</v>
      </c>
      <c r="F1402" s="10">
        <f>IFERROR(SUMIFS('Base bordo'!G$2:G$746,'Base bordo'!C$2:C$746,A1402,'Base bordo'!B$2:B$746,B1402,'Base bordo'!F$2:F$746,"DESLOCAMENTO"),0)</f>
        <v>0</v>
      </c>
      <c r="G1402" s="10">
        <f>IFERROR(SUMIFS('Base bordo'!G$2:G$746,'Base bordo'!C$2:C$746,A1402,'Base bordo'!B$2:B$746,B1402,'Base bordo'!F$2:F$746,"CARREGAMENTO"),0)</f>
        <v>0</v>
      </c>
      <c r="H1402" s="10">
        <f>IFERROR(SUMIFS('Base bordo'!G$2:G$746,'Base bordo'!C$2:C$746,A1402,'Base bordo'!B$2:B$746,B1402,'Base bordo'!F$2:F$746,"AGUARDANDO TRANSBORDO"),0)</f>
        <v>0</v>
      </c>
      <c r="I1402" s="10">
        <f>IFERROR(SUMIFS('Base bordo'!G$2:G$746,'Base bordo'!C$2:C$746,A1402,'Base bordo'!B$2:B$746,B1402,'Base bordo'!F$2:F$746,"PÁTIO INTERNO"),0)+IFERROR(SUMIFS('Base bordo'!G$2:G$746,'Base bordo'!C$2:C$746,A1402,'Base bordo'!B$2:B$746,B1402,'Base bordo'!F$2:F$746,"PÁTIO EXTERNO"),0)+IFERROR(SUMIFS('Base bordo'!G$2:G$746,'Base bordo'!C$2:C$746,A1402,'Base bordo'!B$2:B$746,B1402,'Base bordo'!F$2:F$746,"PATIO - RESERVA"),0)+IFERROR(SUMIFS('Base bordo'!G$2:G$746,'Base bordo'!C$2:C$746,A1402,'Base bordo'!B$2:B$746,B1402,'Base bordo'!F$2:F$746,"MANOBRA CARRETAS-PATIO"),0)</f>
        <v>0</v>
      </c>
      <c r="J1402" s="10">
        <f>IFERROR(SUMIFS('Base bordo'!G$2:G$746,'Base bordo'!C$2:C$746,A1402,'Base bordo'!B$2:B$746,B1402,'Base bordo'!F$2:F$746,"BALANÇA - ENTRADA"),0)+IFERROR(SUMIFS('Base bordo'!G$2:G$746,'Base bordo'!C$2:C$746,A1402,'Base bordo'!B$2:B$746,B1402,'Base bordo'!F$2:F$746,"BALANÇA - SAÍDA"),0)</f>
        <v>0</v>
      </c>
      <c r="K1402" s="10">
        <f>IFERROR(SUMIFS('Base bordo'!G$2:G$746,'Base bordo'!C$2:C$746,A1402,'Base bordo'!B$2:B$746,B1402,'Base bordo'!F$2:F$746,"MAN PREVENTIVA - MECANICA"),0)+IFERROR(SUMIFS('Base bordo'!G$2:G$746,'Base bordo'!C$2:C$746,A1402,'Base bordo'!B$2:B$746,B1402,'Base bordo'!F$2:F$746,"MAN CORRETIVA - MECANICA"),0)</f>
        <v>0</v>
      </c>
      <c r="L1402" s="10">
        <f>IFERROR(SUMIFS('Base bordo'!G$2:G$746,'Base bordo'!C$2:C$746,A1402,'Base bordo'!B$2:B$746,B1402,'Base bordo'!F$2:F$746,"MANUTENCAO - T O"),0)+IFERROR(SUMIFS('Base bordo'!G$2:G$746,'Base bordo'!C$2:C$746,A1402,'Base bordo'!B$2:B$746,B1402,'Base bordo'!F$2:F$746,"MANUTENCAO BORRACHARIA"),0)+IFERROR(SUMIFS('Base bordo'!G$2:G$746,'Base bordo'!C$2:C$746,A1402,'Base bordo'!B$2:B$746,B1402,'Base bordo'!F$2:F$746,"MANUTENCAO EXTERNA  CONCESSIONARIA"),0)+IFERROR(SUMIFS('Base bordo'!G$2:G$746,'Base bordo'!C$2:C$746,A1402,'Base bordo'!B$2:B$746,B1402,'Base bordo'!F$2:F$746,"MANUTENCAO TELEMETRIA"),0)</f>
        <v>0</v>
      </c>
      <c r="M1402" s="10">
        <f>IFERROR(SUMIFS('Base bordo'!G$2:G$746,'Base bordo'!C$2:C$746,A1402,'Base bordo'!B$2:B$746,B1402,'Base bordo'!F$2:F$746,"AGUARDANDO MANUTENCAO"),0)</f>
        <v>0</v>
      </c>
      <c r="N1402" s="10">
        <f>IFERROR(SUMIFS('Base bordo'!G$2:G$746,'Base bordo'!C$2:C$746,A1402,'Base bordo'!B$2:B$746,B1402,'Base bordo'!F$2:F$746,"SEM APONTAMENTO"),0)</f>
        <v>0</v>
      </c>
      <c r="O1402" s="10">
        <f t="shared" si="138"/>
        <v>0</v>
      </c>
      <c r="P1402" s="10">
        <f>IFERROR(SUMIFS('Base bordo'!G$2:G$746,'Base bordo'!C$2:C$746,A1402,'Base bordo'!B$2:B$746,B1402),0)</f>
        <v>0</v>
      </c>
      <c r="Q1402" s="10">
        <f>IFERROR(SUMIFS('Base bordo'!H$2:H$746,'Base bordo'!C$2:C$746,A1402,'Base bordo'!B$2:B$746,B1402,'Base bordo'!F$2:F$746,"DESLOCAMENTO VAZIO"),0)</f>
        <v>0</v>
      </c>
      <c r="R1402" s="10">
        <f>IFERROR(SUMIFS('Base bordo'!I$2:I$746,'Base bordo'!C$2:C$746,A1402,'Base bordo'!B$2:B$746,B1402,'Base bordo'!F$2:F$746,"DESLOCAMENTO VAZIO"),0)</f>
        <v>0</v>
      </c>
      <c r="S1402" s="30" t="str">
        <f t="shared" si="139"/>
        <v/>
      </c>
      <c r="T1402" s="10">
        <f>IFERROR(SUMIFS('Base bordo'!H$2:H$746,'Base bordo'!C$2:C$746,A1402,'Base bordo'!B$2:B$746,B1402,'Base bordo'!F$2:F$746,"DESLOCAMENTO CARREGADO"),0)</f>
        <v>0</v>
      </c>
      <c r="U1402" s="10">
        <f>IFERROR(SUMIFS('Base bordo'!I$2:I$746,'Base bordo'!C$2:C$746,A1402,'Base bordo'!B$2:B$746,B1402,'Base bordo'!F$2:F$746,"DESLOCAMENTO CARREGADO"),0)</f>
        <v>0</v>
      </c>
      <c r="V1402" s="30" t="str">
        <f t="shared" si="140"/>
        <v/>
      </c>
      <c r="W1402" s="9">
        <f t="shared" si="141"/>
        <v>0</v>
      </c>
      <c r="X1402" s="9">
        <f t="shared" si="142"/>
        <v>0</v>
      </c>
      <c r="Y1402" s="9">
        <f t="shared" si="143"/>
        <v>0</v>
      </c>
    </row>
    <row r="1403" spans="1:25" ht="15" customHeight="1" x14ac:dyDescent="0.35">
      <c r="A1403" s="52">
        <v>8013486</v>
      </c>
      <c r="B1403" s="51">
        <v>46116</v>
      </c>
      <c r="C1403" s="7" t="s">
        <v>124</v>
      </c>
      <c r="D1403" s="10">
        <f>IFERROR(SUMIFS('Base bordo'!G$2:G$746,'Base bordo'!C$2:C$746,A1403,'Base bordo'!B$2:B$746,B1403,'Base bordo'!F$2:F$746,"DESLOCAMENTO VAZIO"),0)</f>
        <v>0.19138888888888889</v>
      </c>
      <c r="E1403" s="10">
        <f>IFERROR(SUMIFS('Base bordo'!G$2:G$746,'Base bordo'!C$2:C$746,A1403,'Base bordo'!B$2:B$746,B1403,'Base bordo'!F$2:F$746,"DESLOCAMENTO CARREGADO"),0)</f>
        <v>0</v>
      </c>
      <c r="F1403" s="10">
        <f>IFERROR(SUMIFS('Base bordo'!G$2:G$746,'Base bordo'!C$2:C$746,A1403,'Base bordo'!B$2:B$746,B1403,'Base bordo'!F$2:F$746,"DESLOCAMENTO"),0)</f>
        <v>0</v>
      </c>
      <c r="G1403" s="10">
        <f>IFERROR(SUMIFS('Base bordo'!G$2:G$746,'Base bordo'!C$2:C$746,A1403,'Base bordo'!B$2:B$746,B1403,'Base bordo'!F$2:F$746,"CARREGAMENTO"),0)</f>
        <v>0</v>
      </c>
      <c r="H1403" s="10">
        <f>IFERROR(SUMIFS('Base bordo'!G$2:G$746,'Base bordo'!C$2:C$746,A1403,'Base bordo'!B$2:B$746,B1403,'Base bordo'!F$2:F$746,"AGUARDANDO TRANSBORDO"),0)</f>
        <v>0</v>
      </c>
      <c r="I1403" s="10">
        <f>IFERROR(SUMIFS('Base bordo'!G$2:G$746,'Base bordo'!C$2:C$746,A1403,'Base bordo'!B$2:B$746,B1403,'Base bordo'!F$2:F$746,"PÁTIO INTERNO"),0)+IFERROR(SUMIFS('Base bordo'!G$2:G$746,'Base bordo'!C$2:C$746,A1403,'Base bordo'!B$2:B$746,B1403,'Base bordo'!F$2:F$746,"PÁTIO EXTERNO"),0)+IFERROR(SUMIFS('Base bordo'!G$2:G$746,'Base bordo'!C$2:C$746,A1403,'Base bordo'!B$2:B$746,B1403,'Base bordo'!F$2:F$746,"PATIO - RESERVA"),0)+IFERROR(SUMIFS('Base bordo'!G$2:G$746,'Base bordo'!C$2:C$746,A1403,'Base bordo'!B$2:B$746,B1403,'Base bordo'!F$2:F$746,"MANOBRA CARRETAS-PATIO"),0)</f>
        <v>0</v>
      </c>
      <c r="J1403" s="10">
        <f>IFERROR(SUMIFS('Base bordo'!G$2:G$746,'Base bordo'!C$2:C$746,A1403,'Base bordo'!B$2:B$746,B1403,'Base bordo'!F$2:F$746,"BALANÇA - ENTRADA"),0)+IFERROR(SUMIFS('Base bordo'!G$2:G$746,'Base bordo'!C$2:C$746,A1403,'Base bordo'!B$2:B$746,B1403,'Base bordo'!F$2:F$746,"BALANÇA - SAÍDA"),0)</f>
        <v>0</v>
      </c>
      <c r="K1403" s="10">
        <f>IFERROR(SUMIFS('Base bordo'!G$2:G$746,'Base bordo'!C$2:C$746,A1403,'Base bordo'!B$2:B$746,B1403,'Base bordo'!F$2:F$746,"MAN PREVENTIVA - MECANICA"),0)+IFERROR(SUMIFS('Base bordo'!G$2:G$746,'Base bordo'!C$2:C$746,A1403,'Base bordo'!B$2:B$746,B1403,'Base bordo'!F$2:F$746,"MAN CORRETIVA - MECANICA"),0)</f>
        <v>0</v>
      </c>
      <c r="L1403" s="10">
        <f>IFERROR(SUMIFS('Base bordo'!G$2:G$746,'Base bordo'!C$2:C$746,A1403,'Base bordo'!B$2:B$746,B1403,'Base bordo'!F$2:F$746,"MANUTENCAO - T O"),0)+IFERROR(SUMIFS('Base bordo'!G$2:G$746,'Base bordo'!C$2:C$746,A1403,'Base bordo'!B$2:B$746,B1403,'Base bordo'!F$2:F$746,"MANUTENCAO BORRACHARIA"),0)+IFERROR(SUMIFS('Base bordo'!G$2:G$746,'Base bordo'!C$2:C$746,A1403,'Base bordo'!B$2:B$746,B1403,'Base bordo'!F$2:F$746,"MANUTENCAO EXTERNA  CONCESSIONARIA"),0)+IFERROR(SUMIFS('Base bordo'!G$2:G$746,'Base bordo'!C$2:C$746,A1403,'Base bordo'!B$2:B$746,B1403,'Base bordo'!F$2:F$746,"MANUTENCAO TELEMETRIA"),0)</f>
        <v>4.2016666666666671</v>
      </c>
      <c r="M1403" s="10">
        <f>IFERROR(SUMIFS('Base bordo'!G$2:G$746,'Base bordo'!C$2:C$746,A1403,'Base bordo'!B$2:B$746,B1403,'Base bordo'!F$2:F$746,"AGUARDANDO MANUTENCAO"),0)</f>
        <v>0</v>
      </c>
      <c r="N1403" s="10">
        <f>IFERROR(SUMIFS('Base bordo'!G$2:G$746,'Base bordo'!C$2:C$746,A1403,'Base bordo'!B$2:B$746,B1403,'Base bordo'!F$2:F$746,"SEM APONTAMENTO"),0)</f>
        <v>0</v>
      </c>
      <c r="O1403" s="10">
        <f t="shared" si="138"/>
        <v>0</v>
      </c>
      <c r="P1403" s="10">
        <f>IFERROR(SUMIFS('Base bordo'!G$2:G$746,'Base bordo'!C$2:C$746,A1403,'Base bordo'!B$2:B$746,B1403),0)</f>
        <v>4.3930555555555557</v>
      </c>
      <c r="Q1403" s="10">
        <f>IFERROR(SUMIFS('Base bordo'!H$2:H$746,'Base bordo'!C$2:C$746,A1403,'Base bordo'!B$2:B$746,B1403,'Base bordo'!F$2:F$746,"DESLOCAMENTO VAZIO"),0)</f>
        <v>2742.22</v>
      </c>
      <c r="R1403" s="10">
        <f>IFERROR(SUMIFS('Base bordo'!I$2:I$746,'Base bordo'!C$2:C$746,A1403,'Base bordo'!B$2:B$746,B1403,'Base bordo'!F$2:F$746,"DESLOCAMENTO VAZIO"),0)</f>
        <v>689</v>
      </c>
      <c r="S1403" s="30">
        <f t="shared" si="139"/>
        <v>3.9799999999999995</v>
      </c>
      <c r="T1403" s="10">
        <f>IFERROR(SUMIFS('Base bordo'!H$2:H$746,'Base bordo'!C$2:C$746,A1403,'Base bordo'!B$2:B$746,B1403,'Base bordo'!F$2:F$746,"DESLOCAMENTO CARREGADO"),0)</f>
        <v>0</v>
      </c>
      <c r="U1403" s="10">
        <f>IFERROR(SUMIFS('Base bordo'!I$2:I$746,'Base bordo'!C$2:C$746,A1403,'Base bordo'!B$2:B$746,B1403,'Base bordo'!F$2:F$746,"DESLOCAMENTO CARREGADO"),0)</f>
        <v>0</v>
      </c>
      <c r="V1403" s="30" t="str">
        <f t="shared" si="140"/>
        <v/>
      </c>
      <c r="W1403" s="9">
        <f t="shared" si="141"/>
        <v>4.3566234587417006E-2</v>
      </c>
      <c r="X1403" s="9">
        <f t="shared" si="142"/>
        <v>0</v>
      </c>
      <c r="Y1403" s="9">
        <f t="shared" si="143"/>
        <v>0.95643376541258296</v>
      </c>
    </row>
    <row r="1404" spans="1:25" ht="15" customHeight="1" x14ac:dyDescent="0.35">
      <c r="A1404" s="52">
        <v>8013486</v>
      </c>
      <c r="B1404" s="51">
        <v>46116</v>
      </c>
      <c r="C1404" s="7" t="s">
        <v>124</v>
      </c>
      <c r="D1404" s="10">
        <f>IFERROR(SUMIFS('Base bordo'!G$2:G$746,'Base bordo'!C$2:C$746,A1404,'Base bordo'!B$2:B$746,B1404,'Base bordo'!F$2:F$746,"DESLOCAMENTO VAZIO"),0)</f>
        <v>0.19138888888888889</v>
      </c>
      <c r="E1404" s="10">
        <f>IFERROR(SUMIFS('Base bordo'!G$2:G$746,'Base bordo'!C$2:C$746,A1404,'Base bordo'!B$2:B$746,B1404,'Base bordo'!F$2:F$746,"DESLOCAMENTO CARREGADO"),0)</f>
        <v>0</v>
      </c>
      <c r="F1404" s="10">
        <f>IFERROR(SUMIFS('Base bordo'!G$2:G$746,'Base bordo'!C$2:C$746,A1404,'Base bordo'!B$2:B$746,B1404,'Base bordo'!F$2:F$746,"DESLOCAMENTO"),0)</f>
        <v>0</v>
      </c>
      <c r="G1404" s="10">
        <f>IFERROR(SUMIFS('Base bordo'!G$2:G$746,'Base bordo'!C$2:C$746,A1404,'Base bordo'!B$2:B$746,B1404,'Base bordo'!F$2:F$746,"CARREGAMENTO"),0)</f>
        <v>0</v>
      </c>
      <c r="H1404" s="10">
        <f>IFERROR(SUMIFS('Base bordo'!G$2:G$746,'Base bordo'!C$2:C$746,A1404,'Base bordo'!B$2:B$746,B1404,'Base bordo'!F$2:F$746,"AGUARDANDO TRANSBORDO"),0)</f>
        <v>0</v>
      </c>
      <c r="I1404" s="10">
        <f>IFERROR(SUMIFS('Base bordo'!G$2:G$746,'Base bordo'!C$2:C$746,A1404,'Base bordo'!B$2:B$746,B1404,'Base bordo'!F$2:F$746,"PÁTIO INTERNO"),0)+IFERROR(SUMIFS('Base bordo'!G$2:G$746,'Base bordo'!C$2:C$746,A1404,'Base bordo'!B$2:B$746,B1404,'Base bordo'!F$2:F$746,"PÁTIO EXTERNO"),0)+IFERROR(SUMIFS('Base bordo'!G$2:G$746,'Base bordo'!C$2:C$746,A1404,'Base bordo'!B$2:B$746,B1404,'Base bordo'!F$2:F$746,"PATIO - RESERVA"),0)+IFERROR(SUMIFS('Base bordo'!G$2:G$746,'Base bordo'!C$2:C$746,A1404,'Base bordo'!B$2:B$746,B1404,'Base bordo'!F$2:F$746,"MANOBRA CARRETAS-PATIO"),0)</f>
        <v>0</v>
      </c>
      <c r="J1404" s="10">
        <f>IFERROR(SUMIFS('Base bordo'!G$2:G$746,'Base bordo'!C$2:C$746,A1404,'Base bordo'!B$2:B$746,B1404,'Base bordo'!F$2:F$746,"BALANÇA - ENTRADA"),0)+IFERROR(SUMIFS('Base bordo'!G$2:G$746,'Base bordo'!C$2:C$746,A1404,'Base bordo'!B$2:B$746,B1404,'Base bordo'!F$2:F$746,"BALANÇA - SAÍDA"),0)</f>
        <v>0</v>
      </c>
      <c r="K1404" s="10">
        <f>IFERROR(SUMIFS('Base bordo'!G$2:G$746,'Base bordo'!C$2:C$746,A1404,'Base bordo'!B$2:B$746,B1404,'Base bordo'!F$2:F$746,"MAN PREVENTIVA - MECANICA"),0)+IFERROR(SUMIFS('Base bordo'!G$2:G$746,'Base bordo'!C$2:C$746,A1404,'Base bordo'!B$2:B$746,B1404,'Base bordo'!F$2:F$746,"MAN CORRETIVA - MECANICA"),0)</f>
        <v>0</v>
      </c>
      <c r="L1404" s="10">
        <f>IFERROR(SUMIFS('Base bordo'!G$2:G$746,'Base bordo'!C$2:C$746,A1404,'Base bordo'!B$2:B$746,B1404,'Base bordo'!F$2:F$746,"MANUTENCAO - T O"),0)+IFERROR(SUMIFS('Base bordo'!G$2:G$746,'Base bordo'!C$2:C$746,A1404,'Base bordo'!B$2:B$746,B1404,'Base bordo'!F$2:F$746,"MANUTENCAO BORRACHARIA"),0)+IFERROR(SUMIFS('Base bordo'!G$2:G$746,'Base bordo'!C$2:C$746,A1404,'Base bordo'!B$2:B$746,B1404,'Base bordo'!F$2:F$746,"MANUTENCAO EXTERNA  CONCESSIONARIA"),0)+IFERROR(SUMIFS('Base bordo'!G$2:G$746,'Base bordo'!C$2:C$746,A1404,'Base bordo'!B$2:B$746,B1404,'Base bordo'!F$2:F$746,"MANUTENCAO TELEMETRIA"),0)</f>
        <v>4.2016666666666671</v>
      </c>
      <c r="M1404" s="10">
        <f>IFERROR(SUMIFS('Base bordo'!G$2:G$746,'Base bordo'!C$2:C$746,A1404,'Base bordo'!B$2:B$746,B1404,'Base bordo'!F$2:F$746,"AGUARDANDO MANUTENCAO"),0)</f>
        <v>0</v>
      </c>
      <c r="N1404" s="10">
        <f>IFERROR(SUMIFS('Base bordo'!G$2:G$746,'Base bordo'!C$2:C$746,A1404,'Base bordo'!B$2:B$746,B1404,'Base bordo'!F$2:F$746,"SEM APONTAMENTO"),0)</f>
        <v>0</v>
      </c>
      <c r="O1404" s="10">
        <f t="shared" si="138"/>
        <v>0</v>
      </c>
      <c r="P1404" s="10">
        <f>IFERROR(SUMIFS('Base bordo'!G$2:G$746,'Base bordo'!C$2:C$746,A1404,'Base bordo'!B$2:B$746,B1404),0)</f>
        <v>4.3930555555555557</v>
      </c>
      <c r="Q1404" s="10">
        <f>IFERROR(SUMIFS('Base bordo'!H$2:H$746,'Base bordo'!C$2:C$746,A1404,'Base bordo'!B$2:B$746,B1404,'Base bordo'!F$2:F$746,"DESLOCAMENTO VAZIO"),0)</f>
        <v>2742.22</v>
      </c>
      <c r="R1404" s="10">
        <f>IFERROR(SUMIFS('Base bordo'!I$2:I$746,'Base bordo'!C$2:C$746,A1404,'Base bordo'!B$2:B$746,B1404,'Base bordo'!F$2:F$746,"DESLOCAMENTO VAZIO"),0)</f>
        <v>689</v>
      </c>
      <c r="S1404" s="30">
        <f t="shared" si="139"/>
        <v>3.9799999999999995</v>
      </c>
      <c r="T1404" s="10">
        <f>IFERROR(SUMIFS('Base bordo'!H$2:H$746,'Base bordo'!C$2:C$746,A1404,'Base bordo'!B$2:B$746,B1404,'Base bordo'!F$2:F$746,"DESLOCAMENTO CARREGADO"),0)</f>
        <v>0</v>
      </c>
      <c r="U1404" s="10">
        <f>IFERROR(SUMIFS('Base bordo'!I$2:I$746,'Base bordo'!C$2:C$746,A1404,'Base bordo'!B$2:B$746,B1404,'Base bordo'!F$2:F$746,"DESLOCAMENTO CARREGADO"),0)</f>
        <v>0</v>
      </c>
      <c r="V1404" s="30" t="str">
        <f t="shared" si="140"/>
        <v/>
      </c>
      <c r="W1404" s="9">
        <f t="shared" si="141"/>
        <v>4.3566234587417006E-2</v>
      </c>
      <c r="X1404" s="9">
        <f t="shared" si="142"/>
        <v>0</v>
      </c>
      <c r="Y1404" s="9">
        <f t="shared" si="143"/>
        <v>0.95643376541258296</v>
      </c>
    </row>
    <row r="1405" spans="1:25" ht="15" customHeight="1" x14ac:dyDescent="0.35">
      <c r="A1405" s="52">
        <v>8013465</v>
      </c>
      <c r="B1405" s="51">
        <v>46117</v>
      </c>
      <c r="C1405" s="7" t="s">
        <v>124</v>
      </c>
      <c r="D1405" s="10">
        <f>IFERROR(SUMIFS('Base bordo'!G$2:G$746,'Base bordo'!C$2:C$746,A1405,'Base bordo'!B$2:B$746,B1405,'Base bordo'!F$2:F$746,"DESLOCAMENTO VAZIO"),0)</f>
        <v>0.56916666666666671</v>
      </c>
      <c r="E1405" s="10">
        <f>IFERROR(SUMIFS('Base bordo'!G$2:G$746,'Base bordo'!C$2:C$746,A1405,'Base bordo'!B$2:B$746,B1405,'Base bordo'!F$2:F$746,"DESLOCAMENTO CARREGADO"),0)</f>
        <v>0</v>
      </c>
      <c r="F1405" s="10">
        <f>IFERROR(SUMIFS('Base bordo'!G$2:G$746,'Base bordo'!C$2:C$746,A1405,'Base bordo'!B$2:B$746,B1405,'Base bordo'!F$2:F$746,"DESLOCAMENTO"),0)</f>
        <v>0</v>
      </c>
      <c r="G1405" s="10">
        <f>IFERROR(SUMIFS('Base bordo'!G$2:G$746,'Base bordo'!C$2:C$746,A1405,'Base bordo'!B$2:B$746,B1405,'Base bordo'!F$2:F$746,"CARREGAMENTO"),0)</f>
        <v>0</v>
      </c>
      <c r="H1405" s="10">
        <f>IFERROR(SUMIFS('Base bordo'!G$2:G$746,'Base bordo'!C$2:C$746,A1405,'Base bordo'!B$2:B$746,B1405,'Base bordo'!F$2:F$746,"AGUARDANDO TRANSBORDO"),0)</f>
        <v>0</v>
      </c>
      <c r="I1405" s="10">
        <f>IFERROR(SUMIFS('Base bordo'!G$2:G$746,'Base bordo'!C$2:C$746,A1405,'Base bordo'!B$2:B$746,B1405,'Base bordo'!F$2:F$746,"PÁTIO INTERNO"),0)+IFERROR(SUMIFS('Base bordo'!G$2:G$746,'Base bordo'!C$2:C$746,A1405,'Base bordo'!B$2:B$746,B1405,'Base bordo'!F$2:F$746,"PÁTIO EXTERNO"),0)+IFERROR(SUMIFS('Base bordo'!G$2:G$746,'Base bordo'!C$2:C$746,A1405,'Base bordo'!B$2:B$746,B1405,'Base bordo'!F$2:F$746,"PATIO - RESERVA"),0)+IFERROR(SUMIFS('Base bordo'!G$2:G$746,'Base bordo'!C$2:C$746,A1405,'Base bordo'!B$2:B$746,B1405,'Base bordo'!F$2:F$746,"MANOBRA CARRETAS-PATIO"),0)</f>
        <v>0</v>
      </c>
      <c r="J1405" s="10">
        <f>IFERROR(SUMIFS('Base bordo'!G$2:G$746,'Base bordo'!C$2:C$746,A1405,'Base bordo'!B$2:B$746,B1405,'Base bordo'!F$2:F$746,"BALANÇA - ENTRADA"),0)+IFERROR(SUMIFS('Base bordo'!G$2:G$746,'Base bordo'!C$2:C$746,A1405,'Base bordo'!B$2:B$746,B1405,'Base bordo'!F$2:F$746,"BALANÇA - SAÍDA"),0)</f>
        <v>0</v>
      </c>
      <c r="K1405" s="10">
        <f>IFERROR(SUMIFS('Base bordo'!G$2:G$746,'Base bordo'!C$2:C$746,A1405,'Base bordo'!B$2:B$746,B1405,'Base bordo'!F$2:F$746,"MAN PREVENTIVA - MECANICA"),0)+IFERROR(SUMIFS('Base bordo'!G$2:G$746,'Base bordo'!C$2:C$746,A1405,'Base bordo'!B$2:B$746,B1405,'Base bordo'!F$2:F$746,"MAN CORRETIVA - MECANICA"),0)</f>
        <v>6.7658333333333331</v>
      </c>
      <c r="L1405" s="10">
        <f>IFERROR(SUMIFS('Base bordo'!G$2:G$746,'Base bordo'!C$2:C$746,A1405,'Base bordo'!B$2:B$746,B1405,'Base bordo'!F$2:F$746,"MANUTENCAO - T O"),0)+IFERROR(SUMIFS('Base bordo'!G$2:G$746,'Base bordo'!C$2:C$746,A1405,'Base bordo'!B$2:B$746,B1405,'Base bordo'!F$2:F$746,"MANUTENCAO BORRACHARIA"),0)+IFERROR(SUMIFS('Base bordo'!G$2:G$746,'Base bordo'!C$2:C$746,A1405,'Base bordo'!B$2:B$746,B1405,'Base bordo'!F$2:F$746,"MANUTENCAO EXTERNA  CONCESSIONARIA"),0)+IFERROR(SUMIFS('Base bordo'!G$2:G$746,'Base bordo'!C$2:C$746,A1405,'Base bordo'!B$2:B$746,B1405,'Base bordo'!F$2:F$746,"MANUTENCAO TELEMETRIA"),0)</f>
        <v>11.210277777777778</v>
      </c>
      <c r="M1405" s="10">
        <f>IFERROR(SUMIFS('Base bordo'!G$2:G$746,'Base bordo'!C$2:C$746,A1405,'Base bordo'!B$2:B$746,B1405,'Base bordo'!F$2:F$746,"AGUARDANDO MANUTENCAO"),0)</f>
        <v>0</v>
      </c>
      <c r="N1405" s="10">
        <f>IFERROR(SUMIFS('Base bordo'!G$2:G$746,'Base bordo'!C$2:C$746,A1405,'Base bordo'!B$2:B$746,B1405,'Base bordo'!F$2:F$746,"SEM APONTAMENTO"),0)</f>
        <v>0</v>
      </c>
      <c r="O1405" s="10">
        <f t="shared" si="138"/>
        <v>0.17805555555555586</v>
      </c>
      <c r="P1405" s="10">
        <f>IFERROR(SUMIFS('Base bordo'!G$2:G$746,'Base bordo'!C$2:C$746,A1405,'Base bordo'!B$2:B$746,B1405),0)</f>
        <v>18.723333333333333</v>
      </c>
      <c r="Q1405" s="10">
        <f>IFERROR(SUMIFS('Base bordo'!H$2:H$746,'Base bordo'!C$2:C$746,A1405,'Base bordo'!B$2:B$746,B1405,'Base bordo'!F$2:F$746,"DESLOCAMENTO VAZIO"),0)</f>
        <v>48513.33</v>
      </c>
      <c r="R1405" s="10">
        <f>IFERROR(SUMIFS('Base bordo'!I$2:I$746,'Base bordo'!C$2:C$746,A1405,'Base bordo'!B$2:B$746,B1405,'Base bordo'!F$2:F$746,"DESLOCAMENTO VAZIO"),0)</f>
        <v>2049</v>
      </c>
      <c r="S1405" s="30">
        <f t="shared" si="139"/>
        <v>23.676588579795023</v>
      </c>
      <c r="T1405" s="10">
        <f>IFERROR(SUMIFS('Base bordo'!H$2:H$746,'Base bordo'!C$2:C$746,A1405,'Base bordo'!B$2:B$746,B1405,'Base bordo'!F$2:F$746,"DESLOCAMENTO CARREGADO"),0)</f>
        <v>0</v>
      </c>
      <c r="U1405" s="10">
        <f>IFERROR(SUMIFS('Base bordo'!I$2:I$746,'Base bordo'!C$2:C$746,A1405,'Base bordo'!B$2:B$746,B1405,'Base bordo'!F$2:F$746,"DESLOCAMENTO CARREGADO"),0)</f>
        <v>0</v>
      </c>
      <c r="V1405" s="30" t="str">
        <f t="shared" si="140"/>
        <v/>
      </c>
      <c r="W1405" s="9">
        <f t="shared" si="141"/>
        <v>3.039878938935375E-2</v>
      </c>
      <c r="X1405" s="9">
        <f t="shared" si="142"/>
        <v>0</v>
      </c>
      <c r="Y1405" s="9">
        <f t="shared" si="143"/>
        <v>0.9696012106106463</v>
      </c>
    </row>
    <row r="1406" spans="1:25" ht="15" customHeight="1" x14ac:dyDescent="0.35">
      <c r="A1406" s="52">
        <v>8013465</v>
      </c>
      <c r="B1406" s="51">
        <v>46117</v>
      </c>
      <c r="C1406" s="7" t="s">
        <v>124</v>
      </c>
      <c r="D1406" s="10">
        <f>IFERROR(SUMIFS('Base bordo'!G$2:G$746,'Base bordo'!C$2:C$746,A1406,'Base bordo'!B$2:B$746,B1406,'Base bordo'!F$2:F$746,"DESLOCAMENTO VAZIO"),0)</f>
        <v>0.56916666666666671</v>
      </c>
      <c r="E1406" s="10">
        <f>IFERROR(SUMIFS('Base bordo'!G$2:G$746,'Base bordo'!C$2:C$746,A1406,'Base bordo'!B$2:B$746,B1406,'Base bordo'!F$2:F$746,"DESLOCAMENTO CARREGADO"),0)</f>
        <v>0</v>
      </c>
      <c r="F1406" s="10">
        <f>IFERROR(SUMIFS('Base bordo'!G$2:G$746,'Base bordo'!C$2:C$746,A1406,'Base bordo'!B$2:B$746,B1406,'Base bordo'!F$2:F$746,"DESLOCAMENTO"),0)</f>
        <v>0</v>
      </c>
      <c r="G1406" s="10">
        <f>IFERROR(SUMIFS('Base bordo'!G$2:G$746,'Base bordo'!C$2:C$746,A1406,'Base bordo'!B$2:B$746,B1406,'Base bordo'!F$2:F$746,"CARREGAMENTO"),0)</f>
        <v>0</v>
      </c>
      <c r="H1406" s="10">
        <f>IFERROR(SUMIFS('Base bordo'!G$2:G$746,'Base bordo'!C$2:C$746,A1406,'Base bordo'!B$2:B$746,B1406,'Base bordo'!F$2:F$746,"AGUARDANDO TRANSBORDO"),0)</f>
        <v>0</v>
      </c>
      <c r="I1406" s="10">
        <f>IFERROR(SUMIFS('Base bordo'!G$2:G$746,'Base bordo'!C$2:C$746,A1406,'Base bordo'!B$2:B$746,B1406,'Base bordo'!F$2:F$746,"PÁTIO INTERNO"),0)+IFERROR(SUMIFS('Base bordo'!G$2:G$746,'Base bordo'!C$2:C$746,A1406,'Base bordo'!B$2:B$746,B1406,'Base bordo'!F$2:F$746,"PÁTIO EXTERNO"),0)+IFERROR(SUMIFS('Base bordo'!G$2:G$746,'Base bordo'!C$2:C$746,A1406,'Base bordo'!B$2:B$746,B1406,'Base bordo'!F$2:F$746,"PATIO - RESERVA"),0)+IFERROR(SUMIFS('Base bordo'!G$2:G$746,'Base bordo'!C$2:C$746,A1406,'Base bordo'!B$2:B$746,B1406,'Base bordo'!F$2:F$746,"MANOBRA CARRETAS-PATIO"),0)</f>
        <v>0</v>
      </c>
      <c r="J1406" s="10">
        <f>IFERROR(SUMIFS('Base bordo'!G$2:G$746,'Base bordo'!C$2:C$746,A1406,'Base bordo'!B$2:B$746,B1406,'Base bordo'!F$2:F$746,"BALANÇA - ENTRADA"),0)+IFERROR(SUMIFS('Base bordo'!G$2:G$746,'Base bordo'!C$2:C$746,A1406,'Base bordo'!B$2:B$746,B1406,'Base bordo'!F$2:F$746,"BALANÇA - SAÍDA"),0)</f>
        <v>0</v>
      </c>
      <c r="K1406" s="10">
        <f>IFERROR(SUMIFS('Base bordo'!G$2:G$746,'Base bordo'!C$2:C$746,A1406,'Base bordo'!B$2:B$746,B1406,'Base bordo'!F$2:F$746,"MAN PREVENTIVA - MECANICA"),0)+IFERROR(SUMIFS('Base bordo'!G$2:G$746,'Base bordo'!C$2:C$746,A1406,'Base bordo'!B$2:B$746,B1406,'Base bordo'!F$2:F$746,"MAN CORRETIVA - MECANICA"),0)</f>
        <v>6.7658333333333331</v>
      </c>
      <c r="L1406" s="10">
        <f>IFERROR(SUMIFS('Base bordo'!G$2:G$746,'Base bordo'!C$2:C$746,A1406,'Base bordo'!B$2:B$746,B1406,'Base bordo'!F$2:F$746,"MANUTENCAO - T O"),0)+IFERROR(SUMIFS('Base bordo'!G$2:G$746,'Base bordo'!C$2:C$746,A1406,'Base bordo'!B$2:B$746,B1406,'Base bordo'!F$2:F$746,"MANUTENCAO BORRACHARIA"),0)+IFERROR(SUMIFS('Base bordo'!G$2:G$746,'Base bordo'!C$2:C$746,A1406,'Base bordo'!B$2:B$746,B1406,'Base bordo'!F$2:F$746,"MANUTENCAO EXTERNA  CONCESSIONARIA"),0)+IFERROR(SUMIFS('Base bordo'!G$2:G$746,'Base bordo'!C$2:C$746,A1406,'Base bordo'!B$2:B$746,B1406,'Base bordo'!F$2:F$746,"MANUTENCAO TELEMETRIA"),0)</f>
        <v>11.210277777777778</v>
      </c>
      <c r="M1406" s="10">
        <f>IFERROR(SUMIFS('Base bordo'!G$2:G$746,'Base bordo'!C$2:C$746,A1406,'Base bordo'!B$2:B$746,B1406,'Base bordo'!F$2:F$746,"AGUARDANDO MANUTENCAO"),0)</f>
        <v>0</v>
      </c>
      <c r="N1406" s="10">
        <f>IFERROR(SUMIFS('Base bordo'!G$2:G$746,'Base bordo'!C$2:C$746,A1406,'Base bordo'!B$2:B$746,B1406,'Base bordo'!F$2:F$746,"SEM APONTAMENTO"),0)</f>
        <v>0</v>
      </c>
      <c r="O1406" s="10">
        <f t="shared" si="138"/>
        <v>0.17805555555555586</v>
      </c>
      <c r="P1406" s="10">
        <f>IFERROR(SUMIFS('Base bordo'!G$2:G$746,'Base bordo'!C$2:C$746,A1406,'Base bordo'!B$2:B$746,B1406),0)</f>
        <v>18.723333333333333</v>
      </c>
      <c r="Q1406" s="10">
        <f>IFERROR(SUMIFS('Base bordo'!H$2:H$746,'Base bordo'!C$2:C$746,A1406,'Base bordo'!B$2:B$746,B1406,'Base bordo'!F$2:F$746,"DESLOCAMENTO VAZIO"),0)</f>
        <v>48513.33</v>
      </c>
      <c r="R1406" s="10">
        <f>IFERROR(SUMIFS('Base bordo'!I$2:I$746,'Base bordo'!C$2:C$746,A1406,'Base bordo'!B$2:B$746,B1406,'Base bordo'!F$2:F$746,"DESLOCAMENTO VAZIO"),0)</f>
        <v>2049</v>
      </c>
      <c r="S1406" s="30">
        <f t="shared" si="139"/>
        <v>23.676588579795023</v>
      </c>
      <c r="T1406" s="10">
        <f>IFERROR(SUMIFS('Base bordo'!H$2:H$746,'Base bordo'!C$2:C$746,A1406,'Base bordo'!B$2:B$746,B1406,'Base bordo'!F$2:F$746,"DESLOCAMENTO CARREGADO"),0)</f>
        <v>0</v>
      </c>
      <c r="U1406" s="10">
        <f>IFERROR(SUMIFS('Base bordo'!I$2:I$746,'Base bordo'!C$2:C$746,A1406,'Base bordo'!B$2:B$746,B1406,'Base bordo'!F$2:F$746,"DESLOCAMENTO CARREGADO"),0)</f>
        <v>0</v>
      </c>
      <c r="V1406" s="30" t="str">
        <f t="shared" si="140"/>
        <v/>
      </c>
      <c r="W1406" s="9">
        <f t="shared" si="141"/>
        <v>3.039878938935375E-2</v>
      </c>
      <c r="X1406" s="9">
        <f t="shared" si="142"/>
        <v>0</v>
      </c>
      <c r="Y1406" s="9">
        <f t="shared" si="143"/>
        <v>0.9696012106106463</v>
      </c>
    </row>
    <row r="1407" spans="1:25" ht="15" customHeight="1" x14ac:dyDescent="0.35">
      <c r="A1407" s="52">
        <v>8013476</v>
      </c>
      <c r="B1407" s="51">
        <v>46117</v>
      </c>
      <c r="C1407" s="7" t="s">
        <v>124</v>
      </c>
      <c r="D1407" s="10">
        <f>IFERROR(SUMIFS('Base bordo'!G$2:G$746,'Base bordo'!C$2:C$746,A1407,'Base bordo'!B$2:B$746,B1407,'Base bordo'!F$2:F$746,"DESLOCAMENTO VAZIO"),0)</f>
        <v>1.9241666666666666</v>
      </c>
      <c r="E1407" s="10">
        <f>IFERROR(SUMIFS('Base bordo'!G$2:G$746,'Base bordo'!C$2:C$746,A1407,'Base bordo'!B$2:B$746,B1407,'Base bordo'!F$2:F$746,"DESLOCAMENTO CARREGADO"),0)</f>
        <v>0</v>
      </c>
      <c r="F1407" s="10">
        <f>IFERROR(SUMIFS('Base bordo'!G$2:G$746,'Base bordo'!C$2:C$746,A1407,'Base bordo'!B$2:B$746,B1407,'Base bordo'!F$2:F$746,"DESLOCAMENTO"),0)</f>
        <v>0</v>
      </c>
      <c r="G1407" s="10">
        <f>IFERROR(SUMIFS('Base bordo'!G$2:G$746,'Base bordo'!C$2:C$746,A1407,'Base bordo'!B$2:B$746,B1407,'Base bordo'!F$2:F$746,"CARREGAMENTO"),0)</f>
        <v>1.3391666666666666</v>
      </c>
      <c r="H1407" s="10">
        <f>IFERROR(SUMIFS('Base bordo'!G$2:G$746,'Base bordo'!C$2:C$746,A1407,'Base bordo'!B$2:B$746,B1407,'Base bordo'!F$2:F$746,"AGUARDANDO TRANSBORDO"),0)</f>
        <v>0.16555555555555557</v>
      </c>
      <c r="I1407" s="10">
        <f>IFERROR(SUMIFS('Base bordo'!G$2:G$746,'Base bordo'!C$2:C$746,A1407,'Base bordo'!B$2:B$746,B1407,'Base bordo'!F$2:F$746,"PÁTIO INTERNO"),0)+IFERROR(SUMIFS('Base bordo'!G$2:G$746,'Base bordo'!C$2:C$746,A1407,'Base bordo'!B$2:B$746,B1407,'Base bordo'!F$2:F$746,"PÁTIO EXTERNO"),0)+IFERROR(SUMIFS('Base bordo'!G$2:G$746,'Base bordo'!C$2:C$746,A1407,'Base bordo'!B$2:B$746,B1407,'Base bordo'!F$2:F$746,"PATIO - RESERVA"),0)+IFERROR(SUMIFS('Base bordo'!G$2:G$746,'Base bordo'!C$2:C$746,A1407,'Base bordo'!B$2:B$746,B1407,'Base bordo'!F$2:F$746,"MANOBRA CARRETAS-PATIO"),0)</f>
        <v>0</v>
      </c>
      <c r="J1407" s="10">
        <f>IFERROR(SUMIFS('Base bordo'!G$2:G$746,'Base bordo'!C$2:C$746,A1407,'Base bordo'!B$2:B$746,B1407,'Base bordo'!F$2:F$746,"BALANÇA - ENTRADA"),0)+IFERROR(SUMIFS('Base bordo'!G$2:G$746,'Base bordo'!C$2:C$746,A1407,'Base bordo'!B$2:B$746,B1407,'Base bordo'!F$2:F$746,"BALANÇA - SAÍDA"),0)</f>
        <v>0</v>
      </c>
      <c r="K1407" s="10">
        <f>IFERROR(SUMIFS('Base bordo'!G$2:G$746,'Base bordo'!C$2:C$746,A1407,'Base bordo'!B$2:B$746,B1407,'Base bordo'!F$2:F$746,"MAN PREVENTIVA - MECANICA"),0)+IFERROR(SUMIFS('Base bordo'!G$2:G$746,'Base bordo'!C$2:C$746,A1407,'Base bordo'!B$2:B$746,B1407,'Base bordo'!F$2:F$746,"MAN CORRETIVA - MECANICA"),0)</f>
        <v>0</v>
      </c>
      <c r="L1407" s="10">
        <f>IFERROR(SUMIFS('Base bordo'!G$2:G$746,'Base bordo'!C$2:C$746,A1407,'Base bordo'!B$2:B$746,B1407,'Base bordo'!F$2:F$746,"MANUTENCAO - T O"),0)+IFERROR(SUMIFS('Base bordo'!G$2:G$746,'Base bordo'!C$2:C$746,A1407,'Base bordo'!B$2:B$746,B1407,'Base bordo'!F$2:F$746,"MANUTENCAO BORRACHARIA"),0)+IFERROR(SUMIFS('Base bordo'!G$2:G$746,'Base bordo'!C$2:C$746,A1407,'Base bordo'!B$2:B$746,B1407,'Base bordo'!F$2:F$746,"MANUTENCAO EXTERNA  CONCESSIONARIA"),0)+IFERROR(SUMIFS('Base bordo'!G$2:G$746,'Base bordo'!C$2:C$746,A1407,'Base bordo'!B$2:B$746,B1407,'Base bordo'!F$2:F$746,"MANUTENCAO TELEMETRIA"),0)</f>
        <v>18.408888888888889</v>
      </c>
      <c r="M1407" s="10">
        <f>IFERROR(SUMIFS('Base bordo'!G$2:G$746,'Base bordo'!C$2:C$746,A1407,'Base bordo'!B$2:B$746,B1407,'Base bordo'!F$2:F$746,"AGUARDANDO MANUTENCAO"),0)</f>
        <v>0</v>
      </c>
      <c r="N1407" s="10">
        <f>IFERROR(SUMIFS('Base bordo'!G$2:G$746,'Base bordo'!C$2:C$746,A1407,'Base bordo'!B$2:B$746,B1407,'Base bordo'!F$2:F$746,"SEM APONTAMENTO"),0)</f>
        <v>0</v>
      </c>
      <c r="O1407" s="10">
        <f t="shared" si="138"/>
        <v>0.16222222222222271</v>
      </c>
      <c r="P1407" s="10">
        <f>IFERROR(SUMIFS('Base bordo'!G$2:G$746,'Base bordo'!C$2:C$746,A1407,'Base bordo'!B$2:B$746,B1407),0)</f>
        <v>22</v>
      </c>
      <c r="Q1407" s="10">
        <f>IFERROR(SUMIFS('Base bordo'!H$2:H$746,'Base bordo'!C$2:C$746,A1407,'Base bordo'!B$2:B$746,B1407,'Base bordo'!F$2:F$746,"DESLOCAMENTO VAZIO"),0)</f>
        <v>234348.68000000002</v>
      </c>
      <c r="R1407" s="10">
        <f>IFERROR(SUMIFS('Base bordo'!I$2:I$746,'Base bordo'!C$2:C$746,A1407,'Base bordo'!B$2:B$746,B1407,'Base bordo'!F$2:F$746,"DESLOCAMENTO VAZIO"),0)</f>
        <v>6927</v>
      </c>
      <c r="S1407" s="30">
        <f t="shared" si="139"/>
        <v>33.831193879024113</v>
      </c>
      <c r="T1407" s="10">
        <f>IFERROR(SUMIFS('Base bordo'!H$2:H$746,'Base bordo'!C$2:C$746,A1407,'Base bordo'!B$2:B$746,B1407,'Base bordo'!F$2:F$746,"DESLOCAMENTO CARREGADO"),0)</f>
        <v>0</v>
      </c>
      <c r="U1407" s="10">
        <f>IFERROR(SUMIFS('Base bordo'!I$2:I$746,'Base bordo'!C$2:C$746,A1407,'Base bordo'!B$2:B$746,B1407,'Base bordo'!F$2:F$746,"DESLOCAMENTO CARREGADO"),0)</f>
        <v>0</v>
      </c>
      <c r="V1407" s="30" t="str">
        <f t="shared" si="140"/>
        <v/>
      </c>
      <c r="W1407" s="9">
        <f t="shared" si="141"/>
        <v>8.7462121212121213E-2</v>
      </c>
      <c r="X1407" s="9">
        <f t="shared" si="142"/>
        <v>0</v>
      </c>
      <c r="Y1407" s="9">
        <f t="shared" si="143"/>
        <v>0.91253787878787884</v>
      </c>
    </row>
    <row r="1408" spans="1:25" ht="15" customHeight="1" x14ac:dyDescent="0.35">
      <c r="A1408" s="52">
        <v>8013480</v>
      </c>
      <c r="B1408" s="51">
        <v>46117</v>
      </c>
      <c r="C1408" s="7" t="s">
        <v>124</v>
      </c>
      <c r="D1408" s="10">
        <f>IFERROR(SUMIFS('Base bordo'!G$2:G$746,'Base bordo'!C$2:C$746,A1408,'Base bordo'!B$2:B$746,B1408,'Base bordo'!F$2:F$746,"DESLOCAMENTO VAZIO"),0)</f>
        <v>0</v>
      </c>
      <c r="E1408" s="10">
        <f>IFERROR(SUMIFS('Base bordo'!G$2:G$746,'Base bordo'!C$2:C$746,A1408,'Base bordo'!B$2:B$746,B1408,'Base bordo'!F$2:F$746,"DESLOCAMENTO CARREGADO"),0)</f>
        <v>0</v>
      </c>
      <c r="F1408" s="10">
        <f>IFERROR(SUMIFS('Base bordo'!G$2:G$746,'Base bordo'!C$2:C$746,A1408,'Base bordo'!B$2:B$746,B1408,'Base bordo'!F$2:F$746,"DESLOCAMENTO"),0)</f>
        <v>0</v>
      </c>
      <c r="G1408" s="10">
        <f>IFERROR(SUMIFS('Base bordo'!G$2:G$746,'Base bordo'!C$2:C$746,A1408,'Base bordo'!B$2:B$746,B1408,'Base bordo'!F$2:F$746,"CARREGAMENTO"),0)</f>
        <v>0</v>
      </c>
      <c r="H1408" s="10">
        <f>IFERROR(SUMIFS('Base bordo'!G$2:G$746,'Base bordo'!C$2:C$746,A1408,'Base bordo'!B$2:B$746,B1408,'Base bordo'!F$2:F$746,"AGUARDANDO TRANSBORDO"),0)</f>
        <v>0</v>
      </c>
      <c r="I1408" s="10">
        <f>IFERROR(SUMIFS('Base bordo'!G$2:G$746,'Base bordo'!C$2:C$746,A1408,'Base bordo'!B$2:B$746,B1408,'Base bordo'!F$2:F$746,"PÁTIO INTERNO"),0)+IFERROR(SUMIFS('Base bordo'!G$2:G$746,'Base bordo'!C$2:C$746,A1408,'Base bordo'!B$2:B$746,B1408,'Base bordo'!F$2:F$746,"PÁTIO EXTERNO"),0)+IFERROR(SUMIFS('Base bordo'!G$2:G$746,'Base bordo'!C$2:C$746,A1408,'Base bordo'!B$2:B$746,B1408,'Base bordo'!F$2:F$746,"PATIO - RESERVA"),0)+IFERROR(SUMIFS('Base bordo'!G$2:G$746,'Base bordo'!C$2:C$746,A1408,'Base bordo'!B$2:B$746,B1408,'Base bordo'!F$2:F$746,"MANOBRA CARRETAS-PATIO"),0)</f>
        <v>0</v>
      </c>
      <c r="J1408" s="10">
        <f>IFERROR(SUMIFS('Base bordo'!G$2:G$746,'Base bordo'!C$2:C$746,A1408,'Base bordo'!B$2:B$746,B1408,'Base bordo'!F$2:F$746,"BALANÇA - ENTRADA"),0)+IFERROR(SUMIFS('Base bordo'!G$2:G$746,'Base bordo'!C$2:C$746,A1408,'Base bordo'!B$2:B$746,B1408,'Base bordo'!F$2:F$746,"BALANÇA - SAÍDA"),0)</f>
        <v>0</v>
      </c>
      <c r="K1408" s="10">
        <f>IFERROR(SUMIFS('Base bordo'!G$2:G$746,'Base bordo'!C$2:C$746,A1408,'Base bordo'!B$2:B$746,B1408,'Base bordo'!F$2:F$746,"MAN PREVENTIVA - MECANICA"),0)+IFERROR(SUMIFS('Base bordo'!G$2:G$746,'Base bordo'!C$2:C$746,A1408,'Base bordo'!B$2:B$746,B1408,'Base bordo'!F$2:F$746,"MAN CORRETIVA - MECANICA"),0)</f>
        <v>0</v>
      </c>
      <c r="L1408" s="10">
        <f>IFERROR(SUMIFS('Base bordo'!G$2:G$746,'Base bordo'!C$2:C$746,A1408,'Base bordo'!B$2:B$746,B1408,'Base bordo'!F$2:F$746,"MANUTENCAO - T O"),0)+IFERROR(SUMIFS('Base bordo'!G$2:G$746,'Base bordo'!C$2:C$746,A1408,'Base bordo'!B$2:B$746,B1408,'Base bordo'!F$2:F$746,"MANUTENCAO BORRACHARIA"),0)+IFERROR(SUMIFS('Base bordo'!G$2:G$746,'Base bordo'!C$2:C$746,A1408,'Base bordo'!B$2:B$746,B1408,'Base bordo'!F$2:F$746,"MANUTENCAO EXTERNA  CONCESSIONARIA"),0)+IFERROR(SUMIFS('Base bordo'!G$2:G$746,'Base bordo'!C$2:C$746,A1408,'Base bordo'!B$2:B$746,B1408,'Base bordo'!F$2:F$746,"MANUTENCAO TELEMETRIA"),0)</f>
        <v>0</v>
      </c>
      <c r="M1408" s="10">
        <f>IFERROR(SUMIFS('Base bordo'!G$2:G$746,'Base bordo'!C$2:C$746,A1408,'Base bordo'!B$2:B$746,B1408,'Base bordo'!F$2:F$746,"AGUARDANDO MANUTENCAO"),0)</f>
        <v>0</v>
      </c>
      <c r="N1408" s="10">
        <f>IFERROR(SUMIFS('Base bordo'!G$2:G$746,'Base bordo'!C$2:C$746,A1408,'Base bordo'!B$2:B$746,B1408,'Base bordo'!F$2:F$746,"SEM APONTAMENTO"),0)</f>
        <v>0</v>
      </c>
      <c r="O1408" s="10">
        <f t="shared" si="138"/>
        <v>0</v>
      </c>
      <c r="P1408" s="10">
        <f>IFERROR(SUMIFS('Base bordo'!G$2:G$746,'Base bordo'!C$2:C$746,A1408,'Base bordo'!B$2:B$746,B1408),0)</f>
        <v>0</v>
      </c>
      <c r="Q1408" s="10">
        <f>IFERROR(SUMIFS('Base bordo'!H$2:H$746,'Base bordo'!C$2:C$746,A1408,'Base bordo'!B$2:B$746,B1408,'Base bordo'!F$2:F$746,"DESLOCAMENTO VAZIO"),0)</f>
        <v>0</v>
      </c>
      <c r="R1408" s="10">
        <f>IFERROR(SUMIFS('Base bordo'!I$2:I$746,'Base bordo'!C$2:C$746,A1408,'Base bordo'!B$2:B$746,B1408,'Base bordo'!F$2:F$746,"DESLOCAMENTO VAZIO"),0)</f>
        <v>0</v>
      </c>
      <c r="S1408" s="30" t="str">
        <f t="shared" si="139"/>
        <v/>
      </c>
      <c r="T1408" s="10">
        <f>IFERROR(SUMIFS('Base bordo'!H$2:H$746,'Base bordo'!C$2:C$746,A1408,'Base bordo'!B$2:B$746,B1408,'Base bordo'!F$2:F$746,"DESLOCAMENTO CARREGADO"),0)</f>
        <v>0</v>
      </c>
      <c r="U1408" s="10">
        <f>IFERROR(SUMIFS('Base bordo'!I$2:I$746,'Base bordo'!C$2:C$746,A1408,'Base bordo'!B$2:B$746,B1408,'Base bordo'!F$2:F$746,"DESLOCAMENTO CARREGADO"),0)</f>
        <v>0</v>
      </c>
      <c r="V1408" s="30" t="str">
        <f t="shared" si="140"/>
        <v/>
      </c>
      <c r="W1408" s="9">
        <f t="shared" si="141"/>
        <v>0</v>
      </c>
      <c r="X1408" s="9">
        <f t="shared" si="142"/>
        <v>0</v>
      </c>
      <c r="Y1408" s="9">
        <f t="shared" si="143"/>
        <v>0</v>
      </c>
    </row>
    <row r="1409" spans="1:25" ht="15" customHeight="1" x14ac:dyDescent="0.35">
      <c r="A1409" s="52">
        <v>8013485</v>
      </c>
      <c r="B1409" s="51">
        <v>46117</v>
      </c>
      <c r="C1409" s="7" t="s">
        <v>124</v>
      </c>
      <c r="D1409" s="10">
        <f>IFERROR(SUMIFS('Base bordo'!G$2:G$746,'Base bordo'!C$2:C$746,A1409,'Base bordo'!B$2:B$746,B1409,'Base bordo'!F$2:F$746,"DESLOCAMENTO VAZIO"),0)</f>
        <v>1.9294444444444445</v>
      </c>
      <c r="E1409" s="10">
        <f>IFERROR(SUMIFS('Base bordo'!G$2:G$746,'Base bordo'!C$2:C$746,A1409,'Base bordo'!B$2:B$746,B1409,'Base bordo'!F$2:F$746,"DESLOCAMENTO CARREGADO"),0)</f>
        <v>1.6919444444444445</v>
      </c>
      <c r="F1409" s="10">
        <f>IFERROR(SUMIFS('Base bordo'!G$2:G$746,'Base bordo'!C$2:C$746,A1409,'Base bordo'!B$2:B$746,B1409,'Base bordo'!F$2:F$746,"DESLOCAMENTO"),0)</f>
        <v>0</v>
      </c>
      <c r="G1409" s="10">
        <f>IFERROR(SUMIFS('Base bordo'!G$2:G$746,'Base bordo'!C$2:C$746,A1409,'Base bordo'!B$2:B$746,B1409,'Base bordo'!F$2:F$746,"CARREGAMENTO"),0)</f>
        <v>0.57138888888888884</v>
      </c>
      <c r="H1409" s="10">
        <f>IFERROR(SUMIFS('Base bordo'!G$2:G$746,'Base bordo'!C$2:C$746,A1409,'Base bordo'!B$2:B$746,B1409,'Base bordo'!F$2:F$746,"AGUARDANDO TRANSBORDO"),0)</f>
        <v>0</v>
      </c>
      <c r="I1409" s="10">
        <f>IFERROR(SUMIFS('Base bordo'!G$2:G$746,'Base bordo'!C$2:C$746,A1409,'Base bordo'!B$2:B$746,B1409,'Base bordo'!F$2:F$746,"PÁTIO INTERNO"),0)+IFERROR(SUMIFS('Base bordo'!G$2:G$746,'Base bordo'!C$2:C$746,A1409,'Base bordo'!B$2:B$746,B1409,'Base bordo'!F$2:F$746,"PÁTIO EXTERNO"),0)+IFERROR(SUMIFS('Base bordo'!G$2:G$746,'Base bordo'!C$2:C$746,A1409,'Base bordo'!B$2:B$746,B1409,'Base bordo'!F$2:F$746,"PATIO - RESERVA"),0)+IFERROR(SUMIFS('Base bordo'!G$2:G$746,'Base bordo'!C$2:C$746,A1409,'Base bordo'!B$2:B$746,B1409,'Base bordo'!F$2:F$746,"MANOBRA CARRETAS-PATIO"),0)</f>
        <v>0.93222222222222217</v>
      </c>
      <c r="J1409" s="10">
        <f>IFERROR(SUMIFS('Base bordo'!G$2:G$746,'Base bordo'!C$2:C$746,A1409,'Base bordo'!B$2:B$746,B1409,'Base bordo'!F$2:F$746,"BALANÇA - ENTRADA"),0)+IFERROR(SUMIFS('Base bordo'!G$2:G$746,'Base bordo'!C$2:C$746,A1409,'Base bordo'!B$2:B$746,B1409,'Base bordo'!F$2:F$746,"BALANÇA - SAÍDA"),0)</f>
        <v>0</v>
      </c>
      <c r="K1409" s="10">
        <f>IFERROR(SUMIFS('Base bordo'!G$2:G$746,'Base bordo'!C$2:C$746,A1409,'Base bordo'!B$2:B$746,B1409,'Base bordo'!F$2:F$746,"MAN PREVENTIVA - MECANICA"),0)+IFERROR(SUMIFS('Base bordo'!G$2:G$746,'Base bordo'!C$2:C$746,A1409,'Base bordo'!B$2:B$746,B1409,'Base bordo'!F$2:F$746,"MAN CORRETIVA - MECANICA"),0)</f>
        <v>0</v>
      </c>
      <c r="L1409" s="10">
        <f>IFERROR(SUMIFS('Base bordo'!G$2:G$746,'Base bordo'!C$2:C$746,A1409,'Base bordo'!B$2:B$746,B1409,'Base bordo'!F$2:F$746,"MANUTENCAO - T O"),0)+IFERROR(SUMIFS('Base bordo'!G$2:G$746,'Base bordo'!C$2:C$746,A1409,'Base bordo'!B$2:B$746,B1409,'Base bordo'!F$2:F$746,"MANUTENCAO BORRACHARIA"),0)+IFERROR(SUMIFS('Base bordo'!G$2:G$746,'Base bordo'!C$2:C$746,A1409,'Base bordo'!B$2:B$746,B1409,'Base bordo'!F$2:F$746,"MANUTENCAO EXTERNA  CONCESSIONARIA"),0)+IFERROR(SUMIFS('Base bordo'!G$2:G$746,'Base bordo'!C$2:C$746,A1409,'Base bordo'!B$2:B$746,B1409,'Base bordo'!F$2:F$746,"MANUTENCAO TELEMETRIA"),0)</f>
        <v>8.8805555555555564</v>
      </c>
      <c r="M1409" s="10">
        <f>IFERROR(SUMIFS('Base bordo'!G$2:G$746,'Base bordo'!C$2:C$746,A1409,'Base bordo'!B$2:B$746,B1409,'Base bordo'!F$2:F$746,"AGUARDANDO MANUTENCAO"),0)</f>
        <v>0</v>
      </c>
      <c r="N1409" s="10">
        <f>IFERROR(SUMIFS('Base bordo'!G$2:G$746,'Base bordo'!C$2:C$746,A1409,'Base bordo'!B$2:B$746,B1409,'Base bordo'!F$2:F$746,"SEM APONTAMENTO"),0)</f>
        <v>0</v>
      </c>
      <c r="O1409" s="10">
        <f t="shared" si="138"/>
        <v>4.9944444444444471</v>
      </c>
      <c r="P1409" s="10">
        <f>IFERROR(SUMIFS('Base bordo'!G$2:G$746,'Base bordo'!C$2:C$746,A1409,'Base bordo'!B$2:B$746,B1409),0)</f>
        <v>19.000000000000004</v>
      </c>
      <c r="Q1409" s="10">
        <f>IFERROR(SUMIFS('Base bordo'!H$2:H$746,'Base bordo'!C$2:C$746,A1409,'Base bordo'!B$2:B$746,B1409,'Base bordo'!F$2:F$746,"DESLOCAMENTO VAZIO"),0)</f>
        <v>200216.06000000003</v>
      </c>
      <c r="R1409" s="10">
        <f>IFERROR(SUMIFS('Base bordo'!I$2:I$746,'Base bordo'!C$2:C$746,A1409,'Base bordo'!B$2:B$746,B1409,'Base bordo'!F$2:F$746,"DESLOCAMENTO VAZIO"),0)</f>
        <v>6946</v>
      </c>
      <c r="S1409" s="30">
        <f t="shared" si="139"/>
        <v>28.82465591707458</v>
      </c>
      <c r="T1409" s="10">
        <f>IFERROR(SUMIFS('Base bordo'!H$2:H$746,'Base bordo'!C$2:C$746,A1409,'Base bordo'!B$2:B$746,B1409,'Base bordo'!F$2:F$746,"DESLOCAMENTO CARREGADO"),0)</f>
        <v>167185.25</v>
      </c>
      <c r="U1409" s="10">
        <f>IFERROR(SUMIFS('Base bordo'!I$2:I$746,'Base bordo'!C$2:C$746,A1409,'Base bordo'!B$2:B$746,B1409,'Base bordo'!F$2:F$746,"DESLOCAMENTO CARREGADO"),0)</f>
        <v>6091</v>
      </c>
      <c r="V1409" s="30">
        <f t="shared" si="140"/>
        <v>27.447914956493186</v>
      </c>
      <c r="W1409" s="9">
        <f t="shared" si="141"/>
        <v>0.10154970760233917</v>
      </c>
      <c r="X1409" s="9">
        <f t="shared" si="142"/>
        <v>8.904970760233917E-2</v>
      </c>
      <c r="Y1409" s="9">
        <f t="shared" si="143"/>
        <v>0.80940058479532162</v>
      </c>
    </row>
    <row r="1410" spans="1:25" ht="15" customHeight="1" x14ac:dyDescent="0.35">
      <c r="A1410" s="52">
        <v>8013480</v>
      </c>
      <c r="B1410" s="51">
        <v>46118</v>
      </c>
      <c r="C1410" s="7" t="s">
        <v>124</v>
      </c>
      <c r="D1410" s="10">
        <f>IFERROR(SUMIFS('Base bordo'!G$2:G$746,'Base bordo'!C$2:C$746,A1410,'Base bordo'!B$2:B$746,B1410,'Base bordo'!F$2:F$746,"DESLOCAMENTO VAZIO"),0)</f>
        <v>0</v>
      </c>
      <c r="E1410" s="10">
        <f>IFERROR(SUMIFS('Base bordo'!G$2:G$746,'Base bordo'!C$2:C$746,A1410,'Base bordo'!B$2:B$746,B1410,'Base bordo'!F$2:F$746,"DESLOCAMENTO CARREGADO"),0)</f>
        <v>0</v>
      </c>
      <c r="F1410" s="10">
        <f>IFERROR(SUMIFS('Base bordo'!G$2:G$746,'Base bordo'!C$2:C$746,A1410,'Base bordo'!B$2:B$746,B1410,'Base bordo'!F$2:F$746,"DESLOCAMENTO"),0)</f>
        <v>0</v>
      </c>
      <c r="G1410" s="10">
        <f>IFERROR(SUMIFS('Base bordo'!G$2:G$746,'Base bordo'!C$2:C$746,A1410,'Base bordo'!B$2:B$746,B1410,'Base bordo'!F$2:F$746,"CARREGAMENTO"),0)</f>
        <v>0</v>
      </c>
      <c r="H1410" s="10">
        <f>IFERROR(SUMIFS('Base bordo'!G$2:G$746,'Base bordo'!C$2:C$746,A1410,'Base bordo'!B$2:B$746,B1410,'Base bordo'!F$2:F$746,"AGUARDANDO TRANSBORDO"),0)</f>
        <v>0</v>
      </c>
      <c r="I1410" s="10">
        <f>IFERROR(SUMIFS('Base bordo'!G$2:G$746,'Base bordo'!C$2:C$746,A1410,'Base bordo'!B$2:B$746,B1410,'Base bordo'!F$2:F$746,"PÁTIO INTERNO"),0)+IFERROR(SUMIFS('Base bordo'!G$2:G$746,'Base bordo'!C$2:C$746,A1410,'Base bordo'!B$2:B$746,B1410,'Base bordo'!F$2:F$746,"PÁTIO EXTERNO"),0)+IFERROR(SUMIFS('Base bordo'!G$2:G$746,'Base bordo'!C$2:C$746,A1410,'Base bordo'!B$2:B$746,B1410,'Base bordo'!F$2:F$746,"PATIO - RESERVA"),0)+IFERROR(SUMIFS('Base bordo'!G$2:G$746,'Base bordo'!C$2:C$746,A1410,'Base bordo'!B$2:B$746,B1410,'Base bordo'!F$2:F$746,"MANOBRA CARRETAS-PATIO"),0)</f>
        <v>0</v>
      </c>
      <c r="J1410" s="10">
        <f>IFERROR(SUMIFS('Base bordo'!G$2:G$746,'Base bordo'!C$2:C$746,A1410,'Base bordo'!B$2:B$746,B1410,'Base bordo'!F$2:F$746,"BALANÇA - ENTRADA"),0)+IFERROR(SUMIFS('Base bordo'!G$2:G$746,'Base bordo'!C$2:C$746,A1410,'Base bordo'!B$2:B$746,B1410,'Base bordo'!F$2:F$746,"BALANÇA - SAÍDA"),0)</f>
        <v>0</v>
      </c>
      <c r="K1410" s="10">
        <f>IFERROR(SUMIFS('Base bordo'!G$2:G$746,'Base bordo'!C$2:C$746,A1410,'Base bordo'!B$2:B$746,B1410,'Base bordo'!F$2:F$746,"MAN PREVENTIVA - MECANICA"),0)+IFERROR(SUMIFS('Base bordo'!G$2:G$746,'Base bordo'!C$2:C$746,A1410,'Base bordo'!B$2:B$746,B1410,'Base bordo'!F$2:F$746,"MAN CORRETIVA - MECANICA"),0)</f>
        <v>0</v>
      </c>
      <c r="L1410" s="10">
        <f>IFERROR(SUMIFS('Base bordo'!G$2:G$746,'Base bordo'!C$2:C$746,A1410,'Base bordo'!B$2:B$746,B1410,'Base bordo'!F$2:F$746,"MANUTENCAO - T O"),0)+IFERROR(SUMIFS('Base bordo'!G$2:G$746,'Base bordo'!C$2:C$746,A1410,'Base bordo'!B$2:B$746,B1410,'Base bordo'!F$2:F$746,"MANUTENCAO BORRACHARIA"),0)+IFERROR(SUMIFS('Base bordo'!G$2:G$746,'Base bordo'!C$2:C$746,A1410,'Base bordo'!B$2:B$746,B1410,'Base bordo'!F$2:F$746,"MANUTENCAO EXTERNA  CONCESSIONARIA"),0)+IFERROR(SUMIFS('Base bordo'!G$2:G$746,'Base bordo'!C$2:C$746,A1410,'Base bordo'!B$2:B$746,B1410,'Base bordo'!F$2:F$746,"MANUTENCAO TELEMETRIA"),0)</f>
        <v>0</v>
      </c>
      <c r="M1410" s="10">
        <f>IFERROR(SUMIFS('Base bordo'!G$2:G$746,'Base bordo'!C$2:C$746,A1410,'Base bordo'!B$2:B$746,B1410,'Base bordo'!F$2:F$746,"AGUARDANDO MANUTENCAO"),0)</f>
        <v>0</v>
      </c>
      <c r="N1410" s="10">
        <f>IFERROR(SUMIFS('Base bordo'!G$2:G$746,'Base bordo'!C$2:C$746,A1410,'Base bordo'!B$2:B$746,B1410,'Base bordo'!F$2:F$746,"SEM APONTAMENTO"),0)</f>
        <v>0</v>
      </c>
      <c r="O1410" s="10">
        <f t="shared" si="138"/>
        <v>0</v>
      </c>
      <c r="P1410" s="10">
        <f>IFERROR(SUMIFS('Base bordo'!G$2:G$746,'Base bordo'!C$2:C$746,A1410,'Base bordo'!B$2:B$746,B1410),0)</f>
        <v>0</v>
      </c>
      <c r="Q1410" s="10">
        <f>IFERROR(SUMIFS('Base bordo'!H$2:H$746,'Base bordo'!C$2:C$746,A1410,'Base bordo'!B$2:B$746,B1410,'Base bordo'!F$2:F$746,"DESLOCAMENTO VAZIO"),0)</f>
        <v>0</v>
      </c>
      <c r="R1410" s="10">
        <f>IFERROR(SUMIFS('Base bordo'!I$2:I$746,'Base bordo'!C$2:C$746,A1410,'Base bordo'!B$2:B$746,B1410,'Base bordo'!F$2:F$746,"DESLOCAMENTO VAZIO"),0)</f>
        <v>0</v>
      </c>
      <c r="S1410" s="30" t="str">
        <f t="shared" si="139"/>
        <v/>
      </c>
      <c r="T1410" s="10">
        <f>IFERROR(SUMIFS('Base bordo'!H$2:H$746,'Base bordo'!C$2:C$746,A1410,'Base bordo'!B$2:B$746,B1410,'Base bordo'!F$2:F$746,"DESLOCAMENTO CARREGADO"),0)</f>
        <v>0</v>
      </c>
      <c r="U1410" s="10">
        <f>IFERROR(SUMIFS('Base bordo'!I$2:I$746,'Base bordo'!C$2:C$746,A1410,'Base bordo'!B$2:B$746,B1410,'Base bordo'!F$2:F$746,"DESLOCAMENTO CARREGADO"),0)</f>
        <v>0</v>
      </c>
      <c r="V1410" s="30" t="str">
        <f t="shared" si="140"/>
        <v/>
      </c>
      <c r="W1410" s="9">
        <f t="shared" si="141"/>
        <v>0</v>
      </c>
      <c r="X1410" s="9">
        <f t="shared" si="142"/>
        <v>0</v>
      </c>
      <c r="Y1410" s="9">
        <f t="shared" si="143"/>
        <v>0</v>
      </c>
    </row>
    <row r="1411" spans="1:25" ht="15" customHeight="1" x14ac:dyDescent="0.35">
      <c r="A1411" s="52">
        <v>8013480</v>
      </c>
      <c r="B1411" s="51">
        <v>46119</v>
      </c>
      <c r="C1411" s="7" t="s">
        <v>124</v>
      </c>
      <c r="D1411" s="10">
        <f>IFERROR(SUMIFS('Base bordo'!G$2:G$746,'Base bordo'!C$2:C$746,A1411,'Base bordo'!B$2:B$746,B1411,'Base bordo'!F$2:F$746,"DESLOCAMENTO VAZIO"),0)</f>
        <v>0</v>
      </c>
      <c r="E1411" s="10">
        <f>IFERROR(SUMIFS('Base bordo'!G$2:G$746,'Base bordo'!C$2:C$746,A1411,'Base bordo'!B$2:B$746,B1411,'Base bordo'!F$2:F$746,"DESLOCAMENTO CARREGADO"),0)</f>
        <v>0</v>
      </c>
      <c r="F1411" s="10">
        <f>IFERROR(SUMIFS('Base bordo'!G$2:G$746,'Base bordo'!C$2:C$746,A1411,'Base bordo'!B$2:B$746,B1411,'Base bordo'!F$2:F$746,"DESLOCAMENTO"),0)</f>
        <v>0</v>
      </c>
      <c r="G1411" s="10">
        <f>IFERROR(SUMIFS('Base bordo'!G$2:G$746,'Base bordo'!C$2:C$746,A1411,'Base bordo'!B$2:B$746,B1411,'Base bordo'!F$2:F$746,"CARREGAMENTO"),0)</f>
        <v>0</v>
      </c>
      <c r="H1411" s="10">
        <f>IFERROR(SUMIFS('Base bordo'!G$2:G$746,'Base bordo'!C$2:C$746,A1411,'Base bordo'!B$2:B$746,B1411,'Base bordo'!F$2:F$746,"AGUARDANDO TRANSBORDO"),0)</f>
        <v>0</v>
      </c>
      <c r="I1411" s="10">
        <f>IFERROR(SUMIFS('Base bordo'!G$2:G$746,'Base bordo'!C$2:C$746,A1411,'Base bordo'!B$2:B$746,B1411,'Base bordo'!F$2:F$746,"PÁTIO INTERNO"),0)+IFERROR(SUMIFS('Base bordo'!G$2:G$746,'Base bordo'!C$2:C$746,A1411,'Base bordo'!B$2:B$746,B1411,'Base bordo'!F$2:F$746,"PÁTIO EXTERNO"),0)+IFERROR(SUMIFS('Base bordo'!G$2:G$746,'Base bordo'!C$2:C$746,A1411,'Base bordo'!B$2:B$746,B1411,'Base bordo'!F$2:F$746,"PATIO - RESERVA"),0)+IFERROR(SUMIFS('Base bordo'!G$2:G$746,'Base bordo'!C$2:C$746,A1411,'Base bordo'!B$2:B$746,B1411,'Base bordo'!F$2:F$746,"MANOBRA CARRETAS-PATIO"),0)</f>
        <v>0</v>
      </c>
      <c r="J1411" s="10">
        <f>IFERROR(SUMIFS('Base bordo'!G$2:G$746,'Base bordo'!C$2:C$746,A1411,'Base bordo'!B$2:B$746,B1411,'Base bordo'!F$2:F$746,"BALANÇA - ENTRADA"),0)+IFERROR(SUMIFS('Base bordo'!G$2:G$746,'Base bordo'!C$2:C$746,A1411,'Base bordo'!B$2:B$746,B1411,'Base bordo'!F$2:F$746,"BALANÇA - SAÍDA"),0)</f>
        <v>0</v>
      </c>
      <c r="K1411" s="10">
        <f>IFERROR(SUMIFS('Base bordo'!G$2:G$746,'Base bordo'!C$2:C$746,A1411,'Base bordo'!B$2:B$746,B1411,'Base bordo'!F$2:F$746,"MAN PREVENTIVA - MECANICA"),0)+IFERROR(SUMIFS('Base bordo'!G$2:G$746,'Base bordo'!C$2:C$746,A1411,'Base bordo'!B$2:B$746,B1411,'Base bordo'!F$2:F$746,"MAN CORRETIVA - MECANICA"),0)</f>
        <v>0</v>
      </c>
      <c r="L1411" s="10">
        <f>IFERROR(SUMIFS('Base bordo'!G$2:G$746,'Base bordo'!C$2:C$746,A1411,'Base bordo'!B$2:B$746,B1411,'Base bordo'!F$2:F$746,"MANUTENCAO - T O"),0)+IFERROR(SUMIFS('Base bordo'!G$2:G$746,'Base bordo'!C$2:C$746,A1411,'Base bordo'!B$2:B$746,B1411,'Base bordo'!F$2:F$746,"MANUTENCAO BORRACHARIA"),0)+IFERROR(SUMIFS('Base bordo'!G$2:G$746,'Base bordo'!C$2:C$746,A1411,'Base bordo'!B$2:B$746,B1411,'Base bordo'!F$2:F$746,"MANUTENCAO EXTERNA  CONCESSIONARIA"),0)+IFERROR(SUMIFS('Base bordo'!G$2:G$746,'Base bordo'!C$2:C$746,A1411,'Base bordo'!B$2:B$746,B1411,'Base bordo'!F$2:F$746,"MANUTENCAO TELEMETRIA"),0)</f>
        <v>0</v>
      </c>
      <c r="M1411" s="10">
        <f>IFERROR(SUMIFS('Base bordo'!G$2:G$746,'Base bordo'!C$2:C$746,A1411,'Base bordo'!B$2:B$746,B1411,'Base bordo'!F$2:F$746,"AGUARDANDO MANUTENCAO"),0)</f>
        <v>0</v>
      </c>
      <c r="N1411" s="10">
        <f>IFERROR(SUMIFS('Base bordo'!G$2:G$746,'Base bordo'!C$2:C$746,A1411,'Base bordo'!B$2:B$746,B1411,'Base bordo'!F$2:F$746,"SEM APONTAMENTO"),0)</f>
        <v>0</v>
      </c>
      <c r="O1411" s="10">
        <f t="shared" si="138"/>
        <v>0</v>
      </c>
      <c r="P1411" s="10">
        <f>IFERROR(SUMIFS('Base bordo'!G$2:G$746,'Base bordo'!C$2:C$746,A1411,'Base bordo'!B$2:B$746,B1411),0)</f>
        <v>0</v>
      </c>
      <c r="Q1411" s="10">
        <f>IFERROR(SUMIFS('Base bordo'!H$2:H$746,'Base bordo'!C$2:C$746,A1411,'Base bordo'!B$2:B$746,B1411,'Base bordo'!F$2:F$746,"DESLOCAMENTO VAZIO"),0)</f>
        <v>0</v>
      </c>
      <c r="R1411" s="10">
        <f>IFERROR(SUMIFS('Base bordo'!I$2:I$746,'Base bordo'!C$2:C$746,A1411,'Base bordo'!B$2:B$746,B1411,'Base bordo'!F$2:F$746,"DESLOCAMENTO VAZIO"),0)</f>
        <v>0</v>
      </c>
      <c r="S1411" s="30" t="str">
        <f t="shared" si="139"/>
        <v/>
      </c>
      <c r="T1411" s="10">
        <f>IFERROR(SUMIFS('Base bordo'!H$2:H$746,'Base bordo'!C$2:C$746,A1411,'Base bordo'!B$2:B$746,B1411,'Base bordo'!F$2:F$746,"DESLOCAMENTO CARREGADO"),0)</f>
        <v>0</v>
      </c>
      <c r="U1411" s="10">
        <f>IFERROR(SUMIFS('Base bordo'!I$2:I$746,'Base bordo'!C$2:C$746,A1411,'Base bordo'!B$2:B$746,B1411,'Base bordo'!F$2:F$746,"DESLOCAMENTO CARREGADO"),0)</f>
        <v>0</v>
      </c>
      <c r="V1411" s="30" t="str">
        <f t="shared" si="140"/>
        <v/>
      </c>
      <c r="W1411" s="9">
        <f t="shared" si="141"/>
        <v>0</v>
      </c>
      <c r="X1411" s="9">
        <f t="shared" si="142"/>
        <v>0</v>
      </c>
      <c r="Y1411" s="9">
        <f t="shared" si="143"/>
        <v>0</v>
      </c>
    </row>
    <row r="1412" spans="1:25" ht="15" customHeight="1" x14ac:dyDescent="0.35">
      <c r="A1412" s="52">
        <v>8013483</v>
      </c>
      <c r="B1412" s="51">
        <v>46119</v>
      </c>
      <c r="C1412" s="7" t="s">
        <v>124</v>
      </c>
      <c r="D1412" s="10">
        <f>IFERROR(SUMIFS('Base bordo'!G$2:G$746,'Base bordo'!C$2:C$746,A1412,'Base bordo'!B$2:B$746,B1412,'Base bordo'!F$2:F$746,"DESLOCAMENTO VAZIO"),0)</f>
        <v>0</v>
      </c>
      <c r="E1412" s="10">
        <f>IFERROR(SUMIFS('Base bordo'!G$2:G$746,'Base bordo'!C$2:C$746,A1412,'Base bordo'!B$2:B$746,B1412,'Base bordo'!F$2:F$746,"DESLOCAMENTO CARREGADO"),0)</f>
        <v>0</v>
      </c>
      <c r="F1412" s="10">
        <f>IFERROR(SUMIFS('Base bordo'!G$2:G$746,'Base bordo'!C$2:C$746,A1412,'Base bordo'!B$2:B$746,B1412,'Base bordo'!F$2:F$746,"DESLOCAMENTO"),0)</f>
        <v>0</v>
      </c>
      <c r="G1412" s="10">
        <f>IFERROR(SUMIFS('Base bordo'!G$2:G$746,'Base bordo'!C$2:C$746,A1412,'Base bordo'!B$2:B$746,B1412,'Base bordo'!F$2:F$746,"CARREGAMENTO"),0)</f>
        <v>0</v>
      </c>
      <c r="H1412" s="10">
        <f>IFERROR(SUMIFS('Base bordo'!G$2:G$746,'Base bordo'!C$2:C$746,A1412,'Base bordo'!B$2:B$746,B1412,'Base bordo'!F$2:F$746,"AGUARDANDO TRANSBORDO"),0)</f>
        <v>0</v>
      </c>
      <c r="I1412" s="10">
        <f>IFERROR(SUMIFS('Base bordo'!G$2:G$746,'Base bordo'!C$2:C$746,A1412,'Base bordo'!B$2:B$746,B1412,'Base bordo'!F$2:F$746,"PÁTIO INTERNO"),0)+IFERROR(SUMIFS('Base bordo'!G$2:G$746,'Base bordo'!C$2:C$746,A1412,'Base bordo'!B$2:B$746,B1412,'Base bordo'!F$2:F$746,"PÁTIO EXTERNO"),0)+IFERROR(SUMIFS('Base bordo'!G$2:G$746,'Base bordo'!C$2:C$746,A1412,'Base bordo'!B$2:B$746,B1412,'Base bordo'!F$2:F$746,"PATIO - RESERVA"),0)+IFERROR(SUMIFS('Base bordo'!G$2:G$746,'Base bordo'!C$2:C$746,A1412,'Base bordo'!B$2:B$746,B1412,'Base bordo'!F$2:F$746,"MANOBRA CARRETAS-PATIO"),0)</f>
        <v>0</v>
      </c>
      <c r="J1412" s="10">
        <f>IFERROR(SUMIFS('Base bordo'!G$2:G$746,'Base bordo'!C$2:C$746,A1412,'Base bordo'!B$2:B$746,B1412,'Base bordo'!F$2:F$746,"BALANÇA - ENTRADA"),0)+IFERROR(SUMIFS('Base bordo'!G$2:G$746,'Base bordo'!C$2:C$746,A1412,'Base bordo'!B$2:B$746,B1412,'Base bordo'!F$2:F$746,"BALANÇA - SAÍDA"),0)</f>
        <v>0</v>
      </c>
      <c r="K1412" s="10">
        <f>IFERROR(SUMIFS('Base bordo'!G$2:G$746,'Base bordo'!C$2:C$746,A1412,'Base bordo'!B$2:B$746,B1412,'Base bordo'!F$2:F$746,"MAN PREVENTIVA - MECANICA"),0)+IFERROR(SUMIFS('Base bordo'!G$2:G$746,'Base bordo'!C$2:C$746,A1412,'Base bordo'!B$2:B$746,B1412,'Base bordo'!F$2:F$746,"MAN CORRETIVA - MECANICA"),0)</f>
        <v>0</v>
      </c>
      <c r="L1412" s="10">
        <f>IFERROR(SUMIFS('Base bordo'!G$2:G$746,'Base bordo'!C$2:C$746,A1412,'Base bordo'!B$2:B$746,B1412,'Base bordo'!F$2:F$746,"MANUTENCAO - T O"),0)+IFERROR(SUMIFS('Base bordo'!G$2:G$746,'Base bordo'!C$2:C$746,A1412,'Base bordo'!B$2:B$746,B1412,'Base bordo'!F$2:F$746,"MANUTENCAO BORRACHARIA"),0)+IFERROR(SUMIFS('Base bordo'!G$2:G$746,'Base bordo'!C$2:C$746,A1412,'Base bordo'!B$2:B$746,B1412,'Base bordo'!F$2:F$746,"MANUTENCAO EXTERNA  CONCESSIONARIA"),0)+IFERROR(SUMIFS('Base bordo'!G$2:G$746,'Base bordo'!C$2:C$746,A1412,'Base bordo'!B$2:B$746,B1412,'Base bordo'!F$2:F$746,"MANUTENCAO TELEMETRIA"),0)</f>
        <v>0</v>
      </c>
      <c r="M1412" s="10">
        <f>IFERROR(SUMIFS('Base bordo'!G$2:G$746,'Base bordo'!C$2:C$746,A1412,'Base bordo'!B$2:B$746,B1412,'Base bordo'!F$2:F$746,"AGUARDANDO MANUTENCAO"),0)</f>
        <v>0</v>
      </c>
      <c r="N1412" s="10">
        <f>IFERROR(SUMIFS('Base bordo'!G$2:G$746,'Base bordo'!C$2:C$746,A1412,'Base bordo'!B$2:B$746,B1412,'Base bordo'!F$2:F$746,"SEM APONTAMENTO"),0)</f>
        <v>0</v>
      </c>
      <c r="O1412" s="10">
        <f t="shared" si="138"/>
        <v>0</v>
      </c>
      <c r="P1412" s="10">
        <f>IFERROR(SUMIFS('Base bordo'!G$2:G$746,'Base bordo'!C$2:C$746,A1412,'Base bordo'!B$2:B$746,B1412),0)</f>
        <v>0</v>
      </c>
      <c r="Q1412" s="10">
        <f>IFERROR(SUMIFS('Base bordo'!H$2:H$746,'Base bordo'!C$2:C$746,A1412,'Base bordo'!B$2:B$746,B1412,'Base bordo'!F$2:F$746,"DESLOCAMENTO VAZIO"),0)</f>
        <v>0</v>
      </c>
      <c r="R1412" s="10">
        <f>IFERROR(SUMIFS('Base bordo'!I$2:I$746,'Base bordo'!C$2:C$746,A1412,'Base bordo'!B$2:B$746,B1412,'Base bordo'!F$2:F$746,"DESLOCAMENTO VAZIO"),0)</f>
        <v>0</v>
      </c>
      <c r="S1412" s="30" t="str">
        <f t="shared" si="139"/>
        <v/>
      </c>
      <c r="T1412" s="10">
        <f>IFERROR(SUMIFS('Base bordo'!H$2:H$746,'Base bordo'!C$2:C$746,A1412,'Base bordo'!B$2:B$746,B1412,'Base bordo'!F$2:F$746,"DESLOCAMENTO CARREGADO"),0)</f>
        <v>0</v>
      </c>
      <c r="U1412" s="10">
        <f>IFERROR(SUMIFS('Base bordo'!I$2:I$746,'Base bordo'!C$2:C$746,A1412,'Base bordo'!B$2:B$746,B1412,'Base bordo'!F$2:F$746,"DESLOCAMENTO CARREGADO"),0)</f>
        <v>0</v>
      </c>
      <c r="V1412" s="30" t="str">
        <f t="shared" si="140"/>
        <v/>
      </c>
      <c r="W1412" s="9">
        <f t="shared" si="141"/>
        <v>0</v>
      </c>
      <c r="X1412" s="9">
        <f t="shared" si="142"/>
        <v>0</v>
      </c>
      <c r="Y1412" s="9">
        <f t="shared" si="143"/>
        <v>0</v>
      </c>
    </row>
    <row r="1413" spans="1:25" ht="15" customHeight="1" x14ac:dyDescent="0.35">
      <c r="A1413" s="52">
        <v>8013460</v>
      </c>
      <c r="B1413" s="51">
        <v>46120</v>
      </c>
      <c r="C1413" s="7" t="s">
        <v>124</v>
      </c>
      <c r="D1413" s="10">
        <f>IFERROR(SUMIFS('Base bordo'!G$2:G$746,'Base bordo'!C$2:C$746,A1413,'Base bordo'!B$2:B$746,B1413,'Base bordo'!F$2:F$746,"DESLOCAMENTO VAZIO"),0)</f>
        <v>0</v>
      </c>
      <c r="E1413" s="10">
        <f>IFERROR(SUMIFS('Base bordo'!G$2:G$746,'Base bordo'!C$2:C$746,A1413,'Base bordo'!B$2:B$746,B1413,'Base bordo'!F$2:F$746,"DESLOCAMENTO CARREGADO"),0)</f>
        <v>0</v>
      </c>
      <c r="F1413" s="10">
        <f>IFERROR(SUMIFS('Base bordo'!G$2:G$746,'Base bordo'!C$2:C$746,A1413,'Base bordo'!B$2:B$746,B1413,'Base bordo'!F$2:F$746,"DESLOCAMENTO"),0)</f>
        <v>0</v>
      </c>
      <c r="G1413" s="10">
        <f>IFERROR(SUMIFS('Base bordo'!G$2:G$746,'Base bordo'!C$2:C$746,A1413,'Base bordo'!B$2:B$746,B1413,'Base bordo'!F$2:F$746,"CARREGAMENTO"),0)</f>
        <v>0</v>
      </c>
      <c r="H1413" s="10">
        <f>IFERROR(SUMIFS('Base bordo'!G$2:G$746,'Base bordo'!C$2:C$746,A1413,'Base bordo'!B$2:B$746,B1413,'Base bordo'!F$2:F$746,"AGUARDANDO TRANSBORDO"),0)</f>
        <v>0</v>
      </c>
      <c r="I1413" s="10">
        <f>IFERROR(SUMIFS('Base bordo'!G$2:G$746,'Base bordo'!C$2:C$746,A1413,'Base bordo'!B$2:B$746,B1413,'Base bordo'!F$2:F$746,"PÁTIO INTERNO"),0)+IFERROR(SUMIFS('Base bordo'!G$2:G$746,'Base bordo'!C$2:C$746,A1413,'Base bordo'!B$2:B$746,B1413,'Base bordo'!F$2:F$746,"PÁTIO EXTERNO"),0)+IFERROR(SUMIFS('Base bordo'!G$2:G$746,'Base bordo'!C$2:C$746,A1413,'Base bordo'!B$2:B$746,B1413,'Base bordo'!F$2:F$746,"PATIO - RESERVA"),0)+IFERROR(SUMIFS('Base bordo'!G$2:G$746,'Base bordo'!C$2:C$746,A1413,'Base bordo'!B$2:B$746,B1413,'Base bordo'!F$2:F$746,"MANOBRA CARRETAS-PATIO"),0)</f>
        <v>0</v>
      </c>
      <c r="J1413" s="10">
        <f>IFERROR(SUMIFS('Base bordo'!G$2:G$746,'Base bordo'!C$2:C$746,A1413,'Base bordo'!B$2:B$746,B1413,'Base bordo'!F$2:F$746,"BALANÇA - ENTRADA"),0)+IFERROR(SUMIFS('Base bordo'!G$2:G$746,'Base bordo'!C$2:C$746,A1413,'Base bordo'!B$2:B$746,B1413,'Base bordo'!F$2:F$746,"BALANÇA - SAÍDA"),0)</f>
        <v>0</v>
      </c>
      <c r="K1413" s="10">
        <f>IFERROR(SUMIFS('Base bordo'!G$2:G$746,'Base bordo'!C$2:C$746,A1413,'Base bordo'!B$2:B$746,B1413,'Base bordo'!F$2:F$746,"MAN PREVENTIVA - MECANICA"),0)+IFERROR(SUMIFS('Base bordo'!G$2:G$746,'Base bordo'!C$2:C$746,A1413,'Base bordo'!B$2:B$746,B1413,'Base bordo'!F$2:F$746,"MAN CORRETIVA - MECANICA"),0)</f>
        <v>0</v>
      </c>
      <c r="L1413" s="10">
        <f>IFERROR(SUMIFS('Base bordo'!G$2:G$746,'Base bordo'!C$2:C$746,A1413,'Base bordo'!B$2:B$746,B1413,'Base bordo'!F$2:F$746,"MANUTENCAO - T O"),0)+IFERROR(SUMIFS('Base bordo'!G$2:G$746,'Base bordo'!C$2:C$746,A1413,'Base bordo'!B$2:B$746,B1413,'Base bordo'!F$2:F$746,"MANUTENCAO BORRACHARIA"),0)+IFERROR(SUMIFS('Base bordo'!G$2:G$746,'Base bordo'!C$2:C$746,A1413,'Base bordo'!B$2:B$746,B1413,'Base bordo'!F$2:F$746,"MANUTENCAO EXTERNA  CONCESSIONARIA"),0)+IFERROR(SUMIFS('Base bordo'!G$2:G$746,'Base bordo'!C$2:C$746,A1413,'Base bordo'!B$2:B$746,B1413,'Base bordo'!F$2:F$746,"MANUTENCAO TELEMETRIA"),0)</f>
        <v>0</v>
      </c>
      <c r="M1413" s="10">
        <f>IFERROR(SUMIFS('Base bordo'!G$2:G$746,'Base bordo'!C$2:C$746,A1413,'Base bordo'!B$2:B$746,B1413,'Base bordo'!F$2:F$746,"AGUARDANDO MANUTENCAO"),0)</f>
        <v>0</v>
      </c>
      <c r="N1413" s="10">
        <f>IFERROR(SUMIFS('Base bordo'!G$2:G$746,'Base bordo'!C$2:C$746,A1413,'Base bordo'!B$2:B$746,B1413,'Base bordo'!F$2:F$746,"SEM APONTAMENTO"),0)</f>
        <v>0</v>
      </c>
      <c r="O1413" s="10">
        <f t="shared" si="138"/>
        <v>0</v>
      </c>
      <c r="P1413" s="10">
        <f>IFERROR(SUMIFS('Base bordo'!G$2:G$746,'Base bordo'!C$2:C$746,A1413,'Base bordo'!B$2:B$746,B1413),0)</f>
        <v>0</v>
      </c>
      <c r="Q1413" s="10">
        <f>IFERROR(SUMIFS('Base bordo'!H$2:H$746,'Base bordo'!C$2:C$746,A1413,'Base bordo'!B$2:B$746,B1413,'Base bordo'!F$2:F$746,"DESLOCAMENTO VAZIO"),0)</f>
        <v>0</v>
      </c>
      <c r="R1413" s="10">
        <f>IFERROR(SUMIFS('Base bordo'!I$2:I$746,'Base bordo'!C$2:C$746,A1413,'Base bordo'!B$2:B$746,B1413,'Base bordo'!F$2:F$746,"DESLOCAMENTO VAZIO"),0)</f>
        <v>0</v>
      </c>
      <c r="S1413" s="30" t="str">
        <f t="shared" si="139"/>
        <v/>
      </c>
      <c r="T1413" s="10">
        <f>IFERROR(SUMIFS('Base bordo'!H$2:H$746,'Base bordo'!C$2:C$746,A1413,'Base bordo'!B$2:B$746,B1413,'Base bordo'!F$2:F$746,"DESLOCAMENTO CARREGADO"),0)</f>
        <v>0</v>
      </c>
      <c r="U1413" s="10">
        <f>IFERROR(SUMIFS('Base bordo'!I$2:I$746,'Base bordo'!C$2:C$746,A1413,'Base bordo'!B$2:B$746,B1413,'Base bordo'!F$2:F$746,"DESLOCAMENTO CARREGADO"),0)</f>
        <v>0</v>
      </c>
      <c r="V1413" s="30" t="str">
        <f t="shared" si="140"/>
        <v/>
      </c>
      <c r="W1413" s="9">
        <f t="shared" si="141"/>
        <v>0</v>
      </c>
      <c r="X1413" s="9">
        <f t="shared" si="142"/>
        <v>0</v>
      </c>
      <c r="Y1413" s="9">
        <f t="shared" si="143"/>
        <v>0</v>
      </c>
    </row>
    <row r="1414" spans="1:25" ht="15" customHeight="1" x14ac:dyDescent="0.35">
      <c r="A1414" s="52">
        <v>8013469</v>
      </c>
      <c r="B1414" s="51">
        <v>46120</v>
      </c>
      <c r="C1414" s="7" t="s">
        <v>124</v>
      </c>
      <c r="D1414" s="10">
        <f>IFERROR(SUMIFS('Base bordo'!G$2:G$746,'Base bordo'!C$2:C$746,A1414,'Base bordo'!B$2:B$746,B1414,'Base bordo'!F$2:F$746,"DESLOCAMENTO VAZIO"),0)</f>
        <v>0.32111111111111112</v>
      </c>
      <c r="E1414" s="10">
        <f>IFERROR(SUMIFS('Base bordo'!G$2:G$746,'Base bordo'!C$2:C$746,A1414,'Base bordo'!B$2:B$746,B1414,'Base bordo'!F$2:F$746,"DESLOCAMENTO CARREGADO"),0)</f>
        <v>0</v>
      </c>
      <c r="F1414" s="10">
        <f>IFERROR(SUMIFS('Base bordo'!G$2:G$746,'Base bordo'!C$2:C$746,A1414,'Base bordo'!B$2:B$746,B1414,'Base bordo'!F$2:F$746,"DESLOCAMENTO"),0)</f>
        <v>0</v>
      </c>
      <c r="G1414" s="10">
        <f>IFERROR(SUMIFS('Base bordo'!G$2:G$746,'Base bordo'!C$2:C$746,A1414,'Base bordo'!B$2:B$746,B1414,'Base bordo'!F$2:F$746,"CARREGAMENTO"),0)</f>
        <v>0</v>
      </c>
      <c r="H1414" s="10">
        <f>IFERROR(SUMIFS('Base bordo'!G$2:G$746,'Base bordo'!C$2:C$746,A1414,'Base bordo'!B$2:B$746,B1414,'Base bordo'!F$2:F$746,"AGUARDANDO TRANSBORDO"),0)</f>
        <v>0</v>
      </c>
      <c r="I1414" s="10">
        <f>IFERROR(SUMIFS('Base bordo'!G$2:G$746,'Base bordo'!C$2:C$746,A1414,'Base bordo'!B$2:B$746,B1414,'Base bordo'!F$2:F$746,"PÁTIO INTERNO"),0)+IFERROR(SUMIFS('Base bordo'!G$2:G$746,'Base bordo'!C$2:C$746,A1414,'Base bordo'!B$2:B$746,B1414,'Base bordo'!F$2:F$746,"PÁTIO EXTERNO"),0)+IFERROR(SUMIFS('Base bordo'!G$2:G$746,'Base bordo'!C$2:C$746,A1414,'Base bordo'!B$2:B$746,B1414,'Base bordo'!F$2:F$746,"PATIO - RESERVA"),0)+IFERROR(SUMIFS('Base bordo'!G$2:G$746,'Base bordo'!C$2:C$746,A1414,'Base bordo'!B$2:B$746,B1414,'Base bordo'!F$2:F$746,"MANOBRA CARRETAS-PATIO"),0)</f>
        <v>0</v>
      </c>
      <c r="J1414" s="10">
        <f>IFERROR(SUMIFS('Base bordo'!G$2:G$746,'Base bordo'!C$2:C$746,A1414,'Base bordo'!B$2:B$746,B1414,'Base bordo'!F$2:F$746,"BALANÇA - ENTRADA"),0)+IFERROR(SUMIFS('Base bordo'!G$2:G$746,'Base bordo'!C$2:C$746,A1414,'Base bordo'!B$2:B$746,B1414,'Base bordo'!F$2:F$746,"BALANÇA - SAÍDA"),0)</f>
        <v>0</v>
      </c>
      <c r="K1414" s="10">
        <f>IFERROR(SUMIFS('Base bordo'!G$2:G$746,'Base bordo'!C$2:C$746,A1414,'Base bordo'!B$2:B$746,B1414,'Base bordo'!F$2:F$746,"MAN PREVENTIVA - MECANICA"),0)+IFERROR(SUMIFS('Base bordo'!G$2:G$746,'Base bordo'!C$2:C$746,A1414,'Base bordo'!B$2:B$746,B1414,'Base bordo'!F$2:F$746,"MAN CORRETIVA - MECANICA"),0)</f>
        <v>0</v>
      </c>
      <c r="L1414" s="10">
        <f>IFERROR(SUMIFS('Base bordo'!G$2:G$746,'Base bordo'!C$2:C$746,A1414,'Base bordo'!B$2:B$746,B1414,'Base bordo'!F$2:F$746,"MANUTENCAO - T O"),0)+IFERROR(SUMIFS('Base bordo'!G$2:G$746,'Base bordo'!C$2:C$746,A1414,'Base bordo'!B$2:B$746,B1414,'Base bordo'!F$2:F$746,"MANUTENCAO BORRACHARIA"),0)+IFERROR(SUMIFS('Base bordo'!G$2:G$746,'Base bordo'!C$2:C$746,A1414,'Base bordo'!B$2:B$746,B1414,'Base bordo'!F$2:F$746,"MANUTENCAO EXTERNA  CONCESSIONARIA"),0)+IFERROR(SUMIFS('Base bordo'!G$2:G$746,'Base bordo'!C$2:C$746,A1414,'Base bordo'!B$2:B$746,B1414,'Base bordo'!F$2:F$746,"MANUTENCAO TELEMETRIA"),0)</f>
        <v>0</v>
      </c>
      <c r="M1414" s="10">
        <f>IFERROR(SUMIFS('Base bordo'!G$2:G$746,'Base bordo'!C$2:C$746,A1414,'Base bordo'!B$2:B$746,B1414,'Base bordo'!F$2:F$746,"AGUARDANDO MANUTENCAO"),0)</f>
        <v>0</v>
      </c>
      <c r="N1414" s="10">
        <f>IFERROR(SUMIFS('Base bordo'!G$2:G$746,'Base bordo'!C$2:C$746,A1414,'Base bordo'!B$2:B$746,B1414,'Base bordo'!F$2:F$746,"SEM APONTAMENTO"),0)</f>
        <v>0</v>
      </c>
      <c r="O1414" s="10">
        <f t="shared" si="138"/>
        <v>0</v>
      </c>
      <c r="P1414" s="10">
        <f>IFERROR(SUMIFS('Base bordo'!G$2:G$746,'Base bordo'!C$2:C$746,A1414,'Base bordo'!B$2:B$746,B1414),0)</f>
        <v>0.32111111111111112</v>
      </c>
      <c r="Q1414" s="10">
        <f>IFERROR(SUMIFS('Base bordo'!H$2:H$746,'Base bordo'!C$2:C$746,A1414,'Base bordo'!B$2:B$746,B1414,'Base bordo'!F$2:F$746,"DESLOCAMENTO VAZIO"),0)</f>
        <v>33211.879999999997</v>
      </c>
      <c r="R1414" s="10">
        <f>IFERROR(SUMIFS('Base bordo'!I$2:I$746,'Base bordo'!C$2:C$746,A1414,'Base bordo'!B$2:B$746,B1414,'Base bordo'!F$2:F$746,"DESLOCAMENTO VAZIO"),0)</f>
        <v>1156</v>
      </c>
      <c r="S1414" s="30">
        <f t="shared" si="139"/>
        <v>28.729999999999997</v>
      </c>
      <c r="T1414" s="10">
        <f>IFERROR(SUMIFS('Base bordo'!H$2:H$746,'Base bordo'!C$2:C$746,A1414,'Base bordo'!B$2:B$746,B1414,'Base bordo'!F$2:F$746,"DESLOCAMENTO CARREGADO"),0)</f>
        <v>0</v>
      </c>
      <c r="U1414" s="10">
        <f>IFERROR(SUMIFS('Base bordo'!I$2:I$746,'Base bordo'!C$2:C$746,A1414,'Base bordo'!B$2:B$746,B1414,'Base bordo'!F$2:F$746,"DESLOCAMENTO CARREGADO"),0)</f>
        <v>0</v>
      </c>
      <c r="V1414" s="30" t="str">
        <f t="shared" si="140"/>
        <v/>
      </c>
      <c r="W1414" s="9">
        <f t="shared" si="141"/>
        <v>1</v>
      </c>
      <c r="X1414" s="9">
        <f t="shared" si="142"/>
        <v>0</v>
      </c>
      <c r="Y1414" s="9">
        <f t="shared" si="143"/>
        <v>0</v>
      </c>
    </row>
    <row r="1415" spans="1:25" ht="15" customHeight="1" x14ac:dyDescent="0.35">
      <c r="A1415" s="52">
        <v>8013469</v>
      </c>
      <c r="B1415" s="51">
        <v>46120</v>
      </c>
      <c r="C1415" s="7" t="s">
        <v>124</v>
      </c>
      <c r="D1415" s="10">
        <f>IFERROR(SUMIFS('Base bordo'!G$2:G$746,'Base bordo'!C$2:C$746,A1415,'Base bordo'!B$2:B$746,B1415,'Base bordo'!F$2:F$746,"DESLOCAMENTO VAZIO"),0)</f>
        <v>0.32111111111111112</v>
      </c>
      <c r="E1415" s="10">
        <f>IFERROR(SUMIFS('Base bordo'!G$2:G$746,'Base bordo'!C$2:C$746,A1415,'Base bordo'!B$2:B$746,B1415,'Base bordo'!F$2:F$746,"DESLOCAMENTO CARREGADO"),0)</f>
        <v>0</v>
      </c>
      <c r="F1415" s="10">
        <f>IFERROR(SUMIFS('Base bordo'!G$2:G$746,'Base bordo'!C$2:C$746,A1415,'Base bordo'!B$2:B$746,B1415,'Base bordo'!F$2:F$746,"DESLOCAMENTO"),0)</f>
        <v>0</v>
      </c>
      <c r="G1415" s="10">
        <f>IFERROR(SUMIFS('Base bordo'!G$2:G$746,'Base bordo'!C$2:C$746,A1415,'Base bordo'!B$2:B$746,B1415,'Base bordo'!F$2:F$746,"CARREGAMENTO"),0)</f>
        <v>0</v>
      </c>
      <c r="H1415" s="10">
        <f>IFERROR(SUMIFS('Base bordo'!G$2:G$746,'Base bordo'!C$2:C$746,A1415,'Base bordo'!B$2:B$746,B1415,'Base bordo'!F$2:F$746,"AGUARDANDO TRANSBORDO"),0)</f>
        <v>0</v>
      </c>
      <c r="I1415" s="10">
        <f>IFERROR(SUMIFS('Base bordo'!G$2:G$746,'Base bordo'!C$2:C$746,A1415,'Base bordo'!B$2:B$746,B1415,'Base bordo'!F$2:F$746,"PÁTIO INTERNO"),0)+IFERROR(SUMIFS('Base bordo'!G$2:G$746,'Base bordo'!C$2:C$746,A1415,'Base bordo'!B$2:B$746,B1415,'Base bordo'!F$2:F$746,"PÁTIO EXTERNO"),0)+IFERROR(SUMIFS('Base bordo'!G$2:G$746,'Base bordo'!C$2:C$746,A1415,'Base bordo'!B$2:B$746,B1415,'Base bordo'!F$2:F$746,"PATIO - RESERVA"),0)+IFERROR(SUMIFS('Base bordo'!G$2:G$746,'Base bordo'!C$2:C$746,A1415,'Base bordo'!B$2:B$746,B1415,'Base bordo'!F$2:F$746,"MANOBRA CARRETAS-PATIO"),0)</f>
        <v>0</v>
      </c>
      <c r="J1415" s="10">
        <f>IFERROR(SUMIFS('Base bordo'!G$2:G$746,'Base bordo'!C$2:C$746,A1415,'Base bordo'!B$2:B$746,B1415,'Base bordo'!F$2:F$746,"BALANÇA - ENTRADA"),0)+IFERROR(SUMIFS('Base bordo'!G$2:G$746,'Base bordo'!C$2:C$746,A1415,'Base bordo'!B$2:B$746,B1415,'Base bordo'!F$2:F$746,"BALANÇA - SAÍDA"),0)</f>
        <v>0</v>
      </c>
      <c r="K1415" s="10">
        <f>IFERROR(SUMIFS('Base bordo'!G$2:G$746,'Base bordo'!C$2:C$746,A1415,'Base bordo'!B$2:B$746,B1415,'Base bordo'!F$2:F$746,"MAN PREVENTIVA - MECANICA"),0)+IFERROR(SUMIFS('Base bordo'!G$2:G$746,'Base bordo'!C$2:C$746,A1415,'Base bordo'!B$2:B$746,B1415,'Base bordo'!F$2:F$746,"MAN CORRETIVA - MECANICA"),0)</f>
        <v>0</v>
      </c>
      <c r="L1415" s="10">
        <f>IFERROR(SUMIFS('Base bordo'!G$2:G$746,'Base bordo'!C$2:C$746,A1415,'Base bordo'!B$2:B$746,B1415,'Base bordo'!F$2:F$746,"MANUTENCAO - T O"),0)+IFERROR(SUMIFS('Base bordo'!G$2:G$746,'Base bordo'!C$2:C$746,A1415,'Base bordo'!B$2:B$746,B1415,'Base bordo'!F$2:F$746,"MANUTENCAO BORRACHARIA"),0)+IFERROR(SUMIFS('Base bordo'!G$2:G$746,'Base bordo'!C$2:C$746,A1415,'Base bordo'!B$2:B$746,B1415,'Base bordo'!F$2:F$746,"MANUTENCAO EXTERNA  CONCESSIONARIA"),0)+IFERROR(SUMIFS('Base bordo'!G$2:G$746,'Base bordo'!C$2:C$746,A1415,'Base bordo'!B$2:B$746,B1415,'Base bordo'!F$2:F$746,"MANUTENCAO TELEMETRIA"),0)</f>
        <v>0</v>
      </c>
      <c r="M1415" s="10">
        <f>IFERROR(SUMIFS('Base bordo'!G$2:G$746,'Base bordo'!C$2:C$746,A1415,'Base bordo'!B$2:B$746,B1415,'Base bordo'!F$2:F$746,"AGUARDANDO MANUTENCAO"),0)</f>
        <v>0</v>
      </c>
      <c r="N1415" s="10">
        <f>IFERROR(SUMIFS('Base bordo'!G$2:G$746,'Base bordo'!C$2:C$746,A1415,'Base bordo'!B$2:B$746,B1415,'Base bordo'!F$2:F$746,"SEM APONTAMENTO"),0)</f>
        <v>0</v>
      </c>
      <c r="O1415" s="10">
        <f t="shared" si="138"/>
        <v>0</v>
      </c>
      <c r="P1415" s="10">
        <f>IFERROR(SUMIFS('Base bordo'!G$2:G$746,'Base bordo'!C$2:C$746,A1415,'Base bordo'!B$2:B$746,B1415),0)</f>
        <v>0.32111111111111112</v>
      </c>
      <c r="Q1415" s="10">
        <f>IFERROR(SUMIFS('Base bordo'!H$2:H$746,'Base bordo'!C$2:C$746,A1415,'Base bordo'!B$2:B$746,B1415,'Base bordo'!F$2:F$746,"DESLOCAMENTO VAZIO"),0)</f>
        <v>33211.879999999997</v>
      </c>
      <c r="R1415" s="10">
        <f>IFERROR(SUMIFS('Base bordo'!I$2:I$746,'Base bordo'!C$2:C$746,A1415,'Base bordo'!B$2:B$746,B1415,'Base bordo'!F$2:F$746,"DESLOCAMENTO VAZIO"),0)</f>
        <v>1156</v>
      </c>
      <c r="S1415" s="30">
        <f t="shared" si="139"/>
        <v>28.729999999999997</v>
      </c>
      <c r="T1415" s="10">
        <f>IFERROR(SUMIFS('Base bordo'!H$2:H$746,'Base bordo'!C$2:C$746,A1415,'Base bordo'!B$2:B$746,B1415,'Base bordo'!F$2:F$746,"DESLOCAMENTO CARREGADO"),0)</f>
        <v>0</v>
      </c>
      <c r="U1415" s="10">
        <f>IFERROR(SUMIFS('Base bordo'!I$2:I$746,'Base bordo'!C$2:C$746,A1415,'Base bordo'!B$2:B$746,B1415,'Base bordo'!F$2:F$746,"DESLOCAMENTO CARREGADO"),0)</f>
        <v>0</v>
      </c>
      <c r="V1415" s="30" t="str">
        <f t="shared" si="140"/>
        <v/>
      </c>
      <c r="W1415" s="9">
        <f t="shared" si="141"/>
        <v>1</v>
      </c>
      <c r="X1415" s="9">
        <f t="shared" si="142"/>
        <v>0</v>
      </c>
      <c r="Y1415" s="9">
        <f t="shared" si="143"/>
        <v>0</v>
      </c>
    </row>
    <row r="1416" spans="1:25" ht="15" customHeight="1" x14ac:dyDescent="0.35">
      <c r="A1416" s="52">
        <v>8013472</v>
      </c>
      <c r="B1416" s="51">
        <v>46120</v>
      </c>
      <c r="C1416" s="7" t="s">
        <v>124</v>
      </c>
      <c r="D1416" s="10">
        <f>IFERROR(SUMIFS('Base bordo'!G$2:G$746,'Base bordo'!C$2:C$746,A1416,'Base bordo'!B$2:B$746,B1416,'Base bordo'!F$2:F$746,"DESLOCAMENTO VAZIO"),0)</f>
        <v>0.57944444444444443</v>
      </c>
      <c r="E1416" s="10">
        <f>IFERROR(SUMIFS('Base bordo'!G$2:G$746,'Base bordo'!C$2:C$746,A1416,'Base bordo'!B$2:B$746,B1416,'Base bordo'!F$2:F$746,"DESLOCAMENTO CARREGADO"),0)</f>
        <v>0</v>
      </c>
      <c r="F1416" s="10">
        <f>IFERROR(SUMIFS('Base bordo'!G$2:G$746,'Base bordo'!C$2:C$746,A1416,'Base bordo'!B$2:B$746,B1416,'Base bordo'!F$2:F$746,"DESLOCAMENTO"),0)</f>
        <v>0</v>
      </c>
      <c r="G1416" s="10">
        <f>IFERROR(SUMIFS('Base bordo'!G$2:G$746,'Base bordo'!C$2:C$746,A1416,'Base bordo'!B$2:B$746,B1416,'Base bordo'!F$2:F$746,"CARREGAMENTO"),0)</f>
        <v>0</v>
      </c>
      <c r="H1416" s="10">
        <f>IFERROR(SUMIFS('Base bordo'!G$2:G$746,'Base bordo'!C$2:C$746,A1416,'Base bordo'!B$2:B$746,B1416,'Base bordo'!F$2:F$746,"AGUARDANDO TRANSBORDO"),0)</f>
        <v>0</v>
      </c>
      <c r="I1416" s="10">
        <f>IFERROR(SUMIFS('Base bordo'!G$2:G$746,'Base bordo'!C$2:C$746,A1416,'Base bordo'!B$2:B$746,B1416,'Base bordo'!F$2:F$746,"PÁTIO INTERNO"),0)+IFERROR(SUMIFS('Base bordo'!G$2:G$746,'Base bordo'!C$2:C$746,A1416,'Base bordo'!B$2:B$746,B1416,'Base bordo'!F$2:F$746,"PÁTIO EXTERNO"),0)+IFERROR(SUMIFS('Base bordo'!G$2:G$746,'Base bordo'!C$2:C$746,A1416,'Base bordo'!B$2:B$746,B1416,'Base bordo'!F$2:F$746,"PATIO - RESERVA"),0)+IFERROR(SUMIFS('Base bordo'!G$2:G$746,'Base bordo'!C$2:C$746,A1416,'Base bordo'!B$2:B$746,B1416,'Base bordo'!F$2:F$746,"MANOBRA CARRETAS-PATIO"),0)</f>
        <v>0</v>
      </c>
      <c r="J1416" s="10">
        <f>IFERROR(SUMIFS('Base bordo'!G$2:G$746,'Base bordo'!C$2:C$746,A1416,'Base bordo'!B$2:B$746,B1416,'Base bordo'!F$2:F$746,"BALANÇA - ENTRADA"),0)+IFERROR(SUMIFS('Base bordo'!G$2:G$746,'Base bordo'!C$2:C$746,A1416,'Base bordo'!B$2:B$746,B1416,'Base bordo'!F$2:F$746,"BALANÇA - SAÍDA"),0)</f>
        <v>0</v>
      </c>
      <c r="K1416" s="10">
        <f>IFERROR(SUMIFS('Base bordo'!G$2:G$746,'Base bordo'!C$2:C$746,A1416,'Base bordo'!B$2:B$746,B1416,'Base bordo'!F$2:F$746,"MAN PREVENTIVA - MECANICA"),0)+IFERROR(SUMIFS('Base bordo'!G$2:G$746,'Base bordo'!C$2:C$746,A1416,'Base bordo'!B$2:B$746,B1416,'Base bordo'!F$2:F$746,"MAN CORRETIVA - MECANICA"),0)</f>
        <v>0</v>
      </c>
      <c r="L1416" s="10">
        <f>IFERROR(SUMIFS('Base bordo'!G$2:G$746,'Base bordo'!C$2:C$746,A1416,'Base bordo'!B$2:B$746,B1416,'Base bordo'!F$2:F$746,"MANUTENCAO - T O"),0)+IFERROR(SUMIFS('Base bordo'!G$2:G$746,'Base bordo'!C$2:C$746,A1416,'Base bordo'!B$2:B$746,B1416,'Base bordo'!F$2:F$746,"MANUTENCAO BORRACHARIA"),0)+IFERROR(SUMIFS('Base bordo'!G$2:G$746,'Base bordo'!C$2:C$746,A1416,'Base bordo'!B$2:B$746,B1416,'Base bordo'!F$2:F$746,"MANUTENCAO EXTERNA  CONCESSIONARIA"),0)+IFERROR(SUMIFS('Base bordo'!G$2:G$746,'Base bordo'!C$2:C$746,A1416,'Base bordo'!B$2:B$746,B1416,'Base bordo'!F$2:F$746,"MANUTENCAO TELEMETRIA"),0)</f>
        <v>0</v>
      </c>
      <c r="M1416" s="10">
        <f>IFERROR(SUMIFS('Base bordo'!G$2:G$746,'Base bordo'!C$2:C$746,A1416,'Base bordo'!B$2:B$746,B1416,'Base bordo'!F$2:F$746,"AGUARDANDO MANUTENCAO"),0)</f>
        <v>0</v>
      </c>
      <c r="N1416" s="10">
        <f>IFERROR(SUMIFS('Base bordo'!G$2:G$746,'Base bordo'!C$2:C$746,A1416,'Base bordo'!B$2:B$746,B1416,'Base bordo'!F$2:F$746,"SEM APONTAMENTO"),0)</f>
        <v>0</v>
      </c>
      <c r="O1416" s="10">
        <f t="shared" si="138"/>
        <v>7.9047222222222224</v>
      </c>
      <c r="P1416" s="10">
        <f>IFERROR(SUMIFS('Base bordo'!G$2:G$746,'Base bordo'!C$2:C$746,A1416,'Base bordo'!B$2:B$746,B1416),0)</f>
        <v>8.4841666666666669</v>
      </c>
      <c r="Q1416" s="10">
        <f>IFERROR(SUMIFS('Base bordo'!H$2:H$746,'Base bordo'!C$2:C$746,A1416,'Base bordo'!B$2:B$746,B1416,'Base bordo'!F$2:F$746,"DESLOCAMENTO VAZIO"),0)</f>
        <v>71647.22</v>
      </c>
      <c r="R1416" s="10">
        <f>IFERROR(SUMIFS('Base bordo'!I$2:I$746,'Base bordo'!C$2:C$746,A1416,'Base bordo'!B$2:B$746,B1416,'Base bordo'!F$2:F$746,"DESLOCAMENTO VAZIO"),0)</f>
        <v>2086</v>
      </c>
      <c r="S1416" s="30">
        <f t="shared" si="139"/>
        <v>34.346701821668262</v>
      </c>
      <c r="T1416" s="10">
        <f>IFERROR(SUMIFS('Base bordo'!H$2:H$746,'Base bordo'!C$2:C$746,A1416,'Base bordo'!B$2:B$746,B1416,'Base bordo'!F$2:F$746,"DESLOCAMENTO CARREGADO"),0)</f>
        <v>0</v>
      </c>
      <c r="U1416" s="10">
        <f>IFERROR(SUMIFS('Base bordo'!I$2:I$746,'Base bordo'!C$2:C$746,A1416,'Base bordo'!B$2:B$746,B1416,'Base bordo'!F$2:F$746,"DESLOCAMENTO CARREGADO"),0)</f>
        <v>0</v>
      </c>
      <c r="V1416" s="30" t="str">
        <f t="shared" si="140"/>
        <v/>
      </c>
      <c r="W1416" s="9">
        <f t="shared" si="141"/>
        <v>6.8297154830894144E-2</v>
      </c>
      <c r="X1416" s="9">
        <f t="shared" si="142"/>
        <v>0</v>
      </c>
      <c r="Y1416" s="9">
        <f t="shared" si="143"/>
        <v>0.93170284516910584</v>
      </c>
    </row>
    <row r="1417" spans="1:25" ht="15" customHeight="1" x14ac:dyDescent="0.35">
      <c r="A1417" s="52">
        <v>8013472</v>
      </c>
      <c r="B1417" s="51">
        <v>46120</v>
      </c>
      <c r="C1417" s="7" t="s">
        <v>124</v>
      </c>
      <c r="D1417" s="10">
        <f>IFERROR(SUMIFS('Base bordo'!G$2:G$746,'Base bordo'!C$2:C$746,A1417,'Base bordo'!B$2:B$746,B1417,'Base bordo'!F$2:F$746,"DESLOCAMENTO VAZIO"),0)</f>
        <v>0.57944444444444443</v>
      </c>
      <c r="E1417" s="10">
        <f>IFERROR(SUMIFS('Base bordo'!G$2:G$746,'Base bordo'!C$2:C$746,A1417,'Base bordo'!B$2:B$746,B1417,'Base bordo'!F$2:F$746,"DESLOCAMENTO CARREGADO"),0)</f>
        <v>0</v>
      </c>
      <c r="F1417" s="10">
        <f>IFERROR(SUMIFS('Base bordo'!G$2:G$746,'Base bordo'!C$2:C$746,A1417,'Base bordo'!B$2:B$746,B1417,'Base bordo'!F$2:F$746,"DESLOCAMENTO"),0)</f>
        <v>0</v>
      </c>
      <c r="G1417" s="10">
        <f>IFERROR(SUMIFS('Base bordo'!G$2:G$746,'Base bordo'!C$2:C$746,A1417,'Base bordo'!B$2:B$746,B1417,'Base bordo'!F$2:F$746,"CARREGAMENTO"),0)</f>
        <v>0</v>
      </c>
      <c r="H1417" s="10">
        <f>IFERROR(SUMIFS('Base bordo'!G$2:G$746,'Base bordo'!C$2:C$746,A1417,'Base bordo'!B$2:B$746,B1417,'Base bordo'!F$2:F$746,"AGUARDANDO TRANSBORDO"),0)</f>
        <v>0</v>
      </c>
      <c r="I1417" s="10">
        <f>IFERROR(SUMIFS('Base bordo'!G$2:G$746,'Base bordo'!C$2:C$746,A1417,'Base bordo'!B$2:B$746,B1417,'Base bordo'!F$2:F$746,"PÁTIO INTERNO"),0)+IFERROR(SUMIFS('Base bordo'!G$2:G$746,'Base bordo'!C$2:C$746,A1417,'Base bordo'!B$2:B$746,B1417,'Base bordo'!F$2:F$746,"PÁTIO EXTERNO"),0)+IFERROR(SUMIFS('Base bordo'!G$2:G$746,'Base bordo'!C$2:C$746,A1417,'Base bordo'!B$2:B$746,B1417,'Base bordo'!F$2:F$746,"PATIO - RESERVA"),0)+IFERROR(SUMIFS('Base bordo'!G$2:G$746,'Base bordo'!C$2:C$746,A1417,'Base bordo'!B$2:B$746,B1417,'Base bordo'!F$2:F$746,"MANOBRA CARRETAS-PATIO"),0)</f>
        <v>0</v>
      </c>
      <c r="J1417" s="10">
        <f>IFERROR(SUMIFS('Base bordo'!G$2:G$746,'Base bordo'!C$2:C$746,A1417,'Base bordo'!B$2:B$746,B1417,'Base bordo'!F$2:F$746,"BALANÇA - ENTRADA"),0)+IFERROR(SUMIFS('Base bordo'!G$2:G$746,'Base bordo'!C$2:C$746,A1417,'Base bordo'!B$2:B$746,B1417,'Base bordo'!F$2:F$746,"BALANÇA - SAÍDA"),0)</f>
        <v>0</v>
      </c>
      <c r="K1417" s="10">
        <f>IFERROR(SUMIFS('Base bordo'!G$2:G$746,'Base bordo'!C$2:C$746,A1417,'Base bordo'!B$2:B$746,B1417,'Base bordo'!F$2:F$746,"MAN PREVENTIVA - MECANICA"),0)+IFERROR(SUMIFS('Base bordo'!G$2:G$746,'Base bordo'!C$2:C$746,A1417,'Base bordo'!B$2:B$746,B1417,'Base bordo'!F$2:F$746,"MAN CORRETIVA - MECANICA"),0)</f>
        <v>0</v>
      </c>
      <c r="L1417" s="10">
        <f>IFERROR(SUMIFS('Base bordo'!G$2:G$746,'Base bordo'!C$2:C$746,A1417,'Base bordo'!B$2:B$746,B1417,'Base bordo'!F$2:F$746,"MANUTENCAO - T O"),0)+IFERROR(SUMIFS('Base bordo'!G$2:G$746,'Base bordo'!C$2:C$746,A1417,'Base bordo'!B$2:B$746,B1417,'Base bordo'!F$2:F$746,"MANUTENCAO BORRACHARIA"),0)+IFERROR(SUMIFS('Base bordo'!G$2:G$746,'Base bordo'!C$2:C$746,A1417,'Base bordo'!B$2:B$746,B1417,'Base bordo'!F$2:F$746,"MANUTENCAO EXTERNA  CONCESSIONARIA"),0)+IFERROR(SUMIFS('Base bordo'!G$2:G$746,'Base bordo'!C$2:C$746,A1417,'Base bordo'!B$2:B$746,B1417,'Base bordo'!F$2:F$746,"MANUTENCAO TELEMETRIA"),0)</f>
        <v>0</v>
      </c>
      <c r="M1417" s="10">
        <f>IFERROR(SUMIFS('Base bordo'!G$2:G$746,'Base bordo'!C$2:C$746,A1417,'Base bordo'!B$2:B$746,B1417,'Base bordo'!F$2:F$746,"AGUARDANDO MANUTENCAO"),0)</f>
        <v>0</v>
      </c>
      <c r="N1417" s="10">
        <f>IFERROR(SUMIFS('Base bordo'!G$2:G$746,'Base bordo'!C$2:C$746,A1417,'Base bordo'!B$2:B$746,B1417,'Base bordo'!F$2:F$746,"SEM APONTAMENTO"),0)</f>
        <v>0</v>
      </c>
      <c r="O1417" s="10">
        <f t="shared" si="138"/>
        <v>7.9047222222222224</v>
      </c>
      <c r="P1417" s="10">
        <f>IFERROR(SUMIFS('Base bordo'!G$2:G$746,'Base bordo'!C$2:C$746,A1417,'Base bordo'!B$2:B$746,B1417),0)</f>
        <v>8.4841666666666669</v>
      </c>
      <c r="Q1417" s="10">
        <f>IFERROR(SUMIFS('Base bordo'!H$2:H$746,'Base bordo'!C$2:C$746,A1417,'Base bordo'!B$2:B$746,B1417,'Base bordo'!F$2:F$746,"DESLOCAMENTO VAZIO"),0)</f>
        <v>71647.22</v>
      </c>
      <c r="R1417" s="10">
        <f>IFERROR(SUMIFS('Base bordo'!I$2:I$746,'Base bordo'!C$2:C$746,A1417,'Base bordo'!B$2:B$746,B1417,'Base bordo'!F$2:F$746,"DESLOCAMENTO VAZIO"),0)</f>
        <v>2086</v>
      </c>
      <c r="S1417" s="30">
        <f t="shared" si="139"/>
        <v>34.346701821668262</v>
      </c>
      <c r="T1417" s="10">
        <f>IFERROR(SUMIFS('Base bordo'!H$2:H$746,'Base bordo'!C$2:C$746,A1417,'Base bordo'!B$2:B$746,B1417,'Base bordo'!F$2:F$746,"DESLOCAMENTO CARREGADO"),0)</f>
        <v>0</v>
      </c>
      <c r="U1417" s="10">
        <f>IFERROR(SUMIFS('Base bordo'!I$2:I$746,'Base bordo'!C$2:C$746,A1417,'Base bordo'!B$2:B$746,B1417,'Base bordo'!F$2:F$746,"DESLOCAMENTO CARREGADO"),0)</f>
        <v>0</v>
      </c>
      <c r="V1417" s="30" t="str">
        <f t="shared" si="140"/>
        <v/>
      </c>
      <c r="W1417" s="9">
        <f t="shared" si="141"/>
        <v>6.8297154830894144E-2</v>
      </c>
      <c r="X1417" s="9">
        <f t="shared" si="142"/>
        <v>0</v>
      </c>
      <c r="Y1417" s="9">
        <f t="shared" si="143"/>
        <v>0.93170284516910584</v>
      </c>
    </row>
    <row r="1418" spans="1:25" ht="15" customHeight="1" x14ac:dyDescent="0.35">
      <c r="A1418" s="52">
        <v>8013480</v>
      </c>
      <c r="B1418" s="51">
        <v>46120</v>
      </c>
      <c r="C1418" s="7" t="s">
        <v>124</v>
      </c>
      <c r="D1418" s="10">
        <f>IFERROR(SUMIFS('Base bordo'!G$2:G$746,'Base bordo'!C$2:C$746,A1418,'Base bordo'!B$2:B$746,B1418,'Base bordo'!F$2:F$746,"DESLOCAMENTO VAZIO"),0)</f>
        <v>0</v>
      </c>
      <c r="E1418" s="10">
        <f>IFERROR(SUMIFS('Base bordo'!G$2:G$746,'Base bordo'!C$2:C$746,A1418,'Base bordo'!B$2:B$746,B1418,'Base bordo'!F$2:F$746,"DESLOCAMENTO CARREGADO"),0)</f>
        <v>0</v>
      </c>
      <c r="F1418" s="10">
        <f>IFERROR(SUMIFS('Base bordo'!G$2:G$746,'Base bordo'!C$2:C$746,A1418,'Base bordo'!B$2:B$746,B1418,'Base bordo'!F$2:F$746,"DESLOCAMENTO"),0)</f>
        <v>0</v>
      </c>
      <c r="G1418" s="10">
        <f>IFERROR(SUMIFS('Base bordo'!G$2:G$746,'Base bordo'!C$2:C$746,A1418,'Base bordo'!B$2:B$746,B1418,'Base bordo'!F$2:F$746,"CARREGAMENTO"),0)</f>
        <v>0</v>
      </c>
      <c r="H1418" s="10">
        <f>IFERROR(SUMIFS('Base bordo'!G$2:G$746,'Base bordo'!C$2:C$746,A1418,'Base bordo'!B$2:B$746,B1418,'Base bordo'!F$2:F$746,"AGUARDANDO TRANSBORDO"),0)</f>
        <v>0</v>
      </c>
      <c r="I1418" s="10">
        <f>IFERROR(SUMIFS('Base bordo'!G$2:G$746,'Base bordo'!C$2:C$746,A1418,'Base bordo'!B$2:B$746,B1418,'Base bordo'!F$2:F$746,"PÁTIO INTERNO"),0)+IFERROR(SUMIFS('Base bordo'!G$2:G$746,'Base bordo'!C$2:C$746,A1418,'Base bordo'!B$2:B$746,B1418,'Base bordo'!F$2:F$746,"PÁTIO EXTERNO"),0)+IFERROR(SUMIFS('Base bordo'!G$2:G$746,'Base bordo'!C$2:C$746,A1418,'Base bordo'!B$2:B$746,B1418,'Base bordo'!F$2:F$746,"PATIO - RESERVA"),0)+IFERROR(SUMIFS('Base bordo'!G$2:G$746,'Base bordo'!C$2:C$746,A1418,'Base bordo'!B$2:B$746,B1418,'Base bordo'!F$2:F$746,"MANOBRA CARRETAS-PATIO"),0)</f>
        <v>0</v>
      </c>
      <c r="J1418" s="10">
        <f>IFERROR(SUMIFS('Base bordo'!G$2:G$746,'Base bordo'!C$2:C$746,A1418,'Base bordo'!B$2:B$746,B1418,'Base bordo'!F$2:F$746,"BALANÇA - ENTRADA"),0)+IFERROR(SUMIFS('Base bordo'!G$2:G$746,'Base bordo'!C$2:C$746,A1418,'Base bordo'!B$2:B$746,B1418,'Base bordo'!F$2:F$746,"BALANÇA - SAÍDA"),0)</f>
        <v>0</v>
      </c>
      <c r="K1418" s="10">
        <f>IFERROR(SUMIFS('Base bordo'!G$2:G$746,'Base bordo'!C$2:C$746,A1418,'Base bordo'!B$2:B$746,B1418,'Base bordo'!F$2:F$746,"MAN PREVENTIVA - MECANICA"),0)+IFERROR(SUMIFS('Base bordo'!G$2:G$746,'Base bordo'!C$2:C$746,A1418,'Base bordo'!B$2:B$746,B1418,'Base bordo'!F$2:F$746,"MAN CORRETIVA - MECANICA"),0)</f>
        <v>0</v>
      </c>
      <c r="L1418" s="10">
        <f>IFERROR(SUMIFS('Base bordo'!G$2:G$746,'Base bordo'!C$2:C$746,A1418,'Base bordo'!B$2:B$746,B1418,'Base bordo'!F$2:F$746,"MANUTENCAO - T O"),0)+IFERROR(SUMIFS('Base bordo'!G$2:G$746,'Base bordo'!C$2:C$746,A1418,'Base bordo'!B$2:B$746,B1418,'Base bordo'!F$2:F$746,"MANUTENCAO BORRACHARIA"),0)+IFERROR(SUMIFS('Base bordo'!G$2:G$746,'Base bordo'!C$2:C$746,A1418,'Base bordo'!B$2:B$746,B1418,'Base bordo'!F$2:F$746,"MANUTENCAO EXTERNA  CONCESSIONARIA"),0)+IFERROR(SUMIFS('Base bordo'!G$2:G$746,'Base bordo'!C$2:C$746,A1418,'Base bordo'!B$2:B$746,B1418,'Base bordo'!F$2:F$746,"MANUTENCAO TELEMETRIA"),0)</f>
        <v>0</v>
      </c>
      <c r="M1418" s="10">
        <f>IFERROR(SUMIFS('Base bordo'!G$2:G$746,'Base bordo'!C$2:C$746,A1418,'Base bordo'!B$2:B$746,B1418,'Base bordo'!F$2:F$746,"AGUARDANDO MANUTENCAO"),0)</f>
        <v>0</v>
      </c>
      <c r="N1418" s="10">
        <f>IFERROR(SUMIFS('Base bordo'!G$2:G$746,'Base bordo'!C$2:C$746,A1418,'Base bordo'!B$2:B$746,B1418,'Base bordo'!F$2:F$746,"SEM APONTAMENTO"),0)</f>
        <v>0</v>
      </c>
      <c r="O1418" s="10">
        <f t="shared" si="138"/>
        <v>0</v>
      </c>
      <c r="P1418" s="10">
        <f>IFERROR(SUMIFS('Base bordo'!G$2:G$746,'Base bordo'!C$2:C$746,A1418,'Base bordo'!B$2:B$746,B1418),0)</f>
        <v>0</v>
      </c>
      <c r="Q1418" s="10">
        <f>IFERROR(SUMIFS('Base bordo'!H$2:H$746,'Base bordo'!C$2:C$746,A1418,'Base bordo'!B$2:B$746,B1418,'Base bordo'!F$2:F$746,"DESLOCAMENTO VAZIO"),0)</f>
        <v>0</v>
      </c>
      <c r="R1418" s="10">
        <f>IFERROR(SUMIFS('Base bordo'!I$2:I$746,'Base bordo'!C$2:C$746,A1418,'Base bordo'!B$2:B$746,B1418,'Base bordo'!F$2:F$746,"DESLOCAMENTO VAZIO"),0)</f>
        <v>0</v>
      </c>
      <c r="S1418" s="30" t="str">
        <f t="shared" si="139"/>
        <v/>
      </c>
      <c r="T1418" s="10">
        <f>IFERROR(SUMIFS('Base bordo'!H$2:H$746,'Base bordo'!C$2:C$746,A1418,'Base bordo'!B$2:B$746,B1418,'Base bordo'!F$2:F$746,"DESLOCAMENTO CARREGADO"),0)</f>
        <v>0</v>
      </c>
      <c r="U1418" s="10">
        <f>IFERROR(SUMIFS('Base bordo'!I$2:I$746,'Base bordo'!C$2:C$746,A1418,'Base bordo'!B$2:B$746,B1418,'Base bordo'!F$2:F$746,"DESLOCAMENTO CARREGADO"),0)</f>
        <v>0</v>
      </c>
      <c r="V1418" s="30" t="str">
        <f t="shared" si="140"/>
        <v/>
      </c>
      <c r="W1418" s="9">
        <f t="shared" si="141"/>
        <v>0</v>
      </c>
      <c r="X1418" s="9">
        <f t="shared" si="142"/>
        <v>0</v>
      </c>
      <c r="Y1418" s="9">
        <f t="shared" si="143"/>
        <v>0</v>
      </c>
    </row>
    <row r="1419" spans="1:25" ht="15" customHeight="1" x14ac:dyDescent="0.35">
      <c r="A1419" s="52">
        <v>8013481</v>
      </c>
      <c r="B1419" s="51">
        <v>46120</v>
      </c>
      <c r="C1419" s="7" t="s">
        <v>124</v>
      </c>
      <c r="D1419" s="10">
        <f>IFERROR(SUMIFS('Base bordo'!G$2:G$746,'Base bordo'!C$2:C$746,A1419,'Base bordo'!B$2:B$746,B1419,'Base bordo'!F$2:F$746,"DESLOCAMENTO VAZIO"),0)</f>
        <v>0</v>
      </c>
      <c r="E1419" s="10">
        <f>IFERROR(SUMIFS('Base bordo'!G$2:G$746,'Base bordo'!C$2:C$746,A1419,'Base bordo'!B$2:B$746,B1419,'Base bordo'!F$2:F$746,"DESLOCAMENTO CARREGADO"),0)</f>
        <v>2.0550000000000002</v>
      </c>
      <c r="F1419" s="10">
        <f>IFERROR(SUMIFS('Base bordo'!G$2:G$746,'Base bordo'!C$2:C$746,A1419,'Base bordo'!B$2:B$746,B1419,'Base bordo'!F$2:F$746,"DESLOCAMENTO"),0)</f>
        <v>0</v>
      </c>
      <c r="G1419" s="10">
        <f>IFERROR(SUMIFS('Base bordo'!G$2:G$746,'Base bordo'!C$2:C$746,A1419,'Base bordo'!B$2:B$746,B1419,'Base bordo'!F$2:F$746,"CARREGAMENTO"),0)</f>
        <v>0</v>
      </c>
      <c r="H1419" s="10">
        <f>IFERROR(SUMIFS('Base bordo'!G$2:G$746,'Base bordo'!C$2:C$746,A1419,'Base bordo'!B$2:B$746,B1419,'Base bordo'!F$2:F$746,"AGUARDANDO TRANSBORDO"),0)</f>
        <v>0</v>
      </c>
      <c r="I1419" s="10">
        <f>IFERROR(SUMIFS('Base bordo'!G$2:G$746,'Base bordo'!C$2:C$746,A1419,'Base bordo'!B$2:B$746,B1419,'Base bordo'!F$2:F$746,"PÁTIO INTERNO"),0)+IFERROR(SUMIFS('Base bordo'!G$2:G$746,'Base bordo'!C$2:C$746,A1419,'Base bordo'!B$2:B$746,B1419,'Base bordo'!F$2:F$746,"PÁTIO EXTERNO"),0)+IFERROR(SUMIFS('Base bordo'!G$2:G$746,'Base bordo'!C$2:C$746,A1419,'Base bordo'!B$2:B$746,B1419,'Base bordo'!F$2:F$746,"PATIO - RESERVA"),0)+IFERROR(SUMIFS('Base bordo'!G$2:G$746,'Base bordo'!C$2:C$746,A1419,'Base bordo'!B$2:B$746,B1419,'Base bordo'!F$2:F$746,"MANOBRA CARRETAS-PATIO"),0)</f>
        <v>0.18194444444444444</v>
      </c>
      <c r="J1419" s="10">
        <f>IFERROR(SUMIFS('Base bordo'!G$2:G$746,'Base bordo'!C$2:C$746,A1419,'Base bordo'!B$2:B$746,B1419,'Base bordo'!F$2:F$746,"BALANÇA - ENTRADA"),0)+IFERROR(SUMIFS('Base bordo'!G$2:G$746,'Base bordo'!C$2:C$746,A1419,'Base bordo'!B$2:B$746,B1419,'Base bordo'!F$2:F$746,"BALANÇA - SAÍDA"),0)</f>
        <v>0</v>
      </c>
      <c r="K1419" s="10">
        <f>IFERROR(SUMIFS('Base bordo'!G$2:G$746,'Base bordo'!C$2:C$746,A1419,'Base bordo'!B$2:B$746,B1419,'Base bordo'!F$2:F$746,"MAN PREVENTIVA - MECANICA"),0)+IFERROR(SUMIFS('Base bordo'!G$2:G$746,'Base bordo'!C$2:C$746,A1419,'Base bordo'!B$2:B$746,B1419,'Base bordo'!F$2:F$746,"MAN CORRETIVA - MECANICA"),0)</f>
        <v>0</v>
      </c>
      <c r="L1419" s="10">
        <f>IFERROR(SUMIFS('Base bordo'!G$2:G$746,'Base bordo'!C$2:C$746,A1419,'Base bordo'!B$2:B$746,B1419,'Base bordo'!F$2:F$746,"MANUTENCAO - T O"),0)+IFERROR(SUMIFS('Base bordo'!G$2:G$746,'Base bordo'!C$2:C$746,A1419,'Base bordo'!B$2:B$746,B1419,'Base bordo'!F$2:F$746,"MANUTENCAO BORRACHARIA"),0)+IFERROR(SUMIFS('Base bordo'!G$2:G$746,'Base bordo'!C$2:C$746,A1419,'Base bordo'!B$2:B$746,B1419,'Base bordo'!F$2:F$746,"MANUTENCAO EXTERNA  CONCESSIONARIA"),0)+IFERROR(SUMIFS('Base bordo'!G$2:G$746,'Base bordo'!C$2:C$746,A1419,'Base bordo'!B$2:B$746,B1419,'Base bordo'!F$2:F$746,"MANUTENCAO TELEMETRIA"),0)</f>
        <v>0</v>
      </c>
      <c r="M1419" s="10">
        <f>IFERROR(SUMIFS('Base bordo'!G$2:G$746,'Base bordo'!C$2:C$746,A1419,'Base bordo'!B$2:B$746,B1419,'Base bordo'!F$2:F$746,"AGUARDANDO MANUTENCAO"),0)</f>
        <v>0</v>
      </c>
      <c r="N1419" s="10">
        <f>IFERROR(SUMIFS('Base bordo'!G$2:G$746,'Base bordo'!C$2:C$746,A1419,'Base bordo'!B$2:B$746,B1419,'Base bordo'!F$2:F$746,"SEM APONTAMENTO"),0)</f>
        <v>0</v>
      </c>
      <c r="O1419" s="10">
        <f t="shared" si="138"/>
        <v>0</v>
      </c>
      <c r="P1419" s="10">
        <f>IFERROR(SUMIFS('Base bordo'!G$2:G$746,'Base bordo'!C$2:C$746,A1419,'Base bordo'!B$2:B$746,B1419),0)</f>
        <v>2.2369444444444446</v>
      </c>
      <c r="Q1419" s="10">
        <f>IFERROR(SUMIFS('Base bordo'!H$2:H$746,'Base bordo'!C$2:C$746,A1419,'Base bordo'!B$2:B$746,B1419,'Base bordo'!F$2:F$746,"DESLOCAMENTO VAZIO"),0)</f>
        <v>0</v>
      </c>
      <c r="R1419" s="10">
        <f>IFERROR(SUMIFS('Base bordo'!I$2:I$746,'Base bordo'!C$2:C$746,A1419,'Base bordo'!B$2:B$746,B1419,'Base bordo'!F$2:F$746,"DESLOCAMENTO VAZIO"),0)</f>
        <v>0</v>
      </c>
      <c r="S1419" s="30" t="str">
        <f t="shared" si="139"/>
        <v/>
      </c>
      <c r="T1419" s="10">
        <f>IFERROR(SUMIFS('Base bordo'!H$2:H$746,'Base bordo'!C$2:C$746,A1419,'Base bordo'!B$2:B$746,B1419,'Base bordo'!F$2:F$746,"DESLOCAMENTO CARREGADO"),0)</f>
        <v>178228.94999999998</v>
      </c>
      <c r="U1419" s="10">
        <f>IFERROR(SUMIFS('Base bordo'!I$2:I$746,'Base bordo'!C$2:C$746,A1419,'Base bordo'!B$2:B$746,B1419,'Base bordo'!F$2:F$746,"DESLOCAMENTO CARREGADO"),0)</f>
        <v>7398</v>
      </c>
      <c r="V1419" s="30">
        <f t="shared" si="140"/>
        <v>24.091504460665043</v>
      </c>
      <c r="W1419" s="9">
        <f t="shared" si="141"/>
        <v>0</v>
      </c>
      <c r="X1419" s="9">
        <f t="shared" si="142"/>
        <v>0.91866385198062839</v>
      </c>
      <c r="Y1419" s="9">
        <f t="shared" si="143"/>
        <v>8.1336148019371612E-2</v>
      </c>
    </row>
    <row r="1420" spans="1:25" ht="15" customHeight="1" x14ac:dyDescent="0.35">
      <c r="A1420" s="52">
        <v>8013485</v>
      </c>
      <c r="B1420" s="51">
        <v>46120</v>
      </c>
      <c r="C1420" s="7" t="s">
        <v>124</v>
      </c>
      <c r="D1420" s="10">
        <f>IFERROR(SUMIFS('Base bordo'!G$2:G$746,'Base bordo'!C$2:C$746,A1420,'Base bordo'!B$2:B$746,B1420,'Base bordo'!F$2:F$746,"DESLOCAMENTO VAZIO"),0)</f>
        <v>0</v>
      </c>
      <c r="E1420" s="10">
        <f>IFERROR(SUMIFS('Base bordo'!G$2:G$746,'Base bordo'!C$2:C$746,A1420,'Base bordo'!B$2:B$746,B1420,'Base bordo'!F$2:F$746,"DESLOCAMENTO CARREGADO"),0)</f>
        <v>0</v>
      </c>
      <c r="F1420" s="10">
        <f>IFERROR(SUMIFS('Base bordo'!G$2:G$746,'Base bordo'!C$2:C$746,A1420,'Base bordo'!B$2:B$746,B1420,'Base bordo'!F$2:F$746,"DESLOCAMENTO"),0)</f>
        <v>0</v>
      </c>
      <c r="G1420" s="10">
        <f>IFERROR(SUMIFS('Base bordo'!G$2:G$746,'Base bordo'!C$2:C$746,A1420,'Base bordo'!B$2:B$746,B1420,'Base bordo'!F$2:F$746,"CARREGAMENTO"),0)</f>
        <v>0</v>
      </c>
      <c r="H1420" s="10">
        <f>IFERROR(SUMIFS('Base bordo'!G$2:G$746,'Base bordo'!C$2:C$746,A1420,'Base bordo'!B$2:B$746,B1420,'Base bordo'!F$2:F$746,"AGUARDANDO TRANSBORDO"),0)</f>
        <v>0</v>
      </c>
      <c r="I1420" s="10">
        <f>IFERROR(SUMIFS('Base bordo'!G$2:G$746,'Base bordo'!C$2:C$746,A1420,'Base bordo'!B$2:B$746,B1420,'Base bordo'!F$2:F$746,"PÁTIO INTERNO"),0)+IFERROR(SUMIFS('Base bordo'!G$2:G$746,'Base bordo'!C$2:C$746,A1420,'Base bordo'!B$2:B$746,B1420,'Base bordo'!F$2:F$746,"PÁTIO EXTERNO"),0)+IFERROR(SUMIFS('Base bordo'!G$2:G$746,'Base bordo'!C$2:C$746,A1420,'Base bordo'!B$2:B$746,B1420,'Base bordo'!F$2:F$746,"PATIO - RESERVA"),0)+IFERROR(SUMIFS('Base bordo'!G$2:G$746,'Base bordo'!C$2:C$746,A1420,'Base bordo'!B$2:B$746,B1420,'Base bordo'!F$2:F$746,"MANOBRA CARRETAS-PATIO"),0)</f>
        <v>0</v>
      </c>
      <c r="J1420" s="10">
        <f>IFERROR(SUMIFS('Base bordo'!G$2:G$746,'Base bordo'!C$2:C$746,A1420,'Base bordo'!B$2:B$746,B1420,'Base bordo'!F$2:F$746,"BALANÇA - ENTRADA"),0)+IFERROR(SUMIFS('Base bordo'!G$2:G$746,'Base bordo'!C$2:C$746,A1420,'Base bordo'!B$2:B$746,B1420,'Base bordo'!F$2:F$746,"BALANÇA - SAÍDA"),0)</f>
        <v>0</v>
      </c>
      <c r="K1420" s="10">
        <f>IFERROR(SUMIFS('Base bordo'!G$2:G$746,'Base bordo'!C$2:C$746,A1420,'Base bordo'!B$2:B$746,B1420,'Base bordo'!F$2:F$746,"MAN PREVENTIVA - MECANICA"),0)+IFERROR(SUMIFS('Base bordo'!G$2:G$746,'Base bordo'!C$2:C$746,A1420,'Base bordo'!B$2:B$746,B1420,'Base bordo'!F$2:F$746,"MAN CORRETIVA - MECANICA"),0)</f>
        <v>0</v>
      </c>
      <c r="L1420" s="10">
        <f>IFERROR(SUMIFS('Base bordo'!G$2:G$746,'Base bordo'!C$2:C$746,A1420,'Base bordo'!B$2:B$746,B1420,'Base bordo'!F$2:F$746,"MANUTENCAO - T O"),0)+IFERROR(SUMIFS('Base bordo'!G$2:G$746,'Base bordo'!C$2:C$746,A1420,'Base bordo'!B$2:B$746,B1420,'Base bordo'!F$2:F$746,"MANUTENCAO BORRACHARIA"),0)+IFERROR(SUMIFS('Base bordo'!G$2:G$746,'Base bordo'!C$2:C$746,A1420,'Base bordo'!B$2:B$746,B1420,'Base bordo'!F$2:F$746,"MANUTENCAO EXTERNA  CONCESSIONARIA"),0)+IFERROR(SUMIFS('Base bordo'!G$2:G$746,'Base bordo'!C$2:C$746,A1420,'Base bordo'!B$2:B$746,B1420,'Base bordo'!F$2:F$746,"MANUTENCAO TELEMETRIA"),0)</f>
        <v>0</v>
      </c>
      <c r="M1420" s="10">
        <f>IFERROR(SUMIFS('Base bordo'!G$2:G$746,'Base bordo'!C$2:C$746,A1420,'Base bordo'!B$2:B$746,B1420,'Base bordo'!F$2:F$746,"AGUARDANDO MANUTENCAO"),0)</f>
        <v>0</v>
      </c>
      <c r="N1420" s="10">
        <f>IFERROR(SUMIFS('Base bordo'!G$2:G$746,'Base bordo'!C$2:C$746,A1420,'Base bordo'!B$2:B$746,B1420,'Base bordo'!F$2:F$746,"SEM APONTAMENTO"),0)</f>
        <v>0</v>
      </c>
      <c r="O1420" s="10">
        <f t="shared" si="138"/>
        <v>0</v>
      </c>
      <c r="P1420" s="10">
        <f>IFERROR(SUMIFS('Base bordo'!G$2:G$746,'Base bordo'!C$2:C$746,A1420,'Base bordo'!B$2:B$746,B1420),0)</f>
        <v>0</v>
      </c>
      <c r="Q1420" s="10">
        <f>IFERROR(SUMIFS('Base bordo'!H$2:H$746,'Base bordo'!C$2:C$746,A1420,'Base bordo'!B$2:B$746,B1420,'Base bordo'!F$2:F$746,"DESLOCAMENTO VAZIO"),0)</f>
        <v>0</v>
      </c>
      <c r="R1420" s="10">
        <f>IFERROR(SUMIFS('Base bordo'!I$2:I$746,'Base bordo'!C$2:C$746,A1420,'Base bordo'!B$2:B$746,B1420,'Base bordo'!F$2:F$746,"DESLOCAMENTO VAZIO"),0)</f>
        <v>0</v>
      </c>
      <c r="S1420" s="30" t="str">
        <f t="shared" si="139"/>
        <v/>
      </c>
      <c r="T1420" s="10">
        <f>IFERROR(SUMIFS('Base bordo'!H$2:H$746,'Base bordo'!C$2:C$746,A1420,'Base bordo'!B$2:B$746,B1420,'Base bordo'!F$2:F$746,"DESLOCAMENTO CARREGADO"),0)</f>
        <v>0</v>
      </c>
      <c r="U1420" s="10">
        <f>IFERROR(SUMIFS('Base bordo'!I$2:I$746,'Base bordo'!C$2:C$746,A1420,'Base bordo'!B$2:B$746,B1420,'Base bordo'!F$2:F$746,"DESLOCAMENTO CARREGADO"),0)</f>
        <v>0</v>
      </c>
      <c r="V1420" s="30" t="str">
        <f t="shared" si="140"/>
        <v/>
      </c>
      <c r="W1420" s="9">
        <f t="shared" si="141"/>
        <v>0</v>
      </c>
      <c r="X1420" s="9">
        <f t="shared" si="142"/>
        <v>0</v>
      </c>
      <c r="Y1420" s="9">
        <f t="shared" si="143"/>
        <v>0</v>
      </c>
    </row>
    <row r="1421" spans="1:25" ht="15" customHeight="1" x14ac:dyDescent="0.35">
      <c r="A1421" s="52">
        <v>8013461</v>
      </c>
      <c r="B1421" s="51">
        <v>46121</v>
      </c>
      <c r="C1421" s="7" t="s">
        <v>124</v>
      </c>
      <c r="D1421" s="10">
        <f>IFERROR(SUMIFS('Base bordo'!G$2:G$746,'Base bordo'!C$2:C$746,A1421,'Base bordo'!B$2:B$746,B1421,'Base bordo'!F$2:F$746,"DESLOCAMENTO VAZIO"),0)</f>
        <v>0</v>
      </c>
      <c r="E1421" s="10">
        <f>IFERROR(SUMIFS('Base bordo'!G$2:G$746,'Base bordo'!C$2:C$746,A1421,'Base bordo'!B$2:B$746,B1421,'Base bordo'!F$2:F$746,"DESLOCAMENTO CARREGADO"),0)</f>
        <v>0</v>
      </c>
      <c r="F1421" s="10">
        <f>IFERROR(SUMIFS('Base bordo'!G$2:G$746,'Base bordo'!C$2:C$746,A1421,'Base bordo'!B$2:B$746,B1421,'Base bordo'!F$2:F$746,"DESLOCAMENTO"),0)</f>
        <v>0</v>
      </c>
      <c r="G1421" s="10">
        <f>IFERROR(SUMIFS('Base bordo'!G$2:G$746,'Base bordo'!C$2:C$746,A1421,'Base bordo'!B$2:B$746,B1421,'Base bordo'!F$2:F$746,"CARREGAMENTO"),0)</f>
        <v>0</v>
      </c>
      <c r="H1421" s="10">
        <f>IFERROR(SUMIFS('Base bordo'!G$2:G$746,'Base bordo'!C$2:C$746,A1421,'Base bordo'!B$2:B$746,B1421,'Base bordo'!F$2:F$746,"AGUARDANDO TRANSBORDO"),0)</f>
        <v>0</v>
      </c>
      <c r="I1421" s="10">
        <f>IFERROR(SUMIFS('Base bordo'!G$2:G$746,'Base bordo'!C$2:C$746,A1421,'Base bordo'!B$2:B$746,B1421,'Base bordo'!F$2:F$746,"PÁTIO INTERNO"),0)+IFERROR(SUMIFS('Base bordo'!G$2:G$746,'Base bordo'!C$2:C$746,A1421,'Base bordo'!B$2:B$746,B1421,'Base bordo'!F$2:F$746,"PÁTIO EXTERNO"),0)+IFERROR(SUMIFS('Base bordo'!G$2:G$746,'Base bordo'!C$2:C$746,A1421,'Base bordo'!B$2:B$746,B1421,'Base bordo'!F$2:F$746,"PATIO - RESERVA"),0)+IFERROR(SUMIFS('Base bordo'!G$2:G$746,'Base bordo'!C$2:C$746,A1421,'Base bordo'!B$2:B$746,B1421,'Base bordo'!F$2:F$746,"MANOBRA CARRETAS-PATIO"),0)</f>
        <v>0</v>
      </c>
      <c r="J1421" s="10">
        <f>IFERROR(SUMIFS('Base bordo'!G$2:G$746,'Base bordo'!C$2:C$746,A1421,'Base bordo'!B$2:B$746,B1421,'Base bordo'!F$2:F$746,"BALANÇA - ENTRADA"),0)+IFERROR(SUMIFS('Base bordo'!G$2:G$746,'Base bordo'!C$2:C$746,A1421,'Base bordo'!B$2:B$746,B1421,'Base bordo'!F$2:F$746,"BALANÇA - SAÍDA"),0)</f>
        <v>0</v>
      </c>
      <c r="K1421" s="10">
        <f>IFERROR(SUMIFS('Base bordo'!G$2:G$746,'Base bordo'!C$2:C$746,A1421,'Base bordo'!B$2:B$746,B1421,'Base bordo'!F$2:F$746,"MAN PREVENTIVA - MECANICA"),0)+IFERROR(SUMIFS('Base bordo'!G$2:G$746,'Base bordo'!C$2:C$746,A1421,'Base bordo'!B$2:B$746,B1421,'Base bordo'!F$2:F$746,"MAN CORRETIVA - MECANICA"),0)</f>
        <v>0</v>
      </c>
      <c r="L1421" s="10">
        <f>IFERROR(SUMIFS('Base bordo'!G$2:G$746,'Base bordo'!C$2:C$746,A1421,'Base bordo'!B$2:B$746,B1421,'Base bordo'!F$2:F$746,"MANUTENCAO - T O"),0)+IFERROR(SUMIFS('Base bordo'!G$2:G$746,'Base bordo'!C$2:C$746,A1421,'Base bordo'!B$2:B$746,B1421,'Base bordo'!F$2:F$746,"MANUTENCAO BORRACHARIA"),0)+IFERROR(SUMIFS('Base bordo'!G$2:G$746,'Base bordo'!C$2:C$746,A1421,'Base bordo'!B$2:B$746,B1421,'Base bordo'!F$2:F$746,"MANUTENCAO EXTERNA  CONCESSIONARIA"),0)+IFERROR(SUMIFS('Base bordo'!G$2:G$746,'Base bordo'!C$2:C$746,A1421,'Base bordo'!B$2:B$746,B1421,'Base bordo'!F$2:F$746,"MANUTENCAO TELEMETRIA"),0)</f>
        <v>0</v>
      </c>
      <c r="M1421" s="10">
        <f>IFERROR(SUMIFS('Base bordo'!G$2:G$746,'Base bordo'!C$2:C$746,A1421,'Base bordo'!B$2:B$746,B1421,'Base bordo'!F$2:F$746,"AGUARDANDO MANUTENCAO"),0)</f>
        <v>0</v>
      </c>
      <c r="N1421" s="10">
        <f>IFERROR(SUMIFS('Base bordo'!G$2:G$746,'Base bordo'!C$2:C$746,A1421,'Base bordo'!B$2:B$746,B1421,'Base bordo'!F$2:F$746,"SEM APONTAMENTO"),0)</f>
        <v>0</v>
      </c>
      <c r="O1421" s="10">
        <f t="shared" si="138"/>
        <v>0</v>
      </c>
      <c r="P1421" s="10">
        <f>IFERROR(SUMIFS('Base bordo'!G$2:G$746,'Base bordo'!C$2:C$746,A1421,'Base bordo'!B$2:B$746,B1421),0)</f>
        <v>0</v>
      </c>
      <c r="Q1421" s="10">
        <f>IFERROR(SUMIFS('Base bordo'!H$2:H$746,'Base bordo'!C$2:C$746,A1421,'Base bordo'!B$2:B$746,B1421,'Base bordo'!F$2:F$746,"DESLOCAMENTO VAZIO"),0)</f>
        <v>0</v>
      </c>
      <c r="R1421" s="10">
        <f>IFERROR(SUMIFS('Base bordo'!I$2:I$746,'Base bordo'!C$2:C$746,A1421,'Base bordo'!B$2:B$746,B1421,'Base bordo'!F$2:F$746,"DESLOCAMENTO VAZIO"),0)</f>
        <v>0</v>
      </c>
      <c r="S1421" s="30" t="str">
        <f t="shared" si="139"/>
        <v/>
      </c>
      <c r="T1421" s="10">
        <f>IFERROR(SUMIFS('Base bordo'!H$2:H$746,'Base bordo'!C$2:C$746,A1421,'Base bordo'!B$2:B$746,B1421,'Base bordo'!F$2:F$746,"DESLOCAMENTO CARREGADO"),0)</f>
        <v>0</v>
      </c>
      <c r="U1421" s="10">
        <f>IFERROR(SUMIFS('Base bordo'!I$2:I$746,'Base bordo'!C$2:C$746,A1421,'Base bordo'!B$2:B$746,B1421,'Base bordo'!F$2:F$746,"DESLOCAMENTO CARREGADO"),0)</f>
        <v>0</v>
      </c>
      <c r="V1421" s="30" t="str">
        <f t="shared" si="140"/>
        <v/>
      </c>
      <c r="W1421" s="9">
        <f t="shared" si="141"/>
        <v>0</v>
      </c>
      <c r="X1421" s="9">
        <f t="shared" si="142"/>
        <v>0</v>
      </c>
      <c r="Y1421" s="9">
        <f t="shared" si="143"/>
        <v>0</v>
      </c>
    </row>
    <row r="1422" spans="1:25" ht="15" customHeight="1" x14ac:dyDescent="0.35">
      <c r="A1422" s="52">
        <v>8013473</v>
      </c>
      <c r="B1422" s="51">
        <v>46121</v>
      </c>
      <c r="C1422" s="7" t="s">
        <v>124</v>
      </c>
      <c r="D1422" s="10">
        <f>IFERROR(SUMIFS('Base bordo'!G$2:G$746,'Base bordo'!C$2:C$746,A1422,'Base bordo'!B$2:B$746,B1422,'Base bordo'!F$2:F$746,"DESLOCAMENTO VAZIO"),0)</f>
        <v>0</v>
      </c>
      <c r="E1422" s="10">
        <f>IFERROR(SUMIFS('Base bordo'!G$2:G$746,'Base bordo'!C$2:C$746,A1422,'Base bordo'!B$2:B$746,B1422,'Base bordo'!F$2:F$746,"DESLOCAMENTO CARREGADO"),0)</f>
        <v>0</v>
      </c>
      <c r="F1422" s="10">
        <f>IFERROR(SUMIFS('Base bordo'!G$2:G$746,'Base bordo'!C$2:C$746,A1422,'Base bordo'!B$2:B$746,B1422,'Base bordo'!F$2:F$746,"DESLOCAMENTO"),0)</f>
        <v>0</v>
      </c>
      <c r="G1422" s="10">
        <f>IFERROR(SUMIFS('Base bordo'!G$2:G$746,'Base bordo'!C$2:C$746,A1422,'Base bordo'!B$2:B$746,B1422,'Base bordo'!F$2:F$746,"CARREGAMENTO"),0)</f>
        <v>0</v>
      </c>
      <c r="H1422" s="10">
        <f>IFERROR(SUMIFS('Base bordo'!G$2:G$746,'Base bordo'!C$2:C$746,A1422,'Base bordo'!B$2:B$746,B1422,'Base bordo'!F$2:F$746,"AGUARDANDO TRANSBORDO"),0)</f>
        <v>0</v>
      </c>
      <c r="I1422" s="10">
        <f>IFERROR(SUMIFS('Base bordo'!G$2:G$746,'Base bordo'!C$2:C$746,A1422,'Base bordo'!B$2:B$746,B1422,'Base bordo'!F$2:F$746,"PÁTIO INTERNO"),0)+IFERROR(SUMIFS('Base bordo'!G$2:G$746,'Base bordo'!C$2:C$746,A1422,'Base bordo'!B$2:B$746,B1422,'Base bordo'!F$2:F$746,"PÁTIO EXTERNO"),0)+IFERROR(SUMIFS('Base bordo'!G$2:G$746,'Base bordo'!C$2:C$746,A1422,'Base bordo'!B$2:B$746,B1422,'Base bordo'!F$2:F$746,"PATIO - RESERVA"),0)+IFERROR(SUMIFS('Base bordo'!G$2:G$746,'Base bordo'!C$2:C$746,A1422,'Base bordo'!B$2:B$746,B1422,'Base bordo'!F$2:F$746,"MANOBRA CARRETAS-PATIO"),0)</f>
        <v>0</v>
      </c>
      <c r="J1422" s="10">
        <f>IFERROR(SUMIFS('Base bordo'!G$2:G$746,'Base bordo'!C$2:C$746,A1422,'Base bordo'!B$2:B$746,B1422,'Base bordo'!F$2:F$746,"BALANÇA - ENTRADA"),0)+IFERROR(SUMIFS('Base bordo'!G$2:G$746,'Base bordo'!C$2:C$746,A1422,'Base bordo'!B$2:B$746,B1422,'Base bordo'!F$2:F$746,"BALANÇA - SAÍDA"),0)</f>
        <v>0</v>
      </c>
      <c r="K1422" s="10">
        <f>IFERROR(SUMIFS('Base bordo'!G$2:G$746,'Base bordo'!C$2:C$746,A1422,'Base bordo'!B$2:B$746,B1422,'Base bordo'!F$2:F$746,"MAN PREVENTIVA - MECANICA"),0)+IFERROR(SUMIFS('Base bordo'!G$2:G$746,'Base bordo'!C$2:C$746,A1422,'Base bordo'!B$2:B$746,B1422,'Base bordo'!F$2:F$746,"MAN CORRETIVA - MECANICA"),0)</f>
        <v>0</v>
      </c>
      <c r="L1422" s="10">
        <f>IFERROR(SUMIFS('Base bordo'!G$2:G$746,'Base bordo'!C$2:C$746,A1422,'Base bordo'!B$2:B$746,B1422,'Base bordo'!F$2:F$746,"MANUTENCAO - T O"),0)+IFERROR(SUMIFS('Base bordo'!G$2:G$746,'Base bordo'!C$2:C$746,A1422,'Base bordo'!B$2:B$746,B1422,'Base bordo'!F$2:F$746,"MANUTENCAO BORRACHARIA"),0)+IFERROR(SUMIFS('Base bordo'!G$2:G$746,'Base bordo'!C$2:C$746,A1422,'Base bordo'!B$2:B$746,B1422,'Base bordo'!F$2:F$746,"MANUTENCAO EXTERNA  CONCESSIONARIA"),0)+IFERROR(SUMIFS('Base bordo'!G$2:G$746,'Base bordo'!C$2:C$746,A1422,'Base bordo'!B$2:B$746,B1422,'Base bordo'!F$2:F$746,"MANUTENCAO TELEMETRIA"),0)</f>
        <v>0</v>
      </c>
      <c r="M1422" s="10">
        <f>IFERROR(SUMIFS('Base bordo'!G$2:G$746,'Base bordo'!C$2:C$746,A1422,'Base bordo'!B$2:B$746,B1422,'Base bordo'!F$2:F$746,"AGUARDANDO MANUTENCAO"),0)</f>
        <v>0</v>
      </c>
      <c r="N1422" s="10">
        <f>IFERROR(SUMIFS('Base bordo'!G$2:G$746,'Base bordo'!C$2:C$746,A1422,'Base bordo'!B$2:B$746,B1422,'Base bordo'!F$2:F$746,"SEM APONTAMENTO"),0)</f>
        <v>0</v>
      </c>
      <c r="O1422" s="10">
        <f t="shared" si="138"/>
        <v>0</v>
      </c>
      <c r="P1422" s="10">
        <f>IFERROR(SUMIFS('Base bordo'!G$2:G$746,'Base bordo'!C$2:C$746,A1422,'Base bordo'!B$2:B$746,B1422),0)</f>
        <v>0</v>
      </c>
      <c r="Q1422" s="10">
        <f>IFERROR(SUMIFS('Base bordo'!H$2:H$746,'Base bordo'!C$2:C$746,A1422,'Base bordo'!B$2:B$746,B1422,'Base bordo'!F$2:F$746,"DESLOCAMENTO VAZIO"),0)</f>
        <v>0</v>
      </c>
      <c r="R1422" s="10">
        <f>IFERROR(SUMIFS('Base bordo'!I$2:I$746,'Base bordo'!C$2:C$746,A1422,'Base bordo'!B$2:B$746,B1422,'Base bordo'!F$2:F$746,"DESLOCAMENTO VAZIO"),0)</f>
        <v>0</v>
      </c>
      <c r="S1422" s="30" t="str">
        <f t="shared" si="139"/>
        <v/>
      </c>
      <c r="T1422" s="10">
        <f>IFERROR(SUMIFS('Base bordo'!H$2:H$746,'Base bordo'!C$2:C$746,A1422,'Base bordo'!B$2:B$746,B1422,'Base bordo'!F$2:F$746,"DESLOCAMENTO CARREGADO"),0)</f>
        <v>0</v>
      </c>
      <c r="U1422" s="10">
        <f>IFERROR(SUMIFS('Base bordo'!I$2:I$746,'Base bordo'!C$2:C$746,A1422,'Base bordo'!B$2:B$746,B1422,'Base bordo'!F$2:F$746,"DESLOCAMENTO CARREGADO"),0)</f>
        <v>0</v>
      </c>
      <c r="V1422" s="30" t="str">
        <f t="shared" si="140"/>
        <v/>
      </c>
      <c r="W1422" s="9">
        <f t="shared" si="141"/>
        <v>0</v>
      </c>
      <c r="X1422" s="9">
        <f t="shared" si="142"/>
        <v>0</v>
      </c>
      <c r="Y1422" s="9">
        <f t="shared" si="143"/>
        <v>0</v>
      </c>
    </row>
    <row r="1423" spans="1:25" ht="15" customHeight="1" x14ac:dyDescent="0.35">
      <c r="A1423" s="52">
        <v>8013475</v>
      </c>
      <c r="B1423" s="51">
        <v>46121</v>
      </c>
      <c r="C1423" s="7" t="s">
        <v>124</v>
      </c>
      <c r="D1423" s="10">
        <f>IFERROR(SUMIFS('Base bordo'!G$2:G$746,'Base bordo'!C$2:C$746,A1423,'Base bordo'!B$2:B$746,B1423,'Base bordo'!F$2:F$746,"DESLOCAMENTO VAZIO"),0)</f>
        <v>0</v>
      </c>
      <c r="E1423" s="10">
        <f>IFERROR(SUMIFS('Base bordo'!G$2:G$746,'Base bordo'!C$2:C$746,A1423,'Base bordo'!B$2:B$746,B1423,'Base bordo'!F$2:F$746,"DESLOCAMENTO CARREGADO"),0)</f>
        <v>0</v>
      </c>
      <c r="F1423" s="10">
        <f>IFERROR(SUMIFS('Base bordo'!G$2:G$746,'Base bordo'!C$2:C$746,A1423,'Base bordo'!B$2:B$746,B1423,'Base bordo'!F$2:F$746,"DESLOCAMENTO"),0)</f>
        <v>0</v>
      </c>
      <c r="G1423" s="10">
        <f>IFERROR(SUMIFS('Base bordo'!G$2:G$746,'Base bordo'!C$2:C$746,A1423,'Base bordo'!B$2:B$746,B1423,'Base bordo'!F$2:F$746,"CARREGAMENTO"),0)</f>
        <v>0</v>
      </c>
      <c r="H1423" s="10">
        <f>IFERROR(SUMIFS('Base bordo'!G$2:G$746,'Base bordo'!C$2:C$746,A1423,'Base bordo'!B$2:B$746,B1423,'Base bordo'!F$2:F$746,"AGUARDANDO TRANSBORDO"),0)</f>
        <v>0</v>
      </c>
      <c r="I1423" s="10">
        <f>IFERROR(SUMIFS('Base bordo'!G$2:G$746,'Base bordo'!C$2:C$746,A1423,'Base bordo'!B$2:B$746,B1423,'Base bordo'!F$2:F$746,"PÁTIO INTERNO"),0)+IFERROR(SUMIFS('Base bordo'!G$2:G$746,'Base bordo'!C$2:C$746,A1423,'Base bordo'!B$2:B$746,B1423,'Base bordo'!F$2:F$746,"PÁTIO EXTERNO"),0)+IFERROR(SUMIFS('Base bordo'!G$2:G$746,'Base bordo'!C$2:C$746,A1423,'Base bordo'!B$2:B$746,B1423,'Base bordo'!F$2:F$746,"PATIO - RESERVA"),0)+IFERROR(SUMIFS('Base bordo'!G$2:G$746,'Base bordo'!C$2:C$746,A1423,'Base bordo'!B$2:B$746,B1423,'Base bordo'!F$2:F$746,"MANOBRA CARRETAS-PATIO"),0)</f>
        <v>0</v>
      </c>
      <c r="J1423" s="10">
        <f>IFERROR(SUMIFS('Base bordo'!G$2:G$746,'Base bordo'!C$2:C$746,A1423,'Base bordo'!B$2:B$746,B1423,'Base bordo'!F$2:F$746,"BALANÇA - ENTRADA"),0)+IFERROR(SUMIFS('Base bordo'!G$2:G$746,'Base bordo'!C$2:C$746,A1423,'Base bordo'!B$2:B$746,B1423,'Base bordo'!F$2:F$746,"BALANÇA - SAÍDA"),0)</f>
        <v>0</v>
      </c>
      <c r="K1423" s="10">
        <f>IFERROR(SUMIFS('Base bordo'!G$2:G$746,'Base bordo'!C$2:C$746,A1423,'Base bordo'!B$2:B$746,B1423,'Base bordo'!F$2:F$746,"MAN PREVENTIVA - MECANICA"),0)+IFERROR(SUMIFS('Base bordo'!G$2:G$746,'Base bordo'!C$2:C$746,A1423,'Base bordo'!B$2:B$746,B1423,'Base bordo'!F$2:F$746,"MAN CORRETIVA - MECANICA"),0)</f>
        <v>0</v>
      </c>
      <c r="L1423" s="10">
        <f>IFERROR(SUMIFS('Base bordo'!G$2:G$746,'Base bordo'!C$2:C$746,A1423,'Base bordo'!B$2:B$746,B1423,'Base bordo'!F$2:F$746,"MANUTENCAO - T O"),0)+IFERROR(SUMIFS('Base bordo'!G$2:G$746,'Base bordo'!C$2:C$746,A1423,'Base bordo'!B$2:B$746,B1423,'Base bordo'!F$2:F$746,"MANUTENCAO BORRACHARIA"),0)+IFERROR(SUMIFS('Base bordo'!G$2:G$746,'Base bordo'!C$2:C$746,A1423,'Base bordo'!B$2:B$746,B1423,'Base bordo'!F$2:F$746,"MANUTENCAO EXTERNA  CONCESSIONARIA"),0)+IFERROR(SUMIFS('Base bordo'!G$2:G$746,'Base bordo'!C$2:C$746,A1423,'Base bordo'!B$2:B$746,B1423,'Base bordo'!F$2:F$746,"MANUTENCAO TELEMETRIA"),0)</f>
        <v>0</v>
      </c>
      <c r="M1423" s="10">
        <f>IFERROR(SUMIFS('Base bordo'!G$2:G$746,'Base bordo'!C$2:C$746,A1423,'Base bordo'!B$2:B$746,B1423,'Base bordo'!F$2:F$746,"AGUARDANDO MANUTENCAO"),0)</f>
        <v>0</v>
      </c>
      <c r="N1423" s="10">
        <f>IFERROR(SUMIFS('Base bordo'!G$2:G$746,'Base bordo'!C$2:C$746,A1423,'Base bordo'!B$2:B$746,B1423,'Base bordo'!F$2:F$746,"SEM APONTAMENTO"),0)</f>
        <v>0</v>
      </c>
      <c r="O1423" s="10">
        <f t="shared" ref="O1423:O1436" si="144">IFERROR(P1423-SUM(D1423:N1423),0)</f>
        <v>0</v>
      </c>
      <c r="P1423" s="10">
        <f>IFERROR(SUMIFS('Base bordo'!G$2:G$746,'Base bordo'!C$2:C$746,A1423,'Base bordo'!B$2:B$746,B1423),0)</f>
        <v>0</v>
      </c>
      <c r="Q1423" s="10">
        <f>IFERROR(SUMIFS('Base bordo'!H$2:H$746,'Base bordo'!C$2:C$746,A1423,'Base bordo'!B$2:B$746,B1423,'Base bordo'!F$2:F$746,"DESLOCAMENTO VAZIO"),0)</f>
        <v>0</v>
      </c>
      <c r="R1423" s="10">
        <f>IFERROR(SUMIFS('Base bordo'!I$2:I$746,'Base bordo'!C$2:C$746,A1423,'Base bordo'!B$2:B$746,B1423,'Base bordo'!F$2:F$746,"DESLOCAMENTO VAZIO"),0)</f>
        <v>0</v>
      </c>
      <c r="S1423" s="30" t="str">
        <f t="shared" ref="S1423:S1436" si="145">IFERROR(Q1423/R1423,"")</f>
        <v/>
      </c>
      <c r="T1423" s="10">
        <f>IFERROR(SUMIFS('Base bordo'!H$2:H$746,'Base bordo'!C$2:C$746,A1423,'Base bordo'!B$2:B$746,B1423,'Base bordo'!F$2:F$746,"DESLOCAMENTO CARREGADO"),0)</f>
        <v>0</v>
      </c>
      <c r="U1423" s="10">
        <f>IFERROR(SUMIFS('Base bordo'!I$2:I$746,'Base bordo'!C$2:C$746,A1423,'Base bordo'!B$2:B$746,B1423,'Base bordo'!F$2:F$746,"DESLOCAMENTO CARREGADO"),0)</f>
        <v>0</v>
      </c>
      <c r="V1423" s="30" t="str">
        <f t="shared" ref="V1423:V1436" si="146">IFERROR(T1423/U1423,"")</f>
        <v/>
      </c>
      <c r="W1423" s="9">
        <f t="shared" ref="W1423:W1436" si="147">IFERROR(D1423/P1423,0)</f>
        <v>0</v>
      </c>
      <c r="X1423" s="9">
        <f t="shared" ref="X1423:X1436" si="148">IFERROR(E1423/P1423,0)</f>
        <v>0</v>
      </c>
      <c r="Y1423" s="9">
        <f t="shared" ref="Y1423:Y1436" si="149">IFERROR(1-((D1423+E1423)/P1423),0)</f>
        <v>0</v>
      </c>
    </row>
    <row r="1424" spans="1:25" ht="15" customHeight="1" x14ac:dyDescent="0.35">
      <c r="A1424" s="52">
        <v>8013475</v>
      </c>
      <c r="B1424" s="51">
        <v>46121</v>
      </c>
      <c r="C1424" s="7" t="s">
        <v>124</v>
      </c>
      <c r="D1424" s="10">
        <f>IFERROR(SUMIFS('Base bordo'!G$2:G$746,'Base bordo'!C$2:C$746,A1424,'Base bordo'!B$2:B$746,B1424,'Base bordo'!F$2:F$746,"DESLOCAMENTO VAZIO"),0)</f>
        <v>0</v>
      </c>
      <c r="E1424" s="10">
        <f>IFERROR(SUMIFS('Base bordo'!G$2:G$746,'Base bordo'!C$2:C$746,A1424,'Base bordo'!B$2:B$746,B1424,'Base bordo'!F$2:F$746,"DESLOCAMENTO CARREGADO"),0)</f>
        <v>0</v>
      </c>
      <c r="F1424" s="10">
        <f>IFERROR(SUMIFS('Base bordo'!G$2:G$746,'Base bordo'!C$2:C$746,A1424,'Base bordo'!B$2:B$746,B1424,'Base bordo'!F$2:F$746,"DESLOCAMENTO"),0)</f>
        <v>0</v>
      </c>
      <c r="G1424" s="10">
        <f>IFERROR(SUMIFS('Base bordo'!G$2:G$746,'Base bordo'!C$2:C$746,A1424,'Base bordo'!B$2:B$746,B1424,'Base bordo'!F$2:F$746,"CARREGAMENTO"),0)</f>
        <v>0</v>
      </c>
      <c r="H1424" s="10">
        <f>IFERROR(SUMIFS('Base bordo'!G$2:G$746,'Base bordo'!C$2:C$746,A1424,'Base bordo'!B$2:B$746,B1424,'Base bordo'!F$2:F$746,"AGUARDANDO TRANSBORDO"),0)</f>
        <v>0</v>
      </c>
      <c r="I1424" s="10">
        <f>IFERROR(SUMIFS('Base bordo'!G$2:G$746,'Base bordo'!C$2:C$746,A1424,'Base bordo'!B$2:B$746,B1424,'Base bordo'!F$2:F$746,"PÁTIO INTERNO"),0)+IFERROR(SUMIFS('Base bordo'!G$2:G$746,'Base bordo'!C$2:C$746,A1424,'Base bordo'!B$2:B$746,B1424,'Base bordo'!F$2:F$746,"PÁTIO EXTERNO"),0)+IFERROR(SUMIFS('Base bordo'!G$2:G$746,'Base bordo'!C$2:C$746,A1424,'Base bordo'!B$2:B$746,B1424,'Base bordo'!F$2:F$746,"PATIO - RESERVA"),0)+IFERROR(SUMIFS('Base bordo'!G$2:G$746,'Base bordo'!C$2:C$746,A1424,'Base bordo'!B$2:B$746,B1424,'Base bordo'!F$2:F$746,"MANOBRA CARRETAS-PATIO"),0)</f>
        <v>0</v>
      </c>
      <c r="J1424" s="10">
        <f>IFERROR(SUMIFS('Base bordo'!G$2:G$746,'Base bordo'!C$2:C$746,A1424,'Base bordo'!B$2:B$746,B1424,'Base bordo'!F$2:F$746,"BALANÇA - ENTRADA"),0)+IFERROR(SUMIFS('Base bordo'!G$2:G$746,'Base bordo'!C$2:C$746,A1424,'Base bordo'!B$2:B$746,B1424,'Base bordo'!F$2:F$746,"BALANÇA - SAÍDA"),0)</f>
        <v>0</v>
      </c>
      <c r="K1424" s="10">
        <f>IFERROR(SUMIFS('Base bordo'!G$2:G$746,'Base bordo'!C$2:C$746,A1424,'Base bordo'!B$2:B$746,B1424,'Base bordo'!F$2:F$746,"MAN PREVENTIVA - MECANICA"),0)+IFERROR(SUMIFS('Base bordo'!G$2:G$746,'Base bordo'!C$2:C$746,A1424,'Base bordo'!B$2:B$746,B1424,'Base bordo'!F$2:F$746,"MAN CORRETIVA - MECANICA"),0)</f>
        <v>0</v>
      </c>
      <c r="L1424" s="10">
        <f>IFERROR(SUMIFS('Base bordo'!G$2:G$746,'Base bordo'!C$2:C$746,A1424,'Base bordo'!B$2:B$746,B1424,'Base bordo'!F$2:F$746,"MANUTENCAO - T O"),0)+IFERROR(SUMIFS('Base bordo'!G$2:G$746,'Base bordo'!C$2:C$746,A1424,'Base bordo'!B$2:B$746,B1424,'Base bordo'!F$2:F$746,"MANUTENCAO BORRACHARIA"),0)+IFERROR(SUMIFS('Base bordo'!G$2:G$746,'Base bordo'!C$2:C$746,A1424,'Base bordo'!B$2:B$746,B1424,'Base bordo'!F$2:F$746,"MANUTENCAO EXTERNA  CONCESSIONARIA"),0)+IFERROR(SUMIFS('Base bordo'!G$2:G$746,'Base bordo'!C$2:C$746,A1424,'Base bordo'!B$2:B$746,B1424,'Base bordo'!F$2:F$746,"MANUTENCAO TELEMETRIA"),0)</f>
        <v>0</v>
      </c>
      <c r="M1424" s="10">
        <f>IFERROR(SUMIFS('Base bordo'!G$2:G$746,'Base bordo'!C$2:C$746,A1424,'Base bordo'!B$2:B$746,B1424,'Base bordo'!F$2:F$746,"AGUARDANDO MANUTENCAO"),0)</f>
        <v>0</v>
      </c>
      <c r="N1424" s="10">
        <f>IFERROR(SUMIFS('Base bordo'!G$2:G$746,'Base bordo'!C$2:C$746,A1424,'Base bordo'!B$2:B$746,B1424,'Base bordo'!F$2:F$746,"SEM APONTAMENTO"),0)</f>
        <v>0</v>
      </c>
      <c r="O1424" s="10">
        <f t="shared" si="144"/>
        <v>0</v>
      </c>
      <c r="P1424" s="10">
        <f>IFERROR(SUMIFS('Base bordo'!G$2:G$746,'Base bordo'!C$2:C$746,A1424,'Base bordo'!B$2:B$746,B1424),0)</f>
        <v>0</v>
      </c>
      <c r="Q1424" s="10">
        <f>IFERROR(SUMIFS('Base bordo'!H$2:H$746,'Base bordo'!C$2:C$746,A1424,'Base bordo'!B$2:B$746,B1424,'Base bordo'!F$2:F$746,"DESLOCAMENTO VAZIO"),0)</f>
        <v>0</v>
      </c>
      <c r="R1424" s="10">
        <f>IFERROR(SUMIFS('Base bordo'!I$2:I$746,'Base bordo'!C$2:C$746,A1424,'Base bordo'!B$2:B$746,B1424,'Base bordo'!F$2:F$746,"DESLOCAMENTO VAZIO"),0)</f>
        <v>0</v>
      </c>
      <c r="S1424" s="30" t="str">
        <f t="shared" si="145"/>
        <v/>
      </c>
      <c r="T1424" s="10">
        <f>IFERROR(SUMIFS('Base bordo'!H$2:H$746,'Base bordo'!C$2:C$746,A1424,'Base bordo'!B$2:B$746,B1424,'Base bordo'!F$2:F$746,"DESLOCAMENTO CARREGADO"),0)</f>
        <v>0</v>
      </c>
      <c r="U1424" s="10">
        <f>IFERROR(SUMIFS('Base bordo'!I$2:I$746,'Base bordo'!C$2:C$746,A1424,'Base bordo'!B$2:B$746,B1424,'Base bordo'!F$2:F$746,"DESLOCAMENTO CARREGADO"),0)</f>
        <v>0</v>
      </c>
      <c r="V1424" s="30" t="str">
        <f t="shared" si="146"/>
        <v/>
      </c>
      <c r="W1424" s="9">
        <f t="shared" si="147"/>
        <v>0</v>
      </c>
      <c r="X1424" s="9">
        <f t="shared" si="148"/>
        <v>0</v>
      </c>
      <c r="Y1424" s="9">
        <f t="shared" si="149"/>
        <v>0</v>
      </c>
    </row>
    <row r="1425" spans="1:25" ht="15" customHeight="1" x14ac:dyDescent="0.35">
      <c r="A1425" s="52">
        <v>8013480</v>
      </c>
      <c r="B1425" s="51">
        <v>46121</v>
      </c>
      <c r="C1425" s="7" t="s">
        <v>124</v>
      </c>
      <c r="D1425" s="10">
        <f>IFERROR(SUMIFS('Base bordo'!G$2:G$746,'Base bordo'!C$2:C$746,A1425,'Base bordo'!B$2:B$746,B1425,'Base bordo'!F$2:F$746,"DESLOCAMENTO VAZIO"),0)</f>
        <v>0</v>
      </c>
      <c r="E1425" s="10">
        <f>IFERROR(SUMIFS('Base bordo'!G$2:G$746,'Base bordo'!C$2:C$746,A1425,'Base bordo'!B$2:B$746,B1425,'Base bordo'!F$2:F$746,"DESLOCAMENTO CARREGADO"),0)</f>
        <v>0</v>
      </c>
      <c r="F1425" s="10">
        <f>IFERROR(SUMIFS('Base bordo'!G$2:G$746,'Base bordo'!C$2:C$746,A1425,'Base bordo'!B$2:B$746,B1425,'Base bordo'!F$2:F$746,"DESLOCAMENTO"),0)</f>
        <v>0</v>
      </c>
      <c r="G1425" s="10">
        <f>IFERROR(SUMIFS('Base bordo'!G$2:G$746,'Base bordo'!C$2:C$746,A1425,'Base bordo'!B$2:B$746,B1425,'Base bordo'!F$2:F$746,"CARREGAMENTO"),0)</f>
        <v>0</v>
      </c>
      <c r="H1425" s="10">
        <f>IFERROR(SUMIFS('Base bordo'!G$2:G$746,'Base bordo'!C$2:C$746,A1425,'Base bordo'!B$2:B$746,B1425,'Base bordo'!F$2:F$746,"AGUARDANDO TRANSBORDO"),0)</f>
        <v>0</v>
      </c>
      <c r="I1425" s="10">
        <f>IFERROR(SUMIFS('Base bordo'!G$2:G$746,'Base bordo'!C$2:C$746,A1425,'Base bordo'!B$2:B$746,B1425,'Base bordo'!F$2:F$746,"PÁTIO INTERNO"),0)+IFERROR(SUMIFS('Base bordo'!G$2:G$746,'Base bordo'!C$2:C$746,A1425,'Base bordo'!B$2:B$746,B1425,'Base bordo'!F$2:F$746,"PÁTIO EXTERNO"),0)+IFERROR(SUMIFS('Base bordo'!G$2:G$746,'Base bordo'!C$2:C$746,A1425,'Base bordo'!B$2:B$746,B1425,'Base bordo'!F$2:F$746,"PATIO - RESERVA"),0)+IFERROR(SUMIFS('Base bordo'!G$2:G$746,'Base bordo'!C$2:C$746,A1425,'Base bordo'!B$2:B$746,B1425,'Base bordo'!F$2:F$746,"MANOBRA CARRETAS-PATIO"),0)</f>
        <v>0</v>
      </c>
      <c r="J1425" s="10">
        <f>IFERROR(SUMIFS('Base bordo'!G$2:G$746,'Base bordo'!C$2:C$746,A1425,'Base bordo'!B$2:B$746,B1425,'Base bordo'!F$2:F$746,"BALANÇA - ENTRADA"),0)+IFERROR(SUMIFS('Base bordo'!G$2:G$746,'Base bordo'!C$2:C$746,A1425,'Base bordo'!B$2:B$746,B1425,'Base bordo'!F$2:F$746,"BALANÇA - SAÍDA"),0)</f>
        <v>0</v>
      </c>
      <c r="K1425" s="10">
        <f>IFERROR(SUMIFS('Base bordo'!G$2:G$746,'Base bordo'!C$2:C$746,A1425,'Base bordo'!B$2:B$746,B1425,'Base bordo'!F$2:F$746,"MAN PREVENTIVA - MECANICA"),0)+IFERROR(SUMIFS('Base bordo'!G$2:G$746,'Base bordo'!C$2:C$746,A1425,'Base bordo'!B$2:B$746,B1425,'Base bordo'!F$2:F$746,"MAN CORRETIVA - MECANICA"),0)</f>
        <v>0</v>
      </c>
      <c r="L1425" s="10">
        <f>IFERROR(SUMIFS('Base bordo'!G$2:G$746,'Base bordo'!C$2:C$746,A1425,'Base bordo'!B$2:B$746,B1425,'Base bordo'!F$2:F$746,"MANUTENCAO - T O"),0)+IFERROR(SUMIFS('Base bordo'!G$2:G$746,'Base bordo'!C$2:C$746,A1425,'Base bordo'!B$2:B$746,B1425,'Base bordo'!F$2:F$746,"MANUTENCAO BORRACHARIA"),0)+IFERROR(SUMIFS('Base bordo'!G$2:G$746,'Base bordo'!C$2:C$746,A1425,'Base bordo'!B$2:B$746,B1425,'Base bordo'!F$2:F$746,"MANUTENCAO EXTERNA  CONCESSIONARIA"),0)+IFERROR(SUMIFS('Base bordo'!G$2:G$746,'Base bordo'!C$2:C$746,A1425,'Base bordo'!B$2:B$746,B1425,'Base bordo'!F$2:F$746,"MANUTENCAO TELEMETRIA"),0)</f>
        <v>0</v>
      </c>
      <c r="M1425" s="10">
        <f>IFERROR(SUMIFS('Base bordo'!G$2:G$746,'Base bordo'!C$2:C$746,A1425,'Base bordo'!B$2:B$746,B1425,'Base bordo'!F$2:F$746,"AGUARDANDO MANUTENCAO"),0)</f>
        <v>0</v>
      </c>
      <c r="N1425" s="10">
        <f>IFERROR(SUMIFS('Base bordo'!G$2:G$746,'Base bordo'!C$2:C$746,A1425,'Base bordo'!B$2:B$746,B1425,'Base bordo'!F$2:F$746,"SEM APONTAMENTO"),0)</f>
        <v>0</v>
      </c>
      <c r="O1425" s="10">
        <f t="shared" si="144"/>
        <v>0</v>
      </c>
      <c r="P1425" s="10">
        <f>IFERROR(SUMIFS('Base bordo'!G$2:G$746,'Base bordo'!C$2:C$746,A1425,'Base bordo'!B$2:B$746,B1425),0)</f>
        <v>0</v>
      </c>
      <c r="Q1425" s="10">
        <f>IFERROR(SUMIFS('Base bordo'!H$2:H$746,'Base bordo'!C$2:C$746,A1425,'Base bordo'!B$2:B$746,B1425,'Base bordo'!F$2:F$746,"DESLOCAMENTO VAZIO"),0)</f>
        <v>0</v>
      </c>
      <c r="R1425" s="10">
        <f>IFERROR(SUMIFS('Base bordo'!I$2:I$746,'Base bordo'!C$2:C$746,A1425,'Base bordo'!B$2:B$746,B1425,'Base bordo'!F$2:F$746,"DESLOCAMENTO VAZIO"),0)</f>
        <v>0</v>
      </c>
      <c r="S1425" s="30" t="str">
        <f t="shared" si="145"/>
        <v/>
      </c>
      <c r="T1425" s="10">
        <f>IFERROR(SUMIFS('Base bordo'!H$2:H$746,'Base bordo'!C$2:C$746,A1425,'Base bordo'!B$2:B$746,B1425,'Base bordo'!F$2:F$746,"DESLOCAMENTO CARREGADO"),0)</f>
        <v>0</v>
      </c>
      <c r="U1425" s="10">
        <f>IFERROR(SUMIFS('Base bordo'!I$2:I$746,'Base bordo'!C$2:C$746,A1425,'Base bordo'!B$2:B$746,B1425,'Base bordo'!F$2:F$746,"DESLOCAMENTO CARREGADO"),0)</f>
        <v>0</v>
      </c>
      <c r="V1425" s="30" t="str">
        <f t="shared" si="146"/>
        <v/>
      </c>
      <c r="W1425" s="9">
        <f t="shared" si="147"/>
        <v>0</v>
      </c>
      <c r="X1425" s="9">
        <f t="shared" si="148"/>
        <v>0</v>
      </c>
      <c r="Y1425" s="9">
        <f t="shared" si="149"/>
        <v>0</v>
      </c>
    </row>
    <row r="1426" spans="1:25" ht="15" customHeight="1" x14ac:dyDescent="0.35">
      <c r="A1426" s="52">
        <v>8013469</v>
      </c>
      <c r="B1426" s="51">
        <v>46122</v>
      </c>
      <c r="C1426" s="7" t="s">
        <v>124</v>
      </c>
      <c r="D1426" s="10">
        <f>IFERROR(SUMIFS('Base bordo'!G$2:G$746,'Base bordo'!C$2:C$746,A1426,'Base bordo'!B$2:B$746,B1426,'Base bordo'!F$2:F$746,"DESLOCAMENTO VAZIO"),0)</f>
        <v>0</v>
      </c>
      <c r="E1426" s="10">
        <f>IFERROR(SUMIFS('Base bordo'!G$2:G$746,'Base bordo'!C$2:C$746,A1426,'Base bordo'!B$2:B$746,B1426,'Base bordo'!F$2:F$746,"DESLOCAMENTO CARREGADO"),0)</f>
        <v>0</v>
      </c>
      <c r="F1426" s="10">
        <f>IFERROR(SUMIFS('Base bordo'!G$2:G$746,'Base bordo'!C$2:C$746,A1426,'Base bordo'!B$2:B$746,B1426,'Base bordo'!F$2:F$746,"DESLOCAMENTO"),0)</f>
        <v>0</v>
      </c>
      <c r="G1426" s="10">
        <f>IFERROR(SUMIFS('Base bordo'!G$2:G$746,'Base bordo'!C$2:C$746,A1426,'Base bordo'!B$2:B$746,B1426,'Base bordo'!F$2:F$746,"CARREGAMENTO"),0)</f>
        <v>0</v>
      </c>
      <c r="H1426" s="10">
        <f>IFERROR(SUMIFS('Base bordo'!G$2:G$746,'Base bordo'!C$2:C$746,A1426,'Base bordo'!B$2:B$746,B1426,'Base bordo'!F$2:F$746,"AGUARDANDO TRANSBORDO"),0)</f>
        <v>0</v>
      </c>
      <c r="I1426" s="10">
        <f>IFERROR(SUMIFS('Base bordo'!G$2:G$746,'Base bordo'!C$2:C$746,A1426,'Base bordo'!B$2:B$746,B1426,'Base bordo'!F$2:F$746,"PÁTIO INTERNO"),0)+IFERROR(SUMIFS('Base bordo'!G$2:G$746,'Base bordo'!C$2:C$746,A1426,'Base bordo'!B$2:B$746,B1426,'Base bordo'!F$2:F$746,"PÁTIO EXTERNO"),0)+IFERROR(SUMIFS('Base bordo'!G$2:G$746,'Base bordo'!C$2:C$746,A1426,'Base bordo'!B$2:B$746,B1426,'Base bordo'!F$2:F$746,"PATIO - RESERVA"),0)+IFERROR(SUMIFS('Base bordo'!G$2:G$746,'Base bordo'!C$2:C$746,A1426,'Base bordo'!B$2:B$746,B1426,'Base bordo'!F$2:F$746,"MANOBRA CARRETAS-PATIO"),0)</f>
        <v>0</v>
      </c>
      <c r="J1426" s="10">
        <f>IFERROR(SUMIFS('Base bordo'!G$2:G$746,'Base bordo'!C$2:C$746,A1426,'Base bordo'!B$2:B$746,B1426,'Base bordo'!F$2:F$746,"BALANÇA - ENTRADA"),0)+IFERROR(SUMIFS('Base bordo'!G$2:G$746,'Base bordo'!C$2:C$746,A1426,'Base bordo'!B$2:B$746,B1426,'Base bordo'!F$2:F$746,"BALANÇA - SAÍDA"),0)</f>
        <v>0</v>
      </c>
      <c r="K1426" s="10">
        <f>IFERROR(SUMIFS('Base bordo'!G$2:G$746,'Base bordo'!C$2:C$746,A1426,'Base bordo'!B$2:B$746,B1426,'Base bordo'!F$2:F$746,"MAN PREVENTIVA - MECANICA"),0)+IFERROR(SUMIFS('Base bordo'!G$2:G$746,'Base bordo'!C$2:C$746,A1426,'Base bordo'!B$2:B$746,B1426,'Base bordo'!F$2:F$746,"MAN CORRETIVA - MECANICA"),0)</f>
        <v>0</v>
      </c>
      <c r="L1426" s="10">
        <f>IFERROR(SUMIFS('Base bordo'!G$2:G$746,'Base bordo'!C$2:C$746,A1426,'Base bordo'!B$2:B$746,B1426,'Base bordo'!F$2:F$746,"MANUTENCAO - T O"),0)+IFERROR(SUMIFS('Base bordo'!G$2:G$746,'Base bordo'!C$2:C$746,A1426,'Base bordo'!B$2:B$746,B1426,'Base bordo'!F$2:F$746,"MANUTENCAO BORRACHARIA"),0)+IFERROR(SUMIFS('Base bordo'!G$2:G$746,'Base bordo'!C$2:C$746,A1426,'Base bordo'!B$2:B$746,B1426,'Base bordo'!F$2:F$746,"MANUTENCAO EXTERNA  CONCESSIONARIA"),0)+IFERROR(SUMIFS('Base bordo'!G$2:G$746,'Base bordo'!C$2:C$746,A1426,'Base bordo'!B$2:B$746,B1426,'Base bordo'!F$2:F$746,"MANUTENCAO TELEMETRIA"),0)</f>
        <v>0</v>
      </c>
      <c r="M1426" s="10">
        <f>IFERROR(SUMIFS('Base bordo'!G$2:G$746,'Base bordo'!C$2:C$746,A1426,'Base bordo'!B$2:B$746,B1426,'Base bordo'!F$2:F$746,"AGUARDANDO MANUTENCAO"),0)</f>
        <v>0</v>
      </c>
      <c r="N1426" s="10">
        <f>IFERROR(SUMIFS('Base bordo'!G$2:G$746,'Base bordo'!C$2:C$746,A1426,'Base bordo'!B$2:B$746,B1426,'Base bordo'!F$2:F$746,"SEM APONTAMENTO"),0)</f>
        <v>0</v>
      </c>
      <c r="O1426" s="10">
        <f t="shared" si="144"/>
        <v>0</v>
      </c>
      <c r="P1426" s="10">
        <f>IFERROR(SUMIFS('Base bordo'!G$2:G$746,'Base bordo'!C$2:C$746,A1426,'Base bordo'!B$2:B$746,B1426),0)</f>
        <v>0</v>
      </c>
      <c r="Q1426" s="10">
        <f>IFERROR(SUMIFS('Base bordo'!H$2:H$746,'Base bordo'!C$2:C$746,A1426,'Base bordo'!B$2:B$746,B1426,'Base bordo'!F$2:F$746,"DESLOCAMENTO VAZIO"),0)</f>
        <v>0</v>
      </c>
      <c r="R1426" s="10">
        <f>IFERROR(SUMIFS('Base bordo'!I$2:I$746,'Base bordo'!C$2:C$746,A1426,'Base bordo'!B$2:B$746,B1426,'Base bordo'!F$2:F$746,"DESLOCAMENTO VAZIO"),0)</f>
        <v>0</v>
      </c>
      <c r="S1426" s="30" t="str">
        <f t="shared" si="145"/>
        <v/>
      </c>
      <c r="T1426" s="10">
        <f>IFERROR(SUMIFS('Base bordo'!H$2:H$746,'Base bordo'!C$2:C$746,A1426,'Base bordo'!B$2:B$746,B1426,'Base bordo'!F$2:F$746,"DESLOCAMENTO CARREGADO"),0)</f>
        <v>0</v>
      </c>
      <c r="U1426" s="10">
        <f>IFERROR(SUMIFS('Base bordo'!I$2:I$746,'Base bordo'!C$2:C$746,A1426,'Base bordo'!B$2:B$746,B1426,'Base bordo'!F$2:F$746,"DESLOCAMENTO CARREGADO"),0)</f>
        <v>0</v>
      </c>
      <c r="V1426" s="30" t="str">
        <f t="shared" si="146"/>
        <v/>
      </c>
      <c r="W1426" s="9">
        <f t="shared" si="147"/>
        <v>0</v>
      </c>
      <c r="X1426" s="9">
        <f t="shared" si="148"/>
        <v>0</v>
      </c>
      <c r="Y1426" s="9">
        <f t="shared" si="149"/>
        <v>0</v>
      </c>
    </row>
    <row r="1427" spans="1:25" ht="15" customHeight="1" x14ac:dyDescent="0.35">
      <c r="A1427" s="52">
        <v>8013473</v>
      </c>
      <c r="B1427" s="51">
        <v>46122</v>
      </c>
      <c r="C1427" s="7" t="s">
        <v>124</v>
      </c>
      <c r="D1427" s="10">
        <f>IFERROR(SUMIFS('Base bordo'!G$2:G$746,'Base bordo'!C$2:C$746,A1427,'Base bordo'!B$2:B$746,B1427,'Base bordo'!F$2:F$746,"DESLOCAMENTO VAZIO"),0)</f>
        <v>7.9444444444444443E-2</v>
      </c>
      <c r="E1427" s="10">
        <f>IFERROR(SUMIFS('Base bordo'!G$2:G$746,'Base bordo'!C$2:C$746,A1427,'Base bordo'!B$2:B$746,B1427,'Base bordo'!F$2:F$746,"DESLOCAMENTO CARREGADO"),0)</f>
        <v>0</v>
      </c>
      <c r="F1427" s="10">
        <f>IFERROR(SUMIFS('Base bordo'!G$2:G$746,'Base bordo'!C$2:C$746,A1427,'Base bordo'!B$2:B$746,B1427,'Base bordo'!F$2:F$746,"DESLOCAMENTO"),0)</f>
        <v>0</v>
      </c>
      <c r="G1427" s="10">
        <f>IFERROR(SUMIFS('Base bordo'!G$2:G$746,'Base bordo'!C$2:C$746,A1427,'Base bordo'!B$2:B$746,B1427,'Base bordo'!F$2:F$746,"CARREGAMENTO"),0)</f>
        <v>0</v>
      </c>
      <c r="H1427" s="10">
        <f>IFERROR(SUMIFS('Base bordo'!G$2:G$746,'Base bordo'!C$2:C$746,A1427,'Base bordo'!B$2:B$746,B1427,'Base bordo'!F$2:F$746,"AGUARDANDO TRANSBORDO"),0)</f>
        <v>0</v>
      </c>
      <c r="I1427" s="10">
        <f>IFERROR(SUMIFS('Base bordo'!G$2:G$746,'Base bordo'!C$2:C$746,A1427,'Base bordo'!B$2:B$746,B1427,'Base bordo'!F$2:F$746,"PÁTIO INTERNO"),0)+IFERROR(SUMIFS('Base bordo'!G$2:G$746,'Base bordo'!C$2:C$746,A1427,'Base bordo'!B$2:B$746,B1427,'Base bordo'!F$2:F$746,"PÁTIO EXTERNO"),0)+IFERROR(SUMIFS('Base bordo'!G$2:G$746,'Base bordo'!C$2:C$746,A1427,'Base bordo'!B$2:B$746,B1427,'Base bordo'!F$2:F$746,"PATIO - RESERVA"),0)+IFERROR(SUMIFS('Base bordo'!G$2:G$746,'Base bordo'!C$2:C$746,A1427,'Base bordo'!B$2:B$746,B1427,'Base bordo'!F$2:F$746,"MANOBRA CARRETAS-PATIO"),0)</f>
        <v>0</v>
      </c>
      <c r="J1427" s="10">
        <f>IFERROR(SUMIFS('Base bordo'!G$2:G$746,'Base bordo'!C$2:C$746,A1427,'Base bordo'!B$2:B$746,B1427,'Base bordo'!F$2:F$746,"BALANÇA - ENTRADA"),0)+IFERROR(SUMIFS('Base bordo'!G$2:G$746,'Base bordo'!C$2:C$746,A1427,'Base bordo'!B$2:B$746,B1427,'Base bordo'!F$2:F$746,"BALANÇA - SAÍDA"),0)</f>
        <v>0</v>
      </c>
      <c r="K1427" s="10">
        <f>IFERROR(SUMIFS('Base bordo'!G$2:G$746,'Base bordo'!C$2:C$746,A1427,'Base bordo'!B$2:B$746,B1427,'Base bordo'!F$2:F$746,"MAN PREVENTIVA - MECANICA"),0)+IFERROR(SUMIFS('Base bordo'!G$2:G$746,'Base bordo'!C$2:C$746,A1427,'Base bordo'!B$2:B$746,B1427,'Base bordo'!F$2:F$746,"MAN CORRETIVA - MECANICA"),0)</f>
        <v>0</v>
      </c>
      <c r="L1427" s="10">
        <f>IFERROR(SUMIFS('Base bordo'!G$2:G$746,'Base bordo'!C$2:C$746,A1427,'Base bordo'!B$2:B$746,B1427,'Base bordo'!F$2:F$746,"MANUTENCAO - T O"),0)+IFERROR(SUMIFS('Base bordo'!G$2:G$746,'Base bordo'!C$2:C$746,A1427,'Base bordo'!B$2:B$746,B1427,'Base bordo'!F$2:F$746,"MANUTENCAO BORRACHARIA"),0)+IFERROR(SUMIFS('Base bordo'!G$2:G$746,'Base bordo'!C$2:C$746,A1427,'Base bordo'!B$2:B$746,B1427,'Base bordo'!F$2:F$746,"MANUTENCAO EXTERNA  CONCESSIONARIA"),0)+IFERROR(SUMIFS('Base bordo'!G$2:G$746,'Base bordo'!C$2:C$746,A1427,'Base bordo'!B$2:B$746,B1427,'Base bordo'!F$2:F$746,"MANUTENCAO TELEMETRIA"),0)</f>
        <v>0</v>
      </c>
      <c r="M1427" s="10">
        <f>IFERROR(SUMIFS('Base bordo'!G$2:G$746,'Base bordo'!C$2:C$746,A1427,'Base bordo'!B$2:B$746,B1427,'Base bordo'!F$2:F$746,"AGUARDANDO MANUTENCAO"),0)</f>
        <v>0</v>
      </c>
      <c r="N1427" s="10">
        <f>IFERROR(SUMIFS('Base bordo'!G$2:G$746,'Base bordo'!C$2:C$746,A1427,'Base bordo'!B$2:B$746,B1427,'Base bordo'!F$2:F$746,"SEM APONTAMENTO"),0)</f>
        <v>0</v>
      </c>
      <c r="O1427" s="10">
        <f t="shared" si="144"/>
        <v>0</v>
      </c>
      <c r="P1427" s="10">
        <f>IFERROR(SUMIFS('Base bordo'!G$2:G$746,'Base bordo'!C$2:C$746,A1427,'Base bordo'!B$2:B$746,B1427),0)</f>
        <v>7.9444444444444443E-2</v>
      </c>
      <c r="Q1427" s="10">
        <f>IFERROR(SUMIFS('Base bordo'!H$2:H$746,'Base bordo'!C$2:C$746,A1427,'Base bordo'!B$2:B$746,B1427,'Base bordo'!F$2:F$746,"DESLOCAMENTO VAZIO"),0)</f>
        <v>2113.54</v>
      </c>
      <c r="R1427" s="10">
        <f>IFERROR(SUMIFS('Base bordo'!I$2:I$746,'Base bordo'!C$2:C$746,A1427,'Base bordo'!B$2:B$746,B1427,'Base bordo'!F$2:F$746,"DESLOCAMENTO VAZIO"),0)</f>
        <v>286</v>
      </c>
      <c r="S1427" s="30">
        <f t="shared" si="145"/>
        <v>7.39</v>
      </c>
      <c r="T1427" s="10">
        <f>IFERROR(SUMIFS('Base bordo'!H$2:H$746,'Base bordo'!C$2:C$746,A1427,'Base bordo'!B$2:B$746,B1427,'Base bordo'!F$2:F$746,"DESLOCAMENTO CARREGADO"),0)</f>
        <v>0</v>
      </c>
      <c r="U1427" s="10">
        <f>IFERROR(SUMIFS('Base bordo'!I$2:I$746,'Base bordo'!C$2:C$746,A1427,'Base bordo'!B$2:B$746,B1427,'Base bordo'!F$2:F$746,"DESLOCAMENTO CARREGADO"),0)</f>
        <v>0</v>
      </c>
      <c r="V1427" s="30" t="str">
        <f t="shared" si="146"/>
        <v/>
      </c>
      <c r="W1427" s="9">
        <f t="shared" si="147"/>
        <v>1</v>
      </c>
      <c r="X1427" s="9">
        <f t="shared" si="148"/>
        <v>0</v>
      </c>
      <c r="Y1427" s="9">
        <f t="shared" si="149"/>
        <v>0</v>
      </c>
    </row>
    <row r="1428" spans="1:25" ht="15" customHeight="1" x14ac:dyDescent="0.35">
      <c r="A1428" s="52">
        <v>8013484</v>
      </c>
      <c r="B1428" s="51">
        <v>46122</v>
      </c>
      <c r="C1428" s="7" t="s">
        <v>124</v>
      </c>
      <c r="D1428" s="10">
        <f>IFERROR(SUMIFS('Base bordo'!G$2:G$746,'Base bordo'!C$2:C$746,A1428,'Base bordo'!B$2:B$746,B1428,'Base bordo'!F$2:F$746,"DESLOCAMENTO VAZIO"),0)</f>
        <v>0</v>
      </c>
      <c r="E1428" s="10">
        <f>IFERROR(SUMIFS('Base bordo'!G$2:G$746,'Base bordo'!C$2:C$746,A1428,'Base bordo'!B$2:B$746,B1428,'Base bordo'!F$2:F$746,"DESLOCAMENTO CARREGADO"),0)</f>
        <v>1.8913888888888888</v>
      </c>
      <c r="F1428" s="10">
        <f>IFERROR(SUMIFS('Base bordo'!G$2:G$746,'Base bordo'!C$2:C$746,A1428,'Base bordo'!B$2:B$746,B1428,'Base bordo'!F$2:F$746,"DESLOCAMENTO"),0)</f>
        <v>0</v>
      </c>
      <c r="G1428" s="10">
        <f>IFERROR(SUMIFS('Base bordo'!G$2:G$746,'Base bordo'!C$2:C$746,A1428,'Base bordo'!B$2:B$746,B1428,'Base bordo'!F$2:F$746,"CARREGAMENTO"),0)</f>
        <v>0</v>
      </c>
      <c r="H1428" s="10">
        <f>IFERROR(SUMIFS('Base bordo'!G$2:G$746,'Base bordo'!C$2:C$746,A1428,'Base bordo'!B$2:B$746,B1428,'Base bordo'!F$2:F$746,"AGUARDANDO TRANSBORDO"),0)</f>
        <v>0</v>
      </c>
      <c r="I1428" s="10">
        <f>IFERROR(SUMIFS('Base bordo'!G$2:G$746,'Base bordo'!C$2:C$746,A1428,'Base bordo'!B$2:B$746,B1428,'Base bordo'!F$2:F$746,"PÁTIO INTERNO"),0)+IFERROR(SUMIFS('Base bordo'!G$2:G$746,'Base bordo'!C$2:C$746,A1428,'Base bordo'!B$2:B$746,B1428,'Base bordo'!F$2:F$746,"PÁTIO EXTERNO"),0)+IFERROR(SUMIFS('Base bordo'!G$2:G$746,'Base bordo'!C$2:C$746,A1428,'Base bordo'!B$2:B$746,B1428,'Base bordo'!F$2:F$746,"PATIO - RESERVA"),0)+IFERROR(SUMIFS('Base bordo'!G$2:G$746,'Base bordo'!C$2:C$746,A1428,'Base bordo'!B$2:B$746,B1428,'Base bordo'!F$2:F$746,"MANOBRA CARRETAS-PATIO"),0)</f>
        <v>0.15055555555555555</v>
      </c>
      <c r="J1428" s="10">
        <f>IFERROR(SUMIFS('Base bordo'!G$2:G$746,'Base bordo'!C$2:C$746,A1428,'Base bordo'!B$2:B$746,B1428,'Base bordo'!F$2:F$746,"BALANÇA - ENTRADA"),0)+IFERROR(SUMIFS('Base bordo'!G$2:G$746,'Base bordo'!C$2:C$746,A1428,'Base bordo'!B$2:B$746,B1428,'Base bordo'!F$2:F$746,"BALANÇA - SAÍDA"),0)</f>
        <v>0</v>
      </c>
      <c r="K1428" s="10">
        <f>IFERROR(SUMIFS('Base bordo'!G$2:G$746,'Base bordo'!C$2:C$746,A1428,'Base bordo'!B$2:B$746,B1428,'Base bordo'!F$2:F$746,"MAN PREVENTIVA - MECANICA"),0)+IFERROR(SUMIFS('Base bordo'!G$2:G$746,'Base bordo'!C$2:C$746,A1428,'Base bordo'!B$2:B$746,B1428,'Base bordo'!F$2:F$746,"MAN CORRETIVA - MECANICA"),0)</f>
        <v>0</v>
      </c>
      <c r="L1428" s="10">
        <f>IFERROR(SUMIFS('Base bordo'!G$2:G$746,'Base bordo'!C$2:C$746,A1428,'Base bordo'!B$2:B$746,B1428,'Base bordo'!F$2:F$746,"MANUTENCAO - T O"),0)+IFERROR(SUMIFS('Base bordo'!G$2:G$746,'Base bordo'!C$2:C$746,A1428,'Base bordo'!B$2:B$746,B1428,'Base bordo'!F$2:F$746,"MANUTENCAO BORRACHARIA"),0)+IFERROR(SUMIFS('Base bordo'!G$2:G$746,'Base bordo'!C$2:C$746,A1428,'Base bordo'!B$2:B$746,B1428,'Base bordo'!F$2:F$746,"MANUTENCAO EXTERNA  CONCESSIONARIA"),0)+IFERROR(SUMIFS('Base bordo'!G$2:G$746,'Base bordo'!C$2:C$746,A1428,'Base bordo'!B$2:B$746,B1428,'Base bordo'!F$2:F$746,"MANUTENCAO TELEMETRIA"),0)</f>
        <v>0</v>
      </c>
      <c r="M1428" s="10">
        <f>IFERROR(SUMIFS('Base bordo'!G$2:G$746,'Base bordo'!C$2:C$746,A1428,'Base bordo'!B$2:B$746,B1428,'Base bordo'!F$2:F$746,"AGUARDANDO MANUTENCAO"),0)</f>
        <v>0</v>
      </c>
      <c r="N1428" s="10">
        <f>IFERROR(SUMIFS('Base bordo'!G$2:G$746,'Base bordo'!C$2:C$746,A1428,'Base bordo'!B$2:B$746,B1428,'Base bordo'!F$2:F$746,"SEM APONTAMENTO"),0)</f>
        <v>0</v>
      </c>
      <c r="O1428" s="10">
        <f t="shared" si="144"/>
        <v>0</v>
      </c>
      <c r="P1428" s="10">
        <f>IFERROR(SUMIFS('Base bordo'!G$2:G$746,'Base bordo'!C$2:C$746,A1428,'Base bordo'!B$2:B$746,B1428),0)</f>
        <v>2.0419444444444443</v>
      </c>
      <c r="Q1428" s="10">
        <f>IFERROR(SUMIFS('Base bordo'!H$2:H$746,'Base bordo'!C$2:C$746,A1428,'Base bordo'!B$2:B$746,B1428,'Base bordo'!F$2:F$746,"DESLOCAMENTO VAZIO"),0)</f>
        <v>0</v>
      </c>
      <c r="R1428" s="10">
        <f>IFERROR(SUMIFS('Base bordo'!I$2:I$746,'Base bordo'!C$2:C$746,A1428,'Base bordo'!B$2:B$746,B1428,'Base bordo'!F$2:F$746,"DESLOCAMENTO VAZIO"),0)</f>
        <v>0</v>
      </c>
      <c r="S1428" s="30" t="str">
        <f t="shared" si="145"/>
        <v/>
      </c>
      <c r="T1428" s="10">
        <f>IFERROR(SUMIFS('Base bordo'!H$2:H$746,'Base bordo'!C$2:C$746,A1428,'Base bordo'!B$2:B$746,B1428,'Base bordo'!F$2:F$746,"DESLOCAMENTO CARREGADO"),0)</f>
        <v>169799.59</v>
      </c>
      <c r="U1428" s="10">
        <f>IFERROR(SUMIFS('Base bordo'!I$2:I$746,'Base bordo'!C$2:C$746,A1428,'Base bordo'!B$2:B$746,B1428,'Base bordo'!F$2:F$746,"DESLOCAMENTO CARREGADO"),0)</f>
        <v>6809</v>
      </c>
      <c r="V1428" s="30">
        <f t="shared" si="146"/>
        <v>24.937522396827728</v>
      </c>
      <c r="W1428" s="9">
        <f t="shared" si="147"/>
        <v>0</v>
      </c>
      <c r="X1428" s="9">
        <f t="shared" si="148"/>
        <v>0.92626853489321181</v>
      </c>
      <c r="Y1428" s="9">
        <f t="shared" si="149"/>
        <v>7.3731465106788185E-2</v>
      </c>
    </row>
    <row r="1429" spans="1:25" ht="15" customHeight="1" x14ac:dyDescent="0.35">
      <c r="A1429" s="52">
        <v>8013485</v>
      </c>
      <c r="B1429" s="51">
        <v>46122</v>
      </c>
      <c r="C1429" s="7" t="s">
        <v>124</v>
      </c>
      <c r="D1429" s="10">
        <f>IFERROR(SUMIFS('Base bordo'!G$2:G$746,'Base bordo'!C$2:C$746,A1429,'Base bordo'!B$2:B$746,B1429,'Base bordo'!F$2:F$746,"DESLOCAMENTO VAZIO"),0)</f>
        <v>0</v>
      </c>
      <c r="E1429" s="10">
        <f>IFERROR(SUMIFS('Base bordo'!G$2:G$746,'Base bordo'!C$2:C$746,A1429,'Base bordo'!B$2:B$746,B1429,'Base bordo'!F$2:F$746,"DESLOCAMENTO CARREGADO"),0)</f>
        <v>0</v>
      </c>
      <c r="F1429" s="10">
        <f>IFERROR(SUMIFS('Base bordo'!G$2:G$746,'Base bordo'!C$2:C$746,A1429,'Base bordo'!B$2:B$746,B1429,'Base bordo'!F$2:F$746,"DESLOCAMENTO"),0)</f>
        <v>0</v>
      </c>
      <c r="G1429" s="10">
        <f>IFERROR(SUMIFS('Base bordo'!G$2:G$746,'Base bordo'!C$2:C$746,A1429,'Base bordo'!B$2:B$746,B1429,'Base bordo'!F$2:F$746,"CARREGAMENTO"),0)</f>
        <v>0</v>
      </c>
      <c r="H1429" s="10">
        <f>IFERROR(SUMIFS('Base bordo'!G$2:G$746,'Base bordo'!C$2:C$746,A1429,'Base bordo'!B$2:B$746,B1429,'Base bordo'!F$2:F$746,"AGUARDANDO TRANSBORDO"),0)</f>
        <v>0</v>
      </c>
      <c r="I1429" s="10">
        <f>IFERROR(SUMIFS('Base bordo'!G$2:G$746,'Base bordo'!C$2:C$746,A1429,'Base bordo'!B$2:B$746,B1429,'Base bordo'!F$2:F$746,"PÁTIO INTERNO"),0)+IFERROR(SUMIFS('Base bordo'!G$2:G$746,'Base bordo'!C$2:C$746,A1429,'Base bordo'!B$2:B$746,B1429,'Base bordo'!F$2:F$746,"PÁTIO EXTERNO"),0)+IFERROR(SUMIFS('Base bordo'!G$2:G$746,'Base bordo'!C$2:C$746,A1429,'Base bordo'!B$2:B$746,B1429,'Base bordo'!F$2:F$746,"PATIO - RESERVA"),0)+IFERROR(SUMIFS('Base bordo'!G$2:G$746,'Base bordo'!C$2:C$746,A1429,'Base bordo'!B$2:B$746,B1429,'Base bordo'!F$2:F$746,"MANOBRA CARRETAS-PATIO"),0)</f>
        <v>0</v>
      </c>
      <c r="J1429" s="10">
        <f>IFERROR(SUMIFS('Base bordo'!G$2:G$746,'Base bordo'!C$2:C$746,A1429,'Base bordo'!B$2:B$746,B1429,'Base bordo'!F$2:F$746,"BALANÇA - ENTRADA"),0)+IFERROR(SUMIFS('Base bordo'!G$2:G$746,'Base bordo'!C$2:C$746,A1429,'Base bordo'!B$2:B$746,B1429,'Base bordo'!F$2:F$746,"BALANÇA - SAÍDA"),0)</f>
        <v>0</v>
      </c>
      <c r="K1429" s="10">
        <f>IFERROR(SUMIFS('Base bordo'!G$2:G$746,'Base bordo'!C$2:C$746,A1429,'Base bordo'!B$2:B$746,B1429,'Base bordo'!F$2:F$746,"MAN PREVENTIVA - MECANICA"),0)+IFERROR(SUMIFS('Base bordo'!G$2:G$746,'Base bordo'!C$2:C$746,A1429,'Base bordo'!B$2:B$746,B1429,'Base bordo'!F$2:F$746,"MAN CORRETIVA - MECANICA"),0)</f>
        <v>0</v>
      </c>
      <c r="L1429" s="10">
        <f>IFERROR(SUMIFS('Base bordo'!G$2:G$746,'Base bordo'!C$2:C$746,A1429,'Base bordo'!B$2:B$746,B1429,'Base bordo'!F$2:F$746,"MANUTENCAO - T O"),0)+IFERROR(SUMIFS('Base bordo'!G$2:G$746,'Base bordo'!C$2:C$746,A1429,'Base bordo'!B$2:B$746,B1429,'Base bordo'!F$2:F$746,"MANUTENCAO BORRACHARIA"),0)+IFERROR(SUMIFS('Base bordo'!G$2:G$746,'Base bordo'!C$2:C$746,A1429,'Base bordo'!B$2:B$746,B1429,'Base bordo'!F$2:F$746,"MANUTENCAO EXTERNA  CONCESSIONARIA"),0)+IFERROR(SUMIFS('Base bordo'!G$2:G$746,'Base bordo'!C$2:C$746,A1429,'Base bordo'!B$2:B$746,B1429,'Base bordo'!F$2:F$746,"MANUTENCAO TELEMETRIA"),0)</f>
        <v>0</v>
      </c>
      <c r="M1429" s="10">
        <f>IFERROR(SUMIFS('Base bordo'!G$2:G$746,'Base bordo'!C$2:C$746,A1429,'Base bordo'!B$2:B$746,B1429,'Base bordo'!F$2:F$746,"AGUARDANDO MANUTENCAO"),0)</f>
        <v>0</v>
      </c>
      <c r="N1429" s="10">
        <f>IFERROR(SUMIFS('Base bordo'!G$2:G$746,'Base bordo'!C$2:C$746,A1429,'Base bordo'!B$2:B$746,B1429,'Base bordo'!F$2:F$746,"SEM APONTAMENTO"),0)</f>
        <v>0</v>
      </c>
      <c r="O1429" s="10">
        <f t="shared" si="144"/>
        <v>0</v>
      </c>
      <c r="P1429" s="10">
        <f>IFERROR(SUMIFS('Base bordo'!G$2:G$746,'Base bordo'!C$2:C$746,A1429,'Base bordo'!B$2:B$746,B1429),0)</f>
        <v>0</v>
      </c>
      <c r="Q1429" s="10">
        <f>IFERROR(SUMIFS('Base bordo'!H$2:H$746,'Base bordo'!C$2:C$746,A1429,'Base bordo'!B$2:B$746,B1429,'Base bordo'!F$2:F$746,"DESLOCAMENTO VAZIO"),0)</f>
        <v>0</v>
      </c>
      <c r="R1429" s="10">
        <f>IFERROR(SUMIFS('Base bordo'!I$2:I$746,'Base bordo'!C$2:C$746,A1429,'Base bordo'!B$2:B$746,B1429,'Base bordo'!F$2:F$746,"DESLOCAMENTO VAZIO"),0)</f>
        <v>0</v>
      </c>
      <c r="S1429" s="30" t="str">
        <f t="shared" si="145"/>
        <v/>
      </c>
      <c r="T1429" s="10">
        <f>IFERROR(SUMIFS('Base bordo'!H$2:H$746,'Base bordo'!C$2:C$746,A1429,'Base bordo'!B$2:B$746,B1429,'Base bordo'!F$2:F$746,"DESLOCAMENTO CARREGADO"),0)</f>
        <v>0</v>
      </c>
      <c r="U1429" s="10">
        <f>IFERROR(SUMIFS('Base bordo'!I$2:I$746,'Base bordo'!C$2:C$746,A1429,'Base bordo'!B$2:B$746,B1429,'Base bordo'!F$2:F$746,"DESLOCAMENTO CARREGADO"),0)</f>
        <v>0</v>
      </c>
      <c r="V1429" s="30" t="str">
        <f t="shared" si="146"/>
        <v/>
      </c>
      <c r="W1429" s="9">
        <f t="shared" si="147"/>
        <v>0</v>
      </c>
      <c r="X1429" s="9">
        <f t="shared" si="148"/>
        <v>0</v>
      </c>
      <c r="Y1429" s="9">
        <f t="shared" si="149"/>
        <v>0</v>
      </c>
    </row>
    <row r="1430" spans="1:25" ht="15" customHeight="1" x14ac:dyDescent="0.35">
      <c r="A1430" s="52">
        <v>8013486</v>
      </c>
      <c r="B1430" s="51">
        <v>46122</v>
      </c>
      <c r="C1430" s="7" t="s">
        <v>124</v>
      </c>
      <c r="D1430" s="10">
        <f>IFERROR(SUMIFS('Base bordo'!G$2:G$746,'Base bordo'!C$2:C$746,A1430,'Base bordo'!B$2:B$746,B1430,'Base bordo'!F$2:F$746,"DESLOCAMENTO VAZIO"),0)</f>
        <v>0</v>
      </c>
      <c r="E1430" s="10">
        <f>IFERROR(SUMIFS('Base bordo'!G$2:G$746,'Base bordo'!C$2:C$746,A1430,'Base bordo'!B$2:B$746,B1430,'Base bordo'!F$2:F$746,"DESLOCAMENTO CARREGADO"),0)</f>
        <v>0</v>
      </c>
      <c r="F1430" s="10">
        <f>IFERROR(SUMIFS('Base bordo'!G$2:G$746,'Base bordo'!C$2:C$746,A1430,'Base bordo'!B$2:B$746,B1430,'Base bordo'!F$2:F$746,"DESLOCAMENTO"),0)</f>
        <v>0</v>
      </c>
      <c r="G1430" s="10">
        <f>IFERROR(SUMIFS('Base bordo'!G$2:G$746,'Base bordo'!C$2:C$746,A1430,'Base bordo'!B$2:B$746,B1430,'Base bordo'!F$2:F$746,"CARREGAMENTO"),0)</f>
        <v>0</v>
      </c>
      <c r="H1430" s="10">
        <f>IFERROR(SUMIFS('Base bordo'!G$2:G$746,'Base bordo'!C$2:C$746,A1430,'Base bordo'!B$2:B$746,B1430,'Base bordo'!F$2:F$746,"AGUARDANDO TRANSBORDO"),0)</f>
        <v>0</v>
      </c>
      <c r="I1430" s="10">
        <f>IFERROR(SUMIFS('Base bordo'!G$2:G$746,'Base bordo'!C$2:C$746,A1430,'Base bordo'!B$2:B$746,B1430,'Base bordo'!F$2:F$746,"PÁTIO INTERNO"),0)+IFERROR(SUMIFS('Base bordo'!G$2:G$746,'Base bordo'!C$2:C$746,A1430,'Base bordo'!B$2:B$746,B1430,'Base bordo'!F$2:F$746,"PÁTIO EXTERNO"),0)+IFERROR(SUMIFS('Base bordo'!G$2:G$746,'Base bordo'!C$2:C$746,A1430,'Base bordo'!B$2:B$746,B1430,'Base bordo'!F$2:F$746,"PATIO - RESERVA"),0)+IFERROR(SUMIFS('Base bordo'!G$2:G$746,'Base bordo'!C$2:C$746,A1430,'Base bordo'!B$2:B$746,B1430,'Base bordo'!F$2:F$746,"MANOBRA CARRETAS-PATIO"),0)</f>
        <v>1.806111111111111</v>
      </c>
      <c r="J1430" s="10">
        <f>IFERROR(SUMIFS('Base bordo'!G$2:G$746,'Base bordo'!C$2:C$746,A1430,'Base bordo'!B$2:B$746,B1430,'Base bordo'!F$2:F$746,"BALANÇA - ENTRADA"),0)+IFERROR(SUMIFS('Base bordo'!G$2:G$746,'Base bordo'!C$2:C$746,A1430,'Base bordo'!B$2:B$746,B1430,'Base bordo'!F$2:F$746,"BALANÇA - SAÍDA"),0)</f>
        <v>0</v>
      </c>
      <c r="K1430" s="10">
        <f>IFERROR(SUMIFS('Base bordo'!G$2:G$746,'Base bordo'!C$2:C$746,A1430,'Base bordo'!B$2:B$746,B1430,'Base bordo'!F$2:F$746,"MAN PREVENTIVA - MECANICA"),0)+IFERROR(SUMIFS('Base bordo'!G$2:G$746,'Base bordo'!C$2:C$746,A1430,'Base bordo'!B$2:B$746,B1430,'Base bordo'!F$2:F$746,"MAN CORRETIVA - MECANICA"),0)</f>
        <v>0</v>
      </c>
      <c r="L1430" s="10">
        <f>IFERROR(SUMIFS('Base bordo'!G$2:G$746,'Base bordo'!C$2:C$746,A1430,'Base bordo'!B$2:B$746,B1430,'Base bordo'!F$2:F$746,"MANUTENCAO - T O"),0)+IFERROR(SUMIFS('Base bordo'!G$2:G$746,'Base bordo'!C$2:C$746,A1430,'Base bordo'!B$2:B$746,B1430,'Base bordo'!F$2:F$746,"MANUTENCAO BORRACHARIA"),0)+IFERROR(SUMIFS('Base bordo'!G$2:G$746,'Base bordo'!C$2:C$746,A1430,'Base bordo'!B$2:B$746,B1430,'Base bordo'!F$2:F$746,"MANUTENCAO EXTERNA  CONCESSIONARIA"),0)+IFERROR(SUMIFS('Base bordo'!G$2:G$746,'Base bordo'!C$2:C$746,A1430,'Base bordo'!B$2:B$746,B1430,'Base bordo'!F$2:F$746,"MANUTENCAO TELEMETRIA"),0)</f>
        <v>0</v>
      </c>
      <c r="M1430" s="10">
        <f>IFERROR(SUMIFS('Base bordo'!G$2:G$746,'Base bordo'!C$2:C$746,A1430,'Base bordo'!B$2:B$746,B1430,'Base bordo'!F$2:F$746,"AGUARDANDO MANUTENCAO"),0)</f>
        <v>0</v>
      </c>
      <c r="N1430" s="10">
        <f>IFERROR(SUMIFS('Base bordo'!G$2:G$746,'Base bordo'!C$2:C$746,A1430,'Base bordo'!B$2:B$746,B1430,'Base bordo'!F$2:F$746,"SEM APONTAMENTO"),0)</f>
        <v>0</v>
      </c>
      <c r="O1430" s="10">
        <f t="shared" si="144"/>
        <v>0</v>
      </c>
      <c r="P1430" s="10">
        <f>IFERROR(SUMIFS('Base bordo'!G$2:G$746,'Base bordo'!C$2:C$746,A1430,'Base bordo'!B$2:B$746,B1430),0)</f>
        <v>1.806111111111111</v>
      </c>
      <c r="Q1430" s="10">
        <f>IFERROR(SUMIFS('Base bordo'!H$2:H$746,'Base bordo'!C$2:C$746,A1430,'Base bordo'!B$2:B$746,B1430,'Base bordo'!F$2:F$746,"DESLOCAMENTO VAZIO"),0)</f>
        <v>0</v>
      </c>
      <c r="R1430" s="10">
        <f>IFERROR(SUMIFS('Base bordo'!I$2:I$746,'Base bordo'!C$2:C$746,A1430,'Base bordo'!B$2:B$746,B1430,'Base bordo'!F$2:F$746,"DESLOCAMENTO VAZIO"),0)</f>
        <v>0</v>
      </c>
      <c r="S1430" s="30" t="str">
        <f t="shared" si="145"/>
        <v/>
      </c>
      <c r="T1430" s="10">
        <f>IFERROR(SUMIFS('Base bordo'!H$2:H$746,'Base bordo'!C$2:C$746,A1430,'Base bordo'!B$2:B$746,B1430,'Base bordo'!F$2:F$746,"DESLOCAMENTO CARREGADO"),0)</f>
        <v>0</v>
      </c>
      <c r="U1430" s="10">
        <f>IFERROR(SUMIFS('Base bordo'!I$2:I$746,'Base bordo'!C$2:C$746,A1430,'Base bordo'!B$2:B$746,B1430,'Base bordo'!F$2:F$746,"DESLOCAMENTO CARREGADO"),0)</f>
        <v>0</v>
      </c>
      <c r="V1430" s="30" t="str">
        <f t="shared" si="146"/>
        <v/>
      </c>
      <c r="W1430" s="9">
        <f t="shared" si="147"/>
        <v>0</v>
      </c>
      <c r="X1430" s="9">
        <f t="shared" si="148"/>
        <v>0</v>
      </c>
      <c r="Y1430" s="9">
        <f t="shared" si="149"/>
        <v>1</v>
      </c>
    </row>
    <row r="1431" spans="1:25" ht="15" customHeight="1" x14ac:dyDescent="0.35">
      <c r="A1431" s="52">
        <v>8013461</v>
      </c>
      <c r="B1431" s="51">
        <v>46123</v>
      </c>
      <c r="C1431" s="7" t="s">
        <v>124</v>
      </c>
      <c r="D1431" s="10">
        <f>IFERROR(SUMIFS('Base bordo'!G$2:G$746,'Base bordo'!C$2:C$746,A1431,'Base bordo'!B$2:B$746,B1431,'Base bordo'!F$2:F$746,"DESLOCAMENTO VAZIO"),0)</f>
        <v>0</v>
      </c>
      <c r="E1431" s="10">
        <f>IFERROR(SUMIFS('Base bordo'!G$2:G$746,'Base bordo'!C$2:C$746,A1431,'Base bordo'!B$2:B$746,B1431,'Base bordo'!F$2:F$746,"DESLOCAMENTO CARREGADO"),0)</f>
        <v>0</v>
      </c>
      <c r="F1431" s="10">
        <f>IFERROR(SUMIFS('Base bordo'!G$2:G$746,'Base bordo'!C$2:C$746,A1431,'Base bordo'!B$2:B$746,B1431,'Base bordo'!F$2:F$746,"DESLOCAMENTO"),0)</f>
        <v>0</v>
      </c>
      <c r="G1431" s="10">
        <f>IFERROR(SUMIFS('Base bordo'!G$2:G$746,'Base bordo'!C$2:C$746,A1431,'Base bordo'!B$2:B$746,B1431,'Base bordo'!F$2:F$746,"CARREGAMENTO"),0)</f>
        <v>0</v>
      </c>
      <c r="H1431" s="10">
        <f>IFERROR(SUMIFS('Base bordo'!G$2:G$746,'Base bordo'!C$2:C$746,A1431,'Base bordo'!B$2:B$746,B1431,'Base bordo'!F$2:F$746,"AGUARDANDO TRANSBORDO"),0)</f>
        <v>0</v>
      </c>
      <c r="I1431" s="10">
        <f>IFERROR(SUMIFS('Base bordo'!G$2:G$746,'Base bordo'!C$2:C$746,A1431,'Base bordo'!B$2:B$746,B1431,'Base bordo'!F$2:F$746,"PÁTIO INTERNO"),0)+IFERROR(SUMIFS('Base bordo'!G$2:G$746,'Base bordo'!C$2:C$746,A1431,'Base bordo'!B$2:B$746,B1431,'Base bordo'!F$2:F$746,"PÁTIO EXTERNO"),0)+IFERROR(SUMIFS('Base bordo'!G$2:G$746,'Base bordo'!C$2:C$746,A1431,'Base bordo'!B$2:B$746,B1431,'Base bordo'!F$2:F$746,"PATIO - RESERVA"),0)+IFERROR(SUMIFS('Base bordo'!G$2:G$746,'Base bordo'!C$2:C$746,A1431,'Base bordo'!B$2:B$746,B1431,'Base bordo'!F$2:F$746,"MANOBRA CARRETAS-PATIO"),0)</f>
        <v>0</v>
      </c>
      <c r="J1431" s="10">
        <f>IFERROR(SUMIFS('Base bordo'!G$2:G$746,'Base bordo'!C$2:C$746,A1431,'Base bordo'!B$2:B$746,B1431,'Base bordo'!F$2:F$746,"BALANÇA - ENTRADA"),0)+IFERROR(SUMIFS('Base bordo'!G$2:G$746,'Base bordo'!C$2:C$746,A1431,'Base bordo'!B$2:B$746,B1431,'Base bordo'!F$2:F$746,"BALANÇA - SAÍDA"),0)</f>
        <v>0</v>
      </c>
      <c r="K1431" s="10">
        <f>IFERROR(SUMIFS('Base bordo'!G$2:G$746,'Base bordo'!C$2:C$746,A1431,'Base bordo'!B$2:B$746,B1431,'Base bordo'!F$2:F$746,"MAN PREVENTIVA - MECANICA"),0)+IFERROR(SUMIFS('Base bordo'!G$2:G$746,'Base bordo'!C$2:C$746,A1431,'Base bordo'!B$2:B$746,B1431,'Base bordo'!F$2:F$746,"MAN CORRETIVA - MECANICA"),0)</f>
        <v>0</v>
      </c>
      <c r="L1431" s="10">
        <f>IFERROR(SUMIFS('Base bordo'!G$2:G$746,'Base bordo'!C$2:C$746,A1431,'Base bordo'!B$2:B$746,B1431,'Base bordo'!F$2:F$746,"MANUTENCAO - T O"),0)+IFERROR(SUMIFS('Base bordo'!G$2:G$746,'Base bordo'!C$2:C$746,A1431,'Base bordo'!B$2:B$746,B1431,'Base bordo'!F$2:F$746,"MANUTENCAO BORRACHARIA"),0)+IFERROR(SUMIFS('Base bordo'!G$2:G$746,'Base bordo'!C$2:C$746,A1431,'Base bordo'!B$2:B$746,B1431,'Base bordo'!F$2:F$746,"MANUTENCAO EXTERNA  CONCESSIONARIA"),0)+IFERROR(SUMIFS('Base bordo'!G$2:G$746,'Base bordo'!C$2:C$746,A1431,'Base bordo'!B$2:B$746,B1431,'Base bordo'!F$2:F$746,"MANUTENCAO TELEMETRIA"),0)</f>
        <v>0</v>
      </c>
      <c r="M1431" s="10">
        <f>IFERROR(SUMIFS('Base bordo'!G$2:G$746,'Base bordo'!C$2:C$746,A1431,'Base bordo'!B$2:B$746,B1431,'Base bordo'!F$2:F$746,"AGUARDANDO MANUTENCAO"),0)</f>
        <v>0</v>
      </c>
      <c r="N1431" s="10">
        <f>IFERROR(SUMIFS('Base bordo'!G$2:G$746,'Base bordo'!C$2:C$746,A1431,'Base bordo'!B$2:B$746,B1431,'Base bordo'!F$2:F$746,"SEM APONTAMENTO"),0)</f>
        <v>0</v>
      </c>
      <c r="O1431" s="10">
        <f t="shared" si="144"/>
        <v>0</v>
      </c>
      <c r="P1431" s="10">
        <f>IFERROR(SUMIFS('Base bordo'!G$2:G$746,'Base bordo'!C$2:C$746,A1431,'Base bordo'!B$2:B$746,B1431),0)</f>
        <v>0</v>
      </c>
      <c r="Q1431" s="10">
        <f>IFERROR(SUMIFS('Base bordo'!H$2:H$746,'Base bordo'!C$2:C$746,A1431,'Base bordo'!B$2:B$746,B1431,'Base bordo'!F$2:F$746,"DESLOCAMENTO VAZIO"),0)</f>
        <v>0</v>
      </c>
      <c r="R1431" s="10">
        <f>IFERROR(SUMIFS('Base bordo'!I$2:I$746,'Base bordo'!C$2:C$746,A1431,'Base bordo'!B$2:B$746,B1431,'Base bordo'!F$2:F$746,"DESLOCAMENTO VAZIO"),0)</f>
        <v>0</v>
      </c>
      <c r="S1431" s="30" t="str">
        <f t="shared" si="145"/>
        <v/>
      </c>
      <c r="T1431" s="10">
        <f>IFERROR(SUMIFS('Base bordo'!H$2:H$746,'Base bordo'!C$2:C$746,A1431,'Base bordo'!B$2:B$746,B1431,'Base bordo'!F$2:F$746,"DESLOCAMENTO CARREGADO"),0)</f>
        <v>0</v>
      </c>
      <c r="U1431" s="10">
        <f>IFERROR(SUMIFS('Base bordo'!I$2:I$746,'Base bordo'!C$2:C$746,A1431,'Base bordo'!B$2:B$746,B1431,'Base bordo'!F$2:F$746,"DESLOCAMENTO CARREGADO"),0)</f>
        <v>0</v>
      </c>
      <c r="V1431" s="30" t="str">
        <f t="shared" si="146"/>
        <v/>
      </c>
      <c r="W1431" s="9">
        <f t="shared" si="147"/>
        <v>0</v>
      </c>
      <c r="X1431" s="9">
        <f t="shared" si="148"/>
        <v>0</v>
      </c>
      <c r="Y1431" s="9">
        <f t="shared" si="149"/>
        <v>0</v>
      </c>
    </row>
    <row r="1432" spans="1:25" ht="15" customHeight="1" x14ac:dyDescent="0.35">
      <c r="A1432" s="52">
        <v>8013474</v>
      </c>
      <c r="B1432" s="51">
        <v>46123</v>
      </c>
      <c r="C1432" s="7" t="s">
        <v>124</v>
      </c>
      <c r="D1432" s="10">
        <f>IFERROR(SUMIFS('Base bordo'!G$2:G$746,'Base bordo'!C$2:C$746,A1432,'Base bordo'!B$2:B$746,B1432,'Base bordo'!F$2:F$746,"DESLOCAMENTO VAZIO"),0)</f>
        <v>0</v>
      </c>
      <c r="E1432" s="10">
        <f>IFERROR(SUMIFS('Base bordo'!G$2:G$746,'Base bordo'!C$2:C$746,A1432,'Base bordo'!B$2:B$746,B1432,'Base bordo'!F$2:F$746,"DESLOCAMENTO CARREGADO"),0)</f>
        <v>0</v>
      </c>
      <c r="F1432" s="10">
        <f>IFERROR(SUMIFS('Base bordo'!G$2:G$746,'Base bordo'!C$2:C$746,A1432,'Base bordo'!B$2:B$746,B1432,'Base bordo'!F$2:F$746,"DESLOCAMENTO"),0)</f>
        <v>0</v>
      </c>
      <c r="G1432" s="10">
        <f>IFERROR(SUMIFS('Base bordo'!G$2:G$746,'Base bordo'!C$2:C$746,A1432,'Base bordo'!B$2:B$746,B1432,'Base bordo'!F$2:F$746,"CARREGAMENTO"),0)</f>
        <v>0</v>
      </c>
      <c r="H1432" s="10">
        <f>IFERROR(SUMIFS('Base bordo'!G$2:G$746,'Base bordo'!C$2:C$746,A1432,'Base bordo'!B$2:B$746,B1432,'Base bordo'!F$2:F$746,"AGUARDANDO TRANSBORDO"),0)</f>
        <v>0</v>
      </c>
      <c r="I1432" s="10">
        <f>IFERROR(SUMIFS('Base bordo'!G$2:G$746,'Base bordo'!C$2:C$746,A1432,'Base bordo'!B$2:B$746,B1432,'Base bordo'!F$2:F$746,"PÁTIO INTERNO"),0)+IFERROR(SUMIFS('Base bordo'!G$2:G$746,'Base bordo'!C$2:C$746,A1432,'Base bordo'!B$2:B$746,B1432,'Base bordo'!F$2:F$746,"PÁTIO EXTERNO"),0)+IFERROR(SUMIFS('Base bordo'!G$2:G$746,'Base bordo'!C$2:C$746,A1432,'Base bordo'!B$2:B$746,B1432,'Base bordo'!F$2:F$746,"PATIO - RESERVA"),0)+IFERROR(SUMIFS('Base bordo'!G$2:G$746,'Base bordo'!C$2:C$746,A1432,'Base bordo'!B$2:B$746,B1432,'Base bordo'!F$2:F$746,"MANOBRA CARRETAS-PATIO"),0)</f>
        <v>0</v>
      </c>
      <c r="J1432" s="10">
        <f>IFERROR(SUMIFS('Base bordo'!G$2:G$746,'Base bordo'!C$2:C$746,A1432,'Base bordo'!B$2:B$746,B1432,'Base bordo'!F$2:F$746,"BALANÇA - ENTRADA"),0)+IFERROR(SUMIFS('Base bordo'!G$2:G$746,'Base bordo'!C$2:C$746,A1432,'Base bordo'!B$2:B$746,B1432,'Base bordo'!F$2:F$746,"BALANÇA - SAÍDA"),0)</f>
        <v>0</v>
      </c>
      <c r="K1432" s="10">
        <f>IFERROR(SUMIFS('Base bordo'!G$2:G$746,'Base bordo'!C$2:C$746,A1432,'Base bordo'!B$2:B$746,B1432,'Base bordo'!F$2:F$746,"MAN PREVENTIVA - MECANICA"),0)+IFERROR(SUMIFS('Base bordo'!G$2:G$746,'Base bordo'!C$2:C$746,A1432,'Base bordo'!B$2:B$746,B1432,'Base bordo'!F$2:F$746,"MAN CORRETIVA - MECANICA"),0)</f>
        <v>0</v>
      </c>
      <c r="L1432" s="10">
        <f>IFERROR(SUMIFS('Base bordo'!G$2:G$746,'Base bordo'!C$2:C$746,A1432,'Base bordo'!B$2:B$746,B1432,'Base bordo'!F$2:F$746,"MANUTENCAO - T O"),0)+IFERROR(SUMIFS('Base bordo'!G$2:G$746,'Base bordo'!C$2:C$746,A1432,'Base bordo'!B$2:B$746,B1432,'Base bordo'!F$2:F$746,"MANUTENCAO BORRACHARIA"),0)+IFERROR(SUMIFS('Base bordo'!G$2:G$746,'Base bordo'!C$2:C$746,A1432,'Base bordo'!B$2:B$746,B1432,'Base bordo'!F$2:F$746,"MANUTENCAO EXTERNA  CONCESSIONARIA"),0)+IFERROR(SUMIFS('Base bordo'!G$2:G$746,'Base bordo'!C$2:C$746,A1432,'Base bordo'!B$2:B$746,B1432,'Base bordo'!F$2:F$746,"MANUTENCAO TELEMETRIA"),0)</f>
        <v>0</v>
      </c>
      <c r="M1432" s="10">
        <f>IFERROR(SUMIFS('Base bordo'!G$2:G$746,'Base bordo'!C$2:C$746,A1432,'Base bordo'!B$2:B$746,B1432,'Base bordo'!F$2:F$746,"AGUARDANDO MANUTENCAO"),0)</f>
        <v>0</v>
      </c>
      <c r="N1432" s="10">
        <f>IFERROR(SUMIFS('Base bordo'!G$2:G$746,'Base bordo'!C$2:C$746,A1432,'Base bordo'!B$2:B$746,B1432,'Base bordo'!F$2:F$746,"SEM APONTAMENTO"),0)</f>
        <v>0</v>
      </c>
      <c r="O1432" s="10">
        <f t="shared" si="144"/>
        <v>0</v>
      </c>
      <c r="P1432" s="10">
        <f>IFERROR(SUMIFS('Base bordo'!G$2:G$746,'Base bordo'!C$2:C$746,A1432,'Base bordo'!B$2:B$746,B1432),0)</f>
        <v>0</v>
      </c>
      <c r="Q1432" s="10">
        <f>IFERROR(SUMIFS('Base bordo'!H$2:H$746,'Base bordo'!C$2:C$746,A1432,'Base bordo'!B$2:B$746,B1432,'Base bordo'!F$2:F$746,"DESLOCAMENTO VAZIO"),0)</f>
        <v>0</v>
      </c>
      <c r="R1432" s="10">
        <f>IFERROR(SUMIFS('Base bordo'!I$2:I$746,'Base bordo'!C$2:C$746,A1432,'Base bordo'!B$2:B$746,B1432,'Base bordo'!F$2:F$746,"DESLOCAMENTO VAZIO"),0)</f>
        <v>0</v>
      </c>
      <c r="S1432" s="30" t="str">
        <f t="shared" si="145"/>
        <v/>
      </c>
      <c r="T1432" s="10">
        <f>IFERROR(SUMIFS('Base bordo'!H$2:H$746,'Base bordo'!C$2:C$746,A1432,'Base bordo'!B$2:B$746,B1432,'Base bordo'!F$2:F$746,"DESLOCAMENTO CARREGADO"),0)</f>
        <v>0</v>
      </c>
      <c r="U1432" s="10">
        <f>IFERROR(SUMIFS('Base bordo'!I$2:I$746,'Base bordo'!C$2:C$746,A1432,'Base bordo'!B$2:B$746,B1432,'Base bordo'!F$2:F$746,"DESLOCAMENTO CARREGADO"),0)</f>
        <v>0</v>
      </c>
      <c r="V1432" s="30" t="str">
        <f t="shared" si="146"/>
        <v/>
      </c>
      <c r="W1432" s="9">
        <f t="shared" si="147"/>
        <v>0</v>
      </c>
      <c r="X1432" s="9">
        <f t="shared" si="148"/>
        <v>0</v>
      </c>
      <c r="Y1432" s="9">
        <f t="shared" si="149"/>
        <v>0</v>
      </c>
    </row>
    <row r="1433" spans="1:25" ht="15" customHeight="1" x14ac:dyDescent="0.35">
      <c r="A1433" s="52">
        <v>8013481</v>
      </c>
      <c r="B1433" s="51">
        <v>46123</v>
      </c>
      <c r="C1433" s="7" t="s">
        <v>124</v>
      </c>
      <c r="D1433" s="10">
        <f>IFERROR(SUMIFS('Base bordo'!G$2:G$746,'Base bordo'!C$2:C$746,A1433,'Base bordo'!B$2:B$746,B1433,'Base bordo'!F$2:F$746,"DESLOCAMENTO VAZIO"),0)</f>
        <v>0.49583333333333335</v>
      </c>
      <c r="E1433" s="10">
        <f>IFERROR(SUMIFS('Base bordo'!G$2:G$746,'Base bordo'!C$2:C$746,A1433,'Base bordo'!B$2:B$746,B1433,'Base bordo'!F$2:F$746,"DESLOCAMENTO CARREGADO"),0)</f>
        <v>0.5872222222222222</v>
      </c>
      <c r="F1433" s="10">
        <f>IFERROR(SUMIFS('Base bordo'!G$2:G$746,'Base bordo'!C$2:C$746,A1433,'Base bordo'!B$2:B$746,B1433,'Base bordo'!F$2:F$746,"DESLOCAMENTO"),0)</f>
        <v>0</v>
      </c>
      <c r="G1433" s="10">
        <f>IFERROR(SUMIFS('Base bordo'!G$2:G$746,'Base bordo'!C$2:C$746,A1433,'Base bordo'!B$2:B$746,B1433,'Base bordo'!F$2:F$746,"CARREGAMENTO"),0)</f>
        <v>0</v>
      </c>
      <c r="H1433" s="10">
        <f>IFERROR(SUMIFS('Base bordo'!G$2:G$746,'Base bordo'!C$2:C$746,A1433,'Base bordo'!B$2:B$746,B1433,'Base bordo'!F$2:F$746,"AGUARDANDO TRANSBORDO"),0)</f>
        <v>0.16916666666666666</v>
      </c>
      <c r="I1433" s="10">
        <f>IFERROR(SUMIFS('Base bordo'!G$2:G$746,'Base bordo'!C$2:C$746,A1433,'Base bordo'!B$2:B$746,B1433,'Base bordo'!F$2:F$746,"PÁTIO INTERNO"),0)+IFERROR(SUMIFS('Base bordo'!G$2:G$746,'Base bordo'!C$2:C$746,A1433,'Base bordo'!B$2:B$746,B1433,'Base bordo'!F$2:F$746,"PÁTIO EXTERNO"),0)+IFERROR(SUMIFS('Base bordo'!G$2:G$746,'Base bordo'!C$2:C$746,A1433,'Base bordo'!B$2:B$746,B1433,'Base bordo'!F$2:F$746,"PATIO - RESERVA"),0)+IFERROR(SUMIFS('Base bordo'!G$2:G$746,'Base bordo'!C$2:C$746,A1433,'Base bordo'!B$2:B$746,B1433,'Base bordo'!F$2:F$746,"MANOBRA CARRETAS-PATIO"),0)</f>
        <v>2.4105555555555553</v>
      </c>
      <c r="J1433" s="10">
        <f>IFERROR(SUMIFS('Base bordo'!G$2:G$746,'Base bordo'!C$2:C$746,A1433,'Base bordo'!B$2:B$746,B1433,'Base bordo'!F$2:F$746,"BALANÇA - ENTRADA"),0)+IFERROR(SUMIFS('Base bordo'!G$2:G$746,'Base bordo'!C$2:C$746,A1433,'Base bordo'!B$2:B$746,B1433,'Base bordo'!F$2:F$746,"BALANÇA - SAÍDA"),0)</f>
        <v>0</v>
      </c>
      <c r="K1433" s="10">
        <f>IFERROR(SUMIFS('Base bordo'!G$2:G$746,'Base bordo'!C$2:C$746,A1433,'Base bordo'!B$2:B$746,B1433,'Base bordo'!F$2:F$746,"MAN PREVENTIVA - MECANICA"),0)+IFERROR(SUMIFS('Base bordo'!G$2:G$746,'Base bordo'!C$2:C$746,A1433,'Base bordo'!B$2:B$746,B1433,'Base bordo'!F$2:F$746,"MAN CORRETIVA - MECANICA"),0)</f>
        <v>0</v>
      </c>
      <c r="L1433" s="10">
        <f>IFERROR(SUMIFS('Base bordo'!G$2:G$746,'Base bordo'!C$2:C$746,A1433,'Base bordo'!B$2:B$746,B1433,'Base bordo'!F$2:F$746,"MANUTENCAO - T O"),0)+IFERROR(SUMIFS('Base bordo'!G$2:G$746,'Base bordo'!C$2:C$746,A1433,'Base bordo'!B$2:B$746,B1433,'Base bordo'!F$2:F$746,"MANUTENCAO BORRACHARIA"),0)+IFERROR(SUMIFS('Base bordo'!G$2:G$746,'Base bordo'!C$2:C$746,A1433,'Base bordo'!B$2:B$746,B1433,'Base bordo'!F$2:F$746,"MANUTENCAO EXTERNA  CONCESSIONARIA"),0)+IFERROR(SUMIFS('Base bordo'!G$2:G$746,'Base bordo'!C$2:C$746,A1433,'Base bordo'!B$2:B$746,B1433,'Base bordo'!F$2:F$746,"MANUTENCAO TELEMETRIA"),0)</f>
        <v>0</v>
      </c>
      <c r="M1433" s="10">
        <f>IFERROR(SUMIFS('Base bordo'!G$2:G$746,'Base bordo'!C$2:C$746,A1433,'Base bordo'!B$2:B$746,B1433,'Base bordo'!F$2:F$746,"AGUARDANDO MANUTENCAO"),0)</f>
        <v>0</v>
      </c>
      <c r="N1433" s="10">
        <f>IFERROR(SUMIFS('Base bordo'!G$2:G$746,'Base bordo'!C$2:C$746,A1433,'Base bordo'!B$2:B$746,B1433,'Base bordo'!F$2:F$746,"SEM APONTAMENTO"),0)</f>
        <v>0</v>
      </c>
      <c r="O1433" s="10">
        <f t="shared" si="144"/>
        <v>5.833333333333357E-3</v>
      </c>
      <c r="P1433" s="10">
        <f>IFERROR(SUMIFS('Base bordo'!G$2:G$746,'Base bordo'!C$2:C$746,A1433,'Base bordo'!B$2:B$746,B1433),0)</f>
        <v>3.6686111111111108</v>
      </c>
      <c r="Q1433" s="10">
        <f>IFERROR(SUMIFS('Base bordo'!H$2:H$746,'Base bordo'!C$2:C$746,A1433,'Base bordo'!B$2:B$746,B1433,'Base bordo'!F$2:F$746,"DESLOCAMENTO VAZIO"),0)</f>
        <v>49686.55</v>
      </c>
      <c r="R1433" s="10">
        <f>IFERROR(SUMIFS('Base bordo'!I$2:I$746,'Base bordo'!C$2:C$746,A1433,'Base bordo'!B$2:B$746,B1433,'Base bordo'!F$2:F$746,"DESLOCAMENTO VAZIO"),0)</f>
        <v>1785</v>
      </c>
      <c r="S1433" s="30">
        <f t="shared" si="145"/>
        <v>27.83560224089636</v>
      </c>
      <c r="T1433" s="10">
        <f>IFERROR(SUMIFS('Base bordo'!H$2:H$746,'Base bordo'!C$2:C$746,A1433,'Base bordo'!B$2:B$746,B1433,'Base bordo'!F$2:F$746,"DESLOCAMENTO CARREGADO"),0)</f>
        <v>40544.140000000007</v>
      </c>
      <c r="U1433" s="10">
        <f>IFERROR(SUMIFS('Base bordo'!I$2:I$746,'Base bordo'!C$2:C$746,A1433,'Base bordo'!B$2:B$746,B1433,'Base bordo'!F$2:F$746,"DESLOCAMENTO CARREGADO"),0)</f>
        <v>2114</v>
      </c>
      <c r="V1433" s="30">
        <f t="shared" si="146"/>
        <v>19.178874172185434</v>
      </c>
      <c r="W1433" s="9">
        <f t="shared" si="147"/>
        <v>0.13515559930339974</v>
      </c>
      <c r="X1433" s="9">
        <f t="shared" si="148"/>
        <v>0.16006663133186946</v>
      </c>
      <c r="Y1433" s="9">
        <f t="shared" si="149"/>
        <v>0.7047777693647308</v>
      </c>
    </row>
    <row r="1434" spans="1:25" ht="15" customHeight="1" x14ac:dyDescent="0.35">
      <c r="A1434" s="52">
        <v>8013486</v>
      </c>
      <c r="B1434" s="51">
        <v>46123</v>
      </c>
      <c r="C1434" s="7" t="s">
        <v>124</v>
      </c>
      <c r="D1434" s="10">
        <f>IFERROR(SUMIFS('Base bordo'!G$2:G$746,'Base bordo'!C$2:C$746,A1434,'Base bordo'!B$2:B$746,B1434,'Base bordo'!F$2:F$746,"DESLOCAMENTO VAZIO"),0)</f>
        <v>0</v>
      </c>
      <c r="E1434" s="10">
        <f>IFERROR(SUMIFS('Base bordo'!G$2:G$746,'Base bordo'!C$2:C$746,A1434,'Base bordo'!B$2:B$746,B1434,'Base bordo'!F$2:F$746,"DESLOCAMENTO CARREGADO"),0)</f>
        <v>0</v>
      </c>
      <c r="F1434" s="10">
        <f>IFERROR(SUMIFS('Base bordo'!G$2:G$746,'Base bordo'!C$2:C$746,A1434,'Base bordo'!B$2:B$746,B1434,'Base bordo'!F$2:F$746,"DESLOCAMENTO"),0)</f>
        <v>0</v>
      </c>
      <c r="G1434" s="10">
        <f>IFERROR(SUMIFS('Base bordo'!G$2:G$746,'Base bordo'!C$2:C$746,A1434,'Base bordo'!B$2:B$746,B1434,'Base bordo'!F$2:F$746,"CARREGAMENTO"),0)</f>
        <v>0</v>
      </c>
      <c r="H1434" s="10">
        <f>IFERROR(SUMIFS('Base bordo'!G$2:G$746,'Base bordo'!C$2:C$746,A1434,'Base bordo'!B$2:B$746,B1434,'Base bordo'!F$2:F$746,"AGUARDANDO TRANSBORDO"),0)</f>
        <v>0</v>
      </c>
      <c r="I1434" s="10">
        <f>IFERROR(SUMIFS('Base bordo'!G$2:G$746,'Base bordo'!C$2:C$746,A1434,'Base bordo'!B$2:B$746,B1434,'Base bordo'!F$2:F$746,"PÁTIO INTERNO"),0)+IFERROR(SUMIFS('Base bordo'!G$2:G$746,'Base bordo'!C$2:C$746,A1434,'Base bordo'!B$2:B$746,B1434,'Base bordo'!F$2:F$746,"PÁTIO EXTERNO"),0)+IFERROR(SUMIFS('Base bordo'!G$2:G$746,'Base bordo'!C$2:C$746,A1434,'Base bordo'!B$2:B$746,B1434,'Base bordo'!F$2:F$746,"PATIO - RESERVA"),0)+IFERROR(SUMIFS('Base bordo'!G$2:G$746,'Base bordo'!C$2:C$746,A1434,'Base bordo'!B$2:B$746,B1434,'Base bordo'!F$2:F$746,"MANOBRA CARRETAS-PATIO"),0)</f>
        <v>0</v>
      </c>
      <c r="J1434" s="10">
        <f>IFERROR(SUMIFS('Base bordo'!G$2:G$746,'Base bordo'!C$2:C$746,A1434,'Base bordo'!B$2:B$746,B1434,'Base bordo'!F$2:F$746,"BALANÇA - ENTRADA"),0)+IFERROR(SUMIFS('Base bordo'!G$2:G$746,'Base bordo'!C$2:C$746,A1434,'Base bordo'!B$2:B$746,B1434,'Base bordo'!F$2:F$746,"BALANÇA - SAÍDA"),0)</f>
        <v>0</v>
      </c>
      <c r="K1434" s="10">
        <f>IFERROR(SUMIFS('Base bordo'!G$2:G$746,'Base bordo'!C$2:C$746,A1434,'Base bordo'!B$2:B$746,B1434,'Base bordo'!F$2:F$746,"MAN PREVENTIVA - MECANICA"),0)+IFERROR(SUMIFS('Base bordo'!G$2:G$746,'Base bordo'!C$2:C$746,A1434,'Base bordo'!B$2:B$746,B1434,'Base bordo'!F$2:F$746,"MAN CORRETIVA - MECANICA"),0)</f>
        <v>0</v>
      </c>
      <c r="L1434" s="10">
        <f>IFERROR(SUMIFS('Base bordo'!G$2:G$746,'Base bordo'!C$2:C$746,A1434,'Base bordo'!B$2:B$746,B1434,'Base bordo'!F$2:F$746,"MANUTENCAO - T O"),0)+IFERROR(SUMIFS('Base bordo'!G$2:G$746,'Base bordo'!C$2:C$746,A1434,'Base bordo'!B$2:B$746,B1434,'Base bordo'!F$2:F$746,"MANUTENCAO BORRACHARIA"),0)+IFERROR(SUMIFS('Base bordo'!G$2:G$746,'Base bordo'!C$2:C$746,A1434,'Base bordo'!B$2:B$746,B1434,'Base bordo'!F$2:F$746,"MANUTENCAO EXTERNA  CONCESSIONARIA"),0)+IFERROR(SUMIFS('Base bordo'!G$2:G$746,'Base bordo'!C$2:C$746,A1434,'Base bordo'!B$2:B$746,B1434,'Base bordo'!F$2:F$746,"MANUTENCAO TELEMETRIA"),0)</f>
        <v>0</v>
      </c>
      <c r="M1434" s="10">
        <f>IFERROR(SUMIFS('Base bordo'!G$2:G$746,'Base bordo'!C$2:C$746,A1434,'Base bordo'!B$2:B$746,B1434,'Base bordo'!F$2:F$746,"AGUARDANDO MANUTENCAO"),0)</f>
        <v>0</v>
      </c>
      <c r="N1434" s="10">
        <f>IFERROR(SUMIFS('Base bordo'!G$2:G$746,'Base bordo'!C$2:C$746,A1434,'Base bordo'!B$2:B$746,B1434,'Base bordo'!F$2:F$746,"SEM APONTAMENTO"),0)</f>
        <v>0</v>
      </c>
      <c r="O1434" s="10">
        <f t="shared" si="144"/>
        <v>0</v>
      </c>
      <c r="P1434" s="10">
        <f>IFERROR(SUMIFS('Base bordo'!G$2:G$746,'Base bordo'!C$2:C$746,A1434,'Base bordo'!B$2:B$746,B1434),0)</f>
        <v>0</v>
      </c>
      <c r="Q1434" s="10">
        <f>IFERROR(SUMIFS('Base bordo'!H$2:H$746,'Base bordo'!C$2:C$746,A1434,'Base bordo'!B$2:B$746,B1434,'Base bordo'!F$2:F$746,"DESLOCAMENTO VAZIO"),0)</f>
        <v>0</v>
      </c>
      <c r="R1434" s="10">
        <f>IFERROR(SUMIFS('Base bordo'!I$2:I$746,'Base bordo'!C$2:C$746,A1434,'Base bordo'!B$2:B$746,B1434,'Base bordo'!F$2:F$746,"DESLOCAMENTO VAZIO"),0)</f>
        <v>0</v>
      </c>
      <c r="S1434" s="30" t="str">
        <f t="shared" si="145"/>
        <v/>
      </c>
      <c r="T1434" s="10">
        <f>IFERROR(SUMIFS('Base bordo'!H$2:H$746,'Base bordo'!C$2:C$746,A1434,'Base bordo'!B$2:B$746,B1434,'Base bordo'!F$2:F$746,"DESLOCAMENTO CARREGADO"),0)</f>
        <v>0</v>
      </c>
      <c r="U1434" s="10">
        <f>IFERROR(SUMIFS('Base bordo'!I$2:I$746,'Base bordo'!C$2:C$746,A1434,'Base bordo'!B$2:B$746,B1434,'Base bordo'!F$2:F$746,"DESLOCAMENTO CARREGADO"),0)</f>
        <v>0</v>
      </c>
      <c r="V1434" s="30" t="str">
        <f t="shared" si="146"/>
        <v/>
      </c>
      <c r="W1434" s="9">
        <f t="shared" si="147"/>
        <v>0</v>
      </c>
      <c r="X1434" s="9">
        <f t="shared" si="148"/>
        <v>0</v>
      </c>
      <c r="Y1434" s="9">
        <f t="shared" si="149"/>
        <v>0</v>
      </c>
    </row>
    <row r="1435" spans="1:25" ht="15" customHeight="1" x14ac:dyDescent="0.35">
      <c r="A1435" s="52">
        <v>8013486</v>
      </c>
      <c r="B1435" s="51">
        <v>46123</v>
      </c>
      <c r="C1435" s="7" t="s">
        <v>124</v>
      </c>
      <c r="D1435" s="10">
        <f>IFERROR(SUMIFS('Base bordo'!G$2:G$746,'Base bordo'!C$2:C$746,A1435,'Base bordo'!B$2:B$746,B1435,'Base bordo'!F$2:F$746,"DESLOCAMENTO VAZIO"),0)</f>
        <v>0</v>
      </c>
      <c r="E1435" s="10">
        <f>IFERROR(SUMIFS('Base bordo'!G$2:G$746,'Base bordo'!C$2:C$746,A1435,'Base bordo'!B$2:B$746,B1435,'Base bordo'!F$2:F$746,"DESLOCAMENTO CARREGADO"),0)</f>
        <v>0</v>
      </c>
      <c r="F1435" s="10">
        <f>IFERROR(SUMIFS('Base bordo'!G$2:G$746,'Base bordo'!C$2:C$746,A1435,'Base bordo'!B$2:B$746,B1435,'Base bordo'!F$2:F$746,"DESLOCAMENTO"),0)</f>
        <v>0</v>
      </c>
      <c r="G1435" s="10">
        <f>IFERROR(SUMIFS('Base bordo'!G$2:G$746,'Base bordo'!C$2:C$746,A1435,'Base bordo'!B$2:B$746,B1435,'Base bordo'!F$2:F$746,"CARREGAMENTO"),0)</f>
        <v>0</v>
      </c>
      <c r="H1435" s="10">
        <f>IFERROR(SUMIFS('Base bordo'!G$2:G$746,'Base bordo'!C$2:C$746,A1435,'Base bordo'!B$2:B$746,B1435,'Base bordo'!F$2:F$746,"AGUARDANDO TRANSBORDO"),0)</f>
        <v>0</v>
      </c>
      <c r="I1435" s="10">
        <f>IFERROR(SUMIFS('Base bordo'!G$2:G$746,'Base bordo'!C$2:C$746,A1435,'Base bordo'!B$2:B$746,B1435,'Base bordo'!F$2:F$746,"PÁTIO INTERNO"),0)+IFERROR(SUMIFS('Base bordo'!G$2:G$746,'Base bordo'!C$2:C$746,A1435,'Base bordo'!B$2:B$746,B1435,'Base bordo'!F$2:F$746,"PÁTIO EXTERNO"),0)+IFERROR(SUMIFS('Base bordo'!G$2:G$746,'Base bordo'!C$2:C$746,A1435,'Base bordo'!B$2:B$746,B1435,'Base bordo'!F$2:F$746,"PATIO - RESERVA"),0)+IFERROR(SUMIFS('Base bordo'!G$2:G$746,'Base bordo'!C$2:C$746,A1435,'Base bordo'!B$2:B$746,B1435,'Base bordo'!F$2:F$746,"MANOBRA CARRETAS-PATIO"),0)</f>
        <v>0</v>
      </c>
      <c r="J1435" s="10">
        <f>IFERROR(SUMIFS('Base bordo'!G$2:G$746,'Base bordo'!C$2:C$746,A1435,'Base bordo'!B$2:B$746,B1435,'Base bordo'!F$2:F$746,"BALANÇA - ENTRADA"),0)+IFERROR(SUMIFS('Base bordo'!G$2:G$746,'Base bordo'!C$2:C$746,A1435,'Base bordo'!B$2:B$746,B1435,'Base bordo'!F$2:F$746,"BALANÇA - SAÍDA"),0)</f>
        <v>0</v>
      </c>
      <c r="K1435" s="10">
        <f>IFERROR(SUMIFS('Base bordo'!G$2:G$746,'Base bordo'!C$2:C$746,A1435,'Base bordo'!B$2:B$746,B1435,'Base bordo'!F$2:F$746,"MAN PREVENTIVA - MECANICA"),0)+IFERROR(SUMIFS('Base bordo'!G$2:G$746,'Base bordo'!C$2:C$746,A1435,'Base bordo'!B$2:B$746,B1435,'Base bordo'!F$2:F$746,"MAN CORRETIVA - MECANICA"),0)</f>
        <v>0</v>
      </c>
      <c r="L1435" s="10">
        <f>IFERROR(SUMIFS('Base bordo'!G$2:G$746,'Base bordo'!C$2:C$746,A1435,'Base bordo'!B$2:B$746,B1435,'Base bordo'!F$2:F$746,"MANUTENCAO - T O"),0)+IFERROR(SUMIFS('Base bordo'!G$2:G$746,'Base bordo'!C$2:C$746,A1435,'Base bordo'!B$2:B$746,B1435,'Base bordo'!F$2:F$746,"MANUTENCAO BORRACHARIA"),0)+IFERROR(SUMIFS('Base bordo'!G$2:G$746,'Base bordo'!C$2:C$746,A1435,'Base bordo'!B$2:B$746,B1435,'Base bordo'!F$2:F$746,"MANUTENCAO EXTERNA  CONCESSIONARIA"),0)+IFERROR(SUMIFS('Base bordo'!G$2:G$746,'Base bordo'!C$2:C$746,A1435,'Base bordo'!B$2:B$746,B1435,'Base bordo'!F$2:F$746,"MANUTENCAO TELEMETRIA"),0)</f>
        <v>0</v>
      </c>
      <c r="M1435" s="10">
        <f>IFERROR(SUMIFS('Base bordo'!G$2:G$746,'Base bordo'!C$2:C$746,A1435,'Base bordo'!B$2:B$746,B1435,'Base bordo'!F$2:F$746,"AGUARDANDO MANUTENCAO"),0)</f>
        <v>0</v>
      </c>
      <c r="N1435" s="10">
        <f>IFERROR(SUMIFS('Base bordo'!G$2:G$746,'Base bordo'!C$2:C$746,A1435,'Base bordo'!B$2:B$746,B1435,'Base bordo'!F$2:F$746,"SEM APONTAMENTO"),0)</f>
        <v>0</v>
      </c>
      <c r="O1435" s="10">
        <f t="shared" si="144"/>
        <v>0</v>
      </c>
      <c r="P1435" s="10">
        <f>IFERROR(SUMIFS('Base bordo'!G$2:G$746,'Base bordo'!C$2:C$746,A1435,'Base bordo'!B$2:B$746,B1435),0)</f>
        <v>0</v>
      </c>
      <c r="Q1435" s="10">
        <f>IFERROR(SUMIFS('Base bordo'!H$2:H$746,'Base bordo'!C$2:C$746,A1435,'Base bordo'!B$2:B$746,B1435,'Base bordo'!F$2:F$746,"DESLOCAMENTO VAZIO"),0)</f>
        <v>0</v>
      </c>
      <c r="R1435" s="10">
        <f>IFERROR(SUMIFS('Base bordo'!I$2:I$746,'Base bordo'!C$2:C$746,A1435,'Base bordo'!B$2:B$746,B1435,'Base bordo'!F$2:F$746,"DESLOCAMENTO VAZIO"),0)</f>
        <v>0</v>
      </c>
      <c r="S1435" s="30" t="str">
        <f t="shared" si="145"/>
        <v/>
      </c>
      <c r="T1435" s="10">
        <f>IFERROR(SUMIFS('Base bordo'!H$2:H$746,'Base bordo'!C$2:C$746,A1435,'Base bordo'!B$2:B$746,B1435,'Base bordo'!F$2:F$746,"DESLOCAMENTO CARREGADO"),0)</f>
        <v>0</v>
      </c>
      <c r="U1435" s="10">
        <f>IFERROR(SUMIFS('Base bordo'!I$2:I$746,'Base bordo'!C$2:C$746,A1435,'Base bordo'!B$2:B$746,B1435,'Base bordo'!F$2:F$746,"DESLOCAMENTO CARREGADO"),0)</f>
        <v>0</v>
      </c>
      <c r="V1435" s="30" t="str">
        <f t="shared" si="146"/>
        <v/>
      </c>
      <c r="W1435" s="9">
        <f t="shared" si="147"/>
        <v>0</v>
      </c>
      <c r="X1435" s="9">
        <f t="shared" si="148"/>
        <v>0</v>
      </c>
      <c r="Y1435" s="9">
        <f t="shared" si="149"/>
        <v>0</v>
      </c>
    </row>
    <row r="1436" spans="1:25" ht="15" customHeight="1" x14ac:dyDescent="0.35">
      <c r="A1436" s="52">
        <v>8013485</v>
      </c>
      <c r="B1436" s="51">
        <v>46124</v>
      </c>
      <c r="C1436" s="7" t="s">
        <v>124</v>
      </c>
      <c r="D1436" s="10">
        <f>IFERROR(SUMIFS('Base bordo'!G$2:G$746,'Base bordo'!C$2:C$746,A1436,'Base bordo'!B$2:B$746,B1436,'Base bordo'!F$2:F$746,"DESLOCAMENTO VAZIO"),0)</f>
        <v>1.7575000000000001</v>
      </c>
      <c r="E1436" s="10">
        <f>IFERROR(SUMIFS('Base bordo'!G$2:G$746,'Base bordo'!C$2:C$746,A1436,'Base bordo'!B$2:B$746,B1436,'Base bordo'!F$2:F$746,"DESLOCAMENTO CARREGADO"),0)</f>
        <v>0.59722222222222221</v>
      </c>
      <c r="F1436" s="10">
        <f>IFERROR(SUMIFS('Base bordo'!G$2:G$746,'Base bordo'!C$2:C$746,A1436,'Base bordo'!B$2:B$746,B1436,'Base bordo'!F$2:F$746,"DESLOCAMENTO"),0)</f>
        <v>0</v>
      </c>
      <c r="G1436" s="10">
        <f>IFERROR(SUMIFS('Base bordo'!G$2:G$746,'Base bordo'!C$2:C$746,A1436,'Base bordo'!B$2:B$746,B1436,'Base bordo'!F$2:F$746,"CARREGAMENTO"),0)</f>
        <v>0</v>
      </c>
      <c r="H1436" s="10">
        <f>IFERROR(SUMIFS('Base bordo'!G$2:G$746,'Base bordo'!C$2:C$746,A1436,'Base bordo'!B$2:B$746,B1436,'Base bordo'!F$2:F$746,"AGUARDANDO TRANSBORDO"),0)</f>
        <v>0.35833333333333334</v>
      </c>
      <c r="I1436" s="10">
        <f>IFERROR(SUMIFS('Base bordo'!G$2:G$746,'Base bordo'!C$2:C$746,A1436,'Base bordo'!B$2:B$746,B1436,'Base bordo'!F$2:F$746,"PÁTIO INTERNO"),0)+IFERROR(SUMIFS('Base bordo'!G$2:G$746,'Base bordo'!C$2:C$746,A1436,'Base bordo'!B$2:B$746,B1436,'Base bordo'!F$2:F$746,"PÁTIO EXTERNO"),0)+IFERROR(SUMIFS('Base bordo'!G$2:G$746,'Base bordo'!C$2:C$746,A1436,'Base bordo'!B$2:B$746,B1436,'Base bordo'!F$2:F$746,"PATIO - RESERVA"),0)+IFERROR(SUMIFS('Base bordo'!G$2:G$746,'Base bordo'!C$2:C$746,A1436,'Base bordo'!B$2:B$746,B1436,'Base bordo'!F$2:F$746,"MANOBRA CARRETAS-PATIO"),0)</f>
        <v>4.17</v>
      </c>
      <c r="J1436" s="10">
        <f>IFERROR(SUMIFS('Base bordo'!G$2:G$746,'Base bordo'!C$2:C$746,A1436,'Base bordo'!B$2:B$746,B1436,'Base bordo'!F$2:F$746,"BALANÇA - ENTRADA"),0)+IFERROR(SUMIFS('Base bordo'!G$2:G$746,'Base bordo'!C$2:C$746,A1436,'Base bordo'!B$2:B$746,B1436,'Base bordo'!F$2:F$746,"BALANÇA - SAÍDA"),0)</f>
        <v>0.19083333333333333</v>
      </c>
      <c r="K1436" s="10">
        <f>IFERROR(SUMIFS('Base bordo'!G$2:G$746,'Base bordo'!C$2:C$746,A1436,'Base bordo'!B$2:B$746,B1436,'Base bordo'!F$2:F$746,"MAN PREVENTIVA - MECANICA"),0)+IFERROR(SUMIFS('Base bordo'!G$2:G$746,'Base bordo'!C$2:C$746,A1436,'Base bordo'!B$2:B$746,B1436,'Base bordo'!F$2:F$746,"MAN CORRETIVA - MECANICA"),0)</f>
        <v>0</v>
      </c>
      <c r="L1436" s="10">
        <f>IFERROR(SUMIFS('Base bordo'!G$2:G$746,'Base bordo'!C$2:C$746,A1436,'Base bordo'!B$2:B$746,B1436,'Base bordo'!F$2:F$746,"MANUTENCAO - T O"),0)+IFERROR(SUMIFS('Base bordo'!G$2:G$746,'Base bordo'!C$2:C$746,A1436,'Base bordo'!B$2:B$746,B1436,'Base bordo'!F$2:F$746,"MANUTENCAO BORRACHARIA"),0)+IFERROR(SUMIFS('Base bordo'!G$2:G$746,'Base bordo'!C$2:C$746,A1436,'Base bordo'!B$2:B$746,B1436,'Base bordo'!F$2:F$746,"MANUTENCAO EXTERNA  CONCESSIONARIA"),0)+IFERROR(SUMIFS('Base bordo'!G$2:G$746,'Base bordo'!C$2:C$746,A1436,'Base bordo'!B$2:B$746,B1436,'Base bordo'!F$2:F$746,"MANUTENCAO TELEMETRIA"),0)</f>
        <v>0</v>
      </c>
      <c r="M1436" s="10">
        <f>IFERROR(SUMIFS('Base bordo'!G$2:G$746,'Base bordo'!C$2:C$746,A1436,'Base bordo'!B$2:B$746,B1436,'Base bordo'!F$2:F$746,"AGUARDANDO MANUTENCAO"),0)</f>
        <v>0</v>
      </c>
      <c r="N1436" s="10">
        <f>IFERROR(SUMIFS('Base bordo'!G$2:G$746,'Base bordo'!C$2:C$746,A1436,'Base bordo'!B$2:B$746,B1436,'Base bordo'!F$2:F$746,"SEM APONTAMENTO"),0)</f>
        <v>0</v>
      </c>
      <c r="O1436" s="10">
        <f t="shared" si="144"/>
        <v>8.8817841970012523E-16</v>
      </c>
      <c r="P1436" s="10">
        <f>IFERROR(SUMIFS('Base bordo'!G$2:G$746,'Base bordo'!C$2:C$746,A1436,'Base bordo'!B$2:B$746,B1436),0)</f>
        <v>7.0738888888888898</v>
      </c>
      <c r="Q1436" s="10">
        <f>IFERROR(SUMIFS('Base bordo'!H$2:H$746,'Base bordo'!C$2:C$746,A1436,'Base bordo'!B$2:B$746,B1436,'Base bordo'!F$2:F$746,"DESLOCAMENTO VAZIO"),0)</f>
        <v>57117.96</v>
      </c>
      <c r="R1436" s="10">
        <f>IFERROR(SUMIFS('Base bordo'!I$2:I$746,'Base bordo'!C$2:C$746,A1436,'Base bordo'!B$2:B$746,B1436,'Base bordo'!F$2:F$746,"DESLOCAMENTO VAZIO"),0)</f>
        <v>2727</v>
      </c>
      <c r="S1436" s="30">
        <f t="shared" si="145"/>
        <v>20.945346534653464</v>
      </c>
      <c r="T1436" s="10">
        <f>IFERROR(SUMIFS('Base bordo'!H$2:H$746,'Base bordo'!C$2:C$746,A1436,'Base bordo'!B$2:B$746,B1436,'Base bordo'!F$2:F$746,"DESLOCAMENTO CARREGADO"),0)</f>
        <v>40859.899999999994</v>
      </c>
      <c r="U1436" s="10">
        <f>IFERROR(SUMIFS('Base bordo'!I$2:I$746,'Base bordo'!C$2:C$746,A1436,'Base bordo'!B$2:B$746,B1436,'Base bordo'!F$2:F$746,"DESLOCAMENTO CARREGADO"),0)</f>
        <v>2150</v>
      </c>
      <c r="V1436" s="30">
        <f t="shared" si="146"/>
        <v>19.004604651162786</v>
      </c>
      <c r="W1436" s="9">
        <f t="shared" si="147"/>
        <v>0.24844891227519042</v>
      </c>
      <c r="X1436" s="9">
        <f t="shared" si="148"/>
        <v>8.4426293882038789E-2</v>
      </c>
      <c r="Y1436" s="9">
        <f t="shared" si="149"/>
        <v>0.66712479384277079</v>
      </c>
    </row>
    <row r="1437" spans="1:25" ht="15" customHeight="1" x14ac:dyDescent="0.35">
      <c r="A1437" s="7"/>
      <c r="B1437" s="51"/>
      <c r="C1437" s="7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30"/>
      <c r="T1437" s="10"/>
      <c r="U1437" s="10"/>
      <c r="V1437" s="30"/>
      <c r="W1437" s="9"/>
      <c r="X1437" s="9"/>
      <c r="Y1437" s="9"/>
    </row>
    <row r="1438" spans="1:25" ht="15" customHeight="1" x14ac:dyDescent="0.35">
      <c r="A1438" s="7"/>
      <c r="B1438" s="51"/>
      <c r="C1438" s="7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30"/>
      <c r="T1438" s="10"/>
      <c r="U1438" s="10"/>
      <c r="V1438" s="30"/>
      <c r="W1438" s="9"/>
      <c r="X1438" s="9"/>
      <c r="Y1438" s="9"/>
    </row>
    <row r="1439" spans="1:25" ht="15" customHeight="1" x14ac:dyDescent="0.35">
      <c r="A1439" s="7"/>
      <c r="B1439" s="51"/>
      <c r="C1439" s="7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30"/>
      <c r="T1439" s="10"/>
      <c r="U1439" s="10"/>
      <c r="V1439" s="30"/>
      <c r="W1439" s="9"/>
      <c r="X1439" s="9"/>
      <c r="Y1439" s="9"/>
    </row>
    <row r="1440" spans="1:25" ht="15" customHeight="1" x14ac:dyDescent="0.35">
      <c r="A1440" s="7"/>
      <c r="B1440" s="51"/>
      <c r="C1440" s="7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30"/>
      <c r="T1440" s="10"/>
      <c r="U1440" s="10"/>
      <c r="V1440" s="30"/>
      <c r="W1440" s="9"/>
      <c r="X1440" s="9"/>
      <c r="Y1440" s="9"/>
    </row>
    <row r="1441" spans="1:25" ht="15" customHeight="1" x14ac:dyDescent="0.35">
      <c r="A1441" s="7"/>
      <c r="B1441" s="51"/>
      <c r="C1441" s="7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30"/>
      <c r="T1441" s="10"/>
      <c r="U1441" s="10"/>
      <c r="V1441" s="30"/>
      <c r="W1441" s="9"/>
      <c r="X1441" s="9"/>
      <c r="Y1441" s="9"/>
    </row>
    <row r="1442" spans="1:25" ht="15" customHeight="1" x14ac:dyDescent="0.35">
      <c r="A1442" s="7"/>
      <c r="B1442" s="51"/>
      <c r="C1442" s="7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30"/>
      <c r="T1442" s="10"/>
      <c r="U1442" s="10"/>
      <c r="V1442" s="30"/>
      <c r="W1442" s="9"/>
      <c r="X1442" s="9"/>
      <c r="Y1442" s="9"/>
    </row>
    <row r="1443" spans="1:25" ht="15" customHeight="1" x14ac:dyDescent="0.35">
      <c r="A1443" s="7"/>
      <c r="B1443" s="51"/>
      <c r="C1443" s="7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30"/>
      <c r="T1443" s="10"/>
      <c r="U1443" s="10"/>
      <c r="V1443" s="30"/>
      <c r="W1443" s="9"/>
      <c r="X1443" s="9"/>
      <c r="Y1443" s="9"/>
    </row>
    <row r="1444" spans="1:25" ht="15" customHeight="1" x14ac:dyDescent="0.35">
      <c r="A1444" s="7"/>
      <c r="B1444" s="51"/>
      <c r="C1444" s="7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30"/>
      <c r="T1444" s="10"/>
      <c r="U1444" s="10"/>
      <c r="V1444" s="30"/>
      <c r="W1444" s="9"/>
      <c r="X1444" s="9"/>
      <c r="Y1444" s="9"/>
    </row>
    <row r="1445" spans="1:25" ht="15" customHeight="1" x14ac:dyDescent="0.35">
      <c r="A1445" s="7"/>
      <c r="B1445" s="51"/>
      <c r="C1445" s="7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30"/>
      <c r="T1445" s="10"/>
      <c r="U1445" s="10"/>
      <c r="V1445" s="30"/>
      <c r="W1445" s="9"/>
      <c r="X1445" s="9"/>
      <c r="Y1445" s="9"/>
    </row>
    <row r="1446" spans="1:25" ht="15" customHeight="1" x14ac:dyDescent="0.35">
      <c r="A1446" s="7"/>
      <c r="B1446" s="51"/>
      <c r="C1446" s="7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30"/>
      <c r="T1446" s="10"/>
      <c r="U1446" s="10"/>
      <c r="V1446" s="30"/>
      <c r="W1446" s="9"/>
      <c r="X1446" s="9"/>
      <c r="Y1446" s="9"/>
    </row>
    <row r="1447" spans="1:25" ht="15" customHeight="1" x14ac:dyDescent="0.35">
      <c r="A1447" s="7"/>
      <c r="B1447" s="51"/>
      <c r="C1447" s="7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30"/>
      <c r="T1447" s="10"/>
      <c r="U1447" s="10"/>
      <c r="V1447" s="30"/>
      <c r="W1447" s="9"/>
      <c r="X1447" s="9"/>
      <c r="Y1447" s="9"/>
    </row>
    <row r="1448" spans="1:25" ht="15" customHeight="1" x14ac:dyDescent="0.35">
      <c r="A1448" s="7"/>
      <c r="B1448" s="51"/>
      <c r="C1448" s="7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30"/>
      <c r="T1448" s="10"/>
      <c r="U1448" s="10"/>
      <c r="V1448" s="30"/>
      <c r="W1448" s="9"/>
      <c r="X1448" s="9"/>
      <c r="Y1448" s="9"/>
    </row>
    <row r="1449" spans="1:25" ht="15" customHeight="1" x14ac:dyDescent="0.35">
      <c r="A1449" s="7"/>
      <c r="B1449" s="51"/>
      <c r="C1449" s="7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30"/>
      <c r="T1449" s="10"/>
      <c r="U1449" s="10"/>
      <c r="V1449" s="30"/>
      <c r="W1449" s="9"/>
      <c r="X1449" s="9"/>
      <c r="Y1449" s="9"/>
    </row>
    <row r="1450" spans="1:25" ht="15" customHeight="1" x14ac:dyDescent="0.35">
      <c r="A1450" s="7"/>
      <c r="B1450" s="51"/>
      <c r="C1450" s="7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30"/>
      <c r="T1450" s="10"/>
      <c r="U1450" s="10"/>
      <c r="V1450" s="30"/>
      <c r="W1450" s="9"/>
      <c r="X1450" s="9"/>
      <c r="Y1450" s="9"/>
    </row>
    <row r="1451" spans="1:25" ht="15" customHeight="1" x14ac:dyDescent="0.35">
      <c r="A1451" s="7"/>
      <c r="B1451" s="51"/>
      <c r="C1451" s="7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30"/>
      <c r="T1451" s="10"/>
      <c r="U1451" s="10"/>
      <c r="V1451" s="30"/>
      <c r="W1451" s="9"/>
      <c r="X1451" s="9"/>
      <c r="Y1451" s="9"/>
    </row>
    <row r="1452" spans="1:25" ht="15" customHeight="1" x14ac:dyDescent="0.35">
      <c r="A1452" s="7"/>
      <c r="B1452" s="51"/>
      <c r="C1452" s="7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30"/>
      <c r="T1452" s="10"/>
      <c r="U1452" s="10"/>
      <c r="V1452" s="30"/>
      <c r="W1452" s="9"/>
      <c r="X1452" s="9"/>
      <c r="Y1452" s="9"/>
    </row>
    <row r="1453" spans="1:25" ht="15" customHeight="1" x14ac:dyDescent="0.35">
      <c r="A1453" s="7"/>
      <c r="B1453" s="51"/>
      <c r="C1453" s="7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30"/>
      <c r="T1453" s="10"/>
      <c r="U1453" s="10"/>
      <c r="V1453" s="30"/>
      <c r="W1453" s="9"/>
      <c r="X1453" s="9"/>
      <c r="Y1453" s="9"/>
    </row>
    <row r="1454" spans="1:25" ht="15" customHeight="1" x14ac:dyDescent="0.35">
      <c r="A1454" s="7"/>
      <c r="B1454" s="51"/>
      <c r="C1454" s="7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30"/>
      <c r="T1454" s="10"/>
      <c r="U1454" s="10"/>
      <c r="V1454" s="30"/>
      <c r="W1454" s="9"/>
      <c r="X1454" s="9"/>
      <c r="Y1454" s="9"/>
    </row>
    <row r="1455" spans="1:25" ht="15" customHeight="1" x14ac:dyDescent="0.35">
      <c r="A1455" s="7"/>
      <c r="B1455" s="51"/>
      <c r="C1455" s="7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30"/>
      <c r="T1455" s="10"/>
      <c r="U1455" s="10"/>
      <c r="V1455" s="30"/>
      <c r="W1455" s="9"/>
      <c r="X1455" s="9"/>
      <c r="Y1455" s="9"/>
    </row>
    <row r="1456" spans="1:25" ht="15" customHeight="1" x14ac:dyDescent="0.35">
      <c r="A1456" s="7"/>
      <c r="B1456" s="51"/>
      <c r="C1456" s="7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30"/>
      <c r="T1456" s="10"/>
      <c r="U1456" s="10"/>
      <c r="V1456" s="30"/>
      <c r="W1456" s="9"/>
      <c r="X1456" s="9"/>
      <c r="Y1456" s="9"/>
    </row>
    <row r="1457" spans="1:25" ht="15" customHeight="1" x14ac:dyDescent="0.35">
      <c r="A1457" s="7"/>
      <c r="B1457" s="51"/>
      <c r="C1457" s="7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30"/>
      <c r="T1457" s="10"/>
      <c r="U1457" s="10"/>
      <c r="V1457" s="30"/>
      <c r="W1457" s="9"/>
      <c r="X1457" s="9"/>
      <c r="Y1457" s="9"/>
    </row>
    <row r="1458" spans="1:25" ht="15" customHeight="1" x14ac:dyDescent="0.35">
      <c r="A1458" s="7"/>
      <c r="B1458" s="51"/>
      <c r="C1458" s="7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30"/>
      <c r="T1458" s="10"/>
      <c r="U1458" s="10"/>
      <c r="V1458" s="30"/>
      <c r="W1458" s="9"/>
      <c r="X1458" s="9"/>
      <c r="Y1458" s="9"/>
    </row>
    <row r="1459" spans="1:25" ht="15" customHeight="1" x14ac:dyDescent="0.35">
      <c r="A1459" s="7"/>
      <c r="B1459" s="51"/>
      <c r="C1459" s="7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30"/>
      <c r="T1459" s="10"/>
      <c r="U1459" s="10"/>
      <c r="V1459" s="30"/>
      <c r="W1459" s="9"/>
      <c r="X1459" s="9"/>
      <c r="Y1459" s="9"/>
    </row>
    <row r="1460" spans="1:25" ht="15" customHeight="1" x14ac:dyDescent="0.35">
      <c r="A1460" s="7"/>
      <c r="B1460" s="51"/>
      <c r="C1460" s="7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30"/>
      <c r="T1460" s="10"/>
      <c r="U1460" s="10"/>
      <c r="V1460" s="30"/>
      <c r="W1460" s="9"/>
      <c r="X1460" s="9"/>
      <c r="Y1460" s="9"/>
    </row>
    <row r="1461" spans="1:25" ht="15" customHeight="1" x14ac:dyDescent="0.35">
      <c r="A1461" s="7"/>
      <c r="B1461" s="51"/>
      <c r="C1461" s="7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30"/>
      <c r="T1461" s="10"/>
      <c r="U1461" s="10"/>
      <c r="V1461" s="30"/>
      <c r="W1461" s="9"/>
      <c r="X1461" s="9"/>
      <c r="Y1461" s="9"/>
    </row>
    <row r="1462" spans="1:25" ht="15" customHeight="1" x14ac:dyDescent="0.35">
      <c r="A1462" s="7"/>
      <c r="B1462" s="51"/>
      <c r="C1462" s="7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30"/>
      <c r="T1462" s="10"/>
      <c r="U1462" s="10"/>
      <c r="V1462" s="30"/>
      <c r="W1462" s="9"/>
      <c r="X1462" s="9"/>
      <c r="Y1462" s="9"/>
    </row>
    <row r="1463" spans="1:25" ht="15" customHeight="1" x14ac:dyDescent="0.35">
      <c r="A1463" s="7"/>
      <c r="B1463" s="51"/>
      <c r="C1463" s="7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30"/>
      <c r="T1463" s="10"/>
      <c r="U1463" s="10"/>
      <c r="V1463" s="30"/>
      <c r="W1463" s="9"/>
      <c r="X1463" s="9"/>
      <c r="Y1463" s="9"/>
    </row>
    <row r="1464" spans="1:25" ht="15" customHeight="1" x14ac:dyDescent="0.35">
      <c r="A1464" s="7"/>
      <c r="B1464" s="51"/>
      <c r="C1464" s="7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30"/>
      <c r="T1464" s="10"/>
      <c r="U1464" s="10"/>
      <c r="V1464" s="30"/>
      <c r="W1464" s="9"/>
      <c r="X1464" s="9"/>
      <c r="Y1464" s="9"/>
    </row>
    <row r="1465" spans="1:25" ht="15" customHeight="1" x14ac:dyDescent="0.35">
      <c r="A1465" s="7"/>
      <c r="B1465" s="51"/>
      <c r="C1465" s="7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30"/>
      <c r="T1465" s="10"/>
      <c r="U1465" s="10"/>
      <c r="V1465" s="30"/>
      <c r="W1465" s="9"/>
      <c r="X1465" s="9"/>
      <c r="Y1465" s="9"/>
    </row>
    <row r="1466" spans="1:25" ht="15" customHeight="1" x14ac:dyDescent="0.35">
      <c r="A1466" s="7"/>
      <c r="B1466" s="51"/>
      <c r="C1466" s="7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30"/>
      <c r="T1466" s="10"/>
      <c r="U1466" s="10"/>
      <c r="V1466" s="30"/>
      <c r="W1466" s="9"/>
      <c r="X1466" s="9"/>
      <c r="Y1466" s="9"/>
    </row>
    <row r="1467" spans="1:25" ht="15" customHeight="1" x14ac:dyDescent="0.35">
      <c r="A1467" s="7"/>
      <c r="B1467" s="51"/>
      <c r="C1467" s="7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30"/>
      <c r="T1467" s="10"/>
      <c r="U1467" s="10"/>
      <c r="V1467" s="30"/>
      <c r="W1467" s="9"/>
      <c r="X1467" s="9"/>
      <c r="Y1467" s="9"/>
    </row>
    <row r="1468" spans="1:25" ht="15" customHeight="1" x14ac:dyDescent="0.35">
      <c r="A1468" s="7"/>
      <c r="B1468" s="51"/>
      <c r="C1468" s="7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30"/>
      <c r="T1468" s="10"/>
      <c r="U1468" s="10"/>
      <c r="V1468" s="30"/>
      <c r="W1468" s="9"/>
      <c r="X1468" s="9"/>
      <c r="Y1468" s="9"/>
    </row>
    <row r="1469" spans="1:25" ht="15" customHeight="1" x14ac:dyDescent="0.35">
      <c r="A1469" s="7"/>
      <c r="B1469" s="51"/>
      <c r="C1469" s="7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30"/>
      <c r="T1469" s="10"/>
      <c r="U1469" s="10"/>
      <c r="V1469" s="30"/>
      <c r="W1469" s="9"/>
      <c r="X1469" s="9"/>
      <c r="Y1469" s="9"/>
    </row>
    <row r="1470" spans="1:25" ht="15" customHeight="1" x14ac:dyDescent="0.35">
      <c r="A1470" s="7"/>
      <c r="B1470" s="51"/>
      <c r="C1470" s="7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30"/>
      <c r="T1470" s="10"/>
      <c r="U1470" s="10"/>
      <c r="V1470" s="30"/>
      <c r="W1470" s="9"/>
      <c r="X1470" s="9"/>
      <c r="Y1470" s="9"/>
    </row>
    <row r="1471" spans="1:25" ht="15" customHeight="1" x14ac:dyDescent="0.35">
      <c r="A1471" s="7"/>
      <c r="B1471" s="51"/>
      <c r="C1471" s="7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30"/>
      <c r="T1471" s="10"/>
      <c r="U1471" s="10"/>
      <c r="V1471" s="30"/>
      <c r="W1471" s="9"/>
      <c r="X1471" s="9"/>
      <c r="Y1471" s="9"/>
    </row>
    <row r="1472" spans="1:25" ht="15" customHeight="1" x14ac:dyDescent="0.35">
      <c r="A1472" s="7"/>
      <c r="B1472" s="51"/>
      <c r="C1472" s="7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30"/>
      <c r="T1472" s="10"/>
      <c r="U1472" s="10"/>
      <c r="V1472" s="30"/>
      <c r="W1472" s="9"/>
      <c r="X1472" s="9"/>
      <c r="Y1472" s="9"/>
    </row>
    <row r="1473" spans="1:25" ht="15" customHeight="1" x14ac:dyDescent="0.35">
      <c r="A1473" s="7"/>
      <c r="B1473" s="51"/>
      <c r="C1473" s="7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30"/>
      <c r="T1473" s="10"/>
      <c r="U1473" s="10"/>
      <c r="V1473" s="30"/>
      <c r="W1473" s="9"/>
      <c r="X1473" s="9"/>
      <c r="Y1473" s="9"/>
    </row>
    <row r="1474" spans="1:25" ht="15" customHeight="1" x14ac:dyDescent="0.35">
      <c r="A1474" s="7"/>
      <c r="B1474" s="51"/>
      <c r="C1474" s="7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30"/>
      <c r="T1474" s="10"/>
      <c r="U1474" s="10"/>
      <c r="V1474" s="30"/>
      <c r="W1474" s="9"/>
      <c r="X1474" s="9"/>
      <c r="Y1474" s="9"/>
    </row>
    <row r="1475" spans="1:25" ht="15" customHeight="1" x14ac:dyDescent="0.35">
      <c r="A1475" s="7"/>
      <c r="B1475" s="51"/>
      <c r="C1475" s="7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30"/>
      <c r="T1475" s="10"/>
      <c r="U1475" s="10"/>
      <c r="V1475" s="30"/>
      <c r="W1475" s="9"/>
      <c r="X1475" s="9"/>
      <c r="Y1475" s="9"/>
    </row>
    <row r="1476" spans="1:25" ht="15" customHeight="1" x14ac:dyDescent="0.35">
      <c r="A1476" s="7"/>
      <c r="B1476" s="51"/>
      <c r="C1476" s="7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30"/>
      <c r="T1476" s="10"/>
      <c r="U1476" s="10"/>
      <c r="V1476" s="30"/>
      <c r="W1476" s="9"/>
      <c r="X1476" s="9"/>
      <c r="Y1476" s="9"/>
    </row>
    <row r="1477" spans="1:25" ht="15" customHeight="1" x14ac:dyDescent="0.35">
      <c r="A1477" s="7"/>
      <c r="B1477" s="51"/>
      <c r="C1477" s="7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30"/>
      <c r="T1477" s="10"/>
      <c r="U1477" s="10"/>
      <c r="V1477" s="30"/>
      <c r="W1477" s="9"/>
      <c r="X1477" s="9"/>
      <c r="Y1477" s="9"/>
    </row>
    <row r="1478" spans="1:25" ht="15" customHeight="1" x14ac:dyDescent="0.35">
      <c r="A1478" s="7"/>
      <c r="B1478" s="51"/>
      <c r="C1478" s="7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30"/>
      <c r="T1478" s="10"/>
      <c r="U1478" s="10"/>
      <c r="V1478" s="30"/>
      <c r="W1478" s="9"/>
      <c r="X1478" s="9"/>
      <c r="Y1478" s="9"/>
    </row>
    <row r="1479" spans="1:25" ht="15" customHeight="1" x14ac:dyDescent="0.35">
      <c r="A1479" s="7"/>
      <c r="B1479" s="51"/>
      <c r="C1479" s="7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30"/>
      <c r="T1479" s="10"/>
      <c r="U1479" s="10"/>
      <c r="V1479" s="30"/>
      <c r="W1479" s="9"/>
      <c r="X1479" s="9"/>
      <c r="Y1479" s="9"/>
    </row>
    <row r="1480" spans="1:25" ht="15" customHeight="1" x14ac:dyDescent="0.35">
      <c r="A1480" s="7"/>
      <c r="B1480" s="51"/>
      <c r="C1480" s="7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30"/>
      <c r="T1480" s="10"/>
      <c r="U1480" s="10"/>
      <c r="V1480" s="30"/>
      <c r="W1480" s="9"/>
      <c r="X1480" s="9"/>
      <c r="Y1480" s="9"/>
    </row>
    <row r="1481" spans="1:25" ht="15" customHeight="1" x14ac:dyDescent="0.35">
      <c r="A1481" s="7"/>
      <c r="B1481" s="51"/>
      <c r="C1481" s="7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30"/>
      <c r="T1481" s="10"/>
      <c r="U1481" s="10"/>
      <c r="V1481" s="30"/>
      <c r="W1481" s="9"/>
      <c r="X1481" s="9"/>
      <c r="Y1481" s="9"/>
    </row>
    <row r="1482" spans="1:25" ht="15" customHeight="1" x14ac:dyDescent="0.35">
      <c r="A1482" s="7"/>
      <c r="B1482" s="51"/>
      <c r="C1482" s="7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30"/>
      <c r="T1482" s="10"/>
      <c r="U1482" s="10"/>
      <c r="V1482" s="30"/>
      <c r="W1482" s="9"/>
      <c r="X1482" s="9"/>
      <c r="Y1482" s="9"/>
    </row>
    <row r="1483" spans="1:25" ht="15" customHeight="1" x14ac:dyDescent="0.35">
      <c r="A1483" s="7"/>
      <c r="B1483" s="51"/>
      <c r="C1483" s="7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30"/>
      <c r="T1483" s="10"/>
      <c r="U1483" s="10"/>
      <c r="V1483" s="30"/>
      <c r="W1483" s="9"/>
      <c r="X1483" s="9"/>
      <c r="Y1483" s="9"/>
    </row>
    <row r="1484" spans="1:25" ht="15" customHeight="1" x14ac:dyDescent="0.35">
      <c r="A1484" s="7"/>
      <c r="B1484" s="51"/>
      <c r="C1484" s="7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30"/>
      <c r="T1484" s="10"/>
      <c r="U1484" s="10"/>
      <c r="V1484" s="30"/>
      <c r="W1484" s="9"/>
      <c r="X1484" s="9"/>
      <c r="Y1484" s="9"/>
    </row>
    <row r="1485" spans="1:25" ht="15" customHeight="1" x14ac:dyDescent="0.35">
      <c r="A1485" s="7"/>
      <c r="B1485" s="51"/>
      <c r="C1485" s="7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30"/>
      <c r="T1485" s="10"/>
      <c r="U1485" s="10"/>
      <c r="V1485" s="30"/>
      <c r="W1485" s="9"/>
      <c r="X1485" s="9"/>
      <c r="Y1485" s="9"/>
    </row>
    <row r="1486" spans="1:25" ht="15" customHeight="1" x14ac:dyDescent="0.35">
      <c r="A1486" s="7"/>
      <c r="B1486" s="51"/>
      <c r="C1486" s="7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30"/>
      <c r="T1486" s="10"/>
      <c r="U1486" s="10"/>
      <c r="V1486" s="30"/>
      <c r="W1486" s="9"/>
      <c r="X1486" s="9"/>
      <c r="Y1486" s="9"/>
    </row>
    <row r="1487" spans="1:25" ht="15" customHeight="1" x14ac:dyDescent="0.35">
      <c r="A1487" s="7"/>
      <c r="B1487" s="51"/>
      <c r="C1487" s="7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30"/>
      <c r="T1487" s="10"/>
      <c r="U1487" s="10"/>
      <c r="V1487" s="30"/>
      <c r="W1487" s="9"/>
      <c r="X1487" s="9"/>
      <c r="Y1487" s="9"/>
    </row>
    <row r="1488" spans="1:25" ht="15" customHeight="1" x14ac:dyDescent="0.35">
      <c r="A1488" s="7"/>
      <c r="B1488" s="51"/>
      <c r="C1488" s="7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30"/>
      <c r="T1488" s="10"/>
      <c r="U1488" s="10"/>
      <c r="V1488" s="30"/>
      <c r="W1488" s="9"/>
      <c r="X1488" s="9"/>
      <c r="Y1488" s="9"/>
    </row>
    <row r="1489" spans="1:25" ht="15" customHeight="1" x14ac:dyDescent="0.35">
      <c r="A1489" s="7"/>
      <c r="B1489" s="51"/>
      <c r="C1489" s="7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30"/>
      <c r="T1489" s="10"/>
      <c r="U1489" s="10"/>
      <c r="V1489" s="30"/>
      <c r="W1489" s="9"/>
      <c r="X1489" s="9"/>
      <c r="Y1489" s="9"/>
    </row>
    <row r="1490" spans="1:25" ht="15" customHeight="1" x14ac:dyDescent="0.35">
      <c r="A1490" s="7"/>
      <c r="B1490" s="51"/>
      <c r="C1490" s="7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30"/>
      <c r="T1490" s="10"/>
      <c r="U1490" s="10"/>
      <c r="V1490" s="30"/>
      <c r="W1490" s="9"/>
      <c r="X1490" s="9"/>
      <c r="Y1490" s="9"/>
    </row>
    <row r="1491" spans="1:25" ht="15" customHeight="1" x14ac:dyDescent="0.35">
      <c r="A1491" s="7"/>
      <c r="B1491" s="51"/>
      <c r="C1491" s="7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30"/>
      <c r="T1491" s="10"/>
      <c r="U1491" s="10"/>
      <c r="V1491" s="30"/>
      <c r="W1491" s="9"/>
      <c r="X1491" s="9"/>
      <c r="Y1491" s="9"/>
    </row>
    <row r="1492" spans="1:25" ht="15" customHeight="1" x14ac:dyDescent="0.35">
      <c r="A1492" s="7"/>
      <c r="B1492" s="51"/>
      <c r="C1492" s="7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30"/>
      <c r="T1492" s="10"/>
      <c r="U1492" s="10"/>
      <c r="V1492" s="30"/>
      <c r="W1492" s="9"/>
      <c r="X1492" s="9"/>
      <c r="Y1492" s="9"/>
    </row>
    <row r="1493" spans="1:25" ht="15" customHeight="1" x14ac:dyDescent="0.35">
      <c r="A1493" s="7"/>
      <c r="B1493" s="51"/>
      <c r="C1493" s="7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30"/>
      <c r="T1493" s="10"/>
      <c r="U1493" s="10"/>
      <c r="V1493" s="30"/>
      <c r="W1493" s="9"/>
      <c r="X1493" s="9"/>
      <c r="Y1493" s="9"/>
    </row>
    <row r="1494" spans="1:25" ht="15" customHeight="1" x14ac:dyDescent="0.35">
      <c r="A1494" s="7"/>
      <c r="B1494" s="51"/>
      <c r="C1494" s="7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30"/>
      <c r="T1494" s="10"/>
      <c r="U1494" s="10"/>
      <c r="V1494" s="30"/>
      <c r="W1494" s="9"/>
      <c r="X1494" s="9"/>
      <c r="Y1494" s="9"/>
    </row>
    <row r="1495" spans="1:25" ht="15" customHeight="1" x14ac:dyDescent="0.35">
      <c r="A1495" s="7"/>
      <c r="B1495" s="51"/>
      <c r="C1495" s="7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30"/>
      <c r="T1495" s="10"/>
      <c r="U1495" s="10"/>
      <c r="V1495" s="30"/>
      <c r="W1495" s="9"/>
      <c r="X1495" s="9"/>
      <c r="Y1495" s="9"/>
    </row>
    <row r="1496" spans="1:25" ht="15" customHeight="1" x14ac:dyDescent="0.35">
      <c r="A1496" s="7"/>
      <c r="B1496" s="51"/>
      <c r="C1496" s="7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30"/>
      <c r="T1496" s="10"/>
      <c r="U1496" s="10"/>
      <c r="V1496" s="30"/>
      <c r="W1496" s="9"/>
      <c r="X1496" s="9"/>
      <c r="Y1496" s="9"/>
    </row>
    <row r="1497" spans="1:25" ht="15" customHeight="1" x14ac:dyDescent="0.35">
      <c r="A1497" s="7"/>
      <c r="B1497" s="51"/>
      <c r="C1497" s="7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30"/>
      <c r="T1497" s="10"/>
      <c r="U1497" s="10"/>
      <c r="V1497" s="30"/>
      <c r="W1497" s="9"/>
      <c r="X1497" s="9"/>
      <c r="Y1497" s="9"/>
    </row>
    <row r="1498" spans="1:25" ht="15" customHeight="1" x14ac:dyDescent="0.35">
      <c r="A1498" s="7"/>
      <c r="B1498" s="51"/>
      <c r="C1498" s="7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30"/>
      <c r="T1498" s="10"/>
      <c r="U1498" s="10"/>
      <c r="V1498" s="30"/>
      <c r="W1498" s="9"/>
      <c r="X1498" s="9"/>
      <c r="Y1498" s="9"/>
    </row>
    <row r="1499" spans="1:25" ht="15" customHeight="1" x14ac:dyDescent="0.35">
      <c r="A1499" s="7"/>
      <c r="B1499" s="51"/>
      <c r="C1499" s="7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30"/>
      <c r="T1499" s="10"/>
      <c r="U1499" s="10"/>
      <c r="V1499" s="30"/>
      <c r="W1499" s="9"/>
      <c r="X1499" s="9"/>
      <c r="Y1499" s="9"/>
    </row>
    <row r="1500" spans="1:25" ht="15" customHeight="1" x14ac:dyDescent="0.35">
      <c r="A1500" s="7"/>
      <c r="B1500" s="51"/>
      <c r="C1500" s="7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30"/>
      <c r="T1500" s="10"/>
      <c r="U1500" s="10"/>
      <c r="V1500" s="30"/>
      <c r="W1500" s="9"/>
      <c r="X1500" s="9"/>
      <c r="Y1500" s="9"/>
    </row>
    <row r="1501" spans="1:25" ht="15" customHeight="1" x14ac:dyDescent="0.35">
      <c r="A1501" s="7"/>
      <c r="B1501" s="51"/>
      <c r="C1501" s="7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30"/>
      <c r="T1501" s="10"/>
      <c r="U1501" s="10"/>
      <c r="V1501" s="30"/>
      <c r="W1501" s="9"/>
      <c r="X1501" s="9"/>
      <c r="Y1501" s="9"/>
    </row>
    <row r="1502" spans="1:25" ht="15" customHeight="1" x14ac:dyDescent="0.35">
      <c r="A1502" s="7"/>
      <c r="B1502" s="51"/>
      <c r="C1502" s="7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30"/>
      <c r="T1502" s="10"/>
      <c r="U1502" s="10"/>
      <c r="V1502" s="30"/>
      <c r="W1502" s="9"/>
      <c r="X1502" s="9"/>
      <c r="Y1502" s="9"/>
    </row>
    <row r="1503" spans="1:25" ht="15" customHeight="1" x14ac:dyDescent="0.35">
      <c r="A1503" s="7"/>
      <c r="B1503" s="51"/>
      <c r="C1503" s="7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30"/>
      <c r="T1503" s="10"/>
      <c r="U1503" s="10"/>
      <c r="V1503" s="30"/>
      <c r="W1503" s="9"/>
      <c r="X1503" s="9"/>
      <c r="Y1503" s="9"/>
    </row>
    <row r="1504" spans="1:25" ht="15" customHeight="1" x14ac:dyDescent="0.35">
      <c r="A1504" s="7"/>
      <c r="B1504" s="51"/>
      <c r="C1504" s="7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30"/>
      <c r="T1504" s="10"/>
      <c r="U1504" s="10"/>
      <c r="V1504" s="30"/>
      <c r="W1504" s="9"/>
      <c r="X1504" s="9"/>
      <c r="Y1504" s="9"/>
    </row>
    <row r="1505" spans="1:25" ht="15" customHeight="1" x14ac:dyDescent="0.35">
      <c r="A1505" s="7"/>
      <c r="B1505" s="51"/>
      <c r="C1505" s="7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30"/>
      <c r="T1505" s="10"/>
      <c r="U1505" s="10"/>
      <c r="V1505" s="30"/>
      <c r="W1505" s="9"/>
      <c r="X1505" s="9"/>
      <c r="Y1505" s="9"/>
    </row>
    <row r="1506" spans="1:25" ht="15" customHeight="1" x14ac:dyDescent="0.35">
      <c r="A1506" s="7"/>
      <c r="B1506" s="51"/>
      <c r="C1506" s="7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30"/>
      <c r="T1506" s="10"/>
      <c r="U1506" s="10"/>
      <c r="V1506" s="30"/>
      <c r="W1506" s="9"/>
      <c r="X1506" s="9"/>
      <c r="Y1506" s="9"/>
    </row>
    <row r="1507" spans="1:25" ht="15" customHeight="1" x14ac:dyDescent="0.35">
      <c r="A1507" s="7"/>
      <c r="B1507" s="51"/>
      <c r="C1507" s="7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30"/>
      <c r="T1507" s="10"/>
      <c r="U1507" s="10"/>
      <c r="V1507" s="30"/>
      <c r="W1507" s="9"/>
      <c r="X1507" s="9"/>
      <c r="Y1507" s="9"/>
    </row>
    <row r="1508" spans="1:25" ht="15" customHeight="1" x14ac:dyDescent="0.35">
      <c r="A1508" s="7"/>
      <c r="B1508" s="51"/>
      <c r="C1508" s="7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30"/>
      <c r="T1508" s="10"/>
      <c r="U1508" s="10"/>
      <c r="V1508" s="30"/>
      <c r="W1508" s="9"/>
      <c r="X1508" s="9"/>
      <c r="Y1508" s="9"/>
    </row>
    <row r="1509" spans="1:25" ht="15" customHeight="1" x14ac:dyDescent="0.35">
      <c r="A1509" s="7"/>
      <c r="B1509" s="51"/>
      <c r="C1509" s="7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30"/>
      <c r="T1509" s="10"/>
      <c r="U1509" s="10"/>
      <c r="V1509" s="30"/>
      <c r="W1509" s="9"/>
      <c r="X1509" s="9"/>
      <c r="Y1509" s="9"/>
    </row>
    <row r="1510" spans="1:25" ht="15" customHeight="1" x14ac:dyDescent="0.35">
      <c r="A1510" s="7"/>
      <c r="B1510" s="51"/>
      <c r="C1510" s="7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30"/>
      <c r="T1510" s="10"/>
      <c r="U1510" s="10"/>
      <c r="V1510" s="30"/>
      <c r="W1510" s="9"/>
      <c r="X1510" s="9"/>
      <c r="Y1510" s="9"/>
    </row>
    <row r="1511" spans="1:25" ht="15" customHeight="1" x14ac:dyDescent="0.35">
      <c r="A1511" s="7"/>
      <c r="B1511" s="51"/>
      <c r="C1511" s="7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30"/>
      <c r="T1511" s="10"/>
      <c r="U1511" s="10"/>
      <c r="V1511" s="30"/>
      <c r="W1511" s="9"/>
      <c r="X1511" s="9"/>
      <c r="Y1511" s="9"/>
    </row>
    <row r="1512" spans="1:25" ht="15" customHeight="1" x14ac:dyDescent="0.35">
      <c r="A1512" s="7"/>
      <c r="B1512" s="51"/>
      <c r="C1512" s="7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30"/>
      <c r="T1512" s="10"/>
      <c r="U1512" s="10"/>
      <c r="V1512" s="30"/>
      <c r="W1512" s="9"/>
      <c r="X1512" s="9"/>
      <c r="Y1512" s="9"/>
    </row>
    <row r="1513" spans="1:25" ht="15" customHeight="1" x14ac:dyDescent="0.35">
      <c r="A1513" s="7"/>
      <c r="B1513" s="51"/>
      <c r="C1513" s="7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30"/>
      <c r="T1513" s="10"/>
      <c r="U1513" s="10"/>
      <c r="V1513" s="30"/>
      <c r="W1513" s="9"/>
      <c r="X1513" s="9"/>
      <c r="Y1513" s="9"/>
    </row>
    <row r="1514" spans="1:25" ht="15" customHeight="1" x14ac:dyDescent="0.35">
      <c r="A1514" s="7"/>
      <c r="B1514" s="51"/>
      <c r="C1514" s="7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30"/>
      <c r="T1514" s="10"/>
      <c r="U1514" s="10"/>
      <c r="V1514" s="30"/>
      <c r="W1514" s="9"/>
      <c r="X1514" s="9"/>
      <c r="Y1514" s="9"/>
    </row>
    <row r="1515" spans="1:25" ht="15" customHeight="1" x14ac:dyDescent="0.35">
      <c r="A1515" s="7"/>
      <c r="B1515" s="51"/>
      <c r="C1515" s="7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30"/>
      <c r="T1515" s="10"/>
      <c r="U1515" s="10"/>
      <c r="V1515" s="30"/>
      <c r="W1515" s="9"/>
      <c r="X1515" s="9"/>
      <c r="Y1515" s="9"/>
    </row>
    <row r="1516" spans="1:25" ht="15" customHeight="1" x14ac:dyDescent="0.35">
      <c r="A1516" s="7"/>
      <c r="B1516" s="51"/>
      <c r="C1516" s="7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30"/>
      <c r="T1516" s="10"/>
      <c r="U1516" s="10"/>
      <c r="V1516" s="30"/>
      <c r="W1516" s="9"/>
      <c r="X1516" s="9"/>
      <c r="Y1516" s="9"/>
    </row>
    <row r="1517" spans="1:25" ht="15" customHeight="1" x14ac:dyDescent="0.35">
      <c r="A1517" s="7"/>
      <c r="B1517" s="51"/>
      <c r="C1517" s="7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30"/>
      <c r="T1517" s="10"/>
      <c r="U1517" s="10"/>
      <c r="V1517" s="30"/>
      <c r="W1517" s="9"/>
      <c r="X1517" s="9"/>
      <c r="Y1517" s="9"/>
    </row>
    <row r="1518" spans="1:25" ht="15" customHeight="1" x14ac:dyDescent="0.35">
      <c r="A1518" s="7"/>
      <c r="B1518" s="51"/>
      <c r="C1518" s="7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30"/>
      <c r="T1518" s="10"/>
      <c r="U1518" s="10"/>
      <c r="V1518" s="30"/>
      <c r="W1518" s="9"/>
      <c r="X1518" s="9"/>
      <c r="Y1518" s="9"/>
    </row>
    <row r="1519" spans="1:25" ht="15" customHeight="1" x14ac:dyDescent="0.35">
      <c r="A1519" s="7"/>
      <c r="B1519" s="51"/>
      <c r="C1519" s="7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30"/>
      <c r="T1519" s="10"/>
      <c r="U1519" s="10"/>
      <c r="V1519" s="30"/>
      <c r="W1519" s="9"/>
      <c r="X1519" s="9"/>
      <c r="Y1519" s="9"/>
    </row>
    <row r="1520" spans="1:25" ht="15" customHeight="1" x14ac:dyDescent="0.35">
      <c r="A1520" s="7"/>
      <c r="B1520" s="51"/>
      <c r="C1520" s="7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30"/>
      <c r="T1520" s="10"/>
      <c r="U1520" s="10"/>
      <c r="V1520" s="30"/>
      <c r="W1520" s="9"/>
      <c r="X1520" s="9"/>
      <c r="Y1520" s="9"/>
    </row>
  </sheetData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1"/>
  <sheetViews>
    <sheetView zoomScaleNormal="100" workbookViewId="0"/>
  </sheetViews>
  <sheetFormatPr defaultColWidth="8.54296875" defaultRowHeight="14.5" x14ac:dyDescent="0.35"/>
  <cols>
    <col min="1" max="15" width="19" customWidth="1"/>
    <col min="16" max="28" width="16" customWidth="1"/>
  </cols>
  <sheetData>
    <row r="1" spans="1:28" ht="23.25" customHeight="1" x14ac:dyDescent="0.35">
      <c r="A1" s="23" t="s">
        <v>63</v>
      </c>
      <c r="B1" s="23" t="s">
        <v>64</v>
      </c>
      <c r="C1" s="23" t="s">
        <v>250</v>
      </c>
      <c r="D1" s="23" t="s">
        <v>251</v>
      </c>
      <c r="E1" s="23" t="s">
        <v>252</v>
      </c>
      <c r="F1" s="23" t="s">
        <v>253</v>
      </c>
      <c r="G1" s="23" t="s">
        <v>254</v>
      </c>
      <c r="H1" s="23" t="s">
        <v>255</v>
      </c>
      <c r="I1" s="23" t="s">
        <v>256</v>
      </c>
      <c r="J1" s="23" t="s">
        <v>257</v>
      </c>
      <c r="K1" s="23" t="s">
        <v>258</v>
      </c>
      <c r="L1" s="23" t="s">
        <v>259</v>
      </c>
      <c r="M1" s="23" t="s">
        <v>260</v>
      </c>
      <c r="N1" s="23" t="s">
        <v>240</v>
      </c>
      <c r="O1" s="23" t="s">
        <v>249</v>
      </c>
      <c r="P1" s="32" t="s">
        <v>261</v>
      </c>
      <c r="Q1" s="32" t="s">
        <v>262</v>
      </c>
      <c r="R1" s="32" t="s">
        <v>263</v>
      </c>
      <c r="S1" s="32" t="s">
        <v>264</v>
      </c>
      <c r="T1" s="32" t="s">
        <v>265</v>
      </c>
      <c r="U1" s="32" t="s">
        <v>266</v>
      </c>
      <c r="V1" s="32" t="s">
        <v>267</v>
      </c>
      <c r="W1" s="32" t="s">
        <v>268</v>
      </c>
      <c r="X1" s="32" t="s">
        <v>269</v>
      </c>
      <c r="Y1" s="32" t="s">
        <v>270</v>
      </c>
      <c r="Z1" s="32" t="s">
        <v>271</v>
      </c>
      <c r="AA1" s="32" t="s">
        <v>272</v>
      </c>
      <c r="AB1" s="32" t="s">
        <v>273</v>
      </c>
    </row>
    <row r="2" spans="1:28" ht="15" customHeight="1" x14ac:dyDescent="0.35">
      <c r="A2" s="7" t="s">
        <v>96</v>
      </c>
      <c r="B2" s="24" t="str">
        <f>IFERROR(INDEX(Apoio_Tempo_Cargas!C$2:C$49,MATCH(A2,Apoio_Tempo_Cargas!A$2:A$49,0)),"")</f>
        <v>351</v>
      </c>
      <c r="C2" s="10">
        <f>COUNTIF(Apoio_Tempo_Cargas!A$2:A$49,A2)</f>
        <v>2</v>
      </c>
      <c r="D2" s="30">
        <f>IFERROR(SUMIFS(Apoio_Bordo!Q$2:Q$78,Apoio_Bordo!A$2:A$78,A2)/SUMIFS(Apoio_Bordo!R$2:R$78,Apoio_Bordo!A$2:A$78,A2),"")</f>
        <v>32.080874942862522</v>
      </c>
      <c r="E2" s="30">
        <f>IFERROR(SUMIFS(Apoio_Bordo!T$2:T$78,Apoio_Bordo!A$2:A$78,A2)/SUMIFS(Apoio_Bordo!U$2:U$78,Apoio_Bordo!A$2:A$78,A2),"")</f>
        <v>22.332721436343849</v>
      </c>
      <c r="F2" s="27">
        <f>IFERROR(AVERAGEIFS(Apoio_Tempo_Cargas!J$2:J$49,Apoio_Tempo_Cargas!A$2:A$49,A2),"")</f>
        <v>71.108333328156732</v>
      </c>
      <c r="G2" s="27">
        <f>IFERROR(AVERAGEIFS(Apoio_Tempo_Cargas!K$2:K$49,Apoio_Tempo_Cargas!A$2:A$49,A2),"")</f>
        <v>82.291666666860692</v>
      </c>
      <c r="H2" s="30" t="str">
        <f>IFERROR(AVERAGEIFS(Apoio_Tempo_Cargas!W$2:W$49,Apoio_Tempo_Cargas!A$2:A$49,A2),"")</f>
        <v/>
      </c>
      <c r="I2" s="30" t="str">
        <f>IFERROR(AVERAGEIFS(Apoio_Tempo_Cargas!U$2:U$49,Apoio_Tempo_Cargas!A$2:A$49,A2),"")</f>
        <v/>
      </c>
      <c r="J2" s="30">
        <f>SUMIFS(Apoio_Bordo!K$2:K$78,Apoio_Bordo!A$2:A$78,A2)+SUMIFS(Apoio_Bordo!L$2:L$78,Apoio_Bordo!A$2:A$78,A2)+SUMIFS(Apoio_Bordo!M$2:M$78,Apoio_Bordo!A$2:A$78,A2)</f>
        <v>21.532222222222224</v>
      </c>
      <c r="K2" s="30">
        <f>SUMIFS(Apoio_Bordo!H$2:H$78,Apoio_Bordo!A$2:A$78,A2)</f>
        <v>2.3555555555555556</v>
      </c>
      <c r="L2" s="30">
        <f>SUMIFS(Apoio_Bordo!N$2:N$78,Apoio_Bordo!A$2:A$78,A2)</f>
        <v>0.58888888888888891</v>
      </c>
      <c r="M2" s="30">
        <f>SUMIFS(Apoio_Bordo!I$2:I$78,Apoio_Bordo!A$2:A$78,A2)</f>
        <v>23.452777777777776</v>
      </c>
      <c r="N2" s="30">
        <f>SUMIFS(Apoio_Bordo!P$2:P$78,Apoio_Bordo!A$2:A$78,A2)</f>
        <v>96.31</v>
      </c>
      <c r="O2" s="9">
        <f t="shared" ref="O2:O21" si="0">IFERROR((J2+K2+M2)/N2,0)</f>
        <v>0.49154351111572581</v>
      </c>
      <c r="P2" s="8">
        <f>Apoio_Metas_Transporte!C$2</f>
        <v>36.6</v>
      </c>
      <c r="Q2" s="8">
        <f>Apoio_Metas_Transporte!D$2</f>
        <v>27</v>
      </c>
      <c r="R2" s="8">
        <f>Apoio_Metas_Transporte!A$2</f>
        <v>29.418586730956999</v>
      </c>
      <c r="S2" s="8">
        <f>Apoio_Metas_Transporte!B$2</f>
        <v>33.5</v>
      </c>
      <c r="T2" s="8">
        <f>Apoio_Metas_Transporte!E$2</f>
        <v>27</v>
      </c>
      <c r="U2" s="8">
        <f>Apoio_Metas_Transporte!F$2</f>
        <v>69.2</v>
      </c>
      <c r="V2" s="33">
        <f>Apoio_Metas_Transporte!G$2</f>
        <v>0.96</v>
      </c>
      <c r="W2" s="10" t="str">
        <f t="shared" ref="W2:W21" si="1">IF(D2&gt;=P2,"OK","OFENSOR")</f>
        <v>OFENSOR</v>
      </c>
      <c r="X2" s="10" t="str">
        <f t="shared" ref="X2:X21" si="2">IF(E2&gt;=Q2,"OK","OFENSOR")</f>
        <v>OFENSOR</v>
      </c>
      <c r="Y2" s="10" t="str">
        <f t="shared" ref="Y2:Y21" si="3">IF(H2&lt;=R2,"OK","OFENSOR")</f>
        <v>OFENSOR</v>
      </c>
      <c r="Z2" s="10" t="str">
        <f t="shared" ref="Z2:Z21" si="4">IF(I2&gt;=S2,"OK","OFENSOR")</f>
        <v>OK</v>
      </c>
      <c r="AA2" s="10" t="str">
        <f t="shared" ref="AA2:AA21" si="5">IF(G2&lt;=T2,"OK","OFENSOR")</f>
        <v>OFENSOR</v>
      </c>
      <c r="AB2" s="10" t="str">
        <f t="shared" ref="AB2:AB21" si="6">IF(O2&lt;=V2,"OK","OFENSOR")</f>
        <v>OK</v>
      </c>
    </row>
    <row r="3" spans="1:28" ht="15" customHeight="1" x14ac:dyDescent="0.35">
      <c r="A3" s="7" t="s">
        <v>104</v>
      </c>
      <c r="B3" s="24" t="str">
        <f>IFERROR(INDEX(Apoio_Tempo_Cargas!C$2:C$49,MATCH(A3,Apoio_Tempo_Cargas!A$2:A$49,0)),"")</f>
        <v/>
      </c>
      <c r="C3" s="10">
        <f>COUNTIF(Apoio_Tempo_Cargas!A$2:A$49,A3)</f>
        <v>0</v>
      </c>
      <c r="D3" s="30">
        <f>IFERROR(SUMIFS(Apoio_Bordo!Q$2:Q$78,Apoio_Bordo!A$2:A$78,A3)/SUMIFS(Apoio_Bordo!R$2:R$78,Apoio_Bordo!A$2:A$78,A3),"")</f>
        <v>35.30567898498532</v>
      </c>
      <c r="E3" s="30">
        <f>IFERROR(SUMIFS(Apoio_Bordo!T$2:T$78,Apoio_Bordo!A$2:A$78,A3)/SUMIFS(Apoio_Bordo!U$2:U$78,Apoio_Bordo!A$2:A$78,A3),"")</f>
        <v>25.747081250328893</v>
      </c>
      <c r="F3" s="27" t="str">
        <f>IFERROR(AVERAGEIFS(Apoio_Tempo_Cargas!J$2:J$49,Apoio_Tempo_Cargas!A$2:A$49,A3),"")</f>
        <v/>
      </c>
      <c r="G3" s="27" t="str">
        <f>IFERROR(AVERAGEIFS(Apoio_Tempo_Cargas!K$2:K$49,Apoio_Tempo_Cargas!A$2:A$49,A3),"")</f>
        <v/>
      </c>
      <c r="H3" s="30" t="str">
        <f>IFERROR(AVERAGEIFS(Apoio_Tempo_Cargas!W$2:W$49,Apoio_Tempo_Cargas!A$2:A$49,A3),"")</f>
        <v/>
      </c>
      <c r="I3" s="30" t="str">
        <f>IFERROR(AVERAGEIFS(Apoio_Tempo_Cargas!U$2:U$49,Apoio_Tempo_Cargas!A$2:A$49,A3),"")</f>
        <v/>
      </c>
      <c r="J3" s="30">
        <f>SUMIFS(Apoio_Bordo!K$2:K$78,Apoio_Bordo!A$2:A$78,A3)+SUMIFS(Apoio_Bordo!L$2:L$78,Apoio_Bordo!A$2:A$78,A3)+SUMIFS(Apoio_Bordo!M$2:M$78,Apoio_Bordo!A$2:A$78,A3)</f>
        <v>8.9302777777777784</v>
      </c>
      <c r="K3" s="30">
        <f>SUMIFS(Apoio_Bordo!H$2:H$78,Apoio_Bordo!A$2:A$78,A3)</f>
        <v>1.8438888888888889</v>
      </c>
      <c r="L3" s="30">
        <f>SUMIFS(Apoio_Bordo!N$2:N$78,Apoio_Bordo!A$2:A$78,A3)</f>
        <v>1.4916666666666667</v>
      </c>
      <c r="M3" s="30">
        <f>SUMIFS(Apoio_Bordo!I$2:I$78,Apoio_Bordo!A$2:A$78,A3)</f>
        <v>31.551944444444445</v>
      </c>
      <c r="N3" s="30">
        <f>SUMIFS(Apoio_Bordo!P$2:P$78,Apoio_Bordo!A$2:A$78,A3)</f>
        <v>81.995277777777773</v>
      </c>
      <c r="O3" s="9">
        <f t="shared" si="0"/>
        <v>0.51620181379008956</v>
      </c>
      <c r="P3" s="8">
        <f>Apoio_Metas_Transporte!C$2</f>
        <v>36.6</v>
      </c>
      <c r="Q3" s="8">
        <f>Apoio_Metas_Transporte!D$2</f>
        <v>27</v>
      </c>
      <c r="R3" s="8">
        <f>Apoio_Metas_Transporte!A$2</f>
        <v>29.418586730956999</v>
      </c>
      <c r="S3" s="8">
        <f>Apoio_Metas_Transporte!B$2</f>
        <v>33.5</v>
      </c>
      <c r="T3" s="8">
        <f>Apoio_Metas_Transporte!E$2</f>
        <v>27</v>
      </c>
      <c r="U3" s="8">
        <f>Apoio_Metas_Transporte!F$2</f>
        <v>69.2</v>
      </c>
      <c r="V3" s="33">
        <f>Apoio_Metas_Transporte!G$2</f>
        <v>0.96</v>
      </c>
      <c r="W3" s="10" t="str">
        <f t="shared" si="1"/>
        <v>OFENSOR</v>
      </c>
      <c r="X3" s="10" t="str">
        <f t="shared" si="2"/>
        <v>OFENSOR</v>
      </c>
      <c r="Y3" s="10" t="str">
        <f t="shared" si="3"/>
        <v>OFENSOR</v>
      </c>
      <c r="Z3" s="10" t="str">
        <f t="shared" si="4"/>
        <v>OK</v>
      </c>
      <c r="AA3" s="10" t="str">
        <f t="shared" si="5"/>
        <v>OFENSOR</v>
      </c>
      <c r="AB3" s="10" t="str">
        <f t="shared" si="6"/>
        <v>OK</v>
      </c>
    </row>
    <row r="4" spans="1:28" ht="15" customHeight="1" x14ac:dyDescent="0.35">
      <c r="A4" s="7" t="s">
        <v>90</v>
      </c>
      <c r="B4" s="24" t="str">
        <f>IFERROR(INDEX(Apoio_Tempo_Cargas!C$2:C$49,MATCH(A4,Apoio_Tempo_Cargas!A$2:A$49,0)),"")</f>
        <v>351</v>
      </c>
      <c r="C4" s="10">
        <f>COUNTIF(Apoio_Tempo_Cargas!A$2:A$49,A4)</f>
        <v>4</v>
      </c>
      <c r="D4" s="30">
        <f>IFERROR(SUMIFS(Apoio_Bordo!Q$2:Q$78,Apoio_Bordo!A$2:A$78,A4)/SUMIFS(Apoio_Bordo!R$2:R$78,Apoio_Bordo!A$2:A$78,A4),"")</f>
        <v>37.642450223686154</v>
      </c>
      <c r="E4" s="30">
        <f>IFERROR(SUMIFS(Apoio_Bordo!T$2:T$78,Apoio_Bordo!A$2:A$78,A4)/SUMIFS(Apoio_Bordo!U$2:U$78,Apoio_Bordo!A$2:A$78,A4),"")</f>
        <v>25.221404794036371</v>
      </c>
      <c r="F4" s="27">
        <f>IFERROR(AVERAGEIFS(Apoio_Tempo_Cargas!J$2:J$49,Apoio_Tempo_Cargas!A$2:A$49,A4),"")</f>
        <v>73.362500000512227</v>
      </c>
      <c r="G4" s="27">
        <f>IFERROR(AVERAGEIFS(Apoio_Tempo_Cargas!K$2:K$49,Apoio_Tempo_Cargas!A$2:A$49,A4),"")</f>
        <v>128.44166666589445</v>
      </c>
      <c r="H4" s="30">
        <f>IFERROR(AVERAGEIFS(Apoio_Tempo_Cargas!W$2:W$49,Apoio_Tempo_Cargas!A$2:A$49,A4),"")</f>
        <v>53.336971560338199</v>
      </c>
      <c r="I4" s="30">
        <f>IFERROR(AVERAGEIFS(Apoio_Tempo_Cargas!U$2:U$49,Apoio_Tempo_Cargas!A$2:A$49,A4),"")</f>
        <v>32.524999999999999</v>
      </c>
      <c r="J4" s="30">
        <f>SUMIFS(Apoio_Bordo!K$2:K$78,Apoio_Bordo!A$2:A$78,A4)+SUMIFS(Apoio_Bordo!L$2:L$78,Apoio_Bordo!A$2:A$78,A4)+SUMIFS(Apoio_Bordo!M$2:M$78,Apoio_Bordo!A$2:A$78,A4)</f>
        <v>10.753333333333334</v>
      </c>
      <c r="K4" s="30">
        <f>SUMIFS(Apoio_Bordo!H$2:H$78,Apoio_Bordo!A$2:A$78,A4)</f>
        <v>0.86555555555555563</v>
      </c>
      <c r="L4" s="30">
        <f>SUMIFS(Apoio_Bordo!N$2:N$78,Apoio_Bordo!A$2:A$78,A4)</f>
        <v>0</v>
      </c>
      <c r="M4" s="30">
        <f>SUMIFS(Apoio_Bordo!I$2:I$78,Apoio_Bordo!A$2:A$78,A4)</f>
        <v>50.545555555555552</v>
      </c>
      <c r="N4" s="30">
        <f>SUMIFS(Apoio_Bordo!P$2:P$78,Apoio_Bordo!A$2:A$78,A4)</f>
        <v>96.304444444444442</v>
      </c>
      <c r="O4" s="9">
        <f t="shared" si="0"/>
        <v>0.64549922698848561</v>
      </c>
      <c r="P4" s="8">
        <f>Apoio_Metas_Transporte!C$2</f>
        <v>36.6</v>
      </c>
      <c r="Q4" s="8">
        <f>Apoio_Metas_Transporte!D$2</f>
        <v>27</v>
      </c>
      <c r="R4" s="8">
        <f>Apoio_Metas_Transporte!A$2</f>
        <v>29.418586730956999</v>
      </c>
      <c r="S4" s="8">
        <f>Apoio_Metas_Transporte!B$2</f>
        <v>33.5</v>
      </c>
      <c r="T4" s="8">
        <f>Apoio_Metas_Transporte!E$2</f>
        <v>27</v>
      </c>
      <c r="U4" s="8">
        <f>Apoio_Metas_Transporte!F$2</f>
        <v>69.2</v>
      </c>
      <c r="V4" s="33">
        <f>Apoio_Metas_Transporte!G$2</f>
        <v>0.96</v>
      </c>
      <c r="W4" s="10" t="str">
        <f t="shared" si="1"/>
        <v>OK</v>
      </c>
      <c r="X4" s="10" t="str">
        <f t="shared" si="2"/>
        <v>OFENSOR</v>
      </c>
      <c r="Y4" s="10" t="str">
        <f t="shared" si="3"/>
        <v>OFENSOR</v>
      </c>
      <c r="Z4" s="10" t="str">
        <f t="shared" si="4"/>
        <v>OFENSOR</v>
      </c>
      <c r="AA4" s="10" t="str">
        <f t="shared" si="5"/>
        <v>OFENSOR</v>
      </c>
      <c r="AB4" s="10" t="str">
        <f t="shared" si="6"/>
        <v>OK</v>
      </c>
    </row>
    <row r="5" spans="1:28" ht="15" customHeight="1" x14ac:dyDescent="0.35">
      <c r="A5" s="7" t="s">
        <v>107</v>
      </c>
      <c r="B5" s="24" t="str">
        <f>IFERROR(INDEX(Apoio_Tempo_Cargas!C$2:C$49,MATCH(A5,Apoio_Tempo_Cargas!A$2:A$49,0)),"")</f>
        <v>353</v>
      </c>
      <c r="C5" s="10">
        <f>COUNTIF(Apoio_Tempo_Cargas!A$2:A$49,A5)</f>
        <v>2</v>
      </c>
      <c r="D5" s="30">
        <f>IFERROR(SUMIFS(Apoio_Bordo!Q$2:Q$78,Apoio_Bordo!A$2:A$78,A5)/SUMIFS(Apoio_Bordo!R$2:R$78,Apoio_Bordo!A$2:A$78,A5),"")</f>
        <v>37.952791431056987</v>
      </c>
      <c r="E5" s="30">
        <f>IFERROR(SUMIFS(Apoio_Bordo!T$2:T$78,Apoio_Bordo!A$2:A$78,A5)/SUMIFS(Apoio_Bordo!U$2:U$78,Apoio_Bordo!A$2:A$78,A5),"")</f>
        <v>22.248779171434123</v>
      </c>
      <c r="F5" s="27">
        <f>IFERROR(AVERAGEIFS(Apoio_Tempo_Cargas!J$2:J$49,Apoio_Tempo_Cargas!A$2:A$49,A5),"")</f>
        <v>80.458333329297602</v>
      </c>
      <c r="G5" s="27">
        <f>IFERROR(AVERAGEIFS(Apoio_Tempo_Cargas!K$2:K$49,Apoio_Tempo_Cargas!A$2:A$49,A5),"")</f>
        <v>44.383333335863426</v>
      </c>
      <c r="H5" s="30">
        <f>IFERROR(AVERAGEIFS(Apoio_Tempo_Cargas!W$2:W$49,Apoio_Tempo_Cargas!A$2:A$49,A5),"")</f>
        <v>48.645755639587954</v>
      </c>
      <c r="I5" s="30">
        <f>IFERROR(AVERAGEIFS(Apoio_Tempo_Cargas!U$2:U$49,Apoio_Tempo_Cargas!A$2:A$49,A5),"")</f>
        <v>38.344999999999999</v>
      </c>
      <c r="J5" s="30">
        <f>SUMIFS(Apoio_Bordo!K$2:K$78,Apoio_Bordo!A$2:A$78,A5)+SUMIFS(Apoio_Bordo!L$2:L$78,Apoio_Bordo!A$2:A$78,A5)+SUMIFS(Apoio_Bordo!M$2:M$78,Apoio_Bordo!A$2:A$78,A5)</f>
        <v>0</v>
      </c>
      <c r="K5" s="30">
        <f>SUMIFS(Apoio_Bordo!H$2:H$78,Apoio_Bordo!A$2:A$78,A5)</f>
        <v>1.256388888888889</v>
      </c>
      <c r="L5" s="30">
        <f>SUMIFS(Apoio_Bordo!N$2:N$78,Apoio_Bordo!A$2:A$78,A5)</f>
        <v>0</v>
      </c>
      <c r="M5" s="30">
        <f>SUMIFS(Apoio_Bordo!I$2:I$78,Apoio_Bordo!A$2:A$78,A5)</f>
        <v>5.0094444444444441</v>
      </c>
      <c r="N5" s="30">
        <f>SUMIFS(Apoio_Bordo!P$2:P$78,Apoio_Bordo!A$2:A$78,A5)</f>
        <v>26.841111111111111</v>
      </c>
      <c r="O5" s="9">
        <f t="shared" si="0"/>
        <v>0.23344165252307819</v>
      </c>
      <c r="P5" s="8">
        <f>Apoio_Metas_Transporte!C$2</f>
        <v>36.6</v>
      </c>
      <c r="Q5" s="8">
        <f>Apoio_Metas_Transporte!D$2</f>
        <v>27</v>
      </c>
      <c r="R5" s="8">
        <f>Apoio_Metas_Transporte!A$2</f>
        <v>29.418586730956999</v>
      </c>
      <c r="S5" s="8">
        <f>Apoio_Metas_Transporte!B$2</f>
        <v>33.5</v>
      </c>
      <c r="T5" s="8">
        <f>Apoio_Metas_Transporte!E$2</f>
        <v>27</v>
      </c>
      <c r="U5" s="8">
        <f>Apoio_Metas_Transporte!F$2</f>
        <v>69.2</v>
      </c>
      <c r="V5" s="33">
        <f>Apoio_Metas_Transporte!G$2</f>
        <v>0.96</v>
      </c>
      <c r="W5" s="10" t="str">
        <f t="shared" si="1"/>
        <v>OK</v>
      </c>
      <c r="X5" s="10" t="str">
        <f t="shared" si="2"/>
        <v>OFENSOR</v>
      </c>
      <c r="Y5" s="10" t="str">
        <f t="shared" si="3"/>
        <v>OFENSOR</v>
      </c>
      <c r="Z5" s="10" t="str">
        <f t="shared" si="4"/>
        <v>OK</v>
      </c>
      <c r="AA5" s="10" t="str">
        <f t="shared" si="5"/>
        <v>OFENSOR</v>
      </c>
      <c r="AB5" s="10" t="str">
        <f t="shared" si="6"/>
        <v>OK</v>
      </c>
    </row>
    <row r="6" spans="1:28" ht="15" customHeight="1" x14ac:dyDescent="0.35">
      <c r="A6" s="7" t="s">
        <v>81</v>
      </c>
      <c r="B6" s="24" t="str">
        <f>IFERROR(INDEX(Apoio_Tempo_Cargas!C$2:C$49,MATCH(A6,Apoio_Tempo_Cargas!A$2:A$49,0)),"")</f>
        <v>352</v>
      </c>
      <c r="C6" s="10">
        <f>COUNTIF(Apoio_Tempo_Cargas!A$2:A$49,A6)</f>
        <v>4</v>
      </c>
      <c r="D6" s="30">
        <f>IFERROR(SUMIFS(Apoio_Bordo!Q$2:Q$78,Apoio_Bordo!A$2:A$78,A6)/SUMIFS(Apoio_Bordo!R$2:R$78,Apoio_Bordo!A$2:A$78,A6),"")</f>
        <v>31.487897863658191</v>
      </c>
      <c r="E6" s="30">
        <f>IFERROR(SUMIFS(Apoio_Bordo!T$2:T$78,Apoio_Bordo!A$2:A$78,A6)/SUMIFS(Apoio_Bordo!U$2:U$78,Apoio_Bordo!A$2:A$78,A6),"")</f>
        <v>26.155410377946858</v>
      </c>
      <c r="F6" s="27">
        <f>IFERROR(AVERAGEIFS(Apoio_Tempo_Cargas!J$2:J$49,Apoio_Tempo_Cargas!A$2:A$49,A6),"")</f>
        <v>47.133333334350027</v>
      </c>
      <c r="G6" s="27">
        <f>IFERROR(AVERAGEIFS(Apoio_Tempo_Cargas!K$2:K$49,Apoio_Tempo_Cargas!A$2:A$49,A6),"")</f>
        <v>263.74999999796273</v>
      </c>
      <c r="H6" s="30">
        <f>IFERROR(AVERAGEIFS(Apoio_Tempo_Cargas!W$2:W$49,Apoio_Tempo_Cargas!A$2:A$49,A6),"")</f>
        <v>50.979548033282903</v>
      </c>
      <c r="I6" s="30">
        <f>IFERROR(AVERAGEIFS(Apoio_Tempo_Cargas!U$2:U$49,Apoio_Tempo_Cargas!A$2:A$49,A6),"")</f>
        <v>35.253333333333337</v>
      </c>
      <c r="J6" s="30">
        <f>SUMIFS(Apoio_Bordo!K$2:K$78,Apoio_Bordo!A$2:A$78,A6)+SUMIFS(Apoio_Bordo!L$2:L$78,Apoio_Bordo!A$2:A$78,A6)+SUMIFS(Apoio_Bordo!M$2:M$78,Apoio_Bordo!A$2:A$78,A6)</f>
        <v>10.54</v>
      </c>
      <c r="K6" s="30">
        <f>SUMIFS(Apoio_Bordo!H$2:H$78,Apoio_Bordo!A$2:A$78,A6)</f>
        <v>10.616111111111111</v>
      </c>
      <c r="L6" s="30">
        <f>SUMIFS(Apoio_Bordo!N$2:N$78,Apoio_Bordo!A$2:A$78,A6)</f>
        <v>0.34805555555555556</v>
      </c>
      <c r="M6" s="30">
        <f>SUMIFS(Apoio_Bordo!I$2:I$78,Apoio_Bordo!A$2:A$78,A6)</f>
        <v>20.41888888888889</v>
      </c>
      <c r="N6" s="30">
        <f>SUMIFS(Apoio_Bordo!P$2:P$78,Apoio_Bordo!A$2:A$78,A6)</f>
        <v>82.783055555555563</v>
      </c>
      <c r="O6" s="9">
        <f t="shared" si="0"/>
        <v>0.50221630164519715</v>
      </c>
      <c r="P6" s="8">
        <f>Apoio_Metas_Transporte!C$2</f>
        <v>36.6</v>
      </c>
      <c r="Q6" s="8">
        <f>Apoio_Metas_Transporte!D$2</f>
        <v>27</v>
      </c>
      <c r="R6" s="8">
        <f>Apoio_Metas_Transporte!A$2</f>
        <v>29.418586730956999</v>
      </c>
      <c r="S6" s="8">
        <f>Apoio_Metas_Transporte!B$2</f>
        <v>33.5</v>
      </c>
      <c r="T6" s="8">
        <f>Apoio_Metas_Transporte!E$2</f>
        <v>27</v>
      </c>
      <c r="U6" s="8">
        <f>Apoio_Metas_Transporte!F$2</f>
        <v>69.2</v>
      </c>
      <c r="V6" s="33">
        <f>Apoio_Metas_Transporte!G$2</f>
        <v>0.96</v>
      </c>
      <c r="W6" s="10" t="str">
        <f t="shared" si="1"/>
        <v>OFENSOR</v>
      </c>
      <c r="X6" s="10" t="str">
        <f t="shared" si="2"/>
        <v>OFENSOR</v>
      </c>
      <c r="Y6" s="10" t="str">
        <f t="shared" si="3"/>
        <v>OFENSOR</v>
      </c>
      <c r="Z6" s="10" t="str">
        <f t="shared" si="4"/>
        <v>OK</v>
      </c>
      <c r="AA6" s="10" t="str">
        <f t="shared" si="5"/>
        <v>OFENSOR</v>
      </c>
      <c r="AB6" s="10" t="str">
        <f t="shared" si="6"/>
        <v>OK</v>
      </c>
    </row>
    <row r="7" spans="1:28" ht="15" customHeight="1" x14ac:dyDescent="0.35">
      <c r="A7" s="7" t="s">
        <v>101</v>
      </c>
      <c r="B7" s="24" t="str">
        <f>IFERROR(INDEX(Apoio_Tempo_Cargas!C$2:C$49,MATCH(A7,Apoio_Tempo_Cargas!A$2:A$49,0)),"")</f>
        <v>353</v>
      </c>
      <c r="C7" s="10">
        <f>COUNTIF(Apoio_Tempo_Cargas!A$2:A$49,A7)</f>
        <v>3</v>
      </c>
      <c r="D7" s="30">
        <f>IFERROR(SUMIFS(Apoio_Bordo!Q$2:Q$78,Apoio_Bordo!A$2:A$78,A7)/SUMIFS(Apoio_Bordo!R$2:R$78,Apoio_Bordo!A$2:A$78,A7),"")</f>
        <v>29.475479651963219</v>
      </c>
      <c r="E7" s="30">
        <f>IFERROR(SUMIFS(Apoio_Bordo!T$2:T$78,Apoio_Bordo!A$2:A$78,A7)/SUMIFS(Apoio_Bordo!U$2:U$78,Apoio_Bordo!A$2:A$78,A7),"")</f>
        <v>23.95900415845918</v>
      </c>
      <c r="F7" s="27">
        <f>IFERROR(AVERAGEIFS(Apoio_Tempo_Cargas!J$2:J$49,Apoio_Tempo_Cargas!A$2:A$49,A7),"")</f>
        <v>41.155555557925254</v>
      </c>
      <c r="G7" s="27">
        <f>IFERROR(AVERAGEIFS(Apoio_Tempo_Cargas!K$2:K$49,Apoio_Tempo_Cargas!A$2:A$49,A7),"")</f>
        <v>74.966666662367061</v>
      </c>
      <c r="H7" s="30">
        <f>IFERROR(AVERAGEIFS(Apoio_Tempo_Cargas!W$2:W$49,Apoio_Tempo_Cargas!A$2:A$49,A7),"")</f>
        <v>49.479406258357848</v>
      </c>
      <c r="I7" s="30">
        <f>IFERROR(AVERAGEIFS(Apoio_Tempo_Cargas!U$2:U$49,Apoio_Tempo_Cargas!A$2:A$49,A7),"")</f>
        <v>37.39</v>
      </c>
      <c r="J7" s="30">
        <f>SUMIFS(Apoio_Bordo!K$2:K$78,Apoio_Bordo!A$2:A$78,A7)+SUMIFS(Apoio_Bordo!L$2:L$78,Apoio_Bordo!A$2:A$78,A7)+SUMIFS(Apoio_Bordo!M$2:M$78,Apoio_Bordo!A$2:A$78,A7)</f>
        <v>8.1661111111111104</v>
      </c>
      <c r="K7" s="30">
        <f>SUMIFS(Apoio_Bordo!H$2:H$78,Apoio_Bordo!A$2:A$78,A7)</f>
        <v>2.6016666666666666</v>
      </c>
      <c r="L7" s="30">
        <f>SUMIFS(Apoio_Bordo!N$2:N$78,Apoio_Bordo!A$2:A$78,A7)</f>
        <v>0.10833333333333334</v>
      </c>
      <c r="M7" s="30">
        <f>SUMIFS(Apoio_Bordo!I$2:I$78,Apoio_Bordo!A$2:A$78,A7)</f>
        <v>20.798333333333332</v>
      </c>
      <c r="N7" s="30">
        <f>SUMIFS(Apoio_Bordo!P$2:P$78,Apoio_Bordo!A$2:A$78,A7)</f>
        <v>69.853611111111121</v>
      </c>
      <c r="O7" s="9">
        <f t="shared" si="0"/>
        <v>0.45188946725891038</v>
      </c>
      <c r="P7" s="8">
        <f>Apoio_Metas_Transporte!C$2</f>
        <v>36.6</v>
      </c>
      <c r="Q7" s="8">
        <f>Apoio_Metas_Transporte!D$2</f>
        <v>27</v>
      </c>
      <c r="R7" s="8">
        <f>Apoio_Metas_Transporte!A$2</f>
        <v>29.418586730956999</v>
      </c>
      <c r="S7" s="8">
        <f>Apoio_Metas_Transporte!B$2</f>
        <v>33.5</v>
      </c>
      <c r="T7" s="8">
        <f>Apoio_Metas_Transporte!E$2</f>
        <v>27</v>
      </c>
      <c r="U7" s="8">
        <f>Apoio_Metas_Transporte!F$2</f>
        <v>69.2</v>
      </c>
      <c r="V7" s="33">
        <f>Apoio_Metas_Transporte!G$2</f>
        <v>0.96</v>
      </c>
      <c r="W7" s="10" t="str">
        <f t="shared" si="1"/>
        <v>OFENSOR</v>
      </c>
      <c r="X7" s="10" t="str">
        <f t="shared" si="2"/>
        <v>OFENSOR</v>
      </c>
      <c r="Y7" s="10" t="str">
        <f t="shared" si="3"/>
        <v>OFENSOR</v>
      </c>
      <c r="Z7" s="10" t="str">
        <f t="shared" si="4"/>
        <v>OK</v>
      </c>
      <c r="AA7" s="10" t="str">
        <f t="shared" si="5"/>
        <v>OFENSOR</v>
      </c>
      <c r="AB7" s="10" t="str">
        <f t="shared" si="6"/>
        <v>OK</v>
      </c>
    </row>
    <row r="8" spans="1:28" ht="15" customHeight="1" x14ac:dyDescent="0.35">
      <c r="A8" s="7" t="s">
        <v>95</v>
      </c>
      <c r="B8" s="24" t="str">
        <f>IFERROR(INDEX(Apoio_Tempo_Cargas!C$2:C$49,MATCH(A8,Apoio_Tempo_Cargas!A$2:A$49,0)),"")</f>
        <v>353</v>
      </c>
      <c r="C8" s="10">
        <f>COUNTIF(Apoio_Tempo_Cargas!A$2:A$49,A8)</f>
        <v>5</v>
      </c>
      <c r="D8" s="30">
        <f>IFERROR(SUMIFS(Apoio_Bordo!Q$2:Q$78,Apoio_Bordo!A$2:A$78,A8)/SUMIFS(Apoio_Bordo!R$2:R$78,Apoio_Bordo!A$2:A$78,A8),"")</f>
        <v>32.359029614558608</v>
      </c>
      <c r="E8" s="30">
        <f>IFERROR(SUMIFS(Apoio_Bordo!T$2:T$78,Apoio_Bordo!A$2:A$78,A8)/SUMIFS(Apoio_Bordo!U$2:U$78,Apoio_Bordo!A$2:A$78,A8),"")</f>
        <v>26.646655061382845</v>
      </c>
      <c r="F8" s="27">
        <f>IFERROR(AVERAGEIFS(Apoio_Tempo_Cargas!J$2:J$49,Apoio_Tempo_Cargas!A$2:A$49,A8),"")</f>
        <v>102.44666666141711</v>
      </c>
      <c r="G8" s="27">
        <f>IFERROR(AVERAGEIFS(Apoio_Tempo_Cargas!K$2:K$49,Apoio_Tempo_Cargas!A$2:A$49,A8),"")</f>
        <v>113.69333333568648</v>
      </c>
      <c r="H8" s="30">
        <f>IFERROR(AVERAGEIFS(Apoio_Tempo_Cargas!W$2:W$49,Apoio_Tempo_Cargas!A$2:A$49,A8),"")</f>
        <v>49.098571823458954</v>
      </c>
      <c r="I8" s="30">
        <f>IFERROR(AVERAGEIFS(Apoio_Tempo_Cargas!U$2:U$49,Apoio_Tempo_Cargas!A$2:A$49,A8),"")</f>
        <v>36.176666666666662</v>
      </c>
      <c r="J8" s="30">
        <f>SUMIFS(Apoio_Bordo!K$2:K$78,Apoio_Bordo!A$2:A$78,A8)+SUMIFS(Apoio_Bordo!L$2:L$78,Apoio_Bordo!A$2:A$78,A8)+SUMIFS(Apoio_Bordo!M$2:M$78,Apoio_Bordo!A$2:A$78,A8)</f>
        <v>13.132777777777777</v>
      </c>
      <c r="K8" s="30">
        <f>SUMIFS(Apoio_Bordo!H$2:H$78,Apoio_Bordo!A$2:A$78,A8)</f>
        <v>2.5225</v>
      </c>
      <c r="L8" s="30">
        <f>SUMIFS(Apoio_Bordo!N$2:N$78,Apoio_Bordo!A$2:A$78,A8)</f>
        <v>1.7022222222222223</v>
      </c>
      <c r="M8" s="30">
        <f>SUMIFS(Apoio_Bordo!I$2:I$78,Apoio_Bordo!A$2:A$78,A8)</f>
        <v>23.29</v>
      </c>
      <c r="N8" s="30">
        <f>SUMIFS(Apoio_Bordo!P$2:P$78,Apoio_Bordo!A$2:A$78,A8)</f>
        <v>102.79083333333334</v>
      </c>
      <c r="O8" s="9">
        <f t="shared" si="0"/>
        <v>0.37887889916686257</v>
      </c>
      <c r="P8" s="8">
        <f>Apoio_Metas_Transporte!C$2</f>
        <v>36.6</v>
      </c>
      <c r="Q8" s="8">
        <f>Apoio_Metas_Transporte!D$2</f>
        <v>27</v>
      </c>
      <c r="R8" s="8">
        <f>Apoio_Metas_Transporte!A$2</f>
        <v>29.418586730956999</v>
      </c>
      <c r="S8" s="8">
        <f>Apoio_Metas_Transporte!B$2</f>
        <v>33.5</v>
      </c>
      <c r="T8" s="8">
        <f>Apoio_Metas_Transporte!E$2</f>
        <v>27</v>
      </c>
      <c r="U8" s="8">
        <f>Apoio_Metas_Transporte!F$2</f>
        <v>69.2</v>
      </c>
      <c r="V8" s="33">
        <f>Apoio_Metas_Transporte!G$2</f>
        <v>0.96</v>
      </c>
      <c r="W8" s="10" t="str">
        <f t="shared" si="1"/>
        <v>OFENSOR</v>
      </c>
      <c r="X8" s="10" t="str">
        <f t="shared" si="2"/>
        <v>OFENSOR</v>
      </c>
      <c r="Y8" s="10" t="str">
        <f t="shared" si="3"/>
        <v>OFENSOR</v>
      </c>
      <c r="Z8" s="10" t="str">
        <f t="shared" si="4"/>
        <v>OK</v>
      </c>
      <c r="AA8" s="10" t="str">
        <f t="shared" si="5"/>
        <v>OFENSOR</v>
      </c>
      <c r="AB8" s="10" t="str">
        <f t="shared" si="6"/>
        <v>OK</v>
      </c>
    </row>
    <row r="9" spans="1:28" ht="15" customHeight="1" x14ac:dyDescent="0.35">
      <c r="A9" s="7" t="s">
        <v>86</v>
      </c>
      <c r="B9" s="24" t="str">
        <f>IFERROR(INDEX(Apoio_Tempo_Cargas!C$2:C$49,MATCH(A9,Apoio_Tempo_Cargas!A$2:A$49,0)),"")</f>
        <v>353</v>
      </c>
      <c r="C9" s="10">
        <f>COUNTIF(Apoio_Tempo_Cargas!A$2:A$49,A9)</f>
        <v>2</v>
      </c>
      <c r="D9" s="30">
        <f>IFERROR(SUMIFS(Apoio_Bordo!Q$2:Q$78,Apoio_Bordo!A$2:A$78,A9)/SUMIFS(Apoio_Bordo!R$2:R$78,Apoio_Bordo!A$2:A$78,A9),"")</f>
        <v>32.995891628208241</v>
      </c>
      <c r="E9" s="30">
        <f>IFERROR(SUMIFS(Apoio_Bordo!T$2:T$78,Apoio_Bordo!A$2:A$78,A9)/SUMIFS(Apoio_Bordo!U$2:U$78,Apoio_Bordo!A$2:A$78,A9),"")</f>
        <v>24.07651943032992</v>
      </c>
      <c r="F9" s="27">
        <f>IFERROR(AVERAGEIFS(Apoio_Tempo_Cargas!J$2:J$49,Apoio_Tempo_Cargas!A$2:A$49,A9),"")</f>
        <v>85.100000001839362</v>
      </c>
      <c r="G9" s="27">
        <f>IFERROR(AVERAGEIFS(Apoio_Tempo_Cargas!K$2:K$49,Apoio_Tempo_Cargas!A$2:A$49,A9),"")</f>
        <v>210.99166666623205</v>
      </c>
      <c r="H9" s="30">
        <f>IFERROR(AVERAGEIFS(Apoio_Tempo_Cargas!W$2:W$49,Apoio_Tempo_Cargas!A$2:A$49,A9),"")</f>
        <v>49.496156904320166</v>
      </c>
      <c r="I9" s="30">
        <f>IFERROR(AVERAGEIFS(Apoio_Tempo_Cargas!U$2:U$49,Apoio_Tempo_Cargas!A$2:A$49,A9),"")</f>
        <v>37.729999999999997</v>
      </c>
      <c r="J9" s="30">
        <f>SUMIFS(Apoio_Bordo!K$2:K$78,Apoio_Bordo!A$2:A$78,A9)+SUMIFS(Apoio_Bordo!L$2:L$78,Apoio_Bordo!A$2:A$78,A9)+SUMIFS(Apoio_Bordo!M$2:M$78,Apoio_Bordo!A$2:A$78,A9)</f>
        <v>7.7419444444444441</v>
      </c>
      <c r="K9" s="30">
        <f>SUMIFS(Apoio_Bordo!H$2:H$78,Apoio_Bordo!A$2:A$78,A9)</f>
        <v>1.1155555555555556</v>
      </c>
      <c r="L9" s="30">
        <f>SUMIFS(Apoio_Bordo!N$2:N$78,Apoio_Bordo!A$2:A$78,A9)</f>
        <v>0</v>
      </c>
      <c r="M9" s="30">
        <f>SUMIFS(Apoio_Bordo!I$2:I$78,Apoio_Bordo!A$2:A$78,A9)</f>
        <v>16.565833333333334</v>
      </c>
      <c r="N9" s="30">
        <f>SUMIFS(Apoio_Bordo!P$2:P$78,Apoio_Bordo!A$2:A$78,A9)</f>
        <v>60.041666666666671</v>
      </c>
      <c r="O9" s="9">
        <f t="shared" si="0"/>
        <v>0.4234281748785565</v>
      </c>
      <c r="P9" s="8">
        <f>Apoio_Metas_Transporte!C$2</f>
        <v>36.6</v>
      </c>
      <c r="Q9" s="8">
        <f>Apoio_Metas_Transporte!D$2</f>
        <v>27</v>
      </c>
      <c r="R9" s="8">
        <f>Apoio_Metas_Transporte!A$2</f>
        <v>29.418586730956999</v>
      </c>
      <c r="S9" s="8">
        <f>Apoio_Metas_Transporte!B$2</f>
        <v>33.5</v>
      </c>
      <c r="T9" s="8">
        <f>Apoio_Metas_Transporte!E$2</f>
        <v>27</v>
      </c>
      <c r="U9" s="8">
        <f>Apoio_Metas_Transporte!F$2</f>
        <v>69.2</v>
      </c>
      <c r="V9" s="33">
        <f>Apoio_Metas_Transporte!G$2</f>
        <v>0.96</v>
      </c>
      <c r="W9" s="10" t="str">
        <f t="shared" si="1"/>
        <v>OFENSOR</v>
      </c>
      <c r="X9" s="10" t="str">
        <f t="shared" si="2"/>
        <v>OFENSOR</v>
      </c>
      <c r="Y9" s="10" t="str">
        <f t="shared" si="3"/>
        <v>OFENSOR</v>
      </c>
      <c r="Z9" s="10" t="str">
        <f t="shared" si="4"/>
        <v>OK</v>
      </c>
      <c r="AA9" s="10" t="str">
        <f t="shared" si="5"/>
        <v>OFENSOR</v>
      </c>
      <c r="AB9" s="10" t="str">
        <f t="shared" si="6"/>
        <v>OK</v>
      </c>
    </row>
    <row r="10" spans="1:28" ht="15" customHeight="1" x14ac:dyDescent="0.35">
      <c r="A10" s="7" t="s">
        <v>88</v>
      </c>
      <c r="B10" s="24" t="str">
        <f>IFERROR(INDEX(Apoio_Tempo_Cargas!C$2:C$49,MATCH(A10,Apoio_Tempo_Cargas!A$2:A$49,0)),"")</f>
        <v>352</v>
      </c>
      <c r="C10" s="10">
        <f>COUNTIF(Apoio_Tempo_Cargas!A$2:A$49,A10)</f>
        <v>3</v>
      </c>
      <c r="D10" s="30">
        <f>IFERROR(SUMIFS(Apoio_Bordo!Q$2:Q$78,Apoio_Bordo!A$2:A$78,A10)/SUMIFS(Apoio_Bordo!R$2:R$78,Apoio_Bordo!A$2:A$78,A10),"")</f>
        <v>34.427321554272844</v>
      </c>
      <c r="E10" s="30">
        <f>IFERROR(SUMIFS(Apoio_Bordo!T$2:T$78,Apoio_Bordo!A$2:A$78,A10)/SUMIFS(Apoio_Bordo!U$2:U$78,Apoio_Bordo!A$2:A$78,A10),"")</f>
        <v>25.756093632277675</v>
      </c>
      <c r="F10" s="27">
        <f>IFERROR(AVERAGEIFS(Apoio_Tempo_Cargas!J$2:J$49,Apoio_Tempo_Cargas!A$2:A$49,A10),"")</f>
        <v>48.488888887222856</v>
      </c>
      <c r="G10" s="27">
        <f>IFERROR(AVERAGEIFS(Apoio_Tempo_Cargas!K$2:K$49,Apoio_Tempo_Cargas!A$2:A$49,A10),"")</f>
        <v>164.83888888964429</v>
      </c>
      <c r="H10" s="30">
        <f>IFERROR(AVERAGEIFS(Apoio_Tempo_Cargas!W$2:W$49,Apoio_Tempo_Cargas!A$2:A$49,A10),"")</f>
        <v>52.65524402907581</v>
      </c>
      <c r="I10" s="30">
        <f>IFERROR(AVERAGEIFS(Apoio_Tempo_Cargas!U$2:U$49,Apoio_Tempo_Cargas!A$2:A$49,A10),"")</f>
        <v>33.704999999999998</v>
      </c>
      <c r="J10" s="30">
        <f>SUMIFS(Apoio_Bordo!K$2:K$78,Apoio_Bordo!A$2:A$78,A10)+SUMIFS(Apoio_Bordo!L$2:L$78,Apoio_Bordo!A$2:A$78,A10)+SUMIFS(Apoio_Bordo!M$2:M$78,Apoio_Bordo!A$2:A$78,A10)</f>
        <v>17.566666666666666</v>
      </c>
      <c r="K10" s="30">
        <f>SUMIFS(Apoio_Bordo!H$2:H$78,Apoio_Bordo!A$2:A$78,A10)</f>
        <v>4.8158333333333321</v>
      </c>
      <c r="L10" s="30">
        <f>SUMIFS(Apoio_Bordo!N$2:N$78,Apoio_Bordo!A$2:A$78,A10)</f>
        <v>0</v>
      </c>
      <c r="M10" s="30">
        <f>SUMIFS(Apoio_Bordo!I$2:I$78,Apoio_Bordo!A$2:A$78,A10)</f>
        <v>30.432777777777773</v>
      </c>
      <c r="N10" s="30">
        <f>SUMIFS(Apoio_Bordo!P$2:P$78,Apoio_Bordo!A$2:A$78,A10)</f>
        <v>95.798888888888882</v>
      </c>
      <c r="O10" s="9">
        <f t="shared" si="0"/>
        <v>0.55131409550099164</v>
      </c>
      <c r="P10" s="8">
        <f>Apoio_Metas_Transporte!C$2</f>
        <v>36.6</v>
      </c>
      <c r="Q10" s="8">
        <f>Apoio_Metas_Transporte!D$2</f>
        <v>27</v>
      </c>
      <c r="R10" s="8">
        <f>Apoio_Metas_Transporte!A$2</f>
        <v>29.418586730956999</v>
      </c>
      <c r="S10" s="8">
        <f>Apoio_Metas_Transporte!B$2</f>
        <v>33.5</v>
      </c>
      <c r="T10" s="8">
        <f>Apoio_Metas_Transporte!E$2</f>
        <v>27</v>
      </c>
      <c r="U10" s="8">
        <f>Apoio_Metas_Transporte!F$2</f>
        <v>69.2</v>
      </c>
      <c r="V10" s="33">
        <f>Apoio_Metas_Transporte!G$2</f>
        <v>0.96</v>
      </c>
      <c r="W10" s="10" t="str">
        <f t="shared" si="1"/>
        <v>OFENSOR</v>
      </c>
      <c r="X10" s="10" t="str">
        <f t="shared" si="2"/>
        <v>OFENSOR</v>
      </c>
      <c r="Y10" s="10" t="str">
        <f t="shared" si="3"/>
        <v>OFENSOR</v>
      </c>
      <c r="Z10" s="10" t="str">
        <f t="shared" si="4"/>
        <v>OK</v>
      </c>
      <c r="AA10" s="10" t="str">
        <f t="shared" si="5"/>
        <v>OFENSOR</v>
      </c>
      <c r="AB10" s="10" t="str">
        <f t="shared" si="6"/>
        <v>OK</v>
      </c>
    </row>
    <row r="11" spans="1:28" ht="15" customHeight="1" x14ac:dyDescent="0.35">
      <c r="A11" s="7" t="s">
        <v>100</v>
      </c>
      <c r="B11" s="24" t="str">
        <f>IFERROR(INDEX(Apoio_Tempo_Cargas!C$2:C$49,MATCH(A11,Apoio_Tempo_Cargas!A$2:A$49,0)),"")</f>
        <v>351</v>
      </c>
      <c r="C11" s="10">
        <f>COUNTIF(Apoio_Tempo_Cargas!A$2:A$49,A11)</f>
        <v>2</v>
      </c>
      <c r="D11" s="30">
        <f>IFERROR(SUMIFS(Apoio_Bordo!Q$2:Q$78,Apoio_Bordo!A$2:A$78,A11)/SUMIFS(Apoio_Bordo!R$2:R$78,Apoio_Bordo!A$2:A$78,A11),"")</f>
        <v>34.545821126669679</v>
      </c>
      <c r="E11" s="30">
        <f>IFERROR(SUMIFS(Apoio_Bordo!T$2:T$78,Apoio_Bordo!A$2:A$78,A11)/SUMIFS(Apoio_Bordo!U$2:U$78,Apoio_Bordo!A$2:A$78,A11),"")</f>
        <v>24.31502889885401</v>
      </c>
      <c r="F11" s="27">
        <f>IFERROR(AVERAGEIFS(Apoio_Tempo_Cargas!J$2:J$49,Apoio_Tempo_Cargas!A$2:A$49,A11),"")</f>
        <v>58.374999999068677</v>
      </c>
      <c r="G11" s="27">
        <f>IFERROR(AVERAGEIFS(Apoio_Tempo_Cargas!K$2:K$49,Apoio_Tempo_Cargas!A$2:A$49,A11),"")</f>
        <v>83.824999997159466</v>
      </c>
      <c r="H11" s="30">
        <f>IFERROR(AVERAGEIFS(Apoio_Tempo_Cargas!W$2:W$49,Apoio_Tempo_Cargas!A$2:A$49,A11),"")</f>
        <v>48.3</v>
      </c>
      <c r="I11" s="30">
        <f>IFERROR(AVERAGEIFS(Apoio_Tempo_Cargas!U$2:U$49,Apoio_Tempo_Cargas!A$2:A$49,A11),"")</f>
        <v>36.26</v>
      </c>
      <c r="J11" s="30">
        <f>SUMIFS(Apoio_Bordo!K$2:K$78,Apoio_Bordo!A$2:A$78,A11)+SUMIFS(Apoio_Bordo!L$2:L$78,Apoio_Bordo!A$2:A$78,A11)+SUMIFS(Apoio_Bordo!M$2:M$78,Apoio_Bordo!A$2:A$78,A11)</f>
        <v>0</v>
      </c>
      <c r="K11" s="30">
        <f>SUMIFS(Apoio_Bordo!H$2:H$78,Apoio_Bordo!A$2:A$78,A11)</f>
        <v>1.8505555555555555</v>
      </c>
      <c r="L11" s="30">
        <f>SUMIFS(Apoio_Bordo!N$2:N$78,Apoio_Bordo!A$2:A$78,A11)</f>
        <v>0</v>
      </c>
      <c r="M11" s="30">
        <f>SUMIFS(Apoio_Bordo!I$2:I$78,Apoio_Bordo!A$2:A$78,A11)</f>
        <v>3.5238888888888891</v>
      </c>
      <c r="N11" s="30">
        <f>SUMIFS(Apoio_Bordo!P$2:P$78,Apoio_Bordo!A$2:A$78,A11)</f>
        <v>25.327777777777779</v>
      </c>
      <c r="O11" s="9">
        <f t="shared" si="0"/>
        <v>0.21219565694231191</v>
      </c>
      <c r="P11" s="8">
        <f>Apoio_Metas_Transporte!C$2</f>
        <v>36.6</v>
      </c>
      <c r="Q11" s="8">
        <f>Apoio_Metas_Transporte!D$2</f>
        <v>27</v>
      </c>
      <c r="R11" s="8">
        <f>Apoio_Metas_Transporte!A$2</f>
        <v>29.418586730956999</v>
      </c>
      <c r="S11" s="8">
        <f>Apoio_Metas_Transporte!B$2</f>
        <v>33.5</v>
      </c>
      <c r="T11" s="8">
        <f>Apoio_Metas_Transporte!E$2</f>
        <v>27</v>
      </c>
      <c r="U11" s="8">
        <f>Apoio_Metas_Transporte!F$2</f>
        <v>69.2</v>
      </c>
      <c r="V11" s="33">
        <f>Apoio_Metas_Transporte!G$2</f>
        <v>0.96</v>
      </c>
      <c r="W11" s="10" t="str">
        <f t="shared" si="1"/>
        <v>OFENSOR</v>
      </c>
      <c r="X11" s="10" t="str">
        <f t="shared" si="2"/>
        <v>OFENSOR</v>
      </c>
      <c r="Y11" s="10" t="str">
        <f t="shared" si="3"/>
        <v>OFENSOR</v>
      </c>
      <c r="Z11" s="10" t="str">
        <f t="shared" si="4"/>
        <v>OK</v>
      </c>
      <c r="AA11" s="10" t="str">
        <f t="shared" si="5"/>
        <v>OFENSOR</v>
      </c>
      <c r="AB11" s="10" t="str">
        <f t="shared" si="6"/>
        <v>OK</v>
      </c>
    </row>
    <row r="12" spans="1:28" ht="15" customHeight="1" x14ac:dyDescent="0.35">
      <c r="A12" s="7" t="s">
        <v>93</v>
      </c>
      <c r="B12" s="24" t="str">
        <f>IFERROR(INDEX(Apoio_Tempo_Cargas!C$2:C$49,MATCH(A12,Apoio_Tempo_Cargas!A$2:A$49,0)),"")</f>
        <v>351</v>
      </c>
      <c r="C12" s="10">
        <f>COUNTIF(Apoio_Tempo_Cargas!A$2:A$49,A12)</f>
        <v>3</v>
      </c>
      <c r="D12" s="30" t="str">
        <f>IFERROR(SUMIFS(Apoio_Bordo!Q$2:Q$78,Apoio_Bordo!A$2:A$78,A12)/SUMIFS(Apoio_Bordo!R$2:R$78,Apoio_Bordo!A$2:A$78,A12),"")</f>
        <v/>
      </c>
      <c r="E12" s="30" t="str">
        <f>IFERROR(SUMIFS(Apoio_Bordo!T$2:T$78,Apoio_Bordo!A$2:A$78,A12)/SUMIFS(Apoio_Bordo!U$2:U$78,Apoio_Bordo!A$2:A$78,A12),"")</f>
        <v/>
      </c>
      <c r="F12" s="27">
        <f>IFERROR(AVERAGEIFS(Apoio_Tempo_Cargas!J$2:J$49,Apoio_Tempo_Cargas!A$2:A$49,A12),"")</f>
        <v>58.111111113103107</v>
      </c>
      <c r="G12" s="27">
        <f>IFERROR(AVERAGEIFS(Apoio_Tempo_Cargas!K$2:K$49,Apoio_Tempo_Cargas!A$2:A$49,A12),"")</f>
        <v>123.2888888893649</v>
      </c>
      <c r="H12" s="30" t="str">
        <f>IFERROR(AVERAGEIFS(Apoio_Tempo_Cargas!W$2:W$49,Apoio_Tempo_Cargas!A$2:A$49,A12),"")</f>
        <v/>
      </c>
      <c r="I12" s="30" t="str">
        <f>IFERROR(AVERAGEIFS(Apoio_Tempo_Cargas!U$2:U$49,Apoio_Tempo_Cargas!A$2:A$49,A12),"")</f>
        <v/>
      </c>
      <c r="J12" s="30">
        <f>SUMIFS(Apoio_Bordo!K$2:K$78,Apoio_Bordo!A$2:A$78,A12)+SUMIFS(Apoio_Bordo!L$2:L$78,Apoio_Bordo!A$2:A$78,A12)+SUMIFS(Apoio_Bordo!M$2:M$78,Apoio_Bordo!A$2:A$78,A12)</f>
        <v>0</v>
      </c>
      <c r="K12" s="30">
        <f>SUMIFS(Apoio_Bordo!H$2:H$78,Apoio_Bordo!A$2:A$78,A12)</f>
        <v>0</v>
      </c>
      <c r="L12" s="30">
        <f>SUMIFS(Apoio_Bordo!N$2:N$78,Apoio_Bordo!A$2:A$78,A12)</f>
        <v>0</v>
      </c>
      <c r="M12" s="30">
        <f>SUMIFS(Apoio_Bordo!I$2:I$78,Apoio_Bordo!A$2:A$78,A12)</f>
        <v>0</v>
      </c>
      <c r="N12" s="30">
        <f>SUMIFS(Apoio_Bordo!P$2:P$78,Apoio_Bordo!A$2:A$78,A12)</f>
        <v>0</v>
      </c>
      <c r="O12" s="9">
        <f t="shared" si="0"/>
        <v>0</v>
      </c>
      <c r="P12" s="8">
        <f>Apoio_Metas_Transporte!C$2</f>
        <v>36.6</v>
      </c>
      <c r="Q12" s="8">
        <f>Apoio_Metas_Transporte!D$2</f>
        <v>27</v>
      </c>
      <c r="R12" s="8">
        <f>Apoio_Metas_Transporte!A$2</f>
        <v>29.418586730956999</v>
      </c>
      <c r="S12" s="8">
        <f>Apoio_Metas_Transporte!B$2</f>
        <v>33.5</v>
      </c>
      <c r="T12" s="8">
        <f>Apoio_Metas_Transporte!E$2</f>
        <v>27</v>
      </c>
      <c r="U12" s="8">
        <f>Apoio_Metas_Transporte!F$2</f>
        <v>69.2</v>
      </c>
      <c r="V12" s="33">
        <f>Apoio_Metas_Transporte!G$2</f>
        <v>0.96</v>
      </c>
      <c r="W12" s="10" t="str">
        <f t="shared" si="1"/>
        <v>OK</v>
      </c>
      <c r="X12" s="10" t="str">
        <f t="shared" si="2"/>
        <v>OK</v>
      </c>
      <c r="Y12" s="10" t="str">
        <f t="shared" si="3"/>
        <v>OFENSOR</v>
      </c>
      <c r="Z12" s="10" t="str">
        <f t="shared" si="4"/>
        <v>OK</v>
      </c>
      <c r="AA12" s="10" t="str">
        <f t="shared" si="5"/>
        <v>OFENSOR</v>
      </c>
      <c r="AB12" s="10" t="str">
        <f t="shared" si="6"/>
        <v>OK</v>
      </c>
    </row>
    <row r="13" spans="1:28" ht="15" customHeight="1" x14ac:dyDescent="0.35">
      <c r="A13" s="7" t="s">
        <v>99</v>
      </c>
      <c r="B13" s="24" t="str">
        <f>IFERROR(INDEX(Apoio_Tempo_Cargas!C$2:C$49,MATCH(A13,Apoio_Tempo_Cargas!A$2:A$49,0)),"")</f>
        <v>351</v>
      </c>
      <c r="C13" s="10">
        <f>COUNTIF(Apoio_Tempo_Cargas!A$2:A$49,A13)</f>
        <v>2</v>
      </c>
      <c r="D13" s="30">
        <f>IFERROR(SUMIFS(Apoio_Bordo!Q$2:Q$78,Apoio_Bordo!A$2:A$78,A13)/SUMIFS(Apoio_Bordo!R$2:R$78,Apoio_Bordo!A$2:A$78,A13),"")</f>
        <v>33.2140266825796</v>
      </c>
      <c r="E13" s="30">
        <f>IFERROR(SUMIFS(Apoio_Bordo!T$2:T$78,Apoio_Bordo!A$2:A$78,A13)/SUMIFS(Apoio_Bordo!U$2:U$78,Apoio_Bordo!A$2:A$78,A13),"")</f>
        <v>28.638713983610891</v>
      </c>
      <c r="F13" s="27">
        <f>IFERROR(AVERAGEIFS(Apoio_Tempo_Cargas!J$2:J$49,Apoio_Tempo_Cargas!A$2:A$49,A13),"")</f>
        <v>60.641666666488163</v>
      </c>
      <c r="G13" s="27">
        <f>IFERROR(AVERAGEIFS(Apoio_Tempo_Cargas!K$2:K$49,Apoio_Tempo_Cargas!A$2:A$49,A13),"")</f>
        <v>74.233333330485038</v>
      </c>
      <c r="H13" s="30">
        <f>IFERROR(AVERAGEIFS(Apoio_Tempo_Cargas!W$2:W$49,Apoio_Tempo_Cargas!A$2:A$49,A13),"")</f>
        <v>49.105237688585255</v>
      </c>
      <c r="I13" s="30">
        <f>IFERROR(AVERAGEIFS(Apoio_Tempo_Cargas!U$2:U$49,Apoio_Tempo_Cargas!A$2:A$49,A13),"")</f>
        <v>35.130000000000003</v>
      </c>
      <c r="J13" s="30">
        <f>SUMIFS(Apoio_Bordo!K$2:K$78,Apoio_Bordo!A$2:A$78,A13)+SUMIFS(Apoio_Bordo!L$2:L$78,Apoio_Bordo!A$2:A$78,A13)+SUMIFS(Apoio_Bordo!M$2:M$78,Apoio_Bordo!A$2:A$78,A13)</f>
        <v>18.408888888888889</v>
      </c>
      <c r="K13" s="30">
        <f>SUMIFS(Apoio_Bordo!H$2:H$78,Apoio_Bordo!A$2:A$78,A13)</f>
        <v>0.63944444444444448</v>
      </c>
      <c r="L13" s="30">
        <f>SUMIFS(Apoio_Bordo!N$2:N$78,Apoio_Bordo!A$2:A$78,A13)</f>
        <v>0</v>
      </c>
      <c r="M13" s="30">
        <f>SUMIFS(Apoio_Bordo!I$2:I$78,Apoio_Bordo!A$2:A$78,A13)</f>
        <v>10.116666666666667</v>
      </c>
      <c r="N13" s="30">
        <f>SUMIFS(Apoio_Bordo!P$2:P$78,Apoio_Bordo!A$2:A$78,A13)</f>
        <v>41.862777777777779</v>
      </c>
      <c r="O13" s="9">
        <f t="shared" si="0"/>
        <v>0.69668095497193205</v>
      </c>
      <c r="P13" s="8">
        <f>Apoio_Metas_Transporte!C$2</f>
        <v>36.6</v>
      </c>
      <c r="Q13" s="8">
        <f>Apoio_Metas_Transporte!D$2</f>
        <v>27</v>
      </c>
      <c r="R13" s="8">
        <f>Apoio_Metas_Transporte!A$2</f>
        <v>29.418586730956999</v>
      </c>
      <c r="S13" s="8">
        <f>Apoio_Metas_Transporte!B$2</f>
        <v>33.5</v>
      </c>
      <c r="T13" s="8">
        <f>Apoio_Metas_Transporte!E$2</f>
        <v>27</v>
      </c>
      <c r="U13" s="8">
        <f>Apoio_Metas_Transporte!F$2</f>
        <v>69.2</v>
      </c>
      <c r="V13" s="33">
        <f>Apoio_Metas_Transporte!G$2</f>
        <v>0.96</v>
      </c>
      <c r="W13" s="10" t="str">
        <f t="shared" si="1"/>
        <v>OFENSOR</v>
      </c>
      <c r="X13" s="10" t="str">
        <f t="shared" si="2"/>
        <v>OK</v>
      </c>
      <c r="Y13" s="10" t="str">
        <f t="shared" si="3"/>
        <v>OFENSOR</v>
      </c>
      <c r="Z13" s="10" t="str">
        <f t="shared" si="4"/>
        <v>OK</v>
      </c>
      <c r="AA13" s="10" t="str">
        <f t="shared" si="5"/>
        <v>OFENSOR</v>
      </c>
      <c r="AB13" s="10" t="str">
        <f t="shared" si="6"/>
        <v>OK</v>
      </c>
    </row>
    <row r="14" spans="1:28" ht="15" customHeight="1" x14ac:dyDescent="0.35">
      <c r="A14" s="7" t="s">
        <v>98</v>
      </c>
      <c r="B14" s="24" t="str">
        <f>IFERROR(INDEX(Apoio_Tempo_Cargas!C$2:C$49,MATCH(A14,Apoio_Tempo_Cargas!A$2:A$49,0)),"")</f>
        <v>352</v>
      </c>
      <c r="C14" s="10">
        <f>COUNTIF(Apoio_Tempo_Cargas!A$2:A$49,A14)</f>
        <v>3</v>
      </c>
      <c r="D14" s="30">
        <f>IFERROR(SUMIFS(Apoio_Bordo!Q$2:Q$78,Apoio_Bordo!A$2:A$78,A14)/SUMIFS(Apoio_Bordo!R$2:R$78,Apoio_Bordo!A$2:A$78,A14),"")</f>
        <v>30.707836668572515</v>
      </c>
      <c r="E14" s="30">
        <f>IFERROR(SUMIFS(Apoio_Bordo!T$2:T$78,Apoio_Bordo!A$2:A$78,A14)/SUMIFS(Apoio_Bordo!U$2:U$78,Apoio_Bordo!A$2:A$78,A14),"")</f>
        <v>25.606052257930465</v>
      </c>
      <c r="F14" s="27">
        <f>IFERROR(AVERAGEIFS(Apoio_Tempo_Cargas!J$2:J$49,Apoio_Tempo_Cargas!A$2:A$49,A14),"")</f>
        <v>1447.4833333329298</v>
      </c>
      <c r="G14" s="27">
        <f>IFERROR(AVERAGEIFS(Apoio_Tempo_Cargas!K$2:K$49,Apoio_Tempo_Cargas!A$2:A$49,A14),"")</f>
        <v>932.63333333423361</v>
      </c>
      <c r="H14" s="30">
        <f>IFERROR(AVERAGEIFS(Apoio_Tempo_Cargas!W$2:W$49,Apoio_Tempo_Cargas!A$2:A$49,A14),"")</f>
        <v>53.329384965831444</v>
      </c>
      <c r="I14" s="30">
        <f>IFERROR(AVERAGEIFS(Apoio_Tempo_Cargas!U$2:U$49,Apoio_Tempo_Cargas!A$2:A$49,A14),"")</f>
        <v>32.924999999999997</v>
      </c>
      <c r="J14" s="30">
        <f>SUMIFS(Apoio_Bordo!K$2:K$78,Apoio_Bordo!A$2:A$78,A14)+SUMIFS(Apoio_Bordo!L$2:L$78,Apoio_Bordo!A$2:A$78,A14)+SUMIFS(Apoio_Bordo!M$2:M$78,Apoio_Bordo!A$2:A$78,A14)</f>
        <v>15.166944444444445</v>
      </c>
      <c r="K14" s="30">
        <f>SUMIFS(Apoio_Bordo!H$2:H$78,Apoio_Bordo!A$2:A$78,A14)</f>
        <v>2.3394444444444442</v>
      </c>
      <c r="L14" s="30">
        <f>SUMIFS(Apoio_Bordo!N$2:N$78,Apoio_Bordo!A$2:A$78,A14)</f>
        <v>0.64555555555555555</v>
      </c>
      <c r="M14" s="30">
        <f>SUMIFS(Apoio_Bordo!I$2:I$78,Apoio_Bordo!A$2:A$78,A14)</f>
        <v>10.942499999999999</v>
      </c>
      <c r="N14" s="30">
        <f>SUMIFS(Apoio_Bordo!P$2:P$78,Apoio_Bordo!A$2:A$78,A14)</f>
        <v>64.671666666666667</v>
      </c>
      <c r="O14" s="9">
        <f t="shared" si="0"/>
        <v>0.4398972588030135</v>
      </c>
      <c r="P14" s="8">
        <f>Apoio_Metas_Transporte!C$2</f>
        <v>36.6</v>
      </c>
      <c r="Q14" s="8">
        <f>Apoio_Metas_Transporte!D$2</f>
        <v>27</v>
      </c>
      <c r="R14" s="8">
        <f>Apoio_Metas_Transporte!A$2</f>
        <v>29.418586730956999</v>
      </c>
      <c r="S14" s="8">
        <f>Apoio_Metas_Transporte!B$2</f>
        <v>33.5</v>
      </c>
      <c r="T14" s="8">
        <f>Apoio_Metas_Transporte!E$2</f>
        <v>27</v>
      </c>
      <c r="U14" s="8">
        <f>Apoio_Metas_Transporte!F$2</f>
        <v>69.2</v>
      </c>
      <c r="V14" s="33">
        <f>Apoio_Metas_Transporte!G$2</f>
        <v>0.96</v>
      </c>
      <c r="W14" s="10" t="str">
        <f t="shared" si="1"/>
        <v>OFENSOR</v>
      </c>
      <c r="X14" s="10" t="str">
        <f t="shared" si="2"/>
        <v>OFENSOR</v>
      </c>
      <c r="Y14" s="10" t="str">
        <f t="shared" si="3"/>
        <v>OFENSOR</v>
      </c>
      <c r="Z14" s="10" t="str">
        <f t="shared" si="4"/>
        <v>OFENSOR</v>
      </c>
      <c r="AA14" s="10" t="str">
        <f t="shared" si="5"/>
        <v>OFENSOR</v>
      </c>
      <c r="AB14" s="10" t="str">
        <f t="shared" si="6"/>
        <v>OK</v>
      </c>
    </row>
    <row r="15" spans="1:28" ht="15" customHeight="1" x14ac:dyDescent="0.35">
      <c r="A15" s="7" t="s">
        <v>214</v>
      </c>
      <c r="B15" s="24" t="str">
        <f>IFERROR(INDEX(Apoio_Tempo_Cargas!C$2:C$49,MATCH(A15,Apoio_Tempo_Cargas!A$2:A$49,0)),"")</f>
        <v/>
      </c>
      <c r="C15" s="10">
        <f>COUNTIF(Apoio_Tempo_Cargas!A$2:A$49,A15)</f>
        <v>0</v>
      </c>
      <c r="D15" s="30" t="str">
        <f>IFERROR(SUMIFS(Apoio_Bordo!Q$2:Q$78,Apoio_Bordo!A$2:A$78,A15)/SUMIFS(Apoio_Bordo!R$2:R$78,Apoio_Bordo!A$2:A$78,A15),"")</f>
        <v/>
      </c>
      <c r="E15" s="30" t="str">
        <f>IFERROR(SUMIFS(Apoio_Bordo!T$2:T$78,Apoio_Bordo!A$2:A$78,A15)/SUMIFS(Apoio_Bordo!U$2:U$78,Apoio_Bordo!A$2:A$78,A15),"")</f>
        <v/>
      </c>
      <c r="F15" s="27" t="str">
        <f>IFERROR(AVERAGEIFS(Apoio_Tempo_Cargas!J$2:J$49,Apoio_Tempo_Cargas!A$2:A$49,A15),"")</f>
        <v/>
      </c>
      <c r="G15" s="27" t="str">
        <f>IFERROR(AVERAGEIFS(Apoio_Tempo_Cargas!K$2:K$49,Apoio_Tempo_Cargas!A$2:A$49,A15),"")</f>
        <v/>
      </c>
      <c r="H15" s="30" t="str">
        <f>IFERROR(AVERAGEIFS(Apoio_Tempo_Cargas!W$2:W$49,Apoio_Tempo_Cargas!A$2:A$49,A15),"")</f>
        <v/>
      </c>
      <c r="I15" s="30" t="str">
        <f>IFERROR(AVERAGEIFS(Apoio_Tempo_Cargas!U$2:U$49,Apoio_Tempo_Cargas!A$2:A$49,A15),"")</f>
        <v/>
      </c>
      <c r="J15" s="30">
        <f>SUMIFS(Apoio_Bordo!K$2:K$78,Apoio_Bordo!A$2:A$78,A15)+SUMIFS(Apoio_Bordo!L$2:L$78,Apoio_Bordo!A$2:A$78,A15)+SUMIFS(Apoio_Bordo!M$2:M$78,Apoio_Bordo!A$2:A$78,A15)</f>
        <v>0</v>
      </c>
      <c r="K15" s="30">
        <f>SUMIFS(Apoio_Bordo!H$2:H$78,Apoio_Bordo!A$2:A$78,A15)</f>
        <v>0</v>
      </c>
      <c r="L15" s="30">
        <f>SUMIFS(Apoio_Bordo!N$2:N$78,Apoio_Bordo!A$2:A$78,A15)</f>
        <v>0</v>
      </c>
      <c r="M15" s="30">
        <f>SUMIFS(Apoio_Bordo!I$2:I$78,Apoio_Bordo!A$2:A$78,A15)</f>
        <v>0</v>
      </c>
      <c r="N15" s="30">
        <f>SUMIFS(Apoio_Bordo!P$2:P$78,Apoio_Bordo!A$2:A$78,A15)</f>
        <v>0</v>
      </c>
      <c r="O15" s="9">
        <f t="shared" si="0"/>
        <v>0</v>
      </c>
      <c r="P15" s="8">
        <f>Apoio_Metas_Transporte!C$2</f>
        <v>36.6</v>
      </c>
      <c r="Q15" s="8">
        <f>Apoio_Metas_Transporte!D$2</f>
        <v>27</v>
      </c>
      <c r="R15" s="8">
        <f>Apoio_Metas_Transporte!A$2</f>
        <v>29.418586730956999</v>
      </c>
      <c r="S15" s="8">
        <f>Apoio_Metas_Transporte!B$2</f>
        <v>33.5</v>
      </c>
      <c r="T15" s="8">
        <f>Apoio_Metas_Transporte!E$2</f>
        <v>27</v>
      </c>
      <c r="U15" s="8">
        <f>Apoio_Metas_Transporte!F$2</f>
        <v>69.2</v>
      </c>
      <c r="V15" s="33">
        <f>Apoio_Metas_Transporte!G$2</f>
        <v>0.96</v>
      </c>
      <c r="W15" s="10" t="str">
        <f t="shared" si="1"/>
        <v>OK</v>
      </c>
      <c r="X15" s="10" t="str">
        <f t="shared" si="2"/>
        <v>OK</v>
      </c>
      <c r="Y15" s="10" t="str">
        <f t="shared" si="3"/>
        <v>OFENSOR</v>
      </c>
      <c r="Z15" s="10" t="str">
        <f t="shared" si="4"/>
        <v>OK</v>
      </c>
      <c r="AA15" s="10" t="str">
        <f t="shared" si="5"/>
        <v>OFENSOR</v>
      </c>
      <c r="AB15" s="10" t="str">
        <f t="shared" si="6"/>
        <v>OK</v>
      </c>
    </row>
    <row r="16" spans="1:28" ht="15" customHeight="1" x14ac:dyDescent="0.35">
      <c r="A16" s="7" t="s">
        <v>97</v>
      </c>
      <c r="B16" s="24" t="str">
        <f>IFERROR(INDEX(Apoio_Tempo_Cargas!C$2:C$49,MATCH(A16,Apoio_Tempo_Cargas!A$2:A$49,0)),"")</f>
        <v>353</v>
      </c>
      <c r="C16" s="10">
        <f>COUNTIF(Apoio_Tempo_Cargas!A$2:A$49,A16)</f>
        <v>1</v>
      </c>
      <c r="D16" s="30">
        <f>IFERROR(SUMIFS(Apoio_Bordo!Q$2:Q$78,Apoio_Bordo!A$2:A$78,A16)/SUMIFS(Apoio_Bordo!R$2:R$78,Apoio_Bordo!A$2:A$78,A16),"")</f>
        <v>32.270484983963456</v>
      </c>
      <c r="E16" s="30">
        <f>IFERROR(SUMIFS(Apoio_Bordo!T$2:T$78,Apoio_Bordo!A$2:A$78,A16)/SUMIFS(Apoio_Bordo!U$2:U$78,Apoio_Bordo!A$2:A$78,A16),"")</f>
        <v>24.968774719673799</v>
      </c>
      <c r="F16" s="27">
        <f>IFERROR(AVERAGEIFS(Apoio_Tempo_Cargas!J$2:J$49,Apoio_Tempo_Cargas!A$2:A$49,A16),"")</f>
        <v>83.166666661854833</v>
      </c>
      <c r="G16" s="27">
        <f>IFERROR(AVERAGEIFS(Apoio_Tempo_Cargas!K$2:K$49,Apoio_Tempo_Cargas!A$2:A$49,A16),"")</f>
        <v>124.40000000526197</v>
      </c>
      <c r="H16" s="30">
        <f>IFERROR(AVERAGEIFS(Apoio_Tempo_Cargas!W$2:W$49,Apoio_Tempo_Cargas!A$2:A$49,A16),"")</f>
        <v>48.3</v>
      </c>
      <c r="I16" s="30">
        <f>IFERROR(AVERAGEIFS(Apoio_Tempo_Cargas!U$2:U$49,Apoio_Tempo_Cargas!A$2:A$49,A16),"")</f>
        <v>37.950000000000003</v>
      </c>
      <c r="J16" s="30">
        <f>SUMIFS(Apoio_Bordo!K$2:K$78,Apoio_Bordo!A$2:A$78,A16)+SUMIFS(Apoio_Bordo!L$2:L$78,Apoio_Bordo!A$2:A$78,A16)+SUMIFS(Apoio_Bordo!M$2:M$78,Apoio_Bordo!A$2:A$78,A16)</f>
        <v>19.126944444444444</v>
      </c>
      <c r="K16" s="30">
        <f>SUMIFS(Apoio_Bordo!H$2:H$78,Apoio_Bordo!A$2:A$78,A16)</f>
        <v>0</v>
      </c>
      <c r="L16" s="30">
        <f>SUMIFS(Apoio_Bordo!N$2:N$78,Apoio_Bordo!A$2:A$78,A16)</f>
        <v>8.0277777777777781E-2</v>
      </c>
      <c r="M16" s="30">
        <f>SUMIFS(Apoio_Bordo!I$2:I$78,Apoio_Bordo!A$2:A$78,A16)</f>
        <v>28.690555555555555</v>
      </c>
      <c r="N16" s="30">
        <f>SUMIFS(Apoio_Bordo!P$2:P$78,Apoio_Bordo!A$2:A$78,A16)</f>
        <v>61.002777777777766</v>
      </c>
      <c r="O16" s="9">
        <f t="shared" si="0"/>
        <v>0.78385774782569106</v>
      </c>
      <c r="P16" s="8">
        <f>Apoio_Metas_Transporte!C$2</f>
        <v>36.6</v>
      </c>
      <c r="Q16" s="8">
        <f>Apoio_Metas_Transporte!D$2</f>
        <v>27</v>
      </c>
      <c r="R16" s="8">
        <f>Apoio_Metas_Transporte!A$2</f>
        <v>29.418586730956999</v>
      </c>
      <c r="S16" s="8">
        <f>Apoio_Metas_Transporte!B$2</f>
        <v>33.5</v>
      </c>
      <c r="T16" s="8">
        <f>Apoio_Metas_Transporte!E$2</f>
        <v>27</v>
      </c>
      <c r="U16" s="8">
        <f>Apoio_Metas_Transporte!F$2</f>
        <v>69.2</v>
      </c>
      <c r="V16" s="33">
        <f>Apoio_Metas_Transporte!G$2</f>
        <v>0.96</v>
      </c>
      <c r="W16" s="10" t="str">
        <f t="shared" si="1"/>
        <v>OFENSOR</v>
      </c>
      <c r="X16" s="10" t="str">
        <f t="shared" si="2"/>
        <v>OFENSOR</v>
      </c>
      <c r="Y16" s="10" t="str">
        <f t="shared" si="3"/>
        <v>OFENSOR</v>
      </c>
      <c r="Z16" s="10" t="str">
        <f t="shared" si="4"/>
        <v>OK</v>
      </c>
      <c r="AA16" s="10" t="str">
        <f t="shared" si="5"/>
        <v>OFENSOR</v>
      </c>
      <c r="AB16" s="10" t="str">
        <f t="shared" si="6"/>
        <v>OK</v>
      </c>
    </row>
    <row r="17" spans="1:28" ht="15" customHeight="1" x14ac:dyDescent="0.35">
      <c r="A17" s="7" t="s">
        <v>84</v>
      </c>
      <c r="B17" s="24" t="str">
        <f>IFERROR(INDEX(Apoio_Tempo_Cargas!C$2:C$49,MATCH(A17,Apoio_Tempo_Cargas!A$2:A$49,0)),"")</f>
        <v>352</v>
      </c>
      <c r="C17" s="10">
        <f>COUNTIF(Apoio_Tempo_Cargas!A$2:A$49,A17)</f>
        <v>2</v>
      </c>
      <c r="D17" s="30">
        <f>IFERROR(SUMIFS(Apoio_Bordo!Q$2:Q$78,Apoio_Bordo!A$2:A$78,A17)/SUMIFS(Apoio_Bordo!R$2:R$78,Apoio_Bordo!A$2:A$78,A17),"")</f>
        <v>33.465450845438596</v>
      </c>
      <c r="E17" s="30">
        <f>IFERROR(SUMIFS(Apoio_Bordo!T$2:T$78,Apoio_Bordo!A$2:A$78,A17)/SUMIFS(Apoio_Bordo!U$2:U$78,Apoio_Bordo!A$2:A$78,A17),"")</f>
        <v>24.650982676362961</v>
      </c>
      <c r="F17" s="27">
        <f>IFERROR(AVERAGEIFS(Apoio_Tempo_Cargas!J$2:J$49,Apoio_Tempo_Cargas!A$2:A$49,A17),"")</f>
        <v>95.558333333465271</v>
      </c>
      <c r="G17" s="27">
        <f>IFERROR(AVERAGEIFS(Apoio_Tempo_Cargas!K$2:K$49,Apoio_Tempo_Cargas!A$2:A$49,A17),"")</f>
        <v>349.94999999762513</v>
      </c>
      <c r="H17" s="30">
        <f>IFERROR(AVERAGEIFS(Apoio_Tempo_Cargas!W$2:W$49,Apoio_Tempo_Cargas!A$2:A$49,A17),"")</f>
        <v>57</v>
      </c>
      <c r="I17" s="30">
        <f>IFERROR(AVERAGEIFS(Apoio_Tempo_Cargas!U$2:U$49,Apoio_Tempo_Cargas!A$2:A$49,A17),"")</f>
        <v>28.77</v>
      </c>
      <c r="J17" s="30">
        <f>SUMIFS(Apoio_Bordo!K$2:K$78,Apoio_Bordo!A$2:A$78,A17)+SUMIFS(Apoio_Bordo!L$2:L$78,Apoio_Bordo!A$2:A$78,A17)+SUMIFS(Apoio_Bordo!M$2:M$78,Apoio_Bordo!A$2:A$78,A17)</f>
        <v>18.442222222222224</v>
      </c>
      <c r="K17" s="30">
        <f>SUMIFS(Apoio_Bordo!H$2:H$78,Apoio_Bordo!A$2:A$78,A17)</f>
        <v>10.050277777777778</v>
      </c>
      <c r="L17" s="30">
        <f>SUMIFS(Apoio_Bordo!N$2:N$78,Apoio_Bordo!A$2:A$78,A17)</f>
        <v>0</v>
      </c>
      <c r="M17" s="30">
        <f>SUMIFS(Apoio_Bordo!I$2:I$78,Apoio_Bordo!A$2:A$78,A17)</f>
        <v>9.7216666666666658</v>
      </c>
      <c r="N17" s="30">
        <f>SUMIFS(Apoio_Bordo!P$2:P$78,Apoio_Bordo!A$2:A$78,A17)</f>
        <v>59.12083333333333</v>
      </c>
      <c r="O17" s="9">
        <f t="shared" si="0"/>
        <v>0.64637395165268874</v>
      </c>
      <c r="P17" s="8">
        <f>Apoio_Metas_Transporte!C$2</f>
        <v>36.6</v>
      </c>
      <c r="Q17" s="8">
        <f>Apoio_Metas_Transporte!D$2</f>
        <v>27</v>
      </c>
      <c r="R17" s="8">
        <f>Apoio_Metas_Transporte!A$2</f>
        <v>29.418586730956999</v>
      </c>
      <c r="S17" s="8">
        <f>Apoio_Metas_Transporte!B$2</f>
        <v>33.5</v>
      </c>
      <c r="T17" s="8">
        <f>Apoio_Metas_Transporte!E$2</f>
        <v>27</v>
      </c>
      <c r="U17" s="8">
        <f>Apoio_Metas_Transporte!F$2</f>
        <v>69.2</v>
      </c>
      <c r="V17" s="33">
        <f>Apoio_Metas_Transporte!G$2</f>
        <v>0.96</v>
      </c>
      <c r="W17" s="10" t="str">
        <f t="shared" si="1"/>
        <v>OFENSOR</v>
      </c>
      <c r="X17" s="10" t="str">
        <f t="shared" si="2"/>
        <v>OFENSOR</v>
      </c>
      <c r="Y17" s="10" t="str">
        <f t="shared" si="3"/>
        <v>OFENSOR</v>
      </c>
      <c r="Z17" s="10" t="str">
        <f t="shared" si="4"/>
        <v>OFENSOR</v>
      </c>
      <c r="AA17" s="10" t="str">
        <f t="shared" si="5"/>
        <v>OFENSOR</v>
      </c>
      <c r="AB17" s="10" t="str">
        <f t="shared" si="6"/>
        <v>OK</v>
      </c>
    </row>
    <row r="18" spans="1:28" ht="15" customHeight="1" x14ac:dyDescent="0.35">
      <c r="A18" s="7" t="s">
        <v>106</v>
      </c>
      <c r="B18" s="24" t="str">
        <f>IFERROR(INDEX(Apoio_Tempo_Cargas!C$2:C$49,MATCH(A18,Apoio_Tempo_Cargas!A$2:A$49,0)),"")</f>
        <v>353</v>
      </c>
      <c r="C18" s="10">
        <f>COUNTIF(Apoio_Tempo_Cargas!A$2:A$49,A18)</f>
        <v>1</v>
      </c>
      <c r="D18" s="30">
        <f>IFERROR(SUMIFS(Apoio_Bordo!Q$2:Q$78,Apoio_Bordo!A$2:A$78,A18)/SUMIFS(Apoio_Bordo!R$2:R$78,Apoio_Bordo!A$2:A$78,A18),"")</f>
        <v>32.94916517609326</v>
      </c>
      <c r="E18" s="30">
        <f>IFERROR(SUMIFS(Apoio_Bordo!T$2:T$78,Apoio_Bordo!A$2:A$78,A18)/SUMIFS(Apoio_Bordo!U$2:U$78,Apoio_Bordo!A$2:A$78,A18),"")</f>
        <v>23.930032489887257</v>
      </c>
      <c r="F18" s="27">
        <f>IFERROR(AVERAGEIFS(Apoio_Tempo_Cargas!J$2:J$49,Apoio_Tempo_Cargas!A$2:A$49,A18),"")</f>
        <v>77.283333336235955</v>
      </c>
      <c r="G18" s="27">
        <f>IFERROR(AVERAGEIFS(Apoio_Tempo_Cargas!K$2:K$49,Apoio_Tempo_Cargas!A$2:A$49,A18),"")</f>
        <v>51.833333327667788</v>
      </c>
      <c r="H18" s="30" t="str">
        <f>IFERROR(AVERAGEIFS(Apoio_Tempo_Cargas!W$2:W$49,Apoio_Tempo_Cargas!A$2:A$49,A18),"")</f>
        <v/>
      </c>
      <c r="I18" s="30" t="str">
        <f>IFERROR(AVERAGEIFS(Apoio_Tempo_Cargas!U$2:U$49,Apoio_Tempo_Cargas!A$2:A$49,A18),"")</f>
        <v/>
      </c>
      <c r="J18" s="30">
        <f>SUMIFS(Apoio_Bordo!K$2:K$78,Apoio_Bordo!A$2:A$78,A18)+SUMIFS(Apoio_Bordo!L$2:L$78,Apoio_Bordo!A$2:A$78,A18)+SUMIFS(Apoio_Bordo!M$2:M$78,Apoio_Bordo!A$2:A$78,A18)</f>
        <v>0</v>
      </c>
      <c r="K18" s="30">
        <f>SUMIFS(Apoio_Bordo!H$2:H$78,Apoio_Bordo!A$2:A$78,A18)</f>
        <v>1.6488888888888888</v>
      </c>
      <c r="L18" s="30">
        <f>SUMIFS(Apoio_Bordo!N$2:N$78,Apoio_Bordo!A$2:A$78,A18)</f>
        <v>0</v>
      </c>
      <c r="M18" s="30">
        <f>SUMIFS(Apoio_Bordo!I$2:I$78,Apoio_Bordo!A$2:A$78,A18)</f>
        <v>12.893055555555556</v>
      </c>
      <c r="N18" s="30">
        <f>SUMIFS(Apoio_Bordo!P$2:P$78,Apoio_Bordo!A$2:A$78,A18)</f>
        <v>37.295277777777777</v>
      </c>
      <c r="O18" s="9">
        <f t="shared" si="0"/>
        <v>0.38991382584926604</v>
      </c>
      <c r="P18" s="8">
        <f>Apoio_Metas_Transporte!C$2</f>
        <v>36.6</v>
      </c>
      <c r="Q18" s="8">
        <f>Apoio_Metas_Transporte!D$2</f>
        <v>27</v>
      </c>
      <c r="R18" s="8">
        <f>Apoio_Metas_Transporte!A$2</f>
        <v>29.418586730956999</v>
      </c>
      <c r="S18" s="8">
        <f>Apoio_Metas_Transporte!B$2</f>
        <v>33.5</v>
      </c>
      <c r="T18" s="8">
        <f>Apoio_Metas_Transporte!E$2</f>
        <v>27</v>
      </c>
      <c r="U18" s="8">
        <f>Apoio_Metas_Transporte!F$2</f>
        <v>69.2</v>
      </c>
      <c r="V18" s="33">
        <f>Apoio_Metas_Transporte!G$2</f>
        <v>0.96</v>
      </c>
      <c r="W18" s="10" t="str">
        <f t="shared" si="1"/>
        <v>OFENSOR</v>
      </c>
      <c r="X18" s="10" t="str">
        <f t="shared" si="2"/>
        <v>OFENSOR</v>
      </c>
      <c r="Y18" s="10" t="str">
        <f t="shared" si="3"/>
        <v>OFENSOR</v>
      </c>
      <c r="Z18" s="10" t="str">
        <f t="shared" si="4"/>
        <v>OK</v>
      </c>
      <c r="AA18" s="10" t="str">
        <f t="shared" si="5"/>
        <v>OFENSOR</v>
      </c>
      <c r="AB18" s="10" t="str">
        <f t="shared" si="6"/>
        <v>OK</v>
      </c>
    </row>
    <row r="19" spans="1:28" ht="15" customHeight="1" x14ac:dyDescent="0.35">
      <c r="A19" s="7" t="s">
        <v>85</v>
      </c>
      <c r="B19" s="24" t="str">
        <f>IFERROR(INDEX(Apoio_Tempo_Cargas!C$2:C$49,MATCH(A19,Apoio_Tempo_Cargas!A$2:A$49,0)),"")</f>
        <v>352</v>
      </c>
      <c r="C19" s="10">
        <f>COUNTIF(Apoio_Tempo_Cargas!A$2:A$49,A19)</f>
        <v>3</v>
      </c>
      <c r="D19" s="30">
        <f>IFERROR(SUMIFS(Apoio_Bordo!Q$2:Q$78,Apoio_Bordo!A$2:A$78,A19)/SUMIFS(Apoio_Bordo!R$2:R$78,Apoio_Bordo!A$2:A$78,A19),"")</f>
        <v>33.261267663532195</v>
      </c>
      <c r="E19" s="30">
        <f>IFERROR(SUMIFS(Apoio_Bordo!T$2:T$78,Apoio_Bordo!A$2:A$78,A19)/SUMIFS(Apoio_Bordo!U$2:U$78,Apoio_Bordo!A$2:A$78,A19),"")</f>
        <v>21.544698117452938</v>
      </c>
      <c r="F19" s="27">
        <f>IFERROR(AVERAGEIFS(Apoio_Tempo_Cargas!J$2:J$49,Apoio_Tempo_Cargas!A$2:A$49,A19),"")</f>
        <v>80.34444444347173</v>
      </c>
      <c r="G19" s="27">
        <f>IFERROR(AVERAGEIFS(Apoio_Tempo_Cargas!K$2:K$49,Apoio_Tempo_Cargas!A$2:A$49,A19),"")</f>
        <v>231.35555555694737</v>
      </c>
      <c r="H19" s="30">
        <f>IFERROR(AVERAGEIFS(Apoio_Tempo_Cargas!W$2:W$49,Apoio_Tempo_Cargas!A$2:A$49,A19),"")</f>
        <v>49</v>
      </c>
      <c r="I19" s="30">
        <f>IFERROR(AVERAGEIFS(Apoio_Tempo_Cargas!U$2:U$49,Apoio_Tempo_Cargas!A$2:A$49,A19),"")</f>
        <v>36.44</v>
      </c>
      <c r="J19" s="30">
        <f>SUMIFS(Apoio_Bordo!K$2:K$78,Apoio_Bordo!A$2:A$78,A19)+SUMIFS(Apoio_Bordo!L$2:L$78,Apoio_Bordo!A$2:A$78,A19)+SUMIFS(Apoio_Bordo!M$2:M$78,Apoio_Bordo!A$2:A$78,A19)</f>
        <v>17.44638888888889</v>
      </c>
      <c r="K19" s="30">
        <f>SUMIFS(Apoio_Bordo!H$2:H$78,Apoio_Bordo!A$2:A$78,A19)</f>
        <v>0.82944444444444443</v>
      </c>
      <c r="L19" s="30">
        <f>SUMIFS(Apoio_Bordo!N$2:N$78,Apoio_Bordo!A$2:A$78,A19)</f>
        <v>0</v>
      </c>
      <c r="M19" s="30">
        <f>SUMIFS(Apoio_Bordo!I$2:I$78,Apoio_Bordo!A$2:A$78,A19)</f>
        <v>18.923333333333332</v>
      </c>
      <c r="N19" s="30">
        <f>SUMIFS(Apoio_Bordo!P$2:P$78,Apoio_Bordo!A$2:A$78,A19)</f>
        <v>55.784444444444439</v>
      </c>
      <c r="O19" s="9">
        <f t="shared" si="0"/>
        <v>0.66683762896864929</v>
      </c>
      <c r="P19" s="8">
        <f>Apoio_Metas_Transporte!C$2</f>
        <v>36.6</v>
      </c>
      <c r="Q19" s="8">
        <f>Apoio_Metas_Transporte!D$2</f>
        <v>27</v>
      </c>
      <c r="R19" s="8">
        <f>Apoio_Metas_Transporte!A$2</f>
        <v>29.418586730956999</v>
      </c>
      <c r="S19" s="8">
        <f>Apoio_Metas_Transporte!B$2</f>
        <v>33.5</v>
      </c>
      <c r="T19" s="8">
        <f>Apoio_Metas_Transporte!E$2</f>
        <v>27</v>
      </c>
      <c r="U19" s="8">
        <f>Apoio_Metas_Transporte!F$2</f>
        <v>69.2</v>
      </c>
      <c r="V19" s="33">
        <f>Apoio_Metas_Transporte!G$2</f>
        <v>0.96</v>
      </c>
      <c r="W19" s="10" t="str">
        <f t="shared" si="1"/>
        <v>OFENSOR</v>
      </c>
      <c r="X19" s="10" t="str">
        <f t="shared" si="2"/>
        <v>OFENSOR</v>
      </c>
      <c r="Y19" s="10" t="str">
        <f t="shared" si="3"/>
        <v>OFENSOR</v>
      </c>
      <c r="Z19" s="10" t="str">
        <f t="shared" si="4"/>
        <v>OK</v>
      </c>
      <c r="AA19" s="10" t="str">
        <f t="shared" si="5"/>
        <v>OFENSOR</v>
      </c>
      <c r="AB19" s="10" t="str">
        <f t="shared" si="6"/>
        <v>OK</v>
      </c>
    </row>
    <row r="20" spans="1:28" ht="15" customHeight="1" x14ac:dyDescent="0.35">
      <c r="A20" s="7" t="s">
        <v>103</v>
      </c>
      <c r="B20" s="24" t="str">
        <f>IFERROR(INDEX(Apoio_Tempo_Cargas!C$2:C$49,MATCH(A20,Apoio_Tempo_Cargas!A$2:A$49,0)),"")</f>
        <v>353</v>
      </c>
      <c r="C20" s="10">
        <f>COUNTIF(Apoio_Tempo_Cargas!A$2:A$49,A20)</f>
        <v>1</v>
      </c>
      <c r="D20" s="30">
        <f>IFERROR(SUMIFS(Apoio_Bordo!Q$2:Q$78,Apoio_Bordo!A$2:A$78,A20)/SUMIFS(Apoio_Bordo!R$2:R$78,Apoio_Bordo!A$2:A$78,A20),"")</f>
        <v>28.949172460034585</v>
      </c>
      <c r="E20" s="30">
        <f>IFERROR(SUMIFS(Apoio_Bordo!T$2:T$78,Apoio_Bordo!A$2:A$78,A20)/SUMIFS(Apoio_Bordo!U$2:U$78,Apoio_Bordo!A$2:A$78,A20),"")</f>
        <v>24.129990600894534</v>
      </c>
      <c r="F20" s="27">
        <f>IFERROR(AVERAGEIFS(Apoio_Tempo_Cargas!J$2:J$49,Apoio_Tempo_Cargas!A$2:A$49,A20),"")</f>
        <v>79.866666665766388</v>
      </c>
      <c r="G20" s="27">
        <f>IFERROR(AVERAGEIFS(Apoio_Tempo_Cargas!K$2:K$49,Apoio_Tempo_Cargas!A$2:A$49,A20),"")</f>
        <v>40.566666667582467</v>
      </c>
      <c r="H20" s="30">
        <f>IFERROR(AVERAGEIFS(Apoio_Tempo_Cargas!W$2:W$49,Apoio_Tempo_Cargas!A$2:A$49,A20),"")</f>
        <v>49</v>
      </c>
      <c r="I20" s="30">
        <f>IFERROR(AVERAGEIFS(Apoio_Tempo_Cargas!U$2:U$49,Apoio_Tempo_Cargas!A$2:A$49,A20),"")</f>
        <v>38.354999999999997</v>
      </c>
      <c r="J20" s="30">
        <f>SUMIFS(Apoio_Bordo!K$2:K$78,Apoio_Bordo!A$2:A$78,A20)+SUMIFS(Apoio_Bordo!L$2:L$78,Apoio_Bordo!A$2:A$78,A20)+SUMIFS(Apoio_Bordo!M$2:M$78,Apoio_Bordo!A$2:A$78,A20)</f>
        <v>8.8805555555555564</v>
      </c>
      <c r="K20" s="30">
        <f>SUMIFS(Apoio_Bordo!H$2:H$78,Apoio_Bordo!A$2:A$78,A20)</f>
        <v>0.91833333333333333</v>
      </c>
      <c r="L20" s="30">
        <f>SUMIFS(Apoio_Bordo!N$2:N$78,Apoio_Bordo!A$2:A$78,A20)</f>
        <v>0</v>
      </c>
      <c r="M20" s="30">
        <f>SUMIFS(Apoio_Bordo!I$2:I$78,Apoio_Bordo!A$2:A$78,A20)</f>
        <v>11.423055555555557</v>
      </c>
      <c r="N20" s="30">
        <f>SUMIFS(Apoio_Bordo!P$2:P$78,Apoio_Bordo!A$2:A$78,A20)</f>
        <v>44.832222222222228</v>
      </c>
      <c r="O20" s="9">
        <f t="shared" si="0"/>
        <v>0.47336365213512105</v>
      </c>
      <c r="P20" s="8">
        <f>Apoio_Metas_Transporte!C$2</f>
        <v>36.6</v>
      </c>
      <c r="Q20" s="8">
        <f>Apoio_Metas_Transporte!D$2</f>
        <v>27</v>
      </c>
      <c r="R20" s="8">
        <f>Apoio_Metas_Transporte!A$2</f>
        <v>29.418586730956999</v>
      </c>
      <c r="S20" s="8">
        <f>Apoio_Metas_Transporte!B$2</f>
        <v>33.5</v>
      </c>
      <c r="T20" s="8">
        <f>Apoio_Metas_Transporte!E$2</f>
        <v>27</v>
      </c>
      <c r="U20" s="8">
        <f>Apoio_Metas_Transporte!F$2</f>
        <v>69.2</v>
      </c>
      <c r="V20" s="33">
        <f>Apoio_Metas_Transporte!G$2</f>
        <v>0.96</v>
      </c>
      <c r="W20" s="10" t="str">
        <f t="shared" si="1"/>
        <v>OFENSOR</v>
      </c>
      <c r="X20" s="10" t="str">
        <f t="shared" si="2"/>
        <v>OFENSOR</v>
      </c>
      <c r="Y20" s="10" t="str">
        <f t="shared" si="3"/>
        <v>OFENSOR</v>
      </c>
      <c r="Z20" s="10" t="str">
        <f t="shared" si="4"/>
        <v>OK</v>
      </c>
      <c r="AA20" s="10" t="str">
        <f t="shared" si="5"/>
        <v>OFENSOR</v>
      </c>
      <c r="AB20" s="10" t="str">
        <f t="shared" si="6"/>
        <v>OK</v>
      </c>
    </row>
    <row r="21" spans="1:28" ht="15" customHeight="1" x14ac:dyDescent="0.35">
      <c r="A21" s="7" t="s">
        <v>109</v>
      </c>
      <c r="B21" s="24" t="str">
        <f>IFERROR(INDEX(Apoio_Tempo_Cargas!C$2:C$49,MATCH(A21,Apoio_Tempo_Cargas!A$2:A$49,0)),"")</f>
        <v>353</v>
      </c>
      <c r="C21" s="10">
        <f>COUNTIF(Apoio_Tempo_Cargas!A$2:A$49,A21)</f>
        <v>1</v>
      </c>
      <c r="D21" s="30">
        <f>IFERROR(SUMIFS(Apoio_Bordo!Q$2:Q$78,Apoio_Bordo!A$2:A$78,A21)/SUMIFS(Apoio_Bordo!R$2:R$78,Apoio_Bordo!A$2:A$78,A21),"")</f>
        <v>31.271829289278955</v>
      </c>
      <c r="E21" s="30">
        <f>IFERROR(SUMIFS(Apoio_Bordo!T$2:T$78,Apoio_Bordo!A$2:A$78,A21)/SUMIFS(Apoio_Bordo!U$2:U$78,Apoio_Bordo!A$2:A$78,A21),"")</f>
        <v>7.7462650602409635</v>
      </c>
      <c r="F21" s="27">
        <f>IFERROR(AVERAGEIFS(Apoio_Tempo_Cargas!J$2:J$49,Apoio_Tempo_Cargas!A$2:A$49,A21),"")</f>
        <v>81.166666665812954</v>
      </c>
      <c r="G21" s="27">
        <f>IFERROR(AVERAGEIFS(Apoio_Tempo_Cargas!K$2:K$49,Apoio_Tempo_Cargas!A$2:A$49,A21),"")</f>
        <v>40.450000005075708</v>
      </c>
      <c r="H21" s="30">
        <f>IFERROR(AVERAGEIFS(Apoio_Tempo_Cargas!W$2:W$49,Apoio_Tempo_Cargas!A$2:A$49,A21),"")</f>
        <v>50</v>
      </c>
      <c r="I21" s="30">
        <f>IFERROR(AVERAGEIFS(Apoio_Tempo_Cargas!U$2:U$49,Apoio_Tempo_Cargas!A$2:A$49,A21),"")</f>
        <v>32.909999999999997</v>
      </c>
      <c r="J21" s="30">
        <f>SUMIFS(Apoio_Bordo!K$2:K$78,Apoio_Bordo!A$2:A$78,A21)+SUMIFS(Apoio_Bordo!L$2:L$78,Apoio_Bordo!A$2:A$78,A21)+SUMIFS(Apoio_Bordo!M$2:M$78,Apoio_Bordo!A$2:A$78,A21)</f>
        <v>0</v>
      </c>
      <c r="K21" s="30">
        <f>SUMIFS(Apoio_Bordo!H$2:H$78,Apoio_Bordo!A$2:A$78,A21)</f>
        <v>0.10888888888888888</v>
      </c>
      <c r="L21" s="30">
        <f>SUMIFS(Apoio_Bordo!N$2:N$78,Apoio_Bordo!A$2:A$78,A21)</f>
        <v>0</v>
      </c>
      <c r="M21" s="30">
        <f>SUMIFS(Apoio_Bordo!I$2:I$78,Apoio_Bordo!A$2:A$78,A21)</f>
        <v>4.8677777777777784</v>
      </c>
      <c r="N21" s="30">
        <f>SUMIFS(Apoio_Bordo!P$2:P$78,Apoio_Bordo!A$2:A$78,A21)</f>
        <v>6.8430555555555568</v>
      </c>
      <c r="O21" s="9">
        <f t="shared" si="0"/>
        <v>0.72725796630809825</v>
      </c>
      <c r="P21" s="8">
        <f>Apoio_Metas_Transporte!C$2</f>
        <v>36.6</v>
      </c>
      <c r="Q21" s="8">
        <f>Apoio_Metas_Transporte!D$2</f>
        <v>27</v>
      </c>
      <c r="R21" s="8">
        <f>Apoio_Metas_Transporte!A$2</f>
        <v>29.418586730956999</v>
      </c>
      <c r="S21" s="8">
        <f>Apoio_Metas_Transporte!B$2</f>
        <v>33.5</v>
      </c>
      <c r="T21" s="8">
        <f>Apoio_Metas_Transporte!E$2</f>
        <v>27</v>
      </c>
      <c r="U21" s="8">
        <f>Apoio_Metas_Transporte!F$2</f>
        <v>69.2</v>
      </c>
      <c r="V21" s="33">
        <f>Apoio_Metas_Transporte!G$2</f>
        <v>0.96</v>
      </c>
      <c r="W21" s="10" t="str">
        <f t="shared" si="1"/>
        <v>OFENSOR</v>
      </c>
      <c r="X21" s="10" t="str">
        <f t="shared" si="2"/>
        <v>OFENSOR</v>
      </c>
      <c r="Y21" s="10" t="str">
        <f t="shared" si="3"/>
        <v>OFENSOR</v>
      </c>
      <c r="Z21" s="10" t="str">
        <f t="shared" si="4"/>
        <v>OFENSOR</v>
      </c>
      <c r="AA21" s="10" t="str">
        <f t="shared" si="5"/>
        <v>OFENSOR</v>
      </c>
      <c r="AB21" s="10" t="str">
        <f t="shared" si="6"/>
        <v>OK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1"/>
  <sheetViews>
    <sheetView topLeftCell="A53" zoomScaleNormal="100" workbookViewId="0">
      <selection activeCell="F65" sqref="F65"/>
    </sheetView>
  </sheetViews>
  <sheetFormatPr defaultColWidth="8.54296875" defaultRowHeight="14.5" x14ac:dyDescent="0.35"/>
  <cols>
    <col min="1" max="1" width="18" customWidth="1"/>
    <col min="2" max="2" width="30" customWidth="1"/>
    <col min="3" max="8" width="18" customWidth="1"/>
  </cols>
  <sheetData>
    <row r="1" spans="1:8" ht="15" customHeight="1" x14ac:dyDescent="0.35">
      <c r="A1" s="23" t="s">
        <v>31</v>
      </c>
      <c r="B1" s="23" t="s">
        <v>38</v>
      </c>
      <c r="C1" s="23" t="s">
        <v>39</v>
      </c>
      <c r="D1" s="23" t="s">
        <v>40</v>
      </c>
      <c r="E1" s="23" t="s">
        <v>274</v>
      </c>
      <c r="F1" s="23" t="s">
        <v>275</v>
      </c>
      <c r="G1" s="23" t="s">
        <v>276</v>
      </c>
      <c r="H1" s="23" t="s">
        <v>277</v>
      </c>
    </row>
    <row r="2" spans="1:8" ht="15" customHeight="1" x14ac:dyDescent="0.35">
      <c r="A2" s="7">
        <v>351</v>
      </c>
      <c r="B2" s="7" t="s">
        <v>11</v>
      </c>
      <c r="C2" s="8">
        <f>'KPI por frente'!B3</f>
        <v>2240</v>
      </c>
      <c r="D2" s="8">
        <f>'KPI por frente'!C3</f>
        <v>1337.08</v>
      </c>
      <c r="E2" s="9">
        <f t="shared" ref="E2:E33" si="0">IFERROR(D2/C2,0)</f>
        <v>0.59691071428571429</v>
      </c>
      <c r="F2" s="7" t="s">
        <v>12</v>
      </c>
      <c r="G2" s="7" t="s">
        <v>278</v>
      </c>
      <c r="H2" s="10" t="str">
        <f>IF(D2&gt;=C2,"OK","OFENSOR")</f>
        <v>OFENSOR</v>
      </c>
    </row>
    <row r="3" spans="1:8" ht="15" customHeight="1" x14ac:dyDescent="0.35">
      <c r="A3" s="7">
        <v>351</v>
      </c>
      <c r="B3" s="7" t="s">
        <v>13</v>
      </c>
      <c r="C3" s="8">
        <f>'KPI por frente'!B7</f>
        <v>33.5</v>
      </c>
      <c r="D3" s="8">
        <f>'KPI por frente'!C7</f>
        <v>30.192095238095238</v>
      </c>
      <c r="E3" s="9">
        <f t="shared" si="0"/>
        <v>0.90125657427149963</v>
      </c>
      <c r="F3" s="7" t="s">
        <v>14</v>
      </c>
      <c r="G3" s="7" t="s">
        <v>278</v>
      </c>
      <c r="H3" s="10" t="str">
        <f>IF(D3&gt;=C3,"OK","OFENSOR")</f>
        <v>OFENSOR</v>
      </c>
    </row>
    <row r="4" spans="1:8" ht="15" customHeight="1" x14ac:dyDescent="0.35">
      <c r="A4" s="7">
        <v>351</v>
      </c>
      <c r="B4" s="7" t="s">
        <v>15</v>
      </c>
      <c r="C4" s="8">
        <f>'KPI por frente'!B8</f>
        <v>856.85892062356857</v>
      </c>
      <c r="D4" s="8">
        <f>'KPI por frente'!C8</f>
        <v>603.72821614950351</v>
      </c>
      <c r="E4" s="9">
        <f t="shared" si="0"/>
        <v>0.70458298515483475</v>
      </c>
      <c r="F4" s="7" t="s">
        <v>16</v>
      </c>
      <c r="G4" s="7" t="s">
        <v>278</v>
      </c>
      <c r="H4" s="10" t="str">
        <f>IF(D4&gt;=C4,"OK","OFENSOR")</f>
        <v>OFENSOR</v>
      </c>
    </row>
    <row r="5" spans="1:8" ht="15" customHeight="1" x14ac:dyDescent="0.35">
      <c r="A5" s="7">
        <v>351</v>
      </c>
      <c r="B5" s="7" t="s">
        <v>17</v>
      </c>
      <c r="C5" s="8">
        <f>'KPI por frente'!B11</f>
        <v>3.3518452643115135</v>
      </c>
      <c r="D5" s="8">
        <f>'KPI por frente'!C11</f>
        <v>5.0084354071054316</v>
      </c>
      <c r="E5" s="9">
        <f t="shared" si="0"/>
        <v>1.4942322846559537</v>
      </c>
      <c r="F5" s="7" t="s">
        <v>16</v>
      </c>
      <c r="G5" s="7" t="s">
        <v>278</v>
      </c>
      <c r="H5" s="10" t="str">
        <f>IF(D5&gt;=C5,"OK","OFENSOR")</f>
        <v>OK</v>
      </c>
    </row>
    <row r="6" spans="1:8" ht="15" customHeight="1" x14ac:dyDescent="0.35">
      <c r="A6" s="7">
        <v>351</v>
      </c>
      <c r="B6" s="7" t="s">
        <v>18</v>
      </c>
      <c r="C6" s="8">
        <f>'KPI por frente'!B12</f>
        <v>16.735340899092034</v>
      </c>
      <c r="D6" s="8">
        <f>'KPI por frente'!C12</f>
        <v>20.078521115884033</v>
      </c>
      <c r="E6" s="9">
        <f t="shared" si="0"/>
        <v>1.1997676794844008</v>
      </c>
      <c r="F6" s="7" t="s">
        <v>16</v>
      </c>
      <c r="G6" s="7" t="s">
        <v>279</v>
      </c>
      <c r="H6" s="10" t="str">
        <f>IF(D6&lt;=C6,"OK","OFENSOR")</f>
        <v>OFENSOR</v>
      </c>
    </row>
    <row r="7" spans="1:8" ht="15" customHeight="1" x14ac:dyDescent="0.35">
      <c r="A7" s="7">
        <v>351</v>
      </c>
      <c r="B7" s="7" t="s">
        <v>19</v>
      </c>
      <c r="C7" s="8">
        <f>'KPI por frente'!B13</f>
        <v>82.150383141762447</v>
      </c>
      <c r="D7" s="8">
        <f>'KPI por frente'!C13</f>
        <v>93.432669192474108</v>
      </c>
      <c r="E7" s="9">
        <f t="shared" si="0"/>
        <v>1.1373369863807261</v>
      </c>
      <c r="F7" s="7" t="s">
        <v>16</v>
      </c>
      <c r="G7" s="7" t="s">
        <v>278</v>
      </c>
      <c r="H7" s="10" t="str">
        <f t="shared" ref="H7:H12" si="1">IF(D7&gt;=C7,"OK","OFENSOR")</f>
        <v>OK</v>
      </c>
    </row>
    <row r="8" spans="1:8" ht="15" customHeight="1" x14ac:dyDescent="0.35">
      <c r="A8" s="7">
        <v>351</v>
      </c>
      <c r="B8" s="7" t="s">
        <v>20</v>
      </c>
      <c r="C8" s="8">
        <f>'KPI por frente'!B14</f>
        <v>87.000000476837158</v>
      </c>
      <c r="D8" s="8">
        <f>'KPI por frente'!C14</f>
        <v>100</v>
      </c>
      <c r="E8" s="9">
        <f t="shared" si="0"/>
        <v>1.1494252810564518</v>
      </c>
      <c r="F8" s="7" t="s">
        <v>16</v>
      </c>
      <c r="G8" s="7" t="s">
        <v>278</v>
      </c>
      <c r="H8" s="10" t="str">
        <f t="shared" si="1"/>
        <v>OK</v>
      </c>
    </row>
    <row r="9" spans="1:8" ht="15" customHeight="1" x14ac:dyDescent="0.35">
      <c r="A9" s="7">
        <v>351</v>
      </c>
      <c r="B9" s="7" t="s">
        <v>21</v>
      </c>
      <c r="C9" s="8">
        <f>'KPI por frente'!B18</f>
        <v>87</v>
      </c>
      <c r="D9" s="8">
        <f>'KPI por frente'!C18</f>
        <v>91.248686719795515</v>
      </c>
      <c r="E9" s="9">
        <f t="shared" si="0"/>
        <v>1.0488354795378796</v>
      </c>
      <c r="F9" s="7" t="s">
        <v>22</v>
      </c>
      <c r="G9" s="7" t="s">
        <v>278</v>
      </c>
      <c r="H9" s="10" t="str">
        <f t="shared" si="1"/>
        <v>OK</v>
      </c>
    </row>
    <row r="10" spans="1:8" ht="15" customHeight="1" x14ac:dyDescent="0.35">
      <c r="A10" s="7">
        <v>351</v>
      </c>
      <c r="B10" s="7" t="s">
        <v>23</v>
      </c>
      <c r="C10" s="8">
        <f>'KPI por frente'!B19</f>
        <v>97</v>
      </c>
      <c r="D10" s="8">
        <f>'KPI por frente'!C19</f>
        <v>88.077330456225056</v>
      </c>
      <c r="E10" s="9">
        <f t="shared" si="0"/>
        <v>0.9080137160435573</v>
      </c>
      <c r="F10" s="7" t="s">
        <v>22</v>
      </c>
      <c r="G10" s="7" t="s">
        <v>278</v>
      </c>
      <c r="H10" s="10" t="str">
        <f t="shared" si="1"/>
        <v>OFENSOR</v>
      </c>
    </row>
    <row r="11" spans="1:8" ht="15" customHeight="1" x14ac:dyDescent="0.35">
      <c r="A11" s="7">
        <v>351</v>
      </c>
      <c r="B11" s="7" t="s">
        <v>24</v>
      </c>
      <c r="C11" s="8">
        <f>'KPI por frente'!B20</f>
        <v>12.20124464917633</v>
      </c>
      <c r="D11" s="8">
        <f>'KPI por frente'!C20</f>
        <v>13.766193825079281</v>
      </c>
      <c r="E11" s="9">
        <f t="shared" si="0"/>
        <v>1.1282614373287398</v>
      </c>
      <c r="F11" s="7" t="s">
        <v>22</v>
      </c>
      <c r="G11" s="7" t="s">
        <v>278</v>
      </c>
      <c r="H11" s="10" t="str">
        <f t="shared" si="1"/>
        <v>OK</v>
      </c>
    </row>
    <row r="12" spans="1:8" ht="15" customHeight="1" x14ac:dyDescent="0.35">
      <c r="A12" s="7">
        <v>351</v>
      </c>
      <c r="B12" s="7" t="s">
        <v>25</v>
      </c>
      <c r="C12" s="8">
        <f>'KPI por frente'!B21</f>
        <v>11.237142196929923</v>
      </c>
      <c r="D12" s="8">
        <f>'KPI por frente'!C21</f>
        <v>12.290502343170573</v>
      </c>
      <c r="E12" s="9">
        <f t="shared" si="0"/>
        <v>1.0937391489562565</v>
      </c>
      <c r="F12" s="7" t="s">
        <v>22</v>
      </c>
      <c r="G12" s="7" t="s">
        <v>278</v>
      </c>
      <c r="H12" s="10" t="str">
        <f t="shared" si="1"/>
        <v>OK</v>
      </c>
    </row>
    <row r="13" spans="1:8" ht="15" customHeight="1" x14ac:dyDescent="0.35">
      <c r="A13" s="7">
        <v>351</v>
      </c>
      <c r="B13" s="7" t="s">
        <v>26</v>
      </c>
      <c r="C13" s="8">
        <f>'KPI por frente'!B24</f>
        <v>97</v>
      </c>
      <c r="D13" s="8">
        <f>'KPI por frente'!C24</f>
        <v>99.868789363191041</v>
      </c>
      <c r="E13" s="9">
        <f t="shared" si="0"/>
        <v>1.0295751480741344</v>
      </c>
      <c r="F13" s="7" t="s">
        <v>22</v>
      </c>
      <c r="G13" s="7" t="s">
        <v>279</v>
      </c>
      <c r="H13" s="10" t="str">
        <f>IF(D13&lt;=C13,"OK","OFENSOR")</f>
        <v>OFENSOR</v>
      </c>
    </row>
    <row r="14" spans="1:8" ht="15" customHeight="1" x14ac:dyDescent="0.35">
      <c r="A14" s="7">
        <v>351</v>
      </c>
      <c r="B14" s="7" t="s">
        <v>27</v>
      </c>
      <c r="C14" s="8">
        <f>'KPI por frente'!B23</f>
        <v>75</v>
      </c>
      <c r="D14" s="8">
        <f>'KPI por frente'!C23</f>
        <v>80.678922173272056</v>
      </c>
      <c r="E14" s="9">
        <f t="shared" si="0"/>
        <v>1.0757189623102941</v>
      </c>
      <c r="F14" s="7" t="s">
        <v>14</v>
      </c>
      <c r="G14" s="7" t="s">
        <v>278</v>
      </c>
      <c r="H14" s="10" t="str">
        <f>IF(D14&gt;=C14,"OK","OFENSOR")</f>
        <v>OK</v>
      </c>
    </row>
    <row r="15" spans="1:8" ht="15" customHeight="1" x14ac:dyDescent="0.35">
      <c r="A15" s="7">
        <v>351</v>
      </c>
      <c r="B15" s="7" t="s">
        <v>28</v>
      </c>
      <c r="C15" s="8">
        <f>'KPI por frente'!B25</f>
        <v>26.999999999999996</v>
      </c>
      <c r="D15" s="8">
        <f>'KPI por frente'!C25</f>
        <v>47.932499999999997</v>
      </c>
      <c r="E15" s="9">
        <f t="shared" si="0"/>
        <v>1.775277777777778</v>
      </c>
      <c r="F15" s="7" t="s">
        <v>14</v>
      </c>
      <c r="G15" s="7" t="s">
        <v>279</v>
      </c>
      <c r="H15" s="10" t="str">
        <f>IF(D15&lt;=C15,"OK","OFENSOR")</f>
        <v>OFENSOR</v>
      </c>
    </row>
    <row r="16" spans="1:8" ht="15" customHeight="1" x14ac:dyDescent="0.35">
      <c r="A16" s="7">
        <v>351</v>
      </c>
      <c r="B16" s="7" t="s">
        <v>29</v>
      </c>
      <c r="C16" s="8">
        <f>'KPI por frente'!B26</f>
        <v>29.418586730957031</v>
      </c>
      <c r="D16" s="8">
        <f>'KPI por frente'!C26</f>
        <v>14.891055817081373</v>
      </c>
      <c r="E16" s="9">
        <f t="shared" si="0"/>
        <v>0.50617849026077077</v>
      </c>
      <c r="F16" s="7" t="s">
        <v>16</v>
      </c>
      <c r="G16" s="7" t="s">
        <v>279</v>
      </c>
      <c r="H16" s="10" t="str">
        <f>IF(D16&lt;=C16,"OK","OFENSOR")</f>
        <v>OK</v>
      </c>
    </row>
    <row r="17" spans="1:8" ht="15" customHeight="1" x14ac:dyDescent="0.35">
      <c r="A17" s="7">
        <v>352</v>
      </c>
      <c r="B17" s="7" t="s">
        <v>11</v>
      </c>
      <c r="C17" s="8">
        <f>'KPI por frente'!D3</f>
        <v>3792.5</v>
      </c>
      <c r="D17" s="8">
        <f>'KPI por frente'!E3</f>
        <v>870.24</v>
      </c>
      <c r="E17" s="9">
        <f t="shared" si="0"/>
        <v>0.22946341463414635</v>
      </c>
      <c r="F17" s="7" t="s">
        <v>12</v>
      </c>
      <c r="G17" s="7" t="s">
        <v>278</v>
      </c>
      <c r="H17" s="10" t="str">
        <f>IF(D17&gt;=C17,"OK","OFENSOR")</f>
        <v>OFENSOR</v>
      </c>
    </row>
    <row r="18" spans="1:8" ht="15" customHeight="1" x14ac:dyDescent="0.35">
      <c r="A18" s="7">
        <v>352</v>
      </c>
      <c r="B18" s="7" t="s">
        <v>13</v>
      </c>
      <c r="C18" s="8">
        <f>'KPI por frente'!D7</f>
        <v>33.5</v>
      </c>
      <c r="D18" s="8">
        <f>'KPI por frente'!E7</f>
        <v>31.178181818181816</v>
      </c>
      <c r="E18" s="9">
        <f t="shared" si="0"/>
        <v>0.93069199457259155</v>
      </c>
      <c r="F18" s="7" t="s">
        <v>14</v>
      </c>
      <c r="G18" s="7" t="s">
        <v>278</v>
      </c>
      <c r="H18" s="10" t="str">
        <f>IF(D18&gt;=C18,"OK","OFENSOR")</f>
        <v>OFENSOR</v>
      </c>
    </row>
    <row r="19" spans="1:8" ht="15" customHeight="1" x14ac:dyDescent="0.35">
      <c r="A19" s="7">
        <v>352</v>
      </c>
      <c r="B19" s="7" t="s">
        <v>15</v>
      </c>
      <c r="C19" s="8">
        <f>'KPI por frente'!D8</f>
        <v>445.39274943305861</v>
      </c>
      <c r="D19" s="8">
        <f>'KPI por frente'!E8</f>
        <v>309.85994915700792</v>
      </c>
      <c r="E19" s="9">
        <f t="shared" si="0"/>
        <v>0.69570047907477006</v>
      </c>
      <c r="F19" s="7" t="s">
        <v>16</v>
      </c>
      <c r="G19" s="7" t="s">
        <v>278</v>
      </c>
      <c r="H19" s="10" t="str">
        <f>IF(D19&gt;=C19,"OK","OFENSOR")</f>
        <v>OFENSOR</v>
      </c>
    </row>
    <row r="20" spans="1:8" ht="15" customHeight="1" x14ac:dyDescent="0.35">
      <c r="A20" s="7">
        <v>352</v>
      </c>
      <c r="B20" s="7" t="s">
        <v>17</v>
      </c>
      <c r="C20" s="8">
        <f>'KPI por frente'!D11</f>
        <v>4.3352230476592792</v>
      </c>
      <c r="D20" s="8">
        <f>'KPI por frente'!E11</f>
        <v>4.2401550356604307</v>
      </c>
      <c r="E20" s="9">
        <f t="shared" si="0"/>
        <v>0.97807079106340822</v>
      </c>
      <c r="F20" s="7" t="s">
        <v>16</v>
      </c>
      <c r="G20" s="7" t="s">
        <v>278</v>
      </c>
      <c r="H20" s="10" t="str">
        <f>IF(D20&gt;=C20,"OK","OFENSOR")</f>
        <v>OFENSOR</v>
      </c>
    </row>
    <row r="21" spans="1:8" ht="15" customHeight="1" x14ac:dyDescent="0.35">
      <c r="A21" s="7">
        <v>352</v>
      </c>
      <c r="B21" s="7" t="s">
        <v>18</v>
      </c>
      <c r="C21" s="8">
        <f>'KPI por frente'!D12</f>
        <v>16.735340899092037</v>
      </c>
      <c r="D21" s="8">
        <f>'KPI por frente'!E12</f>
        <v>30.348902264143963</v>
      </c>
      <c r="E21" s="9">
        <f t="shared" si="0"/>
        <v>1.8134618498145154</v>
      </c>
      <c r="F21" s="7" t="s">
        <v>16</v>
      </c>
      <c r="G21" s="7" t="s">
        <v>279</v>
      </c>
      <c r="H21" s="10" t="str">
        <f>IF(D21&lt;=C21,"OK","OFENSOR")</f>
        <v>OFENSOR</v>
      </c>
    </row>
    <row r="22" spans="1:8" ht="15" customHeight="1" x14ac:dyDescent="0.35">
      <c r="A22" s="7">
        <v>352</v>
      </c>
      <c r="B22" s="7" t="s">
        <v>19</v>
      </c>
      <c r="C22" s="8">
        <f>'KPI por frente'!D13</f>
        <v>82.150383141762447</v>
      </c>
      <c r="D22" s="8">
        <f>'KPI por frente'!E13</f>
        <v>75.753134771831938</v>
      </c>
      <c r="E22" s="9">
        <f t="shared" si="0"/>
        <v>0.92212758936387274</v>
      </c>
      <c r="F22" s="7" t="s">
        <v>16</v>
      </c>
      <c r="G22" s="7" t="s">
        <v>278</v>
      </c>
      <c r="H22" s="10" t="str">
        <f t="shared" ref="H22:H27" si="2">IF(D22&gt;=C22,"OK","OFENSOR")</f>
        <v>OFENSOR</v>
      </c>
    </row>
    <row r="23" spans="1:8" ht="15" customHeight="1" x14ac:dyDescent="0.35">
      <c r="A23" s="7">
        <v>352</v>
      </c>
      <c r="B23" s="7" t="s">
        <v>20</v>
      </c>
      <c r="C23" s="8">
        <f>'KPI por frente'!D14</f>
        <v>87.000000476837158</v>
      </c>
      <c r="D23" s="8">
        <f>'KPI por frente'!E14</f>
        <v>74.312219590924073</v>
      </c>
      <c r="E23" s="9">
        <f t="shared" si="0"/>
        <v>0.85416343889226676</v>
      </c>
      <c r="F23" s="7" t="s">
        <v>16</v>
      </c>
      <c r="G23" s="7" t="s">
        <v>278</v>
      </c>
      <c r="H23" s="10" t="str">
        <f t="shared" si="2"/>
        <v>OFENSOR</v>
      </c>
    </row>
    <row r="24" spans="1:8" ht="15" customHeight="1" x14ac:dyDescent="0.35">
      <c r="A24" s="7">
        <v>352</v>
      </c>
      <c r="B24" s="7" t="s">
        <v>21</v>
      </c>
      <c r="C24" s="8">
        <f>'KPI por frente'!D18</f>
        <v>87</v>
      </c>
      <c r="D24" s="8">
        <f>'KPI por frente'!E18</f>
        <v>86.274112267544396</v>
      </c>
      <c r="E24" s="9">
        <f t="shared" si="0"/>
        <v>0.99165646284533793</v>
      </c>
      <c r="F24" s="7" t="s">
        <v>22</v>
      </c>
      <c r="G24" s="7" t="s">
        <v>278</v>
      </c>
      <c r="H24" s="10" t="str">
        <f t="shared" si="2"/>
        <v>OFENSOR</v>
      </c>
    </row>
    <row r="25" spans="1:8" ht="15" customHeight="1" x14ac:dyDescent="0.35">
      <c r="A25" s="7">
        <v>352</v>
      </c>
      <c r="B25" s="7" t="s">
        <v>23</v>
      </c>
      <c r="C25" s="8">
        <f>'KPI por frente'!D19</f>
        <v>97</v>
      </c>
      <c r="D25" s="8">
        <f>'KPI por frente'!E19</f>
        <v>98.383872853156547</v>
      </c>
      <c r="E25" s="9">
        <f t="shared" si="0"/>
        <v>1.0142667304449129</v>
      </c>
      <c r="F25" s="7" t="s">
        <v>22</v>
      </c>
      <c r="G25" s="7" t="s">
        <v>278</v>
      </c>
      <c r="H25" s="10" t="str">
        <f t="shared" si="2"/>
        <v>OK</v>
      </c>
    </row>
    <row r="26" spans="1:8" ht="15" customHeight="1" x14ac:dyDescent="0.35">
      <c r="A26" s="7">
        <v>352</v>
      </c>
      <c r="B26" s="7" t="s">
        <v>24</v>
      </c>
      <c r="C26" s="8">
        <f>'KPI por frente'!D20</f>
        <v>12.201244649176328</v>
      </c>
      <c r="D26" s="8">
        <f>'KPI por frente'!E20</f>
        <v>11.425060737613121</v>
      </c>
      <c r="E26" s="9">
        <f t="shared" si="0"/>
        <v>0.93638485794843851</v>
      </c>
      <c r="F26" s="7" t="s">
        <v>22</v>
      </c>
      <c r="G26" s="7" t="s">
        <v>278</v>
      </c>
      <c r="H26" s="10" t="str">
        <f t="shared" si="2"/>
        <v>OFENSOR</v>
      </c>
    </row>
    <row r="27" spans="1:8" ht="15" customHeight="1" x14ac:dyDescent="0.35">
      <c r="A27" s="7">
        <v>352</v>
      </c>
      <c r="B27" s="7" t="s">
        <v>25</v>
      </c>
      <c r="C27" s="8">
        <f>'KPI por frente'!D21</f>
        <v>11.237142196929927</v>
      </c>
      <c r="D27" s="8">
        <f>'KPI por frente'!E21</f>
        <v>9.2084675437091263</v>
      </c>
      <c r="E27" s="9">
        <f t="shared" si="0"/>
        <v>0.81946703016937439</v>
      </c>
      <c r="F27" s="7" t="s">
        <v>22</v>
      </c>
      <c r="G27" s="7" t="s">
        <v>278</v>
      </c>
      <c r="H27" s="10" t="str">
        <f t="shared" si="2"/>
        <v>OFENSOR</v>
      </c>
    </row>
    <row r="28" spans="1:8" ht="15" customHeight="1" x14ac:dyDescent="0.35">
      <c r="A28" s="7">
        <v>352</v>
      </c>
      <c r="B28" s="7" t="s">
        <v>26</v>
      </c>
      <c r="C28" s="8">
        <f>'KPI por frente'!D24</f>
        <v>97</v>
      </c>
      <c r="D28" s="8">
        <f>'KPI por frente'!E24</f>
        <v>100</v>
      </c>
      <c r="E28" s="9">
        <f t="shared" si="0"/>
        <v>1.0309278350515463</v>
      </c>
      <c r="F28" s="7" t="s">
        <v>22</v>
      </c>
      <c r="G28" s="7" t="s">
        <v>279</v>
      </c>
      <c r="H28" s="10" t="str">
        <f>IF(D28&lt;=C28,"OK","OFENSOR")</f>
        <v>OFENSOR</v>
      </c>
    </row>
    <row r="29" spans="1:8" ht="15" customHeight="1" x14ac:dyDescent="0.35">
      <c r="A29" s="7">
        <v>352</v>
      </c>
      <c r="B29" s="7" t="s">
        <v>27</v>
      </c>
      <c r="C29" s="8">
        <f>'KPI por frente'!D23</f>
        <v>75</v>
      </c>
      <c r="D29" s="8">
        <f>'KPI por frente'!E23</f>
        <v>75.293392509764814</v>
      </c>
      <c r="E29" s="9">
        <f t="shared" si="0"/>
        <v>1.0039119001301975</v>
      </c>
      <c r="F29" s="7" t="s">
        <v>14</v>
      </c>
      <c r="G29" s="7" t="s">
        <v>278</v>
      </c>
      <c r="H29" s="10" t="str">
        <f>IF(D29&gt;=C29,"OK","OFENSOR")</f>
        <v>OK</v>
      </c>
    </row>
    <row r="30" spans="1:8" ht="15" customHeight="1" x14ac:dyDescent="0.35">
      <c r="A30" s="7">
        <v>352</v>
      </c>
      <c r="B30" s="7" t="s">
        <v>28</v>
      </c>
      <c r="C30" s="8">
        <f>'KPI por frente'!D25</f>
        <v>26.999999999999996</v>
      </c>
      <c r="D30" s="8">
        <f>'KPI por frente'!E25</f>
        <v>41.790277777777774</v>
      </c>
      <c r="E30" s="9">
        <f t="shared" si="0"/>
        <v>1.5477880658436214</v>
      </c>
      <c r="F30" s="7" t="s">
        <v>14</v>
      </c>
      <c r="G30" s="7" t="s">
        <v>279</v>
      </c>
      <c r="H30" s="10" t="str">
        <f>IF(D30&lt;=C30,"OK","OFENSOR")</f>
        <v>OFENSOR</v>
      </c>
    </row>
    <row r="31" spans="1:8" ht="15" customHeight="1" x14ac:dyDescent="0.35">
      <c r="A31" s="7">
        <v>352</v>
      </c>
      <c r="B31" s="7" t="s">
        <v>29</v>
      </c>
      <c r="C31" s="8">
        <f>'KPI por frente'!D26</f>
        <v>29.418586730957031</v>
      </c>
      <c r="D31" s="8">
        <f>'KPI por frente'!E26</f>
        <v>58.362828744832441</v>
      </c>
      <c r="E31" s="9">
        <f t="shared" si="0"/>
        <v>1.9838760195579868</v>
      </c>
      <c r="F31" s="7" t="s">
        <v>16</v>
      </c>
      <c r="G31" s="7" t="s">
        <v>279</v>
      </c>
      <c r="H31" s="10" t="str">
        <f>IF(D31&lt;=C31,"OK","OFENSOR")</f>
        <v>OFENSOR</v>
      </c>
    </row>
    <row r="32" spans="1:8" ht="15" customHeight="1" x14ac:dyDescent="0.35">
      <c r="A32" s="7">
        <v>353</v>
      </c>
      <c r="B32" s="7" t="s">
        <v>11</v>
      </c>
      <c r="C32" s="8">
        <f>'KPI por frente'!F3</f>
        <v>4058.75</v>
      </c>
      <c r="D32" s="8">
        <f>'KPI por frente'!G3</f>
        <v>3350.42</v>
      </c>
      <c r="E32" s="9">
        <f t="shared" si="0"/>
        <v>0.8254807514628888</v>
      </c>
      <c r="F32" s="7" t="s">
        <v>12</v>
      </c>
      <c r="G32" s="7" t="s">
        <v>278</v>
      </c>
      <c r="H32" s="10" t="str">
        <f>IF(D32&gt;=C32,"OK","OFENSOR")</f>
        <v>OFENSOR</v>
      </c>
    </row>
    <row r="33" spans="1:8" ht="15" customHeight="1" x14ac:dyDescent="0.35">
      <c r="A33" s="7">
        <v>353</v>
      </c>
      <c r="B33" s="7" t="s">
        <v>13</v>
      </c>
      <c r="C33" s="8">
        <f>'KPI por frente'!F7</f>
        <v>33.5</v>
      </c>
      <c r="D33" s="8">
        <f>'KPI por frente'!G7</f>
        <v>37.268000000000001</v>
      </c>
      <c r="E33" s="9">
        <f t="shared" si="0"/>
        <v>1.1124776119402986</v>
      </c>
      <c r="F33" s="7" t="s">
        <v>14</v>
      </c>
      <c r="G33" s="7" t="s">
        <v>278</v>
      </c>
      <c r="H33" s="10" t="str">
        <f>IF(D33&gt;=C33,"OK","OFENSOR")</f>
        <v>OK</v>
      </c>
    </row>
    <row r="34" spans="1:8" ht="15" customHeight="1" x14ac:dyDescent="0.35">
      <c r="A34" s="7">
        <v>353</v>
      </c>
      <c r="B34" s="7" t="s">
        <v>15</v>
      </c>
      <c r="C34" s="8">
        <f>'KPI por frente'!F8</f>
        <v>1018.1111741763209</v>
      </c>
      <c r="D34" s="8">
        <f>'KPI por frente'!G8</f>
        <v>1640.6800235217688</v>
      </c>
      <c r="E34" s="9">
        <f t="shared" ref="E34:E61" si="3">IFERROR(D34/C34,0)</f>
        <v>1.6114939754483322</v>
      </c>
      <c r="F34" s="7" t="s">
        <v>16</v>
      </c>
      <c r="G34" s="7" t="s">
        <v>278</v>
      </c>
      <c r="H34" s="10" t="str">
        <f>IF(D34&gt;=C34,"OK","OFENSOR")</f>
        <v>OK</v>
      </c>
    </row>
    <row r="35" spans="1:8" ht="15" customHeight="1" x14ac:dyDescent="0.35">
      <c r="A35" s="7">
        <v>353</v>
      </c>
      <c r="B35" s="7" t="s">
        <v>17</v>
      </c>
      <c r="C35" s="8">
        <f>'KPI por frente'!F11</f>
        <v>4.1755569749185648</v>
      </c>
      <c r="D35" s="8">
        <f>'KPI por frente'!G11</f>
        <v>4.7051183207538756</v>
      </c>
      <c r="E35" s="9">
        <f t="shared" si="3"/>
        <v>1.126824121671969</v>
      </c>
      <c r="F35" s="7" t="s">
        <v>16</v>
      </c>
      <c r="G35" s="7" t="s">
        <v>278</v>
      </c>
      <c r="H35" s="10" t="str">
        <f>IF(D35&gt;=C35,"OK","OFENSOR")</f>
        <v>OK</v>
      </c>
    </row>
    <row r="36" spans="1:8" ht="15" customHeight="1" x14ac:dyDescent="0.35">
      <c r="A36" s="7">
        <v>353</v>
      </c>
      <c r="B36" s="7" t="s">
        <v>18</v>
      </c>
      <c r="C36" s="8">
        <f>'KPI por frente'!F12</f>
        <v>16.735340899092034</v>
      </c>
      <c r="D36" s="8">
        <f>'KPI por frente'!G12</f>
        <v>16.978185800632879</v>
      </c>
      <c r="E36" s="9">
        <f t="shared" si="3"/>
        <v>1.0145109025866346</v>
      </c>
      <c r="F36" s="7" t="s">
        <v>16</v>
      </c>
      <c r="G36" s="7" t="s">
        <v>279</v>
      </c>
      <c r="H36" s="10" t="str">
        <f>IF(D36&lt;=C36,"OK","OFENSOR")</f>
        <v>OFENSOR</v>
      </c>
    </row>
    <row r="37" spans="1:8" ht="15" customHeight="1" x14ac:dyDescent="0.35">
      <c r="A37" s="7">
        <v>353</v>
      </c>
      <c r="B37" s="7" t="s">
        <v>19</v>
      </c>
      <c r="C37" s="8">
        <f>'KPI por frente'!F13</f>
        <v>82.150383141762447</v>
      </c>
      <c r="D37" s="8">
        <f>'KPI por frente'!G13</f>
        <v>86.151483160667624</v>
      </c>
      <c r="E37" s="9">
        <f t="shared" si="3"/>
        <v>1.0487045813529645</v>
      </c>
      <c r="F37" s="7" t="s">
        <v>16</v>
      </c>
      <c r="G37" s="7" t="s">
        <v>278</v>
      </c>
      <c r="H37" s="10" t="str">
        <f t="shared" ref="H37:H42" si="4">IF(D37&gt;=C37,"OK","OFENSOR")</f>
        <v>OK</v>
      </c>
    </row>
    <row r="38" spans="1:8" ht="15" customHeight="1" x14ac:dyDescent="0.35">
      <c r="A38" s="7">
        <v>353</v>
      </c>
      <c r="B38" s="7" t="s">
        <v>20</v>
      </c>
      <c r="C38" s="8">
        <f>'KPI por frente'!F14</f>
        <v>87.000000476837158</v>
      </c>
      <c r="D38" s="8">
        <f>'KPI por frente'!G14</f>
        <v>85.769868743154447</v>
      </c>
      <c r="E38" s="9">
        <f t="shared" si="3"/>
        <v>0.98586055486275292</v>
      </c>
      <c r="F38" s="7" t="s">
        <v>16</v>
      </c>
      <c r="G38" s="7" t="s">
        <v>278</v>
      </c>
      <c r="H38" s="10" t="str">
        <f t="shared" si="4"/>
        <v>OFENSOR</v>
      </c>
    </row>
    <row r="39" spans="1:8" ht="15" customHeight="1" x14ac:dyDescent="0.35">
      <c r="A39" s="7">
        <v>353</v>
      </c>
      <c r="B39" s="7" t="s">
        <v>21</v>
      </c>
      <c r="C39" s="8">
        <f>'KPI por frente'!F18</f>
        <v>87</v>
      </c>
      <c r="D39" s="8">
        <f>'KPI por frente'!G18</f>
        <v>97.077879264249205</v>
      </c>
      <c r="E39" s="9">
        <f t="shared" si="3"/>
        <v>1.1158376926925195</v>
      </c>
      <c r="F39" s="7" t="s">
        <v>22</v>
      </c>
      <c r="G39" s="7" t="s">
        <v>278</v>
      </c>
      <c r="H39" s="10" t="str">
        <f t="shared" si="4"/>
        <v>OK</v>
      </c>
    </row>
    <row r="40" spans="1:8" ht="15" customHeight="1" x14ac:dyDescent="0.35">
      <c r="A40" s="7">
        <v>353</v>
      </c>
      <c r="B40" s="7" t="s">
        <v>23</v>
      </c>
      <c r="C40" s="8">
        <f>'KPI por frente'!F19</f>
        <v>97</v>
      </c>
      <c r="D40" s="8">
        <f>'KPI por frente'!G19</f>
        <v>92.654747213626337</v>
      </c>
      <c r="E40" s="9">
        <f t="shared" si="3"/>
        <v>0.95520357952192103</v>
      </c>
      <c r="F40" s="7" t="s">
        <v>22</v>
      </c>
      <c r="G40" s="7" t="s">
        <v>278</v>
      </c>
      <c r="H40" s="10" t="str">
        <f t="shared" si="4"/>
        <v>OFENSOR</v>
      </c>
    </row>
    <row r="41" spans="1:8" ht="15" customHeight="1" x14ac:dyDescent="0.35">
      <c r="A41" s="7">
        <v>353</v>
      </c>
      <c r="B41" s="7" t="s">
        <v>24</v>
      </c>
      <c r="C41" s="8">
        <f>'KPI por frente'!F20</f>
        <v>12.201244649176328</v>
      </c>
      <c r="D41" s="8">
        <f>'KPI por frente'!G20</f>
        <v>15.501775775526657</v>
      </c>
      <c r="E41" s="9">
        <f t="shared" si="3"/>
        <v>1.2705077409109355</v>
      </c>
      <c r="F41" s="7" t="s">
        <v>22</v>
      </c>
      <c r="G41" s="7" t="s">
        <v>278</v>
      </c>
      <c r="H41" s="10" t="str">
        <f t="shared" si="4"/>
        <v>OK</v>
      </c>
    </row>
    <row r="42" spans="1:8" ht="15" customHeight="1" x14ac:dyDescent="0.35">
      <c r="A42" s="7">
        <v>353</v>
      </c>
      <c r="B42" s="7" t="s">
        <v>25</v>
      </c>
      <c r="C42" s="8">
        <f>'KPI por frente'!F21</f>
        <v>11.237142196929923</v>
      </c>
      <c r="D42" s="8">
        <f>'KPI por frente'!G21</f>
        <v>11.986980821093157</v>
      </c>
      <c r="E42" s="9">
        <f t="shared" si="3"/>
        <v>1.0667285873064858</v>
      </c>
      <c r="F42" s="7" t="s">
        <v>22</v>
      </c>
      <c r="G42" s="7" t="s">
        <v>278</v>
      </c>
      <c r="H42" s="10" t="str">
        <f t="shared" si="4"/>
        <v>OK</v>
      </c>
    </row>
    <row r="43" spans="1:8" ht="15" customHeight="1" x14ac:dyDescent="0.35">
      <c r="A43" s="7">
        <v>353</v>
      </c>
      <c r="B43" s="7" t="s">
        <v>26</v>
      </c>
      <c r="C43" s="8">
        <f>'KPI por frente'!F24</f>
        <v>97</v>
      </c>
      <c r="D43" s="8">
        <f>'KPI por frente'!G24</f>
        <v>100</v>
      </c>
      <c r="E43" s="9">
        <f t="shared" si="3"/>
        <v>1.0309278350515463</v>
      </c>
      <c r="F43" s="7" t="s">
        <v>22</v>
      </c>
      <c r="G43" s="7" t="s">
        <v>279</v>
      </c>
      <c r="H43" s="10" t="str">
        <f>IF(D43&lt;=C43,"OK","OFENSOR")</f>
        <v>OFENSOR</v>
      </c>
    </row>
    <row r="44" spans="1:8" ht="15" customHeight="1" x14ac:dyDescent="0.35">
      <c r="A44" s="7">
        <v>353</v>
      </c>
      <c r="B44" s="7" t="s">
        <v>27</v>
      </c>
      <c r="C44" s="8">
        <f>'KPI por frente'!F23</f>
        <v>75</v>
      </c>
      <c r="D44" s="8">
        <f>'KPI por frente'!G23</f>
        <v>91.964674991805367</v>
      </c>
      <c r="E44" s="9">
        <f t="shared" si="3"/>
        <v>1.226195666557405</v>
      </c>
      <c r="F44" s="7" t="s">
        <v>14</v>
      </c>
      <c r="G44" s="7" t="s">
        <v>278</v>
      </c>
      <c r="H44" s="10" t="str">
        <f>IF(D44&gt;=C44,"OK","OFENSOR")</f>
        <v>OK</v>
      </c>
    </row>
    <row r="45" spans="1:8" ht="15" customHeight="1" x14ac:dyDescent="0.35">
      <c r="A45" s="7">
        <v>353</v>
      </c>
      <c r="B45" s="7" t="s">
        <v>28</v>
      </c>
      <c r="C45" s="8">
        <f>'KPI por frente'!F25</f>
        <v>26.999999999999996</v>
      </c>
      <c r="D45" s="8">
        <f>'KPI por frente'!G25</f>
        <v>38.952777777777776</v>
      </c>
      <c r="E45" s="9">
        <f t="shared" si="3"/>
        <v>1.4426954732510289</v>
      </c>
      <c r="F45" s="7" t="s">
        <v>14</v>
      </c>
      <c r="G45" s="7" t="s">
        <v>279</v>
      </c>
      <c r="H45" s="10" t="str">
        <f>IF(D45&lt;=C45,"OK","OFENSOR")</f>
        <v>OFENSOR</v>
      </c>
    </row>
    <row r="46" spans="1:8" ht="15" customHeight="1" x14ac:dyDescent="0.35">
      <c r="A46" s="7">
        <v>353</v>
      </c>
      <c r="B46" s="7" t="s">
        <v>29</v>
      </c>
      <c r="C46" s="8">
        <f>'KPI por frente'!F26</f>
        <v>29.418586730957031</v>
      </c>
      <c r="D46" s="8">
        <f>'KPI por frente'!G26</f>
        <v>48.960410665314683</v>
      </c>
      <c r="E46" s="9">
        <f t="shared" si="3"/>
        <v>1.6642679375822595</v>
      </c>
      <c r="F46" s="7" t="s">
        <v>16</v>
      </c>
      <c r="G46" s="7" t="s">
        <v>279</v>
      </c>
      <c r="H46" s="10" t="str">
        <f>IF(D46&lt;=C46,"OK","OFENSOR")</f>
        <v>OFENSOR</v>
      </c>
    </row>
    <row r="47" spans="1:8" ht="15" customHeight="1" x14ac:dyDescent="0.35">
      <c r="A47" s="7" t="s">
        <v>34</v>
      </c>
      <c r="B47" s="7" t="s">
        <v>11</v>
      </c>
      <c r="C47" s="8">
        <f>'KPI por frente'!H3</f>
        <v>10091.25</v>
      </c>
      <c r="D47" s="8">
        <f>'KPI por frente'!I3</f>
        <v>5557.74</v>
      </c>
      <c r="E47" s="9">
        <f t="shared" si="3"/>
        <v>0.55074842066146412</v>
      </c>
      <c r="F47" s="7" t="s">
        <v>12</v>
      </c>
      <c r="G47" s="7" t="s">
        <v>278</v>
      </c>
      <c r="H47" s="10" t="str">
        <f>IF(D47&gt;=C47,"OK","OFENSOR")</f>
        <v>OFENSOR</v>
      </c>
    </row>
    <row r="48" spans="1:8" ht="15" customHeight="1" x14ac:dyDescent="0.35">
      <c r="A48" s="7" t="s">
        <v>34</v>
      </c>
      <c r="B48" s="7" t="s">
        <v>13</v>
      </c>
      <c r="C48" s="8">
        <f>'KPI por frente'!H7</f>
        <v>33.5</v>
      </c>
      <c r="D48" s="8">
        <f>'KPI por frente'!I7</f>
        <v>34.120508196721303</v>
      </c>
      <c r="E48" s="9">
        <f t="shared" si="3"/>
        <v>1.0185226327379493</v>
      </c>
      <c r="F48" s="7" t="s">
        <v>14</v>
      </c>
      <c r="G48" s="7" t="s">
        <v>278</v>
      </c>
      <c r="H48" s="10" t="str">
        <f>IF(D48&gt;=C48,"OK","OFENSOR")</f>
        <v>OK</v>
      </c>
    </row>
    <row r="49" spans="1:8" ht="15" customHeight="1" x14ac:dyDescent="0.35">
      <c r="A49" s="7" t="s">
        <v>34</v>
      </c>
      <c r="B49" s="7" t="s">
        <v>15</v>
      </c>
      <c r="C49" s="8">
        <f>'KPI por frente'!H8</f>
        <v>756.77335356846561</v>
      </c>
      <c r="D49" s="8">
        <f>'KPI por frente'!I8</f>
        <v>783.04318770991108</v>
      </c>
      <c r="E49" s="9">
        <f t="shared" si="3"/>
        <v>1.0347129480941335</v>
      </c>
      <c r="F49" s="7" t="s">
        <v>16</v>
      </c>
      <c r="G49" s="7" t="s">
        <v>278</v>
      </c>
      <c r="H49" s="10" t="str">
        <f>IF(D49&gt;=C49,"OK","OFENSOR")</f>
        <v>OK</v>
      </c>
    </row>
    <row r="50" spans="1:8" ht="15" customHeight="1" x14ac:dyDescent="0.35">
      <c r="A50" s="7" t="s">
        <v>34</v>
      </c>
      <c r="B50" s="7" t="s">
        <v>17</v>
      </c>
      <c r="C50" s="8">
        <f>'KPI por frente'!H11</f>
        <v>3.9798845269189425</v>
      </c>
      <c r="D50" s="8">
        <f>'KPI por frente'!I11</f>
        <v>4.7187303628647221</v>
      </c>
      <c r="E50" s="9">
        <f t="shared" si="3"/>
        <v>1.1856450434550077</v>
      </c>
      <c r="F50" s="7" t="s">
        <v>16</v>
      </c>
      <c r="G50" s="7" t="s">
        <v>278</v>
      </c>
      <c r="H50" s="10" t="str">
        <f>IF(D50&gt;=C50,"OK","OFENSOR")</f>
        <v>OK</v>
      </c>
    </row>
    <row r="51" spans="1:8" ht="15" customHeight="1" x14ac:dyDescent="0.35">
      <c r="A51" s="7" t="s">
        <v>34</v>
      </c>
      <c r="B51" s="7" t="s">
        <v>18</v>
      </c>
      <c r="C51" s="8">
        <f>'KPI por frente'!H12</f>
        <v>16.735340899092037</v>
      </c>
      <c r="D51" s="8">
        <f>'KPI por frente'!I12</f>
        <v>22.216801917272242</v>
      </c>
      <c r="E51" s="9">
        <f t="shared" si="3"/>
        <v>1.3275380556172356</v>
      </c>
      <c r="F51" s="7" t="s">
        <v>16</v>
      </c>
      <c r="G51" s="7" t="s">
        <v>279</v>
      </c>
      <c r="H51" s="10" t="str">
        <f>IF(D51&lt;=C51,"OK","OFENSOR")</f>
        <v>OFENSOR</v>
      </c>
    </row>
    <row r="52" spans="1:8" ht="15" customHeight="1" x14ac:dyDescent="0.35">
      <c r="A52" s="7" t="s">
        <v>34</v>
      </c>
      <c r="B52" s="7" t="s">
        <v>19</v>
      </c>
      <c r="C52" s="8">
        <f>'KPI por frente'!H13</f>
        <v>82.150383141762447</v>
      </c>
      <c r="D52" s="8">
        <f>'KPI por frente'!I13</f>
        <v>86.643993392772131</v>
      </c>
      <c r="E52" s="9">
        <f t="shared" si="3"/>
        <v>1.0546998088037558</v>
      </c>
      <c r="F52" s="7" t="s">
        <v>16</v>
      </c>
      <c r="G52" s="7" t="s">
        <v>278</v>
      </c>
      <c r="H52" s="10" t="str">
        <f t="shared" ref="H52:H57" si="5">IF(D52&gt;=C52,"OK","OFENSOR")</f>
        <v>OK</v>
      </c>
    </row>
    <row r="53" spans="1:8" ht="15" customHeight="1" x14ac:dyDescent="0.35">
      <c r="A53" s="7" t="s">
        <v>34</v>
      </c>
      <c r="B53" s="7" t="s">
        <v>20</v>
      </c>
      <c r="C53" s="8">
        <f>'KPI por frente'!H14</f>
        <v>87.000000476837158</v>
      </c>
      <c r="D53" s="8">
        <f>'KPI por frente'!I14</f>
        <v>87.549679268672051</v>
      </c>
      <c r="E53" s="9">
        <f t="shared" si="3"/>
        <v>1.0063181469979559</v>
      </c>
      <c r="F53" s="7" t="s">
        <v>16</v>
      </c>
      <c r="G53" s="7" t="s">
        <v>278</v>
      </c>
      <c r="H53" s="10" t="str">
        <f t="shared" si="5"/>
        <v>OK</v>
      </c>
    </row>
    <row r="54" spans="1:8" ht="15" customHeight="1" x14ac:dyDescent="0.35">
      <c r="A54" s="7" t="s">
        <v>34</v>
      </c>
      <c r="B54" s="7" t="s">
        <v>21</v>
      </c>
      <c r="C54" s="8">
        <f>'KPI por frente'!H18</f>
        <v>87</v>
      </c>
      <c r="D54" s="8">
        <f>'KPI por frente'!I18</f>
        <v>91.597468583139957</v>
      </c>
      <c r="E54" s="9">
        <f t="shared" si="3"/>
        <v>1.0528444664728731</v>
      </c>
      <c r="F54" s="7" t="s">
        <v>22</v>
      </c>
      <c r="G54" s="7" t="s">
        <v>278</v>
      </c>
      <c r="H54" s="10" t="str">
        <f t="shared" si="5"/>
        <v>OK</v>
      </c>
    </row>
    <row r="55" spans="1:8" ht="15" customHeight="1" x14ac:dyDescent="0.35">
      <c r="A55" s="7" t="s">
        <v>34</v>
      </c>
      <c r="B55" s="7" t="s">
        <v>23</v>
      </c>
      <c r="C55" s="8">
        <f>'KPI por frente'!H19</f>
        <v>97.000000000000014</v>
      </c>
      <c r="D55" s="8">
        <f>'KPI por frente'!I19</f>
        <v>91.466564969921762</v>
      </c>
      <c r="E55" s="9">
        <f t="shared" si="3"/>
        <v>0.94295427804043042</v>
      </c>
      <c r="F55" s="7" t="s">
        <v>22</v>
      </c>
      <c r="G55" s="7" t="s">
        <v>278</v>
      </c>
      <c r="H55" s="10" t="str">
        <f t="shared" si="5"/>
        <v>OFENSOR</v>
      </c>
    </row>
    <row r="56" spans="1:8" ht="15" customHeight="1" x14ac:dyDescent="0.35">
      <c r="A56" s="7" t="s">
        <v>34</v>
      </c>
      <c r="B56" s="7" t="s">
        <v>24</v>
      </c>
      <c r="C56" s="8">
        <f>'KPI por frente'!H20</f>
        <v>12.201244649176331</v>
      </c>
      <c r="D56" s="8">
        <f>'KPI por frente'!I20</f>
        <v>13.810615288326261</v>
      </c>
      <c r="E56" s="9">
        <f t="shared" si="3"/>
        <v>1.1319021694445388</v>
      </c>
      <c r="F56" s="7" t="s">
        <v>22</v>
      </c>
      <c r="G56" s="7" t="s">
        <v>278</v>
      </c>
      <c r="H56" s="10" t="str">
        <f t="shared" si="5"/>
        <v>OK</v>
      </c>
    </row>
    <row r="57" spans="1:8" ht="15" customHeight="1" x14ac:dyDescent="0.35">
      <c r="A57" s="7" t="s">
        <v>34</v>
      </c>
      <c r="B57" s="7" t="s">
        <v>25</v>
      </c>
      <c r="C57" s="8">
        <f>'KPI por frente'!H21</f>
        <v>11.237142196929923</v>
      </c>
      <c r="D57" s="8">
        <f>'KPI por frente'!I21</f>
        <v>11.080269514902907</v>
      </c>
      <c r="E57" s="9">
        <f t="shared" si="3"/>
        <v>0.98603980627121768</v>
      </c>
      <c r="F57" s="7" t="s">
        <v>22</v>
      </c>
      <c r="G57" s="7" t="s">
        <v>278</v>
      </c>
      <c r="H57" s="10" t="str">
        <f t="shared" si="5"/>
        <v>OFENSOR</v>
      </c>
    </row>
    <row r="58" spans="1:8" ht="15" customHeight="1" x14ac:dyDescent="0.35">
      <c r="A58" s="7" t="s">
        <v>34</v>
      </c>
      <c r="B58" s="7" t="s">
        <v>26</v>
      </c>
      <c r="C58" s="8">
        <f>'KPI por frente'!H24</f>
        <v>97.000000000000014</v>
      </c>
      <c r="D58" s="8">
        <f>'KPI por frente'!I24</f>
        <v>99.939610748136559</v>
      </c>
      <c r="E58" s="9">
        <f t="shared" si="3"/>
        <v>1.0303052654447067</v>
      </c>
      <c r="F58" s="7" t="s">
        <v>22</v>
      </c>
      <c r="G58" s="7" t="s">
        <v>279</v>
      </c>
      <c r="H58" s="10" t="str">
        <f>IF(D58&lt;=C58,"OK","OFENSOR")</f>
        <v>OFENSOR</v>
      </c>
    </row>
    <row r="59" spans="1:8" ht="15" customHeight="1" x14ac:dyDescent="0.35">
      <c r="A59" s="7" t="s">
        <v>34</v>
      </c>
      <c r="B59" s="7" t="s">
        <v>27</v>
      </c>
      <c r="C59" s="8">
        <f>'KPI por frente'!H23</f>
        <v>75</v>
      </c>
      <c r="D59" s="8">
        <f>'KPI por frente'!I23</f>
        <v>84.023283822154966</v>
      </c>
      <c r="E59" s="9">
        <f t="shared" si="3"/>
        <v>1.1203104509620663</v>
      </c>
      <c r="F59" s="7" t="s">
        <v>14</v>
      </c>
      <c r="G59" s="7" t="s">
        <v>278</v>
      </c>
      <c r="H59" s="10" t="str">
        <f>IF(D59&gt;=C59,"OK","OFENSOR")</f>
        <v>OK</v>
      </c>
    </row>
    <row r="60" spans="1:8" ht="15" customHeight="1" x14ac:dyDescent="0.35">
      <c r="A60" s="7" t="s">
        <v>34</v>
      </c>
      <c r="B60" s="7" t="s">
        <v>28</v>
      </c>
      <c r="C60" s="8">
        <f>'KPI por frente'!H25</f>
        <v>26.999999999999996</v>
      </c>
      <c r="D60" s="8">
        <f>'KPI por frente'!I25</f>
        <v>42.371527777777779</v>
      </c>
      <c r="E60" s="9">
        <f t="shared" si="3"/>
        <v>1.5693158436213994</v>
      </c>
      <c r="F60" s="7" t="s">
        <v>14</v>
      </c>
      <c r="G60" s="7" t="s">
        <v>279</v>
      </c>
      <c r="H60" s="10" t="str">
        <f>IF(D60&lt;=C60,"OK","OFENSOR")</f>
        <v>OFENSOR</v>
      </c>
    </row>
    <row r="61" spans="1:8" ht="15" customHeight="1" x14ac:dyDescent="0.35">
      <c r="A61" s="7" t="s">
        <v>34</v>
      </c>
      <c r="B61" s="7" t="s">
        <v>29</v>
      </c>
      <c r="C61" s="8">
        <f>'KPI por frente'!H26</f>
        <v>29.418586730957031</v>
      </c>
      <c r="D61" s="8">
        <f>'KPI por frente'!I26</f>
        <v>41.403306053087348</v>
      </c>
      <c r="E61" s="9">
        <f t="shared" si="3"/>
        <v>1.4073859642454836</v>
      </c>
      <c r="F61" s="7" t="s">
        <v>16</v>
      </c>
      <c r="G61" s="7" t="s">
        <v>279</v>
      </c>
      <c r="H61" s="10" t="str">
        <f>IF(D61&lt;=C61,"OK","OFENSOR")</f>
        <v>OFENSOR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"/>
  <sheetViews>
    <sheetView zoomScaleNormal="100" workbookViewId="0">
      <selection activeCell="N25" sqref="N25"/>
    </sheetView>
  </sheetViews>
  <sheetFormatPr defaultColWidth="8.54296875" defaultRowHeight="14.5" x14ac:dyDescent="0.35"/>
  <cols>
    <col min="1" max="1" width="9.90625" customWidth="1"/>
    <col min="2" max="19" width="16" customWidth="1"/>
  </cols>
  <sheetData>
    <row r="1" spans="1:19" ht="15" customHeight="1" x14ac:dyDescent="0.35">
      <c r="A1" s="23" t="s">
        <v>215</v>
      </c>
      <c r="B1" s="23" t="s">
        <v>250</v>
      </c>
      <c r="C1" s="23" t="s">
        <v>280</v>
      </c>
      <c r="D1" s="23" t="s">
        <v>281</v>
      </c>
      <c r="E1" s="23" t="s">
        <v>282</v>
      </c>
      <c r="F1" s="23" t="s">
        <v>283</v>
      </c>
      <c r="G1" s="23" t="s">
        <v>284</v>
      </c>
      <c r="H1" s="23" t="s">
        <v>285</v>
      </c>
      <c r="I1" s="23" t="s">
        <v>286</v>
      </c>
      <c r="J1" s="23" t="s">
        <v>287</v>
      </c>
      <c r="K1" s="23" t="s">
        <v>288</v>
      </c>
      <c r="L1" s="23" t="s">
        <v>289</v>
      </c>
      <c r="M1" s="23" t="s">
        <v>290</v>
      </c>
      <c r="N1" s="23" t="s">
        <v>291</v>
      </c>
      <c r="O1" s="23" t="s">
        <v>292</v>
      </c>
      <c r="P1" s="23" t="s">
        <v>293</v>
      </c>
      <c r="Q1" s="23" t="s">
        <v>294</v>
      </c>
      <c r="R1" s="23" t="s">
        <v>240</v>
      </c>
      <c r="S1" s="23" t="s">
        <v>249</v>
      </c>
    </row>
    <row r="2" spans="1:19" ht="15" customHeight="1" x14ac:dyDescent="0.35">
      <c r="A2" s="51">
        <v>46117</v>
      </c>
      <c r="B2" s="10">
        <f>COUNTIFS(Apoio_Tempo_Cargas!B$2:B$49,A2)</f>
        <v>12</v>
      </c>
      <c r="C2" s="8">
        <f>'KPI por frente'!H25</f>
        <v>26.999999999999996</v>
      </c>
      <c r="D2" s="27">
        <f>IFERROR(AVERAGEIFS(Apoio_Tempo_Cargas!W$2:W$4900,Apoio_Tempo_Cargas!B$2:B$4900,A2),"")</f>
        <v>51.498158376755612</v>
      </c>
      <c r="E2" s="8">
        <f>'KPI por frente'!H7</f>
        <v>33.5</v>
      </c>
      <c r="F2" s="27">
        <f>IFERROR(AVERAGEIFS(Apoio_Tempo_Cargas!U$2:U$4900,Apoio_Tempo_Cargas!B$2:B$4900,A2),"")</f>
        <v>34.455499999999994</v>
      </c>
      <c r="G2" s="8">
        <f>'KPI por frente'!H19</f>
        <v>97.000000000000014</v>
      </c>
      <c r="H2" s="27">
        <f>IFERROR(SUMIFS(Apoio_Bordo!Q$2:Q$7800,Apoio_Bordo!B$2:B$7800,A2)/SUMIFS(Apoio_Bordo!R$2:R$7800,Apoio_Bordo!B$2:B$7800,A2),"")</f>
        <v>31.943547602689247</v>
      </c>
      <c r="I2" s="8">
        <f>'KPI por frente'!H20</f>
        <v>12.201244649176331</v>
      </c>
      <c r="J2" s="27">
        <f>IFERROR(SUMIFS(Apoio_Bordo!T$2:T$7800,Apoio_Bordo!B$2:B$7800,A2)/SUMIFS(Apoio_Bordo!U$2:U$7800,Apoio_Bordo!B$2:B$7800,A2),"")</f>
        <v>25.271333771640609</v>
      </c>
      <c r="K2" s="8">
        <f>'KPI por frente'!H24</f>
        <v>97.000000000000014</v>
      </c>
      <c r="L2" s="27">
        <f>IFERROR(AVERAGEIFS(Apoio_Tempo_Cargas!K$2:K$4900,Apoio_Tempo_Cargas!B$2:B$4900,A2),"")</f>
        <v>294.17916666716337</v>
      </c>
      <c r="M2" s="27">
        <f>IFERROR(AVERAGEIFS(Apoio_Tempo_Cargas!M$2:M$4900,Apoio_Tempo_Cargas!B$2:B$4900,A2),"")</f>
        <v>1128.8106060588987</v>
      </c>
      <c r="N2" s="27">
        <f>SUMIFS(Apoio_Bordo!I$2:I$7800,Apoio_Bordo!B$2:B$7800,A2)</f>
        <v>81.023611111111009</v>
      </c>
      <c r="O2" s="27">
        <f>SUMIFS(Apoio_Bordo!K$2:K$7800,Apoio_Bordo!B$2:B$7800,A2)+SUMIFS(Apoio_Bordo!L$2:L$7800,Apoio_Bordo!B$2:B$7800,A2)+SUMIFS(Apoio_Bordo!M$2:M$7800,Apoio_Bordo!B$2:B$7800,A2)</f>
        <v>2177.9769444444428</v>
      </c>
      <c r="P2" s="27">
        <f>SUMIFS(Apoio_Bordo!H$2:H$7800,Apoio_Bordo!B$2:B$7800,A2)</f>
        <v>91.093055555555651</v>
      </c>
      <c r="Q2" s="27">
        <f>SUMIFS(Apoio_Bordo!N$2:N$7800,Apoio_Bordo!B$2:B$7800,A2)</f>
        <v>37.890555555555537</v>
      </c>
      <c r="R2" s="27">
        <f>SUMIFS(Apoio_Bordo!P$2:P$7800,Apoio_Bordo!B$2:B$7800,A2)</f>
        <v>3755.2075</v>
      </c>
      <c r="S2" s="9">
        <f>IFERROR((N2+O2+P2+Q2)/R2,0)</f>
        <v>0.63591270699865865</v>
      </c>
    </row>
    <row r="3" spans="1:19" ht="15" customHeight="1" x14ac:dyDescent="0.35">
      <c r="A3" s="51">
        <v>46118</v>
      </c>
      <c r="B3" s="10">
        <f>COUNTIFS(Apoio_Tempo_Cargas!B$2:B$49,A3)</f>
        <v>7</v>
      </c>
      <c r="C3" s="8">
        <f>'KPI por frente'!H25</f>
        <v>26.999999999999996</v>
      </c>
      <c r="D3" s="27">
        <f>IFERROR(AVERAGEIFS(Apoio_Tempo_Cargas!W$2:W$4900,Apoio_Tempo_Cargas!B$2:B$4900,A3),"")</f>
        <v>50.94740839276043</v>
      </c>
      <c r="E3" s="8">
        <f>'KPI por frente'!H7</f>
        <v>33.5</v>
      </c>
      <c r="F3" s="27">
        <f>IFERROR(AVERAGEIFS(Apoio_Tempo_Cargas!U$2:U$4900,Apoio_Tempo_Cargas!B$2:B$4900,A3),"")</f>
        <v>34.758333333333333</v>
      </c>
      <c r="G3" s="8">
        <f>'KPI por frente'!H19</f>
        <v>97.000000000000014</v>
      </c>
      <c r="H3" s="27">
        <f>IFERROR(SUMIFS(Apoio_Bordo!Q$2:Q$7800,Apoio_Bordo!B$2:B$7800,A3)/SUMIFS(Apoio_Bordo!R$2:R$7800,Apoio_Bordo!B$2:B$7800,A3),"")</f>
        <v>26.373191736667689</v>
      </c>
      <c r="I3" s="8">
        <f>'KPI por frente'!H20</f>
        <v>12.201244649176331</v>
      </c>
      <c r="J3" s="27">
        <f>IFERROR(SUMIFS(Apoio_Bordo!T$2:T$7800,Apoio_Bordo!B$2:B$7800,A3)/SUMIFS(Apoio_Bordo!U$2:U$7800,Apoio_Bordo!B$2:B$7800,A3),"")</f>
        <v>25.210287394512118</v>
      </c>
      <c r="K3" s="8">
        <f>'KPI por frente'!H24</f>
        <v>97.000000000000014</v>
      </c>
      <c r="L3" s="27">
        <f>IFERROR(AVERAGEIFS(Apoio_Tempo_Cargas!K$2:K$4900,Apoio_Tempo_Cargas!B$2:B$4900,A3),"")</f>
        <v>83.926190476798055</v>
      </c>
      <c r="M3" s="27">
        <f>IFERROR(AVERAGEIFS(Apoio_Tempo_Cargas!M$2:M$4900,Apoio_Tempo_Cargas!B$2:B$4900,A3),"")</f>
        <v>1926.0333333327435</v>
      </c>
      <c r="N3" s="27">
        <f>SUMIFS(Apoio_Bordo!I$2:I$7800,Apoio_Bordo!B$2:B$7800,A3)</f>
        <v>2644.2077777777813</v>
      </c>
      <c r="O3" s="27">
        <f>SUMIFS(Apoio_Bordo!K$2:K$7800,Apoio_Bordo!B$2:B$7800,A3)+SUMIFS(Apoio_Bordo!L$2:L$7800,Apoio_Bordo!B$2:B$7800,A3)+SUMIFS(Apoio_Bordo!M$2:M$7800,Apoio_Bordo!B$2:B$7800,A3)</f>
        <v>888.54027777777731</v>
      </c>
      <c r="P3" s="27">
        <f>SUMIFS(Apoio_Bordo!H$2:H$7800,Apoio_Bordo!B$2:B$7800,A3)</f>
        <v>339.14222222222162</v>
      </c>
      <c r="Q3" s="27">
        <f>SUMIFS(Apoio_Bordo!N$2:N$7800,Apoio_Bordo!B$2:B$7800,A3)</f>
        <v>39.481944444444437</v>
      </c>
      <c r="R3" s="27">
        <f>SUMIFS(Apoio_Bordo!P$2:P$7800,Apoio_Bordo!B$2:B$7800,A3)</f>
        <v>5935.4124999999922</v>
      </c>
      <c r="S3" s="9">
        <f t="shared" ref="S3:S9" si="0">IFERROR((N3+O3+P3+Q3)/R3,0)</f>
        <v>0.65898911359947265</v>
      </c>
    </row>
    <row r="4" spans="1:19" ht="15" customHeight="1" x14ac:dyDescent="0.35">
      <c r="A4" s="51">
        <v>46119</v>
      </c>
      <c r="B4" s="10">
        <f>COUNTIFS(Apoio_Tempo_Cargas!B$2:B$49,A4)</f>
        <v>2</v>
      </c>
      <c r="C4" s="8">
        <f>'KPI por frente'!H25</f>
        <v>26.999999999999996</v>
      </c>
      <c r="D4" s="27">
        <f>IFERROR(AVERAGEIFS(Apoio_Tempo_Cargas!W$2:W$4900,Apoio_Tempo_Cargas!B$2:B$4900,A4),"")</f>
        <v>48.699285911729476</v>
      </c>
      <c r="E4" s="8">
        <f>'KPI por frente'!H7</f>
        <v>33.5</v>
      </c>
      <c r="F4" s="27">
        <f>IFERROR(AVERAGEIFS(Apoio_Tempo_Cargas!U$2:U$4900,Apoio_Tempo_Cargas!B$2:B$4900,A4),"")</f>
        <v>37.063333333333333</v>
      </c>
      <c r="G4" s="8">
        <f>'KPI por frente'!H19</f>
        <v>97.000000000000014</v>
      </c>
      <c r="H4" s="27">
        <f>IFERROR(SUMIFS(Apoio_Bordo!Q$2:Q$7800,Apoio_Bordo!B$2:B$7800,A4)/SUMIFS(Apoio_Bordo!R$2:R$7800,Apoio_Bordo!B$2:B$7800,A4),"")</f>
        <v>29.869677166905397</v>
      </c>
      <c r="I4" s="8">
        <f>'KPI por frente'!H20</f>
        <v>12.201244649176331</v>
      </c>
      <c r="J4" s="27">
        <f>IFERROR(SUMIFS(Apoio_Bordo!T$2:T$7800,Apoio_Bordo!B$2:B$7800,A4)/SUMIFS(Apoio_Bordo!U$2:U$7800,Apoio_Bordo!B$2:B$7800,A4),"")</f>
        <v>24.147807520395858</v>
      </c>
      <c r="K4" s="8">
        <f>'KPI por frente'!H24</f>
        <v>97.000000000000014</v>
      </c>
      <c r="L4" s="27">
        <f>IFERROR(AVERAGEIFS(Apoio_Tempo_Cargas!K$2:K$4900,Apoio_Tempo_Cargas!B$2:B$4900,A4),"")</f>
        <v>149.30833333579358</v>
      </c>
      <c r="M4" s="27">
        <f>IFERROR(AVERAGEIFS(Apoio_Tempo_Cargas!M$2:M$4900,Apoio_Tempo_Cargas!B$2:B$4900,A4),"")</f>
        <v>5043.2500000001164</v>
      </c>
      <c r="N4" s="27">
        <f>SUMIFS(Apoio_Bordo!I$2:I$7800,Apoio_Bordo!B$2:B$7800,A4)</f>
        <v>1783.8311111111127</v>
      </c>
      <c r="O4" s="27">
        <f>SUMIFS(Apoio_Bordo!K$2:K$7800,Apoio_Bordo!B$2:B$7800,A4)+SUMIFS(Apoio_Bordo!L$2:L$7800,Apoio_Bordo!B$2:B$7800,A4)+SUMIFS(Apoio_Bordo!M$2:M$7800,Apoio_Bordo!B$2:B$7800,A4)</f>
        <v>0</v>
      </c>
      <c r="P4" s="27">
        <f>SUMIFS(Apoio_Bordo!H$2:H$7800,Apoio_Bordo!B$2:B$7800,A4)</f>
        <v>50.619444444444426</v>
      </c>
      <c r="Q4" s="27">
        <f>SUMIFS(Apoio_Bordo!N$2:N$7800,Apoio_Bordo!B$2:B$7800,A4)</f>
        <v>0</v>
      </c>
      <c r="R4" s="27">
        <f>SUMIFS(Apoio_Bordo!P$2:P$7800,Apoio_Bordo!B$2:B$7800,A4)</f>
        <v>2234.5922222222171</v>
      </c>
      <c r="S4" s="9">
        <f t="shared" si="0"/>
        <v>0.82093302630905329</v>
      </c>
    </row>
    <row r="5" spans="1:19" ht="15" customHeight="1" x14ac:dyDescent="0.35">
      <c r="A5" s="51">
        <v>46120</v>
      </c>
      <c r="B5" s="10">
        <f>COUNTIFS(Apoio_Tempo_Cargas!B$2:B$49,A5)</f>
        <v>1</v>
      </c>
      <c r="C5" s="8">
        <f>'KPI por frente'!H25</f>
        <v>26.999999999999996</v>
      </c>
      <c r="D5" s="27">
        <f>IFERROR(AVERAGEIFS(Apoio_Tempo_Cargas!W$2:W$4900,Apoio_Tempo_Cargas!B$2:B$4900,A5),"")</f>
        <v>49</v>
      </c>
      <c r="E5" s="8">
        <f>'KPI por frente'!H7</f>
        <v>33.5</v>
      </c>
      <c r="F5" s="27">
        <f>IFERROR(AVERAGEIFS(Apoio_Tempo_Cargas!U$2:U$4900,Apoio_Tempo_Cargas!B$2:B$4900,A5),"")</f>
        <v>36.44</v>
      </c>
      <c r="G5" s="8">
        <f>'KPI por frente'!H19</f>
        <v>97.000000000000014</v>
      </c>
      <c r="H5" s="27">
        <f>IFERROR(SUMIFS(Apoio_Bordo!Q$2:Q$7800,Apoio_Bordo!B$2:B$7800,A5)/SUMIFS(Apoio_Bordo!R$2:R$7800,Apoio_Bordo!B$2:B$7800,A5),"")</f>
        <v>27.224844495325314</v>
      </c>
      <c r="I5" s="8">
        <f>'KPI por frente'!H20</f>
        <v>12.201244649176331</v>
      </c>
      <c r="J5" s="27">
        <f>IFERROR(SUMIFS(Apoio_Bordo!T$2:T$7800,Apoio_Bordo!B$2:B$7800,A5)/SUMIFS(Apoio_Bordo!U$2:U$7800,Apoio_Bordo!B$2:B$7800,A5),"")</f>
        <v>24.284729845547886</v>
      </c>
      <c r="K5" s="8">
        <f>'KPI por frente'!H24</f>
        <v>97.000000000000014</v>
      </c>
      <c r="L5" s="27">
        <f>IFERROR(AVERAGEIFS(Apoio_Tempo_Cargas!K$2:K$4900,Apoio_Tempo_Cargas!B$2:B$4900,A5),"")</f>
        <v>81.016666662180796</v>
      </c>
      <c r="M5" s="27">
        <f>IFERROR(AVERAGEIFS(Apoio_Tempo_Cargas!M$2:M$4900,Apoio_Tempo_Cargas!B$2:B$4900,A5),"")</f>
        <v>2269.1166666615754</v>
      </c>
      <c r="N5" s="27">
        <f>SUMIFS(Apoio_Bordo!I$2:I$7800,Apoio_Bordo!B$2:B$7800,A5)</f>
        <v>31.967499999999998</v>
      </c>
      <c r="O5" s="27">
        <f>SUMIFS(Apoio_Bordo!K$2:K$7800,Apoio_Bordo!B$2:B$7800,A5)+SUMIFS(Apoio_Bordo!L$2:L$7800,Apoio_Bordo!B$2:B$7800,A5)+SUMIFS(Apoio_Bordo!M$2:M$7800,Apoio_Bordo!B$2:B$7800,A5)</f>
        <v>2.0402777777777779</v>
      </c>
      <c r="P5" s="27">
        <f>SUMIFS(Apoio_Bordo!H$2:H$7800,Apoio_Bordo!B$2:B$7800,A5)</f>
        <v>4.8150000000000004</v>
      </c>
      <c r="Q5" s="27">
        <f>SUMIFS(Apoio_Bordo!N$2:N$7800,Apoio_Bordo!B$2:B$7800,A5)</f>
        <v>0</v>
      </c>
      <c r="R5" s="27">
        <f>SUMIFS(Apoio_Bordo!P$2:P$7800,Apoio_Bordo!B$2:B$7800,A5)</f>
        <v>126.56194444444444</v>
      </c>
      <c r="S5" s="9">
        <f t="shared" si="0"/>
        <v>0.30674922029836071</v>
      </c>
    </row>
    <row r="6" spans="1:19" ht="15" customHeight="1" x14ac:dyDescent="0.35">
      <c r="A6" s="51">
        <v>46121</v>
      </c>
      <c r="B6" s="10">
        <f>COUNTIFS(Apoio_Tempo_Cargas!B$2:B$49,A6)</f>
        <v>1</v>
      </c>
      <c r="C6" s="8">
        <f>'KPI por frente'!H25</f>
        <v>26.999999999999996</v>
      </c>
      <c r="D6" s="27">
        <f>IFERROR(AVERAGEIFS(Apoio_Tempo_Cargas!W$2:W$4900,Apoio_Tempo_Cargas!B$2:B$4900,A6),"")</f>
        <v>53.329384965831437</v>
      </c>
      <c r="E6" s="8">
        <f>'KPI por frente'!H7</f>
        <v>33.5</v>
      </c>
      <c r="F6" s="27">
        <f>IFERROR(AVERAGEIFS(Apoio_Tempo_Cargas!U$2:U$4900,Apoio_Tempo_Cargas!B$2:B$4900,A6),"")</f>
        <v>32.924999999999997</v>
      </c>
      <c r="G6" s="8">
        <f>'KPI por frente'!H19</f>
        <v>97.000000000000014</v>
      </c>
      <c r="H6" s="27">
        <f>IFERROR(SUMIFS(Apoio_Bordo!Q$2:Q$7800,Apoio_Bordo!B$2:B$7800,A6)/SUMIFS(Apoio_Bordo!R$2:R$7800,Apoio_Bordo!B$2:B$7800,A6),"")</f>
        <v>24.272585034013602</v>
      </c>
      <c r="I6" s="8">
        <f>'KPI por frente'!H20</f>
        <v>12.201244649176331</v>
      </c>
      <c r="J6" s="27">
        <f>IFERROR(SUMIFS(Apoio_Bordo!T$2:T$7800,Apoio_Bordo!B$2:B$7800,A6)/SUMIFS(Apoio_Bordo!U$2:U$7800,Apoio_Bordo!B$2:B$7800,A6),"")</f>
        <v>20.39</v>
      </c>
      <c r="K6" s="8">
        <f>'KPI por frente'!H24</f>
        <v>97.000000000000014</v>
      </c>
      <c r="L6" s="27">
        <f>IFERROR(AVERAGEIFS(Apoio_Tempo_Cargas!K$2:K$4900,Apoio_Tempo_Cargas!B$2:B$4900,A6),"")</f>
        <v>2608.3166666608304</v>
      </c>
      <c r="M6" s="27">
        <f>IFERROR(AVERAGEIFS(Apoio_Tempo_Cargas!M$2:M$4900,Apoio_Tempo_Cargas!B$2:B$4900,A6),"")</f>
        <v>65.749999999534339</v>
      </c>
      <c r="N6" s="27">
        <f>SUMIFS(Apoio_Bordo!I$2:I$7800,Apoio_Bordo!B$2:B$7800,A6)</f>
        <v>0</v>
      </c>
      <c r="O6" s="27">
        <f>SUMIFS(Apoio_Bordo!K$2:K$7800,Apoio_Bordo!B$2:B$7800,A6)+SUMIFS(Apoio_Bordo!L$2:L$7800,Apoio_Bordo!B$2:B$7800,A6)+SUMIFS(Apoio_Bordo!M$2:M$7800,Apoio_Bordo!B$2:B$7800,A6)</f>
        <v>0</v>
      </c>
      <c r="P6" s="27">
        <f>SUMIFS(Apoio_Bordo!H$2:H$7800,Apoio_Bordo!B$2:B$7800,A6)</f>
        <v>0</v>
      </c>
      <c r="Q6" s="27">
        <f>SUMIFS(Apoio_Bordo!N$2:N$7800,Apoio_Bordo!B$2:B$7800,A6)</f>
        <v>0</v>
      </c>
      <c r="R6" s="27">
        <f>SUMIFS(Apoio_Bordo!P$2:P$7800,Apoio_Bordo!B$2:B$7800,A6)</f>
        <v>4.9233333333333329</v>
      </c>
      <c r="S6" s="9">
        <f t="shared" si="0"/>
        <v>0</v>
      </c>
    </row>
    <row r="7" spans="1:19" ht="15" customHeight="1" x14ac:dyDescent="0.35">
      <c r="A7" s="51">
        <v>46122</v>
      </c>
      <c r="B7" s="10">
        <f>COUNTIFS(Apoio_Tempo_Cargas!B$2:B$49,A7)</f>
        <v>0</v>
      </c>
      <c r="C7" s="8">
        <f>'KPI por frente'!H25</f>
        <v>26.999999999999996</v>
      </c>
      <c r="D7" s="27" t="str">
        <f>IFERROR(AVERAGEIFS(Apoio_Tempo_Cargas!W$2:W$4900,Apoio_Tempo_Cargas!B$2:B$4900,A7),"")</f>
        <v/>
      </c>
      <c r="E7" s="8">
        <f>'KPI por frente'!H7</f>
        <v>33.5</v>
      </c>
      <c r="F7" s="27" t="str">
        <f>IFERROR(AVERAGEIFS(Apoio_Tempo_Cargas!U$2:U$4900,Apoio_Tempo_Cargas!B$2:B$4900,A7),"")</f>
        <v/>
      </c>
      <c r="G7" s="8">
        <f>'KPI por frente'!H19</f>
        <v>97.000000000000014</v>
      </c>
      <c r="H7" s="27">
        <f>IFERROR(SUMIFS(Apoio_Bordo!Q$2:Q$7800,Apoio_Bordo!B$2:B$7800,A7)/SUMIFS(Apoio_Bordo!R$2:R$7800,Apoio_Bordo!B$2:B$7800,A7),"")</f>
        <v>21.281546319126452</v>
      </c>
      <c r="I7" s="8">
        <f>'KPI por frente'!H20</f>
        <v>12.201244649176331</v>
      </c>
      <c r="J7" s="27">
        <f>IFERROR(SUMIFS(Apoio_Bordo!T$2:T$7800,Apoio_Bordo!B$2:B$7800,A7)/SUMIFS(Apoio_Bordo!U$2:U$7800,Apoio_Bordo!B$2:B$7800,A7),"")</f>
        <v>24.937522396827728</v>
      </c>
      <c r="K7" s="8">
        <f>'KPI por frente'!H24</f>
        <v>97.000000000000014</v>
      </c>
      <c r="L7" s="27" t="str">
        <f>IFERROR(AVERAGEIFS(Apoio_Tempo_Cargas!K$2:K$4900,Apoio_Tempo_Cargas!B$2:B$4900,A7),"")</f>
        <v/>
      </c>
      <c r="M7" s="27" t="str">
        <f>IFERROR(AVERAGEIFS(Apoio_Tempo_Cargas!M$2:M$4900,Apoio_Tempo_Cargas!B$2:B$4900,A7),"")</f>
        <v/>
      </c>
      <c r="N7" s="27">
        <f>SUMIFS(Apoio_Bordo!I$2:I$7800,Apoio_Bordo!B$2:B$7800,A7)</f>
        <v>6.3216666666666672</v>
      </c>
      <c r="O7" s="27">
        <f>SUMIFS(Apoio_Bordo!K$2:K$7800,Apoio_Bordo!B$2:B$7800,A7)+SUMIFS(Apoio_Bordo!L$2:L$7800,Apoio_Bordo!B$2:B$7800,A7)+SUMIFS(Apoio_Bordo!M$2:M$7800,Apoio_Bordo!B$2:B$7800,A7)</f>
        <v>0</v>
      </c>
      <c r="P7" s="27">
        <f>SUMIFS(Apoio_Bordo!H$2:H$7800,Apoio_Bordo!B$2:B$7800,A7)</f>
        <v>0</v>
      </c>
      <c r="Q7" s="27">
        <f>SUMIFS(Apoio_Bordo!N$2:N$7800,Apoio_Bordo!B$2:B$7800,A7)</f>
        <v>0</v>
      </c>
      <c r="R7" s="27">
        <f>SUMIFS(Apoio_Bordo!P$2:P$7800,Apoio_Bordo!B$2:B$7800,A7)</f>
        <v>33.663888888888884</v>
      </c>
      <c r="S7" s="9">
        <f t="shared" si="0"/>
        <v>0.18778777126825649</v>
      </c>
    </row>
    <row r="8" spans="1:19" ht="15" customHeight="1" x14ac:dyDescent="0.35">
      <c r="A8" s="51">
        <v>46123</v>
      </c>
      <c r="B8" s="10">
        <f>COUNTIFS(Apoio_Tempo_Cargas!B$2:B$49,A8)</f>
        <v>6</v>
      </c>
      <c r="C8" s="8">
        <f>'KPI por frente'!H25</f>
        <v>26.999999999999996</v>
      </c>
      <c r="D8" s="27">
        <f>IFERROR(AVERAGEIFS(Apoio_Tempo_Cargas!W$2:W$4900,Apoio_Tempo_Cargas!B$2:B$4900,A8),"")</f>
        <v>50.077157078106382</v>
      </c>
      <c r="E8" s="8">
        <f>'KPI por frente'!H7</f>
        <v>33.5</v>
      </c>
      <c r="F8" s="27">
        <f>IFERROR(AVERAGEIFS(Apoio_Tempo_Cargas!U$2:U$4900,Apoio_Tempo_Cargas!B$2:B$4900,A8),"")</f>
        <v>36.157666666666664</v>
      </c>
      <c r="G8" s="8">
        <f>'KPI por frente'!H19</f>
        <v>97.000000000000014</v>
      </c>
      <c r="H8" s="27">
        <f>IFERROR(SUMIFS(Apoio_Bordo!Q$2:Q$7800,Apoio_Bordo!B$2:B$7800,A8)/SUMIFS(Apoio_Bordo!R$2:R$7800,Apoio_Bordo!B$2:B$7800,A8),"")</f>
        <v>32.852449571765781</v>
      </c>
      <c r="I8" s="8">
        <f>'KPI por frente'!H20</f>
        <v>12.201244649176331</v>
      </c>
      <c r="J8" s="27">
        <f>IFERROR(SUMIFS(Apoio_Bordo!T$2:T$7800,Apoio_Bordo!B$2:B$7800,A8)/SUMIFS(Apoio_Bordo!U$2:U$7800,Apoio_Bordo!B$2:B$7800,A8),"")</f>
        <v>23.22528978657985</v>
      </c>
      <c r="K8" s="8">
        <f>'KPI por frente'!H24</f>
        <v>97.000000000000014</v>
      </c>
      <c r="L8" s="27">
        <f>IFERROR(AVERAGEIFS(Apoio_Tempo_Cargas!K$2:K$4900,Apoio_Tempo_Cargas!B$2:B$4900,A8),"")</f>
        <v>79.002777775749564</v>
      </c>
      <c r="M8" s="27">
        <f>IFERROR(AVERAGEIFS(Apoio_Tempo_Cargas!M$2:M$4900,Apoio_Tempo_Cargas!B$2:B$4900,A8),"")</f>
        <v>693.68333333171904</v>
      </c>
      <c r="N8" s="27">
        <f>SUMIFS(Apoio_Bordo!I$2:I$7800,Apoio_Bordo!B$2:B$7800,A8)</f>
        <v>304.68555555555531</v>
      </c>
      <c r="O8" s="27">
        <f>SUMIFS(Apoio_Bordo!K$2:K$7800,Apoio_Bordo!B$2:B$7800,A8)+SUMIFS(Apoio_Bordo!L$2:L$7800,Apoio_Bordo!B$2:B$7800,A8)+SUMIFS(Apoio_Bordo!M$2:M$7800,Apoio_Bordo!B$2:B$7800,A8)</f>
        <v>0</v>
      </c>
      <c r="P8" s="27">
        <f>SUMIFS(Apoio_Bordo!H$2:H$7800,Apoio_Bordo!B$2:B$7800,A8)</f>
        <v>64.664166666666702</v>
      </c>
      <c r="Q8" s="27">
        <f>SUMIFS(Apoio_Bordo!N$2:N$7800,Apoio_Bordo!B$2:B$7800,A8)</f>
        <v>0</v>
      </c>
      <c r="R8" s="27">
        <f>SUMIFS(Apoio_Bordo!P$2:P$7800,Apoio_Bordo!B$2:B$7800,A8)</f>
        <v>1142.9922222222228</v>
      </c>
      <c r="S8" s="9">
        <f t="shared" si="0"/>
        <v>0.32314281325915467</v>
      </c>
    </row>
    <row r="9" spans="1:19" ht="15" customHeight="1" x14ac:dyDescent="0.35">
      <c r="A9" s="51">
        <v>46124</v>
      </c>
      <c r="B9" s="10">
        <f>COUNTIFS(Apoio_Tempo_Cargas!B$2:B$49,A9)</f>
        <v>19</v>
      </c>
      <c r="C9" s="8">
        <f>'KPI por frente'!H25</f>
        <v>26.999999999999996</v>
      </c>
      <c r="D9" s="27">
        <f>IFERROR(AVERAGEIFS(Apoio_Tempo_Cargas!W$2:W$4900,Apoio_Tempo_Cargas!B$2:B$4900,A9),"")</f>
        <v>50.718831295244549</v>
      </c>
      <c r="E9" s="8">
        <f>'KPI por frente'!H7</f>
        <v>33.5</v>
      </c>
      <c r="F9" s="27">
        <f>IFERROR(AVERAGEIFS(Apoio_Tempo_Cargas!U$2:U$4900,Apoio_Tempo_Cargas!B$2:B$4900,A9),"")</f>
        <v>35.115729166666661</v>
      </c>
      <c r="G9" s="8">
        <f>'KPI por frente'!H19</f>
        <v>97.000000000000014</v>
      </c>
      <c r="H9" s="27">
        <f>IFERROR(SUMIFS(Apoio_Bordo!Q$2:Q$7800,Apoio_Bordo!B$2:B$7800,A9)/SUMIFS(Apoio_Bordo!R$2:R$7800,Apoio_Bordo!B$2:B$7800,A9),"")</f>
        <v>33.753710092907838</v>
      </c>
      <c r="I9" s="8">
        <f>'KPI por frente'!H20</f>
        <v>12.201244649176331</v>
      </c>
      <c r="J9" s="27">
        <f>IFERROR(SUMIFS(Apoio_Bordo!T$2:T$7800,Apoio_Bordo!B$2:B$7800,A9)/SUMIFS(Apoio_Bordo!U$2:U$7800,Apoio_Bordo!B$2:B$7800,A9),"")</f>
        <v>24.524712209588159</v>
      </c>
      <c r="K9" s="8">
        <f>'KPI por frente'!H24</f>
        <v>97.000000000000014</v>
      </c>
      <c r="L9" s="27">
        <f>IFERROR(AVERAGEIFS(Apoio_Tempo_Cargas!K$2:K$4900,Apoio_Tempo_Cargas!B$2:B$4900,A9),"")</f>
        <v>69.222807017718694</v>
      </c>
      <c r="M9" s="27">
        <f>IFERROR(AVERAGEIFS(Apoio_Tempo_Cargas!M$2:M$4900,Apoio_Tempo_Cargas!B$2:B$4900,A9),"")</f>
        <v>181.33666666760109</v>
      </c>
      <c r="N9" s="27">
        <f>SUMIFS(Apoio_Bordo!I$2:I$7800,Apoio_Bordo!B$2:B$7800,A9)</f>
        <v>1995.5888888888858</v>
      </c>
      <c r="O9" s="27">
        <f>SUMIFS(Apoio_Bordo!K$2:K$7800,Apoio_Bordo!B$2:B$7800,A9)+SUMIFS(Apoio_Bordo!L$2:L$7800,Apoio_Bordo!B$2:B$7800,A9)+SUMIFS(Apoio_Bordo!M$2:M$7800,Apoio_Bordo!B$2:B$7800,A9)</f>
        <v>5.7888888888888888</v>
      </c>
      <c r="P9" s="27">
        <f>SUMIFS(Apoio_Bordo!H$2:H$7800,Apoio_Bordo!B$2:B$7800,A9)</f>
        <v>142.39361111111089</v>
      </c>
      <c r="Q9" s="27">
        <f>SUMIFS(Apoio_Bordo!N$2:N$7800,Apoio_Bordo!B$2:B$7800,A9)</f>
        <v>0</v>
      </c>
      <c r="R9" s="27">
        <f>SUMIFS(Apoio_Bordo!P$2:P$7800,Apoio_Bordo!B$2:B$7800,A9)</f>
        <v>4289.4983333333166</v>
      </c>
      <c r="S9" s="9">
        <f t="shared" si="0"/>
        <v>0.49977205311628764</v>
      </c>
    </row>
    <row r="10" spans="1:19" ht="15" customHeight="1" x14ac:dyDescent="0.35">
      <c r="A10" s="51"/>
      <c r="B10" s="10"/>
      <c r="C10" s="8"/>
      <c r="D10" s="27"/>
      <c r="E10" s="8"/>
      <c r="F10" s="27"/>
      <c r="G10" s="8"/>
      <c r="H10" s="27"/>
      <c r="I10" s="8"/>
      <c r="J10" s="27"/>
      <c r="K10" s="8"/>
      <c r="L10" s="27"/>
      <c r="M10" s="27"/>
      <c r="N10" s="27"/>
      <c r="O10" s="27"/>
      <c r="P10" s="27"/>
      <c r="Q10" s="27"/>
      <c r="R10" s="27"/>
      <c r="S10" s="9"/>
    </row>
    <row r="11" spans="1:19" ht="15" customHeight="1" x14ac:dyDescent="0.35">
      <c r="A11" s="6" t="s">
        <v>295</v>
      </c>
      <c r="B11" s="6">
        <f>SUM(B2:B4)</f>
        <v>21</v>
      </c>
      <c r="C11" s="34">
        <f>C2</f>
        <v>26.999999999999996</v>
      </c>
      <c r="D11" s="34">
        <f>IFERROR(AVERAGE(D2:D4),"")</f>
        <v>50.381617560415172</v>
      </c>
      <c r="E11" s="34">
        <f>E2</f>
        <v>33.5</v>
      </c>
      <c r="F11" s="34">
        <f>IFERROR(AVERAGE(F2:F4),"")</f>
        <v>35.42572222222222</v>
      </c>
      <c r="G11" s="34">
        <f>G2</f>
        <v>97.000000000000014</v>
      </c>
      <c r="H11" s="34">
        <f>IFERROR(AVERAGE(H2:H4),"")</f>
        <v>29.395472168754111</v>
      </c>
      <c r="I11" s="34">
        <f>I2</f>
        <v>12.201244649176331</v>
      </c>
      <c r="J11" s="34">
        <f>IFERROR(AVERAGE(J2:J4),"")</f>
        <v>24.876476228849526</v>
      </c>
      <c r="K11" s="34">
        <f>K2</f>
        <v>97.000000000000014</v>
      </c>
      <c r="L11" s="34">
        <f>IFERROR(AVERAGE(L2:L4),"")</f>
        <v>175.80456349325166</v>
      </c>
      <c r="M11" s="34">
        <f>IFERROR(AVERAGE(M2:M4),"")</f>
        <v>2699.3646464639196</v>
      </c>
      <c r="N11" s="34">
        <f>SUM(N2:N4)</f>
        <v>4509.0625000000055</v>
      </c>
      <c r="O11" s="34">
        <f>SUM(O2:O4)</f>
        <v>3066.51722222222</v>
      </c>
      <c r="P11" s="34">
        <f>SUM(P2:P4)</f>
        <v>480.85472222222165</v>
      </c>
      <c r="Q11" s="34">
        <f>SUM(Q2:Q4)</f>
        <v>77.372499999999974</v>
      </c>
      <c r="R11" s="34">
        <f>SUM(R2:R4)</f>
        <v>11925.21222222221</v>
      </c>
      <c r="S11" s="35">
        <f>IFERROR((N11+O11+P11+Q11)/R11,0)</f>
        <v>0.68206810854798761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"/>
  <sheetViews>
    <sheetView zoomScaleNormal="100" workbookViewId="0">
      <selection activeCell="D19" sqref="D19"/>
    </sheetView>
  </sheetViews>
  <sheetFormatPr defaultColWidth="8.54296875" defaultRowHeight="14.5" x14ac:dyDescent="0.35"/>
  <cols>
    <col min="1" max="13" width="16" customWidth="1"/>
  </cols>
  <sheetData>
    <row r="1" spans="1:13" ht="15" customHeight="1" x14ac:dyDescent="0.35">
      <c r="A1" s="23" t="s">
        <v>64</v>
      </c>
      <c r="B1" s="23" t="s">
        <v>285</v>
      </c>
      <c r="C1" s="23" t="s">
        <v>287</v>
      </c>
      <c r="D1" s="23" t="s">
        <v>284</v>
      </c>
      <c r="E1" s="23" t="s">
        <v>286</v>
      </c>
      <c r="F1" s="23" t="s">
        <v>296</v>
      </c>
      <c r="G1" s="23" t="s">
        <v>297</v>
      </c>
      <c r="H1" s="23" t="s">
        <v>289</v>
      </c>
      <c r="I1" s="23" t="s">
        <v>288</v>
      </c>
      <c r="J1" s="23" t="s">
        <v>281</v>
      </c>
      <c r="K1" s="23" t="s">
        <v>280</v>
      </c>
      <c r="L1" s="23" t="s">
        <v>250</v>
      </c>
      <c r="M1" s="23" t="s">
        <v>298</v>
      </c>
    </row>
    <row r="2" spans="1:13" ht="15" customHeight="1" x14ac:dyDescent="0.35">
      <c r="A2" s="36" t="s">
        <v>91</v>
      </c>
      <c r="B2" s="37">
        <f>IFERROR(AVERAGEIFS(Apoio_Frota_Detalhe!D$2:D$21,Apoio_Frota_Detalhe!B$2:B$21,A2),"")</f>
        <v>34.370793243949493</v>
      </c>
      <c r="C2" s="37">
        <f>IFERROR(AVERAGEIFS(Apoio_Frota_Detalhe!E$2:E$21,Apoio_Frota_Detalhe!B$2:B$21,A2),"")</f>
        <v>25.126967278211282</v>
      </c>
      <c r="D2" s="38">
        <f>'KPI por frente'!B19</f>
        <v>97</v>
      </c>
      <c r="E2" s="38">
        <f>'KPI por frente'!B20</f>
        <v>12.20124464917633</v>
      </c>
      <c r="F2" s="37">
        <f>IFERROR(AVERAGEIFS(Apoio_Frota_Detalhe!I$2:I$21,Apoio_Frota_Detalhe!B$2:B$21,A2),"")</f>
        <v>34.638333333333328</v>
      </c>
      <c r="G2" s="38">
        <f>'KPI por frente'!B7</f>
        <v>33.5</v>
      </c>
      <c r="H2" s="37">
        <f>IFERROR(AVERAGEIFS(Apoio_Frota_Detalhe!G$2:G$21,Apoio_Frota_Detalhe!B$2:B$21,A2),"")</f>
        <v>98.416111109952908</v>
      </c>
      <c r="I2" s="38">
        <f>'KPI por frente'!B24</f>
        <v>97</v>
      </c>
      <c r="J2" s="37">
        <f>IFERROR(AVERAGEIFS(Apoio_Frota_Detalhe!H$2:H$21,Apoio_Frota_Detalhe!B$2:B$21,A2),"")</f>
        <v>50.247403082974479</v>
      </c>
      <c r="K2" s="38">
        <f>'KPI por frente'!B25</f>
        <v>26.999999999999996</v>
      </c>
      <c r="L2" s="39">
        <f>SUMIFS(Apoio_Frota_Detalhe!C$2:C$21,Apoio_Frota_Detalhe!B$2:B$21,A2)</f>
        <v>13</v>
      </c>
      <c r="M2" s="40">
        <f>'KPI por frente'!C3</f>
        <v>1337.08</v>
      </c>
    </row>
    <row r="3" spans="1:13" ht="15" customHeight="1" x14ac:dyDescent="0.35">
      <c r="A3" s="36" t="s">
        <v>32</v>
      </c>
      <c r="B3" s="37">
        <f>IFERROR(AVERAGEIFS(Apoio_Frota_Detalhe!D$2:D$21,Apoio_Frota_Detalhe!B$2:B$21,A3),"")</f>
        <v>32.66995491909487</v>
      </c>
      <c r="C3" s="37">
        <f>IFERROR(AVERAGEIFS(Apoio_Frota_Detalhe!E$2:E$21,Apoio_Frota_Detalhe!B$2:B$21,A3),"")</f>
        <v>24.742647412394181</v>
      </c>
      <c r="D3" s="38">
        <f>'KPI por frente'!D19</f>
        <v>97</v>
      </c>
      <c r="E3" s="38">
        <f>'KPI por frente'!D20</f>
        <v>12.201244649176328</v>
      </c>
      <c r="F3" s="37">
        <f>IFERROR(AVERAGEIFS(Apoio_Frota_Detalhe!I$2:I$21,Apoio_Frota_Detalhe!B$2:B$21,A3),"")</f>
        <v>33.418666666666667</v>
      </c>
      <c r="G3" s="38">
        <f>'KPI por frente'!D7</f>
        <v>33.5</v>
      </c>
      <c r="H3" s="37">
        <f>IFERROR(AVERAGEIFS(Apoio_Frota_Detalhe!G$2:G$21,Apoio_Frota_Detalhe!B$2:B$21,A3),"")</f>
        <v>388.50555555528263</v>
      </c>
      <c r="I3" s="38">
        <f>'KPI por frente'!D24</f>
        <v>97</v>
      </c>
      <c r="J3" s="37">
        <f>IFERROR(AVERAGEIFS(Apoio_Frota_Detalhe!H$2:H$21,Apoio_Frota_Detalhe!B$2:B$21,A3),"")</f>
        <v>52.592835405638041</v>
      </c>
      <c r="K3" s="38">
        <f>'KPI por frente'!D25</f>
        <v>26.999999999999996</v>
      </c>
      <c r="L3" s="39">
        <f>SUMIFS(Apoio_Frota_Detalhe!C$2:C$21,Apoio_Frota_Detalhe!B$2:B$21,A3)</f>
        <v>15</v>
      </c>
      <c r="M3" s="40">
        <f>'KPI por frente'!E3</f>
        <v>870.24</v>
      </c>
    </row>
    <row r="4" spans="1:13" ht="15" customHeight="1" x14ac:dyDescent="0.35">
      <c r="A4" s="36" t="s">
        <v>33</v>
      </c>
      <c r="B4" s="37">
        <f>IFERROR(AVERAGEIFS(Apoio_Frota_Detalhe!D$2:D$21,Apoio_Frota_Detalhe!B$2:B$21,A4),"")</f>
        <v>32.277980529394668</v>
      </c>
      <c r="C4" s="37">
        <f>IFERROR(AVERAGEIFS(Apoio_Frota_Detalhe!E$2:E$21,Apoio_Frota_Detalhe!B$2:B$21,A4),"")</f>
        <v>22.213252586537831</v>
      </c>
      <c r="D4" s="38">
        <f>'KPI por frente'!F19</f>
        <v>97</v>
      </c>
      <c r="E4" s="38">
        <f>'KPI por frente'!F20</f>
        <v>12.201244649176328</v>
      </c>
      <c r="F4" s="37">
        <f>IFERROR(AVERAGEIFS(Apoio_Frota_Detalhe!I$2:I$21,Apoio_Frota_Detalhe!B$2:B$21,A4),"")</f>
        <v>36.979523809523805</v>
      </c>
      <c r="G4" s="38">
        <f>'KPI por frente'!F7</f>
        <v>33.5</v>
      </c>
      <c r="H4" s="37">
        <f>IFERROR(AVERAGEIFS(Apoio_Frota_Detalhe!G$2:G$21,Apoio_Frota_Detalhe!B$2:B$21,A4),"")</f>
        <v>87.660625000717118</v>
      </c>
      <c r="I4" s="38">
        <f>'KPI por frente'!F24</f>
        <v>97</v>
      </c>
      <c r="J4" s="37">
        <f>IFERROR(AVERAGEIFS(Apoio_Frota_Detalhe!H$2:H$21,Apoio_Frota_Detalhe!B$2:B$21,A4),"")</f>
        <v>49.14569866081785</v>
      </c>
      <c r="K4" s="38">
        <f>'KPI por frente'!F25</f>
        <v>26.999999999999996</v>
      </c>
      <c r="L4" s="39">
        <f>SUMIFS(Apoio_Frota_Detalhe!C$2:C$21,Apoio_Frota_Detalhe!B$2:B$21,A4)</f>
        <v>16</v>
      </c>
      <c r="M4" s="40">
        <f>'KPI por frente'!G3</f>
        <v>3350.42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&amp;L&amp;"Aptos,Regular"&amp;10 _x005F_x000d_# Interno_x000D_x000D_&amp;1#&amp;"Aptos"&amp;10&amp;K000000 Interno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V1231"/>
  <sheetViews>
    <sheetView topLeftCell="A1200" zoomScaleNormal="100" workbookViewId="0">
      <selection activeCell="D9" sqref="D9:D1231"/>
    </sheetView>
  </sheetViews>
  <sheetFormatPr defaultColWidth="8.54296875" defaultRowHeight="14.5" x14ac:dyDescent="0.35"/>
  <cols>
    <col min="1" max="1" width="16" customWidth="1"/>
    <col min="2" max="2" width="16.81640625" bestFit="1" customWidth="1"/>
    <col min="3" max="22" width="16" customWidth="1"/>
  </cols>
  <sheetData>
    <row r="1" spans="1:22" ht="39.5" x14ac:dyDescent="0.35">
      <c r="A1" s="23" t="s">
        <v>411</v>
      </c>
      <c r="B1" s="23" t="s">
        <v>215</v>
      </c>
      <c r="C1" s="23" t="s">
        <v>412</v>
      </c>
      <c r="D1" s="23" t="s">
        <v>413</v>
      </c>
      <c r="E1" s="23" t="s">
        <v>414</v>
      </c>
      <c r="F1" s="23" t="s">
        <v>415</v>
      </c>
      <c r="G1" s="23" t="s">
        <v>416</v>
      </c>
      <c r="H1" s="23" t="s">
        <v>417</v>
      </c>
      <c r="I1" s="23" t="s">
        <v>418</v>
      </c>
      <c r="J1" s="23" t="s">
        <v>419</v>
      </c>
      <c r="K1" s="23" t="s">
        <v>420</v>
      </c>
      <c r="L1" s="23" t="s">
        <v>421</v>
      </c>
      <c r="M1" s="23" t="s">
        <v>422</v>
      </c>
      <c r="N1" s="23" t="s">
        <v>423</v>
      </c>
      <c r="O1" s="23" t="s">
        <v>239</v>
      </c>
      <c r="P1" s="23" t="s">
        <v>240</v>
      </c>
      <c r="Q1" s="23" t="s">
        <v>424</v>
      </c>
      <c r="R1" s="23" t="s">
        <v>425</v>
      </c>
      <c r="S1" s="23" t="s">
        <v>426</v>
      </c>
      <c r="T1" s="23" t="s">
        <v>427</v>
      </c>
      <c r="U1" s="23" t="s">
        <v>428</v>
      </c>
      <c r="V1" s="23" t="s">
        <v>249</v>
      </c>
    </row>
    <row r="2" spans="1:22" hidden="1" x14ac:dyDescent="0.35">
      <c r="A2" s="52">
        <v>49584</v>
      </c>
      <c r="B2" s="31">
        <v>46123</v>
      </c>
      <c r="C2" s="7" t="s">
        <v>321</v>
      </c>
      <c r="D2" s="7">
        <v>351</v>
      </c>
      <c r="E2" s="10">
        <f>IFERROR(SUMIFS('Base bordo CD'!M$2:M$875,'Base bordo CD'!D$2:D$875,A2,'Base bordo CD'!A$2:A$875,B2,'Base bordo CD'!L$2:L$875,"CORTE DE CANA MECANIZADO"),0)</f>
        <v>0</v>
      </c>
      <c r="F2" s="10">
        <f>IFERROR(SUMIFS('Base bordo CD'!M$2:M$875,'Base bordo CD'!D$2:D$875,A2,'Base bordo CD'!A$2:A$875,B2,'Base bordo CD'!L$2:L$875,"MANOBRA"),0)</f>
        <v>0</v>
      </c>
      <c r="G2" s="10">
        <f>IFERROR(SUMIFS('Base bordo CD'!M$2:M$875,'Base bordo CD'!D$2:D$875,A2,'Base bordo CD'!A$2:A$875,B2,'Base bordo CD'!L$2:L$875,"DESLOCAMENTO"),0)</f>
        <v>3.2222222222222222E-2</v>
      </c>
      <c r="H2" s="10">
        <f>IFERROR(SUMIFS('Base bordo CD'!M$2:M$875,'Base bordo CD'!D$2:D$875,A2,'Base bordo CD'!A$2:A$875,B2,'Base bordo CD'!L$2:L$875,"AGUARDANDO MANOBRA DE TRANSBORDO"),0)+IFERROR(SUMIFS('Base bordo CD'!M$2:M$875,'Base bordo CD'!D$2:D$875,A2,'Base bordo CD'!A$2:A$875,B2,'Base bordo CD'!L$2:L$875,"FALTA DE TRANSBORDO"),0)</f>
        <v>0</v>
      </c>
      <c r="I2" s="10">
        <f>IFERROR(SUMIFS('Base bordo CD'!M$2:M$875,'Base bordo CD'!D$2:D$875,A2,'Base bordo CD'!A$2:A$875,B2,'Base bordo CD'!L$2:L$875,"PARADA POR CONDICOES CLIMATICAS"),0)+IFERROR(SUMIFS('Base bordo CD'!M$2:M$875,'Base bordo CD'!D$2:D$875,A2,'Base bordo CD'!A$2:A$875,B2,'Base bordo CD'!L$2:L$875,"TEMPO INDETERMINADO"),0)</f>
        <v>22.051388888888887</v>
      </c>
      <c r="J2" s="10">
        <f>IFERROR(SUMIFS('Base bordo CD'!M$2:M$875,'Base bordo CD'!D$2:D$875,A2,'Base bordo CD'!A$2:A$875,B2,'Base bordo CD'!L$2:L$875,"LIMITAÇÃO INDÚSTRIA"),0)</f>
        <v>0</v>
      </c>
      <c r="K2" s="10">
        <f>IFERROR(SUMIFS('Base bordo CD'!M$2:M$875,'Base bordo CD'!D$2:D$875,A2,'Base bordo CD'!A$2:A$875,B2,'Base bordo CD'!L$2:L$875,"MAN CORRETIVA*"),0)+IFERROR(SUMIFS('Base bordo CD'!M$2:M$875,'Base bordo CD'!D$2:D$875,A2,'Base bordo CD'!A$2:A$875,B2,'Base bordo CD'!L$2:L$875,"AGUARDANDO MANUTENCAO*"),0)+IFERROR(SUMIFS('Base bordo CD'!M$2:M$875,'Base bordo CD'!D$2:D$875,A2,'Base bordo CD'!A$2:A$875,B2,'Base bordo CD'!L$2:L$875,"TROCA DE FAQUINHA"),0)+IFERROR(SUMIFS('Base bordo CD'!M$2:M$875,'Base bordo CD'!D$2:D$875,A2,'Base bordo CD'!A$2:A$875,B2,'Base bordo CD'!L$2:L$875,"LIMPEZA*"),0)</f>
        <v>0</v>
      </c>
      <c r="L2" s="10">
        <f>IFERROR(SUMIFS('Base bordo CD'!M$2:M$875,'Base bordo CD'!D$2:D$875,A2,'Base bordo CD'!A$2:A$875,B2,'Base bordo CD'!L$2:L$875,"PATIO - RESERVA"),0)</f>
        <v>0</v>
      </c>
      <c r="M2" s="10">
        <f>IFERROR(SUMIFS('Base bordo CD'!M$2:M$875,'Base bordo CD'!D$2:D$875,A2,'Base bordo CD'!A$2:A$875,B2,'Base bordo CD'!L$2:L$875,"SEM APONTAMENTO"),0)</f>
        <v>0</v>
      </c>
      <c r="N2" s="10">
        <f>IFERROR(SUMIFS('Base bordo CD'!M$2:M$875,'Base bordo CD'!D$2:D$875,A2,'Base bordo CD'!A$2:A$875,B2,'Base bordo CD'!L$2:L$875,"FALTA DE CAMINHÃO"),0)+IFERROR(SUMIFS('Base bordo CD'!M$2:M$875,'Base bordo CD'!D$2:D$875,A2,'Base bordo CD'!A$2:A$875,B2,'Base bordo CD'!L$2:L$875,"FALTA DE COMBUSTIVEL"),0)+IFERROR(SUMIFS('Base bordo CD'!M$2:M$875,'Base bordo CD'!D$2:D$875,A2,'Base bordo CD'!A$2:A$875,B2,'Base bordo CD'!L$2:L$875,"FALTA DE MOTORIST*"),0)</f>
        <v>0</v>
      </c>
      <c r="O2" s="10">
        <f t="shared" ref="O2:O33" si="0">IFERROR(P2-SUM(E2:N2),0)</f>
        <v>1.9163888888888891</v>
      </c>
      <c r="P2" s="10">
        <f>IFERROR(SUMIFS('Base bordo CD'!M$2:M$875,'Base bordo CD'!D$2:D$875,A2,'Base bordo CD'!A$2:A$875,B2),0)</f>
        <v>24</v>
      </c>
      <c r="Q2" s="10">
        <f>IFERROR(SUMIFS('Base bordo CD'!O$2:O$875,'Base bordo CD'!D$2:D$875,A2,'Base bordo CD'!A$2:A$875,B2,'Base bordo CD'!L$2:L$875,"CORTE DE CANA MECANIZADO"),0)</f>
        <v>0</v>
      </c>
      <c r="R2" s="10">
        <f>IFERROR(SUMIFS('Base bordo CD'!Q$2:Q$875,'Base bordo CD'!D$2:D$875,A2,'Base bordo CD'!A$2:A$875,B2,'Base bordo CD'!L$2:L$875,"CORTE DE CANA MECANIZADO"),0)</f>
        <v>0</v>
      </c>
      <c r="S2" s="30" t="str">
        <f t="shared" ref="S2:S33" si="1">IFERROR(Q2/R2,"")</f>
        <v/>
      </c>
      <c r="T2" s="9">
        <f t="shared" ref="T2:T33" si="2">IFERROR(E2/P2,0)</f>
        <v>0</v>
      </c>
      <c r="U2" s="9">
        <f t="shared" ref="U2:U33" si="3">IFERROR(F2/P2,0)</f>
        <v>0</v>
      </c>
      <c r="V2" s="9">
        <f t="shared" ref="V2:V33" si="4">IFERROR(1-(E2+G2)/P2,0)</f>
        <v>0.99865740740740738</v>
      </c>
    </row>
    <row r="3" spans="1:22" hidden="1" x14ac:dyDescent="0.35">
      <c r="A3" s="52">
        <v>49584</v>
      </c>
      <c r="B3" s="31">
        <v>46123</v>
      </c>
      <c r="C3" s="7" t="s">
        <v>321</v>
      </c>
      <c r="D3" s="7">
        <v>351</v>
      </c>
      <c r="E3" s="10">
        <f>IFERROR(SUMIFS('Base bordo CD'!M$2:M$875,'Base bordo CD'!D$2:D$875,A3,'Base bordo CD'!A$2:A$875,B3,'Base bordo CD'!L$2:L$875,"CORTE DE CANA MECANIZADO"),0)</f>
        <v>0</v>
      </c>
      <c r="F3" s="10">
        <f>IFERROR(SUMIFS('Base bordo CD'!M$2:M$875,'Base bordo CD'!D$2:D$875,A3,'Base bordo CD'!A$2:A$875,B3,'Base bordo CD'!L$2:L$875,"MANOBRA"),0)</f>
        <v>0</v>
      </c>
      <c r="G3" s="10">
        <f>IFERROR(SUMIFS('Base bordo CD'!M$2:M$875,'Base bordo CD'!D$2:D$875,A3,'Base bordo CD'!A$2:A$875,B3,'Base bordo CD'!L$2:L$875,"DESLOCAMENTO"),0)</f>
        <v>3.2222222222222222E-2</v>
      </c>
      <c r="H3" s="10">
        <f>IFERROR(SUMIFS('Base bordo CD'!M$2:M$875,'Base bordo CD'!D$2:D$875,A3,'Base bordo CD'!A$2:A$875,B3,'Base bordo CD'!L$2:L$875,"AGUARDANDO MANOBRA DE TRANSBORDO"),0)+IFERROR(SUMIFS('Base bordo CD'!M$2:M$875,'Base bordo CD'!D$2:D$875,A3,'Base bordo CD'!A$2:A$875,B3,'Base bordo CD'!L$2:L$875,"FALTA DE TRANSBORDO"),0)</f>
        <v>0</v>
      </c>
      <c r="I3" s="10">
        <f>IFERROR(SUMIFS('Base bordo CD'!M$2:M$875,'Base bordo CD'!D$2:D$875,A3,'Base bordo CD'!A$2:A$875,B3,'Base bordo CD'!L$2:L$875,"PARADA POR CONDICOES CLIMATICAS"),0)+IFERROR(SUMIFS('Base bordo CD'!M$2:M$875,'Base bordo CD'!D$2:D$875,A3,'Base bordo CD'!A$2:A$875,B3,'Base bordo CD'!L$2:L$875,"TEMPO INDETERMINADO"),0)</f>
        <v>22.051388888888887</v>
      </c>
      <c r="J3" s="10">
        <f>IFERROR(SUMIFS('Base bordo CD'!M$2:M$875,'Base bordo CD'!D$2:D$875,A3,'Base bordo CD'!A$2:A$875,B3,'Base bordo CD'!L$2:L$875,"LIMITAÇÃO INDÚSTRIA"),0)</f>
        <v>0</v>
      </c>
      <c r="K3" s="10">
        <f>IFERROR(SUMIFS('Base bordo CD'!M$2:M$875,'Base bordo CD'!D$2:D$875,A3,'Base bordo CD'!A$2:A$875,B3,'Base bordo CD'!L$2:L$875,"MAN CORRETIVA*"),0)+IFERROR(SUMIFS('Base bordo CD'!M$2:M$875,'Base bordo CD'!D$2:D$875,A3,'Base bordo CD'!A$2:A$875,B3,'Base bordo CD'!L$2:L$875,"AGUARDANDO MANUTENCAO*"),0)+IFERROR(SUMIFS('Base bordo CD'!M$2:M$875,'Base bordo CD'!D$2:D$875,A3,'Base bordo CD'!A$2:A$875,B3,'Base bordo CD'!L$2:L$875,"TROCA DE FAQUINHA"),0)+IFERROR(SUMIFS('Base bordo CD'!M$2:M$875,'Base bordo CD'!D$2:D$875,A3,'Base bordo CD'!A$2:A$875,B3,'Base bordo CD'!L$2:L$875,"LIMPEZA*"),0)</f>
        <v>0</v>
      </c>
      <c r="L3" s="10">
        <f>IFERROR(SUMIFS('Base bordo CD'!M$2:M$875,'Base bordo CD'!D$2:D$875,A3,'Base bordo CD'!A$2:A$875,B3,'Base bordo CD'!L$2:L$875,"PATIO - RESERVA"),0)</f>
        <v>0</v>
      </c>
      <c r="M3" s="10">
        <f>IFERROR(SUMIFS('Base bordo CD'!M$2:M$875,'Base bordo CD'!D$2:D$875,A3,'Base bordo CD'!A$2:A$875,B3,'Base bordo CD'!L$2:L$875,"SEM APONTAMENTO"),0)</f>
        <v>0</v>
      </c>
      <c r="N3" s="10">
        <f>IFERROR(SUMIFS('Base bordo CD'!M$2:M$875,'Base bordo CD'!D$2:D$875,A3,'Base bordo CD'!A$2:A$875,B3,'Base bordo CD'!L$2:L$875,"FALTA DE CAMINHÃO"),0)+IFERROR(SUMIFS('Base bordo CD'!M$2:M$875,'Base bordo CD'!D$2:D$875,A3,'Base bordo CD'!A$2:A$875,B3,'Base bordo CD'!L$2:L$875,"FALTA DE COMBUSTIVEL"),0)+IFERROR(SUMIFS('Base bordo CD'!M$2:M$875,'Base bordo CD'!D$2:D$875,A3,'Base bordo CD'!A$2:A$875,B3,'Base bordo CD'!L$2:L$875,"FALTA DE MOTORIST*"),0)</f>
        <v>0</v>
      </c>
      <c r="O3" s="10">
        <f t="shared" si="0"/>
        <v>1.9163888888888891</v>
      </c>
      <c r="P3" s="10">
        <f>IFERROR(SUMIFS('Base bordo CD'!M$2:M$875,'Base bordo CD'!D$2:D$875,A3,'Base bordo CD'!A$2:A$875,B3),0)</f>
        <v>24</v>
      </c>
      <c r="Q3" s="10">
        <f>IFERROR(SUMIFS('Base bordo CD'!O$2:O$875,'Base bordo CD'!D$2:D$875,A3,'Base bordo CD'!A$2:A$875,B3,'Base bordo CD'!L$2:L$875,"CORTE DE CANA MECANIZADO"),0)</f>
        <v>0</v>
      </c>
      <c r="R3" s="10">
        <f>IFERROR(SUMIFS('Base bordo CD'!Q$2:Q$875,'Base bordo CD'!D$2:D$875,A3,'Base bordo CD'!A$2:A$875,B3,'Base bordo CD'!L$2:L$875,"CORTE DE CANA MECANIZADO"),0)</f>
        <v>0</v>
      </c>
      <c r="S3" s="30" t="str">
        <f t="shared" si="1"/>
        <v/>
      </c>
      <c r="T3" s="9">
        <f t="shared" si="2"/>
        <v>0</v>
      </c>
      <c r="U3" s="9">
        <f t="shared" si="3"/>
        <v>0</v>
      </c>
      <c r="V3" s="9">
        <f t="shared" si="4"/>
        <v>0.99865740740740738</v>
      </c>
    </row>
    <row r="4" spans="1:22" hidden="1" x14ac:dyDescent="0.35">
      <c r="A4" s="52">
        <v>49584</v>
      </c>
      <c r="B4" s="31">
        <v>46123</v>
      </c>
      <c r="C4" s="7" t="s">
        <v>321</v>
      </c>
      <c r="D4" s="7">
        <v>351</v>
      </c>
      <c r="E4" s="10">
        <f>IFERROR(SUMIFS('Base bordo CD'!M$2:M$875,'Base bordo CD'!D$2:D$875,A4,'Base bordo CD'!A$2:A$875,B4,'Base bordo CD'!L$2:L$875,"CORTE DE CANA MECANIZADO"),0)</f>
        <v>0</v>
      </c>
      <c r="F4" s="10">
        <f>IFERROR(SUMIFS('Base bordo CD'!M$2:M$875,'Base bordo CD'!D$2:D$875,A4,'Base bordo CD'!A$2:A$875,B4,'Base bordo CD'!L$2:L$875,"MANOBRA"),0)</f>
        <v>0</v>
      </c>
      <c r="G4" s="10">
        <f>IFERROR(SUMIFS('Base bordo CD'!M$2:M$875,'Base bordo CD'!D$2:D$875,A4,'Base bordo CD'!A$2:A$875,B4,'Base bordo CD'!L$2:L$875,"DESLOCAMENTO"),0)</f>
        <v>3.2222222222222222E-2</v>
      </c>
      <c r="H4" s="10">
        <f>IFERROR(SUMIFS('Base bordo CD'!M$2:M$875,'Base bordo CD'!D$2:D$875,A4,'Base bordo CD'!A$2:A$875,B4,'Base bordo CD'!L$2:L$875,"AGUARDANDO MANOBRA DE TRANSBORDO"),0)+IFERROR(SUMIFS('Base bordo CD'!M$2:M$875,'Base bordo CD'!D$2:D$875,A4,'Base bordo CD'!A$2:A$875,B4,'Base bordo CD'!L$2:L$875,"FALTA DE TRANSBORDO"),0)</f>
        <v>0</v>
      </c>
      <c r="I4" s="10">
        <f>IFERROR(SUMIFS('Base bordo CD'!M$2:M$875,'Base bordo CD'!D$2:D$875,A4,'Base bordo CD'!A$2:A$875,B4,'Base bordo CD'!L$2:L$875,"PARADA POR CONDICOES CLIMATICAS"),0)+IFERROR(SUMIFS('Base bordo CD'!M$2:M$875,'Base bordo CD'!D$2:D$875,A4,'Base bordo CD'!A$2:A$875,B4,'Base bordo CD'!L$2:L$875,"TEMPO INDETERMINADO"),0)</f>
        <v>22.051388888888887</v>
      </c>
      <c r="J4" s="10">
        <f>IFERROR(SUMIFS('Base bordo CD'!M$2:M$875,'Base bordo CD'!D$2:D$875,A4,'Base bordo CD'!A$2:A$875,B4,'Base bordo CD'!L$2:L$875,"LIMITAÇÃO INDÚSTRIA"),0)</f>
        <v>0</v>
      </c>
      <c r="K4" s="10">
        <f>IFERROR(SUMIFS('Base bordo CD'!M$2:M$875,'Base bordo CD'!D$2:D$875,A4,'Base bordo CD'!A$2:A$875,B4,'Base bordo CD'!L$2:L$875,"MAN CORRETIVA*"),0)+IFERROR(SUMIFS('Base bordo CD'!M$2:M$875,'Base bordo CD'!D$2:D$875,A4,'Base bordo CD'!A$2:A$875,B4,'Base bordo CD'!L$2:L$875,"AGUARDANDO MANUTENCAO*"),0)+IFERROR(SUMIFS('Base bordo CD'!M$2:M$875,'Base bordo CD'!D$2:D$875,A4,'Base bordo CD'!A$2:A$875,B4,'Base bordo CD'!L$2:L$875,"TROCA DE FAQUINHA"),0)+IFERROR(SUMIFS('Base bordo CD'!M$2:M$875,'Base bordo CD'!D$2:D$875,A4,'Base bordo CD'!A$2:A$875,B4,'Base bordo CD'!L$2:L$875,"LIMPEZA*"),0)</f>
        <v>0</v>
      </c>
      <c r="L4" s="10">
        <f>IFERROR(SUMIFS('Base bordo CD'!M$2:M$875,'Base bordo CD'!D$2:D$875,A4,'Base bordo CD'!A$2:A$875,B4,'Base bordo CD'!L$2:L$875,"PATIO - RESERVA"),0)</f>
        <v>0</v>
      </c>
      <c r="M4" s="10">
        <f>IFERROR(SUMIFS('Base bordo CD'!M$2:M$875,'Base bordo CD'!D$2:D$875,A4,'Base bordo CD'!A$2:A$875,B4,'Base bordo CD'!L$2:L$875,"SEM APONTAMENTO"),0)</f>
        <v>0</v>
      </c>
      <c r="N4" s="10">
        <f>IFERROR(SUMIFS('Base bordo CD'!M$2:M$875,'Base bordo CD'!D$2:D$875,A4,'Base bordo CD'!A$2:A$875,B4,'Base bordo CD'!L$2:L$875,"FALTA DE CAMINHÃO"),0)+IFERROR(SUMIFS('Base bordo CD'!M$2:M$875,'Base bordo CD'!D$2:D$875,A4,'Base bordo CD'!A$2:A$875,B4,'Base bordo CD'!L$2:L$875,"FALTA DE COMBUSTIVEL"),0)+IFERROR(SUMIFS('Base bordo CD'!M$2:M$875,'Base bordo CD'!D$2:D$875,A4,'Base bordo CD'!A$2:A$875,B4,'Base bordo CD'!L$2:L$875,"FALTA DE MOTORIST*"),0)</f>
        <v>0</v>
      </c>
      <c r="O4" s="10">
        <f t="shared" si="0"/>
        <v>1.9163888888888891</v>
      </c>
      <c r="P4" s="10">
        <f>IFERROR(SUMIFS('Base bordo CD'!M$2:M$875,'Base bordo CD'!D$2:D$875,A4,'Base bordo CD'!A$2:A$875,B4),0)</f>
        <v>24</v>
      </c>
      <c r="Q4" s="10">
        <f>IFERROR(SUMIFS('Base bordo CD'!O$2:O$875,'Base bordo CD'!D$2:D$875,A4,'Base bordo CD'!A$2:A$875,B4,'Base bordo CD'!L$2:L$875,"CORTE DE CANA MECANIZADO"),0)</f>
        <v>0</v>
      </c>
      <c r="R4" s="10">
        <f>IFERROR(SUMIFS('Base bordo CD'!Q$2:Q$875,'Base bordo CD'!D$2:D$875,A4,'Base bordo CD'!A$2:A$875,B4,'Base bordo CD'!L$2:L$875,"CORTE DE CANA MECANIZADO"),0)</f>
        <v>0</v>
      </c>
      <c r="S4" s="30" t="str">
        <f t="shared" si="1"/>
        <v/>
      </c>
      <c r="T4" s="9">
        <f t="shared" si="2"/>
        <v>0</v>
      </c>
      <c r="U4" s="9">
        <f t="shared" si="3"/>
        <v>0</v>
      </c>
      <c r="V4" s="9">
        <f t="shared" si="4"/>
        <v>0.99865740740740738</v>
      </c>
    </row>
    <row r="5" spans="1:22" hidden="1" x14ac:dyDescent="0.35">
      <c r="A5" s="52">
        <v>49584</v>
      </c>
      <c r="B5" s="31">
        <v>46123</v>
      </c>
      <c r="C5" s="7" t="s">
        <v>321</v>
      </c>
      <c r="D5" s="7">
        <v>351</v>
      </c>
      <c r="E5" s="10">
        <f>IFERROR(SUMIFS('Base bordo CD'!M$2:M$875,'Base bordo CD'!D$2:D$875,A5,'Base bordo CD'!A$2:A$875,B5,'Base bordo CD'!L$2:L$875,"CORTE DE CANA MECANIZADO"),0)</f>
        <v>0</v>
      </c>
      <c r="F5" s="10">
        <f>IFERROR(SUMIFS('Base bordo CD'!M$2:M$875,'Base bordo CD'!D$2:D$875,A5,'Base bordo CD'!A$2:A$875,B5,'Base bordo CD'!L$2:L$875,"MANOBRA"),0)</f>
        <v>0</v>
      </c>
      <c r="G5" s="10">
        <f>IFERROR(SUMIFS('Base bordo CD'!M$2:M$875,'Base bordo CD'!D$2:D$875,A5,'Base bordo CD'!A$2:A$875,B5,'Base bordo CD'!L$2:L$875,"DESLOCAMENTO"),0)</f>
        <v>3.2222222222222222E-2</v>
      </c>
      <c r="H5" s="10">
        <f>IFERROR(SUMIFS('Base bordo CD'!M$2:M$875,'Base bordo CD'!D$2:D$875,A5,'Base bordo CD'!A$2:A$875,B5,'Base bordo CD'!L$2:L$875,"AGUARDANDO MANOBRA DE TRANSBORDO"),0)+IFERROR(SUMIFS('Base bordo CD'!M$2:M$875,'Base bordo CD'!D$2:D$875,A5,'Base bordo CD'!A$2:A$875,B5,'Base bordo CD'!L$2:L$875,"FALTA DE TRANSBORDO"),0)</f>
        <v>0</v>
      </c>
      <c r="I5" s="10">
        <f>IFERROR(SUMIFS('Base bordo CD'!M$2:M$875,'Base bordo CD'!D$2:D$875,A5,'Base bordo CD'!A$2:A$875,B5,'Base bordo CD'!L$2:L$875,"PARADA POR CONDICOES CLIMATICAS"),0)+IFERROR(SUMIFS('Base bordo CD'!M$2:M$875,'Base bordo CD'!D$2:D$875,A5,'Base bordo CD'!A$2:A$875,B5,'Base bordo CD'!L$2:L$875,"TEMPO INDETERMINADO"),0)</f>
        <v>22.051388888888887</v>
      </c>
      <c r="J5" s="10">
        <f>IFERROR(SUMIFS('Base bordo CD'!M$2:M$875,'Base bordo CD'!D$2:D$875,A5,'Base bordo CD'!A$2:A$875,B5,'Base bordo CD'!L$2:L$875,"LIMITAÇÃO INDÚSTRIA"),0)</f>
        <v>0</v>
      </c>
      <c r="K5" s="10">
        <f>IFERROR(SUMIFS('Base bordo CD'!M$2:M$875,'Base bordo CD'!D$2:D$875,A5,'Base bordo CD'!A$2:A$875,B5,'Base bordo CD'!L$2:L$875,"MAN CORRETIVA*"),0)+IFERROR(SUMIFS('Base bordo CD'!M$2:M$875,'Base bordo CD'!D$2:D$875,A5,'Base bordo CD'!A$2:A$875,B5,'Base bordo CD'!L$2:L$875,"AGUARDANDO MANUTENCAO*"),0)+IFERROR(SUMIFS('Base bordo CD'!M$2:M$875,'Base bordo CD'!D$2:D$875,A5,'Base bordo CD'!A$2:A$875,B5,'Base bordo CD'!L$2:L$875,"TROCA DE FAQUINHA"),0)+IFERROR(SUMIFS('Base bordo CD'!M$2:M$875,'Base bordo CD'!D$2:D$875,A5,'Base bordo CD'!A$2:A$875,B5,'Base bordo CD'!L$2:L$875,"LIMPEZA*"),0)</f>
        <v>0</v>
      </c>
      <c r="L5" s="10">
        <f>IFERROR(SUMIFS('Base bordo CD'!M$2:M$875,'Base bordo CD'!D$2:D$875,A5,'Base bordo CD'!A$2:A$875,B5,'Base bordo CD'!L$2:L$875,"PATIO - RESERVA"),0)</f>
        <v>0</v>
      </c>
      <c r="M5" s="10">
        <f>IFERROR(SUMIFS('Base bordo CD'!M$2:M$875,'Base bordo CD'!D$2:D$875,A5,'Base bordo CD'!A$2:A$875,B5,'Base bordo CD'!L$2:L$875,"SEM APONTAMENTO"),0)</f>
        <v>0</v>
      </c>
      <c r="N5" s="10">
        <f>IFERROR(SUMIFS('Base bordo CD'!M$2:M$875,'Base bordo CD'!D$2:D$875,A5,'Base bordo CD'!A$2:A$875,B5,'Base bordo CD'!L$2:L$875,"FALTA DE CAMINHÃO"),0)+IFERROR(SUMIFS('Base bordo CD'!M$2:M$875,'Base bordo CD'!D$2:D$875,A5,'Base bordo CD'!A$2:A$875,B5,'Base bordo CD'!L$2:L$875,"FALTA DE COMBUSTIVEL"),0)+IFERROR(SUMIFS('Base bordo CD'!M$2:M$875,'Base bordo CD'!D$2:D$875,A5,'Base bordo CD'!A$2:A$875,B5,'Base bordo CD'!L$2:L$875,"FALTA DE MOTORIST*"),0)</f>
        <v>0</v>
      </c>
      <c r="O5" s="10">
        <f t="shared" si="0"/>
        <v>1.9163888888888891</v>
      </c>
      <c r="P5" s="10">
        <f>IFERROR(SUMIFS('Base bordo CD'!M$2:M$875,'Base bordo CD'!D$2:D$875,A5,'Base bordo CD'!A$2:A$875,B5),0)</f>
        <v>24</v>
      </c>
      <c r="Q5" s="10">
        <f>IFERROR(SUMIFS('Base bordo CD'!O$2:O$875,'Base bordo CD'!D$2:D$875,A5,'Base bordo CD'!A$2:A$875,B5,'Base bordo CD'!L$2:L$875,"CORTE DE CANA MECANIZADO"),0)</f>
        <v>0</v>
      </c>
      <c r="R5" s="10">
        <f>IFERROR(SUMIFS('Base bordo CD'!Q$2:Q$875,'Base bordo CD'!D$2:D$875,A5,'Base bordo CD'!A$2:A$875,B5,'Base bordo CD'!L$2:L$875,"CORTE DE CANA MECANIZADO"),0)</f>
        <v>0</v>
      </c>
      <c r="S5" s="30" t="str">
        <f t="shared" si="1"/>
        <v/>
      </c>
      <c r="T5" s="9">
        <f t="shared" si="2"/>
        <v>0</v>
      </c>
      <c r="U5" s="9">
        <f t="shared" si="3"/>
        <v>0</v>
      </c>
      <c r="V5" s="9">
        <f t="shared" si="4"/>
        <v>0.99865740740740738</v>
      </c>
    </row>
    <row r="6" spans="1:22" hidden="1" x14ac:dyDescent="0.35">
      <c r="A6" s="52">
        <v>49584</v>
      </c>
      <c r="B6" s="31">
        <v>46123</v>
      </c>
      <c r="C6" s="7" t="s">
        <v>321</v>
      </c>
      <c r="D6" s="7">
        <v>351</v>
      </c>
      <c r="E6" s="10">
        <f>IFERROR(SUMIFS('Base bordo CD'!M$2:M$875,'Base bordo CD'!D$2:D$875,A6,'Base bordo CD'!A$2:A$875,B6,'Base bordo CD'!L$2:L$875,"CORTE DE CANA MECANIZADO"),0)</f>
        <v>0</v>
      </c>
      <c r="F6" s="10">
        <f>IFERROR(SUMIFS('Base bordo CD'!M$2:M$875,'Base bordo CD'!D$2:D$875,A6,'Base bordo CD'!A$2:A$875,B6,'Base bordo CD'!L$2:L$875,"MANOBRA"),0)</f>
        <v>0</v>
      </c>
      <c r="G6" s="10">
        <f>IFERROR(SUMIFS('Base bordo CD'!M$2:M$875,'Base bordo CD'!D$2:D$875,A6,'Base bordo CD'!A$2:A$875,B6,'Base bordo CD'!L$2:L$875,"DESLOCAMENTO"),0)</f>
        <v>3.2222222222222222E-2</v>
      </c>
      <c r="H6" s="10">
        <f>IFERROR(SUMIFS('Base bordo CD'!M$2:M$875,'Base bordo CD'!D$2:D$875,A6,'Base bordo CD'!A$2:A$875,B6,'Base bordo CD'!L$2:L$875,"AGUARDANDO MANOBRA DE TRANSBORDO"),0)+IFERROR(SUMIFS('Base bordo CD'!M$2:M$875,'Base bordo CD'!D$2:D$875,A6,'Base bordo CD'!A$2:A$875,B6,'Base bordo CD'!L$2:L$875,"FALTA DE TRANSBORDO"),0)</f>
        <v>0</v>
      </c>
      <c r="I6" s="10">
        <f>IFERROR(SUMIFS('Base bordo CD'!M$2:M$875,'Base bordo CD'!D$2:D$875,A6,'Base bordo CD'!A$2:A$875,B6,'Base bordo CD'!L$2:L$875,"PARADA POR CONDICOES CLIMATICAS"),0)+IFERROR(SUMIFS('Base bordo CD'!M$2:M$875,'Base bordo CD'!D$2:D$875,A6,'Base bordo CD'!A$2:A$875,B6,'Base bordo CD'!L$2:L$875,"TEMPO INDETERMINADO"),0)</f>
        <v>22.051388888888887</v>
      </c>
      <c r="J6" s="10">
        <f>IFERROR(SUMIFS('Base bordo CD'!M$2:M$875,'Base bordo CD'!D$2:D$875,A6,'Base bordo CD'!A$2:A$875,B6,'Base bordo CD'!L$2:L$875,"LIMITAÇÃO INDÚSTRIA"),0)</f>
        <v>0</v>
      </c>
      <c r="K6" s="10">
        <f>IFERROR(SUMIFS('Base bordo CD'!M$2:M$875,'Base bordo CD'!D$2:D$875,A6,'Base bordo CD'!A$2:A$875,B6,'Base bordo CD'!L$2:L$875,"MAN CORRETIVA*"),0)+IFERROR(SUMIFS('Base bordo CD'!M$2:M$875,'Base bordo CD'!D$2:D$875,A6,'Base bordo CD'!A$2:A$875,B6,'Base bordo CD'!L$2:L$875,"AGUARDANDO MANUTENCAO*"),0)+IFERROR(SUMIFS('Base bordo CD'!M$2:M$875,'Base bordo CD'!D$2:D$875,A6,'Base bordo CD'!A$2:A$875,B6,'Base bordo CD'!L$2:L$875,"TROCA DE FAQUINHA"),0)+IFERROR(SUMIFS('Base bordo CD'!M$2:M$875,'Base bordo CD'!D$2:D$875,A6,'Base bordo CD'!A$2:A$875,B6,'Base bordo CD'!L$2:L$875,"LIMPEZA*"),0)</f>
        <v>0</v>
      </c>
      <c r="L6" s="10">
        <f>IFERROR(SUMIFS('Base bordo CD'!M$2:M$875,'Base bordo CD'!D$2:D$875,A6,'Base bordo CD'!A$2:A$875,B6,'Base bordo CD'!L$2:L$875,"PATIO - RESERVA"),0)</f>
        <v>0</v>
      </c>
      <c r="M6" s="10">
        <f>IFERROR(SUMIFS('Base bordo CD'!M$2:M$875,'Base bordo CD'!D$2:D$875,A6,'Base bordo CD'!A$2:A$875,B6,'Base bordo CD'!L$2:L$875,"SEM APONTAMENTO"),0)</f>
        <v>0</v>
      </c>
      <c r="N6" s="10">
        <f>IFERROR(SUMIFS('Base bordo CD'!M$2:M$875,'Base bordo CD'!D$2:D$875,A6,'Base bordo CD'!A$2:A$875,B6,'Base bordo CD'!L$2:L$875,"FALTA DE CAMINHÃO"),0)+IFERROR(SUMIFS('Base bordo CD'!M$2:M$875,'Base bordo CD'!D$2:D$875,A6,'Base bordo CD'!A$2:A$875,B6,'Base bordo CD'!L$2:L$875,"FALTA DE COMBUSTIVEL"),0)+IFERROR(SUMIFS('Base bordo CD'!M$2:M$875,'Base bordo CD'!D$2:D$875,A6,'Base bordo CD'!A$2:A$875,B6,'Base bordo CD'!L$2:L$875,"FALTA DE MOTORIST*"),0)</f>
        <v>0</v>
      </c>
      <c r="O6" s="10">
        <f t="shared" si="0"/>
        <v>1.9163888888888891</v>
      </c>
      <c r="P6" s="10">
        <f>IFERROR(SUMIFS('Base bordo CD'!M$2:M$875,'Base bordo CD'!D$2:D$875,A6,'Base bordo CD'!A$2:A$875,B6),0)</f>
        <v>24</v>
      </c>
      <c r="Q6" s="10">
        <f>IFERROR(SUMIFS('Base bordo CD'!O$2:O$875,'Base bordo CD'!D$2:D$875,A6,'Base bordo CD'!A$2:A$875,B6,'Base bordo CD'!L$2:L$875,"CORTE DE CANA MECANIZADO"),0)</f>
        <v>0</v>
      </c>
      <c r="R6" s="10">
        <f>IFERROR(SUMIFS('Base bordo CD'!Q$2:Q$875,'Base bordo CD'!D$2:D$875,A6,'Base bordo CD'!A$2:A$875,B6,'Base bordo CD'!L$2:L$875,"CORTE DE CANA MECANIZADO"),0)</f>
        <v>0</v>
      </c>
      <c r="S6" s="30" t="str">
        <f t="shared" si="1"/>
        <v/>
      </c>
      <c r="T6" s="9">
        <f t="shared" si="2"/>
        <v>0</v>
      </c>
      <c r="U6" s="9">
        <f t="shared" si="3"/>
        <v>0</v>
      </c>
      <c r="V6" s="9">
        <f t="shared" si="4"/>
        <v>0.99865740740740738</v>
      </c>
    </row>
    <row r="7" spans="1:22" hidden="1" x14ac:dyDescent="0.35">
      <c r="A7" s="52">
        <v>49584</v>
      </c>
      <c r="B7" s="31">
        <v>46123</v>
      </c>
      <c r="C7" s="7" t="s">
        <v>321</v>
      </c>
      <c r="D7" s="7">
        <v>351</v>
      </c>
      <c r="E7" s="10">
        <f>IFERROR(SUMIFS('Base bordo CD'!M$2:M$875,'Base bordo CD'!D$2:D$875,A7,'Base bordo CD'!A$2:A$875,B7,'Base bordo CD'!L$2:L$875,"CORTE DE CANA MECANIZADO"),0)</f>
        <v>0</v>
      </c>
      <c r="F7" s="10">
        <f>IFERROR(SUMIFS('Base bordo CD'!M$2:M$875,'Base bordo CD'!D$2:D$875,A7,'Base bordo CD'!A$2:A$875,B7,'Base bordo CD'!L$2:L$875,"MANOBRA"),0)</f>
        <v>0</v>
      </c>
      <c r="G7" s="10">
        <f>IFERROR(SUMIFS('Base bordo CD'!M$2:M$875,'Base bordo CD'!D$2:D$875,A7,'Base bordo CD'!A$2:A$875,B7,'Base bordo CD'!L$2:L$875,"DESLOCAMENTO"),0)</f>
        <v>3.2222222222222222E-2</v>
      </c>
      <c r="H7" s="10">
        <f>IFERROR(SUMIFS('Base bordo CD'!M$2:M$875,'Base bordo CD'!D$2:D$875,A7,'Base bordo CD'!A$2:A$875,B7,'Base bordo CD'!L$2:L$875,"AGUARDANDO MANOBRA DE TRANSBORDO"),0)+IFERROR(SUMIFS('Base bordo CD'!M$2:M$875,'Base bordo CD'!D$2:D$875,A7,'Base bordo CD'!A$2:A$875,B7,'Base bordo CD'!L$2:L$875,"FALTA DE TRANSBORDO"),0)</f>
        <v>0</v>
      </c>
      <c r="I7" s="10">
        <f>IFERROR(SUMIFS('Base bordo CD'!M$2:M$875,'Base bordo CD'!D$2:D$875,A7,'Base bordo CD'!A$2:A$875,B7,'Base bordo CD'!L$2:L$875,"PARADA POR CONDICOES CLIMATICAS"),0)+IFERROR(SUMIFS('Base bordo CD'!M$2:M$875,'Base bordo CD'!D$2:D$875,A7,'Base bordo CD'!A$2:A$875,B7,'Base bordo CD'!L$2:L$875,"TEMPO INDETERMINADO"),0)</f>
        <v>22.051388888888887</v>
      </c>
      <c r="J7" s="10">
        <f>IFERROR(SUMIFS('Base bordo CD'!M$2:M$875,'Base bordo CD'!D$2:D$875,A7,'Base bordo CD'!A$2:A$875,B7,'Base bordo CD'!L$2:L$875,"LIMITAÇÃO INDÚSTRIA"),0)</f>
        <v>0</v>
      </c>
      <c r="K7" s="10">
        <f>IFERROR(SUMIFS('Base bordo CD'!M$2:M$875,'Base bordo CD'!D$2:D$875,A7,'Base bordo CD'!A$2:A$875,B7,'Base bordo CD'!L$2:L$875,"MAN CORRETIVA*"),0)+IFERROR(SUMIFS('Base bordo CD'!M$2:M$875,'Base bordo CD'!D$2:D$875,A7,'Base bordo CD'!A$2:A$875,B7,'Base bordo CD'!L$2:L$875,"AGUARDANDO MANUTENCAO*"),0)+IFERROR(SUMIFS('Base bordo CD'!M$2:M$875,'Base bordo CD'!D$2:D$875,A7,'Base bordo CD'!A$2:A$875,B7,'Base bordo CD'!L$2:L$875,"TROCA DE FAQUINHA"),0)+IFERROR(SUMIFS('Base bordo CD'!M$2:M$875,'Base bordo CD'!D$2:D$875,A7,'Base bordo CD'!A$2:A$875,B7,'Base bordo CD'!L$2:L$875,"LIMPEZA*"),0)</f>
        <v>0</v>
      </c>
      <c r="L7" s="10">
        <f>IFERROR(SUMIFS('Base bordo CD'!M$2:M$875,'Base bordo CD'!D$2:D$875,A7,'Base bordo CD'!A$2:A$875,B7,'Base bordo CD'!L$2:L$875,"PATIO - RESERVA"),0)</f>
        <v>0</v>
      </c>
      <c r="M7" s="10">
        <f>IFERROR(SUMIFS('Base bordo CD'!M$2:M$875,'Base bordo CD'!D$2:D$875,A7,'Base bordo CD'!A$2:A$875,B7,'Base bordo CD'!L$2:L$875,"SEM APONTAMENTO"),0)</f>
        <v>0</v>
      </c>
      <c r="N7" s="10">
        <f>IFERROR(SUMIFS('Base bordo CD'!M$2:M$875,'Base bordo CD'!D$2:D$875,A7,'Base bordo CD'!A$2:A$875,B7,'Base bordo CD'!L$2:L$875,"FALTA DE CAMINHÃO"),0)+IFERROR(SUMIFS('Base bordo CD'!M$2:M$875,'Base bordo CD'!D$2:D$875,A7,'Base bordo CD'!A$2:A$875,B7,'Base bordo CD'!L$2:L$875,"FALTA DE COMBUSTIVEL"),0)+IFERROR(SUMIFS('Base bordo CD'!M$2:M$875,'Base bordo CD'!D$2:D$875,A7,'Base bordo CD'!A$2:A$875,B7,'Base bordo CD'!L$2:L$875,"FALTA DE MOTORIST*"),0)</f>
        <v>0</v>
      </c>
      <c r="O7" s="10">
        <f t="shared" si="0"/>
        <v>1.9163888888888891</v>
      </c>
      <c r="P7" s="10">
        <f>IFERROR(SUMIFS('Base bordo CD'!M$2:M$875,'Base bordo CD'!D$2:D$875,A7,'Base bordo CD'!A$2:A$875,B7),0)</f>
        <v>24</v>
      </c>
      <c r="Q7" s="10">
        <f>IFERROR(SUMIFS('Base bordo CD'!O$2:O$875,'Base bordo CD'!D$2:D$875,A7,'Base bordo CD'!A$2:A$875,B7,'Base bordo CD'!L$2:L$875,"CORTE DE CANA MECANIZADO"),0)</f>
        <v>0</v>
      </c>
      <c r="R7" s="10">
        <f>IFERROR(SUMIFS('Base bordo CD'!Q$2:Q$875,'Base bordo CD'!D$2:D$875,A7,'Base bordo CD'!A$2:A$875,B7,'Base bordo CD'!L$2:L$875,"CORTE DE CANA MECANIZADO"),0)</f>
        <v>0</v>
      </c>
      <c r="S7" s="30" t="str">
        <f t="shared" si="1"/>
        <v/>
      </c>
      <c r="T7" s="9">
        <f t="shared" si="2"/>
        <v>0</v>
      </c>
      <c r="U7" s="9">
        <f t="shared" si="3"/>
        <v>0</v>
      </c>
      <c r="V7" s="9">
        <f t="shared" si="4"/>
        <v>0.99865740740740738</v>
      </c>
    </row>
    <row r="8" spans="1:22" hidden="1" x14ac:dyDescent="0.35">
      <c r="A8" s="52">
        <v>49584</v>
      </c>
      <c r="B8" s="31">
        <v>46123</v>
      </c>
      <c r="C8" s="7" t="s">
        <v>321</v>
      </c>
      <c r="D8" s="7">
        <v>351</v>
      </c>
      <c r="E8" s="10">
        <f>IFERROR(SUMIFS('Base bordo CD'!M$2:M$875,'Base bordo CD'!D$2:D$875,A8,'Base bordo CD'!A$2:A$875,B8,'Base bordo CD'!L$2:L$875,"CORTE DE CANA MECANIZADO"),0)</f>
        <v>0</v>
      </c>
      <c r="F8" s="10">
        <f>IFERROR(SUMIFS('Base bordo CD'!M$2:M$875,'Base bordo CD'!D$2:D$875,A8,'Base bordo CD'!A$2:A$875,B8,'Base bordo CD'!L$2:L$875,"MANOBRA"),0)</f>
        <v>0</v>
      </c>
      <c r="G8" s="10">
        <f>IFERROR(SUMIFS('Base bordo CD'!M$2:M$875,'Base bordo CD'!D$2:D$875,A8,'Base bordo CD'!A$2:A$875,B8,'Base bordo CD'!L$2:L$875,"DESLOCAMENTO"),0)</f>
        <v>3.2222222222222222E-2</v>
      </c>
      <c r="H8" s="10">
        <f>IFERROR(SUMIFS('Base bordo CD'!M$2:M$875,'Base bordo CD'!D$2:D$875,A8,'Base bordo CD'!A$2:A$875,B8,'Base bordo CD'!L$2:L$875,"AGUARDANDO MANOBRA DE TRANSBORDO"),0)+IFERROR(SUMIFS('Base bordo CD'!M$2:M$875,'Base bordo CD'!D$2:D$875,A8,'Base bordo CD'!A$2:A$875,B8,'Base bordo CD'!L$2:L$875,"FALTA DE TRANSBORDO"),0)</f>
        <v>0</v>
      </c>
      <c r="I8" s="10">
        <f>IFERROR(SUMIFS('Base bordo CD'!M$2:M$875,'Base bordo CD'!D$2:D$875,A8,'Base bordo CD'!A$2:A$875,B8,'Base bordo CD'!L$2:L$875,"PARADA POR CONDICOES CLIMATICAS"),0)+IFERROR(SUMIFS('Base bordo CD'!M$2:M$875,'Base bordo CD'!D$2:D$875,A8,'Base bordo CD'!A$2:A$875,B8,'Base bordo CD'!L$2:L$875,"TEMPO INDETERMINADO"),0)</f>
        <v>22.051388888888887</v>
      </c>
      <c r="J8" s="10">
        <f>IFERROR(SUMIFS('Base bordo CD'!M$2:M$875,'Base bordo CD'!D$2:D$875,A8,'Base bordo CD'!A$2:A$875,B8,'Base bordo CD'!L$2:L$875,"LIMITAÇÃO INDÚSTRIA"),0)</f>
        <v>0</v>
      </c>
      <c r="K8" s="10">
        <f>IFERROR(SUMIFS('Base bordo CD'!M$2:M$875,'Base bordo CD'!D$2:D$875,A8,'Base bordo CD'!A$2:A$875,B8,'Base bordo CD'!L$2:L$875,"MAN CORRETIVA*"),0)+IFERROR(SUMIFS('Base bordo CD'!M$2:M$875,'Base bordo CD'!D$2:D$875,A8,'Base bordo CD'!A$2:A$875,B8,'Base bordo CD'!L$2:L$875,"AGUARDANDO MANUTENCAO*"),0)+IFERROR(SUMIFS('Base bordo CD'!M$2:M$875,'Base bordo CD'!D$2:D$875,A8,'Base bordo CD'!A$2:A$875,B8,'Base bordo CD'!L$2:L$875,"TROCA DE FAQUINHA"),0)+IFERROR(SUMIFS('Base bordo CD'!M$2:M$875,'Base bordo CD'!D$2:D$875,A8,'Base bordo CD'!A$2:A$875,B8,'Base bordo CD'!L$2:L$875,"LIMPEZA*"),0)</f>
        <v>0</v>
      </c>
      <c r="L8" s="10">
        <f>IFERROR(SUMIFS('Base bordo CD'!M$2:M$875,'Base bordo CD'!D$2:D$875,A8,'Base bordo CD'!A$2:A$875,B8,'Base bordo CD'!L$2:L$875,"PATIO - RESERVA"),0)</f>
        <v>0</v>
      </c>
      <c r="M8" s="10">
        <f>IFERROR(SUMIFS('Base bordo CD'!M$2:M$875,'Base bordo CD'!D$2:D$875,A8,'Base bordo CD'!A$2:A$875,B8,'Base bordo CD'!L$2:L$875,"SEM APONTAMENTO"),0)</f>
        <v>0</v>
      </c>
      <c r="N8" s="10">
        <f>IFERROR(SUMIFS('Base bordo CD'!M$2:M$875,'Base bordo CD'!D$2:D$875,A8,'Base bordo CD'!A$2:A$875,B8,'Base bordo CD'!L$2:L$875,"FALTA DE CAMINHÃO"),0)+IFERROR(SUMIFS('Base bordo CD'!M$2:M$875,'Base bordo CD'!D$2:D$875,A8,'Base bordo CD'!A$2:A$875,B8,'Base bordo CD'!L$2:L$875,"FALTA DE COMBUSTIVEL"),0)+IFERROR(SUMIFS('Base bordo CD'!M$2:M$875,'Base bordo CD'!D$2:D$875,A8,'Base bordo CD'!A$2:A$875,B8,'Base bordo CD'!L$2:L$875,"FALTA DE MOTORIST*"),0)</f>
        <v>0</v>
      </c>
      <c r="O8" s="10">
        <f t="shared" si="0"/>
        <v>1.9163888888888891</v>
      </c>
      <c r="P8" s="10">
        <f>IFERROR(SUMIFS('Base bordo CD'!M$2:M$875,'Base bordo CD'!D$2:D$875,A8,'Base bordo CD'!A$2:A$875,B8),0)</f>
        <v>24</v>
      </c>
      <c r="Q8" s="10">
        <f>IFERROR(SUMIFS('Base bordo CD'!O$2:O$875,'Base bordo CD'!D$2:D$875,A8,'Base bordo CD'!A$2:A$875,B8,'Base bordo CD'!L$2:L$875,"CORTE DE CANA MECANIZADO"),0)</f>
        <v>0</v>
      </c>
      <c r="R8" s="10">
        <f>IFERROR(SUMIFS('Base bordo CD'!Q$2:Q$875,'Base bordo CD'!D$2:D$875,A8,'Base bordo CD'!A$2:A$875,B8,'Base bordo CD'!L$2:L$875,"CORTE DE CANA MECANIZADO"),0)</f>
        <v>0</v>
      </c>
      <c r="S8" s="30" t="str">
        <f t="shared" si="1"/>
        <v/>
      </c>
      <c r="T8" s="9">
        <f t="shared" si="2"/>
        <v>0</v>
      </c>
      <c r="U8" s="9">
        <f t="shared" si="3"/>
        <v>0</v>
      </c>
      <c r="V8" s="9">
        <f t="shared" si="4"/>
        <v>0.99865740740740738</v>
      </c>
    </row>
    <row r="9" spans="1:22" x14ac:dyDescent="0.35">
      <c r="A9" s="52">
        <v>49587</v>
      </c>
      <c r="B9" s="31">
        <v>46123</v>
      </c>
      <c r="C9" s="7" t="s">
        <v>337</v>
      </c>
      <c r="D9" s="7">
        <v>353</v>
      </c>
      <c r="E9" s="10">
        <f>IFERROR(SUMIFS('Base bordo CD'!M$2:M$875,'Base bordo CD'!D$2:D$875,A9,'Base bordo CD'!A$2:A$875,B9,'Base bordo CD'!L$2:L$875,"CORTE DE CANA MECANIZADO"),0)</f>
        <v>3.9661111111111111</v>
      </c>
      <c r="F9" s="10">
        <f>IFERROR(SUMIFS('Base bordo CD'!M$2:M$875,'Base bordo CD'!D$2:D$875,A9,'Base bordo CD'!A$2:A$875,B9,'Base bordo CD'!L$2:L$875,"MANOBRA"),0)</f>
        <v>1.9080555555555556</v>
      </c>
      <c r="G9" s="10">
        <f>IFERROR(SUMIFS('Base bordo CD'!M$2:M$875,'Base bordo CD'!D$2:D$875,A9,'Base bordo CD'!A$2:A$875,B9,'Base bordo CD'!L$2:L$875,"DESLOCAMENTO"),0)</f>
        <v>0.26722222222222225</v>
      </c>
      <c r="H9" s="10">
        <f>IFERROR(SUMIFS('Base bordo CD'!M$2:M$875,'Base bordo CD'!D$2:D$875,A9,'Base bordo CD'!A$2:A$875,B9,'Base bordo CD'!L$2:L$875,"AGUARDANDO MANOBRA DE TRANSBORDO"),0)+IFERROR(SUMIFS('Base bordo CD'!M$2:M$875,'Base bordo CD'!D$2:D$875,A9,'Base bordo CD'!A$2:A$875,B9,'Base bordo CD'!L$2:L$875,"FALTA DE TRANSBORDO"),0)</f>
        <v>0</v>
      </c>
      <c r="I9" s="10">
        <f>IFERROR(SUMIFS('Base bordo CD'!M$2:M$875,'Base bordo CD'!D$2:D$875,A9,'Base bordo CD'!A$2:A$875,B9,'Base bordo CD'!L$2:L$875,"PARADA POR CONDICOES CLIMATICAS"),0)+IFERROR(SUMIFS('Base bordo CD'!M$2:M$875,'Base bordo CD'!D$2:D$875,A9,'Base bordo CD'!A$2:A$875,B9,'Base bordo CD'!L$2:L$875,"TEMPO INDETERMINADO"),0)</f>
        <v>17.679722222222225</v>
      </c>
      <c r="J9" s="10">
        <f>IFERROR(SUMIFS('Base bordo CD'!M$2:M$875,'Base bordo CD'!D$2:D$875,A9,'Base bordo CD'!A$2:A$875,B9,'Base bordo CD'!L$2:L$875,"LIMITAÇÃO INDÚSTRIA"),0)</f>
        <v>0</v>
      </c>
      <c r="K9" s="10">
        <f>IFERROR(SUMIFS('Base bordo CD'!M$2:M$875,'Base bordo CD'!D$2:D$875,A9,'Base bordo CD'!A$2:A$875,B9,'Base bordo CD'!L$2:L$875,"MAN CORRETIVA*"),0)+IFERROR(SUMIFS('Base bordo CD'!M$2:M$875,'Base bordo CD'!D$2:D$875,A9,'Base bordo CD'!A$2:A$875,B9,'Base bordo CD'!L$2:L$875,"AGUARDANDO MANUTENCAO*"),0)+IFERROR(SUMIFS('Base bordo CD'!M$2:M$875,'Base bordo CD'!D$2:D$875,A9,'Base bordo CD'!A$2:A$875,B9,'Base bordo CD'!L$2:L$875,"TROCA DE FAQUINHA"),0)+IFERROR(SUMIFS('Base bordo CD'!M$2:M$875,'Base bordo CD'!D$2:D$875,A9,'Base bordo CD'!A$2:A$875,B9,'Base bordo CD'!L$2:L$875,"LIMPEZA*"),0)</f>
        <v>0</v>
      </c>
      <c r="L9" s="10">
        <f>IFERROR(SUMIFS('Base bordo CD'!M$2:M$875,'Base bordo CD'!D$2:D$875,A9,'Base bordo CD'!A$2:A$875,B9,'Base bordo CD'!L$2:L$875,"PATIO - RESERVA"),0)</f>
        <v>0</v>
      </c>
      <c r="M9" s="10">
        <f>IFERROR(SUMIFS('Base bordo CD'!M$2:M$875,'Base bordo CD'!D$2:D$875,A9,'Base bordo CD'!A$2:A$875,B9,'Base bordo CD'!L$2:L$875,"SEM APONTAMENTO"),0)</f>
        <v>0.17888888888888888</v>
      </c>
      <c r="N9" s="10">
        <f>IFERROR(SUMIFS('Base bordo CD'!M$2:M$875,'Base bordo CD'!D$2:D$875,A9,'Base bordo CD'!A$2:A$875,B9,'Base bordo CD'!L$2:L$875,"FALTA DE CAMINHÃO"),0)+IFERROR(SUMIFS('Base bordo CD'!M$2:M$875,'Base bordo CD'!D$2:D$875,A9,'Base bordo CD'!A$2:A$875,B9,'Base bordo CD'!L$2:L$875,"FALTA DE COMBUSTIVEL"),0)+IFERROR(SUMIFS('Base bordo CD'!M$2:M$875,'Base bordo CD'!D$2:D$875,A9,'Base bordo CD'!A$2:A$875,B9,'Base bordo CD'!L$2:L$875,"FALTA DE MOTORIST*"),0)</f>
        <v>0</v>
      </c>
      <c r="O9" s="10">
        <f t="shared" si="0"/>
        <v>0</v>
      </c>
      <c r="P9" s="10">
        <f>IFERROR(SUMIFS('Base bordo CD'!M$2:M$875,'Base bordo CD'!D$2:D$875,A9,'Base bordo CD'!A$2:A$875,B9),0)</f>
        <v>24.000000000000004</v>
      </c>
      <c r="Q9" s="10">
        <f>IFERROR(SUMIFS('Base bordo CD'!O$2:O$875,'Base bordo CD'!D$2:D$875,A9,'Base bordo CD'!A$2:A$875,B9,'Base bordo CD'!L$2:L$875,"CORTE DE CANA MECANIZADO"),0)</f>
        <v>58804.849999999991</v>
      </c>
      <c r="R9" s="10">
        <f>IFERROR(SUMIFS('Base bordo CD'!Q$2:Q$875,'Base bordo CD'!D$2:D$875,A9,'Base bordo CD'!A$2:A$875,B9,'Base bordo CD'!L$2:L$875,"CORTE DE CANA MECANIZADO"),0)</f>
        <v>14271</v>
      </c>
      <c r="S9" s="30">
        <f t="shared" si="1"/>
        <v>4.1205837012122482</v>
      </c>
      <c r="T9" s="9">
        <f t="shared" si="2"/>
        <v>0.16525462962962961</v>
      </c>
      <c r="U9" s="9">
        <f t="shared" si="3"/>
        <v>7.9502314814814803E-2</v>
      </c>
      <c r="V9" s="9">
        <f t="shared" si="4"/>
        <v>0.82361111111111107</v>
      </c>
    </row>
    <row r="10" spans="1:22" x14ac:dyDescent="0.35">
      <c r="A10" s="52">
        <v>49587</v>
      </c>
      <c r="B10" s="31">
        <v>46123</v>
      </c>
      <c r="C10" s="7" t="s">
        <v>337</v>
      </c>
      <c r="D10" s="7">
        <v>353</v>
      </c>
      <c r="E10" s="10">
        <f>IFERROR(SUMIFS('Base bordo CD'!M$2:M$875,'Base bordo CD'!D$2:D$875,A10,'Base bordo CD'!A$2:A$875,B10,'Base bordo CD'!L$2:L$875,"CORTE DE CANA MECANIZADO"),0)</f>
        <v>3.9661111111111111</v>
      </c>
      <c r="F10" s="10">
        <f>IFERROR(SUMIFS('Base bordo CD'!M$2:M$875,'Base bordo CD'!D$2:D$875,A10,'Base bordo CD'!A$2:A$875,B10,'Base bordo CD'!L$2:L$875,"MANOBRA"),0)</f>
        <v>1.9080555555555556</v>
      </c>
      <c r="G10" s="10">
        <f>IFERROR(SUMIFS('Base bordo CD'!M$2:M$875,'Base bordo CD'!D$2:D$875,A10,'Base bordo CD'!A$2:A$875,B10,'Base bordo CD'!L$2:L$875,"DESLOCAMENTO"),0)</f>
        <v>0.26722222222222225</v>
      </c>
      <c r="H10" s="10">
        <f>IFERROR(SUMIFS('Base bordo CD'!M$2:M$875,'Base bordo CD'!D$2:D$875,A10,'Base bordo CD'!A$2:A$875,B10,'Base bordo CD'!L$2:L$875,"AGUARDANDO MANOBRA DE TRANSBORDO"),0)+IFERROR(SUMIFS('Base bordo CD'!M$2:M$875,'Base bordo CD'!D$2:D$875,A10,'Base bordo CD'!A$2:A$875,B10,'Base bordo CD'!L$2:L$875,"FALTA DE TRANSBORDO"),0)</f>
        <v>0</v>
      </c>
      <c r="I10" s="10">
        <f>IFERROR(SUMIFS('Base bordo CD'!M$2:M$875,'Base bordo CD'!D$2:D$875,A10,'Base bordo CD'!A$2:A$875,B10,'Base bordo CD'!L$2:L$875,"PARADA POR CONDICOES CLIMATICAS"),0)+IFERROR(SUMIFS('Base bordo CD'!M$2:M$875,'Base bordo CD'!D$2:D$875,A10,'Base bordo CD'!A$2:A$875,B10,'Base bordo CD'!L$2:L$875,"TEMPO INDETERMINADO"),0)</f>
        <v>17.679722222222225</v>
      </c>
      <c r="J10" s="10">
        <f>IFERROR(SUMIFS('Base bordo CD'!M$2:M$875,'Base bordo CD'!D$2:D$875,A10,'Base bordo CD'!A$2:A$875,B10,'Base bordo CD'!L$2:L$875,"LIMITAÇÃO INDÚSTRIA"),0)</f>
        <v>0</v>
      </c>
      <c r="K10" s="10">
        <f>IFERROR(SUMIFS('Base bordo CD'!M$2:M$875,'Base bordo CD'!D$2:D$875,A10,'Base bordo CD'!A$2:A$875,B10,'Base bordo CD'!L$2:L$875,"MAN CORRETIVA*"),0)+IFERROR(SUMIFS('Base bordo CD'!M$2:M$875,'Base bordo CD'!D$2:D$875,A10,'Base bordo CD'!A$2:A$875,B10,'Base bordo CD'!L$2:L$875,"AGUARDANDO MANUTENCAO*"),0)+IFERROR(SUMIFS('Base bordo CD'!M$2:M$875,'Base bordo CD'!D$2:D$875,A10,'Base bordo CD'!A$2:A$875,B10,'Base bordo CD'!L$2:L$875,"TROCA DE FAQUINHA"),0)+IFERROR(SUMIFS('Base bordo CD'!M$2:M$875,'Base bordo CD'!D$2:D$875,A10,'Base bordo CD'!A$2:A$875,B10,'Base bordo CD'!L$2:L$875,"LIMPEZA*"),0)</f>
        <v>0</v>
      </c>
      <c r="L10" s="10">
        <f>IFERROR(SUMIFS('Base bordo CD'!M$2:M$875,'Base bordo CD'!D$2:D$875,A10,'Base bordo CD'!A$2:A$875,B10,'Base bordo CD'!L$2:L$875,"PATIO - RESERVA"),0)</f>
        <v>0</v>
      </c>
      <c r="M10" s="10">
        <f>IFERROR(SUMIFS('Base bordo CD'!M$2:M$875,'Base bordo CD'!D$2:D$875,A10,'Base bordo CD'!A$2:A$875,B10,'Base bordo CD'!L$2:L$875,"SEM APONTAMENTO"),0)</f>
        <v>0.17888888888888888</v>
      </c>
      <c r="N10" s="10">
        <f>IFERROR(SUMIFS('Base bordo CD'!M$2:M$875,'Base bordo CD'!D$2:D$875,A10,'Base bordo CD'!A$2:A$875,B10,'Base bordo CD'!L$2:L$875,"FALTA DE CAMINHÃO"),0)+IFERROR(SUMIFS('Base bordo CD'!M$2:M$875,'Base bordo CD'!D$2:D$875,A10,'Base bordo CD'!A$2:A$875,B10,'Base bordo CD'!L$2:L$875,"FALTA DE COMBUSTIVEL"),0)+IFERROR(SUMIFS('Base bordo CD'!M$2:M$875,'Base bordo CD'!D$2:D$875,A10,'Base bordo CD'!A$2:A$875,B10,'Base bordo CD'!L$2:L$875,"FALTA DE MOTORIST*"),0)</f>
        <v>0</v>
      </c>
      <c r="O10" s="10">
        <f t="shared" si="0"/>
        <v>0</v>
      </c>
      <c r="P10" s="10">
        <f>IFERROR(SUMIFS('Base bordo CD'!M$2:M$875,'Base bordo CD'!D$2:D$875,A10,'Base bordo CD'!A$2:A$875,B10),0)</f>
        <v>24.000000000000004</v>
      </c>
      <c r="Q10" s="10">
        <f>IFERROR(SUMIFS('Base bordo CD'!O$2:O$875,'Base bordo CD'!D$2:D$875,A10,'Base bordo CD'!A$2:A$875,B10,'Base bordo CD'!L$2:L$875,"CORTE DE CANA MECANIZADO"),0)</f>
        <v>58804.849999999991</v>
      </c>
      <c r="R10" s="10">
        <f>IFERROR(SUMIFS('Base bordo CD'!Q$2:Q$875,'Base bordo CD'!D$2:D$875,A10,'Base bordo CD'!A$2:A$875,B10,'Base bordo CD'!L$2:L$875,"CORTE DE CANA MECANIZADO"),0)</f>
        <v>14271</v>
      </c>
      <c r="S10" s="30">
        <f t="shared" si="1"/>
        <v>4.1205837012122482</v>
      </c>
      <c r="T10" s="9">
        <f t="shared" si="2"/>
        <v>0.16525462962962961</v>
      </c>
      <c r="U10" s="9">
        <f t="shared" si="3"/>
        <v>7.9502314814814803E-2</v>
      </c>
      <c r="V10" s="9">
        <f t="shared" si="4"/>
        <v>0.82361111111111107</v>
      </c>
    </row>
    <row r="11" spans="1:22" x14ac:dyDescent="0.35">
      <c r="A11" s="52">
        <v>49587</v>
      </c>
      <c r="B11" s="31">
        <v>46123</v>
      </c>
      <c r="C11" s="7" t="s">
        <v>337</v>
      </c>
      <c r="D11" s="7">
        <v>353</v>
      </c>
      <c r="E11" s="10">
        <f>IFERROR(SUMIFS('Base bordo CD'!M$2:M$875,'Base bordo CD'!D$2:D$875,A11,'Base bordo CD'!A$2:A$875,B11,'Base bordo CD'!L$2:L$875,"CORTE DE CANA MECANIZADO"),0)</f>
        <v>3.9661111111111111</v>
      </c>
      <c r="F11" s="10">
        <f>IFERROR(SUMIFS('Base bordo CD'!M$2:M$875,'Base bordo CD'!D$2:D$875,A11,'Base bordo CD'!A$2:A$875,B11,'Base bordo CD'!L$2:L$875,"MANOBRA"),0)</f>
        <v>1.9080555555555556</v>
      </c>
      <c r="G11" s="10">
        <f>IFERROR(SUMIFS('Base bordo CD'!M$2:M$875,'Base bordo CD'!D$2:D$875,A11,'Base bordo CD'!A$2:A$875,B11,'Base bordo CD'!L$2:L$875,"DESLOCAMENTO"),0)</f>
        <v>0.26722222222222225</v>
      </c>
      <c r="H11" s="10">
        <f>IFERROR(SUMIFS('Base bordo CD'!M$2:M$875,'Base bordo CD'!D$2:D$875,A11,'Base bordo CD'!A$2:A$875,B11,'Base bordo CD'!L$2:L$875,"AGUARDANDO MANOBRA DE TRANSBORDO"),0)+IFERROR(SUMIFS('Base bordo CD'!M$2:M$875,'Base bordo CD'!D$2:D$875,A11,'Base bordo CD'!A$2:A$875,B11,'Base bordo CD'!L$2:L$875,"FALTA DE TRANSBORDO"),0)</f>
        <v>0</v>
      </c>
      <c r="I11" s="10">
        <f>IFERROR(SUMIFS('Base bordo CD'!M$2:M$875,'Base bordo CD'!D$2:D$875,A11,'Base bordo CD'!A$2:A$875,B11,'Base bordo CD'!L$2:L$875,"PARADA POR CONDICOES CLIMATICAS"),0)+IFERROR(SUMIFS('Base bordo CD'!M$2:M$875,'Base bordo CD'!D$2:D$875,A11,'Base bordo CD'!A$2:A$875,B11,'Base bordo CD'!L$2:L$875,"TEMPO INDETERMINADO"),0)</f>
        <v>17.679722222222225</v>
      </c>
      <c r="J11" s="10">
        <f>IFERROR(SUMIFS('Base bordo CD'!M$2:M$875,'Base bordo CD'!D$2:D$875,A11,'Base bordo CD'!A$2:A$875,B11,'Base bordo CD'!L$2:L$875,"LIMITAÇÃO INDÚSTRIA"),0)</f>
        <v>0</v>
      </c>
      <c r="K11" s="10">
        <f>IFERROR(SUMIFS('Base bordo CD'!M$2:M$875,'Base bordo CD'!D$2:D$875,A11,'Base bordo CD'!A$2:A$875,B11,'Base bordo CD'!L$2:L$875,"MAN CORRETIVA*"),0)+IFERROR(SUMIFS('Base bordo CD'!M$2:M$875,'Base bordo CD'!D$2:D$875,A11,'Base bordo CD'!A$2:A$875,B11,'Base bordo CD'!L$2:L$875,"AGUARDANDO MANUTENCAO*"),0)+IFERROR(SUMIFS('Base bordo CD'!M$2:M$875,'Base bordo CD'!D$2:D$875,A11,'Base bordo CD'!A$2:A$875,B11,'Base bordo CD'!L$2:L$875,"TROCA DE FAQUINHA"),0)+IFERROR(SUMIFS('Base bordo CD'!M$2:M$875,'Base bordo CD'!D$2:D$875,A11,'Base bordo CD'!A$2:A$875,B11,'Base bordo CD'!L$2:L$875,"LIMPEZA*"),0)</f>
        <v>0</v>
      </c>
      <c r="L11" s="10">
        <f>IFERROR(SUMIFS('Base bordo CD'!M$2:M$875,'Base bordo CD'!D$2:D$875,A11,'Base bordo CD'!A$2:A$875,B11,'Base bordo CD'!L$2:L$875,"PATIO - RESERVA"),0)</f>
        <v>0</v>
      </c>
      <c r="M11" s="10">
        <f>IFERROR(SUMIFS('Base bordo CD'!M$2:M$875,'Base bordo CD'!D$2:D$875,A11,'Base bordo CD'!A$2:A$875,B11,'Base bordo CD'!L$2:L$875,"SEM APONTAMENTO"),0)</f>
        <v>0.17888888888888888</v>
      </c>
      <c r="N11" s="10">
        <f>IFERROR(SUMIFS('Base bordo CD'!M$2:M$875,'Base bordo CD'!D$2:D$875,A11,'Base bordo CD'!A$2:A$875,B11,'Base bordo CD'!L$2:L$875,"FALTA DE CAMINHÃO"),0)+IFERROR(SUMIFS('Base bordo CD'!M$2:M$875,'Base bordo CD'!D$2:D$875,A11,'Base bordo CD'!A$2:A$875,B11,'Base bordo CD'!L$2:L$875,"FALTA DE COMBUSTIVEL"),0)+IFERROR(SUMIFS('Base bordo CD'!M$2:M$875,'Base bordo CD'!D$2:D$875,A11,'Base bordo CD'!A$2:A$875,B11,'Base bordo CD'!L$2:L$875,"FALTA DE MOTORIST*"),0)</f>
        <v>0</v>
      </c>
      <c r="O11" s="10">
        <f t="shared" si="0"/>
        <v>0</v>
      </c>
      <c r="P11" s="10">
        <f>IFERROR(SUMIFS('Base bordo CD'!M$2:M$875,'Base bordo CD'!D$2:D$875,A11,'Base bordo CD'!A$2:A$875,B11),0)</f>
        <v>24.000000000000004</v>
      </c>
      <c r="Q11" s="10">
        <f>IFERROR(SUMIFS('Base bordo CD'!O$2:O$875,'Base bordo CD'!D$2:D$875,A11,'Base bordo CD'!A$2:A$875,B11,'Base bordo CD'!L$2:L$875,"CORTE DE CANA MECANIZADO"),0)</f>
        <v>58804.849999999991</v>
      </c>
      <c r="R11" s="10">
        <f>IFERROR(SUMIFS('Base bordo CD'!Q$2:Q$875,'Base bordo CD'!D$2:D$875,A11,'Base bordo CD'!A$2:A$875,B11,'Base bordo CD'!L$2:L$875,"CORTE DE CANA MECANIZADO"),0)</f>
        <v>14271</v>
      </c>
      <c r="S11" s="30">
        <f t="shared" si="1"/>
        <v>4.1205837012122482</v>
      </c>
      <c r="T11" s="9">
        <f t="shared" si="2"/>
        <v>0.16525462962962961</v>
      </c>
      <c r="U11" s="9">
        <f t="shared" si="3"/>
        <v>7.9502314814814803E-2</v>
      </c>
      <c r="V11" s="9">
        <f t="shared" si="4"/>
        <v>0.82361111111111107</v>
      </c>
    </row>
    <row r="12" spans="1:22" x14ac:dyDescent="0.35">
      <c r="A12" s="52">
        <v>49587</v>
      </c>
      <c r="B12" s="31">
        <v>46123</v>
      </c>
      <c r="C12" s="7" t="s">
        <v>337</v>
      </c>
      <c r="D12" s="7">
        <v>353</v>
      </c>
      <c r="E12" s="10">
        <f>IFERROR(SUMIFS('Base bordo CD'!M$2:M$875,'Base bordo CD'!D$2:D$875,A12,'Base bordo CD'!A$2:A$875,B12,'Base bordo CD'!L$2:L$875,"CORTE DE CANA MECANIZADO"),0)</f>
        <v>3.9661111111111111</v>
      </c>
      <c r="F12" s="10">
        <f>IFERROR(SUMIFS('Base bordo CD'!M$2:M$875,'Base bordo CD'!D$2:D$875,A12,'Base bordo CD'!A$2:A$875,B12,'Base bordo CD'!L$2:L$875,"MANOBRA"),0)</f>
        <v>1.9080555555555556</v>
      </c>
      <c r="G12" s="10">
        <f>IFERROR(SUMIFS('Base bordo CD'!M$2:M$875,'Base bordo CD'!D$2:D$875,A12,'Base bordo CD'!A$2:A$875,B12,'Base bordo CD'!L$2:L$875,"DESLOCAMENTO"),0)</f>
        <v>0.26722222222222225</v>
      </c>
      <c r="H12" s="10">
        <f>IFERROR(SUMIFS('Base bordo CD'!M$2:M$875,'Base bordo CD'!D$2:D$875,A12,'Base bordo CD'!A$2:A$875,B12,'Base bordo CD'!L$2:L$875,"AGUARDANDO MANOBRA DE TRANSBORDO"),0)+IFERROR(SUMIFS('Base bordo CD'!M$2:M$875,'Base bordo CD'!D$2:D$875,A12,'Base bordo CD'!A$2:A$875,B12,'Base bordo CD'!L$2:L$875,"FALTA DE TRANSBORDO"),0)</f>
        <v>0</v>
      </c>
      <c r="I12" s="10">
        <f>IFERROR(SUMIFS('Base bordo CD'!M$2:M$875,'Base bordo CD'!D$2:D$875,A12,'Base bordo CD'!A$2:A$875,B12,'Base bordo CD'!L$2:L$875,"PARADA POR CONDICOES CLIMATICAS"),0)+IFERROR(SUMIFS('Base bordo CD'!M$2:M$875,'Base bordo CD'!D$2:D$875,A12,'Base bordo CD'!A$2:A$875,B12,'Base bordo CD'!L$2:L$875,"TEMPO INDETERMINADO"),0)</f>
        <v>17.679722222222225</v>
      </c>
      <c r="J12" s="10">
        <f>IFERROR(SUMIFS('Base bordo CD'!M$2:M$875,'Base bordo CD'!D$2:D$875,A12,'Base bordo CD'!A$2:A$875,B12,'Base bordo CD'!L$2:L$875,"LIMITAÇÃO INDÚSTRIA"),0)</f>
        <v>0</v>
      </c>
      <c r="K12" s="10">
        <f>IFERROR(SUMIFS('Base bordo CD'!M$2:M$875,'Base bordo CD'!D$2:D$875,A12,'Base bordo CD'!A$2:A$875,B12,'Base bordo CD'!L$2:L$875,"MAN CORRETIVA*"),0)+IFERROR(SUMIFS('Base bordo CD'!M$2:M$875,'Base bordo CD'!D$2:D$875,A12,'Base bordo CD'!A$2:A$875,B12,'Base bordo CD'!L$2:L$875,"AGUARDANDO MANUTENCAO*"),0)+IFERROR(SUMIFS('Base bordo CD'!M$2:M$875,'Base bordo CD'!D$2:D$875,A12,'Base bordo CD'!A$2:A$875,B12,'Base bordo CD'!L$2:L$875,"TROCA DE FAQUINHA"),0)+IFERROR(SUMIFS('Base bordo CD'!M$2:M$875,'Base bordo CD'!D$2:D$875,A12,'Base bordo CD'!A$2:A$875,B12,'Base bordo CD'!L$2:L$875,"LIMPEZA*"),0)</f>
        <v>0</v>
      </c>
      <c r="L12" s="10">
        <f>IFERROR(SUMIFS('Base bordo CD'!M$2:M$875,'Base bordo CD'!D$2:D$875,A12,'Base bordo CD'!A$2:A$875,B12,'Base bordo CD'!L$2:L$875,"PATIO - RESERVA"),0)</f>
        <v>0</v>
      </c>
      <c r="M12" s="10">
        <f>IFERROR(SUMIFS('Base bordo CD'!M$2:M$875,'Base bordo CD'!D$2:D$875,A12,'Base bordo CD'!A$2:A$875,B12,'Base bordo CD'!L$2:L$875,"SEM APONTAMENTO"),0)</f>
        <v>0.17888888888888888</v>
      </c>
      <c r="N12" s="10">
        <f>IFERROR(SUMIFS('Base bordo CD'!M$2:M$875,'Base bordo CD'!D$2:D$875,A12,'Base bordo CD'!A$2:A$875,B12,'Base bordo CD'!L$2:L$875,"FALTA DE CAMINHÃO"),0)+IFERROR(SUMIFS('Base bordo CD'!M$2:M$875,'Base bordo CD'!D$2:D$875,A12,'Base bordo CD'!A$2:A$875,B12,'Base bordo CD'!L$2:L$875,"FALTA DE COMBUSTIVEL"),0)+IFERROR(SUMIFS('Base bordo CD'!M$2:M$875,'Base bordo CD'!D$2:D$875,A12,'Base bordo CD'!A$2:A$875,B12,'Base bordo CD'!L$2:L$875,"FALTA DE MOTORIST*"),0)</f>
        <v>0</v>
      </c>
      <c r="O12" s="10">
        <f t="shared" si="0"/>
        <v>0</v>
      </c>
      <c r="P12" s="10">
        <f>IFERROR(SUMIFS('Base bordo CD'!M$2:M$875,'Base bordo CD'!D$2:D$875,A12,'Base bordo CD'!A$2:A$875,B12),0)</f>
        <v>24.000000000000004</v>
      </c>
      <c r="Q12" s="10">
        <f>IFERROR(SUMIFS('Base bordo CD'!O$2:O$875,'Base bordo CD'!D$2:D$875,A12,'Base bordo CD'!A$2:A$875,B12,'Base bordo CD'!L$2:L$875,"CORTE DE CANA MECANIZADO"),0)</f>
        <v>58804.849999999991</v>
      </c>
      <c r="R12" s="10">
        <f>IFERROR(SUMIFS('Base bordo CD'!Q$2:Q$875,'Base bordo CD'!D$2:D$875,A12,'Base bordo CD'!A$2:A$875,B12,'Base bordo CD'!L$2:L$875,"CORTE DE CANA MECANIZADO"),0)</f>
        <v>14271</v>
      </c>
      <c r="S12" s="30">
        <f t="shared" si="1"/>
        <v>4.1205837012122482</v>
      </c>
      <c r="T12" s="9">
        <f t="shared" si="2"/>
        <v>0.16525462962962961</v>
      </c>
      <c r="U12" s="9">
        <f t="shared" si="3"/>
        <v>7.9502314814814803E-2</v>
      </c>
      <c r="V12" s="9">
        <f t="shared" si="4"/>
        <v>0.82361111111111107</v>
      </c>
    </row>
    <row r="13" spans="1:22" x14ac:dyDescent="0.35">
      <c r="A13" s="52">
        <v>49587</v>
      </c>
      <c r="B13" s="31">
        <v>46123</v>
      </c>
      <c r="C13" s="7" t="s">
        <v>337</v>
      </c>
      <c r="D13" s="7">
        <v>353</v>
      </c>
      <c r="E13" s="10">
        <f>IFERROR(SUMIFS('Base bordo CD'!M$2:M$875,'Base bordo CD'!D$2:D$875,A13,'Base bordo CD'!A$2:A$875,B13,'Base bordo CD'!L$2:L$875,"CORTE DE CANA MECANIZADO"),0)</f>
        <v>3.9661111111111111</v>
      </c>
      <c r="F13" s="10">
        <f>IFERROR(SUMIFS('Base bordo CD'!M$2:M$875,'Base bordo CD'!D$2:D$875,A13,'Base bordo CD'!A$2:A$875,B13,'Base bordo CD'!L$2:L$875,"MANOBRA"),0)</f>
        <v>1.9080555555555556</v>
      </c>
      <c r="G13" s="10">
        <f>IFERROR(SUMIFS('Base bordo CD'!M$2:M$875,'Base bordo CD'!D$2:D$875,A13,'Base bordo CD'!A$2:A$875,B13,'Base bordo CD'!L$2:L$875,"DESLOCAMENTO"),0)</f>
        <v>0.26722222222222225</v>
      </c>
      <c r="H13" s="10">
        <f>IFERROR(SUMIFS('Base bordo CD'!M$2:M$875,'Base bordo CD'!D$2:D$875,A13,'Base bordo CD'!A$2:A$875,B13,'Base bordo CD'!L$2:L$875,"AGUARDANDO MANOBRA DE TRANSBORDO"),0)+IFERROR(SUMIFS('Base bordo CD'!M$2:M$875,'Base bordo CD'!D$2:D$875,A13,'Base bordo CD'!A$2:A$875,B13,'Base bordo CD'!L$2:L$875,"FALTA DE TRANSBORDO"),0)</f>
        <v>0</v>
      </c>
      <c r="I13" s="10">
        <f>IFERROR(SUMIFS('Base bordo CD'!M$2:M$875,'Base bordo CD'!D$2:D$875,A13,'Base bordo CD'!A$2:A$875,B13,'Base bordo CD'!L$2:L$875,"PARADA POR CONDICOES CLIMATICAS"),0)+IFERROR(SUMIFS('Base bordo CD'!M$2:M$875,'Base bordo CD'!D$2:D$875,A13,'Base bordo CD'!A$2:A$875,B13,'Base bordo CD'!L$2:L$875,"TEMPO INDETERMINADO"),0)</f>
        <v>17.679722222222225</v>
      </c>
      <c r="J13" s="10">
        <f>IFERROR(SUMIFS('Base bordo CD'!M$2:M$875,'Base bordo CD'!D$2:D$875,A13,'Base bordo CD'!A$2:A$875,B13,'Base bordo CD'!L$2:L$875,"LIMITAÇÃO INDÚSTRIA"),0)</f>
        <v>0</v>
      </c>
      <c r="K13" s="10">
        <f>IFERROR(SUMIFS('Base bordo CD'!M$2:M$875,'Base bordo CD'!D$2:D$875,A13,'Base bordo CD'!A$2:A$875,B13,'Base bordo CD'!L$2:L$875,"MAN CORRETIVA*"),0)+IFERROR(SUMIFS('Base bordo CD'!M$2:M$875,'Base bordo CD'!D$2:D$875,A13,'Base bordo CD'!A$2:A$875,B13,'Base bordo CD'!L$2:L$875,"AGUARDANDO MANUTENCAO*"),0)+IFERROR(SUMIFS('Base bordo CD'!M$2:M$875,'Base bordo CD'!D$2:D$875,A13,'Base bordo CD'!A$2:A$875,B13,'Base bordo CD'!L$2:L$875,"TROCA DE FAQUINHA"),0)+IFERROR(SUMIFS('Base bordo CD'!M$2:M$875,'Base bordo CD'!D$2:D$875,A13,'Base bordo CD'!A$2:A$875,B13,'Base bordo CD'!L$2:L$875,"LIMPEZA*"),0)</f>
        <v>0</v>
      </c>
      <c r="L13" s="10">
        <f>IFERROR(SUMIFS('Base bordo CD'!M$2:M$875,'Base bordo CD'!D$2:D$875,A13,'Base bordo CD'!A$2:A$875,B13,'Base bordo CD'!L$2:L$875,"PATIO - RESERVA"),0)</f>
        <v>0</v>
      </c>
      <c r="M13" s="10">
        <f>IFERROR(SUMIFS('Base bordo CD'!M$2:M$875,'Base bordo CD'!D$2:D$875,A13,'Base bordo CD'!A$2:A$875,B13,'Base bordo CD'!L$2:L$875,"SEM APONTAMENTO"),0)</f>
        <v>0.17888888888888888</v>
      </c>
      <c r="N13" s="10">
        <f>IFERROR(SUMIFS('Base bordo CD'!M$2:M$875,'Base bordo CD'!D$2:D$875,A13,'Base bordo CD'!A$2:A$875,B13,'Base bordo CD'!L$2:L$875,"FALTA DE CAMINHÃO"),0)+IFERROR(SUMIFS('Base bordo CD'!M$2:M$875,'Base bordo CD'!D$2:D$875,A13,'Base bordo CD'!A$2:A$875,B13,'Base bordo CD'!L$2:L$875,"FALTA DE COMBUSTIVEL"),0)+IFERROR(SUMIFS('Base bordo CD'!M$2:M$875,'Base bordo CD'!D$2:D$875,A13,'Base bordo CD'!A$2:A$875,B13,'Base bordo CD'!L$2:L$875,"FALTA DE MOTORIST*"),0)</f>
        <v>0</v>
      </c>
      <c r="O13" s="10">
        <f t="shared" si="0"/>
        <v>0</v>
      </c>
      <c r="P13" s="10">
        <f>IFERROR(SUMIFS('Base bordo CD'!M$2:M$875,'Base bordo CD'!D$2:D$875,A13,'Base bordo CD'!A$2:A$875,B13),0)</f>
        <v>24.000000000000004</v>
      </c>
      <c r="Q13" s="10">
        <f>IFERROR(SUMIFS('Base bordo CD'!O$2:O$875,'Base bordo CD'!D$2:D$875,A13,'Base bordo CD'!A$2:A$875,B13,'Base bordo CD'!L$2:L$875,"CORTE DE CANA MECANIZADO"),0)</f>
        <v>58804.849999999991</v>
      </c>
      <c r="R13" s="10">
        <f>IFERROR(SUMIFS('Base bordo CD'!Q$2:Q$875,'Base bordo CD'!D$2:D$875,A13,'Base bordo CD'!A$2:A$875,B13,'Base bordo CD'!L$2:L$875,"CORTE DE CANA MECANIZADO"),0)</f>
        <v>14271</v>
      </c>
      <c r="S13" s="30">
        <f t="shared" si="1"/>
        <v>4.1205837012122482</v>
      </c>
      <c r="T13" s="9">
        <f t="shared" si="2"/>
        <v>0.16525462962962961</v>
      </c>
      <c r="U13" s="9">
        <f t="shared" si="3"/>
        <v>7.9502314814814803E-2</v>
      </c>
      <c r="V13" s="9">
        <f t="shared" si="4"/>
        <v>0.82361111111111107</v>
      </c>
    </row>
    <row r="14" spans="1:22" x14ac:dyDescent="0.35">
      <c r="A14" s="52">
        <v>49587</v>
      </c>
      <c r="B14" s="31">
        <v>46123</v>
      </c>
      <c r="C14" s="7" t="s">
        <v>337</v>
      </c>
      <c r="D14" s="7">
        <v>353</v>
      </c>
      <c r="E14" s="10">
        <f>IFERROR(SUMIFS('Base bordo CD'!M$2:M$875,'Base bordo CD'!D$2:D$875,A14,'Base bordo CD'!A$2:A$875,B14,'Base bordo CD'!L$2:L$875,"CORTE DE CANA MECANIZADO"),0)</f>
        <v>3.9661111111111111</v>
      </c>
      <c r="F14" s="10">
        <f>IFERROR(SUMIFS('Base bordo CD'!M$2:M$875,'Base bordo CD'!D$2:D$875,A14,'Base bordo CD'!A$2:A$875,B14,'Base bordo CD'!L$2:L$875,"MANOBRA"),0)</f>
        <v>1.9080555555555556</v>
      </c>
      <c r="G14" s="10">
        <f>IFERROR(SUMIFS('Base bordo CD'!M$2:M$875,'Base bordo CD'!D$2:D$875,A14,'Base bordo CD'!A$2:A$875,B14,'Base bordo CD'!L$2:L$875,"DESLOCAMENTO"),0)</f>
        <v>0.26722222222222225</v>
      </c>
      <c r="H14" s="10">
        <f>IFERROR(SUMIFS('Base bordo CD'!M$2:M$875,'Base bordo CD'!D$2:D$875,A14,'Base bordo CD'!A$2:A$875,B14,'Base bordo CD'!L$2:L$875,"AGUARDANDO MANOBRA DE TRANSBORDO"),0)+IFERROR(SUMIFS('Base bordo CD'!M$2:M$875,'Base bordo CD'!D$2:D$875,A14,'Base bordo CD'!A$2:A$875,B14,'Base bordo CD'!L$2:L$875,"FALTA DE TRANSBORDO"),0)</f>
        <v>0</v>
      </c>
      <c r="I14" s="10">
        <f>IFERROR(SUMIFS('Base bordo CD'!M$2:M$875,'Base bordo CD'!D$2:D$875,A14,'Base bordo CD'!A$2:A$875,B14,'Base bordo CD'!L$2:L$875,"PARADA POR CONDICOES CLIMATICAS"),0)+IFERROR(SUMIFS('Base bordo CD'!M$2:M$875,'Base bordo CD'!D$2:D$875,A14,'Base bordo CD'!A$2:A$875,B14,'Base bordo CD'!L$2:L$875,"TEMPO INDETERMINADO"),0)</f>
        <v>17.679722222222225</v>
      </c>
      <c r="J14" s="10">
        <f>IFERROR(SUMIFS('Base bordo CD'!M$2:M$875,'Base bordo CD'!D$2:D$875,A14,'Base bordo CD'!A$2:A$875,B14,'Base bordo CD'!L$2:L$875,"LIMITAÇÃO INDÚSTRIA"),0)</f>
        <v>0</v>
      </c>
      <c r="K14" s="10">
        <f>IFERROR(SUMIFS('Base bordo CD'!M$2:M$875,'Base bordo CD'!D$2:D$875,A14,'Base bordo CD'!A$2:A$875,B14,'Base bordo CD'!L$2:L$875,"MAN CORRETIVA*"),0)+IFERROR(SUMIFS('Base bordo CD'!M$2:M$875,'Base bordo CD'!D$2:D$875,A14,'Base bordo CD'!A$2:A$875,B14,'Base bordo CD'!L$2:L$875,"AGUARDANDO MANUTENCAO*"),0)+IFERROR(SUMIFS('Base bordo CD'!M$2:M$875,'Base bordo CD'!D$2:D$875,A14,'Base bordo CD'!A$2:A$875,B14,'Base bordo CD'!L$2:L$875,"TROCA DE FAQUINHA"),0)+IFERROR(SUMIFS('Base bordo CD'!M$2:M$875,'Base bordo CD'!D$2:D$875,A14,'Base bordo CD'!A$2:A$875,B14,'Base bordo CD'!L$2:L$875,"LIMPEZA*"),0)</f>
        <v>0</v>
      </c>
      <c r="L14" s="10">
        <f>IFERROR(SUMIFS('Base bordo CD'!M$2:M$875,'Base bordo CD'!D$2:D$875,A14,'Base bordo CD'!A$2:A$875,B14,'Base bordo CD'!L$2:L$875,"PATIO - RESERVA"),0)</f>
        <v>0</v>
      </c>
      <c r="M14" s="10">
        <f>IFERROR(SUMIFS('Base bordo CD'!M$2:M$875,'Base bordo CD'!D$2:D$875,A14,'Base bordo CD'!A$2:A$875,B14,'Base bordo CD'!L$2:L$875,"SEM APONTAMENTO"),0)</f>
        <v>0.17888888888888888</v>
      </c>
      <c r="N14" s="10">
        <f>IFERROR(SUMIFS('Base bordo CD'!M$2:M$875,'Base bordo CD'!D$2:D$875,A14,'Base bordo CD'!A$2:A$875,B14,'Base bordo CD'!L$2:L$875,"FALTA DE CAMINHÃO"),0)+IFERROR(SUMIFS('Base bordo CD'!M$2:M$875,'Base bordo CD'!D$2:D$875,A14,'Base bordo CD'!A$2:A$875,B14,'Base bordo CD'!L$2:L$875,"FALTA DE COMBUSTIVEL"),0)+IFERROR(SUMIFS('Base bordo CD'!M$2:M$875,'Base bordo CD'!D$2:D$875,A14,'Base bordo CD'!A$2:A$875,B14,'Base bordo CD'!L$2:L$875,"FALTA DE MOTORIST*"),0)</f>
        <v>0</v>
      </c>
      <c r="O14" s="10">
        <f t="shared" si="0"/>
        <v>0</v>
      </c>
      <c r="P14" s="10">
        <f>IFERROR(SUMIFS('Base bordo CD'!M$2:M$875,'Base bordo CD'!D$2:D$875,A14,'Base bordo CD'!A$2:A$875,B14),0)</f>
        <v>24.000000000000004</v>
      </c>
      <c r="Q14" s="10">
        <f>IFERROR(SUMIFS('Base bordo CD'!O$2:O$875,'Base bordo CD'!D$2:D$875,A14,'Base bordo CD'!A$2:A$875,B14,'Base bordo CD'!L$2:L$875,"CORTE DE CANA MECANIZADO"),0)</f>
        <v>58804.849999999991</v>
      </c>
      <c r="R14" s="10">
        <f>IFERROR(SUMIFS('Base bordo CD'!Q$2:Q$875,'Base bordo CD'!D$2:D$875,A14,'Base bordo CD'!A$2:A$875,B14,'Base bordo CD'!L$2:L$875,"CORTE DE CANA MECANIZADO"),0)</f>
        <v>14271</v>
      </c>
      <c r="S14" s="30">
        <f t="shared" si="1"/>
        <v>4.1205837012122482</v>
      </c>
      <c r="T14" s="9">
        <f t="shared" si="2"/>
        <v>0.16525462962962961</v>
      </c>
      <c r="U14" s="9">
        <f t="shared" si="3"/>
        <v>7.9502314814814803E-2</v>
      </c>
      <c r="V14" s="9">
        <f t="shared" si="4"/>
        <v>0.82361111111111107</v>
      </c>
    </row>
    <row r="15" spans="1:22" x14ac:dyDescent="0.35">
      <c r="A15" s="52">
        <v>49587</v>
      </c>
      <c r="B15" s="31">
        <v>46123</v>
      </c>
      <c r="C15" s="7" t="s">
        <v>337</v>
      </c>
      <c r="D15" s="7">
        <v>353</v>
      </c>
      <c r="E15" s="10">
        <f>IFERROR(SUMIFS('Base bordo CD'!M$2:M$875,'Base bordo CD'!D$2:D$875,A15,'Base bordo CD'!A$2:A$875,B15,'Base bordo CD'!L$2:L$875,"CORTE DE CANA MECANIZADO"),0)</f>
        <v>3.9661111111111111</v>
      </c>
      <c r="F15" s="10">
        <f>IFERROR(SUMIFS('Base bordo CD'!M$2:M$875,'Base bordo CD'!D$2:D$875,A15,'Base bordo CD'!A$2:A$875,B15,'Base bordo CD'!L$2:L$875,"MANOBRA"),0)</f>
        <v>1.9080555555555556</v>
      </c>
      <c r="G15" s="10">
        <f>IFERROR(SUMIFS('Base bordo CD'!M$2:M$875,'Base bordo CD'!D$2:D$875,A15,'Base bordo CD'!A$2:A$875,B15,'Base bordo CD'!L$2:L$875,"DESLOCAMENTO"),0)</f>
        <v>0.26722222222222225</v>
      </c>
      <c r="H15" s="10">
        <f>IFERROR(SUMIFS('Base bordo CD'!M$2:M$875,'Base bordo CD'!D$2:D$875,A15,'Base bordo CD'!A$2:A$875,B15,'Base bordo CD'!L$2:L$875,"AGUARDANDO MANOBRA DE TRANSBORDO"),0)+IFERROR(SUMIFS('Base bordo CD'!M$2:M$875,'Base bordo CD'!D$2:D$875,A15,'Base bordo CD'!A$2:A$875,B15,'Base bordo CD'!L$2:L$875,"FALTA DE TRANSBORDO"),0)</f>
        <v>0</v>
      </c>
      <c r="I15" s="10">
        <f>IFERROR(SUMIFS('Base bordo CD'!M$2:M$875,'Base bordo CD'!D$2:D$875,A15,'Base bordo CD'!A$2:A$875,B15,'Base bordo CD'!L$2:L$875,"PARADA POR CONDICOES CLIMATICAS"),0)+IFERROR(SUMIFS('Base bordo CD'!M$2:M$875,'Base bordo CD'!D$2:D$875,A15,'Base bordo CD'!A$2:A$875,B15,'Base bordo CD'!L$2:L$875,"TEMPO INDETERMINADO"),0)</f>
        <v>17.679722222222225</v>
      </c>
      <c r="J15" s="10">
        <f>IFERROR(SUMIFS('Base bordo CD'!M$2:M$875,'Base bordo CD'!D$2:D$875,A15,'Base bordo CD'!A$2:A$875,B15,'Base bordo CD'!L$2:L$875,"LIMITAÇÃO INDÚSTRIA"),0)</f>
        <v>0</v>
      </c>
      <c r="K15" s="10">
        <f>IFERROR(SUMIFS('Base bordo CD'!M$2:M$875,'Base bordo CD'!D$2:D$875,A15,'Base bordo CD'!A$2:A$875,B15,'Base bordo CD'!L$2:L$875,"MAN CORRETIVA*"),0)+IFERROR(SUMIFS('Base bordo CD'!M$2:M$875,'Base bordo CD'!D$2:D$875,A15,'Base bordo CD'!A$2:A$875,B15,'Base bordo CD'!L$2:L$875,"AGUARDANDO MANUTENCAO*"),0)+IFERROR(SUMIFS('Base bordo CD'!M$2:M$875,'Base bordo CD'!D$2:D$875,A15,'Base bordo CD'!A$2:A$875,B15,'Base bordo CD'!L$2:L$875,"TROCA DE FAQUINHA"),0)+IFERROR(SUMIFS('Base bordo CD'!M$2:M$875,'Base bordo CD'!D$2:D$875,A15,'Base bordo CD'!A$2:A$875,B15,'Base bordo CD'!L$2:L$875,"LIMPEZA*"),0)</f>
        <v>0</v>
      </c>
      <c r="L15" s="10">
        <f>IFERROR(SUMIFS('Base bordo CD'!M$2:M$875,'Base bordo CD'!D$2:D$875,A15,'Base bordo CD'!A$2:A$875,B15,'Base bordo CD'!L$2:L$875,"PATIO - RESERVA"),0)</f>
        <v>0</v>
      </c>
      <c r="M15" s="10">
        <f>IFERROR(SUMIFS('Base bordo CD'!M$2:M$875,'Base bordo CD'!D$2:D$875,A15,'Base bordo CD'!A$2:A$875,B15,'Base bordo CD'!L$2:L$875,"SEM APONTAMENTO"),0)</f>
        <v>0.17888888888888888</v>
      </c>
      <c r="N15" s="10">
        <f>IFERROR(SUMIFS('Base bordo CD'!M$2:M$875,'Base bordo CD'!D$2:D$875,A15,'Base bordo CD'!A$2:A$875,B15,'Base bordo CD'!L$2:L$875,"FALTA DE CAMINHÃO"),0)+IFERROR(SUMIFS('Base bordo CD'!M$2:M$875,'Base bordo CD'!D$2:D$875,A15,'Base bordo CD'!A$2:A$875,B15,'Base bordo CD'!L$2:L$875,"FALTA DE COMBUSTIVEL"),0)+IFERROR(SUMIFS('Base bordo CD'!M$2:M$875,'Base bordo CD'!D$2:D$875,A15,'Base bordo CD'!A$2:A$875,B15,'Base bordo CD'!L$2:L$875,"FALTA DE MOTORIST*"),0)</f>
        <v>0</v>
      </c>
      <c r="O15" s="10">
        <f t="shared" si="0"/>
        <v>0</v>
      </c>
      <c r="P15" s="10">
        <f>IFERROR(SUMIFS('Base bordo CD'!M$2:M$875,'Base bordo CD'!D$2:D$875,A15,'Base bordo CD'!A$2:A$875,B15),0)</f>
        <v>24.000000000000004</v>
      </c>
      <c r="Q15" s="10">
        <f>IFERROR(SUMIFS('Base bordo CD'!O$2:O$875,'Base bordo CD'!D$2:D$875,A15,'Base bordo CD'!A$2:A$875,B15,'Base bordo CD'!L$2:L$875,"CORTE DE CANA MECANIZADO"),0)</f>
        <v>58804.849999999991</v>
      </c>
      <c r="R15" s="10">
        <f>IFERROR(SUMIFS('Base bordo CD'!Q$2:Q$875,'Base bordo CD'!D$2:D$875,A15,'Base bordo CD'!A$2:A$875,B15,'Base bordo CD'!L$2:L$875,"CORTE DE CANA MECANIZADO"),0)</f>
        <v>14271</v>
      </c>
      <c r="S15" s="30">
        <f t="shared" si="1"/>
        <v>4.1205837012122482</v>
      </c>
      <c r="T15" s="9">
        <f t="shared" si="2"/>
        <v>0.16525462962962961</v>
      </c>
      <c r="U15" s="9">
        <f t="shared" si="3"/>
        <v>7.9502314814814803E-2</v>
      </c>
      <c r="V15" s="9">
        <f t="shared" si="4"/>
        <v>0.82361111111111107</v>
      </c>
    </row>
    <row r="16" spans="1:22" x14ac:dyDescent="0.35">
      <c r="A16" s="52">
        <v>49587</v>
      </c>
      <c r="B16" s="31">
        <v>46123</v>
      </c>
      <c r="C16" s="7" t="s">
        <v>337</v>
      </c>
      <c r="D16" s="7">
        <v>353</v>
      </c>
      <c r="E16" s="10">
        <f>IFERROR(SUMIFS('Base bordo CD'!M$2:M$875,'Base bordo CD'!D$2:D$875,A16,'Base bordo CD'!A$2:A$875,B16,'Base bordo CD'!L$2:L$875,"CORTE DE CANA MECANIZADO"),0)</f>
        <v>3.9661111111111111</v>
      </c>
      <c r="F16" s="10">
        <f>IFERROR(SUMIFS('Base bordo CD'!M$2:M$875,'Base bordo CD'!D$2:D$875,A16,'Base bordo CD'!A$2:A$875,B16,'Base bordo CD'!L$2:L$875,"MANOBRA"),0)</f>
        <v>1.9080555555555556</v>
      </c>
      <c r="G16" s="10">
        <f>IFERROR(SUMIFS('Base bordo CD'!M$2:M$875,'Base bordo CD'!D$2:D$875,A16,'Base bordo CD'!A$2:A$875,B16,'Base bordo CD'!L$2:L$875,"DESLOCAMENTO"),0)</f>
        <v>0.26722222222222225</v>
      </c>
      <c r="H16" s="10">
        <f>IFERROR(SUMIFS('Base bordo CD'!M$2:M$875,'Base bordo CD'!D$2:D$875,A16,'Base bordo CD'!A$2:A$875,B16,'Base bordo CD'!L$2:L$875,"AGUARDANDO MANOBRA DE TRANSBORDO"),0)+IFERROR(SUMIFS('Base bordo CD'!M$2:M$875,'Base bordo CD'!D$2:D$875,A16,'Base bordo CD'!A$2:A$875,B16,'Base bordo CD'!L$2:L$875,"FALTA DE TRANSBORDO"),0)</f>
        <v>0</v>
      </c>
      <c r="I16" s="10">
        <f>IFERROR(SUMIFS('Base bordo CD'!M$2:M$875,'Base bordo CD'!D$2:D$875,A16,'Base bordo CD'!A$2:A$875,B16,'Base bordo CD'!L$2:L$875,"PARADA POR CONDICOES CLIMATICAS"),0)+IFERROR(SUMIFS('Base bordo CD'!M$2:M$875,'Base bordo CD'!D$2:D$875,A16,'Base bordo CD'!A$2:A$875,B16,'Base bordo CD'!L$2:L$875,"TEMPO INDETERMINADO"),0)</f>
        <v>17.679722222222225</v>
      </c>
      <c r="J16" s="10">
        <f>IFERROR(SUMIFS('Base bordo CD'!M$2:M$875,'Base bordo CD'!D$2:D$875,A16,'Base bordo CD'!A$2:A$875,B16,'Base bordo CD'!L$2:L$875,"LIMITAÇÃO INDÚSTRIA"),0)</f>
        <v>0</v>
      </c>
      <c r="K16" s="10">
        <f>IFERROR(SUMIFS('Base bordo CD'!M$2:M$875,'Base bordo CD'!D$2:D$875,A16,'Base bordo CD'!A$2:A$875,B16,'Base bordo CD'!L$2:L$875,"MAN CORRETIVA*"),0)+IFERROR(SUMIFS('Base bordo CD'!M$2:M$875,'Base bordo CD'!D$2:D$875,A16,'Base bordo CD'!A$2:A$875,B16,'Base bordo CD'!L$2:L$875,"AGUARDANDO MANUTENCAO*"),0)+IFERROR(SUMIFS('Base bordo CD'!M$2:M$875,'Base bordo CD'!D$2:D$875,A16,'Base bordo CD'!A$2:A$875,B16,'Base bordo CD'!L$2:L$875,"TROCA DE FAQUINHA"),0)+IFERROR(SUMIFS('Base bordo CD'!M$2:M$875,'Base bordo CD'!D$2:D$875,A16,'Base bordo CD'!A$2:A$875,B16,'Base bordo CD'!L$2:L$875,"LIMPEZA*"),0)</f>
        <v>0</v>
      </c>
      <c r="L16" s="10">
        <f>IFERROR(SUMIFS('Base bordo CD'!M$2:M$875,'Base bordo CD'!D$2:D$875,A16,'Base bordo CD'!A$2:A$875,B16,'Base bordo CD'!L$2:L$875,"PATIO - RESERVA"),0)</f>
        <v>0</v>
      </c>
      <c r="M16" s="10">
        <f>IFERROR(SUMIFS('Base bordo CD'!M$2:M$875,'Base bordo CD'!D$2:D$875,A16,'Base bordo CD'!A$2:A$875,B16,'Base bordo CD'!L$2:L$875,"SEM APONTAMENTO"),0)</f>
        <v>0.17888888888888888</v>
      </c>
      <c r="N16" s="10">
        <f>IFERROR(SUMIFS('Base bordo CD'!M$2:M$875,'Base bordo CD'!D$2:D$875,A16,'Base bordo CD'!A$2:A$875,B16,'Base bordo CD'!L$2:L$875,"FALTA DE CAMINHÃO"),0)+IFERROR(SUMIFS('Base bordo CD'!M$2:M$875,'Base bordo CD'!D$2:D$875,A16,'Base bordo CD'!A$2:A$875,B16,'Base bordo CD'!L$2:L$875,"FALTA DE COMBUSTIVEL"),0)+IFERROR(SUMIFS('Base bordo CD'!M$2:M$875,'Base bordo CD'!D$2:D$875,A16,'Base bordo CD'!A$2:A$875,B16,'Base bordo CD'!L$2:L$875,"FALTA DE MOTORIST*"),0)</f>
        <v>0</v>
      </c>
      <c r="O16" s="10">
        <f t="shared" si="0"/>
        <v>0</v>
      </c>
      <c r="P16" s="10">
        <f>IFERROR(SUMIFS('Base bordo CD'!M$2:M$875,'Base bordo CD'!D$2:D$875,A16,'Base bordo CD'!A$2:A$875,B16),0)</f>
        <v>24.000000000000004</v>
      </c>
      <c r="Q16" s="10">
        <f>IFERROR(SUMIFS('Base bordo CD'!O$2:O$875,'Base bordo CD'!D$2:D$875,A16,'Base bordo CD'!A$2:A$875,B16,'Base bordo CD'!L$2:L$875,"CORTE DE CANA MECANIZADO"),0)</f>
        <v>58804.849999999991</v>
      </c>
      <c r="R16" s="10">
        <f>IFERROR(SUMIFS('Base bordo CD'!Q$2:Q$875,'Base bordo CD'!D$2:D$875,A16,'Base bordo CD'!A$2:A$875,B16,'Base bordo CD'!L$2:L$875,"CORTE DE CANA MECANIZADO"),0)</f>
        <v>14271</v>
      </c>
      <c r="S16" s="30">
        <f t="shared" si="1"/>
        <v>4.1205837012122482</v>
      </c>
      <c r="T16" s="9">
        <f t="shared" si="2"/>
        <v>0.16525462962962961</v>
      </c>
      <c r="U16" s="9">
        <f t="shared" si="3"/>
        <v>7.9502314814814803E-2</v>
      </c>
      <c r="V16" s="9">
        <f t="shared" si="4"/>
        <v>0.82361111111111107</v>
      </c>
    </row>
    <row r="17" spans="1:22" x14ac:dyDescent="0.35">
      <c r="A17" s="52">
        <v>49587</v>
      </c>
      <c r="B17" s="31">
        <v>46123</v>
      </c>
      <c r="C17" s="7" t="s">
        <v>337</v>
      </c>
      <c r="D17" s="7">
        <v>353</v>
      </c>
      <c r="E17" s="10">
        <f>IFERROR(SUMIFS('Base bordo CD'!M$2:M$875,'Base bordo CD'!D$2:D$875,A17,'Base bordo CD'!A$2:A$875,B17,'Base bordo CD'!L$2:L$875,"CORTE DE CANA MECANIZADO"),0)</f>
        <v>3.9661111111111111</v>
      </c>
      <c r="F17" s="10">
        <f>IFERROR(SUMIFS('Base bordo CD'!M$2:M$875,'Base bordo CD'!D$2:D$875,A17,'Base bordo CD'!A$2:A$875,B17,'Base bordo CD'!L$2:L$875,"MANOBRA"),0)</f>
        <v>1.9080555555555556</v>
      </c>
      <c r="G17" s="10">
        <f>IFERROR(SUMIFS('Base bordo CD'!M$2:M$875,'Base bordo CD'!D$2:D$875,A17,'Base bordo CD'!A$2:A$875,B17,'Base bordo CD'!L$2:L$875,"DESLOCAMENTO"),0)</f>
        <v>0.26722222222222225</v>
      </c>
      <c r="H17" s="10">
        <f>IFERROR(SUMIFS('Base bordo CD'!M$2:M$875,'Base bordo CD'!D$2:D$875,A17,'Base bordo CD'!A$2:A$875,B17,'Base bordo CD'!L$2:L$875,"AGUARDANDO MANOBRA DE TRANSBORDO"),0)+IFERROR(SUMIFS('Base bordo CD'!M$2:M$875,'Base bordo CD'!D$2:D$875,A17,'Base bordo CD'!A$2:A$875,B17,'Base bordo CD'!L$2:L$875,"FALTA DE TRANSBORDO"),0)</f>
        <v>0</v>
      </c>
      <c r="I17" s="10">
        <f>IFERROR(SUMIFS('Base bordo CD'!M$2:M$875,'Base bordo CD'!D$2:D$875,A17,'Base bordo CD'!A$2:A$875,B17,'Base bordo CD'!L$2:L$875,"PARADA POR CONDICOES CLIMATICAS"),0)+IFERROR(SUMIFS('Base bordo CD'!M$2:M$875,'Base bordo CD'!D$2:D$875,A17,'Base bordo CD'!A$2:A$875,B17,'Base bordo CD'!L$2:L$875,"TEMPO INDETERMINADO"),0)</f>
        <v>17.679722222222225</v>
      </c>
      <c r="J17" s="10">
        <f>IFERROR(SUMIFS('Base bordo CD'!M$2:M$875,'Base bordo CD'!D$2:D$875,A17,'Base bordo CD'!A$2:A$875,B17,'Base bordo CD'!L$2:L$875,"LIMITAÇÃO INDÚSTRIA"),0)</f>
        <v>0</v>
      </c>
      <c r="K17" s="10">
        <f>IFERROR(SUMIFS('Base bordo CD'!M$2:M$875,'Base bordo CD'!D$2:D$875,A17,'Base bordo CD'!A$2:A$875,B17,'Base bordo CD'!L$2:L$875,"MAN CORRETIVA*"),0)+IFERROR(SUMIFS('Base bordo CD'!M$2:M$875,'Base bordo CD'!D$2:D$875,A17,'Base bordo CD'!A$2:A$875,B17,'Base bordo CD'!L$2:L$875,"AGUARDANDO MANUTENCAO*"),0)+IFERROR(SUMIFS('Base bordo CD'!M$2:M$875,'Base bordo CD'!D$2:D$875,A17,'Base bordo CD'!A$2:A$875,B17,'Base bordo CD'!L$2:L$875,"TROCA DE FAQUINHA"),0)+IFERROR(SUMIFS('Base bordo CD'!M$2:M$875,'Base bordo CD'!D$2:D$875,A17,'Base bordo CD'!A$2:A$875,B17,'Base bordo CD'!L$2:L$875,"LIMPEZA*"),0)</f>
        <v>0</v>
      </c>
      <c r="L17" s="10">
        <f>IFERROR(SUMIFS('Base bordo CD'!M$2:M$875,'Base bordo CD'!D$2:D$875,A17,'Base bordo CD'!A$2:A$875,B17,'Base bordo CD'!L$2:L$875,"PATIO - RESERVA"),0)</f>
        <v>0</v>
      </c>
      <c r="M17" s="10">
        <f>IFERROR(SUMIFS('Base bordo CD'!M$2:M$875,'Base bordo CD'!D$2:D$875,A17,'Base bordo CD'!A$2:A$875,B17,'Base bordo CD'!L$2:L$875,"SEM APONTAMENTO"),0)</f>
        <v>0.17888888888888888</v>
      </c>
      <c r="N17" s="10">
        <f>IFERROR(SUMIFS('Base bordo CD'!M$2:M$875,'Base bordo CD'!D$2:D$875,A17,'Base bordo CD'!A$2:A$875,B17,'Base bordo CD'!L$2:L$875,"FALTA DE CAMINHÃO"),0)+IFERROR(SUMIFS('Base bordo CD'!M$2:M$875,'Base bordo CD'!D$2:D$875,A17,'Base bordo CD'!A$2:A$875,B17,'Base bordo CD'!L$2:L$875,"FALTA DE COMBUSTIVEL"),0)+IFERROR(SUMIFS('Base bordo CD'!M$2:M$875,'Base bordo CD'!D$2:D$875,A17,'Base bordo CD'!A$2:A$875,B17,'Base bordo CD'!L$2:L$875,"FALTA DE MOTORIST*"),0)</f>
        <v>0</v>
      </c>
      <c r="O17" s="10">
        <f t="shared" si="0"/>
        <v>0</v>
      </c>
      <c r="P17" s="10">
        <f>IFERROR(SUMIFS('Base bordo CD'!M$2:M$875,'Base bordo CD'!D$2:D$875,A17,'Base bordo CD'!A$2:A$875,B17),0)</f>
        <v>24.000000000000004</v>
      </c>
      <c r="Q17" s="10">
        <f>IFERROR(SUMIFS('Base bordo CD'!O$2:O$875,'Base bordo CD'!D$2:D$875,A17,'Base bordo CD'!A$2:A$875,B17,'Base bordo CD'!L$2:L$875,"CORTE DE CANA MECANIZADO"),0)</f>
        <v>58804.849999999991</v>
      </c>
      <c r="R17" s="10">
        <f>IFERROR(SUMIFS('Base bordo CD'!Q$2:Q$875,'Base bordo CD'!D$2:D$875,A17,'Base bordo CD'!A$2:A$875,B17,'Base bordo CD'!L$2:L$875,"CORTE DE CANA MECANIZADO"),0)</f>
        <v>14271</v>
      </c>
      <c r="S17" s="30">
        <f t="shared" si="1"/>
        <v>4.1205837012122482</v>
      </c>
      <c r="T17" s="9">
        <f t="shared" si="2"/>
        <v>0.16525462962962961</v>
      </c>
      <c r="U17" s="9">
        <f t="shared" si="3"/>
        <v>7.9502314814814803E-2</v>
      </c>
      <c r="V17" s="9">
        <f t="shared" si="4"/>
        <v>0.82361111111111107</v>
      </c>
    </row>
    <row r="18" spans="1:22" x14ac:dyDescent="0.35">
      <c r="A18" s="52">
        <v>49587</v>
      </c>
      <c r="B18" s="31">
        <v>46123</v>
      </c>
      <c r="C18" s="7" t="s">
        <v>337</v>
      </c>
      <c r="D18" s="7">
        <v>353</v>
      </c>
      <c r="E18" s="10">
        <f>IFERROR(SUMIFS('Base bordo CD'!M$2:M$875,'Base bordo CD'!D$2:D$875,A18,'Base bordo CD'!A$2:A$875,B18,'Base bordo CD'!L$2:L$875,"CORTE DE CANA MECANIZADO"),0)</f>
        <v>3.9661111111111111</v>
      </c>
      <c r="F18" s="10">
        <f>IFERROR(SUMIFS('Base bordo CD'!M$2:M$875,'Base bordo CD'!D$2:D$875,A18,'Base bordo CD'!A$2:A$875,B18,'Base bordo CD'!L$2:L$875,"MANOBRA"),0)</f>
        <v>1.9080555555555556</v>
      </c>
      <c r="G18" s="10">
        <f>IFERROR(SUMIFS('Base bordo CD'!M$2:M$875,'Base bordo CD'!D$2:D$875,A18,'Base bordo CD'!A$2:A$875,B18,'Base bordo CD'!L$2:L$875,"DESLOCAMENTO"),0)</f>
        <v>0.26722222222222225</v>
      </c>
      <c r="H18" s="10">
        <f>IFERROR(SUMIFS('Base bordo CD'!M$2:M$875,'Base bordo CD'!D$2:D$875,A18,'Base bordo CD'!A$2:A$875,B18,'Base bordo CD'!L$2:L$875,"AGUARDANDO MANOBRA DE TRANSBORDO"),0)+IFERROR(SUMIFS('Base bordo CD'!M$2:M$875,'Base bordo CD'!D$2:D$875,A18,'Base bordo CD'!A$2:A$875,B18,'Base bordo CD'!L$2:L$875,"FALTA DE TRANSBORDO"),0)</f>
        <v>0</v>
      </c>
      <c r="I18" s="10">
        <f>IFERROR(SUMIFS('Base bordo CD'!M$2:M$875,'Base bordo CD'!D$2:D$875,A18,'Base bordo CD'!A$2:A$875,B18,'Base bordo CD'!L$2:L$875,"PARADA POR CONDICOES CLIMATICAS"),0)+IFERROR(SUMIFS('Base bordo CD'!M$2:M$875,'Base bordo CD'!D$2:D$875,A18,'Base bordo CD'!A$2:A$875,B18,'Base bordo CD'!L$2:L$875,"TEMPO INDETERMINADO"),0)</f>
        <v>17.679722222222225</v>
      </c>
      <c r="J18" s="10">
        <f>IFERROR(SUMIFS('Base bordo CD'!M$2:M$875,'Base bordo CD'!D$2:D$875,A18,'Base bordo CD'!A$2:A$875,B18,'Base bordo CD'!L$2:L$875,"LIMITAÇÃO INDÚSTRIA"),0)</f>
        <v>0</v>
      </c>
      <c r="K18" s="10">
        <f>IFERROR(SUMIFS('Base bordo CD'!M$2:M$875,'Base bordo CD'!D$2:D$875,A18,'Base bordo CD'!A$2:A$875,B18,'Base bordo CD'!L$2:L$875,"MAN CORRETIVA*"),0)+IFERROR(SUMIFS('Base bordo CD'!M$2:M$875,'Base bordo CD'!D$2:D$875,A18,'Base bordo CD'!A$2:A$875,B18,'Base bordo CD'!L$2:L$875,"AGUARDANDO MANUTENCAO*"),0)+IFERROR(SUMIFS('Base bordo CD'!M$2:M$875,'Base bordo CD'!D$2:D$875,A18,'Base bordo CD'!A$2:A$875,B18,'Base bordo CD'!L$2:L$875,"TROCA DE FAQUINHA"),0)+IFERROR(SUMIFS('Base bordo CD'!M$2:M$875,'Base bordo CD'!D$2:D$875,A18,'Base bordo CD'!A$2:A$875,B18,'Base bordo CD'!L$2:L$875,"LIMPEZA*"),0)</f>
        <v>0</v>
      </c>
      <c r="L18" s="10">
        <f>IFERROR(SUMIFS('Base bordo CD'!M$2:M$875,'Base bordo CD'!D$2:D$875,A18,'Base bordo CD'!A$2:A$875,B18,'Base bordo CD'!L$2:L$875,"PATIO - RESERVA"),0)</f>
        <v>0</v>
      </c>
      <c r="M18" s="10">
        <f>IFERROR(SUMIFS('Base bordo CD'!M$2:M$875,'Base bordo CD'!D$2:D$875,A18,'Base bordo CD'!A$2:A$875,B18,'Base bordo CD'!L$2:L$875,"SEM APONTAMENTO"),0)</f>
        <v>0.17888888888888888</v>
      </c>
      <c r="N18" s="10">
        <f>IFERROR(SUMIFS('Base bordo CD'!M$2:M$875,'Base bordo CD'!D$2:D$875,A18,'Base bordo CD'!A$2:A$875,B18,'Base bordo CD'!L$2:L$875,"FALTA DE CAMINHÃO"),0)+IFERROR(SUMIFS('Base bordo CD'!M$2:M$875,'Base bordo CD'!D$2:D$875,A18,'Base bordo CD'!A$2:A$875,B18,'Base bordo CD'!L$2:L$875,"FALTA DE COMBUSTIVEL"),0)+IFERROR(SUMIFS('Base bordo CD'!M$2:M$875,'Base bordo CD'!D$2:D$875,A18,'Base bordo CD'!A$2:A$875,B18,'Base bordo CD'!L$2:L$875,"FALTA DE MOTORIST*"),0)</f>
        <v>0</v>
      </c>
      <c r="O18" s="10">
        <f t="shared" si="0"/>
        <v>0</v>
      </c>
      <c r="P18" s="10">
        <f>IFERROR(SUMIFS('Base bordo CD'!M$2:M$875,'Base bordo CD'!D$2:D$875,A18,'Base bordo CD'!A$2:A$875,B18),0)</f>
        <v>24.000000000000004</v>
      </c>
      <c r="Q18" s="10">
        <f>IFERROR(SUMIFS('Base bordo CD'!O$2:O$875,'Base bordo CD'!D$2:D$875,A18,'Base bordo CD'!A$2:A$875,B18,'Base bordo CD'!L$2:L$875,"CORTE DE CANA MECANIZADO"),0)</f>
        <v>58804.849999999991</v>
      </c>
      <c r="R18" s="10">
        <f>IFERROR(SUMIFS('Base bordo CD'!Q$2:Q$875,'Base bordo CD'!D$2:D$875,A18,'Base bordo CD'!A$2:A$875,B18,'Base bordo CD'!L$2:L$875,"CORTE DE CANA MECANIZADO"),0)</f>
        <v>14271</v>
      </c>
      <c r="S18" s="30">
        <f t="shared" si="1"/>
        <v>4.1205837012122482</v>
      </c>
      <c r="T18" s="9">
        <f t="shared" si="2"/>
        <v>0.16525462962962961</v>
      </c>
      <c r="U18" s="9">
        <f t="shared" si="3"/>
        <v>7.9502314814814803E-2</v>
      </c>
      <c r="V18" s="9">
        <f t="shared" si="4"/>
        <v>0.82361111111111107</v>
      </c>
    </row>
    <row r="19" spans="1:22" x14ac:dyDescent="0.35">
      <c r="A19" s="52">
        <v>49587</v>
      </c>
      <c r="B19" s="31">
        <v>46123</v>
      </c>
      <c r="C19" s="7" t="s">
        <v>337</v>
      </c>
      <c r="D19" s="7">
        <v>353</v>
      </c>
      <c r="E19" s="10">
        <f>IFERROR(SUMIFS('Base bordo CD'!M$2:M$875,'Base bordo CD'!D$2:D$875,A19,'Base bordo CD'!A$2:A$875,B19,'Base bordo CD'!L$2:L$875,"CORTE DE CANA MECANIZADO"),0)</f>
        <v>3.9661111111111111</v>
      </c>
      <c r="F19" s="10">
        <f>IFERROR(SUMIFS('Base bordo CD'!M$2:M$875,'Base bordo CD'!D$2:D$875,A19,'Base bordo CD'!A$2:A$875,B19,'Base bordo CD'!L$2:L$875,"MANOBRA"),0)</f>
        <v>1.9080555555555556</v>
      </c>
      <c r="G19" s="10">
        <f>IFERROR(SUMIFS('Base bordo CD'!M$2:M$875,'Base bordo CD'!D$2:D$875,A19,'Base bordo CD'!A$2:A$875,B19,'Base bordo CD'!L$2:L$875,"DESLOCAMENTO"),0)</f>
        <v>0.26722222222222225</v>
      </c>
      <c r="H19" s="10">
        <f>IFERROR(SUMIFS('Base bordo CD'!M$2:M$875,'Base bordo CD'!D$2:D$875,A19,'Base bordo CD'!A$2:A$875,B19,'Base bordo CD'!L$2:L$875,"AGUARDANDO MANOBRA DE TRANSBORDO"),0)+IFERROR(SUMIFS('Base bordo CD'!M$2:M$875,'Base bordo CD'!D$2:D$875,A19,'Base bordo CD'!A$2:A$875,B19,'Base bordo CD'!L$2:L$875,"FALTA DE TRANSBORDO"),0)</f>
        <v>0</v>
      </c>
      <c r="I19" s="10">
        <f>IFERROR(SUMIFS('Base bordo CD'!M$2:M$875,'Base bordo CD'!D$2:D$875,A19,'Base bordo CD'!A$2:A$875,B19,'Base bordo CD'!L$2:L$875,"PARADA POR CONDICOES CLIMATICAS"),0)+IFERROR(SUMIFS('Base bordo CD'!M$2:M$875,'Base bordo CD'!D$2:D$875,A19,'Base bordo CD'!A$2:A$875,B19,'Base bordo CD'!L$2:L$875,"TEMPO INDETERMINADO"),0)</f>
        <v>17.679722222222225</v>
      </c>
      <c r="J19" s="10">
        <f>IFERROR(SUMIFS('Base bordo CD'!M$2:M$875,'Base bordo CD'!D$2:D$875,A19,'Base bordo CD'!A$2:A$875,B19,'Base bordo CD'!L$2:L$875,"LIMITAÇÃO INDÚSTRIA"),0)</f>
        <v>0</v>
      </c>
      <c r="K19" s="10">
        <f>IFERROR(SUMIFS('Base bordo CD'!M$2:M$875,'Base bordo CD'!D$2:D$875,A19,'Base bordo CD'!A$2:A$875,B19,'Base bordo CD'!L$2:L$875,"MAN CORRETIVA*"),0)+IFERROR(SUMIFS('Base bordo CD'!M$2:M$875,'Base bordo CD'!D$2:D$875,A19,'Base bordo CD'!A$2:A$875,B19,'Base bordo CD'!L$2:L$875,"AGUARDANDO MANUTENCAO*"),0)+IFERROR(SUMIFS('Base bordo CD'!M$2:M$875,'Base bordo CD'!D$2:D$875,A19,'Base bordo CD'!A$2:A$875,B19,'Base bordo CD'!L$2:L$875,"TROCA DE FAQUINHA"),0)+IFERROR(SUMIFS('Base bordo CD'!M$2:M$875,'Base bordo CD'!D$2:D$875,A19,'Base bordo CD'!A$2:A$875,B19,'Base bordo CD'!L$2:L$875,"LIMPEZA*"),0)</f>
        <v>0</v>
      </c>
      <c r="L19" s="10">
        <f>IFERROR(SUMIFS('Base bordo CD'!M$2:M$875,'Base bordo CD'!D$2:D$875,A19,'Base bordo CD'!A$2:A$875,B19,'Base bordo CD'!L$2:L$875,"PATIO - RESERVA"),0)</f>
        <v>0</v>
      </c>
      <c r="M19" s="10">
        <f>IFERROR(SUMIFS('Base bordo CD'!M$2:M$875,'Base bordo CD'!D$2:D$875,A19,'Base bordo CD'!A$2:A$875,B19,'Base bordo CD'!L$2:L$875,"SEM APONTAMENTO"),0)</f>
        <v>0.17888888888888888</v>
      </c>
      <c r="N19" s="10">
        <f>IFERROR(SUMIFS('Base bordo CD'!M$2:M$875,'Base bordo CD'!D$2:D$875,A19,'Base bordo CD'!A$2:A$875,B19,'Base bordo CD'!L$2:L$875,"FALTA DE CAMINHÃO"),0)+IFERROR(SUMIFS('Base bordo CD'!M$2:M$875,'Base bordo CD'!D$2:D$875,A19,'Base bordo CD'!A$2:A$875,B19,'Base bordo CD'!L$2:L$875,"FALTA DE COMBUSTIVEL"),0)+IFERROR(SUMIFS('Base bordo CD'!M$2:M$875,'Base bordo CD'!D$2:D$875,A19,'Base bordo CD'!A$2:A$875,B19,'Base bordo CD'!L$2:L$875,"FALTA DE MOTORIST*"),0)</f>
        <v>0</v>
      </c>
      <c r="O19" s="10">
        <f t="shared" si="0"/>
        <v>0</v>
      </c>
      <c r="P19" s="10">
        <f>IFERROR(SUMIFS('Base bordo CD'!M$2:M$875,'Base bordo CD'!D$2:D$875,A19,'Base bordo CD'!A$2:A$875,B19),0)</f>
        <v>24.000000000000004</v>
      </c>
      <c r="Q19" s="10">
        <f>IFERROR(SUMIFS('Base bordo CD'!O$2:O$875,'Base bordo CD'!D$2:D$875,A19,'Base bordo CD'!A$2:A$875,B19,'Base bordo CD'!L$2:L$875,"CORTE DE CANA MECANIZADO"),0)</f>
        <v>58804.849999999991</v>
      </c>
      <c r="R19" s="10">
        <f>IFERROR(SUMIFS('Base bordo CD'!Q$2:Q$875,'Base bordo CD'!D$2:D$875,A19,'Base bordo CD'!A$2:A$875,B19,'Base bordo CD'!L$2:L$875,"CORTE DE CANA MECANIZADO"),0)</f>
        <v>14271</v>
      </c>
      <c r="S19" s="30">
        <f t="shared" si="1"/>
        <v>4.1205837012122482</v>
      </c>
      <c r="T19" s="9">
        <f t="shared" si="2"/>
        <v>0.16525462962962961</v>
      </c>
      <c r="U19" s="9">
        <f t="shared" si="3"/>
        <v>7.9502314814814803E-2</v>
      </c>
      <c r="V19" s="9">
        <f t="shared" si="4"/>
        <v>0.82361111111111107</v>
      </c>
    </row>
    <row r="20" spans="1:22" x14ac:dyDescent="0.35">
      <c r="A20" s="52">
        <v>49587</v>
      </c>
      <c r="B20" s="31">
        <v>46123</v>
      </c>
      <c r="C20" s="7" t="s">
        <v>337</v>
      </c>
      <c r="D20" s="7">
        <v>353</v>
      </c>
      <c r="E20" s="10">
        <f>IFERROR(SUMIFS('Base bordo CD'!M$2:M$875,'Base bordo CD'!D$2:D$875,A20,'Base bordo CD'!A$2:A$875,B20,'Base bordo CD'!L$2:L$875,"CORTE DE CANA MECANIZADO"),0)</f>
        <v>3.9661111111111111</v>
      </c>
      <c r="F20" s="10">
        <f>IFERROR(SUMIFS('Base bordo CD'!M$2:M$875,'Base bordo CD'!D$2:D$875,A20,'Base bordo CD'!A$2:A$875,B20,'Base bordo CD'!L$2:L$875,"MANOBRA"),0)</f>
        <v>1.9080555555555556</v>
      </c>
      <c r="G20" s="10">
        <f>IFERROR(SUMIFS('Base bordo CD'!M$2:M$875,'Base bordo CD'!D$2:D$875,A20,'Base bordo CD'!A$2:A$875,B20,'Base bordo CD'!L$2:L$875,"DESLOCAMENTO"),0)</f>
        <v>0.26722222222222225</v>
      </c>
      <c r="H20" s="10">
        <f>IFERROR(SUMIFS('Base bordo CD'!M$2:M$875,'Base bordo CD'!D$2:D$875,A20,'Base bordo CD'!A$2:A$875,B20,'Base bordo CD'!L$2:L$875,"AGUARDANDO MANOBRA DE TRANSBORDO"),0)+IFERROR(SUMIFS('Base bordo CD'!M$2:M$875,'Base bordo CD'!D$2:D$875,A20,'Base bordo CD'!A$2:A$875,B20,'Base bordo CD'!L$2:L$875,"FALTA DE TRANSBORDO"),0)</f>
        <v>0</v>
      </c>
      <c r="I20" s="10">
        <f>IFERROR(SUMIFS('Base bordo CD'!M$2:M$875,'Base bordo CD'!D$2:D$875,A20,'Base bordo CD'!A$2:A$875,B20,'Base bordo CD'!L$2:L$875,"PARADA POR CONDICOES CLIMATICAS"),0)+IFERROR(SUMIFS('Base bordo CD'!M$2:M$875,'Base bordo CD'!D$2:D$875,A20,'Base bordo CD'!A$2:A$875,B20,'Base bordo CD'!L$2:L$875,"TEMPO INDETERMINADO"),0)</f>
        <v>17.679722222222225</v>
      </c>
      <c r="J20" s="10">
        <f>IFERROR(SUMIFS('Base bordo CD'!M$2:M$875,'Base bordo CD'!D$2:D$875,A20,'Base bordo CD'!A$2:A$875,B20,'Base bordo CD'!L$2:L$875,"LIMITAÇÃO INDÚSTRIA"),0)</f>
        <v>0</v>
      </c>
      <c r="K20" s="10">
        <f>IFERROR(SUMIFS('Base bordo CD'!M$2:M$875,'Base bordo CD'!D$2:D$875,A20,'Base bordo CD'!A$2:A$875,B20,'Base bordo CD'!L$2:L$875,"MAN CORRETIVA*"),0)+IFERROR(SUMIFS('Base bordo CD'!M$2:M$875,'Base bordo CD'!D$2:D$875,A20,'Base bordo CD'!A$2:A$875,B20,'Base bordo CD'!L$2:L$875,"AGUARDANDO MANUTENCAO*"),0)+IFERROR(SUMIFS('Base bordo CD'!M$2:M$875,'Base bordo CD'!D$2:D$875,A20,'Base bordo CD'!A$2:A$875,B20,'Base bordo CD'!L$2:L$875,"TROCA DE FAQUINHA"),0)+IFERROR(SUMIFS('Base bordo CD'!M$2:M$875,'Base bordo CD'!D$2:D$875,A20,'Base bordo CD'!A$2:A$875,B20,'Base bordo CD'!L$2:L$875,"LIMPEZA*"),0)</f>
        <v>0</v>
      </c>
      <c r="L20" s="10">
        <f>IFERROR(SUMIFS('Base bordo CD'!M$2:M$875,'Base bordo CD'!D$2:D$875,A20,'Base bordo CD'!A$2:A$875,B20,'Base bordo CD'!L$2:L$875,"PATIO - RESERVA"),0)</f>
        <v>0</v>
      </c>
      <c r="M20" s="10">
        <f>IFERROR(SUMIFS('Base bordo CD'!M$2:M$875,'Base bordo CD'!D$2:D$875,A20,'Base bordo CD'!A$2:A$875,B20,'Base bordo CD'!L$2:L$875,"SEM APONTAMENTO"),0)</f>
        <v>0.17888888888888888</v>
      </c>
      <c r="N20" s="10">
        <f>IFERROR(SUMIFS('Base bordo CD'!M$2:M$875,'Base bordo CD'!D$2:D$875,A20,'Base bordo CD'!A$2:A$875,B20,'Base bordo CD'!L$2:L$875,"FALTA DE CAMINHÃO"),0)+IFERROR(SUMIFS('Base bordo CD'!M$2:M$875,'Base bordo CD'!D$2:D$875,A20,'Base bordo CD'!A$2:A$875,B20,'Base bordo CD'!L$2:L$875,"FALTA DE COMBUSTIVEL"),0)+IFERROR(SUMIFS('Base bordo CD'!M$2:M$875,'Base bordo CD'!D$2:D$875,A20,'Base bordo CD'!A$2:A$875,B20,'Base bordo CD'!L$2:L$875,"FALTA DE MOTORIST*"),0)</f>
        <v>0</v>
      </c>
      <c r="O20" s="10">
        <f t="shared" si="0"/>
        <v>0</v>
      </c>
      <c r="P20" s="10">
        <f>IFERROR(SUMIFS('Base bordo CD'!M$2:M$875,'Base bordo CD'!D$2:D$875,A20,'Base bordo CD'!A$2:A$875,B20),0)</f>
        <v>24.000000000000004</v>
      </c>
      <c r="Q20" s="10">
        <f>IFERROR(SUMIFS('Base bordo CD'!O$2:O$875,'Base bordo CD'!D$2:D$875,A20,'Base bordo CD'!A$2:A$875,B20,'Base bordo CD'!L$2:L$875,"CORTE DE CANA MECANIZADO"),0)</f>
        <v>58804.849999999991</v>
      </c>
      <c r="R20" s="10">
        <f>IFERROR(SUMIFS('Base bordo CD'!Q$2:Q$875,'Base bordo CD'!D$2:D$875,A20,'Base bordo CD'!A$2:A$875,B20,'Base bordo CD'!L$2:L$875,"CORTE DE CANA MECANIZADO"),0)</f>
        <v>14271</v>
      </c>
      <c r="S20" s="30">
        <f t="shared" si="1"/>
        <v>4.1205837012122482</v>
      </c>
      <c r="T20" s="9">
        <f t="shared" si="2"/>
        <v>0.16525462962962961</v>
      </c>
      <c r="U20" s="9">
        <f t="shared" si="3"/>
        <v>7.9502314814814803E-2</v>
      </c>
      <c r="V20" s="9">
        <f t="shared" si="4"/>
        <v>0.82361111111111107</v>
      </c>
    </row>
    <row r="21" spans="1:22" x14ac:dyDescent="0.35">
      <c r="A21" s="52">
        <v>49587</v>
      </c>
      <c r="B21" s="31">
        <v>46123</v>
      </c>
      <c r="C21" s="7" t="s">
        <v>337</v>
      </c>
      <c r="D21" s="7">
        <v>353</v>
      </c>
      <c r="E21" s="10">
        <f>IFERROR(SUMIFS('Base bordo CD'!M$2:M$875,'Base bordo CD'!D$2:D$875,A21,'Base bordo CD'!A$2:A$875,B21,'Base bordo CD'!L$2:L$875,"CORTE DE CANA MECANIZADO"),0)</f>
        <v>3.9661111111111111</v>
      </c>
      <c r="F21" s="10">
        <f>IFERROR(SUMIFS('Base bordo CD'!M$2:M$875,'Base bordo CD'!D$2:D$875,A21,'Base bordo CD'!A$2:A$875,B21,'Base bordo CD'!L$2:L$875,"MANOBRA"),0)</f>
        <v>1.9080555555555556</v>
      </c>
      <c r="G21" s="10">
        <f>IFERROR(SUMIFS('Base bordo CD'!M$2:M$875,'Base bordo CD'!D$2:D$875,A21,'Base bordo CD'!A$2:A$875,B21,'Base bordo CD'!L$2:L$875,"DESLOCAMENTO"),0)</f>
        <v>0.26722222222222225</v>
      </c>
      <c r="H21" s="10">
        <f>IFERROR(SUMIFS('Base bordo CD'!M$2:M$875,'Base bordo CD'!D$2:D$875,A21,'Base bordo CD'!A$2:A$875,B21,'Base bordo CD'!L$2:L$875,"AGUARDANDO MANOBRA DE TRANSBORDO"),0)+IFERROR(SUMIFS('Base bordo CD'!M$2:M$875,'Base bordo CD'!D$2:D$875,A21,'Base bordo CD'!A$2:A$875,B21,'Base bordo CD'!L$2:L$875,"FALTA DE TRANSBORDO"),0)</f>
        <v>0</v>
      </c>
      <c r="I21" s="10">
        <f>IFERROR(SUMIFS('Base bordo CD'!M$2:M$875,'Base bordo CD'!D$2:D$875,A21,'Base bordo CD'!A$2:A$875,B21,'Base bordo CD'!L$2:L$875,"PARADA POR CONDICOES CLIMATICAS"),0)+IFERROR(SUMIFS('Base bordo CD'!M$2:M$875,'Base bordo CD'!D$2:D$875,A21,'Base bordo CD'!A$2:A$875,B21,'Base bordo CD'!L$2:L$875,"TEMPO INDETERMINADO"),0)</f>
        <v>17.679722222222225</v>
      </c>
      <c r="J21" s="10">
        <f>IFERROR(SUMIFS('Base bordo CD'!M$2:M$875,'Base bordo CD'!D$2:D$875,A21,'Base bordo CD'!A$2:A$875,B21,'Base bordo CD'!L$2:L$875,"LIMITAÇÃO INDÚSTRIA"),0)</f>
        <v>0</v>
      </c>
      <c r="K21" s="10">
        <f>IFERROR(SUMIFS('Base bordo CD'!M$2:M$875,'Base bordo CD'!D$2:D$875,A21,'Base bordo CD'!A$2:A$875,B21,'Base bordo CD'!L$2:L$875,"MAN CORRETIVA*"),0)+IFERROR(SUMIFS('Base bordo CD'!M$2:M$875,'Base bordo CD'!D$2:D$875,A21,'Base bordo CD'!A$2:A$875,B21,'Base bordo CD'!L$2:L$875,"AGUARDANDO MANUTENCAO*"),0)+IFERROR(SUMIFS('Base bordo CD'!M$2:M$875,'Base bordo CD'!D$2:D$875,A21,'Base bordo CD'!A$2:A$875,B21,'Base bordo CD'!L$2:L$875,"TROCA DE FAQUINHA"),0)+IFERROR(SUMIFS('Base bordo CD'!M$2:M$875,'Base bordo CD'!D$2:D$875,A21,'Base bordo CD'!A$2:A$875,B21,'Base bordo CD'!L$2:L$875,"LIMPEZA*"),0)</f>
        <v>0</v>
      </c>
      <c r="L21" s="10">
        <f>IFERROR(SUMIFS('Base bordo CD'!M$2:M$875,'Base bordo CD'!D$2:D$875,A21,'Base bordo CD'!A$2:A$875,B21,'Base bordo CD'!L$2:L$875,"PATIO - RESERVA"),0)</f>
        <v>0</v>
      </c>
      <c r="M21" s="10">
        <f>IFERROR(SUMIFS('Base bordo CD'!M$2:M$875,'Base bordo CD'!D$2:D$875,A21,'Base bordo CD'!A$2:A$875,B21,'Base bordo CD'!L$2:L$875,"SEM APONTAMENTO"),0)</f>
        <v>0.17888888888888888</v>
      </c>
      <c r="N21" s="10">
        <f>IFERROR(SUMIFS('Base bordo CD'!M$2:M$875,'Base bordo CD'!D$2:D$875,A21,'Base bordo CD'!A$2:A$875,B21,'Base bordo CD'!L$2:L$875,"FALTA DE CAMINHÃO"),0)+IFERROR(SUMIFS('Base bordo CD'!M$2:M$875,'Base bordo CD'!D$2:D$875,A21,'Base bordo CD'!A$2:A$875,B21,'Base bordo CD'!L$2:L$875,"FALTA DE COMBUSTIVEL"),0)+IFERROR(SUMIFS('Base bordo CD'!M$2:M$875,'Base bordo CD'!D$2:D$875,A21,'Base bordo CD'!A$2:A$875,B21,'Base bordo CD'!L$2:L$875,"FALTA DE MOTORIST*"),0)</f>
        <v>0</v>
      </c>
      <c r="O21" s="10">
        <f t="shared" si="0"/>
        <v>0</v>
      </c>
      <c r="P21" s="10">
        <f>IFERROR(SUMIFS('Base bordo CD'!M$2:M$875,'Base bordo CD'!D$2:D$875,A21,'Base bordo CD'!A$2:A$875,B21),0)</f>
        <v>24.000000000000004</v>
      </c>
      <c r="Q21" s="10">
        <f>IFERROR(SUMIFS('Base bordo CD'!O$2:O$875,'Base bordo CD'!D$2:D$875,A21,'Base bordo CD'!A$2:A$875,B21,'Base bordo CD'!L$2:L$875,"CORTE DE CANA MECANIZADO"),0)</f>
        <v>58804.849999999991</v>
      </c>
      <c r="R21" s="10">
        <f>IFERROR(SUMIFS('Base bordo CD'!Q$2:Q$875,'Base bordo CD'!D$2:D$875,A21,'Base bordo CD'!A$2:A$875,B21,'Base bordo CD'!L$2:L$875,"CORTE DE CANA MECANIZADO"),0)</f>
        <v>14271</v>
      </c>
      <c r="S21" s="30">
        <f t="shared" si="1"/>
        <v>4.1205837012122482</v>
      </c>
      <c r="T21" s="9">
        <f t="shared" si="2"/>
        <v>0.16525462962962961</v>
      </c>
      <c r="U21" s="9">
        <f t="shared" si="3"/>
        <v>7.9502314814814803E-2</v>
      </c>
      <c r="V21" s="9">
        <f t="shared" si="4"/>
        <v>0.82361111111111107</v>
      </c>
    </row>
    <row r="22" spans="1:22" x14ac:dyDescent="0.35">
      <c r="A22" s="52">
        <v>49587</v>
      </c>
      <c r="B22" s="31">
        <v>46123</v>
      </c>
      <c r="C22" s="7" t="s">
        <v>337</v>
      </c>
      <c r="D22" s="7">
        <v>353</v>
      </c>
      <c r="E22" s="10">
        <f>IFERROR(SUMIFS('Base bordo CD'!M$2:M$875,'Base bordo CD'!D$2:D$875,A22,'Base bordo CD'!A$2:A$875,B22,'Base bordo CD'!L$2:L$875,"CORTE DE CANA MECANIZADO"),0)</f>
        <v>3.9661111111111111</v>
      </c>
      <c r="F22" s="10">
        <f>IFERROR(SUMIFS('Base bordo CD'!M$2:M$875,'Base bordo CD'!D$2:D$875,A22,'Base bordo CD'!A$2:A$875,B22,'Base bordo CD'!L$2:L$875,"MANOBRA"),0)</f>
        <v>1.9080555555555556</v>
      </c>
      <c r="G22" s="10">
        <f>IFERROR(SUMIFS('Base bordo CD'!M$2:M$875,'Base bordo CD'!D$2:D$875,A22,'Base bordo CD'!A$2:A$875,B22,'Base bordo CD'!L$2:L$875,"DESLOCAMENTO"),0)</f>
        <v>0.26722222222222225</v>
      </c>
      <c r="H22" s="10">
        <f>IFERROR(SUMIFS('Base bordo CD'!M$2:M$875,'Base bordo CD'!D$2:D$875,A22,'Base bordo CD'!A$2:A$875,B22,'Base bordo CD'!L$2:L$875,"AGUARDANDO MANOBRA DE TRANSBORDO"),0)+IFERROR(SUMIFS('Base bordo CD'!M$2:M$875,'Base bordo CD'!D$2:D$875,A22,'Base bordo CD'!A$2:A$875,B22,'Base bordo CD'!L$2:L$875,"FALTA DE TRANSBORDO"),0)</f>
        <v>0</v>
      </c>
      <c r="I22" s="10">
        <f>IFERROR(SUMIFS('Base bordo CD'!M$2:M$875,'Base bordo CD'!D$2:D$875,A22,'Base bordo CD'!A$2:A$875,B22,'Base bordo CD'!L$2:L$875,"PARADA POR CONDICOES CLIMATICAS"),0)+IFERROR(SUMIFS('Base bordo CD'!M$2:M$875,'Base bordo CD'!D$2:D$875,A22,'Base bordo CD'!A$2:A$875,B22,'Base bordo CD'!L$2:L$875,"TEMPO INDETERMINADO"),0)</f>
        <v>17.679722222222225</v>
      </c>
      <c r="J22" s="10">
        <f>IFERROR(SUMIFS('Base bordo CD'!M$2:M$875,'Base bordo CD'!D$2:D$875,A22,'Base bordo CD'!A$2:A$875,B22,'Base bordo CD'!L$2:L$875,"LIMITAÇÃO INDÚSTRIA"),0)</f>
        <v>0</v>
      </c>
      <c r="K22" s="10">
        <f>IFERROR(SUMIFS('Base bordo CD'!M$2:M$875,'Base bordo CD'!D$2:D$875,A22,'Base bordo CD'!A$2:A$875,B22,'Base bordo CD'!L$2:L$875,"MAN CORRETIVA*"),0)+IFERROR(SUMIFS('Base bordo CD'!M$2:M$875,'Base bordo CD'!D$2:D$875,A22,'Base bordo CD'!A$2:A$875,B22,'Base bordo CD'!L$2:L$875,"AGUARDANDO MANUTENCAO*"),0)+IFERROR(SUMIFS('Base bordo CD'!M$2:M$875,'Base bordo CD'!D$2:D$875,A22,'Base bordo CD'!A$2:A$875,B22,'Base bordo CD'!L$2:L$875,"TROCA DE FAQUINHA"),0)+IFERROR(SUMIFS('Base bordo CD'!M$2:M$875,'Base bordo CD'!D$2:D$875,A22,'Base bordo CD'!A$2:A$875,B22,'Base bordo CD'!L$2:L$875,"LIMPEZA*"),0)</f>
        <v>0</v>
      </c>
      <c r="L22" s="10">
        <f>IFERROR(SUMIFS('Base bordo CD'!M$2:M$875,'Base bordo CD'!D$2:D$875,A22,'Base bordo CD'!A$2:A$875,B22,'Base bordo CD'!L$2:L$875,"PATIO - RESERVA"),0)</f>
        <v>0</v>
      </c>
      <c r="M22" s="10">
        <f>IFERROR(SUMIFS('Base bordo CD'!M$2:M$875,'Base bordo CD'!D$2:D$875,A22,'Base bordo CD'!A$2:A$875,B22,'Base bordo CD'!L$2:L$875,"SEM APONTAMENTO"),0)</f>
        <v>0.17888888888888888</v>
      </c>
      <c r="N22" s="10">
        <f>IFERROR(SUMIFS('Base bordo CD'!M$2:M$875,'Base bordo CD'!D$2:D$875,A22,'Base bordo CD'!A$2:A$875,B22,'Base bordo CD'!L$2:L$875,"FALTA DE CAMINHÃO"),0)+IFERROR(SUMIFS('Base bordo CD'!M$2:M$875,'Base bordo CD'!D$2:D$875,A22,'Base bordo CD'!A$2:A$875,B22,'Base bordo CD'!L$2:L$875,"FALTA DE COMBUSTIVEL"),0)+IFERROR(SUMIFS('Base bordo CD'!M$2:M$875,'Base bordo CD'!D$2:D$875,A22,'Base bordo CD'!A$2:A$875,B22,'Base bordo CD'!L$2:L$875,"FALTA DE MOTORIST*"),0)</f>
        <v>0</v>
      </c>
      <c r="O22" s="10">
        <f t="shared" si="0"/>
        <v>0</v>
      </c>
      <c r="P22" s="10">
        <f>IFERROR(SUMIFS('Base bordo CD'!M$2:M$875,'Base bordo CD'!D$2:D$875,A22,'Base bordo CD'!A$2:A$875,B22),0)</f>
        <v>24.000000000000004</v>
      </c>
      <c r="Q22" s="10">
        <f>IFERROR(SUMIFS('Base bordo CD'!O$2:O$875,'Base bordo CD'!D$2:D$875,A22,'Base bordo CD'!A$2:A$875,B22,'Base bordo CD'!L$2:L$875,"CORTE DE CANA MECANIZADO"),0)</f>
        <v>58804.849999999991</v>
      </c>
      <c r="R22" s="10">
        <f>IFERROR(SUMIFS('Base bordo CD'!Q$2:Q$875,'Base bordo CD'!D$2:D$875,A22,'Base bordo CD'!A$2:A$875,B22,'Base bordo CD'!L$2:L$875,"CORTE DE CANA MECANIZADO"),0)</f>
        <v>14271</v>
      </c>
      <c r="S22" s="30">
        <f t="shared" si="1"/>
        <v>4.1205837012122482</v>
      </c>
      <c r="T22" s="9">
        <f t="shared" si="2"/>
        <v>0.16525462962962961</v>
      </c>
      <c r="U22" s="9">
        <f t="shared" si="3"/>
        <v>7.9502314814814803E-2</v>
      </c>
      <c r="V22" s="9">
        <f t="shared" si="4"/>
        <v>0.82361111111111107</v>
      </c>
    </row>
    <row r="23" spans="1:22" x14ac:dyDescent="0.35">
      <c r="A23" s="52">
        <v>49587</v>
      </c>
      <c r="B23" s="31">
        <v>46123</v>
      </c>
      <c r="C23" s="7" t="s">
        <v>337</v>
      </c>
      <c r="D23" s="7">
        <v>353</v>
      </c>
      <c r="E23" s="10">
        <f>IFERROR(SUMIFS('Base bordo CD'!M$2:M$875,'Base bordo CD'!D$2:D$875,A23,'Base bordo CD'!A$2:A$875,B23,'Base bordo CD'!L$2:L$875,"CORTE DE CANA MECANIZADO"),0)</f>
        <v>3.9661111111111111</v>
      </c>
      <c r="F23" s="10">
        <f>IFERROR(SUMIFS('Base bordo CD'!M$2:M$875,'Base bordo CD'!D$2:D$875,A23,'Base bordo CD'!A$2:A$875,B23,'Base bordo CD'!L$2:L$875,"MANOBRA"),0)</f>
        <v>1.9080555555555556</v>
      </c>
      <c r="G23" s="10">
        <f>IFERROR(SUMIFS('Base bordo CD'!M$2:M$875,'Base bordo CD'!D$2:D$875,A23,'Base bordo CD'!A$2:A$875,B23,'Base bordo CD'!L$2:L$875,"DESLOCAMENTO"),0)</f>
        <v>0.26722222222222225</v>
      </c>
      <c r="H23" s="10">
        <f>IFERROR(SUMIFS('Base bordo CD'!M$2:M$875,'Base bordo CD'!D$2:D$875,A23,'Base bordo CD'!A$2:A$875,B23,'Base bordo CD'!L$2:L$875,"AGUARDANDO MANOBRA DE TRANSBORDO"),0)+IFERROR(SUMIFS('Base bordo CD'!M$2:M$875,'Base bordo CD'!D$2:D$875,A23,'Base bordo CD'!A$2:A$875,B23,'Base bordo CD'!L$2:L$875,"FALTA DE TRANSBORDO"),0)</f>
        <v>0</v>
      </c>
      <c r="I23" s="10">
        <f>IFERROR(SUMIFS('Base bordo CD'!M$2:M$875,'Base bordo CD'!D$2:D$875,A23,'Base bordo CD'!A$2:A$875,B23,'Base bordo CD'!L$2:L$875,"PARADA POR CONDICOES CLIMATICAS"),0)+IFERROR(SUMIFS('Base bordo CD'!M$2:M$875,'Base bordo CD'!D$2:D$875,A23,'Base bordo CD'!A$2:A$875,B23,'Base bordo CD'!L$2:L$875,"TEMPO INDETERMINADO"),0)</f>
        <v>17.679722222222225</v>
      </c>
      <c r="J23" s="10">
        <f>IFERROR(SUMIFS('Base bordo CD'!M$2:M$875,'Base bordo CD'!D$2:D$875,A23,'Base bordo CD'!A$2:A$875,B23,'Base bordo CD'!L$2:L$875,"LIMITAÇÃO INDÚSTRIA"),0)</f>
        <v>0</v>
      </c>
      <c r="K23" s="10">
        <f>IFERROR(SUMIFS('Base bordo CD'!M$2:M$875,'Base bordo CD'!D$2:D$875,A23,'Base bordo CD'!A$2:A$875,B23,'Base bordo CD'!L$2:L$875,"MAN CORRETIVA*"),0)+IFERROR(SUMIFS('Base bordo CD'!M$2:M$875,'Base bordo CD'!D$2:D$875,A23,'Base bordo CD'!A$2:A$875,B23,'Base bordo CD'!L$2:L$875,"AGUARDANDO MANUTENCAO*"),0)+IFERROR(SUMIFS('Base bordo CD'!M$2:M$875,'Base bordo CD'!D$2:D$875,A23,'Base bordo CD'!A$2:A$875,B23,'Base bordo CD'!L$2:L$875,"TROCA DE FAQUINHA"),0)+IFERROR(SUMIFS('Base bordo CD'!M$2:M$875,'Base bordo CD'!D$2:D$875,A23,'Base bordo CD'!A$2:A$875,B23,'Base bordo CD'!L$2:L$875,"LIMPEZA*"),0)</f>
        <v>0</v>
      </c>
      <c r="L23" s="10">
        <f>IFERROR(SUMIFS('Base bordo CD'!M$2:M$875,'Base bordo CD'!D$2:D$875,A23,'Base bordo CD'!A$2:A$875,B23,'Base bordo CD'!L$2:L$875,"PATIO - RESERVA"),0)</f>
        <v>0</v>
      </c>
      <c r="M23" s="10">
        <f>IFERROR(SUMIFS('Base bordo CD'!M$2:M$875,'Base bordo CD'!D$2:D$875,A23,'Base bordo CD'!A$2:A$875,B23,'Base bordo CD'!L$2:L$875,"SEM APONTAMENTO"),0)</f>
        <v>0.17888888888888888</v>
      </c>
      <c r="N23" s="10">
        <f>IFERROR(SUMIFS('Base bordo CD'!M$2:M$875,'Base bordo CD'!D$2:D$875,A23,'Base bordo CD'!A$2:A$875,B23,'Base bordo CD'!L$2:L$875,"FALTA DE CAMINHÃO"),0)+IFERROR(SUMIFS('Base bordo CD'!M$2:M$875,'Base bordo CD'!D$2:D$875,A23,'Base bordo CD'!A$2:A$875,B23,'Base bordo CD'!L$2:L$875,"FALTA DE COMBUSTIVEL"),0)+IFERROR(SUMIFS('Base bordo CD'!M$2:M$875,'Base bordo CD'!D$2:D$875,A23,'Base bordo CD'!A$2:A$875,B23,'Base bordo CD'!L$2:L$875,"FALTA DE MOTORIST*"),0)</f>
        <v>0</v>
      </c>
      <c r="O23" s="10">
        <f t="shared" si="0"/>
        <v>0</v>
      </c>
      <c r="P23" s="10">
        <f>IFERROR(SUMIFS('Base bordo CD'!M$2:M$875,'Base bordo CD'!D$2:D$875,A23,'Base bordo CD'!A$2:A$875,B23),0)</f>
        <v>24.000000000000004</v>
      </c>
      <c r="Q23" s="10">
        <f>IFERROR(SUMIFS('Base bordo CD'!O$2:O$875,'Base bordo CD'!D$2:D$875,A23,'Base bordo CD'!A$2:A$875,B23,'Base bordo CD'!L$2:L$875,"CORTE DE CANA MECANIZADO"),0)</f>
        <v>58804.849999999991</v>
      </c>
      <c r="R23" s="10">
        <f>IFERROR(SUMIFS('Base bordo CD'!Q$2:Q$875,'Base bordo CD'!D$2:D$875,A23,'Base bordo CD'!A$2:A$875,B23,'Base bordo CD'!L$2:L$875,"CORTE DE CANA MECANIZADO"),0)</f>
        <v>14271</v>
      </c>
      <c r="S23" s="30">
        <f t="shared" si="1"/>
        <v>4.1205837012122482</v>
      </c>
      <c r="T23" s="9">
        <f t="shared" si="2"/>
        <v>0.16525462962962961</v>
      </c>
      <c r="U23" s="9">
        <f t="shared" si="3"/>
        <v>7.9502314814814803E-2</v>
      </c>
      <c r="V23" s="9">
        <f t="shared" si="4"/>
        <v>0.82361111111111107</v>
      </c>
    </row>
    <row r="24" spans="1:22" x14ac:dyDescent="0.35">
      <c r="A24" s="52">
        <v>49587</v>
      </c>
      <c r="B24" s="31">
        <v>46123</v>
      </c>
      <c r="C24" s="7" t="s">
        <v>337</v>
      </c>
      <c r="D24" s="7">
        <v>353</v>
      </c>
      <c r="E24" s="10">
        <f>IFERROR(SUMIFS('Base bordo CD'!M$2:M$875,'Base bordo CD'!D$2:D$875,A24,'Base bordo CD'!A$2:A$875,B24,'Base bordo CD'!L$2:L$875,"CORTE DE CANA MECANIZADO"),0)</f>
        <v>3.9661111111111111</v>
      </c>
      <c r="F24" s="10">
        <f>IFERROR(SUMIFS('Base bordo CD'!M$2:M$875,'Base bordo CD'!D$2:D$875,A24,'Base bordo CD'!A$2:A$875,B24,'Base bordo CD'!L$2:L$875,"MANOBRA"),0)</f>
        <v>1.9080555555555556</v>
      </c>
      <c r="G24" s="10">
        <f>IFERROR(SUMIFS('Base bordo CD'!M$2:M$875,'Base bordo CD'!D$2:D$875,A24,'Base bordo CD'!A$2:A$875,B24,'Base bordo CD'!L$2:L$875,"DESLOCAMENTO"),0)</f>
        <v>0.26722222222222225</v>
      </c>
      <c r="H24" s="10">
        <f>IFERROR(SUMIFS('Base bordo CD'!M$2:M$875,'Base bordo CD'!D$2:D$875,A24,'Base bordo CD'!A$2:A$875,B24,'Base bordo CD'!L$2:L$875,"AGUARDANDO MANOBRA DE TRANSBORDO"),0)+IFERROR(SUMIFS('Base bordo CD'!M$2:M$875,'Base bordo CD'!D$2:D$875,A24,'Base bordo CD'!A$2:A$875,B24,'Base bordo CD'!L$2:L$875,"FALTA DE TRANSBORDO"),0)</f>
        <v>0</v>
      </c>
      <c r="I24" s="10">
        <f>IFERROR(SUMIFS('Base bordo CD'!M$2:M$875,'Base bordo CD'!D$2:D$875,A24,'Base bordo CD'!A$2:A$875,B24,'Base bordo CD'!L$2:L$875,"PARADA POR CONDICOES CLIMATICAS"),0)+IFERROR(SUMIFS('Base bordo CD'!M$2:M$875,'Base bordo CD'!D$2:D$875,A24,'Base bordo CD'!A$2:A$875,B24,'Base bordo CD'!L$2:L$875,"TEMPO INDETERMINADO"),0)</f>
        <v>17.679722222222225</v>
      </c>
      <c r="J24" s="10">
        <f>IFERROR(SUMIFS('Base bordo CD'!M$2:M$875,'Base bordo CD'!D$2:D$875,A24,'Base bordo CD'!A$2:A$875,B24,'Base bordo CD'!L$2:L$875,"LIMITAÇÃO INDÚSTRIA"),0)</f>
        <v>0</v>
      </c>
      <c r="K24" s="10">
        <f>IFERROR(SUMIFS('Base bordo CD'!M$2:M$875,'Base bordo CD'!D$2:D$875,A24,'Base bordo CD'!A$2:A$875,B24,'Base bordo CD'!L$2:L$875,"MAN CORRETIVA*"),0)+IFERROR(SUMIFS('Base bordo CD'!M$2:M$875,'Base bordo CD'!D$2:D$875,A24,'Base bordo CD'!A$2:A$875,B24,'Base bordo CD'!L$2:L$875,"AGUARDANDO MANUTENCAO*"),0)+IFERROR(SUMIFS('Base bordo CD'!M$2:M$875,'Base bordo CD'!D$2:D$875,A24,'Base bordo CD'!A$2:A$875,B24,'Base bordo CD'!L$2:L$875,"TROCA DE FAQUINHA"),0)+IFERROR(SUMIFS('Base bordo CD'!M$2:M$875,'Base bordo CD'!D$2:D$875,A24,'Base bordo CD'!A$2:A$875,B24,'Base bordo CD'!L$2:L$875,"LIMPEZA*"),0)</f>
        <v>0</v>
      </c>
      <c r="L24" s="10">
        <f>IFERROR(SUMIFS('Base bordo CD'!M$2:M$875,'Base bordo CD'!D$2:D$875,A24,'Base bordo CD'!A$2:A$875,B24,'Base bordo CD'!L$2:L$875,"PATIO - RESERVA"),0)</f>
        <v>0</v>
      </c>
      <c r="M24" s="10">
        <f>IFERROR(SUMIFS('Base bordo CD'!M$2:M$875,'Base bordo CD'!D$2:D$875,A24,'Base bordo CD'!A$2:A$875,B24,'Base bordo CD'!L$2:L$875,"SEM APONTAMENTO"),0)</f>
        <v>0.17888888888888888</v>
      </c>
      <c r="N24" s="10">
        <f>IFERROR(SUMIFS('Base bordo CD'!M$2:M$875,'Base bordo CD'!D$2:D$875,A24,'Base bordo CD'!A$2:A$875,B24,'Base bordo CD'!L$2:L$875,"FALTA DE CAMINHÃO"),0)+IFERROR(SUMIFS('Base bordo CD'!M$2:M$875,'Base bordo CD'!D$2:D$875,A24,'Base bordo CD'!A$2:A$875,B24,'Base bordo CD'!L$2:L$875,"FALTA DE COMBUSTIVEL"),0)+IFERROR(SUMIFS('Base bordo CD'!M$2:M$875,'Base bordo CD'!D$2:D$875,A24,'Base bordo CD'!A$2:A$875,B24,'Base bordo CD'!L$2:L$875,"FALTA DE MOTORIST*"),0)</f>
        <v>0</v>
      </c>
      <c r="O24" s="10">
        <f t="shared" si="0"/>
        <v>0</v>
      </c>
      <c r="P24" s="10">
        <f>IFERROR(SUMIFS('Base bordo CD'!M$2:M$875,'Base bordo CD'!D$2:D$875,A24,'Base bordo CD'!A$2:A$875,B24),0)</f>
        <v>24.000000000000004</v>
      </c>
      <c r="Q24" s="10">
        <f>IFERROR(SUMIFS('Base bordo CD'!O$2:O$875,'Base bordo CD'!D$2:D$875,A24,'Base bordo CD'!A$2:A$875,B24,'Base bordo CD'!L$2:L$875,"CORTE DE CANA MECANIZADO"),0)</f>
        <v>58804.849999999991</v>
      </c>
      <c r="R24" s="10">
        <f>IFERROR(SUMIFS('Base bordo CD'!Q$2:Q$875,'Base bordo CD'!D$2:D$875,A24,'Base bordo CD'!A$2:A$875,B24,'Base bordo CD'!L$2:L$875,"CORTE DE CANA MECANIZADO"),0)</f>
        <v>14271</v>
      </c>
      <c r="S24" s="30">
        <f t="shared" si="1"/>
        <v>4.1205837012122482</v>
      </c>
      <c r="T24" s="9">
        <f t="shared" si="2"/>
        <v>0.16525462962962961</v>
      </c>
      <c r="U24" s="9">
        <f t="shared" si="3"/>
        <v>7.9502314814814803E-2</v>
      </c>
      <c r="V24" s="9">
        <f t="shared" si="4"/>
        <v>0.82361111111111107</v>
      </c>
    </row>
    <row r="25" spans="1:22" x14ac:dyDescent="0.35">
      <c r="A25" s="52">
        <v>49587</v>
      </c>
      <c r="B25" s="31">
        <v>46123</v>
      </c>
      <c r="C25" s="7" t="s">
        <v>337</v>
      </c>
      <c r="D25" s="7">
        <v>353</v>
      </c>
      <c r="E25" s="10">
        <f>IFERROR(SUMIFS('Base bordo CD'!M$2:M$875,'Base bordo CD'!D$2:D$875,A25,'Base bordo CD'!A$2:A$875,B25,'Base bordo CD'!L$2:L$875,"CORTE DE CANA MECANIZADO"),0)</f>
        <v>3.9661111111111111</v>
      </c>
      <c r="F25" s="10">
        <f>IFERROR(SUMIFS('Base bordo CD'!M$2:M$875,'Base bordo CD'!D$2:D$875,A25,'Base bordo CD'!A$2:A$875,B25,'Base bordo CD'!L$2:L$875,"MANOBRA"),0)</f>
        <v>1.9080555555555556</v>
      </c>
      <c r="G25" s="10">
        <f>IFERROR(SUMIFS('Base bordo CD'!M$2:M$875,'Base bordo CD'!D$2:D$875,A25,'Base bordo CD'!A$2:A$875,B25,'Base bordo CD'!L$2:L$875,"DESLOCAMENTO"),0)</f>
        <v>0.26722222222222225</v>
      </c>
      <c r="H25" s="10">
        <f>IFERROR(SUMIFS('Base bordo CD'!M$2:M$875,'Base bordo CD'!D$2:D$875,A25,'Base bordo CD'!A$2:A$875,B25,'Base bordo CD'!L$2:L$875,"AGUARDANDO MANOBRA DE TRANSBORDO"),0)+IFERROR(SUMIFS('Base bordo CD'!M$2:M$875,'Base bordo CD'!D$2:D$875,A25,'Base bordo CD'!A$2:A$875,B25,'Base bordo CD'!L$2:L$875,"FALTA DE TRANSBORDO"),0)</f>
        <v>0</v>
      </c>
      <c r="I25" s="10">
        <f>IFERROR(SUMIFS('Base bordo CD'!M$2:M$875,'Base bordo CD'!D$2:D$875,A25,'Base bordo CD'!A$2:A$875,B25,'Base bordo CD'!L$2:L$875,"PARADA POR CONDICOES CLIMATICAS"),0)+IFERROR(SUMIFS('Base bordo CD'!M$2:M$875,'Base bordo CD'!D$2:D$875,A25,'Base bordo CD'!A$2:A$875,B25,'Base bordo CD'!L$2:L$875,"TEMPO INDETERMINADO"),0)</f>
        <v>17.679722222222225</v>
      </c>
      <c r="J25" s="10">
        <f>IFERROR(SUMIFS('Base bordo CD'!M$2:M$875,'Base bordo CD'!D$2:D$875,A25,'Base bordo CD'!A$2:A$875,B25,'Base bordo CD'!L$2:L$875,"LIMITAÇÃO INDÚSTRIA"),0)</f>
        <v>0</v>
      </c>
      <c r="K25" s="10">
        <f>IFERROR(SUMIFS('Base bordo CD'!M$2:M$875,'Base bordo CD'!D$2:D$875,A25,'Base bordo CD'!A$2:A$875,B25,'Base bordo CD'!L$2:L$875,"MAN CORRETIVA*"),0)+IFERROR(SUMIFS('Base bordo CD'!M$2:M$875,'Base bordo CD'!D$2:D$875,A25,'Base bordo CD'!A$2:A$875,B25,'Base bordo CD'!L$2:L$875,"AGUARDANDO MANUTENCAO*"),0)+IFERROR(SUMIFS('Base bordo CD'!M$2:M$875,'Base bordo CD'!D$2:D$875,A25,'Base bordo CD'!A$2:A$875,B25,'Base bordo CD'!L$2:L$875,"TROCA DE FAQUINHA"),0)+IFERROR(SUMIFS('Base bordo CD'!M$2:M$875,'Base bordo CD'!D$2:D$875,A25,'Base bordo CD'!A$2:A$875,B25,'Base bordo CD'!L$2:L$875,"LIMPEZA*"),0)</f>
        <v>0</v>
      </c>
      <c r="L25" s="10">
        <f>IFERROR(SUMIFS('Base bordo CD'!M$2:M$875,'Base bordo CD'!D$2:D$875,A25,'Base bordo CD'!A$2:A$875,B25,'Base bordo CD'!L$2:L$875,"PATIO - RESERVA"),0)</f>
        <v>0</v>
      </c>
      <c r="M25" s="10">
        <f>IFERROR(SUMIFS('Base bordo CD'!M$2:M$875,'Base bordo CD'!D$2:D$875,A25,'Base bordo CD'!A$2:A$875,B25,'Base bordo CD'!L$2:L$875,"SEM APONTAMENTO"),0)</f>
        <v>0.17888888888888888</v>
      </c>
      <c r="N25" s="10">
        <f>IFERROR(SUMIFS('Base bordo CD'!M$2:M$875,'Base bordo CD'!D$2:D$875,A25,'Base bordo CD'!A$2:A$875,B25,'Base bordo CD'!L$2:L$875,"FALTA DE CAMINHÃO"),0)+IFERROR(SUMIFS('Base bordo CD'!M$2:M$875,'Base bordo CD'!D$2:D$875,A25,'Base bordo CD'!A$2:A$875,B25,'Base bordo CD'!L$2:L$875,"FALTA DE COMBUSTIVEL"),0)+IFERROR(SUMIFS('Base bordo CD'!M$2:M$875,'Base bordo CD'!D$2:D$875,A25,'Base bordo CD'!A$2:A$875,B25,'Base bordo CD'!L$2:L$875,"FALTA DE MOTORIST*"),0)</f>
        <v>0</v>
      </c>
      <c r="O25" s="10">
        <f t="shared" si="0"/>
        <v>0</v>
      </c>
      <c r="P25" s="10">
        <f>IFERROR(SUMIFS('Base bordo CD'!M$2:M$875,'Base bordo CD'!D$2:D$875,A25,'Base bordo CD'!A$2:A$875,B25),0)</f>
        <v>24.000000000000004</v>
      </c>
      <c r="Q25" s="10">
        <f>IFERROR(SUMIFS('Base bordo CD'!O$2:O$875,'Base bordo CD'!D$2:D$875,A25,'Base bordo CD'!A$2:A$875,B25,'Base bordo CD'!L$2:L$875,"CORTE DE CANA MECANIZADO"),0)</f>
        <v>58804.849999999991</v>
      </c>
      <c r="R25" s="10">
        <f>IFERROR(SUMIFS('Base bordo CD'!Q$2:Q$875,'Base bordo CD'!D$2:D$875,A25,'Base bordo CD'!A$2:A$875,B25,'Base bordo CD'!L$2:L$875,"CORTE DE CANA MECANIZADO"),0)</f>
        <v>14271</v>
      </c>
      <c r="S25" s="30">
        <f t="shared" si="1"/>
        <v>4.1205837012122482</v>
      </c>
      <c r="T25" s="9">
        <f t="shared" si="2"/>
        <v>0.16525462962962961</v>
      </c>
      <c r="U25" s="9">
        <f t="shared" si="3"/>
        <v>7.9502314814814803E-2</v>
      </c>
      <c r="V25" s="9">
        <f t="shared" si="4"/>
        <v>0.82361111111111107</v>
      </c>
    </row>
    <row r="26" spans="1:22" x14ac:dyDescent="0.35">
      <c r="A26" s="52">
        <v>49587</v>
      </c>
      <c r="B26" s="31">
        <v>46123</v>
      </c>
      <c r="C26" s="7" t="s">
        <v>337</v>
      </c>
      <c r="D26" s="7">
        <v>353</v>
      </c>
      <c r="E26" s="10">
        <f>IFERROR(SUMIFS('Base bordo CD'!M$2:M$875,'Base bordo CD'!D$2:D$875,A26,'Base bordo CD'!A$2:A$875,B26,'Base bordo CD'!L$2:L$875,"CORTE DE CANA MECANIZADO"),0)</f>
        <v>3.9661111111111111</v>
      </c>
      <c r="F26" s="10">
        <f>IFERROR(SUMIFS('Base bordo CD'!M$2:M$875,'Base bordo CD'!D$2:D$875,A26,'Base bordo CD'!A$2:A$875,B26,'Base bordo CD'!L$2:L$875,"MANOBRA"),0)</f>
        <v>1.9080555555555556</v>
      </c>
      <c r="G26" s="10">
        <f>IFERROR(SUMIFS('Base bordo CD'!M$2:M$875,'Base bordo CD'!D$2:D$875,A26,'Base bordo CD'!A$2:A$875,B26,'Base bordo CD'!L$2:L$875,"DESLOCAMENTO"),0)</f>
        <v>0.26722222222222225</v>
      </c>
      <c r="H26" s="10">
        <f>IFERROR(SUMIFS('Base bordo CD'!M$2:M$875,'Base bordo CD'!D$2:D$875,A26,'Base bordo CD'!A$2:A$875,B26,'Base bordo CD'!L$2:L$875,"AGUARDANDO MANOBRA DE TRANSBORDO"),0)+IFERROR(SUMIFS('Base bordo CD'!M$2:M$875,'Base bordo CD'!D$2:D$875,A26,'Base bordo CD'!A$2:A$875,B26,'Base bordo CD'!L$2:L$875,"FALTA DE TRANSBORDO"),0)</f>
        <v>0</v>
      </c>
      <c r="I26" s="10">
        <f>IFERROR(SUMIFS('Base bordo CD'!M$2:M$875,'Base bordo CD'!D$2:D$875,A26,'Base bordo CD'!A$2:A$875,B26,'Base bordo CD'!L$2:L$875,"PARADA POR CONDICOES CLIMATICAS"),0)+IFERROR(SUMIFS('Base bordo CD'!M$2:M$875,'Base bordo CD'!D$2:D$875,A26,'Base bordo CD'!A$2:A$875,B26,'Base bordo CD'!L$2:L$875,"TEMPO INDETERMINADO"),0)</f>
        <v>17.679722222222225</v>
      </c>
      <c r="J26" s="10">
        <f>IFERROR(SUMIFS('Base bordo CD'!M$2:M$875,'Base bordo CD'!D$2:D$875,A26,'Base bordo CD'!A$2:A$875,B26,'Base bordo CD'!L$2:L$875,"LIMITAÇÃO INDÚSTRIA"),0)</f>
        <v>0</v>
      </c>
      <c r="K26" s="10">
        <f>IFERROR(SUMIFS('Base bordo CD'!M$2:M$875,'Base bordo CD'!D$2:D$875,A26,'Base bordo CD'!A$2:A$875,B26,'Base bordo CD'!L$2:L$875,"MAN CORRETIVA*"),0)+IFERROR(SUMIFS('Base bordo CD'!M$2:M$875,'Base bordo CD'!D$2:D$875,A26,'Base bordo CD'!A$2:A$875,B26,'Base bordo CD'!L$2:L$875,"AGUARDANDO MANUTENCAO*"),0)+IFERROR(SUMIFS('Base bordo CD'!M$2:M$875,'Base bordo CD'!D$2:D$875,A26,'Base bordo CD'!A$2:A$875,B26,'Base bordo CD'!L$2:L$875,"TROCA DE FAQUINHA"),0)+IFERROR(SUMIFS('Base bordo CD'!M$2:M$875,'Base bordo CD'!D$2:D$875,A26,'Base bordo CD'!A$2:A$875,B26,'Base bordo CD'!L$2:L$875,"LIMPEZA*"),0)</f>
        <v>0</v>
      </c>
      <c r="L26" s="10">
        <f>IFERROR(SUMIFS('Base bordo CD'!M$2:M$875,'Base bordo CD'!D$2:D$875,A26,'Base bordo CD'!A$2:A$875,B26,'Base bordo CD'!L$2:L$875,"PATIO - RESERVA"),0)</f>
        <v>0</v>
      </c>
      <c r="M26" s="10">
        <f>IFERROR(SUMIFS('Base bordo CD'!M$2:M$875,'Base bordo CD'!D$2:D$875,A26,'Base bordo CD'!A$2:A$875,B26,'Base bordo CD'!L$2:L$875,"SEM APONTAMENTO"),0)</f>
        <v>0.17888888888888888</v>
      </c>
      <c r="N26" s="10">
        <f>IFERROR(SUMIFS('Base bordo CD'!M$2:M$875,'Base bordo CD'!D$2:D$875,A26,'Base bordo CD'!A$2:A$875,B26,'Base bordo CD'!L$2:L$875,"FALTA DE CAMINHÃO"),0)+IFERROR(SUMIFS('Base bordo CD'!M$2:M$875,'Base bordo CD'!D$2:D$875,A26,'Base bordo CD'!A$2:A$875,B26,'Base bordo CD'!L$2:L$875,"FALTA DE COMBUSTIVEL"),0)+IFERROR(SUMIFS('Base bordo CD'!M$2:M$875,'Base bordo CD'!D$2:D$875,A26,'Base bordo CD'!A$2:A$875,B26,'Base bordo CD'!L$2:L$875,"FALTA DE MOTORIST*"),0)</f>
        <v>0</v>
      </c>
      <c r="O26" s="10">
        <f t="shared" si="0"/>
        <v>0</v>
      </c>
      <c r="P26" s="10">
        <f>IFERROR(SUMIFS('Base bordo CD'!M$2:M$875,'Base bordo CD'!D$2:D$875,A26,'Base bordo CD'!A$2:A$875,B26),0)</f>
        <v>24.000000000000004</v>
      </c>
      <c r="Q26" s="10">
        <f>IFERROR(SUMIFS('Base bordo CD'!O$2:O$875,'Base bordo CD'!D$2:D$875,A26,'Base bordo CD'!A$2:A$875,B26,'Base bordo CD'!L$2:L$875,"CORTE DE CANA MECANIZADO"),0)</f>
        <v>58804.849999999991</v>
      </c>
      <c r="R26" s="10">
        <f>IFERROR(SUMIFS('Base bordo CD'!Q$2:Q$875,'Base bordo CD'!D$2:D$875,A26,'Base bordo CD'!A$2:A$875,B26,'Base bordo CD'!L$2:L$875,"CORTE DE CANA MECANIZADO"),0)</f>
        <v>14271</v>
      </c>
      <c r="S26" s="30">
        <f t="shared" si="1"/>
        <v>4.1205837012122482</v>
      </c>
      <c r="T26" s="9">
        <f t="shared" si="2"/>
        <v>0.16525462962962961</v>
      </c>
      <c r="U26" s="9">
        <f t="shared" si="3"/>
        <v>7.9502314814814803E-2</v>
      </c>
      <c r="V26" s="9">
        <f t="shared" si="4"/>
        <v>0.82361111111111107</v>
      </c>
    </row>
    <row r="27" spans="1:22" x14ac:dyDescent="0.35">
      <c r="A27" s="52">
        <v>49587</v>
      </c>
      <c r="B27" s="31">
        <v>46123</v>
      </c>
      <c r="C27" s="7" t="s">
        <v>337</v>
      </c>
      <c r="D27" s="7">
        <v>353</v>
      </c>
      <c r="E27" s="10">
        <f>IFERROR(SUMIFS('Base bordo CD'!M$2:M$875,'Base bordo CD'!D$2:D$875,A27,'Base bordo CD'!A$2:A$875,B27,'Base bordo CD'!L$2:L$875,"CORTE DE CANA MECANIZADO"),0)</f>
        <v>3.9661111111111111</v>
      </c>
      <c r="F27" s="10">
        <f>IFERROR(SUMIFS('Base bordo CD'!M$2:M$875,'Base bordo CD'!D$2:D$875,A27,'Base bordo CD'!A$2:A$875,B27,'Base bordo CD'!L$2:L$875,"MANOBRA"),0)</f>
        <v>1.9080555555555556</v>
      </c>
      <c r="G27" s="10">
        <f>IFERROR(SUMIFS('Base bordo CD'!M$2:M$875,'Base bordo CD'!D$2:D$875,A27,'Base bordo CD'!A$2:A$875,B27,'Base bordo CD'!L$2:L$875,"DESLOCAMENTO"),0)</f>
        <v>0.26722222222222225</v>
      </c>
      <c r="H27" s="10">
        <f>IFERROR(SUMIFS('Base bordo CD'!M$2:M$875,'Base bordo CD'!D$2:D$875,A27,'Base bordo CD'!A$2:A$875,B27,'Base bordo CD'!L$2:L$875,"AGUARDANDO MANOBRA DE TRANSBORDO"),0)+IFERROR(SUMIFS('Base bordo CD'!M$2:M$875,'Base bordo CD'!D$2:D$875,A27,'Base bordo CD'!A$2:A$875,B27,'Base bordo CD'!L$2:L$875,"FALTA DE TRANSBORDO"),0)</f>
        <v>0</v>
      </c>
      <c r="I27" s="10">
        <f>IFERROR(SUMIFS('Base bordo CD'!M$2:M$875,'Base bordo CD'!D$2:D$875,A27,'Base bordo CD'!A$2:A$875,B27,'Base bordo CD'!L$2:L$875,"PARADA POR CONDICOES CLIMATICAS"),0)+IFERROR(SUMIFS('Base bordo CD'!M$2:M$875,'Base bordo CD'!D$2:D$875,A27,'Base bordo CD'!A$2:A$875,B27,'Base bordo CD'!L$2:L$875,"TEMPO INDETERMINADO"),0)</f>
        <v>17.679722222222225</v>
      </c>
      <c r="J27" s="10">
        <f>IFERROR(SUMIFS('Base bordo CD'!M$2:M$875,'Base bordo CD'!D$2:D$875,A27,'Base bordo CD'!A$2:A$875,B27,'Base bordo CD'!L$2:L$875,"LIMITAÇÃO INDÚSTRIA"),0)</f>
        <v>0</v>
      </c>
      <c r="K27" s="10">
        <f>IFERROR(SUMIFS('Base bordo CD'!M$2:M$875,'Base bordo CD'!D$2:D$875,A27,'Base bordo CD'!A$2:A$875,B27,'Base bordo CD'!L$2:L$875,"MAN CORRETIVA*"),0)+IFERROR(SUMIFS('Base bordo CD'!M$2:M$875,'Base bordo CD'!D$2:D$875,A27,'Base bordo CD'!A$2:A$875,B27,'Base bordo CD'!L$2:L$875,"AGUARDANDO MANUTENCAO*"),0)+IFERROR(SUMIFS('Base bordo CD'!M$2:M$875,'Base bordo CD'!D$2:D$875,A27,'Base bordo CD'!A$2:A$875,B27,'Base bordo CD'!L$2:L$875,"TROCA DE FAQUINHA"),0)+IFERROR(SUMIFS('Base bordo CD'!M$2:M$875,'Base bordo CD'!D$2:D$875,A27,'Base bordo CD'!A$2:A$875,B27,'Base bordo CD'!L$2:L$875,"LIMPEZA*"),0)</f>
        <v>0</v>
      </c>
      <c r="L27" s="10">
        <f>IFERROR(SUMIFS('Base bordo CD'!M$2:M$875,'Base bordo CD'!D$2:D$875,A27,'Base bordo CD'!A$2:A$875,B27,'Base bordo CD'!L$2:L$875,"PATIO - RESERVA"),0)</f>
        <v>0</v>
      </c>
      <c r="M27" s="10">
        <f>IFERROR(SUMIFS('Base bordo CD'!M$2:M$875,'Base bordo CD'!D$2:D$875,A27,'Base bordo CD'!A$2:A$875,B27,'Base bordo CD'!L$2:L$875,"SEM APONTAMENTO"),0)</f>
        <v>0.17888888888888888</v>
      </c>
      <c r="N27" s="10">
        <f>IFERROR(SUMIFS('Base bordo CD'!M$2:M$875,'Base bordo CD'!D$2:D$875,A27,'Base bordo CD'!A$2:A$875,B27,'Base bordo CD'!L$2:L$875,"FALTA DE CAMINHÃO"),0)+IFERROR(SUMIFS('Base bordo CD'!M$2:M$875,'Base bordo CD'!D$2:D$875,A27,'Base bordo CD'!A$2:A$875,B27,'Base bordo CD'!L$2:L$875,"FALTA DE COMBUSTIVEL"),0)+IFERROR(SUMIFS('Base bordo CD'!M$2:M$875,'Base bordo CD'!D$2:D$875,A27,'Base bordo CD'!A$2:A$875,B27,'Base bordo CD'!L$2:L$875,"FALTA DE MOTORIST*"),0)</f>
        <v>0</v>
      </c>
      <c r="O27" s="10">
        <f t="shared" si="0"/>
        <v>0</v>
      </c>
      <c r="P27" s="10">
        <f>IFERROR(SUMIFS('Base bordo CD'!M$2:M$875,'Base bordo CD'!D$2:D$875,A27,'Base bordo CD'!A$2:A$875,B27),0)</f>
        <v>24.000000000000004</v>
      </c>
      <c r="Q27" s="10">
        <f>IFERROR(SUMIFS('Base bordo CD'!O$2:O$875,'Base bordo CD'!D$2:D$875,A27,'Base bordo CD'!A$2:A$875,B27,'Base bordo CD'!L$2:L$875,"CORTE DE CANA MECANIZADO"),0)</f>
        <v>58804.849999999991</v>
      </c>
      <c r="R27" s="10">
        <f>IFERROR(SUMIFS('Base bordo CD'!Q$2:Q$875,'Base bordo CD'!D$2:D$875,A27,'Base bordo CD'!A$2:A$875,B27,'Base bordo CD'!L$2:L$875,"CORTE DE CANA MECANIZADO"),0)</f>
        <v>14271</v>
      </c>
      <c r="S27" s="30">
        <f t="shared" si="1"/>
        <v>4.1205837012122482</v>
      </c>
      <c r="T27" s="9">
        <f t="shared" si="2"/>
        <v>0.16525462962962961</v>
      </c>
      <c r="U27" s="9">
        <f t="shared" si="3"/>
        <v>7.9502314814814803E-2</v>
      </c>
      <c r="V27" s="9">
        <f t="shared" si="4"/>
        <v>0.82361111111111107</v>
      </c>
    </row>
    <row r="28" spans="1:22" x14ac:dyDescent="0.35">
      <c r="A28" s="52">
        <v>49587</v>
      </c>
      <c r="B28" s="31">
        <v>46123</v>
      </c>
      <c r="C28" s="7" t="s">
        <v>337</v>
      </c>
      <c r="D28" s="7">
        <v>353</v>
      </c>
      <c r="E28" s="10">
        <f>IFERROR(SUMIFS('Base bordo CD'!M$2:M$875,'Base bordo CD'!D$2:D$875,A28,'Base bordo CD'!A$2:A$875,B28,'Base bordo CD'!L$2:L$875,"CORTE DE CANA MECANIZADO"),0)</f>
        <v>3.9661111111111111</v>
      </c>
      <c r="F28" s="10">
        <f>IFERROR(SUMIFS('Base bordo CD'!M$2:M$875,'Base bordo CD'!D$2:D$875,A28,'Base bordo CD'!A$2:A$875,B28,'Base bordo CD'!L$2:L$875,"MANOBRA"),0)</f>
        <v>1.9080555555555556</v>
      </c>
      <c r="G28" s="10">
        <f>IFERROR(SUMIFS('Base bordo CD'!M$2:M$875,'Base bordo CD'!D$2:D$875,A28,'Base bordo CD'!A$2:A$875,B28,'Base bordo CD'!L$2:L$875,"DESLOCAMENTO"),0)</f>
        <v>0.26722222222222225</v>
      </c>
      <c r="H28" s="10">
        <f>IFERROR(SUMIFS('Base bordo CD'!M$2:M$875,'Base bordo CD'!D$2:D$875,A28,'Base bordo CD'!A$2:A$875,B28,'Base bordo CD'!L$2:L$875,"AGUARDANDO MANOBRA DE TRANSBORDO"),0)+IFERROR(SUMIFS('Base bordo CD'!M$2:M$875,'Base bordo CD'!D$2:D$875,A28,'Base bordo CD'!A$2:A$875,B28,'Base bordo CD'!L$2:L$875,"FALTA DE TRANSBORDO"),0)</f>
        <v>0</v>
      </c>
      <c r="I28" s="10">
        <f>IFERROR(SUMIFS('Base bordo CD'!M$2:M$875,'Base bordo CD'!D$2:D$875,A28,'Base bordo CD'!A$2:A$875,B28,'Base bordo CD'!L$2:L$875,"PARADA POR CONDICOES CLIMATICAS"),0)+IFERROR(SUMIFS('Base bordo CD'!M$2:M$875,'Base bordo CD'!D$2:D$875,A28,'Base bordo CD'!A$2:A$875,B28,'Base bordo CD'!L$2:L$875,"TEMPO INDETERMINADO"),0)</f>
        <v>17.679722222222225</v>
      </c>
      <c r="J28" s="10">
        <f>IFERROR(SUMIFS('Base bordo CD'!M$2:M$875,'Base bordo CD'!D$2:D$875,A28,'Base bordo CD'!A$2:A$875,B28,'Base bordo CD'!L$2:L$875,"LIMITAÇÃO INDÚSTRIA"),0)</f>
        <v>0</v>
      </c>
      <c r="K28" s="10">
        <f>IFERROR(SUMIFS('Base bordo CD'!M$2:M$875,'Base bordo CD'!D$2:D$875,A28,'Base bordo CD'!A$2:A$875,B28,'Base bordo CD'!L$2:L$875,"MAN CORRETIVA*"),0)+IFERROR(SUMIFS('Base bordo CD'!M$2:M$875,'Base bordo CD'!D$2:D$875,A28,'Base bordo CD'!A$2:A$875,B28,'Base bordo CD'!L$2:L$875,"AGUARDANDO MANUTENCAO*"),0)+IFERROR(SUMIFS('Base bordo CD'!M$2:M$875,'Base bordo CD'!D$2:D$875,A28,'Base bordo CD'!A$2:A$875,B28,'Base bordo CD'!L$2:L$875,"TROCA DE FAQUINHA"),0)+IFERROR(SUMIFS('Base bordo CD'!M$2:M$875,'Base bordo CD'!D$2:D$875,A28,'Base bordo CD'!A$2:A$875,B28,'Base bordo CD'!L$2:L$875,"LIMPEZA*"),0)</f>
        <v>0</v>
      </c>
      <c r="L28" s="10">
        <f>IFERROR(SUMIFS('Base bordo CD'!M$2:M$875,'Base bordo CD'!D$2:D$875,A28,'Base bordo CD'!A$2:A$875,B28,'Base bordo CD'!L$2:L$875,"PATIO - RESERVA"),0)</f>
        <v>0</v>
      </c>
      <c r="M28" s="10">
        <f>IFERROR(SUMIFS('Base bordo CD'!M$2:M$875,'Base bordo CD'!D$2:D$875,A28,'Base bordo CD'!A$2:A$875,B28,'Base bordo CD'!L$2:L$875,"SEM APONTAMENTO"),0)</f>
        <v>0.17888888888888888</v>
      </c>
      <c r="N28" s="10">
        <f>IFERROR(SUMIFS('Base bordo CD'!M$2:M$875,'Base bordo CD'!D$2:D$875,A28,'Base bordo CD'!A$2:A$875,B28,'Base bordo CD'!L$2:L$875,"FALTA DE CAMINHÃO"),0)+IFERROR(SUMIFS('Base bordo CD'!M$2:M$875,'Base bordo CD'!D$2:D$875,A28,'Base bordo CD'!A$2:A$875,B28,'Base bordo CD'!L$2:L$875,"FALTA DE COMBUSTIVEL"),0)+IFERROR(SUMIFS('Base bordo CD'!M$2:M$875,'Base bordo CD'!D$2:D$875,A28,'Base bordo CD'!A$2:A$875,B28,'Base bordo CD'!L$2:L$875,"FALTA DE MOTORIST*"),0)</f>
        <v>0</v>
      </c>
      <c r="O28" s="10">
        <f t="shared" si="0"/>
        <v>0</v>
      </c>
      <c r="P28" s="10">
        <f>IFERROR(SUMIFS('Base bordo CD'!M$2:M$875,'Base bordo CD'!D$2:D$875,A28,'Base bordo CD'!A$2:A$875,B28),0)</f>
        <v>24.000000000000004</v>
      </c>
      <c r="Q28" s="10">
        <f>IFERROR(SUMIFS('Base bordo CD'!O$2:O$875,'Base bordo CD'!D$2:D$875,A28,'Base bordo CD'!A$2:A$875,B28,'Base bordo CD'!L$2:L$875,"CORTE DE CANA MECANIZADO"),0)</f>
        <v>58804.849999999991</v>
      </c>
      <c r="R28" s="10">
        <f>IFERROR(SUMIFS('Base bordo CD'!Q$2:Q$875,'Base bordo CD'!D$2:D$875,A28,'Base bordo CD'!A$2:A$875,B28,'Base bordo CD'!L$2:L$875,"CORTE DE CANA MECANIZADO"),0)</f>
        <v>14271</v>
      </c>
      <c r="S28" s="30">
        <f t="shared" si="1"/>
        <v>4.1205837012122482</v>
      </c>
      <c r="T28" s="9">
        <f t="shared" si="2"/>
        <v>0.16525462962962961</v>
      </c>
      <c r="U28" s="9">
        <f t="shared" si="3"/>
        <v>7.9502314814814803E-2</v>
      </c>
      <c r="V28" s="9">
        <f t="shared" si="4"/>
        <v>0.82361111111111107</v>
      </c>
    </row>
    <row r="29" spans="1:22" x14ac:dyDescent="0.35">
      <c r="A29" s="52">
        <v>49587</v>
      </c>
      <c r="B29" s="31">
        <v>46123</v>
      </c>
      <c r="C29" s="7" t="s">
        <v>337</v>
      </c>
      <c r="D29" s="7">
        <v>353</v>
      </c>
      <c r="E29" s="10">
        <f>IFERROR(SUMIFS('Base bordo CD'!M$2:M$875,'Base bordo CD'!D$2:D$875,A29,'Base bordo CD'!A$2:A$875,B29,'Base bordo CD'!L$2:L$875,"CORTE DE CANA MECANIZADO"),0)</f>
        <v>3.9661111111111111</v>
      </c>
      <c r="F29" s="10">
        <f>IFERROR(SUMIFS('Base bordo CD'!M$2:M$875,'Base bordo CD'!D$2:D$875,A29,'Base bordo CD'!A$2:A$875,B29,'Base bordo CD'!L$2:L$875,"MANOBRA"),0)</f>
        <v>1.9080555555555556</v>
      </c>
      <c r="G29" s="10">
        <f>IFERROR(SUMIFS('Base bordo CD'!M$2:M$875,'Base bordo CD'!D$2:D$875,A29,'Base bordo CD'!A$2:A$875,B29,'Base bordo CD'!L$2:L$875,"DESLOCAMENTO"),0)</f>
        <v>0.26722222222222225</v>
      </c>
      <c r="H29" s="10">
        <f>IFERROR(SUMIFS('Base bordo CD'!M$2:M$875,'Base bordo CD'!D$2:D$875,A29,'Base bordo CD'!A$2:A$875,B29,'Base bordo CD'!L$2:L$875,"AGUARDANDO MANOBRA DE TRANSBORDO"),0)+IFERROR(SUMIFS('Base bordo CD'!M$2:M$875,'Base bordo CD'!D$2:D$875,A29,'Base bordo CD'!A$2:A$875,B29,'Base bordo CD'!L$2:L$875,"FALTA DE TRANSBORDO"),0)</f>
        <v>0</v>
      </c>
      <c r="I29" s="10">
        <f>IFERROR(SUMIFS('Base bordo CD'!M$2:M$875,'Base bordo CD'!D$2:D$875,A29,'Base bordo CD'!A$2:A$875,B29,'Base bordo CD'!L$2:L$875,"PARADA POR CONDICOES CLIMATICAS"),0)+IFERROR(SUMIFS('Base bordo CD'!M$2:M$875,'Base bordo CD'!D$2:D$875,A29,'Base bordo CD'!A$2:A$875,B29,'Base bordo CD'!L$2:L$875,"TEMPO INDETERMINADO"),0)</f>
        <v>17.679722222222225</v>
      </c>
      <c r="J29" s="10">
        <f>IFERROR(SUMIFS('Base bordo CD'!M$2:M$875,'Base bordo CD'!D$2:D$875,A29,'Base bordo CD'!A$2:A$875,B29,'Base bordo CD'!L$2:L$875,"LIMITAÇÃO INDÚSTRIA"),0)</f>
        <v>0</v>
      </c>
      <c r="K29" s="10">
        <f>IFERROR(SUMIFS('Base bordo CD'!M$2:M$875,'Base bordo CD'!D$2:D$875,A29,'Base bordo CD'!A$2:A$875,B29,'Base bordo CD'!L$2:L$875,"MAN CORRETIVA*"),0)+IFERROR(SUMIFS('Base bordo CD'!M$2:M$875,'Base bordo CD'!D$2:D$875,A29,'Base bordo CD'!A$2:A$875,B29,'Base bordo CD'!L$2:L$875,"AGUARDANDO MANUTENCAO*"),0)+IFERROR(SUMIFS('Base bordo CD'!M$2:M$875,'Base bordo CD'!D$2:D$875,A29,'Base bordo CD'!A$2:A$875,B29,'Base bordo CD'!L$2:L$875,"TROCA DE FAQUINHA"),0)+IFERROR(SUMIFS('Base bordo CD'!M$2:M$875,'Base bordo CD'!D$2:D$875,A29,'Base bordo CD'!A$2:A$875,B29,'Base bordo CD'!L$2:L$875,"LIMPEZA*"),0)</f>
        <v>0</v>
      </c>
      <c r="L29" s="10">
        <f>IFERROR(SUMIFS('Base bordo CD'!M$2:M$875,'Base bordo CD'!D$2:D$875,A29,'Base bordo CD'!A$2:A$875,B29,'Base bordo CD'!L$2:L$875,"PATIO - RESERVA"),0)</f>
        <v>0</v>
      </c>
      <c r="M29" s="10">
        <f>IFERROR(SUMIFS('Base bordo CD'!M$2:M$875,'Base bordo CD'!D$2:D$875,A29,'Base bordo CD'!A$2:A$875,B29,'Base bordo CD'!L$2:L$875,"SEM APONTAMENTO"),0)</f>
        <v>0.17888888888888888</v>
      </c>
      <c r="N29" s="10">
        <f>IFERROR(SUMIFS('Base bordo CD'!M$2:M$875,'Base bordo CD'!D$2:D$875,A29,'Base bordo CD'!A$2:A$875,B29,'Base bordo CD'!L$2:L$875,"FALTA DE CAMINHÃO"),0)+IFERROR(SUMIFS('Base bordo CD'!M$2:M$875,'Base bordo CD'!D$2:D$875,A29,'Base bordo CD'!A$2:A$875,B29,'Base bordo CD'!L$2:L$875,"FALTA DE COMBUSTIVEL"),0)+IFERROR(SUMIFS('Base bordo CD'!M$2:M$875,'Base bordo CD'!D$2:D$875,A29,'Base bordo CD'!A$2:A$875,B29,'Base bordo CD'!L$2:L$875,"FALTA DE MOTORIST*"),0)</f>
        <v>0</v>
      </c>
      <c r="O29" s="10">
        <f t="shared" si="0"/>
        <v>0</v>
      </c>
      <c r="P29" s="10">
        <f>IFERROR(SUMIFS('Base bordo CD'!M$2:M$875,'Base bordo CD'!D$2:D$875,A29,'Base bordo CD'!A$2:A$875,B29),0)</f>
        <v>24.000000000000004</v>
      </c>
      <c r="Q29" s="10">
        <f>IFERROR(SUMIFS('Base bordo CD'!O$2:O$875,'Base bordo CD'!D$2:D$875,A29,'Base bordo CD'!A$2:A$875,B29,'Base bordo CD'!L$2:L$875,"CORTE DE CANA MECANIZADO"),0)</f>
        <v>58804.849999999991</v>
      </c>
      <c r="R29" s="10">
        <f>IFERROR(SUMIFS('Base bordo CD'!Q$2:Q$875,'Base bordo CD'!D$2:D$875,A29,'Base bordo CD'!A$2:A$875,B29,'Base bordo CD'!L$2:L$875,"CORTE DE CANA MECANIZADO"),0)</f>
        <v>14271</v>
      </c>
      <c r="S29" s="30">
        <f t="shared" si="1"/>
        <v>4.1205837012122482</v>
      </c>
      <c r="T29" s="9">
        <f t="shared" si="2"/>
        <v>0.16525462962962961</v>
      </c>
      <c r="U29" s="9">
        <f t="shared" si="3"/>
        <v>7.9502314814814803E-2</v>
      </c>
      <c r="V29" s="9">
        <f t="shared" si="4"/>
        <v>0.82361111111111107</v>
      </c>
    </row>
    <row r="30" spans="1:22" x14ac:dyDescent="0.35">
      <c r="A30" s="52">
        <v>49587</v>
      </c>
      <c r="B30" s="31">
        <v>46123</v>
      </c>
      <c r="C30" s="7" t="s">
        <v>337</v>
      </c>
      <c r="D30" s="7">
        <v>353</v>
      </c>
      <c r="E30" s="10">
        <f>IFERROR(SUMIFS('Base bordo CD'!M$2:M$875,'Base bordo CD'!D$2:D$875,A30,'Base bordo CD'!A$2:A$875,B30,'Base bordo CD'!L$2:L$875,"CORTE DE CANA MECANIZADO"),0)</f>
        <v>3.9661111111111111</v>
      </c>
      <c r="F30" s="10">
        <f>IFERROR(SUMIFS('Base bordo CD'!M$2:M$875,'Base bordo CD'!D$2:D$875,A30,'Base bordo CD'!A$2:A$875,B30,'Base bordo CD'!L$2:L$875,"MANOBRA"),0)</f>
        <v>1.9080555555555556</v>
      </c>
      <c r="G30" s="10">
        <f>IFERROR(SUMIFS('Base bordo CD'!M$2:M$875,'Base bordo CD'!D$2:D$875,A30,'Base bordo CD'!A$2:A$875,B30,'Base bordo CD'!L$2:L$875,"DESLOCAMENTO"),0)</f>
        <v>0.26722222222222225</v>
      </c>
      <c r="H30" s="10">
        <f>IFERROR(SUMIFS('Base bordo CD'!M$2:M$875,'Base bordo CD'!D$2:D$875,A30,'Base bordo CD'!A$2:A$875,B30,'Base bordo CD'!L$2:L$875,"AGUARDANDO MANOBRA DE TRANSBORDO"),0)+IFERROR(SUMIFS('Base bordo CD'!M$2:M$875,'Base bordo CD'!D$2:D$875,A30,'Base bordo CD'!A$2:A$875,B30,'Base bordo CD'!L$2:L$875,"FALTA DE TRANSBORDO"),0)</f>
        <v>0</v>
      </c>
      <c r="I30" s="10">
        <f>IFERROR(SUMIFS('Base bordo CD'!M$2:M$875,'Base bordo CD'!D$2:D$875,A30,'Base bordo CD'!A$2:A$875,B30,'Base bordo CD'!L$2:L$875,"PARADA POR CONDICOES CLIMATICAS"),0)+IFERROR(SUMIFS('Base bordo CD'!M$2:M$875,'Base bordo CD'!D$2:D$875,A30,'Base bordo CD'!A$2:A$875,B30,'Base bordo CD'!L$2:L$875,"TEMPO INDETERMINADO"),0)</f>
        <v>17.679722222222225</v>
      </c>
      <c r="J30" s="10">
        <f>IFERROR(SUMIFS('Base bordo CD'!M$2:M$875,'Base bordo CD'!D$2:D$875,A30,'Base bordo CD'!A$2:A$875,B30,'Base bordo CD'!L$2:L$875,"LIMITAÇÃO INDÚSTRIA"),0)</f>
        <v>0</v>
      </c>
      <c r="K30" s="10">
        <f>IFERROR(SUMIFS('Base bordo CD'!M$2:M$875,'Base bordo CD'!D$2:D$875,A30,'Base bordo CD'!A$2:A$875,B30,'Base bordo CD'!L$2:L$875,"MAN CORRETIVA*"),0)+IFERROR(SUMIFS('Base bordo CD'!M$2:M$875,'Base bordo CD'!D$2:D$875,A30,'Base bordo CD'!A$2:A$875,B30,'Base bordo CD'!L$2:L$875,"AGUARDANDO MANUTENCAO*"),0)+IFERROR(SUMIFS('Base bordo CD'!M$2:M$875,'Base bordo CD'!D$2:D$875,A30,'Base bordo CD'!A$2:A$875,B30,'Base bordo CD'!L$2:L$875,"TROCA DE FAQUINHA"),0)+IFERROR(SUMIFS('Base bordo CD'!M$2:M$875,'Base bordo CD'!D$2:D$875,A30,'Base bordo CD'!A$2:A$875,B30,'Base bordo CD'!L$2:L$875,"LIMPEZA*"),0)</f>
        <v>0</v>
      </c>
      <c r="L30" s="10">
        <f>IFERROR(SUMIFS('Base bordo CD'!M$2:M$875,'Base bordo CD'!D$2:D$875,A30,'Base bordo CD'!A$2:A$875,B30,'Base bordo CD'!L$2:L$875,"PATIO - RESERVA"),0)</f>
        <v>0</v>
      </c>
      <c r="M30" s="10">
        <f>IFERROR(SUMIFS('Base bordo CD'!M$2:M$875,'Base bordo CD'!D$2:D$875,A30,'Base bordo CD'!A$2:A$875,B30,'Base bordo CD'!L$2:L$875,"SEM APONTAMENTO"),0)</f>
        <v>0.17888888888888888</v>
      </c>
      <c r="N30" s="10">
        <f>IFERROR(SUMIFS('Base bordo CD'!M$2:M$875,'Base bordo CD'!D$2:D$875,A30,'Base bordo CD'!A$2:A$875,B30,'Base bordo CD'!L$2:L$875,"FALTA DE CAMINHÃO"),0)+IFERROR(SUMIFS('Base bordo CD'!M$2:M$875,'Base bordo CD'!D$2:D$875,A30,'Base bordo CD'!A$2:A$875,B30,'Base bordo CD'!L$2:L$875,"FALTA DE COMBUSTIVEL"),0)+IFERROR(SUMIFS('Base bordo CD'!M$2:M$875,'Base bordo CD'!D$2:D$875,A30,'Base bordo CD'!A$2:A$875,B30,'Base bordo CD'!L$2:L$875,"FALTA DE MOTORIST*"),0)</f>
        <v>0</v>
      </c>
      <c r="O30" s="10">
        <f t="shared" si="0"/>
        <v>0</v>
      </c>
      <c r="P30" s="10">
        <f>IFERROR(SUMIFS('Base bordo CD'!M$2:M$875,'Base bordo CD'!D$2:D$875,A30,'Base bordo CD'!A$2:A$875,B30),0)</f>
        <v>24.000000000000004</v>
      </c>
      <c r="Q30" s="10">
        <f>IFERROR(SUMIFS('Base bordo CD'!O$2:O$875,'Base bordo CD'!D$2:D$875,A30,'Base bordo CD'!A$2:A$875,B30,'Base bordo CD'!L$2:L$875,"CORTE DE CANA MECANIZADO"),0)</f>
        <v>58804.849999999991</v>
      </c>
      <c r="R30" s="10">
        <f>IFERROR(SUMIFS('Base bordo CD'!Q$2:Q$875,'Base bordo CD'!D$2:D$875,A30,'Base bordo CD'!A$2:A$875,B30,'Base bordo CD'!L$2:L$875,"CORTE DE CANA MECANIZADO"),0)</f>
        <v>14271</v>
      </c>
      <c r="S30" s="30">
        <f t="shared" si="1"/>
        <v>4.1205837012122482</v>
      </c>
      <c r="T30" s="9">
        <f t="shared" si="2"/>
        <v>0.16525462962962961</v>
      </c>
      <c r="U30" s="9">
        <f t="shared" si="3"/>
        <v>7.9502314814814803E-2</v>
      </c>
      <c r="V30" s="9">
        <f t="shared" si="4"/>
        <v>0.82361111111111107</v>
      </c>
    </row>
    <row r="31" spans="1:22" x14ac:dyDescent="0.35">
      <c r="A31" s="52">
        <v>49587</v>
      </c>
      <c r="B31" s="31">
        <v>46123</v>
      </c>
      <c r="C31" s="7" t="s">
        <v>337</v>
      </c>
      <c r="D31" s="7">
        <v>353</v>
      </c>
      <c r="E31" s="10">
        <f>IFERROR(SUMIFS('Base bordo CD'!M$2:M$875,'Base bordo CD'!D$2:D$875,A31,'Base bordo CD'!A$2:A$875,B31,'Base bordo CD'!L$2:L$875,"CORTE DE CANA MECANIZADO"),0)</f>
        <v>3.9661111111111111</v>
      </c>
      <c r="F31" s="10">
        <f>IFERROR(SUMIFS('Base bordo CD'!M$2:M$875,'Base bordo CD'!D$2:D$875,A31,'Base bordo CD'!A$2:A$875,B31,'Base bordo CD'!L$2:L$875,"MANOBRA"),0)</f>
        <v>1.9080555555555556</v>
      </c>
      <c r="G31" s="10">
        <f>IFERROR(SUMIFS('Base bordo CD'!M$2:M$875,'Base bordo CD'!D$2:D$875,A31,'Base bordo CD'!A$2:A$875,B31,'Base bordo CD'!L$2:L$875,"DESLOCAMENTO"),0)</f>
        <v>0.26722222222222225</v>
      </c>
      <c r="H31" s="10">
        <f>IFERROR(SUMIFS('Base bordo CD'!M$2:M$875,'Base bordo CD'!D$2:D$875,A31,'Base bordo CD'!A$2:A$875,B31,'Base bordo CD'!L$2:L$875,"AGUARDANDO MANOBRA DE TRANSBORDO"),0)+IFERROR(SUMIFS('Base bordo CD'!M$2:M$875,'Base bordo CD'!D$2:D$875,A31,'Base bordo CD'!A$2:A$875,B31,'Base bordo CD'!L$2:L$875,"FALTA DE TRANSBORDO"),0)</f>
        <v>0</v>
      </c>
      <c r="I31" s="10">
        <f>IFERROR(SUMIFS('Base bordo CD'!M$2:M$875,'Base bordo CD'!D$2:D$875,A31,'Base bordo CD'!A$2:A$875,B31,'Base bordo CD'!L$2:L$875,"PARADA POR CONDICOES CLIMATICAS"),0)+IFERROR(SUMIFS('Base bordo CD'!M$2:M$875,'Base bordo CD'!D$2:D$875,A31,'Base bordo CD'!A$2:A$875,B31,'Base bordo CD'!L$2:L$875,"TEMPO INDETERMINADO"),0)</f>
        <v>17.679722222222225</v>
      </c>
      <c r="J31" s="10">
        <f>IFERROR(SUMIFS('Base bordo CD'!M$2:M$875,'Base bordo CD'!D$2:D$875,A31,'Base bordo CD'!A$2:A$875,B31,'Base bordo CD'!L$2:L$875,"LIMITAÇÃO INDÚSTRIA"),0)</f>
        <v>0</v>
      </c>
      <c r="K31" s="10">
        <f>IFERROR(SUMIFS('Base bordo CD'!M$2:M$875,'Base bordo CD'!D$2:D$875,A31,'Base bordo CD'!A$2:A$875,B31,'Base bordo CD'!L$2:L$875,"MAN CORRETIVA*"),0)+IFERROR(SUMIFS('Base bordo CD'!M$2:M$875,'Base bordo CD'!D$2:D$875,A31,'Base bordo CD'!A$2:A$875,B31,'Base bordo CD'!L$2:L$875,"AGUARDANDO MANUTENCAO*"),0)+IFERROR(SUMIFS('Base bordo CD'!M$2:M$875,'Base bordo CD'!D$2:D$875,A31,'Base bordo CD'!A$2:A$875,B31,'Base bordo CD'!L$2:L$875,"TROCA DE FAQUINHA"),0)+IFERROR(SUMIFS('Base bordo CD'!M$2:M$875,'Base bordo CD'!D$2:D$875,A31,'Base bordo CD'!A$2:A$875,B31,'Base bordo CD'!L$2:L$875,"LIMPEZA*"),0)</f>
        <v>0</v>
      </c>
      <c r="L31" s="10">
        <f>IFERROR(SUMIFS('Base bordo CD'!M$2:M$875,'Base bordo CD'!D$2:D$875,A31,'Base bordo CD'!A$2:A$875,B31,'Base bordo CD'!L$2:L$875,"PATIO - RESERVA"),0)</f>
        <v>0</v>
      </c>
      <c r="M31" s="10">
        <f>IFERROR(SUMIFS('Base bordo CD'!M$2:M$875,'Base bordo CD'!D$2:D$875,A31,'Base bordo CD'!A$2:A$875,B31,'Base bordo CD'!L$2:L$875,"SEM APONTAMENTO"),0)</f>
        <v>0.17888888888888888</v>
      </c>
      <c r="N31" s="10">
        <f>IFERROR(SUMIFS('Base bordo CD'!M$2:M$875,'Base bordo CD'!D$2:D$875,A31,'Base bordo CD'!A$2:A$875,B31,'Base bordo CD'!L$2:L$875,"FALTA DE CAMINHÃO"),0)+IFERROR(SUMIFS('Base bordo CD'!M$2:M$875,'Base bordo CD'!D$2:D$875,A31,'Base bordo CD'!A$2:A$875,B31,'Base bordo CD'!L$2:L$875,"FALTA DE COMBUSTIVEL"),0)+IFERROR(SUMIFS('Base bordo CD'!M$2:M$875,'Base bordo CD'!D$2:D$875,A31,'Base bordo CD'!A$2:A$875,B31,'Base bordo CD'!L$2:L$875,"FALTA DE MOTORIST*"),0)</f>
        <v>0</v>
      </c>
      <c r="O31" s="10">
        <f t="shared" si="0"/>
        <v>0</v>
      </c>
      <c r="P31" s="10">
        <f>IFERROR(SUMIFS('Base bordo CD'!M$2:M$875,'Base bordo CD'!D$2:D$875,A31,'Base bordo CD'!A$2:A$875,B31),0)</f>
        <v>24.000000000000004</v>
      </c>
      <c r="Q31" s="10">
        <f>IFERROR(SUMIFS('Base bordo CD'!O$2:O$875,'Base bordo CD'!D$2:D$875,A31,'Base bordo CD'!A$2:A$875,B31,'Base bordo CD'!L$2:L$875,"CORTE DE CANA MECANIZADO"),0)</f>
        <v>58804.849999999991</v>
      </c>
      <c r="R31" s="10">
        <f>IFERROR(SUMIFS('Base bordo CD'!Q$2:Q$875,'Base bordo CD'!D$2:D$875,A31,'Base bordo CD'!A$2:A$875,B31,'Base bordo CD'!L$2:L$875,"CORTE DE CANA MECANIZADO"),0)</f>
        <v>14271</v>
      </c>
      <c r="S31" s="30">
        <f t="shared" si="1"/>
        <v>4.1205837012122482</v>
      </c>
      <c r="T31" s="9">
        <f t="shared" si="2"/>
        <v>0.16525462962962961</v>
      </c>
      <c r="U31" s="9">
        <f t="shared" si="3"/>
        <v>7.9502314814814803E-2</v>
      </c>
      <c r="V31" s="9">
        <f t="shared" si="4"/>
        <v>0.82361111111111107</v>
      </c>
    </row>
    <row r="32" spans="1:22" x14ac:dyDescent="0.35">
      <c r="A32" s="52">
        <v>49587</v>
      </c>
      <c r="B32" s="31">
        <v>46123</v>
      </c>
      <c r="C32" s="7" t="s">
        <v>337</v>
      </c>
      <c r="D32" s="7">
        <v>353</v>
      </c>
      <c r="E32" s="10">
        <f>IFERROR(SUMIFS('Base bordo CD'!M$2:M$875,'Base bordo CD'!D$2:D$875,A32,'Base bordo CD'!A$2:A$875,B32,'Base bordo CD'!L$2:L$875,"CORTE DE CANA MECANIZADO"),0)</f>
        <v>3.9661111111111111</v>
      </c>
      <c r="F32" s="10">
        <f>IFERROR(SUMIFS('Base bordo CD'!M$2:M$875,'Base bordo CD'!D$2:D$875,A32,'Base bordo CD'!A$2:A$875,B32,'Base bordo CD'!L$2:L$875,"MANOBRA"),0)</f>
        <v>1.9080555555555556</v>
      </c>
      <c r="G32" s="10">
        <f>IFERROR(SUMIFS('Base bordo CD'!M$2:M$875,'Base bordo CD'!D$2:D$875,A32,'Base bordo CD'!A$2:A$875,B32,'Base bordo CD'!L$2:L$875,"DESLOCAMENTO"),0)</f>
        <v>0.26722222222222225</v>
      </c>
      <c r="H32" s="10">
        <f>IFERROR(SUMIFS('Base bordo CD'!M$2:M$875,'Base bordo CD'!D$2:D$875,A32,'Base bordo CD'!A$2:A$875,B32,'Base bordo CD'!L$2:L$875,"AGUARDANDO MANOBRA DE TRANSBORDO"),0)+IFERROR(SUMIFS('Base bordo CD'!M$2:M$875,'Base bordo CD'!D$2:D$875,A32,'Base bordo CD'!A$2:A$875,B32,'Base bordo CD'!L$2:L$875,"FALTA DE TRANSBORDO"),0)</f>
        <v>0</v>
      </c>
      <c r="I32" s="10">
        <f>IFERROR(SUMIFS('Base bordo CD'!M$2:M$875,'Base bordo CD'!D$2:D$875,A32,'Base bordo CD'!A$2:A$875,B32,'Base bordo CD'!L$2:L$875,"PARADA POR CONDICOES CLIMATICAS"),0)+IFERROR(SUMIFS('Base bordo CD'!M$2:M$875,'Base bordo CD'!D$2:D$875,A32,'Base bordo CD'!A$2:A$875,B32,'Base bordo CD'!L$2:L$875,"TEMPO INDETERMINADO"),0)</f>
        <v>17.679722222222225</v>
      </c>
      <c r="J32" s="10">
        <f>IFERROR(SUMIFS('Base bordo CD'!M$2:M$875,'Base bordo CD'!D$2:D$875,A32,'Base bordo CD'!A$2:A$875,B32,'Base bordo CD'!L$2:L$875,"LIMITAÇÃO INDÚSTRIA"),0)</f>
        <v>0</v>
      </c>
      <c r="K32" s="10">
        <f>IFERROR(SUMIFS('Base bordo CD'!M$2:M$875,'Base bordo CD'!D$2:D$875,A32,'Base bordo CD'!A$2:A$875,B32,'Base bordo CD'!L$2:L$875,"MAN CORRETIVA*"),0)+IFERROR(SUMIFS('Base bordo CD'!M$2:M$875,'Base bordo CD'!D$2:D$875,A32,'Base bordo CD'!A$2:A$875,B32,'Base bordo CD'!L$2:L$875,"AGUARDANDO MANUTENCAO*"),0)+IFERROR(SUMIFS('Base bordo CD'!M$2:M$875,'Base bordo CD'!D$2:D$875,A32,'Base bordo CD'!A$2:A$875,B32,'Base bordo CD'!L$2:L$875,"TROCA DE FAQUINHA"),0)+IFERROR(SUMIFS('Base bordo CD'!M$2:M$875,'Base bordo CD'!D$2:D$875,A32,'Base bordo CD'!A$2:A$875,B32,'Base bordo CD'!L$2:L$875,"LIMPEZA*"),0)</f>
        <v>0</v>
      </c>
      <c r="L32" s="10">
        <f>IFERROR(SUMIFS('Base bordo CD'!M$2:M$875,'Base bordo CD'!D$2:D$875,A32,'Base bordo CD'!A$2:A$875,B32,'Base bordo CD'!L$2:L$875,"PATIO - RESERVA"),0)</f>
        <v>0</v>
      </c>
      <c r="M32" s="10">
        <f>IFERROR(SUMIFS('Base bordo CD'!M$2:M$875,'Base bordo CD'!D$2:D$875,A32,'Base bordo CD'!A$2:A$875,B32,'Base bordo CD'!L$2:L$875,"SEM APONTAMENTO"),0)</f>
        <v>0.17888888888888888</v>
      </c>
      <c r="N32" s="10">
        <f>IFERROR(SUMIFS('Base bordo CD'!M$2:M$875,'Base bordo CD'!D$2:D$875,A32,'Base bordo CD'!A$2:A$875,B32,'Base bordo CD'!L$2:L$875,"FALTA DE CAMINHÃO"),0)+IFERROR(SUMIFS('Base bordo CD'!M$2:M$875,'Base bordo CD'!D$2:D$875,A32,'Base bordo CD'!A$2:A$875,B32,'Base bordo CD'!L$2:L$875,"FALTA DE COMBUSTIVEL"),0)+IFERROR(SUMIFS('Base bordo CD'!M$2:M$875,'Base bordo CD'!D$2:D$875,A32,'Base bordo CD'!A$2:A$875,B32,'Base bordo CD'!L$2:L$875,"FALTA DE MOTORIST*"),0)</f>
        <v>0</v>
      </c>
      <c r="O32" s="10">
        <f t="shared" si="0"/>
        <v>0</v>
      </c>
      <c r="P32" s="10">
        <f>IFERROR(SUMIFS('Base bordo CD'!M$2:M$875,'Base bordo CD'!D$2:D$875,A32,'Base bordo CD'!A$2:A$875,B32),0)</f>
        <v>24.000000000000004</v>
      </c>
      <c r="Q32" s="10">
        <f>IFERROR(SUMIFS('Base bordo CD'!O$2:O$875,'Base bordo CD'!D$2:D$875,A32,'Base bordo CD'!A$2:A$875,B32,'Base bordo CD'!L$2:L$875,"CORTE DE CANA MECANIZADO"),0)</f>
        <v>58804.849999999991</v>
      </c>
      <c r="R32" s="10">
        <f>IFERROR(SUMIFS('Base bordo CD'!Q$2:Q$875,'Base bordo CD'!D$2:D$875,A32,'Base bordo CD'!A$2:A$875,B32,'Base bordo CD'!L$2:L$875,"CORTE DE CANA MECANIZADO"),0)</f>
        <v>14271</v>
      </c>
      <c r="S32" s="30">
        <f t="shared" si="1"/>
        <v>4.1205837012122482</v>
      </c>
      <c r="T32" s="9">
        <f t="shared" si="2"/>
        <v>0.16525462962962961</v>
      </c>
      <c r="U32" s="9">
        <f t="shared" si="3"/>
        <v>7.9502314814814803E-2</v>
      </c>
      <c r="V32" s="9">
        <f t="shared" si="4"/>
        <v>0.82361111111111107</v>
      </c>
    </row>
    <row r="33" spans="1:22" x14ac:dyDescent="0.35">
      <c r="A33" s="52">
        <v>49587</v>
      </c>
      <c r="B33" s="31">
        <v>46123</v>
      </c>
      <c r="C33" s="7" t="s">
        <v>337</v>
      </c>
      <c r="D33" s="7">
        <v>353</v>
      </c>
      <c r="E33" s="10">
        <f>IFERROR(SUMIFS('Base bordo CD'!M$2:M$875,'Base bordo CD'!D$2:D$875,A33,'Base bordo CD'!A$2:A$875,B33,'Base bordo CD'!L$2:L$875,"CORTE DE CANA MECANIZADO"),0)</f>
        <v>3.9661111111111111</v>
      </c>
      <c r="F33" s="10">
        <f>IFERROR(SUMIFS('Base bordo CD'!M$2:M$875,'Base bordo CD'!D$2:D$875,A33,'Base bordo CD'!A$2:A$875,B33,'Base bordo CD'!L$2:L$875,"MANOBRA"),0)</f>
        <v>1.9080555555555556</v>
      </c>
      <c r="G33" s="10">
        <f>IFERROR(SUMIFS('Base bordo CD'!M$2:M$875,'Base bordo CD'!D$2:D$875,A33,'Base bordo CD'!A$2:A$875,B33,'Base bordo CD'!L$2:L$875,"DESLOCAMENTO"),0)</f>
        <v>0.26722222222222225</v>
      </c>
      <c r="H33" s="10">
        <f>IFERROR(SUMIFS('Base bordo CD'!M$2:M$875,'Base bordo CD'!D$2:D$875,A33,'Base bordo CD'!A$2:A$875,B33,'Base bordo CD'!L$2:L$875,"AGUARDANDO MANOBRA DE TRANSBORDO"),0)+IFERROR(SUMIFS('Base bordo CD'!M$2:M$875,'Base bordo CD'!D$2:D$875,A33,'Base bordo CD'!A$2:A$875,B33,'Base bordo CD'!L$2:L$875,"FALTA DE TRANSBORDO"),0)</f>
        <v>0</v>
      </c>
      <c r="I33" s="10">
        <f>IFERROR(SUMIFS('Base bordo CD'!M$2:M$875,'Base bordo CD'!D$2:D$875,A33,'Base bordo CD'!A$2:A$875,B33,'Base bordo CD'!L$2:L$875,"PARADA POR CONDICOES CLIMATICAS"),0)+IFERROR(SUMIFS('Base bordo CD'!M$2:M$875,'Base bordo CD'!D$2:D$875,A33,'Base bordo CD'!A$2:A$875,B33,'Base bordo CD'!L$2:L$875,"TEMPO INDETERMINADO"),0)</f>
        <v>17.679722222222225</v>
      </c>
      <c r="J33" s="10">
        <f>IFERROR(SUMIFS('Base bordo CD'!M$2:M$875,'Base bordo CD'!D$2:D$875,A33,'Base bordo CD'!A$2:A$875,B33,'Base bordo CD'!L$2:L$875,"LIMITAÇÃO INDÚSTRIA"),0)</f>
        <v>0</v>
      </c>
      <c r="K33" s="10">
        <f>IFERROR(SUMIFS('Base bordo CD'!M$2:M$875,'Base bordo CD'!D$2:D$875,A33,'Base bordo CD'!A$2:A$875,B33,'Base bordo CD'!L$2:L$875,"MAN CORRETIVA*"),0)+IFERROR(SUMIFS('Base bordo CD'!M$2:M$875,'Base bordo CD'!D$2:D$875,A33,'Base bordo CD'!A$2:A$875,B33,'Base bordo CD'!L$2:L$875,"AGUARDANDO MANUTENCAO*"),0)+IFERROR(SUMIFS('Base bordo CD'!M$2:M$875,'Base bordo CD'!D$2:D$875,A33,'Base bordo CD'!A$2:A$875,B33,'Base bordo CD'!L$2:L$875,"TROCA DE FAQUINHA"),0)+IFERROR(SUMIFS('Base bordo CD'!M$2:M$875,'Base bordo CD'!D$2:D$875,A33,'Base bordo CD'!A$2:A$875,B33,'Base bordo CD'!L$2:L$875,"LIMPEZA*"),0)</f>
        <v>0</v>
      </c>
      <c r="L33" s="10">
        <f>IFERROR(SUMIFS('Base bordo CD'!M$2:M$875,'Base bordo CD'!D$2:D$875,A33,'Base bordo CD'!A$2:A$875,B33,'Base bordo CD'!L$2:L$875,"PATIO - RESERVA"),0)</f>
        <v>0</v>
      </c>
      <c r="M33" s="10">
        <f>IFERROR(SUMIFS('Base bordo CD'!M$2:M$875,'Base bordo CD'!D$2:D$875,A33,'Base bordo CD'!A$2:A$875,B33,'Base bordo CD'!L$2:L$875,"SEM APONTAMENTO"),0)</f>
        <v>0.17888888888888888</v>
      </c>
      <c r="N33" s="10">
        <f>IFERROR(SUMIFS('Base bordo CD'!M$2:M$875,'Base bordo CD'!D$2:D$875,A33,'Base bordo CD'!A$2:A$875,B33,'Base bordo CD'!L$2:L$875,"FALTA DE CAMINHÃO"),0)+IFERROR(SUMIFS('Base bordo CD'!M$2:M$875,'Base bordo CD'!D$2:D$875,A33,'Base bordo CD'!A$2:A$875,B33,'Base bordo CD'!L$2:L$875,"FALTA DE COMBUSTIVEL"),0)+IFERROR(SUMIFS('Base bordo CD'!M$2:M$875,'Base bordo CD'!D$2:D$875,A33,'Base bordo CD'!A$2:A$875,B33,'Base bordo CD'!L$2:L$875,"FALTA DE MOTORIST*"),0)</f>
        <v>0</v>
      </c>
      <c r="O33" s="10">
        <f t="shared" si="0"/>
        <v>0</v>
      </c>
      <c r="P33" s="10">
        <f>IFERROR(SUMIFS('Base bordo CD'!M$2:M$875,'Base bordo CD'!D$2:D$875,A33,'Base bordo CD'!A$2:A$875,B33),0)</f>
        <v>24.000000000000004</v>
      </c>
      <c r="Q33" s="10">
        <f>IFERROR(SUMIFS('Base bordo CD'!O$2:O$875,'Base bordo CD'!D$2:D$875,A33,'Base bordo CD'!A$2:A$875,B33,'Base bordo CD'!L$2:L$875,"CORTE DE CANA MECANIZADO"),0)</f>
        <v>58804.849999999991</v>
      </c>
      <c r="R33" s="10">
        <f>IFERROR(SUMIFS('Base bordo CD'!Q$2:Q$875,'Base bordo CD'!D$2:D$875,A33,'Base bordo CD'!A$2:A$875,B33,'Base bordo CD'!L$2:L$875,"CORTE DE CANA MECANIZADO"),0)</f>
        <v>14271</v>
      </c>
      <c r="S33" s="30">
        <f t="shared" si="1"/>
        <v>4.1205837012122482</v>
      </c>
      <c r="T33" s="9">
        <f t="shared" si="2"/>
        <v>0.16525462962962961</v>
      </c>
      <c r="U33" s="9">
        <f t="shared" si="3"/>
        <v>7.9502314814814803E-2</v>
      </c>
      <c r="V33" s="9">
        <f t="shared" si="4"/>
        <v>0.82361111111111107</v>
      </c>
    </row>
    <row r="34" spans="1:22" x14ac:dyDescent="0.35">
      <c r="A34" s="52">
        <v>49587</v>
      </c>
      <c r="B34" s="31">
        <v>46123</v>
      </c>
      <c r="C34" s="7" t="s">
        <v>337</v>
      </c>
      <c r="D34" s="7">
        <v>353</v>
      </c>
      <c r="E34" s="10">
        <f>IFERROR(SUMIFS('Base bordo CD'!M$2:M$875,'Base bordo CD'!D$2:D$875,A34,'Base bordo CD'!A$2:A$875,B34,'Base bordo CD'!L$2:L$875,"CORTE DE CANA MECANIZADO"),0)</f>
        <v>3.9661111111111111</v>
      </c>
      <c r="F34" s="10">
        <f>IFERROR(SUMIFS('Base bordo CD'!M$2:M$875,'Base bordo CD'!D$2:D$875,A34,'Base bordo CD'!A$2:A$875,B34,'Base bordo CD'!L$2:L$875,"MANOBRA"),0)</f>
        <v>1.9080555555555556</v>
      </c>
      <c r="G34" s="10">
        <f>IFERROR(SUMIFS('Base bordo CD'!M$2:M$875,'Base bordo CD'!D$2:D$875,A34,'Base bordo CD'!A$2:A$875,B34,'Base bordo CD'!L$2:L$875,"DESLOCAMENTO"),0)</f>
        <v>0.26722222222222225</v>
      </c>
      <c r="H34" s="10">
        <f>IFERROR(SUMIFS('Base bordo CD'!M$2:M$875,'Base bordo CD'!D$2:D$875,A34,'Base bordo CD'!A$2:A$875,B34,'Base bordo CD'!L$2:L$875,"AGUARDANDO MANOBRA DE TRANSBORDO"),0)+IFERROR(SUMIFS('Base bordo CD'!M$2:M$875,'Base bordo CD'!D$2:D$875,A34,'Base bordo CD'!A$2:A$875,B34,'Base bordo CD'!L$2:L$875,"FALTA DE TRANSBORDO"),0)</f>
        <v>0</v>
      </c>
      <c r="I34" s="10">
        <f>IFERROR(SUMIFS('Base bordo CD'!M$2:M$875,'Base bordo CD'!D$2:D$875,A34,'Base bordo CD'!A$2:A$875,B34,'Base bordo CD'!L$2:L$875,"PARADA POR CONDICOES CLIMATICAS"),0)+IFERROR(SUMIFS('Base bordo CD'!M$2:M$875,'Base bordo CD'!D$2:D$875,A34,'Base bordo CD'!A$2:A$875,B34,'Base bordo CD'!L$2:L$875,"TEMPO INDETERMINADO"),0)</f>
        <v>17.679722222222225</v>
      </c>
      <c r="J34" s="10">
        <f>IFERROR(SUMIFS('Base bordo CD'!M$2:M$875,'Base bordo CD'!D$2:D$875,A34,'Base bordo CD'!A$2:A$875,B34,'Base bordo CD'!L$2:L$875,"LIMITAÇÃO INDÚSTRIA"),0)</f>
        <v>0</v>
      </c>
      <c r="K34" s="10">
        <f>IFERROR(SUMIFS('Base bordo CD'!M$2:M$875,'Base bordo CD'!D$2:D$875,A34,'Base bordo CD'!A$2:A$875,B34,'Base bordo CD'!L$2:L$875,"MAN CORRETIVA*"),0)+IFERROR(SUMIFS('Base bordo CD'!M$2:M$875,'Base bordo CD'!D$2:D$875,A34,'Base bordo CD'!A$2:A$875,B34,'Base bordo CD'!L$2:L$875,"AGUARDANDO MANUTENCAO*"),0)+IFERROR(SUMIFS('Base bordo CD'!M$2:M$875,'Base bordo CD'!D$2:D$875,A34,'Base bordo CD'!A$2:A$875,B34,'Base bordo CD'!L$2:L$875,"TROCA DE FAQUINHA"),0)+IFERROR(SUMIFS('Base bordo CD'!M$2:M$875,'Base bordo CD'!D$2:D$875,A34,'Base bordo CD'!A$2:A$875,B34,'Base bordo CD'!L$2:L$875,"LIMPEZA*"),0)</f>
        <v>0</v>
      </c>
      <c r="L34" s="10">
        <f>IFERROR(SUMIFS('Base bordo CD'!M$2:M$875,'Base bordo CD'!D$2:D$875,A34,'Base bordo CD'!A$2:A$875,B34,'Base bordo CD'!L$2:L$875,"PATIO - RESERVA"),0)</f>
        <v>0</v>
      </c>
      <c r="M34" s="10">
        <f>IFERROR(SUMIFS('Base bordo CD'!M$2:M$875,'Base bordo CD'!D$2:D$875,A34,'Base bordo CD'!A$2:A$875,B34,'Base bordo CD'!L$2:L$875,"SEM APONTAMENTO"),0)</f>
        <v>0.17888888888888888</v>
      </c>
      <c r="N34" s="10">
        <f>IFERROR(SUMIFS('Base bordo CD'!M$2:M$875,'Base bordo CD'!D$2:D$875,A34,'Base bordo CD'!A$2:A$875,B34,'Base bordo CD'!L$2:L$875,"FALTA DE CAMINHÃO"),0)+IFERROR(SUMIFS('Base bordo CD'!M$2:M$875,'Base bordo CD'!D$2:D$875,A34,'Base bordo CD'!A$2:A$875,B34,'Base bordo CD'!L$2:L$875,"FALTA DE COMBUSTIVEL"),0)+IFERROR(SUMIFS('Base bordo CD'!M$2:M$875,'Base bordo CD'!D$2:D$875,A34,'Base bordo CD'!A$2:A$875,B34,'Base bordo CD'!L$2:L$875,"FALTA DE MOTORIST*"),0)</f>
        <v>0</v>
      </c>
      <c r="O34" s="10">
        <f t="shared" ref="O34:O61" si="5">IFERROR(P34-SUM(E34:N34),0)</f>
        <v>0</v>
      </c>
      <c r="P34" s="10">
        <f>IFERROR(SUMIFS('Base bordo CD'!M$2:M$875,'Base bordo CD'!D$2:D$875,A34,'Base bordo CD'!A$2:A$875,B34),0)</f>
        <v>24.000000000000004</v>
      </c>
      <c r="Q34" s="10">
        <f>IFERROR(SUMIFS('Base bordo CD'!O$2:O$875,'Base bordo CD'!D$2:D$875,A34,'Base bordo CD'!A$2:A$875,B34,'Base bordo CD'!L$2:L$875,"CORTE DE CANA MECANIZADO"),0)</f>
        <v>58804.849999999991</v>
      </c>
      <c r="R34" s="10">
        <f>IFERROR(SUMIFS('Base bordo CD'!Q$2:Q$875,'Base bordo CD'!D$2:D$875,A34,'Base bordo CD'!A$2:A$875,B34,'Base bordo CD'!L$2:L$875,"CORTE DE CANA MECANIZADO"),0)</f>
        <v>14271</v>
      </c>
      <c r="S34" s="30">
        <f t="shared" ref="S34:S61" si="6">IFERROR(Q34/R34,"")</f>
        <v>4.1205837012122482</v>
      </c>
      <c r="T34" s="9">
        <f t="shared" ref="T34:T61" si="7">IFERROR(E34/P34,0)</f>
        <v>0.16525462962962961</v>
      </c>
      <c r="U34" s="9">
        <f t="shared" ref="U34:U61" si="8">IFERROR(F34/P34,0)</f>
        <v>7.9502314814814803E-2</v>
      </c>
      <c r="V34" s="9">
        <f t="shared" ref="V34:V61" si="9">IFERROR(1-(E34+G34)/P34,0)</f>
        <v>0.82361111111111107</v>
      </c>
    </row>
    <row r="35" spans="1:22" x14ac:dyDescent="0.35">
      <c r="A35" s="52">
        <v>49587</v>
      </c>
      <c r="B35" s="31">
        <v>46123</v>
      </c>
      <c r="C35" s="7" t="s">
        <v>337</v>
      </c>
      <c r="D35" s="7">
        <v>353</v>
      </c>
      <c r="E35" s="10">
        <f>IFERROR(SUMIFS('Base bordo CD'!M$2:M$875,'Base bordo CD'!D$2:D$875,A35,'Base bordo CD'!A$2:A$875,B35,'Base bordo CD'!L$2:L$875,"CORTE DE CANA MECANIZADO"),0)</f>
        <v>3.9661111111111111</v>
      </c>
      <c r="F35" s="10">
        <f>IFERROR(SUMIFS('Base bordo CD'!M$2:M$875,'Base bordo CD'!D$2:D$875,A35,'Base bordo CD'!A$2:A$875,B35,'Base bordo CD'!L$2:L$875,"MANOBRA"),0)</f>
        <v>1.9080555555555556</v>
      </c>
      <c r="G35" s="10">
        <f>IFERROR(SUMIFS('Base bordo CD'!M$2:M$875,'Base bordo CD'!D$2:D$875,A35,'Base bordo CD'!A$2:A$875,B35,'Base bordo CD'!L$2:L$875,"DESLOCAMENTO"),0)</f>
        <v>0.26722222222222225</v>
      </c>
      <c r="H35" s="10">
        <f>IFERROR(SUMIFS('Base bordo CD'!M$2:M$875,'Base bordo CD'!D$2:D$875,A35,'Base bordo CD'!A$2:A$875,B35,'Base bordo CD'!L$2:L$875,"AGUARDANDO MANOBRA DE TRANSBORDO"),0)+IFERROR(SUMIFS('Base bordo CD'!M$2:M$875,'Base bordo CD'!D$2:D$875,A35,'Base bordo CD'!A$2:A$875,B35,'Base bordo CD'!L$2:L$875,"FALTA DE TRANSBORDO"),0)</f>
        <v>0</v>
      </c>
      <c r="I35" s="10">
        <f>IFERROR(SUMIFS('Base bordo CD'!M$2:M$875,'Base bordo CD'!D$2:D$875,A35,'Base bordo CD'!A$2:A$875,B35,'Base bordo CD'!L$2:L$875,"PARADA POR CONDICOES CLIMATICAS"),0)+IFERROR(SUMIFS('Base bordo CD'!M$2:M$875,'Base bordo CD'!D$2:D$875,A35,'Base bordo CD'!A$2:A$875,B35,'Base bordo CD'!L$2:L$875,"TEMPO INDETERMINADO"),0)</f>
        <v>17.679722222222225</v>
      </c>
      <c r="J35" s="10">
        <f>IFERROR(SUMIFS('Base bordo CD'!M$2:M$875,'Base bordo CD'!D$2:D$875,A35,'Base bordo CD'!A$2:A$875,B35,'Base bordo CD'!L$2:L$875,"LIMITAÇÃO INDÚSTRIA"),0)</f>
        <v>0</v>
      </c>
      <c r="K35" s="10">
        <f>IFERROR(SUMIFS('Base bordo CD'!M$2:M$875,'Base bordo CD'!D$2:D$875,A35,'Base bordo CD'!A$2:A$875,B35,'Base bordo CD'!L$2:L$875,"MAN CORRETIVA*"),0)+IFERROR(SUMIFS('Base bordo CD'!M$2:M$875,'Base bordo CD'!D$2:D$875,A35,'Base bordo CD'!A$2:A$875,B35,'Base bordo CD'!L$2:L$875,"AGUARDANDO MANUTENCAO*"),0)+IFERROR(SUMIFS('Base bordo CD'!M$2:M$875,'Base bordo CD'!D$2:D$875,A35,'Base bordo CD'!A$2:A$875,B35,'Base bordo CD'!L$2:L$875,"TROCA DE FAQUINHA"),0)+IFERROR(SUMIFS('Base bordo CD'!M$2:M$875,'Base bordo CD'!D$2:D$875,A35,'Base bordo CD'!A$2:A$875,B35,'Base bordo CD'!L$2:L$875,"LIMPEZA*"),0)</f>
        <v>0</v>
      </c>
      <c r="L35" s="10">
        <f>IFERROR(SUMIFS('Base bordo CD'!M$2:M$875,'Base bordo CD'!D$2:D$875,A35,'Base bordo CD'!A$2:A$875,B35,'Base bordo CD'!L$2:L$875,"PATIO - RESERVA"),0)</f>
        <v>0</v>
      </c>
      <c r="M35" s="10">
        <f>IFERROR(SUMIFS('Base bordo CD'!M$2:M$875,'Base bordo CD'!D$2:D$875,A35,'Base bordo CD'!A$2:A$875,B35,'Base bordo CD'!L$2:L$875,"SEM APONTAMENTO"),0)</f>
        <v>0.17888888888888888</v>
      </c>
      <c r="N35" s="10">
        <f>IFERROR(SUMIFS('Base bordo CD'!M$2:M$875,'Base bordo CD'!D$2:D$875,A35,'Base bordo CD'!A$2:A$875,B35,'Base bordo CD'!L$2:L$875,"FALTA DE CAMINHÃO"),0)+IFERROR(SUMIFS('Base bordo CD'!M$2:M$875,'Base bordo CD'!D$2:D$875,A35,'Base bordo CD'!A$2:A$875,B35,'Base bordo CD'!L$2:L$875,"FALTA DE COMBUSTIVEL"),0)+IFERROR(SUMIFS('Base bordo CD'!M$2:M$875,'Base bordo CD'!D$2:D$875,A35,'Base bordo CD'!A$2:A$875,B35,'Base bordo CD'!L$2:L$875,"FALTA DE MOTORIST*"),0)</f>
        <v>0</v>
      </c>
      <c r="O35" s="10">
        <f t="shared" si="5"/>
        <v>0</v>
      </c>
      <c r="P35" s="10">
        <f>IFERROR(SUMIFS('Base bordo CD'!M$2:M$875,'Base bordo CD'!D$2:D$875,A35,'Base bordo CD'!A$2:A$875,B35),0)</f>
        <v>24.000000000000004</v>
      </c>
      <c r="Q35" s="10">
        <f>IFERROR(SUMIFS('Base bordo CD'!O$2:O$875,'Base bordo CD'!D$2:D$875,A35,'Base bordo CD'!A$2:A$875,B35,'Base bordo CD'!L$2:L$875,"CORTE DE CANA MECANIZADO"),0)</f>
        <v>58804.849999999991</v>
      </c>
      <c r="R35" s="10">
        <f>IFERROR(SUMIFS('Base bordo CD'!Q$2:Q$875,'Base bordo CD'!D$2:D$875,A35,'Base bordo CD'!A$2:A$875,B35,'Base bordo CD'!L$2:L$875,"CORTE DE CANA MECANIZADO"),0)</f>
        <v>14271</v>
      </c>
      <c r="S35" s="30">
        <f t="shared" si="6"/>
        <v>4.1205837012122482</v>
      </c>
      <c r="T35" s="9">
        <f t="shared" si="7"/>
        <v>0.16525462962962961</v>
      </c>
      <c r="U35" s="9">
        <f t="shared" si="8"/>
        <v>7.9502314814814803E-2</v>
      </c>
      <c r="V35" s="9">
        <f t="shared" si="9"/>
        <v>0.82361111111111107</v>
      </c>
    </row>
    <row r="36" spans="1:22" x14ac:dyDescent="0.35">
      <c r="A36" s="52">
        <v>49587</v>
      </c>
      <c r="B36" s="31">
        <v>46123</v>
      </c>
      <c r="C36" s="7" t="s">
        <v>337</v>
      </c>
      <c r="D36" s="7">
        <v>353</v>
      </c>
      <c r="E36" s="10">
        <f>IFERROR(SUMIFS('Base bordo CD'!M$2:M$875,'Base bordo CD'!D$2:D$875,A36,'Base bordo CD'!A$2:A$875,B36,'Base bordo CD'!L$2:L$875,"CORTE DE CANA MECANIZADO"),0)</f>
        <v>3.9661111111111111</v>
      </c>
      <c r="F36" s="10">
        <f>IFERROR(SUMIFS('Base bordo CD'!M$2:M$875,'Base bordo CD'!D$2:D$875,A36,'Base bordo CD'!A$2:A$875,B36,'Base bordo CD'!L$2:L$875,"MANOBRA"),0)</f>
        <v>1.9080555555555556</v>
      </c>
      <c r="G36" s="10">
        <f>IFERROR(SUMIFS('Base bordo CD'!M$2:M$875,'Base bordo CD'!D$2:D$875,A36,'Base bordo CD'!A$2:A$875,B36,'Base bordo CD'!L$2:L$875,"DESLOCAMENTO"),0)</f>
        <v>0.26722222222222225</v>
      </c>
      <c r="H36" s="10">
        <f>IFERROR(SUMIFS('Base bordo CD'!M$2:M$875,'Base bordo CD'!D$2:D$875,A36,'Base bordo CD'!A$2:A$875,B36,'Base bordo CD'!L$2:L$875,"AGUARDANDO MANOBRA DE TRANSBORDO"),0)+IFERROR(SUMIFS('Base bordo CD'!M$2:M$875,'Base bordo CD'!D$2:D$875,A36,'Base bordo CD'!A$2:A$875,B36,'Base bordo CD'!L$2:L$875,"FALTA DE TRANSBORDO"),0)</f>
        <v>0</v>
      </c>
      <c r="I36" s="10">
        <f>IFERROR(SUMIFS('Base bordo CD'!M$2:M$875,'Base bordo CD'!D$2:D$875,A36,'Base bordo CD'!A$2:A$875,B36,'Base bordo CD'!L$2:L$875,"PARADA POR CONDICOES CLIMATICAS"),0)+IFERROR(SUMIFS('Base bordo CD'!M$2:M$875,'Base bordo CD'!D$2:D$875,A36,'Base bordo CD'!A$2:A$875,B36,'Base bordo CD'!L$2:L$875,"TEMPO INDETERMINADO"),0)</f>
        <v>17.679722222222225</v>
      </c>
      <c r="J36" s="10">
        <f>IFERROR(SUMIFS('Base bordo CD'!M$2:M$875,'Base bordo CD'!D$2:D$875,A36,'Base bordo CD'!A$2:A$875,B36,'Base bordo CD'!L$2:L$875,"LIMITAÇÃO INDÚSTRIA"),0)</f>
        <v>0</v>
      </c>
      <c r="K36" s="10">
        <f>IFERROR(SUMIFS('Base bordo CD'!M$2:M$875,'Base bordo CD'!D$2:D$875,A36,'Base bordo CD'!A$2:A$875,B36,'Base bordo CD'!L$2:L$875,"MAN CORRETIVA*"),0)+IFERROR(SUMIFS('Base bordo CD'!M$2:M$875,'Base bordo CD'!D$2:D$875,A36,'Base bordo CD'!A$2:A$875,B36,'Base bordo CD'!L$2:L$875,"AGUARDANDO MANUTENCAO*"),0)+IFERROR(SUMIFS('Base bordo CD'!M$2:M$875,'Base bordo CD'!D$2:D$875,A36,'Base bordo CD'!A$2:A$875,B36,'Base bordo CD'!L$2:L$875,"TROCA DE FAQUINHA"),0)+IFERROR(SUMIFS('Base bordo CD'!M$2:M$875,'Base bordo CD'!D$2:D$875,A36,'Base bordo CD'!A$2:A$875,B36,'Base bordo CD'!L$2:L$875,"LIMPEZA*"),0)</f>
        <v>0</v>
      </c>
      <c r="L36" s="10">
        <f>IFERROR(SUMIFS('Base bordo CD'!M$2:M$875,'Base bordo CD'!D$2:D$875,A36,'Base bordo CD'!A$2:A$875,B36,'Base bordo CD'!L$2:L$875,"PATIO - RESERVA"),0)</f>
        <v>0</v>
      </c>
      <c r="M36" s="10">
        <f>IFERROR(SUMIFS('Base bordo CD'!M$2:M$875,'Base bordo CD'!D$2:D$875,A36,'Base bordo CD'!A$2:A$875,B36,'Base bordo CD'!L$2:L$875,"SEM APONTAMENTO"),0)</f>
        <v>0.17888888888888888</v>
      </c>
      <c r="N36" s="10">
        <f>IFERROR(SUMIFS('Base bordo CD'!M$2:M$875,'Base bordo CD'!D$2:D$875,A36,'Base bordo CD'!A$2:A$875,B36,'Base bordo CD'!L$2:L$875,"FALTA DE CAMINHÃO"),0)+IFERROR(SUMIFS('Base bordo CD'!M$2:M$875,'Base bordo CD'!D$2:D$875,A36,'Base bordo CD'!A$2:A$875,B36,'Base bordo CD'!L$2:L$875,"FALTA DE COMBUSTIVEL"),0)+IFERROR(SUMIFS('Base bordo CD'!M$2:M$875,'Base bordo CD'!D$2:D$875,A36,'Base bordo CD'!A$2:A$875,B36,'Base bordo CD'!L$2:L$875,"FALTA DE MOTORIST*"),0)</f>
        <v>0</v>
      </c>
      <c r="O36" s="10">
        <f t="shared" si="5"/>
        <v>0</v>
      </c>
      <c r="P36" s="10">
        <f>IFERROR(SUMIFS('Base bordo CD'!M$2:M$875,'Base bordo CD'!D$2:D$875,A36,'Base bordo CD'!A$2:A$875,B36),0)</f>
        <v>24.000000000000004</v>
      </c>
      <c r="Q36" s="10">
        <f>IFERROR(SUMIFS('Base bordo CD'!O$2:O$875,'Base bordo CD'!D$2:D$875,A36,'Base bordo CD'!A$2:A$875,B36,'Base bordo CD'!L$2:L$875,"CORTE DE CANA MECANIZADO"),0)</f>
        <v>58804.849999999991</v>
      </c>
      <c r="R36" s="10">
        <f>IFERROR(SUMIFS('Base bordo CD'!Q$2:Q$875,'Base bordo CD'!D$2:D$875,A36,'Base bordo CD'!A$2:A$875,B36,'Base bordo CD'!L$2:L$875,"CORTE DE CANA MECANIZADO"),0)</f>
        <v>14271</v>
      </c>
      <c r="S36" s="30">
        <f t="shared" si="6"/>
        <v>4.1205837012122482</v>
      </c>
      <c r="T36" s="9">
        <f t="shared" si="7"/>
        <v>0.16525462962962961</v>
      </c>
      <c r="U36" s="9">
        <f t="shared" si="8"/>
        <v>7.9502314814814803E-2</v>
      </c>
      <c r="V36" s="9">
        <f t="shared" si="9"/>
        <v>0.82361111111111107</v>
      </c>
    </row>
    <row r="37" spans="1:22" x14ac:dyDescent="0.35">
      <c r="A37" s="52">
        <v>49587</v>
      </c>
      <c r="B37" s="31">
        <v>46123</v>
      </c>
      <c r="C37" s="7" t="s">
        <v>337</v>
      </c>
      <c r="D37" s="7">
        <v>353</v>
      </c>
      <c r="E37" s="10">
        <f>IFERROR(SUMIFS('Base bordo CD'!M$2:M$875,'Base bordo CD'!D$2:D$875,A37,'Base bordo CD'!A$2:A$875,B37,'Base bordo CD'!L$2:L$875,"CORTE DE CANA MECANIZADO"),0)</f>
        <v>3.9661111111111111</v>
      </c>
      <c r="F37" s="10">
        <f>IFERROR(SUMIFS('Base bordo CD'!M$2:M$875,'Base bordo CD'!D$2:D$875,A37,'Base bordo CD'!A$2:A$875,B37,'Base bordo CD'!L$2:L$875,"MANOBRA"),0)</f>
        <v>1.9080555555555556</v>
      </c>
      <c r="G37" s="10">
        <f>IFERROR(SUMIFS('Base bordo CD'!M$2:M$875,'Base bordo CD'!D$2:D$875,A37,'Base bordo CD'!A$2:A$875,B37,'Base bordo CD'!L$2:L$875,"DESLOCAMENTO"),0)</f>
        <v>0.26722222222222225</v>
      </c>
      <c r="H37" s="10">
        <f>IFERROR(SUMIFS('Base bordo CD'!M$2:M$875,'Base bordo CD'!D$2:D$875,A37,'Base bordo CD'!A$2:A$875,B37,'Base bordo CD'!L$2:L$875,"AGUARDANDO MANOBRA DE TRANSBORDO"),0)+IFERROR(SUMIFS('Base bordo CD'!M$2:M$875,'Base bordo CD'!D$2:D$875,A37,'Base bordo CD'!A$2:A$875,B37,'Base bordo CD'!L$2:L$875,"FALTA DE TRANSBORDO"),0)</f>
        <v>0</v>
      </c>
      <c r="I37" s="10">
        <f>IFERROR(SUMIFS('Base bordo CD'!M$2:M$875,'Base bordo CD'!D$2:D$875,A37,'Base bordo CD'!A$2:A$875,B37,'Base bordo CD'!L$2:L$875,"PARADA POR CONDICOES CLIMATICAS"),0)+IFERROR(SUMIFS('Base bordo CD'!M$2:M$875,'Base bordo CD'!D$2:D$875,A37,'Base bordo CD'!A$2:A$875,B37,'Base bordo CD'!L$2:L$875,"TEMPO INDETERMINADO"),0)</f>
        <v>17.679722222222225</v>
      </c>
      <c r="J37" s="10">
        <f>IFERROR(SUMIFS('Base bordo CD'!M$2:M$875,'Base bordo CD'!D$2:D$875,A37,'Base bordo CD'!A$2:A$875,B37,'Base bordo CD'!L$2:L$875,"LIMITAÇÃO INDÚSTRIA"),0)</f>
        <v>0</v>
      </c>
      <c r="K37" s="10">
        <f>IFERROR(SUMIFS('Base bordo CD'!M$2:M$875,'Base bordo CD'!D$2:D$875,A37,'Base bordo CD'!A$2:A$875,B37,'Base bordo CD'!L$2:L$875,"MAN CORRETIVA*"),0)+IFERROR(SUMIFS('Base bordo CD'!M$2:M$875,'Base bordo CD'!D$2:D$875,A37,'Base bordo CD'!A$2:A$875,B37,'Base bordo CD'!L$2:L$875,"AGUARDANDO MANUTENCAO*"),0)+IFERROR(SUMIFS('Base bordo CD'!M$2:M$875,'Base bordo CD'!D$2:D$875,A37,'Base bordo CD'!A$2:A$875,B37,'Base bordo CD'!L$2:L$875,"TROCA DE FAQUINHA"),0)+IFERROR(SUMIFS('Base bordo CD'!M$2:M$875,'Base bordo CD'!D$2:D$875,A37,'Base bordo CD'!A$2:A$875,B37,'Base bordo CD'!L$2:L$875,"LIMPEZA*"),0)</f>
        <v>0</v>
      </c>
      <c r="L37" s="10">
        <f>IFERROR(SUMIFS('Base bordo CD'!M$2:M$875,'Base bordo CD'!D$2:D$875,A37,'Base bordo CD'!A$2:A$875,B37,'Base bordo CD'!L$2:L$875,"PATIO - RESERVA"),0)</f>
        <v>0</v>
      </c>
      <c r="M37" s="10">
        <f>IFERROR(SUMIFS('Base bordo CD'!M$2:M$875,'Base bordo CD'!D$2:D$875,A37,'Base bordo CD'!A$2:A$875,B37,'Base bordo CD'!L$2:L$875,"SEM APONTAMENTO"),0)</f>
        <v>0.17888888888888888</v>
      </c>
      <c r="N37" s="10">
        <f>IFERROR(SUMIFS('Base bordo CD'!M$2:M$875,'Base bordo CD'!D$2:D$875,A37,'Base bordo CD'!A$2:A$875,B37,'Base bordo CD'!L$2:L$875,"FALTA DE CAMINHÃO"),0)+IFERROR(SUMIFS('Base bordo CD'!M$2:M$875,'Base bordo CD'!D$2:D$875,A37,'Base bordo CD'!A$2:A$875,B37,'Base bordo CD'!L$2:L$875,"FALTA DE COMBUSTIVEL"),0)+IFERROR(SUMIFS('Base bordo CD'!M$2:M$875,'Base bordo CD'!D$2:D$875,A37,'Base bordo CD'!A$2:A$875,B37,'Base bordo CD'!L$2:L$875,"FALTA DE MOTORIST*"),0)</f>
        <v>0</v>
      </c>
      <c r="O37" s="10">
        <f t="shared" si="5"/>
        <v>0</v>
      </c>
      <c r="P37" s="10">
        <f>IFERROR(SUMIFS('Base bordo CD'!M$2:M$875,'Base bordo CD'!D$2:D$875,A37,'Base bordo CD'!A$2:A$875,B37),0)</f>
        <v>24.000000000000004</v>
      </c>
      <c r="Q37" s="10">
        <f>IFERROR(SUMIFS('Base bordo CD'!O$2:O$875,'Base bordo CD'!D$2:D$875,A37,'Base bordo CD'!A$2:A$875,B37,'Base bordo CD'!L$2:L$875,"CORTE DE CANA MECANIZADO"),0)</f>
        <v>58804.849999999991</v>
      </c>
      <c r="R37" s="10">
        <f>IFERROR(SUMIFS('Base bordo CD'!Q$2:Q$875,'Base bordo CD'!D$2:D$875,A37,'Base bordo CD'!A$2:A$875,B37,'Base bordo CD'!L$2:L$875,"CORTE DE CANA MECANIZADO"),0)</f>
        <v>14271</v>
      </c>
      <c r="S37" s="30">
        <f t="shared" si="6"/>
        <v>4.1205837012122482</v>
      </c>
      <c r="T37" s="9">
        <f t="shared" si="7"/>
        <v>0.16525462962962961</v>
      </c>
      <c r="U37" s="9">
        <f t="shared" si="8"/>
        <v>7.9502314814814803E-2</v>
      </c>
      <c r="V37" s="9">
        <f t="shared" si="9"/>
        <v>0.82361111111111107</v>
      </c>
    </row>
    <row r="38" spans="1:22" x14ac:dyDescent="0.35">
      <c r="A38" s="52">
        <v>49587</v>
      </c>
      <c r="B38" s="31">
        <v>46123</v>
      </c>
      <c r="C38" s="7" t="s">
        <v>337</v>
      </c>
      <c r="D38" s="7">
        <v>353</v>
      </c>
      <c r="E38" s="10">
        <f>IFERROR(SUMIFS('Base bordo CD'!M$2:M$875,'Base bordo CD'!D$2:D$875,A38,'Base bordo CD'!A$2:A$875,B38,'Base bordo CD'!L$2:L$875,"CORTE DE CANA MECANIZADO"),0)</f>
        <v>3.9661111111111111</v>
      </c>
      <c r="F38" s="10">
        <f>IFERROR(SUMIFS('Base bordo CD'!M$2:M$875,'Base bordo CD'!D$2:D$875,A38,'Base bordo CD'!A$2:A$875,B38,'Base bordo CD'!L$2:L$875,"MANOBRA"),0)</f>
        <v>1.9080555555555556</v>
      </c>
      <c r="G38" s="10">
        <f>IFERROR(SUMIFS('Base bordo CD'!M$2:M$875,'Base bordo CD'!D$2:D$875,A38,'Base bordo CD'!A$2:A$875,B38,'Base bordo CD'!L$2:L$875,"DESLOCAMENTO"),0)</f>
        <v>0.26722222222222225</v>
      </c>
      <c r="H38" s="10">
        <f>IFERROR(SUMIFS('Base bordo CD'!M$2:M$875,'Base bordo CD'!D$2:D$875,A38,'Base bordo CD'!A$2:A$875,B38,'Base bordo CD'!L$2:L$875,"AGUARDANDO MANOBRA DE TRANSBORDO"),0)+IFERROR(SUMIFS('Base bordo CD'!M$2:M$875,'Base bordo CD'!D$2:D$875,A38,'Base bordo CD'!A$2:A$875,B38,'Base bordo CD'!L$2:L$875,"FALTA DE TRANSBORDO"),0)</f>
        <v>0</v>
      </c>
      <c r="I38" s="10">
        <f>IFERROR(SUMIFS('Base bordo CD'!M$2:M$875,'Base bordo CD'!D$2:D$875,A38,'Base bordo CD'!A$2:A$875,B38,'Base bordo CD'!L$2:L$875,"PARADA POR CONDICOES CLIMATICAS"),0)+IFERROR(SUMIFS('Base bordo CD'!M$2:M$875,'Base bordo CD'!D$2:D$875,A38,'Base bordo CD'!A$2:A$875,B38,'Base bordo CD'!L$2:L$875,"TEMPO INDETERMINADO"),0)</f>
        <v>17.679722222222225</v>
      </c>
      <c r="J38" s="10">
        <f>IFERROR(SUMIFS('Base bordo CD'!M$2:M$875,'Base bordo CD'!D$2:D$875,A38,'Base bordo CD'!A$2:A$875,B38,'Base bordo CD'!L$2:L$875,"LIMITAÇÃO INDÚSTRIA"),0)</f>
        <v>0</v>
      </c>
      <c r="K38" s="10">
        <f>IFERROR(SUMIFS('Base bordo CD'!M$2:M$875,'Base bordo CD'!D$2:D$875,A38,'Base bordo CD'!A$2:A$875,B38,'Base bordo CD'!L$2:L$875,"MAN CORRETIVA*"),0)+IFERROR(SUMIFS('Base bordo CD'!M$2:M$875,'Base bordo CD'!D$2:D$875,A38,'Base bordo CD'!A$2:A$875,B38,'Base bordo CD'!L$2:L$875,"AGUARDANDO MANUTENCAO*"),0)+IFERROR(SUMIFS('Base bordo CD'!M$2:M$875,'Base bordo CD'!D$2:D$875,A38,'Base bordo CD'!A$2:A$875,B38,'Base bordo CD'!L$2:L$875,"TROCA DE FAQUINHA"),0)+IFERROR(SUMIFS('Base bordo CD'!M$2:M$875,'Base bordo CD'!D$2:D$875,A38,'Base bordo CD'!A$2:A$875,B38,'Base bordo CD'!L$2:L$875,"LIMPEZA*"),0)</f>
        <v>0</v>
      </c>
      <c r="L38" s="10">
        <f>IFERROR(SUMIFS('Base bordo CD'!M$2:M$875,'Base bordo CD'!D$2:D$875,A38,'Base bordo CD'!A$2:A$875,B38,'Base bordo CD'!L$2:L$875,"PATIO - RESERVA"),0)</f>
        <v>0</v>
      </c>
      <c r="M38" s="10">
        <f>IFERROR(SUMIFS('Base bordo CD'!M$2:M$875,'Base bordo CD'!D$2:D$875,A38,'Base bordo CD'!A$2:A$875,B38,'Base bordo CD'!L$2:L$875,"SEM APONTAMENTO"),0)</f>
        <v>0.17888888888888888</v>
      </c>
      <c r="N38" s="10">
        <f>IFERROR(SUMIFS('Base bordo CD'!M$2:M$875,'Base bordo CD'!D$2:D$875,A38,'Base bordo CD'!A$2:A$875,B38,'Base bordo CD'!L$2:L$875,"FALTA DE CAMINHÃO"),0)+IFERROR(SUMIFS('Base bordo CD'!M$2:M$875,'Base bordo CD'!D$2:D$875,A38,'Base bordo CD'!A$2:A$875,B38,'Base bordo CD'!L$2:L$875,"FALTA DE COMBUSTIVEL"),0)+IFERROR(SUMIFS('Base bordo CD'!M$2:M$875,'Base bordo CD'!D$2:D$875,A38,'Base bordo CD'!A$2:A$875,B38,'Base bordo CD'!L$2:L$875,"FALTA DE MOTORIST*"),0)</f>
        <v>0</v>
      </c>
      <c r="O38" s="10">
        <f t="shared" si="5"/>
        <v>0</v>
      </c>
      <c r="P38" s="10">
        <f>IFERROR(SUMIFS('Base bordo CD'!M$2:M$875,'Base bordo CD'!D$2:D$875,A38,'Base bordo CD'!A$2:A$875,B38),0)</f>
        <v>24.000000000000004</v>
      </c>
      <c r="Q38" s="10">
        <f>IFERROR(SUMIFS('Base bordo CD'!O$2:O$875,'Base bordo CD'!D$2:D$875,A38,'Base bordo CD'!A$2:A$875,B38,'Base bordo CD'!L$2:L$875,"CORTE DE CANA MECANIZADO"),0)</f>
        <v>58804.849999999991</v>
      </c>
      <c r="R38" s="10">
        <f>IFERROR(SUMIFS('Base bordo CD'!Q$2:Q$875,'Base bordo CD'!D$2:D$875,A38,'Base bordo CD'!A$2:A$875,B38,'Base bordo CD'!L$2:L$875,"CORTE DE CANA MECANIZADO"),0)</f>
        <v>14271</v>
      </c>
      <c r="S38" s="30">
        <f t="shared" si="6"/>
        <v>4.1205837012122482</v>
      </c>
      <c r="T38" s="9">
        <f t="shared" si="7"/>
        <v>0.16525462962962961</v>
      </c>
      <c r="U38" s="9">
        <f t="shared" si="8"/>
        <v>7.9502314814814803E-2</v>
      </c>
      <c r="V38" s="9">
        <f t="shared" si="9"/>
        <v>0.82361111111111107</v>
      </c>
    </row>
    <row r="39" spans="1:22" x14ac:dyDescent="0.35">
      <c r="A39" s="52">
        <v>49587</v>
      </c>
      <c r="B39" s="31">
        <v>46123</v>
      </c>
      <c r="C39" s="7" t="s">
        <v>337</v>
      </c>
      <c r="D39" s="7">
        <v>353</v>
      </c>
      <c r="E39" s="10">
        <f>IFERROR(SUMIFS('Base bordo CD'!M$2:M$875,'Base bordo CD'!D$2:D$875,A39,'Base bordo CD'!A$2:A$875,B39,'Base bordo CD'!L$2:L$875,"CORTE DE CANA MECANIZADO"),0)</f>
        <v>3.9661111111111111</v>
      </c>
      <c r="F39" s="10">
        <f>IFERROR(SUMIFS('Base bordo CD'!M$2:M$875,'Base bordo CD'!D$2:D$875,A39,'Base bordo CD'!A$2:A$875,B39,'Base bordo CD'!L$2:L$875,"MANOBRA"),0)</f>
        <v>1.9080555555555556</v>
      </c>
      <c r="G39" s="10">
        <f>IFERROR(SUMIFS('Base bordo CD'!M$2:M$875,'Base bordo CD'!D$2:D$875,A39,'Base bordo CD'!A$2:A$875,B39,'Base bordo CD'!L$2:L$875,"DESLOCAMENTO"),0)</f>
        <v>0.26722222222222225</v>
      </c>
      <c r="H39" s="10">
        <f>IFERROR(SUMIFS('Base bordo CD'!M$2:M$875,'Base bordo CD'!D$2:D$875,A39,'Base bordo CD'!A$2:A$875,B39,'Base bordo CD'!L$2:L$875,"AGUARDANDO MANOBRA DE TRANSBORDO"),0)+IFERROR(SUMIFS('Base bordo CD'!M$2:M$875,'Base bordo CD'!D$2:D$875,A39,'Base bordo CD'!A$2:A$875,B39,'Base bordo CD'!L$2:L$875,"FALTA DE TRANSBORDO"),0)</f>
        <v>0</v>
      </c>
      <c r="I39" s="10">
        <f>IFERROR(SUMIFS('Base bordo CD'!M$2:M$875,'Base bordo CD'!D$2:D$875,A39,'Base bordo CD'!A$2:A$875,B39,'Base bordo CD'!L$2:L$875,"PARADA POR CONDICOES CLIMATICAS"),0)+IFERROR(SUMIFS('Base bordo CD'!M$2:M$875,'Base bordo CD'!D$2:D$875,A39,'Base bordo CD'!A$2:A$875,B39,'Base bordo CD'!L$2:L$875,"TEMPO INDETERMINADO"),0)</f>
        <v>17.679722222222225</v>
      </c>
      <c r="J39" s="10">
        <f>IFERROR(SUMIFS('Base bordo CD'!M$2:M$875,'Base bordo CD'!D$2:D$875,A39,'Base bordo CD'!A$2:A$875,B39,'Base bordo CD'!L$2:L$875,"LIMITAÇÃO INDÚSTRIA"),0)</f>
        <v>0</v>
      </c>
      <c r="K39" s="10">
        <f>IFERROR(SUMIFS('Base bordo CD'!M$2:M$875,'Base bordo CD'!D$2:D$875,A39,'Base bordo CD'!A$2:A$875,B39,'Base bordo CD'!L$2:L$875,"MAN CORRETIVA*"),0)+IFERROR(SUMIFS('Base bordo CD'!M$2:M$875,'Base bordo CD'!D$2:D$875,A39,'Base bordo CD'!A$2:A$875,B39,'Base bordo CD'!L$2:L$875,"AGUARDANDO MANUTENCAO*"),0)+IFERROR(SUMIFS('Base bordo CD'!M$2:M$875,'Base bordo CD'!D$2:D$875,A39,'Base bordo CD'!A$2:A$875,B39,'Base bordo CD'!L$2:L$875,"TROCA DE FAQUINHA"),0)+IFERROR(SUMIFS('Base bordo CD'!M$2:M$875,'Base bordo CD'!D$2:D$875,A39,'Base bordo CD'!A$2:A$875,B39,'Base bordo CD'!L$2:L$875,"LIMPEZA*"),0)</f>
        <v>0</v>
      </c>
      <c r="L39" s="10">
        <f>IFERROR(SUMIFS('Base bordo CD'!M$2:M$875,'Base bordo CD'!D$2:D$875,A39,'Base bordo CD'!A$2:A$875,B39,'Base bordo CD'!L$2:L$875,"PATIO - RESERVA"),0)</f>
        <v>0</v>
      </c>
      <c r="M39" s="10">
        <f>IFERROR(SUMIFS('Base bordo CD'!M$2:M$875,'Base bordo CD'!D$2:D$875,A39,'Base bordo CD'!A$2:A$875,B39,'Base bordo CD'!L$2:L$875,"SEM APONTAMENTO"),0)</f>
        <v>0.17888888888888888</v>
      </c>
      <c r="N39" s="10">
        <f>IFERROR(SUMIFS('Base bordo CD'!M$2:M$875,'Base bordo CD'!D$2:D$875,A39,'Base bordo CD'!A$2:A$875,B39,'Base bordo CD'!L$2:L$875,"FALTA DE CAMINHÃO"),0)+IFERROR(SUMIFS('Base bordo CD'!M$2:M$875,'Base bordo CD'!D$2:D$875,A39,'Base bordo CD'!A$2:A$875,B39,'Base bordo CD'!L$2:L$875,"FALTA DE COMBUSTIVEL"),0)+IFERROR(SUMIFS('Base bordo CD'!M$2:M$875,'Base bordo CD'!D$2:D$875,A39,'Base bordo CD'!A$2:A$875,B39,'Base bordo CD'!L$2:L$875,"FALTA DE MOTORIST*"),0)</f>
        <v>0</v>
      </c>
      <c r="O39" s="10">
        <f t="shared" si="5"/>
        <v>0</v>
      </c>
      <c r="P39" s="10">
        <f>IFERROR(SUMIFS('Base bordo CD'!M$2:M$875,'Base bordo CD'!D$2:D$875,A39,'Base bordo CD'!A$2:A$875,B39),0)</f>
        <v>24.000000000000004</v>
      </c>
      <c r="Q39" s="10">
        <f>IFERROR(SUMIFS('Base bordo CD'!O$2:O$875,'Base bordo CD'!D$2:D$875,A39,'Base bordo CD'!A$2:A$875,B39,'Base bordo CD'!L$2:L$875,"CORTE DE CANA MECANIZADO"),0)</f>
        <v>58804.849999999991</v>
      </c>
      <c r="R39" s="10">
        <f>IFERROR(SUMIFS('Base bordo CD'!Q$2:Q$875,'Base bordo CD'!D$2:D$875,A39,'Base bordo CD'!A$2:A$875,B39,'Base bordo CD'!L$2:L$875,"CORTE DE CANA MECANIZADO"),0)</f>
        <v>14271</v>
      </c>
      <c r="S39" s="30">
        <f t="shared" si="6"/>
        <v>4.1205837012122482</v>
      </c>
      <c r="T39" s="9">
        <f t="shared" si="7"/>
        <v>0.16525462962962961</v>
      </c>
      <c r="U39" s="9">
        <f t="shared" si="8"/>
        <v>7.9502314814814803E-2</v>
      </c>
      <c r="V39" s="9">
        <f t="shared" si="9"/>
        <v>0.82361111111111107</v>
      </c>
    </row>
    <row r="40" spans="1:22" x14ac:dyDescent="0.35">
      <c r="A40" s="52">
        <v>49587</v>
      </c>
      <c r="B40" s="31">
        <v>46123</v>
      </c>
      <c r="C40" s="7" t="s">
        <v>337</v>
      </c>
      <c r="D40" s="7">
        <v>353</v>
      </c>
      <c r="E40" s="10">
        <f>IFERROR(SUMIFS('Base bordo CD'!M$2:M$875,'Base bordo CD'!D$2:D$875,A40,'Base bordo CD'!A$2:A$875,B40,'Base bordo CD'!L$2:L$875,"CORTE DE CANA MECANIZADO"),0)</f>
        <v>3.9661111111111111</v>
      </c>
      <c r="F40" s="10">
        <f>IFERROR(SUMIFS('Base bordo CD'!M$2:M$875,'Base bordo CD'!D$2:D$875,A40,'Base bordo CD'!A$2:A$875,B40,'Base bordo CD'!L$2:L$875,"MANOBRA"),0)</f>
        <v>1.9080555555555556</v>
      </c>
      <c r="G40" s="10">
        <f>IFERROR(SUMIFS('Base bordo CD'!M$2:M$875,'Base bordo CD'!D$2:D$875,A40,'Base bordo CD'!A$2:A$875,B40,'Base bordo CD'!L$2:L$875,"DESLOCAMENTO"),0)</f>
        <v>0.26722222222222225</v>
      </c>
      <c r="H40" s="10">
        <f>IFERROR(SUMIFS('Base bordo CD'!M$2:M$875,'Base bordo CD'!D$2:D$875,A40,'Base bordo CD'!A$2:A$875,B40,'Base bordo CD'!L$2:L$875,"AGUARDANDO MANOBRA DE TRANSBORDO"),0)+IFERROR(SUMIFS('Base bordo CD'!M$2:M$875,'Base bordo CD'!D$2:D$875,A40,'Base bordo CD'!A$2:A$875,B40,'Base bordo CD'!L$2:L$875,"FALTA DE TRANSBORDO"),0)</f>
        <v>0</v>
      </c>
      <c r="I40" s="10">
        <f>IFERROR(SUMIFS('Base bordo CD'!M$2:M$875,'Base bordo CD'!D$2:D$875,A40,'Base bordo CD'!A$2:A$875,B40,'Base bordo CD'!L$2:L$875,"PARADA POR CONDICOES CLIMATICAS"),0)+IFERROR(SUMIFS('Base bordo CD'!M$2:M$875,'Base bordo CD'!D$2:D$875,A40,'Base bordo CD'!A$2:A$875,B40,'Base bordo CD'!L$2:L$875,"TEMPO INDETERMINADO"),0)</f>
        <v>17.679722222222225</v>
      </c>
      <c r="J40" s="10">
        <f>IFERROR(SUMIFS('Base bordo CD'!M$2:M$875,'Base bordo CD'!D$2:D$875,A40,'Base bordo CD'!A$2:A$875,B40,'Base bordo CD'!L$2:L$875,"LIMITAÇÃO INDÚSTRIA"),0)</f>
        <v>0</v>
      </c>
      <c r="K40" s="10">
        <f>IFERROR(SUMIFS('Base bordo CD'!M$2:M$875,'Base bordo CD'!D$2:D$875,A40,'Base bordo CD'!A$2:A$875,B40,'Base bordo CD'!L$2:L$875,"MAN CORRETIVA*"),0)+IFERROR(SUMIFS('Base bordo CD'!M$2:M$875,'Base bordo CD'!D$2:D$875,A40,'Base bordo CD'!A$2:A$875,B40,'Base bordo CD'!L$2:L$875,"AGUARDANDO MANUTENCAO*"),0)+IFERROR(SUMIFS('Base bordo CD'!M$2:M$875,'Base bordo CD'!D$2:D$875,A40,'Base bordo CD'!A$2:A$875,B40,'Base bordo CD'!L$2:L$875,"TROCA DE FAQUINHA"),0)+IFERROR(SUMIFS('Base bordo CD'!M$2:M$875,'Base bordo CD'!D$2:D$875,A40,'Base bordo CD'!A$2:A$875,B40,'Base bordo CD'!L$2:L$875,"LIMPEZA*"),0)</f>
        <v>0</v>
      </c>
      <c r="L40" s="10">
        <f>IFERROR(SUMIFS('Base bordo CD'!M$2:M$875,'Base bordo CD'!D$2:D$875,A40,'Base bordo CD'!A$2:A$875,B40,'Base bordo CD'!L$2:L$875,"PATIO - RESERVA"),0)</f>
        <v>0</v>
      </c>
      <c r="M40" s="10">
        <f>IFERROR(SUMIFS('Base bordo CD'!M$2:M$875,'Base bordo CD'!D$2:D$875,A40,'Base bordo CD'!A$2:A$875,B40,'Base bordo CD'!L$2:L$875,"SEM APONTAMENTO"),0)</f>
        <v>0.17888888888888888</v>
      </c>
      <c r="N40" s="10">
        <f>IFERROR(SUMIFS('Base bordo CD'!M$2:M$875,'Base bordo CD'!D$2:D$875,A40,'Base bordo CD'!A$2:A$875,B40,'Base bordo CD'!L$2:L$875,"FALTA DE CAMINHÃO"),0)+IFERROR(SUMIFS('Base bordo CD'!M$2:M$875,'Base bordo CD'!D$2:D$875,A40,'Base bordo CD'!A$2:A$875,B40,'Base bordo CD'!L$2:L$875,"FALTA DE COMBUSTIVEL"),0)+IFERROR(SUMIFS('Base bordo CD'!M$2:M$875,'Base bordo CD'!D$2:D$875,A40,'Base bordo CD'!A$2:A$875,B40,'Base bordo CD'!L$2:L$875,"FALTA DE MOTORIST*"),0)</f>
        <v>0</v>
      </c>
      <c r="O40" s="10">
        <f t="shared" si="5"/>
        <v>0</v>
      </c>
      <c r="P40" s="10">
        <f>IFERROR(SUMIFS('Base bordo CD'!M$2:M$875,'Base bordo CD'!D$2:D$875,A40,'Base bordo CD'!A$2:A$875,B40),0)</f>
        <v>24.000000000000004</v>
      </c>
      <c r="Q40" s="10">
        <f>IFERROR(SUMIFS('Base bordo CD'!O$2:O$875,'Base bordo CD'!D$2:D$875,A40,'Base bordo CD'!A$2:A$875,B40,'Base bordo CD'!L$2:L$875,"CORTE DE CANA MECANIZADO"),0)</f>
        <v>58804.849999999991</v>
      </c>
      <c r="R40" s="10">
        <f>IFERROR(SUMIFS('Base bordo CD'!Q$2:Q$875,'Base bordo CD'!D$2:D$875,A40,'Base bordo CD'!A$2:A$875,B40,'Base bordo CD'!L$2:L$875,"CORTE DE CANA MECANIZADO"),0)</f>
        <v>14271</v>
      </c>
      <c r="S40" s="30">
        <f t="shared" si="6"/>
        <v>4.1205837012122482</v>
      </c>
      <c r="T40" s="9">
        <f t="shared" si="7"/>
        <v>0.16525462962962961</v>
      </c>
      <c r="U40" s="9">
        <f t="shared" si="8"/>
        <v>7.9502314814814803E-2</v>
      </c>
      <c r="V40" s="9">
        <f t="shared" si="9"/>
        <v>0.82361111111111107</v>
      </c>
    </row>
    <row r="41" spans="1:22" x14ac:dyDescent="0.35">
      <c r="A41" s="52">
        <v>49587</v>
      </c>
      <c r="B41" s="31">
        <v>46123</v>
      </c>
      <c r="C41" s="7" t="s">
        <v>337</v>
      </c>
      <c r="D41" s="7">
        <v>353</v>
      </c>
      <c r="E41" s="10">
        <f>IFERROR(SUMIFS('Base bordo CD'!M$2:M$875,'Base bordo CD'!D$2:D$875,A41,'Base bordo CD'!A$2:A$875,B41,'Base bordo CD'!L$2:L$875,"CORTE DE CANA MECANIZADO"),0)</f>
        <v>3.9661111111111111</v>
      </c>
      <c r="F41" s="10">
        <f>IFERROR(SUMIFS('Base bordo CD'!M$2:M$875,'Base bordo CD'!D$2:D$875,A41,'Base bordo CD'!A$2:A$875,B41,'Base bordo CD'!L$2:L$875,"MANOBRA"),0)</f>
        <v>1.9080555555555556</v>
      </c>
      <c r="G41" s="10">
        <f>IFERROR(SUMIFS('Base bordo CD'!M$2:M$875,'Base bordo CD'!D$2:D$875,A41,'Base bordo CD'!A$2:A$875,B41,'Base bordo CD'!L$2:L$875,"DESLOCAMENTO"),0)</f>
        <v>0.26722222222222225</v>
      </c>
      <c r="H41" s="10">
        <f>IFERROR(SUMIFS('Base bordo CD'!M$2:M$875,'Base bordo CD'!D$2:D$875,A41,'Base bordo CD'!A$2:A$875,B41,'Base bordo CD'!L$2:L$875,"AGUARDANDO MANOBRA DE TRANSBORDO"),0)+IFERROR(SUMIFS('Base bordo CD'!M$2:M$875,'Base bordo CD'!D$2:D$875,A41,'Base bordo CD'!A$2:A$875,B41,'Base bordo CD'!L$2:L$875,"FALTA DE TRANSBORDO"),0)</f>
        <v>0</v>
      </c>
      <c r="I41" s="10">
        <f>IFERROR(SUMIFS('Base bordo CD'!M$2:M$875,'Base bordo CD'!D$2:D$875,A41,'Base bordo CD'!A$2:A$875,B41,'Base bordo CD'!L$2:L$875,"PARADA POR CONDICOES CLIMATICAS"),0)+IFERROR(SUMIFS('Base bordo CD'!M$2:M$875,'Base bordo CD'!D$2:D$875,A41,'Base bordo CD'!A$2:A$875,B41,'Base bordo CD'!L$2:L$875,"TEMPO INDETERMINADO"),0)</f>
        <v>17.679722222222225</v>
      </c>
      <c r="J41" s="10">
        <f>IFERROR(SUMIFS('Base bordo CD'!M$2:M$875,'Base bordo CD'!D$2:D$875,A41,'Base bordo CD'!A$2:A$875,B41,'Base bordo CD'!L$2:L$875,"LIMITAÇÃO INDÚSTRIA"),0)</f>
        <v>0</v>
      </c>
      <c r="K41" s="10">
        <f>IFERROR(SUMIFS('Base bordo CD'!M$2:M$875,'Base bordo CD'!D$2:D$875,A41,'Base bordo CD'!A$2:A$875,B41,'Base bordo CD'!L$2:L$875,"MAN CORRETIVA*"),0)+IFERROR(SUMIFS('Base bordo CD'!M$2:M$875,'Base bordo CD'!D$2:D$875,A41,'Base bordo CD'!A$2:A$875,B41,'Base bordo CD'!L$2:L$875,"AGUARDANDO MANUTENCAO*"),0)+IFERROR(SUMIFS('Base bordo CD'!M$2:M$875,'Base bordo CD'!D$2:D$875,A41,'Base bordo CD'!A$2:A$875,B41,'Base bordo CD'!L$2:L$875,"TROCA DE FAQUINHA"),0)+IFERROR(SUMIFS('Base bordo CD'!M$2:M$875,'Base bordo CD'!D$2:D$875,A41,'Base bordo CD'!A$2:A$875,B41,'Base bordo CD'!L$2:L$875,"LIMPEZA*"),0)</f>
        <v>0</v>
      </c>
      <c r="L41" s="10">
        <f>IFERROR(SUMIFS('Base bordo CD'!M$2:M$875,'Base bordo CD'!D$2:D$875,A41,'Base bordo CD'!A$2:A$875,B41,'Base bordo CD'!L$2:L$875,"PATIO - RESERVA"),0)</f>
        <v>0</v>
      </c>
      <c r="M41" s="10">
        <f>IFERROR(SUMIFS('Base bordo CD'!M$2:M$875,'Base bordo CD'!D$2:D$875,A41,'Base bordo CD'!A$2:A$875,B41,'Base bordo CD'!L$2:L$875,"SEM APONTAMENTO"),0)</f>
        <v>0.17888888888888888</v>
      </c>
      <c r="N41" s="10">
        <f>IFERROR(SUMIFS('Base bordo CD'!M$2:M$875,'Base bordo CD'!D$2:D$875,A41,'Base bordo CD'!A$2:A$875,B41,'Base bordo CD'!L$2:L$875,"FALTA DE CAMINHÃO"),0)+IFERROR(SUMIFS('Base bordo CD'!M$2:M$875,'Base bordo CD'!D$2:D$875,A41,'Base bordo CD'!A$2:A$875,B41,'Base bordo CD'!L$2:L$875,"FALTA DE COMBUSTIVEL"),0)+IFERROR(SUMIFS('Base bordo CD'!M$2:M$875,'Base bordo CD'!D$2:D$875,A41,'Base bordo CD'!A$2:A$875,B41,'Base bordo CD'!L$2:L$875,"FALTA DE MOTORIST*"),0)</f>
        <v>0</v>
      </c>
      <c r="O41" s="10">
        <f t="shared" si="5"/>
        <v>0</v>
      </c>
      <c r="P41" s="10">
        <f>IFERROR(SUMIFS('Base bordo CD'!M$2:M$875,'Base bordo CD'!D$2:D$875,A41,'Base bordo CD'!A$2:A$875,B41),0)</f>
        <v>24.000000000000004</v>
      </c>
      <c r="Q41" s="10">
        <f>IFERROR(SUMIFS('Base bordo CD'!O$2:O$875,'Base bordo CD'!D$2:D$875,A41,'Base bordo CD'!A$2:A$875,B41,'Base bordo CD'!L$2:L$875,"CORTE DE CANA MECANIZADO"),0)</f>
        <v>58804.849999999991</v>
      </c>
      <c r="R41" s="10">
        <f>IFERROR(SUMIFS('Base bordo CD'!Q$2:Q$875,'Base bordo CD'!D$2:D$875,A41,'Base bordo CD'!A$2:A$875,B41,'Base bordo CD'!L$2:L$875,"CORTE DE CANA MECANIZADO"),0)</f>
        <v>14271</v>
      </c>
      <c r="S41" s="30">
        <f t="shared" si="6"/>
        <v>4.1205837012122482</v>
      </c>
      <c r="T41" s="9">
        <f t="shared" si="7"/>
        <v>0.16525462962962961</v>
      </c>
      <c r="U41" s="9">
        <f t="shared" si="8"/>
        <v>7.9502314814814803E-2</v>
      </c>
      <c r="V41" s="9">
        <f t="shared" si="9"/>
        <v>0.82361111111111107</v>
      </c>
    </row>
    <row r="42" spans="1:22" hidden="1" x14ac:dyDescent="0.35">
      <c r="A42" s="52">
        <v>49588</v>
      </c>
      <c r="B42" s="31">
        <v>46123</v>
      </c>
      <c r="C42" s="7" t="s">
        <v>364</v>
      </c>
      <c r="D42" s="7">
        <v>352</v>
      </c>
      <c r="E42" s="10">
        <f>IFERROR(SUMIFS('Base bordo CD'!M$2:M$875,'Base bordo CD'!D$2:D$875,A42,'Base bordo CD'!A$2:A$875,B42,'Base bordo CD'!L$2:L$875,"CORTE DE CANA MECANIZADO"),0)</f>
        <v>3.7333333333333334</v>
      </c>
      <c r="F42" s="10">
        <f>IFERROR(SUMIFS('Base bordo CD'!M$2:M$875,'Base bordo CD'!D$2:D$875,A42,'Base bordo CD'!A$2:A$875,B42,'Base bordo CD'!L$2:L$875,"MANOBRA"),0)</f>
        <v>1.4722222222222223</v>
      </c>
      <c r="G42" s="10">
        <f>IFERROR(SUMIFS('Base bordo CD'!M$2:M$875,'Base bordo CD'!D$2:D$875,A42,'Base bordo CD'!A$2:A$875,B42,'Base bordo CD'!L$2:L$875,"DESLOCAMENTO"),0)</f>
        <v>0.58305555555555555</v>
      </c>
      <c r="H42" s="10">
        <f>IFERROR(SUMIFS('Base bordo CD'!M$2:M$875,'Base bordo CD'!D$2:D$875,A42,'Base bordo CD'!A$2:A$875,B42,'Base bordo CD'!L$2:L$875,"AGUARDANDO MANOBRA DE TRANSBORDO"),0)+IFERROR(SUMIFS('Base bordo CD'!M$2:M$875,'Base bordo CD'!D$2:D$875,A42,'Base bordo CD'!A$2:A$875,B42,'Base bordo CD'!L$2:L$875,"FALTA DE TRANSBORDO"),0)</f>
        <v>4.6388888888888889E-2</v>
      </c>
      <c r="I42" s="10">
        <f>IFERROR(SUMIFS('Base bordo CD'!M$2:M$875,'Base bordo CD'!D$2:D$875,A42,'Base bordo CD'!A$2:A$875,B42,'Base bordo CD'!L$2:L$875,"PARADA POR CONDICOES CLIMATICAS"),0)+IFERROR(SUMIFS('Base bordo CD'!M$2:M$875,'Base bordo CD'!D$2:D$875,A42,'Base bordo CD'!A$2:A$875,B42,'Base bordo CD'!L$2:L$875,"TEMPO INDETERMINADO"),0)</f>
        <v>17.988611111111112</v>
      </c>
      <c r="J42" s="10">
        <f>IFERROR(SUMIFS('Base bordo CD'!M$2:M$875,'Base bordo CD'!D$2:D$875,A42,'Base bordo CD'!A$2:A$875,B42,'Base bordo CD'!L$2:L$875,"LIMITAÇÃO INDÚSTRIA"),0)</f>
        <v>0</v>
      </c>
      <c r="K42" s="10">
        <f>IFERROR(SUMIFS('Base bordo CD'!M$2:M$875,'Base bordo CD'!D$2:D$875,A42,'Base bordo CD'!A$2:A$875,B42,'Base bordo CD'!L$2:L$875,"MAN CORRETIVA*"),0)+IFERROR(SUMIFS('Base bordo CD'!M$2:M$875,'Base bordo CD'!D$2:D$875,A42,'Base bordo CD'!A$2:A$875,B42,'Base bordo CD'!L$2:L$875,"AGUARDANDO MANUTENCAO*"),0)+IFERROR(SUMIFS('Base bordo CD'!M$2:M$875,'Base bordo CD'!D$2:D$875,A42,'Base bordo CD'!A$2:A$875,B42,'Base bordo CD'!L$2:L$875,"TROCA DE FAQUINHA"),0)+IFERROR(SUMIFS('Base bordo CD'!M$2:M$875,'Base bordo CD'!D$2:D$875,A42,'Base bordo CD'!A$2:A$875,B42,'Base bordo CD'!L$2:L$875,"LIMPEZA*"),0)</f>
        <v>0.11861111111111111</v>
      </c>
      <c r="L42" s="10">
        <f>IFERROR(SUMIFS('Base bordo CD'!M$2:M$875,'Base bordo CD'!D$2:D$875,A42,'Base bordo CD'!A$2:A$875,B42,'Base bordo CD'!L$2:L$875,"PATIO - RESERVA"),0)</f>
        <v>0</v>
      </c>
      <c r="M42" s="10">
        <f>IFERROR(SUMIFS('Base bordo CD'!M$2:M$875,'Base bordo CD'!D$2:D$875,A42,'Base bordo CD'!A$2:A$875,B42,'Base bordo CD'!L$2:L$875,"SEM APONTAMENTO"),0)</f>
        <v>5.7777777777777782E-2</v>
      </c>
      <c r="N42" s="10">
        <f>IFERROR(SUMIFS('Base bordo CD'!M$2:M$875,'Base bordo CD'!D$2:D$875,A42,'Base bordo CD'!A$2:A$875,B42,'Base bordo CD'!L$2:L$875,"FALTA DE CAMINHÃO"),0)+IFERROR(SUMIFS('Base bordo CD'!M$2:M$875,'Base bordo CD'!D$2:D$875,A42,'Base bordo CD'!A$2:A$875,B42,'Base bordo CD'!L$2:L$875,"FALTA DE COMBUSTIVEL"),0)+IFERROR(SUMIFS('Base bordo CD'!M$2:M$875,'Base bordo CD'!D$2:D$875,A42,'Base bordo CD'!A$2:A$875,B42,'Base bordo CD'!L$2:L$875,"FALTA DE MOTORIST*"),0)</f>
        <v>0</v>
      </c>
      <c r="O42" s="10">
        <f t="shared" si="5"/>
        <v>0</v>
      </c>
      <c r="P42" s="10">
        <f>IFERROR(SUMIFS('Base bordo CD'!M$2:M$875,'Base bordo CD'!D$2:D$875,A42,'Base bordo CD'!A$2:A$875,B42),0)</f>
        <v>24</v>
      </c>
      <c r="Q42" s="10">
        <f>IFERROR(SUMIFS('Base bordo CD'!O$2:O$875,'Base bordo CD'!D$2:D$875,A42,'Base bordo CD'!A$2:A$875,B42,'Base bordo CD'!L$2:L$875,"CORTE DE CANA MECANIZADO"),0)</f>
        <v>60362.080000000002</v>
      </c>
      <c r="R42" s="10">
        <f>IFERROR(SUMIFS('Base bordo CD'!Q$2:Q$875,'Base bordo CD'!D$2:D$875,A42,'Base bordo CD'!A$2:A$875,B42,'Base bordo CD'!L$2:L$875,"CORTE DE CANA MECANIZADO"),0)</f>
        <v>13440</v>
      </c>
      <c r="S42" s="30">
        <f t="shared" si="6"/>
        <v>4.4912261904761905</v>
      </c>
      <c r="T42" s="9">
        <f t="shared" si="7"/>
        <v>0.15555555555555556</v>
      </c>
      <c r="U42" s="9">
        <f t="shared" si="8"/>
        <v>6.1342592592592594E-2</v>
      </c>
      <c r="V42" s="9">
        <f t="shared" si="9"/>
        <v>0.82015046296296301</v>
      </c>
    </row>
    <row r="43" spans="1:22" hidden="1" x14ac:dyDescent="0.35">
      <c r="A43" s="52">
        <v>49588</v>
      </c>
      <c r="B43" s="31">
        <v>46123</v>
      </c>
      <c r="C43" s="7" t="s">
        <v>364</v>
      </c>
      <c r="D43" s="7">
        <v>352</v>
      </c>
      <c r="E43" s="10">
        <f>IFERROR(SUMIFS('Base bordo CD'!M$2:M$875,'Base bordo CD'!D$2:D$875,A43,'Base bordo CD'!A$2:A$875,B43,'Base bordo CD'!L$2:L$875,"CORTE DE CANA MECANIZADO"),0)</f>
        <v>3.7333333333333334</v>
      </c>
      <c r="F43" s="10">
        <f>IFERROR(SUMIFS('Base bordo CD'!M$2:M$875,'Base bordo CD'!D$2:D$875,A43,'Base bordo CD'!A$2:A$875,B43,'Base bordo CD'!L$2:L$875,"MANOBRA"),0)</f>
        <v>1.4722222222222223</v>
      </c>
      <c r="G43" s="10">
        <f>IFERROR(SUMIFS('Base bordo CD'!M$2:M$875,'Base bordo CD'!D$2:D$875,A43,'Base bordo CD'!A$2:A$875,B43,'Base bordo CD'!L$2:L$875,"DESLOCAMENTO"),0)</f>
        <v>0.58305555555555555</v>
      </c>
      <c r="H43" s="10">
        <f>IFERROR(SUMIFS('Base bordo CD'!M$2:M$875,'Base bordo CD'!D$2:D$875,A43,'Base bordo CD'!A$2:A$875,B43,'Base bordo CD'!L$2:L$875,"AGUARDANDO MANOBRA DE TRANSBORDO"),0)+IFERROR(SUMIFS('Base bordo CD'!M$2:M$875,'Base bordo CD'!D$2:D$875,A43,'Base bordo CD'!A$2:A$875,B43,'Base bordo CD'!L$2:L$875,"FALTA DE TRANSBORDO"),0)</f>
        <v>4.6388888888888889E-2</v>
      </c>
      <c r="I43" s="10">
        <f>IFERROR(SUMIFS('Base bordo CD'!M$2:M$875,'Base bordo CD'!D$2:D$875,A43,'Base bordo CD'!A$2:A$875,B43,'Base bordo CD'!L$2:L$875,"PARADA POR CONDICOES CLIMATICAS"),0)+IFERROR(SUMIFS('Base bordo CD'!M$2:M$875,'Base bordo CD'!D$2:D$875,A43,'Base bordo CD'!A$2:A$875,B43,'Base bordo CD'!L$2:L$875,"TEMPO INDETERMINADO"),0)</f>
        <v>17.988611111111112</v>
      </c>
      <c r="J43" s="10">
        <f>IFERROR(SUMIFS('Base bordo CD'!M$2:M$875,'Base bordo CD'!D$2:D$875,A43,'Base bordo CD'!A$2:A$875,B43,'Base bordo CD'!L$2:L$875,"LIMITAÇÃO INDÚSTRIA"),0)</f>
        <v>0</v>
      </c>
      <c r="K43" s="10">
        <f>IFERROR(SUMIFS('Base bordo CD'!M$2:M$875,'Base bordo CD'!D$2:D$875,A43,'Base bordo CD'!A$2:A$875,B43,'Base bordo CD'!L$2:L$875,"MAN CORRETIVA*"),0)+IFERROR(SUMIFS('Base bordo CD'!M$2:M$875,'Base bordo CD'!D$2:D$875,A43,'Base bordo CD'!A$2:A$875,B43,'Base bordo CD'!L$2:L$875,"AGUARDANDO MANUTENCAO*"),0)+IFERROR(SUMIFS('Base bordo CD'!M$2:M$875,'Base bordo CD'!D$2:D$875,A43,'Base bordo CD'!A$2:A$875,B43,'Base bordo CD'!L$2:L$875,"TROCA DE FAQUINHA"),0)+IFERROR(SUMIFS('Base bordo CD'!M$2:M$875,'Base bordo CD'!D$2:D$875,A43,'Base bordo CD'!A$2:A$875,B43,'Base bordo CD'!L$2:L$875,"LIMPEZA*"),0)</f>
        <v>0.11861111111111111</v>
      </c>
      <c r="L43" s="10">
        <f>IFERROR(SUMIFS('Base bordo CD'!M$2:M$875,'Base bordo CD'!D$2:D$875,A43,'Base bordo CD'!A$2:A$875,B43,'Base bordo CD'!L$2:L$875,"PATIO - RESERVA"),0)</f>
        <v>0</v>
      </c>
      <c r="M43" s="10">
        <f>IFERROR(SUMIFS('Base bordo CD'!M$2:M$875,'Base bordo CD'!D$2:D$875,A43,'Base bordo CD'!A$2:A$875,B43,'Base bordo CD'!L$2:L$875,"SEM APONTAMENTO"),0)</f>
        <v>5.7777777777777782E-2</v>
      </c>
      <c r="N43" s="10">
        <f>IFERROR(SUMIFS('Base bordo CD'!M$2:M$875,'Base bordo CD'!D$2:D$875,A43,'Base bordo CD'!A$2:A$875,B43,'Base bordo CD'!L$2:L$875,"FALTA DE CAMINHÃO"),0)+IFERROR(SUMIFS('Base bordo CD'!M$2:M$875,'Base bordo CD'!D$2:D$875,A43,'Base bordo CD'!A$2:A$875,B43,'Base bordo CD'!L$2:L$875,"FALTA DE COMBUSTIVEL"),0)+IFERROR(SUMIFS('Base bordo CD'!M$2:M$875,'Base bordo CD'!D$2:D$875,A43,'Base bordo CD'!A$2:A$875,B43,'Base bordo CD'!L$2:L$875,"FALTA DE MOTORIST*"),0)</f>
        <v>0</v>
      </c>
      <c r="O43" s="10">
        <f t="shared" si="5"/>
        <v>0</v>
      </c>
      <c r="P43" s="10">
        <f>IFERROR(SUMIFS('Base bordo CD'!M$2:M$875,'Base bordo CD'!D$2:D$875,A43,'Base bordo CD'!A$2:A$875,B43),0)</f>
        <v>24</v>
      </c>
      <c r="Q43" s="10">
        <f>IFERROR(SUMIFS('Base bordo CD'!O$2:O$875,'Base bordo CD'!D$2:D$875,A43,'Base bordo CD'!A$2:A$875,B43,'Base bordo CD'!L$2:L$875,"CORTE DE CANA MECANIZADO"),0)</f>
        <v>60362.080000000002</v>
      </c>
      <c r="R43" s="10">
        <f>IFERROR(SUMIFS('Base bordo CD'!Q$2:Q$875,'Base bordo CD'!D$2:D$875,A43,'Base bordo CD'!A$2:A$875,B43,'Base bordo CD'!L$2:L$875,"CORTE DE CANA MECANIZADO"),0)</f>
        <v>13440</v>
      </c>
      <c r="S43" s="30">
        <f t="shared" si="6"/>
        <v>4.4912261904761905</v>
      </c>
      <c r="T43" s="9">
        <f t="shared" si="7"/>
        <v>0.15555555555555556</v>
      </c>
      <c r="U43" s="9">
        <f t="shared" si="8"/>
        <v>6.1342592592592594E-2</v>
      </c>
      <c r="V43" s="9">
        <f t="shared" si="9"/>
        <v>0.82015046296296301</v>
      </c>
    </row>
    <row r="44" spans="1:22" hidden="1" x14ac:dyDescent="0.35">
      <c r="A44" s="52">
        <v>49588</v>
      </c>
      <c r="B44" s="31">
        <v>46123</v>
      </c>
      <c r="C44" s="7" t="s">
        <v>364</v>
      </c>
      <c r="D44" s="7">
        <v>352</v>
      </c>
      <c r="E44" s="10">
        <f>IFERROR(SUMIFS('Base bordo CD'!M$2:M$875,'Base bordo CD'!D$2:D$875,A44,'Base bordo CD'!A$2:A$875,B44,'Base bordo CD'!L$2:L$875,"CORTE DE CANA MECANIZADO"),0)</f>
        <v>3.7333333333333334</v>
      </c>
      <c r="F44" s="10">
        <f>IFERROR(SUMIFS('Base bordo CD'!M$2:M$875,'Base bordo CD'!D$2:D$875,A44,'Base bordo CD'!A$2:A$875,B44,'Base bordo CD'!L$2:L$875,"MANOBRA"),0)</f>
        <v>1.4722222222222223</v>
      </c>
      <c r="G44" s="10">
        <f>IFERROR(SUMIFS('Base bordo CD'!M$2:M$875,'Base bordo CD'!D$2:D$875,A44,'Base bordo CD'!A$2:A$875,B44,'Base bordo CD'!L$2:L$875,"DESLOCAMENTO"),0)</f>
        <v>0.58305555555555555</v>
      </c>
      <c r="H44" s="10">
        <f>IFERROR(SUMIFS('Base bordo CD'!M$2:M$875,'Base bordo CD'!D$2:D$875,A44,'Base bordo CD'!A$2:A$875,B44,'Base bordo CD'!L$2:L$875,"AGUARDANDO MANOBRA DE TRANSBORDO"),0)+IFERROR(SUMIFS('Base bordo CD'!M$2:M$875,'Base bordo CD'!D$2:D$875,A44,'Base bordo CD'!A$2:A$875,B44,'Base bordo CD'!L$2:L$875,"FALTA DE TRANSBORDO"),0)</f>
        <v>4.6388888888888889E-2</v>
      </c>
      <c r="I44" s="10">
        <f>IFERROR(SUMIFS('Base bordo CD'!M$2:M$875,'Base bordo CD'!D$2:D$875,A44,'Base bordo CD'!A$2:A$875,B44,'Base bordo CD'!L$2:L$875,"PARADA POR CONDICOES CLIMATICAS"),0)+IFERROR(SUMIFS('Base bordo CD'!M$2:M$875,'Base bordo CD'!D$2:D$875,A44,'Base bordo CD'!A$2:A$875,B44,'Base bordo CD'!L$2:L$875,"TEMPO INDETERMINADO"),0)</f>
        <v>17.988611111111112</v>
      </c>
      <c r="J44" s="10">
        <f>IFERROR(SUMIFS('Base bordo CD'!M$2:M$875,'Base bordo CD'!D$2:D$875,A44,'Base bordo CD'!A$2:A$875,B44,'Base bordo CD'!L$2:L$875,"LIMITAÇÃO INDÚSTRIA"),0)</f>
        <v>0</v>
      </c>
      <c r="K44" s="10">
        <f>IFERROR(SUMIFS('Base bordo CD'!M$2:M$875,'Base bordo CD'!D$2:D$875,A44,'Base bordo CD'!A$2:A$875,B44,'Base bordo CD'!L$2:L$875,"MAN CORRETIVA*"),0)+IFERROR(SUMIFS('Base bordo CD'!M$2:M$875,'Base bordo CD'!D$2:D$875,A44,'Base bordo CD'!A$2:A$875,B44,'Base bordo CD'!L$2:L$875,"AGUARDANDO MANUTENCAO*"),0)+IFERROR(SUMIFS('Base bordo CD'!M$2:M$875,'Base bordo CD'!D$2:D$875,A44,'Base bordo CD'!A$2:A$875,B44,'Base bordo CD'!L$2:L$875,"TROCA DE FAQUINHA"),0)+IFERROR(SUMIFS('Base bordo CD'!M$2:M$875,'Base bordo CD'!D$2:D$875,A44,'Base bordo CD'!A$2:A$875,B44,'Base bordo CD'!L$2:L$875,"LIMPEZA*"),0)</f>
        <v>0.11861111111111111</v>
      </c>
      <c r="L44" s="10">
        <f>IFERROR(SUMIFS('Base bordo CD'!M$2:M$875,'Base bordo CD'!D$2:D$875,A44,'Base bordo CD'!A$2:A$875,B44,'Base bordo CD'!L$2:L$875,"PATIO - RESERVA"),0)</f>
        <v>0</v>
      </c>
      <c r="M44" s="10">
        <f>IFERROR(SUMIFS('Base bordo CD'!M$2:M$875,'Base bordo CD'!D$2:D$875,A44,'Base bordo CD'!A$2:A$875,B44,'Base bordo CD'!L$2:L$875,"SEM APONTAMENTO"),0)</f>
        <v>5.7777777777777782E-2</v>
      </c>
      <c r="N44" s="10">
        <f>IFERROR(SUMIFS('Base bordo CD'!M$2:M$875,'Base bordo CD'!D$2:D$875,A44,'Base bordo CD'!A$2:A$875,B44,'Base bordo CD'!L$2:L$875,"FALTA DE CAMINHÃO"),0)+IFERROR(SUMIFS('Base bordo CD'!M$2:M$875,'Base bordo CD'!D$2:D$875,A44,'Base bordo CD'!A$2:A$875,B44,'Base bordo CD'!L$2:L$875,"FALTA DE COMBUSTIVEL"),0)+IFERROR(SUMIFS('Base bordo CD'!M$2:M$875,'Base bordo CD'!D$2:D$875,A44,'Base bordo CD'!A$2:A$875,B44,'Base bordo CD'!L$2:L$875,"FALTA DE MOTORIST*"),0)</f>
        <v>0</v>
      </c>
      <c r="O44" s="10">
        <f t="shared" si="5"/>
        <v>0</v>
      </c>
      <c r="P44" s="10">
        <f>IFERROR(SUMIFS('Base bordo CD'!M$2:M$875,'Base bordo CD'!D$2:D$875,A44,'Base bordo CD'!A$2:A$875,B44),0)</f>
        <v>24</v>
      </c>
      <c r="Q44" s="10">
        <f>IFERROR(SUMIFS('Base bordo CD'!O$2:O$875,'Base bordo CD'!D$2:D$875,A44,'Base bordo CD'!A$2:A$875,B44,'Base bordo CD'!L$2:L$875,"CORTE DE CANA MECANIZADO"),0)</f>
        <v>60362.080000000002</v>
      </c>
      <c r="R44" s="10">
        <f>IFERROR(SUMIFS('Base bordo CD'!Q$2:Q$875,'Base bordo CD'!D$2:D$875,A44,'Base bordo CD'!A$2:A$875,B44,'Base bordo CD'!L$2:L$875,"CORTE DE CANA MECANIZADO"),0)</f>
        <v>13440</v>
      </c>
      <c r="S44" s="30">
        <f t="shared" si="6"/>
        <v>4.4912261904761905</v>
      </c>
      <c r="T44" s="9">
        <f t="shared" si="7"/>
        <v>0.15555555555555556</v>
      </c>
      <c r="U44" s="9">
        <f t="shared" si="8"/>
        <v>6.1342592592592594E-2</v>
      </c>
      <c r="V44" s="9">
        <f t="shared" si="9"/>
        <v>0.82015046296296301</v>
      </c>
    </row>
    <row r="45" spans="1:22" hidden="1" x14ac:dyDescent="0.35">
      <c r="A45" s="52">
        <v>49588</v>
      </c>
      <c r="B45" s="31">
        <v>46123</v>
      </c>
      <c r="C45" s="7" t="s">
        <v>364</v>
      </c>
      <c r="D45" s="7">
        <v>352</v>
      </c>
      <c r="E45" s="10">
        <f>IFERROR(SUMIFS('Base bordo CD'!M$2:M$875,'Base bordo CD'!D$2:D$875,A45,'Base bordo CD'!A$2:A$875,B45,'Base bordo CD'!L$2:L$875,"CORTE DE CANA MECANIZADO"),0)</f>
        <v>3.7333333333333334</v>
      </c>
      <c r="F45" s="10">
        <f>IFERROR(SUMIFS('Base bordo CD'!M$2:M$875,'Base bordo CD'!D$2:D$875,A45,'Base bordo CD'!A$2:A$875,B45,'Base bordo CD'!L$2:L$875,"MANOBRA"),0)</f>
        <v>1.4722222222222223</v>
      </c>
      <c r="G45" s="10">
        <f>IFERROR(SUMIFS('Base bordo CD'!M$2:M$875,'Base bordo CD'!D$2:D$875,A45,'Base bordo CD'!A$2:A$875,B45,'Base bordo CD'!L$2:L$875,"DESLOCAMENTO"),0)</f>
        <v>0.58305555555555555</v>
      </c>
      <c r="H45" s="10">
        <f>IFERROR(SUMIFS('Base bordo CD'!M$2:M$875,'Base bordo CD'!D$2:D$875,A45,'Base bordo CD'!A$2:A$875,B45,'Base bordo CD'!L$2:L$875,"AGUARDANDO MANOBRA DE TRANSBORDO"),0)+IFERROR(SUMIFS('Base bordo CD'!M$2:M$875,'Base bordo CD'!D$2:D$875,A45,'Base bordo CD'!A$2:A$875,B45,'Base bordo CD'!L$2:L$875,"FALTA DE TRANSBORDO"),0)</f>
        <v>4.6388888888888889E-2</v>
      </c>
      <c r="I45" s="10">
        <f>IFERROR(SUMIFS('Base bordo CD'!M$2:M$875,'Base bordo CD'!D$2:D$875,A45,'Base bordo CD'!A$2:A$875,B45,'Base bordo CD'!L$2:L$875,"PARADA POR CONDICOES CLIMATICAS"),0)+IFERROR(SUMIFS('Base bordo CD'!M$2:M$875,'Base bordo CD'!D$2:D$875,A45,'Base bordo CD'!A$2:A$875,B45,'Base bordo CD'!L$2:L$875,"TEMPO INDETERMINADO"),0)</f>
        <v>17.988611111111112</v>
      </c>
      <c r="J45" s="10">
        <f>IFERROR(SUMIFS('Base bordo CD'!M$2:M$875,'Base bordo CD'!D$2:D$875,A45,'Base bordo CD'!A$2:A$875,B45,'Base bordo CD'!L$2:L$875,"LIMITAÇÃO INDÚSTRIA"),0)</f>
        <v>0</v>
      </c>
      <c r="K45" s="10">
        <f>IFERROR(SUMIFS('Base bordo CD'!M$2:M$875,'Base bordo CD'!D$2:D$875,A45,'Base bordo CD'!A$2:A$875,B45,'Base bordo CD'!L$2:L$875,"MAN CORRETIVA*"),0)+IFERROR(SUMIFS('Base bordo CD'!M$2:M$875,'Base bordo CD'!D$2:D$875,A45,'Base bordo CD'!A$2:A$875,B45,'Base bordo CD'!L$2:L$875,"AGUARDANDO MANUTENCAO*"),0)+IFERROR(SUMIFS('Base bordo CD'!M$2:M$875,'Base bordo CD'!D$2:D$875,A45,'Base bordo CD'!A$2:A$875,B45,'Base bordo CD'!L$2:L$875,"TROCA DE FAQUINHA"),0)+IFERROR(SUMIFS('Base bordo CD'!M$2:M$875,'Base bordo CD'!D$2:D$875,A45,'Base bordo CD'!A$2:A$875,B45,'Base bordo CD'!L$2:L$875,"LIMPEZA*"),0)</f>
        <v>0.11861111111111111</v>
      </c>
      <c r="L45" s="10">
        <f>IFERROR(SUMIFS('Base bordo CD'!M$2:M$875,'Base bordo CD'!D$2:D$875,A45,'Base bordo CD'!A$2:A$875,B45,'Base bordo CD'!L$2:L$875,"PATIO - RESERVA"),0)</f>
        <v>0</v>
      </c>
      <c r="M45" s="10">
        <f>IFERROR(SUMIFS('Base bordo CD'!M$2:M$875,'Base bordo CD'!D$2:D$875,A45,'Base bordo CD'!A$2:A$875,B45,'Base bordo CD'!L$2:L$875,"SEM APONTAMENTO"),0)</f>
        <v>5.7777777777777782E-2</v>
      </c>
      <c r="N45" s="10">
        <f>IFERROR(SUMIFS('Base bordo CD'!M$2:M$875,'Base bordo CD'!D$2:D$875,A45,'Base bordo CD'!A$2:A$875,B45,'Base bordo CD'!L$2:L$875,"FALTA DE CAMINHÃO"),0)+IFERROR(SUMIFS('Base bordo CD'!M$2:M$875,'Base bordo CD'!D$2:D$875,A45,'Base bordo CD'!A$2:A$875,B45,'Base bordo CD'!L$2:L$875,"FALTA DE COMBUSTIVEL"),0)+IFERROR(SUMIFS('Base bordo CD'!M$2:M$875,'Base bordo CD'!D$2:D$875,A45,'Base bordo CD'!A$2:A$875,B45,'Base bordo CD'!L$2:L$875,"FALTA DE MOTORIST*"),0)</f>
        <v>0</v>
      </c>
      <c r="O45" s="10">
        <f t="shared" si="5"/>
        <v>0</v>
      </c>
      <c r="P45" s="10">
        <f>IFERROR(SUMIFS('Base bordo CD'!M$2:M$875,'Base bordo CD'!D$2:D$875,A45,'Base bordo CD'!A$2:A$875,B45),0)</f>
        <v>24</v>
      </c>
      <c r="Q45" s="10">
        <f>IFERROR(SUMIFS('Base bordo CD'!O$2:O$875,'Base bordo CD'!D$2:D$875,A45,'Base bordo CD'!A$2:A$875,B45,'Base bordo CD'!L$2:L$875,"CORTE DE CANA MECANIZADO"),0)</f>
        <v>60362.080000000002</v>
      </c>
      <c r="R45" s="10">
        <f>IFERROR(SUMIFS('Base bordo CD'!Q$2:Q$875,'Base bordo CD'!D$2:D$875,A45,'Base bordo CD'!A$2:A$875,B45,'Base bordo CD'!L$2:L$875,"CORTE DE CANA MECANIZADO"),0)</f>
        <v>13440</v>
      </c>
      <c r="S45" s="30">
        <f t="shared" si="6"/>
        <v>4.4912261904761905</v>
      </c>
      <c r="T45" s="9">
        <f t="shared" si="7"/>
        <v>0.15555555555555556</v>
      </c>
      <c r="U45" s="9">
        <f t="shared" si="8"/>
        <v>6.1342592592592594E-2</v>
      </c>
      <c r="V45" s="9">
        <f t="shared" si="9"/>
        <v>0.82015046296296301</v>
      </c>
    </row>
    <row r="46" spans="1:22" hidden="1" x14ac:dyDescent="0.35">
      <c r="A46" s="52">
        <v>49588</v>
      </c>
      <c r="B46" s="31">
        <v>46123</v>
      </c>
      <c r="C46" s="7" t="s">
        <v>364</v>
      </c>
      <c r="D46" s="7">
        <v>352</v>
      </c>
      <c r="E46" s="10">
        <f>IFERROR(SUMIFS('Base bordo CD'!M$2:M$875,'Base bordo CD'!D$2:D$875,A46,'Base bordo CD'!A$2:A$875,B46,'Base bordo CD'!L$2:L$875,"CORTE DE CANA MECANIZADO"),0)</f>
        <v>3.7333333333333334</v>
      </c>
      <c r="F46" s="10">
        <f>IFERROR(SUMIFS('Base bordo CD'!M$2:M$875,'Base bordo CD'!D$2:D$875,A46,'Base bordo CD'!A$2:A$875,B46,'Base bordo CD'!L$2:L$875,"MANOBRA"),0)</f>
        <v>1.4722222222222223</v>
      </c>
      <c r="G46" s="10">
        <f>IFERROR(SUMIFS('Base bordo CD'!M$2:M$875,'Base bordo CD'!D$2:D$875,A46,'Base bordo CD'!A$2:A$875,B46,'Base bordo CD'!L$2:L$875,"DESLOCAMENTO"),0)</f>
        <v>0.58305555555555555</v>
      </c>
      <c r="H46" s="10">
        <f>IFERROR(SUMIFS('Base bordo CD'!M$2:M$875,'Base bordo CD'!D$2:D$875,A46,'Base bordo CD'!A$2:A$875,B46,'Base bordo CD'!L$2:L$875,"AGUARDANDO MANOBRA DE TRANSBORDO"),0)+IFERROR(SUMIFS('Base bordo CD'!M$2:M$875,'Base bordo CD'!D$2:D$875,A46,'Base bordo CD'!A$2:A$875,B46,'Base bordo CD'!L$2:L$875,"FALTA DE TRANSBORDO"),0)</f>
        <v>4.6388888888888889E-2</v>
      </c>
      <c r="I46" s="10">
        <f>IFERROR(SUMIFS('Base bordo CD'!M$2:M$875,'Base bordo CD'!D$2:D$875,A46,'Base bordo CD'!A$2:A$875,B46,'Base bordo CD'!L$2:L$875,"PARADA POR CONDICOES CLIMATICAS"),0)+IFERROR(SUMIFS('Base bordo CD'!M$2:M$875,'Base bordo CD'!D$2:D$875,A46,'Base bordo CD'!A$2:A$875,B46,'Base bordo CD'!L$2:L$875,"TEMPO INDETERMINADO"),0)</f>
        <v>17.988611111111112</v>
      </c>
      <c r="J46" s="10">
        <f>IFERROR(SUMIFS('Base bordo CD'!M$2:M$875,'Base bordo CD'!D$2:D$875,A46,'Base bordo CD'!A$2:A$875,B46,'Base bordo CD'!L$2:L$875,"LIMITAÇÃO INDÚSTRIA"),0)</f>
        <v>0</v>
      </c>
      <c r="K46" s="10">
        <f>IFERROR(SUMIFS('Base bordo CD'!M$2:M$875,'Base bordo CD'!D$2:D$875,A46,'Base bordo CD'!A$2:A$875,B46,'Base bordo CD'!L$2:L$875,"MAN CORRETIVA*"),0)+IFERROR(SUMIFS('Base bordo CD'!M$2:M$875,'Base bordo CD'!D$2:D$875,A46,'Base bordo CD'!A$2:A$875,B46,'Base bordo CD'!L$2:L$875,"AGUARDANDO MANUTENCAO*"),0)+IFERROR(SUMIFS('Base bordo CD'!M$2:M$875,'Base bordo CD'!D$2:D$875,A46,'Base bordo CD'!A$2:A$875,B46,'Base bordo CD'!L$2:L$875,"TROCA DE FAQUINHA"),0)+IFERROR(SUMIFS('Base bordo CD'!M$2:M$875,'Base bordo CD'!D$2:D$875,A46,'Base bordo CD'!A$2:A$875,B46,'Base bordo CD'!L$2:L$875,"LIMPEZA*"),0)</f>
        <v>0.11861111111111111</v>
      </c>
      <c r="L46" s="10">
        <f>IFERROR(SUMIFS('Base bordo CD'!M$2:M$875,'Base bordo CD'!D$2:D$875,A46,'Base bordo CD'!A$2:A$875,B46,'Base bordo CD'!L$2:L$875,"PATIO - RESERVA"),0)</f>
        <v>0</v>
      </c>
      <c r="M46" s="10">
        <f>IFERROR(SUMIFS('Base bordo CD'!M$2:M$875,'Base bordo CD'!D$2:D$875,A46,'Base bordo CD'!A$2:A$875,B46,'Base bordo CD'!L$2:L$875,"SEM APONTAMENTO"),0)</f>
        <v>5.7777777777777782E-2</v>
      </c>
      <c r="N46" s="10">
        <f>IFERROR(SUMIFS('Base bordo CD'!M$2:M$875,'Base bordo CD'!D$2:D$875,A46,'Base bordo CD'!A$2:A$875,B46,'Base bordo CD'!L$2:L$875,"FALTA DE CAMINHÃO"),0)+IFERROR(SUMIFS('Base bordo CD'!M$2:M$875,'Base bordo CD'!D$2:D$875,A46,'Base bordo CD'!A$2:A$875,B46,'Base bordo CD'!L$2:L$875,"FALTA DE COMBUSTIVEL"),0)+IFERROR(SUMIFS('Base bordo CD'!M$2:M$875,'Base bordo CD'!D$2:D$875,A46,'Base bordo CD'!A$2:A$875,B46,'Base bordo CD'!L$2:L$875,"FALTA DE MOTORIST*"),0)</f>
        <v>0</v>
      </c>
      <c r="O46" s="10">
        <f t="shared" si="5"/>
        <v>0</v>
      </c>
      <c r="P46" s="10">
        <f>IFERROR(SUMIFS('Base bordo CD'!M$2:M$875,'Base bordo CD'!D$2:D$875,A46,'Base bordo CD'!A$2:A$875,B46),0)</f>
        <v>24</v>
      </c>
      <c r="Q46" s="10">
        <f>IFERROR(SUMIFS('Base bordo CD'!O$2:O$875,'Base bordo CD'!D$2:D$875,A46,'Base bordo CD'!A$2:A$875,B46,'Base bordo CD'!L$2:L$875,"CORTE DE CANA MECANIZADO"),0)</f>
        <v>60362.080000000002</v>
      </c>
      <c r="R46" s="10">
        <f>IFERROR(SUMIFS('Base bordo CD'!Q$2:Q$875,'Base bordo CD'!D$2:D$875,A46,'Base bordo CD'!A$2:A$875,B46,'Base bordo CD'!L$2:L$875,"CORTE DE CANA MECANIZADO"),0)</f>
        <v>13440</v>
      </c>
      <c r="S46" s="30">
        <f t="shared" si="6"/>
        <v>4.4912261904761905</v>
      </c>
      <c r="T46" s="9">
        <f t="shared" si="7"/>
        <v>0.15555555555555556</v>
      </c>
      <c r="U46" s="9">
        <f t="shared" si="8"/>
        <v>6.1342592592592594E-2</v>
      </c>
      <c r="V46" s="9">
        <f t="shared" si="9"/>
        <v>0.82015046296296301</v>
      </c>
    </row>
    <row r="47" spans="1:22" hidden="1" x14ac:dyDescent="0.35">
      <c r="A47" s="52">
        <v>49588</v>
      </c>
      <c r="B47" s="31">
        <v>46123</v>
      </c>
      <c r="C47" s="7" t="s">
        <v>364</v>
      </c>
      <c r="D47" s="7">
        <v>352</v>
      </c>
      <c r="E47" s="10">
        <f>IFERROR(SUMIFS('Base bordo CD'!M$2:M$875,'Base bordo CD'!D$2:D$875,A47,'Base bordo CD'!A$2:A$875,B47,'Base bordo CD'!L$2:L$875,"CORTE DE CANA MECANIZADO"),0)</f>
        <v>3.7333333333333334</v>
      </c>
      <c r="F47" s="10">
        <f>IFERROR(SUMIFS('Base bordo CD'!M$2:M$875,'Base bordo CD'!D$2:D$875,A47,'Base bordo CD'!A$2:A$875,B47,'Base bordo CD'!L$2:L$875,"MANOBRA"),0)</f>
        <v>1.4722222222222223</v>
      </c>
      <c r="G47" s="10">
        <f>IFERROR(SUMIFS('Base bordo CD'!M$2:M$875,'Base bordo CD'!D$2:D$875,A47,'Base bordo CD'!A$2:A$875,B47,'Base bordo CD'!L$2:L$875,"DESLOCAMENTO"),0)</f>
        <v>0.58305555555555555</v>
      </c>
      <c r="H47" s="10">
        <f>IFERROR(SUMIFS('Base bordo CD'!M$2:M$875,'Base bordo CD'!D$2:D$875,A47,'Base bordo CD'!A$2:A$875,B47,'Base bordo CD'!L$2:L$875,"AGUARDANDO MANOBRA DE TRANSBORDO"),0)+IFERROR(SUMIFS('Base bordo CD'!M$2:M$875,'Base bordo CD'!D$2:D$875,A47,'Base bordo CD'!A$2:A$875,B47,'Base bordo CD'!L$2:L$875,"FALTA DE TRANSBORDO"),0)</f>
        <v>4.6388888888888889E-2</v>
      </c>
      <c r="I47" s="10">
        <f>IFERROR(SUMIFS('Base bordo CD'!M$2:M$875,'Base bordo CD'!D$2:D$875,A47,'Base bordo CD'!A$2:A$875,B47,'Base bordo CD'!L$2:L$875,"PARADA POR CONDICOES CLIMATICAS"),0)+IFERROR(SUMIFS('Base bordo CD'!M$2:M$875,'Base bordo CD'!D$2:D$875,A47,'Base bordo CD'!A$2:A$875,B47,'Base bordo CD'!L$2:L$875,"TEMPO INDETERMINADO"),0)</f>
        <v>17.988611111111112</v>
      </c>
      <c r="J47" s="10">
        <f>IFERROR(SUMIFS('Base bordo CD'!M$2:M$875,'Base bordo CD'!D$2:D$875,A47,'Base bordo CD'!A$2:A$875,B47,'Base bordo CD'!L$2:L$875,"LIMITAÇÃO INDÚSTRIA"),0)</f>
        <v>0</v>
      </c>
      <c r="K47" s="10">
        <f>IFERROR(SUMIFS('Base bordo CD'!M$2:M$875,'Base bordo CD'!D$2:D$875,A47,'Base bordo CD'!A$2:A$875,B47,'Base bordo CD'!L$2:L$875,"MAN CORRETIVA*"),0)+IFERROR(SUMIFS('Base bordo CD'!M$2:M$875,'Base bordo CD'!D$2:D$875,A47,'Base bordo CD'!A$2:A$875,B47,'Base bordo CD'!L$2:L$875,"AGUARDANDO MANUTENCAO*"),0)+IFERROR(SUMIFS('Base bordo CD'!M$2:M$875,'Base bordo CD'!D$2:D$875,A47,'Base bordo CD'!A$2:A$875,B47,'Base bordo CD'!L$2:L$875,"TROCA DE FAQUINHA"),0)+IFERROR(SUMIFS('Base bordo CD'!M$2:M$875,'Base bordo CD'!D$2:D$875,A47,'Base bordo CD'!A$2:A$875,B47,'Base bordo CD'!L$2:L$875,"LIMPEZA*"),0)</f>
        <v>0.11861111111111111</v>
      </c>
      <c r="L47" s="10">
        <f>IFERROR(SUMIFS('Base bordo CD'!M$2:M$875,'Base bordo CD'!D$2:D$875,A47,'Base bordo CD'!A$2:A$875,B47,'Base bordo CD'!L$2:L$875,"PATIO - RESERVA"),0)</f>
        <v>0</v>
      </c>
      <c r="M47" s="10">
        <f>IFERROR(SUMIFS('Base bordo CD'!M$2:M$875,'Base bordo CD'!D$2:D$875,A47,'Base bordo CD'!A$2:A$875,B47,'Base bordo CD'!L$2:L$875,"SEM APONTAMENTO"),0)</f>
        <v>5.7777777777777782E-2</v>
      </c>
      <c r="N47" s="10">
        <f>IFERROR(SUMIFS('Base bordo CD'!M$2:M$875,'Base bordo CD'!D$2:D$875,A47,'Base bordo CD'!A$2:A$875,B47,'Base bordo CD'!L$2:L$875,"FALTA DE CAMINHÃO"),0)+IFERROR(SUMIFS('Base bordo CD'!M$2:M$875,'Base bordo CD'!D$2:D$875,A47,'Base bordo CD'!A$2:A$875,B47,'Base bordo CD'!L$2:L$875,"FALTA DE COMBUSTIVEL"),0)+IFERROR(SUMIFS('Base bordo CD'!M$2:M$875,'Base bordo CD'!D$2:D$875,A47,'Base bordo CD'!A$2:A$875,B47,'Base bordo CD'!L$2:L$875,"FALTA DE MOTORIST*"),0)</f>
        <v>0</v>
      </c>
      <c r="O47" s="10">
        <f t="shared" si="5"/>
        <v>0</v>
      </c>
      <c r="P47" s="10">
        <f>IFERROR(SUMIFS('Base bordo CD'!M$2:M$875,'Base bordo CD'!D$2:D$875,A47,'Base bordo CD'!A$2:A$875,B47),0)</f>
        <v>24</v>
      </c>
      <c r="Q47" s="10">
        <f>IFERROR(SUMIFS('Base bordo CD'!O$2:O$875,'Base bordo CD'!D$2:D$875,A47,'Base bordo CD'!A$2:A$875,B47,'Base bordo CD'!L$2:L$875,"CORTE DE CANA MECANIZADO"),0)</f>
        <v>60362.080000000002</v>
      </c>
      <c r="R47" s="10">
        <f>IFERROR(SUMIFS('Base bordo CD'!Q$2:Q$875,'Base bordo CD'!D$2:D$875,A47,'Base bordo CD'!A$2:A$875,B47,'Base bordo CD'!L$2:L$875,"CORTE DE CANA MECANIZADO"),0)</f>
        <v>13440</v>
      </c>
      <c r="S47" s="30">
        <f t="shared" si="6"/>
        <v>4.4912261904761905</v>
      </c>
      <c r="T47" s="9">
        <f t="shared" si="7"/>
        <v>0.15555555555555556</v>
      </c>
      <c r="U47" s="9">
        <f t="shared" si="8"/>
        <v>6.1342592592592594E-2</v>
      </c>
      <c r="V47" s="9">
        <f t="shared" si="9"/>
        <v>0.82015046296296301</v>
      </c>
    </row>
    <row r="48" spans="1:22" hidden="1" x14ac:dyDescent="0.35">
      <c r="A48" s="52">
        <v>49588</v>
      </c>
      <c r="B48" s="31">
        <v>46123</v>
      </c>
      <c r="C48" s="7" t="s">
        <v>364</v>
      </c>
      <c r="D48" s="7">
        <v>352</v>
      </c>
      <c r="E48" s="10">
        <f>IFERROR(SUMIFS('Base bordo CD'!M$2:M$875,'Base bordo CD'!D$2:D$875,A48,'Base bordo CD'!A$2:A$875,B48,'Base bordo CD'!L$2:L$875,"CORTE DE CANA MECANIZADO"),0)</f>
        <v>3.7333333333333334</v>
      </c>
      <c r="F48" s="10">
        <f>IFERROR(SUMIFS('Base bordo CD'!M$2:M$875,'Base bordo CD'!D$2:D$875,A48,'Base bordo CD'!A$2:A$875,B48,'Base bordo CD'!L$2:L$875,"MANOBRA"),0)</f>
        <v>1.4722222222222223</v>
      </c>
      <c r="G48" s="10">
        <f>IFERROR(SUMIFS('Base bordo CD'!M$2:M$875,'Base bordo CD'!D$2:D$875,A48,'Base bordo CD'!A$2:A$875,B48,'Base bordo CD'!L$2:L$875,"DESLOCAMENTO"),0)</f>
        <v>0.58305555555555555</v>
      </c>
      <c r="H48" s="10">
        <f>IFERROR(SUMIFS('Base bordo CD'!M$2:M$875,'Base bordo CD'!D$2:D$875,A48,'Base bordo CD'!A$2:A$875,B48,'Base bordo CD'!L$2:L$875,"AGUARDANDO MANOBRA DE TRANSBORDO"),0)+IFERROR(SUMIFS('Base bordo CD'!M$2:M$875,'Base bordo CD'!D$2:D$875,A48,'Base bordo CD'!A$2:A$875,B48,'Base bordo CD'!L$2:L$875,"FALTA DE TRANSBORDO"),0)</f>
        <v>4.6388888888888889E-2</v>
      </c>
      <c r="I48" s="10">
        <f>IFERROR(SUMIFS('Base bordo CD'!M$2:M$875,'Base bordo CD'!D$2:D$875,A48,'Base bordo CD'!A$2:A$875,B48,'Base bordo CD'!L$2:L$875,"PARADA POR CONDICOES CLIMATICAS"),0)+IFERROR(SUMIFS('Base bordo CD'!M$2:M$875,'Base bordo CD'!D$2:D$875,A48,'Base bordo CD'!A$2:A$875,B48,'Base bordo CD'!L$2:L$875,"TEMPO INDETERMINADO"),0)</f>
        <v>17.988611111111112</v>
      </c>
      <c r="J48" s="10">
        <f>IFERROR(SUMIFS('Base bordo CD'!M$2:M$875,'Base bordo CD'!D$2:D$875,A48,'Base bordo CD'!A$2:A$875,B48,'Base bordo CD'!L$2:L$875,"LIMITAÇÃO INDÚSTRIA"),0)</f>
        <v>0</v>
      </c>
      <c r="K48" s="10">
        <f>IFERROR(SUMIFS('Base bordo CD'!M$2:M$875,'Base bordo CD'!D$2:D$875,A48,'Base bordo CD'!A$2:A$875,B48,'Base bordo CD'!L$2:L$875,"MAN CORRETIVA*"),0)+IFERROR(SUMIFS('Base bordo CD'!M$2:M$875,'Base bordo CD'!D$2:D$875,A48,'Base bordo CD'!A$2:A$875,B48,'Base bordo CD'!L$2:L$875,"AGUARDANDO MANUTENCAO*"),0)+IFERROR(SUMIFS('Base bordo CD'!M$2:M$875,'Base bordo CD'!D$2:D$875,A48,'Base bordo CD'!A$2:A$875,B48,'Base bordo CD'!L$2:L$875,"TROCA DE FAQUINHA"),0)+IFERROR(SUMIFS('Base bordo CD'!M$2:M$875,'Base bordo CD'!D$2:D$875,A48,'Base bordo CD'!A$2:A$875,B48,'Base bordo CD'!L$2:L$875,"LIMPEZA*"),0)</f>
        <v>0.11861111111111111</v>
      </c>
      <c r="L48" s="10">
        <f>IFERROR(SUMIFS('Base bordo CD'!M$2:M$875,'Base bordo CD'!D$2:D$875,A48,'Base bordo CD'!A$2:A$875,B48,'Base bordo CD'!L$2:L$875,"PATIO - RESERVA"),0)</f>
        <v>0</v>
      </c>
      <c r="M48" s="10">
        <f>IFERROR(SUMIFS('Base bordo CD'!M$2:M$875,'Base bordo CD'!D$2:D$875,A48,'Base bordo CD'!A$2:A$875,B48,'Base bordo CD'!L$2:L$875,"SEM APONTAMENTO"),0)</f>
        <v>5.7777777777777782E-2</v>
      </c>
      <c r="N48" s="10">
        <f>IFERROR(SUMIFS('Base bordo CD'!M$2:M$875,'Base bordo CD'!D$2:D$875,A48,'Base bordo CD'!A$2:A$875,B48,'Base bordo CD'!L$2:L$875,"FALTA DE CAMINHÃO"),0)+IFERROR(SUMIFS('Base bordo CD'!M$2:M$875,'Base bordo CD'!D$2:D$875,A48,'Base bordo CD'!A$2:A$875,B48,'Base bordo CD'!L$2:L$875,"FALTA DE COMBUSTIVEL"),0)+IFERROR(SUMIFS('Base bordo CD'!M$2:M$875,'Base bordo CD'!D$2:D$875,A48,'Base bordo CD'!A$2:A$875,B48,'Base bordo CD'!L$2:L$875,"FALTA DE MOTORIST*"),0)</f>
        <v>0</v>
      </c>
      <c r="O48" s="10">
        <f t="shared" si="5"/>
        <v>0</v>
      </c>
      <c r="P48" s="10">
        <f>IFERROR(SUMIFS('Base bordo CD'!M$2:M$875,'Base bordo CD'!D$2:D$875,A48,'Base bordo CD'!A$2:A$875,B48),0)</f>
        <v>24</v>
      </c>
      <c r="Q48" s="10">
        <f>IFERROR(SUMIFS('Base bordo CD'!O$2:O$875,'Base bordo CD'!D$2:D$875,A48,'Base bordo CD'!A$2:A$875,B48,'Base bordo CD'!L$2:L$875,"CORTE DE CANA MECANIZADO"),0)</f>
        <v>60362.080000000002</v>
      </c>
      <c r="R48" s="10">
        <f>IFERROR(SUMIFS('Base bordo CD'!Q$2:Q$875,'Base bordo CD'!D$2:D$875,A48,'Base bordo CD'!A$2:A$875,B48,'Base bordo CD'!L$2:L$875,"CORTE DE CANA MECANIZADO"),0)</f>
        <v>13440</v>
      </c>
      <c r="S48" s="30">
        <f t="shared" si="6"/>
        <v>4.4912261904761905</v>
      </c>
      <c r="T48" s="9">
        <f t="shared" si="7"/>
        <v>0.15555555555555556</v>
      </c>
      <c r="U48" s="9">
        <f t="shared" si="8"/>
        <v>6.1342592592592594E-2</v>
      </c>
      <c r="V48" s="9">
        <f t="shared" si="9"/>
        <v>0.82015046296296301</v>
      </c>
    </row>
    <row r="49" spans="1:22" hidden="1" x14ac:dyDescent="0.35">
      <c r="A49" s="52">
        <v>49588</v>
      </c>
      <c r="B49" s="31">
        <v>46123</v>
      </c>
      <c r="C49" s="7" t="s">
        <v>364</v>
      </c>
      <c r="D49" s="7">
        <v>352</v>
      </c>
      <c r="E49" s="10">
        <f>IFERROR(SUMIFS('Base bordo CD'!M$2:M$875,'Base bordo CD'!D$2:D$875,A49,'Base bordo CD'!A$2:A$875,B49,'Base bordo CD'!L$2:L$875,"CORTE DE CANA MECANIZADO"),0)</f>
        <v>3.7333333333333334</v>
      </c>
      <c r="F49" s="10">
        <f>IFERROR(SUMIFS('Base bordo CD'!M$2:M$875,'Base bordo CD'!D$2:D$875,A49,'Base bordo CD'!A$2:A$875,B49,'Base bordo CD'!L$2:L$875,"MANOBRA"),0)</f>
        <v>1.4722222222222223</v>
      </c>
      <c r="G49" s="10">
        <f>IFERROR(SUMIFS('Base bordo CD'!M$2:M$875,'Base bordo CD'!D$2:D$875,A49,'Base bordo CD'!A$2:A$875,B49,'Base bordo CD'!L$2:L$875,"DESLOCAMENTO"),0)</f>
        <v>0.58305555555555555</v>
      </c>
      <c r="H49" s="10">
        <f>IFERROR(SUMIFS('Base bordo CD'!M$2:M$875,'Base bordo CD'!D$2:D$875,A49,'Base bordo CD'!A$2:A$875,B49,'Base bordo CD'!L$2:L$875,"AGUARDANDO MANOBRA DE TRANSBORDO"),0)+IFERROR(SUMIFS('Base bordo CD'!M$2:M$875,'Base bordo CD'!D$2:D$875,A49,'Base bordo CD'!A$2:A$875,B49,'Base bordo CD'!L$2:L$875,"FALTA DE TRANSBORDO"),0)</f>
        <v>4.6388888888888889E-2</v>
      </c>
      <c r="I49" s="10">
        <f>IFERROR(SUMIFS('Base bordo CD'!M$2:M$875,'Base bordo CD'!D$2:D$875,A49,'Base bordo CD'!A$2:A$875,B49,'Base bordo CD'!L$2:L$875,"PARADA POR CONDICOES CLIMATICAS"),0)+IFERROR(SUMIFS('Base bordo CD'!M$2:M$875,'Base bordo CD'!D$2:D$875,A49,'Base bordo CD'!A$2:A$875,B49,'Base bordo CD'!L$2:L$875,"TEMPO INDETERMINADO"),0)</f>
        <v>17.988611111111112</v>
      </c>
      <c r="J49" s="10">
        <f>IFERROR(SUMIFS('Base bordo CD'!M$2:M$875,'Base bordo CD'!D$2:D$875,A49,'Base bordo CD'!A$2:A$875,B49,'Base bordo CD'!L$2:L$875,"LIMITAÇÃO INDÚSTRIA"),0)</f>
        <v>0</v>
      </c>
      <c r="K49" s="10">
        <f>IFERROR(SUMIFS('Base bordo CD'!M$2:M$875,'Base bordo CD'!D$2:D$875,A49,'Base bordo CD'!A$2:A$875,B49,'Base bordo CD'!L$2:L$875,"MAN CORRETIVA*"),0)+IFERROR(SUMIFS('Base bordo CD'!M$2:M$875,'Base bordo CD'!D$2:D$875,A49,'Base bordo CD'!A$2:A$875,B49,'Base bordo CD'!L$2:L$875,"AGUARDANDO MANUTENCAO*"),0)+IFERROR(SUMIFS('Base bordo CD'!M$2:M$875,'Base bordo CD'!D$2:D$875,A49,'Base bordo CD'!A$2:A$875,B49,'Base bordo CD'!L$2:L$875,"TROCA DE FAQUINHA"),0)+IFERROR(SUMIFS('Base bordo CD'!M$2:M$875,'Base bordo CD'!D$2:D$875,A49,'Base bordo CD'!A$2:A$875,B49,'Base bordo CD'!L$2:L$875,"LIMPEZA*"),0)</f>
        <v>0.11861111111111111</v>
      </c>
      <c r="L49" s="10">
        <f>IFERROR(SUMIFS('Base bordo CD'!M$2:M$875,'Base bordo CD'!D$2:D$875,A49,'Base bordo CD'!A$2:A$875,B49,'Base bordo CD'!L$2:L$875,"PATIO - RESERVA"),0)</f>
        <v>0</v>
      </c>
      <c r="M49" s="10">
        <f>IFERROR(SUMIFS('Base bordo CD'!M$2:M$875,'Base bordo CD'!D$2:D$875,A49,'Base bordo CD'!A$2:A$875,B49,'Base bordo CD'!L$2:L$875,"SEM APONTAMENTO"),0)</f>
        <v>5.7777777777777782E-2</v>
      </c>
      <c r="N49" s="10">
        <f>IFERROR(SUMIFS('Base bordo CD'!M$2:M$875,'Base bordo CD'!D$2:D$875,A49,'Base bordo CD'!A$2:A$875,B49,'Base bordo CD'!L$2:L$875,"FALTA DE CAMINHÃO"),0)+IFERROR(SUMIFS('Base bordo CD'!M$2:M$875,'Base bordo CD'!D$2:D$875,A49,'Base bordo CD'!A$2:A$875,B49,'Base bordo CD'!L$2:L$875,"FALTA DE COMBUSTIVEL"),0)+IFERROR(SUMIFS('Base bordo CD'!M$2:M$875,'Base bordo CD'!D$2:D$875,A49,'Base bordo CD'!A$2:A$875,B49,'Base bordo CD'!L$2:L$875,"FALTA DE MOTORIST*"),0)</f>
        <v>0</v>
      </c>
      <c r="O49" s="10">
        <f t="shared" si="5"/>
        <v>0</v>
      </c>
      <c r="P49" s="10">
        <f>IFERROR(SUMIFS('Base bordo CD'!M$2:M$875,'Base bordo CD'!D$2:D$875,A49,'Base bordo CD'!A$2:A$875,B49),0)</f>
        <v>24</v>
      </c>
      <c r="Q49" s="10">
        <f>IFERROR(SUMIFS('Base bordo CD'!O$2:O$875,'Base bordo CD'!D$2:D$875,A49,'Base bordo CD'!A$2:A$875,B49,'Base bordo CD'!L$2:L$875,"CORTE DE CANA MECANIZADO"),0)</f>
        <v>60362.080000000002</v>
      </c>
      <c r="R49" s="10">
        <f>IFERROR(SUMIFS('Base bordo CD'!Q$2:Q$875,'Base bordo CD'!D$2:D$875,A49,'Base bordo CD'!A$2:A$875,B49,'Base bordo CD'!L$2:L$875,"CORTE DE CANA MECANIZADO"),0)</f>
        <v>13440</v>
      </c>
      <c r="S49" s="30">
        <f t="shared" si="6"/>
        <v>4.4912261904761905</v>
      </c>
      <c r="T49" s="9">
        <f t="shared" si="7"/>
        <v>0.15555555555555556</v>
      </c>
      <c r="U49" s="9">
        <f t="shared" si="8"/>
        <v>6.1342592592592594E-2</v>
      </c>
      <c r="V49" s="9">
        <f t="shared" si="9"/>
        <v>0.82015046296296301</v>
      </c>
    </row>
    <row r="50" spans="1:22" hidden="1" x14ac:dyDescent="0.35">
      <c r="A50" s="52">
        <v>49588</v>
      </c>
      <c r="B50" s="31">
        <v>46123</v>
      </c>
      <c r="C50" s="7" t="s">
        <v>364</v>
      </c>
      <c r="D50" s="7">
        <v>352</v>
      </c>
      <c r="E50" s="10">
        <f>IFERROR(SUMIFS('Base bordo CD'!M$2:M$875,'Base bordo CD'!D$2:D$875,A50,'Base bordo CD'!A$2:A$875,B50,'Base bordo CD'!L$2:L$875,"CORTE DE CANA MECANIZADO"),0)</f>
        <v>3.7333333333333334</v>
      </c>
      <c r="F50" s="10">
        <f>IFERROR(SUMIFS('Base bordo CD'!M$2:M$875,'Base bordo CD'!D$2:D$875,A50,'Base bordo CD'!A$2:A$875,B50,'Base bordo CD'!L$2:L$875,"MANOBRA"),0)</f>
        <v>1.4722222222222223</v>
      </c>
      <c r="G50" s="10">
        <f>IFERROR(SUMIFS('Base bordo CD'!M$2:M$875,'Base bordo CD'!D$2:D$875,A50,'Base bordo CD'!A$2:A$875,B50,'Base bordo CD'!L$2:L$875,"DESLOCAMENTO"),0)</f>
        <v>0.58305555555555555</v>
      </c>
      <c r="H50" s="10">
        <f>IFERROR(SUMIFS('Base bordo CD'!M$2:M$875,'Base bordo CD'!D$2:D$875,A50,'Base bordo CD'!A$2:A$875,B50,'Base bordo CD'!L$2:L$875,"AGUARDANDO MANOBRA DE TRANSBORDO"),0)+IFERROR(SUMIFS('Base bordo CD'!M$2:M$875,'Base bordo CD'!D$2:D$875,A50,'Base bordo CD'!A$2:A$875,B50,'Base bordo CD'!L$2:L$875,"FALTA DE TRANSBORDO"),0)</f>
        <v>4.6388888888888889E-2</v>
      </c>
      <c r="I50" s="10">
        <f>IFERROR(SUMIFS('Base bordo CD'!M$2:M$875,'Base bordo CD'!D$2:D$875,A50,'Base bordo CD'!A$2:A$875,B50,'Base bordo CD'!L$2:L$875,"PARADA POR CONDICOES CLIMATICAS"),0)+IFERROR(SUMIFS('Base bordo CD'!M$2:M$875,'Base bordo CD'!D$2:D$875,A50,'Base bordo CD'!A$2:A$875,B50,'Base bordo CD'!L$2:L$875,"TEMPO INDETERMINADO"),0)</f>
        <v>17.988611111111112</v>
      </c>
      <c r="J50" s="10">
        <f>IFERROR(SUMIFS('Base bordo CD'!M$2:M$875,'Base bordo CD'!D$2:D$875,A50,'Base bordo CD'!A$2:A$875,B50,'Base bordo CD'!L$2:L$875,"LIMITAÇÃO INDÚSTRIA"),0)</f>
        <v>0</v>
      </c>
      <c r="K50" s="10">
        <f>IFERROR(SUMIFS('Base bordo CD'!M$2:M$875,'Base bordo CD'!D$2:D$875,A50,'Base bordo CD'!A$2:A$875,B50,'Base bordo CD'!L$2:L$875,"MAN CORRETIVA*"),0)+IFERROR(SUMIFS('Base bordo CD'!M$2:M$875,'Base bordo CD'!D$2:D$875,A50,'Base bordo CD'!A$2:A$875,B50,'Base bordo CD'!L$2:L$875,"AGUARDANDO MANUTENCAO*"),0)+IFERROR(SUMIFS('Base bordo CD'!M$2:M$875,'Base bordo CD'!D$2:D$875,A50,'Base bordo CD'!A$2:A$875,B50,'Base bordo CD'!L$2:L$875,"TROCA DE FAQUINHA"),0)+IFERROR(SUMIFS('Base bordo CD'!M$2:M$875,'Base bordo CD'!D$2:D$875,A50,'Base bordo CD'!A$2:A$875,B50,'Base bordo CD'!L$2:L$875,"LIMPEZA*"),0)</f>
        <v>0.11861111111111111</v>
      </c>
      <c r="L50" s="10">
        <f>IFERROR(SUMIFS('Base bordo CD'!M$2:M$875,'Base bordo CD'!D$2:D$875,A50,'Base bordo CD'!A$2:A$875,B50,'Base bordo CD'!L$2:L$875,"PATIO - RESERVA"),0)</f>
        <v>0</v>
      </c>
      <c r="M50" s="10">
        <f>IFERROR(SUMIFS('Base bordo CD'!M$2:M$875,'Base bordo CD'!D$2:D$875,A50,'Base bordo CD'!A$2:A$875,B50,'Base bordo CD'!L$2:L$875,"SEM APONTAMENTO"),0)</f>
        <v>5.7777777777777782E-2</v>
      </c>
      <c r="N50" s="10">
        <f>IFERROR(SUMIFS('Base bordo CD'!M$2:M$875,'Base bordo CD'!D$2:D$875,A50,'Base bordo CD'!A$2:A$875,B50,'Base bordo CD'!L$2:L$875,"FALTA DE CAMINHÃO"),0)+IFERROR(SUMIFS('Base bordo CD'!M$2:M$875,'Base bordo CD'!D$2:D$875,A50,'Base bordo CD'!A$2:A$875,B50,'Base bordo CD'!L$2:L$875,"FALTA DE COMBUSTIVEL"),0)+IFERROR(SUMIFS('Base bordo CD'!M$2:M$875,'Base bordo CD'!D$2:D$875,A50,'Base bordo CD'!A$2:A$875,B50,'Base bordo CD'!L$2:L$875,"FALTA DE MOTORIST*"),0)</f>
        <v>0</v>
      </c>
      <c r="O50" s="10">
        <f t="shared" si="5"/>
        <v>0</v>
      </c>
      <c r="P50" s="10">
        <f>IFERROR(SUMIFS('Base bordo CD'!M$2:M$875,'Base bordo CD'!D$2:D$875,A50,'Base bordo CD'!A$2:A$875,B50),0)</f>
        <v>24</v>
      </c>
      <c r="Q50" s="10">
        <f>IFERROR(SUMIFS('Base bordo CD'!O$2:O$875,'Base bordo CD'!D$2:D$875,A50,'Base bordo CD'!A$2:A$875,B50,'Base bordo CD'!L$2:L$875,"CORTE DE CANA MECANIZADO"),0)</f>
        <v>60362.080000000002</v>
      </c>
      <c r="R50" s="10">
        <f>IFERROR(SUMIFS('Base bordo CD'!Q$2:Q$875,'Base bordo CD'!D$2:D$875,A50,'Base bordo CD'!A$2:A$875,B50,'Base bordo CD'!L$2:L$875,"CORTE DE CANA MECANIZADO"),0)</f>
        <v>13440</v>
      </c>
      <c r="S50" s="30">
        <f t="shared" si="6"/>
        <v>4.4912261904761905</v>
      </c>
      <c r="T50" s="9">
        <f t="shared" si="7"/>
        <v>0.15555555555555556</v>
      </c>
      <c r="U50" s="9">
        <f t="shared" si="8"/>
        <v>6.1342592592592594E-2</v>
      </c>
      <c r="V50" s="9">
        <f t="shared" si="9"/>
        <v>0.82015046296296301</v>
      </c>
    </row>
    <row r="51" spans="1:22" hidden="1" x14ac:dyDescent="0.35">
      <c r="A51" s="52">
        <v>49588</v>
      </c>
      <c r="B51" s="31">
        <v>46123</v>
      </c>
      <c r="C51" s="7" t="s">
        <v>364</v>
      </c>
      <c r="D51" s="7">
        <v>352</v>
      </c>
      <c r="E51" s="10">
        <f>IFERROR(SUMIFS('Base bordo CD'!M$2:M$875,'Base bordo CD'!D$2:D$875,A51,'Base bordo CD'!A$2:A$875,B51,'Base bordo CD'!L$2:L$875,"CORTE DE CANA MECANIZADO"),0)</f>
        <v>3.7333333333333334</v>
      </c>
      <c r="F51" s="10">
        <f>IFERROR(SUMIFS('Base bordo CD'!M$2:M$875,'Base bordo CD'!D$2:D$875,A51,'Base bordo CD'!A$2:A$875,B51,'Base bordo CD'!L$2:L$875,"MANOBRA"),0)</f>
        <v>1.4722222222222223</v>
      </c>
      <c r="G51" s="10">
        <f>IFERROR(SUMIFS('Base bordo CD'!M$2:M$875,'Base bordo CD'!D$2:D$875,A51,'Base bordo CD'!A$2:A$875,B51,'Base bordo CD'!L$2:L$875,"DESLOCAMENTO"),0)</f>
        <v>0.58305555555555555</v>
      </c>
      <c r="H51" s="10">
        <f>IFERROR(SUMIFS('Base bordo CD'!M$2:M$875,'Base bordo CD'!D$2:D$875,A51,'Base bordo CD'!A$2:A$875,B51,'Base bordo CD'!L$2:L$875,"AGUARDANDO MANOBRA DE TRANSBORDO"),0)+IFERROR(SUMIFS('Base bordo CD'!M$2:M$875,'Base bordo CD'!D$2:D$875,A51,'Base bordo CD'!A$2:A$875,B51,'Base bordo CD'!L$2:L$875,"FALTA DE TRANSBORDO"),0)</f>
        <v>4.6388888888888889E-2</v>
      </c>
      <c r="I51" s="10">
        <f>IFERROR(SUMIFS('Base bordo CD'!M$2:M$875,'Base bordo CD'!D$2:D$875,A51,'Base bordo CD'!A$2:A$875,B51,'Base bordo CD'!L$2:L$875,"PARADA POR CONDICOES CLIMATICAS"),0)+IFERROR(SUMIFS('Base bordo CD'!M$2:M$875,'Base bordo CD'!D$2:D$875,A51,'Base bordo CD'!A$2:A$875,B51,'Base bordo CD'!L$2:L$875,"TEMPO INDETERMINADO"),0)</f>
        <v>17.988611111111112</v>
      </c>
      <c r="J51" s="10">
        <f>IFERROR(SUMIFS('Base bordo CD'!M$2:M$875,'Base bordo CD'!D$2:D$875,A51,'Base bordo CD'!A$2:A$875,B51,'Base bordo CD'!L$2:L$875,"LIMITAÇÃO INDÚSTRIA"),0)</f>
        <v>0</v>
      </c>
      <c r="K51" s="10">
        <f>IFERROR(SUMIFS('Base bordo CD'!M$2:M$875,'Base bordo CD'!D$2:D$875,A51,'Base bordo CD'!A$2:A$875,B51,'Base bordo CD'!L$2:L$875,"MAN CORRETIVA*"),0)+IFERROR(SUMIFS('Base bordo CD'!M$2:M$875,'Base bordo CD'!D$2:D$875,A51,'Base bordo CD'!A$2:A$875,B51,'Base bordo CD'!L$2:L$875,"AGUARDANDO MANUTENCAO*"),0)+IFERROR(SUMIFS('Base bordo CD'!M$2:M$875,'Base bordo CD'!D$2:D$875,A51,'Base bordo CD'!A$2:A$875,B51,'Base bordo CD'!L$2:L$875,"TROCA DE FAQUINHA"),0)+IFERROR(SUMIFS('Base bordo CD'!M$2:M$875,'Base bordo CD'!D$2:D$875,A51,'Base bordo CD'!A$2:A$875,B51,'Base bordo CD'!L$2:L$875,"LIMPEZA*"),0)</f>
        <v>0.11861111111111111</v>
      </c>
      <c r="L51" s="10">
        <f>IFERROR(SUMIFS('Base bordo CD'!M$2:M$875,'Base bordo CD'!D$2:D$875,A51,'Base bordo CD'!A$2:A$875,B51,'Base bordo CD'!L$2:L$875,"PATIO - RESERVA"),0)</f>
        <v>0</v>
      </c>
      <c r="M51" s="10">
        <f>IFERROR(SUMIFS('Base bordo CD'!M$2:M$875,'Base bordo CD'!D$2:D$875,A51,'Base bordo CD'!A$2:A$875,B51,'Base bordo CD'!L$2:L$875,"SEM APONTAMENTO"),0)</f>
        <v>5.7777777777777782E-2</v>
      </c>
      <c r="N51" s="10">
        <f>IFERROR(SUMIFS('Base bordo CD'!M$2:M$875,'Base bordo CD'!D$2:D$875,A51,'Base bordo CD'!A$2:A$875,B51,'Base bordo CD'!L$2:L$875,"FALTA DE CAMINHÃO"),0)+IFERROR(SUMIFS('Base bordo CD'!M$2:M$875,'Base bordo CD'!D$2:D$875,A51,'Base bordo CD'!A$2:A$875,B51,'Base bordo CD'!L$2:L$875,"FALTA DE COMBUSTIVEL"),0)+IFERROR(SUMIFS('Base bordo CD'!M$2:M$875,'Base bordo CD'!D$2:D$875,A51,'Base bordo CD'!A$2:A$875,B51,'Base bordo CD'!L$2:L$875,"FALTA DE MOTORIST*"),0)</f>
        <v>0</v>
      </c>
      <c r="O51" s="10">
        <f t="shared" si="5"/>
        <v>0</v>
      </c>
      <c r="P51" s="10">
        <f>IFERROR(SUMIFS('Base bordo CD'!M$2:M$875,'Base bordo CD'!D$2:D$875,A51,'Base bordo CD'!A$2:A$875,B51),0)</f>
        <v>24</v>
      </c>
      <c r="Q51" s="10">
        <f>IFERROR(SUMIFS('Base bordo CD'!O$2:O$875,'Base bordo CD'!D$2:D$875,A51,'Base bordo CD'!A$2:A$875,B51,'Base bordo CD'!L$2:L$875,"CORTE DE CANA MECANIZADO"),0)</f>
        <v>60362.080000000002</v>
      </c>
      <c r="R51" s="10">
        <f>IFERROR(SUMIFS('Base bordo CD'!Q$2:Q$875,'Base bordo CD'!D$2:D$875,A51,'Base bordo CD'!A$2:A$875,B51,'Base bordo CD'!L$2:L$875,"CORTE DE CANA MECANIZADO"),0)</f>
        <v>13440</v>
      </c>
      <c r="S51" s="30">
        <f t="shared" si="6"/>
        <v>4.4912261904761905</v>
      </c>
      <c r="T51" s="9">
        <f t="shared" si="7"/>
        <v>0.15555555555555556</v>
      </c>
      <c r="U51" s="9">
        <f t="shared" si="8"/>
        <v>6.1342592592592594E-2</v>
      </c>
      <c r="V51" s="9">
        <f t="shared" si="9"/>
        <v>0.82015046296296301</v>
      </c>
    </row>
    <row r="52" spans="1:22" hidden="1" x14ac:dyDescent="0.35">
      <c r="A52" s="52">
        <v>49588</v>
      </c>
      <c r="B52" s="31">
        <v>46123</v>
      </c>
      <c r="C52" s="7" t="s">
        <v>364</v>
      </c>
      <c r="D52" s="7">
        <v>352</v>
      </c>
      <c r="E52" s="10">
        <f>IFERROR(SUMIFS('Base bordo CD'!M$2:M$875,'Base bordo CD'!D$2:D$875,A52,'Base bordo CD'!A$2:A$875,B52,'Base bordo CD'!L$2:L$875,"CORTE DE CANA MECANIZADO"),0)</f>
        <v>3.7333333333333334</v>
      </c>
      <c r="F52" s="10">
        <f>IFERROR(SUMIFS('Base bordo CD'!M$2:M$875,'Base bordo CD'!D$2:D$875,A52,'Base bordo CD'!A$2:A$875,B52,'Base bordo CD'!L$2:L$875,"MANOBRA"),0)</f>
        <v>1.4722222222222223</v>
      </c>
      <c r="G52" s="10">
        <f>IFERROR(SUMIFS('Base bordo CD'!M$2:M$875,'Base bordo CD'!D$2:D$875,A52,'Base bordo CD'!A$2:A$875,B52,'Base bordo CD'!L$2:L$875,"DESLOCAMENTO"),0)</f>
        <v>0.58305555555555555</v>
      </c>
      <c r="H52" s="10">
        <f>IFERROR(SUMIFS('Base bordo CD'!M$2:M$875,'Base bordo CD'!D$2:D$875,A52,'Base bordo CD'!A$2:A$875,B52,'Base bordo CD'!L$2:L$875,"AGUARDANDO MANOBRA DE TRANSBORDO"),0)+IFERROR(SUMIFS('Base bordo CD'!M$2:M$875,'Base bordo CD'!D$2:D$875,A52,'Base bordo CD'!A$2:A$875,B52,'Base bordo CD'!L$2:L$875,"FALTA DE TRANSBORDO"),0)</f>
        <v>4.6388888888888889E-2</v>
      </c>
      <c r="I52" s="10">
        <f>IFERROR(SUMIFS('Base bordo CD'!M$2:M$875,'Base bordo CD'!D$2:D$875,A52,'Base bordo CD'!A$2:A$875,B52,'Base bordo CD'!L$2:L$875,"PARADA POR CONDICOES CLIMATICAS"),0)+IFERROR(SUMIFS('Base bordo CD'!M$2:M$875,'Base bordo CD'!D$2:D$875,A52,'Base bordo CD'!A$2:A$875,B52,'Base bordo CD'!L$2:L$875,"TEMPO INDETERMINADO"),0)</f>
        <v>17.988611111111112</v>
      </c>
      <c r="J52" s="10">
        <f>IFERROR(SUMIFS('Base bordo CD'!M$2:M$875,'Base bordo CD'!D$2:D$875,A52,'Base bordo CD'!A$2:A$875,B52,'Base bordo CD'!L$2:L$875,"LIMITAÇÃO INDÚSTRIA"),0)</f>
        <v>0</v>
      </c>
      <c r="K52" s="10">
        <f>IFERROR(SUMIFS('Base bordo CD'!M$2:M$875,'Base bordo CD'!D$2:D$875,A52,'Base bordo CD'!A$2:A$875,B52,'Base bordo CD'!L$2:L$875,"MAN CORRETIVA*"),0)+IFERROR(SUMIFS('Base bordo CD'!M$2:M$875,'Base bordo CD'!D$2:D$875,A52,'Base bordo CD'!A$2:A$875,B52,'Base bordo CD'!L$2:L$875,"AGUARDANDO MANUTENCAO*"),0)+IFERROR(SUMIFS('Base bordo CD'!M$2:M$875,'Base bordo CD'!D$2:D$875,A52,'Base bordo CD'!A$2:A$875,B52,'Base bordo CD'!L$2:L$875,"TROCA DE FAQUINHA"),0)+IFERROR(SUMIFS('Base bordo CD'!M$2:M$875,'Base bordo CD'!D$2:D$875,A52,'Base bordo CD'!A$2:A$875,B52,'Base bordo CD'!L$2:L$875,"LIMPEZA*"),0)</f>
        <v>0.11861111111111111</v>
      </c>
      <c r="L52" s="10">
        <f>IFERROR(SUMIFS('Base bordo CD'!M$2:M$875,'Base bordo CD'!D$2:D$875,A52,'Base bordo CD'!A$2:A$875,B52,'Base bordo CD'!L$2:L$875,"PATIO - RESERVA"),0)</f>
        <v>0</v>
      </c>
      <c r="M52" s="10">
        <f>IFERROR(SUMIFS('Base bordo CD'!M$2:M$875,'Base bordo CD'!D$2:D$875,A52,'Base bordo CD'!A$2:A$875,B52,'Base bordo CD'!L$2:L$875,"SEM APONTAMENTO"),0)</f>
        <v>5.7777777777777782E-2</v>
      </c>
      <c r="N52" s="10">
        <f>IFERROR(SUMIFS('Base bordo CD'!M$2:M$875,'Base bordo CD'!D$2:D$875,A52,'Base bordo CD'!A$2:A$875,B52,'Base bordo CD'!L$2:L$875,"FALTA DE CAMINHÃO"),0)+IFERROR(SUMIFS('Base bordo CD'!M$2:M$875,'Base bordo CD'!D$2:D$875,A52,'Base bordo CD'!A$2:A$875,B52,'Base bordo CD'!L$2:L$875,"FALTA DE COMBUSTIVEL"),0)+IFERROR(SUMIFS('Base bordo CD'!M$2:M$875,'Base bordo CD'!D$2:D$875,A52,'Base bordo CD'!A$2:A$875,B52,'Base bordo CD'!L$2:L$875,"FALTA DE MOTORIST*"),0)</f>
        <v>0</v>
      </c>
      <c r="O52" s="10">
        <f t="shared" si="5"/>
        <v>0</v>
      </c>
      <c r="P52" s="10">
        <f>IFERROR(SUMIFS('Base bordo CD'!M$2:M$875,'Base bordo CD'!D$2:D$875,A52,'Base bordo CD'!A$2:A$875,B52),0)</f>
        <v>24</v>
      </c>
      <c r="Q52" s="10">
        <f>IFERROR(SUMIFS('Base bordo CD'!O$2:O$875,'Base bordo CD'!D$2:D$875,A52,'Base bordo CD'!A$2:A$875,B52,'Base bordo CD'!L$2:L$875,"CORTE DE CANA MECANIZADO"),0)</f>
        <v>60362.080000000002</v>
      </c>
      <c r="R52" s="10">
        <f>IFERROR(SUMIFS('Base bordo CD'!Q$2:Q$875,'Base bordo CD'!D$2:D$875,A52,'Base bordo CD'!A$2:A$875,B52,'Base bordo CD'!L$2:L$875,"CORTE DE CANA MECANIZADO"),0)</f>
        <v>13440</v>
      </c>
      <c r="S52" s="30">
        <f t="shared" si="6"/>
        <v>4.4912261904761905</v>
      </c>
      <c r="T52" s="9">
        <f t="shared" si="7"/>
        <v>0.15555555555555556</v>
      </c>
      <c r="U52" s="9">
        <f t="shared" si="8"/>
        <v>6.1342592592592594E-2</v>
      </c>
      <c r="V52" s="9">
        <f t="shared" si="9"/>
        <v>0.82015046296296301</v>
      </c>
    </row>
    <row r="53" spans="1:22" hidden="1" x14ac:dyDescent="0.35">
      <c r="A53" s="52">
        <v>49588</v>
      </c>
      <c r="B53" s="31">
        <v>46123</v>
      </c>
      <c r="C53" s="7" t="s">
        <v>364</v>
      </c>
      <c r="D53" s="7">
        <v>352</v>
      </c>
      <c r="E53" s="10">
        <f>IFERROR(SUMIFS('Base bordo CD'!M$2:M$875,'Base bordo CD'!D$2:D$875,A53,'Base bordo CD'!A$2:A$875,B53,'Base bordo CD'!L$2:L$875,"CORTE DE CANA MECANIZADO"),0)</f>
        <v>3.7333333333333334</v>
      </c>
      <c r="F53" s="10">
        <f>IFERROR(SUMIFS('Base bordo CD'!M$2:M$875,'Base bordo CD'!D$2:D$875,A53,'Base bordo CD'!A$2:A$875,B53,'Base bordo CD'!L$2:L$875,"MANOBRA"),0)</f>
        <v>1.4722222222222223</v>
      </c>
      <c r="G53" s="10">
        <f>IFERROR(SUMIFS('Base bordo CD'!M$2:M$875,'Base bordo CD'!D$2:D$875,A53,'Base bordo CD'!A$2:A$875,B53,'Base bordo CD'!L$2:L$875,"DESLOCAMENTO"),0)</f>
        <v>0.58305555555555555</v>
      </c>
      <c r="H53" s="10">
        <f>IFERROR(SUMIFS('Base bordo CD'!M$2:M$875,'Base bordo CD'!D$2:D$875,A53,'Base bordo CD'!A$2:A$875,B53,'Base bordo CD'!L$2:L$875,"AGUARDANDO MANOBRA DE TRANSBORDO"),0)+IFERROR(SUMIFS('Base bordo CD'!M$2:M$875,'Base bordo CD'!D$2:D$875,A53,'Base bordo CD'!A$2:A$875,B53,'Base bordo CD'!L$2:L$875,"FALTA DE TRANSBORDO"),0)</f>
        <v>4.6388888888888889E-2</v>
      </c>
      <c r="I53" s="10">
        <f>IFERROR(SUMIFS('Base bordo CD'!M$2:M$875,'Base bordo CD'!D$2:D$875,A53,'Base bordo CD'!A$2:A$875,B53,'Base bordo CD'!L$2:L$875,"PARADA POR CONDICOES CLIMATICAS"),0)+IFERROR(SUMIFS('Base bordo CD'!M$2:M$875,'Base bordo CD'!D$2:D$875,A53,'Base bordo CD'!A$2:A$875,B53,'Base bordo CD'!L$2:L$875,"TEMPO INDETERMINADO"),0)</f>
        <v>17.988611111111112</v>
      </c>
      <c r="J53" s="10">
        <f>IFERROR(SUMIFS('Base bordo CD'!M$2:M$875,'Base bordo CD'!D$2:D$875,A53,'Base bordo CD'!A$2:A$875,B53,'Base bordo CD'!L$2:L$875,"LIMITAÇÃO INDÚSTRIA"),0)</f>
        <v>0</v>
      </c>
      <c r="K53" s="10">
        <f>IFERROR(SUMIFS('Base bordo CD'!M$2:M$875,'Base bordo CD'!D$2:D$875,A53,'Base bordo CD'!A$2:A$875,B53,'Base bordo CD'!L$2:L$875,"MAN CORRETIVA*"),0)+IFERROR(SUMIFS('Base bordo CD'!M$2:M$875,'Base bordo CD'!D$2:D$875,A53,'Base bordo CD'!A$2:A$875,B53,'Base bordo CD'!L$2:L$875,"AGUARDANDO MANUTENCAO*"),0)+IFERROR(SUMIFS('Base bordo CD'!M$2:M$875,'Base bordo CD'!D$2:D$875,A53,'Base bordo CD'!A$2:A$875,B53,'Base bordo CD'!L$2:L$875,"TROCA DE FAQUINHA"),0)+IFERROR(SUMIFS('Base bordo CD'!M$2:M$875,'Base bordo CD'!D$2:D$875,A53,'Base bordo CD'!A$2:A$875,B53,'Base bordo CD'!L$2:L$875,"LIMPEZA*"),0)</f>
        <v>0.11861111111111111</v>
      </c>
      <c r="L53" s="10">
        <f>IFERROR(SUMIFS('Base bordo CD'!M$2:M$875,'Base bordo CD'!D$2:D$875,A53,'Base bordo CD'!A$2:A$875,B53,'Base bordo CD'!L$2:L$875,"PATIO - RESERVA"),0)</f>
        <v>0</v>
      </c>
      <c r="M53" s="10">
        <f>IFERROR(SUMIFS('Base bordo CD'!M$2:M$875,'Base bordo CD'!D$2:D$875,A53,'Base bordo CD'!A$2:A$875,B53,'Base bordo CD'!L$2:L$875,"SEM APONTAMENTO"),0)</f>
        <v>5.7777777777777782E-2</v>
      </c>
      <c r="N53" s="10">
        <f>IFERROR(SUMIFS('Base bordo CD'!M$2:M$875,'Base bordo CD'!D$2:D$875,A53,'Base bordo CD'!A$2:A$875,B53,'Base bordo CD'!L$2:L$875,"FALTA DE CAMINHÃO"),0)+IFERROR(SUMIFS('Base bordo CD'!M$2:M$875,'Base bordo CD'!D$2:D$875,A53,'Base bordo CD'!A$2:A$875,B53,'Base bordo CD'!L$2:L$875,"FALTA DE COMBUSTIVEL"),0)+IFERROR(SUMIFS('Base bordo CD'!M$2:M$875,'Base bordo CD'!D$2:D$875,A53,'Base bordo CD'!A$2:A$875,B53,'Base bordo CD'!L$2:L$875,"FALTA DE MOTORIST*"),0)</f>
        <v>0</v>
      </c>
      <c r="O53" s="10">
        <f t="shared" si="5"/>
        <v>0</v>
      </c>
      <c r="P53" s="10">
        <f>IFERROR(SUMIFS('Base bordo CD'!M$2:M$875,'Base bordo CD'!D$2:D$875,A53,'Base bordo CD'!A$2:A$875,B53),0)</f>
        <v>24</v>
      </c>
      <c r="Q53" s="10">
        <f>IFERROR(SUMIFS('Base bordo CD'!O$2:O$875,'Base bordo CD'!D$2:D$875,A53,'Base bordo CD'!A$2:A$875,B53,'Base bordo CD'!L$2:L$875,"CORTE DE CANA MECANIZADO"),0)</f>
        <v>60362.080000000002</v>
      </c>
      <c r="R53" s="10">
        <f>IFERROR(SUMIFS('Base bordo CD'!Q$2:Q$875,'Base bordo CD'!D$2:D$875,A53,'Base bordo CD'!A$2:A$875,B53,'Base bordo CD'!L$2:L$875,"CORTE DE CANA MECANIZADO"),0)</f>
        <v>13440</v>
      </c>
      <c r="S53" s="30">
        <f t="shared" si="6"/>
        <v>4.4912261904761905</v>
      </c>
      <c r="T53" s="9">
        <f t="shared" si="7"/>
        <v>0.15555555555555556</v>
      </c>
      <c r="U53" s="9">
        <f t="shared" si="8"/>
        <v>6.1342592592592594E-2</v>
      </c>
      <c r="V53" s="9">
        <f t="shared" si="9"/>
        <v>0.82015046296296301</v>
      </c>
    </row>
    <row r="54" spans="1:22" hidden="1" x14ac:dyDescent="0.35">
      <c r="A54" s="52">
        <v>49588</v>
      </c>
      <c r="B54" s="31">
        <v>46123</v>
      </c>
      <c r="C54" s="7" t="s">
        <v>364</v>
      </c>
      <c r="D54" s="7">
        <v>352</v>
      </c>
      <c r="E54" s="10">
        <f>IFERROR(SUMIFS('Base bordo CD'!M$2:M$875,'Base bordo CD'!D$2:D$875,A54,'Base bordo CD'!A$2:A$875,B54,'Base bordo CD'!L$2:L$875,"CORTE DE CANA MECANIZADO"),0)</f>
        <v>3.7333333333333334</v>
      </c>
      <c r="F54" s="10">
        <f>IFERROR(SUMIFS('Base bordo CD'!M$2:M$875,'Base bordo CD'!D$2:D$875,A54,'Base bordo CD'!A$2:A$875,B54,'Base bordo CD'!L$2:L$875,"MANOBRA"),0)</f>
        <v>1.4722222222222223</v>
      </c>
      <c r="G54" s="10">
        <f>IFERROR(SUMIFS('Base bordo CD'!M$2:M$875,'Base bordo CD'!D$2:D$875,A54,'Base bordo CD'!A$2:A$875,B54,'Base bordo CD'!L$2:L$875,"DESLOCAMENTO"),0)</f>
        <v>0.58305555555555555</v>
      </c>
      <c r="H54" s="10">
        <f>IFERROR(SUMIFS('Base bordo CD'!M$2:M$875,'Base bordo CD'!D$2:D$875,A54,'Base bordo CD'!A$2:A$875,B54,'Base bordo CD'!L$2:L$875,"AGUARDANDO MANOBRA DE TRANSBORDO"),0)+IFERROR(SUMIFS('Base bordo CD'!M$2:M$875,'Base bordo CD'!D$2:D$875,A54,'Base bordo CD'!A$2:A$875,B54,'Base bordo CD'!L$2:L$875,"FALTA DE TRANSBORDO"),0)</f>
        <v>4.6388888888888889E-2</v>
      </c>
      <c r="I54" s="10">
        <f>IFERROR(SUMIFS('Base bordo CD'!M$2:M$875,'Base bordo CD'!D$2:D$875,A54,'Base bordo CD'!A$2:A$875,B54,'Base bordo CD'!L$2:L$875,"PARADA POR CONDICOES CLIMATICAS"),0)+IFERROR(SUMIFS('Base bordo CD'!M$2:M$875,'Base bordo CD'!D$2:D$875,A54,'Base bordo CD'!A$2:A$875,B54,'Base bordo CD'!L$2:L$875,"TEMPO INDETERMINADO"),0)</f>
        <v>17.988611111111112</v>
      </c>
      <c r="J54" s="10">
        <f>IFERROR(SUMIFS('Base bordo CD'!M$2:M$875,'Base bordo CD'!D$2:D$875,A54,'Base bordo CD'!A$2:A$875,B54,'Base bordo CD'!L$2:L$875,"LIMITAÇÃO INDÚSTRIA"),0)</f>
        <v>0</v>
      </c>
      <c r="K54" s="10">
        <f>IFERROR(SUMIFS('Base bordo CD'!M$2:M$875,'Base bordo CD'!D$2:D$875,A54,'Base bordo CD'!A$2:A$875,B54,'Base bordo CD'!L$2:L$875,"MAN CORRETIVA*"),0)+IFERROR(SUMIFS('Base bordo CD'!M$2:M$875,'Base bordo CD'!D$2:D$875,A54,'Base bordo CD'!A$2:A$875,B54,'Base bordo CD'!L$2:L$875,"AGUARDANDO MANUTENCAO*"),0)+IFERROR(SUMIFS('Base bordo CD'!M$2:M$875,'Base bordo CD'!D$2:D$875,A54,'Base bordo CD'!A$2:A$875,B54,'Base bordo CD'!L$2:L$875,"TROCA DE FAQUINHA"),0)+IFERROR(SUMIFS('Base bordo CD'!M$2:M$875,'Base bordo CD'!D$2:D$875,A54,'Base bordo CD'!A$2:A$875,B54,'Base bordo CD'!L$2:L$875,"LIMPEZA*"),0)</f>
        <v>0.11861111111111111</v>
      </c>
      <c r="L54" s="10">
        <f>IFERROR(SUMIFS('Base bordo CD'!M$2:M$875,'Base bordo CD'!D$2:D$875,A54,'Base bordo CD'!A$2:A$875,B54,'Base bordo CD'!L$2:L$875,"PATIO - RESERVA"),0)</f>
        <v>0</v>
      </c>
      <c r="M54" s="10">
        <f>IFERROR(SUMIFS('Base bordo CD'!M$2:M$875,'Base bordo CD'!D$2:D$875,A54,'Base bordo CD'!A$2:A$875,B54,'Base bordo CD'!L$2:L$875,"SEM APONTAMENTO"),0)</f>
        <v>5.7777777777777782E-2</v>
      </c>
      <c r="N54" s="10">
        <f>IFERROR(SUMIFS('Base bordo CD'!M$2:M$875,'Base bordo CD'!D$2:D$875,A54,'Base bordo CD'!A$2:A$875,B54,'Base bordo CD'!L$2:L$875,"FALTA DE CAMINHÃO"),0)+IFERROR(SUMIFS('Base bordo CD'!M$2:M$875,'Base bordo CD'!D$2:D$875,A54,'Base bordo CD'!A$2:A$875,B54,'Base bordo CD'!L$2:L$875,"FALTA DE COMBUSTIVEL"),0)+IFERROR(SUMIFS('Base bordo CD'!M$2:M$875,'Base bordo CD'!D$2:D$875,A54,'Base bordo CD'!A$2:A$875,B54,'Base bordo CD'!L$2:L$875,"FALTA DE MOTORIST*"),0)</f>
        <v>0</v>
      </c>
      <c r="O54" s="10">
        <f t="shared" si="5"/>
        <v>0</v>
      </c>
      <c r="P54" s="10">
        <f>IFERROR(SUMIFS('Base bordo CD'!M$2:M$875,'Base bordo CD'!D$2:D$875,A54,'Base bordo CD'!A$2:A$875,B54),0)</f>
        <v>24</v>
      </c>
      <c r="Q54" s="10">
        <f>IFERROR(SUMIFS('Base bordo CD'!O$2:O$875,'Base bordo CD'!D$2:D$875,A54,'Base bordo CD'!A$2:A$875,B54,'Base bordo CD'!L$2:L$875,"CORTE DE CANA MECANIZADO"),0)</f>
        <v>60362.080000000002</v>
      </c>
      <c r="R54" s="10">
        <f>IFERROR(SUMIFS('Base bordo CD'!Q$2:Q$875,'Base bordo CD'!D$2:D$875,A54,'Base bordo CD'!A$2:A$875,B54,'Base bordo CD'!L$2:L$875,"CORTE DE CANA MECANIZADO"),0)</f>
        <v>13440</v>
      </c>
      <c r="S54" s="30">
        <f t="shared" si="6"/>
        <v>4.4912261904761905</v>
      </c>
      <c r="T54" s="9">
        <f t="shared" si="7"/>
        <v>0.15555555555555556</v>
      </c>
      <c r="U54" s="9">
        <f t="shared" si="8"/>
        <v>6.1342592592592594E-2</v>
      </c>
      <c r="V54" s="9">
        <f t="shared" si="9"/>
        <v>0.82015046296296301</v>
      </c>
    </row>
    <row r="55" spans="1:22" hidden="1" x14ac:dyDescent="0.35">
      <c r="A55" s="52">
        <v>49588</v>
      </c>
      <c r="B55" s="31">
        <v>46123</v>
      </c>
      <c r="C55" s="7" t="s">
        <v>364</v>
      </c>
      <c r="D55" s="7">
        <v>352</v>
      </c>
      <c r="E55" s="10">
        <f>IFERROR(SUMIFS('Base bordo CD'!M$2:M$875,'Base bordo CD'!D$2:D$875,A55,'Base bordo CD'!A$2:A$875,B55,'Base bordo CD'!L$2:L$875,"CORTE DE CANA MECANIZADO"),0)</f>
        <v>3.7333333333333334</v>
      </c>
      <c r="F55" s="10">
        <f>IFERROR(SUMIFS('Base bordo CD'!M$2:M$875,'Base bordo CD'!D$2:D$875,A55,'Base bordo CD'!A$2:A$875,B55,'Base bordo CD'!L$2:L$875,"MANOBRA"),0)</f>
        <v>1.4722222222222223</v>
      </c>
      <c r="G55" s="10">
        <f>IFERROR(SUMIFS('Base bordo CD'!M$2:M$875,'Base bordo CD'!D$2:D$875,A55,'Base bordo CD'!A$2:A$875,B55,'Base bordo CD'!L$2:L$875,"DESLOCAMENTO"),0)</f>
        <v>0.58305555555555555</v>
      </c>
      <c r="H55" s="10">
        <f>IFERROR(SUMIFS('Base bordo CD'!M$2:M$875,'Base bordo CD'!D$2:D$875,A55,'Base bordo CD'!A$2:A$875,B55,'Base bordo CD'!L$2:L$875,"AGUARDANDO MANOBRA DE TRANSBORDO"),0)+IFERROR(SUMIFS('Base bordo CD'!M$2:M$875,'Base bordo CD'!D$2:D$875,A55,'Base bordo CD'!A$2:A$875,B55,'Base bordo CD'!L$2:L$875,"FALTA DE TRANSBORDO"),0)</f>
        <v>4.6388888888888889E-2</v>
      </c>
      <c r="I55" s="10">
        <f>IFERROR(SUMIFS('Base bordo CD'!M$2:M$875,'Base bordo CD'!D$2:D$875,A55,'Base bordo CD'!A$2:A$875,B55,'Base bordo CD'!L$2:L$875,"PARADA POR CONDICOES CLIMATICAS"),0)+IFERROR(SUMIFS('Base bordo CD'!M$2:M$875,'Base bordo CD'!D$2:D$875,A55,'Base bordo CD'!A$2:A$875,B55,'Base bordo CD'!L$2:L$875,"TEMPO INDETERMINADO"),0)</f>
        <v>17.988611111111112</v>
      </c>
      <c r="J55" s="10">
        <f>IFERROR(SUMIFS('Base bordo CD'!M$2:M$875,'Base bordo CD'!D$2:D$875,A55,'Base bordo CD'!A$2:A$875,B55,'Base bordo CD'!L$2:L$875,"LIMITAÇÃO INDÚSTRIA"),0)</f>
        <v>0</v>
      </c>
      <c r="K55" s="10">
        <f>IFERROR(SUMIFS('Base bordo CD'!M$2:M$875,'Base bordo CD'!D$2:D$875,A55,'Base bordo CD'!A$2:A$875,B55,'Base bordo CD'!L$2:L$875,"MAN CORRETIVA*"),0)+IFERROR(SUMIFS('Base bordo CD'!M$2:M$875,'Base bordo CD'!D$2:D$875,A55,'Base bordo CD'!A$2:A$875,B55,'Base bordo CD'!L$2:L$875,"AGUARDANDO MANUTENCAO*"),0)+IFERROR(SUMIFS('Base bordo CD'!M$2:M$875,'Base bordo CD'!D$2:D$875,A55,'Base bordo CD'!A$2:A$875,B55,'Base bordo CD'!L$2:L$875,"TROCA DE FAQUINHA"),0)+IFERROR(SUMIFS('Base bordo CD'!M$2:M$875,'Base bordo CD'!D$2:D$875,A55,'Base bordo CD'!A$2:A$875,B55,'Base bordo CD'!L$2:L$875,"LIMPEZA*"),0)</f>
        <v>0.11861111111111111</v>
      </c>
      <c r="L55" s="10">
        <f>IFERROR(SUMIFS('Base bordo CD'!M$2:M$875,'Base bordo CD'!D$2:D$875,A55,'Base bordo CD'!A$2:A$875,B55,'Base bordo CD'!L$2:L$875,"PATIO - RESERVA"),0)</f>
        <v>0</v>
      </c>
      <c r="M55" s="10">
        <f>IFERROR(SUMIFS('Base bordo CD'!M$2:M$875,'Base bordo CD'!D$2:D$875,A55,'Base bordo CD'!A$2:A$875,B55,'Base bordo CD'!L$2:L$875,"SEM APONTAMENTO"),0)</f>
        <v>5.7777777777777782E-2</v>
      </c>
      <c r="N55" s="10">
        <f>IFERROR(SUMIFS('Base bordo CD'!M$2:M$875,'Base bordo CD'!D$2:D$875,A55,'Base bordo CD'!A$2:A$875,B55,'Base bordo CD'!L$2:L$875,"FALTA DE CAMINHÃO"),0)+IFERROR(SUMIFS('Base bordo CD'!M$2:M$875,'Base bordo CD'!D$2:D$875,A55,'Base bordo CD'!A$2:A$875,B55,'Base bordo CD'!L$2:L$875,"FALTA DE COMBUSTIVEL"),0)+IFERROR(SUMIFS('Base bordo CD'!M$2:M$875,'Base bordo CD'!D$2:D$875,A55,'Base bordo CD'!A$2:A$875,B55,'Base bordo CD'!L$2:L$875,"FALTA DE MOTORIST*"),0)</f>
        <v>0</v>
      </c>
      <c r="O55" s="10">
        <f t="shared" si="5"/>
        <v>0</v>
      </c>
      <c r="P55" s="10">
        <f>IFERROR(SUMIFS('Base bordo CD'!M$2:M$875,'Base bordo CD'!D$2:D$875,A55,'Base bordo CD'!A$2:A$875,B55),0)</f>
        <v>24</v>
      </c>
      <c r="Q55" s="10">
        <f>IFERROR(SUMIFS('Base bordo CD'!O$2:O$875,'Base bordo CD'!D$2:D$875,A55,'Base bordo CD'!A$2:A$875,B55,'Base bordo CD'!L$2:L$875,"CORTE DE CANA MECANIZADO"),0)</f>
        <v>60362.080000000002</v>
      </c>
      <c r="R55" s="10">
        <f>IFERROR(SUMIFS('Base bordo CD'!Q$2:Q$875,'Base bordo CD'!D$2:D$875,A55,'Base bordo CD'!A$2:A$875,B55,'Base bordo CD'!L$2:L$875,"CORTE DE CANA MECANIZADO"),0)</f>
        <v>13440</v>
      </c>
      <c r="S55" s="30">
        <f t="shared" si="6"/>
        <v>4.4912261904761905</v>
      </c>
      <c r="T55" s="9">
        <f t="shared" si="7"/>
        <v>0.15555555555555556</v>
      </c>
      <c r="U55" s="9">
        <f t="shared" si="8"/>
        <v>6.1342592592592594E-2</v>
      </c>
      <c r="V55" s="9">
        <f t="shared" si="9"/>
        <v>0.82015046296296301</v>
      </c>
    </row>
    <row r="56" spans="1:22" hidden="1" x14ac:dyDescent="0.35">
      <c r="A56" s="52">
        <v>49588</v>
      </c>
      <c r="B56" s="31">
        <v>46123</v>
      </c>
      <c r="C56" s="7" t="s">
        <v>364</v>
      </c>
      <c r="D56" s="7">
        <v>352</v>
      </c>
      <c r="E56" s="10">
        <f>IFERROR(SUMIFS('Base bordo CD'!M$2:M$875,'Base bordo CD'!D$2:D$875,A56,'Base bordo CD'!A$2:A$875,B56,'Base bordo CD'!L$2:L$875,"CORTE DE CANA MECANIZADO"),0)</f>
        <v>3.7333333333333334</v>
      </c>
      <c r="F56" s="10">
        <f>IFERROR(SUMIFS('Base bordo CD'!M$2:M$875,'Base bordo CD'!D$2:D$875,A56,'Base bordo CD'!A$2:A$875,B56,'Base bordo CD'!L$2:L$875,"MANOBRA"),0)</f>
        <v>1.4722222222222223</v>
      </c>
      <c r="G56" s="10">
        <f>IFERROR(SUMIFS('Base bordo CD'!M$2:M$875,'Base bordo CD'!D$2:D$875,A56,'Base bordo CD'!A$2:A$875,B56,'Base bordo CD'!L$2:L$875,"DESLOCAMENTO"),0)</f>
        <v>0.58305555555555555</v>
      </c>
      <c r="H56" s="10">
        <f>IFERROR(SUMIFS('Base bordo CD'!M$2:M$875,'Base bordo CD'!D$2:D$875,A56,'Base bordo CD'!A$2:A$875,B56,'Base bordo CD'!L$2:L$875,"AGUARDANDO MANOBRA DE TRANSBORDO"),0)+IFERROR(SUMIFS('Base bordo CD'!M$2:M$875,'Base bordo CD'!D$2:D$875,A56,'Base bordo CD'!A$2:A$875,B56,'Base bordo CD'!L$2:L$875,"FALTA DE TRANSBORDO"),0)</f>
        <v>4.6388888888888889E-2</v>
      </c>
      <c r="I56" s="10">
        <f>IFERROR(SUMIFS('Base bordo CD'!M$2:M$875,'Base bordo CD'!D$2:D$875,A56,'Base bordo CD'!A$2:A$875,B56,'Base bordo CD'!L$2:L$875,"PARADA POR CONDICOES CLIMATICAS"),0)+IFERROR(SUMIFS('Base bordo CD'!M$2:M$875,'Base bordo CD'!D$2:D$875,A56,'Base bordo CD'!A$2:A$875,B56,'Base bordo CD'!L$2:L$875,"TEMPO INDETERMINADO"),0)</f>
        <v>17.988611111111112</v>
      </c>
      <c r="J56" s="10">
        <f>IFERROR(SUMIFS('Base bordo CD'!M$2:M$875,'Base bordo CD'!D$2:D$875,A56,'Base bordo CD'!A$2:A$875,B56,'Base bordo CD'!L$2:L$875,"LIMITAÇÃO INDÚSTRIA"),0)</f>
        <v>0</v>
      </c>
      <c r="K56" s="10">
        <f>IFERROR(SUMIFS('Base bordo CD'!M$2:M$875,'Base bordo CD'!D$2:D$875,A56,'Base bordo CD'!A$2:A$875,B56,'Base bordo CD'!L$2:L$875,"MAN CORRETIVA*"),0)+IFERROR(SUMIFS('Base bordo CD'!M$2:M$875,'Base bordo CD'!D$2:D$875,A56,'Base bordo CD'!A$2:A$875,B56,'Base bordo CD'!L$2:L$875,"AGUARDANDO MANUTENCAO*"),0)+IFERROR(SUMIFS('Base bordo CD'!M$2:M$875,'Base bordo CD'!D$2:D$875,A56,'Base bordo CD'!A$2:A$875,B56,'Base bordo CD'!L$2:L$875,"TROCA DE FAQUINHA"),0)+IFERROR(SUMIFS('Base bordo CD'!M$2:M$875,'Base bordo CD'!D$2:D$875,A56,'Base bordo CD'!A$2:A$875,B56,'Base bordo CD'!L$2:L$875,"LIMPEZA*"),0)</f>
        <v>0.11861111111111111</v>
      </c>
      <c r="L56" s="10">
        <f>IFERROR(SUMIFS('Base bordo CD'!M$2:M$875,'Base bordo CD'!D$2:D$875,A56,'Base bordo CD'!A$2:A$875,B56,'Base bordo CD'!L$2:L$875,"PATIO - RESERVA"),0)</f>
        <v>0</v>
      </c>
      <c r="M56" s="10">
        <f>IFERROR(SUMIFS('Base bordo CD'!M$2:M$875,'Base bordo CD'!D$2:D$875,A56,'Base bordo CD'!A$2:A$875,B56,'Base bordo CD'!L$2:L$875,"SEM APONTAMENTO"),0)</f>
        <v>5.7777777777777782E-2</v>
      </c>
      <c r="N56" s="10">
        <f>IFERROR(SUMIFS('Base bordo CD'!M$2:M$875,'Base bordo CD'!D$2:D$875,A56,'Base bordo CD'!A$2:A$875,B56,'Base bordo CD'!L$2:L$875,"FALTA DE CAMINHÃO"),0)+IFERROR(SUMIFS('Base bordo CD'!M$2:M$875,'Base bordo CD'!D$2:D$875,A56,'Base bordo CD'!A$2:A$875,B56,'Base bordo CD'!L$2:L$875,"FALTA DE COMBUSTIVEL"),0)+IFERROR(SUMIFS('Base bordo CD'!M$2:M$875,'Base bordo CD'!D$2:D$875,A56,'Base bordo CD'!A$2:A$875,B56,'Base bordo CD'!L$2:L$875,"FALTA DE MOTORIST*"),0)</f>
        <v>0</v>
      </c>
      <c r="O56" s="10">
        <f t="shared" si="5"/>
        <v>0</v>
      </c>
      <c r="P56" s="10">
        <f>IFERROR(SUMIFS('Base bordo CD'!M$2:M$875,'Base bordo CD'!D$2:D$875,A56,'Base bordo CD'!A$2:A$875,B56),0)</f>
        <v>24</v>
      </c>
      <c r="Q56" s="10">
        <f>IFERROR(SUMIFS('Base bordo CD'!O$2:O$875,'Base bordo CD'!D$2:D$875,A56,'Base bordo CD'!A$2:A$875,B56,'Base bordo CD'!L$2:L$875,"CORTE DE CANA MECANIZADO"),0)</f>
        <v>60362.080000000002</v>
      </c>
      <c r="R56" s="10">
        <f>IFERROR(SUMIFS('Base bordo CD'!Q$2:Q$875,'Base bordo CD'!D$2:D$875,A56,'Base bordo CD'!A$2:A$875,B56,'Base bordo CD'!L$2:L$875,"CORTE DE CANA MECANIZADO"),0)</f>
        <v>13440</v>
      </c>
      <c r="S56" s="30">
        <f t="shared" si="6"/>
        <v>4.4912261904761905</v>
      </c>
      <c r="T56" s="9">
        <f t="shared" si="7"/>
        <v>0.15555555555555556</v>
      </c>
      <c r="U56" s="9">
        <f t="shared" si="8"/>
        <v>6.1342592592592594E-2</v>
      </c>
      <c r="V56" s="9">
        <f t="shared" si="9"/>
        <v>0.82015046296296301</v>
      </c>
    </row>
    <row r="57" spans="1:22" hidden="1" x14ac:dyDescent="0.35">
      <c r="A57" s="52">
        <v>49588</v>
      </c>
      <c r="B57" s="31">
        <v>46123</v>
      </c>
      <c r="C57" s="7" t="s">
        <v>364</v>
      </c>
      <c r="D57" s="7">
        <v>352</v>
      </c>
      <c r="E57" s="10">
        <f>IFERROR(SUMIFS('Base bordo CD'!M$2:M$875,'Base bordo CD'!D$2:D$875,A57,'Base bordo CD'!A$2:A$875,B57,'Base bordo CD'!L$2:L$875,"CORTE DE CANA MECANIZADO"),0)</f>
        <v>3.7333333333333334</v>
      </c>
      <c r="F57" s="10">
        <f>IFERROR(SUMIFS('Base bordo CD'!M$2:M$875,'Base bordo CD'!D$2:D$875,A57,'Base bordo CD'!A$2:A$875,B57,'Base bordo CD'!L$2:L$875,"MANOBRA"),0)</f>
        <v>1.4722222222222223</v>
      </c>
      <c r="G57" s="10">
        <f>IFERROR(SUMIFS('Base bordo CD'!M$2:M$875,'Base bordo CD'!D$2:D$875,A57,'Base bordo CD'!A$2:A$875,B57,'Base bordo CD'!L$2:L$875,"DESLOCAMENTO"),0)</f>
        <v>0.58305555555555555</v>
      </c>
      <c r="H57" s="10">
        <f>IFERROR(SUMIFS('Base bordo CD'!M$2:M$875,'Base bordo CD'!D$2:D$875,A57,'Base bordo CD'!A$2:A$875,B57,'Base bordo CD'!L$2:L$875,"AGUARDANDO MANOBRA DE TRANSBORDO"),0)+IFERROR(SUMIFS('Base bordo CD'!M$2:M$875,'Base bordo CD'!D$2:D$875,A57,'Base bordo CD'!A$2:A$875,B57,'Base bordo CD'!L$2:L$875,"FALTA DE TRANSBORDO"),0)</f>
        <v>4.6388888888888889E-2</v>
      </c>
      <c r="I57" s="10">
        <f>IFERROR(SUMIFS('Base bordo CD'!M$2:M$875,'Base bordo CD'!D$2:D$875,A57,'Base bordo CD'!A$2:A$875,B57,'Base bordo CD'!L$2:L$875,"PARADA POR CONDICOES CLIMATICAS"),0)+IFERROR(SUMIFS('Base bordo CD'!M$2:M$875,'Base bordo CD'!D$2:D$875,A57,'Base bordo CD'!A$2:A$875,B57,'Base bordo CD'!L$2:L$875,"TEMPO INDETERMINADO"),0)</f>
        <v>17.988611111111112</v>
      </c>
      <c r="J57" s="10">
        <f>IFERROR(SUMIFS('Base bordo CD'!M$2:M$875,'Base bordo CD'!D$2:D$875,A57,'Base bordo CD'!A$2:A$875,B57,'Base bordo CD'!L$2:L$875,"LIMITAÇÃO INDÚSTRIA"),0)</f>
        <v>0</v>
      </c>
      <c r="K57" s="10">
        <f>IFERROR(SUMIFS('Base bordo CD'!M$2:M$875,'Base bordo CD'!D$2:D$875,A57,'Base bordo CD'!A$2:A$875,B57,'Base bordo CD'!L$2:L$875,"MAN CORRETIVA*"),0)+IFERROR(SUMIFS('Base bordo CD'!M$2:M$875,'Base bordo CD'!D$2:D$875,A57,'Base bordo CD'!A$2:A$875,B57,'Base bordo CD'!L$2:L$875,"AGUARDANDO MANUTENCAO*"),0)+IFERROR(SUMIFS('Base bordo CD'!M$2:M$875,'Base bordo CD'!D$2:D$875,A57,'Base bordo CD'!A$2:A$875,B57,'Base bordo CD'!L$2:L$875,"TROCA DE FAQUINHA"),0)+IFERROR(SUMIFS('Base bordo CD'!M$2:M$875,'Base bordo CD'!D$2:D$875,A57,'Base bordo CD'!A$2:A$875,B57,'Base bordo CD'!L$2:L$875,"LIMPEZA*"),0)</f>
        <v>0.11861111111111111</v>
      </c>
      <c r="L57" s="10">
        <f>IFERROR(SUMIFS('Base bordo CD'!M$2:M$875,'Base bordo CD'!D$2:D$875,A57,'Base bordo CD'!A$2:A$875,B57,'Base bordo CD'!L$2:L$875,"PATIO - RESERVA"),0)</f>
        <v>0</v>
      </c>
      <c r="M57" s="10">
        <f>IFERROR(SUMIFS('Base bordo CD'!M$2:M$875,'Base bordo CD'!D$2:D$875,A57,'Base bordo CD'!A$2:A$875,B57,'Base bordo CD'!L$2:L$875,"SEM APONTAMENTO"),0)</f>
        <v>5.7777777777777782E-2</v>
      </c>
      <c r="N57" s="10">
        <f>IFERROR(SUMIFS('Base bordo CD'!M$2:M$875,'Base bordo CD'!D$2:D$875,A57,'Base bordo CD'!A$2:A$875,B57,'Base bordo CD'!L$2:L$875,"FALTA DE CAMINHÃO"),0)+IFERROR(SUMIFS('Base bordo CD'!M$2:M$875,'Base bordo CD'!D$2:D$875,A57,'Base bordo CD'!A$2:A$875,B57,'Base bordo CD'!L$2:L$875,"FALTA DE COMBUSTIVEL"),0)+IFERROR(SUMIFS('Base bordo CD'!M$2:M$875,'Base bordo CD'!D$2:D$875,A57,'Base bordo CD'!A$2:A$875,B57,'Base bordo CD'!L$2:L$875,"FALTA DE MOTORIST*"),0)</f>
        <v>0</v>
      </c>
      <c r="O57" s="10">
        <f t="shared" si="5"/>
        <v>0</v>
      </c>
      <c r="P57" s="10">
        <f>IFERROR(SUMIFS('Base bordo CD'!M$2:M$875,'Base bordo CD'!D$2:D$875,A57,'Base bordo CD'!A$2:A$875,B57),0)</f>
        <v>24</v>
      </c>
      <c r="Q57" s="10">
        <f>IFERROR(SUMIFS('Base bordo CD'!O$2:O$875,'Base bordo CD'!D$2:D$875,A57,'Base bordo CD'!A$2:A$875,B57,'Base bordo CD'!L$2:L$875,"CORTE DE CANA MECANIZADO"),0)</f>
        <v>60362.080000000002</v>
      </c>
      <c r="R57" s="10">
        <f>IFERROR(SUMIFS('Base bordo CD'!Q$2:Q$875,'Base bordo CD'!D$2:D$875,A57,'Base bordo CD'!A$2:A$875,B57,'Base bordo CD'!L$2:L$875,"CORTE DE CANA MECANIZADO"),0)</f>
        <v>13440</v>
      </c>
      <c r="S57" s="30">
        <f t="shared" si="6"/>
        <v>4.4912261904761905</v>
      </c>
      <c r="T57" s="9">
        <f t="shared" si="7"/>
        <v>0.15555555555555556</v>
      </c>
      <c r="U57" s="9">
        <f t="shared" si="8"/>
        <v>6.1342592592592594E-2</v>
      </c>
      <c r="V57" s="9">
        <f t="shared" si="9"/>
        <v>0.82015046296296301</v>
      </c>
    </row>
    <row r="58" spans="1:22" hidden="1" x14ac:dyDescent="0.35">
      <c r="A58" s="52">
        <v>49588</v>
      </c>
      <c r="B58" s="31">
        <v>46123</v>
      </c>
      <c r="C58" s="7" t="s">
        <v>364</v>
      </c>
      <c r="D58" s="7">
        <v>352</v>
      </c>
      <c r="E58" s="10">
        <f>IFERROR(SUMIFS('Base bordo CD'!M$2:M$875,'Base bordo CD'!D$2:D$875,A58,'Base bordo CD'!A$2:A$875,B58,'Base bordo CD'!L$2:L$875,"CORTE DE CANA MECANIZADO"),0)</f>
        <v>3.7333333333333334</v>
      </c>
      <c r="F58" s="10">
        <f>IFERROR(SUMIFS('Base bordo CD'!M$2:M$875,'Base bordo CD'!D$2:D$875,A58,'Base bordo CD'!A$2:A$875,B58,'Base bordo CD'!L$2:L$875,"MANOBRA"),0)</f>
        <v>1.4722222222222223</v>
      </c>
      <c r="G58" s="10">
        <f>IFERROR(SUMIFS('Base bordo CD'!M$2:M$875,'Base bordo CD'!D$2:D$875,A58,'Base bordo CD'!A$2:A$875,B58,'Base bordo CD'!L$2:L$875,"DESLOCAMENTO"),0)</f>
        <v>0.58305555555555555</v>
      </c>
      <c r="H58" s="10">
        <f>IFERROR(SUMIFS('Base bordo CD'!M$2:M$875,'Base bordo CD'!D$2:D$875,A58,'Base bordo CD'!A$2:A$875,B58,'Base bordo CD'!L$2:L$875,"AGUARDANDO MANOBRA DE TRANSBORDO"),0)+IFERROR(SUMIFS('Base bordo CD'!M$2:M$875,'Base bordo CD'!D$2:D$875,A58,'Base bordo CD'!A$2:A$875,B58,'Base bordo CD'!L$2:L$875,"FALTA DE TRANSBORDO"),0)</f>
        <v>4.6388888888888889E-2</v>
      </c>
      <c r="I58" s="10">
        <f>IFERROR(SUMIFS('Base bordo CD'!M$2:M$875,'Base bordo CD'!D$2:D$875,A58,'Base bordo CD'!A$2:A$875,B58,'Base bordo CD'!L$2:L$875,"PARADA POR CONDICOES CLIMATICAS"),0)+IFERROR(SUMIFS('Base bordo CD'!M$2:M$875,'Base bordo CD'!D$2:D$875,A58,'Base bordo CD'!A$2:A$875,B58,'Base bordo CD'!L$2:L$875,"TEMPO INDETERMINADO"),0)</f>
        <v>17.988611111111112</v>
      </c>
      <c r="J58" s="10">
        <f>IFERROR(SUMIFS('Base bordo CD'!M$2:M$875,'Base bordo CD'!D$2:D$875,A58,'Base bordo CD'!A$2:A$875,B58,'Base bordo CD'!L$2:L$875,"LIMITAÇÃO INDÚSTRIA"),0)</f>
        <v>0</v>
      </c>
      <c r="K58" s="10">
        <f>IFERROR(SUMIFS('Base bordo CD'!M$2:M$875,'Base bordo CD'!D$2:D$875,A58,'Base bordo CD'!A$2:A$875,B58,'Base bordo CD'!L$2:L$875,"MAN CORRETIVA*"),0)+IFERROR(SUMIFS('Base bordo CD'!M$2:M$875,'Base bordo CD'!D$2:D$875,A58,'Base bordo CD'!A$2:A$875,B58,'Base bordo CD'!L$2:L$875,"AGUARDANDO MANUTENCAO*"),0)+IFERROR(SUMIFS('Base bordo CD'!M$2:M$875,'Base bordo CD'!D$2:D$875,A58,'Base bordo CD'!A$2:A$875,B58,'Base bordo CD'!L$2:L$875,"TROCA DE FAQUINHA"),0)+IFERROR(SUMIFS('Base bordo CD'!M$2:M$875,'Base bordo CD'!D$2:D$875,A58,'Base bordo CD'!A$2:A$875,B58,'Base bordo CD'!L$2:L$875,"LIMPEZA*"),0)</f>
        <v>0.11861111111111111</v>
      </c>
      <c r="L58" s="10">
        <f>IFERROR(SUMIFS('Base bordo CD'!M$2:M$875,'Base bordo CD'!D$2:D$875,A58,'Base bordo CD'!A$2:A$875,B58,'Base bordo CD'!L$2:L$875,"PATIO - RESERVA"),0)</f>
        <v>0</v>
      </c>
      <c r="M58" s="10">
        <f>IFERROR(SUMIFS('Base bordo CD'!M$2:M$875,'Base bordo CD'!D$2:D$875,A58,'Base bordo CD'!A$2:A$875,B58,'Base bordo CD'!L$2:L$875,"SEM APONTAMENTO"),0)</f>
        <v>5.7777777777777782E-2</v>
      </c>
      <c r="N58" s="10">
        <f>IFERROR(SUMIFS('Base bordo CD'!M$2:M$875,'Base bordo CD'!D$2:D$875,A58,'Base bordo CD'!A$2:A$875,B58,'Base bordo CD'!L$2:L$875,"FALTA DE CAMINHÃO"),0)+IFERROR(SUMIFS('Base bordo CD'!M$2:M$875,'Base bordo CD'!D$2:D$875,A58,'Base bordo CD'!A$2:A$875,B58,'Base bordo CD'!L$2:L$875,"FALTA DE COMBUSTIVEL"),0)+IFERROR(SUMIFS('Base bordo CD'!M$2:M$875,'Base bordo CD'!D$2:D$875,A58,'Base bordo CD'!A$2:A$875,B58,'Base bordo CD'!L$2:L$875,"FALTA DE MOTORIST*"),0)</f>
        <v>0</v>
      </c>
      <c r="O58" s="10">
        <f t="shared" si="5"/>
        <v>0</v>
      </c>
      <c r="P58" s="10">
        <f>IFERROR(SUMIFS('Base bordo CD'!M$2:M$875,'Base bordo CD'!D$2:D$875,A58,'Base bordo CD'!A$2:A$875,B58),0)</f>
        <v>24</v>
      </c>
      <c r="Q58" s="10">
        <f>IFERROR(SUMIFS('Base bordo CD'!O$2:O$875,'Base bordo CD'!D$2:D$875,A58,'Base bordo CD'!A$2:A$875,B58,'Base bordo CD'!L$2:L$875,"CORTE DE CANA MECANIZADO"),0)</f>
        <v>60362.080000000002</v>
      </c>
      <c r="R58" s="10">
        <f>IFERROR(SUMIFS('Base bordo CD'!Q$2:Q$875,'Base bordo CD'!D$2:D$875,A58,'Base bordo CD'!A$2:A$875,B58,'Base bordo CD'!L$2:L$875,"CORTE DE CANA MECANIZADO"),0)</f>
        <v>13440</v>
      </c>
      <c r="S58" s="30">
        <f t="shared" si="6"/>
        <v>4.4912261904761905</v>
      </c>
      <c r="T58" s="9">
        <f t="shared" si="7"/>
        <v>0.15555555555555556</v>
      </c>
      <c r="U58" s="9">
        <f t="shared" si="8"/>
        <v>6.1342592592592594E-2</v>
      </c>
      <c r="V58" s="9">
        <f t="shared" si="9"/>
        <v>0.82015046296296301</v>
      </c>
    </row>
    <row r="59" spans="1:22" hidden="1" x14ac:dyDescent="0.35">
      <c r="A59" s="52">
        <v>49588</v>
      </c>
      <c r="B59" s="31">
        <v>46123</v>
      </c>
      <c r="C59" s="7" t="s">
        <v>364</v>
      </c>
      <c r="D59" s="7">
        <v>352</v>
      </c>
      <c r="E59" s="10">
        <f>IFERROR(SUMIFS('Base bordo CD'!M$2:M$875,'Base bordo CD'!D$2:D$875,A59,'Base bordo CD'!A$2:A$875,B59,'Base bordo CD'!L$2:L$875,"CORTE DE CANA MECANIZADO"),0)</f>
        <v>3.7333333333333334</v>
      </c>
      <c r="F59" s="10">
        <f>IFERROR(SUMIFS('Base bordo CD'!M$2:M$875,'Base bordo CD'!D$2:D$875,A59,'Base bordo CD'!A$2:A$875,B59,'Base bordo CD'!L$2:L$875,"MANOBRA"),0)</f>
        <v>1.4722222222222223</v>
      </c>
      <c r="G59" s="10">
        <f>IFERROR(SUMIFS('Base bordo CD'!M$2:M$875,'Base bordo CD'!D$2:D$875,A59,'Base bordo CD'!A$2:A$875,B59,'Base bordo CD'!L$2:L$875,"DESLOCAMENTO"),0)</f>
        <v>0.58305555555555555</v>
      </c>
      <c r="H59" s="10">
        <f>IFERROR(SUMIFS('Base bordo CD'!M$2:M$875,'Base bordo CD'!D$2:D$875,A59,'Base bordo CD'!A$2:A$875,B59,'Base bordo CD'!L$2:L$875,"AGUARDANDO MANOBRA DE TRANSBORDO"),0)+IFERROR(SUMIFS('Base bordo CD'!M$2:M$875,'Base bordo CD'!D$2:D$875,A59,'Base bordo CD'!A$2:A$875,B59,'Base bordo CD'!L$2:L$875,"FALTA DE TRANSBORDO"),0)</f>
        <v>4.6388888888888889E-2</v>
      </c>
      <c r="I59" s="10">
        <f>IFERROR(SUMIFS('Base bordo CD'!M$2:M$875,'Base bordo CD'!D$2:D$875,A59,'Base bordo CD'!A$2:A$875,B59,'Base bordo CD'!L$2:L$875,"PARADA POR CONDICOES CLIMATICAS"),0)+IFERROR(SUMIFS('Base bordo CD'!M$2:M$875,'Base bordo CD'!D$2:D$875,A59,'Base bordo CD'!A$2:A$875,B59,'Base bordo CD'!L$2:L$875,"TEMPO INDETERMINADO"),0)</f>
        <v>17.988611111111112</v>
      </c>
      <c r="J59" s="10">
        <f>IFERROR(SUMIFS('Base bordo CD'!M$2:M$875,'Base bordo CD'!D$2:D$875,A59,'Base bordo CD'!A$2:A$875,B59,'Base bordo CD'!L$2:L$875,"LIMITAÇÃO INDÚSTRIA"),0)</f>
        <v>0</v>
      </c>
      <c r="K59" s="10">
        <f>IFERROR(SUMIFS('Base bordo CD'!M$2:M$875,'Base bordo CD'!D$2:D$875,A59,'Base bordo CD'!A$2:A$875,B59,'Base bordo CD'!L$2:L$875,"MAN CORRETIVA*"),0)+IFERROR(SUMIFS('Base bordo CD'!M$2:M$875,'Base bordo CD'!D$2:D$875,A59,'Base bordo CD'!A$2:A$875,B59,'Base bordo CD'!L$2:L$875,"AGUARDANDO MANUTENCAO*"),0)+IFERROR(SUMIFS('Base bordo CD'!M$2:M$875,'Base bordo CD'!D$2:D$875,A59,'Base bordo CD'!A$2:A$875,B59,'Base bordo CD'!L$2:L$875,"TROCA DE FAQUINHA"),0)+IFERROR(SUMIFS('Base bordo CD'!M$2:M$875,'Base bordo CD'!D$2:D$875,A59,'Base bordo CD'!A$2:A$875,B59,'Base bordo CD'!L$2:L$875,"LIMPEZA*"),0)</f>
        <v>0.11861111111111111</v>
      </c>
      <c r="L59" s="10">
        <f>IFERROR(SUMIFS('Base bordo CD'!M$2:M$875,'Base bordo CD'!D$2:D$875,A59,'Base bordo CD'!A$2:A$875,B59,'Base bordo CD'!L$2:L$875,"PATIO - RESERVA"),0)</f>
        <v>0</v>
      </c>
      <c r="M59" s="10">
        <f>IFERROR(SUMIFS('Base bordo CD'!M$2:M$875,'Base bordo CD'!D$2:D$875,A59,'Base bordo CD'!A$2:A$875,B59,'Base bordo CD'!L$2:L$875,"SEM APONTAMENTO"),0)</f>
        <v>5.7777777777777782E-2</v>
      </c>
      <c r="N59" s="10">
        <f>IFERROR(SUMIFS('Base bordo CD'!M$2:M$875,'Base bordo CD'!D$2:D$875,A59,'Base bordo CD'!A$2:A$875,B59,'Base bordo CD'!L$2:L$875,"FALTA DE CAMINHÃO"),0)+IFERROR(SUMIFS('Base bordo CD'!M$2:M$875,'Base bordo CD'!D$2:D$875,A59,'Base bordo CD'!A$2:A$875,B59,'Base bordo CD'!L$2:L$875,"FALTA DE COMBUSTIVEL"),0)+IFERROR(SUMIFS('Base bordo CD'!M$2:M$875,'Base bordo CD'!D$2:D$875,A59,'Base bordo CD'!A$2:A$875,B59,'Base bordo CD'!L$2:L$875,"FALTA DE MOTORIST*"),0)</f>
        <v>0</v>
      </c>
      <c r="O59" s="10">
        <f t="shared" si="5"/>
        <v>0</v>
      </c>
      <c r="P59" s="10">
        <f>IFERROR(SUMIFS('Base bordo CD'!M$2:M$875,'Base bordo CD'!D$2:D$875,A59,'Base bordo CD'!A$2:A$875,B59),0)</f>
        <v>24</v>
      </c>
      <c r="Q59" s="10">
        <f>IFERROR(SUMIFS('Base bordo CD'!O$2:O$875,'Base bordo CD'!D$2:D$875,A59,'Base bordo CD'!A$2:A$875,B59,'Base bordo CD'!L$2:L$875,"CORTE DE CANA MECANIZADO"),0)</f>
        <v>60362.080000000002</v>
      </c>
      <c r="R59" s="10">
        <f>IFERROR(SUMIFS('Base bordo CD'!Q$2:Q$875,'Base bordo CD'!D$2:D$875,A59,'Base bordo CD'!A$2:A$875,B59,'Base bordo CD'!L$2:L$875,"CORTE DE CANA MECANIZADO"),0)</f>
        <v>13440</v>
      </c>
      <c r="S59" s="30">
        <f t="shared" si="6"/>
        <v>4.4912261904761905</v>
      </c>
      <c r="T59" s="9">
        <f t="shared" si="7"/>
        <v>0.15555555555555556</v>
      </c>
      <c r="U59" s="9">
        <f t="shared" si="8"/>
        <v>6.1342592592592594E-2</v>
      </c>
      <c r="V59" s="9">
        <f t="shared" si="9"/>
        <v>0.82015046296296301</v>
      </c>
    </row>
    <row r="60" spans="1:22" hidden="1" x14ac:dyDescent="0.35">
      <c r="A60" s="52">
        <v>49588</v>
      </c>
      <c r="B60" s="31">
        <v>46123</v>
      </c>
      <c r="C60" s="7" t="s">
        <v>364</v>
      </c>
      <c r="D60" s="7">
        <v>352</v>
      </c>
      <c r="E60" s="10">
        <f>IFERROR(SUMIFS('Base bordo CD'!M$2:M$875,'Base bordo CD'!D$2:D$875,A60,'Base bordo CD'!A$2:A$875,B60,'Base bordo CD'!L$2:L$875,"CORTE DE CANA MECANIZADO"),0)</f>
        <v>3.7333333333333334</v>
      </c>
      <c r="F60" s="10">
        <f>IFERROR(SUMIFS('Base bordo CD'!M$2:M$875,'Base bordo CD'!D$2:D$875,A60,'Base bordo CD'!A$2:A$875,B60,'Base bordo CD'!L$2:L$875,"MANOBRA"),0)</f>
        <v>1.4722222222222223</v>
      </c>
      <c r="G60" s="10">
        <f>IFERROR(SUMIFS('Base bordo CD'!M$2:M$875,'Base bordo CD'!D$2:D$875,A60,'Base bordo CD'!A$2:A$875,B60,'Base bordo CD'!L$2:L$875,"DESLOCAMENTO"),0)</f>
        <v>0.58305555555555555</v>
      </c>
      <c r="H60" s="10">
        <f>IFERROR(SUMIFS('Base bordo CD'!M$2:M$875,'Base bordo CD'!D$2:D$875,A60,'Base bordo CD'!A$2:A$875,B60,'Base bordo CD'!L$2:L$875,"AGUARDANDO MANOBRA DE TRANSBORDO"),0)+IFERROR(SUMIFS('Base bordo CD'!M$2:M$875,'Base bordo CD'!D$2:D$875,A60,'Base bordo CD'!A$2:A$875,B60,'Base bordo CD'!L$2:L$875,"FALTA DE TRANSBORDO"),0)</f>
        <v>4.6388888888888889E-2</v>
      </c>
      <c r="I60" s="10">
        <f>IFERROR(SUMIFS('Base bordo CD'!M$2:M$875,'Base bordo CD'!D$2:D$875,A60,'Base bordo CD'!A$2:A$875,B60,'Base bordo CD'!L$2:L$875,"PARADA POR CONDICOES CLIMATICAS"),0)+IFERROR(SUMIFS('Base bordo CD'!M$2:M$875,'Base bordo CD'!D$2:D$875,A60,'Base bordo CD'!A$2:A$875,B60,'Base bordo CD'!L$2:L$875,"TEMPO INDETERMINADO"),0)</f>
        <v>17.988611111111112</v>
      </c>
      <c r="J60" s="10">
        <f>IFERROR(SUMIFS('Base bordo CD'!M$2:M$875,'Base bordo CD'!D$2:D$875,A60,'Base bordo CD'!A$2:A$875,B60,'Base bordo CD'!L$2:L$875,"LIMITAÇÃO INDÚSTRIA"),0)</f>
        <v>0</v>
      </c>
      <c r="K60" s="10">
        <f>IFERROR(SUMIFS('Base bordo CD'!M$2:M$875,'Base bordo CD'!D$2:D$875,A60,'Base bordo CD'!A$2:A$875,B60,'Base bordo CD'!L$2:L$875,"MAN CORRETIVA*"),0)+IFERROR(SUMIFS('Base bordo CD'!M$2:M$875,'Base bordo CD'!D$2:D$875,A60,'Base bordo CD'!A$2:A$875,B60,'Base bordo CD'!L$2:L$875,"AGUARDANDO MANUTENCAO*"),0)+IFERROR(SUMIFS('Base bordo CD'!M$2:M$875,'Base bordo CD'!D$2:D$875,A60,'Base bordo CD'!A$2:A$875,B60,'Base bordo CD'!L$2:L$875,"TROCA DE FAQUINHA"),0)+IFERROR(SUMIFS('Base bordo CD'!M$2:M$875,'Base bordo CD'!D$2:D$875,A60,'Base bordo CD'!A$2:A$875,B60,'Base bordo CD'!L$2:L$875,"LIMPEZA*"),0)</f>
        <v>0.11861111111111111</v>
      </c>
      <c r="L60" s="10">
        <f>IFERROR(SUMIFS('Base bordo CD'!M$2:M$875,'Base bordo CD'!D$2:D$875,A60,'Base bordo CD'!A$2:A$875,B60,'Base bordo CD'!L$2:L$875,"PATIO - RESERVA"),0)</f>
        <v>0</v>
      </c>
      <c r="M60" s="10">
        <f>IFERROR(SUMIFS('Base bordo CD'!M$2:M$875,'Base bordo CD'!D$2:D$875,A60,'Base bordo CD'!A$2:A$875,B60,'Base bordo CD'!L$2:L$875,"SEM APONTAMENTO"),0)</f>
        <v>5.7777777777777782E-2</v>
      </c>
      <c r="N60" s="10">
        <f>IFERROR(SUMIFS('Base bordo CD'!M$2:M$875,'Base bordo CD'!D$2:D$875,A60,'Base bordo CD'!A$2:A$875,B60,'Base bordo CD'!L$2:L$875,"FALTA DE CAMINHÃO"),0)+IFERROR(SUMIFS('Base bordo CD'!M$2:M$875,'Base bordo CD'!D$2:D$875,A60,'Base bordo CD'!A$2:A$875,B60,'Base bordo CD'!L$2:L$875,"FALTA DE COMBUSTIVEL"),0)+IFERROR(SUMIFS('Base bordo CD'!M$2:M$875,'Base bordo CD'!D$2:D$875,A60,'Base bordo CD'!A$2:A$875,B60,'Base bordo CD'!L$2:L$875,"FALTA DE MOTORIST*"),0)</f>
        <v>0</v>
      </c>
      <c r="O60" s="10">
        <f t="shared" si="5"/>
        <v>0</v>
      </c>
      <c r="P60" s="10">
        <f>IFERROR(SUMIFS('Base bordo CD'!M$2:M$875,'Base bordo CD'!D$2:D$875,A60,'Base bordo CD'!A$2:A$875,B60),0)</f>
        <v>24</v>
      </c>
      <c r="Q60" s="10">
        <f>IFERROR(SUMIFS('Base bordo CD'!O$2:O$875,'Base bordo CD'!D$2:D$875,A60,'Base bordo CD'!A$2:A$875,B60,'Base bordo CD'!L$2:L$875,"CORTE DE CANA MECANIZADO"),0)</f>
        <v>60362.080000000002</v>
      </c>
      <c r="R60" s="10">
        <f>IFERROR(SUMIFS('Base bordo CD'!Q$2:Q$875,'Base bordo CD'!D$2:D$875,A60,'Base bordo CD'!A$2:A$875,B60,'Base bordo CD'!L$2:L$875,"CORTE DE CANA MECANIZADO"),0)</f>
        <v>13440</v>
      </c>
      <c r="S60" s="30">
        <f t="shared" si="6"/>
        <v>4.4912261904761905</v>
      </c>
      <c r="T60" s="9">
        <f t="shared" si="7"/>
        <v>0.15555555555555556</v>
      </c>
      <c r="U60" s="9">
        <f t="shared" si="8"/>
        <v>6.1342592592592594E-2</v>
      </c>
      <c r="V60" s="9">
        <f t="shared" si="9"/>
        <v>0.82015046296296301</v>
      </c>
    </row>
    <row r="61" spans="1:22" hidden="1" x14ac:dyDescent="0.35">
      <c r="A61" s="52">
        <v>49588</v>
      </c>
      <c r="B61" s="31">
        <v>46123</v>
      </c>
      <c r="C61" s="7" t="s">
        <v>364</v>
      </c>
      <c r="D61" s="7">
        <v>352</v>
      </c>
      <c r="E61" s="10">
        <f>IFERROR(SUMIFS('Base bordo CD'!M$2:M$875,'Base bordo CD'!D$2:D$875,A61,'Base bordo CD'!A$2:A$875,B61,'Base bordo CD'!L$2:L$875,"CORTE DE CANA MECANIZADO"),0)</f>
        <v>3.7333333333333334</v>
      </c>
      <c r="F61" s="10">
        <f>IFERROR(SUMIFS('Base bordo CD'!M$2:M$875,'Base bordo CD'!D$2:D$875,A61,'Base bordo CD'!A$2:A$875,B61,'Base bordo CD'!L$2:L$875,"MANOBRA"),0)</f>
        <v>1.4722222222222223</v>
      </c>
      <c r="G61" s="10">
        <f>IFERROR(SUMIFS('Base bordo CD'!M$2:M$875,'Base bordo CD'!D$2:D$875,A61,'Base bordo CD'!A$2:A$875,B61,'Base bordo CD'!L$2:L$875,"DESLOCAMENTO"),0)</f>
        <v>0.58305555555555555</v>
      </c>
      <c r="H61" s="10">
        <f>IFERROR(SUMIFS('Base bordo CD'!M$2:M$875,'Base bordo CD'!D$2:D$875,A61,'Base bordo CD'!A$2:A$875,B61,'Base bordo CD'!L$2:L$875,"AGUARDANDO MANOBRA DE TRANSBORDO"),0)+IFERROR(SUMIFS('Base bordo CD'!M$2:M$875,'Base bordo CD'!D$2:D$875,A61,'Base bordo CD'!A$2:A$875,B61,'Base bordo CD'!L$2:L$875,"FALTA DE TRANSBORDO"),0)</f>
        <v>4.6388888888888889E-2</v>
      </c>
      <c r="I61" s="10">
        <f>IFERROR(SUMIFS('Base bordo CD'!M$2:M$875,'Base bordo CD'!D$2:D$875,A61,'Base bordo CD'!A$2:A$875,B61,'Base bordo CD'!L$2:L$875,"PARADA POR CONDICOES CLIMATICAS"),0)+IFERROR(SUMIFS('Base bordo CD'!M$2:M$875,'Base bordo CD'!D$2:D$875,A61,'Base bordo CD'!A$2:A$875,B61,'Base bordo CD'!L$2:L$875,"TEMPO INDETERMINADO"),0)</f>
        <v>17.988611111111112</v>
      </c>
      <c r="J61" s="10">
        <f>IFERROR(SUMIFS('Base bordo CD'!M$2:M$875,'Base bordo CD'!D$2:D$875,A61,'Base bordo CD'!A$2:A$875,B61,'Base bordo CD'!L$2:L$875,"LIMITAÇÃO INDÚSTRIA"),0)</f>
        <v>0</v>
      </c>
      <c r="K61" s="10">
        <f>IFERROR(SUMIFS('Base bordo CD'!M$2:M$875,'Base bordo CD'!D$2:D$875,A61,'Base bordo CD'!A$2:A$875,B61,'Base bordo CD'!L$2:L$875,"MAN CORRETIVA*"),0)+IFERROR(SUMIFS('Base bordo CD'!M$2:M$875,'Base bordo CD'!D$2:D$875,A61,'Base bordo CD'!A$2:A$875,B61,'Base bordo CD'!L$2:L$875,"AGUARDANDO MANUTENCAO*"),0)+IFERROR(SUMIFS('Base bordo CD'!M$2:M$875,'Base bordo CD'!D$2:D$875,A61,'Base bordo CD'!A$2:A$875,B61,'Base bordo CD'!L$2:L$875,"TROCA DE FAQUINHA"),0)+IFERROR(SUMIFS('Base bordo CD'!M$2:M$875,'Base bordo CD'!D$2:D$875,A61,'Base bordo CD'!A$2:A$875,B61,'Base bordo CD'!L$2:L$875,"LIMPEZA*"),0)</f>
        <v>0.11861111111111111</v>
      </c>
      <c r="L61" s="10">
        <f>IFERROR(SUMIFS('Base bordo CD'!M$2:M$875,'Base bordo CD'!D$2:D$875,A61,'Base bordo CD'!A$2:A$875,B61,'Base bordo CD'!L$2:L$875,"PATIO - RESERVA"),0)</f>
        <v>0</v>
      </c>
      <c r="M61" s="10">
        <f>IFERROR(SUMIFS('Base bordo CD'!M$2:M$875,'Base bordo CD'!D$2:D$875,A61,'Base bordo CD'!A$2:A$875,B61,'Base bordo CD'!L$2:L$875,"SEM APONTAMENTO"),0)</f>
        <v>5.7777777777777782E-2</v>
      </c>
      <c r="N61" s="10">
        <f>IFERROR(SUMIFS('Base bordo CD'!M$2:M$875,'Base bordo CD'!D$2:D$875,A61,'Base bordo CD'!A$2:A$875,B61,'Base bordo CD'!L$2:L$875,"FALTA DE CAMINHÃO"),0)+IFERROR(SUMIFS('Base bordo CD'!M$2:M$875,'Base bordo CD'!D$2:D$875,A61,'Base bordo CD'!A$2:A$875,B61,'Base bordo CD'!L$2:L$875,"FALTA DE COMBUSTIVEL"),0)+IFERROR(SUMIFS('Base bordo CD'!M$2:M$875,'Base bordo CD'!D$2:D$875,A61,'Base bordo CD'!A$2:A$875,B61,'Base bordo CD'!L$2:L$875,"FALTA DE MOTORIST*"),0)</f>
        <v>0</v>
      </c>
      <c r="O61" s="10">
        <f t="shared" si="5"/>
        <v>0</v>
      </c>
      <c r="P61" s="10">
        <f>IFERROR(SUMIFS('Base bordo CD'!M$2:M$875,'Base bordo CD'!D$2:D$875,A61,'Base bordo CD'!A$2:A$875,B61),0)</f>
        <v>24</v>
      </c>
      <c r="Q61" s="10">
        <f>IFERROR(SUMIFS('Base bordo CD'!O$2:O$875,'Base bordo CD'!D$2:D$875,A61,'Base bordo CD'!A$2:A$875,B61,'Base bordo CD'!L$2:L$875,"CORTE DE CANA MECANIZADO"),0)</f>
        <v>60362.080000000002</v>
      </c>
      <c r="R61" s="10">
        <f>IFERROR(SUMIFS('Base bordo CD'!Q$2:Q$875,'Base bordo CD'!D$2:D$875,A61,'Base bordo CD'!A$2:A$875,B61,'Base bordo CD'!L$2:L$875,"CORTE DE CANA MECANIZADO"),0)</f>
        <v>13440</v>
      </c>
      <c r="S61" s="30">
        <f t="shared" si="6"/>
        <v>4.4912261904761905</v>
      </c>
      <c r="T61" s="9">
        <f t="shared" si="7"/>
        <v>0.15555555555555556</v>
      </c>
      <c r="U61" s="9">
        <f t="shared" si="8"/>
        <v>6.1342592592592594E-2</v>
      </c>
      <c r="V61" s="9">
        <f t="shared" si="9"/>
        <v>0.82015046296296301</v>
      </c>
    </row>
    <row r="62" spans="1:22" hidden="1" x14ac:dyDescent="0.35">
      <c r="A62" s="52">
        <v>49588</v>
      </c>
      <c r="B62" s="31">
        <v>46123</v>
      </c>
      <c r="C62" s="7" t="s">
        <v>364</v>
      </c>
      <c r="D62" s="7">
        <v>352</v>
      </c>
      <c r="E62" s="10">
        <f>IFERROR(SUMIFS('Base bordo CD'!M$2:M$875,'Base bordo CD'!D$2:D$875,A62,'Base bordo CD'!A$2:A$875,B62,'Base bordo CD'!L$2:L$875,"CORTE DE CANA MECANIZADO"),0)</f>
        <v>3.7333333333333334</v>
      </c>
      <c r="F62" s="10">
        <f>IFERROR(SUMIFS('Base bordo CD'!M$2:M$875,'Base bordo CD'!D$2:D$875,A62,'Base bordo CD'!A$2:A$875,B62,'Base bordo CD'!L$2:L$875,"MANOBRA"),0)</f>
        <v>1.4722222222222223</v>
      </c>
      <c r="G62" s="10">
        <f>IFERROR(SUMIFS('Base bordo CD'!M$2:M$875,'Base bordo CD'!D$2:D$875,A62,'Base bordo CD'!A$2:A$875,B62,'Base bordo CD'!L$2:L$875,"DESLOCAMENTO"),0)</f>
        <v>0.58305555555555555</v>
      </c>
      <c r="H62" s="10">
        <f>IFERROR(SUMIFS('Base bordo CD'!M$2:M$875,'Base bordo CD'!D$2:D$875,A62,'Base bordo CD'!A$2:A$875,B62,'Base bordo CD'!L$2:L$875,"AGUARDANDO MANOBRA DE TRANSBORDO"),0)+IFERROR(SUMIFS('Base bordo CD'!M$2:M$875,'Base bordo CD'!D$2:D$875,A62,'Base bordo CD'!A$2:A$875,B62,'Base bordo CD'!L$2:L$875,"FALTA DE TRANSBORDO"),0)</f>
        <v>4.6388888888888889E-2</v>
      </c>
      <c r="I62" s="10">
        <f>IFERROR(SUMIFS('Base bordo CD'!M$2:M$875,'Base bordo CD'!D$2:D$875,A62,'Base bordo CD'!A$2:A$875,B62,'Base bordo CD'!L$2:L$875,"PARADA POR CONDICOES CLIMATICAS"),0)+IFERROR(SUMIFS('Base bordo CD'!M$2:M$875,'Base bordo CD'!D$2:D$875,A62,'Base bordo CD'!A$2:A$875,B62,'Base bordo CD'!L$2:L$875,"TEMPO INDETERMINADO"),0)</f>
        <v>17.988611111111112</v>
      </c>
      <c r="J62" s="10">
        <f>IFERROR(SUMIFS('Base bordo CD'!M$2:M$875,'Base bordo CD'!D$2:D$875,A62,'Base bordo CD'!A$2:A$875,B62,'Base bordo CD'!L$2:L$875,"LIMITAÇÃO INDÚSTRIA"),0)</f>
        <v>0</v>
      </c>
      <c r="K62" s="10">
        <f>IFERROR(SUMIFS('Base bordo CD'!M$2:M$875,'Base bordo CD'!D$2:D$875,A62,'Base bordo CD'!A$2:A$875,B62,'Base bordo CD'!L$2:L$875,"MAN CORRETIVA*"),0)+IFERROR(SUMIFS('Base bordo CD'!M$2:M$875,'Base bordo CD'!D$2:D$875,A62,'Base bordo CD'!A$2:A$875,B62,'Base bordo CD'!L$2:L$875,"AGUARDANDO MANUTENCAO*"),0)+IFERROR(SUMIFS('Base bordo CD'!M$2:M$875,'Base bordo CD'!D$2:D$875,A62,'Base bordo CD'!A$2:A$875,B62,'Base bordo CD'!L$2:L$875,"TROCA DE FAQUINHA"),0)+IFERROR(SUMIFS('Base bordo CD'!M$2:M$875,'Base bordo CD'!D$2:D$875,A62,'Base bordo CD'!A$2:A$875,B62,'Base bordo CD'!L$2:L$875,"LIMPEZA*"),0)</f>
        <v>0.11861111111111111</v>
      </c>
      <c r="L62" s="10">
        <f>IFERROR(SUMIFS('Base bordo CD'!M$2:M$875,'Base bordo CD'!D$2:D$875,A62,'Base bordo CD'!A$2:A$875,B62,'Base bordo CD'!L$2:L$875,"PATIO - RESERVA"),0)</f>
        <v>0</v>
      </c>
      <c r="M62" s="10">
        <f>IFERROR(SUMIFS('Base bordo CD'!M$2:M$875,'Base bordo CD'!D$2:D$875,A62,'Base bordo CD'!A$2:A$875,B62,'Base bordo CD'!L$2:L$875,"SEM APONTAMENTO"),0)</f>
        <v>5.7777777777777782E-2</v>
      </c>
      <c r="N62" s="10">
        <f>IFERROR(SUMIFS('Base bordo CD'!M$2:M$875,'Base bordo CD'!D$2:D$875,A62,'Base bordo CD'!A$2:A$875,B62,'Base bordo CD'!L$2:L$875,"FALTA DE CAMINHÃO"),0)+IFERROR(SUMIFS('Base bordo CD'!M$2:M$875,'Base bordo CD'!D$2:D$875,A62,'Base bordo CD'!A$2:A$875,B62,'Base bordo CD'!L$2:L$875,"FALTA DE COMBUSTIVEL"),0)+IFERROR(SUMIFS('Base bordo CD'!M$2:M$875,'Base bordo CD'!D$2:D$875,A62,'Base bordo CD'!A$2:A$875,B62,'Base bordo CD'!L$2:L$875,"FALTA DE MOTORIST*"),0)</f>
        <v>0</v>
      </c>
      <c r="O62" s="10">
        <f t="shared" ref="O62:O125" si="10">IFERROR(P62-SUM(E62:N62),0)</f>
        <v>0</v>
      </c>
      <c r="P62" s="10">
        <f>IFERROR(SUMIFS('Base bordo CD'!M$2:M$875,'Base bordo CD'!D$2:D$875,A62,'Base bordo CD'!A$2:A$875,B62),0)</f>
        <v>24</v>
      </c>
      <c r="Q62" s="10">
        <f>IFERROR(SUMIFS('Base bordo CD'!O$2:O$875,'Base bordo CD'!D$2:D$875,A62,'Base bordo CD'!A$2:A$875,B62,'Base bordo CD'!L$2:L$875,"CORTE DE CANA MECANIZADO"),0)</f>
        <v>60362.080000000002</v>
      </c>
      <c r="R62" s="10">
        <f>IFERROR(SUMIFS('Base bordo CD'!Q$2:Q$875,'Base bordo CD'!D$2:D$875,A62,'Base bordo CD'!A$2:A$875,B62,'Base bordo CD'!L$2:L$875,"CORTE DE CANA MECANIZADO"),0)</f>
        <v>13440</v>
      </c>
      <c r="S62" s="30">
        <f t="shared" ref="S62:S125" si="11">IFERROR(Q62/R62,"")</f>
        <v>4.4912261904761905</v>
      </c>
      <c r="T62" s="9">
        <f t="shared" ref="T62:T125" si="12">IFERROR(E62/P62,0)</f>
        <v>0.15555555555555556</v>
      </c>
      <c r="U62" s="9">
        <f t="shared" ref="U62:U125" si="13">IFERROR(F62/P62,0)</f>
        <v>6.1342592592592594E-2</v>
      </c>
      <c r="V62" s="9">
        <f t="shared" ref="V62:V125" si="14">IFERROR(1-(E62+G62)/P62,0)</f>
        <v>0.82015046296296301</v>
      </c>
    </row>
    <row r="63" spans="1:22" hidden="1" x14ac:dyDescent="0.35">
      <c r="A63" s="52">
        <v>49588</v>
      </c>
      <c r="B63" s="31">
        <v>46123</v>
      </c>
      <c r="C63" s="7" t="s">
        <v>364</v>
      </c>
      <c r="D63" s="7">
        <v>352</v>
      </c>
      <c r="E63" s="10">
        <f>IFERROR(SUMIFS('Base bordo CD'!M$2:M$875,'Base bordo CD'!D$2:D$875,A63,'Base bordo CD'!A$2:A$875,B63,'Base bordo CD'!L$2:L$875,"CORTE DE CANA MECANIZADO"),0)</f>
        <v>3.7333333333333334</v>
      </c>
      <c r="F63" s="10">
        <f>IFERROR(SUMIFS('Base bordo CD'!M$2:M$875,'Base bordo CD'!D$2:D$875,A63,'Base bordo CD'!A$2:A$875,B63,'Base bordo CD'!L$2:L$875,"MANOBRA"),0)</f>
        <v>1.4722222222222223</v>
      </c>
      <c r="G63" s="10">
        <f>IFERROR(SUMIFS('Base bordo CD'!M$2:M$875,'Base bordo CD'!D$2:D$875,A63,'Base bordo CD'!A$2:A$875,B63,'Base bordo CD'!L$2:L$875,"DESLOCAMENTO"),0)</f>
        <v>0.58305555555555555</v>
      </c>
      <c r="H63" s="10">
        <f>IFERROR(SUMIFS('Base bordo CD'!M$2:M$875,'Base bordo CD'!D$2:D$875,A63,'Base bordo CD'!A$2:A$875,B63,'Base bordo CD'!L$2:L$875,"AGUARDANDO MANOBRA DE TRANSBORDO"),0)+IFERROR(SUMIFS('Base bordo CD'!M$2:M$875,'Base bordo CD'!D$2:D$875,A63,'Base bordo CD'!A$2:A$875,B63,'Base bordo CD'!L$2:L$875,"FALTA DE TRANSBORDO"),0)</f>
        <v>4.6388888888888889E-2</v>
      </c>
      <c r="I63" s="10">
        <f>IFERROR(SUMIFS('Base bordo CD'!M$2:M$875,'Base bordo CD'!D$2:D$875,A63,'Base bordo CD'!A$2:A$875,B63,'Base bordo CD'!L$2:L$875,"PARADA POR CONDICOES CLIMATICAS"),0)+IFERROR(SUMIFS('Base bordo CD'!M$2:M$875,'Base bordo CD'!D$2:D$875,A63,'Base bordo CD'!A$2:A$875,B63,'Base bordo CD'!L$2:L$875,"TEMPO INDETERMINADO"),0)</f>
        <v>17.988611111111112</v>
      </c>
      <c r="J63" s="10">
        <f>IFERROR(SUMIFS('Base bordo CD'!M$2:M$875,'Base bordo CD'!D$2:D$875,A63,'Base bordo CD'!A$2:A$875,B63,'Base bordo CD'!L$2:L$875,"LIMITAÇÃO INDÚSTRIA"),0)</f>
        <v>0</v>
      </c>
      <c r="K63" s="10">
        <f>IFERROR(SUMIFS('Base bordo CD'!M$2:M$875,'Base bordo CD'!D$2:D$875,A63,'Base bordo CD'!A$2:A$875,B63,'Base bordo CD'!L$2:L$875,"MAN CORRETIVA*"),0)+IFERROR(SUMIFS('Base bordo CD'!M$2:M$875,'Base bordo CD'!D$2:D$875,A63,'Base bordo CD'!A$2:A$875,B63,'Base bordo CD'!L$2:L$875,"AGUARDANDO MANUTENCAO*"),0)+IFERROR(SUMIFS('Base bordo CD'!M$2:M$875,'Base bordo CD'!D$2:D$875,A63,'Base bordo CD'!A$2:A$875,B63,'Base bordo CD'!L$2:L$875,"TROCA DE FAQUINHA"),0)+IFERROR(SUMIFS('Base bordo CD'!M$2:M$875,'Base bordo CD'!D$2:D$875,A63,'Base bordo CD'!A$2:A$875,B63,'Base bordo CD'!L$2:L$875,"LIMPEZA*"),0)</f>
        <v>0.11861111111111111</v>
      </c>
      <c r="L63" s="10">
        <f>IFERROR(SUMIFS('Base bordo CD'!M$2:M$875,'Base bordo CD'!D$2:D$875,A63,'Base bordo CD'!A$2:A$875,B63,'Base bordo CD'!L$2:L$875,"PATIO - RESERVA"),0)</f>
        <v>0</v>
      </c>
      <c r="M63" s="10">
        <f>IFERROR(SUMIFS('Base bordo CD'!M$2:M$875,'Base bordo CD'!D$2:D$875,A63,'Base bordo CD'!A$2:A$875,B63,'Base bordo CD'!L$2:L$875,"SEM APONTAMENTO"),0)</f>
        <v>5.7777777777777782E-2</v>
      </c>
      <c r="N63" s="10">
        <f>IFERROR(SUMIFS('Base bordo CD'!M$2:M$875,'Base bordo CD'!D$2:D$875,A63,'Base bordo CD'!A$2:A$875,B63,'Base bordo CD'!L$2:L$875,"FALTA DE CAMINHÃO"),0)+IFERROR(SUMIFS('Base bordo CD'!M$2:M$875,'Base bordo CD'!D$2:D$875,A63,'Base bordo CD'!A$2:A$875,B63,'Base bordo CD'!L$2:L$875,"FALTA DE COMBUSTIVEL"),0)+IFERROR(SUMIFS('Base bordo CD'!M$2:M$875,'Base bordo CD'!D$2:D$875,A63,'Base bordo CD'!A$2:A$875,B63,'Base bordo CD'!L$2:L$875,"FALTA DE MOTORIST*"),0)</f>
        <v>0</v>
      </c>
      <c r="O63" s="10">
        <f t="shared" si="10"/>
        <v>0</v>
      </c>
      <c r="P63" s="10">
        <f>IFERROR(SUMIFS('Base bordo CD'!M$2:M$875,'Base bordo CD'!D$2:D$875,A63,'Base bordo CD'!A$2:A$875,B63),0)</f>
        <v>24</v>
      </c>
      <c r="Q63" s="10">
        <f>IFERROR(SUMIFS('Base bordo CD'!O$2:O$875,'Base bordo CD'!D$2:D$875,A63,'Base bordo CD'!A$2:A$875,B63,'Base bordo CD'!L$2:L$875,"CORTE DE CANA MECANIZADO"),0)</f>
        <v>60362.080000000002</v>
      </c>
      <c r="R63" s="10">
        <f>IFERROR(SUMIFS('Base bordo CD'!Q$2:Q$875,'Base bordo CD'!D$2:D$875,A63,'Base bordo CD'!A$2:A$875,B63,'Base bordo CD'!L$2:L$875,"CORTE DE CANA MECANIZADO"),0)</f>
        <v>13440</v>
      </c>
      <c r="S63" s="30">
        <f t="shared" si="11"/>
        <v>4.4912261904761905</v>
      </c>
      <c r="T63" s="9">
        <f t="shared" si="12"/>
        <v>0.15555555555555556</v>
      </c>
      <c r="U63" s="9">
        <f t="shared" si="13"/>
        <v>6.1342592592592594E-2</v>
      </c>
      <c r="V63" s="9">
        <f t="shared" si="14"/>
        <v>0.82015046296296301</v>
      </c>
    </row>
    <row r="64" spans="1:22" hidden="1" x14ac:dyDescent="0.35">
      <c r="A64" s="52">
        <v>49588</v>
      </c>
      <c r="B64" s="31">
        <v>46123</v>
      </c>
      <c r="C64" s="7" t="s">
        <v>364</v>
      </c>
      <c r="D64" s="7">
        <v>352</v>
      </c>
      <c r="E64" s="10">
        <f>IFERROR(SUMIFS('Base bordo CD'!M$2:M$875,'Base bordo CD'!D$2:D$875,A64,'Base bordo CD'!A$2:A$875,B64,'Base bordo CD'!L$2:L$875,"CORTE DE CANA MECANIZADO"),0)</f>
        <v>3.7333333333333334</v>
      </c>
      <c r="F64" s="10">
        <f>IFERROR(SUMIFS('Base bordo CD'!M$2:M$875,'Base bordo CD'!D$2:D$875,A64,'Base bordo CD'!A$2:A$875,B64,'Base bordo CD'!L$2:L$875,"MANOBRA"),0)</f>
        <v>1.4722222222222223</v>
      </c>
      <c r="G64" s="10">
        <f>IFERROR(SUMIFS('Base bordo CD'!M$2:M$875,'Base bordo CD'!D$2:D$875,A64,'Base bordo CD'!A$2:A$875,B64,'Base bordo CD'!L$2:L$875,"DESLOCAMENTO"),0)</f>
        <v>0.58305555555555555</v>
      </c>
      <c r="H64" s="10">
        <f>IFERROR(SUMIFS('Base bordo CD'!M$2:M$875,'Base bordo CD'!D$2:D$875,A64,'Base bordo CD'!A$2:A$875,B64,'Base bordo CD'!L$2:L$875,"AGUARDANDO MANOBRA DE TRANSBORDO"),0)+IFERROR(SUMIFS('Base bordo CD'!M$2:M$875,'Base bordo CD'!D$2:D$875,A64,'Base bordo CD'!A$2:A$875,B64,'Base bordo CD'!L$2:L$875,"FALTA DE TRANSBORDO"),0)</f>
        <v>4.6388888888888889E-2</v>
      </c>
      <c r="I64" s="10">
        <f>IFERROR(SUMIFS('Base bordo CD'!M$2:M$875,'Base bordo CD'!D$2:D$875,A64,'Base bordo CD'!A$2:A$875,B64,'Base bordo CD'!L$2:L$875,"PARADA POR CONDICOES CLIMATICAS"),0)+IFERROR(SUMIFS('Base bordo CD'!M$2:M$875,'Base bordo CD'!D$2:D$875,A64,'Base bordo CD'!A$2:A$875,B64,'Base bordo CD'!L$2:L$875,"TEMPO INDETERMINADO"),0)</f>
        <v>17.988611111111112</v>
      </c>
      <c r="J64" s="10">
        <f>IFERROR(SUMIFS('Base bordo CD'!M$2:M$875,'Base bordo CD'!D$2:D$875,A64,'Base bordo CD'!A$2:A$875,B64,'Base bordo CD'!L$2:L$875,"LIMITAÇÃO INDÚSTRIA"),0)</f>
        <v>0</v>
      </c>
      <c r="K64" s="10">
        <f>IFERROR(SUMIFS('Base bordo CD'!M$2:M$875,'Base bordo CD'!D$2:D$875,A64,'Base bordo CD'!A$2:A$875,B64,'Base bordo CD'!L$2:L$875,"MAN CORRETIVA*"),0)+IFERROR(SUMIFS('Base bordo CD'!M$2:M$875,'Base bordo CD'!D$2:D$875,A64,'Base bordo CD'!A$2:A$875,B64,'Base bordo CD'!L$2:L$875,"AGUARDANDO MANUTENCAO*"),0)+IFERROR(SUMIFS('Base bordo CD'!M$2:M$875,'Base bordo CD'!D$2:D$875,A64,'Base bordo CD'!A$2:A$875,B64,'Base bordo CD'!L$2:L$875,"TROCA DE FAQUINHA"),0)+IFERROR(SUMIFS('Base bordo CD'!M$2:M$875,'Base bordo CD'!D$2:D$875,A64,'Base bordo CD'!A$2:A$875,B64,'Base bordo CD'!L$2:L$875,"LIMPEZA*"),0)</f>
        <v>0.11861111111111111</v>
      </c>
      <c r="L64" s="10">
        <f>IFERROR(SUMIFS('Base bordo CD'!M$2:M$875,'Base bordo CD'!D$2:D$875,A64,'Base bordo CD'!A$2:A$875,B64,'Base bordo CD'!L$2:L$875,"PATIO - RESERVA"),0)</f>
        <v>0</v>
      </c>
      <c r="M64" s="10">
        <f>IFERROR(SUMIFS('Base bordo CD'!M$2:M$875,'Base bordo CD'!D$2:D$875,A64,'Base bordo CD'!A$2:A$875,B64,'Base bordo CD'!L$2:L$875,"SEM APONTAMENTO"),0)</f>
        <v>5.7777777777777782E-2</v>
      </c>
      <c r="N64" s="10">
        <f>IFERROR(SUMIFS('Base bordo CD'!M$2:M$875,'Base bordo CD'!D$2:D$875,A64,'Base bordo CD'!A$2:A$875,B64,'Base bordo CD'!L$2:L$875,"FALTA DE CAMINHÃO"),0)+IFERROR(SUMIFS('Base bordo CD'!M$2:M$875,'Base bordo CD'!D$2:D$875,A64,'Base bordo CD'!A$2:A$875,B64,'Base bordo CD'!L$2:L$875,"FALTA DE COMBUSTIVEL"),0)+IFERROR(SUMIFS('Base bordo CD'!M$2:M$875,'Base bordo CD'!D$2:D$875,A64,'Base bordo CD'!A$2:A$875,B64,'Base bordo CD'!L$2:L$875,"FALTA DE MOTORIST*"),0)</f>
        <v>0</v>
      </c>
      <c r="O64" s="10">
        <f t="shared" si="10"/>
        <v>0</v>
      </c>
      <c r="P64" s="10">
        <f>IFERROR(SUMIFS('Base bordo CD'!M$2:M$875,'Base bordo CD'!D$2:D$875,A64,'Base bordo CD'!A$2:A$875,B64),0)</f>
        <v>24</v>
      </c>
      <c r="Q64" s="10">
        <f>IFERROR(SUMIFS('Base bordo CD'!O$2:O$875,'Base bordo CD'!D$2:D$875,A64,'Base bordo CD'!A$2:A$875,B64,'Base bordo CD'!L$2:L$875,"CORTE DE CANA MECANIZADO"),0)</f>
        <v>60362.080000000002</v>
      </c>
      <c r="R64" s="10">
        <f>IFERROR(SUMIFS('Base bordo CD'!Q$2:Q$875,'Base bordo CD'!D$2:D$875,A64,'Base bordo CD'!A$2:A$875,B64,'Base bordo CD'!L$2:L$875,"CORTE DE CANA MECANIZADO"),0)</f>
        <v>13440</v>
      </c>
      <c r="S64" s="30">
        <f t="shared" si="11"/>
        <v>4.4912261904761905</v>
      </c>
      <c r="T64" s="9">
        <f t="shared" si="12"/>
        <v>0.15555555555555556</v>
      </c>
      <c r="U64" s="9">
        <f t="shared" si="13"/>
        <v>6.1342592592592594E-2</v>
      </c>
      <c r="V64" s="9">
        <f t="shared" si="14"/>
        <v>0.82015046296296301</v>
      </c>
    </row>
    <row r="65" spans="1:22" hidden="1" x14ac:dyDescent="0.35">
      <c r="A65" s="52">
        <v>49588</v>
      </c>
      <c r="B65" s="31">
        <v>46123</v>
      </c>
      <c r="C65" s="7" t="s">
        <v>364</v>
      </c>
      <c r="D65" s="7">
        <v>352</v>
      </c>
      <c r="E65" s="10">
        <f>IFERROR(SUMIFS('Base bordo CD'!M$2:M$875,'Base bordo CD'!D$2:D$875,A65,'Base bordo CD'!A$2:A$875,B65,'Base bordo CD'!L$2:L$875,"CORTE DE CANA MECANIZADO"),0)</f>
        <v>3.7333333333333334</v>
      </c>
      <c r="F65" s="10">
        <f>IFERROR(SUMIFS('Base bordo CD'!M$2:M$875,'Base bordo CD'!D$2:D$875,A65,'Base bordo CD'!A$2:A$875,B65,'Base bordo CD'!L$2:L$875,"MANOBRA"),0)</f>
        <v>1.4722222222222223</v>
      </c>
      <c r="G65" s="10">
        <f>IFERROR(SUMIFS('Base bordo CD'!M$2:M$875,'Base bordo CD'!D$2:D$875,A65,'Base bordo CD'!A$2:A$875,B65,'Base bordo CD'!L$2:L$875,"DESLOCAMENTO"),0)</f>
        <v>0.58305555555555555</v>
      </c>
      <c r="H65" s="10">
        <f>IFERROR(SUMIFS('Base bordo CD'!M$2:M$875,'Base bordo CD'!D$2:D$875,A65,'Base bordo CD'!A$2:A$875,B65,'Base bordo CD'!L$2:L$875,"AGUARDANDO MANOBRA DE TRANSBORDO"),0)+IFERROR(SUMIFS('Base bordo CD'!M$2:M$875,'Base bordo CD'!D$2:D$875,A65,'Base bordo CD'!A$2:A$875,B65,'Base bordo CD'!L$2:L$875,"FALTA DE TRANSBORDO"),0)</f>
        <v>4.6388888888888889E-2</v>
      </c>
      <c r="I65" s="10">
        <f>IFERROR(SUMIFS('Base bordo CD'!M$2:M$875,'Base bordo CD'!D$2:D$875,A65,'Base bordo CD'!A$2:A$875,B65,'Base bordo CD'!L$2:L$875,"PARADA POR CONDICOES CLIMATICAS"),0)+IFERROR(SUMIFS('Base bordo CD'!M$2:M$875,'Base bordo CD'!D$2:D$875,A65,'Base bordo CD'!A$2:A$875,B65,'Base bordo CD'!L$2:L$875,"TEMPO INDETERMINADO"),0)</f>
        <v>17.988611111111112</v>
      </c>
      <c r="J65" s="10">
        <f>IFERROR(SUMIFS('Base bordo CD'!M$2:M$875,'Base bordo CD'!D$2:D$875,A65,'Base bordo CD'!A$2:A$875,B65,'Base bordo CD'!L$2:L$875,"LIMITAÇÃO INDÚSTRIA"),0)</f>
        <v>0</v>
      </c>
      <c r="K65" s="10">
        <f>IFERROR(SUMIFS('Base bordo CD'!M$2:M$875,'Base bordo CD'!D$2:D$875,A65,'Base bordo CD'!A$2:A$875,B65,'Base bordo CD'!L$2:L$875,"MAN CORRETIVA*"),0)+IFERROR(SUMIFS('Base bordo CD'!M$2:M$875,'Base bordo CD'!D$2:D$875,A65,'Base bordo CD'!A$2:A$875,B65,'Base bordo CD'!L$2:L$875,"AGUARDANDO MANUTENCAO*"),0)+IFERROR(SUMIFS('Base bordo CD'!M$2:M$875,'Base bordo CD'!D$2:D$875,A65,'Base bordo CD'!A$2:A$875,B65,'Base bordo CD'!L$2:L$875,"TROCA DE FAQUINHA"),0)+IFERROR(SUMIFS('Base bordo CD'!M$2:M$875,'Base bordo CD'!D$2:D$875,A65,'Base bordo CD'!A$2:A$875,B65,'Base bordo CD'!L$2:L$875,"LIMPEZA*"),0)</f>
        <v>0.11861111111111111</v>
      </c>
      <c r="L65" s="10">
        <f>IFERROR(SUMIFS('Base bordo CD'!M$2:M$875,'Base bordo CD'!D$2:D$875,A65,'Base bordo CD'!A$2:A$875,B65,'Base bordo CD'!L$2:L$875,"PATIO - RESERVA"),0)</f>
        <v>0</v>
      </c>
      <c r="M65" s="10">
        <f>IFERROR(SUMIFS('Base bordo CD'!M$2:M$875,'Base bordo CD'!D$2:D$875,A65,'Base bordo CD'!A$2:A$875,B65,'Base bordo CD'!L$2:L$875,"SEM APONTAMENTO"),0)</f>
        <v>5.7777777777777782E-2</v>
      </c>
      <c r="N65" s="10">
        <f>IFERROR(SUMIFS('Base bordo CD'!M$2:M$875,'Base bordo CD'!D$2:D$875,A65,'Base bordo CD'!A$2:A$875,B65,'Base bordo CD'!L$2:L$875,"FALTA DE CAMINHÃO"),0)+IFERROR(SUMIFS('Base bordo CD'!M$2:M$875,'Base bordo CD'!D$2:D$875,A65,'Base bordo CD'!A$2:A$875,B65,'Base bordo CD'!L$2:L$875,"FALTA DE COMBUSTIVEL"),0)+IFERROR(SUMIFS('Base bordo CD'!M$2:M$875,'Base bordo CD'!D$2:D$875,A65,'Base bordo CD'!A$2:A$875,B65,'Base bordo CD'!L$2:L$875,"FALTA DE MOTORIST*"),0)</f>
        <v>0</v>
      </c>
      <c r="O65" s="10">
        <f t="shared" si="10"/>
        <v>0</v>
      </c>
      <c r="P65" s="10">
        <f>IFERROR(SUMIFS('Base bordo CD'!M$2:M$875,'Base bordo CD'!D$2:D$875,A65,'Base bordo CD'!A$2:A$875,B65),0)</f>
        <v>24</v>
      </c>
      <c r="Q65" s="10">
        <f>IFERROR(SUMIFS('Base bordo CD'!O$2:O$875,'Base bordo CD'!D$2:D$875,A65,'Base bordo CD'!A$2:A$875,B65,'Base bordo CD'!L$2:L$875,"CORTE DE CANA MECANIZADO"),0)</f>
        <v>60362.080000000002</v>
      </c>
      <c r="R65" s="10">
        <f>IFERROR(SUMIFS('Base bordo CD'!Q$2:Q$875,'Base bordo CD'!D$2:D$875,A65,'Base bordo CD'!A$2:A$875,B65,'Base bordo CD'!L$2:L$875,"CORTE DE CANA MECANIZADO"),0)</f>
        <v>13440</v>
      </c>
      <c r="S65" s="30">
        <f t="shared" si="11"/>
        <v>4.4912261904761905</v>
      </c>
      <c r="T65" s="9">
        <f t="shared" si="12"/>
        <v>0.15555555555555556</v>
      </c>
      <c r="U65" s="9">
        <f t="shared" si="13"/>
        <v>6.1342592592592594E-2</v>
      </c>
      <c r="V65" s="9">
        <f t="shared" si="14"/>
        <v>0.82015046296296301</v>
      </c>
    </row>
    <row r="66" spans="1:22" hidden="1" x14ac:dyDescent="0.35">
      <c r="A66" s="52">
        <v>49588</v>
      </c>
      <c r="B66" s="31">
        <v>46123</v>
      </c>
      <c r="C66" s="7" t="s">
        <v>364</v>
      </c>
      <c r="D66" s="7">
        <v>352</v>
      </c>
      <c r="E66" s="10">
        <f>IFERROR(SUMIFS('Base bordo CD'!M$2:M$875,'Base bordo CD'!D$2:D$875,A66,'Base bordo CD'!A$2:A$875,B66,'Base bordo CD'!L$2:L$875,"CORTE DE CANA MECANIZADO"),0)</f>
        <v>3.7333333333333334</v>
      </c>
      <c r="F66" s="10">
        <f>IFERROR(SUMIFS('Base bordo CD'!M$2:M$875,'Base bordo CD'!D$2:D$875,A66,'Base bordo CD'!A$2:A$875,B66,'Base bordo CD'!L$2:L$875,"MANOBRA"),0)</f>
        <v>1.4722222222222223</v>
      </c>
      <c r="G66" s="10">
        <f>IFERROR(SUMIFS('Base bordo CD'!M$2:M$875,'Base bordo CD'!D$2:D$875,A66,'Base bordo CD'!A$2:A$875,B66,'Base bordo CD'!L$2:L$875,"DESLOCAMENTO"),0)</f>
        <v>0.58305555555555555</v>
      </c>
      <c r="H66" s="10">
        <f>IFERROR(SUMIFS('Base bordo CD'!M$2:M$875,'Base bordo CD'!D$2:D$875,A66,'Base bordo CD'!A$2:A$875,B66,'Base bordo CD'!L$2:L$875,"AGUARDANDO MANOBRA DE TRANSBORDO"),0)+IFERROR(SUMIFS('Base bordo CD'!M$2:M$875,'Base bordo CD'!D$2:D$875,A66,'Base bordo CD'!A$2:A$875,B66,'Base bordo CD'!L$2:L$875,"FALTA DE TRANSBORDO"),0)</f>
        <v>4.6388888888888889E-2</v>
      </c>
      <c r="I66" s="10">
        <f>IFERROR(SUMIFS('Base bordo CD'!M$2:M$875,'Base bordo CD'!D$2:D$875,A66,'Base bordo CD'!A$2:A$875,B66,'Base bordo CD'!L$2:L$875,"PARADA POR CONDICOES CLIMATICAS"),0)+IFERROR(SUMIFS('Base bordo CD'!M$2:M$875,'Base bordo CD'!D$2:D$875,A66,'Base bordo CD'!A$2:A$875,B66,'Base bordo CD'!L$2:L$875,"TEMPO INDETERMINADO"),0)</f>
        <v>17.988611111111112</v>
      </c>
      <c r="J66" s="10">
        <f>IFERROR(SUMIFS('Base bordo CD'!M$2:M$875,'Base bordo CD'!D$2:D$875,A66,'Base bordo CD'!A$2:A$875,B66,'Base bordo CD'!L$2:L$875,"LIMITAÇÃO INDÚSTRIA"),0)</f>
        <v>0</v>
      </c>
      <c r="K66" s="10">
        <f>IFERROR(SUMIFS('Base bordo CD'!M$2:M$875,'Base bordo CD'!D$2:D$875,A66,'Base bordo CD'!A$2:A$875,B66,'Base bordo CD'!L$2:L$875,"MAN CORRETIVA*"),0)+IFERROR(SUMIFS('Base bordo CD'!M$2:M$875,'Base bordo CD'!D$2:D$875,A66,'Base bordo CD'!A$2:A$875,B66,'Base bordo CD'!L$2:L$875,"AGUARDANDO MANUTENCAO*"),0)+IFERROR(SUMIFS('Base bordo CD'!M$2:M$875,'Base bordo CD'!D$2:D$875,A66,'Base bordo CD'!A$2:A$875,B66,'Base bordo CD'!L$2:L$875,"TROCA DE FAQUINHA"),0)+IFERROR(SUMIFS('Base bordo CD'!M$2:M$875,'Base bordo CD'!D$2:D$875,A66,'Base bordo CD'!A$2:A$875,B66,'Base bordo CD'!L$2:L$875,"LIMPEZA*"),0)</f>
        <v>0.11861111111111111</v>
      </c>
      <c r="L66" s="10">
        <f>IFERROR(SUMIFS('Base bordo CD'!M$2:M$875,'Base bordo CD'!D$2:D$875,A66,'Base bordo CD'!A$2:A$875,B66,'Base bordo CD'!L$2:L$875,"PATIO - RESERVA"),0)</f>
        <v>0</v>
      </c>
      <c r="M66" s="10">
        <f>IFERROR(SUMIFS('Base bordo CD'!M$2:M$875,'Base bordo CD'!D$2:D$875,A66,'Base bordo CD'!A$2:A$875,B66,'Base bordo CD'!L$2:L$875,"SEM APONTAMENTO"),0)</f>
        <v>5.7777777777777782E-2</v>
      </c>
      <c r="N66" s="10">
        <f>IFERROR(SUMIFS('Base bordo CD'!M$2:M$875,'Base bordo CD'!D$2:D$875,A66,'Base bordo CD'!A$2:A$875,B66,'Base bordo CD'!L$2:L$875,"FALTA DE CAMINHÃO"),0)+IFERROR(SUMIFS('Base bordo CD'!M$2:M$875,'Base bordo CD'!D$2:D$875,A66,'Base bordo CD'!A$2:A$875,B66,'Base bordo CD'!L$2:L$875,"FALTA DE COMBUSTIVEL"),0)+IFERROR(SUMIFS('Base bordo CD'!M$2:M$875,'Base bordo CD'!D$2:D$875,A66,'Base bordo CD'!A$2:A$875,B66,'Base bordo CD'!L$2:L$875,"FALTA DE MOTORIST*"),0)</f>
        <v>0</v>
      </c>
      <c r="O66" s="10">
        <f t="shared" si="10"/>
        <v>0</v>
      </c>
      <c r="P66" s="10">
        <f>IFERROR(SUMIFS('Base bordo CD'!M$2:M$875,'Base bordo CD'!D$2:D$875,A66,'Base bordo CD'!A$2:A$875,B66),0)</f>
        <v>24</v>
      </c>
      <c r="Q66" s="10">
        <f>IFERROR(SUMIFS('Base bordo CD'!O$2:O$875,'Base bordo CD'!D$2:D$875,A66,'Base bordo CD'!A$2:A$875,B66,'Base bordo CD'!L$2:L$875,"CORTE DE CANA MECANIZADO"),0)</f>
        <v>60362.080000000002</v>
      </c>
      <c r="R66" s="10">
        <f>IFERROR(SUMIFS('Base bordo CD'!Q$2:Q$875,'Base bordo CD'!D$2:D$875,A66,'Base bordo CD'!A$2:A$875,B66,'Base bordo CD'!L$2:L$875,"CORTE DE CANA MECANIZADO"),0)</f>
        <v>13440</v>
      </c>
      <c r="S66" s="30">
        <f t="shared" si="11"/>
        <v>4.4912261904761905</v>
      </c>
      <c r="T66" s="9">
        <f t="shared" si="12"/>
        <v>0.15555555555555556</v>
      </c>
      <c r="U66" s="9">
        <f t="shared" si="13"/>
        <v>6.1342592592592594E-2</v>
      </c>
      <c r="V66" s="9">
        <f t="shared" si="14"/>
        <v>0.82015046296296301</v>
      </c>
    </row>
    <row r="67" spans="1:22" hidden="1" x14ac:dyDescent="0.35">
      <c r="A67" s="52">
        <v>49588</v>
      </c>
      <c r="B67" s="31">
        <v>46123</v>
      </c>
      <c r="C67" s="7" t="s">
        <v>364</v>
      </c>
      <c r="D67" s="7">
        <v>352</v>
      </c>
      <c r="E67" s="10">
        <f>IFERROR(SUMIFS('Base bordo CD'!M$2:M$875,'Base bordo CD'!D$2:D$875,A67,'Base bordo CD'!A$2:A$875,B67,'Base bordo CD'!L$2:L$875,"CORTE DE CANA MECANIZADO"),0)</f>
        <v>3.7333333333333334</v>
      </c>
      <c r="F67" s="10">
        <f>IFERROR(SUMIFS('Base bordo CD'!M$2:M$875,'Base bordo CD'!D$2:D$875,A67,'Base bordo CD'!A$2:A$875,B67,'Base bordo CD'!L$2:L$875,"MANOBRA"),0)</f>
        <v>1.4722222222222223</v>
      </c>
      <c r="G67" s="10">
        <f>IFERROR(SUMIFS('Base bordo CD'!M$2:M$875,'Base bordo CD'!D$2:D$875,A67,'Base bordo CD'!A$2:A$875,B67,'Base bordo CD'!L$2:L$875,"DESLOCAMENTO"),0)</f>
        <v>0.58305555555555555</v>
      </c>
      <c r="H67" s="10">
        <f>IFERROR(SUMIFS('Base bordo CD'!M$2:M$875,'Base bordo CD'!D$2:D$875,A67,'Base bordo CD'!A$2:A$875,B67,'Base bordo CD'!L$2:L$875,"AGUARDANDO MANOBRA DE TRANSBORDO"),0)+IFERROR(SUMIFS('Base bordo CD'!M$2:M$875,'Base bordo CD'!D$2:D$875,A67,'Base bordo CD'!A$2:A$875,B67,'Base bordo CD'!L$2:L$875,"FALTA DE TRANSBORDO"),0)</f>
        <v>4.6388888888888889E-2</v>
      </c>
      <c r="I67" s="10">
        <f>IFERROR(SUMIFS('Base bordo CD'!M$2:M$875,'Base bordo CD'!D$2:D$875,A67,'Base bordo CD'!A$2:A$875,B67,'Base bordo CD'!L$2:L$875,"PARADA POR CONDICOES CLIMATICAS"),0)+IFERROR(SUMIFS('Base bordo CD'!M$2:M$875,'Base bordo CD'!D$2:D$875,A67,'Base bordo CD'!A$2:A$875,B67,'Base bordo CD'!L$2:L$875,"TEMPO INDETERMINADO"),0)</f>
        <v>17.988611111111112</v>
      </c>
      <c r="J67" s="10">
        <f>IFERROR(SUMIFS('Base bordo CD'!M$2:M$875,'Base bordo CD'!D$2:D$875,A67,'Base bordo CD'!A$2:A$875,B67,'Base bordo CD'!L$2:L$875,"LIMITAÇÃO INDÚSTRIA"),0)</f>
        <v>0</v>
      </c>
      <c r="K67" s="10">
        <f>IFERROR(SUMIFS('Base bordo CD'!M$2:M$875,'Base bordo CD'!D$2:D$875,A67,'Base bordo CD'!A$2:A$875,B67,'Base bordo CD'!L$2:L$875,"MAN CORRETIVA*"),0)+IFERROR(SUMIFS('Base bordo CD'!M$2:M$875,'Base bordo CD'!D$2:D$875,A67,'Base bordo CD'!A$2:A$875,B67,'Base bordo CD'!L$2:L$875,"AGUARDANDO MANUTENCAO*"),0)+IFERROR(SUMIFS('Base bordo CD'!M$2:M$875,'Base bordo CD'!D$2:D$875,A67,'Base bordo CD'!A$2:A$875,B67,'Base bordo CD'!L$2:L$875,"TROCA DE FAQUINHA"),0)+IFERROR(SUMIFS('Base bordo CD'!M$2:M$875,'Base bordo CD'!D$2:D$875,A67,'Base bordo CD'!A$2:A$875,B67,'Base bordo CD'!L$2:L$875,"LIMPEZA*"),0)</f>
        <v>0.11861111111111111</v>
      </c>
      <c r="L67" s="10">
        <f>IFERROR(SUMIFS('Base bordo CD'!M$2:M$875,'Base bordo CD'!D$2:D$875,A67,'Base bordo CD'!A$2:A$875,B67,'Base bordo CD'!L$2:L$875,"PATIO - RESERVA"),0)</f>
        <v>0</v>
      </c>
      <c r="M67" s="10">
        <f>IFERROR(SUMIFS('Base bordo CD'!M$2:M$875,'Base bordo CD'!D$2:D$875,A67,'Base bordo CD'!A$2:A$875,B67,'Base bordo CD'!L$2:L$875,"SEM APONTAMENTO"),0)</f>
        <v>5.7777777777777782E-2</v>
      </c>
      <c r="N67" s="10">
        <f>IFERROR(SUMIFS('Base bordo CD'!M$2:M$875,'Base bordo CD'!D$2:D$875,A67,'Base bordo CD'!A$2:A$875,B67,'Base bordo CD'!L$2:L$875,"FALTA DE CAMINHÃO"),0)+IFERROR(SUMIFS('Base bordo CD'!M$2:M$875,'Base bordo CD'!D$2:D$875,A67,'Base bordo CD'!A$2:A$875,B67,'Base bordo CD'!L$2:L$875,"FALTA DE COMBUSTIVEL"),0)+IFERROR(SUMIFS('Base bordo CD'!M$2:M$875,'Base bordo CD'!D$2:D$875,A67,'Base bordo CD'!A$2:A$875,B67,'Base bordo CD'!L$2:L$875,"FALTA DE MOTORIST*"),0)</f>
        <v>0</v>
      </c>
      <c r="O67" s="10">
        <f t="shared" si="10"/>
        <v>0</v>
      </c>
      <c r="P67" s="10">
        <f>IFERROR(SUMIFS('Base bordo CD'!M$2:M$875,'Base bordo CD'!D$2:D$875,A67,'Base bordo CD'!A$2:A$875,B67),0)</f>
        <v>24</v>
      </c>
      <c r="Q67" s="10">
        <f>IFERROR(SUMIFS('Base bordo CD'!O$2:O$875,'Base bordo CD'!D$2:D$875,A67,'Base bordo CD'!A$2:A$875,B67,'Base bordo CD'!L$2:L$875,"CORTE DE CANA MECANIZADO"),0)</f>
        <v>60362.080000000002</v>
      </c>
      <c r="R67" s="10">
        <f>IFERROR(SUMIFS('Base bordo CD'!Q$2:Q$875,'Base bordo CD'!D$2:D$875,A67,'Base bordo CD'!A$2:A$875,B67,'Base bordo CD'!L$2:L$875,"CORTE DE CANA MECANIZADO"),0)</f>
        <v>13440</v>
      </c>
      <c r="S67" s="30">
        <f t="shared" si="11"/>
        <v>4.4912261904761905</v>
      </c>
      <c r="T67" s="9">
        <f t="shared" si="12"/>
        <v>0.15555555555555556</v>
      </c>
      <c r="U67" s="9">
        <f t="shared" si="13"/>
        <v>6.1342592592592594E-2</v>
      </c>
      <c r="V67" s="9">
        <f t="shared" si="14"/>
        <v>0.82015046296296301</v>
      </c>
    </row>
    <row r="68" spans="1:22" hidden="1" x14ac:dyDescent="0.35">
      <c r="A68" s="52">
        <v>49588</v>
      </c>
      <c r="B68" s="31">
        <v>46123</v>
      </c>
      <c r="C68" s="7" t="s">
        <v>364</v>
      </c>
      <c r="D68" s="7">
        <v>352</v>
      </c>
      <c r="E68" s="10">
        <f>IFERROR(SUMIFS('Base bordo CD'!M$2:M$875,'Base bordo CD'!D$2:D$875,A68,'Base bordo CD'!A$2:A$875,B68,'Base bordo CD'!L$2:L$875,"CORTE DE CANA MECANIZADO"),0)</f>
        <v>3.7333333333333334</v>
      </c>
      <c r="F68" s="10">
        <f>IFERROR(SUMIFS('Base bordo CD'!M$2:M$875,'Base bordo CD'!D$2:D$875,A68,'Base bordo CD'!A$2:A$875,B68,'Base bordo CD'!L$2:L$875,"MANOBRA"),0)</f>
        <v>1.4722222222222223</v>
      </c>
      <c r="G68" s="10">
        <f>IFERROR(SUMIFS('Base bordo CD'!M$2:M$875,'Base bordo CD'!D$2:D$875,A68,'Base bordo CD'!A$2:A$875,B68,'Base bordo CD'!L$2:L$875,"DESLOCAMENTO"),0)</f>
        <v>0.58305555555555555</v>
      </c>
      <c r="H68" s="10">
        <f>IFERROR(SUMIFS('Base bordo CD'!M$2:M$875,'Base bordo CD'!D$2:D$875,A68,'Base bordo CD'!A$2:A$875,B68,'Base bordo CD'!L$2:L$875,"AGUARDANDO MANOBRA DE TRANSBORDO"),0)+IFERROR(SUMIFS('Base bordo CD'!M$2:M$875,'Base bordo CD'!D$2:D$875,A68,'Base bordo CD'!A$2:A$875,B68,'Base bordo CD'!L$2:L$875,"FALTA DE TRANSBORDO"),0)</f>
        <v>4.6388888888888889E-2</v>
      </c>
      <c r="I68" s="10">
        <f>IFERROR(SUMIFS('Base bordo CD'!M$2:M$875,'Base bordo CD'!D$2:D$875,A68,'Base bordo CD'!A$2:A$875,B68,'Base bordo CD'!L$2:L$875,"PARADA POR CONDICOES CLIMATICAS"),0)+IFERROR(SUMIFS('Base bordo CD'!M$2:M$875,'Base bordo CD'!D$2:D$875,A68,'Base bordo CD'!A$2:A$875,B68,'Base bordo CD'!L$2:L$875,"TEMPO INDETERMINADO"),0)</f>
        <v>17.988611111111112</v>
      </c>
      <c r="J68" s="10">
        <f>IFERROR(SUMIFS('Base bordo CD'!M$2:M$875,'Base bordo CD'!D$2:D$875,A68,'Base bordo CD'!A$2:A$875,B68,'Base bordo CD'!L$2:L$875,"LIMITAÇÃO INDÚSTRIA"),0)</f>
        <v>0</v>
      </c>
      <c r="K68" s="10">
        <f>IFERROR(SUMIFS('Base bordo CD'!M$2:M$875,'Base bordo CD'!D$2:D$875,A68,'Base bordo CD'!A$2:A$875,B68,'Base bordo CD'!L$2:L$875,"MAN CORRETIVA*"),0)+IFERROR(SUMIFS('Base bordo CD'!M$2:M$875,'Base bordo CD'!D$2:D$875,A68,'Base bordo CD'!A$2:A$875,B68,'Base bordo CD'!L$2:L$875,"AGUARDANDO MANUTENCAO*"),0)+IFERROR(SUMIFS('Base bordo CD'!M$2:M$875,'Base bordo CD'!D$2:D$875,A68,'Base bordo CD'!A$2:A$875,B68,'Base bordo CD'!L$2:L$875,"TROCA DE FAQUINHA"),0)+IFERROR(SUMIFS('Base bordo CD'!M$2:M$875,'Base bordo CD'!D$2:D$875,A68,'Base bordo CD'!A$2:A$875,B68,'Base bordo CD'!L$2:L$875,"LIMPEZA*"),0)</f>
        <v>0.11861111111111111</v>
      </c>
      <c r="L68" s="10">
        <f>IFERROR(SUMIFS('Base bordo CD'!M$2:M$875,'Base bordo CD'!D$2:D$875,A68,'Base bordo CD'!A$2:A$875,B68,'Base bordo CD'!L$2:L$875,"PATIO - RESERVA"),0)</f>
        <v>0</v>
      </c>
      <c r="M68" s="10">
        <f>IFERROR(SUMIFS('Base bordo CD'!M$2:M$875,'Base bordo CD'!D$2:D$875,A68,'Base bordo CD'!A$2:A$875,B68,'Base bordo CD'!L$2:L$875,"SEM APONTAMENTO"),0)</f>
        <v>5.7777777777777782E-2</v>
      </c>
      <c r="N68" s="10">
        <f>IFERROR(SUMIFS('Base bordo CD'!M$2:M$875,'Base bordo CD'!D$2:D$875,A68,'Base bordo CD'!A$2:A$875,B68,'Base bordo CD'!L$2:L$875,"FALTA DE CAMINHÃO"),0)+IFERROR(SUMIFS('Base bordo CD'!M$2:M$875,'Base bordo CD'!D$2:D$875,A68,'Base bordo CD'!A$2:A$875,B68,'Base bordo CD'!L$2:L$875,"FALTA DE COMBUSTIVEL"),0)+IFERROR(SUMIFS('Base bordo CD'!M$2:M$875,'Base bordo CD'!D$2:D$875,A68,'Base bordo CD'!A$2:A$875,B68,'Base bordo CD'!L$2:L$875,"FALTA DE MOTORIST*"),0)</f>
        <v>0</v>
      </c>
      <c r="O68" s="10">
        <f t="shared" si="10"/>
        <v>0</v>
      </c>
      <c r="P68" s="10">
        <f>IFERROR(SUMIFS('Base bordo CD'!M$2:M$875,'Base bordo CD'!D$2:D$875,A68,'Base bordo CD'!A$2:A$875,B68),0)</f>
        <v>24</v>
      </c>
      <c r="Q68" s="10">
        <f>IFERROR(SUMIFS('Base bordo CD'!O$2:O$875,'Base bordo CD'!D$2:D$875,A68,'Base bordo CD'!A$2:A$875,B68,'Base bordo CD'!L$2:L$875,"CORTE DE CANA MECANIZADO"),0)</f>
        <v>60362.080000000002</v>
      </c>
      <c r="R68" s="10">
        <f>IFERROR(SUMIFS('Base bordo CD'!Q$2:Q$875,'Base bordo CD'!D$2:D$875,A68,'Base bordo CD'!A$2:A$875,B68,'Base bordo CD'!L$2:L$875,"CORTE DE CANA MECANIZADO"),0)</f>
        <v>13440</v>
      </c>
      <c r="S68" s="30">
        <f t="shared" si="11"/>
        <v>4.4912261904761905</v>
      </c>
      <c r="T68" s="9">
        <f t="shared" si="12"/>
        <v>0.15555555555555556</v>
      </c>
      <c r="U68" s="9">
        <f t="shared" si="13"/>
        <v>6.1342592592592594E-2</v>
      </c>
      <c r="V68" s="9">
        <f t="shared" si="14"/>
        <v>0.82015046296296301</v>
      </c>
    </row>
    <row r="69" spans="1:22" hidden="1" x14ac:dyDescent="0.35">
      <c r="A69" s="52">
        <v>49588</v>
      </c>
      <c r="B69" s="31">
        <v>46123</v>
      </c>
      <c r="C69" s="7" t="s">
        <v>364</v>
      </c>
      <c r="D69" s="7">
        <v>352</v>
      </c>
      <c r="E69" s="10">
        <f>IFERROR(SUMIFS('Base bordo CD'!M$2:M$875,'Base bordo CD'!D$2:D$875,A69,'Base bordo CD'!A$2:A$875,B69,'Base bordo CD'!L$2:L$875,"CORTE DE CANA MECANIZADO"),0)</f>
        <v>3.7333333333333334</v>
      </c>
      <c r="F69" s="10">
        <f>IFERROR(SUMIFS('Base bordo CD'!M$2:M$875,'Base bordo CD'!D$2:D$875,A69,'Base bordo CD'!A$2:A$875,B69,'Base bordo CD'!L$2:L$875,"MANOBRA"),0)</f>
        <v>1.4722222222222223</v>
      </c>
      <c r="G69" s="10">
        <f>IFERROR(SUMIFS('Base bordo CD'!M$2:M$875,'Base bordo CD'!D$2:D$875,A69,'Base bordo CD'!A$2:A$875,B69,'Base bordo CD'!L$2:L$875,"DESLOCAMENTO"),0)</f>
        <v>0.58305555555555555</v>
      </c>
      <c r="H69" s="10">
        <f>IFERROR(SUMIFS('Base bordo CD'!M$2:M$875,'Base bordo CD'!D$2:D$875,A69,'Base bordo CD'!A$2:A$875,B69,'Base bordo CD'!L$2:L$875,"AGUARDANDO MANOBRA DE TRANSBORDO"),0)+IFERROR(SUMIFS('Base bordo CD'!M$2:M$875,'Base bordo CD'!D$2:D$875,A69,'Base bordo CD'!A$2:A$875,B69,'Base bordo CD'!L$2:L$875,"FALTA DE TRANSBORDO"),0)</f>
        <v>4.6388888888888889E-2</v>
      </c>
      <c r="I69" s="10">
        <f>IFERROR(SUMIFS('Base bordo CD'!M$2:M$875,'Base bordo CD'!D$2:D$875,A69,'Base bordo CD'!A$2:A$875,B69,'Base bordo CD'!L$2:L$875,"PARADA POR CONDICOES CLIMATICAS"),0)+IFERROR(SUMIFS('Base bordo CD'!M$2:M$875,'Base bordo CD'!D$2:D$875,A69,'Base bordo CD'!A$2:A$875,B69,'Base bordo CD'!L$2:L$875,"TEMPO INDETERMINADO"),0)</f>
        <v>17.988611111111112</v>
      </c>
      <c r="J69" s="10">
        <f>IFERROR(SUMIFS('Base bordo CD'!M$2:M$875,'Base bordo CD'!D$2:D$875,A69,'Base bordo CD'!A$2:A$875,B69,'Base bordo CD'!L$2:L$875,"LIMITAÇÃO INDÚSTRIA"),0)</f>
        <v>0</v>
      </c>
      <c r="K69" s="10">
        <f>IFERROR(SUMIFS('Base bordo CD'!M$2:M$875,'Base bordo CD'!D$2:D$875,A69,'Base bordo CD'!A$2:A$875,B69,'Base bordo CD'!L$2:L$875,"MAN CORRETIVA*"),0)+IFERROR(SUMIFS('Base bordo CD'!M$2:M$875,'Base bordo CD'!D$2:D$875,A69,'Base bordo CD'!A$2:A$875,B69,'Base bordo CD'!L$2:L$875,"AGUARDANDO MANUTENCAO*"),0)+IFERROR(SUMIFS('Base bordo CD'!M$2:M$875,'Base bordo CD'!D$2:D$875,A69,'Base bordo CD'!A$2:A$875,B69,'Base bordo CD'!L$2:L$875,"TROCA DE FAQUINHA"),0)+IFERROR(SUMIFS('Base bordo CD'!M$2:M$875,'Base bordo CD'!D$2:D$875,A69,'Base bordo CD'!A$2:A$875,B69,'Base bordo CD'!L$2:L$875,"LIMPEZA*"),0)</f>
        <v>0.11861111111111111</v>
      </c>
      <c r="L69" s="10">
        <f>IFERROR(SUMIFS('Base bordo CD'!M$2:M$875,'Base bordo CD'!D$2:D$875,A69,'Base bordo CD'!A$2:A$875,B69,'Base bordo CD'!L$2:L$875,"PATIO - RESERVA"),0)</f>
        <v>0</v>
      </c>
      <c r="M69" s="10">
        <f>IFERROR(SUMIFS('Base bordo CD'!M$2:M$875,'Base bordo CD'!D$2:D$875,A69,'Base bordo CD'!A$2:A$875,B69,'Base bordo CD'!L$2:L$875,"SEM APONTAMENTO"),0)</f>
        <v>5.7777777777777782E-2</v>
      </c>
      <c r="N69" s="10">
        <f>IFERROR(SUMIFS('Base bordo CD'!M$2:M$875,'Base bordo CD'!D$2:D$875,A69,'Base bordo CD'!A$2:A$875,B69,'Base bordo CD'!L$2:L$875,"FALTA DE CAMINHÃO"),0)+IFERROR(SUMIFS('Base bordo CD'!M$2:M$875,'Base bordo CD'!D$2:D$875,A69,'Base bordo CD'!A$2:A$875,B69,'Base bordo CD'!L$2:L$875,"FALTA DE COMBUSTIVEL"),0)+IFERROR(SUMIFS('Base bordo CD'!M$2:M$875,'Base bordo CD'!D$2:D$875,A69,'Base bordo CD'!A$2:A$875,B69,'Base bordo CD'!L$2:L$875,"FALTA DE MOTORIST*"),0)</f>
        <v>0</v>
      </c>
      <c r="O69" s="10">
        <f t="shared" si="10"/>
        <v>0</v>
      </c>
      <c r="P69" s="10">
        <f>IFERROR(SUMIFS('Base bordo CD'!M$2:M$875,'Base bordo CD'!D$2:D$875,A69,'Base bordo CD'!A$2:A$875,B69),0)</f>
        <v>24</v>
      </c>
      <c r="Q69" s="10">
        <f>IFERROR(SUMIFS('Base bordo CD'!O$2:O$875,'Base bordo CD'!D$2:D$875,A69,'Base bordo CD'!A$2:A$875,B69,'Base bordo CD'!L$2:L$875,"CORTE DE CANA MECANIZADO"),0)</f>
        <v>60362.080000000002</v>
      </c>
      <c r="R69" s="10">
        <f>IFERROR(SUMIFS('Base bordo CD'!Q$2:Q$875,'Base bordo CD'!D$2:D$875,A69,'Base bordo CD'!A$2:A$875,B69,'Base bordo CD'!L$2:L$875,"CORTE DE CANA MECANIZADO"),0)</f>
        <v>13440</v>
      </c>
      <c r="S69" s="30">
        <f t="shared" si="11"/>
        <v>4.4912261904761905</v>
      </c>
      <c r="T69" s="9">
        <f t="shared" si="12"/>
        <v>0.15555555555555556</v>
      </c>
      <c r="U69" s="9">
        <f t="shared" si="13"/>
        <v>6.1342592592592594E-2</v>
      </c>
      <c r="V69" s="9">
        <f t="shared" si="14"/>
        <v>0.82015046296296301</v>
      </c>
    </row>
    <row r="70" spans="1:22" hidden="1" x14ac:dyDescent="0.35">
      <c r="A70" s="52">
        <v>49588</v>
      </c>
      <c r="B70" s="31">
        <v>46123</v>
      </c>
      <c r="C70" s="7" t="s">
        <v>364</v>
      </c>
      <c r="D70" s="7">
        <v>352</v>
      </c>
      <c r="E70" s="10">
        <f>IFERROR(SUMIFS('Base bordo CD'!M$2:M$875,'Base bordo CD'!D$2:D$875,A70,'Base bordo CD'!A$2:A$875,B70,'Base bordo CD'!L$2:L$875,"CORTE DE CANA MECANIZADO"),0)</f>
        <v>3.7333333333333334</v>
      </c>
      <c r="F70" s="10">
        <f>IFERROR(SUMIFS('Base bordo CD'!M$2:M$875,'Base bordo CD'!D$2:D$875,A70,'Base bordo CD'!A$2:A$875,B70,'Base bordo CD'!L$2:L$875,"MANOBRA"),0)</f>
        <v>1.4722222222222223</v>
      </c>
      <c r="G70" s="10">
        <f>IFERROR(SUMIFS('Base bordo CD'!M$2:M$875,'Base bordo CD'!D$2:D$875,A70,'Base bordo CD'!A$2:A$875,B70,'Base bordo CD'!L$2:L$875,"DESLOCAMENTO"),0)</f>
        <v>0.58305555555555555</v>
      </c>
      <c r="H70" s="10">
        <f>IFERROR(SUMIFS('Base bordo CD'!M$2:M$875,'Base bordo CD'!D$2:D$875,A70,'Base bordo CD'!A$2:A$875,B70,'Base bordo CD'!L$2:L$875,"AGUARDANDO MANOBRA DE TRANSBORDO"),0)+IFERROR(SUMIFS('Base bordo CD'!M$2:M$875,'Base bordo CD'!D$2:D$875,A70,'Base bordo CD'!A$2:A$875,B70,'Base bordo CD'!L$2:L$875,"FALTA DE TRANSBORDO"),0)</f>
        <v>4.6388888888888889E-2</v>
      </c>
      <c r="I70" s="10">
        <f>IFERROR(SUMIFS('Base bordo CD'!M$2:M$875,'Base bordo CD'!D$2:D$875,A70,'Base bordo CD'!A$2:A$875,B70,'Base bordo CD'!L$2:L$875,"PARADA POR CONDICOES CLIMATICAS"),0)+IFERROR(SUMIFS('Base bordo CD'!M$2:M$875,'Base bordo CD'!D$2:D$875,A70,'Base bordo CD'!A$2:A$875,B70,'Base bordo CD'!L$2:L$875,"TEMPO INDETERMINADO"),0)</f>
        <v>17.988611111111112</v>
      </c>
      <c r="J70" s="10">
        <f>IFERROR(SUMIFS('Base bordo CD'!M$2:M$875,'Base bordo CD'!D$2:D$875,A70,'Base bordo CD'!A$2:A$875,B70,'Base bordo CD'!L$2:L$875,"LIMITAÇÃO INDÚSTRIA"),0)</f>
        <v>0</v>
      </c>
      <c r="K70" s="10">
        <f>IFERROR(SUMIFS('Base bordo CD'!M$2:M$875,'Base bordo CD'!D$2:D$875,A70,'Base bordo CD'!A$2:A$875,B70,'Base bordo CD'!L$2:L$875,"MAN CORRETIVA*"),0)+IFERROR(SUMIFS('Base bordo CD'!M$2:M$875,'Base bordo CD'!D$2:D$875,A70,'Base bordo CD'!A$2:A$875,B70,'Base bordo CD'!L$2:L$875,"AGUARDANDO MANUTENCAO*"),0)+IFERROR(SUMIFS('Base bordo CD'!M$2:M$875,'Base bordo CD'!D$2:D$875,A70,'Base bordo CD'!A$2:A$875,B70,'Base bordo CD'!L$2:L$875,"TROCA DE FAQUINHA"),0)+IFERROR(SUMIFS('Base bordo CD'!M$2:M$875,'Base bordo CD'!D$2:D$875,A70,'Base bordo CD'!A$2:A$875,B70,'Base bordo CD'!L$2:L$875,"LIMPEZA*"),0)</f>
        <v>0.11861111111111111</v>
      </c>
      <c r="L70" s="10">
        <f>IFERROR(SUMIFS('Base bordo CD'!M$2:M$875,'Base bordo CD'!D$2:D$875,A70,'Base bordo CD'!A$2:A$875,B70,'Base bordo CD'!L$2:L$875,"PATIO - RESERVA"),0)</f>
        <v>0</v>
      </c>
      <c r="M70" s="10">
        <f>IFERROR(SUMIFS('Base bordo CD'!M$2:M$875,'Base bordo CD'!D$2:D$875,A70,'Base bordo CD'!A$2:A$875,B70,'Base bordo CD'!L$2:L$875,"SEM APONTAMENTO"),0)</f>
        <v>5.7777777777777782E-2</v>
      </c>
      <c r="N70" s="10">
        <f>IFERROR(SUMIFS('Base bordo CD'!M$2:M$875,'Base bordo CD'!D$2:D$875,A70,'Base bordo CD'!A$2:A$875,B70,'Base bordo CD'!L$2:L$875,"FALTA DE CAMINHÃO"),0)+IFERROR(SUMIFS('Base bordo CD'!M$2:M$875,'Base bordo CD'!D$2:D$875,A70,'Base bordo CD'!A$2:A$875,B70,'Base bordo CD'!L$2:L$875,"FALTA DE COMBUSTIVEL"),0)+IFERROR(SUMIFS('Base bordo CD'!M$2:M$875,'Base bordo CD'!D$2:D$875,A70,'Base bordo CD'!A$2:A$875,B70,'Base bordo CD'!L$2:L$875,"FALTA DE MOTORIST*"),0)</f>
        <v>0</v>
      </c>
      <c r="O70" s="10">
        <f t="shared" si="10"/>
        <v>0</v>
      </c>
      <c r="P70" s="10">
        <f>IFERROR(SUMIFS('Base bordo CD'!M$2:M$875,'Base bordo CD'!D$2:D$875,A70,'Base bordo CD'!A$2:A$875,B70),0)</f>
        <v>24</v>
      </c>
      <c r="Q70" s="10">
        <f>IFERROR(SUMIFS('Base bordo CD'!O$2:O$875,'Base bordo CD'!D$2:D$875,A70,'Base bordo CD'!A$2:A$875,B70,'Base bordo CD'!L$2:L$875,"CORTE DE CANA MECANIZADO"),0)</f>
        <v>60362.080000000002</v>
      </c>
      <c r="R70" s="10">
        <f>IFERROR(SUMIFS('Base bordo CD'!Q$2:Q$875,'Base bordo CD'!D$2:D$875,A70,'Base bordo CD'!A$2:A$875,B70,'Base bordo CD'!L$2:L$875,"CORTE DE CANA MECANIZADO"),0)</f>
        <v>13440</v>
      </c>
      <c r="S70" s="30">
        <f t="shared" si="11"/>
        <v>4.4912261904761905</v>
      </c>
      <c r="T70" s="9">
        <f t="shared" si="12"/>
        <v>0.15555555555555556</v>
      </c>
      <c r="U70" s="9">
        <f t="shared" si="13"/>
        <v>6.1342592592592594E-2</v>
      </c>
      <c r="V70" s="9">
        <f t="shared" si="14"/>
        <v>0.82015046296296301</v>
      </c>
    </row>
    <row r="71" spans="1:22" hidden="1" x14ac:dyDescent="0.35">
      <c r="A71" s="52">
        <v>49588</v>
      </c>
      <c r="B71" s="31">
        <v>46123</v>
      </c>
      <c r="C71" s="7" t="s">
        <v>364</v>
      </c>
      <c r="D71" s="7">
        <v>352</v>
      </c>
      <c r="E71" s="10">
        <f>IFERROR(SUMIFS('Base bordo CD'!M$2:M$875,'Base bordo CD'!D$2:D$875,A71,'Base bordo CD'!A$2:A$875,B71,'Base bordo CD'!L$2:L$875,"CORTE DE CANA MECANIZADO"),0)</f>
        <v>3.7333333333333334</v>
      </c>
      <c r="F71" s="10">
        <f>IFERROR(SUMIFS('Base bordo CD'!M$2:M$875,'Base bordo CD'!D$2:D$875,A71,'Base bordo CD'!A$2:A$875,B71,'Base bordo CD'!L$2:L$875,"MANOBRA"),0)</f>
        <v>1.4722222222222223</v>
      </c>
      <c r="G71" s="10">
        <f>IFERROR(SUMIFS('Base bordo CD'!M$2:M$875,'Base bordo CD'!D$2:D$875,A71,'Base bordo CD'!A$2:A$875,B71,'Base bordo CD'!L$2:L$875,"DESLOCAMENTO"),0)</f>
        <v>0.58305555555555555</v>
      </c>
      <c r="H71" s="10">
        <f>IFERROR(SUMIFS('Base bordo CD'!M$2:M$875,'Base bordo CD'!D$2:D$875,A71,'Base bordo CD'!A$2:A$875,B71,'Base bordo CD'!L$2:L$875,"AGUARDANDO MANOBRA DE TRANSBORDO"),0)+IFERROR(SUMIFS('Base bordo CD'!M$2:M$875,'Base bordo CD'!D$2:D$875,A71,'Base bordo CD'!A$2:A$875,B71,'Base bordo CD'!L$2:L$875,"FALTA DE TRANSBORDO"),0)</f>
        <v>4.6388888888888889E-2</v>
      </c>
      <c r="I71" s="10">
        <f>IFERROR(SUMIFS('Base bordo CD'!M$2:M$875,'Base bordo CD'!D$2:D$875,A71,'Base bordo CD'!A$2:A$875,B71,'Base bordo CD'!L$2:L$875,"PARADA POR CONDICOES CLIMATICAS"),0)+IFERROR(SUMIFS('Base bordo CD'!M$2:M$875,'Base bordo CD'!D$2:D$875,A71,'Base bordo CD'!A$2:A$875,B71,'Base bordo CD'!L$2:L$875,"TEMPO INDETERMINADO"),0)</f>
        <v>17.988611111111112</v>
      </c>
      <c r="J71" s="10">
        <f>IFERROR(SUMIFS('Base bordo CD'!M$2:M$875,'Base bordo CD'!D$2:D$875,A71,'Base bordo CD'!A$2:A$875,B71,'Base bordo CD'!L$2:L$875,"LIMITAÇÃO INDÚSTRIA"),0)</f>
        <v>0</v>
      </c>
      <c r="K71" s="10">
        <f>IFERROR(SUMIFS('Base bordo CD'!M$2:M$875,'Base bordo CD'!D$2:D$875,A71,'Base bordo CD'!A$2:A$875,B71,'Base bordo CD'!L$2:L$875,"MAN CORRETIVA*"),0)+IFERROR(SUMIFS('Base bordo CD'!M$2:M$875,'Base bordo CD'!D$2:D$875,A71,'Base bordo CD'!A$2:A$875,B71,'Base bordo CD'!L$2:L$875,"AGUARDANDO MANUTENCAO*"),0)+IFERROR(SUMIFS('Base bordo CD'!M$2:M$875,'Base bordo CD'!D$2:D$875,A71,'Base bordo CD'!A$2:A$875,B71,'Base bordo CD'!L$2:L$875,"TROCA DE FAQUINHA"),0)+IFERROR(SUMIFS('Base bordo CD'!M$2:M$875,'Base bordo CD'!D$2:D$875,A71,'Base bordo CD'!A$2:A$875,B71,'Base bordo CD'!L$2:L$875,"LIMPEZA*"),0)</f>
        <v>0.11861111111111111</v>
      </c>
      <c r="L71" s="10">
        <f>IFERROR(SUMIFS('Base bordo CD'!M$2:M$875,'Base bordo CD'!D$2:D$875,A71,'Base bordo CD'!A$2:A$875,B71,'Base bordo CD'!L$2:L$875,"PATIO - RESERVA"),0)</f>
        <v>0</v>
      </c>
      <c r="M71" s="10">
        <f>IFERROR(SUMIFS('Base bordo CD'!M$2:M$875,'Base bordo CD'!D$2:D$875,A71,'Base bordo CD'!A$2:A$875,B71,'Base bordo CD'!L$2:L$875,"SEM APONTAMENTO"),0)</f>
        <v>5.7777777777777782E-2</v>
      </c>
      <c r="N71" s="10">
        <f>IFERROR(SUMIFS('Base bordo CD'!M$2:M$875,'Base bordo CD'!D$2:D$875,A71,'Base bordo CD'!A$2:A$875,B71,'Base bordo CD'!L$2:L$875,"FALTA DE CAMINHÃO"),0)+IFERROR(SUMIFS('Base bordo CD'!M$2:M$875,'Base bordo CD'!D$2:D$875,A71,'Base bordo CD'!A$2:A$875,B71,'Base bordo CD'!L$2:L$875,"FALTA DE COMBUSTIVEL"),0)+IFERROR(SUMIFS('Base bordo CD'!M$2:M$875,'Base bordo CD'!D$2:D$875,A71,'Base bordo CD'!A$2:A$875,B71,'Base bordo CD'!L$2:L$875,"FALTA DE MOTORIST*"),0)</f>
        <v>0</v>
      </c>
      <c r="O71" s="10">
        <f t="shared" si="10"/>
        <v>0</v>
      </c>
      <c r="P71" s="10">
        <f>IFERROR(SUMIFS('Base bordo CD'!M$2:M$875,'Base bordo CD'!D$2:D$875,A71,'Base bordo CD'!A$2:A$875,B71),0)</f>
        <v>24</v>
      </c>
      <c r="Q71" s="10">
        <f>IFERROR(SUMIFS('Base bordo CD'!O$2:O$875,'Base bordo CD'!D$2:D$875,A71,'Base bordo CD'!A$2:A$875,B71,'Base bordo CD'!L$2:L$875,"CORTE DE CANA MECANIZADO"),0)</f>
        <v>60362.080000000002</v>
      </c>
      <c r="R71" s="10">
        <f>IFERROR(SUMIFS('Base bordo CD'!Q$2:Q$875,'Base bordo CD'!D$2:D$875,A71,'Base bordo CD'!A$2:A$875,B71,'Base bordo CD'!L$2:L$875,"CORTE DE CANA MECANIZADO"),0)</f>
        <v>13440</v>
      </c>
      <c r="S71" s="30">
        <f t="shared" si="11"/>
        <v>4.4912261904761905</v>
      </c>
      <c r="T71" s="9">
        <f t="shared" si="12"/>
        <v>0.15555555555555556</v>
      </c>
      <c r="U71" s="9">
        <f t="shared" si="13"/>
        <v>6.1342592592592594E-2</v>
      </c>
      <c r="V71" s="9">
        <f t="shared" si="14"/>
        <v>0.82015046296296301</v>
      </c>
    </row>
    <row r="72" spans="1:22" hidden="1" x14ac:dyDescent="0.35">
      <c r="A72" s="52">
        <v>49588</v>
      </c>
      <c r="B72" s="31">
        <v>46123</v>
      </c>
      <c r="C72" s="7" t="s">
        <v>364</v>
      </c>
      <c r="D72" s="7">
        <v>352</v>
      </c>
      <c r="E72" s="10">
        <f>IFERROR(SUMIFS('Base bordo CD'!M$2:M$875,'Base bordo CD'!D$2:D$875,A72,'Base bordo CD'!A$2:A$875,B72,'Base bordo CD'!L$2:L$875,"CORTE DE CANA MECANIZADO"),0)</f>
        <v>3.7333333333333334</v>
      </c>
      <c r="F72" s="10">
        <f>IFERROR(SUMIFS('Base bordo CD'!M$2:M$875,'Base bordo CD'!D$2:D$875,A72,'Base bordo CD'!A$2:A$875,B72,'Base bordo CD'!L$2:L$875,"MANOBRA"),0)</f>
        <v>1.4722222222222223</v>
      </c>
      <c r="G72" s="10">
        <f>IFERROR(SUMIFS('Base bordo CD'!M$2:M$875,'Base bordo CD'!D$2:D$875,A72,'Base bordo CD'!A$2:A$875,B72,'Base bordo CD'!L$2:L$875,"DESLOCAMENTO"),0)</f>
        <v>0.58305555555555555</v>
      </c>
      <c r="H72" s="10">
        <f>IFERROR(SUMIFS('Base bordo CD'!M$2:M$875,'Base bordo CD'!D$2:D$875,A72,'Base bordo CD'!A$2:A$875,B72,'Base bordo CD'!L$2:L$875,"AGUARDANDO MANOBRA DE TRANSBORDO"),0)+IFERROR(SUMIFS('Base bordo CD'!M$2:M$875,'Base bordo CD'!D$2:D$875,A72,'Base bordo CD'!A$2:A$875,B72,'Base bordo CD'!L$2:L$875,"FALTA DE TRANSBORDO"),0)</f>
        <v>4.6388888888888889E-2</v>
      </c>
      <c r="I72" s="10">
        <f>IFERROR(SUMIFS('Base bordo CD'!M$2:M$875,'Base bordo CD'!D$2:D$875,A72,'Base bordo CD'!A$2:A$875,B72,'Base bordo CD'!L$2:L$875,"PARADA POR CONDICOES CLIMATICAS"),0)+IFERROR(SUMIFS('Base bordo CD'!M$2:M$875,'Base bordo CD'!D$2:D$875,A72,'Base bordo CD'!A$2:A$875,B72,'Base bordo CD'!L$2:L$875,"TEMPO INDETERMINADO"),0)</f>
        <v>17.988611111111112</v>
      </c>
      <c r="J72" s="10">
        <f>IFERROR(SUMIFS('Base bordo CD'!M$2:M$875,'Base bordo CD'!D$2:D$875,A72,'Base bordo CD'!A$2:A$875,B72,'Base bordo CD'!L$2:L$875,"LIMITAÇÃO INDÚSTRIA"),0)</f>
        <v>0</v>
      </c>
      <c r="K72" s="10">
        <f>IFERROR(SUMIFS('Base bordo CD'!M$2:M$875,'Base bordo CD'!D$2:D$875,A72,'Base bordo CD'!A$2:A$875,B72,'Base bordo CD'!L$2:L$875,"MAN CORRETIVA*"),0)+IFERROR(SUMIFS('Base bordo CD'!M$2:M$875,'Base bordo CD'!D$2:D$875,A72,'Base bordo CD'!A$2:A$875,B72,'Base bordo CD'!L$2:L$875,"AGUARDANDO MANUTENCAO*"),0)+IFERROR(SUMIFS('Base bordo CD'!M$2:M$875,'Base bordo CD'!D$2:D$875,A72,'Base bordo CD'!A$2:A$875,B72,'Base bordo CD'!L$2:L$875,"TROCA DE FAQUINHA"),0)+IFERROR(SUMIFS('Base bordo CD'!M$2:M$875,'Base bordo CD'!D$2:D$875,A72,'Base bordo CD'!A$2:A$875,B72,'Base bordo CD'!L$2:L$875,"LIMPEZA*"),0)</f>
        <v>0.11861111111111111</v>
      </c>
      <c r="L72" s="10">
        <f>IFERROR(SUMIFS('Base bordo CD'!M$2:M$875,'Base bordo CD'!D$2:D$875,A72,'Base bordo CD'!A$2:A$875,B72,'Base bordo CD'!L$2:L$875,"PATIO - RESERVA"),0)</f>
        <v>0</v>
      </c>
      <c r="M72" s="10">
        <f>IFERROR(SUMIFS('Base bordo CD'!M$2:M$875,'Base bordo CD'!D$2:D$875,A72,'Base bordo CD'!A$2:A$875,B72,'Base bordo CD'!L$2:L$875,"SEM APONTAMENTO"),0)</f>
        <v>5.7777777777777782E-2</v>
      </c>
      <c r="N72" s="10">
        <f>IFERROR(SUMIFS('Base bordo CD'!M$2:M$875,'Base bordo CD'!D$2:D$875,A72,'Base bordo CD'!A$2:A$875,B72,'Base bordo CD'!L$2:L$875,"FALTA DE CAMINHÃO"),0)+IFERROR(SUMIFS('Base bordo CD'!M$2:M$875,'Base bordo CD'!D$2:D$875,A72,'Base bordo CD'!A$2:A$875,B72,'Base bordo CD'!L$2:L$875,"FALTA DE COMBUSTIVEL"),0)+IFERROR(SUMIFS('Base bordo CD'!M$2:M$875,'Base bordo CD'!D$2:D$875,A72,'Base bordo CD'!A$2:A$875,B72,'Base bordo CD'!L$2:L$875,"FALTA DE MOTORIST*"),0)</f>
        <v>0</v>
      </c>
      <c r="O72" s="10">
        <f t="shared" si="10"/>
        <v>0</v>
      </c>
      <c r="P72" s="10">
        <f>IFERROR(SUMIFS('Base bordo CD'!M$2:M$875,'Base bordo CD'!D$2:D$875,A72,'Base bordo CD'!A$2:A$875,B72),0)</f>
        <v>24</v>
      </c>
      <c r="Q72" s="10">
        <f>IFERROR(SUMIFS('Base bordo CD'!O$2:O$875,'Base bordo CD'!D$2:D$875,A72,'Base bordo CD'!A$2:A$875,B72,'Base bordo CD'!L$2:L$875,"CORTE DE CANA MECANIZADO"),0)</f>
        <v>60362.080000000002</v>
      </c>
      <c r="R72" s="10">
        <f>IFERROR(SUMIFS('Base bordo CD'!Q$2:Q$875,'Base bordo CD'!D$2:D$875,A72,'Base bordo CD'!A$2:A$875,B72,'Base bordo CD'!L$2:L$875,"CORTE DE CANA MECANIZADO"),0)</f>
        <v>13440</v>
      </c>
      <c r="S72" s="30">
        <f t="shared" si="11"/>
        <v>4.4912261904761905</v>
      </c>
      <c r="T72" s="9">
        <f t="shared" si="12"/>
        <v>0.15555555555555556</v>
      </c>
      <c r="U72" s="9">
        <f t="shared" si="13"/>
        <v>6.1342592592592594E-2</v>
      </c>
      <c r="V72" s="9">
        <f t="shared" si="14"/>
        <v>0.82015046296296301</v>
      </c>
    </row>
    <row r="73" spans="1:22" hidden="1" x14ac:dyDescent="0.35">
      <c r="A73" s="52">
        <v>49589</v>
      </c>
      <c r="B73" s="31">
        <v>46123</v>
      </c>
      <c r="C73" s="7" t="s">
        <v>321</v>
      </c>
      <c r="D73" s="7">
        <v>351</v>
      </c>
      <c r="E73" s="10">
        <f>IFERROR(SUMIFS('Base bordo CD'!M$2:M$875,'Base bordo CD'!D$2:D$875,A73,'Base bordo CD'!A$2:A$875,B73,'Base bordo CD'!L$2:L$875,"CORTE DE CANA MECANIZADO"),0)</f>
        <v>4.3780555555555551</v>
      </c>
      <c r="F73" s="10">
        <f>IFERROR(SUMIFS('Base bordo CD'!M$2:M$875,'Base bordo CD'!D$2:D$875,A73,'Base bordo CD'!A$2:A$875,B73,'Base bordo CD'!L$2:L$875,"MANOBRA"),0)</f>
        <v>0.80527777777777776</v>
      </c>
      <c r="G73" s="10">
        <f>IFERROR(SUMIFS('Base bordo CD'!M$2:M$875,'Base bordo CD'!D$2:D$875,A73,'Base bordo CD'!A$2:A$875,B73,'Base bordo CD'!L$2:L$875,"DESLOCAMENTO"),0)</f>
        <v>0.27555555555555555</v>
      </c>
      <c r="H73" s="10">
        <f>IFERROR(SUMIFS('Base bordo CD'!M$2:M$875,'Base bordo CD'!D$2:D$875,A73,'Base bordo CD'!A$2:A$875,B73,'Base bordo CD'!L$2:L$875,"AGUARDANDO MANOBRA DE TRANSBORDO"),0)+IFERROR(SUMIFS('Base bordo CD'!M$2:M$875,'Base bordo CD'!D$2:D$875,A73,'Base bordo CD'!A$2:A$875,B73,'Base bordo CD'!L$2:L$875,"FALTA DE TRANSBORDO"),0)</f>
        <v>0.1111111111111111</v>
      </c>
      <c r="I73" s="10">
        <f>IFERROR(SUMIFS('Base bordo CD'!M$2:M$875,'Base bordo CD'!D$2:D$875,A73,'Base bordo CD'!A$2:A$875,B73,'Base bordo CD'!L$2:L$875,"PARADA POR CONDICOES CLIMATICAS"),0)+IFERROR(SUMIFS('Base bordo CD'!M$2:M$875,'Base bordo CD'!D$2:D$875,A73,'Base bordo CD'!A$2:A$875,B73,'Base bordo CD'!L$2:L$875,"TEMPO INDETERMINADO"),0)</f>
        <v>13.980277777777777</v>
      </c>
      <c r="J73" s="10">
        <f>IFERROR(SUMIFS('Base bordo CD'!M$2:M$875,'Base bordo CD'!D$2:D$875,A73,'Base bordo CD'!A$2:A$875,B73,'Base bordo CD'!L$2:L$875,"LIMITAÇÃO INDÚSTRIA"),0)</f>
        <v>0</v>
      </c>
      <c r="K73" s="10">
        <f>IFERROR(SUMIFS('Base bordo CD'!M$2:M$875,'Base bordo CD'!D$2:D$875,A73,'Base bordo CD'!A$2:A$875,B73,'Base bordo CD'!L$2:L$875,"MAN CORRETIVA*"),0)+IFERROR(SUMIFS('Base bordo CD'!M$2:M$875,'Base bordo CD'!D$2:D$875,A73,'Base bordo CD'!A$2:A$875,B73,'Base bordo CD'!L$2:L$875,"AGUARDANDO MANUTENCAO*"),0)+IFERROR(SUMIFS('Base bordo CD'!M$2:M$875,'Base bordo CD'!D$2:D$875,A73,'Base bordo CD'!A$2:A$875,B73,'Base bordo CD'!L$2:L$875,"TROCA DE FAQUINHA"),0)+IFERROR(SUMIFS('Base bordo CD'!M$2:M$875,'Base bordo CD'!D$2:D$875,A73,'Base bordo CD'!A$2:A$875,B73,'Base bordo CD'!L$2:L$875,"LIMPEZA*"),0)</f>
        <v>1.8027777777777776</v>
      </c>
      <c r="L73" s="10">
        <f>IFERROR(SUMIFS('Base bordo CD'!M$2:M$875,'Base bordo CD'!D$2:D$875,A73,'Base bordo CD'!A$2:A$875,B73,'Base bordo CD'!L$2:L$875,"PATIO - RESERVA"),0)</f>
        <v>0</v>
      </c>
      <c r="M73" s="10">
        <f>IFERROR(SUMIFS('Base bordo CD'!M$2:M$875,'Base bordo CD'!D$2:D$875,A73,'Base bordo CD'!A$2:A$875,B73,'Base bordo CD'!L$2:L$875,"SEM APONTAMENTO"),0)</f>
        <v>8.5000000000000006E-2</v>
      </c>
      <c r="N73" s="10">
        <f>IFERROR(SUMIFS('Base bordo CD'!M$2:M$875,'Base bordo CD'!D$2:D$875,A73,'Base bordo CD'!A$2:A$875,B73,'Base bordo CD'!L$2:L$875,"FALTA DE CAMINHÃO"),0)+IFERROR(SUMIFS('Base bordo CD'!M$2:M$875,'Base bordo CD'!D$2:D$875,A73,'Base bordo CD'!A$2:A$875,B73,'Base bordo CD'!L$2:L$875,"FALTA DE COMBUSTIVEL"),0)+IFERROR(SUMIFS('Base bordo CD'!M$2:M$875,'Base bordo CD'!D$2:D$875,A73,'Base bordo CD'!A$2:A$875,B73,'Base bordo CD'!L$2:L$875,"FALTA DE MOTORIST*"),0)</f>
        <v>0</v>
      </c>
      <c r="O73" s="10">
        <f t="shared" si="10"/>
        <v>2.5619444444444461</v>
      </c>
      <c r="P73" s="10">
        <f>IFERROR(SUMIFS('Base bordo CD'!M$2:M$875,'Base bordo CD'!D$2:D$875,A73,'Base bordo CD'!A$2:A$875,B73),0)</f>
        <v>24</v>
      </c>
      <c r="Q73" s="10">
        <f>IFERROR(SUMIFS('Base bordo CD'!O$2:O$875,'Base bordo CD'!D$2:D$875,A73,'Base bordo CD'!A$2:A$875,B73,'Base bordo CD'!L$2:L$875,"CORTE DE CANA MECANIZADO"),0)</f>
        <v>65108.39</v>
      </c>
      <c r="R73" s="10">
        <f>IFERROR(SUMIFS('Base bordo CD'!Q$2:Q$875,'Base bordo CD'!D$2:D$875,A73,'Base bordo CD'!A$2:A$875,B73,'Base bordo CD'!L$2:L$875,"CORTE DE CANA MECANIZADO"),0)</f>
        <v>15761</v>
      </c>
      <c r="S73" s="30">
        <f t="shared" si="11"/>
        <v>4.1309809022270159</v>
      </c>
      <c r="T73" s="9">
        <f t="shared" si="12"/>
        <v>0.18241898148148147</v>
      </c>
      <c r="U73" s="9">
        <f t="shared" si="13"/>
        <v>3.3553240740740738E-2</v>
      </c>
      <c r="V73" s="9">
        <f t="shared" si="14"/>
        <v>0.80609953703703707</v>
      </c>
    </row>
    <row r="74" spans="1:22" hidden="1" x14ac:dyDescent="0.35">
      <c r="A74" s="52">
        <v>49589</v>
      </c>
      <c r="B74" s="31">
        <v>46123</v>
      </c>
      <c r="C74" s="7" t="s">
        <v>321</v>
      </c>
      <c r="D74" s="7">
        <v>351</v>
      </c>
      <c r="E74" s="10">
        <f>IFERROR(SUMIFS('Base bordo CD'!M$2:M$875,'Base bordo CD'!D$2:D$875,A74,'Base bordo CD'!A$2:A$875,B74,'Base bordo CD'!L$2:L$875,"CORTE DE CANA MECANIZADO"),0)</f>
        <v>4.3780555555555551</v>
      </c>
      <c r="F74" s="10">
        <f>IFERROR(SUMIFS('Base bordo CD'!M$2:M$875,'Base bordo CD'!D$2:D$875,A74,'Base bordo CD'!A$2:A$875,B74,'Base bordo CD'!L$2:L$875,"MANOBRA"),0)</f>
        <v>0.80527777777777776</v>
      </c>
      <c r="G74" s="10">
        <f>IFERROR(SUMIFS('Base bordo CD'!M$2:M$875,'Base bordo CD'!D$2:D$875,A74,'Base bordo CD'!A$2:A$875,B74,'Base bordo CD'!L$2:L$875,"DESLOCAMENTO"),0)</f>
        <v>0.27555555555555555</v>
      </c>
      <c r="H74" s="10">
        <f>IFERROR(SUMIFS('Base bordo CD'!M$2:M$875,'Base bordo CD'!D$2:D$875,A74,'Base bordo CD'!A$2:A$875,B74,'Base bordo CD'!L$2:L$875,"AGUARDANDO MANOBRA DE TRANSBORDO"),0)+IFERROR(SUMIFS('Base bordo CD'!M$2:M$875,'Base bordo CD'!D$2:D$875,A74,'Base bordo CD'!A$2:A$875,B74,'Base bordo CD'!L$2:L$875,"FALTA DE TRANSBORDO"),0)</f>
        <v>0.1111111111111111</v>
      </c>
      <c r="I74" s="10">
        <f>IFERROR(SUMIFS('Base bordo CD'!M$2:M$875,'Base bordo CD'!D$2:D$875,A74,'Base bordo CD'!A$2:A$875,B74,'Base bordo CD'!L$2:L$875,"PARADA POR CONDICOES CLIMATICAS"),0)+IFERROR(SUMIFS('Base bordo CD'!M$2:M$875,'Base bordo CD'!D$2:D$875,A74,'Base bordo CD'!A$2:A$875,B74,'Base bordo CD'!L$2:L$875,"TEMPO INDETERMINADO"),0)</f>
        <v>13.980277777777777</v>
      </c>
      <c r="J74" s="10">
        <f>IFERROR(SUMIFS('Base bordo CD'!M$2:M$875,'Base bordo CD'!D$2:D$875,A74,'Base bordo CD'!A$2:A$875,B74,'Base bordo CD'!L$2:L$875,"LIMITAÇÃO INDÚSTRIA"),0)</f>
        <v>0</v>
      </c>
      <c r="K74" s="10">
        <f>IFERROR(SUMIFS('Base bordo CD'!M$2:M$875,'Base bordo CD'!D$2:D$875,A74,'Base bordo CD'!A$2:A$875,B74,'Base bordo CD'!L$2:L$875,"MAN CORRETIVA*"),0)+IFERROR(SUMIFS('Base bordo CD'!M$2:M$875,'Base bordo CD'!D$2:D$875,A74,'Base bordo CD'!A$2:A$875,B74,'Base bordo CD'!L$2:L$875,"AGUARDANDO MANUTENCAO*"),0)+IFERROR(SUMIFS('Base bordo CD'!M$2:M$875,'Base bordo CD'!D$2:D$875,A74,'Base bordo CD'!A$2:A$875,B74,'Base bordo CD'!L$2:L$875,"TROCA DE FAQUINHA"),0)+IFERROR(SUMIFS('Base bordo CD'!M$2:M$875,'Base bordo CD'!D$2:D$875,A74,'Base bordo CD'!A$2:A$875,B74,'Base bordo CD'!L$2:L$875,"LIMPEZA*"),0)</f>
        <v>1.8027777777777776</v>
      </c>
      <c r="L74" s="10">
        <f>IFERROR(SUMIFS('Base bordo CD'!M$2:M$875,'Base bordo CD'!D$2:D$875,A74,'Base bordo CD'!A$2:A$875,B74,'Base bordo CD'!L$2:L$875,"PATIO - RESERVA"),0)</f>
        <v>0</v>
      </c>
      <c r="M74" s="10">
        <f>IFERROR(SUMIFS('Base bordo CD'!M$2:M$875,'Base bordo CD'!D$2:D$875,A74,'Base bordo CD'!A$2:A$875,B74,'Base bordo CD'!L$2:L$875,"SEM APONTAMENTO"),0)</f>
        <v>8.5000000000000006E-2</v>
      </c>
      <c r="N74" s="10">
        <f>IFERROR(SUMIFS('Base bordo CD'!M$2:M$875,'Base bordo CD'!D$2:D$875,A74,'Base bordo CD'!A$2:A$875,B74,'Base bordo CD'!L$2:L$875,"FALTA DE CAMINHÃO"),0)+IFERROR(SUMIFS('Base bordo CD'!M$2:M$875,'Base bordo CD'!D$2:D$875,A74,'Base bordo CD'!A$2:A$875,B74,'Base bordo CD'!L$2:L$875,"FALTA DE COMBUSTIVEL"),0)+IFERROR(SUMIFS('Base bordo CD'!M$2:M$875,'Base bordo CD'!D$2:D$875,A74,'Base bordo CD'!A$2:A$875,B74,'Base bordo CD'!L$2:L$875,"FALTA DE MOTORIST*"),0)</f>
        <v>0</v>
      </c>
      <c r="O74" s="10">
        <f t="shared" si="10"/>
        <v>2.5619444444444461</v>
      </c>
      <c r="P74" s="10">
        <f>IFERROR(SUMIFS('Base bordo CD'!M$2:M$875,'Base bordo CD'!D$2:D$875,A74,'Base bordo CD'!A$2:A$875,B74),0)</f>
        <v>24</v>
      </c>
      <c r="Q74" s="10">
        <f>IFERROR(SUMIFS('Base bordo CD'!O$2:O$875,'Base bordo CD'!D$2:D$875,A74,'Base bordo CD'!A$2:A$875,B74,'Base bordo CD'!L$2:L$875,"CORTE DE CANA MECANIZADO"),0)</f>
        <v>65108.39</v>
      </c>
      <c r="R74" s="10">
        <f>IFERROR(SUMIFS('Base bordo CD'!Q$2:Q$875,'Base bordo CD'!D$2:D$875,A74,'Base bordo CD'!A$2:A$875,B74,'Base bordo CD'!L$2:L$875,"CORTE DE CANA MECANIZADO"),0)</f>
        <v>15761</v>
      </c>
      <c r="S74" s="30">
        <f t="shared" si="11"/>
        <v>4.1309809022270159</v>
      </c>
      <c r="T74" s="9">
        <f t="shared" si="12"/>
        <v>0.18241898148148147</v>
      </c>
      <c r="U74" s="9">
        <f t="shared" si="13"/>
        <v>3.3553240740740738E-2</v>
      </c>
      <c r="V74" s="9">
        <f t="shared" si="14"/>
        <v>0.80609953703703707</v>
      </c>
    </row>
    <row r="75" spans="1:22" hidden="1" x14ac:dyDescent="0.35">
      <c r="A75" s="52">
        <v>49589</v>
      </c>
      <c r="B75" s="31">
        <v>46123</v>
      </c>
      <c r="C75" s="7" t="s">
        <v>321</v>
      </c>
      <c r="D75" s="7">
        <v>351</v>
      </c>
      <c r="E75" s="10">
        <f>IFERROR(SUMIFS('Base bordo CD'!M$2:M$875,'Base bordo CD'!D$2:D$875,A75,'Base bordo CD'!A$2:A$875,B75,'Base bordo CD'!L$2:L$875,"CORTE DE CANA MECANIZADO"),0)</f>
        <v>4.3780555555555551</v>
      </c>
      <c r="F75" s="10">
        <f>IFERROR(SUMIFS('Base bordo CD'!M$2:M$875,'Base bordo CD'!D$2:D$875,A75,'Base bordo CD'!A$2:A$875,B75,'Base bordo CD'!L$2:L$875,"MANOBRA"),0)</f>
        <v>0.80527777777777776</v>
      </c>
      <c r="G75" s="10">
        <f>IFERROR(SUMIFS('Base bordo CD'!M$2:M$875,'Base bordo CD'!D$2:D$875,A75,'Base bordo CD'!A$2:A$875,B75,'Base bordo CD'!L$2:L$875,"DESLOCAMENTO"),0)</f>
        <v>0.27555555555555555</v>
      </c>
      <c r="H75" s="10">
        <f>IFERROR(SUMIFS('Base bordo CD'!M$2:M$875,'Base bordo CD'!D$2:D$875,A75,'Base bordo CD'!A$2:A$875,B75,'Base bordo CD'!L$2:L$875,"AGUARDANDO MANOBRA DE TRANSBORDO"),0)+IFERROR(SUMIFS('Base bordo CD'!M$2:M$875,'Base bordo CD'!D$2:D$875,A75,'Base bordo CD'!A$2:A$875,B75,'Base bordo CD'!L$2:L$875,"FALTA DE TRANSBORDO"),0)</f>
        <v>0.1111111111111111</v>
      </c>
      <c r="I75" s="10">
        <f>IFERROR(SUMIFS('Base bordo CD'!M$2:M$875,'Base bordo CD'!D$2:D$875,A75,'Base bordo CD'!A$2:A$875,B75,'Base bordo CD'!L$2:L$875,"PARADA POR CONDICOES CLIMATICAS"),0)+IFERROR(SUMIFS('Base bordo CD'!M$2:M$875,'Base bordo CD'!D$2:D$875,A75,'Base bordo CD'!A$2:A$875,B75,'Base bordo CD'!L$2:L$875,"TEMPO INDETERMINADO"),0)</f>
        <v>13.980277777777777</v>
      </c>
      <c r="J75" s="10">
        <f>IFERROR(SUMIFS('Base bordo CD'!M$2:M$875,'Base bordo CD'!D$2:D$875,A75,'Base bordo CD'!A$2:A$875,B75,'Base bordo CD'!L$2:L$875,"LIMITAÇÃO INDÚSTRIA"),0)</f>
        <v>0</v>
      </c>
      <c r="K75" s="10">
        <f>IFERROR(SUMIFS('Base bordo CD'!M$2:M$875,'Base bordo CD'!D$2:D$875,A75,'Base bordo CD'!A$2:A$875,B75,'Base bordo CD'!L$2:L$875,"MAN CORRETIVA*"),0)+IFERROR(SUMIFS('Base bordo CD'!M$2:M$875,'Base bordo CD'!D$2:D$875,A75,'Base bordo CD'!A$2:A$875,B75,'Base bordo CD'!L$2:L$875,"AGUARDANDO MANUTENCAO*"),0)+IFERROR(SUMIFS('Base bordo CD'!M$2:M$875,'Base bordo CD'!D$2:D$875,A75,'Base bordo CD'!A$2:A$875,B75,'Base bordo CD'!L$2:L$875,"TROCA DE FAQUINHA"),0)+IFERROR(SUMIFS('Base bordo CD'!M$2:M$875,'Base bordo CD'!D$2:D$875,A75,'Base bordo CD'!A$2:A$875,B75,'Base bordo CD'!L$2:L$875,"LIMPEZA*"),0)</f>
        <v>1.8027777777777776</v>
      </c>
      <c r="L75" s="10">
        <f>IFERROR(SUMIFS('Base bordo CD'!M$2:M$875,'Base bordo CD'!D$2:D$875,A75,'Base bordo CD'!A$2:A$875,B75,'Base bordo CD'!L$2:L$875,"PATIO - RESERVA"),0)</f>
        <v>0</v>
      </c>
      <c r="M75" s="10">
        <f>IFERROR(SUMIFS('Base bordo CD'!M$2:M$875,'Base bordo CD'!D$2:D$875,A75,'Base bordo CD'!A$2:A$875,B75,'Base bordo CD'!L$2:L$875,"SEM APONTAMENTO"),0)</f>
        <v>8.5000000000000006E-2</v>
      </c>
      <c r="N75" s="10">
        <f>IFERROR(SUMIFS('Base bordo CD'!M$2:M$875,'Base bordo CD'!D$2:D$875,A75,'Base bordo CD'!A$2:A$875,B75,'Base bordo CD'!L$2:L$875,"FALTA DE CAMINHÃO"),0)+IFERROR(SUMIFS('Base bordo CD'!M$2:M$875,'Base bordo CD'!D$2:D$875,A75,'Base bordo CD'!A$2:A$875,B75,'Base bordo CD'!L$2:L$875,"FALTA DE COMBUSTIVEL"),0)+IFERROR(SUMIFS('Base bordo CD'!M$2:M$875,'Base bordo CD'!D$2:D$875,A75,'Base bordo CD'!A$2:A$875,B75,'Base bordo CD'!L$2:L$875,"FALTA DE MOTORIST*"),0)</f>
        <v>0</v>
      </c>
      <c r="O75" s="10">
        <f t="shared" si="10"/>
        <v>2.5619444444444461</v>
      </c>
      <c r="P75" s="10">
        <f>IFERROR(SUMIFS('Base bordo CD'!M$2:M$875,'Base bordo CD'!D$2:D$875,A75,'Base bordo CD'!A$2:A$875,B75),0)</f>
        <v>24</v>
      </c>
      <c r="Q75" s="10">
        <f>IFERROR(SUMIFS('Base bordo CD'!O$2:O$875,'Base bordo CD'!D$2:D$875,A75,'Base bordo CD'!A$2:A$875,B75,'Base bordo CD'!L$2:L$875,"CORTE DE CANA MECANIZADO"),0)</f>
        <v>65108.39</v>
      </c>
      <c r="R75" s="10">
        <f>IFERROR(SUMIFS('Base bordo CD'!Q$2:Q$875,'Base bordo CD'!D$2:D$875,A75,'Base bordo CD'!A$2:A$875,B75,'Base bordo CD'!L$2:L$875,"CORTE DE CANA MECANIZADO"),0)</f>
        <v>15761</v>
      </c>
      <c r="S75" s="30">
        <f t="shared" si="11"/>
        <v>4.1309809022270159</v>
      </c>
      <c r="T75" s="9">
        <f t="shared" si="12"/>
        <v>0.18241898148148147</v>
      </c>
      <c r="U75" s="9">
        <f t="shared" si="13"/>
        <v>3.3553240740740738E-2</v>
      </c>
      <c r="V75" s="9">
        <f t="shared" si="14"/>
        <v>0.80609953703703707</v>
      </c>
    </row>
    <row r="76" spans="1:22" hidden="1" x14ac:dyDescent="0.35">
      <c r="A76" s="52">
        <v>49589</v>
      </c>
      <c r="B76" s="31">
        <v>46123</v>
      </c>
      <c r="C76" s="7" t="s">
        <v>321</v>
      </c>
      <c r="D76" s="7">
        <v>351</v>
      </c>
      <c r="E76" s="10">
        <f>IFERROR(SUMIFS('Base bordo CD'!M$2:M$875,'Base bordo CD'!D$2:D$875,A76,'Base bordo CD'!A$2:A$875,B76,'Base bordo CD'!L$2:L$875,"CORTE DE CANA MECANIZADO"),0)</f>
        <v>4.3780555555555551</v>
      </c>
      <c r="F76" s="10">
        <f>IFERROR(SUMIFS('Base bordo CD'!M$2:M$875,'Base bordo CD'!D$2:D$875,A76,'Base bordo CD'!A$2:A$875,B76,'Base bordo CD'!L$2:L$875,"MANOBRA"),0)</f>
        <v>0.80527777777777776</v>
      </c>
      <c r="G76" s="10">
        <f>IFERROR(SUMIFS('Base bordo CD'!M$2:M$875,'Base bordo CD'!D$2:D$875,A76,'Base bordo CD'!A$2:A$875,B76,'Base bordo CD'!L$2:L$875,"DESLOCAMENTO"),0)</f>
        <v>0.27555555555555555</v>
      </c>
      <c r="H76" s="10">
        <f>IFERROR(SUMIFS('Base bordo CD'!M$2:M$875,'Base bordo CD'!D$2:D$875,A76,'Base bordo CD'!A$2:A$875,B76,'Base bordo CD'!L$2:L$875,"AGUARDANDO MANOBRA DE TRANSBORDO"),0)+IFERROR(SUMIFS('Base bordo CD'!M$2:M$875,'Base bordo CD'!D$2:D$875,A76,'Base bordo CD'!A$2:A$875,B76,'Base bordo CD'!L$2:L$875,"FALTA DE TRANSBORDO"),0)</f>
        <v>0.1111111111111111</v>
      </c>
      <c r="I76" s="10">
        <f>IFERROR(SUMIFS('Base bordo CD'!M$2:M$875,'Base bordo CD'!D$2:D$875,A76,'Base bordo CD'!A$2:A$875,B76,'Base bordo CD'!L$2:L$875,"PARADA POR CONDICOES CLIMATICAS"),0)+IFERROR(SUMIFS('Base bordo CD'!M$2:M$875,'Base bordo CD'!D$2:D$875,A76,'Base bordo CD'!A$2:A$875,B76,'Base bordo CD'!L$2:L$875,"TEMPO INDETERMINADO"),0)</f>
        <v>13.980277777777777</v>
      </c>
      <c r="J76" s="10">
        <f>IFERROR(SUMIFS('Base bordo CD'!M$2:M$875,'Base bordo CD'!D$2:D$875,A76,'Base bordo CD'!A$2:A$875,B76,'Base bordo CD'!L$2:L$875,"LIMITAÇÃO INDÚSTRIA"),0)</f>
        <v>0</v>
      </c>
      <c r="K76" s="10">
        <f>IFERROR(SUMIFS('Base bordo CD'!M$2:M$875,'Base bordo CD'!D$2:D$875,A76,'Base bordo CD'!A$2:A$875,B76,'Base bordo CD'!L$2:L$875,"MAN CORRETIVA*"),0)+IFERROR(SUMIFS('Base bordo CD'!M$2:M$875,'Base bordo CD'!D$2:D$875,A76,'Base bordo CD'!A$2:A$875,B76,'Base bordo CD'!L$2:L$875,"AGUARDANDO MANUTENCAO*"),0)+IFERROR(SUMIFS('Base bordo CD'!M$2:M$875,'Base bordo CD'!D$2:D$875,A76,'Base bordo CD'!A$2:A$875,B76,'Base bordo CD'!L$2:L$875,"TROCA DE FAQUINHA"),0)+IFERROR(SUMIFS('Base bordo CD'!M$2:M$875,'Base bordo CD'!D$2:D$875,A76,'Base bordo CD'!A$2:A$875,B76,'Base bordo CD'!L$2:L$875,"LIMPEZA*"),0)</f>
        <v>1.8027777777777776</v>
      </c>
      <c r="L76" s="10">
        <f>IFERROR(SUMIFS('Base bordo CD'!M$2:M$875,'Base bordo CD'!D$2:D$875,A76,'Base bordo CD'!A$2:A$875,B76,'Base bordo CD'!L$2:L$875,"PATIO - RESERVA"),0)</f>
        <v>0</v>
      </c>
      <c r="M76" s="10">
        <f>IFERROR(SUMIFS('Base bordo CD'!M$2:M$875,'Base bordo CD'!D$2:D$875,A76,'Base bordo CD'!A$2:A$875,B76,'Base bordo CD'!L$2:L$875,"SEM APONTAMENTO"),0)</f>
        <v>8.5000000000000006E-2</v>
      </c>
      <c r="N76" s="10">
        <f>IFERROR(SUMIFS('Base bordo CD'!M$2:M$875,'Base bordo CD'!D$2:D$875,A76,'Base bordo CD'!A$2:A$875,B76,'Base bordo CD'!L$2:L$875,"FALTA DE CAMINHÃO"),0)+IFERROR(SUMIFS('Base bordo CD'!M$2:M$875,'Base bordo CD'!D$2:D$875,A76,'Base bordo CD'!A$2:A$875,B76,'Base bordo CD'!L$2:L$875,"FALTA DE COMBUSTIVEL"),0)+IFERROR(SUMIFS('Base bordo CD'!M$2:M$875,'Base bordo CD'!D$2:D$875,A76,'Base bordo CD'!A$2:A$875,B76,'Base bordo CD'!L$2:L$875,"FALTA DE MOTORIST*"),0)</f>
        <v>0</v>
      </c>
      <c r="O76" s="10">
        <f t="shared" si="10"/>
        <v>2.5619444444444461</v>
      </c>
      <c r="P76" s="10">
        <f>IFERROR(SUMIFS('Base bordo CD'!M$2:M$875,'Base bordo CD'!D$2:D$875,A76,'Base bordo CD'!A$2:A$875,B76),0)</f>
        <v>24</v>
      </c>
      <c r="Q76" s="10">
        <f>IFERROR(SUMIFS('Base bordo CD'!O$2:O$875,'Base bordo CD'!D$2:D$875,A76,'Base bordo CD'!A$2:A$875,B76,'Base bordo CD'!L$2:L$875,"CORTE DE CANA MECANIZADO"),0)</f>
        <v>65108.39</v>
      </c>
      <c r="R76" s="10">
        <f>IFERROR(SUMIFS('Base bordo CD'!Q$2:Q$875,'Base bordo CD'!D$2:D$875,A76,'Base bordo CD'!A$2:A$875,B76,'Base bordo CD'!L$2:L$875,"CORTE DE CANA MECANIZADO"),0)</f>
        <v>15761</v>
      </c>
      <c r="S76" s="30">
        <f t="shared" si="11"/>
        <v>4.1309809022270159</v>
      </c>
      <c r="T76" s="9">
        <f t="shared" si="12"/>
        <v>0.18241898148148147</v>
      </c>
      <c r="U76" s="9">
        <f t="shared" si="13"/>
        <v>3.3553240740740738E-2</v>
      </c>
      <c r="V76" s="9">
        <f t="shared" si="14"/>
        <v>0.80609953703703707</v>
      </c>
    </row>
    <row r="77" spans="1:22" hidden="1" x14ac:dyDescent="0.35">
      <c r="A77" s="52">
        <v>49589</v>
      </c>
      <c r="B77" s="31">
        <v>46123</v>
      </c>
      <c r="C77" s="7" t="s">
        <v>321</v>
      </c>
      <c r="D77" s="7">
        <v>351</v>
      </c>
      <c r="E77" s="10">
        <f>IFERROR(SUMIFS('Base bordo CD'!M$2:M$875,'Base bordo CD'!D$2:D$875,A77,'Base bordo CD'!A$2:A$875,B77,'Base bordo CD'!L$2:L$875,"CORTE DE CANA MECANIZADO"),0)</f>
        <v>4.3780555555555551</v>
      </c>
      <c r="F77" s="10">
        <f>IFERROR(SUMIFS('Base bordo CD'!M$2:M$875,'Base bordo CD'!D$2:D$875,A77,'Base bordo CD'!A$2:A$875,B77,'Base bordo CD'!L$2:L$875,"MANOBRA"),0)</f>
        <v>0.80527777777777776</v>
      </c>
      <c r="G77" s="10">
        <f>IFERROR(SUMIFS('Base bordo CD'!M$2:M$875,'Base bordo CD'!D$2:D$875,A77,'Base bordo CD'!A$2:A$875,B77,'Base bordo CD'!L$2:L$875,"DESLOCAMENTO"),0)</f>
        <v>0.27555555555555555</v>
      </c>
      <c r="H77" s="10">
        <f>IFERROR(SUMIFS('Base bordo CD'!M$2:M$875,'Base bordo CD'!D$2:D$875,A77,'Base bordo CD'!A$2:A$875,B77,'Base bordo CD'!L$2:L$875,"AGUARDANDO MANOBRA DE TRANSBORDO"),0)+IFERROR(SUMIFS('Base bordo CD'!M$2:M$875,'Base bordo CD'!D$2:D$875,A77,'Base bordo CD'!A$2:A$875,B77,'Base bordo CD'!L$2:L$875,"FALTA DE TRANSBORDO"),0)</f>
        <v>0.1111111111111111</v>
      </c>
      <c r="I77" s="10">
        <f>IFERROR(SUMIFS('Base bordo CD'!M$2:M$875,'Base bordo CD'!D$2:D$875,A77,'Base bordo CD'!A$2:A$875,B77,'Base bordo CD'!L$2:L$875,"PARADA POR CONDICOES CLIMATICAS"),0)+IFERROR(SUMIFS('Base bordo CD'!M$2:M$875,'Base bordo CD'!D$2:D$875,A77,'Base bordo CD'!A$2:A$875,B77,'Base bordo CD'!L$2:L$875,"TEMPO INDETERMINADO"),0)</f>
        <v>13.980277777777777</v>
      </c>
      <c r="J77" s="10">
        <f>IFERROR(SUMIFS('Base bordo CD'!M$2:M$875,'Base bordo CD'!D$2:D$875,A77,'Base bordo CD'!A$2:A$875,B77,'Base bordo CD'!L$2:L$875,"LIMITAÇÃO INDÚSTRIA"),0)</f>
        <v>0</v>
      </c>
      <c r="K77" s="10">
        <f>IFERROR(SUMIFS('Base bordo CD'!M$2:M$875,'Base bordo CD'!D$2:D$875,A77,'Base bordo CD'!A$2:A$875,B77,'Base bordo CD'!L$2:L$875,"MAN CORRETIVA*"),0)+IFERROR(SUMIFS('Base bordo CD'!M$2:M$875,'Base bordo CD'!D$2:D$875,A77,'Base bordo CD'!A$2:A$875,B77,'Base bordo CD'!L$2:L$875,"AGUARDANDO MANUTENCAO*"),0)+IFERROR(SUMIFS('Base bordo CD'!M$2:M$875,'Base bordo CD'!D$2:D$875,A77,'Base bordo CD'!A$2:A$875,B77,'Base bordo CD'!L$2:L$875,"TROCA DE FAQUINHA"),0)+IFERROR(SUMIFS('Base bordo CD'!M$2:M$875,'Base bordo CD'!D$2:D$875,A77,'Base bordo CD'!A$2:A$875,B77,'Base bordo CD'!L$2:L$875,"LIMPEZA*"),0)</f>
        <v>1.8027777777777776</v>
      </c>
      <c r="L77" s="10">
        <f>IFERROR(SUMIFS('Base bordo CD'!M$2:M$875,'Base bordo CD'!D$2:D$875,A77,'Base bordo CD'!A$2:A$875,B77,'Base bordo CD'!L$2:L$875,"PATIO - RESERVA"),0)</f>
        <v>0</v>
      </c>
      <c r="M77" s="10">
        <f>IFERROR(SUMIFS('Base bordo CD'!M$2:M$875,'Base bordo CD'!D$2:D$875,A77,'Base bordo CD'!A$2:A$875,B77,'Base bordo CD'!L$2:L$875,"SEM APONTAMENTO"),0)</f>
        <v>8.5000000000000006E-2</v>
      </c>
      <c r="N77" s="10">
        <f>IFERROR(SUMIFS('Base bordo CD'!M$2:M$875,'Base bordo CD'!D$2:D$875,A77,'Base bordo CD'!A$2:A$875,B77,'Base bordo CD'!L$2:L$875,"FALTA DE CAMINHÃO"),0)+IFERROR(SUMIFS('Base bordo CD'!M$2:M$875,'Base bordo CD'!D$2:D$875,A77,'Base bordo CD'!A$2:A$875,B77,'Base bordo CD'!L$2:L$875,"FALTA DE COMBUSTIVEL"),0)+IFERROR(SUMIFS('Base bordo CD'!M$2:M$875,'Base bordo CD'!D$2:D$875,A77,'Base bordo CD'!A$2:A$875,B77,'Base bordo CD'!L$2:L$875,"FALTA DE MOTORIST*"),0)</f>
        <v>0</v>
      </c>
      <c r="O77" s="10">
        <f t="shared" si="10"/>
        <v>2.5619444444444461</v>
      </c>
      <c r="P77" s="10">
        <f>IFERROR(SUMIFS('Base bordo CD'!M$2:M$875,'Base bordo CD'!D$2:D$875,A77,'Base bordo CD'!A$2:A$875,B77),0)</f>
        <v>24</v>
      </c>
      <c r="Q77" s="10">
        <f>IFERROR(SUMIFS('Base bordo CD'!O$2:O$875,'Base bordo CD'!D$2:D$875,A77,'Base bordo CD'!A$2:A$875,B77,'Base bordo CD'!L$2:L$875,"CORTE DE CANA MECANIZADO"),0)</f>
        <v>65108.39</v>
      </c>
      <c r="R77" s="10">
        <f>IFERROR(SUMIFS('Base bordo CD'!Q$2:Q$875,'Base bordo CD'!D$2:D$875,A77,'Base bordo CD'!A$2:A$875,B77,'Base bordo CD'!L$2:L$875,"CORTE DE CANA MECANIZADO"),0)</f>
        <v>15761</v>
      </c>
      <c r="S77" s="30">
        <f t="shared" si="11"/>
        <v>4.1309809022270159</v>
      </c>
      <c r="T77" s="9">
        <f t="shared" si="12"/>
        <v>0.18241898148148147</v>
      </c>
      <c r="U77" s="9">
        <f t="shared" si="13"/>
        <v>3.3553240740740738E-2</v>
      </c>
      <c r="V77" s="9">
        <f t="shared" si="14"/>
        <v>0.80609953703703707</v>
      </c>
    </row>
    <row r="78" spans="1:22" hidden="1" x14ac:dyDescent="0.35">
      <c r="A78" s="52">
        <v>49589</v>
      </c>
      <c r="B78" s="31">
        <v>46123</v>
      </c>
      <c r="C78" s="7" t="s">
        <v>321</v>
      </c>
      <c r="D78" s="7">
        <v>351</v>
      </c>
      <c r="E78" s="10">
        <f>IFERROR(SUMIFS('Base bordo CD'!M$2:M$875,'Base bordo CD'!D$2:D$875,A78,'Base bordo CD'!A$2:A$875,B78,'Base bordo CD'!L$2:L$875,"CORTE DE CANA MECANIZADO"),0)</f>
        <v>4.3780555555555551</v>
      </c>
      <c r="F78" s="10">
        <f>IFERROR(SUMIFS('Base bordo CD'!M$2:M$875,'Base bordo CD'!D$2:D$875,A78,'Base bordo CD'!A$2:A$875,B78,'Base bordo CD'!L$2:L$875,"MANOBRA"),0)</f>
        <v>0.80527777777777776</v>
      </c>
      <c r="G78" s="10">
        <f>IFERROR(SUMIFS('Base bordo CD'!M$2:M$875,'Base bordo CD'!D$2:D$875,A78,'Base bordo CD'!A$2:A$875,B78,'Base bordo CD'!L$2:L$875,"DESLOCAMENTO"),0)</f>
        <v>0.27555555555555555</v>
      </c>
      <c r="H78" s="10">
        <f>IFERROR(SUMIFS('Base bordo CD'!M$2:M$875,'Base bordo CD'!D$2:D$875,A78,'Base bordo CD'!A$2:A$875,B78,'Base bordo CD'!L$2:L$875,"AGUARDANDO MANOBRA DE TRANSBORDO"),0)+IFERROR(SUMIFS('Base bordo CD'!M$2:M$875,'Base bordo CD'!D$2:D$875,A78,'Base bordo CD'!A$2:A$875,B78,'Base bordo CD'!L$2:L$875,"FALTA DE TRANSBORDO"),0)</f>
        <v>0.1111111111111111</v>
      </c>
      <c r="I78" s="10">
        <f>IFERROR(SUMIFS('Base bordo CD'!M$2:M$875,'Base bordo CD'!D$2:D$875,A78,'Base bordo CD'!A$2:A$875,B78,'Base bordo CD'!L$2:L$875,"PARADA POR CONDICOES CLIMATICAS"),0)+IFERROR(SUMIFS('Base bordo CD'!M$2:M$875,'Base bordo CD'!D$2:D$875,A78,'Base bordo CD'!A$2:A$875,B78,'Base bordo CD'!L$2:L$875,"TEMPO INDETERMINADO"),0)</f>
        <v>13.980277777777777</v>
      </c>
      <c r="J78" s="10">
        <f>IFERROR(SUMIFS('Base bordo CD'!M$2:M$875,'Base bordo CD'!D$2:D$875,A78,'Base bordo CD'!A$2:A$875,B78,'Base bordo CD'!L$2:L$875,"LIMITAÇÃO INDÚSTRIA"),0)</f>
        <v>0</v>
      </c>
      <c r="K78" s="10">
        <f>IFERROR(SUMIFS('Base bordo CD'!M$2:M$875,'Base bordo CD'!D$2:D$875,A78,'Base bordo CD'!A$2:A$875,B78,'Base bordo CD'!L$2:L$875,"MAN CORRETIVA*"),0)+IFERROR(SUMIFS('Base bordo CD'!M$2:M$875,'Base bordo CD'!D$2:D$875,A78,'Base bordo CD'!A$2:A$875,B78,'Base bordo CD'!L$2:L$875,"AGUARDANDO MANUTENCAO*"),0)+IFERROR(SUMIFS('Base bordo CD'!M$2:M$875,'Base bordo CD'!D$2:D$875,A78,'Base bordo CD'!A$2:A$875,B78,'Base bordo CD'!L$2:L$875,"TROCA DE FAQUINHA"),0)+IFERROR(SUMIFS('Base bordo CD'!M$2:M$875,'Base bordo CD'!D$2:D$875,A78,'Base bordo CD'!A$2:A$875,B78,'Base bordo CD'!L$2:L$875,"LIMPEZA*"),0)</f>
        <v>1.8027777777777776</v>
      </c>
      <c r="L78" s="10">
        <f>IFERROR(SUMIFS('Base bordo CD'!M$2:M$875,'Base bordo CD'!D$2:D$875,A78,'Base bordo CD'!A$2:A$875,B78,'Base bordo CD'!L$2:L$875,"PATIO - RESERVA"),0)</f>
        <v>0</v>
      </c>
      <c r="M78" s="10">
        <f>IFERROR(SUMIFS('Base bordo CD'!M$2:M$875,'Base bordo CD'!D$2:D$875,A78,'Base bordo CD'!A$2:A$875,B78,'Base bordo CD'!L$2:L$875,"SEM APONTAMENTO"),0)</f>
        <v>8.5000000000000006E-2</v>
      </c>
      <c r="N78" s="10">
        <f>IFERROR(SUMIFS('Base bordo CD'!M$2:M$875,'Base bordo CD'!D$2:D$875,A78,'Base bordo CD'!A$2:A$875,B78,'Base bordo CD'!L$2:L$875,"FALTA DE CAMINHÃO"),0)+IFERROR(SUMIFS('Base bordo CD'!M$2:M$875,'Base bordo CD'!D$2:D$875,A78,'Base bordo CD'!A$2:A$875,B78,'Base bordo CD'!L$2:L$875,"FALTA DE COMBUSTIVEL"),0)+IFERROR(SUMIFS('Base bordo CD'!M$2:M$875,'Base bordo CD'!D$2:D$875,A78,'Base bordo CD'!A$2:A$875,B78,'Base bordo CD'!L$2:L$875,"FALTA DE MOTORIST*"),0)</f>
        <v>0</v>
      </c>
      <c r="O78" s="10">
        <f t="shared" si="10"/>
        <v>2.5619444444444461</v>
      </c>
      <c r="P78" s="10">
        <f>IFERROR(SUMIFS('Base bordo CD'!M$2:M$875,'Base bordo CD'!D$2:D$875,A78,'Base bordo CD'!A$2:A$875,B78),0)</f>
        <v>24</v>
      </c>
      <c r="Q78" s="10">
        <f>IFERROR(SUMIFS('Base bordo CD'!O$2:O$875,'Base bordo CD'!D$2:D$875,A78,'Base bordo CD'!A$2:A$875,B78,'Base bordo CD'!L$2:L$875,"CORTE DE CANA MECANIZADO"),0)</f>
        <v>65108.39</v>
      </c>
      <c r="R78" s="10">
        <f>IFERROR(SUMIFS('Base bordo CD'!Q$2:Q$875,'Base bordo CD'!D$2:D$875,A78,'Base bordo CD'!A$2:A$875,B78,'Base bordo CD'!L$2:L$875,"CORTE DE CANA MECANIZADO"),0)</f>
        <v>15761</v>
      </c>
      <c r="S78" s="30">
        <f t="shared" si="11"/>
        <v>4.1309809022270159</v>
      </c>
      <c r="T78" s="9">
        <f t="shared" si="12"/>
        <v>0.18241898148148147</v>
      </c>
      <c r="U78" s="9">
        <f t="shared" si="13"/>
        <v>3.3553240740740738E-2</v>
      </c>
      <c r="V78" s="9">
        <f t="shared" si="14"/>
        <v>0.80609953703703707</v>
      </c>
    </row>
    <row r="79" spans="1:22" hidden="1" x14ac:dyDescent="0.35">
      <c r="A79" s="52">
        <v>49589</v>
      </c>
      <c r="B79" s="31">
        <v>46123</v>
      </c>
      <c r="C79" s="7" t="s">
        <v>321</v>
      </c>
      <c r="D79" s="7">
        <v>351</v>
      </c>
      <c r="E79" s="10">
        <f>IFERROR(SUMIFS('Base bordo CD'!M$2:M$875,'Base bordo CD'!D$2:D$875,A79,'Base bordo CD'!A$2:A$875,B79,'Base bordo CD'!L$2:L$875,"CORTE DE CANA MECANIZADO"),0)</f>
        <v>4.3780555555555551</v>
      </c>
      <c r="F79" s="10">
        <f>IFERROR(SUMIFS('Base bordo CD'!M$2:M$875,'Base bordo CD'!D$2:D$875,A79,'Base bordo CD'!A$2:A$875,B79,'Base bordo CD'!L$2:L$875,"MANOBRA"),0)</f>
        <v>0.80527777777777776</v>
      </c>
      <c r="G79" s="10">
        <f>IFERROR(SUMIFS('Base bordo CD'!M$2:M$875,'Base bordo CD'!D$2:D$875,A79,'Base bordo CD'!A$2:A$875,B79,'Base bordo CD'!L$2:L$875,"DESLOCAMENTO"),0)</f>
        <v>0.27555555555555555</v>
      </c>
      <c r="H79" s="10">
        <f>IFERROR(SUMIFS('Base bordo CD'!M$2:M$875,'Base bordo CD'!D$2:D$875,A79,'Base bordo CD'!A$2:A$875,B79,'Base bordo CD'!L$2:L$875,"AGUARDANDO MANOBRA DE TRANSBORDO"),0)+IFERROR(SUMIFS('Base bordo CD'!M$2:M$875,'Base bordo CD'!D$2:D$875,A79,'Base bordo CD'!A$2:A$875,B79,'Base bordo CD'!L$2:L$875,"FALTA DE TRANSBORDO"),0)</f>
        <v>0.1111111111111111</v>
      </c>
      <c r="I79" s="10">
        <f>IFERROR(SUMIFS('Base bordo CD'!M$2:M$875,'Base bordo CD'!D$2:D$875,A79,'Base bordo CD'!A$2:A$875,B79,'Base bordo CD'!L$2:L$875,"PARADA POR CONDICOES CLIMATICAS"),0)+IFERROR(SUMIFS('Base bordo CD'!M$2:M$875,'Base bordo CD'!D$2:D$875,A79,'Base bordo CD'!A$2:A$875,B79,'Base bordo CD'!L$2:L$875,"TEMPO INDETERMINADO"),0)</f>
        <v>13.980277777777777</v>
      </c>
      <c r="J79" s="10">
        <f>IFERROR(SUMIFS('Base bordo CD'!M$2:M$875,'Base bordo CD'!D$2:D$875,A79,'Base bordo CD'!A$2:A$875,B79,'Base bordo CD'!L$2:L$875,"LIMITAÇÃO INDÚSTRIA"),0)</f>
        <v>0</v>
      </c>
      <c r="K79" s="10">
        <f>IFERROR(SUMIFS('Base bordo CD'!M$2:M$875,'Base bordo CD'!D$2:D$875,A79,'Base bordo CD'!A$2:A$875,B79,'Base bordo CD'!L$2:L$875,"MAN CORRETIVA*"),0)+IFERROR(SUMIFS('Base bordo CD'!M$2:M$875,'Base bordo CD'!D$2:D$875,A79,'Base bordo CD'!A$2:A$875,B79,'Base bordo CD'!L$2:L$875,"AGUARDANDO MANUTENCAO*"),0)+IFERROR(SUMIFS('Base bordo CD'!M$2:M$875,'Base bordo CD'!D$2:D$875,A79,'Base bordo CD'!A$2:A$875,B79,'Base bordo CD'!L$2:L$875,"TROCA DE FAQUINHA"),0)+IFERROR(SUMIFS('Base bordo CD'!M$2:M$875,'Base bordo CD'!D$2:D$875,A79,'Base bordo CD'!A$2:A$875,B79,'Base bordo CD'!L$2:L$875,"LIMPEZA*"),0)</f>
        <v>1.8027777777777776</v>
      </c>
      <c r="L79" s="10">
        <f>IFERROR(SUMIFS('Base bordo CD'!M$2:M$875,'Base bordo CD'!D$2:D$875,A79,'Base bordo CD'!A$2:A$875,B79,'Base bordo CD'!L$2:L$875,"PATIO - RESERVA"),0)</f>
        <v>0</v>
      </c>
      <c r="M79" s="10">
        <f>IFERROR(SUMIFS('Base bordo CD'!M$2:M$875,'Base bordo CD'!D$2:D$875,A79,'Base bordo CD'!A$2:A$875,B79,'Base bordo CD'!L$2:L$875,"SEM APONTAMENTO"),0)</f>
        <v>8.5000000000000006E-2</v>
      </c>
      <c r="N79" s="10">
        <f>IFERROR(SUMIFS('Base bordo CD'!M$2:M$875,'Base bordo CD'!D$2:D$875,A79,'Base bordo CD'!A$2:A$875,B79,'Base bordo CD'!L$2:L$875,"FALTA DE CAMINHÃO"),0)+IFERROR(SUMIFS('Base bordo CD'!M$2:M$875,'Base bordo CD'!D$2:D$875,A79,'Base bordo CD'!A$2:A$875,B79,'Base bordo CD'!L$2:L$875,"FALTA DE COMBUSTIVEL"),0)+IFERROR(SUMIFS('Base bordo CD'!M$2:M$875,'Base bordo CD'!D$2:D$875,A79,'Base bordo CD'!A$2:A$875,B79,'Base bordo CD'!L$2:L$875,"FALTA DE MOTORIST*"),0)</f>
        <v>0</v>
      </c>
      <c r="O79" s="10">
        <f t="shared" si="10"/>
        <v>2.5619444444444461</v>
      </c>
      <c r="P79" s="10">
        <f>IFERROR(SUMIFS('Base bordo CD'!M$2:M$875,'Base bordo CD'!D$2:D$875,A79,'Base bordo CD'!A$2:A$875,B79),0)</f>
        <v>24</v>
      </c>
      <c r="Q79" s="10">
        <f>IFERROR(SUMIFS('Base bordo CD'!O$2:O$875,'Base bordo CD'!D$2:D$875,A79,'Base bordo CD'!A$2:A$875,B79,'Base bordo CD'!L$2:L$875,"CORTE DE CANA MECANIZADO"),0)</f>
        <v>65108.39</v>
      </c>
      <c r="R79" s="10">
        <f>IFERROR(SUMIFS('Base bordo CD'!Q$2:Q$875,'Base bordo CD'!D$2:D$875,A79,'Base bordo CD'!A$2:A$875,B79,'Base bordo CD'!L$2:L$875,"CORTE DE CANA MECANIZADO"),0)</f>
        <v>15761</v>
      </c>
      <c r="S79" s="30">
        <f t="shared" si="11"/>
        <v>4.1309809022270159</v>
      </c>
      <c r="T79" s="9">
        <f t="shared" si="12"/>
        <v>0.18241898148148147</v>
      </c>
      <c r="U79" s="9">
        <f t="shared" si="13"/>
        <v>3.3553240740740738E-2</v>
      </c>
      <c r="V79" s="9">
        <f t="shared" si="14"/>
        <v>0.80609953703703707</v>
      </c>
    </row>
    <row r="80" spans="1:22" hidden="1" x14ac:dyDescent="0.35">
      <c r="A80" s="52">
        <v>49589</v>
      </c>
      <c r="B80" s="31">
        <v>46123</v>
      </c>
      <c r="C80" s="7" t="s">
        <v>321</v>
      </c>
      <c r="D80" s="7">
        <v>351</v>
      </c>
      <c r="E80" s="10">
        <f>IFERROR(SUMIFS('Base bordo CD'!M$2:M$875,'Base bordo CD'!D$2:D$875,A80,'Base bordo CD'!A$2:A$875,B80,'Base bordo CD'!L$2:L$875,"CORTE DE CANA MECANIZADO"),0)</f>
        <v>4.3780555555555551</v>
      </c>
      <c r="F80" s="10">
        <f>IFERROR(SUMIFS('Base bordo CD'!M$2:M$875,'Base bordo CD'!D$2:D$875,A80,'Base bordo CD'!A$2:A$875,B80,'Base bordo CD'!L$2:L$875,"MANOBRA"),0)</f>
        <v>0.80527777777777776</v>
      </c>
      <c r="G80" s="10">
        <f>IFERROR(SUMIFS('Base bordo CD'!M$2:M$875,'Base bordo CD'!D$2:D$875,A80,'Base bordo CD'!A$2:A$875,B80,'Base bordo CD'!L$2:L$875,"DESLOCAMENTO"),0)</f>
        <v>0.27555555555555555</v>
      </c>
      <c r="H80" s="10">
        <f>IFERROR(SUMIFS('Base bordo CD'!M$2:M$875,'Base bordo CD'!D$2:D$875,A80,'Base bordo CD'!A$2:A$875,B80,'Base bordo CD'!L$2:L$875,"AGUARDANDO MANOBRA DE TRANSBORDO"),0)+IFERROR(SUMIFS('Base bordo CD'!M$2:M$875,'Base bordo CD'!D$2:D$875,A80,'Base bordo CD'!A$2:A$875,B80,'Base bordo CD'!L$2:L$875,"FALTA DE TRANSBORDO"),0)</f>
        <v>0.1111111111111111</v>
      </c>
      <c r="I80" s="10">
        <f>IFERROR(SUMIFS('Base bordo CD'!M$2:M$875,'Base bordo CD'!D$2:D$875,A80,'Base bordo CD'!A$2:A$875,B80,'Base bordo CD'!L$2:L$875,"PARADA POR CONDICOES CLIMATICAS"),0)+IFERROR(SUMIFS('Base bordo CD'!M$2:M$875,'Base bordo CD'!D$2:D$875,A80,'Base bordo CD'!A$2:A$875,B80,'Base bordo CD'!L$2:L$875,"TEMPO INDETERMINADO"),0)</f>
        <v>13.980277777777777</v>
      </c>
      <c r="J80" s="10">
        <f>IFERROR(SUMIFS('Base bordo CD'!M$2:M$875,'Base bordo CD'!D$2:D$875,A80,'Base bordo CD'!A$2:A$875,B80,'Base bordo CD'!L$2:L$875,"LIMITAÇÃO INDÚSTRIA"),0)</f>
        <v>0</v>
      </c>
      <c r="K80" s="10">
        <f>IFERROR(SUMIFS('Base bordo CD'!M$2:M$875,'Base bordo CD'!D$2:D$875,A80,'Base bordo CD'!A$2:A$875,B80,'Base bordo CD'!L$2:L$875,"MAN CORRETIVA*"),0)+IFERROR(SUMIFS('Base bordo CD'!M$2:M$875,'Base bordo CD'!D$2:D$875,A80,'Base bordo CD'!A$2:A$875,B80,'Base bordo CD'!L$2:L$875,"AGUARDANDO MANUTENCAO*"),0)+IFERROR(SUMIFS('Base bordo CD'!M$2:M$875,'Base bordo CD'!D$2:D$875,A80,'Base bordo CD'!A$2:A$875,B80,'Base bordo CD'!L$2:L$875,"TROCA DE FAQUINHA"),0)+IFERROR(SUMIFS('Base bordo CD'!M$2:M$875,'Base bordo CD'!D$2:D$875,A80,'Base bordo CD'!A$2:A$875,B80,'Base bordo CD'!L$2:L$875,"LIMPEZA*"),0)</f>
        <v>1.8027777777777776</v>
      </c>
      <c r="L80" s="10">
        <f>IFERROR(SUMIFS('Base bordo CD'!M$2:M$875,'Base bordo CD'!D$2:D$875,A80,'Base bordo CD'!A$2:A$875,B80,'Base bordo CD'!L$2:L$875,"PATIO - RESERVA"),0)</f>
        <v>0</v>
      </c>
      <c r="M80" s="10">
        <f>IFERROR(SUMIFS('Base bordo CD'!M$2:M$875,'Base bordo CD'!D$2:D$875,A80,'Base bordo CD'!A$2:A$875,B80,'Base bordo CD'!L$2:L$875,"SEM APONTAMENTO"),0)</f>
        <v>8.5000000000000006E-2</v>
      </c>
      <c r="N80" s="10">
        <f>IFERROR(SUMIFS('Base bordo CD'!M$2:M$875,'Base bordo CD'!D$2:D$875,A80,'Base bordo CD'!A$2:A$875,B80,'Base bordo CD'!L$2:L$875,"FALTA DE CAMINHÃO"),0)+IFERROR(SUMIFS('Base bordo CD'!M$2:M$875,'Base bordo CD'!D$2:D$875,A80,'Base bordo CD'!A$2:A$875,B80,'Base bordo CD'!L$2:L$875,"FALTA DE COMBUSTIVEL"),0)+IFERROR(SUMIFS('Base bordo CD'!M$2:M$875,'Base bordo CD'!D$2:D$875,A80,'Base bordo CD'!A$2:A$875,B80,'Base bordo CD'!L$2:L$875,"FALTA DE MOTORIST*"),0)</f>
        <v>0</v>
      </c>
      <c r="O80" s="10">
        <f t="shared" si="10"/>
        <v>2.5619444444444461</v>
      </c>
      <c r="P80" s="10">
        <f>IFERROR(SUMIFS('Base bordo CD'!M$2:M$875,'Base bordo CD'!D$2:D$875,A80,'Base bordo CD'!A$2:A$875,B80),0)</f>
        <v>24</v>
      </c>
      <c r="Q80" s="10">
        <f>IFERROR(SUMIFS('Base bordo CD'!O$2:O$875,'Base bordo CD'!D$2:D$875,A80,'Base bordo CD'!A$2:A$875,B80,'Base bordo CD'!L$2:L$875,"CORTE DE CANA MECANIZADO"),0)</f>
        <v>65108.39</v>
      </c>
      <c r="R80" s="10">
        <f>IFERROR(SUMIFS('Base bordo CD'!Q$2:Q$875,'Base bordo CD'!D$2:D$875,A80,'Base bordo CD'!A$2:A$875,B80,'Base bordo CD'!L$2:L$875,"CORTE DE CANA MECANIZADO"),0)</f>
        <v>15761</v>
      </c>
      <c r="S80" s="30">
        <f t="shared" si="11"/>
        <v>4.1309809022270159</v>
      </c>
      <c r="T80" s="9">
        <f t="shared" si="12"/>
        <v>0.18241898148148147</v>
      </c>
      <c r="U80" s="9">
        <f t="shared" si="13"/>
        <v>3.3553240740740738E-2</v>
      </c>
      <c r="V80" s="9">
        <f t="shared" si="14"/>
        <v>0.80609953703703707</v>
      </c>
    </row>
    <row r="81" spans="1:22" hidden="1" x14ac:dyDescent="0.35">
      <c r="A81" s="52">
        <v>49589</v>
      </c>
      <c r="B81" s="31">
        <v>46123</v>
      </c>
      <c r="C81" s="7" t="s">
        <v>321</v>
      </c>
      <c r="D81" s="7">
        <v>351</v>
      </c>
      <c r="E81" s="10">
        <f>IFERROR(SUMIFS('Base bordo CD'!M$2:M$875,'Base bordo CD'!D$2:D$875,A81,'Base bordo CD'!A$2:A$875,B81,'Base bordo CD'!L$2:L$875,"CORTE DE CANA MECANIZADO"),0)</f>
        <v>4.3780555555555551</v>
      </c>
      <c r="F81" s="10">
        <f>IFERROR(SUMIFS('Base bordo CD'!M$2:M$875,'Base bordo CD'!D$2:D$875,A81,'Base bordo CD'!A$2:A$875,B81,'Base bordo CD'!L$2:L$875,"MANOBRA"),0)</f>
        <v>0.80527777777777776</v>
      </c>
      <c r="G81" s="10">
        <f>IFERROR(SUMIFS('Base bordo CD'!M$2:M$875,'Base bordo CD'!D$2:D$875,A81,'Base bordo CD'!A$2:A$875,B81,'Base bordo CD'!L$2:L$875,"DESLOCAMENTO"),0)</f>
        <v>0.27555555555555555</v>
      </c>
      <c r="H81" s="10">
        <f>IFERROR(SUMIFS('Base bordo CD'!M$2:M$875,'Base bordo CD'!D$2:D$875,A81,'Base bordo CD'!A$2:A$875,B81,'Base bordo CD'!L$2:L$875,"AGUARDANDO MANOBRA DE TRANSBORDO"),0)+IFERROR(SUMIFS('Base bordo CD'!M$2:M$875,'Base bordo CD'!D$2:D$875,A81,'Base bordo CD'!A$2:A$875,B81,'Base bordo CD'!L$2:L$875,"FALTA DE TRANSBORDO"),0)</f>
        <v>0.1111111111111111</v>
      </c>
      <c r="I81" s="10">
        <f>IFERROR(SUMIFS('Base bordo CD'!M$2:M$875,'Base bordo CD'!D$2:D$875,A81,'Base bordo CD'!A$2:A$875,B81,'Base bordo CD'!L$2:L$875,"PARADA POR CONDICOES CLIMATICAS"),0)+IFERROR(SUMIFS('Base bordo CD'!M$2:M$875,'Base bordo CD'!D$2:D$875,A81,'Base bordo CD'!A$2:A$875,B81,'Base bordo CD'!L$2:L$875,"TEMPO INDETERMINADO"),0)</f>
        <v>13.980277777777777</v>
      </c>
      <c r="J81" s="10">
        <f>IFERROR(SUMIFS('Base bordo CD'!M$2:M$875,'Base bordo CD'!D$2:D$875,A81,'Base bordo CD'!A$2:A$875,B81,'Base bordo CD'!L$2:L$875,"LIMITAÇÃO INDÚSTRIA"),0)</f>
        <v>0</v>
      </c>
      <c r="K81" s="10">
        <f>IFERROR(SUMIFS('Base bordo CD'!M$2:M$875,'Base bordo CD'!D$2:D$875,A81,'Base bordo CD'!A$2:A$875,B81,'Base bordo CD'!L$2:L$875,"MAN CORRETIVA*"),0)+IFERROR(SUMIFS('Base bordo CD'!M$2:M$875,'Base bordo CD'!D$2:D$875,A81,'Base bordo CD'!A$2:A$875,B81,'Base bordo CD'!L$2:L$875,"AGUARDANDO MANUTENCAO*"),0)+IFERROR(SUMIFS('Base bordo CD'!M$2:M$875,'Base bordo CD'!D$2:D$875,A81,'Base bordo CD'!A$2:A$875,B81,'Base bordo CD'!L$2:L$875,"TROCA DE FAQUINHA"),0)+IFERROR(SUMIFS('Base bordo CD'!M$2:M$875,'Base bordo CD'!D$2:D$875,A81,'Base bordo CD'!A$2:A$875,B81,'Base bordo CD'!L$2:L$875,"LIMPEZA*"),0)</f>
        <v>1.8027777777777776</v>
      </c>
      <c r="L81" s="10">
        <f>IFERROR(SUMIFS('Base bordo CD'!M$2:M$875,'Base bordo CD'!D$2:D$875,A81,'Base bordo CD'!A$2:A$875,B81,'Base bordo CD'!L$2:L$875,"PATIO - RESERVA"),0)</f>
        <v>0</v>
      </c>
      <c r="M81" s="10">
        <f>IFERROR(SUMIFS('Base bordo CD'!M$2:M$875,'Base bordo CD'!D$2:D$875,A81,'Base bordo CD'!A$2:A$875,B81,'Base bordo CD'!L$2:L$875,"SEM APONTAMENTO"),0)</f>
        <v>8.5000000000000006E-2</v>
      </c>
      <c r="N81" s="10">
        <f>IFERROR(SUMIFS('Base bordo CD'!M$2:M$875,'Base bordo CD'!D$2:D$875,A81,'Base bordo CD'!A$2:A$875,B81,'Base bordo CD'!L$2:L$875,"FALTA DE CAMINHÃO"),0)+IFERROR(SUMIFS('Base bordo CD'!M$2:M$875,'Base bordo CD'!D$2:D$875,A81,'Base bordo CD'!A$2:A$875,B81,'Base bordo CD'!L$2:L$875,"FALTA DE COMBUSTIVEL"),0)+IFERROR(SUMIFS('Base bordo CD'!M$2:M$875,'Base bordo CD'!D$2:D$875,A81,'Base bordo CD'!A$2:A$875,B81,'Base bordo CD'!L$2:L$875,"FALTA DE MOTORIST*"),0)</f>
        <v>0</v>
      </c>
      <c r="O81" s="10">
        <f t="shared" si="10"/>
        <v>2.5619444444444461</v>
      </c>
      <c r="P81" s="10">
        <f>IFERROR(SUMIFS('Base bordo CD'!M$2:M$875,'Base bordo CD'!D$2:D$875,A81,'Base bordo CD'!A$2:A$875,B81),0)</f>
        <v>24</v>
      </c>
      <c r="Q81" s="10">
        <f>IFERROR(SUMIFS('Base bordo CD'!O$2:O$875,'Base bordo CD'!D$2:D$875,A81,'Base bordo CD'!A$2:A$875,B81,'Base bordo CD'!L$2:L$875,"CORTE DE CANA MECANIZADO"),0)</f>
        <v>65108.39</v>
      </c>
      <c r="R81" s="10">
        <f>IFERROR(SUMIFS('Base bordo CD'!Q$2:Q$875,'Base bordo CD'!D$2:D$875,A81,'Base bordo CD'!A$2:A$875,B81,'Base bordo CD'!L$2:L$875,"CORTE DE CANA MECANIZADO"),0)</f>
        <v>15761</v>
      </c>
      <c r="S81" s="30">
        <f t="shared" si="11"/>
        <v>4.1309809022270159</v>
      </c>
      <c r="T81" s="9">
        <f t="shared" si="12"/>
        <v>0.18241898148148147</v>
      </c>
      <c r="U81" s="9">
        <f t="shared" si="13"/>
        <v>3.3553240740740738E-2</v>
      </c>
      <c r="V81" s="9">
        <f t="shared" si="14"/>
        <v>0.80609953703703707</v>
      </c>
    </row>
    <row r="82" spans="1:22" hidden="1" x14ac:dyDescent="0.35">
      <c r="A82" s="52">
        <v>49589</v>
      </c>
      <c r="B82" s="31">
        <v>46123</v>
      </c>
      <c r="C82" s="7" t="s">
        <v>321</v>
      </c>
      <c r="D82" s="7">
        <v>351</v>
      </c>
      <c r="E82" s="10">
        <f>IFERROR(SUMIFS('Base bordo CD'!M$2:M$875,'Base bordo CD'!D$2:D$875,A82,'Base bordo CD'!A$2:A$875,B82,'Base bordo CD'!L$2:L$875,"CORTE DE CANA MECANIZADO"),0)</f>
        <v>4.3780555555555551</v>
      </c>
      <c r="F82" s="10">
        <f>IFERROR(SUMIFS('Base bordo CD'!M$2:M$875,'Base bordo CD'!D$2:D$875,A82,'Base bordo CD'!A$2:A$875,B82,'Base bordo CD'!L$2:L$875,"MANOBRA"),0)</f>
        <v>0.80527777777777776</v>
      </c>
      <c r="G82" s="10">
        <f>IFERROR(SUMIFS('Base bordo CD'!M$2:M$875,'Base bordo CD'!D$2:D$875,A82,'Base bordo CD'!A$2:A$875,B82,'Base bordo CD'!L$2:L$875,"DESLOCAMENTO"),0)</f>
        <v>0.27555555555555555</v>
      </c>
      <c r="H82" s="10">
        <f>IFERROR(SUMIFS('Base bordo CD'!M$2:M$875,'Base bordo CD'!D$2:D$875,A82,'Base bordo CD'!A$2:A$875,B82,'Base bordo CD'!L$2:L$875,"AGUARDANDO MANOBRA DE TRANSBORDO"),0)+IFERROR(SUMIFS('Base bordo CD'!M$2:M$875,'Base bordo CD'!D$2:D$875,A82,'Base bordo CD'!A$2:A$875,B82,'Base bordo CD'!L$2:L$875,"FALTA DE TRANSBORDO"),0)</f>
        <v>0.1111111111111111</v>
      </c>
      <c r="I82" s="10">
        <f>IFERROR(SUMIFS('Base bordo CD'!M$2:M$875,'Base bordo CD'!D$2:D$875,A82,'Base bordo CD'!A$2:A$875,B82,'Base bordo CD'!L$2:L$875,"PARADA POR CONDICOES CLIMATICAS"),0)+IFERROR(SUMIFS('Base bordo CD'!M$2:M$875,'Base bordo CD'!D$2:D$875,A82,'Base bordo CD'!A$2:A$875,B82,'Base bordo CD'!L$2:L$875,"TEMPO INDETERMINADO"),0)</f>
        <v>13.980277777777777</v>
      </c>
      <c r="J82" s="10">
        <f>IFERROR(SUMIFS('Base bordo CD'!M$2:M$875,'Base bordo CD'!D$2:D$875,A82,'Base bordo CD'!A$2:A$875,B82,'Base bordo CD'!L$2:L$875,"LIMITAÇÃO INDÚSTRIA"),0)</f>
        <v>0</v>
      </c>
      <c r="K82" s="10">
        <f>IFERROR(SUMIFS('Base bordo CD'!M$2:M$875,'Base bordo CD'!D$2:D$875,A82,'Base bordo CD'!A$2:A$875,B82,'Base bordo CD'!L$2:L$875,"MAN CORRETIVA*"),0)+IFERROR(SUMIFS('Base bordo CD'!M$2:M$875,'Base bordo CD'!D$2:D$875,A82,'Base bordo CD'!A$2:A$875,B82,'Base bordo CD'!L$2:L$875,"AGUARDANDO MANUTENCAO*"),0)+IFERROR(SUMIFS('Base bordo CD'!M$2:M$875,'Base bordo CD'!D$2:D$875,A82,'Base bordo CD'!A$2:A$875,B82,'Base bordo CD'!L$2:L$875,"TROCA DE FAQUINHA"),0)+IFERROR(SUMIFS('Base bordo CD'!M$2:M$875,'Base bordo CD'!D$2:D$875,A82,'Base bordo CD'!A$2:A$875,B82,'Base bordo CD'!L$2:L$875,"LIMPEZA*"),0)</f>
        <v>1.8027777777777776</v>
      </c>
      <c r="L82" s="10">
        <f>IFERROR(SUMIFS('Base bordo CD'!M$2:M$875,'Base bordo CD'!D$2:D$875,A82,'Base bordo CD'!A$2:A$875,B82,'Base bordo CD'!L$2:L$875,"PATIO - RESERVA"),0)</f>
        <v>0</v>
      </c>
      <c r="M82" s="10">
        <f>IFERROR(SUMIFS('Base bordo CD'!M$2:M$875,'Base bordo CD'!D$2:D$875,A82,'Base bordo CD'!A$2:A$875,B82,'Base bordo CD'!L$2:L$875,"SEM APONTAMENTO"),0)</f>
        <v>8.5000000000000006E-2</v>
      </c>
      <c r="N82" s="10">
        <f>IFERROR(SUMIFS('Base bordo CD'!M$2:M$875,'Base bordo CD'!D$2:D$875,A82,'Base bordo CD'!A$2:A$875,B82,'Base bordo CD'!L$2:L$875,"FALTA DE CAMINHÃO"),0)+IFERROR(SUMIFS('Base bordo CD'!M$2:M$875,'Base bordo CD'!D$2:D$875,A82,'Base bordo CD'!A$2:A$875,B82,'Base bordo CD'!L$2:L$875,"FALTA DE COMBUSTIVEL"),0)+IFERROR(SUMIFS('Base bordo CD'!M$2:M$875,'Base bordo CD'!D$2:D$875,A82,'Base bordo CD'!A$2:A$875,B82,'Base bordo CD'!L$2:L$875,"FALTA DE MOTORIST*"),0)</f>
        <v>0</v>
      </c>
      <c r="O82" s="10">
        <f t="shared" si="10"/>
        <v>2.5619444444444461</v>
      </c>
      <c r="P82" s="10">
        <f>IFERROR(SUMIFS('Base bordo CD'!M$2:M$875,'Base bordo CD'!D$2:D$875,A82,'Base bordo CD'!A$2:A$875,B82),0)</f>
        <v>24</v>
      </c>
      <c r="Q82" s="10">
        <f>IFERROR(SUMIFS('Base bordo CD'!O$2:O$875,'Base bordo CD'!D$2:D$875,A82,'Base bordo CD'!A$2:A$875,B82,'Base bordo CD'!L$2:L$875,"CORTE DE CANA MECANIZADO"),0)</f>
        <v>65108.39</v>
      </c>
      <c r="R82" s="10">
        <f>IFERROR(SUMIFS('Base bordo CD'!Q$2:Q$875,'Base bordo CD'!D$2:D$875,A82,'Base bordo CD'!A$2:A$875,B82,'Base bordo CD'!L$2:L$875,"CORTE DE CANA MECANIZADO"),0)</f>
        <v>15761</v>
      </c>
      <c r="S82" s="30">
        <f t="shared" si="11"/>
        <v>4.1309809022270159</v>
      </c>
      <c r="T82" s="9">
        <f t="shared" si="12"/>
        <v>0.18241898148148147</v>
      </c>
      <c r="U82" s="9">
        <f t="shared" si="13"/>
        <v>3.3553240740740738E-2</v>
      </c>
      <c r="V82" s="9">
        <f t="shared" si="14"/>
        <v>0.80609953703703707</v>
      </c>
    </row>
    <row r="83" spans="1:22" hidden="1" x14ac:dyDescent="0.35">
      <c r="A83" s="52">
        <v>49589</v>
      </c>
      <c r="B83" s="31">
        <v>46123</v>
      </c>
      <c r="C83" s="7" t="s">
        <v>321</v>
      </c>
      <c r="D83" s="7">
        <v>351</v>
      </c>
      <c r="E83" s="10">
        <f>IFERROR(SUMIFS('Base bordo CD'!M$2:M$875,'Base bordo CD'!D$2:D$875,A83,'Base bordo CD'!A$2:A$875,B83,'Base bordo CD'!L$2:L$875,"CORTE DE CANA MECANIZADO"),0)</f>
        <v>4.3780555555555551</v>
      </c>
      <c r="F83" s="10">
        <f>IFERROR(SUMIFS('Base bordo CD'!M$2:M$875,'Base bordo CD'!D$2:D$875,A83,'Base bordo CD'!A$2:A$875,B83,'Base bordo CD'!L$2:L$875,"MANOBRA"),0)</f>
        <v>0.80527777777777776</v>
      </c>
      <c r="G83" s="10">
        <f>IFERROR(SUMIFS('Base bordo CD'!M$2:M$875,'Base bordo CD'!D$2:D$875,A83,'Base bordo CD'!A$2:A$875,B83,'Base bordo CD'!L$2:L$875,"DESLOCAMENTO"),0)</f>
        <v>0.27555555555555555</v>
      </c>
      <c r="H83" s="10">
        <f>IFERROR(SUMIFS('Base bordo CD'!M$2:M$875,'Base bordo CD'!D$2:D$875,A83,'Base bordo CD'!A$2:A$875,B83,'Base bordo CD'!L$2:L$875,"AGUARDANDO MANOBRA DE TRANSBORDO"),0)+IFERROR(SUMIFS('Base bordo CD'!M$2:M$875,'Base bordo CD'!D$2:D$875,A83,'Base bordo CD'!A$2:A$875,B83,'Base bordo CD'!L$2:L$875,"FALTA DE TRANSBORDO"),0)</f>
        <v>0.1111111111111111</v>
      </c>
      <c r="I83" s="10">
        <f>IFERROR(SUMIFS('Base bordo CD'!M$2:M$875,'Base bordo CD'!D$2:D$875,A83,'Base bordo CD'!A$2:A$875,B83,'Base bordo CD'!L$2:L$875,"PARADA POR CONDICOES CLIMATICAS"),0)+IFERROR(SUMIFS('Base bordo CD'!M$2:M$875,'Base bordo CD'!D$2:D$875,A83,'Base bordo CD'!A$2:A$875,B83,'Base bordo CD'!L$2:L$875,"TEMPO INDETERMINADO"),0)</f>
        <v>13.980277777777777</v>
      </c>
      <c r="J83" s="10">
        <f>IFERROR(SUMIFS('Base bordo CD'!M$2:M$875,'Base bordo CD'!D$2:D$875,A83,'Base bordo CD'!A$2:A$875,B83,'Base bordo CD'!L$2:L$875,"LIMITAÇÃO INDÚSTRIA"),0)</f>
        <v>0</v>
      </c>
      <c r="K83" s="10">
        <f>IFERROR(SUMIFS('Base bordo CD'!M$2:M$875,'Base bordo CD'!D$2:D$875,A83,'Base bordo CD'!A$2:A$875,B83,'Base bordo CD'!L$2:L$875,"MAN CORRETIVA*"),0)+IFERROR(SUMIFS('Base bordo CD'!M$2:M$875,'Base bordo CD'!D$2:D$875,A83,'Base bordo CD'!A$2:A$875,B83,'Base bordo CD'!L$2:L$875,"AGUARDANDO MANUTENCAO*"),0)+IFERROR(SUMIFS('Base bordo CD'!M$2:M$875,'Base bordo CD'!D$2:D$875,A83,'Base bordo CD'!A$2:A$875,B83,'Base bordo CD'!L$2:L$875,"TROCA DE FAQUINHA"),0)+IFERROR(SUMIFS('Base bordo CD'!M$2:M$875,'Base bordo CD'!D$2:D$875,A83,'Base bordo CD'!A$2:A$875,B83,'Base bordo CD'!L$2:L$875,"LIMPEZA*"),0)</f>
        <v>1.8027777777777776</v>
      </c>
      <c r="L83" s="10">
        <f>IFERROR(SUMIFS('Base bordo CD'!M$2:M$875,'Base bordo CD'!D$2:D$875,A83,'Base bordo CD'!A$2:A$875,B83,'Base bordo CD'!L$2:L$875,"PATIO - RESERVA"),0)</f>
        <v>0</v>
      </c>
      <c r="M83" s="10">
        <f>IFERROR(SUMIFS('Base bordo CD'!M$2:M$875,'Base bordo CD'!D$2:D$875,A83,'Base bordo CD'!A$2:A$875,B83,'Base bordo CD'!L$2:L$875,"SEM APONTAMENTO"),0)</f>
        <v>8.5000000000000006E-2</v>
      </c>
      <c r="N83" s="10">
        <f>IFERROR(SUMIFS('Base bordo CD'!M$2:M$875,'Base bordo CD'!D$2:D$875,A83,'Base bordo CD'!A$2:A$875,B83,'Base bordo CD'!L$2:L$875,"FALTA DE CAMINHÃO"),0)+IFERROR(SUMIFS('Base bordo CD'!M$2:M$875,'Base bordo CD'!D$2:D$875,A83,'Base bordo CD'!A$2:A$875,B83,'Base bordo CD'!L$2:L$875,"FALTA DE COMBUSTIVEL"),0)+IFERROR(SUMIFS('Base bordo CD'!M$2:M$875,'Base bordo CD'!D$2:D$875,A83,'Base bordo CD'!A$2:A$875,B83,'Base bordo CD'!L$2:L$875,"FALTA DE MOTORIST*"),0)</f>
        <v>0</v>
      </c>
      <c r="O83" s="10">
        <f t="shared" si="10"/>
        <v>2.5619444444444461</v>
      </c>
      <c r="P83" s="10">
        <f>IFERROR(SUMIFS('Base bordo CD'!M$2:M$875,'Base bordo CD'!D$2:D$875,A83,'Base bordo CD'!A$2:A$875,B83),0)</f>
        <v>24</v>
      </c>
      <c r="Q83" s="10">
        <f>IFERROR(SUMIFS('Base bordo CD'!O$2:O$875,'Base bordo CD'!D$2:D$875,A83,'Base bordo CD'!A$2:A$875,B83,'Base bordo CD'!L$2:L$875,"CORTE DE CANA MECANIZADO"),0)</f>
        <v>65108.39</v>
      </c>
      <c r="R83" s="10">
        <f>IFERROR(SUMIFS('Base bordo CD'!Q$2:Q$875,'Base bordo CD'!D$2:D$875,A83,'Base bordo CD'!A$2:A$875,B83,'Base bordo CD'!L$2:L$875,"CORTE DE CANA MECANIZADO"),0)</f>
        <v>15761</v>
      </c>
      <c r="S83" s="30">
        <f t="shared" si="11"/>
        <v>4.1309809022270159</v>
      </c>
      <c r="T83" s="9">
        <f t="shared" si="12"/>
        <v>0.18241898148148147</v>
      </c>
      <c r="U83" s="9">
        <f t="shared" si="13"/>
        <v>3.3553240740740738E-2</v>
      </c>
      <c r="V83" s="9">
        <f t="shared" si="14"/>
        <v>0.80609953703703707</v>
      </c>
    </row>
    <row r="84" spans="1:22" hidden="1" x14ac:dyDescent="0.35">
      <c r="A84" s="52">
        <v>49589</v>
      </c>
      <c r="B84" s="31">
        <v>46123</v>
      </c>
      <c r="C84" s="7" t="s">
        <v>321</v>
      </c>
      <c r="D84" s="7">
        <v>351</v>
      </c>
      <c r="E84" s="10">
        <f>IFERROR(SUMIFS('Base bordo CD'!M$2:M$875,'Base bordo CD'!D$2:D$875,A84,'Base bordo CD'!A$2:A$875,B84,'Base bordo CD'!L$2:L$875,"CORTE DE CANA MECANIZADO"),0)</f>
        <v>4.3780555555555551</v>
      </c>
      <c r="F84" s="10">
        <f>IFERROR(SUMIFS('Base bordo CD'!M$2:M$875,'Base bordo CD'!D$2:D$875,A84,'Base bordo CD'!A$2:A$875,B84,'Base bordo CD'!L$2:L$875,"MANOBRA"),0)</f>
        <v>0.80527777777777776</v>
      </c>
      <c r="G84" s="10">
        <f>IFERROR(SUMIFS('Base bordo CD'!M$2:M$875,'Base bordo CD'!D$2:D$875,A84,'Base bordo CD'!A$2:A$875,B84,'Base bordo CD'!L$2:L$875,"DESLOCAMENTO"),0)</f>
        <v>0.27555555555555555</v>
      </c>
      <c r="H84" s="10">
        <f>IFERROR(SUMIFS('Base bordo CD'!M$2:M$875,'Base bordo CD'!D$2:D$875,A84,'Base bordo CD'!A$2:A$875,B84,'Base bordo CD'!L$2:L$875,"AGUARDANDO MANOBRA DE TRANSBORDO"),0)+IFERROR(SUMIFS('Base bordo CD'!M$2:M$875,'Base bordo CD'!D$2:D$875,A84,'Base bordo CD'!A$2:A$875,B84,'Base bordo CD'!L$2:L$875,"FALTA DE TRANSBORDO"),0)</f>
        <v>0.1111111111111111</v>
      </c>
      <c r="I84" s="10">
        <f>IFERROR(SUMIFS('Base bordo CD'!M$2:M$875,'Base bordo CD'!D$2:D$875,A84,'Base bordo CD'!A$2:A$875,B84,'Base bordo CD'!L$2:L$875,"PARADA POR CONDICOES CLIMATICAS"),0)+IFERROR(SUMIFS('Base bordo CD'!M$2:M$875,'Base bordo CD'!D$2:D$875,A84,'Base bordo CD'!A$2:A$875,B84,'Base bordo CD'!L$2:L$875,"TEMPO INDETERMINADO"),0)</f>
        <v>13.980277777777777</v>
      </c>
      <c r="J84" s="10">
        <f>IFERROR(SUMIFS('Base bordo CD'!M$2:M$875,'Base bordo CD'!D$2:D$875,A84,'Base bordo CD'!A$2:A$875,B84,'Base bordo CD'!L$2:L$875,"LIMITAÇÃO INDÚSTRIA"),0)</f>
        <v>0</v>
      </c>
      <c r="K84" s="10">
        <f>IFERROR(SUMIFS('Base bordo CD'!M$2:M$875,'Base bordo CD'!D$2:D$875,A84,'Base bordo CD'!A$2:A$875,B84,'Base bordo CD'!L$2:L$875,"MAN CORRETIVA*"),0)+IFERROR(SUMIFS('Base bordo CD'!M$2:M$875,'Base bordo CD'!D$2:D$875,A84,'Base bordo CD'!A$2:A$875,B84,'Base bordo CD'!L$2:L$875,"AGUARDANDO MANUTENCAO*"),0)+IFERROR(SUMIFS('Base bordo CD'!M$2:M$875,'Base bordo CD'!D$2:D$875,A84,'Base bordo CD'!A$2:A$875,B84,'Base bordo CD'!L$2:L$875,"TROCA DE FAQUINHA"),0)+IFERROR(SUMIFS('Base bordo CD'!M$2:M$875,'Base bordo CD'!D$2:D$875,A84,'Base bordo CD'!A$2:A$875,B84,'Base bordo CD'!L$2:L$875,"LIMPEZA*"),0)</f>
        <v>1.8027777777777776</v>
      </c>
      <c r="L84" s="10">
        <f>IFERROR(SUMIFS('Base bordo CD'!M$2:M$875,'Base bordo CD'!D$2:D$875,A84,'Base bordo CD'!A$2:A$875,B84,'Base bordo CD'!L$2:L$875,"PATIO - RESERVA"),0)</f>
        <v>0</v>
      </c>
      <c r="M84" s="10">
        <f>IFERROR(SUMIFS('Base bordo CD'!M$2:M$875,'Base bordo CD'!D$2:D$875,A84,'Base bordo CD'!A$2:A$875,B84,'Base bordo CD'!L$2:L$875,"SEM APONTAMENTO"),0)</f>
        <v>8.5000000000000006E-2</v>
      </c>
      <c r="N84" s="10">
        <f>IFERROR(SUMIFS('Base bordo CD'!M$2:M$875,'Base bordo CD'!D$2:D$875,A84,'Base bordo CD'!A$2:A$875,B84,'Base bordo CD'!L$2:L$875,"FALTA DE CAMINHÃO"),0)+IFERROR(SUMIFS('Base bordo CD'!M$2:M$875,'Base bordo CD'!D$2:D$875,A84,'Base bordo CD'!A$2:A$875,B84,'Base bordo CD'!L$2:L$875,"FALTA DE COMBUSTIVEL"),0)+IFERROR(SUMIFS('Base bordo CD'!M$2:M$875,'Base bordo CD'!D$2:D$875,A84,'Base bordo CD'!A$2:A$875,B84,'Base bordo CD'!L$2:L$875,"FALTA DE MOTORIST*"),0)</f>
        <v>0</v>
      </c>
      <c r="O84" s="10">
        <f t="shared" si="10"/>
        <v>2.5619444444444461</v>
      </c>
      <c r="P84" s="10">
        <f>IFERROR(SUMIFS('Base bordo CD'!M$2:M$875,'Base bordo CD'!D$2:D$875,A84,'Base bordo CD'!A$2:A$875,B84),0)</f>
        <v>24</v>
      </c>
      <c r="Q84" s="10">
        <f>IFERROR(SUMIFS('Base bordo CD'!O$2:O$875,'Base bordo CD'!D$2:D$875,A84,'Base bordo CD'!A$2:A$875,B84,'Base bordo CD'!L$2:L$875,"CORTE DE CANA MECANIZADO"),0)</f>
        <v>65108.39</v>
      </c>
      <c r="R84" s="10">
        <f>IFERROR(SUMIFS('Base bordo CD'!Q$2:Q$875,'Base bordo CD'!D$2:D$875,A84,'Base bordo CD'!A$2:A$875,B84,'Base bordo CD'!L$2:L$875,"CORTE DE CANA MECANIZADO"),0)</f>
        <v>15761</v>
      </c>
      <c r="S84" s="30">
        <f t="shared" si="11"/>
        <v>4.1309809022270159</v>
      </c>
      <c r="T84" s="9">
        <f t="shared" si="12"/>
        <v>0.18241898148148147</v>
      </c>
      <c r="U84" s="9">
        <f t="shared" si="13"/>
        <v>3.3553240740740738E-2</v>
      </c>
      <c r="V84" s="9">
        <f t="shared" si="14"/>
        <v>0.80609953703703707</v>
      </c>
    </row>
    <row r="85" spans="1:22" hidden="1" x14ac:dyDescent="0.35">
      <c r="A85" s="52">
        <v>49589</v>
      </c>
      <c r="B85" s="31">
        <v>46123</v>
      </c>
      <c r="C85" s="7" t="s">
        <v>321</v>
      </c>
      <c r="D85" s="7">
        <v>351</v>
      </c>
      <c r="E85" s="10">
        <f>IFERROR(SUMIFS('Base bordo CD'!M$2:M$875,'Base bordo CD'!D$2:D$875,A85,'Base bordo CD'!A$2:A$875,B85,'Base bordo CD'!L$2:L$875,"CORTE DE CANA MECANIZADO"),0)</f>
        <v>4.3780555555555551</v>
      </c>
      <c r="F85" s="10">
        <f>IFERROR(SUMIFS('Base bordo CD'!M$2:M$875,'Base bordo CD'!D$2:D$875,A85,'Base bordo CD'!A$2:A$875,B85,'Base bordo CD'!L$2:L$875,"MANOBRA"),0)</f>
        <v>0.80527777777777776</v>
      </c>
      <c r="G85" s="10">
        <f>IFERROR(SUMIFS('Base bordo CD'!M$2:M$875,'Base bordo CD'!D$2:D$875,A85,'Base bordo CD'!A$2:A$875,B85,'Base bordo CD'!L$2:L$875,"DESLOCAMENTO"),0)</f>
        <v>0.27555555555555555</v>
      </c>
      <c r="H85" s="10">
        <f>IFERROR(SUMIFS('Base bordo CD'!M$2:M$875,'Base bordo CD'!D$2:D$875,A85,'Base bordo CD'!A$2:A$875,B85,'Base bordo CD'!L$2:L$875,"AGUARDANDO MANOBRA DE TRANSBORDO"),0)+IFERROR(SUMIFS('Base bordo CD'!M$2:M$875,'Base bordo CD'!D$2:D$875,A85,'Base bordo CD'!A$2:A$875,B85,'Base bordo CD'!L$2:L$875,"FALTA DE TRANSBORDO"),0)</f>
        <v>0.1111111111111111</v>
      </c>
      <c r="I85" s="10">
        <f>IFERROR(SUMIFS('Base bordo CD'!M$2:M$875,'Base bordo CD'!D$2:D$875,A85,'Base bordo CD'!A$2:A$875,B85,'Base bordo CD'!L$2:L$875,"PARADA POR CONDICOES CLIMATICAS"),0)+IFERROR(SUMIFS('Base bordo CD'!M$2:M$875,'Base bordo CD'!D$2:D$875,A85,'Base bordo CD'!A$2:A$875,B85,'Base bordo CD'!L$2:L$875,"TEMPO INDETERMINADO"),0)</f>
        <v>13.980277777777777</v>
      </c>
      <c r="J85" s="10">
        <f>IFERROR(SUMIFS('Base bordo CD'!M$2:M$875,'Base bordo CD'!D$2:D$875,A85,'Base bordo CD'!A$2:A$875,B85,'Base bordo CD'!L$2:L$875,"LIMITAÇÃO INDÚSTRIA"),0)</f>
        <v>0</v>
      </c>
      <c r="K85" s="10">
        <f>IFERROR(SUMIFS('Base bordo CD'!M$2:M$875,'Base bordo CD'!D$2:D$875,A85,'Base bordo CD'!A$2:A$875,B85,'Base bordo CD'!L$2:L$875,"MAN CORRETIVA*"),0)+IFERROR(SUMIFS('Base bordo CD'!M$2:M$875,'Base bordo CD'!D$2:D$875,A85,'Base bordo CD'!A$2:A$875,B85,'Base bordo CD'!L$2:L$875,"AGUARDANDO MANUTENCAO*"),0)+IFERROR(SUMIFS('Base bordo CD'!M$2:M$875,'Base bordo CD'!D$2:D$875,A85,'Base bordo CD'!A$2:A$875,B85,'Base bordo CD'!L$2:L$875,"TROCA DE FAQUINHA"),0)+IFERROR(SUMIFS('Base bordo CD'!M$2:M$875,'Base bordo CD'!D$2:D$875,A85,'Base bordo CD'!A$2:A$875,B85,'Base bordo CD'!L$2:L$875,"LIMPEZA*"),0)</f>
        <v>1.8027777777777776</v>
      </c>
      <c r="L85" s="10">
        <f>IFERROR(SUMIFS('Base bordo CD'!M$2:M$875,'Base bordo CD'!D$2:D$875,A85,'Base bordo CD'!A$2:A$875,B85,'Base bordo CD'!L$2:L$875,"PATIO - RESERVA"),0)</f>
        <v>0</v>
      </c>
      <c r="M85" s="10">
        <f>IFERROR(SUMIFS('Base bordo CD'!M$2:M$875,'Base bordo CD'!D$2:D$875,A85,'Base bordo CD'!A$2:A$875,B85,'Base bordo CD'!L$2:L$875,"SEM APONTAMENTO"),0)</f>
        <v>8.5000000000000006E-2</v>
      </c>
      <c r="N85" s="10">
        <f>IFERROR(SUMIFS('Base bordo CD'!M$2:M$875,'Base bordo CD'!D$2:D$875,A85,'Base bordo CD'!A$2:A$875,B85,'Base bordo CD'!L$2:L$875,"FALTA DE CAMINHÃO"),0)+IFERROR(SUMIFS('Base bordo CD'!M$2:M$875,'Base bordo CD'!D$2:D$875,A85,'Base bordo CD'!A$2:A$875,B85,'Base bordo CD'!L$2:L$875,"FALTA DE COMBUSTIVEL"),0)+IFERROR(SUMIFS('Base bordo CD'!M$2:M$875,'Base bordo CD'!D$2:D$875,A85,'Base bordo CD'!A$2:A$875,B85,'Base bordo CD'!L$2:L$875,"FALTA DE MOTORIST*"),0)</f>
        <v>0</v>
      </c>
      <c r="O85" s="10">
        <f t="shared" si="10"/>
        <v>2.5619444444444461</v>
      </c>
      <c r="P85" s="10">
        <f>IFERROR(SUMIFS('Base bordo CD'!M$2:M$875,'Base bordo CD'!D$2:D$875,A85,'Base bordo CD'!A$2:A$875,B85),0)</f>
        <v>24</v>
      </c>
      <c r="Q85" s="10">
        <f>IFERROR(SUMIFS('Base bordo CD'!O$2:O$875,'Base bordo CD'!D$2:D$875,A85,'Base bordo CD'!A$2:A$875,B85,'Base bordo CD'!L$2:L$875,"CORTE DE CANA MECANIZADO"),0)</f>
        <v>65108.39</v>
      </c>
      <c r="R85" s="10">
        <f>IFERROR(SUMIFS('Base bordo CD'!Q$2:Q$875,'Base bordo CD'!D$2:D$875,A85,'Base bordo CD'!A$2:A$875,B85,'Base bordo CD'!L$2:L$875,"CORTE DE CANA MECANIZADO"),0)</f>
        <v>15761</v>
      </c>
      <c r="S85" s="30">
        <f t="shared" si="11"/>
        <v>4.1309809022270159</v>
      </c>
      <c r="T85" s="9">
        <f t="shared" si="12"/>
        <v>0.18241898148148147</v>
      </c>
      <c r="U85" s="9">
        <f t="shared" si="13"/>
        <v>3.3553240740740738E-2</v>
      </c>
      <c r="V85" s="9">
        <f t="shared" si="14"/>
        <v>0.80609953703703707</v>
      </c>
    </row>
    <row r="86" spans="1:22" hidden="1" x14ac:dyDescent="0.35">
      <c r="A86" s="52">
        <v>49589</v>
      </c>
      <c r="B86" s="31">
        <v>46123</v>
      </c>
      <c r="C86" s="7" t="s">
        <v>321</v>
      </c>
      <c r="D86" s="7">
        <v>351</v>
      </c>
      <c r="E86" s="10">
        <f>IFERROR(SUMIFS('Base bordo CD'!M$2:M$875,'Base bordo CD'!D$2:D$875,A86,'Base bordo CD'!A$2:A$875,B86,'Base bordo CD'!L$2:L$875,"CORTE DE CANA MECANIZADO"),0)</f>
        <v>4.3780555555555551</v>
      </c>
      <c r="F86" s="10">
        <f>IFERROR(SUMIFS('Base bordo CD'!M$2:M$875,'Base bordo CD'!D$2:D$875,A86,'Base bordo CD'!A$2:A$875,B86,'Base bordo CD'!L$2:L$875,"MANOBRA"),0)</f>
        <v>0.80527777777777776</v>
      </c>
      <c r="G86" s="10">
        <f>IFERROR(SUMIFS('Base bordo CD'!M$2:M$875,'Base bordo CD'!D$2:D$875,A86,'Base bordo CD'!A$2:A$875,B86,'Base bordo CD'!L$2:L$875,"DESLOCAMENTO"),0)</f>
        <v>0.27555555555555555</v>
      </c>
      <c r="H86" s="10">
        <f>IFERROR(SUMIFS('Base bordo CD'!M$2:M$875,'Base bordo CD'!D$2:D$875,A86,'Base bordo CD'!A$2:A$875,B86,'Base bordo CD'!L$2:L$875,"AGUARDANDO MANOBRA DE TRANSBORDO"),0)+IFERROR(SUMIFS('Base bordo CD'!M$2:M$875,'Base bordo CD'!D$2:D$875,A86,'Base bordo CD'!A$2:A$875,B86,'Base bordo CD'!L$2:L$875,"FALTA DE TRANSBORDO"),0)</f>
        <v>0.1111111111111111</v>
      </c>
      <c r="I86" s="10">
        <f>IFERROR(SUMIFS('Base bordo CD'!M$2:M$875,'Base bordo CD'!D$2:D$875,A86,'Base bordo CD'!A$2:A$875,B86,'Base bordo CD'!L$2:L$875,"PARADA POR CONDICOES CLIMATICAS"),0)+IFERROR(SUMIFS('Base bordo CD'!M$2:M$875,'Base bordo CD'!D$2:D$875,A86,'Base bordo CD'!A$2:A$875,B86,'Base bordo CD'!L$2:L$875,"TEMPO INDETERMINADO"),0)</f>
        <v>13.980277777777777</v>
      </c>
      <c r="J86" s="10">
        <f>IFERROR(SUMIFS('Base bordo CD'!M$2:M$875,'Base bordo CD'!D$2:D$875,A86,'Base bordo CD'!A$2:A$875,B86,'Base bordo CD'!L$2:L$875,"LIMITAÇÃO INDÚSTRIA"),0)</f>
        <v>0</v>
      </c>
      <c r="K86" s="10">
        <f>IFERROR(SUMIFS('Base bordo CD'!M$2:M$875,'Base bordo CD'!D$2:D$875,A86,'Base bordo CD'!A$2:A$875,B86,'Base bordo CD'!L$2:L$875,"MAN CORRETIVA*"),0)+IFERROR(SUMIFS('Base bordo CD'!M$2:M$875,'Base bordo CD'!D$2:D$875,A86,'Base bordo CD'!A$2:A$875,B86,'Base bordo CD'!L$2:L$875,"AGUARDANDO MANUTENCAO*"),0)+IFERROR(SUMIFS('Base bordo CD'!M$2:M$875,'Base bordo CD'!D$2:D$875,A86,'Base bordo CD'!A$2:A$875,B86,'Base bordo CD'!L$2:L$875,"TROCA DE FAQUINHA"),0)+IFERROR(SUMIFS('Base bordo CD'!M$2:M$875,'Base bordo CD'!D$2:D$875,A86,'Base bordo CD'!A$2:A$875,B86,'Base bordo CD'!L$2:L$875,"LIMPEZA*"),0)</f>
        <v>1.8027777777777776</v>
      </c>
      <c r="L86" s="10">
        <f>IFERROR(SUMIFS('Base bordo CD'!M$2:M$875,'Base bordo CD'!D$2:D$875,A86,'Base bordo CD'!A$2:A$875,B86,'Base bordo CD'!L$2:L$875,"PATIO - RESERVA"),0)</f>
        <v>0</v>
      </c>
      <c r="M86" s="10">
        <f>IFERROR(SUMIFS('Base bordo CD'!M$2:M$875,'Base bordo CD'!D$2:D$875,A86,'Base bordo CD'!A$2:A$875,B86,'Base bordo CD'!L$2:L$875,"SEM APONTAMENTO"),0)</f>
        <v>8.5000000000000006E-2</v>
      </c>
      <c r="N86" s="10">
        <f>IFERROR(SUMIFS('Base bordo CD'!M$2:M$875,'Base bordo CD'!D$2:D$875,A86,'Base bordo CD'!A$2:A$875,B86,'Base bordo CD'!L$2:L$875,"FALTA DE CAMINHÃO"),0)+IFERROR(SUMIFS('Base bordo CD'!M$2:M$875,'Base bordo CD'!D$2:D$875,A86,'Base bordo CD'!A$2:A$875,B86,'Base bordo CD'!L$2:L$875,"FALTA DE COMBUSTIVEL"),0)+IFERROR(SUMIFS('Base bordo CD'!M$2:M$875,'Base bordo CD'!D$2:D$875,A86,'Base bordo CD'!A$2:A$875,B86,'Base bordo CD'!L$2:L$875,"FALTA DE MOTORIST*"),0)</f>
        <v>0</v>
      </c>
      <c r="O86" s="10">
        <f t="shared" si="10"/>
        <v>2.5619444444444461</v>
      </c>
      <c r="P86" s="10">
        <f>IFERROR(SUMIFS('Base bordo CD'!M$2:M$875,'Base bordo CD'!D$2:D$875,A86,'Base bordo CD'!A$2:A$875,B86),0)</f>
        <v>24</v>
      </c>
      <c r="Q86" s="10">
        <f>IFERROR(SUMIFS('Base bordo CD'!O$2:O$875,'Base bordo CD'!D$2:D$875,A86,'Base bordo CD'!A$2:A$875,B86,'Base bordo CD'!L$2:L$875,"CORTE DE CANA MECANIZADO"),0)</f>
        <v>65108.39</v>
      </c>
      <c r="R86" s="10">
        <f>IFERROR(SUMIFS('Base bordo CD'!Q$2:Q$875,'Base bordo CD'!D$2:D$875,A86,'Base bordo CD'!A$2:A$875,B86,'Base bordo CD'!L$2:L$875,"CORTE DE CANA MECANIZADO"),0)</f>
        <v>15761</v>
      </c>
      <c r="S86" s="30">
        <f t="shared" si="11"/>
        <v>4.1309809022270159</v>
      </c>
      <c r="T86" s="9">
        <f t="shared" si="12"/>
        <v>0.18241898148148147</v>
      </c>
      <c r="U86" s="9">
        <f t="shared" si="13"/>
        <v>3.3553240740740738E-2</v>
      </c>
      <c r="V86" s="9">
        <f t="shared" si="14"/>
        <v>0.80609953703703707</v>
      </c>
    </row>
    <row r="87" spans="1:22" hidden="1" x14ac:dyDescent="0.35">
      <c r="A87" s="52">
        <v>49589</v>
      </c>
      <c r="B87" s="31">
        <v>46123</v>
      </c>
      <c r="C87" s="7" t="s">
        <v>321</v>
      </c>
      <c r="D87" s="7">
        <v>351</v>
      </c>
      <c r="E87" s="10">
        <f>IFERROR(SUMIFS('Base bordo CD'!M$2:M$875,'Base bordo CD'!D$2:D$875,A87,'Base bordo CD'!A$2:A$875,B87,'Base bordo CD'!L$2:L$875,"CORTE DE CANA MECANIZADO"),0)</f>
        <v>4.3780555555555551</v>
      </c>
      <c r="F87" s="10">
        <f>IFERROR(SUMIFS('Base bordo CD'!M$2:M$875,'Base bordo CD'!D$2:D$875,A87,'Base bordo CD'!A$2:A$875,B87,'Base bordo CD'!L$2:L$875,"MANOBRA"),0)</f>
        <v>0.80527777777777776</v>
      </c>
      <c r="G87" s="10">
        <f>IFERROR(SUMIFS('Base bordo CD'!M$2:M$875,'Base bordo CD'!D$2:D$875,A87,'Base bordo CD'!A$2:A$875,B87,'Base bordo CD'!L$2:L$875,"DESLOCAMENTO"),0)</f>
        <v>0.27555555555555555</v>
      </c>
      <c r="H87" s="10">
        <f>IFERROR(SUMIFS('Base bordo CD'!M$2:M$875,'Base bordo CD'!D$2:D$875,A87,'Base bordo CD'!A$2:A$875,B87,'Base bordo CD'!L$2:L$875,"AGUARDANDO MANOBRA DE TRANSBORDO"),0)+IFERROR(SUMIFS('Base bordo CD'!M$2:M$875,'Base bordo CD'!D$2:D$875,A87,'Base bordo CD'!A$2:A$875,B87,'Base bordo CD'!L$2:L$875,"FALTA DE TRANSBORDO"),0)</f>
        <v>0.1111111111111111</v>
      </c>
      <c r="I87" s="10">
        <f>IFERROR(SUMIFS('Base bordo CD'!M$2:M$875,'Base bordo CD'!D$2:D$875,A87,'Base bordo CD'!A$2:A$875,B87,'Base bordo CD'!L$2:L$875,"PARADA POR CONDICOES CLIMATICAS"),0)+IFERROR(SUMIFS('Base bordo CD'!M$2:M$875,'Base bordo CD'!D$2:D$875,A87,'Base bordo CD'!A$2:A$875,B87,'Base bordo CD'!L$2:L$875,"TEMPO INDETERMINADO"),0)</f>
        <v>13.980277777777777</v>
      </c>
      <c r="J87" s="10">
        <f>IFERROR(SUMIFS('Base bordo CD'!M$2:M$875,'Base bordo CD'!D$2:D$875,A87,'Base bordo CD'!A$2:A$875,B87,'Base bordo CD'!L$2:L$875,"LIMITAÇÃO INDÚSTRIA"),0)</f>
        <v>0</v>
      </c>
      <c r="K87" s="10">
        <f>IFERROR(SUMIFS('Base bordo CD'!M$2:M$875,'Base bordo CD'!D$2:D$875,A87,'Base bordo CD'!A$2:A$875,B87,'Base bordo CD'!L$2:L$875,"MAN CORRETIVA*"),0)+IFERROR(SUMIFS('Base bordo CD'!M$2:M$875,'Base bordo CD'!D$2:D$875,A87,'Base bordo CD'!A$2:A$875,B87,'Base bordo CD'!L$2:L$875,"AGUARDANDO MANUTENCAO*"),0)+IFERROR(SUMIFS('Base bordo CD'!M$2:M$875,'Base bordo CD'!D$2:D$875,A87,'Base bordo CD'!A$2:A$875,B87,'Base bordo CD'!L$2:L$875,"TROCA DE FAQUINHA"),0)+IFERROR(SUMIFS('Base bordo CD'!M$2:M$875,'Base bordo CD'!D$2:D$875,A87,'Base bordo CD'!A$2:A$875,B87,'Base bordo CD'!L$2:L$875,"LIMPEZA*"),0)</f>
        <v>1.8027777777777776</v>
      </c>
      <c r="L87" s="10">
        <f>IFERROR(SUMIFS('Base bordo CD'!M$2:M$875,'Base bordo CD'!D$2:D$875,A87,'Base bordo CD'!A$2:A$875,B87,'Base bordo CD'!L$2:L$875,"PATIO - RESERVA"),0)</f>
        <v>0</v>
      </c>
      <c r="M87" s="10">
        <f>IFERROR(SUMIFS('Base bordo CD'!M$2:M$875,'Base bordo CD'!D$2:D$875,A87,'Base bordo CD'!A$2:A$875,B87,'Base bordo CD'!L$2:L$875,"SEM APONTAMENTO"),0)</f>
        <v>8.5000000000000006E-2</v>
      </c>
      <c r="N87" s="10">
        <f>IFERROR(SUMIFS('Base bordo CD'!M$2:M$875,'Base bordo CD'!D$2:D$875,A87,'Base bordo CD'!A$2:A$875,B87,'Base bordo CD'!L$2:L$875,"FALTA DE CAMINHÃO"),0)+IFERROR(SUMIFS('Base bordo CD'!M$2:M$875,'Base bordo CD'!D$2:D$875,A87,'Base bordo CD'!A$2:A$875,B87,'Base bordo CD'!L$2:L$875,"FALTA DE COMBUSTIVEL"),0)+IFERROR(SUMIFS('Base bordo CD'!M$2:M$875,'Base bordo CD'!D$2:D$875,A87,'Base bordo CD'!A$2:A$875,B87,'Base bordo CD'!L$2:L$875,"FALTA DE MOTORIST*"),0)</f>
        <v>0</v>
      </c>
      <c r="O87" s="10">
        <f t="shared" si="10"/>
        <v>2.5619444444444461</v>
      </c>
      <c r="P87" s="10">
        <f>IFERROR(SUMIFS('Base bordo CD'!M$2:M$875,'Base bordo CD'!D$2:D$875,A87,'Base bordo CD'!A$2:A$875,B87),0)</f>
        <v>24</v>
      </c>
      <c r="Q87" s="10">
        <f>IFERROR(SUMIFS('Base bordo CD'!O$2:O$875,'Base bordo CD'!D$2:D$875,A87,'Base bordo CD'!A$2:A$875,B87,'Base bordo CD'!L$2:L$875,"CORTE DE CANA MECANIZADO"),0)</f>
        <v>65108.39</v>
      </c>
      <c r="R87" s="10">
        <f>IFERROR(SUMIFS('Base bordo CD'!Q$2:Q$875,'Base bordo CD'!D$2:D$875,A87,'Base bordo CD'!A$2:A$875,B87,'Base bordo CD'!L$2:L$875,"CORTE DE CANA MECANIZADO"),0)</f>
        <v>15761</v>
      </c>
      <c r="S87" s="30">
        <f t="shared" si="11"/>
        <v>4.1309809022270159</v>
      </c>
      <c r="T87" s="9">
        <f t="shared" si="12"/>
        <v>0.18241898148148147</v>
      </c>
      <c r="U87" s="9">
        <f t="shared" si="13"/>
        <v>3.3553240740740738E-2</v>
      </c>
      <c r="V87" s="9">
        <f t="shared" si="14"/>
        <v>0.80609953703703707</v>
      </c>
    </row>
    <row r="88" spans="1:22" hidden="1" x14ac:dyDescent="0.35">
      <c r="A88" s="52">
        <v>49589</v>
      </c>
      <c r="B88" s="31">
        <v>46123</v>
      </c>
      <c r="C88" s="7" t="s">
        <v>321</v>
      </c>
      <c r="D88" s="7">
        <v>351</v>
      </c>
      <c r="E88" s="10">
        <f>IFERROR(SUMIFS('Base bordo CD'!M$2:M$875,'Base bordo CD'!D$2:D$875,A88,'Base bordo CD'!A$2:A$875,B88,'Base bordo CD'!L$2:L$875,"CORTE DE CANA MECANIZADO"),0)</f>
        <v>4.3780555555555551</v>
      </c>
      <c r="F88" s="10">
        <f>IFERROR(SUMIFS('Base bordo CD'!M$2:M$875,'Base bordo CD'!D$2:D$875,A88,'Base bordo CD'!A$2:A$875,B88,'Base bordo CD'!L$2:L$875,"MANOBRA"),0)</f>
        <v>0.80527777777777776</v>
      </c>
      <c r="G88" s="10">
        <f>IFERROR(SUMIFS('Base bordo CD'!M$2:M$875,'Base bordo CD'!D$2:D$875,A88,'Base bordo CD'!A$2:A$875,B88,'Base bordo CD'!L$2:L$875,"DESLOCAMENTO"),0)</f>
        <v>0.27555555555555555</v>
      </c>
      <c r="H88" s="10">
        <f>IFERROR(SUMIFS('Base bordo CD'!M$2:M$875,'Base bordo CD'!D$2:D$875,A88,'Base bordo CD'!A$2:A$875,B88,'Base bordo CD'!L$2:L$875,"AGUARDANDO MANOBRA DE TRANSBORDO"),0)+IFERROR(SUMIFS('Base bordo CD'!M$2:M$875,'Base bordo CD'!D$2:D$875,A88,'Base bordo CD'!A$2:A$875,B88,'Base bordo CD'!L$2:L$875,"FALTA DE TRANSBORDO"),0)</f>
        <v>0.1111111111111111</v>
      </c>
      <c r="I88" s="10">
        <f>IFERROR(SUMIFS('Base bordo CD'!M$2:M$875,'Base bordo CD'!D$2:D$875,A88,'Base bordo CD'!A$2:A$875,B88,'Base bordo CD'!L$2:L$875,"PARADA POR CONDICOES CLIMATICAS"),0)+IFERROR(SUMIFS('Base bordo CD'!M$2:M$875,'Base bordo CD'!D$2:D$875,A88,'Base bordo CD'!A$2:A$875,B88,'Base bordo CD'!L$2:L$875,"TEMPO INDETERMINADO"),0)</f>
        <v>13.980277777777777</v>
      </c>
      <c r="J88" s="10">
        <f>IFERROR(SUMIFS('Base bordo CD'!M$2:M$875,'Base bordo CD'!D$2:D$875,A88,'Base bordo CD'!A$2:A$875,B88,'Base bordo CD'!L$2:L$875,"LIMITAÇÃO INDÚSTRIA"),0)</f>
        <v>0</v>
      </c>
      <c r="K88" s="10">
        <f>IFERROR(SUMIFS('Base bordo CD'!M$2:M$875,'Base bordo CD'!D$2:D$875,A88,'Base bordo CD'!A$2:A$875,B88,'Base bordo CD'!L$2:L$875,"MAN CORRETIVA*"),0)+IFERROR(SUMIFS('Base bordo CD'!M$2:M$875,'Base bordo CD'!D$2:D$875,A88,'Base bordo CD'!A$2:A$875,B88,'Base bordo CD'!L$2:L$875,"AGUARDANDO MANUTENCAO*"),0)+IFERROR(SUMIFS('Base bordo CD'!M$2:M$875,'Base bordo CD'!D$2:D$875,A88,'Base bordo CD'!A$2:A$875,B88,'Base bordo CD'!L$2:L$875,"TROCA DE FAQUINHA"),0)+IFERROR(SUMIFS('Base bordo CD'!M$2:M$875,'Base bordo CD'!D$2:D$875,A88,'Base bordo CD'!A$2:A$875,B88,'Base bordo CD'!L$2:L$875,"LIMPEZA*"),0)</f>
        <v>1.8027777777777776</v>
      </c>
      <c r="L88" s="10">
        <f>IFERROR(SUMIFS('Base bordo CD'!M$2:M$875,'Base bordo CD'!D$2:D$875,A88,'Base bordo CD'!A$2:A$875,B88,'Base bordo CD'!L$2:L$875,"PATIO - RESERVA"),0)</f>
        <v>0</v>
      </c>
      <c r="M88" s="10">
        <f>IFERROR(SUMIFS('Base bordo CD'!M$2:M$875,'Base bordo CD'!D$2:D$875,A88,'Base bordo CD'!A$2:A$875,B88,'Base bordo CD'!L$2:L$875,"SEM APONTAMENTO"),0)</f>
        <v>8.5000000000000006E-2</v>
      </c>
      <c r="N88" s="10">
        <f>IFERROR(SUMIFS('Base bordo CD'!M$2:M$875,'Base bordo CD'!D$2:D$875,A88,'Base bordo CD'!A$2:A$875,B88,'Base bordo CD'!L$2:L$875,"FALTA DE CAMINHÃO"),0)+IFERROR(SUMIFS('Base bordo CD'!M$2:M$875,'Base bordo CD'!D$2:D$875,A88,'Base bordo CD'!A$2:A$875,B88,'Base bordo CD'!L$2:L$875,"FALTA DE COMBUSTIVEL"),0)+IFERROR(SUMIFS('Base bordo CD'!M$2:M$875,'Base bordo CD'!D$2:D$875,A88,'Base bordo CD'!A$2:A$875,B88,'Base bordo CD'!L$2:L$875,"FALTA DE MOTORIST*"),0)</f>
        <v>0</v>
      </c>
      <c r="O88" s="10">
        <f t="shared" si="10"/>
        <v>2.5619444444444461</v>
      </c>
      <c r="P88" s="10">
        <f>IFERROR(SUMIFS('Base bordo CD'!M$2:M$875,'Base bordo CD'!D$2:D$875,A88,'Base bordo CD'!A$2:A$875,B88),0)</f>
        <v>24</v>
      </c>
      <c r="Q88" s="10">
        <f>IFERROR(SUMIFS('Base bordo CD'!O$2:O$875,'Base bordo CD'!D$2:D$875,A88,'Base bordo CD'!A$2:A$875,B88,'Base bordo CD'!L$2:L$875,"CORTE DE CANA MECANIZADO"),0)</f>
        <v>65108.39</v>
      </c>
      <c r="R88" s="10">
        <f>IFERROR(SUMIFS('Base bordo CD'!Q$2:Q$875,'Base bordo CD'!D$2:D$875,A88,'Base bordo CD'!A$2:A$875,B88,'Base bordo CD'!L$2:L$875,"CORTE DE CANA MECANIZADO"),0)</f>
        <v>15761</v>
      </c>
      <c r="S88" s="30">
        <f t="shared" si="11"/>
        <v>4.1309809022270159</v>
      </c>
      <c r="T88" s="9">
        <f t="shared" si="12"/>
        <v>0.18241898148148147</v>
      </c>
      <c r="U88" s="9">
        <f t="shared" si="13"/>
        <v>3.3553240740740738E-2</v>
      </c>
      <c r="V88" s="9">
        <f t="shared" si="14"/>
        <v>0.80609953703703707</v>
      </c>
    </row>
    <row r="89" spans="1:22" hidden="1" x14ac:dyDescent="0.35">
      <c r="A89" s="52">
        <v>49589</v>
      </c>
      <c r="B89" s="31">
        <v>46123</v>
      </c>
      <c r="C89" s="7" t="s">
        <v>321</v>
      </c>
      <c r="D89" s="7">
        <v>351</v>
      </c>
      <c r="E89" s="10">
        <f>IFERROR(SUMIFS('Base bordo CD'!M$2:M$875,'Base bordo CD'!D$2:D$875,A89,'Base bordo CD'!A$2:A$875,B89,'Base bordo CD'!L$2:L$875,"CORTE DE CANA MECANIZADO"),0)</f>
        <v>4.3780555555555551</v>
      </c>
      <c r="F89" s="10">
        <f>IFERROR(SUMIFS('Base bordo CD'!M$2:M$875,'Base bordo CD'!D$2:D$875,A89,'Base bordo CD'!A$2:A$875,B89,'Base bordo CD'!L$2:L$875,"MANOBRA"),0)</f>
        <v>0.80527777777777776</v>
      </c>
      <c r="G89" s="10">
        <f>IFERROR(SUMIFS('Base bordo CD'!M$2:M$875,'Base bordo CD'!D$2:D$875,A89,'Base bordo CD'!A$2:A$875,B89,'Base bordo CD'!L$2:L$875,"DESLOCAMENTO"),0)</f>
        <v>0.27555555555555555</v>
      </c>
      <c r="H89" s="10">
        <f>IFERROR(SUMIFS('Base bordo CD'!M$2:M$875,'Base bordo CD'!D$2:D$875,A89,'Base bordo CD'!A$2:A$875,B89,'Base bordo CD'!L$2:L$875,"AGUARDANDO MANOBRA DE TRANSBORDO"),0)+IFERROR(SUMIFS('Base bordo CD'!M$2:M$875,'Base bordo CD'!D$2:D$875,A89,'Base bordo CD'!A$2:A$875,B89,'Base bordo CD'!L$2:L$875,"FALTA DE TRANSBORDO"),0)</f>
        <v>0.1111111111111111</v>
      </c>
      <c r="I89" s="10">
        <f>IFERROR(SUMIFS('Base bordo CD'!M$2:M$875,'Base bordo CD'!D$2:D$875,A89,'Base bordo CD'!A$2:A$875,B89,'Base bordo CD'!L$2:L$875,"PARADA POR CONDICOES CLIMATICAS"),0)+IFERROR(SUMIFS('Base bordo CD'!M$2:M$875,'Base bordo CD'!D$2:D$875,A89,'Base bordo CD'!A$2:A$875,B89,'Base bordo CD'!L$2:L$875,"TEMPO INDETERMINADO"),0)</f>
        <v>13.980277777777777</v>
      </c>
      <c r="J89" s="10">
        <f>IFERROR(SUMIFS('Base bordo CD'!M$2:M$875,'Base bordo CD'!D$2:D$875,A89,'Base bordo CD'!A$2:A$875,B89,'Base bordo CD'!L$2:L$875,"LIMITAÇÃO INDÚSTRIA"),0)</f>
        <v>0</v>
      </c>
      <c r="K89" s="10">
        <f>IFERROR(SUMIFS('Base bordo CD'!M$2:M$875,'Base bordo CD'!D$2:D$875,A89,'Base bordo CD'!A$2:A$875,B89,'Base bordo CD'!L$2:L$875,"MAN CORRETIVA*"),0)+IFERROR(SUMIFS('Base bordo CD'!M$2:M$875,'Base bordo CD'!D$2:D$875,A89,'Base bordo CD'!A$2:A$875,B89,'Base bordo CD'!L$2:L$875,"AGUARDANDO MANUTENCAO*"),0)+IFERROR(SUMIFS('Base bordo CD'!M$2:M$875,'Base bordo CD'!D$2:D$875,A89,'Base bordo CD'!A$2:A$875,B89,'Base bordo CD'!L$2:L$875,"TROCA DE FAQUINHA"),0)+IFERROR(SUMIFS('Base bordo CD'!M$2:M$875,'Base bordo CD'!D$2:D$875,A89,'Base bordo CD'!A$2:A$875,B89,'Base bordo CD'!L$2:L$875,"LIMPEZA*"),0)</f>
        <v>1.8027777777777776</v>
      </c>
      <c r="L89" s="10">
        <f>IFERROR(SUMIFS('Base bordo CD'!M$2:M$875,'Base bordo CD'!D$2:D$875,A89,'Base bordo CD'!A$2:A$875,B89,'Base bordo CD'!L$2:L$875,"PATIO - RESERVA"),0)</f>
        <v>0</v>
      </c>
      <c r="M89" s="10">
        <f>IFERROR(SUMIFS('Base bordo CD'!M$2:M$875,'Base bordo CD'!D$2:D$875,A89,'Base bordo CD'!A$2:A$875,B89,'Base bordo CD'!L$2:L$875,"SEM APONTAMENTO"),0)</f>
        <v>8.5000000000000006E-2</v>
      </c>
      <c r="N89" s="10">
        <f>IFERROR(SUMIFS('Base bordo CD'!M$2:M$875,'Base bordo CD'!D$2:D$875,A89,'Base bordo CD'!A$2:A$875,B89,'Base bordo CD'!L$2:L$875,"FALTA DE CAMINHÃO"),0)+IFERROR(SUMIFS('Base bordo CD'!M$2:M$875,'Base bordo CD'!D$2:D$875,A89,'Base bordo CD'!A$2:A$875,B89,'Base bordo CD'!L$2:L$875,"FALTA DE COMBUSTIVEL"),0)+IFERROR(SUMIFS('Base bordo CD'!M$2:M$875,'Base bordo CD'!D$2:D$875,A89,'Base bordo CD'!A$2:A$875,B89,'Base bordo CD'!L$2:L$875,"FALTA DE MOTORIST*"),0)</f>
        <v>0</v>
      </c>
      <c r="O89" s="10">
        <f t="shared" si="10"/>
        <v>2.5619444444444461</v>
      </c>
      <c r="P89" s="10">
        <f>IFERROR(SUMIFS('Base bordo CD'!M$2:M$875,'Base bordo CD'!D$2:D$875,A89,'Base bordo CD'!A$2:A$875,B89),0)</f>
        <v>24</v>
      </c>
      <c r="Q89" s="10">
        <f>IFERROR(SUMIFS('Base bordo CD'!O$2:O$875,'Base bordo CD'!D$2:D$875,A89,'Base bordo CD'!A$2:A$875,B89,'Base bordo CD'!L$2:L$875,"CORTE DE CANA MECANIZADO"),0)</f>
        <v>65108.39</v>
      </c>
      <c r="R89" s="10">
        <f>IFERROR(SUMIFS('Base bordo CD'!Q$2:Q$875,'Base bordo CD'!D$2:D$875,A89,'Base bordo CD'!A$2:A$875,B89,'Base bordo CD'!L$2:L$875,"CORTE DE CANA MECANIZADO"),0)</f>
        <v>15761</v>
      </c>
      <c r="S89" s="30">
        <f t="shared" si="11"/>
        <v>4.1309809022270159</v>
      </c>
      <c r="T89" s="9">
        <f t="shared" si="12"/>
        <v>0.18241898148148147</v>
      </c>
      <c r="U89" s="9">
        <f t="shared" si="13"/>
        <v>3.3553240740740738E-2</v>
      </c>
      <c r="V89" s="9">
        <f t="shared" si="14"/>
        <v>0.80609953703703707</v>
      </c>
    </row>
    <row r="90" spans="1:22" hidden="1" x14ac:dyDescent="0.35">
      <c r="A90" s="52">
        <v>49589</v>
      </c>
      <c r="B90" s="31">
        <v>46123</v>
      </c>
      <c r="C90" s="7" t="s">
        <v>321</v>
      </c>
      <c r="D90" s="7">
        <v>351</v>
      </c>
      <c r="E90" s="10">
        <f>IFERROR(SUMIFS('Base bordo CD'!M$2:M$875,'Base bordo CD'!D$2:D$875,A90,'Base bordo CD'!A$2:A$875,B90,'Base bordo CD'!L$2:L$875,"CORTE DE CANA MECANIZADO"),0)</f>
        <v>4.3780555555555551</v>
      </c>
      <c r="F90" s="10">
        <f>IFERROR(SUMIFS('Base bordo CD'!M$2:M$875,'Base bordo CD'!D$2:D$875,A90,'Base bordo CD'!A$2:A$875,B90,'Base bordo CD'!L$2:L$875,"MANOBRA"),0)</f>
        <v>0.80527777777777776</v>
      </c>
      <c r="G90" s="10">
        <f>IFERROR(SUMIFS('Base bordo CD'!M$2:M$875,'Base bordo CD'!D$2:D$875,A90,'Base bordo CD'!A$2:A$875,B90,'Base bordo CD'!L$2:L$875,"DESLOCAMENTO"),0)</f>
        <v>0.27555555555555555</v>
      </c>
      <c r="H90" s="10">
        <f>IFERROR(SUMIFS('Base bordo CD'!M$2:M$875,'Base bordo CD'!D$2:D$875,A90,'Base bordo CD'!A$2:A$875,B90,'Base bordo CD'!L$2:L$875,"AGUARDANDO MANOBRA DE TRANSBORDO"),0)+IFERROR(SUMIFS('Base bordo CD'!M$2:M$875,'Base bordo CD'!D$2:D$875,A90,'Base bordo CD'!A$2:A$875,B90,'Base bordo CD'!L$2:L$875,"FALTA DE TRANSBORDO"),0)</f>
        <v>0.1111111111111111</v>
      </c>
      <c r="I90" s="10">
        <f>IFERROR(SUMIFS('Base bordo CD'!M$2:M$875,'Base bordo CD'!D$2:D$875,A90,'Base bordo CD'!A$2:A$875,B90,'Base bordo CD'!L$2:L$875,"PARADA POR CONDICOES CLIMATICAS"),0)+IFERROR(SUMIFS('Base bordo CD'!M$2:M$875,'Base bordo CD'!D$2:D$875,A90,'Base bordo CD'!A$2:A$875,B90,'Base bordo CD'!L$2:L$875,"TEMPO INDETERMINADO"),0)</f>
        <v>13.980277777777777</v>
      </c>
      <c r="J90" s="10">
        <f>IFERROR(SUMIFS('Base bordo CD'!M$2:M$875,'Base bordo CD'!D$2:D$875,A90,'Base bordo CD'!A$2:A$875,B90,'Base bordo CD'!L$2:L$875,"LIMITAÇÃO INDÚSTRIA"),0)</f>
        <v>0</v>
      </c>
      <c r="K90" s="10">
        <f>IFERROR(SUMIFS('Base bordo CD'!M$2:M$875,'Base bordo CD'!D$2:D$875,A90,'Base bordo CD'!A$2:A$875,B90,'Base bordo CD'!L$2:L$875,"MAN CORRETIVA*"),0)+IFERROR(SUMIFS('Base bordo CD'!M$2:M$875,'Base bordo CD'!D$2:D$875,A90,'Base bordo CD'!A$2:A$875,B90,'Base bordo CD'!L$2:L$875,"AGUARDANDO MANUTENCAO*"),0)+IFERROR(SUMIFS('Base bordo CD'!M$2:M$875,'Base bordo CD'!D$2:D$875,A90,'Base bordo CD'!A$2:A$875,B90,'Base bordo CD'!L$2:L$875,"TROCA DE FAQUINHA"),0)+IFERROR(SUMIFS('Base bordo CD'!M$2:M$875,'Base bordo CD'!D$2:D$875,A90,'Base bordo CD'!A$2:A$875,B90,'Base bordo CD'!L$2:L$875,"LIMPEZA*"),0)</f>
        <v>1.8027777777777776</v>
      </c>
      <c r="L90" s="10">
        <f>IFERROR(SUMIFS('Base bordo CD'!M$2:M$875,'Base bordo CD'!D$2:D$875,A90,'Base bordo CD'!A$2:A$875,B90,'Base bordo CD'!L$2:L$875,"PATIO - RESERVA"),0)</f>
        <v>0</v>
      </c>
      <c r="M90" s="10">
        <f>IFERROR(SUMIFS('Base bordo CD'!M$2:M$875,'Base bordo CD'!D$2:D$875,A90,'Base bordo CD'!A$2:A$875,B90,'Base bordo CD'!L$2:L$875,"SEM APONTAMENTO"),0)</f>
        <v>8.5000000000000006E-2</v>
      </c>
      <c r="N90" s="10">
        <f>IFERROR(SUMIFS('Base bordo CD'!M$2:M$875,'Base bordo CD'!D$2:D$875,A90,'Base bordo CD'!A$2:A$875,B90,'Base bordo CD'!L$2:L$875,"FALTA DE CAMINHÃO"),0)+IFERROR(SUMIFS('Base bordo CD'!M$2:M$875,'Base bordo CD'!D$2:D$875,A90,'Base bordo CD'!A$2:A$875,B90,'Base bordo CD'!L$2:L$875,"FALTA DE COMBUSTIVEL"),0)+IFERROR(SUMIFS('Base bordo CD'!M$2:M$875,'Base bordo CD'!D$2:D$875,A90,'Base bordo CD'!A$2:A$875,B90,'Base bordo CD'!L$2:L$875,"FALTA DE MOTORIST*"),0)</f>
        <v>0</v>
      </c>
      <c r="O90" s="10">
        <f t="shared" si="10"/>
        <v>2.5619444444444461</v>
      </c>
      <c r="P90" s="10">
        <f>IFERROR(SUMIFS('Base bordo CD'!M$2:M$875,'Base bordo CD'!D$2:D$875,A90,'Base bordo CD'!A$2:A$875,B90),0)</f>
        <v>24</v>
      </c>
      <c r="Q90" s="10">
        <f>IFERROR(SUMIFS('Base bordo CD'!O$2:O$875,'Base bordo CD'!D$2:D$875,A90,'Base bordo CD'!A$2:A$875,B90,'Base bordo CD'!L$2:L$875,"CORTE DE CANA MECANIZADO"),0)</f>
        <v>65108.39</v>
      </c>
      <c r="R90" s="10">
        <f>IFERROR(SUMIFS('Base bordo CD'!Q$2:Q$875,'Base bordo CD'!D$2:D$875,A90,'Base bordo CD'!A$2:A$875,B90,'Base bordo CD'!L$2:L$875,"CORTE DE CANA MECANIZADO"),0)</f>
        <v>15761</v>
      </c>
      <c r="S90" s="30">
        <f t="shared" si="11"/>
        <v>4.1309809022270159</v>
      </c>
      <c r="T90" s="9">
        <f t="shared" si="12"/>
        <v>0.18241898148148147</v>
      </c>
      <c r="U90" s="9">
        <f t="shared" si="13"/>
        <v>3.3553240740740738E-2</v>
      </c>
      <c r="V90" s="9">
        <f t="shared" si="14"/>
        <v>0.80609953703703707</v>
      </c>
    </row>
    <row r="91" spans="1:22" hidden="1" x14ac:dyDescent="0.35">
      <c r="A91" s="52">
        <v>49589</v>
      </c>
      <c r="B91" s="31">
        <v>46123</v>
      </c>
      <c r="C91" s="7" t="s">
        <v>321</v>
      </c>
      <c r="D91" s="7">
        <v>351</v>
      </c>
      <c r="E91" s="10">
        <f>IFERROR(SUMIFS('Base bordo CD'!M$2:M$875,'Base bordo CD'!D$2:D$875,A91,'Base bordo CD'!A$2:A$875,B91,'Base bordo CD'!L$2:L$875,"CORTE DE CANA MECANIZADO"),0)</f>
        <v>4.3780555555555551</v>
      </c>
      <c r="F91" s="10">
        <f>IFERROR(SUMIFS('Base bordo CD'!M$2:M$875,'Base bordo CD'!D$2:D$875,A91,'Base bordo CD'!A$2:A$875,B91,'Base bordo CD'!L$2:L$875,"MANOBRA"),0)</f>
        <v>0.80527777777777776</v>
      </c>
      <c r="G91" s="10">
        <f>IFERROR(SUMIFS('Base bordo CD'!M$2:M$875,'Base bordo CD'!D$2:D$875,A91,'Base bordo CD'!A$2:A$875,B91,'Base bordo CD'!L$2:L$875,"DESLOCAMENTO"),0)</f>
        <v>0.27555555555555555</v>
      </c>
      <c r="H91" s="10">
        <f>IFERROR(SUMIFS('Base bordo CD'!M$2:M$875,'Base bordo CD'!D$2:D$875,A91,'Base bordo CD'!A$2:A$875,B91,'Base bordo CD'!L$2:L$875,"AGUARDANDO MANOBRA DE TRANSBORDO"),0)+IFERROR(SUMIFS('Base bordo CD'!M$2:M$875,'Base bordo CD'!D$2:D$875,A91,'Base bordo CD'!A$2:A$875,B91,'Base bordo CD'!L$2:L$875,"FALTA DE TRANSBORDO"),0)</f>
        <v>0.1111111111111111</v>
      </c>
      <c r="I91" s="10">
        <f>IFERROR(SUMIFS('Base bordo CD'!M$2:M$875,'Base bordo CD'!D$2:D$875,A91,'Base bordo CD'!A$2:A$875,B91,'Base bordo CD'!L$2:L$875,"PARADA POR CONDICOES CLIMATICAS"),0)+IFERROR(SUMIFS('Base bordo CD'!M$2:M$875,'Base bordo CD'!D$2:D$875,A91,'Base bordo CD'!A$2:A$875,B91,'Base bordo CD'!L$2:L$875,"TEMPO INDETERMINADO"),0)</f>
        <v>13.980277777777777</v>
      </c>
      <c r="J91" s="10">
        <f>IFERROR(SUMIFS('Base bordo CD'!M$2:M$875,'Base bordo CD'!D$2:D$875,A91,'Base bordo CD'!A$2:A$875,B91,'Base bordo CD'!L$2:L$875,"LIMITAÇÃO INDÚSTRIA"),0)</f>
        <v>0</v>
      </c>
      <c r="K91" s="10">
        <f>IFERROR(SUMIFS('Base bordo CD'!M$2:M$875,'Base bordo CD'!D$2:D$875,A91,'Base bordo CD'!A$2:A$875,B91,'Base bordo CD'!L$2:L$875,"MAN CORRETIVA*"),0)+IFERROR(SUMIFS('Base bordo CD'!M$2:M$875,'Base bordo CD'!D$2:D$875,A91,'Base bordo CD'!A$2:A$875,B91,'Base bordo CD'!L$2:L$875,"AGUARDANDO MANUTENCAO*"),0)+IFERROR(SUMIFS('Base bordo CD'!M$2:M$875,'Base bordo CD'!D$2:D$875,A91,'Base bordo CD'!A$2:A$875,B91,'Base bordo CD'!L$2:L$875,"TROCA DE FAQUINHA"),0)+IFERROR(SUMIFS('Base bordo CD'!M$2:M$875,'Base bordo CD'!D$2:D$875,A91,'Base bordo CD'!A$2:A$875,B91,'Base bordo CD'!L$2:L$875,"LIMPEZA*"),0)</f>
        <v>1.8027777777777776</v>
      </c>
      <c r="L91" s="10">
        <f>IFERROR(SUMIFS('Base bordo CD'!M$2:M$875,'Base bordo CD'!D$2:D$875,A91,'Base bordo CD'!A$2:A$875,B91,'Base bordo CD'!L$2:L$875,"PATIO - RESERVA"),0)</f>
        <v>0</v>
      </c>
      <c r="M91" s="10">
        <f>IFERROR(SUMIFS('Base bordo CD'!M$2:M$875,'Base bordo CD'!D$2:D$875,A91,'Base bordo CD'!A$2:A$875,B91,'Base bordo CD'!L$2:L$875,"SEM APONTAMENTO"),0)</f>
        <v>8.5000000000000006E-2</v>
      </c>
      <c r="N91" s="10">
        <f>IFERROR(SUMIFS('Base bordo CD'!M$2:M$875,'Base bordo CD'!D$2:D$875,A91,'Base bordo CD'!A$2:A$875,B91,'Base bordo CD'!L$2:L$875,"FALTA DE CAMINHÃO"),0)+IFERROR(SUMIFS('Base bordo CD'!M$2:M$875,'Base bordo CD'!D$2:D$875,A91,'Base bordo CD'!A$2:A$875,B91,'Base bordo CD'!L$2:L$875,"FALTA DE COMBUSTIVEL"),0)+IFERROR(SUMIFS('Base bordo CD'!M$2:M$875,'Base bordo CD'!D$2:D$875,A91,'Base bordo CD'!A$2:A$875,B91,'Base bordo CD'!L$2:L$875,"FALTA DE MOTORIST*"),0)</f>
        <v>0</v>
      </c>
      <c r="O91" s="10">
        <f t="shared" si="10"/>
        <v>2.5619444444444461</v>
      </c>
      <c r="P91" s="10">
        <f>IFERROR(SUMIFS('Base bordo CD'!M$2:M$875,'Base bordo CD'!D$2:D$875,A91,'Base bordo CD'!A$2:A$875,B91),0)</f>
        <v>24</v>
      </c>
      <c r="Q91" s="10">
        <f>IFERROR(SUMIFS('Base bordo CD'!O$2:O$875,'Base bordo CD'!D$2:D$875,A91,'Base bordo CD'!A$2:A$875,B91,'Base bordo CD'!L$2:L$875,"CORTE DE CANA MECANIZADO"),0)</f>
        <v>65108.39</v>
      </c>
      <c r="R91" s="10">
        <f>IFERROR(SUMIFS('Base bordo CD'!Q$2:Q$875,'Base bordo CD'!D$2:D$875,A91,'Base bordo CD'!A$2:A$875,B91,'Base bordo CD'!L$2:L$875,"CORTE DE CANA MECANIZADO"),0)</f>
        <v>15761</v>
      </c>
      <c r="S91" s="30">
        <f t="shared" si="11"/>
        <v>4.1309809022270159</v>
      </c>
      <c r="T91" s="9">
        <f t="shared" si="12"/>
        <v>0.18241898148148147</v>
      </c>
      <c r="U91" s="9">
        <f t="shared" si="13"/>
        <v>3.3553240740740738E-2</v>
      </c>
      <c r="V91" s="9">
        <f t="shared" si="14"/>
        <v>0.80609953703703707</v>
      </c>
    </row>
    <row r="92" spans="1:22" hidden="1" x14ac:dyDescent="0.35">
      <c r="A92" s="52">
        <v>49589</v>
      </c>
      <c r="B92" s="31">
        <v>46123</v>
      </c>
      <c r="C92" s="7" t="s">
        <v>321</v>
      </c>
      <c r="D92" s="7">
        <v>351</v>
      </c>
      <c r="E92" s="10">
        <f>IFERROR(SUMIFS('Base bordo CD'!M$2:M$875,'Base bordo CD'!D$2:D$875,A92,'Base bordo CD'!A$2:A$875,B92,'Base bordo CD'!L$2:L$875,"CORTE DE CANA MECANIZADO"),0)</f>
        <v>4.3780555555555551</v>
      </c>
      <c r="F92" s="10">
        <f>IFERROR(SUMIFS('Base bordo CD'!M$2:M$875,'Base bordo CD'!D$2:D$875,A92,'Base bordo CD'!A$2:A$875,B92,'Base bordo CD'!L$2:L$875,"MANOBRA"),0)</f>
        <v>0.80527777777777776</v>
      </c>
      <c r="G92" s="10">
        <f>IFERROR(SUMIFS('Base bordo CD'!M$2:M$875,'Base bordo CD'!D$2:D$875,A92,'Base bordo CD'!A$2:A$875,B92,'Base bordo CD'!L$2:L$875,"DESLOCAMENTO"),0)</f>
        <v>0.27555555555555555</v>
      </c>
      <c r="H92" s="10">
        <f>IFERROR(SUMIFS('Base bordo CD'!M$2:M$875,'Base bordo CD'!D$2:D$875,A92,'Base bordo CD'!A$2:A$875,B92,'Base bordo CD'!L$2:L$875,"AGUARDANDO MANOBRA DE TRANSBORDO"),0)+IFERROR(SUMIFS('Base bordo CD'!M$2:M$875,'Base bordo CD'!D$2:D$875,A92,'Base bordo CD'!A$2:A$875,B92,'Base bordo CD'!L$2:L$875,"FALTA DE TRANSBORDO"),0)</f>
        <v>0.1111111111111111</v>
      </c>
      <c r="I92" s="10">
        <f>IFERROR(SUMIFS('Base bordo CD'!M$2:M$875,'Base bordo CD'!D$2:D$875,A92,'Base bordo CD'!A$2:A$875,B92,'Base bordo CD'!L$2:L$875,"PARADA POR CONDICOES CLIMATICAS"),0)+IFERROR(SUMIFS('Base bordo CD'!M$2:M$875,'Base bordo CD'!D$2:D$875,A92,'Base bordo CD'!A$2:A$875,B92,'Base bordo CD'!L$2:L$875,"TEMPO INDETERMINADO"),0)</f>
        <v>13.980277777777777</v>
      </c>
      <c r="J92" s="10">
        <f>IFERROR(SUMIFS('Base bordo CD'!M$2:M$875,'Base bordo CD'!D$2:D$875,A92,'Base bordo CD'!A$2:A$875,B92,'Base bordo CD'!L$2:L$875,"LIMITAÇÃO INDÚSTRIA"),0)</f>
        <v>0</v>
      </c>
      <c r="K92" s="10">
        <f>IFERROR(SUMIFS('Base bordo CD'!M$2:M$875,'Base bordo CD'!D$2:D$875,A92,'Base bordo CD'!A$2:A$875,B92,'Base bordo CD'!L$2:L$875,"MAN CORRETIVA*"),0)+IFERROR(SUMIFS('Base bordo CD'!M$2:M$875,'Base bordo CD'!D$2:D$875,A92,'Base bordo CD'!A$2:A$875,B92,'Base bordo CD'!L$2:L$875,"AGUARDANDO MANUTENCAO*"),0)+IFERROR(SUMIFS('Base bordo CD'!M$2:M$875,'Base bordo CD'!D$2:D$875,A92,'Base bordo CD'!A$2:A$875,B92,'Base bordo CD'!L$2:L$875,"TROCA DE FAQUINHA"),0)+IFERROR(SUMIFS('Base bordo CD'!M$2:M$875,'Base bordo CD'!D$2:D$875,A92,'Base bordo CD'!A$2:A$875,B92,'Base bordo CD'!L$2:L$875,"LIMPEZA*"),0)</f>
        <v>1.8027777777777776</v>
      </c>
      <c r="L92" s="10">
        <f>IFERROR(SUMIFS('Base bordo CD'!M$2:M$875,'Base bordo CD'!D$2:D$875,A92,'Base bordo CD'!A$2:A$875,B92,'Base bordo CD'!L$2:L$875,"PATIO - RESERVA"),0)</f>
        <v>0</v>
      </c>
      <c r="M92" s="10">
        <f>IFERROR(SUMIFS('Base bordo CD'!M$2:M$875,'Base bordo CD'!D$2:D$875,A92,'Base bordo CD'!A$2:A$875,B92,'Base bordo CD'!L$2:L$875,"SEM APONTAMENTO"),0)</f>
        <v>8.5000000000000006E-2</v>
      </c>
      <c r="N92" s="10">
        <f>IFERROR(SUMIFS('Base bordo CD'!M$2:M$875,'Base bordo CD'!D$2:D$875,A92,'Base bordo CD'!A$2:A$875,B92,'Base bordo CD'!L$2:L$875,"FALTA DE CAMINHÃO"),0)+IFERROR(SUMIFS('Base bordo CD'!M$2:M$875,'Base bordo CD'!D$2:D$875,A92,'Base bordo CD'!A$2:A$875,B92,'Base bordo CD'!L$2:L$875,"FALTA DE COMBUSTIVEL"),0)+IFERROR(SUMIFS('Base bordo CD'!M$2:M$875,'Base bordo CD'!D$2:D$875,A92,'Base bordo CD'!A$2:A$875,B92,'Base bordo CD'!L$2:L$875,"FALTA DE MOTORIST*"),0)</f>
        <v>0</v>
      </c>
      <c r="O92" s="10">
        <f t="shared" si="10"/>
        <v>2.5619444444444461</v>
      </c>
      <c r="P92" s="10">
        <f>IFERROR(SUMIFS('Base bordo CD'!M$2:M$875,'Base bordo CD'!D$2:D$875,A92,'Base bordo CD'!A$2:A$875,B92),0)</f>
        <v>24</v>
      </c>
      <c r="Q92" s="10">
        <f>IFERROR(SUMIFS('Base bordo CD'!O$2:O$875,'Base bordo CD'!D$2:D$875,A92,'Base bordo CD'!A$2:A$875,B92,'Base bordo CD'!L$2:L$875,"CORTE DE CANA MECANIZADO"),0)</f>
        <v>65108.39</v>
      </c>
      <c r="R92" s="10">
        <f>IFERROR(SUMIFS('Base bordo CD'!Q$2:Q$875,'Base bordo CD'!D$2:D$875,A92,'Base bordo CD'!A$2:A$875,B92,'Base bordo CD'!L$2:L$875,"CORTE DE CANA MECANIZADO"),0)</f>
        <v>15761</v>
      </c>
      <c r="S92" s="30">
        <f t="shared" si="11"/>
        <v>4.1309809022270159</v>
      </c>
      <c r="T92" s="9">
        <f t="shared" si="12"/>
        <v>0.18241898148148147</v>
      </c>
      <c r="U92" s="9">
        <f t="shared" si="13"/>
        <v>3.3553240740740738E-2</v>
      </c>
      <c r="V92" s="9">
        <f t="shared" si="14"/>
        <v>0.80609953703703707</v>
      </c>
    </row>
    <row r="93" spans="1:22" hidden="1" x14ac:dyDescent="0.35">
      <c r="A93" s="52">
        <v>49589</v>
      </c>
      <c r="B93" s="31">
        <v>46123</v>
      </c>
      <c r="C93" s="7" t="s">
        <v>321</v>
      </c>
      <c r="D93" s="7">
        <v>351</v>
      </c>
      <c r="E93" s="10">
        <f>IFERROR(SUMIFS('Base bordo CD'!M$2:M$875,'Base bordo CD'!D$2:D$875,A93,'Base bordo CD'!A$2:A$875,B93,'Base bordo CD'!L$2:L$875,"CORTE DE CANA MECANIZADO"),0)</f>
        <v>4.3780555555555551</v>
      </c>
      <c r="F93" s="10">
        <f>IFERROR(SUMIFS('Base bordo CD'!M$2:M$875,'Base bordo CD'!D$2:D$875,A93,'Base bordo CD'!A$2:A$875,B93,'Base bordo CD'!L$2:L$875,"MANOBRA"),0)</f>
        <v>0.80527777777777776</v>
      </c>
      <c r="G93" s="10">
        <f>IFERROR(SUMIFS('Base bordo CD'!M$2:M$875,'Base bordo CD'!D$2:D$875,A93,'Base bordo CD'!A$2:A$875,B93,'Base bordo CD'!L$2:L$875,"DESLOCAMENTO"),0)</f>
        <v>0.27555555555555555</v>
      </c>
      <c r="H93" s="10">
        <f>IFERROR(SUMIFS('Base bordo CD'!M$2:M$875,'Base bordo CD'!D$2:D$875,A93,'Base bordo CD'!A$2:A$875,B93,'Base bordo CD'!L$2:L$875,"AGUARDANDO MANOBRA DE TRANSBORDO"),0)+IFERROR(SUMIFS('Base bordo CD'!M$2:M$875,'Base bordo CD'!D$2:D$875,A93,'Base bordo CD'!A$2:A$875,B93,'Base bordo CD'!L$2:L$875,"FALTA DE TRANSBORDO"),0)</f>
        <v>0.1111111111111111</v>
      </c>
      <c r="I93" s="10">
        <f>IFERROR(SUMIFS('Base bordo CD'!M$2:M$875,'Base bordo CD'!D$2:D$875,A93,'Base bordo CD'!A$2:A$875,B93,'Base bordo CD'!L$2:L$875,"PARADA POR CONDICOES CLIMATICAS"),0)+IFERROR(SUMIFS('Base bordo CD'!M$2:M$875,'Base bordo CD'!D$2:D$875,A93,'Base bordo CD'!A$2:A$875,B93,'Base bordo CD'!L$2:L$875,"TEMPO INDETERMINADO"),0)</f>
        <v>13.980277777777777</v>
      </c>
      <c r="J93" s="10">
        <f>IFERROR(SUMIFS('Base bordo CD'!M$2:M$875,'Base bordo CD'!D$2:D$875,A93,'Base bordo CD'!A$2:A$875,B93,'Base bordo CD'!L$2:L$875,"LIMITAÇÃO INDÚSTRIA"),0)</f>
        <v>0</v>
      </c>
      <c r="K93" s="10">
        <f>IFERROR(SUMIFS('Base bordo CD'!M$2:M$875,'Base bordo CD'!D$2:D$875,A93,'Base bordo CD'!A$2:A$875,B93,'Base bordo CD'!L$2:L$875,"MAN CORRETIVA*"),0)+IFERROR(SUMIFS('Base bordo CD'!M$2:M$875,'Base bordo CD'!D$2:D$875,A93,'Base bordo CD'!A$2:A$875,B93,'Base bordo CD'!L$2:L$875,"AGUARDANDO MANUTENCAO*"),0)+IFERROR(SUMIFS('Base bordo CD'!M$2:M$875,'Base bordo CD'!D$2:D$875,A93,'Base bordo CD'!A$2:A$875,B93,'Base bordo CD'!L$2:L$875,"TROCA DE FAQUINHA"),0)+IFERROR(SUMIFS('Base bordo CD'!M$2:M$875,'Base bordo CD'!D$2:D$875,A93,'Base bordo CD'!A$2:A$875,B93,'Base bordo CD'!L$2:L$875,"LIMPEZA*"),0)</f>
        <v>1.8027777777777776</v>
      </c>
      <c r="L93" s="10">
        <f>IFERROR(SUMIFS('Base bordo CD'!M$2:M$875,'Base bordo CD'!D$2:D$875,A93,'Base bordo CD'!A$2:A$875,B93,'Base bordo CD'!L$2:L$875,"PATIO - RESERVA"),0)</f>
        <v>0</v>
      </c>
      <c r="M93" s="10">
        <f>IFERROR(SUMIFS('Base bordo CD'!M$2:M$875,'Base bordo CD'!D$2:D$875,A93,'Base bordo CD'!A$2:A$875,B93,'Base bordo CD'!L$2:L$875,"SEM APONTAMENTO"),0)</f>
        <v>8.5000000000000006E-2</v>
      </c>
      <c r="N93" s="10">
        <f>IFERROR(SUMIFS('Base bordo CD'!M$2:M$875,'Base bordo CD'!D$2:D$875,A93,'Base bordo CD'!A$2:A$875,B93,'Base bordo CD'!L$2:L$875,"FALTA DE CAMINHÃO"),0)+IFERROR(SUMIFS('Base bordo CD'!M$2:M$875,'Base bordo CD'!D$2:D$875,A93,'Base bordo CD'!A$2:A$875,B93,'Base bordo CD'!L$2:L$875,"FALTA DE COMBUSTIVEL"),0)+IFERROR(SUMIFS('Base bordo CD'!M$2:M$875,'Base bordo CD'!D$2:D$875,A93,'Base bordo CD'!A$2:A$875,B93,'Base bordo CD'!L$2:L$875,"FALTA DE MOTORIST*"),0)</f>
        <v>0</v>
      </c>
      <c r="O93" s="10">
        <f t="shared" si="10"/>
        <v>2.5619444444444461</v>
      </c>
      <c r="P93" s="10">
        <f>IFERROR(SUMIFS('Base bordo CD'!M$2:M$875,'Base bordo CD'!D$2:D$875,A93,'Base bordo CD'!A$2:A$875,B93),0)</f>
        <v>24</v>
      </c>
      <c r="Q93" s="10">
        <f>IFERROR(SUMIFS('Base bordo CD'!O$2:O$875,'Base bordo CD'!D$2:D$875,A93,'Base bordo CD'!A$2:A$875,B93,'Base bordo CD'!L$2:L$875,"CORTE DE CANA MECANIZADO"),0)</f>
        <v>65108.39</v>
      </c>
      <c r="R93" s="10">
        <f>IFERROR(SUMIFS('Base bordo CD'!Q$2:Q$875,'Base bordo CD'!D$2:D$875,A93,'Base bordo CD'!A$2:A$875,B93,'Base bordo CD'!L$2:L$875,"CORTE DE CANA MECANIZADO"),0)</f>
        <v>15761</v>
      </c>
      <c r="S93" s="30">
        <f t="shared" si="11"/>
        <v>4.1309809022270159</v>
      </c>
      <c r="T93" s="9">
        <f t="shared" si="12"/>
        <v>0.18241898148148147</v>
      </c>
      <c r="U93" s="9">
        <f t="shared" si="13"/>
        <v>3.3553240740740738E-2</v>
      </c>
      <c r="V93" s="9">
        <f t="shared" si="14"/>
        <v>0.80609953703703707</v>
      </c>
    </row>
    <row r="94" spans="1:22" hidden="1" x14ac:dyDescent="0.35">
      <c r="A94" s="52">
        <v>49589</v>
      </c>
      <c r="B94" s="31">
        <v>46123</v>
      </c>
      <c r="C94" s="7" t="s">
        <v>321</v>
      </c>
      <c r="D94" s="7">
        <v>351</v>
      </c>
      <c r="E94" s="10">
        <f>IFERROR(SUMIFS('Base bordo CD'!M$2:M$875,'Base bordo CD'!D$2:D$875,A94,'Base bordo CD'!A$2:A$875,B94,'Base bordo CD'!L$2:L$875,"CORTE DE CANA MECANIZADO"),0)</f>
        <v>4.3780555555555551</v>
      </c>
      <c r="F94" s="10">
        <f>IFERROR(SUMIFS('Base bordo CD'!M$2:M$875,'Base bordo CD'!D$2:D$875,A94,'Base bordo CD'!A$2:A$875,B94,'Base bordo CD'!L$2:L$875,"MANOBRA"),0)</f>
        <v>0.80527777777777776</v>
      </c>
      <c r="G94" s="10">
        <f>IFERROR(SUMIFS('Base bordo CD'!M$2:M$875,'Base bordo CD'!D$2:D$875,A94,'Base bordo CD'!A$2:A$875,B94,'Base bordo CD'!L$2:L$875,"DESLOCAMENTO"),0)</f>
        <v>0.27555555555555555</v>
      </c>
      <c r="H94" s="10">
        <f>IFERROR(SUMIFS('Base bordo CD'!M$2:M$875,'Base bordo CD'!D$2:D$875,A94,'Base bordo CD'!A$2:A$875,B94,'Base bordo CD'!L$2:L$875,"AGUARDANDO MANOBRA DE TRANSBORDO"),0)+IFERROR(SUMIFS('Base bordo CD'!M$2:M$875,'Base bordo CD'!D$2:D$875,A94,'Base bordo CD'!A$2:A$875,B94,'Base bordo CD'!L$2:L$875,"FALTA DE TRANSBORDO"),0)</f>
        <v>0.1111111111111111</v>
      </c>
      <c r="I94" s="10">
        <f>IFERROR(SUMIFS('Base bordo CD'!M$2:M$875,'Base bordo CD'!D$2:D$875,A94,'Base bordo CD'!A$2:A$875,B94,'Base bordo CD'!L$2:L$875,"PARADA POR CONDICOES CLIMATICAS"),0)+IFERROR(SUMIFS('Base bordo CD'!M$2:M$875,'Base bordo CD'!D$2:D$875,A94,'Base bordo CD'!A$2:A$875,B94,'Base bordo CD'!L$2:L$875,"TEMPO INDETERMINADO"),0)</f>
        <v>13.980277777777777</v>
      </c>
      <c r="J94" s="10">
        <f>IFERROR(SUMIFS('Base bordo CD'!M$2:M$875,'Base bordo CD'!D$2:D$875,A94,'Base bordo CD'!A$2:A$875,B94,'Base bordo CD'!L$2:L$875,"LIMITAÇÃO INDÚSTRIA"),0)</f>
        <v>0</v>
      </c>
      <c r="K94" s="10">
        <f>IFERROR(SUMIFS('Base bordo CD'!M$2:M$875,'Base bordo CD'!D$2:D$875,A94,'Base bordo CD'!A$2:A$875,B94,'Base bordo CD'!L$2:L$875,"MAN CORRETIVA*"),0)+IFERROR(SUMIFS('Base bordo CD'!M$2:M$875,'Base bordo CD'!D$2:D$875,A94,'Base bordo CD'!A$2:A$875,B94,'Base bordo CD'!L$2:L$875,"AGUARDANDO MANUTENCAO*"),0)+IFERROR(SUMIFS('Base bordo CD'!M$2:M$875,'Base bordo CD'!D$2:D$875,A94,'Base bordo CD'!A$2:A$875,B94,'Base bordo CD'!L$2:L$875,"TROCA DE FAQUINHA"),0)+IFERROR(SUMIFS('Base bordo CD'!M$2:M$875,'Base bordo CD'!D$2:D$875,A94,'Base bordo CD'!A$2:A$875,B94,'Base bordo CD'!L$2:L$875,"LIMPEZA*"),0)</f>
        <v>1.8027777777777776</v>
      </c>
      <c r="L94" s="10">
        <f>IFERROR(SUMIFS('Base bordo CD'!M$2:M$875,'Base bordo CD'!D$2:D$875,A94,'Base bordo CD'!A$2:A$875,B94,'Base bordo CD'!L$2:L$875,"PATIO - RESERVA"),0)</f>
        <v>0</v>
      </c>
      <c r="M94" s="10">
        <f>IFERROR(SUMIFS('Base bordo CD'!M$2:M$875,'Base bordo CD'!D$2:D$875,A94,'Base bordo CD'!A$2:A$875,B94,'Base bordo CD'!L$2:L$875,"SEM APONTAMENTO"),0)</f>
        <v>8.5000000000000006E-2</v>
      </c>
      <c r="N94" s="10">
        <f>IFERROR(SUMIFS('Base bordo CD'!M$2:M$875,'Base bordo CD'!D$2:D$875,A94,'Base bordo CD'!A$2:A$875,B94,'Base bordo CD'!L$2:L$875,"FALTA DE CAMINHÃO"),0)+IFERROR(SUMIFS('Base bordo CD'!M$2:M$875,'Base bordo CD'!D$2:D$875,A94,'Base bordo CD'!A$2:A$875,B94,'Base bordo CD'!L$2:L$875,"FALTA DE COMBUSTIVEL"),0)+IFERROR(SUMIFS('Base bordo CD'!M$2:M$875,'Base bordo CD'!D$2:D$875,A94,'Base bordo CD'!A$2:A$875,B94,'Base bordo CD'!L$2:L$875,"FALTA DE MOTORIST*"),0)</f>
        <v>0</v>
      </c>
      <c r="O94" s="10">
        <f t="shared" si="10"/>
        <v>2.5619444444444461</v>
      </c>
      <c r="P94" s="10">
        <f>IFERROR(SUMIFS('Base bordo CD'!M$2:M$875,'Base bordo CD'!D$2:D$875,A94,'Base bordo CD'!A$2:A$875,B94),0)</f>
        <v>24</v>
      </c>
      <c r="Q94" s="10">
        <f>IFERROR(SUMIFS('Base bordo CD'!O$2:O$875,'Base bordo CD'!D$2:D$875,A94,'Base bordo CD'!A$2:A$875,B94,'Base bordo CD'!L$2:L$875,"CORTE DE CANA MECANIZADO"),0)</f>
        <v>65108.39</v>
      </c>
      <c r="R94" s="10">
        <f>IFERROR(SUMIFS('Base bordo CD'!Q$2:Q$875,'Base bordo CD'!D$2:D$875,A94,'Base bordo CD'!A$2:A$875,B94,'Base bordo CD'!L$2:L$875,"CORTE DE CANA MECANIZADO"),0)</f>
        <v>15761</v>
      </c>
      <c r="S94" s="30">
        <f t="shared" si="11"/>
        <v>4.1309809022270159</v>
      </c>
      <c r="T94" s="9">
        <f t="shared" si="12"/>
        <v>0.18241898148148147</v>
      </c>
      <c r="U94" s="9">
        <f t="shared" si="13"/>
        <v>3.3553240740740738E-2</v>
      </c>
      <c r="V94" s="9">
        <f t="shared" si="14"/>
        <v>0.80609953703703707</v>
      </c>
    </row>
    <row r="95" spans="1:22" hidden="1" x14ac:dyDescent="0.35">
      <c r="A95" s="52">
        <v>49589</v>
      </c>
      <c r="B95" s="31">
        <v>46123</v>
      </c>
      <c r="C95" s="7" t="s">
        <v>321</v>
      </c>
      <c r="D95" s="7">
        <v>351</v>
      </c>
      <c r="E95" s="10">
        <f>IFERROR(SUMIFS('Base bordo CD'!M$2:M$875,'Base bordo CD'!D$2:D$875,A95,'Base bordo CD'!A$2:A$875,B95,'Base bordo CD'!L$2:L$875,"CORTE DE CANA MECANIZADO"),0)</f>
        <v>4.3780555555555551</v>
      </c>
      <c r="F95" s="10">
        <f>IFERROR(SUMIFS('Base bordo CD'!M$2:M$875,'Base bordo CD'!D$2:D$875,A95,'Base bordo CD'!A$2:A$875,B95,'Base bordo CD'!L$2:L$875,"MANOBRA"),0)</f>
        <v>0.80527777777777776</v>
      </c>
      <c r="G95" s="10">
        <f>IFERROR(SUMIFS('Base bordo CD'!M$2:M$875,'Base bordo CD'!D$2:D$875,A95,'Base bordo CD'!A$2:A$875,B95,'Base bordo CD'!L$2:L$875,"DESLOCAMENTO"),0)</f>
        <v>0.27555555555555555</v>
      </c>
      <c r="H95" s="10">
        <f>IFERROR(SUMIFS('Base bordo CD'!M$2:M$875,'Base bordo CD'!D$2:D$875,A95,'Base bordo CD'!A$2:A$875,B95,'Base bordo CD'!L$2:L$875,"AGUARDANDO MANOBRA DE TRANSBORDO"),0)+IFERROR(SUMIFS('Base bordo CD'!M$2:M$875,'Base bordo CD'!D$2:D$875,A95,'Base bordo CD'!A$2:A$875,B95,'Base bordo CD'!L$2:L$875,"FALTA DE TRANSBORDO"),0)</f>
        <v>0.1111111111111111</v>
      </c>
      <c r="I95" s="10">
        <f>IFERROR(SUMIFS('Base bordo CD'!M$2:M$875,'Base bordo CD'!D$2:D$875,A95,'Base bordo CD'!A$2:A$875,B95,'Base bordo CD'!L$2:L$875,"PARADA POR CONDICOES CLIMATICAS"),0)+IFERROR(SUMIFS('Base bordo CD'!M$2:M$875,'Base bordo CD'!D$2:D$875,A95,'Base bordo CD'!A$2:A$875,B95,'Base bordo CD'!L$2:L$875,"TEMPO INDETERMINADO"),0)</f>
        <v>13.980277777777777</v>
      </c>
      <c r="J95" s="10">
        <f>IFERROR(SUMIFS('Base bordo CD'!M$2:M$875,'Base bordo CD'!D$2:D$875,A95,'Base bordo CD'!A$2:A$875,B95,'Base bordo CD'!L$2:L$875,"LIMITAÇÃO INDÚSTRIA"),0)</f>
        <v>0</v>
      </c>
      <c r="K95" s="10">
        <f>IFERROR(SUMIFS('Base bordo CD'!M$2:M$875,'Base bordo CD'!D$2:D$875,A95,'Base bordo CD'!A$2:A$875,B95,'Base bordo CD'!L$2:L$875,"MAN CORRETIVA*"),0)+IFERROR(SUMIFS('Base bordo CD'!M$2:M$875,'Base bordo CD'!D$2:D$875,A95,'Base bordo CD'!A$2:A$875,B95,'Base bordo CD'!L$2:L$875,"AGUARDANDO MANUTENCAO*"),0)+IFERROR(SUMIFS('Base bordo CD'!M$2:M$875,'Base bordo CD'!D$2:D$875,A95,'Base bordo CD'!A$2:A$875,B95,'Base bordo CD'!L$2:L$875,"TROCA DE FAQUINHA"),0)+IFERROR(SUMIFS('Base bordo CD'!M$2:M$875,'Base bordo CD'!D$2:D$875,A95,'Base bordo CD'!A$2:A$875,B95,'Base bordo CD'!L$2:L$875,"LIMPEZA*"),0)</f>
        <v>1.8027777777777776</v>
      </c>
      <c r="L95" s="10">
        <f>IFERROR(SUMIFS('Base bordo CD'!M$2:M$875,'Base bordo CD'!D$2:D$875,A95,'Base bordo CD'!A$2:A$875,B95,'Base bordo CD'!L$2:L$875,"PATIO - RESERVA"),0)</f>
        <v>0</v>
      </c>
      <c r="M95" s="10">
        <f>IFERROR(SUMIFS('Base bordo CD'!M$2:M$875,'Base bordo CD'!D$2:D$875,A95,'Base bordo CD'!A$2:A$875,B95,'Base bordo CD'!L$2:L$875,"SEM APONTAMENTO"),0)</f>
        <v>8.5000000000000006E-2</v>
      </c>
      <c r="N95" s="10">
        <f>IFERROR(SUMIFS('Base bordo CD'!M$2:M$875,'Base bordo CD'!D$2:D$875,A95,'Base bordo CD'!A$2:A$875,B95,'Base bordo CD'!L$2:L$875,"FALTA DE CAMINHÃO"),0)+IFERROR(SUMIFS('Base bordo CD'!M$2:M$875,'Base bordo CD'!D$2:D$875,A95,'Base bordo CD'!A$2:A$875,B95,'Base bordo CD'!L$2:L$875,"FALTA DE COMBUSTIVEL"),0)+IFERROR(SUMIFS('Base bordo CD'!M$2:M$875,'Base bordo CD'!D$2:D$875,A95,'Base bordo CD'!A$2:A$875,B95,'Base bordo CD'!L$2:L$875,"FALTA DE MOTORIST*"),0)</f>
        <v>0</v>
      </c>
      <c r="O95" s="10">
        <f t="shared" si="10"/>
        <v>2.5619444444444461</v>
      </c>
      <c r="P95" s="10">
        <f>IFERROR(SUMIFS('Base bordo CD'!M$2:M$875,'Base bordo CD'!D$2:D$875,A95,'Base bordo CD'!A$2:A$875,B95),0)</f>
        <v>24</v>
      </c>
      <c r="Q95" s="10">
        <f>IFERROR(SUMIFS('Base bordo CD'!O$2:O$875,'Base bordo CD'!D$2:D$875,A95,'Base bordo CD'!A$2:A$875,B95,'Base bordo CD'!L$2:L$875,"CORTE DE CANA MECANIZADO"),0)</f>
        <v>65108.39</v>
      </c>
      <c r="R95" s="10">
        <f>IFERROR(SUMIFS('Base bordo CD'!Q$2:Q$875,'Base bordo CD'!D$2:D$875,A95,'Base bordo CD'!A$2:A$875,B95,'Base bordo CD'!L$2:L$875,"CORTE DE CANA MECANIZADO"),0)</f>
        <v>15761</v>
      </c>
      <c r="S95" s="30">
        <f t="shared" si="11"/>
        <v>4.1309809022270159</v>
      </c>
      <c r="T95" s="9">
        <f t="shared" si="12"/>
        <v>0.18241898148148147</v>
      </c>
      <c r="U95" s="9">
        <f t="shared" si="13"/>
        <v>3.3553240740740738E-2</v>
      </c>
      <c r="V95" s="9">
        <f t="shared" si="14"/>
        <v>0.80609953703703707</v>
      </c>
    </row>
    <row r="96" spans="1:22" hidden="1" x14ac:dyDescent="0.35">
      <c r="A96" s="52">
        <v>49589</v>
      </c>
      <c r="B96" s="31">
        <v>46123</v>
      </c>
      <c r="C96" s="7" t="s">
        <v>321</v>
      </c>
      <c r="D96" s="7">
        <v>351</v>
      </c>
      <c r="E96" s="10">
        <f>IFERROR(SUMIFS('Base bordo CD'!M$2:M$875,'Base bordo CD'!D$2:D$875,A96,'Base bordo CD'!A$2:A$875,B96,'Base bordo CD'!L$2:L$875,"CORTE DE CANA MECANIZADO"),0)</f>
        <v>4.3780555555555551</v>
      </c>
      <c r="F96" s="10">
        <f>IFERROR(SUMIFS('Base bordo CD'!M$2:M$875,'Base bordo CD'!D$2:D$875,A96,'Base bordo CD'!A$2:A$875,B96,'Base bordo CD'!L$2:L$875,"MANOBRA"),0)</f>
        <v>0.80527777777777776</v>
      </c>
      <c r="G96" s="10">
        <f>IFERROR(SUMIFS('Base bordo CD'!M$2:M$875,'Base bordo CD'!D$2:D$875,A96,'Base bordo CD'!A$2:A$875,B96,'Base bordo CD'!L$2:L$875,"DESLOCAMENTO"),0)</f>
        <v>0.27555555555555555</v>
      </c>
      <c r="H96" s="10">
        <f>IFERROR(SUMIFS('Base bordo CD'!M$2:M$875,'Base bordo CD'!D$2:D$875,A96,'Base bordo CD'!A$2:A$875,B96,'Base bordo CD'!L$2:L$875,"AGUARDANDO MANOBRA DE TRANSBORDO"),0)+IFERROR(SUMIFS('Base bordo CD'!M$2:M$875,'Base bordo CD'!D$2:D$875,A96,'Base bordo CD'!A$2:A$875,B96,'Base bordo CD'!L$2:L$875,"FALTA DE TRANSBORDO"),0)</f>
        <v>0.1111111111111111</v>
      </c>
      <c r="I96" s="10">
        <f>IFERROR(SUMIFS('Base bordo CD'!M$2:M$875,'Base bordo CD'!D$2:D$875,A96,'Base bordo CD'!A$2:A$875,B96,'Base bordo CD'!L$2:L$875,"PARADA POR CONDICOES CLIMATICAS"),0)+IFERROR(SUMIFS('Base bordo CD'!M$2:M$875,'Base bordo CD'!D$2:D$875,A96,'Base bordo CD'!A$2:A$875,B96,'Base bordo CD'!L$2:L$875,"TEMPO INDETERMINADO"),0)</f>
        <v>13.980277777777777</v>
      </c>
      <c r="J96" s="10">
        <f>IFERROR(SUMIFS('Base bordo CD'!M$2:M$875,'Base bordo CD'!D$2:D$875,A96,'Base bordo CD'!A$2:A$875,B96,'Base bordo CD'!L$2:L$875,"LIMITAÇÃO INDÚSTRIA"),0)</f>
        <v>0</v>
      </c>
      <c r="K96" s="10">
        <f>IFERROR(SUMIFS('Base bordo CD'!M$2:M$875,'Base bordo CD'!D$2:D$875,A96,'Base bordo CD'!A$2:A$875,B96,'Base bordo CD'!L$2:L$875,"MAN CORRETIVA*"),0)+IFERROR(SUMIFS('Base bordo CD'!M$2:M$875,'Base bordo CD'!D$2:D$875,A96,'Base bordo CD'!A$2:A$875,B96,'Base bordo CD'!L$2:L$875,"AGUARDANDO MANUTENCAO*"),0)+IFERROR(SUMIFS('Base bordo CD'!M$2:M$875,'Base bordo CD'!D$2:D$875,A96,'Base bordo CD'!A$2:A$875,B96,'Base bordo CD'!L$2:L$875,"TROCA DE FAQUINHA"),0)+IFERROR(SUMIFS('Base bordo CD'!M$2:M$875,'Base bordo CD'!D$2:D$875,A96,'Base bordo CD'!A$2:A$875,B96,'Base bordo CD'!L$2:L$875,"LIMPEZA*"),0)</f>
        <v>1.8027777777777776</v>
      </c>
      <c r="L96" s="10">
        <f>IFERROR(SUMIFS('Base bordo CD'!M$2:M$875,'Base bordo CD'!D$2:D$875,A96,'Base bordo CD'!A$2:A$875,B96,'Base bordo CD'!L$2:L$875,"PATIO - RESERVA"),0)</f>
        <v>0</v>
      </c>
      <c r="M96" s="10">
        <f>IFERROR(SUMIFS('Base bordo CD'!M$2:M$875,'Base bordo CD'!D$2:D$875,A96,'Base bordo CD'!A$2:A$875,B96,'Base bordo CD'!L$2:L$875,"SEM APONTAMENTO"),0)</f>
        <v>8.5000000000000006E-2</v>
      </c>
      <c r="N96" s="10">
        <f>IFERROR(SUMIFS('Base bordo CD'!M$2:M$875,'Base bordo CD'!D$2:D$875,A96,'Base bordo CD'!A$2:A$875,B96,'Base bordo CD'!L$2:L$875,"FALTA DE CAMINHÃO"),0)+IFERROR(SUMIFS('Base bordo CD'!M$2:M$875,'Base bordo CD'!D$2:D$875,A96,'Base bordo CD'!A$2:A$875,B96,'Base bordo CD'!L$2:L$875,"FALTA DE COMBUSTIVEL"),0)+IFERROR(SUMIFS('Base bordo CD'!M$2:M$875,'Base bordo CD'!D$2:D$875,A96,'Base bordo CD'!A$2:A$875,B96,'Base bordo CD'!L$2:L$875,"FALTA DE MOTORIST*"),0)</f>
        <v>0</v>
      </c>
      <c r="O96" s="10">
        <f t="shared" si="10"/>
        <v>2.5619444444444461</v>
      </c>
      <c r="P96" s="10">
        <f>IFERROR(SUMIFS('Base bordo CD'!M$2:M$875,'Base bordo CD'!D$2:D$875,A96,'Base bordo CD'!A$2:A$875,B96),0)</f>
        <v>24</v>
      </c>
      <c r="Q96" s="10">
        <f>IFERROR(SUMIFS('Base bordo CD'!O$2:O$875,'Base bordo CD'!D$2:D$875,A96,'Base bordo CD'!A$2:A$875,B96,'Base bordo CD'!L$2:L$875,"CORTE DE CANA MECANIZADO"),0)</f>
        <v>65108.39</v>
      </c>
      <c r="R96" s="10">
        <f>IFERROR(SUMIFS('Base bordo CD'!Q$2:Q$875,'Base bordo CD'!D$2:D$875,A96,'Base bordo CD'!A$2:A$875,B96,'Base bordo CD'!L$2:L$875,"CORTE DE CANA MECANIZADO"),0)</f>
        <v>15761</v>
      </c>
      <c r="S96" s="30">
        <f t="shared" si="11"/>
        <v>4.1309809022270159</v>
      </c>
      <c r="T96" s="9">
        <f t="shared" si="12"/>
        <v>0.18241898148148147</v>
      </c>
      <c r="U96" s="9">
        <f t="shared" si="13"/>
        <v>3.3553240740740738E-2</v>
      </c>
      <c r="V96" s="9">
        <f t="shared" si="14"/>
        <v>0.80609953703703707</v>
      </c>
    </row>
    <row r="97" spans="1:22" hidden="1" x14ac:dyDescent="0.35">
      <c r="A97" s="52">
        <v>49589</v>
      </c>
      <c r="B97" s="31">
        <v>46123</v>
      </c>
      <c r="C97" s="7" t="s">
        <v>321</v>
      </c>
      <c r="D97" s="7">
        <v>351</v>
      </c>
      <c r="E97" s="10">
        <f>IFERROR(SUMIFS('Base bordo CD'!M$2:M$875,'Base bordo CD'!D$2:D$875,A97,'Base bordo CD'!A$2:A$875,B97,'Base bordo CD'!L$2:L$875,"CORTE DE CANA MECANIZADO"),0)</f>
        <v>4.3780555555555551</v>
      </c>
      <c r="F97" s="10">
        <f>IFERROR(SUMIFS('Base bordo CD'!M$2:M$875,'Base bordo CD'!D$2:D$875,A97,'Base bordo CD'!A$2:A$875,B97,'Base bordo CD'!L$2:L$875,"MANOBRA"),0)</f>
        <v>0.80527777777777776</v>
      </c>
      <c r="G97" s="10">
        <f>IFERROR(SUMIFS('Base bordo CD'!M$2:M$875,'Base bordo CD'!D$2:D$875,A97,'Base bordo CD'!A$2:A$875,B97,'Base bordo CD'!L$2:L$875,"DESLOCAMENTO"),0)</f>
        <v>0.27555555555555555</v>
      </c>
      <c r="H97" s="10">
        <f>IFERROR(SUMIFS('Base bordo CD'!M$2:M$875,'Base bordo CD'!D$2:D$875,A97,'Base bordo CD'!A$2:A$875,B97,'Base bordo CD'!L$2:L$875,"AGUARDANDO MANOBRA DE TRANSBORDO"),0)+IFERROR(SUMIFS('Base bordo CD'!M$2:M$875,'Base bordo CD'!D$2:D$875,A97,'Base bordo CD'!A$2:A$875,B97,'Base bordo CD'!L$2:L$875,"FALTA DE TRANSBORDO"),0)</f>
        <v>0.1111111111111111</v>
      </c>
      <c r="I97" s="10">
        <f>IFERROR(SUMIFS('Base bordo CD'!M$2:M$875,'Base bordo CD'!D$2:D$875,A97,'Base bordo CD'!A$2:A$875,B97,'Base bordo CD'!L$2:L$875,"PARADA POR CONDICOES CLIMATICAS"),0)+IFERROR(SUMIFS('Base bordo CD'!M$2:M$875,'Base bordo CD'!D$2:D$875,A97,'Base bordo CD'!A$2:A$875,B97,'Base bordo CD'!L$2:L$875,"TEMPO INDETERMINADO"),0)</f>
        <v>13.980277777777777</v>
      </c>
      <c r="J97" s="10">
        <f>IFERROR(SUMIFS('Base bordo CD'!M$2:M$875,'Base bordo CD'!D$2:D$875,A97,'Base bordo CD'!A$2:A$875,B97,'Base bordo CD'!L$2:L$875,"LIMITAÇÃO INDÚSTRIA"),0)</f>
        <v>0</v>
      </c>
      <c r="K97" s="10">
        <f>IFERROR(SUMIFS('Base bordo CD'!M$2:M$875,'Base bordo CD'!D$2:D$875,A97,'Base bordo CD'!A$2:A$875,B97,'Base bordo CD'!L$2:L$875,"MAN CORRETIVA*"),0)+IFERROR(SUMIFS('Base bordo CD'!M$2:M$875,'Base bordo CD'!D$2:D$875,A97,'Base bordo CD'!A$2:A$875,B97,'Base bordo CD'!L$2:L$875,"AGUARDANDO MANUTENCAO*"),0)+IFERROR(SUMIFS('Base bordo CD'!M$2:M$875,'Base bordo CD'!D$2:D$875,A97,'Base bordo CD'!A$2:A$875,B97,'Base bordo CD'!L$2:L$875,"TROCA DE FAQUINHA"),0)+IFERROR(SUMIFS('Base bordo CD'!M$2:M$875,'Base bordo CD'!D$2:D$875,A97,'Base bordo CD'!A$2:A$875,B97,'Base bordo CD'!L$2:L$875,"LIMPEZA*"),0)</f>
        <v>1.8027777777777776</v>
      </c>
      <c r="L97" s="10">
        <f>IFERROR(SUMIFS('Base bordo CD'!M$2:M$875,'Base bordo CD'!D$2:D$875,A97,'Base bordo CD'!A$2:A$875,B97,'Base bordo CD'!L$2:L$875,"PATIO - RESERVA"),0)</f>
        <v>0</v>
      </c>
      <c r="M97" s="10">
        <f>IFERROR(SUMIFS('Base bordo CD'!M$2:M$875,'Base bordo CD'!D$2:D$875,A97,'Base bordo CD'!A$2:A$875,B97,'Base bordo CD'!L$2:L$875,"SEM APONTAMENTO"),0)</f>
        <v>8.5000000000000006E-2</v>
      </c>
      <c r="N97" s="10">
        <f>IFERROR(SUMIFS('Base bordo CD'!M$2:M$875,'Base bordo CD'!D$2:D$875,A97,'Base bordo CD'!A$2:A$875,B97,'Base bordo CD'!L$2:L$875,"FALTA DE CAMINHÃO"),0)+IFERROR(SUMIFS('Base bordo CD'!M$2:M$875,'Base bordo CD'!D$2:D$875,A97,'Base bordo CD'!A$2:A$875,B97,'Base bordo CD'!L$2:L$875,"FALTA DE COMBUSTIVEL"),0)+IFERROR(SUMIFS('Base bordo CD'!M$2:M$875,'Base bordo CD'!D$2:D$875,A97,'Base bordo CD'!A$2:A$875,B97,'Base bordo CD'!L$2:L$875,"FALTA DE MOTORIST*"),0)</f>
        <v>0</v>
      </c>
      <c r="O97" s="10">
        <f t="shared" si="10"/>
        <v>2.5619444444444461</v>
      </c>
      <c r="P97" s="10">
        <f>IFERROR(SUMIFS('Base bordo CD'!M$2:M$875,'Base bordo CD'!D$2:D$875,A97,'Base bordo CD'!A$2:A$875,B97),0)</f>
        <v>24</v>
      </c>
      <c r="Q97" s="10">
        <f>IFERROR(SUMIFS('Base bordo CD'!O$2:O$875,'Base bordo CD'!D$2:D$875,A97,'Base bordo CD'!A$2:A$875,B97,'Base bordo CD'!L$2:L$875,"CORTE DE CANA MECANIZADO"),0)</f>
        <v>65108.39</v>
      </c>
      <c r="R97" s="10">
        <f>IFERROR(SUMIFS('Base bordo CD'!Q$2:Q$875,'Base bordo CD'!D$2:D$875,A97,'Base bordo CD'!A$2:A$875,B97,'Base bordo CD'!L$2:L$875,"CORTE DE CANA MECANIZADO"),0)</f>
        <v>15761</v>
      </c>
      <c r="S97" s="30">
        <f t="shared" si="11"/>
        <v>4.1309809022270159</v>
      </c>
      <c r="T97" s="9">
        <f t="shared" si="12"/>
        <v>0.18241898148148147</v>
      </c>
      <c r="U97" s="9">
        <f t="shared" si="13"/>
        <v>3.3553240740740738E-2</v>
      </c>
      <c r="V97" s="9">
        <f t="shared" si="14"/>
        <v>0.80609953703703707</v>
      </c>
    </row>
    <row r="98" spans="1:22" hidden="1" x14ac:dyDescent="0.35">
      <c r="A98" s="52">
        <v>49589</v>
      </c>
      <c r="B98" s="31">
        <v>46123</v>
      </c>
      <c r="C98" s="7" t="s">
        <v>321</v>
      </c>
      <c r="D98" s="7">
        <v>351</v>
      </c>
      <c r="E98" s="10">
        <f>IFERROR(SUMIFS('Base bordo CD'!M$2:M$875,'Base bordo CD'!D$2:D$875,A98,'Base bordo CD'!A$2:A$875,B98,'Base bordo CD'!L$2:L$875,"CORTE DE CANA MECANIZADO"),0)</f>
        <v>4.3780555555555551</v>
      </c>
      <c r="F98" s="10">
        <f>IFERROR(SUMIFS('Base bordo CD'!M$2:M$875,'Base bordo CD'!D$2:D$875,A98,'Base bordo CD'!A$2:A$875,B98,'Base bordo CD'!L$2:L$875,"MANOBRA"),0)</f>
        <v>0.80527777777777776</v>
      </c>
      <c r="G98" s="10">
        <f>IFERROR(SUMIFS('Base bordo CD'!M$2:M$875,'Base bordo CD'!D$2:D$875,A98,'Base bordo CD'!A$2:A$875,B98,'Base bordo CD'!L$2:L$875,"DESLOCAMENTO"),0)</f>
        <v>0.27555555555555555</v>
      </c>
      <c r="H98" s="10">
        <f>IFERROR(SUMIFS('Base bordo CD'!M$2:M$875,'Base bordo CD'!D$2:D$875,A98,'Base bordo CD'!A$2:A$875,B98,'Base bordo CD'!L$2:L$875,"AGUARDANDO MANOBRA DE TRANSBORDO"),0)+IFERROR(SUMIFS('Base bordo CD'!M$2:M$875,'Base bordo CD'!D$2:D$875,A98,'Base bordo CD'!A$2:A$875,B98,'Base bordo CD'!L$2:L$875,"FALTA DE TRANSBORDO"),0)</f>
        <v>0.1111111111111111</v>
      </c>
      <c r="I98" s="10">
        <f>IFERROR(SUMIFS('Base bordo CD'!M$2:M$875,'Base bordo CD'!D$2:D$875,A98,'Base bordo CD'!A$2:A$875,B98,'Base bordo CD'!L$2:L$875,"PARADA POR CONDICOES CLIMATICAS"),0)+IFERROR(SUMIFS('Base bordo CD'!M$2:M$875,'Base bordo CD'!D$2:D$875,A98,'Base bordo CD'!A$2:A$875,B98,'Base bordo CD'!L$2:L$875,"TEMPO INDETERMINADO"),0)</f>
        <v>13.980277777777777</v>
      </c>
      <c r="J98" s="10">
        <f>IFERROR(SUMIFS('Base bordo CD'!M$2:M$875,'Base bordo CD'!D$2:D$875,A98,'Base bordo CD'!A$2:A$875,B98,'Base bordo CD'!L$2:L$875,"LIMITAÇÃO INDÚSTRIA"),0)</f>
        <v>0</v>
      </c>
      <c r="K98" s="10">
        <f>IFERROR(SUMIFS('Base bordo CD'!M$2:M$875,'Base bordo CD'!D$2:D$875,A98,'Base bordo CD'!A$2:A$875,B98,'Base bordo CD'!L$2:L$875,"MAN CORRETIVA*"),0)+IFERROR(SUMIFS('Base bordo CD'!M$2:M$875,'Base bordo CD'!D$2:D$875,A98,'Base bordo CD'!A$2:A$875,B98,'Base bordo CD'!L$2:L$875,"AGUARDANDO MANUTENCAO*"),0)+IFERROR(SUMIFS('Base bordo CD'!M$2:M$875,'Base bordo CD'!D$2:D$875,A98,'Base bordo CD'!A$2:A$875,B98,'Base bordo CD'!L$2:L$875,"TROCA DE FAQUINHA"),0)+IFERROR(SUMIFS('Base bordo CD'!M$2:M$875,'Base bordo CD'!D$2:D$875,A98,'Base bordo CD'!A$2:A$875,B98,'Base bordo CD'!L$2:L$875,"LIMPEZA*"),0)</f>
        <v>1.8027777777777776</v>
      </c>
      <c r="L98" s="10">
        <f>IFERROR(SUMIFS('Base bordo CD'!M$2:M$875,'Base bordo CD'!D$2:D$875,A98,'Base bordo CD'!A$2:A$875,B98,'Base bordo CD'!L$2:L$875,"PATIO - RESERVA"),0)</f>
        <v>0</v>
      </c>
      <c r="M98" s="10">
        <f>IFERROR(SUMIFS('Base bordo CD'!M$2:M$875,'Base bordo CD'!D$2:D$875,A98,'Base bordo CD'!A$2:A$875,B98,'Base bordo CD'!L$2:L$875,"SEM APONTAMENTO"),0)</f>
        <v>8.5000000000000006E-2</v>
      </c>
      <c r="N98" s="10">
        <f>IFERROR(SUMIFS('Base bordo CD'!M$2:M$875,'Base bordo CD'!D$2:D$875,A98,'Base bordo CD'!A$2:A$875,B98,'Base bordo CD'!L$2:L$875,"FALTA DE CAMINHÃO"),0)+IFERROR(SUMIFS('Base bordo CD'!M$2:M$875,'Base bordo CD'!D$2:D$875,A98,'Base bordo CD'!A$2:A$875,B98,'Base bordo CD'!L$2:L$875,"FALTA DE COMBUSTIVEL"),0)+IFERROR(SUMIFS('Base bordo CD'!M$2:M$875,'Base bordo CD'!D$2:D$875,A98,'Base bordo CD'!A$2:A$875,B98,'Base bordo CD'!L$2:L$875,"FALTA DE MOTORIST*"),0)</f>
        <v>0</v>
      </c>
      <c r="O98" s="10">
        <f t="shared" si="10"/>
        <v>2.5619444444444461</v>
      </c>
      <c r="P98" s="10">
        <f>IFERROR(SUMIFS('Base bordo CD'!M$2:M$875,'Base bordo CD'!D$2:D$875,A98,'Base bordo CD'!A$2:A$875,B98),0)</f>
        <v>24</v>
      </c>
      <c r="Q98" s="10">
        <f>IFERROR(SUMIFS('Base bordo CD'!O$2:O$875,'Base bordo CD'!D$2:D$875,A98,'Base bordo CD'!A$2:A$875,B98,'Base bordo CD'!L$2:L$875,"CORTE DE CANA MECANIZADO"),0)</f>
        <v>65108.39</v>
      </c>
      <c r="R98" s="10">
        <f>IFERROR(SUMIFS('Base bordo CD'!Q$2:Q$875,'Base bordo CD'!D$2:D$875,A98,'Base bordo CD'!A$2:A$875,B98,'Base bordo CD'!L$2:L$875,"CORTE DE CANA MECANIZADO"),0)</f>
        <v>15761</v>
      </c>
      <c r="S98" s="30">
        <f t="shared" si="11"/>
        <v>4.1309809022270159</v>
      </c>
      <c r="T98" s="9">
        <f t="shared" si="12"/>
        <v>0.18241898148148147</v>
      </c>
      <c r="U98" s="9">
        <f t="shared" si="13"/>
        <v>3.3553240740740738E-2</v>
      </c>
      <c r="V98" s="9">
        <f t="shared" si="14"/>
        <v>0.80609953703703707</v>
      </c>
    </row>
    <row r="99" spans="1:22" hidden="1" x14ac:dyDescent="0.35">
      <c r="A99" s="52">
        <v>49589</v>
      </c>
      <c r="B99" s="31">
        <v>46123</v>
      </c>
      <c r="C99" s="7" t="s">
        <v>321</v>
      </c>
      <c r="D99" s="7">
        <v>351</v>
      </c>
      <c r="E99" s="10">
        <f>IFERROR(SUMIFS('Base bordo CD'!M$2:M$875,'Base bordo CD'!D$2:D$875,A99,'Base bordo CD'!A$2:A$875,B99,'Base bordo CD'!L$2:L$875,"CORTE DE CANA MECANIZADO"),0)</f>
        <v>4.3780555555555551</v>
      </c>
      <c r="F99" s="10">
        <f>IFERROR(SUMIFS('Base bordo CD'!M$2:M$875,'Base bordo CD'!D$2:D$875,A99,'Base bordo CD'!A$2:A$875,B99,'Base bordo CD'!L$2:L$875,"MANOBRA"),0)</f>
        <v>0.80527777777777776</v>
      </c>
      <c r="G99" s="10">
        <f>IFERROR(SUMIFS('Base bordo CD'!M$2:M$875,'Base bordo CD'!D$2:D$875,A99,'Base bordo CD'!A$2:A$875,B99,'Base bordo CD'!L$2:L$875,"DESLOCAMENTO"),0)</f>
        <v>0.27555555555555555</v>
      </c>
      <c r="H99" s="10">
        <f>IFERROR(SUMIFS('Base bordo CD'!M$2:M$875,'Base bordo CD'!D$2:D$875,A99,'Base bordo CD'!A$2:A$875,B99,'Base bordo CD'!L$2:L$875,"AGUARDANDO MANOBRA DE TRANSBORDO"),0)+IFERROR(SUMIFS('Base bordo CD'!M$2:M$875,'Base bordo CD'!D$2:D$875,A99,'Base bordo CD'!A$2:A$875,B99,'Base bordo CD'!L$2:L$875,"FALTA DE TRANSBORDO"),0)</f>
        <v>0.1111111111111111</v>
      </c>
      <c r="I99" s="10">
        <f>IFERROR(SUMIFS('Base bordo CD'!M$2:M$875,'Base bordo CD'!D$2:D$875,A99,'Base bordo CD'!A$2:A$875,B99,'Base bordo CD'!L$2:L$875,"PARADA POR CONDICOES CLIMATICAS"),0)+IFERROR(SUMIFS('Base bordo CD'!M$2:M$875,'Base bordo CD'!D$2:D$875,A99,'Base bordo CD'!A$2:A$875,B99,'Base bordo CD'!L$2:L$875,"TEMPO INDETERMINADO"),0)</f>
        <v>13.980277777777777</v>
      </c>
      <c r="J99" s="10">
        <f>IFERROR(SUMIFS('Base bordo CD'!M$2:M$875,'Base bordo CD'!D$2:D$875,A99,'Base bordo CD'!A$2:A$875,B99,'Base bordo CD'!L$2:L$875,"LIMITAÇÃO INDÚSTRIA"),0)</f>
        <v>0</v>
      </c>
      <c r="K99" s="10">
        <f>IFERROR(SUMIFS('Base bordo CD'!M$2:M$875,'Base bordo CD'!D$2:D$875,A99,'Base bordo CD'!A$2:A$875,B99,'Base bordo CD'!L$2:L$875,"MAN CORRETIVA*"),0)+IFERROR(SUMIFS('Base bordo CD'!M$2:M$875,'Base bordo CD'!D$2:D$875,A99,'Base bordo CD'!A$2:A$875,B99,'Base bordo CD'!L$2:L$875,"AGUARDANDO MANUTENCAO*"),0)+IFERROR(SUMIFS('Base bordo CD'!M$2:M$875,'Base bordo CD'!D$2:D$875,A99,'Base bordo CD'!A$2:A$875,B99,'Base bordo CD'!L$2:L$875,"TROCA DE FAQUINHA"),0)+IFERROR(SUMIFS('Base bordo CD'!M$2:M$875,'Base bordo CD'!D$2:D$875,A99,'Base bordo CD'!A$2:A$875,B99,'Base bordo CD'!L$2:L$875,"LIMPEZA*"),0)</f>
        <v>1.8027777777777776</v>
      </c>
      <c r="L99" s="10">
        <f>IFERROR(SUMIFS('Base bordo CD'!M$2:M$875,'Base bordo CD'!D$2:D$875,A99,'Base bordo CD'!A$2:A$875,B99,'Base bordo CD'!L$2:L$875,"PATIO - RESERVA"),0)</f>
        <v>0</v>
      </c>
      <c r="M99" s="10">
        <f>IFERROR(SUMIFS('Base bordo CD'!M$2:M$875,'Base bordo CD'!D$2:D$875,A99,'Base bordo CD'!A$2:A$875,B99,'Base bordo CD'!L$2:L$875,"SEM APONTAMENTO"),0)</f>
        <v>8.5000000000000006E-2</v>
      </c>
      <c r="N99" s="10">
        <f>IFERROR(SUMIFS('Base bordo CD'!M$2:M$875,'Base bordo CD'!D$2:D$875,A99,'Base bordo CD'!A$2:A$875,B99,'Base bordo CD'!L$2:L$875,"FALTA DE CAMINHÃO"),0)+IFERROR(SUMIFS('Base bordo CD'!M$2:M$875,'Base bordo CD'!D$2:D$875,A99,'Base bordo CD'!A$2:A$875,B99,'Base bordo CD'!L$2:L$875,"FALTA DE COMBUSTIVEL"),0)+IFERROR(SUMIFS('Base bordo CD'!M$2:M$875,'Base bordo CD'!D$2:D$875,A99,'Base bordo CD'!A$2:A$875,B99,'Base bordo CD'!L$2:L$875,"FALTA DE MOTORIST*"),0)</f>
        <v>0</v>
      </c>
      <c r="O99" s="10">
        <f t="shared" si="10"/>
        <v>2.5619444444444461</v>
      </c>
      <c r="P99" s="10">
        <f>IFERROR(SUMIFS('Base bordo CD'!M$2:M$875,'Base bordo CD'!D$2:D$875,A99,'Base bordo CD'!A$2:A$875,B99),0)</f>
        <v>24</v>
      </c>
      <c r="Q99" s="10">
        <f>IFERROR(SUMIFS('Base bordo CD'!O$2:O$875,'Base bordo CD'!D$2:D$875,A99,'Base bordo CD'!A$2:A$875,B99,'Base bordo CD'!L$2:L$875,"CORTE DE CANA MECANIZADO"),0)</f>
        <v>65108.39</v>
      </c>
      <c r="R99" s="10">
        <f>IFERROR(SUMIFS('Base bordo CD'!Q$2:Q$875,'Base bordo CD'!D$2:D$875,A99,'Base bordo CD'!A$2:A$875,B99,'Base bordo CD'!L$2:L$875,"CORTE DE CANA MECANIZADO"),0)</f>
        <v>15761</v>
      </c>
      <c r="S99" s="30">
        <f t="shared" si="11"/>
        <v>4.1309809022270159</v>
      </c>
      <c r="T99" s="9">
        <f t="shared" si="12"/>
        <v>0.18241898148148147</v>
      </c>
      <c r="U99" s="9">
        <f t="shared" si="13"/>
        <v>3.3553240740740738E-2</v>
      </c>
      <c r="V99" s="9">
        <f t="shared" si="14"/>
        <v>0.80609953703703707</v>
      </c>
    </row>
    <row r="100" spans="1:22" hidden="1" x14ac:dyDescent="0.35">
      <c r="A100" s="52">
        <v>49589</v>
      </c>
      <c r="B100" s="31">
        <v>46123</v>
      </c>
      <c r="C100" s="7" t="s">
        <v>321</v>
      </c>
      <c r="D100" s="7">
        <v>351</v>
      </c>
      <c r="E100" s="10">
        <f>IFERROR(SUMIFS('Base bordo CD'!M$2:M$875,'Base bordo CD'!D$2:D$875,A100,'Base bordo CD'!A$2:A$875,B100,'Base bordo CD'!L$2:L$875,"CORTE DE CANA MECANIZADO"),0)</f>
        <v>4.3780555555555551</v>
      </c>
      <c r="F100" s="10">
        <f>IFERROR(SUMIFS('Base bordo CD'!M$2:M$875,'Base bordo CD'!D$2:D$875,A100,'Base bordo CD'!A$2:A$875,B100,'Base bordo CD'!L$2:L$875,"MANOBRA"),0)</f>
        <v>0.80527777777777776</v>
      </c>
      <c r="G100" s="10">
        <f>IFERROR(SUMIFS('Base bordo CD'!M$2:M$875,'Base bordo CD'!D$2:D$875,A100,'Base bordo CD'!A$2:A$875,B100,'Base bordo CD'!L$2:L$875,"DESLOCAMENTO"),0)</f>
        <v>0.27555555555555555</v>
      </c>
      <c r="H100" s="10">
        <f>IFERROR(SUMIFS('Base bordo CD'!M$2:M$875,'Base bordo CD'!D$2:D$875,A100,'Base bordo CD'!A$2:A$875,B100,'Base bordo CD'!L$2:L$875,"AGUARDANDO MANOBRA DE TRANSBORDO"),0)+IFERROR(SUMIFS('Base bordo CD'!M$2:M$875,'Base bordo CD'!D$2:D$875,A100,'Base bordo CD'!A$2:A$875,B100,'Base bordo CD'!L$2:L$875,"FALTA DE TRANSBORDO"),0)</f>
        <v>0.1111111111111111</v>
      </c>
      <c r="I100" s="10">
        <f>IFERROR(SUMIFS('Base bordo CD'!M$2:M$875,'Base bordo CD'!D$2:D$875,A100,'Base bordo CD'!A$2:A$875,B100,'Base bordo CD'!L$2:L$875,"PARADA POR CONDICOES CLIMATICAS"),0)+IFERROR(SUMIFS('Base bordo CD'!M$2:M$875,'Base bordo CD'!D$2:D$875,A100,'Base bordo CD'!A$2:A$875,B100,'Base bordo CD'!L$2:L$875,"TEMPO INDETERMINADO"),0)</f>
        <v>13.980277777777777</v>
      </c>
      <c r="J100" s="10">
        <f>IFERROR(SUMIFS('Base bordo CD'!M$2:M$875,'Base bordo CD'!D$2:D$875,A100,'Base bordo CD'!A$2:A$875,B100,'Base bordo CD'!L$2:L$875,"LIMITAÇÃO INDÚSTRIA"),0)</f>
        <v>0</v>
      </c>
      <c r="K100" s="10">
        <f>IFERROR(SUMIFS('Base bordo CD'!M$2:M$875,'Base bordo CD'!D$2:D$875,A100,'Base bordo CD'!A$2:A$875,B100,'Base bordo CD'!L$2:L$875,"MAN CORRETIVA*"),0)+IFERROR(SUMIFS('Base bordo CD'!M$2:M$875,'Base bordo CD'!D$2:D$875,A100,'Base bordo CD'!A$2:A$875,B100,'Base bordo CD'!L$2:L$875,"AGUARDANDO MANUTENCAO*"),0)+IFERROR(SUMIFS('Base bordo CD'!M$2:M$875,'Base bordo CD'!D$2:D$875,A100,'Base bordo CD'!A$2:A$875,B100,'Base bordo CD'!L$2:L$875,"TROCA DE FAQUINHA"),0)+IFERROR(SUMIFS('Base bordo CD'!M$2:M$875,'Base bordo CD'!D$2:D$875,A100,'Base bordo CD'!A$2:A$875,B100,'Base bordo CD'!L$2:L$875,"LIMPEZA*"),0)</f>
        <v>1.8027777777777776</v>
      </c>
      <c r="L100" s="10">
        <f>IFERROR(SUMIFS('Base bordo CD'!M$2:M$875,'Base bordo CD'!D$2:D$875,A100,'Base bordo CD'!A$2:A$875,B100,'Base bordo CD'!L$2:L$875,"PATIO - RESERVA"),0)</f>
        <v>0</v>
      </c>
      <c r="M100" s="10">
        <f>IFERROR(SUMIFS('Base bordo CD'!M$2:M$875,'Base bordo CD'!D$2:D$875,A100,'Base bordo CD'!A$2:A$875,B100,'Base bordo CD'!L$2:L$875,"SEM APONTAMENTO"),0)</f>
        <v>8.5000000000000006E-2</v>
      </c>
      <c r="N100" s="10">
        <f>IFERROR(SUMIFS('Base bordo CD'!M$2:M$875,'Base bordo CD'!D$2:D$875,A100,'Base bordo CD'!A$2:A$875,B100,'Base bordo CD'!L$2:L$875,"FALTA DE CAMINHÃO"),0)+IFERROR(SUMIFS('Base bordo CD'!M$2:M$875,'Base bordo CD'!D$2:D$875,A100,'Base bordo CD'!A$2:A$875,B100,'Base bordo CD'!L$2:L$875,"FALTA DE COMBUSTIVEL"),0)+IFERROR(SUMIFS('Base bordo CD'!M$2:M$875,'Base bordo CD'!D$2:D$875,A100,'Base bordo CD'!A$2:A$875,B100,'Base bordo CD'!L$2:L$875,"FALTA DE MOTORIST*"),0)</f>
        <v>0</v>
      </c>
      <c r="O100" s="10">
        <f t="shared" si="10"/>
        <v>2.5619444444444461</v>
      </c>
      <c r="P100" s="10">
        <f>IFERROR(SUMIFS('Base bordo CD'!M$2:M$875,'Base bordo CD'!D$2:D$875,A100,'Base bordo CD'!A$2:A$875,B100),0)</f>
        <v>24</v>
      </c>
      <c r="Q100" s="10">
        <f>IFERROR(SUMIFS('Base bordo CD'!O$2:O$875,'Base bordo CD'!D$2:D$875,A100,'Base bordo CD'!A$2:A$875,B100,'Base bordo CD'!L$2:L$875,"CORTE DE CANA MECANIZADO"),0)</f>
        <v>65108.39</v>
      </c>
      <c r="R100" s="10">
        <f>IFERROR(SUMIFS('Base bordo CD'!Q$2:Q$875,'Base bordo CD'!D$2:D$875,A100,'Base bordo CD'!A$2:A$875,B100,'Base bordo CD'!L$2:L$875,"CORTE DE CANA MECANIZADO"),0)</f>
        <v>15761</v>
      </c>
      <c r="S100" s="30">
        <f t="shared" si="11"/>
        <v>4.1309809022270159</v>
      </c>
      <c r="T100" s="9">
        <f t="shared" si="12"/>
        <v>0.18241898148148147</v>
      </c>
      <c r="U100" s="9">
        <f t="shared" si="13"/>
        <v>3.3553240740740738E-2</v>
      </c>
      <c r="V100" s="9">
        <f t="shared" si="14"/>
        <v>0.80609953703703707</v>
      </c>
    </row>
    <row r="101" spans="1:22" hidden="1" x14ac:dyDescent="0.35">
      <c r="A101" s="52">
        <v>49589</v>
      </c>
      <c r="B101" s="31">
        <v>46123</v>
      </c>
      <c r="C101" s="7" t="s">
        <v>321</v>
      </c>
      <c r="D101" s="7">
        <v>351</v>
      </c>
      <c r="E101" s="10">
        <f>IFERROR(SUMIFS('Base bordo CD'!M$2:M$875,'Base bordo CD'!D$2:D$875,A101,'Base bordo CD'!A$2:A$875,B101,'Base bordo CD'!L$2:L$875,"CORTE DE CANA MECANIZADO"),0)</f>
        <v>4.3780555555555551</v>
      </c>
      <c r="F101" s="10">
        <f>IFERROR(SUMIFS('Base bordo CD'!M$2:M$875,'Base bordo CD'!D$2:D$875,A101,'Base bordo CD'!A$2:A$875,B101,'Base bordo CD'!L$2:L$875,"MANOBRA"),0)</f>
        <v>0.80527777777777776</v>
      </c>
      <c r="G101" s="10">
        <f>IFERROR(SUMIFS('Base bordo CD'!M$2:M$875,'Base bordo CD'!D$2:D$875,A101,'Base bordo CD'!A$2:A$875,B101,'Base bordo CD'!L$2:L$875,"DESLOCAMENTO"),0)</f>
        <v>0.27555555555555555</v>
      </c>
      <c r="H101" s="10">
        <f>IFERROR(SUMIFS('Base bordo CD'!M$2:M$875,'Base bordo CD'!D$2:D$875,A101,'Base bordo CD'!A$2:A$875,B101,'Base bordo CD'!L$2:L$875,"AGUARDANDO MANOBRA DE TRANSBORDO"),0)+IFERROR(SUMIFS('Base bordo CD'!M$2:M$875,'Base bordo CD'!D$2:D$875,A101,'Base bordo CD'!A$2:A$875,B101,'Base bordo CD'!L$2:L$875,"FALTA DE TRANSBORDO"),0)</f>
        <v>0.1111111111111111</v>
      </c>
      <c r="I101" s="10">
        <f>IFERROR(SUMIFS('Base bordo CD'!M$2:M$875,'Base bordo CD'!D$2:D$875,A101,'Base bordo CD'!A$2:A$875,B101,'Base bordo CD'!L$2:L$875,"PARADA POR CONDICOES CLIMATICAS"),0)+IFERROR(SUMIFS('Base bordo CD'!M$2:M$875,'Base bordo CD'!D$2:D$875,A101,'Base bordo CD'!A$2:A$875,B101,'Base bordo CD'!L$2:L$875,"TEMPO INDETERMINADO"),0)</f>
        <v>13.980277777777777</v>
      </c>
      <c r="J101" s="10">
        <f>IFERROR(SUMIFS('Base bordo CD'!M$2:M$875,'Base bordo CD'!D$2:D$875,A101,'Base bordo CD'!A$2:A$875,B101,'Base bordo CD'!L$2:L$875,"LIMITAÇÃO INDÚSTRIA"),0)</f>
        <v>0</v>
      </c>
      <c r="K101" s="10">
        <f>IFERROR(SUMIFS('Base bordo CD'!M$2:M$875,'Base bordo CD'!D$2:D$875,A101,'Base bordo CD'!A$2:A$875,B101,'Base bordo CD'!L$2:L$875,"MAN CORRETIVA*"),0)+IFERROR(SUMIFS('Base bordo CD'!M$2:M$875,'Base bordo CD'!D$2:D$875,A101,'Base bordo CD'!A$2:A$875,B101,'Base bordo CD'!L$2:L$875,"AGUARDANDO MANUTENCAO*"),0)+IFERROR(SUMIFS('Base bordo CD'!M$2:M$875,'Base bordo CD'!D$2:D$875,A101,'Base bordo CD'!A$2:A$875,B101,'Base bordo CD'!L$2:L$875,"TROCA DE FAQUINHA"),0)+IFERROR(SUMIFS('Base bordo CD'!M$2:M$875,'Base bordo CD'!D$2:D$875,A101,'Base bordo CD'!A$2:A$875,B101,'Base bordo CD'!L$2:L$875,"LIMPEZA*"),0)</f>
        <v>1.8027777777777776</v>
      </c>
      <c r="L101" s="10">
        <f>IFERROR(SUMIFS('Base bordo CD'!M$2:M$875,'Base bordo CD'!D$2:D$875,A101,'Base bordo CD'!A$2:A$875,B101,'Base bordo CD'!L$2:L$875,"PATIO - RESERVA"),0)</f>
        <v>0</v>
      </c>
      <c r="M101" s="10">
        <f>IFERROR(SUMIFS('Base bordo CD'!M$2:M$875,'Base bordo CD'!D$2:D$875,A101,'Base bordo CD'!A$2:A$875,B101,'Base bordo CD'!L$2:L$875,"SEM APONTAMENTO"),0)</f>
        <v>8.5000000000000006E-2</v>
      </c>
      <c r="N101" s="10">
        <f>IFERROR(SUMIFS('Base bordo CD'!M$2:M$875,'Base bordo CD'!D$2:D$875,A101,'Base bordo CD'!A$2:A$875,B101,'Base bordo CD'!L$2:L$875,"FALTA DE CAMINHÃO"),0)+IFERROR(SUMIFS('Base bordo CD'!M$2:M$875,'Base bordo CD'!D$2:D$875,A101,'Base bordo CD'!A$2:A$875,B101,'Base bordo CD'!L$2:L$875,"FALTA DE COMBUSTIVEL"),0)+IFERROR(SUMIFS('Base bordo CD'!M$2:M$875,'Base bordo CD'!D$2:D$875,A101,'Base bordo CD'!A$2:A$875,B101,'Base bordo CD'!L$2:L$875,"FALTA DE MOTORIST*"),0)</f>
        <v>0</v>
      </c>
      <c r="O101" s="10">
        <f t="shared" si="10"/>
        <v>2.5619444444444461</v>
      </c>
      <c r="P101" s="10">
        <f>IFERROR(SUMIFS('Base bordo CD'!M$2:M$875,'Base bordo CD'!D$2:D$875,A101,'Base bordo CD'!A$2:A$875,B101),0)</f>
        <v>24</v>
      </c>
      <c r="Q101" s="10">
        <f>IFERROR(SUMIFS('Base bordo CD'!O$2:O$875,'Base bordo CD'!D$2:D$875,A101,'Base bordo CD'!A$2:A$875,B101,'Base bordo CD'!L$2:L$875,"CORTE DE CANA MECANIZADO"),0)</f>
        <v>65108.39</v>
      </c>
      <c r="R101" s="10">
        <f>IFERROR(SUMIFS('Base bordo CD'!Q$2:Q$875,'Base bordo CD'!D$2:D$875,A101,'Base bordo CD'!A$2:A$875,B101,'Base bordo CD'!L$2:L$875,"CORTE DE CANA MECANIZADO"),0)</f>
        <v>15761</v>
      </c>
      <c r="S101" s="30">
        <f t="shared" si="11"/>
        <v>4.1309809022270159</v>
      </c>
      <c r="T101" s="9">
        <f t="shared" si="12"/>
        <v>0.18241898148148147</v>
      </c>
      <c r="U101" s="9">
        <f t="shared" si="13"/>
        <v>3.3553240740740738E-2</v>
      </c>
      <c r="V101" s="9">
        <f t="shared" si="14"/>
        <v>0.80609953703703707</v>
      </c>
    </row>
    <row r="102" spans="1:22" hidden="1" x14ac:dyDescent="0.35">
      <c r="A102" s="52">
        <v>49589</v>
      </c>
      <c r="B102" s="31">
        <v>46123</v>
      </c>
      <c r="C102" s="7" t="s">
        <v>321</v>
      </c>
      <c r="D102" s="7">
        <v>351</v>
      </c>
      <c r="E102" s="10">
        <f>IFERROR(SUMIFS('Base bordo CD'!M$2:M$875,'Base bordo CD'!D$2:D$875,A102,'Base bordo CD'!A$2:A$875,B102,'Base bordo CD'!L$2:L$875,"CORTE DE CANA MECANIZADO"),0)</f>
        <v>4.3780555555555551</v>
      </c>
      <c r="F102" s="10">
        <f>IFERROR(SUMIFS('Base bordo CD'!M$2:M$875,'Base bordo CD'!D$2:D$875,A102,'Base bordo CD'!A$2:A$875,B102,'Base bordo CD'!L$2:L$875,"MANOBRA"),0)</f>
        <v>0.80527777777777776</v>
      </c>
      <c r="G102" s="10">
        <f>IFERROR(SUMIFS('Base bordo CD'!M$2:M$875,'Base bordo CD'!D$2:D$875,A102,'Base bordo CD'!A$2:A$875,B102,'Base bordo CD'!L$2:L$875,"DESLOCAMENTO"),0)</f>
        <v>0.27555555555555555</v>
      </c>
      <c r="H102" s="10">
        <f>IFERROR(SUMIFS('Base bordo CD'!M$2:M$875,'Base bordo CD'!D$2:D$875,A102,'Base bordo CD'!A$2:A$875,B102,'Base bordo CD'!L$2:L$875,"AGUARDANDO MANOBRA DE TRANSBORDO"),0)+IFERROR(SUMIFS('Base bordo CD'!M$2:M$875,'Base bordo CD'!D$2:D$875,A102,'Base bordo CD'!A$2:A$875,B102,'Base bordo CD'!L$2:L$875,"FALTA DE TRANSBORDO"),0)</f>
        <v>0.1111111111111111</v>
      </c>
      <c r="I102" s="10">
        <f>IFERROR(SUMIFS('Base bordo CD'!M$2:M$875,'Base bordo CD'!D$2:D$875,A102,'Base bordo CD'!A$2:A$875,B102,'Base bordo CD'!L$2:L$875,"PARADA POR CONDICOES CLIMATICAS"),0)+IFERROR(SUMIFS('Base bordo CD'!M$2:M$875,'Base bordo CD'!D$2:D$875,A102,'Base bordo CD'!A$2:A$875,B102,'Base bordo CD'!L$2:L$875,"TEMPO INDETERMINADO"),0)</f>
        <v>13.980277777777777</v>
      </c>
      <c r="J102" s="10">
        <f>IFERROR(SUMIFS('Base bordo CD'!M$2:M$875,'Base bordo CD'!D$2:D$875,A102,'Base bordo CD'!A$2:A$875,B102,'Base bordo CD'!L$2:L$875,"LIMITAÇÃO INDÚSTRIA"),0)</f>
        <v>0</v>
      </c>
      <c r="K102" s="10">
        <f>IFERROR(SUMIFS('Base bordo CD'!M$2:M$875,'Base bordo CD'!D$2:D$875,A102,'Base bordo CD'!A$2:A$875,B102,'Base bordo CD'!L$2:L$875,"MAN CORRETIVA*"),0)+IFERROR(SUMIFS('Base bordo CD'!M$2:M$875,'Base bordo CD'!D$2:D$875,A102,'Base bordo CD'!A$2:A$875,B102,'Base bordo CD'!L$2:L$875,"AGUARDANDO MANUTENCAO*"),0)+IFERROR(SUMIFS('Base bordo CD'!M$2:M$875,'Base bordo CD'!D$2:D$875,A102,'Base bordo CD'!A$2:A$875,B102,'Base bordo CD'!L$2:L$875,"TROCA DE FAQUINHA"),0)+IFERROR(SUMIFS('Base bordo CD'!M$2:M$875,'Base bordo CD'!D$2:D$875,A102,'Base bordo CD'!A$2:A$875,B102,'Base bordo CD'!L$2:L$875,"LIMPEZA*"),0)</f>
        <v>1.8027777777777776</v>
      </c>
      <c r="L102" s="10">
        <f>IFERROR(SUMIFS('Base bordo CD'!M$2:M$875,'Base bordo CD'!D$2:D$875,A102,'Base bordo CD'!A$2:A$875,B102,'Base bordo CD'!L$2:L$875,"PATIO - RESERVA"),0)</f>
        <v>0</v>
      </c>
      <c r="M102" s="10">
        <f>IFERROR(SUMIFS('Base bordo CD'!M$2:M$875,'Base bordo CD'!D$2:D$875,A102,'Base bordo CD'!A$2:A$875,B102,'Base bordo CD'!L$2:L$875,"SEM APONTAMENTO"),0)</f>
        <v>8.5000000000000006E-2</v>
      </c>
      <c r="N102" s="10">
        <f>IFERROR(SUMIFS('Base bordo CD'!M$2:M$875,'Base bordo CD'!D$2:D$875,A102,'Base bordo CD'!A$2:A$875,B102,'Base bordo CD'!L$2:L$875,"FALTA DE CAMINHÃO"),0)+IFERROR(SUMIFS('Base bordo CD'!M$2:M$875,'Base bordo CD'!D$2:D$875,A102,'Base bordo CD'!A$2:A$875,B102,'Base bordo CD'!L$2:L$875,"FALTA DE COMBUSTIVEL"),0)+IFERROR(SUMIFS('Base bordo CD'!M$2:M$875,'Base bordo CD'!D$2:D$875,A102,'Base bordo CD'!A$2:A$875,B102,'Base bordo CD'!L$2:L$875,"FALTA DE MOTORIST*"),0)</f>
        <v>0</v>
      </c>
      <c r="O102" s="10">
        <f t="shared" si="10"/>
        <v>2.5619444444444461</v>
      </c>
      <c r="P102" s="10">
        <f>IFERROR(SUMIFS('Base bordo CD'!M$2:M$875,'Base bordo CD'!D$2:D$875,A102,'Base bordo CD'!A$2:A$875,B102),0)</f>
        <v>24</v>
      </c>
      <c r="Q102" s="10">
        <f>IFERROR(SUMIFS('Base bordo CD'!O$2:O$875,'Base bordo CD'!D$2:D$875,A102,'Base bordo CD'!A$2:A$875,B102,'Base bordo CD'!L$2:L$875,"CORTE DE CANA MECANIZADO"),0)</f>
        <v>65108.39</v>
      </c>
      <c r="R102" s="10">
        <f>IFERROR(SUMIFS('Base bordo CD'!Q$2:Q$875,'Base bordo CD'!D$2:D$875,A102,'Base bordo CD'!A$2:A$875,B102,'Base bordo CD'!L$2:L$875,"CORTE DE CANA MECANIZADO"),0)</f>
        <v>15761</v>
      </c>
      <c r="S102" s="30">
        <f t="shared" si="11"/>
        <v>4.1309809022270159</v>
      </c>
      <c r="T102" s="9">
        <f t="shared" si="12"/>
        <v>0.18241898148148147</v>
      </c>
      <c r="U102" s="9">
        <f t="shared" si="13"/>
        <v>3.3553240740740738E-2</v>
      </c>
      <c r="V102" s="9">
        <f t="shared" si="14"/>
        <v>0.80609953703703707</v>
      </c>
    </row>
    <row r="103" spans="1:22" hidden="1" x14ac:dyDescent="0.35">
      <c r="A103" s="52">
        <v>49589</v>
      </c>
      <c r="B103" s="31">
        <v>46123</v>
      </c>
      <c r="C103" s="7" t="s">
        <v>321</v>
      </c>
      <c r="D103" s="7">
        <v>351</v>
      </c>
      <c r="E103" s="10">
        <f>IFERROR(SUMIFS('Base bordo CD'!M$2:M$875,'Base bordo CD'!D$2:D$875,A103,'Base bordo CD'!A$2:A$875,B103,'Base bordo CD'!L$2:L$875,"CORTE DE CANA MECANIZADO"),0)</f>
        <v>4.3780555555555551</v>
      </c>
      <c r="F103" s="10">
        <f>IFERROR(SUMIFS('Base bordo CD'!M$2:M$875,'Base bordo CD'!D$2:D$875,A103,'Base bordo CD'!A$2:A$875,B103,'Base bordo CD'!L$2:L$875,"MANOBRA"),0)</f>
        <v>0.80527777777777776</v>
      </c>
      <c r="G103" s="10">
        <f>IFERROR(SUMIFS('Base bordo CD'!M$2:M$875,'Base bordo CD'!D$2:D$875,A103,'Base bordo CD'!A$2:A$875,B103,'Base bordo CD'!L$2:L$875,"DESLOCAMENTO"),0)</f>
        <v>0.27555555555555555</v>
      </c>
      <c r="H103" s="10">
        <f>IFERROR(SUMIFS('Base bordo CD'!M$2:M$875,'Base bordo CD'!D$2:D$875,A103,'Base bordo CD'!A$2:A$875,B103,'Base bordo CD'!L$2:L$875,"AGUARDANDO MANOBRA DE TRANSBORDO"),0)+IFERROR(SUMIFS('Base bordo CD'!M$2:M$875,'Base bordo CD'!D$2:D$875,A103,'Base bordo CD'!A$2:A$875,B103,'Base bordo CD'!L$2:L$875,"FALTA DE TRANSBORDO"),0)</f>
        <v>0.1111111111111111</v>
      </c>
      <c r="I103" s="10">
        <f>IFERROR(SUMIFS('Base bordo CD'!M$2:M$875,'Base bordo CD'!D$2:D$875,A103,'Base bordo CD'!A$2:A$875,B103,'Base bordo CD'!L$2:L$875,"PARADA POR CONDICOES CLIMATICAS"),0)+IFERROR(SUMIFS('Base bordo CD'!M$2:M$875,'Base bordo CD'!D$2:D$875,A103,'Base bordo CD'!A$2:A$875,B103,'Base bordo CD'!L$2:L$875,"TEMPO INDETERMINADO"),0)</f>
        <v>13.980277777777777</v>
      </c>
      <c r="J103" s="10">
        <f>IFERROR(SUMIFS('Base bordo CD'!M$2:M$875,'Base bordo CD'!D$2:D$875,A103,'Base bordo CD'!A$2:A$875,B103,'Base bordo CD'!L$2:L$875,"LIMITAÇÃO INDÚSTRIA"),0)</f>
        <v>0</v>
      </c>
      <c r="K103" s="10">
        <f>IFERROR(SUMIFS('Base bordo CD'!M$2:M$875,'Base bordo CD'!D$2:D$875,A103,'Base bordo CD'!A$2:A$875,B103,'Base bordo CD'!L$2:L$875,"MAN CORRETIVA*"),0)+IFERROR(SUMIFS('Base bordo CD'!M$2:M$875,'Base bordo CD'!D$2:D$875,A103,'Base bordo CD'!A$2:A$875,B103,'Base bordo CD'!L$2:L$875,"AGUARDANDO MANUTENCAO*"),0)+IFERROR(SUMIFS('Base bordo CD'!M$2:M$875,'Base bordo CD'!D$2:D$875,A103,'Base bordo CD'!A$2:A$875,B103,'Base bordo CD'!L$2:L$875,"TROCA DE FAQUINHA"),0)+IFERROR(SUMIFS('Base bordo CD'!M$2:M$875,'Base bordo CD'!D$2:D$875,A103,'Base bordo CD'!A$2:A$875,B103,'Base bordo CD'!L$2:L$875,"LIMPEZA*"),0)</f>
        <v>1.8027777777777776</v>
      </c>
      <c r="L103" s="10">
        <f>IFERROR(SUMIFS('Base bordo CD'!M$2:M$875,'Base bordo CD'!D$2:D$875,A103,'Base bordo CD'!A$2:A$875,B103,'Base bordo CD'!L$2:L$875,"PATIO - RESERVA"),0)</f>
        <v>0</v>
      </c>
      <c r="M103" s="10">
        <f>IFERROR(SUMIFS('Base bordo CD'!M$2:M$875,'Base bordo CD'!D$2:D$875,A103,'Base bordo CD'!A$2:A$875,B103,'Base bordo CD'!L$2:L$875,"SEM APONTAMENTO"),0)</f>
        <v>8.5000000000000006E-2</v>
      </c>
      <c r="N103" s="10">
        <f>IFERROR(SUMIFS('Base bordo CD'!M$2:M$875,'Base bordo CD'!D$2:D$875,A103,'Base bordo CD'!A$2:A$875,B103,'Base bordo CD'!L$2:L$875,"FALTA DE CAMINHÃO"),0)+IFERROR(SUMIFS('Base bordo CD'!M$2:M$875,'Base bordo CD'!D$2:D$875,A103,'Base bordo CD'!A$2:A$875,B103,'Base bordo CD'!L$2:L$875,"FALTA DE COMBUSTIVEL"),0)+IFERROR(SUMIFS('Base bordo CD'!M$2:M$875,'Base bordo CD'!D$2:D$875,A103,'Base bordo CD'!A$2:A$875,B103,'Base bordo CD'!L$2:L$875,"FALTA DE MOTORIST*"),0)</f>
        <v>0</v>
      </c>
      <c r="O103" s="10">
        <f t="shared" si="10"/>
        <v>2.5619444444444461</v>
      </c>
      <c r="P103" s="10">
        <f>IFERROR(SUMIFS('Base bordo CD'!M$2:M$875,'Base bordo CD'!D$2:D$875,A103,'Base bordo CD'!A$2:A$875,B103),0)</f>
        <v>24</v>
      </c>
      <c r="Q103" s="10">
        <f>IFERROR(SUMIFS('Base bordo CD'!O$2:O$875,'Base bordo CD'!D$2:D$875,A103,'Base bordo CD'!A$2:A$875,B103,'Base bordo CD'!L$2:L$875,"CORTE DE CANA MECANIZADO"),0)</f>
        <v>65108.39</v>
      </c>
      <c r="R103" s="10">
        <f>IFERROR(SUMIFS('Base bordo CD'!Q$2:Q$875,'Base bordo CD'!D$2:D$875,A103,'Base bordo CD'!A$2:A$875,B103,'Base bordo CD'!L$2:L$875,"CORTE DE CANA MECANIZADO"),0)</f>
        <v>15761</v>
      </c>
      <c r="S103" s="30">
        <f t="shared" si="11"/>
        <v>4.1309809022270159</v>
      </c>
      <c r="T103" s="9">
        <f t="shared" si="12"/>
        <v>0.18241898148148147</v>
      </c>
      <c r="U103" s="9">
        <f t="shared" si="13"/>
        <v>3.3553240740740738E-2</v>
      </c>
      <c r="V103" s="9">
        <f t="shared" si="14"/>
        <v>0.80609953703703707</v>
      </c>
    </row>
    <row r="104" spans="1:22" hidden="1" x14ac:dyDescent="0.35">
      <c r="A104" s="52">
        <v>49589</v>
      </c>
      <c r="B104" s="31">
        <v>46123</v>
      </c>
      <c r="C104" s="7" t="s">
        <v>321</v>
      </c>
      <c r="D104" s="7">
        <v>351</v>
      </c>
      <c r="E104" s="10">
        <f>IFERROR(SUMIFS('Base bordo CD'!M$2:M$875,'Base bordo CD'!D$2:D$875,A104,'Base bordo CD'!A$2:A$875,B104,'Base bordo CD'!L$2:L$875,"CORTE DE CANA MECANIZADO"),0)</f>
        <v>4.3780555555555551</v>
      </c>
      <c r="F104" s="10">
        <f>IFERROR(SUMIFS('Base bordo CD'!M$2:M$875,'Base bordo CD'!D$2:D$875,A104,'Base bordo CD'!A$2:A$875,B104,'Base bordo CD'!L$2:L$875,"MANOBRA"),0)</f>
        <v>0.80527777777777776</v>
      </c>
      <c r="G104" s="10">
        <f>IFERROR(SUMIFS('Base bordo CD'!M$2:M$875,'Base bordo CD'!D$2:D$875,A104,'Base bordo CD'!A$2:A$875,B104,'Base bordo CD'!L$2:L$875,"DESLOCAMENTO"),0)</f>
        <v>0.27555555555555555</v>
      </c>
      <c r="H104" s="10">
        <f>IFERROR(SUMIFS('Base bordo CD'!M$2:M$875,'Base bordo CD'!D$2:D$875,A104,'Base bordo CD'!A$2:A$875,B104,'Base bordo CD'!L$2:L$875,"AGUARDANDO MANOBRA DE TRANSBORDO"),0)+IFERROR(SUMIFS('Base bordo CD'!M$2:M$875,'Base bordo CD'!D$2:D$875,A104,'Base bordo CD'!A$2:A$875,B104,'Base bordo CD'!L$2:L$875,"FALTA DE TRANSBORDO"),0)</f>
        <v>0.1111111111111111</v>
      </c>
      <c r="I104" s="10">
        <f>IFERROR(SUMIFS('Base bordo CD'!M$2:M$875,'Base bordo CD'!D$2:D$875,A104,'Base bordo CD'!A$2:A$875,B104,'Base bordo CD'!L$2:L$875,"PARADA POR CONDICOES CLIMATICAS"),0)+IFERROR(SUMIFS('Base bordo CD'!M$2:M$875,'Base bordo CD'!D$2:D$875,A104,'Base bordo CD'!A$2:A$875,B104,'Base bordo CD'!L$2:L$875,"TEMPO INDETERMINADO"),0)</f>
        <v>13.980277777777777</v>
      </c>
      <c r="J104" s="10">
        <f>IFERROR(SUMIFS('Base bordo CD'!M$2:M$875,'Base bordo CD'!D$2:D$875,A104,'Base bordo CD'!A$2:A$875,B104,'Base bordo CD'!L$2:L$875,"LIMITAÇÃO INDÚSTRIA"),0)</f>
        <v>0</v>
      </c>
      <c r="K104" s="10">
        <f>IFERROR(SUMIFS('Base bordo CD'!M$2:M$875,'Base bordo CD'!D$2:D$875,A104,'Base bordo CD'!A$2:A$875,B104,'Base bordo CD'!L$2:L$875,"MAN CORRETIVA*"),0)+IFERROR(SUMIFS('Base bordo CD'!M$2:M$875,'Base bordo CD'!D$2:D$875,A104,'Base bordo CD'!A$2:A$875,B104,'Base bordo CD'!L$2:L$875,"AGUARDANDO MANUTENCAO*"),0)+IFERROR(SUMIFS('Base bordo CD'!M$2:M$875,'Base bordo CD'!D$2:D$875,A104,'Base bordo CD'!A$2:A$875,B104,'Base bordo CD'!L$2:L$875,"TROCA DE FAQUINHA"),0)+IFERROR(SUMIFS('Base bordo CD'!M$2:M$875,'Base bordo CD'!D$2:D$875,A104,'Base bordo CD'!A$2:A$875,B104,'Base bordo CD'!L$2:L$875,"LIMPEZA*"),0)</f>
        <v>1.8027777777777776</v>
      </c>
      <c r="L104" s="10">
        <f>IFERROR(SUMIFS('Base bordo CD'!M$2:M$875,'Base bordo CD'!D$2:D$875,A104,'Base bordo CD'!A$2:A$875,B104,'Base bordo CD'!L$2:L$875,"PATIO - RESERVA"),0)</f>
        <v>0</v>
      </c>
      <c r="M104" s="10">
        <f>IFERROR(SUMIFS('Base bordo CD'!M$2:M$875,'Base bordo CD'!D$2:D$875,A104,'Base bordo CD'!A$2:A$875,B104,'Base bordo CD'!L$2:L$875,"SEM APONTAMENTO"),0)</f>
        <v>8.5000000000000006E-2</v>
      </c>
      <c r="N104" s="10">
        <f>IFERROR(SUMIFS('Base bordo CD'!M$2:M$875,'Base bordo CD'!D$2:D$875,A104,'Base bordo CD'!A$2:A$875,B104,'Base bordo CD'!L$2:L$875,"FALTA DE CAMINHÃO"),0)+IFERROR(SUMIFS('Base bordo CD'!M$2:M$875,'Base bordo CD'!D$2:D$875,A104,'Base bordo CD'!A$2:A$875,B104,'Base bordo CD'!L$2:L$875,"FALTA DE COMBUSTIVEL"),0)+IFERROR(SUMIFS('Base bordo CD'!M$2:M$875,'Base bordo CD'!D$2:D$875,A104,'Base bordo CD'!A$2:A$875,B104,'Base bordo CD'!L$2:L$875,"FALTA DE MOTORIST*"),0)</f>
        <v>0</v>
      </c>
      <c r="O104" s="10">
        <f t="shared" si="10"/>
        <v>2.5619444444444461</v>
      </c>
      <c r="P104" s="10">
        <f>IFERROR(SUMIFS('Base bordo CD'!M$2:M$875,'Base bordo CD'!D$2:D$875,A104,'Base bordo CD'!A$2:A$875,B104),0)</f>
        <v>24</v>
      </c>
      <c r="Q104" s="10">
        <f>IFERROR(SUMIFS('Base bordo CD'!O$2:O$875,'Base bordo CD'!D$2:D$875,A104,'Base bordo CD'!A$2:A$875,B104,'Base bordo CD'!L$2:L$875,"CORTE DE CANA MECANIZADO"),0)</f>
        <v>65108.39</v>
      </c>
      <c r="R104" s="10">
        <f>IFERROR(SUMIFS('Base bordo CD'!Q$2:Q$875,'Base bordo CD'!D$2:D$875,A104,'Base bordo CD'!A$2:A$875,B104,'Base bordo CD'!L$2:L$875,"CORTE DE CANA MECANIZADO"),0)</f>
        <v>15761</v>
      </c>
      <c r="S104" s="30">
        <f t="shared" si="11"/>
        <v>4.1309809022270159</v>
      </c>
      <c r="T104" s="9">
        <f t="shared" si="12"/>
        <v>0.18241898148148147</v>
      </c>
      <c r="U104" s="9">
        <f t="shared" si="13"/>
        <v>3.3553240740740738E-2</v>
      </c>
      <c r="V104" s="9">
        <f t="shared" si="14"/>
        <v>0.80609953703703707</v>
      </c>
    </row>
    <row r="105" spans="1:22" hidden="1" x14ac:dyDescent="0.35">
      <c r="A105" s="52">
        <v>49589</v>
      </c>
      <c r="B105" s="31">
        <v>46123</v>
      </c>
      <c r="C105" s="7" t="s">
        <v>321</v>
      </c>
      <c r="D105" s="7">
        <v>351</v>
      </c>
      <c r="E105" s="10">
        <f>IFERROR(SUMIFS('Base bordo CD'!M$2:M$875,'Base bordo CD'!D$2:D$875,A105,'Base bordo CD'!A$2:A$875,B105,'Base bordo CD'!L$2:L$875,"CORTE DE CANA MECANIZADO"),0)</f>
        <v>4.3780555555555551</v>
      </c>
      <c r="F105" s="10">
        <f>IFERROR(SUMIFS('Base bordo CD'!M$2:M$875,'Base bordo CD'!D$2:D$875,A105,'Base bordo CD'!A$2:A$875,B105,'Base bordo CD'!L$2:L$875,"MANOBRA"),0)</f>
        <v>0.80527777777777776</v>
      </c>
      <c r="G105" s="10">
        <f>IFERROR(SUMIFS('Base bordo CD'!M$2:M$875,'Base bordo CD'!D$2:D$875,A105,'Base bordo CD'!A$2:A$875,B105,'Base bordo CD'!L$2:L$875,"DESLOCAMENTO"),0)</f>
        <v>0.27555555555555555</v>
      </c>
      <c r="H105" s="10">
        <f>IFERROR(SUMIFS('Base bordo CD'!M$2:M$875,'Base bordo CD'!D$2:D$875,A105,'Base bordo CD'!A$2:A$875,B105,'Base bordo CD'!L$2:L$875,"AGUARDANDO MANOBRA DE TRANSBORDO"),0)+IFERROR(SUMIFS('Base bordo CD'!M$2:M$875,'Base bordo CD'!D$2:D$875,A105,'Base bordo CD'!A$2:A$875,B105,'Base bordo CD'!L$2:L$875,"FALTA DE TRANSBORDO"),0)</f>
        <v>0.1111111111111111</v>
      </c>
      <c r="I105" s="10">
        <f>IFERROR(SUMIFS('Base bordo CD'!M$2:M$875,'Base bordo CD'!D$2:D$875,A105,'Base bordo CD'!A$2:A$875,B105,'Base bordo CD'!L$2:L$875,"PARADA POR CONDICOES CLIMATICAS"),0)+IFERROR(SUMIFS('Base bordo CD'!M$2:M$875,'Base bordo CD'!D$2:D$875,A105,'Base bordo CD'!A$2:A$875,B105,'Base bordo CD'!L$2:L$875,"TEMPO INDETERMINADO"),0)</f>
        <v>13.980277777777777</v>
      </c>
      <c r="J105" s="10">
        <f>IFERROR(SUMIFS('Base bordo CD'!M$2:M$875,'Base bordo CD'!D$2:D$875,A105,'Base bordo CD'!A$2:A$875,B105,'Base bordo CD'!L$2:L$875,"LIMITAÇÃO INDÚSTRIA"),0)</f>
        <v>0</v>
      </c>
      <c r="K105" s="10">
        <f>IFERROR(SUMIFS('Base bordo CD'!M$2:M$875,'Base bordo CD'!D$2:D$875,A105,'Base bordo CD'!A$2:A$875,B105,'Base bordo CD'!L$2:L$875,"MAN CORRETIVA*"),0)+IFERROR(SUMIFS('Base bordo CD'!M$2:M$875,'Base bordo CD'!D$2:D$875,A105,'Base bordo CD'!A$2:A$875,B105,'Base bordo CD'!L$2:L$875,"AGUARDANDO MANUTENCAO*"),0)+IFERROR(SUMIFS('Base bordo CD'!M$2:M$875,'Base bordo CD'!D$2:D$875,A105,'Base bordo CD'!A$2:A$875,B105,'Base bordo CD'!L$2:L$875,"TROCA DE FAQUINHA"),0)+IFERROR(SUMIFS('Base bordo CD'!M$2:M$875,'Base bordo CD'!D$2:D$875,A105,'Base bordo CD'!A$2:A$875,B105,'Base bordo CD'!L$2:L$875,"LIMPEZA*"),0)</f>
        <v>1.8027777777777776</v>
      </c>
      <c r="L105" s="10">
        <f>IFERROR(SUMIFS('Base bordo CD'!M$2:M$875,'Base bordo CD'!D$2:D$875,A105,'Base bordo CD'!A$2:A$875,B105,'Base bordo CD'!L$2:L$875,"PATIO - RESERVA"),0)</f>
        <v>0</v>
      </c>
      <c r="M105" s="10">
        <f>IFERROR(SUMIFS('Base bordo CD'!M$2:M$875,'Base bordo CD'!D$2:D$875,A105,'Base bordo CD'!A$2:A$875,B105,'Base bordo CD'!L$2:L$875,"SEM APONTAMENTO"),0)</f>
        <v>8.5000000000000006E-2</v>
      </c>
      <c r="N105" s="10">
        <f>IFERROR(SUMIFS('Base bordo CD'!M$2:M$875,'Base bordo CD'!D$2:D$875,A105,'Base bordo CD'!A$2:A$875,B105,'Base bordo CD'!L$2:L$875,"FALTA DE CAMINHÃO"),0)+IFERROR(SUMIFS('Base bordo CD'!M$2:M$875,'Base bordo CD'!D$2:D$875,A105,'Base bordo CD'!A$2:A$875,B105,'Base bordo CD'!L$2:L$875,"FALTA DE COMBUSTIVEL"),0)+IFERROR(SUMIFS('Base bordo CD'!M$2:M$875,'Base bordo CD'!D$2:D$875,A105,'Base bordo CD'!A$2:A$875,B105,'Base bordo CD'!L$2:L$875,"FALTA DE MOTORIST*"),0)</f>
        <v>0</v>
      </c>
      <c r="O105" s="10">
        <f t="shared" si="10"/>
        <v>2.5619444444444461</v>
      </c>
      <c r="P105" s="10">
        <f>IFERROR(SUMIFS('Base bordo CD'!M$2:M$875,'Base bordo CD'!D$2:D$875,A105,'Base bordo CD'!A$2:A$875,B105),0)</f>
        <v>24</v>
      </c>
      <c r="Q105" s="10">
        <f>IFERROR(SUMIFS('Base bordo CD'!O$2:O$875,'Base bordo CD'!D$2:D$875,A105,'Base bordo CD'!A$2:A$875,B105,'Base bordo CD'!L$2:L$875,"CORTE DE CANA MECANIZADO"),0)</f>
        <v>65108.39</v>
      </c>
      <c r="R105" s="10">
        <f>IFERROR(SUMIFS('Base bordo CD'!Q$2:Q$875,'Base bordo CD'!D$2:D$875,A105,'Base bordo CD'!A$2:A$875,B105,'Base bordo CD'!L$2:L$875,"CORTE DE CANA MECANIZADO"),0)</f>
        <v>15761</v>
      </c>
      <c r="S105" s="30">
        <f t="shared" si="11"/>
        <v>4.1309809022270159</v>
      </c>
      <c r="T105" s="9">
        <f t="shared" si="12"/>
        <v>0.18241898148148147</v>
      </c>
      <c r="U105" s="9">
        <f t="shared" si="13"/>
        <v>3.3553240740740738E-2</v>
      </c>
      <c r="V105" s="9">
        <f t="shared" si="14"/>
        <v>0.80609953703703707</v>
      </c>
    </row>
    <row r="106" spans="1:22" hidden="1" x14ac:dyDescent="0.35">
      <c r="A106" s="52">
        <v>49589</v>
      </c>
      <c r="B106" s="31">
        <v>46123</v>
      </c>
      <c r="C106" s="7" t="s">
        <v>321</v>
      </c>
      <c r="D106" s="7">
        <v>351</v>
      </c>
      <c r="E106" s="10">
        <f>IFERROR(SUMIFS('Base bordo CD'!M$2:M$875,'Base bordo CD'!D$2:D$875,A106,'Base bordo CD'!A$2:A$875,B106,'Base bordo CD'!L$2:L$875,"CORTE DE CANA MECANIZADO"),0)</f>
        <v>4.3780555555555551</v>
      </c>
      <c r="F106" s="10">
        <f>IFERROR(SUMIFS('Base bordo CD'!M$2:M$875,'Base bordo CD'!D$2:D$875,A106,'Base bordo CD'!A$2:A$875,B106,'Base bordo CD'!L$2:L$875,"MANOBRA"),0)</f>
        <v>0.80527777777777776</v>
      </c>
      <c r="G106" s="10">
        <f>IFERROR(SUMIFS('Base bordo CD'!M$2:M$875,'Base bordo CD'!D$2:D$875,A106,'Base bordo CD'!A$2:A$875,B106,'Base bordo CD'!L$2:L$875,"DESLOCAMENTO"),0)</f>
        <v>0.27555555555555555</v>
      </c>
      <c r="H106" s="10">
        <f>IFERROR(SUMIFS('Base bordo CD'!M$2:M$875,'Base bordo CD'!D$2:D$875,A106,'Base bordo CD'!A$2:A$875,B106,'Base bordo CD'!L$2:L$875,"AGUARDANDO MANOBRA DE TRANSBORDO"),0)+IFERROR(SUMIFS('Base bordo CD'!M$2:M$875,'Base bordo CD'!D$2:D$875,A106,'Base bordo CD'!A$2:A$875,B106,'Base bordo CD'!L$2:L$875,"FALTA DE TRANSBORDO"),0)</f>
        <v>0.1111111111111111</v>
      </c>
      <c r="I106" s="10">
        <f>IFERROR(SUMIFS('Base bordo CD'!M$2:M$875,'Base bordo CD'!D$2:D$875,A106,'Base bordo CD'!A$2:A$875,B106,'Base bordo CD'!L$2:L$875,"PARADA POR CONDICOES CLIMATICAS"),0)+IFERROR(SUMIFS('Base bordo CD'!M$2:M$875,'Base bordo CD'!D$2:D$875,A106,'Base bordo CD'!A$2:A$875,B106,'Base bordo CD'!L$2:L$875,"TEMPO INDETERMINADO"),0)</f>
        <v>13.980277777777777</v>
      </c>
      <c r="J106" s="10">
        <f>IFERROR(SUMIFS('Base bordo CD'!M$2:M$875,'Base bordo CD'!D$2:D$875,A106,'Base bordo CD'!A$2:A$875,B106,'Base bordo CD'!L$2:L$875,"LIMITAÇÃO INDÚSTRIA"),0)</f>
        <v>0</v>
      </c>
      <c r="K106" s="10">
        <f>IFERROR(SUMIFS('Base bordo CD'!M$2:M$875,'Base bordo CD'!D$2:D$875,A106,'Base bordo CD'!A$2:A$875,B106,'Base bordo CD'!L$2:L$875,"MAN CORRETIVA*"),0)+IFERROR(SUMIFS('Base bordo CD'!M$2:M$875,'Base bordo CD'!D$2:D$875,A106,'Base bordo CD'!A$2:A$875,B106,'Base bordo CD'!L$2:L$875,"AGUARDANDO MANUTENCAO*"),0)+IFERROR(SUMIFS('Base bordo CD'!M$2:M$875,'Base bordo CD'!D$2:D$875,A106,'Base bordo CD'!A$2:A$875,B106,'Base bordo CD'!L$2:L$875,"TROCA DE FAQUINHA"),0)+IFERROR(SUMIFS('Base bordo CD'!M$2:M$875,'Base bordo CD'!D$2:D$875,A106,'Base bordo CD'!A$2:A$875,B106,'Base bordo CD'!L$2:L$875,"LIMPEZA*"),0)</f>
        <v>1.8027777777777776</v>
      </c>
      <c r="L106" s="10">
        <f>IFERROR(SUMIFS('Base bordo CD'!M$2:M$875,'Base bordo CD'!D$2:D$875,A106,'Base bordo CD'!A$2:A$875,B106,'Base bordo CD'!L$2:L$875,"PATIO - RESERVA"),0)</f>
        <v>0</v>
      </c>
      <c r="M106" s="10">
        <f>IFERROR(SUMIFS('Base bordo CD'!M$2:M$875,'Base bordo CD'!D$2:D$875,A106,'Base bordo CD'!A$2:A$875,B106,'Base bordo CD'!L$2:L$875,"SEM APONTAMENTO"),0)</f>
        <v>8.5000000000000006E-2</v>
      </c>
      <c r="N106" s="10">
        <f>IFERROR(SUMIFS('Base bordo CD'!M$2:M$875,'Base bordo CD'!D$2:D$875,A106,'Base bordo CD'!A$2:A$875,B106,'Base bordo CD'!L$2:L$875,"FALTA DE CAMINHÃO"),0)+IFERROR(SUMIFS('Base bordo CD'!M$2:M$875,'Base bordo CD'!D$2:D$875,A106,'Base bordo CD'!A$2:A$875,B106,'Base bordo CD'!L$2:L$875,"FALTA DE COMBUSTIVEL"),0)+IFERROR(SUMIFS('Base bordo CD'!M$2:M$875,'Base bordo CD'!D$2:D$875,A106,'Base bordo CD'!A$2:A$875,B106,'Base bordo CD'!L$2:L$875,"FALTA DE MOTORIST*"),0)</f>
        <v>0</v>
      </c>
      <c r="O106" s="10">
        <f t="shared" si="10"/>
        <v>2.5619444444444461</v>
      </c>
      <c r="P106" s="10">
        <f>IFERROR(SUMIFS('Base bordo CD'!M$2:M$875,'Base bordo CD'!D$2:D$875,A106,'Base bordo CD'!A$2:A$875,B106),0)</f>
        <v>24</v>
      </c>
      <c r="Q106" s="10">
        <f>IFERROR(SUMIFS('Base bordo CD'!O$2:O$875,'Base bordo CD'!D$2:D$875,A106,'Base bordo CD'!A$2:A$875,B106,'Base bordo CD'!L$2:L$875,"CORTE DE CANA MECANIZADO"),0)</f>
        <v>65108.39</v>
      </c>
      <c r="R106" s="10">
        <f>IFERROR(SUMIFS('Base bordo CD'!Q$2:Q$875,'Base bordo CD'!D$2:D$875,A106,'Base bordo CD'!A$2:A$875,B106,'Base bordo CD'!L$2:L$875,"CORTE DE CANA MECANIZADO"),0)</f>
        <v>15761</v>
      </c>
      <c r="S106" s="30">
        <f t="shared" si="11"/>
        <v>4.1309809022270159</v>
      </c>
      <c r="T106" s="9">
        <f t="shared" si="12"/>
        <v>0.18241898148148147</v>
      </c>
      <c r="U106" s="9">
        <f t="shared" si="13"/>
        <v>3.3553240740740738E-2</v>
      </c>
      <c r="V106" s="9">
        <f t="shared" si="14"/>
        <v>0.80609953703703707</v>
      </c>
    </row>
    <row r="107" spans="1:22" hidden="1" x14ac:dyDescent="0.35">
      <c r="A107" s="52">
        <v>49589</v>
      </c>
      <c r="B107" s="31">
        <v>46123</v>
      </c>
      <c r="C107" s="7" t="s">
        <v>321</v>
      </c>
      <c r="D107" s="7">
        <v>351</v>
      </c>
      <c r="E107" s="10">
        <f>IFERROR(SUMIFS('Base bordo CD'!M$2:M$875,'Base bordo CD'!D$2:D$875,A107,'Base bordo CD'!A$2:A$875,B107,'Base bordo CD'!L$2:L$875,"CORTE DE CANA MECANIZADO"),0)</f>
        <v>4.3780555555555551</v>
      </c>
      <c r="F107" s="10">
        <f>IFERROR(SUMIFS('Base bordo CD'!M$2:M$875,'Base bordo CD'!D$2:D$875,A107,'Base bordo CD'!A$2:A$875,B107,'Base bordo CD'!L$2:L$875,"MANOBRA"),0)</f>
        <v>0.80527777777777776</v>
      </c>
      <c r="G107" s="10">
        <f>IFERROR(SUMIFS('Base bordo CD'!M$2:M$875,'Base bordo CD'!D$2:D$875,A107,'Base bordo CD'!A$2:A$875,B107,'Base bordo CD'!L$2:L$875,"DESLOCAMENTO"),0)</f>
        <v>0.27555555555555555</v>
      </c>
      <c r="H107" s="10">
        <f>IFERROR(SUMIFS('Base bordo CD'!M$2:M$875,'Base bordo CD'!D$2:D$875,A107,'Base bordo CD'!A$2:A$875,B107,'Base bordo CD'!L$2:L$875,"AGUARDANDO MANOBRA DE TRANSBORDO"),0)+IFERROR(SUMIFS('Base bordo CD'!M$2:M$875,'Base bordo CD'!D$2:D$875,A107,'Base bordo CD'!A$2:A$875,B107,'Base bordo CD'!L$2:L$875,"FALTA DE TRANSBORDO"),0)</f>
        <v>0.1111111111111111</v>
      </c>
      <c r="I107" s="10">
        <f>IFERROR(SUMIFS('Base bordo CD'!M$2:M$875,'Base bordo CD'!D$2:D$875,A107,'Base bordo CD'!A$2:A$875,B107,'Base bordo CD'!L$2:L$875,"PARADA POR CONDICOES CLIMATICAS"),0)+IFERROR(SUMIFS('Base bordo CD'!M$2:M$875,'Base bordo CD'!D$2:D$875,A107,'Base bordo CD'!A$2:A$875,B107,'Base bordo CD'!L$2:L$875,"TEMPO INDETERMINADO"),0)</f>
        <v>13.980277777777777</v>
      </c>
      <c r="J107" s="10">
        <f>IFERROR(SUMIFS('Base bordo CD'!M$2:M$875,'Base bordo CD'!D$2:D$875,A107,'Base bordo CD'!A$2:A$875,B107,'Base bordo CD'!L$2:L$875,"LIMITAÇÃO INDÚSTRIA"),0)</f>
        <v>0</v>
      </c>
      <c r="K107" s="10">
        <f>IFERROR(SUMIFS('Base bordo CD'!M$2:M$875,'Base bordo CD'!D$2:D$875,A107,'Base bordo CD'!A$2:A$875,B107,'Base bordo CD'!L$2:L$875,"MAN CORRETIVA*"),0)+IFERROR(SUMIFS('Base bordo CD'!M$2:M$875,'Base bordo CD'!D$2:D$875,A107,'Base bordo CD'!A$2:A$875,B107,'Base bordo CD'!L$2:L$875,"AGUARDANDO MANUTENCAO*"),0)+IFERROR(SUMIFS('Base bordo CD'!M$2:M$875,'Base bordo CD'!D$2:D$875,A107,'Base bordo CD'!A$2:A$875,B107,'Base bordo CD'!L$2:L$875,"TROCA DE FAQUINHA"),0)+IFERROR(SUMIFS('Base bordo CD'!M$2:M$875,'Base bordo CD'!D$2:D$875,A107,'Base bordo CD'!A$2:A$875,B107,'Base bordo CD'!L$2:L$875,"LIMPEZA*"),0)</f>
        <v>1.8027777777777776</v>
      </c>
      <c r="L107" s="10">
        <f>IFERROR(SUMIFS('Base bordo CD'!M$2:M$875,'Base bordo CD'!D$2:D$875,A107,'Base bordo CD'!A$2:A$875,B107,'Base bordo CD'!L$2:L$875,"PATIO - RESERVA"),0)</f>
        <v>0</v>
      </c>
      <c r="M107" s="10">
        <f>IFERROR(SUMIFS('Base bordo CD'!M$2:M$875,'Base bordo CD'!D$2:D$875,A107,'Base bordo CD'!A$2:A$875,B107,'Base bordo CD'!L$2:L$875,"SEM APONTAMENTO"),0)</f>
        <v>8.5000000000000006E-2</v>
      </c>
      <c r="N107" s="10">
        <f>IFERROR(SUMIFS('Base bordo CD'!M$2:M$875,'Base bordo CD'!D$2:D$875,A107,'Base bordo CD'!A$2:A$875,B107,'Base bordo CD'!L$2:L$875,"FALTA DE CAMINHÃO"),0)+IFERROR(SUMIFS('Base bordo CD'!M$2:M$875,'Base bordo CD'!D$2:D$875,A107,'Base bordo CD'!A$2:A$875,B107,'Base bordo CD'!L$2:L$875,"FALTA DE COMBUSTIVEL"),0)+IFERROR(SUMIFS('Base bordo CD'!M$2:M$875,'Base bordo CD'!D$2:D$875,A107,'Base bordo CD'!A$2:A$875,B107,'Base bordo CD'!L$2:L$875,"FALTA DE MOTORIST*"),0)</f>
        <v>0</v>
      </c>
      <c r="O107" s="10">
        <f t="shared" si="10"/>
        <v>2.5619444444444461</v>
      </c>
      <c r="P107" s="10">
        <f>IFERROR(SUMIFS('Base bordo CD'!M$2:M$875,'Base bordo CD'!D$2:D$875,A107,'Base bordo CD'!A$2:A$875,B107),0)</f>
        <v>24</v>
      </c>
      <c r="Q107" s="10">
        <f>IFERROR(SUMIFS('Base bordo CD'!O$2:O$875,'Base bordo CD'!D$2:D$875,A107,'Base bordo CD'!A$2:A$875,B107,'Base bordo CD'!L$2:L$875,"CORTE DE CANA MECANIZADO"),0)</f>
        <v>65108.39</v>
      </c>
      <c r="R107" s="10">
        <f>IFERROR(SUMIFS('Base bordo CD'!Q$2:Q$875,'Base bordo CD'!D$2:D$875,A107,'Base bordo CD'!A$2:A$875,B107,'Base bordo CD'!L$2:L$875,"CORTE DE CANA MECANIZADO"),0)</f>
        <v>15761</v>
      </c>
      <c r="S107" s="30">
        <f t="shared" si="11"/>
        <v>4.1309809022270159</v>
      </c>
      <c r="T107" s="9">
        <f t="shared" si="12"/>
        <v>0.18241898148148147</v>
      </c>
      <c r="U107" s="9">
        <f t="shared" si="13"/>
        <v>3.3553240740740738E-2</v>
      </c>
      <c r="V107" s="9">
        <f t="shared" si="14"/>
        <v>0.80609953703703707</v>
      </c>
    </row>
    <row r="108" spans="1:22" hidden="1" x14ac:dyDescent="0.35">
      <c r="A108" s="52">
        <v>49589</v>
      </c>
      <c r="B108" s="31">
        <v>46123</v>
      </c>
      <c r="C108" s="7" t="s">
        <v>321</v>
      </c>
      <c r="D108" s="7">
        <v>351</v>
      </c>
      <c r="E108" s="10">
        <f>IFERROR(SUMIFS('Base bordo CD'!M$2:M$875,'Base bordo CD'!D$2:D$875,A108,'Base bordo CD'!A$2:A$875,B108,'Base bordo CD'!L$2:L$875,"CORTE DE CANA MECANIZADO"),0)</f>
        <v>4.3780555555555551</v>
      </c>
      <c r="F108" s="10">
        <f>IFERROR(SUMIFS('Base bordo CD'!M$2:M$875,'Base bordo CD'!D$2:D$875,A108,'Base bordo CD'!A$2:A$875,B108,'Base bordo CD'!L$2:L$875,"MANOBRA"),0)</f>
        <v>0.80527777777777776</v>
      </c>
      <c r="G108" s="10">
        <f>IFERROR(SUMIFS('Base bordo CD'!M$2:M$875,'Base bordo CD'!D$2:D$875,A108,'Base bordo CD'!A$2:A$875,B108,'Base bordo CD'!L$2:L$875,"DESLOCAMENTO"),0)</f>
        <v>0.27555555555555555</v>
      </c>
      <c r="H108" s="10">
        <f>IFERROR(SUMIFS('Base bordo CD'!M$2:M$875,'Base bordo CD'!D$2:D$875,A108,'Base bordo CD'!A$2:A$875,B108,'Base bordo CD'!L$2:L$875,"AGUARDANDO MANOBRA DE TRANSBORDO"),0)+IFERROR(SUMIFS('Base bordo CD'!M$2:M$875,'Base bordo CD'!D$2:D$875,A108,'Base bordo CD'!A$2:A$875,B108,'Base bordo CD'!L$2:L$875,"FALTA DE TRANSBORDO"),0)</f>
        <v>0.1111111111111111</v>
      </c>
      <c r="I108" s="10">
        <f>IFERROR(SUMIFS('Base bordo CD'!M$2:M$875,'Base bordo CD'!D$2:D$875,A108,'Base bordo CD'!A$2:A$875,B108,'Base bordo CD'!L$2:L$875,"PARADA POR CONDICOES CLIMATICAS"),0)+IFERROR(SUMIFS('Base bordo CD'!M$2:M$875,'Base bordo CD'!D$2:D$875,A108,'Base bordo CD'!A$2:A$875,B108,'Base bordo CD'!L$2:L$875,"TEMPO INDETERMINADO"),0)</f>
        <v>13.980277777777777</v>
      </c>
      <c r="J108" s="10">
        <f>IFERROR(SUMIFS('Base bordo CD'!M$2:M$875,'Base bordo CD'!D$2:D$875,A108,'Base bordo CD'!A$2:A$875,B108,'Base bordo CD'!L$2:L$875,"LIMITAÇÃO INDÚSTRIA"),0)</f>
        <v>0</v>
      </c>
      <c r="K108" s="10">
        <f>IFERROR(SUMIFS('Base bordo CD'!M$2:M$875,'Base bordo CD'!D$2:D$875,A108,'Base bordo CD'!A$2:A$875,B108,'Base bordo CD'!L$2:L$875,"MAN CORRETIVA*"),0)+IFERROR(SUMIFS('Base bordo CD'!M$2:M$875,'Base bordo CD'!D$2:D$875,A108,'Base bordo CD'!A$2:A$875,B108,'Base bordo CD'!L$2:L$875,"AGUARDANDO MANUTENCAO*"),0)+IFERROR(SUMIFS('Base bordo CD'!M$2:M$875,'Base bordo CD'!D$2:D$875,A108,'Base bordo CD'!A$2:A$875,B108,'Base bordo CD'!L$2:L$875,"TROCA DE FAQUINHA"),0)+IFERROR(SUMIFS('Base bordo CD'!M$2:M$875,'Base bordo CD'!D$2:D$875,A108,'Base bordo CD'!A$2:A$875,B108,'Base bordo CD'!L$2:L$875,"LIMPEZA*"),0)</f>
        <v>1.8027777777777776</v>
      </c>
      <c r="L108" s="10">
        <f>IFERROR(SUMIFS('Base bordo CD'!M$2:M$875,'Base bordo CD'!D$2:D$875,A108,'Base bordo CD'!A$2:A$875,B108,'Base bordo CD'!L$2:L$875,"PATIO - RESERVA"),0)</f>
        <v>0</v>
      </c>
      <c r="M108" s="10">
        <f>IFERROR(SUMIFS('Base bordo CD'!M$2:M$875,'Base bordo CD'!D$2:D$875,A108,'Base bordo CD'!A$2:A$875,B108,'Base bordo CD'!L$2:L$875,"SEM APONTAMENTO"),0)</f>
        <v>8.5000000000000006E-2</v>
      </c>
      <c r="N108" s="10">
        <f>IFERROR(SUMIFS('Base bordo CD'!M$2:M$875,'Base bordo CD'!D$2:D$875,A108,'Base bordo CD'!A$2:A$875,B108,'Base bordo CD'!L$2:L$875,"FALTA DE CAMINHÃO"),0)+IFERROR(SUMIFS('Base bordo CD'!M$2:M$875,'Base bordo CD'!D$2:D$875,A108,'Base bordo CD'!A$2:A$875,B108,'Base bordo CD'!L$2:L$875,"FALTA DE COMBUSTIVEL"),0)+IFERROR(SUMIFS('Base bordo CD'!M$2:M$875,'Base bordo CD'!D$2:D$875,A108,'Base bordo CD'!A$2:A$875,B108,'Base bordo CD'!L$2:L$875,"FALTA DE MOTORIST*"),0)</f>
        <v>0</v>
      </c>
      <c r="O108" s="10">
        <f t="shared" si="10"/>
        <v>2.5619444444444461</v>
      </c>
      <c r="P108" s="10">
        <f>IFERROR(SUMIFS('Base bordo CD'!M$2:M$875,'Base bordo CD'!D$2:D$875,A108,'Base bordo CD'!A$2:A$875,B108),0)</f>
        <v>24</v>
      </c>
      <c r="Q108" s="10">
        <f>IFERROR(SUMIFS('Base bordo CD'!O$2:O$875,'Base bordo CD'!D$2:D$875,A108,'Base bordo CD'!A$2:A$875,B108,'Base bordo CD'!L$2:L$875,"CORTE DE CANA MECANIZADO"),0)</f>
        <v>65108.39</v>
      </c>
      <c r="R108" s="10">
        <f>IFERROR(SUMIFS('Base bordo CD'!Q$2:Q$875,'Base bordo CD'!D$2:D$875,A108,'Base bordo CD'!A$2:A$875,B108,'Base bordo CD'!L$2:L$875,"CORTE DE CANA MECANIZADO"),0)</f>
        <v>15761</v>
      </c>
      <c r="S108" s="30">
        <f t="shared" si="11"/>
        <v>4.1309809022270159</v>
      </c>
      <c r="T108" s="9">
        <f t="shared" si="12"/>
        <v>0.18241898148148147</v>
      </c>
      <c r="U108" s="9">
        <f t="shared" si="13"/>
        <v>3.3553240740740738E-2</v>
      </c>
      <c r="V108" s="9">
        <f t="shared" si="14"/>
        <v>0.80609953703703707</v>
      </c>
    </row>
    <row r="109" spans="1:22" hidden="1" x14ac:dyDescent="0.35">
      <c r="A109" s="52">
        <v>49589</v>
      </c>
      <c r="B109" s="31">
        <v>46123</v>
      </c>
      <c r="C109" s="7" t="s">
        <v>321</v>
      </c>
      <c r="D109" s="7">
        <v>351</v>
      </c>
      <c r="E109" s="10">
        <f>IFERROR(SUMIFS('Base bordo CD'!M$2:M$875,'Base bordo CD'!D$2:D$875,A109,'Base bordo CD'!A$2:A$875,B109,'Base bordo CD'!L$2:L$875,"CORTE DE CANA MECANIZADO"),0)</f>
        <v>4.3780555555555551</v>
      </c>
      <c r="F109" s="10">
        <f>IFERROR(SUMIFS('Base bordo CD'!M$2:M$875,'Base bordo CD'!D$2:D$875,A109,'Base bordo CD'!A$2:A$875,B109,'Base bordo CD'!L$2:L$875,"MANOBRA"),0)</f>
        <v>0.80527777777777776</v>
      </c>
      <c r="G109" s="10">
        <f>IFERROR(SUMIFS('Base bordo CD'!M$2:M$875,'Base bordo CD'!D$2:D$875,A109,'Base bordo CD'!A$2:A$875,B109,'Base bordo CD'!L$2:L$875,"DESLOCAMENTO"),0)</f>
        <v>0.27555555555555555</v>
      </c>
      <c r="H109" s="10">
        <f>IFERROR(SUMIFS('Base bordo CD'!M$2:M$875,'Base bordo CD'!D$2:D$875,A109,'Base bordo CD'!A$2:A$875,B109,'Base bordo CD'!L$2:L$875,"AGUARDANDO MANOBRA DE TRANSBORDO"),0)+IFERROR(SUMIFS('Base bordo CD'!M$2:M$875,'Base bordo CD'!D$2:D$875,A109,'Base bordo CD'!A$2:A$875,B109,'Base bordo CD'!L$2:L$875,"FALTA DE TRANSBORDO"),0)</f>
        <v>0.1111111111111111</v>
      </c>
      <c r="I109" s="10">
        <f>IFERROR(SUMIFS('Base bordo CD'!M$2:M$875,'Base bordo CD'!D$2:D$875,A109,'Base bordo CD'!A$2:A$875,B109,'Base bordo CD'!L$2:L$875,"PARADA POR CONDICOES CLIMATICAS"),0)+IFERROR(SUMIFS('Base bordo CD'!M$2:M$875,'Base bordo CD'!D$2:D$875,A109,'Base bordo CD'!A$2:A$875,B109,'Base bordo CD'!L$2:L$875,"TEMPO INDETERMINADO"),0)</f>
        <v>13.980277777777777</v>
      </c>
      <c r="J109" s="10">
        <f>IFERROR(SUMIFS('Base bordo CD'!M$2:M$875,'Base bordo CD'!D$2:D$875,A109,'Base bordo CD'!A$2:A$875,B109,'Base bordo CD'!L$2:L$875,"LIMITAÇÃO INDÚSTRIA"),0)</f>
        <v>0</v>
      </c>
      <c r="K109" s="10">
        <f>IFERROR(SUMIFS('Base bordo CD'!M$2:M$875,'Base bordo CD'!D$2:D$875,A109,'Base bordo CD'!A$2:A$875,B109,'Base bordo CD'!L$2:L$875,"MAN CORRETIVA*"),0)+IFERROR(SUMIFS('Base bordo CD'!M$2:M$875,'Base bordo CD'!D$2:D$875,A109,'Base bordo CD'!A$2:A$875,B109,'Base bordo CD'!L$2:L$875,"AGUARDANDO MANUTENCAO*"),0)+IFERROR(SUMIFS('Base bordo CD'!M$2:M$875,'Base bordo CD'!D$2:D$875,A109,'Base bordo CD'!A$2:A$875,B109,'Base bordo CD'!L$2:L$875,"TROCA DE FAQUINHA"),0)+IFERROR(SUMIFS('Base bordo CD'!M$2:M$875,'Base bordo CD'!D$2:D$875,A109,'Base bordo CD'!A$2:A$875,B109,'Base bordo CD'!L$2:L$875,"LIMPEZA*"),0)</f>
        <v>1.8027777777777776</v>
      </c>
      <c r="L109" s="10">
        <f>IFERROR(SUMIFS('Base bordo CD'!M$2:M$875,'Base bordo CD'!D$2:D$875,A109,'Base bordo CD'!A$2:A$875,B109,'Base bordo CD'!L$2:L$875,"PATIO - RESERVA"),0)</f>
        <v>0</v>
      </c>
      <c r="M109" s="10">
        <f>IFERROR(SUMIFS('Base bordo CD'!M$2:M$875,'Base bordo CD'!D$2:D$875,A109,'Base bordo CD'!A$2:A$875,B109,'Base bordo CD'!L$2:L$875,"SEM APONTAMENTO"),0)</f>
        <v>8.5000000000000006E-2</v>
      </c>
      <c r="N109" s="10">
        <f>IFERROR(SUMIFS('Base bordo CD'!M$2:M$875,'Base bordo CD'!D$2:D$875,A109,'Base bordo CD'!A$2:A$875,B109,'Base bordo CD'!L$2:L$875,"FALTA DE CAMINHÃO"),0)+IFERROR(SUMIFS('Base bordo CD'!M$2:M$875,'Base bordo CD'!D$2:D$875,A109,'Base bordo CD'!A$2:A$875,B109,'Base bordo CD'!L$2:L$875,"FALTA DE COMBUSTIVEL"),0)+IFERROR(SUMIFS('Base bordo CD'!M$2:M$875,'Base bordo CD'!D$2:D$875,A109,'Base bordo CD'!A$2:A$875,B109,'Base bordo CD'!L$2:L$875,"FALTA DE MOTORIST*"),0)</f>
        <v>0</v>
      </c>
      <c r="O109" s="10">
        <f t="shared" si="10"/>
        <v>2.5619444444444461</v>
      </c>
      <c r="P109" s="10">
        <f>IFERROR(SUMIFS('Base bordo CD'!M$2:M$875,'Base bordo CD'!D$2:D$875,A109,'Base bordo CD'!A$2:A$875,B109),0)</f>
        <v>24</v>
      </c>
      <c r="Q109" s="10">
        <f>IFERROR(SUMIFS('Base bordo CD'!O$2:O$875,'Base bordo CD'!D$2:D$875,A109,'Base bordo CD'!A$2:A$875,B109,'Base bordo CD'!L$2:L$875,"CORTE DE CANA MECANIZADO"),0)</f>
        <v>65108.39</v>
      </c>
      <c r="R109" s="10">
        <f>IFERROR(SUMIFS('Base bordo CD'!Q$2:Q$875,'Base bordo CD'!D$2:D$875,A109,'Base bordo CD'!A$2:A$875,B109,'Base bordo CD'!L$2:L$875,"CORTE DE CANA MECANIZADO"),0)</f>
        <v>15761</v>
      </c>
      <c r="S109" s="30">
        <f t="shared" si="11"/>
        <v>4.1309809022270159</v>
      </c>
      <c r="T109" s="9">
        <f t="shared" si="12"/>
        <v>0.18241898148148147</v>
      </c>
      <c r="U109" s="9">
        <f t="shared" si="13"/>
        <v>3.3553240740740738E-2</v>
      </c>
      <c r="V109" s="9">
        <f t="shared" si="14"/>
        <v>0.80609953703703707</v>
      </c>
    </row>
    <row r="110" spans="1:22" hidden="1" x14ac:dyDescent="0.35">
      <c r="A110" s="52">
        <v>49590</v>
      </c>
      <c r="B110" s="31">
        <v>46123</v>
      </c>
      <c r="C110" s="7" t="s">
        <v>321</v>
      </c>
      <c r="D110" s="7">
        <v>351</v>
      </c>
      <c r="E110" s="10">
        <f>IFERROR(SUMIFS('Base bordo CD'!M$2:M$875,'Base bordo CD'!D$2:D$875,A110,'Base bordo CD'!A$2:A$875,B110,'Base bordo CD'!L$2:L$875,"CORTE DE CANA MECANIZADO"),0)</f>
        <v>2.7652777777777775</v>
      </c>
      <c r="F110" s="10">
        <f>IFERROR(SUMIFS('Base bordo CD'!M$2:M$875,'Base bordo CD'!D$2:D$875,A110,'Base bordo CD'!A$2:A$875,B110,'Base bordo CD'!L$2:L$875,"MANOBRA"),0)</f>
        <v>0.92027777777777775</v>
      </c>
      <c r="G110" s="10">
        <f>IFERROR(SUMIFS('Base bordo CD'!M$2:M$875,'Base bordo CD'!D$2:D$875,A110,'Base bordo CD'!A$2:A$875,B110,'Base bordo CD'!L$2:L$875,"DESLOCAMENTO"),0)</f>
        <v>0.26583333333333337</v>
      </c>
      <c r="H110" s="10">
        <f>IFERROR(SUMIFS('Base bordo CD'!M$2:M$875,'Base bordo CD'!D$2:D$875,A110,'Base bordo CD'!A$2:A$875,B110,'Base bordo CD'!L$2:L$875,"AGUARDANDO MANOBRA DE TRANSBORDO"),0)+IFERROR(SUMIFS('Base bordo CD'!M$2:M$875,'Base bordo CD'!D$2:D$875,A110,'Base bordo CD'!A$2:A$875,B110,'Base bordo CD'!L$2:L$875,"FALTA DE TRANSBORDO"),0)</f>
        <v>0.11694444444444443</v>
      </c>
      <c r="I110" s="10">
        <f>IFERROR(SUMIFS('Base bordo CD'!M$2:M$875,'Base bordo CD'!D$2:D$875,A110,'Base bordo CD'!A$2:A$875,B110,'Base bordo CD'!L$2:L$875,"PARADA POR CONDICOES CLIMATICAS"),0)+IFERROR(SUMIFS('Base bordo CD'!M$2:M$875,'Base bordo CD'!D$2:D$875,A110,'Base bordo CD'!A$2:A$875,B110,'Base bordo CD'!L$2:L$875,"TEMPO INDETERMINADO"),0)</f>
        <v>15.6625</v>
      </c>
      <c r="J110" s="10">
        <f>IFERROR(SUMIFS('Base bordo CD'!M$2:M$875,'Base bordo CD'!D$2:D$875,A110,'Base bordo CD'!A$2:A$875,B110,'Base bordo CD'!L$2:L$875,"LIMITAÇÃO INDÚSTRIA"),0)</f>
        <v>0</v>
      </c>
      <c r="K110" s="10">
        <f>IFERROR(SUMIFS('Base bordo CD'!M$2:M$875,'Base bordo CD'!D$2:D$875,A110,'Base bordo CD'!A$2:A$875,B110,'Base bordo CD'!L$2:L$875,"MAN CORRETIVA*"),0)+IFERROR(SUMIFS('Base bordo CD'!M$2:M$875,'Base bordo CD'!D$2:D$875,A110,'Base bordo CD'!A$2:A$875,B110,'Base bordo CD'!L$2:L$875,"AGUARDANDO MANUTENCAO*"),0)+IFERROR(SUMIFS('Base bordo CD'!M$2:M$875,'Base bordo CD'!D$2:D$875,A110,'Base bordo CD'!A$2:A$875,B110,'Base bordo CD'!L$2:L$875,"TROCA DE FAQUINHA"),0)+IFERROR(SUMIFS('Base bordo CD'!M$2:M$875,'Base bordo CD'!D$2:D$875,A110,'Base bordo CD'!A$2:A$875,B110,'Base bordo CD'!L$2:L$875,"LIMPEZA*"),0)</f>
        <v>0</v>
      </c>
      <c r="L110" s="10">
        <f>IFERROR(SUMIFS('Base bordo CD'!M$2:M$875,'Base bordo CD'!D$2:D$875,A110,'Base bordo CD'!A$2:A$875,B110,'Base bordo CD'!L$2:L$875,"PATIO - RESERVA"),0)</f>
        <v>0</v>
      </c>
      <c r="M110" s="10">
        <f>IFERROR(SUMIFS('Base bordo CD'!M$2:M$875,'Base bordo CD'!D$2:D$875,A110,'Base bordo CD'!A$2:A$875,B110,'Base bordo CD'!L$2:L$875,"SEM APONTAMENTO"),0)</f>
        <v>0.11027777777777779</v>
      </c>
      <c r="N110" s="10">
        <f>IFERROR(SUMIFS('Base bordo CD'!M$2:M$875,'Base bordo CD'!D$2:D$875,A110,'Base bordo CD'!A$2:A$875,B110,'Base bordo CD'!L$2:L$875,"FALTA DE CAMINHÃO"),0)+IFERROR(SUMIFS('Base bordo CD'!M$2:M$875,'Base bordo CD'!D$2:D$875,A110,'Base bordo CD'!A$2:A$875,B110,'Base bordo CD'!L$2:L$875,"FALTA DE COMBUSTIVEL"),0)+IFERROR(SUMIFS('Base bordo CD'!M$2:M$875,'Base bordo CD'!D$2:D$875,A110,'Base bordo CD'!A$2:A$875,B110,'Base bordo CD'!L$2:L$875,"FALTA DE MOTORIST*"),0)</f>
        <v>0</v>
      </c>
      <c r="O110" s="10">
        <f t="shared" si="10"/>
        <v>4.1588888888888889</v>
      </c>
      <c r="P110" s="10">
        <f>IFERROR(SUMIFS('Base bordo CD'!M$2:M$875,'Base bordo CD'!D$2:D$875,A110,'Base bordo CD'!A$2:A$875,B110),0)</f>
        <v>24</v>
      </c>
      <c r="Q110" s="10">
        <f>IFERROR(SUMIFS('Base bordo CD'!O$2:O$875,'Base bordo CD'!D$2:D$875,A110,'Base bordo CD'!A$2:A$875,B110,'Base bordo CD'!L$2:L$875,"CORTE DE CANA MECANIZADO"),0)</f>
        <v>43747.89</v>
      </c>
      <c r="R110" s="10">
        <f>IFERROR(SUMIFS('Base bordo CD'!Q$2:Q$875,'Base bordo CD'!D$2:D$875,A110,'Base bordo CD'!A$2:A$875,B110,'Base bordo CD'!L$2:L$875,"CORTE DE CANA MECANIZADO"),0)</f>
        <v>9955</v>
      </c>
      <c r="S110" s="30">
        <f t="shared" si="11"/>
        <v>4.3945645404319436</v>
      </c>
      <c r="T110" s="9">
        <f t="shared" si="12"/>
        <v>0.1152199074074074</v>
      </c>
      <c r="U110" s="9">
        <f t="shared" si="13"/>
        <v>3.8344907407407404E-2</v>
      </c>
      <c r="V110" s="9">
        <f t="shared" si="14"/>
        <v>0.87370370370370376</v>
      </c>
    </row>
    <row r="111" spans="1:22" hidden="1" x14ac:dyDescent="0.35">
      <c r="A111" s="52">
        <v>49590</v>
      </c>
      <c r="B111" s="31">
        <v>46123</v>
      </c>
      <c r="C111" s="7" t="s">
        <v>321</v>
      </c>
      <c r="D111" s="7">
        <v>351</v>
      </c>
      <c r="E111" s="10">
        <f>IFERROR(SUMIFS('Base bordo CD'!M$2:M$875,'Base bordo CD'!D$2:D$875,A111,'Base bordo CD'!A$2:A$875,B111,'Base bordo CD'!L$2:L$875,"CORTE DE CANA MECANIZADO"),0)</f>
        <v>2.7652777777777775</v>
      </c>
      <c r="F111" s="10">
        <f>IFERROR(SUMIFS('Base bordo CD'!M$2:M$875,'Base bordo CD'!D$2:D$875,A111,'Base bordo CD'!A$2:A$875,B111,'Base bordo CD'!L$2:L$875,"MANOBRA"),0)</f>
        <v>0.92027777777777775</v>
      </c>
      <c r="G111" s="10">
        <f>IFERROR(SUMIFS('Base bordo CD'!M$2:M$875,'Base bordo CD'!D$2:D$875,A111,'Base bordo CD'!A$2:A$875,B111,'Base bordo CD'!L$2:L$875,"DESLOCAMENTO"),0)</f>
        <v>0.26583333333333337</v>
      </c>
      <c r="H111" s="10">
        <f>IFERROR(SUMIFS('Base bordo CD'!M$2:M$875,'Base bordo CD'!D$2:D$875,A111,'Base bordo CD'!A$2:A$875,B111,'Base bordo CD'!L$2:L$875,"AGUARDANDO MANOBRA DE TRANSBORDO"),0)+IFERROR(SUMIFS('Base bordo CD'!M$2:M$875,'Base bordo CD'!D$2:D$875,A111,'Base bordo CD'!A$2:A$875,B111,'Base bordo CD'!L$2:L$875,"FALTA DE TRANSBORDO"),0)</f>
        <v>0.11694444444444443</v>
      </c>
      <c r="I111" s="10">
        <f>IFERROR(SUMIFS('Base bordo CD'!M$2:M$875,'Base bordo CD'!D$2:D$875,A111,'Base bordo CD'!A$2:A$875,B111,'Base bordo CD'!L$2:L$875,"PARADA POR CONDICOES CLIMATICAS"),0)+IFERROR(SUMIFS('Base bordo CD'!M$2:M$875,'Base bordo CD'!D$2:D$875,A111,'Base bordo CD'!A$2:A$875,B111,'Base bordo CD'!L$2:L$875,"TEMPO INDETERMINADO"),0)</f>
        <v>15.6625</v>
      </c>
      <c r="J111" s="10">
        <f>IFERROR(SUMIFS('Base bordo CD'!M$2:M$875,'Base bordo CD'!D$2:D$875,A111,'Base bordo CD'!A$2:A$875,B111,'Base bordo CD'!L$2:L$875,"LIMITAÇÃO INDÚSTRIA"),0)</f>
        <v>0</v>
      </c>
      <c r="K111" s="10">
        <f>IFERROR(SUMIFS('Base bordo CD'!M$2:M$875,'Base bordo CD'!D$2:D$875,A111,'Base bordo CD'!A$2:A$875,B111,'Base bordo CD'!L$2:L$875,"MAN CORRETIVA*"),0)+IFERROR(SUMIFS('Base bordo CD'!M$2:M$875,'Base bordo CD'!D$2:D$875,A111,'Base bordo CD'!A$2:A$875,B111,'Base bordo CD'!L$2:L$875,"AGUARDANDO MANUTENCAO*"),0)+IFERROR(SUMIFS('Base bordo CD'!M$2:M$875,'Base bordo CD'!D$2:D$875,A111,'Base bordo CD'!A$2:A$875,B111,'Base bordo CD'!L$2:L$875,"TROCA DE FAQUINHA"),0)+IFERROR(SUMIFS('Base bordo CD'!M$2:M$875,'Base bordo CD'!D$2:D$875,A111,'Base bordo CD'!A$2:A$875,B111,'Base bordo CD'!L$2:L$875,"LIMPEZA*"),0)</f>
        <v>0</v>
      </c>
      <c r="L111" s="10">
        <f>IFERROR(SUMIFS('Base bordo CD'!M$2:M$875,'Base bordo CD'!D$2:D$875,A111,'Base bordo CD'!A$2:A$875,B111,'Base bordo CD'!L$2:L$875,"PATIO - RESERVA"),0)</f>
        <v>0</v>
      </c>
      <c r="M111" s="10">
        <f>IFERROR(SUMIFS('Base bordo CD'!M$2:M$875,'Base bordo CD'!D$2:D$875,A111,'Base bordo CD'!A$2:A$875,B111,'Base bordo CD'!L$2:L$875,"SEM APONTAMENTO"),0)</f>
        <v>0.11027777777777779</v>
      </c>
      <c r="N111" s="10">
        <f>IFERROR(SUMIFS('Base bordo CD'!M$2:M$875,'Base bordo CD'!D$2:D$875,A111,'Base bordo CD'!A$2:A$875,B111,'Base bordo CD'!L$2:L$875,"FALTA DE CAMINHÃO"),0)+IFERROR(SUMIFS('Base bordo CD'!M$2:M$875,'Base bordo CD'!D$2:D$875,A111,'Base bordo CD'!A$2:A$875,B111,'Base bordo CD'!L$2:L$875,"FALTA DE COMBUSTIVEL"),0)+IFERROR(SUMIFS('Base bordo CD'!M$2:M$875,'Base bordo CD'!D$2:D$875,A111,'Base bordo CD'!A$2:A$875,B111,'Base bordo CD'!L$2:L$875,"FALTA DE MOTORIST*"),0)</f>
        <v>0</v>
      </c>
      <c r="O111" s="10">
        <f t="shared" si="10"/>
        <v>4.1588888888888889</v>
      </c>
      <c r="P111" s="10">
        <f>IFERROR(SUMIFS('Base bordo CD'!M$2:M$875,'Base bordo CD'!D$2:D$875,A111,'Base bordo CD'!A$2:A$875,B111),0)</f>
        <v>24</v>
      </c>
      <c r="Q111" s="10">
        <f>IFERROR(SUMIFS('Base bordo CD'!O$2:O$875,'Base bordo CD'!D$2:D$875,A111,'Base bordo CD'!A$2:A$875,B111,'Base bordo CD'!L$2:L$875,"CORTE DE CANA MECANIZADO"),0)</f>
        <v>43747.89</v>
      </c>
      <c r="R111" s="10">
        <f>IFERROR(SUMIFS('Base bordo CD'!Q$2:Q$875,'Base bordo CD'!D$2:D$875,A111,'Base bordo CD'!A$2:A$875,B111,'Base bordo CD'!L$2:L$875,"CORTE DE CANA MECANIZADO"),0)</f>
        <v>9955</v>
      </c>
      <c r="S111" s="30">
        <f t="shared" si="11"/>
        <v>4.3945645404319436</v>
      </c>
      <c r="T111" s="9">
        <f t="shared" si="12"/>
        <v>0.1152199074074074</v>
      </c>
      <c r="U111" s="9">
        <f t="shared" si="13"/>
        <v>3.8344907407407404E-2</v>
      </c>
      <c r="V111" s="9">
        <f t="shared" si="14"/>
        <v>0.87370370370370376</v>
      </c>
    </row>
    <row r="112" spans="1:22" hidden="1" x14ac:dyDescent="0.35">
      <c r="A112" s="52">
        <v>49590</v>
      </c>
      <c r="B112" s="31">
        <v>46123</v>
      </c>
      <c r="C112" s="7" t="s">
        <v>321</v>
      </c>
      <c r="D112" s="7">
        <v>351</v>
      </c>
      <c r="E112" s="10">
        <f>IFERROR(SUMIFS('Base bordo CD'!M$2:M$875,'Base bordo CD'!D$2:D$875,A112,'Base bordo CD'!A$2:A$875,B112,'Base bordo CD'!L$2:L$875,"CORTE DE CANA MECANIZADO"),0)</f>
        <v>2.7652777777777775</v>
      </c>
      <c r="F112" s="10">
        <f>IFERROR(SUMIFS('Base bordo CD'!M$2:M$875,'Base bordo CD'!D$2:D$875,A112,'Base bordo CD'!A$2:A$875,B112,'Base bordo CD'!L$2:L$875,"MANOBRA"),0)</f>
        <v>0.92027777777777775</v>
      </c>
      <c r="G112" s="10">
        <f>IFERROR(SUMIFS('Base bordo CD'!M$2:M$875,'Base bordo CD'!D$2:D$875,A112,'Base bordo CD'!A$2:A$875,B112,'Base bordo CD'!L$2:L$875,"DESLOCAMENTO"),0)</f>
        <v>0.26583333333333337</v>
      </c>
      <c r="H112" s="10">
        <f>IFERROR(SUMIFS('Base bordo CD'!M$2:M$875,'Base bordo CD'!D$2:D$875,A112,'Base bordo CD'!A$2:A$875,B112,'Base bordo CD'!L$2:L$875,"AGUARDANDO MANOBRA DE TRANSBORDO"),0)+IFERROR(SUMIFS('Base bordo CD'!M$2:M$875,'Base bordo CD'!D$2:D$875,A112,'Base bordo CD'!A$2:A$875,B112,'Base bordo CD'!L$2:L$875,"FALTA DE TRANSBORDO"),0)</f>
        <v>0.11694444444444443</v>
      </c>
      <c r="I112" s="10">
        <f>IFERROR(SUMIFS('Base bordo CD'!M$2:M$875,'Base bordo CD'!D$2:D$875,A112,'Base bordo CD'!A$2:A$875,B112,'Base bordo CD'!L$2:L$875,"PARADA POR CONDICOES CLIMATICAS"),0)+IFERROR(SUMIFS('Base bordo CD'!M$2:M$875,'Base bordo CD'!D$2:D$875,A112,'Base bordo CD'!A$2:A$875,B112,'Base bordo CD'!L$2:L$875,"TEMPO INDETERMINADO"),0)</f>
        <v>15.6625</v>
      </c>
      <c r="J112" s="10">
        <f>IFERROR(SUMIFS('Base bordo CD'!M$2:M$875,'Base bordo CD'!D$2:D$875,A112,'Base bordo CD'!A$2:A$875,B112,'Base bordo CD'!L$2:L$875,"LIMITAÇÃO INDÚSTRIA"),0)</f>
        <v>0</v>
      </c>
      <c r="K112" s="10">
        <f>IFERROR(SUMIFS('Base bordo CD'!M$2:M$875,'Base bordo CD'!D$2:D$875,A112,'Base bordo CD'!A$2:A$875,B112,'Base bordo CD'!L$2:L$875,"MAN CORRETIVA*"),0)+IFERROR(SUMIFS('Base bordo CD'!M$2:M$875,'Base bordo CD'!D$2:D$875,A112,'Base bordo CD'!A$2:A$875,B112,'Base bordo CD'!L$2:L$875,"AGUARDANDO MANUTENCAO*"),0)+IFERROR(SUMIFS('Base bordo CD'!M$2:M$875,'Base bordo CD'!D$2:D$875,A112,'Base bordo CD'!A$2:A$875,B112,'Base bordo CD'!L$2:L$875,"TROCA DE FAQUINHA"),0)+IFERROR(SUMIFS('Base bordo CD'!M$2:M$875,'Base bordo CD'!D$2:D$875,A112,'Base bordo CD'!A$2:A$875,B112,'Base bordo CD'!L$2:L$875,"LIMPEZA*"),0)</f>
        <v>0</v>
      </c>
      <c r="L112" s="10">
        <f>IFERROR(SUMIFS('Base bordo CD'!M$2:M$875,'Base bordo CD'!D$2:D$875,A112,'Base bordo CD'!A$2:A$875,B112,'Base bordo CD'!L$2:L$875,"PATIO - RESERVA"),0)</f>
        <v>0</v>
      </c>
      <c r="M112" s="10">
        <f>IFERROR(SUMIFS('Base bordo CD'!M$2:M$875,'Base bordo CD'!D$2:D$875,A112,'Base bordo CD'!A$2:A$875,B112,'Base bordo CD'!L$2:L$875,"SEM APONTAMENTO"),0)</f>
        <v>0.11027777777777779</v>
      </c>
      <c r="N112" s="10">
        <f>IFERROR(SUMIFS('Base bordo CD'!M$2:M$875,'Base bordo CD'!D$2:D$875,A112,'Base bordo CD'!A$2:A$875,B112,'Base bordo CD'!L$2:L$875,"FALTA DE CAMINHÃO"),0)+IFERROR(SUMIFS('Base bordo CD'!M$2:M$875,'Base bordo CD'!D$2:D$875,A112,'Base bordo CD'!A$2:A$875,B112,'Base bordo CD'!L$2:L$875,"FALTA DE COMBUSTIVEL"),0)+IFERROR(SUMIFS('Base bordo CD'!M$2:M$875,'Base bordo CD'!D$2:D$875,A112,'Base bordo CD'!A$2:A$875,B112,'Base bordo CD'!L$2:L$875,"FALTA DE MOTORIST*"),0)</f>
        <v>0</v>
      </c>
      <c r="O112" s="10">
        <f t="shared" si="10"/>
        <v>4.1588888888888889</v>
      </c>
      <c r="P112" s="10">
        <f>IFERROR(SUMIFS('Base bordo CD'!M$2:M$875,'Base bordo CD'!D$2:D$875,A112,'Base bordo CD'!A$2:A$875,B112),0)</f>
        <v>24</v>
      </c>
      <c r="Q112" s="10">
        <f>IFERROR(SUMIFS('Base bordo CD'!O$2:O$875,'Base bordo CD'!D$2:D$875,A112,'Base bordo CD'!A$2:A$875,B112,'Base bordo CD'!L$2:L$875,"CORTE DE CANA MECANIZADO"),0)</f>
        <v>43747.89</v>
      </c>
      <c r="R112" s="10">
        <f>IFERROR(SUMIFS('Base bordo CD'!Q$2:Q$875,'Base bordo CD'!D$2:D$875,A112,'Base bordo CD'!A$2:A$875,B112,'Base bordo CD'!L$2:L$875,"CORTE DE CANA MECANIZADO"),0)</f>
        <v>9955</v>
      </c>
      <c r="S112" s="30">
        <f t="shared" si="11"/>
        <v>4.3945645404319436</v>
      </c>
      <c r="T112" s="9">
        <f t="shared" si="12"/>
        <v>0.1152199074074074</v>
      </c>
      <c r="U112" s="9">
        <f t="shared" si="13"/>
        <v>3.8344907407407404E-2</v>
      </c>
      <c r="V112" s="9">
        <f t="shared" si="14"/>
        <v>0.87370370370370376</v>
      </c>
    </row>
    <row r="113" spans="1:22" hidden="1" x14ac:dyDescent="0.35">
      <c r="A113" s="52">
        <v>49590</v>
      </c>
      <c r="B113" s="31">
        <v>46123</v>
      </c>
      <c r="C113" s="7" t="s">
        <v>321</v>
      </c>
      <c r="D113" s="7">
        <v>351</v>
      </c>
      <c r="E113" s="10">
        <f>IFERROR(SUMIFS('Base bordo CD'!M$2:M$875,'Base bordo CD'!D$2:D$875,A113,'Base bordo CD'!A$2:A$875,B113,'Base bordo CD'!L$2:L$875,"CORTE DE CANA MECANIZADO"),0)</f>
        <v>2.7652777777777775</v>
      </c>
      <c r="F113" s="10">
        <f>IFERROR(SUMIFS('Base bordo CD'!M$2:M$875,'Base bordo CD'!D$2:D$875,A113,'Base bordo CD'!A$2:A$875,B113,'Base bordo CD'!L$2:L$875,"MANOBRA"),0)</f>
        <v>0.92027777777777775</v>
      </c>
      <c r="G113" s="10">
        <f>IFERROR(SUMIFS('Base bordo CD'!M$2:M$875,'Base bordo CD'!D$2:D$875,A113,'Base bordo CD'!A$2:A$875,B113,'Base bordo CD'!L$2:L$875,"DESLOCAMENTO"),0)</f>
        <v>0.26583333333333337</v>
      </c>
      <c r="H113" s="10">
        <f>IFERROR(SUMIFS('Base bordo CD'!M$2:M$875,'Base bordo CD'!D$2:D$875,A113,'Base bordo CD'!A$2:A$875,B113,'Base bordo CD'!L$2:L$875,"AGUARDANDO MANOBRA DE TRANSBORDO"),0)+IFERROR(SUMIFS('Base bordo CD'!M$2:M$875,'Base bordo CD'!D$2:D$875,A113,'Base bordo CD'!A$2:A$875,B113,'Base bordo CD'!L$2:L$875,"FALTA DE TRANSBORDO"),0)</f>
        <v>0.11694444444444443</v>
      </c>
      <c r="I113" s="10">
        <f>IFERROR(SUMIFS('Base bordo CD'!M$2:M$875,'Base bordo CD'!D$2:D$875,A113,'Base bordo CD'!A$2:A$875,B113,'Base bordo CD'!L$2:L$875,"PARADA POR CONDICOES CLIMATICAS"),0)+IFERROR(SUMIFS('Base bordo CD'!M$2:M$875,'Base bordo CD'!D$2:D$875,A113,'Base bordo CD'!A$2:A$875,B113,'Base bordo CD'!L$2:L$875,"TEMPO INDETERMINADO"),0)</f>
        <v>15.6625</v>
      </c>
      <c r="J113" s="10">
        <f>IFERROR(SUMIFS('Base bordo CD'!M$2:M$875,'Base bordo CD'!D$2:D$875,A113,'Base bordo CD'!A$2:A$875,B113,'Base bordo CD'!L$2:L$875,"LIMITAÇÃO INDÚSTRIA"),0)</f>
        <v>0</v>
      </c>
      <c r="K113" s="10">
        <f>IFERROR(SUMIFS('Base bordo CD'!M$2:M$875,'Base bordo CD'!D$2:D$875,A113,'Base bordo CD'!A$2:A$875,B113,'Base bordo CD'!L$2:L$875,"MAN CORRETIVA*"),0)+IFERROR(SUMIFS('Base bordo CD'!M$2:M$875,'Base bordo CD'!D$2:D$875,A113,'Base bordo CD'!A$2:A$875,B113,'Base bordo CD'!L$2:L$875,"AGUARDANDO MANUTENCAO*"),0)+IFERROR(SUMIFS('Base bordo CD'!M$2:M$875,'Base bordo CD'!D$2:D$875,A113,'Base bordo CD'!A$2:A$875,B113,'Base bordo CD'!L$2:L$875,"TROCA DE FAQUINHA"),0)+IFERROR(SUMIFS('Base bordo CD'!M$2:M$875,'Base bordo CD'!D$2:D$875,A113,'Base bordo CD'!A$2:A$875,B113,'Base bordo CD'!L$2:L$875,"LIMPEZA*"),0)</f>
        <v>0</v>
      </c>
      <c r="L113" s="10">
        <f>IFERROR(SUMIFS('Base bordo CD'!M$2:M$875,'Base bordo CD'!D$2:D$875,A113,'Base bordo CD'!A$2:A$875,B113,'Base bordo CD'!L$2:L$875,"PATIO - RESERVA"),0)</f>
        <v>0</v>
      </c>
      <c r="M113" s="10">
        <f>IFERROR(SUMIFS('Base bordo CD'!M$2:M$875,'Base bordo CD'!D$2:D$875,A113,'Base bordo CD'!A$2:A$875,B113,'Base bordo CD'!L$2:L$875,"SEM APONTAMENTO"),0)</f>
        <v>0.11027777777777779</v>
      </c>
      <c r="N113" s="10">
        <f>IFERROR(SUMIFS('Base bordo CD'!M$2:M$875,'Base bordo CD'!D$2:D$875,A113,'Base bordo CD'!A$2:A$875,B113,'Base bordo CD'!L$2:L$875,"FALTA DE CAMINHÃO"),0)+IFERROR(SUMIFS('Base bordo CD'!M$2:M$875,'Base bordo CD'!D$2:D$875,A113,'Base bordo CD'!A$2:A$875,B113,'Base bordo CD'!L$2:L$875,"FALTA DE COMBUSTIVEL"),0)+IFERROR(SUMIFS('Base bordo CD'!M$2:M$875,'Base bordo CD'!D$2:D$875,A113,'Base bordo CD'!A$2:A$875,B113,'Base bordo CD'!L$2:L$875,"FALTA DE MOTORIST*"),0)</f>
        <v>0</v>
      </c>
      <c r="O113" s="10">
        <f t="shared" si="10"/>
        <v>4.1588888888888889</v>
      </c>
      <c r="P113" s="10">
        <f>IFERROR(SUMIFS('Base bordo CD'!M$2:M$875,'Base bordo CD'!D$2:D$875,A113,'Base bordo CD'!A$2:A$875,B113),0)</f>
        <v>24</v>
      </c>
      <c r="Q113" s="10">
        <f>IFERROR(SUMIFS('Base bordo CD'!O$2:O$875,'Base bordo CD'!D$2:D$875,A113,'Base bordo CD'!A$2:A$875,B113,'Base bordo CD'!L$2:L$875,"CORTE DE CANA MECANIZADO"),0)</f>
        <v>43747.89</v>
      </c>
      <c r="R113" s="10">
        <f>IFERROR(SUMIFS('Base bordo CD'!Q$2:Q$875,'Base bordo CD'!D$2:D$875,A113,'Base bordo CD'!A$2:A$875,B113,'Base bordo CD'!L$2:L$875,"CORTE DE CANA MECANIZADO"),0)</f>
        <v>9955</v>
      </c>
      <c r="S113" s="30">
        <f t="shared" si="11"/>
        <v>4.3945645404319436</v>
      </c>
      <c r="T113" s="9">
        <f t="shared" si="12"/>
        <v>0.1152199074074074</v>
      </c>
      <c r="U113" s="9">
        <f t="shared" si="13"/>
        <v>3.8344907407407404E-2</v>
      </c>
      <c r="V113" s="9">
        <f t="shared" si="14"/>
        <v>0.87370370370370376</v>
      </c>
    </row>
    <row r="114" spans="1:22" hidden="1" x14ac:dyDescent="0.35">
      <c r="A114" s="52">
        <v>49590</v>
      </c>
      <c r="B114" s="31">
        <v>46123</v>
      </c>
      <c r="C114" s="7" t="s">
        <v>321</v>
      </c>
      <c r="D114" s="7">
        <v>351</v>
      </c>
      <c r="E114" s="10">
        <f>IFERROR(SUMIFS('Base bordo CD'!M$2:M$875,'Base bordo CD'!D$2:D$875,A114,'Base bordo CD'!A$2:A$875,B114,'Base bordo CD'!L$2:L$875,"CORTE DE CANA MECANIZADO"),0)</f>
        <v>2.7652777777777775</v>
      </c>
      <c r="F114" s="10">
        <f>IFERROR(SUMIFS('Base bordo CD'!M$2:M$875,'Base bordo CD'!D$2:D$875,A114,'Base bordo CD'!A$2:A$875,B114,'Base bordo CD'!L$2:L$875,"MANOBRA"),0)</f>
        <v>0.92027777777777775</v>
      </c>
      <c r="G114" s="10">
        <f>IFERROR(SUMIFS('Base bordo CD'!M$2:M$875,'Base bordo CD'!D$2:D$875,A114,'Base bordo CD'!A$2:A$875,B114,'Base bordo CD'!L$2:L$875,"DESLOCAMENTO"),0)</f>
        <v>0.26583333333333337</v>
      </c>
      <c r="H114" s="10">
        <f>IFERROR(SUMIFS('Base bordo CD'!M$2:M$875,'Base bordo CD'!D$2:D$875,A114,'Base bordo CD'!A$2:A$875,B114,'Base bordo CD'!L$2:L$875,"AGUARDANDO MANOBRA DE TRANSBORDO"),0)+IFERROR(SUMIFS('Base bordo CD'!M$2:M$875,'Base bordo CD'!D$2:D$875,A114,'Base bordo CD'!A$2:A$875,B114,'Base bordo CD'!L$2:L$875,"FALTA DE TRANSBORDO"),0)</f>
        <v>0.11694444444444443</v>
      </c>
      <c r="I114" s="10">
        <f>IFERROR(SUMIFS('Base bordo CD'!M$2:M$875,'Base bordo CD'!D$2:D$875,A114,'Base bordo CD'!A$2:A$875,B114,'Base bordo CD'!L$2:L$875,"PARADA POR CONDICOES CLIMATICAS"),0)+IFERROR(SUMIFS('Base bordo CD'!M$2:M$875,'Base bordo CD'!D$2:D$875,A114,'Base bordo CD'!A$2:A$875,B114,'Base bordo CD'!L$2:L$875,"TEMPO INDETERMINADO"),0)</f>
        <v>15.6625</v>
      </c>
      <c r="J114" s="10">
        <f>IFERROR(SUMIFS('Base bordo CD'!M$2:M$875,'Base bordo CD'!D$2:D$875,A114,'Base bordo CD'!A$2:A$875,B114,'Base bordo CD'!L$2:L$875,"LIMITAÇÃO INDÚSTRIA"),0)</f>
        <v>0</v>
      </c>
      <c r="K114" s="10">
        <f>IFERROR(SUMIFS('Base bordo CD'!M$2:M$875,'Base bordo CD'!D$2:D$875,A114,'Base bordo CD'!A$2:A$875,B114,'Base bordo CD'!L$2:L$875,"MAN CORRETIVA*"),0)+IFERROR(SUMIFS('Base bordo CD'!M$2:M$875,'Base bordo CD'!D$2:D$875,A114,'Base bordo CD'!A$2:A$875,B114,'Base bordo CD'!L$2:L$875,"AGUARDANDO MANUTENCAO*"),0)+IFERROR(SUMIFS('Base bordo CD'!M$2:M$875,'Base bordo CD'!D$2:D$875,A114,'Base bordo CD'!A$2:A$875,B114,'Base bordo CD'!L$2:L$875,"TROCA DE FAQUINHA"),0)+IFERROR(SUMIFS('Base bordo CD'!M$2:M$875,'Base bordo CD'!D$2:D$875,A114,'Base bordo CD'!A$2:A$875,B114,'Base bordo CD'!L$2:L$875,"LIMPEZA*"),0)</f>
        <v>0</v>
      </c>
      <c r="L114" s="10">
        <f>IFERROR(SUMIFS('Base bordo CD'!M$2:M$875,'Base bordo CD'!D$2:D$875,A114,'Base bordo CD'!A$2:A$875,B114,'Base bordo CD'!L$2:L$875,"PATIO - RESERVA"),0)</f>
        <v>0</v>
      </c>
      <c r="M114" s="10">
        <f>IFERROR(SUMIFS('Base bordo CD'!M$2:M$875,'Base bordo CD'!D$2:D$875,A114,'Base bordo CD'!A$2:A$875,B114,'Base bordo CD'!L$2:L$875,"SEM APONTAMENTO"),0)</f>
        <v>0.11027777777777779</v>
      </c>
      <c r="N114" s="10">
        <f>IFERROR(SUMIFS('Base bordo CD'!M$2:M$875,'Base bordo CD'!D$2:D$875,A114,'Base bordo CD'!A$2:A$875,B114,'Base bordo CD'!L$2:L$875,"FALTA DE CAMINHÃO"),0)+IFERROR(SUMIFS('Base bordo CD'!M$2:M$875,'Base bordo CD'!D$2:D$875,A114,'Base bordo CD'!A$2:A$875,B114,'Base bordo CD'!L$2:L$875,"FALTA DE COMBUSTIVEL"),0)+IFERROR(SUMIFS('Base bordo CD'!M$2:M$875,'Base bordo CD'!D$2:D$875,A114,'Base bordo CD'!A$2:A$875,B114,'Base bordo CD'!L$2:L$875,"FALTA DE MOTORIST*"),0)</f>
        <v>0</v>
      </c>
      <c r="O114" s="10">
        <f t="shared" si="10"/>
        <v>4.1588888888888889</v>
      </c>
      <c r="P114" s="10">
        <f>IFERROR(SUMIFS('Base bordo CD'!M$2:M$875,'Base bordo CD'!D$2:D$875,A114,'Base bordo CD'!A$2:A$875,B114),0)</f>
        <v>24</v>
      </c>
      <c r="Q114" s="10">
        <f>IFERROR(SUMIFS('Base bordo CD'!O$2:O$875,'Base bordo CD'!D$2:D$875,A114,'Base bordo CD'!A$2:A$875,B114,'Base bordo CD'!L$2:L$875,"CORTE DE CANA MECANIZADO"),0)</f>
        <v>43747.89</v>
      </c>
      <c r="R114" s="10">
        <f>IFERROR(SUMIFS('Base bordo CD'!Q$2:Q$875,'Base bordo CD'!D$2:D$875,A114,'Base bordo CD'!A$2:A$875,B114,'Base bordo CD'!L$2:L$875,"CORTE DE CANA MECANIZADO"),0)</f>
        <v>9955</v>
      </c>
      <c r="S114" s="30">
        <f t="shared" si="11"/>
        <v>4.3945645404319436</v>
      </c>
      <c r="T114" s="9">
        <f t="shared" si="12"/>
        <v>0.1152199074074074</v>
      </c>
      <c r="U114" s="9">
        <f t="shared" si="13"/>
        <v>3.8344907407407404E-2</v>
      </c>
      <c r="V114" s="9">
        <f t="shared" si="14"/>
        <v>0.87370370370370376</v>
      </c>
    </row>
    <row r="115" spans="1:22" hidden="1" x14ac:dyDescent="0.35">
      <c r="A115" s="52">
        <v>49590</v>
      </c>
      <c r="B115" s="31">
        <v>46123</v>
      </c>
      <c r="C115" s="7" t="s">
        <v>321</v>
      </c>
      <c r="D115" s="7">
        <v>351</v>
      </c>
      <c r="E115" s="10">
        <f>IFERROR(SUMIFS('Base bordo CD'!M$2:M$875,'Base bordo CD'!D$2:D$875,A115,'Base bordo CD'!A$2:A$875,B115,'Base bordo CD'!L$2:L$875,"CORTE DE CANA MECANIZADO"),0)</f>
        <v>2.7652777777777775</v>
      </c>
      <c r="F115" s="10">
        <f>IFERROR(SUMIFS('Base bordo CD'!M$2:M$875,'Base bordo CD'!D$2:D$875,A115,'Base bordo CD'!A$2:A$875,B115,'Base bordo CD'!L$2:L$875,"MANOBRA"),0)</f>
        <v>0.92027777777777775</v>
      </c>
      <c r="G115" s="10">
        <f>IFERROR(SUMIFS('Base bordo CD'!M$2:M$875,'Base bordo CD'!D$2:D$875,A115,'Base bordo CD'!A$2:A$875,B115,'Base bordo CD'!L$2:L$875,"DESLOCAMENTO"),0)</f>
        <v>0.26583333333333337</v>
      </c>
      <c r="H115" s="10">
        <f>IFERROR(SUMIFS('Base bordo CD'!M$2:M$875,'Base bordo CD'!D$2:D$875,A115,'Base bordo CD'!A$2:A$875,B115,'Base bordo CD'!L$2:L$875,"AGUARDANDO MANOBRA DE TRANSBORDO"),0)+IFERROR(SUMIFS('Base bordo CD'!M$2:M$875,'Base bordo CD'!D$2:D$875,A115,'Base bordo CD'!A$2:A$875,B115,'Base bordo CD'!L$2:L$875,"FALTA DE TRANSBORDO"),0)</f>
        <v>0.11694444444444443</v>
      </c>
      <c r="I115" s="10">
        <f>IFERROR(SUMIFS('Base bordo CD'!M$2:M$875,'Base bordo CD'!D$2:D$875,A115,'Base bordo CD'!A$2:A$875,B115,'Base bordo CD'!L$2:L$875,"PARADA POR CONDICOES CLIMATICAS"),0)+IFERROR(SUMIFS('Base bordo CD'!M$2:M$875,'Base bordo CD'!D$2:D$875,A115,'Base bordo CD'!A$2:A$875,B115,'Base bordo CD'!L$2:L$875,"TEMPO INDETERMINADO"),0)</f>
        <v>15.6625</v>
      </c>
      <c r="J115" s="10">
        <f>IFERROR(SUMIFS('Base bordo CD'!M$2:M$875,'Base bordo CD'!D$2:D$875,A115,'Base bordo CD'!A$2:A$875,B115,'Base bordo CD'!L$2:L$875,"LIMITAÇÃO INDÚSTRIA"),0)</f>
        <v>0</v>
      </c>
      <c r="K115" s="10">
        <f>IFERROR(SUMIFS('Base bordo CD'!M$2:M$875,'Base bordo CD'!D$2:D$875,A115,'Base bordo CD'!A$2:A$875,B115,'Base bordo CD'!L$2:L$875,"MAN CORRETIVA*"),0)+IFERROR(SUMIFS('Base bordo CD'!M$2:M$875,'Base bordo CD'!D$2:D$875,A115,'Base bordo CD'!A$2:A$875,B115,'Base bordo CD'!L$2:L$875,"AGUARDANDO MANUTENCAO*"),0)+IFERROR(SUMIFS('Base bordo CD'!M$2:M$875,'Base bordo CD'!D$2:D$875,A115,'Base bordo CD'!A$2:A$875,B115,'Base bordo CD'!L$2:L$875,"TROCA DE FAQUINHA"),0)+IFERROR(SUMIFS('Base bordo CD'!M$2:M$875,'Base bordo CD'!D$2:D$875,A115,'Base bordo CD'!A$2:A$875,B115,'Base bordo CD'!L$2:L$875,"LIMPEZA*"),0)</f>
        <v>0</v>
      </c>
      <c r="L115" s="10">
        <f>IFERROR(SUMIFS('Base bordo CD'!M$2:M$875,'Base bordo CD'!D$2:D$875,A115,'Base bordo CD'!A$2:A$875,B115,'Base bordo CD'!L$2:L$875,"PATIO - RESERVA"),0)</f>
        <v>0</v>
      </c>
      <c r="M115" s="10">
        <f>IFERROR(SUMIFS('Base bordo CD'!M$2:M$875,'Base bordo CD'!D$2:D$875,A115,'Base bordo CD'!A$2:A$875,B115,'Base bordo CD'!L$2:L$875,"SEM APONTAMENTO"),0)</f>
        <v>0.11027777777777779</v>
      </c>
      <c r="N115" s="10">
        <f>IFERROR(SUMIFS('Base bordo CD'!M$2:M$875,'Base bordo CD'!D$2:D$875,A115,'Base bordo CD'!A$2:A$875,B115,'Base bordo CD'!L$2:L$875,"FALTA DE CAMINHÃO"),0)+IFERROR(SUMIFS('Base bordo CD'!M$2:M$875,'Base bordo CD'!D$2:D$875,A115,'Base bordo CD'!A$2:A$875,B115,'Base bordo CD'!L$2:L$875,"FALTA DE COMBUSTIVEL"),0)+IFERROR(SUMIFS('Base bordo CD'!M$2:M$875,'Base bordo CD'!D$2:D$875,A115,'Base bordo CD'!A$2:A$875,B115,'Base bordo CD'!L$2:L$875,"FALTA DE MOTORIST*"),0)</f>
        <v>0</v>
      </c>
      <c r="O115" s="10">
        <f t="shared" si="10"/>
        <v>4.1588888888888889</v>
      </c>
      <c r="P115" s="10">
        <f>IFERROR(SUMIFS('Base bordo CD'!M$2:M$875,'Base bordo CD'!D$2:D$875,A115,'Base bordo CD'!A$2:A$875,B115),0)</f>
        <v>24</v>
      </c>
      <c r="Q115" s="10">
        <f>IFERROR(SUMIFS('Base bordo CD'!O$2:O$875,'Base bordo CD'!D$2:D$875,A115,'Base bordo CD'!A$2:A$875,B115,'Base bordo CD'!L$2:L$875,"CORTE DE CANA MECANIZADO"),0)</f>
        <v>43747.89</v>
      </c>
      <c r="R115" s="10">
        <f>IFERROR(SUMIFS('Base bordo CD'!Q$2:Q$875,'Base bordo CD'!D$2:D$875,A115,'Base bordo CD'!A$2:A$875,B115,'Base bordo CD'!L$2:L$875,"CORTE DE CANA MECANIZADO"),0)</f>
        <v>9955</v>
      </c>
      <c r="S115" s="30">
        <f t="shared" si="11"/>
        <v>4.3945645404319436</v>
      </c>
      <c r="T115" s="9">
        <f t="shared" si="12"/>
        <v>0.1152199074074074</v>
      </c>
      <c r="U115" s="9">
        <f t="shared" si="13"/>
        <v>3.8344907407407404E-2</v>
      </c>
      <c r="V115" s="9">
        <f t="shared" si="14"/>
        <v>0.87370370370370376</v>
      </c>
    </row>
    <row r="116" spans="1:22" hidden="1" x14ac:dyDescent="0.35">
      <c r="A116" s="52">
        <v>49590</v>
      </c>
      <c r="B116" s="31">
        <v>46123</v>
      </c>
      <c r="C116" s="7" t="s">
        <v>321</v>
      </c>
      <c r="D116" s="7">
        <v>351</v>
      </c>
      <c r="E116" s="10">
        <f>IFERROR(SUMIFS('Base bordo CD'!M$2:M$875,'Base bordo CD'!D$2:D$875,A116,'Base bordo CD'!A$2:A$875,B116,'Base bordo CD'!L$2:L$875,"CORTE DE CANA MECANIZADO"),0)</f>
        <v>2.7652777777777775</v>
      </c>
      <c r="F116" s="10">
        <f>IFERROR(SUMIFS('Base bordo CD'!M$2:M$875,'Base bordo CD'!D$2:D$875,A116,'Base bordo CD'!A$2:A$875,B116,'Base bordo CD'!L$2:L$875,"MANOBRA"),0)</f>
        <v>0.92027777777777775</v>
      </c>
      <c r="G116" s="10">
        <f>IFERROR(SUMIFS('Base bordo CD'!M$2:M$875,'Base bordo CD'!D$2:D$875,A116,'Base bordo CD'!A$2:A$875,B116,'Base bordo CD'!L$2:L$875,"DESLOCAMENTO"),0)</f>
        <v>0.26583333333333337</v>
      </c>
      <c r="H116" s="10">
        <f>IFERROR(SUMIFS('Base bordo CD'!M$2:M$875,'Base bordo CD'!D$2:D$875,A116,'Base bordo CD'!A$2:A$875,B116,'Base bordo CD'!L$2:L$875,"AGUARDANDO MANOBRA DE TRANSBORDO"),0)+IFERROR(SUMIFS('Base bordo CD'!M$2:M$875,'Base bordo CD'!D$2:D$875,A116,'Base bordo CD'!A$2:A$875,B116,'Base bordo CD'!L$2:L$875,"FALTA DE TRANSBORDO"),0)</f>
        <v>0.11694444444444443</v>
      </c>
      <c r="I116" s="10">
        <f>IFERROR(SUMIFS('Base bordo CD'!M$2:M$875,'Base bordo CD'!D$2:D$875,A116,'Base bordo CD'!A$2:A$875,B116,'Base bordo CD'!L$2:L$875,"PARADA POR CONDICOES CLIMATICAS"),0)+IFERROR(SUMIFS('Base bordo CD'!M$2:M$875,'Base bordo CD'!D$2:D$875,A116,'Base bordo CD'!A$2:A$875,B116,'Base bordo CD'!L$2:L$875,"TEMPO INDETERMINADO"),0)</f>
        <v>15.6625</v>
      </c>
      <c r="J116" s="10">
        <f>IFERROR(SUMIFS('Base bordo CD'!M$2:M$875,'Base bordo CD'!D$2:D$875,A116,'Base bordo CD'!A$2:A$875,B116,'Base bordo CD'!L$2:L$875,"LIMITAÇÃO INDÚSTRIA"),0)</f>
        <v>0</v>
      </c>
      <c r="K116" s="10">
        <f>IFERROR(SUMIFS('Base bordo CD'!M$2:M$875,'Base bordo CD'!D$2:D$875,A116,'Base bordo CD'!A$2:A$875,B116,'Base bordo CD'!L$2:L$875,"MAN CORRETIVA*"),0)+IFERROR(SUMIFS('Base bordo CD'!M$2:M$875,'Base bordo CD'!D$2:D$875,A116,'Base bordo CD'!A$2:A$875,B116,'Base bordo CD'!L$2:L$875,"AGUARDANDO MANUTENCAO*"),0)+IFERROR(SUMIFS('Base bordo CD'!M$2:M$875,'Base bordo CD'!D$2:D$875,A116,'Base bordo CD'!A$2:A$875,B116,'Base bordo CD'!L$2:L$875,"TROCA DE FAQUINHA"),0)+IFERROR(SUMIFS('Base bordo CD'!M$2:M$875,'Base bordo CD'!D$2:D$875,A116,'Base bordo CD'!A$2:A$875,B116,'Base bordo CD'!L$2:L$875,"LIMPEZA*"),0)</f>
        <v>0</v>
      </c>
      <c r="L116" s="10">
        <f>IFERROR(SUMIFS('Base bordo CD'!M$2:M$875,'Base bordo CD'!D$2:D$875,A116,'Base bordo CD'!A$2:A$875,B116,'Base bordo CD'!L$2:L$875,"PATIO - RESERVA"),0)</f>
        <v>0</v>
      </c>
      <c r="M116" s="10">
        <f>IFERROR(SUMIFS('Base bordo CD'!M$2:M$875,'Base bordo CD'!D$2:D$875,A116,'Base bordo CD'!A$2:A$875,B116,'Base bordo CD'!L$2:L$875,"SEM APONTAMENTO"),0)</f>
        <v>0.11027777777777779</v>
      </c>
      <c r="N116" s="10">
        <f>IFERROR(SUMIFS('Base bordo CD'!M$2:M$875,'Base bordo CD'!D$2:D$875,A116,'Base bordo CD'!A$2:A$875,B116,'Base bordo CD'!L$2:L$875,"FALTA DE CAMINHÃO"),0)+IFERROR(SUMIFS('Base bordo CD'!M$2:M$875,'Base bordo CD'!D$2:D$875,A116,'Base bordo CD'!A$2:A$875,B116,'Base bordo CD'!L$2:L$875,"FALTA DE COMBUSTIVEL"),0)+IFERROR(SUMIFS('Base bordo CD'!M$2:M$875,'Base bordo CD'!D$2:D$875,A116,'Base bordo CD'!A$2:A$875,B116,'Base bordo CD'!L$2:L$875,"FALTA DE MOTORIST*"),0)</f>
        <v>0</v>
      </c>
      <c r="O116" s="10">
        <f t="shared" si="10"/>
        <v>4.1588888888888889</v>
      </c>
      <c r="P116" s="10">
        <f>IFERROR(SUMIFS('Base bordo CD'!M$2:M$875,'Base bordo CD'!D$2:D$875,A116,'Base bordo CD'!A$2:A$875,B116),0)</f>
        <v>24</v>
      </c>
      <c r="Q116" s="10">
        <f>IFERROR(SUMIFS('Base bordo CD'!O$2:O$875,'Base bordo CD'!D$2:D$875,A116,'Base bordo CD'!A$2:A$875,B116,'Base bordo CD'!L$2:L$875,"CORTE DE CANA MECANIZADO"),0)</f>
        <v>43747.89</v>
      </c>
      <c r="R116" s="10">
        <f>IFERROR(SUMIFS('Base bordo CD'!Q$2:Q$875,'Base bordo CD'!D$2:D$875,A116,'Base bordo CD'!A$2:A$875,B116,'Base bordo CD'!L$2:L$875,"CORTE DE CANA MECANIZADO"),0)</f>
        <v>9955</v>
      </c>
      <c r="S116" s="30">
        <f t="shared" si="11"/>
        <v>4.3945645404319436</v>
      </c>
      <c r="T116" s="9">
        <f t="shared" si="12"/>
        <v>0.1152199074074074</v>
      </c>
      <c r="U116" s="9">
        <f t="shared" si="13"/>
        <v>3.8344907407407404E-2</v>
      </c>
      <c r="V116" s="9">
        <f t="shared" si="14"/>
        <v>0.87370370370370376</v>
      </c>
    </row>
    <row r="117" spans="1:22" hidden="1" x14ac:dyDescent="0.35">
      <c r="A117" s="52">
        <v>49590</v>
      </c>
      <c r="B117" s="31">
        <v>46123</v>
      </c>
      <c r="C117" s="7" t="s">
        <v>321</v>
      </c>
      <c r="D117" s="7">
        <v>351</v>
      </c>
      <c r="E117" s="10">
        <f>IFERROR(SUMIFS('Base bordo CD'!M$2:M$875,'Base bordo CD'!D$2:D$875,A117,'Base bordo CD'!A$2:A$875,B117,'Base bordo CD'!L$2:L$875,"CORTE DE CANA MECANIZADO"),0)</f>
        <v>2.7652777777777775</v>
      </c>
      <c r="F117" s="10">
        <f>IFERROR(SUMIFS('Base bordo CD'!M$2:M$875,'Base bordo CD'!D$2:D$875,A117,'Base bordo CD'!A$2:A$875,B117,'Base bordo CD'!L$2:L$875,"MANOBRA"),0)</f>
        <v>0.92027777777777775</v>
      </c>
      <c r="G117" s="10">
        <f>IFERROR(SUMIFS('Base bordo CD'!M$2:M$875,'Base bordo CD'!D$2:D$875,A117,'Base bordo CD'!A$2:A$875,B117,'Base bordo CD'!L$2:L$875,"DESLOCAMENTO"),0)</f>
        <v>0.26583333333333337</v>
      </c>
      <c r="H117" s="10">
        <f>IFERROR(SUMIFS('Base bordo CD'!M$2:M$875,'Base bordo CD'!D$2:D$875,A117,'Base bordo CD'!A$2:A$875,B117,'Base bordo CD'!L$2:L$875,"AGUARDANDO MANOBRA DE TRANSBORDO"),0)+IFERROR(SUMIFS('Base bordo CD'!M$2:M$875,'Base bordo CD'!D$2:D$875,A117,'Base bordo CD'!A$2:A$875,B117,'Base bordo CD'!L$2:L$875,"FALTA DE TRANSBORDO"),0)</f>
        <v>0.11694444444444443</v>
      </c>
      <c r="I117" s="10">
        <f>IFERROR(SUMIFS('Base bordo CD'!M$2:M$875,'Base bordo CD'!D$2:D$875,A117,'Base bordo CD'!A$2:A$875,B117,'Base bordo CD'!L$2:L$875,"PARADA POR CONDICOES CLIMATICAS"),0)+IFERROR(SUMIFS('Base bordo CD'!M$2:M$875,'Base bordo CD'!D$2:D$875,A117,'Base bordo CD'!A$2:A$875,B117,'Base bordo CD'!L$2:L$875,"TEMPO INDETERMINADO"),0)</f>
        <v>15.6625</v>
      </c>
      <c r="J117" s="10">
        <f>IFERROR(SUMIFS('Base bordo CD'!M$2:M$875,'Base bordo CD'!D$2:D$875,A117,'Base bordo CD'!A$2:A$875,B117,'Base bordo CD'!L$2:L$875,"LIMITAÇÃO INDÚSTRIA"),0)</f>
        <v>0</v>
      </c>
      <c r="K117" s="10">
        <f>IFERROR(SUMIFS('Base bordo CD'!M$2:M$875,'Base bordo CD'!D$2:D$875,A117,'Base bordo CD'!A$2:A$875,B117,'Base bordo CD'!L$2:L$875,"MAN CORRETIVA*"),0)+IFERROR(SUMIFS('Base bordo CD'!M$2:M$875,'Base bordo CD'!D$2:D$875,A117,'Base bordo CD'!A$2:A$875,B117,'Base bordo CD'!L$2:L$875,"AGUARDANDO MANUTENCAO*"),0)+IFERROR(SUMIFS('Base bordo CD'!M$2:M$875,'Base bordo CD'!D$2:D$875,A117,'Base bordo CD'!A$2:A$875,B117,'Base bordo CD'!L$2:L$875,"TROCA DE FAQUINHA"),0)+IFERROR(SUMIFS('Base bordo CD'!M$2:M$875,'Base bordo CD'!D$2:D$875,A117,'Base bordo CD'!A$2:A$875,B117,'Base bordo CD'!L$2:L$875,"LIMPEZA*"),0)</f>
        <v>0</v>
      </c>
      <c r="L117" s="10">
        <f>IFERROR(SUMIFS('Base bordo CD'!M$2:M$875,'Base bordo CD'!D$2:D$875,A117,'Base bordo CD'!A$2:A$875,B117,'Base bordo CD'!L$2:L$875,"PATIO - RESERVA"),0)</f>
        <v>0</v>
      </c>
      <c r="M117" s="10">
        <f>IFERROR(SUMIFS('Base bordo CD'!M$2:M$875,'Base bordo CD'!D$2:D$875,A117,'Base bordo CD'!A$2:A$875,B117,'Base bordo CD'!L$2:L$875,"SEM APONTAMENTO"),0)</f>
        <v>0.11027777777777779</v>
      </c>
      <c r="N117" s="10">
        <f>IFERROR(SUMIFS('Base bordo CD'!M$2:M$875,'Base bordo CD'!D$2:D$875,A117,'Base bordo CD'!A$2:A$875,B117,'Base bordo CD'!L$2:L$875,"FALTA DE CAMINHÃO"),0)+IFERROR(SUMIFS('Base bordo CD'!M$2:M$875,'Base bordo CD'!D$2:D$875,A117,'Base bordo CD'!A$2:A$875,B117,'Base bordo CD'!L$2:L$875,"FALTA DE COMBUSTIVEL"),0)+IFERROR(SUMIFS('Base bordo CD'!M$2:M$875,'Base bordo CD'!D$2:D$875,A117,'Base bordo CD'!A$2:A$875,B117,'Base bordo CD'!L$2:L$875,"FALTA DE MOTORIST*"),0)</f>
        <v>0</v>
      </c>
      <c r="O117" s="10">
        <f t="shared" si="10"/>
        <v>4.1588888888888889</v>
      </c>
      <c r="P117" s="10">
        <f>IFERROR(SUMIFS('Base bordo CD'!M$2:M$875,'Base bordo CD'!D$2:D$875,A117,'Base bordo CD'!A$2:A$875,B117),0)</f>
        <v>24</v>
      </c>
      <c r="Q117" s="10">
        <f>IFERROR(SUMIFS('Base bordo CD'!O$2:O$875,'Base bordo CD'!D$2:D$875,A117,'Base bordo CD'!A$2:A$875,B117,'Base bordo CD'!L$2:L$875,"CORTE DE CANA MECANIZADO"),0)</f>
        <v>43747.89</v>
      </c>
      <c r="R117" s="10">
        <f>IFERROR(SUMIFS('Base bordo CD'!Q$2:Q$875,'Base bordo CD'!D$2:D$875,A117,'Base bordo CD'!A$2:A$875,B117,'Base bordo CD'!L$2:L$875,"CORTE DE CANA MECANIZADO"),0)</f>
        <v>9955</v>
      </c>
      <c r="S117" s="30">
        <f t="shared" si="11"/>
        <v>4.3945645404319436</v>
      </c>
      <c r="T117" s="9">
        <f t="shared" si="12"/>
        <v>0.1152199074074074</v>
      </c>
      <c r="U117" s="9">
        <f t="shared" si="13"/>
        <v>3.8344907407407404E-2</v>
      </c>
      <c r="V117" s="9">
        <f t="shared" si="14"/>
        <v>0.87370370370370376</v>
      </c>
    </row>
    <row r="118" spans="1:22" hidden="1" x14ac:dyDescent="0.35">
      <c r="A118" s="52">
        <v>49590</v>
      </c>
      <c r="B118" s="31">
        <v>46123</v>
      </c>
      <c r="C118" s="7" t="s">
        <v>321</v>
      </c>
      <c r="D118" s="7">
        <v>351</v>
      </c>
      <c r="E118" s="10">
        <f>IFERROR(SUMIFS('Base bordo CD'!M$2:M$875,'Base bordo CD'!D$2:D$875,A118,'Base bordo CD'!A$2:A$875,B118,'Base bordo CD'!L$2:L$875,"CORTE DE CANA MECANIZADO"),0)</f>
        <v>2.7652777777777775</v>
      </c>
      <c r="F118" s="10">
        <f>IFERROR(SUMIFS('Base bordo CD'!M$2:M$875,'Base bordo CD'!D$2:D$875,A118,'Base bordo CD'!A$2:A$875,B118,'Base bordo CD'!L$2:L$875,"MANOBRA"),0)</f>
        <v>0.92027777777777775</v>
      </c>
      <c r="G118" s="10">
        <f>IFERROR(SUMIFS('Base bordo CD'!M$2:M$875,'Base bordo CD'!D$2:D$875,A118,'Base bordo CD'!A$2:A$875,B118,'Base bordo CD'!L$2:L$875,"DESLOCAMENTO"),0)</f>
        <v>0.26583333333333337</v>
      </c>
      <c r="H118" s="10">
        <f>IFERROR(SUMIFS('Base bordo CD'!M$2:M$875,'Base bordo CD'!D$2:D$875,A118,'Base bordo CD'!A$2:A$875,B118,'Base bordo CD'!L$2:L$875,"AGUARDANDO MANOBRA DE TRANSBORDO"),0)+IFERROR(SUMIFS('Base bordo CD'!M$2:M$875,'Base bordo CD'!D$2:D$875,A118,'Base bordo CD'!A$2:A$875,B118,'Base bordo CD'!L$2:L$875,"FALTA DE TRANSBORDO"),0)</f>
        <v>0.11694444444444443</v>
      </c>
      <c r="I118" s="10">
        <f>IFERROR(SUMIFS('Base bordo CD'!M$2:M$875,'Base bordo CD'!D$2:D$875,A118,'Base bordo CD'!A$2:A$875,B118,'Base bordo CD'!L$2:L$875,"PARADA POR CONDICOES CLIMATICAS"),0)+IFERROR(SUMIFS('Base bordo CD'!M$2:M$875,'Base bordo CD'!D$2:D$875,A118,'Base bordo CD'!A$2:A$875,B118,'Base bordo CD'!L$2:L$875,"TEMPO INDETERMINADO"),0)</f>
        <v>15.6625</v>
      </c>
      <c r="J118" s="10">
        <f>IFERROR(SUMIFS('Base bordo CD'!M$2:M$875,'Base bordo CD'!D$2:D$875,A118,'Base bordo CD'!A$2:A$875,B118,'Base bordo CD'!L$2:L$875,"LIMITAÇÃO INDÚSTRIA"),0)</f>
        <v>0</v>
      </c>
      <c r="K118" s="10">
        <f>IFERROR(SUMIFS('Base bordo CD'!M$2:M$875,'Base bordo CD'!D$2:D$875,A118,'Base bordo CD'!A$2:A$875,B118,'Base bordo CD'!L$2:L$875,"MAN CORRETIVA*"),0)+IFERROR(SUMIFS('Base bordo CD'!M$2:M$875,'Base bordo CD'!D$2:D$875,A118,'Base bordo CD'!A$2:A$875,B118,'Base bordo CD'!L$2:L$875,"AGUARDANDO MANUTENCAO*"),0)+IFERROR(SUMIFS('Base bordo CD'!M$2:M$875,'Base bordo CD'!D$2:D$875,A118,'Base bordo CD'!A$2:A$875,B118,'Base bordo CD'!L$2:L$875,"TROCA DE FAQUINHA"),0)+IFERROR(SUMIFS('Base bordo CD'!M$2:M$875,'Base bordo CD'!D$2:D$875,A118,'Base bordo CD'!A$2:A$875,B118,'Base bordo CD'!L$2:L$875,"LIMPEZA*"),0)</f>
        <v>0</v>
      </c>
      <c r="L118" s="10">
        <f>IFERROR(SUMIFS('Base bordo CD'!M$2:M$875,'Base bordo CD'!D$2:D$875,A118,'Base bordo CD'!A$2:A$875,B118,'Base bordo CD'!L$2:L$875,"PATIO - RESERVA"),0)</f>
        <v>0</v>
      </c>
      <c r="M118" s="10">
        <f>IFERROR(SUMIFS('Base bordo CD'!M$2:M$875,'Base bordo CD'!D$2:D$875,A118,'Base bordo CD'!A$2:A$875,B118,'Base bordo CD'!L$2:L$875,"SEM APONTAMENTO"),0)</f>
        <v>0.11027777777777779</v>
      </c>
      <c r="N118" s="10">
        <f>IFERROR(SUMIFS('Base bordo CD'!M$2:M$875,'Base bordo CD'!D$2:D$875,A118,'Base bordo CD'!A$2:A$875,B118,'Base bordo CD'!L$2:L$875,"FALTA DE CAMINHÃO"),0)+IFERROR(SUMIFS('Base bordo CD'!M$2:M$875,'Base bordo CD'!D$2:D$875,A118,'Base bordo CD'!A$2:A$875,B118,'Base bordo CD'!L$2:L$875,"FALTA DE COMBUSTIVEL"),0)+IFERROR(SUMIFS('Base bordo CD'!M$2:M$875,'Base bordo CD'!D$2:D$875,A118,'Base bordo CD'!A$2:A$875,B118,'Base bordo CD'!L$2:L$875,"FALTA DE MOTORIST*"),0)</f>
        <v>0</v>
      </c>
      <c r="O118" s="10">
        <f t="shared" si="10"/>
        <v>4.1588888888888889</v>
      </c>
      <c r="P118" s="10">
        <f>IFERROR(SUMIFS('Base bordo CD'!M$2:M$875,'Base bordo CD'!D$2:D$875,A118,'Base bordo CD'!A$2:A$875,B118),0)</f>
        <v>24</v>
      </c>
      <c r="Q118" s="10">
        <f>IFERROR(SUMIFS('Base bordo CD'!O$2:O$875,'Base bordo CD'!D$2:D$875,A118,'Base bordo CD'!A$2:A$875,B118,'Base bordo CD'!L$2:L$875,"CORTE DE CANA MECANIZADO"),0)</f>
        <v>43747.89</v>
      </c>
      <c r="R118" s="10">
        <f>IFERROR(SUMIFS('Base bordo CD'!Q$2:Q$875,'Base bordo CD'!D$2:D$875,A118,'Base bordo CD'!A$2:A$875,B118,'Base bordo CD'!L$2:L$875,"CORTE DE CANA MECANIZADO"),0)</f>
        <v>9955</v>
      </c>
      <c r="S118" s="30">
        <f t="shared" si="11"/>
        <v>4.3945645404319436</v>
      </c>
      <c r="T118" s="9">
        <f t="shared" si="12"/>
        <v>0.1152199074074074</v>
      </c>
      <c r="U118" s="9">
        <f t="shared" si="13"/>
        <v>3.8344907407407404E-2</v>
      </c>
      <c r="V118" s="9">
        <f t="shared" si="14"/>
        <v>0.87370370370370376</v>
      </c>
    </row>
    <row r="119" spans="1:22" hidden="1" x14ac:dyDescent="0.35">
      <c r="A119" s="52">
        <v>49590</v>
      </c>
      <c r="B119" s="31">
        <v>46123</v>
      </c>
      <c r="C119" s="7" t="s">
        <v>321</v>
      </c>
      <c r="D119" s="7">
        <v>351</v>
      </c>
      <c r="E119" s="10">
        <f>IFERROR(SUMIFS('Base bordo CD'!M$2:M$875,'Base bordo CD'!D$2:D$875,A119,'Base bordo CD'!A$2:A$875,B119,'Base bordo CD'!L$2:L$875,"CORTE DE CANA MECANIZADO"),0)</f>
        <v>2.7652777777777775</v>
      </c>
      <c r="F119" s="10">
        <f>IFERROR(SUMIFS('Base bordo CD'!M$2:M$875,'Base bordo CD'!D$2:D$875,A119,'Base bordo CD'!A$2:A$875,B119,'Base bordo CD'!L$2:L$875,"MANOBRA"),0)</f>
        <v>0.92027777777777775</v>
      </c>
      <c r="G119" s="10">
        <f>IFERROR(SUMIFS('Base bordo CD'!M$2:M$875,'Base bordo CD'!D$2:D$875,A119,'Base bordo CD'!A$2:A$875,B119,'Base bordo CD'!L$2:L$875,"DESLOCAMENTO"),0)</f>
        <v>0.26583333333333337</v>
      </c>
      <c r="H119" s="10">
        <f>IFERROR(SUMIFS('Base bordo CD'!M$2:M$875,'Base bordo CD'!D$2:D$875,A119,'Base bordo CD'!A$2:A$875,B119,'Base bordo CD'!L$2:L$875,"AGUARDANDO MANOBRA DE TRANSBORDO"),0)+IFERROR(SUMIFS('Base bordo CD'!M$2:M$875,'Base bordo CD'!D$2:D$875,A119,'Base bordo CD'!A$2:A$875,B119,'Base bordo CD'!L$2:L$875,"FALTA DE TRANSBORDO"),0)</f>
        <v>0.11694444444444443</v>
      </c>
      <c r="I119" s="10">
        <f>IFERROR(SUMIFS('Base bordo CD'!M$2:M$875,'Base bordo CD'!D$2:D$875,A119,'Base bordo CD'!A$2:A$875,B119,'Base bordo CD'!L$2:L$875,"PARADA POR CONDICOES CLIMATICAS"),0)+IFERROR(SUMIFS('Base bordo CD'!M$2:M$875,'Base bordo CD'!D$2:D$875,A119,'Base bordo CD'!A$2:A$875,B119,'Base bordo CD'!L$2:L$875,"TEMPO INDETERMINADO"),0)</f>
        <v>15.6625</v>
      </c>
      <c r="J119" s="10">
        <f>IFERROR(SUMIFS('Base bordo CD'!M$2:M$875,'Base bordo CD'!D$2:D$875,A119,'Base bordo CD'!A$2:A$875,B119,'Base bordo CD'!L$2:L$875,"LIMITAÇÃO INDÚSTRIA"),0)</f>
        <v>0</v>
      </c>
      <c r="K119" s="10">
        <f>IFERROR(SUMIFS('Base bordo CD'!M$2:M$875,'Base bordo CD'!D$2:D$875,A119,'Base bordo CD'!A$2:A$875,B119,'Base bordo CD'!L$2:L$875,"MAN CORRETIVA*"),0)+IFERROR(SUMIFS('Base bordo CD'!M$2:M$875,'Base bordo CD'!D$2:D$875,A119,'Base bordo CD'!A$2:A$875,B119,'Base bordo CD'!L$2:L$875,"AGUARDANDO MANUTENCAO*"),0)+IFERROR(SUMIFS('Base bordo CD'!M$2:M$875,'Base bordo CD'!D$2:D$875,A119,'Base bordo CD'!A$2:A$875,B119,'Base bordo CD'!L$2:L$875,"TROCA DE FAQUINHA"),0)+IFERROR(SUMIFS('Base bordo CD'!M$2:M$875,'Base bordo CD'!D$2:D$875,A119,'Base bordo CD'!A$2:A$875,B119,'Base bordo CD'!L$2:L$875,"LIMPEZA*"),0)</f>
        <v>0</v>
      </c>
      <c r="L119" s="10">
        <f>IFERROR(SUMIFS('Base bordo CD'!M$2:M$875,'Base bordo CD'!D$2:D$875,A119,'Base bordo CD'!A$2:A$875,B119,'Base bordo CD'!L$2:L$875,"PATIO - RESERVA"),0)</f>
        <v>0</v>
      </c>
      <c r="M119" s="10">
        <f>IFERROR(SUMIFS('Base bordo CD'!M$2:M$875,'Base bordo CD'!D$2:D$875,A119,'Base bordo CD'!A$2:A$875,B119,'Base bordo CD'!L$2:L$875,"SEM APONTAMENTO"),0)</f>
        <v>0.11027777777777779</v>
      </c>
      <c r="N119" s="10">
        <f>IFERROR(SUMIFS('Base bordo CD'!M$2:M$875,'Base bordo CD'!D$2:D$875,A119,'Base bordo CD'!A$2:A$875,B119,'Base bordo CD'!L$2:L$875,"FALTA DE CAMINHÃO"),0)+IFERROR(SUMIFS('Base bordo CD'!M$2:M$875,'Base bordo CD'!D$2:D$875,A119,'Base bordo CD'!A$2:A$875,B119,'Base bordo CD'!L$2:L$875,"FALTA DE COMBUSTIVEL"),0)+IFERROR(SUMIFS('Base bordo CD'!M$2:M$875,'Base bordo CD'!D$2:D$875,A119,'Base bordo CD'!A$2:A$875,B119,'Base bordo CD'!L$2:L$875,"FALTA DE MOTORIST*"),0)</f>
        <v>0</v>
      </c>
      <c r="O119" s="10">
        <f t="shared" si="10"/>
        <v>4.1588888888888889</v>
      </c>
      <c r="P119" s="10">
        <f>IFERROR(SUMIFS('Base bordo CD'!M$2:M$875,'Base bordo CD'!D$2:D$875,A119,'Base bordo CD'!A$2:A$875,B119),0)</f>
        <v>24</v>
      </c>
      <c r="Q119" s="10">
        <f>IFERROR(SUMIFS('Base bordo CD'!O$2:O$875,'Base bordo CD'!D$2:D$875,A119,'Base bordo CD'!A$2:A$875,B119,'Base bordo CD'!L$2:L$875,"CORTE DE CANA MECANIZADO"),0)</f>
        <v>43747.89</v>
      </c>
      <c r="R119" s="10">
        <f>IFERROR(SUMIFS('Base bordo CD'!Q$2:Q$875,'Base bordo CD'!D$2:D$875,A119,'Base bordo CD'!A$2:A$875,B119,'Base bordo CD'!L$2:L$875,"CORTE DE CANA MECANIZADO"),0)</f>
        <v>9955</v>
      </c>
      <c r="S119" s="30">
        <f t="shared" si="11"/>
        <v>4.3945645404319436</v>
      </c>
      <c r="T119" s="9">
        <f t="shared" si="12"/>
        <v>0.1152199074074074</v>
      </c>
      <c r="U119" s="9">
        <f t="shared" si="13"/>
        <v>3.8344907407407404E-2</v>
      </c>
      <c r="V119" s="9">
        <f t="shared" si="14"/>
        <v>0.87370370370370376</v>
      </c>
    </row>
    <row r="120" spans="1:22" hidden="1" x14ac:dyDescent="0.35">
      <c r="A120" s="52">
        <v>49590</v>
      </c>
      <c r="B120" s="31">
        <v>46123</v>
      </c>
      <c r="C120" s="7" t="s">
        <v>321</v>
      </c>
      <c r="D120" s="7">
        <v>351</v>
      </c>
      <c r="E120" s="10">
        <f>IFERROR(SUMIFS('Base bordo CD'!M$2:M$875,'Base bordo CD'!D$2:D$875,A120,'Base bordo CD'!A$2:A$875,B120,'Base bordo CD'!L$2:L$875,"CORTE DE CANA MECANIZADO"),0)</f>
        <v>2.7652777777777775</v>
      </c>
      <c r="F120" s="10">
        <f>IFERROR(SUMIFS('Base bordo CD'!M$2:M$875,'Base bordo CD'!D$2:D$875,A120,'Base bordo CD'!A$2:A$875,B120,'Base bordo CD'!L$2:L$875,"MANOBRA"),0)</f>
        <v>0.92027777777777775</v>
      </c>
      <c r="G120" s="10">
        <f>IFERROR(SUMIFS('Base bordo CD'!M$2:M$875,'Base bordo CD'!D$2:D$875,A120,'Base bordo CD'!A$2:A$875,B120,'Base bordo CD'!L$2:L$875,"DESLOCAMENTO"),0)</f>
        <v>0.26583333333333337</v>
      </c>
      <c r="H120" s="10">
        <f>IFERROR(SUMIFS('Base bordo CD'!M$2:M$875,'Base bordo CD'!D$2:D$875,A120,'Base bordo CD'!A$2:A$875,B120,'Base bordo CD'!L$2:L$875,"AGUARDANDO MANOBRA DE TRANSBORDO"),0)+IFERROR(SUMIFS('Base bordo CD'!M$2:M$875,'Base bordo CD'!D$2:D$875,A120,'Base bordo CD'!A$2:A$875,B120,'Base bordo CD'!L$2:L$875,"FALTA DE TRANSBORDO"),0)</f>
        <v>0.11694444444444443</v>
      </c>
      <c r="I120" s="10">
        <f>IFERROR(SUMIFS('Base bordo CD'!M$2:M$875,'Base bordo CD'!D$2:D$875,A120,'Base bordo CD'!A$2:A$875,B120,'Base bordo CD'!L$2:L$875,"PARADA POR CONDICOES CLIMATICAS"),0)+IFERROR(SUMIFS('Base bordo CD'!M$2:M$875,'Base bordo CD'!D$2:D$875,A120,'Base bordo CD'!A$2:A$875,B120,'Base bordo CD'!L$2:L$875,"TEMPO INDETERMINADO"),0)</f>
        <v>15.6625</v>
      </c>
      <c r="J120" s="10">
        <f>IFERROR(SUMIFS('Base bordo CD'!M$2:M$875,'Base bordo CD'!D$2:D$875,A120,'Base bordo CD'!A$2:A$875,B120,'Base bordo CD'!L$2:L$875,"LIMITAÇÃO INDÚSTRIA"),0)</f>
        <v>0</v>
      </c>
      <c r="K120" s="10">
        <f>IFERROR(SUMIFS('Base bordo CD'!M$2:M$875,'Base bordo CD'!D$2:D$875,A120,'Base bordo CD'!A$2:A$875,B120,'Base bordo CD'!L$2:L$875,"MAN CORRETIVA*"),0)+IFERROR(SUMIFS('Base bordo CD'!M$2:M$875,'Base bordo CD'!D$2:D$875,A120,'Base bordo CD'!A$2:A$875,B120,'Base bordo CD'!L$2:L$875,"AGUARDANDO MANUTENCAO*"),0)+IFERROR(SUMIFS('Base bordo CD'!M$2:M$875,'Base bordo CD'!D$2:D$875,A120,'Base bordo CD'!A$2:A$875,B120,'Base bordo CD'!L$2:L$875,"TROCA DE FAQUINHA"),0)+IFERROR(SUMIFS('Base bordo CD'!M$2:M$875,'Base bordo CD'!D$2:D$875,A120,'Base bordo CD'!A$2:A$875,B120,'Base bordo CD'!L$2:L$875,"LIMPEZA*"),0)</f>
        <v>0</v>
      </c>
      <c r="L120" s="10">
        <f>IFERROR(SUMIFS('Base bordo CD'!M$2:M$875,'Base bordo CD'!D$2:D$875,A120,'Base bordo CD'!A$2:A$875,B120,'Base bordo CD'!L$2:L$875,"PATIO - RESERVA"),0)</f>
        <v>0</v>
      </c>
      <c r="M120" s="10">
        <f>IFERROR(SUMIFS('Base bordo CD'!M$2:M$875,'Base bordo CD'!D$2:D$875,A120,'Base bordo CD'!A$2:A$875,B120,'Base bordo CD'!L$2:L$875,"SEM APONTAMENTO"),0)</f>
        <v>0.11027777777777779</v>
      </c>
      <c r="N120" s="10">
        <f>IFERROR(SUMIFS('Base bordo CD'!M$2:M$875,'Base bordo CD'!D$2:D$875,A120,'Base bordo CD'!A$2:A$875,B120,'Base bordo CD'!L$2:L$875,"FALTA DE CAMINHÃO"),0)+IFERROR(SUMIFS('Base bordo CD'!M$2:M$875,'Base bordo CD'!D$2:D$875,A120,'Base bordo CD'!A$2:A$875,B120,'Base bordo CD'!L$2:L$875,"FALTA DE COMBUSTIVEL"),0)+IFERROR(SUMIFS('Base bordo CD'!M$2:M$875,'Base bordo CD'!D$2:D$875,A120,'Base bordo CD'!A$2:A$875,B120,'Base bordo CD'!L$2:L$875,"FALTA DE MOTORIST*"),0)</f>
        <v>0</v>
      </c>
      <c r="O120" s="10">
        <f t="shared" si="10"/>
        <v>4.1588888888888889</v>
      </c>
      <c r="P120" s="10">
        <f>IFERROR(SUMIFS('Base bordo CD'!M$2:M$875,'Base bordo CD'!D$2:D$875,A120,'Base bordo CD'!A$2:A$875,B120),0)</f>
        <v>24</v>
      </c>
      <c r="Q120" s="10">
        <f>IFERROR(SUMIFS('Base bordo CD'!O$2:O$875,'Base bordo CD'!D$2:D$875,A120,'Base bordo CD'!A$2:A$875,B120,'Base bordo CD'!L$2:L$875,"CORTE DE CANA MECANIZADO"),0)</f>
        <v>43747.89</v>
      </c>
      <c r="R120" s="10">
        <f>IFERROR(SUMIFS('Base bordo CD'!Q$2:Q$875,'Base bordo CD'!D$2:D$875,A120,'Base bordo CD'!A$2:A$875,B120,'Base bordo CD'!L$2:L$875,"CORTE DE CANA MECANIZADO"),0)</f>
        <v>9955</v>
      </c>
      <c r="S120" s="30">
        <f t="shared" si="11"/>
        <v>4.3945645404319436</v>
      </c>
      <c r="T120" s="9">
        <f t="shared" si="12"/>
        <v>0.1152199074074074</v>
      </c>
      <c r="U120" s="9">
        <f t="shared" si="13"/>
        <v>3.8344907407407404E-2</v>
      </c>
      <c r="V120" s="9">
        <f t="shared" si="14"/>
        <v>0.87370370370370376</v>
      </c>
    </row>
    <row r="121" spans="1:22" hidden="1" x14ac:dyDescent="0.35">
      <c r="A121" s="52">
        <v>49590</v>
      </c>
      <c r="B121" s="31">
        <v>46123</v>
      </c>
      <c r="C121" s="7" t="s">
        <v>321</v>
      </c>
      <c r="D121" s="7">
        <v>351</v>
      </c>
      <c r="E121" s="10">
        <f>IFERROR(SUMIFS('Base bordo CD'!M$2:M$875,'Base bordo CD'!D$2:D$875,A121,'Base bordo CD'!A$2:A$875,B121,'Base bordo CD'!L$2:L$875,"CORTE DE CANA MECANIZADO"),0)</f>
        <v>2.7652777777777775</v>
      </c>
      <c r="F121" s="10">
        <f>IFERROR(SUMIFS('Base bordo CD'!M$2:M$875,'Base bordo CD'!D$2:D$875,A121,'Base bordo CD'!A$2:A$875,B121,'Base bordo CD'!L$2:L$875,"MANOBRA"),0)</f>
        <v>0.92027777777777775</v>
      </c>
      <c r="G121" s="10">
        <f>IFERROR(SUMIFS('Base bordo CD'!M$2:M$875,'Base bordo CD'!D$2:D$875,A121,'Base bordo CD'!A$2:A$875,B121,'Base bordo CD'!L$2:L$875,"DESLOCAMENTO"),0)</f>
        <v>0.26583333333333337</v>
      </c>
      <c r="H121" s="10">
        <f>IFERROR(SUMIFS('Base bordo CD'!M$2:M$875,'Base bordo CD'!D$2:D$875,A121,'Base bordo CD'!A$2:A$875,B121,'Base bordo CD'!L$2:L$875,"AGUARDANDO MANOBRA DE TRANSBORDO"),0)+IFERROR(SUMIFS('Base bordo CD'!M$2:M$875,'Base bordo CD'!D$2:D$875,A121,'Base bordo CD'!A$2:A$875,B121,'Base bordo CD'!L$2:L$875,"FALTA DE TRANSBORDO"),0)</f>
        <v>0.11694444444444443</v>
      </c>
      <c r="I121" s="10">
        <f>IFERROR(SUMIFS('Base bordo CD'!M$2:M$875,'Base bordo CD'!D$2:D$875,A121,'Base bordo CD'!A$2:A$875,B121,'Base bordo CD'!L$2:L$875,"PARADA POR CONDICOES CLIMATICAS"),0)+IFERROR(SUMIFS('Base bordo CD'!M$2:M$875,'Base bordo CD'!D$2:D$875,A121,'Base bordo CD'!A$2:A$875,B121,'Base bordo CD'!L$2:L$875,"TEMPO INDETERMINADO"),0)</f>
        <v>15.6625</v>
      </c>
      <c r="J121" s="10">
        <f>IFERROR(SUMIFS('Base bordo CD'!M$2:M$875,'Base bordo CD'!D$2:D$875,A121,'Base bordo CD'!A$2:A$875,B121,'Base bordo CD'!L$2:L$875,"LIMITAÇÃO INDÚSTRIA"),0)</f>
        <v>0</v>
      </c>
      <c r="K121" s="10">
        <f>IFERROR(SUMIFS('Base bordo CD'!M$2:M$875,'Base bordo CD'!D$2:D$875,A121,'Base bordo CD'!A$2:A$875,B121,'Base bordo CD'!L$2:L$875,"MAN CORRETIVA*"),0)+IFERROR(SUMIFS('Base bordo CD'!M$2:M$875,'Base bordo CD'!D$2:D$875,A121,'Base bordo CD'!A$2:A$875,B121,'Base bordo CD'!L$2:L$875,"AGUARDANDO MANUTENCAO*"),0)+IFERROR(SUMIFS('Base bordo CD'!M$2:M$875,'Base bordo CD'!D$2:D$875,A121,'Base bordo CD'!A$2:A$875,B121,'Base bordo CD'!L$2:L$875,"TROCA DE FAQUINHA"),0)+IFERROR(SUMIFS('Base bordo CD'!M$2:M$875,'Base bordo CD'!D$2:D$875,A121,'Base bordo CD'!A$2:A$875,B121,'Base bordo CD'!L$2:L$875,"LIMPEZA*"),0)</f>
        <v>0</v>
      </c>
      <c r="L121" s="10">
        <f>IFERROR(SUMIFS('Base bordo CD'!M$2:M$875,'Base bordo CD'!D$2:D$875,A121,'Base bordo CD'!A$2:A$875,B121,'Base bordo CD'!L$2:L$875,"PATIO - RESERVA"),0)</f>
        <v>0</v>
      </c>
      <c r="M121" s="10">
        <f>IFERROR(SUMIFS('Base bordo CD'!M$2:M$875,'Base bordo CD'!D$2:D$875,A121,'Base bordo CD'!A$2:A$875,B121,'Base bordo CD'!L$2:L$875,"SEM APONTAMENTO"),0)</f>
        <v>0.11027777777777779</v>
      </c>
      <c r="N121" s="10">
        <f>IFERROR(SUMIFS('Base bordo CD'!M$2:M$875,'Base bordo CD'!D$2:D$875,A121,'Base bordo CD'!A$2:A$875,B121,'Base bordo CD'!L$2:L$875,"FALTA DE CAMINHÃO"),0)+IFERROR(SUMIFS('Base bordo CD'!M$2:M$875,'Base bordo CD'!D$2:D$875,A121,'Base bordo CD'!A$2:A$875,B121,'Base bordo CD'!L$2:L$875,"FALTA DE COMBUSTIVEL"),0)+IFERROR(SUMIFS('Base bordo CD'!M$2:M$875,'Base bordo CD'!D$2:D$875,A121,'Base bordo CD'!A$2:A$875,B121,'Base bordo CD'!L$2:L$875,"FALTA DE MOTORIST*"),0)</f>
        <v>0</v>
      </c>
      <c r="O121" s="10">
        <f t="shared" si="10"/>
        <v>4.1588888888888889</v>
      </c>
      <c r="P121" s="10">
        <f>IFERROR(SUMIFS('Base bordo CD'!M$2:M$875,'Base bordo CD'!D$2:D$875,A121,'Base bordo CD'!A$2:A$875,B121),0)</f>
        <v>24</v>
      </c>
      <c r="Q121" s="10">
        <f>IFERROR(SUMIFS('Base bordo CD'!O$2:O$875,'Base bordo CD'!D$2:D$875,A121,'Base bordo CD'!A$2:A$875,B121,'Base bordo CD'!L$2:L$875,"CORTE DE CANA MECANIZADO"),0)</f>
        <v>43747.89</v>
      </c>
      <c r="R121" s="10">
        <f>IFERROR(SUMIFS('Base bordo CD'!Q$2:Q$875,'Base bordo CD'!D$2:D$875,A121,'Base bordo CD'!A$2:A$875,B121,'Base bordo CD'!L$2:L$875,"CORTE DE CANA MECANIZADO"),0)</f>
        <v>9955</v>
      </c>
      <c r="S121" s="30">
        <f t="shared" si="11"/>
        <v>4.3945645404319436</v>
      </c>
      <c r="T121" s="9">
        <f t="shared" si="12"/>
        <v>0.1152199074074074</v>
      </c>
      <c r="U121" s="9">
        <f t="shared" si="13"/>
        <v>3.8344907407407404E-2</v>
      </c>
      <c r="V121" s="9">
        <f t="shared" si="14"/>
        <v>0.87370370370370376</v>
      </c>
    </row>
    <row r="122" spans="1:22" hidden="1" x14ac:dyDescent="0.35">
      <c r="A122" s="52">
        <v>49590</v>
      </c>
      <c r="B122" s="31">
        <v>46123</v>
      </c>
      <c r="C122" s="7" t="s">
        <v>321</v>
      </c>
      <c r="D122" s="7">
        <v>351</v>
      </c>
      <c r="E122" s="10">
        <f>IFERROR(SUMIFS('Base bordo CD'!M$2:M$875,'Base bordo CD'!D$2:D$875,A122,'Base bordo CD'!A$2:A$875,B122,'Base bordo CD'!L$2:L$875,"CORTE DE CANA MECANIZADO"),0)</f>
        <v>2.7652777777777775</v>
      </c>
      <c r="F122" s="10">
        <f>IFERROR(SUMIFS('Base bordo CD'!M$2:M$875,'Base bordo CD'!D$2:D$875,A122,'Base bordo CD'!A$2:A$875,B122,'Base bordo CD'!L$2:L$875,"MANOBRA"),0)</f>
        <v>0.92027777777777775</v>
      </c>
      <c r="G122" s="10">
        <f>IFERROR(SUMIFS('Base bordo CD'!M$2:M$875,'Base bordo CD'!D$2:D$875,A122,'Base bordo CD'!A$2:A$875,B122,'Base bordo CD'!L$2:L$875,"DESLOCAMENTO"),0)</f>
        <v>0.26583333333333337</v>
      </c>
      <c r="H122" s="10">
        <f>IFERROR(SUMIFS('Base bordo CD'!M$2:M$875,'Base bordo CD'!D$2:D$875,A122,'Base bordo CD'!A$2:A$875,B122,'Base bordo CD'!L$2:L$875,"AGUARDANDO MANOBRA DE TRANSBORDO"),0)+IFERROR(SUMIFS('Base bordo CD'!M$2:M$875,'Base bordo CD'!D$2:D$875,A122,'Base bordo CD'!A$2:A$875,B122,'Base bordo CD'!L$2:L$875,"FALTA DE TRANSBORDO"),0)</f>
        <v>0.11694444444444443</v>
      </c>
      <c r="I122" s="10">
        <f>IFERROR(SUMIFS('Base bordo CD'!M$2:M$875,'Base bordo CD'!D$2:D$875,A122,'Base bordo CD'!A$2:A$875,B122,'Base bordo CD'!L$2:L$875,"PARADA POR CONDICOES CLIMATICAS"),0)+IFERROR(SUMIFS('Base bordo CD'!M$2:M$875,'Base bordo CD'!D$2:D$875,A122,'Base bordo CD'!A$2:A$875,B122,'Base bordo CD'!L$2:L$875,"TEMPO INDETERMINADO"),0)</f>
        <v>15.6625</v>
      </c>
      <c r="J122" s="10">
        <f>IFERROR(SUMIFS('Base bordo CD'!M$2:M$875,'Base bordo CD'!D$2:D$875,A122,'Base bordo CD'!A$2:A$875,B122,'Base bordo CD'!L$2:L$875,"LIMITAÇÃO INDÚSTRIA"),0)</f>
        <v>0</v>
      </c>
      <c r="K122" s="10">
        <f>IFERROR(SUMIFS('Base bordo CD'!M$2:M$875,'Base bordo CD'!D$2:D$875,A122,'Base bordo CD'!A$2:A$875,B122,'Base bordo CD'!L$2:L$875,"MAN CORRETIVA*"),0)+IFERROR(SUMIFS('Base bordo CD'!M$2:M$875,'Base bordo CD'!D$2:D$875,A122,'Base bordo CD'!A$2:A$875,B122,'Base bordo CD'!L$2:L$875,"AGUARDANDO MANUTENCAO*"),0)+IFERROR(SUMIFS('Base bordo CD'!M$2:M$875,'Base bordo CD'!D$2:D$875,A122,'Base bordo CD'!A$2:A$875,B122,'Base bordo CD'!L$2:L$875,"TROCA DE FAQUINHA"),0)+IFERROR(SUMIFS('Base bordo CD'!M$2:M$875,'Base bordo CD'!D$2:D$875,A122,'Base bordo CD'!A$2:A$875,B122,'Base bordo CD'!L$2:L$875,"LIMPEZA*"),0)</f>
        <v>0</v>
      </c>
      <c r="L122" s="10">
        <f>IFERROR(SUMIFS('Base bordo CD'!M$2:M$875,'Base bordo CD'!D$2:D$875,A122,'Base bordo CD'!A$2:A$875,B122,'Base bordo CD'!L$2:L$875,"PATIO - RESERVA"),0)</f>
        <v>0</v>
      </c>
      <c r="M122" s="10">
        <f>IFERROR(SUMIFS('Base bordo CD'!M$2:M$875,'Base bordo CD'!D$2:D$875,A122,'Base bordo CD'!A$2:A$875,B122,'Base bordo CD'!L$2:L$875,"SEM APONTAMENTO"),0)</f>
        <v>0.11027777777777779</v>
      </c>
      <c r="N122" s="10">
        <f>IFERROR(SUMIFS('Base bordo CD'!M$2:M$875,'Base bordo CD'!D$2:D$875,A122,'Base bordo CD'!A$2:A$875,B122,'Base bordo CD'!L$2:L$875,"FALTA DE CAMINHÃO"),0)+IFERROR(SUMIFS('Base bordo CD'!M$2:M$875,'Base bordo CD'!D$2:D$875,A122,'Base bordo CD'!A$2:A$875,B122,'Base bordo CD'!L$2:L$875,"FALTA DE COMBUSTIVEL"),0)+IFERROR(SUMIFS('Base bordo CD'!M$2:M$875,'Base bordo CD'!D$2:D$875,A122,'Base bordo CD'!A$2:A$875,B122,'Base bordo CD'!L$2:L$875,"FALTA DE MOTORIST*"),0)</f>
        <v>0</v>
      </c>
      <c r="O122" s="10">
        <f t="shared" si="10"/>
        <v>4.1588888888888889</v>
      </c>
      <c r="P122" s="10">
        <f>IFERROR(SUMIFS('Base bordo CD'!M$2:M$875,'Base bordo CD'!D$2:D$875,A122,'Base bordo CD'!A$2:A$875,B122),0)</f>
        <v>24</v>
      </c>
      <c r="Q122" s="10">
        <f>IFERROR(SUMIFS('Base bordo CD'!O$2:O$875,'Base bordo CD'!D$2:D$875,A122,'Base bordo CD'!A$2:A$875,B122,'Base bordo CD'!L$2:L$875,"CORTE DE CANA MECANIZADO"),0)</f>
        <v>43747.89</v>
      </c>
      <c r="R122" s="10">
        <f>IFERROR(SUMIFS('Base bordo CD'!Q$2:Q$875,'Base bordo CD'!D$2:D$875,A122,'Base bordo CD'!A$2:A$875,B122,'Base bordo CD'!L$2:L$875,"CORTE DE CANA MECANIZADO"),0)</f>
        <v>9955</v>
      </c>
      <c r="S122" s="30">
        <f t="shared" si="11"/>
        <v>4.3945645404319436</v>
      </c>
      <c r="T122" s="9">
        <f t="shared" si="12"/>
        <v>0.1152199074074074</v>
      </c>
      <c r="U122" s="9">
        <f t="shared" si="13"/>
        <v>3.8344907407407404E-2</v>
      </c>
      <c r="V122" s="9">
        <f t="shared" si="14"/>
        <v>0.87370370370370376</v>
      </c>
    </row>
    <row r="123" spans="1:22" hidden="1" x14ac:dyDescent="0.35">
      <c r="A123" s="52">
        <v>49590</v>
      </c>
      <c r="B123" s="31">
        <v>46123</v>
      </c>
      <c r="C123" s="7" t="s">
        <v>321</v>
      </c>
      <c r="D123" s="7">
        <v>351</v>
      </c>
      <c r="E123" s="10">
        <f>IFERROR(SUMIFS('Base bordo CD'!M$2:M$875,'Base bordo CD'!D$2:D$875,A123,'Base bordo CD'!A$2:A$875,B123,'Base bordo CD'!L$2:L$875,"CORTE DE CANA MECANIZADO"),0)</f>
        <v>2.7652777777777775</v>
      </c>
      <c r="F123" s="10">
        <f>IFERROR(SUMIFS('Base bordo CD'!M$2:M$875,'Base bordo CD'!D$2:D$875,A123,'Base bordo CD'!A$2:A$875,B123,'Base bordo CD'!L$2:L$875,"MANOBRA"),0)</f>
        <v>0.92027777777777775</v>
      </c>
      <c r="G123" s="10">
        <f>IFERROR(SUMIFS('Base bordo CD'!M$2:M$875,'Base bordo CD'!D$2:D$875,A123,'Base bordo CD'!A$2:A$875,B123,'Base bordo CD'!L$2:L$875,"DESLOCAMENTO"),0)</f>
        <v>0.26583333333333337</v>
      </c>
      <c r="H123" s="10">
        <f>IFERROR(SUMIFS('Base bordo CD'!M$2:M$875,'Base bordo CD'!D$2:D$875,A123,'Base bordo CD'!A$2:A$875,B123,'Base bordo CD'!L$2:L$875,"AGUARDANDO MANOBRA DE TRANSBORDO"),0)+IFERROR(SUMIFS('Base bordo CD'!M$2:M$875,'Base bordo CD'!D$2:D$875,A123,'Base bordo CD'!A$2:A$875,B123,'Base bordo CD'!L$2:L$875,"FALTA DE TRANSBORDO"),0)</f>
        <v>0.11694444444444443</v>
      </c>
      <c r="I123" s="10">
        <f>IFERROR(SUMIFS('Base bordo CD'!M$2:M$875,'Base bordo CD'!D$2:D$875,A123,'Base bordo CD'!A$2:A$875,B123,'Base bordo CD'!L$2:L$875,"PARADA POR CONDICOES CLIMATICAS"),0)+IFERROR(SUMIFS('Base bordo CD'!M$2:M$875,'Base bordo CD'!D$2:D$875,A123,'Base bordo CD'!A$2:A$875,B123,'Base bordo CD'!L$2:L$875,"TEMPO INDETERMINADO"),0)</f>
        <v>15.6625</v>
      </c>
      <c r="J123" s="10">
        <f>IFERROR(SUMIFS('Base bordo CD'!M$2:M$875,'Base bordo CD'!D$2:D$875,A123,'Base bordo CD'!A$2:A$875,B123,'Base bordo CD'!L$2:L$875,"LIMITAÇÃO INDÚSTRIA"),0)</f>
        <v>0</v>
      </c>
      <c r="K123" s="10">
        <f>IFERROR(SUMIFS('Base bordo CD'!M$2:M$875,'Base bordo CD'!D$2:D$875,A123,'Base bordo CD'!A$2:A$875,B123,'Base bordo CD'!L$2:L$875,"MAN CORRETIVA*"),0)+IFERROR(SUMIFS('Base bordo CD'!M$2:M$875,'Base bordo CD'!D$2:D$875,A123,'Base bordo CD'!A$2:A$875,B123,'Base bordo CD'!L$2:L$875,"AGUARDANDO MANUTENCAO*"),0)+IFERROR(SUMIFS('Base bordo CD'!M$2:M$875,'Base bordo CD'!D$2:D$875,A123,'Base bordo CD'!A$2:A$875,B123,'Base bordo CD'!L$2:L$875,"TROCA DE FAQUINHA"),0)+IFERROR(SUMIFS('Base bordo CD'!M$2:M$875,'Base bordo CD'!D$2:D$875,A123,'Base bordo CD'!A$2:A$875,B123,'Base bordo CD'!L$2:L$875,"LIMPEZA*"),0)</f>
        <v>0</v>
      </c>
      <c r="L123" s="10">
        <f>IFERROR(SUMIFS('Base bordo CD'!M$2:M$875,'Base bordo CD'!D$2:D$875,A123,'Base bordo CD'!A$2:A$875,B123,'Base bordo CD'!L$2:L$875,"PATIO - RESERVA"),0)</f>
        <v>0</v>
      </c>
      <c r="M123" s="10">
        <f>IFERROR(SUMIFS('Base bordo CD'!M$2:M$875,'Base bordo CD'!D$2:D$875,A123,'Base bordo CD'!A$2:A$875,B123,'Base bordo CD'!L$2:L$875,"SEM APONTAMENTO"),0)</f>
        <v>0.11027777777777779</v>
      </c>
      <c r="N123" s="10">
        <f>IFERROR(SUMIFS('Base bordo CD'!M$2:M$875,'Base bordo CD'!D$2:D$875,A123,'Base bordo CD'!A$2:A$875,B123,'Base bordo CD'!L$2:L$875,"FALTA DE CAMINHÃO"),0)+IFERROR(SUMIFS('Base bordo CD'!M$2:M$875,'Base bordo CD'!D$2:D$875,A123,'Base bordo CD'!A$2:A$875,B123,'Base bordo CD'!L$2:L$875,"FALTA DE COMBUSTIVEL"),0)+IFERROR(SUMIFS('Base bordo CD'!M$2:M$875,'Base bordo CD'!D$2:D$875,A123,'Base bordo CD'!A$2:A$875,B123,'Base bordo CD'!L$2:L$875,"FALTA DE MOTORIST*"),0)</f>
        <v>0</v>
      </c>
      <c r="O123" s="10">
        <f t="shared" si="10"/>
        <v>4.1588888888888889</v>
      </c>
      <c r="P123" s="10">
        <f>IFERROR(SUMIFS('Base bordo CD'!M$2:M$875,'Base bordo CD'!D$2:D$875,A123,'Base bordo CD'!A$2:A$875,B123),0)</f>
        <v>24</v>
      </c>
      <c r="Q123" s="10">
        <f>IFERROR(SUMIFS('Base bordo CD'!O$2:O$875,'Base bordo CD'!D$2:D$875,A123,'Base bordo CD'!A$2:A$875,B123,'Base bordo CD'!L$2:L$875,"CORTE DE CANA MECANIZADO"),0)</f>
        <v>43747.89</v>
      </c>
      <c r="R123" s="10">
        <f>IFERROR(SUMIFS('Base bordo CD'!Q$2:Q$875,'Base bordo CD'!D$2:D$875,A123,'Base bordo CD'!A$2:A$875,B123,'Base bordo CD'!L$2:L$875,"CORTE DE CANA MECANIZADO"),0)</f>
        <v>9955</v>
      </c>
      <c r="S123" s="30">
        <f t="shared" si="11"/>
        <v>4.3945645404319436</v>
      </c>
      <c r="T123" s="9">
        <f t="shared" si="12"/>
        <v>0.1152199074074074</v>
      </c>
      <c r="U123" s="9">
        <f t="shared" si="13"/>
        <v>3.8344907407407404E-2</v>
      </c>
      <c r="V123" s="9">
        <f t="shared" si="14"/>
        <v>0.87370370370370376</v>
      </c>
    </row>
    <row r="124" spans="1:22" hidden="1" x14ac:dyDescent="0.35">
      <c r="A124" s="52">
        <v>49590</v>
      </c>
      <c r="B124" s="31">
        <v>46123</v>
      </c>
      <c r="C124" s="7" t="s">
        <v>321</v>
      </c>
      <c r="D124" s="7">
        <v>351</v>
      </c>
      <c r="E124" s="10">
        <f>IFERROR(SUMIFS('Base bordo CD'!M$2:M$875,'Base bordo CD'!D$2:D$875,A124,'Base bordo CD'!A$2:A$875,B124,'Base bordo CD'!L$2:L$875,"CORTE DE CANA MECANIZADO"),0)</f>
        <v>2.7652777777777775</v>
      </c>
      <c r="F124" s="10">
        <f>IFERROR(SUMIFS('Base bordo CD'!M$2:M$875,'Base bordo CD'!D$2:D$875,A124,'Base bordo CD'!A$2:A$875,B124,'Base bordo CD'!L$2:L$875,"MANOBRA"),0)</f>
        <v>0.92027777777777775</v>
      </c>
      <c r="G124" s="10">
        <f>IFERROR(SUMIFS('Base bordo CD'!M$2:M$875,'Base bordo CD'!D$2:D$875,A124,'Base bordo CD'!A$2:A$875,B124,'Base bordo CD'!L$2:L$875,"DESLOCAMENTO"),0)</f>
        <v>0.26583333333333337</v>
      </c>
      <c r="H124" s="10">
        <f>IFERROR(SUMIFS('Base bordo CD'!M$2:M$875,'Base bordo CD'!D$2:D$875,A124,'Base bordo CD'!A$2:A$875,B124,'Base bordo CD'!L$2:L$875,"AGUARDANDO MANOBRA DE TRANSBORDO"),0)+IFERROR(SUMIFS('Base bordo CD'!M$2:M$875,'Base bordo CD'!D$2:D$875,A124,'Base bordo CD'!A$2:A$875,B124,'Base bordo CD'!L$2:L$875,"FALTA DE TRANSBORDO"),0)</f>
        <v>0.11694444444444443</v>
      </c>
      <c r="I124" s="10">
        <f>IFERROR(SUMIFS('Base bordo CD'!M$2:M$875,'Base bordo CD'!D$2:D$875,A124,'Base bordo CD'!A$2:A$875,B124,'Base bordo CD'!L$2:L$875,"PARADA POR CONDICOES CLIMATICAS"),0)+IFERROR(SUMIFS('Base bordo CD'!M$2:M$875,'Base bordo CD'!D$2:D$875,A124,'Base bordo CD'!A$2:A$875,B124,'Base bordo CD'!L$2:L$875,"TEMPO INDETERMINADO"),0)</f>
        <v>15.6625</v>
      </c>
      <c r="J124" s="10">
        <f>IFERROR(SUMIFS('Base bordo CD'!M$2:M$875,'Base bordo CD'!D$2:D$875,A124,'Base bordo CD'!A$2:A$875,B124,'Base bordo CD'!L$2:L$875,"LIMITAÇÃO INDÚSTRIA"),0)</f>
        <v>0</v>
      </c>
      <c r="K124" s="10">
        <f>IFERROR(SUMIFS('Base bordo CD'!M$2:M$875,'Base bordo CD'!D$2:D$875,A124,'Base bordo CD'!A$2:A$875,B124,'Base bordo CD'!L$2:L$875,"MAN CORRETIVA*"),0)+IFERROR(SUMIFS('Base bordo CD'!M$2:M$875,'Base bordo CD'!D$2:D$875,A124,'Base bordo CD'!A$2:A$875,B124,'Base bordo CD'!L$2:L$875,"AGUARDANDO MANUTENCAO*"),0)+IFERROR(SUMIFS('Base bordo CD'!M$2:M$875,'Base bordo CD'!D$2:D$875,A124,'Base bordo CD'!A$2:A$875,B124,'Base bordo CD'!L$2:L$875,"TROCA DE FAQUINHA"),0)+IFERROR(SUMIFS('Base bordo CD'!M$2:M$875,'Base bordo CD'!D$2:D$875,A124,'Base bordo CD'!A$2:A$875,B124,'Base bordo CD'!L$2:L$875,"LIMPEZA*"),0)</f>
        <v>0</v>
      </c>
      <c r="L124" s="10">
        <f>IFERROR(SUMIFS('Base bordo CD'!M$2:M$875,'Base bordo CD'!D$2:D$875,A124,'Base bordo CD'!A$2:A$875,B124,'Base bordo CD'!L$2:L$875,"PATIO - RESERVA"),0)</f>
        <v>0</v>
      </c>
      <c r="M124" s="10">
        <f>IFERROR(SUMIFS('Base bordo CD'!M$2:M$875,'Base bordo CD'!D$2:D$875,A124,'Base bordo CD'!A$2:A$875,B124,'Base bordo CD'!L$2:L$875,"SEM APONTAMENTO"),0)</f>
        <v>0.11027777777777779</v>
      </c>
      <c r="N124" s="10">
        <f>IFERROR(SUMIFS('Base bordo CD'!M$2:M$875,'Base bordo CD'!D$2:D$875,A124,'Base bordo CD'!A$2:A$875,B124,'Base bordo CD'!L$2:L$875,"FALTA DE CAMINHÃO"),0)+IFERROR(SUMIFS('Base bordo CD'!M$2:M$875,'Base bordo CD'!D$2:D$875,A124,'Base bordo CD'!A$2:A$875,B124,'Base bordo CD'!L$2:L$875,"FALTA DE COMBUSTIVEL"),0)+IFERROR(SUMIFS('Base bordo CD'!M$2:M$875,'Base bordo CD'!D$2:D$875,A124,'Base bordo CD'!A$2:A$875,B124,'Base bordo CD'!L$2:L$875,"FALTA DE MOTORIST*"),0)</f>
        <v>0</v>
      </c>
      <c r="O124" s="10">
        <f t="shared" si="10"/>
        <v>4.1588888888888889</v>
      </c>
      <c r="P124" s="10">
        <f>IFERROR(SUMIFS('Base bordo CD'!M$2:M$875,'Base bordo CD'!D$2:D$875,A124,'Base bordo CD'!A$2:A$875,B124),0)</f>
        <v>24</v>
      </c>
      <c r="Q124" s="10">
        <f>IFERROR(SUMIFS('Base bordo CD'!O$2:O$875,'Base bordo CD'!D$2:D$875,A124,'Base bordo CD'!A$2:A$875,B124,'Base bordo CD'!L$2:L$875,"CORTE DE CANA MECANIZADO"),0)</f>
        <v>43747.89</v>
      </c>
      <c r="R124" s="10">
        <f>IFERROR(SUMIFS('Base bordo CD'!Q$2:Q$875,'Base bordo CD'!D$2:D$875,A124,'Base bordo CD'!A$2:A$875,B124,'Base bordo CD'!L$2:L$875,"CORTE DE CANA MECANIZADO"),0)</f>
        <v>9955</v>
      </c>
      <c r="S124" s="30">
        <f t="shared" si="11"/>
        <v>4.3945645404319436</v>
      </c>
      <c r="T124" s="9">
        <f t="shared" si="12"/>
        <v>0.1152199074074074</v>
      </c>
      <c r="U124" s="9">
        <f t="shared" si="13"/>
        <v>3.8344907407407404E-2</v>
      </c>
      <c r="V124" s="9">
        <f t="shared" si="14"/>
        <v>0.87370370370370376</v>
      </c>
    </row>
    <row r="125" spans="1:22" hidden="1" x14ac:dyDescent="0.35">
      <c r="A125" s="52">
        <v>49590</v>
      </c>
      <c r="B125" s="31">
        <v>46123</v>
      </c>
      <c r="C125" s="7" t="s">
        <v>321</v>
      </c>
      <c r="D125" s="7">
        <v>351</v>
      </c>
      <c r="E125" s="10">
        <f>IFERROR(SUMIFS('Base bordo CD'!M$2:M$875,'Base bordo CD'!D$2:D$875,A125,'Base bordo CD'!A$2:A$875,B125,'Base bordo CD'!L$2:L$875,"CORTE DE CANA MECANIZADO"),0)</f>
        <v>2.7652777777777775</v>
      </c>
      <c r="F125" s="10">
        <f>IFERROR(SUMIFS('Base bordo CD'!M$2:M$875,'Base bordo CD'!D$2:D$875,A125,'Base bordo CD'!A$2:A$875,B125,'Base bordo CD'!L$2:L$875,"MANOBRA"),0)</f>
        <v>0.92027777777777775</v>
      </c>
      <c r="G125" s="10">
        <f>IFERROR(SUMIFS('Base bordo CD'!M$2:M$875,'Base bordo CD'!D$2:D$875,A125,'Base bordo CD'!A$2:A$875,B125,'Base bordo CD'!L$2:L$875,"DESLOCAMENTO"),0)</f>
        <v>0.26583333333333337</v>
      </c>
      <c r="H125" s="10">
        <f>IFERROR(SUMIFS('Base bordo CD'!M$2:M$875,'Base bordo CD'!D$2:D$875,A125,'Base bordo CD'!A$2:A$875,B125,'Base bordo CD'!L$2:L$875,"AGUARDANDO MANOBRA DE TRANSBORDO"),0)+IFERROR(SUMIFS('Base bordo CD'!M$2:M$875,'Base bordo CD'!D$2:D$875,A125,'Base bordo CD'!A$2:A$875,B125,'Base bordo CD'!L$2:L$875,"FALTA DE TRANSBORDO"),0)</f>
        <v>0.11694444444444443</v>
      </c>
      <c r="I125" s="10">
        <f>IFERROR(SUMIFS('Base bordo CD'!M$2:M$875,'Base bordo CD'!D$2:D$875,A125,'Base bordo CD'!A$2:A$875,B125,'Base bordo CD'!L$2:L$875,"PARADA POR CONDICOES CLIMATICAS"),0)+IFERROR(SUMIFS('Base bordo CD'!M$2:M$875,'Base bordo CD'!D$2:D$875,A125,'Base bordo CD'!A$2:A$875,B125,'Base bordo CD'!L$2:L$875,"TEMPO INDETERMINADO"),0)</f>
        <v>15.6625</v>
      </c>
      <c r="J125" s="10">
        <f>IFERROR(SUMIFS('Base bordo CD'!M$2:M$875,'Base bordo CD'!D$2:D$875,A125,'Base bordo CD'!A$2:A$875,B125,'Base bordo CD'!L$2:L$875,"LIMITAÇÃO INDÚSTRIA"),0)</f>
        <v>0</v>
      </c>
      <c r="K125" s="10">
        <f>IFERROR(SUMIFS('Base bordo CD'!M$2:M$875,'Base bordo CD'!D$2:D$875,A125,'Base bordo CD'!A$2:A$875,B125,'Base bordo CD'!L$2:L$875,"MAN CORRETIVA*"),0)+IFERROR(SUMIFS('Base bordo CD'!M$2:M$875,'Base bordo CD'!D$2:D$875,A125,'Base bordo CD'!A$2:A$875,B125,'Base bordo CD'!L$2:L$875,"AGUARDANDO MANUTENCAO*"),0)+IFERROR(SUMIFS('Base bordo CD'!M$2:M$875,'Base bordo CD'!D$2:D$875,A125,'Base bordo CD'!A$2:A$875,B125,'Base bordo CD'!L$2:L$875,"TROCA DE FAQUINHA"),0)+IFERROR(SUMIFS('Base bordo CD'!M$2:M$875,'Base bordo CD'!D$2:D$875,A125,'Base bordo CD'!A$2:A$875,B125,'Base bordo CD'!L$2:L$875,"LIMPEZA*"),0)</f>
        <v>0</v>
      </c>
      <c r="L125" s="10">
        <f>IFERROR(SUMIFS('Base bordo CD'!M$2:M$875,'Base bordo CD'!D$2:D$875,A125,'Base bordo CD'!A$2:A$875,B125,'Base bordo CD'!L$2:L$875,"PATIO - RESERVA"),0)</f>
        <v>0</v>
      </c>
      <c r="M125" s="10">
        <f>IFERROR(SUMIFS('Base bordo CD'!M$2:M$875,'Base bordo CD'!D$2:D$875,A125,'Base bordo CD'!A$2:A$875,B125,'Base bordo CD'!L$2:L$875,"SEM APONTAMENTO"),0)</f>
        <v>0.11027777777777779</v>
      </c>
      <c r="N125" s="10">
        <f>IFERROR(SUMIFS('Base bordo CD'!M$2:M$875,'Base bordo CD'!D$2:D$875,A125,'Base bordo CD'!A$2:A$875,B125,'Base bordo CD'!L$2:L$875,"FALTA DE CAMINHÃO"),0)+IFERROR(SUMIFS('Base bordo CD'!M$2:M$875,'Base bordo CD'!D$2:D$875,A125,'Base bordo CD'!A$2:A$875,B125,'Base bordo CD'!L$2:L$875,"FALTA DE COMBUSTIVEL"),0)+IFERROR(SUMIFS('Base bordo CD'!M$2:M$875,'Base bordo CD'!D$2:D$875,A125,'Base bordo CD'!A$2:A$875,B125,'Base bordo CD'!L$2:L$875,"FALTA DE MOTORIST*"),0)</f>
        <v>0</v>
      </c>
      <c r="O125" s="10">
        <f t="shared" si="10"/>
        <v>4.1588888888888889</v>
      </c>
      <c r="P125" s="10">
        <f>IFERROR(SUMIFS('Base bordo CD'!M$2:M$875,'Base bordo CD'!D$2:D$875,A125,'Base bordo CD'!A$2:A$875,B125),0)</f>
        <v>24</v>
      </c>
      <c r="Q125" s="10">
        <f>IFERROR(SUMIFS('Base bordo CD'!O$2:O$875,'Base bordo CD'!D$2:D$875,A125,'Base bordo CD'!A$2:A$875,B125,'Base bordo CD'!L$2:L$875,"CORTE DE CANA MECANIZADO"),0)</f>
        <v>43747.89</v>
      </c>
      <c r="R125" s="10">
        <f>IFERROR(SUMIFS('Base bordo CD'!Q$2:Q$875,'Base bordo CD'!D$2:D$875,A125,'Base bordo CD'!A$2:A$875,B125,'Base bordo CD'!L$2:L$875,"CORTE DE CANA MECANIZADO"),0)</f>
        <v>9955</v>
      </c>
      <c r="S125" s="30">
        <f t="shared" si="11"/>
        <v>4.3945645404319436</v>
      </c>
      <c r="T125" s="9">
        <f t="shared" si="12"/>
        <v>0.1152199074074074</v>
      </c>
      <c r="U125" s="9">
        <f t="shared" si="13"/>
        <v>3.8344907407407404E-2</v>
      </c>
      <c r="V125" s="9">
        <f t="shared" si="14"/>
        <v>0.87370370370370376</v>
      </c>
    </row>
    <row r="126" spans="1:22" hidden="1" x14ac:dyDescent="0.35">
      <c r="A126" s="52">
        <v>49590</v>
      </c>
      <c r="B126" s="31">
        <v>46123</v>
      </c>
      <c r="C126" s="7" t="s">
        <v>321</v>
      </c>
      <c r="D126" s="7">
        <v>351</v>
      </c>
      <c r="E126" s="10">
        <f>IFERROR(SUMIFS('Base bordo CD'!M$2:M$875,'Base bordo CD'!D$2:D$875,A126,'Base bordo CD'!A$2:A$875,B126,'Base bordo CD'!L$2:L$875,"CORTE DE CANA MECANIZADO"),0)</f>
        <v>2.7652777777777775</v>
      </c>
      <c r="F126" s="10">
        <f>IFERROR(SUMIFS('Base bordo CD'!M$2:M$875,'Base bordo CD'!D$2:D$875,A126,'Base bordo CD'!A$2:A$875,B126,'Base bordo CD'!L$2:L$875,"MANOBRA"),0)</f>
        <v>0.92027777777777775</v>
      </c>
      <c r="G126" s="10">
        <f>IFERROR(SUMIFS('Base bordo CD'!M$2:M$875,'Base bordo CD'!D$2:D$875,A126,'Base bordo CD'!A$2:A$875,B126,'Base bordo CD'!L$2:L$875,"DESLOCAMENTO"),0)</f>
        <v>0.26583333333333337</v>
      </c>
      <c r="H126" s="10">
        <f>IFERROR(SUMIFS('Base bordo CD'!M$2:M$875,'Base bordo CD'!D$2:D$875,A126,'Base bordo CD'!A$2:A$875,B126,'Base bordo CD'!L$2:L$875,"AGUARDANDO MANOBRA DE TRANSBORDO"),0)+IFERROR(SUMIFS('Base bordo CD'!M$2:M$875,'Base bordo CD'!D$2:D$875,A126,'Base bordo CD'!A$2:A$875,B126,'Base bordo CD'!L$2:L$875,"FALTA DE TRANSBORDO"),0)</f>
        <v>0.11694444444444443</v>
      </c>
      <c r="I126" s="10">
        <f>IFERROR(SUMIFS('Base bordo CD'!M$2:M$875,'Base bordo CD'!D$2:D$875,A126,'Base bordo CD'!A$2:A$875,B126,'Base bordo CD'!L$2:L$875,"PARADA POR CONDICOES CLIMATICAS"),0)+IFERROR(SUMIFS('Base bordo CD'!M$2:M$875,'Base bordo CD'!D$2:D$875,A126,'Base bordo CD'!A$2:A$875,B126,'Base bordo CD'!L$2:L$875,"TEMPO INDETERMINADO"),0)</f>
        <v>15.6625</v>
      </c>
      <c r="J126" s="10">
        <f>IFERROR(SUMIFS('Base bordo CD'!M$2:M$875,'Base bordo CD'!D$2:D$875,A126,'Base bordo CD'!A$2:A$875,B126,'Base bordo CD'!L$2:L$875,"LIMITAÇÃO INDÚSTRIA"),0)</f>
        <v>0</v>
      </c>
      <c r="K126" s="10">
        <f>IFERROR(SUMIFS('Base bordo CD'!M$2:M$875,'Base bordo CD'!D$2:D$875,A126,'Base bordo CD'!A$2:A$875,B126,'Base bordo CD'!L$2:L$875,"MAN CORRETIVA*"),0)+IFERROR(SUMIFS('Base bordo CD'!M$2:M$875,'Base bordo CD'!D$2:D$875,A126,'Base bordo CD'!A$2:A$875,B126,'Base bordo CD'!L$2:L$875,"AGUARDANDO MANUTENCAO*"),0)+IFERROR(SUMIFS('Base bordo CD'!M$2:M$875,'Base bordo CD'!D$2:D$875,A126,'Base bordo CD'!A$2:A$875,B126,'Base bordo CD'!L$2:L$875,"TROCA DE FAQUINHA"),0)+IFERROR(SUMIFS('Base bordo CD'!M$2:M$875,'Base bordo CD'!D$2:D$875,A126,'Base bordo CD'!A$2:A$875,B126,'Base bordo CD'!L$2:L$875,"LIMPEZA*"),0)</f>
        <v>0</v>
      </c>
      <c r="L126" s="10">
        <f>IFERROR(SUMIFS('Base bordo CD'!M$2:M$875,'Base bordo CD'!D$2:D$875,A126,'Base bordo CD'!A$2:A$875,B126,'Base bordo CD'!L$2:L$875,"PATIO - RESERVA"),0)</f>
        <v>0</v>
      </c>
      <c r="M126" s="10">
        <f>IFERROR(SUMIFS('Base bordo CD'!M$2:M$875,'Base bordo CD'!D$2:D$875,A126,'Base bordo CD'!A$2:A$875,B126,'Base bordo CD'!L$2:L$875,"SEM APONTAMENTO"),0)</f>
        <v>0.11027777777777779</v>
      </c>
      <c r="N126" s="10">
        <f>IFERROR(SUMIFS('Base bordo CD'!M$2:M$875,'Base bordo CD'!D$2:D$875,A126,'Base bordo CD'!A$2:A$875,B126,'Base bordo CD'!L$2:L$875,"FALTA DE CAMINHÃO"),0)+IFERROR(SUMIFS('Base bordo CD'!M$2:M$875,'Base bordo CD'!D$2:D$875,A126,'Base bordo CD'!A$2:A$875,B126,'Base bordo CD'!L$2:L$875,"FALTA DE COMBUSTIVEL"),0)+IFERROR(SUMIFS('Base bordo CD'!M$2:M$875,'Base bordo CD'!D$2:D$875,A126,'Base bordo CD'!A$2:A$875,B126,'Base bordo CD'!L$2:L$875,"FALTA DE MOTORIST*"),0)</f>
        <v>0</v>
      </c>
      <c r="O126" s="10">
        <f t="shared" ref="O126:O189" si="15">IFERROR(P126-SUM(E126:N126),0)</f>
        <v>4.1588888888888889</v>
      </c>
      <c r="P126" s="10">
        <f>IFERROR(SUMIFS('Base bordo CD'!M$2:M$875,'Base bordo CD'!D$2:D$875,A126,'Base bordo CD'!A$2:A$875,B126),0)</f>
        <v>24</v>
      </c>
      <c r="Q126" s="10">
        <f>IFERROR(SUMIFS('Base bordo CD'!O$2:O$875,'Base bordo CD'!D$2:D$875,A126,'Base bordo CD'!A$2:A$875,B126,'Base bordo CD'!L$2:L$875,"CORTE DE CANA MECANIZADO"),0)</f>
        <v>43747.89</v>
      </c>
      <c r="R126" s="10">
        <f>IFERROR(SUMIFS('Base bordo CD'!Q$2:Q$875,'Base bordo CD'!D$2:D$875,A126,'Base bordo CD'!A$2:A$875,B126,'Base bordo CD'!L$2:L$875,"CORTE DE CANA MECANIZADO"),0)</f>
        <v>9955</v>
      </c>
      <c r="S126" s="30">
        <f t="shared" ref="S126:S189" si="16">IFERROR(Q126/R126,"")</f>
        <v>4.3945645404319436</v>
      </c>
      <c r="T126" s="9">
        <f t="shared" ref="T126:T189" si="17">IFERROR(E126/P126,0)</f>
        <v>0.1152199074074074</v>
      </c>
      <c r="U126" s="9">
        <f t="shared" ref="U126:U189" si="18">IFERROR(F126/P126,0)</f>
        <v>3.8344907407407404E-2</v>
      </c>
      <c r="V126" s="9">
        <f t="shared" ref="V126:V189" si="19">IFERROR(1-(E126+G126)/P126,0)</f>
        <v>0.87370370370370376</v>
      </c>
    </row>
    <row r="127" spans="1:22" hidden="1" x14ac:dyDescent="0.35">
      <c r="A127" s="52">
        <v>49590</v>
      </c>
      <c r="B127" s="31">
        <v>46123</v>
      </c>
      <c r="C127" s="7" t="s">
        <v>321</v>
      </c>
      <c r="D127" s="7">
        <v>351</v>
      </c>
      <c r="E127" s="10">
        <f>IFERROR(SUMIFS('Base bordo CD'!M$2:M$875,'Base bordo CD'!D$2:D$875,A127,'Base bordo CD'!A$2:A$875,B127,'Base bordo CD'!L$2:L$875,"CORTE DE CANA MECANIZADO"),0)</f>
        <v>2.7652777777777775</v>
      </c>
      <c r="F127" s="10">
        <f>IFERROR(SUMIFS('Base bordo CD'!M$2:M$875,'Base bordo CD'!D$2:D$875,A127,'Base bordo CD'!A$2:A$875,B127,'Base bordo CD'!L$2:L$875,"MANOBRA"),0)</f>
        <v>0.92027777777777775</v>
      </c>
      <c r="G127" s="10">
        <f>IFERROR(SUMIFS('Base bordo CD'!M$2:M$875,'Base bordo CD'!D$2:D$875,A127,'Base bordo CD'!A$2:A$875,B127,'Base bordo CD'!L$2:L$875,"DESLOCAMENTO"),0)</f>
        <v>0.26583333333333337</v>
      </c>
      <c r="H127" s="10">
        <f>IFERROR(SUMIFS('Base bordo CD'!M$2:M$875,'Base bordo CD'!D$2:D$875,A127,'Base bordo CD'!A$2:A$875,B127,'Base bordo CD'!L$2:L$875,"AGUARDANDO MANOBRA DE TRANSBORDO"),0)+IFERROR(SUMIFS('Base bordo CD'!M$2:M$875,'Base bordo CD'!D$2:D$875,A127,'Base bordo CD'!A$2:A$875,B127,'Base bordo CD'!L$2:L$875,"FALTA DE TRANSBORDO"),0)</f>
        <v>0.11694444444444443</v>
      </c>
      <c r="I127" s="10">
        <f>IFERROR(SUMIFS('Base bordo CD'!M$2:M$875,'Base bordo CD'!D$2:D$875,A127,'Base bordo CD'!A$2:A$875,B127,'Base bordo CD'!L$2:L$875,"PARADA POR CONDICOES CLIMATICAS"),0)+IFERROR(SUMIFS('Base bordo CD'!M$2:M$875,'Base bordo CD'!D$2:D$875,A127,'Base bordo CD'!A$2:A$875,B127,'Base bordo CD'!L$2:L$875,"TEMPO INDETERMINADO"),0)</f>
        <v>15.6625</v>
      </c>
      <c r="J127" s="10">
        <f>IFERROR(SUMIFS('Base bordo CD'!M$2:M$875,'Base bordo CD'!D$2:D$875,A127,'Base bordo CD'!A$2:A$875,B127,'Base bordo CD'!L$2:L$875,"LIMITAÇÃO INDÚSTRIA"),0)</f>
        <v>0</v>
      </c>
      <c r="K127" s="10">
        <f>IFERROR(SUMIFS('Base bordo CD'!M$2:M$875,'Base bordo CD'!D$2:D$875,A127,'Base bordo CD'!A$2:A$875,B127,'Base bordo CD'!L$2:L$875,"MAN CORRETIVA*"),0)+IFERROR(SUMIFS('Base bordo CD'!M$2:M$875,'Base bordo CD'!D$2:D$875,A127,'Base bordo CD'!A$2:A$875,B127,'Base bordo CD'!L$2:L$875,"AGUARDANDO MANUTENCAO*"),0)+IFERROR(SUMIFS('Base bordo CD'!M$2:M$875,'Base bordo CD'!D$2:D$875,A127,'Base bordo CD'!A$2:A$875,B127,'Base bordo CD'!L$2:L$875,"TROCA DE FAQUINHA"),0)+IFERROR(SUMIFS('Base bordo CD'!M$2:M$875,'Base bordo CD'!D$2:D$875,A127,'Base bordo CD'!A$2:A$875,B127,'Base bordo CD'!L$2:L$875,"LIMPEZA*"),0)</f>
        <v>0</v>
      </c>
      <c r="L127" s="10">
        <f>IFERROR(SUMIFS('Base bordo CD'!M$2:M$875,'Base bordo CD'!D$2:D$875,A127,'Base bordo CD'!A$2:A$875,B127,'Base bordo CD'!L$2:L$875,"PATIO - RESERVA"),0)</f>
        <v>0</v>
      </c>
      <c r="M127" s="10">
        <f>IFERROR(SUMIFS('Base bordo CD'!M$2:M$875,'Base bordo CD'!D$2:D$875,A127,'Base bordo CD'!A$2:A$875,B127,'Base bordo CD'!L$2:L$875,"SEM APONTAMENTO"),0)</f>
        <v>0.11027777777777779</v>
      </c>
      <c r="N127" s="10">
        <f>IFERROR(SUMIFS('Base bordo CD'!M$2:M$875,'Base bordo CD'!D$2:D$875,A127,'Base bordo CD'!A$2:A$875,B127,'Base bordo CD'!L$2:L$875,"FALTA DE CAMINHÃO"),0)+IFERROR(SUMIFS('Base bordo CD'!M$2:M$875,'Base bordo CD'!D$2:D$875,A127,'Base bordo CD'!A$2:A$875,B127,'Base bordo CD'!L$2:L$875,"FALTA DE COMBUSTIVEL"),0)+IFERROR(SUMIFS('Base bordo CD'!M$2:M$875,'Base bordo CD'!D$2:D$875,A127,'Base bordo CD'!A$2:A$875,B127,'Base bordo CD'!L$2:L$875,"FALTA DE MOTORIST*"),0)</f>
        <v>0</v>
      </c>
      <c r="O127" s="10">
        <f t="shared" si="15"/>
        <v>4.1588888888888889</v>
      </c>
      <c r="P127" s="10">
        <f>IFERROR(SUMIFS('Base bordo CD'!M$2:M$875,'Base bordo CD'!D$2:D$875,A127,'Base bordo CD'!A$2:A$875,B127),0)</f>
        <v>24</v>
      </c>
      <c r="Q127" s="10">
        <f>IFERROR(SUMIFS('Base bordo CD'!O$2:O$875,'Base bordo CD'!D$2:D$875,A127,'Base bordo CD'!A$2:A$875,B127,'Base bordo CD'!L$2:L$875,"CORTE DE CANA MECANIZADO"),0)</f>
        <v>43747.89</v>
      </c>
      <c r="R127" s="10">
        <f>IFERROR(SUMIFS('Base bordo CD'!Q$2:Q$875,'Base bordo CD'!D$2:D$875,A127,'Base bordo CD'!A$2:A$875,B127,'Base bordo CD'!L$2:L$875,"CORTE DE CANA MECANIZADO"),0)</f>
        <v>9955</v>
      </c>
      <c r="S127" s="30">
        <f t="shared" si="16"/>
        <v>4.3945645404319436</v>
      </c>
      <c r="T127" s="9">
        <f t="shared" si="17"/>
        <v>0.1152199074074074</v>
      </c>
      <c r="U127" s="9">
        <f t="shared" si="18"/>
        <v>3.8344907407407404E-2</v>
      </c>
      <c r="V127" s="9">
        <f t="shared" si="19"/>
        <v>0.87370370370370376</v>
      </c>
    </row>
    <row r="128" spans="1:22" hidden="1" x14ac:dyDescent="0.35">
      <c r="A128" s="52">
        <v>49590</v>
      </c>
      <c r="B128" s="31">
        <v>46123</v>
      </c>
      <c r="C128" s="7" t="s">
        <v>321</v>
      </c>
      <c r="D128" s="7">
        <v>351</v>
      </c>
      <c r="E128" s="10">
        <f>IFERROR(SUMIFS('Base bordo CD'!M$2:M$875,'Base bordo CD'!D$2:D$875,A128,'Base bordo CD'!A$2:A$875,B128,'Base bordo CD'!L$2:L$875,"CORTE DE CANA MECANIZADO"),0)</f>
        <v>2.7652777777777775</v>
      </c>
      <c r="F128" s="10">
        <f>IFERROR(SUMIFS('Base bordo CD'!M$2:M$875,'Base bordo CD'!D$2:D$875,A128,'Base bordo CD'!A$2:A$875,B128,'Base bordo CD'!L$2:L$875,"MANOBRA"),0)</f>
        <v>0.92027777777777775</v>
      </c>
      <c r="G128" s="10">
        <f>IFERROR(SUMIFS('Base bordo CD'!M$2:M$875,'Base bordo CD'!D$2:D$875,A128,'Base bordo CD'!A$2:A$875,B128,'Base bordo CD'!L$2:L$875,"DESLOCAMENTO"),0)</f>
        <v>0.26583333333333337</v>
      </c>
      <c r="H128" s="10">
        <f>IFERROR(SUMIFS('Base bordo CD'!M$2:M$875,'Base bordo CD'!D$2:D$875,A128,'Base bordo CD'!A$2:A$875,B128,'Base bordo CD'!L$2:L$875,"AGUARDANDO MANOBRA DE TRANSBORDO"),0)+IFERROR(SUMIFS('Base bordo CD'!M$2:M$875,'Base bordo CD'!D$2:D$875,A128,'Base bordo CD'!A$2:A$875,B128,'Base bordo CD'!L$2:L$875,"FALTA DE TRANSBORDO"),0)</f>
        <v>0.11694444444444443</v>
      </c>
      <c r="I128" s="10">
        <f>IFERROR(SUMIFS('Base bordo CD'!M$2:M$875,'Base bordo CD'!D$2:D$875,A128,'Base bordo CD'!A$2:A$875,B128,'Base bordo CD'!L$2:L$875,"PARADA POR CONDICOES CLIMATICAS"),0)+IFERROR(SUMIFS('Base bordo CD'!M$2:M$875,'Base bordo CD'!D$2:D$875,A128,'Base bordo CD'!A$2:A$875,B128,'Base bordo CD'!L$2:L$875,"TEMPO INDETERMINADO"),0)</f>
        <v>15.6625</v>
      </c>
      <c r="J128" s="10">
        <f>IFERROR(SUMIFS('Base bordo CD'!M$2:M$875,'Base bordo CD'!D$2:D$875,A128,'Base bordo CD'!A$2:A$875,B128,'Base bordo CD'!L$2:L$875,"LIMITAÇÃO INDÚSTRIA"),0)</f>
        <v>0</v>
      </c>
      <c r="K128" s="10">
        <f>IFERROR(SUMIFS('Base bordo CD'!M$2:M$875,'Base bordo CD'!D$2:D$875,A128,'Base bordo CD'!A$2:A$875,B128,'Base bordo CD'!L$2:L$875,"MAN CORRETIVA*"),0)+IFERROR(SUMIFS('Base bordo CD'!M$2:M$875,'Base bordo CD'!D$2:D$875,A128,'Base bordo CD'!A$2:A$875,B128,'Base bordo CD'!L$2:L$875,"AGUARDANDO MANUTENCAO*"),0)+IFERROR(SUMIFS('Base bordo CD'!M$2:M$875,'Base bordo CD'!D$2:D$875,A128,'Base bordo CD'!A$2:A$875,B128,'Base bordo CD'!L$2:L$875,"TROCA DE FAQUINHA"),0)+IFERROR(SUMIFS('Base bordo CD'!M$2:M$875,'Base bordo CD'!D$2:D$875,A128,'Base bordo CD'!A$2:A$875,B128,'Base bordo CD'!L$2:L$875,"LIMPEZA*"),0)</f>
        <v>0</v>
      </c>
      <c r="L128" s="10">
        <f>IFERROR(SUMIFS('Base bordo CD'!M$2:M$875,'Base bordo CD'!D$2:D$875,A128,'Base bordo CD'!A$2:A$875,B128,'Base bordo CD'!L$2:L$875,"PATIO - RESERVA"),0)</f>
        <v>0</v>
      </c>
      <c r="M128" s="10">
        <f>IFERROR(SUMIFS('Base bordo CD'!M$2:M$875,'Base bordo CD'!D$2:D$875,A128,'Base bordo CD'!A$2:A$875,B128,'Base bordo CD'!L$2:L$875,"SEM APONTAMENTO"),0)</f>
        <v>0.11027777777777779</v>
      </c>
      <c r="N128" s="10">
        <f>IFERROR(SUMIFS('Base bordo CD'!M$2:M$875,'Base bordo CD'!D$2:D$875,A128,'Base bordo CD'!A$2:A$875,B128,'Base bordo CD'!L$2:L$875,"FALTA DE CAMINHÃO"),0)+IFERROR(SUMIFS('Base bordo CD'!M$2:M$875,'Base bordo CD'!D$2:D$875,A128,'Base bordo CD'!A$2:A$875,B128,'Base bordo CD'!L$2:L$875,"FALTA DE COMBUSTIVEL"),0)+IFERROR(SUMIFS('Base bordo CD'!M$2:M$875,'Base bordo CD'!D$2:D$875,A128,'Base bordo CD'!A$2:A$875,B128,'Base bordo CD'!L$2:L$875,"FALTA DE MOTORIST*"),0)</f>
        <v>0</v>
      </c>
      <c r="O128" s="10">
        <f t="shared" si="15"/>
        <v>4.1588888888888889</v>
      </c>
      <c r="P128" s="10">
        <f>IFERROR(SUMIFS('Base bordo CD'!M$2:M$875,'Base bordo CD'!D$2:D$875,A128,'Base bordo CD'!A$2:A$875,B128),0)</f>
        <v>24</v>
      </c>
      <c r="Q128" s="10">
        <f>IFERROR(SUMIFS('Base bordo CD'!O$2:O$875,'Base bordo CD'!D$2:D$875,A128,'Base bordo CD'!A$2:A$875,B128,'Base bordo CD'!L$2:L$875,"CORTE DE CANA MECANIZADO"),0)</f>
        <v>43747.89</v>
      </c>
      <c r="R128" s="10">
        <f>IFERROR(SUMIFS('Base bordo CD'!Q$2:Q$875,'Base bordo CD'!D$2:D$875,A128,'Base bordo CD'!A$2:A$875,B128,'Base bordo CD'!L$2:L$875,"CORTE DE CANA MECANIZADO"),0)</f>
        <v>9955</v>
      </c>
      <c r="S128" s="30">
        <f t="shared" si="16"/>
        <v>4.3945645404319436</v>
      </c>
      <c r="T128" s="9">
        <f t="shared" si="17"/>
        <v>0.1152199074074074</v>
      </c>
      <c r="U128" s="9">
        <f t="shared" si="18"/>
        <v>3.8344907407407404E-2</v>
      </c>
      <c r="V128" s="9">
        <f t="shared" si="19"/>
        <v>0.87370370370370376</v>
      </c>
    </row>
    <row r="129" spans="1:22" hidden="1" x14ac:dyDescent="0.35">
      <c r="A129" s="52">
        <v>49590</v>
      </c>
      <c r="B129" s="31">
        <v>46123</v>
      </c>
      <c r="C129" s="7" t="s">
        <v>321</v>
      </c>
      <c r="D129" s="7">
        <v>351</v>
      </c>
      <c r="E129" s="10">
        <f>IFERROR(SUMIFS('Base bordo CD'!M$2:M$875,'Base bordo CD'!D$2:D$875,A129,'Base bordo CD'!A$2:A$875,B129,'Base bordo CD'!L$2:L$875,"CORTE DE CANA MECANIZADO"),0)</f>
        <v>2.7652777777777775</v>
      </c>
      <c r="F129" s="10">
        <f>IFERROR(SUMIFS('Base bordo CD'!M$2:M$875,'Base bordo CD'!D$2:D$875,A129,'Base bordo CD'!A$2:A$875,B129,'Base bordo CD'!L$2:L$875,"MANOBRA"),0)</f>
        <v>0.92027777777777775</v>
      </c>
      <c r="G129" s="10">
        <f>IFERROR(SUMIFS('Base bordo CD'!M$2:M$875,'Base bordo CD'!D$2:D$875,A129,'Base bordo CD'!A$2:A$875,B129,'Base bordo CD'!L$2:L$875,"DESLOCAMENTO"),0)</f>
        <v>0.26583333333333337</v>
      </c>
      <c r="H129" s="10">
        <f>IFERROR(SUMIFS('Base bordo CD'!M$2:M$875,'Base bordo CD'!D$2:D$875,A129,'Base bordo CD'!A$2:A$875,B129,'Base bordo CD'!L$2:L$875,"AGUARDANDO MANOBRA DE TRANSBORDO"),0)+IFERROR(SUMIFS('Base bordo CD'!M$2:M$875,'Base bordo CD'!D$2:D$875,A129,'Base bordo CD'!A$2:A$875,B129,'Base bordo CD'!L$2:L$875,"FALTA DE TRANSBORDO"),0)</f>
        <v>0.11694444444444443</v>
      </c>
      <c r="I129" s="10">
        <f>IFERROR(SUMIFS('Base bordo CD'!M$2:M$875,'Base bordo CD'!D$2:D$875,A129,'Base bordo CD'!A$2:A$875,B129,'Base bordo CD'!L$2:L$875,"PARADA POR CONDICOES CLIMATICAS"),0)+IFERROR(SUMIFS('Base bordo CD'!M$2:M$875,'Base bordo CD'!D$2:D$875,A129,'Base bordo CD'!A$2:A$875,B129,'Base bordo CD'!L$2:L$875,"TEMPO INDETERMINADO"),0)</f>
        <v>15.6625</v>
      </c>
      <c r="J129" s="10">
        <f>IFERROR(SUMIFS('Base bordo CD'!M$2:M$875,'Base bordo CD'!D$2:D$875,A129,'Base bordo CD'!A$2:A$875,B129,'Base bordo CD'!L$2:L$875,"LIMITAÇÃO INDÚSTRIA"),0)</f>
        <v>0</v>
      </c>
      <c r="K129" s="10">
        <f>IFERROR(SUMIFS('Base bordo CD'!M$2:M$875,'Base bordo CD'!D$2:D$875,A129,'Base bordo CD'!A$2:A$875,B129,'Base bordo CD'!L$2:L$875,"MAN CORRETIVA*"),0)+IFERROR(SUMIFS('Base bordo CD'!M$2:M$875,'Base bordo CD'!D$2:D$875,A129,'Base bordo CD'!A$2:A$875,B129,'Base bordo CD'!L$2:L$875,"AGUARDANDO MANUTENCAO*"),0)+IFERROR(SUMIFS('Base bordo CD'!M$2:M$875,'Base bordo CD'!D$2:D$875,A129,'Base bordo CD'!A$2:A$875,B129,'Base bordo CD'!L$2:L$875,"TROCA DE FAQUINHA"),0)+IFERROR(SUMIFS('Base bordo CD'!M$2:M$875,'Base bordo CD'!D$2:D$875,A129,'Base bordo CD'!A$2:A$875,B129,'Base bordo CD'!L$2:L$875,"LIMPEZA*"),0)</f>
        <v>0</v>
      </c>
      <c r="L129" s="10">
        <f>IFERROR(SUMIFS('Base bordo CD'!M$2:M$875,'Base bordo CD'!D$2:D$875,A129,'Base bordo CD'!A$2:A$875,B129,'Base bordo CD'!L$2:L$875,"PATIO - RESERVA"),0)</f>
        <v>0</v>
      </c>
      <c r="M129" s="10">
        <f>IFERROR(SUMIFS('Base bordo CD'!M$2:M$875,'Base bordo CD'!D$2:D$875,A129,'Base bordo CD'!A$2:A$875,B129,'Base bordo CD'!L$2:L$875,"SEM APONTAMENTO"),0)</f>
        <v>0.11027777777777779</v>
      </c>
      <c r="N129" s="10">
        <f>IFERROR(SUMIFS('Base bordo CD'!M$2:M$875,'Base bordo CD'!D$2:D$875,A129,'Base bordo CD'!A$2:A$875,B129,'Base bordo CD'!L$2:L$875,"FALTA DE CAMINHÃO"),0)+IFERROR(SUMIFS('Base bordo CD'!M$2:M$875,'Base bordo CD'!D$2:D$875,A129,'Base bordo CD'!A$2:A$875,B129,'Base bordo CD'!L$2:L$875,"FALTA DE COMBUSTIVEL"),0)+IFERROR(SUMIFS('Base bordo CD'!M$2:M$875,'Base bordo CD'!D$2:D$875,A129,'Base bordo CD'!A$2:A$875,B129,'Base bordo CD'!L$2:L$875,"FALTA DE MOTORIST*"),0)</f>
        <v>0</v>
      </c>
      <c r="O129" s="10">
        <f t="shared" si="15"/>
        <v>4.1588888888888889</v>
      </c>
      <c r="P129" s="10">
        <f>IFERROR(SUMIFS('Base bordo CD'!M$2:M$875,'Base bordo CD'!D$2:D$875,A129,'Base bordo CD'!A$2:A$875,B129),0)</f>
        <v>24</v>
      </c>
      <c r="Q129" s="10">
        <f>IFERROR(SUMIFS('Base bordo CD'!O$2:O$875,'Base bordo CD'!D$2:D$875,A129,'Base bordo CD'!A$2:A$875,B129,'Base bordo CD'!L$2:L$875,"CORTE DE CANA MECANIZADO"),0)</f>
        <v>43747.89</v>
      </c>
      <c r="R129" s="10">
        <f>IFERROR(SUMIFS('Base bordo CD'!Q$2:Q$875,'Base bordo CD'!D$2:D$875,A129,'Base bordo CD'!A$2:A$875,B129,'Base bordo CD'!L$2:L$875,"CORTE DE CANA MECANIZADO"),0)</f>
        <v>9955</v>
      </c>
      <c r="S129" s="30">
        <f t="shared" si="16"/>
        <v>4.3945645404319436</v>
      </c>
      <c r="T129" s="9">
        <f t="shared" si="17"/>
        <v>0.1152199074074074</v>
      </c>
      <c r="U129" s="9">
        <f t="shared" si="18"/>
        <v>3.8344907407407404E-2</v>
      </c>
      <c r="V129" s="9">
        <f t="shared" si="19"/>
        <v>0.87370370370370376</v>
      </c>
    </row>
    <row r="130" spans="1:22" hidden="1" x14ac:dyDescent="0.35">
      <c r="A130" s="52">
        <v>49590</v>
      </c>
      <c r="B130" s="31">
        <v>46123</v>
      </c>
      <c r="C130" s="7" t="s">
        <v>321</v>
      </c>
      <c r="D130" s="7">
        <v>351</v>
      </c>
      <c r="E130" s="10">
        <f>IFERROR(SUMIFS('Base bordo CD'!M$2:M$875,'Base bordo CD'!D$2:D$875,A130,'Base bordo CD'!A$2:A$875,B130,'Base bordo CD'!L$2:L$875,"CORTE DE CANA MECANIZADO"),0)</f>
        <v>2.7652777777777775</v>
      </c>
      <c r="F130" s="10">
        <f>IFERROR(SUMIFS('Base bordo CD'!M$2:M$875,'Base bordo CD'!D$2:D$875,A130,'Base bordo CD'!A$2:A$875,B130,'Base bordo CD'!L$2:L$875,"MANOBRA"),0)</f>
        <v>0.92027777777777775</v>
      </c>
      <c r="G130" s="10">
        <f>IFERROR(SUMIFS('Base bordo CD'!M$2:M$875,'Base bordo CD'!D$2:D$875,A130,'Base bordo CD'!A$2:A$875,B130,'Base bordo CD'!L$2:L$875,"DESLOCAMENTO"),0)</f>
        <v>0.26583333333333337</v>
      </c>
      <c r="H130" s="10">
        <f>IFERROR(SUMIFS('Base bordo CD'!M$2:M$875,'Base bordo CD'!D$2:D$875,A130,'Base bordo CD'!A$2:A$875,B130,'Base bordo CD'!L$2:L$875,"AGUARDANDO MANOBRA DE TRANSBORDO"),0)+IFERROR(SUMIFS('Base bordo CD'!M$2:M$875,'Base bordo CD'!D$2:D$875,A130,'Base bordo CD'!A$2:A$875,B130,'Base bordo CD'!L$2:L$875,"FALTA DE TRANSBORDO"),0)</f>
        <v>0.11694444444444443</v>
      </c>
      <c r="I130" s="10">
        <f>IFERROR(SUMIFS('Base bordo CD'!M$2:M$875,'Base bordo CD'!D$2:D$875,A130,'Base bordo CD'!A$2:A$875,B130,'Base bordo CD'!L$2:L$875,"PARADA POR CONDICOES CLIMATICAS"),0)+IFERROR(SUMIFS('Base bordo CD'!M$2:M$875,'Base bordo CD'!D$2:D$875,A130,'Base bordo CD'!A$2:A$875,B130,'Base bordo CD'!L$2:L$875,"TEMPO INDETERMINADO"),0)</f>
        <v>15.6625</v>
      </c>
      <c r="J130" s="10">
        <f>IFERROR(SUMIFS('Base bordo CD'!M$2:M$875,'Base bordo CD'!D$2:D$875,A130,'Base bordo CD'!A$2:A$875,B130,'Base bordo CD'!L$2:L$875,"LIMITAÇÃO INDÚSTRIA"),0)</f>
        <v>0</v>
      </c>
      <c r="K130" s="10">
        <f>IFERROR(SUMIFS('Base bordo CD'!M$2:M$875,'Base bordo CD'!D$2:D$875,A130,'Base bordo CD'!A$2:A$875,B130,'Base bordo CD'!L$2:L$875,"MAN CORRETIVA*"),0)+IFERROR(SUMIFS('Base bordo CD'!M$2:M$875,'Base bordo CD'!D$2:D$875,A130,'Base bordo CD'!A$2:A$875,B130,'Base bordo CD'!L$2:L$875,"AGUARDANDO MANUTENCAO*"),0)+IFERROR(SUMIFS('Base bordo CD'!M$2:M$875,'Base bordo CD'!D$2:D$875,A130,'Base bordo CD'!A$2:A$875,B130,'Base bordo CD'!L$2:L$875,"TROCA DE FAQUINHA"),0)+IFERROR(SUMIFS('Base bordo CD'!M$2:M$875,'Base bordo CD'!D$2:D$875,A130,'Base bordo CD'!A$2:A$875,B130,'Base bordo CD'!L$2:L$875,"LIMPEZA*"),0)</f>
        <v>0</v>
      </c>
      <c r="L130" s="10">
        <f>IFERROR(SUMIFS('Base bordo CD'!M$2:M$875,'Base bordo CD'!D$2:D$875,A130,'Base bordo CD'!A$2:A$875,B130,'Base bordo CD'!L$2:L$875,"PATIO - RESERVA"),0)</f>
        <v>0</v>
      </c>
      <c r="M130" s="10">
        <f>IFERROR(SUMIFS('Base bordo CD'!M$2:M$875,'Base bordo CD'!D$2:D$875,A130,'Base bordo CD'!A$2:A$875,B130,'Base bordo CD'!L$2:L$875,"SEM APONTAMENTO"),0)</f>
        <v>0.11027777777777779</v>
      </c>
      <c r="N130" s="10">
        <f>IFERROR(SUMIFS('Base bordo CD'!M$2:M$875,'Base bordo CD'!D$2:D$875,A130,'Base bordo CD'!A$2:A$875,B130,'Base bordo CD'!L$2:L$875,"FALTA DE CAMINHÃO"),0)+IFERROR(SUMIFS('Base bordo CD'!M$2:M$875,'Base bordo CD'!D$2:D$875,A130,'Base bordo CD'!A$2:A$875,B130,'Base bordo CD'!L$2:L$875,"FALTA DE COMBUSTIVEL"),0)+IFERROR(SUMIFS('Base bordo CD'!M$2:M$875,'Base bordo CD'!D$2:D$875,A130,'Base bordo CD'!A$2:A$875,B130,'Base bordo CD'!L$2:L$875,"FALTA DE MOTORIST*"),0)</f>
        <v>0</v>
      </c>
      <c r="O130" s="10">
        <f t="shared" si="15"/>
        <v>4.1588888888888889</v>
      </c>
      <c r="P130" s="10">
        <f>IFERROR(SUMIFS('Base bordo CD'!M$2:M$875,'Base bordo CD'!D$2:D$875,A130,'Base bordo CD'!A$2:A$875,B130),0)</f>
        <v>24</v>
      </c>
      <c r="Q130" s="10">
        <f>IFERROR(SUMIFS('Base bordo CD'!O$2:O$875,'Base bordo CD'!D$2:D$875,A130,'Base bordo CD'!A$2:A$875,B130,'Base bordo CD'!L$2:L$875,"CORTE DE CANA MECANIZADO"),0)</f>
        <v>43747.89</v>
      </c>
      <c r="R130" s="10">
        <f>IFERROR(SUMIFS('Base bordo CD'!Q$2:Q$875,'Base bordo CD'!D$2:D$875,A130,'Base bordo CD'!A$2:A$875,B130,'Base bordo CD'!L$2:L$875,"CORTE DE CANA MECANIZADO"),0)</f>
        <v>9955</v>
      </c>
      <c r="S130" s="30">
        <f t="shared" si="16"/>
        <v>4.3945645404319436</v>
      </c>
      <c r="T130" s="9">
        <f t="shared" si="17"/>
        <v>0.1152199074074074</v>
      </c>
      <c r="U130" s="9">
        <f t="shared" si="18"/>
        <v>3.8344907407407404E-2</v>
      </c>
      <c r="V130" s="9">
        <f t="shared" si="19"/>
        <v>0.87370370370370376</v>
      </c>
    </row>
    <row r="131" spans="1:22" hidden="1" x14ac:dyDescent="0.35">
      <c r="A131" s="52">
        <v>49590</v>
      </c>
      <c r="B131" s="31">
        <v>46123</v>
      </c>
      <c r="C131" s="7" t="s">
        <v>321</v>
      </c>
      <c r="D131" s="7">
        <v>351</v>
      </c>
      <c r="E131" s="10">
        <f>IFERROR(SUMIFS('Base bordo CD'!M$2:M$875,'Base bordo CD'!D$2:D$875,A131,'Base bordo CD'!A$2:A$875,B131,'Base bordo CD'!L$2:L$875,"CORTE DE CANA MECANIZADO"),0)</f>
        <v>2.7652777777777775</v>
      </c>
      <c r="F131" s="10">
        <f>IFERROR(SUMIFS('Base bordo CD'!M$2:M$875,'Base bordo CD'!D$2:D$875,A131,'Base bordo CD'!A$2:A$875,B131,'Base bordo CD'!L$2:L$875,"MANOBRA"),0)</f>
        <v>0.92027777777777775</v>
      </c>
      <c r="G131" s="10">
        <f>IFERROR(SUMIFS('Base bordo CD'!M$2:M$875,'Base bordo CD'!D$2:D$875,A131,'Base bordo CD'!A$2:A$875,B131,'Base bordo CD'!L$2:L$875,"DESLOCAMENTO"),0)</f>
        <v>0.26583333333333337</v>
      </c>
      <c r="H131" s="10">
        <f>IFERROR(SUMIFS('Base bordo CD'!M$2:M$875,'Base bordo CD'!D$2:D$875,A131,'Base bordo CD'!A$2:A$875,B131,'Base bordo CD'!L$2:L$875,"AGUARDANDO MANOBRA DE TRANSBORDO"),0)+IFERROR(SUMIFS('Base bordo CD'!M$2:M$875,'Base bordo CD'!D$2:D$875,A131,'Base bordo CD'!A$2:A$875,B131,'Base bordo CD'!L$2:L$875,"FALTA DE TRANSBORDO"),0)</f>
        <v>0.11694444444444443</v>
      </c>
      <c r="I131" s="10">
        <f>IFERROR(SUMIFS('Base bordo CD'!M$2:M$875,'Base bordo CD'!D$2:D$875,A131,'Base bordo CD'!A$2:A$875,B131,'Base bordo CD'!L$2:L$875,"PARADA POR CONDICOES CLIMATICAS"),0)+IFERROR(SUMIFS('Base bordo CD'!M$2:M$875,'Base bordo CD'!D$2:D$875,A131,'Base bordo CD'!A$2:A$875,B131,'Base bordo CD'!L$2:L$875,"TEMPO INDETERMINADO"),0)</f>
        <v>15.6625</v>
      </c>
      <c r="J131" s="10">
        <f>IFERROR(SUMIFS('Base bordo CD'!M$2:M$875,'Base bordo CD'!D$2:D$875,A131,'Base bordo CD'!A$2:A$875,B131,'Base bordo CD'!L$2:L$875,"LIMITAÇÃO INDÚSTRIA"),0)</f>
        <v>0</v>
      </c>
      <c r="K131" s="10">
        <f>IFERROR(SUMIFS('Base bordo CD'!M$2:M$875,'Base bordo CD'!D$2:D$875,A131,'Base bordo CD'!A$2:A$875,B131,'Base bordo CD'!L$2:L$875,"MAN CORRETIVA*"),0)+IFERROR(SUMIFS('Base bordo CD'!M$2:M$875,'Base bordo CD'!D$2:D$875,A131,'Base bordo CD'!A$2:A$875,B131,'Base bordo CD'!L$2:L$875,"AGUARDANDO MANUTENCAO*"),0)+IFERROR(SUMIFS('Base bordo CD'!M$2:M$875,'Base bordo CD'!D$2:D$875,A131,'Base bordo CD'!A$2:A$875,B131,'Base bordo CD'!L$2:L$875,"TROCA DE FAQUINHA"),0)+IFERROR(SUMIFS('Base bordo CD'!M$2:M$875,'Base bordo CD'!D$2:D$875,A131,'Base bordo CD'!A$2:A$875,B131,'Base bordo CD'!L$2:L$875,"LIMPEZA*"),0)</f>
        <v>0</v>
      </c>
      <c r="L131" s="10">
        <f>IFERROR(SUMIFS('Base bordo CD'!M$2:M$875,'Base bordo CD'!D$2:D$875,A131,'Base bordo CD'!A$2:A$875,B131,'Base bordo CD'!L$2:L$875,"PATIO - RESERVA"),0)</f>
        <v>0</v>
      </c>
      <c r="M131" s="10">
        <f>IFERROR(SUMIFS('Base bordo CD'!M$2:M$875,'Base bordo CD'!D$2:D$875,A131,'Base bordo CD'!A$2:A$875,B131,'Base bordo CD'!L$2:L$875,"SEM APONTAMENTO"),0)</f>
        <v>0.11027777777777779</v>
      </c>
      <c r="N131" s="10">
        <f>IFERROR(SUMIFS('Base bordo CD'!M$2:M$875,'Base bordo CD'!D$2:D$875,A131,'Base bordo CD'!A$2:A$875,B131,'Base bordo CD'!L$2:L$875,"FALTA DE CAMINHÃO"),0)+IFERROR(SUMIFS('Base bordo CD'!M$2:M$875,'Base bordo CD'!D$2:D$875,A131,'Base bordo CD'!A$2:A$875,B131,'Base bordo CD'!L$2:L$875,"FALTA DE COMBUSTIVEL"),0)+IFERROR(SUMIFS('Base bordo CD'!M$2:M$875,'Base bordo CD'!D$2:D$875,A131,'Base bordo CD'!A$2:A$875,B131,'Base bordo CD'!L$2:L$875,"FALTA DE MOTORIST*"),0)</f>
        <v>0</v>
      </c>
      <c r="O131" s="10">
        <f t="shared" si="15"/>
        <v>4.1588888888888889</v>
      </c>
      <c r="P131" s="10">
        <f>IFERROR(SUMIFS('Base bordo CD'!M$2:M$875,'Base bordo CD'!D$2:D$875,A131,'Base bordo CD'!A$2:A$875,B131),0)</f>
        <v>24</v>
      </c>
      <c r="Q131" s="10">
        <f>IFERROR(SUMIFS('Base bordo CD'!O$2:O$875,'Base bordo CD'!D$2:D$875,A131,'Base bordo CD'!A$2:A$875,B131,'Base bordo CD'!L$2:L$875,"CORTE DE CANA MECANIZADO"),0)</f>
        <v>43747.89</v>
      </c>
      <c r="R131" s="10">
        <f>IFERROR(SUMIFS('Base bordo CD'!Q$2:Q$875,'Base bordo CD'!D$2:D$875,A131,'Base bordo CD'!A$2:A$875,B131,'Base bordo CD'!L$2:L$875,"CORTE DE CANA MECANIZADO"),0)</f>
        <v>9955</v>
      </c>
      <c r="S131" s="30">
        <f t="shared" si="16"/>
        <v>4.3945645404319436</v>
      </c>
      <c r="T131" s="9">
        <f t="shared" si="17"/>
        <v>0.1152199074074074</v>
      </c>
      <c r="U131" s="9">
        <f t="shared" si="18"/>
        <v>3.8344907407407404E-2</v>
      </c>
      <c r="V131" s="9">
        <f t="shared" si="19"/>
        <v>0.87370370370370376</v>
      </c>
    </row>
    <row r="132" spans="1:22" hidden="1" x14ac:dyDescent="0.35">
      <c r="A132" s="52">
        <v>49590</v>
      </c>
      <c r="B132" s="31">
        <v>46123</v>
      </c>
      <c r="C132" s="7" t="s">
        <v>321</v>
      </c>
      <c r="D132" s="7">
        <v>351</v>
      </c>
      <c r="E132" s="10">
        <f>IFERROR(SUMIFS('Base bordo CD'!M$2:M$875,'Base bordo CD'!D$2:D$875,A132,'Base bordo CD'!A$2:A$875,B132,'Base bordo CD'!L$2:L$875,"CORTE DE CANA MECANIZADO"),0)</f>
        <v>2.7652777777777775</v>
      </c>
      <c r="F132" s="10">
        <f>IFERROR(SUMIFS('Base bordo CD'!M$2:M$875,'Base bordo CD'!D$2:D$875,A132,'Base bordo CD'!A$2:A$875,B132,'Base bordo CD'!L$2:L$875,"MANOBRA"),0)</f>
        <v>0.92027777777777775</v>
      </c>
      <c r="G132" s="10">
        <f>IFERROR(SUMIFS('Base bordo CD'!M$2:M$875,'Base bordo CD'!D$2:D$875,A132,'Base bordo CD'!A$2:A$875,B132,'Base bordo CD'!L$2:L$875,"DESLOCAMENTO"),0)</f>
        <v>0.26583333333333337</v>
      </c>
      <c r="H132" s="10">
        <f>IFERROR(SUMIFS('Base bordo CD'!M$2:M$875,'Base bordo CD'!D$2:D$875,A132,'Base bordo CD'!A$2:A$875,B132,'Base bordo CD'!L$2:L$875,"AGUARDANDO MANOBRA DE TRANSBORDO"),0)+IFERROR(SUMIFS('Base bordo CD'!M$2:M$875,'Base bordo CD'!D$2:D$875,A132,'Base bordo CD'!A$2:A$875,B132,'Base bordo CD'!L$2:L$875,"FALTA DE TRANSBORDO"),0)</f>
        <v>0.11694444444444443</v>
      </c>
      <c r="I132" s="10">
        <f>IFERROR(SUMIFS('Base bordo CD'!M$2:M$875,'Base bordo CD'!D$2:D$875,A132,'Base bordo CD'!A$2:A$875,B132,'Base bordo CD'!L$2:L$875,"PARADA POR CONDICOES CLIMATICAS"),0)+IFERROR(SUMIFS('Base bordo CD'!M$2:M$875,'Base bordo CD'!D$2:D$875,A132,'Base bordo CD'!A$2:A$875,B132,'Base bordo CD'!L$2:L$875,"TEMPO INDETERMINADO"),0)</f>
        <v>15.6625</v>
      </c>
      <c r="J132" s="10">
        <f>IFERROR(SUMIFS('Base bordo CD'!M$2:M$875,'Base bordo CD'!D$2:D$875,A132,'Base bordo CD'!A$2:A$875,B132,'Base bordo CD'!L$2:L$875,"LIMITAÇÃO INDÚSTRIA"),0)</f>
        <v>0</v>
      </c>
      <c r="K132" s="10">
        <f>IFERROR(SUMIFS('Base bordo CD'!M$2:M$875,'Base bordo CD'!D$2:D$875,A132,'Base bordo CD'!A$2:A$875,B132,'Base bordo CD'!L$2:L$875,"MAN CORRETIVA*"),0)+IFERROR(SUMIFS('Base bordo CD'!M$2:M$875,'Base bordo CD'!D$2:D$875,A132,'Base bordo CD'!A$2:A$875,B132,'Base bordo CD'!L$2:L$875,"AGUARDANDO MANUTENCAO*"),0)+IFERROR(SUMIFS('Base bordo CD'!M$2:M$875,'Base bordo CD'!D$2:D$875,A132,'Base bordo CD'!A$2:A$875,B132,'Base bordo CD'!L$2:L$875,"TROCA DE FAQUINHA"),0)+IFERROR(SUMIFS('Base bordo CD'!M$2:M$875,'Base bordo CD'!D$2:D$875,A132,'Base bordo CD'!A$2:A$875,B132,'Base bordo CD'!L$2:L$875,"LIMPEZA*"),0)</f>
        <v>0</v>
      </c>
      <c r="L132" s="10">
        <f>IFERROR(SUMIFS('Base bordo CD'!M$2:M$875,'Base bordo CD'!D$2:D$875,A132,'Base bordo CD'!A$2:A$875,B132,'Base bordo CD'!L$2:L$875,"PATIO - RESERVA"),0)</f>
        <v>0</v>
      </c>
      <c r="M132" s="10">
        <f>IFERROR(SUMIFS('Base bordo CD'!M$2:M$875,'Base bordo CD'!D$2:D$875,A132,'Base bordo CD'!A$2:A$875,B132,'Base bordo CD'!L$2:L$875,"SEM APONTAMENTO"),0)</f>
        <v>0.11027777777777779</v>
      </c>
      <c r="N132" s="10">
        <f>IFERROR(SUMIFS('Base bordo CD'!M$2:M$875,'Base bordo CD'!D$2:D$875,A132,'Base bordo CD'!A$2:A$875,B132,'Base bordo CD'!L$2:L$875,"FALTA DE CAMINHÃO"),0)+IFERROR(SUMIFS('Base bordo CD'!M$2:M$875,'Base bordo CD'!D$2:D$875,A132,'Base bordo CD'!A$2:A$875,B132,'Base bordo CD'!L$2:L$875,"FALTA DE COMBUSTIVEL"),0)+IFERROR(SUMIFS('Base bordo CD'!M$2:M$875,'Base bordo CD'!D$2:D$875,A132,'Base bordo CD'!A$2:A$875,B132,'Base bordo CD'!L$2:L$875,"FALTA DE MOTORIST*"),0)</f>
        <v>0</v>
      </c>
      <c r="O132" s="10">
        <f t="shared" si="15"/>
        <v>4.1588888888888889</v>
      </c>
      <c r="P132" s="10">
        <f>IFERROR(SUMIFS('Base bordo CD'!M$2:M$875,'Base bordo CD'!D$2:D$875,A132,'Base bordo CD'!A$2:A$875,B132),0)</f>
        <v>24</v>
      </c>
      <c r="Q132" s="10">
        <f>IFERROR(SUMIFS('Base bordo CD'!O$2:O$875,'Base bordo CD'!D$2:D$875,A132,'Base bordo CD'!A$2:A$875,B132,'Base bordo CD'!L$2:L$875,"CORTE DE CANA MECANIZADO"),0)</f>
        <v>43747.89</v>
      </c>
      <c r="R132" s="10">
        <f>IFERROR(SUMIFS('Base bordo CD'!Q$2:Q$875,'Base bordo CD'!D$2:D$875,A132,'Base bordo CD'!A$2:A$875,B132,'Base bordo CD'!L$2:L$875,"CORTE DE CANA MECANIZADO"),0)</f>
        <v>9955</v>
      </c>
      <c r="S132" s="30">
        <f t="shared" si="16"/>
        <v>4.3945645404319436</v>
      </c>
      <c r="T132" s="9">
        <f t="shared" si="17"/>
        <v>0.1152199074074074</v>
      </c>
      <c r="U132" s="9">
        <f t="shared" si="18"/>
        <v>3.8344907407407404E-2</v>
      </c>
      <c r="V132" s="9">
        <f t="shared" si="19"/>
        <v>0.87370370370370376</v>
      </c>
    </row>
    <row r="133" spans="1:22" hidden="1" x14ac:dyDescent="0.35">
      <c r="A133" s="52">
        <v>49590</v>
      </c>
      <c r="B133" s="31">
        <v>46123</v>
      </c>
      <c r="C133" s="7" t="s">
        <v>321</v>
      </c>
      <c r="D133" s="7">
        <v>351</v>
      </c>
      <c r="E133" s="10">
        <f>IFERROR(SUMIFS('Base bordo CD'!M$2:M$875,'Base bordo CD'!D$2:D$875,A133,'Base bordo CD'!A$2:A$875,B133,'Base bordo CD'!L$2:L$875,"CORTE DE CANA MECANIZADO"),0)</f>
        <v>2.7652777777777775</v>
      </c>
      <c r="F133" s="10">
        <f>IFERROR(SUMIFS('Base bordo CD'!M$2:M$875,'Base bordo CD'!D$2:D$875,A133,'Base bordo CD'!A$2:A$875,B133,'Base bordo CD'!L$2:L$875,"MANOBRA"),0)</f>
        <v>0.92027777777777775</v>
      </c>
      <c r="G133" s="10">
        <f>IFERROR(SUMIFS('Base bordo CD'!M$2:M$875,'Base bordo CD'!D$2:D$875,A133,'Base bordo CD'!A$2:A$875,B133,'Base bordo CD'!L$2:L$875,"DESLOCAMENTO"),0)</f>
        <v>0.26583333333333337</v>
      </c>
      <c r="H133" s="10">
        <f>IFERROR(SUMIFS('Base bordo CD'!M$2:M$875,'Base bordo CD'!D$2:D$875,A133,'Base bordo CD'!A$2:A$875,B133,'Base bordo CD'!L$2:L$875,"AGUARDANDO MANOBRA DE TRANSBORDO"),0)+IFERROR(SUMIFS('Base bordo CD'!M$2:M$875,'Base bordo CD'!D$2:D$875,A133,'Base bordo CD'!A$2:A$875,B133,'Base bordo CD'!L$2:L$875,"FALTA DE TRANSBORDO"),0)</f>
        <v>0.11694444444444443</v>
      </c>
      <c r="I133" s="10">
        <f>IFERROR(SUMIFS('Base bordo CD'!M$2:M$875,'Base bordo CD'!D$2:D$875,A133,'Base bordo CD'!A$2:A$875,B133,'Base bordo CD'!L$2:L$875,"PARADA POR CONDICOES CLIMATICAS"),0)+IFERROR(SUMIFS('Base bordo CD'!M$2:M$875,'Base bordo CD'!D$2:D$875,A133,'Base bordo CD'!A$2:A$875,B133,'Base bordo CD'!L$2:L$875,"TEMPO INDETERMINADO"),0)</f>
        <v>15.6625</v>
      </c>
      <c r="J133" s="10">
        <f>IFERROR(SUMIFS('Base bordo CD'!M$2:M$875,'Base bordo CD'!D$2:D$875,A133,'Base bordo CD'!A$2:A$875,B133,'Base bordo CD'!L$2:L$875,"LIMITAÇÃO INDÚSTRIA"),0)</f>
        <v>0</v>
      </c>
      <c r="K133" s="10">
        <f>IFERROR(SUMIFS('Base bordo CD'!M$2:M$875,'Base bordo CD'!D$2:D$875,A133,'Base bordo CD'!A$2:A$875,B133,'Base bordo CD'!L$2:L$875,"MAN CORRETIVA*"),0)+IFERROR(SUMIFS('Base bordo CD'!M$2:M$875,'Base bordo CD'!D$2:D$875,A133,'Base bordo CD'!A$2:A$875,B133,'Base bordo CD'!L$2:L$875,"AGUARDANDO MANUTENCAO*"),0)+IFERROR(SUMIFS('Base bordo CD'!M$2:M$875,'Base bordo CD'!D$2:D$875,A133,'Base bordo CD'!A$2:A$875,B133,'Base bordo CD'!L$2:L$875,"TROCA DE FAQUINHA"),0)+IFERROR(SUMIFS('Base bordo CD'!M$2:M$875,'Base bordo CD'!D$2:D$875,A133,'Base bordo CD'!A$2:A$875,B133,'Base bordo CD'!L$2:L$875,"LIMPEZA*"),0)</f>
        <v>0</v>
      </c>
      <c r="L133" s="10">
        <f>IFERROR(SUMIFS('Base bordo CD'!M$2:M$875,'Base bordo CD'!D$2:D$875,A133,'Base bordo CD'!A$2:A$875,B133,'Base bordo CD'!L$2:L$875,"PATIO - RESERVA"),0)</f>
        <v>0</v>
      </c>
      <c r="M133" s="10">
        <f>IFERROR(SUMIFS('Base bordo CD'!M$2:M$875,'Base bordo CD'!D$2:D$875,A133,'Base bordo CD'!A$2:A$875,B133,'Base bordo CD'!L$2:L$875,"SEM APONTAMENTO"),0)</f>
        <v>0.11027777777777779</v>
      </c>
      <c r="N133" s="10">
        <f>IFERROR(SUMIFS('Base bordo CD'!M$2:M$875,'Base bordo CD'!D$2:D$875,A133,'Base bordo CD'!A$2:A$875,B133,'Base bordo CD'!L$2:L$875,"FALTA DE CAMINHÃO"),0)+IFERROR(SUMIFS('Base bordo CD'!M$2:M$875,'Base bordo CD'!D$2:D$875,A133,'Base bordo CD'!A$2:A$875,B133,'Base bordo CD'!L$2:L$875,"FALTA DE COMBUSTIVEL"),0)+IFERROR(SUMIFS('Base bordo CD'!M$2:M$875,'Base bordo CD'!D$2:D$875,A133,'Base bordo CD'!A$2:A$875,B133,'Base bordo CD'!L$2:L$875,"FALTA DE MOTORIST*"),0)</f>
        <v>0</v>
      </c>
      <c r="O133" s="10">
        <f t="shared" si="15"/>
        <v>4.1588888888888889</v>
      </c>
      <c r="P133" s="10">
        <f>IFERROR(SUMIFS('Base bordo CD'!M$2:M$875,'Base bordo CD'!D$2:D$875,A133,'Base bordo CD'!A$2:A$875,B133),0)</f>
        <v>24</v>
      </c>
      <c r="Q133" s="10">
        <f>IFERROR(SUMIFS('Base bordo CD'!O$2:O$875,'Base bordo CD'!D$2:D$875,A133,'Base bordo CD'!A$2:A$875,B133,'Base bordo CD'!L$2:L$875,"CORTE DE CANA MECANIZADO"),0)</f>
        <v>43747.89</v>
      </c>
      <c r="R133" s="10">
        <f>IFERROR(SUMIFS('Base bordo CD'!Q$2:Q$875,'Base bordo CD'!D$2:D$875,A133,'Base bordo CD'!A$2:A$875,B133,'Base bordo CD'!L$2:L$875,"CORTE DE CANA MECANIZADO"),0)</f>
        <v>9955</v>
      </c>
      <c r="S133" s="30">
        <f t="shared" si="16"/>
        <v>4.3945645404319436</v>
      </c>
      <c r="T133" s="9">
        <f t="shared" si="17"/>
        <v>0.1152199074074074</v>
      </c>
      <c r="U133" s="9">
        <f t="shared" si="18"/>
        <v>3.8344907407407404E-2</v>
      </c>
      <c r="V133" s="9">
        <f t="shared" si="19"/>
        <v>0.87370370370370376</v>
      </c>
    </row>
    <row r="134" spans="1:22" hidden="1" x14ac:dyDescent="0.35">
      <c r="A134" s="52">
        <v>49590</v>
      </c>
      <c r="B134" s="31">
        <v>46123</v>
      </c>
      <c r="C134" s="7" t="s">
        <v>321</v>
      </c>
      <c r="D134" s="7">
        <v>351</v>
      </c>
      <c r="E134" s="10">
        <f>IFERROR(SUMIFS('Base bordo CD'!M$2:M$875,'Base bordo CD'!D$2:D$875,A134,'Base bordo CD'!A$2:A$875,B134,'Base bordo CD'!L$2:L$875,"CORTE DE CANA MECANIZADO"),0)</f>
        <v>2.7652777777777775</v>
      </c>
      <c r="F134" s="10">
        <f>IFERROR(SUMIFS('Base bordo CD'!M$2:M$875,'Base bordo CD'!D$2:D$875,A134,'Base bordo CD'!A$2:A$875,B134,'Base bordo CD'!L$2:L$875,"MANOBRA"),0)</f>
        <v>0.92027777777777775</v>
      </c>
      <c r="G134" s="10">
        <f>IFERROR(SUMIFS('Base bordo CD'!M$2:M$875,'Base bordo CD'!D$2:D$875,A134,'Base bordo CD'!A$2:A$875,B134,'Base bordo CD'!L$2:L$875,"DESLOCAMENTO"),0)</f>
        <v>0.26583333333333337</v>
      </c>
      <c r="H134" s="10">
        <f>IFERROR(SUMIFS('Base bordo CD'!M$2:M$875,'Base bordo CD'!D$2:D$875,A134,'Base bordo CD'!A$2:A$875,B134,'Base bordo CD'!L$2:L$875,"AGUARDANDO MANOBRA DE TRANSBORDO"),0)+IFERROR(SUMIFS('Base bordo CD'!M$2:M$875,'Base bordo CD'!D$2:D$875,A134,'Base bordo CD'!A$2:A$875,B134,'Base bordo CD'!L$2:L$875,"FALTA DE TRANSBORDO"),0)</f>
        <v>0.11694444444444443</v>
      </c>
      <c r="I134" s="10">
        <f>IFERROR(SUMIFS('Base bordo CD'!M$2:M$875,'Base bordo CD'!D$2:D$875,A134,'Base bordo CD'!A$2:A$875,B134,'Base bordo CD'!L$2:L$875,"PARADA POR CONDICOES CLIMATICAS"),0)+IFERROR(SUMIFS('Base bordo CD'!M$2:M$875,'Base bordo CD'!D$2:D$875,A134,'Base bordo CD'!A$2:A$875,B134,'Base bordo CD'!L$2:L$875,"TEMPO INDETERMINADO"),0)</f>
        <v>15.6625</v>
      </c>
      <c r="J134" s="10">
        <f>IFERROR(SUMIFS('Base bordo CD'!M$2:M$875,'Base bordo CD'!D$2:D$875,A134,'Base bordo CD'!A$2:A$875,B134,'Base bordo CD'!L$2:L$875,"LIMITAÇÃO INDÚSTRIA"),0)</f>
        <v>0</v>
      </c>
      <c r="K134" s="10">
        <f>IFERROR(SUMIFS('Base bordo CD'!M$2:M$875,'Base bordo CD'!D$2:D$875,A134,'Base bordo CD'!A$2:A$875,B134,'Base bordo CD'!L$2:L$875,"MAN CORRETIVA*"),0)+IFERROR(SUMIFS('Base bordo CD'!M$2:M$875,'Base bordo CD'!D$2:D$875,A134,'Base bordo CD'!A$2:A$875,B134,'Base bordo CD'!L$2:L$875,"AGUARDANDO MANUTENCAO*"),0)+IFERROR(SUMIFS('Base bordo CD'!M$2:M$875,'Base bordo CD'!D$2:D$875,A134,'Base bordo CD'!A$2:A$875,B134,'Base bordo CD'!L$2:L$875,"TROCA DE FAQUINHA"),0)+IFERROR(SUMIFS('Base bordo CD'!M$2:M$875,'Base bordo CD'!D$2:D$875,A134,'Base bordo CD'!A$2:A$875,B134,'Base bordo CD'!L$2:L$875,"LIMPEZA*"),0)</f>
        <v>0</v>
      </c>
      <c r="L134" s="10">
        <f>IFERROR(SUMIFS('Base bordo CD'!M$2:M$875,'Base bordo CD'!D$2:D$875,A134,'Base bordo CD'!A$2:A$875,B134,'Base bordo CD'!L$2:L$875,"PATIO - RESERVA"),0)</f>
        <v>0</v>
      </c>
      <c r="M134" s="10">
        <f>IFERROR(SUMIFS('Base bordo CD'!M$2:M$875,'Base bordo CD'!D$2:D$875,A134,'Base bordo CD'!A$2:A$875,B134,'Base bordo CD'!L$2:L$875,"SEM APONTAMENTO"),0)</f>
        <v>0.11027777777777779</v>
      </c>
      <c r="N134" s="10">
        <f>IFERROR(SUMIFS('Base bordo CD'!M$2:M$875,'Base bordo CD'!D$2:D$875,A134,'Base bordo CD'!A$2:A$875,B134,'Base bordo CD'!L$2:L$875,"FALTA DE CAMINHÃO"),0)+IFERROR(SUMIFS('Base bordo CD'!M$2:M$875,'Base bordo CD'!D$2:D$875,A134,'Base bordo CD'!A$2:A$875,B134,'Base bordo CD'!L$2:L$875,"FALTA DE COMBUSTIVEL"),0)+IFERROR(SUMIFS('Base bordo CD'!M$2:M$875,'Base bordo CD'!D$2:D$875,A134,'Base bordo CD'!A$2:A$875,B134,'Base bordo CD'!L$2:L$875,"FALTA DE MOTORIST*"),0)</f>
        <v>0</v>
      </c>
      <c r="O134" s="10">
        <f t="shared" si="15"/>
        <v>4.1588888888888889</v>
      </c>
      <c r="P134" s="10">
        <f>IFERROR(SUMIFS('Base bordo CD'!M$2:M$875,'Base bordo CD'!D$2:D$875,A134,'Base bordo CD'!A$2:A$875,B134),0)</f>
        <v>24</v>
      </c>
      <c r="Q134" s="10">
        <f>IFERROR(SUMIFS('Base bordo CD'!O$2:O$875,'Base bordo CD'!D$2:D$875,A134,'Base bordo CD'!A$2:A$875,B134,'Base bordo CD'!L$2:L$875,"CORTE DE CANA MECANIZADO"),0)</f>
        <v>43747.89</v>
      </c>
      <c r="R134" s="10">
        <f>IFERROR(SUMIFS('Base bordo CD'!Q$2:Q$875,'Base bordo CD'!D$2:D$875,A134,'Base bordo CD'!A$2:A$875,B134,'Base bordo CD'!L$2:L$875,"CORTE DE CANA MECANIZADO"),0)</f>
        <v>9955</v>
      </c>
      <c r="S134" s="30">
        <f t="shared" si="16"/>
        <v>4.3945645404319436</v>
      </c>
      <c r="T134" s="9">
        <f t="shared" si="17"/>
        <v>0.1152199074074074</v>
      </c>
      <c r="U134" s="9">
        <f t="shared" si="18"/>
        <v>3.8344907407407404E-2</v>
      </c>
      <c r="V134" s="9">
        <f t="shared" si="19"/>
        <v>0.87370370370370376</v>
      </c>
    </row>
    <row r="135" spans="1:22" hidden="1" x14ac:dyDescent="0.35">
      <c r="A135" s="52">
        <v>49590</v>
      </c>
      <c r="B135" s="31">
        <v>46123</v>
      </c>
      <c r="C135" s="7" t="s">
        <v>321</v>
      </c>
      <c r="D135" s="7">
        <v>351</v>
      </c>
      <c r="E135" s="10">
        <f>IFERROR(SUMIFS('Base bordo CD'!M$2:M$875,'Base bordo CD'!D$2:D$875,A135,'Base bordo CD'!A$2:A$875,B135,'Base bordo CD'!L$2:L$875,"CORTE DE CANA MECANIZADO"),0)</f>
        <v>2.7652777777777775</v>
      </c>
      <c r="F135" s="10">
        <f>IFERROR(SUMIFS('Base bordo CD'!M$2:M$875,'Base bordo CD'!D$2:D$875,A135,'Base bordo CD'!A$2:A$875,B135,'Base bordo CD'!L$2:L$875,"MANOBRA"),0)</f>
        <v>0.92027777777777775</v>
      </c>
      <c r="G135" s="10">
        <f>IFERROR(SUMIFS('Base bordo CD'!M$2:M$875,'Base bordo CD'!D$2:D$875,A135,'Base bordo CD'!A$2:A$875,B135,'Base bordo CD'!L$2:L$875,"DESLOCAMENTO"),0)</f>
        <v>0.26583333333333337</v>
      </c>
      <c r="H135" s="10">
        <f>IFERROR(SUMIFS('Base bordo CD'!M$2:M$875,'Base bordo CD'!D$2:D$875,A135,'Base bordo CD'!A$2:A$875,B135,'Base bordo CD'!L$2:L$875,"AGUARDANDO MANOBRA DE TRANSBORDO"),0)+IFERROR(SUMIFS('Base bordo CD'!M$2:M$875,'Base bordo CD'!D$2:D$875,A135,'Base bordo CD'!A$2:A$875,B135,'Base bordo CD'!L$2:L$875,"FALTA DE TRANSBORDO"),0)</f>
        <v>0.11694444444444443</v>
      </c>
      <c r="I135" s="10">
        <f>IFERROR(SUMIFS('Base bordo CD'!M$2:M$875,'Base bordo CD'!D$2:D$875,A135,'Base bordo CD'!A$2:A$875,B135,'Base bordo CD'!L$2:L$875,"PARADA POR CONDICOES CLIMATICAS"),0)+IFERROR(SUMIFS('Base bordo CD'!M$2:M$875,'Base bordo CD'!D$2:D$875,A135,'Base bordo CD'!A$2:A$875,B135,'Base bordo CD'!L$2:L$875,"TEMPO INDETERMINADO"),0)</f>
        <v>15.6625</v>
      </c>
      <c r="J135" s="10">
        <f>IFERROR(SUMIFS('Base bordo CD'!M$2:M$875,'Base bordo CD'!D$2:D$875,A135,'Base bordo CD'!A$2:A$875,B135,'Base bordo CD'!L$2:L$875,"LIMITAÇÃO INDÚSTRIA"),0)</f>
        <v>0</v>
      </c>
      <c r="K135" s="10">
        <f>IFERROR(SUMIFS('Base bordo CD'!M$2:M$875,'Base bordo CD'!D$2:D$875,A135,'Base bordo CD'!A$2:A$875,B135,'Base bordo CD'!L$2:L$875,"MAN CORRETIVA*"),0)+IFERROR(SUMIFS('Base bordo CD'!M$2:M$875,'Base bordo CD'!D$2:D$875,A135,'Base bordo CD'!A$2:A$875,B135,'Base bordo CD'!L$2:L$875,"AGUARDANDO MANUTENCAO*"),0)+IFERROR(SUMIFS('Base bordo CD'!M$2:M$875,'Base bordo CD'!D$2:D$875,A135,'Base bordo CD'!A$2:A$875,B135,'Base bordo CD'!L$2:L$875,"TROCA DE FAQUINHA"),0)+IFERROR(SUMIFS('Base bordo CD'!M$2:M$875,'Base bordo CD'!D$2:D$875,A135,'Base bordo CD'!A$2:A$875,B135,'Base bordo CD'!L$2:L$875,"LIMPEZA*"),0)</f>
        <v>0</v>
      </c>
      <c r="L135" s="10">
        <f>IFERROR(SUMIFS('Base bordo CD'!M$2:M$875,'Base bordo CD'!D$2:D$875,A135,'Base bordo CD'!A$2:A$875,B135,'Base bordo CD'!L$2:L$875,"PATIO - RESERVA"),0)</f>
        <v>0</v>
      </c>
      <c r="M135" s="10">
        <f>IFERROR(SUMIFS('Base bordo CD'!M$2:M$875,'Base bordo CD'!D$2:D$875,A135,'Base bordo CD'!A$2:A$875,B135,'Base bordo CD'!L$2:L$875,"SEM APONTAMENTO"),0)</f>
        <v>0.11027777777777779</v>
      </c>
      <c r="N135" s="10">
        <f>IFERROR(SUMIFS('Base bordo CD'!M$2:M$875,'Base bordo CD'!D$2:D$875,A135,'Base bordo CD'!A$2:A$875,B135,'Base bordo CD'!L$2:L$875,"FALTA DE CAMINHÃO"),0)+IFERROR(SUMIFS('Base bordo CD'!M$2:M$875,'Base bordo CD'!D$2:D$875,A135,'Base bordo CD'!A$2:A$875,B135,'Base bordo CD'!L$2:L$875,"FALTA DE COMBUSTIVEL"),0)+IFERROR(SUMIFS('Base bordo CD'!M$2:M$875,'Base bordo CD'!D$2:D$875,A135,'Base bordo CD'!A$2:A$875,B135,'Base bordo CD'!L$2:L$875,"FALTA DE MOTORIST*"),0)</f>
        <v>0</v>
      </c>
      <c r="O135" s="10">
        <f t="shared" si="15"/>
        <v>4.1588888888888889</v>
      </c>
      <c r="P135" s="10">
        <f>IFERROR(SUMIFS('Base bordo CD'!M$2:M$875,'Base bordo CD'!D$2:D$875,A135,'Base bordo CD'!A$2:A$875,B135),0)</f>
        <v>24</v>
      </c>
      <c r="Q135" s="10">
        <f>IFERROR(SUMIFS('Base bordo CD'!O$2:O$875,'Base bordo CD'!D$2:D$875,A135,'Base bordo CD'!A$2:A$875,B135,'Base bordo CD'!L$2:L$875,"CORTE DE CANA MECANIZADO"),0)</f>
        <v>43747.89</v>
      </c>
      <c r="R135" s="10">
        <f>IFERROR(SUMIFS('Base bordo CD'!Q$2:Q$875,'Base bordo CD'!D$2:D$875,A135,'Base bordo CD'!A$2:A$875,B135,'Base bordo CD'!L$2:L$875,"CORTE DE CANA MECANIZADO"),0)</f>
        <v>9955</v>
      </c>
      <c r="S135" s="30">
        <f t="shared" si="16"/>
        <v>4.3945645404319436</v>
      </c>
      <c r="T135" s="9">
        <f t="shared" si="17"/>
        <v>0.1152199074074074</v>
      </c>
      <c r="U135" s="9">
        <f t="shared" si="18"/>
        <v>3.8344907407407404E-2</v>
      </c>
      <c r="V135" s="9">
        <f t="shared" si="19"/>
        <v>0.87370370370370376</v>
      </c>
    </row>
    <row r="136" spans="1:22" hidden="1" x14ac:dyDescent="0.35">
      <c r="A136" s="52">
        <v>49590</v>
      </c>
      <c r="B136" s="31">
        <v>46123</v>
      </c>
      <c r="C136" s="7" t="s">
        <v>321</v>
      </c>
      <c r="D136" s="7">
        <v>351</v>
      </c>
      <c r="E136" s="10">
        <f>IFERROR(SUMIFS('Base bordo CD'!M$2:M$875,'Base bordo CD'!D$2:D$875,A136,'Base bordo CD'!A$2:A$875,B136,'Base bordo CD'!L$2:L$875,"CORTE DE CANA MECANIZADO"),0)</f>
        <v>2.7652777777777775</v>
      </c>
      <c r="F136" s="10">
        <f>IFERROR(SUMIFS('Base bordo CD'!M$2:M$875,'Base bordo CD'!D$2:D$875,A136,'Base bordo CD'!A$2:A$875,B136,'Base bordo CD'!L$2:L$875,"MANOBRA"),0)</f>
        <v>0.92027777777777775</v>
      </c>
      <c r="G136" s="10">
        <f>IFERROR(SUMIFS('Base bordo CD'!M$2:M$875,'Base bordo CD'!D$2:D$875,A136,'Base bordo CD'!A$2:A$875,B136,'Base bordo CD'!L$2:L$875,"DESLOCAMENTO"),0)</f>
        <v>0.26583333333333337</v>
      </c>
      <c r="H136" s="10">
        <f>IFERROR(SUMIFS('Base bordo CD'!M$2:M$875,'Base bordo CD'!D$2:D$875,A136,'Base bordo CD'!A$2:A$875,B136,'Base bordo CD'!L$2:L$875,"AGUARDANDO MANOBRA DE TRANSBORDO"),0)+IFERROR(SUMIFS('Base bordo CD'!M$2:M$875,'Base bordo CD'!D$2:D$875,A136,'Base bordo CD'!A$2:A$875,B136,'Base bordo CD'!L$2:L$875,"FALTA DE TRANSBORDO"),0)</f>
        <v>0.11694444444444443</v>
      </c>
      <c r="I136" s="10">
        <f>IFERROR(SUMIFS('Base bordo CD'!M$2:M$875,'Base bordo CD'!D$2:D$875,A136,'Base bordo CD'!A$2:A$875,B136,'Base bordo CD'!L$2:L$875,"PARADA POR CONDICOES CLIMATICAS"),0)+IFERROR(SUMIFS('Base bordo CD'!M$2:M$875,'Base bordo CD'!D$2:D$875,A136,'Base bordo CD'!A$2:A$875,B136,'Base bordo CD'!L$2:L$875,"TEMPO INDETERMINADO"),0)</f>
        <v>15.6625</v>
      </c>
      <c r="J136" s="10">
        <f>IFERROR(SUMIFS('Base bordo CD'!M$2:M$875,'Base bordo CD'!D$2:D$875,A136,'Base bordo CD'!A$2:A$875,B136,'Base bordo CD'!L$2:L$875,"LIMITAÇÃO INDÚSTRIA"),0)</f>
        <v>0</v>
      </c>
      <c r="K136" s="10">
        <f>IFERROR(SUMIFS('Base bordo CD'!M$2:M$875,'Base bordo CD'!D$2:D$875,A136,'Base bordo CD'!A$2:A$875,B136,'Base bordo CD'!L$2:L$875,"MAN CORRETIVA*"),0)+IFERROR(SUMIFS('Base bordo CD'!M$2:M$875,'Base bordo CD'!D$2:D$875,A136,'Base bordo CD'!A$2:A$875,B136,'Base bordo CD'!L$2:L$875,"AGUARDANDO MANUTENCAO*"),0)+IFERROR(SUMIFS('Base bordo CD'!M$2:M$875,'Base bordo CD'!D$2:D$875,A136,'Base bordo CD'!A$2:A$875,B136,'Base bordo CD'!L$2:L$875,"TROCA DE FAQUINHA"),0)+IFERROR(SUMIFS('Base bordo CD'!M$2:M$875,'Base bordo CD'!D$2:D$875,A136,'Base bordo CD'!A$2:A$875,B136,'Base bordo CD'!L$2:L$875,"LIMPEZA*"),0)</f>
        <v>0</v>
      </c>
      <c r="L136" s="10">
        <f>IFERROR(SUMIFS('Base bordo CD'!M$2:M$875,'Base bordo CD'!D$2:D$875,A136,'Base bordo CD'!A$2:A$875,B136,'Base bordo CD'!L$2:L$875,"PATIO - RESERVA"),0)</f>
        <v>0</v>
      </c>
      <c r="M136" s="10">
        <f>IFERROR(SUMIFS('Base bordo CD'!M$2:M$875,'Base bordo CD'!D$2:D$875,A136,'Base bordo CD'!A$2:A$875,B136,'Base bordo CD'!L$2:L$875,"SEM APONTAMENTO"),0)</f>
        <v>0.11027777777777779</v>
      </c>
      <c r="N136" s="10">
        <f>IFERROR(SUMIFS('Base bordo CD'!M$2:M$875,'Base bordo CD'!D$2:D$875,A136,'Base bordo CD'!A$2:A$875,B136,'Base bordo CD'!L$2:L$875,"FALTA DE CAMINHÃO"),0)+IFERROR(SUMIFS('Base bordo CD'!M$2:M$875,'Base bordo CD'!D$2:D$875,A136,'Base bordo CD'!A$2:A$875,B136,'Base bordo CD'!L$2:L$875,"FALTA DE COMBUSTIVEL"),0)+IFERROR(SUMIFS('Base bordo CD'!M$2:M$875,'Base bordo CD'!D$2:D$875,A136,'Base bordo CD'!A$2:A$875,B136,'Base bordo CD'!L$2:L$875,"FALTA DE MOTORIST*"),0)</f>
        <v>0</v>
      </c>
      <c r="O136" s="10">
        <f t="shared" si="15"/>
        <v>4.1588888888888889</v>
      </c>
      <c r="P136" s="10">
        <f>IFERROR(SUMIFS('Base bordo CD'!M$2:M$875,'Base bordo CD'!D$2:D$875,A136,'Base bordo CD'!A$2:A$875,B136),0)</f>
        <v>24</v>
      </c>
      <c r="Q136" s="10">
        <f>IFERROR(SUMIFS('Base bordo CD'!O$2:O$875,'Base bordo CD'!D$2:D$875,A136,'Base bordo CD'!A$2:A$875,B136,'Base bordo CD'!L$2:L$875,"CORTE DE CANA MECANIZADO"),0)</f>
        <v>43747.89</v>
      </c>
      <c r="R136" s="10">
        <f>IFERROR(SUMIFS('Base bordo CD'!Q$2:Q$875,'Base bordo CD'!D$2:D$875,A136,'Base bordo CD'!A$2:A$875,B136,'Base bordo CD'!L$2:L$875,"CORTE DE CANA MECANIZADO"),0)</f>
        <v>9955</v>
      </c>
      <c r="S136" s="30">
        <f t="shared" si="16"/>
        <v>4.3945645404319436</v>
      </c>
      <c r="T136" s="9">
        <f t="shared" si="17"/>
        <v>0.1152199074074074</v>
      </c>
      <c r="U136" s="9">
        <f t="shared" si="18"/>
        <v>3.8344907407407404E-2</v>
      </c>
      <c r="V136" s="9">
        <f t="shared" si="19"/>
        <v>0.87370370370370376</v>
      </c>
    </row>
    <row r="137" spans="1:22" hidden="1" x14ac:dyDescent="0.35">
      <c r="A137" s="52">
        <v>49590</v>
      </c>
      <c r="B137" s="31">
        <v>46123</v>
      </c>
      <c r="C137" s="7" t="s">
        <v>321</v>
      </c>
      <c r="D137" s="7">
        <v>351</v>
      </c>
      <c r="E137" s="10">
        <f>IFERROR(SUMIFS('Base bordo CD'!M$2:M$875,'Base bordo CD'!D$2:D$875,A137,'Base bordo CD'!A$2:A$875,B137,'Base bordo CD'!L$2:L$875,"CORTE DE CANA MECANIZADO"),0)</f>
        <v>2.7652777777777775</v>
      </c>
      <c r="F137" s="10">
        <f>IFERROR(SUMIFS('Base bordo CD'!M$2:M$875,'Base bordo CD'!D$2:D$875,A137,'Base bordo CD'!A$2:A$875,B137,'Base bordo CD'!L$2:L$875,"MANOBRA"),0)</f>
        <v>0.92027777777777775</v>
      </c>
      <c r="G137" s="10">
        <f>IFERROR(SUMIFS('Base bordo CD'!M$2:M$875,'Base bordo CD'!D$2:D$875,A137,'Base bordo CD'!A$2:A$875,B137,'Base bordo CD'!L$2:L$875,"DESLOCAMENTO"),0)</f>
        <v>0.26583333333333337</v>
      </c>
      <c r="H137" s="10">
        <f>IFERROR(SUMIFS('Base bordo CD'!M$2:M$875,'Base bordo CD'!D$2:D$875,A137,'Base bordo CD'!A$2:A$875,B137,'Base bordo CD'!L$2:L$875,"AGUARDANDO MANOBRA DE TRANSBORDO"),0)+IFERROR(SUMIFS('Base bordo CD'!M$2:M$875,'Base bordo CD'!D$2:D$875,A137,'Base bordo CD'!A$2:A$875,B137,'Base bordo CD'!L$2:L$875,"FALTA DE TRANSBORDO"),0)</f>
        <v>0.11694444444444443</v>
      </c>
      <c r="I137" s="10">
        <f>IFERROR(SUMIFS('Base bordo CD'!M$2:M$875,'Base bordo CD'!D$2:D$875,A137,'Base bordo CD'!A$2:A$875,B137,'Base bordo CD'!L$2:L$875,"PARADA POR CONDICOES CLIMATICAS"),0)+IFERROR(SUMIFS('Base bordo CD'!M$2:M$875,'Base bordo CD'!D$2:D$875,A137,'Base bordo CD'!A$2:A$875,B137,'Base bordo CD'!L$2:L$875,"TEMPO INDETERMINADO"),0)</f>
        <v>15.6625</v>
      </c>
      <c r="J137" s="10">
        <f>IFERROR(SUMIFS('Base bordo CD'!M$2:M$875,'Base bordo CD'!D$2:D$875,A137,'Base bordo CD'!A$2:A$875,B137,'Base bordo CD'!L$2:L$875,"LIMITAÇÃO INDÚSTRIA"),0)</f>
        <v>0</v>
      </c>
      <c r="K137" s="10">
        <f>IFERROR(SUMIFS('Base bordo CD'!M$2:M$875,'Base bordo CD'!D$2:D$875,A137,'Base bordo CD'!A$2:A$875,B137,'Base bordo CD'!L$2:L$875,"MAN CORRETIVA*"),0)+IFERROR(SUMIFS('Base bordo CD'!M$2:M$875,'Base bordo CD'!D$2:D$875,A137,'Base bordo CD'!A$2:A$875,B137,'Base bordo CD'!L$2:L$875,"AGUARDANDO MANUTENCAO*"),0)+IFERROR(SUMIFS('Base bordo CD'!M$2:M$875,'Base bordo CD'!D$2:D$875,A137,'Base bordo CD'!A$2:A$875,B137,'Base bordo CD'!L$2:L$875,"TROCA DE FAQUINHA"),0)+IFERROR(SUMIFS('Base bordo CD'!M$2:M$875,'Base bordo CD'!D$2:D$875,A137,'Base bordo CD'!A$2:A$875,B137,'Base bordo CD'!L$2:L$875,"LIMPEZA*"),0)</f>
        <v>0</v>
      </c>
      <c r="L137" s="10">
        <f>IFERROR(SUMIFS('Base bordo CD'!M$2:M$875,'Base bordo CD'!D$2:D$875,A137,'Base bordo CD'!A$2:A$875,B137,'Base bordo CD'!L$2:L$875,"PATIO - RESERVA"),0)</f>
        <v>0</v>
      </c>
      <c r="M137" s="10">
        <f>IFERROR(SUMIFS('Base bordo CD'!M$2:M$875,'Base bordo CD'!D$2:D$875,A137,'Base bordo CD'!A$2:A$875,B137,'Base bordo CD'!L$2:L$875,"SEM APONTAMENTO"),0)</f>
        <v>0.11027777777777779</v>
      </c>
      <c r="N137" s="10">
        <f>IFERROR(SUMIFS('Base bordo CD'!M$2:M$875,'Base bordo CD'!D$2:D$875,A137,'Base bordo CD'!A$2:A$875,B137,'Base bordo CD'!L$2:L$875,"FALTA DE CAMINHÃO"),0)+IFERROR(SUMIFS('Base bordo CD'!M$2:M$875,'Base bordo CD'!D$2:D$875,A137,'Base bordo CD'!A$2:A$875,B137,'Base bordo CD'!L$2:L$875,"FALTA DE COMBUSTIVEL"),0)+IFERROR(SUMIFS('Base bordo CD'!M$2:M$875,'Base bordo CD'!D$2:D$875,A137,'Base bordo CD'!A$2:A$875,B137,'Base bordo CD'!L$2:L$875,"FALTA DE MOTORIST*"),0)</f>
        <v>0</v>
      </c>
      <c r="O137" s="10">
        <f t="shared" si="15"/>
        <v>4.1588888888888889</v>
      </c>
      <c r="P137" s="10">
        <f>IFERROR(SUMIFS('Base bordo CD'!M$2:M$875,'Base bordo CD'!D$2:D$875,A137,'Base bordo CD'!A$2:A$875,B137),0)</f>
        <v>24</v>
      </c>
      <c r="Q137" s="10">
        <f>IFERROR(SUMIFS('Base bordo CD'!O$2:O$875,'Base bordo CD'!D$2:D$875,A137,'Base bordo CD'!A$2:A$875,B137,'Base bordo CD'!L$2:L$875,"CORTE DE CANA MECANIZADO"),0)</f>
        <v>43747.89</v>
      </c>
      <c r="R137" s="10">
        <f>IFERROR(SUMIFS('Base bordo CD'!Q$2:Q$875,'Base bordo CD'!D$2:D$875,A137,'Base bordo CD'!A$2:A$875,B137,'Base bordo CD'!L$2:L$875,"CORTE DE CANA MECANIZADO"),0)</f>
        <v>9955</v>
      </c>
      <c r="S137" s="30">
        <f t="shared" si="16"/>
        <v>4.3945645404319436</v>
      </c>
      <c r="T137" s="9">
        <f t="shared" si="17"/>
        <v>0.1152199074074074</v>
      </c>
      <c r="U137" s="9">
        <f t="shared" si="18"/>
        <v>3.8344907407407404E-2</v>
      </c>
      <c r="V137" s="9">
        <f t="shared" si="19"/>
        <v>0.87370370370370376</v>
      </c>
    </row>
    <row r="138" spans="1:22" hidden="1" x14ac:dyDescent="0.35">
      <c r="A138" s="52">
        <v>49590</v>
      </c>
      <c r="B138" s="31">
        <v>46123</v>
      </c>
      <c r="C138" s="7" t="s">
        <v>321</v>
      </c>
      <c r="D138" s="7">
        <v>351</v>
      </c>
      <c r="E138" s="10">
        <f>IFERROR(SUMIFS('Base bordo CD'!M$2:M$875,'Base bordo CD'!D$2:D$875,A138,'Base bordo CD'!A$2:A$875,B138,'Base bordo CD'!L$2:L$875,"CORTE DE CANA MECANIZADO"),0)</f>
        <v>2.7652777777777775</v>
      </c>
      <c r="F138" s="10">
        <f>IFERROR(SUMIFS('Base bordo CD'!M$2:M$875,'Base bordo CD'!D$2:D$875,A138,'Base bordo CD'!A$2:A$875,B138,'Base bordo CD'!L$2:L$875,"MANOBRA"),0)</f>
        <v>0.92027777777777775</v>
      </c>
      <c r="G138" s="10">
        <f>IFERROR(SUMIFS('Base bordo CD'!M$2:M$875,'Base bordo CD'!D$2:D$875,A138,'Base bordo CD'!A$2:A$875,B138,'Base bordo CD'!L$2:L$875,"DESLOCAMENTO"),0)</f>
        <v>0.26583333333333337</v>
      </c>
      <c r="H138" s="10">
        <f>IFERROR(SUMIFS('Base bordo CD'!M$2:M$875,'Base bordo CD'!D$2:D$875,A138,'Base bordo CD'!A$2:A$875,B138,'Base bordo CD'!L$2:L$875,"AGUARDANDO MANOBRA DE TRANSBORDO"),0)+IFERROR(SUMIFS('Base bordo CD'!M$2:M$875,'Base bordo CD'!D$2:D$875,A138,'Base bordo CD'!A$2:A$875,B138,'Base bordo CD'!L$2:L$875,"FALTA DE TRANSBORDO"),0)</f>
        <v>0.11694444444444443</v>
      </c>
      <c r="I138" s="10">
        <f>IFERROR(SUMIFS('Base bordo CD'!M$2:M$875,'Base bordo CD'!D$2:D$875,A138,'Base bordo CD'!A$2:A$875,B138,'Base bordo CD'!L$2:L$875,"PARADA POR CONDICOES CLIMATICAS"),0)+IFERROR(SUMIFS('Base bordo CD'!M$2:M$875,'Base bordo CD'!D$2:D$875,A138,'Base bordo CD'!A$2:A$875,B138,'Base bordo CD'!L$2:L$875,"TEMPO INDETERMINADO"),0)</f>
        <v>15.6625</v>
      </c>
      <c r="J138" s="10">
        <f>IFERROR(SUMIFS('Base bordo CD'!M$2:M$875,'Base bordo CD'!D$2:D$875,A138,'Base bordo CD'!A$2:A$875,B138,'Base bordo CD'!L$2:L$875,"LIMITAÇÃO INDÚSTRIA"),0)</f>
        <v>0</v>
      </c>
      <c r="K138" s="10">
        <f>IFERROR(SUMIFS('Base bordo CD'!M$2:M$875,'Base bordo CD'!D$2:D$875,A138,'Base bordo CD'!A$2:A$875,B138,'Base bordo CD'!L$2:L$875,"MAN CORRETIVA*"),0)+IFERROR(SUMIFS('Base bordo CD'!M$2:M$875,'Base bordo CD'!D$2:D$875,A138,'Base bordo CD'!A$2:A$875,B138,'Base bordo CD'!L$2:L$875,"AGUARDANDO MANUTENCAO*"),0)+IFERROR(SUMIFS('Base bordo CD'!M$2:M$875,'Base bordo CD'!D$2:D$875,A138,'Base bordo CD'!A$2:A$875,B138,'Base bordo CD'!L$2:L$875,"TROCA DE FAQUINHA"),0)+IFERROR(SUMIFS('Base bordo CD'!M$2:M$875,'Base bordo CD'!D$2:D$875,A138,'Base bordo CD'!A$2:A$875,B138,'Base bordo CD'!L$2:L$875,"LIMPEZA*"),0)</f>
        <v>0</v>
      </c>
      <c r="L138" s="10">
        <f>IFERROR(SUMIFS('Base bordo CD'!M$2:M$875,'Base bordo CD'!D$2:D$875,A138,'Base bordo CD'!A$2:A$875,B138,'Base bordo CD'!L$2:L$875,"PATIO - RESERVA"),0)</f>
        <v>0</v>
      </c>
      <c r="M138" s="10">
        <f>IFERROR(SUMIFS('Base bordo CD'!M$2:M$875,'Base bordo CD'!D$2:D$875,A138,'Base bordo CD'!A$2:A$875,B138,'Base bordo CD'!L$2:L$875,"SEM APONTAMENTO"),0)</f>
        <v>0.11027777777777779</v>
      </c>
      <c r="N138" s="10">
        <f>IFERROR(SUMIFS('Base bordo CD'!M$2:M$875,'Base bordo CD'!D$2:D$875,A138,'Base bordo CD'!A$2:A$875,B138,'Base bordo CD'!L$2:L$875,"FALTA DE CAMINHÃO"),0)+IFERROR(SUMIFS('Base bordo CD'!M$2:M$875,'Base bordo CD'!D$2:D$875,A138,'Base bordo CD'!A$2:A$875,B138,'Base bordo CD'!L$2:L$875,"FALTA DE COMBUSTIVEL"),0)+IFERROR(SUMIFS('Base bordo CD'!M$2:M$875,'Base bordo CD'!D$2:D$875,A138,'Base bordo CD'!A$2:A$875,B138,'Base bordo CD'!L$2:L$875,"FALTA DE MOTORIST*"),0)</f>
        <v>0</v>
      </c>
      <c r="O138" s="10">
        <f t="shared" si="15"/>
        <v>4.1588888888888889</v>
      </c>
      <c r="P138" s="10">
        <f>IFERROR(SUMIFS('Base bordo CD'!M$2:M$875,'Base bordo CD'!D$2:D$875,A138,'Base bordo CD'!A$2:A$875,B138),0)</f>
        <v>24</v>
      </c>
      <c r="Q138" s="10">
        <f>IFERROR(SUMIFS('Base bordo CD'!O$2:O$875,'Base bordo CD'!D$2:D$875,A138,'Base bordo CD'!A$2:A$875,B138,'Base bordo CD'!L$2:L$875,"CORTE DE CANA MECANIZADO"),0)</f>
        <v>43747.89</v>
      </c>
      <c r="R138" s="10">
        <f>IFERROR(SUMIFS('Base bordo CD'!Q$2:Q$875,'Base bordo CD'!D$2:D$875,A138,'Base bordo CD'!A$2:A$875,B138,'Base bordo CD'!L$2:L$875,"CORTE DE CANA MECANIZADO"),0)</f>
        <v>9955</v>
      </c>
      <c r="S138" s="30">
        <f t="shared" si="16"/>
        <v>4.3945645404319436</v>
      </c>
      <c r="T138" s="9">
        <f t="shared" si="17"/>
        <v>0.1152199074074074</v>
      </c>
      <c r="U138" s="9">
        <f t="shared" si="18"/>
        <v>3.8344907407407404E-2</v>
      </c>
      <c r="V138" s="9">
        <f t="shared" si="19"/>
        <v>0.87370370370370376</v>
      </c>
    </row>
    <row r="139" spans="1:22" hidden="1" x14ac:dyDescent="0.35">
      <c r="A139" s="52">
        <v>49590</v>
      </c>
      <c r="B139" s="31">
        <v>46123</v>
      </c>
      <c r="C139" s="7" t="s">
        <v>321</v>
      </c>
      <c r="D139" s="7">
        <v>351</v>
      </c>
      <c r="E139" s="10">
        <f>IFERROR(SUMIFS('Base bordo CD'!M$2:M$875,'Base bordo CD'!D$2:D$875,A139,'Base bordo CD'!A$2:A$875,B139,'Base bordo CD'!L$2:L$875,"CORTE DE CANA MECANIZADO"),0)</f>
        <v>2.7652777777777775</v>
      </c>
      <c r="F139" s="10">
        <f>IFERROR(SUMIFS('Base bordo CD'!M$2:M$875,'Base bordo CD'!D$2:D$875,A139,'Base bordo CD'!A$2:A$875,B139,'Base bordo CD'!L$2:L$875,"MANOBRA"),0)</f>
        <v>0.92027777777777775</v>
      </c>
      <c r="G139" s="10">
        <f>IFERROR(SUMIFS('Base bordo CD'!M$2:M$875,'Base bordo CD'!D$2:D$875,A139,'Base bordo CD'!A$2:A$875,B139,'Base bordo CD'!L$2:L$875,"DESLOCAMENTO"),0)</f>
        <v>0.26583333333333337</v>
      </c>
      <c r="H139" s="10">
        <f>IFERROR(SUMIFS('Base bordo CD'!M$2:M$875,'Base bordo CD'!D$2:D$875,A139,'Base bordo CD'!A$2:A$875,B139,'Base bordo CD'!L$2:L$875,"AGUARDANDO MANOBRA DE TRANSBORDO"),0)+IFERROR(SUMIFS('Base bordo CD'!M$2:M$875,'Base bordo CD'!D$2:D$875,A139,'Base bordo CD'!A$2:A$875,B139,'Base bordo CD'!L$2:L$875,"FALTA DE TRANSBORDO"),0)</f>
        <v>0.11694444444444443</v>
      </c>
      <c r="I139" s="10">
        <f>IFERROR(SUMIFS('Base bordo CD'!M$2:M$875,'Base bordo CD'!D$2:D$875,A139,'Base bordo CD'!A$2:A$875,B139,'Base bordo CD'!L$2:L$875,"PARADA POR CONDICOES CLIMATICAS"),0)+IFERROR(SUMIFS('Base bordo CD'!M$2:M$875,'Base bordo CD'!D$2:D$875,A139,'Base bordo CD'!A$2:A$875,B139,'Base bordo CD'!L$2:L$875,"TEMPO INDETERMINADO"),0)</f>
        <v>15.6625</v>
      </c>
      <c r="J139" s="10">
        <f>IFERROR(SUMIFS('Base bordo CD'!M$2:M$875,'Base bordo CD'!D$2:D$875,A139,'Base bordo CD'!A$2:A$875,B139,'Base bordo CD'!L$2:L$875,"LIMITAÇÃO INDÚSTRIA"),0)</f>
        <v>0</v>
      </c>
      <c r="K139" s="10">
        <f>IFERROR(SUMIFS('Base bordo CD'!M$2:M$875,'Base bordo CD'!D$2:D$875,A139,'Base bordo CD'!A$2:A$875,B139,'Base bordo CD'!L$2:L$875,"MAN CORRETIVA*"),0)+IFERROR(SUMIFS('Base bordo CD'!M$2:M$875,'Base bordo CD'!D$2:D$875,A139,'Base bordo CD'!A$2:A$875,B139,'Base bordo CD'!L$2:L$875,"AGUARDANDO MANUTENCAO*"),0)+IFERROR(SUMIFS('Base bordo CD'!M$2:M$875,'Base bordo CD'!D$2:D$875,A139,'Base bordo CD'!A$2:A$875,B139,'Base bordo CD'!L$2:L$875,"TROCA DE FAQUINHA"),0)+IFERROR(SUMIFS('Base bordo CD'!M$2:M$875,'Base bordo CD'!D$2:D$875,A139,'Base bordo CD'!A$2:A$875,B139,'Base bordo CD'!L$2:L$875,"LIMPEZA*"),0)</f>
        <v>0</v>
      </c>
      <c r="L139" s="10">
        <f>IFERROR(SUMIFS('Base bordo CD'!M$2:M$875,'Base bordo CD'!D$2:D$875,A139,'Base bordo CD'!A$2:A$875,B139,'Base bordo CD'!L$2:L$875,"PATIO - RESERVA"),0)</f>
        <v>0</v>
      </c>
      <c r="M139" s="10">
        <f>IFERROR(SUMIFS('Base bordo CD'!M$2:M$875,'Base bordo CD'!D$2:D$875,A139,'Base bordo CD'!A$2:A$875,B139,'Base bordo CD'!L$2:L$875,"SEM APONTAMENTO"),0)</f>
        <v>0.11027777777777779</v>
      </c>
      <c r="N139" s="10">
        <f>IFERROR(SUMIFS('Base bordo CD'!M$2:M$875,'Base bordo CD'!D$2:D$875,A139,'Base bordo CD'!A$2:A$875,B139,'Base bordo CD'!L$2:L$875,"FALTA DE CAMINHÃO"),0)+IFERROR(SUMIFS('Base bordo CD'!M$2:M$875,'Base bordo CD'!D$2:D$875,A139,'Base bordo CD'!A$2:A$875,B139,'Base bordo CD'!L$2:L$875,"FALTA DE COMBUSTIVEL"),0)+IFERROR(SUMIFS('Base bordo CD'!M$2:M$875,'Base bordo CD'!D$2:D$875,A139,'Base bordo CD'!A$2:A$875,B139,'Base bordo CD'!L$2:L$875,"FALTA DE MOTORIST*"),0)</f>
        <v>0</v>
      </c>
      <c r="O139" s="10">
        <f t="shared" si="15"/>
        <v>4.1588888888888889</v>
      </c>
      <c r="P139" s="10">
        <f>IFERROR(SUMIFS('Base bordo CD'!M$2:M$875,'Base bordo CD'!D$2:D$875,A139,'Base bordo CD'!A$2:A$875,B139),0)</f>
        <v>24</v>
      </c>
      <c r="Q139" s="10">
        <f>IFERROR(SUMIFS('Base bordo CD'!O$2:O$875,'Base bordo CD'!D$2:D$875,A139,'Base bordo CD'!A$2:A$875,B139,'Base bordo CD'!L$2:L$875,"CORTE DE CANA MECANIZADO"),0)</f>
        <v>43747.89</v>
      </c>
      <c r="R139" s="10">
        <f>IFERROR(SUMIFS('Base bordo CD'!Q$2:Q$875,'Base bordo CD'!D$2:D$875,A139,'Base bordo CD'!A$2:A$875,B139,'Base bordo CD'!L$2:L$875,"CORTE DE CANA MECANIZADO"),0)</f>
        <v>9955</v>
      </c>
      <c r="S139" s="30">
        <f t="shared" si="16"/>
        <v>4.3945645404319436</v>
      </c>
      <c r="T139" s="9">
        <f t="shared" si="17"/>
        <v>0.1152199074074074</v>
      </c>
      <c r="U139" s="9">
        <f t="shared" si="18"/>
        <v>3.8344907407407404E-2</v>
      </c>
      <c r="V139" s="9">
        <f t="shared" si="19"/>
        <v>0.87370370370370376</v>
      </c>
    </row>
    <row r="140" spans="1:22" hidden="1" x14ac:dyDescent="0.35">
      <c r="A140" s="52">
        <v>49590</v>
      </c>
      <c r="B140" s="31">
        <v>46123</v>
      </c>
      <c r="C140" s="7" t="s">
        <v>321</v>
      </c>
      <c r="D140" s="7">
        <v>351</v>
      </c>
      <c r="E140" s="10">
        <f>IFERROR(SUMIFS('Base bordo CD'!M$2:M$875,'Base bordo CD'!D$2:D$875,A140,'Base bordo CD'!A$2:A$875,B140,'Base bordo CD'!L$2:L$875,"CORTE DE CANA MECANIZADO"),0)</f>
        <v>2.7652777777777775</v>
      </c>
      <c r="F140" s="10">
        <f>IFERROR(SUMIFS('Base bordo CD'!M$2:M$875,'Base bordo CD'!D$2:D$875,A140,'Base bordo CD'!A$2:A$875,B140,'Base bordo CD'!L$2:L$875,"MANOBRA"),0)</f>
        <v>0.92027777777777775</v>
      </c>
      <c r="G140" s="10">
        <f>IFERROR(SUMIFS('Base bordo CD'!M$2:M$875,'Base bordo CD'!D$2:D$875,A140,'Base bordo CD'!A$2:A$875,B140,'Base bordo CD'!L$2:L$875,"DESLOCAMENTO"),0)</f>
        <v>0.26583333333333337</v>
      </c>
      <c r="H140" s="10">
        <f>IFERROR(SUMIFS('Base bordo CD'!M$2:M$875,'Base bordo CD'!D$2:D$875,A140,'Base bordo CD'!A$2:A$875,B140,'Base bordo CD'!L$2:L$875,"AGUARDANDO MANOBRA DE TRANSBORDO"),0)+IFERROR(SUMIFS('Base bordo CD'!M$2:M$875,'Base bordo CD'!D$2:D$875,A140,'Base bordo CD'!A$2:A$875,B140,'Base bordo CD'!L$2:L$875,"FALTA DE TRANSBORDO"),0)</f>
        <v>0.11694444444444443</v>
      </c>
      <c r="I140" s="10">
        <f>IFERROR(SUMIFS('Base bordo CD'!M$2:M$875,'Base bordo CD'!D$2:D$875,A140,'Base bordo CD'!A$2:A$875,B140,'Base bordo CD'!L$2:L$875,"PARADA POR CONDICOES CLIMATICAS"),0)+IFERROR(SUMIFS('Base bordo CD'!M$2:M$875,'Base bordo CD'!D$2:D$875,A140,'Base bordo CD'!A$2:A$875,B140,'Base bordo CD'!L$2:L$875,"TEMPO INDETERMINADO"),0)</f>
        <v>15.6625</v>
      </c>
      <c r="J140" s="10">
        <f>IFERROR(SUMIFS('Base bordo CD'!M$2:M$875,'Base bordo CD'!D$2:D$875,A140,'Base bordo CD'!A$2:A$875,B140,'Base bordo CD'!L$2:L$875,"LIMITAÇÃO INDÚSTRIA"),0)</f>
        <v>0</v>
      </c>
      <c r="K140" s="10">
        <f>IFERROR(SUMIFS('Base bordo CD'!M$2:M$875,'Base bordo CD'!D$2:D$875,A140,'Base bordo CD'!A$2:A$875,B140,'Base bordo CD'!L$2:L$875,"MAN CORRETIVA*"),0)+IFERROR(SUMIFS('Base bordo CD'!M$2:M$875,'Base bordo CD'!D$2:D$875,A140,'Base bordo CD'!A$2:A$875,B140,'Base bordo CD'!L$2:L$875,"AGUARDANDO MANUTENCAO*"),0)+IFERROR(SUMIFS('Base bordo CD'!M$2:M$875,'Base bordo CD'!D$2:D$875,A140,'Base bordo CD'!A$2:A$875,B140,'Base bordo CD'!L$2:L$875,"TROCA DE FAQUINHA"),0)+IFERROR(SUMIFS('Base bordo CD'!M$2:M$875,'Base bordo CD'!D$2:D$875,A140,'Base bordo CD'!A$2:A$875,B140,'Base bordo CD'!L$2:L$875,"LIMPEZA*"),0)</f>
        <v>0</v>
      </c>
      <c r="L140" s="10">
        <f>IFERROR(SUMIFS('Base bordo CD'!M$2:M$875,'Base bordo CD'!D$2:D$875,A140,'Base bordo CD'!A$2:A$875,B140,'Base bordo CD'!L$2:L$875,"PATIO - RESERVA"),0)</f>
        <v>0</v>
      </c>
      <c r="M140" s="10">
        <f>IFERROR(SUMIFS('Base bordo CD'!M$2:M$875,'Base bordo CD'!D$2:D$875,A140,'Base bordo CD'!A$2:A$875,B140,'Base bordo CD'!L$2:L$875,"SEM APONTAMENTO"),0)</f>
        <v>0.11027777777777779</v>
      </c>
      <c r="N140" s="10">
        <f>IFERROR(SUMIFS('Base bordo CD'!M$2:M$875,'Base bordo CD'!D$2:D$875,A140,'Base bordo CD'!A$2:A$875,B140,'Base bordo CD'!L$2:L$875,"FALTA DE CAMINHÃO"),0)+IFERROR(SUMIFS('Base bordo CD'!M$2:M$875,'Base bordo CD'!D$2:D$875,A140,'Base bordo CD'!A$2:A$875,B140,'Base bordo CD'!L$2:L$875,"FALTA DE COMBUSTIVEL"),0)+IFERROR(SUMIFS('Base bordo CD'!M$2:M$875,'Base bordo CD'!D$2:D$875,A140,'Base bordo CD'!A$2:A$875,B140,'Base bordo CD'!L$2:L$875,"FALTA DE MOTORIST*"),0)</f>
        <v>0</v>
      </c>
      <c r="O140" s="10">
        <f t="shared" si="15"/>
        <v>4.1588888888888889</v>
      </c>
      <c r="P140" s="10">
        <f>IFERROR(SUMIFS('Base bordo CD'!M$2:M$875,'Base bordo CD'!D$2:D$875,A140,'Base bordo CD'!A$2:A$875,B140),0)</f>
        <v>24</v>
      </c>
      <c r="Q140" s="10">
        <f>IFERROR(SUMIFS('Base bordo CD'!O$2:O$875,'Base bordo CD'!D$2:D$875,A140,'Base bordo CD'!A$2:A$875,B140,'Base bordo CD'!L$2:L$875,"CORTE DE CANA MECANIZADO"),0)</f>
        <v>43747.89</v>
      </c>
      <c r="R140" s="10">
        <f>IFERROR(SUMIFS('Base bordo CD'!Q$2:Q$875,'Base bordo CD'!D$2:D$875,A140,'Base bordo CD'!A$2:A$875,B140,'Base bordo CD'!L$2:L$875,"CORTE DE CANA MECANIZADO"),0)</f>
        <v>9955</v>
      </c>
      <c r="S140" s="30">
        <f t="shared" si="16"/>
        <v>4.3945645404319436</v>
      </c>
      <c r="T140" s="9">
        <f t="shared" si="17"/>
        <v>0.1152199074074074</v>
      </c>
      <c r="U140" s="9">
        <f t="shared" si="18"/>
        <v>3.8344907407407404E-2</v>
      </c>
      <c r="V140" s="9">
        <f t="shared" si="19"/>
        <v>0.87370370370370376</v>
      </c>
    </row>
    <row r="141" spans="1:22" hidden="1" x14ac:dyDescent="0.35">
      <c r="A141" s="52">
        <v>49590</v>
      </c>
      <c r="B141" s="31">
        <v>46123</v>
      </c>
      <c r="C141" s="7" t="s">
        <v>321</v>
      </c>
      <c r="D141" s="7">
        <v>351</v>
      </c>
      <c r="E141" s="10">
        <f>IFERROR(SUMIFS('Base bordo CD'!M$2:M$875,'Base bordo CD'!D$2:D$875,A141,'Base bordo CD'!A$2:A$875,B141,'Base bordo CD'!L$2:L$875,"CORTE DE CANA MECANIZADO"),0)</f>
        <v>2.7652777777777775</v>
      </c>
      <c r="F141" s="10">
        <f>IFERROR(SUMIFS('Base bordo CD'!M$2:M$875,'Base bordo CD'!D$2:D$875,A141,'Base bordo CD'!A$2:A$875,B141,'Base bordo CD'!L$2:L$875,"MANOBRA"),0)</f>
        <v>0.92027777777777775</v>
      </c>
      <c r="G141" s="10">
        <f>IFERROR(SUMIFS('Base bordo CD'!M$2:M$875,'Base bordo CD'!D$2:D$875,A141,'Base bordo CD'!A$2:A$875,B141,'Base bordo CD'!L$2:L$875,"DESLOCAMENTO"),0)</f>
        <v>0.26583333333333337</v>
      </c>
      <c r="H141" s="10">
        <f>IFERROR(SUMIFS('Base bordo CD'!M$2:M$875,'Base bordo CD'!D$2:D$875,A141,'Base bordo CD'!A$2:A$875,B141,'Base bordo CD'!L$2:L$875,"AGUARDANDO MANOBRA DE TRANSBORDO"),0)+IFERROR(SUMIFS('Base bordo CD'!M$2:M$875,'Base bordo CD'!D$2:D$875,A141,'Base bordo CD'!A$2:A$875,B141,'Base bordo CD'!L$2:L$875,"FALTA DE TRANSBORDO"),0)</f>
        <v>0.11694444444444443</v>
      </c>
      <c r="I141" s="10">
        <f>IFERROR(SUMIFS('Base bordo CD'!M$2:M$875,'Base bordo CD'!D$2:D$875,A141,'Base bordo CD'!A$2:A$875,B141,'Base bordo CD'!L$2:L$875,"PARADA POR CONDICOES CLIMATICAS"),0)+IFERROR(SUMIFS('Base bordo CD'!M$2:M$875,'Base bordo CD'!D$2:D$875,A141,'Base bordo CD'!A$2:A$875,B141,'Base bordo CD'!L$2:L$875,"TEMPO INDETERMINADO"),0)</f>
        <v>15.6625</v>
      </c>
      <c r="J141" s="10">
        <f>IFERROR(SUMIFS('Base bordo CD'!M$2:M$875,'Base bordo CD'!D$2:D$875,A141,'Base bordo CD'!A$2:A$875,B141,'Base bordo CD'!L$2:L$875,"LIMITAÇÃO INDÚSTRIA"),0)</f>
        <v>0</v>
      </c>
      <c r="K141" s="10">
        <f>IFERROR(SUMIFS('Base bordo CD'!M$2:M$875,'Base bordo CD'!D$2:D$875,A141,'Base bordo CD'!A$2:A$875,B141,'Base bordo CD'!L$2:L$875,"MAN CORRETIVA*"),0)+IFERROR(SUMIFS('Base bordo CD'!M$2:M$875,'Base bordo CD'!D$2:D$875,A141,'Base bordo CD'!A$2:A$875,B141,'Base bordo CD'!L$2:L$875,"AGUARDANDO MANUTENCAO*"),0)+IFERROR(SUMIFS('Base bordo CD'!M$2:M$875,'Base bordo CD'!D$2:D$875,A141,'Base bordo CD'!A$2:A$875,B141,'Base bordo CD'!L$2:L$875,"TROCA DE FAQUINHA"),0)+IFERROR(SUMIFS('Base bordo CD'!M$2:M$875,'Base bordo CD'!D$2:D$875,A141,'Base bordo CD'!A$2:A$875,B141,'Base bordo CD'!L$2:L$875,"LIMPEZA*"),0)</f>
        <v>0</v>
      </c>
      <c r="L141" s="10">
        <f>IFERROR(SUMIFS('Base bordo CD'!M$2:M$875,'Base bordo CD'!D$2:D$875,A141,'Base bordo CD'!A$2:A$875,B141,'Base bordo CD'!L$2:L$875,"PATIO - RESERVA"),0)</f>
        <v>0</v>
      </c>
      <c r="M141" s="10">
        <f>IFERROR(SUMIFS('Base bordo CD'!M$2:M$875,'Base bordo CD'!D$2:D$875,A141,'Base bordo CD'!A$2:A$875,B141,'Base bordo CD'!L$2:L$875,"SEM APONTAMENTO"),0)</f>
        <v>0.11027777777777779</v>
      </c>
      <c r="N141" s="10">
        <f>IFERROR(SUMIFS('Base bordo CD'!M$2:M$875,'Base bordo CD'!D$2:D$875,A141,'Base bordo CD'!A$2:A$875,B141,'Base bordo CD'!L$2:L$875,"FALTA DE CAMINHÃO"),0)+IFERROR(SUMIFS('Base bordo CD'!M$2:M$875,'Base bordo CD'!D$2:D$875,A141,'Base bordo CD'!A$2:A$875,B141,'Base bordo CD'!L$2:L$875,"FALTA DE COMBUSTIVEL"),0)+IFERROR(SUMIFS('Base bordo CD'!M$2:M$875,'Base bordo CD'!D$2:D$875,A141,'Base bordo CD'!A$2:A$875,B141,'Base bordo CD'!L$2:L$875,"FALTA DE MOTORIST*"),0)</f>
        <v>0</v>
      </c>
      <c r="O141" s="10">
        <f t="shared" si="15"/>
        <v>4.1588888888888889</v>
      </c>
      <c r="P141" s="10">
        <f>IFERROR(SUMIFS('Base bordo CD'!M$2:M$875,'Base bordo CD'!D$2:D$875,A141,'Base bordo CD'!A$2:A$875,B141),0)</f>
        <v>24</v>
      </c>
      <c r="Q141" s="10">
        <f>IFERROR(SUMIFS('Base bordo CD'!O$2:O$875,'Base bordo CD'!D$2:D$875,A141,'Base bordo CD'!A$2:A$875,B141,'Base bordo CD'!L$2:L$875,"CORTE DE CANA MECANIZADO"),0)</f>
        <v>43747.89</v>
      </c>
      <c r="R141" s="10">
        <f>IFERROR(SUMIFS('Base bordo CD'!Q$2:Q$875,'Base bordo CD'!D$2:D$875,A141,'Base bordo CD'!A$2:A$875,B141,'Base bordo CD'!L$2:L$875,"CORTE DE CANA MECANIZADO"),0)</f>
        <v>9955</v>
      </c>
      <c r="S141" s="30">
        <f t="shared" si="16"/>
        <v>4.3945645404319436</v>
      </c>
      <c r="T141" s="9">
        <f t="shared" si="17"/>
        <v>0.1152199074074074</v>
      </c>
      <c r="U141" s="9">
        <f t="shared" si="18"/>
        <v>3.8344907407407404E-2</v>
      </c>
      <c r="V141" s="9">
        <f t="shared" si="19"/>
        <v>0.87370370370370376</v>
      </c>
    </row>
    <row r="142" spans="1:22" hidden="1" x14ac:dyDescent="0.35">
      <c r="A142" s="52">
        <v>49590</v>
      </c>
      <c r="B142" s="31">
        <v>46123</v>
      </c>
      <c r="C142" s="7" t="s">
        <v>321</v>
      </c>
      <c r="D142" s="7">
        <v>351</v>
      </c>
      <c r="E142" s="10">
        <f>IFERROR(SUMIFS('Base bordo CD'!M$2:M$875,'Base bordo CD'!D$2:D$875,A142,'Base bordo CD'!A$2:A$875,B142,'Base bordo CD'!L$2:L$875,"CORTE DE CANA MECANIZADO"),0)</f>
        <v>2.7652777777777775</v>
      </c>
      <c r="F142" s="10">
        <f>IFERROR(SUMIFS('Base bordo CD'!M$2:M$875,'Base bordo CD'!D$2:D$875,A142,'Base bordo CD'!A$2:A$875,B142,'Base bordo CD'!L$2:L$875,"MANOBRA"),0)</f>
        <v>0.92027777777777775</v>
      </c>
      <c r="G142" s="10">
        <f>IFERROR(SUMIFS('Base bordo CD'!M$2:M$875,'Base bordo CD'!D$2:D$875,A142,'Base bordo CD'!A$2:A$875,B142,'Base bordo CD'!L$2:L$875,"DESLOCAMENTO"),0)</f>
        <v>0.26583333333333337</v>
      </c>
      <c r="H142" s="10">
        <f>IFERROR(SUMIFS('Base bordo CD'!M$2:M$875,'Base bordo CD'!D$2:D$875,A142,'Base bordo CD'!A$2:A$875,B142,'Base bordo CD'!L$2:L$875,"AGUARDANDO MANOBRA DE TRANSBORDO"),0)+IFERROR(SUMIFS('Base bordo CD'!M$2:M$875,'Base bordo CD'!D$2:D$875,A142,'Base bordo CD'!A$2:A$875,B142,'Base bordo CD'!L$2:L$875,"FALTA DE TRANSBORDO"),0)</f>
        <v>0.11694444444444443</v>
      </c>
      <c r="I142" s="10">
        <f>IFERROR(SUMIFS('Base bordo CD'!M$2:M$875,'Base bordo CD'!D$2:D$875,A142,'Base bordo CD'!A$2:A$875,B142,'Base bordo CD'!L$2:L$875,"PARADA POR CONDICOES CLIMATICAS"),0)+IFERROR(SUMIFS('Base bordo CD'!M$2:M$875,'Base bordo CD'!D$2:D$875,A142,'Base bordo CD'!A$2:A$875,B142,'Base bordo CD'!L$2:L$875,"TEMPO INDETERMINADO"),0)</f>
        <v>15.6625</v>
      </c>
      <c r="J142" s="10">
        <f>IFERROR(SUMIFS('Base bordo CD'!M$2:M$875,'Base bordo CD'!D$2:D$875,A142,'Base bordo CD'!A$2:A$875,B142,'Base bordo CD'!L$2:L$875,"LIMITAÇÃO INDÚSTRIA"),0)</f>
        <v>0</v>
      </c>
      <c r="K142" s="10">
        <f>IFERROR(SUMIFS('Base bordo CD'!M$2:M$875,'Base bordo CD'!D$2:D$875,A142,'Base bordo CD'!A$2:A$875,B142,'Base bordo CD'!L$2:L$875,"MAN CORRETIVA*"),0)+IFERROR(SUMIFS('Base bordo CD'!M$2:M$875,'Base bordo CD'!D$2:D$875,A142,'Base bordo CD'!A$2:A$875,B142,'Base bordo CD'!L$2:L$875,"AGUARDANDO MANUTENCAO*"),0)+IFERROR(SUMIFS('Base bordo CD'!M$2:M$875,'Base bordo CD'!D$2:D$875,A142,'Base bordo CD'!A$2:A$875,B142,'Base bordo CD'!L$2:L$875,"TROCA DE FAQUINHA"),0)+IFERROR(SUMIFS('Base bordo CD'!M$2:M$875,'Base bordo CD'!D$2:D$875,A142,'Base bordo CD'!A$2:A$875,B142,'Base bordo CD'!L$2:L$875,"LIMPEZA*"),0)</f>
        <v>0</v>
      </c>
      <c r="L142" s="10">
        <f>IFERROR(SUMIFS('Base bordo CD'!M$2:M$875,'Base bordo CD'!D$2:D$875,A142,'Base bordo CD'!A$2:A$875,B142,'Base bordo CD'!L$2:L$875,"PATIO - RESERVA"),0)</f>
        <v>0</v>
      </c>
      <c r="M142" s="10">
        <f>IFERROR(SUMIFS('Base bordo CD'!M$2:M$875,'Base bordo CD'!D$2:D$875,A142,'Base bordo CD'!A$2:A$875,B142,'Base bordo CD'!L$2:L$875,"SEM APONTAMENTO"),0)</f>
        <v>0.11027777777777779</v>
      </c>
      <c r="N142" s="10">
        <f>IFERROR(SUMIFS('Base bordo CD'!M$2:M$875,'Base bordo CD'!D$2:D$875,A142,'Base bordo CD'!A$2:A$875,B142,'Base bordo CD'!L$2:L$875,"FALTA DE CAMINHÃO"),0)+IFERROR(SUMIFS('Base bordo CD'!M$2:M$875,'Base bordo CD'!D$2:D$875,A142,'Base bordo CD'!A$2:A$875,B142,'Base bordo CD'!L$2:L$875,"FALTA DE COMBUSTIVEL"),0)+IFERROR(SUMIFS('Base bordo CD'!M$2:M$875,'Base bordo CD'!D$2:D$875,A142,'Base bordo CD'!A$2:A$875,B142,'Base bordo CD'!L$2:L$875,"FALTA DE MOTORIST*"),0)</f>
        <v>0</v>
      </c>
      <c r="O142" s="10">
        <f t="shared" si="15"/>
        <v>4.1588888888888889</v>
      </c>
      <c r="P142" s="10">
        <f>IFERROR(SUMIFS('Base bordo CD'!M$2:M$875,'Base bordo CD'!D$2:D$875,A142,'Base bordo CD'!A$2:A$875,B142),0)</f>
        <v>24</v>
      </c>
      <c r="Q142" s="10">
        <f>IFERROR(SUMIFS('Base bordo CD'!O$2:O$875,'Base bordo CD'!D$2:D$875,A142,'Base bordo CD'!A$2:A$875,B142,'Base bordo CD'!L$2:L$875,"CORTE DE CANA MECANIZADO"),0)</f>
        <v>43747.89</v>
      </c>
      <c r="R142" s="10">
        <f>IFERROR(SUMIFS('Base bordo CD'!Q$2:Q$875,'Base bordo CD'!D$2:D$875,A142,'Base bordo CD'!A$2:A$875,B142,'Base bordo CD'!L$2:L$875,"CORTE DE CANA MECANIZADO"),0)</f>
        <v>9955</v>
      </c>
      <c r="S142" s="30">
        <f t="shared" si="16"/>
        <v>4.3945645404319436</v>
      </c>
      <c r="T142" s="9">
        <f t="shared" si="17"/>
        <v>0.1152199074074074</v>
      </c>
      <c r="U142" s="9">
        <f t="shared" si="18"/>
        <v>3.8344907407407404E-2</v>
      </c>
      <c r="V142" s="9">
        <f t="shared" si="19"/>
        <v>0.87370370370370376</v>
      </c>
    </row>
    <row r="143" spans="1:22" hidden="1" x14ac:dyDescent="0.35">
      <c r="A143" s="52">
        <v>49590</v>
      </c>
      <c r="B143" s="31">
        <v>46123</v>
      </c>
      <c r="C143" s="7" t="s">
        <v>321</v>
      </c>
      <c r="D143" s="7">
        <v>351</v>
      </c>
      <c r="E143" s="10">
        <f>IFERROR(SUMIFS('Base bordo CD'!M$2:M$875,'Base bordo CD'!D$2:D$875,A143,'Base bordo CD'!A$2:A$875,B143,'Base bordo CD'!L$2:L$875,"CORTE DE CANA MECANIZADO"),0)</f>
        <v>2.7652777777777775</v>
      </c>
      <c r="F143" s="10">
        <f>IFERROR(SUMIFS('Base bordo CD'!M$2:M$875,'Base bordo CD'!D$2:D$875,A143,'Base bordo CD'!A$2:A$875,B143,'Base bordo CD'!L$2:L$875,"MANOBRA"),0)</f>
        <v>0.92027777777777775</v>
      </c>
      <c r="G143" s="10">
        <f>IFERROR(SUMIFS('Base bordo CD'!M$2:M$875,'Base bordo CD'!D$2:D$875,A143,'Base bordo CD'!A$2:A$875,B143,'Base bordo CD'!L$2:L$875,"DESLOCAMENTO"),0)</f>
        <v>0.26583333333333337</v>
      </c>
      <c r="H143" s="10">
        <f>IFERROR(SUMIFS('Base bordo CD'!M$2:M$875,'Base bordo CD'!D$2:D$875,A143,'Base bordo CD'!A$2:A$875,B143,'Base bordo CD'!L$2:L$875,"AGUARDANDO MANOBRA DE TRANSBORDO"),0)+IFERROR(SUMIFS('Base bordo CD'!M$2:M$875,'Base bordo CD'!D$2:D$875,A143,'Base bordo CD'!A$2:A$875,B143,'Base bordo CD'!L$2:L$875,"FALTA DE TRANSBORDO"),0)</f>
        <v>0.11694444444444443</v>
      </c>
      <c r="I143" s="10">
        <f>IFERROR(SUMIFS('Base bordo CD'!M$2:M$875,'Base bordo CD'!D$2:D$875,A143,'Base bordo CD'!A$2:A$875,B143,'Base bordo CD'!L$2:L$875,"PARADA POR CONDICOES CLIMATICAS"),0)+IFERROR(SUMIFS('Base bordo CD'!M$2:M$875,'Base bordo CD'!D$2:D$875,A143,'Base bordo CD'!A$2:A$875,B143,'Base bordo CD'!L$2:L$875,"TEMPO INDETERMINADO"),0)</f>
        <v>15.6625</v>
      </c>
      <c r="J143" s="10">
        <f>IFERROR(SUMIFS('Base bordo CD'!M$2:M$875,'Base bordo CD'!D$2:D$875,A143,'Base bordo CD'!A$2:A$875,B143,'Base bordo CD'!L$2:L$875,"LIMITAÇÃO INDÚSTRIA"),0)</f>
        <v>0</v>
      </c>
      <c r="K143" s="10">
        <f>IFERROR(SUMIFS('Base bordo CD'!M$2:M$875,'Base bordo CD'!D$2:D$875,A143,'Base bordo CD'!A$2:A$875,B143,'Base bordo CD'!L$2:L$875,"MAN CORRETIVA*"),0)+IFERROR(SUMIFS('Base bordo CD'!M$2:M$875,'Base bordo CD'!D$2:D$875,A143,'Base bordo CD'!A$2:A$875,B143,'Base bordo CD'!L$2:L$875,"AGUARDANDO MANUTENCAO*"),0)+IFERROR(SUMIFS('Base bordo CD'!M$2:M$875,'Base bordo CD'!D$2:D$875,A143,'Base bordo CD'!A$2:A$875,B143,'Base bordo CD'!L$2:L$875,"TROCA DE FAQUINHA"),0)+IFERROR(SUMIFS('Base bordo CD'!M$2:M$875,'Base bordo CD'!D$2:D$875,A143,'Base bordo CD'!A$2:A$875,B143,'Base bordo CD'!L$2:L$875,"LIMPEZA*"),0)</f>
        <v>0</v>
      </c>
      <c r="L143" s="10">
        <f>IFERROR(SUMIFS('Base bordo CD'!M$2:M$875,'Base bordo CD'!D$2:D$875,A143,'Base bordo CD'!A$2:A$875,B143,'Base bordo CD'!L$2:L$875,"PATIO - RESERVA"),0)</f>
        <v>0</v>
      </c>
      <c r="M143" s="10">
        <f>IFERROR(SUMIFS('Base bordo CD'!M$2:M$875,'Base bordo CD'!D$2:D$875,A143,'Base bordo CD'!A$2:A$875,B143,'Base bordo CD'!L$2:L$875,"SEM APONTAMENTO"),0)</f>
        <v>0.11027777777777779</v>
      </c>
      <c r="N143" s="10">
        <f>IFERROR(SUMIFS('Base bordo CD'!M$2:M$875,'Base bordo CD'!D$2:D$875,A143,'Base bordo CD'!A$2:A$875,B143,'Base bordo CD'!L$2:L$875,"FALTA DE CAMINHÃO"),0)+IFERROR(SUMIFS('Base bordo CD'!M$2:M$875,'Base bordo CD'!D$2:D$875,A143,'Base bordo CD'!A$2:A$875,B143,'Base bordo CD'!L$2:L$875,"FALTA DE COMBUSTIVEL"),0)+IFERROR(SUMIFS('Base bordo CD'!M$2:M$875,'Base bordo CD'!D$2:D$875,A143,'Base bordo CD'!A$2:A$875,B143,'Base bordo CD'!L$2:L$875,"FALTA DE MOTORIST*"),0)</f>
        <v>0</v>
      </c>
      <c r="O143" s="10">
        <f t="shared" si="15"/>
        <v>4.1588888888888889</v>
      </c>
      <c r="P143" s="10">
        <f>IFERROR(SUMIFS('Base bordo CD'!M$2:M$875,'Base bordo CD'!D$2:D$875,A143,'Base bordo CD'!A$2:A$875,B143),0)</f>
        <v>24</v>
      </c>
      <c r="Q143" s="10">
        <f>IFERROR(SUMIFS('Base bordo CD'!O$2:O$875,'Base bordo CD'!D$2:D$875,A143,'Base bordo CD'!A$2:A$875,B143,'Base bordo CD'!L$2:L$875,"CORTE DE CANA MECANIZADO"),0)</f>
        <v>43747.89</v>
      </c>
      <c r="R143" s="10">
        <f>IFERROR(SUMIFS('Base bordo CD'!Q$2:Q$875,'Base bordo CD'!D$2:D$875,A143,'Base bordo CD'!A$2:A$875,B143,'Base bordo CD'!L$2:L$875,"CORTE DE CANA MECANIZADO"),0)</f>
        <v>9955</v>
      </c>
      <c r="S143" s="30">
        <f t="shared" si="16"/>
        <v>4.3945645404319436</v>
      </c>
      <c r="T143" s="9">
        <f t="shared" si="17"/>
        <v>0.1152199074074074</v>
      </c>
      <c r="U143" s="9">
        <f t="shared" si="18"/>
        <v>3.8344907407407404E-2</v>
      </c>
      <c r="V143" s="9">
        <f t="shared" si="19"/>
        <v>0.87370370370370376</v>
      </c>
    </row>
    <row r="144" spans="1:22" hidden="1" x14ac:dyDescent="0.35">
      <c r="A144" s="52">
        <v>49590</v>
      </c>
      <c r="B144" s="31">
        <v>46123</v>
      </c>
      <c r="C144" s="7" t="s">
        <v>321</v>
      </c>
      <c r="D144" s="7">
        <v>351</v>
      </c>
      <c r="E144" s="10">
        <f>IFERROR(SUMIFS('Base bordo CD'!M$2:M$875,'Base bordo CD'!D$2:D$875,A144,'Base bordo CD'!A$2:A$875,B144,'Base bordo CD'!L$2:L$875,"CORTE DE CANA MECANIZADO"),0)</f>
        <v>2.7652777777777775</v>
      </c>
      <c r="F144" s="10">
        <f>IFERROR(SUMIFS('Base bordo CD'!M$2:M$875,'Base bordo CD'!D$2:D$875,A144,'Base bordo CD'!A$2:A$875,B144,'Base bordo CD'!L$2:L$875,"MANOBRA"),0)</f>
        <v>0.92027777777777775</v>
      </c>
      <c r="G144" s="10">
        <f>IFERROR(SUMIFS('Base bordo CD'!M$2:M$875,'Base bordo CD'!D$2:D$875,A144,'Base bordo CD'!A$2:A$875,B144,'Base bordo CD'!L$2:L$875,"DESLOCAMENTO"),0)</f>
        <v>0.26583333333333337</v>
      </c>
      <c r="H144" s="10">
        <f>IFERROR(SUMIFS('Base bordo CD'!M$2:M$875,'Base bordo CD'!D$2:D$875,A144,'Base bordo CD'!A$2:A$875,B144,'Base bordo CD'!L$2:L$875,"AGUARDANDO MANOBRA DE TRANSBORDO"),0)+IFERROR(SUMIFS('Base bordo CD'!M$2:M$875,'Base bordo CD'!D$2:D$875,A144,'Base bordo CD'!A$2:A$875,B144,'Base bordo CD'!L$2:L$875,"FALTA DE TRANSBORDO"),0)</f>
        <v>0.11694444444444443</v>
      </c>
      <c r="I144" s="10">
        <f>IFERROR(SUMIFS('Base bordo CD'!M$2:M$875,'Base bordo CD'!D$2:D$875,A144,'Base bordo CD'!A$2:A$875,B144,'Base bordo CD'!L$2:L$875,"PARADA POR CONDICOES CLIMATICAS"),0)+IFERROR(SUMIFS('Base bordo CD'!M$2:M$875,'Base bordo CD'!D$2:D$875,A144,'Base bordo CD'!A$2:A$875,B144,'Base bordo CD'!L$2:L$875,"TEMPO INDETERMINADO"),0)</f>
        <v>15.6625</v>
      </c>
      <c r="J144" s="10">
        <f>IFERROR(SUMIFS('Base bordo CD'!M$2:M$875,'Base bordo CD'!D$2:D$875,A144,'Base bordo CD'!A$2:A$875,B144,'Base bordo CD'!L$2:L$875,"LIMITAÇÃO INDÚSTRIA"),0)</f>
        <v>0</v>
      </c>
      <c r="K144" s="10">
        <f>IFERROR(SUMIFS('Base bordo CD'!M$2:M$875,'Base bordo CD'!D$2:D$875,A144,'Base bordo CD'!A$2:A$875,B144,'Base bordo CD'!L$2:L$875,"MAN CORRETIVA*"),0)+IFERROR(SUMIFS('Base bordo CD'!M$2:M$875,'Base bordo CD'!D$2:D$875,A144,'Base bordo CD'!A$2:A$875,B144,'Base bordo CD'!L$2:L$875,"AGUARDANDO MANUTENCAO*"),0)+IFERROR(SUMIFS('Base bordo CD'!M$2:M$875,'Base bordo CD'!D$2:D$875,A144,'Base bordo CD'!A$2:A$875,B144,'Base bordo CD'!L$2:L$875,"TROCA DE FAQUINHA"),0)+IFERROR(SUMIFS('Base bordo CD'!M$2:M$875,'Base bordo CD'!D$2:D$875,A144,'Base bordo CD'!A$2:A$875,B144,'Base bordo CD'!L$2:L$875,"LIMPEZA*"),0)</f>
        <v>0</v>
      </c>
      <c r="L144" s="10">
        <f>IFERROR(SUMIFS('Base bordo CD'!M$2:M$875,'Base bordo CD'!D$2:D$875,A144,'Base bordo CD'!A$2:A$875,B144,'Base bordo CD'!L$2:L$875,"PATIO - RESERVA"),0)</f>
        <v>0</v>
      </c>
      <c r="M144" s="10">
        <f>IFERROR(SUMIFS('Base bordo CD'!M$2:M$875,'Base bordo CD'!D$2:D$875,A144,'Base bordo CD'!A$2:A$875,B144,'Base bordo CD'!L$2:L$875,"SEM APONTAMENTO"),0)</f>
        <v>0.11027777777777779</v>
      </c>
      <c r="N144" s="10">
        <f>IFERROR(SUMIFS('Base bordo CD'!M$2:M$875,'Base bordo CD'!D$2:D$875,A144,'Base bordo CD'!A$2:A$875,B144,'Base bordo CD'!L$2:L$875,"FALTA DE CAMINHÃO"),0)+IFERROR(SUMIFS('Base bordo CD'!M$2:M$875,'Base bordo CD'!D$2:D$875,A144,'Base bordo CD'!A$2:A$875,B144,'Base bordo CD'!L$2:L$875,"FALTA DE COMBUSTIVEL"),0)+IFERROR(SUMIFS('Base bordo CD'!M$2:M$875,'Base bordo CD'!D$2:D$875,A144,'Base bordo CD'!A$2:A$875,B144,'Base bordo CD'!L$2:L$875,"FALTA DE MOTORIST*"),0)</f>
        <v>0</v>
      </c>
      <c r="O144" s="10">
        <f t="shared" si="15"/>
        <v>4.1588888888888889</v>
      </c>
      <c r="P144" s="10">
        <f>IFERROR(SUMIFS('Base bordo CD'!M$2:M$875,'Base bordo CD'!D$2:D$875,A144,'Base bordo CD'!A$2:A$875,B144),0)</f>
        <v>24</v>
      </c>
      <c r="Q144" s="10">
        <f>IFERROR(SUMIFS('Base bordo CD'!O$2:O$875,'Base bordo CD'!D$2:D$875,A144,'Base bordo CD'!A$2:A$875,B144,'Base bordo CD'!L$2:L$875,"CORTE DE CANA MECANIZADO"),0)</f>
        <v>43747.89</v>
      </c>
      <c r="R144" s="10">
        <f>IFERROR(SUMIFS('Base bordo CD'!Q$2:Q$875,'Base bordo CD'!D$2:D$875,A144,'Base bordo CD'!A$2:A$875,B144,'Base bordo CD'!L$2:L$875,"CORTE DE CANA MECANIZADO"),0)</f>
        <v>9955</v>
      </c>
      <c r="S144" s="30">
        <f t="shared" si="16"/>
        <v>4.3945645404319436</v>
      </c>
      <c r="T144" s="9">
        <f t="shared" si="17"/>
        <v>0.1152199074074074</v>
      </c>
      <c r="U144" s="9">
        <f t="shared" si="18"/>
        <v>3.8344907407407404E-2</v>
      </c>
      <c r="V144" s="9">
        <f t="shared" si="19"/>
        <v>0.87370370370370376</v>
      </c>
    </row>
    <row r="145" spans="1:22" hidden="1" x14ac:dyDescent="0.35">
      <c r="A145" s="52">
        <v>49590</v>
      </c>
      <c r="B145" s="31">
        <v>46123</v>
      </c>
      <c r="C145" s="7" t="s">
        <v>321</v>
      </c>
      <c r="D145" s="7">
        <v>351</v>
      </c>
      <c r="E145" s="10">
        <f>IFERROR(SUMIFS('Base bordo CD'!M$2:M$875,'Base bordo CD'!D$2:D$875,A145,'Base bordo CD'!A$2:A$875,B145,'Base bordo CD'!L$2:L$875,"CORTE DE CANA MECANIZADO"),0)</f>
        <v>2.7652777777777775</v>
      </c>
      <c r="F145" s="10">
        <f>IFERROR(SUMIFS('Base bordo CD'!M$2:M$875,'Base bordo CD'!D$2:D$875,A145,'Base bordo CD'!A$2:A$875,B145,'Base bordo CD'!L$2:L$875,"MANOBRA"),0)</f>
        <v>0.92027777777777775</v>
      </c>
      <c r="G145" s="10">
        <f>IFERROR(SUMIFS('Base bordo CD'!M$2:M$875,'Base bordo CD'!D$2:D$875,A145,'Base bordo CD'!A$2:A$875,B145,'Base bordo CD'!L$2:L$875,"DESLOCAMENTO"),0)</f>
        <v>0.26583333333333337</v>
      </c>
      <c r="H145" s="10">
        <f>IFERROR(SUMIFS('Base bordo CD'!M$2:M$875,'Base bordo CD'!D$2:D$875,A145,'Base bordo CD'!A$2:A$875,B145,'Base bordo CD'!L$2:L$875,"AGUARDANDO MANOBRA DE TRANSBORDO"),0)+IFERROR(SUMIFS('Base bordo CD'!M$2:M$875,'Base bordo CD'!D$2:D$875,A145,'Base bordo CD'!A$2:A$875,B145,'Base bordo CD'!L$2:L$875,"FALTA DE TRANSBORDO"),0)</f>
        <v>0.11694444444444443</v>
      </c>
      <c r="I145" s="10">
        <f>IFERROR(SUMIFS('Base bordo CD'!M$2:M$875,'Base bordo CD'!D$2:D$875,A145,'Base bordo CD'!A$2:A$875,B145,'Base bordo CD'!L$2:L$875,"PARADA POR CONDICOES CLIMATICAS"),0)+IFERROR(SUMIFS('Base bordo CD'!M$2:M$875,'Base bordo CD'!D$2:D$875,A145,'Base bordo CD'!A$2:A$875,B145,'Base bordo CD'!L$2:L$875,"TEMPO INDETERMINADO"),0)</f>
        <v>15.6625</v>
      </c>
      <c r="J145" s="10">
        <f>IFERROR(SUMIFS('Base bordo CD'!M$2:M$875,'Base bordo CD'!D$2:D$875,A145,'Base bordo CD'!A$2:A$875,B145,'Base bordo CD'!L$2:L$875,"LIMITAÇÃO INDÚSTRIA"),0)</f>
        <v>0</v>
      </c>
      <c r="K145" s="10">
        <f>IFERROR(SUMIFS('Base bordo CD'!M$2:M$875,'Base bordo CD'!D$2:D$875,A145,'Base bordo CD'!A$2:A$875,B145,'Base bordo CD'!L$2:L$875,"MAN CORRETIVA*"),0)+IFERROR(SUMIFS('Base bordo CD'!M$2:M$875,'Base bordo CD'!D$2:D$875,A145,'Base bordo CD'!A$2:A$875,B145,'Base bordo CD'!L$2:L$875,"AGUARDANDO MANUTENCAO*"),0)+IFERROR(SUMIFS('Base bordo CD'!M$2:M$875,'Base bordo CD'!D$2:D$875,A145,'Base bordo CD'!A$2:A$875,B145,'Base bordo CD'!L$2:L$875,"TROCA DE FAQUINHA"),0)+IFERROR(SUMIFS('Base bordo CD'!M$2:M$875,'Base bordo CD'!D$2:D$875,A145,'Base bordo CD'!A$2:A$875,B145,'Base bordo CD'!L$2:L$875,"LIMPEZA*"),0)</f>
        <v>0</v>
      </c>
      <c r="L145" s="10">
        <f>IFERROR(SUMIFS('Base bordo CD'!M$2:M$875,'Base bordo CD'!D$2:D$875,A145,'Base bordo CD'!A$2:A$875,B145,'Base bordo CD'!L$2:L$875,"PATIO - RESERVA"),0)</f>
        <v>0</v>
      </c>
      <c r="M145" s="10">
        <f>IFERROR(SUMIFS('Base bordo CD'!M$2:M$875,'Base bordo CD'!D$2:D$875,A145,'Base bordo CD'!A$2:A$875,B145,'Base bordo CD'!L$2:L$875,"SEM APONTAMENTO"),0)</f>
        <v>0.11027777777777779</v>
      </c>
      <c r="N145" s="10">
        <f>IFERROR(SUMIFS('Base bordo CD'!M$2:M$875,'Base bordo CD'!D$2:D$875,A145,'Base bordo CD'!A$2:A$875,B145,'Base bordo CD'!L$2:L$875,"FALTA DE CAMINHÃO"),0)+IFERROR(SUMIFS('Base bordo CD'!M$2:M$875,'Base bordo CD'!D$2:D$875,A145,'Base bordo CD'!A$2:A$875,B145,'Base bordo CD'!L$2:L$875,"FALTA DE COMBUSTIVEL"),0)+IFERROR(SUMIFS('Base bordo CD'!M$2:M$875,'Base bordo CD'!D$2:D$875,A145,'Base bordo CD'!A$2:A$875,B145,'Base bordo CD'!L$2:L$875,"FALTA DE MOTORIST*"),0)</f>
        <v>0</v>
      </c>
      <c r="O145" s="10">
        <f t="shared" si="15"/>
        <v>4.1588888888888889</v>
      </c>
      <c r="P145" s="10">
        <f>IFERROR(SUMIFS('Base bordo CD'!M$2:M$875,'Base bordo CD'!D$2:D$875,A145,'Base bordo CD'!A$2:A$875,B145),0)</f>
        <v>24</v>
      </c>
      <c r="Q145" s="10">
        <f>IFERROR(SUMIFS('Base bordo CD'!O$2:O$875,'Base bordo CD'!D$2:D$875,A145,'Base bordo CD'!A$2:A$875,B145,'Base bordo CD'!L$2:L$875,"CORTE DE CANA MECANIZADO"),0)</f>
        <v>43747.89</v>
      </c>
      <c r="R145" s="10">
        <f>IFERROR(SUMIFS('Base bordo CD'!Q$2:Q$875,'Base bordo CD'!D$2:D$875,A145,'Base bordo CD'!A$2:A$875,B145,'Base bordo CD'!L$2:L$875,"CORTE DE CANA MECANIZADO"),0)</f>
        <v>9955</v>
      </c>
      <c r="S145" s="30">
        <f t="shared" si="16"/>
        <v>4.3945645404319436</v>
      </c>
      <c r="T145" s="9">
        <f t="shared" si="17"/>
        <v>0.1152199074074074</v>
      </c>
      <c r="U145" s="9">
        <f t="shared" si="18"/>
        <v>3.8344907407407404E-2</v>
      </c>
      <c r="V145" s="9">
        <f t="shared" si="19"/>
        <v>0.87370370370370376</v>
      </c>
    </row>
    <row r="146" spans="1:22" hidden="1" x14ac:dyDescent="0.35">
      <c r="A146" s="52">
        <v>49590</v>
      </c>
      <c r="B146" s="31">
        <v>46123</v>
      </c>
      <c r="C146" s="7" t="s">
        <v>321</v>
      </c>
      <c r="D146" s="7">
        <v>351</v>
      </c>
      <c r="E146" s="10">
        <f>IFERROR(SUMIFS('Base bordo CD'!M$2:M$875,'Base bordo CD'!D$2:D$875,A146,'Base bordo CD'!A$2:A$875,B146,'Base bordo CD'!L$2:L$875,"CORTE DE CANA MECANIZADO"),0)</f>
        <v>2.7652777777777775</v>
      </c>
      <c r="F146" s="10">
        <f>IFERROR(SUMIFS('Base bordo CD'!M$2:M$875,'Base bordo CD'!D$2:D$875,A146,'Base bordo CD'!A$2:A$875,B146,'Base bordo CD'!L$2:L$875,"MANOBRA"),0)</f>
        <v>0.92027777777777775</v>
      </c>
      <c r="G146" s="10">
        <f>IFERROR(SUMIFS('Base bordo CD'!M$2:M$875,'Base bordo CD'!D$2:D$875,A146,'Base bordo CD'!A$2:A$875,B146,'Base bordo CD'!L$2:L$875,"DESLOCAMENTO"),0)</f>
        <v>0.26583333333333337</v>
      </c>
      <c r="H146" s="10">
        <f>IFERROR(SUMIFS('Base bordo CD'!M$2:M$875,'Base bordo CD'!D$2:D$875,A146,'Base bordo CD'!A$2:A$875,B146,'Base bordo CD'!L$2:L$875,"AGUARDANDO MANOBRA DE TRANSBORDO"),0)+IFERROR(SUMIFS('Base bordo CD'!M$2:M$875,'Base bordo CD'!D$2:D$875,A146,'Base bordo CD'!A$2:A$875,B146,'Base bordo CD'!L$2:L$875,"FALTA DE TRANSBORDO"),0)</f>
        <v>0.11694444444444443</v>
      </c>
      <c r="I146" s="10">
        <f>IFERROR(SUMIFS('Base bordo CD'!M$2:M$875,'Base bordo CD'!D$2:D$875,A146,'Base bordo CD'!A$2:A$875,B146,'Base bordo CD'!L$2:L$875,"PARADA POR CONDICOES CLIMATICAS"),0)+IFERROR(SUMIFS('Base bordo CD'!M$2:M$875,'Base bordo CD'!D$2:D$875,A146,'Base bordo CD'!A$2:A$875,B146,'Base bordo CD'!L$2:L$875,"TEMPO INDETERMINADO"),0)</f>
        <v>15.6625</v>
      </c>
      <c r="J146" s="10">
        <f>IFERROR(SUMIFS('Base bordo CD'!M$2:M$875,'Base bordo CD'!D$2:D$875,A146,'Base bordo CD'!A$2:A$875,B146,'Base bordo CD'!L$2:L$875,"LIMITAÇÃO INDÚSTRIA"),0)</f>
        <v>0</v>
      </c>
      <c r="K146" s="10">
        <f>IFERROR(SUMIFS('Base bordo CD'!M$2:M$875,'Base bordo CD'!D$2:D$875,A146,'Base bordo CD'!A$2:A$875,B146,'Base bordo CD'!L$2:L$875,"MAN CORRETIVA*"),0)+IFERROR(SUMIFS('Base bordo CD'!M$2:M$875,'Base bordo CD'!D$2:D$875,A146,'Base bordo CD'!A$2:A$875,B146,'Base bordo CD'!L$2:L$875,"AGUARDANDO MANUTENCAO*"),0)+IFERROR(SUMIFS('Base bordo CD'!M$2:M$875,'Base bordo CD'!D$2:D$875,A146,'Base bordo CD'!A$2:A$875,B146,'Base bordo CD'!L$2:L$875,"TROCA DE FAQUINHA"),0)+IFERROR(SUMIFS('Base bordo CD'!M$2:M$875,'Base bordo CD'!D$2:D$875,A146,'Base bordo CD'!A$2:A$875,B146,'Base bordo CD'!L$2:L$875,"LIMPEZA*"),0)</f>
        <v>0</v>
      </c>
      <c r="L146" s="10">
        <f>IFERROR(SUMIFS('Base bordo CD'!M$2:M$875,'Base bordo CD'!D$2:D$875,A146,'Base bordo CD'!A$2:A$875,B146,'Base bordo CD'!L$2:L$875,"PATIO - RESERVA"),0)</f>
        <v>0</v>
      </c>
      <c r="M146" s="10">
        <f>IFERROR(SUMIFS('Base bordo CD'!M$2:M$875,'Base bordo CD'!D$2:D$875,A146,'Base bordo CD'!A$2:A$875,B146,'Base bordo CD'!L$2:L$875,"SEM APONTAMENTO"),0)</f>
        <v>0.11027777777777779</v>
      </c>
      <c r="N146" s="10">
        <f>IFERROR(SUMIFS('Base bordo CD'!M$2:M$875,'Base bordo CD'!D$2:D$875,A146,'Base bordo CD'!A$2:A$875,B146,'Base bordo CD'!L$2:L$875,"FALTA DE CAMINHÃO"),0)+IFERROR(SUMIFS('Base bordo CD'!M$2:M$875,'Base bordo CD'!D$2:D$875,A146,'Base bordo CD'!A$2:A$875,B146,'Base bordo CD'!L$2:L$875,"FALTA DE COMBUSTIVEL"),0)+IFERROR(SUMIFS('Base bordo CD'!M$2:M$875,'Base bordo CD'!D$2:D$875,A146,'Base bordo CD'!A$2:A$875,B146,'Base bordo CD'!L$2:L$875,"FALTA DE MOTORIST*"),0)</f>
        <v>0</v>
      </c>
      <c r="O146" s="10">
        <f t="shared" si="15"/>
        <v>4.1588888888888889</v>
      </c>
      <c r="P146" s="10">
        <f>IFERROR(SUMIFS('Base bordo CD'!M$2:M$875,'Base bordo CD'!D$2:D$875,A146,'Base bordo CD'!A$2:A$875,B146),0)</f>
        <v>24</v>
      </c>
      <c r="Q146" s="10">
        <f>IFERROR(SUMIFS('Base bordo CD'!O$2:O$875,'Base bordo CD'!D$2:D$875,A146,'Base bordo CD'!A$2:A$875,B146,'Base bordo CD'!L$2:L$875,"CORTE DE CANA MECANIZADO"),0)</f>
        <v>43747.89</v>
      </c>
      <c r="R146" s="10">
        <f>IFERROR(SUMIFS('Base bordo CD'!Q$2:Q$875,'Base bordo CD'!D$2:D$875,A146,'Base bordo CD'!A$2:A$875,B146,'Base bordo CD'!L$2:L$875,"CORTE DE CANA MECANIZADO"),0)</f>
        <v>9955</v>
      </c>
      <c r="S146" s="30">
        <f t="shared" si="16"/>
        <v>4.3945645404319436</v>
      </c>
      <c r="T146" s="9">
        <f t="shared" si="17"/>
        <v>0.1152199074074074</v>
      </c>
      <c r="U146" s="9">
        <f t="shared" si="18"/>
        <v>3.8344907407407404E-2</v>
      </c>
      <c r="V146" s="9">
        <f t="shared" si="19"/>
        <v>0.87370370370370376</v>
      </c>
    </row>
    <row r="147" spans="1:22" hidden="1" x14ac:dyDescent="0.35">
      <c r="A147" s="52">
        <v>49590</v>
      </c>
      <c r="B147" s="31">
        <v>46123</v>
      </c>
      <c r="C147" s="7" t="s">
        <v>321</v>
      </c>
      <c r="D147" s="7">
        <v>351</v>
      </c>
      <c r="E147" s="10">
        <f>IFERROR(SUMIFS('Base bordo CD'!M$2:M$875,'Base bordo CD'!D$2:D$875,A147,'Base bordo CD'!A$2:A$875,B147,'Base bordo CD'!L$2:L$875,"CORTE DE CANA MECANIZADO"),0)</f>
        <v>2.7652777777777775</v>
      </c>
      <c r="F147" s="10">
        <f>IFERROR(SUMIFS('Base bordo CD'!M$2:M$875,'Base bordo CD'!D$2:D$875,A147,'Base bordo CD'!A$2:A$875,B147,'Base bordo CD'!L$2:L$875,"MANOBRA"),0)</f>
        <v>0.92027777777777775</v>
      </c>
      <c r="G147" s="10">
        <f>IFERROR(SUMIFS('Base bordo CD'!M$2:M$875,'Base bordo CD'!D$2:D$875,A147,'Base bordo CD'!A$2:A$875,B147,'Base bordo CD'!L$2:L$875,"DESLOCAMENTO"),0)</f>
        <v>0.26583333333333337</v>
      </c>
      <c r="H147" s="10">
        <f>IFERROR(SUMIFS('Base bordo CD'!M$2:M$875,'Base bordo CD'!D$2:D$875,A147,'Base bordo CD'!A$2:A$875,B147,'Base bordo CD'!L$2:L$875,"AGUARDANDO MANOBRA DE TRANSBORDO"),0)+IFERROR(SUMIFS('Base bordo CD'!M$2:M$875,'Base bordo CD'!D$2:D$875,A147,'Base bordo CD'!A$2:A$875,B147,'Base bordo CD'!L$2:L$875,"FALTA DE TRANSBORDO"),0)</f>
        <v>0.11694444444444443</v>
      </c>
      <c r="I147" s="10">
        <f>IFERROR(SUMIFS('Base bordo CD'!M$2:M$875,'Base bordo CD'!D$2:D$875,A147,'Base bordo CD'!A$2:A$875,B147,'Base bordo CD'!L$2:L$875,"PARADA POR CONDICOES CLIMATICAS"),0)+IFERROR(SUMIFS('Base bordo CD'!M$2:M$875,'Base bordo CD'!D$2:D$875,A147,'Base bordo CD'!A$2:A$875,B147,'Base bordo CD'!L$2:L$875,"TEMPO INDETERMINADO"),0)</f>
        <v>15.6625</v>
      </c>
      <c r="J147" s="10">
        <f>IFERROR(SUMIFS('Base bordo CD'!M$2:M$875,'Base bordo CD'!D$2:D$875,A147,'Base bordo CD'!A$2:A$875,B147,'Base bordo CD'!L$2:L$875,"LIMITAÇÃO INDÚSTRIA"),0)</f>
        <v>0</v>
      </c>
      <c r="K147" s="10">
        <f>IFERROR(SUMIFS('Base bordo CD'!M$2:M$875,'Base bordo CD'!D$2:D$875,A147,'Base bordo CD'!A$2:A$875,B147,'Base bordo CD'!L$2:L$875,"MAN CORRETIVA*"),0)+IFERROR(SUMIFS('Base bordo CD'!M$2:M$875,'Base bordo CD'!D$2:D$875,A147,'Base bordo CD'!A$2:A$875,B147,'Base bordo CD'!L$2:L$875,"AGUARDANDO MANUTENCAO*"),0)+IFERROR(SUMIFS('Base bordo CD'!M$2:M$875,'Base bordo CD'!D$2:D$875,A147,'Base bordo CD'!A$2:A$875,B147,'Base bordo CD'!L$2:L$875,"TROCA DE FAQUINHA"),0)+IFERROR(SUMIFS('Base bordo CD'!M$2:M$875,'Base bordo CD'!D$2:D$875,A147,'Base bordo CD'!A$2:A$875,B147,'Base bordo CD'!L$2:L$875,"LIMPEZA*"),0)</f>
        <v>0</v>
      </c>
      <c r="L147" s="10">
        <f>IFERROR(SUMIFS('Base bordo CD'!M$2:M$875,'Base bordo CD'!D$2:D$875,A147,'Base bordo CD'!A$2:A$875,B147,'Base bordo CD'!L$2:L$875,"PATIO - RESERVA"),0)</f>
        <v>0</v>
      </c>
      <c r="M147" s="10">
        <f>IFERROR(SUMIFS('Base bordo CD'!M$2:M$875,'Base bordo CD'!D$2:D$875,A147,'Base bordo CD'!A$2:A$875,B147,'Base bordo CD'!L$2:L$875,"SEM APONTAMENTO"),0)</f>
        <v>0.11027777777777779</v>
      </c>
      <c r="N147" s="10">
        <f>IFERROR(SUMIFS('Base bordo CD'!M$2:M$875,'Base bordo CD'!D$2:D$875,A147,'Base bordo CD'!A$2:A$875,B147,'Base bordo CD'!L$2:L$875,"FALTA DE CAMINHÃO"),0)+IFERROR(SUMIFS('Base bordo CD'!M$2:M$875,'Base bordo CD'!D$2:D$875,A147,'Base bordo CD'!A$2:A$875,B147,'Base bordo CD'!L$2:L$875,"FALTA DE COMBUSTIVEL"),0)+IFERROR(SUMIFS('Base bordo CD'!M$2:M$875,'Base bordo CD'!D$2:D$875,A147,'Base bordo CD'!A$2:A$875,B147,'Base bordo CD'!L$2:L$875,"FALTA DE MOTORIST*"),0)</f>
        <v>0</v>
      </c>
      <c r="O147" s="10">
        <f t="shared" si="15"/>
        <v>4.1588888888888889</v>
      </c>
      <c r="P147" s="10">
        <f>IFERROR(SUMIFS('Base bordo CD'!M$2:M$875,'Base bordo CD'!D$2:D$875,A147,'Base bordo CD'!A$2:A$875,B147),0)</f>
        <v>24</v>
      </c>
      <c r="Q147" s="10">
        <f>IFERROR(SUMIFS('Base bordo CD'!O$2:O$875,'Base bordo CD'!D$2:D$875,A147,'Base bordo CD'!A$2:A$875,B147,'Base bordo CD'!L$2:L$875,"CORTE DE CANA MECANIZADO"),0)</f>
        <v>43747.89</v>
      </c>
      <c r="R147" s="10">
        <f>IFERROR(SUMIFS('Base bordo CD'!Q$2:Q$875,'Base bordo CD'!D$2:D$875,A147,'Base bordo CD'!A$2:A$875,B147,'Base bordo CD'!L$2:L$875,"CORTE DE CANA MECANIZADO"),0)</f>
        <v>9955</v>
      </c>
      <c r="S147" s="30">
        <f t="shared" si="16"/>
        <v>4.3945645404319436</v>
      </c>
      <c r="T147" s="9">
        <f t="shared" si="17"/>
        <v>0.1152199074074074</v>
      </c>
      <c r="U147" s="9">
        <f t="shared" si="18"/>
        <v>3.8344907407407404E-2</v>
      </c>
      <c r="V147" s="9">
        <f t="shared" si="19"/>
        <v>0.87370370370370376</v>
      </c>
    </row>
    <row r="148" spans="1:22" hidden="1" x14ac:dyDescent="0.35">
      <c r="A148" s="52">
        <v>49590</v>
      </c>
      <c r="B148" s="31">
        <v>46123</v>
      </c>
      <c r="C148" s="7" t="s">
        <v>321</v>
      </c>
      <c r="D148" s="7">
        <v>351</v>
      </c>
      <c r="E148" s="10">
        <f>IFERROR(SUMIFS('Base bordo CD'!M$2:M$875,'Base bordo CD'!D$2:D$875,A148,'Base bordo CD'!A$2:A$875,B148,'Base bordo CD'!L$2:L$875,"CORTE DE CANA MECANIZADO"),0)</f>
        <v>2.7652777777777775</v>
      </c>
      <c r="F148" s="10">
        <f>IFERROR(SUMIFS('Base bordo CD'!M$2:M$875,'Base bordo CD'!D$2:D$875,A148,'Base bordo CD'!A$2:A$875,B148,'Base bordo CD'!L$2:L$875,"MANOBRA"),0)</f>
        <v>0.92027777777777775</v>
      </c>
      <c r="G148" s="10">
        <f>IFERROR(SUMIFS('Base bordo CD'!M$2:M$875,'Base bordo CD'!D$2:D$875,A148,'Base bordo CD'!A$2:A$875,B148,'Base bordo CD'!L$2:L$875,"DESLOCAMENTO"),0)</f>
        <v>0.26583333333333337</v>
      </c>
      <c r="H148" s="10">
        <f>IFERROR(SUMIFS('Base bordo CD'!M$2:M$875,'Base bordo CD'!D$2:D$875,A148,'Base bordo CD'!A$2:A$875,B148,'Base bordo CD'!L$2:L$875,"AGUARDANDO MANOBRA DE TRANSBORDO"),0)+IFERROR(SUMIFS('Base bordo CD'!M$2:M$875,'Base bordo CD'!D$2:D$875,A148,'Base bordo CD'!A$2:A$875,B148,'Base bordo CD'!L$2:L$875,"FALTA DE TRANSBORDO"),0)</f>
        <v>0.11694444444444443</v>
      </c>
      <c r="I148" s="10">
        <f>IFERROR(SUMIFS('Base bordo CD'!M$2:M$875,'Base bordo CD'!D$2:D$875,A148,'Base bordo CD'!A$2:A$875,B148,'Base bordo CD'!L$2:L$875,"PARADA POR CONDICOES CLIMATICAS"),0)+IFERROR(SUMIFS('Base bordo CD'!M$2:M$875,'Base bordo CD'!D$2:D$875,A148,'Base bordo CD'!A$2:A$875,B148,'Base bordo CD'!L$2:L$875,"TEMPO INDETERMINADO"),0)</f>
        <v>15.6625</v>
      </c>
      <c r="J148" s="10">
        <f>IFERROR(SUMIFS('Base bordo CD'!M$2:M$875,'Base bordo CD'!D$2:D$875,A148,'Base bordo CD'!A$2:A$875,B148,'Base bordo CD'!L$2:L$875,"LIMITAÇÃO INDÚSTRIA"),0)</f>
        <v>0</v>
      </c>
      <c r="K148" s="10">
        <f>IFERROR(SUMIFS('Base bordo CD'!M$2:M$875,'Base bordo CD'!D$2:D$875,A148,'Base bordo CD'!A$2:A$875,B148,'Base bordo CD'!L$2:L$875,"MAN CORRETIVA*"),0)+IFERROR(SUMIFS('Base bordo CD'!M$2:M$875,'Base bordo CD'!D$2:D$875,A148,'Base bordo CD'!A$2:A$875,B148,'Base bordo CD'!L$2:L$875,"AGUARDANDO MANUTENCAO*"),0)+IFERROR(SUMIFS('Base bordo CD'!M$2:M$875,'Base bordo CD'!D$2:D$875,A148,'Base bordo CD'!A$2:A$875,B148,'Base bordo CD'!L$2:L$875,"TROCA DE FAQUINHA"),0)+IFERROR(SUMIFS('Base bordo CD'!M$2:M$875,'Base bordo CD'!D$2:D$875,A148,'Base bordo CD'!A$2:A$875,B148,'Base bordo CD'!L$2:L$875,"LIMPEZA*"),0)</f>
        <v>0</v>
      </c>
      <c r="L148" s="10">
        <f>IFERROR(SUMIFS('Base bordo CD'!M$2:M$875,'Base bordo CD'!D$2:D$875,A148,'Base bordo CD'!A$2:A$875,B148,'Base bordo CD'!L$2:L$875,"PATIO - RESERVA"),0)</f>
        <v>0</v>
      </c>
      <c r="M148" s="10">
        <f>IFERROR(SUMIFS('Base bordo CD'!M$2:M$875,'Base bordo CD'!D$2:D$875,A148,'Base bordo CD'!A$2:A$875,B148,'Base bordo CD'!L$2:L$875,"SEM APONTAMENTO"),0)</f>
        <v>0.11027777777777779</v>
      </c>
      <c r="N148" s="10">
        <f>IFERROR(SUMIFS('Base bordo CD'!M$2:M$875,'Base bordo CD'!D$2:D$875,A148,'Base bordo CD'!A$2:A$875,B148,'Base bordo CD'!L$2:L$875,"FALTA DE CAMINHÃO"),0)+IFERROR(SUMIFS('Base bordo CD'!M$2:M$875,'Base bordo CD'!D$2:D$875,A148,'Base bordo CD'!A$2:A$875,B148,'Base bordo CD'!L$2:L$875,"FALTA DE COMBUSTIVEL"),0)+IFERROR(SUMIFS('Base bordo CD'!M$2:M$875,'Base bordo CD'!D$2:D$875,A148,'Base bordo CD'!A$2:A$875,B148,'Base bordo CD'!L$2:L$875,"FALTA DE MOTORIST*"),0)</f>
        <v>0</v>
      </c>
      <c r="O148" s="10">
        <f t="shared" si="15"/>
        <v>4.1588888888888889</v>
      </c>
      <c r="P148" s="10">
        <f>IFERROR(SUMIFS('Base bordo CD'!M$2:M$875,'Base bordo CD'!D$2:D$875,A148,'Base bordo CD'!A$2:A$875,B148),0)</f>
        <v>24</v>
      </c>
      <c r="Q148" s="10">
        <f>IFERROR(SUMIFS('Base bordo CD'!O$2:O$875,'Base bordo CD'!D$2:D$875,A148,'Base bordo CD'!A$2:A$875,B148,'Base bordo CD'!L$2:L$875,"CORTE DE CANA MECANIZADO"),0)</f>
        <v>43747.89</v>
      </c>
      <c r="R148" s="10">
        <f>IFERROR(SUMIFS('Base bordo CD'!Q$2:Q$875,'Base bordo CD'!D$2:D$875,A148,'Base bordo CD'!A$2:A$875,B148,'Base bordo CD'!L$2:L$875,"CORTE DE CANA MECANIZADO"),0)</f>
        <v>9955</v>
      </c>
      <c r="S148" s="30">
        <f t="shared" si="16"/>
        <v>4.3945645404319436</v>
      </c>
      <c r="T148" s="9">
        <f t="shared" si="17"/>
        <v>0.1152199074074074</v>
      </c>
      <c r="U148" s="9">
        <f t="shared" si="18"/>
        <v>3.8344907407407404E-2</v>
      </c>
      <c r="V148" s="9">
        <f t="shared" si="19"/>
        <v>0.87370370370370376</v>
      </c>
    </row>
    <row r="149" spans="1:22" hidden="1" x14ac:dyDescent="0.35">
      <c r="A149" s="52">
        <v>49590</v>
      </c>
      <c r="B149" s="31">
        <v>46123</v>
      </c>
      <c r="C149" s="7" t="s">
        <v>321</v>
      </c>
      <c r="D149" s="7">
        <v>351</v>
      </c>
      <c r="E149" s="10">
        <f>IFERROR(SUMIFS('Base bordo CD'!M$2:M$875,'Base bordo CD'!D$2:D$875,A149,'Base bordo CD'!A$2:A$875,B149,'Base bordo CD'!L$2:L$875,"CORTE DE CANA MECANIZADO"),0)</f>
        <v>2.7652777777777775</v>
      </c>
      <c r="F149" s="10">
        <f>IFERROR(SUMIFS('Base bordo CD'!M$2:M$875,'Base bordo CD'!D$2:D$875,A149,'Base bordo CD'!A$2:A$875,B149,'Base bordo CD'!L$2:L$875,"MANOBRA"),0)</f>
        <v>0.92027777777777775</v>
      </c>
      <c r="G149" s="10">
        <f>IFERROR(SUMIFS('Base bordo CD'!M$2:M$875,'Base bordo CD'!D$2:D$875,A149,'Base bordo CD'!A$2:A$875,B149,'Base bordo CD'!L$2:L$875,"DESLOCAMENTO"),0)</f>
        <v>0.26583333333333337</v>
      </c>
      <c r="H149" s="10">
        <f>IFERROR(SUMIFS('Base bordo CD'!M$2:M$875,'Base bordo CD'!D$2:D$875,A149,'Base bordo CD'!A$2:A$875,B149,'Base bordo CD'!L$2:L$875,"AGUARDANDO MANOBRA DE TRANSBORDO"),0)+IFERROR(SUMIFS('Base bordo CD'!M$2:M$875,'Base bordo CD'!D$2:D$875,A149,'Base bordo CD'!A$2:A$875,B149,'Base bordo CD'!L$2:L$875,"FALTA DE TRANSBORDO"),0)</f>
        <v>0.11694444444444443</v>
      </c>
      <c r="I149" s="10">
        <f>IFERROR(SUMIFS('Base bordo CD'!M$2:M$875,'Base bordo CD'!D$2:D$875,A149,'Base bordo CD'!A$2:A$875,B149,'Base bordo CD'!L$2:L$875,"PARADA POR CONDICOES CLIMATICAS"),0)+IFERROR(SUMIFS('Base bordo CD'!M$2:M$875,'Base bordo CD'!D$2:D$875,A149,'Base bordo CD'!A$2:A$875,B149,'Base bordo CD'!L$2:L$875,"TEMPO INDETERMINADO"),0)</f>
        <v>15.6625</v>
      </c>
      <c r="J149" s="10">
        <f>IFERROR(SUMIFS('Base bordo CD'!M$2:M$875,'Base bordo CD'!D$2:D$875,A149,'Base bordo CD'!A$2:A$875,B149,'Base bordo CD'!L$2:L$875,"LIMITAÇÃO INDÚSTRIA"),0)</f>
        <v>0</v>
      </c>
      <c r="K149" s="10">
        <f>IFERROR(SUMIFS('Base bordo CD'!M$2:M$875,'Base bordo CD'!D$2:D$875,A149,'Base bordo CD'!A$2:A$875,B149,'Base bordo CD'!L$2:L$875,"MAN CORRETIVA*"),0)+IFERROR(SUMIFS('Base bordo CD'!M$2:M$875,'Base bordo CD'!D$2:D$875,A149,'Base bordo CD'!A$2:A$875,B149,'Base bordo CD'!L$2:L$875,"AGUARDANDO MANUTENCAO*"),0)+IFERROR(SUMIFS('Base bordo CD'!M$2:M$875,'Base bordo CD'!D$2:D$875,A149,'Base bordo CD'!A$2:A$875,B149,'Base bordo CD'!L$2:L$875,"TROCA DE FAQUINHA"),0)+IFERROR(SUMIFS('Base bordo CD'!M$2:M$875,'Base bordo CD'!D$2:D$875,A149,'Base bordo CD'!A$2:A$875,B149,'Base bordo CD'!L$2:L$875,"LIMPEZA*"),0)</f>
        <v>0</v>
      </c>
      <c r="L149" s="10">
        <f>IFERROR(SUMIFS('Base bordo CD'!M$2:M$875,'Base bordo CD'!D$2:D$875,A149,'Base bordo CD'!A$2:A$875,B149,'Base bordo CD'!L$2:L$875,"PATIO - RESERVA"),0)</f>
        <v>0</v>
      </c>
      <c r="M149" s="10">
        <f>IFERROR(SUMIFS('Base bordo CD'!M$2:M$875,'Base bordo CD'!D$2:D$875,A149,'Base bordo CD'!A$2:A$875,B149,'Base bordo CD'!L$2:L$875,"SEM APONTAMENTO"),0)</f>
        <v>0.11027777777777779</v>
      </c>
      <c r="N149" s="10">
        <f>IFERROR(SUMIFS('Base bordo CD'!M$2:M$875,'Base bordo CD'!D$2:D$875,A149,'Base bordo CD'!A$2:A$875,B149,'Base bordo CD'!L$2:L$875,"FALTA DE CAMINHÃO"),0)+IFERROR(SUMIFS('Base bordo CD'!M$2:M$875,'Base bordo CD'!D$2:D$875,A149,'Base bordo CD'!A$2:A$875,B149,'Base bordo CD'!L$2:L$875,"FALTA DE COMBUSTIVEL"),0)+IFERROR(SUMIFS('Base bordo CD'!M$2:M$875,'Base bordo CD'!D$2:D$875,A149,'Base bordo CD'!A$2:A$875,B149,'Base bordo CD'!L$2:L$875,"FALTA DE MOTORIST*"),0)</f>
        <v>0</v>
      </c>
      <c r="O149" s="10">
        <f t="shared" si="15"/>
        <v>4.1588888888888889</v>
      </c>
      <c r="P149" s="10">
        <f>IFERROR(SUMIFS('Base bordo CD'!M$2:M$875,'Base bordo CD'!D$2:D$875,A149,'Base bordo CD'!A$2:A$875,B149),0)</f>
        <v>24</v>
      </c>
      <c r="Q149" s="10">
        <f>IFERROR(SUMIFS('Base bordo CD'!O$2:O$875,'Base bordo CD'!D$2:D$875,A149,'Base bordo CD'!A$2:A$875,B149,'Base bordo CD'!L$2:L$875,"CORTE DE CANA MECANIZADO"),0)</f>
        <v>43747.89</v>
      </c>
      <c r="R149" s="10">
        <f>IFERROR(SUMIFS('Base bordo CD'!Q$2:Q$875,'Base bordo CD'!D$2:D$875,A149,'Base bordo CD'!A$2:A$875,B149,'Base bordo CD'!L$2:L$875,"CORTE DE CANA MECANIZADO"),0)</f>
        <v>9955</v>
      </c>
      <c r="S149" s="30">
        <f t="shared" si="16"/>
        <v>4.3945645404319436</v>
      </c>
      <c r="T149" s="9">
        <f t="shared" si="17"/>
        <v>0.1152199074074074</v>
      </c>
      <c r="U149" s="9">
        <f t="shared" si="18"/>
        <v>3.8344907407407404E-2</v>
      </c>
      <c r="V149" s="9">
        <f t="shared" si="19"/>
        <v>0.87370370370370376</v>
      </c>
    </row>
    <row r="150" spans="1:22" hidden="1" x14ac:dyDescent="0.35">
      <c r="A150" s="52">
        <v>49590</v>
      </c>
      <c r="B150" s="31">
        <v>46123</v>
      </c>
      <c r="C150" s="7" t="s">
        <v>321</v>
      </c>
      <c r="D150" s="7">
        <v>351</v>
      </c>
      <c r="E150" s="10">
        <f>IFERROR(SUMIFS('Base bordo CD'!M$2:M$875,'Base bordo CD'!D$2:D$875,A150,'Base bordo CD'!A$2:A$875,B150,'Base bordo CD'!L$2:L$875,"CORTE DE CANA MECANIZADO"),0)</f>
        <v>2.7652777777777775</v>
      </c>
      <c r="F150" s="10">
        <f>IFERROR(SUMIFS('Base bordo CD'!M$2:M$875,'Base bordo CD'!D$2:D$875,A150,'Base bordo CD'!A$2:A$875,B150,'Base bordo CD'!L$2:L$875,"MANOBRA"),0)</f>
        <v>0.92027777777777775</v>
      </c>
      <c r="G150" s="10">
        <f>IFERROR(SUMIFS('Base bordo CD'!M$2:M$875,'Base bordo CD'!D$2:D$875,A150,'Base bordo CD'!A$2:A$875,B150,'Base bordo CD'!L$2:L$875,"DESLOCAMENTO"),0)</f>
        <v>0.26583333333333337</v>
      </c>
      <c r="H150" s="10">
        <f>IFERROR(SUMIFS('Base bordo CD'!M$2:M$875,'Base bordo CD'!D$2:D$875,A150,'Base bordo CD'!A$2:A$875,B150,'Base bordo CD'!L$2:L$875,"AGUARDANDO MANOBRA DE TRANSBORDO"),0)+IFERROR(SUMIFS('Base bordo CD'!M$2:M$875,'Base bordo CD'!D$2:D$875,A150,'Base bordo CD'!A$2:A$875,B150,'Base bordo CD'!L$2:L$875,"FALTA DE TRANSBORDO"),0)</f>
        <v>0.11694444444444443</v>
      </c>
      <c r="I150" s="10">
        <f>IFERROR(SUMIFS('Base bordo CD'!M$2:M$875,'Base bordo CD'!D$2:D$875,A150,'Base bordo CD'!A$2:A$875,B150,'Base bordo CD'!L$2:L$875,"PARADA POR CONDICOES CLIMATICAS"),0)+IFERROR(SUMIFS('Base bordo CD'!M$2:M$875,'Base bordo CD'!D$2:D$875,A150,'Base bordo CD'!A$2:A$875,B150,'Base bordo CD'!L$2:L$875,"TEMPO INDETERMINADO"),0)</f>
        <v>15.6625</v>
      </c>
      <c r="J150" s="10">
        <f>IFERROR(SUMIFS('Base bordo CD'!M$2:M$875,'Base bordo CD'!D$2:D$875,A150,'Base bordo CD'!A$2:A$875,B150,'Base bordo CD'!L$2:L$875,"LIMITAÇÃO INDÚSTRIA"),0)</f>
        <v>0</v>
      </c>
      <c r="K150" s="10">
        <f>IFERROR(SUMIFS('Base bordo CD'!M$2:M$875,'Base bordo CD'!D$2:D$875,A150,'Base bordo CD'!A$2:A$875,B150,'Base bordo CD'!L$2:L$875,"MAN CORRETIVA*"),0)+IFERROR(SUMIFS('Base bordo CD'!M$2:M$875,'Base bordo CD'!D$2:D$875,A150,'Base bordo CD'!A$2:A$875,B150,'Base bordo CD'!L$2:L$875,"AGUARDANDO MANUTENCAO*"),0)+IFERROR(SUMIFS('Base bordo CD'!M$2:M$875,'Base bordo CD'!D$2:D$875,A150,'Base bordo CD'!A$2:A$875,B150,'Base bordo CD'!L$2:L$875,"TROCA DE FAQUINHA"),0)+IFERROR(SUMIFS('Base bordo CD'!M$2:M$875,'Base bordo CD'!D$2:D$875,A150,'Base bordo CD'!A$2:A$875,B150,'Base bordo CD'!L$2:L$875,"LIMPEZA*"),0)</f>
        <v>0</v>
      </c>
      <c r="L150" s="10">
        <f>IFERROR(SUMIFS('Base bordo CD'!M$2:M$875,'Base bordo CD'!D$2:D$875,A150,'Base bordo CD'!A$2:A$875,B150,'Base bordo CD'!L$2:L$875,"PATIO - RESERVA"),0)</f>
        <v>0</v>
      </c>
      <c r="M150" s="10">
        <f>IFERROR(SUMIFS('Base bordo CD'!M$2:M$875,'Base bordo CD'!D$2:D$875,A150,'Base bordo CD'!A$2:A$875,B150,'Base bordo CD'!L$2:L$875,"SEM APONTAMENTO"),0)</f>
        <v>0.11027777777777779</v>
      </c>
      <c r="N150" s="10">
        <f>IFERROR(SUMIFS('Base bordo CD'!M$2:M$875,'Base bordo CD'!D$2:D$875,A150,'Base bordo CD'!A$2:A$875,B150,'Base bordo CD'!L$2:L$875,"FALTA DE CAMINHÃO"),0)+IFERROR(SUMIFS('Base bordo CD'!M$2:M$875,'Base bordo CD'!D$2:D$875,A150,'Base bordo CD'!A$2:A$875,B150,'Base bordo CD'!L$2:L$875,"FALTA DE COMBUSTIVEL"),0)+IFERROR(SUMIFS('Base bordo CD'!M$2:M$875,'Base bordo CD'!D$2:D$875,A150,'Base bordo CD'!A$2:A$875,B150,'Base bordo CD'!L$2:L$875,"FALTA DE MOTORIST*"),0)</f>
        <v>0</v>
      </c>
      <c r="O150" s="10">
        <f t="shared" si="15"/>
        <v>4.1588888888888889</v>
      </c>
      <c r="P150" s="10">
        <f>IFERROR(SUMIFS('Base bordo CD'!M$2:M$875,'Base bordo CD'!D$2:D$875,A150,'Base bordo CD'!A$2:A$875,B150),0)</f>
        <v>24</v>
      </c>
      <c r="Q150" s="10">
        <f>IFERROR(SUMIFS('Base bordo CD'!O$2:O$875,'Base bordo CD'!D$2:D$875,A150,'Base bordo CD'!A$2:A$875,B150,'Base bordo CD'!L$2:L$875,"CORTE DE CANA MECANIZADO"),0)</f>
        <v>43747.89</v>
      </c>
      <c r="R150" s="10">
        <f>IFERROR(SUMIFS('Base bordo CD'!Q$2:Q$875,'Base bordo CD'!D$2:D$875,A150,'Base bordo CD'!A$2:A$875,B150,'Base bordo CD'!L$2:L$875,"CORTE DE CANA MECANIZADO"),0)</f>
        <v>9955</v>
      </c>
      <c r="S150" s="30">
        <f t="shared" si="16"/>
        <v>4.3945645404319436</v>
      </c>
      <c r="T150" s="9">
        <f t="shared" si="17"/>
        <v>0.1152199074074074</v>
      </c>
      <c r="U150" s="9">
        <f t="shared" si="18"/>
        <v>3.8344907407407404E-2</v>
      </c>
      <c r="V150" s="9">
        <f t="shared" si="19"/>
        <v>0.87370370370370376</v>
      </c>
    </row>
    <row r="151" spans="1:22" hidden="1" x14ac:dyDescent="0.35">
      <c r="A151" s="52">
        <v>49590</v>
      </c>
      <c r="B151" s="31">
        <v>46123</v>
      </c>
      <c r="C151" s="7" t="s">
        <v>321</v>
      </c>
      <c r="D151" s="7">
        <v>351</v>
      </c>
      <c r="E151" s="10">
        <f>IFERROR(SUMIFS('Base bordo CD'!M$2:M$875,'Base bordo CD'!D$2:D$875,A151,'Base bordo CD'!A$2:A$875,B151,'Base bordo CD'!L$2:L$875,"CORTE DE CANA MECANIZADO"),0)</f>
        <v>2.7652777777777775</v>
      </c>
      <c r="F151" s="10">
        <f>IFERROR(SUMIFS('Base bordo CD'!M$2:M$875,'Base bordo CD'!D$2:D$875,A151,'Base bordo CD'!A$2:A$875,B151,'Base bordo CD'!L$2:L$875,"MANOBRA"),0)</f>
        <v>0.92027777777777775</v>
      </c>
      <c r="G151" s="10">
        <f>IFERROR(SUMIFS('Base bordo CD'!M$2:M$875,'Base bordo CD'!D$2:D$875,A151,'Base bordo CD'!A$2:A$875,B151,'Base bordo CD'!L$2:L$875,"DESLOCAMENTO"),0)</f>
        <v>0.26583333333333337</v>
      </c>
      <c r="H151" s="10">
        <f>IFERROR(SUMIFS('Base bordo CD'!M$2:M$875,'Base bordo CD'!D$2:D$875,A151,'Base bordo CD'!A$2:A$875,B151,'Base bordo CD'!L$2:L$875,"AGUARDANDO MANOBRA DE TRANSBORDO"),0)+IFERROR(SUMIFS('Base bordo CD'!M$2:M$875,'Base bordo CD'!D$2:D$875,A151,'Base bordo CD'!A$2:A$875,B151,'Base bordo CD'!L$2:L$875,"FALTA DE TRANSBORDO"),0)</f>
        <v>0.11694444444444443</v>
      </c>
      <c r="I151" s="10">
        <f>IFERROR(SUMIFS('Base bordo CD'!M$2:M$875,'Base bordo CD'!D$2:D$875,A151,'Base bordo CD'!A$2:A$875,B151,'Base bordo CD'!L$2:L$875,"PARADA POR CONDICOES CLIMATICAS"),0)+IFERROR(SUMIFS('Base bordo CD'!M$2:M$875,'Base bordo CD'!D$2:D$875,A151,'Base bordo CD'!A$2:A$875,B151,'Base bordo CD'!L$2:L$875,"TEMPO INDETERMINADO"),0)</f>
        <v>15.6625</v>
      </c>
      <c r="J151" s="10">
        <f>IFERROR(SUMIFS('Base bordo CD'!M$2:M$875,'Base bordo CD'!D$2:D$875,A151,'Base bordo CD'!A$2:A$875,B151,'Base bordo CD'!L$2:L$875,"LIMITAÇÃO INDÚSTRIA"),0)</f>
        <v>0</v>
      </c>
      <c r="K151" s="10">
        <f>IFERROR(SUMIFS('Base bordo CD'!M$2:M$875,'Base bordo CD'!D$2:D$875,A151,'Base bordo CD'!A$2:A$875,B151,'Base bordo CD'!L$2:L$875,"MAN CORRETIVA*"),0)+IFERROR(SUMIFS('Base bordo CD'!M$2:M$875,'Base bordo CD'!D$2:D$875,A151,'Base bordo CD'!A$2:A$875,B151,'Base bordo CD'!L$2:L$875,"AGUARDANDO MANUTENCAO*"),0)+IFERROR(SUMIFS('Base bordo CD'!M$2:M$875,'Base bordo CD'!D$2:D$875,A151,'Base bordo CD'!A$2:A$875,B151,'Base bordo CD'!L$2:L$875,"TROCA DE FAQUINHA"),0)+IFERROR(SUMIFS('Base bordo CD'!M$2:M$875,'Base bordo CD'!D$2:D$875,A151,'Base bordo CD'!A$2:A$875,B151,'Base bordo CD'!L$2:L$875,"LIMPEZA*"),0)</f>
        <v>0</v>
      </c>
      <c r="L151" s="10">
        <f>IFERROR(SUMIFS('Base bordo CD'!M$2:M$875,'Base bordo CD'!D$2:D$875,A151,'Base bordo CD'!A$2:A$875,B151,'Base bordo CD'!L$2:L$875,"PATIO - RESERVA"),0)</f>
        <v>0</v>
      </c>
      <c r="M151" s="10">
        <f>IFERROR(SUMIFS('Base bordo CD'!M$2:M$875,'Base bordo CD'!D$2:D$875,A151,'Base bordo CD'!A$2:A$875,B151,'Base bordo CD'!L$2:L$875,"SEM APONTAMENTO"),0)</f>
        <v>0.11027777777777779</v>
      </c>
      <c r="N151" s="10">
        <f>IFERROR(SUMIFS('Base bordo CD'!M$2:M$875,'Base bordo CD'!D$2:D$875,A151,'Base bordo CD'!A$2:A$875,B151,'Base bordo CD'!L$2:L$875,"FALTA DE CAMINHÃO"),0)+IFERROR(SUMIFS('Base bordo CD'!M$2:M$875,'Base bordo CD'!D$2:D$875,A151,'Base bordo CD'!A$2:A$875,B151,'Base bordo CD'!L$2:L$875,"FALTA DE COMBUSTIVEL"),0)+IFERROR(SUMIFS('Base bordo CD'!M$2:M$875,'Base bordo CD'!D$2:D$875,A151,'Base bordo CD'!A$2:A$875,B151,'Base bordo CD'!L$2:L$875,"FALTA DE MOTORIST*"),0)</f>
        <v>0</v>
      </c>
      <c r="O151" s="10">
        <f t="shared" si="15"/>
        <v>4.1588888888888889</v>
      </c>
      <c r="P151" s="10">
        <f>IFERROR(SUMIFS('Base bordo CD'!M$2:M$875,'Base bordo CD'!D$2:D$875,A151,'Base bordo CD'!A$2:A$875,B151),0)</f>
        <v>24</v>
      </c>
      <c r="Q151" s="10">
        <f>IFERROR(SUMIFS('Base bordo CD'!O$2:O$875,'Base bordo CD'!D$2:D$875,A151,'Base bordo CD'!A$2:A$875,B151,'Base bordo CD'!L$2:L$875,"CORTE DE CANA MECANIZADO"),0)</f>
        <v>43747.89</v>
      </c>
      <c r="R151" s="10">
        <f>IFERROR(SUMIFS('Base bordo CD'!Q$2:Q$875,'Base bordo CD'!D$2:D$875,A151,'Base bordo CD'!A$2:A$875,B151,'Base bordo CD'!L$2:L$875,"CORTE DE CANA MECANIZADO"),0)</f>
        <v>9955</v>
      </c>
      <c r="S151" s="30">
        <f t="shared" si="16"/>
        <v>4.3945645404319436</v>
      </c>
      <c r="T151" s="9">
        <f t="shared" si="17"/>
        <v>0.1152199074074074</v>
      </c>
      <c r="U151" s="9">
        <f t="shared" si="18"/>
        <v>3.8344907407407404E-2</v>
      </c>
      <c r="V151" s="9">
        <f t="shared" si="19"/>
        <v>0.87370370370370376</v>
      </c>
    </row>
    <row r="152" spans="1:22" hidden="1" x14ac:dyDescent="0.35">
      <c r="A152" s="52">
        <v>49590</v>
      </c>
      <c r="B152" s="31">
        <v>46123</v>
      </c>
      <c r="C152" s="7" t="s">
        <v>321</v>
      </c>
      <c r="D152" s="7">
        <v>351</v>
      </c>
      <c r="E152" s="10">
        <f>IFERROR(SUMIFS('Base bordo CD'!M$2:M$875,'Base bordo CD'!D$2:D$875,A152,'Base bordo CD'!A$2:A$875,B152,'Base bordo CD'!L$2:L$875,"CORTE DE CANA MECANIZADO"),0)</f>
        <v>2.7652777777777775</v>
      </c>
      <c r="F152" s="10">
        <f>IFERROR(SUMIFS('Base bordo CD'!M$2:M$875,'Base bordo CD'!D$2:D$875,A152,'Base bordo CD'!A$2:A$875,B152,'Base bordo CD'!L$2:L$875,"MANOBRA"),0)</f>
        <v>0.92027777777777775</v>
      </c>
      <c r="G152" s="10">
        <f>IFERROR(SUMIFS('Base bordo CD'!M$2:M$875,'Base bordo CD'!D$2:D$875,A152,'Base bordo CD'!A$2:A$875,B152,'Base bordo CD'!L$2:L$875,"DESLOCAMENTO"),0)</f>
        <v>0.26583333333333337</v>
      </c>
      <c r="H152" s="10">
        <f>IFERROR(SUMIFS('Base bordo CD'!M$2:M$875,'Base bordo CD'!D$2:D$875,A152,'Base bordo CD'!A$2:A$875,B152,'Base bordo CD'!L$2:L$875,"AGUARDANDO MANOBRA DE TRANSBORDO"),0)+IFERROR(SUMIFS('Base bordo CD'!M$2:M$875,'Base bordo CD'!D$2:D$875,A152,'Base bordo CD'!A$2:A$875,B152,'Base bordo CD'!L$2:L$875,"FALTA DE TRANSBORDO"),0)</f>
        <v>0.11694444444444443</v>
      </c>
      <c r="I152" s="10">
        <f>IFERROR(SUMIFS('Base bordo CD'!M$2:M$875,'Base bordo CD'!D$2:D$875,A152,'Base bordo CD'!A$2:A$875,B152,'Base bordo CD'!L$2:L$875,"PARADA POR CONDICOES CLIMATICAS"),0)+IFERROR(SUMIFS('Base bordo CD'!M$2:M$875,'Base bordo CD'!D$2:D$875,A152,'Base bordo CD'!A$2:A$875,B152,'Base bordo CD'!L$2:L$875,"TEMPO INDETERMINADO"),0)</f>
        <v>15.6625</v>
      </c>
      <c r="J152" s="10">
        <f>IFERROR(SUMIFS('Base bordo CD'!M$2:M$875,'Base bordo CD'!D$2:D$875,A152,'Base bordo CD'!A$2:A$875,B152,'Base bordo CD'!L$2:L$875,"LIMITAÇÃO INDÚSTRIA"),0)</f>
        <v>0</v>
      </c>
      <c r="K152" s="10">
        <f>IFERROR(SUMIFS('Base bordo CD'!M$2:M$875,'Base bordo CD'!D$2:D$875,A152,'Base bordo CD'!A$2:A$875,B152,'Base bordo CD'!L$2:L$875,"MAN CORRETIVA*"),0)+IFERROR(SUMIFS('Base bordo CD'!M$2:M$875,'Base bordo CD'!D$2:D$875,A152,'Base bordo CD'!A$2:A$875,B152,'Base bordo CD'!L$2:L$875,"AGUARDANDO MANUTENCAO*"),0)+IFERROR(SUMIFS('Base bordo CD'!M$2:M$875,'Base bordo CD'!D$2:D$875,A152,'Base bordo CD'!A$2:A$875,B152,'Base bordo CD'!L$2:L$875,"TROCA DE FAQUINHA"),0)+IFERROR(SUMIFS('Base bordo CD'!M$2:M$875,'Base bordo CD'!D$2:D$875,A152,'Base bordo CD'!A$2:A$875,B152,'Base bordo CD'!L$2:L$875,"LIMPEZA*"),0)</f>
        <v>0</v>
      </c>
      <c r="L152" s="10">
        <f>IFERROR(SUMIFS('Base bordo CD'!M$2:M$875,'Base bordo CD'!D$2:D$875,A152,'Base bordo CD'!A$2:A$875,B152,'Base bordo CD'!L$2:L$875,"PATIO - RESERVA"),0)</f>
        <v>0</v>
      </c>
      <c r="M152" s="10">
        <f>IFERROR(SUMIFS('Base bordo CD'!M$2:M$875,'Base bordo CD'!D$2:D$875,A152,'Base bordo CD'!A$2:A$875,B152,'Base bordo CD'!L$2:L$875,"SEM APONTAMENTO"),0)</f>
        <v>0.11027777777777779</v>
      </c>
      <c r="N152" s="10">
        <f>IFERROR(SUMIFS('Base bordo CD'!M$2:M$875,'Base bordo CD'!D$2:D$875,A152,'Base bordo CD'!A$2:A$875,B152,'Base bordo CD'!L$2:L$875,"FALTA DE CAMINHÃO"),0)+IFERROR(SUMIFS('Base bordo CD'!M$2:M$875,'Base bordo CD'!D$2:D$875,A152,'Base bordo CD'!A$2:A$875,B152,'Base bordo CD'!L$2:L$875,"FALTA DE COMBUSTIVEL"),0)+IFERROR(SUMIFS('Base bordo CD'!M$2:M$875,'Base bordo CD'!D$2:D$875,A152,'Base bordo CD'!A$2:A$875,B152,'Base bordo CD'!L$2:L$875,"FALTA DE MOTORIST*"),0)</f>
        <v>0</v>
      </c>
      <c r="O152" s="10">
        <f t="shared" si="15"/>
        <v>4.1588888888888889</v>
      </c>
      <c r="P152" s="10">
        <f>IFERROR(SUMIFS('Base bordo CD'!M$2:M$875,'Base bordo CD'!D$2:D$875,A152,'Base bordo CD'!A$2:A$875,B152),0)</f>
        <v>24</v>
      </c>
      <c r="Q152" s="10">
        <f>IFERROR(SUMIFS('Base bordo CD'!O$2:O$875,'Base bordo CD'!D$2:D$875,A152,'Base bordo CD'!A$2:A$875,B152,'Base bordo CD'!L$2:L$875,"CORTE DE CANA MECANIZADO"),0)</f>
        <v>43747.89</v>
      </c>
      <c r="R152" s="10">
        <f>IFERROR(SUMIFS('Base bordo CD'!Q$2:Q$875,'Base bordo CD'!D$2:D$875,A152,'Base bordo CD'!A$2:A$875,B152,'Base bordo CD'!L$2:L$875,"CORTE DE CANA MECANIZADO"),0)</f>
        <v>9955</v>
      </c>
      <c r="S152" s="30">
        <f t="shared" si="16"/>
        <v>4.3945645404319436</v>
      </c>
      <c r="T152" s="9">
        <f t="shared" si="17"/>
        <v>0.1152199074074074</v>
      </c>
      <c r="U152" s="9">
        <f t="shared" si="18"/>
        <v>3.8344907407407404E-2</v>
      </c>
      <c r="V152" s="9">
        <f t="shared" si="19"/>
        <v>0.87370370370370376</v>
      </c>
    </row>
    <row r="153" spans="1:22" hidden="1" x14ac:dyDescent="0.35">
      <c r="A153" s="52">
        <v>49590</v>
      </c>
      <c r="B153" s="31">
        <v>46123</v>
      </c>
      <c r="C153" s="7" t="s">
        <v>321</v>
      </c>
      <c r="D153" s="7">
        <v>351</v>
      </c>
      <c r="E153" s="10">
        <f>IFERROR(SUMIFS('Base bordo CD'!M$2:M$875,'Base bordo CD'!D$2:D$875,A153,'Base bordo CD'!A$2:A$875,B153,'Base bordo CD'!L$2:L$875,"CORTE DE CANA MECANIZADO"),0)</f>
        <v>2.7652777777777775</v>
      </c>
      <c r="F153" s="10">
        <f>IFERROR(SUMIFS('Base bordo CD'!M$2:M$875,'Base bordo CD'!D$2:D$875,A153,'Base bordo CD'!A$2:A$875,B153,'Base bordo CD'!L$2:L$875,"MANOBRA"),0)</f>
        <v>0.92027777777777775</v>
      </c>
      <c r="G153" s="10">
        <f>IFERROR(SUMIFS('Base bordo CD'!M$2:M$875,'Base bordo CD'!D$2:D$875,A153,'Base bordo CD'!A$2:A$875,B153,'Base bordo CD'!L$2:L$875,"DESLOCAMENTO"),0)</f>
        <v>0.26583333333333337</v>
      </c>
      <c r="H153" s="10">
        <f>IFERROR(SUMIFS('Base bordo CD'!M$2:M$875,'Base bordo CD'!D$2:D$875,A153,'Base bordo CD'!A$2:A$875,B153,'Base bordo CD'!L$2:L$875,"AGUARDANDO MANOBRA DE TRANSBORDO"),0)+IFERROR(SUMIFS('Base bordo CD'!M$2:M$875,'Base bordo CD'!D$2:D$875,A153,'Base bordo CD'!A$2:A$875,B153,'Base bordo CD'!L$2:L$875,"FALTA DE TRANSBORDO"),0)</f>
        <v>0.11694444444444443</v>
      </c>
      <c r="I153" s="10">
        <f>IFERROR(SUMIFS('Base bordo CD'!M$2:M$875,'Base bordo CD'!D$2:D$875,A153,'Base bordo CD'!A$2:A$875,B153,'Base bordo CD'!L$2:L$875,"PARADA POR CONDICOES CLIMATICAS"),0)+IFERROR(SUMIFS('Base bordo CD'!M$2:M$875,'Base bordo CD'!D$2:D$875,A153,'Base bordo CD'!A$2:A$875,B153,'Base bordo CD'!L$2:L$875,"TEMPO INDETERMINADO"),0)</f>
        <v>15.6625</v>
      </c>
      <c r="J153" s="10">
        <f>IFERROR(SUMIFS('Base bordo CD'!M$2:M$875,'Base bordo CD'!D$2:D$875,A153,'Base bordo CD'!A$2:A$875,B153,'Base bordo CD'!L$2:L$875,"LIMITAÇÃO INDÚSTRIA"),0)</f>
        <v>0</v>
      </c>
      <c r="K153" s="10">
        <f>IFERROR(SUMIFS('Base bordo CD'!M$2:M$875,'Base bordo CD'!D$2:D$875,A153,'Base bordo CD'!A$2:A$875,B153,'Base bordo CD'!L$2:L$875,"MAN CORRETIVA*"),0)+IFERROR(SUMIFS('Base bordo CD'!M$2:M$875,'Base bordo CD'!D$2:D$875,A153,'Base bordo CD'!A$2:A$875,B153,'Base bordo CD'!L$2:L$875,"AGUARDANDO MANUTENCAO*"),0)+IFERROR(SUMIFS('Base bordo CD'!M$2:M$875,'Base bordo CD'!D$2:D$875,A153,'Base bordo CD'!A$2:A$875,B153,'Base bordo CD'!L$2:L$875,"TROCA DE FAQUINHA"),0)+IFERROR(SUMIFS('Base bordo CD'!M$2:M$875,'Base bordo CD'!D$2:D$875,A153,'Base bordo CD'!A$2:A$875,B153,'Base bordo CD'!L$2:L$875,"LIMPEZA*"),0)</f>
        <v>0</v>
      </c>
      <c r="L153" s="10">
        <f>IFERROR(SUMIFS('Base bordo CD'!M$2:M$875,'Base bordo CD'!D$2:D$875,A153,'Base bordo CD'!A$2:A$875,B153,'Base bordo CD'!L$2:L$875,"PATIO - RESERVA"),0)</f>
        <v>0</v>
      </c>
      <c r="M153" s="10">
        <f>IFERROR(SUMIFS('Base bordo CD'!M$2:M$875,'Base bordo CD'!D$2:D$875,A153,'Base bordo CD'!A$2:A$875,B153,'Base bordo CD'!L$2:L$875,"SEM APONTAMENTO"),0)</f>
        <v>0.11027777777777779</v>
      </c>
      <c r="N153" s="10">
        <f>IFERROR(SUMIFS('Base bordo CD'!M$2:M$875,'Base bordo CD'!D$2:D$875,A153,'Base bordo CD'!A$2:A$875,B153,'Base bordo CD'!L$2:L$875,"FALTA DE CAMINHÃO"),0)+IFERROR(SUMIFS('Base bordo CD'!M$2:M$875,'Base bordo CD'!D$2:D$875,A153,'Base bordo CD'!A$2:A$875,B153,'Base bordo CD'!L$2:L$875,"FALTA DE COMBUSTIVEL"),0)+IFERROR(SUMIFS('Base bordo CD'!M$2:M$875,'Base bordo CD'!D$2:D$875,A153,'Base bordo CD'!A$2:A$875,B153,'Base bordo CD'!L$2:L$875,"FALTA DE MOTORIST*"),0)</f>
        <v>0</v>
      </c>
      <c r="O153" s="10">
        <f t="shared" si="15"/>
        <v>4.1588888888888889</v>
      </c>
      <c r="P153" s="10">
        <f>IFERROR(SUMIFS('Base bordo CD'!M$2:M$875,'Base bordo CD'!D$2:D$875,A153,'Base bordo CD'!A$2:A$875,B153),0)</f>
        <v>24</v>
      </c>
      <c r="Q153" s="10">
        <f>IFERROR(SUMIFS('Base bordo CD'!O$2:O$875,'Base bordo CD'!D$2:D$875,A153,'Base bordo CD'!A$2:A$875,B153,'Base bordo CD'!L$2:L$875,"CORTE DE CANA MECANIZADO"),0)</f>
        <v>43747.89</v>
      </c>
      <c r="R153" s="10">
        <f>IFERROR(SUMIFS('Base bordo CD'!Q$2:Q$875,'Base bordo CD'!D$2:D$875,A153,'Base bordo CD'!A$2:A$875,B153,'Base bordo CD'!L$2:L$875,"CORTE DE CANA MECANIZADO"),0)</f>
        <v>9955</v>
      </c>
      <c r="S153" s="30">
        <f t="shared" si="16"/>
        <v>4.3945645404319436</v>
      </c>
      <c r="T153" s="9">
        <f t="shared" si="17"/>
        <v>0.1152199074074074</v>
      </c>
      <c r="U153" s="9">
        <f t="shared" si="18"/>
        <v>3.8344907407407404E-2</v>
      </c>
      <c r="V153" s="9">
        <f t="shared" si="19"/>
        <v>0.87370370370370376</v>
      </c>
    </row>
    <row r="154" spans="1:22" hidden="1" x14ac:dyDescent="0.35">
      <c r="A154" s="52">
        <v>49590</v>
      </c>
      <c r="B154" s="31">
        <v>46123</v>
      </c>
      <c r="C154" s="7" t="s">
        <v>321</v>
      </c>
      <c r="D154" s="7">
        <v>351</v>
      </c>
      <c r="E154" s="10">
        <f>IFERROR(SUMIFS('Base bordo CD'!M$2:M$875,'Base bordo CD'!D$2:D$875,A154,'Base bordo CD'!A$2:A$875,B154,'Base bordo CD'!L$2:L$875,"CORTE DE CANA MECANIZADO"),0)</f>
        <v>2.7652777777777775</v>
      </c>
      <c r="F154" s="10">
        <f>IFERROR(SUMIFS('Base bordo CD'!M$2:M$875,'Base bordo CD'!D$2:D$875,A154,'Base bordo CD'!A$2:A$875,B154,'Base bordo CD'!L$2:L$875,"MANOBRA"),0)</f>
        <v>0.92027777777777775</v>
      </c>
      <c r="G154" s="10">
        <f>IFERROR(SUMIFS('Base bordo CD'!M$2:M$875,'Base bordo CD'!D$2:D$875,A154,'Base bordo CD'!A$2:A$875,B154,'Base bordo CD'!L$2:L$875,"DESLOCAMENTO"),0)</f>
        <v>0.26583333333333337</v>
      </c>
      <c r="H154" s="10">
        <f>IFERROR(SUMIFS('Base bordo CD'!M$2:M$875,'Base bordo CD'!D$2:D$875,A154,'Base bordo CD'!A$2:A$875,B154,'Base bordo CD'!L$2:L$875,"AGUARDANDO MANOBRA DE TRANSBORDO"),0)+IFERROR(SUMIFS('Base bordo CD'!M$2:M$875,'Base bordo CD'!D$2:D$875,A154,'Base bordo CD'!A$2:A$875,B154,'Base bordo CD'!L$2:L$875,"FALTA DE TRANSBORDO"),0)</f>
        <v>0.11694444444444443</v>
      </c>
      <c r="I154" s="10">
        <f>IFERROR(SUMIFS('Base bordo CD'!M$2:M$875,'Base bordo CD'!D$2:D$875,A154,'Base bordo CD'!A$2:A$875,B154,'Base bordo CD'!L$2:L$875,"PARADA POR CONDICOES CLIMATICAS"),0)+IFERROR(SUMIFS('Base bordo CD'!M$2:M$875,'Base bordo CD'!D$2:D$875,A154,'Base bordo CD'!A$2:A$875,B154,'Base bordo CD'!L$2:L$875,"TEMPO INDETERMINADO"),0)</f>
        <v>15.6625</v>
      </c>
      <c r="J154" s="10">
        <f>IFERROR(SUMIFS('Base bordo CD'!M$2:M$875,'Base bordo CD'!D$2:D$875,A154,'Base bordo CD'!A$2:A$875,B154,'Base bordo CD'!L$2:L$875,"LIMITAÇÃO INDÚSTRIA"),0)</f>
        <v>0</v>
      </c>
      <c r="K154" s="10">
        <f>IFERROR(SUMIFS('Base bordo CD'!M$2:M$875,'Base bordo CD'!D$2:D$875,A154,'Base bordo CD'!A$2:A$875,B154,'Base bordo CD'!L$2:L$875,"MAN CORRETIVA*"),0)+IFERROR(SUMIFS('Base bordo CD'!M$2:M$875,'Base bordo CD'!D$2:D$875,A154,'Base bordo CD'!A$2:A$875,B154,'Base bordo CD'!L$2:L$875,"AGUARDANDO MANUTENCAO*"),0)+IFERROR(SUMIFS('Base bordo CD'!M$2:M$875,'Base bordo CD'!D$2:D$875,A154,'Base bordo CD'!A$2:A$875,B154,'Base bordo CD'!L$2:L$875,"TROCA DE FAQUINHA"),0)+IFERROR(SUMIFS('Base bordo CD'!M$2:M$875,'Base bordo CD'!D$2:D$875,A154,'Base bordo CD'!A$2:A$875,B154,'Base bordo CD'!L$2:L$875,"LIMPEZA*"),0)</f>
        <v>0</v>
      </c>
      <c r="L154" s="10">
        <f>IFERROR(SUMIFS('Base bordo CD'!M$2:M$875,'Base bordo CD'!D$2:D$875,A154,'Base bordo CD'!A$2:A$875,B154,'Base bordo CD'!L$2:L$875,"PATIO - RESERVA"),0)</f>
        <v>0</v>
      </c>
      <c r="M154" s="10">
        <f>IFERROR(SUMIFS('Base bordo CD'!M$2:M$875,'Base bordo CD'!D$2:D$875,A154,'Base bordo CD'!A$2:A$875,B154,'Base bordo CD'!L$2:L$875,"SEM APONTAMENTO"),0)</f>
        <v>0.11027777777777779</v>
      </c>
      <c r="N154" s="10">
        <f>IFERROR(SUMIFS('Base bordo CD'!M$2:M$875,'Base bordo CD'!D$2:D$875,A154,'Base bordo CD'!A$2:A$875,B154,'Base bordo CD'!L$2:L$875,"FALTA DE CAMINHÃO"),0)+IFERROR(SUMIFS('Base bordo CD'!M$2:M$875,'Base bordo CD'!D$2:D$875,A154,'Base bordo CD'!A$2:A$875,B154,'Base bordo CD'!L$2:L$875,"FALTA DE COMBUSTIVEL"),0)+IFERROR(SUMIFS('Base bordo CD'!M$2:M$875,'Base bordo CD'!D$2:D$875,A154,'Base bordo CD'!A$2:A$875,B154,'Base bordo CD'!L$2:L$875,"FALTA DE MOTORIST*"),0)</f>
        <v>0</v>
      </c>
      <c r="O154" s="10">
        <f t="shared" si="15"/>
        <v>4.1588888888888889</v>
      </c>
      <c r="P154" s="10">
        <f>IFERROR(SUMIFS('Base bordo CD'!M$2:M$875,'Base bordo CD'!D$2:D$875,A154,'Base bordo CD'!A$2:A$875,B154),0)</f>
        <v>24</v>
      </c>
      <c r="Q154" s="10">
        <f>IFERROR(SUMIFS('Base bordo CD'!O$2:O$875,'Base bordo CD'!D$2:D$875,A154,'Base bordo CD'!A$2:A$875,B154,'Base bordo CD'!L$2:L$875,"CORTE DE CANA MECANIZADO"),0)</f>
        <v>43747.89</v>
      </c>
      <c r="R154" s="10">
        <f>IFERROR(SUMIFS('Base bordo CD'!Q$2:Q$875,'Base bordo CD'!D$2:D$875,A154,'Base bordo CD'!A$2:A$875,B154,'Base bordo CD'!L$2:L$875,"CORTE DE CANA MECANIZADO"),0)</f>
        <v>9955</v>
      </c>
      <c r="S154" s="30">
        <f t="shared" si="16"/>
        <v>4.3945645404319436</v>
      </c>
      <c r="T154" s="9">
        <f t="shared" si="17"/>
        <v>0.1152199074074074</v>
      </c>
      <c r="U154" s="9">
        <f t="shared" si="18"/>
        <v>3.8344907407407404E-2</v>
      </c>
      <c r="V154" s="9">
        <f t="shared" si="19"/>
        <v>0.87370370370370376</v>
      </c>
    </row>
    <row r="155" spans="1:22" hidden="1" x14ac:dyDescent="0.35">
      <c r="A155" s="52">
        <v>49591</v>
      </c>
      <c r="B155" s="31">
        <v>46123</v>
      </c>
      <c r="C155" s="7" t="s">
        <v>364</v>
      </c>
      <c r="D155" s="7">
        <v>352</v>
      </c>
      <c r="E155" s="10">
        <f>IFERROR(SUMIFS('Base bordo CD'!M$2:M$875,'Base bordo CD'!D$2:D$875,A155,'Base bordo CD'!A$2:A$875,B155,'Base bordo CD'!L$2:L$875,"CORTE DE CANA MECANIZADO"),0)</f>
        <v>0.71194444444444449</v>
      </c>
      <c r="F155" s="10">
        <f>IFERROR(SUMIFS('Base bordo CD'!M$2:M$875,'Base bordo CD'!D$2:D$875,A155,'Base bordo CD'!A$2:A$875,B155,'Base bordo CD'!L$2:L$875,"MANOBRA"),0)</f>
        <v>0.31666666666666665</v>
      </c>
      <c r="G155" s="10">
        <f>IFERROR(SUMIFS('Base bordo CD'!M$2:M$875,'Base bordo CD'!D$2:D$875,A155,'Base bordo CD'!A$2:A$875,B155,'Base bordo CD'!L$2:L$875,"DESLOCAMENTO"),0)</f>
        <v>0.74722222222222223</v>
      </c>
      <c r="H155" s="10">
        <f>IFERROR(SUMIFS('Base bordo CD'!M$2:M$875,'Base bordo CD'!D$2:D$875,A155,'Base bordo CD'!A$2:A$875,B155,'Base bordo CD'!L$2:L$875,"AGUARDANDO MANOBRA DE TRANSBORDO"),0)+IFERROR(SUMIFS('Base bordo CD'!M$2:M$875,'Base bordo CD'!D$2:D$875,A155,'Base bordo CD'!A$2:A$875,B155,'Base bordo CD'!L$2:L$875,"FALTA DE TRANSBORDO"),0)</f>
        <v>0</v>
      </c>
      <c r="I155" s="10">
        <f>IFERROR(SUMIFS('Base bordo CD'!M$2:M$875,'Base bordo CD'!D$2:D$875,A155,'Base bordo CD'!A$2:A$875,B155,'Base bordo CD'!L$2:L$875,"PARADA POR CONDICOES CLIMATICAS"),0)+IFERROR(SUMIFS('Base bordo CD'!M$2:M$875,'Base bordo CD'!D$2:D$875,A155,'Base bordo CD'!A$2:A$875,B155,'Base bordo CD'!L$2:L$875,"TEMPO INDETERMINADO"),0)</f>
        <v>18.310555555555556</v>
      </c>
      <c r="J155" s="10">
        <f>IFERROR(SUMIFS('Base bordo CD'!M$2:M$875,'Base bordo CD'!D$2:D$875,A155,'Base bordo CD'!A$2:A$875,B155,'Base bordo CD'!L$2:L$875,"LIMITAÇÃO INDÚSTRIA"),0)</f>
        <v>0</v>
      </c>
      <c r="K155" s="10">
        <f>IFERROR(SUMIFS('Base bordo CD'!M$2:M$875,'Base bordo CD'!D$2:D$875,A155,'Base bordo CD'!A$2:A$875,B155,'Base bordo CD'!L$2:L$875,"MAN CORRETIVA*"),0)+IFERROR(SUMIFS('Base bordo CD'!M$2:M$875,'Base bordo CD'!D$2:D$875,A155,'Base bordo CD'!A$2:A$875,B155,'Base bordo CD'!L$2:L$875,"AGUARDANDO MANUTENCAO*"),0)+IFERROR(SUMIFS('Base bordo CD'!M$2:M$875,'Base bordo CD'!D$2:D$875,A155,'Base bordo CD'!A$2:A$875,B155,'Base bordo CD'!L$2:L$875,"TROCA DE FAQUINHA"),0)+IFERROR(SUMIFS('Base bordo CD'!M$2:M$875,'Base bordo CD'!D$2:D$875,A155,'Base bordo CD'!A$2:A$875,B155,'Base bordo CD'!L$2:L$875,"LIMPEZA*"),0)</f>
        <v>3.841388888888889</v>
      </c>
      <c r="L155" s="10">
        <f>IFERROR(SUMIFS('Base bordo CD'!M$2:M$875,'Base bordo CD'!D$2:D$875,A155,'Base bordo CD'!A$2:A$875,B155,'Base bordo CD'!L$2:L$875,"PATIO - RESERVA"),0)</f>
        <v>0</v>
      </c>
      <c r="M155" s="10">
        <f>IFERROR(SUMIFS('Base bordo CD'!M$2:M$875,'Base bordo CD'!D$2:D$875,A155,'Base bordo CD'!A$2:A$875,B155,'Base bordo CD'!L$2:L$875,"SEM APONTAMENTO"),0)</f>
        <v>7.2222222222222215E-2</v>
      </c>
      <c r="N155" s="10">
        <f>IFERROR(SUMIFS('Base bordo CD'!M$2:M$875,'Base bordo CD'!D$2:D$875,A155,'Base bordo CD'!A$2:A$875,B155,'Base bordo CD'!L$2:L$875,"FALTA DE CAMINHÃO"),0)+IFERROR(SUMIFS('Base bordo CD'!M$2:M$875,'Base bordo CD'!D$2:D$875,A155,'Base bordo CD'!A$2:A$875,B155,'Base bordo CD'!L$2:L$875,"FALTA DE COMBUSTIVEL"),0)+IFERROR(SUMIFS('Base bordo CD'!M$2:M$875,'Base bordo CD'!D$2:D$875,A155,'Base bordo CD'!A$2:A$875,B155,'Base bordo CD'!L$2:L$875,"FALTA DE MOTORIST*"),0)</f>
        <v>0</v>
      </c>
      <c r="O155" s="10">
        <f t="shared" si="15"/>
        <v>-3.5527136788005009E-15</v>
      </c>
      <c r="P155" s="10">
        <f>IFERROR(SUMIFS('Base bordo CD'!M$2:M$875,'Base bordo CD'!D$2:D$875,A155,'Base bordo CD'!A$2:A$875,B155),0)</f>
        <v>24</v>
      </c>
      <c r="Q155" s="10">
        <f>IFERROR(SUMIFS('Base bordo CD'!O$2:O$875,'Base bordo CD'!D$2:D$875,A155,'Base bordo CD'!A$2:A$875,B155,'Base bordo CD'!L$2:L$875,"CORTE DE CANA MECANIZADO"),0)</f>
        <v>9178.61</v>
      </c>
      <c r="R155" s="10">
        <f>IFERROR(SUMIFS('Base bordo CD'!Q$2:Q$875,'Base bordo CD'!D$2:D$875,A155,'Base bordo CD'!A$2:A$875,B155,'Base bordo CD'!L$2:L$875,"CORTE DE CANA MECANIZADO"),0)</f>
        <v>2563</v>
      </c>
      <c r="S155" s="30">
        <f t="shared" si="16"/>
        <v>3.5811978150604764</v>
      </c>
      <c r="T155" s="9">
        <f t="shared" si="17"/>
        <v>2.9664351851851855E-2</v>
      </c>
      <c r="U155" s="9">
        <f t="shared" si="18"/>
        <v>1.3194444444444444E-2</v>
      </c>
      <c r="V155" s="9">
        <f t="shared" si="19"/>
        <v>0.93920138888888893</v>
      </c>
    </row>
    <row r="156" spans="1:22" hidden="1" x14ac:dyDescent="0.35">
      <c r="A156" s="52">
        <v>49591</v>
      </c>
      <c r="B156" s="31">
        <v>46123</v>
      </c>
      <c r="C156" s="7" t="s">
        <v>364</v>
      </c>
      <c r="D156" s="7">
        <v>352</v>
      </c>
      <c r="E156" s="10">
        <f>IFERROR(SUMIFS('Base bordo CD'!M$2:M$875,'Base bordo CD'!D$2:D$875,A156,'Base bordo CD'!A$2:A$875,B156,'Base bordo CD'!L$2:L$875,"CORTE DE CANA MECANIZADO"),0)</f>
        <v>0.71194444444444449</v>
      </c>
      <c r="F156" s="10">
        <f>IFERROR(SUMIFS('Base bordo CD'!M$2:M$875,'Base bordo CD'!D$2:D$875,A156,'Base bordo CD'!A$2:A$875,B156,'Base bordo CD'!L$2:L$875,"MANOBRA"),0)</f>
        <v>0.31666666666666665</v>
      </c>
      <c r="G156" s="10">
        <f>IFERROR(SUMIFS('Base bordo CD'!M$2:M$875,'Base bordo CD'!D$2:D$875,A156,'Base bordo CD'!A$2:A$875,B156,'Base bordo CD'!L$2:L$875,"DESLOCAMENTO"),0)</f>
        <v>0.74722222222222223</v>
      </c>
      <c r="H156" s="10">
        <f>IFERROR(SUMIFS('Base bordo CD'!M$2:M$875,'Base bordo CD'!D$2:D$875,A156,'Base bordo CD'!A$2:A$875,B156,'Base bordo CD'!L$2:L$875,"AGUARDANDO MANOBRA DE TRANSBORDO"),0)+IFERROR(SUMIFS('Base bordo CD'!M$2:M$875,'Base bordo CD'!D$2:D$875,A156,'Base bordo CD'!A$2:A$875,B156,'Base bordo CD'!L$2:L$875,"FALTA DE TRANSBORDO"),0)</f>
        <v>0</v>
      </c>
      <c r="I156" s="10">
        <f>IFERROR(SUMIFS('Base bordo CD'!M$2:M$875,'Base bordo CD'!D$2:D$875,A156,'Base bordo CD'!A$2:A$875,B156,'Base bordo CD'!L$2:L$875,"PARADA POR CONDICOES CLIMATICAS"),0)+IFERROR(SUMIFS('Base bordo CD'!M$2:M$875,'Base bordo CD'!D$2:D$875,A156,'Base bordo CD'!A$2:A$875,B156,'Base bordo CD'!L$2:L$875,"TEMPO INDETERMINADO"),0)</f>
        <v>18.310555555555556</v>
      </c>
      <c r="J156" s="10">
        <f>IFERROR(SUMIFS('Base bordo CD'!M$2:M$875,'Base bordo CD'!D$2:D$875,A156,'Base bordo CD'!A$2:A$875,B156,'Base bordo CD'!L$2:L$875,"LIMITAÇÃO INDÚSTRIA"),0)</f>
        <v>0</v>
      </c>
      <c r="K156" s="10">
        <f>IFERROR(SUMIFS('Base bordo CD'!M$2:M$875,'Base bordo CD'!D$2:D$875,A156,'Base bordo CD'!A$2:A$875,B156,'Base bordo CD'!L$2:L$875,"MAN CORRETIVA*"),0)+IFERROR(SUMIFS('Base bordo CD'!M$2:M$875,'Base bordo CD'!D$2:D$875,A156,'Base bordo CD'!A$2:A$875,B156,'Base bordo CD'!L$2:L$875,"AGUARDANDO MANUTENCAO*"),0)+IFERROR(SUMIFS('Base bordo CD'!M$2:M$875,'Base bordo CD'!D$2:D$875,A156,'Base bordo CD'!A$2:A$875,B156,'Base bordo CD'!L$2:L$875,"TROCA DE FAQUINHA"),0)+IFERROR(SUMIFS('Base bordo CD'!M$2:M$875,'Base bordo CD'!D$2:D$875,A156,'Base bordo CD'!A$2:A$875,B156,'Base bordo CD'!L$2:L$875,"LIMPEZA*"),0)</f>
        <v>3.841388888888889</v>
      </c>
      <c r="L156" s="10">
        <f>IFERROR(SUMIFS('Base bordo CD'!M$2:M$875,'Base bordo CD'!D$2:D$875,A156,'Base bordo CD'!A$2:A$875,B156,'Base bordo CD'!L$2:L$875,"PATIO - RESERVA"),0)</f>
        <v>0</v>
      </c>
      <c r="M156" s="10">
        <f>IFERROR(SUMIFS('Base bordo CD'!M$2:M$875,'Base bordo CD'!D$2:D$875,A156,'Base bordo CD'!A$2:A$875,B156,'Base bordo CD'!L$2:L$875,"SEM APONTAMENTO"),0)</f>
        <v>7.2222222222222215E-2</v>
      </c>
      <c r="N156" s="10">
        <f>IFERROR(SUMIFS('Base bordo CD'!M$2:M$875,'Base bordo CD'!D$2:D$875,A156,'Base bordo CD'!A$2:A$875,B156,'Base bordo CD'!L$2:L$875,"FALTA DE CAMINHÃO"),0)+IFERROR(SUMIFS('Base bordo CD'!M$2:M$875,'Base bordo CD'!D$2:D$875,A156,'Base bordo CD'!A$2:A$875,B156,'Base bordo CD'!L$2:L$875,"FALTA DE COMBUSTIVEL"),0)+IFERROR(SUMIFS('Base bordo CD'!M$2:M$875,'Base bordo CD'!D$2:D$875,A156,'Base bordo CD'!A$2:A$875,B156,'Base bordo CD'!L$2:L$875,"FALTA DE MOTORIST*"),0)</f>
        <v>0</v>
      </c>
      <c r="O156" s="10">
        <f t="shared" si="15"/>
        <v>-3.5527136788005009E-15</v>
      </c>
      <c r="P156" s="10">
        <f>IFERROR(SUMIFS('Base bordo CD'!M$2:M$875,'Base bordo CD'!D$2:D$875,A156,'Base bordo CD'!A$2:A$875,B156),0)</f>
        <v>24</v>
      </c>
      <c r="Q156" s="10">
        <f>IFERROR(SUMIFS('Base bordo CD'!O$2:O$875,'Base bordo CD'!D$2:D$875,A156,'Base bordo CD'!A$2:A$875,B156,'Base bordo CD'!L$2:L$875,"CORTE DE CANA MECANIZADO"),0)</f>
        <v>9178.61</v>
      </c>
      <c r="R156" s="10">
        <f>IFERROR(SUMIFS('Base bordo CD'!Q$2:Q$875,'Base bordo CD'!D$2:D$875,A156,'Base bordo CD'!A$2:A$875,B156,'Base bordo CD'!L$2:L$875,"CORTE DE CANA MECANIZADO"),0)</f>
        <v>2563</v>
      </c>
      <c r="S156" s="30">
        <f t="shared" si="16"/>
        <v>3.5811978150604764</v>
      </c>
      <c r="T156" s="9">
        <f t="shared" si="17"/>
        <v>2.9664351851851855E-2</v>
      </c>
      <c r="U156" s="9">
        <f t="shared" si="18"/>
        <v>1.3194444444444444E-2</v>
      </c>
      <c r="V156" s="9">
        <f t="shared" si="19"/>
        <v>0.93920138888888893</v>
      </c>
    </row>
    <row r="157" spans="1:22" hidden="1" x14ac:dyDescent="0.35">
      <c r="A157" s="52">
        <v>49591</v>
      </c>
      <c r="B157" s="31">
        <v>46123</v>
      </c>
      <c r="C157" s="7" t="s">
        <v>364</v>
      </c>
      <c r="D157" s="7">
        <v>352</v>
      </c>
      <c r="E157" s="10">
        <f>IFERROR(SUMIFS('Base bordo CD'!M$2:M$875,'Base bordo CD'!D$2:D$875,A157,'Base bordo CD'!A$2:A$875,B157,'Base bordo CD'!L$2:L$875,"CORTE DE CANA MECANIZADO"),0)</f>
        <v>0.71194444444444449</v>
      </c>
      <c r="F157" s="10">
        <f>IFERROR(SUMIFS('Base bordo CD'!M$2:M$875,'Base bordo CD'!D$2:D$875,A157,'Base bordo CD'!A$2:A$875,B157,'Base bordo CD'!L$2:L$875,"MANOBRA"),0)</f>
        <v>0.31666666666666665</v>
      </c>
      <c r="G157" s="10">
        <f>IFERROR(SUMIFS('Base bordo CD'!M$2:M$875,'Base bordo CD'!D$2:D$875,A157,'Base bordo CD'!A$2:A$875,B157,'Base bordo CD'!L$2:L$875,"DESLOCAMENTO"),0)</f>
        <v>0.74722222222222223</v>
      </c>
      <c r="H157" s="10">
        <f>IFERROR(SUMIFS('Base bordo CD'!M$2:M$875,'Base bordo CD'!D$2:D$875,A157,'Base bordo CD'!A$2:A$875,B157,'Base bordo CD'!L$2:L$875,"AGUARDANDO MANOBRA DE TRANSBORDO"),0)+IFERROR(SUMIFS('Base bordo CD'!M$2:M$875,'Base bordo CD'!D$2:D$875,A157,'Base bordo CD'!A$2:A$875,B157,'Base bordo CD'!L$2:L$875,"FALTA DE TRANSBORDO"),0)</f>
        <v>0</v>
      </c>
      <c r="I157" s="10">
        <f>IFERROR(SUMIFS('Base bordo CD'!M$2:M$875,'Base bordo CD'!D$2:D$875,A157,'Base bordo CD'!A$2:A$875,B157,'Base bordo CD'!L$2:L$875,"PARADA POR CONDICOES CLIMATICAS"),0)+IFERROR(SUMIFS('Base bordo CD'!M$2:M$875,'Base bordo CD'!D$2:D$875,A157,'Base bordo CD'!A$2:A$875,B157,'Base bordo CD'!L$2:L$875,"TEMPO INDETERMINADO"),0)</f>
        <v>18.310555555555556</v>
      </c>
      <c r="J157" s="10">
        <f>IFERROR(SUMIFS('Base bordo CD'!M$2:M$875,'Base bordo CD'!D$2:D$875,A157,'Base bordo CD'!A$2:A$875,B157,'Base bordo CD'!L$2:L$875,"LIMITAÇÃO INDÚSTRIA"),0)</f>
        <v>0</v>
      </c>
      <c r="K157" s="10">
        <f>IFERROR(SUMIFS('Base bordo CD'!M$2:M$875,'Base bordo CD'!D$2:D$875,A157,'Base bordo CD'!A$2:A$875,B157,'Base bordo CD'!L$2:L$875,"MAN CORRETIVA*"),0)+IFERROR(SUMIFS('Base bordo CD'!M$2:M$875,'Base bordo CD'!D$2:D$875,A157,'Base bordo CD'!A$2:A$875,B157,'Base bordo CD'!L$2:L$875,"AGUARDANDO MANUTENCAO*"),0)+IFERROR(SUMIFS('Base bordo CD'!M$2:M$875,'Base bordo CD'!D$2:D$875,A157,'Base bordo CD'!A$2:A$875,B157,'Base bordo CD'!L$2:L$875,"TROCA DE FAQUINHA"),0)+IFERROR(SUMIFS('Base bordo CD'!M$2:M$875,'Base bordo CD'!D$2:D$875,A157,'Base bordo CD'!A$2:A$875,B157,'Base bordo CD'!L$2:L$875,"LIMPEZA*"),0)</f>
        <v>3.841388888888889</v>
      </c>
      <c r="L157" s="10">
        <f>IFERROR(SUMIFS('Base bordo CD'!M$2:M$875,'Base bordo CD'!D$2:D$875,A157,'Base bordo CD'!A$2:A$875,B157,'Base bordo CD'!L$2:L$875,"PATIO - RESERVA"),0)</f>
        <v>0</v>
      </c>
      <c r="M157" s="10">
        <f>IFERROR(SUMIFS('Base bordo CD'!M$2:M$875,'Base bordo CD'!D$2:D$875,A157,'Base bordo CD'!A$2:A$875,B157,'Base bordo CD'!L$2:L$875,"SEM APONTAMENTO"),0)</f>
        <v>7.2222222222222215E-2</v>
      </c>
      <c r="N157" s="10">
        <f>IFERROR(SUMIFS('Base bordo CD'!M$2:M$875,'Base bordo CD'!D$2:D$875,A157,'Base bordo CD'!A$2:A$875,B157,'Base bordo CD'!L$2:L$875,"FALTA DE CAMINHÃO"),0)+IFERROR(SUMIFS('Base bordo CD'!M$2:M$875,'Base bordo CD'!D$2:D$875,A157,'Base bordo CD'!A$2:A$875,B157,'Base bordo CD'!L$2:L$875,"FALTA DE COMBUSTIVEL"),0)+IFERROR(SUMIFS('Base bordo CD'!M$2:M$875,'Base bordo CD'!D$2:D$875,A157,'Base bordo CD'!A$2:A$875,B157,'Base bordo CD'!L$2:L$875,"FALTA DE MOTORIST*"),0)</f>
        <v>0</v>
      </c>
      <c r="O157" s="10">
        <f t="shared" si="15"/>
        <v>-3.5527136788005009E-15</v>
      </c>
      <c r="P157" s="10">
        <f>IFERROR(SUMIFS('Base bordo CD'!M$2:M$875,'Base bordo CD'!D$2:D$875,A157,'Base bordo CD'!A$2:A$875,B157),0)</f>
        <v>24</v>
      </c>
      <c r="Q157" s="10">
        <f>IFERROR(SUMIFS('Base bordo CD'!O$2:O$875,'Base bordo CD'!D$2:D$875,A157,'Base bordo CD'!A$2:A$875,B157,'Base bordo CD'!L$2:L$875,"CORTE DE CANA MECANIZADO"),0)</f>
        <v>9178.61</v>
      </c>
      <c r="R157" s="10">
        <f>IFERROR(SUMIFS('Base bordo CD'!Q$2:Q$875,'Base bordo CD'!D$2:D$875,A157,'Base bordo CD'!A$2:A$875,B157,'Base bordo CD'!L$2:L$875,"CORTE DE CANA MECANIZADO"),0)</f>
        <v>2563</v>
      </c>
      <c r="S157" s="30">
        <f t="shared" si="16"/>
        <v>3.5811978150604764</v>
      </c>
      <c r="T157" s="9">
        <f t="shared" si="17"/>
        <v>2.9664351851851855E-2</v>
      </c>
      <c r="U157" s="9">
        <f t="shared" si="18"/>
        <v>1.3194444444444444E-2</v>
      </c>
      <c r="V157" s="9">
        <f t="shared" si="19"/>
        <v>0.93920138888888893</v>
      </c>
    </row>
    <row r="158" spans="1:22" hidden="1" x14ac:dyDescent="0.35">
      <c r="A158" s="52">
        <v>49591</v>
      </c>
      <c r="B158" s="31">
        <v>46123</v>
      </c>
      <c r="C158" s="7" t="s">
        <v>364</v>
      </c>
      <c r="D158" s="7">
        <v>352</v>
      </c>
      <c r="E158" s="10">
        <f>IFERROR(SUMIFS('Base bordo CD'!M$2:M$875,'Base bordo CD'!D$2:D$875,A158,'Base bordo CD'!A$2:A$875,B158,'Base bordo CD'!L$2:L$875,"CORTE DE CANA MECANIZADO"),0)</f>
        <v>0.71194444444444449</v>
      </c>
      <c r="F158" s="10">
        <f>IFERROR(SUMIFS('Base bordo CD'!M$2:M$875,'Base bordo CD'!D$2:D$875,A158,'Base bordo CD'!A$2:A$875,B158,'Base bordo CD'!L$2:L$875,"MANOBRA"),0)</f>
        <v>0.31666666666666665</v>
      </c>
      <c r="G158" s="10">
        <f>IFERROR(SUMIFS('Base bordo CD'!M$2:M$875,'Base bordo CD'!D$2:D$875,A158,'Base bordo CD'!A$2:A$875,B158,'Base bordo CD'!L$2:L$875,"DESLOCAMENTO"),0)</f>
        <v>0.74722222222222223</v>
      </c>
      <c r="H158" s="10">
        <f>IFERROR(SUMIFS('Base bordo CD'!M$2:M$875,'Base bordo CD'!D$2:D$875,A158,'Base bordo CD'!A$2:A$875,B158,'Base bordo CD'!L$2:L$875,"AGUARDANDO MANOBRA DE TRANSBORDO"),0)+IFERROR(SUMIFS('Base bordo CD'!M$2:M$875,'Base bordo CD'!D$2:D$875,A158,'Base bordo CD'!A$2:A$875,B158,'Base bordo CD'!L$2:L$875,"FALTA DE TRANSBORDO"),0)</f>
        <v>0</v>
      </c>
      <c r="I158" s="10">
        <f>IFERROR(SUMIFS('Base bordo CD'!M$2:M$875,'Base bordo CD'!D$2:D$875,A158,'Base bordo CD'!A$2:A$875,B158,'Base bordo CD'!L$2:L$875,"PARADA POR CONDICOES CLIMATICAS"),0)+IFERROR(SUMIFS('Base bordo CD'!M$2:M$875,'Base bordo CD'!D$2:D$875,A158,'Base bordo CD'!A$2:A$875,B158,'Base bordo CD'!L$2:L$875,"TEMPO INDETERMINADO"),0)</f>
        <v>18.310555555555556</v>
      </c>
      <c r="J158" s="10">
        <f>IFERROR(SUMIFS('Base bordo CD'!M$2:M$875,'Base bordo CD'!D$2:D$875,A158,'Base bordo CD'!A$2:A$875,B158,'Base bordo CD'!L$2:L$875,"LIMITAÇÃO INDÚSTRIA"),0)</f>
        <v>0</v>
      </c>
      <c r="K158" s="10">
        <f>IFERROR(SUMIFS('Base bordo CD'!M$2:M$875,'Base bordo CD'!D$2:D$875,A158,'Base bordo CD'!A$2:A$875,B158,'Base bordo CD'!L$2:L$875,"MAN CORRETIVA*"),0)+IFERROR(SUMIFS('Base bordo CD'!M$2:M$875,'Base bordo CD'!D$2:D$875,A158,'Base bordo CD'!A$2:A$875,B158,'Base bordo CD'!L$2:L$875,"AGUARDANDO MANUTENCAO*"),0)+IFERROR(SUMIFS('Base bordo CD'!M$2:M$875,'Base bordo CD'!D$2:D$875,A158,'Base bordo CD'!A$2:A$875,B158,'Base bordo CD'!L$2:L$875,"TROCA DE FAQUINHA"),0)+IFERROR(SUMIFS('Base bordo CD'!M$2:M$875,'Base bordo CD'!D$2:D$875,A158,'Base bordo CD'!A$2:A$875,B158,'Base bordo CD'!L$2:L$875,"LIMPEZA*"),0)</f>
        <v>3.841388888888889</v>
      </c>
      <c r="L158" s="10">
        <f>IFERROR(SUMIFS('Base bordo CD'!M$2:M$875,'Base bordo CD'!D$2:D$875,A158,'Base bordo CD'!A$2:A$875,B158,'Base bordo CD'!L$2:L$875,"PATIO - RESERVA"),0)</f>
        <v>0</v>
      </c>
      <c r="M158" s="10">
        <f>IFERROR(SUMIFS('Base bordo CD'!M$2:M$875,'Base bordo CD'!D$2:D$875,A158,'Base bordo CD'!A$2:A$875,B158,'Base bordo CD'!L$2:L$875,"SEM APONTAMENTO"),0)</f>
        <v>7.2222222222222215E-2</v>
      </c>
      <c r="N158" s="10">
        <f>IFERROR(SUMIFS('Base bordo CD'!M$2:M$875,'Base bordo CD'!D$2:D$875,A158,'Base bordo CD'!A$2:A$875,B158,'Base bordo CD'!L$2:L$875,"FALTA DE CAMINHÃO"),0)+IFERROR(SUMIFS('Base bordo CD'!M$2:M$875,'Base bordo CD'!D$2:D$875,A158,'Base bordo CD'!A$2:A$875,B158,'Base bordo CD'!L$2:L$875,"FALTA DE COMBUSTIVEL"),0)+IFERROR(SUMIFS('Base bordo CD'!M$2:M$875,'Base bordo CD'!D$2:D$875,A158,'Base bordo CD'!A$2:A$875,B158,'Base bordo CD'!L$2:L$875,"FALTA DE MOTORIST*"),0)</f>
        <v>0</v>
      </c>
      <c r="O158" s="10">
        <f t="shared" si="15"/>
        <v>-3.5527136788005009E-15</v>
      </c>
      <c r="P158" s="10">
        <f>IFERROR(SUMIFS('Base bordo CD'!M$2:M$875,'Base bordo CD'!D$2:D$875,A158,'Base bordo CD'!A$2:A$875,B158),0)</f>
        <v>24</v>
      </c>
      <c r="Q158" s="10">
        <f>IFERROR(SUMIFS('Base bordo CD'!O$2:O$875,'Base bordo CD'!D$2:D$875,A158,'Base bordo CD'!A$2:A$875,B158,'Base bordo CD'!L$2:L$875,"CORTE DE CANA MECANIZADO"),0)</f>
        <v>9178.61</v>
      </c>
      <c r="R158" s="10">
        <f>IFERROR(SUMIFS('Base bordo CD'!Q$2:Q$875,'Base bordo CD'!D$2:D$875,A158,'Base bordo CD'!A$2:A$875,B158,'Base bordo CD'!L$2:L$875,"CORTE DE CANA MECANIZADO"),0)</f>
        <v>2563</v>
      </c>
      <c r="S158" s="30">
        <f t="shared" si="16"/>
        <v>3.5811978150604764</v>
      </c>
      <c r="T158" s="9">
        <f t="shared" si="17"/>
        <v>2.9664351851851855E-2</v>
      </c>
      <c r="U158" s="9">
        <f t="shared" si="18"/>
        <v>1.3194444444444444E-2</v>
      </c>
      <c r="V158" s="9">
        <f t="shared" si="19"/>
        <v>0.93920138888888893</v>
      </c>
    </row>
    <row r="159" spans="1:22" hidden="1" x14ac:dyDescent="0.35">
      <c r="A159" s="52">
        <v>49591</v>
      </c>
      <c r="B159" s="31">
        <v>46123</v>
      </c>
      <c r="C159" s="7" t="s">
        <v>364</v>
      </c>
      <c r="D159" s="7">
        <v>352</v>
      </c>
      <c r="E159" s="10">
        <f>IFERROR(SUMIFS('Base bordo CD'!M$2:M$875,'Base bordo CD'!D$2:D$875,A159,'Base bordo CD'!A$2:A$875,B159,'Base bordo CD'!L$2:L$875,"CORTE DE CANA MECANIZADO"),0)</f>
        <v>0.71194444444444449</v>
      </c>
      <c r="F159" s="10">
        <f>IFERROR(SUMIFS('Base bordo CD'!M$2:M$875,'Base bordo CD'!D$2:D$875,A159,'Base bordo CD'!A$2:A$875,B159,'Base bordo CD'!L$2:L$875,"MANOBRA"),0)</f>
        <v>0.31666666666666665</v>
      </c>
      <c r="G159" s="10">
        <f>IFERROR(SUMIFS('Base bordo CD'!M$2:M$875,'Base bordo CD'!D$2:D$875,A159,'Base bordo CD'!A$2:A$875,B159,'Base bordo CD'!L$2:L$875,"DESLOCAMENTO"),0)</f>
        <v>0.74722222222222223</v>
      </c>
      <c r="H159" s="10">
        <f>IFERROR(SUMIFS('Base bordo CD'!M$2:M$875,'Base bordo CD'!D$2:D$875,A159,'Base bordo CD'!A$2:A$875,B159,'Base bordo CD'!L$2:L$875,"AGUARDANDO MANOBRA DE TRANSBORDO"),0)+IFERROR(SUMIFS('Base bordo CD'!M$2:M$875,'Base bordo CD'!D$2:D$875,A159,'Base bordo CD'!A$2:A$875,B159,'Base bordo CD'!L$2:L$875,"FALTA DE TRANSBORDO"),0)</f>
        <v>0</v>
      </c>
      <c r="I159" s="10">
        <f>IFERROR(SUMIFS('Base bordo CD'!M$2:M$875,'Base bordo CD'!D$2:D$875,A159,'Base bordo CD'!A$2:A$875,B159,'Base bordo CD'!L$2:L$875,"PARADA POR CONDICOES CLIMATICAS"),0)+IFERROR(SUMIFS('Base bordo CD'!M$2:M$875,'Base bordo CD'!D$2:D$875,A159,'Base bordo CD'!A$2:A$875,B159,'Base bordo CD'!L$2:L$875,"TEMPO INDETERMINADO"),0)</f>
        <v>18.310555555555556</v>
      </c>
      <c r="J159" s="10">
        <f>IFERROR(SUMIFS('Base bordo CD'!M$2:M$875,'Base bordo CD'!D$2:D$875,A159,'Base bordo CD'!A$2:A$875,B159,'Base bordo CD'!L$2:L$875,"LIMITAÇÃO INDÚSTRIA"),0)</f>
        <v>0</v>
      </c>
      <c r="K159" s="10">
        <f>IFERROR(SUMIFS('Base bordo CD'!M$2:M$875,'Base bordo CD'!D$2:D$875,A159,'Base bordo CD'!A$2:A$875,B159,'Base bordo CD'!L$2:L$875,"MAN CORRETIVA*"),0)+IFERROR(SUMIFS('Base bordo CD'!M$2:M$875,'Base bordo CD'!D$2:D$875,A159,'Base bordo CD'!A$2:A$875,B159,'Base bordo CD'!L$2:L$875,"AGUARDANDO MANUTENCAO*"),0)+IFERROR(SUMIFS('Base bordo CD'!M$2:M$875,'Base bordo CD'!D$2:D$875,A159,'Base bordo CD'!A$2:A$875,B159,'Base bordo CD'!L$2:L$875,"TROCA DE FAQUINHA"),0)+IFERROR(SUMIFS('Base bordo CD'!M$2:M$875,'Base bordo CD'!D$2:D$875,A159,'Base bordo CD'!A$2:A$875,B159,'Base bordo CD'!L$2:L$875,"LIMPEZA*"),0)</f>
        <v>3.841388888888889</v>
      </c>
      <c r="L159" s="10">
        <f>IFERROR(SUMIFS('Base bordo CD'!M$2:M$875,'Base bordo CD'!D$2:D$875,A159,'Base bordo CD'!A$2:A$875,B159,'Base bordo CD'!L$2:L$875,"PATIO - RESERVA"),0)</f>
        <v>0</v>
      </c>
      <c r="M159" s="10">
        <f>IFERROR(SUMIFS('Base bordo CD'!M$2:M$875,'Base bordo CD'!D$2:D$875,A159,'Base bordo CD'!A$2:A$875,B159,'Base bordo CD'!L$2:L$875,"SEM APONTAMENTO"),0)</f>
        <v>7.2222222222222215E-2</v>
      </c>
      <c r="N159" s="10">
        <f>IFERROR(SUMIFS('Base bordo CD'!M$2:M$875,'Base bordo CD'!D$2:D$875,A159,'Base bordo CD'!A$2:A$875,B159,'Base bordo CD'!L$2:L$875,"FALTA DE CAMINHÃO"),0)+IFERROR(SUMIFS('Base bordo CD'!M$2:M$875,'Base bordo CD'!D$2:D$875,A159,'Base bordo CD'!A$2:A$875,B159,'Base bordo CD'!L$2:L$875,"FALTA DE COMBUSTIVEL"),0)+IFERROR(SUMIFS('Base bordo CD'!M$2:M$875,'Base bordo CD'!D$2:D$875,A159,'Base bordo CD'!A$2:A$875,B159,'Base bordo CD'!L$2:L$875,"FALTA DE MOTORIST*"),0)</f>
        <v>0</v>
      </c>
      <c r="O159" s="10">
        <f t="shared" si="15"/>
        <v>-3.5527136788005009E-15</v>
      </c>
      <c r="P159" s="10">
        <f>IFERROR(SUMIFS('Base bordo CD'!M$2:M$875,'Base bordo CD'!D$2:D$875,A159,'Base bordo CD'!A$2:A$875,B159),0)</f>
        <v>24</v>
      </c>
      <c r="Q159" s="10">
        <f>IFERROR(SUMIFS('Base bordo CD'!O$2:O$875,'Base bordo CD'!D$2:D$875,A159,'Base bordo CD'!A$2:A$875,B159,'Base bordo CD'!L$2:L$875,"CORTE DE CANA MECANIZADO"),0)</f>
        <v>9178.61</v>
      </c>
      <c r="R159" s="10">
        <f>IFERROR(SUMIFS('Base bordo CD'!Q$2:Q$875,'Base bordo CD'!D$2:D$875,A159,'Base bordo CD'!A$2:A$875,B159,'Base bordo CD'!L$2:L$875,"CORTE DE CANA MECANIZADO"),0)</f>
        <v>2563</v>
      </c>
      <c r="S159" s="30">
        <f t="shared" si="16"/>
        <v>3.5811978150604764</v>
      </c>
      <c r="T159" s="9">
        <f t="shared" si="17"/>
        <v>2.9664351851851855E-2</v>
      </c>
      <c r="U159" s="9">
        <f t="shared" si="18"/>
        <v>1.3194444444444444E-2</v>
      </c>
      <c r="V159" s="9">
        <f t="shared" si="19"/>
        <v>0.93920138888888893</v>
      </c>
    </row>
    <row r="160" spans="1:22" hidden="1" x14ac:dyDescent="0.35">
      <c r="A160" s="52">
        <v>49591</v>
      </c>
      <c r="B160" s="31">
        <v>46123</v>
      </c>
      <c r="C160" s="7" t="s">
        <v>364</v>
      </c>
      <c r="D160" s="7">
        <v>352</v>
      </c>
      <c r="E160" s="10">
        <f>IFERROR(SUMIFS('Base bordo CD'!M$2:M$875,'Base bordo CD'!D$2:D$875,A160,'Base bordo CD'!A$2:A$875,B160,'Base bordo CD'!L$2:L$875,"CORTE DE CANA MECANIZADO"),0)</f>
        <v>0.71194444444444449</v>
      </c>
      <c r="F160" s="10">
        <f>IFERROR(SUMIFS('Base bordo CD'!M$2:M$875,'Base bordo CD'!D$2:D$875,A160,'Base bordo CD'!A$2:A$875,B160,'Base bordo CD'!L$2:L$875,"MANOBRA"),0)</f>
        <v>0.31666666666666665</v>
      </c>
      <c r="G160" s="10">
        <f>IFERROR(SUMIFS('Base bordo CD'!M$2:M$875,'Base bordo CD'!D$2:D$875,A160,'Base bordo CD'!A$2:A$875,B160,'Base bordo CD'!L$2:L$875,"DESLOCAMENTO"),0)</f>
        <v>0.74722222222222223</v>
      </c>
      <c r="H160" s="10">
        <f>IFERROR(SUMIFS('Base bordo CD'!M$2:M$875,'Base bordo CD'!D$2:D$875,A160,'Base bordo CD'!A$2:A$875,B160,'Base bordo CD'!L$2:L$875,"AGUARDANDO MANOBRA DE TRANSBORDO"),0)+IFERROR(SUMIFS('Base bordo CD'!M$2:M$875,'Base bordo CD'!D$2:D$875,A160,'Base bordo CD'!A$2:A$875,B160,'Base bordo CD'!L$2:L$875,"FALTA DE TRANSBORDO"),0)</f>
        <v>0</v>
      </c>
      <c r="I160" s="10">
        <f>IFERROR(SUMIFS('Base bordo CD'!M$2:M$875,'Base bordo CD'!D$2:D$875,A160,'Base bordo CD'!A$2:A$875,B160,'Base bordo CD'!L$2:L$875,"PARADA POR CONDICOES CLIMATICAS"),0)+IFERROR(SUMIFS('Base bordo CD'!M$2:M$875,'Base bordo CD'!D$2:D$875,A160,'Base bordo CD'!A$2:A$875,B160,'Base bordo CD'!L$2:L$875,"TEMPO INDETERMINADO"),0)</f>
        <v>18.310555555555556</v>
      </c>
      <c r="J160" s="10">
        <f>IFERROR(SUMIFS('Base bordo CD'!M$2:M$875,'Base bordo CD'!D$2:D$875,A160,'Base bordo CD'!A$2:A$875,B160,'Base bordo CD'!L$2:L$875,"LIMITAÇÃO INDÚSTRIA"),0)</f>
        <v>0</v>
      </c>
      <c r="K160" s="10">
        <f>IFERROR(SUMIFS('Base bordo CD'!M$2:M$875,'Base bordo CD'!D$2:D$875,A160,'Base bordo CD'!A$2:A$875,B160,'Base bordo CD'!L$2:L$875,"MAN CORRETIVA*"),0)+IFERROR(SUMIFS('Base bordo CD'!M$2:M$875,'Base bordo CD'!D$2:D$875,A160,'Base bordo CD'!A$2:A$875,B160,'Base bordo CD'!L$2:L$875,"AGUARDANDO MANUTENCAO*"),0)+IFERROR(SUMIFS('Base bordo CD'!M$2:M$875,'Base bordo CD'!D$2:D$875,A160,'Base bordo CD'!A$2:A$875,B160,'Base bordo CD'!L$2:L$875,"TROCA DE FAQUINHA"),0)+IFERROR(SUMIFS('Base bordo CD'!M$2:M$875,'Base bordo CD'!D$2:D$875,A160,'Base bordo CD'!A$2:A$875,B160,'Base bordo CD'!L$2:L$875,"LIMPEZA*"),0)</f>
        <v>3.841388888888889</v>
      </c>
      <c r="L160" s="10">
        <f>IFERROR(SUMIFS('Base bordo CD'!M$2:M$875,'Base bordo CD'!D$2:D$875,A160,'Base bordo CD'!A$2:A$875,B160,'Base bordo CD'!L$2:L$875,"PATIO - RESERVA"),0)</f>
        <v>0</v>
      </c>
      <c r="M160" s="10">
        <f>IFERROR(SUMIFS('Base bordo CD'!M$2:M$875,'Base bordo CD'!D$2:D$875,A160,'Base bordo CD'!A$2:A$875,B160,'Base bordo CD'!L$2:L$875,"SEM APONTAMENTO"),0)</f>
        <v>7.2222222222222215E-2</v>
      </c>
      <c r="N160" s="10">
        <f>IFERROR(SUMIFS('Base bordo CD'!M$2:M$875,'Base bordo CD'!D$2:D$875,A160,'Base bordo CD'!A$2:A$875,B160,'Base bordo CD'!L$2:L$875,"FALTA DE CAMINHÃO"),0)+IFERROR(SUMIFS('Base bordo CD'!M$2:M$875,'Base bordo CD'!D$2:D$875,A160,'Base bordo CD'!A$2:A$875,B160,'Base bordo CD'!L$2:L$875,"FALTA DE COMBUSTIVEL"),0)+IFERROR(SUMIFS('Base bordo CD'!M$2:M$875,'Base bordo CD'!D$2:D$875,A160,'Base bordo CD'!A$2:A$875,B160,'Base bordo CD'!L$2:L$875,"FALTA DE MOTORIST*"),0)</f>
        <v>0</v>
      </c>
      <c r="O160" s="10">
        <f t="shared" si="15"/>
        <v>-3.5527136788005009E-15</v>
      </c>
      <c r="P160" s="10">
        <f>IFERROR(SUMIFS('Base bordo CD'!M$2:M$875,'Base bordo CD'!D$2:D$875,A160,'Base bordo CD'!A$2:A$875,B160),0)</f>
        <v>24</v>
      </c>
      <c r="Q160" s="10">
        <f>IFERROR(SUMIFS('Base bordo CD'!O$2:O$875,'Base bordo CD'!D$2:D$875,A160,'Base bordo CD'!A$2:A$875,B160,'Base bordo CD'!L$2:L$875,"CORTE DE CANA MECANIZADO"),0)</f>
        <v>9178.61</v>
      </c>
      <c r="R160" s="10">
        <f>IFERROR(SUMIFS('Base bordo CD'!Q$2:Q$875,'Base bordo CD'!D$2:D$875,A160,'Base bordo CD'!A$2:A$875,B160,'Base bordo CD'!L$2:L$875,"CORTE DE CANA MECANIZADO"),0)</f>
        <v>2563</v>
      </c>
      <c r="S160" s="30">
        <f t="shared" si="16"/>
        <v>3.5811978150604764</v>
      </c>
      <c r="T160" s="9">
        <f t="shared" si="17"/>
        <v>2.9664351851851855E-2</v>
      </c>
      <c r="U160" s="9">
        <f t="shared" si="18"/>
        <v>1.3194444444444444E-2</v>
      </c>
      <c r="V160" s="9">
        <f t="shared" si="19"/>
        <v>0.93920138888888893</v>
      </c>
    </row>
    <row r="161" spans="1:22" hidden="1" x14ac:dyDescent="0.35">
      <c r="A161" s="52">
        <v>49591</v>
      </c>
      <c r="B161" s="31">
        <v>46123</v>
      </c>
      <c r="C161" s="7" t="s">
        <v>364</v>
      </c>
      <c r="D161" s="7">
        <v>352</v>
      </c>
      <c r="E161" s="10">
        <f>IFERROR(SUMIFS('Base bordo CD'!M$2:M$875,'Base bordo CD'!D$2:D$875,A161,'Base bordo CD'!A$2:A$875,B161,'Base bordo CD'!L$2:L$875,"CORTE DE CANA MECANIZADO"),0)</f>
        <v>0.71194444444444449</v>
      </c>
      <c r="F161" s="10">
        <f>IFERROR(SUMIFS('Base bordo CD'!M$2:M$875,'Base bordo CD'!D$2:D$875,A161,'Base bordo CD'!A$2:A$875,B161,'Base bordo CD'!L$2:L$875,"MANOBRA"),0)</f>
        <v>0.31666666666666665</v>
      </c>
      <c r="G161" s="10">
        <f>IFERROR(SUMIFS('Base bordo CD'!M$2:M$875,'Base bordo CD'!D$2:D$875,A161,'Base bordo CD'!A$2:A$875,B161,'Base bordo CD'!L$2:L$875,"DESLOCAMENTO"),0)</f>
        <v>0.74722222222222223</v>
      </c>
      <c r="H161" s="10">
        <f>IFERROR(SUMIFS('Base bordo CD'!M$2:M$875,'Base bordo CD'!D$2:D$875,A161,'Base bordo CD'!A$2:A$875,B161,'Base bordo CD'!L$2:L$875,"AGUARDANDO MANOBRA DE TRANSBORDO"),0)+IFERROR(SUMIFS('Base bordo CD'!M$2:M$875,'Base bordo CD'!D$2:D$875,A161,'Base bordo CD'!A$2:A$875,B161,'Base bordo CD'!L$2:L$875,"FALTA DE TRANSBORDO"),0)</f>
        <v>0</v>
      </c>
      <c r="I161" s="10">
        <f>IFERROR(SUMIFS('Base bordo CD'!M$2:M$875,'Base bordo CD'!D$2:D$875,A161,'Base bordo CD'!A$2:A$875,B161,'Base bordo CD'!L$2:L$875,"PARADA POR CONDICOES CLIMATICAS"),0)+IFERROR(SUMIFS('Base bordo CD'!M$2:M$875,'Base bordo CD'!D$2:D$875,A161,'Base bordo CD'!A$2:A$875,B161,'Base bordo CD'!L$2:L$875,"TEMPO INDETERMINADO"),0)</f>
        <v>18.310555555555556</v>
      </c>
      <c r="J161" s="10">
        <f>IFERROR(SUMIFS('Base bordo CD'!M$2:M$875,'Base bordo CD'!D$2:D$875,A161,'Base bordo CD'!A$2:A$875,B161,'Base bordo CD'!L$2:L$875,"LIMITAÇÃO INDÚSTRIA"),0)</f>
        <v>0</v>
      </c>
      <c r="K161" s="10">
        <f>IFERROR(SUMIFS('Base bordo CD'!M$2:M$875,'Base bordo CD'!D$2:D$875,A161,'Base bordo CD'!A$2:A$875,B161,'Base bordo CD'!L$2:L$875,"MAN CORRETIVA*"),0)+IFERROR(SUMIFS('Base bordo CD'!M$2:M$875,'Base bordo CD'!D$2:D$875,A161,'Base bordo CD'!A$2:A$875,B161,'Base bordo CD'!L$2:L$875,"AGUARDANDO MANUTENCAO*"),0)+IFERROR(SUMIFS('Base bordo CD'!M$2:M$875,'Base bordo CD'!D$2:D$875,A161,'Base bordo CD'!A$2:A$875,B161,'Base bordo CD'!L$2:L$875,"TROCA DE FAQUINHA"),0)+IFERROR(SUMIFS('Base bordo CD'!M$2:M$875,'Base bordo CD'!D$2:D$875,A161,'Base bordo CD'!A$2:A$875,B161,'Base bordo CD'!L$2:L$875,"LIMPEZA*"),0)</f>
        <v>3.841388888888889</v>
      </c>
      <c r="L161" s="10">
        <f>IFERROR(SUMIFS('Base bordo CD'!M$2:M$875,'Base bordo CD'!D$2:D$875,A161,'Base bordo CD'!A$2:A$875,B161,'Base bordo CD'!L$2:L$875,"PATIO - RESERVA"),0)</f>
        <v>0</v>
      </c>
      <c r="M161" s="10">
        <f>IFERROR(SUMIFS('Base bordo CD'!M$2:M$875,'Base bordo CD'!D$2:D$875,A161,'Base bordo CD'!A$2:A$875,B161,'Base bordo CD'!L$2:L$875,"SEM APONTAMENTO"),0)</f>
        <v>7.2222222222222215E-2</v>
      </c>
      <c r="N161" s="10">
        <f>IFERROR(SUMIFS('Base bordo CD'!M$2:M$875,'Base bordo CD'!D$2:D$875,A161,'Base bordo CD'!A$2:A$875,B161,'Base bordo CD'!L$2:L$875,"FALTA DE CAMINHÃO"),0)+IFERROR(SUMIFS('Base bordo CD'!M$2:M$875,'Base bordo CD'!D$2:D$875,A161,'Base bordo CD'!A$2:A$875,B161,'Base bordo CD'!L$2:L$875,"FALTA DE COMBUSTIVEL"),0)+IFERROR(SUMIFS('Base bordo CD'!M$2:M$875,'Base bordo CD'!D$2:D$875,A161,'Base bordo CD'!A$2:A$875,B161,'Base bordo CD'!L$2:L$875,"FALTA DE MOTORIST*"),0)</f>
        <v>0</v>
      </c>
      <c r="O161" s="10">
        <f t="shared" si="15"/>
        <v>-3.5527136788005009E-15</v>
      </c>
      <c r="P161" s="10">
        <f>IFERROR(SUMIFS('Base bordo CD'!M$2:M$875,'Base bordo CD'!D$2:D$875,A161,'Base bordo CD'!A$2:A$875,B161),0)</f>
        <v>24</v>
      </c>
      <c r="Q161" s="10">
        <f>IFERROR(SUMIFS('Base bordo CD'!O$2:O$875,'Base bordo CD'!D$2:D$875,A161,'Base bordo CD'!A$2:A$875,B161,'Base bordo CD'!L$2:L$875,"CORTE DE CANA MECANIZADO"),0)</f>
        <v>9178.61</v>
      </c>
      <c r="R161" s="10">
        <f>IFERROR(SUMIFS('Base bordo CD'!Q$2:Q$875,'Base bordo CD'!D$2:D$875,A161,'Base bordo CD'!A$2:A$875,B161,'Base bordo CD'!L$2:L$875,"CORTE DE CANA MECANIZADO"),0)</f>
        <v>2563</v>
      </c>
      <c r="S161" s="30">
        <f t="shared" si="16"/>
        <v>3.5811978150604764</v>
      </c>
      <c r="T161" s="9">
        <f t="shared" si="17"/>
        <v>2.9664351851851855E-2</v>
      </c>
      <c r="U161" s="9">
        <f t="shared" si="18"/>
        <v>1.3194444444444444E-2</v>
      </c>
      <c r="V161" s="9">
        <f t="shared" si="19"/>
        <v>0.93920138888888893</v>
      </c>
    </row>
    <row r="162" spans="1:22" hidden="1" x14ac:dyDescent="0.35">
      <c r="A162" s="52">
        <v>49591</v>
      </c>
      <c r="B162" s="31">
        <v>46123</v>
      </c>
      <c r="C162" s="7" t="s">
        <v>364</v>
      </c>
      <c r="D162" s="7">
        <v>352</v>
      </c>
      <c r="E162" s="10">
        <f>IFERROR(SUMIFS('Base bordo CD'!M$2:M$875,'Base bordo CD'!D$2:D$875,A162,'Base bordo CD'!A$2:A$875,B162,'Base bordo CD'!L$2:L$875,"CORTE DE CANA MECANIZADO"),0)</f>
        <v>0.71194444444444449</v>
      </c>
      <c r="F162" s="10">
        <f>IFERROR(SUMIFS('Base bordo CD'!M$2:M$875,'Base bordo CD'!D$2:D$875,A162,'Base bordo CD'!A$2:A$875,B162,'Base bordo CD'!L$2:L$875,"MANOBRA"),0)</f>
        <v>0.31666666666666665</v>
      </c>
      <c r="G162" s="10">
        <f>IFERROR(SUMIFS('Base bordo CD'!M$2:M$875,'Base bordo CD'!D$2:D$875,A162,'Base bordo CD'!A$2:A$875,B162,'Base bordo CD'!L$2:L$875,"DESLOCAMENTO"),0)</f>
        <v>0.74722222222222223</v>
      </c>
      <c r="H162" s="10">
        <f>IFERROR(SUMIFS('Base bordo CD'!M$2:M$875,'Base bordo CD'!D$2:D$875,A162,'Base bordo CD'!A$2:A$875,B162,'Base bordo CD'!L$2:L$875,"AGUARDANDO MANOBRA DE TRANSBORDO"),0)+IFERROR(SUMIFS('Base bordo CD'!M$2:M$875,'Base bordo CD'!D$2:D$875,A162,'Base bordo CD'!A$2:A$875,B162,'Base bordo CD'!L$2:L$875,"FALTA DE TRANSBORDO"),0)</f>
        <v>0</v>
      </c>
      <c r="I162" s="10">
        <f>IFERROR(SUMIFS('Base bordo CD'!M$2:M$875,'Base bordo CD'!D$2:D$875,A162,'Base bordo CD'!A$2:A$875,B162,'Base bordo CD'!L$2:L$875,"PARADA POR CONDICOES CLIMATICAS"),0)+IFERROR(SUMIFS('Base bordo CD'!M$2:M$875,'Base bordo CD'!D$2:D$875,A162,'Base bordo CD'!A$2:A$875,B162,'Base bordo CD'!L$2:L$875,"TEMPO INDETERMINADO"),0)</f>
        <v>18.310555555555556</v>
      </c>
      <c r="J162" s="10">
        <f>IFERROR(SUMIFS('Base bordo CD'!M$2:M$875,'Base bordo CD'!D$2:D$875,A162,'Base bordo CD'!A$2:A$875,B162,'Base bordo CD'!L$2:L$875,"LIMITAÇÃO INDÚSTRIA"),0)</f>
        <v>0</v>
      </c>
      <c r="K162" s="10">
        <f>IFERROR(SUMIFS('Base bordo CD'!M$2:M$875,'Base bordo CD'!D$2:D$875,A162,'Base bordo CD'!A$2:A$875,B162,'Base bordo CD'!L$2:L$875,"MAN CORRETIVA*"),0)+IFERROR(SUMIFS('Base bordo CD'!M$2:M$875,'Base bordo CD'!D$2:D$875,A162,'Base bordo CD'!A$2:A$875,B162,'Base bordo CD'!L$2:L$875,"AGUARDANDO MANUTENCAO*"),0)+IFERROR(SUMIFS('Base bordo CD'!M$2:M$875,'Base bordo CD'!D$2:D$875,A162,'Base bordo CD'!A$2:A$875,B162,'Base bordo CD'!L$2:L$875,"TROCA DE FAQUINHA"),0)+IFERROR(SUMIFS('Base bordo CD'!M$2:M$875,'Base bordo CD'!D$2:D$875,A162,'Base bordo CD'!A$2:A$875,B162,'Base bordo CD'!L$2:L$875,"LIMPEZA*"),0)</f>
        <v>3.841388888888889</v>
      </c>
      <c r="L162" s="10">
        <f>IFERROR(SUMIFS('Base bordo CD'!M$2:M$875,'Base bordo CD'!D$2:D$875,A162,'Base bordo CD'!A$2:A$875,B162,'Base bordo CD'!L$2:L$875,"PATIO - RESERVA"),0)</f>
        <v>0</v>
      </c>
      <c r="M162" s="10">
        <f>IFERROR(SUMIFS('Base bordo CD'!M$2:M$875,'Base bordo CD'!D$2:D$875,A162,'Base bordo CD'!A$2:A$875,B162,'Base bordo CD'!L$2:L$875,"SEM APONTAMENTO"),0)</f>
        <v>7.2222222222222215E-2</v>
      </c>
      <c r="N162" s="10">
        <f>IFERROR(SUMIFS('Base bordo CD'!M$2:M$875,'Base bordo CD'!D$2:D$875,A162,'Base bordo CD'!A$2:A$875,B162,'Base bordo CD'!L$2:L$875,"FALTA DE CAMINHÃO"),0)+IFERROR(SUMIFS('Base bordo CD'!M$2:M$875,'Base bordo CD'!D$2:D$875,A162,'Base bordo CD'!A$2:A$875,B162,'Base bordo CD'!L$2:L$875,"FALTA DE COMBUSTIVEL"),0)+IFERROR(SUMIFS('Base bordo CD'!M$2:M$875,'Base bordo CD'!D$2:D$875,A162,'Base bordo CD'!A$2:A$875,B162,'Base bordo CD'!L$2:L$875,"FALTA DE MOTORIST*"),0)</f>
        <v>0</v>
      </c>
      <c r="O162" s="10">
        <f t="shared" si="15"/>
        <v>-3.5527136788005009E-15</v>
      </c>
      <c r="P162" s="10">
        <f>IFERROR(SUMIFS('Base bordo CD'!M$2:M$875,'Base bordo CD'!D$2:D$875,A162,'Base bordo CD'!A$2:A$875,B162),0)</f>
        <v>24</v>
      </c>
      <c r="Q162" s="10">
        <f>IFERROR(SUMIFS('Base bordo CD'!O$2:O$875,'Base bordo CD'!D$2:D$875,A162,'Base bordo CD'!A$2:A$875,B162,'Base bordo CD'!L$2:L$875,"CORTE DE CANA MECANIZADO"),0)</f>
        <v>9178.61</v>
      </c>
      <c r="R162" s="10">
        <f>IFERROR(SUMIFS('Base bordo CD'!Q$2:Q$875,'Base bordo CD'!D$2:D$875,A162,'Base bordo CD'!A$2:A$875,B162,'Base bordo CD'!L$2:L$875,"CORTE DE CANA MECANIZADO"),0)</f>
        <v>2563</v>
      </c>
      <c r="S162" s="30">
        <f t="shared" si="16"/>
        <v>3.5811978150604764</v>
      </c>
      <c r="T162" s="9">
        <f t="shared" si="17"/>
        <v>2.9664351851851855E-2</v>
      </c>
      <c r="U162" s="9">
        <f t="shared" si="18"/>
        <v>1.3194444444444444E-2</v>
      </c>
      <c r="V162" s="9">
        <f t="shared" si="19"/>
        <v>0.93920138888888893</v>
      </c>
    </row>
    <row r="163" spans="1:22" hidden="1" x14ac:dyDescent="0.35">
      <c r="A163" s="52">
        <v>49591</v>
      </c>
      <c r="B163" s="31">
        <v>46123</v>
      </c>
      <c r="C163" s="7" t="s">
        <v>364</v>
      </c>
      <c r="D163" s="7">
        <v>352</v>
      </c>
      <c r="E163" s="10">
        <f>IFERROR(SUMIFS('Base bordo CD'!M$2:M$875,'Base bordo CD'!D$2:D$875,A163,'Base bordo CD'!A$2:A$875,B163,'Base bordo CD'!L$2:L$875,"CORTE DE CANA MECANIZADO"),0)</f>
        <v>0.71194444444444449</v>
      </c>
      <c r="F163" s="10">
        <f>IFERROR(SUMIFS('Base bordo CD'!M$2:M$875,'Base bordo CD'!D$2:D$875,A163,'Base bordo CD'!A$2:A$875,B163,'Base bordo CD'!L$2:L$875,"MANOBRA"),0)</f>
        <v>0.31666666666666665</v>
      </c>
      <c r="G163" s="10">
        <f>IFERROR(SUMIFS('Base bordo CD'!M$2:M$875,'Base bordo CD'!D$2:D$875,A163,'Base bordo CD'!A$2:A$875,B163,'Base bordo CD'!L$2:L$875,"DESLOCAMENTO"),0)</f>
        <v>0.74722222222222223</v>
      </c>
      <c r="H163" s="10">
        <f>IFERROR(SUMIFS('Base bordo CD'!M$2:M$875,'Base bordo CD'!D$2:D$875,A163,'Base bordo CD'!A$2:A$875,B163,'Base bordo CD'!L$2:L$875,"AGUARDANDO MANOBRA DE TRANSBORDO"),0)+IFERROR(SUMIFS('Base bordo CD'!M$2:M$875,'Base bordo CD'!D$2:D$875,A163,'Base bordo CD'!A$2:A$875,B163,'Base bordo CD'!L$2:L$875,"FALTA DE TRANSBORDO"),0)</f>
        <v>0</v>
      </c>
      <c r="I163" s="10">
        <f>IFERROR(SUMIFS('Base bordo CD'!M$2:M$875,'Base bordo CD'!D$2:D$875,A163,'Base bordo CD'!A$2:A$875,B163,'Base bordo CD'!L$2:L$875,"PARADA POR CONDICOES CLIMATICAS"),0)+IFERROR(SUMIFS('Base bordo CD'!M$2:M$875,'Base bordo CD'!D$2:D$875,A163,'Base bordo CD'!A$2:A$875,B163,'Base bordo CD'!L$2:L$875,"TEMPO INDETERMINADO"),0)</f>
        <v>18.310555555555556</v>
      </c>
      <c r="J163" s="10">
        <f>IFERROR(SUMIFS('Base bordo CD'!M$2:M$875,'Base bordo CD'!D$2:D$875,A163,'Base bordo CD'!A$2:A$875,B163,'Base bordo CD'!L$2:L$875,"LIMITAÇÃO INDÚSTRIA"),0)</f>
        <v>0</v>
      </c>
      <c r="K163" s="10">
        <f>IFERROR(SUMIFS('Base bordo CD'!M$2:M$875,'Base bordo CD'!D$2:D$875,A163,'Base bordo CD'!A$2:A$875,B163,'Base bordo CD'!L$2:L$875,"MAN CORRETIVA*"),0)+IFERROR(SUMIFS('Base bordo CD'!M$2:M$875,'Base bordo CD'!D$2:D$875,A163,'Base bordo CD'!A$2:A$875,B163,'Base bordo CD'!L$2:L$875,"AGUARDANDO MANUTENCAO*"),0)+IFERROR(SUMIFS('Base bordo CD'!M$2:M$875,'Base bordo CD'!D$2:D$875,A163,'Base bordo CD'!A$2:A$875,B163,'Base bordo CD'!L$2:L$875,"TROCA DE FAQUINHA"),0)+IFERROR(SUMIFS('Base bordo CD'!M$2:M$875,'Base bordo CD'!D$2:D$875,A163,'Base bordo CD'!A$2:A$875,B163,'Base bordo CD'!L$2:L$875,"LIMPEZA*"),0)</f>
        <v>3.841388888888889</v>
      </c>
      <c r="L163" s="10">
        <f>IFERROR(SUMIFS('Base bordo CD'!M$2:M$875,'Base bordo CD'!D$2:D$875,A163,'Base bordo CD'!A$2:A$875,B163,'Base bordo CD'!L$2:L$875,"PATIO - RESERVA"),0)</f>
        <v>0</v>
      </c>
      <c r="M163" s="10">
        <f>IFERROR(SUMIFS('Base bordo CD'!M$2:M$875,'Base bordo CD'!D$2:D$875,A163,'Base bordo CD'!A$2:A$875,B163,'Base bordo CD'!L$2:L$875,"SEM APONTAMENTO"),0)</f>
        <v>7.2222222222222215E-2</v>
      </c>
      <c r="N163" s="10">
        <f>IFERROR(SUMIFS('Base bordo CD'!M$2:M$875,'Base bordo CD'!D$2:D$875,A163,'Base bordo CD'!A$2:A$875,B163,'Base bordo CD'!L$2:L$875,"FALTA DE CAMINHÃO"),0)+IFERROR(SUMIFS('Base bordo CD'!M$2:M$875,'Base bordo CD'!D$2:D$875,A163,'Base bordo CD'!A$2:A$875,B163,'Base bordo CD'!L$2:L$875,"FALTA DE COMBUSTIVEL"),0)+IFERROR(SUMIFS('Base bordo CD'!M$2:M$875,'Base bordo CD'!D$2:D$875,A163,'Base bordo CD'!A$2:A$875,B163,'Base bordo CD'!L$2:L$875,"FALTA DE MOTORIST*"),0)</f>
        <v>0</v>
      </c>
      <c r="O163" s="10">
        <f t="shared" si="15"/>
        <v>-3.5527136788005009E-15</v>
      </c>
      <c r="P163" s="10">
        <f>IFERROR(SUMIFS('Base bordo CD'!M$2:M$875,'Base bordo CD'!D$2:D$875,A163,'Base bordo CD'!A$2:A$875,B163),0)</f>
        <v>24</v>
      </c>
      <c r="Q163" s="10">
        <f>IFERROR(SUMIFS('Base bordo CD'!O$2:O$875,'Base bordo CD'!D$2:D$875,A163,'Base bordo CD'!A$2:A$875,B163,'Base bordo CD'!L$2:L$875,"CORTE DE CANA MECANIZADO"),0)</f>
        <v>9178.61</v>
      </c>
      <c r="R163" s="10">
        <f>IFERROR(SUMIFS('Base bordo CD'!Q$2:Q$875,'Base bordo CD'!D$2:D$875,A163,'Base bordo CD'!A$2:A$875,B163,'Base bordo CD'!L$2:L$875,"CORTE DE CANA MECANIZADO"),0)</f>
        <v>2563</v>
      </c>
      <c r="S163" s="30">
        <f t="shared" si="16"/>
        <v>3.5811978150604764</v>
      </c>
      <c r="T163" s="9">
        <f t="shared" si="17"/>
        <v>2.9664351851851855E-2</v>
      </c>
      <c r="U163" s="9">
        <f t="shared" si="18"/>
        <v>1.3194444444444444E-2</v>
      </c>
      <c r="V163" s="9">
        <f t="shared" si="19"/>
        <v>0.93920138888888893</v>
      </c>
    </row>
    <row r="164" spans="1:22" hidden="1" x14ac:dyDescent="0.35">
      <c r="A164" s="52">
        <v>49591</v>
      </c>
      <c r="B164" s="31">
        <v>46123</v>
      </c>
      <c r="C164" s="7" t="s">
        <v>364</v>
      </c>
      <c r="D164" s="7">
        <v>352</v>
      </c>
      <c r="E164" s="10">
        <f>IFERROR(SUMIFS('Base bordo CD'!M$2:M$875,'Base bordo CD'!D$2:D$875,A164,'Base bordo CD'!A$2:A$875,B164,'Base bordo CD'!L$2:L$875,"CORTE DE CANA MECANIZADO"),0)</f>
        <v>0.71194444444444449</v>
      </c>
      <c r="F164" s="10">
        <f>IFERROR(SUMIFS('Base bordo CD'!M$2:M$875,'Base bordo CD'!D$2:D$875,A164,'Base bordo CD'!A$2:A$875,B164,'Base bordo CD'!L$2:L$875,"MANOBRA"),0)</f>
        <v>0.31666666666666665</v>
      </c>
      <c r="G164" s="10">
        <f>IFERROR(SUMIFS('Base bordo CD'!M$2:M$875,'Base bordo CD'!D$2:D$875,A164,'Base bordo CD'!A$2:A$875,B164,'Base bordo CD'!L$2:L$875,"DESLOCAMENTO"),0)</f>
        <v>0.74722222222222223</v>
      </c>
      <c r="H164" s="10">
        <f>IFERROR(SUMIFS('Base bordo CD'!M$2:M$875,'Base bordo CD'!D$2:D$875,A164,'Base bordo CD'!A$2:A$875,B164,'Base bordo CD'!L$2:L$875,"AGUARDANDO MANOBRA DE TRANSBORDO"),0)+IFERROR(SUMIFS('Base bordo CD'!M$2:M$875,'Base bordo CD'!D$2:D$875,A164,'Base bordo CD'!A$2:A$875,B164,'Base bordo CD'!L$2:L$875,"FALTA DE TRANSBORDO"),0)</f>
        <v>0</v>
      </c>
      <c r="I164" s="10">
        <f>IFERROR(SUMIFS('Base bordo CD'!M$2:M$875,'Base bordo CD'!D$2:D$875,A164,'Base bordo CD'!A$2:A$875,B164,'Base bordo CD'!L$2:L$875,"PARADA POR CONDICOES CLIMATICAS"),0)+IFERROR(SUMIFS('Base bordo CD'!M$2:M$875,'Base bordo CD'!D$2:D$875,A164,'Base bordo CD'!A$2:A$875,B164,'Base bordo CD'!L$2:L$875,"TEMPO INDETERMINADO"),0)</f>
        <v>18.310555555555556</v>
      </c>
      <c r="J164" s="10">
        <f>IFERROR(SUMIFS('Base bordo CD'!M$2:M$875,'Base bordo CD'!D$2:D$875,A164,'Base bordo CD'!A$2:A$875,B164,'Base bordo CD'!L$2:L$875,"LIMITAÇÃO INDÚSTRIA"),0)</f>
        <v>0</v>
      </c>
      <c r="K164" s="10">
        <f>IFERROR(SUMIFS('Base bordo CD'!M$2:M$875,'Base bordo CD'!D$2:D$875,A164,'Base bordo CD'!A$2:A$875,B164,'Base bordo CD'!L$2:L$875,"MAN CORRETIVA*"),0)+IFERROR(SUMIFS('Base bordo CD'!M$2:M$875,'Base bordo CD'!D$2:D$875,A164,'Base bordo CD'!A$2:A$875,B164,'Base bordo CD'!L$2:L$875,"AGUARDANDO MANUTENCAO*"),0)+IFERROR(SUMIFS('Base bordo CD'!M$2:M$875,'Base bordo CD'!D$2:D$875,A164,'Base bordo CD'!A$2:A$875,B164,'Base bordo CD'!L$2:L$875,"TROCA DE FAQUINHA"),0)+IFERROR(SUMIFS('Base bordo CD'!M$2:M$875,'Base bordo CD'!D$2:D$875,A164,'Base bordo CD'!A$2:A$875,B164,'Base bordo CD'!L$2:L$875,"LIMPEZA*"),0)</f>
        <v>3.841388888888889</v>
      </c>
      <c r="L164" s="10">
        <f>IFERROR(SUMIFS('Base bordo CD'!M$2:M$875,'Base bordo CD'!D$2:D$875,A164,'Base bordo CD'!A$2:A$875,B164,'Base bordo CD'!L$2:L$875,"PATIO - RESERVA"),0)</f>
        <v>0</v>
      </c>
      <c r="M164" s="10">
        <f>IFERROR(SUMIFS('Base bordo CD'!M$2:M$875,'Base bordo CD'!D$2:D$875,A164,'Base bordo CD'!A$2:A$875,B164,'Base bordo CD'!L$2:L$875,"SEM APONTAMENTO"),0)</f>
        <v>7.2222222222222215E-2</v>
      </c>
      <c r="N164" s="10">
        <f>IFERROR(SUMIFS('Base bordo CD'!M$2:M$875,'Base bordo CD'!D$2:D$875,A164,'Base bordo CD'!A$2:A$875,B164,'Base bordo CD'!L$2:L$875,"FALTA DE CAMINHÃO"),0)+IFERROR(SUMIFS('Base bordo CD'!M$2:M$875,'Base bordo CD'!D$2:D$875,A164,'Base bordo CD'!A$2:A$875,B164,'Base bordo CD'!L$2:L$875,"FALTA DE COMBUSTIVEL"),0)+IFERROR(SUMIFS('Base bordo CD'!M$2:M$875,'Base bordo CD'!D$2:D$875,A164,'Base bordo CD'!A$2:A$875,B164,'Base bordo CD'!L$2:L$875,"FALTA DE MOTORIST*"),0)</f>
        <v>0</v>
      </c>
      <c r="O164" s="10">
        <f t="shared" si="15"/>
        <v>-3.5527136788005009E-15</v>
      </c>
      <c r="P164" s="10">
        <f>IFERROR(SUMIFS('Base bordo CD'!M$2:M$875,'Base bordo CD'!D$2:D$875,A164,'Base bordo CD'!A$2:A$875,B164),0)</f>
        <v>24</v>
      </c>
      <c r="Q164" s="10">
        <f>IFERROR(SUMIFS('Base bordo CD'!O$2:O$875,'Base bordo CD'!D$2:D$875,A164,'Base bordo CD'!A$2:A$875,B164,'Base bordo CD'!L$2:L$875,"CORTE DE CANA MECANIZADO"),0)</f>
        <v>9178.61</v>
      </c>
      <c r="R164" s="10">
        <f>IFERROR(SUMIFS('Base bordo CD'!Q$2:Q$875,'Base bordo CD'!D$2:D$875,A164,'Base bordo CD'!A$2:A$875,B164,'Base bordo CD'!L$2:L$875,"CORTE DE CANA MECANIZADO"),0)</f>
        <v>2563</v>
      </c>
      <c r="S164" s="30">
        <f t="shared" si="16"/>
        <v>3.5811978150604764</v>
      </c>
      <c r="T164" s="9">
        <f t="shared" si="17"/>
        <v>2.9664351851851855E-2</v>
      </c>
      <c r="U164" s="9">
        <f t="shared" si="18"/>
        <v>1.3194444444444444E-2</v>
      </c>
      <c r="V164" s="9">
        <f t="shared" si="19"/>
        <v>0.93920138888888893</v>
      </c>
    </row>
    <row r="165" spans="1:22" hidden="1" x14ac:dyDescent="0.35">
      <c r="A165" s="52">
        <v>49591</v>
      </c>
      <c r="B165" s="31">
        <v>46123</v>
      </c>
      <c r="C165" s="7" t="s">
        <v>364</v>
      </c>
      <c r="D165" s="7">
        <v>352</v>
      </c>
      <c r="E165" s="10">
        <f>IFERROR(SUMIFS('Base bordo CD'!M$2:M$875,'Base bordo CD'!D$2:D$875,A165,'Base bordo CD'!A$2:A$875,B165,'Base bordo CD'!L$2:L$875,"CORTE DE CANA MECANIZADO"),0)</f>
        <v>0.71194444444444449</v>
      </c>
      <c r="F165" s="10">
        <f>IFERROR(SUMIFS('Base bordo CD'!M$2:M$875,'Base bordo CD'!D$2:D$875,A165,'Base bordo CD'!A$2:A$875,B165,'Base bordo CD'!L$2:L$875,"MANOBRA"),0)</f>
        <v>0.31666666666666665</v>
      </c>
      <c r="G165" s="10">
        <f>IFERROR(SUMIFS('Base bordo CD'!M$2:M$875,'Base bordo CD'!D$2:D$875,A165,'Base bordo CD'!A$2:A$875,B165,'Base bordo CD'!L$2:L$875,"DESLOCAMENTO"),0)</f>
        <v>0.74722222222222223</v>
      </c>
      <c r="H165" s="10">
        <f>IFERROR(SUMIFS('Base bordo CD'!M$2:M$875,'Base bordo CD'!D$2:D$875,A165,'Base bordo CD'!A$2:A$875,B165,'Base bordo CD'!L$2:L$875,"AGUARDANDO MANOBRA DE TRANSBORDO"),0)+IFERROR(SUMIFS('Base bordo CD'!M$2:M$875,'Base bordo CD'!D$2:D$875,A165,'Base bordo CD'!A$2:A$875,B165,'Base bordo CD'!L$2:L$875,"FALTA DE TRANSBORDO"),0)</f>
        <v>0</v>
      </c>
      <c r="I165" s="10">
        <f>IFERROR(SUMIFS('Base bordo CD'!M$2:M$875,'Base bordo CD'!D$2:D$875,A165,'Base bordo CD'!A$2:A$875,B165,'Base bordo CD'!L$2:L$875,"PARADA POR CONDICOES CLIMATICAS"),0)+IFERROR(SUMIFS('Base bordo CD'!M$2:M$875,'Base bordo CD'!D$2:D$875,A165,'Base bordo CD'!A$2:A$875,B165,'Base bordo CD'!L$2:L$875,"TEMPO INDETERMINADO"),0)</f>
        <v>18.310555555555556</v>
      </c>
      <c r="J165" s="10">
        <f>IFERROR(SUMIFS('Base bordo CD'!M$2:M$875,'Base bordo CD'!D$2:D$875,A165,'Base bordo CD'!A$2:A$875,B165,'Base bordo CD'!L$2:L$875,"LIMITAÇÃO INDÚSTRIA"),0)</f>
        <v>0</v>
      </c>
      <c r="K165" s="10">
        <f>IFERROR(SUMIFS('Base bordo CD'!M$2:M$875,'Base bordo CD'!D$2:D$875,A165,'Base bordo CD'!A$2:A$875,B165,'Base bordo CD'!L$2:L$875,"MAN CORRETIVA*"),0)+IFERROR(SUMIFS('Base bordo CD'!M$2:M$875,'Base bordo CD'!D$2:D$875,A165,'Base bordo CD'!A$2:A$875,B165,'Base bordo CD'!L$2:L$875,"AGUARDANDO MANUTENCAO*"),0)+IFERROR(SUMIFS('Base bordo CD'!M$2:M$875,'Base bordo CD'!D$2:D$875,A165,'Base bordo CD'!A$2:A$875,B165,'Base bordo CD'!L$2:L$875,"TROCA DE FAQUINHA"),0)+IFERROR(SUMIFS('Base bordo CD'!M$2:M$875,'Base bordo CD'!D$2:D$875,A165,'Base bordo CD'!A$2:A$875,B165,'Base bordo CD'!L$2:L$875,"LIMPEZA*"),0)</f>
        <v>3.841388888888889</v>
      </c>
      <c r="L165" s="10">
        <f>IFERROR(SUMIFS('Base bordo CD'!M$2:M$875,'Base bordo CD'!D$2:D$875,A165,'Base bordo CD'!A$2:A$875,B165,'Base bordo CD'!L$2:L$875,"PATIO - RESERVA"),0)</f>
        <v>0</v>
      </c>
      <c r="M165" s="10">
        <f>IFERROR(SUMIFS('Base bordo CD'!M$2:M$875,'Base bordo CD'!D$2:D$875,A165,'Base bordo CD'!A$2:A$875,B165,'Base bordo CD'!L$2:L$875,"SEM APONTAMENTO"),0)</f>
        <v>7.2222222222222215E-2</v>
      </c>
      <c r="N165" s="10">
        <f>IFERROR(SUMIFS('Base bordo CD'!M$2:M$875,'Base bordo CD'!D$2:D$875,A165,'Base bordo CD'!A$2:A$875,B165,'Base bordo CD'!L$2:L$875,"FALTA DE CAMINHÃO"),0)+IFERROR(SUMIFS('Base bordo CD'!M$2:M$875,'Base bordo CD'!D$2:D$875,A165,'Base bordo CD'!A$2:A$875,B165,'Base bordo CD'!L$2:L$875,"FALTA DE COMBUSTIVEL"),0)+IFERROR(SUMIFS('Base bordo CD'!M$2:M$875,'Base bordo CD'!D$2:D$875,A165,'Base bordo CD'!A$2:A$875,B165,'Base bordo CD'!L$2:L$875,"FALTA DE MOTORIST*"),0)</f>
        <v>0</v>
      </c>
      <c r="O165" s="10">
        <f t="shared" si="15"/>
        <v>-3.5527136788005009E-15</v>
      </c>
      <c r="P165" s="10">
        <f>IFERROR(SUMIFS('Base bordo CD'!M$2:M$875,'Base bordo CD'!D$2:D$875,A165,'Base bordo CD'!A$2:A$875,B165),0)</f>
        <v>24</v>
      </c>
      <c r="Q165" s="10">
        <f>IFERROR(SUMIFS('Base bordo CD'!O$2:O$875,'Base bordo CD'!D$2:D$875,A165,'Base bordo CD'!A$2:A$875,B165,'Base bordo CD'!L$2:L$875,"CORTE DE CANA MECANIZADO"),0)</f>
        <v>9178.61</v>
      </c>
      <c r="R165" s="10">
        <f>IFERROR(SUMIFS('Base bordo CD'!Q$2:Q$875,'Base bordo CD'!D$2:D$875,A165,'Base bordo CD'!A$2:A$875,B165,'Base bordo CD'!L$2:L$875,"CORTE DE CANA MECANIZADO"),0)</f>
        <v>2563</v>
      </c>
      <c r="S165" s="30">
        <f t="shared" si="16"/>
        <v>3.5811978150604764</v>
      </c>
      <c r="T165" s="9">
        <f t="shared" si="17"/>
        <v>2.9664351851851855E-2</v>
      </c>
      <c r="U165" s="9">
        <f t="shared" si="18"/>
        <v>1.3194444444444444E-2</v>
      </c>
      <c r="V165" s="9">
        <f t="shared" si="19"/>
        <v>0.93920138888888893</v>
      </c>
    </row>
    <row r="166" spans="1:22" hidden="1" x14ac:dyDescent="0.35">
      <c r="A166" s="52">
        <v>49591</v>
      </c>
      <c r="B166" s="31">
        <v>46123</v>
      </c>
      <c r="C166" s="7" t="s">
        <v>364</v>
      </c>
      <c r="D166" s="7">
        <v>352</v>
      </c>
      <c r="E166" s="10">
        <f>IFERROR(SUMIFS('Base bordo CD'!M$2:M$875,'Base bordo CD'!D$2:D$875,A166,'Base bordo CD'!A$2:A$875,B166,'Base bordo CD'!L$2:L$875,"CORTE DE CANA MECANIZADO"),0)</f>
        <v>0.71194444444444449</v>
      </c>
      <c r="F166" s="10">
        <f>IFERROR(SUMIFS('Base bordo CD'!M$2:M$875,'Base bordo CD'!D$2:D$875,A166,'Base bordo CD'!A$2:A$875,B166,'Base bordo CD'!L$2:L$875,"MANOBRA"),0)</f>
        <v>0.31666666666666665</v>
      </c>
      <c r="G166" s="10">
        <f>IFERROR(SUMIFS('Base bordo CD'!M$2:M$875,'Base bordo CD'!D$2:D$875,A166,'Base bordo CD'!A$2:A$875,B166,'Base bordo CD'!L$2:L$875,"DESLOCAMENTO"),0)</f>
        <v>0.74722222222222223</v>
      </c>
      <c r="H166" s="10">
        <f>IFERROR(SUMIFS('Base bordo CD'!M$2:M$875,'Base bordo CD'!D$2:D$875,A166,'Base bordo CD'!A$2:A$875,B166,'Base bordo CD'!L$2:L$875,"AGUARDANDO MANOBRA DE TRANSBORDO"),0)+IFERROR(SUMIFS('Base bordo CD'!M$2:M$875,'Base bordo CD'!D$2:D$875,A166,'Base bordo CD'!A$2:A$875,B166,'Base bordo CD'!L$2:L$875,"FALTA DE TRANSBORDO"),0)</f>
        <v>0</v>
      </c>
      <c r="I166" s="10">
        <f>IFERROR(SUMIFS('Base bordo CD'!M$2:M$875,'Base bordo CD'!D$2:D$875,A166,'Base bordo CD'!A$2:A$875,B166,'Base bordo CD'!L$2:L$875,"PARADA POR CONDICOES CLIMATICAS"),0)+IFERROR(SUMIFS('Base bordo CD'!M$2:M$875,'Base bordo CD'!D$2:D$875,A166,'Base bordo CD'!A$2:A$875,B166,'Base bordo CD'!L$2:L$875,"TEMPO INDETERMINADO"),0)</f>
        <v>18.310555555555556</v>
      </c>
      <c r="J166" s="10">
        <f>IFERROR(SUMIFS('Base bordo CD'!M$2:M$875,'Base bordo CD'!D$2:D$875,A166,'Base bordo CD'!A$2:A$875,B166,'Base bordo CD'!L$2:L$875,"LIMITAÇÃO INDÚSTRIA"),0)</f>
        <v>0</v>
      </c>
      <c r="K166" s="10">
        <f>IFERROR(SUMIFS('Base bordo CD'!M$2:M$875,'Base bordo CD'!D$2:D$875,A166,'Base bordo CD'!A$2:A$875,B166,'Base bordo CD'!L$2:L$875,"MAN CORRETIVA*"),0)+IFERROR(SUMIFS('Base bordo CD'!M$2:M$875,'Base bordo CD'!D$2:D$875,A166,'Base bordo CD'!A$2:A$875,B166,'Base bordo CD'!L$2:L$875,"AGUARDANDO MANUTENCAO*"),0)+IFERROR(SUMIFS('Base bordo CD'!M$2:M$875,'Base bordo CD'!D$2:D$875,A166,'Base bordo CD'!A$2:A$875,B166,'Base bordo CD'!L$2:L$875,"TROCA DE FAQUINHA"),0)+IFERROR(SUMIFS('Base bordo CD'!M$2:M$875,'Base bordo CD'!D$2:D$875,A166,'Base bordo CD'!A$2:A$875,B166,'Base bordo CD'!L$2:L$875,"LIMPEZA*"),0)</f>
        <v>3.841388888888889</v>
      </c>
      <c r="L166" s="10">
        <f>IFERROR(SUMIFS('Base bordo CD'!M$2:M$875,'Base bordo CD'!D$2:D$875,A166,'Base bordo CD'!A$2:A$875,B166,'Base bordo CD'!L$2:L$875,"PATIO - RESERVA"),0)</f>
        <v>0</v>
      </c>
      <c r="M166" s="10">
        <f>IFERROR(SUMIFS('Base bordo CD'!M$2:M$875,'Base bordo CD'!D$2:D$875,A166,'Base bordo CD'!A$2:A$875,B166,'Base bordo CD'!L$2:L$875,"SEM APONTAMENTO"),0)</f>
        <v>7.2222222222222215E-2</v>
      </c>
      <c r="N166" s="10">
        <f>IFERROR(SUMIFS('Base bordo CD'!M$2:M$875,'Base bordo CD'!D$2:D$875,A166,'Base bordo CD'!A$2:A$875,B166,'Base bordo CD'!L$2:L$875,"FALTA DE CAMINHÃO"),0)+IFERROR(SUMIFS('Base bordo CD'!M$2:M$875,'Base bordo CD'!D$2:D$875,A166,'Base bordo CD'!A$2:A$875,B166,'Base bordo CD'!L$2:L$875,"FALTA DE COMBUSTIVEL"),0)+IFERROR(SUMIFS('Base bordo CD'!M$2:M$875,'Base bordo CD'!D$2:D$875,A166,'Base bordo CD'!A$2:A$875,B166,'Base bordo CD'!L$2:L$875,"FALTA DE MOTORIST*"),0)</f>
        <v>0</v>
      </c>
      <c r="O166" s="10">
        <f t="shared" si="15"/>
        <v>-3.5527136788005009E-15</v>
      </c>
      <c r="P166" s="10">
        <f>IFERROR(SUMIFS('Base bordo CD'!M$2:M$875,'Base bordo CD'!D$2:D$875,A166,'Base bordo CD'!A$2:A$875,B166),0)</f>
        <v>24</v>
      </c>
      <c r="Q166" s="10">
        <f>IFERROR(SUMIFS('Base bordo CD'!O$2:O$875,'Base bordo CD'!D$2:D$875,A166,'Base bordo CD'!A$2:A$875,B166,'Base bordo CD'!L$2:L$875,"CORTE DE CANA MECANIZADO"),0)</f>
        <v>9178.61</v>
      </c>
      <c r="R166" s="10">
        <f>IFERROR(SUMIFS('Base bordo CD'!Q$2:Q$875,'Base bordo CD'!D$2:D$875,A166,'Base bordo CD'!A$2:A$875,B166,'Base bordo CD'!L$2:L$875,"CORTE DE CANA MECANIZADO"),0)</f>
        <v>2563</v>
      </c>
      <c r="S166" s="30">
        <f t="shared" si="16"/>
        <v>3.5811978150604764</v>
      </c>
      <c r="T166" s="9">
        <f t="shared" si="17"/>
        <v>2.9664351851851855E-2</v>
      </c>
      <c r="U166" s="9">
        <f t="shared" si="18"/>
        <v>1.3194444444444444E-2</v>
      </c>
      <c r="V166" s="9">
        <f t="shared" si="19"/>
        <v>0.93920138888888893</v>
      </c>
    </row>
    <row r="167" spans="1:22" hidden="1" x14ac:dyDescent="0.35">
      <c r="A167" s="52">
        <v>49591</v>
      </c>
      <c r="B167" s="31">
        <v>46123</v>
      </c>
      <c r="C167" s="7" t="s">
        <v>364</v>
      </c>
      <c r="D167" s="7">
        <v>352</v>
      </c>
      <c r="E167" s="10">
        <f>IFERROR(SUMIFS('Base bordo CD'!M$2:M$875,'Base bordo CD'!D$2:D$875,A167,'Base bordo CD'!A$2:A$875,B167,'Base bordo CD'!L$2:L$875,"CORTE DE CANA MECANIZADO"),0)</f>
        <v>0.71194444444444449</v>
      </c>
      <c r="F167" s="10">
        <f>IFERROR(SUMIFS('Base bordo CD'!M$2:M$875,'Base bordo CD'!D$2:D$875,A167,'Base bordo CD'!A$2:A$875,B167,'Base bordo CD'!L$2:L$875,"MANOBRA"),0)</f>
        <v>0.31666666666666665</v>
      </c>
      <c r="G167" s="10">
        <f>IFERROR(SUMIFS('Base bordo CD'!M$2:M$875,'Base bordo CD'!D$2:D$875,A167,'Base bordo CD'!A$2:A$875,B167,'Base bordo CD'!L$2:L$875,"DESLOCAMENTO"),0)</f>
        <v>0.74722222222222223</v>
      </c>
      <c r="H167" s="10">
        <f>IFERROR(SUMIFS('Base bordo CD'!M$2:M$875,'Base bordo CD'!D$2:D$875,A167,'Base bordo CD'!A$2:A$875,B167,'Base bordo CD'!L$2:L$875,"AGUARDANDO MANOBRA DE TRANSBORDO"),0)+IFERROR(SUMIFS('Base bordo CD'!M$2:M$875,'Base bordo CD'!D$2:D$875,A167,'Base bordo CD'!A$2:A$875,B167,'Base bordo CD'!L$2:L$875,"FALTA DE TRANSBORDO"),0)</f>
        <v>0</v>
      </c>
      <c r="I167" s="10">
        <f>IFERROR(SUMIFS('Base bordo CD'!M$2:M$875,'Base bordo CD'!D$2:D$875,A167,'Base bordo CD'!A$2:A$875,B167,'Base bordo CD'!L$2:L$875,"PARADA POR CONDICOES CLIMATICAS"),0)+IFERROR(SUMIFS('Base bordo CD'!M$2:M$875,'Base bordo CD'!D$2:D$875,A167,'Base bordo CD'!A$2:A$875,B167,'Base bordo CD'!L$2:L$875,"TEMPO INDETERMINADO"),0)</f>
        <v>18.310555555555556</v>
      </c>
      <c r="J167" s="10">
        <f>IFERROR(SUMIFS('Base bordo CD'!M$2:M$875,'Base bordo CD'!D$2:D$875,A167,'Base bordo CD'!A$2:A$875,B167,'Base bordo CD'!L$2:L$875,"LIMITAÇÃO INDÚSTRIA"),0)</f>
        <v>0</v>
      </c>
      <c r="K167" s="10">
        <f>IFERROR(SUMIFS('Base bordo CD'!M$2:M$875,'Base bordo CD'!D$2:D$875,A167,'Base bordo CD'!A$2:A$875,B167,'Base bordo CD'!L$2:L$875,"MAN CORRETIVA*"),0)+IFERROR(SUMIFS('Base bordo CD'!M$2:M$875,'Base bordo CD'!D$2:D$875,A167,'Base bordo CD'!A$2:A$875,B167,'Base bordo CD'!L$2:L$875,"AGUARDANDO MANUTENCAO*"),0)+IFERROR(SUMIFS('Base bordo CD'!M$2:M$875,'Base bordo CD'!D$2:D$875,A167,'Base bordo CD'!A$2:A$875,B167,'Base bordo CD'!L$2:L$875,"TROCA DE FAQUINHA"),0)+IFERROR(SUMIFS('Base bordo CD'!M$2:M$875,'Base bordo CD'!D$2:D$875,A167,'Base bordo CD'!A$2:A$875,B167,'Base bordo CD'!L$2:L$875,"LIMPEZA*"),0)</f>
        <v>3.841388888888889</v>
      </c>
      <c r="L167" s="10">
        <f>IFERROR(SUMIFS('Base bordo CD'!M$2:M$875,'Base bordo CD'!D$2:D$875,A167,'Base bordo CD'!A$2:A$875,B167,'Base bordo CD'!L$2:L$875,"PATIO - RESERVA"),0)</f>
        <v>0</v>
      </c>
      <c r="M167" s="10">
        <f>IFERROR(SUMIFS('Base bordo CD'!M$2:M$875,'Base bordo CD'!D$2:D$875,A167,'Base bordo CD'!A$2:A$875,B167,'Base bordo CD'!L$2:L$875,"SEM APONTAMENTO"),0)</f>
        <v>7.2222222222222215E-2</v>
      </c>
      <c r="N167" s="10">
        <f>IFERROR(SUMIFS('Base bordo CD'!M$2:M$875,'Base bordo CD'!D$2:D$875,A167,'Base bordo CD'!A$2:A$875,B167,'Base bordo CD'!L$2:L$875,"FALTA DE CAMINHÃO"),0)+IFERROR(SUMIFS('Base bordo CD'!M$2:M$875,'Base bordo CD'!D$2:D$875,A167,'Base bordo CD'!A$2:A$875,B167,'Base bordo CD'!L$2:L$875,"FALTA DE COMBUSTIVEL"),0)+IFERROR(SUMIFS('Base bordo CD'!M$2:M$875,'Base bordo CD'!D$2:D$875,A167,'Base bordo CD'!A$2:A$875,B167,'Base bordo CD'!L$2:L$875,"FALTA DE MOTORIST*"),0)</f>
        <v>0</v>
      </c>
      <c r="O167" s="10">
        <f t="shared" si="15"/>
        <v>-3.5527136788005009E-15</v>
      </c>
      <c r="P167" s="10">
        <f>IFERROR(SUMIFS('Base bordo CD'!M$2:M$875,'Base bordo CD'!D$2:D$875,A167,'Base bordo CD'!A$2:A$875,B167),0)</f>
        <v>24</v>
      </c>
      <c r="Q167" s="10">
        <f>IFERROR(SUMIFS('Base bordo CD'!O$2:O$875,'Base bordo CD'!D$2:D$875,A167,'Base bordo CD'!A$2:A$875,B167,'Base bordo CD'!L$2:L$875,"CORTE DE CANA MECANIZADO"),0)</f>
        <v>9178.61</v>
      </c>
      <c r="R167" s="10">
        <f>IFERROR(SUMIFS('Base bordo CD'!Q$2:Q$875,'Base bordo CD'!D$2:D$875,A167,'Base bordo CD'!A$2:A$875,B167,'Base bordo CD'!L$2:L$875,"CORTE DE CANA MECANIZADO"),0)</f>
        <v>2563</v>
      </c>
      <c r="S167" s="30">
        <f t="shared" si="16"/>
        <v>3.5811978150604764</v>
      </c>
      <c r="T167" s="9">
        <f t="shared" si="17"/>
        <v>2.9664351851851855E-2</v>
      </c>
      <c r="U167" s="9">
        <f t="shared" si="18"/>
        <v>1.3194444444444444E-2</v>
      </c>
      <c r="V167" s="9">
        <f t="shared" si="19"/>
        <v>0.93920138888888893</v>
      </c>
    </row>
    <row r="168" spans="1:22" hidden="1" x14ac:dyDescent="0.35">
      <c r="A168" s="52">
        <v>49591</v>
      </c>
      <c r="B168" s="31">
        <v>46123</v>
      </c>
      <c r="C168" s="7" t="s">
        <v>364</v>
      </c>
      <c r="D168" s="7">
        <v>352</v>
      </c>
      <c r="E168" s="10">
        <f>IFERROR(SUMIFS('Base bordo CD'!M$2:M$875,'Base bordo CD'!D$2:D$875,A168,'Base bordo CD'!A$2:A$875,B168,'Base bordo CD'!L$2:L$875,"CORTE DE CANA MECANIZADO"),0)</f>
        <v>0.71194444444444449</v>
      </c>
      <c r="F168" s="10">
        <f>IFERROR(SUMIFS('Base bordo CD'!M$2:M$875,'Base bordo CD'!D$2:D$875,A168,'Base bordo CD'!A$2:A$875,B168,'Base bordo CD'!L$2:L$875,"MANOBRA"),0)</f>
        <v>0.31666666666666665</v>
      </c>
      <c r="G168" s="10">
        <f>IFERROR(SUMIFS('Base bordo CD'!M$2:M$875,'Base bordo CD'!D$2:D$875,A168,'Base bordo CD'!A$2:A$875,B168,'Base bordo CD'!L$2:L$875,"DESLOCAMENTO"),0)</f>
        <v>0.74722222222222223</v>
      </c>
      <c r="H168" s="10">
        <f>IFERROR(SUMIFS('Base bordo CD'!M$2:M$875,'Base bordo CD'!D$2:D$875,A168,'Base bordo CD'!A$2:A$875,B168,'Base bordo CD'!L$2:L$875,"AGUARDANDO MANOBRA DE TRANSBORDO"),0)+IFERROR(SUMIFS('Base bordo CD'!M$2:M$875,'Base bordo CD'!D$2:D$875,A168,'Base bordo CD'!A$2:A$875,B168,'Base bordo CD'!L$2:L$875,"FALTA DE TRANSBORDO"),0)</f>
        <v>0</v>
      </c>
      <c r="I168" s="10">
        <f>IFERROR(SUMIFS('Base bordo CD'!M$2:M$875,'Base bordo CD'!D$2:D$875,A168,'Base bordo CD'!A$2:A$875,B168,'Base bordo CD'!L$2:L$875,"PARADA POR CONDICOES CLIMATICAS"),0)+IFERROR(SUMIFS('Base bordo CD'!M$2:M$875,'Base bordo CD'!D$2:D$875,A168,'Base bordo CD'!A$2:A$875,B168,'Base bordo CD'!L$2:L$875,"TEMPO INDETERMINADO"),0)</f>
        <v>18.310555555555556</v>
      </c>
      <c r="J168" s="10">
        <f>IFERROR(SUMIFS('Base bordo CD'!M$2:M$875,'Base bordo CD'!D$2:D$875,A168,'Base bordo CD'!A$2:A$875,B168,'Base bordo CD'!L$2:L$875,"LIMITAÇÃO INDÚSTRIA"),0)</f>
        <v>0</v>
      </c>
      <c r="K168" s="10">
        <f>IFERROR(SUMIFS('Base bordo CD'!M$2:M$875,'Base bordo CD'!D$2:D$875,A168,'Base bordo CD'!A$2:A$875,B168,'Base bordo CD'!L$2:L$875,"MAN CORRETIVA*"),0)+IFERROR(SUMIFS('Base bordo CD'!M$2:M$875,'Base bordo CD'!D$2:D$875,A168,'Base bordo CD'!A$2:A$875,B168,'Base bordo CD'!L$2:L$875,"AGUARDANDO MANUTENCAO*"),0)+IFERROR(SUMIFS('Base bordo CD'!M$2:M$875,'Base bordo CD'!D$2:D$875,A168,'Base bordo CD'!A$2:A$875,B168,'Base bordo CD'!L$2:L$875,"TROCA DE FAQUINHA"),0)+IFERROR(SUMIFS('Base bordo CD'!M$2:M$875,'Base bordo CD'!D$2:D$875,A168,'Base bordo CD'!A$2:A$875,B168,'Base bordo CD'!L$2:L$875,"LIMPEZA*"),0)</f>
        <v>3.841388888888889</v>
      </c>
      <c r="L168" s="10">
        <f>IFERROR(SUMIFS('Base bordo CD'!M$2:M$875,'Base bordo CD'!D$2:D$875,A168,'Base bordo CD'!A$2:A$875,B168,'Base bordo CD'!L$2:L$875,"PATIO - RESERVA"),0)</f>
        <v>0</v>
      </c>
      <c r="M168" s="10">
        <f>IFERROR(SUMIFS('Base bordo CD'!M$2:M$875,'Base bordo CD'!D$2:D$875,A168,'Base bordo CD'!A$2:A$875,B168,'Base bordo CD'!L$2:L$875,"SEM APONTAMENTO"),0)</f>
        <v>7.2222222222222215E-2</v>
      </c>
      <c r="N168" s="10">
        <f>IFERROR(SUMIFS('Base bordo CD'!M$2:M$875,'Base bordo CD'!D$2:D$875,A168,'Base bordo CD'!A$2:A$875,B168,'Base bordo CD'!L$2:L$875,"FALTA DE CAMINHÃO"),0)+IFERROR(SUMIFS('Base bordo CD'!M$2:M$875,'Base bordo CD'!D$2:D$875,A168,'Base bordo CD'!A$2:A$875,B168,'Base bordo CD'!L$2:L$875,"FALTA DE COMBUSTIVEL"),0)+IFERROR(SUMIFS('Base bordo CD'!M$2:M$875,'Base bordo CD'!D$2:D$875,A168,'Base bordo CD'!A$2:A$875,B168,'Base bordo CD'!L$2:L$875,"FALTA DE MOTORIST*"),0)</f>
        <v>0</v>
      </c>
      <c r="O168" s="10">
        <f t="shared" si="15"/>
        <v>-3.5527136788005009E-15</v>
      </c>
      <c r="P168" s="10">
        <f>IFERROR(SUMIFS('Base bordo CD'!M$2:M$875,'Base bordo CD'!D$2:D$875,A168,'Base bordo CD'!A$2:A$875,B168),0)</f>
        <v>24</v>
      </c>
      <c r="Q168" s="10">
        <f>IFERROR(SUMIFS('Base bordo CD'!O$2:O$875,'Base bordo CD'!D$2:D$875,A168,'Base bordo CD'!A$2:A$875,B168,'Base bordo CD'!L$2:L$875,"CORTE DE CANA MECANIZADO"),0)</f>
        <v>9178.61</v>
      </c>
      <c r="R168" s="10">
        <f>IFERROR(SUMIFS('Base bordo CD'!Q$2:Q$875,'Base bordo CD'!D$2:D$875,A168,'Base bordo CD'!A$2:A$875,B168,'Base bordo CD'!L$2:L$875,"CORTE DE CANA MECANIZADO"),0)</f>
        <v>2563</v>
      </c>
      <c r="S168" s="30">
        <f t="shared" si="16"/>
        <v>3.5811978150604764</v>
      </c>
      <c r="T168" s="9">
        <f t="shared" si="17"/>
        <v>2.9664351851851855E-2</v>
      </c>
      <c r="U168" s="9">
        <f t="shared" si="18"/>
        <v>1.3194444444444444E-2</v>
      </c>
      <c r="V168" s="9">
        <f t="shared" si="19"/>
        <v>0.93920138888888893</v>
      </c>
    </row>
    <row r="169" spans="1:22" hidden="1" x14ac:dyDescent="0.35">
      <c r="A169" s="52">
        <v>49591</v>
      </c>
      <c r="B169" s="31">
        <v>46123</v>
      </c>
      <c r="C169" s="7" t="s">
        <v>364</v>
      </c>
      <c r="D169" s="7">
        <v>352</v>
      </c>
      <c r="E169" s="10">
        <f>IFERROR(SUMIFS('Base bordo CD'!M$2:M$875,'Base bordo CD'!D$2:D$875,A169,'Base bordo CD'!A$2:A$875,B169,'Base bordo CD'!L$2:L$875,"CORTE DE CANA MECANIZADO"),0)</f>
        <v>0.71194444444444449</v>
      </c>
      <c r="F169" s="10">
        <f>IFERROR(SUMIFS('Base bordo CD'!M$2:M$875,'Base bordo CD'!D$2:D$875,A169,'Base bordo CD'!A$2:A$875,B169,'Base bordo CD'!L$2:L$875,"MANOBRA"),0)</f>
        <v>0.31666666666666665</v>
      </c>
      <c r="G169" s="10">
        <f>IFERROR(SUMIFS('Base bordo CD'!M$2:M$875,'Base bordo CD'!D$2:D$875,A169,'Base bordo CD'!A$2:A$875,B169,'Base bordo CD'!L$2:L$875,"DESLOCAMENTO"),0)</f>
        <v>0.74722222222222223</v>
      </c>
      <c r="H169" s="10">
        <f>IFERROR(SUMIFS('Base bordo CD'!M$2:M$875,'Base bordo CD'!D$2:D$875,A169,'Base bordo CD'!A$2:A$875,B169,'Base bordo CD'!L$2:L$875,"AGUARDANDO MANOBRA DE TRANSBORDO"),0)+IFERROR(SUMIFS('Base bordo CD'!M$2:M$875,'Base bordo CD'!D$2:D$875,A169,'Base bordo CD'!A$2:A$875,B169,'Base bordo CD'!L$2:L$875,"FALTA DE TRANSBORDO"),0)</f>
        <v>0</v>
      </c>
      <c r="I169" s="10">
        <f>IFERROR(SUMIFS('Base bordo CD'!M$2:M$875,'Base bordo CD'!D$2:D$875,A169,'Base bordo CD'!A$2:A$875,B169,'Base bordo CD'!L$2:L$875,"PARADA POR CONDICOES CLIMATICAS"),0)+IFERROR(SUMIFS('Base bordo CD'!M$2:M$875,'Base bordo CD'!D$2:D$875,A169,'Base bordo CD'!A$2:A$875,B169,'Base bordo CD'!L$2:L$875,"TEMPO INDETERMINADO"),0)</f>
        <v>18.310555555555556</v>
      </c>
      <c r="J169" s="10">
        <f>IFERROR(SUMIFS('Base bordo CD'!M$2:M$875,'Base bordo CD'!D$2:D$875,A169,'Base bordo CD'!A$2:A$875,B169,'Base bordo CD'!L$2:L$875,"LIMITAÇÃO INDÚSTRIA"),0)</f>
        <v>0</v>
      </c>
      <c r="K169" s="10">
        <f>IFERROR(SUMIFS('Base bordo CD'!M$2:M$875,'Base bordo CD'!D$2:D$875,A169,'Base bordo CD'!A$2:A$875,B169,'Base bordo CD'!L$2:L$875,"MAN CORRETIVA*"),0)+IFERROR(SUMIFS('Base bordo CD'!M$2:M$875,'Base bordo CD'!D$2:D$875,A169,'Base bordo CD'!A$2:A$875,B169,'Base bordo CD'!L$2:L$875,"AGUARDANDO MANUTENCAO*"),0)+IFERROR(SUMIFS('Base bordo CD'!M$2:M$875,'Base bordo CD'!D$2:D$875,A169,'Base bordo CD'!A$2:A$875,B169,'Base bordo CD'!L$2:L$875,"TROCA DE FAQUINHA"),0)+IFERROR(SUMIFS('Base bordo CD'!M$2:M$875,'Base bordo CD'!D$2:D$875,A169,'Base bordo CD'!A$2:A$875,B169,'Base bordo CD'!L$2:L$875,"LIMPEZA*"),0)</f>
        <v>3.841388888888889</v>
      </c>
      <c r="L169" s="10">
        <f>IFERROR(SUMIFS('Base bordo CD'!M$2:M$875,'Base bordo CD'!D$2:D$875,A169,'Base bordo CD'!A$2:A$875,B169,'Base bordo CD'!L$2:L$875,"PATIO - RESERVA"),0)</f>
        <v>0</v>
      </c>
      <c r="M169" s="10">
        <f>IFERROR(SUMIFS('Base bordo CD'!M$2:M$875,'Base bordo CD'!D$2:D$875,A169,'Base bordo CD'!A$2:A$875,B169,'Base bordo CD'!L$2:L$875,"SEM APONTAMENTO"),0)</f>
        <v>7.2222222222222215E-2</v>
      </c>
      <c r="N169" s="10">
        <f>IFERROR(SUMIFS('Base bordo CD'!M$2:M$875,'Base bordo CD'!D$2:D$875,A169,'Base bordo CD'!A$2:A$875,B169,'Base bordo CD'!L$2:L$875,"FALTA DE CAMINHÃO"),0)+IFERROR(SUMIFS('Base bordo CD'!M$2:M$875,'Base bordo CD'!D$2:D$875,A169,'Base bordo CD'!A$2:A$875,B169,'Base bordo CD'!L$2:L$875,"FALTA DE COMBUSTIVEL"),0)+IFERROR(SUMIFS('Base bordo CD'!M$2:M$875,'Base bordo CD'!D$2:D$875,A169,'Base bordo CD'!A$2:A$875,B169,'Base bordo CD'!L$2:L$875,"FALTA DE MOTORIST*"),0)</f>
        <v>0</v>
      </c>
      <c r="O169" s="10">
        <f t="shared" si="15"/>
        <v>-3.5527136788005009E-15</v>
      </c>
      <c r="P169" s="10">
        <f>IFERROR(SUMIFS('Base bordo CD'!M$2:M$875,'Base bordo CD'!D$2:D$875,A169,'Base bordo CD'!A$2:A$875,B169),0)</f>
        <v>24</v>
      </c>
      <c r="Q169" s="10">
        <f>IFERROR(SUMIFS('Base bordo CD'!O$2:O$875,'Base bordo CD'!D$2:D$875,A169,'Base bordo CD'!A$2:A$875,B169,'Base bordo CD'!L$2:L$875,"CORTE DE CANA MECANIZADO"),0)</f>
        <v>9178.61</v>
      </c>
      <c r="R169" s="10">
        <f>IFERROR(SUMIFS('Base bordo CD'!Q$2:Q$875,'Base bordo CD'!D$2:D$875,A169,'Base bordo CD'!A$2:A$875,B169,'Base bordo CD'!L$2:L$875,"CORTE DE CANA MECANIZADO"),0)</f>
        <v>2563</v>
      </c>
      <c r="S169" s="30">
        <f t="shared" si="16"/>
        <v>3.5811978150604764</v>
      </c>
      <c r="T169" s="9">
        <f t="shared" si="17"/>
        <v>2.9664351851851855E-2</v>
      </c>
      <c r="U169" s="9">
        <f t="shared" si="18"/>
        <v>1.3194444444444444E-2</v>
      </c>
      <c r="V169" s="9">
        <f t="shared" si="19"/>
        <v>0.93920138888888893</v>
      </c>
    </row>
    <row r="170" spans="1:22" hidden="1" x14ac:dyDescent="0.35">
      <c r="A170" s="52">
        <v>49591</v>
      </c>
      <c r="B170" s="31">
        <v>46123</v>
      </c>
      <c r="C170" s="7" t="s">
        <v>364</v>
      </c>
      <c r="D170" s="7">
        <v>352</v>
      </c>
      <c r="E170" s="10">
        <f>IFERROR(SUMIFS('Base bordo CD'!M$2:M$875,'Base bordo CD'!D$2:D$875,A170,'Base bordo CD'!A$2:A$875,B170,'Base bordo CD'!L$2:L$875,"CORTE DE CANA MECANIZADO"),0)</f>
        <v>0.71194444444444449</v>
      </c>
      <c r="F170" s="10">
        <f>IFERROR(SUMIFS('Base bordo CD'!M$2:M$875,'Base bordo CD'!D$2:D$875,A170,'Base bordo CD'!A$2:A$875,B170,'Base bordo CD'!L$2:L$875,"MANOBRA"),0)</f>
        <v>0.31666666666666665</v>
      </c>
      <c r="G170" s="10">
        <f>IFERROR(SUMIFS('Base bordo CD'!M$2:M$875,'Base bordo CD'!D$2:D$875,A170,'Base bordo CD'!A$2:A$875,B170,'Base bordo CD'!L$2:L$875,"DESLOCAMENTO"),0)</f>
        <v>0.74722222222222223</v>
      </c>
      <c r="H170" s="10">
        <f>IFERROR(SUMIFS('Base bordo CD'!M$2:M$875,'Base bordo CD'!D$2:D$875,A170,'Base bordo CD'!A$2:A$875,B170,'Base bordo CD'!L$2:L$875,"AGUARDANDO MANOBRA DE TRANSBORDO"),0)+IFERROR(SUMIFS('Base bordo CD'!M$2:M$875,'Base bordo CD'!D$2:D$875,A170,'Base bordo CD'!A$2:A$875,B170,'Base bordo CD'!L$2:L$875,"FALTA DE TRANSBORDO"),0)</f>
        <v>0</v>
      </c>
      <c r="I170" s="10">
        <f>IFERROR(SUMIFS('Base bordo CD'!M$2:M$875,'Base bordo CD'!D$2:D$875,A170,'Base bordo CD'!A$2:A$875,B170,'Base bordo CD'!L$2:L$875,"PARADA POR CONDICOES CLIMATICAS"),0)+IFERROR(SUMIFS('Base bordo CD'!M$2:M$875,'Base bordo CD'!D$2:D$875,A170,'Base bordo CD'!A$2:A$875,B170,'Base bordo CD'!L$2:L$875,"TEMPO INDETERMINADO"),0)</f>
        <v>18.310555555555556</v>
      </c>
      <c r="J170" s="10">
        <f>IFERROR(SUMIFS('Base bordo CD'!M$2:M$875,'Base bordo CD'!D$2:D$875,A170,'Base bordo CD'!A$2:A$875,B170,'Base bordo CD'!L$2:L$875,"LIMITAÇÃO INDÚSTRIA"),0)</f>
        <v>0</v>
      </c>
      <c r="K170" s="10">
        <f>IFERROR(SUMIFS('Base bordo CD'!M$2:M$875,'Base bordo CD'!D$2:D$875,A170,'Base bordo CD'!A$2:A$875,B170,'Base bordo CD'!L$2:L$875,"MAN CORRETIVA*"),0)+IFERROR(SUMIFS('Base bordo CD'!M$2:M$875,'Base bordo CD'!D$2:D$875,A170,'Base bordo CD'!A$2:A$875,B170,'Base bordo CD'!L$2:L$875,"AGUARDANDO MANUTENCAO*"),0)+IFERROR(SUMIFS('Base bordo CD'!M$2:M$875,'Base bordo CD'!D$2:D$875,A170,'Base bordo CD'!A$2:A$875,B170,'Base bordo CD'!L$2:L$875,"TROCA DE FAQUINHA"),0)+IFERROR(SUMIFS('Base bordo CD'!M$2:M$875,'Base bordo CD'!D$2:D$875,A170,'Base bordo CD'!A$2:A$875,B170,'Base bordo CD'!L$2:L$875,"LIMPEZA*"),0)</f>
        <v>3.841388888888889</v>
      </c>
      <c r="L170" s="10">
        <f>IFERROR(SUMIFS('Base bordo CD'!M$2:M$875,'Base bordo CD'!D$2:D$875,A170,'Base bordo CD'!A$2:A$875,B170,'Base bordo CD'!L$2:L$875,"PATIO - RESERVA"),0)</f>
        <v>0</v>
      </c>
      <c r="M170" s="10">
        <f>IFERROR(SUMIFS('Base bordo CD'!M$2:M$875,'Base bordo CD'!D$2:D$875,A170,'Base bordo CD'!A$2:A$875,B170,'Base bordo CD'!L$2:L$875,"SEM APONTAMENTO"),0)</f>
        <v>7.2222222222222215E-2</v>
      </c>
      <c r="N170" s="10">
        <f>IFERROR(SUMIFS('Base bordo CD'!M$2:M$875,'Base bordo CD'!D$2:D$875,A170,'Base bordo CD'!A$2:A$875,B170,'Base bordo CD'!L$2:L$875,"FALTA DE CAMINHÃO"),0)+IFERROR(SUMIFS('Base bordo CD'!M$2:M$875,'Base bordo CD'!D$2:D$875,A170,'Base bordo CD'!A$2:A$875,B170,'Base bordo CD'!L$2:L$875,"FALTA DE COMBUSTIVEL"),0)+IFERROR(SUMIFS('Base bordo CD'!M$2:M$875,'Base bordo CD'!D$2:D$875,A170,'Base bordo CD'!A$2:A$875,B170,'Base bordo CD'!L$2:L$875,"FALTA DE MOTORIST*"),0)</f>
        <v>0</v>
      </c>
      <c r="O170" s="10">
        <f t="shared" si="15"/>
        <v>-3.5527136788005009E-15</v>
      </c>
      <c r="P170" s="10">
        <f>IFERROR(SUMIFS('Base bordo CD'!M$2:M$875,'Base bordo CD'!D$2:D$875,A170,'Base bordo CD'!A$2:A$875,B170),0)</f>
        <v>24</v>
      </c>
      <c r="Q170" s="10">
        <f>IFERROR(SUMIFS('Base bordo CD'!O$2:O$875,'Base bordo CD'!D$2:D$875,A170,'Base bordo CD'!A$2:A$875,B170,'Base bordo CD'!L$2:L$875,"CORTE DE CANA MECANIZADO"),0)</f>
        <v>9178.61</v>
      </c>
      <c r="R170" s="10">
        <f>IFERROR(SUMIFS('Base bordo CD'!Q$2:Q$875,'Base bordo CD'!D$2:D$875,A170,'Base bordo CD'!A$2:A$875,B170,'Base bordo CD'!L$2:L$875,"CORTE DE CANA MECANIZADO"),0)</f>
        <v>2563</v>
      </c>
      <c r="S170" s="30">
        <f t="shared" si="16"/>
        <v>3.5811978150604764</v>
      </c>
      <c r="T170" s="9">
        <f t="shared" si="17"/>
        <v>2.9664351851851855E-2</v>
      </c>
      <c r="U170" s="9">
        <f t="shared" si="18"/>
        <v>1.3194444444444444E-2</v>
      </c>
      <c r="V170" s="9">
        <f t="shared" si="19"/>
        <v>0.93920138888888893</v>
      </c>
    </row>
    <row r="171" spans="1:22" hidden="1" x14ac:dyDescent="0.35">
      <c r="A171" s="52">
        <v>49591</v>
      </c>
      <c r="B171" s="31">
        <v>46123</v>
      </c>
      <c r="C171" s="7" t="s">
        <v>364</v>
      </c>
      <c r="D171" s="7">
        <v>352</v>
      </c>
      <c r="E171" s="10">
        <f>IFERROR(SUMIFS('Base bordo CD'!M$2:M$875,'Base bordo CD'!D$2:D$875,A171,'Base bordo CD'!A$2:A$875,B171,'Base bordo CD'!L$2:L$875,"CORTE DE CANA MECANIZADO"),0)</f>
        <v>0.71194444444444449</v>
      </c>
      <c r="F171" s="10">
        <f>IFERROR(SUMIFS('Base bordo CD'!M$2:M$875,'Base bordo CD'!D$2:D$875,A171,'Base bordo CD'!A$2:A$875,B171,'Base bordo CD'!L$2:L$875,"MANOBRA"),0)</f>
        <v>0.31666666666666665</v>
      </c>
      <c r="G171" s="10">
        <f>IFERROR(SUMIFS('Base bordo CD'!M$2:M$875,'Base bordo CD'!D$2:D$875,A171,'Base bordo CD'!A$2:A$875,B171,'Base bordo CD'!L$2:L$875,"DESLOCAMENTO"),0)</f>
        <v>0.74722222222222223</v>
      </c>
      <c r="H171" s="10">
        <f>IFERROR(SUMIFS('Base bordo CD'!M$2:M$875,'Base bordo CD'!D$2:D$875,A171,'Base bordo CD'!A$2:A$875,B171,'Base bordo CD'!L$2:L$875,"AGUARDANDO MANOBRA DE TRANSBORDO"),0)+IFERROR(SUMIFS('Base bordo CD'!M$2:M$875,'Base bordo CD'!D$2:D$875,A171,'Base bordo CD'!A$2:A$875,B171,'Base bordo CD'!L$2:L$875,"FALTA DE TRANSBORDO"),0)</f>
        <v>0</v>
      </c>
      <c r="I171" s="10">
        <f>IFERROR(SUMIFS('Base bordo CD'!M$2:M$875,'Base bordo CD'!D$2:D$875,A171,'Base bordo CD'!A$2:A$875,B171,'Base bordo CD'!L$2:L$875,"PARADA POR CONDICOES CLIMATICAS"),0)+IFERROR(SUMIFS('Base bordo CD'!M$2:M$875,'Base bordo CD'!D$2:D$875,A171,'Base bordo CD'!A$2:A$875,B171,'Base bordo CD'!L$2:L$875,"TEMPO INDETERMINADO"),0)</f>
        <v>18.310555555555556</v>
      </c>
      <c r="J171" s="10">
        <f>IFERROR(SUMIFS('Base bordo CD'!M$2:M$875,'Base bordo CD'!D$2:D$875,A171,'Base bordo CD'!A$2:A$875,B171,'Base bordo CD'!L$2:L$875,"LIMITAÇÃO INDÚSTRIA"),0)</f>
        <v>0</v>
      </c>
      <c r="K171" s="10">
        <f>IFERROR(SUMIFS('Base bordo CD'!M$2:M$875,'Base bordo CD'!D$2:D$875,A171,'Base bordo CD'!A$2:A$875,B171,'Base bordo CD'!L$2:L$875,"MAN CORRETIVA*"),0)+IFERROR(SUMIFS('Base bordo CD'!M$2:M$875,'Base bordo CD'!D$2:D$875,A171,'Base bordo CD'!A$2:A$875,B171,'Base bordo CD'!L$2:L$875,"AGUARDANDO MANUTENCAO*"),0)+IFERROR(SUMIFS('Base bordo CD'!M$2:M$875,'Base bordo CD'!D$2:D$875,A171,'Base bordo CD'!A$2:A$875,B171,'Base bordo CD'!L$2:L$875,"TROCA DE FAQUINHA"),0)+IFERROR(SUMIFS('Base bordo CD'!M$2:M$875,'Base bordo CD'!D$2:D$875,A171,'Base bordo CD'!A$2:A$875,B171,'Base bordo CD'!L$2:L$875,"LIMPEZA*"),0)</f>
        <v>3.841388888888889</v>
      </c>
      <c r="L171" s="10">
        <f>IFERROR(SUMIFS('Base bordo CD'!M$2:M$875,'Base bordo CD'!D$2:D$875,A171,'Base bordo CD'!A$2:A$875,B171,'Base bordo CD'!L$2:L$875,"PATIO - RESERVA"),0)</f>
        <v>0</v>
      </c>
      <c r="M171" s="10">
        <f>IFERROR(SUMIFS('Base bordo CD'!M$2:M$875,'Base bordo CD'!D$2:D$875,A171,'Base bordo CD'!A$2:A$875,B171,'Base bordo CD'!L$2:L$875,"SEM APONTAMENTO"),0)</f>
        <v>7.2222222222222215E-2</v>
      </c>
      <c r="N171" s="10">
        <f>IFERROR(SUMIFS('Base bordo CD'!M$2:M$875,'Base bordo CD'!D$2:D$875,A171,'Base bordo CD'!A$2:A$875,B171,'Base bordo CD'!L$2:L$875,"FALTA DE CAMINHÃO"),0)+IFERROR(SUMIFS('Base bordo CD'!M$2:M$875,'Base bordo CD'!D$2:D$875,A171,'Base bordo CD'!A$2:A$875,B171,'Base bordo CD'!L$2:L$875,"FALTA DE COMBUSTIVEL"),0)+IFERROR(SUMIFS('Base bordo CD'!M$2:M$875,'Base bordo CD'!D$2:D$875,A171,'Base bordo CD'!A$2:A$875,B171,'Base bordo CD'!L$2:L$875,"FALTA DE MOTORIST*"),0)</f>
        <v>0</v>
      </c>
      <c r="O171" s="10">
        <f t="shared" si="15"/>
        <v>-3.5527136788005009E-15</v>
      </c>
      <c r="P171" s="10">
        <f>IFERROR(SUMIFS('Base bordo CD'!M$2:M$875,'Base bordo CD'!D$2:D$875,A171,'Base bordo CD'!A$2:A$875,B171),0)</f>
        <v>24</v>
      </c>
      <c r="Q171" s="10">
        <f>IFERROR(SUMIFS('Base bordo CD'!O$2:O$875,'Base bordo CD'!D$2:D$875,A171,'Base bordo CD'!A$2:A$875,B171,'Base bordo CD'!L$2:L$875,"CORTE DE CANA MECANIZADO"),0)</f>
        <v>9178.61</v>
      </c>
      <c r="R171" s="10">
        <f>IFERROR(SUMIFS('Base bordo CD'!Q$2:Q$875,'Base bordo CD'!D$2:D$875,A171,'Base bordo CD'!A$2:A$875,B171,'Base bordo CD'!L$2:L$875,"CORTE DE CANA MECANIZADO"),0)</f>
        <v>2563</v>
      </c>
      <c r="S171" s="30">
        <f t="shared" si="16"/>
        <v>3.5811978150604764</v>
      </c>
      <c r="T171" s="9">
        <f t="shared" si="17"/>
        <v>2.9664351851851855E-2</v>
      </c>
      <c r="U171" s="9">
        <f t="shared" si="18"/>
        <v>1.3194444444444444E-2</v>
      </c>
      <c r="V171" s="9">
        <f t="shared" si="19"/>
        <v>0.93920138888888893</v>
      </c>
    </row>
    <row r="172" spans="1:22" hidden="1" x14ac:dyDescent="0.35">
      <c r="A172" s="52">
        <v>49591</v>
      </c>
      <c r="B172" s="31">
        <v>46123</v>
      </c>
      <c r="C172" s="7" t="s">
        <v>364</v>
      </c>
      <c r="D172" s="7">
        <v>352</v>
      </c>
      <c r="E172" s="10">
        <f>IFERROR(SUMIFS('Base bordo CD'!M$2:M$875,'Base bordo CD'!D$2:D$875,A172,'Base bordo CD'!A$2:A$875,B172,'Base bordo CD'!L$2:L$875,"CORTE DE CANA MECANIZADO"),0)</f>
        <v>0.71194444444444449</v>
      </c>
      <c r="F172" s="10">
        <f>IFERROR(SUMIFS('Base bordo CD'!M$2:M$875,'Base bordo CD'!D$2:D$875,A172,'Base bordo CD'!A$2:A$875,B172,'Base bordo CD'!L$2:L$875,"MANOBRA"),0)</f>
        <v>0.31666666666666665</v>
      </c>
      <c r="G172" s="10">
        <f>IFERROR(SUMIFS('Base bordo CD'!M$2:M$875,'Base bordo CD'!D$2:D$875,A172,'Base bordo CD'!A$2:A$875,B172,'Base bordo CD'!L$2:L$875,"DESLOCAMENTO"),0)</f>
        <v>0.74722222222222223</v>
      </c>
      <c r="H172" s="10">
        <f>IFERROR(SUMIFS('Base bordo CD'!M$2:M$875,'Base bordo CD'!D$2:D$875,A172,'Base bordo CD'!A$2:A$875,B172,'Base bordo CD'!L$2:L$875,"AGUARDANDO MANOBRA DE TRANSBORDO"),0)+IFERROR(SUMIFS('Base bordo CD'!M$2:M$875,'Base bordo CD'!D$2:D$875,A172,'Base bordo CD'!A$2:A$875,B172,'Base bordo CD'!L$2:L$875,"FALTA DE TRANSBORDO"),0)</f>
        <v>0</v>
      </c>
      <c r="I172" s="10">
        <f>IFERROR(SUMIFS('Base bordo CD'!M$2:M$875,'Base bordo CD'!D$2:D$875,A172,'Base bordo CD'!A$2:A$875,B172,'Base bordo CD'!L$2:L$875,"PARADA POR CONDICOES CLIMATICAS"),0)+IFERROR(SUMIFS('Base bordo CD'!M$2:M$875,'Base bordo CD'!D$2:D$875,A172,'Base bordo CD'!A$2:A$875,B172,'Base bordo CD'!L$2:L$875,"TEMPO INDETERMINADO"),0)</f>
        <v>18.310555555555556</v>
      </c>
      <c r="J172" s="10">
        <f>IFERROR(SUMIFS('Base bordo CD'!M$2:M$875,'Base bordo CD'!D$2:D$875,A172,'Base bordo CD'!A$2:A$875,B172,'Base bordo CD'!L$2:L$875,"LIMITAÇÃO INDÚSTRIA"),0)</f>
        <v>0</v>
      </c>
      <c r="K172" s="10">
        <f>IFERROR(SUMIFS('Base bordo CD'!M$2:M$875,'Base bordo CD'!D$2:D$875,A172,'Base bordo CD'!A$2:A$875,B172,'Base bordo CD'!L$2:L$875,"MAN CORRETIVA*"),0)+IFERROR(SUMIFS('Base bordo CD'!M$2:M$875,'Base bordo CD'!D$2:D$875,A172,'Base bordo CD'!A$2:A$875,B172,'Base bordo CD'!L$2:L$875,"AGUARDANDO MANUTENCAO*"),0)+IFERROR(SUMIFS('Base bordo CD'!M$2:M$875,'Base bordo CD'!D$2:D$875,A172,'Base bordo CD'!A$2:A$875,B172,'Base bordo CD'!L$2:L$875,"TROCA DE FAQUINHA"),0)+IFERROR(SUMIFS('Base bordo CD'!M$2:M$875,'Base bordo CD'!D$2:D$875,A172,'Base bordo CD'!A$2:A$875,B172,'Base bordo CD'!L$2:L$875,"LIMPEZA*"),0)</f>
        <v>3.841388888888889</v>
      </c>
      <c r="L172" s="10">
        <f>IFERROR(SUMIFS('Base bordo CD'!M$2:M$875,'Base bordo CD'!D$2:D$875,A172,'Base bordo CD'!A$2:A$875,B172,'Base bordo CD'!L$2:L$875,"PATIO - RESERVA"),0)</f>
        <v>0</v>
      </c>
      <c r="M172" s="10">
        <f>IFERROR(SUMIFS('Base bordo CD'!M$2:M$875,'Base bordo CD'!D$2:D$875,A172,'Base bordo CD'!A$2:A$875,B172,'Base bordo CD'!L$2:L$875,"SEM APONTAMENTO"),0)</f>
        <v>7.2222222222222215E-2</v>
      </c>
      <c r="N172" s="10">
        <f>IFERROR(SUMIFS('Base bordo CD'!M$2:M$875,'Base bordo CD'!D$2:D$875,A172,'Base bordo CD'!A$2:A$875,B172,'Base bordo CD'!L$2:L$875,"FALTA DE CAMINHÃO"),0)+IFERROR(SUMIFS('Base bordo CD'!M$2:M$875,'Base bordo CD'!D$2:D$875,A172,'Base bordo CD'!A$2:A$875,B172,'Base bordo CD'!L$2:L$875,"FALTA DE COMBUSTIVEL"),0)+IFERROR(SUMIFS('Base bordo CD'!M$2:M$875,'Base bordo CD'!D$2:D$875,A172,'Base bordo CD'!A$2:A$875,B172,'Base bordo CD'!L$2:L$875,"FALTA DE MOTORIST*"),0)</f>
        <v>0</v>
      </c>
      <c r="O172" s="10">
        <f t="shared" si="15"/>
        <v>-3.5527136788005009E-15</v>
      </c>
      <c r="P172" s="10">
        <f>IFERROR(SUMIFS('Base bordo CD'!M$2:M$875,'Base bordo CD'!D$2:D$875,A172,'Base bordo CD'!A$2:A$875,B172),0)</f>
        <v>24</v>
      </c>
      <c r="Q172" s="10">
        <f>IFERROR(SUMIFS('Base bordo CD'!O$2:O$875,'Base bordo CD'!D$2:D$875,A172,'Base bordo CD'!A$2:A$875,B172,'Base bordo CD'!L$2:L$875,"CORTE DE CANA MECANIZADO"),0)</f>
        <v>9178.61</v>
      </c>
      <c r="R172" s="10">
        <f>IFERROR(SUMIFS('Base bordo CD'!Q$2:Q$875,'Base bordo CD'!D$2:D$875,A172,'Base bordo CD'!A$2:A$875,B172,'Base bordo CD'!L$2:L$875,"CORTE DE CANA MECANIZADO"),0)</f>
        <v>2563</v>
      </c>
      <c r="S172" s="30">
        <f t="shared" si="16"/>
        <v>3.5811978150604764</v>
      </c>
      <c r="T172" s="9">
        <f t="shared" si="17"/>
        <v>2.9664351851851855E-2</v>
      </c>
      <c r="U172" s="9">
        <f t="shared" si="18"/>
        <v>1.3194444444444444E-2</v>
      </c>
      <c r="V172" s="9">
        <f t="shared" si="19"/>
        <v>0.93920138888888893</v>
      </c>
    </row>
    <row r="173" spans="1:22" hidden="1" x14ac:dyDescent="0.35">
      <c r="A173" s="52">
        <v>49591</v>
      </c>
      <c r="B173" s="31">
        <v>46123</v>
      </c>
      <c r="C173" s="7" t="s">
        <v>364</v>
      </c>
      <c r="D173" s="7">
        <v>352</v>
      </c>
      <c r="E173" s="10">
        <f>IFERROR(SUMIFS('Base bordo CD'!M$2:M$875,'Base bordo CD'!D$2:D$875,A173,'Base bordo CD'!A$2:A$875,B173,'Base bordo CD'!L$2:L$875,"CORTE DE CANA MECANIZADO"),0)</f>
        <v>0.71194444444444449</v>
      </c>
      <c r="F173" s="10">
        <f>IFERROR(SUMIFS('Base bordo CD'!M$2:M$875,'Base bordo CD'!D$2:D$875,A173,'Base bordo CD'!A$2:A$875,B173,'Base bordo CD'!L$2:L$875,"MANOBRA"),0)</f>
        <v>0.31666666666666665</v>
      </c>
      <c r="G173" s="10">
        <f>IFERROR(SUMIFS('Base bordo CD'!M$2:M$875,'Base bordo CD'!D$2:D$875,A173,'Base bordo CD'!A$2:A$875,B173,'Base bordo CD'!L$2:L$875,"DESLOCAMENTO"),0)</f>
        <v>0.74722222222222223</v>
      </c>
      <c r="H173" s="10">
        <f>IFERROR(SUMIFS('Base bordo CD'!M$2:M$875,'Base bordo CD'!D$2:D$875,A173,'Base bordo CD'!A$2:A$875,B173,'Base bordo CD'!L$2:L$875,"AGUARDANDO MANOBRA DE TRANSBORDO"),0)+IFERROR(SUMIFS('Base bordo CD'!M$2:M$875,'Base bordo CD'!D$2:D$875,A173,'Base bordo CD'!A$2:A$875,B173,'Base bordo CD'!L$2:L$875,"FALTA DE TRANSBORDO"),0)</f>
        <v>0</v>
      </c>
      <c r="I173" s="10">
        <f>IFERROR(SUMIFS('Base bordo CD'!M$2:M$875,'Base bordo CD'!D$2:D$875,A173,'Base bordo CD'!A$2:A$875,B173,'Base bordo CD'!L$2:L$875,"PARADA POR CONDICOES CLIMATICAS"),0)+IFERROR(SUMIFS('Base bordo CD'!M$2:M$875,'Base bordo CD'!D$2:D$875,A173,'Base bordo CD'!A$2:A$875,B173,'Base bordo CD'!L$2:L$875,"TEMPO INDETERMINADO"),0)</f>
        <v>18.310555555555556</v>
      </c>
      <c r="J173" s="10">
        <f>IFERROR(SUMIFS('Base bordo CD'!M$2:M$875,'Base bordo CD'!D$2:D$875,A173,'Base bordo CD'!A$2:A$875,B173,'Base bordo CD'!L$2:L$875,"LIMITAÇÃO INDÚSTRIA"),0)</f>
        <v>0</v>
      </c>
      <c r="K173" s="10">
        <f>IFERROR(SUMIFS('Base bordo CD'!M$2:M$875,'Base bordo CD'!D$2:D$875,A173,'Base bordo CD'!A$2:A$875,B173,'Base bordo CD'!L$2:L$875,"MAN CORRETIVA*"),0)+IFERROR(SUMIFS('Base bordo CD'!M$2:M$875,'Base bordo CD'!D$2:D$875,A173,'Base bordo CD'!A$2:A$875,B173,'Base bordo CD'!L$2:L$875,"AGUARDANDO MANUTENCAO*"),0)+IFERROR(SUMIFS('Base bordo CD'!M$2:M$875,'Base bordo CD'!D$2:D$875,A173,'Base bordo CD'!A$2:A$875,B173,'Base bordo CD'!L$2:L$875,"TROCA DE FAQUINHA"),0)+IFERROR(SUMIFS('Base bordo CD'!M$2:M$875,'Base bordo CD'!D$2:D$875,A173,'Base bordo CD'!A$2:A$875,B173,'Base bordo CD'!L$2:L$875,"LIMPEZA*"),0)</f>
        <v>3.841388888888889</v>
      </c>
      <c r="L173" s="10">
        <f>IFERROR(SUMIFS('Base bordo CD'!M$2:M$875,'Base bordo CD'!D$2:D$875,A173,'Base bordo CD'!A$2:A$875,B173,'Base bordo CD'!L$2:L$875,"PATIO - RESERVA"),0)</f>
        <v>0</v>
      </c>
      <c r="M173" s="10">
        <f>IFERROR(SUMIFS('Base bordo CD'!M$2:M$875,'Base bordo CD'!D$2:D$875,A173,'Base bordo CD'!A$2:A$875,B173,'Base bordo CD'!L$2:L$875,"SEM APONTAMENTO"),0)</f>
        <v>7.2222222222222215E-2</v>
      </c>
      <c r="N173" s="10">
        <f>IFERROR(SUMIFS('Base bordo CD'!M$2:M$875,'Base bordo CD'!D$2:D$875,A173,'Base bordo CD'!A$2:A$875,B173,'Base bordo CD'!L$2:L$875,"FALTA DE CAMINHÃO"),0)+IFERROR(SUMIFS('Base bordo CD'!M$2:M$875,'Base bordo CD'!D$2:D$875,A173,'Base bordo CD'!A$2:A$875,B173,'Base bordo CD'!L$2:L$875,"FALTA DE COMBUSTIVEL"),0)+IFERROR(SUMIFS('Base bordo CD'!M$2:M$875,'Base bordo CD'!D$2:D$875,A173,'Base bordo CD'!A$2:A$875,B173,'Base bordo CD'!L$2:L$875,"FALTA DE MOTORIST*"),0)</f>
        <v>0</v>
      </c>
      <c r="O173" s="10">
        <f t="shared" si="15"/>
        <v>-3.5527136788005009E-15</v>
      </c>
      <c r="P173" s="10">
        <f>IFERROR(SUMIFS('Base bordo CD'!M$2:M$875,'Base bordo CD'!D$2:D$875,A173,'Base bordo CD'!A$2:A$875,B173),0)</f>
        <v>24</v>
      </c>
      <c r="Q173" s="10">
        <f>IFERROR(SUMIFS('Base bordo CD'!O$2:O$875,'Base bordo CD'!D$2:D$875,A173,'Base bordo CD'!A$2:A$875,B173,'Base bordo CD'!L$2:L$875,"CORTE DE CANA MECANIZADO"),0)</f>
        <v>9178.61</v>
      </c>
      <c r="R173" s="10">
        <f>IFERROR(SUMIFS('Base bordo CD'!Q$2:Q$875,'Base bordo CD'!D$2:D$875,A173,'Base bordo CD'!A$2:A$875,B173,'Base bordo CD'!L$2:L$875,"CORTE DE CANA MECANIZADO"),0)</f>
        <v>2563</v>
      </c>
      <c r="S173" s="30">
        <f t="shared" si="16"/>
        <v>3.5811978150604764</v>
      </c>
      <c r="T173" s="9">
        <f t="shared" si="17"/>
        <v>2.9664351851851855E-2</v>
      </c>
      <c r="U173" s="9">
        <f t="shared" si="18"/>
        <v>1.3194444444444444E-2</v>
      </c>
      <c r="V173" s="9">
        <f t="shared" si="19"/>
        <v>0.93920138888888893</v>
      </c>
    </row>
    <row r="174" spans="1:22" hidden="1" x14ac:dyDescent="0.35">
      <c r="A174" s="52">
        <v>49591</v>
      </c>
      <c r="B174" s="31">
        <v>46123</v>
      </c>
      <c r="C174" s="7" t="s">
        <v>364</v>
      </c>
      <c r="D174" s="7">
        <v>352</v>
      </c>
      <c r="E174" s="10">
        <f>IFERROR(SUMIFS('Base bordo CD'!M$2:M$875,'Base bordo CD'!D$2:D$875,A174,'Base bordo CD'!A$2:A$875,B174,'Base bordo CD'!L$2:L$875,"CORTE DE CANA MECANIZADO"),0)</f>
        <v>0.71194444444444449</v>
      </c>
      <c r="F174" s="10">
        <f>IFERROR(SUMIFS('Base bordo CD'!M$2:M$875,'Base bordo CD'!D$2:D$875,A174,'Base bordo CD'!A$2:A$875,B174,'Base bordo CD'!L$2:L$875,"MANOBRA"),0)</f>
        <v>0.31666666666666665</v>
      </c>
      <c r="G174" s="10">
        <f>IFERROR(SUMIFS('Base bordo CD'!M$2:M$875,'Base bordo CD'!D$2:D$875,A174,'Base bordo CD'!A$2:A$875,B174,'Base bordo CD'!L$2:L$875,"DESLOCAMENTO"),0)</f>
        <v>0.74722222222222223</v>
      </c>
      <c r="H174" s="10">
        <f>IFERROR(SUMIFS('Base bordo CD'!M$2:M$875,'Base bordo CD'!D$2:D$875,A174,'Base bordo CD'!A$2:A$875,B174,'Base bordo CD'!L$2:L$875,"AGUARDANDO MANOBRA DE TRANSBORDO"),0)+IFERROR(SUMIFS('Base bordo CD'!M$2:M$875,'Base bordo CD'!D$2:D$875,A174,'Base bordo CD'!A$2:A$875,B174,'Base bordo CD'!L$2:L$875,"FALTA DE TRANSBORDO"),0)</f>
        <v>0</v>
      </c>
      <c r="I174" s="10">
        <f>IFERROR(SUMIFS('Base bordo CD'!M$2:M$875,'Base bordo CD'!D$2:D$875,A174,'Base bordo CD'!A$2:A$875,B174,'Base bordo CD'!L$2:L$875,"PARADA POR CONDICOES CLIMATICAS"),0)+IFERROR(SUMIFS('Base bordo CD'!M$2:M$875,'Base bordo CD'!D$2:D$875,A174,'Base bordo CD'!A$2:A$875,B174,'Base bordo CD'!L$2:L$875,"TEMPO INDETERMINADO"),0)</f>
        <v>18.310555555555556</v>
      </c>
      <c r="J174" s="10">
        <f>IFERROR(SUMIFS('Base bordo CD'!M$2:M$875,'Base bordo CD'!D$2:D$875,A174,'Base bordo CD'!A$2:A$875,B174,'Base bordo CD'!L$2:L$875,"LIMITAÇÃO INDÚSTRIA"),0)</f>
        <v>0</v>
      </c>
      <c r="K174" s="10">
        <f>IFERROR(SUMIFS('Base bordo CD'!M$2:M$875,'Base bordo CD'!D$2:D$875,A174,'Base bordo CD'!A$2:A$875,B174,'Base bordo CD'!L$2:L$875,"MAN CORRETIVA*"),0)+IFERROR(SUMIFS('Base bordo CD'!M$2:M$875,'Base bordo CD'!D$2:D$875,A174,'Base bordo CD'!A$2:A$875,B174,'Base bordo CD'!L$2:L$875,"AGUARDANDO MANUTENCAO*"),0)+IFERROR(SUMIFS('Base bordo CD'!M$2:M$875,'Base bordo CD'!D$2:D$875,A174,'Base bordo CD'!A$2:A$875,B174,'Base bordo CD'!L$2:L$875,"TROCA DE FAQUINHA"),0)+IFERROR(SUMIFS('Base bordo CD'!M$2:M$875,'Base bordo CD'!D$2:D$875,A174,'Base bordo CD'!A$2:A$875,B174,'Base bordo CD'!L$2:L$875,"LIMPEZA*"),0)</f>
        <v>3.841388888888889</v>
      </c>
      <c r="L174" s="10">
        <f>IFERROR(SUMIFS('Base bordo CD'!M$2:M$875,'Base bordo CD'!D$2:D$875,A174,'Base bordo CD'!A$2:A$875,B174,'Base bordo CD'!L$2:L$875,"PATIO - RESERVA"),0)</f>
        <v>0</v>
      </c>
      <c r="M174" s="10">
        <f>IFERROR(SUMIFS('Base bordo CD'!M$2:M$875,'Base bordo CD'!D$2:D$875,A174,'Base bordo CD'!A$2:A$875,B174,'Base bordo CD'!L$2:L$875,"SEM APONTAMENTO"),0)</f>
        <v>7.2222222222222215E-2</v>
      </c>
      <c r="N174" s="10">
        <f>IFERROR(SUMIFS('Base bordo CD'!M$2:M$875,'Base bordo CD'!D$2:D$875,A174,'Base bordo CD'!A$2:A$875,B174,'Base bordo CD'!L$2:L$875,"FALTA DE CAMINHÃO"),0)+IFERROR(SUMIFS('Base bordo CD'!M$2:M$875,'Base bordo CD'!D$2:D$875,A174,'Base bordo CD'!A$2:A$875,B174,'Base bordo CD'!L$2:L$875,"FALTA DE COMBUSTIVEL"),0)+IFERROR(SUMIFS('Base bordo CD'!M$2:M$875,'Base bordo CD'!D$2:D$875,A174,'Base bordo CD'!A$2:A$875,B174,'Base bordo CD'!L$2:L$875,"FALTA DE MOTORIST*"),0)</f>
        <v>0</v>
      </c>
      <c r="O174" s="10">
        <f t="shared" si="15"/>
        <v>-3.5527136788005009E-15</v>
      </c>
      <c r="P174" s="10">
        <f>IFERROR(SUMIFS('Base bordo CD'!M$2:M$875,'Base bordo CD'!D$2:D$875,A174,'Base bordo CD'!A$2:A$875,B174),0)</f>
        <v>24</v>
      </c>
      <c r="Q174" s="10">
        <f>IFERROR(SUMIFS('Base bordo CD'!O$2:O$875,'Base bordo CD'!D$2:D$875,A174,'Base bordo CD'!A$2:A$875,B174,'Base bordo CD'!L$2:L$875,"CORTE DE CANA MECANIZADO"),0)</f>
        <v>9178.61</v>
      </c>
      <c r="R174" s="10">
        <f>IFERROR(SUMIFS('Base bordo CD'!Q$2:Q$875,'Base bordo CD'!D$2:D$875,A174,'Base bordo CD'!A$2:A$875,B174,'Base bordo CD'!L$2:L$875,"CORTE DE CANA MECANIZADO"),0)</f>
        <v>2563</v>
      </c>
      <c r="S174" s="30">
        <f t="shared" si="16"/>
        <v>3.5811978150604764</v>
      </c>
      <c r="T174" s="9">
        <f t="shared" si="17"/>
        <v>2.9664351851851855E-2</v>
      </c>
      <c r="U174" s="9">
        <f t="shared" si="18"/>
        <v>1.3194444444444444E-2</v>
      </c>
      <c r="V174" s="9">
        <f t="shared" si="19"/>
        <v>0.93920138888888893</v>
      </c>
    </row>
    <row r="175" spans="1:22" hidden="1" x14ac:dyDescent="0.35">
      <c r="A175" s="52">
        <v>49591</v>
      </c>
      <c r="B175" s="31">
        <v>46123</v>
      </c>
      <c r="C175" s="7" t="s">
        <v>364</v>
      </c>
      <c r="D175" s="7">
        <v>352</v>
      </c>
      <c r="E175" s="10">
        <f>IFERROR(SUMIFS('Base bordo CD'!M$2:M$875,'Base bordo CD'!D$2:D$875,A175,'Base bordo CD'!A$2:A$875,B175,'Base bordo CD'!L$2:L$875,"CORTE DE CANA MECANIZADO"),0)</f>
        <v>0.71194444444444449</v>
      </c>
      <c r="F175" s="10">
        <f>IFERROR(SUMIFS('Base bordo CD'!M$2:M$875,'Base bordo CD'!D$2:D$875,A175,'Base bordo CD'!A$2:A$875,B175,'Base bordo CD'!L$2:L$875,"MANOBRA"),0)</f>
        <v>0.31666666666666665</v>
      </c>
      <c r="G175" s="10">
        <f>IFERROR(SUMIFS('Base bordo CD'!M$2:M$875,'Base bordo CD'!D$2:D$875,A175,'Base bordo CD'!A$2:A$875,B175,'Base bordo CD'!L$2:L$875,"DESLOCAMENTO"),0)</f>
        <v>0.74722222222222223</v>
      </c>
      <c r="H175" s="10">
        <f>IFERROR(SUMIFS('Base bordo CD'!M$2:M$875,'Base bordo CD'!D$2:D$875,A175,'Base bordo CD'!A$2:A$875,B175,'Base bordo CD'!L$2:L$875,"AGUARDANDO MANOBRA DE TRANSBORDO"),0)+IFERROR(SUMIFS('Base bordo CD'!M$2:M$875,'Base bordo CD'!D$2:D$875,A175,'Base bordo CD'!A$2:A$875,B175,'Base bordo CD'!L$2:L$875,"FALTA DE TRANSBORDO"),0)</f>
        <v>0</v>
      </c>
      <c r="I175" s="10">
        <f>IFERROR(SUMIFS('Base bordo CD'!M$2:M$875,'Base bordo CD'!D$2:D$875,A175,'Base bordo CD'!A$2:A$875,B175,'Base bordo CD'!L$2:L$875,"PARADA POR CONDICOES CLIMATICAS"),0)+IFERROR(SUMIFS('Base bordo CD'!M$2:M$875,'Base bordo CD'!D$2:D$875,A175,'Base bordo CD'!A$2:A$875,B175,'Base bordo CD'!L$2:L$875,"TEMPO INDETERMINADO"),0)</f>
        <v>18.310555555555556</v>
      </c>
      <c r="J175" s="10">
        <f>IFERROR(SUMIFS('Base bordo CD'!M$2:M$875,'Base bordo CD'!D$2:D$875,A175,'Base bordo CD'!A$2:A$875,B175,'Base bordo CD'!L$2:L$875,"LIMITAÇÃO INDÚSTRIA"),0)</f>
        <v>0</v>
      </c>
      <c r="K175" s="10">
        <f>IFERROR(SUMIFS('Base bordo CD'!M$2:M$875,'Base bordo CD'!D$2:D$875,A175,'Base bordo CD'!A$2:A$875,B175,'Base bordo CD'!L$2:L$875,"MAN CORRETIVA*"),0)+IFERROR(SUMIFS('Base bordo CD'!M$2:M$875,'Base bordo CD'!D$2:D$875,A175,'Base bordo CD'!A$2:A$875,B175,'Base bordo CD'!L$2:L$875,"AGUARDANDO MANUTENCAO*"),0)+IFERROR(SUMIFS('Base bordo CD'!M$2:M$875,'Base bordo CD'!D$2:D$875,A175,'Base bordo CD'!A$2:A$875,B175,'Base bordo CD'!L$2:L$875,"TROCA DE FAQUINHA"),0)+IFERROR(SUMIFS('Base bordo CD'!M$2:M$875,'Base bordo CD'!D$2:D$875,A175,'Base bordo CD'!A$2:A$875,B175,'Base bordo CD'!L$2:L$875,"LIMPEZA*"),0)</f>
        <v>3.841388888888889</v>
      </c>
      <c r="L175" s="10">
        <f>IFERROR(SUMIFS('Base bordo CD'!M$2:M$875,'Base bordo CD'!D$2:D$875,A175,'Base bordo CD'!A$2:A$875,B175,'Base bordo CD'!L$2:L$875,"PATIO - RESERVA"),0)</f>
        <v>0</v>
      </c>
      <c r="M175" s="10">
        <f>IFERROR(SUMIFS('Base bordo CD'!M$2:M$875,'Base bordo CD'!D$2:D$875,A175,'Base bordo CD'!A$2:A$875,B175,'Base bordo CD'!L$2:L$875,"SEM APONTAMENTO"),0)</f>
        <v>7.2222222222222215E-2</v>
      </c>
      <c r="N175" s="10">
        <f>IFERROR(SUMIFS('Base bordo CD'!M$2:M$875,'Base bordo CD'!D$2:D$875,A175,'Base bordo CD'!A$2:A$875,B175,'Base bordo CD'!L$2:L$875,"FALTA DE CAMINHÃO"),0)+IFERROR(SUMIFS('Base bordo CD'!M$2:M$875,'Base bordo CD'!D$2:D$875,A175,'Base bordo CD'!A$2:A$875,B175,'Base bordo CD'!L$2:L$875,"FALTA DE COMBUSTIVEL"),0)+IFERROR(SUMIFS('Base bordo CD'!M$2:M$875,'Base bordo CD'!D$2:D$875,A175,'Base bordo CD'!A$2:A$875,B175,'Base bordo CD'!L$2:L$875,"FALTA DE MOTORIST*"),0)</f>
        <v>0</v>
      </c>
      <c r="O175" s="10">
        <f t="shared" si="15"/>
        <v>-3.5527136788005009E-15</v>
      </c>
      <c r="P175" s="10">
        <f>IFERROR(SUMIFS('Base bordo CD'!M$2:M$875,'Base bordo CD'!D$2:D$875,A175,'Base bordo CD'!A$2:A$875,B175),0)</f>
        <v>24</v>
      </c>
      <c r="Q175" s="10">
        <f>IFERROR(SUMIFS('Base bordo CD'!O$2:O$875,'Base bordo CD'!D$2:D$875,A175,'Base bordo CD'!A$2:A$875,B175,'Base bordo CD'!L$2:L$875,"CORTE DE CANA MECANIZADO"),0)</f>
        <v>9178.61</v>
      </c>
      <c r="R175" s="10">
        <f>IFERROR(SUMIFS('Base bordo CD'!Q$2:Q$875,'Base bordo CD'!D$2:D$875,A175,'Base bordo CD'!A$2:A$875,B175,'Base bordo CD'!L$2:L$875,"CORTE DE CANA MECANIZADO"),0)</f>
        <v>2563</v>
      </c>
      <c r="S175" s="30">
        <f t="shared" si="16"/>
        <v>3.5811978150604764</v>
      </c>
      <c r="T175" s="9">
        <f t="shared" si="17"/>
        <v>2.9664351851851855E-2</v>
      </c>
      <c r="U175" s="9">
        <f t="shared" si="18"/>
        <v>1.3194444444444444E-2</v>
      </c>
      <c r="V175" s="9">
        <f t="shared" si="19"/>
        <v>0.93920138888888893</v>
      </c>
    </row>
    <row r="176" spans="1:22" hidden="1" x14ac:dyDescent="0.35">
      <c r="A176" s="52">
        <v>49591</v>
      </c>
      <c r="B176" s="31">
        <v>46123</v>
      </c>
      <c r="C176" s="7" t="s">
        <v>364</v>
      </c>
      <c r="D176" s="7">
        <v>352</v>
      </c>
      <c r="E176" s="10">
        <f>IFERROR(SUMIFS('Base bordo CD'!M$2:M$875,'Base bordo CD'!D$2:D$875,A176,'Base bordo CD'!A$2:A$875,B176,'Base bordo CD'!L$2:L$875,"CORTE DE CANA MECANIZADO"),0)</f>
        <v>0.71194444444444449</v>
      </c>
      <c r="F176" s="10">
        <f>IFERROR(SUMIFS('Base bordo CD'!M$2:M$875,'Base bordo CD'!D$2:D$875,A176,'Base bordo CD'!A$2:A$875,B176,'Base bordo CD'!L$2:L$875,"MANOBRA"),0)</f>
        <v>0.31666666666666665</v>
      </c>
      <c r="G176" s="10">
        <f>IFERROR(SUMIFS('Base bordo CD'!M$2:M$875,'Base bordo CD'!D$2:D$875,A176,'Base bordo CD'!A$2:A$875,B176,'Base bordo CD'!L$2:L$875,"DESLOCAMENTO"),0)</f>
        <v>0.74722222222222223</v>
      </c>
      <c r="H176" s="10">
        <f>IFERROR(SUMIFS('Base bordo CD'!M$2:M$875,'Base bordo CD'!D$2:D$875,A176,'Base bordo CD'!A$2:A$875,B176,'Base bordo CD'!L$2:L$875,"AGUARDANDO MANOBRA DE TRANSBORDO"),0)+IFERROR(SUMIFS('Base bordo CD'!M$2:M$875,'Base bordo CD'!D$2:D$875,A176,'Base bordo CD'!A$2:A$875,B176,'Base bordo CD'!L$2:L$875,"FALTA DE TRANSBORDO"),0)</f>
        <v>0</v>
      </c>
      <c r="I176" s="10">
        <f>IFERROR(SUMIFS('Base bordo CD'!M$2:M$875,'Base bordo CD'!D$2:D$875,A176,'Base bordo CD'!A$2:A$875,B176,'Base bordo CD'!L$2:L$875,"PARADA POR CONDICOES CLIMATICAS"),0)+IFERROR(SUMIFS('Base bordo CD'!M$2:M$875,'Base bordo CD'!D$2:D$875,A176,'Base bordo CD'!A$2:A$875,B176,'Base bordo CD'!L$2:L$875,"TEMPO INDETERMINADO"),0)</f>
        <v>18.310555555555556</v>
      </c>
      <c r="J176" s="10">
        <f>IFERROR(SUMIFS('Base bordo CD'!M$2:M$875,'Base bordo CD'!D$2:D$875,A176,'Base bordo CD'!A$2:A$875,B176,'Base bordo CD'!L$2:L$875,"LIMITAÇÃO INDÚSTRIA"),0)</f>
        <v>0</v>
      </c>
      <c r="K176" s="10">
        <f>IFERROR(SUMIFS('Base bordo CD'!M$2:M$875,'Base bordo CD'!D$2:D$875,A176,'Base bordo CD'!A$2:A$875,B176,'Base bordo CD'!L$2:L$875,"MAN CORRETIVA*"),0)+IFERROR(SUMIFS('Base bordo CD'!M$2:M$875,'Base bordo CD'!D$2:D$875,A176,'Base bordo CD'!A$2:A$875,B176,'Base bordo CD'!L$2:L$875,"AGUARDANDO MANUTENCAO*"),0)+IFERROR(SUMIFS('Base bordo CD'!M$2:M$875,'Base bordo CD'!D$2:D$875,A176,'Base bordo CD'!A$2:A$875,B176,'Base bordo CD'!L$2:L$875,"TROCA DE FAQUINHA"),0)+IFERROR(SUMIFS('Base bordo CD'!M$2:M$875,'Base bordo CD'!D$2:D$875,A176,'Base bordo CD'!A$2:A$875,B176,'Base bordo CD'!L$2:L$875,"LIMPEZA*"),0)</f>
        <v>3.841388888888889</v>
      </c>
      <c r="L176" s="10">
        <f>IFERROR(SUMIFS('Base bordo CD'!M$2:M$875,'Base bordo CD'!D$2:D$875,A176,'Base bordo CD'!A$2:A$875,B176,'Base bordo CD'!L$2:L$875,"PATIO - RESERVA"),0)</f>
        <v>0</v>
      </c>
      <c r="M176" s="10">
        <f>IFERROR(SUMIFS('Base bordo CD'!M$2:M$875,'Base bordo CD'!D$2:D$875,A176,'Base bordo CD'!A$2:A$875,B176,'Base bordo CD'!L$2:L$875,"SEM APONTAMENTO"),0)</f>
        <v>7.2222222222222215E-2</v>
      </c>
      <c r="N176" s="10">
        <f>IFERROR(SUMIFS('Base bordo CD'!M$2:M$875,'Base bordo CD'!D$2:D$875,A176,'Base bordo CD'!A$2:A$875,B176,'Base bordo CD'!L$2:L$875,"FALTA DE CAMINHÃO"),0)+IFERROR(SUMIFS('Base bordo CD'!M$2:M$875,'Base bordo CD'!D$2:D$875,A176,'Base bordo CD'!A$2:A$875,B176,'Base bordo CD'!L$2:L$875,"FALTA DE COMBUSTIVEL"),0)+IFERROR(SUMIFS('Base bordo CD'!M$2:M$875,'Base bordo CD'!D$2:D$875,A176,'Base bordo CD'!A$2:A$875,B176,'Base bordo CD'!L$2:L$875,"FALTA DE MOTORIST*"),0)</f>
        <v>0</v>
      </c>
      <c r="O176" s="10">
        <f t="shared" si="15"/>
        <v>-3.5527136788005009E-15</v>
      </c>
      <c r="P176" s="10">
        <f>IFERROR(SUMIFS('Base bordo CD'!M$2:M$875,'Base bordo CD'!D$2:D$875,A176,'Base bordo CD'!A$2:A$875,B176),0)</f>
        <v>24</v>
      </c>
      <c r="Q176" s="10">
        <f>IFERROR(SUMIFS('Base bordo CD'!O$2:O$875,'Base bordo CD'!D$2:D$875,A176,'Base bordo CD'!A$2:A$875,B176,'Base bordo CD'!L$2:L$875,"CORTE DE CANA MECANIZADO"),0)</f>
        <v>9178.61</v>
      </c>
      <c r="R176" s="10">
        <f>IFERROR(SUMIFS('Base bordo CD'!Q$2:Q$875,'Base bordo CD'!D$2:D$875,A176,'Base bordo CD'!A$2:A$875,B176,'Base bordo CD'!L$2:L$875,"CORTE DE CANA MECANIZADO"),0)</f>
        <v>2563</v>
      </c>
      <c r="S176" s="30">
        <f t="shared" si="16"/>
        <v>3.5811978150604764</v>
      </c>
      <c r="T176" s="9">
        <f t="shared" si="17"/>
        <v>2.9664351851851855E-2</v>
      </c>
      <c r="U176" s="9">
        <f t="shared" si="18"/>
        <v>1.3194444444444444E-2</v>
      </c>
      <c r="V176" s="9">
        <f t="shared" si="19"/>
        <v>0.93920138888888893</v>
      </c>
    </row>
    <row r="177" spans="1:22" hidden="1" x14ac:dyDescent="0.35">
      <c r="A177" s="52">
        <v>49591</v>
      </c>
      <c r="B177" s="31">
        <v>46123</v>
      </c>
      <c r="C177" s="7" t="s">
        <v>364</v>
      </c>
      <c r="D177" s="7">
        <v>352</v>
      </c>
      <c r="E177" s="10">
        <f>IFERROR(SUMIFS('Base bordo CD'!M$2:M$875,'Base bordo CD'!D$2:D$875,A177,'Base bordo CD'!A$2:A$875,B177,'Base bordo CD'!L$2:L$875,"CORTE DE CANA MECANIZADO"),0)</f>
        <v>0.71194444444444449</v>
      </c>
      <c r="F177" s="10">
        <f>IFERROR(SUMIFS('Base bordo CD'!M$2:M$875,'Base bordo CD'!D$2:D$875,A177,'Base bordo CD'!A$2:A$875,B177,'Base bordo CD'!L$2:L$875,"MANOBRA"),0)</f>
        <v>0.31666666666666665</v>
      </c>
      <c r="G177" s="10">
        <f>IFERROR(SUMIFS('Base bordo CD'!M$2:M$875,'Base bordo CD'!D$2:D$875,A177,'Base bordo CD'!A$2:A$875,B177,'Base bordo CD'!L$2:L$875,"DESLOCAMENTO"),0)</f>
        <v>0.74722222222222223</v>
      </c>
      <c r="H177" s="10">
        <f>IFERROR(SUMIFS('Base bordo CD'!M$2:M$875,'Base bordo CD'!D$2:D$875,A177,'Base bordo CD'!A$2:A$875,B177,'Base bordo CD'!L$2:L$875,"AGUARDANDO MANOBRA DE TRANSBORDO"),0)+IFERROR(SUMIFS('Base bordo CD'!M$2:M$875,'Base bordo CD'!D$2:D$875,A177,'Base bordo CD'!A$2:A$875,B177,'Base bordo CD'!L$2:L$875,"FALTA DE TRANSBORDO"),0)</f>
        <v>0</v>
      </c>
      <c r="I177" s="10">
        <f>IFERROR(SUMIFS('Base bordo CD'!M$2:M$875,'Base bordo CD'!D$2:D$875,A177,'Base bordo CD'!A$2:A$875,B177,'Base bordo CD'!L$2:L$875,"PARADA POR CONDICOES CLIMATICAS"),0)+IFERROR(SUMIFS('Base bordo CD'!M$2:M$875,'Base bordo CD'!D$2:D$875,A177,'Base bordo CD'!A$2:A$875,B177,'Base bordo CD'!L$2:L$875,"TEMPO INDETERMINADO"),0)</f>
        <v>18.310555555555556</v>
      </c>
      <c r="J177" s="10">
        <f>IFERROR(SUMIFS('Base bordo CD'!M$2:M$875,'Base bordo CD'!D$2:D$875,A177,'Base bordo CD'!A$2:A$875,B177,'Base bordo CD'!L$2:L$875,"LIMITAÇÃO INDÚSTRIA"),0)</f>
        <v>0</v>
      </c>
      <c r="K177" s="10">
        <f>IFERROR(SUMIFS('Base bordo CD'!M$2:M$875,'Base bordo CD'!D$2:D$875,A177,'Base bordo CD'!A$2:A$875,B177,'Base bordo CD'!L$2:L$875,"MAN CORRETIVA*"),0)+IFERROR(SUMIFS('Base bordo CD'!M$2:M$875,'Base bordo CD'!D$2:D$875,A177,'Base bordo CD'!A$2:A$875,B177,'Base bordo CD'!L$2:L$875,"AGUARDANDO MANUTENCAO*"),0)+IFERROR(SUMIFS('Base bordo CD'!M$2:M$875,'Base bordo CD'!D$2:D$875,A177,'Base bordo CD'!A$2:A$875,B177,'Base bordo CD'!L$2:L$875,"TROCA DE FAQUINHA"),0)+IFERROR(SUMIFS('Base bordo CD'!M$2:M$875,'Base bordo CD'!D$2:D$875,A177,'Base bordo CD'!A$2:A$875,B177,'Base bordo CD'!L$2:L$875,"LIMPEZA*"),0)</f>
        <v>3.841388888888889</v>
      </c>
      <c r="L177" s="10">
        <f>IFERROR(SUMIFS('Base bordo CD'!M$2:M$875,'Base bordo CD'!D$2:D$875,A177,'Base bordo CD'!A$2:A$875,B177,'Base bordo CD'!L$2:L$875,"PATIO - RESERVA"),0)</f>
        <v>0</v>
      </c>
      <c r="M177" s="10">
        <f>IFERROR(SUMIFS('Base bordo CD'!M$2:M$875,'Base bordo CD'!D$2:D$875,A177,'Base bordo CD'!A$2:A$875,B177,'Base bordo CD'!L$2:L$875,"SEM APONTAMENTO"),0)</f>
        <v>7.2222222222222215E-2</v>
      </c>
      <c r="N177" s="10">
        <f>IFERROR(SUMIFS('Base bordo CD'!M$2:M$875,'Base bordo CD'!D$2:D$875,A177,'Base bordo CD'!A$2:A$875,B177,'Base bordo CD'!L$2:L$875,"FALTA DE CAMINHÃO"),0)+IFERROR(SUMIFS('Base bordo CD'!M$2:M$875,'Base bordo CD'!D$2:D$875,A177,'Base bordo CD'!A$2:A$875,B177,'Base bordo CD'!L$2:L$875,"FALTA DE COMBUSTIVEL"),0)+IFERROR(SUMIFS('Base bordo CD'!M$2:M$875,'Base bordo CD'!D$2:D$875,A177,'Base bordo CD'!A$2:A$875,B177,'Base bordo CD'!L$2:L$875,"FALTA DE MOTORIST*"),0)</f>
        <v>0</v>
      </c>
      <c r="O177" s="10">
        <f t="shared" si="15"/>
        <v>-3.5527136788005009E-15</v>
      </c>
      <c r="P177" s="10">
        <f>IFERROR(SUMIFS('Base bordo CD'!M$2:M$875,'Base bordo CD'!D$2:D$875,A177,'Base bordo CD'!A$2:A$875,B177),0)</f>
        <v>24</v>
      </c>
      <c r="Q177" s="10">
        <f>IFERROR(SUMIFS('Base bordo CD'!O$2:O$875,'Base bordo CD'!D$2:D$875,A177,'Base bordo CD'!A$2:A$875,B177,'Base bordo CD'!L$2:L$875,"CORTE DE CANA MECANIZADO"),0)</f>
        <v>9178.61</v>
      </c>
      <c r="R177" s="10">
        <f>IFERROR(SUMIFS('Base bordo CD'!Q$2:Q$875,'Base bordo CD'!D$2:D$875,A177,'Base bordo CD'!A$2:A$875,B177,'Base bordo CD'!L$2:L$875,"CORTE DE CANA MECANIZADO"),0)</f>
        <v>2563</v>
      </c>
      <c r="S177" s="30">
        <f t="shared" si="16"/>
        <v>3.5811978150604764</v>
      </c>
      <c r="T177" s="9">
        <f t="shared" si="17"/>
        <v>2.9664351851851855E-2</v>
      </c>
      <c r="U177" s="9">
        <f t="shared" si="18"/>
        <v>1.3194444444444444E-2</v>
      </c>
      <c r="V177" s="9">
        <f t="shared" si="19"/>
        <v>0.93920138888888893</v>
      </c>
    </row>
    <row r="178" spans="1:22" hidden="1" x14ac:dyDescent="0.35">
      <c r="A178" s="52">
        <v>49592</v>
      </c>
      <c r="B178" s="31">
        <v>46123</v>
      </c>
      <c r="C178" s="7" t="s">
        <v>364</v>
      </c>
      <c r="D178" s="7">
        <v>352</v>
      </c>
      <c r="E178" s="10">
        <f>IFERROR(SUMIFS('Base bordo CD'!M$2:M$875,'Base bordo CD'!D$2:D$875,A178,'Base bordo CD'!A$2:A$875,B178,'Base bordo CD'!L$2:L$875,"CORTE DE CANA MECANIZADO"),0)</f>
        <v>10.010833333333334</v>
      </c>
      <c r="F178" s="10">
        <f>IFERROR(SUMIFS('Base bordo CD'!M$2:M$875,'Base bordo CD'!D$2:D$875,A178,'Base bordo CD'!A$2:A$875,B178,'Base bordo CD'!L$2:L$875,"MANOBRA"),0)</f>
        <v>2.0575000000000001</v>
      </c>
      <c r="G178" s="10">
        <f>IFERROR(SUMIFS('Base bordo CD'!M$2:M$875,'Base bordo CD'!D$2:D$875,A178,'Base bordo CD'!A$2:A$875,B178,'Base bordo CD'!L$2:L$875,"DESLOCAMENTO"),0)</f>
        <v>0.33583333333333332</v>
      </c>
      <c r="H178" s="10">
        <f>IFERROR(SUMIFS('Base bordo CD'!M$2:M$875,'Base bordo CD'!D$2:D$875,A178,'Base bordo CD'!A$2:A$875,B178,'Base bordo CD'!L$2:L$875,"AGUARDANDO MANOBRA DE TRANSBORDO"),0)+IFERROR(SUMIFS('Base bordo CD'!M$2:M$875,'Base bordo CD'!D$2:D$875,A178,'Base bordo CD'!A$2:A$875,B178,'Base bordo CD'!L$2:L$875,"FALTA DE TRANSBORDO"),0)</f>
        <v>0</v>
      </c>
      <c r="I178" s="10">
        <f>IFERROR(SUMIFS('Base bordo CD'!M$2:M$875,'Base bordo CD'!D$2:D$875,A178,'Base bordo CD'!A$2:A$875,B178,'Base bordo CD'!L$2:L$875,"PARADA POR CONDICOES CLIMATICAS"),0)+IFERROR(SUMIFS('Base bordo CD'!M$2:M$875,'Base bordo CD'!D$2:D$875,A178,'Base bordo CD'!A$2:A$875,B178,'Base bordo CD'!L$2:L$875,"TEMPO INDETERMINADO"),0)</f>
        <v>11.192500000000001</v>
      </c>
      <c r="J178" s="10">
        <f>IFERROR(SUMIFS('Base bordo CD'!M$2:M$875,'Base bordo CD'!D$2:D$875,A178,'Base bordo CD'!A$2:A$875,B178,'Base bordo CD'!L$2:L$875,"LIMITAÇÃO INDÚSTRIA"),0)</f>
        <v>0</v>
      </c>
      <c r="K178" s="10">
        <f>IFERROR(SUMIFS('Base bordo CD'!M$2:M$875,'Base bordo CD'!D$2:D$875,A178,'Base bordo CD'!A$2:A$875,B178,'Base bordo CD'!L$2:L$875,"MAN CORRETIVA*"),0)+IFERROR(SUMIFS('Base bordo CD'!M$2:M$875,'Base bordo CD'!D$2:D$875,A178,'Base bordo CD'!A$2:A$875,B178,'Base bordo CD'!L$2:L$875,"AGUARDANDO MANUTENCAO*"),0)+IFERROR(SUMIFS('Base bordo CD'!M$2:M$875,'Base bordo CD'!D$2:D$875,A178,'Base bordo CD'!A$2:A$875,B178,'Base bordo CD'!L$2:L$875,"TROCA DE FAQUINHA"),0)+IFERROR(SUMIFS('Base bordo CD'!M$2:M$875,'Base bordo CD'!D$2:D$875,A178,'Base bordo CD'!A$2:A$875,B178,'Base bordo CD'!L$2:L$875,"LIMPEZA*"),0)</f>
        <v>0.10194444444444443</v>
      </c>
      <c r="L178" s="10">
        <f>IFERROR(SUMIFS('Base bordo CD'!M$2:M$875,'Base bordo CD'!D$2:D$875,A178,'Base bordo CD'!A$2:A$875,B178,'Base bordo CD'!L$2:L$875,"PATIO - RESERVA"),0)</f>
        <v>0</v>
      </c>
      <c r="M178" s="10">
        <f>IFERROR(SUMIFS('Base bordo CD'!M$2:M$875,'Base bordo CD'!D$2:D$875,A178,'Base bordo CD'!A$2:A$875,B178,'Base bordo CD'!L$2:L$875,"SEM APONTAMENTO"),0)</f>
        <v>2.5555555555555554E-2</v>
      </c>
      <c r="N178" s="10">
        <f>IFERROR(SUMIFS('Base bordo CD'!M$2:M$875,'Base bordo CD'!D$2:D$875,A178,'Base bordo CD'!A$2:A$875,B178,'Base bordo CD'!L$2:L$875,"FALTA DE CAMINHÃO"),0)+IFERROR(SUMIFS('Base bordo CD'!M$2:M$875,'Base bordo CD'!D$2:D$875,A178,'Base bordo CD'!A$2:A$875,B178,'Base bordo CD'!L$2:L$875,"FALTA DE COMBUSTIVEL"),0)+IFERROR(SUMIFS('Base bordo CD'!M$2:M$875,'Base bordo CD'!D$2:D$875,A178,'Base bordo CD'!A$2:A$875,B178,'Base bordo CD'!L$2:L$875,"FALTA DE MOTORIST*"),0)</f>
        <v>0</v>
      </c>
      <c r="O178" s="10">
        <f t="shared" si="15"/>
        <v>0.2758333333333276</v>
      </c>
      <c r="P178" s="10">
        <f>IFERROR(SUMIFS('Base bordo CD'!M$2:M$875,'Base bordo CD'!D$2:D$875,A178,'Base bordo CD'!A$2:A$875,B178),0)</f>
        <v>24</v>
      </c>
      <c r="Q178" s="10">
        <f>IFERROR(SUMIFS('Base bordo CD'!O$2:O$875,'Base bordo CD'!D$2:D$875,A178,'Base bordo CD'!A$2:A$875,B178,'Base bordo CD'!L$2:L$875,"CORTE DE CANA MECANIZADO"),0)</f>
        <v>151795.70000000001</v>
      </c>
      <c r="R178" s="10">
        <f>IFERROR(SUMIFS('Base bordo CD'!Q$2:Q$875,'Base bordo CD'!D$2:D$875,A178,'Base bordo CD'!A$2:A$875,B178,'Base bordo CD'!L$2:L$875,"CORTE DE CANA MECANIZADO"),0)</f>
        <v>36039</v>
      </c>
      <c r="S178" s="30">
        <f t="shared" si="16"/>
        <v>4.211984239296318</v>
      </c>
      <c r="T178" s="9">
        <f t="shared" si="17"/>
        <v>0.41711805555555559</v>
      </c>
      <c r="U178" s="9">
        <f t="shared" si="18"/>
        <v>8.5729166666666676E-2</v>
      </c>
      <c r="V178" s="9">
        <f t="shared" si="19"/>
        <v>0.56888888888888878</v>
      </c>
    </row>
    <row r="179" spans="1:22" hidden="1" x14ac:dyDescent="0.35">
      <c r="A179" s="52">
        <v>49592</v>
      </c>
      <c r="B179" s="31">
        <v>46123</v>
      </c>
      <c r="C179" s="7" t="s">
        <v>364</v>
      </c>
      <c r="D179" s="7">
        <v>352</v>
      </c>
      <c r="E179" s="10">
        <f>IFERROR(SUMIFS('Base bordo CD'!M$2:M$875,'Base bordo CD'!D$2:D$875,A179,'Base bordo CD'!A$2:A$875,B179,'Base bordo CD'!L$2:L$875,"CORTE DE CANA MECANIZADO"),0)</f>
        <v>10.010833333333334</v>
      </c>
      <c r="F179" s="10">
        <f>IFERROR(SUMIFS('Base bordo CD'!M$2:M$875,'Base bordo CD'!D$2:D$875,A179,'Base bordo CD'!A$2:A$875,B179,'Base bordo CD'!L$2:L$875,"MANOBRA"),0)</f>
        <v>2.0575000000000001</v>
      </c>
      <c r="G179" s="10">
        <f>IFERROR(SUMIFS('Base bordo CD'!M$2:M$875,'Base bordo CD'!D$2:D$875,A179,'Base bordo CD'!A$2:A$875,B179,'Base bordo CD'!L$2:L$875,"DESLOCAMENTO"),0)</f>
        <v>0.33583333333333332</v>
      </c>
      <c r="H179" s="10">
        <f>IFERROR(SUMIFS('Base bordo CD'!M$2:M$875,'Base bordo CD'!D$2:D$875,A179,'Base bordo CD'!A$2:A$875,B179,'Base bordo CD'!L$2:L$875,"AGUARDANDO MANOBRA DE TRANSBORDO"),0)+IFERROR(SUMIFS('Base bordo CD'!M$2:M$875,'Base bordo CD'!D$2:D$875,A179,'Base bordo CD'!A$2:A$875,B179,'Base bordo CD'!L$2:L$875,"FALTA DE TRANSBORDO"),0)</f>
        <v>0</v>
      </c>
      <c r="I179" s="10">
        <f>IFERROR(SUMIFS('Base bordo CD'!M$2:M$875,'Base bordo CD'!D$2:D$875,A179,'Base bordo CD'!A$2:A$875,B179,'Base bordo CD'!L$2:L$875,"PARADA POR CONDICOES CLIMATICAS"),0)+IFERROR(SUMIFS('Base bordo CD'!M$2:M$875,'Base bordo CD'!D$2:D$875,A179,'Base bordo CD'!A$2:A$875,B179,'Base bordo CD'!L$2:L$875,"TEMPO INDETERMINADO"),0)</f>
        <v>11.192500000000001</v>
      </c>
      <c r="J179" s="10">
        <f>IFERROR(SUMIFS('Base bordo CD'!M$2:M$875,'Base bordo CD'!D$2:D$875,A179,'Base bordo CD'!A$2:A$875,B179,'Base bordo CD'!L$2:L$875,"LIMITAÇÃO INDÚSTRIA"),0)</f>
        <v>0</v>
      </c>
      <c r="K179" s="10">
        <f>IFERROR(SUMIFS('Base bordo CD'!M$2:M$875,'Base bordo CD'!D$2:D$875,A179,'Base bordo CD'!A$2:A$875,B179,'Base bordo CD'!L$2:L$875,"MAN CORRETIVA*"),0)+IFERROR(SUMIFS('Base bordo CD'!M$2:M$875,'Base bordo CD'!D$2:D$875,A179,'Base bordo CD'!A$2:A$875,B179,'Base bordo CD'!L$2:L$875,"AGUARDANDO MANUTENCAO*"),0)+IFERROR(SUMIFS('Base bordo CD'!M$2:M$875,'Base bordo CD'!D$2:D$875,A179,'Base bordo CD'!A$2:A$875,B179,'Base bordo CD'!L$2:L$875,"TROCA DE FAQUINHA"),0)+IFERROR(SUMIFS('Base bordo CD'!M$2:M$875,'Base bordo CD'!D$2:D$875,A179,'Base bordo CD'!A$2:A$875,B179,'Base bordo CD'!L$2:L$875,"LIMPEZA*"),0)</f>
        <v>0.10194444444444443</v>
      </c>
      <c r="L179" s="10">
        <f>IFERROR(SUMIFS('Base bordo CD'!M$2:M$875,'Base bordo CD'!D$2:D$875,A179,'Base bordo CD'!A$2:A$875,B179,'Base bordo CD'!L$2:L$875,"PATIO - RESERVA"),0)</f>
        <v>0</v>
      </c>
      <c r="M179" s="10">
        <f>IFERROR(SUMIFS('Base bordo CD'!M$2:M$875,'Base bordo CD'!D$2:D$875,A179,'Base bordo CD'!A$2:A$875,B179,'Base bordo CD'!L$2:L$875,"SEM APONTAMENTO"),0)</f>
        <v>2.5555555555555554E-2</v>
      </c>
      <c r="N179" s="10">
        <f>IFERROR(SUMIFS('Base bordo CD'!M$2:M$875,'Base bordo CD'!D$2:D$875,A179,'Base bordo CD'!A$2:A$875,B179,'Base bordo CD'!L$2:L$875,"FALTA DE CAMINHÃO"),0)+IFERROR(SUMIFS('Base bordo CD'!M$2:M$875,'Base bordo CD'!D$2:D$875,A179,'Base bordo CD'!A$2:A$875,B179,'Base bordo CD'!L$2:L$875,"FALTA DE COMBUSTIVEL"),0)+IFERROR(SUMIFS('Base bordo CD'!M$2:M$875,'Base bordo CD'!D$2:D$875,A179,'Base bordo CD'!A$2:A$875,B179,'Base bordo CD'!L$2:L$875,"FALTA DE MOTORIST*"),0)</f>
        <v>0</v>
      </c>
      <c r="O179" s="10">
        <f t="shared" si="15"/>
        <v>0.2758333333333276</v>
      </c>
      <c r="P179" s="10">
        <f>IFERROR(SUMIFS('Base bordo CD'!M$2:M$875,'Base bordo CD'!D$2:D$875,A179,'Base bordo CD'!A$2:A$875,B179),0)</f>
        <v>24</v>
      </c>
      <c r="Q179" s="10">
        <f>IFERROR(SUMIFS('Base bordo CD'!O$2:O$875,'Base bordo CD'!D$2:D$875,A179,'Base bordo CD'!A$2:A$875,B179,'Base bordo CD'!L$2:L$875,"CORTE DE CANA MECANIZADO"),0)</f>
        <v>151795.70000000001</v>
      </c>
      <c r="R179" s="10">
        <f>IFERROR(SUMIFS('Base bordo CD'!Q$2:Q$875,'Base bordo CD'!D$2:D$875,A179,'Base bordo CD'!A$2:A$875,B179,'Base bordo CD'!L$2:L$875,"CORTE DE CANA MECANIZADO"),0)</f>
        <v>36039</v>
      </c>
      <c r="S179" s="30">
        <f t="shared" si="16"/>
        <v>4.211984239296318</v>
      </c>
      <c r="T179" s="9">
        <f t="shared" si="17"/>
        <v>0.41711805555555559</v>
      </c>
      <c r="U179" s="9">
        <f t="shared" si="18"/>
        <v>8.5729166666666676E-2</v>
      </c>
      <c r="V179" s="9">
        <f t="shared" si="19"/>
        <v>0.56888888888888878</v>
      </c>
    </row>
    <row r="180" spans="1:22" hidden="1" x14ac:dyDescent="0.35">
      <c r="A180" s="52">
        <v>49592</v>
      </c>
      <c r="B180" s="31">
        <v>46123</v>
      </c>
      <c r="C180" s="7" t="s">
        <v>364</v>
      </c>
      <c r="D180" s="7">
        <v>352</v>
      </c>
      <c r="E180" s="10">
        <f>IFERROR(SUMIFS('Base bordo CD'!M$2:M$875,'Base bordo CD'!D$2:D$875,A180,'Base bordo CD'!A$2:A$875,B180,'Base bordo CD'!L$2:L$875,"CORTE DE CANA MECANIZADO"),0)</f>
        <v>10.010833333333334</v>
      </c>
      <c r="F180" s="10">
        <f>IFERROR(SUMIFS('Base bordo CD'!M$2:M$875,'Base bordo CD'!D$2:D$875,A180,'Base bordo CD'!A$2:A$875,B180,'Base bordo CD'!L$2:L$875,"MANOBRA"),0)</f>
        <v>2.0575000000000001</v>
      </c>
      <c r="G180" s="10">
        <f>IFERROR(SUMIFS('Base bordo CD'!M$2:M$875,'Base bordo CD'!D$2:D$875,A180,'Base bordo CD'!A$2:A$875,B180,'Base bordo CD'!L$2:L$875,"DESLOCAMENTO"),0)</f>
        <v>0.33583333333333332</v>
      </c>
      <c r="H180" s="10">
        <f>IFERROR(SUMIFS('Base bordo CD'!M$2:M$875,'Base bordo CD'!D$2:D$875,A180,'Base bordo CD'!A$2:A$875,B180,'Base bordo CD'!L$2:L$875,"AGUARDANDO MANOBRA DE TRANSBORDO"),0)+IFERROR(SUMIFS('Base bordo CD'!M$2:M$875,'Base bordo CD'!D$2:D$875,A180,'Base bordo CD'!A$2:A$875,B180,'Base bordo CD'!L$2:L$875,"FALTA DE TRANSBORDO"),0)</f>
        <v>0</v>
      </c>
      <c r="I180" s="10">
        <f>IFERROR(SUMIFS('Base bordo CD'!M$2:M$875,'Base bordo CD'!D$2:D$875,A180,'Base bordo CD'!A$2:A$875,B180,'Base bordo CD'!L$2:L$875,"PARADA POR CONDICOES CLIMATICAS"),0)+IFERROR(SUMIFS('Base bordo CD'!M$2:M$875,'Base bordo CD'!D$2:D$875,A180,'Base bordo CD'!A$2:A$875,B180,'Base bordo CD'!L$2:L$875,"TEMPO INDETERMINADO"),0)</f>
        <v>11.192500000000001</v>
      </c>
      <c r="J180" s="10">
        <f>IFERROR(SUMIFS('Base bordo CD'!M$2:M$875,'Base bordo CD'!D$2:D$875,A180,'Base bordo CD'!A$2:A$875,B180,'Base bordo CD'!L$2:L$875,"LIMITAÇÃO INDÚSTRIA"),0)</f>
        <v>0</v>
      </c>
      <c r="K180" s="10">
        <f>IFERROR(SUMIFS('Base bordo CD'!M$2:M$875,'Base bordo CD'!D$2:D$875,A180,'Base bordo CD'!A$2:A$875,B180,'Base bordo CD'!L$2:L$875,"MAN CORRETIVA*"),0)+IFERROR(SUMIFS('Base bordo CD'!M$2:M$875,'Base bordo CD'!D$2:D$875,A180,'Base bordo CD'!A$2:A$875,B180,'Base bordo CD'!L$2:L$875,"AGUARDANDO MANUTENCAO*"),0)+IFERROR(SUMIFS('Base bordo CD'!M$2:M$875,'Base bordo CD'!D$2:D$875,A180,'Base bordo CD'!A$2:A$875,B180,'Base bordo CD'!L$2:L$875,"TROCA DE FAQUINHA"),0)+IFERROR(SUMIFS('Base bordo CD'!M$2:M$875,'Base bordo CD'!D$2:D$875,A180,'Base bordo CD'!A$2:A$875,B180,'Base bordo CD'!L$2:L$875,"LIMPEZA*"),0)</f>
        <v>0.10194444444444443</v>
      </c>
      <c r="L180" s="10">
        <f>IFERROR(SUMIFS('Base bordo CD'!M$2:M$875,'Base bordo CD'!D$2:D$875,A180,'Base bordo CD'!A$2:A$875,B180,'Base bordo CD'!L$2:L$875,"PATIO - RESERVA"),0)</f>
        <v>0</v>
      </c>
      <c r="M180" s="10">
        <f>IFERROR(SUMIFS('Base bordo CD'!M$2:M$875,'Base bordo CD'!D$2:D$875,A180,'Base bordo CD'!A$2:A$875,B180,'Base bordo CD'!L$2:L$875,"SEM APONTAMENTO"),0)</f>
        <v>2.5555555555555554E-2</v>
      </c>
      <c r="N180" s="10">
        <f>IFERROR(SUMIFS('Base bordo CD'!M$2:M$875,'Base bordo CD'!D$2:D$875,A180,'Base bordo CD'!A$2:A$875,B180,'Base bordo CD'!L$2:L$875,"FALTA DE CAMINHÃO"),0)+IFERROR(SUMIFS('Base bordo CD'!M$2:M$875,'Base bordo CD'!D$2:D$875,A180,'Base bordo CD'!A$2:A$875,B180,'Base bordo CD'!L$2:L$875,"FALTA DE COMBUSTIVEL"),0)+IFERROR(SUMIFS('Base bordo CD'!M$2:M$875,'Base bordo CD'!D$2:D$875,A180,'Base bordo CD'!A$2:A$875,B180,'Base bordo CD'!L$2:L$875,"FALTA DE MOTORIST*"),0)</f>
        <v>0</v>
      </c>
      <c r="O180" s="10">
        <f t="shared" si="15"/>
        <v>0.2758333333333276</v>
      </c>
      <c r="P180" s="10">
        <f>IFERROR(SUMIFS('Base bordo CD'!M$2:M$875,'Base bordo CD'!D$2:D$875,A180,'Base bordo CD'!A$2:A$875,B180),0)</f>
        <v>24</v>
      </c>
      <c r="Q180" s="10">
        <f>IFERROR(SUMIFS('Base bordo CD'!O$2:O$875,'Base bordo CD'!D$2:D$875,A180,'Base bordo CD'!A$2:A$875,B180,'Base bordo CD'!L$2:L$875,"CORTE DE CANA MECANIZADO"),0)</f>
        <v>151795.70000000001</v>
      </c>
      <c r="R180" s="10">
        <f>IFERROR(SUMIFS('Base bordo CD'!Q$2:Q$875,'Base bordo CD'!D$2:D$875,A180,'Base bordo CD'!A$2:A$875,B180,'Base bordo CD'!L$2:L$875,"CORTE DE CANA MECANIZADO"),0)</f>
        <v>36039</v>
      </c>
      <c r="S180" s="30">
        <f t="shared" si="16"/>
        <v>4.211984239296318</v>
      </c>
      <c r="T180" s="9">
        <f t="shared" si="17"/>
        <v>0.41711805555555559</v>
      </c>
      <c r="U180" s="9">
        <f t="shared" si="18"/>
        <v>8.5729166666666676E-2</v>
      </c>
      <c r="V180" s="9">
        <f t="shared" si="19"/>
        <v>0.56888888888888878</v>
      </c>
    </row>
    <row r="181" spans="1:22" hidden="1" x14ac:dyDescent="0.35">
      <c r="A181" s="52">
        <v>49592</v>
      </c>
      <c r="B181" s="31">
        <v>46123</v>
      </c>
      <c r="C181" s="7" t="s">
        <v>364</v>
      </c>
      <c r="D181" s="7">
        <v>352</v>
      </c>
      <c r="E181" s="10">
        <f>IFERROR(SUMIFS('Base bordo CD'!M$2:M$875,'Base bordo CD'!D$2:D$875,A181,'Base bordo CD'!A$2:A$875,B181,'Base bordo CD'!L$2:L$875,"CORTE DE CANA MECANIZADO"),0)</f>
        <v>10.010833333333334</v>
      </c>
      <c r="F181" s="10">
        <f>IFERROR(SUMIFS('Base bordo CD'!M$2:M$875,'Base bordo CD'!D$2:D$875,A181,'Base bordo CD'!A$2:A$875,B181,'Base bordo CD'!L$2:L$875,"MANOBRA"),0)</f>
        <v>2.0575000000000001</v>
      </c>
      <c r="G181" s="10">
        <f>IFERROR(SUMIFS('Base bordo CD'!M$2:M$875,'Base bordo CD'!D$2:D$875,A181,'Base bordo CD'!A$2:A$875,B181,'Base bordo CD'!L$2:L$875,"DESLOCAMENTO"),0)</f>
        <v>0.33583333333333332</v>
      </c>
      <c r="H181" s="10">
        <f>IFERROR(SUMIFS('Base bordo CD'!M$2:M$875,'Base bordo CD'!D$2:D$875,A181,'Base bordo CD'!A$2:A$875,B181,'Base bordo CD'!L$2:L$875,"AGUARDANDO MANOBRA DE TRANSBORDO"),0)+IFERROR(SUMIFS('Base bordo CD'!M$2:M$875,'Base bordo CD'!D$2:D$875,A181,'Base bordo CD'!A$2:A$875,B181,'Base bordo CD'!L$2:L$875,"FALTA DE TRANSBORDO"),0)</f>
        <v>0</v>
      </c>
      <c r="I181" s="10">
        <f>IFERROR(SUMIFS('Base bordo CD'!M$2:M$875,'Base bordo CD'!D$2:D$875,A181,'Base bordo CD'!A$2:A$875,B181,'Base bordo CD'!L$2:L$875,"PARADA POR CONDICOES CLIMATICAS"),0)+IFERROR(SUMIFS('Base bordo CD'!M$2:M$875,'Base bordo CD'!D$2:D$875,A181,'Base bordo CD'!A$2:A$875,B181,'Base bordo CD'!L$2:L$875,"TEMPO INDETERMINADO"),0)</f>
        <v>11.192500000000001</v>
      </c>
      <c r="J181" s="10">
        <f>IFERROR(SUMIFS('Base bordo CD'!M$2:M$875,'Base bordo CD'!D$2:D$875,A181,'Base bordo CD'!A$2:A$875,B181,'Base bordo CD'!L$2:L$875,"LIMITAÇÃO INDÚSTRIA"),0)</f>
        <v>0</v>
      </c>
      <c r="K181" s="10">
        <f>IFERROR(SUMIFS('Base bordo CD'!M$2:M$875,'Base bordo CD'!D$2:D$875,A181,'Base bordo CD'!A$2:A$875,B181,'Base bordo CD'!L$2:L$875,"MAN CORRETIVA*"),0)+IFERROR(SUMIFS('Base bordo CD'!M$2:M$875,'Base bordo CD'!D$2:D$875,A181,'Base bordo CD'!A$2:A$875,B181,'Base bordo CD'!L$2:L$875,"AGUARDANDO MANUTENCAO*"),0)+IFERROR(SUMIFS('Base bordo CD'!M$2:M$875,'Base bordo CD'!D$2:D$875,A181,'Base bordo CD'!A$2:A$875,B181,'Base bordo CD'!L$2:L$875,"TROCA DE FAQUINHA"),0)+IFERROR(SUMIFS('Base bordo CD'!M$2:M$875,'Base bordo CD'!D$2:D$875,A181,'Base bordo CD'!A$2:A$875,B181,'Base bordo CD'!L$2:L$875,"LIMPEZA*"),0)</f>
        <v>0.10194444444444443</v>
      </c>
      <c r="L181" s="10">
        <f>IFERROR(SUMIFS('Base bordo CD'!M$2:M$875,'Base bordo CD'!D$2:D$875,A181,'Base bordo CD'!A$2:A$875,B181,'Base bordo CD'!L$2:L$875,"PATIO - RESERVA"),0)</f>
        <v>0</v>
      </c>
      <c r="M181" s="10">
        <f>IFERROR(SUMIFS('Base bordo CD'!M$2:M$875,'Base bordo CD'!D$2:D$875,A181,'Base bordo CD'!A$2:A$875,B181,'Base bordo CD'!L$2:L$875,"SEM APONTAMENTO"),0)</f>
        <v>2.5555555555555554E-2</v>
      </c>
      <c r="N181" s="10">
        <f>IFERROR(SUMIFS('Base bordo CD'!M$2:M$875,'Base bordo CD'!D$2:D$875,A181,'Base bordo CD'!A$2:A$875,B181,'Base bordo CD'!L$2:L$875,"FALTA DE CAMINHÃO"),0)+IFERROR(SUMIFS('Base bordo CD'!M$2:M$875,'Base bordo CD'!D$2:D$875,A181,'Base bordo CD'!A$2:A$875,B181,'Base bordo CD'!L$2:L$875,"FALTA DE COMBUSTIVEL"),0)+IFERROR(SUMIFS('Base bordo CD'!M$2:M$875,'Base bordo CD'!D$2:D$875,A181,'Base bordo CD'!A$2:A$875,B181,'Base bordo CD'!L$2:L$875,"FALTA DE MOTORIST*"),0)</f>
        <v>0</v>
      </c>
      <c r="O181" s="10">
        <f t="shared" si="15"/>
        <v>0.2758333333333276</v>
      </c>
      <c r="P181" s="10">
        <f>IFERROR(SUMIFS('Base bordo CD'!M$2:M$875,'Base bordo CD'!D$2:D$875,A181,'Base bordo CD'!A$2:A$875,B181),0)</f>
        <v>24</v>
      </c>
      <c r="Q181" s="10">
        <f>IFERROR(SUMIFS('Base bordo CD'!O$2:O$875,'Base bordo CD'!D$2:D$875,A181,'Base bordo CD'!A$2:A$875,B181,'Base bordo CD'!L$2:L$875,"CORTE DE CANA MECANIZADO"),0)</f>
        <v>151795.70000000001</v>
      </c>
      <c r="R181" s="10">
        <f>IFERROR(SUMIFS('Base bordo CD'!Q$2:Q$875,'Base bordo CD'!D$2:D$875,A181,'Base bordo CD'!A$2:A$875,B181,'Base bordo CD'!L$2:L$875,"CORTE DE CANA MECANIZADO"),0)</f>
        <v>36039</v>
      </c>
      <c r="S181" s="30">
        <f t="shared" si="16"/>
        <v>4.211984239296318</v>
      </c>
      <c r="T181" s="9">
        <f t="shared" si="17"/>
        <v>0.41711805555555559</v>
      </c>
      <c r="U181" s="9">
        <f t="shared" si="18"/>
        <v>8.5729166666666676E-2</v>
      </c>
      <c r="V181" s="9">
        <f t="shared" si="19"/>
        <v>0.56888888888888878</v>
      </c>
    </row>
    <row r="182" spans="1:22" hidden="1" x14ac:dyDescent="0.35">
      <c r="A182" s="52">
        <v>49592</v>
      </c>
      <c r="B182" s="31">
        <v>46123</v>
      </c>
      <c r="C182" s="7" t="s">
        <v>364</v>
      </c>
      <c r="D182" s="7">
        <v>352</v>
      </c>
      <c r="E182" s="10">
        <f>IFERROR(SUMIFS('Base bordo CD'!M$2:M$875,'Base bordo CD'!D$2:D$875,A182,'Base bordo CD'!A$2:A$875,B182,'Base bordo CD'!L$2:L$875,"CORTE DE CANA MECANIZADO"),0)</f>
        <v>10.010833333333334</v>
      </c>
      <c r="F182" s="10">
        <f>IFERROR(SUMIFS('Base bordo CD'!M$2:M$875,'Base bordo CD'!D$2:D$875,A182,'Base bordo CD'!A$2:A$875,B182,'Base bordo CD'!L$2:L$875,"MANOBRA"),0)</f>
        <v>2.0575000000000001</v>
      </c>
      <c r="G182" s="10">
        <f>IFERROR(SUMIFS('Base bordo CD'!M$2:M$875,'Base bordo CD'!D$2:D$875,A182,'Base bordo CD'!A$2:A$875,B182,'Base bordo CD'!L$2:L$875,"DESLOCAMENTO"),0)</f>
        <v>0.33583333333333332</v>
      </c>
      <c r="H182" s="10">
        <f>IFERROR(SUMIFS('Base bordo CD'!M$2:M$875,'Base bordo CD'!D$2:D$875,A182,'Base bordo CD'!A$2:A$875,B182,'Base bordo CD'!L$2:L$875,"AGUARDANDO MANOBRA DE TRANSBORDO"),0)+IFERROR(SUMIFS('Base bordo CD'!M$2:M$875,'Base bordo CD'!D$2:D$875,A182,'Base bordo CD'!A$2:A$875,B182,'Base bordo CD'!L$2:L$875,"FALTA DE TRANSBORDO"),0)</f>
        <v>0</v>
      </c>
      <c r="I182" s="10">
        <f>IFERROR(SUMIFS('Base bordo CD'!M$2:M$875,'Base bordo CD'!D$2:D$875,A182,'Base bordo CD'!A$2:A$875,B182,'Base bordo CD'!L$2:L$875,"PARADA POR CONDICOES CLIMATICAS"),0)+IFERROR(SUMIFS('Base bordo CD'!M$2:M$875,'Base bordo CD'!D$2:D$875,A182,'Base bordo CD'!A$2:A$875,B182,'Base bordo CD'!L$2:L$875,"TEMPO INDETERMINADO"),0)</f>
        <v>11.192500000000001</v>
      </c>
      <c r="J182" s="10">
        <f>IFERROR(SUMIFS('Base bordo CD'!M$2:M$875,'Base bordo CD'!D$2:D$875,A182,'Base bordo CD'!A$2:A$875,B182,'Base bordo CD'!L$2:L$875,"LIMITAÇÃO INDÚSTRIA"),0)</f>
        <v>0</v>
      </c>
      <c r="K182" s="10">
        <f>IFERROR(SUMIFS('Base bordo CD'!M$2:M$875,'Base bordo CD'!D$2:D$875,A182,'Base bordo CD'!A$2:A$875,B182,'Base bordo CD'!L$2:L$875,"MAN CORRETIVA*"),0)+IFERROR(SUMIFS('Base bordo CD'!M$2:M$875,'Base bordo CD'!D$2:D$875,A182,'Base bordo CD'!A$2:A$875,B182,'Base bordo CD'!L$2:L$875,"AGUARDANDO MANUTENCAO*"),0)+IFERROR(SUMIFS('Base bordo CD'!M$2:M$875,'Base bordo CD'!D$2:D$875,A182,'Base bordo CD'!A$2:A$875,B182,'Base bordo CD'!L$2:L$875,"TROCA DE FAQUINHA"),0)+IFERROR(SUMIFS('Base bordo CD'!M$2:M$875,'Base bordo CD'!D$2:D$875,A182,'Base bordo CD'!A$2:A$875,B182,'Base bordo CD'!L$2:L$875,"LIMPEZA*"),0)</f>
        <v>0.10194444444444443</v>
      </c>
      <c r="L182" s="10">
        <f>IFERROR(SUMIFS('Base bordo CD'!M$2:M$875,'Base bordo CD'!D$2:D$875,A182,'Base bordo CD'!A$2:A$875,B182,'Base bordo CD'!L$2:L$875,"PATIO - RESERVA"),0)</f>
        <v>0</v>
      </c>
      <c r="M182" s="10">
        <f>IFERROR(SUMIFS('Base bordo CD'!M$2:M$875,'Base bordo CD'!D$2:D$875,A182,'Base bordo CD'!A$2:A$875,B182,'Base bordo CD'!L$2:L$875,"SEM APONTAMENTO"),0)</f>
        <v>2.5555555555555554E-2</v>
      </c>
      <c r="N182" s="10">
        <f>IFERROR(SUMIFS('Base bordo CD'!M$2:M$875,'Base bordo CD'!D$2:D$875,A182,'Base bordo CD'!A$2:A$875,B182,'Base bordo CD'!L$2:L$875,"FALTA DE CAMINHÃO"),0)+IFERROR(SUMIFS('Base bordo CD'!M$2:M$875,'Base bordo CD'!D$2:D$875,A182,'Base bordo CD'!A$2:A$875,B182,'Base bordo CD'!L$2:L$875,"FALTA DE COMBUSTIVEL"),0)+IFERROR(SUMIFS('Base bordo CD'!M$2:M$875,'Base bordo CD'!D$2:D$875,A182,'Base bordo CD'!A$2:A$875,B182,'Base bordo CD'!L$2:L$875,"FALTA DE MOTORIST*"),0)</f>
        <v>0</v>
      </c>
      <c r="O182" s="10">
        <f t="shared" si="15"/>
        <v>0.2758333333333276</v>
      </c>
      <c r="P182" s="10">
        <f>IFERROR(SUMIFS('Base bordo CD'!M$2:M$875,'Base bordo CD'!D$2:D$875,A182,'Base bordo CD'!A$2:A$875,B182),0)</f>
        <v>24</v>
      </c>
      <c r="Q182" s="10">
        <f>IFERROR(SUMIFS('Base bordo CD'!O$2:O$875,'Base bordo CD'!D$2:D$875,A182,'Base bordo CD'!A$2:A$875,B182,'Base bordo CD'!L$2:L$875,"CORTE DE CANA MECANIZADO"),0)</f>
        <v>151795.70000000001</v>
      </c>
      <c r="R182" s="10">
        <f>IFERROR(SUMIFS('Base bordo CD'!Q$2:Q$875,'Base bordo CD'!D$2:D$875,A182,'Base bordo CD'!A$2:A$875,B182,'Base bordo CD'!L$2:L$875,"CORTE DE CANA MECANIZADO"),0)</f>
        <v>36039</v>
      </c>
      <c r="S182" s="30">
        <f t="shared" si="16"/>
        <v>4.211984239296318</v>
      </c>
      <c r="T182" s="9">
        <f t="shared" si="17"/>
        <v>0.41711805555555559</v>
      </c>
      <c r="U182" s="9">
        <f t="shared" si="18"/>
        <v>8.5729166666666676E-2</v>
      </c>
      <c r="V182" s="9">
        <f t="shared" si="19"/>
        <v>0.56888888888888878</v>
      </c>
    </row>
    <row r="183" spans="1:22" hidden="1" x14ac:dyDescent="0.35">
      <c r="A183" s="52">
        <v>49592</v>
      </c>
      <c r="B183" s="31">
        <v>46123</v>
      </c>
      <c r="C183" s="7" t="s">
        <v>364</v>
      </c>
      <c r="D183" s="7">
        <v>352</v>
      </c>
      <c r="E183" s="10">
        <f>IFERROR(SUMIFS('Base bordo CD'!M$2:M$875,'Base bordo CD'!D$2:D$875,A183,'Base bordo CD'!A$2:A$875,B183,'Base bordo CD'!L$2:L$875,"CORTE DE CANA MECANIZADO"),0)</f>
        <v>10.010833333333334</v>
      </c>
      <c r="F183" s="10">
        <f>IFERROR(SUMIFS('Base bordo CD'!M$2:M$875,'Base bordo CD'!D$2:D$875,A183,'Base bordo CD'!A$2:A$875,B183,'Base bordo CD'!L$2:L$875,"MANOBRA"),0)</f>
        <v>2.0575000000000001</v>
      </c>
      <c r="G183" s="10">
        <f>IFERROR(SUMIFS('Base bordo CD'!M$2:M$875,'Base bordo CD'!D$2:D$875,A183,'Base bordo CD'!A$2:A$875,B183,'Base bordo CD'!L$2:L$875,"DESLOCAMENTO"),0)</f>
        <v>0.33583333333333332</v>
      </c>
      <c r="H183" s="10">
        <f>IFERROR(SUMIFS('Base bordo CD'!M$2:M$875,'Base bordo CD'!D$2:D$875,A183,'Base bordo CD'!A$2:A$875,B183,'Base bordo CD'!L$2:L$875,"AGUARDANDO MANOBRA DE TRANSBORDO"),0)+IFERROR(SUMIFS('Base bordo CD'!M$2:M$875,'Base bordo CD'!D$2:D$875,A183,'Base bordo CD'!A$2:A$875,B183,'Base bordo CD'!L$2:L$875,"FALTA DE TRANSBORDO"),0)</f>
        <v>0</v>
      </c>
      <c r="I183" s="10">
        <f>IFERROR(SUMIFS('Base bordo CD'!M$2:M$875,'Base bordo CD'!D$2:D$875,A183,'Base bordo CD'!A$2:A$875,B183,'Base bordo CD'!L$2:L$875,"PARADA POR CONDICOES CLIMATICAS"),0)+IFERROR(SUMIFS('Base bordo CD'!M$2:M$875,'Base bordo CD'!D$2:D$875,A183,'Base bordo CD'!A$2:A$875,B183,'Base bordo CD'!L$2:L$875,"TEMPO INDETERMINADO"),0)</f>
        <v>11.192500000000001</v>
      </c>
      <c r="J183" s="10">
        <f>IFERROR(SUMIFS('Base bordo CD'!M$2:M$875,'Base bordo CD'!D$2:D$875,A183,'Base bordo CD'!A$2:A$875,B183,'Base bordo CD'!L$2:L$875,"LIMITAÇÃO INDÚSTRIA"),0)</f>
        <v>0</v>
      </c>
      <c r="K183" s="10">
        <f>IFERROR(SUMIFS('Base bordo CD'!M$2:M$875,'Base bordo CD'!D$2:D$875,A183,'Base bordo CD'!A$2:A$875,B183,'Base bordo CD'!L$2:L$875,"MAN CORRETIVA*"),0)+IFERROR(SUMIFS('Base bordo CD'!M$2:M$875,'Base bordo CD'!D$2:D$875,A183,'Base bordo CD'!A$2:A$875,B183,'Base bordo CD'!L$2:L$875,"AGUARDANDO MANUTENCAO*"),0)+IFERROR(SUMIFS('Base bordo CD'!M$2:M$875,'Base bordo CD'!D$2:D$875,A183,'Base bordo CD'!A$2:A$875,B183,'Base bordo CD'!L$2:L$875,"TROCA DE FAQUINHA"),0)+IFERROR(SUMIFS('Base bordo CD'!M$2:M$875,'Base bordo CD'!D$2:D$875,A183,'Base bordo CD'!A$2:A$875,B183,'Base bordo CD'!L$2:L$875,"LIMPEZA*"),0)</f>
        <v>0.10194444444444443</v>
      </c>
      <c r="L183" s="10">
        <f>IFERROR(SUMIFS('Base bordo CD'!M$2:M$875,'Base bordo CD'!D$2:D$875,A183,'Base bordo CD'!A$2:A$875,B183,'Base bordo CD'!L$2:L$875,"PATIO - RESERVA"),0)</f>
        <v>0</v>
      </c>
      <c r="M183" s="10">
        <f>IFERROR(SUMIFS('Base bordo CD'!M$2:M$875,'Base bordo CD'!D$2:D$875,A183,'Base bordo CD'!A$2:A$875,B183,'Base bordo CD'!L$2:L$875,"SEM APONTAMENTO"),0)</f>
        <v>2.5555555555555554E-2</v>
      </c>
      <c r="N183" s="10">
        <f>IFERROR(SUMIFS('Base bordo CD'!M$2:M$875,'Base bordo CD'!D$2:D$875,A183,'Base bordo CD'!A$2:A$875,B183,'Base bordo CD'!L$2:L$875,"FALTA DE CAMINHÃO"),0)+IFERROR(SUMIFS('Base bordo CD'!M$2:M$875,'Base bordo CD'!D$2:D$875,A183,'Base bordo CD'!A$2:A$875,B183,'Base bordo CD'!L$2:L$875,"FALTA DE COMBUSTIVEL"),0)+IFERROR(SUMIFS('Base bordo CD'!M$2:M$875,'Base bordo CD'!D$2:D$875,A183,'Base bordo CD'!A$2:A$875,B183,'Base bordo CD'!L$2:L$875,"FALTA DE MOTORIST*"),0)</f>
        <v>0</v>
      </c>
      <c r="O183" s="10">
        <f t="shared" si="15"/>
        <v>0.2758333333333276</v>
      </c>
      <c r="P183" s="10">
        <f>IFERROR(SUMIFS('Base bordo CD'!M$2:M$875,'Base bordo CD'!D$2:D$875,A183,'Base bordo CD'!A$2:A$875,B183),0)</f>
        <v>24</v>
      </c>
      <c r="Q183" s="10">
        <f>IFERROR(SUMIFS('Base bordo CD'!O$2:O$875,'Base bordo CD'!D$2:D$875,A183,'Base bordo CD'!A$2:A$875,B183,'Base bordo CD'!L$2:L$875,"CORTE DE CANA MECANIZADO"),0)</f>
        <v>151795.70000000001</v>
      </c>
      <c r="R183" s="10">
        <f>IFERROR(SUMIFS('Base bordo CD'!Q$2:Q$875,'Base bordo CD'!D$2:D$875,A183,'Base bordo CD'!A$2:A$875,B183,'Base bordo CD'!L$2:L$875,"CORTE DE CANA MECANIZADO"),0)</f>
        <v>36039</v>
      </c>
      <c r="S183" s="30">
        <f t="shared" si="16"/>
        <v>4.211984239296318</v>
      </c>
      <c r="T183" s="9">
        <f t="shared" si="17"/>
        <v>0.41711805555555559</v>
      </c>
      <c r="U183" s="9">
        <f t="shared" si="18"/>
        <v>8.5729166666666676E-2</v>
      </c>
      <c r="V183" s="9">
        <f t="shared" si="19"/>
        <v>0.56888888888888878</v>
      </c>
    </row>
    <row r="184" spans="1:22" hidden="1" x14ac:dyDescent="0.35">
      <c r="A184" s="52">
        <v>49592</v>
      </c>
      <c r="B184" s="31">
        <v>46123</v>
      </c>
      <c r="C184" s="7" t="s">
        <v>364</v>
      </c>
      <c r="D184" s="7">
        <v>352</v>
      </c>
      <c r="E184" s="10">
        <f>IFERROR(SUMIFS('Base bordo CD'!M$2:M$875,'Base bordo CD'!D$2:D$875,A184,'Base bordo CD'!A$2:A$875,B184,'Base bordo CD'!L$2:L$875,"CORTE DE CANA MECANIZADO"),0)</f>
        <v>10.010833333333334</v>
      </c>
      <c r="F184" s="10">
        <f>IFERROR(SUMIFS('Base bordo CD'!M$2:M$875,'Base bordo CD'!D$2:D$875,A184,'Base bordo CD'!A$2:A$875,B184,'Base bordo CD'!L$2:L$875,"MANOBRA"),0)</f>
        <v>2.0575000000000001</v>
      </c>
      <c r="G184" s="10">
        <f>IFERROR(SUMIFS('Base bordo CD'!M$2:M$875,'Base bordo CD'!D$2:D$875,A184,'Base bordo CD'!A$2:A$875,B184,'Base bordo CD'!L$2:L$875,"DESLOCAMENTO"),0)</f>
        <v>0.33583333333333332</v>
      </c>
      <c r="H184" s="10">
        <f>IFERROR(SUMIFS('Base bordo CD'!M$2:M$875,'Base bordo CD'!D$2:D$875,A184,'Base bordo CD'!A$2:A$875,B184,'Base bordo CD'!L$2:L$875,"AGUARDANDO MANOBRA DE TRANSBORDO"),0)+IFERROR(SUMIFS('Base bordo CD'!M$2:M$875,'Base bordo CD'!D$2:D$875,A184,'Base bordo CD'!A$2:A$875,B184,'Base bordo CD'!L$2:L$875,"FALTA DE TRANSBORDO"),0)</f>
        <v>0</v>
      </c>
      <c r="I184" s="10">
        <f>IFERROR(SUMIFS('Base bordo CD'!M$2:M$875,'Base bordo CD'!D$2:D$875,A184,'Base bordo CD'!A$2:A$875,B184,'Base bordo CD'!L$2:L$875,"PARADA POR CONDICOES CLIMATICAS"),0)+IFERROR(SUMIFS('Base bordo CD'!M$2:M$875,'Base bordo CD'!D$2:D$875,A184,'Base bordo CD'!A$2:A$875,B184,'Base bordo CD'!L$2:L$875,"TEMPO INDETERMINADO"),0)</f>
        <v>11.192500000000001</v>
      </c>
      <c r="J184" s="10">
        <f>IFERROR(SUMIFS('Base bordo CD'!M$2:M$875,'Base bordo CD'!D$2:D$875,A184,'Base bordo CD'!A$2:A$875,B184,'Base bordo CD'!L$2:L$875,"LIMITAÇÃO INDÚSTRIA"),0)</f>
        <v>0</v>
      </c>
      <c r="K184" s="10">
        <f>IFERROR(SUMIFS('Base bordo CD'!M$2:M$875,'Base bordo CD'!D$2:D$875,A184,'Base bordo CD'!A$2:A$875,B184,'Base bordo CD'!L$2:L$875,"MAN CORRETIVA*"),0)+IFERROR(SUMIFS('Base bordo CD'!M$2:M$875,'Base bordo CD'!D$2:D$875,A184,'Base bordo CD'!A$2:A$875,B184,'Base bordo CD'!L$2:L$875,"AGUARDANDO MANUTENCAO*"),0)+IFERROR(SUMIFS('Base bordo CD'!M$2:M$875,'Base bordo CD'!D$2:D$875,A184,'Base bordo CD'!A$2:A$875,B184,'Base bordo CD'!L$2:L$875,"TROCA DE FAQUINHA"),0)+IFERROR(SUMIFS('Base bordo CD'!M$2:M$875,'Base bordo CD'!D$2:D$875,A184,'Base bordo CD'!A$2:A$875,B184,'Base bordo CD'!L$2:L$875,"LIMPEZA*"),0)</f>
        <v>0.10194444444444443</v>
      </c>
      <c r="L184" s="10">
        <f>IFERROR(SUMIFS('Base bordo CD'!M$2:M$875,'Base bordo CD'!D$2:D$875,A184,'Base bordo CD'!A$2:A$875,B184,'Base bordo CD'!L$2:L$875,"PATIO - RESERVA"),0)</f>
        <v>0</v>
      </c>
      <c r="M184" s="10">
        <f>IFERROR(SUMIFS('Base bordo CD'!M$2:M$875,'Base bordo CD'!D$2:D$875,A184,'Base bordo CD'!A$2:A$875,B184,'Base bordo CD'!L$2:L$875,"SEM APONTAMENTO"),0)</f>
        <v>2.5555555555555554E-2</v>
      </c>
      <c r="N184" s="10">
        <f>IFERROR(SUMIFS('Base bordo CD'!M$2:M$875,'Base bordo CD'!D$2:D$875,A184,'Base bordo CD'!A$2:A$875,B184,'Base bordo CD'!L$2:L$875,"FALTA DE CAMINHÃO"),0)+IFERROR(SUMIFS('Base bordo CD'!M$2:M$875,'Base bordo CD'!D$2:D$875,A184,'Base bordo CD'!A$2:A$875,B184,'Base bordo CD'!L$2:L$875,"FALTA DE COMBUSTIVEL"),0)+IFERROR(SUMIFS('Base bordo CD'!M$2:M$875,'Base bordo CD'!D$2:D$875,A184,'Base bordo CD'!A$2:A$875,B184,'Base bordo CD'!L$2:L$875,"FALTA DE MOTORIST*"),0)</f>
        <v>0</v>
      </c>
      <c r="O184" s="10">
        <f t="shared" si="15"/>
        <v>0.2758333333333276</v>
      </c>
      <c r="P184" s="10">
        <f>IFERROR(SUMIFS('Base bordo CD'!M$2:M$875,'Base bordo CD'!D$2:D$875,A184,'Base bordo CD'!A$2:A$875,B184),0)</f>
        <v>24</v>
      </c>
      <c r="Q184" s="10">
        <f>IFERROR(SUMIFS('Base bordo CD'!O$2:O$875,'Base bordo CD'!D$2:D$875,A184,'Base bordo CD'!A$2:A$875,B184,'Base bordo CD'!L$2:L$875,"CORTE DE CANA MECANIZADO"),0)</f>
        <v>151795.70000000001</v>
      </c>
      <c r="R184" s="10">
        <f>IFERROR(SUMIFS('Base bordo CD'!Q$2:Q$875,'Base bordo CD'!D$2:D$875,A184,'Base bordo CD'!A$2:A$875,B184,'Base bordo CD'!L$2:L$875,"CORTE DE CANA MECANIZADO"),0)</f>
        <v>36039</v>
      </c>
      <c r="S184" s="30">
        <f t="shared" si="16"/>
        <v>4.211984239296318</v>
      </c>
      <c r="T184" s="9">
        <f t="shared" si="17"/>
        <v>0.41711805555555559</v>
      </c>
      <c r="U184" s="9">
        <f t="shared" si="18"/>
        <v>8.5729166666666676E-2</v>
      </c>
      <c r="V184" s="9">
        <f t="shared" si="19"/>
        <v>0.56888888888888878</v>
      </c>
    </row>
    <row r="185" spans="1:22" hidden="1" x14ac:dyDescent="0.35">
      <c r="A185" s="52">
        <v>49592</v>
      </c>
      <c r="B185" s="31">
        <v>46123</v>
      </c>
      <c r="C185" s="7" t="s">
        <v>364</v>
      </c>
      <c r="D185" s="7">
        <v>352</v>
      </c>
      <c r="E185" s="10">
        <f>IFERROR(SUMIFS('Base bordo CD'!M$2:M$875,'Base bordo CD'!D$2:D$875,A185,'Base bordo CD'!A$2:A$875,B185,'Base bordo CD'!L$2:L$875,"CORTE DE CANA MECANIZADO"),0)</f>
        <v>10.010833333333334</v>
      </c>
      <c r="F185" s="10">
        <f>IFERROR(SUMIFS('Base bordo CD'!M$2:M$875,'Base bordo CD'!D$2:D$875,A185,'Base bordo CD'!A$2:A$875,B185,'Base bordo CD'!L$2:L$875,"MANOBRA"),0)</f>
        <v>2.0575000000000001</v>
      </c>
      <c r="G185" s="10">
        <f>IFERROR(SUMIFS('Base bordo CD'!M$2:M$875,'Base bordo CD'!D$2:D$875,A185,'Base bordo CD'!A$2:A$875,B185,'Base bordo CD'!L$2:L$875,"DESLOCAMENTO"),0)</f>
        <v>0.33583333333333332</v>
      </c>
      <c r="H185" s="10">
        <f>IFERROR(SUMIFS('Base bordo CD'!M$2:M$875,'Base bordo CD'!D$2:D$875,A185,'Base bordo CD'!A$2:A$875,B185,'Base bordo CD'!L$2:L$875,"AGUARDANDO MANOBRA DE TRANSBORDO"),0)+IFERROR(SUMIFS('Base bordo CD'!M$2:M$875,'Base bordo CD'!D$2:D$875,A185,'Base bordo CD'!A$2:A$875,B185,'Base bordo CD'!L$2:L$875,"FALTA DE TRANSBORDO"),0)</f>
        <v>0</v>
      </c>
      <c r="I185" s="10">
        <f>IFERROR(SUMIFS('Base bordo CD'!M$2:M$875,'Base bordo CD'!D$2:D$875,A185,'Base bordo CD'!A$2:A$875,B185,'Base bordo CD'!L$2:L$875,"PARADA POR CONDICOES CLIMATICAS"),0)+IFERROR(SUMIFS('Base bordo CD'!M$2:M$875,'Base bordo CD'!D$2:D$875,A185,'Base bordo CD'!A$2:A$875,B185,'Base bordo CD'!L$2:L$875,"TEMPO INDETERMINADO"),0)</f>
        <v>11.192500000000001</v>
      </c>
      <c r="J185" s="10">
        <f>IFERROR(SUMIFS('Base bordo CD'!M$2:M$875,'Base bordo CD'!D$2:D$875,A185,'Base bordo CD'!A$2:A$875,B185,'Base bordo CD'!L$2:L$875,"LIMITAÇÃO INDÚSTRIA"),0)</f>
        <v>0</v>
      </c>
      <c r="K185" s="10">
        <f>IFERROR(SUMIFS('Base bordo CD'!M$2:M$875,'Base bordo CD'!D$2:D$875,A185,'Base bordo CD'!A$2:A$875,B185,'Base bordo CD'!L$2:L$875,"MAN CORRETIVA*"),0)+IFERROR(SUMIFS('Base bordo CD'!M$2:M$875,'Base bordo CD'!D$2:D$875,A185,'Base bordo CD'!A$2:A$875,B185,'Base bordo CD'!L$2:L$875,"AGUARDANDO MANUTENCAO*"),0)+IFERROR(SUMIFS('Base bordo CD'!M$2:M$875,'Base bordo CD'!D$2:D$875,A185,'Base bordo CD'!A$2:A$875,B185,'Base bordo CD'!L$2:L$875,"TROCA DE FAQUINHA"),0)+IFERROR(SUMIFS('Base bordo CD'!M$2:M$875,'Base bordo CD'!D$2:D$875,A185,'Base bordo CD'!A$2:A$875,B185,'Base bordo CD'!L$2:L$875,"LIMPEZA*"),0)</f>
        <v>0.10194444444444443</v>
      </c>
      <c r="L185" s="10">
        <f>IFERROR(SUMIFS('Base bordo CD'!M$2:M$875,'Base bordo CD'!D$2:D$875,A185,'Base bordo CD'!A$2:A$875,B185,'Base bordo CD'!L$2:L$875,"PATIO - RESERVA"),0)</f>
        <v>0</v>
      </c>
      <c r="M185" s="10">
        <f>IFERROR(SUMIFS('Base bordo CD'!M$2:M$875,'Base bordo CD'!D$2:D$875,A185,'Base bordo CD'!A$2:A$875,B185,'Base bordo CD'!L$2:L$875,"SEM APONTAMENTO"),0)</f>
        <v>2.5555555555555554E-2</v>
      </c>
      <c r="N185" s="10">
        <f>IFERROR(SUMIFS('Base bordo CD'!M$2:M$875,'Base bordo CD'!D$2:D$875,A185,'Base bordo CD'!A$2:A$875,B185,'Base bordo CD'!L$2:L$875,"FALTA DE CAMINHÃO"),0)+IFERROR(SUMIFS('Base bordo CD'!M$2:M$875,'Base bordo CD'!D$2:D$875,A185,'Base bordo CD'!A$2:A$875,B185,'Base bordo CD'!L$2:L$875,"FALTA DE COMBUSTIVEL"),0)+IFERROR(SUMIFS('Base bordo CD'!M$2:M$875,'Base bordo CD'!D$2:D$875,A185,'Base bordo CD'!A$2:A$875,B185,'Base bordo CD'!L$2:L$875,"FALTA DE MOTORIST*"),0)</f>
        <v>0</v>
      </c>
      <c r="O185" s="10">
        <f t="shared" si="15"/>
        <v>0.2758333333333276</v>
      </c>
      <c r="P185" s="10">
        <f>IFERROR(SUMIFS('Base bordo CD'!M$2:M$875,'Base bordo CD'!D$2:D$875,A185,'Base bordo CD'!A$2:A$875,B185),0)</f>
        <v>24</v>
      </c>
      <c r="Q185" s="10">
        <f>IFERROR(SUMIFS('Base bordo CD'!O$2:O$875,'Base bordo CD'!D$2:D$875,A185,'Base bordo CD'!A$2:A$875,B185,'Base bordo CD'!L$2:L$875,"CORTE DE CANA MECANIZADO"),0)</f>
        <v>151795.70000000001</v>
      </c>
      <c r="R185" s="10">
        <f>IFERROR(SUMIFS('Base bordo CD'!Q$2:Q$875,'Base bordo CD'!D$2:D$875,A185,'Base bordo CD'!A$2:A$875,B185,'Base bordo CD'!L$2:L$875,"CORTE DE CANA MECANIZADO"),0)</f>
        <v>36039</v>
      </c>
      <c r="S185" s="30">
        <f t="shared" si="16"/>
        <v>4.211984239296318</v>
      </c>
      <c r="T185" s="9">
        <f t="shared" si="17"/>
        <v>0.41711805555555559</v>
      </c>
      <c r="U185" s="9">
        <f t="shared" si="18"/>
        <v>8.5729166666666676E-2</v>
      </c>
      <c r="V185" s="9">
        <f t="shared" si="19"/>
        <v>0.56888888888888878</v>
      </c>
    </row>
    <row r="186" spans="1:22" hidden="1" x14ac:dyDescent="0.35">
      <c r="A186" s="52">
        <v>49592</v>
      </c>
      <c r="B186" s="31">
        <v>46123</v>
      </c>
      <c r="C186" s="7" t="s">
        <v>364</v>
      </c>
      <c r="D186" s="7">
        <v>352</v>
      </c>
      <c r="E186" s="10">
        <f>IFERROR(SUMIFS('Base bordo CD'!M$2:M$875,'Base bordo CD'!D$2:D$875,A186,'Base bordo CD'!A$2:A$875,B186,'Base bordo CD'!L$2:L$875,"CORTE DE CANA MECANIZADO"),0)</f>
        <v>10.010833333333334</v>
      </c>
      <c r="F186" s="10">
        <f>IFERROR(SUMIFS('Base bordo CD'!M$2:M$875,'Base bordo CD'!D$2:D$875,A186,'Base bordo CD'!A$2:A$875,B186,'Base bordo CD'!L$2:L$875,"MANOBRA"),0)</f>
        <v>2.0575000000000001</v>
      </c>
      <c r="G186" s="10">
        <f>IFERROR(SUMIFS('Base bordo CD'!M$2:M$875,'Base bordo CD'!D$2:D$875,A186,'Base bordo CD'!A$2:A$875,B186,'Base bordo CD'!L$2:L$875,"DESLOCAMENTO"),0)</f>
        <v>0.33583333333333332</v>
      </c>
      <c r="H186" s="10">
        <f>IFERROR(SUMIFS('Base bordo CD'!M$2:M$875,'Base bordo CD'!D$2:D$875,A186,'Base bordo CD'!A$2:A$875,B186,'Base bordo CD'!L$2:L$875,"AGUARDANDO MANOBRA DE TRANSBORDO"),0)+IFERROR(SUMIFS('Base bordo CD'!M$2:M$875,'Base bordo CD'!D$2:D$875,A186,'Base bordo CD'!A$2:A$875,B186,'Base bordo CD'!L$2:L$875,"FALTA DE TRANSBORDO"),0)</f>
        <v>0</v>
      </c>
      <c r="I186" s="10">
        <f>IFERROR(SUMIFS('Base bordo CD'!M$2:M$875,'Base bordo CD'!D$2:D$875,A186,'Base bordo CD'!A$2:A$875,B186,'Base bordo CD'!L$2:L$875,"PARADA POR CONDICOES CLIMATICAS"),0)+IFERROR(SUMIFS('Base bordo CD'!M$2:M$875,'Base bordo CD'!D$2:D$875,A186,'Base bordo CD'!A$2:A$875,B186,'Base bordo CD'!L$2:L$875,"TEMPO INDETERMINADO"),0)</f>
        <v>11.192500000000001</v>
      </c>
      <c r="J186" s="10">
        <f>IFERROR(SUMIFS('Base bordo CD'!M$2:M$875,'Base bordo CD'!D$2:D$875,A186,'Base bordo CD'!A$2:A$875,B186,'Base bordo CD'!L$2:L$875,"LIMITAÇÃO INDÚSTRIA"),0)</f>
        <v>0</v>
      </c>
      <c r="K186" s="10">
        <f>IFERROR(SUMIFS('Base bordo CD'!M$2:M$875,'Base bordo CD'!D$2:D$875,A186,'Base bordo CD'!A$2:A$875,B186,'Base bordo CD'!L$2:L$875,"MAN CORRETIVA*"),0)+IFERROR(SUMIFS('Base bordo CD'!M$2:M$875,'Base bordo CD'!D$2:D$875,A186,'Base bordo CD'!A$2:A$875,B186,'Base bordo CD'!L$2:L$875,"AGUARDANDO MANUTENCAO*"),0)+IFERROR(SUMIFS('Base bordo CD'!M$2:M$875,'Base bordo CD'!D$2:D$875,A186,'Base bordo CD'!A$2:A$875,B186,'Base bordo CD'!L$2:L$875,"TROCA DE FAQUINHA"),0)+IFERROR(SUMIFS('Base bordo CD'!M$2:M$875,'Base bordo CD'!D$2:D$875,A186,'Base bordo CD'!A$2:A$875,B186,'Base bordo CD'!L$2:L$875,"LIMPEZA*"),0)</f>
        <v>0.10194444444444443</v>
      </c>
      <c r="L186" s="10">
        <f>IFERROR(SUMIFS('Base bordo CD'!M$2:M$875,'Base bordo CD'!D$2:D$875,A186,'Base bordo CD'!A$2:A$875,B186,'Base bordo CD'!L$2:L$875,"PATIO - RESERVA"),0)</f>
        <v>0</v>
      </c>
      <c r="M186" s="10">
        <f>IFERROR(SUMIFS('Base bordo CD'!M$2:M$875,'Base bordo CD'!D$2:D$875,A186,'Base bordo CD'!A$2:A$875,B186,'Base bordo CD'!L$2:L$875,"SEM APONTAMENTO"),0)</f>
        <v>2.5555555555555554E-2</v>
      </c>
      <c r="N186" s="10">
        <f>IFERROR(SUMIFS('Base bordo CD'!M$2:M$875,'Base bordo CD'!D$2:D$875,A186,'Base bordo CD'!A$2:A$875,B186,'Base bordo CD'!L$2:L$875,"FALTA DE CAMINHÃO"),0)+IFERROR(SUMIFS('Base bordo CD'!M$2:M$875,'Base bordo CD'!D$2:D$875,A186,'Base bordo CD'!A$2:A$875,B186,'Base bordo CD'!L$2:L$875,"FALTA DE COMBUSTIVEL"),0)+IFERROR(SUMIFS('Base bordo CD'!M$2:M$875,'Base bordo CD'!D$2:D$875,A186,'Base bordo CD'!A$2:A$875,B186,'Base bordo CD'!L$2:L$875,"FALTA DE MOTORIST*"),0)</f>
        <v>0</v>
      </c>
      <c r="O186" s="10">
        <f t="shared" si="15"/>
        <v>0.2758333333333276</v>
      </c>
      <c r="P186" s="10">
        <f>IFERROR(SUMIFS('Base bordo CD'!M$2:M$875,'Base bordo CD'!D$2:D$875,A186,'Base bordo CD'!A$2:A$875,B186),0)</f>
        <v>24</v>
      </c>
      <c r="Q186" s="10">
        <f>IFERROR(SUMIFS('Base bordo CD'!O$2:O$875,'Base bordo CD'!D$2:D$875,A186,'Base bordo CD'!A$2:A$875,B186,'Base bordo CD'!L$2:L$875,"CORTE DE CANA MECANIZADO"),0)</f>
        <v>151795.70000000001</v>
      </c>
      <c r="R186" s="10">
        <f>IFERROR(SUMIFS('Base bordo CD'!Q$2:Q$875,'Base bordo CD'!D$2:D$875,A186,'Base bordo CD'!A$2:A$875,B186,'Base bordo CD'!L$2:L$875,"CORTE DE CANA MECANIZADO"),0)</f>
        <v>36039</v>
      </c>
      <c r="S186" s="30">
        <f t="shared" si="16"/>
        <v>4.211984239296318</v>
      </c>
      <c r="T186" s="9">
        <f t="shared" si="17"/>
        <v>0.41711805555555559</v>
      </c>
      <c r="U186" s="9">
        <f t="shared" si="18"/>
        <v>8.5729166666666676E-2</v>
      </c>
      <c r="V186" s="9">
        <f t="shared" si="19"/>
        <v>0.56888888888888878</v>
      </c>
    </row>
    <row r="187" spans="1:22" hidden="1" x14ac:dyDescent="0.35">
      <c r="A187" s="52">
        <v>49592</v>
      </c>
      <c r="B187" s="31">
        <v>46123</v>
      </c>
      <c r="C187" s="7" t="s">
        <v>364</v>
      </c>
      <c r="D187" s="7">
        <v>352</v>
      </c>
      <c r="E187" s="10">
        <f>IFERROR(SUMIFS('Base bordo CD'!M$2:M$875,'Base bordo CD'!D$2:D$875,A187,'Base bordo CD'!A$2:A$875,B187,'Base bordo CD'!L$2:L$875,"CORTE DE CANA MECANIZADO"),0)</f>
        <v>10.010833333333334</v>
      </c>
      <c r="F187" s="10">
        <f>IFERROR(SUMIFS('Base bordo CD'!M$2:M$875,'Base bordo CD'!D$2:D$875,A187,'Base bordo CD'!A$2:A$875,B187,'Base bordo CD'!L$2:L$875,"MANOBRA"),0)</f>
        <v>2.0575000000000001</v>
      </c>
      <c r="G187" s="10">
        <f>IFERROR(SUMIFS('Base bordo CD'!M$2:M$875,'Base bordo CD'!D$2:D$875,A187,'Base bordo CD'!A$2:A$875,B187,'Base bordo CD'!L$2:L$875,"DESLOCAMENTO"),0)</f>
        <v>0.33583333333333332</v>
      </c>
      <c r="H187" s="10">
        <f>IFERROR(SUMIFS('Base bordo CD'!M$2:M$875,'Base bordo CD'!D$2:D$875,A187,'Base bordo CD'!A$2:A$875,B187,'Base bordo CD'!L$2:L$875,"AGUARDANDO MANOBRA DE TRANSBORDO"),0)+IFERROR(SUMIFS('Base bordo CD'!M$2:M$875,'Base bordo CD'!D$2:D$875,A187,'Base bordo CD'!A$2:A$875,B187,'Base bordo CD'!L$2:L$875,"FALTA DE TRANSBORDO"),0)</f>
        <v>0</v>
      </c>
      <c r="I187" s="10">
        <f>IFERROR(SUMIFS('Base bordo CD'!M$2:M$875,'Base bordo CD'!D$2:D$875,A187,'Base bordo CD'!A$2:A$875,B187,'Base bordo CD'!L$2:L$875,"PARADA POR CONDICOES CLIMATICAS"),0)+IFERROR(SUMIFS('Base bordo CD'!M$2:M$875,'Base bordo CD'!D$2:D$875,A187,'Base bordo CD'!A$2:A$875,B187,'Base bordo CD'!L$2:L$875,"TEMPO INDETERMINADO"),0)</f>
        <v>11.192500000000001</v>
      </c>
      <c r="J187" s="10">
        <f>IFERROR(SUMIFS('Base bordo CD'!M$2:M$875,'Base bordo CD'!D$2:D$875,A187,'Base bordo CD'!A$2:A$875,B187,'Base bordo CD'!L$2:L$875,"LIMITAÇÃO INDÚSTRIA"),0)</f>
        <v>0</v>
      </c>
      <c r="K187" s="10">
        <f>IFERROR(SUMIFS('Base bordo CD'!M$2:M$875,'Base bordo CD'!D$2:D$875,A187,'Base bordo CD'!A$2:A$875,B187,'Base bordo CD'!L$2:L$875,"MAN CORRETIVA*"),0)+IFERROR(SUMIFS('Base bordo CD'!M$2:M$875,'Base bordo CD'!D$2:D$875,A187,'Base bordo CD'!A$2:A$875,B187,'Base bordo CD'!L$2:L$875,"AGUARDANDO MANUTENCAO*"),0)+IFERROR(SUMIFS('Base bordo CD'!M$2:M$875,'Base bordo CD'!D$2:D$875,A187,'Base bordo CD'!A$2:A$875,B187,'Base bordo CD'!L$2:L$875,"TROCA DE FAQUINHA"),0)+IFERROR(SUMIFS('Base bordo CD'!M$2:M$875,'Base bordo CD'!D$2:D$875,A187,'Base bordo CD'!A$2:A$875,B187,'Base bordo CD'!L$2:L$875,"LIMPEZA*"),0)</f>
        <v>0.10194444444444443</v>
      </c>
      <c r="L187" s="10">
        <f>IFERROR(SUMIFS('Base bordo CD'!M$2:M$875,'Base bordo CD'!D$2:D$875,A187,'Base bordo CD'!A$2:A$875,B187,'Base bordo CD'!L$2:L$875,"PATIO - RESERVA"),0)</f>
        <v>0</v>
      </c>
      <c r="M187" s="10">
        <f>IFERROR(SUMIFS('Base bordo CD'!M$2:M$875,'Base bordo CD'!D$2:D$875,A187,'Base bordo CD'!A$2:A$875,B187,'Base bordo CD'!L$2:L$875,"SEM APONTAMENTO"),0)</f>
        <v>2.5555555555555554E-2</v>
      </c>
      <c r="N187" s="10">
        <f>IFERROR(SUMIFS('Base bordo CD'!M$2:M$875,'Base bordo CD'!D$2:D$875,A187,'Base bordo CD'!A$2:A$875,B187,'Base bordo CD'!L$2:L$875,"FALTA DE CAMINHÃO"),0)+IFERROR(SUMIFS('Base bordo CD'!M$2:M$875,'Base bordo CD'!D$2:D$875,A187,'Base bordo CD'!A$2:A$875,B187,'Base bordo CD'!L$2:L$875,"FALTA DE COMBUSTIVEL"),0)+IFERROR(SUMIFS('Base bordo CD'!M$2:M$875,'Base bordo CD'!D$2:D$875,A187,'Base bordo CD'!A$2:A$875,B187,'Base bordo CD'!L$2:L$875,"FALTA DE MOTORIST*"),0)</f>
        <v>0</v>
      </c>
      <c r="O187" s="10">
        <f t="shared" si="15"/>
        <v>0.2758333333333276</v>
      </c>
      <c r="P187" s="10">
        <f>IFERROR(SUMIFS('Base bordo CD'!M$2:M$875,'Base bordo CD'!D$2:D$875,A187,'Base bordo CD'!A$2:A$875,B187),0)</f>
        <v>24</v>
      </c>
      <c r="Q187" s="10">
        <f>IFERROR(SUMIFS('Base bordo CD'!O$2:O$875,'Base bordo CD'!D$2:D$875,A187,'Base bordo CD'!A$2:A$875,B187,'Base bordo CD'!L$2:L$875,"CORTE DE CANA MECANIZADO"),0)</f>
        <v>151795.70000000001</v>
      </c>
      <c r="R187" s="10">
        <f>IFERROR(SUMIFS('Base bordo CD'!Q$2:Q$875,'Base bordo CD'!D$2:D$875,A187,'Base bordo CD'!A$2:A$875,B187,'Base bordo CD'!L$2:L$875,"CORTE DE CANA MECANIZADO"),0)</f>
        <v>36039</v>
      </c>
      <c r="S187" s="30">
        <f t="shared" si="16"/>
        <v>4.211984239296318</v>
      </c>
      <c r="T187" s="9">
        <f t="shared" si="17"/>
        <v>0.41711805555555559</v>
      </c>
      <c r="U187" s="9">
        <f t="shared" si="18"/>
        <v>8.5729166666666676E-2</v>
      </c>
      <c r="V187" s="9">
        <f t="shared" si="19"/>
        <v>0.56888888888888878</v>
      </c>
    </row>
    <row r="188" spans="1:22" hidden="1" x14ac:dyDescent="0.35">
      <c r="A188" s="52">
        <v>49592</v>
      </c>
      <c r="B188" s="31">
        <v>46123</v>
      </c>
      <c r="C188" s="7" t="s">
        <v>364</v>
      </c>
      <c r="D188" s="7">
        <v>352</v>
      </c>
      <c r="E188" s="10">
        <f>IFERROR(SUMIFS('Base bordo CD'!M$2:M$875,'Base bordo CD'!D$2:D$875,A188,'Base bordo CD'!A$2:A$875,B188,'Base bordo CD'!L$2:L$875,"CORTE DE CANA MECANIZADO"),0)</f>
        <v>10.010833333333334</v>
      </c>
      <c r="F188" s="10">
        <f>IFERROR(SUMIFS('Base bordo CD'!M$2:M$875,'Base bordo CD'!D$2:D$875,A188,'Base bordo CD'!A$2:A$875,B188,'Base bordo CD'!L$2:L$875,"MANOBRA"),0)</f>
        <v>2.0575000000000001</v>
      </c>
      <c r="G188" s="10">
        <f>IFERROR(SUMIFS('Base bordo CD'!M$2:M$875,'Base bordo CD'!D$2:D$875,A188,'Base bordo CD'!A$2:A$875,B188,'Base bordo CD'!L$2:L$875,"DESLOCAMENTO"),0)</f>
        <v>0.33583333333333332</v>
      </c>
      <c r="H188" s="10">
        <f>IFERROR(SUMIFS('Base bordo CD'!M$2:M$875,'Base bordo CD'!D$2:D$875,A188,'Base bordo CD'!A$2:A$875,B188,'Base bordo CD'!L$2:L$875,"AGUARDANDO MANOBRA DE TRANSBORDO"),0)+IFERROR(SUMIFS('Base bordo CD'!M$2:M$875,'Base bordo CD'!D$2:D$875,A188,'Base bordo CD'!A$2:A$875,B188,'Base bordo CD'!L$2:L$875,"FALTA DE TRANSBORDO"),0)</f>
        <v>0</v>
      </c>
      <c r="I188" s="10">
        <f>IFERROR(SUMIFS('Base bordo CD'!M$2:M$875,'Base bordo CD'!D$2:D$875,A188,'Base bordo CD'!A$2:A$875,B188,'Base bordo CD'!L$2:L$875,"PARADA POR CONDICOES CLIMATICAS"),0)+IFERROR(SUMIFS('Base bordo CD'!M$2:M$875,'Base bordo CD'!D$2:D$875,A188,'Base bordo CD'!A$2:A$875,B188,'Base bordo CD'!L$2:L$875,"TEMPO INDETERMINADO"),0)</f>
        <v>11.192500000000001</v>
      </c>
      <c r="J188" s="10">
        <f>IFERROR(SUMIFS('Base bordo CD'!M$2:M$875,'Base bordo CD'!D$2:D$875,A188,'Base bordo CD'!A$2:A$875,B188,'Base bordo CD'!L$2:L$875,"LIMITAÇÃO INDÚSTRIA"),0)</f>
        <v>0</v>
      </c>
      <c r="K188" s="10">
        <f>IFERROR(SUMIFS('Base bordo CD'!M$2:M$875,'Base bordo CD'!D$2:D$875,A188,'Base bordo CD'!A$2:A$875,B188,'Base bordo CD'!L$2:L$875,"MAN CORRETIVA*"),0)+IFERROR(SUMIFS('Base bordo CD'!M$2:M$875,'Base bordo CD'!D$2:D$875,A188,'Base bordo CD'!A$2:A$875,B188,'Base bordo CD'!L$2:L$875,"AGUARDANDO MANUTENCAO*"),0)+IFERROR(SUMIFS('Base bordo CD'!M$2:M$875,'Base bordo CD'!D$2:D$875,A188,'Base bordo CD'!A$2:A$875,B188,'Base bordo CD'!L$2:L$875,"TROCA DE FAQUINHA"),0)+IFERROR(SUMIFS('Base bordo CD'!M$2:M$875,'Base bordo CD'!D$2:D$875,A188,'Base bordo CD'!A$2:A$875,B188,'Base bordo CD'!L$2:L$875,"LIMPEZA*"),0)</f>
        <v>0.10194444444444443</v>
      </c>
      <c r="L188" s="10">
        <f>IFERROR(SUMIFS('Base bordo CD'!M$2:M$875,'Base bordo CD'!D$2:D$875,A188,'Base bordo CD'!A$2:A$875,B188,'Base bordo CD'!L$2:L$875,"PATIO - RESERVA"),0)</f>
        <v>0</v>
      </c>
      <c r="M188" s="10">
        <f>IFERROR(SUMIFS('Base bordo CD'!M$2:M$875,'Base bordo CD'!D$2:D$875,A188,'Base bordo CD'!A$2:A$875,B188,'Base bordo CD'!L$2:L$875,"SEM APONTAMENTO"),0)</f>
        <v>2.5555555555555554E-2</v>
      </c>
      <c r="N188" s="10">
        <f>IFERROR(SUMIFS('Base bordo CD'!M$2:M$875,'Base bordo CD'!D$2:D$875,A188,'Base bordo CD'!A$2:A$875,B188,'Base bordo CD'!L$2:L$875,"FALTA DE CAMINHÃO"),0)+IFERROR(SUMIFS('Base bordo CD'!M$2:M$875,'Base bordo CD'!D$2:D$875,A188,'Base bordo CD'!A$2:A$875,B188,'Base bordo CD'!L$2:L$875,"FALTA DE COMBUSTIVEL"),0)+IFERROR(SUMIFS('Base bordo CD'!M$2:M$875,'Base bordo CD'!D$2:D$875,A188,'Base bordo CD'!A$2:A$875,B188,'Base bordo CD'!L$2:L$875,"FALTA DE MOTORIST*"),0)</f>
        <v>0</v>
      </c>
      <c r="O188" s="10">
        <f t="shared" si="15"/>
        <v>0.2758333333333276</v>
      </c>
      <c r="P188" s="10">
        <f>IFERROR(SUMIFS('Base bordo CD'!M$2:M$875,'Base bordo CD'!D$2:D$875,A188,'Base bordo CD'!A$2:A$875,B188),0)</f>
        <v>24</v>
      </c>
      <c r="Q188" s="10">
        <f>IFERROR(SUMIFS('Base bordo CD'!O$2:O$875,'Base bordo CD'!D$2:D$875,A188,'Base bordo CD'!A$2:A$875,B188,'Base bordo CD'!L$2:L$875,"CORTE DE CANA MECANIZADO"),0)</f>
        <v>151795.70000000001</v>
      </c>
      <c r="R188" s="10">
        <f>IFERROR(SUMIFS('Base bordo CD'!Q$2:Q$875,'Base bordo CD'!D$2:D$875,A188,'Base bordo CD'!A$2:A$875,B188,'Base bordo CD'!L$2:L$875,"CORTE DE CANA MECANIZADO"),0)</f>
        <v>36039</v>
      </c>
      <c r="S188" s="30">
        <f t="shared" si="16"/>
        <v>4.211984239296318</v>
      </c>
      <c r="T188" s="9">
        <f t="shared" si="17"/>
        <v>0.41711805555555559</v>
      </c>
      <c r="U188" s="9">
        <f t="shared" si="18"/>
        <v>8.5729166666666676E-2</v>
      </c>
      <c r="V188" s="9">
        <f t="shared" si="19"/>
        <v>0.56888888888888878</v>
      </c>
    </row>
    <row r="189" spans="1:22" hidden="1" x14ac:dyDescent="0.35">
      <c r="A189" s="52">
        <v>49592</v>
      </c>
      <c r="B189" s="31">
        <v>46123</v>
      </c>
      <c r="C189" s="7" t="s">
        <v>364</v>
      </c>
      <c r="D189" s="7">
        <v>352</v>
      </c>
      <c r="E189" s="10">
        <f>IFERROR(SUMIFS('Base bordo CD'!M$2:M$875,'Base bordo CD'!D$2:D$875,A189,'Base bordo CD'!A$2:A$875,B189,'Base bordo CD'!L$2:L$875,"CORTE DE CANA MECANIZADO"),0)</f>
        <v>10.010833333333334</v>
      </c>
      <c r="F189" s="10">
        <f>IFERROR(SUMIFS('Base bordo CD'!M$2:M$875,'Base bordo CD'!D$2:D$875,A189,'Base bordo CD'!A$2:A$875,B189,'Base bordo CD'!L$2:L$875,"MANOBRA"),0)</f>
        <v>2.0575000000000001</v>
      </c>
      <c r="G189" s="10">
        <f>IFERROR(SUMIFS('Base bordo CD'!M$2:M$875,'Base bordo CD'!D$2:D$875,A189,'Base bordo CD'!A$2:A$875,B189,'Base bordo CD'!L$2:L$875,"DESLOCAMENTO"),0)</f>
        <v>0.33583333333333332</v>
      </c>
      <c r="H189" s="10">
        <f>IFERROR(SUMIFS('Base bordo CD'!M$2:M$875,'Base bordo CD'!D$2:D$875,A189,'Base bordo CD'!A$2:A$875,B189,'Base bordo CD'!L$2:L$875,"AGUARDANDO MANOBRA DE TRANSBORDO"),0)+IFERROR(SUMIFS('Base bordo CD'!M$2:M$875,'Base bordo CD'!D$2:D$875,A189,'Base bordo CD'!A$2:A$875,B189,'Base bordo CD'!L$2:L$875,"FALTA DE TRANSBORDO"),0)</f>
        <v>0</v>
      </c>
      <c r="I189" s="10">
        <f>IFERROR(SUMIFS('Base bordo CD'!M$2:M$875,'Base bordo CD'!D$2:D$875,A189,'Base bordo CD'!A$2:A$875,B189,'Base bordo CD'!L$2:L$875,"PARADA POR CONDICOES CLIMATICAS"),0)+IFERROR(SUMIFS('Base bordo CD'!M$2:M$875,'Base bordo CD'!D$2:D$875,A189,'Base bordo CD'!A$2:A$875,B189,'Base bordo CD'!L$2:L$875,"TEMPO INDETERMINADO"),0)</f>
        <v>11.192500000000001</v>
      </c>
      <c r="J189" s="10">
        <f>IFERROR(SUMIFS('Base bordo CD'!M$2:M$875,'Base bordo CD'!D$2:D$875,A189,'Base bordo CD'!A$2:A$875,B189,'Base bordo CD'!L$2:L$875,"LIMITAÇÃO INDÚSTRIA"),0)</f>
        <v>0</v>
      </c>
      <c r="K189" s="10">
        <f>IFERROR(SUMIFS('Base bordo CD'!M$2:M$875,'Base bordo CD'!D$2:D$875,A189,'Base bordo CD'!A$2:A$875,B189,'Base bordo CD'!L$2:L$875,"MAN CORRETIVA*"),0)+IFERROR(SUMIFS('Base bordo CD'!M$2:M$875,'Base bordo CD'!D$2:D$875,A189,'Base bordo CD'!A$2:A$875,B189,'Base bordo CD'!L$2:L$875,"AGUARDANDO MANUTENCAO*"),0)+IFERROR(SUMIFS('Base bordo CD'!M$2:M$875,'Base bordo CD'!D$2:D$875,A189,'Base bordo CD'!A$2:A$875,B189,'Base bordo CD'!L$2:L$875,"TROCA DE FAQUINHA"),0)+IFERROR(SUMIFS('Base bordo CD'!M$2:M$875,'Base bordo CD'!D$2:D$875,A189,'Base bordo CD'!A$2:A$875,B189,'Base bordo CD'!L$2:L$875,"LIMPEZA*"),0)</f>
        <v>0.10194444444444443</v>
      </c>
      <c r="L189" s="10">
        <f>IFERROR(SUMIFS('Base bordo CD'!M$2:M$875,'Base bordo CD'!D$2:D$875,A189,'Base bordo CD'!A$2:A$875,B189,'Base bordo CD'!L$2:L$875,"PATIO - RESERVA"),0)</f>
        <v>0</v>
      </c>
      <c r="M189" s="10">
        <f>IFERROR(SUMIFS('Base bordo CD'!M$2:M$875,'Base bordo CD'!D$2:D$875,A189,'Base bordo CD'!A$2:A$875,B189,'Base bordo CD'!L$2:L$875,"SEM APONTAMENTO"),0)</f>
        <v>2.5555555555555554E-2</v>
      </c>
      <c r="N189" s="10">
        <f>IFERROR(SUMIFS('Base bordo CD'!M$2:M$875,'Base bordo CD'!D$2:D$875,A189,'Base bordo CD'!A$2:A$875,B189,'Base bordo CD'!L$2:L$875,"FALTA DE CAMINHÃO"),0)+IFERROR(SUMIFS('Base bordo CD'!M$2:M$875,'Base bordo CD'!D$2:D$875,A189,'Base bordo CD'!A$2:A$875,B189,'Base bordo CD'!L$2:L$875,"FALTA DE COMBUSTIVEL"),0)+IFERROR(SUMIFS('Base bordo CD'!M$2:M$875,'Base bordo CD'!D$2:D$875,A189,'Base bordo CD'!A$2:A$875,B189,'Base bordo CD'!L$2:L$875,"FALTA DE MOTORIST*"),0)</f>
        <v>0</v>
      </c>
      <c r="O189" s="10">
        <f t="shared" si="15"/>
        <v>0.2758333333333276</v>
      </c>
      <c r="P189" s="10">
        <f>IFERROR(SUMIFS('Base bordo CD'!M$2:M$875,'Base bordo CD'!D$2:D$875,A189,'Base bordo CD'!A$2:A$875,B189),0)</f>
        <v>24</v>
      </c>
      <c r="Q189" s="10">
        <f>IFERROR(SUMIFS('Base bordo CD'!O$2:O$875,'Base bordo CD'!D$2:D$875,A189,'Base bordo CD'!A$2:A$875,B189,'Base bordo CD'!L$2:L$875,"CORTE DE CANA MECANIZADO"),0)</f>
        <v>151795.70000000001</v>
      </c>
      <c r="R189" s="10">
        <f>IFERROR(SUMIFS('Base bordo CD'!Q$2:Q$875,'Base bordo CD'!D$2:D$875,A189,'Base bordo CD'!A$2:A$875,B189,'Base bordo CD'!L$2:L$875,"CORTE DE CANA MECANIZADO"),0)</f>
        <v>36039</v>
      </c>
      <c r="S189" s="30">
        <f t="shared" si="16"/>
        <v>4.211984239296318</v>
      </c>
      <c r="T189" s="9">
        <f t="shared" si="17"/>
        <v>0.41711805555555559</v>
      </c>
      <c r="U189" s="9">
        <f t="shared" si="18"/>
        <v>8.5729166666666676E-2</v>
      </c>
      <c r="V189" s="9">
        <f t="shared" si="19"/>
        <v>0.56888888888888878</v>
      </c>
    </row>
    <row r="190" spans="1:22" hidden="1" x14ac:dyDescent="0.35">
      <c r="A190" s="52">
        <v>49592</v>
      </c>
      <c r="B190" s="31">
        <v>46123</v>
      </c>
      <c r="C190" s="7" t="s">
        <v>364</v>
      </c>
      <c r="D190" s="7">
        <v>352</v>
      </c>
      <c r="E190" s="10">
        <f>IFERROR(SUMIFS('Base bordo CD'!M$2:M$875,'Base bordo CD'!D$2:D$875,A190,'Base bordo CD'!A$2:A$875,B190,'Base bordo CD'!L$2:L$875,"CORTE DE CANA MECANIZADO"),0)</f>
        <v>10.010833333333334</v>
      </c>
      <c r="F190" s="10">
        <f>IFERROR(SUMIFS('Base bordo CD'!M$2:M$875,'Base bordo CD'!D$2:D$875,A190,'Base bordo CD'!A$2:A$875,B190,'Base bordo CD'!L$2:L$875,"MANOBRA"),0)</f>
        <v>2.0575000000000001</v>
      </c>
      <c r="G190" s="10">
        <f>IFERROR(SUMIFS('Base bordo CD'!M$2:M$875,'Base bordo CD'!D$2:D$875,A190,'Base bordo CD'!A$2:A$875,B190,'Base bordo CD'!L$2:L$875,"DESLOCAMENTO"),0)</f>
        <v>0.33583333333333332</v>
      </c>
      <c r="H190" s="10">
        <f>IFERROR(SUMIFS('Base bordo CD'!M$2:M$875,'Base bordo CD'!D$2:D$875,A190,'Base bordo CD'!A$2:A$875,B190,'Base bordo CD'!L$2:L$875,"AGUARDANDO MANOBRA DE TRANSBORDO"),0)+IFERROR(SUMIFS('Base bordo CD'!M$2:M$875,'Base bordo CD'!D$2:D$875,A190,'Base bordo CD'!A$2:A$875,B190,'Base bordo CD'!L$2:L$875,"FALTA DE TRANSBORDO"),0)</f>
        <v>0</v>
      </c>
      <c r="I190" s="10">
        <f>IFERROR(SUMIFS('Base bordo CD'!M$2:M$875,'Base bordo CD'!D$2:D$875,A190,'Base bordo CD'!A$2:A$875,B190,'Base bordo CD'!L$2:L$875,"PARADA POR CONDICOES CLIMATICAS"),0)+IFERROR(SUMIFS('Base bordo CD'!M$2:M$875,'Base bordo CD'!D$2:D$875,A190,'Base bordo CD'!A$2:A$875,B190,'Base bordo CD'!L$2:L$875,"TEMPO INDETERMINADO"),0)</f>
        <v>11.192500000000001</v>
      </c>
      <c r="J190" s="10">
        <f>IFERROR(SUMIFS('Base bordo CD'!M$2:M$875,'Base bordo CD'!D$2:D$875,A190,'Base bordo CD'!A$2:A$875,B190,'Base bordo CD'!L$2:L$875,"LIMITAÇÃO INDÚSTRIA"),0)</f>
        <v>0</v>
      </c>
      <c r="K190" s="10">
        <f>IFERROR(SUMIFS('Base bordo CD'!M$2:M$875,'Base bordo CD'!D$2:D$875,A190,'Base bordo CD'!A$2:A$875,B190,'Base bordo CD'!L$2:L$875,"MAN CORRETIVA*"),0)+IFERROR(SUMIFS('Base bordo CD'!M$2:M$875,'Base bordo CD'!D$2:D$875,A190,'Base bordo CD'!A$2:A$875,B190,'Base bordo CD'!L$2:L$875,"AGUARDANDO MANUTENCAO*"),0)+IFERROR(SUMIFS('Base bordo CD'!M$2:M$875,'Base bordo CD'!D$2:D$875,A190,'Base bordo CD'!A$2:A$875,B190,'Base bordo CD'!L$2:L$875,"TROCA DE FAQUINHA"),0)+IFERROR(SUMIFS('Base bordo CD'!M$2:M$875,'Base bordo CD'!D$2:D$875,A190,'Base bordo CD'!A$2:A$875,B190,'Base bordo CD'!L$2:L$875,"LIMPEZA*"),0)</f>
        <v>0.10194444444444443</v>
      </c>
      <c r="L190" s="10">
        <f>IFERROR(SUMIFS('Base bordo CD'!M$2:M$875,'Base bordo CD'!D$2:D$875,A190,'Base bordo CD'!A$2:A$875,B190,'Base bordo CD'!L$2:L$875,"PATIO - RESERVA"),0)</f>
        <v>0</v>
      </c>
      <c r="M190" s="10">
        <f>IFERROR(SUMIFS('Base bordo CD'!M$2:M$875,'Base bordo CD'!D$2:D$875,A190,'Base bordo CD'!A$2:A$875,B190,'Base bordo CD'!L$2:L$875,"SEM APONTAMENTO"),0)</f>
        <v>2.5555555555555554E-2</v>
      </c>
      <c r="N190" s="10">
        <f>IFERROR(SUMIFS('Base bordo CD'!M$2:M$875,'Base bordo CD'!D$2:D$875,A190,'Base bordo CD'!A$2:A$875,B190,'Base bordo CD'!L$2:L$875,"FALTA DE CAMINHÃO"),0)+IFERROR(SUMIFS('Base bordo CD'!M$2:M$875,'Base bordo CD'!D$2:D$875,A190,'Base bordo CD'!A$2:A$875,B190,'Base bordo CD'!L$2:L$875,"FALTA DE COMBUSTIVEL"),0)+IFERROR(SUMIFS('Base bordo CD'!M$2:M$875,'Base bordo CD'!D$2:D$875,A190,'Base bordo CD'!A$2:A$875,B190,'Base bordo CD'!L$2:L$875,"FALTA DE MOTORIST*"),0)</f>
        <v>0</v>
      </c>
      <c r="O190" s="10">
        <f t="shared" ref="O190:O253" si="20">IFERROR(P190-SUM(E190:N190),0)</f>
        <v>0.2758333333333276</v>
      </c>
      <c r="P190" s="10">
        <f>IFERROR(SUMIFS('Base bordo CD'!M$2:M$875,'Base bordo CD'!D$2:D$875,A190,'Base bordo CD'!A$2:A$875,B190),0)</f>
        <v>24</v>
      </c>
      <c r="Q190" s="10">
        <f>IFERROR(SUMIFS('Base bordo CD'!O$2:O$875,'Base bordo CD'!D$2:D$875,A190,'Base bordo CD'!A$2:A$875,B190,'Base bordo CD'!L$2:L$875,"CORTE DE CANA MECANIZADO"),0)</f>
        <v>151795.70000000001</v>
      </c>
      <c r="R190" s="10">
        <f>IFERROR(SUMIFS('Base bordo CD'!Q$2:Q$875,'Base bordo CD'!D$2:D$875,A190,'Base bordo CD'!A$2:A$875,B190,'Base bordo CD'!L$2:L$875,"CORTE DE CANA MECANIZADO"),0)</f>
        <v>36039</v>
      </c>
      <c r="S190" s="30">
        <f t="shared" ref="S190:S253" si="21">IFERROR(Q190/R190,"")</f>
        <v>4.211984239296318</v>
      </c>
      <c r="T190" s="9">
        <f t="shared" ref="T190:T253" si="22">IFERROR(E190/P190,0)</f>
        <v>0.41711805555555559</v>
      </c>
      <c r="U190" s="9">
        <f t="shared" ref="U190:U253" si="23">IFERROR(F190/P190,0)</f>
        <v>8.5729166666666676E-2</v>
      </c>
      <c r="V190" s="9">
        <f t="shared" ref="V190:V253" si="24">IFERROR(1-(E190+G190)/P190,0)</f>
        <v>0.56888888888888878</v>
      </c>
    </row>
    <row r="191" spans="1:22" hidden="1" x14ac:dyDescent="0.35">
      <c r="A191" s="52">
        <v>49592</v>
      </c>
      <c r="B191" s="31">
        <v>46123</v>
      </c>
      <c r="C191" s="7" t="s">
        <v>364</v>
      </c>
      <c r="D191" s="7">
        <v>352</v>
      </c>
      <c r="E191" s="10">
        <f>IFERROR(SUMIFS('Base bordo CD'!M$2:M$875,'Base bordo CD'!D$2:D$875,A191,'Base bordo CD'!A$2:A$875,B191,'Base bordo CD'!L$2:L$875,"CORTE DE CANA MECANIZADO"),0)</f>
        <v>10.010833333333334</v>
      </c>
      <c r="F191" s="10">
        <f>IFERROR(SUMIFS('Base bordo CD'!M$2:M$875,'Base bordo CD'!D$2:D$875,A191,'Base bordo CD'!A$2:A$875,B191,'Base bordo CD'!L$2:L$875,"MANOBRA"),0)</f>
        <v>2.0575000000000001</v>
      </c>
      <c r="G191" s="10">
        <f>IFERROR(SUMIFS('Base bordo CD'!M$2:M$875,'Base bordo CD'!D$2:D$875,A191,'Base bordo CD'!A$2:A$875,B191,'Base bordo CD'!L$2:L$875,"DESLOCAMENTO"),0)</f>
        <v>0.33583333333333332</v>
      </c>
      <c r="H191" s="10">
        <f>IFERROR(SUMIFS('Base bordo CD'!M$2:M$875,'Base bordo CD'!D$2:D$875,A191,'Base bordo CD'!A$2:A$875,B191,'Base bordo CD'!L$2:L$875,"AGUARDANDO MANOBRA DE TRANSBORDO"),0)+IFERROR(SUMIFS('Base bordo CD'!M$2:M$875,'Base bordo CD'!D$2:D$875,A191,'Base bordo CD'!A$2:A$875,B191,'Base bordo CD'!L$2:L$875,"FALTA DE TRANSBORDO"),0)</f>
        <v>0</v>
      </c>
      <c r="I191" s="10">
        <f>IFERROR(SUMIFS('Base bordo CD'!M$2:M$875,'Base bordo CD'!D$2:D$875,A191,'Base bordo CD'!A$2:A$875,B191,'Base bordo CD'!L$2:L$875,"PARADA POR CONDICOES CLIMATICAS"),0)+IFERROR(SUMIFS('Base bordo CD'!M$2:M$875,'Base bordo CD'!D$2:D$875,A191,'Base bordo CD'!A$2:A$875,B191,'Base bordo CD'!L$2:L$875,"TEMPO INDETERMINADO"),0)</f>
        <v>11.192500000000001</v>
      </c>
      <c r="J191" s="10">
        <f>IFERROR(SUMIFS('Base bordo CD'!M$2:M$875,'Base bordo CD'!D$2:D$875,A191,'Base bordo CD'!A$2:A$875,B191,'Base bordo CD'!L$2:L$875,"LIMITAÇÃO INDÚSTRIA"),0)</f>
        <v>0</v>
      </c>
      <c r="K191" s="10">
        <f>IFERROR(SUMIFS('Base bordo CD'!M$2:M$875,'Base bordo CD'!D$2:D$875,A191,'Base bordo CD'!A$2:A$875,B191,'Base bordo CD'!L$2:L$875,"MAN CORRETIVA*"),0)+IFERROR(SUMIFS('Base bordo CD'!M$2:M$875,'Base bordo CD'!D$2:D$875,A191,'Base bordo CD'!A$2:A$875,B191,'Base bordo CD'!L$2:L$875,"AGUARDANDO MANUTENCAO*"),0)+IFERROR(SUMIFS('Base bordo CD'!M$2:M$875,'Base bordo CD'!D$2:D$875,A191,'Base bordo CD'!A$2:A$875,B191,'Base bordo CD'!L$2:L$875,"TROCA DE FAQUINHA"),0)+IFERROR(SUMIFS('Base bordo CD'!M$2:M$875,'Base bordo CD'!D$2:D$875,A191,'Base bordo CD'!A$2:A$875,B191,'Base bordo CD'!L$2:L$875,"LIMPEZA*"),0)</f>
        <v>0.10194444444444443</v>
      </c>
      <c r="L191" s="10">
        <f>IFERROR(SUMIFS('Base bordo CD'!M$2:M$875,'Base bordo CD'!D$2:D$875,A191,'Base bordo CD'!A$2:A$875,B191,'Base bordo CD'!L$2:L$875,"PATIO - RESERVA"),0)</f>
        <v>0</v>
      </c>
      <c r="M191" s="10">
        <f>IFERROR(SUMIFS('Base bordo CD'!M$2:M$875,'Base bordo CD'!D$2:D$875,A191,'Base bordo CD'!A$2:A$875,B191,'Base bordo CD'!L$2:L$875,"SEM APONTAMENTO"),0)</f>
        <v>2.5555555555555554E-2</v>
      </c>
      <c r="N191" s="10">
        <f>IFERROR(SUMIFS('Base bordo CD'!M$2:M$875,'Base bordo CD'!D$2:D$875,A191,'Base bordo CD'!A$2:A$875,B191,'Base bordo CD'!L$2:L$875,"FALTA DE CAMINHÃO"),0)+IFERROR(SUMIFS('Base bordo CD'!M$2:M$875,'Base bordo CD'!D$2:D$875,A191,'Base bordo CD'!A$2:A$875,B191,'Base bordo CD'!L$2:L$875,"FALTA DE COMBUSTIVEL"),0)+IFERROR(SUMIFS('Base bordo CD'!M$2:M$875,'Base bordo CD'!D$2:D$875,A191,'Base bordo CD'!A$2:A$875,B191,'Base bordo CD'!L$2:L$875,"FALTA DE MOTORIST*"),0)</f>
        <v>0</v>
      </c>
      <c r="O191" s="10">
        <f t="shared" si="20"/>
        <v>0.2758333333333276</v>
      </c>
      <c r="P191" s="10">
        <f>IFERROR(SUMIFS('Base bordo CD'!M$2:M$875,'Base bordo CD'!D$2:D$875,A191,'Base bordo CD'!A$2:A$875,B191),0)</f>
        <v>24</v>
      </c>
      <c r="Q191" s="10">
        <f>IFERROR(SUMIFS('Base bordo CD'!O$2:O$875,'Base bordo CD'!D$2:D$875,A191,'Base bordo CD'!A$2:A$875,B191,'Base bordo CD'!L$2:L$875,"CORTE DE CANA MECANIZADO"),0)</f>
        <v>151795.70000000001</v>
      </c>
      <c r="R191" s="10">
        <f>IFERROR(SUMIFS('Base bordo CD'!Q$2:Q$875,'Base bordo CD'!D$2:D$875,A191,'Base bordo CD'!A$2:A$875,B191,'Base bordo CD'!L$2:L$875,"CORTE DE CANA MECANIZADO"),0)</f>
        <v>36039</v>
      </c>
      <c r="S191" s="30">
        <f t="shared" si="21"/>
        <v>4.211984239296318</v>
      </c>
      <c r="T191" s="9">
        <f t="shared" si="22"/>
        <v>0.41711805555555559</v>
      </c>
      <c r="U191" s="9">
        <f t="shared" si="23"/>
        <v>8.5729166666666676E-2</v>
      </c>
      <c r="V191" s="9">
        <f t="shared" si="24"/>
        <v>0.56888888888888878</v>
      </c>
    </row>
    <row r="192" spans="1:22" hidden="1" x14ac:dyDescent="0.35">
      <c r="A192" s="52">
        <v>49592</v>
      </c>
      <c r="B192" s="31">
        <v>46123</v>
      </c>
      <c r="C192" s="7" t="s">
        <v>364</v>
      </c>
      <c r="D192" s="7">
        <v>352</v>
      </c>
      <c r="E192" s="10">
        <f>IFERROR(SUMIFS('Base bordo CD'!M$2:M$875,'Base bordo CD'!D$2:D$875,A192,'Base bordo CD'!A$2:A$875,B192,'Base bordo CD'!L$2:L$875,"CORTE DE CANA MECANIZADO"),0)</f>
        <v>10.010833333333334</v>
      </c>
      <c r="F192" s="10">
        <f>IFERROR(SUMIFS('Base bordo CD'!M$2:M$875,'Base bordo CD'!D$2:D$875,A192,'Base bordo CD'!A$2:A$875,B192,'Base bordo CD'!L$2:L$875,"MANOBRA"),0)</f>
        <v>2.0575000000000001</v>
      </c>
      <c r="G192" s="10">
        <f>IFERROR(SUMIFS('Base bordo CD'!M$2:M$875,'Base bordo CD'!D$2:D$875,A192,'Base bordo CD'!A$2:A$875,B192,'Base bordo CD'!L$2:L$875,"DESLOCAMENTO"),0)</f>
        <v>0.33583333333333332</v>
      </c>
      <c r="H192" s="10">
        <f>IFERROR(SUMIFS('Base bordo CD'!M$2:M$875,'Base bordo CD'!D$2:D$875,A192,'Base bordo CD'!A$2:A$875,B192,'Base bordo CD'!L$2:L$875,"AGUARDANDO MANOBRA DE TRANSBORDO"),0)+IFERROR(SUMIFS('Base bordo CD'!M$2:M$875,'Base bordo CD'!D$2:D$875,A192,'Base bordo CD'!A$2:A$875,B192,'Base bordo CD'!L$2:L$875,"FALTA DE TRANSBORDO"),0)</f>
        <v>0</v>
      </c>
      <c r="I192" s="10">
        <f>IFERROR(SUMIFS('Base bordo CD'!M$2:M$875,'Base bordo CD'!D$2:D$875,A192,'Base bordo CD'!A$2:A$875,B192,'Base bordo CD'!L$2:L$875,"PARADA POR CONDICOES CLIMATICAS"),0)+IFERROR(SUMIFS('Base bordo CD'!M$2:M$875,'Base bordo CD'!D$2:D$875,A192,'Base bordo CD'!A$2:A$875,B192,'Base bordo CD'!L$2:L$875,"TEMPO INDETERMINADO"),0)</f>
        <v>11.192500000000001</v>
      </c>
      <c r="J192" s="10">
        <f>IFERROR(SUMIFS('Base bordo CD'!M$2:M$875,'Base bordo CD'!D$2:D$875,A192,'Base bordo CD'!A$2:A$875,B192,'Base bordo CD'!L$2:L$875,"LIMITAÇÃO INDÚSTRIA"),0)</f>
        <v>0</v>
      </c>
      <c r="K192" s="10">
        <f>IFERROR(SUMIFS('Base bordo CD'!M$2:M$875,'Base bordo CD'!D$2:D$875,A192,'Base bordo CD'!A$2:A$875,B192,'Base bordo CD'!L$2:L$875,"MAN CORRETIVA*"),0)+IFERROR(SUMIFS('Base bordo CD'!M$2:M$875,'Base bordo CD'!D$2:D$875,A192,'Base bordo CD'!A$2:A$875,B192,'Base bordo CD'!L$2:L$875,"AGUARDANDO MANUTENCAO*"),0)+IFERROR(SUMIFS('Base bordo CD'!M$2:M$875,'Base bordo CD'!D$2:D$875,A192,'Base bordo CD'!A$2:A$875,B192,'Base bordo CD'!L$2:L$875,"TROCA DE FAQUINHA"),0)+IFERROR(SUMIFS('Base bordo CD'!M$2:M$875,'Base bordo CD'!D$2:D$875,A192,'Base bordo CD'!A$2:A$875,B192,'Base bordo CD'!L$2:L$875,"LIMPEZA*"),0)</f>
        <v>0.10194444444444443</v>
      </c>
      <c r="L192" s="10">
        <f>IFERROR(SUMIFS('Base bordo CD'!M$2:M$875,'Base bordo CD'!D$2:D$875,A192,'Base bordo CD'!A$2:A$875,B192,'Base bordo CD'!L$2:L$875,"PATIO - RESERVA"),0)</f>
        <v>0</v>
      </c>
      <c r="M192" s="10">
        <f>IFERROR(SUMIFS('Base bordo CD'!M$2:M$875,'Base bordo CD'!D$2:D$875,A192,'Base bordo CD'!A$2:A$875,B192,'Base bordo CD'!L$2:L$875,"SEM APONTAMENTO"),0)</f>
        <v>2.5555555555555554E-2</v>
      </c>
      <c r="N192" s="10">
        <f>IFERROR(SUMIFS('Base bordo CD'!M$2:M$875,'Base bordo CD'!D$2:D$875,A192,'Base bordo CD'!A$2:A$875,B192,'Base bordo CD'!L$2:L$875,"FALTA DE CAMINHÃO"),0)+IFERROR(SUMIFS('Base bordo CD'!M$2:M$875,'Base bordo CD'!D$2:D$875,A192,'Base bordo CD'!A$2:A$875,B192,'Base bordo CD'!L$2:L$875,"FALTA DE COMBUSTIVEL"),0)+IFERROR(SUMIFS('Base bordo CD'!M$2:M$875,'Base bordo CD'!D$2:D$875,A192,'Base bordo CD'!A$2:A$875,B192,'Base bordo CD'!L$2:L$875,"FALTA DE MOTORIST*"),0)</f>
        <v>0</v>
      </c>
      <c r="O192" s="10">
        <f t="shared" si="20"/>
        <v>0.2758333333333276</v>
      </c>
      <c r="P192" s="10">
        <f>IFERROR(SUMIFS('Base bordo CD'!M$2:M$875,'Base bordo CD'!D$2:D$875,A192,'Base bordo CD'!A$2:A$875,B192),0)</f>
        <v>24</v>
      </c>
      <c r="Q192" s="10">
        <f>IFERROR(SUMIFS('Base bordo CD'!O$2:O$875,'Base bordo CD'!D$2:D$875,A192,'Base bordo CD'!A$2:A$875,B192,'Base bordo CD'!L$2:L$875,"CORTE DE CANA MECANIZADO"),0)</f>
        <v>151795.70000000001</v>
      </c>
      <c r="R192" s="10">
        <f>IFERROR(SUMIFS('Base bordo CD'!Q$2:Q$875,'Base bordo CD'!D$2:D$875,A192,'Base bordo CD'!A$2:A$875,B192,'Base bordo CD'!L$2:L$875,"CORTE DE CANA MECANIZADO"),0)</f>
        <v>36039</v>
      </c>
      <c r="S192" s="30">
        <f t="shared" si="21"/>
        <v>4.211984239296318</v>
      </c>
      <c r="T192" s="9">
        <f t="shared" si="22"/>
        <v>0.41711805555555559</v>
      </c>
      <c r="U192" s="9">
        <f t="shared" si="23"/>
        <v>8.5729166666666676E-2</v>
      </c>
      <c r="V192" s="9">
        <f t="shared" si="24"/>
        <v>0.56888888888888878</v>
      </c>
    </row>
    <row r="193" spans="1:22" hidden="1" x14ac:dyDescent="0.35">
      <c r="A193" s="52">
        <v>49592</v>
      </c>
      <c r="B193" s="31">
        <v>46123</v>
      </c>
      <c r="C193" s="7" t="s">
        <v>364</v>
      </c>
      <c r="D193" s="7">
        <v>352</v>
      </c>
      <c r="E193" s="10">
        <f>IFERROR(SUMIFS('Base bordo CD'!M$2:M$875,'Base bordo CD'!D$2:D$875,A193,'Base bordo CD'!A$2:A$875,B193,'Base bordo CD'!L$2:L$875,"CORTE DE CANA MECANIZADO"),0)</f>
        <v>10.010833333333334</v>
      </c>
      <c r="F193" s="10">
        <f>IFERROR(SUMIFS('Base bordo CD'!M$2:M$875,'Base bordo CD'!D$2:D$875,A193,'Base bordo CD'!A$2:A$875,B193,'Base bordo CD'!L$2:L$875,"MANOBRA"),0)</f>
        <v>2.0575000000000001</v>
      </c>
      <c r="G193" s="10">
        <f>IFERROR(SUMIFS('Base bordo CD'!M$2:M$875,'Base bordo CD'!D$2:D$875,A193,'Base bordo CD'!A$2:A$875,B193,'Base bordo CD'!L$2:L$875,"DESLOCAMENTO"),0)</f>
        <v>0.33583333333333332</v>
      </c>
      <c r="H193" s="10">
        <f>IFERROR(SUMIFS('Base bordo CD'!M$2:M$875,'Base bordo CD'!D$2:D$875,A193,'Base bordo CD'!A$2:A$875,B193,'Base bordo CD'!L$2:L$875,"AGUARDANDO MANOBRA DE TRANSBORDO"),0)+IFERROR(SUMIFS('Base bordo CD'!M$2:M$875,'Base bordo CD'!D$2:D$875,A193,'Base bordo CD'!A$2:A$875,B193,'Base bordo CD'!L$2:L$875,"FALTA DE TRANSBORDO"),0)</f>
        <v>0</v>
      </c>
      <c r="I193" s="10">
        <f>IFERROR(SUMIFS('Base bordo CD'!M$2:M$875,'Base bordo CD'!D$2:D$875,A193,'Base bordo CD'!A$2:A$875,B193,'Base bordo CD'!L$2:L$875,"PARADA POR CONDICOES CLIMATICAS"),0)+IFERROR(SUMIFS('Base bordo CD'!M$2:M$875,'Base bordo CD'!D$2:D$875,A193,'Base bordo CD'!A$2:A$875,B193,'Base bordo CD'!L$2:L$875,"TEMPO INDETERMINADO"),0)</f>
        <v>11.192500000000001</v>
      </c>
      <c r="J193" s="10">
        <f>IFERROR(SUMIFS('Base bordo CD'!M$2:M$875,'Base bordo CD'!D$2:D$875,A193,'Base bordo CD'!A$2:A$875,B193,'Base bordo CD'!L$2:L$875,"LIMITAÇÃO INDÚSTRIA"),0)</f>
        <v>0</v>
      </c>
      <c r="K193" s="10">
        <f>IFERROR(SUMIFS('Base bordo CD'!M$2:M$875,'Base bordo CD'!D$2:D$875,A193,'Base bordo CD'!A$2:A$875,B193,'Base bordo CD'!L$2:L$875,"MAN CORRETIVA*"),0)+IFERROR(SUMIFS('Base bordo CD'!M$2:M$875,'Base bordo CD'!D$2:D$875,A193,'Base bordo CD'!A$2:A$875,B193,'Base bordo CD'!L$2:L$875,"AGUARDANDO MANUTENCAO*"),0)+IFERROR(SUMIFS('Base bordo CD'!M$2:M$875,'Base bordo CD'!D$2:D$875,A193,'Base bordo CD'!A$2:A$875,B193,'Base bordo CD'!L$2:L$875,"TROCA DE FAQUINHA"),0)+IFERROR(SUMIFS('Base bordo CD'!M$2:M$875,'Base bordo CD'!D$2:D$875,A193,'Base bordo CD'!A$2:A$875,B193,'Base bordo CD'!L$2:L$875,"LIMPEZA*"),0)</f>
        <v>0.10194444444444443</v>
      </c>
      <c r="L193" s="10">
        <f>IFERROR(SUMIFS('Base bordo CD'!M$2:M$875,'Base bordo CD'!D$2:D$875,A193,'Base bordo CD'!A$2:A$875,B193,'Base bordo CD'!L$2:L$875,"PATIO - RESERVA"),0)</f>
        <v>0</v>
      </c>
      <c r="M193" s="10">
        <f>IFERROR(SUMIFS('Base bordo CD'!M$2:M$875,'Base bordo CD'!D$2:D$875,A193,'Base bordo CD'!A$2:A$875,B193,'Base bordo CD'!L$2:L$875,"SEM APONTAMENTO"),0)</f>
        <v>2.5555555555555554E-2</v>
      </c>
      <c r="N193" s="10">
        <f>IFERROR(SUMIFS('Base bordo CD'!M$2:M$875,'Base bordo CD'!D$2:D$875,A193,'Base bordo CD'!A$2:A$875,B193,'Base bordo CD'!L$2:L$875,"FALTA DE CAMINHÃO"),0)+IFERROR(SUMIFS('Base bordo CD'!M$2:M$875,'Base bordo CD'!D$2:D$875,A193,'Base bordo CD'!A$2:A$875,B193,'Base bordo CD'!L$2:L$875,"FALTA DE COMBUSTIVEL"),0)+IFERROR(SUMIFS('Base bordo CD'!M$2:M$875,'Base bordo CD'!D$2:D$875,A193,'Base bordo CD'!A$2:A$875,B193,'Base bordo CD'!L$2:L$875,"FALTA DE MOTORIST*"),0)</f>
        <v>0</v>
      </c>
      <c r="O193" s="10">
        <f t="shared" si="20"/>
        <v>0.2758333333333276</v>
      </c>
      <c r="P193" s="10">
        <f>IFERROR(SUMIFS('Base bordo CD'!M$2:M$875,'Base bordo CD'!D$2:D$875,A193,'Base bordo CD'!A$2:A$875,B193),0)</f>
        <v>24</v>
      </c>
      <c r="Q193" s="10">
        <f>IFERROR(SUMIFS('Base bordo CD'!O$2:O$875,'Base bordo CD'!D$2:D$875,A193,'Base bordo CD'!A$2:A$875,B193,'Base bordo CD'!L$2:L$875,"CORTE DE CANA MECANIZADO"),0)</f>
        <v>151795.70000000001</v>
      </c>
      <c r="R193" s="10">
        <f>IFERROR(SUMIFS('Base bordo CD'!Q$2:Q$875,'Base bordo CD'!D$2:D$875,A193,'Base bordo CD'!A$2:A$875,B193,'Base bordo CD'!L$2:L$875,"CORTE DE CANA MECANIZADO"),0)</f>
        <v>36039</v>
      </c>
      <c r="S193" s="30">
        <f t="shared" si="21"/>
        <v>4.211984239296318</v>
      </c>
      <c r="T193" s="9">
        <f t="shared" si="22"/>
        <v>0.41711805555555559</v>
      </c>
      <c r="U193" s="9">
        <f t="shared" si="23"/>
        <v>8.5729166666666676E-2</v>
      </c>
      <c r="V193" s="9">
        <f t="shared" si="24"/>
        <v>0.56888888888888878</v>
      </c>
    </row>
    <row r="194" spans="1:22" hidden="1" x14ac:dyDescent="0.35">
      <c r="A194" s="52">
        <v>49592</v>
      </c>
      <c r="B194" s="31">
        <v>46123</v>
      </c>
      <c r="C194" s="7" t="s">
        <v>364</v>
      </c>
      <c r="D194" s="7">
        <v>352</v>
      </c>
      <c r="E194" s="10">
        <f>IFERROR(SUMIFS('Base bordo CD'!M$2:M$875,'Base bordo CD'!D$2:D$875,A194,'Base bordo CD'!A$2:A$875,B194,'Base bordo CD'!L$2:L$875,"CORTE DE CANA MECANIZADO"),0)</f>
        <v>10.010833333333334</v>
      </c>
      <c r="F194" s="10">
        <f>IFERROR(SUMIFS('Base bordo CD'!M$2:M$875,'Base bordo CD'!D$2:D$875,A194,'Base bordo CD'!A$2:A$875,B194,'Base bordo CD'!L$2:L$875,"MANOBRA"),0)</f>
        <v>2.0575000000000001</v>
      </c>
      <c r="G194" s="10">
        <f>IFERROR(SUMIFS('Base bordo CD'!M$2:M$875,'Base bordo CD'!D$2:D$875,A194,'Base bordo CD'!A$2:A$875,B194,'Base bordo CD'!L$2:L$875,"DESLOCAMENTO"),0)</f>
        <v>0.33583333333333332</v>
      </c>
      <c r="H194" s="10">
        <f>IFERROR(SUMIFS('Base bordo CD'!M$2:M$875,'Base bordo CD'!D$2:D$875,A194,'Base bordo CD'!A$2:A$875,B194,'Base bordo CD'!L$2:L$875,"AGUARDANDO MANOBRA DE TRANSBORDO"),0)+IFERROR(SUMIFS('Base bordo CD'!M$2:M$875,'Base bordo CD'!D$2:D$875,A194,'Base bordo CD'!A$2:A$875,B194,'Base bordo CD'!L$2:L$875,"FALTA DE TRANSBORDO"),0)</f>
        <v>0</v>
      </c>
      <c r="I194" s="10">
        <f>IFERROR(SUMIFS('Base bordo CD'!M$2:M$875,'Base bordo CD'!D$2:D$875,A194,'Base bordo CD'!A$2:A$875,B194,'Base bordo CD'!L$2:L$875,"PARADA POR CONDICOES CLIMATICAS"),0)+IFERROR(SUMIFS('Base bordo CD'!M$2:M$875,'Base bordo CD'!D$2:D$875,A194,'Base bordo CD'!A$2:A$875,B194,'Base bordo CD'!L$2:L$875,"TEMPO INDETERMINADO"),0)</f>
        <v>11.192500000000001</v>
      </c>
      <c r="J194" s="10">
        <f>IFERROR(SUMIFS('Base bordo CD'!M$2:M$875,'Base bordo CD'!D$2:D$875,A194,'Base bordo CD'!A$2:A$875,B194,'Base bordo CD'!L$2:L$875,"LIMITAÇÃO INDÚSTRIA"),0)</f>
        <v>0</v>
      </c>
      <c r="K194" s="10">
        <f>IFERROR(SUMIFS('Base bordo CD'!M$2:M$875,'Base bordo CD'!D$2:D$875,A194,'Base bordo CD'!A$2:A$875,B194,'Base bordo CD'!L$2:L$875,"MAN CORRETIVA*"),0)+IFERROR(SUMIFS('Base bordo CD'!M$2:M$875,'Base bordo CD'!D$2:D$875,A194,'Base bordo CD'!A$2:A$875,B194,'Base bordo CD'!L$2:L$875,"AGUARDANDO MANUTENCAO*"),0)+IFERROR(SUMIFS('Base bordo CD'!M$2:M$875,'Base bordo CD'!D$2:D$875,A194,'Base bordo CD'!A$2:A$875,B194,'Base bordo CD'!L$2:L$875,"TROCA DE FAQUINHA"),0)+IFERROR(SUMIFS('Base bordo CD'!M$2:M$875,'Base bordo CD'!D$2:D$875,A194,'Base bordo CD'!A$2:A$875,B194,'Base bordo CD'!L$2:L$875,"LIMPEZA*"),0)</f>
        <v>0.10194444444444443</v>
      </c>
      <c r="L194" s="10">
        <f>IFERROR(SUMIFS('Base bordo CD'!M$2:M$875,'Base bordo CD'!D$2:D$875,A194,'Base bordo CD'!A$2:A$875,B194,'Base bordo CD'!L$2:L$875,"PATIO - RESERVA"),0)</f>
        <v>0</v>
      </c>
      <c r="M194" s="10">
        <f>IFERROR(SUMIFS('Base bordo CD'!M$2:M$875,'Base bordo CD'!D$2:D$875,A194,'Base bordo CD'!A$2:A$875,B194,'Base bordo CD'!L$2:L$875,"SEM APONTAMENTO"),0)</f>
        <v>2.5555555555555554E-2</v>
      </c>
      <c r="N194" s="10">
        <f>IFERROR(SUMIFS('Base bordo CD'!M$2:M$875,'Base bordo CD'!D$2:D$875,A194,'Base bordo CD'!A$2:A$875,B194,'Base bordo CD'!L$2:L$875,"FALTA DE CAMINHÃO"),0)+IFERROR(SUMIFS('Base bordo CD'!M$2:M$875,'Base bordo CD'!D$2:D$875,A194,'Base bordo CD'!A$2:A$875,B194,'Base bordo CD'!L$2:L$875,"FALTA DE COMBUSTIVEL"),0)+IFERROR(SUMIFS('Base bordo CD'!M$2:M$875,'Base bordo CD'!D$2:D$875,A194,'Base bordo CD'!A$2:A$875,B194,'Base bordo CD'!L$2:L$875,"FALTA DE MOTORIST*"),0)</f>
        <v>0</v>
      </c>
      <c r="O194" s="10">
        <f t="shared" si="20"/>
        <v>0.2758333333333276</v>
      </c>
      <c r="P194" s="10">
        <f>IFERROR(SUMIFS('Base bordo CD'!M$2:M$875,'Base bordo CD'!D$2:D$875,A194,'Base bordo CD'!A$2:A$875,B194),0)</f>
        <v>24</v>
      </c>
      <c r="Q194" s="10">
        <f>IFERROR(SUMIFS('Base bordo CD'!O$2:O$875,'Base bordo CD'!D$2:D$875,A194,'Base bordo CD'!A$2:A$875,B194,'Base bordo CD'!L$2:L$875,"CORTE DE CANA MECANIZADO"),0)</f>
        <v>151795.70000000001</v>
      </c>
      <c r="R194" s="10">
        <f>IFERROR(SUMIFS('Base bordo CD'!Q$2:Q$875,'Base bordo CD'!D$2:D$875,A194,'Base bordo CD'!A$2:A$875,B194,'Base bordo CD'!L$2:L$875,"CORTE DE CANA MECANIZADO"),0)</f>
        <v>36039</v>
      </c>
      <c r="S194" s="30">
        <f t="shared" si="21"/>
        <v>4.211984239296318</v>
      </c>
      <c r="T194" s="9">
        <f t="shared" si="22"/>
        <v>0.41711805555555559</v>
      </c>
      <c r="U194" s="9">
        <f t="shared" si="23"/>
        <v>8.5729166666666676E-2</v>
      </c>
      <c r="V194" s="9">
        <f t="shared" si="24"/>
        <v>0.56888888888888878</v>
      </c>
    </row>
    <row r="195" spans="1:22" hidden="1" x14ac:dyDescent="0.35">
      <c r="A195" s="52">
        <v>49592</v>
      </c>
      <c r="B195" s="31">
        <v>46123</v>
      </c>
      <c r="C195" s="7" t="s">
        <v>364</v>
      </c>
      <c r="D195" s="7">
        <v>352</v>
      </c>
      <c r="E195" s="10">
        <f>IFERROR(SUMIFS('Base bordo CD'!M$2:M$875,'Base bordo CD'!D$2:D$875,A195,'Base bordo CD'!A$2:A$875,B195,'Base bordo CD'!L$2:L$875,"CORTE DE CANA MECANIZADO"),0)</f>
        <v>10.010833333333334</v>
      </c>
      <c r="F195" s="10">
        <f>IFERROR(SUMIFS('Base bordo CD'!M$2:M$875,'Base bordo CD'!D$2:D$875,A195,'Base bordo CD'!A$2:A$875,B195,'Base bordo CD'!L$2:L$875,"MANOBRA"),0)</f>
        <v>2.0575000000000001</v>
      </c>
      <c r="G195" s="10">
        <f>IFERROR(SUMIFS('Base bordo CD'!M$2:M$875,'Base bordo CD'!D$2:D$875,A195,'Base bordo CD'!A$2:A$875,B195,'Base bordo CD'!L$2:L$875,"DESLOCAMENTO"),0)</f>
        <v>0.33583333333333332</v>
      </c>
      <c r="H195" s="10">
        <f>IFERROR(SUMIFS('Base bordo CD'!M$2:M$875,'Base bordo CD'!D$2:D$875,A195,'Base bordo CD'!A$2:A$875,B195,'Base bordo CD'!L$2:L$875,"AGUARDANDO MANOBRA DE TRANSBORDO"),0)+IFERROR(SUMIFS('Base bordo CD'!M$2:M$875,'Base bordo CD'!D$2:D$875,A195,'Base bordo CD'!A$2:A$875,B195,'Base bordo CD'!L$2:L$875,"FALTA DE TRANSBORDO"),0)</f>
        <v>0</v>
      </c>
      <c r="I195" s="10">
        <f>IFERROR(SUMIFS('Base bordo CD'!M$2:M$875,'Base bordo CD'!D$2:D$875,A195,'Base bordo CD'!A$2:A$875,B195,'Base bordo CD'!L$2:L$875,"PARADA POR CONDICOES CLIMATICAS"),0)+IFERROR(SUMIFS('Base bordo CD'!M$2:M$875,'Base bordo CD'!D$2:D$875,A195,'Base bordo CD'!A$2:A$875,B195,'Base bordo CD'!L$2:L$875,"TEMPO INDETERMINADO"),0)</f>
        <v>11.192500000000001</v>
      </c>
      <c r="J195" s="10">
        <f>IFERROR(SUMIFS('Base bordo CD'!M$2:M$875,'Base bordo CD'!D$2:D$875,A195,'Base bordo CD'!A$2:A$875,B195,'Base bordo CD'!L$2:L$875,"LIMITAÇÃO INDÚSTRIA"),0)</f>
        <v>0</v>
      </c>
      <c r="K195" s="10">
        <f>IFERROR(SUMIFS('Base bordo CD'!M$2:M$875,'Base bordo CD'!D$2:D$875,A195,'Base bordo CD'!A$2:A$875,B195,'Base bordo CD'!L$2:L$875,"MAN CORRETIVA*"),0)+IFERROR(SUMIFS('Base bordo CD'!M$2:M$875,'Base bordo CD'!D$2:D$875,A195,'Base bordo CD'!A$2:A$875,B195,'Base bordo CD'!L$2:L$875,"AGUARDANDO MANUTENCAO*"),0)+IFERROR(SUMIFS('Base bordo CD'!M$2:M$875,'Base bordo CD'!D$2:D$875,A195,'Base bordo CD'!A$2:A$875,B195,'Base bordo CD'!L$2:L$875,"TROCA DE FAQUINHA"),0)+IFERROR(SUMIFS('Base bordo CD'!M$2:M$875,'Base bordo CD'!D$2:D$875,A195,'Base bordo CD'!A$2:A$875,B195,'Base bordo CD'!L$2:L$875,"LIMPEZA*"),0)</f>
        <v>0.10194444444444443</v>
      </c>
      <c r="L195" s="10">
        <f>IFERROR(SUMIFS('Base bordo CD'!M$2:M$875,'Base bordo CD'!D$2:D$875,A195,'Base bordo CD'!A$2:A$875,B195,'Base bordo CD'!L$2:L$875,"PATIO - RESERVA"),0)</f>
        <v>0</v>
      </c>
      <c r="M195" s="10">
        <f>IFERROR(SUMIFS('Base bordo CD'!M$2:M$875,'Base bordo CD'!D$2:D$875,A195,'Base bordo CD'!A$2:A$875,B195,'Base bordo CD'!L$2:L$875,"SEM APONTAMENTO"),0)</f>
        <v>2.5555555555555554E-2</v>
      </c>
      <c r="N195" s="10">
        <f>IFERROR(SUMIFS('Base bordo CD'!M$2:M$875,'Base bordo CD'!D$2:D$875,A195,'Base bordo CD'!A$2:A$875,B195,'Base bordo CD'!L$2:L$875,"FALTA DE CAMINHÃO"),0)+IFERROR(SUMIFS('Base bordo CD'!M$2:M$875,'Base bordo CD'!D$2:D$875,A195,'Base bordo CD'!A$2:A$875,B195,'Base bordo CD'!L$2:L$875,"FALTA DE COMBUSTIVEL"),0)+IFERROR(SUMIFS('Base bordo CD'!M$2:M$875,'Base bordo CD'!D$2:D$875,A195,'Base bordo CD'!A$2:A$875,B195,'Base bordo CD'!L$2:L$875,"FALTA DE MOTORIST*"),0)</f>
        <v>0</v>
      </c>
      <c r="O195" s="10">
        <f t="shared" si="20"/>
        <v>0.2758333333333276</v>
      </c>
      <c r="P195" s="10">
        <f>IFERROR(SUMIFS('Base bordo CD'!M$2:M$875,'Base bordo CD'!D$2:D$875,A195,'Base bordo CD'!A$2:A$875,B195),0)</f>
        <v>24</v>
      </c>
      <c r="Q195" s="10">
        <f>IFERROR(SUMIFS('Base bordo CD'!O$2:O$875,'Base bordo CD'!D$2:D$875,A195,'Base bordo CD'!A$2:A$875,B195,'Base bordo CD'!L$2:L$875,"CORTE DE CANA MECANIZADO"),0)</f>
        <v>151795.70000000001</v>
      </c>
      <c r="R195" s="10">
        <f>IFERROR(SUMIFS('Base bordo CD'!Q$2:Q$875,'Base bordo CD'!D$2:D$875,A195,'Base bordo CD'!A$2:A$875,B195,'Base bordo CD'!L$2:L$875,"CORTE DE CANA MECANIZADO"),0)</f>
        <v>36039</v>
      </c>
      <c r="S195" s="30">
        <f t="shared" si="21"/>
        <v>4.211984239296318</v>
      </c>
      <c r="T195" s="9">
        <f t="shared" si="22"/>
        <v>0.41711805555555559</v>
      </c>
      <c r="U195" s="9">
        <f t="shared" si="23"/>
        <v>8.5729166666666676E-2</v>
      </c>
      <c r="V195" s="9">
        <f t="shared" si="24"/>
        <v>0.56888888888888878</v>
      </c>
    </row>
    <row r="196" spans="1:22" hidden="1" x14ac:dyDescent="0.35">
      <c r="A196" s="52">
        <v>49592</v>
      </c>
      <c r="B196" s="31">
        <v>46123</v>
      </c>
      <c r="C196" s="7" t="s">
        <v>364</v>
      </c>
      <c r="D196" s="7">
        <v>352</v>
      </c>
      <c r="E196" s="10">
        <f>IFERROR(SUMIFS('Base bordo CD'!M$2:M$875,'Base bordo CD'!D$2:D$875,A196,'Base bordo CD'!A$2:A$875,B196,'Base bordo CD'!L$2:L$875,"CORTE DE CANA MECANIZADO"),0)</f>
        <v>10.010833333333334</v>
      </c>
      <c r="F196" s="10">
        <f>IFERROR(SUMIFS('Base bordo CD'!M$2:M$875,'Base bordo CD'!D$2:D$875,A196,'Base bordo CD'!A$2:A$875,B196,'Base bordo CD'!L$2:L$875,"MANOBRA"),0)</f>
        <v>2.0575000000000001</v>
      </c>
      <c r="G196" s="10">
        <f>IFERROR(SUMIFS('Base bordo CD'!M$2:M$875,'Base bordo CD'!D$2:D$875,A196,'Base bordo CD'!A$2:A$875,B196,'Base bordo CD'!L$2:L$875,"DESLOCAMENTO"),0)</f>
        <v>0.33583333333333332</v>
      </c>
      <c r="H196" s="10">
        <f>IFERROR(SUMIFS('Base bordo CD'!M$2:M$875,'Base bordo CD'!D$2:D$875,A196,'Base bordo CD'!A$2:A$875,B196,'Base bordo CD'!L$2:L$875,"AGUARDANDO MANOBRA DE TRANSBORDO"),0)+IFERROR(SUMIFS('Base bordo CD'!M$2:M$875,'Base bordo CD'!D$2:D$875,A196,'Base bordo CD'!A$2:A$875,B196,'Base bordo CD'!L$2:L$875,"FALTA DE TRANSBORDO"),0)</f>
        <v>0</v>
      </c>
      <c r="I196" s="10">
        <f>IFERROR(SUMIFS('Base bordo CD'!M$2:M$875,'Base bordo CD'!D$2:D$875,A196,'Base bordo CD'!A$2:A$875,B196,'Base bordo CD'!L$2:L$875,"PARADA POR CONDICOES CLIMATICAS"),0)+IFERROR(SUMIFS('Base bordo CD'!M$2:M$875,'Base bordo CD'!D$2:D$875,A196,'Base bordo CD'!A$2:A$875,B196,'Base bordo CD'!L$2:L$875,"TEMPO INDETERMINADO"),0)</f>
        <v>11.192500000000001</v>
      </c>
      <c r="J196" s="10">
        <f>IFERROR(SUMIFS('Base bordo CD'!M$2:M$875,'Base bordo CD'!D$2:D$875,A196,'Base bordo CD'!A$2:A$875,B196,'Base bordo CD'!L$2:L$875,"LIMITAÇÃO INDÚSTRIA"),0)</f>
        <v>0</v>
      </c>
      <c r="K196" s="10">
        <f>IFERROR(SUMIFS('Base bordo CD'!M$2:M$875,'Base bordo CD'!D$2:D$875,A196,'Base bordo CD'!A$2:A$875,B196,'Base bordo CD'!L$2:L$875,"MAN CORRETIVA*"),0)+IFERROR(SUMIFS('Base bordo CD'!M$2:M$875,'Base bordo CD'!D$2:D$875,A196,'Base bordo CD'!A$2:A$875,B196,'Base bordo CD'!L$2:L$875,"AGUARDANDO MANUTENCAO*"),0)+IFERROR(SUMIFS('Base bordo CD'!M$2:M$875,'Base bordo CD'!D$2:D$875,A196,'Base bordo CD'!A$2:A$875,B196,'Base bordo CD'!L$2:L$875,"TROCA DE FAQUINHA"),0)+IFERROR(SUMIFS('Base bordo CD'!M$2:M$875,'Base bordo CD'!D$2:D$875,A196,'Base bordo CD'!A$2:A$875,B196,'Base bordo CD'!L$2:L$875,"LIMPEZA*"),0)</f>
        <v>0.10194444444444443</v>
      </c>
      <c r="L196" s="10">
        <f>IFERROR(SUMIFS('Base bordo CD'!M$2:M$875,'Base bordo CD'!D$2:D$875,A196,'Base bordo CD'!A$2:A$875,B196,'Base bordo CD'!L$2:L$875,"PATIO - RESERVA"),0)</f>
        <v>0</v>
      </c>
      <c r="M196" s="10">
        <f>IFERROR(SUMIFS('Base bordo CD'!M$2:M$875,'Base bordo CD'!D$2:D$875,A196,'Base bordo CD'!A$2:A$875,B196,'Base bordo CD'!L$2:L$875,"SEM APONTAMENTO"),0)</f>
        <v>2.5555555555555554E-2</v>
      </c>
      <c r="N196" s="10">
        <f>IFERROR(SUMIFS('Base bordo CD'!M$2:M$875,'Base bordo CD'!D$2:D$875,A196,'Base bordo CD'!A$2:A$875,B196,'Base bordo CD'!L$2:L$875,"FALTA DE CAMINHÃO"),0)+IFERROR(SUMIFS('Base bordo CD'!M$2:M$875,'Base bordo CD'!D$2:D$875,A196,'Base bordo CD'!A$2:A$875,B196,'Base bordo CD'!L$2:L$875,"FALTA DE COMBUSTIVEL"),0)+IFERROR(SUMIFS('Base bordo CD'!M$2:M$875,'Base bordo CD'!D$2:D$875,A196,'Base bordo CD'!A$2:A$875,B196,'Base bordo CD'!L$2:L$875,"FALTA DE MOTORIST*"),0)</f>
        <v>0</v>
      </c>
      <c r="O196" s="10">
        <f t="shared" si="20"/>
        <v>0.2758333333333276</v>
      </c>
      <c r="P196" s="10">
        <f>IFERROR(SUMIFS('Base bordo CD'!M$2:M$875,'Base bordo CD'!D$2:D$875,A196,'Base bordo CD'!A$2:A$875,B196),0)</f>
        <v>24</v>
      </c>
      <c r="Q196" s="10">
        <f>IFERROR(SUMIFS('Base bordo CD'!O$2:O$875,'Base bordo CD'!D$2:D$875,A196,'Base bordo CD'!A$2:A$875,B196,'Base bordo CD'!L$2:L$875,"CORTE DE CANA MECANIZADO"),0)</f>
        <v>151795.70000000001</v>
      </c>
      <c r="R196" s="10">
        <f>IFERROR(SUMIFS('Base bordo CD'!Q$2:Q$875,'Base bordo CD'!D$2:D$875,A196,'Base bordo CD'!A$2:A$875,B196,'Base bordo CD'!L$2:L$875,"CORTE DE CANA MECANIZADO"),0)</f>
        <v>36039</v>
      </c>
      <c r="S196" s="30">
        <f t="shared" si="21"/>
        <v>4.211984239296318</v>
      </c>
      <c r="T196" s="9">
        <f t="shared" si="22"/>
        <v>0.41711805555555559</v>
      </c>
      <c r="U196" s="9">
        <f t="shared" si="23"/>
        <v>8.5729166666666676E-2</v>
      </c>
      <c r="V196" s="9">
        <f t="shared" si="24"/>
        <v>0.56888888888888878</v>
      </c>
    </row>
    <row r="197" spans="1:22" hidden="1" x14ac:dyDescent="0.35">
      <c r="A197" s="52">
        <v>49592</v>
      </c>
      <c r="B197" s="31">
        <v>46123</v>
      </c>
      <c r="C197" s="7" t="s">
        <v>364</v>
      </c>
      <c r="D197" s="7">
        <v>352</v>
      </c>
      <c r="E197" s="10">
        <f>IFERROR(SUMIFS('Base bordo CD'!M$2:M$875,'Base bordo CD'!D$2:D$875,A197,'Base bordo CD'!A$2:A$875,B197,'Base bordo CD'!L$2:L$875,"CORTE DE CANA MECANIZADO"),0)</f>
        <v>10.010833333333334</v>
      </c>
      <c r="F197" s="10">
        <f>IFERROR(SUMIFS('Base bordo CD'!M$2:M$875,'Base bordo CD'!D$2:D$875,A197,'Base bordo CD'!A$2:A$875,B197,'Base bordo CD'!L$2:L$875,"MANOBRA"),0)</f>
        <v>2.0575000000000001</v>
      </c>
      <c r="G197" s="10">
        <f>IFERROR(SUMIFS('Base bordo CD'!M$2:M$875,'Base bordo CD'!D$2:D$875,A197,'Base bordo CD'!A$2:A$875,B197,'Base bordo CD'!L$2:L$875,"DESLOCAMENTO"),0)</f>
        <v>0.33583333333333332</v>
      </c>
      <c r="H197" s="10">
        <f>IFERROR(SUMIFS('Base bordo CD'!M$2:M$875,'Base bordo CD'!D$2:D$875,A197,'Base bordo CD'!A$2:A$875,B197,'Base bordo CD'!L$2:L$875,"AGUARDANDO MANOBRA DE TRANSBORDO"),0)+IFERROR(SUMIFS('Base bordo CD'!M$2:M$875,'Base bordo CD'!D$2:D$875,A197,'Base bordo CD'!A$2:A$875,B197,'Base bordo CD'!L$2:L$875,"FALTA DE TRANSBORDO"),0)</f>
        <v>0</v>
      </c>
      <c r="I197" s="10">
        <f>IFERROR(SUMIFS('Base bordo CD'!M$2:M$875,'Base bordo CD'!D$2:D$875,A197,'Base bordo CD'!A$2:A$875,B197,'Base bordo CD'!L$2:L$875,"PARADA POR CONDICOES CLIMATICAS"),0)+IFERROR(SUMIFS('Base bordo CD'!M$2:M$875,'Base bordo CD'!D$2:D$875,A197,'Base bordo CD'!A$2:A$875,B197,'Base bordo CD'!L$2:L$875,"TEMPO INDETERMINADO"),0)</f>
        <v>11.192500000000001</v>
      </c>
      <c r="J197" s="10">
        <f>IFERROR(SUMIFS('Base bordo CD'!M$2:M$875,'Base bordo CD'!D$2:D$875,A197,'Base bordo CD'!A$2:A$875,B197,'Base bordo CD'!L$2:L$875,"LIMITAÇÃO INDÚSTRIA"),0)</f>
        <v>0</v>
      </c>
      <c r="K197" s="10">
        <f>IFERROR(SUMIFS('Base bordo CD'!M$2:M$875,'Base bordo CD'!D$2:D$875,A197,'Base bordo CD'!A$2:A$875,B197,'Base bordo CD'!L$2:L$875,"MAN CORRETIVA*"),0)+IFERROR(SUMIFS('Base bordo CD'!M$2:M$875,'Base bordo CD'!D$2:D$875,A197,'Base bordo CD'!A$2:A$875,B197,'Base bordo CD'!L$2:L$875,"AGUARDANDO MANUTENCAO*"),0)+IFERROR(SUMIFS('Base bordo CD'!M$2:M$875,'Base bordo CD'!D$2:D$875,A197,'Base bordo CD'!A$2:A$875,B197,'Base bordo CD'!L$2:L$875,"TROCA DE FAQUINHA"),0)+IFERROR(SUMIFS('Base bordo CD'!M$2:M$875,'Base bordo CD'!D$2:D$875,A197,'Base bordo CD'!A$2:A$875,B197,'Base bordo CD'!L$2:L$875,"LIMPEZA*"),0)</f>
        <v>0.10194444444444443</v>
      </c>
      <c r="L197" s="10">
        <f>IFERROR(SUMIFS('Base bordo CD'!M$2:M$875,'Base bordo CD'!D$2:D$875,A197,'Base bordo CD'!A$2:A$875,B197,'Base bordo CD'!L$2:L$875,"PATIO - RESERVA"),0)</f>
        <v>0</v>
      </c>
      <c r="M197" s="10">
        <f>IFERROR(SUMIFS('Base bordo CD'!M$2:M$875,'Base bordo CD'!D$2:D$875,A197,'Base bordo CD'!A$2:A$875,B197,'Base bordo CD'!L$2:L$875,"SEM APONTAMENTO"),0)</f>
        <v>2.5555555555555554E-2</v>
      </c>
      <c r="N197" s="10">
        <f>IFERROR(SUMIFS('Base bordo CD'!M$2:M$875,'Base bordo CD'!D$2:D$875,A197,'Base bordo CD'!A$2:A$875,B197,'Base bordo CD'!L$2:L$875,"FALTA DE CAMINHÃO"),0)+IFERROR(SUMIFS('Base bordo CD'!M$2:M$875,'Base bordo CD'!D$2:D$875,A197,'Base bordo CD'!A$2:A$875,B197,'Base bordo CD'!L$2:L$875,"FALTA DE COMBUSTIVEL"),0)+IFERROR(SUMIFS('Base bordo CD'!M$2:M$875,'Base bordo CD'!D$2:D$875,A197,'Base bordo CD'!A$2:A$875,B197,'Base bordo CD'!L$2:L$875,"FALTA DE MOTORIST*"),0)</f>
        <v>0</v>
      </c>
      <c r="O197" s="10">
        <f t="shared" si="20"/>
        <v>0.2758333333333276</v>
      </c>
      <c r="P197" s="10">
        <f>IFERROR(SUMIFS('Base bordo CD'!M$2:M$875,'Base bordo CD'!D$2:D$875,A197,'Base bordo CD'!A$2:A$875,B197),0)</f>
        <v>24</v>
      </c>
      <c r="Q197" s="10">
        <f>IFERROR(SUMIFS('Base bordo CD'!O$2:O$875,'Base bordo CD'!D$2:D$875,A197,'Base bordo CD'!A$2:A$875,B197,'Base bordo CD'!L$2:L$875,"CORTE DE CANA MECANIZADO"),0)</f>
        <v>151795.70000000001</v>
      </c>
      <c r="R197" s="10">
        <f>IFERROR(SUMIFS('Base bordo CD'!Q$2:Q$875,'Base bordo CD'!D$2:D$875,A197,'Base bordo CD'!A$2:A$875,B197,'Base bordo CD'!L$2:L$875,"CORTE DE CANA MECANIZADO"),0)</f>
        <v>36039</v>
      </c>
      <c r="S197" s="30">
        <f t="shared" si="21"/>
        <v>4.211984239296318</v>
      </c>
      <c r="T197" s="9">
        <f t="shared" si="22"/>
        <v>0.41711805555555559</v>
      </c>
      <c r="U197" s="9">
        <f t="shared" si="23"/>
        <v>8.5729166666666676E-2</v>
      </c>
      <c r="V197" s="9">
        <f t="shared" si="24"/>
        <v>0.56888888888888878</v>
      </c>
    </row>
    <row r="198" spans="1:22" hidden="1" x14ac:dyDescent="0.35">
      <c r="A198" s="52">
        <v>49592</v>
      </c>
      <c r="B198" s="31">
        <v>46123</v>
      </c>
      <c r="C198" s="7" t="s">
        <v>364</v>
      </c>
      <c r="D198" s="7">
        <v>352</v>
      </c>
      <c r="E198" s="10">
        <f>IFERROR(SUMIFS('Base bordo CD'!M$2:M$875,'Base bordo CD'!D$2:D$875,A198,'Base bordo CD'!A$2:A$875,B198,'Base bordo CD'!L$2:L$875,"CORTE DE CANA MECANIZADO"),0)</f>
        <v>10.010833333333334</v>
      </c>
      <c r="F198" s="10">
        <f>IFERROR(SUMIFS('Base bordo CD'!M$2:M$875,'Base bordo CD'!D$2:D$875,A198,'Base bordo CD'!A$2:A$875,B198,'Base bordo CD'!L$2:L$875,"MANOBRA"),0)</f>
        <v>2.0575000000000001</v>
      </c>
      <c r="G198" s="10">
        <f>IFERROR(SUMIFS('Base bordo CD'!M$2:M$875,'Base bordo CD'!D$2:D$875,A198,'Base bordo CD'!A$2:A$875,B198,'Base bordo CD'!L$2:L$875,"DESLOCAMENTO"),0)</f>
        <v>0.33583333333333332</v>
      </c>
      <c r="H198" s="10">
        <f>IFERROR(SUMIFS('Base bordo CD'!M$2:M$875,'Base bordo CD'!D$2:D$875,A198,'Base bordo CD'!A$2:A$875,B198,'Base bordo CD'!L$2:L$875,"AGUARDANDO MANOBRA DE TRANSBORDO"),0)+IFERROR(SUMIFS('Base bordo CD'!M$2:M$875,'Base bordo CD'!D$2:D$875,A198,'Base bordo CD'!A$2:A$875,B198,'Base bordo CD'!L$2:L$875,"FALTA DE TRANSBORDO"),0)</f>
        <v>0</v>
      </c>
      <c r="I198" s="10">
        <f>IFERROR(SUMIFS('Base bordo CD'!M$2:M$875,'Base bordo CD'!D$2:D$875,A198,'Base bordo CD'!A$2:A$875,B198,'Base bordo CD'!L$2:L$875,"PARADA POR CONDICOES CLIMATICAS"),0)+IFERROR(SUMIFS('Base bordo CD'!M$2:M$875,'Base bordo CD'!D$2:D$875,A198,'Base bordo CD'!A$2:A$875,B198,'Base bordo CD'!L$2:L$875,"TEMPO INDETERMINADO"),0)</f>
        <v>11.192500000000001</v>
      </c>
      <c r="J198" s="10">
        <f>IFERROR(SUMIFS('Base bordo CD'!M$2:M$875,'Base bordo CD'!D$2:D$875,A198,'Base bordo CD'!A$2:A$875,B198,'Base bordo CD'!L$2:L$875,"LIMITAÇÃO INDÚSTRIA"),0)</f>
        <v>0</v>
      </c>
      <c r="K198" s="10">
        <f>IFERROR(SUMIFS('Base bordo CD'!M$2:M$875,'Base bordo CD'!D$2:D$875,A198,'Base bordo CD'!A$2:A$875,B198,'Base bordo CD'!L$2:L$875,"MAN CORRETIVA*"),0)+IFERROR(SUMIFS('Base bordo CD'!M$2:M$875,'Base bordo CD'!D$2:D$875,A198,'Base bordo CD'!A$2:A$875,B198,'Base bordo CD'!L$2:L$875,"AGUARDANDO MANUTENCAO*"),0)+IFERROR(SUMIFS('Base bordo CD'!M$2:M$875,'Base bordo CD'!D$2:D$875,A198,'Base bordo CD'!A$2:A$875,B198,'Base bordo CD'!L$2:L$875,"TROCA DE FAQUINHA"),0)+IFERROR(SUMIFS('Base bordo CD'!M$2:M$875,'Base bordo CD'!D$2:D$875,A198,'Base bordo CD'!A$2:A$875,B198,'Base bordo CD'!L$2:L$875,"LIMPEZA*"),0)</f>
        <v>0.10194444444444443</v>
      </c>
      <c r="L198" s="10">
        <f>IFERROR(SUMIFS('Base bordo CD'!M$2:M$875,'Base bordo CD'!D$2:D$875,A198,'Base bordo CD'!A$2:A$875,B198,'Base bordo CD'!L$2:L$875,"PATIO - RESERVA"),0)</f>
        <v>0</v>
      </c>
      <c r="M198" s="10">
        <f>IFERROR(SUMIFS('Base bordo CD'!M$2:M$875,'Base bordo CD'!D$2:D$875,A198,'Base bordo CD'!A$2:A$875,B198,'Base bordo CD'!L$2:L$875,"SEM APONTAMENTO"),0)</f>
        <v>2.5555555555555554E-2</v>
      </c>
      <c r="N198" s="10">
        <f>IFERROR(SUMIFS('Base bordo CD'!M$2:M$875,'Base bordo CD'!D$2:D$875,A198,'Base bordo CD'!A$2:A$875,B198,'Base bordo CD'!L$2:L$875,"FALTA DE CAMINHÃO"),0)+IFERROR(SUMIFS('Base bordo CD'!M$2:M$875,'Base bordo CD'!D$2:D$875,A198,'Base bordo CD'!A$2:A$875,B198,'Base bordo CD'!L$2:L$875,"FALTA DE COMBUSTIVEL"),0)+IFERROR(SUMIFS('Base bordo CD'!M$2:M$875,'Base bordo CD'!D$2:D$875,A198,'Base bordo CD'!A$2:A$875,B198,'Base bordo CD'!L$2:L$875,"FALTA DE MOTORIST*"),0)</f>
        <v>0</v>
      </c>
      <c r="O198" s="10">
        <f t="shared" si="20"/>
        <v>0.2758333333333276</v>
      </c>
      <c r="P198" s="10">
        <f>IFERROR(SUMIFS('Base bordo CD'!M$2:M$875,'Base bordo CD'!D$2:D$875,A198,'Base bordo CD'!A$2:A$875,B198),0)</f>
        <v>24</v>
      </c>
      <c r="Q198" s="10">
        <f>IFERROR(SUMIFS('Base bordo CD'!O$2:O$875,'Base bordo CD'!D$2:D$875,A198,'Base bordo CD'!A$2:A$875,B198,'Base bordo CD'!L$2:L$875,"CORTE DE CANA MECANIZADO"),0)</f>
        <v>151795.70000000001</v>
      </c>
      <c r="R198" s="10">
        <f>IFERROR(SUMIFS('Base bordo CD'!Q$2:Q$875,'Base bordo CD'!D$2:D$875,A198,'Base bordo CD'!A$2:A$875,B198,'Base bordo CD'!L$2:L$875,"CORTE DE CANA MECANIZADO"),0)</f>
        <v>36039</v>
      </c>
      <c r="S198" s="30">
        <f t="shared" si="21"/>
        <v>4.211984239296318</v>
      </c>
      <c r="T198" s="9">
        <f t="shared" si="22"/>
        <v>0.41711805555555559</v>
      </c>
      <c r="U198" s="9">
        <f t="shared" si="23"/>
        <v>8.5729166666666676E-2</v>
      </c>
      <c r="V198" s="9">
        <f t="shared" si="24"/>
        <v>0.56888888888888878</v>
      </c>
    </row>
    <row r="199" spans="1:22" hidden="1" x14ac:dyDescent="0.35">
      <c r="A199" s="52">
        <v>49592</v>
      </c>
      <c r="B199" s="31">
        <v>46123</v>
      </c>
      <c r="C199" s="7" t="s">
        <v>364</v>
      </c>
      <c r="D199" s="7">
        <v>352</v>
      </c>
      <c r="E199" s="10">
        <f>IFERROR(SUMIFS('Base bordo CD'!M$2:M$875,'Base bordo CD'!D$2:D$875,A199,'Base bordo CD'!A$2:A$875,B199,'Base bordo CD'!L$2:L$875,"CORTE DE CANA MECANIZADO"),0)</f>
        <v>10.010833333333334</v>
      </c>
      <c r="F199" s="10">
        <f>IFERROR(SUMIFS('Base bordo CD'!M$2:M$875,'Base bordo CD'!D$2:D$875,A199,'Base bordo CD'!A$2:A$875,B199,'Base bordo CD'!L$2:L$875,"MANOBRA"),0)</f>
        <v>2.0575000000000001</v>
      </c>
      <c r="G199" s="10">
        <f>IFERROR(SUMIFS('Base bordo CD'!M$2:M$875,'Base bordo CD'!D$2:D$875,A199,'Base bordo CD'!A$2:A$875,B199,'Base bordo CD'!L$2:L$875,"DESLOCAMENTO"),0)</f>
        <v>0.33583333333333332</v>
      </c>
      <c r="H199" s="10">
        <f>IFERROR(SUMIFS('Base bordo CD'!M$2:M$875,'Base bordo CD'!D$2:D$875,A199,'Base bordo CD'!A$2:A$875,B199,'Base bordo CD'!L$2:L$875,"AGUARDANDO MANOBRA DE TRANSBORDO"),0)+IFERROR(SUMIFS('Base bordo CD'!M$2:M$875,'Base bordo CD'!D$2:D$875,A199,'Base bordo CD'!A$2:A$875,B199,'Base bordo CD'!L$2:L$875,"FALTA DE TRANSBORDO"),0)</f>
        <v>0</v>
      </c>
      <c r="I199" s="10">
        <f>IFERROR(SUMIFS('Base bordo CD'!M$2:M$875,'Base bordo CD'!D$2:D$875,A199,'Base bordo CD'!A$2:A$875,B199,'Base bordo CD'!L$2:L$875,"PARADA POR CONDICOES CLIMATICAS"),0)+IFERROR(SUMIFS('Base bordo CD'!M$2:M$875,'Base bordo CD'!D$2:D$875,A199,'Base bordo CD'!A$2:A$875,B199,'Base bordo CD'!L$2:L$875,"TEMPO INDETERMINADO"),0)</f>
        <v>11.192500000000001</v>
      </c>
      <c r="J199" s="10">
        <f>IFERROR(SUMIFS('Base bordo CD'!M$2:M$875,'Base bordo CD'!D$2:D$875,A199,'Base bordo CD'!A$2:A$875,B199,'Base bordo CD'!L$2:L$875,"LIMITAÇÃO INDÚSTRIA"),0)</f>
        <v>0</v>
      </c>
      <c r="K199" s="10">
        <f>IFERROR(SUMIFS('Base bordo CD'!M$2:M$875,'Base bordo CD'!D$2:D$875,A199,'Base bordo CD'!A$2:A$875,B199,'Base bordo CD'!L$2:L$875,"MAN CORRETIVA*"),0)+IFERROR(SUMIFS('Base bordo CD'!M$2:M$875,'Base bordo CD'!D$2:D$875,A199,'Base bordo CD'!A$2:A$875,B199,'Base bordo CD'!L$2:L$875,"AGUARDANDO MANUTENCAO*"),0)+IFERROR(SUMIFS('Base bordo CD'!M$2:M$875,'Base bordo CD'!D$2:D$875,A199,'Base bordo CD'!A$2:A$875,B199,'Base bordo CD'!L$2:L$875,"TROCA DE FAQUINHA"),0)+IFERROR(SUMIFS('Base bordo CD'!M$2:M$875,'Base bordo CD'!D$2:D$875,A199,'Base bordo CD'!A$2:A$875,B199,'Base bordo CD'!L$2:L$875,"LIMPEZA*"),0)</f>
        <v>0.10194444444444443</v>
      </c>
      <c r="L199" s="10">
        <f>IFERROR(SUMIFS('Base bordo CD'!M$2:M$875,'Base bordo CD'!D$2:D$875,A199,'Base bordo CD'!A$2:A$875,B199,'Base bordo CD'!L$2:L$875,"PATIO - RESERVA"),0)</f>
        <v>0</v>
      </c>
      <c r="M199" s="10">
        <f>IFERROR(SUMIFS('Base bordo CD'!M$2:M$875,'Base bordo CD'!D$2:D$875,A199,'Base bordo CD'!A$2:A$875,B199,'Base bordo CD'!L$2:L$875,"SEM APONTAMENTO"),0)</f>
        <v>2.5555555555555554E-2</v>
      </c>
      <c r="N199" s="10">
        <f>IFERROR(SUMIFS('Base bordo CD'!M$2:M$875,'Base bordo CD'!D$2:D$875,A199,'Base bordo CD'!A$2:A$875,B199,'Base bordo CD'!L$2:L$875,"FALTA DE CAMINHÃO"),0)+IFERROR(SUMIFS('Base bordo CD'!M$2:M$875,'Base bordo CD'!D$2:D$875,A199,'Base bordo CD'!A$2:A$875,B199,'Base bordo CD'!L$2:L$875,"FALTA DE COMBUSTIVEL"),0)+IFERROR(SUMIFS('Base bordo CD'!M$2:M$875,'Base bordo CD'!D$2:D$875,A199,'Base bordo CD'!A$2:A$875,B199,'Base bordo CD'!L$2:L$875,"FALTA DE MOTORIST*"),0)</f>
        <v>0</v>
      </c>
      <c r="O199" s="10">
        <f t="shared" si="20"/>
        <v>0.2758333333333276</v>
      </c>
      <c r="P199" s="10">
        <f>IFERROR(SUMIFS('Base bordo CD'!M$2:M$875,'Base bordo CD'!D$2:D$875,A199,'Base bordo CD'!A$2:A$875,B199),0)</f>
        <v>24</v>
      </c>
      <c r="Q199" s="10">
        <f>IFERROR(SUMIFS('Base bordo CD'!O$2:O$875,'Base bordo CD'!D$2:D$875,A199,'Base bordo CD'!A$2:A$875,B199,'Base bordo CD'!L$2:L$875,"CORTE DE CANA MECANIZADO"),0)</f>
        <v>151795.70000000001</v>
      </c>
      <c r="R199" s="10">
        <f>IFERROR(SUMIFS('Base bordo CD'!Q$2:Q$875,'Base bordo CD'!D$2:D$875,A199,'Base bordo CD'!A$2:A$875,B199,'Base bordo CD'!L$2:L$875,"CORTE DE CANA MECANIZADO"),0)</f>
        <v>36039</v>
      </c>
      <c r="S199" s="30">
        <f t="shared" si="21"/>
        <v>4.211984239296318</v>
      </c>
      <c r="T199" s="9">
        <f t="shared" si="22"/>
        <v>0.41711805555555559</v>
      </c>
      <c r="U199" s="9">
        <f t="shared" si="23"/>
        <v>8.5729166666666676E-2</v>
      </c>
      <c r="V199" s="9">
        <f t="shared" si="24"/>
        <v>0.56888888888888878</v>
      </c>
    </row>
    <row r="200" spans="1:22" hidden="1" x14ac:dyDescent="0.35">
      <c r="A200" s="52">
        <v>49592</v>
      </c>
      <c r="B200" s="31">
        <v>46123</v>
      </c>
      <c r="C200" s="7" t="s">
        <v>364</v>
      </c>
      <c r="D200" s="7">
        <v>352</v>
      </c>
      <c r="E200" s="10">
        <f>IFERROR(SUMIFS('Base bordo CD'!M$2:M$875,'Base bordo CD'!D$2:D$875,A200,'Base bordo CD'!A$2:A$875,B200,'Base bordo CD'!L$2:L$875,"CORTE DE CANA MECANIZADO"),0)</f>
        <v>10.010833333333334</v>
      </c>
      <c r="F200" s="10">
        <f>IFERROR(SUMIFS('Base bordo CD'!M$2:M$875,'Base bordo CD'!D$2:D$875,A200,'Base bordo CD'!A$2:A$875,B200,'Base bordo CD'!L$2:L$875,"MANOBRA"),0)</f>
        <v>2.0575000000000001</v>
      </c>
      <c r="G200" s="10">
        <f>IFERROR(SUMIFS('Base bordo CD'!M$2:M$875,'Base bordo CD'!D$2:D$875,A200,'Base bordo CD'!A$2:A$875,B200,'Base bordo CD'!L$2:L$875,"DESLOCAMENTO"),0)</f>
        <v>0.33583333333333332</v>
      </c>
      <c r="H200" s="10">
        <f>IFERROR(SUMIFS('Base bordo CD'!M$2:M$875,'Base bordo CD'!D$2:D$875,A200,'Base bordo CD'!A$2:A$875,B200,'Base bordo CD'!L$2:L$875,"AGUARDANDO MANOBRA DE TRANSBORDO"),0)+IFERROR(SUMIFS('Base bordo CD'!M$2:M$875,'Base bordo CD'!D$2:D$875,A200,'Base bordo CD'!A$2:A$875,B200,'Base bordo CD'!L$2:L$875,"FALTA DE TRANSBORDO"),0)</f>
        <v>0</v>
      </c>
      <c r="I200" s="10">
        <f>IFERROR(SUMIFS('Base bordo CD'!M$2:M$875,'Base bordo CD'!D$2:D$875,A200,'Base bordo CD'!A$2:A$875,B200,'Base bordo CD'!L$2:L$875,"PARADA POR CONDICOES CLIMATICAS"),0)+IFERROR(SUMIFS('Base bordo CD'!M$2:M$875,'Base bordo CD'!D$2:D$875,A200,'Base bordo CD'!A$2:A$875,B200,'Base bordo CD'!L$2:L$875,"TEMPO INDETERMINADO"),0)</f>
        <v>11.192500000000001</v>
      </c>
      <c r="J200" s="10">
        <f>IFERROR(SUMIFS('Base bordo CD'!M$2:M$875,'Base bordo CD'!D$2:D$875,A200,'Base bordo CD'!A$2:A$875,B200,'Base bordo CD'!L$2:L$875,"LIMITAÇÃO INDÚSTRIA"),0)</f>
        <v>0</v>
      </c>
      <c r="K200" s="10">
        <f>IFERROR(SUMIFS('Base bordo CD'!M$2:M$875,'Base bordo CD'!D$2:D$875,A200,'Base bordo CD'!A$2:A$875,B200,'Base bordo CD'!L$2:L$875,"MAN CORRETIVA*"),0)+IFERROR(SUMIFS('Base bordo CD'!M$2:M$875,'Base bordo CD'!D$2:D$875,A200,'Base bordo CD'!A$2:A$875,B200,'Base bordo CD'!L$2:L$875,"AGUARDANDO MANUTENCAO*"),0)+IFERROR(SUMIFS('Base bordo CD'!M$2:M$875,'Base bordo CD'!D$2:D$875,A200,'Base bordo CD'!A$2:A$875,B200,'Base bordo CD'!L$2:L$875,"TROCA DE FAQUINHA"),0)+IFERROR(SUMIFS('Base bordo CD'!M$2:M$875,'Base bordo CD'!D$2:D$875,A200,'Base bordo CD'!A$2:A$875,B200,'Base bordo CD'!L$2:L$875,"LIMPEZA*"),0)</f>
        <v>0.10194444444444443</v>
      </c>
      <c r="L200" s="10">
        <f>IFERROR(SUMIFS('Base bordo CD'!M$2:M$875,'Base bordo CD'!D$2:D$875,A200,'Base bordo CD'!A$2:A$875,B200,'Base bordo CD'!L$2:L$875,"PATIO - RESERVA"),0)</f>
        <v>0</v>
      </c>
      <c r="M200" s="10">
        <f>IFERROR(SUMIFS('Base bordo CD'!M$2:M$875,'Base bordo CD'!D$2:D$875,A200,'Base bordo CD'!A$2:A$875,B200,'Base bordo CD'!L$2:L$875,"SEM APONTAMENTO"),0)</f>
        <v>2.5555555555555554E-2</v>
      </c>
      <c r="N200" s="10">
        <f>IFERROR(SUMIFS('Base bordo CD'!M$2:M$875,'Base bordo CD'!D$2:D$875,A200,'Base bordo CD'!A$2:A$875,B200,'Base bordo CD'!L$2:L$875,"FALTA DE CAMINHÃO"),0)+IFERROR(SUMIFS('Base bordo CD'!M$2:M$875,'Base bordo CD'!D$2:D$875,A200,'Base bordo CD'!A$2:A$875,B200,'Base bordo CD'!L$2:L$875,"FALTA DE COMBUSTIVEL"),0)+IFERROR(SUMIFS('Base bordo CD'!M$2:M$875,'Base bordo CD'!D$2:D$875,A200,'Base bordo CD'!A$2:A$875,B200,'Base bordo CD'!L$2:L$875,"FALTA DE MOTORIST*"),0)</f>
        <v>0</v>
      </c>
      <c r="O200" s="10">
        <f t="shared" si="20"/>
        <v>0.2758333333333276</v>
      </c>
      <c r="P200" s="10">
        <f>IFERROR(SUMIFS('Base bordo CD'!M$2:M$875,'Base bordo CD'!D$2:D$875,A200,'Base bordo CD'!A$2:A$875,B200),0)</f>
        <v>24</v>
      </c>
      <c r="Q200" s="10">
        <f>IFERROR(SUMIFS('Base bordo CD'!O$2:O$875,'Base bordo CD'!D$2:D$875,A200,'Base bordo CD'!A$2:A$875,B200,'Base bordo CD'!L$2:L$875,"CORTE DE CANA MECANIZADO"),0)</f>
        <v>151795.70000000001</v>
      </c>
      <c r="R200" s="10">
        <f>IFERROR(SUMIFS('Base bordo CD'!Q$2:Q$875,'Base bordo CD'!D$2:D$875,A200,'Base bordo CD'!A$2:A$875,B200,'Base bordo CD'!L$2:L$875,"CORTE DE CANA MECANIZADO"),0)</f>
        <v>36039</v>
      </c>
      <c r="S200" s="30">
        <f t="shared" si="21"/>
        <v>4.211984239296318</v>
      </c>
      <c r="T200" s="9">
        <f t="shared" si="22"/>
        <v>0.41711805555555559</v>
      </c>
      <c r="U200" s="9">
        <f t="shared" si="23"/>
        <v>8.5729166666666676E-2</v>
      </c>
      <c r="V200" s="9">
        <f t="shared" si="24"/>
        <v>0.56888888888888878</v>
      </c>
    </row>
    <row r="201" spans="1:22" hidden="1" x14ac:dyDescent="0.35">
      <c r="A201" s="52">
        <v>49592</v>
      </c>
      <c r="B201" s="31">
        <v>46123</v>
      </c>
      <c r="C201" s="7" t="s">
        <v>364</v>
      </c>
      <c r="D201" s="7">
        <v>352</v>
      </c>
      <c r="E201" s="10">
        <f>IFERROR(SUMIFS('Base bordo CD'!M$2:M$875,'Base bordo CD'!D$2:D$875,A201,'Base bordo CD'!A$2:A$875,B201,'Base bordo CD'!L$2:L$875,"CORTE DE CANA MECANIZADO"),0)</f>
        <v>10.010833333333334</v>
      </c>
      <c r="F201" s="10">
        <f>IFERROR(SUMIFS('Base bordo CD'!M$2:M$875,'Base bordo CD'!D$2:D$875,A201,'Base bordo CD'!A$2:A$875,B201,'Base bordo CD'!L$2:L$875,"MANOBRA"),0)</f>
        <v>2.0575000000000001</v>
      </c>
      <c r="G201" s="10">
        <f>IFERROR(SUMIFS('Base bordo CD'!M$2:M$875,'Base bordo CD'!D$2:D$875,A201,'Base bordo CD'!A$2:A$875,B201,'Base bordo CD'!L$2:L$875,"DESLOCAMENTO"),0)</f>
        <v>0.33583333333333332</v>
      </c>
      <c r="H201" s="10">
        <f>IFERROR(SUMIFS('Base bordo CD'!M$2:M$875,'Base bordo CD'!D$2:D$875,A201,'Base bordo CD'!A$2:A$875,B201,'Base bordo CD'!L$2:L$875,"AGUARDANDO MANOBRA DE TRANSBORDO"),0)+IFERROR(SUMIFS('Base bordo CD'!M$2:M$875,'Base bordo CD'!D$2:D$875,A201,'Base bordo CD'!A$2:A$875,B201,'Base bordo CD'!L$2:L$875,"FALTA DE TRANSBORDO"),0)</f>
        <v>0</v>
      </c>
      <c r="I201" s="10">
        <f>IFERROR(SUMIFS('Base bordo CD'!M$2:M$875,'Base bordo CD'!D$2:D$875,A201,'Base bordo CD'!A$2:A$875,B201,'Base bordo CD'!L$2:L$875,"PARADA POR CONDICOES CLIMATICAS"),0)+IFERROR(SUMIFS('Base bordo CD'!M$2:M$875,'Base bordo CD'!D$2:D$875,A201,'Base bordo CD'!A$2:A$875,B201,'Base bordo CD'!L$2:L$875,"TEMPO INDETERMINADO"),0)</f>
        <v>11.192500000000001</v>
      </c>
      <c r="J201" s="10">
        <f>IFERROR(SUMIFS('Base bordo CD'!M$2:M$875,'Base bordo CD'!D$2:D$875,A201,'Base bordo CD'!A$2:A$875,B201,'Base bordo CD'!L$2:L$875,"LIMITAÇÃO INDÚSTRIA"),0)</f>
        <v>0</v>
      </c>
      <c r="K201" s="10">
        <f>IFERROR(SUMIFS('Base bordo CD'!M$2:M$875,'Base bordo CD'!D$2:D$875,A201,'Base bordo CD'!A$2:A$875,B201,'Base bordo CD'!L$2:L$875,"MAN CORRETIVA*"),0)+IFERROR(SUMIFS('Base bordo CD'!M$2:M$875,'Base bordo CD'!D$2:D$875,A201,'Base bordo CD'!A$2:A$875,B201,'Base bordo CD'!L$2:L$875,"AGUARDANDO MANUTENCAO*"),0)+IFERROR(SUMIFS('Base bordo CD'!M$2:M$875,'Base bordo CD'!D$2:D$875,A201,'Base bordo CD'!A$2:A$875,B201,'Base bordo CD'!L$2:L$875,"TROCA DE FAQUINHA"),0)+IFERROR(SUMIFS('Base bordo CD'!M$2:M$875,'Base bordo CD'!D$2:D$875,A201,'Base bordo CD'!A$2:A$875,B201,'Base bordo CD'!L$2:L$875,"LIMPEZA*"),0)</f>
        <v>0.10194444444444443</v>
      </c>
      <c r="L201" s="10">
        <f>IFERROR(SUMIFS('Base bordo CD'!M$2:M$875,'Base bordo CD'!D$2:D$875,A201,'Base bordo CD'!A$2:A$875,B201,'Base bordo CD'!L$2:L$875,"PATIO - RESERVA"),0)</f>
        <v>0</v>
      </c>
      <c r="M201" s="10">
        <f>IFERROR(SUMIFS('Base bordo CD'!M$2:M$875,'Base bordo CD'!D$2:D$875,A201,'Base bordo CD'!A$2:A$875,B201,'Base bordo CD'!L$2:L$875,"SEM APONTAMENTO"),0)</f>
        <v>2.5555555555555554E-2</v>
      </c>
      <c r="N201" s="10">
        <f>IFERROR(SUMIFS('Base bordo CD'!M$2:M$875,'Base bordo CD'!D$2:D$875,A201,'Base bordo CD'!A$2:A$875,B201,'Base bordo CD'!L$2:L$875,"FALTA DE CAMINHÃO"),0)+IFERROR(SUMIFS('Base bordo CD'!M$2:M$875,'Base bordo CD'!D$2:D$875,A201,'Base bordo CD'!A$2:A$875,B201,'Base bordo CD'!L$2:L$875,"FALTA DE COMBUSTIVEL"),0)+IFERROR(SUMIFS('Base bordo CD'!M$2:M$875,'Base bordo CD'!D$2:D$875,A201,'Base bordo CD'!A$2:A$875,B201,'Base bordo CD'!L$2:L$875,"FALTA DE MOTORIST*"),0)</f>
        <v>0</v>
      </c>
      <c r="O201" s="10">
        <f t="shared" si="20"/>
        <v>0.2758333333333276</v>
      </c>
      <c r="P201" s="10">
        <f>IFERROR(SUMIFS('Base bordo CD'!M$2:M$875,'Base bordo CD'!D$2:D$875,A201,'Base bordo CD'!A$2:A$875,B201),0)</f>
        <v>24</v>
      </c>
      <c r="Q201" s="10">
        <f>IFERROR(SUMIFS('Base bordo CD'!O$2:O$875,'Base bordo CD'!D$2:D$875,A201,'Base bordo CD'!A$2:A$875,B201,'Base bordo CD'!L$2:L$875,"CORTE DE CANA MECANIZADO"),0)</f>
        <v>151795.70000000001</v>
      </c>
      <c r="R201" s="10">
        <f>IFERROR(SUMIFS('Base bordo CD'!Q$2:Q$875,'Base bordo CD'!D$2:D$875,A201,'Base bordo CD'!A$2:A$875,B201,'Base bordo CD'!L$2:L$875,"CORTE DE CANA MECANIZADO"),0)</f>
        <v>36039</v>
      </c>
      <c r="S201" s="30">
        <f t="shared" si="21"/>
        <v>4.211984239296318</v>
      </c>
      <c r="T201" s="9">
        <f t="shared" si="22"/>
        <v>0.41711805555555559</v>
      </c>
      <c r="U201" s="9">
        <f t="shared" si="23"/>
        <v>8.5729166666666676E-2</v>
      </c>
      <c r="V201" s="9">
        <f t="shared" si="24"/>
        <v>0.56888888888888878</v>
      </c>
    </row>
    <row r="202" spans="1:22" hidden="1" x14ac:dyDescent="0.35">
      <c r="A202" s="52">
        <v>49592</v>
      </c>
      <c r="B202" s="31">
        <v>46123</v>
      </c>
      <c r="C202" s="7" t="s">
        <v>364</v>
      </c>
      <c r="D202" s="7">
        <v>352</v>
      </c>
      <c r="E202" s="10">
        <f>IFERROR(SUMIFS('Base bordo CD'!M$2:M$875,'Base bordo CD'!D$2:D$875,A202,'Base bordo CD'!A$2:A$875,B202,'Base bordo CD'!L$2:L$875,"CORTE DE CANA MECANIZADO"),0)</f>
        <v>10.010833333333334</v>
      </c>
      <c r="F202" s="10">
        <f>IFERROR(SUMIFS('Base bordo CD'!M$2:M$875,'Base bordo CD'!D$2:D$875,A202,'Base bordo CD'!A$2:A$875,B202,'Base bordo CD'!L$2:L$875,"MANOBRA"),0)</f>
        <v>2.0575000000000001</v>
      </c>
      <c r="G202" s="10">
        <f>IFERROR(SUMIFS('Base bordo CD'!M$2:M$875,'Base bordo CD'!D$2:D$875,A202,'Base bordo CD'!A$2:A$875,B202,'Base bordo CD'!L$2:L$875,"DESLOCAMENTO"),0)</f>
        <v>0.33583333333333332</v>
      </c>
      <c r="H202" s="10">
        <f>IFERROR(SUMIFS('Base bordo CD'!M$2:M$875,'Base bordo CD'!D$2:D$875,A202,'Base bordo CD'!A$2:A$875,B202,'Base bordo CD'!L$2:L$875,"AGUARDANDO MANOBRA DE TRANSBORDO"),0)+IFERROR(SUMIFS('Base bordo CD'!M$2:M$875,'Base bordo CD'!D$2:D$875,A202,'Base bordo CD'!A$2:A$875,B202,'Base bordo CD'!L$2:L$875,"FALTA DE TRANSBORDO"),0)</f>
        <v>0</v>
      </c>
      <c r="I202" s="10">
        <f>IFERROR(SUMIFS('Base bordo CD'!M$2:M$875,'Base bordo CD'!D$2:D$875,A202,'Base bordo CD'!A$2:A$875,B202,'Base bordo CD'!L$2:L$875,"PARADA POR CONDICOES CLIMATICAS"),0)+IFERROR(SUMIFS('Base bordo CD'!M$2:M$875,'Base bordo CD'!D$2:D$875,A202,'Base bordo CD'!A$2:A$875,B202,'Base bordo CD'!L$2:L$875,"TEMPO INDETERMINADO"),0)</f>
        <v>11.192500000000001</v>
      </c>
      <c r="J202" s="10">
        <f>IFERROR(SUMIFS('Base bordo CD'!M$2:M$875,'Base bordo CD'!D$2:D$875,A202,'Base bordo CD'!A$2:A$875,B202,'Base bordo CD'!L$2:L$875,"LIMITAÇÃO INDÚSTRIA"),0)</f>
        <v>0</v>
      </c>
      <c r="K202" s="10">
        <f>IFERROR(SUMIFS('Base bordo CD'!M$2:M$875,'Base bordo CD'!D$2:D$875,A202,'Base bordo CD'!A$2:A$875,B202,'Base bordo CD'!L$2:L$875,"MAN CORRETIVA*"),0)+IFERROR(SUMIFS('Base bordo CD'!M$2:M$875,'Base bordo CD'!D$2:D$875,A202,'Base bordo CD'!A$2:A$875,B202,'Base bordo CD'!L$2:L$875,"AGUARDANDO MANUTENCAO*"),0)+IFERROR(SUMIFS('Base bordo CD'!M$2:M$875,'Base bordo CD'!D$2:D$875,A202,'Base bordo CD'!A$2:A$875,B202,'Base bordo CD'!L$2:L$875,"TROCA DE FAQUINHA"),0)+IFERROR(SUMIFS('Base bordo CD'!M$2:M$875,'Base bordo CD'!D$2:D$875,A202,'Base bordo CD'!A$2:A$875,B202,'Base bordo CD'!L$2:L$875,"LIMPEZA*"),0)</f>
        <v>0.10194444444444443</v>
      </c>
      <c r="L202" s="10">
        <f>IFERROR(SUMIFS('Base bordo CD'!M$2:M$875,'Base bordo CD'!D$2:D$875,A202,'Base bordo CD'!A$2:A$875,B202,'Base bordo CD'!L$2:L$875,"PATIO - RESERVA"),0)</f>
        <v>0</v>
      </c>
      <c r="M202" s="10">
        <f>IFERROR(SUMIFS('Base bordo CD'!M$2:M$875,'Base bordo CD'!D$2:D$875,A202,'Base bordo CD'!A$2:A$875,B202,'Base bordo CD'!L$2:L$875,"SEM APONTAMENTO"),0)</f>
        <v>2.5555555555555554E-2</v>
      </c>
      <c r="N202" s="10">
        <f>IFERROR(SUMIFS('Base bordo CD'!M$2:M$875,'Base bordo CD'!D$2:D$875,A202,'Base bordo CD'!A$2:A$875,B202,'Base bordo CD'!L$2:L$875,"FALTA DE CAMINHÃO"),0)+IFERROR(SUMIFS('Base bordo CD'!M$2:M$875,'Base bordo CD'!D$2:D$875,A202,'Base bordo CD'!A$2:A$875,B202,'Base bordo CD'!L$2:L$875,"FALTA DE COMBUSTIVEL"),0)+IFERROR(SUMIFS('Base bordo CD'!M$2:M$875,'Base bordo CD'!D$2:D$875,A202,'Base bordo CD'!A$2:A$875,B202,'Base bordo CD'!L$2:L$875,"FALTA DE MOTORIST*"),0)</f>
        <v>0</v>
      </c>
      <c r="O202" s="10">
        <f t="shared" si="20"/>
        <v>0.2758333333333276</v>
      </c>
      <c r="P202" s="10">
        <f>IFERROR(SUMIFS('Base bordo CD'!M$2:M$875,'Base bordo CD'!D$2:D$875,A202,'Base bordo CD'!A$2:A$875,B202),0)</f>
        <v>24</v>
      </c>
      <c r="Q202" s="10">
        <f>IFERROR(SUMIFS('Base bordo CD'!O$2:O$875,'Base bordo CD'!D$2:D$875,A202,'Base bordo CD'!A$2:A$875,B202,'Base bordo CD'!L$2:L$875,"CORTE DE CANA MECANIZADO"),0)</f>
        <v>151795.70000000001</v>
      </c>
      <c r="R202" s="10">
        <f>IFERROR(SUMIFS('Base bordo CD'!Q$2:Q$875,'Base bordo CD'!D$2:D$875,A202,'Base bordo CD'!A$2:A$875,B202,'Base bordo CD'!L$2:L$875,"CORTE DE CANA MECANIZADO"),0)</f>
        <v>36039</v>
      </c>
      <c r="S202" s="30">
        <f t="shared" si="21"/>
        <v>4.211984239296318</v>
      </c>
      <c r="T202" s="9">
        <f t="shared" si="22"/>
        <v>0.41711805555555559</v>
      </c>
      <c r="U202" s="9">
        <f t="shared" si="23"/>
        <v>8.5729166666666676E-2</v>
      </c>
      <c r="V202" s="9">
        <f t="shared" si="24"/>
        <v>0.56888888888888878</v>
      </c>
    </row>
    <row r="203" spans="1:22" hidden="1" x14ac:dyDescent="0.35">
      <c r="A203" s="52">
        <v>49592</v>
      </c>
      <c r="B203" s="31">
        <v>46123</v>
      </c>
      <c r="C203" s="7" t="s">
        <v>364</v>
      </c>
      <c r="D203" s="7">
        <v>352</v>
      </c>
      <c r="E203" s="10">
        <f>IFERROR(SUMIFS('Base bordo CD'!M$2:M$875,'Base bordo CD'!D$2:D$875,A203,'Base bordo CD'!A$2:A$875,B203,'Base bordo CD'!L$2:L$875,"CORTE DE CANA MECANIZADO"),0)</f>
        <v>10.010833333333334</v>
      </c>
      <c r="F203" s="10">
        <f>IFERROR(SUMIFS('Base bordo CD'!M$2:M$875,'Base bordo CD'!D$2:D$875,A203,'Base bordo CD'!A$2:A$875,B203,'Base bordo CD'!L$2:L$875,"MANOBRA"),0)</f>
        <v>2.0575000000000001</v>
      </c>
      <c r="G203" s="10">
        <f>IFERROR(SUMIFS('Base bordo CD'!M$2:M$875,'Base bordo CD'!D$2:D$875,A203,'Base bordo CD'!A$2:A$875,B203,'Base bordo CD'!L$2:L$875,"DESLOCAMENTO"),0)</f>
        <v>0.33583333333333332</v>
      </c>
      <c r="H203" s="10">
        <f>IFERROR(SUMIFS('Base bordo CD'!M$2:M$875,'Base bordo CD'!D$2:D$875,A203,'Base bordo CD'!A$2:A$875,B203,'Base bordo CD'!L$2:L$875,"AGUARDANDO MANOBRA DE TRANSBORDO"),0)+IFERROR(SUMIFS('Base bordo CD'!M$2:M$875,'Base bordo CD'!D$2:D$875,A203,'Base bordo CD'!A$2:A$875,B203,'Base bordo CD'!L$2:L$875,"FALTA DE TRANSBORDO"),0)</f>
        <v>0</v>
      </c>
      <c r="I203" s="10">
        <f>IFERROR(SUMIFS('Base bordo CD'!M$2:M$875,'Base bordo CD'!D$2:D$875,A203,'Base bordo CD'!A$2:A$875,B203,'Base bordo CD'!L$2:L$875,"PARADA POR CONDICOES CLIMATICAS"),0)+IFERROR(SUMIFS('Base bordo CD'!M$2:M$875,'Base bordo CD'!D$2:D$875,A203,'Base bordo CD'!A$2:A$875,B203,'Base bordo CD'!L$2:L$875,"TEMPO INDETERMINADO"),0)</f>
        <v>11.192500000000001</v>
      </c>
      <c r="J203" s="10">
        <f>IFERROR(SUMIFS('Base bordo CD'!M$2:M$875,'Base bordo CD'!D$2:D$875,A203,'Base bordo CD'!A$2:A$875,B203,'Base bordo CD'!L$2:L$875,"LIMITAÇÃO INDÚSTRIA"),0)</f>
        <v>0</v>
      </c>
      <c r="K203" s="10">
        <f>IFERROR(SUMIFS('Base bordo CD'!M$2:M$875,'Base bordo CD'!D$2:D$875,A203,'Base bordo CD'!A$2:A$875,B203,'Base bordo CD'!L$2:L$875,"MAN CORRETIVA*"),0)+IFERROR(SUMIFS('Base bordo CD'!M$2:M$875,'Base bordo CD'!D$2:D$875,A203,'Base bordo CD'!A$2:A$875,B203,'Base bordo CD'!L$2:L$875,"AGUARDANDO MANUTENCAO*"),0)+IFERROR(SUMIFS('Base bordo CD'!M$2:M$875,'Base bordo CD'!D$2:D$875,A203,'Base bordo CD'!A$2:A$875,B203,'Base bordo CD'!L$2:L$875,"TROCA DE FAQUINHA"),0)+IFERROR(SUMIFS('Base bordo CD'!M$2:M$875,'Base bordo CD'!D$2:D$875,A203,'Base bordo CD'!A$2:A$875,B203,'Base bordo CD'!L$2:L$875,"LIMPEZA*"),0)</f>
        <v>0.10194444444444443</v>
      </c>
      <c r="L203" s="10">
        <f>IFERROR(SUMIFS('Base bordo CD'!M$2:M$875,'Base bordo CD'!D$2:D$875,A203,'Base bordo CD'!A$2:A$875,B203,'Base bordo CD'!L$2:L$875,"PATIO - RESERVA"),0)</f>
        <v>0</v>
      </c>
      <c r="M203" s="10">
        <f>IFERROR(SUMIFS('Base bordo CD'!M$2:M$875,'Base bordo CD'!D$2:D$875,A203,'Base bordo CD'!A$2:A$875,B203,'Base bordo CD'!L$2:L$875,"SEM APONTAMENTO"),0)</f>
        <v>2.5555555555555554E-2</v>
      </c>
      <c r="N203" s="10">
        <f>IFERROR(SUMIFS('Base bordo CD'!M$2:M$875,'Base bordo CD'!D$2:D$875,A203,'Base bordo CD'!A$2:A$875,B203,'Base bordo CD'!L$2:L$875,"FALTA DE CAMINHÃO"),0)+IFERROR(SUMIFS('Base bordo CD'!M$2:M$875,'Base bordo CD'!D$2:D$875,A203,'Base bordo CD'!A$2:A$875,B203,'Base bordo CD'!L$2:L$875,"FALTA DE COMBUSTIVEL"),0)+IFERROR(SUMIFS('Base bordo CD'!M$2:M$875,'Base bordo CD'!D$2:D$875,A203,'Base bordo CD'!A$2:A$875,B203,'Base bordo CD'!L$2:L$875,"FALTA DE MOTORIST*"),0)</f>
        <v>0</v>
      </c>
      <c r="O203" s="10">
        <f t="shared" si="20"/>
        <v>0.2758333333333276</v>
      </c>
      <c r="P203" s="10">
        <f>IFERROR(SUMIFS('Base bordo CD'!M$2:M$875,'Base bordo CD'!D$2:D$875,A203,'Base bordo CD'!A$2:A$875,B203),0)</f>
        <v>24</v>
      </c>
      <c r="Q203" s="10">
        <f>IFERROR(SUMIFS('Base bordo CD'!O$2:O$875,'Base bordo CD'!D$2:D$875,A203,'Base bordo CD'!A$2:A$875,B203,'Base bordo CD'!L$2:L$875,"CORTE DE CANA MECANIZADO"),0)</f>
        <v>151795.70000000001</v>
      </c>
      <c r="R203" s="10">
        <f>IFERROR(SUMIFS('Base bordo CD'!Q$2:Q$875,'Base bordo CD'!D$2:D$875,A203,'Base bordo CD'!A$2:A$875,B203,'Base bordo CD'!L$2:L$875,"CORTE DE CANA MECANIZADO"),0)</f>
        <v>36039</v>
      </c>
      <c r="S203" s="30">
        <f t="shared" si="21"/>
        <v>4.211984239296318</v>
      </c>
      <c r="T203" s="9">
        <f t="shared" si="22"/>
        <v>0.41711805555555559</v>
      </c>
      <c r="U203" s="9">
        <f t="shared" si="23"/>
        <v>8.5729166666666676E-2</v>
      </c>
      <c r="V203" s="9">
        <f t="shared" si="24"/>
        <v>0.56888888888888878</v>
      </c>
    </row>
    <row r="204" spans="1:22" hidden="1" x14ac:dyDescent="0.35">
      <c r="A204" s="52">
        <v>49592</v>
      </c>
      <c r="B204" s="31">
        <v>46123</v>
      </c>
      <c r="C204" s="7" t="s">
        <v>364</v>
      </c>
      <c r="D204" s="7">
        <v>352</v>
      </c>
      <c r="E204" s="10">
        <f>IFERROR(SUMIFS('Base bordo CD'!M$2:M$875,'Base bordo CD'!D$2:D$875,A204,'Base bordo CD'!A$2:A$875,B204,'Base bordo CD'!L$2:L$875,"CORTE DE CANA MECANIZADO"),0)</f>
        <v>10.010833333333334</v>
      </c>
      <c r="F204" s="10">
        <f>IFERROR(SUMIFS('Base bordo CD'!M$2:M$875,'Base bordo CD'!D$2:D$875,A204,'Base bordo CD'!A$2:A$875,B204,'Base bordo CD'!L$2:L$875,"MANOBRA"),0)</f>
        <v>2.0575000000000001</v>
      </c>
      <c r="G204" s="10">
        <f>IFERROR(SUMIFS('Base bordo CD'!M$2:M$875,'Base bordo CD'!D$2:D$875,A204,'Base bordo CD'!A$2:A$875,B204,'Base bordo CD'!L$2:L$875,"DESLOCAMENTO"),0)</f>
        <v>0.33583333333333332</v>
      </c>
      <c r="H204" s="10">
        <f>IFERROR(SUMIFS('Base bordo CD'!M$2:M$875,'Base bordo CD'!D$2:D$875,A204,'Base bordo CD'!A$2:A$875,B204,'Base bordo CD'!L$2:L$875,"AGUARDANDO MANOBRA DE TRANSBORDO"),0)+IFERROR(SUMIFS('Base bordo CD'!M$2:M$875,'Base bordo CD'!D$2:D$875,A204,'Base bordo CD'!A$2:A$875,B204,'Base bordo CD'!L$2:L$875,"FALTA DE TRANSBORDO"),0)</f>
        <v>0</v>
      </c>
      <c r="I204" s="10">
        <f>IFERROR(SUMIFS('Base bordo CD'!M$2:M$875,'Base bordo CD'!D$2:D$875,A204,'Base bordo CD'!A$2:A$875,B204,'Base bordo CD'!L$2:L$875,"PARADA POR CONDICOES CLIMATICAS"),0)+IFERROR(SUMIFS('Base bordo CD'!M$2:M$875,'Base bordo CD'!D$2:D$875,A204,'Base bordo CD'!A$2:A$875,B204,'Base bordo CD'!L$2:L$875,"TEMPO INDETERMINADO"),0)</f>
        <v>11.192500000000001</v>
      </c>
      <c r="J204" s="10">
        <f>IFERROR(SUMIFS('Base bordo CD'!M$2:M$875,'Base bordo CD'!D$2:D$875,A204,'Base bordo CD'!A$2:A$875,B204,'Base bordo CD'!L$2:L$875,"LIMITAÇÃO INDÚSTRIA"),0)</f>
        <v>0</v>
      </c>
      <c r="K204" s="10">
        <f>IFERROR(SUMIFS('Base bordo CD'!M$2:M$875,'Base bordo CD'!D$2:D$875,A204,'Base bordo CD'!A$2:A$875,B204,'Base bordo CD'!L$2:L$875,"MAN CORRETIVA*"),0)+IFERROR(SUMIFS('Base bordo CD'!M$2:M$875,'Base bordo CD'!D$2:D$875,A204,'Base bordo CD'!A$2:A$875,B204,'Base bordo CD'!L$2:L$875,"AGUARDANDO MANUTENCAO*"),0)+IFERROR(SUMIFS('Base bordo CD'!M$2:M$875,'Base bordo CD'!D$2:D$875,A204,'Base bordo CD'!A$2:A$875,B204,'Base bordo CD'!L$2:L$875,"TROCA DE FAQUINHA"),0)+IFERROR(SUMIFS('Base bordo CD'!M$2:M$875,'Base bordo CD'!D$2:D$875,A204,'Base bordo CD'!A$2:A$875,B204,'Base bordo CD'!L$2:L$875,"LIMPEZA*"),0)</f>
        <v>0.10194444444444443</v>
      </c>
      <c r="L204" s="10">
        <f>IFERROR(SUMIFS('Base bordo CD'!M$2:M$875,'Base bordo CD'!D$2:D$875,A204,'Base bordo CD'!A$2:A$875,B204,'Base bordo CD'!L$2:L$875,"PATIO - RESERVA"),0)</f>
        <v>0</v>
      </c>
      <c r="M204" s="10">
        <f>IFERROR(SUMIFS('Base bordo CD'!M$2:M$875,'Base bordo CD'!D$2:D$875,A204,'Base bordo CD'!A$2:A$875,B204,'Base bordo CD'!L$2:L$875,"SEM APONTAMENTO"),0)</f>
        <v>2.5555555555555554E-2</v>
      </c>
      <c r="N204" s="10">
        <f>IFERROR(SUMIFS('Base bordo CD'!M$2:M$875,'Base bordo CD'!D$2:D$875,A204,'Base bordo CD'!A$2:A$875,B204,'Base bordo CD'!L$2:L$875,"FALTA DE CAMINHÃO"),0)+IFERROR(SUMIFS('Base bordo CD'!M$2:M$875,'Base bordo CD'!D$2:D$875,A204,'Base bordo CD'!A$2:A$875,B204,'Base bordo CD'!L$2:L$875,"FALTA DE COMBUSTIVEL"),0)+IFERROR(SUMIFS('Base bordo CD'!M$2:M$875,'Base bordo CD'!D$2:D$875,A204,'Base bordo CD'!A$2:A$875,B204,'Base bordo CD'!L$2:L$875,"FALTA DE MOTORIST*"),0)</f>
        <v>0</v>
      </c>
      <c r="O204" s="10">
        <f t="shared" si="20"/>
        <v>0.2758333333333276</v>
      </c>
      <c r="P204" s="10">
        <f>IFERROR(SUMIFS('Base bordo CD'!M$2:M$875,'Base bordo CD'!D$2:D$875,A204,'Base bordo CD'!A$2:A$875,B204),0)</f>
        <v>24</v>
      </c>
      <c r="Q204" s="10">
        <f>IFERROR(SUMIFS('Base bordo CD'!O$2:O$875,'Base bordo CD'!D$2:D$875,A204,'Base bordo CD'!A$2:A$875,B204,'Base bordo CD'!L$2:L$875,"CORTE DE CANA MECANIZADO"),0)</f>
        <v>151795.70000000001</v>
      </c>
      <c r="R204" s="10">
        <f>IFERROR(SUMIFS('Base bordo CD'!Q$2:Q$875,'Base bordo CD'!D$2:D$875,A204,'Base bordo CD'!A$2:A$875,B204,'Base bordo CD'!L$2:L$875,"CORTE DE CANA MECANIZADO"),0)</f>
        <v>36039</v>
      </c>
      <c r="S204" s="30">
        <f t="shared" si="21"/>
        <v>4.211984239296318</v>
      </c>
      <c r="T204" s="9">
        <f t="shared" si="22"/>
        <v>0.41711805555555559</v>
      </c>
      <c r="U204" s="9">
        <f t="shared" si="23"/>
        <v>8.5729166666666676E-2</v>
      </c>
      <c r="V204" s="9">
        <f t="shared" si="24"/>
        <v>0.56888888888888878</v>
      </c>
    </row>
    <row r="205" spans="1:22" hidden="1" x14ac:dyDescent="0.35">
      <c r="A205" s="52">
        <v>49592</v>
      </c>
      <c r="B205" s="31">
        <v>46123</v>
      </c>
      <c r="C205" s="7" t="s">
        <v>364</v>
      </c>
      <c r="D205" s="7">
        <v>352</v>
      </c>
      <c r="E205" s="10">
        <f>IFERROR(SUMIFS('Base bordo CD'!M$2:M$875,'Base bordo CD'!D$2:D$875,A205,'Base bordo CD'!A$2:A$875,B205,'Base bordo CD'!L$2:L$875,"CORTE DE CANA MECANIZADO"),0)</f>
        <v>10.010833333333334</v>
      </c>
      <c r="F205" s="10">
        <f>IFERROR(SUMIFS('Base bordo CD'!M$2:M$875,'Base bordo CD'!D$2:D$875,A205,'Base bordo CD'!A$2:A$875,B205,'Base bordo CD'!L$2:L$875,"MANOBRA"),0)</f>
        <v>2.0575000000000001</v>
      </c>
      <c r="G205" s="10">
        <f>IFERROR(SUMIFS('Base bordo CD'!M$2:M$875,'Base bordo CD'!D$2:D$875,A205,'Base bordo CD'!A$2:A$875,B205,'Base bordo CD'!L$2:L$875,"DESLOCAMENTO"),0)</f>
        <v>0.33583333333333332</v>
      </c>
      <c r="H205" s="10">
        <f>IFERROR(SUMIFS('Base bordo CD'!M$2:M$875,'Base bordo CD'!D$2:D$875,A205,'Base bordo CD'!A$2:A$875,B205,'Base bordo CD'!L$2:L$875,"AGUARDANDO MANOBRA DE TRANSBORDO"),0)+IFERROR(SUMIFS('Base bordo CD'!M$2:M$875,'Base bordo CD'!D$2:D$875,A205,'Base bordo CD'!A$2:A$875,B205,'Base bordo CD'!L$2:L$875,"FALTA DE TRANSBORDO"),0)</f>
        <v>0</v>
      </c>
      <c r="I205" s="10">
        <f>IFERROR(SUMIFS('Base bordo CD'!M$2:M$875,'Base bordo CD'!D$2:D$875,A205,'Base bordo CD'!A$2:A$875,B205,'Base bordo CD'!L$2:L$875,"PARADA POR CONDICOES CLIMATICAS"),0)+IFERROR(SUMIFS('Base bordo CD'!M$2:M$875,'Base bordo CD'!D$2:D$875,A205,'Base bordo CD'!A$2:A$875,B205,'Base bordo CD'!L$2:L$875,"TEMPO INDETERMINADO"),0)</f>
        <v>11.192500000000001</v>
      </c>
      <c r="J205" s="10">
        <f>IFERROR(SUMIFS('Base bordo CD'!M$2:M$875,'Base bordo CD'!D$2:D$875,A205,'Base bordo CD'!A$2:A$875,B205,'Base bordo CD'!L$2:L$875,"LIMITAÇÃO INDÚSTRIA"),0)</f>
        <v>0</v>
      </c>
      <c r="K205" s="10">
        <f>IFERROR(SUMIFS('Base bordo CD'!M$2:M$875,'Base bordo CD'!D$2:D$875,A205,'Base bordo CD'!A$2:A$875,B205,'Base bordo CD'!L$2:L$875,"MAN CORRETIVA*"),0)+IFERROR(SUMIFS('Base bordo CD'!M$2:M$875,'Base bordo CD'!D$2:D$875,A205,'Base bordo CD'!A$2:A$875,B205,'Base bordo CD'!L$2:L$875,"AGUARDANDO MANUTENCAO*"),0)+IFERROR(SUMIFS('Base bordo CD'!M$2:M$875,'Base bordo CD'!D$2:D$875,A205,'Base bordo CD'!A$2:A$875,B205,'Base bordo CD'!L$2:L$875,"TROCA DE FAQUINHA"),0)+IFERROR(SUMIFS('Base bordo CD'!M$2:M$875,'Base bordo CD'!D$2:D$875,A205,'Base bordo CD'!A$2:A$875,B205,'Base bordo CD'!L$2:L$875,"LIMPEZA*"),0)</f>
        <v>0.10194444444444443</v>
      </c>
      <c r="L205" s="10">
        <f>IFERROR(SUMIFS('Base bordo CD'!M$2:M$875,'Base bordo CD'!D$2:D$875,A205,'Base bordo CD'!A$2:A$875,B205,'Base bordo CD'!L$2:L$875,"PATIO - RESERVA"),0)</f>
        <v>0</v>
      </c>
      <c r="M205" s="10">
        <f>IFERROR(SUMIFS('Base bordo CD'!M$2:M$875,'Base bordo CD'!D$2:D$875,A205,'Base bordo CD'!A$2:A$875,B205,'Base bordo CD'!L$2:L$875,"SEM APONTAMENTO"),0)</f>
        <v>2.5555555555555554E-2</v>
      </c>
      <c r="N205" s="10">
        <f>IFERROR(SUMIFS('Base bordo CD'!M$2:M$875,'Base bordo CD'!D$2:D$875,A205,'Base bordo CD'!A$2:A$875,B205,'Base bordo CD'!L$2:L$875,"FALTA DE CAMINHÃO"),0)+IFERROR(SUMIFS('Base bordo CD'!M$2:M$875,'Base bordo CD'!D$2:D$875,A205,'Base bordo CD'!A$2:A$875,B205,'Base bordo CD'!L$2:L$875,"FALTA DE COMBUSTIVEL"),0)+IFERROR(SUMIFS('Base bordo CD'!M$2:M$875,'Base bordo CD'!D$2:D$875,A205,'Base bordo CD'!A$2:A$875,B205,'Base bordo CD'!L$2:L$875,"FALTA DE MOTORIST*"),0)</f>
        <v>0</v>
      </c>
      <c r="O205" s="10">
        <f t="shared" si="20"/>
        <v>0.2758333333333276</v>
      </c>
      <c r="P205" s="10">
        <f>IFERROR(SUMIFS('Base bordo CD'!M$2:M$875,'Base bordo CD'!D$2:D$875,A205,'Base bordo CD'!A$2:A$875,B205),0)</f>
        <v>24</v>
      </c>
      <c r="Q205" s="10">
        <f>IFERROR(SUMIFS('Base bordo CD'!O$2:O$875,'Base bordo CD'!D$2:D$875,A205,'Base bordo CD'!A$2:A$875,B205,'Base bordo CD'!L$2:L$875,"CORTE DE CANA MECANIZADO"),0)</f>
        <v>151795.70000000001</v>
      </c>
      <c r="R205" s="10">
        <f>IFERROR(SUMIFS('Base bordo CD'!Q$2:Q$875,'Base bordo CD'!D$2:D$875,A205,'Base bordo CD'!A$2:A$875,B205,'Base bordo CD'!L$2:L$875,"CORTE DE CANA MECANIZADO"),0)</f>
        <v>36039</v>
      </c>
      <c r="S205" s="30">
        <f t="shared" si="21"/>
        <v>4.211984239296318</v>
      </c>
      <c r="T205" s="9">
        <f t="shared" si="22"/>
        <v>0.41711805555555559</v>
      </c>
      <c r="U205" s="9">
        <f t="shared" si="23"/>
        <v>8.5729166666666676E-2</v>
      </c>
      <c r="V205" s="9">
        <f t="shared" si="24"/>
        <v>0.56888888888888878</v>
      </c>
    </row>
    <row r="206" spans="1:22" hidden="1" x14ac:dyDescent="0.35">
      <c r="A206" s="52">
        <v>49592</v>
      </c>
      <c r="B206" s="31">
        <v>46123</v>
      </c>
      <c r="C206" s="7" t="s">
        <v>364</v>
      </c>
      <c r="D206" s="7">
        <v>352</v>
      </c>
      <c r="E206" s="10">
        <f>IFERROR(SUMIFS('Base bordo CD'!M$2:M$875,'Base bordo CD'!D$2:D$875,A206,'Base bordo CD'!A$2:A$875,B206,'Base bordo CD'!L$2:L$875,"CORTE DE CANA MECANIZADO"),0)</f>
        <v>10.010833333333334</v>
      </c>
      <c r="F206" s="10">
        <f>IFERROR(SUMIFS('Base bordo CD'!M$2:M$875,'Base bordo CD'!D$2:D$875,A206,'Base bordo CD'!A$2:A$875,B206,'Base bordo CD'!L$2:L$875,"MANOBRA"),0)</f>
        <v>2.0575000000000001</v>
      </c>
      <c r="G206" s="10">
        <f>IFERROR(SUMIFS('Base bordo CD'!M$2:M$875,'Base bordo CD'!D$2:D$875,A206,'Base bordo CD'!A$2:A$875,B206,'Base bordo CD'!L$2:L$875,"DESLOCAMENTO"),0)</f>
        <v>0.33583333333333332</v>
      </c>
      <c r="H206" s="10">
        <f>IFERROR(SUMIFS('Base bordo CD'!M$2:M$875,'Base bordo CD'!D$2:D$875,A206,'Base bordo CD'!A$2:A$875,B206,'Base bordo CD'!L$2:L$875,"AGUARDANDO MANOBRA DE TRANSBORDO"),0)+IFERROR(SUMIFS('Base bordo CD'!M$2:M$875,'Base bordo CD'!D$2:D$875,A206,'Base bordo CD'!A$2:A$875,B206,'Base bordo CD'!L$2:L$875,"FALTA DE TRANSBORDO"),0)</f>
        <v>0</v>
      </c>
      <c r="I206" s="10">
        <f>IFERROR(SUMIFS('Base bordo CD'!M$2:M$875,'Base bordo CD'!D$2:D$875,A206,'Base bordo CD'!A$2:A$875,B206,'Base bordo CD'!L$2:L$875,"PARADA POR CONDICOES CLIMATICAS"),0)+IFERROR(SUMIFS('Base bordo CD'!M$2:M$875,'Base bordo CD'!D$2:D$875,A206,'Base bordo CD'!A$2:A$875,B206,'Base bordo CD'!L$2:L$875,"TEMPO INDETERMINADO"),0)</f>
        <v>11.192500000000001</v>
      </c>
      <c r="J206" s="10">
        <f>IFERROR(SUMIFS('Base bordo CD'!M$2:M$875,'Base bordo CD'!D$2:D$875,A206,'Base bordo CD'!A$2:A$875,B206,'Base bordo CD'!L$2:L$875,"LIMITAÇÃO INDÚSTRIA"),0)</f>
        <v>0</v>
      </c>
      <c r="K206" s="10">
        <f>IFERROR(SUMIFS('Base bordo CD'!M$2:M$875,'Base bordo CD'!D$2:D$875,A206,'Base bordo CD'!A$2:A$875,B206,'Base bordo CD'!L$2:L$875,"MAN CORRETIVA*"),0)+IFERROR(SUMIFS('Base bordo CD'!M$2:M$875,'Base bordo CD'!D$2:D$875,A206,'Base bordo CD'!A$2:A$875,B206,'Base bordo CD'!L$2:L$875,"AGUARDANDO MANUTENCAO*"),0)+IFERROR(SUMIFS('Base bordo CD'!M$2:M$875,'Base bordo CD'!D$2:D$875,A206,'Base bordo CD'!A$2:A$875,B206,'Base bordo CD'!L$2:L$875,"TROCA DE FAQUINHA"),0)+IFERROR(SUMIFS('Base bordo CD'!M$2:M$875,'Base bordo CD'!D$2:D$875,A206,'Base bordo CD'!A$2:A$875,B206,'Base bordo CD'!L$2:L$875,"LIMPEZA*"),0)</f>
        <v>0.10194444444444443</v>
      </c>
      <c r="L206" s="10">
        <f>IFERROR(SUMIFS('Base bordo CD'!M$2:M$875,'Base bordo CD'!D$2:D$875,A206,'Base bordo CD'!A$2:A$875,B206,'Base bordo CD'!L$2:L$875,"PATIO - RESERVA"),0)</f>
        <v>0</v>
      </c>
      <c r="M206" s="10">
        <f>IFERROR(SUMIFS('Base bordo CD'!M$2:M$875,'Base bordo CD'!D$2:D$875,A206,'Base bordo CD'!A$2:A$875,B206,'Base bordo CD'!L$2:L$875,"SEM APONTAMENTO"),0)</f>
        <v>2.5555555555555554E-2</v>
      </c>
      <c r="N206" s="10">
        <f>IFERROR(SUMIFS('Base bordo CD'!M$2:M$875,'Base bordo CD'!D$2:D$875,A206,'Base bordo CD'!A$2:A$875,B206,'Base bordo CD'!L$2:L$875,"FALTA DE CAMINHÃO"),0)+IFERROR(SUMIFS('Base bordo CD'!M$2:M$875,'Base bordo CD'!D$2:D$875,A206,'Base bordo CD'!A$2:A$875,B206,'Base bordo CD'!L$2:L$875,"FALTA DE COMBUSTIVEL"),0)+IFERROR(SUMIFS('Base bordo CD'!M$2:M$875,'Base bordo CD'!D$2:D$875,A206,'Base bordo CD'!A$2:A$875,B206,'Base bordo CD'!L$2:L$875,"FALTA DE MOTORIST*"),0)</f>
        <v>0</v>
      </c>
      <c r="O206" s="10">
        <f t="shared" si="20"/>
        <v>0.2758333333333276</v>
      </c>
      <c r="P206" s="10">
        <f>IFERROR(SUMIFS('Base bordo CD'!M$2:M$875,'Base bordo CD'!D$2:D$875,A206,'Base bordo CD'!A$2:A$875,B206),0)</f>
        <v>24</v>
      </c>
      <c r="Q206" s="10">
        <f>IFERROR(SUMIFS('Base bordo CD'!O$2:O$875,'Base bordo CD'!D$2:D$875,A206,'Base bordo CD'!A$2:A$875,B206,'Base bordo CD'!L$2:L$875,"CORTE DE CANA MECANIZADO"),0)</f>
        <v>151795.70000000001</v>
      </c>
      <c r="R206" s="10">
        <f>IFERROR(SUMIFS('Base bordo CD'!Q$2:Q$875,'Base bordo CD'!D$2:D$875,A206,'Base bordo CD'!A$2:A$875,B206,'Base bordo CD'!L$2:L$875,"CORTE DE CANA MECANIZADO"),0)</f>
        <v>36039</v>
      </c>
      <c r="S206" s="30">
        <f t="shared" si="21"/>
        <v>4.211984239296318</v>
      </c>
      <c r="T206" s="9">
        <f t="shared" si="22"/>
        <v>0.41711805555555559</v>
      </c>
      <c r="U206" s="9">
        <f t="shared" si="23"/>
        <v>8.5729166666666676E-2</v>
      </c>
      <c r="V206" s="9">
        <f t="shared" si="24"/>
        <v>0.56888888888888878</v>
      </c>
    </row>
    <row r="207" spans="1:22" hidden="1" x14ac:dyDescent="0.35">
      <c r="A207" s="52">
        <v>49592</v>
      </c>
      <c r="B207" s="31">
        <v>46123</v>
      </c>
      <c r="C207" s="7" t="s">
        <v>364</v>
      </c>
      <c r="D207" s="7">
        <v>352</v>
      </c>
      <c r="E207" s="10">
        <f>IFERROR(SUMIFS('Base bordo CD'!M$2:M$875,'Base bordo CD'!D$2:D$875,A207,'Base bordo CD'!A$2:A$875,B207,'Base bordo CD'!L$2:L$875,"CORTE DE CANA MECANIZADO"),0)</f>
        <v>10.010833333333334</v>
      </c>
      <c r="F207" s="10">
        <f>IFERROR(SUMIFS('Base bordo CD'!M$2:M$875,'Base bordo CD'!D$2:D$875,A207,'Base bordo CD'!A$2:A$875,B207,'Base bordo CD'!L$2:L$875,"MANOBRA"),0)</f>
        <v>2.0575000000000001</v>
      </c>
      <c r="G207" s="10">
        <f>IFERROR(SUMIFS('Base bordo CD'!M$2:M$875,'Base bordo CD'!D$2:D$875,A207,'Base bordo CD'!A$2:A$875,B207,'Base bordo CD'!L$2:L$875,"DESLOCAMENTO"),0)</f>
        <v>0.33583333333333332</v>
      </c>
      <c r="H207" s="10">
        <f>IFERROR(SUMIFS('Base bordo CD'!M$2:M$875,'Base bordo CD'!D$2:D$875,A207,'Base bordo CD'!A$2:A$875,B207,'Base bordo CD'!L$2:L$875,"AGUARDANDO MANOBRA DE TRANSBORDO"),0)+IFERROR(SUMIFS('Base bordo CD'!M$2:M$875,'Base bordo CD'!D$2:D$875,A207,'Base bordo CD'!A$2:A$875,B207,'Base bordo CD'!L$2:L$875,"FALTA DE TRANSBORDO"),0)</f>
        <v>0</v>
      </c>
      <c r="I207" s="10">
        <f>IFERROR(SUMIFS('Base bordo CD'!M$2:M$875,'Base bordo CD'!D$2:D$875,A207,'Base bordo CD'!A$2:A$875,B207,'Base bordo CD'!L$2:L$875,"PARADA POR CONDICOES CLIMATICAS"),0)+IFERROR(SUMIFS('Base bordo CD'!M$2:M$875,'Base bordo CD'!D$2:D$875,A207,'Base bordo CD'!A$2:A$875,B207,'Base bordo CD'!L$2:L$875,"TEMPO INDETERMINADO"),0)</f>
        <v>11.192500000000001</v>
      </c>
      <c r="J207" s="10">
        <f>IFERROR(SUMIFS('Base bordo CD'!M$2:M$875,'Base bordo CD'!D$2:D$875,A207,'Base bordo CD'!A$2:A$875,B207,'Base bordo CD'!L$2:L$875,"LIMITAÇÃO INDÚSTRIA"),0)</f>
        <v>0</v>
      </c>
      <c r="K207" s="10">
        <f>IFERROR(SUMIFS('Base bordo CD'!M$2:M$875,'Base bordo CD'!D$2:D$875,A207,'Base bordo CD'!A$2:A$875,B207,'Base bordo CD'!L$2:L$875,"MAN CORRETIVA*"),0)+IFERROR(SUMIFS('Base bordo CD'!M$2:M$875,'Base bordo CD'!D$2:D$875,A207,'Base bordo CD'!A$2:A$875,B207,'Base bordo CD'!L$2:L$875,"AGUARDANDO MANUTENCAO*"),0)+IFERROR(SUMIFS('Base bordo CD'!M$2:M$875,'Base bordo CD'!D$2:D$875,A207,'Base bordo CD'!A$2:A$875,B207,'Base bordo CD'!L$2:L$875,"TROCA DE FAQUINHA"),0)+IFERROR(SUMIFS('Base bordo CD'!M$2:M$875,'Base bordo CD'!D$2:D$875,A207,'Base bordo CD'!A$2:A$875,B207,'Base bordo CD'!L$2:L$875,"LIMPEZA*"),0)</f>
        <v>0.10194444444444443</v>
      </c>
      <c r="L207" s="10">
        <f>IFERROR(SUMIFS('Base bordo CD'!M$2:M$875,'Base bordo CD'!D$2:D$875,A207,'Base bordo CD'!A$2:A$875,B207,'Base bordo CD'!L$2:L$875,"PATIO - RESERVA"),0)</f>
        <v>0</v>
      </c>
      <c r="M207" s="10">
        <f>IFERROR(SUMIFS('Base bordo CD'!M$2:M$875,'Base bordo CD'!D$2:D$875,A207,'Base bordo CD'!A$2:A$875,B207,'Base bordo CD'!L$2:L$875,"SEM APONTAMENTO"),0)</f>
        <v>2.5555555555555554E-2</v>
      </c>
      <c r="N207" s="10">
        <f>IFERROR(SUMIFS('Base bordo CD'!M$2:M$875,'Base bordo CD'!D$2:D$875,A207,'Base bordo CD'!A$2:A$875,B207,'Base bordo CD'!L$2:L$875,"FALTA DE CAMINHÃO"),0)+IFERROR(SUMIFS('Base bordo CD'!M$2:M$875,'Base bordo CD'!D$2:D$875,A207,'Base bordo CD'!A$2:A$875,B207,'Base bordo CD'!L$2:L$875,"FALTA DE COMBUSTIVEL"),0)+IFERROR(SUMIFS('Base bordo CD'!M$2:M$875,'Base bordo CD'!D$2:D$875,A207,'Base bordo CD'!A$2:A$875,B207,'Base bordo CD'!L$2:L$875,"FALTA DE MOTORIST*"),0)</f>
        <v>0</v>
      </c>
      <c r="O207" s="10">
        <f t="shared" si="20"/>
        <v>0.2758333333333276</v>
      </c>
      <c r="P207" s="10">
        <f>IFERROR(SUMIFS('Base bordo CD'!M$2:M$875,'Base bordo CD'!D$2:D$875,A207,'Base bordo CD'!A$2:A$875,B207),0)</f>
        <v>24</v>
      </c>
      <c r="Q207" s="10">
        <f>IFERROR(SUMIFS('Base bordo CD'!O$2:O$875,'Base bordo CD'!D$2:D$875,A207,'Base bordo CD'!A$2:A$875,B207,'Base bordo CD'!L$2:L$875,"CORTE DE CANA MECANIZADO"),0)</f>
        <v>151795.70000000001</v>
      </c>
      <c r="R207" s="10">
        <f>IFERROR(SUMIFS('Base bordo CD'!Q$2:Q$875,'Base bordo CD'!D$2:D$875,A207,'Base bordo CD'!A$2:A$875,B207,'Base bordo CD'!L$2:L$875,"CORTE DE CANA MECANIZADO"),0)</f>
        <v>36039</v>
      </c>
      <c r="S207" s="30">
        <f t="shared" si="21"/>
        <v>4.211984239296318</v>
      </c>
      <c r="T207" s="9">
        <f t="shared" si="22"/>
        <v>0.41711805555555559</v>
      </c>
      <c r="U207" s="9">
        <f t="shared" si="23"/>
        <v>8.5729166666666676E-2</v>
      </c>
      <c r="V207" s="9">
        <f t="shared" si="24"/>
        <v>0.56888888888888878</v>
      </c>
    </row>
    <row r="208" spans="1:22" hidden="1" x14ac:dyDescent="0.35">
      <c r="A208" s="52">
        <v>49592</v>
      </c>
      <c r="B208" s="31">
        <v>46123</v>
      </c>
      <c r="C208" s="7" t="s">
        <v>364</v>
      </c>
      <c r="D208" s="7">
        <v>352</v>
      </c>
      <c r="E208" s="10">
        <f>IFERROR(SUMIFS('Base bordo CD'!M$2:M$875,'Base bordo CD'!D$2:D$875,A208,'Base bordo CD'!A$2:A$875,B208,'Base bordo CD'!L$2:L$875,"CORTE DE CANA MECANIZADO"),0)</f>
        <v>10.010833333333334</v>
      </c>
      <c r="F208" s="10">
        <f>IFERROR(SUMIFS('Base bordo CD'!M$2:M$875,'Base bordo CD'!D$2:D$875,A208,'Base bordo CD'!A$2:A$875,B208,'Base bordo CD'!L$2:L$875,"MANOBRA"),0)</f>
        <v>2.0575000000000001</v>
      </c>
      <c r="G208" s="10">
        <f>IFERROR(SUMIFS('Base bordo CD'!M$2:M$875,'Base bordo CD'!D$2:D$875,A208,'Base bordo CD'!A$2:A$875,B208,'Base bordo CD'!L$2:L$875,"DESLOCAMENTO"),0)</f>
        <v>0.33583333333333332</v>
      </c>
      <c r="H208" s="10">
        <f>IFERROR(SUMIFS('Base bordo CD'!M$2:M$875,'Base bordo CD'!D$2:D$875,A208,'Base bordo CD'!A$2:A$875,B208,'Base bordo CD'!L$2:L$875,"AGUARDANDO MANOBRA DE TRANSBORDO"),0)+IFERROR(SUMIFS('Base bordo CD'!M$2:M$875,'Base bordo CD'!D$2:D$875,A208,'Base bordo CD'!A$2:A$875,B208,'Base bordo CD'!L$2:L$875,"FALTA DE TRANSBORDO"),0)</f>
        <v>0</v>
      </c>
      <c r="I208" s="10">
        <f>IFERROR(SUMIFS('Base bordo CD'!M$2:M$875,'Base bordo CD'!D$2:D$875,A208,'Base bordo CD'!A$2:A$875,B208,'Base bordo CD'!L$2:L$875,"PARADA POR CONDICOES CLIMATICAS"),0)+IFERROR(SUMIFS('Base bordo CD'!M$2:M$875,'Base bordo CD'!D$2:D$875,A208,'Base bordo CD'!A$2:A$875,B208,'Base bordo CD'!L$2:L$875,"TEMPO INDETERMINADO"),0)</f>
        <v>11.192500000000001</v>
      </c>
      <c r="J208" s="10">
        <f>IFERROR(SUMIFS('Base bordo CD'!M$2:M$875,'Base bordo CD'!D$2:D$875,A208,'Base bordo CD'!A$2:A$875,B208,'Base bordo CD'!L$2:L$875,"LIMITAÇÃO INDÚSTRIA"),0)</f>
        <v>0</v>
      </c>
      <c r="K208" s="10">
        <f>IFERROR(SUMIFS('Base bordo CD'!M$2:M$875,'Base bordo CD'!D$2:D$875,A208,'Base bordo CD'!A$2:A$875,B208,'Base bordo CD'!L$2:L$875,"MAN CORRETIVA*"),0)+IFERROR(SUMIFS('Base bordo CD'!M$2:M$875,'Base bordo CD'!D$2:D$875,A208,'Base bordo CD'!A$2:A$875,B208,'Base bordo CD'!L$2:L$875,"AGUARDANDO MANUTENCAO*"),0)+IFERROR(SUMIFS('Base bordo CD'!M$2:M$875,'Base bordo CD'!D$2:D$875,A208,'Base bordo CD'!A$2:A$875,B208,'Base bordo CD'!L$2:L$875,"TROCA DE FAQUINHA"),0)+IFERROR(SUMIFS('Base bordo CD'!M$2:M$875,'Base bordo CD'!D$2:D$875,A208,'Base bordo CD'!A$2:A$875,B208,'Base bordo CD'!L$2:L$875,"LIMPEZA*"),0)</f>
        <v>0.10194444444444443</v>
      </c>
      <c r="L208" s="10">
        <f>IFERROR(SUMIFS('Base bordo CD'!M$2:M$875,'Base bordo CD'!D$2:D$875,A208,'Base bordo CD'!A$2:A$875,B208,'Base bordo CD'!L$2:L$875,"PATIO - RESERVA"),0)</f>
        <v>0</v>
      </c>
      <c r="M208" s="10">
        <f>IFERROR(SUMIFS('Base bordo CD'!M$2:M$875,'Base bordo CD'!D$2:D$875,A208,'Base bordo CD'!A$2:A$875,B208,'Base bordo CD'!L$2:L$875,"SEM APONTAMENTO"),0)</f>
        <v>2.5555555555555554E-2</v>
      </c>
      <c r="N208" s="10">
        <f>IFERROR(SUMIFS('Base bordo CD'!M$2:M$875,'Base bordo CD'!D$2:D$875,A208,'Base bordo CD'!A$2:A$875,B208,'Base bordo CD'!L$2:L$875,"FALTA DE CAMINHÃO"),0)+IFERROR(SUMIFS('Base bordo CD'!M$2:M$875,'Base bordo CD'!D$2:D$875,A208,'Base bordo CD'!A$2:A$875,B208,'Base bordo CD'!L$2:L$875,"FALTA DE COMBUSTIVEL"),0)+IFERROR(SUMIFS('Base bordo CD'!M$2:M$875,'Base bordo CD'!D$2:D$875,A208,'Base bordo CD'!A$2:A$875,B208,'Base bordo CD'!L$2:L$875,"FALTA DE MOTORIST*"),0)</f>
        <v>0</v>
      </c>
      <c r="O208" s="10">
        <f t="shared" si="20"/>
        <v>0.2758333333333276</v>
      </c>
      <c r="P208" s="10">
        <f>IFERROR(SUMIFS('Base bordo CD'!M$2:M$875,'Base bordo CD'!D$2:D$875,A208,'Base bordo CD'!A$2:A$875,B208),0)</f>
        <v>24</v>
      </c>
      <c r="Q208" s="10">
        <f>IFERROR(SUMIFS('Base bordo CD'!O$2:O$875,'Base bordo CD'!D$2:D$875,A208,'Base bordo CD'!A$2:A$875,B208,'Base bordo CD'!L$2:L$875,"CORTE DE CANA MECANIZADO"),0)</f>
        <v>151795.70000000001</v>
      </c>
      <c r="R208" s="10">
        <f>IFERROR(SUMIFS('Base bordo CD'!Q$2:Q$875,'Base bordo CD'!D$2:D$875,A208,'Base bordo CD'!A$2:A$875,B208,'Base bordo CD'!L$2:L$875,"CORTE DE CANA MECANIZADO"),0)</f>
        <v>36039</v>
      </c>
      <c r="S208" s="30">
        <f t="shared" si="21"/>
        <v>4.211984239296318</v>
      </c>
      <c r="T208" s="9">
        <f t="shared" si="22"/>
        <v>0.41711805555555559</v>
      </c>
      <c r="U208" s="9">
        <f t="shared" si="23"/>
        <v>8.5729166666666676E-2</v>
      </c>
      <c r="V208" s="9">
        <f t="shared" si="24"/>
        <v>0.56888888888888878</v>
      </c>
    </row>
    <row r="209" spans="1:22" hidden="1" x14ac:dyDescent="0.35">
      <c r="A209" s="52">
        <v>49592</v>
      </c>
      <c r="B209" s="31">
        <v>46123</v>
      </c>
      <c r="C209" s="7" t="s">
        <v>364</v>
      </c>
      <c r="D209" s="7">
        <v>352</v>
      </c>
      <c r="E209" s="10">
        <f>IFERROR(SUMIFS('Base bordo CD'!M$2:M$875,'Base bordo CD'!D$2:D$875,A209,'Base bordo CD'!A$2:A$875,B209,'Base bordo CD'!L$2:L$875,"CORTE DE CANA MECANIZADO"),0)</f>
        <v>10.010833333333334</v>
      </c>
      <c r="F209" s="10">
        <f>IFERROR(SUMIFS('Base bordo CD'!M$2:M$875,'Base bordo CD'!D$2:D$875,A209,'Base bordo CD'!A$2:A$875,B209,'Base bordo CD'!L$2:L$875,"MANOBRA"),0)</f>
        <v>2.0575000000000001</v>
      </c>
      <c r="G209" s="10">
        <f>IFERROR(SUMIFS('Base bordo CD'!M$2:M$875,'Base bordo CD'!D$2:D$875,A209,'Base bordo CD'!A$2:A$875,B209,'Base bordo CD'!L$2:L$875,"DESLOCAMENTO"),0)</f>
        <v>0.33583333333333332</v>
      </c>
      <c r="H209" s="10">
        <f>IFERROR(SUMIFS('Base bordo CD'!M$2:M$875,'Base bordo CD'!D$2:D$875,A209,'Base bordo CD'!A$2:A$875,B209,'Base bordo CD'!L$2:L$875,"AGUARDANDO MANOBRA DE TRANSBORDO"),0)+IFERROR(SUMIFS('Base bordo CD'!M$2:M$875,'Base bordo CD'!D$2:D$875,A209,'Base bordo CD'!A$2:A$875,B209,'Base bordo CD'!L$2:L$875,"FALTA DE TRANSBORDO"),0)</f>
        <v>0</v>
      </c>
      <c r="I209" s="10">
        <f>IFERROR(SUMIFS('Base bordo CD'!M$2:M$875,'Base bordo CD'!D$2:D$875,A209,'Base bordo CD'!A$2:A$875,B209,'Base bordo CD'!L$2:L$875,"PARADA POR CONDICOES CLIMATICAS"),0)+IFERROR(SUMIFS('Base bordo CD'!M$2:M$875,'Base bordo CD'!D$2:D$875,A209,'Base bordo CD'!A$2:A$875,B209,'Base bordo CD'!L$2:L$875,"TEMPO INDETERMINADO"),0)</f>
        <v>11.192500000000001</v>
      </c>
      <c r="J209" s="10">
        <f>IFERROR(SUMIFS('Base bordo CD'!M$2:M$875,'Base bordo CD'!D$2:D$875,A209,'Base bordo CD'!A$2:A$875,B209,'Base bordo CD'!L$2:L$875,"LIMITAÇÃO INDÚSTRIA"),0)</f>
        <v>0</v>
      </c>
      <c r="K209" s="10">
        <f>IFERROR(SUMIFS('Base bordo CD'!M$2:M$875,'Base bordo CD'!D$2:D$875,A209,'Base bordo CD'!A$2:A$875,B209,'Base bordo CD'!L$2:L$875,"MAN CORRETIVA*"),0)+IFERROR(SUMIFS('Base bordo CD'!M$2:M$875,'Base bordo CD'!D$2:D$875,A209,'Base bordo CD'!A$2:A$875,B209,'Base bordo CD'!L$2:L$875,"AGUARDANDO MANUTENCAO*"),0)+IFERROR(SUMIFS('Base bordo CD'!M$2:M$875,'Base bordo CD'!D$2:D$875,A209,'Base bordo CD'!A$2:A$875,B209,'Base bordo CD'!L$2:L$875,"TROCA DE FAQUINHA"),0)+IFERROR(SUMIFS('Base bordo CD'!M$2:M$875,'Base bordo CD'!D$2:D$875,A209,'Base bordo CD'!A$2:A$875,B209,'Base bordo CD'!L$2:L$875,"LIMPEZA*"),0)</f>
        <v>0.10194444444444443</v>
      </c>
      <c r="L209" s="10">
        <f>IFERROR(SUMIFS('Base bordo CD'!M$2:M$875,'Base bordo CD'!D$2:D$875,A209,'Base bordo CD'!A$2:A$875,B209,'Base bordo CD'!L$2:L$875,"PATIO - RESERVA"),0)</f>
        <v>0</v>
      </c>
      <c r="M209" s="10">
        <f>IFERROR(SUMIFS('Base bordo CD'!M$2:M$875,'Base bordo CD'!D$2:D$875,A209,'Base bordo CD'!A$2:A$875,B209,'Base bordo CD'!L$2:L$875,"SEM APONTAMENTO"),0)</f>
        <v>2.5555555555555554E-2</v>
      </c>
      <c r="N209" s="10">
        <f>IFERROR(SUMIFS('Base bordo CD'!M$2:M$875,'Base bordo CD'!D$2:D$875,A209,'Base bordo CD'!A$2:A$875,B209,'Base bordo CD'!L$2:L$875,"FALTA DE CAMINHÃO"),0)+IFERROR(SUMIFS('Base bordo CD'!M$2:M$875,'Base bordo CD'!D$2:D$875,A209,'Base bordo CD'!A$2:A$875,B209,'Base bordo CD'!L$2:L$875,"FALTA DE COMBUSTIVEL"),0)+IFERROR(SUMIFS('Base bordo CD'!M$2:M$875,'Base bordo CD'!D$2:D$875,A209,'Base bordo CD'!A$2:A$875,B209,'Base bordo CD'!L$2:L$875,"FALTA DE MOTORIST*"),0)</f>
        <v>0</v>
      </c>
      <c r="O209" s="10">
        <f t="shared" si="20"/>
        <v>0.2758333333333276</v>
      </c>
      <c r="P209" s="10">
        <f>IFERROR(SUMIFS('Base bordo CD'!M$2:M$875,'Base bordo CD'!D$2:D$875,A209,'Base bordo CD'!A$2:A$875,B209),0)</f>
        <v>24</v>
      </c>
      <c r="Q209" s="10">
        <f>IFERROR(SUMIFS('Base bordo CD'!O$2:O$875,'Base bordo CD'!D$2:D$875,A209,'Base bordo CD'!A$2:A$875,B209,'Base bordo CD'!L$2:L$875,"CORTE DE CANA MECANIZADO"),0)</f>
        <v>151795.70000000001</v>
      </c>
      <c r="R209" s="10">
        <f>IFERROR(SUMIFS('Base bordo CD'!Q$2:Q$875,'Base bordo CD'!D$2:D$875,A209,'Base bordo CD'!A$2:A$875,B209,'Base bordo CD'!L$2:L$875,"CORTE DE CANA MECANIZADO"),0)</f>
        <v>36039</v>
      </c>
      <c r="S209" s="30">
        <f t="shared" si="21"/>
        <v>4.211984239296318</v>
      </c>
      <c r="T209" s="9">
        <f t="shared" si="22"/>
        <v>0.41711805555555559</v>
      </c>
      <c r="U209" s="9">
        <f t="shared" si="23"/>
        <v>8.5729166666666676E-2</v>
      </c>
      <c r="V209" s="9">
        <f t="shared" si="24"/>
        <v>0.56888888888888878</v>
      </c>
    </row>
    <row r="210" spans="1:22" hidden="1" x14ac:dyDescent="0.35">
      <c r="A210" s="52">
        <v>49592</v>
      </c>
      <c r="B210" s="31">
        <v>46123</v>
      </c>
      <c r="C210" s="7" t="s">
        <v>364</v>
      </c>
      <c r="D210" s="7">
        <v>352</v>
      </c>
      <c r="E210" s="10">
        <f>IFERROR(SUMIFS('Base bordo CD'!M$2:M$875,'Base bordo CD'!D$2:D$875,A210,'Base bordo CD'!A$2:A$875,B210,'Base bordo CD'!L$2:L$875,"CORTE DE CANA MECANIZADO"),0)</f>
        <v>10.010833333333334</v>
      </c>
      <c r="F210" s="10">
        <f>IFERROR(SUMIFS('Base bordo CD'!M$2:M$875,'Base bordo CD'!D$2:D$875,A210,'Base bordo CD'!A$2:A$875,B210,'Base bordo CD'!L$2:L$875,"MANOBRA"),0)</f>
        <v>2.0575000000000001</v>
      </c>
      <c r="G210" s="10">
        <f>IFERROR(SUMIFS('Base bordo CD'!M$2:M$875,'Base bordo CD'!D$2:D$875,A210,'Base bordo CD'!A$2:A$875,B210,'Base bordo CD'!L$2:L$875,"DESLOCAMENTO"),0)</f>
        <v>0.33583333333333332</v>
      </c>
      <c r="H210" s="10">
        <f>IFERROR(SUMIFS('Base bordo CD'!M$2:M$875,'Base bordo CD'!D$2:D$875,A210,'Base bordo CD'!A$2:A$875,B210,'Base bordo CD'!L$2:L$875,"AGUARDANDO MANOBRA DE TRANSBORDO"),0)+IFERROR(SUMIFS('Base bordo CD'!M$2:M$875,'Base bordo CD'!D$2:D$875,A210,'Base bordo CD'!A$2:A$875,B210,'Base bordo CD'!L$2:L$875,"FALTA DE TRANSBORDO"),0)</f>
        <v>0</v>
      </c>
      <c r="I210" s="10">
        <f>IFERROR(SUMIFS('Base bordo CD'!M$2:M$875,'Base bordo CD'!D$2:D$875,A210,'Base bordo CD'!A$2:A$875,B210,'Base bordo CD'!L$2:L$875,"PARADA POR CONDICOES CLIMATICAS"),0)+IFERROR(SUMIFS('Base bordo CD'!M$2:M$875,'Base bordo CD'!D$2:D$875,A210,'Base bordo CD'!A$2:A$875,B210,'Base bordo CD'!L$2:L$875,"TEMPO INDETERMINADO"),0)</f>
        <v>11.192500000000001</v>
      </c>
      <c r="J210" s="10">
        <f>IFERROR(SUMIFS('Base bordo CD'!M$2:M$875,'Base bordo CD'!D$2:D$875,A210,'Base bordo CD'!A$2:A$875,B210,'Base bordo CD'!L$2:L$875,"LIMITAÇÃO INDÚSTRIA"),0)</f>
        <v>0</v>
      </c>
      <c r="K210" s="10">
        <f>IFERROR(SUMIFS('Base bordo CD'!M$2:M$875,'Base bordo CD'!D$2:D$875,A210,'Base bordo CD'!A$2:A$875,B210,'Base bordo CD'!L$2:L$875,"MAN CORRETIVA*"),0)+IFERROR(SUMIFS('Base bordo CD'!M$2:M$875,'Base bordo CD'!D$2:D$875,A210,'Base bordo CD'!A$2:A$875,B210,'Base bordo CD'!L$2:L$875,"AGUARDANDO MANUTENCAO*"),0)+IFERROR(SUMIFS('Base bordo CD'!M$2:M$875,'Base bordo CD'!D$2:D$875,A210,'Base bordo CD'!A$2:A$875,B210,'Base bordo CD'!L$2:L$875,"TROCA DE FAQUINHA"),0)+IFERROR(SUMIFS('Base bordo CD'!M$2:M$875,'Base bordo CD'!D$2:D$875,A210,'Base bordo CD'!A$2:A$875,B210,'Base bordo CD'!L$2:L$875,"LIMPEZA*"),0)</f>
        <v>0.10194444444444443</v>
      </c>
      <c r="L210" s="10">
        <f>IFERROR(SUMIFS('Base bordo CD'!M$2:M$875,'Base bordo CD'!D$2:D$875,A210,'Base bordo CD'!A$2:A$875,B210,'Base bordo CD'!L$2:L$875,"PATIO - RESERVA"),0)</f>
        <v>0</v>
      </c>
      <c r="M210" s="10">
        <f>IFERROR(SUMIFS('Base bordo CD'!M$2:M$875,'Base bordo CD'!D$2:D$875,A210,'Base bordo CD'!A$2:A$875,B210,'Base bordo CD'!L$2:L$875,"SEM APONTAMENTO"),0)</f>
        <v>2.5555555555555554E-2</v>
      </c>
      <c r="N210" s="10">
        <f>IFERROR(SUMIFS('Base bordo CD'!M$2:M$875,'Base bordo CD'!D$2:D$875,A210,'Base bordo CD'!A$2:A$875,B210,'Base bordo CD'!L$2:L$875,"FALTA DE CAMINHÃO"),0)+IFERROR(SUMIFS('Base bordo CD'!M$2:M$875,'Base bordo CD'!D$2:D$875,A210,'Base bordo CD'!A$2:A$875,B210,'Base bordo CD'!L$2:L$875,"FALTA DE COMBUSTIVEL"),0)+IFERROR(SUMIFS('Base bordo CD'!M$2:M$875,'Base bordo CD'!D$2:D$875,A210,'Base bordo CD'!A$2:A$875,B210,'Base bordo CD'!L$2:L$875,"FALTA DE MOTORIST*"),0)</f>
        <v>0</v>
      </c>
      <c r="O210" s="10">
        <f t="shared" si="20"/>
        <v>0.2758333333333276</v>
      </c>
      <c r="P210" s="10">
        <f>IFERROR(SUMIFS('Base bordo CD'!M$2:M$875,'Base bordo CD'!D$2:D$875,A210,'Base bordo CD'!A$2:A$875,B210),0)</f>
        <v>24</v>
      </c>
      <c r="Q210" s="10">
        <f>IFERROR(SUMIFS('Base bordo CD'!O$2:O$875,'Base bordo CD'!D$2:D$875,A210,'Base bordo CD'!A$2:A$875,B210,'Base bordo CD'!L$2:L$875,"CORTE DE CANA MECANIZADO"),0)</f>
        <v>151795.70000000001</v>
      </c>
      <c r="R210" s="10">
        <f>IFERROR(SUMIFS('Base bordo CD'!Q$2:Q$875,'Base bordo CD'!D$2:D$875,A210,'Base bordo CD'!A$2:A$875,B210,'Base bordo CD'!L$2:L$875,"CORTE DE CANA MECANIZADO"),0)</f>
        <v>36039</v>
      </c>
      <c r="S210" s="30">
        <f t="shared" si="21"/>
        <v>4.211984239296318</v>
      </c>
      <c r="T210" s="9">
        <f t="shared" si="22"/>
        <v>0.41711805555555559</v>
      </c>
      <c r="U210" s="9">
        <f t="shared" si="23"/>
        <v>8.5729166666666676E-2</v>
      </c>
      <c r="V210" s="9">
        <f t="shared" si="24"/>
        <v>0.56888888888888878</v>
      </c>
    </row>
    <row r="211" spans="1:22" hidden="1" x14ac:dyDescent="0.35">
      <c r="A211" s="52">
        <v>49592</v>
      </c>
      <c r="B211" s="31">
        <v>46123</v>
      </c>
      <c r="C211" s="7" t="s">
        <v>364</v>
      </c>
      <c r="D211" s="7">
        <v>352</v>
      </c>
      <c r="E211" s="10">
        <f>IFERROR(SUMIFS('Base bordo CD'!M$2:M$875,'Base bordo CD'!D$2:D$875,A211,'Base bordo CD'!A$2:A$875,B211,'Base bordo CD'!L$2:L$875,"CORTE DE CANA MECANIZADO"),0)</f>
        <v>10.010833333333334</v>
      </c>
      <c r="F211" s="10">
        <f>IFERROR(SUMIFS('Base bordo CD'!M$2:M$875,'Base bordo CD'!D$2:D$875,A211,'Base bordo CD'!A$2:A$875,B211,'Base bordo CD'!L$2:L$875,"MANOBRA"),0)</f>
        <v>2.0575000000000001</v>
      </c>
      <c r="G211" s="10">
        <f>IFERROR(SUMIFS('Base bordo CD'!M$2:M$875,'Base bordo CD'!D$2:D$875,A211,'Base bordo CD'!A$2:A$875,B211,'Base bordo CD'!L$2:L$875,"DESLOCAMENTO"),0)</f>
        <v>0.33583333333333332</v>
      </c>
      <c r="H211" s="10">
        <f>IFERROR(SUMIFS('Base bordo CD'!M$2:M$875,'Base bordo CD'!D$2:D$875,A211,'Base bordo CD'!A$2:A$875,B211,'Base bordo CD'!L$2:L$875,"AGUARDANDO MANOBRA DE TRANSBORDO"),0)+IFERROR(SUMIFS('Base bordo CD'!M$2:M$875,'Base bordo CD'!D$2:D$875,A211,'Base bordo CD'!A$2:A$875,B211,'Base bordo CD'!L$2:L$875,"FALTA DE TRANSBORDO"),0)</f>
        <v>0</v>
      </c>
      <c r="I211" s="10">
        <f>IFERROR(SUMIFS('Base bordo CD'!M$2:M$875,'Base bordo CD'!D$2:D$875,A211,'Base bordo CD'!A$2:A$875,B211,'Base bordo CD'!L$2:L$875,"PARADA POR CONDICOES CLIMATICAS"),0)+IFERROR(SUMIFS('Base bordo CD'!M$2:M$875,'Base bordo CD'!D$2:D$875,A211,'Base bordo CD'!A$2:A$875,B211,'Base bordo CD'!L$2:L$875,"TEMPO INDETERMINADO"),0)</f>
        <v>11.192500000000001</v>
      </c>
      <c r="J211" s="10">
        <f>IFERROR(SUMIFS('Base bordo CD'!M$2:M$875,'Base bordo CD'!D$2:D$875,A211,'Base bordo CD'!A$2:A$875,B211,'Base bordo CD'!L$2:L$875,"LIMITAÇÃO INDÚSTRIA"),0)</f>
        <v>0</v>
      </c>
      <c r="K211" s="10">
        <f>IFERROR(SUMIFS('Base bordo CD'!M$2:M$875,'Base bordo CD'!D$2:D$875,A211,'Base bordo CD'!A$2:A$875,B211,'Base bordo CD'!L$2:L$875,"MAN CORRETIVA*"),0)+IFERROR(SUMIFS('Base bordo CD'!M$2:M$875,'Base bordo CD'!D$2:D$875,A211,'Base bordo CD'!A$2:A$875,B211,'Base bordo CD'!L$2:L$875,"AGUARDANDO MANUTENCAO*"),0)+IFERROR(SUMIFS('Base bordo CD'!M$2:M$875,'Base bordo CD'!D$2:D$875,A211,'Base bordo CD'!A$2:A$875,B211,'Base bordo CD'!L$2:L$875,"TROCA DE FAQUINHA"),0)+IFERROR(SUMIFS('Base bordo CD'!M$2:M$875,'Base bordo CD'!D$2:D$875,A211,'Base bordo CD'!A$2:A$875,B211,'Base bordo CD'!L$2:L$875,"LIMPEZA*"),0)</f>
        <v>0.10194444444444443</v>
      </c>
      <c r="L211" s="10">
        <f>IFERROR(SUMIFS('Base bordo CD'!M$2:M$875,'Base bordo CD'!D$2:D$875,A211,'Base bordo CD'!A$2:A$875,B211,'Base bordo CD'!L$2:L$875,"PATIO - RESERVA"),0)</f>
        <v>0</v>
      </c>
      <c r="M211" s="10">
        <f>IFERROR(SUMIFS('Base bordo CD'!M$2:M$875,'Base bordo CD'!D$2:D$875,A211,'Base bordo CD'!A$2:A$875,B211,'Base bordo CD'!L$2:L$875,"SEM APONTAMENTO"),0)</f>
        <v>2.5555555555555554E-2</v>
      </c>
      <c r="N211" s="10">
        <f>IFERROR(SUMIFS('Base bordo CD'!M$2:M$875,'Base bordo CD'!D$2:D$875,A211,'Base bordo CD'!A$2:A$875,B211,'Base bordo CD'!L$2:L$875,"FALTA DE CAMINHÃO"),0)+IFERROR(SUMIFS('Base bordo CD'!M$2:M$875,'Base bordo CD'!D$2:D$875,A211,'Base bordo CD'!A$2:A$875,B211,'Base bordo CD'!L$2:L$875,"FALTA DE COMBUSTIVEL"),0)+IFERROR(SUMIFS('Base bordo CD'!M$2:M$875,'Base bordo CD'!D$2:D$875,A211,'Base bordo CD'!A$2:A$875,B211,'Base bordo CD'!L$2:L$875,"FALTA DE MOTORIST*"),0)</f>
        <v>0</v>
      </c>
      <c r="O211" s="10">
        <f t="shared" si="20"/>
        <v>0.2758333333333276</v>
      </c>
      <c r="P211" s="10">
        <f>IFERROR(SUMIFS('Base bordo CD'!M$2:M$875,'Base bordo CD'!D$2:D$875,A211,'Base bordo CD'!A$2:A$875,B211),0)</f>
        <v>24</v>
      </c>
      <c r="Q211" s="10">
        <f>IFERROR(SUMIFS('Base bordo CD'!O$2:O$875,'Base bordo CD'!D$2:D$875,A211,'Base bordo CD'!A$2:A$875,B211,'Base bordo CD'!L$2:L$875,"CORTE DE CANA MECANIZADO"),0)</f>
        <v>151795.70000000001</v>
      </c>
      <c r="R211" s="10">
        <f>IFERROR(SUMIFS('Base bordo CD'!Q$2:Q$875,'Base bordo CD'!D$2:D$875,A211,'Base bordo CD'!A$2:A$875,B211,'Base bordo CD'!L$2:L$875,"CORTE DE CANA MECANIZADO"),0)</f>
        <v>36039</v>
      </c>
      <c r="S211" s="30">
        <f t="shared" si="21"/>
        <v>4.211984239296318</v>
      </c>
      <c r="T211" s="9">
        <f t="shared" si="22"/>
        <v>0.41711805555555559</v>
      </c>
      <c r="U211" s="9">
        <f t="shared" si="23"/>
        <v>8.5729166666666676E-2</v>
      </c>
      <c r="V211" s="9">
        <f t="shared" si="24"/>
        <v>0.56888888888888878</v>
      </c>
    </row>
    <row r="212" spans="1:22" hidden="1" x14ac:dyDescent="0.35">
      <c r="A212" s="52">
        <v>49593</v>
      </c>
      <c r="B212" s="31">
        <v>46123</v>
      </c>
      <c r="C212" s="7" t="s">
        <v>321</v>
      </c>
      <c r="D212" s="7">
        <v>351</v>
      </c>
      <c r="E212" s="10">
        <f>IFERROR(SUMIFS('Base bordo CD'!M$2:M$875,'Base bordo CD'!D$2:D$875,A212,'Base bordo CD'!A$2:A$875,B212,'Base bordo CD'!L$2:L$875,"CORTE DE CANA MECANIZADO"),0)</f>
        <v>5.0227777777777778</v>
      </c>
      <c r="F212" s="10">
        <f>IFERROR(SUMIFS('Base bordo CD'!M$2:M$875,'Base bordo CD'!D$2:D$875,A212,'Base bordo CD'!A$2:A$875,B212,'Base bordo CD'!L$2:L$875,"MANOBRA"),0)</f>
        <v>0.94361111111111107</v>
      </c>
      <c r="G212" s="10">
        <f>IFERROR(SUMIFS('Base bordo CD'!M$2:M$875,'Base bordo CD'!D$2:D$875,A212,'Base bordo CD'!A$2:A$875,B212,'Base bordo CD'!L$2:L$875,"DESLOCAMENTO"),0)</f>
        <v>0.24194444444444446</v>
      </c>
      <c r="H212" s="10">
        <f>IFERROR(SUMIFS('Base bordo CD'!M$2:M$875,'Base bordo CD'!D$2:D$875,A212,'Base bordo CD'!A$2:A$875,B212,'Base bordo CD'!L$2:L$875,"AGUARDANDO MANOBRA DE TRANSBORDO"),0)+IFERROR(SUMIFS('Base bordo CD'!M$2:M$875,'Base bordo CD'!D$2:D$875,A212,'Base bordo CD'!A$2:A$875,B212,'Base bordo CD'!L$2:L$875,"FALTA DE TRANSBORDO"),0)</f>
        <v>8.6944444444444435E-2</v>
      </c>
      <c r="I212" s="10">
        <f>IFERROR(SUMIFS('Base bordo CD'!M$2:M$875,'Base bordo CD'!D$2:D$875,A212,'Base bordo CD'!A$2:A$875,B212,'Base bordo CD'!L$2:L$875,"PARADA POR CONDICOES CLIMATICAS"),0)+IFERROR(SUMIFS('Base bordo CD'!M$2:M$875,'Base bordo CD'!D$2:D$875,A212,'Base bordo CD'!A$2:A$875,B212,'Base bordo CD'!L$2:L$875,"TEMPO INDETERMINADO"),0)</f>
        <v>15.464166666666667</v>
      </c>
      <c r="J212" s="10">
        <f>IFERROR(SUMIFS('Base bordo CD'!M$2:M$875,'Base bordo CD'!D$2:D$875,A212,'Base bordo CD'!A$2:A$875,B212,'Base bordo CD'!L$2:L$875,"LIMITAÇÃO INDÚSTRIA"),0)</f>
        <v>0</v>
      </c>
      <c r="K212" s="10">
        <f>IFERROR(SUMIFS('Base bordo CD'!M$2:M$875,'Base bordo CD'!D$2:D$875,A212,'Base bordo CD'!A$2:A$875,B212,'Base bordo CD'!L$2:L$875,"MAN CORRETIVA*"),0)+IFERROR(SUMIFS('Base bordo CD'!M$2:M$875,'Base bordo CD'!D$2:D$875,A212,'Base bordo CD'!A$2:A$875,B212,'Base bordo CD'!L$2:L$875,"AGUARDANDO MANUTENCAO*"),0)+IFERROR(SUMIFS('Base bordo CD'!M$2:M$875,'Base bordo CD'!D$2:D$875,A212,'Base bordo CD'!A$2:A$875,B212,'Base bordo CD'!L$2:L$875,"TROCA DE FAQUINHA"),0)+IFERROR(SUMIFS('Base bordo CD'!M$2:M$875,'Base bordo CD'!D$2:D$875,A212,'Base bordo CD'!A$2:A$875,B212,'Base bordo CD'!L$2:L$875,"LIMPEZA*"),0)</f>
        <v>0.42805555555555558</v>
      </c>
      <c r="L212" s="10">
        <f>IFERROR(SUMIFS('Base bordo CD'!M$2:M$875,'Base bordo CD'!D$2:D$875,A212,'Base bordo CD'!A$2:A$875,B212,'Base bordo CD'!L$2:L$875,"PATIO - RESERVA"),0)</f>
        <v>0</v>
      </c>
      <c r="M212" s="10">
        <f>IFERROR(SUMIFS('Base bordo CD'!M$2:M$875,'Base bordo CD'!D$2:D$875,A212,'Base bordo CD'!A$2:A$875,B212,'Base bordo CD'!L$2:L$875,"SEM APONTAMENTO"),0)</f>
        <v>7.4722222222222232E-2</v>
      </c>
      <c r="N212" s="10">
        <f>IFERROR(SUMIFS('Base bordo CD'!M$2:M$875,'Base bordo CD'!D$2:D$875,A212,'Base bordo CD'!A$2:A$875,B212,'Base bordo CD'!L$2:L$875,"FALTA DE CAMINHÃO"),0)+IFERROR(SUMIFS('Base bordo CD'!M$2:M$875,'Base bordo CD'!D$2:D$875,A212,'Base bordo CD'!A$2:A$875,B212,'Base bordo CD'!L$2:L$875,"FALTA DE COMBUSTIVEL"),0)+IFERROR(SUMIFS('Base bordo CD'!M$2:M$875,'Base bordo CD'!D$2:D$875,A212,'Base bordo CD'!A$2:A$875,B212,'Base bordo CD'!L$2:L$875,"FALTA DE MOTORIST*"),0)</f>
        <v>0</v>
      </c>
      <c r="O212" s="10">
        <f t="shared" si="20"/>
        <v>1.737777777777783</v>
      </c>
      <c r="P212" s="10">
        <f>IFERROR(SUMIFS('Base bordo CD'!M$2:M$875,'Base bordo CD'!D$2:D$875,A212,'Base bordo CD'!A$2:A$875,B212),0)</f>
        <v>24.000000000000004</v>
      </c>
      <c r="Q212" s="10">
        <f>IFERROR(SUMIFS('Base bordo CD'!O$2:O$875,'Base bordo CD'!D$2:D$875,A212,'Base bordo CD'!A$2:A$875,B212,'Base bordo CD'!L$2:L$875,"CORTE DE CANA MECANIZADO"),0)</f>
        <v>78977.72</v>
      </c>
      <c r="R212" s="10">
        <f>IFERROR(SUMIFS('Base bordo CD'!Q$2:Q$875,'Base bordo CD'!D$2:D$875,A212,'Base bordo CD'!A$2:A$875,B212,'Base bordo CD'!L$2:L$875,"CORTE DE CANA MECANIZADO"),0)</f>
        <v>18082</v>
      </c>
      <c r="S212" s="30">
        <f t="shared" si="21"/>
        <v>4.3677535670832874</v>
      </c>
      <c r="T212" s="9">
        <f t="shared" si="22"/>
        <v>0.20928240740740739</v>
      </c>
      <c r="U212" s="9">
        <f t="shared" si="23"/>
        <v>3.9317129629629619E-2</v>
      </c>
      <c r="V212" s="9">
        <f t="shared" si="24"/>
        <v>0.78063657407407416</v>
      </c>
    </row>
    <row r="213" spans="1:22" hidden="1" x14ac:dyDescent="0.35">
      <c r="A213" s="52">
        <v>49593</v>
      </c>
      <c r="B213" s="31">
        <v>46123</v>
      </c>
      <c r="C213" s="7" t="s">
        <v>321</v>
      </c>
      <c r="D213" s="7">
        <v>351</v>
      </c>
      <c r="E213" s="10">
        <f>IFERROR(SUMIFS('Base bordo CD'!M$2:M$875,'Base bordo CD'!D$2:D$875,A213,'Base bordo CD'!A$2:A$875,B213,'Base bordo CD'!L$2:L$875,"CORTE DE CANA MECANIZADO"),0)</f>
        <v>5.0227777777777778</v>
      </c>
      <c r="F213" s="10">
        <f>IFERROR(SUMIFS('Base bordo CD'!M$2:M$875,'Base bordo CD'!D$2:D$875,A213,'Base bordo CD'!A$2:A$875,B213,'Base bordo CD'!L$2:L$875,"MANOBRA"),0)</f>
        <v>0.94361111111111107</v>
      </c>
      <c r="G213" s="10">
        <f>IFERROR(SUMIFS('Base bordo CD'!M$2:M$875,'Base bordo CD'!D$2:D$875,A213,'Base bordo CD'!A$2:A$875,B213,'Base bordo CD'!L$2:L$875,"DESLOCAMENTO"),0)</f>
        <v>0.24194444444444446</v>
      </c>
      <c r="H213" s="10">
        <f>IFERROR(SUMIFS('Base bordo CD'!M$2:M$875,'Base bordo CD'!D$2:D$875,A213,'Base bordo CD'!A$2:A$875,B213,'Base bordo CD'!L$2:L$875,"AGUARDANDO MANOBRA DE TRANSBORDO"),0)+IFERROR(SUMIFS('Base bordo CD'!M$2:M$875,'Base bordo CD'!D$2:D$875,A213,'Base bordo CD'!A$2:A$875,B213,'Base bordo CD'!L$2:L$875,"FALTA DE TRANSBORDO"),0)</f>
        <v>8.6944444444444435E-2</v>
      </c>
      <c r="I213" s="10">
        <f>IFERROR(SUMIFS('Base bordo CD'!M$2:M$875,'Base bordo CD'!D$2:D$875,A213,'Base bordo CD'!A$2:A$875,B213,'Base bordo CD'!L$2:L$875,"PARADA POR CONDICOES CLIMATICAS"),0)+IFERROR(SUMIFS('Base bordo CD'!M$2:M$875,'Base bordo CD'!D$2:D$875,A213,'Base bordo CD'!A$2:A$875,B213,'Base bordo CD'!L$2:L$875,"TEMPO INDETERMINADO"),0)</f>
        <v>15.464166666666667</v>
      </c>
      <c r="J213" s="10">
        <f>IFERROR(SUMIFS('Base bordo CD'!M$2:M$875,'Base bordo CD'!D$2:D$875,A213,'Base bordo CD'!A$2:A$875,B213,'Base bordo CD'!L$2:L$875,"LIMITAÇÃO INDÚSTRIA"),0)</f>
        <v>0</v>
      </c>
      <c r="K213" s="10">
        <f>IFERROR(SUMIFS('Base bordo CD'!M$2:M$875,'Base bordo CD'!D$2:D$875,A213,'Base bordo CD'!A$2:A$875,B213,'Base bordo CD'!L$2:L$875,"MAN CORRETIVA*"),0)+IFERROR(SUMIFS('Base bordo CD'!M$2:M$875,'Base bordo CD'!D$2:D$875,A213,'Base bordo CD'!A$2:A$875,B213,'Base bordo CD'!L$2:L$875,"AGUARDANDO MANUTENCAO*"),0)+IFERROR(SUMIFS('Base bordo CD'!M$2:M$875,'Base bordo CD'!D$2:D$875,A213,'Base bordo CD'!A$2:A$875,B213,'Base bordo CD'!L$2:L$875,"TROCA DE FAQUINHA"),0)+IFERROR(SUMIFS('Base bordo CD'!M$2:M$875,'Base bordo CD'!D$2:D$875,A213,'Base bordo CD'!A$2:A$875,B213,'Base bordo CD'!L$2:L$875,"LIMPEZA*"),0)</f>
        <v>0.42805555555555558</v>
      </c>
      <c r="L213" s="10">
        <f>IFERROR(SUMIFS('Base bordo CD'!M$2:M$875,'Base bordo CD'!D$2:D$875,A213,'Base bordo CD'!A$2:A$875,B213,'Base bordo CD'!L$2:L$875,"PATIO - RESERVA"),0)</f>
        <v>0</v>
      </c>
      <c r="M213" s="10">
        <f>IFERROR(SUMIFS('Base bordo CD'!M$2:M$875,'Base bordo CD'!D$2:D$875,A213,'Base bordo CD'!A$2:A$875,B213,'Base bordo CD'!L$2:L$875,"SEM APONTAMENTO"),0)</f>
        <v>7.4722222222222232E-2</v>
      </c>
      <c r="N213" s="10">
        <f>IFERROR(SUMIFS('Base bordo CD'!M$2:M$875,'Base bordo CD'!D$2:D$875,A213,'Base bordo CD'!A$2:A$875,B213,'Base bordo CD'!L$2:L$875,"FALTA DE CAMINHÃO"),0)+IFERROR(SUMIFS('Base bordo CD'!M$2:M$875,'Base bordo CD'!D$2:D$875,A213,'Base bordo CD'!A$2:A$875,B213,'Base bordo CD'!L$2:L$875,"FALTA DE COMBUSTIVEL"),0)+IFERROR(SUMIFS('Base bordo CD'!M$2:M$875,'Base bordo CD'!D$2:D$875,A213,'Base bordo CD'!A$2:A$875,B213,'Base bordo CD'!L$2:L$875,"FALTA DE MOTORIST*"),0)</f>
        <v>0</v>
      </c>
      <c r="O213" s="10">
        <f t="shared" si="20"/>
        <v>1.737777777777783</v>
      </c>
      <c r="P213" s="10">
        <f>IFERROR(SUMIFS('Base bordo CD'!M$2:M$875,'Base bordo CD'!D$2:D$875,A213,'Base bordo CD'!A$2:A$875,B213),0)</f>
        <v>24.000000000000004</v>
      </c>
      <c r="Q213" s="10">
        <f>IFERROR(SUMIFS('Base bordo CD'!O$2:O$875,'Base bordo CD'!D$2:D$875,A213,'Base bordo CD'!A$2:A$875,B213,'Base bordo CD'!L$2:L$875,"CORTE DE CANA MECANIZADO"),0)</f>
        <v>78977.72</v>
      </c>
      <c r="R213" s="10">
        <f>IFERROR(SUMIFS('Base bordo CD'!Q$2:Q$875,'Base bordo CD'!D$2:D$875,A213,'Base bordo CD'!A$2:A$875,B213,'Base bordo CD'!L$2:L$875,"CORTE DE CANA MECANIZADO"),0)</f>
        <v>18082</v>
      </c>
      <c r="S213" s="30">
        <f t="shared" si="21"/>
        <v>4.3677535670832874</v>
      </c>
      <c r="T213" s="9">
        <f t="shared" si="22"/>
        <v>0.20928240740740739</v>
      </c>
      <c r="U213" s="9">
        <f t="shared" si="23"/>
        <v>3.9317129629629619E-2</v>
      </c>
      <c r="V213" s="9">
        <f t="shared" si="24"/>
        <v>0.78063657407407416</v>
      </c>
    </row>
    <row r="214" spans="1:22" hidden="1" x14ac:dyDescent="0.35">
      <c r="A214" s="52">
        <v>49593</v>
      </c>
      <c r="B214" s="31">
        <v>46123</v>
      </c>
      <c r="C214" s="7" t="s">
        <v>321</v>
      </c>
      <c r="D214" s="7">
        <v>351</v>
      </c>
      <c r="E214" s="10">
        <f>IFERROR(SUMIFS('Base bordo CD'!M$2:M$875,'Base bordo CD'!D$2:D$875,A214,'Base bordo CD'!A$2:A$875,B214,'Base bordo CD'!L$2:L$875,"CORTE DE CANA MECANIZADO"),0)</f>
        <v>5.0227777777777778</v>
      </c>
      <c r="F214" s="10">
        <f>IFERROR(SUMIFS('Base bordo CD'!M$2:M$875,'Base bordo CD'!D$2:D$875,A214,'Base bordo CD'!A$2:A$875,B214,'Base bordo CD'!L$2:L$875,"MANOBRA"),0)</f>
        <v>0.94361111111111107</v>
      </c>
      <c r="G214" s="10">
        <f>IFERROR(SUMIFS('Base bordo CD'!M$2:M$875,'Base bordo CD'!D$2:D$875,A214,'Base bordo CD'!A$2:A$875,B214,'Base bordo CD'!L$2:L$875,"DESLOCAMENTO"),0)</f>
        <v>0.24194444444444446</v>
      </c>
      <c r="H214" s="10">
        <f>IFERROR(SUMIFS('Base bordo CD'!M$2:M$875,'Base bordo CD'!D$2:D$875,A214,'Base bordo CD'!A$2:A$875,B214,'Base bordo CD'!L$2:L$875,"AGUARDANDO MANOBRA DE TRANSBORDO"),0)+IFERROR(SUMIFS('Base bordo CD'!M$2:M$875,'Base bordo CD'!D$2:D$875,A214,'Base bordo CD'!A$2:A$875,B214,'Base bordo CD'!L$2:L$875,"FALTA DE TRANSBORDO"),0)</f>
        <v>8.6944444444444435E-2</v>
      </c>
      <c r="I214" s="10">
        <f>IFERROR(SUMIFS('Base bordo CD'!M$2:M$875,'Base bordo CD'!D$2:D$875,A214,'Base bordo CD'!A$2:A$875,B214,'Base bordo CD'!L$2:L$875,"PARADA POR CONDICOES CLIMATICAS"),0)+IFERROR(SUMIFS('Base bordo CD'!M$2:M$875,'Base bordo CD'!D$2:D$875,A214,'Base bordo CD'!A$2:A$875,B214,'Base bordo CD'!L$2:L$875,"TEMPO INDETERMINADO"),0)</f>
        <v>15.464166666666667</v>
      </c>
      <c r="J214" s="10">
        <f>IFERROR(SUMIFS('Base bordo CD'!M$2:M$875,'Base bordo CD'!D$2:D$875,A214,'Base bordo CD'!A$2:A$875,B214,'Base bordo CD'!L$2:L$875,"LIMITAÇÃO INDÚSTRIA"),0)</f>
        <v>0</v>
      </c>
      <c r="K214" s="10">
        <f>IFERROR(SUMIFS('Base bordo CD'!M$2:M$875,'Base bordo CD'!D$2:D$875,A214,'Base bordo CD'!A$2:A$875,B214,'Base bordo CD'!L$2:L$875,"MAN CORRETIVA*"),0)+IFERROR(SUMIFS('Base bordo CD'!M$2:M$875,'Base bordo CD'!D$2:D$875,A214,'Base bordo CD'!A$2:A$875,B214,'Base bordo CD'!L$2:L$875,"AGUARDANDO MANUTENCAO*"),0)+IFERROR(SUMIFS('Base bordo CD'!M$2:M$875,'Base bordo CD'!D$2:D$875,A214,'Base bordo CD'!A$2:A$875,B214,'Base bordo CD'!L$2:L$875,"TROCA DE FAQUINHA"),0)+IFERROR(SUMIFS('Base bordo CD'!M$2:M$875,'Base bordo CD'!D$2:D$875,A214,'Base bordo CD'!A$2:A$875,B214,'Base bordo CD'!L$2:L$875,"LIMPEZA*"),0)</f>
        <v>0.42805555555555558</v>
      </c>
      <c r="L214" s="10">
        <f>IFERROR(SUMIFS('Base bordo CD'!M$2:M$875,'Base bordo CD'!D$2:D$875,A214,'Base bordo CD'!A$2:A$875,B214,'Base bordo CD'!L$2:L$875,"PATIO - RESERVA"),0)</f>
        <v>0</v>
      </c>
      <c r="M214" s="10">
        <f>IFERROR(SUMIFS('Base bordo CD'!M$2:M$875,'Base bordo CD'!D$2:D$875,A214,'Base bordo CD'!A$2:A$875,B214,'Base bordo CD'!L$2:L$875,"SEM APONTAMENTO"),0)</f>
        <v>7.4722222222222232E-2</v>
      </c>
      <c r="N214" s="10">
        <f>IFERROR(SUMIFS('Base bordo CD'!M$2:M$875,'Base bordo CD'!D$2:D$875,A214,'Base bordo CD'!A$2:A$875,B214,'Base bordo CD'!L$2:L$875,"FALTA DE CAMINHÃO"),0)+IFERROR(SUMIFS('Base bordo CD'!M$2:M$875,'Base bordo CD'!D$2:D$875,A214,'Base bordo CD'!A$2:A$875,B214,'Base bordo CD'!L$2:L$875,"FALTA DE COMBUSTIVEL"),0)+IFERROR(SUMIFS('Base bordo CD'!M$2:M$875,'Base bordo CD'!D$2:D$875,A214,'Base bordo CD'!A$2:A$875,B214,'Base bordo CD'!L$2:L$875,"FALTA DE MOTORIST*"),0)</f>
        <v>0</v>
      </c>
      <c r="O214" s="10">
        <f t="shared" si="20"/>
        <v>1.737777777777783</v>
      </c>
      <c r="P214" s="10">
        <f>IFERROR(SUMIFS('Base bordo CD'!M$2:M$875,'Base bordo CD'!D$2:D$875,A214,'Base bordo CD'!A$2:A$875,B214),0)</f>
        <v>24.000000000000004</v>
      </c>
      <c r="Q214" s="10">
        <f>IFERROR(SUMIFS('Base bordo CD'!O$2:O$875,'Base bordo CD'!D$2:D$875,A214,'Base bordo CD'!A$2:A$875,B214,'Base bordo CD'!L$2:L$875,"CORTE DE CANA MECANIZADO"),0)</f>
        <v>78977.72</v>
      </c>
      <c r="R214" s="10">
        <f>IFERROR(SUMIFS('Base bordo CD'!Q$2:Q$875,'Base bordo CD'!D$2:D$875,A214,'Base bordo CD'!A$2:A$875,B214,'Base bordo CD'!L$2:L$875,"CORTE DE CANA MECANIZADO"),0)</f>
        <v>18082</v>
      </c>
      <c r="S214" s="30">
        <f t="shared" si="21"/>
        <v>4.3677535670832874</v>
      </c>
      <c r="T214" s="9">
        <f t="shared" si="22"/>
        <v>0.20928240740740739</v>
      </c>
      <c r="U214" s="9">
        <f t="shared" si="23"/>
        <v>3.9317129629629619E-2</v>
      </c>
      <c r="V214" s="9">
        <f t="shared" si="24"/>
        <v>0.78063657407407416</v>
      </c>
    </row>
    <row r="215" spans="1:22" hidden="1" x14ac:dyDescent="0.35">
      <c r="A215" s="52">
        <v>49593</v>
      </c>
      <c r="B215" s="31">
        <v>46123</v>
      </c>
      <c r="C215" s="7" t="s">
        <v>321</v>
      </c>
      <c r="D215" s="7">
        <v>351</v>
      </c>
      <c r="E215" s="10">
        <f>IFERROR(SUMIFS('Base bordo CD'!M$2:M$875,'Base bordo CD'!D$2:D$875,A215,'Base bordo CD'!A$2:A$875,B215,'Base bordo CD'!L$2:L$875,"CORTE DE CANA MECANIZADO"),0)</f>
        <v>5.0227777777777778</v>
      </c>
      <c r="F215" s="10">
        <f>IFERROR(SUMIFS('Base bordo CD'!M$2:M$875,'Base bordo CD'!D$2:D$875,A215,'Base bordo CD'!A$2:A$875,B215,'Base bordo CD'!L$2:L$875,"MANOBRA"),0)</f>
        <v>0.94361111111111107</v>
      </c>
      <c r="G215" s="10">
        <f>IFERROR(SUMIFS('Base bordo CD'!M$2:M$875,'Base bordo CD'!D$2:D$875,A215,'Base bordo CD'!A$2:A$875,B215,'Base bordo CD'!L$2:L$875,"DESLOCAMENTO"),0)</f>
        <v>0.24194444444444446</v>
      </c>
      <c r="H215" s="10">
        <f>IFERROR(SUMIFS('Base bordo CD'!M$2:M$875,'Base bordo CD'!D$2:D$875,A215,'Base bordo CD'!A$2:A$875,B215,'Base bordo CD'!L$2:L$875,"AGUARDANDO MANOBRA DE TRANSBORDO"),0)+IFERROR(SUMIFS('Base bordo CD'!M$2:M$875,'Base bordo CD'!D$2:D$875,A215,'Base bordo CD'!A$2:A$875,B215,'Base bordo CD'!L$2:L$875,"FALTA DE TRANSBORDO"),0)</f>
        <v>8.6944444444444435E-2</v>
      </c>
      <c r="I215" s="10">
        <f>IFERROR(SUMIFS('Base bordo CD'!M$2:M$875,'Base bordo CD'!D$2:D$875,A215,'Base bordo CD'!A$2:A$875,B215,'Base bordo CD'!L$2:L$875,"PARADA POR CONDICOES CLIMATICAS"),0)+IFERROR(SUMIFS('Base bordo CD'!M$2:M$875,'Base bordo CD'!D$2:D$875,A215,'Base bordo CD'!A$2:A$875,B215,'Base bordo CD'!L$2:L$875,"TEMPO INDETERMINADO"),0)</f>
        <v>15.464166666666667</v>
      </c>
      <c r="J215" s="10">
        <f>IFERROR(SUMIFS('Base bordo CD'!M$2:M$875,'Base bordo CD'!D$2:D$875,A215,'Base bordo CD'!A$2:A$875,B215,'Base bordo CD'!L$2:L$875,"LIMITAÇÃO INDÚSTRIA"),0)</f>
        <v>0</v>
      </c>
      <c r="K215" s="10">
        <f>IFERROR(SUMIFS('Base bordo CD'!M$2:M$875,'Base bordo CD'!D$2:D$875,A215,'Base bordo CD'!A$2:A$875,B215,'Base bordo CD'!L$2:L$875,"MAN CORRETIVA*"),0)+IFERROR(SUMIFS('Base bordo CD'!M$2:M$875,'Base bordo CD'!D$2:D$875,A215,'Base bordo CD'!A$2:A$875,B215,'Base bordo CD'!L$2:L$875,"AGUARDANDO MANUTENCAO*"),0)+IFERROR(SUMIFS('Base bordo CD'!M$2:M$875,'Base bordo CD'!D$2:D$875,A215,'Base bordo CD'!A$2:A$875,B215,'Base bordo CD'!L$2:L$875,"TROCA DE FAQUINHA"),0)+IFERROR(SUMIFS('Base bordo CD'!M$2:M$875,'Base bordo CD'!D$2:D$875,A215,'Base bordo CD'!A$2:A$875,B215,'Base bordo CD'!L$2:L$875,"LIMPEZA*"),0)</f>
        <v>0.42805555555555558</v>
      </c>
      <c r="L215" s="10">
        <f>IFERROR(SUMIFS('Base bordo CD'!M$2:M$875,'Base bordo CD'!D$2:D$875,A215,'Base bordo CD'!A$2:A$875,B215,'Base bordo CD'!L$2:L$875,"PATIO - RESERVA"),0)</f>
        <v>0</v>
      </c>
      <c r="M215" s="10">
        <f>IFERROR(SUMIFS('Base bordo CD'!M$2:M$875,'Base bordo CD'!D$2:D$875,A215,'Base bordo CD'!A$2:A$875,B215,'Base bordo CD'!L$2:L$875,"SEM APONTAMENTO"),0)</f>
        <v>7.4722222222222232E-2</v>
      </c>
      <c r="N215" s="10">
        <f>IFERROR(SUMIFS('Base bordo CD'!M$2:M$875,'Base bordo CD'!D$2:D$875,A215,'Base bordo CD'!A$2:A$875,B215,'Base bordo CD'!L$2:L$875,"FALTA DE CAMINHÃO"),0)+IFERROR(SUMIFS('Base bordo CD'!M$2:M$875,'Base bordo CD'!D$2:D$875,A215,'Base bordo CD'!A$2:A$875,B215,'Base bordo CD'!L$2:L$875,"FALTA DE COMBUSTIVEL"),0)+IFERROR(SUMIFS('Base bordo CD'!M$2:M$875,'Base bordo CD'!D$2:D$875,A215,'Base bordo CD'!A$2:A$875,B215,'Base bordo CD'!L$2:L$875,"FALTA DE MOTORIST*"),0)</f>
        <v>0</v>
      </c>
      <c r="O215" s="10">
        <f t="shared" si="20"/>
        <v>1.737777777777783</v>
      </c>
      <c r="P215" s="10">
        <f>IFERROR(SUMIFS('Base bordo CD'!M$2:M$875,'Base bordo CD'!D$2:D$875,A215,'Base bordo CD'!A$2:A$875,B215),0)</f>
        <v>24.000000000000004</v>
      </c>
      <c r="Q215" s="10">
        <f>IFERROR(SUMIFS('Base bordo CD'!O$2:O$875,'Base bordo CD'!D$2:D$875,A215,'Base bordo CD'!A$2:A$875,B215,'Base bordo CD'!L$2:L$875,"CORTE DE CANA MECANIZADO"),0)</f>
        <v>78977.72</v>
      </c>
      <c r="R215" s="10">
        <f>IFERROR(SUMIFS('Base bordo CD'!Q$2:Q$875,'Base bordo CD'!D$2:D$875,A215,'Base bordo CD'!A$2:A$875,B215,'Base bordo CD'!L$2:L$875,"CORTE DE CANA MECANIZADO"),0)</f>
        <v>18082</v>
      </c>
      <c r="S215" s="30">
        <f t="shared" si="21"/>
        <v>4.3677535670832874</v>
      </c>
      <c r="T215" s="9">
        <f t="shared" si="22"/>
        <v>0.20928240740740739</v>
      </c>
      <c r="U215" s="9">
        <f t="shared" si="23"/>
        <v>3.9317129629629619E-2</v>
      </c>
      <c r="V215" s="9">
        <f t="shared" si="24"/>
        <v>0.78063657407407416</v>
      </c>
    </row>
    <row r="216" spans="1:22" hidden="1" x14ac:dyDescent="0.35">
      <c r="A216" s="52">
        <v>49593</v>
      </c>
      <c r="B216" s="31">
        <v>46123</v>
      </c>
      <c r="C216" s="7" t="s">
        <v>321</v>
      </c>
      <c r="D216" s="7">
        <v>351</v>
      </c>
      <c r="E216" s="10">
        <f>IFERROR(SUMIFS('Base bordo CD'!M$2:M$875,'Base bordo CD'!D$2:D$875,A216,'Base bordo CD'!A$2:A$875,B216,'Base bordo CD'!L$2:L$875,"CORTE DE CANA MECANIZADO"),0)</f>
        <v>5.0227777777777778</v>
      </c>
      <c r="F216" s="10">
        <f>IFERROR(SUMIFS('Base bordo CD'!M$2:M$875,'Base bordo CD'!D$2:D$875,A216,'Base bordo CD'!A$2:A$875,B216,'Base bordo CD'!L$2:L$875,"MANOBRA"),0)</f>
        <v>0.94361111111111107</v>
      </c>
      <c r="G216" s="10">
        <f>IFERROR(SUMIFS('Base bordo CD'!M$2:M$875,'Base bordo CD'!D$2:D$875,A216,'Base bordo CD'!A$2:A$875,B216,'Base bordo CD'!L$2:L$875,"DESLOCAMENTO"),0)</f>
        <v>0.24194444444444446</v>
      </c>
      <c r="H216" s="10">
        <f>IFERROR(SUMIFS('Base bordo CD'!M$2:M$875,'Base bordo CD'!D$2:D$875,A216,'Base bordo CD'!A$2:A$875,B216,'Base bordo CD'!L$2:L$875,"AGUARDANDO MANOBRA DE TRANSBORDO"),0)+IFERROR(SUMIFS('Base bordo CD'!M$2:M$875,'Base bordo CD'!D$2:D$875,A216,'Base bordo CD'!A$2:A$875,B216,'Base bordo CD'!L$2:L$875,"FALTA DE TRANSBORDO"),0)</f>
        <v>8.6944444444444435E-2</v>
      </c>
      <c r="I216" s="10">
        <f>IFERROR(SUMIFS('Base bordo CD'!M$2:M$875,'Base bordo CD'!D$2:D$875,A216,'Base bordo CD'!A$2:A$875,B216,'Base bordo CD'!L$2:L$875,"PARADA POR CONDICOES CLIMATICAS"),0)+IFERROR(SUMIFS('Base bordo CD'!M$2:M$875,'Base bordo CD'!D$2:D$875,A216,'Base bordo CD'!A$2:A$875,B216,'Base bordo CD'!L$2:L$875,"TEMPO INDETERMINADO"),0)</f>
        <v>15.464166666666667</v>
      </c>
      <c r="J216" s="10">
        <f>IFERROR(SUMIFS('Base bordo CD'!M$2:M$875,'Base bordo CD'!D$2:D$875,A216,'Base bordo CD'!A$2:A$875,B216,'Base bordo CD'!L$2:L$875,"LIMITAÇÃO INDÚSTRIA"),0)</f>
        <v>0</v>
      </c>
      <c r="K216" s="10">
        <f>IFERROR(SUMIFS('Base bordo CD'!M$2:M$875,'Base bordo CD'!D$2:D$875,A216,'Base bordo CD'!A$2:A$875,B216,'Base bordo CD'!L$2:L$875,"MAN CORRETIVA*"),0)+IFERROR(SUMIFS('Base bordo CD'!M$2:M$875,'Base bordo CD'!D$2:D$875,A216,'Base bordo CD'!A$2:A$875,B216,'Base bordo CD'!L$2:L$875,"AGUARDANDO MANUTENCAO*"),0)+IFERROR(SUMIFS('Base bordo CD'!M$2:M$875,'Base bordo CD'!D$2:D$875,A216,'Base bordo CD'!A$2:A$875,B216,'Base bordo CD'!L$2:L$875,"TROCA DE FAQUINHA"),0)+IFERROR(SUMIFS('Base bordo CD'!M$2:M$875,'Base bordo CD'!D$2:D$875,A216,'Base bordo CD'!A$2:A$875,B216,'Base bordo CD'!L$2:L$875,"LIMPEZA*"),0)</f>
        <v>0.42805555555555558</v>
      </c>
      <c r="L216" s="10">
        <f>IFERROR(SUMIFS('Base bordo CD'!M$2:M$875,'Base bordo CD'!D$2:D$875,A216,'Base bordo CD'!A$2:A$875,B216,'Base bordo CD'!L$2:L$875,"PATIO - RESERVA"),0)</f>
        <v>0</v>
      </c>
      <c r="M216" s="10">
        <f>IFERROR(SUMIFS('Base bordo CD'!M$2:M$875,'Base bordo CD'!D$2:D$875,A216,'Base bordo CD'!A$2:A$875,B216,'Base bordo CD'!L$2:L$875,"SEM APONTAMENTO"),0)</f>
        <v>7.4722222222222232E-2</v>
      </c>
      <c r="N216" s="10">
        <f>IFERROR(SUMIFS('Base bordo CD'!M$2:M$875,'Base bordo CD'!D$2:D$875,A216,'Base bordo CD'!A$2:A$875,B216,'Base bordo CD'!L$2:L$875,"FALTA DE CAMINHÃO"),0)+IFERROR(SUMIFS('Base bordo CD'!M$2:M$875,'Base bordo CD'!D$2:D$875,A216,'Base bordo CD'!A$2:A$875,B216,'Base bordo CD'!L$2:L$875,"FALTA DE COMBUSTIVEL"),0)+IFERROR(SUMIFS('Base bordo CD'!M$2:M$875,'Base bordo CD'!D$2:D$875,A216,'Base bordo CD'!A$2:A$875,B216,'Base bordo CD'!L$2:L$875,"FALTA DE MOTORIST*"),0)</f>
        <v>0</v>
      </c>
      <c r="O216" s="10">
        <f t="shared" si="20"/>
        <v>1.737777777777783</v>
      </c>
      <c r="P216" s="10">
        <f>IFERROR(SUMIFS('Base bordo CD'!M$2:M$875,'Base bordo CD'!D$2:D$875,A216,'Base bordo CD'!A$2:A$875,B216),0)</f>
        <v>24.000000000000004</v>
      </c>
      <c r="Q216" s="10">
        <f>IFERROR(SUMIFS('Base bordo CD'!O$2:O$875,'Base bordo CD'!D$2:D$875,A216,'Base bordo CD'!A$2:A$875,B216,'Base bordo CD'!L$2:L$875,"CORTE DE CANA MECANIZADO"),0)</f>
        <v>78977.72</v>
      </c>
      <c r="R216" s="10">
        <f>IFERROR(SUMIFS('Base bordo CD'!Q$2:Q$875,'Base bordo CD'!D$2:D$875,A216,'Base bordo CD'!A$2:A$875,B216,'Base bordo CD'!L$2:L$875,"CORTE DE CANA MECANIZADO"),0)</f>
        <v>18082</v>
      </c>
      <c r="S216" s="30">
        <f t="shared" si="21"/>
        <v>4.3677535670832874</v>
      </c>
      <c r="T216" s="9">
        <f t="shared" si="22"/>
        <v>0.20928240740740739</v>
      </c>
      <c r="U216" s="9">
        <f t="shared" si="23"/>
        <v>3.9317129629629619E-2</v>
      </c>
      <c r="V216" s="9">
        <f t="shared" si="24"/>
        <v>0.78063657407407416</v>
      </c>
    </row>
    <row r="217" spans="1:22" hidden="1" x14ac:dyDescent="0.35">
      <c r="A217" s="52">
        <v>49593</v>
      </c>
      <c r="B217" s="31">
        <v>46123</v>
      </c>
      <c r="C217" s="7" t="s">
        <v>321</v>
      </c>
      <c r="D217" s="7">
        <v>351</v>
      </c>
      <c r="E217" s="10">
        <f>IFERROR(SUMIFS('Base bordo CD'!M$2:M$875,'Base bordo CD'!D$2:D$875,A217,'Base bordo CD'!A$2:A$875,B217,'Base bordo CD'!L$2:L$875,"CORTE DE CANA MECANIZADO"),0)</f>
        <v>5.0227777777777778</v>
      </c>
      <c r="F217" s="10">
        <f>IFERROR(SUMIFS('Base bordo CD'!M$2:M$875,'Base bordo CD'!D$2:D$875,A217,'Base bordo CD'!A$2:A$875,B217,'Base bordo CD'!L$2:L$875,"MANOBRA"),0)</f>
        <v>0.94361111111111107</v>
      </c>
      <c r="G217" s="10">
        <f>IFERROR(SUMIFS('Base bordo CD'!M$2:M$875,'Base bordo CD'!D$2:D$875,A217,'Base bordo CD'!A$2:A$875,B217,'Base bordo CD'!L$2:L$875,"DESLOCAMENTO"),0)</f>
        <v>0.24194444444444446</v>
      </c>
      <c r="H217" s="10">
        <f>IFERROR(SUMIFS('Base bordo CD'!M$2:M$875,'Base bordo CD'!D$2:D$875,A217,'Base bordo CD'!A$2:A$875,B217,'Base bordo CD'!L$2:L$875,"AGUARDANDO MANOBRA DE TRANSBORDO"),0)+IFERROR(SUMIFS('Base bordo CD'!M$2:M$875,'Base bordo CD'!D$2:D$875,A217,'Base bordo CD'!A$2:A$875,B217,'Base bordo CD'!L$2:L$875,"FALTA DE TRANSBORDO"),0)</f>
        <v>8.6944444444444435E-2</v>
      </c>
      <c r="I217" s="10">
        <f>IFERROR(SUMIFS('Base bordo CD'!M$2:M$875,'Base bordo CD'!D$2:D$875,A217,'Base bordo CD'!A$2:A$875,B217,'Base bordo CD'!L$2:L$875,"PARADA POR CONDICOES CLIMATICAS"),0)+IFERROR(SUMIFS('Base bordo CD'!M$2:M$875,'Base bordo CD'!D$2:D$875,A217,'Base bordo CD'!A$2:A$875,B217,'Base bordo CD'!L$2:L$875,"TEMPO INDETERMINADO"),0)</f>
        <v>15.464166666666667</v>
      </c>
      <c r="J217" s="10">
        <f>IFERROR(SUMIFS('Base bordo CD'!M$2:M$875,'Base bordo CD'!D$2:D$875,A217,'Base bordo CD'!A$2:A$875,B217,'Base bordo CD'!L$2:L$875,"LIMITAÇÃO INDÚSTRIA"),0)</f>
        <v>0</v>
      </c>
      <c r="K217" s="10">
        <f>IFERROR(SUMIFS('Base bordo CD'!M$2:M$875,'Base bordo CD'!D$2:D$875,A217,'Base bordo CD'!A$2:A$875,B217,'Base bordo CD'!L$2:L$875,"MAN CORRETIVA*"),0)+IFERROR(SUMIFS('Base bordo CD'!M$2:M$875,'Base bordo CD'!D$2:D$875,A217,'Base bordo CD'!A$2:A$875,B217,'Base bordo CD'!L$2:L$875,"AGUARDANDO MANUTENCAO*"),0)+IFERROR(SUMIFS('Base bordo CD'!M$2:M$875,'Base bordo CD'!D$2:D$875,A217,'Base bordo CD'!A$2:A$875,B217,'Base bordo CD'!L$2:L$875,"TROCA DE FAQUINHA"),0)+IFERROR(SUMIFS('Base bordo CD'!M$2:M$875,'Base bordo CD'!D$2:D$875,A217,'Base bordo CD'!A$2:A$875,B217,'Base bordo CD'!L$2:L$875,"LIMPEZA*"),0)</f>
        <v>0.42805555555555558</v>
      </c>
      <c r="L217" s="10">
        <f>IFERROR(SUMIFS('Base bordo CD'!M$2:M$875,'Base bordo CD'!D$2:D$875,A217,'Base bordo CD'!A$2:A$875,B217,'Base bordo CD'!L$2:L$875,"PATIO - RESERVA"),0)</f>
        <v>0</v>
      </c>
      <c r="M217" s="10">
        <f>IFERROR(SUMIFS('Base bordo CD'!M$2:M$875,'Base bordo CD'!D$2:D$875,A217,'Base bordo CD'!A$2:A$875,B217,'Base bordo CD'!L$2:L$875,"SEM APONTAMENTO"),0)</f>
        <v>7.4722222222222232E-2</v>
      </c>
      <c r="N217" s="10">
        <f>IFERROR(SUMIFS('Base bordo CD'!M$2:M$875,'Base bordo CD'!D$2:D$875,A217,'Base bordo CD'!A$2:A$875,B217,'Base bordo CD'!L$2:L$875,"FALTA DE CAMINHÃO"),0)+IFERROR(SUMIFS('Base bordo CD'!M$2:M$875,'Base bordo CD'!D$2:D$875,A217,'Base bordo CD'!A$2:A$875,B217,'Base bordo CD'!L$2:L$875,"FALTA DE COMBUSTIVEL"),0)+IFERROR(SUMIFS('Base bordo CD'!M$2:M$875,'Base bordo CD'!D$2:D$875,A217,'Base bordo CD'!A$2:A$875,B217,'Base bordo CD'!L$2:L$875,"FALTA DE MOTORIST*"),0)</f>
        <v>0</v>
      </c>
      <c r="O217" s="10">
        <f t="shared" si="20"/>
        <v>1.737777777777783</v>
      </c>
      <c r="P217" s="10">
        <f>IFERROR(SUMIFS('Base bordo CD'!M$2:M$875,'Base bordo CD'!D$2:D$875,A217,'Base bordo CD'!A$2:A$875,B217),0)</f>
        <v>24.000000000000004</v>
      </c>
      <c r="Q217" s="10">
        <f>IFERROR(SUMIFS('Base bordo CD'!O$2:O$875,'Base bordo CD'!D$2:D$875,A217,'Base bordo CD'!A$2:A$875,B217,'Base bordo CD'!L$2:L$875,"CORTE DE CANA MECANIZADO"),0)</f>
        <v>78977.72</v>
      </c>
      <c r="R217" s="10">
        <f>IFERROR(SUMIFS('Base bordo CD'!Q$2:Q$875,'Base bordo CD'!D$2:D$875,A217,'Base bordo CD'!A$2:A$875,B217,'Base bordo CD'!L$2:L$875,"CORTE DE CANA MECANIZADO"),0)</f>
        <v>18082</v>
      </c>
      <c r="S217" s="30">
        <f t="shared" si="21"/>
        <v>4.3677535670832874</v>
      </c>
      <c r="T217" s="9">
        <f t="shared" si="22"/>
        <v>0.20928240740740739</v>
      </c>
      <c r="U217" s="9">
        <f t="shared" si="23"/>
        <v>3.9317129629629619E-2</v>
      </c>
      <c r="V217" s="9">
        <f t="shared" si="24"/>
        <v>0.78063657407407416</v>
      </c>
    </row>
    <row r="218" spans="1:22" hidden="1" x14ac:dyDescent="0.35">
      <c r="A218" s="52">
        <v>49593</v>
      </c>
      <c r="B218" s="31">
        <v>46123</v>
      </c>
      <c r="C218" s="7" t="s">
        <v>321</v>
      </c>
      <c r="D218" s="7">
        <v>351</v>
      </c>
      <c r="E218" s="10">
        <f>IFERROR(SUMIFS('Base bordo CD'!M$2:M$875,'Base bordo CD'!D$2:D$875,A218,'Base bordo CD'!A$2:A$875,B218,'Base bordo CD'!L$2:L$875,"CORTE DE CANA MECANIZADO"),0)</f>
        <v>5.0227777777777778</v>
      </c>
      <c r="F218" s="10">
        <f>IFERROR(SUMIFS('Base bordo CD'!M$2:M$875,'Base bordo CD'!D$2:D$875,A218,'Base bordo CD'!A$2:A$875,B218,'Base bordo CD'!L$2:L$875,"MANOBRA"),0)</f>
        <v>0.94361111111111107</v>
      </c>
      <c r="G218" s="10">
        <f>IFERROR(SUMIFS('Base bordo CD'!M$2:M$875,'Base bordo CD'!D$2:D$875,A218,'Base bordo CD'!A$2:A$875,B218,'Base bordo CD'!L$2:L$875,"DESLOCAMENTO"),0)</f>
        <v>0.24194444444444446</v>
      </c>
      <c r="H218" s="10">
        <f>IFERROR(SUMIFS('Base bordo CD'!M$2:M$875,'Base bordo CD'!D$2:D$875,A218,'Base bordo CD'!A$2:A$875,B218,'Base bordo CD'!L$2:L$875,"AGUARDANDO MANOBRA DE TRANSBORDO"),0)+IFERROR(SUMIFS('Base bordo CD'!M$2:M$875,'Base bordo CD'!D$2:D$875,A218,'Base bordo CD'!A$2:A$875,B218,'Base bordo CD'!L$2:L$875,"FALTA DE TRANSBORDO"),0)</f>
        <v>8.6944444444444435E-2</v>
      </c>
      <c r="I218" s="10">
        <f>IFERROR(SUMIFS('Base bordo CD'!M$2:M$875,'Base bordo CD'!D$2:D$875,A218,'Base bordo CD'!A$2:A$875,B218,'Base bordo CD'!L$2:L$875,"PARADA POR CONDICOES CLIMATICAS"),0)+IFERROR(SUMIFS('Base bordo CD'!M$2:M$875,'Base bordo CD'!D$2:D$875,A218,'Base bordo CD'!A$2:A$875,B218,'Base bordo CD'!L$2:L$875,"TEMPO INDETERMINADO"),0)</f>
        <v>15.464166666666667</v>
      </c>
      <c r="J218" s="10">
        <f>IFERROR(SUMIFS('Base bordo CD'!M$2:M$875,'Base bordo CD'!D$2:D$875,A218,'Base bordo CD'!A$2:A$875,B218,'Base bordo CD'!L$2:L$875,"LIMITAÇÃO INDÚSTRIA"),0)</f>
        <v>0</v>
      </c>
      <c r="K218" s="10">
        <f>IFERROR(SUMIFS('Base bordo CD'!M$2:M$875,'Base bordo CD'!D$2:D$875,A218,'Base bordo CD'!A$2:A$875,B218,'Base bordo CD'!L$2:L$875,"MAN CORRETIVA*"),0)+IFERROR(SUMIFS('Base bordo CD'!M$2:M$875,'Base bordo CD'!D$2:D$875,A218,'Base bordo CD'!A$2:A$875,B218,'Base bordo CD'!L$2:L$875,"AGUARDANDO MANUTENCAO*"),0)+IFERROR(SUMIFS('Base bordo CD'!M$2:M$875,'Base bordo CD'!D$2:D$875,A218,'Base bordo CD'!A$2:A$875,B218,'Base bordo CD'!L$2:L$875,"TROCA DE FAQUINHA"),0)+IFERROR(SUMIFS('Base bordo CD'!M$2:M$875,'Base bordo CD'!D$2:D$875,A218,'Base bordo CD'!A$2:A$875,B218,'Base bordo CD'!L$2:L$875,"LIMPEZA*"),0)</f>
        <v>0.42805555555555558</v>
      </c>
      <c r="L218" s="10">
        <f>IFERROR(SUMIFS('Base bordo CD'!M$2:M$875,'Base bordo CD'!D$2:D$875,A218,'Base bordo CD'!A$2:A$875,B218,'Base bordo CD'!L$2:L$875,"PATIO - RESERVA"),0)</f>
        <v>0</v>
      </c>
      <c r="M218" s="10">
        <f>IFERROR(SUMIFS('Base bordo CD'!M$2:M$875,'Base bordo CD'!D$2:D$875,A218,'Base bordo CD'!A$2:A$875,B218,'Base bordo CD'!L$2:L$875,"SEM APONTAMENTO"),0)</f>
        <v>7.4722222222222232E-2</v>
      </c>
      <c r="N218" s="10">
        <f>IFERROR(SUMIFS('Base bordo CD'!M$2:M$875,'Base bordo CD'!D$2:D$875,A218,'Base bordo CD'!A$2:A$875,B218,'Base bordo CD'!L$2:L$875,"FALTA DE CAMINHÃO"),0)+IFERROR(SUMIFS('Base bordo CD'!M$2:M$875,'Base bordo CD'!D$2:D$875,A218,'Base bordo CD'!A$2:A$875,B218,'Base bordo CD'!L$2:L$875,"FALTA DE COMBUSTIVEL"),0)+IFERROR(SUMIFS('Base bordo CD'!M$2:M$875,'Base bordo CD'!D$2:D$875,A218,'Base bordo CD'!A$2:A$875,B218,'Base bordo CD'!L$2:L$875,"FALTA DE MOTORIST*"),0)</f>
        <v>0</v>
      </c>
      <c r="O218" s="10">
        <f t="shared" si="20"/>
        <v>1.737777777777783</v>
      </c>
      <c r="P218" s="10">
        <f>IFERROR(SUMIFS('Base bordo CD'!M$2:M$875,'Base bordo CD'!D$2:D$875,A218,'Base bordo CD'!A$2:A$875,B218),0)</f>
        <v>24.000000000000004</v>
      </c>
      <c r="Q218" s="10">
        <f>IFERROR(SUMIFS('Base bordo CD'!O$2:O$875,'Base bordo CD'!D$2:D$875,A218,'Base bordo CD'!A$2:A$875,B218,'Base bordo CD'!L$2:L$875,"CORTE DE CANA MECANIZADO"),0)</f>
        <v>78977.72</v>
      </c>
      <c r="R218" s="10">
        <f>IFERROR(SUMIFS('Base bordo CD'!Q$2:Q$875,'Base bordo CD'!D$2:D$875,A218,'Base bordo CD'!A$2:A$875,B218,'Base bordo CD'!L$2:L$875,"CORTE DE CANA MECANIZADO"),0)</f>
        <v>18082</v>
      </c>
      <c r="S218" s="30">
        <f t="shared" si="21"/>
        <v>4.3677535670832874</v>
      </c>
      <c r="T218" s="9">
        <f t="shared" si="22"/>
        <v>0.20928240740740739</v>
      </c>
      <c r="U218" s="9">
        <f t="shared" si="23"/>
        <v>3.9317129629629619E-2</v>
      </c>
      <c r="V218" s="9">
        <f t="shared" si="24"/>
        <v>0.78063657407407416</v>
      </c>
    </row>
    <row r="219" spans="1:22" hidden="1" x14ac:dyDescent="0.35">
      <c r="A219" s="52">
        <v>49593</v>
      </c>
      <c r="B219" s="31">
        <v>46123</v>
      </c>
      <c r="C219" s="7" t="s">
        <v>321</v>
      </c>
      <c r="D219" s="7">
        <v>351</v>
      </c>
      <c r="E219" s="10">
        <f>IFERROR(SUMIFS('Base bordo CD'!M$2:M$875,'Base bordo CD'!D$2:D$875,A219,'Base bordo CD'!A$2:A$875,B219,'Base bordo CD'!L$2:L$875,"CORTE DE CANA MECANIZADO"),0)</f>
        <v>5.0227777777777778</v>
      </c>
      <c r="F219" s="10">
        <f>IFERROR(SUMIFS('Base bordo CD'!M$2:M$875,'Base bordo CD'!D$2:D$875,A219,'Base bordo CD'!A$2:A$875,B219,'Base bordo CD'!L$2:L$875,"MANOBRA"),0)</f>
        <v>0.94361111111111107</v>
      </c>
      <c r="G219" s="10">
        <f>IFERROR(SUMIFS('Base bordo CD'!M$2:M$875,'Base bordo CD'!D$2:D$875,A219,'Base bordo CD'!A$2:A$875,B219,'Base bordo CD'!L$2:L$875,"DESLOCAMENTO"),0)</f>
        <v>0.24194444444444446</v>
      </c>
      <c r="H219" s="10">
        <f>IFERROR(SUMIFS('Base bordo CD'!M$2:M$875,'Base bordo CD'!D$2:D$875,A219,'Base bordo CD'!A$2:A$875,B219,'Base bordo CD'!L$2:L$875,"AGUARDANDO MANOBRA DE TRANSBORDO"),0)+IFERROR(SUMIFS('Base bordo CD'!M$2:M$875,'Base bordo CD'!D$2:D$875,A219,'Base bordo CD'!A$2:A$875,B219,'Base bordo CD'!L$2:L$875,"FALTA DE TRANSBORDO"),0)</f>
        <v>8.6944444444444435E-2</v>
      </c>
      <c r="I219" s="10">
        <f>IFERROR(SUMIFS('Base bordo CD'!M$2:M$875,'Base bordo CD'!D$2:D$875,A219,'Base bordo CD'!A$2:A$875,B219,'Base bordo CD'!L$2:L$875,"PARADA POR CONDICOES CLIMATICAS"),0)+IFERROR(SUMIFS('Base bordo CD'!M$2:M$875,'Base bordo CD'!D$2:D$875,A219,'Base bordo CD'!A$2:A$875,B219,'Base bordo CD'!L$2:L$875,"TEMPO INDETERMINADO"),0)</f>
        <v>15.464166666666667</v>
      </c>
      <c r="J219" s="10">
        <f>IFERROR(SUMIFS('Base bordo CD'!M$2:M$875,'Base bordo CD'!D$2:D$875,A219,'Base bordo CD'!A$2:A$875,B219,'Base bordo CD'!L$2:L$875,"LIMITAÇÃO INDÚSTRIA"),0)</f>
        <v>0</v>
      </c>
      <c r="K219" s="10">
        <f>IFERROR(SUMIFS('Base bordo CD'!M$2:M$875,'Base bordo CD'!D$2:D$875,A219,'Base bordo CD'!A$2:A$875,B219,'Base bordo CD'!L$2:L$875,"MAN CORRETIVA*"),0)+IFERROR(SUMIFS('Base bordo CD'!M$2:M$875,'Base bordo CD'!D$2:D$875,A219,'Base bordo CD'!A$2:A$875,B219,'Base bordo CD'!L$2:L$875,"AGUARDANDO MANUTENCAO*"),0)+IFERROR(SUMIFS('Base bordo CD'!M$2:M$875,'Base bordo CD'!D$2:D$875,A219,'Base bordo CD'!A$2:A$875,B219,'Base bordo CD'!L$2:L$875,"TROCA DE FAQUINHA"),0)+IFERROR(SUMIFS('Base bordo CD'!M$2:M$875,'Base bordo CD'!D$2:D$875,A219,'Base bordo CD'!A$2:A$875,B219,'Base bordo CD'!L$2:L$875,"LIMPEZA*"),0)</f>
        <v>0.42805555555555558</v>
      </c>
      <c r="L219" s="10">
        <f>IFERROR(SUMIFS('Base bordo CD'!M$2:M$875,'Base bordo CD'!D$2:D$875,A219,'Base bordo CD'!A$2:A$875,B219,'Base bordo CD'!L$2:L$875,"PATIO - RESERVA"),0)</f>
        <v>0</v>
      </c>
      <c r="M219" s="10">
        <f>IFERROR(SUMIFS('Base bordo CD'!M$2:M$875,'Base bordo CD'!D$2:D$875,A219,'Base bordo CD'!A$2:A$875,B219,'Base bordo CD'!L$2:L$875,"SEM APONTAMENTO"),0)</f>
        <v>7.4722222222222232E-2</v>
      </c>
      <c r="N219" s="10">
        <f>IFERROR(SUMIFS('Base bordo CD'!M$2:M$875,'Base bordo CD'!D$2:D$875,A219,'Base bordo CD'!A$2:A$875,B219,'Base bordo CD'!L$2:L$875,"FALTA DE CAMINHÃO"),0)+IFERROR(SUMIFS('Base bordo CD'!M$2:M$875,'Base bordo CD'!D$2:D$875,A219,'Base bordo CD'!A$2:A$875,B219,'Base bordo CD'!L$2:L$875,"FALTA DE COMBUSTIVEL"),0)+IFERROR(SUMIFS('Base bordo CD'!M$2:M$875,'Base bordo CD'!D$2:D$875,A219,'Base bordo CD'!A$2:A$875,B219,'Base bordo CD'!L$2:L$875,"FALTA DE MOTORIST*"),0)</f>
        <v>0</v>
      </c>
      <c r="O219" s="10">
        <f t="shared" si="20"/>
        <v>1.737777777777783</v>
      </c>
      <c r="P219" s="10">
        <f>IFERROR(SUMIFS('Base bordo CD'!M$2:M$875,'Base bordo CD'!D$2:D$875,A219,'Base bordo CD'!A$2:A$875,B219),0)</f>
        <v>24.000000000000004</v>
      </c>
      <c r="Q219" s="10">
        <f>IFERROR(SUMIFS('Base bordo CD'!O$2:O$875,'Base bordo CD'!D$2:D$875,A219,'Base bordo CD'!A$2:A$875,B219,'Base bordo CD'!L$2:L$875,"CORTE DE CANA MECANIZADO"),0)</f>
        <v>78977.72</v>
      </c>
      <c r="R219" s="10">
        <f>IFERROR(SUMIFS('Base bordo CD'!Q$2:Q$875,'Base bordo CD'!D$2:D$875,A219,'Base bordo CD'!A$2:A$875,B219,'Base bordo CD'!L$2:L$875,"CORTE DE CANA MECANIZADO"),0)</f>
        <v>18082</v>
      </c>
      <c r="S219" s="30">
        <f t="shared" si="21"/>
        <v>4.3677535670832874</v>
      </c>
      <c r="T219" s="9">
        <f t="shared" si="22"/>
        <v>0.20928240740740739</v>
      </c>
      <c r="U219" s="9">
        <f t="shared" si="23"/>
        <v>3.9317129629629619E-2</v>
      </c>
      <c r="V219" s="9">
        <f t="shared" si="24"/>
        <v>0.78063657407407416</v>
      </c>
    </row>
    <row r="220" spans="1:22" hidden="1" x14ac:dyDescent="0.35">
      <c r="A220" s="52">
        <v>49593</v>
      </c>
      <c r="B220" s="31">
        <v>46123</v>
      </c>
      <c r="C220" s="7" t="s">
        <v>321</v>
      </c>
      <c r="D220" s="7">
        <v>351</v>
      </c>
      <c r="E220" s="10">
        <f>IFERROR(SUMIFS('Base bordo CD'!M$2:M$875,'Base bordo CD'!D$2:D$875,A220,'Base bordo CD'!A$2:A$875,B220,'Base bordo CD'!L$2:L$875,"CORTE DE CANA MECANIZADO"),0)</f>
        <v>5.0227777777777778</v>
      </c>
      <c r="F220" s="10">
        <f>IFERROR(SUMIFS('Base bordo CD'!M$2:M$875,'Base bordo CD'!D$2:D$875,A220,'Base bordo CD'!A$2:A$875,B220,'Base bordo CD'!L$2:L$875,"MANOBRA"),0)</f>
        <v>0.94361111111111107</v>
      </c>
      <c r="G220" s="10">
        <f>IFERROR(SUMIFS('Base bordo CD'!M$2:M$875,'Base bordo CD'!D$2:D$875,A220,'Base bordo CD'!A$2:A$875,B220,'Base bordo CD'!L$2:L$875,"DESLOCAMENTO"),0)</f>
        <v>0.24194444444444446</v>
      </c>
      <c r="H220" s="10">
        <f>IFERROR(SUMIFS('Base bordo CD'!M$2:M$875,'Base bordo CD'!D$2:D$875,A220,'Base bordo CD'!A$2:A$875,B220,'Base bordo CD'!L$2:L$875,"AGUARDANDO MANOBRA DE TRANSBORDO"),0)+IFERROR(SUMIFS('Base bordo CD'!M$2:M$875,'Base bordo CD'!D$2:D$875,A220,'Base bordo CD'!A$2:A$875,B220,'Base bordo CD'!L$2:L$875,"FALTA DE TRANSBORDO"),0)</f>
        <v>8.6944444444444435E-2</v>
      </c>
      <c r="I220" s="10">
        <f>IFERROR(SUMIFS('Base bordo CD'!M$2:M$875,'Base bordo CD'!D$2:D$875,A220,'Base bordo CD'!A$2:A$875,B220,'Base bordo CD'!L$2:L$875,"PARADA POR CONDICOES CLIMATICAS"),0)+IFERROR(SUMIFS('Base bordo CD'!M$2:M$875,'Base bordo CD'!D$2:D$875,A220,'Base bordo CD'!A$2:A$875,B220,'Base bordo CD'!L$2:L$875,"TEMPO INDETERMINADO"),0)</f>
        <v>15.464166666666667</v>
      </c>
      <c r="J220" s="10">
        <f>IFERROR(SUMIFS('Base bordo CD'!M$2:M$875,'Base bordo CD'!D$2:D$875,A220,'Base bordo CD'!A$2:A$875,B220,'Base bordo CD'!L$2:L$875,"LIMITAÇÃO INDÚSTRIA"),0)</f>
        <v>0</v>
      </c>
      <c r="K220" s="10">
        <f>IFERROR(SUMIFS('Base bordo CD'!M$2:M$875,'Base bordo CD'!D$2:D$875,A220,'Base bordo CD'!A$2:A$875,B220,'Base bordo CD'!L$2:L$875,"MAN CORRETIVA*"),0)+IFERROR(SUMIFS('Base bordo CD'!M$2:M$875,'Base bordo CD'!D$2:D$875,A220,'Base bordo CD'!A$2:A$875,B220,'Base bordo CD'!L$2:L$875,"AGUARDANDO MANUTENCAO*"),0)+IFERROR(SUMIFS('Base bordo CD'!M$2:M$875,'Base bordo CD'!D$2:D$875,A220,'Base bordo CD'!A$2:A$875,B220,'Base bordo CD'!L$2:L$875,"TROCA DE FAQUINHA"),0)+IFERROR(SUMIFS('Base bordo CD'!M$2:M$875,'Base bordo CD'!D$2:D$875,A220,'Base bordo CD'!A$2:A$875,B220,'Base bordo CD'!L$2:L$875,"LIMPEZA*"),0)</f>
        <v>0.42805555555555558</v>
      </c>
      <c r="L220" s="10">
        <f>IFERROR(SUMIFS('Base bordo CD'!M$2:M$875,'Base bordo CD'!D$2:D$875,A220,'Base bordo CD'!A$2:A$875,B220,'Base bordo CD'!L$2:L$875,"PATIO - RESERVA"),0)</f>
        <v>0</v>
      </c>
      <c r="M220" s="10">
        <f>IFERROR(SUMIFS('Base bordo CD'!M$2:M$875,'Base bordo CD'!D$2:D$875,A220,'Base bordo CD'!A$2:A$875,B220,'Base bordo CD'!L$2:L$875,"SEM APONTAMENTO"),0)</f>
        <v>7.4722222222222232E-2</v>
      </c>
      <c r="N220" s="10">
        <f>IFERROR(SUMIFS('Base bordo CD'!M$2:M$875,'Base bordo CD'!D$2:D$875,A220,'Base bordo CD'!A$2:A$875,B220,'Base bordo CD'!L$2:L$875,"FALTA DE CAMINHÃO"),0)+IFERROR(SUMIFS('Base bordo CD'!M$2:M$875,'Base bordo CD'!D$2:D$875,A220,'Base bordo CD'!A$2:A$875,B220,'Base bordo CD'!L$2:L$875,"FALTA DE COMBUSTIVEL"),0)+IFERROR(SUMIFS('Base bordo CD'!M$2:M$875,'Base bordo CD'!D$2:D$875,A220,'Base bordo CD'!A$2:A$875,B220,'Base bordo CD'!L$2:L$875,"FALTA DE MOTORIST*"),0)</f>
        <v>0</v>
      </c>
      <c r="O220" s="10">
        <f t="shared" si="20"/>
        <v>1.737777777777783</v>
      </c>
      <c r="P220" s="10">
        <f>IFERROR(SUMIFS('Base bordo CD'!M$2:M$875,'Base bordo CD'!D$2:D$875,A220,'Base bordo CD'!A$2:A$875,B220),0)</f>
        <v>24.000000000000004</v>
      </c>
      <c r="Q220" s="10">
        <f>IFERROR(SUMIFS('Base bordo CD'!O$2:O$875,'Base bordo CD'!D$2:D$875,A220,'Base bordo CD'!A$2:A$875,B220,'Base bordo CD'!L$2:L$875,"CORTE DE CANA MECANIZADO"),0)</f>
        <v>78977.72</v>
      </c>
      <c r="R220" s="10">
        <f>IFERROR(SUMIFS('Base bordo CD'!Q$2:Q$875,'Base bordo CD'!D$2:D$875,A220,'Base bordo CD'!A$2:A$875,B220,'Base bordo CD'!L$2:L$875,"CORTE DE CANA MECANIZADO"),0)</f>
        <v>18082</v>
      </c>
      <c r="S220" s="30">
        <f t="shared" si="21"/>
        <v>4.3677535670832874</v>
      </c>
      <c r="T220" s="9">
        <f t="shared" si="22"/>
        <v>0.20928240740740739</v>
      </c>
      <c r="U220" s="9">
        <f t="shared" si="23"/>
        <v>3.9317129629629619E-2</v>
      </c>
      <c r="V220" s="9">
        <f t="shared" si="24"/>
        <v>0.78063657407407416</v>
      </c>
    </row>
    <row r="221" spans="1:22" hidden="1" x14ac:dyDescent="0.35">
      <c r="A221" s="52">
        <v>49593</v>
      </c>
      <c r="B221" s="31">
        <v>46123</v>
      </c>
      <c r="C221" s="7" t="s">
        <v>321</v>
      </c>
      <c r="D221" s="7">
        <v>351</v>
      </c>
      <c r="E221" s="10">
        <f>IFERROR(SUMIFS('Base bordo CD'!M$2:M$875,'Base bordo CD'!D$2:D$875,A221,'Base bordo CD'!A$2:A$875,B221,'Base bordo CD'!L$2:L$875,"CORTE DE CANA MECANIZADO"),0)</f>
        <v>5.0227777777777778</v>
      </c>
      <c r="F221" s="10">
        <f>IFERROR(SUMIFS('Base bordo CD'!M$2:M$875,'Base bordo CD'!D$2:D$875,A221,'Base bordo CD'!A$2:A$875,B221,'Base bordo CD'!L$2:L$875,"MANOBRA"),0)</f>
        <v>0.94361111111111107</v>
      </c>
      <c r="G221" s="10">
        <f>IFERROR(SUMIFS('Base bordo CD'!M$2:M$875,'Base bordo CD'!D$2:D$875,A221,'Base bordo CD'!A$2:A$875,B221,'Base bordo CD'!L$2:L$875,"DESLOCAMENTO"),0)</f>
        <v>0.24194444444444446</v>
      </c>
      <c r="H221" s="10">
        <f>IFERROR(SUMIFS('Base bordo CD'!M$2:M$875,'Base bordo CD'!D$2:D$875,A221,'Base bordo CD'!A$2:A$875,B221,'Base bordo CD'!L$2:L$875,"AGUARDANDO MANOBRA DE TRANSBORDO"),0)+IFERROR(SUMIFS('Base bordo CD'!M$2:M$875,'Base bordo CD'!D$2:D$875,A221,'Base bordo CD'!A$2:A$875,B221,'Base bordo CD'!L$2:L$875,"FALTA DE TRANSBORDO"),0)</f>
        <v>8.6944444444444435E-2</v>
      </c>
      <c r="I221" s="10">
        <f>IFERROR(SUMIFS('Base bordo CD'!M$2:M$875,'Base bordo CD'!D$2:D$875,A221,'Base bordo CD'!A$2:A$875,B221,'Base bordo CD'!L$2:L$875,"PARADA POR CONDICOES CLIMATICAS"),0)+IFERROR(SUMIFS('Base bordo CD'!M$2:M$875,'Base bordo CD'!D$2:D$875,A221,'Base bordo CD'!A$2:A$875,B221,'Base bordo CD'!L$2:L$875,"TEMPO INDETERMINADO"),0)</f>
        <v>15.464166666666667</v>
      </c>
      <c r="J221" s="10">
        <f>IFERROR(SUMIFS('Base bordo CD'!M$2:M$875,'Base bordo CD'!D$2:D$875,A221,'Base bordo CD'!A$2:A$875,B221,'Base bordo CD'!L$2:L$875,"LIMITAÇÃO INDÚSTRIA"),0)</f>
        <v>0</v>
      </c>
      <c r="K221" s="10">
        <f>IFERROR(SUMIFS('Base bordo CD'!M$2:M$875,'Base bordo CD'!D$2:D$875,A221,'Base bordo CD'!A$2:A$875,B221,'Base bordo CD'!L$2:L$875,"MAN CORRETIVA*"),0)+IFERROR(SUMIFS('Base bordo CD'!M$2:M$875,'Base bordo CD'!D$2:D$875,A221,'Base bordo CD'!A$2:A$875,B221,'Base bordo CD'!L$2:L$875,"AGUARDANDO MANUTENCAO*"),0)+IFERROR(SUMIFS('Base bordo CD'!M$2:M$875,'Base bordo CD'!D$2:D$875,A221,'Base bordo CD'!A$2:A$875,B221,'Base bordo CD'!L$2:L$875,"TROCA DE FAQUINHA"),0)+IFERROR(SUMIFS('Base bordo CD'!M$2:M$875,'Base bordo CD'!D$2:D$875,A221,'Base bordo CD'!A$2:A$875,B221,'Base bordo CD'!L$2:L$875,"LIMPEZA*"),0)</f>
        <v>0.42805555555555558</v>
      </c>
      <c r="L221" s="10">
        <f>IFERROR(SUMIFS('Base bordo CD'!M$2:M$875,'Base bordo CD'!D$2:D$875,A221,'Base bordo CD'!A$2:A$875,B221,'Base bordo CD'!L$2:L$875,"PATIO - RESERVA"),0)</f>
        <v>0</v>
      </c>
      <c r="M221" s="10">
        <f>IFERROR(SUMIFS('Base bordo CD'!M$2:M$875,'Base bordo CD'!D$2:D$875,A221,'Base bordo CD'!A$2:A$875,B221,'Base bordo CD'!L$2:L$875,"SEM APONTAMENTO"),0)</f>
        <v>7.4722222222222232E-2</v>
      </c>
      <c r="N221" s="10">
        <f>IFERROR(SUMIFS('Base bordo CD'!M$2:M$875,'Base bordo CD'!D$2:D$875,A221,'Base bordo CD'!A$2:A$875,B221,'Base bordo CD'!L$2:L$875,"FALTA DE CAMINHÃO"),0)+IFERROR(SUMIFS('Base bordo CD'!M$2:M$875,'Base bordo CD'!D$2:D$875,A221,'Base bordo CD'!A$2:A$875,B221,'Base bordo CD'!L$2:L$875,"FALTA DE COMBUSTIVEL"),0)+IFERROR(SUMIFS('Base bordo CD'!M$2:M$875,'Base bordo CD'!D$2:D$875,A221,'Base bordo CD'!A$2:A$875,B221,'Base bordo CD'!L$2:L$875,"FALTA DE MOTORIST*"),0)</f>
        <v>0</v>
      </c>
      <c r="O221" s="10">
        <f t="shared" si="20"/>
        <v>1.737777777777783</v>
      </c>
      <c r="P221" s="10">
        <f>IFERROR(SUMIFS('Base bordo CD'!M$2:M$875,'Base bordo CD'!D$2:D$875,A221,'Base bordo CD'!A$2:A$875,B221),0)</f>
        <v>24.000000000000004</v>
      </c>
      <c r="Q221" s="10">
        <f>IFERROR(SUMIFS('Base bordo CD'!O$2:O$875,'Base bordo CD'!D$2:D$875,A221,'Base bordo CD'!A$2:A$875,B221,'Base bordo CD'!L$2:L$875,"CORTE DE CANA MECANIZADO"),0)</f>
        <v>78977.72</v>
      </c>
      <c r="R221" s="10">
        <f>IFERROR(SUMIFS('Base bordo CD'!Q$2:Q$875,'Base bordo CD'!D$2:D$875,A221,'Base bordo CD'!A$2:A$875,B221,'Base bordo CD'!L$2:L$875,"CORTE DE CANA MECANIZADO"),0)</f>
        <v>18082</v>
      </c>
      <c r="S221" s="30">
        <f t="shared" si="21"/>
        <v>4.3677535670832874</v>
      </c>
      <c r="T221" s="9">
        <f t="shared" si="22"/>
        <v>0.20928240740740739</v>
      </c>
      <c r="U221" s="9">
        <f t="shared" si="23"/>
        <v>3.9317129629629619E-2</v>
      </c>
      <c r="V221" s="9">
        <f t="shared" si="24"/>
        <v>0.78063657407407416</v>
      </c>
    </row>
    <row r="222" spans="1:22" hidden="1" x14ac:dyDescent="0.35">
      <c r="A222" s="52">
        <v>49593</v>
      </c>
      <c r="B222" s="31">
        <v>46123</v>
      </c>
      <c r="C222" s="7" t="s">
        <v>321</v>
      </c>
      <c r="D222" s="7">
        <v>351</v>
      </c>
      <c r="E222" s="10">
        <f>IFERROR(SUMIFS('Base bordo CD'!M$2:M$875,'Base bordo CD'!D$2:D$875,A222,'Base bordo CD'!A$2:A$875,B222,'Base bordo CD'!L$2:L$875,"CORTE DE CANA MECANIZADO"),0)</f>
        <v>5.0227777777777778</v>
      </c>
      <c r="F222" s="10">
        <f>IFERROR(SUMIFS('Base bordo CD'!M$2:M$875,'Base bordo CD'!D$2:D$875,A222,'Base bordo CD'!A$2:A$875,B222,'Base bordo CD'!L$2:L$875,"MANOBRA"),0)</f>
        <v>0.94361111111111107</v>
      </c>
      <c r="G222" s="10">
        <f>IFERROR(SUMIFS('Base bordo CD'!M$2:M$875,'Base bordo CD'!D$2:D$875,A222,'Base bordo CD'!A$2:A$875,B222,'Base bordo CD'!L$2:L$875,"DESLOCAMENTO"),0)</f>
        <v>0.24194444444444446</v>
      </c>
      <c r="H222" s="10">
        <f>IFERROR(SUMIFS('Base bordo CD'!M$2:M$875,'Base bordo CD'!D$2:D$875,A222,'Base bordo CD'!A$2:A$875,B222,'Base bordo CD'!L$2:L$875,"AGUARDANDO MANOBRA DE TRANSBORDO"),0)+IFERROR(SUMIFS('Base bordo CD'!M$2:M$875,'Base bordo CD'!D$2:D$875,A222,'Base bordo CD'!A$2:A$875,B222,'Base bordo CD'!L$2:L$875,"FALTA DE TRANSBORDO"),0)</f>
        <v>8.6944444444444435E-2</v>
      </c>
      <c r="I222" s="10">
        <f>IFERROR(SUMIFS('Base bordo CD'!M$2:M$875,'Base bordo CD'!D$2:D$875,A222,'Base bordo CD'!A$2:A$875,B222,'Base bordo CD'!L$2:L$875,"PARADA POR CONDICOES CLIMATICAS"),0)+IFERROR(SUMIFS('Base bordo CD'!M$2:M$875,'Base bordo CD'!D$2:D$875,A222,'Base bordo CD'!A$2:A$875,B222,'Base bordo CD'!L$2:L$875,"TEMPO INDETERMINADO"),0)</f>
        <v>15.464166666666667</v>
      </c>
      <c r="J222" s="10">
        <f>IFERROR(SUMIFS('Base bordo CD'!M$2:M$875,'Base bordo CD'!D$2:D$875,A222,'Base bordo CD'!A$2:A$875,B222,'Base bordo CD'!L$2:L$875,"LIMITAÇÃO INDÚSTRIA"),0)</f>
        <v>0</v>
      </c>
      <c r="K222" s="10">
        <f>IFERROR(SUMIFS('Base bordo CD'!M$2:M$875,'Base bordo CD'!D$2:D$875,A222,'Base bordo CD'!A$2:A$875,B222,'Base bordo CD'!L$2:L$875,"MAN CORRETIVA*"),0)+IFERROR(SUMIFS('Base bordo CD'!M$2:M$875,'Base bordo CD'!D$2:D$875,A222,'Base bordo CD'!A$2:A$875,B222,'Base bordo CD'!L$2:L$875,"AGUARDANDO MANUTENCAO*"),0)+IFERROR(SUMIFS('Base bordo CD'!M$2:M$875,'Base bordo CD'!D$2:D$875,A222,'Base bordo CD'!A$2:A$875,B222,'Base bordo CD'!L$2:L$875,"TROCA DE FAQUINHA"),0)+IFERROR(SUMIFS('Base bordo CD'!M$2:M$875,'Base bordo CD'!D$2:D$875,A222,'Base bordo CD'!A$2:A$875,B222,'Base bordo CD'!L$2:L$875,"LIMPEZA*"),0)</f>
        <v>0.42805555555555558</v>
      </c>
      <c r="L222" s="10">
        <f>IFERROR(SUMIFS('Base bordo CD'!M$2:M$875,'Base bordo CD'!D$2:D$875,A222,'Base bordo CD'!A$2:A$875,B222,'Base bordo CD'!L$2:L$875,"PATIO - RESERVA"),0)</f>
        <v>0</v>
      </c>
      <c r="M222" s="10">
        <f>IFERROR(SUMIFS('Base bordo CD'!M$2:M$875,'Base bordo CD'!D$2:D$875,A222,'Base bordo CD'!A$2:A$875,B222,'Base bordo CD'!L$2:L$875,"SEM APONTAMENTO"),0)</f>
        <v>7.4722222222222232E-2</v>
      </c>
      <c r="N222" s="10">
        <f>IFERROR(SUMIFS('Base bordo CD'!M$2:M$875,'Base bordo CD'!D$2:D$875,A222,'Base bordo CD'!A$2:A$875,B222,'Base bordo CD'!L$2:L$875,"FALTA DE CAMINHÃO"),0)+IFERROR(SUMIFS('Base bordo CD'!M$2:M$875,'Base bordo CD'!D$2:D$875,A222,'Base bordo CD'!A$2:A$875,B222,'Base bordo CD'!L$2:L$875,"FALTA DE COMBUSTIVEL"),0)+IFERROR(SUMIFS('Base bordo CD'!M$2:M$875,'Base bordo CD'!D$2:D$875,A222,'Base bordo CD'!A$2:A$875,B222,'Base bordo CD'!L$2:L$875,"FALTA DE MOTORIST*"),0)</f>
        <v>0</v>
      </c>
      <c r="O222" s="10">
        <f t="shared" si="20"/>
        <v>1.737777777777783</v>
      </c>
      <c r="P222" s="10">
        <f>IFERROR(SUMIFS('Base bordo CD'!M$2:M$875,'Base bordo CD'!D$2:D$875,A222,'Base bordo CD'!A$2:A$875,B222),0)</f>
        <v>24.000000000000004</v>
      </c>
      <c r="Q222" s="10">
        <f>IFERROR(SUMIFS('Base bordo CD'!O$2:O$875,'Base bordo CD'!D$2:D$875,A222,'Base bordo CD'!A$2:A$875,B222,'Base bordo CD'!L$2:L$875,"CORTE DE CANA MECANIZADO"),0)</f>
        <v>78977.72</v>
      </c>
      <c r="R222" s="10">
        <f>IFERROR(SUMIFS('Base bordo CD'!Q$2:Q$875,'Base bordo CD'!D$2:D$875,A222,'Base bordo CD'!A$2:A$875,B222,'Base bordo CD'!L$2:L$875,"CORTE DE CANA MECANIZADO"),0)</f>
        <v>18082</v>
      </c>
      <c r="S222" s="30">
        <f t="shared" si="21"/>
        <v>4.3677535670832874</v>
      </c>
      <c r="T222" s="9">
        <f t="shared" si="22"/>
        <v>0.20928240740740739</v>
      </c>
      <c r="U222" s="9">
        <f t="shared" si="23"/>
        <v>3.9317129629629619E-2</v>
      </c>
      <c r="V222" s="9">
        <f t="shared" si="24"/>
        <v>0.78063657407407416</v>
      </c>
    </row>
    <row r="223" spans="1:22" hidden="1" x14ac:dyDescent="0.35">
      <c r="A223" s="52">
        <v>49593</v>
      </c>
      <c r="B223" s="31">
        <v>46123</v>
      </c>
      <c r="C223" s="7" t="s">
        <v>321</v>
      </c>
      <c r="D223" s="7">
        <v>351</v>
      </c>
      <c r="E223" s="10">
        <f>IFERROR(SUMIFS('Base bordo CD'!M$2:M$875,'Base bordo CD'!D$2:D$875,A223,'Base bordo CD'!A$2:A$875,B223,'Base bordo CD'!L$2:L$875,"CORTE DE CANA MECANIZADO"),0)</f>
        <v>5.0227777777777778</v>
      </c>
      <c r="F223" s="10">
        <f>IFERROR(SUMIFS('Base bordo CD'!M$2:M$875,'Base bordo CD'!D$2:D$875,A223,'Base bordo CD'!A$2:A$875,B223,'Base bordo CD'!L$2:L$875,"MANOBRA"),0)</f>
        <v>0.94361111111111107</v>
      </c>
      <c r="G223" s="10">
        <f>IFERROR(SUMIFS('Base bordo CD'!M$2:M$875,'Base bordo CD'!D$2:D$875,A223,'Base bordo CD'!A$2:A$875,B223,'Base bordo CD'!L$2:L$875,"DESLOCAMENTO"),0)</f>
        <v>0.24194444444444446</v>
      </c>
      <c r="H223" s="10">
        <f>IFERROR(SUMIFS('Base bordo CD'!M$2:M$875,'Base bordo CD'!D$2:D$875,A223,'Base bordo CD'!A$2:A$875,B223,'Base bordo CD'!L$2:L$875,"AGUARDANDO MANOBRA DE TRANSBORDO"),0)+IFERROR(SUMIFS('Base bordo CD'!M$2:M$875,'Base bordo CD'!D$2:D$875,A223,'Base bordo CD'!A$2:A$875,B223,'Base bordo CD'!L$2:L$875,"FALTA DE TRANSBORDO"),0)</f>
        <v>8.6944444444444435E-2</v>
      </c>
      <c r="I223" s="10">
        <f>IFERROR(SUMIFS('Base bordo CD'!M$2:M$875,'Base bordo CD'!D$2:D$875,A223,'Base bordo CD'!A$2:A$875,B223,'Base bordo CD'!L$2:L$875,"PARADA POR CONDICOES CLIMATICAS"),0)+IFERROR(SUMIFS('Base bordo CD'!M$2:M$875,'Base bordo CD'!D$2:D$875,A223,'Base bordo CD'!A$2:A$875,B223,'Base bordo CD'!L$2:L$875,"TEMPO INDETERMINADO"),0)</f>
        <v>15.464166666666667</v>
      </c>
      <c r="J223" s="10">
        <f>IFERROR(SUMIFS('Base bordo CD'!M$2:M$875,'Base bordo CD'!D$2:D$875,A223,'Base bordo CD'!A$2:A$875,B223,'Base bordo CD'!L$2:L$875,"LIMITAÇÃO INDÚSTRIA"),0)</f>
        <v>0</v>
      </c>
      <c r="K223" s="10">
        <f>IFERROR(SUMIFS('Base bordo CD'!M$2:M$875,'Base bordo CD'!D$2:D$875,A223,'Base bordo CD'!A$2:A$875,B223,'Base bordo CD'!L$2:L$875,"MAN CORRETIVA*"),0)+IFERROR(SUMIFS('Base bordo CD'!M$2:M$875,'Base bordo CD'!D$2:D$875,A223,'Base bordo CD'!A$2:A$875,B223,'Base bordo CD'!L$2:L$875,"AGUARDANDO MANUTENCAO*"),0)+IFERROR(SUMIFS('Base bordo CD'!M$2:M$875,'Base bordo CD'!D$2:D$875,A223,'Base bordo CD'!A$2:A$875,B223,'Base bordo CD'!L$2:L$875,"TROCA DE FAQUINHA"),0)+IFERROR(SUMIFS('Base bordo CD'!M$2:M$875,'Base bordo CD'!D$2:D$875,A223,'Base bordo CD'!A$2:A$875,B223,'Base bordo CD'!L$2:L$875,"LIMPEZA*"),0)</f>
        <v>0.42805555555555558</v>
      </c>
      <c r="L223" s="10">
        <f>IFERROR(SUMIFS('Base bordo CD'!M$2:M$875,'Base bordo CD'!D$2:D$875,A223,'Base bordo CD'!A$2:A$875,B223,'Base bordo CD'!L$2:L$875,"PATIO - RESERVA"),0)</f>
        <v>0</v>
      </c>
      <c r="M223" s="10">
        <f>IFERROR(SUMIFS('Base bordo CD'!M$2:M$875,'Base bordo CD'!D$2:D$875,A223,'Base bordo CD'!A$2:A$875,B223,'Base bordo CD'!L$2:L$875,"SEM APONTAMENTO"),0)</f>
        <v>7.4722222222222232E-2</v>
      </c>
      <c r="N223" s="10">
        <f>IFERROR(SUMIFS('Base bordo CD'!M$2:M$875,'Base bordo CD'!D$2:D$875,A223,'Base bordo CD'!A$2:A$875,B223,'Base bordo CD'!L$2:L$875,"FALTA DE CAMINHÃO"),0)+IFERROR(SUMIFS('Base bordo CD'!M$2:M$875,'Base bordo CD'!D$2:D$875,A223,'Base bordo CD'!A$2:A$875,B223,'Base bordo CD'!L$2:L$875,"FALTA DE COMBUSTIVEL"),0)+IFERROR(SUMIFS('Base bordo CD'!M$2:M$875,'Base bordo CD'!D$2:D$875,A223,'Base bordo CD'!A$2:A$875,B223,'Base bordo CD'!L$2:L$875,"FALTA DE MOTORIST*"),0)</f>
        <v>0</v>
      </c>
      <c r="O223" s="10">
        <f t="shared" si="20"/>
        <v>1.737777777777783</v>
      </c>
      <c r="P223" s="10">
        <f>IFERROR(SUMIFS('Base bordo CD'!M$2:M$875,'Base bordo CD'!D$2:D$875,A223,'Base bordo CD'!A$2:A$875,B223),0)</f>
        <v>24.000000000000004</v>
      </c>
      <c r="Q223" s="10">
        <f>IFERROR(SUMIFS('Base bordo CD'!O$2:O$875,'Base bordo CD'!D$2:D$875,A223,'Base bordo CD'!A$2:A$875,B223,'Base bordo CD'!L$2:L$875,"CORTE DE CANA MECANIZADO"),0)</f>
        <v>78977.72</v>
      </c>
      <c r="R223" s="10">
        <f>IFERROR(SUMIFS('Base bordo CD'!Q$2:Q$875,'Base bordo CD'!D$2:D$875,A223,'Base bordo CD'!A$2:A$875,B223,'Base bordo CD'!L$2:L$875,"CORTE DE CANA MECANIZADO"),0)</f>
        <v>18082</v>
      </c>
      <c r="S223" s="30">
        <f t="shared" si="21"/>
        <v>4.3677535670832874</v>
      </c>
      <c r="T223" s="9">
        <f t="shared" si="22"/>
        <v>0.20928240740740739</v>
      </c>
      <c r="U223" s="9">
        <f t="shared" si="23"/>
        <v>3.9317129629629619E-2</v>
      </c>
      <c r="V223" s="9">
        <f t="shared" si="24"/>
        <v>0.78063657407407416</v>
      </c>
    </row>
    <row r="224" spans="1:22" hidden="1" x14ac:dyDescent="0.35">
      <c r="A224" s="52">
        <v>49593</v>
      </c>
      <c r="B224" s="31">
        <v>46123</v>
      </c>
      <c r="C224" s="7" t="s">
        <v>321</v>
      </c>
      <c r="D224" s="7">
        <v>351</v>
      </c>
      <c r="E224" s="10">
        <f>IFERROR(SUMIFS('Base bordo CD'!M$2:M$875,'Base bordo CD'!D$2:D$875,A224,'Base bordo CD'!A$2:A$875,B224,'Base bordo CD'!L$2:L$875,"CORTE DE CANA MECANIZADO"),0)</f>
        <v>5.0227777777777778</v>
      </c>
      <c r="F224" s="10">
        <f>IFERROR(SUMIFS('Base bordo CD'!M$2:M$875,'Base bordo CD'!D$2:D$875,A224,'Base bordo CD'!A$2:A$875,B224,'Base bordo CD'!L$2:L$875,"MANOBRA"),0)</f>
        <v>0.94361111111111107</v>
      </c>
      <c r="G224" s="10">
        <f>IFERROR(SUMIFS('Base bordo CD'!M$2:M$875,'Base bordo CD'!D$2:D$875,A224,'Base bordo CD'!A$2:A$875,B224,'Base bordo CD'!L$2:L$875,"DESLOCAMENTO"),0)</f>
        <v>0.24194444444444446</v>
      </c>
      <c r="H224" s="10">
        <f>IFERROR(SUMIFS('Base bordo CD'!M$2:M$875,'Base bordo CD'!D$2:D$875,A224,'Base bordo CD'!A$2:A$875,B224,'Base bordo CD'!L$2:L$875,"AGUARDANDO MANOBRA DE TRANSBORDO"),0)+IFERROR(SUMIFS('Base bordo CD'!M$2:M$875,'Base bordo CD'!D$2:D$875,A224,'Base bordo CD'!A$2:A$875,B224,'Base bordo CD'!L$2:L$875,"FALTA DE TRANSBORDO"),0)</f>
        <v>8.6944444444444435E-2</v>
      </c>
      <c r="I224" s="10">
        <f>IFERROR(SUMIFS('Base bordo CD'!M$2:M$875,'Base bordo CD'!D$2:D$875,A224,'Base bordo CD'!A$2:A$875,B224,'Base bordo CD'!L$2:L$875,"PARADA POR CONDICOES CLIMATICAS"),0)+IFERROR(SUMIFS('Base bordo CD'!M$2:M$875,'Base bordo CD'!D$2:D$875,A224,'Base bordo CD'!A$2:A$875,B224,'Base bordo CD'!L$2:L$875,"TEMPO INDETERMINADO"),0)</f>
        <v>15.464166666666667</v>
      </c>
      <c r="J224" s="10">
        <f>IFERROR(SUMIFS('Base bordo CD'!M$2:M$875,'Base bordo CD'!D$2:D$875,A224,'Base bordo CD'!A$2:A$875,B224,'Base bordo CD'!L$2:L$875,"LIMITAÇÃO INDÚSTRIA"),0)</f>
        <v>0</v>
      </c>
      <c r="K224" s="10">
        <f>IFERROR(SUMIFS('Base bordo CD'!M$2:M$875,'Base bordo CD'!D$2:D$875,A224,'Base bordo CD'!A$2:A$875,B224,'Base bordo CD'!L$2:L$875,"MAN CORRETIVA*"),0)+IFERROR(SUMIFS('Base bordo CD'!M$2:M$875,'Base bordo CD'!D$2:D$875,A224,'Base bordo CD'!A$2:A$875,B224,'Base bordo CD'!L$2:L$875,"AGUARDANDO MANUTENCAO*"),0)+IFERROR(SUMIFS('Base bordo CD'!M$2:M$875,'Base bordo CD'!D$2:D$875,A224,'Base bordo CD'!A$2:A$875,B224,'Base bordo CD'!L$2:L$875,"TROCA DE FAQUINHA"),0)+IFERROR(SUMIFS('Base bordo CD'!M$2:M$875,'Base bordo CD'!D$2:D$875,A224,'Base bordo CD'!A$2:A$875,B224,'Base bordo CD'!L$2:L$875,"LIMPEZA*"),0)</f>
        <v>0.42805555555555558</v>
      </c>
      <c r="L224" s="10">
        <f>IFERROR(SUMIFS('Base bordo CD'!M$2:M$875,'Base bordo CD'!D$2:D$875,A224,'Base bordo CD'!A$2:A$875,B224,'Base bordo CD'!L$2:L$875,"PATIO - RESERVA"),0)</f>
        <v>0</v>
      </c>
      <c r="M224" s="10">
        <f>IFERROR(SUMIFS('Base bordo CD'!M$2:M$875,'Base bordo CD'!D$2:D$875,A224,'Base bordo CD'!A$2:A$875,B224,'Base bordo CD'!L$2:L$875,"SEM APONTAMENTO"),0)</f>
        <v>7.4722222222222232E-2</v>
      </c>
      <c r="N224" s="10">
        <f>IFERROR(SUMIFS('Base bordo CD'!M$2:M$875,'Base bordo CD'!D$2:D$875,A224,'Base bordo CD'!A$2:A$875,B224,'Base bordo CD'!L$2:L$875,"FALTA DE CAMINHÃO"),0)+IFERROR(SUMIFS('Base bordo CD'!M$2:M$875,'Base bordo CD'!D$2:D$875,A224,'Base bordo CD'!A$2:A$875,B224,'Base bordo CD'!L$2:L$875,"FALTA DE COMBUSTIVEL"),0)+IFERROR(SUMIFS('Base bordo CD'!M$2:M$875,'Base bordo CD'!D$2:D$875,A224,'Base bordo CD'!A$2:A$875,B224,'Base bordo CD'!L$2:L$875,"FALTA DE MOTORIST*"),0)</f>
        <v>0</v>
      </c>
      <c r="O224" s="10">
        <f t="shared" si="20"/>
        <v>1.737777777777783</v>
      </c>
      <c r="P224" s="10">
        <f>IFERROR(SUMIFS('Base bordo CD'!M$2:M$875,'Base bordo CD'!D$2:D$875,A224,'Base bordo CD'!A$2:A$875,B224),0)</f>
        <v>24.000000000000004</v>
      </c>
      <c r="Q224" s="10">
        <f>IFERROR(SUMIFS('Base bordo CD'!O$2:O$875,'Base bordo CD'!D$2:D$875,A224,'Base bordo CD'!A$2:A$875,B224,'Base bordo CD'!L$2:L$875,"CORTE DE CANA MECANIZADO"),0)</f>
        <v>78977.72</v>
      </c>
      <c r="R224" s="10">
        <f>IFERROR(SUMIFS('Base bordo CD'!Q$2:Q$875,'Base bordo CD'!D$2:D$875,A224,'Base bordo CD'!A$2:A$875,B224,'Base bordo CD'!L$2:L$875,"CORTE DE CANA MECANIZADO"),0)</f>
        <v>18082</v>
      </c>
      <c r="S224" s="30">
        <f t="shared" si="21"/>
        <v>4.3677535670832874</v>
      </c>
      <c r="T224" s="9">
        <f t="shared" si="22"/>
        <v>0.20928240740740739</v>
      </c>
      <c r="U224" s="9">
        <f t="shared" si="23"/>
        <v>3.9317129629629619E-2</v>
      </c>
      <c r="V224" s="9">
        <f t="shared" si="24"/>
        <v>0.78063657407407416</v>
      </c>
    </row>
    <row r="225" spans="1:22" hidden="1" x14ac:dyDescent="0.35">
      <c r="A225" s="52">
        <v>49593</v>
      </c>
      <c r="B225" s="31">
        <v>46123</v>
      </c>
      <c r="C225" s="7" t="s">
        <v>321</v>
      </c>
      <c r="D225" s="7">
        <v>351</v>
      </c>
      <c r="E225" s="10">
        <f>IFERROR(SUMIFS('Base bordo CD'!M$2:M$875,'Base bordo CD'!D$2:D$875,A225,'Base bordo CD'!A$2:A$875,B225,'Base bordo CD'!L$2:L$875,"CORTE DE CANA MECANIZADO"),0)</f>
        <v>5.0227777777777778</v>
      </c>
      <c r="F225" s="10">
        <f>IFERROR(SUMIFS('Base bordo CD'!M$2:M$875,'Base bordo CD'!D$2:D$875,A225,'Base bordo CD'!A$2:A$875,B225,'Base bordo CD'!L$2:L$875,"MANOBRA"),0)</f>
        <v>0.94361111111111107</v>
      </c>
      <c r="G225" s="10">
        <f>IFERROR(SUMIFS('Base bordo CD'!M$2:M$875,'Base bordo CD'!D$2:D$875,A225,'Base bordo CD'!A$2:A$875,B225,'Base bordo CD'!L$2:L$875,"DESLOCAMENTO"),0)</f>
        <v>0.24194444444444446</v>
      </c>
      <c r="H225" s="10">
        <f>IFERROR(SUMIFS('Base bordo CD'!M$2:M$875,'Base bordo CD'!D$2:D$875,A225,'Base bordo CD'!A$2:A$875,B225,'Base bordo CD'!L$2:L$875,"AGUARDANDO MANOBRA DE TRANSBORDO"),0)+IFERROR(SUMIFS('Base bordo CD'!M$2:M$875,'Base bordo CD'!D$2:D$875,A225,'Base bordo CD'!A$2:A$875,B225,'Base bordo CD'!L$2:L$875,"FALTA DE TRANSBORDO"),0)</f>
        <v>8.6944444444444435E-2</v>
      </c>
      <c r="I225" s="10">
        <f>IFERROR(SUMIFS('Base bordo CD'!M$2:M$875,'Base bordo CD'!D$2:D$875,A225,'Base bordo CD'!A$2:A$875,B225,'Base bordo CD'!L$2:L$875,"PARADA POR CONDICOES CLIMATICAS"),0)+IFERROR(SUMIFS('Base bordo CD'!M$2:M$875,'Base bordo CD'!D$2:D$875,A225,'Base bordo CD'!A$2:A$875,B225,'Base bordo CD'!L$2:L$875,"TEMPO INDETERMINADO"),0)</f>
        <v>15.464166666666667</v>
      </c>
      <c r="J225" s="10">
        <f>IFERROR(SUMIFS('Base bordo CD'!M$2:M$875,'Base bordo CD'!D$2:D$875,A225,'Base bordo CD'!A$2:A$875,B225,'Base bordo CD'!L$2:L$875,"LIMITAÇÃO INDÚSTRIA"),0)</f>
        <v>0</v>
      </c>
      <c r="K225" s="10">
        <f>IFERROR(SUMIFS('Base bordo CD'!M$2:M$875,'Base bordo CD'!D$2:D$875,A225,'Base bordo CD'!A$2:A$875,B225,'Base bordo CD'!L$2:L$875,"MAN CORRETIVA*"),0)+IFERROR(SUMIFS('Base bordo CD'!M$2:M$875,'Base bordo CD'!D$2:D$875,A225,'Base bordo CD'!A$2:A$875,B225,'Base bordo CD'!L$2:L$875,"AGUARDANDO MANUTENCAO*"),0)+IFERROR(SUMIFS('Base bordo CD'!M$2:M$875,'Base bordo CD'!D$2:D$875,A225,'Base bordo CD'!A$2:A$875,B225,'Base bordo CD'!L$2:L$875,"TROCA DE FAQUINHA"),0)+IFERROR(SUMIFS('Base bordo CD'!M$2:M$875,'Base bordo CD'!D$2:D$875,A225,'Base bordo CD'!A$2:A$875,B225,'Base bordo CD'!L$2:L$875,"LIMPEZA*"),0)</f>
        <v>0.42805555555555558</v>
      </c>
      <c r="L225" s="10">
        <f>IFERROR(SUMIFS('Base bordo CD'!M$2:M$875,'Base bordo CD'!D$2:D$875,A225,'Base bordo CD'!A$2:A$875,B225,'Base bordo CD'!L$2:L$875,"PATIO - RESERVA"),0)</f>
        <v>0</v>
      </c>
      <c r="M225" s="10">
        <f>IFERROR(SUMIFS('Base bordo CD'!M$2:M$875,'Base bordo CD'!D$2:D$875,A225,'Base bordo CD'!A$2:A$875,B225,'Base bordo CD'!L$2:L$875,"SEM APONTAMENTO"),0)</f>
        <v>7.4722222222222232E-2</v>
      </c>
      <c r="N225" s="10">
        <f>IFERROR(SUMIFS('Base bordo CD'!M$2:M$875,'Base bordo CD'!D$2:D$875,A225,'Base bordo CD'!A$2:A$875,B225,'Base bordo CD'!L$2:L$875,"FALTA DE CAMINHÃO"),0)+IFERROR(SUMIFS('Base bordo CD'!M$2:M$875,'Base bordo CD'!D$2:D$875,A225,'Base bordo CD'!A$2:A$875,B225,'Base bordo CD'!L$2:L$875,"FALTA DE COMBUSTIVEL"),0)+IFERROR(SUMIFS('Base bordo CD'!M$2:M$875,'Base bordo CD'!D$2:D$875,A225,'Base bordo CD'!A$2:A$875,B225,'Base bordo CD'!L$2:L$875,"FALTA DE MOTORIST*"),0)</f>
        <v>0</v>
      </c>
      <c r="O225" s="10">
        <f t="shared" si="20"/>
        <v>1.737777777777783</v>
      </c>
      <c r="P225" s="10">
        <f>IFERROR(SUMIFS('Base bordo CD'!M$2:M$875,'Base bordo CD'!D$2:D$875,A225,'Base bordo CD'!A$2:A$875,B225),0)</f>
        <v>24.000000000000004</v>
      </c>
      <c r="Q225" s="10">
        <f>IFERROR(SUMIFS('Base bordo CD'!O$2:O$875,'Base bordo CD'!D$2:D$875,A225,'Base bordo CD'!A$2:A$875,B225,'Base bordo CD'!L$2:L$875,"CORTE DE CANA MECANIZADO"),0)</f>
        <v>78977.72</v>
      </c>
      <c r="R225" s="10">
        <f>IFERROR(SUMIFS('Base bordo CD'!Q$2:Q$875,'Base bordo CD'!D$2:D$875,A225,'Base bordo CD'!A$2:A$875,B225,'Base bordo CD'!L$2:L$875,"CORTE DE CANA MECANIZADO"),0)</f>
        <v>18082</v>
      </c>
      <c r="S225" s="30">
        <f t="shared" si="21"/>
        <v>4.3677535670832874</v>
      </c>
      <c r="T225" s="9">
        <f t="shared" si="22"/>
        <v>0.20928240740740739</v>
      </c>
      <c r="U225" s="9">
        <f t="shared" si="23"/>
        <v>3.9317129629629619E-2</v>
      </c>
      <c r="V225" s="9">
        <f t="shared" si="24"/>
        <v>0.78063657407407416</v>
      </c>
    </row>
    <row r="226" spans="1:22" hidden="1" x14ac:dyDescent="0.35">
      <c r="A226" s="52">
        <v>49593</v>
      </c>
      <c r="B226" s="31">
        <v>46123</v>
      </c>
      <c r="C226" s="7" t="s">
        <v>321</v>
      </c>
      <c r="D226" s="7">
        <v>351</v>
      </c>
      <c r="E226" s="10">
        <f>IFERROR(SUMIFS('Base bordo CD'!M$2:M$875,'Base bordo CD'!D$2:D$875,A226,'Base bordo CD'!A$2:A$875,B226,'Base bordo CD'!L$2:L$875,"CORTE DE CANA MECANIZADO"),0)</f>
        <v>5.0227777777777778</v>
      </c>
      <c r="F226" s="10">
        <f>IFERROR(SUMIFS('Base bordo CD'!M$2:M$875,'Base bordo CD'!D$2:D$875,A226,'Base bordo CD'!A$2:A$875,B226,'Base bordo CD'!L$2:L$875,"MANOBRA"),0)</f>
        <v>0.94361111111111107</v>
      </c>
      <c r="G226" s="10">
        <f>IFERROR(SUMIFS('Base bordo CD'!M$2:M$875,'Base bordo CD'!D$2:D$875,A226,'Base bordo CD'!A$2:A$875,B226,'Base bordo CD'!L$2:L$875,"DESLOCAMENTO"),0)</f>
        <v>0.24194444444444446</v>
      </c>
      <c r="H226" s="10">
        <f>IFERROR(SUMIFS('Base bordo CD'!M$2:M$875,'Base bordo CD'!D$2:D$875,A226,'Base bordo CD'!A$2:A$875,B226,'Base bordo CD'!L$2:L$875,"AGUARDANDO MANOBRA DE TRANSBORDO"),0)+IFERROR(SUMIFS('Base bordo CD'!M$2:M$875,'Base bordo CD'!D$2:D$875,A226,'Base bordo CD'!A$2:A$875,B226,'Base bordo CD'!L$2:L$875,"FALTA DE TRANSBORDO"),0)</f>
        <v>8.6944444444444435E-2</v>
      </c>
      <c r="I226" s="10">
        <f>IFERROR(SUMIFS('Base bordo CD'!M$2:M$875,'Base bordo CD'!D$2:D$875,A226,'Base bordo CD'!A$2:A$875,B226,'Base bordo CD'!L$2:L$875,"PARADA POR CONDICOES CLIMATICAS"),0)+IFERROR(SUMIFS('Base bordo CD'!M$2:M$875,'Base bordo CD'!D$2:D$875,A226,'Base bordo CD'!A$2:A$875,B226,'Base bordo CD'!L$2:L$875,"TEMPO INDETERMINADO"),0)</f>
        <v>15.464166666666667</v>
      </c>
      <c r="J226" s="10">
        <f>IFERROR(SUMIFS('Base bordo CD'!M$2:M$875,'Base bordo CD'!D$2:D$875,A226,'Base bordo CD'!A$2:A$875,B226,'Base bordo CD'!L$2:L$875,"LIMITAÇÃO INDÚSTRIA"),0)</f>
        <v>0</v>
      </c>
      <c r="K226" s="10">
        <f>IFERROR(SUMIFS('Base bordo CD'!M$2:M$875,'Base bordo CD'!D$2:D$875,A226,'Base bordo CD'!A$2:A$875,B226,'Base bordo CD'!L$2:L$875,"MAN CORRETIVA*"),0)+IFERROR(SUMIFS('Base bordo CD'!M$2:M$875,'Base bordo CD'!D$2:D$875,A226,'Base bordo CD'!A$2:A$875,B226,'Base bordo CD'!L$2:L$875,"AGUARDANDO MANUTENCAO*"),0)+IFERROR(SUMIFS('Base bordo CD'!M$2:M$875,'Base bordo CD'!D$2:D$875,A226,'Base bordo CD'!A$2:A$875,B226,'Base bordo CD'!L$2:L$875,"TROCA DE FAQUINHA"),0)+IFERROR(SUMIFS('Base bordo CD'!M$2:M$875,'Base bordo CD'!D$2:D$875,A226,'Base bordo CD'!A$2:A$875,B226,'Base bordo CD'!L$2:L$875,"LIMPEZA*"),0)</f>
        <v>0.42805555555555558</v>
      </c>
      <c r="L226" s="10">
        <f>IFERROR(SUMIFS('Base bordo CD'!M$2:M$875,'Base bordo CD'!D$2:D$875,A226,'Base bordo CD'!A$2:A$875,B226,'Base bordo CD'!L$2:L$875,"PATIO - RESERVA"),0)</f>
        <v>0</v>
      </c>
      <c r="M226" s="10">
        <f>IFERROR(SUMIFS('Base bordo CD'!M$2:M$875,'Base bordo CD'!D$2:D$875,A226,'Base bordo CD'!A$2:A$875,B226,'Base bordo CD'!L$2:L$875,"SEM APONTAMENTO"),0)</f>
        <v>7.4722222222222232E-2</v>
      </c>
      <c r="N226" s="10">
        <f>IFERROR(SUMIFS('Base bordo CD'!M$2:M$875,'Base bordo CD'!D$2:D$875,A226,'Base bordo CD'!A$2:A$875,B226,'Base bordo CD'!L$2:L$875,"FALTA DE CAMINHÃO"),0)+IFERROR(SUMIFS('Base bordo CD'!M$2:M$875,'Base bordo CD'!D$2:D$875,A226,'Base bordo CD'!A$2:A$875,B226,'Base bordo CD'!L$2:L$875,"FALTA DE COMBUSTIVEL"),0)+IFERROR(SUMIFS('Base bordo CD'!M$2:M$875,'Base bordo CD'!D$2:D$875,A226,'Base bordo CD'!A$2:A$875,B226,'Base bordo CD'!L$2:L$875,"FALTA DE MOTORIST*"),0)</f>
        <v>0</v>
      </c>
      <c r="O226" s="10">
        <f t="shared" si="20"/>
        <v>1.737777777777783</v>
      </c>
      <c r="P226" s="10">
        <f>IFERROR(SUMIFS('Base bordo CD'!M$2:M$875,'Base bordo CD'!D$2:D$875,A226,'Base bordo CD'!A$2:A$875,B226),0)</f>
        <v>24.000000000000004</v>
      </c>
      <c r="Q226" s="10">
        <f>IFERROR(SUMIFS('Base bordo CD'!O$2:O$875,'Base bordo CD'!D$2:D$875,A226,'Base bordo CD'!A$2:A$875,B226,'Base bordo CD'!L$2:L$875,"CORTE DE CANA MECANIZADO"),0)</f>
        <v>78977.72</v>
      </c>
      <c r="R226" s="10">
        <f>IFERROR(SUMIFS('Base bordo CD'!Q$2:Q$875,'Base bordo CD'!D$2:D$875,A226,'Base bordo CD'!A$2:A$875,B226,'Base bordo CD'!L$2:L$875,"CORTE DE CANA MECANIZADO"),0)</f>
        <v>18082</v>
      </c>
      <c r="S226" s="30">
        <f t="shared" si="21"/>
        <v>4.3677535670832874</v>
      </c>
      <c r="T226" s="9">
        <f t="shared" si="22"/>
        <v>0.20928240740740739</v>
      </c>
      <c r="U226" s="9">
        <f t="shared" si="23"/>
        <v>3.9317129629629619E-2</v>
      </c>
      <c r="V226" s="9">
        <f t="shared" si="24"/>
        <v>0.78063657407407416</v>
      </c>
    </row>
    <row r="227" spans="1:22" hidden="1" x14ac:dyDescent="0.35">
      <c r="A227" s="52">
        <v>49593</v>
      </c>
      <c r="B227" s="31">
        <v>46123</v>
      </c>
      <c r="C227" s="7" t="s">
        <v>321</v>
      </c>
      <c r="D227" s="7">
        <v>351</v>
      </c>
      <c r="E227" s="10">
        <f>IFERROR(SUMIFS('Base bordo CD'!M$2:M$875,'Base bordo CD'!D$2:D$875,A227,'Base bordo CD'!A$2:A$875,B227,'Base bordo CD'!L$2:L$875,"CORTE DE CANA MECANIZADO"),0)</f>
        <v>5.0227777777777778</v>
      </c>
      <c r="F227" s="10">
        <f>IFERROR(SUMIFS('Base bordo CD'!M$2:M$875,'Base bordo CD'!D$2:D$875,A227,'Base bordo CD'!A$2:A$875,B227,'Base bordo CD'!L$2:L$875,"MANOBRA"),0)</f>
        <v>0.94361111111111107</v>
      </c>
      <c r="G227" s="10">
        <f>IFERROR(SUMIFS('Base bordo CD'!M$2:M$875,'Base bordo CD'!D$2:D$875,A227,'Base bordo CD'!A$2:A$875,B227,'Base bordo CD'!L$2:L$875,"DESLOCAMENTO"),0)</f>
        <v>0.24194444444444446</v>
      </c>
      <c r="H227" s="10">
        <f>IFERROR(SUMIFS('Base bordo CD'!M$2:M$875,'Base bordo CD'!D$2:D$875,A227,'Base bordo CD'!A$2:A$875,B227,'Base bordo CD'!L$2:L$875,"AGUARDANDO MANOBRA DE TRANSBORDO"),0)+IFERROR(SUMIFS('Base bordo CD'!M$2:M$875,'Base bordo CD'!D$2:D$875,A227,'Base bordo CD'!A$2:A$875,B227,'Base bordo CD'!L$2:L$875,"FALTA DE TRANSBORDO"),0)</f>
        <v>8.6944444444444435E-2</v>
      </c>
      <c r="I227" s="10">
        <f>IFERROR(SUMIFS('Base bordo CD'!M$2:M$875,'Base bordo CD'!D$2:D$875,A227,'Base bordo CD'!A$2:A$875,B227,'Base bordo CD'!L$2:L$875,"PARADA POR CONDICOES CLIMATICAS"),0)+IFERROR(SUMIFS('Base bordo CD'!M$2:M$875,'Base bordo CD'!D$2:D$875,A227,'Base bordo CD'!A$2:A$875,B227,'Base bordo CD'!L$2:L$875,"TEMPO INDETERMINADO"),0)</f>
        <v>15.464166666666667</v>
      </c>
      <c r="J227" s="10">
        <f>IFERROR(SUMIFS('Base bordo CD'!M$2:M$875,'Base bordo CD'!D$2:D$875,A227,'Base bordo CD'!A$2:A$875,B227,'Base bordo CD'!L$2:L$875,"LIMITAÇÃO INDÚSTRIA"),0)</f>
        <v>0</v>
      </c>
      <c r="K227" s="10">
        <f>IFERROR(SUMIFS('Base bordo CD'!M$2:M$875,'Base bordo CD'!D$2:D$875,A227,'Base bordo CD'!A$2:A$875,B227,'Base bordo CD'!L$2:L$875,"MAN CORRETIVA*"),0)+IFERROR(SUMIFS('Base bordo CD'!M$2:M$875,'Base bordo CD'!D$2:D$875,A227,'Base bordo CD'!A$2:A$875,B227,'Base bordo CD'!L$2:L$875,"AGUARDANDO MANUTENCAO*"),0)+IFERROR(SUMIFS('Base bordo CD'!M$2:M$875,'Base bordo CD'!D$2:D$875,A227,'Base bordo CD'!A$2:A$875,B227,'Base bordo CD'!L$2:L$875,"TROCA DE FAQUINHA"),0)+IFERROR(SUMIFS('Base bordo CD'!M$2:M$875,'Base bordo CD'!D$2:D$875,A227,'Base bordo CD'!A$2:A$875,B227,'Base bordo CD'!L$2:L$875,"LIMPEZA*"),0)</f>
        <v>0.42805555555555558</v>
      </c>
      <c r="L227" s="10">
        <f>IFERROR(SUMIFS('Base bordo CD'!M$2:M$875,'Base bordo CD'!D$2:D$875,A227,'Base bordo CD'!A$2:A$875,B227,'Base bordo CD'!L$2:L$875,"PATIO - RESERVA"),0)</f>
        <v>0</v>
      </c>
      <c r="M227" s="10">
        <f>IFERROR(SUMIFS('Base bordo CD'!M$2:M$875,'Base bordo CD'!D$2:D$875,A227,'Base bordo CD'!A$2:A$875,B227,'Base bordo CD'!L$2:L$875,"SEM APONTAMENTO"),0)</f>
        <v>7.4722222222222232E-2</v>
      </c>
      <c r="N227" s="10">
        <f>IFERROR(SUMIFS('Base bordo CD'!M$2:M$875,'Base bordo CD'!D$2:D$875,A227,'Base bordo CD'!A$2:A$875,B227,'Base bordo CD'!L$2:L$875,"FALTA DE CAMINHÃO"),0)+IFERROR(SUMIFS('Base bordo CD'!M$2:M$875,'Base bordo CD'!D$2:D$875,A227,'Base bordo CD'!A$2:A$875,B227,'Base bordo CD'!L$2:L$875,"FALTA DE COMBUSTIVEL"),0)+IFERROR(SUMIFS('Base bordo CD'!M$2:M$875,'Base bordo CD'!D$2:D$875,A227,'Base bordo CD'!A$2:A$875,B227,'Base bordo CD'!L$2:L$875,"FALTA DE MOTORIST*"),0)</f>
        <v>0</v>
      </c>
      <c r="O227" s="10">
        <f t="shared" si="20"/>
        <v>1.737777777777783</v>
      </c>
      <c r="P227" s="10">
        <f>IFERROR(SUMIFS('Base bordo CD'!M$2:M$875,'Base bordo CD'!D$2:D$875,A227,'Base bordo CD'!A$2:A$875,B227),0)</f>
        <v>24.000000000000004</v>
      </c>
      <c r="Q227" s="10">
        <f>IFERROR(SUMIFS('Base bordo CD'!O$2:O$875,'Base bordo CD'!D$2:D$875,A227,'Base bordo CD'!A$2:A$875,B227,'Base bordo CD'!L$2:L$875,"CORTE DE CANA MECANIZADO"),0)</f>
        <v>78977.72</v>
      </c>
      <c r="R227" s="10">
        <f>IFERROR(SUMIFS('Base bordo CD'!Q$2:Q$875,'Base bordo CD'!D$2:D$875,A227,'Base bordo CD'!A$2:A$875,B227,'Base bordo CD'!L$2:L$875,"CORTE DE CANA MECANIZADO"),0)</f>
        <v>18082</v>
      </c>
      <c r="S227" s="30">
        <f t="shared" si="21"/>
        <v>4.3677535670832874</v>
      </c>
      <c r="T227" s="9">
        <f t="shared" si="22"/>
        <v>0.20928240740740739</v>
      </c>
      <c r="U227" s="9">
        <f t="shared" si="23"/>
        <v>3.9317129629629619E-2</v>
      </c>
      <c r="V227" s="9">
        <f t="shared" si="24"/>
        <v>0.78063657407407416</v>
      </c>
    </row>
    <row r="228" spans="1:22" hidden="1" x14ac:dyDescent="0.35">
      <c r="A228" s="52">
        <v>49593</v>
      </c>
      <c r="B228" s="31">
        <v>46123</v>
      </c>
      <c r="C228" s="7" t="s">
        <v>321</v>
      </c>
      <c r="D228" s="7">
        <v>351</v>
      </c>
      <c r="E228" s="10">
        <f>IFERROR(SUMIFS('Base bordo CD'!M$2:M$875,'Base bordo CD'!D$2:D$875,A228,'Base bordo CD'!A$2:A$875,B228,'Base bordo CD'!L$2:L$875,"CORTE DE CANA MECANIZADO"),0)</f>
        <v>5.0227777777777778</v>
      </c>
      <c r="F228" s="10">
        <f>IFERROR(SUMIFS('Base bordo CD'!M$2:M$875,'Base bordo CD'!D$2:D$875,A228,'Base bordo CD'!A$2:A$875,B228,'Base bordo CD'!L$2:L$875,"MANOBRA"),0)</f>
        <v>0.94361111111111107</v>
      </c>
      <c r="G228" s="10">
        <f>IFERROR(SUMIFS('Base bordo CD'!M$2:M$875,'Base bordo CD'!D$2:D$875,A228,'Base bordo CD'!A$2:A$875,B228,'Base bordo CD'!L$2:L$875,"DESLOCAMENTO"),0)</f>
        <v>0.24194444444444446</v>
      </c>
      <c r="H228" s="10">
        <f>IFERROR(SUMIFS('Base bordo CD'!M$2:M$875,'Base bordo CD'!D$2:D$875,A228,'Base bordo CD'!A$2:A$875,B228,'Base bordo CD'!L$2:L$875,"AGUARDANDO MANOBRA DE TRANSBORDO"),0)+IFERROR(SUMIFS('Base bordo CD'!M$2:M$875,'Base bordo CD'!D$2:D$875,A228,'Base bordo CD'!A$2:A$875,B228,'Base bordo CD'!L$2:L$875,"FALTA DE TRANSBORDO"),0)</f>
        <v>8.6944444444444435E-2</v>
      </c>
      <c r="I228" s="10">
        <f>IFERROR(SUMIFS('Base bordo CD'!M$2:M$875,'Base bordo CD'!D$2:D$875,A228,'Base bordo CD'!A$2:A$875,B228,'Base bordo CD'!L$2:L$875,"PARADA POR CONDICOES CLIMATICAS"),0)+IFERROR(SUMIFS('Base bordo CD'!M$2:M$875,'Base bordo CD'!D$2:D$875,A228,'Base bordo CD'!A$2:A$875,B228,'Base bordo CD'!L$2:L$875,"TEMPO INDETERMINADO"),0)</f>
        <v>15.464166666666667</v>
      </c>
      <c r="J228" s="10">
        <f>IFERROR(SUMIFS('Base bordo CD'!M$2:M$875,'Base bordo CD'!D$2:D$875,A228,'Base bordo CD'!A$2:A$875,B228,'Base bordo CD'!L$2:L$875,"LIMITAÇÃO INDÚSTRIA"),0)</f>
        <v>0</v>
      </c>
      <c r="K228" s="10">
        <f>IFERROR(SUMIFS('Base bordo CD'!M$2:M$875,'Base bordo CD'!D$2:D$875,A228,'Base bordo CD'!A$2:A$875,B228,'Base bordo CD'!L$2:L$875,"MAN CORRETIVA*"),0)+IFERROR(SUMIFS('Base bordo CD'!M$2:M$875,'Base bordo CD'!D$2:D$875,A228,'Base bordo CD'!A$2:A$875,B228,'Base bordo CD'!L$2:L$875,"AGUARDANDO MANUTENCAO*"),0)+IFERROR(SUMIFS('Base bordo CD'!M$2:M$875,'Base bordo CD'!D$2:D$875,A228,'Base bordo CD'!A$2:A$875,B228,'Base bordo CD'!L$2:L$875,"TROCA DE FAQUINHA"),0)+IFERROR(SUMIFS('Base bordo CD'!M$2:M$875,'Base bordo CD'!D$2:D$875,A228,'Base bordo CD'!A$2:A$875,B228,'Base bordo CD'!L$2:L$875,"LIMPEZA*"),0)</f>
        <v>0.42805555555555558</v>
      </c>
      <c r="L228" s="10">
        <f>IFERROR(SUMIFS('Base bordo CD'!M$2:M$875,'Base bordo CD'!D$2:D$875,A228,'Base bordo CD'!A$2:A$875,B228,'Base bordo CD'!L$2:L$875,"PATIO - RESERVA"),0)</f>
        <v>0</v>
      </c>
      <c r="M228" s="10">
        <f>IFERROR(SUMIFS('Base bordo CD'!M$2:M$875,'Base bordo CD'!D$2:D$875,A228,'Base bordo CD'!A$2:A$875,B228,'Base bordo CD'!L$2:L$875,"SEM APONTAMENTO"),0)</f>
        <v>7.4722222222222232E-2</v>
      </c>
      <c r="N228" s="10">
        <f>IFERROR(SUMIFS('Base bordo CD'!M$2:M$875,'Base bordo CD'!D$2:D$875,A228,'Base bordo CD'!A$2:A$875,B228,'Base bordo CD'!L$2:L$875,"FALTA DE CAMINHÃO"),0)+IFERROR(SUMIFS('Base bordo CD'!M$2:M$875,'Base bordo CD'!D$2:D$875,A228,'Base bordo CD'!A$2:A$875,B228,'Base bordo CD'!L$2:L$875,"FALTA DE COMBUSTIVEL"),0)+IFERROR(SUMIFS('Base bordo CD'!M$2:M$875,'Base bordo CD'!D$2:D$875,A228,'Base bordo CD'!A$2:A$875,B228,'Base bordo CD'!L$2:L$875,"FALTA DE MOTORIST*"),0)</f>
        <v>0</v>
      </c>
      <c r="O228" s="10">
        <f t="shared" si="20"/>
        <v>1.737777777777783</v>
      </c>
      <c r="P228" s="10">
        <f>IFERROR(SUMIFS('Base bordo CD'!M$2:M$875,'Base bordo CD'!D$2:D$875,A228,'Base bordo CD'!A$2:A$875,B228),0)</f>
        <v>24.000000000000004</v>
      </c>
      <c r="Q228" s="10">
        <f>IFERROR(SUMIFS('Base bordo CD'!O$2:O$875,'Base bordo CD'!D$2:D$875,A228,'Base bordo CD'!A$2:A$875,B228,'Base bordo CD'!L$2:L$875,"CORTE DE CANA MECANIZADO"),0)</f>
        <v>78977.72</v>
      </c>
      <c r="R228" s="10">
        <f>IFERROR(SUMIFS('Base bordo CD'!Q$2:Q$875,'Base bordo CD'!D$2:D$875,A228,'Base bordo CD'!A$2:A$875,B228,'Base bordo CD'!L$2:L$875,"CORTE DE CANA MECANIZADO"),0)</f>
        <v>18082</v>
      </c>
      <c r="S228" s="30">
        <f t="shared" si="21"/>
        <v>4.3677535670832874</v>
      </c>
      <c r="T228" s="9">
        <f t="shared" si="22"/>
        <v>0.20928240740740739</v>
      </c>
      <c r="U228" s="9">
        <f t="shared" si="23"/>
        <v>3.9317129629629619E-2</v>
      </c>
      <c r="V228" s="9">
        <f t="shared" si="24"/>
        <v>0.78063657407407416</v>
      </c>
    </row>
    <row r="229" spans="1:22" hidden="1" x14ac:dyDescent="0.35">
      <c r="A229" s="52">
        <v>49593</v>
      </c>
      <c r="B229" s="31">
        <v>46123</v>
      </c>
      <c r="C229" s="7" t="s">
        <v>321</v>
      </c>
      <c r="D229" s="7">
        <v>351</v>
      </c>
      <c r="E229" s="10">
        <f>IFERROR(SUMIFS('Base bordo CD'!M$2:M$875,'Base bordo CD'!D$2:D$875,A229,'Base bordo CD'!A$2:A$875,B229,'Base bordo CD'!L$2:L$875,"CORTE DE CANA MECANIZADO"),0)</f>
        <v>5.0227777777777778</v>
      </c>
      <c r="F229" s="10">
        <f>IFERROR(SUMIFS('Base bordo CD'!M$2:M$875,'Base bordo CD'!D$2:D$875,A229,'Base bordo CD'!A$2:A$875,B229,'Base bordo CD'!L$2:L$875,"MANOBRA"),0)</f>
        <v>0.94361111111111107</v>
      </c>
      <c r="G229" s="10">
        <f>IFERROR(SUMIFS('Base bordo CD'!M$2:M$875,'Base bordo CD'!D$2:D$875,A229,'Base bordo CD'!A$2:A$875,B229,'Base bordo CD'!L$2:L$875,"DESLOCAMENTO"),0)</f>
        <v>0.24194444444444446</v>
      </c>
      <c r="H229" s="10">
        <f>IFERROR(SUMIFS('Base bordo CD'!M$2:M$875,'Base bordo CD'!D$2:D$875,A229,'Base bordo CD'!A$2:A$875,B229,'Base bordo CD'!L$2:L$875,"AGUARDANDO MANOBRA DE TRANSBORDO"),0)+IFERROR(SUMIFS('Base bordo CD'!M$2:M$875,'Base bordo CD'!D$2:D$875,A229,'Base bordo CD'!A$2:A$875,B229,'Base bordo CD'!L$2:L$875,"FALTA DE TRANSBORDO"),0)</f>
        <v>8.6944444444444435E-2</v>
      </c>
      <c r="I229" s="10">
        <f>IFERROR(SUMIFS('Base bordo CD'!M$2:M$875,'Base bordo CD'!D$2:D$875,A229,'Base bordo CD'!A$2:A$875,B229,'Base bordo CD'!L$2:L$875,"PARADA POR CONDICOES CLIMATICAS"),0)+IFERROR(SUMIFS('Base bordo CD'!M$2:M$875,'Base bordo CD'!D$2:D$875,A229,'Base bordo CD'!A$2:A$875,B229,'Base bordo CD'!L$2:L$875,"TEMPO INDETERMINADO"),0)</f>
        <v>15.464166666666667</v>
      </c>
      <c r="J229" s="10">
        <f>IFERROR(SUMIFS('Base bordo CD'!M$2:M$875,'Base bordo CD'!D$2:D$875,A229,'Base bordo CD'!A$2:A$875,B229,'Base bordo CD'!L$2:L$875,"LIMITAÇÃO INDÚSTRIA"),0)</f>
        <v>0</v>
      </c>
      <c r="K229" s="10">
        <f>IFERROR(SUMIFS('Base bordo CD'!M$2:M$875,'Base bordo CD'!D$2:D$875,A229,'Base bordo CD'!A$2:A$875,B229,'Base bordo CD'!L$2:L$875,"MAN CORRETIVA*"),0)+IFERROR(SUMIFS('Base bordo CD'!M$2:M$875,'Base bordo CD'!D$2:D$875,A229,'Base bordo CD'!A$2:A$875,B229,'Base bordo CD'!L$2:L$875,"AGUARDANDO MANUTENCAO*"),0)+IFERROR(SUMIFS('Base bordo CD'!M$2:M$875,'Base bordo CD'!D$2:D$875,A229,'Base bordo CD'!A$2:A$875,B229,'Base bordo CD'!L$2:L$875,"TROCA DE FAQUINHA"),0)+IFERROR(SUMIFS('Base bordo CD'!M$2:M$875,'Base bordo CD'!D$2:D$875,A229,'Base bordo CD'!A$2:A$875,B229,'Base bordo CD'!L$2:L$875,"LIMPEZA*"),0)</f>
        <v>0.42805555555555558</v>
      </c>
      <c r="L229" s="10">
        <f>IFERROR(SUMIFS('Base bordo CD'!M$2:M$875,'Base bordo CD'!D$2:D$875,A229,'Base bordo CD'!A$2:A$875,B229,'Base bordo CD'!L$2:L$875,"PATIO - RESERVA"),0)</f>
        <v>0</v>
      </c>
      <c r="M229" s="10">
        <f>IFERROR(SUMIFS('Base bordo CD'!M$2:M$875,'Base bordo CD'!D$2:D$875,A229,'Base bordo CD'!A$2:A$875,B229,'Base bordo CD'!L$2:L$875,"SEM APONTAMENTO"),0)</f>
        <v>7.4722222222222232E-2</v>
      </c>
      <c r="N229" s="10">
        <f>IFERROR(SUMIFS('Base bordo CD'!M$2:M$875,'Base bordo CD'!D$2:D$875,A229,'Base bordo CD'!A$2:A$875,B229,'Base bordo CD'!L$2:L$875,"FALTA DE CAMINHÃO"),0)+IFERROR(SUMIFS('Base bordo CD'!M$2:M$875,'Base bordo CD'!D$2:D$875,A229,'Base bordo CD'!A$2:A$875,B229,'Base bordo CD'!L$2:L$875,"FALTA DE COMBUSTIVEL"),0)+IFERROR(SUMIFS('Base bordo CD'!M$2:M$875,'Base bordo CD'!D$2:D$875,A229,'Base bordo CD'!A$2:A$875,B229,'Base bordo CD'!L$2:L$875,"FALTA DE MOTORIST*"),0)</f>
        <v>0</v>
      </c>
      <c r="O229" s="10">
        <f t="shared" si="20"/>
        <v>1.737777777777783</v>
      </c>
      <c r="P229" s="10">
        <f>IFERROR(SUMIFS('Base bordo CD'!M$2:M$875,'Base bordo CD'!D$2:D$875,A229,'Base bordo CD'!A$2:A$875,B229),0)</f>
        <v>24.000000000000004</v>
      </c>
      <c r="Q229" s="10">
        <f>IFERROR(SUMIFS('Base bordo CD'!O$2:O$875,'Base bordo CD'!D$2:D$875,A229,'Base bordo CD'!A$2:A$875,B229,'Base bordo CD'!L$2:L$875,"CORTE DE CANA MECANIZADO"),0)</f>
        <v>78977.72</v>
      </c>
      <c r="R229" s="10">
        <f>IFERROR(SUMIFS('Base bordo CD'!Q$2:Q$875,'Base bordo CD'!D$2:D$875,A229,'Base bordo CD'!A$2:A$875,B229,'Base bordo CD'!L$2:L$875,"CORTE DE CANA MECANIZADO"),0)</f>
        <v>18082</v>
      </c>
      <c r="S229" s="30">
        <f t="shared" si="21"/>
        <v>4.3677535670832874</v>
      </c>
      <c r="T229" s="9">
        <f t="shared" si="22"/>
        <v>0.20928240740740739</v>
      </c>
      <c r="U229" s="9">
        <f t="shared" si="23"/>
        <v>3.9317129629629619E-2</v>
      </c>
      <c r="V229" s="9">
        <f t="shared" si="24"/>
        <v>0.78063657407407416</v>
      </c>
    </row>
    <row r="230" spans="1:22" hidden="1" x14ac:dyDescent="0.35">
      <c r="A230" s="52">
        <v>49593</v>
      </c>
      <c r="B230" s="31">
        <v>46123</v>
      </c>
      <c r="C230" s="7" t="s">
        <v>321</v>
      </c>
      <c r="D230" s="7">
        <v>351</v>
      </c>
      <c r="E230" s="10">
        <f>IFERROR(SUMIFS('Base bordo CD'!M$2:M$875,'Base bordo CD'!D$2:D$875,A230,'Base bordo CD'!A$2:A$875,B230,'Base bordo CD'!L$2:L$875,"CORTE DE CANA MECANIZADO"),0)</f>
        <v>5.0227777777777778</v>
      </c>
      <c r="F230" s="10">
        <f>IFERROR(SUMIFS('Base bordo CD'!M$2:M$875,'Base bordo CD'!D$2:D$875,A230,'Base bordo CD'!A$2:A$875,B230,'Base bordo CD'!L$2:L$875,"MANOBRA"),0)</f>
        <v>0.94361111111111107</v>
      </c>
      <c r="G230" s="10">
        <f>IFERROR(SUMIFS('Base bordo CD'!M$2:M$875,'Base bordo CD'!D$2:D$875,A230,'Base bordo CD'!A$2:A$875,B230,'Base bordo CD'!L$2:L$875,"DESLOCAMENTO"),0)</f>
        <v>0.24194444444444446</v>
      </c>
      <c r="H230" s="10">
        <f>IFERROR(SUMIFS('Base bordo CD'!M$2:M$875,'Base bordo CD'!D$2:D$875,A230,'Base bordo CD'!A$2:A$875,B230,'Base bordo CD'!L$2:L$875,"AGUARDANDO MANOBRA DE TRANSBORDO"),0)+IFERROR(SUMIFS('Base bordo CD'!M$2:M$875,'Base bordo CD'!D$2:D$875,A230,'Base bordo CD'!A$2:A$875,B230,'Base bordo CD'!L$2:L$875,"FALTA DE TRANSBORDO"),0)</f>
        <v>8.6944444444444435E-2</v>
      </c>
      <c r="I230" s="10">
        <f>IFERROR(SUMIFS('Base bordo CD'!M$2:M$875,'Base bordo CD'!D$2:D$875,A230,'Base bordo CD'!A$2:A$875,B230,'Base bordo CD'!L$2:L$875,"PARADA POR CONDICOES CLIMATICAS"),0)+IFERROR(SUMIFS('Base bordo CD'!M$2:M$875,'Base bordo CD'!D$2:D$875,A230,'Base bordo CD'!A$2:A$875,B230,'Base bordo CD'!L$2:L$875,"TEMPO INDETERMINADO"),0)</f>
        <v>15.464166666666667</v>
      </c>
      <c r="J230" s="10">
        <f>IFERROR(SUMIFS('Base bordo CD'!M$2:M$875,'Base bordo CD'!D$2:D$875,A230,'Base bordo CD'!A$2:A$875,B230,'Base bordo CD'!L$2:L$875,"LIMITAÇÃO INDÚSTRIA"),0)</f>
        <v>0</v>
      </c>
      <c r="K230" s="10">
        <f>IFERROR(SUMIFS('Base bordo CD'!M$2:M$875,'Base bordo CD'!D$2:D$875,A230,'Base bordo CD'!A$2:A$875,B230,'Base bordo CD'!L$2:L$875,"MAN CORRETIVA*"),0)+IFERROR(SUMIFS('Base bordo CD'!M$2:M$875,'Base bordo CD'!D$2:D$875,A230,'Base bordo CD'!A$2:A$875,B230,'Base bordo CD'!L$2:L$875,"AGUARDANDO MANUTENCAO*"),0)+IFERROR(SUMIFS('Base bordo CD'!M$2:M$875,'Base bordo CD'!D$2:D$875,A230,'Base bordo CD'!A$2:A$875,B230,'Base bordo CD'!L$2:L$875,"TROCA DE FAQUINHA"),0)+IFERROR(SUMIFS('Base bordo CD'!M$2:M$875,'Base bordo CD'!D$2:D$875,A230,'Base bordo CD'!A$2:A$875,B230,'Base bordo CD'!L$2:L$875,"LIMPEZA*"),0)</f>
        <v>0.42805555555555558</v>
      </c>
      <c r="L230" s="10">
        <f>IFERROR(SUMIFS('Base bordo CD'!M$2:M$875,'Base bordo CD'!D$2:D$875,A230,'Base bordo CD'!A$2:A$875,B230,'Base bordo CD'!L$2:L$875,"PATIO - RESERVA"),0)</f>
        <v>0</v>
      </c>
      <c r="M230" s="10">
        <f>IFERROR(SUMIFS('Base bordo CD'!M$2:M$875,'Base bordo CD'!D$2:D$875,A230,'Base bordo CD'!A$2:A$875,B230,'Base bordo CD'!L$2:L$875,"SEM APONTAMENTO"),0)</f>
        <v>7.4722222222222232E-2</v>
      </c>
      <c r="N230" s="10">
        <f>IFERROR(SUMIFS('Base bordo CD'!M$2:M$875,'Base bordo CD'!D$2:D$875,A230,'Base bordo CD'!A$2:A$875,B230,'Base bordo CD'!L$2:L$875,"FALTA DE CAMINHÃO"),0)+IFERROR(SUMIFS('Base bordo CD'!M$2:M$875,'Base bordo CD'!D$2:D$875,A230,'Base bordo CD'!A$2:A$875,B230,'Base bordo CD'!L$2:L$875,"FALTA DE COMBUSTIVEL"),0)+IFERROR(SUMIFS('Base bordo CD'!M$2:M$875,'Base bordo CD'!D$2:D$875,A230,'Base bordo CD'!A$2:A$875,B230,'Base bordo CD'!L$2:L$875,"FALTA DE MOTORIST*"),0)</f>
        <v>0</v>
      </c>
      <c r="O230" s="10">
        <f t="shared" si="20"/>
        <v>1.737777777777783</v>
      </c>
      <c r="P230" s="10">
        <f>IFERROR(SUMIFS('Base bordo CD'!M$2:M$875,'Base bordo CD'!D$2:D$875,A230,'Base bordo CD'!A$2:A$875,B230),0)</f>
        <v>24.000000000000004</v>
      </c>
      <c r="Q230" s="10">
        <f>IFERROR(SUMIFS('Base bordo CD'!O$2:O$875,'Base bordo CD'!D$2:D$875,A230,'Base bordo CD'!A$2:A$875,B230,'Base bordo CD'!L$2:L$875,"CORTE DE CANA MECANIZADO"),0)</f>
        <v>78977.72</v>
      </c>
      <c r="R230" s="10">
        <f>IFERROR(SUMIFS('Base bordo CD'!Q$2:Q$875,'Base bordo CD'!D$2:D$875,A230,'Base bordo CD'!A$2:A$875,B230,'Base bordo CD'!L$2:L$875,"CORTE DE CANA MECANIZADO"),0)</f>
        <v>18082</v>
      </c>
      <c r="S230" s="30">
        <f t="shared" si="21"/>
        <v>4.3677535670832874</v>
      </c>
      <c r="T230" s="9">
        <f t="shared" si="22"/>
        <v>0.20928240740740739</v>
      </c>
      <c r="U230" s="9">
        <f t="shared" si="23"/>
        <v>3.9317129629629619E-2</v>
      </c>
      <c r="V230" s="9">
        <f t="shared" si="24"/>
        <v>0.78063657407407416</v>
      </c>
    </row>
    <row r="231" spans="1:22" hidden="1" x14ac:dyDescent="0.35">
      <c r="A231" s="52">
        <v>49593</v>
      </c>
      <c r="B231" s="31">
        <v>46123</v>
      </c>
      <c r="C231" s="7" t="s">
        <v>321</v>
      </c>
      <c r="D231" s="7">
        <v>351</v>
      </c>
      <c r="E231" s="10">
        <f>IFERROR(SUMIFS('Base bordo CD'!M$2:M$875,'Base bordo CD'!D$2:D$875,A231,'Base bordo CD'!A$2:A$875,B231,'Base bordo CD'!L$2:L$875,"CORTE DE CANA MECANIZADO"),0)</f>
        <v>5.0227777777777778</v>
      </c>
      <c r="F231" s="10">
        <f>IFERROR(SUMIFS('Base bordo CD'!M$2:M$875,'Base bordo CD'!D$2:D$875,A231,'Base bordo CD'!A$2:A$875,B231,'Base bordo CD'!L$2:L$875,"MANOBRA"),0)</f>
        <v>0.94361111111111107</v>
      </c>
      <c r="G231" s="10">
        <f>IFERROR(SUMIFS('Base bordo CD'!M$2:M$875,'Base bordo CD'!D$2:D$875,A231,'Base bordo CD'!A$2:A$875,B231,'Base bordo CD'!L$2:L$875,"DESLOCAMENTO"),0)</f>
        <v>0.24194444444444446</v>
      </c>
      <c r="H231" s="10">
        <f>IFERROR(SUMIFS('Base bordo CD'!M$2:M$875,'Base bordo CD'!D$2:D$875,A231,'Base bordo CD'!A$2:A$875,B231,'Base bordo CD'!L$2:L$875,"AGUARDANDO MANOBRA DE TRANSBORDO"),0)+IFERROR(SUMIFS('Base bordo CD'!M$2:M$875,'Base bordo CD'!D$2:D$875,A231,'Base bordo CD'!A$2:A$875,B231,'Base bordo CD'!L$2:L$875,"FALTA DE TRANSBORDO"),0)</f>
        <v>8.6944444444444435E-2</v>
      </c>
      <c r="I231" s="10">
        <f>IFERROR(SUMIFS('Base bordo CD'!M$2:M$875,'Base bordo CD'!D$2:D$875,A231,'Base bordo CD'!A$2:A$875,B231,'Base bordo CD'!L$2:L$875,"PARADA POR CONDICOES CLIMATICAS"),0)+IFERROR(SUMIFS('Base bordo CD'!M$2:M$875,'Base bordo CD'!D$2:D$875,A231,'Base bordo CD'!A$2:A$875,B231,'Base bordo CD'!L$2:L$875,"TEMPO INDETERMINADO"),0)</f>
        <v>15.464166666666667</v>
      </c>
      <c r="J231" s="10">
        <f>IFERROR(SUMIFS('Base bordo CD'!M$2:M$875,'Base bordo CD'!D$2:D$875,A231,'Base bordo CD'!A$2:A$875,B231,'Base bordo CD'!L$2:L$875,"LIMITAÇÃO INDÚSTRIA"),0)</f>
        <v>0</v>
      </c>
      <c r="K231" s="10">
        <f>IFERROR(SUMIFS('Base bordo CD'!M$2:M$875,'Base bordo CD'!D$2:D$875,A231,'Base bordo CD'!A$2:A$875,B231,'Base bordo CD'!L$2:L$875,"MAN CORRETIVA*"),0)+IFERROR(SUMIFS('Base bordo CD'!M$2:M$875,'Base bordo CD'!D$2:D$875,A231,'Base bordo CD'!A$2:A$875,B231,'Base bordo CD'!L$2:L$875,"AGUARDANDO MANUTENCAO*"),0)+IFERROR(SUMIFS('Base bordo CD'!M$2:M$875,'Base bordo CD'!D$2:D$875,A231,'Base bordo CD'!A$2:A$875,B231,'Base bordo CD'!L$2:L$875,"TROCA DE FAQUINHA"),0)+IFERROR(SUMIFS('Base bordo CD'!M$2:M$875,'Base bordo CD'!D$2:D$875,A231,'Base bordo CD'!A$2:A$875,B231,'Base bordo CD'!L$2:L$875,"LIMPEZA*"),0)</f>
        <v>0.42805555555555558</v>
      </c>
      <c r="L231" s="10">
        <f>IFERROR(SUMIFS('Base bordo CD'!M$2:M$875,'Base bordo CD'!D$2:D$875,A231,'Base bordo CD'!A$2:A$875,B231,'Base bordo CD'!L$2:L$875,"PATIO - RESERVA"),0)</f>
        <v>0</v>
      </c>
      <c r="M231" s="10">
        <f>IFERROR(SUMIFS('Base bordo CD'!M$2:M$875,'Base bordo CD'!D$2:D$875,A231,'Base bordo CD'!A$2:A$875,B231,'Base bordo CD'!L$2:L$875,"SEM APONTAMENTO"),0)</f>
        <v>7.4722222222222232E-2</v>
      </c>
      <c r="N231" s="10">
        <f>IFERROR(SUMIFS('Base bordo CD'!M$2:M$875,'Base bordo CD'!D$2:D$875,A231,'Base bordo CD'!A$2:A$875,B231,'Base bordo CD'!L$2:L$875,"FALTA DE CAMINHÃO"),0)+IFERROR(SUMIFS('Base bordo CD'!M$2:M$875,'Base bordo CD'!D$2:D$875,A231,'Base bordo CD'!A$2:A$875,B231,'Base bordo CD'!L$2:L$875,"FALTA DE COMBUSTIVEL"),0)+IFERROR(SUMIFS('Base bordo CD'!M$2:M$875,'Base bordo CD'!D$2:D$875,A231,'Base bordo CD'!A$2:A$875,B231,'Base bordo CD'!L$2:L$875,"FALTA DE MOTORIST*"),0)</f>
        <v>0</v>
      </c>
      <c r="O231" s="10">
        <f t="shared" si="20"/>
        <v>1.737777777777783</v>
      </c>
      <c r="P231" s="10">
        <f>IFERROR(SUMIFS('Base bordo CD'!M$2:M$875,'Base bordo CD'!D$2:D$875,A231,'Base bordo CD'!A$2:A$875,B231),0)</f>
        <v>24.000000000000004</v>
      </c>
      <c r="Q231" s="10">
        <f>IFERROR(SUMIFS('Base bordo CD'!O$2:O$875,'Base bordo CD'!D$2:D$875,A231,'Base bordo CD'!A$2:A$875,B231,'Base bordo CD'!L$2:L$875,"CORTE DE CANA MECANIZADO"),0)</f>
        <v>78977.72</v>
      </c>
      <c r="R231" s="10">
        <f>IFERROR(SUMIFS('Base bordo CD'!Q$2:Q$875,'Base bordo CD'!D$2:D$875,A231,'Base bordo CD'!A$2:A$875,B231,'Base bordo CD'!L$2:L$875,"CORTE DE CANA MECANIZADO"),0)</f>
        <v>18082</v>
      </c>
      <c r="S231" s="30">
        <f t="shared" si="21"/>
        <v>4.3677535670832874</v>
      </c>
      <c r="T231" s="9">
        <f t="shared" si="22"/>
        <v>0.20928240740740739</v>
      </c>
      <c r="U231" s="9">
        <f t="shared" si="23"/>
        <v>3.9317129629629619E-2</v>
      </c>
      <c r="V231" s="9">
        <f t="shared" si="24"/>
        <v>0.78063657407407416</v>
      </c>
    </row>
    <row r="232" spans="1:22" hidden="1" x14ac:dyDescent="0.35">
      <c r="A232" s="52">
        <v>49593</v>
      </c>
      <c r="B232" s="31">
        <v>46123</v>
      </c>
      <c r="C232" s="7" t="s">
        <v>321</v>
      </c>
      <c r="D232" s="7">
        <v>351</v>
      </c>
      <c r="E232" s="10">
        <f>IFERROR(SUMIFS('Base bordo CD'!M$2:M$875,'Base bordo CD'!D$2:D$875,A232,'Base bordo CD'!A$2:A$875,B232,'Base bordo CD'!L$2:L$875,"CORTE DE CANA MECANIZADO"),0)</f>
        <v>5.0227777777777778</v>
      </c>
      <c r="F232" s="10">
        <f>IFERROR(SUMIFS('Base bordo CD'!M$2:M$875,'Base bordo CD'!D$2:D$875,A232,'Base bordo CD'!A$2:A$875,B232,'Base bordo CD'!L$2:L$875,"MANOBRA"),0)</f>
        <v>0.94361111111111107</v>
      </c>
      <c r="G232" s="10">
        <f>IFERROR(SUMIFS('Base bordo CD'!M$2:M$875,'Base bordo CD'!D$2:D$875,A232,'Base bordo CD'!A$2:A$875,B232,'Base bordo CD'!L$2:L$875,"DESLOCAMENTO"),0)</f>
        <v>0.24194444444444446</v>
      </c>
      <c r="H232" s="10">
        <f>IFERROR(SUMIFS('Base bordo CD'!M$2:M$875,'Base bordo CD'!D$2:D$875,A232,'Base bordo CD'!A$2:A$875,B232,'Base bordo CD'!L$2:L$875,"AGUARDANDO MANOBRA DE TRANSBORDO"),0)+IFERROR(SUMIFS('Base bordo CD'!M$2:M$875,'Base bordo CD'!D$2:D$875,A232,'Base bordo CD'!A$2:A$875,B232,'Base bordo CD'!L$2:L$875,"FALTA DE TRANSBORDO"),0)</f>
        <v>8.6944444444444435E-2</v>
      </c>
      <c r="I232" s="10">
        <f>IFERROR(SUMIFS('Base bordo CD'!M$2:M$875,'Base bordo CD'!D$2:D$875,A232,'Base bordo CD'!A$2:A$875,B232,'Base bordo CD'!L$2:L$875,"PARADA POR CONDICOES CLIMATICAS"),0)+IFERROR(SUMIFS('Base bordo CD'!M$2:M$875,'Base bordo CD'!D$2:D$875,A232,'Base bordo CD'!A$2:A$875,B232,'Base bordo CD'!L$2:L$875,"TEMPO INDETERMINADO"),0)</f>
        <v>15.464166666666667</v>
      </c>
      <c r="J232" s="10">
        <f>IFERROR(SUMIFS('Base bordo CD'!M$2:M$875,'Base bordo CD'!D$2:D$875,A232,'Base bordo CD'!A$2:A$875,B232,'Base bordo CD'!L$2:L$875,"LIMITAÇÃO INDÚSTRIA"),0)</f>
        <v>0</v>
      </c>
      <c r="K232" s="10">
        <f>IFERROR(SUMIFS('Base bordo CD'!M$2:M$875,'Base bordo CD'!D$2:D$875,A232,'Base bordo CD'!A$2:A$875,B232,'Base bordo CD'!L$2:L$875,"MAN CORRETIVA*"),0)+IFERROR(SUMIFS('Base bordo CD'!M$2:M$875,'Base bordo CD'!D$2:D$875,A232,'Base bordo CD'!A$2:A$875,B232,'Base bordo CD'!L$2:L$875,"AGUARDANDO MANUTENCAO*"),0)+IFERROR(SUMIFS('Base bordo CD'!M$2:M$875,'Base bordo CD'!D$2:D$875,A232,'Base bordo CD'!A$2:A$875,B232,'Base bordo CD'!L$2:L$875,"TROCA DE FAQUINHA"),0)+IFERROR(SUMIFS('Base bordo CD'!M$2:M$875,'Base bordo CD'!D$2:D$875,A232,'Base bordo CD'!A$2:A$875,B232,'Base bordo CD'!L$2:L$875,"LIMPEZA*"),0)</f>
        <v>0.42805555555555558</v>
      </c>
      <c r="L232" s="10">
        <f>IFERROR(SUMIFS('Base bordo CD'!M$2:M$875,'Base bordo CD'!D$2:D$875,A232,'Base bordo CD'!A$2:A$875,B232,'Base bordo CD'!L$2:L$875,"PATIO - RESERVA"),0)</f>
        <v>0</v>
      </c>
      <c r="M232" s="10">
        <f>IFERROR(SUMIFS('Base bordo CD'!M$2:M$875,'Base bordo CD'!D$2:D$875,A232,'Base bordo CD'!A$2:A$875,B232,'Base bordo CD'!L$2:L$875,"SEM APONTAMENTO"),0)</f>
        <v>7.4722222222222232E-2</v>
      </c>
      <c r="N232" s="10">
        <f>IFERROR(SUMIFS('Base bordo CD'!M$2:M$875,'Base bordo CD'!D$2:D$875,A232,'Base bordo CD'!A$2:A$875,B232,'Base bordo CD'!L$2:L$875,"FALTA DE CAMINHÃO"),0)+IFERROR(SUMIFS('Base bordo CD'!M$2:M$875,'Base bordo CD'!D$2:D$875,A232,'Base bordo CD'!A$2:A$875,B232,'Base bordo CD'!L$2:L$875,"FALTA DE COMBUSTIVEL"),0)+IFERROR(SUMIFS('Base bordo CD'!M$2:M$875,'Base bordo CD'!D$2:D$875,A232,'Base bordo CD'!A$2:A$875,B232,'Base bordo CD'!L$2:L$875,"FALTA DE MOTORIST*"),0)</f>
        <v>0</v>
      </c>
      <c r="O232" s="10">
        <f t="shared" si="20"/>
        <v>1.737777777777783</v>
      </c>
      <c r="P232" s="10">
        <f>IFERROR(SUMIFS('Base bordo CD'!M$2:M$875,'Base bordo CD'!D$2:D$875,A232,'Base bordo CD'!A$2:A$875,B232),0)</f>
        <v>24.000000000000004</v>
      </c>
      <c r="Q232" s="10">
        <f>IFERROR(SUMIFS('Base bordo CD'!O$2:O$875,'Base bordo CD'!D$2:D$875,A232,'Base bordo CD'!A$2:A$875,B232,'Base bordo CD'!L$2:L$875,"CORTE DE CANA MECANIZADO"),0)</f>
        <v>78977.72</v>
      </c>
      <c r="R232" s="10">
        <f>IFERROR(SUMIFS('Base bordo CD'!Q$2:Q$875,'Base bordo CD'!D$2:D$875,A232,'Base bordo CD'!A$2:A$875,B232,'Base bordo CD'!L$2:L$875,"CORTE DE CANA MECANIZADO"),0)</f>
        <v>18082</v>
      </c>
      <c r="S232" s="30">
        <f t="shared" si="21"/>
        <v>4.3677535670832874</v>
      </c>
      <c r="T232" s="9">
        <f t="shared" si="22"/>
        <v>0.20928240740740739</v>
      </c>
      <c r="U232" s="9">
        <f t="shared" si="23"/>
        <v>3.9317129629629619E-2</v>
      </c>
      <c r="V232" s="9">
        <f t="shared" si="24"/>
        <v>0.78063657407407416</v>
      </c>
    </row>
    <row r="233" spans="1:22" hidden="1" x14ac:dyDescent="0.35">
      <c r="A233" s="52">
        <v>49593</v>
      </c>
      <c r="B233" s="31">
        <v>46123</v>
      </c>
      <c r="C233" s="7" t="s">
        <v>321</v>
      </c>
      <c r="D233" s="7">
        <v>351</v>
      </c>
      <c r="E233" s="10">
        <f>IFERROR(SUMIFS('Base bordo CD'!M$2:M$875,'Base bordo CD'!D$2:D$875,A233,'Base bordo CD'!A$2:A$875,B233,'Base bordo CD'!L$2:L$875,"CORTE DE CANA MECANIZADO"),0)</f>
        <v>5.0227777777777778</v>
      </c>
      <c r="F233" s="10">
        <f>IFERROR(SUMIFS('Base bordo CD'!M$2:M$875,'Base bordo CD'!D$2:D$875,A233,'Base bordo CD'!A$2:A$875,B233,'Base bordo CD'!L$2:L$875,"MANOBRA"),0)</f>
        <v>0.94361111111111107</v>
      </c>
      <c r="G233" s="10">
        <f>IFERROR(SUMIFS('Base bordo CD'!M$2:M$875,'Base bordo CD'!D$2:D$875,A233,'Base bordo CD'!A$2:A$875,B233,'Base bordo CD'!L$2:L$875,"DESLOCAMENTO"),0)</f>
        <v>0.24194444444444446</v>
      </c>
      <c r="H233" s="10">
        <f>IFERROR(SUMIFS('Base bordo CD'!M$2:M$875,'Base bordo CD'!D$2:D$875,A233,'Base bordo CD'!A$2:A$875,B233,'Base bordo CD'!L$2:L$875,"AGUARDANDO MANOBRA DE TRANSBORDO"),0)+IFERROR(SUMIFS('Base bordo CD'!M$2:M$875,'Base bordo CD'!D$2:D$875,A233,'Base bordo CD'!A$2:A$875,B233,'Base bordo CD'!L$2:L$875,"FALTA DE TRANSBORDO"),0)</f>
        <v>8.6944444444444435E-2</v>
      </c>
      <c r="I233" s="10">
        <f>IFERROR(SUMIFS('Base bordo CD'!M$2:M$875,'Base bordo CD'!D$2:D$875,A233,'Base bordo CD'!A$2:A$875,B233,'Base bordo CD'!L$2:L$875,"PARADA POR CONDICOES CLIMATICAS"),0)+IFERROR(SUMIFS('Base bordo CD'!M$2:M$875,'Base bordo CD'!D$2:D$875,A233,'Base bordo CD'!A$2:A$875,B233,'Base bordo CD'!L$2:L$875,"TEMPO INDETERMINADO"),0)</f>
        <v>15.464166666666667</v>
      </c>
      <c r="J233" s="10">
        <f>IFERROR(SUMIFS('Base bordo CD'!M$2:M$875,'Base bordo CD'!D$2:D$875,A233,'Base bordo CD'!A$2:A$875,B233,'Base bordo CD'!L$2:L$875,"LIMITAÇÃO INDÚSTRIA"),0)</f>
        <v>0</v>
      </c>
      <c r="K233" s="10">
        <f>IFERROR(SUMIFS('Base bordo CD'!M$2:M$875,'Base bordo CD'!D$2:D$875,A233,'Base bordo CD'!A$2:A$875,B233,'Base bordo CD'!L$2:L$875,"MAN CORRETIVA*"),0)+IFERROR(SUMIFS('Base bordo CD'!M$2:M$875,'Base bordo CD'!D$2:D$875,A233,'Base bordo CD'!A$2:A$875,B233,'Base bordo CD'!L$2:L$875,"AGUARDANDO MANUTENCAO*"),0)+IFERROR(SUMIFS('Base bordo CD'!M$2:M$875,'Base bordo CD'!D$2:D$875,A233,'Base bordo CD'!A$2:A$875,B233,'Base bordo CD'!L$2:L$875,"TROCA DE FAQUINHA"),0)+IFERROR(SUMIFS('Base bordo CD'!M$2:M$875,'Base bordo CD'!D$2:D$875,A233,'Base bordo CD'!A$2:A$875,B233,'Base bordo CD'!L$2:L$875,"LIMPEZA*"),0)</f>
        <v>0.42805555555555558</v>
      </c>
      <c r="L233" s="10">
        <f>IFERROR(SUMIFS('Base bordo CD'!M$2:M$875,'Base bordo CD'!D$2:D$875,A233,'Base bordo CD'!A$2:A$875,B233,'Base bordo CD'!L$2:L$875,"PATIO - RESERVA"),0)</f>
        <v>0</v>
      </c>
      <c r="M233" s="10">
        <f>IFERROR(SUMIFS('Base bordo CD'!M$2:M$875,'Base bordo CD'!D$2:D$875,A233,'Base bordo CD'!A$2:A$875,B233,'Base bordo CD'!L$2:L$875,"SEM APONTAMENTO"),0)</f>
        <v>7.4722222222222232E-2</v>
      </c>
      <c r="N233" s="10">
        <f>IFERROR(SUMIFS('Base bordo CD'!M$2:M$875,'Base bordo CD'!D$2:D$875,A233,'Base bordo CD'!A$2:A$875,B233,'Base bordo CD'!L$2:L$875,"FALTA DE CAMINHÃO"),0)+IFERROR(SUMIFS('Base bordo CD'!M$2:M$875,'Base bordo CD'!D$2:D$875,A233,'Base bordo CD'!A$2:A$875,B233,'Base bordo CD'!L$2:L$875,"FALTA DE COMBUSTIVEL"),0)+IFERROR(SUMIFS('Base bordo CD'!M$2:M$875,'Base bordo CD'!D$2:D$875,A233,'Base bordo CD'!A$2:A$875,B233,'Base bordo CD'!L$2:L$875,"FALTA DE MOTORIST*"),0)</f>
        <v>0</v>
      </c>
      <c r="O233" s="10">
        <f t="shared" si="20"/>
        <v>1.737777777777783</v>
      </c>
      <c r="P233" s="10">
        <f>IFERROR(SUMIFS('Base bordo CD'!M$2:M$875,'Base bordo CD'!D$2:D$875,A233,'Base bordo CD'!A$2:A$875,B233),0)</f>
        <v>24.000000000000004</v>
      </c>
      <c r="Q233" s="10">
        <f>IFERROR(SUMIFS('Base bordo CD'!O$2:O$875,'Base bordo CD'!D$2:D$875,A233,'Base bordo CD'!A$2:A$875,B233,'Base bordo CD'!L$2:L$875,"CORTE DE CANA MECANIZADO"),0)</f>
        <v>78977.72</v>
      </c>
      <c r="R233" s="10">
        <f>IFERROR(SUMIFS('Base bordo CD'!Q$2:Q$875,'Base bordo CD'!D$2:D$875,A233,'Base bordo CD'!A$2:A$875,B233,'Base bordo CD'!L$2:L$875,"CORTE DE CANA MECANIZADO"),0)</f>
        <v>18082</v>
      </c>
      <c r="S233" s="30">
        <f t="shared" si="21"/>
        <v>4.3677535670832874</v>
      </c>
      <c r="T233" s="9">
        <f t="shared" si="22"/>
        <v>0.20928240740740739</v>
      </c>
      <c r="U233" s="9">
        <f t="shared" si="23"/>
        <v>3.9317129629629619E-2</v>
      </c>
      <c r="V233" s="9">
        <f t="shared" si="24"/>
        <v>0.78063657407407416</v>
      </c>
    </row>
    <row r="234" spans="1:22" hidden="1" x14ac:dyDescent="0.35">
      <c r="A234" s="52">
        <v>49593</v>
      </c>
      <c r="B234" s="31">
        <v>46123</v>
      </c>
      <c r="C234" s="7" t="s">
        <v>321</v>
      </c>
      <c r="D234" s="7">
        <v>351</v>
      </c>
      <c r="E234" s="10">
        <f>IFERROR(SUMIFS('Base bordo CD'!M$2:M$875,'Base bordo CD'!D$2:D$875,A234,'Base bordo CD'!A$2:A$875,B234,'Base bordo CD'!L$2:L$875,"CORTE DE CANA MECANIZADO"),0)</f>
        <v>5.0227777777777778</v>
      </c>
      <c r="F234" s="10">
        <f>IFERROR(SUMIFS('Base bordo CD'!M$2:M$875,'Base bordo CD'!D$2:D$875,A234,'Base bordo CD'!A$2:A$875,B234,'Base bordo CD'!L$2:L$875,"MANOBRA"),0)</f>
        <v>0.94361111111111107</v>
      </c>
      <c r="G234" s="10">
        <f>IFERROR(SUMIFS('Base bordo CD'!M$2:M$875,'Base bordo CD'!D$2:D$875,A234,'Base bordo CD'!A$2:A$875,B234,'Base bordo CD'!L$2:L$875,"DESLOCAMENTO"),0)</f>
        <v>0.24194444444444446</v>
      </c>
      <c r="H234" s="10">
        <f>IFERROR(SUMIFS('Base bordo CD'!M$2:M$875,'Base bordo CD'!D$2:D$875,A234,'Base bordo CD'!A$2:A$875,B234,'Base bordo CD'!L$2:L$875,"AGUARDANDO MANOBRA DE TRANSBORDO"),0)+IFERROR(SUMIFS('Base bordo CD'!M$2:M$875,'Base bordo CD'!D$2:D$875,A234,'Base bordo CD'!A$2:A$875,B234,'Base bordo CD'!L$2:L$875,"FALTA DE TRANSBORDO"),0)</f>
        <v>8.6944444444444435E-2</v>
      </c>
      <c r="I234" s="10">
        <f>IFERROR(SUMIFS('Base bordo CD'!M$2:M$875,'Base bordo CD'!D$2:D$875,A234,'Base bordo CD'!A$2:A$875,B234,'Base bordo CD'!L$2:L$875,"PARADA POR CONDICOES CLIMATICAS"),0)+IFERROR(SUMIFS('Base bordo CD'!M$2:M$875,'Base bordo CD'!D$2:D$875,A234,'Base bordo CD'!A$2:A$875,B234,'Base bordo CD'!L$2:L$875,"TEMPO INDETERMINADO"),0)</f>
        <v>15.464166666666667</v>
      </c>
      <c r="J234" s="10">
        <f>IFERROR(SUMIFS('Base bordo CD'!M$2:M$875,'Base bordo CD'!D$2:D$875,A234,'Base bordo CD'!A$2:A$875,B234,'Base bordo CD'!L$2:L$875,"LIMITAÇÃO INDÚSTRIA"),0)</f>
        <v>0</v>
      </c>
      <c r="K234" s="10">
        <f>IFERROR(SUMIFS('Base bordo CD'!M$2:M$875,'Base bordo CD'!D$2:D$875,A234,'Base bordo CD'!A$2:A$875,B234,'Base bordo CD'!L$2:L$875,"MAN CORRETIVA*"),0)+IFERROR(SUMIFS('Base bordo CD'!M$2:M$875,'Base bordo CD'!D$2:D$875,A234,'Base bordo CD'!A$2:A$875,B234,'Base bordo CD'!L$2:L$875,"AGUARDANDO MANUTENCAO*"),0)+IFERROR(SUMIFS('Base bordo CD'!M$2:M$875,'Base bordo CD'!D$2:D$875,A234,'Base bordo CD'!A$2:A$875,B234,'Base bordo CD'!L$2:L$875,"TROCA DE FAQUINHA"),0)+IFERROR(SUMIFS('Base bordo CD'!M$2:M$875,'Base bordo CD'!D$2:D$875,A234,'Base bordo CD'!A$2:A$875,B234,'Base bordo CD'!L$2:L$875,"LIMPEZA*"),0)</f>
        <v>0.42805555555555558</v>
      </c>
      <c r="L234" s="10">
        <f>IFERROR(SUMIFS('Base bordo CD'!M$2:M$875,'Base bordo CD'!D$2:D$875,A234,'Base bordo CD'!A$2:A$875,B234,'Base bordo CD'!L$2:L$875,"PATIO - RESERVA"),0)</f>
        <v>0</v>
      </c>
      <c r="M234" s="10">
        <f>IFERROR(SUMIFS('Base bordo CD'!M$2:M$875,'Base bordo CD'!D$2:D$875,A234,'Base bordo CD'!A$2:A$875,B234,'Base bordo CD'!L$2:L$875,"SEM APONTAMENTO"),0)</f>
        <v>7.4722222222222232E-2</v>
      </c>
      <c r="N234" s="10">
        <f>IFERROR(SUMIFS('Base bordo CD'!M$2:M$875,'Base bordo CD'!D$2:D$875,A234,'Base bordo CD'!A$2:A$875,B234,'Base bordo CD'!L$2:L$875,"FALTA DE CAMINHÃO"),0)+IFERROR(SUMIFS('Base bordo CD'!M$2:M$875,'Base bordo CD'!D$2:D$875,A234,'Base bordo CD'!A$2:A$875,B234,'Base bordo CD'!L$2:L$875,"FALTA DE COMBUSTIVEL"),0)+IFERROR(SUMIFS('Base bordo CD'!M$2:M$875,'Base bordo CD'!D$2:D$875,A234,'Base bordo CD'!A$2:A$875,B234,'Base bordo CD'!L$2:L$875,"FALTA DE MOTORIST*"),0)</f>
        <v>0</v>
      </c>
      <c r="O234" s="10">
        <f t="shared" si="20"/>
        <v>1.737777777777783</v>
      </c>
      <c r="P234" s="10">
        <f>IFERROR(SUMIFS('Base bordo CD'!M$2:M$875,'Base bordo CD'!D$2:D$875,A234,'Base bordo CD'!A$2:A$875,B234),0)</f>
        <v>24.000000000000004</v>
      </c>
      <c r="Q234" s="10">
        <f>IFERROR(SUMIFS('Base bordo CD'!O$2:O$875,'Base bordo CD'!D$2:D$875,A234,'Base bordo CD'!A$2:A$875,B234,'Base bordo CD'!L$2:L$875,"CORTE DE CANA MECANIZADO"),0)</f>
        <v>78977.72</v>
      </c>
      <c r="R234" s="10">
        <f>IFERROR(SUMIFS('Base bordo CD'!Q$2:Q$875,'Base bordo CD'!D$2:D$875,A234,'Base bordo CD'!A$2:A$875,B234,'Base bordo CD'!L$2:L$875,"CORTE DE CANA MECANIZADO"),0)</f>
        <v>18082</v>
      </c>
      <c r="S234" s="30">
        <f t="shared" si="21"/>
        <v>4.3677535670832874</v>
      </c>
      <c r="T234" s="9">
        <f t="shared" si="22"/>
        <v>0.20928240740740739</v>
      </c>
      <c r="U234" s="9">
        <f t="shared" si="23"/>
        <v>3.9317129629629619E-2</v>
      </c>
      <c r="V234" s="9">
        <f t="shared" si="24"/>
        <v>0.78063657407407416</v>
      </c>
    </row>
    <row r="235" spans="1:22" hidden="1" x14ac:dyDescent="0.35">
      <c r="A235" s="52">
        <v>49593</v>
      </c>
      <c r="B235" s="31">
        <v>46123</v>
      </c>
      <c r="C235" s="7" t="s">
        <v>321</v>
      </c>
      <c r="D235" s="7">
        <v>351</v>
      </c>
      <c r="E235" s="10">
        <f>IFERROR(SUMIFS('Base bordo CD'!M$2:M$875,'Base bordo CD'!D$2:D$875,A235,'Base bordo CD'!A$2:A$875,B235,'Base bordo CD'!L$2:L$875,"CORTE DE CANA MECANIZADO"),0)</f>
        <v>5.0227777777777778</v>
      </c>
      <c r="F235" s="10">
        <f>IFERROR(SUMIFS('Base bordo CD'!M$2:M$875,'Base bordo CD'!D$2:D$875,A235,'Base bordo CD'!A$2:A$875,B235,'Base bordo CD'!L$2:L$875,"MANOBRA"),0)</f>
        <v>0.94361111111111107</v>
      </c>
      <c r="G235" s="10">
        <f>IFERROR(SUMIFS('Base bordo CD'!M$2:M$875,'Base bordo CD'!D$2:D$875,A235,'Base bordo CD'!A$2:A$875,B235,'Base bordo CD'!L$2:L$875,"DESLOCAMENTO"),0)</f>
        <v>0.24194444444444446</v>
      </c>
      <c r="H235" s="10">
        <f>IFERROR(SUMIFS('Base bordo CD'!M$2:M$875,'Base bordo CD'!D$2:D$875,A235,'Base bordo CD'!A$2:A$875,B235,'Base bordo CD'!L$2:L$875,"AGUARDANDO MANOBRA DE TRANSBORDO"),0)+IFERROR(SUMIFS('Base bordo CD'!M$2:M$875,'Base bordo CD'!D$2:D$875,A235,'Base bordo CD'!A$2:A$875,B235,'Base bordo CD'!L$2:L$875,"FALTA DE TRANSBORDO"),0)</f>
        <v>8.6944444444444435E-2</v>
      </c>
      <c r="I235" s="10">
        <f>IFERROR(SUMIFS('Base bordo CD'!M$2:M$875,'Base bordo CD'!D$2:D$875,A235,'Base bordo CD'!A$2:A$875,B235,'Base bordo CD'!L$2:L$875,"PARADA POR CONDICOES CLIMATICAS"),0)+IFERROR(SUMIFS('Base bordo CD'!M$2:M$875,'Base bordo CD'!D$2:D$875,A235,'Base bordo CD'!A$2:A$875,B235,'Base bordo CD'!L$2:L$875,"TEMPO INDETERMINADO"),0)</f>
        <v>15.464166666666667</v>
      </c>
      <c r="J235" s="10">
        <f>IFERROR(SUMIFS('Base bordo CD'!M$2:M$875,'Base bordo CD'!D$2:D$875,A235,'Base bordo CD'!A$2:A$875,B235,'Base bordo CD'!L$2:L$875,"LIMITAÇÃO INDÚSTRIA"),0)</f>
        <v>0</v>
      </c>
      <c r="K235" s="10">
        <f>IFERROR(SUMIFS('Base bordo CD'!M$2:M$875,'Base bordo CD'!D$2:D$875,A235,'Base bordo CD'!A$2:A$875,B235,'Base bordo CD'!L$2:L$875,"MAN CORRETIVA*"),0)+IFERROR(SUMIFS('Base bordo CD'!M$2:M$875,'Base bordo CD'!D$2:D$875,A235,'Base bordo CD'!A$2:A$875,B235,'Base bordo CD'!L$2:L$875,"AGUARDANDO MANUTENCAO*"),0)+IFERROR(SUMIFS('Base bordo CD'!M$2:M$875,'Base bordo CD'!D$2:D$875,A235,'Base bordo CD'!A$2:A$875,B235,'Base bordo CD'!L$2:L$875,"TROCA DE FAQUINHA"),0)+IFERROR(SUMIFS('Base bordo CD'!M$2:M$875,'Base bordo CD'!D$2:D$875,A235,'Base bordo CD'!A$2:A$875,B235,'Base bordo CD'!L$2:L$875,"LIMPEZA*"),0)</f>
        <v>0.42805555555555558</v>
      </c>
      <c r="L235" s="10">
        <f>IFERROR(SUMIFS('Base bordo CD'!M$2:M$875,'Base bordo CD'!D$2:D$875,A235,'Base bordo CD'!A$2:A$875,B235,'Base bordo CD'!L$2:L$875,"PATIO - RESERVA"),0)</f>
        <v>0</v>
      </c>
      <c r="M235" s="10">
        <f>IFERROR(SUMIFS('Base bordo CD'!M$2:M$875,'Base bordo CD'!D$2:D$875,A235,'Base bordo CD'!A$2:A$875,B235,'Base bordo CD'!L$2:L$875,"SEM APONTAMENTO"),0)</f>
        <v>7.4722222222222232E-2</v>
      </c>
      <c r="N235" s="10">
        <f>IFERROR(SUMIFS('Base bordo CD'!M$2:M$875,'Base bordo CD'!D$2:D$875,A235,'Base bordo CD'!A$2:A$875,B235,'Base bordo CD'!L$2:L$875,"FALTA DE CAMINHÃO"),0)+IFERROR(SUMIFS('Base bordo CD'!M$2:M$875,'Base bordo CD'!D$2:D$875,A235,'Base bordo CD'!A$2:A$875,B235,'Base bordo CD'!L$2:L$875,"FALTA DE COMBUSTIVEL"),0)+IFERROR(SUMIFS('Base bordo CD'!M$2:M$875,'Base bordo CD'!D$2:D$875,A235,'Base bordo CD'!A$2:A$875,B235,'Base bordo CD'!L$2:L$875,"FALTA DE MOTORIST*"),0)</f>
        <v>0</v>
      </c>
      <c r="O235" s="10">
        <f t="shared" si="20"/>
        <v>1.737777777777783</v>
      </c>
      <c r="P235" s="10">
        <f>IFERROR(SUMIFS('Base bordo CD'!M$2:M$875,'Base bordo CD'!D$2:D$875,A235,'Base bordo CD'!A$2:A$875,B235),0)</f>
        <v>24.000000000000004</v>
      </c>
      <c r="Q235" s="10">
        <f>IFERROR(SUMIFS('Base bordo CD'!O$2:O$875,'Base bordo CD'!D$2:D$875,A235,'Base bordo CD'!A$2:A$875,B235,'Base bordo CD'!L$2:L$875,"CORTE DE CANA MECANIZADO"),0)</f>
        <v>78977.72</v>
      </c>
      <c r="R235" s="10">
        <f>IFERROR(SUMIFS('Base bordo CD'!Q$2:Q$875,'Base bordo CD'!D$2:D$875,A235,'Base bordo CD'!A$2:A$875,B235,'Base bordo CD'!L$2:L$875,"CORTE DE CANA MECANIZADO"),0)</f>
        <v>18082</v>
      </c>
      <c r="S235" s="30">
        <f t="shared" si="21"/>
        <v>4.3677535670832874</v>
      </c>
      <c r="T235" s="9">
        <f t="shared" si="22"/>
        <v>0.20928240740740739</v>
      </c>
      <c r="U235" s="9">
        <f t="shared" si="23"/>
        <v>3.9317129629629619E-2</v>
      </c>
      <c r="V235" s="9">
        <f t="shared" si="24"/>
        <v>0.78063657407407416</v>
      </c>
    </row>
    <row r="236" spans="1:22" hidden="1" x14ac:dyDescent="0.35">
      <c r="A236" s="52">
        <v>49593</v>
      </c>
      <c r="B236" s="31">
        <v>46123</v>
      </c>
      <c r="C236" s="7" t="s">
        <v>321</v>
      </c>
      <c r="D236" s="7">
        <v>351</v>
      </c>
      <c r="E236" s="10">
        <f>IFERROR(SUMIFS('Base bordo CD'!M$2:M$875,'Base bordo CD'!D$2:D$875,A236,'Base bordo CD'!A$2:A$875,B236,'Base bordo CD'!L$2:L$875,"CORTE DE CANA MECANIZADO"),0)</f>
        <v>5.0227777777777778</v>
      </c>
      <c r="F236" s="10">
        <f>IFERROR(SUMIFS('Base bordo CD'!M$2:M$875,'Base bordo CD'!D$2:D$875,A236,'Base bordo CD'!A$2:A$875,B236,'Base bordo CD'!L$2:L$875,"MANOBRA"),0)</f>
        <v>0.94361111111111107</v>
      </c>
      <c r="G236" s="10">
        <f>IFERROR(SUMIFS('Base bordo CD'!M$2:M$875,'Base bordo CD'!D$2:D$875,A236,'Base bordo CD'!A$2:A$875,B236,'Base bordo CD'!L$2:L$875,"DESLOCAMENTO"),0)</f>
        <v>0.24194444444444446</v>
      </c>
      <c r="H236" s="10">
        <f>IFERROR(SUMIFS('Base bordo CD'!M$2:M$875,'Base bordo CD'!D$2:D$875,A236,'Base bordo CD'!A$2:A$875,B236,'Base bordo CD'!L$2:L$875,"AGUARDANDO MANOBRA DE TRANSBORDO"),0)+IFERROR(SUMIFS('Base bordo CD'!M$2:M$875,'Base bordo CD'!D$2:D$875,A236,'Base bordo CD'!A$2:A$875,B236,'Base bordo CD'!L$2:L$875,"FALTA DE TRANSBORDO"),0)</f>
        <v>8.6944444444444435E-2</v>
      </c>
      <c r="I236" s="10">
        <f>IFERROR(SUMIFS('Base bordo CD'!M$2:M$875,'Base bordo CD'!D$2:D$875,A236,'Base bordo CD'!A$2:A$875,B236,'Base bordo CD'!L$2:L$875,"PARADA POR CONDICOES CLIMATICAS"),0)+IFERROR(SUMIFS('Base bordo CD'!M$2:M$875,'Base bordo CD'!D$2:D$875,A236,'Base bordo CD'!A$2:A$875,B236,'Base bordo CD'!L$2:L$875,"TEMPO INDETERMINADO"),0)</f>
        <v>15.464166666666667</v>
      </c>
      <c r="J236" s="10">
        <f>IFERROR(SUMIFS('Base bordo CD'!M$2:M$875,'Base bordo CD'!D$2:D$875,A236,'Base bordo CD'!A$2:A$875,B236,'Base bordo CD'!L$2:L$875,"LIMITAÇÃO INDÚSTRIA"),0)</f>
        <v>0</v>
      </c>
      <c r="K236" s="10">
        <f>IFERROR(SUMIFS('Base bordo CD'!M$2:M$875,'Base bordo CD'!D$2:D$875,A236,'Base bordo CD'!A$2:A$875,B236,'Base bordo CD'!L$2:L$875,"MAN CORRETIVA*"),0)+IFERROR(SUMIFS('Base bordo CD'!M$2:M$875,'Base bordo CD'!D$2:D$875,A236,'Base bordo CD'!A$2:A$875,B236,'Base bordo CD'!L$2:L$875,"AGUARDANDO MANUTENCAO*"),0)+IFERROR(SUMIFS('Base bordo CD'!M$2:M$875,'Base bordo CD'!D$2:D$875,A236,'Base bordo CD'!A$2:A$875,B236,'Base bordo CD'!L$2:L$875,"TROCA DE FAQUINHA"),0)+IFERROR(SUMIFS('Base bordo CD'!M$2:M$875,'Base bordo CD'!D$2:D$875,A236,'Base bordo CD'!A$2:A$875,B236,'Base bordo CD'!L$2:L$875,"LIMPEZA*"),0)</f>
        <v>0.42805555555555558</v>
      </c>
      <c r="L236" s="10">
        <f>IFERROR(SUMIFS('Base bordo CD'!M$2:M$875,'Base bordo CD'!D$2:D$875,A236,'Base bordo CD'!A$2:A$875,B236,'Base bordo CD'!L$2:L$875,"PATIO - RESERVA"),0)</f>
        <v>0</v>
      </c>
      <c r="M236" s="10">
        <f>IFERROR(SUMIFS('Base bordo CD'!M$2:M$875,'Base bordo CD'!D$2:D$875,A236,'Base bordo CD'!A$2:A$875,B236,'Base bordo CD'!L$2:L$875,"SEM APONTAMENTO"),0)</f>
        <v>7.4722222222222232E-2</v>
      </c>
      <c r="N236" s="10">
        <f>IFERROR(SUMIFS('Base bordo CD'!M$2:M$875,'Base bordo CD'!D$2:D$875,A236,'Base bordo CD'!A$2:A$875,B236,'Base bordo CD'!L$2:L$875,"FALTA DE CAMINHÃO"),0)+IFERROR(SUMIFS('Base bordo CD'!M$2:M$875,'Base bordo CD'!D$2:D$875,A236,'Base bordo CD'!A$2:A$875,B236,'Base bordo CD'!L$2:L$875,"FALTA DE COMBUSTIVEL"),0)+IFERROR(SUMIFS('Base bordo CD'!M$2:M$875,'Base bordo CD'!D$2:D$875,A236,'Base bordo CD'!A$2:A$875,B236,'Base bordo CD'!L$2:L$875,"FALTA DE MOTORIST*"),0)</f>
        <v>0</v>
      </c>
      <c r="O236" s="10">
        <f t="shared" si="20"/>
        <v>1.737777777777783</v>
      </c>
      <c r="P236" s="10">
        <f>IFERROR(SUMIFS('Base bordo CD'!M$2:M$875,'Base bordo CD'!D$2:D$875,A236,'Base bordo CD'!A$2:A$875,B236),0)</f>
        <v>24.000000000000004</v>
      </c>
      <c r="Q236" s="10">
        <f>IFERROR(SUMIFS('Base bordo CD'!O$2:O$875,'Base bordo CD'!D$2:D$875,A236,'Base bordo CD'!A$2:A$875,B236,'Base bordo CD'!L$2:L$875,"CORTE DE CANA MECANIZADO"),0)</f>
        <v>78977.72</v>
      </c>
      <c r="R236" s="10">
        <f>IFERROR(SUMIFS('Base bordo CD'!Q$2:Q$875,'Base bordo CD'!D$2:D$875,A236,'Base bordo CD'!A$2:A$875,B236,'Base bordo CD'!L$2:L$875,"CORTE DE CANA MECANIZADO"),0)</f>
        <v>18082</v>
      </c>
      <c r="S236" s="30">
        <f t="shared" si="21"/>
        <v>4.3677535670832874</v>
      </c>
      <c r="T236" s="9">
        <f t="shared" si="22"/>
        <v>0.20928240740740739</v>
      </c>
      <c r="U236" s="9">
        <f t="shared" si="23"/>
        <v>3.9317129629629619E-2</v>
      </c>
      <c r="V236" s="9">
        <f t="shared" si="24"/>
        <v>0.78063657407407416</v>
      </c>
    </row>
    <row r="237" spans="1:22" hidden="1" x14ac:dyDescent="0.35">
      <c r="A237" s="52">
        <v>49593</v>
      </c>
      <c r="B237" s="31">
        <v>46123</v>
      </c>
      <c r="C237" s="7" t="s">
        <v>321</v>
      </c>
      <c r="D237" s="7">
        <v>351</v>
      </c>
      <c r="E237" s="10">
        <f>IFERROR(SUMIFS('Base bordo CD'!M$2:M$875,'Base bordo CD'!D$2:D$875,A237,'Base bordo CD'!A$2:A$875,B237,'Base bordo CD'!L$2:L$875,"CORTE DE CANA MECANIZADO"),0)</f>
        <v>5.0227777777777778</v>
      </c>
      <c r="F237" s="10">
        <f>IFERROR(SUMIFS('Base bordo CD'!M$2:M$875,'Base bordo CD'!D$2:D$875,A237,'Base bordo CD'!A$2:A$875,B237,'Base bordo CD'!L$2:L$875,"MANOBRA"),0)</f>
        <v>0.94361111111111107</v>
      </c>
      <c r="G237" s="10">
        <f>IFERROR(SUMIFS('Base bordo CD'!M$2:M$875,'Base bordo CD'!D$2:D$875,A237,'Base bordo CD'!A$2:A$875,B237,'Base bordo CD'!L$2:L$875,"DESLOCAMENTO"),0)</f>
        <v>0.24194444444444446</v>
      </c>
      <c r="H237" s="10">
        <f>IFERROR(SUMIFS('Base bordo CD'!M$2:M$875,'Base bordo CD'!D$2:D$875,A237,'Base bordo CD'!A$2:A$875,B237,'Base bordo CD'!L$2:L$875,"AGUARDANDO MANOBRA DE TRANSBORDO"),0)+IFERROR(SUMIFS('Base bordo CD'!M$2:M$875,'Base bordo CD'!D$2:D$875,A237,'Base bordo CD'!A$2:A$875,B237,'Base bordo CD'!L$2:L$875,"FALTA DE TRANSBORDO"),0)</f>
        <v>8.6944444444444435E-2</v>
      </c>
      <c r="I237" s="10">
        <f>IFERROR(SUMIFS('Base bordo CD'!M$2:M$875,'Base bordo CD'!D$2:D$875,A237,'Base bordo CD'!A$2:A$875,B237,'Base bordo CD'!L$2:L$875,"PARADA POR CONDICOES CLIMATICAS"),0)+IFERROR(SUMIFS('Base bordo CD'!M$2:M$875,'Base bordo CD'!D$2:D$875,A237,'Base bordo CD'!A$2:A$875,B237,'Base bordo CD'!L$2:L$875,"TEMPO INDETERMINADO"),0)</f>
        <v>15.464166666666667</v>
      </c>
      <c r="J237" s="10">
        <f>IFERROR(SUMIFS('Base bordo CD'!M$2:M$875,'Base bordo CD'!D$2:D$875,A237,'Base bordo CD'!A$2:A$875,B237,'Base bordo CD'!L$2:L$875,"LIMITAÇÃO INDÚSTRIA"),0)</f>
        <v>0</v>
      </c>
      <c r="K237" s="10">
        <f>IFERROR(SUMIFS('Base bordo CD'!M$2:M$875,'Base bordo CD'!D$2:D$875,A237,'Base bordo CD'!A$2:A$875,B237,'Base bordo CD'!L$2:L$875,"MAN CORRETIVA*"),0)+IFERROR(SUMIFS('Base bordo CD'!M$2:M$875,'Base bordo CD'!D$2:D$875,A237,'Base bordo CD'!A$2:A$875,B237,'Base bordo CD'!L$2:L$875,"AGUARDANDO MANUTENCAO*"),0)+IFERROR(SUMIFS('Base bordo CD'!M$2:M$875,'Base bordo CD'!D$2:D$875,A237,'Base bordo CD'!A$2:A$875,B237,'Base bordo CD'!L$2:L$875,"TROCA DE FAQUINHA"),0)+IFERROR(SUMIFS('Base bordo CD'!M$2:M$875,'Base bordo CD'!D$2:D$875,A237,'Base bordo CD'!A$2:A$875,B237,'Base bordo CD'!L$2:L$875,"LIMPEZA*"),0)</f>
        <v>0.42805555555555558</v>
      </c>
      <c r="L237" s="10">
        <f>IFERROR(SUMIFS('Base bordo CD'!M$2:M$875,'Base bordo CD'!D$2:D$875,A237,'Base bordo CD'!A$2:A$875,B237,'Base bordo CD'!L$2:L$875,"PATIO - RESERVA"),0)</f>
        <v>0</v>
      </c>
      <c r="M237" s="10">
        <f>IFERROR(SUMIFS('Base bordo CD'!M$2:M$875,'Base bordo CD'!D$2:D$875,A237,'Base bordo CD'!A$2:A$875,B237,'Base bordo CD'!L$2:L$875,"SEM APONTAMENTO"),0)</f>
        <v>7.4722222222222232E-2</v>
      </c>
      <c r="N237" s="10">
        <f>IFERROR(SUMIFS('Base bordo CD'!M$2:M$875,'Base bordo CD'!D$2:D$875,A237,'Base bordo CD'!A$2:A$875,B237,'Base bordo CD'!L$2:L$875,"FALTA DE CAMINHÃO"),0)+IFERROR(SUMIFS('Base bordo CD'!M$2:M$875,'Base bordo CD'!D$2:D$875,A237,'Base bordo CD'!A$2:A$875,B237,'Base bordo CD'!L$2:L$875,"FALTA DE COMBUSTIVEL"),0)+IFERROR(SUMIFS('Base bordo CD'!M$2:M$875,'Base bordo CD'!D$2:D$875,A237,'Base bordo CD'!A$2:A$875,B237,'Base bordo CD'!L$2:L$875,"FALTA DE MOTORIST*"),0)</f>
        <v>0</v>
      </c>
      <c r="O237" s="10">
        <f t="shared" si="20"/>
        <v>1.737777777777783</v>
      </c>
      <c r="P237" s="10">
        <f>IFERROR(SUMIFS('Base bordo CD'!M$2:M$875,'Base bordo CD'!D$2:D$875,A237,'Base bordo CD'!A$2:A$875,B237),0)</f>
        <v>24.000000000000004</v>
      </c>
      <c r="Q237" s="10">
        <f>IFERROR(SUMIFS('Base bordo CD'!O$2:O$875,'Base bordo CD'!D$2:D$875,A237,'Base bordo CD'!A$2:A$875,B237,'Base bordo CD'!L$2:L$875,"CORTE DE CANA MECANIZADO"),0)</f>
        <v>78977.72</v>
      </c>
      <c r="R237" s="10">
        <f>IFERROR(SUMIFS('Base bordo CD'!Q$2:Q$875,'Base bordo CD'!D$2:D$875,A237,'Base bordo CD'!A$2:A$875,B237,'Base bordo CD'!L$2:L$875,"CORTE DE CANA MECANIZADO"),0)</f>
        <v>18082</v>
      </c>
      <c r="S237" s="30">
        <f t="shared" si="21"/>
        <v>4.3677535670832874</v>
      </c>
      <c r="T237" s="9">
        <f t="shared" si="22"/>
        <v>0.20928240740740739</v>
      </c>
      <c r="U237" s="9">
        <f t="shared" si="23"/>
        <v>3.9317129629629619E-2</v>
      </c>
      <c r="V237" s="9">
        <f t="shared" si="24"/>
        <v>0.78063657407407416</v>
      </c>
    </row>
    <row r="238" spans="1:22" hidden="1" x14ac:dyDescent="0.35">
      <c r="A238" s="52">
        <v>49593</v>
      </c>
      <c r="B238" s="31">
        <v>46123</v>
      </c>
      <c r="C238" s="7" t="s">
        <v>321</v>
      </c>
      <c r="D238" s="7">
        <v>351</v>
      </c>
      <c r="E238" s="10">
        <f>IFERROR(SUMIFS('Base bordo CD'!M$2:M$875,'Base bordo CD'!D$2:D$875,A238,'Base bordo CD'!A$2:A$875,B238,'Base bordo CD'!L$2:L$875,"CORTE DE CANA MECANIZADO"),0)</f>
        <v>5.0227777777777778</v>
      </c>
      <c r="F238" s="10">
        <f>IFERROR(SUMIFS('Base bordo CD'!M$2:M$875,'Base bordo CD'!D$2:D$875,A238,'Base bordo CD'!A$2:A$875,B238,'Base bordo CD'!L$2:L$875,"MANOBRA"),0)</f>
        <v>0.94361111111111107</v>
      </c>
      <c r="G238" s="10">
        <f>IFERROR(SUMIFS('Base bordo CD'!M$2:M$875,'Base bordo CD'!D$2:D$875,A238,'Base bordo CD'!A$2:A$875,B238,'Base bordo CD'!L$2:L$875,"DESLOCAMENTO"),0)</f>
        <v>0.24194444444444446</v>
      </c>
      <c r="H238" s="10">
        <f>IFERROR(SUMIFS('Base bordo CD'!M$2:M$875,'Base bordo CD'!D$2:D$875,A238,'Base bordo CD'!A$2:A$875,B238,'Base bordo CD'!L$2:L$875,"AGUARDANDO MANOBRA DE TRANSBORDO"),0)+IFERROR(SUMIFS('Base bordo CD'!M$2:M$875,'Base bordo CD'!D$2:D$875,A238,'Base bordo CD'!A$2:A$875,B238,'Base bordo CD'!L$2:L$875,"FALTA DE TRANSBORDO"),0)</f>
        <v>8.6944444444444435E-2</v>
      </c>
      <c r="I238" s="10">
        <f>IFERROR(SUMIFS('Base bordo CD'!M$2:M$875,'Base bordo CD'!D$2:D$875,A238,'Base bordo CD'!A$2:A$875,B238,'Base bordo CD'!L$2:L$875,"PARADA POR CONDICOES CLIMATICAS"),0)+IFERROR(SUMIFS('Base bordo CD'!M$2:M$875,'Base bordo CD'!D$2:D$875,A238,'Base bordo CD'!A$2:A$875,B238,'Base bordo CD'!L$2:L$875,"TEMPO INDETERMINADO"),0)</f>
        <v>15.464166666666667</v>
      </c>
      <c r="J238" s="10">
        <f>IFERROR(SUMIFS('Base bordo CD'!M$2:M$875,'Base bordo CD'!D$2:D$875,A238,'Base bordo CD'!A$2:A$875,B238,'Base bordo CD'!L$2:L$875,"LIMITAÇÃO INDÚSTRIA"),0)</f>
        <v>0</v>
      </c>
      <c r="K238" s="10">
        <f>IFERROR(SUMIFS('Base bordo CD'!M$2:M$875,'Base bordo CD'!D$2:D$875,A238,'Base bordo CD'!A$2:A$875,B238,'Base bordo CD'!L$2:L$875,"MAN CORRETIVA*"),0)+IFERROR(SUMIFS('Base bordo CD'!M$2:M$875,'Base bordo CD'!D$2:D$875,A238,'Base bordo CD'!A$2:A$875,B238,'Base bordo CD'!L$2:L$875,"AGUARDANDO MANUTENCAO*"),0)+IFERROR(SUMIFS('Base bordo CD'!M$2:M$875,'Base bordo CD'!D$2:D$875,A238,'Base bordo CD'!A$2:A$875,B238,'Base bordo CD'!L$2:L$875,"TROCA DE FAQUINHA"),0)+IFERROR(SUMIFS('Base bordo CD'!M$2:M$875,'Base bordo CD'!D$2:D$875,A238,'Base bordo CD'!A$2:A$875,B238,'Base bordo CD'!L$2:L$875,"LIMPEZA*"),0)</f>
        <v>0.42805555555555558</v>
      </c>
      <c r="L238" s="10">
        <f>IFERROR(SUMIFS('Base bordo CD'!M$2:M$875,'Base bordo CD'!D$2:D$875,A238,'Base bordo CD'!A$2:A$875,B238,'Base bordo CD'!L$2:L$875,"PATIO - RESERVA"),0)</f>
        <v>0</v>
      </c>
      <c r="M238" s="10">
        <f>IFERROR(SUMIFS('Base bordo CD'!M$2:M$875,'Base bordo CD'!D$2:D$875,A238,'Base bordo CD'!A$2:A$875,B238,'Base bordo CD'!L$2:L$875,"SEM APONTAMENTO"),0)</f>
        <v>7.4722222222222232E-2</v>
      </c>
      <c r="N238" s="10">
        <f>IFERROR(SUMIFS('Base bordo CD'!M$2:M$875,'Base bordo CD'!D$2:D$875,A238,'Base bordo CD'!A$2:A$875,B238,'Base bordo CD'!L$2:L$875,"FALTA DE CAMINHÃO"),0)+IFERROR(SUMIFS('Base bordo CD'!M$2:M$875,'Base bordo CD'!D$2:D$875,A238,'Base bordo CD'!A$2:A$875,B238,'Base bordo CD'!L$2:L$875,"FALTA DE COMBUSTIVEL"),0)+IFERROR(SUMIFS('Base bordo CD'!M$2:M$875,'Base bordo CD'!D$2:D$875,A238,'Base bordo CD'!A$2:A$875,B238,'Base bordo CD'!L$2:L$875,"FALTA DE MOTORIST*"),0)</f>
        <v>0</v>
      </c>
      <c r="O238" s="10">
        <f t="shared" si="20"/>
        <v>1.737777777777783</v>
      </c>
      <c r="P238" s="10">
        <f>IFERROR(SUMIFS('Base bordo CD'!M$2:M$875,'Base bordo CD'!D$2:D$875,A238,'Base bordo CD'!A$2:A$875,B238),0)</f>
        <v>24.000000000000004</v>
      </c>
      <c r="Q238" s="10">
        <f>IFERROR(SUMIFS('Base bordo CD'!O$2:O$875,'Base bordo CD'!D$2:D$875,A238,'Base bordo CD'!A$2:A$875,B238,'Base bordo CD'!L$2:L$875,"CORTE DE CANA MECANIZADO"),0)</f>
        <v>78977.72</v>
      </c>
      <c r="R238" s="10">
        <f>IFERROR(SUMIFS('Base bordo CD'!Q$2:Q$875,'Base bordo CD'!D$2:D$875,A238,'Base bordo CD'!A$2:A$875,B238,'Base bordo CD'!L$2:L$875,"CORTE DE CANA MECANIZADO"),0)</f>
        <v>18082</v>
      </c>
      <c r="S238" s="30">
        <f t="shared" si="21"/>
        <v>4.3677535670832874</v>
      </c>
      <c r="T238" s="9">
        <f t="shared" si="22"/>
        <v>0.20928240740740739</v>
      </c>
      <c r="U238" s="9">
        <f t="shared" si="23"/>
        <v>3.9317129629629619E-2</v>
      </c>
      <c r="V238" s="9">
        <f t="shared" si="24"/>
        <v>0.78063657407407416</v>
      </c>
    </row>
    <row r="239" spans="1:22" hidden="1" x14ac:dyDescent="0.35">
      <c r="A239" s="52">
        <v>49593</v>
      </c>
      <c r="B239" s="31">
        <v>46123</v>
      </c>
      <c r="C239" s="7" t="s">
        <v>321</v>
      </c>
      <c r="D239" s="7">
        <v>351</v>
      </c>
      <c r="E239" s="10">
        <f>IFERROR(SUMIFS('Base bordo CD'!M$2:M$875,'Base bordo CD'!D$2:D$875,A239,'Base bordo CD'!A$2:A$875,B239,'Base bordo CD'!L$2:L$875,"CORTE DE CANA MECANIZADO"),0)</f>
        <v>5.0227777777777778</v>
      </c>
      <c r="F239" s="10">
        <f>IFERROR(SUMIFS('Base bordo CD'!M$2:M$875,'Base bordo CD'!D$2:D$875,A239,'Base bordo CD'!A$2:A$875,B239,'Base bordo CD'!L$2:L$875,"MANOBRA"),0)</f>
        <v>0.94361111111111107</v>
      </c>
      <c r="G239" s="10">
        <f>IFERROR(SUMIFS('Base bordo CD'!M$2:M$875,'Base bordo CD'!D$2:D$875,A239,'Base bordo CD'!A$2:A$875,B239,'Base bordo CD'!L$2:L$875,"DESLOCAMENTO"),0)</f>
        <v>0.24194444444444446</v>
      </c>
      <c r="H239" s="10">
        <f>IFERROR(SUMIFS('Base bordo CD'!M$2:M$875,'Base bordo CD'!D$2:D$875,A239,'Base bordo CD'!A$2:A$875,B239,'Base bordo CD'!L$2:L$875,"AGUARDANDO MANOBRA DE TRANSBORDO"),0)+IFERROR(SUMIFS('Base bordo CD'!M$2:M$875,'Base bordo CD'!D$2:D$875,A239,'Base bordo CD'!A$2:A$875,B239,'Base bordo CD'!L$2:L$875,"FALTA DE TRANSBORDO"),0)</f>
        <v>8.6944444444444435E-2</v>
      </c>
      <c r="I239" s="10">
        <f>IFERROR(SUMIFS('Base bordo CD'!M$2:M$875,'Base bordo CD'!D$2:D$875,A239,'Base bordo CD'!A$2:A$875,B239,'Base bordo CD'!L$2:L$875,"PARADA POR CONDICOES CLIMATICAS"),0)+IFERROR(SUMIFS('Base bordo CD'!M$2:M$875,'Base bordo CD'!D$2:D$875,A239,'Base bordo CD'!A$2:A$875,B239,'Base bordo CD'!L$2:L$875,"TEMPO INDETERMINADO"),0)</f>
        <v>15.464166666666667</v>
      </c>
      <c r="J239" s="10">
        <f>IFERROR(SUMIFS('Base bordo CD'!M$2:M$875,'Base bordo CD'!D$2:D$875,A239,'Base bordo CD'!A$2:A$875,B239,'Base bordo CD'!L$2:L$875,"LIMITAÇÃO INDÚSTRIA"),0)</f>
        <v>0</v>
      </c>
      <c r="K239" s="10">
        <f>IFERROR(SUMIFS('Base bordo CD'!M$2:M$875,'Base bordo CD'!D$2:D$875,A239,'Base bordo CD'!A$2:A$875,B239,'Base bordo CD'!L$2:L$875,"MAN CORRETIVA*"),0)+IFERROR(SUMIFS('Base bordo CD'!M$2:M$875,'Base bordo CD'!D$2:D$875,A239,'Base bordo CD'!A$2:A$875,B239,'Base bordo CD'!L$2:L$875,"AGUARDANDO MANUTENCAO*"),0)+IFERROR(SUMIFS('Base bordo CD'!M$2:M$875,'Base bordo CD'!D$2:D$875,A239,'Base bordo CD'!A$2:A$875,B239,'Base bordo CD'!L$2:L$875,"TROCA DE FAQUINHA"),0)+IFERROR(SUMIFS('Base bordo CD'!M$2:M$875,'Base bordo CD'!D$2:D$875,A239,'Base bordo CD'!A$2:A$875,B239,'Base bordo CD'!L$2:L$875,"LIMPEZA*"),0)</f>
        <v>0.42805555555555558</v>
      </c>
      <c r="L239" s="10">
        <f>IFERROR(SUMIFS('Base bordo CD'!M$2:M$875,'Base bordo CD'!D$2:D$875,A239,'Base bordo CD'!A$2:A$875,B239,'Base bordo CD'!L$2:L$875,"PATIO - RESERVA"),0)</f>
        <v>0</v>
      </c>
      <c r="M239" s="10">
        <f>IFERROR(SUMIFS('Base bordo CD'!M$2:M$875,'Base bordo CD'!D$2:D$875,A239,'Base bordo CD'!A$2:A$875,B239,'Base bordo CD'!L$2:L$875,"SEM APONTAMENTO"),0)</f>
        <v>7.4722222222222232E-2</v>
      </c>
      <c r="N239" s="10">
        <f>IFERROR(SUMIFS('Base bordo CD'!M$2:M$875,'Base bordo CD'!D$2:D$875,A239,'Base bordo CD'!A$2:A$875,B239,'Base bordo CD'!L$2:L$875,"FALTA DE CAMINHÃO"),0)+IFERROR(SUMIFS('Base bordo CD'!M$2:M$875,'Base bordo CD'!D$2:D$875,A239,'Base bordo CD'!A$2:A$875,B239,'Base bordo CD'!L$2:L$875,"FALTA DE COMBUSTIVEL"),0)+IFERROR(SUMIFS('Base bordo CD'!M$2:M$875,'Base bordo CD'!D$2:D$875,A239,'Base bordo CD'!A$2:A$875,B239,'Base bordo CD'!L$2:L$875,"FALTA DE MOTORIST*"),0)</f>
        <v>0</v>
      </c>
      <c r="O239" s="10">
        <f t="shared" si="20"/>
        <v>1.737777777777783</v>
      </c>
      <c r="P239" s="10">
        <f>IFERROR(SUMIFS('Base bordo CD'!M$2:M$875,'Base bordo CD'!D$2:D$875,A239,'Base bordo CD'!A$2:A$875,B239),0)</f>
        <v>24.000000000000004</v>
      </c>
      <c r="Q239" s="10">
        <f>IFERROR(SUMIFS('Base bordo CD'!O$2:O$875,'Base bordo CD'!D$2:D$875,A239,'Base bordo CD'!A$2:A$875,B239,'Base bordo CD'!L$2:L$875,"CORTE DE CANA MECANIZADO"),0)</f>
        <v>78977.72</v>
      </c>
      <c r="R239" s="10">
        <f>IFERROR(SUMIFS('Base bordo CD'!Q$2:Q$875,'Base bordo CD'!D$2:D$875,A239,'Base bordo CD'!A$2:A$875,B239,'Base bordo CD'!L$2:L$875,"CORTE DE CANA MECANIZADO"),0)</f>
        <v>18082</v>
      </c>
      <c r="S239" s="30">
        <f t="shared" si="21"/>
        <v>4.3677535670832874</v>
      </c>
      <c r="T239" s="9">
        <f t="shared" si="22"/>
        <v>0.20928240740740739</v>
      </c>
      <c r="U239" s="9">
        <f t="shared" si="23"/>
        <v>3.9317129629629619E-2</v>
      </c>
      <c r="V239" s="9">
        <f t="shared" si="24"/>
        <v>0.78063657407407416</v>
      </c>
    </row>
    <row r="240" spans="1:22" hidden="1" x14ac:dyDescent="0.35">
      <c r="A240" s="52">
        <v>49593</v>
      </c>
      <c r="B240" s="31">
        <v>46123</v>
      </c>
      <c r="C240" s="7" t="s">
        <v>321</v>
      </c>
      <c r="D240" s="7">
        <v>351</v>
      </c>
      <c r="E240" s="10">
        <f>IFERROR(SUMIFS('Base bordo CD'!M$2:M$875,'Base bordo CD'!D$2:D$875,A240,'Base bordo CD'!A$2:A$875,B240,'Base bordo CD'!L$2:L$875,"CORTE DE CANA MECANIZADO"),0)</f>
        <v>5.0227777777777778</v>
      </c>
      <c r="F240" s="10">
        <f>IFERROR(SUMIFS('Base bordo CD'!M$2:M$875,'Base bordo CD'!D$2:D$875,A240,'Base bordo CD'!A$2:A$875,B240,'Base bordo CD'!L$2:L$875,"MANOBRA"),0)</f>
        <v>0.94361111111111107</v>
      </c>
      <c r="G240" s="10">
        <f>IFERROR(SUMIFS('Base bordo CD'!M$2:M$875,'Base bordo CD'!D$2:D$875,A240,'Base bordo CD'!A$2:A$875,B240,'Base bordo CD'!L$2:L$875,"DESLOCAMENTO"),0)</f>
        <v>0.24194444444444446</v>
      </c>
      <c r="H240" s="10">
        <f>IFERROR(SUMIFS('Base bordo CD'!M$2:M$875,'Base bordo CD'!D$2:D$875,A240,'Base bordo CD'!A$2:A$875,B240,'Base bordo CD'!L$2:L$875,"AGUARDANDO MANOBRA DE TRANSBORDO"),0)+IFERROR(SUMIFS('Base bordo CD'!M$2:M$875,'Base bordo CD'!D$2:D$875,A240,'Base bordo CD'!A$2:A$875,B240,'Base bordo CD'!L$2:L$875,"FALTA DE TRANSBORDO"),0)</f>
        <v>8.6944444444444435E-2</v>
      </c>
      <c r="I240" s="10">
        <f>IFERROR(SUMIFS('Base bordo CD'!M$2:M$875,'Base bordo CD'!D$2:D$875,A240,'Base bordo CD'!A$2:A$875,B240,'Base bordo CD'!L$2:L$875,"PARADA POR CONDICOES CLIMATICAS"),0)+IFERROR(SUMIFS('Base bordo CD'!M$2:M$875,'Base bordo CD'!D$2:D$875,A240,'Base bordo CD'!A$2:A$875,B240,'Base bordo CD'!L$2:L$875,"TEMPO INDETERMINADO"),0)</f>
        <v>15.464166666666667</v>
      </c>
      <c r="J240" s="10">
        <f>IFERROR(SUMIFS('Base bordo CD'!M$2:M$875,'Base bordo CD'!D$2:D$875,A240,'Base bordo CD'!A$2:A$875,B240,'Base bordo CD'!L$2:L$875,"LIMITAÇÃO INDÚSTRIA"),0)</f>
        <v>0</v>
      </c>
      <c r="K240" s="10">
        <f>IFERROR(SUMIFS('Base bordo CD'!M$2:M$875,'Base bordo CD'!D$2:D$875,A240,'Base bordo CD'!A$2:A$875,B240,'Base bordo CD'!L$2:L$875,"MAN CORRETIVA*"),0)+IFERROR(SUMIFS('Base bordo CD'!M$2:M$875,'Base bordo CD'!D$2:D$875,A240,'Base bordo CD'!A$2:A$875,B240,'Base bordo CD'!L$2:L$875,"AGUARDANDO MANUTENCAO*"),0)+IFERROR(SUMIFS('Base bordo CD'!M$2:M$875,'Base bordo CD'!D$2:D$875,A240,'Base bordo CD'!A$2:A$875,B240,'Base bordo CD'!L$2:L$875,"TROCA DE FAQUINHA"),0)+IFERROR(SUMIFS('Base bordo CD'!M$2:M$875,'Base bordo CD'!D$2:D$875,A240,'Base bordo CD'!A$2:A$875,B240,'Base bordo CD'!L$2:L$875,"LIMPEZA*"),0)</f>
        <v>0.42805555555555558</v>
      </c>
      <c r="L240" s="10">
        <f>IFERROR(SUMIFS('Base bordo CD'!M$2:M$875,'Base bordo CD'!D$2:D$875,A240,'Base bordo CD'!A$2:A$875,B240,'Base bordo CD'!L$2:L$875,"PATIO - RESERVA"),0)</f>
        <v>0</v>
      </c>
      <c r="M240" s="10">
        <f>IFERROR(SUMIFS('Base bordo CD'!M$2:M$875,'Base bordo CD'!D$2:D$875,A240,'Base bordo CD'!A$2:A$875,B240,'Base bordo CD'!L$2:L$875,"SEM APONTAMENTO"),0)</f>
        <v>7.4722222222222232E-2</v>
      </c>
      <c r="N240" s="10">
        <f>IFERROR(SUMIFS('Base bordo CD'!M$2:M$875,'Base bordo CD'!D$2:D$875,A240,'Base bordo CD'!A$2:A$875,B240,'Base bordo CD'!L$2:L$875,"FALTA DE CAMINHÃO"),0)+IFERROR(SUMIFS('Base bordo CD'!M$2:M$875,'Base bordo CD'!D$2:D$875,A240,'Base bordo CD'!A$2:A$875,B240,'Base bordo CD'!L$2:L$875,"FALTA DE COMBUSTIVEL"),0)+IFERROR(SUMIFS('Base bordo CD'!M$2:M$875,'Base bordo CD'!D$2:D$875,A240,'Base bordo CD'!A$2:A$875,B240,'Base bordo CD'!L$2:L$875,"FALTA DE MOTORIST*"),0)</f>
        <v>0</v>
      </c>
      <c r="O240" s="10">
        <f t="shared" si="20"/>
        <v>1.737777777777783</v>
      </c>
      <c r="P240" s="10">
        <f>IFERROR(SUMIFS('Base bordo CD'!M$2:M$875,'Base bordo CD'!D$2:D$875,A240,'Base bordo CD'!A$2:A$875,B240),0)</f>
        <v>24.000000000000004</v>
      </c>
      <c r="Q240" s="10">
        <f>IFERROR(SUMIFS('Base bordo CD'!O$2:O$875,'Base bordo CD'!D$2:D$875,A240,'Base bordo CD'!A$2:A$875,B240,'Base bordo CD'!L$2:L$875,"CORTE DE CANA MECANIZADO"),0)</f>
        <v>78977.72</v>
      </c>
      <c r="R240" s="10">
        <f>IFERROR(SUMIFS('Base bordo CD'!Q$2:Q$875,'Base bordo CD'!D$2:D$875,A240,'Base bordo CD'!A$2:A$875,B240,'Base bordo CD'!L$2:L$875,"CORTE DE CANA MECANIZADO"),0)</f>
        <v>18082</v>
      </c>
      <c r="S240" s="30">
        <f t="shared" si="21"/>
        <v>4.3677535670832874</v>
      </c>
      <c r="T240" s="9">
        <f t="shared" si="22"/>
        <v>0.20928240740740739</v>
      </c>
      <c r="U240" s="9">
        <f t="shared" si="23"/>
        <v>3.9317129629629619E-2</v>
      </c>
      <c r="V240" s="9">
        <f t="shared" si="24"/>
        <v>0.78063657407407416</v>
      </c>
    </row>
    <row r="241" spans="1:22" hidden="1" x14ac:dyDescent="0.35">
      <c r="A241" s="52">
        <v>49593</v>
      </c>
      <c r="B241" s="31">
        <v>46123</v>
      </c>
      <c r="C241" s="7" t="s">
        <v>321</v>
      </c>
      <c r="D241" s="7">
        <v>351</v>
      </c>
      <c r="E241" s="10">
        <f>IFERROR(SUMIFS('Base bordo CD'!M$2:M$875,'Base bordo CD'!D$2:D$875,A241,'Base bordo CD'!A$2:A$875,B241,'Base bordo CD'!L$2:L$875,"CORTE DE CANA MECANIZADO"),0)</f>
        <v>5.0227777777777778</v>
      </c>
      <c r="F241" s="10">
        <f>IFERROR(SUMIFS('Base bordo CD'!M$2:M$875,'Base bordo CD'!D$2:D$875,A241,'Base bordo CD'!A$2:A$875,B241,'Base bordo CD'!L$2:L$875,"MANOBRA"),0)</f>
        <v>0.94361111111111107</v>
      </c>
      <c r="G241" s="10">
        <f>IFERROR(SUMIFS('Base bordo CD'!M$2:M$875,'Base bordo CD'!D$2:D$875,A241,'Base bordo CD'!A$2:A$875,B241,'Base bordo CD'!L$2:L$875,"DESLOCAMENTO"),0)</f>
        <v>0.24194444444444446</v>
      </c>
      <c r="H241" s="10">
        <f>IFERROR(SUMIFS('Base bordo CD'!M$2:M$875,'Base bordo CD'!D$2:D$875,A241,'Base bordo CD'!A$2:A$875,B241,'Base bordo CD'!L$2:L$875,"AGUARDANDO MANOBRA DE TRANSBORDO"),0)+IFERROR(SUMIFS('Base bordo CD'!M$2:M$875,'Base bordo CD'!D$2:D$875,A241,'Base bordo CD'!A$2:A$875,B241,'Base bordo CD'!L$2:L$875,"FALTA DE TRANSBORDO"),0)</f>
        <v>8.6944444444444435E-2</v>
      </c>
      <c r="I241" s="10">
        <f>IFERROR(SUMIFS('Base bordo CD'!M$2:M$875,'Base bordo CD'!D$2:D$875,A241,'Base bordo CD'!A$2:A$875,B241,'Base bordo CD'!L$2:L$875,"PARADA POR CONDICOES CLIMATICAS"),0)+IFERROR(SUMIFS('Base bordo CD'!M$2:M$875,'Base bordo CD'!D$2:D$875,A241,'Base bordo CD'!A$2:A$875,B241,'Base bordo CD'!L$2:L$875,"TEMPO INDETERMINADO"),0)</f>
        <v>15.464166666666667</v>
      </c>
      <c r="J241" s="10">
        <f>IFERROR(SUMIFS('Base bordo CD'!M$2:M$875,'Base bordo CD'!D$2:D$875,A241,'Base bordo CD'!A$2:A$875,B241,'Base bordo CD'!L$2:L$875,"LIMITAÇÃO INDÚSTRIA"),0)</f>
        <v>0</v>
      </c>
      <c r="K241" s="10">
        <f>IFERROR(SUMIFS('Base bordo CD'!M$2:M$875,'Base bordo CD'!D$2:D$875,A241,'Base bordo CD'!A$2:A$875,B241,'Base bordo CD'!L$2:L$875,"MAN CORRETIVA*"),0)+IFERROR(SUMIFS('Base bordo CD'!M$2:M$875,'Base bordo CD'!D$2:D$875,A241,'Base bordo CD'!A$2:A$875,B241,'Base bordo CD'!L$2:L$875,"AGUARDANDO MANUTENCAO*"),0)+IFERROR(SUMIFS('Base bordo CD'!M$2:M$875,'Base bordo CD'!D$2:D$875,A241,'Base bordo CD'!A$2:A$875,B241,'Base bordo CD'!L$2:L$875,"TROCA DE FAQUINHA"),0)+IFERROR(SUMIFS('Base bordo CD'!M$2:M$875,'Base bordo CD'!D$2:D$875,A241,'Base bordo CD'!A$2:A$875,B241,'Base bordo CD'!L$2:L$875,"LIMPEZA*"),0)</f>
        <v>0.42805555555555558</v>
      </c>
      <c r="L241" s="10">
        <f>IFERROR(SUMIFS('Base bordo CD'!M$2:M$875,'Base bordo CD'!D$2:D$875,A241,'Base bordo CD'!A$2:A$875,B241,'Base bordo CD'!L$2:L$875,"PATIO - RESERVA"),0)</f>
        <v>0</v>
      </c>
      <c r="M241" s="10">
        <f>IFERROR(SUMIFS('Base bordo CD'!M$2:M$875,'Base bordo CD'!D$2:D$875,A241,'Base bordo CD'!A$2:A$875,B241,'Base bordo CD'!L$2:L$875,"SEM APONTAMENTO"),0)</f>
        <v>7.4722222222222232E-2</v>
      </c>
      <c r="N241" s="10">
        <f>IFERROR(SUMIFS('Base bordo CD'!M$2:M$875,'Base bordo CD'!D$2:D$875,A241,'Base bordo CD'!A$2:A$875,B241,'Base bordo CD'!L$2:L$875,"FALTA DE CAMINHÃO"),0)+IFERROR(SUMIFS('Base bordo CD'!M$2:M$875,'Base bordo CD'!D$2:D$875,A241,'Base bordo CD'!A$2:A$875,B241,'Base bordo CD'!L$2:L$875,"FALTA DE COMBUSTIVEL"),0)+IFERROR(SUMIFS('Base bordo CD'!M$2:M$875,'Base bordo CD'!D$2:D$875,A241,'Base bordo CD'!A$2:A$875,B241,'Base bordo CD'!L$2:L$875,"FALTA DE MOTORIST*"),0)</f>
        <v>0</v>
      </c>
      <c r="O241" s="10">
        <f t="shared" si="20"/>
        <v>1.737777777777783</v>
      </c>
      <c r="P241" s="10">
        <f>IFERROR(SUMIFS('Base bordo CD'!M$2:M$875,'Base bordo CD'!D$2:D$875,A241,'Base bordo CD'!A$2:A$875,B241),0)</f>
        <v>24.000000000000004</v>
      </c>
      <c r="Q241" s="10">
        <f>IFERROR(SUMIFS('Base bordo CD'!O$2:O$875,'Base bordo CD'!D$2:D$875,A241,'Base bordo CD'!A$2:A$875,B241,'Base bordo CD'!L$2:L$875,"CORTE DE CANA MECANIZADO"),0)</f>
        <v>78977.72</v>
      </c>
      <c r="R241" s="10">
        <f>IFERROR(SUMIFS('Base bordo CD'!Q$2:Q$875,'Base bordo CD'!D$2:D$875,A241,'Base bordo CD'!A$2:A$875,B241,'Base bordo CD'!L$2:L$875,"CORTE DE CANA MECANIZADO"),0)</f>
        <v>18082</v>
      </c>
      <c r="S241" s="30">
        <f t="shared" si="21"/>
        <v>4.3677535670832874</v>
      </c>
      <c r="T241" s="9">
        <f t="shared" si="22"/>
        <v>0.20928240740740739</v>
      </c>
      <c r="U241" s="9">
        <f t="shared" si="23"/>
        <v>3.9317129629629619E-2</v>
      </c>
      <c r="V241" s="9">
        <f t="shared" si="24"/>
        <v>0.78063657407407416</v>
      </c>
    </row>
    <row r="242" spans="1:22" hidden="1" x14ac:dyDescent="0.35">
      <c r="A242" s="52">
        <v>49593</v>
      </c>
      <c r="B242" s="31">
        <v>46123</v>
      </c>
      <c r="C242" s="7" t="s">
        <v>321</v>
      </c>
      <c r="D242" s="7">
        <v>351</v>
      </c>
      <c r="E242" s="10">
        <f>IFERROR(SUMIFS('Base bordo CD'!M$2:M$875,'Base bordo CD'!D$2:D$875,A242,'Base bordo CD'!A$2:A$875,B242,'Base bordo CD'!L$2:L$875,"CORTE DE CANA MECANIZADO"),0)</f>
        <v>5.0227777777777778</v>
      </c>
      <c r="F242" s="10">
        <f>IFERROR(SUMIFS('Base bordo CD'!M$2:M$875,'Base bordo CD'!D$2:D$875,A242,'Base bordo CD'!A$2:A$875,B242,'Base bordo CD'!L$2:L$875,"MANOBRA"),0)</f>
        <v>0.94361111111111107</v>
      </c>
      <c r="G242" s="10">
        <f>IFERROR(SUMIFS('Base bordo CD'!M$2:M$875,'Base bordo CD'!D$2:D$875,A242,'Base bordo CD'!A$2:A$875,B242,'Base bordo CD'!L$2:L$875,"DESLOCAMENTO"),0)</f>
        <v>0.24194444444444446</v>
      </c>
      <c r="H242" s="10">
        <f>IFERROR(SUMIFS('Base bordo CD'!M$2:M$875,'Base bordo CD'!D$2:D$875,A242,'Base bordo CD'!A$2:A$875,B242,'Base bordo CD'!L$2:L$875,"AGUARDANDO MANOBRA DE TRANSBORDO"),0)+IFERROR(SUMIFS('Base bordo CD'!M$2:M$875,'Base bordo CD'!D$2:D$875,A242,'Base bordo CD'!A$2:A$875,B242,'Base bordo CD'!L$2:L$875,"FALTA DE TRANSBORDO"),0)</f>
        <v>8.6944444444444435E-2</v>
      </c>
      <c r="I242" s="10">
        <f>IFERROR(SUMIFS('Base bordo CD'!M$2:M$875,'Base bordo CD'!D$2:D$875,A242,'Base bordo CD'!A$2:A$875,B242,'Base bordo CD'!L$2:L$875,"PARADA POR CONDICOES CLIMATICAS"),0)+IFERROR(SUMIFS('Base bordo CD'!M$2:M$875,'Base bordo CD'!D$2:D$875,A242,'Base bordo CD'!A$2:A$875,B242,'Base bordo CD'!L$2:L$875,"TEMPO INDETERMINADO"),0)</f>
        <v>15.464166666666667</v>
      </c>
      <c r="J242" s="10">
        <f>IFERROR(SUMIFS('Base bordo CD'!M$2:M$875,'Base bordo CD'!D$2:D$875,A242,'Base bordo CD'!A$2:A$875,B242,'Base bordo CD'!L$2:L$875,"LIMITAÇÃO INDÚSTRIA"),0)</f>
        <v>0</v>
      </c>
      <c r="K242" s="10">
        <f>IFERROR(SUMIFS('Base bordo CD'!M$2:M$875,'Base bordo CD'!D$2:D$875,A242,'Base bordo CD'!A$2:A$875,B242,'Base bordo CD'!L$2:L$875,"MAN CORRETIVA*"),0)+IFERROR(SUMIFS('Base bordo CD'!M$2:M$875,'Base bordo CD'!D$2:D$875,A242,'Base bordo CD'!A$2:A$875,B242,'Base bordo CD'!L$2:L$875,"AGUARDANDO MANUTENCAO*"),0)+IFERROR(SUMIFS('Base bordo CD'!M$2:M$875,'Base bordo CD'!D$2:D$875,A242,'Base bordo CD'!A$2:A$875,B242,'Base bordo CD'!L$2:L$875,"TROCA DE FAQUINHA"),0)+IFERROR(SUMIFS('Base bordo CD'!M$2:M$875,'Base bordo CD'!D$2:D$875,A242,'Base bordo CD'!A$2:A$875,B242,'Base bordo CD'!L$2:L$875,"LIMPEZA*"),0)</f>
        <v>0.42805555555555558</v>
      </c>
      <c r="L242" s="10">
        <f>IFERROR(SUMIFS('Base bordo CD'!M$2:M$875,'Base bordo CD'!D$2:D$875,A242,'Base bordo CD'!A$2:A$875,B242,'Base bordo CD'!L$2:L$875,"PATIO - RESERVA"),0)</f>
        <v>0</v>
      </c>
      <c r="M242" s="10">
        <f>IFERROR(SUMIFS('Base bordo CD'!M$2:M$875,'Base bordo CD'!D$2:D$875,A242,'Base bordo CD'!A$2:A$875,B242,'Base bordo CD'!L$2:L$875,"SEM APONTAMENTO"),0)</f>
        <v>7.4722222222222232E-2</v>
      </c>
      <c r="N242" s="10">
        <f>IFERROR(SUMIFS('Base bordo CD'!M$2:M$875,'Base bordo CD'!D$2:D$875,A242,'Base bordo CD'!A$2:A$875,B242,'Base bordo CD'!L$2:L$875,"FALTA DE CAMINHÃO"),0)+IFERROR(SUMIFS('Base bordo CD'!M$2:M$875,'Base bordo CD'!D$2:D$875,A242,'Base bordo CD'!A$2:A$875,B242,'Base bordo CD'!L$2:L$875,"FALTA DE COMBUSTIVEL"),0)+IFERROR(SUMIFS('Base bordo CD'!M$2:M$875,'Base bordo CD'!D$2:D$875,A242,'Base bordo CD'!A$2:A$875,B242,'Base bordo CD'!L$2:L$875,"FALTA DE MOTORIST*"),0)</f>
        <v>0</v>
      </c>
      <c r="O242" s="10">
        <f t="shared" si="20"/>
        <v>1.737777777777783</v>
      </c>
      <c r="P242" s="10">
        <f>IFERROR(SUMIFS('Base bordo CD'!M$2:M$875,'Base bordo CD'!D$2:D$875,A242,'Base bordo CD'!A$2:A$875,B242),0)</f>
        <v>24.000000000000004</v>
      </c>
      <c r="Q242" s="10">
        <f>IFERROR(SUMIFS('Base bordo CD'!O$2:O$875,'Base bordo CD'!D$2:D$875,A242,'Base bordo CD'!A$2:A$875,B242,'Base bordo CD'!L$2:L$875,"CORTE DE CANA MECANIZADO"),0)</f>
        <v>78977.72</v>
      </c>
      <c r="R242" s="10">
        <f>IFERROR(SUMIFS('Base bordo CD'!Q$2:Q$875,'Base bordo CD'!D$2:D$875,A242,'Base bordo CD'!A$2:A$875,B242,'Base bordo CD'!L$2:L$875,"CORTE DE CANA MECANIZADO"),0)</f>
        <v>18082</v>
      </c>
      <c r="S242" s="30">
        <f t="shared" si="21"/>
        <v>4.3677535670832874</v>
      </c>
      <c r="T242" s="9">
        <f t="shared" si="22"/>
        <v>0.20928240740740739</v>
      </c>
      <c r="U242" s="9">
        <f t="shared" si="23"/>
        <v>3.9317129629629619E-2</v>
      </c>
      <c r="V242" s="9">
        <f t="shared" si="24"/>
        <v>0.78063657407407416</v>
      </c>
    </row>
    <row r="243" spans="1:22" hidden="1" x14ac:dyDescent="0.35">
      <c r="A243" s="52">
        <v>49593</v>
      </c>
      <c r="B243" s="31">
        <v>46123</v>
      </c>
      <c r="C243" s="7" t="s">
        <v>321</v>
      </c>
      <c r="D243" s="7">
        <v>351</v>
      </c>
      <c r="E243" s="10">
        <f>IFERROR(SUMIFS('Base bordo CD'!M$2:M$875,'Base bordo CD'!D$2:D$875,A243,'Base bordo CD'!A$2:A$875,B243,'Base bordo CD'!L$2:L$875,"CORTE DE CANA MECANIZADO"),0)</f>
        <v>5.0227777777777778</v>
      </c>
      <c r="F243" s="10">
        <f>IFERROR(SUMIFS('Base bordo CD'!M$2:M$875,'Base bordo CD'!D$2:D$875,A243,'Base bordo CD'!A$2:A$875,B243,'Base bordo CD'!L$2:L$875,"MANOBRA"),0)</f>
        <v>0.94361111111111107</v>
      </c>
      <c r="G243" s="10">
        <f>IFERROR(SUMIFS('Base bordo CD'!M$2:M$875,'Base bordo CD'!D$2:D$875,A243,'Base bordo CD'!A$2:A$875,B243,'Base bordo CD'!L$2:L$875,"DESLOCAMENTO"),0)</f>
        <v>0.24194444444444446</v>
      </c>
      <c r="H243" s="10">
        <f>IFERROR(SUMIFS('Base bordo CD'!M$2:M$875,'Base bordo CD'!D$2:D$875,A243,'Base bordo CD'!A$2:A$875,B243,'Base bordo CD'!L$2:L$875,"AGUARDANDO MANOBRA DE TRANSBORDO"),0)+IFERROR(SUMIFS('Base bordo CD'!M$2:M$875,'Base bordo CD'!D$2:D$875,A243,'Base bordo CD'!A$2:A$875,B243,'Base bordo CD'!L$2:L$875,"FALTA DE TRANSBORDO"),0)</f>
        <v>8.6944444444444435E-2</v>
      </c>
      <c r="I243" s="10">
        <f>IFERROR(SUMIFS('Base bordo CD'!M$2:M$875,'Base bordo CD'!D$2:D$875,A243,'Base bordo CD'!A$2:A$875,B243,'Base bordo CD'!L$2:L$875,"PARADA POR CONDICOES CLIMATICAS"),0)+IFERROR(SUMIFS('Base bordo CD'!M$2:M$875,'Base bordo CD'!D$2:D$875,A243,'Base bordo CD'!A$2:A$875,B243,'Base bordo CD'!L$2:L$875,"TEMPO INDETERMINADO"),0)</f>
        <v>15.464166666666667</v>
      </c>
      <c r="J243" s="10">
        <f>IFERROR(SUMIFS('Base bordo CD'!M$2:M$875,'Base bordo CD'!D$2:D$875,A243,'Base bordo CD'!A$2:A$875,B243,'Base bordo CD'!L$2:L$875,"LIMITAÇÃO INDÚSTRIA"),0)</f>
        <v>0</v>
      </c>
      <c r="K243" s="10">
        <f>IFERROR(SUMIFS('Base bordo CD'!M$2:M$875,'Base bordo CD'!D$2:D$875,A243,'Base bordo CD'!A$2:A$875,B243,'Base bordo CD'!L$2:L$875,"MAN CORRETIVA*"),0)+IFERROR(SUMIFS('Base bordo CD'!M$2:M$875,'Base bordo CD'!D$2:D$875,A243,'Base bordo CD'!A$2:A$875,B243,'Base bordo CD'!L$2:L$875,"AGUARDANDO MANUTENCAO*"),0)+IFERROR(SUMIFS('Base bordo CD'!M$2:M$875,'Base bordo CD'!D$2:D$875,A243,'Base bordo CD'!A$2:A$875,B243,'Base bordo CD'!L$2:L$875,"TROCA DE FAQUINHA"),0)+IFERROR(SUMIFS('Base bordo CD'!M$2:M$875,'Base bordo CD'!D$2:D$875,A243,'Base bordo CD'!A$2:A$875,B243,'Base bordo CD'!L$2:L$875,"LIMPEZA*"),0)</f>
        <v>0.42805555555555558</v>
      </c>
      <c r="L243" s="10">
        <f>IFERROR(SUMIFS('Base bordo CD'!M$2:M$875,'Base bordo CD'!D$2:D$875,A243,'Base bordo CD'!A$2:A$875,B243,'Base bordo CD'!L$2:L$875,"PATIO - RESERVA"),0)</f>
        <v>0</v>
      </c>
      <c r="M243" s="10">
        <f>IFERROR(SUMIFS('Base bordo CD'!M$2:M$875,'Base bordo CD'!D$2:D$875,A243,'Base bordo CD'!A$2:A$875,B243,'Base bordo CD'!L$2:L$875,"SEM APONTAMENTO"),0)</f>
        <v>7.4722222222222232E-2</v>
      </c>
      <c r="N243" s="10">
        <f>IFERROR(SUMIFS('Base bordo CD'!M$2:M$875,'Base bordo CD'!D$2:D$875,A243,'Base bordo CD'!A$2:A$875,B243,'Base bordo CD'!L$2:L$875,"FALTA DE CAMINHÃO"),0)+IFERROR(SUMIFS('Base bordo CD'!M$2:M$875,'Base bordo CD'!D$2:D$875,A243,'Base bordo CD'!A$2:A$875,B243,'Base bordo CD'!L$2:L$875,"FALTA DE COMBUSTIVEL"),0)+IFERROR(SUMIFS('Base bordo CD'!M$2:M$875,'Base bordo CD'!D$2:D$875,A243,'Base bordo CD'!A$2:A$875,B243,'Base bordo CD'!L$2:L$875,"FALTA DE MOTORIST*"),0)</f>
        <v>0</v>
      </c>
      <c r="O243" s="10">
        <f t="shared" si="20"/>
        <v>1.737777777777783</v>
      </c>
      <c r="P243" s="10">
        <f>IFERROR(SUMIFS('Base bordo CD'!M$2:M$875,'Base bordo CD'!D$2:D$875,A243,'Base bordo CD'!A$2:A$875,B243),0)</f>
        <v>24.000000000000004</v>
      </c>
      <c r="Q243" s="10">
        <f>IFERROR(SUMIFS('Base bordo CD'!O$2:O$875,'Base bordo CD'!D$2:D$875,A243,'Base bordo CD'!A$2:A$875,B243,'Base bordo CD'!L$2:L$875,"CORTE DE CANA MECANIZADO"),0)</f>
        <v>78977.72</v>
      </c>
      <c r="R243" s="10">
        <f>IFERROR(SUMIFS('Base bordo CD'!Q$2:Q$875,'Base bordo CD'!D$2:D$875,A243,'Base bordo CD'!A$2:A$875,B243,'Base bordo CD'!L$2:L$875,"CORTE DE CANA MECANIZADO"),0)</f>
        <v>18082</v>
      </c>
      <c r="S243" s="30">
        <f t="shared" si="21"/>
        <v>4.3677535670832874</v>
      </c>
      <c r="T243" s="9">
        <f t="shared" si="22"/>
        <v>0.20928240740740739</v>
      </c>
      <c r="U243" s="9">
        <f t="shared" si="23"/>
        <v>3.9317129629629619E-2</v>
      </c>
      <c r="V243" s="9">
        <f t="shared" si="24"/>
        <v>0.78063657407407416</v>
      </c>
    </row>
    <row r="244" spans="1:22" hidden="1" x14ac:dyDescent="0.35">
      <c r="A244" s="52">
        <v>49593</v>
      </c>
      <c r="B244" s="31">
        <v>46123</v>
      </c>
      <c r="C244" s="7" t="s">
        <v>321</v>
      </c>
      <c r="D244" s="7">
        <v>351</v>
      </c>
      <c r="E244" s="10">
        <f>IFERROR(SUMIFS('Base bordo CD'!M$2:M$875,'Base bordo CD'!D$2:D$875,A244,'Base bordo CD'!A$2:A$875,B244,'Base bordo CD'!L$2:L$875,"CORTE DE CANA MECANIZADO"),0)</f>
        <v>5.0227777777777778</v>
      </c>
      <c r="F244" s="10">
        <f>IFERROR(SUMIFS('Base bordo CD'!M$2:M$875,'Base bordo CD'!D$2:D$875,A244,'Base bordo CD'!A$2:A$875,B244,'Base bordo CD'!L$2:L$875,"MANOBRA"),0)</f>
        <v>0.94361111111111107</v>
      </c>
      <c r="G244" s="10">
        <f>IFERROR(SUMIFS('Base bordo CD'!M$2:M$875,'Base bordo CD'!D$2:D$875,A244,'Base bordo CD'!A$2:A$875,B244,'Base bordo CD'!L$2:L$875,"DESLOCAMENTO"),0)</f>
        <v>0.24194444444444446</v>
      </c>
      <c r="H244" s="10">
        <f>IFERROR(SUMIFS('Base bordo CD'!M$2:M$875,'Base bordo CD'!D$2:D$875,A244,'Base bordo CD'!A$2:A$875,B244,'Base bordo CD'!L$2:L$875,"AGUARDANDO MANOBRA DE TRANSBORDO"),0)+IFERROR(SUMIFS('Base bordo CD'!M$2:M$875,'Base bordo CD'!D$2:D$875,A244,'Base bordo CD'!A$2:A$875,B244,'Base bordo CD'!L$2:L$875,"FALTA DE TRANSBORDO"),0)</f>
        <v>8.6944444444444435E-2</v>
      </c>
      <c r="I244" s="10">
        <f>IFERROR(SUMIFS('Base bordo CD'!M$2:M$875,'Base bordo CD'!D$2:D$875,A244,'Base bordo CD'!A$2:A$875,B244,'Base bordo CD'!L$2:L$875,"PARADA POR CONDICOES CLIMATICAS"),0)+IFERROR(SUMIFS('Base bordo CD'!M$2:M$875,'Base bordo CD'!D$2:D$875,A244,'Base bordo CD'!A$2:A$875,B244,'Base bordo CD'!L$2:L$875,"TEMPO INDETERMINADO"),0)</f>
        <v>15.464166666666667</v>
      </c>
      <c r="J244" s="10">
        <f>IFERROR(SUMIFS('Base bordo CD'!M$2:M$875,'Base bordo CD'!D$2:D$875,A244,'Base bordo CD'!A$2:A$875,B244,'Base bordo CD'!L$2:L$875,"LIMITAÇÃO INDÚSTRIA"),0)</f>
        <v>0</v>
      </c>
      <c r="K244" s="10">
        <f>IFERROR(SUMIFS('Base bordo CD'!M$2:M$875,'Base bordo CD'!D$2:D$875,A244,'Base bordo CD'!A$2:A$875,B244,'Base bordo CD'!L$2:L$875,"MAN CORRETIVA*"),0)+IFERROR(SUMIFS('Base bordo CD'!M$2:M$875,'Base bordo CD'!D$2:D$875,A244,'Base bordo CD'!A$2:A$875,B244,'Base bordo CD'!L$2:L$875,"AGUARDANDO MANUTENCAO*"),0)+IFERROR(SUMIFS('Base bordo CD'!M$2:M$875,'Base bordo CD'!D$2:D$875,A244,'Base bordo CD'!A$2:A$875,B244,'Base bordo CD'!L$2:L$875,"TROCA DE FAQUINHA"),0)+IFERROR(SUMIFS('Base bordo CD'!M$2:M$875,'Base bordo CD'!D$2:D$875,A244,'Base bordo CD'!A$2:A$875,B244,'Base bordo CD'!L$2:L$875,"LIMPEZA*"),0)</f>
        <v>0.42805555555555558</v>
      </c>
      <c r="L244" s="10">
        <f>IFERROR(SUMIFS('Base bordo CD'!M$2:M$875,'Base bordo CD'!D$2:D$875,A244,'Base bordo CD'!A$2:A$875,B244,'Base bordo CD'!L$2:L$875,"PATIO - RESERVA"),0)</f>
        <v>0</v>
      </c>
      <c r="M244" s="10">
        <f>IFERROR(SUMIFS('Base bordo CD'!M$2:M$875,'Base bordo CD'!D$2:D$875,A244,'Base bordo CD'!A$2:A$875,B244,'Base bordo CD'!L$2:L$875,"SEM APONTAMENTO"),0)</f>
        <v>7.4722222222222232E-2</v>
      </c>
      <c r="N244" s="10">
        <f>IFERROR(SUMIFS('Base bordo CD'!M$2:M$875,'Base bordo CD'!D$2:D$875,A244,'Base bordo CD'!A$2:A$875,B244,'Base bordo CD'!L$2:L$875,"FALTA DE CAMINHÃO"),0)+IFERROR(SUMIFS('Base bordo CD'!M$2:M$875,'Base bordo CD'!D$2:D$875,A244,'Base bordo CD'!A$2:A$875,B244,'Base bordo CD'!L$2:L$875,"FALTA DE COMBUSTIVEL"),0)+IFERROR(SUMIFS('Base bordo CD'!M$2:M$875,'Base bordo CD'!D$2:D$875,A244,'Base bordo CD'!A$2:A$875,B244,'Base bordo CD'!L$2:L$875,"FALTA DE MOTORIST*"),0)</f>
        <v>0</v>
      </c>
      <c r="O244" s="10">
        <f t="shared" si="20"/>
        <v>1.737777777777783</v>
      </c>
      <c r="P244" s="10">
        <f>IFERROR(SUMIFS('Base bordo CD'!M$2:M$875,'Base bordo CD'!D$2:D$875,A244,'Base bordo CD'!A$2:A$875,B244),0)</f>
        <v>24.000000000000004</v>
      </c>
      <c r="Q244" s="10">
        <f>IFERROR(SUMIFS('Base bordo CD'!O$2:O$875,'Base bordo CD'!D$2:D$875,A244,'Base bordo CD'!A$2:A$875,B244,'Base bordo CD'!L$2:L$875,"CORTE DE CANA MECANIZADO"),0)</f>
        <v>78977.72</v>
      </c>
      <c r="R244" s="10">
        <f>IFERROR(SUMIFS('Base bordo CD'!Q$2:Q$875,'Base bordo CD'!D$2:D$875,A244,'Base bordo CD'!A$2:A$875,B244,'Base bordo CD'!L$2:L$875,"CORTE DE CANA MECANIZADO"),0)</f>
        <v>18082</v>
      </c>
      <c r="S244" s="30">
        <f t="shared" si="21"/>
        <v>4.3677535670832874</v>
      </c>
      <c r="T244" s="9">
        <f t="shared" si="22"/>
        <v>0.20928240740740739</v>
      </c>
      <c r="U244" s="9">
        <f t="shared" si="23"/>
        <v>3.9317129629629619E-2</v>
      </c>
      <c r="V244" s="9">
        <f t="shared" si="24"/>
        <v>0.78063657407407416</v>
      </c>
    </row>
    <row r="245" spans="1:22" hidden="1" x14ac:dyDescent="0.35">
      <c r="A245" s="52">
        <v>49593</v>
      </c>
      <c r="B245" s="31">
        <v>46123</v>
      </c>
      <c r="C245" s="7" t="s">
        <v>321</v>
      </c>
      <c r="D245" s="7">
        <v>351</v>
      </c>
      <c r="E245" s="10">
        <f>IFERROR(SUMIFS('Base bordo CD'!M$2:M$875,'Base bordo CD'!D$2:D$875,A245,'Base bordo CD'!A$2:A$875,B245,'Base bordo CD'!L$2:L$875,"CORTE DE CANA MECANIZADO"),0)</f>
        <v>5.0227777777777778</v>
      </c>
      <c r="F245" s="10">
        <f>IFERROR(SUMIFS('Base bordo CD'!M$2:M$875,'Base bordo CD'!D$2:D$875,A245,'Base bordo CD'!A$2:A$875,B245,'Base bordo CD'!L$2:L$875,"MANOBRA"),0)</f>
        <v>0.94361111111111107</v>
      </c>
      <c r="G245" s="10">
        <f>IFERROR(SUMIFS('Base bordo CD'!M$2:M$875,'Base bordo CD'!D$2:D$875,A245,'Base bordo CD'!A$2:A$875,B245,'Base bordo CD'!L$2:L$875,"DESLOCAMENTO"),0)</f>
        <v>0.24194444444444446</v>
      </c>
      <c r="H245" s="10">
        <f>IFERROR(SUMIFS('Base bordo CD'!M$2:M$875,'Base bordo CD'!D$2:D$875,A245,'Base bordo CD'!A$2:A$875,B245,'Base bordo CD'!L$2:L$875,"AGUARDANDO MANOBRA DE TRANSBORDO"),0)+IFERROR(SUMIFS('Base bordo CD'!M$2:M$875,'Base bordo CD'!D$2:D$875,A245,'Base bordo CD'!A$2:A$875,B245,'Base bordo CD'!L$2:L$875,"FALTA DE TRANSBORDO"),0)</f>
        <v>8.6944444444444435E-2</v>
      </c>
      <c r="I245" s="10">
        <f>IFERROR(SUMIFS('Base bordo CD'!M$2:M$875,'Base bordo CD'!D$2:D$875,A245,'Base bordo CD'!A$2:A$875,B245,'Base bordo CD'!L$2:L$875,"PARADA POR CONDICOES CLIMATICAS"),0)+IFERROR(SUMIFS('Base bordo CD'!M$2:M$875,'Base bordo CD'!D$2:D$875,A245,'Base bordo CD'!A$2:A$875,B245,'Base bordo CD'!L$2:L$875,"TEMPO INDETERMINADO"),0)</f>
        <v>15.464166666666667</v>
      </c>
      <c r="J245" s="10">
        <f>IFERROR(SUMIFS('Base bordo CD'!M$2:M$875,'Base bordo CD'!D$2:D$875,A245,'Base bordo CD'!A$2:A$875,B245,'Base bordo CD'!L$2:L$875,"LIMITAÇÃO INDÚSTRIA"),0)</f>
        <v>0</v>
      </c>
      <c r="K245" s="10">
        <f>IFERROR(SUMIFS('Base bordo CD'!M$2:M$875,'Base bordo CD'!D$2:D$875,A245,'Base bordo CD'!A$2:A$875,B245,'Base bordo CD'!L$2:L$875,"MAN CORRETIVA*"),0)+IFERROR(SUMIFS('Base bordo CD'!M$2:M$875,'Base bordo CD'!D$2:D$875,A245,'Base bordo CD'!A$2:A$875,B245,'Base bordo CD'!L$2:L$875,"AGUARDANDO MANUTENCAO*"),0)+IFERROR(SUMIFS('Base bordo CD'!M$2:M$875,'Base bordo CD'!D$2:D$875,A245,'Base bordo CD'!A$2:A$875,B245,'Base bordo CD'!L$2:L$875,"TROCA DE FAQUINHA"),0)+IFERROR(SUMIFS('Base bordo CD'!M$2:M$875,'Base bordo CD'!D$2:D$875,A245,'Base bordo CD'!A$2:A$875,B245,'Base bordo CD'!L$2:L$875,"LIMPEZA*"),0)</f>
        <v>0.42805555555555558</v>
      </c>
      <c r="L245" s="10">
        <f>IFERROR(SUMIFS('Base bordo CD'!M$2:M$875,'Base bordo CD'!D$2:D$875,A245,'Base bordo CD'!A$2:A$875,B245,'Base bordo CD'!L$2:L$875,"PATIO - RESERVA"),0)</f>
        <v>0</v>
      </c>
      <c r="M245" s="10">
        <f>IFERROR(SUMIFS('Base bordo CD'!M$2:M$875,'Base bordo CD'!D$2:D$875,A245,'Base bordo CD'!A$2:A$875,B245,'Base bordo CD'!L$2:L$875,"SEM APONTAMENTO"),0)</f>
        <v>7.4722222222222232E-2</v>
      </c>
      <c r="N245" s="10">
        <f>IFERROR(SUMIFS('Base bordo CD'!M$2:M$875,'Base bordo CD'!D$2:D$875,A245,'Base bordo CD'!A$2:A$875,B245,'Base bordo CD'!L$2:L$875,"FALTA DE CAMINHÃO"),0)+IFERROR(SUMIFS('Base bordo CD'!M$2:M$875,'Base bordo CD'!D$2:D$875,A245,'Base bordo CD'!A$2:A$875,B245,'Base bordo CD'!L$2:L$875,"FALTA DE COMBUSTIVEL"),0)+IFERROR(SUMIFS('Base bordo CD'!M$2:M$875,'Base bordo CD'!D$2:D$875,A245,'Base bordo CD'!A$2:A$875,B245,'Base bordo CD'!L$2:L$875,"FALTA DE MOTORIST*"),0)</f>
        <v>0</v>
      </c>
      <c r="O245" s="10">
        <f t="shared" si="20"/>
        <v>1.737777777777783</v>
      </c>
      <c r="P245" s="10">
        <f>IFERROR(SUMIFS('Base bordo CD'!M$2:M$875,'Base bordo CD'!D$2:D$875,A245,'Base bordo CD'!A$2:A$875,B245),0)</f>
        <v>24.000000000000004</v>
      </c>
      <c r="Q245" s="10">
        <f>IFERROR(SUMIFS('Base bordo CD'!O$2:O$875,'Base bordo CD'!D$2:D$875,A245,'Base bordo CD'!A$2:A$875,B245,'Base bordo CD'!L$2:L$875,"CORTE DE CANA MECANIZADO"),0)</f>
        <v>78977.72</v>
      </c>
      <c r="R245" s="10">
        <f>IFERROR(SUMIFS('Base bordo CD'!Q$2:Q$875,'Base bordo CD'!D$2:D$875,A245,'Base bordo CD'!A$2:A$875,B245,'Base bordo CD'!L$2:L$875,"CORTE DE CANA MECANIZADO"),0)</f>
        <v>18082</v>
      </c>
      <c r="S245" s="30">
        <f t="shared" si="21"/>
        <v>4.3677535670832874</v>
      </c>
      <c r="T245" s="9">
        <f t="shared" si="22"/>
        <v>0.20928240740740739</v>
      </c>
      <c r="U245" s="9">
        <f t="shared" si="23"/>
        <v>3.9317129629629619E-2</v>
      </c>
      <c r="V245" s="9">
        <f t="shared" si="24"/>
        <v>0.78063657407407416</v>
      </c>
    </row>
    <row r="246" spans="1:22" hidden="1" x14ac:dyDescent="0.35">
      <c r="A246" s="52">
        <v>49593</v>
      </c>
      <c r="B246" s="31">
        <v>46123</v>
      </c>
      <c r="C246" s="7" t="s">
        <v>321</v>
      </c>
      <c r="D246" s="7">
        <v>351</v>
      </c>
      <c r="E246" s="10">
        <f>IFERROR(SUMIFS('Base bordo CD'!M$2:M$875,'Base bordo CD'!D$2:D$875,A246,'Base bordo CD'!A$2:A$875,B246,'Base bordo CD'!L$2:L$875,"CORTE DE CANA MECANIZADO"),0)</f>
        <v>5.0227777777777778</v>
      </c>
      <c r="F246" s="10">
        <f>IFERROR(SUMIFS('Base bordo CD'!M$2:M$875,'Base bordo CD'!D$2:D$875,A246,'Base bordo CD'!A$2:A$875,B246,'Base bordo CD'!L$2:L$875,"MANOBRA"),0)</f>
        <v>0.94361111111111107</v>
      </c>
      <c r="G246" s="10">
        <f>IFERROR(SUMIFS('Base bordo CD'!M$2:M$875,'Base bordo CD'!D$2:D$875,A246,'Base bordo CD'!A$2:A$875,B246,'Base bordo CD'!L$2:L$875,"DESLOCAMENTO"),0)</f>
        <v>0.24194444444444446</v>
      </c>
      <c r="H246" s="10">
        <f>IFERROR(SUMIFS('Base bordo CD'!M$2:M$875,'Base bordo CD'!D$2:D$875,A246,'Base bordo CD'!A$2:A$875,B246,'Base bordo CD'!L$2:L$875,"AGUARDANDO MANOBRA DE TRANSBORDO"),0)+IFERROR(SUMIFS('Base bordo CD'!M$2:M$875,'Base bordo CD'!D$2:D$875,A246,'Base bordo CD'!A$2:A$875,B246,'Base bordo CD'!L$2:L$875,"FALTA DE TRANSBORDO"),0)</f>
        <v>8.6944444444444435E-2</v>
      </c>
      <c r="I246" s="10">
        <f>IFERROR(SUMIFS('Base bordo CD'!M$2:M$875,'Base bordo CD'!D$2:D$875,A246,'Base bordo CD'!A$2:A$875,B246,'Base bordo CD'!L$2:L$875,"PARADA POR CONDICOES CLIMATICAS"),0)+IFERROR(SUMIFS('Base bordo CD'!M$2:M$875,'Base bordo CD'!D$2:D$875,A246,'Base bordo CD'!A$2:A$875,B246,'Base bordo CD'!L$2:L$875,"TEMPO INDETERMINADO"),0)</f>
        <v>15.464166666666667</v>
      </c>
      <c r="J246" s="10">
        <f>IFERROR(SUMIFS('Base bordo CD'!M$2:M$875,'Base bordo CD'!D$2:D$875,A246,'Base bordo CD'!A$2:A$875,B246,'Base bordo CD'!L$2:L$875,"LIMITAÇÃO INDÚSTRIA"),0)</f>
        <v>0</v>
      </c>
      <c r="K246" s="10">
        <f>IFERROR(SUMIFS('Base bordo CD'!M$2:M$875,'Base bordo CD'!D$2:D$875,A246,'Base bordo CD'!A$2:A$875,B246,'Base bordo CD'!L$2:L$875,"MAN CORRETIVA*"),0)+IFERROR(SUMIFS('Base bordo CD'!M$2:M$875,'Base bordo CD'!D$2:D$875,A246,'Base bordo CD'!A$2:A$875,B246,'Base bordo CD'!L$2:L$875,"AGUARDANDO MANUTENCAO*"),0)+IFERROR(SUMIFS('Base bordo CD'!M$2:M$875,'Base bordo CD'!D$2:D$875,A246,'Base bordo CD'!A$2:A$875,B246,'Base bordo CD'!L$2:L$875,"TROCA DE FAQUINHA"),0)+IFERROR(SUMIFS('Base bordo CD'!M$2:M$875,'Base bordo CD'!D$2:D$875,A246,'Base bordo CD'!A$2:A$875,B246,'Base bordo CD'!L$2:L$875,"LIMPEZA*"),0)</f>
        <v>0.42805555555555558</v>
      </c>
      <c r="L246" s="10">
        <f>IFERROR(SUMIFS('Base bordo CD'!M$2:M$875,'Base bordo CD'!D$2:D$875,A246,'Base bordo CD'!A$2:A$875,B246,'Base bordo CD'!L$2:L$875,"PATIO - RESERVA"),0)</f>
        <v>0</v>
      </c>
      <c r="M246" s="10">
        <f>IFERROR(SUMIFS('Base bordo CD'!M$2:M$875,'Base bordo CD'!D$2:D$875,A246,'Base bordo CD'!A$2:A$875,B246,'Base bordo CD'!L$2:L$875,"SEM APONTAMENTO"),0)</f>
        <v>7.4722222222222232E-2</v>
      </c>
      <c r="N246" s="10">
        <f>IFERROR(SUMIFS('Base bordo CD'!M$2:M$875,'Base bordo CD'!D$2:D$875,A246,'Base bordo CD'!A$2:A$875,B246,'Base bordo CD'!L$2:L$875,"FALTA DE CAMINHÃO"),0)+IFERROR(SUMIFS('Base bordo CD'!M$2:M$875,'Base bordo CD'!D$2:D$875,A246,'Base bordo CD'!A$2:A$875,B246,'Base bordo CD'!L$2:L$875,"FALTA DE COMBUSTIVEL"),0)+IFERROR(SUMIFS('Base bordo CD'!M$2:M$875,'Base bordo CD'!D$2:D$875,A246,'Base bordo CD'!A$2:A$875,B246,'Base bordo CD'!L$2:L$875,"FALTA DE MOTORIST*"),0)</f>
        <v>0</v>
      </c>
      <c r="O246" s="10">
        <f t="shared" si="20"/>
        <v>1.737777777777783</v>
      </c>
      <c r="P246" s="10">
        <f>IFERROR(SUMIFS('Base bordo CD'!M$2:M$875,'Base bordo CD'!D$2:D$875,A246,'Base bordo CD'!A$2:A$875,B246),0)</f>
        <v>24.000000000000004</v>
      </c>
      <c r="Q246" s="10">
        <f>IFERROR(SUMIFS('Base bordo CD'!O$2:O$875,'Base bordo CD'!D$2:D$875,A246,'Base bordo CD'!A$2:A$875,B246,'Base bordo CD'!L$2:L$875,"CORTE DE CANA MECANIZADO"),0)</f>
        <v>78977.72</v>
      </c>
      <c r="R246" s="10">
        <f>IFERROR(SUMIFS('Base bordo CD'!Q$2:Q$875,'Base bordo CD'!D$2:D$875,A246,'Base bordo CD'!A$2:A$875,B246,'Base bordo CD'!L$2:L$875,"CORTE DE CANA MECANIZADO"),0)</f>
        <v>18082</v>
      </c>
      <c r="S246" s="30">
        <f t="shared" si="21"/>
        <v>4.3677535670832874</v>
      </c>
      <c r="T246" s="9">
        <f t="shared" si="22"/>
        <v>0.20928240740740739</v>
      </c>
      <c r="U246" s="9">
        <f t="shared" si="23"/>
        <v>3.9317129629629619E-2</v>
      </c>
      <c r="V246" s="9">
        <f t="shared" si="24"/>
        <v>0.78063657407407416</v>
      </c>
    </row>
    <row r="247" spans="1:22" hidden="1" x14ac:dyDescent="0.35">
      <c r="A247" s="52">
        <v>49593</v>
      </c>
      <c r="B247" s="31">
        <v>46123</v>
      </c>
      <c r="C247" s="7" t="s">
        <v>321</v>
      </c>
      <c r="D247" s="7">
        <v>351</v>
      </c>
      <c r="E247" s="10">
        <f>IFERROR(SUMIFS('Base bordo CD'!M$2:M$875,'Base bordo CD'!D$2:D$875,A247,'Base bordo CD'!A$2:A$875,B247,'Base bordo CD'!L$2:L$875,"CORTE DE CANA MECANIZADO"),0)</f>
        <v>5.0227777777777778</v>
      </c>
      <c r="F247" s="10">
        <f>IFERROR(SUMIFS('Base bordo CD'!M$2:M$875,'Base bordo CD'!D$2:D$875,A247,'Base bordo CD'!A$2:A$875,B247,'Base bordo CD'!L$2:L$875,"MANOBRA"),0)</f>
        <v>0.94361111111111107</v>
      </c>
      <c r="G247" s="10">
        <f>IFERROR(SUMIFS('Base bordo CD'!M$2:M$875,'Base bordo CD'!D$2:D$875,A247,'Base bordo CD'!A$2:A$875,B247,'Base bordo CD'!L$2:L$875,"DESLOCAMENTO"),0)</f>
        <v>0.24194444444444446</v>
      </c>
      <c r="H247" s="10">
        <f>IFERROR(SUMIFS('Base bordo CD'!M$2:M$875,'Base bordo CD'!D$2:D$875,A247,'Base bordo CD'!A$2:A$875,B247,'Base bordo CD'!L$2:L$875,"AGUARDANDO MANOBRA DE TRANSBORDO"),0)+IFERROR(SUMIFS('Base bordo CD'!M$2:M$875,'Base bordo CD'!D$2:D$875,A247,'Base bordo CD'!A$2:A$875,B247,'Base bordo CD'!L$2:L$875,"FALTA DE TRANSBORDO"),0)</f>
        <v>8.6944444444444435E-2</v>
      </c>
      <c r="I247" s="10">
        <f>IFERROR(SUMIFS('Base bordo CD'!M$2:M$875,'Base bordo CD'!D$2:D$875,A247,'Base bordo CD'!A$2:A$875,B247,'Base bordo CD'!L$2:L$875,"PARADA POR CONDICOES CLIMATICAS"),0)+IFERROR(SUMIFS('Base bordo CD'!M$2:M$875,'Base bordo CD'!D$2:D$875,A247,'Base bordo CD'!A$2:A$875,B247,'Base bordo CD'!L$2:L$875,"TEMPO INDETERMINADO"),0)</f>
        <v>15.464166666666667</v>
      </c>
      <c r="J247" s="10">
        <f>IFERROR(SUMIFS('Base bordo CD'!M$2:M$875,'Base bordo CD'!D$2:D$875,A247,'Base bordo CD'!A$2:A$875,B247,'Base bordo CD'!L$2:L$875,"LIMITAÇÃO INDÚSTRIA"),0)</f>
        <v>0</v>
      </c>
      <c r="K247" s="10">
        <f>IFERROR(SUMIFS('Base bordo CD'!M$2:M$875,'Base bordo CD'!D$2:D$875,A247,'Base bordo CD'!A$2:A$875,B247,'Base bordo CD'!L$2:L$875,"MAN CORRETIVA*"),0)+IFERROR(SUMIFS('Base bordo CD'!M$2:M$875,'Base bordo CD'!D$2:D$875,A247,'Base bordo CD'!A$2:A$875,B247,'Base bordo CD'!L$2:L$875,"AGUARDANDO MANUTENCAO*"),0)+IFERROR(SUMIFS('Base bordo CD'!M$2:M$875,'Base bordo CD'!D$2:D$875,A247,'Base bordo CD'!A$2:A$875,B247,'Base bordo CD'!L$2:L$875,"TROCA DE FAQUINHA"),0)+IFERROR(SUMIFS('Base bordo CD'!M$2:M$875,'Base bordo CD'!D$2:D$875,A247,'Base bordo CD'!A$2:A$875,B247,'Base bordo CD'!L$2:L$875,"LIMPEZA*"),0)</f>
        <v>0.42805555555555558</v>
      </c>
      <c r="L247" s="10">
        <f>IFERROR(SUMIFS('Base bordo CD'!M$2:M$875,'Base bordo CD'!D$2:D$875,A247,'Base bordo CD'!A$2:A$875,B247,'Base bordo CD'!L$2:L$875,"PATIO - RESERVA"),0)</f>
        <v>0</v>
      </c>
      <c r="M247" s="10">
        <f>IFERROR(SUMIFS('Base bordo CD'!M$2:M$875,'Base bordo CD'!D$2:D$875,A247,'Base bordo CD'!A$2:A$875,B247,'Base bordo CD'!L$2:L$875,"SEM APONTAMENTO"),0)</f>
        <v>7.4722222222222232E-2</v>
      </c>
      <c r="N247" s="10">
        <f>IFERROR(SUMIFS('Base bordo CD'!M$2:M$875,'Base bordo CD'!D$2:D$875,A247,'Base bordo CD'!A$2:A$875,B247,'Base bordo CD'!L$2:L$875,"FALTA DE CAMINHÃO"),0)+IFERROR(SUMIFS('Base bordo CD'!M$2:M$875,'Base bordo CD'!D$2:D$875,A247,'Base bordo CD'!A$2:A$875,B247,'Base bordo CD'!L$2:L$875,"FALTA DE COMBUSTIVEL"),0)+IFERROR(SUMIFS('Base bordo CD'!M$2:M$875,'Base bordo CD'!D$2:D$875,A247,'Base bordo CD'!A$2:A$875,B247,'Base bordo CD'!L$2:L$875,"FALTA DE MOTORIST*"),0)</f>
        <v>0</v>
      </c>
      <c r="O247" s="10">
        <f t="shared" si="20"/>
        <v>1.737777777777783</v>
      </c>
      <c r="P247" s="10">
        <f>IFERROR(SUMIFS('Base bordo CD'!M$2:M$875,'Base bordo CD'!D$2:D$875,A247,'Base bordo CD'!A$2:A$875,B247),0)</f>
        <v>24.000000000000004</v>
      </c>
      <c r="Q247" s="10">
        <f>IFERROR(SUMIFS('Base bordo CD'!O$2:O$875,'Base bordo CD'!D$2:D$875,A247,'Base bordo CD'!A$2:A$875,B247,'Base bordo CD'!L$2:L$875,"CORTE DE CANA MECANIZADO"),0)</f>
        <v>78977.72</v>
      </c>
      <c r="R247" s="10">
        <f>IFERROR(SUMIFS('Base bordo CD'!Q$2:Q$875,'Base bordo CD'!D$2:D$875,A247,'Base bordo CD'!A$2:A$875,B247,'Base bordo CD'!L$2:L$875,"CORTE DE CANA MECANIZADO"),0)</f>
        <v>18082</v>
      </c>
      <c r="S247" s="30">
        <f t="shared" si="21"/>
        <v>4.3677535670832874</v>
      </c>
      <c r="T247" s="9">
        <f t="shared" si="22"/>
        <v>0.20928240740740739</v>
      </c>
      <c r="U247" s="9">
        <f t="shared" si="23"/>
        <v>3.9317129629629619E-2</v>
      </c>
      <c r="V247" s="9">
        <f t="shared" si="24"/>
        <v>0.78063657407407416</v>
      </c>
    </row>
    <row r="248" spans="1:22" hidden="1" x14ac:dyDescent="0.35">
      <c r="A248" s="52">
        <v>49593</v>
      </c>
      <c r="B248" s="31">
        <v>46123</v>
      </c>
      <c r="C248" s="7" t="s">
        <v>321</v>
      </c>
      <c r="D248" s="7">
        <v>351</v>
      </c>
      <c r="E248" s="10">
        <f>IFERROR(SUMIFS('Base bordo CD'!M$2:M$875,'Base bordo CD'!D$2:D$875,A248,'Base bordo CD'!A$2:A$875,B248,'Base bordo CD'!L$2:L$875,"CORTE DE CANA MECANIZADO"),0)</f>
        <v>5.0227777777777778</v>
      </c>
      <c r="F248" s="10">
        <f>IFERROR(SUMIFS('Base bordo CD'!M$2:M$875,'Base bordo CD'!D$2:D$875,A248,'Base bordo CD'!A$2:A$875,B248,'Base bordo CD'!L$2:L$875,"MANOBRA"),0)</f>
        <v>0.94361111111111107</v>
      </c>
      <c r="G248" s="10">
        <f>IFERROR(SUMIFS('Base bordo CD'!M$2:M$875,'Base bordo CD'!D$2:D$875,A248,'Base bordo CD'!A$2:A$875,B248,'Base bordo CD'!L$2:L$875,"DESLOCAMENTO"),0)</f>
        <v>0.24194444444444446</v>
      </c>
      <c r="H248" s="10">
        <f>IFERROR(SUMIFS('Base bordo CD'!M$2:M$875,'Base bordo CD'!D$2:D$875,A248,'Base bordo CD'!A$2:A$875,B248,'Base bordo CD'!L$2:L$875,"AGUARDANDO MANOBRA DE TRANSBORDO"),0)+IFERROR(SUMIFS('Base bordo CD'!M$2:M$875,'Base bordo CD'!D$2:D$875,A248,'Base bordo CD'!A$2:A$875,B248,'Base bordo CD'!L$2:L$875,"FALTA DE TRANSBORDO"),0)</f>
        <v>8.6944444444444435E-2</v>
      </c>
      <c r="I248" s="10">
        <f>IFERROR(SUMIFS('Base bordo CD'!M$2:M$875,'Base bordo CD'!D$2:D$875,A248,'Base bordo CD'!A$2:A$875,B248,'Base bordo CD'!L$2:L$875,"PARADA POR CONDICOES CLIMATICAS"),0)+IFERROR(SUMIFS('Base bordo CD'!M$2:M$875,'Base bordo CD'!D$2:D$875,A248,'Base bordo CD'!A$2:A$875,B248,'Base bordo CD'!L$2:L$875,"TEMPO INDETERMINADO"),0)</f>
        <v>15.464166666666667</v>
      </c>
      <c r="J248" s="10">
        <f>IFERROR(SUMIFS('Base bordo CD'!M$2:M$875,'Base bordo CD'!D$2:D$875,A248,'Base bordo CD'!A$2:A$875,B248,'Base bordo CD'!L$2:L$875,"LIMITAÇÃO INDÚSTRIA"),0)</f>
        <v>0</v>
      </c>
      <c r="K248" s="10">
        <f>IFERROR(SUMIFS('Base bordo CD'!M$2:M$875,'Base bordo CD'!D$2:D$875,A248,'Base bordo CD'!A$2:A$875,B248,'Base bordo CD'!L$2:L$875,"MAN CORRETIVA*"),0)+IFERROR(SUMIFS('Base bordo CD'!M$2:M$875,'Base bordo CD'!D$2:D$875,A248,'Base bordo CD'!A$2:A$875,B248,'Base bordo CD'!L$2:L$875,"AGUARDANDO MANUTENCAO*"),0)+IFERROR(SUMIFS('Base bordo CD'!M$2:M$875,'Base bordo CD'!D$2:D$875,A248,'Base bordo CD'!A$2:A$875,B248,'Base bordo CD'!L$2:L$875,"TROCA DE FAQUINHA"),0)+IFERROR(SUMIFS('Base bordo CD'!M$2:M$875,'Base bordo CD'!D$2:D$875,A248,'Base bordo CD'!A$2:A$875,B248,'Base bordo CD'!L$2:L$875,"LIMPEZA*"),0)</f>
        <v>0.42805555555555558</v>
      </c>
      <c r="L248" s="10">
        <f>IFERROR(SUMIFS('Base bordo CD'!M$2:M$875,'Base bordo CD'!D$2:D$875,A248,'Base bordo CD'!A$2:A$875,B248,'Base bordo CD'!L$2:L$875,"PATIO - RESERVA"),0)</f>
        <v>0</v>
      </c>
      <c r="M248" s="10">
        <f>IFERROR(SUMIFS('Base bordo CD'!M$2:M$875,'Base bordo CD'!D$2:D$875,A248,'Base bordo CD'!A$2:A$875,B248,'Base bordo CD'!L$2:L$875,"SEM APONTAMENTO"),0)</f>
        <v>7.4722222222222232E-2</v>
      </c>
      <c r="N248" s="10">
        <f>IFERROR(SUMIFS('Base bordo CD'!M$2:M$875,'Base bordo CD'!D$2:D$875,A248,'Base bordo CD'!A$2:A$875,B248,'Base bordo CD'!L$2:L$875,"FALTA DE CAMINHÃO"),0)+IFERROR(SUMIFS('Base bordo CD'!M$2:M$875,'Base bordo CD'!D$2:D$875,A248,'Base bordo CD'!A$2:A$875,B248,'Base bordo CD'!L$2:L$875,"FALTA DE COMBUSTIVEL"),0)+IFERROR(SUMIFS('Base bordo CD'!M$2:M$875,'Base bordo CD'!D$2:D$875,A248,'Base bordo CD'!A$2:A$875,B248,'Base bordo CD'!L$2:L$875,"FALTA DE MOTORIST*"),0)</f>
        <v>0</v>
      </c>
      <c r="O248" s="10">
        <f t="shared" si="20"/>
        <v>1.737777777777783</v>
      </c>
      <c r="P248" s="10">
        <f>IFERROR(SUMIFS('Base bordo CD'!M$2:M$875,'Base bordo CD'!D$2:D$875,A248,'Base bordo CD'!A$2:A$875,B248),0)</f>
        <v>24.000000000000004</v>
      </c>
      <c r="Q248" s="10">
        <f>IFERROR(SUMIFS('Base bordo CD'!O$2:O$875,'Base bordo CD'!D$2:D$875,A248,'Base bordo CD'!A$2:A$875,B248,'Base bordo CD'!L$2:L$875,"CORTE DE CANA MECANIZADO"),0)</f>
        <v>78977.72</v>
      </c>
      <c r="R248" s="10">
        <f>IFERROR(SUMIFS('Base bordo CD'!Q$2:Q$875,'Base bordo CD'!D$2:D$875,A248,'Base bordo CD'!A$2:A$875,B248,'Base bordo CD'!L$2:L$875,"CORTE DE CANA MECANIZADO"),0)</f>
        <v>18082</v>
      </c>
      <c r="S248" s="30">
        <f t="shared" si="21"/>
        <v>4.3677535670832874</v>
      </c>
      <c r="T248" s="9">
        <f t="shared" si="22"/>
        <v>0.20928240740740739</v>
      </c>
      <c r="U248" s="9">
        <f t="shared" si="23"/>
        <v>3.9317129629629619E-2</v>
      </c>
      <c r="V248" s="9">
        <f t="shared" si="24"/>
        <v>0.78063657407407416</v>
      </c>
    </row>
    <row r="249" spans="1:22" hidden="1" x14ac:dyDescent="0.35">
      <c r="A249" s="52">
        <v>49593</v>
      </c>
      <c r="B249" s="31">
        <v>46123</v>
      </c>
      <c r="C249" s="7" t="s">
        <v>321</v>
      </c>
      <c r="D249" s="7">
        <v>351</v>
      </c>
      <c r="E249" s="10">
        <f>IFERROR(SUMIFS('Base bordo CD'!M$2:M$875,'Base bordo CD'!D$2:D$875,A249,'Base bordo CD'!A$2:A$875,B249,'Base bordo CD'!L$2:L$875,"CORTE DE CANA MECANIZADO"),0)</f>
        <v>5.0227777777777778</v>
      </c>
      <c r="F249" s="10">
        <f>IFERROR(SUMIFS('Base bordo CD'!M$2:M$875,'Base bordo CD'!D$2:D$875,A249,'Base bordo CD'!A$2:A$875,B249,'Base bordo CD'!L$2:L$875,"MANOBRA"),0)</f>
        <v>0.94361111111111107</v>
      </c>
      <c r="G249" s="10">
        <f>IFERROR(SUMIFS('Base bordo CD'!M$2:M$875,'Base bordo CD'!D$2:D$875,A249,'Base bordo CD'!A$2:A$875,B249,'Base bordo CD'!L$2:L$875,"DESLOCAMENTO"),0)</f>
        <v>0.24194444444444446</v>
      </c>
      <c r="H249" s="10">
        <f>IFERROR(SUMIFS('Base bordo CD'!M$2:M$875,'Base bordo CD'!D$2:D$875,A249,'Base bordo CD'!A$2:A$875,B249,'Base bordo CD'!L$2:L$875,"AGUARDANDO MANOBRA DE TRANSBORDO"),0)+IFERROR(SUMIFS('Base bordo CD'!M$2:M$875,'Base bordo CD'!D$2:D$875,A249,'Base bordo CD'!A$2:A$875,B249,'Base bordo CD'!L$2:L$875,"FALTA DE TRANSBORDO"),0)</f>
        <v>8.6944444444444435E-2</v>
      </c>
      <c r="I249" s="10">
        <f>IFERROR(SUMIFS('Base bordo CD'!M$2:M$875,'Base bordo CD'!D$2:D$875,A249,'Base bordo CD'!A$2:A$875,B249,'Base bordo CD'!L$2:L$875,"PARADA POR CONDICOES CLIMATICAS"),0)+IFERROR(SUMIFS('Base bordo CD'!M$2:M$875,'Base bordo CD'!D$2:D$875,A249,'Base bordo CD'!A$2:A$875,B249,'Base bordo CD'!L$2:L$875,"TEMPO INDETERMINADO"),0)</f>
        <v>15.464166666666667</v>
      </c>
      <c r="J249" s="10">
        <f>IFERROR(SUMIFS('Base bordo CD'!M$2:M$875,'Base bordo CD'!D$2:D$875,A249,'Base bordo CD'!A$2:A$875,B249,'Base bordo CD'!L$2:L$875,"LIMITAÇÃO INDÚSTRIA"),0)</f>
        <v>0</v>
      </c>
      <c r="K249" s="10">
        <f>IFERROR(SUMIFS('Base bordo CD'!M$2:M$875,'Base bordo CD'!D$2:D$875,A249,'Base bordo CD'!A$2:A$875,B249,'Base bordo CD'!L$2:L$875,"MAN CORRETIVA*"),0)+IFERROR(SUMIFS('Base bordo CD'!M$2:M$875,'Base bordo CD'!D$2:D$875,A249,'Base bordo CD'!A$2:A$875,B249,'Base bordo CD'!L$2:L$875,"AGUARDANDO MANUTENCAO*"),0)+IFERROR(SUMIFS('Base bordo CD'!M$2:M$875,'Base bordo CD'!D$2:D$875,A249,'Base bordo CD'!A$2:A$875,B249,'Base bordo CD'!L$2:L$875,"TROCA DE FAQUINHA"),0)+IFERROR(SUMIFS('Base bordo CD'!M$2:M$875,'Base bordo CD'!D$2:D$875,A249,'Base bordo CD'!A$2:A$875,B249,'Base bordo CD'!L$2:L$875,"LIMPEZA*"),0)</f>
        <v>0.42805555555555558</v>
      </c>
      <c r="L249" s="10">
        <f>IFERROR(SUMIFS('Base bordo CD'!M$2:M$875,'Base bordo CD'!D$2:D$875,A249,'Base bordo CD'!A$2:A$875,B249,'Base bordo CD'!L$2:L$875,"PATIO - RESERVA"),0)</f>
        <v>0</v>
      </c>
      <c r="M249" s="10">
        <f>IFERROR(SUMIFS('Base bordo CD'!M$2:M$875,'Base bordo CD'!D$2:D$875,A249,'Base bordo CD'!A$2:A$875,B249,'Base bordo CD'!L$2:L$875,"SEM APONTAMENTO"),0)</f>
        <v>7.4722222222222232E-2</v>
      </c>
      <c r="N249" s="10">
        <f>IFERROR(SUMIFS('Base bordo CD'!M$2:M$875,'Base bordo CD'!D$2:D$875,A249,'Base bordo CD'!A$2:A$875,B249,'Base bordo CD'!L$2:L$875,"FALTA DE CAMINHÃO"),0)+IFERROR(SUMIFS('Base bordo CD'!M$2:M$875,'Base bordo CD'!D$2:D$875,A249,'Base bordo CD'!A$2:A$875,B249,'Base bordo CD'!L$2:L$875,"FALTA DE COMBUSTIVEL"),0)+IFERROR(SUMIFS('Base bordo CD'!M$2:M$875,'Base bordo CD'!D$2:D$875,A249,'Base bordo CD'!A$2:A$875,B249,'Base bordo CD'!L$2:L$875,"FALTA DE MOTORIST*"),0)</f>
        <v>0</v>
      </c>
      <c r="O249" s="10">
        <f t="shared" si="20"/>
        <v>1.737777777777783</v>
      </c>
      <c r="P249" s="10">
        <f>IFERROR(SUMIFS('Base bordo CD'!M$2:M$875,'Base bordo CD'!D$2:D$875,A249,'Base bordo CD'!A$2:A$875,B249),0)</f>
        <v>24.000000000000004</v>
      </c>
      <c r="Q249" s="10">
        <f>IFERROR(SUMIFS('Base bordo CD'!O$2:O$875,'Base bordo CD'!D$2:D$875,A249,'Base bordo CD'!A$2:A$875,B249,'Base bordo CD'!L$2:L$875,"CORTE DE CANA MECANIZADO"),0)</f>
        <v>78977.72</v>
      </c>
      <c r="R249" s="10">
        <f>IFERROR(SUMIFS('Base bordo CD'!Q$2:Q$875,'Base bordo CD'!D$2:D$875,A249,'Base bordo CD'!A$2:A$875,B249,'Base bordo CD'!L$2:L$875,"CORTE DE CANA MECANIZADO"),0)</f>
        <v>18082</v>
      </c>
      <c r="S249" s="30">
        <f t="shared" si="21"/>
        <v>4.3677535670832874</v>
      </c>
      <c r="T249" s="9">
        <f t="shared" si="22"/>
        <v>0.20928240740740739</v>
      </c>
      <c r="U249" s="9">
        <f t="shared" si="23"/>
        <v>3.9317129629629619E-2</v>
      </c>
      <c r="V249" s="9">
        <f t="shared" si="24"/>
        <v>0.78063657407407416</v>
      </c>
    </row>
    <row r="250" spans="1:22" hidden="1" x14ac:dyDescent="0.35">
      <c r="A250" s="52">
        <v>49593</v>
      </c>
      <c r="B250" s="31">
        <v>46123</v>
      </c>
      <c r="C250" s="7" t="s">
        <v>321</v>
      </c>
      <c r="D250" s="7">
        <v>351</v>
      </c>
      <c r="E250" s="10">
        <f>IFERROR(SUMIFS('Base bordo CD'!M$2:M$875,'Base bordo CD'!D$2:D$875,A250,'Base bordo CD'!A$2:A$875,B250,'Base bordo CD'!L$2:L$875,"CORTE DE CANA MECANIZADO"),0)</f>
        <v>5.0227777777777778</v>
      </c>
      <c r="F250" s="10">
        <f>IFERROR(SUMIFS('Base bordo CD'!M$2:M$875,'Base bordo CD'!D$2:D$875,A250,'Base bordo CD'!A$2:A$875,B250,'Base bordo CD'!L$2:L$875,"MANOBRA"),0)</f>
        <v>0.94361111111111107</v>
      </c>
      <c r="G250" s="10">
        <f>IFERROR(SUMIFS('Base bordo CD'!M$2:M$875,'Base bordo CD'!D$2:D$875,A250,'Base bordo CD'!A$2:A$875,B250,'Base bordo CD'!L$2:L$875,"DESLOCAMENTO"),0)</f>
        <v>0.24194444444444446</v>
      </c>
      <c r="H250" s="10">
        <f>IFERROR(SUMIFS('Base bordo CD'!M$2:M$875,'Base bordo CD'!D$2:D$875,A250,'Base bordo CD'!A$2:A$875,B250,'Base bordo CD'!L$2:L$875,"AGUARDANDO MANOBRA DE TRANSBORDO"),0)+IFERROR(SUMIFS('Base bordo CD'!M$2:M$875,'Base bordo CD'!D$2:D$875,A250,'Base bordo CD'!A$2:A$875,B250,'Base bordo CD'!L$2:L$875,"FALTA DE TRANSBORDO"),0)</f>
        <v>8.6944444444444435E-2</v>
      </c>
      <c r="I250" s="10">
        <f>IFERROR(SUMIFS('Base bordo CD'!M$2:M$875,'Base bordo CD'!D$2:D$875,A250,'Base bordo CD'!A$2:A$875,B250,'Base bordo CD'!L$2:L$875,"PARADA POR CONDICOES CLIMATICAS"),0)+IFERROR(SUMIFS('Base bordo CD'!M$2:M$875,'Base bordo CD'!D$2:D$875,A250,'Base bordo CD'!A$2:A$875,B250,'Base bordo CD'!L$2:L$875,"TEMPO INDETERMINADO"),0)</f>
        <v>15.464166666666667</v>
      </c>
      <c r="J250" s="10">
        <f>IFERROR(SUMIFS('Base bordo CD'!M$2:M$875,'Base bordo CD'!D$2:D$875,A250,'Base bordo CD'!A$2:A$875,B250,'Base bordo CD'!L$2:L$875,"LIMITAÇÃO INDÚSTRIA"),0)</f>
        <v>0</v>
      </c>
      <c r="K250" s="10">
        <f>IFERROR(SUMIFS('Base bordo CD'!M$2:M$875,'Base bordo CD'!D$2:D$875,A250,'Base bordo CD'!A$2:A$875,B250,'Base bordo CD'!L$2:L$875,"MAN CORRETIVA*"),0)+IFERROR(SUMIFS('Base bordo CD'!M$2:M$875,'Base bordo CD'!D$2:D$875,A250,'Base bordo CD'!A$2:A$875,B250,'Base bordo CD'!L$2:L$875,"AGUARDANDO MANUTENCAO*"),0)+IFERROR(SUMIFS('Base bordo CD'!M$2:M$875,'Base bordo CD'!D$2:D$875,A250,'Base bordo CD'!A$2:A$875,B250,'Base bordo CD'!L$2:L$875,"TROCA DE FAQUINHA"),0)+IFERROR(SUMIFS('Base bordo CD'!M$2:M$875,'Base bordo CD'!D$2:D$875,A250,'Base bordo CD'!A$2:A$875,B250,'Base bordo CD'!L$2:L$875,"LIMPEZA*"),0)</f>
        <v>0.42805555555555558</v>
      </c>
      <c r="L250" s="10">
        <f>IFERROR(SUMIFS('Base bordo CD'!M$2:M$875,'Base bordo CD'!D$2:D$875,A250,'Base bordo CD'!A$2:A$875,B250,'Base bordo CD'!L$2:L$875,"PATIO - RESERVA"),0)</f>
        <v>0</v>
      </c>
      <c r="M250" s="10">
        <f>IFERROR(SUMIFS('Base bordo CD'!M$2:M$875,'Base bordo CD'!D$2:D$875,A250,'Base bordo CD'!A$2:A$875,B250,'Base bordo CD'!L$2:L$875,"SEM APONTAMENTO"),0)</f>
        <v>7.4722222222222232E-2</v>
      </c>
      <c r="N250" s="10">
        <f>IFERROR(SUMIFS('Base bordo CD'!M$2:M$875,'Base bordo CD'!D$2:D$875,A250,'Base bordo CD'!A$2:A$875,B250,'Base bordo CD'!L$2:L$875,"FALTA DE CAMINHÃO"),0)+IFERROR(SUMIFS('Base bordo CD'!M$2:M$875,'Base bordo CD'!D$2:D$875,A250,'Base bordo CD'!A$2:A$875,B250,'Base bordo CD'!L$2:L$875,"FALTA DE COMBUSTIVEL"),0)+IFERROR(SUMIFS('Base bordo CD'!M$2:M$875,'Base bordo CD'!D$2:D$875,A250,'Base bordo CD'!A$2:A$875,B250,'Base bordo CD'!L$2:L$875,"FALTA DE MOTORIST*"),0)</f>
        <v>0</v>
      </c>
      <c r="O250" s="10">
        <f t="shared" si="20"/>
        <v>1.737777777777783</v>
      </c>
      <c r="P250" s="10">
        <f>IFERROR(SUMIFS('Base bordo CD'!M$2:M$875,'Base bordo CD'!D$2:D$875,A250,'Base bordo CD'!A$2:A$875,B250),0)</f>
        <v>24.000000000000004</v>
      </c>
      <c r="Q250" s="10">
        <f>IFERROR(SUMIFS('Base bordo CD'!O$2:O$875,'Base bordo CD'!D$2:D$875,A250,'Base bordo CD'!A$2:A$875,B250,'Base bordo CD'!L$2:L$875,"CORTE DE CANA MECANIZADO"),0)</f>
        <v>78977.72</v>
      </c>
      <c r="R250" s="10">
        <f>IFERROR(SUMIFS('Base bordo CD'!Q$2:Q$875,'Base bordo CD'!D$2:D$875,A250,'Base bordo CD'!A$2:A$875,B250,'Base bordo CD'!L$2:L$875,"CORTE DE CANA MECANIZADO"),0)</f>
        <v>18082</v>
      </c>
      <c r="S250" s="30">
        <f t="shared" si="21"/>
        <v>4.3677535670832874</v>
      </c>
      <c r="T250" s="9">
        <f t="shared" si="22"/>
        <v>0.20928240740740739</v>
      </c>
      <c r="U250" s="9">
        <f t="shared" si="23"/>
        <v>3.9317129629629619E-2</v>
      </c>
      <c r="V250" s="9">
        <f t="shared" si="24"/>
        <v>0.78063657407407416</v>
      </c>
    </row>
    <row r="251" spans="1:22" hidden="1" x14ac:dyDescent="0.35">
      <c r="A251" s="52">
        <v>49593</v>
      </c>
      <c r="B251" s="31">
        <v>46123</v>
      </c>
      <c r="C251" s="7" t="s">
        <v>321</v>
      </c>
      <c r="D251" s="7">
        <v>351</v>
      </c>
      <c r="E251" s="10">
        <f>IFERROR(SUMIFS('Base bordo CD'!M$2:M$875,'Base bordo CD'!D$2:D$875,A251,'Base bordo CD'!A$2:A$875,B251,'Base bordo CD'!L$2:L$875,"CORTE DE CANA MECANIZADO"),0)</f>
        <v>5.0227777777777778</v>
      </c>
      <c r="F251" s="10">
        <f>IFERROR(SUMIFS('Base bordo CD'!M$2:M$875,'Base bordo CD'!D$2:D$875,A251,'Base bordo CD'!A$2:A$875,B251,'Base bordo CD'!L$2:L$875,"MANOBRA"),0)</f>
        <v>0.94361111111111107</v>
      </c>
      <c r="G251" s="10">
        <f>IFERROR(SUMIFS('Base bordo CD'!M$2:M$875,'Base bordo CD'!D$2:D$875,A251,'Base bordo CD'!A$2:A$875,B251,'Base bordo CD'!L$2:L$875,"DESLOCAMENTO"),0)</f>
        <v>0.24194444444444446</v>
      </c>
      <c r="H251" s="10">
        <f>IFERROR(SUMIFS('Base bordo CD'!M$2:M$875,'Base bordo CD'!D$2:D$875,A251,'Base bordo CD'!A$2:A$875,B251,'Base bordo CD'!L$2:L$875,"AGUARDANDO MANOBRA DE TRANSBORDO"),0)+IFERROR(SUMIFS('Base bordo CD'!M$2:M$875,'Base bordo CD'!D$2:D$875,A251,'Base bordo CD'!A$2:A$875,B251,'Base bordo CD'!L$2:L$875,"FALTA DE TRANSBORDO"),0)</f>
        <v>8.6944444444444435E-2</v>
      </c>
      <c r="I251" s="10">
        <f>IFERROR(SUMIFS('Base bordo CD'!M$2:M$875,'Base bordo CD'!D$2:D$875,A251,'Base bordo CD'!A$2:A$875,B251,'Base bordo CD'!L$2:L$875,"PARADA POR CONDICOES CLIMATICAS"),0)+IFERROR(SUMIFS('Base bordo CD'!M$2:M$875,'Base bordo CD'!D$2:D$875,A251,'Base bordo CD'!A$2:A$875,B251,'Base bordo CD'!L$2:L$875,"TEMPO INDETERMINADO"),0)</f>
        <v>15.464166666666667</v>
      </c>
      <c r="J251" s="10">
        <f>IFERROR(SUMIFS('Base bordo CD'!M$2:M$875,'Base bordo CD'!D$2:D$875,A251,'Base bordo CD'!A$2:A$875,B251,'Base bordo CD'!L$2:L$875,"LIMITAÇÃO INDÚSTRIA"),0)</f>
        <v>0</v>
      </c>
      <c r="K251" s="10">
        <f>IFERROR(SUMIFS('Base bordo CD'!M$2:M$875,'Base bordo CD'!D$2:D$875,A251,'Base bordo CD'!A$2:A$875,B251,'Base bordo CD'!L$2:L$875,"MAN CORRETIVA*"),0)+IFERROR(SUMIFS('Base bordo CD'!M$2:M$875,'Base bordo CD'!D$2:D$875,A251,'Base bordo CD'!A$2:A$875,B251,'Base bordo CD'!L$2:L$875,"AGUARDANDO MANUTENCAO*"),0)+IFERROR(SUMIFS('Base bordo CD'!M$2:M$875,'Base bordo CD'!D$2:D$875,A251,'Base bordo CD'!A$2:A$875,B251,'Base bordo CD'!L$2:L$875,"TROCA DE FAQUINHA"),0)+IFERROR(SUMIFS('Base bordo CD'!M$2:M$875,'Base bordo CD'!D$2:D$875,A251,'Base bordo CD'!A$2:A$875,B251,'Base bordo CD'!L$2:L$875,"LIMPEZA*"),0)</f>
        <v>0.42805555555555558</v>
      </c>
      <c r="L251" s="10">
        <f>IFERROR(SUMIFS('Base bordo CD'!M$2:M$875,'Base bordo CD'!D$2:D$875,A251,'Base bordo CD'!A$2:A$875,B251,'Base bordo CD'!L$2:L$875,"PATIO - RESERVA"),0)</f>
        <v>0</v>
      </c>
      <c r="M251" s="10">
        <f>IFERROR(SUMIFS('Base bordo CD'!M$2:M$875,'Base bordo CD'!D$2:D$875,A251,'Base bordo CD'!A$2:A$875,B251,'Base bordo CD'!L$2:L$875,"SEM APONTAMENTO"),0)</f>
        <v>7.4722222222222232E-2</v>
      </c>
      <c r="N251" s="10">
        <f>IFERROR(SUMIFS('Base bordo CD'!M$2:M$875,'Base bordo CD'!D$2:D$875,A251,'Base bordo CD'!A$2:A$875,B251,'Base bordo CD'!L$2:L$875,"FALTA DE CAMINHÃO"),0)+IFERROR(SUMIFS('Base bordo CD'!M$2:M$875,'Base bordo CD'!D$2:D$875,A251,'Base bordo CD'!A$2:A$875,B251,'Base bordo CD'!L$2:L$875,"FALTA DE COMBUSTIVEL"),0)+IFERROR(SUMIFS('Base bordo CD'!M$2:M$875,'Base bordo CD'!D$2:D$875,A251,'Base bordo CD'!A$2:A$875,B251,'Base bordo CD'!L$2:L$875,"FALTA DE MOTORIST*"),0)</f>
        <v>0</v>
      </c>
      <c r="O251" s="10">
        <f t="shared" si="20"/>
        <v>1.737777777777783</v>
      </c>
      <c r="P251" s="10">
        <f>IFERROR(SUMIFS('Base bordo CD'!M$2:M$875,'Base bordo CD'!D$2:D$875,A251,'Base bordo CD'!A$2:A$875,B251),0)</f>
        <v>24.000000000000004</v>
      </c>
      <c r="Q251" s="10">
        <f>IFERROR(SUMIFS('Base bordo CD'!O$2:O$875,'Base bordo CD'!D$2:D$875,A251,'Base bordo CD'!A$2:A$875,B251,'Base bordo CD'!L$2:L$875,"CORTE DE CANA MECANIZADO"),0)</f>
        <v>78977.72</v>
      </c>
      <c r="R251" s="10">
        <f>IFERROR(SUMIFS('Base bordo CD'!Q$2:Q$875,'Base bordo CD'!D$2:D$875,A251,'Base bordo CD'!A$2:A$875,B251,'Base bordo CD'!L$2:L$875,"CORTE DE CANA MECANIZADO"),0)</f>
        <v>18082</v>
      </c>
      <c r="S251" s="30">
        <f t="shared" si="21"/>
        <v>4.3677535670832874</v>
      </c>
      <c r="T251" s="9">
        <f t="shared" si="22"/>
        <v>0.20928240740740739</v>
      </c>
      <c r="U251" s="9">
        <f t="shared" si="23"/>
        <v>3.9317129629629619E-2</v>
      </c>
      <c r="V251" s="9">
        <f t="shared" si="24"/>
        <v>0.78063657407407416</v>
      </c>
    </row>
    <row r="252" spans="1:22" hidden="1" x14ac:dyDescent="0.35">
      <c r="A252" s="52">
        <v>49593</v>
      </c>
      <c r="B252" s="31">
        <v>46123</v>
      </c>
      <c r="C252" s="7" t="s">
        <v>321</v>
      </c>
      <c r="D252" s="7">
        <v>351</v>
      </c>
      <c r="E252" s="10">
        <f>IFERROR(SUMIFS('Base bordo CD'!M$2:M$875,'Base bordo CD'!D$2:D$875,A252,'Base bordo CD'!A$2:A$875,B252,'Base bordo CD'!L$2:L$875,"CORTE DE CANA MECANIZADO"),0)</f>
        <v>5.0227777777777778</v>
      </c>
      <c r="F252" s="10">
        <f>IFERROR(SUMIFS('Base bordo CD'!M$2:M$875,'Base bordo CD'!D$2:D$875,A252,'Base bordo CD'!A$2:A$875,B252,'Base bordo CD'!L$2:L$875,"MANOBRA"),0)</f>
        <v>0.94361111111111107</v>
      </c>
      <c r="G252" s="10">
        <f>IFERROR(SUMIFS('Base bordo CD'!M$2:M$875,'Base bordo CD'!D$2:D$875,A252,'Base bordo CD'!A$2:A$875,B252,'Base bordo CD'!L$2:L$875,"DESLOCAMENTO"),0)</f>
        <v>0.24194444444444446</v>
      </c>
      <c r="H252" s="10">
        <f>IFERROR(SUMIFS('Base bordo CD'!M$2:M$875,'Base bordo CD'!D$2:D$875,A252,'Base bordo CD'!A$2:A$875,B252,'Base bordo CD'!L$2:L$875,"AGUARDANDO MANOBRA DE TRANSBORDO"),0)+IFERROR(SUMIFS('Base bordo CD'!M$2:M$875,'Base bordo CD'!D$2:D$875,A252,'Base bordo CD'!A$2:A$875,B252,'Base bordo CD'!L$2:L$875,"FALTA DE TRANSBORDO"),0)</f>
        <v>8.6944444444444435E-2</v>
      </c>
      <c r="I252" s="10">
        <f>IFERROR(SUMIFS('Base bordo CD'!M$2:M$875,'Base bordo CD'!D$2:D$875,A252,'Base bordo CD'!A$2:A$875,B252,'Base bordo CD'!L$2:L$875,"PARADA POR CONDICOES CLIMATICAS"),0)+IFERROR(SUMIFS('Base bordo CD'!M$2:M$875,'Base bordo CD'!D$2:D$875,A252,'Base bordo CD'!A$2:A$875,B252,'Base bordo CD'!L$2:L$875,"TEMPO INDETERMINADO"),0)</f>
        <v>15.464166666666667</v>
      </c>
      <c r="J252" s="10">
        <f>IFERROR(SUMIFS('Base bordo CD'!M$2:M$875,'Base bordo CD'!D$2:D$875,A252,'Base bordo CD'!A$2:A$875,B252,'Base bordo CD'!L$2:L$875,"LIMITAÇÃO INDÚSTRIA"),0)</f>
        <v>0</v>
      </c>
      <c r="K252" s="10">
        <f>IFERROR(SUMIFS('Base bordo CD'!M$2:M$875,'Base bordo CD'!D$2:D$875,A252,'Base bordo CD'!A$2:A$875,B252,'Base bordo CD'!L$2:L$875,"MAN CORRETIVA*"),0)+IFERROR(SUMIFS('Base bordo CD'!M$2:M$875,'Base bordo CD'!D$2:D$875,A252,'Base bordo CD'!A$2:A$875,B252,'Base bordo CD'!L$2:L$875,"AGUARDANDO MANUTENCAO*"),0)+IFERROR(SUMIFS('Base bordo CD'!M$2:M$875,'Base bordo CD'!D$2:D$875,A252,'Base bordo CD'!A$2:A$875,B252,'Base bordo CD'!L$2:L$875,"TROCA DE FAQUINHA"),0)+IFERROR(SUMIFS('Base bordo CD'!M$2:M$875,'Base bordo CD'!D$2:D$875,A252,'Base bordo CD'!A$2:A$875,B252,'Base bordo CD'!L$2:L$875,"LIMPEZA*"),0)</f>
        <v>0.42805555555555558</v>
      </c>
      <c r="L252" s="10">
        <f>IFERROR(SUMIFS('Base bordo CD'!M$2:M$875,'Base bordo CD'!D$2:D$875,A252,'Base bordo CD'!A$2:A$875,B252,'Base bordo CD'!L$2:L$875,"PATIO - RESERVA"),0)</f>
        <v>0</v>
      </c>
      <c r="M252" s="10">
        <f>IFERROR(SUMIFS('Base bordo CD'!M$2:M$875,'Base bordo CD'!D$2:D$875,A252,'Base bordo CD'!A$2:A$875,B252,'Base bordo CD'!L$2:L$875,"SEM APONTAMENTO"),0)</f>
        <v>7.4722222222222232E-2</v>
      </c>
      <c r="N252" s="10">
        <f>IFERROR(SUMIFS('Base bordo CD'!M$2:M$875,'Base bordo CD'!D$2:D$875,A252,'Base bordo CD'!A$2:A$875,B252,'Base bordo CD'!L$2:L$875,"FALTA DE CAMINHÃO"),0)+IFERROR(SUMIFS('Base bordo CD'!M$2:M$875,'Base bordo CD'!D$2:D$875,A252,'Base bordo CD'!A$2:A$875,B252,'Base bordo CD'!L$2:L$875,"FALTA DE COMBUSTIVEL"),0)+IFERROR(SUMIFS('Base bordo CD'!M$2:M$875,'Base bordo CD'!D$2:D$875,A252,'Base bordo CD'!A$2:A$875,B252,'Base bordo CD'!L$2:L$875,"FALTA DE MOTORIST*"),0)</f>
        <v>0</v>
      </c>
      <c r="O252" s="10">
        <f t="shared" si="20"/>
        <v>1.737777777777783</v>
      </c>
      <c r="P252" s="10">
        <f>IFERROR(SUMIFS('Base bordo CD'!M$2:M$875,'Base bordo CD'!D$2:D$875,A252,'Base bordo CD'!A$2:A$875,B252),0)</f>
        <v>24.000000000000004</v>
      </c>
      <c r="Q252" s="10">
        <f>IFERROR(SUMIFS('Base bordo CD'!O$2:O$875,'Base bordo CD'!D$2:D$875,A252,'Base bordo CD'!A$2:A$875,B252,'Base bordo CD'!L$2:L$875,"CORTE DE CANA MECANIZADO"),0)</f>
        <v>78977.72</v>
      </c>
      <c r="R252" s="10">
        <f>IFERROR(SUMIFS('Base bordo CD'!Q$2:Q$875,'Base bordo CD'!D$2:D$875,A252,'Base bordo CD'!A$2:A$875,B252,'Base bordo CD'!L$2:L$875,"CORTE DE CANA MECANIZADO"),0)</f>
        <v>18082</v>
      </c>
      <c r="S252" s="30">
        <f t="shared" si="21"/>
        <v>4.3677535670832874</v>
      </c>
      <c r="T252" s="9">
        <f t="shared" si="22"/>
        <v>0.20928240740740739</v>
      </c>
      <c r="U252" s="9">
        <f t="shared" si="23"/>
        <v>3.9317129629629619E-2</v>
      </c>
      <c r="V252" s="9">
        <f t="shared" si="24"/>
        <v>0.78063657407407416</v>
      </c>
    </row>
    <row r="253" spans="1:22" hidden="1" x14ac:dyDescent="0.35">
      <c r="A253" s="52">
        <v>49593</v>
      </c>
      <c r="B253" s="31">
        <v>46123</v>
      </c>
      <c r="C253" s="7" t="s">
        <v>321</v>
      </c>
      <c r="D253" s="7">
        <v>351</v>
      </c>
      <c r="E253" s="10">
        <f>IFERROR(SUMIFS('Base bordo CD'!M$2:M$875,'Base bordo CD'!D$2:D$875,A253,'Base bordo CD'!A$2:A$875,B253,'Base bordo CD'!L$2:L$875,"CORTE DE CANA MECANIZADO"),0)</f>
        <v>5.0227777777777778</v>
      </c>
      <c r="F253" s="10">
        <f>IFERROR(SUMIFS('Base bordo CD'!M$2:M$875,'Base bordo CD'!D$2:D$875,A253,'Base bordo CD'!A$2:A$875,B253,'Base bordo CD'!L$2:L$875,"MANOBRA"),0)</f>
        <v>0.94361111111111107</v>
      </c>
      <c r="G253" s="10">
        <f>IFERROR(SUMIFS('Base bordo CD'!M$2:M$875,'Base bordo CD'!D$2:D$875,A253,'Base bordo CD'!A$2:A$875,B253,'Base bordo CD'!L$2:L$875,"DESLOCAMENTO"),0)</f>
        <v>0.24194444444444446</v>
      </c>
      <c r="H253" s="10">
        <f>IFERROR(SUMIFS('Base bordo CD'!M$2:M$875,'Base bordo CD'!D$2:D$875,A253,'Base bordo CD'!A$2:A$875,B253,'Base bordo CD'!L$2:L$875,"AGUARDANDO MANOBRA DE TRANSBORDO"),0)+IFERROR(SUMIFS('Base bordo CD'!M$2:M$875,'Base bordo CD'!D$2:D$875,A253,'Base bordo CD'!A$2:A$875,B253,'Base bordo CD'!L$2:L$875,"FALTA DE TRANSBORDO"),0)</f>
        <v>8.6944444444444435E-2</v>
      </c>
      <c r="I253" s="10">
        <f>IFERROR(SUMIFS('Base bordo CD'!M$2:M$875,'Base bordo CD'!D$2:D$875,A253,'Base bordo CD'!A$2:A$875,B253,'Base bordo CD'!L$2:L$875,"PARADA POR CONDICOES CLIMATICAS"),0)+IFERROR(SUMIFS('Base bordo CD'!M$2:M$875,'Base bordo CD'!D$2:D$875,A253,'Base bordo CD'!A$2:A$875,B253,'Base bordo CD'!L$2:L$875,"TEMPO INDETERMINADO"),0)</f>
        <v>15.464166666666667</v>
      </c>
      <c r="J253" s="10">
        <f>IFERROR(SUMIFS('Base bordo CD'!M$2:M$875,'Base bordo CD'!D$2:D$875,A253,'Base bordo CD'!A$2:A$875,B253,'Base bordo CD'!L$2:L$875,"LIMITAÇÃO INDÚSTRIA"),0)</f>
        <v>0</v>
      </c>
      <c r="K253" s="10">
        <f>IFERROR(SUMIFS('Base bordo CD'!M$2:M$875,'Base bordo CD'!D$2:D$875,A253,'Base bordo CD'!A$2:A$875,B253,'Base bordo CD'!L$2:L$875,"MAN CORRETIVA*"),0)+IFERROR(SUMIFS('Base bordo CD'!M$2:M$875,'Base bordo CD'!D$2:D$875,A253,'Base bordo CD'!A$2:A$875,B253,'Base bordo CD'!L$2:L$875,"AGUARDANDO MANUTENCAO*"),0)+IFERROR(SUMIFS('Base bordo CD'!M$2:M$875,'Base bordo CD'!D$2:D$875,A253,'Base bordo CD'!A$2:A$875,B253,'Base bordo CD'!L$2:L$875,"TROCA DE FAQUINHA"),0)+IFERROR(SUMIFS('Base bordo CD'!M$2:M$875,'Base bordo CD'!D$2:D$875,A253,'Base bordo CD'!A$2:A$875,B253,'Base bordo CD'!L$2:L$875,"LIMPEZA*"),0)</f>
        <v>0.42805555555555558</v>
      </c>
      <c r="L253" s="10">
        <f>IFERROR(SUMIFS('Base bordo CD'!M$2:M$875,'Base bordo CD'!D$2:D$875,A253,'Base bordo CD'!A$2:A$875,B253,'Base bordo CD'!L$2:L$875,"PATIO - RESERVA"),0)</f>
        <v>0</v>
      </c>
      <c r="M253" s="10">
        <f>IFERROR(SUMIFS('Base bordo CD'!M$2:M$875,'Base bordo CD'!D$2:D$875,A253,'Base bordo CD'!A$2:A$875,B253,'Base bordo CD'!L$2:L$875,"SEM APONTAMENTO"),0)</f>
        <v>7.4722222222222232E-2</v>
      </c>
      <c r="N253" s="10">
        <f>IFERROR(SUMIFS('Base bordo CD'!M$2:M$875,'Base bordo CD'!D$2:D$875,A253,'Base bordo CD'!A$2:A$875,B253,'Base bordo CD'!L$2:L$875,"FALTA DE CAMINHÃO"),0)+IFERROR(SUMIFS('Base bordo CD'!M$2:M$875,'Base bordo CD'!D$2:D$875,A253,'Base bordo CD'!A$2:A$875,B253,'Base bordo CD'!L$2:L$875,"FALTA DE COMBUSTIVEL"),0)+IFERROR(SUMIFS('Base bordo CD'!M$2:M$875,'Base bordo CD'!D$2:D$875,A253,'Base bordo CD'!A$2:A$875,B253,'Base bordo CD'!L$2:L$875,"FALTA DE MOTORIST*"),0)</f>
        <v>0</v>
      </c>
      <c r="O253" s="10">
        <f t="shared" si="20"/>
        <v>1.737777777777783</v>
      </c>
      <c r="P253" s="10">
        <f>IFERROR(SUMIFS('Base bordo CD'!M$2:M$875,'Base bordo CD'!D$2:D$875,A253,'Base bordo CD'!A$2:A$875,B253),0)</f>
        <v>24.000000000000004</v>
      </c>
      <c r="Q253" s="10">
        <f>IFERROR(SUMIFS('Base bordo CD'!O$2:O$875,'Base bordo CD'!D$2:D$875,A253,'Base bordo CD'!A$2:A$875,B253,'Base bordo CD'!L$2:L$875,"CORTE DE CANA MECANIZADO"),0)</f>
        <v>78977.72</v>
      </c>
      <c r="R253" s="10">
        <f>IFERROR(SUMIFS('Base bordo CD'!Q$2:Q$875,'Base bordo CD'!D$2:D$875,A253,'Base bordo CD'!A$2:A$875,B253,'Base bordo CD'!L$2:L$875,"CORTE DE CANA MECANIZADO"),0)</f>
        <v>18082</v>
      </c>
      <c r="S253" s="30">
        <f t="shared" si="21"/>
        <v>4.3677535670832874</v>
      </c>
      <c r="T253" s="9">
        <f t="shared" si="22"/>
        <v>0.20928240740740739</v>
      </c>
      <c r="U253" s="9">
        <f t="shared" si="23"/>
        <v>3.9317129629629619E-2</v>
      </c>
      <c r="V253" s="9">
        <f t="shared" si="24"/>
        <v>0.78063657407407416</v>
      </c>
    </row>
    <row r="254" spans="1:22" x14ac:dyDescent="0.35">
      <c r="A254" s="52">
        <v>49595</v>
      </c>
      <c r="B254" s="31">
        <v>46123</v>
      </c>
      <c r="C254" s="7" t="s">
        <v>337</v>
      </c>
      <c r="D254" s="7">
        <v>353</v>
      </c>
      <c r="E254" s="10">
        <f>IFERROR(SUMIFS('Base bordo CD'!M$2:M$875,'Base bordo CD'!D$2:D$875,A254,'Base bordo CD'!A$2:A$875,B254,'Base bordo CD'!L$2:L$875,"CORTE DE CANA MECANIZADO"),0)</f>
        <v>7.2758333333333338</v>
      </c>
      <c r="F254" s="10">
        <f>IFERROR(SUMIFS('Base bordo CD'!M$2:M$875,'Base bordo CD'!D$2:D$875,A254,'Base bordo CD'!A$2:A$875,B254,'Base bordo CD'!L$2:L$875,"MANOBRA"),0)</f>
        <v>1.6044444444444443</v>
      </c>
      <c r="G254" s="10">
        <f>IFERROR(SUMIFS('Base bordo CD'!M$2:M$875,'Base bordo CD'!D$2:D$875,A254,'Base bordo CD'!A$2:A$875,B254,'Base bordo CD'!L$2:L$875,"DESLOCAMENTO"),0)</f>
        <v>0.20972222222222223</v>
      </c>
      <c r="H254" s="10">
        <f>IFERROR(SUMIFS('Base bordo CD'!M$2:M$875,'Base bordo CD'!D$2:D$875,A254,'Base bordo CD'!A$2:A$875,B254,'Base bordo CD'!L$2:L$875,"AGUARDANDO MANOBRA DE TRANSBORDO"),0)+IFERROR(SUMIFS('Base bordo CD'!M$2:M$875,'Base bordo CD'!D$2:D$875,A254,'Base bordo CD'!A$2:A$875,B254,'Base bordo CD'!L$2:L$875,"FALTA DE TRANSBORDO"),0)</f>
        <v>0</v>
      </c>
      <c r="I254" s="10">
        <f>IFERROR(SUMIFS('Base bordo CD'!M$2:M$875,'Base bordo CD'!D$2:D$875,A254,'Base bordo CD'!A$2:A$875,B254,'Base bordo CD'!L$2:L$875,"PARADA POR CONDICOES CLIMATICAS"),0)+IFERROR(SUMIFS('Base bordo CD'!M$2:M$875,'Base bordo CD'!D$2:D$875,A254,'Base bordo CD'!A$2:A$875,B254,'Base bordo CD'!L$2:L$875,"TEMPO INDETERMINADO"),0)</f>
        <v>14.705833333333334</v>
      </c>
      <c r="J254" s="10">
        <f>IFERROR(SUMIFS('Base bordo CD'!M$2:M$875,'Base bordo CD'!D$2:D$875,A254,'Base bordo CD'!A$2:A$875,B254,'Base bordo CD'!L$2:L$875,"LIMITAÇÃO INDÚSTRIA"),0)</f>
        <v>0</v>
      </c>
      <c r="K254" s="10">
        <f>IFERROR(SUMIFS('Base bordo CD'!M$2:M$875,'Base bordo CD'!D$2:D$875,A254,'Base bordo CD'!A$2:A$875,B254,'Base bordo CD'!L$2:L$875,"MAN CORRETIVA*"),0)+IFERROR(SUMIFS('Base bordo CD'!M$2:M$875,'Base bordo CD'!D$2:D$875,A254,'Base bordo CD'!A$2:A$875,B254,'Base bordo CD'!L$2:L$875,"AGUARDANDO MANUTENCAO*"),0)+IFERROR(SUMIFS('Base bordo CD'!M$2:M$875,'Base bordo CD'!D$2:D$875,A254,'Base bordo CD'!A$2:A$875,B254,'Base bordo CD'!L$2:L$875,"TROCA DE FAQUINHA"),0)+IFERROR(SUMIFS('Base bordo CD'!M$2:M$875,'Base bordo CD'!D$2:D$875,A254,'Base bordo CD'!A$2:A$875,B254,'Base bordo CD'!L$2:L$875,"LIMPEZA*"),0)</f>
        <v>0</v>
      </c>
      <c r="L254" s="10">
        <f>IFERROR(SUMIFS('Base bordo CD'!M$2:M$875,'Base bordo CD'!D$2:D$875,A254,'Base bordo CD'!A$2:A$875,B254,'Base bordo CD'!L$2:L$875,"PATIO - RESERVA"),0)</f>
        <v>0</v>
      </c>
      <c r="M254" s="10">
        <f>IFERROR(SUMIFS('Base bordo CD'!M$2:M$875,'Base bordo CD'!D$2:D$875,A254,'Base bordo CD'!A$2:A$875,B254,'Base bordo CD'!L$2:L$875,"SEM APONTAMENTO"),0)</f>
        <v>1.2777777777777779E-2</v>
      </c>
      <c r="N254" s="10">
        <f>IFERROR(SUMIFS('Base bordo CD'!M$2:M$875,'Base bordo CD'!D$2:D$875,A254,'Base bordo CD'!A$2:A$875,B254,'Base bordo CD'!L$2:L$875,"FALTA DE CAMINHÃO"),0)+IFERROR(SUMIFS('Base bordo CD'!M$2:M$875,'Base bordo CD'!D$2:D$875,A254,'Base bordo CD'!A$2:A$875,B254,'Base bordo CD'!L$2:L$875,"FALTA DE COMBUSTIVEL"),0)+IFERROR(SUMIFS('Base bordo CD'!M$2:M$875,'Base bordo CD'!D$2:D$875,A254,'Base bordo CD'!A$2:A$875,B254,'Base bordo CD'!L$2:L$875,"FALTA DE MOTORIST*"),0)</f>
        <v>0</v>
      </c>
      <c r="O254" s="10">
        <f t="shared" ref="O254:O317" si="25">IFERROR(P254-SUM(E254:N254),0)</f>
        <v>0.19138888888889127</v>
      </c>
      <c r="P254" s="10">
        <f>IFERROR(SUMIFS('Base bordo CD'!M$2:M$875,'Base bordo CD'!D$2:D$875,A254,'Base bordo CD'!A$2:A$875,B254),0)</f>
        <v>24.000000000000004</v>
      </c>
      <c r="Q254" s="10">
        <f>IFERROR(SUMIFS('Base bordo CD'!O$2:O$875,'Base bordo CD'!D$2:D$875,A254,'Base bordo CD'!A$2:A$875,B254,'Base bordo CD'!L$2:L$875,"CORTE DE CANA MECANIZADO"),0)</f>
        <v>102862.77</v>
      </c>
      <c r="R254" s="10">
        <f>IFERROR(SUMIFS('Base bordo CD'!Q$2:Q$875,'Base bordo CD'!D$2:D$875,A254,'Base bordo CD'!A$2:A$875,B254,'Base bordo CD'!L$2:L$875,"CORTE DE CANA MECANIZADO"),0)</f>
        <v>26193</v>
      </c>
      <c r="S254" s="30">
        <f t="shared" ref="S254:S317" si="26">IFERROR(Q254/R254,"")</f>
        <v>3.9271091512999656</v>
      </c>
      <c r="T254" s="9">
        <f t="shared" ref="T254:T317" si="27">IFERROR(E254/P254,0)</f>
        <v>0.30315972222222221</v>
      </c>
      <c r="U254" s="9">
        <f t="shared" ref="U254:U317" si="28">IFERROR(F254/P254,0)</f>
        <v>6.6851851851851843E-2</v>
      </c>
      <c r="V254" s="9">
        <f t="shared" ref="V254:V317" si="29">IFERROR(1-(E254+G254)/P254,0)</f>
        <v>0.6881018518518518</v>
      </c>
    </row>
    <row r="255" spans="1:22" x14ac:dyDescent="0.35">
      <c r="A255" s="52">
        <v>49595</v>
      </c>
      <c r="B255" s="31">
        <v>46123</v>
      </c>
      <c r="C255" s="7" t="s">
        <v>337</v>
      </c>
      <c r="D255" s="7">
        <v>353</v>
      </c>
      <c r="E255" s="10">
        <f>IFERROR(SUMIFS('Base bordo CD'!M$2:M$875,'Base bordo CD'!D$2:D$875,A255,'Base bordo CD'!A$2:A$875,B255,'Base bordo CD'!L$2:L$875,"CORTE DE CANA MECANIZADO"),0)</f>
        <v>7.2758333333333338</v>
      </c>
      <c r="F255" s="10">
        <f>IFERROR(SUMIFS('Base bordo CD'!M$2:M$875,'Base bordo CD'!D$2:D$875,A255,'Base bordo CD'!A$2:A$875,B255,'Base bordo CD'!L$2:L$875,"MANOBRA"),0)</f>
        <v>1.6044444444444443</v>
      </c>
      <c r="G255" s="10">
        <f>IFERROR(SUMIFS('Base bordo CD'!M$2:M$875,'Base bordo CD'!D$2:D$875,A255,'Base bordo CD'!A$2:A$875,B255,'Base bordo CD'!L$2:L$875,"DESLOCAMENTO"),0)</f>
        <v>0.20972222222222223</v>
      </c>
      <c r="H255" s="10">
        <f>IFERROR(SUMIFS('Base bordo CD'!M$2:M$875,'Base bordo CD'!D$2:D$875,A255,'Base bordo CD'!A$2:A$875,B255,'Base bordo CD'!L$2:L$875,"AGUARDANDO MANOBRA DE TRANSBORDO"),0)+IFERROR(SUMIFS('Base bordo CD'!M$2:M$875,'Base bordo CD'!D$2:D$875,A255,'Base bordo CD'!A$2:A$875,B255,'Base bordo CD'!L$2:L$875,"FALTA DE TRANSBORDO"),0)</f>
        <v>0</v>
      </c>
      <c r="I255" s="10">
        <f>IFERROR(SUMIFS('Base bordo CD'!M$2:M$875,'Base bordo CD'!D$2:D$875,A255,'Base bordo CD'!A$2:A$875,B255,'Base bordo CD'!L$2:L$875,"PARADA POR CONDICOES CLIMATICAS"),0)+IFERROR(SUMIFS('Base bordo CD'!M$2:M$875,'Base bordo CD'!D$2:D$875,A255,'Base bordo CD'!A$2:A$875,B255,'Base bordo CD'!L$2:L$875,"TEMPO INDETERMINADO"),0)</f>
        <v>14.705833333333334</v>
      </c>
      <c r="J255" s="10">
        <f>IFERROR(SUMIFS('Base bordo CD'!M$2:M$875,'Base bordo CD'!D$2:D$875,A255,'Base bordo CD'!A$2:A$875,B255,'Base bordo CD'!L$2:L$875,"LIMITAÇÃO INDÚSTRIA"),0)</f>
        <v>0</v>
      </c>
      <c r="K255" s="10">
        <f>IFERROR(SUMIFS('Base bordo CD'!M$2:M$875,'Base bordo CD'!D$2:D$875,A255,'Base bordo CD'!A$2:A$875,B255,'Base bordo CD'!L$2:L$875,"MAN CORRETIVA*"),0)+IFERROR(SUMIFS('Base bordo CD'!M$2:M$875,'Base bordo CD'!D$2:D$875,A255,'Base bordo CD'!A$2:A$875,B255,'Base bordo CD'!L$2:L$875,"AGUARDANDO MANUTENCAO*"),0)+IFERROR(SUMIFS('Base bordo CD'!M$2:M$875,'Base bordo CD'!D$2:D$875,A255,'Base bordo CD'!A$2:A$875,B255,'Base bordo CD'!L$2:L$875,"TROCA DE FAQUINHA"),0)+IFERROR(SUMIFS('Base bordo CD'!M$2:M$875,'Base bordo CD'!D$2:D$875,A255,'Base bordo CD'!A$2:A$875,B255,'Base bordo CD'!L$2:L$875,"LIMPEZA*"),0)</f>
        <v>0</v>
      </c>
      <c r="L255" s="10">
        <f>IFERROR(SUMIFS('Base bordo CD'!M$2:M$875,'Base bordo CD'!D$2:D$875,A255,'Base bordo CD'!A$2:A$875,B255,'Base bordo CD'!L$2:L$875,"PATIO - RESERVA"),0)</f>
        <v>0</v>
      </c>
      <c r="M255" s="10">
        <f>IFERROR(SUMIFS('Base bordo CD'!M$2:M$875,'Base bordo CD'!D$2:D$875,A255,'Base bordo CD'!A$2:A$875,B255,'Base bordo CD'!L$2:L$875,"SEM APONTAMENTO"),0)</f>
        <v>1.2777777777777779E-2</v>
      </c>
      <c r="N255" s="10">
        <f>IFERROR(SUMIFS('Base bordo CD'!M$2:M$875,'Base bordo CD'!D$2:D$875,A255,'Base bordo CD'!A$2:A$875,B255,'Base bordo CD'!L$2:L$875,"FALTA DE CAMINHÃO"),0)+IFERROR(SUMIFS('Base bordo CD'!M$2:M$875,'Base bordo CD'!D$2:D$875,A255,'Base bordo CD'!A$2:A$875,B255,'Base bordo CD'!L$2:L$875,"FALTA DE COMBUSTIVEL"),0)+IFERROR(SUMIFS('Base bordo CD'!M$2:M$875,'Base bordo CD'!D$2:D$875,A255,'Base bordo CD'!A$2:A$875,B255,'Base bordo CD'!L$2:L$875,"FALTA DE MOTORIST*"),0)</f>
        <v>0</v>
      </c>
      <c r="O255" s="10">
        <f t="shared" si="25"/>
        <v>0.19138888888889127</v>
      </c>
      <c r="P255" s="10">
        <f>IFERROR(SUMIFS('Base bordo CD'!M$2:M$875,'Base bordo CD'!D$2:D$875,A255,'Base bordo CD'!A$2:A$875,B255),0)</f>
        <v>24.000000000000004</v>
      </c>
      <c r="Q255" s="10">
        <f>IFERROR(SUMIFS('Base bordo CD'!O$2:O$875,'Base bordo CD'!D$2:D$875,A255,'Base bordo CD'!A$2:A$875,B255,'Base bordo CD'!L$2:L$875,"CORTE DE CANA MECANIZADO"),0)</f>
        <v>102862.77</v>
      </c>
      <c r="R255" s="10">
        <f>IFERROR(SUMIFS('Base bordo CD'!Q$2:Q$875,'Base bordo CD'!D$2:D$875,A255,'Base bordo CD'!A$2:A$875,B255,'Base bordo CD'!L$2:L$875,"CORTE DE CANA MECANIZADO"),0)</f>
        <v>26193</v>
      </c>
      <c r="S255" s="30">
        <f t="shared" si="26"/>
        <v>3.9271091512999656</v>
      </c>
      <c r="T255" s="9">
        <f t="shared" si="27"/>
        <v>0.30315972222222221</v>
      </c>
      <c r="U255" s="9">
        <f t="shared" si="28"/>
        <v>6.6851851851851843E-2</v>
      </c>
      <c r="V255" s="9">
        <f t="shared" si="29"/>
        <v>0.6881018518518518</v>
      </c>
    </row>
    <row r="256" spans="1:22" x14ac:dyDescent="0.35">
      <c r="A256" s="52">
        <v>49595</v>
      </c>
      <c r="B256" s="31">
        <v>46123</v>
      </c>
      <c r="C256" s="7" t="s">
        <v>337</v>
      </c>
      <c r="D256" s="7">
        <v>353</v>
      </c>
      <c r="E256" s="10">
        <f>IFERROR(SUMIFS('Base bordo CD'!M$2:M$875,'Base bordo CD'!D$2:D$875,A256,'Base bordo CD'!A$2:A$875,B256,'Base bordo CD'!L$2:L$875,"CORTE DE CANA MECANIZADO"),0)</f>
        <v>7.2758333333333338</v>
      </c>
      <c r="F256" s="10">
        <f>IFERROR(SUMIFS('Base bordo CD'!M$2:M$875,'Base bordo CD'!D$2:D$875,A256,'Base bordo CD'!A$2:A$875,B256,'Base bordo CD'!L$2:L$875,"MANOBRA"),0)</f>
        <v>1.6044444444444443</v>
      </c>
      <c r="G256" s="10">
        <f>IFERROR(SUMIFS('Base bordo CD'!M$2:M$875,'Base bordo CD'!D$2:D$875,A256,'Base bordo CD'!A$2:A$875,B256,'Base bordo CD'!L$2:L$875,"DESLOCAMENTO"),0)</f>
        <v>0.20972222222222223</v>
      </c>
      <c r="H256" s="10">
        <f>IFERROR(SUMIFS('Base bordo CD'!M$2:M$875,'Base bordo CD'!D$2:D$875,A256,'Base bordo CD'!A$2:A$875,B256,'Base bordo CD'!L$2:L$875,"AGUARDANDO MANOBRA DE TRANSBORDO"),0)+IFERROR(SUMIFS('Base bordo CD'!M$2:M$875,'Base bordo CD'!D$2:D$875,A256,'Base bordo CD'!A$2:A$875,B256,'Base bordo CD'!L$2:L$875,"FALTA DE TRANSBORDO"),0)</f>
        <v>0</v>
      </c>
      <c r="I256" s="10">
        <f>IFERROR(SUMIFS('Base bordo CD'!M$2:M$875,'Base bordo CD'!D$2:D$875,A256,'Base bordo CD'!A$2:A$875,B256,'Base bordo CD'!L$2:L$875,"PARADA POR CONDICOES CLIMATICAS"),0)+IFERROR(SUMIFS('Base bordo CD'!M$2:M$875,'Base bordo CD'!D$2:D$875,A256,'Base bordo CD'!A$2:A$875,B256,'Base bordo CD'!L$2:L$875,"TEMPO INDETERMINADO"),0)</f>
        <v>14.705833333333334</v>
      </c>
      <c r="J256" s="10">
        <f>IFERROR(SUMIFS('Base bordo CD'!M$2:M$875,'Base bordo CD'!D$2:D$875,A256,'Base bordo CD'!A$2:A$875,B256,'Base bordo CD'!L$2:L$875,"LIMITAÇÃO INDÚSTRIA"),0)</f>
        <v>0</v>
      </c>
      <c r="K256" s="10">
        <f>IFERROR(SUMIFS('Base bordo CD'!M$2:M$875,'Base bordo CD'!D$2:D$875,A256,'Base bordo CD'!A$2:A$875,B256,'Base bordo CD'!L$2:L$875,"MAN CORRETIVA*"),0)+IFERROR(SUMIFS('Base bordo CD'!M$2:M$875,'Base bordo CD'!D$2:D$875,A256,'Base bordo CD'!A$2:A$875,B256,'Base bordo CD'!L$2:L$875,"AGUARDANDO MANUTENCAO*"),0)+IFERROR(SUMIFS('Base bordo CD'!M$2:M$875,'Base bordo CD'!D$2:D$875,A256,'Base bordo CD'!A$2:A$875,B256,'Base bordo CD'!L$2:L$875,"TROCA DE FAQUINHA"),0)+IFERROR(SUMIFS('Base bordo CD'!M$2:M$875,'Base bordo CD'!D$2:D$875,A256,'Base bordo CD'!A$2:A$875,B256,'Base bordo CD'!L$2:L$875,"LIMPEZA*"),0)</f>
        <v>0</v>
      </c>
      <c r="L256" s="10">
        <f>IFERROR(SUMIFS('Base bordo CD'!M$2:M$875,'Base bordo CD'!D$2:D$875,A256,'Base bordo CD'!A$2:A$875,B256,'Base bordo CD'!L$2:L$875,"PATIO - RESERVA"),0)</f>
        <v>0</v>
      </c>
      <c r="M256" s="10">
        <f>IFERROR(SUMIFS('Base bordo CD'!M$2:M$875,'Base bordo CD'!D$2:D$875,A256,'Base bordo CD'!A$2:A$875,B256,'Base bordo CD'!L$2:L$875,"SEM APONTAMENTO"),0)</f>
        <v>1.2777777777777779E-2</v>
      </c>
      <c r="N256" s="10">
        <f>IFERROR(SUMIFS('Base bordo CD'!M$2:M$875,'Base bordo CD'!D$2:D$875,A256,'Base bordo CD'!A$2:A$875,B256,'Base bordo CD'!L$2:L$875,"FALTA DE CAMINHÃO"),0)+IFERROR(SUMIFS('Base bordo CD'!M$2:M$875,'Base bordo CD'!D$2:D$875,A256,'Base bordo CD'!A$2:A$875,B256,'Base bordo CD'!L$2:L$875,"FALTA DE COMBUSTIVEL"),0)+IFERROR(SUMIFS('Base bordo CD'!M$2:M$875,'Base bordo CD'!D$2:D$875,A256,'Base bordo CD'!A$2:A$875,B256,'Base bordo CD'!L$2:L$875,"FALTA DE MOTORIST*"),0)</f>
        <v>0</v>
      </c>
      <c r="O256" s="10">
        <f t="shared" si="25"/>
        <v>0.19138888888889127</v>
      </c>
      <c r="P256" s="10">
        <f>IFERROR(SUMIFS('Base bordo CD'!M$2:M$875,'Base bordo CD'!D$2:D$875,A256,'Base bordo CD'!A$2:A$875,B256),0)</f>
        <v>24.000000000000004</v>
      </c>
      <c r="Q256" s="10">
        <f>IFERROR(SUMIFS('Base bordo CD'!O$2:O$875,'Base bordo CD'!D$2:D$875,A256,'Base bordo CD'!A$2:A$875,B256,'Base bordo CD'!L$2:L$875,"CORTE DE CANA MECANIZADO"),0)</f>
        <v>102862.77</v>
      </c>
      <c r="R256" s="10">
        <f>IFERROR(SUMIFS('Base bordo CD'!Q$2:Q$875,'Base bordo CD'!D$2:D$875,A256,'Base bordo CD'!A$2:A$875,B256,'Base bordo CD'!L$2:L$875,"CORTE DE CANA MECANIZADO"),0)</f>
        <v>26193</v>
      </c>
      <c r="S256" s="30">
        <f t="shared" si="26"/>
        <v>3.9271091512999656</v>
      </c>
      <c r="T256" s="9">
        <f t="shared" si="27"/>
        <v>0.30315972222222221</v>
      </c>
      <c r="U256" s="9">
        <f t="shared" si="28"/>
        <v>6.6851851851851843E-2</v>
      </c>
      <c r="V256" s="9">
        <f t="shared" si="29"/>
        <v>0.6881018518518518</v>
      </c>
    </row>
    <row r="257" spans="1:22" x14ac:dyDescent="0.35">
      <c r="A257" s="52">
        <v>49595</v>
      </c>
      <c r="B257" s="31">
        <v>46123</v>
      </c>
      <c r="C257" s="7" t="s">
        <v>337</v>
      </c>
      <c r="D257" s="7">
        <v>353</v>
      </c>
      <c r="E257" s="10">
        <f>IFERROR(SUMIFS('Base bordo CD'!M$2:M$875,'Base bordo CD'!D$2:D$875,A257,'Base bordo CD'!A$2:A$875,B257,'Base bordo CD'!L$2:L$875,"CORTE DE CANA MECANIZADO"),0)</f>
        <v>7.2758333333333338</v>
      </c>
      <c r="F257" s="10">
        <f>IFERROR(SUMIFS('Base bordo CD'!M$2:M$875,'Base bordo CD'!D$2:D$875,A257,'Base bordo CD'!A$2:A$875,B257,'Base bordo CD'!L$2:L$875,"MANOBRA"),0)</f>
        <v>1.6044444444444443</v>
      </c>
      <c r="G257" s="10">
        <f>IFERROR(SUMIFS('Base bordo CD'!M$2:M$875,'Base bordo CD'!D$2:D$875,A257,'Base bordo CD'!A$2:A$875,B257,'Base bordo CD'!L$2:L$875,"DESLOCAMENTO"),0)</f>
        <v>0.20972222222222223</v>
      </c>
      <c r="H257" s="10">
        <f>IFERROR(SUMIFS('Base bordo CD'!M$2:M$875,'Base bordo CD'!D$2:D$875,A257,'Base bordo CD'!A$2:A$875,B257,'Base bordo CD'!L$2:L$875,"AGUARDANDO MANOBRA DE TRANSBORDO"),0)+IFERROR(SUMIFS('Base bordo CD'!M$2:M$875,'Base bordo CD'!D$2:D$875,A257,'Base bordo CD'!A$2:A$875,B257,'Base bordo CD'!L$2:L$875,"FALTA DE TRANSBORDO"),0)</f>
        <v>0</v>
      </c>
      <c r="I257" s="10">
        <f>IFERROR(SUMIFS('Base bordo CD'!M$2:M$875,'Base bordo CD'!D$2:D$875,A257,'Base bordo CD'!A$2:A$875,B257,'Base bordo CD'!L$2:L$875,"PARADA POR CONDICOES CLIMATICAS"),0)+IFERROR(SUMIFS('Base bordo CD'!M$2:M$875,'Base bordo CD'!D$2:D$875,A257,'Base bordo CD'!A$2:A$875,B257,'Base bordo CD'!L$2:L$875,"TEMPO INDETERMINADO"),0)</f>
        <v>14.705833333333334</v>
      </c>
      <c r="J257" s="10">
        <f>IFERROR(SUMIFS('Base bordo CD'!M$2:M$875,'Base bordo CD'!D$2:D$875,A257,'Base bordo CD'!A$2:A$875,B257,'Base bordo CD'!L$2:L$875,"LIMITAÇÃO INDÚSTRIA"),0)</f>
        <v>0</v>
      </c>
      <c r="K257" s="10">
        <f>IFERROR(SUMIFS('Base bordo CD'!M$2:M$875,'Base bordo CD'!D$2:D$875,A257,'Base bordo CD'!A$2:A$875,B257,'Base bordo CD'!L$2:L$875,"MAN CORRETIVA*"),0)+IFERROR(SUMIFS('Base bordo CD'!M$2:M$875,'Base bordo CD'!D$2:D$875,A257,'Base bordo CD'!A$2:A$875,B257,'Base bordo CD'!L$2:L$875,"AGUARDANDO MANUTENCAO*"),0)+IFERROR(SUMIFS('Base bordo CD'!M$2:M$875,'Base bordo CD'!D$2:D$875,A257,'Base bordo CD'!A$2:A$875,B257,'Base bordo CD'!L$2:L$875,"TROCA DE FAQUINHA"),0)+IFERROR(SUMIFS('Base bordo CD'!M$2:M$875,'Base bordo CD'!D$2:D$875,A257,'Base bordo CD'!A$2:A$875,B257,'Base bordo CD'!L$2:L$875,"LIMPEZA*"),0)</f>
        <v>0</v>
      </c>
      <c r="L257" s="10">
        <f>IFERROR(SUMIFS('Base bordo CD'!M$2:M$875,'Base bordo CD'!D$2:D$875,A257,'Base bordo CD'!A$2:A$875,B257,'Base bordo CD'!L$2:L$875,"PATIO - RESERVA"),0)</f>
        <v>0</v>
      </c>
      <c r="M257" s="10">
        <f>IFERROR(SUMIFS('Base bordo CD'!M$2:M$875,'Base bordo CD'!D$2:D$875,A257,'Base bordo CD'!A$2:A$875,B257,'Base bordo CD'!L$2:L$875,"SEM APONTAMENTO"),0)</f>
        <v>1.2777777777777779E-2</v>
      </c>
      <c r="N257" s="10">
        <f>IFERROR(SUMIFS('Base bordo CD'!M$2:M$875,'Base bordo CD'!D$2:D$875,A257,'Base bordo CD'!A$2:A$875,B257,'Base bordo CD'!L$2:L$875,"FALTA DE CAMINHÃO"),0)+IFERROR(SUMIFS('Base bordo CD'!M$2:M$875,'Base bordo CD'!D$2:D$875,A257,'Base bordo CD'!A$2:A$875,B257,'Base bordo CD'!L$2:L$875,"FALTA DE COMBUSTIVEL"),0)+IFERROR(SUMIFS('Base bordo CD'!M$2:M$875,'Base bordo CD'!D$2:D$875,A257,'Base bordo CD'!A$2:A$875,B257,'Base bordo CD'!L$2:L$875,"FALTA DE MOTORIST*"),0)</f>
        <v>0</v>
      </c>
      <c r="O257" s="10">
        <f t="shared" si="25"/>
        <v>0.19138888888889127</v>
      </c>
      <c r="P257" s="10">
        <f>IFERROR(SUMIFS('Base bordo CD'!M$2:M$875,'Base bordo CD'!D$2:D$875,A257,'Base bordo CD'!A$2:A$875,B257),0)</f>
        <v>24.000000000000004</v>
      </c>
      <c r="Q257" s="10">
        <f>IFERROR(SUMIFS('Base bordo CD'!O$2:O$875,'Base bordo CD'!D$2:D$875,A257,'Base bordo CD'!A$2:A$875,B257,'Base bordo CD'!L$2:L$875,"CORTE DE CANA MECANIZADO"),0)</f>
        <v>102862.77</v>
      </c>
      <c r="R257" s="10">
        <f>IFERROR(SUMIFS('Base bordo CD'!Q$2:Q$875,'Base bordo CD'!D$2:D$875,A257,'Base bordo CD'!A$2:A$875,B257,'Base bordo CD'!L$2:L$875,"CORTE DE CANA MECANIZADO"),0)</f>
        <v>26193</v>
      </c>
      <c r="S257" s="30">
        <f t="shared" si="26"/>
        <v>3.9271091512999656</v>
      </c>
      <c r="T257" s="9">
        <f t="shared" si="27"/>
        <v>0.30315972222222221</v>
      </c>
      <c r="U257" s="9">
        <f t="shared" si="28"/>
        <v>6.6851851851851843E-2</v>
      </c>
      <c r="V257" s="9">
        <f t="shared" si="29"/>
        <v>0.6881018518518518</v>
      </c>
    </row>
    <row r="258" spans="1:22" x14ac:dyDescent="0.35">
      <c r="A258" s="52">
        <v>49595</v>
      </c>
      <c r="B258" s="31">
        <v>46123</v>
      </c>
      <c r="C258" s="7" t="s">
        <v>337</v>
      </c>
      <c r="D258" s="7">
        <v>353</v>
      </c>
      <c r="E258" s="10">
        <f>IFERROR(SUMIFS('Base bordo CD'!M$2:M$875,'Base bordo CD'!D$2:D$875,A258,'Base bordo CD'!A$2:A$875,B258,'Base bordo CD'!L$2:L$875,"CORTE DE CANA MECANIZADO"),0)</f>
        <v>7.2758333333333338</v>
      </c>
      <c r="F258" s="10">
        <f>IFERROR(SUMIFS('Base bordo CD'!M$2:M$875,'Base bordo CD'!D$2:D$875,A258,'Base bordo CD'!A$2:A$875,B258,'Base bordo CD'!L$2:L$875,"MANOBRA"),0)</f>
        <v>1.6044444444444443</v>
      </c>
      <c r="G258" s="10">
        <f>IFERROR(SUMIFS('Base bordo CD'!M$2:M$875,'Base bordo CD'!D$2:D$875,A258,'Base bordo CD'!A$2:A$875,B258,'Base bordo CD'!L$2:L$875,"DESLOCAMENTO"),0)</f>
        <v>0.20972222222222223</v>
      </c>
      <c r="H258" s="10">
        <f>IFERROR(SUMIFS('Base bordo CD'!M$2:M$875,'Base bordo CD'!D$2:D$875,A258,'Base bordo CD'!A$2:A$875,B258,'Base bordo CD'!L$2:L$875,"AGUARDANDO MANOBRA DE TRANSBORDO"),0)+IFERROR(SUMIFS('Base bordo CD'!M$2:M$875,'Base bordo CD'!D$2:D$875,A258,'Base bordo CD'!A$2:A$875,B258,'Base bordo CD'!L$2:L$875,"FALTA DE TRANSBORDO"),0)</f>
        <v>0</v>
      </c>
      <c r="I258" s="10">
        <f>IFERROR(SUMIFS('Base bordo CD'!M$2:M$875,'Base bordo CD'!D$2:D$875,A258,'Base bordo CD'!A$2:A$875,B258,'Base bordo CD'!L$2:L$875,"PARADA POR CONDICOES CLIMATICAS"),0)+IFERROR(SUMIFS('Base bordo CD'!M$2:M$875,'Base bordo CD'!D$2:D$875,A258,'Base bordo CD'!A$2:A$875,B258,'Base bordo CD'!L$2:L$875,"TEMPO INDETERMINADO"),0)</f>
        <v>14.705833333333334</v>
      </c>
      <c r="J258" s="10">
        <f>IFERROR(SUMIFS('Base bordo CD'!M$2:M$875,'Base bordo CD'!D$2:D$875,A258,'Base bordo CD'!A$2:A$875,B258,'Base bordo CD'!L$2:L$875,"LIMITAÇÃO INDÚSTRIA"),0)</f>
        <v>0</v>
      </c>
      <c r="K258" s="10">
        <f>IFERROR(SUMIFS('Base bordo CD'!M$2:M$875,'Base bordo CD'!D$2:D$875,A258,'Base bordo CD'!A$2:A$875,B258,'Base bordo CD'!L$2:L$875,"MAN CORRETIVA*"),0)+IFERROR(SUMIFS('Base bordo CD'!M$2:M$875,'Base bordo CD'!D$2:D$875,A258,'Base bordo CD'!A$2:A$875,B258,'Base bordo CD'!L$2:L$875,"AGUARDANDO MANUTENCAO*"),0)+IFERROR(SUMIFS('Base bordo CD'!M$2:M$875,'Base bordo CD'!D$2:D$875,A258,'Base bordo CD'!A$2:A$875,B258,'Base bordo CD'!L$2:L$875,"TROCA DE FAQUINHA"),0)+IFERROR(SUMIFS('Base bordo CD'!M$2:M$875,'Base bordo CD'!D$2:D$875,A258,'Base bordo CD'!A$2:A$875,B258,'Base bordo CD'!L$2:L$875,"LIMPEZA*"),0)</f>
        <v>0</v>
      </c>
      <c r="L258" s="10">
        <f>IFERROR(SUMIFS('Base bordo CD'!M$2:M$875,'Base bordo CD'!D$2:D$875,A258,'Base bordo CD'!A$2:A$875,B258,'Base bordo CD'!L$2:L$875,"PATIO - RESERVA"),0)</f>
        <v>0</v>
      </c>
      <c r="M258" s="10">
        <f>IFERROR(SUMIFS('Base bordo CD'!M$2:M$875,'Base bordo CD'!D$2:D$875,A258,'Base bordo CD'!A$2:A$875,B258,'Base bordo CD'!L$2:L$875,"SEM APONTAMENTO"),0)</f>
        <v>1.2777777777777779E-2</v>
      </c>
      <c r="N258" s="10">
        <f>IFERROR(SUMIFS('Base bordo CD'!M$2:M$875,'Base bordo CD'!D$2:D$875,A258,'Base bordo CD'!A$2:A$875,B258,'Base bordo CD'!L$2:L$875,"FALTA DE CAMINHÃO"),0)+IFERROR(SUMIFS('Base bordo CD'!M$2:M$875,'Base bordo CD'!D$2:D$875,A258,'Base bordo CD'!A$2:A$875,B258,'Base bordo CD'!L$2:L$875,"FALTA DE COMBUSTIVEL"),0)+IFERROR(SUMIFS('Base bordo CD'!M$2:M$875,'Base bordo CD'!D$2:D$875,A258,'Base bordo CD'!A$2:A$875,B258,'Base bordo CD'!L$2:L$875,"FALTA DE MOTORIST*"),0)</f>
        <v>0</v>
      </c>
      <c r="O258" s="10">
        <f t="shared" si="25"/>
        <v>0.19138888888889127</v>
      </c>
      <c r="P258" s="10">
        <f>IFERROR(SUMIFS('Base bordo CD'!M$2:M$875,'Base bordo CD'!D$2:D$875,A258,'Base bordo CD'!A$2:A$875,B258),0)</f>
        <v>24.000000000000004</v>
      </c>
      <c r="Q258" s="10">
        <f>IFERROR(SUMIFS('Base bordo CD'!O$2:O$875,'Base bordo CD'!D$2:D$875,A258,'Base bordo CD'!A$2:A$875,B258,'Base bordo CD'!L$2:L$875,"CORTE DE CANA MECANIZADO"),0)</f>
        <v>102862.77</v>
      </c>
      <c r="R258" s="10">
        <f>IFERROR(SUMIFS('Base bordo CD'!Q$2:Q$875,'Base bordo CD'!D$2:D$875,A258,'Base bordo CD'!A$2:A$875,B258,'Base bordo CD'!L$2:L$875,"CORTE DE CANA MECANIZADO"),0)</f>
        <v>26193</v>
      </c>
      <c r="S258" s="30">
        <f t="shared" si="26"/>
        <v>3.9271091512999656</v>
      </c>
      <c r="T258" s="9">
        <f t="shared" si="27"/>
        <v>0.30315972222222221</v>
      </c>
      <c r="U258" s="9">
        <f t="shared" si="28"/>
        <v>6.6851851851851843E-2</v>
      </c>
      <c r="V258" s="9">
        <f t="shared" si="29"/>
        <v>0.6881018518518518</v>
      </c>
    </row>
    <row r="259" spans="1:22" x14ac:dyDescent="0.35">
      <c r="A259" s="52">
        <v>49595</v>
      </c>
      <c r="B259" s="31">
        <v>46123</v>
      </c>
      <c r="C259" s="7" t="s">
        <v>337</v>
      </c>
      <c r="D259" s="7">
        <v>353</v>
      </c>
      <c r="E259" s="10">
        <f>IFERROR(SUMIFS('Base bordo CD'!M$2:M$875,'Base bordo CD'!D$2:D$875,A259,'Base bordo CD'!A$2:A$875,B259,'Base bordo CD'!L$2:L$875,"CORTE DE CANA MECANIZADO"),0)</f>
        <v>7.2758333333333338</v>
      </c>
      <c r="F259" s="10">
        <f>IFERROR(SUMIFS('Base bordo CD'!M$2:M$875,'Base bordo CD'!D$2:D$875,A259,'Base bordo CD'!A$2:A$875,B259,'Base bordo CD'!L$2:L$875,"MANOBRA"),0)</f>
        <v>1.6044444444444443</v>
      </c>
      <c r="G259" s="10">
        <f>IFERROR(SUMIFS('Base bordo CD'!M$2:M$875,'Base bordo CD'!D$2:D$875,A259,'Base bordo CD'!A$2:A$875,B259,'Base bordo CD'!L$2:L$875,"DESLOCAMENTO"),0)</f>
        <v>0.20972222222222223</v>
      </c>
      <c r="H259" s="10">
        <f>IFERROR(SUMIFS('Base bordo CD'!M$2:M$875,'Base bordo CD'!D$2:D$875,A259,'Base bordo CD'!A$2:A$875,B259,'Base bordo CD'!L$2:L$875,"AGUARDANDO MANOBRA DE TRANSBORDO"),0)+IFERROR(SUMIFS('Base bordo CD'!M$2:M$875,'Base bordo CD'!D$2:D$875,A259,'Base bordo CD'!A$2:A$875,B259,'Base bordo CD'!L$2:L$875,"FALTA DE TRANSBORDO"),0)</f>
        <v>0</v>
      </c>
      <c r="I259" s="10">
        <f>IFERROR(SUMIFS('Base bordo CD'!M$2:M$875,'Base bordo CD'!D$2:D$875,A259,'Base bordo CD'!A$2:A$875,B259,'Base bordo CD'!L$2:L$875,"PARADA POR CONDICOES CLIMATICAS"),0)+IFERROR(SUMIFS('Base bordo CD'!M$2:M$875,'Base bordo CD'!D$2:D$875,A259,'Base bordo CD'!A$2:A$875,B259,'Base bordo CD'!L$2:L$875,"TEMPO INDETERMINADO"),0)</f>
        <v>14.705833333333334</v>
      </c>
      <c r="J259" s="10">
        <f>IFERROR(SUMIFS('Base bordo CD'!M$2:M$875,'Base bordo CD'!D$2:D$875,A259,'Base bordo CD'!A$2:A$875,B259,'Base bordo CD'!L$2:L$875,"LIMITAÇÃO INDÚSTRIA"),0)</f>
        <v>0</v>
      </c>
      <c r="K259" s="10">
        <f>IFERROR(SUMIFS('Base bordo CD'!M$2:M$875,'Base bordo CD'!D$2:D$875,A259,'Base bordo CD'!A$2:A$875,B259,'Base bordo CD'!L$2:L$875,"MAN CORRETIVA*"),0)+IFERROR(SUMIFS('Base bordo CD'!M$2:M$875,'Base bordo CD'!D$2:D$875,A259,'Base bordo CD'!A$2:A$875,B259,'Base bordo CD'!L$2:L$875,"AGUARDANDO MANUTENCAO*"),0)+IFERROR(SUMIFS('Base bordo CD'!M$2:M$875,'Base bordo CD'!D$2:D$875,A259,'Base bordo CD'!A$2:A$875,B259,'Base bordo CD'!L$2:L$875,"TROCA DE FAQUINHA"),0)+IFERROR(SUMIFS('Base bordo CD'!M$2:M$875,'Base bordo CD'!D$2:D$875,A259,'Base bordo CD'!A$2:A$875,B259,'Base bordo CD'!L$2:L$875,"LIMPEZA*"),0)</f>
        <v>0</v>
      </c>
      <c r="L259" s="10">
        <f>IFERROR(SUMIFS('Base bordo CD'!M$2:M$875,'Base bordo CD'!D$2:D$875,A259,'Base bordo CD'!A$2:A$875,B259,'Base bordo CD'!L$2:L$875,"PATIO - RESERVA"),0)</f>
        <v>0</v>
      </c>
      <c r="M259" s="10">
        <f>IFERROR(SUMIFS('Base bordo CD'!M$2:M$875,'Base bordo CD'!D$2:D$875,A259,'Base bordo CD'!A$2:A$875,B259,'Base bordo CD'!L$2:L$875,"SEM APONTAMENTO"),0)</f>
        <v>1.2777777777777779E-2</v>
      </c>
      <c r="N259" s="10">
        <f>IFERROR(SUMIFS('Base bordo CD'!M$2:M$875,'Base bordo CD'!D$2:D$875,A259,'Base bordo CD'!A$2:A$875,B259,'Base bordo CD'!L$2:L$875,"FALTA DE CAMINHÃO"),0)+IFERROR(SUMIFS('Base bordo CD'!M$2:M$875,'Base bordo CD'!D$2:D$875,A259,'Base bordo CD'!A$2:A$875,B259,'Base bordo CD'!L$2:L$875,"FALTA DE COMBUSTIVEL"),0)+IFERROR(SUMIFS('Base bordo CD'!M$2:M$875,'Base bordo CD'!D$2:D$875,A259,'Base bordo CD'!A$2:A$875,B259,'Base bordo CD'!L$2:L$875,"FALTA DE MOTORIST*"),0)</f>
        <v>0</v>
      </c>
      <c r="O259" s="10">
        <f t="shared" si="25"/>
        <v>0.19138888888889127</v>
      </c>
      <c r="P259" s="10">
        <f>IFERROR(SUMIFS('Base bordo CD'!M$2:M$875,'Base bordo CD'!D$2:D$875,A259,'Base bordo CD'!A$2:A$875,B259),0)</f>
        <v>24.000000000000004</v>
      </c>
      <c r="Q259" s="10">
        <f>IFERROR(SUMIFS('Base bordo CD'!O$2:O$875,'Base bordo CD'!D$2:D$875,A259,'Base bordo CD'!A$2:A$875,B259,'Base bordo CD'!L$2:L$875,"CORTE DE CANA MECANIZADO"),0)</f>
        <v>102862.77</v>
      </c>
      <c r="R259" s="10">
        <f>IFERROR(SUMIFS('Base bordo CD'!Q$2:Q$875,'Base bordo CD'!D$2:D$875,A259,'Base bordo CD'!A$2:A$875,B259,'Base bordo CD'!L$2:L$875,"CORTE DE CANA MECANIZADO"),0)</f>
        <v>26193</v>
      </c>
      <c r="S259" s="30">
        <f t="shared" si="26"/>
        <v>3.9271091512999656</v>
      </c>
      <c r="T259" s="9">
        <f t="shared" si="27"/>
        <v>0.30315972222222221</v>
      </c>
      <c r="U259" s="9">
        <f t="shared" si="28"/>
        <v>6.6851851851851843E-2</v>
      </c>
      <c r="V259" s="9">
        <f t="shared" si="29"/>
        <v>0.6881018518518518</v>
      </c>
    </row>
    <row r="260" spans="1:22" x14ac:dyDescent="0.35">
      <c r="A260" s="52">
        <v>49595</v>
      </c>
      <c r="B260" s="31">
        <v>46123</v>
      </c>
      <c r="C260" s="7" t="s">
        <v>337</v>
      </c>
      <c r="D260" s="7">
        <v>353</v>
      </c>
      <c r="E260" s="10">
        <f>IFERROR(SUMIFS('Base bordo CD'!M$2:M$875,'Base bordo CD'!D$2:D$875,A260,'Base bordo CD'!A$2:A$875,B260,'Base bordo CD'!L$2:L$875,"CORTE DE CANA MECANIZADO"),0)</f>
        <v>7.2758333333333338</v>
      </c>
      <c r="F260" s="10">
        <f>IFERROR(SUMIFS('Base bordo CD'!M$2:M$875,'Base bordo CD'!D$2:D$875,A260,'Base bordo CD'!A$2:A$875,B260,'Base bordo CD'!L$2:L$875,"MANOBRA"),0)</f>
        <v>1.6044444444444443</v>
      </c>
      <c r="G260" s="10">
        <f>IFERROR(SUMIFS('Base bordo CD'!M$2:M$875,'Base bordo CD'!D$2:D$875,A260,'Base bordo CD'!A$2:A$875,B260,'Base bordo CD'!L$2:L$875,"DESLOCAMENTO"),0)</f>
        <v>0.20972222222222223</v>
      </c>
      <c r="H260" s="10">
        <f>IFERROR(SUMIFS('Base bordo CD'!M$2:M$875,'Base bordo CD'!D$2:D$875,A260,'Base bordo CD'!A$2:A$875,B260,'Base bordo CD'!L$2:L$875,"AGUARDANDO MANOBRA DE TRANSBORDO"),0)+IFERROR(SUMIFS('Base bordo CD'!M$2:M$875,'Base bordo CD'!D$2:D$875,A260,'Base bordo CD'!A$2:A$875,B260,'Base bordo CD'!L$2:L$875,"FALTA DE TRANSBORDO"),0)</f>
        <v>0</v>
      </c>
      <c r="I260" s="10">
        <f>IFERROR(SUMIFS('Base bordo CD'!M$2:M$875,'Base bordo CD'!D$2:D$875,A260,'Base bordo CD'!A$2:A$875,B260,'Base bordo CD'!L$2:L$875,"PARADA POR CONDICOES CLIMATICAS"),0)+IFERROR(SUMIFS('Base bordo CD'!M$2:M$875,'Base bordo CD'!D$2:D$875,A260,'Base bordo CD'!A$2:A$875,B260,'Base bordo CD'!L$2:L$875,"TEMPO INDETERMINADO"),0)</f>
        <v>14.705833333333334</v>
      </c>
      <c r="J260" s="10">
        <f>IFERROR(SUMIFS('Base bordo CD'!M$2:M$875,'Base bordo CD'!D$2:D$875,A260,'Base bordo CD'!A$2:A$875,B260,'Base bordo CD'!L$2:L$875,"LIMITAÇÃO INDÚSTRIA"),0)</f>
        <v>0</v>
      </c>
      <c r="K260" s="10">
        <f>IFERROR(SUMIFS('Base bordo CD'!M$2:M$875,'Base bordo CD'!D$2:D$875,A260,'Base bordo CD'!A$2:A$875,B260,'Base bordo CD'!L$2:L$875,"MAN CORRETIVA*"),0)+IFERROR(SUMIFS('Base bordo CD'!M$2:M$875,'Base bordo CD'!D$2:D$875,A260,'Base bordo CD'!A$2:A$875,B260,'Base bordo CD'!L$2:L$875,"AGUARDANDO MANUTENCAO*"),0)+IFERROR(SUMIFS('Base bordo CD'!M$2:M$875,'Base bordo CD'!D$2:D$875,A260,'Base bordo CD'!A$2:A$875,B260,'Base bordo CD'!L$2:L$875,"TROCA DE FAQUINHA"),0)+IFERROR(SUMIFS('Base bordo CD'!M$2:M$875,'Base bordo CD'!D$2:D$875,A260,'Base bordo CD'!A$2:A$875,B260,'Base bordo CD'!L$2:L$875,"LIMPEZA*"),0)</f>
        <v>0</v>
      </c>
      <c r="L260" s="10">
        <f>IFERROR(SUMIFS('Base bordo CD'!M$2:M$875,'Base bordo CD'!D$2:D$875,A260,'Base bordo CD'!A$2:A$875,B260,'Base bordo CD'!L$2:L$875,"PATIO - RESERVA"),0)</f>
        <v>0</v>
      </c>
      <c r="M260" s="10">
        <f>IFERROR(SUMIFS('Base bordo CD'!M$2:M$875,'Base bordo CD'!D$2:D$875,A260,'Base bordo CD'!A$2:A$875,B260,'Base bordo CD'!L$2:L$875,"SEM APONTAMENTO"),0)</f>
        <v>1.2777777777777779E-2</v>
      </c>
      <c r="N260" s="10">
        <f>IFERROR(SUMIFS('Base bordo CD'!M$2:M$875,'Base bordo CD'!D$2:D$875,A260,'Base bordo CD'!A$2:A$875,B260,'Base bordo CD'!L$2:L$875,"FALTA DE CAMINHÃO"),0)+IFERROR(SUMIFS('Base bordo CD'!M$2:M$875,'Base bordo CD'!D$2:D$875,A260,'Base bordo CD'!A$2:A$875,B260,'Base bordo CD'!L$2:L$875,"FALTA DE COMBUSTIVEL"),0)+IFERROR(SUMIFS('Base bordo CD'!M$2:M$875,'Base bordo CD'!D$2:D$875,A260,'Base bordo CD'!A$2:A$875,B260,'Base bordo CD'!L$2:L$875,"FALTA DE MOTORIST*"),0)</f>
        <v>0</v>
      </c>
      <c r="O260" s="10">
        <f t="shared" si="25"/>
        <v>0.19138888888889127</v>
      </c>
      <c r="P260" s="10">
        <f>IFERROR(SUMIFS('Base bordo CD'!M$2:M$875,'Base bordo CD'!D$2:D$875,A260,'Base bordo CD'!A$2:A$875,B260),0)</f>
        <v>24.000000000000004</v>
      </c>
      <c r="Q260" s="10">
        <f>IFERROR(SUMIFS('Base bordo CD'!O$2:O$875,'Base bordo CD'!D$2:D$875,A260,'Base bordo CD'!A$2:A$875,B260,'Base bordo CD'!L$2:L$875,"CORTE DE CANA MECANIZADO"),0)</f>
        <v>102862.77</v>
      </c>
      <c r="R260" s="10">
        <f>IFERROR(SUMIFS('Base bordo CD'!Q$2:Q$875,'Base bordo CD'!D$2:D$875,A260,'Base bordo CD'!A$2:A$875,B260,'Base bordo CD'!L$2:L$875,"CORTE DE CANA MECANIZADO"),0)</f>
        <v>26193</v>
      </c>
      <c r="S260" s="30">
        <f t="shared" si="26"/>
        <v>3.9271091512999656</v>
      </c>
      <c r="T260" s="9">
        <f t="shared" si="27"/>
        <v>0.30315972222222221</v>
      </c>
      <c r="U260" s="9">
        <f t="shared" si="28"/>
        <v>6.6851851851851843E-2</v>
      </c>
      <c r="V260" s="9">
        <f t="shared" si="29"/>
        <v>0.6881018518518518</v>
      </c>
    </row>
    <row r="261" spans="1:22" x14ac:dyDescent="0.35">
      <c r="A261" s="52">
        <v>49595</v>
      </c>
      <c r="B261" s="31">
        <v>46123</v>
      </c>
      <c r="C261" s="7" t="s">
        <v>337</v>
      </c>
      <c r="D261" s="7">
        <v>353</v>
      </c>
      <c r="E261" s="10">
        <f>IFERROR(SUMIFS('Base bordo CD'!M$2:M$875,'Base bordo CD'!D$2:D$875,A261,'Base bordo CD'!A$2:A$875,B261,'Base bordo CD'!L$2:L$875,"CORTE DE CANA MECANIZADO"),0)</f>
        <v>7.2758333333333338</v>
      </c>
      <c r="F261" s="10">
        <f>IFERROR(SUMIFS('Base bordo CD'!M$2:M$875,'Base bordo CD'!D$2:D$875,A261,'Base bordo CD'!A$2:A$875,B261,'Base bordo CD'!L$2:L$875,"MANOBRA"),0)</f>
        <v>1.6044444444444443</v>
      </c>
      <c r="G261" s="10">
        <f>IFERROR(SUMIFS('Base bordo CD'!M$2:M$875,'Base bordo CD'!D$2:D$875,A261,'Base bordo CD'!A$2:A$875,B261,'Base bordo CD'!L$2:L$875,"DESLOCAMENTO"),0)</f>
        <v>0.20972222222222223</v>
      </c>
      <c r="H261" s="10">
        <f>IFERROR(SUMIFS('Base bordo CD'!M$2:M$875,'Base bordo CD'!D$2:D$875,A261,'Base bordo CD'!A$2:A$875,B261,'Base bordo CD'!L$2:L$875,"AGUARDANDO MANOBRA DE TRANSBORDO"),0)+IFERROR(SUMIFS('Base bordo CD'!M$2:M$875,'Base bordo CD'!D$2:D$875,A261,'Base bordo CD'!A$2:A$875,B261,'Base bordo CD'!L$2:L$875,"FALTA DE TRANSBORDO"),0)</f>
        <v>0</v>
      </c>
      <c r="I261" s="10">
        <f>IFERROR(SUMIFS('Base bordo CD'!M$2:M$875,'Base bordo CD'!D$2:D$875,A261,'Base bordo CD'!A$2:A$875,B261,'Base bordo CD'!L$2:L$875,"PARADA POR CONDICOES CLIMATICAS"),0)+IFERROR(SUMIFS('Base bordo CD'!M$2:M$875,'Base bordo CD'!D$2:D$875,A261,'Base bordo CD'!A$2:A$875,B261,'Base bordo CD'!L$2:L$875,"TEMPO INDETERMINADO"),0)</f>
        <v>14.705833333333334</v>
      </c>
      <c r="J261" s="10">
        <f>IFERROR(SUMIFS('Base bordo CD'!M$2:M$875,'Base bordo CD'!D$2:D$875,A261,'Base bordo CD'!A$2:A$875,B261,'Base bordo CD'!L$2:L$875,"LIMITAÇÃO INDÚSTRIA"),0)</f>
        <v>0</v>
      </c>
      <c r="K261" s="10">
        <f>IFERROR(SUMIFS('Base bordo CD'!M$2:M$875,'Base bordo CD'!D$2:D$875,A261,'Base bordo CD'!A$2:A$875,B261,'Base bordo CD'!L$2:L$875,"MAN CORRETIVA*"),0)+IFERROR(SUMIFS('Base bordo CD'!M$2:M$875,'Base bordo CD'!D$2:D$875,A261,'Base bordo CD'!A$2:A$875,B261,'Base bordo CD'!L$2:L$875,"AGUARDANDO MANUTENCAO*"),0)+IFERROR(SUMIFS('Base bordo CD'!M$2:M$875,'Base bordo CD'!D$2:D$875,A261,'Base bordo CD'!A$2:A$875,B261,'Base bordo CD'!L$2:L$875,"TROCA DE FAQUINHA"),0)+IFERROR(SUMIFS('Base bordo CD'!M$2:M$875,'Base bordo CD'!D$2:D$875,A261,'Base bordo CD'!A$2:A$875,B261,'Base bordo CD'!L$2:L$875,"LIMPEZA*"),0)</f>
        <v>0</v>
      </c>
      <c r="L261" s="10">
        <f>IFERROR(SUMIFS('Base bordo CD'!M$2:M$875,'Base bordo CD'!D$2:D$875,A261,'Base bordo CD'!A$2:A$875,B261,'Base bordo CD'!L$2:L$875,"PATIO - RESERVA"),0)</f>
        <v>0</v>
      </c>
      <c r="M261" s="10">
        <f>IFERROR(SUMIFS('Base bordo CD'!M$2:M$875,'Base bordo CD'!D$2:D$875,A261,'Base bordo CD'!A$2:A$875,B261,'Base bordo CD'!L$2:L$875,"SEM APONTAMENTO"),0)</f>
        <v>1.2777777777777779E-2</v>
      </c>
      <c r="N261" s="10">
        <f>IFERROR(SUMIFS('Base bordo CD'!M$2:M$875,'Base bordo CD'!D$2:D$875,A261,'Base bordo CD'!A$2:A$875,B261,'Base bordo CD'!L$2:L$875,"FALTA DE CAMINHÃO"),0)+IFERROR(SUMIFS('Base bordo CD'!M$2:M$875,'Base bordo CD'!D$2:D$875,A261,'Base bordo CD'!A$2:A$875,B261,'Base bordo CD'!L$2:L$875,"FALTA DE COMBUSTIVEL"),0)+IFERROR(SUMIFS('Base bordo CD'!M$2:M$875,'Base bordo CD'!D$2:D$875,A261,'Base bordo CD'!A$2:A$875,B261,'Base bordo CD'!L$2:L$875,"FALTA DE MOTORIST*"),0)</f>
        <v>0</v>
      </c>
      <c r="O261" s="10">
        <f t="shared" si="25"/>
        <v>0.19138888888889127</v>
      </c>
      <c r="P261" s="10">
        <f>IFERROR(SUMIFS('Base bordo CD'!M$2:M$875,'Base bordo CD'!D$2:D$875,A261,'Base bordo CD'!A$2:A$875,B261),0)</f>
        <v>24.000000000000004</v>
      </c>
      <c r="Q261" s="10">
        <f>IFERROR(SUMIFS('Base bordo CD'!O$2:O$875,'Base bordo CD'!D$2:D$875,A261,'Base bordo CD'!A$2:A$875,B261,'Base bordo CD'!L$2:L$875,"CORTE DE CANA MECANIZADO"),0)</f>
        <v>102862.77</v>
      </c>
      <c r="R261" s="10">
        <f>IFERROR(SUMIFS('Base bordo CD'!Q$2:Q$875,'Base bordo CD'!D$2:D$875,A261,'Base bordo CD'!A$2:A$875,B261,'Base bordo CD'!L$2:L$875,"CORTE DE CANA MECANIZADO"),0)</f>
        <v>26193</v>
      </c>
      <c r="S261" s="30">
        <f t="shared" si="26"/>
        <v>3.9271091512999656</v>
      </c>
      <c r="T261" s="9">
        <f t="shared" si="27"/>
        <v>0.30315972222222221</v>
      </c>
      <c r="U261" s="9">
        <f t="shared" si="28"/>
        <v>6.6851851851851843E-2</v>
      </c>
      <c r="V261" s="9">
        <f t="shared" si="29"/>
        <v>0.6881018518518518</v>
      </c>
    </row>
    <row r="262" spans="1:22" x14ac:dyDescent="0.35">
      <c r="A262" s="52">
        <v>49595</v>
      </c>
      <c r="B262" s="31">
        <v>46123</v>
      </c>
      <c r="C262" s="7" t="s">
        <v>337</v>
      </c>
      <c r="D262" s="7">
        <v>353</v>
      </c>
      <c r="E262" s="10">
        <f>IFERROR(SUMIFS('Base bordo CD'!M$2:M$875,'Base bordo CD'!D$2:D$875,A262,'Base bordo CD'!A$2:A$875,B262,'Base bordo CD'!L$2:L$875,"CORTE DE CANA MECANIZADO"),0)</f>
        <v>7.2758333333333338</v>
      </c>
      <c r="F262" s="10">
        <f>IFERROR(SUMIFS('Base bordo CD'!M$2:M$875,'Base bordo CD'!D$2:D$875,A262,'Base bordo CD'!A$2:A$875,B262,'Base bordo CD'!L$2:L$875,"MANOBRA"),0)</f>
        <v>1.6044444444444443</v>
      </c>
      <c r="G262" s="10">
        <f>IFERROR(SUMIFS('Base bordo CD'!M$2:M$875,'Base bordo CD'!D$2:D$875,A262,'Base bordo CD'!A$2:A$875,B262,'Base bordo CD'!L$2:L$875,"DESLOCAMENTO"),0)</f>
        <v>0.20972222222222223</v>
      </c>
      <c r="H262" s="10">
        <f>IFERROR(SUMIFS('Base bordo CD'!M$2:M$875,'Base bordo CD'!D$2:D$875,A262,'Base bordo CD'!A$2:A$875,B262,'Base bordo CD'!L$2:L$875,"AGUARDANDO MANOBRA DE TRANSBORDO"),0)+IFERROR(SUMIFS('Base bordo CD'!M$2:M$875,'Base bordo CD'!D$2:D$875,A262,'Base bordo CD'!A$2:A$875,B262,'Base bordo CD'!L$2:L$875,"FALTA DE TRANSBORDO"),0)</f>
        <v>0</v>
      </c>
      <c r="I262" s="10">
        <f>IFERROR(SUMIFS('Base bordo CD'!M$2:M$875,'Base bordo CD'!D$2:D$875,A262,'Base bordo CD'!A$2:A$875,B262,'Base bordo CD'!L$2:L$875,"PARADA POR CONDICOES CLIMATICAS"),0)+IFERROR(SUMIFS('Base bordo CD'!M$2:M$875,'Base bordo CD'!D$2:D$875,A262,'Base bordo CD'!A$2:A$875,B262,'Base bordo CD'!L$2:L$875,"TEMPO INDETERMINADO"),0)</f>
        <v>14.705833333333334</v>
      </c>
      <c r="J262" s="10">
        <f>IFERROR(SUMIFS('Base bordo CD'!M$2:M$875,'Base bordo CD'!D$2:D$875,A262,'Base bordo CD'!A$2:A$875,B262,'Base bordo CD'!L$2:L$875,"LIMITAÇÃO INDÚSTRIA"),0)</f>
        <v>0</v>
      </c>
      <c r="K262" s="10">
        <f>IFERROR(SUMIFS('Base bordo CD'!M$2:M$875,'Base bordo CD'!D$2:D$875,A262,'Base bordo CD'!A$2:A$875,B262,'Base bordo CD'!L$2:L$875,"MAN CORRETIVA*"),0)+IFERROR(SUMIFS('Base bordo CD'!M$2:M$875,'Base bordo CD'!D$2:D$875,A262,'Base bordo CD'!A$2:A$875,B262,'Base bordo CD'!L$2:L$875,"AGUARDANDO MANUTENCAO*"),0)+IFERROR(SUMIFS('Base bordo CD'!M$2:M$875,'Base bordo CD'!D$2:D$875,A262,'Base bordo CD'!A$2:A$875,B262,'Base bordo CD'!L$2:L$875,"TROCA DE FAQUINHA"),0)+IFERROR(SUMIFS('Base bordo CD'!M$2:M$875,'Base bordo CD'!D$2:D$875,A262,'Base bordo CD'!A$2:A$875,B262,'Base bordo CD'!L$2:L$875,"LIMPEZA*"),0)</f>
        <v>0</v>
      </c>
      <c r="L262" s="10">
        <f>IFERROR(SUMIFS('Base bordo CD'!M$2:M$875,'Base bordo CD'!D$2:D$875,A262,'Base bordo CD'!A$2:A$875,B262,'Base bordo CD'!L$2:L$875,"PATIO - RESERVA"),0)</f>
        <v>0</v>
      </c>
      <c r="M262" s="10">
        <f>IFERROR(SUMIFS('Base bordo CD'!M$2:M$875,'Base bordo CD'!D$2:D$875,A262,'Base bordo CD'!A$2:A$875,B262,'Base bordo CD'!L$2:L$875,"SEM APONTAMENTO"),0)</f>
        <v>1.2777777777777779E-2</v>
      </c>
      <c r="N262" s="10">
        <f>IFERROR(SUMIFS('Base bordo CD'!M$2:M$875,'Base bordo CD'!D$2:D$875,A262,'Base bordo CD'!A$2:A$875,B262,'Base bordo CD'!L$2:L$875,"FALTA DE CAMINHÃO"),0)+IFERROR(SUMIFS('Base bordo CD'!M$2:M$875,'Base bordo CD'!D$2:D$875,A262,'Base bordo CD'!A$2:A$875,B262,'Base bordo CD'!L$2:L$875,"FALTA DE COMBUSTIVEL"),0)+IFERROR(SUMIFS('Base bordo CD'!M$2:M$875,'Base bordo CD'!D$2:D$875,A262,'Base bordo CD'!A$2:A$875,B262,'Base bordo CD'!L$2:L$875,"FALTA DE MOTORIST*"),0)</f>
        <v>0</v>
      </c>
      <c r="O262" s="10">
        <f t="shared" si="25"/>
        <v>0.19138888888889127</v>
      </c>
      <c r="P262" s="10">
        <f>IFERROR(SUMIFS('Base bordo CD'!M$2:M$875,'Base bordo CD'!D$2:D$875,A262,'Base bordo CD'!A$2:A$875,B262),0)</f>
        <v>24.000000000000004</v>
      </c>
      <c r="Q262" s="10">
        <f>IFERROR(SUMIFS('Base bordo CD'!O$2:O$875,'Base bordo CD'!D$2:D$875,A262,'Base bordo CD'!A$2:A$875,B262,'Base bordo CD'!L$2:L$875,"CORTE DE CANA MECANIZADO"),0)</f>
        <v>102862.77</v>
      </c>
      <c r="R262" s="10">
        <f>IFERROR(SUMIFS('Base bordo CD'!Q$2:Q$875,'Base bordo CD'!D$2:D$875,A262,'Base bordo CD'!A$2:A$875,B262,'Base bordo CD'!L$2:L$875,"CORTE DE CANA MECANIZADO"),0)</f>
        <v>26193</v>
      </c>
      <c r="S262" s="30">
        <f t="shared" si="26"/>
        <v>3.9271091512999656</v>
      </c>
      <c r="T262" s="9">
        <f t="shared" si="27"/>
        <v>0.30315972222222221</v>
      </c>
      <c r="U262" s="9">
        <f t="shared" si="28"/>
        <v>6.6851851851851843E-2</v>
      </c>
      <c r="V262" s="9">
        <f t="shared" si="29"/>
        <v>0.6881018518518518</v>
      </c>
    </row>
    <row r="263" spans="1:22" x14ac:dyDescent="0.35">
      <c r="A263" s="52">
        <v>49595</v>
      </c>
      <c r="B263" s="31">
        <v>46123</v>
      </c>
      <c r="C263" s="7" t="s">
        <v>337</v>
      </c>
      <c r="D263" s="7">
        <v>353</v>
      </c>
      <c r="E263" s="10">
        <f>IFERROR(SUMIFS('Base bordo CD'!M$2:M$875,'Base bordo CD'!D$2:D$875,A263,'Base bordo CD'!A$2:A$875,B263,'Base bordo CD'!L$2:L$875,"CORTE DE CANA MECANIZADO"),0)</f>
        <v>7.2758333333333338</v>
      </c>
      <c r="F263" s="10">
        <f>IFERROR(SUMIFS('Base bordo CD'!M$2:M$875,'Base bordo CD'!D$2:D$875,A263,'Base bordo CD'!A$2:A$875,B263,'Base bordo CD'!L$2:L$875,"MANOBRA"),0)</f>
        <v>1.6044444444444443</v>
      </c>
      <c r="G263" s="10">
        <f>IFERROR(SUMIFS('Base bordo CD'!M$2:M$875,'Base bordo CD'!D$2:D$875,A263,'Base bordo CD'!A$2:A$875,B263,'Base bordo CD'!L$2:L$875,"DESLOCAMENTO"),0)</f>
        <v>0.20972222222222223</v>
      </c>
      <c r="H263" s="10">
        <f>IFERROR(SUMIFS('Base bordo CD'!M$2:M$875,'Base bordo CD'!D$2:D$875,A263,'Base bordo CD'!A$2:A$875,B263,'Base bordo CD'!L$2:L$875,"AGUARDANDO MANOBRA DE TRANSBORDO"),0)+IFERROR(SUMIFS('Base bordo CD'!M$2:M$875,'Base bordo CD'!D$2:D$875,A263,'Base bordo CD'!A$2:A$875,B263,'Base bordo CD'!L$2:L$875,"FALTA DE TRANSBORDO"),0)</f>
        <v>0</v>
      </c>
      <c r="I263" s="10">
        <f>IFERROR(SUMIFS('Base bordo CD'!M$2:M$875,'Base bordo CD'!D$2:D$875,A263,'Base bordo CD'!A$2:A$875,B263,'Base bordo CD'!L$2:L$875,"PARADA POR CONDICOES CLIMATICAS"),0)+IFERROR(SUMIFS('Base bordo CD'!M$2:M$875,'Base bordo CD'!D$2:D$875,A263,'Base bordo CD'!A$2:A$875,B263,'Base bordo CD'!L$2:L$875,"TEMPO INDETERMINADO"),0)</f>
        <v>14.705833333333334</v>
      </c>
      <c r="J263" s="10">
        <f>IFERROR(SUMIFS('Base bordo CD'!M$2:M$875,'Base bordo CD'!D$2:D$875,A263,'Base bordo CD'!A$2:A$875,B263,'Base bordo CD'!L$2:L$875,"LIMITAÇÃO INDÚSTRIA"),0)</f>
        <v>0</v>
      </c>
      <c r="K263" s="10">
        <f>IFERROR(SUMIFS('Base bordo CD'!M$2:M$875,'Base bordo CD'!D$2:D$875,A263,'Base bordo CD'!A$2:A$875,B263,'Base bordo CD'!L$2:L$875,"MAN CORRETIVA*"),0)+IFERROR(SUMIFS('Base bordo CD'!M$2:M$875,'Base bordo CD'!D$2:D$875,A263,'Base bordo CD'!A$2:A$875,B263,'Base bordo CD'!L$2:L$875,"AGUARDANDO MANUTENCAO*"),0)+IFERROR(SUMIFS('Base bordo CD'!M$2:M$875,'Base bordo CD'!D$2:D$875,A263,'Base bordo CD'!A$2:A$875,B263,'Base bordo CD'!L$2:L$875,"TROCA DE FAQUINHA"),0)+IFERROR(SUMIFS('Base bordo CD'!M$2:M$875,'Base bordo CD'!D$2:D$875,A263,'Base bordo CD'!A$2:A$875,B263,'Base bordo CD'!L$2:L$875,"LIMPEZA*"),0)</f>
        <v>0</v>
      </c>
      <c r="L263" s="10">
        <f>IFERROR(SUMIFS('Base bordo CD'!M$2:M$875,'Base bordo CD'!D$2:D$875,A263,'Base bordo CD'!A$2:A$875,B263,'Base bordo CD'!L$2:L$875,"PATIO - RESERVA"),0)</f>
        <v>0</v>
      </c>
      <c r="M263" s="10">
        <f>IFERROR(SUMIFS('Base bordo CD'!M$2:M$875,'Base bordo CD'!D$2:D$875,A263,'Base bordo CD'!A$2:A$875,B263,'Base bordo CD'!L$2:L$875,"SEM APONTAMENTO"),0)</f>
        <v>1.2777777777777779E-2</v>
      </c>
      <c r="N263" s="10">
        <f>IFERROR(SUMIFS('Base bordo CD'!M$2:M$875,'Base bordo CD'!D$2:D$875,A263,'Base bordo CD'!A$2:A$875,B263,'Base bordo CD'!L$2:L$875,"FALTA DE CAMINHÃO"),0)+IFERROR(SUMIFS('Base bordo CD'!M$2:M$875,'Base bordo CD'!D$2:D$875,A263,'Base bordo CD'!A$2:A$875,B263,'Base bordo CD'!L$2:L$875,"FALTA DE COMBUSTIVEL"),0)+IFERROR(SUMIFS('Base bordo CD'!M$2:M$875,'Base bordo CD'!D$2:D$875,A263,'Base bordo CD'!A$2:A$875,B263,'Base bordo CD'!L$2:L$875,"FALTA DE MOTORIST*"),0)</f>
        <v>0</v>
      </c>
      <c r="O263" s="10">
        <f t="shared" si="25"/>
        <v>0.19138888888889127</v>
      </c>
      <c r="P263" s="10">
        <f>IFERROR(SUMIFS('Base bordo CD'!M$2:M$875,'Base bordo CD'!D$2:D$875,A263,'Base bordo CD'!A$2:A$875,B263),0)</f>
        <v>24.000000000000004</v>
      </c>
      <c r="Q263" s="10">
        <f>IFERROR(SUMIFS('Base bordo CD'!O$2:O$875,'Base bordo CD'!D$2:D$875,A263,'Base bordo CD'!A$2:A$875,B263,'Base bordo CD'!L$2:L$875,"CORTE DE CANA MECANIZADO"),0)</f>
        <v>102862.77</v>
      </c>
      <c r="R263" s="10">
        <f>IFERROR(SUMIFS('Base bordo CD'!Q$2:Q$875,'Base bordo CD'!D$2:D$875,A263,'Base bordo CD'!A$2:A$875,B263,'Base bordo CD'!L$2:L$875,"CORTE DE CANA MECANIZADO"),0)</f>
        <v>26193</v>
      </c>
      <c r="S263" s="30">
        <f t="shared" si="26"/>
        <v>3.9271091512999656</v>
      </c>
      <c r="T263" s="9">
        <f t="shared" si="27"/>
        <v>0.30315972222222221</v>
      </c>
      <c r="U263" s="9">
        <f t="shared" si="28"/>
        <v>6.6851851851851843E-2</v>
      </c>
      <c r="V263" s="9">
        <f t="shared" si="29"/>
        <v>0.6881018518518518</v>
      </c>
    </row>
    <row r="264" spans="1:22" x14ac:dyDescent="0.35">
      <c r="A264" s="52">
        <v>49595</v>
      </c>
      <c r="B264" s="31">
        <v>46123</v>
      </c>
      <c r="C264" s="7" t="s">
        <v>337</v>
      </c>
      <c r="D264" s="7">
        <v>353</v>
      </c>
      <c r="E264" s="10">
        <f>IFERROR(SUMIFS('Base bordo CD'!M$2:M$875,'Base bordo CD'!D$2:D$875,A264,'Base bordo CD'!A$2:A$875,B264,'Base bordo CD'!L$2:L$875,"CORTE DE CANA MECANIZADO"),0)</f>
        <v>7.2758333333333338</v>
      </c>
      <c r="F264" s="10">
        <f>IFERROR(SUMIFS('Base bordo CD'!M$2:M$875,'Base bordo CD'!D$2:D$875,A264,'Base bordo CD'!A$2:A$875,B264,'Base bordo CD'!L$2:L$875,"MANOBRA"),0)</f>
        <v>1.6044444444444443</v>
      </c>
      <c r="G264" s="10">
        <f>IFERROR(SUMIFS('Base bordo CD'!M$2:M$875,'Base bordo CD'!D$2:D$875,A264,'Base bordo CD'!A$2:A$875,B264,'Base bordo CD'!L$2:L$875,"DESLOCAMENTO"),0)</f>
        <v>0.20972222222222223</v>
      </c>
      <c r="H264" s="10">
        <f>IFERROR(SUMIFS('Base bordo CD'!M$2:M$875,'Base bordo CD'!D$2:D$875,A264,'Base bordo CD'!A$2:A$875,B264,'Base bordo CD'!L$2:L$875,"AGUARDANDO MANOBRA DE TRANSBORDO"),0)+IFERROR(SUMIFS('Base bordo CD'!M$2:M$875,'Base bordo CD'!D$2:D$875,A264,'Base bordo CD'!A$2:A$875,B264,'Base bordo CD'!L$2:L$875,"FALTA DE TRANSBORDO"),0)</f>
        <v>0</v>
      </c>
      <c r="I264" s="10">
        <f>IFERROR(SUMIFS('Base bordo CD'!M$2:M$875,'Base bordo CD'!D$2:D$875,A264,'Base bordo CD'!A$2:A$875,B264,'Base bordo CD'!L$2:L$875,"PARADA POR CONDICOES CLIMATICAS"),0)+IFERROR(SUMIFS('Base bordo CD'!M$2:M$875,'Base bordo CD'!D$2:D$875,A264,'Base bordo CD'!A$2:A$875,B264,'Base bordo CD'!L$2:L$875,"TEMPO INDETERMINADO"),0)</f>
        <v>14.705833333333334</v>
      </c>
      <c r="J264" s="10">
        <f>IFERROR(SUMIFS('Base bordo CD'!M$2:M$875,'Base bordo CD'!D$2:D$875,A264,'Base bordo CD'!A$2:A$875,B264,'Base bordo CD'!L$2:L$875,"LIMITAÇÃO INDÚSTRIA"),0)</f>
        <v>0</v>
      </c>
      <c r="K264" s="10">
        <f>IFERROR(SUMIFS('Base bordo CD'!M$2:M$875,'Base bordo CD'!D$2:D$875,A264,'Base bordo CD'!A$2:A$875,B264,'Base bordo CD'!L$2:L$875,"MAN CORRETIVA*"),0)+IFERROR(SUMIFS('Base bordo CD'!M$2:M$875,'Base bordo CD'!D$2:D$875,A264,'Base bordo CD'!A$2:A$875,B264,'Base bordo CD'!L$2:L$875,"AGUARDANDO MANUTENCAO*"),0)+IFERROR(SUMIFS('Base bordo CD'!M$2:M$875,'Base bordo CD'!D$2:D$875,A264,'Base bordo CD'!A$2:A$875,B264,'Base bordo CD'!L$2:L$875,"TROCA DE FAQUINHA"),0)+IFERROR(SUMIFS('Base bordo CD'!M$2:M$875,'Base bordo CD'!D$2:D$875,A264,'Base bordo CD'!A$2:A$875,B264,'Base bordo CD'!L$2:L$875,"LIMPEZA*"),0)</f>
        <v>0</v>
      </c>
      <c r="L264" s="10">
        <f>IFERROR(SUMIFS('Base bordo CD'!M$2:M$875,'Base bordo CD'!D$2:D$875,A264,'Base bordo CD'!A$2:A$875,B264,'Base bordo CD'!L$2:L$875,"PATIO - RESERVA"),0)</f>
        <v>0</v>
      </c>
      <c r="M264" s="10">
        <f>IFERROR(SUMIFS('Base bordo CD'!M$2:M$875,'Base bordo CD'!D$2:D$875,A264,'Base bordo CD'!A$2:A$875,B264,'Base bordo CD'!L$2:L$875,"SEM APONTAMENTO"),0)</f>
        <v>1.2777777777777779E-2</v>
      </c>
      <c r="N264" s="10">
        <f>IFERROR(SUMIFS('Base bordo CD'!M$2:M$875,'Base bordo CD'!D$2:D$875,A264,'Base bordo CD'!A$2:A$875,B264,'Base bordo CD'!L$2:L$875,"FALTA DE CAMINHÃO"),0)+IFERROR(SUMIFS('Base bordo CD'!M$2:M$875,'Base bordo CD'!D$2:D$875,A264,'Base bordo CD'!A$2:A$875,B264,'Base bordo CD'!L$2:L$875,"FALTA DE COMBUSTIVEL"),0)+IFERROR(SUMIFS('Base bordo CD'!M$2:M$875,'Base bordo CD'!D$2:D$875,A264,'Base bordo CD'!A$2:A$875,B264,'Base bordo CD'!L$2:L$875,"FALTA DE MOTORIST*"),0)</f>
        <v>0</v>
      </c>
      <c r="O264" s="10">
        <f t="shared" si="25"/>
        <v>0.19138888888889127</v>
      </c>
      <c r="P264" s="10">
        <f>IFERROR(SUMIFS('Base bordo CD'!M$2:M$875,'Base bordo CD'!D$2:D$875,A264,'Base bordo CD'!A$2:A$875,B264),0)</f>
        <v>24.000000000000004</v>
      </c>
      <c r="Q264" s="10">
        <f>IFERROR(SUMIFS('Base bordo CD'!O$2:O$875,'Base bordo CD'!D$2:D$875,A264,'Base bordo CD'!A$2:A$875,B264,'Base bordo CD'!L$2:L$875,"CORTE DE CANA MECANIZADO"),0)</f>
        <v>102862.77</v>
      </c>
      <c r="R264" s="10">
        <f>IFERROR(SUMIFS('Base bordo CD'!Q$2:Q$875,'Base bordo CD'!D$2:D$875,A264,'Base bordo CD'!A$2:A$875,B264,'Base bordo CD'!L$2:L$875,"CORTE DE CANA MECANIZADO"),0)</f>
        <v>26193</v>
      </c>
      <c r="S264" s="30">
        <f t="shared" si="26"/>
        <v>3.9271091512999656</v>
      </c>
      <c r="T264" s="9">
        <f t="shared" si="27"/>
        <v>0.30315972222222221</v>
      </c>
      <c r="U264" s="9">
        <f t="shared" si="28"/>
        <v>6.6851851851851843E-2</v>
      </c>
      <c r="V264" s="9">
        <f t="shared" si="29"/>
        <v>0.6881018518518518</v>
      </c>
    </row>
    <row r="265" spans="1:22" x14ac:dyDescent="0.35">
      <c r="A265" s="52">
        <v>49595</v>
      </c>
      <c r="B265" s="31">
        <v>46123</v>
      </c>
      <c r="C265" s="7" t="s">
        <v>337</v>
      </c>
      <c r="D265" s="7">
        <v>353</v>
      </c>
      <c r="E265" s="10">
        <f>IFERROR(SUMIFS('Base bordo CD'!M$2:M$875,'Base bordo CD'!D$2:D$875,A265,'Base bordo CD'!A$2:A$875,B265,'Base bordo CD'!L$2:L$875,"CORTE DE CANA MECANIZADO"),0)</f>
        <v>7.2758333333333338</v>
      </c>
      <c r="F265" s="10">
        <f>IFERROR(SUMIFS('Base bordo CD'!M$2:M$875,'Base bordo CD'!D$2:D$875,A265,'Base bordo CD'!A$2:A$875,B265,'Base bordo CD'!L$2:L$875,"MANOBRA"),0)</f>
        <v>1.6044444444444443</v>
      </c>
      <c r="G265" s="10">
        <f>IFERROR(SUMIFS('Base bordo CD'!M$2:M$875,'Base bordo CD'!D$2:D$875,A265,'Base bordo CD'!A$2:A$875,B265,'Base bordo CD'!L$2:L$875,"DESLOCAMENTO"),0)</f>
        <v>0.20972222222222223</v>
      </c>
      <c r="H265" s="10">
        <f>IFERROR(SUMIFS('Base bordo CD'!M$2:M$875,'Base bordo CD'!D$2:D$875,A265,'Base bordo CD'!A$2:A$875,B265,'Base bordo CD'!L$2:L$875,"AGUARDANDO MANOBRA DE TRANSBORDO"),0)+IFERROR(SUMIFS('Base bordo CD'!M$2:M$875,'Base bordo CD'!D$2:D$875,A265,'Base bordo CD'!A$2:A$875,B265,'Base bordo CD'!L$2:L$875,"FALTA DE TRANSBORDO"),0)</f>
        <v>0</v>
      </c>
      <c r="I265" s="10">
        <f>IFERROR(SUMIFS('Base bordo CD'!M$2:M$875,'Base bordo CD'!D$2:D$875,A265,'Base bordo CD'!A$2:A$875,B265,'Base bordo CD'!L$2:L$875,"PARADA POR CONDICOES CLIMATICAS"),0)+IFERROR(SUMIFS('Base bordo CD'!M$2:M$875,'Base bordo CD'!D$2:D$875,A265,'Base bordo CD'!A$2:A$875,B265,'Base bordo CD'!L$2:L$875,"TEMPO INDETERMINADO"),0)</f>
        <v>14.705833333333334</v>
      </c>
      <c r="J265" s="10">
        <f>IFERROR(SUMIFS('Base bordo CD'!M$2:M$875,'Base bordo CD'!D$2:D$875,A265,'Base bordo CD'!A$2:A$875,B265,'Base bordo CD'!L$2:L$875,"LIMITAÇÃO INDÚSTRIA"),0)</f>
        <v>0</v>
      </c>
      <c r="K265" s="10">
        <f>IFERROR(SUMIFS('Base bordo CD'!M$2:M$875,'Base bordo CD'!D$2:D$875,A265,'Base bordo CD'!A$2:A$875,B265,'Base bordo CD'!L$2:L$875,"MAN CORRETIVA*"),0)+IFERROR(SUMIFS('Base bordo CD'!M$2:M$875,'Base bordo CD'!D$2:D$875,A265,'Base bordo CD'!A$2:A$875,B265,'Base bordo CD'!L$2:L$875,"AGUARDANDO MANUTENCAO*"),0)+IFERROR(SUMIFS('Base bordo CD'!M$2:M$875,'Base bordo CD'!D$2:D$875,A265,'Base bordo CD'!A$2:A$875,B265,'Base bordo CD'!L$2:L$875,"TROCA DE FAQUINHA"),0)+IFERROR(SUMIFS('Base bordo CD'!M$2:M$875,'Base bordo CD'!D$2:D$875,A265,'Base bordo CD'!A$2:A$875,B265,'Base bordo CD'!L$2:L$875,"LIMPEZA*"),0)</f>
        <v>0</v>
      </c>
      <c r="L265" s="10">
        <f>IFERROR(SUMIFS('Base bordo CD'!M$2:M$875,'Base bordo CD'!D$2:D$875,A265,'Base bordo CD'!A$2:A$875,B265,'Base bordo CD'!L$2:L$875,"PATIO - RESERVA"),0)</f>
        <v>0</v>
      </c>
      <c r="M265" s="10">
        <f>IFERROR(SUMIFS('Base bordo CD'!M$2:M$875,'Base bordo CD'!D$2:D$875,A265,'Base bordo CD'!A$2:A$875,B265,'Base bordo CD'!L$2:L$875,"SEM APONTAMENTO"),0)</f>
        <v>1.2777777777777779E-2</v>
      </c>
      <c r="N265" s="10">
        <f>IFERROR(SUMIFS('Base bordo CD'!M$2:M$875,'Base bordo CD'!D$2:D$875,A265,'Base bordo CD'!A$2:A$875,B265,'Base bordo CD'!L$2:L$875,"FALTA DE CAMINHÃO"),0)+IFERROR(SUMIFS('Base bordo CD'!M$2:M$875,'Base bordo CD'!D$2:D$875,A265,'Base bordo CD'!A$2:A$875,B265,'Base bordo CD'!L$2:L$875,"FALTA DE COMBUSTIVEL"),0)+IFERROR(SUMIFS('Base bordo CD'!M$2:M$875,'Base bordo CD'!D$2:D$875,A265,'Base bordo CD'!A$2:A$875,B265,'Base bordo CD'!L$2:L$875,"FALTA DE MOTORIST*"),0)</f>
        <v>0</v>
      </c>
      <c r="O265" s="10">
        <f t="shared" si="25"/>
        <v>0.19138888888889127</v>
      </c>
      <c r="P265" s="10">
        <f>IFERROR(SUMIFS('Base bordo CD'!M$2:M$875,'Base bordo CD'!D$2:D$875,A265,'Base bordo CD'!A$2:A$875,B265),0)</f>
        <v>24.000000000000004</v>
      </c>
      <c r="Q265" s="10">
        <f>IFERROR(SUMIFS('Base bordo CD'!O$2:O$875,'Base bordo CD'!D$2:D$875,A265,'Base bordo CD'!A$2:A$875,B265,'Base bordo CD'!L$2:L$875,"CORTE DE CANA MECANIZADO"),0)</f>
        <v>102862.77</v>
      </c>
      <c r="R265" s="10">
        <f>IFERROR(SUMIFS('Base bordo CD'!Q$2:Q$875,'Base bordo CD'!D$2:D$875,A265,'Base bordo CD'!A$2:A$875,B265,'Base bordo CD'!L$2:L$875,"CORTE DE CANA MECANIZADO"),0)</f>
        <v>26193</v>
      </c>
      <c r="S265" s="30">
        <f t="shared" si="26"/>
        <v>3.9271091512999656</v>
      </c>
      <c r="T265" s="9">
        <f t="shared" si="27"/>
        <v>0.30315972222222221</v>
      </c>
      <c r="U265" s="9">
        <f t="shared" si="28"/>
        <v>6.6851851851851843E-2</v>
      </c>
      <c r="V265" s="9">
        <f t="shared" si="29"/>
        <v>0.6881018518518518</v>
      </c>
    </row>
    <row r="266" spans="1:22" x14ac:dyDescent="0.35">
      <c r="A266" s="52">
        <v>49595</v>
      </c>
      <c r="B266" s="31">
        <v>46123</v>
      </c>
      <c r="C266" s="7" t="s">
        <v>337</v>
      </c>
      <c r="D266" s="7">
        <v>353</v>
      </c>
      <c r="E266" s="10">
        <f>IFERROR(SUMIFS('Base bordo CD'!M$2:M$875,'Base bordo CD'!D$2:D$875,A266,'Base bordo CD'!A$2:A$875,B266,'Base bordo CD'!L$2:L$875,"CORTE DE CANA MECANIZADO"),0)</f>
        <v>7.2758333333333338</v>
      </c>
      <c r="F266" s="10">
        <f>IFERROR(SUMIFS('Base bordo CD'!M$2:M$875,'Base bordo CD'!D$2:D$875,A266,'Base bordo CD'!A$2:A$875,B266,'Base bordo CD'!L$2:L$875,"MANOBRA"),0)</f>
        <v>1.6044444444444443</v>
      </c>
      <c r="G266" s="10">
        <f>IFERROR(SUMIFS('Base bordo CD'!M$2:M$875,'Base bordo CD'!D$2:D$875,A266,'Base bordo CD'!A$2:A$875,B266,'Base bordo CD'!L$2:L$875,"DESLOCAMENTO"),0)</f>
        <v>0.20972222222222223</v>
      </c>
      <c r="H266" s="10">
        <f>IFERROR(SUMIFS('Base bordo CD'!M$2:M$875,'Base bordo CD'!D$2:D$875,A266,'Base bordo CD'!A$2:A$875,B266,'Base bordo CD'!L$2:L$875,"AGUARDANDO MANOBRA DE TRANSBORDO"),0)+IFERROR(SUMIFS('Base bordo CD'!M$2:M$875,'Base bordo CD'!D$2:D$875,A266,'Base bordo CD'!A$2:A$875,B266,'Base bordo CD'!L$2:L$875,"FALTA DE TRANSBORDO"),0)</f>
        <v>0</v>
      </c>
      <c r="I266" s="10">
        <f>IFERROR(SUMIFS('Base bordo CD'!M$2:M$875,'Base bordo CD'!D$2:D$875,A266,'Base bordo CD'!A$2:A$875,B266,'Base bordo CD'!L$2:L$875,"PARADA POR CONDICOES CLIMATICAS"),0)+IFERROR(SUMIFS('Base bordo CD'!M$2:M$875,'Base bordo CD'!D$2:D$875,A266,'Base bordo CD'!A$2:A$875,B266,'Base bordo CD'!L$2:L$875,"TEMPO INDETERMINADO"),0)</f>
        <v>14.705833333333334</v>
      </c>
      <c r="J266" s="10">
        <f>IFERROR(SUMIFS('Base bordo CD'!M$2:M$875,'Base bordo CD'!D$2:D$875,A266,'Base bordo CD'!A$2:A$875,B266,'Base bordo CD'!L$2:L$875,"LIMITAÇÃO INDÚSTRIA"),0)</f>
        <v>0</v>
      </c>
      <c r="K266" s="10">
        <f>IFERROR(SUMIFS('Base bordo CD'!M$2:M$875,'Base bordo CD'!D$2:D$875,A266,'Base bordo CD'!A$2:A$875,B266,'Base bordo CD'!L$2:L$875,"MAN CORRETIVA*"),0)+IFERROR(SUMIFS('Base bordo CD'!M$2:M$875,'Base bordo CD'!D$2:D$875,A266,'Base bordo CD'!A$2:A$875,B266,'Base bordo CD'!L$2:L$875,"AGUARDANDO MANUTENCAO*"),0)+IFERROR(SUMIFS('Base bordo CD'!M$2:M$875,'Base bordo CD'!D$2:D$875,A266,'Base bordo CD'!A$2:A$875,B266,'Base bordo CD'!L$2:L$875,"TROCA DE FAQUINHA"),0)+IFERROR(SUMIFS('Base bordo CD'!M$2:M$875,'Base bordo CD'!D$2:D$875,A266,'Base bordo CD'!A$2:A$875,B266,'Base bordo CD'!L$2:L$875,"LIMPEZA*"),0)</f>
        <v>0</v>
      </c>
      <c r="L266" s="10">
        <f>IFERROR(SUMIFS('Base bordo CD'!M$2:M$875,'Base bordo CD'!D$2:D$875,A266,'Base bordo CD'!A$2:A$875,B266,'Base bordo CD'!L$2:L$875,"PATIO - RESERVA"),0)</f>
        <v>0</v>
      </c>
      <c r="M266" s="10">
        <f>IFERROR(SUMIFS('Base bordo CD'!M$2:M$875,'Base bordo CD'!D$2:D$875,A266,'Base bordo CD'!A$2:A$875,B266,'Base bordo CD'!L$2:L$875,"SEM APONTAMENTO"),0)</f>
        <v>1.2777777777777779E-2</v>
      </c>
      <c r="N266" s="10">
        <f>IFERROR(SUMIFS('Base bordo CD'!M$2:M$875,'Base bordo CD'!D$2:D$875,A266,'Base bordo CD'!A$2:A$875,B266,'Base bordo CD'!L$2:L$875,"FALTA DE CAMINHÃO"),0)+IFERROR(SUMIFS('Base bordo CD'!M$2:M$875,'Base bordo CD'!D$2:D$875,A266,'Base bordo CD'!A$2:A$875,B266,'Base bordo CD'!L$2:L$875,"FALTA DE COMBUSTIVEL"),0)+IFERROR(SUMIFS('Base bordo CD'!M$2:M$875,'Base bordo CD'!D$2:D$875,A266,'Base bordo CD'!A$2:A$875,B266,'Base bordo CD'!L$2:L$875,"FALTA DE MOTORIST*"),0)</f>
        <v>0</v>
      </c>
      <c r="O266" s="10">
        <f t="shared" si="25"/>
        <v>0.19138888888889127</v>
      </c>
      <c r="P266" s="10">
        <f>IFERROR(SUMIFS('Base bordo CD'!M$2:M$875,'Base bordo CD'!D$2:D$875,A266,'Base bordo CD'!A$2:A$875,B266),0)</f>
        <v>24.000000000000004</v>
      </c>
      <c r="Q266" s="10">
        <f>IFERROR(SUMIFS('Base bordo CD'!O$2:O$875,'Base bordo CD'!D$2:D$875,A266,'Base bordo CD'!A$2:A$875,B266,'Base bordo CD'!L$2:L$875,"CORTE DE CANA MECANIZADO"),0)</f>
        <v>102862.77</v>
      </c>
      <c r="R266" s="10">
        <f>IFERROR(SUMIFS('Base bordo CD'!Q$2:Q$875,'Base bordo CD'!D$2:D$875,A266,'Base bordo CD'!A$2:A$875,B266,'Base bordo CD'!L$2:L$875,"CORTE DE CANA MECANIZADO"),0)</f>
        <v>26193</v>
      </c>
      <c r="S266" s="30">
        <f t="shared" si="26"/>
        <v>3.9271091512999656</v>
      </c>
      <c r="T266" s="9">
        <f t="shared" si="27"/>
        <v>0.30315972222222221</v>
      </c>
      <c r="U266" s="9">
        <f t="shared" si="28"/>
        <v>6.6851851851851843E-2</v>
      </c>
      <c r="V266" s="9">
        <f t="shared" si="29"/>
        <v>0.6881018518518518</v>
      </c>
    </row>
    <row r="267" spans="1:22" x14ac:dyDescent="0.35">
      <c r="A267" s="52">
        <v>49595</v>
      </c>
      <c r="B267" s="31">
        <v>46123</v>
      </c>
      <c r="C267" s="7" t="s">
        <v>337</v>
      </c>
      <c r="D267" s="7">
        <v>353</v>
      </c>
      <c r="E267" s="10">
        <f>IFERROR(SUMIFS('Base bordo CD'!M$2:M$875,'Base bordo CD'!D$2:D$875,A267,'Base bordo CD'!A$2:A$875,B267,'Base bordo CD'!L$2:L$875,"CORTE DE CANA MECANIZADO"),0)</f>
        <v>7.2758333333333338</v>
      </c>
      <c r="F267" s="10">
        <f>IFERROR(SUMIFS('Base bordo CD'!M$2:M$875,'Base bordo CD'!D$2:D$875,A267,'Base bordo CD'!A$2:A$875,B267,'Base bordo CD'!L$2:L$875,"MANOBRA"),0)</f>
        <v>1.6044444444444443</v>
      </c>
      <c r="G267" s="10">
        <f>IFERROR(SUMIFS('Base bordo CD'!M$2:M$875,'Base bordo CD'!D$2:D$875,A267,'Base bordo CD'!A$2:A$875,B267,'Base bordo CD'!L$2:L$875,"DESLOCAMENTO"),0)</f>
        <v>0.20972222222222223</v>
      </c>
      <c r="H267" s="10">
        <f>IFERROR(SUMIFS('Base bordo CD'!M$2:M$875,'Base bordo CD'!D$2:D$875,A267,'Base bordo CD'!A$2:A$875,B267,'Base bordo CD'!L$2:L$875,"AGUARDANDO MANOBRA DE TRANSBORDO"),0)+IFERROR(SUMIFS('Base bordo CD'!M$2:M$875,'Base bordo CD'!D$2:D$875,A267,'Base bordo CD'!A$2:A$875,B267,'Base bordo CD'!L$2:L$875,"FALTA DE TRANSBORDO"),0)</f>
        <v>0</v>
      </c>
      <c r="I267" s="10">
        <f>IFERROR(SUMIFS('Base bordo CD'!M$2:M$875,'Base bordo CD'!D$2:D$875,A267,'Base bordo CD'!A$2:A$875,B267,'Base bordo CD'!L$2:L$875,"PARADA POR CONDICOES CLIMATICAS"),0)+IFERROR(SUMIFS('Base bordo CD'!M$2:M$875,'Base bordo CD'!D$2:D$875,A267,'Base bordo CD'!A$2:A$875,B267,'Base bordo CD'!L$2:L$875,"TEMPO INDETERMINADO"),0)</f>
        <v>14.705833333333334</v>
      </c>
      <c r="J267" s="10">
        <f>IFERROR(SUMIFS('Base bordo CD'!M$2:M$875,'Base bordo CD'!D$2:D$875,A267,'Base bordo CD'!A$2:A$875,B267,'Base bordo CD'!L$2:L$875,"LIMITAÇÃO INDÚSTRIA"),0)</f>
        <v>0</v>
      </c>
      <c r="K267" s="10">
        <f>IFERROR(SUMIFS('Base bordo CD'!M$2:M$875,'Base bordo CD'!D$2:D$875,A267,'Base bordo CD'!A$2:A$875,B267,'Base bordo CD'!L$2:L$875,"MAN CORRETIVA*"),0)+IFERROR(SUMIFS('Base bordo CD'!M$2:M$875,'Base bordo CD'!D$2:D$875,A267,'Base bordo CD'!A$2:A$875,B267,'Base bordo CD'!L$2:L$875,"AGUARDANDO MANUTENCAO*"),0)+IFERROR(SUMIFS('Base bordo CD'!M$2:M$875,'Base bordo CD'!D$2:D$875,A267,'Base bordo CD'!A$2:A$875,B267,'Base bordo CD'!L$2:L$875,"TROCA DE FAQUINHA"),0)+IFERROR(SUMIFS('Base bordo CD'!M$2:M$875,'Base bordo CD'!D$2:D$875,A267,'Base bordo CD'!A$2:A$875,B267,'Base bordo CD'!L$2:L$875,"LIMPEZA*"),0)</f>
        <v>0</v>
      </c>
      <c r="L267" s="10">
        <f>IFERROR(SUMIFS('Base bordo CD'!M$2:M$875,'Base bordo CD'!D$2:D$875,A267,'Base bordo CD'!A$2:A$875,B267,'Base bordo CD'!L$2:L$875,"PATIO - RESERVA"),0)</f>
        <v>0</v>
      </c>
      <c r="M267" s="10">
        <f>IFERROR(SUMIFS('Base bordo CD'!M$2:M$875,'Base bordo CD'!D$2:D$875,A267,'Base bordo CD'!A$2:A$875,B267,'Base bordo CD'!L$2:L$875,"SEM APONTAMENTO"),0)</f>
        <v>1.2777777777777779E-2</v>
      </c>
      <c r="N267" s="10">
        <f>IFERROR(SUMIFS('Base bordo CD'!M$2:M$875,'Base bordo CD'!D$2:D$875,A267,'Base bordo CD'!A$2:A$875,B267,'Base bordo CD'!L$2:L$875,"FALTA DE CAMINHÃO"),0)+IFERROR(SUMIFS('Base bordo CD'!M$2:M$875,'Base bordo CD'!D$2:D$875,A267,'Base bordo CD'!A$2:A$875,B267,'Base bordo CD'!L$2:L$875,"FALTA DE COMBUSTIVEL"),0)+IFERROR(SUMIFS('Base bordo CD'!M$2:M$875,'Base bordo CD'!D$2:D$875,A267,'Base bordo CD'!A$2:A$875,B267,'Base bordo CD'!L$2:L$875,"FALTA DE MOTORIST*"),0)</f>
        <v>0</v>
      </c>
      <c r="O267" s="10">
        <f t="shared" si="25"/>
        <v>0.19138888888889127</v>
      </c>
      <c r="P267" s="10">
        <f>IFERROR(SUMIFS('Base bordo CD'!M$2:M$875,'Base bordo CD'!D$2:D$875,A267,'Base bordo CD'!A$2:A$875,B267),0)</f>
        <v>24.000000000000004</v>
      </c>
      <c r="Q267" s="10">
        <f>IFERROR(SUMIFS('Base bordo CD'!O$2:O$875,'Base bordo CD'!D$2:D$875,A267,'Base bordo CD'!A$2:A$875,B267,'Base bordo CD'!L$2:L$875,"CORTE DE CANA MECANIZADO"),0)</f>
        <v>102862.77</v>
      </c>
      <c r="R267" s="10">
        <f>IFERROR(SUMIFS('Base bordo CD'!Q$2:Q$875,'Base bordo CD'!D$2:D$875,A267,'Base bordo CD'!A$2:A$875,B267,'Base bordo CD'!L$2:L$875,"CORTE DE CANA MECANIZADO"),0)</f>
        <v>26193</v>
      </c>
      <c r="S267" s="30">
        <f t="shared" si="26"/>
        <v>3.9271091512999656</v>
      </c>
      <c r="T267" s="9">
        <f t="shared" si="27"/>
        <v>0.30315972222222221</v>
      </c>
      <c r="U267" s="9">
        <f t="shared" si="28"/>
        <v>6.6851851851851843E-2</v>
      </c>
      <c r="V267" s="9">
        <f t="shared" si="29"/>
        <v>0.6881018518518518</v>
      </c>
    </row>
    <row r="268" spans="1:22" x14ac:dyDescent="0.35">
      <c r="A268" s="52">
        <v>49595</v>
      </c>
      <c r="B268" s="31">
        <v>46123</v>
      </c>
      <c r="C268" s="7" t="s">
        <v>337</v>
      </c>
      <c r="D268" s="7">
        <v>353</v>
      </c>
      <c r="E268" s="10">
        <f>IFERROR(SUMIFS('Base bordo CD'!M$2:M$875,'Base bordo CD'!D$2:D$875,A268,'Base bordo CD'!A$2:A$875,B268,'Base bordo CD'!L$2:L$875,"CORTE DE CANA MECANIZADO"),0)</f>
        <v>7.2758333333333338</v>
      </c>
      <c r="F268" s="10">
        <f>IFERROR(SUMIFS('Base bordo CD'!M$2:M$875,'Base bordo CD'!D$2:D$875,A268,'Base bordo CD'!A$2:A$875,B268,'Base bordo CD'!L$2:L$875,"MANOBRA"),0)</f>
        <v>1.6044444444444443</v>
      </c>
      <c r="G268" s="10">
        <f>IFERROR(SUMIFS('Base bordo CD'!M$2:M$875,'Base bordo CD'!D$2:D$875,A268,'Base bordo CD'!A$2:A$875,B268,'Base bordo CD'!L$2:L$875,"DESLOCAMENTO"),0)</f>
        <v>0.20972222222222223</v>
      </c>
      <c r="H268" s="10">
        <f>IFERROR(SUMIFS('Base bordo CD'!M$2:M$875,'Base bordo CD'!D$2:D$875,A268,'Base bordo CD'!A$2:A$875,B268,'Base bordo CD'!L$2:L$875,"AGUARDANDO MANOBRA DE TRANSBORDO"),0)+IFERROR(SUMIFS('Base bordo CD'!M$2:M$875,'Base bordo CD'!D$2:D$875,A268,'Base bordo CD'!A$2:A$875,B268,'Base bordo CD'!L$2:L$875,"FALTA DE TRANSBORDO"),0)</f>
        <v>0</v>
      </c>
      <c r="I268" s="10">
        <f>IFERROR(SUMIFS('Base bordo CD'!M$2:M$875,'Base bordo CD'!D$2:D$875,A268,'Base bordo CD'!A$2:A$875,B268,'Base bordo CD'!L$2:L$875,"PARADA POR CONDICOES CLIMATICAS"),0)+IFERROR(SUMIFS('Base bordo CD'!M$2:M$875,'Base bordo CD'!D$2:D$875,A268,'Base bordo CD'!A$2:A$875,B268,'Base bordo CD'!L$2:L$875,"TEMPO INDETERMINADO"),0)</f>
        <v>14.705833333333334</v>
      </c>
      <c r="J268" s="10">
        <f>IFERROR(SUMIFS('Base bordo CD'!M$2:M$875,'Base bordo CD'!D$2:D$875,A268,'Base bordo CD'!A$2:A$875,B268,'Base bordo CD'!L$2:L$875,"LIMITAÇÃO INDÚSTRIA"),0)</f>
        <v>0</v>
      </c>
      <c r="K268" s="10">
        <f>IFERROR(SUMIFS('Base bordo CD'!M$2:M$875,'Base bordo CD'!D$2:D$875,A268,'Base bordo CD'!A$2:A$875,B268,'Base bordo CD'!L$2:L$875,"MAN CORRETIVA*"),0)+IFERROR(SUMIFS('Base bordo CD'!M$2:M$875,'Base bordo CD'!D$2:D$875,A268,'Base bordo CD'!A$2:A$875,B268,'Base bordo CD'!L$2:L$875,"AGUARDANDO MANUTENCAO*"),0)+IFERROR(SUMIFS('Base bordo CD'!M$2:M$875,'Base bordo CD'!D$2:D$875,A268,'Base bordo CD'!A$2:A$875,B268,'Base bordo CD'!L$2:L$875,"TROCA DE FAQUINHA"),0)+IFERROR(SUMIFS('Base bordo CD'!M$2:M$875,'Base bordo CD'!D$2:D$875,A268,'Base bordo CD'!A$2:A$875,B268,'Base bordo CD'!L$2:L$875,"LIMPEZA*"),0)</f>
        <v>0</v>
      </c>
      <c r="L268" s="10">
        <f>IFERROR(SUMIFS('Base bordo CD'!M$2:M$875,'Base bordo CD'!D$2:D$875,A268,'Base bordo CD'!A$2:A$875,B268,'Base bordo CD'!L$2:L$875,"PATIO - RESERVA"),0)</f>
        <v>0</v>
      </c>
      <c r="M268" s="10">
        <f>IFERROR(SUMIFS('Base bordo CD'!M$2:M$875,'Base bordo CD'!D$2:D$875,A268,'Base bordo CD'!A$2:A$875,B268,'Base bordo CD'!L$2:L$875,"SEM APONTAMENTO"),0)</f>
        <v>1.2777777777777779E-2</v>
      </c>
      <c r="N268" s="10">
        <f>IFERROR(SUMIFS('Base bordo CD'!M$2:M$875,'Base bordo CD'!D$2:D$875,A268,'Base bordo CD'!A$2:A$875,B268,'Base bordo CD'!L$2:L$875,"FALTA DE CAMINHÃO"),0)+IFERROR(SUMIFS('Base bordo CD'!M$2:M$875,'Base bordo CD'!D$2:D$875,A268,'Base bordo CD'!A$2:A$875,B268,'Base bordo CD'!L$2:L$875,"FALTA DE COMBUSTIVEL"),0)+IFERROR(SUMIFS('Base bordo CD'!M$2:M$875,'Base bordo CD'!D$2:D$875,A268,'Base bordo CD'!A$2:A$875,B268,'Base bordo CD'!L$2:L$875,"FALTA DE MOTORIST*"),0)</f>
        <v>0</v>
      </c>
      <c r="O268" s="10">
        <f t="shared" si="25"/>
        <v>0.19138888888889127</v>
      </c>
      <c r="P268" s="10">
        <f>IFERROR(SUMIFS('Base bordo CD'!M$2:M$875,'Base bordo CD'!D$2:D$875,A268,'Base bordo CD'!A$2:A$875,B268),0)</f>
        <v>24.000000000000004</v>
      </c>
      <c r="Q268" s="10">
        <f>IFERROR(SUMIFS('Base bordo CD'!O$2:O$875,'Base bordo CD'!D$2:D$875,A268,'Base bordo CD'!A$2:A$875,B268,'Base bordo CD'!L$2:L$875,"CORTE DE CANA MECANIZADO"),0)</f>
        <v>102862.77</v>
      </c>
      <c r="R268" s="10">
        <f>IFERROR(SUMIFS('Base bordo CD'!Q$2:Q$875,'Base bordo CD'!D$2:D$875,A268,'Base bordo CD'!A$2:A$875,B268,'Base bordo CD'!L$2:L$875,"CORTE DE CANA MECANIZADO"),0)</f>
        <v>26193</v>
      </c>
      <c r="S268" s="30">
        <f t="shared" si="26"/>
        <v>3.9271091512999656</v>
      </c>
      <c r="T268" s="9">
        <f t="shared" si="27"/>
        <v>0.30315972222222221</v>
      </c>
      <c r="U268" s="9">
        <f t="shared" si="28"/>
        <v>6.6851851851851843E-2</v>
      </c>
      <c r="V268" s="9">
        <f t="shared" si="29"/>
        <v>0.6881018518518518</v>
      </c>
    </row>
    <row r="269" spans="1:22" x14ac:dyDescent="0.35">
      <c r="A269" s="52">
        <v>49595</v>
      </c>
      <c r="B269" s="31">
        <v>46123</v>
      </c>
      <c r="C269" s="7" t="s">
        <v>337</v>
      </c>
      <c r="D269" s="7">
        <v>353</v>
      </c>
      <c r="E269" s="10">
        <f>IFERROR(SUMIFS('Base bordo CD'!M$2:M$875,'Base bordo CD'!D$2:D$875,A269,'Base bordo CD'!A$2:A$875,B269,'Base bordo CD'!L$2:L$875,"CORTE DE CANA MECANIZADO"),0)</f>
        <v>7.2758333333333338</v>
      </c>
      <c r="F269" s="10">
        <f>IFERROR(SUMIFS('Base bordo CD'!M$2:M$875,'Base bordo CD'!D$2:D$875,A269,'Base bordo CD'!A$2:A$875,B269,'Base bordo CD'!L$2:L$875,"MANOBRA"),0)</f>
        <v>1.6044444444444443</v>
      </c>
      <c r="G269" s="10">
        <f>IFERROR(SUMIFS('Base bordo CD'!M$2:M$875,'Base bordo CD'!D$2:D$875,A269,'Base bordo CD'!A$2:A$875,B269,'Base bordo CD'!L$2:L$875,"DESLOCAMENTO"),0)</f>
        <v>0.20972222222222223</v>
      </c>
      <c r="H269" s="10">
        <f>IFERROR(SUMIFS('Base bordo CD'!M$2:M$875,'Base bordo CD'!D$2:D$875,A269,'Base bordo CD'!A$2:A$875,B269,'Base bordo CD'!L$2:L$875,"AGUARDANDO MANOBRA DE TRANSBORDO"),0)+IFERROR(SUMIFS('Base bordo CD'!M$2:M$875,'Base bordo CD'!D$2:D$875,A269,'Base bordo CD'!A$2:A$875,B269,'Base bordo CD'!L$2:L$875,"FALTA DE TRANSBORDO"),0)</f>
        <v>0</v>
      </c>
      <c r="I269" s="10">
        <f>IFERROR(SUMIFS('Base bordo CD'!M$2:M$875,'Base bordo CD'!D$2:D$875,A269,'Base bordo CD'!A$2:A$875,B269,'Base bordo CD'!L$2:L$875,"PARADA POR CONDICOES CLIMATICAS"),0)+IFERROR(SUMIFS('Base bordo CD'!M$2:M$875,'Base bordo CD'!D$2:D$875,A269,'Base bordo CD'!A$2:A$875,B269,'Base bordo CD'!L$2:L$875,"TEMPO INDETERMINADO"),0)</f>
        <v>14.705833333333334</v>
      </c>
      <c r="J269" s="10">
        <f>IFERROR(SUMIFS('Base bordo CD'!M$2:M$875,'Base bordo CD'!D$2:D$875,A269,'Base bordo CD'!A$2:A$875,B269,'Base bordo CD'!L$2:L$875,"LIMITAÇÃO INDÚSTRIA"),0)</f>
        <v>0</v>
      </c>
      <c r="K269" s="10">
        <f>IFERROR(SUMIFS('Base bordo CD'!M$2:M$875,'Base bordo CD'!D$2:D$875,A269,'Base bordo CD'!A$2:A$875,B269,'Base bordo CD'!L$2:L$875,"MAN CORRETIVA*"),0)+IFERROR(SUMIFS('Base bordo CD'!M$2:M$875,'Base bordo CD'!D$2:D$875,A269,'Base bordo CD'!A$2:A$875,B269,'Base bordo CD'!L$2:L$875,"AGUARDANDO MANUTENCAO*"),0)+IFERROR(SUMIFS('Base bordo CD'!M$2:M$875,'Base bordo CD'!D$2:D$875,A269,'Base bordo CD'!A$2:A$875,B269,'Base bordo CD'!L$2:L$875,"TROCA DE FAQUINHA"),0)+IFERROR(SUMIFS('Base bordo CD'!M$2:M$875,'Base bordo CD'!D$2:D$875,A269,'Base bordo CD'!A$2:A$875,B269,'Base bordo CD'!L$2:L$875,"LIMPEZA*"),0)</f>
        <v>0</v>
      </c>
      <c r="L269" s="10">
        <f>IFERROR(SUMIFS('Base bordo CD'!M$2:M$875,'Base bordo CD'!D$2:D$875,A269,'Base bordo CD'!A$2:A$875,B269,'Base bordo CD'!L$2:L$875,"PATIO - RESERVA"),0)</f>
        <v>0</v>
      </c>
      <c r="M269" s="10">
        <f>IFERROR(SUMIFS('Base bordo CD'!M$2:M$875,'Base bordo CD'!D$2:D$875,A269,'Base bordo CD'!A$2:A$875,B269,'Base bordo CD'!L$2:L$875,"SEM APONTAMENTO"),0)</f>
        <v>1.2777777777777779E-2</v>
      </c>
      <c r="N269" s="10">
        <f>IFERROR(SUMIFS('Base bordo CD'!M$2:M$875,'Base bordo CD'!D$2:D$875,A269,'Base bordo CD'!A$2:A$875,B269,'Base bordo CD'!L$2:L$875,"FALTA DE CAMINHÃO"),0)+IFERROR(SUMIFS('Base bordo CD'!M$2:M$875,'Base bordo CD'!D$2:D$875,A269,'Base bordo CD'!A$2:A$875,B269,'Base bordo CD'!L$2:L$875,"FALTA DE COMBUSTIVEL"),0)+IFERROR(SUMIFS('Base bordo CD'!M$2:M$875,'Base bordo CD'!D$2:D$875,A269,'Base bordo CD'!A$2:A$875,B269,'Base bordo CD'!L$2:L$875,"FALTA DE MOTORIST*"),0)</f>
        <v>0</v>
      </c>
      <c r="O269" s="10">
        <f t="shared" si="25"/>
        <v>0.19138888888889127</v>
      </c>
      <c r="P269" s="10">
        <f>IFERROR(SUMIFS('Base bordo CD'!M$2:M$875,'Base bordo CD'!D$2:D$875,A269,'Base bordo CD'!A$2:A$875,B269),0)</f>
        <v>24.000000000000004</v>
      </c>
      <c r="Q269" s="10">
        <f>IFERROR(SUMIFS('Base bordo CD'!O$2:O$875,'Base bordo CD'!D$2:D$875,A269,'Base bordo CD'!A$2:A$875,B269,'Base bordo CD'!L$2:L$875,"CORTE DE CANA MECANIZADO"),0)</f>
        <v>102862.77</v>
      </c>
      <c r="R269" s="10">
        <f>IFERROR(SUMIFS('Base bordo CD'!Q$2:Q$875,'Base bordo CD'!D$2:D$875,A269,'Base bordo CD'!A$2:A$875,B269,'Base bordo CD'!L$2:L$875,"CORTE DE CANA MECANIZADO"),0)</f>
        <v>26193</v>
      </c>
      <c r="S269" s="30">
        <f t="shared" si="26"/>
        <v>3.9271091512999656</v>
      </c>
      <c r="T269" s="9">
        <f t="shared" si="27"/>
        <v>0.30315972222222221</v>
      </c>
      <c r="U269" s="9">
        <f t="shared" si="28"/>
        <v>6.6851851851851843E-2</v>
      </c>
      <c r="V269" s="9">
        <f t="shared" si="29"/>
        <v>0.6881018518518518</v>
      </c>
    </row>
    <row r="270" spans="1:22" x14ac:dyDescent="0.35">
      <c r="A270" s="52">
        <v>49595</v>
      </c>
      <c r="B270" s="31">
        <v>46123</v>
      </c>
      <c r="C270" s="7" t="s">
        <v>337</v>
      </c>
      <c r="D270" s="7">
        <v>353</v>
      </c>
      <c r="E270" s="10">
        <f>IFERROR(SUMIFS('Base bordo CD'!M$2:M$875,'Base bordo CD'!D$2:D$875,A270,'Base bordo CD'!A$2:A$875,B270,'Base bordo CD'!L$2:L$875,"CORTE DE CANA MECANIZADO"),0)</f>
        <v>7.2758333333333338</v>
      </c>
      <c r="F270" s="10">
        <f>IFERROR(SUMIFS('Base bordo CD'!M$2:M$875,'Base bordo CD'!D$2:D$875,A270,'Base bordo CD'!A$2:A$875,B270,'Base bordo CD'!L$2:L$875,"MANOBRA"),0)</f>
        <v>1.6044444444444443</v>
      </c>
      <c r="G270" s="10">
        <f>IFERROR(SUMIFS('Base bordo CD'!M$2:M$875,'Base bordo CD'!D$2:D$875,A270,'Base bordo CD'!A$2:A$875,B270,'Base bordo CD'!L$2:L$875,"DESLOCAMENTO"),0)</f>
        <v>0.20972222222222223</v>
      </c>
      <c r="H270" s="10">
        <f>IFERROR(SUMIFS('Base bordo CD'!M$2:M$875,'Base bordo CD'!D$2:D$875,A270,'Base bordo CD'!A$2:A$875,B270,'Base bordo CD'!L$2:L$875,"AGUARDANDO MANOBRA DE TRANSBORDO"),0)+IFERROR(SUMIFS('Base bordo CD'!M$2:M$875,'Base bordo CD'!D$2:D$875,A270,'Base bordo CD'!A$2:A$875,B270,'Base bordo CD'!L$2:L$875,"FALTA DE TRANSBORDO"),0)</f>
        <v>0</v>
      </c>
      <c r="I270" s="10">
        <f>IFERROR(SUMIFS('Base bordo CD'!M$2:M$875,'Base bordo CD'!D$2:D$875,A270,'Base bordo CD'!A$2:A$875,B270,'Base bordo CD'!L$2:L$875,"PARADA POR CONDICOES CLIMATICAS"),0)+IFERROR(SUMIFS('Base bordo CD'!M$2:M$875,'Base bordo CD'!D$2:D$875,A270,'Base bordo CD'!A$2:A$875,B270,'Base bordo CD'!L$2:L$875,"TEMPO INDETERMINADO"),0)</f>
        <v>14.705833333333334</v>
      </c>
      <c r="J270" s="10">
        <f>IFERROR(SUMIFS('Base bordo CD'!M$2:M$875,'Base bordo CD'!D$2:D$875,A270,'Base bordo CD'!A$2:A$875,B270,'Base bordo CD'!L$2:L$875,"LIMITAÇÃO INDÚSTRIA"),0)</f>
        <v>0</v>
      </c>
      <c r="K270" s="10">
        <f>IFERROR(SUMIFS('Base bordo CD'!M$2:M$875,'Base bordo CD'!D$2:D$875,A270,'Base bordo CD'!A$2:A$875,B270,'Base bordo CD'!L$2:L$875,"MAN CORRETIVA*"),0)+IFERROR(SUMIFS('Base bordo CD'!M$2:M$875,'Base bordo CD'!D$2:D$875,A270,'Base bordo CD'!A$2:A$875,B270,'Base bordo CD'!L$2:L$875,"AGUARDANDO MANUTENCAO*"),0)+IFERROR(SUMIFS('Base bordo CD'!M$2:M$875,'Base bordo CD'!D$2:D$875,A270,'Base bordo CD'!A$2:A$875,B270,'Base bordo CD'!L$2:L$875,"TROCA DE FAQUINHA"),0)+IFERROR(SUMIFS('Base bordo CD'!M$2:M$875,'Base bordo CD'!D$2:D$875,A270,'Base bordo CD'!A$2:A$875,B270,'Base bordo CD'!L$2:L$875,"LIMPEZA*"),0)</f>
        <v>0</v>
      </c>
      <c r="L270" s="10">
        <f>IFERROR(SUMIFS('Base bordo CD'!M$2:M$875,'Base bordo CD'!D$2:D$875,A270,'Base bordo CD'!A$2:A$875,B270,'Base bordo CD'!L$2:L$875,"PATIO - RESERVA"),0)</f>
        <v>0</v>
      </c>
      <c r="M270" s="10">
        <f>IFERROR(SUMIFS('Base bordo CD'!M$2:M$875,'Base bordo CD'!D$2:D$875,A270,'Base bordo CD'!A$2:A$875,B270,'Base bordo CD'!L$2:L$875,"SEM APONTAMENTO"),0)</f>
        <v>1.2777777777777779E-2</v>
      </c>
      <c r="N270" s="10">
        <f>IFERROR(SUMIFS('Base bordo CD'!M$2:M$875,'Base bordo CD'!D$2:D$875,A270,'Base bordo CD'!A$2:A$875,B270,'Base bordo CD'!L$2:L$875,"FALTA DE CAMINHÃO"),0)+IFERROR(SUMIFS('Base bordo CD'!M$2:M$875,'Base bordo CD'!D$2:D$875,A270,'Base bordo CD'!A$2:A$875,B270,'Base bordo CD'!L$2:L$875,"FALTA DE COMBUSTIVEL"),0)+IFERROR(SUMIFS('Base bordo CD'!M$2:M$875,'Base bordo CD'!D$2:D$875,A270,'Base bordo CD'!A$2:A$875,B270,'Base bordo CD'!L$2:L$875,"FALTA DE MOTORIST*"),0)</f>
        <v>0</v>
      </c>
      <c r="O270" s="10">
        <f t="shared" si="25"/>
        <v>0.19138888888889127</v>
      </c>
      <c r="P270" s="10">
        <f>IFERROR(SUMIFS('Base bordo CD'!M$2:M$875,'Base bordo CD'!D$2:D$875,A270,'Base bordo CD'!A$2:A$875,B270),0)</f>
        <v>24.000000000000004</v>
      </c>
      <c r="Q270" s="10">
        <f>IFERROR(SUMIFS('Base bordo CD'!O$2:O$875,'Base bordo CD'!D$2:D$875,A270,'Base bordo CD'!A$2:A$875,B270,'Base bordo CD'!L$2:L$875,"CORTE DE CANA MECANIZADO"),0)</f>
        <v>102862.77</v>
      </c>
      <c r="R270" s="10">
        <f>IFERROR(SUMIFS('Base bordo CD'!Q$2:Q$875,'Base bordo CD'!D$2:D$875,A270,'Base bordo CD'!A$2:A$875,B270,'Base bordo CD'!L$2:L$875,"CORTE DE CANA MECANIZADO"),0)</f>
        <v>26193</v>
      </c>
      <c r="S270" s="30">
        <f t="shared" si="26"/>
        <v>3.9271091512999656</v>
      </c>
      <c r="T270" s="9">
        <f t="shared" si="27"/>
        <v>0.30315972222222221</v>
      </c>
      <c r="U270" s="9">
        <f t="shared" si="28"/>
        <v>6.6851851851851843E-2</v>
      </c>
      <c r="V270" s="9">
        <f t="shared" si="29"/>
        <v>0.6881018518518518</v>
      </c>
    </row>
    <row r="271" spans="1:22" x14ac:dyDescent="0.35">
      <c r="A271" s="52">
        <v>49595</v>
      </c>
      <c r="B271" s="31">
        <v>46123</v>
      </c>
      <c r="C271" s="7" t="s">
        <v>337</v>
      </c>
      <c r="D271" s="7">
        <v>353</v>
      </c>
      <c r="E271" s="10">
        <f>IFERROR(SUMIFS('Base bordo CD'!M$2:M$875,'Base bordo CD'!D$2:D$875,A271,'Base bordo CD'!A$2:A$875,B271,'Base bordo CD'!L$2:L$875,"CORTE DE CANA MECANIZADO"),0)</f>
        <v>7.2758333333333338</v>
      </c>
      <c r="F271" s="10">
        <f>IFERROR(SUMIFS('Base bordo CD'!M$2:M$875,'Base bordo CD'!D$2:D$875,A271,'Base bordo CD'!A$2:A$875,B271,'Base bordo CD'!L$2:L$875,"MANOBRA"),0)</f>
        <v>1.6044444444444443</v>
      </c>
      <c r="G271" s="10">
        <f>IFERROR(SUMIFS('Base bordo CD'!M$2:M$875,'Base bordo CD'!D$2:D$875,A271,'Base bordo CD'!A$2:A$875,B271,'Base bordo CD'!L$2:L$875,"DESLOCAMENTO"),0)</f>
        <v>0.20972222222222223</v>
      </c>
      <c r="H271" s="10">
        <f>IFERROR(SUMIFS('Base bordo CD'!M$2:M$875,'Base bordo CD'!D$2:D$875,A271,'Base bordo CD'!A$2:A$875,B271,'Base bordo CD'!L$2:L$875,"AGUARDANDO MANOBRA DE TRANSBORDO"),0)+IFERROR(SUMIFS('Base bordo CD'!M$2:M$875,'Base bordo CD'!D$2:D$875,A271,'Base bordo CD'!A$2:A$875,B271,'Base bordo CD'!L$2:L$875,"FALTA DE TRANSBORDO"),0)</f>
        <v>0</v>
      </c>
      <c r="I271" s="10">
        <f>IFERROR(SUMIFS('Base bordo CD'!M$2:M$875,'Base bordo CD'!D$2:D$875,A271,'Base bordo CD'!A$2:A$875,B271,'Base bordo CD'!L$2:L$875,"PARADA POR CONDICOES CLIMATICAS"),0)+IFERROR(SUMIFS('Base bordo CD'!M$2:M$875,'Base bordo CD'!D$2:D$875,A271,'Base bordo CD'!A$2:A$875,B271,'Base bordo CD'!L$2:L$875,"TEMPO INDETERMINADO"),0)</f>
        <v>14.705833333333334</v>
      </c>
      <c r="J271" s="10">
        <f>IFERROR(SUMIFS('Base bordo CD'!M$2:M$875,'Base bordo CD'!D$2:D$875,A271,'Base bordo CD'!A$2:A$875,B271,'Base bordo CD'!L$2:L$875,"LIMITAÇÃO INDÚSTRIA"),0)</f>
        <v>0</v>
      </c>
      <c r="K271" s="10">
        <f>IFERROR(SUMIFS('Base bordo CD'!M$2:M$875,'Base bordo CD'!D$2:D$875,A271,'Base bordo CD'!A$2:A$875,B271,'Base bordo CD'!L$2:L$875,"MAN CORRETIVA*"),0)+IFERROR(SUMIFS('Base bordo CD'!M$2:M$875,'Base bordo CD'!D$2:D$875,A271,'Base bordo CD'!A$2:A$875,B271,'Base bordo CD'!L$2:L$875,"AGUARDANDO MANUTENCAO*"),0)+IFERROR(SUMIFS('Base bordo CD'!M$2:M$875,'Base bordo CD'!D$2:D$875,A271,'Base bordo CD'!A$2:A$875,B271,'Base bordo CD'!L$2:L$875,"TROCA DE FAQUINHA"),0)+IFERROR(SUMIFS('Base bordo CD'!M$2:M$875,'Base bordo CD'!D$2:D$875,A271,'Base bordo CD'!A$2:A$875,B271,'Base bordo CD'!L$2:L$875,"LIMPEZA*"),0)</f>
        <v>0</v>
      </c>
      <c r="L271" s="10">
        <f>IFERROR(SUMIFS('Base bordo CD'!M$2:M$875,'Base bordo CD'!D$2:D$875,A271,'Base bordo CD'!A$2:A$875,B271,'Base bordo CD'!L$2:L$875,"PATIO - RESERVA"),0)</f>
        <v>0</v>
      </c>
      <c r="M271" s="10">
        <f>IFERROR(SUMIFS('Base bordo CD'!M$2:M$875,'Base bordo CD'!D$2:D$875,A271,'Base bordo CD'!A$2:A$875,B271,'Base bordo CD'!L$2:L$875,"SEM APONTAMENTO"),0)</f>
        <v>1.2777777777777779E-2</v>
      </c>
      <c r="N271" s="10">
        <f>IFERROR(SUMIFS('Base bordo CD'!M$2:M$875,'Base bordo CD'!D$2:D$875,A271,'Base bordo CD'!A$2:A$875,B271,'Base bordo CD'!L$2:L$875,"FALTA DE CAMINHÃO"),0)+IFERROR(SUMIFS('Base bordo CD'!M$2:M$875,'Base bordo CD'!D$2:D$875,A271,'Base bordo CD'!A$2:A$875,B271,'Base bordo CD'!L$2:L$875,"FALTA DE COMBUSTIVEL"),0)+IFERROR(SUMIFS('Base bordo CD'!M$2:M$875,'Base bordo CD'!D$2:D$875,A271,'Base bordo CD'!A$2:A$875,B271,'Base bordo CD'!L$2:L$875,"FALTA DE MOTORIST*"),0)</f>
        <v>0</v>
      </c>
      <c r="O271" s="10">
        <f t="shared" si="25"/>
        <v>0.19138888888889127</v>
      </c>
      <c r="P271" s="10">
        <f>IFERROR(SUMIFS('Base bordo CD'!M$2:M$875,'Base bordo CD'!D$2:D$875,A271,'Base bordo CD'!A$2:A$875,B271),0)</f>
        <v>24.000000000000004</v>
      </c>
      <c r="Q271" s="10">
        <f>IFERROR(SUMIFS('Base bordo CD'!O$2:O$875,'Base bordo CD'!D$2:D$875,A271,'Base bordo CD'!A$2:A$875,B271,'Base bordo CD'!L$2:L$875,"CORTE DE CANA MECANIZADO"),0)</f>
        <v>102862.77</v>
      </c>
      <c r="R271" s="10">
        <f>IFERROR(SUMIFS('Base bordo CD'!Q$2:Q$875,'Base bordo CD'!D$2:D$875,A271,'Base bordo CD'!A$2:A$875,B271,'Base bordo CD'!L$2:L$875,"CORTE DE CANA MECANIZADO"),0)</f>
        <v>26193</v>
      </c>
      <c r="S271" s="30">
        <f t="shared" si="26"/>
        <v>3.9271091512999656</v>
      </c>
      <c r="T271" s="9">
        <f t="shared" si="27"/>
        <v>0.30315972222222221</v>
      </c>
      <c r="U271" s="9">
        <f t="shared" si="28"/>
        <v>6.6851851851851843E-2</v>
      </c>
      <c r="V271" s="9">
        <f t="shared" si="29"/>
        <v>0.6881018518518518</v>
      </c>
    </row>
    <row r="272" spans="1:22" x14ac:dyDescent="0.35">
      <c r="A272" s="52">
        <v>49595</v>
      </c>
      <c r="B272" s="31">
        <v>46123</v>
      </c>
      <c r="C272" s="7" t="s">
        <v>337</v>
      </c>
      <c r="D272" s="7">
        <v>353</v>
      </c>
      <c r="E272" s="10">
        <f>IFERROR(SUMIFS('Base bordo CD'!M$2:M$875,'Base bordo CD'!D$2:D$875,A272,'Base bordo CD'!A$2:A$875,B272,'Base bordo CD'!L$2:L$875,"CORTE DE CANA MECANIZADO"),0)</f>
        <v>7.2758333333333338</v>
      </c>
      <c r="F272" s="10">
        <f>IFERROR(SUMIFS('Base bordo CD'!M$2:M$875,'Base bordo CD'!D$2:D$875,A272,'Base bordo CD'!A$2:A$875,B272,'Base bordo CD'!L$2:L$875,"MANOBRA"),0)</f>
        <v>1.6044444444444443</v>
      </c>
      <c r="G272" s="10">
        <f>IFERROR(SUMIFS('Base bordo CD'!M$2:M$875,'Base bordo CD'!D$2:D$875,A272,'Base bordo CD'!A$2:A$875,B272,'Base bordo CD'!L$2:L$875,"DESLOCAMENTO"),0)</f>
        <v>0.20972222222222223</v>
      </c>
      <c r="H272" s="10">
        <f>IFERROR(SUMIFS('Base bordo CD'!M$2:M$875,'Base bordo CD'!D$2:D$875,A272,'Base bordo CD'!A$2:A$875,B272,'Base bordo CD'!L$2:L$875,"AGUARDANDO MANOBRA DE TRANSBORDO"),0)+IFERROR(SUMIFS('Base bordo CD'!M$2:M$875,'Base bordo CD'!D$2:D$875,A272,'Base bordo CD'!A$2:A$875,B272,'Base bordo CD'!L$2:L$875,"FALTA DE TRANSBORDO"),0)</f>
        <v>0</v>
      </c>
      <c r="I272" s="10">
        <f>IFERROR(SUMIFS('Base bordo CD'!M$2:M$875,'Base bordo CD'!D$2:D$875,A272,'Base bordo CD'!A$2:A$875,B272,'Base bordo CD'!L$2:L$875,"PARADA POR CONDICOES CLIMATICAS"),0)+IFERROR(SUMIFS('Base bordo CD'!M$2:M$875,'Base bordo CD'!D$2:D$875,A272,'Base bordo CD'!A$2:A$875,B272,'Base bordo CD'!L$2:L$875,"TEMPO INDETERMINADO"),0)</f>
        <v>14.705833333333334</v>
      </c>
      <c r="J272" s="10">
        <f>IFERROR(SUMIFS('Base bordo CD'!M$2:M$875,'Base bordo CD'!D$2:D$875,A272,'Base bordo CD'!A$2:A$875,B272,'Base bordo CD'!L$2:L$875,"LIMITAÇÃO INDÚSTRIA"),0)</f>
        <v>0</v>
      </c>
      <c r="K272" s="10">
        <f>IFERROR(SUMIFS('Base bordo CD'!M$2:M$875,'Base bordo CD'!D$2:D$875,A272,'Base bordo CD'!A$2:A$875,B272,'Base bordo CD'!L$2:L$875,"MAN CORRETIVA*"),0)+IFERROR(SUMIFS('Base bordo CD'!M$2:M$875,'Base bordo CD'!D$2:D$875,A272,'Base bordo CD'!A$2:A$875,B272,'Base bordo CD'!L$2:L$875,"AGUARDANDO MANUTENCAO*"),0)+IFERROR(SUMIFS('Base bordo CD'!M$2:M$875,'Base bordo CD'!D$2:D$875,A272,'Base bordo CD'!A$2:A$875,B272,'Base bordo CD'!L$2:L$875,"TROCA DE FAQUINHA"),0)+IFERROR(SUMIFS('Base bordo CD'!M$2:M$875,'Base bordo CD'!D$2:D$875,A272,'Base bordo CD'!A$2:A$875,B272,'Base bordo CD'!L$2:L$875,"LIMPEZA*"),0)</f>
        <v>0</v>
      </c>
      <c r="L272" s="10">
        <f>IFERROR(SUMIFS('Base bordo CD'!M$2:M$875,'Base bordo CD'!D$2:D$875,A272,'Base bordo CD'!A$2:A$875,B272,'Base bordo CD'!L$2:L$875,"PATIO - RESERVA"),0)</f>
        <v>0</v>
      </c>
      <c r="M272" s="10">
        <f>IFERROR(SUMIFS('Base bordo CD'!M$2:M$875,'Base bordo CD'!D$2:D$875,A272,'Base bordo CD'!A$2:A$875,B272,'Base bordo CD'!L$2:L$875,"SEM APONTAMENTO"),0)</f>
        <v>1.2777777777777779E-2</v>
      </c>
      <c r="N272" s="10">
        <f>IFERROR(SUMIFS('Base bordo CD'!M$2:M$875,'Base bordo CD'!D$2:D$875,A272,'Base bordo CD'!A$2:A$875,B272,'Base bordo CD'!L$2:L$875,"FALTA DE CAMINHÃO"),0)+IFERROR(SUMIFS('Base bordo CD'!M$2:M$875,'Base bordo CD'!D$2:D$875,A272,'Base bordo CD'!A$2:A$875,B272,'Base bordo CD'!L$2:L$875,"FALTA DE COMBUSTIVEL"),0)+IFERROR(SUMIFS('Base bordo CD'!M$2:M$875,'Base bordo CD'!D$2:D$875,A272,'Base bordo CD'!A$2:A$875,B272,'Base bordo CD'!L$2:L$875,"FALTA DE MOTORIST*"),0)</f>
        <v>0</v>
      </c>
      <c r="O272" s="10">
        <f t="shared" si="25"/>
        <v>0.19138888888889127</v>
      </c>
      <c r="P272" s="10">
        <f>IFERROR(SUMIFS('Base bordo CD'!M$2:M$875,'Base bordo CD'!D$2:D$875,A272,'Base bordo CD'!A$2:A$875,B272),0)</f>
        <v>24.000000000000004</v>
      </c>
      <c r="Q272" s="10">
        <f>IFERROR(SUMIFS('Base bordo CD'!O$2:O$875,'Base bordo CD'!D$2:D$875,A272,'Base bordo CD'!A$2:A$875,B272,'Base bordo CD'!L$2:L$875,"CORTE DE CANA MECANIZADO"),0)</f>
        <v>102862.77</v>
      </c>
      <c r="R272" s="10">
        <f>IFERROR(SUMIFS('Base bordo CD'!Q$2:Q$875,'Base bordo CD'!D$2:D$875,A272,'Base bordo CD'!A$2:A$875,B272,'Base bordo CD'!L$2:L$875,"CORTE DE CANA MECANIZADO"),0)</f>
        <v>26193</v>
      </c>
      <c r="S272" s="30">
        <f t="shared" si="26"/>
        <v>3.9271091512999656</v>
      </c>
      <c r="T272" s="9">
        <f t="shared" si="27"/>
        <v>0.30315972222222221</v>
      </c>
      <c r="U272" s="9">
        <f t="shared" si="28"/>
        <v>6.6851851851851843E-2</v>
      </c>
      <c r="V272" s="9">
        <f t="shared" si="29"/>
        <v>0.6881018518518518</v>
      </c>
    </row>
    <row r="273" spans="1:22" x14ac:dyDescent="0.35">
      <c r="A273" s="52">
        <v>49595</v>
      </c>
      <c r="B273" s="31">
        <v>46123</v>
      </c>
      <c r="C273" s="7" t="s">
        <v>337</v>
      </c>
      <c r="D273" s="7">
        <v>353</v>
      </c>
      <c r="E273" s="10">
        <f>IFERROR(SUMIFS('Base bordo CD'!M$2:M$875,'Base bordo CD'!D$2:D$875,A273,'Base bordo CD'!A$2:A$875,B273,'Base bordo CD'!L$2:L$875,"CORTE DE CANA MECANIZADO"),0)</f>
        <v>7.2758333333333338</v>
      </c>
      <c r="F273" s="10">
        <f>IFERROR(SUMIFS('Base bordo CD'!M$2:M$875,'Base bordo CD'!D$2:D$875,A273,'Base bordo CD'!A$2:A$875,B273,'Base bordo CD'!L$2:L$875,"MANOBRA"),0)</f>
        <v>1.6044444444444443</v>
      </c>
      <c r="G273" s="10">
        <f>IFERROR(SUMIFS('Base bordo CD'!M$2:M$875,'Base bordo CD'!D$2:D$875,A273,'Base bordo CD'!A$2:A$875,B273,'Base bordo CD'!L$2:L$875,"DESLOCAMENTO"),0)</f>
        <v>0.20972222222222223</v>
      </c>
      <c r="H273" s="10">
        <f>IFERROR(SUMIFS('Base bordo CD'!M$2:M$875,'Base bordo CD'!D$2:D$875,A273,'Base bordo CD'!A$2:A$875,B273,'Base bordo CD'!L$2:L$875,"AGUARDANDO MANOBRA DE TRANSBORDO"),0)+IFERROR(SUMIFS('Base bordo CD'!M$2:M$875,'Base bordo CD'!D$2:D$875,A273,'Base bordo CD'!A$2:A$875,B273,'Base bordo CD'!L$2:L$875,"FALTA DE TRANSBORDO"),0)</f>
        <v>0</v>
      </c>
      <c r="I273" s="10">
        <f>IFERROR(SUMIFS('Base bordo CD'!M$2:M$875,'Base bordo CD'!D$2:D$875,A273,'Base bordo CD'!A$2:A$875,B273,'Base bordo CD'!L$2:L$875,"PARADA POR CONDICOES CLIMATICAS"),0)+IFERROR(SUMIFS('Base bordo CD'!M$2:M$875,'Base bordo CD'!D$2:D$875,A273,'Base bordo CD'!A$2:A$875,B273,'Base bordo CD'!L$2:L$875,"TEMPO INDETERMINADO"),0)</f>
        <v>14.705833333333334</v>
      </c>
      <c r="J273" s="10">
        <f>IFERROR(SUMIFS('Base bordo CD'!M$2:M$875,'Base bordo CD'!D$2:D$875,A273,'Base bordo CD'!A$2:A$875,B273,'Base bordo CD'!L$2:L$875,"LIMITAÇÃO INDÚSTRIA"),0)</f>
        <v>0</v>
      </c>
      <c r="K273" s="10">
        <f>IFERROR(SUMIFS('Base bordo CD'!M$2:M$875,'Base bordo CD'!D$2:D$875,A273,'Base bordo CD'!A$2:A$875,B273,'Base bordo CD'!L$2:L$875,"MAN CORRETIVA*"),0)+IFERROR(SUMIFS('Base bordo CD'!M$2:M$875,'Base bordo CD'!D$2:D$875,A273,'Base bordo CD'!A$2:A$875,B273,'Base bordo CD'!L$2:L$875,"AGUARDANDO MANUTENCAO*"),0)+IFERROR(SUMIFS('Base bordo CD'!M$2:M$875,'Base bordo CD'!D$2:D$875,A273,'Base bordo CD'!A$2:A$875,B273,'Base bordo CD'!L$2:L$875,"TROCA DE FAQUINHA"),0)+IFERROR(SUMIFS('Base bordo CD'!M$2:M$875,'Base bordo CD'!D$2:D$875,A273,'Base bordo CD'!A$2:A$875,B273,'Base bordo CD'!L$2:L$875,"LIMPEZA*"),0)</f>
        <v>0</v>
      </c>
      <c r="L273" s="10">
        <f>IFERROR(SUMIFS('Base bordo CD'!M$2:M$875,'Base bordo CD'!D$2:D$875,A273,'Base bordo CD'!A$2:A$875,B273,'Base bordo CD'!L$2:L$875,"PATIO - RESERVA"),0)</f>
        <v>0</v>
      </c>
      <c r="M273" s="10">
        <f>IFERROR(SUMIFS('Base bordo CD'!M$2:M$875,'Base bordo CD'!D$2:D$875,A273,'Base bordo CD'!A$2:A$875,B273,'Base bordo CD'!L$2:L$875,"SEM APONTAMENTO"),0)</f>
        <v>1.2777777777777779E-2</v>
      </c>
      <c r="N273" s="10">
        <f>IFERROR(SUMIFS('Base bordo CD'!M$2:M$875,'Base bordo CD'!D$2:D$875,A273,'Base bordo CD'!A$2:A$875,B273,'Base bordo CD'!L$2:L$875,"FALTA DE CAMINHÃO"),0)+IFERROR(SUMIFS('Base bordo CD'!M$2:M$875,'Base bordo CD'!D$2:D$875,A273,'Base bordo CD'!A$2:A$875,B273,'Base bordo CD'!L$2:L$875,"FALTA DE COMBUSTIVEL"),0)+IFERROR(SUMIFS('Base bordo CD'!M$2:M$875,'Base bordo CD'!D$2:D$875,A273,'Base bordo CD'!A$2:A$875,B273,'Base bordo CD'!L$2:L$875,"FALTA DE MOTORIST*"),0)</f>
        <v>0</v>
      </c>
      <c r="O273" s="10">
        <f t="shared" si="25"/>
        <v>0.19138888888889127</v>
      </c>
      <c r="P273" s="10">
        <f>IFERROR(SUMIFS('Base bordo CD'!M$2:M$875,'Base bordo CD'!D$2:D$875,A273,'Base bordo CD'!A$2:A$875,B273),0)</f>
        <v>24.000000000000004</v>
      </c>
      <c r="Q273" s="10">
        <f>IFERROR(SUMIFS('Base bordo CD'!O$2:O$875,'Base bordo CD'!D$2:D$875,A273,'Base bordo CD'!A$2:A$875,B273,'Base bordo CD'!L$2:L$875,"CORTE DE CANA MECANIZADO"),0)</f>
        <v>102862.77</v>
      </c>
      <c r="R273" s="10">
        <f>IFERROR(SUMIFS('Base bordo CD'!Q$2:Q$875,'Base bordo CD'!D$2:D$875,A273,'Base bordo CD'!A$2:A$875,B273,'Base bordo CD'!L$2:L$875,"CORTE DE CANA MECANIZADO"),0)</f>
        <v>26193</v>
      </c>
      <c r="S273" s="30">
        <f t="shared" si="26"/>
        <v>3.9271091512999656</v>
      </c>
      <c r="T273" s="9">
        <f t="shared" si="27"/>
        <v>0.30315972222222221</v>
      </c>
      <c r="U273" s="9">
        <f t="shared" si="28"/>
        <v>6.6851851851851843E-2</v>
      </c>
      <c r="V273" s="9">
        <f t="shared" si="29"/>
        <v>0.6881018518518518</v>
      </c>
    </row>
    <row r="274" spans="1:22" x14ac:dyDescent="0.35">
      <c r="A274" s="52">
        <v>49595</v>
      </c>
      <c r="B274" s="31">
        <v>46123</v>
      </c>
      <c r="C274" s="7" t="s">
        <v>337</v>
      </c>
      <c r="D274" s="7">
        <v>353</v>
      </c>
      <c r="E274" s="10">
        <f>IFERROR(SUMIFS('Base bordo CD'!M$2:M$875,'Base bordo CD'!D$2:D$875,A274,'Base bordo CD'!A$2:A$875,B274,'Base bordo CD'!L$2:L$875,"CORTE DE CANA MECANIZADO"),0)</f>
        <v>7.2758333333333338</v>
      </c>
      <c r="F274" s="10">
        <f>IFERROR(SUMIFS('Base bordo CD'!M$2:M$875,'Base bordo CD'!D$2:D$875,A274,'Base bordo CD'!A$2:A$875,B274,'Base bordo CD'!L$2:L$875,"MANOBRA"),0)</f>
        <v>1.6044444444444443</v>
      </c>
      <c r="G274" s="10">
        <f>IFERROR(SUMIFS('Base bordo CD'!M$2:M$875,'Base bordo CD'!D$2:D$875,A274,'Base bordo CD'!A$2:A$875,B274,'Base bordo CD'!L$2:L$875,"DESLOCAMENTO"),0)</f>
        <v>0.20972222222222223</v>
      </c>
      <c r="H274" s="10">
        <f>IFERROR(SUMIFS('Base bordo CD'!M$2:M$875,'Base bordo CD'!D$2:D$875,A274,'Base bordo CD'!A$2:A$875,B274,'Base bordo CD'!L$2:L$875,"AGUARDANDO MANOBRA DE TRANSBORDO"),0)+IFERROR(SUMIFS('Base bordo CD'!M$2:M$875,'Base bordo CD'!D$2:D$875,A274,'Base bordo CD'!A$2:A$875,B274,'Base bordo CD'!L$2:L$875,"FALTA DE TRANSBORDO"),0)</f>
        <v>0</v>
      </c>
      <c r="I274" s="10">
        <f>IFERROR(SUMIFS('Base bordo CD'!M$2:M$875,'Base bordo CD'!D$2:D$875,A274,'Base bordo CD'!A$2:A$875,B274,'Base bordo CD'!L$2:L$875,"PARADA POR CONDICOES CLIMATICAS"),0)+IFERROR(SUMIFS('Base bordo CD'!M$2:M$875,'Base bordo CD'!D$2:D$875,A274,'Base bordo CD'!A$2:A$875,B274,'Base bordo CD'!L$2:L$875,"TEMPO INDETERMINADO"),0)</f>
        <v>14.705833333333334</v>
      </c>
      <c r="J274" s="10">
        <f>IFERROR(SUMIFS('Base bordo CD'!M$2:M$875,'Base bordo CD'!D$2:D$875,A274,'Base bordo CD'!A$2:A$875,B274,'Base bordo CD'!L$2:L$875,"LIMITAÇÃO INDÚSTRIA"),0)</f>
        <v>0</v>
      </c>
      <c r="K274" s="10">
        <f>IFERROR(SUMIFS('Base bordo CD'!M$2:M$875,'Base bordo CD'!D$2:D$875,A274,'Base bordo CD'!A$2:A$875,B274,'Base bordo CD'!L$2:L$875,"MAN CORRETIVA*"),0)+IFERROR(SUMIFS('Base bordo CD'!M$2:M$875,'Base bordo CD'!D$2:D$875,A274,'Base bordo CD'!A$2:A$875,B274,'Base bordo CD'!L$2:L$875,"AGUARDANDO MANUTENCAO*"),0)+IFERROR(SUMIFS('Base bordo CD'!M$2:M$875,'Base bordo CD'!D$2:D$875,A274,'Base bordo CD'!A$2:A$875,B274,'Base bordo CD'!L$2:L$875,"TROCA DE FAQUINHA"),0)+IFERROR(SUMIFS('Base bordo CD'!M$2:M$875,'Base bordo CD'!D$2:D$875,A274,'Base bordo CD'!A$2:A$875,B274,'Base bordo CD'!L$2:L$875,"LIMPEZA*"),0)</f>
        <v>0</v>
      </c>
      <c r="L274" s="10">
        <f>IFERROR(SUMIFS('Base bordo CD'!M$2:M$875,'Base bordo CD'!D$2:D$875,A274,'Base bordo CD'!A$2:A$875,B274,'Base bordo CD'!L$2:L$875,"PATIO - RESERVA"),0)</f>
        <v>0</v>
      </c>
      <c r="M274" s="10">
        <f>IFERROR(SUMIFS('Base bordo CD'!M$2:M$875,'Base bordo CD'!D$2:D$875,A274,'Base bordo CD'!A$2:A$875,B274,'Base bordo CD'!L$2:L$875,"SEM APONTAMENTO"),0)</f>
        <v>1.2777777777777779E-2</v>
      </c>
      <c r="N274" s="10">
        <f>IFERROR(SUMIFS('Base bordo CD'!M$2:M$875,'Base bordo CD'!D$2:D$875,A274,'Base bordo CD'!A$2:A$875,B274,'Base bordo CD'!L$2:L$875,"FALTA DE CAMINHÃO"),0)+IFERROR(SUMIFS('Base bordo CD'!M$2:M$875,'Base bordo CD'!D$2:D$875,A274,'Base bordo CD'!A$2:A$875,B274,'Base bordo CD'!L$2:L$875,"FALTA DE COMBUSTIVEL"),0)+IFERROR(SUMIFS('Base bordo CD'!M$2:M$875,'Base bordo CD'!D$2:D$875,A274,'Base bordo CD'!A$2:A$875,B274,'Base bordo CD'!L$2:L$875,"FALTA DE MOTORIST*"),0)</f>
        <v>0</v>
      </c>
      <c r="O274" s="10">
        <f t="shared" si="25"/>
        <v>0.19138888888889127</v>
      </c>
      <c r="P274" s="10">
        <f>IFERROR(SUMIFS('Base bordo CD'!M$2:M$875,'Base bordo CD'!D$2:D$875,A274,'Base bordo CD'!A$2:A$875,B274),0)</f>
        <v>24.000000000000004</v>
      </c>
      <c r="Q274" s="10">
        <f>IFERROR(SUMIFS('Base bordo CD'!O$2:O$875,'Base bordo CD'!D$2:D$875,A274,'Base bordo CD'!A$2:A$875,B274,'Base bordo CD'!L$2:L$875,"CORTE DE CANA MECANIZADO"),0)</f>
        <v>102862.77</v>
      </c>
      <c r="R274" s="10">
        <f>IFERROR(SUMIFS('Base bordo CD'!Q$2:Q$875,'Base bordo CD'!D$2:D$875,A274,'Base bordo CD'!A$2:A$875,B274,'Base bordo CD'!L$2:L$875,"CORTE DE CANA MECANIZADO"),0)</f>
        <v>26193</v>
      </c>
      <c r="S274" s="30">
        <f t="shared" si="26"/>
        <v>3.9271091512999656</v>
      </c>
      <c r="T274" s="9">
        <f t="shared" si="27"/>
        <v>0.30315972222222221</v>
      </c>
      <c r="U274" s="9">
        <f t="shared" si="28"/>
        <v>6.6851851851851843E-2</v>
      </c>
      <c r="V274" s="9">
        <f t="shared" si="29"/>
        <v>0.6881018518518518</v>
      </c>
    </row>
    <row r="275" spans="1:22" x14ac:dyDescent="0.35">
      <c r="A275" s="52">
        <v>49595</v>
      </c>
      <c r="B275" s="31">
        <v>46123</v>
      </c>
      <c r="C275" s="7" t="s">
        <v>337</v>
      </c>
      <c r="D275" s="7">
        <v>353</v>
      </c>
      <c r="E275" s="10">
        <f>IFERROR(SUMIFS('Base bordo CD'!M$2:M$875,'Base bordo CD'!D$2:D$875,A275,'Base bordo CD'!A$2:A$875,B275,'Base bordo CD'!L$2:L$875,"CORTE DE CANA MECANIZADO"),0)</f>
        <v>7.2758333333333338</v>
      </c>
      <c r="F275" s="10">
        <f>IFERROR(SUMIFS('Base bordo CD'!M$2:M$875,'Base bordo CD'!D$2:D$875,A275,'Base bordo CD'!A$2:A$875,B275,'Base bordo CD'!L$2:L$875,"MANOBRA"),0)</f>
        <v>1.6044444444444443</v>
      </c>
      <c r="G275" s="10">
        <f>IFERROR(SUMIFS('Base bordo CD'!M$2:M$875,'Base bordo CD'!D$2:D$875,A275,'Base bordo CD'!A$2:A$875,B275,'Base bordo CD'!L$2:L$875,"DESLOCAMENTO"),0)</f>
        <v>0.20972222222222223</v>
      </c>
      <c r="H275" s="10">
        <f>IFERROR(SUMIFS('Base bordo CD'!M$2:M$875,'Base bordo CD'!D$2:D$875,A275,'Base bordo CD'!A$2:A$875,B275,'Base bordo CD'!L$2:L$875,"AGUARDANDO MANOBRA DE TRANSBORDO"),0)+IFERROR(SUMIFS('Base bordo CD'!M$2:M$875,'Base bordo CD'!D$2:D$875,A275,'Base bordo CD'!A$2:A$875,B275,'Base bordo CD'!L$2:L$875,"FALTA DE TRANSBORDO"),0)</f>
        <v>0</v>
      </c>
      <c r="I275" s="10">
        <f>IFERROR(SUMIFS('Base bordo CD'!M$2:M$875,'Base bordo CD'!D$2:D$875,A275,'Base bordo CD'!A$2:A$875,B275,'Base bordo CD'!L$2:L$875,"PARADA POR CONDICOES CLIMATICAS"),0)+IFERROR(SUMIFS('Base bordo CD'!M$2:M$875,'Base bordo CD'!D$2:D$875,A275,'Base bordo CD'!A$2:A$875,B275,'Base bordo CD'!L$2:L$875,"TEMPO INDETERMINADO"),0)</f>
        <v>14.705833333333334</v>
      </c>
      <c r="J275" s="10">
        <f>IFERROR(SUMIFS('Base bordo CD'!M$2:M$875,'Base bordo CD'!D$2:D$875,A275,'Base bordo CD'!A$2:A$875,B275,'Base bordo CD'!L$2:L$875,"LIMITAÇÃO INDÚSTRIA"),0)</f>
        <v>0</v>
      </c>
      <c r="K275" s="10">
        <f>IFERROR(SUMIFS('Base bordo CD'!M$2:M$875,'Base bordo CD'!D$2:D$875,A275,'Base bordo CD'!A$2:A$875,B275,'Base bordo CD'!L$2:L$875,"MAN CORRETIVA*"),0)+IFERROR(SUMIFS('Base bordo CD'!M$2:M$875,'Base bordo CD'!D$2:D$875,A275,'Base bordo CD'!A$2:A$875,B275,'Base bordo CD'!L$2:L$875,"AGUARDANDO MANUTENCAO*"),0)+IFERROR(SUMIFS('Base bordo CD'!M$2:M$875,'Base bordo CD'!D$2:D$875,A275,'Base bordo CD'!A$2:A$875,B275,'Base bordo CD'!L$2:L$875,"TROCA DE FAQUINHA"),0)+IFERROR(SUMIFS('Base bordo CD'!M$2:M$875,'Base bordo CD'!D$2:D$875,A275,'Base bordo CD'!A$2:A$875,B275,'Base bordo CD'!L$2:L$875,"LIMPEZA*"),0)</f>
        <v>0</v>
      </c>
      <c r="L275" s="10">
        <f>IFERROR(SUMIFS('Base bordo CD'!M$2:M$875,'Base bordo CD'!D$2:D$875,A275,'Base bordo CD'!A$2:A$875,B275,'Base bordo CD'!L$2:L$875,"PATIO - RESERVA"),0)</f>
        <v>0</v>
      </c>
      <c r="M275" s="10">
        <f>IFERROR(SUMIFS('Base bordo CD'!M$2:M$875,'Base bordo CD'!D$2:D$875,A275,'Base bordo CD'!A$2:A$875,B275,'Base bordo CD'!L$2:L$875,"SEM APONTAMENTO"),0)</f>
        <v>1.2777777777777779E-2</v>
      </c>
      <c r="N275" s="10">
        <f>IFERROR(SUMIFS('Base bordo CD'!M$2:M$875,'Base bordo CD'!D$2:D$875,A275,'Base bordo CD'!A$2:A$875,B275,'Base bordo CD'!L$2:L$875,"FALTA DE CAMINHÃO"),0)+IFERROR(SUMIFS('Base bordo CD'!M$2:M$875,'Base bordo CD'!D$2:D$875,A275,'Base bordo CD'!A$2:A$875,B275,'Base bordo CD'!L$2:L$875,"FALTA DE COMBUSTIVEL"),0)+IFERROR(SUMIFS('Base bordo CD'!M$2:M$875,'Base bordo CD'!D$2:D$875,A275,'Base bordo CD'!A$2:A$875,B275,'Base bordo CD'!L$2:L$875,"FALTA DE MOTORIST*"),0)</f>
        <v>0</v>
      </c>
      <c r="O275" s="10">
        <f t="shared" si="25"/>
        <v>0.19138888888889127</v>
      </c>
      <c r="P275" s="10">
        <f>IFERROR(SUMIFS('Base bordo CD'!M$2:M$875,'Base bordo CD'!D$2:D$875,A275,'Base bordo CD'!A$2:A$875,B275),0)</f>
        <v>24.000000000000004</v>
      </c>
      <c r="Q275" s="10">
        <f>IFERROR(SUMIFS('Base bordo CD'!O$2:O$875,'Base bordo CD'!D$2:D$875,A275,'Base bordo CD'!A$2:A$875,B275,'Base bordo CD'!L$2:L$875,"CORTE DE CANA MECANIZADO"),0)</f>
        <v>102862.77</v>
      </c>
      <c r="R275" s="10">
        <f>IFERROR(SUMIFS('Base bordo CD'!Q$2:Q$875,'Base bordo CD'!D$2:D$875,A275,'Base bordo CD'!A$2:A$875,B275,'Base bordo CD'!L$2:L$875,"CORTE DE CANA MECANIZADO"),0)</f>
        <v>26193</v>
      </c>
      <c r="S275" s="30">
        <f t="shared" si="26"/>
        <v>3.9271091512999656</v>
      </c>
      <c r="T275" s="9">
        <f t="shared" si="27"/>
        <v>0.30315972222222221</v>
      </c>
      <c r="U275" s="9">
        <f t="shared" si="28"/>
        <v>6.6851851851851843E-2</v>
      </c>
      <c r="V275" s="9">
        <f t="shared" si="29"/>
        <v>0.6881018518518518</v>
      </c>
    </row>
    <row r="276" spans="1:22" x14ac:dyDescent="0.35">
      <c r="A276" s="52">
        <v>49595</v>
      </c>
      <c r="B276" s="31">
        <v>46123</v>
      </c>
      <c r="C276" s="7" t="s">
        <v>337</v>
      </c>
      <c r="D276" s="7">
        <v>353</v>
      </c>
      <c r="E276" s="10">
        <f>IFERROR(SUMIFS('Base bordo CD'!M$2:M$875,'Base bordo CD'!D$2:D$875,A276,'Base bordo CD'!A$2:A$875,B276,'Base bordo CD'!L$2:L$875,"CORTE DE CANA MECANIZADO"),0)</f>
        <v>7.2758333333333338</v>
      </c>
      <c r="F276" s="10">
        <f>IFERROR(SUMIFS('Base bordo CD'!M$2:M$875,'Base bordo CD'!D$2:D$875,A276,'Base bordo CD'!A$2:A$875,B276,'Base bordo CD'!L$2:L$875,"MANOBRA"),0)</f>
        <v>1.6044444444444443</v>
      </c>
      <c r="G276" s="10">
        <f>IFERROR(SUMIFS('Base bordo CD'!M$2:M$875,'Base bordo CD'!D$2:D$875,A276,'Base bordo CD'!A$2:A$875,B276,'Base bordo CD'!L$2:L$875,"DESLOCAMENTO"),0)</f>
        <v>0.20972222222222223</v>
      </c>
      <c r="H276" s="10">
        <f>IFERROR(SUMIFS('Base bordo CD'!M$2:M$875,'Base bordo CD'!D$2:D$875,A276,'Base bordo CD'!A$2:A$875,B276,'Base bordo CD'!L$2:L$875,"AGUARDANDO MANOBRA DE TRANSBORDO"),0)+IFERROR(SUMIFS('Base bordo CD'!M$2:M$875,'Base bordo CD'!D$2:D$875,A276,'Base bordo CD'!A$2:A$875,B276,'Base bordo CD'!L$2:L$875,"FALTA DE TRANSBORDO"),0)</f>
        <v>0</v>
      </c>
      <c r="I276" s="10">
        <f>IFERROR(SUMIFS('Base bordo CD'!M$2:M$875,'Base bordo CD'!D$2:D$875,A276,'Base bordo CD'!A$2:A$875,B276,'Base bordo CD'!L$2:L$875,"PARADA POR CONDICOES CLIMATICAS"),0)+IFERROR(SUMIFS('Base bordo CD'!M$2:M$875,'Base bordo CD'!D$2:D$875,A276,'Base bordo CD'!A$2:A$875,B276,'Base bordo CD'!L$2:L$875,"TEMPO INDETERMINADO"),0)</f>
        <v>14.705833333333334</v>
      </c>
      <c r="J276" s="10">
        <f>IFERROR(SUMIFS('Base bordo CD'!M$2:M$875,'Base bordo CD'!D$2:D$875,A276,'Base bordo CD'!A$2:A$875,B276,'Base bordo CD'!L$2:L$875,"LIMITAÇÃO INDÚSTRIA"),0)</f>
        <v>0</v>
      </c>
      <c r="K276" s="10">
        <f>IFERROR(SUMIFS('Base bordo CD'!M$2:M$875,'Base bordo CD'!D$2:D$875,A276,'Base bordo CD'!A$2:A$875,B276,'Base bordo CD'!L$2:L$875,"MAN CORRETIVA*"),0)+IFERROR(SUMIFS('Base bordo CD'!M$2:M$875,'Base bordo CD'!D$2:D$875,A276,'Base bordo CD'!A$2:A$875,B276,'Base bordo CD'!L$2:L$875,"AGUARDANDO MANUTENCAO*"),0)+IFERROR(SUMIFS('Base bordo CD'!M$2:M$875,'Base bordo CD'!D$2:D$875,A276,'Base bordo CD'!A$2:A$875,B276,'Base bordo CD'!L$2:L$875,"TROCA DE FAQUINHA"),0)+IFERROR(SUMIFS('Base bordo CD'!M$2:M$875,'Base bordo CD'!D$2:D$875,A276,'Base bordo CD'!A$2:A$875,B276,'Base bordo CD'!L$2:L$875,"LIMPEZA*"),0)</f>
        <v>0</v>
      </c>
      <c r="L276" s="10">
        <f>IFERROR(SUMIFS('Base bordo CD'!M$2:M$875,'Base bordo CD'!D$2:D$875,A276,'Base bordo CD'!A$2:A$875,B276,'Base bordo CD'!L$2:L$875,"PATIO - RESERVA"),0)</f>
        <v>0</v>
      </c>
      <c r="M276" s="10">
        <f>IFERROR(SUMIFS('Base bordo CD'!M$2:M$875,'Base bordo CD'!D$2:D$875,A276,'Base bordo CD'!A$2:A$875,B276,'Base bordo CD'!L$2:L$875,"SEM APONTAMENTO"),0)</f>
        <v>1.2777777777777779E-2</v>
      </c>
      <c r="N276" s="10">
        <f>IFERROR(SUMIFS('Base bordo CD'!M$2:M$875,'Base bordo CD'!D$2:D$875,A276,'Base bordo CD'!A$2:A$875,B276,'Base bordo CD'!L$2:L$875,"FALTA DE CAMINHÃO"),0)+IFERROR(SUMIFS('Base bordo CD'!M$2:M$875,'Base bordo CD'!D$2:D$875,A276,'Base bordo CD'!A$2:A$875,B276,'Base bordo CD'!L$2:L$875,"FALTA DE COMBUSTIVEL"),0)+IFERROR(SUMIFS('Base bordo CD'!M$2:M$875,'Base bordo CD'!D$2:D$875,A276,'Base bordo CD'!A$2:A$875,B276,'Base bordo CD'!L$2:L$875,"FALTA DE MOTORIST*"),0)</f>
        <v>0</v>
      </c>
      <c r="O276" s="10">
        <f t="shared" si="25"/>
        <v>0.19138888888889127</v>
      </c>
      <c r="P276" s="10">
        <f>IFERROR(SUMIFS('Base bordo CD'!M$2:M$875,'Base bordo CD'!D$2:D$875,A276,'Base bordo CD'!A$2:A$875,B276),0)</f>
        <v>24.000000000000004</v>
      </c>
      <c r="Q276" s="10">
        <f>IFERROR(SUMIFS('Base bordo CD'!O$2:O$875,'Base bordo CD'!D$2:D$875,A276,'Base bordo CD'!A$2:A$875,B276,'Base bordo CD'!L$2:L$875,"CORTE DE CANA MECANIZADO"),0)</f>
        <v>102862.77</v>
      </c>
      <c r="R276" s="10">
        <f>IFERROR(SUMIFS('Base bordo CD'!Q$2:Q$875,'Base bordo CD'!D$2:D$875,A276,'Base bordo CD'!A$2:A$875,B276,'Base bordo CD'!L$2:L$875,"CORTE DE CANA MECANIZADO"),0)</f>
        <v>26193</v>
      </c>
      <c r="S276" s="30">
        <f t="shared" si="26"/>
        <v>3.9271091512999656</v>
      </c>
      <c r="T276" s="9">
        <f t="shared" si="27"/>
        <v>0.30315972222222221</v>
      </c>
      <c r="U276" s="9">
        <f t="shared" si="28"/>
        <v>6.6851851851851843E-2</v>
      </c>
      <c r="V276" s="9">
        <f t="shared" si="29"/>
        <v>0.6881018518518518</v>
      </c>
    </row>
    <row r="277" spans="1:22" x14ac:dyDescent="0.35">
      <c r="A277" s="52">
        <v>49595</v>
      </c>
      <c r="B277" s="31">
        <v>46123</v>
      </c>
      <c r="C277" s="7" t="s">
        <v>337</v>
      </c>
      <c r="D277" s="7">
        <v>353</v>
      </c>
      <c r="E277" s="10">
        <f>IFERROR(SUMIFS('Base bordo CD'!M$2:M$875,'Base bordo CD'!D$2:D$875,A277,'Base bordo CD'!A$2:A$875,B277,'Base bordo CD'!L$2:L$875,"CORTE DE CANA MECANIZADO"),0)</f>
        <v>7.2758333333333338</v>
      </c>
      <c r="F277" s="10">
        <f>IFERROR(SUMIFS('Base bordo CD'!M$2:M$875,'Base bordo CD'!D$2:D$875,A277,'Base bordo CD'!A$2:A$875,B277,'Base bordo CD'!L$2:L$875,"MANOBRA"),0)</f>
        <v>1.6044444444444443</v>
      </c>
      <c r="G277" s="10">
        <f>IFERROR(SUMIFS('Base bordo CD'!M$2:M$875,'Base bordo CD'!D$2:D$875,A277,'Base bordo CD'!A$2:A$875,B277,'Base bordo CD'!L$2:L$875,"DESLOCAMENTO"),0)</f>
        <v>0.20972222222222223</v>
      </c>
      <c r="H277" s="10">
        <f>IFERROR(SUMIFS('Base bordo CD'!M$2:M$875,'Base bordo CD'!D$2:D$875,A277,'Base bordo CD'!A$2:A$875,B277,'Base bordo CD'!L$2:L$875,"AGUARDANDO MANOBRA DE TRANSBORDO"),0)+IFERROR(SUMIFS('Base bordo CD'!M$2:M$875,'Base bordo CD'!D$2:D$875,A277,'Base bordo CD'!A$2:A$875,B277,'Base bordo CD'!L$2:L$875,"FALTA DE TRANSBORDO"),0)</f>
        <v>0</v>
      </c>
      <c r="I277" s="10">
        <f>IFERROR(SUMIFS('Base bordo CD'!M$2:M$875,'Base bordo CD'!D$2:D$875,A277,'Base bordo CD'!A$2:A$875,B277,'Base bordo CD'!L$2:L$875,"PARADA POR CONDICOES CLIMATICAS"),0)+IFERROR(SUMIFS('Base bordo CD'!M$2:M$875,'Base bordo CD'!D$2:D$875,A277,'Base bordo CD'!A$2:A$875,B277,'Base bordo CD'!L$2:L$875,"TEMPO INDETERMINADO"),0)</f>
        <v>14.705833333333334</v>
      </c>
      <c r="J277" s="10">
        <f>IFERROR(SUMIFS('Base bordo CD'!M$2:M$875,'Base bordo CD'!D$2:D$875,A277,'Base bordo CD'!A$2:A$875,B277,'Base bordo CD'!L$2:L$875,"LIMITAÇÃO INDÚSTRIA"),0)</f>
        <v>0</v>
      </c>
      <c r="K277" s="10">
        <f>IFERROR(SUMIFS('Base bordo CD'!M$2:M$875,'Base bordo CD'!D$2:D$875,A277,'Base bordo CD'!A$2:A$875,B277,'Base bordo CD'!L$2:L$875,"MAN CORRETIVA*"),0)+IFERROR(SUMIFS('Base bordo CD'!M$2:M$875,'Base bordo CD'!D$2:D$875,A277,'Base bordo CD'!A$2:A$875,B277,'Base bordo CD'!L$2:L$875,"AGUARDANDO MANUTENCAO*"),0)+IFERROR(SUMIFS('Base bordo CD'!M$2:M$875,'Base bordo CD'!D$2:D$875,A277,'Base bordo CD'!A$2:A$875,B277,'Base bordo CD'!L$2:L$875,"TROCA DE FAQUINHA"),0)+IFERROR(SUMIFS('Base bordo CD'!M$2:M$875,'Base bordo CD'!D$2:D$875,A277,'Base bordo CD'!A$2:A$875,B277,'Base bordo CD'!L$2:L$875,"LIMPEZA*"),0)</f>
        <v>0</v>
      </c>
      <c r="L277" s="10">
        <f>IFERROR(SUMIFS('Base bordo CD'!M$2:M$875,'Base bordo CD'!D$2:D$875,A277,'Base bordo CD'!A$2:A$875,B277,'Base bordo CD'!L$2:L$875,"PATIO - RESERVA"),0)</f>
        <v>0</v>
      </c>
      <c r="M277" s="10">
        <f>IFERROR(SUMIFS('Base bordo CD'!M$2:M$875,'Base bordo CD'!D$2:D$875,A277,'Base bordo CD'!A$2:A$875,B277,'Base bordo CD'!L$2:L$875,"SEM APONTAMENTO"),0)</f>
        <v>1.2777777777777779E-2</v>
      </c>
      <c r="N277" s="10">
        <f>IFERROR(SUMIFS('Base bordo CD'!M$2:M$875,'Base bordo CD'!D$2:D$875,A277,'Base bordo CD'!A$2:A$875,B277,'Base bordo CD'!L$2:L$875,"FALTA DE CAMINHÃO"),0)+IFERROR(SUMIFS('Base bordo CD'!M$2:M$875,'Base bordo CD'!D$2:D$875,A277,'Base bordo CD'!A$2:A$875,B277,'Base bordo CD'!L$2:L$875,"FALTA DE COMBUSTIVEL"),0)+IFERROR(SUMIFS('Base bordo CD'!M$2:M$875,'Base bordo CD'!D$2:D$875,A277,'Base bordo CD'!A$2:A$875,B277,'Base bordo CD'!L$2:L$875,"FALTA DE MOTORIST*"),0)</f>
        <v>0</v>
      </c>
      <c r="O277" s="10">
        <f t="shared" si="25"/>
        <v>0.19138888888889127</v>
      </c>
      <c r="P277" s="10">
        <f>IFERROR(SUMIFS('Base bordo CD'!M$2:M$875,'Base bordo CD'!D$2:D$875,A277,'Base bordo CD'!A$2:A$875,B277),0)</f>
        <v>24.000000000000004</v>
      </c>
      <c r="Q277" s="10">
        <f>IFERROR(SUMIFS('Base bordo CD'!O$2:O$875,'Base bordo CD'!D$2:D$875,A277,'Base bordo CD'!A$2:A$875,B277,'Base bordo CD'!L$2:L$875,"CORTE DE CANA MECANIZADO"),0)</f>
        <v>102862.77</v>
      </c>
      <c r="R277" s="10">
        <f>IFERROR(SUMIFS('Base bordo CD'!Q$2:Q$875,'Base bordo CD'!D$2:D$875,A277,'Base bordo CD'!A$2:A$875,B277,'Base bordo CD'!L$2:L$875,"CORTE DE CANA MECANIZADO"),0)</f>
        <v>26193</v>
      </c>
      <c r="S277" s="30">
        <f t="shared" si="26"/>
        <v>3.9271091512999656</v>
      </c>
      <c r="T277" s="9">
        <f t="shared" si="27"/>
        <v>0.30315972222222221</v>
      </c>
      <c r="U277" s="9">
        <f t="shared" si="28"/>
        <v>6.6851851851851843E-2</v>
      </c>
      <c r="V277" s="9">
        <f t="shared" si="29"/>
        <v>0.6881018518518518</v>
      </c>
    </row>
    <row r="278" spans="1:22" x14ac:dyDescent="0.35">
      <c r="A278" s="52">
        <v>49595</v>
      </c>
      <c r="B278" s="31">
        <v>46123</v>
      </c>
      <c r="C278" s="7" t="s">
        <v>337</v>
      </c>
      <c r="D278" s="7">
        <v>353</v>
      </c>
      <c r="E278" s="10">
        <f>IFERROR(SUMIFS('Base bordo CD'!M$2:M$875,'Base bordo CD'!D$2:D$875,A278,'Base bordo CD'!A$2:A$875,B278,'Base bordo CD'!L$2:L$875,"CORTE DE CANA MECANIZADO"),0)</f>
        <v>7.2758333333333338</v>
      </c>
      <c r="F278" s="10">
        <f>IFERROR(SUMIFS('Base bordo CD'!M$2:M$875,'Base bordo CD'!D$2:D$875,A278,'Base bordo CD'!A$2:A$875,B278,'Base bordo CD'!L$2:L$875,"MANOBRA"),0)</f>
        <v>1.6044444444444443</v>
      </c>
      <c r="G278" s="10">
        <f>IFERROR(SUMIFS('Base bordo CD'!M$2:M$875,'Base bordo CD'!D$2:D$875,A278,'Base bordo CD'!A$2:A$875,B278,'Base bordo CD'!L$2:L$875,"DESLOCAMENTO"),0)</f>
        <v>0.20972222222222223</v>
      </c>
      <c r="H278" s="10">
        <f>IFERROR(SUMIFS('Base bordo CD'!M$2:M$875,'Base bordo CD'!D$2:D$875,A278,'Base bordo CD'!A$2:A$875,B278,'Base bordo CD'!L$2:L$875,"AGUARDANDO MANOBRA DE TRANSBORDO"),0)+IFERROR(SUMIFS('Base bordo CD'!M$2:M$875,'Base bordo CD'!D$2:D$875,A278,'Base bordo CD'!A$2:A$875,B278,'Base bordo CD'!L$2:L$875,"FALTA DE TRANSBORDO"),0)</f>
        <v>0</v>
      </c>
      <c r="I278" s="10">
        <f>IFERROR(SUMIFS('Base bordo CD'!M$2:M$875,'Base bordo CD'!D$2:D$875,A278,'Base bordo CD'!A$2:A$875,B278,'Base bordo CD'!L$2:L$875,"PARADA POR CONDICOES CLIMATICAS"),0)+IFERROR(SUMIFS('Base bordo CD'!M$2:M$875,'Base bordo CD'!D$2:D$875,A278,'Base bordo CD'!A$2:A$875,B278,'Base bordo CD'!L$2:L$875,"TEMPO INDETERMINADO"),0)</f>
        <v>14.705833333333334</v>
      </c>
      <c r="J278" s="10">
        <f>IFERROR(SUMIFS('Base bordo CD'!M$2:M$875,'Base bordo CD'!D$2:D$875,A278,'Base bordo CD'!A$2:A$875,B278,'Base bordo CD'!L$2:L$875,"LIMITAÇÃO INDÚSTRIA"),0)</f>
        <v>0</v>
      </c>
      <c r="K278" s="10">
        <f>IFERROR(SUMIFS('Base bordo CD'!M$2:M$875,'Base bordo CD'!D$2:D$875,A278,'Base bordo CD'!A$2:A$875,B278,'Base bordo CD'!L$2:L$875,"MAN CORRETIVA*"),0)+IFERROR(SUMIFS('Base bordo CD'!M$2:M$875,'Base bordo CD'!D$2:D$875,A278,'Base bordo CD'!A$2:A$875,B278,'Base bordo CD'!L$2:L$875,"AGUARDANDO MANUTENCAO*"),0)+IFERROR(SUMIFS('Base bordo CD'!M$2:M$875,'Base bordo CD'!D$2:D$875,A278,'Base bordo CD'!A$2:A$875,B278,'Base bordo CD'!L$2:L$875,"TROCA DE FAQUINHA"),0)+IFERROR(SUMIFS('Base bordo CD'!M$2:M$875,'Base bordo CD'!D$2:D$875,A278,'Base bordo CD'!A$2:A$875,B278,'Base bordo CD'!L$2:L$875,"LIMPEZA*"),0)</f>
        <v>0</v>
      </c>
      <c r="L278" s="10">
        <f>IFERROR(SUMIFS('Base bordo CD'!M$2:M$875,'Base bordo CD'!D$2:D$875,A278,'Base bordo CD'!A$2:A$875,B278,'Base bordo CD'!L$2:L$875,"PATIO - RESERVA"),0)</f>
        <v>0</v>
      </c>
      <c r="M278" s="10">
        <f>IFERROR(SUMIFS('Base bordo CD'!M$2:M$875,'Base bordo CD'!D$2:D$875,A278,'Base bordo CD'!A$2:A$875,B278,'Base bordo CD'!L$2:L$875,"SEM APONTAMENTO"),0)</f>
        <v>1.2777777777777779E-2</v>
      </c>
      <c r="N278" s="10">
        <f>IFERROR(SUMIFS('Base bordo CD'!M$2:M$875,'Base bordo CD'!D$2:D$875,A278,'Base bordo CD'!A$2:A$875,B278,'Base bordo CD'!L$2:L$875,"FALTA DE CAMINHÃO"),0)+IFERROR(SUMIFS('Base bordo CD'!M$2:M$875,'Base bordo CD'!D$2:D$875,A278,'Base bordo CD'!A$2:A$875,B278,'Base bordo CD'!L$2:L$875,"FALTA DE COMBUSTIVEL"),0)+IFERROR(SUMIFS('Base bordo CD'!M$2:M$875,'Base bordo CD'!D$2:D$875,A278,'Base bordo CD'!A$2:A$875,B278,'Base bordo CD'!L$2:L$875,"FALTA DE MOTORIST*"),0)</f>
        <v>0</v>
      </c>
      <c r="O278" s="10">
        <f t="shared" si="25"/>
        <v>0.19138888888889127</v>
      </c>
      <c r="P278" s="10">
        <f>IFERROR(SUMIFS('Base bordo CD'!M$2:M$875,'Base bordo CD'!D$2:D$875,A278,'Base bordo CD'!A$2:A$875,B278),0)</f>
        <v>24.000000000000004</v>
      </c>
      <c r="Q278" s="10">
        <f>IFERROR(SUMIFS('Base bordo CD'!O$2:O$875,'Base bordo CD'!D$2:D$875,A278,'Base bordo CD'!A$2:A$875,B278,'Base bordo CD'!L$2:L$875,"CORTE DE CANA MECANIZADO"),0)</f>
        <v>102862.77</v>
      </c>
      <c r="R278" s="10">
        <f>IFERROR(SUMIFS('Base bordo CD'!Q$2:Q$875,'Base bordo CD'!D$2:D$875,A278,'Base bordo CD'!A$2:A$875,B278,'Base bordo CD'!L$2:L$875,"CORTE DE CANA MECANIZADO"),0)</f>
        <v>26193</v>
      </c>
      <c r="S278" s="30">
        <f t="shared" si="26"/>
        <v>3.9271091512999656</v>
      </c>
      <c r="T278" s="9">
        <f t="shared" si="27"/>
        <v>0.30315972222222221</v>
      </c>
      <c r="U278" s="9">
        <f t="shared" si="28"/>
        <v>6.6851851851851843E-2</v>
      </c>
      <c r="V278" s="9">
        <f t="shared" si="29"/>
        <v>0.6881018518518518</v>
      </c>
    </row>
    <row r="279" spans="1:22" x14ac:dyDescent="0.35">
      <c r="A279" s="52">
        <v>49595</v>
      </c>
      <c r="B279" s="31">
        <v>46123</v>
      </c>
      <c r="C279" s="7" t="s">
        <v>337</v>
      </c>
      <c r="D279" s="7">
        <v>353</v>
      </c>
      <c r="E279" s="10">
        <f>IFERROR(SUMIFS('Base bordo CD'!M$2:M$875,'Base bordo CD'!D$2:D$875,A279,'Base bordo CD'!A$2:A$875,B279,'Base bordo CD'!L$2:L$875,"CORTE DE CANA MECANIZADO"),0)</f>
        <v>7.2758333333333338</v>
      </c>
      <c r="F279" s="10">
        <f>IFERROR(SUMIFS('Base bordo CD'!M$2:M$875,'Base bordo CD'!D$2:D$875,A279,'Base bordo CD'!A$2:A$875,B279,'Base bordo CD'!L$2:L$875,"MANOBRA"),0)</f>
        <v>1.6044444444444443</v>
      </c>
      <c r="G279" s="10">
        <f>IFERROR(SUMIFS('Base bordo CD'!M$2:M$875,'Base bordo CD'!D$2:D$875,A279,'Base bordo CD'!A$2:A$875,B279,'Base bordo CD'!L$2:L$875,"DESLOCAMENTO"),0)</f>
        <v>0.20972222222222223</v>
      </c>
      <c r="H279" s="10">
        <f>IFERROR(SUMIFS('Base bordo CD'!M$2:M$875,'Base bordo CD'!D$2:D$875,A279,'Base bordo CD'!A$2:A$875,B279,'Base bordo CD'!L$2:L$875,"AGUARDANDO MANOBRA DE TRANSBORDO"),0)+IFERROR(SUMIFS('Base bordo CD'!M$2:M$875,'Base bordo CD'!D$2:D$875,A279,'Base bordo CD'!A$2:A$875,B279,'Base bordo CD'!L$2:L$875,"FALTA DE TRANSBORDO"),0)</f>
        <v>0</v>
      </c>
      <c r="I279" s="10">
        <f>IFERROR(SUMIFS('Base bordo CD'!M$2:M$875,'Base bordo CD'!D$2:D$875,A279,'Base bordo CD'!A$2:A$875,B279,'Base bordo CD'!L$2:L$875,"PARADA POR CONDICOES CLIMATICAS"),0)+IFERROR(SUMIFS('Base bordo CD'!M$2:M$875,'Base bordo CD'!D$2:D$875,A279,'Base bordo CD'!A$2:A$875,B279,'Base bordo CD'!L$2:L$875,"TEMPO INDETERMINADO"),0)</f>
        <v>14.705833333333334</v>
      </c>
      <c r="J279" s="10">
        <f>IFERROR(SUMIFS('Base bordo CD'!M$2:M$875,'Base bordo CD'!D$2:D$875,A279,'Base bordo CD'!A$2:A$875,B279,'Base bordo CD'!L$2:L$875,"LIMITAÇÃO INDÚSTRIA"),0)</f>
        <v>0</v>
      </c>
      <c r="K279" s="10">
        <f>IFERROR(SUMIFS('Base bordo CD'!M$2:M$875,'Base bordo CD'!D$2:D$875,A279,'Base bordo CD'!A$2:A$875,B279,'Base bordo CD'!L$2:L$875,"MAN CORRETIVA*"),0)+IFERROR(SUMIFS('Base bordo CD'!M$2:M$875,'Base bordo CD'!D$2:D$875,A279,'Base bordo CD'!A$2:A$875,B279,'Base bordo CD'!L$2:L$875,"AGUARDANDO MANUTENCAO*"),0)+IFERROR(SUMIFS('Base bordo CD'!M$2:M$875,'Base bordo CD'!D$2:D$875,A279,'Base bordo CD'!A$2:A$875,B279,'Base bordo CD'!L$2:L$875,"TROCA DE FAQUINHA"),0)+IFERROR(SUMIFS('Base bordo CD'!M$2:M$875,'Base bordo CD'!D$2:D$875,A279,'Base bordo CD'!A$2:A$875,B279,'Base bordo CD'!L$2:L$875,"LIMPEZA*"),0)</f>
        <v>0</v>
      </c>
      <c r="L279" s="10">
        <f>IFERROR(SUMIFS('Base bordo CD'!M$2:M$875,'Base bordo CD'!D$2:D$875,A279,'Base bordo CD'!A$2:A$875,B279,'Base bordo CD'!L$2:L$875,"PATIO - RESERVA"),0)</f>
        <v>0</v>
      </c>
      <c r="M279" s="10">
        <f>IFERROR(SUMIFS('Base bordo CD'!M$2:M$875,'Base bordo CD'!D$2:D$875,A279,'Base bordo CD'!A$2:A$875,B279,'Base bordo CD'!L$2:L$875,"SEM APONTAMENTO"),0)</f>
        <v>1.2777777777777779E-2</v>
      </c>
      <c r="N279" s="10">
        <f>IFERROR(SUMIFS('Base bordo CD'!M$2:M$875,'Base bordo CD'!D$2:D$875,A279,'Base bordo CD'!A$2:A$875,B279,'Base bordo CD'!L$2:L$875,"FALTA DE CAMINHÃO"),0)+IFERROR(SUMIFS('Base bordo CD'!M$2:M$875,'Base bordo CD'!D$2:D$875,A279,'Base bordo CD'!A$2:A$875,B279,'Base bordo CD'!L$2:L$875,"FALTA DE COMBUSTIVEL"),0)+IFERROR(SUMIFS('Base bordo CD'!M$2:M$875,'Base bordo CD'!D$2:D$875,A279,'Base bordo CD'!A$2:A$875,B279,'Base bordo CD'!L$2:L$875,"FALTA DE MOTORIST*"),0)</f>
        <v>0</v>
      </c>
      <c r="O279" s="10">
        <f t="shared" si="25"/>
        <v>0.19138888888889127</v>
      </c>
      <c r="P279" s="10">
        <f>IFERROR(SUMIFS('Base bordo CD'!M$2:M$875,'Base bordo CD'!D$2:D$875,A279,'Base bordo CD'!A$2:A$875,B279),0)</f>
        <v>24.000000000000004</v>
      </c>
      <c r="Q279" s="10">
        <f>IFERROR(SUMIFS('Base bordo CD'!O$2:O$875,'Base bordo CD'!D$2:D$875,A279,'Base bordo CD'!A$2:A$875,B279,'Base bordo CD'!L$2:L$875,"CORTE DE CANA MECANIZADO"),0)</f>
        <v>102862.77</v>
      </c>
      <c r="R279" s="10">
        <f>IFERROR(SUMIFS('Base bordo CD'!Q$2:Q$875,'Base bordo CD'!D$2:D$875,A279,'Base bordo CD'!A$2:A$875,B279,'Base bordo CD'!L$2:L$875,"CORTE DE CANA MECANIZADO"),0)</f>
        <v>26193</v>
      </c>
      <c r="S279" s="30">
        <f t="shared" si="26"/>
        <v>3.9271091512999656</v>
      </c>
      <c r="T279" s="9">
        <f t="shared" si="27"/>
        <v>0.30315972222222221</v>
      </c>
      <c r="U279" s="9">
        <f t="shared" si="28"/>
        <v>6.6851851851851843E-2</v>
      </c>
      <c r="V279" s="9">
        <f t="shared" si="29"/>
        <v>0.6881018518518518</v>
      </c>
    </row>
    <row r="280" spans="1:22" x14ac:dyDescent="0.35">
      <c r="A280" s="52">
        <v>49595</v>
      </c>
      <c r="B280" s="31">
        <v>46123</v>
      </c>
      <c r="C280" s="7" t="s">
        <v>337</v>
      </c>
      <c r="D280" s="7">
        <v>353</v>
      </c>
      <c r="E280" s="10">
        <f>IFERROR(SUMIFS('Base bordo CD'!M$2:M$875,'Base bordo CD'!D$2:D$875,A280,'Base bordo CD'!A$2:A$875,B280,'Base bordo CD'!L$2:L$875,"CORTE DE CANA MECANIZADO"),0)</f>
        <v>7.2758333333333338</v>
      </c>
      <c r="F280" s="10">
        <f>IFERROR(SUMIFS('Base bordo CD'!M$2:M$875,'Base bordo CD'!D$2:D$875,A280,'Base bordo CD'!A$2:A$875,B280,'Base bordo CD'!L$2:L$875,"MANOBRA"),0)</f>
        <v>1.6044444444444443</v>
      </c>
      <c r="G280" s="10">
        <f>IFERROR(SUMIFS('Base bordo CD'!M$2:M$875,'Base bordo CD'!D$2:D$875,A280,'Base bordo CD'!A$2:A$875,B280,'Base bordo CD'!L$2:L$875,"DESLOCAMENTO"),0)</f>
        <v>0.20972222222222223</v>
      </c>
      <c r="H280" s="10">
        <f>IFERROR(SUMIFS('Base bordo CD'!M$2:M$875,'Base bordo CD'!D$2:D$875,A280,'Base bordo CD'!A$2:A$875,B280,'Base bordo CD'!L$2:L$875,"AGUARDANDO MANOBRA DE TRANSBORDO"),0)+IFERROR(SUMIFS('Base bordo CD'!M$2:M$875,'Base bordo CD'!D$2:D$875,A280,'Base bordo CD'!A$2:A$875,B280,'Base bordo CD'!L$2:L$875,"FALTA DE TRANSBORDO"),0)</f>
        <v>0</v>
      </c>
      <c r="I280" s="10">
        <f>IFERROR(SUMIFS('Base bordo CD'!M$2:M$875,'Base bordo CD'!D$2:D$875,A280,'Base bordo CD'!A$2:A$875,B280,'Base bordo CD'!L$2:L$875,"PARADA POR CONDICOES CLIMATICAS"),0)+IFERROR(SUMIFS('Base bordo CD'!M$2:M$875,'Base bordo CD'!D$2:D$875,A280,'Base bordo CD'!A$2:A$875,B280,'Base bordo CD'!L$2:L$875,"TEMPO INDETERMINADO"),0)</f>
        <v>14.705833333333334</v>
      </c>
      <c r="J280" s="10">
        <f>IFERROR(SUMIFS('Base bordo CD'!M$2:M$875,'Base bordo CD'!D$2:D$875,A280,'Base bordo CD'!A$2:A$875,B280,'Base bordo CD'!L$2:L$875,"LIMITAÇÃO INDÚSTRIA"),0)</f>
        <v>0</v>
      </c>
      <c r="K280" s="10">
        <f>IFERROR(SUMIFS('Base bordo CD'!M$2:M$875,'Base bordo CD'!D$2:D$875,A280,'Base bordo CD'!A$2:A$875,B280,'Base bordo CD'!L$2:L$875,"MAN CORRETIVA*"),0)+IFERROR(SUMIFS('Base bordo CD'!M$2:M$875,'Base bordo CD'!D$2:D$875,A280,'Base bordo CD'!A$2:A$875,B280,'Base bordo CD'!L$2:L$875,"AGUARDANDO MANUTENCAO*"),0)+IFERROR(SUMIFS('Base bordo CD'!M$2:M$875,'Base bordo CD'!D$2:D$875,A280,'Base bordo CD'!A$2:A$875,B280,'Base bordo CD'!L$2:L$875,"TROCA DE FAQUINHA"),0)+IFERROR(SUMIFS('Base bordo CD'!M$2:M$875,'Base bordo CD'!D$2:D$875,A280,'Base bordo CD'!A$2:A$875,B280,'Base bordo CD'!L$2:L$875,"LIMPEZA*"),0)</f>
        <v>0</v>
      </c>
      <c r="L280" s="10">
        <f>IFERROR(SUMIFS('Base bordo CD'!M$2:M$875,'Base bordo CD'!D$2:D$875,A280,'Base bordo CD'!A$2:A$875,B280,'Base bordo CD'!L$2:L$875,"PATIO - RESERVA"),0)</f>
        <v>0</v>
      </c>
      <c r="M280" s="10">
        <f>IFERROR(SUMIFS('Base bordo CD'!M$2:M$875,'Base bordo CD'!D$2:D$875,A280,'Base bordo CD'!A$2:A$875,B280,'Base bordo CD'!L$2:L$875,"SEM APONTAMENTO"),0)</f>
        <v>1.2777777777777779E-2</v>
      </c>
      <c r="N280" s="10">
        <f>IFERROR(SUMIFS('Base bordo CD'!M$2:M$875,'Base bordo CD'!D$2:D$875,A280,'Base bordo CD'!A$2:A$875,B280,'Base bordo CD'!L$2:L$875,"FALTA DE CAMINHÃO"),0)+IFERROR(SUMIFS('Base bordo CD'!M$2:M$875,'Base bordo CD'!D$2:D$875,A280,'Base bordo CD'!A$2:A$875,B280,'Base bordo CD'!L$2:L$875,"FALTA DE COMBUSTIVEL"),0)+IFERROR(SUMIFS('Base bordo CD'!M$2:M$875,'Base bordo CD'!D$2:D$875,A280,'Base bordo CD'!A$2:A$875,B280,'Base bordo CD'!L$2:L$875,"FALTA DE MOTORIST*"),0)</f>
        <v>0</v>
      </c>
      <c r="O280" s="10">
        <f t="shared" si="25"/>
        <v>0.19138888888889127</v>
      </c>
      <c r="P280" s="10">
        <f>IFERROR(SUMIFS('Base bordo CD'!M$2:M$875,'Base bordo CD'!D$2:D$875,A280,'Base bordo CD'!A$2:A$875,B280),0)</f>
        <v>24.000000000000004</v>
      </c>
      <c r="Q280" s="10">
        <f>IFERROR(SUMIFS('Base bordo CD'!O$2:O$875,'Base bordo CD'!D$2:D$875,A280,'Base bordo CD'!A$2:A$875,B280,'Base bordo CD'!L$2:L$875,"CORTE DE CANA MECANIZADO"),0)</f>
        <v>102862.77</v>
      </c>
      <c r="R280" s="10">
        <f>IFERROR(SUMIFS('Base bordo CD'!Q$2:Q$875,'Base bordo CD'!D$2:D$875,A280,'Base bordo CD'!A$2:A$875,B280,'Base bordo CD'!L$2:L$875,"CORTE DE CANA MECANIZADO"),0)</f>
        <v>26193</v>
      </c>
      <c r="S280" s="30">
        <f t="shared" si="26"/>
        <v>3.9271091512999656</v>
      </c>
      <c r="T280" s="9">
        <f t="shared" si="27"/>
        <v>0.30315972222222221</v>
      </c>
      <c r="U280" s="9">
        <f t="shared" si="28"/>
        <v>6.6851851851851843E-2</v>
      </c>
      <c r="V280" s="9">
        <f t="shared" si="29"/>
        <v>0.6881018518518518</v>
      </c>
    </row>
    <row r="281" spans="1:22" x14ac:dyDescent="0.35">
      <c r="A281" s="52">
        <v>49595</v>
      </c>
      <c r="B281" s="31">
        <v>46123</v>
      </c>
      <c r="C281" s="7" t="s">
        <v>337</v>
      </c>
      <c r="D281" s="7">
        <v>353</v>
      </c>
      <c r="E281" s="10">
        <f>IFERROR(SUMIFS('Base bordo CD'!M$2:M$875,'Base bordo CD'!D$2:D$875,A281,'Base bordo CD'!A$2:A$875,B281,'Base bordo CD'!L$2:L$875,"CORTE DE CANA MECANIZADO"),0)</f>
        <v>7.2758333333333338</v>
      </c>
      <c r="F281" s="10">
        <f>IFERROR(SUMIFS('Base bordo CD'!M$2:M$875,'Base bordo CD'!D$2:D$875,A281,'Base bordo CD'!A$2:A$875,B281,'Base bordo CD'!L$2:L$875,"MANOBRA"),0)</f>
        <v>1.6044444444444443</v>
      </c>
      <c r="G281" s="10">
        <f>IFERROR(SUMIFS('Base bordo CD'!M$2:M$875,'Base bordo CD'!D$2:D$875,A281,'Base bordo CD'!A$2:A$875,B281,'Base bordo CD'!L$2:L$875,"DESLOCAMENTO"),0)</f>
        <v>0.20972222222222223</v>
      </c>
      <c r="H281" s="10">
        <f>IFERROR(SUMIFS('Base bordo CD'!M$2:M$875,'Base bordo CD'!D$2:D$875,A281,'Base bordo CD'!A$2:A$875,B281,'Base bordo CD'!L$2:L$875,"AGUARDANDO MANOBRA DE TRANSBORDO"),0)+IFERROR(SUMIFS('Base bordo CD'!M$2:M$875,'Base bordo CD'!D$2:D$875,A281,'Base bordo CD'!A$2:A$875,B281,'Base bordo CD'!L$2:L$875,"FALTA DE TRANSBORDO"),0)</f>
        <v>0</v>
      </c>
      <c r="I281" s="10">
        <f>IFERROR(SUMIFS('Base bordo CD'!M$2:M$875,'Base bordo CD'!D$2:D$875,A281,'Base bordo CD'!A$2:A$875,B281,'Base bordo CD'!L$2:L$875,"PARADA POR CONDICOES CLIMATICAS"),0)+IFERROR(SUMIFS('Base bordo CD'!M$2:M$875,'Base bordo CD'!D$2:D$875,A281,'Base bordo CD'!A$2:A$875,B281,'Base bordo CD'!L$2:L$875,"TEMPO INDETERMINADO"),0)</f>
        <v>14.705833333333334</v>
      </c>
      <c r="J281" s="10">
        <f>IFERROR(SUMIFS('Base bordo CD'!M$2:M$875,'Base bordo CD'!D$2:D$875,A281,'Base bordo CD'!A$2:A$875,B281,'Base bordo CD'!L$2:L$875,"LIMITAÇÃO INDÚSTRIA"),0)</f>
        <v>0</v>
      </c>
      <c r="K281" s="10">
        <f>IFERROR(SUMIFS('Base bordo CD'!M$2:M$875,'Base bordo CD'!D$2:D$875,A281,'Base bordo CD'!A$2:A$875,B281,'Base bordo CD'!L$2:L$875,"MAN CORRETIVA*"),0)+IFERROR(SUMIFS('Base bordo CD'!M$2:M$875,'Base bordo CD'!D$2:D$875,A281,'Base bordo CD'!A$2:A$875,B281,'Base bordo CD'!L$2:L$875,"AGUARDANDO MANUTENCAO*"),0)+IFERROR(SUMIFS('Base bordo CD'!M$2:M$875,'Base bordo CD'!D$2:D$875,A281,'Base bordo CD'!A$2:A$875,B281,'Base bordo CD'!L$2:L$875,"TROCA DE FAQUINHA"),0)+IFERROR(SUMIFS('Base bordo CD'!M$2:M$875,'Base bordo CD'!D$2:D$875,A281,'Base bordo CD'!A$2:A$875,B281,'Base bordo CD'!L$2:L$875,"LIMPEZA*"),0)</f>
        <v>0</v>
      </c>
      <c r="L281" s="10">
        <f>IFERROR(SUMIFS('Base bordo CD'!M$2:M$875,'Base bordo CD'!D$2:D$875,A281,'Base bordo CD'!A$2:A$875,B281,'Base bordo CD'!L$2:L$875,"PATIO - RESERVA"),0)</f>
        <v>0</v>
      </c>
      <c r="M281" s="10">
        <f>IFERROR(SUMIFS('Base bordo CD'!M$2:M$875,'Base bordo CD'!D$2:D$875,A281,'Base bordo CD'!A$2:A$875,B281,'Base bordo CD'!L$2:L$875,"SEM APONTAMENTO"),0)</f>
        <v>1.2777777777777779E-2</v>
      </c>
      <c r="N281" s="10">
        <f>IFERROR(SUMIFS('Base bordo CD'!M$2:M$875,'Base bordo CD'!D$2:D$875,A281,'Base bordo CD'!A$2:A$875,B281,'Base bordo CD'!L$2:L$875,"FALTA DE CAMINHÃO"),0)+IFERROR(SUMIFS('Base bordo CD'!M$2:M$875,'Base bordo CD'!D$2:D$875,A281,'Base bordo CD'!A$2:A$875,B281,'Base bordo CD'!L$2:L$875,"FALTA DE COMBUSTIVEL"),0)+IFERROR(SUMIFS('Base bordo CD'!M$2:M$875,'Base bordo CD'!D$2:D$875,A281,'Base bordo CD'!A$2:A$875,B281,'Base bordo CD'!L$2:L$875,"FALTA DE MOTORIST*"),0)</f>
        <v>0</v>
      </c>
      <c r="O281" s="10">
        <f t="shared" si="25"/>
        <v>0.19138888888889127</v>
      </c>
      <c r="P281" s="10">
        <f>IFERROR(SUMIFS('Base bordo CD'!M$2:M$875,'Base bordo CD'!D$2:D$875,A281,'Base bordo CD'!A$2:A$875,B281),0)</f>
        <v>24.000000000000004</v>
      </c>
      <c r="Q281" s="10">
        <f>IFERROR(SUMIFS('Base bordo CD'!O$2:O$875,'Base bordo CD'!D$2:D$875,A281,'Base bordo CD'!A$2:A$875,B281,'Base bordo CD'!L$2:L$875,"CORTE DE CANA MECANIZADO"),0)</f>
        <v>102862.77</v>
      </c>
      <c r="R281" s="10">
        <f>IFERROR(SUMIFS('Base bordo CD'!Q$2:Q$875,'Base bordo CD'!D$2:D$875,A281,'Base bordo CD'!A$2:A$875,B281,'Base bordo CD'!L$2:L$875,"CORTE DE CANA MECANIZADO"),0)</f>
        <v>26193</v>
      </c>
      <c r="S281" s="30">
        <f t="shared" si="26"/>
        <v>3.9271091512999656</v>
      </c>
      <c r="T281" s="9">
        <f t="shared" si="27"/>
        <v>0.30315972222222221</v>
      </c>
      <c r="U281" s="9">
        <f t="shared" si="28"/>
        <v>6.6851851851851843E-2</v>
      </c>
      <c r="V281" s="9">
        <f t="shared" si="29"/>
        <v>0.6881018518518518</v>
      </c>
    </row>
    <row r="282" spans="1:22" x14ac:dyDescent="0.35">
      <c r="A282" s="52">
        <v>49595</v>
      </c>
      <c r="B282" s="31">
        <v>46123</v>
      </c>
      <c r="C282" s="7" t="s">
        <v>337</v>
      </c>
      <c r="D282" s="7">
        <v>353</v>
      </c>
      <c r="E282" s="10">
        <f>IFERROR(SUMIFS('Base bordo CD'!M$2:M$875,'Base bordo CD'!D$2:D$875,A282,'Base bordo CD'!A$2:A$875,B282,'Base bordo CD'!L$2:L$875,"CORTE DE CANA MECANIZADO"),0)</f>
        <v>7.2758333333333338</v>
      </c>
      <c r="F282" s="10">
        <f>IFERROR(SUMIFS('Base bordo CD'!M$2:M$875,'Base bordo CD'!D$2:D$875,A282,'Base bordo CD'!A$2:A$875,B282,'Base bordo CD'!L$2:L$875,"MANOBRA"),0)</f>
        <v>1.6044444444444443</v>
      </c>
      <c r="G282" s="10">
        <f>IFERROR(SUMIFS('Base bordo CD'!M$2:M$875,'Base bordo CD'!D$2:D$875,A282,'Base bordo CD'!A$2:A$875,B282,'Base bordo CD'!L$2:L$875,"DESLOCAMENTO"),0)</f>
        <v>0.20972222222222223</v>
      </c>
      <c r="H282" s="10">
        <f>IFERROR(SUMIFS('Base bordo CD'!M$2:M$875,'Base bordo CD'!D$2:D$875,A282,'Base bordo CD'!A$2:A$875,B282,'Base bordo CD'!L$2:L$875,"AGUARDANDO MANOBRA DE TRANSBORDO"),0)+IFERROR(SUMIFS('Base bordo CD'!M$2:M$875,'Base bordo CD'!D$2:D$875,A282,'Base bordo CD'!A$2:A$875,B282,'Base bordo CD'!L$2:L$875,"FALTA DE TRANSBORDO"),0)</f>
        <v>0</v>
      </c>
      <c r="I282" s="10">
        <f>IFERROR(SUMIFS('Base bordo CD'!M$2:M$875,'Base bordo CD'!D$2:D$875,A282,'Base bordo CD'!A$2:A$875,B282,'Base bordo CD'!L$2:L$875,"PARADA POR CONDICOES CLIMATICAS"),0)+IFERROR(SUMIFS('Base bordo CD'!M$2:M$875,'Base bordo CD'!D$2:D$875,A282,'Base bordo CD'!A$2:A$875,B282,'Base bordo CD'!L$2:L$875,"TEMPO INDETERMINADO"),0)</f>
        <v>14.705833333333334</v>
      </c>
      <c r="J282" s="10">
        <f>IFERROR(SUMIFS('Base bordo CD'!M$2:M$875,'Base bordo CD'!D$2:D$875,A282,'Base bordo CD'!A$2:A$875,B282,'Base bordo CD'!L$2:L$875,"LIMITAÇÃO INDÚSTRIA"),0)</f>
        <v>0</v>
      </c>
      <c r="K282" s="10">
        <f>IFERROR(SUMIFS('Base bordo CD'!M$2:M$875,'Base bordo CD'!D$2:D$875,A282,'Base bordo CD'!A$2:A$875,B282,'Base bordo CD'!L$2:L$875,"MAN CORRETIVA*"),0)+IFERROR(SUMIFS('Base bordo CD'!M$2:M$875,'Base bordo CD'!D$2:D$875,A282,'Base bordo CD'!A$2:A$875,B282,'Base bordo CD'!L$2:L$875,"AGUARDANDO MANUTENCAO*"),0)+IFERROR(SUMIFS('Base bordo CD'!M$2:M$875,'Base bordo CD'!D$2:D$875,A282,'Base bordo CD'!A$2:A$875,B282,'Base bordo CD'!L$2:L$875,"TROCA DE FAQUINHA"),0)+IFERROR(SUMIFS('Base bordo CD'!M$2:M$875,'Base bordo CD'!D$2:D$875,A282,'Base bordo CD'!A$2:A$875,B282,'Base bordo CD'!L$2:L$875,"LIMPEZA*"),0)</f>
        <v>0</v>
      </c>
      <c r="L282" s="10">
        <f>IFERROR(SUMIFS('Base bordo CD'!M$2:M$875,'Base bordo CD'!D$2:D$875,A282,'Base bordo CD'!A$2:A$875,B282,'Base bordo CD'!L$2:L$875,"PATIO - RESERVA"),0)</f>
        <v>0</v>
      </c>
      <c r="M282" s="10">
        <f>IFERROR(SUMIFS('Base bordo CD'!M$2:M$875,'Base bordo CD'!D$2:D$875,A282,'Base bordo CD'!A$2:A$875,B282,'Base bordo CD'!L$2:L$875,"SEM APONTAMENTO"),0)</f>
        <v>1.2777777777777779E-2</v>
      </c>
      <c r="N282" s="10">
        <f>IFERROR(SUMIFS('Base bordo CD'!M$2:M$875,'Base bordo CD'!D$2:D$875,A282,'Base bordo CD'!A$2:A$875,B282,'Base bordo CD'!L$2:L$875,"FALTA DE CAMINHÃO"),0)+IFERROR(SUMIFS('Base bordo CD'!M$2:M$875,'Base bordo CD'!D$2:D$875,A282,'Base bordo CD'!A$2:A$875,B282,'Base bordo CD'!L$2:L$875,"FALTA DE COMBUSTIVEL"),0)+IFERROR(SUMIFS('Base bordo CD'!M$2:M$875,'Base bordo CD'!D$2:D$875,A282,'Base bordo CD'!A$2:A$875,B282,'Base bordo CD'!L$2:L$875,"FALTA DE MOTORIST*"),0)</f>
        <v>0</v>
      </c>
      <c r="O282" s="10">
        <f t="shared" si="25"/>
        <v>0.19138888888889127</v>
      </c>
      <c r="P282" s="10">
        <f>IFERROR(SUMIFS('Base bordo CD'!M$2:M$875,'Base bordo CD'!D$2:D$875,A282,'Base bordo CD'!A$2:A$875,B282),0)</f>
        <v>24.000000000000004</v>
      </c>
      <c r="Q282" s="10">
        <f>IFERROR(SUMIFS('Base bordo CD'!O$2:O$875,'Base bordo CD'!D$2:D$875,A282,'Base bordo CD'!A$2:A$875,B282,'Base bordo CD'!L$2:L$875,"CORTE DE CANA MECANIZADO"),0)</f>
        <v>102862.77</v>
      </c>
      <c r="R282" s="10">
        <f>IFERROR(SUMIFS('Base bordo CD'!Q$2:Q$875,'Base bordo CD'!D$2:D$875,A282,'Base bordo CD'!A$2:A$875,B282,'Base bordo CD'!L$2:L$875,"CORTE DE CANA MECANIZADO"),0)</f>
        <v>26193</v>
      </c>
      <c r="S282" s="30">
        <f t="shared" si="26"/>
        <v>3.9271091512999656</v>
      </c>
      <c r="T282" s="9">
        <f t="shared" si="27"/>
        <v>0.30315972222222221</v>
      </c>
      <c r="U282" s="9">
        <f t="shared" si="28"/>
        <v>6.6851851851851843E-2</v>
      </c>
      <c r="V282" s="9">
        <f t="shared" si="29"/>
        <v>0.6881018518518518</v>
      </c>
    </row>
    <row r="283" spans="1:22" x14ac:dyDescent="0.35">
      <c r="A283" s="52">
        <v>49595</v>
      </c>
      <c r="B283" s="31">
        <v>46123</v>
      </c>
      <c r="C283" s="7" t="s">
        <v>337</v>
      </c>
      <c r="D283" s="7">
        <v>353</v>
      </c>
      <c r="E283" s="10">
        <f>IFERROR(SUMIFS('Base bordo CD'!M$2:M$875,'Base bordo CD'!D$2:D$875,A283,'Base bordo CD'!A$2:A$875,B283,'Base bordo CD'!L$2:L$875,"CORTE DE CANA MECANIZADO"),0)</f>
        <v>7.2758333333333338</v>
      </c>
      <c r="F283" s="10">
        <f>IFERROR(SUMIFS('Base bordo CD'!M$2:M$875,'Base bordo CD'!D$2:D$875,A283,'Base bordo CD'!A$2:A$875,B283,'Base bordo CD'!L$2:L$875,"MANOBRA"),0)</f>
        <v>1.6044444444444443</v>
      </c>
      <c r="G283" s="10">
        <f>IFERROR(SUMIFS('Base bordo CD'!M$2:M$875,'Base bordo CD'!D$2:D$875,A283,'Base bordo CD'!A$2:A$875,B283,'Base bordo CD'!L$2:L$875,"DESLOCAMENTO"),0)</f>
        <v>0.20972222222222223</v>
      </c>
      <c r="H283" s="10">
        <f>IFERROR(SUMIFS('Base bordo CD'!M$2:M$875,'Base bordo CD'!D$2:D$875,A283,'Base bordo CD'!A$2:A$875,B283,'Base bordo CD'!L$2:L$875,"AGUARDANDO MANOBRA DE TRANSBORDO"),0)+IFERROR(SUMIFS('Base bordo CD'!M$2:M$875,'Base bordo CD'!D$2:D$875,A283,'Base bordo CD'!A$2:A$875,B283,'Base bordo CD'!L$2:L$875,"FALTA DE TRANSBORDO"),0)</f>
        <v>0</v>
      </c>
      <c r="I283" s="10">
        <f>IFERROR(SUMIFS('Base bordo CD'!M$2:M$875,'Base bordo CD'!D$2:D$875,A283,'Base bordo CD'!A$2:A$875,B283,'Base bordo CD'!L$2:L$875,"PARADA POR CONDICOES CLIMATICAS"),0)+IFERROR(SUMIFS('Base bordo CD'!M$2:M$875,'Base bordo CD'!D$2:D$875,A283,'Base bordo CD'!A$2:A$875,B283,'Base bordo CD'!L$2:L$875,"TEMPO INDETERMINADO"),0)</f>
        <v>14.705833333333334</v>
      </c>
      <c r="J283" s="10">
        <f>IFERROR(SUMIFS('Base bordo CD'!M$2:M$875,'Base bordo CD'!D$2:D$875,A283,'Base bordo CD'!A$2:A$875,B283,'Base bordo CD'!L$2:L$875,"LIMITAÇÃO INDÚSTRIA"),0)</f>
        <v>0</v>
      </c>
      <c r="K283" s="10">
        <f>IFERROR(SUMIFS('Base bordo CD'!M$2:M$875,'Base bordo CD'!D$2:D$875,A283,'Base bordo CD'!A$2:A$875,B283,'Base bordo CD'!L$2:L$875,"MAN CORRETIVA*"),0)+IFERROR(SUMIFS('Base bordo CD'!M$2:M$875,'Base bordo CD'!D$2:D$875,A283,'Base bordo CD'!A$2:A$875,B283,'Base bordo CD'!L$2:L$875,"AGUARDANDO MANUTENCAO*"),0)+IFERROR(SUMIFS('Base bordo CD'!M$2:M$875,'Base bordo CD'!D$2:D$875,A283,'Base bordo CD'!A$2:A$875,B283,'Base bordo CD'!L$2:L$875,"TROCA DE FAQUINHA"),0)+IFERROR(SUMIFS('Base bordo CD'!M$2:M$875,'Base bordo CD'!D$2:D$875,A283,'Base bordo CD'!A$2:A$875,B283,'Base bordo CD'!L$2:L$875,"LIMPEZA*"),0)</f>
        <v>0</v>
      </c>
      <c r="L283" s="10">
        <f>IFERROR(SUMIFS('Base bordo CD'!M$2:M$875,'Base bordo CD'!D$2:D$875,A283,'Base bordo CD'!A$2:A$875,B283,'Base bordo CD'!L$2:L$875,"PATIO - RESERVA"),0)</f>
        <v>0</v>
      </c>
      <c r="M283" s="10">
        <f>IFERROR(SUMIFS('Base bordo CD'!M$2:M$875,'Base bordo CD'!D$2:D$875,A283,'Base bordo CD'!A$2:A$875,B283,'Base bordo CD'!L$2:L$875,"SEM APONTAMENTO"),0)</f>
        <v>1.2777777777777779E-2</v>
      </c>
      <c r="N283" s="10">
        <f>IFERROR(SUMIFS('Base bordo CD'!M$2:M$875,'Base bordo CD'!D$2:D$875,A283,'Base bordo CD'!A$2:A$875,B283,'Base bordo CD'!L$2:L$875,"FALTA DE CAMINHÃO"),0)+IFERROR(SUMIFS('Base bordo CD'!M$2:M$875,'Base bordo CD'!D$2:D$875,A283,'Base bordo CD'!A$2:A$875,B283,'Base bordo CD'!L$2:L$875,"FALTA DE COMBUSTIVEL"),0)+IFERROR(SUMIFS('Base bordo CD'!M$2:M$875,'Base bordo CD'!D$2:D$875,A283,'Base bordo CD'!A$2:A$875,B283,'Base bordo CD'!L$2:L$875,"FALTA DE MOTORIST*"),0)</f>
        <v>0</v>
      </c>
      <c r="O283" s="10">
        <f t="shared" si="25"/>
        <v>0.19138888888889127</v>
      </c>
      <c r="P283" s="10">
        <f>IFERROR(SUMIFS('Base bordo CD'!M$2:M$875,'Base bordo CD'!D$2:D$875,A283,'Base bordo CD'!A$2:A$875,B283),0)</f>
        <v>24.000000000000004</v>
      </c>
      <c r="Q283" s="10">
        <f>IFERROR(SUMIFS('Base bordo CD'!O$2:O$875,'Base bordo CD'!D$2:D$875,A283,'Base bordo CD'!A$2:A$875,B283,'Base bordo CD'!L$2:L$875,"CORTE DE CANA MECANIZADO"),0)</f>
        <v>102862.77</v>
      </c>
      <c r="R283" s="10">
        <f>IFERROR(SUMIFS('Base bordo CD'!Q$2:Q$875,'Base bordo CD'!D$2:D$875,A283,'Base bordo CD'!A$2:A$875,B283,'Base bordo CD'!L$2:L$875,"CORTE DE CANA MECANIZADO"),0)</f>
        <v>26193</v>
      </c>
      <c r="S283" s="30">
        <f t="shared" si="26"/>
        <v>3.9271091512999656</v>
      </c>
      <c r="T283" s="9">
        <f t="shared" si="27"/>
        <v>0.30315972222222221</v>
      </c>
      <c r="U283" s="9">
        <f t="shared" si="28"/>
        <v>6.6851851851851843E-2</v>
      </c>
      <c r="V283" s="9">
        <f t="shared" si="29"/>
        <v>0.6881018518518518</v>
      </c>
    </row>
    <row r="284" spans="1:22" x14ac:dyDescent="0.35">
      <c r="A284" s="52">
        <v>49595</v>
      </c>
      <c r="B284" s="31">
        <v>46123</v>
      </c>
      <c r="C284" s="7" t="s">
        <v>337</v>
      </c>
      <c r="D284" s="7">
        <v>353</v>
      </c>
      <c r="E284" s="10">
        <f>IFERROR(SUMIFS('Base bordo CD'!M$2:M$875,'Base bordo CD'!D$2:D$875,A284,'Base bordo CD'!A$2:A$875,B284,'Base bordo CD'!L$2:L$875,"CORTE DE CANA MECANIZADO"),0)</f>
        <v>7.2758333333333338</v>
      </c>
      <c r="F284" s="10">
        <f>IFERROR(SUMIFS('Base bordo CD'!M$2:M$875,'Base bordo CD'!D$2:D$875,A284,'Base bordo CD'!A$2:A$875,B284,'Base bordo CD'!L$2:L$875,"MANOBRA"),0)</f>
        <v>1.6044444444444443</v>
      </c>
      <c r="G284" s="10">
        <f>IFERROR(SUMIFS('Base bordo CD'!M$2:M$875,'Base bordo CD'!D$2:D$875,A284,'Base bordo CD'!A$2:A$875,B284,'Base bordo CD'!L$2:L$875,"DESLOCAMENTO"),0)</f>
        <v>0.20972222222222223</v>
      </c>
      <c r="H284" s="10">
        <f>IFERROR(SUMIFS('Base bordo CD'!M$2:M$875,'Base bordo CD'!D$2:D$875,A284,'Base bordo CD'!A$2:A$875,B284,'Base bordo CD'!L$2:L$875,"AGUARDANDO MANOBRA DE TRANSBORDO"),0)+IFERROR(SUMIFS('Base bordo CD'!M$2:M$875,'Base bordo CD'!D$2:D$875,A284,'Base bordo CD'!A$2:A$875,B284,'Base bordo CD'!L$2:L$875,"FALTA DE TRANSBORDO"),0)</f>
        <v>0</v>
      </c>
      <c r="I284" s="10">
        <f>IFERROR(SUMIFS('Base bordo CD'!M$2:M$875,'Base bordo CD'!D$2:D$875,A284,'Base bordo CD'!A$2:A$875,B284,'Base bordo CD'!L$2:L$875,"PARADA POR CONDICOES CLIMATICAS"),0)+IFERROR(SUMIFS('Base bordo CD'!M$2:M$875,'Base bordo CD'!D$2:D$875,A284,'Base bordo CD'!A$2:A$875,B284,'Base bordo CD'!L$2:L$875,"TEMPO INDETERMINADO"),0)</f>
        <v>14.705833333333334</v>
      </c>
      <c r="J284" s="10">
        <f>IFERROR(SUMIFS('Base bordo CD'!M$2:M$875,'Base bordo CD'!D$2:D$875,A284,'Base bordo CD'!A$2:A$875,B284,'Base bordo CD'!L$2:L$875,"LIMITAÇÃO INDÚSTRIA"),0)</f>
        <v>0</v>
      </c>
      <c r="K284" s="10">
        <f>IFERROR(SUMIFS('Base bordo CD'!M$2:M$875,'Base bordo CD'!D$2:D$875,A284,'Base bordo CD'!A$2:A$875,B284,'Base bordo CD'!L$2:L$875,"MAN CORRETIVA*"),0)+IFERROR(SUMIFS('Base bordo CD'!M$2:M$875,'Base bordo CD'!D$2:D$875,A284,'Base bordo CD'!A$2:A$875,B284,'Base bordo CD'!L$2:L$875,"AGUARDANDO MANUTENCAO*"),0)+IFERROR(SUMIFS('Base bordo CD'!M$2:M$875,'Base bordo CD'!D$2:D$875,A284,'Base bordo CD'!A$2:A$875,B284,'Base bordo CD'!L$2:L$875,"TROCA DE FAQUINHA"),0)+IFERROR(SUMIFS('Base bordo CD'!M$2:M$875,'Base bordo CD'!D$2:D$875,A284,'Base bordo CD'!A$2:A$875,B284,'Base bordo CD'!L$2:L$875,"LIMPEZA*"),0)</f>
        <v>0</v>
      </c>
      <c r="L284" s="10">
        <f>IFERROR(SUMIFS('Base bordo CD'!M$2:M$875,'Base bordo CD'!D$2:D$875,A284,'Base bordo CD'!A$2:A$875,B284,'Base bordo CD'!L$2:L$875,"PATIO - RESERVA"),0)</f>
        <v>0</v>
      </c>
      <c r="M284" s="10">
        <f>IFERROR(SUMIFS('Base bordo CD'!M$2:M$875,'Base bordo CD'!D$2:D$875,A284,'Base bordo CD'!A$2:A$875,B284,'Base bordo CD'!L$2:L$875,"SEM APONTAMENTO"),0)</f>
        <v>1.2777777777777779E-2</v>
      </c>
      <c r="N284" s="10">
        <f>IFERROR(SUMIFS('Base bordo CD'!M$2:M$875,'Base bordo CD'!D$2:D$875,A284,'Base bordo CD'!A$2:A$875,B284,'Base bordo CD'!L$2:L$875,"FALTA DE CAMINHÃO"),0)+IFERROR(SUMIFS('Base bordo CD'!M$2:M$875,'Base bordo CD'!D$2:D$875,A284,'Base bordo CD'!A$2:A$875,B284,'Base bordo CD'!L$2:L$875,"FALTA DE COMBUSTIVEL"),0)+IFERROR(SUMIFS('Base bordo CD'!M$2:M$875,'Base bordo CD'!D$2:D$875,A284,'Base bordo CD'!A$2:A$875,B284,'Base bordo CD'!L$2:L$875,"FALTA DE MOTORIST*"),0)</f>
        <v>0</v>
      </c>
      <c r="O284" s="10">
        <f t="shared" si="25"/>
        <v>0.19138888888889127</v>
      </c>
      <c r="P284" s="10">
        <f>IFERROR(SUMIFS('Base bordo CD'!M$2:M$875,'Base bordo CD'!D$2:D$875,A284,'Base bordo CD'!A$2:A$875,B284),0)</f>
        <v>24.000000000000004</v>
      </c>
      <c r="Q284" s="10">
        <f>IFERROR(SUMIFS('Base bordo CD'!O$2:O$875,'Base bordo CD'!D$2:D$875,A284,'Base bordo CD'!A$2:A$875,B284,'Base bordo CD'!L$2:L$875,"CORTE DE CANA MECANIZADO"),0)</f>
        <v>102862.77</v>
      </c>
      <c r="R284" s="10">
        <f>IFERROR(SUMIFS('Base bordo CD'!Q$2:Q$875,'Base bordo CD'!D$2:D$875,A284,'Base bordo CD'!A$2:A$875,B284,'Base bordo CD'!L$2:L$875,"CORTE DE CANA MECANIZADO"),0)</f>
        <v>26193</v>
      </c>
      <c r="S284" s="30">
        <f t="shared" si="26"/>
        <v>3.9271091512999656</v>
      </c>
      <c r="T284" s="9">
        <f t="shared" si="27"/>
        <v>0.30315972222222221</v>
      </c>
      <c r="U284" s="9">
        <f t="shared" si="28"/>
        <v>6.6851851851851843E-2</v>
      </c>
      <c r="V284" s="9">
        <f t="shared" si="29"/>
        <v>0.6881018518518518</v>
      </c>
    </row>
    <row r="285" spans="1:22" x14ac:dyDescent="0.35">
      <c r="A285" s="52">
        <v>49595</v>
      </c>
      <c r="B285" s="31">
        <v>46123</v>
      </c>
      <c r="C285" s="7" t="s">
        <v>337</v>
      </c>
      <c r="D285" s="7">
        <v>353</v>
      </c>
      <c r="E285" s="10">
        <f>IFERROR(SUMIFS('Base bordo CD'!M$2:M$875,'Base bordo CD'!D$2:D$875,A285,'Base bordo CD'!A$2:A$875,B285,'Base bordo CD'!L$2:L$875,"CORTE DE CANA MECANIZADO"),0)</f>
        <v>7.2758333333333338</v>
      </c>
      <c r="F285" s="10">
        <f>IFERROR(SUMIFS('Base bordo CD'!M$2:M$875,'Base bordo CD'!D$2:D$875,A285,'Base bordo CD'!A$2:A$875,B285,'Base bordo CD'!L$2:L$875,"MANOBRA"),0)</f>
        <v>1.6044444444444443</v>
      </c>
      <c r="G285" s="10">
        <f>IFERROR(SUMIFS('Base bordo CD'!M$2:M$875,'Base bordo CD'!D$2:D$875,A285,'Base bordo CD'!A$2:A$875,B285,'Base bordo CD'!L$2:L$875,"DESLOCAMENTO"),0)</f>
        <v>0.20972222222222223</v>
      </c>
      <c r="H285" s="10">
        <f>IFERROR(SUMIFS('Base bordo CD'!M$2:M$875,'Base bordo CD'!D$2:D$875,A285,'Base bordo CD'!A$2:A$875,B285,'Base bordo CD'!L$2:L$875,"AGUARDANDO MANOBRA DE TRANSBORDO"),0)+IFERROR(SUMIFS('Base bordo CD'!M$2:M$875,'Base bordo CD'!D$2:D$875,A285,'Base bordo CD'!A$2:A$875,B285,'Base bordo CD'!L$2:L$875,"FALTA DE TRANSBORDO"),0)</f>
        <v>0</v>
      </c>
      <c r="I285" s="10">
        <f>IFERROR(SUMIFS('Base bordo CD'!M$2:M$875,'Base bordo CD'!D$2:D$875,A285,'Base bordo CD'!A$2:A$875,B285,'Base bordo CD'!L$2:L$875,"PARADA POR CONDICOES CLIMATICAS"),0)+IFERROR(SUMIFS('Base bordo CD'!M$2:M$875,'Base bordo CD'!D$2:D$875,A285,'Base bordo CD'!A$2:A$875,B285,'Base bordo CD'!L$2:L$875,"TEMPO INDETERMINADO"),0)</f>
        <v>14.705833333333334</v>
      </c>
      <c r="J285" s="10">
        <f>IFERROR(SUMIFS('Base bordo CD'!M$2:M$875,'Base bordo CD'!D$2:D$875,A285,'Base bordo CD'!A$2:A$875,B285,'Base bordo CD'!L$2:L$875,"LIMITAÇÃO INDÚSTRIA"),0)</f>
        <v>0</v>
      </c>
      <c r="K285" s="10">
        <f>IFERROR(SUMIFS('Base bordo CD'!M$2:M$875,'Base bordo CD'!D$2:D$875,A285,'Base bordo CD'!A$2:A$875,B285,'Base bordo CD'!L$2:L$875,"MAN CORRETIVA*"),0)+IFERROR(SUMIFS('Base bordo CD'!M$2:M$875,'Base bordo CD'!D$2:D$875,A285,'Base bordo CD'!A$2:A$875,B285,'Base bordo CD'!L$2:L$875,"AGUARDANDO MANUTENCAO*"),0)+IFERROR(SUMIFS('Base bordo CD'!M$2:M$875,'Base bordo CD'!D$2:D$875,A285,'Base bordo CD'!A$2:A$875,B285,'Base bordo CD'!L$2:L$875,"TROCA DE FAQUINHA"),0)+IFERROR(SUMIFS('Base bordo CD'!M$2:M$875,'Base bordo CD'!D$2:D$875,A285,'Base bordo CD'!A$2:A$875,B285,'Base bordo CD'!L$2:L$875,"LIMPEZA*"),0)</f>
        <v>0</v>
      </c>
      <c r="L285" s="10">
        <f>IFERROR(SUMIFS('Base bordo CD'!M$2:M$875,'Base bordo CD'!D$2:D$875,A285,'Base bordo CD'!A$2:A$875,B285,'Base bordo CD'!L$2:L$875,"PATIO - RESERVA"),0)</f>
        <v>0</v>
      </c>
      <c r="M285" s="10">
        <f>IFERROR(SUMIFS('Base bordo CD'!M$2:M$875,'Base bordo CD'!D$2:D$875,A285,'Base bordo CD'!A$2:A$875,B285,'Base bordo CD'!L$2:L$875,"SEM APONTAMENTO"),0)</f>
        <v>1.2777777777777779E-2</v>
      </c>
      <c r="N285" s="10">
        <f>IFERROR(SUMIFS('Base bordo CD'!M$2:M$875,'Base bordo CD'!D$2:D$875,A285,'Base bordo CD'!A$2:A$875,B285,'Base bordo CD'!L$2:L$875,"FALTA DE CAMINHÃO"),0)+IFERROR(SUMIFS('Base bordo CD'!M$2:M$875,'Base bordo CD'!D$2:D$875,A285,'Base bordo CD'!A$2:A$875,B285,'Base bordo CD'!L$2:L$875,"FALTA DE COMBUSTIVEL"),0)+IFERROR(SUMIFS('Base bordo CD'!M$2:M$875,'Base bordo CD'!D$2:D$875,A285,'Base bordo CD'!A$2:A$875,B285,'Base bordo CD'!L$2:L$875,"FALTA DE MOTORIST*"),0)</f>
        <v>0</v>
      </c>
      <c r="O285" s="10">
        <f t="shared" si="25"/>
        <v>0.19138888888889127</v>
      </c>
      <c r="P285" s="10">
        <f>IFERROR(SUMIFS('Base bordo CD'!M$2:M$875,'Base bordo CD'!D$2:D$875,A285,'Base bordo CD'!A$2:A$875,B285),0)</f>
        <v>24.000000000000004</v>
      </c>
      <c r="Q285" s="10">
        <f>IFERROR(SUMIFS('Base bordo CD'!O$2:O$875,'Base bordo CD'!D$2:D$875,A285,'Base bordo CD'!A$2:A$875,B285,'Base bordo CD'!L$2:L$875,"CORTE DE CANA MECANIZADO"),0)</f>
        <v>102862.77</v>
      </c>
      <c r="R285" s="10">
        <f>IFERROR(SUMIFS('Base bordo CD'!Q$2:Q$875,'Base bordo CD'!D$2:D$875,A285,'Base bordo CD'!A$2:A$875,B285,'Base bordo CD'!L$2:L$875,"CORTE DE CANA MECANIZADO"),0)</f>
        <v>26193</v>
      </c>
      <c r="S285" s="30">
        <f t="shared" si="26"/>
        <v>3.9271091512999656</v>
      </c>
      <c r="T285" s="9">
        <f t="shared" si="27"/>
        <v>0.30315972222222221</v>
      </c>
      <c r="U285" s="9">
        <f t="shared" si="28"/>
        <v>6.6851851851851843E-2</v>
      </c>
      <c r="V285" s="9">
        <f t="shared" si="29"/>
        <v>0.6881018518518518</v>
      </c>
    </row>
    <row r="286" spans="1:22" x14ac:dyDescent="0.35">
      <c r="A286" s="52">
        <v>49595</v>
      </c>
      <c r="B286" s="31">
        <v>46123</v>
      </c>
      <c r="C286" s="7" t="s">
        <v>337</v>
      </c>
      <c r="D286" s="7">
        <v>353</v>
      </c>
      <c r="E286" s="10">
        <f>IFERROR(SUMIFS('Base bordo CD'!M$2:M$875,'Base bordo CD'!D$2:D$875,A286,'Base bordo CD'!A$2:A$875,B286,'Base bordo CD'!L$2:L$875,"CORTE DE CANA MECANIZADO"),0)</f>
        <v>7.2758333333333338</v>
      </c>
      <c r="F286" s="10">
        <f>IFERROR(SUMIFS('Base bordo CD'!M$2:M$875,'Base bordo CD'!D$2:D$875,A286,'Base bordo CD'!A$2:A$875,B286,'Base bordo CD'!L$2:L$875,"MANOBRA"),0)</f>
        <v>1.6044444444444443</v>
      </c>
      <c r="G286" s="10">
        <f>IFERROR(SUMIFS('Base bordo CD'!M$2:M$875,'Base bordo CD'!D$2:D$875,A286,'Base bordo CD'!A$2:A$875,B286,'Base bordo CD'!L$2:L$875,"DESLOCAMENTO"),0)</f>
        <v>0.20972222222222223</v>
      </c>
      <c r="H286" s="10">
        <f>IFERROR(SUMIFS('Base bordo CD'!M$2:M$875,'Base bordo CD'!D$2:D$875,A286,'Base bordo CD'!A$2:A$875,B286,'Base bordo CD'!L$2:L$875,"AGUARDANDO MANOBRA DE TRANSBORDO"),0)+IFERROR(SUMIFS('Base bordo CD'!M$2:M$875,'Base bordo CD'!D$2:D$875,A286,'Base bordo CD'!A$2:A$875,B286,'Base bordo CD'!L$2:L$875,"FALTA DE TRANSBORDO"),0)</f>
        <v>0</v>
      </c>
      <c r="I286" s="10">
        <f>IFERROR(SUMIFS('Base bordo CD'!M$2:M$875,'Base bordo CD'!D$2:D$875,A286,'Base bordo CD'!A$2:A$875,B286,'Base bordo CD'!L$2:L$875,"PARADA POR CONDICOES CLIMATICAS"),0)+IFERROR(SUMIFS('Base bordo CD'!M$2:M$875,'Base bordo CD'!D$2:D$875,A286,'Base bordo CD'!A$2:A$875,B286,'Base bordo CD'!L$2:L$875,"TEMPO INDETERMINADO"),0)</f>
        <v>14.705833333333334</v>
      </c>
      <c r="J286" s="10">
        <f>IFERROR(SUMIFS('Base bordo CD'!M$2:M$875,'Base bordo CD'!D$2:D$875,A286,'Base bordo CD'!A$2:A$875,B286,'Base bordo CD'!L$2:L$875,"LIMITAÇÃO INDÚSTRIA"),0)</f>
        <v>0</v>
      </c>
      <c r="K286" s="10">
        <f>IFERROR(SUMIFS('Base bordo CD'!M$2:M$875,'Base bordo CD'!D$2:D$875,A286,'Base bordo CD'!A$2:A$875,B286,'Base bordo CD'!L$2:L$875,"MAN CORRETIVA*"),0)+IFERROR(SUMIFS('Base bordo CD'!M$2:M$875,'Base bordo CD'!D$2:D$875,A286,'Base bordo CD'!A$2:A$875,B286,'Base bordo CD'!L$2:L$875,"AGUARDANDO MANUTENCAO*"),0)+IFERROR(SUMIFS('Base bordo CD'!M$2:M$875,'Base bordo CD'!D$2:D$875,A286,'Base bordo CD'!A$2:A$875,B286,'Base bordo CD'!L$2:L$875,"TROCA DE FAQUINHA"),0)+IFERROR(SUMIFS('Base bordo CD'!M$2:M$875,'Base bordo CD'!D$2:D$875,A286,'Base bordo CD'!A$2:A$875,B286,'Base bordo CD'!L$2:L$875,"LIMPEZA*"),0)</f>
        <v>0</v>
      </c>
      <c r="L286" s="10">
        <f>IFERROR(SUMIFS('Base bordo CD'!M$2:M$875,'Base bordo CD'!D$2:D$875,A286,'Base bordo CD'!A$2:A$875,B286,'Base bordo CD'!L$2:L$875,"PATIO - RESERVA"),0)</f>
        <v>0</v>
      </c>
      <c r="M286" s="10">
        <f>IFERROR(SUMIFS('Base bordo CD'!M$2:M$875,'Base bordo CD'!D$2:D$875,A286,'Base bordo CD'!A$2:A$875,B286,'Base bordo CD'!L$2:L$875,"SEM APONTAMENTO"),0)</f>
        <v>1.2777777777777779E-2</v>
      </c>
      <c r="N286" s="10">
        <f>IFERROR(SUMIFS('Base bordo CD'!M$2:M$875,'Base bordo CD'!D$2:D$875,A286,'Base bordo CD'!A$2:A$875,B286,'Base bordo CD'!L$2:L$875,"FALTA DE CAMINHÃO"),0)+IFERROR(SUMIFS('Base bordo CD'!M$2:M$875,'Base bordo CD'!D$2:D$875,A286,'Base bordo CD'!A$2:A$875,B286,'Base bordo CD'!L$2:L$875,"FALTA DE COMBUSTIVEL"),0)+IFERROR(SUMIFS('Base bordo CD'!M$2:M$875,'Base bordo CD'!D$2:D$875,A286,'Base bordo CD'!A$2:A$875,B286,'Base bordo CD'!L$2:L$875,"FALTA DE MOTORIST*"),0)</f>
        <v>0</v>
      </c>
      <c r="O286" s="10">
        <f t="shared" si="25"/>
        <v>0.19138888888889127</v>
      </c>
      <c r="P286" s="10">
        <f>IFERROR(SUMIFS('Base bordo CD'!M$2:M$875,'Base bordo CD'!D$2:D$875,A286,'Base bordo CD'!A$2:A$875,B286),0)</f>
        <v>24.000000000000004</v>
      </c>
      <c r="Q286" s="10">
        <f>IFERROR(SUMIFS('Base bordo CD'!O$2:O$875,'Base bordo CD'!D$2:D$875,A286,'Base bordo CD'!A$2:A$875,B286,'Base bordo CD'!L$2:L$875,"CORTE DE CANA MECANIZADO"),0)</f>
        <v>102862.77</v>
      </c>
      <c r="R286" s="10">
        <f>IFERROR(SUMIFS('Base bordo CD'!Q$2:Q$875,'Base bordo CD'!D$2:D$875,A286,'Base bordo CD'!A$2:A$875,B286,'Base bordo CD'!L$2:L$875,"CORTE DE CANA MECANIZADO"),0)</f>
        <v>26193</v>
      </c>
      <c r="S286" s="30">
        <f t="shared" si="26"/>
        <v>3.9271091512999656</v>
      </c>
      <c r="T286" s="9">
        <f t="shared" si="27"/>
        <v>0.30315972222222221</v>
      </c>
      <c r="U286" s="9">
        <f t="shared" si="28"/>
        <v>6.6851851851851843E-2</v>
      </c>
      <c r="V286" s="9">
        <f t="shared" si="29"/>
        <v>0.6881018518518518</v>
      </c>
    </row>
    <row r="287" spans="1:22" x14ac:dyDescent="0.35">
      <c r="A287" s="52">
        <v>49595</v>
      </c>
      <c r="B287" s="31">
        <v>46123</v>
      </c>
      <c r="C287" s="7" t="s">
        <v>337</v>
      </c>
      <c r="D287" s="7">
        <v>353</v>
      </c>
      <c r="E287" s="10">
        <f>IFERROR(SUMIFS('Base bordo CD'!M$2:M$875,'Base bordo CD'!D$2:D$875,A287,'Base bordo CD'!A$2:A$875,B287,'Base bordo CD'!L$2:L$875,"CORTE DE CANA MECANIZADO"),0)</f>
        <v>7.2758333333333338</v>
      </c>
      <c r="F287" s="10">
        <f>IFERROR(SUMIFS('Base bordo CD'!M$2:M$875,'Base bordo CD'!D$2:D$875,A287,'Base bordo CD'!A$2:A$875,B287,'Base bordo CD'!L$2:L$875,"MANOBRA"),0)</f>
        <v>1.6044444444444443</v>
      </c>
      <c r="G287" s="10">
        <f>IFERROR(SUMIFS('Base bordo CD'!M$2:M$875,'Base bordo CD'!D$2:D$875,A287,'Base bordo CD'!A$2:A$875,B287,'Base bordo CD'!L$2:L$875,"DESLOCAMENTO"),0)</f>
        <v>0.20972222222222223</v>
      </c>
      <c r="H287" s="10">
        <f>IFERROR(SUMIFS('Base bordo CD'!M$2:M$875,'Base bordo CD'!D$2:D$875,A287,'Base bordo CD'!A$2:A$875,B287,'Base bordo CD'!L$2:L$875,"AGUARDANDO MANOBRA DE TRANSBORDO"),0)+IFERROR(SUMIFS('Base bordo CD'!M$2:M$875,'Base bordo CD'!D$2:D$875,A287,'Base bordo CD'!A$2:A$875,B287,'Base bordo CD'!L$2:L$875,"FALTA DE TRANSBORDO"),0)</f>
        <v>0</v>
      </c>
      <c r="I287" s="10">
        <f>IFERROR(SUMIFS('Base bordo CD'!M$2:M$875,'Base bordo CD'!D$2:D$875,A287,'Base bordo CD'!A$2:A$875,B287,'Base bordo CD'!L$2:L$875,"PARADA POR CONDICOES CLIMATICAS"),0)+IFERROR(SUMIFS('Base bordo CD'!M$2:M$875,'Base bordo CD'!D$2:D$875,A287,'Base bordo CD'!A$2:A$875,B287,'Base bordo CD'!L$2:L$875,"TEMPO INDETERMINADO"),0)</f>
        <v>14.705833333333334</v>
      </c>
      <c r="J287" s="10">
        <f>IFERROR(SUMIFS('Base bordo CD'!M$2:M$875,'Base bordo CD'!D$2:D$875,A287,'Base bordo CD'!A$2:A$875,B287,'Base bordo CD'!L$2:L$875,"LIMITAÇÃO INDÚSTRIA"),0)</f>
        <v>0</v>
      </c>
      <c r="K287" s="10">
        <f>IFERROR(SUMIFS('Base bordo CD'!M$2:M$875,'Base bordo CD'!D$2:D$875,A287,'Base bordo CD'!A$2:A$875,B287,'Base bordo CD'!L$2:L$875,"MAN CORRETIVA*"),0)+IFERROR(SUMIFS('Base bordo CD'!M$2:M$875,'Base bordo CD'!D$2:D$875,A287,'Base bordo CD'!A$2:A$875,B287,'Base bordo CD'!L$2:L$875,"AGUARDANDO MANUTENCAO*"),0)+IFERROR(SUMIFS('Base bordo CD'!M$2:M$875,'Base bordo CD'!D$2:D$875,A287,'Base bordo CD'!A$2:A$875,B287,'Base bordo CD'!L$2:L$875,"TROCA DE FAQUINHA"),0)+IFERROR(SUMIFS('Base bordo CD'!M$2:M$875,'Base bordo CD'!D$2:D$875,A287,'Base bordo CD'!A$2:A$875,B287,'Base bordo CD'!L$2:L$875,"LIMPEZA*"),0)</f>
        <v>0</v>
      </c>
      <c r="L287" s="10">
        <f>IFERROR(SUMIFS('Base bordo CD'!M$2:M$875,'Base bordo CD'!D$2:D$875,A287,'Base bordo CD'!A$2:A$875,B287,'Base bordo CD'!L$2:L$875,"PATIO - RESERVA"),0)</f>
        <v>0</v>
      </c>
      <c r="M287" s="10">
        <f>IFERROR(SUMIFS('Base bordo CD'!M$2:M$875,'Base bordo CD'!D$2:D$875,A287,'Base bordo CD'!A$2:A$875,B287,'Base bordo CD'!L$2:L$875,"SEM APONTAMENTO"),0)</f>
        <v>1.2777777777777779E-2</v>
      </c>
      <c r="N287" s="10">
        <f>IFERROR(SUMIFS('Base bordo CD'!M$2:M$875,'Base bordo CD'!D$2:D$875,A287,'Base bordo CD'!A$2:A$875,B287,'Base bordo CD'!L$2:L$875,"FALTA DE CAMINHÃO"),0)+IFERROR(SUMIFS('Base bordo CD'!M$2:M$875,'Base bordo CD'!D$2:D$875,A287,'Base bordo CD'!A$2:A$875,B287,'Base bordo CD'!L$2:L$875,"FALTA DE COMBUSTIVEL"),0)+IFERROR(SUMIFS('Base bordo CD'!M$2:M$875,'Base bordo CD'!D$2:D$875,A287,'Base bordo CD'!A$2:A$875,B287,'Base bordo CD'!L$2:L$875,"FALTA DE MOTORIST*"),0)</f>
        <v>0</v>
      </c>
      <c r="O287" s="10">
        <f t="shared" si="25"/>
        <v>0.19138888888889127</v>
      </c>
      <c r="P287" s="10">
        <f>IFERROR(SUMIFS('Base bordo CD'!M$2:M$875,'Base bordo CD'!D$2:D$875,A287,'Base bordo CD'!A$2:A$875,B287),0)</f>
        <v>24.000000000000004</v>
      </c>
      <c r="Q287" s="10">
        <f>IFERROR(SUMIFS('Base bordo CD'!O$2:O$875,'Base bordo CD'!D$2:D$875,A287,'Base bordo CD'!A$2:A$875,B287,'Base bordo CD'!L$2:L$875,"CORTE DE CANA MECANIZADO"),0)</f>
        <v>102862.77</v>
      </c>
      <c r="R287" s="10">
        <f>IFERROR(SUMIFS('Base bordo CD'!Q$2:Q$875,'Base bordo CD'!D$2:D$875,A287,'Base bordo CD'!A$2:A$875,B287,'Base bordo CD'!L$2:L$875,"CORTE DE CANA MECANIZADO"),0)</f>
        <v>26193</v>
      </c>
      <c r="S287" s="30">
        <f t="shared" si="26"/>
        <v>3.9271091512999656</v>
      </c>
      <c r="T287" s="9">
        <f t="shared" si="27"/>
        <v>0.30315972222222221</v>
      </c>
      <c r="U287" s="9">
        <f t="shared" si="28"/>
        <v>6.6851851851851843E-2</v>
      </c>
      <c r="V287" s="9">
        <f t="shared" si="29"/>
        <v>0.6881018518518518</v>
      </c>
    </row>
    <row r="288" spans="1:22" x14ac:dyDescent="0.35">
      <c r="A288" s="52">
        <v>49595</v>
      </c>
      <c r="B288" s="31">
        <v>46123</v>
      </c>
      <c r="C288" s="7" t="s">
        <v>337</v>
      </c>
      <c r="D288" s="7">
        <v>353</v>
      </c>
      <c r="E288" s="10">
        <f>IFERROR(SUMIFS('Base bordo CD'!M$2:M$875,'Base bordo CD'!D$2:D$875,A288,'Base bordo CD'!A$2:A$875,B288,'Base bordo CD'!L$2:L$875,"CORTE DE CANA MECANIZADO"),0)</f>
        <v>7.2758333333333338</v>
      </c>
      <c r="F288" s="10">
        <f>IFERROR(SUMIFS('Base bordo CD'!M$2:M$875,'Base bordo CD'!D$2:D$875,A288,'Base bordo CD'!A$2:A$875,B288,'Base bordo CD'!L$2:L$875,"MANOBRA"),0)</f>
        <v>1.6044444444444443</v>
      </c>
      <c r="G288" s="10">
        <f>IFERROR(SUMIFS('Base bordo CD'!M$2:M$875,'Base bordo CD'!D$2:D$875,A288,'Base bordo CD'!A$2:A$875,B288,'Base bordo CD'!L$2:L$875,"DESLOCAMENTO"),0)</f>
        <v>0.20972222222222223</v>
      </c>
      <c r="H288" s="10">
        <f>IFERROR(SUMIFS('Base bordo CD'!M$2:M$875,'Base bordo CD'!D$2:D$875,A288,'Base bordo CD'!A$2:A$875,B288,'Base bordo CD'!L$2:L$875,"AGUARDANDO MANOBRA DE TRANSBORDO"),0)+IFERROR(SUMIFS('Base bordo CD'!M$2:M$875,'Base bordo CD'!D$2:D$875,A288,'Base bordo CD'!A$2:A$875,B288,'Base bordo CD'!L$2:L$875,"FALTA DE TRANSBORDO"),0)</f>
        <v>0</v>
      </c>
      <c r="I288" s="10">
        <f>IFERROR(SUMIFS('Base bordo CD'!M$2:M$875,'Base bordo CD'!D$2:D$875,A288,'Base bordo CD'!A$2:A$875,B288,'Base bordo CD'!L$2:L$875,"PARADA POR CONDICOES CLIMATICAS"),0)+IFERROR(SUMIFS('Base bordo CD'!M$2:M$875,'Base bordo CD'!D$2:D$875,A288,'Base bordo CD'!A$2:A$875,B288,'Base bordo CD'!L$2:L$875,"TEMPO INDETERMINADO"),0)</f>
        <v>14.705833333333334</v>
      </c>
      <c r="J288" s="10">
        <f>IFERROR(SUMIFS('Base bordo CD'!M$2:M$875,'Base bordo CD'!D$2:D$875,A288,'Base bordo CD'!A$2:A$875,B288,'Base bordo CD'!L$2:L$875,"LIMITAÇÃO INDÚSTRIA"),0)</f>
        <v>0</v>
      </c>
      <c r="K288" s="10">
        <f>IFERROR(SUMIFS('Base bordo CD'!M$2:M$875,'Base bordo CD'!D$2:D$875,A288,'Base bordo CD'!A$2:A$875,B288,'Base bordo CD'!L$2:L$875,"MAN CORRETIVA*"),0)+IFERROR(SUMIFS('Base bordo CD'!M$2:M$875,'Base bordo CD'!D$2:D$875,A288,'Base bordo CD'!A$2:A$875,B288,'Base bordo CD'!L$2:L$875,"AGUARDANDO MANUTENCAO*"),0)+IFERROR(SUMIFS('Base bordo CD'!M$2:M$875,'Base bordo CD'!D$2:D$875,A288,'Base bordo CD'!A$2:A$875,B288,'Base bordo CD'!L$2:L$875,"TROCA DE FAQUINHA"),0)+IFERROR(SUMIFS('Base bordo CD'!M$2:M$875,'Base bordo CD'!D$2:D$875,A288,'Base bordo CD'!A$2:A$875,B288,'Base bordo CD'!L$2:L$875,"LIMPEZA*"),0)</f>
        <v>0</v>
      </c>
      <c r="L288" s="10">
        <f>IFERROR(SUMIFS('Base bordo CD'!M$2:M$875,'Base bordo CD'!D$2:D$875,A288,'Base bordo CD'!A$2:A$875,B288,'Base bordo CD'!L$2:L$875,"PATIO - RESERVA"),0)</f>
        <v>0</v>
      </c>
      <c r="M288" s="10">
        <f>IFERROR(SUMIFS('Base bordo CD'!M$2:M$875,'Base bordo CD'!D$2:D$875,A288,'Base bordo CD'!A$2:A$875,B288,'Base bordo CD'!L$2:L$875,"SEM APONTAMENTO"),0)</f>
        <v>1.2777777777777779E-2</v>
      </c>
      <c r="N288" s="10">
        <f>IFERROR(SUMIFS('Base bordo CD'!M$2:M$875,'Base bordo CD'!D$2:D$875,A288,'Base bordo CD'!A$2:A$875,B288,'Base bordo CD'!L$2:L$875,"FALTA DE CAMINHÃO"),0)+IFERROR(SUMIFS('Base bordo CD'!M$2:M$875,'Base bordo CD'!D$2:D$875,A288,'Base bordo CD'!A$2:A$875,B288,'Base bordo CD'!L$2:L$875,"FALTA DE COMBUSTIVEL"),0)+IFERROR(SUMIFS('Base bordo CD'!M$2:M$875,'Base bordo CD'!D$2:D$875,A288,'Base bordo CD'!A$2:A$875,B288,'Base bordo CD'!L$2:L$875,"FALTA DE MOTORIST*"),0)</f>
        <v>0</v>
      </c>
      <c r="O288" s="10">
        <f t="shared" si="25"/>
        <v>0.19138888888889127</v>
      </c>
      <c r="P288" s="10">
        <f>IFERROR(SUMIFS('Base bordo CD'!M$2:M$875,'Base bordo CD'!D$2:D$875,A288,'Base bordo CD'!A$2:A$875,B288),0)</f>
        <v>24.000000000000004</v>
      </c>
      <c r="Q288" s="10">
        <f>IFERROR(SUMIFS('Base bordo CD'!O$2:O$875,'Base bordo CD'!D$2:D$875,A288,'Base bordo CD'!A$2:A$875,B288,'Base bordo CD'!L$2:L$875,"CORTE DE CANA MECANIZADO"),0)</f>
        <v>102862.77</v>
      </c>
      <c r="R288" s="10">
        <f>IFERROR(SUMIFS('Base bordo CD'!Q$2:Q$875,'Base bordo CD'!D$2:D$875,A288,'Base bordo CD'!A$2:A$875,B288,'Base bordo CD'!L$2:L$875,"CORTE DE CANA MECANIZADO"),0)</f>
        <v>26193</v>
      </c>
      <c r="S288" s="30">
        <f t="shared" si="26"/>
        <v>3.9271091512999656</v>
      </c>
      <c r="T288" s="9">
        <f t="shared" si="27"/>
        <v>0.30315972222222221</v>
      </c>
      <c r="U288" s="9">
        <f t="shared" si="28"/>
        <v>6.6851851851851843E-2</v>
      </c>
      <c r="V288" s="9">
        <f t="shared" si="29"/>
        <v>0.6881018518518518</v>
      </c>
    </row>
    <row r="289" spans="1:22" x14ac:dyDescent="0.35">
      <c r="A289" s="52">
        <v>49595</v>
      </c>
      <c r="B289" s="31">
        <v>46123</v>
      </c>
      <c r="C289" s="7" t="s">
        <v>337</v>
      </c>
      <c r="D289" s="7">
        <v>353</v>
      </c>
      <c r="E289" s="10">
        <f>IFERROR(SUMIFS('Base bordo CD'!M$2:M$875,'Base bordo CD'!D$2:D$875,A289,'Base bordo CD'!A$2:A$875,B289,'Base bordo CD'!L$2:L$875,"CORTE DE CANA MECANIZADO"),0)</f>
        <v>7.2758333333333338</v>
      </c>
      <c r="F289" s="10">
        <f>IFERROR(SUMIFS('Base bordo CD'!M$2:M$875,'Base bordo CD'!D$2:D$875,A289,'Base bordo CD'!A$2:A$875,B289,'Base bordo CD'!L$2:L$875,"MANOBRA"),0)</f>
        <v>1.6044444444444443</v>
      </c>
      <c r="G289" s="10">
        <f>IFERROR(SUMIFS('Base bordo CD'!M$2:M$875,'Base bordo CD'!D$2:D$875,A289,'Base bordo CD'!A$2:A$875,B289,'Base bordo CD'!L$2:L$875,"DESLOCAMENTO"),0)</f>
        <v>0.20972222222222223</v>
      </c>
      <c r="H289" s="10">
        <f>IFERROR(SUMIFS('Base bordo CD'!M$2:M$875,'Base bordo CD'!D$2:D$875,A289,'Base bordo CD'!A$2:A$875,B289,'Base bordo CD'!L$2:L$875,"AGUARDANDO MANOBRA DE TRANSBORDO"),0)+IFERROR(SUMIFS('Base bordo CD'!M$2:M$875,'Base bordo CD'!D$2:D$875,A289,'Base bordo CD'!A$2:A$875,B289,'Base bordo CD'!L$2:L$875,"FALTA DE TRANSBORDO"),0)</f>
        <v>0</v>
      </c>
      <c r="I289" s="10">
        <f>IFERROR(SUMIFS('Base bordo CD'!M$2:M$875,'Base bordo CD'!D$2:D$875,A289,'Base bordo CD'!A$2:A$875,B289,'Base bordo CD'!L$2:L$875,"PARADA POR CONDICOES CLIMATICAS"),0)+IFERROR(SUMIFS('Base bordo CD'!M$2:M$875,'Base bordo CD'!D$2:D$875,A289,'Base bordo CD'!A$2:A$875,B289,'Base bordo CD'!L$2:L$875,"TEMPO INDETERMINADO"),0)</f>
        <v>14.705833333333334</v>
      </c>
      <c r="J289" s="10">
        <f>IFERROR(SUMIFS('Base bordo CD'!M$2:M$875,'Base bordo CD'!D$2:D$875,A289,'Base bordo CD'!A$2:A$875,B289,'Base bordo CD'!L$2:L$875,"LIMITAÇÃO INDÚSTRIA"),0)</f>
        <v>0</v>
      </c>
      <c r="K289" s="10">
        <f>IFERROR(SUMIFS('Base bordo CD'!M$2:M$875,'Base bordo CD'!D$2:D$875,A289,'Base bordo CD'!A$2:A$875,B289,'Base bordo CD'!L$2:L$875,"MAN CORRETIVA*"),0)+IFERROR(SUMIFS('Base bordo CD'!M$2:M$875,'Base bordo CD'!D$2:D$875,A289,'Base bordo CD'!A$2:A$875,B289,'Base bordo CD'!L$2:L$875,"AGUARDANDO MANUTENCAO*"),0)+IFERROR(SUMIFS('Base bordo CD'!M$2:M$875,'Base bordo CD'!D$2:D$875,A289,'Base bordo CD'!A$2:A$875,B289,'Base bordo CD'!L$2:L$875,"TROCA DE FAQUINHA"),0)+IFERROR(SUMIFS('Base bordo CD'!M$2:M$875,'Base bordo CD'!D$2:D$875,A289,'Base bordo CD'!A$2:A$875,B289,'Base bordo CD'!L$2:L$875,"LIMPEZA*"),0)</f>
        <v>0</v>
      </c>
      <c r="L289" s="10">
        <f>IFERROR(SUMIFS('Base bordo CD'!M$2:M$875,'Base bordo CD'!D$2:D$875,A289,'Base bordo CD'!A$2:A$875,B289,'Base bordo CD'!L$2:L$875,"PATIO - RESERVA"),0)</f>
        <v>0</v>
      </c>
      <c r="M289" s="10">
        <f>IFERROR(SUMIFS('Base bordo CD'!M$2:M$875,'Base bordo CD'!D$2:D$875,A289,'Base bordo CD'!A$2:A$875,B289,'Base bordo CD'!L$2:L$875,"SEM APONTAMENTO"),0)</f>
        <v>1.2777777777777779E-2</v>
      </c>
      <c r="N289" s="10">
        <f>IFERROR(SUMIFS('Base bordo CD'!M$2:M$875,'Base bordo CD'!D$2:D$875,A289,'Base bordo CD'!A$2:A$875,B289,'Base bordo CD'!L$2:L$875,"FALTA DE CAMINHÃO"),0)+IFERROR(SUMIFS('Base bordo CD'!M$2:M$875,'Base bordo CD'!D$2:D$875,A289,'Base bordo CD'!A$2:A$875,B289,'Base bordo CD'!L$2:L$875,"FALTA DE COMBUSTIVEL"),0)+IFERROR(SUMIFS('Base bordo CD'!M$2:M$875,'Base bordo CD'!D$2:D$875,A289,'Base bordo CD'!A$2:A$875,B289,'Base bordo CD'!L$2:L$875,"FALTA DE MOTORIST*"),0)</f>
        <v>0</v>
      </c>
      <c r="O289" s="10">
        <f t="shared" si="25"/>
        <v>0.19138888888889127</v>
      </c>
      <c r="P289" s="10">
        <f>IFERROR(SUMIFS('Base bordo CD'!M$2:M$875,'Base bordo CD'!D$2:D$875,A289,'Base bordo CD'!A$2:A$875,B289),0)</f>
        <v>24.000000000000004</v>
      </c>
      <c r="Q289" s="10">
        <f>IFERROR(SUMIFS('Base bordo CD'!O$2:O$875,'Base bordo CD'!D$2:D$875,A289,'Base bordo CD'!A$2:A$875,B289,'Base bordo CD'!L$2:L$875,"CORTE DE CANA MECANIZADO"),0)</f>
        <v>102862.77</v>
      </c>
      <c r="R289" s="10">
        <f>IFERROR(SUMIFS('Base bordo CD'!Q$2:Q$875,'Base bordo CD'!D$2:D$875,A289,'Base bordo CD'!A$2:A$875,B289,'Base bordo CD'!L$2:L$875,"CORTE DE CANA MECANIZADO"),0)</f>
        <v>26193</v>
      </c>
      <c r="S289" s="30">
        <f t="shared" si="26"/>
        <v>3.9271091512999656</v>
      </c>
      <c r="T289" s="9">
        <f t="shared" si="27"/>
        <v>0.30315972222222221</v>
      </c>
      <c r="U289" s="9">
        <f t="shared" si="28"/>
        <v>6.6851851851851843E-2</v>
      </c>
      <c r="V289" s="9">
        <f t="shared" si="29"/>
        <v>0.6881018518518518</v>
      </c>
    </row>
    <row r="290" spans="1:22" x14ac:dyDescent="0.35">
      <c r="A290" s="52">
        <v>49596</v>
      </c>
      <c r="B290" s="31">
        <v>46123</v>
      </c>
      <c r="C290" s="7" t="s">
        <v>337</v>
      </c>
      <c r="D290" s="7">
        <v>353</v>
      </c>
      <c r="E290" s="10">
        <f>IFERROR(SUMIFS('Base bordo CD'!M$2:M$875,'Base bordo CD'!D$2:D$875,A290,'Base bordo CD'!A$2:A$875,B290,'Base bordo CD'!L$2:L$875,"CORTE DE CANA MECANIZADO"),0)</f>
        <v>7.4377777777777769</v>
      </c>
      <c r="F290" s="10">
        <f>IFERROR(SUMIFS('Base bordo CD'!M$2:M$875,'Base bordo CD'!D$2:D$875,A290,'Base bordo CD'!A$2:A$875,B290,'Base bordo CD'!L$2:L$875,"MANOBRA"),0)</f>
        <v>1.3852777777777778</v>
      </c>
      <c r="G290" s="10">
        <f>IFERROR(SUMIFS('Base bordo CD'!M$2:M$875,'Base bordo CD'!D$2:D$875,A290,'Base bordo CD'!A$2:A$875,B290,'Base bordo CD'!L$2:L$875,"DESLOCAMENTO"),0)</f>
        <v>0.45166666666666672</v>
      </c>
      <c r="H290" s="10">
        <f>IFERROR(SUMIFS('Base bordo CD'!M$2:M$875,'Base bordo CD'!D$2:D$875,A290,'Base bordo CD'!A$2:A$875,B290,'Base bordo CD'!L$2:L$875,"AGUARDANDO MANOBRA DE TRANSBORDO"),0)+IFERROR(SUMIFS('Base bordo CD'!M$2:M$875,'Base bordo CD'!D$2:D$875,A290,'Base bordo CD'!A$2:A$875,B290,'Base bordo CD'!L$2:L$875,"FALTA DE TRANSBORDO"),0)</f>
        <v>0.62361111111111112</v>
      </c>
      <c r="I290" s="10">
        <f>IFERROR(SUMIFS('Base bordo CD'!M$2:M$875,'Base bordo CD'!D$2:D$875,A290,'Base bordo CD'!A$2:A$875,B290,'Base bordo CD'!L$2:L$875,"PARADA POR CONDICOES CLIMATICAS"),0)+IFERROR(SUMIFS('Base bordo CD'!M$2:M$875,'Base bordo CD'!D$2:D$875,A290,'Base bordo CD'!A$2:A$875,B290,'Base bordo CD'!L$2:L$875,"TEMPO INDETERMINADO"),0)</f>
        <v>14.053611111111111</v>
      </c>
      <c r="J290" s="10">
        <f>IFERROR(SUMIFS('Base bordo CD'!M$2:M$875,'Base bordo CD'!D$2:D$875,A290,'Base bordo CD'!A$2:A$875,B290,'Base bordo CD'!L$2:L$875,"LIMITAÇÃO INDÚSTRIA"),0)</f>
        <v>0</v>
      </c>
      <c r="K290" s="10">
        <f>IFERROR(SUMIFS('Base bordo CD'!M$2:M$875,'Base bordo CD'!D$2:D$875,A290,'Base bordo CD'!A$2:A$875,B290,'Base bordo CD'!L$2:L$875,"MAN CORRETIVA*"),0)+IFERROR(SUMIFS('Base bordo CD'!M$2:M$875,'Base bordo CD'!D$2:D$875,A290,'Base bordo CD'!A$2:A$875,B290,'Base bordo CD'!L$2:L$875,"AGUARDANDO MANUTENCAO*"),0)+IFERROR(SUMIFS('Base bordo CD'!M$2:M$875,'Base bordo CD'!D$2:D$875,A290,'Base bordo CD'!A$2:A$875,B290,'Base bordo CD'!L$2:L$875,"TROCA DE FAQUINHA"),0)+IFERROR(SUMIFS('Base bordo CD'!M$2:M$875,'Base bordo CD'!D$2:D$875,A290,'Base bordo CD'!A$2:A$875,B290,'Base bordo CD'!L$2:L$875,"LIMPEZA*"),0)</f>
        <v>0</v>
      </c>
      <c r="L290" s="10">
        <f>IFERROR(SUMIFS('Base bordo CD'!M$2:M$875,'Base bordo CD'!D$2:D$875,A290,'Base bordo CD'!A$2:A$875,B290,'Base bordo CD'!L$2:L$875,"PATIO - RESERVA"),0)</f>
        <v>0</v>
      </c>
      <c r="M290" s="10">
        <f>IFERROR(SUMIFS('Base bordo CD'!M$2:M$875,'Base bordo CD'!D$2:D$875,A290,'Base bordo CD'!A$2:A$875,B290,'Base bordo CD'!L$2:L$875,"SEM APONTAMENTO"),0)</f>
        <v>0</v>
      </c>
      <c r="N290" s="10">
        <f>IFERROR(SUMIFS('Base bordo CD'!M$2:M$875,'Base bordo CD'!D$2:D$875,A290,'Base bordo CD'!A$2:A$875,B290,'Base bordo CD'!L$2:L$875,"FALTA DE CAMINHÃO"),0)+IFERROR(SUMIFS('Base bordo CD'!M$2:M$875,'Base bordo CD'!D$2:D$875,A290,'Base bordo CD'!A$2:A$875,B290,'Base bordo CD'!L$2:L$875,"FALTA DE COMBUSTIVEL"),0)+IFERROR(SUMIFS('Base bordo CD'!M$2:M$875,'Base bordo CD'!D$2:D$875,A290,'Base bordo CD'!A$2:A$875,B290,'Base bordo CD'!L$2:L$875,"FALTA DE MOTORIST*"),0)</f>
        <v>0</v>
      </c>
      <c r="O290" s="10">
        <f t="shared" si="25"/>
        <v>4.8055555555553298E-2</v>
      </c>
      <c r="P290" s="10">
        <f>IFERROR(SUMIFS('Base bordo CD'!M$2:M$875,'Base bordo CD'!D$2:D$875,A290,'Base bordo CD'!A$2:A$875,B290),0)</f>
        <v>23.999999999999996</v>
      </c>
      <c r="Q290" s="10">
        <f>IFERROR(SUMIFS('Base bordo CD'!O$2:O$875,'Base bordo CD'!D$2:D$875,A290,'Base bordo CD'!A$2:A$875,B290,'Base bordo CD'!L$2:L$875,"CORTE DE CANA MECANIZADO"),0)</f>
        <v>118424.45000000001</v>
      </c>
      <c r="R290" s="10">
        <f>IFERROR(SUMIFS('Base bordo CD'!Q$2:Q$875,'Base bordo CD'!D$2:D$875,A290,'Base bordo CD'!A$2:A$875,B290,'Base bordo CD'!L$2:L$875,"CORTE DE CANA MECANIZADO"),0)</f>
        <v>26776</v>
      </c>
      <c r="S290" s="30">
        <f t="shared" si="26"/>
        <v>4.42278346280251</v>
      </c>
      <c r="T290" s="9">
        <f t="shared" si="27"/>
        <v>0.30990740740740741</v>
      </c>
      <c r="U290" s="9">
        <f t="shared" si="28"/>
        <v>5.7719907407407421E-2</v>
      </c>
      <c r="V290" s="9">
        <f t="shared" si="29"/>
        <v>0.67127314814814809</v>
      </c>
    </row>
    <row r="291" spans="1:22" x14ac:dyDescent="0.35">
      <c r="A291" s="52">
        <v>49596</v>
      </c>
      <c r="B291" s="31">
        <v>46123</v>
      </c>
      <c r="C291" s="7" t="s">
        <v>337</v>
      </c>
      <c r="D291" s="7">
        <v>353</v>
      </c>
      <c r="E291" s="10">
        <f>IFERROR(SUMIFS('Base bordo CD'!M$2:M$875,'Base bordo CD'!D$2:D$875,A291,'Base bordo CD'!A$2:A$875,B291,'Base bordo CD'!L$2:L$875,"CORTE DE CANA MECANIZADO"),0)</f>
        <v>7.4377777777777769</v>
      </c>
      <c r="F291" s="10">
        <f>IFERROR(SUMIFS('Base bordo CD'!M$2:M$875,'Base bordo CD'!D$2:D$875,A291,'Base bordo CD'!A$2:A$875,B291,'Base bordo CD'!L$2:L$875,"MANOBRA"),0)</f>
        <v>1.3852777777777778</v>
      </c>
      <c r="G291" s="10">
        <f>IFERROR(SUMIFS('Base bordo CD'!M$2:M$875,'Base bordo CD'!D$2:D$875,A291,'Base bordo CD'!A$2:A$875,B291,'Base bordo CD'!L$2:L$875,"DESLOCAMENTO"),0)</f>
        <v>0.45166666666666672</v>
      </c>
      <c r="H291" s="10">
        <f>IFERROR(SUMIFS('Base bordo CD'!M$2:M$875,'Base bordo CD'!D$2:D$875,A291,'Base bordo CD'!A$2:A$875,B291,'Base bordo CD'!L$2:L$875,"AGUARDANDO MANOBRA DE TRANSBORDO"),0)+IFERROR(SUMIFS('Base bordo CD'!M$2:M$875,'Base bordo CD'!D$2:D$875,A291,'Base bordo CD'!A$2:A$875,B291,'Base bordo CD'!L$2:L$875,"FALTA DE TRANSBORDO"),0)</f>
        <v>0.62361111111111112</v>
      </c>
      <c r="I291" s="10">
        <f>IFERROR(SUMIFS('Base bordo CD'!M$2:M$875,'Base bordo CD'!D$2:D$875,A291,'Base bordo CD'!A$2:A$875,B291,'Base bordo CD'!L$2:L$875,"PARADA POR CONDICOES CLIMATICAS"),0)+IFERROR(SUMIFS('Base bordo CD'!M$2:M$875,'Base bordo CD'!D$2:D$875,A291,'Base bordo CD'!A$2:A$875,B291,'Base bordo CD'!L$2:L$875,"TEMPO INDETERMINADO"),0)</f>
        <v>14.053611111111111</v>
      </c>
      <c r="J291" s="10">
        <f>IFERROR(SUMIFS('Base bordo CD'!M$2:M$875,'Base bordo CD'!D$2:D$875,A291,'Base bordo CD'!A$2:A$875,B291,'Base bordo CD'!L$2:L$875,"LIMITAÇÃO INDÚSTRIA"),0)</f>
        <v>0</v>
      </c>
      <c r="K291" s="10">
        <f>IFERROR(SUMIFS('Base bordo CD'!M$2:M$875,'Base bordo CD'!D$2:D$875,A291,'Base bordo CD'!A$2:A$875,B291,'Base bordo CD'!L$2:L$875,"MAN CORRETIVA*"),0)+IFERROR(SUMIFS('Base bordo CD'!M$2:M$875,'Base bordo CD'!D$2:D$875,A291,'Base bordo CD'!A$2:A$875,B291,'Base bordo CD'!L$2:L$875,"AGUARDANDO MANUTENCAO*"),0)+IFERROR(SUMIFS('Base bordo CD'!M$2:M$875,'Base bordo CD'!D$2:D$875,A291,'Base bordo CD'!A$2:A$875,B291,'Base bordo CD'!L$2:L$875,"TROCA DE FAQUINHA"),0)+IFERROR(SUMIFS('Base bordo CD'!M$2:M$875,'Base bordo CD'!D$2:D$875,A291,'Base bordo CD'!A$2:A$875,B291,'Base bordo CD'!L$2:L$875,"LIMPEZA*"),0)</f>
        <v>0</v>
      </c>
      <c r="L291" s="10">
        <f>IFERROR(SUMIFS('Base bordo CD'!M$2:M$875,'Base bordo CD'!D$2:D$875,A291,'Base bordo CD'!A$2:A$875,B291,'Base bordo CD'!L$2:L$875,"PATIO - RESERVA"),0)</f>
        <v>0</v>
      </c>
      <c r="M291" s="10">
        <f>IFERROR(SUMIFS('Base bordo CD'!M$2:M$875,'Base bordo CD'!D$2:D$875,A291,'Base bordo CD'!A$2:A$875,B291,'Base bordo CD'!L$2:L$875,"SEM APONTAMENTO"),0)</f>
        <v>0</v>
      </c>
      <c r="N291" s="10">
        <f>IFERROR(SUMIFS('Base bordo CD'!M$2:M$875,'Base bordo CD'!D$2:D$875,A291,'Base bordo CD'!A$2:A$875,B291,'Base bordo CD'!L$2:L$875,"FALTA DE CAMINHÃO"),0)+IFERROR(SUMIFS('Base bordo CD'!M$2:M$875,'Base bordo CD'!D$2:D$875,A291,'Base bordo CD'!A$2:A$875,B291,'Base bordo CD'!L$2:L$875,"FALTA DE COMBUSTIVEL"),0)+IFERROR(SUMIFS('Base bordo CD'!M$2:M$875,'Base bordo CD'!D$2:D$875,A291,'Base bordo CD'!A$2:A$875,B291,'Base bordo CD'!L$2:L$875,"FALTA DE MOTORIST*"),0)</f>
        <v>0</v>
      </c>
      <c r="O291" s="10">
        <f t="shared" si="25"/>
        <v>4.8055555555553298E-2</v>
      </c>
      <c r="P291" s="10">
        <f>IFERROR(SUMIFS('Base bordo CD'!M$2:M$875,'Base bordo CD'!D$2:D$875,A291,'Base bordo CD'!A$2:A$875,B291),0)</f>
        <v>23.999999999999996</v>
      </c>
      <c r="Q291" s="10">
        <f>IFERROR(SUMIFS('Base bordo CD'!O$2:O$875,'Base bordo CD'!D$2:D$875,A291,'Base bordo CD'!A$2:A$875,B291,'Base bordo CD'!L$2:L$875,"CORTE DE CANA MECANIZADO"),0)</f>
        <v>118424.45000000001</v>
      </c>
      <c r="R291" s="10">
        <f>IFERROR(SUMIFS('Base bordo CD'!Q$2:Q$875,'Base bordo CD'!D$2:D$875,A291,'Base bordo CD'!A$2:A$875,B291,'Base bordo CD'!L$2:L$875,"CORTE DE CANA MECANIZADO"),0)</f>
        <v>26776</v>
      </c>
      <c r="S291" s="30">
        <f t="shared" si="26"/>
        <v>4.42278346280251</v>
      </c>
      <c r="T291" s="9">
        <f t="shared" si="27"/>
        <v>0.30990740740740741</v>
      </c>
      <c r="U291" s="9">
        <f t="shared" si="28"/>
        <v>5.7719907407407421E-2</v>
      </c>
      <c r="V291" s="9">
        <f t="shared" si="29"/>
        <v>0.67127314814814809</v>
      </c>
    </row>
    <row r="292" spans="1:22" x14ac:dyDescent="0.35">
      <c r="A292" s="52">
        <v>49596</v>
      </c>
      <c r="B292" s="31">
        <v>46123</v>
      </c>
      <c r="C292" s="7" t="s">
        <v>337</v>
      </c>
      <c r="D292" s="7">
        <v>353</v>
      </c>
      <c r="E292" s="10">
        <f>IFERROR(SUMIFS('Base bordo CD'!M$2:M$875,'Base bordo CD'!D$2:D$875,A292,'Base bordo CD'!A$2:A$875,B292,'Base bordo CD'!L$2:L$875,"CORTE DE CANA MECANIZADO"),0)</f>
        <v>7.4377777777777769</v>
      </c>
      <c r="F292" s="10">
        <f>IFERROR(SUMIFS('Base bordo CD'!M$2:M$875,'Base bordo CD'!D$2:D$875,A292,'Base bordo CD'!A$2:A$875,B292,'Base bordo CD'!L$2:L$875,"MANOBRA"),0)</f>
        <v>1.3852777777777778</v>
      </c>
      <c r="G292" s="10">
        <f>IFERROR(SUMIFS('Base bordo CD'!M$2:M$875,'Base bordo CD'!D$2:D$875,A292,'Base bordo CD'!A$2:A$875,B292,'Base bordo CD'!L$2:L$875,"DESLOCAMENTO"),0)</f>
        <v>0.45166666666666672</v>
      </c>
      <c r="H292" s="10">
        <f>IFERROR(SUMIFS('Base bordo CD'!M$2:M$875,'Base bordo CD'!D$2:D$875,A292,'Base bordo CD'!A$2:A$875,B292,'Base bordo CD'!L$2:L$875,"AGUARDANDO MANOBRA DE TRANSBORDO"),0)+IFERROR(SUMIFS('Base bordo CD'!M$2:M$875,'Base bordo CD'!D$2:D$875,A292,'Base bordo CD'!A$2:A$875,B292,'Base bordo CD'!L$2:L$875,"FALTA DE TRANSBORDO"),0)</f>
        <v>0.62361111111111112</v>
      </c>
      <c r="I292" s="10">
        <f>IFERROR(SUMIFS('Base bordo CD'!M$2:M$875,'Base bordo CD'!D$2:D$875,A292,'Base bordo CD'!A$2:A$875,B292,'Base bordo CD'!L$2:L$875,"PARADA POR CONDICOES CLIMATICAS"),0)+IFERROR(SUMIFS('Base bordo CD'!M$2:M$875,'Base bordo CD'!D$2:D$875,A292,'Base bordo CD'!A$2:A$875,B292,'Base bordo CD'!L$2:L$875,"TEMPO INDETERMINADO"),0)</f>
        <v>14.053611111111111</v>
      </c>
      <c r="J292" s="10">
        <f>IFERROR(SUMIFS('Base bordo CD'!M$2:M$875,'Base bordo CD'!D$2:D$875,A292,'Base bordo CD'!A$2:A$875,B292,'Base bordo CD'!L$2:L$875,"LIMITAÇÃO INDÚSTRIA"),0)</f>
        <v>0</v>
      </c>
      <c r="K292" s="10">
        <f>IFERROR(SUMIFS('Base bordo CD'!M$2:M$875,'Base bordo CD'!D$2:D$875,A292,'Base bordo CD'!A$2:A$875,B292,'Base bordo CD'!L$2:L$875,"MAN CORRETIVA*"),0)+IFERROR(SUMIFS('Base bordo CD'!M$2:M$875,'Base bordo CD'!D$2:D$875,A292,'Base bordo CD'!A$2:A$875,B292,'Base bordo CD'!L$2:L$875,"AGUARDANDO MANUTENCAO*"),0)+IFERROR(SUMIFS('Base bordo CD'!M$2:M$875,'Base bordo CD'!D$2:D$875,A292,'Base bordo CD'!A$2:A$875,B292,'Base bordo CD'!L$2:L$875,"TROCA DE FAQUINHA"),0)+IFERROR(SUMIFS('Base bordo CD'!M$2:M$875,'Base bordo CD'!D$2:D$875,A292,'Base bordo CD'!A$2:A$875,B292,'Base bordo CD'!L$2:L$875,"LIMPEZA*"),0)</f>
        <v>0</v>
      </c>
      <c r="L292" s="10">
        <f>IFERROR(SUMIFS('Base bordo CD'!M$2:M$875,'Base bordo CD'!D$2:D$875,A292,'Base bordo CD'!A$2:A$875,B292,'Base bordo CD'!L$2:L$875,"PATIO - RESERVA"),0)</f>
        <v>0</v>
      </c>
      <c r="M292" s="10">
        <f>IFERROR(SUMIFS('Base bordo CD'!M$2:M$875,'Base bordo CD'!D$2:D$875,A292,'Base bordo CD'!A$2:A$875,B292,'Base bordo CD'!L$2:L$875,"SEM APONTAMENTO"),0)</f>
        <v>0</v>
      </c>
      <c r="N292" s="10">
        <f>IFERROR(SUMIFS('Base bordo CD'!M$2:M$875,'Base bordo CD'!D$2:D$875,A292,'Base bordo CD'!A$2:A$875,B292,'Base bordo CD'!L$2:L$875,"FALTA DE CAMINHÃO"),0)+IFERROR(SUMIFS('Base bordo CD'!M$2:M$875,'Base bordo CD'!D$2:D$875,A292,'Base bordo CD'!A$2:A$875,B292,'Base bordo CD'!L$2:L$875,"FALTA DE COMBUSTIVEL"),0)+IFERROR(SUMIFS('Base bordo CD'!M$2:M$875,'Base bordo CD'!D$2:D$875,A292,'Base bordo CD'!A$2:A$875,B292,'Base bordo CD'!L$2:L$875,"FALTA DE MOTORIST*"),0)</f>
        <v>0</v>
      </c>
      <c r="O292" s="10">
        <f t="shared" si="25"/>
        <v>4.8055555555553298E-2</v>
      </c>
      <c r="P292" s="10">
        <f>IFERROR(SUMIFS('Base bordo CD'!M$2:M$875,'Base bordo CD'!D$2:D$875,A292,'Base bordo CD'!A$2:A$875,B292),0)</f>
        <v>23.999999999999996</v>
      </c>
      <c r="Q292" s="10">
        <f>IFERROR(SUMIFS('Base bordo CD'!O$2:O$875,'Base bordo CD'!D$2:D$875,A292,'Base bordo CD'!A$2:A$875,B292,'Base bordo CD'!L$2:L$875,"CORTE DE CANA MECANIZADO"),0)</f>
        <v>118424.45000000001</v>
      </c>
      <c r="R292" s="10">
        <f>IFERROR(SUMIFS('Base bordo CD'!Q$2:Q$875,'Base bordo CD'!D$2:D$875,A292,'Base bordo CD'!A$2:A$875,B292,'Base bordo CD'!L$2:L$875,"CORTE DE CANA MECANIZADO"),0)</f>
        <v>26776</v>
      </c>
      <c r="S292" s="30">
        <f t="shared" si="26"/>
        <v>4.42278346280251</v>
      </c>
      <c r="T292" s="9">
        <f t="shared" si="27"/>
        <v>0.30990740740740741</v>
      </c>
      <c r="U292" s="9">
        <f t="shared" si="28"/>
        <v>5.7719907407407421E-2</v>
      </c>
      <c r="V292" s="9">
        <f t="shared" si="29"/>
        <v>0.67127314814814809</v>
      </c>
    </row>
    <row r="293" spans="1:22" x14ac:dyDescent="0.35">
      <c r="A293" s="52">
        <v>49596</v>
      </c>
      <c r="B293" s="31">
        <v>46123</v>
      </c>
      <c r="C293" s="7" t="s">
        <v>337</v>
      </c>
      <c r="D293" s="7">
        <v>353</v>
      </c>
      <c r="E293" s="10">
        <f>IFERROR(SUMIFS('Base bordo CD'!M$2:M$875,'Base bordo CD'!D$2:D$875,A293,'Base bordo CD'!A$2:A$875,B293,'Base bordo CD'!L$2:L$875,"CORTE DE CANA MECANIZADO"),0)</f>
        <v>7.4377777777777769</v>
      </c>
      <c r="F293" s="10">
        <f>IFERROR(SUMIFS('Base bordo CD'!M$2:M$875,'Base bordo CD'!D$2:D$875,A293,'Base bordo CD'!A$2:A$875,B293,'Base bordo CD'!L$2:L$875,"MANOBRA"),0)</f>
        <v>1.3852777777777778</v>
      </c>
      <c r="G293" s="10">
        <f>IFERROR(SUMIFS('Base bordo CD'!M$2:M$875,'Base bordo CD'!D$2:D$875,A293,'Base bordo CD'!A$2:A$875,B293,'Base bordo CD'!L$2:L$875,"DESLOCAMENTO"),0)</f>
        <v>0.45166666666666672</v>
      </c>
      <c r="H293" s="10">
        <f>IFERROR(SUMIFS('Base bordo CD'!M$2:M$875,'Base bordo CD'!D$2:D$875,A293,'Base bordo CD'!A$2:A$875,B293,'Base bordo CD'!L$2:L$875,"AGUARDANDO MANOBRA DE TRANSBORDO"),0)+IFERROR(SUMIFS('Base bordo CD'!M$2:M$875,'Base bordo CD'!D$2:D$875,A293,'Base bordo CD'!A$2:A$875,B293,'Base bordo CD'!L$2:L$875,"FALTA DE TRANSBORDO"),0)</f>
        <v>0.62361111111111112</v>
      </c>
      <c r="I293" s="10">
        <f>IFERROR(SUMIFS('Base bordo CD'!M$2:M$875,'Base bordo CD'!D$2:D$875,A293,'Base bordo CD'!A$2:A$875,B293,'Base bordo CD'!L$2:L$875,"PARADA POR CONDICOES CLIMATICAS"),0)+IFERROR(SUMIFS('Base bordo CD'!M$2:M$875,'Base bordo CD'!D$2:D$875,A293,'Base bordo CD'!A$2:A$875,B293,'Base bordo CD'!L$2:L$875,"TEMPO INDETERMINADO"),0)</f>
        <v>14.053611111111111</v>
      </c>
      <c r="J293" s="10">
        <f>IFERROR(SUMIFS('Base bordo CD'!M$2:M$875,'Base bordo CD'!D$2:D$875,A293,'Base bordo CD'!A$2:A$875,B293,'Base bordo CD'!L$2:L$875,"LIMITAÇÃO INDÚSTRIA"),0)</f>
        <v>0</v>
      </c>
      <c r="K293" s="10">
        <f>IFERROR(SUMIFS('Base bordo CD'!M$2:M$875,'Base bordo CD'!D$2:D$875,A293,'Base bordo CD'!A$2:A$875,B293,'Base bordo CD'!L$2:L$875,"MAN CORRETIVA*"),0)+IFERROR(SUMIFS('Base bordo CD'!M$2:M$875,'Base bordo CD'!D$2:D$875,A293,'Base bordo CD'!A$2:A$875,B293,'Base bordo CD'!L$2:L$875,"AGUARDANDO MANUTENCAO*"),0)+IFERROR(SUMIFS('Base bordo CD'!M$2:M$875,'Base bordo CD'!D$2:D$875,A293,'Base bordo CD'!A$2:A$875,B293,'Base bordo CD'!L$2:L$875,"TROCA DE FAQUINHA"),0)+IFERROR(SUMIFS('Base bordo CD'!M$2:M$875,'Base bordo CD'!D$2:D$875,A293,'Base bordo CD'!A$2:A$875,B293,'Base bordo CD'!L$2:L$875,"LIMPEZA*"),0)</f>
        <v>0</v>
      </c>
      <c r="L293" s="10">
        <f>IFERROR(SUMIFS('Base bordo CD'!M$2:M$875,'Base bordo CD'!D$2:D$875,A293,'Base bordo CD'!A$2:A$875,B293,'Base bordo CD'!L$2:L$875,"PATIO - RESERVA"),0)</f>
        <v>0</v>
      </c>
      <c r="M293" s="10">
        <f>IFERROR(SUMIFS('Base bordo CD'!M$2:M$875,'Base bordo CD'!D$2:D$875,A293,'Base bordo CD'!A$2:A$875,B293,'Base bordo CD'!L$2:L$875,"SEM APONTAMENTO"),0)</f>
        <v>0</v>
      </c>
      <c r="N293" s="10">
        <f>IFERROR(SUMIFS('Base bordo CD'!M$2:M$875,'Base bordo CD'!D$2:D$875,A293,'Base bordo CD'!A$2:A$875,B293,'Base bordo CD'!L$2:L$875,"FALTA DE CAMINHÃO"),0)+IFERROR(SUMIFS('Base bordo CD'!M$2:M$875,'Base bordo CD'!D$2:D$875,A293,'Base bordo CD'!A$2:A$875,B293,'Base bordo CD'!L$2:L$875,"FALTA DE COMBUSTIVEL"),0)+IFERROR(SUMIFS('Base bordo CD'!M$2:M$875,'Base bordo CD'!D$2:D$875,A293,'Base bordo CD'!A$2:A$875,B293,'Base bordo CD'!L$2:L$875,"FALTA DE MOTORIST*"),0)</f>
        <v>0</v>
      </c>
      <c r="O293" s="10">
        <f t="shared" si="25"/>
        <v>4.8055555555553298E-2</v>
      </c>
      <c r="P293" s="10">
        <f>IFERROR(SUMIFS('Base bordo CD'!M$2:M$875,'Base bordo CD'!D$2:D$875,A293,'Base bordo CD'!A$2:A$875,B293),0)</f>
        <v>23.999999999999996</v>
      </c>
      <c r="Q293" s="10">
        <f>IFERROR(SUMIFS('Base bordo CD'!O$2:O$875,'Base bordo CD'!D$2:D$875,A293,'Base bordo CD'!A$2:A$875,B293,'Base bordo CD'!L$2:L$875,"CORTE DE CANA MECANIZADO"),0)</f>
        <v>118424.45000000001</v>
      </c>
      <c r="R293" s="10">
        <f>IFERROR(SUMIFS('Base bordo CD'!Q$2:Q$875,'Base bordo CD'!D$2:D$875,A293,'Base bordo CD'!A$2:A$875,B293,'Base bordo CD'!L$2:L$875,"CORTE DE CANA MECANIZADO"),0)</f>
        <v>26776</v>
      </c>
      <c r="S293" s="30">
        <f t="shared" si="26"/>
        <v>4.42278346280251</v>
      </c>
      <c r="T293" s="9">
        <f t="shared" si="27"/>
        <v>0.30990740740740741</v>
      </c>
      <c r="U293" s="9">
        <f t="shared" si="28"/>
        <v>5.7719907407407421E-2</v>
      </c>
      <c r="V293" s="9">
        <f t="shared" si="29"/>
        <v>0.67127314814814809</v>
      </c>
    </row>
    <row r="294" spans="1:22" x14ac:dyDescent="0.35">
      <c r="A294" s="52">
        <v>49596</v>
      </c>
      <c r="B294" s="31">
        <v>46123</v>
      </c>
      <c r="C294" s="7" t="s">
        <v>337</v>
      </c>
      <c r="D294" s="7">
        <v>353</v>
      </c>
      <c r="E294" s="10">
        <f>IFERROR(SUMIFS('Base bordo CD'!M$2:M$875,'Base bordo CD'!D$2:D$875,A294,'Base bordo CD'!A$2:A$875,B294,'Base bordo CD'!L$2:L$875,"CORTE DE CANA MECANIZADO"),0)</f>
        <v>7.4377777777777769</v>
      </c>
      <c r="F294" s="10">
        <f>IFERROR(SUMIFS('Base bordo CD'!M$2:M$875,'Base bordo CD'!D$2:D$875,A294,'Base bordo CD'!A$2:A$875,B294,'Base bordo CD'!L$2:L$875,"MANOBRA"),0)</f>
        <v>1.3852777777777778</v>
      </c>
      <c r="G294" s="10">
        <f>IFERROR(SUMIFS('Base bordo CD'!M$2:M$875,'Base bordo CD'!D$2:D$875,A294,'Base bordo CD'!A$2:A$875,B294,'Base bordo CD'!L$2:L$875,"DESLOCAMENTO"),0)</f>
        <v>0.45166666666666672</v>
      </c>
      <c r="H294" s="10">
        <f>IFERROR(SUMIFS('Base bordo CD'!M$2:M$875,'Base bordo CD'!D$2:D$875,A294,'Base bordo CD'!A$2:A$875,B294,'Base bordo CD'!L$2:L$875,"AGUARDANDO MANOBRA DE TRANSBORDO"),0)+IFERROR(SUMIFS('Base bordo CD'!M$2:M$875,'Base bordo CD'!D$2:D$875,A294,'Base bordo CD'!A$2:A$875,B294,'Base bordo CD'!L$2:L$875,"FALTA DE TRANSBORDO"),0)</f>
        <v>0.62361111111111112</v>
      </c>
      <c r="I294" s="10">
        <f>IFERROR(SUMIFS('Base bordo CD'!M$2:M$875,'Base bordo CD'!D$2:D$875,A294,'Base bordo CD'!A$2:A$875,B294,'Base bordo CD'!L$2:L$875,"PARADA POR CONDICOES CLIMATICAS"),0)+IFERROR(SUMIFS('Base bordo CD'!M$2:M$875,'Base bordo CD'!D$2:D$875,A294,'Base bordo CD'!A$2:A$875,B294,'Base bordo CD'!L$2:L$875,"TEMPO INDETERMINADO"),0)</f>
        <v>14.053611111111111</v>
      </c>
      <c r="J294" s="10">
        <f>IFERROR(SUMIFS('Base bordo CD'!M$2:M$875,'Base bordo CD'!D$2:D$875,A294,'Base bordo CD'!A$2:A$875,B294,'Base bordo CD'!L$2:L$875,"LIMITAÇÃO INDÚSTRIA"),0)</f>
        <v>0</v>
      </c>
      <c r="K294" s="10">
        <f>IFERROR(SUMIFS('Base bordo CD'!M$2:M$875,'Base bordo CD'!D$2:D$875,A294,'Base bordo CD'!A$2:A$875,B294,'Base bordo CD'!L$2:L$875,"MAN CORRETIVA*"),0)+IFERROR(SUMIFS('Base bordo CD'!M$2:M$875,'Base bordo CD'!D$2:D$875,A294,'Base bordo CD'!A$2:A$875,B294,'Base bordo CD'!L$2:L$875,"AGUARDANDO MANUTENCAO*"),0)+IFERROR(SUMIFS('Base bordo CD'!M$2:M$875,'Base bordo CD'!D$2:D$875,A294,'Base bordo CD'!A$2:A$875,B294,'Base bordo CD'!L$2:L$875,"TROCA DE FAQUINHA"),0)+IFERROR(SUMIFS('Base bordo CD'!M$2:M$875,'Base bordo CD'!D$2:D$875,A294,'Base bordo CD'!A$2:A$875,B294,'Base bordo CD'!L$2:L$875,"LIMPEZA*"),0)</f>
        <v>0</v>
      </c>
      <c r="L294" s="10">
        <f>IFERROR(SUMIFS('Base bordo CD'!M$2:M$875,'Base bordo CD'!D$2:D$875,A294,'Base bordo CD'!A$2:A$875,B294,'Base bordo CD'!L$2:L$875,"PATIO - RESERVA"),0)</f>
        <v>0</v>
      </c>
      <c r="M294" s="10">
        <f>IFERROR(SUMIFS('Base bordo CD'!M$2:M$875,'Base bordo CD'!D$2:D$875,A294,'Base bordo CD'!A$2:A$875,B294,'Base bordo CD'!L$2:L$875,"SEM APONTAMENTO"),0)</f>
        <v>0</v>
      </c>
      <c r="N294" s="10">
        <f>IFERROR(SUMIFS('Base bordo CD'!M$2:M$875,'Base bordo CD'!D$2:D$875,A294,'Base bordo CD'!A$2:A$875,B294,'Base bordo CD'!L$2:L$875,"FALTA DE CAMINHÃO"),0)+IFERROR(SUMIFS('Base bordo CD'!M$2:M$875,'Base bordo CD'!D$2:D$875,A294,'Base bordo CD'!A$2:A$875,B294,'Base bordo CD'!L$2:L$875,"FALTA DE COMBUSTIVEL"),0)+IFERROR(SUMIFS('Base bordo CD'!M$2:M$875,'Base bordo CD'!D$2:D$875,A294,'Base bordo CD'!A$2:A$875,B294,'Base bordo CD'!L$2:L$875,"FALTA DE MOTORIST*"),0)</f>
        <v>0</v>
      </c>
      <c r="O294" s="10">
        <f t="shared" si="25"/>
        <v>4.8055555555553298E-2</v>
      </c>
      <c r="P294" s="10">
        <f>IFERROR(SUMIFS('Base bordo CD'!M$2:M$875,'Base bordo CD'!D$2:D$875,A294,'Base bordo CD'!A$2:A$875,B294),0)</f>
        <v>23.999999999999996</v>
      </c>
      <c r="Q294" s="10">
        <f>IFERROR(SUMIFS('Base bordo CD'!O$2:O$875,'Base bordo CD'!D$2:D$875,A294,'Base bordo CD'!A$2:A$875,B294,'Base bordo CD'!L$2:L$875,"CORTE DE CANA MECANIZADO"),0)</f>
        <v>118424.45000000001</v>
      </c>
      <c r="R294" s="10">
        <f>IFERROR(SUMIFS('Base bordo CD'!Q$2:Q$875,'Base bordo CD'!D$2:D$875,A294,'Base bordo CD'!A$2:A$875,B294,'Base bordo CD'!L$2:L$875,"CORTE DE CANA MECANIZADO"),0)</f>
        <v>26776</v>
      </c>
      <c r="S294" s="30">
        <f t="shared" si="26"/>
        <v>4.42278346280251</v>
      </c>
      <c r="T294" s="9">
        <f t="shared" si="27"/>
        <v>0.30990740740740741</v>
      </c>
      <c r="U294" s="9">
        <f t="shared" si="28"/>
        <v>5.7719907407407421E-2</v>
      </c>
      <c r="V294" s="9">
        <f t="shared" si="29"/>
        <v>0.67127314814814809</v>
      </c>
    </row>
    <row r="295" spans="1:22" x14ac:dyDescent="0.35">
      <c r="A295" s="52">
        <v>49596</v>
      </c>
      <c r="B295" s="31">
        <v>46123</v>
      </c>
      <c r="C295" s="7" t="s">
        <v>337</v>
      </c>
      <c r="D295" s="7">
        <v>353</v>
      </c>
      <c r="E295" s="10">
        <f>IFERROR(SUMIFS('Base bordo CD'!M$2:M$875,'Base bordo CD'!D$2:D$875,A295,'Base bordo CD'!A$2:A$875,B295,'Base bordo CD'!L$2:L$875,"CORTE DE CANA MECANIZADO"),0)</f>
        <v>7.4377777777777769</v>
      </c>
      <c r="F295" s="10">
        <f>IFERROR(SUMIFS('Base bordo CD'!M$2:M$875,'Base bordo CD'!D$2:D$875,A295,'Base bordo CD'!A$2:A$875,B295,'Base bordo CD'!L$2:L$875,"MANOBRA"),0)</f>
        <v>1.3852777777777778</v>
      </c>
      <c r="G295" s="10">
        <f>IFERROR(SUMIFS('Base bordo CD'!M$2:M$875,'Base bordo CD'!D$2:D$875,A295,'Base bordo CD'!A$2:A$875,B295,'Base bordo CD'!L$2:L$875,"DESLOCAMENTO"),0)</f>
        <v>0.45166666666666672</v>
      </c>
      <c r="H295" s="10">
        <f>IFERROR(SUMIFS('Base bordo CD'!M$2:M$875,'Base bordo CD'!D$2:D$875,A295,'Base bordo CD'!A$2:A$875,B295,'Base bordo CD'!L$2:L$875,"AGUARDANDO MANOBRA DE TRANSBORDO"),0)+IFERROR(SUMIFS('Base bordo CD'!M$2:M$875,'Base bordo CD'!D$2:D$875,A295,'Base bordo CD'!A$2:A$875,B295,'Base bordo CD'!L$2:L$875,"FALTA DE TRANSBORDO"),0)</f>
        <v>0.62361111111111112</v>
      </c>
      <c r="I295" s="10">
        <f>IFERROR(SUMIFS('Base bordo CD'!M$2:M$875,'Base bordo CD'!D$2:D$875,A295,'Base bordo CD'!A$2:A$875,B295,'Base bordo CD'!L$2:L$875,"PARADA POR CONDICOES CLIMATICAS"),0)+IFERROR(SUMIFS('Base bordo CD'!M$2:M$875,'Base bordo CD'!D$2:D$875,A295,'Base bordo CD'!A$2:A$875,B295,'Base bordo CD'!L$2:L$875,"TEMPO INDETERMINADO"),0)</f>
        <v>14.053611111111111</v>
      </c>
      <c r="J295" s="10">
        <f>IFERROR(SUMIFS('Base bordo CD'!M$2:M$875,'Base bordo CD'!D$2:D$875,A295,'Base bordo CD'!A$2:A$875,B295,'Base bordo CD'!L$2:L$875,"LIMITAÇÃO INDÚSTRIA"),0)</f>
        <v>0</v>
      </c>
      <c r="K295" s="10">
        <f>IFERROR(SUMIFS('Base bordo CD'!M$2:M$875,'Base bordo CD'!D$2:D$875,A295,'Base bordo CD'!A$2:A$875,B295,'Base bordo CD'!L$2:L$875,"MAN CORRETIVA*"),0)+IFERROR(SUMIFS('Base bordo CD'!M$2:M$875,'Base bordo CD'!D$2:D$875,A295,'Base bordo CD'!A$2:A$875,B295,'Base bordo CD'!L$2:L$875,"AGUARDANDO MANUTENCAO*"),0)+IFERROR(SUMIFS('Base bordo CD'!M$2:M$875,'Base bordo CD'!D$2:D$875,A295,'Base bordo CD'!A$2:A$875,B295,'Base bordo CD'!L$2:L$875,"TROCA DE FAQUINHA"),0)+IFERROR(SUMIFS('Base bordo CD'!M$2:M$875,'Base bordo CD'!D$2:D$875,A295,'Base bordo CD'!A$2:A$875,B295,'Base bordo CD'!L$2:L$875,"LIMPEZA*"),0)</f>
        <v>0</v>
      </c>
      <c r="L295" s="10">
        <f>IFERROR(SUMIFS('Base bordo CD'!M$2:M$875,'Base bordo CD'!D$2:D$875,A295,'Base bordo CD'!A$2:A$875,B295,'Base bordo CD'!L$2:L$875,"PATIO - RESERVA"),0)</f>
        <v>0</v>
      </c>
      <c r="M295" s="10">
        <f>IFERROR(SUMIFS('Base bordo CD'!M$2:M$875,'Base bordo CD'!D$2:D$875,A295,'Base bordo CD'!A$2:A$875,B295,'Base bordo CD'!L$2:L$875,"SEM APONTAMENTO"),0)</f>
        <v>0</v>
      </c>
      <c r="N295" s="10">
        <f>IFERROR(SUMIFS('Base bordo CD'!M$2:M$875,'Base bordo CD'!D$2:D$875,A295,'Base bordo CD'!A$2:A$875,B295,'Base bordo CD'!L$2:L$875,"FALTA DE CAMINHÃO"),0)+IFERROR(SUMIFS('Base bordo CD'!M$2:M$875,'Base bordo CD'!D$2:D$875,A295,'Base bordo CD'!A$2:A$875,B295,'Base bordo CD'!L$2:L$875,"FALTA DE COMBUSTIVEL"),0)+IFERROR(SUMIFS('Base bordo CD'!M$2:M$875,'Base bordo CD'!D$2:D$875,A295,'Base bordo CD'!A$2:A$875,B295,'Base bordo CD'!L$2:L$875,"FALTA DE MOTORIST*"),0)</f>
        <v>0</v>
      </c>
      <c r="O295" s="10">
        <f t="shared" si="25"/>
        <v>4.8055555555553298E-2</v>
      </c>
      <c r="P295" s="10">
        <f>IFERROR(SUMIFS('Base bordo CD'!M$2:M$875,'Base bordo CD'!D$2:D$875,A295,'Base bordo CD'!A$2:A$875,B295),0)</f>
        <v>23.999999999999996</v>
      </c>
      <c r="Q295" s="10">
        <f>IFERROR(SUMIFS('Base bordo CD'!O$2:O$875,'Base bordo CD'!D$2:D$875,A295,'Base bordo CD'!A$2:A$875,B295,'Base bordo CD'!L$2:L$875,"CORTE DE CANA MECANIZADO"),0)</f>
        <v>118424.45000000001</v>
      </c>
      <c r="R295" s="10">
        <f>IFERROR(SUMIFS('Base bordo CD'!Q$2:Q$875,'Base bordo CD'!D$2:D$875,A295,'Base bordo CD'!A$2:A$875,B295,'Base bordo CD'!L$2:L$875,"CORTE DE CANA MECANIZADO"),0)</f>
        <v>26776</v>
      </c>
      <c r="S295" s="30">
        <f t="shared" si="26"/>
        <v>4.42278346280251</v>
      </c>
      <c r="T295" s="9">
        <f t="shared" si="27"/>
        <v>0.30990740740740741</v>
      </c>
      <c r="U295" s="9">
        <f t="shared" si="28"/>
        <v>5.7719907407407421E-2</v>
      </c>
      <c r="V295" s="9">
        <f t="shared" si="29"/>
        <v>0.67127314814814809</v>
      </c>
    </row>
    <row r="296" spans="1:22" x14ac:dyDescent="0.35">
      <c r="A296" s="52">
        <v>49596</v>
      </c>
      <c r="B296" s="31">
        <v>46123</v>
      </c>
      <c r="C296" s="7" t="s">
        <v>337</v>
      </c>
      <c r="D296" s="7">
        <v>353</v>
      </c>
      <c r="E296" s="10">
        <f>IFERROR(SUMIFS('Base bordo CD'!M$2:M$875,'Base bordo CD'!D$2:D$875,A296,'Base bordo CD'!A$2:A$875,B296,'Base bordo CD'!L$2:L$875,"CORTE DE CANA MECANIZADO"),0)</f>
        <v>7.4377777777777769</v>
      </c>
      <c r="F296" s="10">
        <f>IFERROR(SUMIFS('Base bordo CD'!M$2:M$875,'Base bordo CD'!D$2:D$875,A296,'Base bordo CD'!A$2:A$875,B296,'Base bordo CD'!L$2:L$875,"MANOBRA"),0)</f>
        <v>1.3852777777777778</v>
      </c>
      <c r="G296" s="10">
        <f>IFERROR(SUMIFS('Base bordo CD'!M$2:M$875,'Base bordo CD'!D$2:D$875,A296,'Base bordo CD'!A$2:A$875,B296,'Base bordo CD'!L$2:L$875,"DESLOCAMENTO"),0)</f>
        <v>0.45166666666666672</v>
      </c>
      <c r="H296" s="10">
        <f>IFERROR(SUMIFS('Base bordo CD'!M$2:M$875,'Base bordo CD'!D$2:D$875,A296,'Base bordo CD'!A$2:A$875,B296,'Base bordo CD'!L$2:L$875,"AGUARDANDO MANOBRA DE TRANSBORDO"),0)+IFERROR(SUMIFS('Base bordo CD'!M$2:M$875,'Base bordo CD'!D$2:D$875,A296,'Base bordo CD'!A$2:A$875,B296,'Base bordo CD'!L$2:L$875,"FALTA DE TRANSBORDO"),0)</f>
        <v>0.62361111111111112</v>
      </c>
      <c r="I296" s="10">
        <f>IFERROR(SUMIFS('Base bordo CD'!M$2:M$875,'Base bordo CD'!D$2:D$875,A296,'Base bordo CD'!A$2:A$875,B296,'Base bordo CD'!L$2:L$875,"PARADA POR CONDICOES CLIMATICAS"),0)+IFERROR(SUMIFS('Base bordo CD'!M$2:M$875,'Base bordo CD'!D$2:D$875,A296,'Base bordo CD'!A$2:A$875,B296,'Base bordo CD'!L$2:L$875,"TEMPO INDETERMINADO"),0)</f>
        <v>14.053611111111111</v>
      </c>
      <c r="J296" s="10">
        <f>IFERROR(SUMIFS('Base bordo CD'!M$2:M$875,'Base bordo CD'!D$2:D$875,A296,'Base bordo CD'!A$2:A$875,B296,'Base bordo CD'!L$2:L$875,"LIMITAÇÃO INDÚSTRIA"),0)</f>
        <v>0</v>
      </c>
      <c r="K296" s="10">
        <f>IFERROR(SUMIFS('Base bordo CD'!M$2:M$875,'Base bordo CD'!D$2:D$875,A296,'Base bordo CD'!A$2:A$875,B296,'Base bordo CD'!L$2:L$875,"MAN CORRETIVA*"),0)+IFERROR(SUMIFS('Base bordo CD'!M$2:M$875,'Base bordo CD'!D$2:D$875,A296,'Base bordo CD'!A$2:A$875,B296,'Base bordo CD'!L$2:L$875,"AGUARDANDO MANUTENCAO*"),0)+IFERROR(SUMIFS('Base bordo CD'!M$2:M$875,'Base bordo CD'!D$2:D$875,A296,'Base bordo CD'!A$2:A$875,B296,'Base bordo CD'!L$2:L$875,"TROCA DE FAQUINHA"),0)+IFERROR(SUMIFS('Base bordo CD'!M$2:M$875,'Base bordo CD'!D$2:D$875,A296,'Base bordo CD'!A$2:A$875,B296,'Base bordo CD'!L$2:L$875,"LIMPEZA*"),0)</f>
        <v>0</v>
      </c>
      <c r="L296" s="10">
        <f>IFERROR(SUMIFS('Base bordo CD'!M$2:M$875,'Base bordo CD'!D$2:D$875,A296,'Base bordo CD'!A$2:A$875,B296,'Base bordo CD'!L$2:L$875,"PATIO - RESERVA"),0)</f>
        <v>0</v>
      </c>
      <c r="M296" s="10">
        <f>IFERROR(SUMIFS('Base bordo CD'!M$2:M$875,'Base bordo CD'!D$2:D$875,A296,'Base bordo CD'!A$2:A$875,B296,'Base bordo CD'!L$2:L$875,"SEM APONTAMENTO"),0)</f>
        <v>0</v>
      </c>
      <c r="N296" s="10">
        <f>IFERROR(SUMIFS('Base bordo CD'!M$2:M$875,'Base bordo CD'!D$2:D$875,A296,'Base bordo CD'!A$2:A$875,B296,'Base bordo CD'!L$2:L$875,"FALTA DE CAMINHÃO"),0)+IFERROR(SUMIFS('Base bordo CD'!M$2:M$875,'Base bordo CD'!D$2:D$875,A296,'Base bordo CD'!A$2:A$875,B296,'Base bordo CD'!L$2:L$875,"FALTA DE COMBUSTIVEL"),0)+IFERROR(SUMIFS('Base bordo CD'!M$2:M$875,'Base bordo CD'!D$2:D$875,A296,'Base bordo CD'!A$2:A$875,B296,'Base bordo CD'!L$2:L$875,"FALTA DE MOTORIST*"),0)</f>
        <v>0</v>
      </c>
      <c r="O296" s="10">
        <f t="shared" si="25"/>
        <v>4.8055555555553298E-2</v>
      </c>
      <c r="P296" s="10">
        <f>IFERROR(SUMIFS('Base bordo CD'!M$2:M$875,'Base bordo CD'!D$2:D$875,A296,'Base bordo CD'!A$2:A$875,B296),0)</f>
        <v>23.999999999999996</v>
      </c>
      <c r="Q296" s="10">
        <f>IFERROR(SUMIFS('Base bordo CD'!O$2:O$875,'Base bordo CD'!D$2:D$875,A296,'Base bordo CD'!A$2:A$875,B296,'Base bordo CD'!L$2:L$875,"CORTE DE CANA MECANIZADO"),0)</f>
        <v>118424.45000000001</v>
      </c>
      <c r="R296" s="10">
        <f>IFERROR(SUMIFS('Base bordo CD'!Q$2:Q$875,'Base bordo CD'!D$2:D$875,A296,'Base bordo CD'!A$2:A$875,B296,'Base bordo CD'!L$2:L$875,"CORTE DE CANA MECANIZADO"),0)</f>
        <v>26776</v>
      </c>
      <c r="S296" s="30">
        <f t="shared" si="26"/>
        <v>4.42278346280251</v>
      </c>
      <c r="T296" s="9">
        <f t="shared" si="27"/>
        <v>0.30990740740740741</v>
      </c>
      <c r="U296" s="9">
        <f t="shared" si="28"/>
        <v>5.7719907407407421E-2</v>
      </c>
      <c r="V296" s="9">
        <f t="shared" si="29"/>
        <v>0.67127314814814809</v>
      </c>
    </row>
    <row r="297" spans="1:22" x14ac:dyDescent="0.35">
      <c r="A297" s="52">
        <v>49596</v>
      </c>
      <c r="B297" s="31">
        <v>46123</v>
      </c>
      <c r="C297" s="7" t="s">
        <v>337</v>
      </c>
      <c r="D297" s="7">
        <v>353</v>
      </c>
      <c r="E297" s="10">
        <f>IFERROR(SUMIFS('Base bordo CD'!M$2:M$875,'Base bordo CD'!D$2:D$875,A297,'Base bordo CD'!A$2:A$875,B297,'Base bordo CD'!L$2:L$875,"CORTE DE CANA MECANIZADO"),0)</f>
        <v>7.4377777777777769</v>
      </c>
      <c r="F297" s="10">
        <f>IFERROR(SUMIFS('Base bordo CD'!M$2:M$875,'Base bordo CD'!D$2:D$875,A297,'Base bordo CD'!A$2:A$875,B297,'Base bordo CD'!L$2:L$875,"MANOBRA"),0)</f>
        <v>1.3852777777777778</v>
      </c>
      <c r="G297" s="10">
        <f>IFERROR(SUMIFS('Base bordo CD'!M$2:M$875,'Base bordo CD'!D$2:D$875,A297,'Base bordo CD'!A$2:A$875,B297,'Base bordo CD'!L$2:L$875,"DESLOCAMENTO"),0)</f>
        <v>0.45166666666666672</v>
      </c>
      <c r="H297" s="10">
        <f>IFERROR(SUMIFS('Base bordo CD'!M$2:M$875,'Base bordo CD'!D$2:D$875,A297,'Base bordo CD'!A$2:A$875,B297,'Base bordo CD'!L$2:L$875,"AGUARDANDO MANOBRA DE TRANSBORDO"),0)+IFERROR(SUMIFS('Base bordo CD'!M$2:M$875,'Base bordo CD'!D$2:D$875,A297,'Base bordo CD'!A$2:A$875,B297,'Base bordo CD'!L$2:L$875,"FALTA DE TRANSBORDO"),0)</f>
        <v>0.62361111111111112</v>
      </c>
      <c r="I297" s="10">
        <f>IFERROR(SUMIFS('Base bordo CD'!M$2:M$875,'Base bordo CD'!D$2:D$875,A297,'Base bordo CD'!A$2:A$875,B297,'Base bordo CD'!L$2:L$875,"PARADA POR CONDICOES CLIMATICAS"),0)+IFERROR(SUMIFS('Base bordo CD'!M$2:M$875,'Base bordo CD'!D$2:D$875,A297,'Base bordo CD'!A$2:A$875,B297,'Base bordo CD'!L$2:L$875,"TEMPO INDETERMINADO"),0)</f>
        <v>14.053611111111111</v>
      </c>
      <c r="J297" s="10">
        <f>IFERROR(SUMIFS('Base bordo CD'!M$2:M$875,'Base bordo CD'!D$2:D$875,A297,'Base bordo CD'!A$2:A$875,B297,'Base bordo CD'!L$2:L$875,"LIMITAÇÃO INDÚSTRIA"),0)</f>
        <v>0</v>
      </c>
      <c r="K297" s="10">
        <f>IFERROR(SUMIFS('Base bordo CD'!M$2:M$875,'Base bordo CD'!D$2:D$875,A297,'Base bordo CD'!A$2:A$875,B297,'Base bordo CD'!L$2:L$875,"MAN CORRETIVA*"),0)+IFERROR(SUMIFS('Base bordo CD'!M$2:M$875,'Base bordo CD'!D$2:D$875,A297,'Base bordo CD'!A$2:A$875,B297,'Base bordo CD'!L$2:L$875,"AGUARDANDO MANUTENCAO*"),0)+IFERROR(SUMIFS('Base bordo CD'!M$2:M$875,'Base bordo CD'!D$2:D$875,A297,'Base bordo CD'!A$2:A$875,B297,'Base bordo CD'!L$2:L$875,"TROCA DE FAQUINHA"),0)+IFERROR(SUMIFS('Base bordo CD'!M$2:M$875,'Base bordo CD'!D$2:D$875,A297,'Base bordo CD'!A$2:A$875,B297,'Base bordo CD'!L$2:L$875,"LIMPEZA*"),0)</f>
        <v>0</v>
      </c>
      <c r="L297" s="10">
        <f>IFERROR(SUMIFS('Base bordo CD'!M$2:M$875,'Base bordo CD'!D$2:D$875,A297,'Base bordo CD'!A$2:A$875,B297,'Base bordo CD'!L$2:L$875,"PATIO - RESERVA"),0)</f>
        <v>0</v>
      </c>
      <c r="M297" s="10">
        <f>IFERROR(SUMIFS('Base bordo CD'!M$2:M$875,'Base bordo CD'!D$2:D$875,A297,'Base bordo CD'!A$2:A$875,B297,'Base bordo CD'!L$2:L$875,"SEM APONTAMENTO"),0)</f>
        <v>0</v>
      </c>
      <c r="N297" s="10">
        <f>IFERROR(SUMIFS('Base bordo CD'!M$2:M$875,'Base bordo CD'!D$2:D$875,A297,'Base bordo CD'!A$2:A$875,B297,'Base bordo CD'!L$2:L$875,"FALTA DE CAMINHÃO"),0)+IFERROR(SUMIFS('Base bordo CD'!M$2:M$875,'Base bordo CD'!D$2:D$875,A297,'Base bordo CD'!A$2:A$875,B297,'Base bordo CD'!L$2:L$875,"FALTA DE COMBUSTIVEL"),0)+IFERROR(SUMIFS('Base bordo CD'!M$2:M$875,'Base bordo CD'!D$2:D$875,A297,'Base bordo CD'!A$2:A$875,B297,'Base bordo CD'!L$2:L$875,"FALTA DE MOTORIST*"),0)</f>
        <v>0</v>
      </c>
      <c r="O297" s="10">
        <f t="shared" si="25"/>
        <v>4.8055555555553298E-2</v>
      </c>
      <c r="P297" s="10">
        <f>IFERROR(SUMIFS('Base bordo CD'!M$2:M$875,'Base bordo CD'!D$2:D$875,A297,'Base bordo CD'!A$2:A$875,B297),0)</f>
        <v>23.999999999999996</v>
      </c>
      <c r="Q297" s="10">
        <f>IFERROR(SUMIFS('Base bordo CD'!O$2:O$875,'Base bordo CD'!D$2:D$875,A297,'Base bordo CD'!A$2:A$875,B297,'Base bordo CD'!L$2:L$875,"CORTE DE CANA MECANIZADO"),0)</f>
        <v>118424.45000000001</v>
      </c>
      <c r="R297" s="10">
        <f>IFERROR(SUMIFS('Base bordo CD'!Q$2:Q$875,'Base bordo CD'!D$2:D$875,A297,'Base bordo CD'!A$2:A$875,B297,'Base bordo CD'!L$2:L$875,"CORTE DE CANA MECANIZADO"),0)</f>
        <v>26776</v>
      </c>
      <c r="S297" s="30">
        <f t="shared" si="26"/>
        <v>4.42278346280251</v>
      </c>
      <c r="T297" s="9">
        <f t="shared" si="27"/>
        <v>0.30990740740740741</v>
      </c>
      <c r="U297" s="9">
        <f t="shared" si="28"/>
        <v>5.7719907407407421E-2</v>
      </c>
      <c r="V297" s="9">
        <f t="shared" si="29"/>
        <v>0.67127314814814809</v>
      </c>
    </row>
    <row r="298" spans="1:22" x14ac:dyDescent="0.35">
      <c r="A298" s="52">
        <v>49596</v>
      </c>
      <c r="B298" s="31">
        <v>46123</v>
      </c>
      <c r="C298" s="7" t="s">
        <v>337</v>
      </c>
      <c r="D298" s="7">
        <v>353</v>
      </c>
      <c r="E298" s="10">
        <f>IFERROR(SUMIFS('Base bordo CD'!M$2:M$875,'Base bordo CD'!D$2:D$875,A298,'Base bordo CD'!A$2:A$875,B298,'Base bordo CD'!L$2:L$875,"CORTE DE CANA MECANIZADO"),0)</f>
        <v>7.4377777777777769</v>
      </c>
      <c r="F298" s="10">
        <f>IFERROR(SUMIFS('Base bordo CD'!M$2:M$875,'Base bordo CD'!D$2:D$875,A298,'Base bordo CD'!A$2:A$875,B298,'Base bordo CD'!L$2:L$875,"MANOBRA"),0)</f>
        <v>1.3852777777777778</v>
      </c>
      <c r="G298" s="10">
        <f>IFERROR(SUMIFS('Base bordo CD'!M$2:M$875,'Base bordo CD'!D$2:D$875,A298,'Base bordo CD'!A$2:A$875,B298,'Base bordo CD'!L$2:L$875,"DESLOCAMENTO"),0)</f>
        <v>0.45166666666666672</v>
      </c>
      <c r="H298" s="10">
        <f>IFERROR(SUMIFS('Base bordo CD'!M$2:M$875,'Base bordo CD'!D$2:D$875,A298,'Base bordo CD'!A$2:A$875,B298,'Base bordo CD'!L$2:L$875,"AGUARDANDO MANOBRA DE TRANSBORDO"),0)+IFERROR(SUMIFS('Base bordo CD'!M$2:M$875,'Base bordo CD'!D$2:D$875,A298,'Base bordo CD'!A$2:A$875,B298,'Base bordo CD'!L$2:L$875,"FALTA DE TRANSBORDO"),0)</f>
        <v>0.62361111111111112</v>
      </c>
      <c r="I298" s="10">
        <f>IFERROR(SUMIFS('Base bordo CD'!M$2:M$875,'Base bordo CD'!D$2:D$875,A298,'Base bordo CD'!A$2:A$875,B298,'Base bordo CD'!L$2:L$875,"PARADA POR CONDICOES CLIMATICAS"),0)+IFERROR(SUMIFS('Base bordo CD'!M$2:M$875,'Base bordo CD'!D$2:D$875,A298,'Base bordo CD'!A$2:A$875,B298,'Base bordo CD'!L$2:L$875,"TEMPO INDETERMINADO"),0)</f>
        <v>14.053611111111111</v>
      </c>
      <c r="J298" s="10">
        <f>IFERROR(SUMIFS('Base bordo CD'!M$2:M$875,'Base bordo CD'!D$2:D$875,A298,'Base bordo CD'!A$2:A$875,B298,'Base bordo CD'!L$2:L$875,"LIMITAÇÃO INDÚSTRIA"),0)</f>
        <v>0</v>
      </c>
      <c r="K298" s="10">
        <f>IFERROR(SUMIFS('Base bordo CD'!M$2:M$875,'Base bordo CD'!D$2:D$875,A298,'Base bordo CD'!A$2:A$875,B298,'Base bordo CD'!L$2:L$875,"MAN CORRETIVA*"),0)+IFERROR(SUMIFS('Base bordo CD'!M$2:M$875,'Base bordo CD'!D$2:D$875,A298,'Base bordo CD'!A$2:A$875,B298,'Base bordo CD'!L$2:L$875,"AGUARDANDO MANUTENCAO*"),0)+IFERROR(SUMIFS('Base bordo CD'!M$2:M$875,'Base bordo CD'!D$2:D$875,A298,'Base bordo CD'!A$2:A$875,B298,'Base bordo CD'!L$2:L$875,"TROCA DE FAQUINHA"),0)+IFERROR(SUMIFS('Base bordo CD'!M$2:M$875,'Base bordo CD'!D$2:D$875,A298,'Base bordo CD'!A$2:A$875,B298,'Base bordo CD'!L$2:L$875,"LIMPEZA*"),0)</f>
        <v>0</v>
      </c>
      <c r="L298" s="10">
        <f>IFERROR(SUMIFS('Base bordo CD'!M$2:M$875,'Base bordo CD'!D$2:D$875,A298,'Base bordo CD'!A$2:A$875,B298,'Base bordo CD'!L$2:L$875,"PATIO - RESERVA"),0)</f>
        <v>0</v>
      </c>
      <c r="M298" s="10">
        <f>IFERROR(SUMIFS('Base bordo CD'!M$2:M$875,'Base bordo CD'!D$2:D$875,A298,'Base bordo CD'!A$2:A$875,B298,'Base bordo CD'!L$2:L$875,"SEM APONTAMENTO"),0)</f>
        <v>0</v>
      </c>
      <c r="N298" s="10">
        <f>IFERROR(SUMIFS('Base bordo CD'!M$2:M$875,'Base bordo CD'!D$2:D$875,A298,'Base bordo CD'!A$2:A$875,B298,'Base bordo CD'!L$2:L$875,"FALTA DE CAMINHÃO"),0)+IFERROR(SUMIFS('Base bordo CD'!M$2:M$875,'Base bordo CD'!D$2:D$875,A298,'Base bordo CD'!A$2:A$875,B298,'Base bordo CD'!L$2:L$875,"FALTA DE COMBUSTIVEL"),0)+IFERROR(SUMIFS('Base bordo CD'!M$2:M$875,'Base bordo CD'!D$2:D$875,A298,'Base bordo CD'!A$2:A$875,B298,'Base bordo CD'!L$2:L$875,"FALTA DE MOTORIST*"),0)</f>
        <v>0</v>
      </c>
      <c r="O298" s="10">
        <f t="shared" si="25"/>
        <v>4.8055555555553298E-2</v>
      </c>
      <c r="P298" s="10">
        <f>IFERROR(SUMIFS('Base bordo CD'!M$2:M$875,'Base bordo CD'!D$2:D$875,A298,'Base bordo CD'!A$2:A$875,B298),0)</f>
        <v>23.999999999999996</v>
      </c>
      <c r="Q298" s="10">
        <f>IFERROR(SUMIFS('Base bordo CD'!O$2:O$875,'Base bordo CD'!D$2:D$875,A298,'Base bordo CD'!A$2:A$875,B298,'Base bordo CD'!L$2:L$875,"CORTE DE CANA MECANIZADO"),0)</f>
        <v>118424.45000000001</v>
      </c>
      <c r="R298" s="10">
        <f>IFERROR(SUMIFS('Base bordo CD'!Q$2:Q$875,'Base bordo CD'!D$2:D$875,A298,'Base bordo CD'!A$2:A$875,B298,'Base bordo CD'!L$2:L$875,"CORTE DE CANA MECANIZADO"),0)</f>
        <v>26776</v>
      </c>
      <c r="S298" s="30">
        <f t="shared" si="26"/>
        <v>4.42278346280251</v>
      </c>
      <c r="T298" s="9">
        <f t="shared" si="27"/>
        <v>0.30990740740740741</v>
      </c>
      <c r="U298" s="9">
        <f t="shared" si="28"/>
        <v>5.7719907407407421E-2</v>
      </c>
      <c r="V298" s="9">
        <f t="shared" si="29"/>
        <v>0.67127314814814809</v>
      </c>
    </row>
    <row r="299" spans="1:22" x14ac:dyDescent="0.35">
      <c r="A299" s="52">
        <v>49596</v>
      </c>
      <c r="B299" s="31">
        <v>46123</v>
      </c>
      <c r="C299" s="7" t="s">
        <v>337</v>
      </c>
      <c r="D299" s="7">
        <v>353</v>
      </c>
      <c r="E299" s="10">
        <f>IFERROR(SUMIFS('Base bordo CD'!M$2:M$875,'Base bordo CD'!D$2:D$875,A299,'Base bordo CD'!A$2:A$875,B299,'Base bordo CD'!L$2:L$875,"CORTE DE CANA MECANIZADO"),0)</f>
        <v>7.4377777777777769</v>
      </c>
      <c r="F299" s="10">
        <f>IFERROR(SUMIFS('Base bordo CD'!M$2:M$875,'Base bordo CD'!D$2:D$875,A299,'Base bordo CD'!A$2:A$875,B299,'Base bordo CD'!L$2:L$875,"MANOBRA"),0)</f>
        <v>1.3852777777777778</v>
      </c>
      <c r="G299" s="10">
        <f>IFERROR(SUMIFS('Base bordo CD'!M$2:M$875,'Base bordo CD'!D$2:D$875,A299,'Base bordo CD'!A$2:A$875,B299,'Base bordo CD'!L$2:L$875,"DESLOCAMENTO"),0)</f>
        <v>0.45166666666666672</v>
      </c>
      <c r="H299" s="10">
        <f>IFERROR(SUMIFS('Base bordo CD'!M$2:M$875,'Base bordo CD'!D$2:D$875,A299,'Base bordo CD'!A$2:A$875,B299,'Base bordo CD'!L$2:L$875,"AGUARDANDO MANOBRA DE TRANSBORDO"),0)+IFERROR(SUMIFS('Base bordo CD'!M$2:M$875,'Base bordo CD'!D$2:D$875,A299,'Base bordo CD'!A$2:A$875,B299,'Base bordo CD'!L$2:L$875,"FALTA DE TRANSBORDO"),0)</f>
        <v>0.62361111111111112</v>
      </c>
      <c r="I299" s="10">
        <f>IFERROR(SUMIFS('Base bordo CD'!M$2:M$875,'Base bordo CD'!D$2:D$875,A299,'Base bordo CD'!A$2:A$875,B299,'Base bordo CD'!L$2:L$875,"PARADA POR CONDICOES CLIMATICAS"),0)+IFERROR(SUMIFS('Base bordo CD'!M$2:M$875,'Base bordo CD'!D$2:D$875,A299,'Base bordo CD'!A$2:A$875,B299,'Base bordo CD'!L$2:L$875,"TEMPO INDETERMINADO"),0)</f>
        <v>14.053611111111111</v>
      </c>
      <c r="J299" s="10">
        <f>IFERROR(SUMIFS('Base bordo CD'!M$2:M$875,'Base bordo CD'!D$2:D$875,A299,'Base bordo CD'!A$2:A$875,B299,'Base bordo CD'!L$2:L$875,"LIMITAÇÃO INDÚSTRIA"),0)</f>
        <v>0</v>
      </c>
      <c r="K299" s="10">
        <f>IFERROR(SUMIFS('Base bordo CD'!M$2:M$875,'Base bordo CD'!D$2:D$875,A299,'Base bordo CD'!A$2:A$875,B299,'Base bordo CD'!L$2:L$875,"MAN CORRETIVA*"),0)+IFERROR(SUMIFS('Base bordo CD'!M$2:M$875,'Base bordo CD'!D$2:D$875,A299,'Base bordo CD'!A$2:A$875,B299,'Base bordo CD'!L$2:L$875,"AGUARDANDO MANUTENCAO*"),0)+IFERROR(SUMIFS('Base bordo CD'!M$2:M$875,'Base bordo CD'!D$2:D$875,A299,'Base bordo CD'!A$2:A$875,B299,'Base bordo CD'!L$2:L$875,"TROCA DE FAQUINHA"),0)+IFERROR(SUMIFS('Base bordo CD'!M$2:M$875,'Base bordo CD'!D$2:D$875,A299,'Base bordo CD'!A$2:A$875,B299,'Base bordo CD'!L$2:L$875,"LIMPEZA*"),0)</f>
        <v>0</v>
      </c>
      <c r="L299" s="10">
        <f>IFERROR(SUMIFS('Base bordo CD'!M$2:M$875,'Base bordo CD'!D$2:D$875,A299,'Base bordo CD'!A$2:A$875,B299,'Base bordo CD'!L$2:L$875,"PATIO - RESERVA"),0)</f>
        <v>0</v>
      </c>
      <c r="M299" s="10">
        <f>IFERROR(SUMIFS('Base bordo CD'!M$2:M$875,'Base bordo CD'!D$2:D$875,A299,'Base bordo CD'!A$2:A$875,B299,'Base bordo CD'!L$2:L$875,"SEM APONTAMENTO"),0)</f>
        <v>0</v>
      </c>
      <c r="N299" s="10">
        <f>IFERROR(SUMIFS('Base bordo CD'!M$2:M$875,'Base bordo CD'!D$2:D$875,A299,'Base bordo CD'!A$2:A$875,B299,'Base bordo CD'!L$2:L$875,"FALTA DE CAMINHÃO"),0)+IFERROR(SUMIFS('Base bordo CD'!M$2:M$875,'Base bordo CD'!D$2:D$875,A299,'Base bordo CD'!A$2:A$875,B299,'Base bordo CD'!L$2:L$875,"FALTA DE COMBUSTIVEL"),0)+IFERROR(SUMIFS('Base bordo CD'!M$2:M$875,'Base bordo CD'!D$2:D$875,A299,'Base bordo CD'!A$2:A$875,B299,'Base bordo CD'!L$2:L$875,"FALTA DE MOTORIST*"),0)</f>
        <v>0</v>
      </c>
      <c r="O299" s="10">
        <f t="shared" si="25"/>
        <v>4.8055555555553298E-2</v>
      </c>
      <c r="P299" s="10">
        <f>IFERROR(SUMIFS('Base bordo CD'!M$2:M$875,'Base bordo CD'!D$2:D$875,A299,'Base bordo CD'!A$2:A$875,B299),0)</f>
        <v>23.999999999999996</v>
      </c>
      <c r="Q299" s="10">
        <f>IFERROR(SUMIFS('Base bordo CD'!O$2:O$875,'Base bordo CD'!D$2:D$875,A299,'Base bordo CD'!A$2:A$875,B299,'Base bordo CD'!L$2:L$875,"CORTE DE CANA MECANIZADO"),0)</f>
        <v>118424.45000000001</v>
      </c>
      <c r="R299" s="10">
        <f>IFERROR(SUMIFS('Base bordo CD'!Q$2:Q$875,'Base bordo CD'!D$2:D$875,A299,'Base bordo CD'!A$2:A$875,B299,'Base bordo CD'!L$2:L$875,"CORTE DE CANA MECANIZADO"),0)</f>
        <v>26776</v>
      </c>
      <c r="S299" s="30">
        <f t="shared" si="26"/>
        <v>4.42278346280251</v>
      </c>
      <c r="T299" s="9">
        <f t="shared" si="27"/>
        <v>0.30990740740740741</v>
      </c>
      <c r="U299" s="9">
        <f t="shared" si="28"/>
        <v>5.7719907407407421E-2</v>
      </c>
      <c r="V299" s="9">
        <f t="shared" si="29"/>
        <v>0.67127314814814809</v>
      </c>
    </row>
    <row r="300" spans="1:22" x14ac:dyDescent="0.35">
      <c r="A300" s="52">
        <v>49596</v>
      </c>
      <c r="B300" s="31">
        <v>46123</v>
      </c>
      <c r="C300" s="7" t="s">
        <v>337</v>
      </c>
      <c r="D300" s="7">
        <v>353</v>
      </c>
      <c r="E300" s="10">
        <f>IFERROR(SUMIFS('Base bordo CD'!M$2:M$875,'Base bordo CD'!D$2:D$875,A300,'Base bordo CD'!A$2:A$875,B300,'Base bordo CD'!L$2:L$875,"CORTE DE CANA MECANIZADO"),0)</f>
        <v>7.4377777777777769</v>
      </c>
      <c r="F300" s="10">
        <f>IFERROR(SUMIFS('Base bordo CD'!M$2:M$875,'Base bordo CD'!D$2:D$875,A300,'Base bordo CD'!A$2:A$875,B300,'Base bordo CD'!L$2:L$875,"MANOBRA"),0)</f>
        <v>1.3852777777777778</v>
      </c>
      <c r="G300" s="10">
        <f>IFERROR(SUMIFS('Base bordo CD'!M$2:M$875,'Base bordo CD'!D$2:D$875,A300,'Base bordo CD'!A$2:A$875,B300,'Base bordo CD'!L$2:L$875,"DESLOCAMENTO"),0)</f>
        <v>0.45166666666666672</v>
      </c>
      <c r="H300" s="10">
        <f>IFERROR(SUMIFS('Base bordo CD'!M$2:M$875,'Base bordo CD'!D$2:D$875,A300,'Base bordo CD'!A$2:A$875,B300,'Base bordo CD'!L$2:L$875,"AGUARDANDO MANOBRA DE TRANSBORDO"),0)+IFERROR(SUMIFS('Base bordo CD'!M$2:M$875,'Base bordo CD'!D$2:D$875,A300,'Base bordo CD'!A$2:A$875,B300,'Base bordo CD'!L$2:L$875,"FALTA DE TRANSBORDO"),0)</f>
        <v>0.62361111111111112</v>
      </c>
      <c r="I300" s="10">
        <f>IFERROR(SUMIFS('Base bordo CD'!M$2:M$875,'Base bordo CD'!D$2:D$875,A300,'Base bordo CD'!A$2:A$875,B300,'Base bordo CD'!L$2:L$875,"PARADA POR CONDICOES CLIMATICAS"),0)+IFERROR(SUMIFS('Base bordo CD'!M$2:M$875,'Base bordo CD'!D$2:D$875,A300,'Base bordo CD'!A$2:A$875,B300,'Base bordo CD'!L$2:L$875,"TEMPO INDETERMINADO"),0)</f>
        <v>14.053611111111111</v>
      </c>
      <c r="J300" s="10">
        <f>IFERROR(SUMIFS('Base bordo CD'!M$2:M$875,'Base bordo CD'!D$2:D$875,A300,'Base bordo CD'!A$2:A$875,B300,'Base bordo CD'!L$2:L$875,"LIMITAÇÃO INDÚSTRIA"),0)</f>
        <v>0</v>
      </c>
      <c r="K300" s="10">
        <f>IFERROR(SUMIFS('Base bordo CD'!M$2:M$875,'Base bordo CD'!D$2:D$875,A300,'Base bordo CD'!A$2:A$875,B300,'Base bordo CD'!L$2:L$875,"MAN CORRETIVA*"),0)+IFERROR(SUMIFS('Base bordo CD'!M$2:M$875,'Base bordo CD'!D$2:D$875,A300,'Base bordo CD'!A$2:A$875,B300,'Base bordo CD'!L$2:L$875,"AGUARDANDO MANUTENCAO*"),0)+IFERROR(SUMIFS('Base bordo CD'!M$2:M$875,'Base bordo CD'!D$2:D$875,A300,'Base bordo CD'!A$2:A$875,B300,'Base bordo CD'!L$2:L$875,"TROCA DE FAQUINHA"),0)+IFERROR(SUMIFS('Base bordo CD'!M$2:M$875,'Base bordo CD'!D$2:D$875,A300,'Base bordo CD'!A$2:A$875,B300,'Base bordo CD'!L$2:L$875,"LIMPEZA*"),0)</f>
        <v>0</v>
      </c>
      <c r="L300" s="10">
        <f>IFERROR(SUMIFS('Base bordo CD'!M$2:M$875,'Base bordo CD'!D$2:D$875,A300,'Base bordo CD'!A$2:A$875,B300,'Base bordo CD'!L$2:L$875,"PATIO - RESERVA"),0)</f>
        <v>0</v>
      </c>
      <c r="M300" s="10">
        <f>IFERROR(SUMIFS('Base bordo CD'!M$2:M$875,'Base bordo CD'!D$2:D$875,A300,'Base bordo CD'!A$2:A$875,B300,'Base bordo CD'!L$2:L$875,"SEM APONTAMENTO"),0)</f>
        <v>0</v>
      </c>
      <c r="N300" s="10">
        <f>IFERROR(SUMIFS('Base bordo CD'!M$2:M$875,'Base bordo CD'!D$2:D$875,A300,'Base bordo CD'!A$2:A$875,B300,'Base bordo CD'!L$2:L$875,"FALTA DE CAMINHÃO"),0)+IFERROR(SUMIFS('Base bordo CD'!M$2:M$875,'Base bordo CD'!D$2:D$875,A300,'Base bordo CD'!A$2:A$875,B300,'Base bordo CD'!L$2:L$875,"FALTA DE COMBUSTIVEL"),0)+IFERROR(SUMIFS('Base bordo CD'!M$2:M$875,'Base bordo CD'!D$2:D$875,A300,'Base bordo CD'!A$2:A$875,B300,'Base bordo CD'!L$2:L$875,"FALTA DE MOTORIST*"),0)</f>
        <v>0</v>
      </c>
      <c r="O300" s="10">
        <f t="shared" si="25"/>
        <v>4.8055555555553298E-2</v>
      </c>
      <c r="P300" s="10">
        <f>IFERROR(SUMIFS('Base bordo CD'!M$2:M$875,'Base bordo CD'!D$2:D$875,A300,'Base bordo CD'!A$2:A$875,B300),0)</f>
        <v>23.999999999999996</v>
      </c>
      <c r="Q300" s="10">
        <f>IFERROR(SUMIFS('Base bordo CD'!O$2:O$875,'Base bordo CD'!D$2:D$875,A300,'Base bordo CD'!A$2:A$875,B300,'Base bordo CD'!L$2:L$875,"CORTE DE CANA MECANIZADO"),0)</f>
        <v>118424.45000000001</v>
      </c>
      <c r="R300" s="10">
        <f>IFERROR(SUMIFS('Base bordo CD'!Q$2:Q$875,'Base bordo CD'!D$2:D$875,A300,'Base bordo CD'!A$2:A$875,B300,'Base bordo CD'!L$2:L$875,"CORTE DE CANA MECANIZADO"),0)</f>
        <v>26776</v>
      </c>
      <c r="S300" s="30">
        <f t="shared" si="26"/>
        <v>4.42278346280251</v>
      </c>
      <c r="T300" s="9">
        <f t="shared" si="27"/>
        <v>0.30990740740740741</v>
      </c>
      <c r="U300" s="9">
        <f t="shared" si="28"/>
        <v>5.7719907407407421E-2</v>
      </c>
      <c r="V300" s="9">
        <f t="shared" si="29"/>
        <v>0.67127314814814809</v>
      </c>
    </row>
    <row r="301" spans="1:22" x14ac:dyDescent="0.35">
      <c r="A301" s="52">
        <v>49596</v>
      </c>
      <c r="B301" s="31">
        <v>46123</v>
      </c>
      <c r="C301" s="7" t="s">
        <v>337</v>
      </c>
      <c r="D301" s="7">
        <v>353</v>
      </c>
      <c r="E301" s="10">
        <f>IFERROR(SUMIFS('Base bordo CD'!M$2:M$875,'Base bordo CD'!D$2:D$875,A301,'Base bordo CD'!A$2:A$875,B301,'Base bordo CD'!L$2:L$875,"CORTE DE CANA MECANIZADO"),0)</f>
        <v>7.4377777777777769</v>
      </c>
      <c r="F301" s="10">
        <f>IFERROR(SUMIFS('Base bordo CD'!M$2:M$875,'Base bordo CD'!D$2:D$875,A301,'Base bordo CD'!A$2:A$875,B301,'Base bordo CD'!L$2:L$875,"MANOBRA"),0)</f>
        <v>1.3852777777777778</v>
      </c>
      <c r="G301" s="10">
        <f>IFERROR(SUMIFS('Base bordo CD'!M$2:M$875,'Base bordo CD'!D$2:D$875,A301,'Base bordo CD'!A$2:A$875,B301,'Base bordo CD'!L$2:L$875,"DESLOCAMENTO"),0)</f>
        <v>0.45166666666666672</v>
      </c>
      <c r="H301" s="10">
        <f>IFERROR(SUMIFS('Base bordo CD'!M$2:M$875,'Base bordo CD'!D$2:D$875,A301,'Base bordo CD'!A$2:A$875,B301,'Base bordo CD'!L$2:L$875,"AGUARDANDO MANOBRA DE TRANSBORDO"),0)+IFERROR(SUMIFS('Base bordo CD'!M$2:M$875,'Base bordo CD'!D$2:D$875,A301,'Base bordo CD'!A$2:A$875,B301,'Base bordo CD'!L$2:L$875,"FALTA DE TRANSBORDO"),0)</f>
        <v>0.62361111111111112</v>
      </c>
      <c r="I301" s="10">
        <f>IFERROR(SUMIFS('Base bordo CD'!M$2:M$875,'Base bordo CD'!D$2:D$875,A301,'Base bordo CD'!A$2:A$875,B301,'Base bordo CD'!L$2:L$875,"PARADA POR CONDICOES CLIMATICAS"),0)+IFERROR(SUMIFS('Base bordo CD'!M$2:M$875,'Base bordo CD'!D$2:D$875,A301,'Base bordo CD'!A$2:A$875,B301,'Base bordo CD'!L$2:L$875,"TEMPO INDETERMINADO"),0)</f>
        <v>14.053611111111111</v>
      </c>
      <c r="J301" s="10">
        <f>IFERROR(SUMIFS('Base bordo CD'!M$2:M$875,'Base bordo CD'!D$2:D$875,A301,'Base bordo CD'!A$2:A$875,B301,'Base bordo CD'!L$2:L$875,"LIMITAÇÃO INDÚSTRIA"),0)</f>
        <v>0</v>
      </c>
      <c r="K301" s="10">
        <f>IFERROR(SUMIFS('Base bordo CD'!M$2:M$875,'Base bordo CD'!D$2:D$875,A301,'Base bordo CD'!A$2:A$875,B301,'Base bordo CD'!L$2:L$875,"MAN CORRETIVA*"),0)+IFERROR(SUMIFS('Base bordo CD'!M$2:M$875,'Base bordo CD'!D$2:D$875,A301,'Base bordo CD'!A$2:A$875,B301,'Base bordo CD'!L$2:L$875,"AGUARDANDO MANUTENCAO*"),0)+IFERROR(SUMIFS('Base bordo CD'!M$2:M$875,'Base bordo CD'!D$2:D$875,A301,'Base bordo CD'!A$2:A$875,B301,'Base bordo CD'!L$2:L$875,"TROCA DE FAQUINHA"),0)+IFERROR(SUMIFS('Base bordo CD'!M$2:M$875,'Base bordo CD'!D$2:D$875,A301,'Base bordo CD'!A$2:A$875,B301,'Base bordo CD'!L$2:L$875,"LIMPEZA*"),0)</f>
        <v>0</v>
      </c>
      <c r="L301" s="10">
        <f>IFERROR(SUMIFS('Base bordo CD'!M$2:M$875,'Base bordo CD'!D$2:D$875,A301,'Base bordo CD'!A$2:A$875,B301,'Base bordo CD'!L$2:L$875,"PATIO - RESERVA"),0)</f>
        <v>0</v>
      </c>
      <c r="M301" s="10">
        <f>IFERROR(SUMIFS('Base bordo CD'!M$2:M$875,'Base bordo CD'!D$2:D$875,A301,'Base bordo CD'!A$2:A$875,B301,'Base bordo CD'!L$2:L$875,"SEM APONTAMENTO"),0)</f>
        <v>0</v>
      </c>
      <c r="N301" s="10">
        <f>IFERROR(SUMIFS('Base bordo CD'!M$2:M$875,'Base bordo CD'!D$2:D$875,A301,'Base bordo CD'!A$2:A$875,B301,'Base bordo CD'!L$2:L$875,"FALTA DE CAMINHÃO"),0)+IFERROR(SUMIFS('Base bordo CD'!M$2:M$875,'Base bordo CD'!D$2:D$875,A301,'Base bordo CD'!A$2:A$875,B301,'Base bordo CD'!L$2:L$875,"FALTA DE COMBUSTIVEL"),0)+IFERROR(SUMIFS('Base bordo CD'!M$2:M$875,'Base bordo CD'!D$2:D$875,A301,'Base bordo CD'!A$2:A$875,B301,'Base bordo CD'!L$2:L$875,"FALTA DE MOTORIST*"),0)</f>
        <v>0</v>
      </c>
      <c r="O301" s="10">
        <f t="shared" si="25"/>
        <v>4.8055555555553298E-2</v>
      </c>
      <c r="P301" s="10">
        <f>IFERROR(SUMIFS('Base bordo CD'!M$2:M$875,'Base bordo CD'!D$2:D$875,A301,'Base bordo CD'!A$2:A$875,B301),0)</f>
        <v>23.999999999999996</v>
      </c>
      <c r="Q301" s="10">
        <f>IFERROR(SUMIFS('Base bordo CD'!O$2:O$875,'Base bordo CD'!D$2:D$875,A301,'Base bordo CD'!A$2:A$875,B301,'Base bordo CD'!L$2:L$875,"CORTE DE CANA MECANIZADO"),0)</f>
        <v>118424.45000000001</v>
      </c>
      <c r="R301" s="10">
        <f>IFERROR(SUMIFS('Base bordo CD'!Q$2:Q$875,'Base bordo CD'!D$2:D$875,A301,'Base bordo CD'!A$2:A$875,B301,'Base bordo CD'!L$2:L$875,"CORTE DE CANA MECANIZADO"),0)</f>
        <v>26776</v>
      </c>
      <c r="S301" s="30">
        <f t="shared" si="26"/>
        <v>4.42278346280251</v>
      </c>
      <c r="T301" s="9">
        <f t="shared" si="27"/>
        <v>0.30990740740740741</v>
      </c>
      <c r="U301" s="9">
        <f t="shared" si="28"/>
        <v>5.7719907407407421E-2</v>
      </c>
      <c r="V301" s="9">
        <f t="shared" si="29"/>
        <v>0.67127314814814809</v>
      </c>
    </row>
    <row r="302" spans="1:22" x14ac:dyDescent="0.35">
      <c r="A302" s="52">
        <v>49596</v>
      </c>
      <c r="B302" s="31">
        <v>46123</v>
      </c>
      <c r="C302" s="7" t="s">
        <v>337</v>
      </c>
      <c r="D302" s="7">
        <v>353</v>
      </c>
      <c r="E302" s="10">
        <f>IFERROR(SUMIFS('Base bordo CD'!M$2:M$875,'Base bordo CD'!D$2:D$875,A302,'Base bordo CD'!A$2:A$875,B302,'Base bordo CD'!L$2:L$875,"CORTE DE CANA MECANIZADO"),0)</f>
        <v>7.4377777777777769</v>
      </c>
      <c r="F302" s="10">
        <f>IFERROR(SUMIFS('Base bordo CD'!M$2:M$875,'Base bordo CD'!D$2:D$875,A302,'Base bordo CD'!A$2:A$875,B302,'Base bordo CD'!L$2:L$875,"MANOBRA"),0)</f>
        <v>1.3852777777777778</v>
      </c>
      <c r="G302" s="10">
        <f>IFERROR(SUMIFS('Base bordo CD'!M$2:M$875,'Base bordo CD'!D$2:D$875,A302,'Base bordo CD'!A$2:A$875,B302,'Base bordo CD'!L$2:L$875,"DESLOCAMENTO"),0)</f>
        <v>0.45166666666666672</v>
      </c>
      <c r="H302" s="10">
        <f>IFERROR(SUMIFS('Base bordo CD'!M$2:M$875,'Base bordo CD'!D$2:D$875,A302,'Base bordo CD'!A$2:A$875,B302,'Base bordo CD'!L$2:L$875,"AGUARDANDO MANOBRA DE TRANSBORDO"),0)+IFERROR(SUMIFS('Base bordo CD'!M$2:M$875,'Base bordo CD'!D$2:D$875,A302,'Base bordo CD'!A$2:A$875,B302,'Base bordo CD'!L$2:L$875,"FALTA DE TRANSBORDO"),0)</f>
        <v>0.62361111111111112</v>
      </c>
      <c r="I302" s="10">
        <f>IFERROR(SUMIFS('Base bordo CD'!M$2:M$875,'Base bordo CD'!D$2:D$875,A302,'Base bordo CD'!A$2:A$875,B302,'Base bordo CD'!L$2:L$875,"PARADA POR CONDICOES CLIMATICAS"),0)+IFERROR(SUMIFS('Base bordo CD'!M$2:M$875,'Base bordo CD'!D$2:D$875,A302,'Base bordo CD'!A$2:A$875,B302,'Base bordo CD'!L$2:L$875,"TEMPO INDETERMINADO"),0)</f>
        <v>14.053611111111111</v>
      </c>
      <c r="J302" s="10">
        <f>IFERROR(SUMIFS('Base bordo CD'!M$2:M$875,'Base bordo CD'!D$2:D$875,A302,'Base bordo CD'!A$2:A$875,B302,'Base bordo CD'!L$2:L$875,"LIMITAÇÃO INDÚSTRIA"),0)</f>
        <v>0</v>
      </c>
      <c r="K302" s="10">
        <f>IFERROR(SUMIFS('Base bordo CD'!M$2:M$875,'Base bordo CD'!D$2:D$875,A302,'Base bordo CD'!A$2:A$875,B302,'Base bordo CD'!L$2:L$875,"MAN CORRETIVA*"),0)+IFERROR(SUMIFS('Base bordo CD'!M$2:M$875,'Base bordo CD'!D$2:D$875,A302,'Base bordo CD'!A$2:A$875,B302,'Base bordo CD'!L$2:L$875,"AGUARDANDO MANUTENCAO*"),0)+IFERROR(SUMIFS('Base bordo CD'!M$2:M$875,'Base bordo CD'!D$2:D$875,A302,'Base bordo CD'!A$2:A$875,B302,'Base bordo CD'!L$2:L$875,"TROCA DE FAQUINHA"),0)+IFERROR(SUMIFS('Base bordo CD'!M$2:M$875,'Base bordo CD'!D$2:D$875,A302,'Base bordo CD'!A$2:A$875,B302,'Base bordo CD'!L$2:L$875,"LIMPEZA*"),0)</f>
        <v>0</v>
      </c>
      <c r="L302" s="10">
        <f>IFERROR(SUMIFS('Base bordo CD'!M$2:M$875,'Base bordo CD'!D$2:D$875,A302,'Base bordo CD'!A$2:A$875,B302,'Base bordo CD'!L$2:L$875,"PATIO - RESERVA"),0)</f>
        <v>0</v>
      </c>
      <c r="M302" s="10">
        <f>IFERROR(SUMIFS('Base bordo CD'!M$2:M$875,'Base bordo CD'!D$2:D$875,A302,'Base bordo CD'!A$2:A$875,B302,'Base bordo CD'!L$2:L$875,"SEM APONTAMENTO"),0)</f>
        <v>0</v>
      </c>
      <c r="N302" s="10">
        <f>IFERROR(SUMIFS('Base bordo CD'!M$2:M$875,'Base bordo CD'!D$2:D$875,A302,'Base bordo CD'!A$2:A$875,B302,'Base bordo CD'!L$2:L$875,"FALTA DE CAMINHÃO"),0)+IFERROR(SUMIFS('Base bordo CD'!M$2:M$875,'Base bordo CD'!D$2:D$875,A302,'Base bordo CD'!A$2:A$875,B302,'Base bordo CD'!L$2:L$875,"FALTA DE COMBUSTIVEL"),0)+IFERROR(SUMIFS('Base bordo CD'!M$2:M$875,'Base bordo CD'!D$2:D$875,A302,'Base bordo CD'!A$2:A$875,B302,'Base bordo CD'!L$2:L$875,"FALTA DE MOTORIST*"),0)</f>
        <v>0</v>
      </c>
      <c r="O302" s="10">
        <f t="shared" si="25"/>
        <v>4.8055555555553298E-2</v>
      </c>
      <c r="P302" s="10">
        <f>IFERROR(SUMIFS('Base bordo CD'!M$2:M$875,'Base bordo CD'!D$2:D$875,A302,'Base bordo CD'!A$2:A$875,B302),0)</f>
        <v>23.999999999999996</v>
      </c>
      <c r="Q302" s="10">
        <f>IFERROR(SUMIFS('Base bordo CD'!O$2:O$875,'Base bordo CD'!D$2:D$875,A302,'Base bordo CD'!A$2:A$875,B302,'Base bordo CD'!L$2:L$875,"CORTE DE CANA MECANIZADO"),0)</f>
        <v>118424.45000000001</v>
      </c>
      <c r="R302" s="10">
        <f>IFERROR(SUMIFS('Base bordo CD'!Q$2:Q$875,'Base bordo CD'!D$2:D$875,A302,'Base bordo CD'!A$2:A$875,B302,'Base bordo CD'!L$2:L$875,"CORTE DE CANA MECANIZADO"),0)</f>
        <v>26776</v>
      </c>
      <c r="S302" s="30">
        <f t="shared" si="26"/>
        <v>4.42278346280251</v>
      </c>
      <c r="T302" s="9">
        <f t="shared" si="27"/>
        <v>0.30990740740740741</v>
      </c>
      <c r="U302" s="9">
        <f t="shared" si="28"/>
        <v>5.7719907407407421E-2</v>
      </c>
      <c r="V302" s="9">
        <f t="shared" si="29"/>
        <v>0.67127314814814809</v>
      </c>
    </row>
    <row r="303" spans="1:22" x14ac:dyDescent="0.35">
      <c r="A303" s="52">
        <v>49596</v>
      </c>
      <c r="B303" s="31">
        <v>46123</v>
      </c>
      <c r="C303" s="7" t="s">
        <v>337</v>
      </c>
      <c r="D303" s="7">
        <v>353</v>
      </c>
      <c r="E303" s="10">
        <f>IFERROR(SUMIFS('Base bordo CD'!M$2:M$875,'Base bordo CD'!D$2:D$875,A303,'Base bordo CD'!A$2:A$875,B303,'Base bordo CD'!L$2:L$875,"CORTE DE CANA MECANIZADO"),0)</f>
        <v>7.4377777777777769</v>
      </c>
      <c r="F303" s="10">
        <f>IFERROR(SUMIFS('Base bordo CD'!M$2:M$875,'Base bordo CD'!D$2:D$875,A303,'Base bordo CD'!A$2:A$875,B303,'Base bordo CD'!L$2:L$875,"MANOBRA"),0)</f>
        <v>1.3852777777777778</v>
      </c>
      <c r="G303" s="10">
        <f>IFERROR(SUMIFS('Base bordo CD'!M$2:M$875,'Base bordo CD'!D$2:D$875,A303,'Base bordo CD'!A$2:A$875,B303,'Base bordo CD'!L$2:L$875,"DESLOCAMENTO"),0)</f>
        <v>0.45166666666666672</v>
      </c>
      <c r="H303" s="10">
        <f>IFERROR(SUMIFS('Base bordo CD'!M$2:M$875,'Base bordo CD'!D$2:D$875,A303,'Base bordo CD'!A$2:A$875,B303,'Base bordo CD'!L$2:L$875,"AGUARDANDO MANOBRA DE TRANSBORDO"),0)+IFERROR(SUMIFS('Base bordo CD'!M$2:M$875,'Base bordo CD'!D$2:D$875,A303,'Base bordo CD'!A$2:A$875,B303,'Base bordo CD'!L$2:L$875,"FALTA DE TRANSBORDO"),0)</f>
        <v>0.62361111111111112</v>
      </c>
      <c r="I303" s="10">
        <f>IFERROR(SUMIFS('Base bordo CD'!M$2:M$875,'Base bordo CD'!D$2:D$875,A303,'Base bordo CD'!A$2:A$875,B303,'Base bordo CD'!L$2:L$875,"PARADA POR CONDICOES CLIMATICAS"),0)+IFERROR(SUMIFS('Base bordo CD'!M$2:M$875,'Base bordo CD'!D$2:D$875,A303,'Base bordo CD'!A$2:A$875,B303,'Base bordo CD'!L$2:L$875,"TEMPO INDETERMINADO"),0)</f>
        <v>14.053611111111111</v>
      </c>
      <c r="J303" s="10">
        <f>IFERROR(SUMIFS('Base bordo CD'!M$2:M$875,'Base bordo CD'!D$2:D$875,A303,'Base bordo CD'!A$2:A$875,B303,'Base bordo CD'!L$2:L$875,"LIMITAÇÃO INDÚSTRIA"),0)</f>
        <v>0</v>
      </c>
      <c r="K303" s="10">
        <f>IFERROR(SUMIFS('Base bordo CD'!M$2:M$875,'Base bordo CD'!D$2:D$875,A303,'Base bordo CD'!A$2:A$875,B303,'Base bordo CD'!L$2:L$875,"MAN CORRETIVA*"),0)+IFERROR(SUMIFS('Base bordo CD'!M$2:M$875,'Base bordo CD'!D$2:D$875,A303,'Base bordo CD'!A$2:A$875,B303,'Base bordo CD'!L$2:L$875,"AGUARDANDO MANUTENCAO*"),0)+IFERROR(SUMIFS('Base bordo CD'!M$2:M$875,'Base bordo CD'!D$2:D$875,A303,'Base bordo CD'!A$2:A$875,B303,'Base bordo CD'!L$2:L$875,"TROCA DE FAQUINHA"),0)+IFERROR(SUMIFS('Base bordo CD'!M$2:M$875,'Base bordo CD'!D$2:D$875,A303,'Base bordo CD'!A$2:A$875,B303,'Base bordo CD'!L$2:L$875,"LIMPEZA*"),0)</f>
        <v>0</v>
      </c>
      <c r="L303" s="10">
        <f>IFERROR(SUMIFS('Base bordo CD'!M$2:M$875,'Base bordo CD'!D$2:D$875,A303,'Base bordo CD'!A$2:A$875,B303,'Base bordo CD'!L$2:L$875,"PATIO - RESERVA"),0)</f>
        <v>0</v>
      </c>
      <c r="M303" s="10">
        <f>IFERROR(SUMIFS('Base bordo CD'!M$2:M$875,'Base bordo CD'!D$2:D$875,A303,'Base bordo CD'!A$2:A$875,B303,'Base bordo CD'!L$2:L$875,"SEM APONTAMENTO"),0)</f>
        <v>0</v>
      </c>
      <c r="N303" s="10">
        <f>IFERROR(SUMIFS('Base bordo CD'!M$2:M$875,'Base bordo CD'!D$2:D$875,A303,'Base bordo CD'!A$2:A$875,B303,'Base bordo CD'!L$2:L$875,"FALTA DE CAMINHÃO"),0)+IFERROR(SUMIFS('Base bordo CD'!M$2:M$875,'Base bordo CD'!D$2:D$875,A303,'Base bordo CD'!A$2:A$875,B303,'Base bordo CD'!L$2:L$875,"FALTA DE COMBUSTIVEL"),0)+IFERROR(SUMIFS('Base bordo CD'!M$2:M$875,'Base bordo CD'!D$2:D$875,A303,'Base bordo CD'!A$2:A$875,B303,'Base bordo CD'!L$2:L$875,"FALTA DE MOTORIST*"),0)</f>
        <v>0</v>
      </c>
      <c r="O303" s="10">
        <f t="shared" si="25"/>
        <v>4.8055555555553298E-2</v>
      </c>
      <c r="P303" s="10">
        <f>IFERROR(SUMIFS('Base bordo CD'!M$2:M$875,'Base bordo CD'!D$2:D$875,A303,'Base bordo CD'!A$2:A$875,B303),0)</f>
        <v>23.999999999999996</v>
      </c>
      <c r="Q303" s="10">
        <f>IFERROR(SUMIFS('Base bordo CD'!O$2:O$875,'Base bordo CD'!D$2:D$875,A303,'Base bordo CD'!A$2:A$875,B303,'Base bordo CD'!L$2:L$875,"CORTE DE CANA MECANIZADO"),0)</f>
        <v>118424.45000000001</v>
      </c>
      <c r="R303" s="10">
        <f>IFERROR(SUMIFS('Base bordo CD'!Q$2:Q$875,'Base bordo CD'!D$2:D$875,A303,'Base bordo CD'!A$2:A$875,B303,'Base bordo CD'!L$2:L$875,"CORTE DE CANA MECANIZADO"),0)</f>
        <v>26776</v>
      </c>
      <c r="S303" s="30">
        <f t="shared" si="26"/>
        <v>4.42278346280251</v>
      </c>
      <c r="T303" s="9">
        <f t="shared" si="27"/>
        <v>0.30990740740740741</v>
      </c>
      <c r="U303" s="9">
        <f t="shared" si="28"/>
        <v>5.7719907407407421E-2</v>
      </c>
      <c r="V303" s="9">
        <f t="shared" si="29"/>
        <v>0.67127314814814809</v>
      </c>
    </row>
    <row r="304" spans="1:22" x14ac:dyDescent="0.35">
      <c r="A304" s="52">
        <v>49596</v>
      </c>
      <c r="B304" s="31">
        <v>46123</v>
      </c>
      <c r="C304" s="7" t="s">
        <v>337</v>
      </c>
      <c r="D304" s="7">
        <v>353</v>
      </c>
      <c r="E304" s="10">
        <f>IFERROR(SUMIFS('Base bordo CD'!M$2:M$875,'Base bordo CD'!D$2:D$875,A304,'Base bordo CD'!A$2:A$875,B304,'Base bordo CD'!L$2:L$875,"CORTE DE CANA MECANIZADO"),0)</f>
        <v>7.4377777777777769</v>
      </c>
      <c r="F304" s="10">
        <f>IFERROR(SUMIFS('Base bordo CD'!M$2:M$875,'Base bordo CD'!D$2:D$875,A304,'Base bordo CD'!A$2:A$875,B304,'Base bordo CD'!L$2:L$875,"MANOBRA"),0)</f>
        <v>1.3852777777777778</v>
      </c>
      <c r="G304" s="10">
        <f>IFERROR(SUMIFS('Base bordo CD'!M$2:M$875,'Base bordo CD'!D$2:D$875,A304,'Base bordo CD'!A$2:A$875,B304,'Base bordo CD'!L$2:L$875,"DESLOCAMENTO"),0)</f>
        <v>0.45166666666666672</v>
      </c>
      <c r="H304" s="10">
        <f>IFERROR(SUMIFS('Base bordo CD'!M$2:M$875,'Base bordo CD'!D$2:D$875,A304,'Base bordo CD'!A$2:A$875,B304,'Base bordo CD'!L$2:L$875,"AGUARDANDO MANOBRA DE TRANSBORDO"),0)+IFERROR(SUMIFS('Base bordo CD'!M$2:M$875,'Base bordo CD'!D$2:D$875,A304,'Base bordo CD'!A$2:A$875,B304,'Base bordo CD'!L$2:L$875,"FALTA DE TRANSBORDO"),0)</f>
        <v>0.62361111111111112</v>
      </c>
      <c r="I304" s="10">
        <f>IFERROR(SUMIFS('Base bordo CD'!M$2:M$875,'Base bordo CD'!D$2:D$875,A304,'Base bordo CD'!A$2:A$875,B304,'Base bordo CD'!L$2:L$875,"PARADA POR CONDICOES CLIMATICAS"),0)+IFERROR(SUMIFS('Base bordo CD'!M$2:M$875,'Base bordo CD'!D$2:D$875,A304,'Base bordo CD'!A$2:A$875,B304,'Base bordo CD'!L$2:L$875,"TEMPO INDETERMINADO"),0)</f>
        <v>14.053611111111111</v>
      </c>
      <c r="J304" s="10">
        <f>IFERROR(SUMIFS('Base bordo CD'!M$2:M$875,'Base bordo CD'!D$2:D$875,A304,'Base bordo CD'!A$2:A$875,B304,'Base bordo CD'!L$2:L$875,"LIMITAÇÃO INDÚSTRIA"),0)</f>
        <v>0</v>
      </c>
      <c r="K304" s="10">
        <f>IFERROR(SUMIFS('Base bordo CD'!M$2:M$875,'Base bordo CD'!D$2:D$875,A304,'Base bordo CD'!A$2:A$875,B304,'Base bordo CD'!L$2:L$875,"MAN CORRETIVA*"),0)+IFERROR(SUMIFS('Base bordo CD'!M$2:M$875,'Base bordo CD'!D$2:D$875,A304,'Base bordo CD'!A$2:A$875,B304,'Base bordo CD'!L$2:L$875,"AGUARDANDO MANUTENCAO*"),0)+IFERROR(SUMIFS('Base bordo CD'!M$2:M$875,'Base bordo CD'!D$2:D$875,A304,'Base bordo CD'!A$2:A$875,B304,'Base bordo CD'!L$2:L$875,"TROCA DE FAQUINHA"),0)+IFERROR(SUMIFS('Base bordo CD'!M$2:M$875,'Base bordo CD'!D$2:D$875,A304,'Base bordo CD'!A$2:A$875,B304,'Base bordo CD'!L$2:L$875,"LIMPEZA*"),0)</f>
        <v>0</v>
      </c>
      <c r="L304" s="10">
        <f>IFERROR(SUMIFS('Base bordo CD'!M$2:M$875,'Base bordo CD'!D$2:D$875,A304,'Base bordo CD'!A$2:A$875,B304,'Base bordo CD'!L$2:L$875,"PATIO - RESERVA"),0)</f>
        <v>0</v>
      </c>
      <c r="M304" s="10">
        <f>IFERROR(SUMIFS('Base bordo CD'!M$2:M$875,'Base bordo CD'!D$2:D$875,A304,'Base bordo CD'!A$2:A$875,B304,'Base bordo CD'!L$2:L$875,"SEM APONTAMENTO"),0)</f>
        <v>0</v>
      </c>
      <c r="N304" s="10">
        <f>IFERROR(SUMIFS('Base bordo CD'!M$2:M$875,'Base bordo CD'!D$2:D$875,A304,'Base bordo CD'!A$2:A$875,B304,'Base bordo CD'!L$2:L$875,"FALTA DE CAMINHÃO"),0)+IFERROR(SUMIFS('Base bordo CD'!M$2:M$875,'Base bordo CD'!D$2:D$875,A304,'Base bordo CD'!A$2:A$875,B304,'Base bordo CD'!L$2:L$875,"FALTA DE COMBUSTIVEL"),0)+IFERROR(SUMIFS('Base bordo CD'!M$2:M$875,'Base bordo CD'!D$2:D$875,A304,'Base bordo CD'!A$2:A$875,B304,'Base bordo CD'!L$2:L$875,"FALTA DE MOTORIST*"),0)</f>
        <v>0</v>
      </c>
      <c r="O304" s="10">
        <f t="shared" si="25"/>
        <v>4.8055555555553298E-2</v>
      </c>
      <c r="P304" s="10">
        <f>IFERROR(SUMIFS('Base bordo CD'!M$2:M$875,'Base bordo CD'!D$2:D$875,A304,'Base bordo CD'!A$2:A$875,B304),0)</f>
        <v>23.999999999999996</v>
      </c>
      <c r="Q304" s="10">
        <f>IFERROR(SUMIFS('Base bordo CD'!O$2:O$875,'Base bordo CD'!D$2:D$875,A304,'Base bordo CD'!A$2:A$875,B304,'Base bordo CD'!L$2:L$875,"CORTE DE CANA MECANIZADO"),0)</f>
        <v>118424.45000000001</v>
      </c>
      <c r="R304" s="10">
        <f>IFERROR(SUMIFS('Base bordo CD'!Q$2:Q$875,'Base bordo CD'!D$2:D$875,A304,'Base bordo CD'!A$2:A$875,B304,'Base bordo CD'!L$2:L$875,"CORTE DE CANA MECANIZADO"),0)</f>
        <v>26776</v>
      </c>
      <c r="S304" s="30">
        <f t="shared" si="26"/>
        <v>4.42278346280251</v>
      </c>
      <c r="T304" s="9">
        <f t="shared" si="27"/>
        <v>0.30990740740740741</v>
      </c>
      <c r="U304" s="9">
        <f t="shared" si="28"/>
        <v>5.7719907407407421E-2</v>
      </c>
      <c r="V304" s="9">
        <f t="shared" si="29"/>
        <v>0.67127314814814809</v>
      </c>
    </row>
    <row r="305" spans="1:22" x14ac:dyDescent="0.35">
      <c r="A305" s="52">
        <v>49596</v>
      </c>
      <c r="B305" s="31">
        <v>46123</v>
      </c>
      <c r="C305" s="7" t="s">
        <v>337</v>
      </c>
      <c r="D305" s="7">
        <v>353</v>
      </c>
      <c r="E305" s="10">
        <f>IFERROR(SUMIFS('Base bordo CD'!M$2:M$875,'Base bordo CD'!D$2:D$875,A305,'Base bordo CD'!A$2:A$875,B305,'Base bordo CD'!L$2:L$875,"CORTE DE CANA MECANIZADO"),0)</f>
        <v>7.4377777777777769</v>
      </c>
      <c r="F305" s="10">
        <f>IFERROR(SUMIFS('Base bordo CD'!M$2:M$875,'Base bordo CD'!D$2:D$875,A305,'Base bordo CD'!A$2:A$875,B305,'Base bordo CD'!L$2:L$875,"MANOBRA"),0)</f>
        <v>1.3852777777777778</v>
      </c>
      <c r="G305" s="10">
        <f>IFERROR(SUMIFS('Base bordo CD'!M$2:M$875,'Base bordo CD'!D$2:D$875,A305,'Base bordo CD'!A$2:A$875,B305,'Base bordo CD'!L$2:L$875,"DESLOCAMENTO"),0)</f>
        <v>0.45166666666666672</v>
      </c>
      <c r="H305" s="10">
        <f>IFERROR(SUMIFS('Base bordo CD'!M$2:M$875,'Base bordo CD'!D$2:D$875,A305,'Base bordo CD'!A$2:A$875,B305,'Base bordo CD'!L$2:L$875,"AGUARDANDO MANOBRA DE TRANSBORDO"),0)+IFERROR(SUMIFS('Base bordo CD'!M$2:M$875,'Base bordo CD'!D$2:D$875,A305,'Base bordo CD'!A$2:A$875,B305,'Base bordo CD'!L$2:L$875,"FALTA DE TRANSBORDO"),0)</f>
        <v>0.62361111111111112</v>
      </c>
      <c r="I305" s="10">
        <f>IFERROR(SUMIFS('Base bordo CD'!M$2:M$875,'Base bordo CD'!D$2:D$875,A305,'Base bordo CD'!A$2:A$875,B305,'Base bordo CD'!L$2:L$875,"PARADA POR CONDICOES CLIMATICAS"),0)+IFERROR(SUMIFS('Base bordo CD'!M$2:M$875,'Base bordo CD'!D$2:D$875,A305,'Base bordo CD'!A$2:A$875,B305,'Base bordo CD'!L$2:L$875,"TEMPO INDETERMINADO"),0)</f>
        <v>14.053611111111111</v>
      </c>
      <c r="J305" s="10">
        <f>IFERROR(SUMIFS('Base bordo CD'!M$2:M$875,'Base bordo CD'!D$2:D$875,A305,'Base bordo CD'!A$2:A$875,B305,'Base bordo CD'!L$2:L$875,"LIMITAÇÃO INDÚSTRIA"),0)</f>
        <v>0</v>
      </c>
      <c r="K305" s="10">
        <f>IFERROR(SUMIFS('Base bordo CD'!M$2:M$875,'Base bordo CD'!D$2:D$875,A305,'Base bordo CD'!A$2:A$875,B305,'Base bordo CD'!L$2:L$875,"MAN CORRETIVA*"),0)+IFERROR(SUMIFS('Base bordo CD'!M$2:M$875,'Base bordo CD'!D$2:D$875,A305,'Base bordo CD'!A$2:A$875,B305,'Base bordo CD'!L$2:L$875,"AGUARDANDO MANUTENCAO*"),0)+IFERROR(SUMIFS('Base bordo CD'!M$2:M$875,'Base bordo CD'!D$2:D$875,A305,'Base bordo CD'!A$2:A$875,B305,'Base bordo CD'!L$2:L$875,"TROCA DE FAQUINHA"),0)+IFERROR(SUMIFS('Base bordo CD'!M$2:M$875,'Base bordo CD'!D$2:D$875,A305,'Base bordo CD'!A$2:A$875,B305,'Base bordo CD'!L$2:L$875,"LIMPEZA*"),0)</f>
        <v>0</v>
      </c>
      <c r="L305" s="10">
        <f>IFERROR(SUMIFS('Base bordo CD'!M$2:M$875,'Base bordo CD'!D$2:D$875,A305,'Base bordo CD'!A$2:A$875,B305,'Base bordo CD'!L$2:L$875,"PATIO - RESERVA"),0)</f>
        <v>0</v>
      </c>
      <c r="M305" s="10">
        <f>IFERROR(SUMIFS('Base bordo CD'!M$2:M$875,'Base bordo CD'!D$2:D$875,A305,'Base bordo CD'!A$2:A$875,B305,'Base bordo CD'!L$2:L$875,"SEM APONTAMENTO"),0)</f>
        <v>0</v>
      </c>
      <c r="N305" s="10">
        <f>IFERROR(SUMIFS('Base bordo CD'!M$2:M$875,'Base bordo CD'!D$2:D$875,A305,'Base bordo CD'!A$2:A$875,B305,'Base bordo CD'!L$2:L$875,"FALTA DE CAMINHÃO"),0)+IFERROR(SUMIFS('Base bordo CD'!M$2:M$875,'Base bordo CD'!D$2:D$875,A305,'Base bordo CD'!A$2:A$875,B305,'Base bordo CD'!L$2:L$875,"FALTA DE COMBUSTIVEL"),0)+IFERROR(SUMIFS('Base bordo CD'!M$2:M$875,'Base bordo CD'!D$2:D$875,A305,'Base bordo CD'!A$2:A$875,B305,'Base bordo CD'!L$2:L$875,"FALTA DE MOTORIST*"),0)</f>
        <v>0</v>
      </c>
      <c r="O305" s="10">
        <f t="shared" si="25"/>
        <v>4.8055555555553298E-2</v>
      </c>
      <c r="P305" s="10">
        <f>IFERROR(SUMIFS('Base bordo CD'!M$2:M$875,'Base bordo CD'!D$2:D$875,A305,'Base bordo CD'!A$2:A$875,B305),0)</f>
        <v>23.999999999999996</v>
      </c>
      <c r="Q305" s="10">
        <f>IFERROR(SUMIFS('Base bordo CD'!O$2:O$875,'Base bordo CD'!D$2:D$875,A305,'Base bordo CD'!A$2:A$875,B305,'Base bordo CD'!L$2:L$875,"CORTE DE CANA MECANIZADO"),0)</f>
        <v>118424.45000000001</v>
      </c>
      <c r="R305" s="10">
        <f>IFERROR(SUMIFS('Base bordo CD'!Q$2:Q$875,'Base bordo CD'!D$2:D$875,A305,'Base bordo CD'!A$2:A$875,B305,'Base bordo CD'!L$2:L$875,"CORTE DE CANA MECANIZADO"),0)</f>
        <v>26776</v>
      </c>
      <c r="S305" s="30">
        <f t="shared" si="26"/>
        <v>4.42278346280251</v>
      </c>
      <c r="T305" s="9">
        <f t="shared" si="27"/>
        <v>0.30990740740740741</v>
      </c>
      <c r="U305" s="9">
        <f t="shared" si="28"/>
        <v>5.7719907407407421E-2</v>
      </c>
      <c r="V305" s="9">
        <f t="shared" si="29"/>
        <v>0.67127314814814809</v>
      </c>
    </row>
    <row r="306" spans="1:22" x14ac:dyDescent="0.35">
      <c r="A306" s="52">
        <v>49596</v>
      </c>
      <c r="B306" s="31">
        <v>46123</v>
      </c>
      <c r="C306" s="7" t="s">
        <v>337</v>
      </c>
      <c r="D306" s="7">
        <v>353</v>
      </c>
      <c r="E306" s="10">
        <f>IFERROR(SUMIFS('Base bordo CD'!M$2:M$875,'Base bordo CD'!D$2:D$875,A306,'Base bordo CD'!A$2:A$875,B306,'Base bordo CD'!L$2:L$875,"CORTE DE CANA MECANIZADO"),0)</f>
        <v>7.4377777777777769</v>
      </c>
      <c r="F306" s="10">
        <f>IFERROR(SUMIFS('Base bordo CD'!M$2:M$875,'Base bordo CD'!D$2:D$875,A306,'Base bordo CD'!A$2:A$875,B306,'Base bordo CD'!L$2:L$875,"MANOBRA"),0)</f>
        <v>1.3852777777777778</v>
      </c>
      <c r="G306" s="10">
        <f>IFERROR(SUMIFS('Base bordo CD'!M$2:M$875,'Base bordo CD'!D$2:D$875,A306,'Base bordo CD'!A$2:A$875,B306,'Base bordo CD'!L$2:L$875,"DESLOCAMENTO"),0)</f>
        <v>0.45166666666666672</v>
      </c>
      <c r="H306" s="10">
        <f>IFERROR(SUMIFS('Base bordo CD'!M$2:M$875,'Base bordo CD'!D$2:D$875,A306,'Base bordo CD'!A$2:A$875,B306,'Base bordo CD'!L$2:L$875,"AGUARDANDO MANOBRA DE TRANSBORDO"),0)+IFERROR(SUMIFS('Base bordo CD'!M$2:M$875,'Base bordo CD'!D$2:D$875,A306,'Base bordo CD'!A$2:A$875,B306,'Base bordo CD'!L$2:L$875,"FALTA DE TRANSBORDO"),0)</f>
        <v>0.62361111111111112</v>
      </c>
      <c r="I306" s="10">
        <f>IFERROR(SUMIFS('Base bordo CD'!M$2:M$875,'Base bordo CD'!D$2:D$875,A306,'Base bordo CD'!A$2:A$875,B306,'Base bordo CD'!L$2:L$875,"PARADA POR CONDICOES CLIMATICAS"),0)+IFERROR(SUMIFS('Base bordo CD'!M$2:M$875,'Base bordo CD'!D$2:D$875,A306,'Base bordo CD'!A$2:A$875,B306,'Base bordo CD'!L$2:L$875,"TEMPO INDETERMINADO"),0)</f>
        <v>14.053611111111111</v>
      </c>
      <c r="J306" s="10">
        <f>IFERROR(SUMIFS('Base bordo CD'!M$2:M$875,'Base bordo CD'!D$2:D$875,A306,'Base bordo CD'!A$2:A$875,B306,'Base bordo CD'!L$2:L$875,"LIMITAÇÃO INDÚSTRIA"),0)</f>
        <v>0</v>
      </c>
      <c r="K306" s="10">
        <f>IFERROR(SUMIFS('Base bordo CD'!M$2:M$875,'Base bordo CD'!D$2:D$875,A306,'Base bordo CD'!A$2:A$875,B306,'Base bordo CD'!L$2:L$875,"MAN CORRETIVA*"),0)+IFERROR(SUMIFS('Base bordo CD'!M$2:M$875,'Base bordo CD'!D$2:D$875,A306,'Base bordo CD'!A$2:A$875,B306,'Base bordo CD'!L$2:L$875,"AGUARDANDO MANUTENCAO*"),0)+IFERROR(SUMIFS('Base bordo CD'!M$2:M$875,'Base bordo CD'!D$2:D$875,A306,'Base bordo CD'!A$2:A$875,B306,'Base bordo CD'!L$2:L$875,"TROCA DE FAQUINHA"),0)+IFERROR(SUMIFS('Base bordo CD'!M$2:M$875,'Base bordo CD'!D$2:D$875,A306,'Base bordo CD'!A$2:A$875,B306,'Base bordo CD'!L$2:L$875,"LIMPEZA*"),0)</f>
        <v>0</v>
      </c>
      <c r="L306" s="10">
        <f>IFERROR(SUMIFS('Base bordo CD'!M$2:M$875,'Base bordo CD'!D$2:D$875,A306,'Base bordo CD'!A$2:A$875,B306,'Base bordo CD'!L$2:L$875,"PATIO - RESERVA"),0)</f>
        <v>0</v>
      </c>
      <c r="M306" s="10">
        <f>IFERROR(SUMIFS('Base bordo CD'!M$2:M$875,'Base bordo CD'!D$2:D$875,A306,'Base bordo CD'!A$2:A$875,B306,'Base bordo CD'!L$2:L$875,"SEM APONTAMENTO"),0)</f>
        <v>0</v>
      </c>
      <c r="N306" s="10">
        <f>IFERROR(SUMIFS('Base bordo CD'!M$2:M$875,'Base bordo CD'!D$2:D$875,A306,'Base bordo CD'!A$2:A$875,B306,'Base bordo CD'!L$2:L$875,"FALTA DE CAMINHÃO"),0)+IFERROR(SUMIFS('Base bordo CD'!M$2:M$875,'Base bordo CD'!D$2:D$875,A306,'Base bordo CD'!A$2:A$875,B306,'Base bordo CD'!L$2:L$875,"FALTA DE COMBUSTIVEL"),0)+IFERROR(SUMIFS('Base bordo CD'!M$2:M$875,'Base bordo CD'!D$2:D$875,A306,'Base bordo CD'!A$2:A$875,B306,'Base bordo CD'!L$2:L$875,"FALTA DE MOTORIST*"),0)</f>
        <v>0</v>
      </c>
      <c r="O306" s="10">
        <f t="shared" si="25"/>
        <v>4.8055555555553298E-2</v>
      </c>
      <c r="P306" s="10">
        <f>IFERROR(SUMIFS('Base bordo CD'!M$2:M$875,'Base bordo CD'!D$2:D$875,A306,'Base bordo CD'!A$2:A$875,B306),0)</f>
        <v>23.999999999999996</v>
      </c>
      <c r="Q306" s="10">
        <f>IFERROR(SUMIFS('Base bordo CD'!O$2:O$875,'Base bordo CD'!D$2:D$875,A306,'Base bordo CD'!A$2:A$875,B306,'Base bordo CD'!L$2:L$875,"CORTE DE CANA MECANIZADO"),0)</f>
        <v>118424.45000000001</v>
      </c>
      <c r="R306" s="10">
        <f>IFERROR(SUMIFS('Base bordo CD'!Q$2:Q$875,'Base bordo CD'!D$2:D$875,A306,'Base bordo CD'!A$2:A$875,B306,'Base bordo CD'!L$2:L$875,"CORTE DE CANA MECANIZADO"),0)</f>
        <v>26776</v>
      </c>
      <c r="S306" s="30">
        <f t="shared" si="26"/>
        <v>4.42278346280251</v>
      </c>
      <c r="T306" s="9">
        <f t="shared" si="27"/>
        <v>0.30990740740740741</v>
      </c>
      <c r="U306" s="9">
        <f t="shared" si="28"/>
        <v>5.7719907407407421E-2</v>
      </c>
      <c r="V306" s="9">
        <f t="shared" si="29"/>
        <v>0.67127314814814809</v>
      </c>
    </row>
    <row r="307" spans="1:22" x14ac:dyDescent="0.35">
      <c r="A307" s="52">
        <v>49596</v>
      </c>
      <c r="B307" s="31">
        <v>46123</v>
      </c>
      <c r="C307" s="7" t="s">
        <v>337</v>
      </c>
      <c r="D307" s="7">
        <v>353</v>
      </c>
      <c r="E307" s="10">
        <f>IFERROR(SUMIFS('Base bordo CD'!M$2:M$875,'Base bordo CD'!D$2:D$875,A307,'Base bordo CD'!A$2:A$875,B307,'Base bordo CD'!L$2:L$875,"CORTE DE CANA MECANIZADO"),0)</f>
        <v>7.4377777777777769</v>
      </c>
      <c r="F307" s="10">
        <f>IFERROR(SUMIFS('Base bordo CD'!M$2:M$875,'Base bordo CD'!D$2:D$875,A307,'Base bordo CD'!A$2:A$875,B307,'Base bordo CD'!L$2:L$875,"MANOBRA"),0)</f>
        <v>1.3852777777777778</v>
      </c>
      <c r="G307" s="10">
        <f>IFERROR(SUMIFS('Base bordo CD'!M$2:M$875,'Base bordo CD'!D$2:D$875,A307,'Base bordo CD'!A$2:A$875,B307,'Base bordo CD'!L$2:L$875,"DESLOCAMENTO"),0)</f>
        <v>0.45166666666666672</v>
      </c>
      <c r="H307" s="10">
        <f>IFERROR(SUMIFS('Base bordo CD'!M$2:M$875,'Base bordo CD'!D$2:D$875,A307,'Base bordo CD'!A$2:A$875,B307,'Base bordo CD'!L$2:L$875,"AGUARDANDO MANOBRA DE TRANSBORDO"),0)+IFERROR(SUMIFS('Base bordo CD'!M$2:M$875,'Base bordo CD'!D$2:D$875,A307,'Base bordo CD'!A$2:A$875,B307,'Base bordo CD'!L$2:L$875,"FALTA DE TRANSBORDO"),0)</f>
        <v>0.62361111111111112</v>
      </c>
      <c r="I307" s="10">
        <f>IFERROR(SUMIFS('Base bordo CD'!M$2:M$875,'Base bordo CD'!D$2:D$875,A307,'Base bordo CD'!A$2:A$875,B307,'Base bordo CD'!L$2:L$875,"PARADA POR CONDICOES CLIMATICAS"),0)+IFERROR(SUMIFS('Base bordo CD'!M$2:M$875,'Base bordo CD'!D$2:D$875,A307,'Base bordo CD'!A$2:A$875,B307,'Base bordo CD'!L$2:L$875,"TEMPO INDETERMINADO"),0)</f>
        <v>14.053611111111111</v>
      </c>
      <c r="J307" s="10">
        <f>IFERROR(SUMIFS('Base bordo CD'!M$2:M$875,'Base bordo CD'!D$2:D$875,A307,'Base bordo CD'!A$2:A$875,B307,'Base bordo CD'!L$2:L$875,"LIMITAÇÃO INDÚSTRIA"),0)</f>
        <v>0</v>
      </c>
      <c r="K307" s="10">
        <f>IFERROR(SUMIFS('Base bordo CD'!M$2:M$875,'Base bordo CD'!D$2:D$875,A307,'Base bordo CD'!A$2:A$875,B307,'Base bordo CD'!L$2:L$875,"MAN CORRETIVA*"),0)+IFERROR(SUMIFS('Base bordo CD'!M$2:M$875,'Base bordo CD'!D$2:D$875,A307,'Base bordo CD'!A$2:A$875,B307,'Base bordo CD'!L$2:L$875,"AGUARDANDO MANUTENCAO*"),0)+IFERROR(SUMIFS('Base bordo CD'!M$2:M$875,'Base bordo CD'!D$2:D$875,A307,'Base bordo CD'!A$2:A$875,B307,'Base bordo CD'!L$2:L$875,"TROCA DE FAQUINHA"),0)+IFERROR(SUMIFS('Base bordo CD'!M$2:M$875,'Base bordo CD'!D$2:D$875,A307,'Base bordo CD'!A$2:A$875,B307,'Base bordo CD'!L$2:L$875,"LIMPEZA*"),0)</f>
        <v>0</v>
      </c>
      <c r="L307" s="10">
        <f>IFERROR(SUMIFS('Base bordo CD'!M$2:M$875,'Base bordo CD'!D$2:D$875,A307,'Base bordo CD'!A$2:A$875,B307,'Base bordo CD'!L$2:L$875,"PATIO - RESERVA"),0)</f>
        <v>0</v>
      </c>
      <c r="M307" s="10">
        <f>IFERROR(SUMIFS('Base bordo CD'!M$2:M$875,'Base bordo CD'!D$2:D$875,A307,'Base bordo CD'!A$2:A$875,B307,'Base bordo CD'!L$2:L$875,"SEM APONTAMENTO"),0)</f>
        <v>0</v>
      </c>
      <c r="N307" s="10">
        <f>IFERROR(SUMIFS('Base bordo CD'!M$2:M$875,'Base bordo CD'!D$2:D$875,A307,'Base bordo CD'!A$2:A$875,B307,'Base bordo CD'!L$2:L$875,"FALTA DE CAMINHÃO"),0)+IFERROR(SUMIFS('Base bordo CD'!M$2:M$875,'Base bordo CD'!D$2:D$875,A307,'Base bordo CD'!A$2:A$875,B307,'Base bordo CD'!L$2:L$875,"FALTA DE COMBUSTIVEL"),0)+IFERROR(SUMIFS('Base bordo CD'!M$2:M$875,'Base bordo CD'!D$2:D$875,A307,'Base bordo CD'!A$2:A$875,B307,'Base bordo CD'!L$2:L$875,"FALTA DE MOTORIST*"),0)</f>
        <v>0</v>
      </c>
      <c r="O307" s="10">
        <f t="shared" si="25"/>
        <v>4.8055555555553298E-2</v>
      </c>
      <c r="P307" s="10">
        <f>IFERROR(SUMIFS('Base bordo CD'!M$2:M$875,'Base bordo CD'!D$2:D$875,A307,'Base bordo CD'!A$2:A$875,B307),0)</f>
        <v>23.999999999999996</v>
      </c>
      <c r="Q307" s="10">
        <f>IFERROR(SUMIFS('Base bordo CD'!O$2:O$875,'Base bordo CD'!D$2:D$875,A307,'Base bordo CD'!A$2:A$875,B307,'Base bordo CD'!L$2:L$875,"CORTE DE CANA MECANIZADO"),0)</f>
        <v>118424.45000000001</v>
      </c>
      <c r="R307" s="10">
        <f>IFERROR(SUMIFS('Base bordo CD'!Q$2:Q$875,'Base bordo CD'!D$2:D$875,A307,'Base bordo CD'!A$2:A$875,B307,'Base bordo CD'!L$2:L$875,"CORTE DE CANA MECANIZADO"),0)</f>
        <v>26776</v>
      </c>
      <c r="S307" s="30">
        <f t="shared" si="26"/>
        <v>4.42278346280251</v>
      </c>
      <c r="T307" s="9">
        <f t="shared" si="27"/>
        <v>0.30990740740740741</v>
      </c>
      <c r="U307" s="9">
        <f t="shared" si="28"/>
        <v>5.7719907407407421E-2</v>
      </c>
      <c r="V307" s="9">
        <f t="shared" si="29"/>
        <v>0.67127314814814809</v>
      </c>
    </row>
    <row r="308" spans="1:22" x14ac:dyDescent="0.35">
      <c r="A308" s="52">
        <v>49596</v>
      </c>
      <c r="B308" s="31">
        <v>46123</v>
      </c>
      <c r="C308" s="7" t="s">
        <v>337</v>
      </c>
      <c r="D308" s="7">
        <v>353</v>
      </c>
      <c r="E308" s="10">
        <f>IFERROR(SUMIFS('Base bordo CD'!M$2:M$875,'Base bordo CD'!D$2:D$875,A308,'Base bordo CD'!A$2:A$875,B308,'Base bordo CD'!L$2:L$875,"CORTE DE CANA MECANIZADO"),0)</f>
        <v>7.4377777777777769</v>
      </c>
      <c r="F308" s="10">
        <f>IFERROR(SUMIFS('Base bordo CD'!M$2:M$875,'Base bordo CD'!D$2:D$875,A308,'Base bordo CD'!A$2:A$875,B308,'Base bordo CD'!L$2:L$875,"MANOBRA"),0)</f>
        <v>1.3852777777777778</v>
      </c>
      <c r="G308" s="10">
        <f>IFERROR(SUMIFS('Base bordo CD'!M$2:M$875,'Base bordo CD'!D$2:D$875,A308,'Base bordo CD'!A$2:A$875,B308,'Base bordo CD'!L$2:L$875,"DESLOCAMENTO"),0)</f>
        <v>0.45166666666666672</v>
      </c>
      <c r="H308" s="10">
        <f>IFERROR(SUMIFS('Base bordo CD'!M$2:M$875,'Base bordo CD'!D$2:D$875,A308,'Base bordo CD'!A$2:A$875,B308,'Base bordo CD'!L$2:L$875,"AGUARDANDO MANOBRA DE TRANSBORDO"),0)+IFERROR(SUMIFS('Base bordo CD'!M$2:M$875,'Base bordo CD'!D$2:D$875,A308,'Base bordo CD'!A$2:A$875,B308,'Base bordo CD'!L$2:L$875,"FALTA DE TRANSBORDO"),0)</f>
        <v>0.62361111111111112</v>
      </c>
      <c r="I308" s="10">
        <f>IFERROR(SUMIFS('Base bordo CD'!M$2:M$875,'Base bordo CD'!D$2:D$875,A308,'Base bordo CD'!A$2:A$875,B308,'Base bordo CD'!L$2:L$875,"PARADA POR CONDICOES CLIMATICAS"),0)+IFERROR(SUMIFS('Base bordo CD'!M$2:M$875,'Base bordo CD'!D$2:D$875,A308,'Base bordo CD'!A$2:A$875,B308,'Base bordo CD'!L$2:L$875,"TEMPO INDETERMINADO"),0)</f>
        <v>14.053611111111111</v>
      </c>
      <c r="J308" s="10">
        <f>IFERROR(SUMIFS('Base bordo CD'!M$2:M$875,'Base bordo CD'!D$2:D$875,A308,'Base bordo CD'!A$2:A$875,B308,'Base bordo CD'!L$2:L$875,"LIMITAÇÃO INDÚSTRIA"),0)</f>
        <v>0</v>
      </c>
      <c r="K308" s="10">
        <f>IFERROR(SUMIFS('Base bordo CD'!M$2:M$875,'Base bordo CD'!D$2:D$875,A308,'Base bordo CD'!A$2:A$875,B308,'Base bordo CD'!L$2:L$875,"MAN CORRETIVA*"),0)+IFERROR(SUMIFS('Base bordo CD'!M$2:M$875,'Base bordo CD'!D$2:D$875,A308,'Base bordo CD'!A$2:A$875,B308,'Base bordo CD'!L$2:L$875,"AGUARDANDO MANUTENCAO*"),0)+IFERROR(SUMIFS('Base bordo CD'!M$2:M$875,'Base bordo CD'!D$2:D$875,A308,'Base bordo CD'!A$2:A$875,B308,'Base bordo CD'!L$2:L$875,"TROCA DE FAQUINHA"),0)+IFERROR(SUMIFS('Base bordo CD'!M$2:M$875,'Base bordo CD'!D$2:D$875,A308,'Base bordo CD'!A$2:A$875,B308,'Base bordo CD'!L$2:L$875,"LIMPEZA*"),0)</f>
        <v>0</v>
      </c>
      <c r="L308" s="10">
        <f>IFERROR(SUMIFS('Base bordo CD'!M$2:M$875,'Base bordo CD'!D$2:D$875,A308,'Base bordo CD'!A$2:A$875,B308,'Base bordo CD'!L$2:L$875,"PATIO - RESERVA"),0)</f>
        <v>0</v>
      </c>
      <c r="M308" s="10">
        <f>IFERROR(SUMIFS('Base bordo CD'!M$2:M$875,'Base bordo CD'!D$2:D$875,A308,'Base bordo CD'!A$2:A$875,B308,'Base bordo CD'!L$2:L$875,"SEM APONTAMENTO"),0)</f>
        <v>0</v>
      </c>
      <c r="N308" s="10">
        <f>IFERROR(SUMIFS('Base bordo CD'!M$2:M$875,'Base bordo CD'!D$2:D$875,A308,'Base bordo CD'!A$2:A$875,B308,'Base bordo CD'!L$2:L$875,"FALTA DE CAMINHÃO"),0)+IFERROR(SUMIFS('Base bordo CD'!M$2:M$875,'Base bordo CD'!D$2:D$875,A308,'Base bordo CD'!A$2:A$875,B308,'Base bordo CD'!L$2:L$875,"FALTA DE COMBUSTIVEL"),0)+IFERROR(SUMIFS('Base bordo CD'!M$2:M$875,'Base bordo CD'!D$2:D$875,A308,'Base bordo CD'!A$2:A$875,B308,'Base bordo CD'!L$2:L$875,"FALTA DE MOTORIST*"),0)</f>
        <v>0</v>
      </c>
      <c r="O308" s="10">
        <f t="shared" si="25"/>
        <v>4.8055555555553298E-2</v>
      </c>
      <c r="P308" s="10">
        <f>IFERROR(SUMIFS('Base bordo CD'!M$2:M$875,'Base bordo CD'!D$2:D$875,A308,'Base bordo CD'!A$2:A$875,B308),0)</f>
        <v>23.999999999999996</v>
      </c>
      <c r="Q308" s="10">
        <f>IFERROR(SUMIFS('Base bordo CD'!O$2:O$875,'Base bordo CD'!D$2:D$875,A308,'Base bordo CD'!A$2:A$875,B308,'Base bordo CD'!L$2:L$875,"CORTE DE CANA MECANIZADO"),0)</f>
        <v>118424.45000000001</v>
      </c>
      <c r="R308" s="10">
        <f>IFERROR(SUMIFS('Base bordo CD'!Q$2:Q$875,'Base bordo CD'!D$2:D$875,A308,'Base bordo CD'!A$2:A$875,B308,'Base bordo CD'!L$2:L$875,"CORTE DE CANA MECANIZADO"),0)</f>
        <v>26776</v>
      </c>
      <c r="S308" s="30">
        <f t="shared" si="26"/>
        <v>4.42278346280251</v>
      </c>
      <c r="T308" s="9">
        <f t="shared" si="27"/>
        <v>0.30990740740740741</v>
      </c>
      <c r="U308" s="9">
        <f t="shared" si="28"/>
        <v>5.7719907407407421E-2</v>
      </c>
      <c r="V308" s="9">
        <f t="shared" si="29"/>
        <v>0.67127314814814809</v>
      </c>
    </row>
    <row r="309" spans="1:22" x14ac:dyDescent="0.35">
      <c r="A309" s="52">
        <v>49596</v>
      </c>
      <c r="B309" s="31">
        <v>46123</v>
      </c>
      <c r="C309" s="7" t="s">
        <v>337</v>
      </c>
      <c r="D309" s="7">
        <v>353</v>
      </c>
      <c r="E309" s="10">
        <f>IFERROR(SUMIFS('Base bordo CD'!M$2:M$875,'Base bordo CD'!D$2:D$875,A309,'Base bordo CD'!A$2:A$875,B309,'Base bordo CD'!L$2:L$875,"CORTE DE CANA MECANIZADO"),0)</f>
        <v>7.4377777777777769</v>
      </c>
      <c r="F309" s="10">
        <f>IFERROR(SUMIFS('Base bordo CD'!M$2:M$875,'Base bordo CD'!D$2:D$875,A309,'Base bordo CD'!A$2:A$875,B309,'Base bordo CD'!L$2:L$875,"MANOBRA"),0)</f>
        <v>1.3852777777777778</v>
      </c>
      <c r="G309" s="10">
        <f>IFERROR(SUMIFS('Base bordo CD'!M$2:M$875,'Base bordo CD'!D$2:D$875,A309,'Base bordo CD'!A$2:A$875,B309,'Base bordo CD'!L$2:L$875,"DESLOCAMENTO"),0)</f>
        <v>0.45166666666666672</v>
      </c>
      <c r="H309" s="10">
        <f>IFERROR(SUMIFS('Base bordo CD'!M$2:M$875,'Base bordo CD'!D$2:D$875,A309,'Base bordo CD'!A$2:A$875,B309,'Base bordo CD'!L$2:L$875,"AGUARDANDO MANOBRA DE TRANSBORDO"),0)+IFERROR(SUMIFS('Base bordo CD'!M$2:M$875,'Base bordo CD'!D$2:D$875,A309,'Base bordo CD'!A$2:A$875,B309,'Base bordo CD'!L$2:L$875,"FALTA DE TRANSBORDO"),0)</f>
        <v>0.62361111111111112</v>
      </c>
      <c r="I309" s="10">
        <f>IFERROR(SUMIFS('Base bordo CD'!M$2:M$875,'Base bordo CD'!D$2:D$875,A309,'Base bordo CD'!A$2:A$875,B309,'Base bordo CD'!L$2:L$875,"PARADA POR CONDICOES CLIMATICAS"),0)+IFERROR(SUMIFS('Base bordo CD'!M$2:M$875,'Base bordo CD'!D$2:D$875,A309,'Base bordo CD'!A$2:A$875,B309,'Base bordo CD'!L$2:L$875,"TEMPO INDETERMINADO"),0)</f>
        <v>14.053611111111111</v>
      </c>
      <c r="J309" s="10">
        <f>IFERROR(SUMIFS('Base bordo CD'!M$2:M$875,'Base bordo CD'!D$2:D$875,A309,'Base bordo CD'!A$2:A$875,B309,'Base bordo CD'!L$2:L$875,"LIMITAÇÃO INDÚSTRIA"),0)</f>
        <v>0</v>
      </c>
      <c r="K309" s="10">
        <f>IFERROR(SUMIFS('Base bordo CD'!M$2:M$875,'Base bordo CD'!D$2:D$875,A309,'Base bordo CD'!A$2:A$875,B309,'Base bordo CD'!L$2:L$875,"MAN CORRETIVA*"),0)+IFERROR(SUMIFS('Base bordo CD'!M$2:M$875,'Base bordo CD'!D$2:D$875,A309,'Base bordo CD'!A$2:A$875,B309,'Base bordo CD'!L$2:L$875,"AGUARDANDO MANUTENCAO*"),0)+IFERROR(SUMIFS('Base bordo CD'!M$2:M$875,'Base bordo CD'!D$2:D$875,A309,'Base bordo CD'!A$2:A$875,B309,'Base bordo CD'!L$2:L$875,"TROCA DE FAQUINHA"),0)+IFERROR(SUMIFS('Base bordo CD'!M$2:M$875,'Base bordo CD'!D$2:D$875,A309,'Base bordo CD'!A$2:A$875,B309,'Base bordo CD'!L$2:L$875,"LIMPEZA*"),0)</f>
        <v>0</v>
      </c>
      <c r="L309" s="10">
        <f>IFERROR(SUMIFS('Base bordo CD'!M$2:M$875,'Base bordo CD'!D$2:D$875,A309,'Base bordo CD'!A$2:A$875,B309,'Base bordo CD'!L$2:L$875,"PATIO - RESERVA"),0)</f>
        <v>0</v>
      </c>
      <c r="M309" s="10">
        <f>IFERROR(SUMIFS('Base bordo CD'!M$2:M$875,'Base bordo CD'!D$2:D$875,A309,'Base bordo CD'!A$2:A$875,B309,'Base bordo CD'!L$2:L$875,"SEM APONTAMENTO"),0)</f>
        <v>0</v>
      </c>
      <c r="N309" s="10">
        <f>IFERROR(SUMIFS('Base bordo CD'!M$2:M$875,'Base bordo CD'!D$2:D$875,A309,'Base bordo CD'!A$2:A$875,B309,'Base bordo CD'!L$2:L$875,"FALTA DE CAMINHÃO"),0)+IFERROR(SUMIFS('Base bordo CD'!M$2:M$875,'Base bordo CD'!D$2:D$875,A309,'Base bordo CD'!A$2:A$875,B309,'Base bordo CD'!L$2:L$875,"FALTA DE COMBUSTIVEL"),0)+IFERROR(SUMIFS('Base bordo CD'!M$2:M$875,'Base bordo CD'!D$2:D$875,A309,'Base bordo CD'!A$2:A$875,B309,'Base bordo CD'!L$2:L$875,"FALTA DE MOTORIST*"),0)</f>
        <v>0</v>
      </c>
      <c r="O309" s="10">
        <f t="shared" si="25"/>
        <v>4.8055555555553298E-2</v>
      </c>
      <c r="P309" s="10">
        <f>IFERROR(SUMIFS('Base bordo CD'!M$2:M$875,'Base bordo CD'!D$2:D$875,A309,'Base bordo CD'!A$2:A$875,B309),0)</f>
        <v>23.999999999999996</v>
      </c>
      <c r="Q309" s="10">
        <f>IFERROR(SUMIFS('Base bordo CD'!O$2:O$875,'Base bordo CD'!D$2:D$875,A309,'Base bordo CD'!A$2:A$875,B309,'Base bordo CD'!L$2:L$875,"CORTE DE CANA MECANIZADO"),0)</f>
        <v>118424.45000000001</v>
      </c>
      <c r="R309" s="10">
        <f>IFERROR(SUMIFS('Base bordo CD'!Q$2:Q$875,'Base bordo CD'!D$2:D$875,A309,'Base bordo CD'!A$2:A$875,B309,'Base bordo CD'!L$2:L$875,"CORTE DE CANA MECANIZADO"),0)</f>
        <v>26776</v>
      </c>
      <c r="S309" s="30">
        <f t="shared" si="26"/>
        <v>4.42278346280251</v>
      </c>
      <c r="T309" s="9">
        <f t="shared" si="27"/>
        <v>0.30990740740740741</v>
      </c>
      <c r="U309" s="9">
        <f t="shared" si="28"/>
        <v>5.7719907407407421E-2</v>
      </c>
      <c r="V309" s="9">
        <f t="shared" si="29"/>
        <v>0.67127314814814809</v>
      </c>
    </row>
    <row r="310" spans="1:22" x14ac:dyDescent="0.35">
      <c r="A310" s="52">
        <v>49596</v>
      </c>
      <c r="B310" s="31">
        <v>46123</v>
      </c>
      <c r="C310" s="7" t="s">
        <v>337</v>
      </c>
      <c r="D310" s="7">
        <v>353</v>
      </c>
      <c r="E310" s="10">
        <f>IFERROR(SUMIFS('Base bordo CD'!M$2:M$875,'Base bordo CD'!D$2:D$875,A310,'Base bordo CD'!A$2:A$875,B310,'Base bordo CD'!L$2:L$875,"CORTE DE CANA MECANIZADO"),0)</f>
        <v>7.4377777777777769</v>
      </c>
      <c r="F310" s="10">
        <f>IFERROR(SUMIFS('Base bordo CD'!M$2:M$875,'Base bordo CD'!D$2:D$875,A310,'Base bordo CD'!A$2:A$875,B310,'Base bordo CD'!L$2:L$875,"MANOBRA"),0)</f>
        <v>1.3852777777777778</v>
      </c>
      <c r="G310" s="10">
        <f>IFERROR(SUMIFS('Base bordo CD'!M$2:M$875,'Base bordo CD'!D$2:D$875,A310,'Base bordo CD'!A$2:A$875,B310,'Base bordo CD'!L$2:L$875,"DESLOCAMENTO"),0)</f>
        <v>0.45166666666666672</v>
      </c>
      <c r="H310" s="10">
        <f>IFERROR(SUMIFS('Base bordo CD'!M$2:M$875,'Base bordo CD'!D$2:D$875,A310,'Base bordo CD'!A$2:A$875,B310,'Base bordo CD'!L$2:L$875,"AGUARDANDO MANOBRA DE TRANSBORDO"),0)+IFERROR(SUMIFS('Base bordo CD'!M$2:M$875,'Base bordo CD'!D$2:D$875,A310,'Base bordo CD'!A$2:A$875,B310,'Base bordo CD'!L$2:L$875,"FALTA DE TRANSBORDO"),0)</f>
        <v>0.62361111111111112</v>
      </c>
      <c r="I310" s="10">
        <f>IFERROR(SUMIFS('Base bordo CD'!M$2:M$875,'Base bordo CD'!D$2:D$875,A310,'Base bordo CD'!A$2:A$875,B310,'Base bordo CD'!L$2:L$875,"PARADA POR CONDICOES CLIMATICAS"),0)+IFERROR(SUMIFS('Base bordo CD'!M$2:M$875,'Base bordo CD'!D$2:D$875,A310,'Base bordo CD'!A$2:A$875,B310,'Base bordo CD'!L$2:L$875,"TEMPO INDETERMINADO"),0)</f>
        <v>14.053611111111111</v>
      </c>
      <c r="J310" s="10">
        <f>IFERROR(SUMIFS('Base bordo CD'!M$2:M$875,'Base bordo CD'!D$2:D$875,A310,'Base bordo CD'!A$2:A$875,B310,'Base bordo CD'!L$2:L$875,"LIMITAÇÃO INDÚSTRIA"),0)</f>
        <v>0</v>
      </c>
      <c r="K310" s="10">
        <f>IFERROR(SUMIFS('Base bordo CD'!M$2:M$875,'Base bordo CD'!D$2:D$875,A310,'Base bordo CD'!A$2:A$875,B310,'Base bordo CD'!L$2:L$875,"MAN CORRETIVA*"),0)+IFERROR(SUMIFS('Base bordo CD'!M$2:M$875,'Base bordo CD'!D$2:D$875,A310,'Base bordo CD'!A$2:A$875,B310,'Base bordo CD'!L$2:L$875,"AGUARDANDO MANUTENCAO*"),0)+IFERROR(SUMIFS('Base bordo CD'!M$2:M$875,'Base bordo CD'!D$2:D$875,A310,'Base bordo CD'!A$2:A$875,B310,'Base bordo CD'!L$2:L$875,"TROCA DE FAQUINHA"),0)+IFERROR(SUMIFS('Base bordo CD'!M$2:M$875,'Base bordo CD'!D$2:D$875,A310,'Base bordo CD'!A$2:A$875,B310,'Base bordo CD'!L$2:L$875,"LIMPEZA*"),0)</f>
        <v>0</v>
      </c>
      <c r="L310" s="10">
        <f>IFERROR(SUMIFS('Base bordo CD'!M$2:M$875,'Base bordo CD'!D$2:D$875,A310,'Base bordo CD'!A$2:A$875,B310,'Base bordo CD'!L$2:L$875,"PATIO - RESERVA"),0)</f>
        <v>0</v>
      </c>
      <c r="M310" s="10">
        <f>IFERROR(SUMIFS('Base bordo CD'!M$2:M$875,'Base bordo CD'!D$2:D$875,A310,'Base bordo CD'!A$2:A$875,B310,'Base bordo CD'!L$2:L$875,"SEM APONTAMENTO"),0)</f>
        <v>0</v>
      </c>
      <c r="N310" s="10">
        <f>IFERROR(SUMIFS('Base bordo CD'!M$2:M$875,'Base bordo CD'!D$2:D$875,A310,'Base bordo CD'!A$2:A$875,B310,'Base bordo CD'!L$2:L$875,"FALTA DE CAMINHÃO"),0)+IFERROR(SUMIFS('Base bordo CD'!M$2:M$875,'Base bordo CD'!D$2:D$875,A310,'Base bordo CD'!A$2:A$875,B310,'Base bordo CD'!L$2:L$875,"FALTA DE COMBUSTIVEL"),0)+IFERROR(SUMIFS('Base bordo CD'!M$2:M$875,'Base bordo CD'!D$2:D$875,A310,'Base bordo CD'!A$2:A$875,B310,'Base bordo CD'!L$2:L$875,"FALTA DE MOTORIST*"),0)</f>
        <v>0</v>
      </c>
      <c r="O310" s="10">
        <f t="shared" si="25"/>
        <v>4.8055555555553298E-2</v>
      </c>
      <c r="P310" s="10">
        <f>IFERROR(SUMIFS('Base bordo CD'!M$2:M$875,'Base bordo CD'!D$2:D$875,A310,'Base bordo CD'!A$2:A$875,B310),0)</f>
        <v>23.999999999999996</v>
      </c>
      <c r="Q310" s="10">
        <f>IFERROR(SUMIFS('Base bordo CD'!O$2:O$875,'Base bordo CD'!D$2:D$875,A310,'Base bordo CD'!A$2:A$875,B310,'Base bordo CD'!L$2:L$875,"CORTE DE CANA MECANIZADO"),0)</f>
        <v>118424.45000000001</v>
      </c>
      <c r="R310" s="10">
        <f>IFERROR(SUMIFS('Base bordo CD'!Q$2:Q$875,'Base bordo CD'!D$2:D$875,A310,'Base bordo CD'!A$2:A$875,B310,'Base bordo CD'!L$2:L$875,"CORTE DE CANA MECANIZADO"),0)</f>
        <v>26776</v>
      </c>
      <c r="S310" s="30">
        <f t="shared" si="26"/>
        <v>4.42278346280251</v>
      </c>
      <c r="T310" s="9">
        <f t="shared" si="27"/>
        <v>0.30990740740740741</v>
      </c>
      <c r="U310" s="9">
        <f t="shared" si="28"/>
        <v>5.7719907407407421E-2</v>
      </c>
      <c r="V310" s="9">
        <f t="shared" si="29"/>
        <v>0.67127314814814809</v>
      </c>
    </row>
    <row r="311" spans="1:22" x14ac:dyDescent="0.35">
      <c r="A311" s="52">
        <v>49596</v>
      </c>
      <c r="B311" s="31">
        <v>46123</v>
      </c>
      <c r="C311" s="7" t="s">
        <v>337</v>
      </c>
      <c r="D311" s="7">
        <v>353</v>
      </c>
      <c r="E311" s="10">
        <f>IFERROR(SUMIFS('Base bordo CD'!M$2:M$875,'Base bordo CD'!D$2:D$875,A311,'Base bordo CD'!A$2:A$875,B311,'Base bordo CD'!L$2:L$875,"CORTE DE CANA MECANIZADO"),0)</f>
        <v>7.4377777777777769</v>
      </c>
      <c r="F311" s="10">
        <f>IFERROR(SUMIFS('Base bordo CD'!M$2:M$875,'Base bordo CD'!D$2:D$875,A311,'Base bordo CD'!A$2:A$875,B311,'Base bordo CD'!L$2:L$875,"MANOBRA"),0)</f>
        <v>1.3852777777777778</v>
      </c>
      <c r="G311" s="10">
        <f>IFERROR(SUMIFS('Base bordo CD'!M$2:M$875,'Base bordo CD'!D$2:D$875,A311,'Base bordo CD'!A$2:A$875,B311,'Base bordo CD'!L$2:L$875,"DESLOCAMENTO"),0)</f>
        <v>0.45166666666666672</v>
      </c>
      <c r="H311" s="10">
        <f>IFERROR(SUMIFS('Base bordo CD'!M$2:M$875,'Base bordo CD'!D$2:D$875,A311,'Base bordo CD'!A$2:A$875,B311,'Base bordo CD'!L$2:L$875,"AGUARDANDO MANOBRA DE TRANSBORDO"),0)+IFERROR(SUMIFS('Base bordo CD'!M$2:M$875,'Base bordo CD'!D$2:D$875,A311,'Base bordo CD'!A$2:A$875,B311,'Base bordo CD'!L$2:L$875,"FALTA DE TRANSBORDO"),0)</f>
        <v>0.62361111111111112</v>
      </c>
      <c r="I311" s="10">
        <f>IFERROR(SUMIFS('Base bordo CD'!M$2:M$875,'Base bordo CD'!D$2:D$875,A311,'Base bordo CD'!A$2:A$875,B311,'Base bordo CD'!L$2:L$875,"PARADA POR CONDICOES CLIMATICAS"),0)+IFERROR(SUMIFS('Base bordo CD'!M$2:M$875,'Base bordo CD'!D$2:D$875,A311,'Base bordo CD'!A$2:A$875,B311,'Base bordo CD'!L$2:L$875,"TEMPO INDETERMINADO"),0)</f>
        <v>14.053611111111111</v>
      </c>
      <c r="J311" s="10">
        <f>IFERROR(SUMIFS('Base bordo CD'!M$2:M$875,'Base bordo CD'!D$2:D$875,A311,'Base bordo CD'!A$2:A$875,B311,'Base bordo CD'!L$2:L$875,"LIMITAÇÃO INDÚSTRIA"),0)</f>
        <v>0</v>
      </c>
      <c r="K311" s="10">
        <f>IFERROR(SUMIFS('Base bordo CD'!M$2:M$875,'Base bordo CD'!D$2:D$875,A311,'Base bordo CD'!A$2:A$875,B311,'Base bordo CD'!L$2:L$875,"MAN CORRETIVA*"),0)+IFERROR(SUMIFS('Base bordo CD'!M$2:M$875,'Base bordo CD'!D$2:D$875,A311,'Base bordo CD'!A$2:A$875,B311,'Base bordo CD'!L$2:L$875,"AGUARDANDO MANUTENCAO*"),0)+IFERROR(SUMIFS('Base bordo CD'!M$2:M$875,'Base bordo CD'!D$2:D$875,A311,'Base bordo CD'!A$2:A$875,B311,'Base bordo CD'!L$2:L$875,"TROCA DE FAQUINHA"),0)+IFERROR(SUMIFS('Base bordo CD'!M$2:M$875,'Base bordo CD'!D$2:D$875,A311,'Base bordo CD'!A$2:A$875,B311,'Base bordo CD'!L$2:L$875,"LIMPEZA*"),0)</f>
        <v>0</v>
      </c>
      <c r="L311" s="10">
        <f>IFERROR(SUMIFS('Base bordo CD'!M$2:M$875,'Base bordo CD'!D$2:D$875,A311,'Base bordo CD'!A$2:A$875,B311,'Base bordo CD'!L$2:L$875,"PATIO - RESERVA"),0)</f>
        <v>0</v>
      </c>
      <c r="M311" s="10">
        <f>IFERROR(SUMIFS('Base bordo CD'!M$2:M$875,'Base bordo CD'!D$2:D$875,A311,'Base bordo CD'!A$2:A$875,B311,'Base bordo CD'!L$2:L$875,"SEM APONTAMENTO"),0)</f>
        <v>0</v>
      </c>
      <c r="N311" s="10">
        <f>IFERROR(SUMIFS('Base bordo CD'!M$2:M$875,'Base bordo CD'!D$2:D$875,A311,'Base bordo CD'!A$2:A$875,B311,'Base bordo CD'!L$2:L$875,"FALTA DE CAMINHÃO"),0)+IFERROR(SUMIFS('Base bordo CD'!M$2:M$875,'Base bordo CD'!D$2:D$875,A311,'Base bordo CD'!A$2:A$875,B311,'Base bordo CD'!L$2:L$875,"FALTA DE COMBUSTIVEL"),0)+IFERROR(SUMIFS('Base bordo CD'!M$2:M$875,'Base bordo CD'!D$2:D$875,A311,'Base bordo CD'!A$2:A$875,B311,'Base bordo CD'!L$2:L$875,"FALTA DE MOTORIST*"),0)</f>
        <v>0</v>
      </c>
      <c r="O311" s="10">
        <f t="shared" si="25"/>
        <v>4.8055555555553298E-2</v>
      </c>
      <c r="P311" s="10">
        <f>IFERROR(SUMIFS('Base bordo CD'!M$2:M$875,'Base bordo CD'!D$2:D$875,A311,'Base bordo CD'!A$2:A$875,B311),0)</f>
        <v>23.999999999999996</v>
      </c>
      <c r="Q311" s="10">
        <f>IFERROR(SUMIFS('Base bordo CD'!O$2:O$875,'Base bordo CD'!D$2:D$875,A311,'Base bordo CD'!A$2:A$875,B311,'Base bordo CD'!L$2:L$875,"CORTE DE CANA MECANIZADO"),0)</f>
        <v>118424.45000000001</v>
      </c>
      <c r="R311" s="10">
        <f>IFERROR(SUMIFS('Base bordo CD'!Q$2:Q$875,'Base bordo CD'!D$2:D$875,A311,'Base bordo CD'!A$2:A$875,B311,'Base bordo CD'!L$2:L$875,"CORTE DE CANA MECANIZADO"),0)</f>
        <v>26776</v>
      </c>
      <c r="S311" s="30">
        <f t="shared" si="26"/>
        <v>4.42278346280251</v>
      </c>
      <c r="T311" s="9">
        <f t="shared" si="27"/>
        <v>0.30990740740740741</v>
      </c>
      <c r="U311" s="9">
        <f t="shared" si="28"/>
        <v>5.7719907407407421E-2</v>
      </c>
      <c r="V311" s="9">
        <f t="shared" si="29"/>
        <v>0.67127314814814809</v>
      </c>
    </row>
    <row r="312" spans="1:22" x14ac:dyDescent="0.35">
      <c r="A312" s="52">
        <v>49596</v>
      </c>
      <c r="B312" s="31">
        <v>46123</v>
      </c>
      <c r="C312" s="7" t="s">
        <v>337</v>
      </c>
      <c r="D312" s="7">
        <v>353</v>
      </c>
      <c r="E312" s="10">
        <f>IFERROR(SUMIFS('Base bordo CD'!M$2:M$875,'Base bordo CD'!D$2:D$875,A312,'Base bordo CD'!A$2:A$875,B312,'Base bordo CD'!L$2:L$875,"CORTE DE CANA MECANIZADO"),0)</f>
        <v>7.4377777777777769</v>
      </c>
      <c r="F312" s="10">
        <f>IFERROR(SUMIFS('Base bordo CD'!M$2:M$875,'Base bordo CD'!D$2:D$875,A312,'Base bordo CD'!A$2:A$875,B312,'Base bordo CD'!L$2:L$875,"MANOBRA"),0)</f>
        <v>1.3852777777777778</v>
      </c>
      <c r="G312" s="10">
        <f>IFERROR(SUMIFS('Base bordo CD'!M$2:M$875,'Base bordo CD'!D$2:D$875,A312,'Base bordo CD'!A$2:A$875,B312,'Base bordo CD'!L$2:L$875,"DESLOCAMENTO"),0)</f>
        <v>0.45166666666666672</v>
      </c>
      <c r="H312" s="10">
        <f>IFERROR(SUMIFS('Base bordo CD'!M$2:M$875,'Base bordo CD'!D$2:D$875,A312,'Base bordo CD'!A$2:A$875,B312,'Base bordo CD'!L$2:L$875,"AGUARDANDO MANOBRA DE TRANSBORDO"),0)+IFERROR(SUMIFS('Base bordo CD'!M$2:M$875,'Base bordo CD'!D$2:D$875,A312,'Base bordo CD'!A$2:A$875,B312,'Base bordo CD'!L$2:L$875,"FALTA DE TRANSBORDO"),0)</f>
        <v>0.62361111111111112</v>
      </c>
      <c r="I312" s="10">
        <f>IFERROR(SUMIFS('Base bordo CD'!M$2:M$875,'Base bordo CD'!D$2:D$875,A312,'Base bordo CD'!A$2:A$875,B312,'Base bordo CD'!L$2:L$875,"PARADA POR CONDICOES CLIMATICAS"),0)+IFERROR(SUMIFS('Base bordo CD'!M$2:M$875,'Base bordo CD'!D$2:D$875,A312,'Base bordo CD'!A$2:A$875,B312,'Base bordo CD'!L$2:L$875,"TEMPO INDETERMINADO"),0)</f>
        <v>14.053611111111111</v>
      </c>
      <c r="J312" s="10">
        <f>IFERROR(SUMIFS('Base bordo CD'!M$2:M$875,'Base bordo CD'!D$2:D$875,A312,'Base bordo CD'!A$2:A$875,B312,'Base bordo CD'!L$2:L$875,"LIMITAÇÃO INDÚSTRIA"),0)</f>
        <v>0</v>
      </c>
      <c r="K312" s="10">
        <f>IFERROR(SUMIFS('Base bordo CD'!M$2:M$875,'Base bordo CD'!D$2:D$875,A312,'Base bordo CD'!A$2:A$875,B312,'Base bordo CD'!L$2:L$875,"MAN CORRETIVA*"),0)+IFERROR(SUMIFS('Base bordo CD'!M$2:M$875,'Base bordo CD'!D$2:D$875,A312,'Base bordo CD'!A$2:A$875,B312,'Base bordo CD'!L$2:L$875,"AGUARDANDO MANUTENCAO*"),0)+IFERROR(SUMIFS('Base bordo CD'!M$2:M$875,'Base bordo CD'!D$2:D$875,A312,'Base bordo CD'!A$2:A$875,B312,'Base bordo CD'!L$2:L$875,"TROCA DE FAQUINHA"),0)+IFERROR(SUMIFS('Base bordo CD'!M$2:M$875,'Base bordo CD'!D$2:D$875,A312,'Base bordo CD'!A$2:A$875,B312,'Base bordo CD'!L$2:L$875,"LIMPEZA*"),0)</f>
        <v>0</v>
      </c>
      <c r="L312" s="10">
        <f>IFERROR(SUMIFS('Base bordo CD'!M$2:M$875,'Base bordo CD'!D$2:D$875,A312,'Base bordo CD'!A$2:A$875,B312,'Base bordo CD'!L$2:L$875,"PATIO - RESERVA"),0)</f>
        <v>0</v>
      </c>
      <c r="M312" s="10">
        <f>IFERROR(SUMIFS('Base bordo CD'!M$2:M$875,'Base bordo CD'!D$2:D$875,A312,'Base bordo CD'!A$2:A$875,B312,'Base bordo CD'!L$2:L$875,"SEM APONTAMENTO"),0)</f>
        <v>0</v>
      </c>
      <c r="N312" s="10">
        <f>IFERROR(SUMIFS('Base bordo CD'!M$2:M$875,'Base bordo CD'!D$2:D$875,A312,'Base bordo CD'!A$2:A$875,B312,'Base bordo CD'!L$2:L$875,"FALTA DE CAMINHÃO"),0)+IFERROR(SUMIFS('Base bordo CD'!M$2:M$875,'Base bordo CD'!D$2:D$875,A312,'Base bordo CD'!A$2:A$875,B312,'Base bordo CD'!L$2:L$875,"FALTA DE COMBUSTIVEL"),0)+IFERROR(SUMIFS('Base bordo CD'!M$2:M$875,'Base bordo CD'!D$2:D$875,A312,'Base bordo CD'!A$2:A$875,B312,'Base bordo CD'!L$2:L$875,"FALTA DE MOTORIST*"),0)</f>
        <v>0</v>
      </c>
      <c r="O312" s="10">
        <f t="shared" si="25"/>
        <v>4.8055555555553298E-2</v>
      </c>
      <c r="P312" s="10">
        <f>IFERROR(SUMIFS('Base bordo CD'!M$2:M$875,'Base bordo CD'!D$2:D$875,A312,'Base bordo CD'!A$2:A$875,B312),0)</f>
        <v>23.999999999999996</v>
      </c>
      <c r="Q312" s="10">
        <f>IFERROR(SUMIFS('Base bordo CD'!O$2:O$875,'Base bordo CD'!D$2:D$875,A312,'Base bordo CD'!A$2:A$875,B312,'Base bordo CD'!L$2:L$875,"CORTE DE CANA MECANIZADO"),0)</f>
        <v>118424.45000000001</v>
      </c>
      <c r="R312" s="10">
        <f>IFERROR(SUMIFS('Base bordo CD'!Q$2:Q$875,'Base bordo CD'!D$2:D$875,A312,'Base bordo CD'!A$2:A$875,B312,'Base bordo CD'!L$2:L$875,"CORTE DE CANA MECANIZADO"),0)</f>
        <v>26776</v>
      </c>
      <c r="S312" s="30">
        <f t="shared" si="26"/>
        <v>4.42278346280251</v>
      </c>
      <c r="T312" s="9">
        <f t="shared" si="27"/>
        <v>0.30990740740740741</v>
      </c>
      <c r="U312" s="9">
        <f t="shared" si="28"/>
        <v>5.7719907407407421E-2</v>
      </c>
      <c r="V312" s="9">
        <f t="shared" si="29"/>
        <v>0.67127314814814809</v>
      </c>
    </row>
    <row r="313" spans="1:22" x14ac:dyDescent="0.35">
      <c r="A313" s="52">
        <v>49596</v>
      </c>
      <c r="B313" s="31">
        <v>46123</v>
      </c>
      <c r="C313" s="7" t="s">
        <v>337</v>
      </c>
      <c r="D313" s="7">
        <v>353</v>
      </c>
      <c r="E313" s="10">
        <f>IFERROR(SUMIFS('Base bordo CD'!M$2:M$875,'Base bordo CD'!D$2:D$875,A313,'Base bordo CD'!A$2:A$875,B313,'Base bordo CD'!L$2:L$875,"CORTE DE CANA MECANIZADO"),0)</f>
        <v>7.4377777777777769</v>
      </c>
      <c r="F313" s="10">
        <f>IFERROR(SUMIFS('Base bordo CD'!M$2:M$875,'Base bordo CD'!D$2:D$875,A313,'Base bordo CD'!A$2:A$875,B313,'Base bordo CD'!L$2:L$875,"MANOBRA"),0)</f>
        <v>1.3852777777777778</v>
      </c>
      <c r="G313" s="10">
        <f>IFERROR(SUMIFS('Base bordo CD'!M$2:M$875,'Base bordo CD'!D$2:D$875,A313,'Base bordo CD'!A$2:A$875,B313,'Base bordo CD'!L$2:L$875,"DESLOCAMENTO"),0)</f>
        <v>0.45166666666666672</v>
      </c>
      <c r="H313" s="10">
        <f>IFERROR(SUMIFS('Base bordo CD'!M$2:M$875,'Base bordo CD'!D$2:D$875,A313,'Base bordo CD'!A$2:A$875,B313,'Base bordo CD'!L$2:L$875,"AGUARDANDO MANOBRA DE TRANSBORDO"),0)+IFERROR(SUMIFS('Base bordo CD'!M$2:M$875,'Base bordo CD'!D$2:D$875,A313,'Base bordo CD'!A$2:A$875,B313,'Base bordo CD'!L$2:L$875,"FALTA DE TRANSBORDO"),0)</f>
        <v>0.62361111111111112</v>
      </c>
      <c r="I313" s="10">
        <f>IFERROR(SUMIFS('Base bordo CD'!M$2:M$875,'Base bordo CD'!D$2:D$875,A313,'Base bordo CD'!A$2:A$875,B313,'Base bordo CD'!L$2:L$875,"PARADA POR CONDICOES CLIMATICAS"),0)+IFERROR(SUMIFS('Base bordo CD'!M$2:M$875,'Base bordo CD'!D$2:D$875,A313,'Base bordo CD'!A$2:A$875,B313,'Base bordo CD'!L$2:L$875,"TEMPO INDETERMINADO"),0)</f>
        <v>14.053611111111111</v>
      </c>
      <c r="J313" s="10">
        <f>IFERROR(SUMIFS('Base bordo CD'!M$2:M$875,'Base bordo CD'!D$2:D$875,A313,'Base bordo CD'!A$2:A$875,B313,'Base bordo CD'!L$2:L$875,"LIMITAÇÃO INDÚSTRIA"),0)</f>
        <v>0</v>
      </c>
      <c r="K313" s="10">
        <f>IFERROR(SUMIFS('Base bordo CD'!M$2:M$875,'Base bordo CD'!D$2:D$875,A313,'Base bordo CD'!A$2:A$875,B313,'Base bordo CD'!L$2:L$875,"MAN CORRETIVA*"),0)+IFERROR(SUMIFS('Base bordo CD'!M$2:M$875,'Base bordo CD'!D$2:D$875,A313,'Base bordo CD'!A$2:A$875,B313,'Base bordo CD'!L$2:L$875,"AGUARDANDO MANUTENCAO*"),0)+IFERROR(SUMIFS('Base bordo CD'!M$2:M$875,'Base bordo CD'!D$2:D$875,A313,'Base bordo CD'!A$2:A$875,B313,'Base bordo CD'!L$2:L$875,"TROCA DE FAQUINHA"),0)+IFERROR(SUMIFS('Base bordo CD'!M$2:M$875,'Base bordo CD'!D$2:D$875,A313,'Base bordo CD'!A$2:A$875,B313,'Base bordo CD'!L$2:L$875,"LIMPEZA*"),0)</f>
        <v>0</v>
      </c>
      <c r="L313" s="10">
        <f>IFERROR(SUMIFS('Base bordo CD'!M$2:M$875,'Base bordo CD'!D$2:D$875,A313,'Base bordo CD'!A$2:A$875,B313,'Base bordo CD'!L$2:L$875,"PATIO - RESERVA"),0)</f>
        <v>0</v>
      </c>
      <c r="M313" s="10">
        <f>IFERROR(SUMIFS('Base bordo CD'!M$2:M$875,'Base bordo CD'!D$2:D$875,A313,'Base bordo CD'!A$2:A$875,B313,'Base bordo CD'!L$2:L$875,"SEM APONTAMENTO"),0)</f>
        <v>0</v>
      </c>
      <c r="N313" s="10">
        <f>IFERROR(SUMIFS('Base bordo CD'!M$2:M$875,'Base bordo CD'!D$2:D$875,A313,'Base bordo CD'!A$2:A$875,B313,'Base bordo CD'!L$2:L$875,"FALTA DE CAMINHÃO"),0)+IFERROR(SUMIFS('Base bordo CD'!M$2:M$875,'Base bordo CD'!D$2:D$875,A313,'Base bordo CD'!A$2:A$875,B313,'Base bordo CD'!L$2:L$875,"FALTA DE COMBUSTIVEL"),0)+IFERROR(SUMIFS('Base bordo CD'!M$2:M$875,'Base bordo CD'!D$2:D$875,A313,'Base bordo CD'!A$2:A$875,B313,'Base bordo CD'!L$2:L$875,"FALTA DE MOTORIST*"),0)</f>
        <v>0</v>
      </c>
      <c r="O313" s="10">
        <f t="shared" si="25"/>
        <v>4.8055555555553298E-2</v>
      </c>
      <c r="P313" s="10">
        <f>IFERROR(SUMIFS('Base bordo CD'!M$2:M$875,'Base bordo CD'!D$2:D$875,A313,'Base bordo CD'!A$2:A$875,B313),0)</f>
        <v>23.999999999999996</v>
      </c>
      <c r="Q313" s="10">
        <f>IFERROR(SUMIFS('Base bordo CD'!O$2:O$875,'Base bordo CD'!D$2:D$875,A313,'Base bordo CD'!A$2:A$875,B313,'Base bordo CD'!L$2:L$875,"CORTE DE CANA MECANIZADO"),0)</f>
        <v>118424.45000000001</v>
      </c>
      <c r="R313" s="10">
        <f>IFERROR(SUMIFS('Base bordo CD'!Q$2:Q$875,'Base bordo CD'!D$2:D$875,A313,'Base bordo CD'!A$2:A$875,B313,'Base bordo CD'!L$2:L$875,"CORTE DE CANA MECANIZADO"),0)</f>
        <v>26776</v>
      </c>
      <c r="S313" s="30">
        <f t="shared" si="26"/>
        <v>4.42278346280251</v>
      </c>
      <c r="T313" s="9">
        <f t="shared" si="27"/>
        <v>0.30990740740740741</v>
      </c>
      <c r="U313" s="9">
        <f t="shared" si="28"/>
        <v>5.7719907407407421E-2</v>
      </c>
      <c r="V313" s="9">
        <f t="shared" si="29"/>
        <v>0.67127314814814809</v>
      </c>
    </row>
    <row r="314" spans="1:22" x14ac:dyDescent="0.35">
      <c r="A314" s="52">
        <v>49596</v>
      </c>
      <c r="B314" s="31">
        <v>46123</v>
      </c>
      <c r="C314" s="7" t="s">
        <v>337</v>
      </c>
      <c r="D314" s="7">
        <v>353</v>
      </c>
      <c r="E314" s="10">
        <f>IFERROR(SUMIFS('Base bordo CD'!M$2:M$875,'Base bordo CD'!D$2:D$875,A314,'Base bordo CD'!A$2:A$875,B314,'Base bordo CD'!L$2:L$875,"CORTE DE CANA MECANIZADO"),0)</f>
        <v>7.4377777777777769</v>
      </c>
      <c r="F314" s="10">
        <f>IFERROR(SUMIFS('Base bordo CD'!M$2:M$875,'Base bordo CD'!D$2:D$875,A314,'Base bordo CD'!A$2:A$875,B314,'Base bordo CD'!L$2:L$875,"MANOBRA"),0)</f>
        <v>1.3852777777777778</v>
      </c>
      <c r="G314" s="10">
        <f>IFERROR(SUMIFS('Base bordo CD'!M$2:M$875,'Base bordo CD'!D$2:D$875,A314,'Base bordo CD'!A$2:A$875,B314,'Base bordo CD'!L$2:L$875,"DESLOCAMENTO"),0)</f>
        <v>0.45166666666666672</v>
      </c>
      <c r="H314" s="10">
        <f>IFERROR(SUMIFS('Base bordo CD'!M$2:M$875,'Base bordo CD'!D$2:D$875,A314,'Base bordo CD'!A$2:A$875,B314,'Base bordo CD'!L$2:L$875,"AGUARDANDO MANOBRA DE TRANSBORDO"),0)+IFERROR(SUMIFS('Base bordo CD'!M$2:M$875,'Base bordo CD'!D$2:D$875,A314,'Base bordo CD'!A$2:A$875,B314,'Base bordo CD'!L$2:L$875,"FALTA DE TRANSBORDO"),0)</f>
        <v>0.62361111111111112</v>
      </c>
      <c r="I314" s="10">
        <f>IFERROR(SUMIFS('Base bordo CD'!M$2:M$875,'Base bordo CD'!D$2:D$875,A314,'Base bordo CD'!A$2:A$875,B314,'Base bordo CD'!L$2:L$875,"PARADA POR CONDICOES CLIMATICAS"),0)+IFERROR(SUMIFS('Base bordo CD'!M$2:M$875,'Base bordo CD'!D$2:D$875,A314,'Base bordo CD'!A$2:A$875,B314,'Base bordo CD'!L$2:L$875,"TEMPO INDETERMINADO"),0)</f>
        <v>14.053611111111111</v>
      </c>
      <c r="J314" s="10">
        <f>IFERROR(SUMIFS('Base bordo CD'!M$2:M$875,'Base bordo CD'!D$2:D$875,A314,'Base bordo CD'!A$2:A$875,B314,'Base bordo CD'!L$2:L$875,"LIMITAÇÃO INDÚSTRIA"),0)</f>
        <v>0</v>
      </c>
      <c r="K314" s="10">
        <f>IFERROR(SUMIFS('Base bordo CD'!M$2:M$875,'Base bordo CD'!D$2:D$875,A314,'Base bordo CD'!A$2:A$875,B314,'Base bordo CD'!L$2:L$875,"MAN CORRETIVA*"),0)+IFERROR(SUMIFS('Base bordo CD'!M$2:M$875,'Base bordo CD'!D$2:D$875,A314,'Base bordo CD'!A$2:A$875,B314,'Base bordo CD'!L$2:L$875,"AGUARDANDO MANUTENCAO*"),0)+IFERROR(SUMIFS('Base bordo CD'!M$2:M$875,'Base bordo CD'!D$2:D$875,A314,'Base bordo CD'!A$2:A$875,B314,'Base bordo CD'!L$2:L$875,"TROCA DE FAQUINHA"),0)+IFERROR(SUMIFS('Base bordo CD'!M$2:M$875,'Base bordo CD'!D$2:D$875,A314,'Base bordo CD'!A$2:A$875,B314,'Base bordo CD'!L$2:L$875,"LIMPEZA*"),0)</f>
        <v>0</v>
      </c>
      <c r="L314" s="10">
        <f>IFERROR(SUMIFS('Base bordo CD'!M$2:M$875,'Base bordo CD'!D$2:D$875,A314,'Base bordo CD'!A$2:A$875,B314,'Base bordo CD'!L$2:L$875,"PATIO - RESERVA"),0)</f>
        <v>0</v>
      </c>
      <c r="M314" s="10">
        <f>IFERROR(SUMIFS('Base bordo CD'!M$2:M$875,'Base bordo CD'!D$2:D$875,A314,'Base bordo CD'!A$2:A$875,B314,'Base bordo CD'!L$2:L$875,"SEM APONTAMENTO"),0)</f>
        <v>0</v>
      </c>
      <c r="N314" s="10">
        <f>IFERROR(SUMIFS('Base bordo CD'!M$2:M$875,'Base bordo CD'!D$2:D$875,A314,'Base bordo CD'!A$2:A$875,B314,'Base bordo CD'!L$2:L$875,"FALTA DE CAMINHÃO"),0)+IFERROR(SUMIFS('Base bordo CD'!M$2:M$875,'Base bordo CD'!D$2:D$875,A314,'Base bordo CD'!A$2:A$875,B314,'Base bordo CD'!L$2:L$875,"FALTA DE COMBUSTIVEL"),0)+IFERROR(SUMIFS('Base bordo CD'!M$2:M$875,'Base bordo CD'!D$2:D$875,A314,'Base bordo CD'!A$2:A$875,B314,'Base bordo CD'!L$2:L$875,"FALTA DE MOTORIST*"),0)</f>
        <v>0</v>
      </c>
      <c r="O314" s="10">
        <f t="shared" si="25"/>
        <v>4.8055555555553298E-2</v>
      </c>
      <c r="P314" s="10">
        <f>IFERROR(SUMIFS('Base bordo CD'!M$2:M$875,'Base bordo CD'!D$2:D$875,A314,'Base bordo CD'!A$2:A$875,B314),0)</f>
        <v>23.999999999999996</v>
      </c>
      <c r="Q314" s="10">
        <f>IFERROR(SUMIFS('Base bordo CD'!O$2:O$875,'Base bordo CD'!D$2:D$875,A314,'Base bordo CD'!A$2:A$875,B314,'Base bordo CD'!L$2:L$875,"CORTE DE CANA MECANIZADO"),0)</f>
        <v>118424.45000000001</v>
      </c>
      <c r="R314" s="10">
        <f>IFERROR(SUMIFS('Base bordo CD'!Q$2:Q$875,'Base bordo CD'!D$2:D$875,A314,'Base bordo CD'!A$2:A$875,B314,'Base bordo CD'!L$2:L$875,"CORTE DE CANA MECANIZADO"),0)</f>
        <v>26776</v>
      </c>
      <c r="S314" s="30">
        <f t="shared" si="26"/>
        <v>4.42278346280251</v>
      </c>
      <c r="T314" s="9">
        <f t="shared" si="27"/>
        <v>0.30990740740740741</v>
      </c>
      <c r="U314" s="9">
        <f t="shared" si="28"/>
        <v>5.7719907407407421E-2</v>
      </c>
      <c r="V314" s="9">
        <f t="shared" si="29"/>
        <v>0.67127314814814809</v>
      </c>
    </row>
    <row r="315" spans="1:22" x14ac:dyDescent="0.35">
      <c r="A315" s="52">
        <v>49596</v>
      </c>
      <c r="B315" s="31">
        <v>46123</v>
      </c>
      <c r="C315" s="7" t="s">
        <v>337</v>
      </c>
      <c r="D315" s="7">
        <v>353</v>
      </c>
      <c r="E315" s="10">
        <f>IFERROR(SUMIFS('Base bordo CD'!M$2:M$875,'Base bordo CD'!D$2:D$875,A315,'Base bordo CD'!A$2:A$875,B315,'Base bordo CD'!L$2:L$875,"CORTE DE CANA MECANIZADO"),0)</f>
        <v>7.4377777777777769</v>
      </c>
      <c r="F315" s="10">
        <f>IFERROR(SUMIFS('Base bordo CD'!M$2:M$875,'Base bordo CD'!D$2:D$875,A315,'Base bordo CD'!A$2:A$875,B315,'Base bordo CD'!L$2:L$875,"MANOBRA"),0)</f>
        <v>1.3852777777777778</v>
      </c>
      <c r="G315" s="10">
        <f>IFERROR(SUMIFS('Base bordo CD'!M$2:M$875,'Base bordo CD'!D$2:D$875,A315,'Base bordo CD'!A$2:A$875,B315,'Base bordo CD'!L$2:L$875,"DESLOCAMENTO"),0)</f>
        <v>0.45166666666666672</v>
      </c>
      <c r="H315" s="10">
        <f>IFERROR(SUMIFS('Base bordo CD'!M$2:M$875,'Base bordo CD'!D$2:D$875,A315,'Base bordo CD'!A$2:A$875,B315,'Base bordo CD'!L$2:L$875,"AGUARDANDO MANOBRA DE TRANSBORDO"),0)+IFERROR(SUMIFS('Base bordo CD'!M$2:M$875,'Base bordo CD'!D$2:D$875,A315,'Base bordo CD'!A$2:A$875,B315,'Base bordo CD'!L$2:L$875,"FALTA DE TRANSBORDO"),0)</f>
        <v>0.62361111111111112</v>
      </c>
      <c r="I315" s="10">
        <f>IFERROR(SUMIFS('Base bordo CD'!M$2:M$875,'Base bordo CD'!D$2:D$875,A315,'Base bordo CD'!A$2:A$875,B315,'Base bordo CD'!L$2:L$875,"PARADA POR CONDICOES CLIMATICAS"),0)+IFERROR(SUMIFS('Base bordo CD'!M$2:M$875,'Base bordo CD'!D$2:D$875,A315,'Base bordo CD'!A$2:A$875,B315,'Base bordo CD'!L$2:L$875,"TEMPO INDETERMINADO"),0)</f>
        <v>14.053611111111111</v>
      </c>
      <c r="J315" s="10">
        <f>IFERROR(SUMIFS('Base bordo CD'!M$2:M$875,'Base bordo CD'!D$2:D$875,A315,'Base bordo CD'!A$2:A$875,B315,'Base bordo CD'!L$2:L$875,"LIMITAÇÃO INDÚSTRIA"),0)</f>
        <v>0</v>
      </c>
      <c r="K315" s="10">
        <f>IFERROR(SUMIFS('Base bordo CD'!M$2:M$875,'Base bordo CD'!D$2:D$875,A315,'Base bordo CD'!A$2:A$875,B315,'Base bordo CD'!L$2:L$875,"MAN CORRETIVA*"),0)+IFERROR(SUMIFS('Base bordo CD'!M$2:M$875,'Base bordo CD'!D$2:D$875,A315,'Base bordo CD'!A$2:A$875,B315,'Base bordo CD'!L$2:L$875,"AGUARDANDO MANUTENCAO*"),0)+IFERROR(SUMIFS('Base bordo CD'!M$2:M$875,'Base bordo CD'!D$2:D$875,A315,'Base bordo CD'!A$2:A$875,B315,'Base bordo CD'!L$2:L$875,"TROCA DE FAQUINHA"),0)+IFERROR(SUMIFS('Base bordo CD'!M$2:M$875,'Base bordo CD'!D$2:D$875,A315,'Base bordo CD'!A$2:A$875,B315,'Base bordo CD'!L$2:L$875,"LIMPEZA*"),0)</f>
        <v>0</v>
      </c>
      <c r="L315" s="10">
        <f>IFERROR(SUMIFS('Base bordo CD'!M$2:M$875,'Base bordo CD'!D$2:D$875,A315,'Base bordo CD'!A$2:A$875,B315,'Base bordo CD'!L$2:L$875,"PATIO - RESERVA"),0)</f>
        <v>0</v>
      </c>
      <c r="M315" s="10">
        <f>IFERROR(SUMIFS('Base bordo CD'!M$2:M$875,'Base bordo CD'!D$2:D$875,A315,'Base bordo CD'!A$2:A$875,B315,'Base bordo CD'!L$2:L$875,"SEM APONTAMENTO"),0)</f>
        <v>0</v>
      </c>
      <c r="N315" s="10">
        <f>IFERROR(SUMIFS('Base bordo CD'!M$2:M$875,'Base bordo CD'!D$2:D$875,A315,'Base bordo CD'!A$2:A$875,B315,'Base bordo CD'!L$2:L$875,"FALTA DE CAMINHÃO"),0)+IFERROR(SUMIFS('Base bordo CD'!M$2:M$875,'Base bordo CD'!D$2:D$875,A315,'Base bordo CD'!A$2:A$875,B315,'Base bordo CD'!L$2:L$875,"FALTA DE COMBUSTIVEL"),0)+IFERROR(SUMIFS('Base bordo CD'!M$2:M$875,'Base bordo CD'!D$2:D$875,A315,'Base bordo CD'!A$2:A$875,B315,'Base bordo CD'!L$2:L$875,"FALTA DE MOTORIST*"),0)</f>
        <v>0</v>
      </c>
      <c r="O315" s="10">
        <f t="shared" si="25"/>
        <v>4.8055555555553298E-2</v>
      </c>
      <c r="P315" s="10">
        <f>IFERROR(SUMIFS('Base bordo CD'!M$2:M$875,'Base bordo CD'!D$2:D$875,A315,'Base bordo CD'!A$2:A$875,B315),0)</f>
        <v>23.999999999999996</v>
      </c>
      <c r="Q315" s="10">
        <f>IFERROR(SUMIFS('Base bordo CD'!O$2:O$875,'Base bordo CD'!D$2:D$875,A315,'Base bordo CD'!A$2:A$875,B315,'Base bordo CD'!L$2:L$875,"CORTE DE CANA MECANIZADO"),0)</f>
        <v>118424.45000000001</v>
      </c>
      <c r="R315" s="10">
        <f>IFERROR(SUMIFS('Base bordo CD'!Q$2:Q$875,'Base bordo CD'!D$2:D$875,A315,'Base bordo CD'!A$2:A$875,B315,'Base bordo CD'!L$2:L$875,"CORTE DE CANA MECANIZADO"),0)</f>
        <v>26776</v>
      </c>
      <c r="S315" s="30">
        <f t="shared" si="26"/>
        <v>4.42278346280251</v>
      </c>
      <c r="T315" s="9">
        <f t="shared" si="27"/>
        <v>0.30990740740740741</v>
      </c>
      <c r="U315" s="9">
        <f t="shared" si="28"/>
        <v>5.7719907407407421E-2</v>
      </c>
      <c r="V315" s="9">
        <f t="shared" si="29"/>
        <v>0.67127314814814809</v>
      </c>
    </row>
    <row r="316" spans="1:22" x14ac:dyDescent="0.35">
      <c r="A316" s="52">
        <v>49596</v>
      </c>
      <c r="B316" s="31">
        <v>46123</v>
      </c>
      <c r="C316" s="7" t="s">
        <v>337</v>
      </c>
      <c r="D316" s="7">
        <v>353</v>
      </c>
      <c r="E316" s="10">
        <f>IFERROR(SUMIFS('Base bordo CD'!M$2:M$875,'Base bordo CD'!D$2:D$875,A316,'Base bordo CD'!A$2:A$875,B316,'Base bordo CD'!L$2:L$875,"CORTE DE CANA MECANIZADO"),0)</f>
        <v>7.4377777777777769</v>
      </c>
      <c r="F316" s="10">
        <f>IFERROR(SUMIFS('Base bordo CD'!M$2:M$875,'Base bordo CD'!D$2:D$875,A316,'Base bordo CD'!A$2:A$875,B316,'Base bordo CD'!L$2:L$875,"MANOBRA"),0)</f>
        <v>1.3852777777777778</v>
      </c>
      <c r="G316" s="10">
        <f>IFERROR(SUMIFS('Base bordo CD'!M$2:M$875,'Base bordo CD'!D$2:D$875,A316,'Base bordo CD'!A$2:A$875,B316,'Base bordo CD'!L$2:L$875,"DESLOCAMENTO"),0)</f>
        <v>0.45166666666666672</v>
      </c>
      <c r="H316" s="10">
        <f>IFERROR(SUMIFS('Base bordo CD'!M$2:M$875,'Base bordo CD'!D$2:D$875,A316,'Base bordo CD'!A$2:A$875,B316,'Base bordo CD'!L$2:L$875,"AGUARDANDO MANOBRA DE TRANSBORDO"),0)+IFERROR(SUMIFS('Base bordo CD'!M$2:M$875,'Base bordo CD'!D$2:D$875,A316,'Base bordo CD'!A$2:A$875,B316,'Base bordo CD'!L$2:L$875,"FALTA DE TRANSBORDO"),0)</f>
        <v>0.62361111111111112</v>
      </c>
      <c r="I316" s="10">
        <f>IFERROR(SUMIFS('Base bordo CD'!M$2:M$875,'Base bordo CD'!D$2:D$875,A316,'Base bordo CD'!A$2:A$875,B316,'Base bordo CD'!L$2:L$875,"PARADA POR CONDICOES CLIMATICAS"),0)+IFERROR(SUMIFS('Base bordo CD'!M$2:M$875,'Base bordo CD'!D$2:D$875,A316,'Base bordo CD'!A$2:A$875,B316,'Base bordo CD'!L$2:L$875,"TEMPO INDETERMINADO"),0)</f>
        <v>14.053611111111111</v>
      </c>
      <c r="J316" s="10">
        <f>IFERROR(SUMIFS('Base bordo CD'!M$2:M$875,'Base bordo CD'!D$2:D$875,A316,'Base bordo CD'!A$2:A$875,B316,'Base bordo CD'!L$2:L$875,"LIMITAÇÃO INDÚSTRIA"),0)</f>
        <v>0</v>
      </c>
      <c r="K316" s="10">
        <f>IFERROR(SUMIFS('Base bordo CD'!M$2:M$875,'Base bordo CD'!D$2:D$875,A316,'Base bordo CD'!A$2:A$875,B316,'Base bordo CD'!L$2:L$875,"MAN CORRETIVA*"),0)+IFERROR(SUMIFS('Base bordo CD'!M$2:M$875,'Base bordo CD'!D$2:D$875,A316,'Base bordo CD'!A$2:A$875,B316,'Base bordo CD'!L$2:L$875,"AGUARDANDO MANUTENCAO*"),0)+IFERROR(SUMIFS('Base bordo CD'!M$2:M$875,'Base bordo CD'!D$2:D$875,A316,'Base bordo CD'!A$2:A$875,B316,'Base bordo CD'!L$2:L$875,"TROCA DE FAQUINHA"),0)+IFERROR(SUMIFS('Base bordo CD'!M$2:M$875,'Base bordo CD'!D$2:D$875,A316,'Base bordo CD'!A$2:A$875,B316,'Base bordo CD'!L$2:L$875,"LIMPEZA*"),0)</f>
        <v>0</v>
      </c>
      <c r="L316" s="10">
        <f>IFERROR(SUMIFS('Base bordo CD'!M$2:M$875,'Base bordo CD'!D$2:D$875,A316,'Base bordo CD'!A$2:A$875,B316,'Base bordo CD'!L$2:L$875,"PATIO - RESERVA"),0)</f>
        <v>0</v>
      </c>
      <c r="M316" s="10">
        <f>IFERROR(SUMIFS('Base bordo CD'!M$2:M$875,'Base bordo CD'!D$2:D$875,A316,'Base bordo CD'!A$2:A$875,B316,'Base bordo CD'!L$2:L$875,"SEM APONTAMENTO"),0)</f>
        <v>0</v>
      </c>
      <c r="N316" s="10">
        <f>IFERROR(SUMIFS('Base bordo CD'!M$2:M$875,'Base bordo CD'!D$2:D$875,A316,'Base bordo CD'!A$2:A$875,B316,'Base bordo CD'!L$2:L$875,"FALTA DE CAMINHÃO"),0)+IFERROR(SUMIFS('Base bordo CD'!M$2:M$875,'Base bordo CD'!D$2:D$875,A316,'Base bordo CD'!A$2:A$875,B316,'Base bordo CD'!L$2:L$875,"FALTA DE COMBUSTIVEL"),0)+IFERROR(SUMIFS('Base bordo CD'!M$2:M$875,'Base bordo CD'!D$2:D$875,A316,'Base bordo CD'!A$2:A$875,B316,'Base bordo CD'!L$2:L$875,"FALTA DE MOTORIST*"),0)</f>
        <v>0</v>
      </c>
      <c r="O316" s="10">
        <f t="shared" si="25"/>
        <v>4.8055555555553298E-2</v>
      </c>
      <c r="P316" s="10">
        <f>IFERROR(SUMIFS('Base bordo CD'!M$2:M$875,'Base bordo CD'!D$2:D$875,A316,'Base bordo CD'!A$2:A$875,B316),0)</f>
        <v>23.999999999999996</v>
      </c>
      <c r="Q316" s="10">
        <f>IFERROR(SUMIFS('Base bordo CD'!O$2:O$875,'Base bordo CD'!D$2:D$875,A316,'Base bordo CD'!A$2:A$875,B316,'Base bordo CD'!L$2:L$875,"CORTE DE CANA MECANIZADO"),0)</f>
        <v>118424.45000000001</v>
      </c>
      <c r="R316" s="10">
        <f>IFERROR(SUMIFS('Base bordo CD'!Q$2:Q$875,'Base bordo CD'!D$2:D$875,A316,'Base bordo CD'!A$2:A$875,B316,'Base bordo CD'!L$2:L$875,"CORTE DE CANA MECANIZADO"),0)</f>
        <v>26776</v>
      </c>
      <c r="S316" s="30">
        <f t="shared" si="26"/>
        <v>4.42278346280251</v>
      </c>
      <c r="T316" s="9">
        <f t="shared" si="27"/>
        <v>0.30990740740740741</v>
      </c>
      <c r="U316" s="9">
        <f t="shared" si="28"/>
        <v>5.7719907407407421E-2</v>
      </c>
      <c r="V316" s="9">
        <f t="shared" si="29"/>
        <v>0.67127314814814809</v>
      </c>
    </row>
    <row r="317" spans="1:22" x14ac:dyDescent="0.35">
      <c r="A317" s="52">
        <v>49596</v>
      </c>
      <c r="B317" s="31">
        <v>46123</v>
      </c>
      <c r="C317" s="7" t="s">
        <v>337</v>
      </c>
      <c r="D317" s="7">
        <v>353</v>
      </c>
      <c r="E317" s="10">
        <f>IFERROR(SUMIFS('Base bordo CD'!M$2:M$875,'Base bordo CD'!D$2:D$875,A317,'Base bordo CD'!A$2:A$875,B317,'Base bordo CD'!L$2:L$875,"CORTE DE CANA MECANIZADO"),0)</f>
        <v>7.4377777777777769</v>
      </c>
      <c r="F317" s="10">
        <f>IFERROR(SUMIFS('Base bordo CD'!M$2:M$875,'Base bordo CD'!D$2:D$875,A317,'Base bordo CD'!A$2:A$875,B317,'Base bordo CD'!L$2:L$875,"MANOBRA"),0)</f>
        <v>1.3852777777777778</v>
      </c>
      <c r="G317" s="10">
        <f>IFERROR(SUMIFS('Base bordo CD'!M$2:M$875,'Base bordo CD'!D$2:D$875,A317,'Base bordo CD'!A$2:A$875,B317,'Base bordo CD'!L$2:L$875,"DESLOCAMENTO"),0)</f>
        <v>0.45166666666666672</v>
      </c>
      <c r="H317" s="10">
        <f>IFERROR(SUMIFS('Base bordo CD'!M$2:M$875,'Base bordo CD'!D$2:D$875,A317,'Base bordo CD'!A$2:A$875,B317,'Base bordo CD'!L$2:L$875,"AGUARDANDO MANOBRA DE TRANSBORDO"),0)+IFERROR(SUMIFS('Base bordo CD'!M$2:M$875,'Base bordo CD'!D$2:D$875,A317,'Base bordo CD'!A$2:A$875,B317,'Base bordo CD'!L$2:L$875,"FALTA DE TRANSBORDO"),0)</f>
        <v>0.62361111111111112</v>
      </c>
      <c r="I317" s="10">
        <f>IFERROR(SUMIFS('Base bordo CD'!M$2:M$875,'Base bordo CD'!D$2:D$875,A317,'Base bordo CD'!A$2:A$875,B317,'Base bordo CD'!L$2:L$875,"PARADA POR CONDICOES CLIMATICAS"),0)+IFERROR(SUMIFS('Base bordo CD'!M$2:M$875,'Base bordo CD'!D$2:D$875,A317,'Base bordo CD'!A$2:A$875,B317,'Base bordo CD'!L$2:L$875,"TEMPO INDETERMINADO"),0)</f>
        <v>14.053611111111111</v>
      </c>
      <c r="J317" s="10">
        <f>IFERROR(SUMIFS('Base bordo CD'!M$2:M$875,'Base bordo CD'!D$2:D$875,A317,'Base bordo CD'!A$2:A$875,B317,'Base bordo CD'!L$2:L$875,"LIMITAÇÃO INDÚSTRIA"),0)</f>
        <v>0</v>
      </c>
      <c r="K317" s="10">
        <f>IFERROR(SUMIFS('Base bordo CD'!M$2:M$875,'Base bordo CD'!D$2:D$875,A317,'Base bordo CD'!A$2:A$875,B317,'Base bordo CD'!L$2:L$875,"MAN CORRETIVA*"),0)+IFERROR(SUMIFS('Base bordo CD'!M$2:M$875,'Base bordo CD'!D$2:D$875,A317,'Base bordo CD'!A$2:A$875,B317,'Base bordo CD'!L$2:L$875,"AGUARDANDO MANUTENCAO*"),0)+IFERROR(SUMIFS('Base bordo CD'!M$2:M$875,'Base bordo CD'!D$2:D$875,A317,'Base bordo CD'!A$2:A$875,B317,'Base bordo CD'!L$2:L$875,"TROCA DE FAQUINHA"),0)+IFERROR(SUMIFS('Base bordo CD'!M$2:M$875,'Base bordo CD'!D$2:D$875,A317,'Base bordo CD'!A$2:A$875,B317,'Base bordo CD'!L$2:L$875,"LIMPEZA*"),0)</f>
        <v>0</v>
      </c>
      <c r="L317" s="10">
        <f>IFERROR(SUMIFS('Base bordo CD'!M$2:M$875,'Base bordo CD'!D$2:D$875,A317,'Base bordo CD'!A$2:A$875,B317,'Base bordo CD'!L$2:L$875,"PATIO - RESERVA"),0)</f>
        <v>0</v>
      </c>
      <c r="M317" s="10">
        <f>IFERROR(SUMIFS('Base bordo CD'!M$2:M$875,'Base bordo CD'!D$2:D$875,A317,'Base bordo CD'!A$2:A$875,B317,'Base bordo CD'!L$2:L$875,"SEM APONTAMENTO"),0)</f>
        <v>0</v>
      </c>
      <c r="N317" s="10">
        <f>IFERROR(SUMIFS('Base bordo CD'!M$2:M$875,'Base bordo CD'!D$2:D$875,A317,'Base bordo CD'!A$2:A$875,B317,'Base bordo CD'!L$2:L$875,"FALTA DE CAMINHÃO"),0)+IFERROR(SUMIFS('Base bordo CD'!M$2:M$875,'Base bordo CD'!D$2:D$875,A317,'Base bordo CD'!A$2:A$875,B317,'Base bordo CD'!L$2:L$875,"FALTA DE COMBUSTIVEL"),0)+IFERROR(SUMIFS('Base bordo CD'!M$2:M$875,'Base bordo CD'!D$2:D$875,A317,'Base bordo CD'!A$2:A$875,B317,'Base bordo CD'!L$2:L$875,"FALTA DE MOTORIST*"),0)</f>
        <v>0</v>
      </c>
      <c r="O317" s="10">
        <f t="shared" si="25"/>
        <v>4.8055555555553298E-2</v>
      </c>
      <c r="P317" s="10">
        <f>IFERROR(SUMIFS('Base bordo CD'!M$2:M$875,'Base bordo CD'!D$2:D$875,A317,'Base bordo CD'!A$2:A$875,B317),0)</f>
        <v>23.999999999999996</v>
      </c>
      <c r="Q317" s="10">
        <f>IFERROR(SUMIFS('Base bordo CD'!O$2:O$875,'Base bordo CD'!D$2:D$875,A317,'Base bordo CD'!A$2:A$875,B317,'Base bordo CD'!L$2:L$875,"CORTE DE CANA MECANIZADO"),0)</f>
        <v>118424.45000000001</v>
      </c>
      <c r="R317" s="10">
        <f>IFERROR(SUMIFS('Base bordo CD'!Q$2:Q$875,'Base bordo CD'!D$2:D$875,A317,'Base bordo CD'!A$2:A$875,B317,'Base bordo CD'!L$2:L$875,"CORTE DE CANA MECANIZADO"),0)</f>
        <v>26776</v>
      </c>
      <c r="S317" s="30">
        <f t="shared" si="26"/>
        <v>4.42278346280251</v>
      </c>
      <c r="T317" s="9">
        <f t="shared" si="27"/>
        <v>0.30990740740740741</v>
      </c>
      <c r="U317" s="9">
        <f t="shared" si="28"/>
        <v>5.7719907407407421E-2</v>
      </c>
      <c r="V317" s="9">
        <f t="shared" si="29"/>
        <v>0.67127314814814809</v>
      </c>
    </row>
    <row r="318" spans="1:22" x14ac:dyDescent="0.35">
      <c r="A318" s="52">
        <v>49596</v>
      </c>
      <c r="B318" s="31">
        <v>46123</v>
      </c>
      <c r="C318" s="7" t="s">
        <v>337</v>
      </c>
      <c r="D318" s="7">
        <v>353</v>
      </c>
      <c r="E318" s="10">
        <f>IFERROR(SUMIFS('Base bordo CD'!M$2:M$875,'Base bordo CD'!D$2:D$875,A318,'Base bordo CD'!A$2:A$875,B318,'Base bordo CD'!L$2:L$875,"CORTE DE CANA MECANIZADO"),0)</f>
        <v>7.4377777777777769</v>
      </c>
      <c r="F318" s="10">
        <f>IFERROR(SUMIFS('Base bordo CD'!M$2:M$875,'Base bordo CD'!D$2:D$875,A318,'Base bordo CD'!A$2:A$875,B318,'Base bordo CD'!L$2:L$875,"MANOBRA"),0)</f>
        <v>1.3852777777777778</v>
      </c>
      <c r="G318" s="10">
        <f>IFERROR(SUMIFS('Base bordo CD'!M$2:M$875,'Base bordo CD'!D$2:D$875,A318,'Base bordo CD'!A$2:A$875,B318,'Base bordo CD'!L$2:L$875,"DESLOCAMENTO"),0)</f>
        <v>0.45166666666666672</v>
      </c>
      <c r="H318" s="10">
        <f>IFERROR(SUMIFS('Base bordo CD'!M$2:M$875,'Base bordo CD'!D$2:D$875,A318,'Base bordo CD'!A$2:A$875,B318,'Base bordo CD'!L$2:L$875,"AGUARDANDO MANOBRA DE TRANSBORDO"),0)+IFERROR(SUMIFS('Base bordo CD'!M$2:M$875,'Base bordo CD'!D$2:D$875,A318,'Base bordo CD'!A$2:A$875,B318,'Base bordo CD'!L$2:L$875,"FALTA DE TRANSBORDO"),0)</f>
        <v>0.62361111111111112</v>
      </c>
      <c r="I318" s="10">
        <f>IFERROR(SUMIFS('Base bordo CD'!M$2:M$875,'Base bordo CD'!D$2:D$875,A318,'Base bordo CD'!A$2:A$875,B318,'Base bordo CD'!L$2:L$875,"PARADA POR CONDICOES CLIMATICAS"),0)+IFERROR(SUMIFS('Base bordo CD'!M$2:M$875,'Base bordo CD'!D$2:D$875,A318,'Base bordo CD'!A$2:A$875,B318,'Base bordo CD'!L$2:L$875,"TEMPO INDETERMINADO"),0)</f>
        <v>14.053611111111111</v>
      </c>
      <c r="J318" s="10">
        <f>IFERROR(SUMIFS('Base bordo CD'!M$2:M$875,'Base bordo CD'!D$2:D$875,A318,'Base bordo CD'!A$2:A$875,B318,'Base bordo CD'!L$2:L$875,"LIMITAÇÃO INDÚSTRIA"),0)</f>
        <v>0</v>
      </c>
      <c r="K318" s="10">
        <f>IFERROR(SUMIFS('Base bordo CD'!M$2:M$875,'Base bordo CD'!D$2:D$875,A318,'Base bordo CD'!A$2:A$875,B318,'Base bordo CD'!L$2:L$875,"MAN CORRETIVA*"),0)+IFERROR(SUMIFS('Base bordo CD'!M$2:M$875,'Base bordo CD'!D$2:D$875,A318,'Base bordo CD'!A$2:A$875,B318,'Base bordo CD'!L$2:L$875,"AGUARDANDO MANUTENCAO*"),0)+IFERROR(SUMIFS('Base bordo CD'!M$2:M$875,'Base bordo CD'!D$2:D$875,A318,'Base bordo CD'!A$2:A$875,B318,'Base bordo CD'!L$2:L$875,"TROCA DE FAQUINHA"),0)+IFERROR(SUMIFS('Base bordo CD'!M$2:M$875,'Base bordo CD'!D$2:D$875,A318,'Base bordo CD'!A$2:A$875,B318,'Base bordo CD'!L$2:L$875,"LIMPEZA*"),0)</f>
        <v>0</v>
      </c>
      <c r="L318" s="10">
        <f>IFERROR(SUMIFS('Base bordo CD'!M$2:M$875,'Base bordo CD'!D$2:D$875,A318,'Base bordo CD'!A$2:A$875,B318,'Base bordo CD'!L$2:L$875,"PATIO - RESERVA"),0)</f>
        <v>0</v>
      </c>
      <c r="M318" s="10">
        <f>IFERROR(SUMIFS('Base bordo CD'!M$2:M$875,'Base bordo CD'!D$2:D$875,A318,'Base bordo CD'!A$2:A$875,B318,'Base bordo CD'!L$2:L$875,"SEM APONTAMENTO"),0)</f>
        <v>0</v>
      </c>
      <c r="N318" s="10">
        <f>IFERROR(SUMIFS('Base bordo CD'!M$2:M$875,'Base bordo CD'!D$2:D$875,A318,'Base bordo CD'!A$2:A$875,B318,'Base bordo CD'!L$2:L$875,"FALTA DE CAMINHÃO"),0)+IFERROR(SUMIFS('Base bordo CD'!M$2:M$875,'Base bordo CD'!D$2:D$875,A318,'Base bordo CD'!A$2:A$875,B318,'Base bordo CD'!L$2:L$875,"FALTA DE COMBUSTIVEL"),0)+IFERROR(SUMIFS('Base bordo CD'!M$2:M$875,'Base bordo CD'!D$2:D$875,A318,'Base bordo CD'!A$2:A$875,B318,'Base bordo CD'!L$2:L$875,"FALTA DE MOTORIST*"),0)</f>
        <v>0</v>
      </c>
      <c r="O318" s="10">
        <f t="shared" ref="O318:O381" si="30">IFERROR(P318-SUM(E318:N318),0)</f>
        <v>4.8055555555553298E-2</v>
      </c>
      <c r="P318" s="10">
        <f>IFERROR(SUMIFS('Base bordo CD'!M$2:M$875,'Base bordo CD'!D$2:D$875,A318,'Base bordo CD'!A$2:A$875,B318),0)</f>
        <v>23.999999999999996</v>
      </c>
      <c r="Q318" s="10">
        <f>IFERROR(SUMIFS('Base bordo CD'!O$2:O$875,'Base bordo CD'!D$2:D$875,A318,'Base bordo CD'!A$2:A$875,B318,'Base bordo CD'!L$2:L$875,"CORTE DE CANA MECANIZADO"),0)</f>
        <v>118424.45000000001</v>
      </c>
      <c r="R318" s="10">
        <f>IFERROR(SUMIFS('Base bordo CD'!Q$2:Q$875,'Base bordo CD'!D$2:D$875,A318,'Base bordo CD'!A$2:A$875,B318,'Base bordo CD'!L$2:L$875,"CORTE DE CANA MECANIZADO"),0)</f>
        <v>26776</v>
      </c>
      <c r="S318" s="30">
        <f t="shared" ref="S318:S381" si="31">IFERROR(Q318/R318,"")</f>
        <v>4.42278346280251</v>
      </c>
      <c r="T318" s="9">
        <f t="shared" ref="T318:T381" si="32">IFERROR(E318/P318,0)</f>
        <v>0.30990740740740741</v>
      </c>
      <c r="U318" s="9">
        <f t="shared" ref="U318:U381" si="33">IFERROR(F318/P318,0)</f>
        <v>5.7719907407407421E-2</v>
      </c>
      <c r="V318" s="9">
        <f t="shared" ref="V318:V381" si="34">IFERROR(1-(E318+G318)/P318,0)</f>
        <v>0.67127314814814809</v>
      </c>
    </row>
    <row r="319" spans="1:22" x14ac:dyDescent="0.35">
      <c r="A319" s="52">
        <v>49596</v>
      </c>
      <c r="B319" s="31">
        <v>46123</v>
      </c>
      <c r="C319" s="7" t="s">
        <v>337</v>
      </c>
      <c r="D319" s="7">
        <v>353</v>
      </c>
      <c r="E319" s="10">
        <f>IFERROR(SUMIFS('Base bordo CD'!M$2:M$875,'Base bordo CD'!D$2:D$875,A319,'Base bordo CD'!A$2:A$875,B319,'Base bordo CD'!L$2:L$875,"CORTE DE CANA MECANIZADO"),0)</f>
        <v>7.4377777777777769</v>
      </c>
      <c r="F319" s="10">
        <f>IFERROR(SUMIFS('Base bordo CD'!M$2:M$875,'Base bordo CD'!D$2:D$875,A319,'Base bordo CD'!A$2:A$875,B319,'Base bordo CD'!L$2:L$875,"MANOBRA"),0)</f>
        <v>1.3852777777777778</v>
      </c>
      <c r="G319" s="10">
        <f>IFERROR(SUMIFS('Base bordo CD'!M$2:M$875,'Base bordo CD'!D$2:D$875,A319,'Base bordo CD'!A$2:A$875,B319,'Base bordo CD'!L$2:L$875,"DESLOCAMENTO"),0)</f>
        <v>0.45166666666666672</v>
      </c>
      <c r="H319" s="10">
        <f>IFERROR(SUMIFS('Base bordo CD'!M$2:M$875,'Base bordo CD'!D$2:D$875,A319,'Base bordo CD'!A$2:A$875,B319,'Base bordo CD'!L$2:L$875,"AGUARDANDO MANOBRA DE TRANSBORDO"),0)+IFERROR(SUMIFS('Base bordo CD'!M$2:M$875,'Base bordo CD'!D$2:D$875,A319,'Base bordo CD'!A$2:A$875,B319,'Base bordo CD'!L$2:L$875,"FALTA DE TRANSBORDO"),0)</f>
        <v>0.62361111111111112</v>
      </c>
      <c r="I319" s="10">
        <f>IFERROR(SUMIFS('Base bordo CD'!M$2:M$875,'Base bordo CD'!D$2:D$875,A319,'Base bordo CD'!A$2:A$875,B319,'Base bordo CD'!L$2:L$875,"PARADA POR CONDICOES CLIMATICAS"),0)+IFERROR(SUMIFS('Base bordo CD'!M$2:M$875,'Base bordo CD'!D$2:D$875,A319,'Base bordo CD'!A$2:A$875,B319,'Base bordo CD'!L$2:L$875,"TEMPO INDETERMINADO"),0)</f>
        <v>14.053611111111111</v>
      </c>
      <c r="J319" s="10">
        <f>IFERROR(SUMIFS('Base bordo CD'!M$2:M$875,'Base bordo CD'!D$2:D$875,A319,'Base bordo CD'!A$2:A$875,B319,'Base bordo CD'!L$2:L$875,"LIMITAÇÃO INDÚSTRIA"),0)</f>
        <v>0</v>
      </c>
      <c r="K319" s="10">
        <f>IFERROR(SUMIFS('Base bordo CD'!M$2:M$875,'Base bordo CD'!D$2:D$875,A319,'Base bordo CD'!A$2:A$875,B319,'Base bordo CD'!L$2:L$875,"MAN CORRETIVA*"),0)+IFERROR(SUMIFS('Base bordo CD'!M$2:M$875,'Base bordo CD'!D$2:D$875,A319,'Base bordo CD'!A$2:A$875,B319,'Base bordo CD'!L$2:L$875,"AGUARDANDO MANUTENCAO*"),0)+IFERROR(SUMIFS('Base bordo CD'!M$2:M$875,'Base bordo CD'!D$2:D$875,A319,'Base bordo CD'!A$2:A$875,B319,'Base bordo CD'!L$2:L$875,"TROCA DE FAQUINHA"),0)+IFERROR(SUMIFS('Base bordo CD'!M$2:M$875,'Base bordo CD'!D$2:D$875,A319,'Base bordo CD'!A$2:A$875,B319,'Base bordo CD'!L$2:L$875,"LIMPEZA*"),0)</f>
        <v>0</v>
      </c>
      <c r="L319" s="10">
        <f>IFERROR(SUMIFS('Base bordo CD'!M$2:M$875,'Base bordo CD'!D$2:D$875,A319,'Base bordo CD'!A$2:A$875,B319,'Base bordo CD'!L$2:L$875,"PATIO - RESERVA"),0)</f>
        <v>0</v>
      </c>
      <c r="M319" s="10">
        <f>IFERROR(SUMIFS('Base bordo CD'!M$2:M$875,'Base bordo CD'!D$2:D$875,A319,'Base bordo CD'!A$2:A$875,B319,'Base bordo CD'!L$2:L$875,"SEM APONTAMENTO"),0)</f>
        <v>0</v>
      </c>
      <c r="N319" s="10">
        <f>IFERROR(SUMIFS('Base bordo CD'!M$2:M$875,'Base bordo CD'!D$2:D$875,A319,'Base bordo CD'!A$2:A$875,B319,'Base bordo CD'!L$2:L$875,"FALTA DE CAMINHÃO"),0)+IFERROR(SUMIFS('Base bordo CD'!M$2:M$875,'Base bordo CD'!D$2:D$875,A319,'Base bordo CD'!A$2:A$875,B319,'Base bordo CD'!L$2:L$875,"FALTA DE COMBUSTIVEL"),0)+IFERROR(SUMIFS('Base bordo CD'!M$2:M$875,'Base bordo CD'!D$2:D$875,A319,'Base bordo CD'!A$2:A$875,B319,'Base bordo CD'!L$2:L$875,"FALTA DE MOTORIST*"),0)</f>
        <v>0</v>
      </c>
      <c r="O319" s="10">
        <f t="shared" si="30"/>
        <v>4.8055555555553298E-2</v>
      </c>
      <c r="P319" s="10">
        <f>IFERROR(SUMIFS('Base bordo CD'!M$2:M$875,'Base bordo CD'!D$2:D$875,A319,'Base bordo CD'!A$2:A$875,B319),0)</f>
        <v>23.999999999999996</v>
      </c>
      <c r="Q319" s="10">
        <f>IFERROR(SUMIFS('Base bordo CD'!O$2:O$875,'Base bordo CD'!D$2:D$875,A319,'Base bordo CD'!A$2:A$875,B319,'Base bordo CD'!L$2:L$875,"CORTE DE CANA MECANIZADO"),0)</f>
        <v>118424.45000000001</v>
      </c>
      <c r="R319" s="10">
        <f>IFERROR(SUMIFS('Base bordo CD'!Q$2:Q$875,'Base bordo CD'!D$2:D$875,A319,'Base bordo CD'!A$2:A$875,B319,'Base bordo CD'!L$2:L$875,"CORTE DE CANA MECANIZADO"),0)</f>
        <v>26776</v>
      </c>
      <c r="S319" s="30">
        <f t="shared" si="31"/>
        <v>4.42278346280251</v>
      </c>
      <c r="T319" s="9">
        <f t="shared" si="32"/>
        <v>0.30990740740740741</v>
      </c>
      <c r="U319" s="9">
        <f t="shared" si="33"/>
        <v>5.7719907407407421E-2</v>
      </c>
      <c r="V319" s="9">
        <f t="shared" si="34"/>
        <v>0.67127314814814809</v>
      </c>
    </row>
    <row r="320" spans="1:22" x14ac:dyDescent="0.35">
      <c r="A320" s="52">
        <v>49596</v>
      </c>
      <c r="B320" s="31">
        <v>46123</v>
      </c>
      <c r="C320" s="7" t="s">
        <v>337</v>
      </c>
      <c r="D320" s="7">
        <v>353</v>
      </c>
      <c r="E320" s="10">
        <f>IFERROR(SUMIFS('Base bordo CD'!M$2:M$875,'Base bordo CD'!D$2:D$875,A320,'Base bordo CD'!A$2:A$875,B320,'Base bordo CD'!L$2:L$875,"CORTE DE CANA MECANIZADO"),0)</f>
        <v>7.4377777777777769</v>
      </c>
      <c r="F320" s="10">
        <f>IFERROR(SUMIFS('Base bordo CD'!M$2:M$875,'Base bordo CD'!D$2:D$875,A320,'Base bordo CD'!A$2:A$875,B320,'Base bordo CD'!L$2:L$875,"MANOBRA"),0)</f>
        <v>1.3852777777777778</v>
      </c>
      <c r="G320" s="10">
        <f>IFERROR(SUMIFS('Base bordo CD'!M$2:M$875,'Base bordo CD'!D$2:D$875,A320,'Base bordo CD'!A$2:A$875,B320,'Base bordo CD'!L$2:L$875,"DESLOCAMENTO"),0)</f>
        <v>0.45166666666666672</v>
      </c>
      <c r="H320" s="10">
        <f>IFERROR(SUMIFS('Base bordo CD'!M$2:M$875,'Base bordo CD'!D$2:D$875,A320,'Base bordo CD'!A$2:A$875,B320,'Base bordo CD'!L$2:L$875,"AGUARDANDO MANOBRA DE TRANSBORDO"),0)+IFERROR(SUMIFS('Base bordo CD'!M$2:M$875,'Base bordo CD'!D$2:D$875,A320,'Base bordo CD'!A$2:A$875,B320,'Base bordo CD'!L$2:L$875,"FALTA DE TRANSBORDO"),0)</f>
        <v>0.62361111111111112</v>
      </c>
      <c r="I320" s="10">
        <f>IFERROR(SUMIFS('Base bordo CD'!M$2:M$875,'Base bordo CD'!D$2:D$875,A320,'Base bordo CD'!A$2:A$875,B320,'Base bordo CD'!L$2:L$875,"PARADA POR CONDICOES CLIMATICAS"),0)+IFERROR(SUMIFS('Base bordo CD'!M$2:M$875,'Base bordo CD'!D$2:D$875,A320,'Base bordo CD'!A$2:A$875,B320,'Base bordo CD'!L$2:L$875,"TEMPO INDETERMINADO"),0)</f>
        <v>14.053611111111111</v>
      </c>
      <c r="J320" s="10">
        <f>IFERROR(SUMIFS('Base bordo CD'!M$2:M$875,'Base bordo CD'!D$2:D$875,A320,'Base bordo CD'!A$2:A$875,B320,'Base bordo CD'!L$2:L$875,"LIMITAÇÃO INDÚSTRIA"),0)</f>
        <v>0</v>
      </c>
      <c r="K320" s="10">
        <f>IFERROR(SUMIFS('Base bordo CD'!M$2:M$875,'Base bordo CD'!D$2:D$875,A320,'Base bordo CD'!A$2:A$875,B320,'Base bordo CD'!L$2:L$875,"MAN CORRETIVA*"),0)+IFERROR(SUMIFS('Base bordo CD'!M$2:M$875,'Base bordo CD'!D$2:D$875,A320,'Base bordo CD'!A$2:A$875,B320,'Base bordo CD'!L$2:L$875,"AGUARDANDO MANUTENCAO*"),0)+IFERROR(SUMIFS('Base bordo CD'!M$2:M$875,'Base bordo CD'!D$2:D$875,A320,'Base bordo CD'!A$2:A$875,B320,'Base bordo CD'!L$2:L$875,"TROCA DE FAQUINHA"),0)+IFERROR(SUMIFS('Base bordo CD'!M$2:M$875,'Base bordo CD'!D$2:D$875,A320,'Base bordo CD'!A$2:A$875,B320,'Base bordo CD'!L$2:L$875,"LIMPEZA*"),0)</f>
        <v>0</v>
      </c>
      <c r="L320" s="10">
        <f>IFERROR(SUMIFS('Base bordo CD'!M$2:M$875,'Base bordo CD'!D$2:D$875,A320,'Base bordo CD'!A$2:A$875,B320,'Base bordo CD'!L$2:L$875,"PATIO - RESERVA"),0)</f>
        <v>0</v>
      </c>
      <c r="M320" s="10">
        <f>IFERROR(SUMIFS('Base bordo CD'!M$2:M$875,'Base bordo CD'!D$2:D$875,A320,'Base bordo CD'!A$2:A$875,B320,'Base bordo CD'!L$2:L$875,"SEM APONTAMENTO"),0)</f>
        <v>0</v>
      </c>
      <c r="N320" s="10">
        <f>IFERROR(SUMIFS('Base bordo CD'!M$2:M$875,'Base bordo CD'!D$2:D$875,A320,'Base bordo CD'!A$2:A$875,B320,'Base bordo CD'!L$2:L$875,"FALTA DE CAMINHÃO"),0)+IFERROR(SUMIFS('Base bordo CD'!M$2:M$875,'Base bordo CD'!D$2:D$875,A320,'Base bordo CD'!A$2:A$875,B320,'Base bordo CD'!L$2:L$875,"FALTA DE COMBUSTIVEL"),0)+IFERROR(SUMIFS('Base bordo CD'!M$2:M$875,'Base bordo CD'!D$2:D$875,A320,'Base bordo CD'!A$2:A$875,B320,'Base bordo CD'!L$2:L$875,"FALTA DE MOTORIST*"),0)</f>
        <v>0</v>
      </c>
      <c r="O320" s="10">
        <f t="shared" si="30"/>
        <v>4.8055555555553298E-2</v>
      </c>
      <c r="P320" s="10">
        <f>IFERROR(SUMIFS('Base bordo CD'!M$2:M$875,'Base bordo CD'!D$2:D$875,A320,'Base bordo CD'!A$2:A$875,B320),0)</f>
        <v>23.999999999999996</v>
      </c>
      <c r="Q320" s="10">
        <f>IFERROR(SUMIFS('Base bordo CD'!O$2:O$875,'Base bordo CD'!D$2:D$875,A320,'Base bordo CD'!A$2:A$875,B320,'Base bordo CD'!L$2:L$875,"CORTE DE CANA MECANIZADO"),0)</f>
        <v>118424.45000000001</v>
      </c>
      <c r="R320" s="10">
        <f>IFERROR(SUMIFS('Base bordo CD'!Q$2:Q$875,'Base bordo CD'!D$2:D$875,A320,'Base bordo CD'!A$2:A$875,B320,'Base bordo CD'!L$2:L$875,"CORTE DE CANA MECANIZADO"),0)</f>
        <v>26776</v>
      </c>
      <c r="S320" s="30">
        <f t="shared" si="31"/>
        <v>4.42278346280251</v>
      </c>
      <c r="T320" s="9">
        <f t="shared" si="32"/>
        <v>0.30990740740740741</v>
      </c>
      <c r="U320" s="9">
        <f t="shared" si="33"/>
        <v>5.7719907407407421E-2</v>
      </c>
      <c r="V320" s="9">
        <f t="shared" si="34"/>
        <v>0.67127314814814809</v>
      </c>
    </row>
    <row r="321" spans="1:22" x14ac:dyDescent="0.35">
      <c r="A321" s="52">
        <v>49596</v>
      </c>
      <c r="B321" s="31">
        <v>46123</v>
      </c>
      <c r="C321" s="7" t="s">
        <v>337</v>
      </c>
      <c r="D321" s="7">
        <v>353</v>
      </c>
      <c r="E321" s="10">
        <f>IFERROR(SUMIFS('Base bordo CD'!M$2:M$875,'Base bordo CD'!D$2:D$875,A321,'Base bordo CD'!A$2:A$875,B321,'Base bordo CD'!L$2:L$875,"CORTE DE CANA MECANIZADO"),0)</f>
        <v>7.4377777777777769</v>
      </c>
      <c r="F321" s="10">
        <f>IFERROR(SUMIFS('Base bordo CD'!M$2:M$875,'Base bordo CD'!D$2:D$875,A321,'Base bordo CD'!A$2:A$875,B321,'Base bordo CD'!L$2:L$875,"MANOBRA"),0)</f>
        <v>1.3852777777777778</v>
      </c>
      <c r="G321" s="10">
        <f>IFERROR(SUMIFS('Base bordo CD'!M$2:M$875,'Base bordo CD'!D$2:D$875,A321,'Base bordo CD'!A$2:A$875,B321,'Base bordo CD'!L$2:L$875,"DESLOCAMENTO"),0)</f>
        <v>0.45166666666666672</v>
      </c>
      <c r="H321" s="10">
        <f>IFERROR(SUMIFS('Base bordo CD'!M$2:M$875,'Base bordo CD'!D$2:D$875,A321,'Base bordo CD'!A$2:A$875,B321,'Base bordo CD'!L$2:L$875,"AGUARDANDO MANOBRA DE TRANSBORDO"),0)+IFERROR(SUMIFS('Base bordo CD'!M$2:M$875,'Base bordo CD'!D$2:D$875,A321,'Base bordo CD'!A$2:A$875,B321,'Base bordo CD'!L$2:L$875,"FALTA DE TRANSBORDO"),0)</f>
        <v>0.62361111111111112</v>
      </c>
      <c r="I321" s="10">
        <f>IFERROR(SUMIFS('Base bordo CD'!M$2:M$875,'Base bordo CD'!D$2:D$875,A321,'Base bordo CD'!A$2:A$875,B321,'Base bordo CD'!L$2:L$875,"PARADA POR CONDICOES CLIMATICAS"),0)+IFERROR(SUMIFS('Base bordo CD'!M$2:M$875,'Base bordo CD'!D$2:D$875,A321,'Base bordo CD'!A$2:A$875,B321,'Base bordo CD'!L$2:L$875,"TEMPO INDETERMINADO"),0)</f>
        <v>14.053611111111111</v>
      </c>
      <c r="J321" s="10">
        <f>IFERROR(SUMIFS('Base bordo CD'!M$2:M$875,'Base bordo CD'!D$2:D$875,A321,'Base bordo CD'!A$2:A$875,B321,'Base bordo CD'!L$2:L$875,"LIMITAÇÃO INDÚSTRIA"),0)</f>
        <v>0</v>
      </c>
      <c r="K321" s="10">
        <f>IFERROR(SUMIFS('Base bordo CD'!M$2:M$875,'Base bordo CD'!D$2:D$875,A321,'Base bordo CD'!A$2:A$875,B321,'Base bordo CD'!L$2:L$875,"MAN CORRETIVA*"),0)+IFERROR(SUMIFS('Base bordo CD'!M$2:M$875,'Base bordo CD'!D$2:D$875,A321,'Base bordo CD'!A$2:A$875,B321,'Base bordo CD'!L$2:L$875,"AGUARDANDO MANUTENCAO*"),0)+IFERROR(SUMIFS('Base bordo CD'!M$2:M$875,'Base bordo CD'!D$2:D$875,A321,'Base bordo CD'!A$2:A$875,B321,'Base bordo CD'!L$2:L$875,"TROCA DE FAQUINHA"),0)+IFERROR(SUMIFS('Base bordo CD'!M$2:M$875,'Base bordo CD'!D$2:D$875,A321,'Base bordo CD'!A$2:A$875,B321,'Base bordo CD'!L$2:L$875,"LIMPEZA*"),0)</f>
        <v>0</v>
      </c>
      <c r="L321" s="10">
        <f>IFERROR(SUMIFS('Base bordo CD'!M$2:M$875,'Base bordo CD'!D$2:D$875,A321,'Base bordo CD'!A$2:A$875,B321,'Base bordo CD'!L$2:L$875,"PATIO - RESERVA"),0)</f>
        <v>0</v>
      </c>
      <c r="M321" s="10">
        <f>IFERROR(SUMIFS('Base bordo CD'!M$2:M$875,'Base bordo CD'!D$2:D$875,A321,'Base bordo CD'!A$2:A$875,B321,'Base bordo CD'!L$2:L$875,"SEM APONTAMENTO"),0)</f>
        <v>0</v>
      </c>
      <c r="N321" s="10">
        <f>IFERROR(SUMIFS('Base bordo CD'!M$2:M$875,'Base bordo CD'!D$2:D$875,A321,'Base bordo CD'!A$2:A$875,B321,'Base bordo CD'!L$2:L$875,"FALTA DE CAMINHÃO"),0)+IFERROR(SUMIFS('Base bordo CD'!M$2:M$875,'Base bordo CD'!D$2:D$875,A321,'Base bordo CD'!A$2:A$875,B321,'Base bordo CD'!L$2:L$875,"FALTA DE COMBUSTIVEL"),0)+IFERROR(SUMIFS('Base bordo CD'!M$2:M$875,'Base bordo CD'!D$2:D$875,A321,'Base bordo CD'!A$2:A$875,B321,'Base bordo CD'!L$2:L$875,"FALTA DE MOTORIST*"),0)</f>
        <v>0</v>
      </c>
      <c r="O321" s="10">
        <f t="shared" si="30"/>
        <v>4.8055555555553298E-2</v>
      </c>
      <c r="P321" s="10">
        <f>IFERROR(SUMIFS('Base bordo CD'!M$2:M$875,'Base bordo CD'!D$2:D$875,A321,'Base bordo CD'!A$2:A$875,B321),0)</f>
        <v>23.999999999999996</v>
      </c>
      <c r="Q321" s="10">
        <f>IFERROR(SUMIFS('Base bordo CD'!O$2:O$875,'Base bordo CD'!D$2:D$875,A321,'Base bordo CD'!A$2:A$875,B321,'Base bordo CD'!L$2:L$875,"CORTE DE CANA MECANIZADO"),0)</f>
        <v>118424.45000000001</v>
      </c>
      <c r="R321" s="10">
        <f>IFERROR(SUMIFS('Base bordo CD'!Q$2:Q$875,'Base bordo CD'!D$2:D$875,A321,'Base bordo CD'!A$2:A$875,B321,'Base bordo CD'!L$2:L$875,"CORTE DE CANA MECANIZADO"),0)</f>
        <v>26776</v>
      </c>
      <c r="S321" s="30">
        <f t="shared" si="31"/>
        <v>4.42278346280251</v>
      </c>
      <c r="T321" s="9">
        <f t="shared" si="32"/>
        <v>0.30990740740740741</v>
      </c>
      <c r="U321" s="9">
        <f t="shared" si="33"/>
        <v>5.7719907407407421E-2</v>
      </c>
      <c r="V321" s="9">
        <f t="shared" si="34"/>
        <v>0.67127314814814809</v>
      </c>
    </row>
    <row r="322" spans="1:22" x14ac:dyDescent="0.35">
      <c r="A322" s="52">
        <v>49596</v>
      </c>
      <c r="B322" s="31">
        <v>46123</v>
      </c>
      <c r="C322" s="7" t="s">
        <v>337</v>
      </c>
      <c r="D322" s="7">
        <v>353</v>
      </c>
      <c r="E322" s="10">
        <f>IFERROR(SUMIFS('Base bordo CD'!M$2:M$875,'Base bordo CD'!D$2:D$875,A322,'Base bordo CD'!A$2:A$875,B322,'Base bordo CD'!L$2:L$875,"CORTE DE CANA MECANIZADO"),0)</f>
        <v>7.4377777777777769</v>
      </c>
      <c r="F322" s="10">
        <f>IFERROR(SUMIFS('Base bordo CD'!M$2:M$875,'Base bordo CD'!D$2:D$875,A322,'Base bordo CD'!A$2:A$875,B322,'Base bordo CD'!L$2:L$875,"MANOBRA"),0)</f>
        <v>1.3852777777777778</v>
      </c>
      <c r="G322" s="10">
        <f>IFERROR(SUMIFS('Base bordo CD'!M$2:M$875,'Base bordo CD'!D$2:D$875,A322,'Base bordo CD'!A$2:A$875,B322,'Base bordo CD'!L$2:L$875,"DESLOCAMENTO"),0)</f>
        <v>0.45166666666666672</v>
      </c>
      <c r="H322" s="10">
        <f>IFERROR(SUMIFS('Base bordo CD'!M$2:M$875,'Base bordo CD'!D$2:D$875,A322,'Base bordo CD'!A$2:A$875,B322,'Base bordo CD'!L$2:L$875,"AGUARDANDO MANOBRA DE TRANSBORDO"),0)+IFERROR(SUMIFS('Base bordo CD'!M$2:M$875,'Base bordo CD'!D$2:D$875,A322,'Base bordo CD'!A$2:A$875,B322,'Base bordo CD'!L$2:L$875,"FALTA DE TRANSBORDO"),0)</f>
        <v>0.62361111111111112</v>
      </c>
      <c r="I322" s="10">
        <f>IFERROR(SUMIFS('Base bordo CD'!M$2:M$875,'Base bordo CD'!D$2:D$875,A322,'Base bordo CD'!A$2:A$875,B322,'Base bordo CD'!L$2:L$875,"PARADA POR CONDICOES CLIMATICAS"),0)+IFERROR(SUMIFS('Base bordo CD'!M$2:M$875,'Base bordo CD'!D$2:D$875,A322,'Base bordo CD'!A$2:A$875,B322,'Base bordo CD'!L$2:L$875,"TEMPO INDETERMINADO"),0)</f>
        <v>14.053611111111111</v>
      </c>
      <c r="J322" s="10">
        <f>IFERROR(SUMIFS('Base bordo CD'!M$2:M$875,'Base bordo CD'!D$2:D$875,A322,'Base bordo CD'!A$2:A$875,B322,'Base bordo CD'!L$2:L$875,"LIMITAÇÃO INDÚSTRIA"),0)</f>
        <v>0</v>
      </c>
      <c r="K322" s="10">
        <f>IFERROR(SUMIFS('Base bordo CD'!M$2:M$875,'Base bordo CD'!D$2:D$875,A322,'Base bordo CD'!A$2:A$875,B322,'Base bordo CD'!L$2:L$875,"MAN CORRETIVA*"),0)+IFERROR(SUMIFS('Base bordo CD'!M$2:M$875,'Base bordo CD'!D$2:D$875,A322,'Base bordo CD'!A$2:A$875,B322,'Base bordo CD'!L$2:L$875,"AGUARDANDO MANUTENCAO*"),0)+IFERROR(SUMIFS('Base bordo CD'!M$2:M$875,'Base bordo CD'!D$2:D$875,A322,'Base bordo CD'!A$2:A$875,B322,'Base bordo CD'!L$2:L$875,"TROCA DE FAQUINHA"),0)+IFERROR(SUMIFS('Base bordo CD'!M$2:M$875,'Base bordo CD'!D$2:D$875,A322,'Base bordo CD'!A$2:A$875,B322,'Base bordo CD'!L$2:L$875,"LIMPEZA*"),0)</f>
        <v>0</v>
      </c>
      <c r="L322" s="10">
        <f>IFERROR(SUMIFS('Base bordo CD'!M$2:M$875,'Base bordo CD'!D$2:D$875,A322,'Base bordo CD'!A$2:A$875,B322,'Base bordo CD'!L$2:L$875,"PATIO - RESERVA"),0)</f>
        <v>0</v>
      </c>
      <c r="M322" s="10">
        <f>IFERROR(SUMIFS('Base bordo CD'!M$2:M$875,'Base bordo CD'!D$2:D$875,A322,'Base bordo CD'!A$2:A$875,B322,'Base bordo CD'!L$2:L$875,"SEM APONTAMENTO"),0)</f>
        <v>0</v>
      </c>
      <c r="N322" s="10">
        <f>IFERROR(SUMIFS('Base bordo CD'!M$2:M$875,'Base bordo CD'!D$2:D$875,A322,'Base bordo CD'!A$2:A$875,B322,'Base bordo CD'!L$2:L$875,"FALTA DE CAMINHÃO"),0)+IFERROR(SUMIFS('Base bordo CD'!M$2:M$875,'Base bordo CD'!D$2:D$875,A322,'Base bordo CD'!A$2:A$875,B322,'Base bordo CD'!L$2:L$875,"FALTA DE COMBUSTIVEL"),0)+IFERROR(SUMIFS('Base bordo CD'!M$2:M$875,'Base bordo CD'!D$2:D$875,A322,'Base bordo CD'!A$2:A$875,B322,'Base bordo CD'!L$2:L$875,"FALTA DE MOTORIST*"),0)</f>
        <v>0</v>
      </c>
      <c r="O322" s="10">
        <f t="shared" si="30"/>
        <v>4.8055555555553298E-2</v>
      </c>
      <c r="P322" s="10">
        <f>IFERROR(SUMIFS('Base bordo CD'!M$2:M$875,'Base bordo CD'!D$2:D$875,A322,'Base bordo CD'!A$2:A$875,B322),0)</f>
        <v>23.999999999999996</v>
      </c>
      <c r="Q322" s="10">
        <f>IFERROR(SUMIFS('Base bordo CD'!O$2:O$875,'Base bordo CD'!D$2:D$875,A322,'Base bordo CD'!A$2:A$875,B322,'Base bordo CD'!L$2:L$875,"CORTE DE CANA MECANIZADO"),0)</f>
        <v>118424.45000000001</v>
      </c>
      <c r="R322" s="10">
        <f>IFERROR(SUMIFS('Base bordo CD'!Q$2:Q$875,'Base bordo CD'!D$2:D$875,A322,'Base bordo CD'!A$2:A$875,B322,'Base bordo CD'!L$2:L$875,"CORTE DE CANA MECANIZADO"),0)</f>
        <v>26776</v>
      </c>
      <c r="S322" s="30">
        <f t="shared" si="31"/>
        <v>4.42278346280251</v>
      </c>
      <c r="T322" s="9">
        <f t="shared" si="32"/>
        <v>0.30990740740740741</v>
      </c>
      <c r="U322" s="9">
        <f t="shared" si="33"/>
        <v>5.7719907407407421E-2</v>
      </c>
      <c r="V322" s="9">
        <f t="shared" si="34"/>
        <v>0.67127314814814809</v>
      </c>
    </row>
    <row r="323" spans="1:22" x14ac:dyDescent="0.35">
      <c r="A323" s="52">
        <v>49596</v>
      </c>
      <c r="B323" s="31">
        <v>46123</v>
      </c>
      <c r="C323" s="7" t="s">
        <v>337</v>
      </c>
      <c r="D323" s="7">
        <v>353</v>
      </c>
      <c r="E323" s="10">
        <f>IFERROR(SUMIFS('Base bordo CD'!M$2:M$875,'Base bordo CD'!D$2:D$875,A323,'Base bordo CD'!A$2:A$875,B323,'Base bordo CD'!L$2:L$875,"CORTE DE CANA MECANIZADO"),0)</f>
        <v>7.4377777777777769</v>
      </c>
      <c r="F323" s="10">
        <f>IFERROR(SUMIFS('Base bordo CD'!M$2:M$875,'Base bordo CD'!D$2:D$875,A323,'Base bordo CD'!A$2:A$875,B323,'Base bordo CD'!L$2:L$875,"MANOBRA"),0)</f>
        <v>1.3852777777777778</v>
      </c>
      <c r="G323" s="10">
        <f>IFERROR(SUMIFS('Base bordo CD'!M$2:M$875,'Base bordo CD'!D$2:D$875,A323,'Base bordo CD'!A$2:A$875,B323,'Base bordo CD'!L$2:L$875,"DESLOCAMENTO"),0)</f>
        <v>0.45166666666666672</v>
      </c>
      <c r="H323" s="10">
        <f>IFERROR(SUMIFS('Base bordo CD'!M$2:M$875,'Base bordo CD'!D$2:D$875,A323,'Base bordo CD'!A$2:A$875,B323,'Base bordo CD'!L$2:L$875,"AGUARDANDO MANOBRA DE TRANSBORDO"),0)+IFERROR(SUMIFS('Base bordo CD'!M$2:M$875,'Base bordo CD'!D$2:D$875,A323,'Base bordo CD'!A$2:A$875,B323,'Base bordo CD'!L$2:L$875,"FALTA DE TRANSBORDO"),0)</f>
        <v>0.62361111111111112</v>
      </c>
      <c r="I323" s="10">
        <f>IFERROR(SUMIFS('Base bordo CD'!M$2:M$875,'Base bordo CD'!D$2:D$875,A323,'Base bordo CD'!A$2:A$875,B323,'Base bordo CD'!L$2:L$875,"PARADA POR CONDICOES CLIMATICAS"),0)+IFERROR(SUMIFS('Base bordo CD'!M$2:M$875,'Base bordo CD'!D$2:D$875,A323,'Base bordo CD'!A$2:A$875,B323,'Base bordo CD'!L$2:L$875,"TEMPO INDETERMINADO"),0)</f>
        <v>14.053611111111111</v>
      </c>
      <c r="J323" s="10">
        <f>IFERROR(SUMIFS('Base bordo CD'!M$2:M$875,'Base bordo CD'!D$2:D$875,A323,'Base bordo CD'!A$2:A$875,B323,'Base bordo CD'!L$2:L$875,"LIMITAÇÃO INDÚSTRIA"),0)</f>
        <v>0</v>
      </c>
      <c r="K323" s="10">
        <f>IFERROR(SUMIFS('Base bordo CD'!M$2:M$875,'Base bordo CD'!D$2:D$875,A323,'Base bordo CD'!A$2:A$875,B323,'Base bordo CD'!L$2:L$875,"MAN CORRETIVA*"),0)+IFERROR(SUMIFS('Base bordo CD'!M$2:M$875,'Base bordo CD'!D$2:D$875,A323,'Base bordo CD'!A$2:A$875,B323,'Base bordo CD'!L$2:L$875,"AGUARDANDO MANUTENCAO*"),0)+IFERROR(SUMIFS('Base bordo CD'!M$2:M$875,'Base bordo CD'!D$2:D$875,A323,'Base bordo CD'!A$2:A$875,B323,'Base bordo CD'!L$2:L$875,"TROCA DE FAQUINHA"),0)+IFERROR(SUMIFS('Base bordo CD'!M$2:M$875,'Base bordo CD'!D$2:D$875,A323,'Base bordo CD'!A$2:A$875,B323,'Base bordo CD'!L$2:L$875,"LIMPEZA*"),0)</f>
        <v>0</v>
      </c>
      <c r="L323" s="10">
        <f>IFERROR(SUMIFS('Base bordo CD'!M$2:M$875,'Base bordo CD'!D$2:D$875,A323,'Base bordo CD'!A$2:A$875,B323,'Base bordo CD'!L$2:L$875,"PATIO - RESERVA"),0)</f>
        <v>0</v>
      </c>
      <c r="M323" s="10">
        <f>IFERROR(SUMIFS('Base bordo CD'!M$2:M$875,'Base bordo CD'!D$2:D$875,A323,'Base bordo CD'!A$2:A$875,B323,'Base bordo CD'!L$2:L$875,"SEM APONTAMENTO"),0)</f>
        <v>0</v>
      </c>
      <c r="N323" s="10">
        <f>IFERROR(SUMIFS('Base bordo CD'!M$2:M$875,'Base bordo CD'!D$2:D$875,A323,'Base bordo CD'!A$2:A$875,B323,'Base bordo CD'!L$2:L$875,"FALTA DE CAMINHÃO"),0)+IFERROR(SUMIFS('Base bordo CD'!M$2:M$875,'Base bordo CD'!D$2:D$875,A323,'Base bordo CD'!A$2:A$875,B323,'Base bordo CD'!L$2:L$875,"FALTA DE COMBUSTIVEL"),0)+IFERROR(SUMIFS('Base bordo CD'!M$2:M$875,'Base bordo CD'!D$2:D$875,A323,'Base bordo CD'!A$2:A$875,B323,'Base bordo CD'!L$2:L$875,"FALTA DE MOTORIST*"),0)</f>
        <v>0</v>
      </c>
      <c r="O323" s="10">
        <f t="shared" si="30"/>
        <v>4.8055555555553298E-2</v>
      </c>
      <c r="P323" s="10">
        <f>IFERROR(SUMIFS('Base bordo CD'!M$2:M$875,'Base bordo CD'!D$2:D$875,A323,'Base bordo CD'!A$2:A$875,B323),0)</f>
        <v>23.999999999999996</v>
      </c>
      <c r="Q323" s="10">
        <f>IFERROR(SUMIFS('Base bordo CD'!O$2:O$875,'Base bordo CD'!D$2:D$875,A323,'Base bordo CD'!A$2:A$875,B323,'Base bordo CD'!L$2:L$875,"CORTE DE CANA MECANIZADO"),0)</f>
        <v>118424.45000000001</v>
      </c>
      <c r="R323" s="10">
        <f>IFERROR(SUMIFS('Base bordo CD'!Q$2:Q$875,'Base bordo CD'!D$2:D$875,A323,'Base bordo CD'!A$2:A$875,B323,'Base bordo CD'!L$2:L$875,"CORTE DE CANA MECANIZADO"),0)</f>
        <v>26776</v>
      </c>
      <c r="S323" s="30">
        <f t="shared" si="31"/>
        <v>4.42278346280251</v>
      </c>
      <c r="T323" s="9">
        <f t="shared" si="32"/>
        <v>0.30990740740740741</v>
      </c>
      <c r="U323" s="9">
        <f t="shared" si="33"/>
        <v>5.7719907407407421E-2</v>
      </c>
      <c r="V323" s="9">
        <f t="shared" si="34"/>
        <v>0.67127314814814809</v>
      </c>
    </row>
    <row r="324" spans="1:22" x14ac:dyDescent="0.35">
      <c r="A324" s="52">
        <v>49596</v>
      </c>
      <c r="B324" s="31">
        <v>46123</v>
      </c>
      <c r="C324" s="7" t="s">
        <v>337</v>
      </c>
      <c r="D324" s="7">
        <v>353</v>
      </c>
      <c r="E324" s="10">
        <f>IFERROR(SUMIFS('Base bordo CD'!M$2:M$875,'Base bordo CD'!D$2:D$875,A324,'Base bordo CD'!A$2:A$875,B324,'Base bordo CD'!L$2:L$875,"CORTE DE CANA MECANIZADO"),0)</f>
        <v>7.4377777777777769</v>
      </c>
      <c r="F324" s="10">
        <f>IFERROR(SUMIFS('Base bordo CD'!M$2:M$875,'Base bordo CD'!D$2:D$875,A324,'Base bordo CD'!A$2:A$875,B324,'Base bordo CD'!L$2:L$875,"MANOBRA"),0)</f>
        <v>1.3852777777777778</v>
      </c>
      <c r="G324" s="10">
        <f>IFERROR(SUMIFS('Base bordo CD'!M$2:M$875,'Base bordo CD'!D$2:D$875,A324,'Base bordo CD'!A$2:A$875,B324,'Base bordo CD'!L$2:L$875,"DESLOCAMENTO"),0)</f>
        <v>0.45166666666666672</v>
      </c>
      <c r="H324" s="10">
        <f>IFERROR(SUMIFS('Base bordo CD'!M$2:M$875,'Base bordo CD'!D$2:D$875,A324,'Base bordo CD'!A$2:A$875,B324,'Base bordo CD'!L$2:L$875,"AGUARDANDO MANOBRA DE TRANSBORDO"),0)+IFERROR(SUMIFS('Base bordo CD'!M$2:M$875,'Base bordo CD'!D$2:D$875,A324,'Base bordo CD'!A$2:A$875,B324,'Base bordo CD'!L$2:L$875,"FALTA DE TRANSBORDO"),0)</f>
        <v>0.62361111111111112</v>
      </c>
      <c r="I324" s="10">
        <f>IFERROR(SUMIFS('Base bordo CD'!M$2:M$875,'Base bordo CD'!D$2:D$875,A324,'Base bordo CD'!A$2:A$875,B324,'Base bordo CD'!L$2:L$875,"PARADA POR CONDICOES CLIMATICAS"),0)+IFERROR(SUMIFS('Base bordo CD'!M$2:M$875,'Base bordo CD'!D$2:D$875,A324,'Base bordo CD'!A$2:A$875,B324,'Base bordo CD'!L$2:L$875,"TEMPO INDETERMINADO"),0)</f>
        <v>14.053611111111111</v>
      </c>
      <c r="J324" s="10">
        <f>IFERROR(SUMIFS('Base bordo CD'!M$2:M$875,'Base bordo CD'!D$2:D$875,A324,'Base bordo CD'!A$2:A$875,B324,'Base bordo CD'!L$2:L$875,"LIMITAÇÃO INDÚSTRIA"),0)</f>
        <v>0</v>
      </c>
      <c r="K324" s="10">
        <f>IFERROR(SUMIFS('Base bordo CD'!M$2:M$875,'Base bordo CD'!D$2:D$875,A324,'Base bordo CD'!A$2:A$875,B324,'Base bordo CD'!L$2:L$875,"MAN CORRETIVA*"),0)+IFERROR(SUMIFS('Base bordo CD'!M$2:M$875,'Base bordo CD'!D$2:D$875,A324,'Base bordo CD'!A$2:A$875,B324,'Base bordo CD'!L$2:L$875,"AGUARDANDO MANUTENCAO*"),0)+IFERROR(SUMIFS('Base bordo CD'!M$2:M$875,'Base bordo CD'!D$2:D$875,A324,'Base bordo CD'!A$2:A$875,B324,'Base bordo CD'!L$2:L$875,"TROCA DE FAQUINHA"),0)+IFERROR(SUMIFS('Base bordo CD'!M$2:M$875,'Base bordo CD'!D$2:D$875,A324,'Base bordo CD'!A$2:A$875,B324,'Base bordo CD'!L$2:L$875,"LIMPEZA*"),0)</f>
        <v>0</v>
      </c>
      <c r="L324" s="10">
        <f>IFERROR(SUMIFS('Base bordo CD'!M$2:M$875,'Base bordo CD'!D$2:D$875,A324,'Base bordo CD'!A$2:A$875,B324,'Base bordo CD'!L$2:L$875,"PATIO - RESERVA"),0)</f>
        <v>0</v>
      </c>
      <c r="M324" s="10">
        <f>IFERROR(SUMIFS('Base bordo CD'!M$2:M$875,'Base bordo CD'!D$2:D$875,A324,'Base bordo CD'!A$2:A$875,B324,'Base bordo CD'!L$2:L$875,"SEM APONTAMENTO"),0)</f>
        <v>0</v>
      </c>
      <c r="N324" s="10">
        <f>IFERROR(SUMIFS('Base bordo CD'!M$2:M$875,'Base bordo CD'!D$2:D$875,A324,'Base bordo CD'!A$2:A$875,B324,'Base bordo CD'!L$2:L$875,"FALTA DE CAMINHÃO"),0)+IFERROR(SUMIFS('Base bordo CD'!M$2:M$875,'Base bordo CD'!D$2:D$875,A324,'Base bordo CD'!A$2:A$875,B324,'Base bordo CD'!L$2:L$875,"FALTA DE COMBUSTIVEL"),0)+IFERROR(SUMIFS('Base bordo CD'!M$2:M$875,'Base bordo CD'!D$2:D$875,A324,'Base bordo CD'!A$2:A$875,B324,'Base bordo CD'!L$2:L$875,"FALTA DE MOTORIST*"),0)</f>
        <v>0</v>
      </c>
      <c r="O324" s="10">
        <f t="shared" si="30"/>
        <v>4.8055555555553298E-2</v>
      </c>
      <c r="P324" s="10">
        <f>IFERROR(SUMIFS('Base bordo CD'!M$2:M$875,'Base bordo CD'!D$2:D$875,A324,'Base bordo CD'!A$2:A$875,B324),0)</f>
        <v>23.999999999999996</v>
      </c>
      <c r="Q324" s="10">
        <f>IFERROR(SUMIFS('Base bordo CD'!O$2:O$875,'Base bordo CD'!D$2:D$875,A324,'Base bordo CD'!A$2:A$875,B324,'Base bordo CD'!L$2:L$875,"CORTE DE CANA MECANIZADO"),0)</f>
        <v>118424.45000000001</v>
      </c>
      <c r="R324" s="10">
        <f>IFERROR(SUMIFS('Base bordo CD'!Q$2:Q$875,'Base bordo CD'!D$2:D$875,A324,'Base bordo CD'!A$2:A$875,B324,'Base bordo CD'!L$2:L$875,"CORTE DE CANA MECANIZADO"),0)</f>
        <v>26776</v>
      </c>
      <c r="S324" s="30">
        <f t="shared" si="31"/>
        <v>4.42278346280251</v>
      </c>
      <c r="T324" s="9">
        <f t="shared" si="32"/>
        <v>0.30990740740740741</v>
      </c>
      <c r="U324" s="9">
        <f t="shared" si="33"/>
        <v>5.7719907407407421E-2</v>
      </c>
      <c r="V324" s="9">
        <f t="shared" si="34"/>
        <v>0.67127314814814809</v>
      </c>
    </row>
    <row r="325" spans="1:22" x14ac:dyDescent="0.35">
      <c r="A325" s="52">
        <v>49596</v>
      </c>
      <c r="B325" s="31">
        <v>46123</v>
      </c>
      <c r="C325" s="7" t="s">
        <v>337</v>
      </c>
      <c r="D325" s="7">
        <v>353</v>
      </c>
      <c r="E325" s="10">
        <f>IFERROR(SUMIFS('Base bordo CD'!M$2:M$875,'Base bordo CD'!D$2:D$875,A325,'Base bordo CD'!A$2:A$875,B325,'Base bordo CD'!L$2:L$875,"CORTE DE CANA MECANIZADO"),0)</f>
        <v>7.4377777777777769</v>
      </c>
      <c r="F325" s="10">
        <f>IFERROR(SUMIFS('Base bordo CD'!M$2:M$875,'Base bordo CD'!D$2:D$875,A325,'Base bordo CD'!A$2:A$875,B325,'Base bordo CD'!L$2:L$875,"MANOBRA"),0)</f>
        <v>1.3852777777777778</v>
      </c>
      <c r="G325" s="10">
        <f>IFERROR(SUMIFS('Base bordo CD'!M$2:M$875,'Base bordo CD'!D$2:D$875,A325,'Base bordo CD'!A$2:A$875,B325,'Base bordo CD'!L$2:L$875,"DESLOCAMENTO"),0)</f>
        <v>0.45166666666666672</v>
      </c>
      <c r="H325" s="10">
        <f>IFERROR(SUMIFS('Base bordo CD'!M$2:M$875,'Base bordo CD'!D$2:D$875,A325,'Base bordo CD'!A$2:A$875,B325,'Base bordo CD'!L$2:L$875,"AGUARDANDO MANOBRA DE TRANSBORDO"),0)+IFERROR(SUMIFS('Base bordo CD'!M$2:M$875,'Base bordo CD'!D$2:D$875,A325,'Base bordo CD'!A$2:A$875,B325,'Base bordo CD'!L$2:L$875,"FALTA DE TRANSBORDO"),0)</f>
        <v>0.62361111111111112</v>
      </c>
      <c r="I325" s="10">
        <f>IFERROR(SUMIFS('Base bordo CD'!M$2:M$875,'Base bordo CD'!D$2:D$875,A325,'Base bordo CD'!A$2:A$875,B325,'Base bordo CD'!L$2:L$875,"PARADA POR CONDICOES CLIMATICAS"),0)+IFERROR(SUMIFS('Base bordo CD'!M$2:M$875,'Base bordo CD'!D$2:D$875,A325,'Base bordo CD'!A$2:A$875,B325,'Base bordo CD'!L$2:L$875,"TEMPO INDETERMINADO"),0)</f>
        <v>14.053611111111111</v>
      </c>
      <c r="J325" s="10">
        <f>IFERROR(SUMIFS('Base bordo CD'!M$2:M$875,'Base bordo CD'!D$2:D$875,A325,'Base bordo CD'!A$2:A$875,B325,'Base bordo CD'!L$2:L$875,"LIMITAÇÃO INDÚSTRIA"),0)</f>
        <v>0</v>
      </c>
      <c r="K325" s="10">
        <f>IFERROR(SUMIFS('Base bordo CD'!M$2:M$875,'Base bordo CD'!D$2:D$875,A325,'Base bordo CD'!A$2:A$875,B325,'Base bordo CD'!L$2:L$875,"MAN CORRETIVA*"),0)+IFERROR(SUMIFS('Base bordo CD'!M$2:M$875,'Base bordo CD'!D$2:D$875,A325,'Base bordo CD'!A$2:A$875,B325,'Base bordo CD'!L$2:L$875,"AGUARDANDO MANUTENCAO*"),0)+IFERROR(SUMIFS('Base bordo CD'!M$2:M$875,'Base bordo CD'!D$2:D$875,A325,'Base bordo CD'!A$2:A$875,B325,'Base bordo CD'!L$2:L$875,"TROCA DE FAQUINHA"),0)+IFERROR(SUMIFS('Base bordo CD'!M$2:M$875,'Base bordo CD'!D$2:D$875,A325,'Base bordo CD'!A$2:A$875,B325,'Base bordo CD'!L$2:L$875,"LIMPEZA*"),0)</f>
        <v>0</v>
      </c>
      <c r="L325" s="10">
        <f>IFERROR(SUMIFS('Base bordo CD'!M$2:M$875,'Base bordo CD'!D$2:D$875,A325,'Base bordo CD'!A$2:A$875,B325,'Base bordo CD'!L$2:L$875,"PATIO - RESERVA"),0)</f>
        <v>0</v>
      </c>
      <c r="M325" s="10">
        <f>IFERROR(SUMIFS('Base bordo CD'!M$2:M$875,'Base bordo CD'!D$2:D$875,A325,'Base bordo CD'!A$2:A$875,B325,'Base bordo CD'!L$2:L$875,"SEM APONTAMENTO"),0)</f>
        <v>0</v>
      </c>
      <c r="N325" s="10">
        <f>IFERROR(SUMIFS('Base bordo CD'!M$2:M$875,'Base bordo CD'!D$2:D$875,A325,'Base bordo CD'!A$2:A$875,B325,'Base bordo CD'!L$2:L$875,"FALTA DE CAMINHÃO"),0)+IFERROR(SUMIFS('Base bordo CD'!M$2:M$875,'Base bordo CD'!D$2:D$875,A325,'Base bordo CD'!A$2:A$875,B325,'Base bordo CD'!L$2:L$875,"FALTA DE COMBUSTIVEL"),0)+IFERROR(SUMIFS('Base bordo CD'!M$2:M$875,'Base bordo CD'!D$2:D$875,A325,'Base bordo CD'!A$2:A$875,B325,'Base bordo CD'!L$2:L$875,"FALTA DE MOTORIST*"),0)</f>
        <v>0</v>
      </c>
      <c r="O325" s="10">
        <f t="shared" si="30"/>
        <v>4.8055555555553298E-2</v>
      </c>
      <c r="P325" s="10">
        <f>IFERROR(SUMIFS('Base bordo CD'!M$2:M$875,'Base bordo CD'!D$2:D$875,A325,'Base bordo CD'!A$2:A$875,B325),0)</f>
        <v>23.999999999999996</v>
      </c>
      <c r="Q325" s="10">
        <f>IFERROR(SUMIFS('Base bordo CD'!O$2:O$875,'Base bordo CD'!D$2:D$875,A325,'Base bordo CD'!A$2:A$875,B325,'Base bordo CD'!L$2:L$875,"CORTE DE CANA MECANIZADO"),0)</f>
        <v>118424.45000000001</v>
      </c>
      <c r="R325" s="10">
        <f>IFERROR(SUMIFS('Base bordo CD'!Q$2:Q$875,'Base bordo CD'!D$2:D$875,A325,'Base bordo CD'!A$2:A$875,B325,'Base bordo CD'!L$2:L$875,"CORTE DE CANA MECANIZADO"),0)</f>
        <v>26776</v>
      </c>
      <c r="S325" s="30">
        <f t="shared" si="31"/>
        <v>4.42278346280251</v>
      </c>
      <c r="T325" s="9">
        <f t="shared" si="32"/>
        <v>0.30990740740740741</v>
      </c>
      <c r="U325" s="9">
        <f t="shared" si="33"/>
        <v>5.7719907407407421E-2</v>
      </c>
      <c r="V325" s="9">
        <f t="shared" si="34"/>
        <v>0.67127314814814809</v>
      </c>
    </row>
    <row r="326" spans="1:22" x14ac:dyDescent="0.35">
      <c r="A326" s="52">
        <v>49596</v>
      </c>
      <c r="B326" s="31">
        <v>46123</v>
      </c>
      <c r="C326" s="7" t="s">
        <v>337</v>
      </c>
      <c r="D326" s="7">
        <v>353</v>
      </c>
      <c r="E326" s="10">
        <f>IFERROR(SUMIFS('Base bordo CD'!M$2:M$875,'Base bordo CD'!D$2:D$875,A326,'Base bordo CD'!A$2:A$875,B326,'Base bordo CD'!L$2:L$875,"CORTE DE CANA MECANIZADO"),0)</f>
        <v>7.4377777777777769</v>
      </c>
      <c r="F326" s="10">
        <f>IFERROR(SUMIFS('Base bordo CD'!M$2:M$875,'Base bordo CD'!D$2:D$875,A326,'Base bordo CD'!A$2:A$875,B326,'Base bordo CD'!L$2:L$875,"MANOBRA"),0)</f>
        <v>1.3852777777777778</v>
      </c>
      <c r="G326" s="10">
        <f>IFERROR(SUMIFS('Base bordo CD'!M$2:M$875,'Base bordo CD'!D$2:D$875,A326,'Base bordo CD'!A$2:A$875,B326,'Base bordo CD'!L$2:L$875,"DESLOCAMENTO"),0)</f>
        <v>0.45166666666666672</v>
      </c>
      <c r="H326" s="10">
        <f>IFERROR(SUMIFS('Base bordo CD'!M$2:M$875,'Base bordo CD'!D$2:D$875,A326,'Base bordo CD'!A$2:A$875,B326,'Base bordo CD'!L$2:L$875,"AGUARDANDO MANOBRA DE TRANSBORDO"),0)+IFERROR(SUMIFS('Base bordo CD'!M$2:M$875,'Base bordo CD'!D$2:D$875,A326,'Base bordo CD'!A$2:A$875,B326,'Base bordo CD'!L$2:L$875,"FALTA DE TRANSBORDO"),0)</f>
        <v>0.62361111111111112</v>
      </c>
      <c r="I326" s="10">
        <f>IFERROR(SUMIFS('Base bordo CD'!M$2:M$875,'Base bordo CD'!D$2:D$875,A326,'Base bordo CD'!A$2:A$875,B326,'Base bordo CD'!L$2:L$875,"PARADA POR CONDICOES CLIMATICAS"),0)+IFERROR(SUMIFS('Base bordo CD'!M$2:M$875,'Base bordo CD'!D$2:D$875,A326,'Base bordo CD'!A$2:A$875,B326,'Base bordo CD'!L$2:L$875,"TEMPO INDETERMINADO"),0)</f>
        <v>14.053611111111111</v>
      </c>
      <c r="J326" s="10">
        <f>IFERROR(SUMIFS('Base bordo CD'!M$2:M$875,'Base bordo CD'!D$2:D$875,A326,'Base bordo CD'!A$2:A$875,B326,'Base bordo CD'!L$2:L$875,"LIMITAÇÃO INDÚSTRIA"),0)</f>
        <v>0</v>
      </c>
      <c r="K326" s="10">
        <f>IFERROR(SUMIFS('Base bordo CD'!M$2:M$875,'Base bordo CD'!D$2:D$875,A326,'Base bordo CD'!A$2:A$875,B326,'Base bordo CD'!L$2:L$875,"MAN CORRETIVA*"),0)+IFERROR(SUMIFS('Base bordo CD'!M$2:M$875,'Base bordo CD'!D$2:D$875,A326,'Base bordo CD'!A$2:A$875,B326,'Base bordo CD'!L$2:L$875,"AGUARDANDO MANUTENCAO*"),0)+IFERROR(SUMIFS('Base bordo CD'!M$2:M$875,'Base bordo CD'!D$2:D$875,A326,'Base bordo CD'!A$2:A$875,B326,'Base bordo CD'!L$2:L$875,"TROCA DE FAQUINHA"),0)+IFERROR(SUMIFS('Base bordo CD'!M$2:M$875,'Base bordo CD'!D$2:D$875,A326,'Base bordo CD'!A$2:A$875,B326,'Base bordo CD'!L$2:L$875,"LIMPEZA*"),0)</f>
        <v>0</v>
      </c>
      <c r="L326" s="10">
        <f>IFERROR(SUMIFS('Base bordo CD'!M$2:M$875,'Base bordo CD'!D$2:D$875,A326,'Base bordo CD'!A$2:A$875,B326,'Base bordo CD'!L$2:L$875,"PATIO - RESERVA"),0)</f>
        <v>0</v>
      </c>
      <c r="M326" s="10">
        <f>IFERROR(SUMIFS('Base bordo CD'!M$2:M$875,'Base bordo CD'!D$2:D$875,A326,'Base bordo CD'!A$2:A$875,B326,'Base bordo CD'!L$2:L$875,"SEM APONTAMENTO"),0)</f>
        <v>0</v>
      </c>
      <c r="N326" s="10">
        <f>IFERROR(SUMIFS('Base bordo CD'!M$2:M$875,'Base bordo CD'!D$2:D$875,A326,'Base bordo CD'!A$2:A$875,B326,'Base bordo CD'!L$2:L$875,"FALTA DE CAMINHÃO"),0)+IFERROR(SUMIFS('Base bordo CD'!M$2:M$875,'Base bordo CD'!D$2:D$875,A326,'Base bordo CD'!A$2:A$875,B326,'Base bordo CD'!L$2:L$875,"FALTA DE COMBUSTIVEL"),0)+IFERROR(SUMIFS('Base bordo CD'!M$2:M$875,'Base bordo CD'!D$2:D$875,A326,'Base bordo CD'!A$2:A$875,B326,'Base bordo CD'!L$2:L$875,"FALTA DE MOTORIST*"),0)</f>
        <v>0</v>
      </c>
      <c r="O326" s="10">
        <f t="shared" si="30"/>
        <v>4.8055555555553298E-2</v>
      </c>
      <c r="P326" s="10">
        <f>IFERROR(SUMIFS('Base bordo CD'!M$2:M$875,'Base bordo CD'!D$2:D$875,A326,'Base bordo CD'!A$2:A$875,B326),0)</f>
        <v>23.999999999999996</v>
      </c>
      <c r="Q326" s="10">
        <f>IFERROR(SUMIFS('Base bordo CD'!O$2:O$875,'Base bordo CD'!D$2:D$875,A326,'Base bordo CD'!A$2:A$875,B326,'Base bordo CD'!L$2:L$875,"CORTE DE CANA MECANIZADO"),0)</f>
        <v>118424.45000000001</v>
      </c>
      <c r="R326" s="10">
        <f>IFERROR(SUMIFS('Base bordo CD'!Q$2:Q$875,'Base bordo CD'!D$2:D$875,A326,'Base bordo CD'!A$2:A$875,B326,'Base bordo CD'!L$2:L$875,"CORTE DE CANA MECANIZADO"),0)</f>
        <v>26776</v>
      </c>
      <c r="S326" s="30">
        <f t="shared" si="31"/>
        <v>4.42278346280251</v>
      </c>
      <c r="T326" s="9">
        <f t="shared" si="32"/>
        <v>0.30990740740740741</v>
      </c>
      <c r="U326" s="9">
        <f t="shared" si="33"/>
        <v>5.7719907407407421E-2</v>
      </c>
      <c r="V326" s="9">
        <f t="shared" si="34"/>
        <v>0.67127314814814809</v>
      </c>
    </row>
    <row r="327" spans="1:22" x14ac:dyDescent="0.35">
      <c r="A327" s="52">
        <v>49596</v>
      </c>
      <c r="B327" s="31">
        <v>46123</v>
      </c>
      <c r="C327" s="7" t="s">
        <v>337</v>
      </c>
      <c r="D327" s="7">
        <v>353</v>
      </c>
      <c r="E327" s="10">
        <f>IFERROR(SUMIFS('Base bordo CD'!M$2:M$875,'Base bordo CD'!D$2:D$875,A327,'Base bordo CD'!A$2:A$875,B327,'Base bordo CD'!L$2:L$875,"CORTE DE CANA MECANIZADO"),0)</f>
        <v>7.4377777777777769</v>
      </c>
      <c r="F327" s="10">
        <f>IFERROR(SUMIFS('Base bordo CD'!M$2:M$875,'Base bordo CD'!D$2:D$875,A327,'Base bordo CD'!A$2:A$875,B327,'Base bordo CD'!L$2:L$875,"MANOBRA"),0)</f>
        <v>1.3852777777777778</v>
      </c>
      <c r="G327" s="10">
        <f>IFERROR(SUMIFS('Base bordo CD'!M$2:M$875,'Base bordo CD'!D$2:D$875,A327,'Base bordo CD'!A$2:A$875,B327,'Base bordo CD'!L$2:L$875,"DESLOCAMENTO"),0)</f>
        <v>0.45166666666666672</v>
      </c>
      <c r="H327" s="10">
        <f>IFERROR(SUMIFS('Base bordo CD'!M$2:M$875,'Base bordo CD'!D$2:D$875,A327,'Base bordo CD'!A$2:A$875,B327,'Base bordo CD'!L$2:L$875,"AGUARDANDO MANOBRA DE TRANSBORDO"),0)+IFERROR(SUMIFS('Base bordo CD'!M$2:M$875,'Base bordo CD'!D$2:D$875,A327,'Base bordo CD'!A$2:A$875,B327,'Base bordo CD'!L$2:L$875,"FALTA DE TRANSBORDO"),0)</f>
        <v>0.62361111111111112</v>
      </c>
      <c r="I327" s="10">
        <f>IFERROR(SUMIFS('Base bordo CD'!M$2:M$875,'Base bordo CD'!D$2:D$875,A327,'Base bordo CD'!A$2:A$875,B327,'Base bordo CD'!L$2:L$875,"PARADA POR CONDICOES CLIMATICAS"),0)+IFERROR(SUMIFS('Base bordo CD'!M$2:M$875,'Base bordo CD'!D$2:D$875,A327,'Base bordo CD'!A$2:A$875,B327,'Base bordo CD'!L$2:L$875,"TEMPO INDETERMINADO"),0)</f>
        <v>14.053611111111111</v>
      </c>
      <c r="J327" s="10">
        <f>IFERROR(SUMIFS('Base bordo CD'!M$2:M$875,'Base bordo CD'!D$2:D$875,A327,'Base bordo CD'!A$2:A$875,B327,'Base bordo CD'!L$2:L$875,"LIMITAÇÃO INDÚSTRIA"),0)</f>
        <v>0</v>
      </c>
      <c r="K327" s="10">
        <f>IFERROR(SUMIFS('Base bordo CD'!M$2:M$875,'Base bordo CD'!D$2:D$875,A327,'Base bordo CD'!A$2:A$875,B327,'Base bordo CD'!L$2:L$875,"MAN CORRETIVA*"),0)+IFERROR(SUMIFS('Base bordo CD'!M$2:M$875,'Base bordo CD'!D$2:D$875,A327,'Base bordo CD'!A$2:A$875,B327,'Base bordo CD'!L$2:L$875,"AGUARDANDO MANUTENCAO*"),0)+IFERROR(SUMIFS('Base bordo CD'!M$2:M$875,'Base bordo CD'!D$2:D$875,A327,'Base bordo CD'!A$2:A$875,B327,'Base bordo CD'!L$2:L$875,"TROCA DE FAQUINHA"),0)+IFERROR(SUMIFS('Base bordo CD'!M$2:M$875,'Base bordo CD'!D$2:D$875,A327,'Base bordo CD'!A$2:A$875,B327,'Base bordo CD'!L$2:L$875,"LIMPEZA*"),0)</f>
        <v>0</v>
      </c>
      <c r="L327" s="10">
        <f>IFERROR(SUMIFS('Base bordo CD'!M$2:M$875,'Base bordo CD'!D$2:D$875,A327,'Base bordo CD'!A$2:A$875,B327,'Base bordo CD'!L$2:L$875,"PATIO - RESERVA"),0)</f>
        <v>0</v>
      </c>
      <c r="M327" s="10">
        <f>IFERROR(SUMIFS('Base bordo CD'!M$2:M$875,'Base bordo CD'!D$2:D$875,A327,'Base bordo CD'!A$2:A$875,B327,'Base bordo CD'!L$2:L$875,"SEM APONTAMENTO"),0)</f>
        <v>0</v>
      </c>
      <c r="N327" s="10">
        <f>IFERROR(SUMIFS('Base bordo CD'!M$2:M$875,'Base bordo CD'!D$2:D$875,A327,'Base bordo CD'!A$2:A$875,B327,'Base bordo CD'!L$2:L$875,"FALTA DE CAMINHÃO"),0)+IFERROR(SUMIFS('Base bordo CD'!M$2:M$875,'Base bordo CD'!D$2:D$875,A327,'Base bordo CD'!A$2:A$875,B327,'Base bordo CD'!L$2:L$875,"FALTA DE COMBUSTIVEL"),0)+IFERROR(SUMIFS('Base bordo CD'!M$2:M$875,'Base bordo CD'!D$2:D$875,A327,'Base bordo CD'!A$2:A$875,B327,'Base bordo CD'!L$2:L$875,"FALTA DE MOTORIST*"),0)</f>
        <v>0</v>
      </c>
      <c r="O327" s="10">
        <f t="shared" si="30"/>
        <v>4.8055555555553298E-2</v>
      </c>
      <c r="P327" s="10">
        <f>IFERROR(SUMIFS('Base bordo CD'!M$2:M$875,'Base bordo CD'!D$2:D$875,A327,'Base bordo CD'!A$2:A$875,B327),0)</f>
        <v>23.999999999999996</v>
      </c>
      <c r="Q327" s="10">
        <f>IFERROR(SUMIFS('Base bordo CD'!O$2:O$875,'Base bordo CD'!D$2:D$875,A327,'Base bordo CD'!A$2:A$875,B327,'Base bordo CD'!L$2:L$875,"CORTE DE CANA MECANIZADO"),0)</f>
        <v>118424.45000000001</v>
      </c>
      <c r="R327" s="10">
        <f>IFERROR(SUMIFS('Base bordo CD'!Q$2:Q$875,'Base bordo CD'!D$2:D$875,A327,'Base bordo CD'!A$2:A$875,B327,'Base bordo CD'!L$2:L$875,"CORTE DE CANA MECANIZADO"),0)</f>
        <v>26776</v>
      </c>
      <c r="S327" s="30">
        <f t="shared" si="31"/>
        <v>4.42278346280251</v>
      </c>
      <c r="T327" s="9">
        <f t="shared" si="32"/>
        <v>0.30990740740740741</v>
      </c>
      <c r="U327" s="9">
        <f t="shared" si="33"/>
        <v>5.7719907407407421E-2</v>
      </c>
      <c r="V327" s="9">
        <f t="shared" si="34"/>
        <v>0.67127314814814809</v>
      </c>
    </row>
    <row r="328" spans="1:22" x14ac:dyDescent="0.35">
      <c r="A328" s="52">
        <v>49596</v>
      </c>
      <c r="B328" s="31">
        <v>46123</v>
      </c>
      <c r="C328" s="7" t="s">
        <v>337</v>
      </c>
      <c r="D328" s="7">
        <v>353</v>
      </c>
      <c r="E328" s="10">
        <f>IFERROR(SUMIFS('Base bordo CD'!M$2:M$875,'Base bordo CD'!D$2:D$875,A328,'Base bordo CD'!A$2:A$875,B328,'Base bordo CD'!L$2:L$875,"CORTE DE CANA MECANIZADO"),0)</f>
        <v>7.4377777777777769</v>
      </c>
      <c r="F328" s="10">
        <f>IFERROR(SUMIFS('Base bordo CD'!M$2:M$875,'Base bordo CD'!D$2:D$875,A328,'Base bordo CD'!A$2:A$875,B328,'Base bordo CD'!L$2:L$875,"MANOBRA"),0)</f>
        <v>1.3852777777777778</v>
      </c>
      <c r="G328" s="10">
        <f>IFERROR(SUMIFS('Base bordo CD'!M$2:M$875,'Base bordo CD'!D$2:D$875,A328,'Base bordo CD'!A$2:A$875,B328,'Base bordo CD'!L$2:L$875,"DESLOCAMENTO"),0)</f>
        <v>0.45166666666666672</v>
      </c>
      <c r="H328" s="10">
        <f>IFERROR(SUMIFS('Base bordo CD'!M$2:M$875,'Base bordo CD'!D$2:D$875,A328,'Base bordo CD'!A$2:A$875,B328,'Base bordo CD'!L$2:L$875,"AGUARDANDO MANOBRA DE TRANSBORDO"),0)+IFERROR(SUMIFS('Base bordo CD'!M$2:M$875,'Base bordo CD'!D$2:D$875,A328,'Base bordo CD'!A$2:A$875,B328,'Base bordo CD'!L$2:L$875,"FALTA DE TRANSBORDO"),0)</f>
        <v>0.62361111111111112</v>
      </c>
      <c r="I328" s="10">
        <f>IFERROR(SUMIFS('Base bordo CD'!M$2:M$875,'Base bordo CD'!D$2:D$875,A328,'Base bordo CD'!A$2:A$875,B328,'Base bordo CD'!L$2:L$875,"PARADA POR CONDICOES CLIMATICAS"),0)+IFERROR(SUMIFS('Base bordo CD'!M$2:M$875,'Base bordo CD'!D$2:D$875,A328,'Base bordo CD'!A$2:A$875,B328,'Base bordo CD'!L$2:L$875,"TEMPO INDETERMINADO"),0)</f>
        <v>14.053611111111111</v>
      </c>
      <c r="J328" s="10">
        <f>IFERROR(SUMIFS('Base bordo CD'!M$2:M$875,'Base bordo CD'!D$2:D$875,A328,'Base bordo CD'!A$2:A$875,B328,'Base bordo CD'!L$2:L$875,"LIMITAÇÃO INDÚSTRIA"),0)</f>
        <v>0</v>
      </c>
      <c r="K328" s="10">
        <f>IFERROR(SUMIFS('Base bordo CD'!M$2:M$875,'Base bordo CD'!D$2:D$875,A328,'Base bordo CD'!A$2:A$875,B328,'Base bordo CD'!L$2:L$875,"MAN CORRETIVA*"),0)+IFERROR(SUMIFS('Base bordo CD'!M$2:M$875,'Base bordo CD'!D$2:D$875,A328,'Base bordo CD'!A$2:A$875,B328,'Base bordo CD'!L$2:L$875,"AGUARDANDO MANUTENCAO*"),0)+IFERROR(SUMIFS('Base bordo CD'!M$2:M$875,'Base bordo CD'!D$2:D$875,A328,'Base bordo CD'!A$2:A$875,B328,'Base bordo CD'!L$2:L$875,"TROCA DE FAQUINHA"),0)+IFERROR(SUMIFS('Base bordo CD'!M$2:M$875,'Base bordo CD'!D$2:D$875,A328,'Base bordo CD'!A$2:A$875,B328,'Base bordo CD'!L$2:L$875,"LIMPEZA*"),0)</f>
        <v>0</v>
      </c>
      <c r="L328" s="10">
        <f>IFERROR(SUMIFS('Base bordo CD'!M$2:M$875,'Base bordo CD'!D$2:D$875,A328,'Base bordo CD'!A$2:A$875,B328,'Base bordo CD'!L$2:L$875,"PATIO - RESERVA"),0)</f>
        <v>0</v>
      </c>
      <c r="M328" s="10">
        <f>IFERROR(SUMIFS('Base bordo CD'!M$2:M$875,'Base bordo CD'!D$2:D$875,A328,'Base bordo CD'!A$2:A$875,B328,'Base bordo CD'!L$2:L$875,"SEM APONTAMENTO"),0)</f>
        <v>0</v>
      </c>
      <c r="N328" s="10">
        <f>IFERROR(SUMIFS('Base bordo CD'!M$2:M$875,'Base bordo CD'!D$2:D$875,A328,'Base bordo CD'!A$2:A$875,B328,'Base bordo CD'!L$2:L$875,"FALTA DE CAMINHÃO"),0)+IFERROR(SUMIFS('Base bordo CD'!M$2:M$875,'Base bordo CD'!D$2:D$875,A328,'Base bordo CD'!A$2:A$875,B328,'Base bordo CD'!L$2:L$875,"FALTA DE COMBUSTIVEL"),0)+IFERROR(SUMIFS('Base bordo CD'!M$2:M$875,'Base bordo CD'!D$2:D$875,A328,'Base bordo CD'!A$2:A$875,B328,'Base bordo CD'!L$2:L$875,"FALTA DE MOTORIST*"),0)</f>
        <v>0</v>
      </c>
      <c r="O328" s="10">
        <f t="shared" si="30"/>
        <v>4.8055555555553298E-2</v>
      </c>
      <c r="P328" s="10">
        <f>IFERROR(SUMIFS('Base bordo CD'!M$2:M$875,'Base bordo CD'!D$2:D$875,A328,'Base bordo CD'!A$2:A$875,B328),0)</f>
        <v>23.999999999999996</v>
      </c>
      <c r="Q328" s="10">
        <f>IFERROR(SUMIFS('Base bordo CD'!O$2:O$875,'Base bordo CD'!D$2:D$875,A328,'Base bordo CD'!A$2:A$875,B328,'Base bordo CD'!L$2:L$875,"CORTE DE CANA MECANIZADO"),0)</f>
        <v>118424.45000000001</v>
      </c>
      <c r="R328" s="10">
        <f>IFERROR(SUMIFS('Base bordo CD'!Q$2:Q$875,'Base bordo CD'!D$2:D$875,A328,'Base bordo CD'!A$2:A$875,B328,'Base bordo CD'!L$2:L$875,"CORTE DE CANA MECANIZADO"),0)</f>
        <v>26776</v>
      </c>
      <c r="S328" s="30">
        <f t="shared" si="31"/>
        <v>4.42278346280251</v>
      </c>
      <c r="T328" s="9">
        <f t="shared" si="32"/>
        <v>0.30990740740740741</v>
      </c>
      <c r="U328" s="9">
        <f t="shared" si="33"/>
        <v>5.7719907407407421E-2</v>
      </c>
      <c r="V328" s="9">
        <f t="shared" si="34"/>
        <v>0.67127314814814809</v>
      </c>
    </row>
    <row r="329" spans="1:22" hidden="1" x14ac:dyDescent="0.35">
      <c r="A329" s="52">
        <v>49584</v>
      </c>
      <c r="B329" s="31">
        <v>46122</v>
      </c>
      <c r="C329" s="7" t="s">
        <v>321</v>
      </c>
      <c r="D329" s="7">
        <v>351</v>
      </c>
      <c r="E329" s="10">
        <f>IFERROR(SUMIFS('Base bordo CD'!M$2:M$875,'Base bordo CD'!D$2:D$875,A329,'Base bordo CD'!A$2:A$875,B329,'Base bordo CD'!L$2:L$875,"CORTE DE CANA MECANIZADO"),0)</f>
        <v>0</v>
      </c>
      <c r="F329" s="10">
        <f>IFERROR(SUMIFS('Base bordo CD'!M$2:M$875,'Base bordo CD'!D$2:D$875,A329,'Base bordo CD'!A$2:A$875,B329,'Base bordo CD'!L$2:L$875,"MANOBRA"),0)</f>
        <v>0</v>
      </c>
      <c r="G329" s="10">
        <f>IFERROR(SUMIFS('Base bordo CD'!M$2:M$875,'Base bordo CD'!D$2:D$875,A329,'Base bordo CD'!A$2:A$875,B329,'Base bordo CD'!L$2:L$875,"DESLOCAMENTO"),0)</f>
        <v>2.0277777777777777E-2</v>
      </c>
      <c r="H329" s="10">
        <f>IFERROR(SUMIFS('Base bordo CD'!M$2:M$875,'Base bordo CD'!D$2:D$875,A329,'Base bordo CD'!A$2:A$875,B329,'Base bordo CD'!L$2:L$875,"AGUARDANDO MANOBRA DE TRANSBORDO"),0)+IFERROR(SUMIFS('Base bordo CD'!M$2:M$875,'Base bordo CD'!D$2:D$875,A329,'Base bordo CD'!A$2:A$875,B329,'Base bordo CD'!L$2:L$875,"FALTA DE TRANSBORDO"),0)</f>
        <v>0</v>
      </c>
      <c r="I329" s="10">
        <f>IFERROR(SUMIFS('Base bordo CD'!M$2:M$875,'Base bordo CD'!D$2:D$875,A329,'Base bordo CD'!A$2:A$875,B329,'Base bordo CD'!L$2:L$875,"PARADA POR CONDICOES CLIMATICAS"),0)+IFERROR(SUMIFS('Base bordo CD'!M$2:M$875,'Base bordo CD'!D$2:D$875,A329,'Base bordo CD'!A$2:A$875,B329,'Base bordo CD'!L$2:L$875,"TEMPO INDETERMINADO"),0)</f>
        <v>23.979722222222222</v>
      </c>
      <c r="J329" s="10">
        <f>IFERROR(SUMIFS('Base bordo CD'!M$2:M$875,'Base bordo CD'!D$2:D$875,A329,'Base bordo CD'!A$2:A$875,B329,'Base bordo CD'!L$2:L$875,"LIMITAÇÃO INDÚSTRIA"),0)</f>
        <v>0</v>
      </c>
      <c r="K329" s="10">
        <f>IFERROR(SUMIFS('Base bordo CD'!M$2:M$875,'Base bordo CD'!D$2:D$875,A329,'Base bordo CD'!A$2:A$875,B329,'Base bordo CD'!L$2:L$875,"MAN CORRETIVA*"),0)+IFERROR(SUMIFS('Base bordo CD'!M$2:M$875,'Base bordo CD'!D$2:D$875,A329,'Base bordo CD'!A$2:A$875,B329,'Base bordo CD'!L$2:L$875,"AGUARDANDO MANUTENCAO*"),0)+IFERROR(SUMIFS('Base bordo CD'!M$2:M$875,'Base bordo CD'!D$2:D$875,A329,'Base bordo CD'!A$2:A$875,B329,'Base bordo CD'!L$2:L$875,"TROCA DE FAQUINHA"),0)+IFERROR(SUMIFS('Base bordo CD'!M$2:M$875,'Base bordo CD'!D$2:D$875,A329,'Base bordo CD'!A$2:A$875,B329,'Base bordo CD'!L$2:L$875,"LIMPEZA*"),0)</f>
        <v>0</v>
      </c>
      <c r="L329" s="10">
        <f>IFERROR(SUMIFS('Base bordo CD'!M$2:M$875,'Base bordo CD'!D$2:D$875,A329,'Base bordo CD'!A$2:A$875,B329,'Base bordo CD'!L$2:L$875,"PATIO - RESERVA"),0)</f>
        <v>0</v>
      </c>
      <c r="M329" s="10">
        <f>IFERROR(SUMIFS('Base bordo CD'!M$2:M$875,'Base bordo CD'!D$2:D$875,A329,'Base bordo CD'!A$2:A$875,B329,'Base bordo CD'!L$2:L$875,"SEM APONTAMENTO"),0)</f>
        <v>0</v>
      </c>
      <c r="N329" s="10">
        <f>IFERROR(SUMIFS('Base bordo CD'!M$2:M$875,'Base bordo CD'!D$2:D$875,A329,'Base bordo CD'!A$2:A$875,B329,'Base bordo CD'!L$2:L$875,"FALTA DE CAMINHÃO"),0)+IFERROR(SUMIFS('Base bordo CD'!M$2:M$875,'Base bordo CD'!D$2:D$875,A329,'Base bordo CD'!A$2:A$875,B329,'Base bordo CD'!L$2:L$875,"FALTA DE COMBUSTIVEL"),0)+IFERROR(SUMIFS('Base bordo CD'!M$2:M$875,'Base bordo CD'!D$2:D$875,A329,'Base bordo CD'!A$2:A$875,B329,'Base bordo CD'!L$2:L$875,"FALTA DE MOTORIST*"),0)</f>
        <v>0</v>
      </c>
      <c r="O329" s="10">
        <f t="shared" si="30"/>
        <v>0</v>
      </c>
      <c r="P329" s="10">
        <f>IFERROR(SUMIFS('Base bordo CD'!M$2:M$875,'Base bordo CD'!D$2:D$875,A329,'Base bordo CD'!A$2:A$875,B329),0)</f>
        <v>24</v>
      </c>
      <c r="Q329" s="10">
        <f>IFERROR(SUMIFS('Base bordo CD'!O$2:O$875,'Base bordo CD'!D$2:D$875,A329,'Base bordo CD'!A$2:A$875,B329,'Base bordo CD'!L$2:L$875,"CORTE DE CANA MECANIZADO"),0)</f>
        <v>0</v>
      </c>
      <c r="R329" s="10">
        <f>IFERROR(SUMIFS('Base bordo CD'!Q$2:Q$875,'Base bordo CD'!D$2:D$875,A329,'Base bordo CD'!A$2:A$875,B329,'Base bordo CD'!L$2:L$875,"CORTE DE CANA MECANIZADO"),0)</f>
        <v>0</v>
      </c>
      <c r="S329" s="30" t="str">
        <f t="shared" si="31"/>
        <v/>
      </c>
      <c r="T329" s="9">
        <f t="shared" si="32"/>
        <v>0</v>
      </c>
      <c r="U329" s="9">
        <f t="shared" si="33"/>
        <v>0</v>
      </c>
      <c r="V329" s="9">
        <f t="shared" si="34"/>
        <v>0.99915509259259261</v>
      </c>
    </row>
    <row r="330" spans="1:22" hidden="1" x14ac:dyDescent="0.35">
      <c r="A330" s="52">
        <v>49584</v>
      </c>
      <c r="B330" s="31">
        <v>46122</v>
      </c>
      <c r="C330" s="7" t="s">
        <v>321</v>
      </c>
      <c r="D330" s="7">
        <v>351</v>
      </c>
      <c r="E330" s="10">
        <f>IFERROR(SUMIFS('Base bordo CD'!M$2:M$875,'Base bordo CD'!D$2:D$875,A330,'Base bordo CD'!A$2:A$875,B330,'Base bordo CD'!L$2:L$875,"CORTE DE CANA MECANIZADO"),0)</f>
        <v>0</v>
      </c>
      <c r="F330" s="10">
        <f>IFERROR(SUMIFS('Base bordo CD'!M$2:M$875,'Base bordo CD'!D$2:D$875,A330,'Base bordo CD'!A$2:A$875,B330,'Base bordo CD'!L$2:L$875,"MANOBRA"),0)</f>
        <v>0</v>
      </c>
      <c r="G330" s="10">
        <f>IFERROR(SUMIFS('Base bordo CD'!M$2:M$875,'Base bordo CD'!D$2:D$875,A330,'Base bordo CD'!A$2:A$875,B330,'Base bordo CD'!L$2:L$875,"DESLOCAMENTO"),0)</f>
        <v>2.0277777777777777E-2</v>
      </c>
      <c r="H330" s="10">
        <f>IFERROR(SUMIFS('Base bordo CD'!M$2:M$875,'Base bordo CD'!D$2:D$875,A330,'Base bordo CD'!A$2:A$875,B330,'Base bordo CD'!L$2:L$875,"AGUARDANDO MANOBRA DE TRANSBORDO"),0)+IFERROR(SUMIFS('Base bordo CD'!M$2:M$875,'Base bordo CD'!D$2:D$875,A330,'Base bordo CD'!A$2:A$875,B330,'Base bordo CD'!L$2:L$875,"FALTA DE TRANSBORDO"),0)</f>
        <v>0</v>
      </c>
      <c r="I330" s="10">
        <f>IFERROR(SUMIFS('Base bordo CD'!M$2:M$875,'Base bordo CD'!D$2:D$875,A330,'Base bordo CD'!A$2:A$875,B330,'Base bordo CD'!L$2:L$875,"PARADA POR CONDICOES CLIMATICAS"),0)+IFERROR(SUMIFS('Base bordo CD'!M$2:M$875,'Base bordo CD'!D$2:D$875,A330,'Base bordo CD'!A$2:A$875,B330,'Base bordo CD'!L$2:L$875,"TEMPO INDETERMINADO"),0)</f>
        <v>23.979722222222222</v>
      </c>
      <c r="J330" s="10">
        <f>IFERROR(SUMIFS('Base bordo CD'!M$2:M$875,'Base bordo CD'!D$2:D$875,A330,'Base bordo CD'!A$2:A$875,B330,'Base bordo CD'!L$2:L$875,"LIMITAÇÃO INDÚSTRIA"),0)</f>
        <v>0</v>
      </c>
      <c r="K330" s="10">
        <f>IFERROR(SUMIFS('Base bordo CD'!M$2:M$875,'Base bordo CD'!D$2:D$875,A330,'Base bordo CD'!A$2:A$875,B330,'Base bordo CD'!L$2:L$875,"MAN CORRETIVA*"),0)+IFERROR(SUMIFS('Base bordo CD'!M$2:M$875,'Base bordo CD'!D$2:D$875,A330,'Base bordo CD'!A$2:A$875,B330,'Base bordo CD'!L$2:L$875,"AGUARDANDO MANUTENCAO*"),0)+IFERROR(SUMIFS('Base bordo CD'!M$2:M$875,'Base bordo CD'!D$2:D$875,A330,'Base bordo CD'!A$2:A$875,B330,'Base bordo CD'!L$2:L$875,"TROCA DE FAQUINHA"),0)+IFERROR(SUMIFS('Base bordo CD'!M$2:M$875,'Base bordo CD'!D$2:D$875,A330,'Base bordo CD'!A$2:A$875,B330,'Base bordo CD'!L$2:L$875,"LIMPEZA*"),0)</f>
        <v>0</v>
      </c>
      <c r="L330" s="10">
        <f>IFERROR(SUMIFS('Base bordo CD'!M$2:M$875,'Base bordo CD'!D$2:D$875,A330,'Base bordo CD'!A$2:A$875,B330,'Base bordo CD'!L$2:L$875,"PATIO - RESERVA"),0)</f>
        <v>0</v>
      </c>
      <c r="M330" s="10">
        <f>IFERROR(SUMIFS('Base bordo CD'!M$2:M$875,'Base bordo CD'!D$2:D$875,A330,'Base bordo CD'!A$2:A$875,B330,'Base bordo CD'!L$2:L$875,"SEM APONTAMENTO"),0)</f>
        <v>0</v>
      </c>
      <c r="N330" s="10">
        <f>IFERROR(SUMIFS('Base bordo CD'!M$2:M$875,'Base bordo CD'!D$2:D$875,A330,'Base bordo CD'!A$2:A$875,B330,'Base bordo CD'!L$2:L$875,"FALTA DE CAMINHÃO"),0)+IFERROR(SUMIFS('Base bordo CD'!M$2:M$875,'Base bordo CD'!D$2:D$875,A330,'Base bordo CD'!A$2:A$875,B330,'Base bordo CD'!L$2:L$875,"FALTA DE COMBUSTIVEL"),0)+IFERROR(SUMIFS('Base bordo CD'!M$2:M$875,'Base bordo CD'!D$2:D$875,A330,'Base bordo CD'!A$2:A$875,B330,'Base bordo CD'!L$2:L$875,"FALTA DE MOTORIST*"),0)</f>
        <v>0</v>
      </c>
      <c r="O330" s="10">
        <f t="shared" si="30"/>
        <v>0</v>
      </c>
      <c r="P330" s="10">
        <f>IFERROR(SUMIFS('Base bordo CD'!M$2:M$875,'Base bordo CD'!D$2:D$875,A330,'Base bordo CD'!A$2:A$875,B330),0)</f>
        <v>24</v>
      </c>
      <c r="Q330" s="10">
        <f>IFERROR(SUMIFS('Base bordo CD'!O$2:O$875,'Base bordo CD'!D$2:D$875,A330,'Base bordo CD'!A$2:A$875,B330,'Base bordo CD'!L$2:L$875,"CORTE DE CANA MECANIZADO"),0)</f>
        <v>0</v>
      </c>
      <c r="R330" s="10">
        <f>IFERROR(SUMIFS('Base bordo CD'!Q$2:Q$875,'Base bordo CD'!D$2:D$875,A330,'Base bordo CD'!A$2:A$875,B330,'Base bordo CD'!L$2:L$875,"CORTE DE CANA MECANIZADO"),0)</f>
        <v>0</v>
      </c>
      <c r="S330" s="30" t="str">
        <f t="shared" si="31"/>
        <v/>
      </c>
      <c r="T330" s="9">
        <f t="shared" si="32"/>
        <v>0</v>
      </c>
      <c r="U330" s="9">
        <f t="shared" si="33"/>
        <v>0</v>
      </c>
      <c r="V330" s="9">
        <f t="shared" si="34"/>
        <v>0.99915509259259261</v>
      </c>
    </row>
    <row r="331" spans="1:22" hidden="1" x14ac:dyDescent="0.35">
      <c r="A331" s="52">
        <v>49584</v>
      </c>
      <c r="B331" s="31">
        <v>46122</v>
      </c>
      <c r="C331" s="7" t="s">
        <v>321</v>
      </c>
      <c r="D331" s="7">
        <v>351</v>
      </c>
      <c r="E331" s="10">
        <f>IFERROR(SUMIFS('Base bordo CD'!M$2:M$875,'Base bordo CD'!D$2:D$875,A331,'Base bordo CD'!A$2:A$875,B331,'Base bordo CD'!L$2:L$875,"CORTE DE CANA MECANIZADO"),0)</f>
        <v>0</v>
      </c>
      <c r="F331" s="10">
        <f>IFERROR(SUMIFS('Base bordo CD'!M$2:M$875,'Base bordo CD'!D$2:D$875,A331,'Base bordo CD'!A$2:A$875,B331,'Base bordo CD'!L$2:L$875,"MANOBRA"),0)</f>
        <v>0</v>
      </c>
      <c r="G331" s="10">
        <f>IFERROR(SUMIFS('Base bordo CD'!M$2:M$875,'Base bordo CD'!D$2:D$875,A331,'Base bordo CD'!A$2:A$875,B331,'Base bordo CD'!L$2:L$875,"DESLOCAMENTO"),0)</f>
        <v>2.0277777777777777E-2</v>
      </c>
      <c r="H331" s="10">
        <f>IFERROR(SUMIFS('Base bordo CD'!M$2:M$875,'Base bordo CD'!D$2:D$875,A331,'Base bordo CD'!A$2:A$875,B331,'Base bordo CD'!L$2:L$875,"AGUARDANDO MANOBRA DE TRANSBORDO"),0)+IFERROR(SUMIFS('Base bordo CD'!M$2:M$875,'Base bordo CD'!D$2:D$875,A331,'Base bordo CD'!A$2:A$875,B331,'Base bordo CD'!L$2:L$875,"FALTA DE TRANSBORDO"),0)</f>
        <v>0</v>
      </c>
      <c r="I331" s="10">
        <f>IFERROR(SUMIFS('Base bordo CD'!M$2:M$875,'Base bordo CD'!D$2:D$875,A331,'Base bordo CD'!A$2:A$875,B331,'Base bordo CD'!L$2:L$875,"PARADA POR CONDICOES CLIMATICAS"),0)+IFERROR(SUMIFS('Base bordo CD'!M$2:M$875,'Base bordo CD'!D$2:D$875,A331,'Base bordo CD'!A$2:A$875,B331,'Base bordo CD'!L$2:L$875,"TEMPO INDETERMINADO"),0)</f>
        <v>23.979722222222222</v>
      </c>
      <c r="J331" s="10">
        <f>IFERROR(SUMIFS('Base bordo CD'!M$2:M$875,'Base bordo CD'!D$2:D$875,A331,'Base bordo CD'!A$2:A$875,B331,'Base bordo CD'!L$2:L$875,"LIMITAÇÃO INDÚSTRIA"),0)</f>
        <v>0</v>
      </c>
      <c r="K331" s="10">
        <f>IFERROR(SUMIFS('Base bordo CD'!M$2:M$875,'Base bordo CD'!D$2:D$875,A331,'Base bordo CD'!A$2:A$875,B331,'Base bordo CD'!L$2:L$875,"MAN CORRETIVA*"),0)+IFERROR(SUMIFS('Base bordo CD'!M$2:M$875,'Base bordo CD'!D$2:D$875,A331,'Base bordo CD'!A$2:A$875,B331,'Base bordo CD'!L$2:L$875,"AGUARDANDO MANUTENCAO*"),0)+IFERROR(SUMIFS('Base bordo CD'!M$2:M$875,'Base bordo CD'!D$2:D$875,A331,'Base bordo CD'!A$2:A$875,B331,'Base bordo CD'!L$2:L$875,"TROCA DE FAQUINHA"),0)+IFERROR(SUMIFS('Base bordo CD'!M$2:M$875,'Base bordo CD'!D$2:D$875,A331,'Base bordo CD'!A$2:A$875,B331,'Base bordo CD'!L$2:L$875,"LIMPEZA*"),0)</f>
        <v>0</v>
      </c>
      <c r="L331" s="10">
        <f>IFERROR(SUMIFS('Base bordo CD'!M$2:M$875,'Base bordo CD'!D$2:D$875,A331,'Base bordo CD'!A$2:A$875,B331,'Base bordo CD'!L$2:L$875,"PATIO - RESERVA"),0)</f>
        <v>0</v>
      </c>
      <c r="M331" s="10">
        <f>IFERROR(SUMIFS('Base bordo CD'!M$2:M$875,'Base bordo CD'!D$2:D$875,A331,'Base bordo CD'!A$2:A$875,B331,'Base bordo CD'!L$2:L$875,"SEM APONTAMENTO"),0)</f>
        <v>0</v>
      </c>
      <c r="N331" s="10">
        <f>IFERROR(SUMIFS('Base bordo CD'!M$2:M$875,'Base bordo CD'!D$2:D$875,A331,'Base bordo CD'!A$2:A$875,B331,'Base bordo CD'!L$2:L$875,"FALTA DE CAMINHÃO"),0)+IFERROR(SUMIFS('Base bordo CD'!M$2:M$875,'Base bordo CD'!D$2:D$875,A331,'Base bordo CD'!A$2:A$875,B331,'Base bordo CD'!L$2:L$875,"FALTA DE COMBUSTIVEL"),0)+IFERROR(SUMIFS('Base bordo CD'!M$2:M$875,'Base bordo CD'!D$2:D$875,A331,'Base bordo CD'!A$2:A$875,B331,'Base bordo CD'!L$2:L$875,"FALTA DE MOTORIST*"),0)</f>
        <v>0</v>
      </c>
      <c r="O331" s="10">
        <f t="shared" si="30"/>
        <v>0</v>
      </c>
      <c r="P331" s="10">
        <f>IFERROR(SUMIFS('Base bordo CD'!M$2:M$875,'Base bordo CD'!D$2:D$875,A331,'Base bordo CD'!A$2:A$875,B331),0)</f>
        <v>24</v>
      </c>
      <c r="Q331" s="10">
        <f>IFERROR(SUMIFS('Base bordo CD'!O$2:O$875,'Base bordo CD'!D$2:D$875,A331,'Base bordo CD'!A$2:A$875,B331,'Base bordo CD'!L$2:L$875,"CORTE DE CANA MECANIZADO"),0)</f>
        <v>0</v>
      </c>
      <c r="R331" s="10">
        <f>IFERROR(SUMIFS('Base bordo CD'!Q$2:Q$875,'Base bordo CD'!D$2:D$875,A331,'Base bordo CD'!A$2:A$875,B331,'Base bordo CD'!L$2:L$875,"CORTE DE CANA MECANIZADO"),0)</f>
        <v>0</v>
      </c>
      <c r="S331" s="30" t="str">
        <f t="shared" si="31"/>
        <v/>
      </c>
      <c r="T331" s="9">
        <f t="shared" si="32"/>
        <v>0</v>
      </c>
      <c r="U331" s="9">
        <f t="shared" si="33"/>
        <v>0</v>
      </c>
      <c r="V331" s="9">
        <f t="shared" si="34"/>
        <v>0.99915509259259261</v>
      </c>
    </row>
    <row r="332" spans="1:22" hidden="1" x14ac:dyDescent="0.35">
      <c r="A332" s="52">
        <v>49584</v>
      </c>
      <c r="B332" s="31">
        <v>46122</v>
      </c>
      <c r="C332" s="7" t="s">
        <v>321</v>
      </c>
      <c r="D332" s="7">
        <v>351</v>
      </c>
      <c r="E332" s="10">
        <f>IFERROR(SUMIFS('Base bordo CD'!M$2:M$875,'Base bordo CD'!D$2:D$875,A332,'Base bordo CD'!A$2:A$875,B332,'Base bordo CD'!L$2:L$875,"CORTE DE CANA MECANIZADO"),0)</f>
        <v>0</v>
      </c>
      <c r="F332" s="10">
        <f>IFERROR(SUMIFS('Base bordo CD'!M$2:M$875,'Base bordo CD'!D$2:D$875,A332,'Base bordo CD'!A$2:A$875,B332,'Base bordo CD'!L$2:L$875,"MANOBRA"),0)</f>
        <v>0</v>
      </c>
      <c r="G332" s="10">
        <f>IFERROR(SUMIFS('Base bordo CD'!M$2:M$875,'Base bordo CD'!D$2:D$875,A332,'Base bordo CD'!A$2:A$875,B332,'Base bordo CD'!L$2:L$875,"DESLOCAMENTO"),0)</f>
        <v>2.0277777777777777E-2</v>
      </c>
      <c r="H332" s="10">
        <f>IFERROR(SUMIFS('Base bordo CD'!M$2:M$875,'Base bordo CD'!D$2:D$875,A332,'Base bordo CD'!A$2:A$875,B332,'Base bordo CD'!L$2:L$875,"AGUARDANDO MANOBRA DE TRANSBORDO"),0)+IFERROR(SUMIFS('Base bordo CD'!M$2:M$875,'Base bordo CD'!D$2:D$875,A332,'Base bordo CD'!A$2:A$875,B332,'Base bordo CD'!L$2:L$875,"FALTA DE TRANSBORDO"),0)</f>
        <v>0</v>
      </c>
      <c r="I332" s="10">
        <f>IFERROR(SUMIFS('Base bordo CD'!M$2:M$875,'Base bordo CD'!D$2:D$875,A332,'Base bordo CD'!A$2:A$875,B332,'Base bordo CD'!L$2:L$875,"PARADA POR CONDICOES CLIMATICAS"),0)+IFERROR(SUMIFS('Base bordo CD'!M$2:M$875,'Base bordo CD'!D$2:D$875,A332,'Base bordo CD'!A$2:A$875,B332,'Base bordo CD'!L$2:L$875,"TEMPO INDETERMINADO"),0)</f>
        <v>23.979722222222222</v>
      </c>
      <c r="J332" s="10">
        <f>IFERROR(SUMIFS('Base bordo CD'!M$2:M$875,'Base bordo CD'!D$2:D$875,A332,'Base bordo CD'!A$2:A$875,B332,'Base bordo CD'!L$2:L$875,"LIMITAÇÃO INDÚSTRIA"),0)</f>
        <v>0</v>
      </c>
      <c r="K332" s="10">
        <f>IFERROR(SUMIFS('Base bordo CD'!M$2:M$875,'Base bordo CD'!D$2:D$875,A332,'Base bordo CD'!A$2:A$875,B332,'Base bordo CD'!L$2:L$875,"MAN CORRETIVA*"),0)+IFERROR(SUMIFS('Base bordo CD'!M$2:M$875,'Base bordo CD'!D$2:D$875,A332,'Base bordo CD'!A$2:A$875,B332,'Base bordo CD'!L$2:L$875,"AGUARDANDO MANUTENCAO*"),0)+IFERROR(SUMIFS('Base bordo CD'!M$2:M$875,'Base bordo CD'!D$2:D$875,A332,'Base bordo CD'!A$2:A$875,B332,'Base bordo CD'!L$2:L$875,"TROCA DE FAQUINHA"),0)+IFERROR(SUMIFS('Base bordo CD'!M$2:M$875,'Base bordo CD'!D$2:D$875,A332,'Base bordo CD'!A$2:A$875,B332,'Base bordo CD'!L$2:L$875,"LIMPEZA*"),0)</f>
        <v>0</v>
      </c>
      <c r="L332" s="10">
        <f>IFERROR(SUMIFS('Base bordo CD'!M$2:M$875,'Base bordo CD'!D$2:D$875,A332,'Base bordo CD'!A$2:A$875,B332,'Base bordo CD'!L$2:L$875,"PATIO - RESERVA"),0)</f>
        <v>0</v>
      </c>
      <c r="M332" s="10">
        <f>IFERROR(SUMIFS('Base bordo CD'!M$2:M$875,'Base bordo CD'!D$2:D$875,A332,'Base bordo CD'!A$2:A$875,B332,'Base bordo CD'!L$2:L$875,"SEM APONTAMENTO"),0)</f>
        <v>0</v>
      </c>
      <c r="N332" s="10">
        <f>IFERROR(SUMIFS('Base bordo CD'!M$2:M$875,'Base bordo CD'!D$2:D$875,A332,'Base bordo CD'!A$2:A$875,B332,'Base bordo CD'!L$2:L$875,"FALTA DE CAMINHÃO"),0)+IFERROR(SUMIFS('Base bordo CD'!M$2:M$875,'Base bordo CD'!D$2:D$875,A332,'Base bordo CD'!A$2:A$875,B332,'Base bordo CD'!L$2:L$875,"FALTA DE COMBUSTIVEL"),0)+IFERROR(SUMIFS('Base bordo CD'!M$2:M$875,'Base bordo CD'!D$2:D$875,A332,'Base bordo CD'!A$2:A$875,B332,'Base bordo CD'!L$2:L$875,"FALTA DE MOTORIST*"),0)</f>
        <v>0</v>
      </c>
      <c r="O332" s="10">
        <f t="shared" si="30"/>
        <v>0</v>
      </c>
      <c r="P332" s="10">
        <f>IFERROR(SUMIFS('Base bordo CD'!M$2:M$875,'Base bordo CD'!D$2:D$875,A332,'Base bordo CD'!A$2:A$875,B332),0)</f>
        <v>24</v>
      </c>
      <c r="Q332" s="10">
        <f>IFERROR(SUMIFS('Base bordo CD'!O$2:O$875,'Base bordo CD'!D$2:D$875,A332,'Base bordo CD'!A$2:A$875,B332,'Base bordo CD'!L$2:L$875,"CORTE DE CANA MECANIZADO"),0)</f>
        <v>0</v>
      </c>
      <c r="R332" s="10">
        <f>IFERROR(SUMIFS('Base bordo CD'!Q$2:Q$875,'Base bordo CD'!D$2:D$875,A332,'Base bordo CD'!A$2:A$875,B332,'Base bordo CD'!L$2:L$875,"CORTE DE CANA MECANIZADO"),0)</f>
        <v>0</v>
      </c>
      <c r="S332" s="30" t="str">
        <f t="shared" si="31"/>
        <v/>
      </c>
      <c r="T332" s="9">
        <f t="shared" si="32"/>
        <v>0</v>
      </c>
      <c r="U332" s="9">
        <f t="shared" si="33"/>
        <v>0</v>
      </c>
      <c r="V332" s="9">
        <f t="shared" si="34"/>
        <v>0.99915509259259261</v>
      </c>
    </row>
    <row r="333" spans="1:22" x14ac:dyDescent="0.35">
      <c r="A333" s="52">
        <v>49587</v>
      </c>
      <c r="B333" s="31">
        <v>46122</v>
      </c>
      <c r="C333" s="7" t="s">
        <v>337</v>
      </c>
      <c r="D333" s="7">
        <v>353</v>
      </c>
      <c r="E333" s="10">
        <f>IFERROR(SUMIFS('Base bordo CD'!M$2:M$875,'Base bordo CD'!D$2:D$875,A333,'Base bordo CD'!A$2:A$875,B333,'Base bordo CD'!L$2:L$875,"CORTE DE CANA MECANIZADO"),0)</f>
        <v>0</v>
      </c>
      <c r="F333" s="10">
        <f>IFERROR(SUMIFS('Base bordo CD'!M$2:M$875,'Base bordo CD'!D$2:D$875,A333,'Base bordo CD'!A$2:A$875,B333,'Base bordo CD'!L$2:L$875,"MANOBRA"),0)</f>
        <v>0</v>
      </c>
      <c r="G333" s="10">
        <f>IFERROR(SUMIFS('Base bordo CD'!M$2:M$875,'Base bordo CD'!D$2:D$875,A333,'Base bordo CD'!A$2:A$875,B333,'Base bordo CD'!L$2:L$875,"DESLOCAMENTO"),0)</f>
        <v>0</v>
      </c>
      <c r="H333" s="10">
        <f>IFERROR(SUMIFS('Base bordo CD'!M$2:M$875,'Base bordo CD'!D$2:D$875,A333,'Base bordo CD'!A$2:A$875,B333,'Base bordo CD'!L$2:L$875,"AGUARDANDO MANOBRA DE TRANSBORDO"),0)+IFERROR(SUMIFS('Base bordo CD'!M$2:M$875,'Base bordo CD'!D$2:D$875,A333,'Base bordo CD'!A$2:A$875,B333,'Base bordo CD'!L$2:L$875,"FALTA DE TRANSBORDO"),0)</f>
        <v>0</v>
      </c>
      <c r="I333" s="10">
        <f>IFERROR(SUMIFS('Base bordo CD'!M$2:M$875,'Base bordo CD'!D$2:D$875,A333,'Base bordo CD'!A$2:A$875,B333,'Base bordo CD'!L$2:L$875,"PARADA POR CONDICOES CLIMATICAS"),0)+IFERROR(SUMIFS('Base bordo CD'!M$2:M$875,'Base bordo CD'!D$2:D$875,A333,'Base bordo CD'!A$2:A$875,B333,'Base bordo CD'!L$2:L$875,"TEMPO INDETERMINADO"),0)</f>
        <v>24</v>
      </c>
      <c r="J333" s="10">
        <f>IFERROR(SUMIFS('Base bordo CD'!M$2:M$875,'Base bordo CD'!D$2:D$875,A333,'Base bordo CD'!A$2:A$875,B333,'Base bordo CD'!L$2:L$875,"LIMITAÇÃO INDÚSTRIA"),0)</f>
        <v>0</v>
      </c>
      <c r="K333" s="10">
        <f>IFERROR(SUMIFS('Base bordo CD'!M$2:M$875,'Base bordo CD'!D$2:D$875,A333,'Base bordo CD'!A$2:A$875,B333,'Base bordo CD'!L$2:L$875,"MAN CORRETIVA*"),0)+IFERROR(SUMIFS('Base bordo CD'!M$2:M$875,'Base bordo CD'!D$2:D$875,A333,'Base bordo CD'!A$2:A$875,B333,'Base bordo CD'!L$2:L$875,"AGUARDANDO MANUTENCAO*"),0)+IFERROR(SUMIFS('Base bordo CD'!M$2:M$875,'Base bordo CD'!D$2:D$875,A333,'Base bordo CD'!A$2:A$875,B333,'Base bordo CD'!L$2:L$875,"TROCA DE FAQUINHA"),0)+IFERROR(SUMIFS('Base bordo CD'!M$2:M$875,'Base bordo CD'!D$2:D$875,A333,'Base bordo CD'!A$2:A$875,B333,'Base bordo CD'!L$2:L$875,"LIMPEZA*"),0)</f>
        <v>0</v>
      </c>
      <c r="L333" s="10">
        <f>IFERROR(SUMIFS('Base bordo CD'!M$2:M$875,'Base bordo CD'!D$2:D$875,A333,'Base bordo CD'!A$2:A$875,B333,'Base bordo CD'!L$2:L$875,"PATIO - RESERVA"),0)</f>
        <v>0</v>
      </c>
      <c r="M333" s="10">
        <f>IFERROR(SUMIFS('Base bordo CD'!M$2:M$875,'Base bordo CD'!D$2:D$875,A333,'Base bordo CD'!A$2:A$875,B333,'Base bordo CD'!L$2:L$875,"SEM APONTAMENTO"),0)</f>
        <v>0</v>
      </c>
      <c r="N333" s="10">
        <f>IFERROR(SUMIFS('Base bordo CD'!M$2:M$875,'Base bordo CD'!D$2:D$875,A333,'Base bordo CD'!A$2:A$875,B333,'Base bordo CD'!L$2:L$875,"FALTA DE CAMINHÃO"),0)+IFERROR(SUMIFS('Base bordo CD'!M$2:M$875,'Base bordo CD'!D$2:D$875,A333,'Base bordo CD'!A$2:A$875,B333,'Base bordo CD'!L$2:L$875,"FALTA DE COMBUSTIVEL"),0)+IFERROR(SUMIFS('Base bordo CD'!M$2:M$875,'Base bordo CD'!D$2:D$875,A333,'Base bordo CD'!A$2:A$875,B333,'Base bordo CD'!L$2:L$875,"FALTA DE MOTORIST*"),0)</f>
        <v>0</v>
      </c>
      <c r="O333" s="10">
        <f t="shared" si="30"/>
        <v>0</v>
      </c>
      <c r="P333" s="10">
        <f>IFERROR(SUMIFS('Base bordo CD'!M$2:M$875,'Base bordo CD'!D$2:D$875,A333,'Base bordo CD'!A$2:A$875,B333),0)</f>
        <v>24</v>
      </c>
      <c r="Q333" s="10">
        <f>IFERROR(SUMIFS('Base bordo CD'!O$2:O$875,'Base bordo CD'!D$2:D$875,A333,'Base bordo CD'!A$2:A$875,B333,'Base bordo CD'!L$2:L$875,"CORTE DE CANA MECANIZADO"),0)</f>
        <v>0</v>
      </c>
      <c r="R333" s="10">
        <f>IFERROR(SUMIFS('Base bordo CD'!Q$2:Q$875,'Base bordo CD'!D$2:D$875,A333,'Base bordo CD'!A$2:A$875,B333,'Base bordo CD'!L$2:L$875,"CORTE DE CANA MECANIZADO"),0)</f>
        <v>0</v>
      </c>
      <c r="S333" s="30" t="str">
        <f t="shared" si="31"/>
        <v/>
      </c>
      <c r="T333" s="9">
        <f t="shared" si="32"/>
        <v>0</v>
      </c>
      <c r="U333" s="9">
        <f t="shared" si="33"/>
        <v>0</v>
      </c>
      <c r="V333" s="9">
        <f t="shared" si="34"/>
        <v>1</v>
      </c>
    </row>
    <row r="334" spans="1:22" x14ac:dyDescent="0.35">
      <c r="A334" s="52">
        <v>49587</v>
      </c>
      <c r="B334" s="31">
        <v>46122</v>
      </c>
      <c r="C334" s="7" t="s">
        <v>337</v>
      </c>
      <c r="D334" s="7">
        <v>353</v>
      </c>
      <c r="E334" s="10">
        <f>IFERROR(SUMIFS('Base bordo CD'!M$2:M$875,'Base bordo CD'!D$2:D$875,A334,'Base bordo CD'!A$2:A$875,B334,'Base bordo CD'!L$2:L$875,"CORTE DE CANA MECANIZADO"),0)</f>
        <v>0</v>
      </c>
      <c r="F334" s="10">
        <f>IFERROR(SUMIFS('Base bordo CD'!M$2:M$875,'Base bordo CD'!D$2:D$875,A334,'Base bordo CD'!A$2:A$875,B334,'Base bordo CD'!L$2:L$875,"MANOBRA"),0)</f>
        <v>0</v>
      </c>
      <c r="G334" s="10">
        <f>IFERROR(SUMIFS('Base bordo CD'!M$2:M$875,'Base bordo CD'!D$2:D$875,A334,'Base bordo CD'!A$2:A$875,B334,'Base bordo CD'!L$2:L$875,"DESLOCAMENTO"),0)</f>
        <v>0</v>
      </c>
      <c r="H334" s="10">
        <f>IFERROR(SUMIFS('Base bordo CD'!M$2:M$875,'Base bordo CD'!D$2:D$875,A334,'Base bordo CD'!A$2:A$875,B334,'Base bordo CD'!L$2:L$875,"AGUARDANDO MANOBRA DE TRANSBORDO"),0)+IFERROR(SUMIFS('Base bordo CD'!M$2:M$875,'Base bordo CD'!D$2:D$875,A334,'Base bordo CD'!A$2:A$875,B334,'Base bordo CD'!L$2:L$875,"FALTA DE TRANSBORDO"),0)</f>
        <v>0</v>
      </c>
      <c r="I334" s="10">
        <f>IFERROR(SUMIFS('Base bordo CD'!M$2:M$875,'Base bordo CD'!D$2:D$875,A334,'Base bordo CD'!A$2:A$875,B334,'Base bordo CD'!L$2:L$875,"PARADA POR CONDICOES CLIMATICAS"),0)+IFERROR(SUMIFS('Base bordo CD'!M$2:M$875,'Base bordo CD'!D$2:D$875,A334,'Base bordo CD'!A$2:A$875,B334,'Base bordo CD'!L$2:L$875,"TEMPO INDETERMINADO"),0)</f>
        <v>24</v>
      </c>
      <c r="J334" s="10">
        <f>IFERROR(SUMIFS('Base bordo CD'!M$2:M$875,'Base bordo CD'!D$2:D$875,A334,'Base bordo CD'!A$2:A$875,B334,'Base bordo CD'!L$2:L$875,"LIMITAÇÃO INDÚSTRIA"),0)</f>
        <v>0</v>
      </c>
      <c r="K334" s="10">
        <f>IFERROR(SUMIFS('Base bordo CD'!M$2:M$875,'Base bordo CD'!D$2:D$875,A334,'Base bordo CD'!A$2:A$875,B334,'Base bordo CD'!L$2:L$875,"MAN CORRETIVA*"),0)+IFERROR(SUMIFS('Base bordo CD'!M$2:M$875,'Base bordo CD'!D$2:D$875,A334,'Base bordo CD'!A$2:A$875,B334,'Base bordo CD'!L$2:L$875,"AGUARDANDO MANUTENCAO*"),0)+IFERROR(SUMIFS('Base bordo CD'!M$2:M$875,'Base bordo CD'!D$2:D$875,A334,'Base bordo CD'!A$2:A$875,B334,'Base bordo CD'!L$2:L$875,"TROCA DE FAQUINHA"),0)+IFERROR(SUMIFS('Base bordo CD'!M$2:M$875,'Base bordo CD'!D$2:D$875,A334,'Base bordo CD'!A$2:A$875,B334,'Base bordo CD'!L$2:L$875,"LIMPEZA*"),0)</f>
        <v>0</v>
      </c>
      <c r="L334" s="10">
        <f>IFERROR(SUMIFS('Base bordo CD'!M$2:M$875,'Base bordo CD'!D$2:D$875,A334,'Base bordo CD'!A$2:A$875,B334,'Base bordo CD'!L$2:L$875,"PATIO - RESERVA"),0)</f>
        <v>0</v>
      </c>
      <c r="M334" s="10">
        <f>IFERROR(SUMIFS('Base bordo CD'!M$2:M$875,'Base bordo CD'!D$2:D$875,A334,'Base bordo CD'!A$2:A$875,B334,'Base bordo CD'!L$2:L$875,"SEM APONTAMENTO"),0)</f>
        <v>0</v>
      </c>
      <c r="N334" s="10">
        <f>IFERROR(SUMIFS('Base bordo CD'!M$2:M$875,'Base bordo CD'!D$2:D$875,A334,'Base bordo CD'!A$2:A$875,B334,'Base bordo CD'!L$2:L$875,"FALTA DE CAMINHÃO"),0)+IFERROR(SUMIFS('Base bordo CD'!M$2:M$875,'Base bordo CD'!D$2:D$875,A334,'Base bordo CD'!A$2:A$875,B334,'Base bordo CD'!L$2:L$875,"FALTA DE COMBUSTIVEL"),0)+IFERROR(SUMIFS('Base bordo CD'!M$2:M$875,'Base bordo CD'!D$2:D$875,A334,'Base bordo CD'!A$2:A$875,B334,'Base bordo CD'!L$2:L$875,"FALTA DE MOTORIST*"),0)</f>
        <v>0</v>
      </c>
      <c r="O334" s="10">
        <f t="shared" si="30"/>
        <v>0</v>
      </c>
      <c r="P334" s="10">
        <f>IFERROR(SUMIFS('Base bordo CD'!M$2:M$875,'Base bordo CD'!D$2:D$875,A334,'Base bordo CD'!A$2:A$875,B334),0)</f>
        <v>24</v>
      </c>
      <c r="Q334" s="10">
        <f>IFERROR(SUMIFS('Base bordo CD'!O$2:O$875,'Base bordo CD'!D$2:D$875,A334,'Base bordo CD'!A$2:A$875,B334,'Base bordo CD'!L$2:L$875,"CORTE DE CANA MECANIZADO"),0)</f>
        <v>0</v>
      </c>
      <c r="R334" s="10">
        <f>IFERROR(SUMIFS('Base bordo CD'!Q$2:Q$875,'Base bordo CD'!D$2:D$875,A334,'Base bordo CD'!A$2:A$875,B334,'Base bordo CD'!L$2:L$875,"CORTE DE CANA MECANIZADO"),0)</f>
        <v>0</v>
      </c>
      <c r="S334" s="30" t="str">
        <f t="shared" si="31"/>
        <v/>
      </c>
      <c r="T334" s="9">
        <f t="shared" si="32"/>
        <v>0</v>
      </c>
      <c r="U334" s="9">
        <f t="shared" si="33"/>
        <v>0</v>
      </c>
      <c r="V334" s="9">
        <f t="shared" si="34"/>
        <v>1</v>
      </c>
    </row>
    <row r="335" spans="1:22" x14ac:dyDescent="0.35">
      <c r="A335" s="52">
        <v>49587</v>
      </c>
      <c r="B335" s="31">
        <v>46122</v>
      </c>
      <c r="C335" s="7" t="s">
        <v>337</v>
      </c>
      <c r="D335" s="7">
        <v>353</v>
      </c>
      <c r="E335" s="10">
        <f>IFERROR(SUMIFS('Base bordo CD'!M$2:M$875,'Base bordo CD'!D$2:D$875,A335,'Base bordo CD'!A$2:A$875,B335,'Base bordo CD'!L$2:L$875,"CORTE DE CANA MECANIZADO"),0)</f>
        <v>0</v>
      </c>
      <c r="F335" s="10">
        <f>IFERROR(SUMIFS('Base bordo CD'!M$2:M$875,'Base bordo CD'!D$2:D$875,A335,'Base bordo CD'!A$2:A$875,B335,'Base bordo CD'!L$2:L$875,"MANOBRA"),0)</f>
        <v>0</v>
      </c>
      <c r="G335" s="10">
        <f>IFERROR(SUMIFS('Base bordo CD'!M$2:M$875,'Base bordo CD'!D$2:D$875,A335,'Base bordo CD'!A$2:A$875,B335,'Base bordo CD'!L$2:L$875,"DESLOCAMENTO"),0)</f>
        <v>0</v>
      </c>
      <c r="H335" s="10">
        <f>IFERROR(SUMIFS('Base bordo CD'!M$2:M$875,'Base bordo CD'!D$2:D$875,A335,'Base bordo CD'!A$2:A$875,B335,'Base bordo CD'!L$2:L$875,"AGUARDANDO MANOBRA DE TRANSBORDO"),0)+IFERROR(SUMIFS('Base bordo CD'!M$2:M$875,'Base bordo CD'!D$2:D$875,A335,'Base bordo CD'!A$2:A$875,B335,'Base bordo CD'!L$2:L$875,"FALTA DE TRANSBORDO"),0)</f>
        <v>0</v>
      </c>
      <c r="I335" s="10">
        <f>IFERROR(SUMIFS('Base bordo CD'!M$2:M$875,'Base bordo CD'!D$2:D$875,A335,'Base bordo CD'!A$2:A$875,B335,'Base bordo CD'!L$2:L$875,"PARADA POR CONDICOES CLIMATICAS"),0)+IFERROR(SUMIFS('Base bordo CD'!M$2:M$875,'Base bordo CD'!D$2:D$875,A335,'Base bordo CD'!A$2:A$875,B335,'Base bordo CD'!L$2:L$875,"TEMPO INDETERMINADO"),0)</f>
        <v>24</v>
      </c>
      <c r="J335" s="10">
        <f>IFERROR(SUMIFS('Base bordo CD'!M$2:M$875,'Base bordo CD'!D$2:D$875,A335,'Base bordo CD'!A$2:A$875,B335,'Base bordo CD'!L$2:L$875,"LIMITAÇÃO INDÚSTRIA"),0)</f>
        <v>0</v>
      </c>
      <c r="K335" s="10">
        <f>IFERROR(SUMIFS('Base bordo CD'!M$2:M$875,'Base bordo CD'!D$2:D$875,A335,'Base bordo CD'!A$2:A$875,B335,'Base bordo CD'!L$2:L$875,"MAN CORRETIVA*"),0)+IFERROR(SUMIFS('Base bordo CD'!M$2:M$875,'Base bordo CD'!D$2:D$875,A335,'Base bordo CD'!A$2:A$875,B335,'Base bordo CD'!L$2:L$875,"AGUARDANDO MANUTENCAO*"),0)+IFERROR(SUMIFS('Base bordo CD'!M$2:M$875,'Base bordo CD'!D$2:D$875,A335,'Base bordo CD'!A$2:A$875,B335,'Base bordo CD'!L$2:L$875,"TROCA DE FAQUINHA"),0)+IFERROR(SUMIFS('Base bordo CD'!M$2:M$875,'Base bordo CD'!D$2:D$875,A335,'Base bordo CD'!A$2:A$875,B335,'Base bordo CD'!L$2:L$875,"LIMPEZA*"),0)</f>
        <v>0</v>
      </c>
      <c r="L335" s="10">
        <f>IFERROR(SUMIFS('Base bordo CD'!M$2:M$875,'Base bordo CD'!D$2:D$875,A335,'Base bordo CD'!A$2:A$875,B335,'Base bordo CD'!L$2:L$875,"PATIO - RESERVA"),0)</f>
        <v>0</v>
      </c>
      <c r="M335" s="10">
        <f>IFERROR(SUMIFS('Base bordo CD'!M$2:M$875,'Base bordo CD'!D$2:D$875,A335,'Base bordo CD'!A$2:A$875,B335,'Base bordo CD'!L$2:L$875,"SEM APONTAMENTO"),0)</f>
        <v>0</v>
      </c>
      <c r="N335" s="10">
        <f>IFERROR(SUMIFS('Base bordo CD'!M$2:M$875,'Base bordo CD'!D$2:D$875,A335,'Base bordo CD'!A$2:A$875,B335,'Base bordo CD'!L$2:L$875,"FALTA DE CAMINHÃO"),0)+IFERROR(SUMIFS('Base bordo CD'!M$2:M$875,'Base bordo CD'!D$2:D$875,A335,'Base bordo CD'!A$2:A$875,B335,'Base bordo CD'!L$2:L$875,"FALTA DE COMBUSTIVEL"),0)+IFERROR(SUMIFS('Base bordo CD'!M$2:M$875,'Base bordo CD'!D$2:D$875,A335,'Base bordo CD'!A$2:A$875,B335,'Base bordo CD'!L$2:L$875,"FALTA DE MOTORIST*"),0)</f>
        <v>0</v>
      </c>
      <c r="O335" s="10">
        <f t="shared" si="30"/>
        <v>0</v>
      </c>
      <c r="P335" s="10">
        <f>IFERROR(SUMIFS('Base bordo CD'!M$2:M$875,'Base bordo CD'!D$2:D$875,A335,'Base bordo CD'!A$2:A$875,B335),0)</f>
        <v>24</v>
      </c>
      <c r="Q335" s="10">
        <f>IFERROR(SUMIFS('Base bordo CD'!O$2:O$875,'Base bordo CD'!D$2:D$875,A335,'Base bordo CD'!A$2:A$875,B335,'Base bordo CD'!L$2:L$875,"CORTE DE CANA MECANIZADO"),0)</f>
        <v>0</v>
      </c>
      <c r="R335" s="10">
        <f>IFERROR(SUMIFS('Base bordo CD'!Q$2:Q$875,'Base bordo CD'!D$2:D$875,A335,'Base bordo CD'!A$2:A$875,B335,'Base bordo CD'!L$2:L$875,"CORTE DE CANA MECANIZADO"),0)</f>
        <v>0</v>
      </c>
      <c r="S335" s="30" t="str">
        <f t="shared" si="31"/>
        <v/>
      </c>
      <c r="T335" s="9">
        <f t="shared" si="32"/>
        <v>0</v>
      </c>
      <c r="U335" s="9">
        <f t="shared" si="33"/>
        <v>0</v>
      </c>
      <c r="V335" s="9">
        <f t="shared" si="34"/>
        <v>1</v>
      </c>
    </row>
    <row r="336" spans="1:22" x14ac:dyDescent="0.35">
      <c r="A336" s="52">
        <v>49587</v>
      </c>
      <c r="B336" s="31">
        <v>46122</v>
      </c>
      <c r="C336" s="7" t="s">
        <v>337</v>
      </c>
      <c r="D336" s="7">
        <v>353</v>
      </c>
      <c r="E336" s="10">
        <f>IFERROR(SUMIFS('Base bordo CD'!M$2:M$875,'Base bordo CD'!D$2:D$875,A336,'Base bordo CD'!A$2:A$875,B336,'Base bordo CD'!L$2:L$875,"CORTE DE CANA MECANIZADO"),0)</f>
        <v>0</v>
      </c>
      <c r="F336" s="10">
        <f>IFERROR(SUMIFS('Base bordo CD'!M$2:M$875,'Base bordo CD'!D$2:D$875,A336,'Base bordo CD'!A$2:A$875,B336,'Base bordo CD'!L$2:L$875,"MANOBRA"),0)</f>
        <v>0</v>
      </c>
      <c r="G336" s="10">
        <f>IFERROR(SUMIFS('Base bordo CD'!M$2:M$875,'Base bordo CD'!D$2:D$875,A336,'Base bordo CD'!A$2:A$875,B336,'Base bordo CD'!L$2:L$875,"DESLOCAMENTO"),0)</f>
        <v>0</v>
      </c>
      <c r="H336" s="10">
        <f>IFERROR(SUMIFS('Base bordo CD'!M$2:M$875,'Base bordo CD'!D$2:D$875,A336,'Base bordo CD'!A$2:A$875,B336,'Base bordo CD'!L$2:L$875,"AGUARDANDO MANOBRA DE TRANSBORDO"),0)+IFERROR(SUMIFS('Base bordo CD'!M$2:M$875,'Base bordo CD'!D$2:D$875,A336,'Base bordo CD'!A$2:A$875,B336,'Base bordo CD'!L$2:L$875,"FALTA DE TRANSBORDO"),0)</f>
        <v>0</v>
      </c>
      <c r="I336" s="10">
        <f>IFERROR(SUMIFS('Base bordo CD'!M$2:M$875,'Base bordo CD'!D$2:D$875,A336,'Base bordo CD'!A$2:A$875,B336,'Base bordo CD'!L$2:L$875,"PARADA POR CONDICOES CLIMATICAS"),0)+IFERROR(SUMIFS('Base bordo CD'!M$2:M$875,'Base bordo CD'!D$2:D$875,A336,'Base bordo CD'!A$2:A$875,B336,'Base bordo CD'!L$2:L$875,"TEMPO INDETERMINADO"),0)</f>
        <v>24</v>
      </c>
      <c r="J336" s="10">
        <f>IFERROR(SUMIFS('Base bordo CD'!M$2:M$875,'Base bordo CD'!D$2:D$875,A336,'Base bordo CD'!A$2:A$875,B336,'Base bordo CD'!L$2:L$875,"LIMITAÇÃO INDÚSTRIA"),0)</f>
        <v>0</v>
      </c>
      <c r="K336" s="10">
        <f>IFERROR(SUMIFS('Base bordo CD'!M$2:M$875,'Base bordo CD'!D$2:D$875,A336,'Base bordo CD'!A$2:A$875,B336,'Base bordo CD'!L$2:L$875,"MAN CORRETIVA*"),0)+IFERROR(SUMIFS('Base bordo CD'!M$2:M$875,'Base bordo CD'!D$2:D$875,A336,'Base bordo CD'!A$2:A$875,B336,'Base bordo CD'!L$2:L$875,"AGUARDANDO MANUTENCAO*"),0)+IFERROR(SUMIFS('Base bordo CD'!M$2:M$875,'Base bordo CD'!D$2:D$875,A336,'Base bordo CD'!A$2:A$875,B336,'Base bordo CD'!L$2:L$875,"TROCA DE FAQUINHA"),0)+IFERROR(SUMIFS('Base bordo CD'!M$2:M$875,'Base bordo CD'!D$2:D$875,A336,'Base bordo CD'!A$2:A$875,B336,'Base bordo CD'!L$2:L$875,"LIMPEZA*"),0)</f>
        <v>0</v>
      </c>
      <c r="L336" s="10">
        <f>IFERROR(SUMIFS('Base bordo CD'!M$2:M$875,'Base bordo CD'!D$2:D$875,A336,'Base bordo CD'!A$2:A$875,B336,'Base bordo CD'!L$2:L$875,"PATIO - RESERVA"),0)</f>
        <v>0</v>
      </c>
      <c r="M336" s="10">
        <f>IFERROR(SUMIFS('Base bordo CD'!M$2:M$875,'Base bordo CD'!D$2:D$875,A336,'Base bordo CD'!A$2:A$875,B336,'Base bordo CD'!L$2:L$875,"SEM APONTAMENTO"),0)</f>
        <v>0</v>
      </c>
      <c r="N336" s="10">
        <f>IFERROR(SUMIFS('Base bordo CD'!M$2:M$875,'Base bordo CD'!D$2:D$875,A336,'Base bordo CD'!A$2:A$875,B336,'Base bordo CD'!L$2:L$875,"FALTA DE CAMINHÃO"),0)+IFERROR(SUMIFS('Base bordo CD'!M$2:M$875,'Base bordo CD'!D$2:D$875,A336,'Base bordo CD'!A$2:A$875,B336,'Base bordo CD'!L$2:L$875,"FALTA DE COMBUSTIVEL"),0)+IFERROR(SUMIFS('Base bordo CD'!M$2:M$875,'Base bordo CD'!D$2:D$875,A336,'Base bordo CD'!A$2:A$875,B336,'Base bordo CD'!L$2:L$875,"FALTA DE MOTORIST*"),0)</f>
        <v>0</v>
      </c>
      <c r="O336" s="10">
        <f t="shared" si="30"/>
        <v>0</v>
      </c>
      <c r="P336" s="10">
        <f>IFERROR(SUMIFS('Base bordo CD'!M$2:M$875,'Base bordo CD'!D$2:D$875,A336,'Base bordo CD'!A$2:A$875,B336),0)</f>
        <v>24</v>
      </c>
      <c r="Q336" s="10">
        <f>IFERROR(SUMIFS('Base bordo CD'!O$2:O$875,'Base bordo CD'!D$2:D$875,A336,'Base bordo CD'!A$2:A$875,B336,'Base bordo CD'!L$2:L$875,"CORTE DE CANA MECANIZADO"),0)</f>
        <v>0</v>
      </c>
      <c r="R336" s="10">
        <f>IFERROR(SUMIFS('Base bordo CD'!Q$2:Q$875,'Base bordo CD'!D$2:D$875,A336,'Base bordo CD'!A$2:A$875,B336,'Base bordo CD'!L$2:L$875,"CORTE DE CANA MECANIZADO"),0)</f>
        <v>0</v>
      </c>
      <c r="S336" s="30" t="str">
        <f t="shared" si="31"/>
        <v/>
      </c>
      <c r="T336" s="9">
        <f t="shared" si="32"/>
        <v>0</v>
      </c>
      <c r="U336" s="9">
        <f t="shared" si="33"/>
        <v>0</v>
      </c>
      <c r="V336" s="9">
        <f t="shared" si="34"/>
        <v>1</v>
      </c>
    </row>
    <row r="337" spans="1:22" hidden="1" x14ac:dyDescent="0.35">
      <c r="A337" s="52">
        <v>49588</v>
      </c>
      <c r="B337" s="31">
        <v>46122</v>
      </c>
      <c r="C337" s="7" t="s">
        <v>364</v>
      </c>
      <c r="D337" s="7">
        <v>352</v>
      </c>
      <c r="E337" s="10">
        <f>IFERROR(SUMIFS('Base bordo CD'!M$2:M$875,'Base bordo CD'!D$2:D$875,A337,'Base bordo CD'!A$2:A$875,B337,'Base bordo CD'!L$2:L$875,"CORTE DE CANA MECANIZADO"),0)</f>
        <v>0</v>
      </c>
      <c r="F337" s="10">
        <f>IFERROR(SUMIFS('Base bordo CD'!M$2:M$875,'Base bordo CD'!D$2:D$875,A337,'Base bordo CD'!A$2:A$875,B337,'Base bordo CD'!L$2:L$875,"MANOBRA"),0)</f>
        <v>0</v>
      </c>
      <c r="G337" s="10">
        <f>IFERROR(SUMIFS('Base bordo CD'!M$2:M$875,'Base bordo CD'!D$2:D$875,A337,'Base bordo CD'!A$2:A$875,B337,'Base bordo CD'!L$2:L$875,"DESLOCAMENTO"),0)</f>
        <v>0</v>
      </c>
      <c r="H337" s="10">
        <f>IFERROR(SUMIFS('Base bordo CD'!M$2:M$875,'Base bordo CD'!D$2:D$875,A337,'Base bordo CD'!A$2:A$875,B337,'Base bordo CD'!L$2:L$875,"AGUARDANDO MANOBRA DE TRANSBORDO"),0)+IFERROR(SUMIFS('Base bordo CD'!M$2:M$875,'Base bordo CD'!D$2:D$875,A337,'Base bordo CD'!A$2:A$875,B337,'Base bordo CD'!L$2:L$875,"FALTA DE TRANSBORDO"),0)</f>
        <v>0</v>
      </c>
      <c r="I337" s="10">
        <f>IFERROR(SUMIFS('Base bordo CD'!M$2:M$875,'Base bordo CD'!D$2:D$875,A337,'Base bordo CD'!A$2:A$875,B337,'Base bordo CD'!L$2:L$875,"PARADA POR CONDICOES CLIMATICAS"),0)+IFERROR(SUMIFS('Base bordo CD'!M$2:M$875,'Base bordo CD'!D$2:D$875,A337,'Base bordo CD'!A$2:A$875,B337,'Base bordo CD'!L$2:L$875,"TEMPO INDETERMINADO"),0)</f>
        <v>24</v>
      </c>
      <c r="J337" s="10">
        <f>IFERROR(SUMIFS('Base bordo CD'!M$2:M$875,'Base bordo CD'!D$2:D$875,A337,'Base bordo CD'!A$2:A$875,B337,'Base bordo CD'!L$2:L$875,"LIMITAÇÃO INDÚSTRIA"),0)</f>
        <v>0</v>
      </c>
      <c r="K337" s="10">
        <f>IFERROR(SUMIFS('Base bordo CD'!M$2:M$875,'Base bordo CD'!D$2:D$875,A337,'Base bordo CD'!A$2:A$875,B337,'Base bordo CD'!L$2:L$875,"MAN CORRETIVA*"),0)+IFERROR(SUMIFS('Base bordo CD'!M$2:M$875,'Base bordo CD'!D$2:D$875,A337,'Base bordo CD'!A$2:A$875,B337,'Base bordo CD'!L$2:L$875,"AGUARDANDO MANUTENCAO*"),0)+IFERROR(SUMIFS('Base bordo CD'!M$2:M$875,'Base bordo CD'!D$2:D$875,A337,'Base bordo CD'!A$2:A$875,B337,'Base bordo CD'!L$2:L$875,"TROCA DE FAQUINHA"),0)+IFERROR(SUMIFS('Base bordo CD'!M$2:M$875,'Base bordo CD'!D$2:D$875,A337,'Base bordo CD'!A$2:A$875,B337,'Base bordo CD'!L$2:L$875,"LIMPEZA*"),0)</f>
        <v>0</v>
      </c>
      <c r="L337" s="10">
        <f>IFERROR(SUMIFS('Base bordo CD'!M$2:M$875,'Base bordo CD'!D$2:D$875,A337,'Base bordo CD'!A$2:A$875,B337,'Base bordo CD'!L$2:L$875,"PATIO - RESERVA"),0)</f>
        <v>0</v>
      </c>
      <c r="M337" s="10">
        <f>IFERROR(SUMIFS('Base bordo CD'!M$2:M$875,'Base bordo CD'!D$2:D$875,A337,'Base bordo CD'!A$2:A$875,B337,'Base bordo CD'!L$2:L$875,"SEM APONTAMENTO"),0)</f>
        <v>0</v>
      </c>
      <c r="N337" s="10">
        <f>IFERROR(SUMIFS('Base bordo CD'!M$2:M$875,'Base bordo CD'!D$2:D$875,A337,'Base bordo CD'!A$2:A$875,B337,'Base bordo CD'!L$2:L$875,"FALTA DE CAMINHÃO"),0)+IFERROR(SUMIFS('Base bordo CD'!M$2:M$875,'Base bordo CD'!D$2:D$875,A337,'Base bordo CD'!A$2:A$875,B337,'Base bordo CD'!L$2:L$875,"FALTA DE COMBUSTIVEL"),0)+IFERROR(SUMIFS('Base bordo CD'!M$2:M$875,'Base bordo CD'!D$2:D$875,A337,'Base bordo CD'!A$2:A$875,B337,'Base bordo CD'!L$2:L$875,"FALTA DE MOTORIST*"),0)</f>
        <v>0</v>
      </c>
      <c r="O337" s="10">
        <f t="shared" si="30"/>
        <v>0</v>
      </c>
      <c r="P337" s="10">
        <f>IFERROR(SUMIFS('Base bordo CD'!M$2:M$875,'Base bordo CD'!D$2:D$875,A337,'Base bordo CD'!A$2:A$875,B337),0)</f>
        <v>24</v>
      </c>
      <c r="Q337" s="10">
        <f>IFERROR(SUMIFS('Base bordo CD'!O$2:O$875,'Base bordo CD'!D$2:D$875,A337,'Base bordo CD'!A$2:A$875,B337,'Base bordo CD'!L$2:L$875,"CORTE DE CANA MECANIZADO"),0)</f>
        <v>0</v>
      </c>
      <c r="R337" s="10">
        <f>IFERROR(SUMIFS('Base bordo CD'!Q$2:Q$875,'Base bordo CD'!D$2:D$875,A337,'Base bordo CD'!A$2:A$875,B337,'Base bordo CD'!L$2:L$875,"CORTE DE CANA MECANIZADO"),0)</f>
        <v>0</v>
      </c>
      <c r="S337" s="30" t="str">
        <f t="shared" si="31"/>
        <v/>
      </c>
      <c r="T337" s="9">
        <f t="shared" si="32"/>
        <v>0</v>
      </c>
      <c r="U337" s="9">
        <f t="shared" si="33"/>
        <v>0</v>
      </c>
      <c r="V337" s="9">
        <f t="shared" si="34"/>
        <v>1</v>
      </c>
    </row>
    <row r="338" spans="1:22" hidden="1" x14ac:dyDescent="0.35">
      <c r="A338" s="52">
        <v>49588</v>
      </c>
      <c r="B338" s="31">
        <v>46122</v>
      </c>
      <c r="C338" s="7" t="s">
        <v>364</v>
      </c>
      <c r="D338" s="7">
        <v>352</v>
      </c>
      <c r="E338" s="10">
        <f>IFERROR(SUMIFS('Base bordo CD'!M$2:M$875,'Base bordo CD'!D$2:D$875,A338,'Base bordo CD'!A$2:A$875,B338,'Base bordo CD'!L$2:L$875,"CORTE DE CANA MECANIZADO"),0)</f>
        <v>0</v>
      </c>
      <c r="F338" s="10">
        <f>IFERROR(SUMIFS('Base bordo CD'!M$2:M$875,'Base bordo CD'!D$2:D$875,A338,'Base bordo CD'!A$2:A$875,B338,'Base bordo CD'!L$2:L$875,"MANOBRA"),0)</f>
        <v>0</v>
      </c>
      <c r="G338" s="10">
        <f>IFERROR(SUMIFS('Base bordo CD'!M$2:M$875,'Base bordo CD'!D$2:D$875,A338,'Base bordo CD'!A$2:A$875,B338,'Base bordo CD'!L$2:L$875,"DESLOCAMENTO"),0)</f>
        <v>0</v>
      </c>
      <c r="H338" s="10">
        <f>IFERROR(SUMIFS('Base bordo CD'!M$2:M$875,'Base bordo CD'!D$2:D$875,A338,'Base bordo CD'!A$2:A$875,B338,'Base bordo CD'!L$2:L$875,"AGUARDANDO MANOBRA DE TRANSBORDO"),0)+IFERROR(SUMIFS('Base bordo CD'!M$2:M$875,'Base bordo CD'!D$2:D$875,A338,'Base bordo CD'!A$2:A$875,B338,'Base bordo CD'!L$2:L$875,"FALTA DE TRANSBORDO"),0)</f>
        <v>0</v>
      </c>
      <c r="I338" s="10">
        <f>IFERROR(SUMIFS('Base bordo CD'!M$2:M$875,'Base bordo CD'!D$2:D$875,A338,'Base bordo CD'!A$2:A$875,B338,'Base bordo CD'!L$2:L$875,"PARADA POR CONDICOES CLIMATICAS"),0)+IFERROR(SUMIFS('Base bordo CD'!M$2:M$875,'Base bordo CD'!D$2:D$875,A338,'Base bordo CD'!A$2:A$875,B338,'Base bordo CD'!L$2:L$875,"TEMPO INDETERMINADO"),0)</f>
        <v>24</v>
      </c>
      <c r="J338" s="10">
        <f>IFERROR(SUMIFS('Base bordo CD'!M$2:M$875,'Base bordo CD'!D$2:D$875,A338,'Base bordo CD'!A$2:A$875,B338,'Base bordo CD'!L$2:L$875,"LIMITAÇÃO INDÚSTRIA"),0)</f>
        <v>0</v>
      </c>
      <c r="K338" s="10">
        <f>IFERROR(SUMIFS('Base bordo CD'!M$2:M$875,'Base bordo CD'!D$2:D$875,A338,'Base bordo CD'!A$2:A$875,B338,'Base bordo CD'!L$2:L$875,"MAN CORRETIVA*"),0)+IFERROR(SUMIFS('Base bordo CD'!M$2:M$875,'Base bordo CD'!D$2:D$875,A338,'Base bordo CD'!A$2:A$875,B338,'Base bordo CD'!L$2:L$875,"AGUARDANDO MANUTENCAO*"),0)+IFERROR(SUMIFS('Base bordo CD'!M$2:M$875,'Base bordo CD'!D$2:D$875,A338,'Base bordo CD'!A$2:A$875,B338,'Base bordo CD'!L$2:L$875,"TROCA DE FAQUINHA"),0)+IFERROR(SUMIFS('Base bordo CD'!M$2:M$875,'Base bordo CD'!D$2:D$875,A338,'Base bordo CD'!A$2:A$875,B338,'Base bordo CD'!L$2:L$875,"LIMPEZA*"),0)</f>
        <v>0</v>
      </c>
      <c r="L338" s="10">
        <f>IFERROR(SUMIFS('Base bordo CD'!M$2:M$875,'Base bordo CD'!D$2:D$875,A338,'Base bordo CD'!A$2:A$875,B338,'Base bordo CD'!L$2:L$875,"PATIO - RESERVA"),0)</f>
        <v>0</v>
      </c>
      <c r="M338" s="10">
        <f>IFERROR(SUMIFS('Base bordo CD'!M$2:M$875,'Base bordo CD'!D$2:D$875,A338,'Base bordo CD'!A$2:A$875,B338,'Base bordo CD'!L$2:L$875,"SEM APONTAMENTO"),0)</f>
        <v>0</v>
      </c>
      <c r="N338" s="10">
        <f>IFERROR(SUMIFS('Base bordo CD'!M$2:M$875,'Base bordo CD'!D$2:D$875,A338,'Base bordo CD'!A$2:A$875,B338,'Base bordo CD'!L$2:L$875,"FALTA DE CAMINHÃO"),0)+IFERROR(SUMIFS('Base bordo CD'!M$2:M$875,'Base bordo CD'!D$2:D$875,A338,'Base bordo CD'!A$2:A$875,B338,'Base bordo CD'!L$2:L$875,"FALTA DE COMBUSTIVEL"),0)+IFERROR(SUMIFS('Base bordo CD'!M$2:M$875,'Base bordo CD'!D$2:D$875,A338,'Base bordo CD'!A$2:A$875,B338,'Base bordo CD'!L$2:L$875,"FALTA DE MOTORIST*"),0)</f>
        <v>0</v>
      </c>
      <c r="O338" s="10">
        <f t="shared" si="30"/>
        <v>0</v>
      </c>
      <c r="P338" s="10">
        <f>IFERROR(SUMIFS('Base bordo CD'!M$2:M$875,'Base bordo CD'!D$2:D$875,A338,'Base bordo CD'!A$2:A$875,B338),0)</f>
        <v>24</v>
      </c>
      <c r="Q338" s="10">
        <f>IFERROR(SUMIFS('Base bordo CD'!O$2:O$875,'Base bordo CD'!D$2:D$875,A338,'Base bordo CD'!A$2:A$875,B338,'Base bordo CD'!L$2:L$875,"CORTE DE CANA MECANIZADO"),0)</f>
        <v>0</v>
      </c>
      <c r="R338" s="10">
        <f>IFERROR(SUMIFS('Base bordo CD'!Q$2:Q$875,'Base bordo CD'!D$2:D$875,A338,'Base bordo CD'!A$2:A$875,B338,'Base bordo CD'!L$2:L$875,"CORTE DE CANA MECANIZADO"),0)</f>
        <v>0</v>
      </c>
      <c r="S338" s="30" t="str">
        <f t="shared" si="31"/>
        <v/>
      </c>
      <c r="T338" s="9">
        <f t="shared" si="32"/>
        <v>0</v>
      </c>
      <c r="U338" s="9">
        <f t="shared" si="33"/>
        <v>0</v>
      </c>
      <c r="V338" s="9">
        <f t="shared" si="34"/>
        <v>1</v>
      </c>
    </row>
    <row r="339" spans="1:22" hidden="1" x14ac:dyDescent="0.35">
      <c r="A339" s="52">
        <v>49589</v>
      </c>
      <c r="B339" s="31">
        <v>46122</v>
      </c>
      <c r="C339" s="7" t="s">
        <v>321</v>
      </c>
      <c r="D339" s="7">
        <v>351</v>
      </c>
      <c r="E339" s="10">
        <f>IFERROR(SUMIFS('Base bordo CD'!M$2:M$875,'Base bordo CD'!D$2:D$875,A339,'Base bordo CD'!A$2:A$875,B339,'Base bordo CD'!L$2:L$875,"CORTE DE CANA MECANIZADO"),0)</f>
        <v>0</v>
      </c>
      <c r="F339" s="10">
        <f>IFERROR(SUMIFS('Base bordo CD'!M$2:M$875,'Base bordo CD'!D$2:D$875,A339,'Base bordo CD'!A$2:A$875,B339,'Base bordo CD'!L$2:L$875,"MANOBRA"),0)</f>
        <v>0</v>
      </c>
      <c r="G339" s="10">
        <f>IFERROR(SUMIFS('Base bordo CD'!M$2:M$875,'Base bordo CD'!D$2:D$875,A339,'Base bordo CD'!A$2:A$875,B339,'Base bordo CD'!L$2:L$875,"DESLOCAMENTO"),0)</f>
        <v>0</v>
      </c>
      <c r="H339" s="10">
        <f>IFERROR(SUMIFS('Base bordo CD'!M$2:M$875,'Base bordo CD'!D$2:D$875,A339,'Base bordo CD'!A$2:A$875,B339,'Base bordo CD'!L$2:L$875,"AGUARDANDO MANOBRA DE TRANSBORDO"),0)+IFERROR(SUMIFS('Base bordo CD'!M$2:M$875,'Base bordo CD'!D$2:D$875,A339,'Base bordo CD'!A$2:A$875,B339,'Base bordo CD'!L$2:L$875,"FALTA DE TRANSBORDO"),0)</f>
        <v>0</v>
      </c>
      <c r="I339" s="10">
        <f>IFERROR(SUMIFS('Base bordo CD'!M$2:M$875,'Base bordo CD'!D$2:D$875,A339,'Base bordo CD'!A$2:A$875,B339,'Base bordo CD'!L$2:L$875,"PARADA POR CONDICOES CLIMATICAS"),0)+IFERROR(SUMIFS('Base bordo CD'!M$2:M$875,'Base bordo CD'!D$2:D$875,A339,'Base bordo CD'!A$2:A$875,B339,'Base bordo CD'!L$2:L$875,"TEMPO INDETERMINADO"),0)</f>
        <v>24</v>
      </c>
      <c r="J339" s="10">
        <f>IFERROR(SUMIFS('Base bordo CD'!M$2:M$875,'Base bordo CD'!D$2:D$875,A339,'Base bordo CD'!A$2:A$875,B339,'Base bordo CD'!L$2:L$875,"LIMITAÇÃO INDÚSTRIA"),0)</f>
        <v>0</v>
      </c>
      <c r="K339" s="10">
        <f>IFERROR(SUMIFS('Base bordo CD'!M$2:M$875,'Base bordo CD'!D$2:D$875,A339,'Base bordo CD'!A$2:A$875,B339,'Base bordo CD'!L$2:L$875,"MAN CORRETIVA*"),0)+IFERROR(SUMIFS('Base bordo CD'!M$2:M$875,'Base bordo CD'!D$2:D$875,A339,'Base bordo CD'!A$2:A$875,B339,'Base bordo CD'!L$2:L$875,"AGUARDANDO MANUTENCAO*"),0)+IFERROR(SUMIFS('Base bordo CD'!M$2:M$875,'Base bordo CD'!D$2:D$875,A339,'Base bordo CD'!A$2:A$875,B339,'Base bordo CD'!L$2:L$875,"TROCA DE FAQUINHA"),0)+IFERROR(SUMIFS('Base bordo CD'!M$2:M$875,'Base bordo CD'!D$2:D$875,A339,'Base bordo CD'!A$2:A$875,B339,'Base bordo CD'!L$2:L$875,"LIMPEZA*"),0)</f>
        <v>0</v>
      </c>
      <c r="L339" s="10">
        <f>IFERROR(SUMIFS('Base bordo CD'!M$2:M$875,'Base bordo CD'!D$2:D$875,A339,'Base bordo CD'!A$2:A$875,B339,'Base bordo CD'!L$2:L$875,"PATIO - RESERVA"),0)</f>
        <v>0</v>
      </c>
      <c r="M339" s="10">
        <f>IFERROR(SUMIFS('Base bordo CD'!M$2:M$875,'Base bordo CD'!D$2:D$875,A339,'Base bordo CD'!A$2:A$875,B339,'Base bordo CD'!L$2:L$875,"SEM APONTAMENTO"),0)</f>
        <v>0</v>
      </c>
      <c r="N339" s="10">
        <f>IFERROR(SUMIFS('Base bordo CD'!M$2:M$875,'Base bordo CD'!D$2:D$875,A339,'Base bordo CD'!A$2:A$875,B339,'Base bordo CD'!L$2:L$875,"FALTA DE CAMINHÃO"),0)+IFERROR(SUMIFS('Base bordo CD'!M$2:M$875,'Base bordo CD'!D$2:D$875,A339,'Base bordo CD'!A$2:A$875,B339,'Base bordo CD'!L$2:L$875,"FALTA DE COMBUSTIVEL"),0)+IFERROR(SUMIFS('Base bordo CD'!M$2:M$875,'Base bordo CD'!D$2:D$875,A339,'Base bordo CD'!A$2:A$875,B339,'Base bordo CD'!L$2:L$875,"FALTA DE MOTORIST*"),0)</f>
        <v>0</v>
      </c>
      <c r="O339" s="10">
        <f t="shared" si="30"/>
        <v>0</v>
      </c>
      <c r="P339" s="10">
        <f>IFERROR(SUMIFS('Base bordo CD'!M$2:M$875,'Base bordo CD'!D$2:D$875,A339,'Base bordo CD'!A$2:A$875,B339),0)</f>
        <v>24</v>
      </c>
      <c r="Q339" s="10">
        <f>IFERROR(SUMIFS('Base bordo CD'!O$2:O$875,'Base bordo CD'!D$2:D$875,A339,'Base bordo CD'!A$2:A$875,B339,'Base bordo CD'!L$2:L$875,"CORTE DE CANA MECANIZADO"),0)</f>
        <v>0</v>
      </c>
      <c r="R339" s="10">
        <f>IFERROR(SUMIFS('Base bordo CD'!Q$2:Q$875,'Base bordo CD'!D$2:D$875,A339,'Base bordo CD'!A$2:A$875,B339,'Base bordo CD'!L$2:L$875,"CORTE DE CANA MECANIZADO"),0)</f>
        <v>0</v>
      </c>
      <c r="S339" s="30" t="str">
        <f t="shared" si="31"/>
        <v/>
      </c>
      <c r="T339" s="9">
        <f t="shared" si="32"/>
        <v>0</v>
      </c>
      <c r="U339" s="9">
        <f t="shared" si="33"/>
        <v>0</v>
      </c>
      <c r="V339" s="9">
        <f t="shared" si="34"/>
        <v>1</v>
      </c>
    </row>
    <row r="340" spans="1:22" hidden="1" x14ac:dyDescent="0.35">
      <c r="A340" s="52">
        <v>49590</v>
      </c>
      <c r="B340" s="31">
        <v>46122</v>
      </c>
      <c r="C340" s="7" t="s">
        <v>321</v>
      </c>
      <c r="D340" s="7">
        <v>351</v>
      </c>
      <c r="E340" s="10">
        <f>IFERROR(SUMIFS('Base bordo CD'!M$2:M$875,'Base bordo CD'!D$2:D$875,A340,'Base bordo CD'!A$2:A$875,B340,'Base bordo CD'!L$2:L$875,"CORTE DE CANA MECANIZADO"),0)</f>
        <v>0</v>
      </c>
      <c r="F340" s="10">
        <f>IFERROR(SUMIFS('Base bordo CD'!M$2:M$875,'Base bordo CD'!D$2:D$875,A340,'Base bordo CD'!A$2:A$875,B340,'Base bordo CD'!L$2:L$875,"MANOBRA"),0)</f>
        <v>0</v>
      </c>
      <c r="G340" s="10">
        <f>IFERROR(SUMIFS('Base bordo CD'!M$2:M$875,'Base bordo CD'!D$2:D$875,A340,'Base bordo CD'!A$2:A$875,B340,'Base bordo CD'!L$2:L$875,"DESLOCAMENTO"),0)</f>
        <v>0</v>
      </c>
      <c r="H340" s="10">
        <f>IFERROR(SUMIFS('Base bordo CD'!M$2:M$875,'Base bordo CD'!D$2:D$875,A340,'Base bordo CD'!A$2:A$875,B340,'Base bordo CD'!L$2:L$875,"AGUARDANDO MANOBRA DE TRANSBORDO"),0)+IFERROR(SUMIFS('Base bordo CD'!M$2:M$875,'Base bordo CD'!D$2:D$875,A340,'Base bordo CD'!A$2:A$875,B340,'Base bordo CD'!L$2:L$875,"FALTA DE TRANSBORDO"),0)</f>
        <v>0</v>
      </c>
      <c r="I340" s="10">
        <f>IFERROR(SUMIFS('Base bordo CD'!M$2:M$875,'Base bordo CD'!D$2:D$875,A340,'Base bordo CD'!A$2:A$875,B340,'Base bordo CD'!L$2:L$875,"PARADA POR CONDICOES CLIMATICAS"),0)+IFERROR(SUMIFS('Base bordo CD'!M$2:M$875,'Base bordo CD'!D$2:D$875,A340,'Base bordo CD'!A$2:A$875,B340,'Base bordo CD'!L$2:L$875,"TEMPO INDETERMINADO"),0)</f>
        <v>24</v>
      </c>
      <c r="J340" s="10">
        <f>IFERROR(SUMIFS('Base bordo CD'!M$2:M$875,'Base bordo CD'!D$2:D$875,A340,'Base bordo CD'!A$2:A$875,B340,'Base bordo CD'!L$2:L$875,"LIMITAÇÃO INDÚSTRIA"),0)</f>
        <v>0</v>
      </c>
      <c r="K340" s="10">
        <f>IFERROR(SUMIFS('Base bordo CD'!M$2:M$875,'Base bordo CD'!D$2:D$875,A340,'Base bordo CD'!A$2:A$875,B340,'Base bordo CD'!L$2:L$875,"MAN CORRETIVA*"),0)+IFERROR(SUMIFS('Base bordo CD'!M$2:M$875,'Base bordo CD'!D$2:D$875,A340,'Base bordo CD'!A$2:A$875,B340,'Base bordo CD'!L$2:L$875,"AGUARDANDO MANUTENCAO*"),0)+IFERROR(SUMIFS('Base bordo CD'!M$2:M$875,'Base bordo CD'!D$2:D$875,A340,'Base bordo CD'!A$2:A$875,B340,'Base bordo CD'!L$2:L$875,"TROCA DE FAQUINHA"),0)+IFERROR(SUMIFS('Base bordo CD'!M$2:M$875,'Base bordo CD'!D$2:D$875,A340,'Base bordo CD'!A$2:A$875,B340,'Base bordo CD'!L$2:L$875,"LIMPEZA*"),0)</f>
        <v>0</v>
      </c>
      <c r="L340" s="10">
        <f>IFERROR(SUMIFS('Base bordo CD'!M$2:M$875,'Base bordo CD'!D$2:D$875,A340,'Base bordo CD'!A$2:A$875,B340,'Base bordo CD'!L$2:L$875,"PATIO - RESERVA"),0)</f>
        <v>0</v>
      </c>
      <c r="M340" s="10">
        <f>IFERROR(SUMIFS('Base bordo CD'!M$2:M$875,'Base bordo CD'!D$2:D$875,A340,'Base bordo CD'!A$2:A$875,B340,'Base bordo CD'!L$2:L$875,"SEM APONTAMENTO"),0)</f>
        <v>0</v>
      </c>
      <c r="N340" s="10">
        <f>IFERROR(SUMIFS('Base bordo CD'!M$2:M$875,'Base bordo CD'!D$2:D$875,A340,'Base bordo CD'!A$2:A$875,B340,'Base bordo CD'!L$2:L$875,"FALTA DE CAMINHÃO"),0)+IFERROR(SUMIFS('Base bordo CD'!M$2:M$875,'Base bordo CD'!D$2:D$875,A340,'Base bordo CD'!A$2:A$875,B340,'Base bordo CD'!L$2:L$875,"FALTA DE COMBUSTIVEL"),0)+IFERROR(SUMIFS('Base bordo CD'!M$2:M$875,'Base bordo CD'!D$2:D$875,A340,'Base bordo CD'!A$2:A$875,B340,'Base bordo CD'!L$2:L$875,"FALTA DE MOTORIST*"),0)</f>
        <v>0</v>
      </c>
      <c r="O340" s="10">
        <f t="shared" si="30"/>
        <v>0</v>
      </c>
      <c r="P340" s="10">
        <f>IFERROR(SUMIFS('Base bordo CD'!M$2:M$875,'Base bordo CD'!D$2:D$875,A340,'Base bordo CD'!A$2:A$875,B340),0)</f>
        <v>24</v>
      </c>
      <c r="Q340" s="10">
        <f>IFERROR(SUMIFS('Base bordo CD'!O$2:O$875,'Base bordo CD'!D$2:D$875,A340,'Base bordo CD'!A$2:A$875,B340,'Base bordo CD'!L$2:L$875,"CORTE DE CANA MECANIZADO"),0)</f>
        <v>0</v>
      </c>
      <c r="R340" s="10">
        <f>IFERROR(SUMIFS('Base bordo CD'!Q$2:Q$875,'Base bordo CD'!D$2:D$875,A340,'Base bordo CD'!A$2:A$875,B340,'Base bordo CD'!L$2:L$875,"CORTE DE CANA MECANIZADO"),0)</f>
        <v>0</v>
      </c>
      <c r="S340" s="30" t="str">
        <f t="shared" si="31"/>
        <v/>
      </c>
      <c r="T340" s="9">
        <f t="shared" si="32"/>
        <v>0</v>
      </c>
      <c r="U340" s="9">
        <f t="shared" si="33"/>
        <v>0</v>
      </c>
      <c r="V340" s="9">
        <f t="shared" si="34"/>
        <v>1</v>
      </c>
    </row>
    <row r="341" spans="1:22" hidden="1" x14ac:dyDescent="0.35">
      <c r="A341" s="52">
        <v>49590</v>
      </c>
      <c r="B341" s="31">
        <v>46122</v>
      </c>
      <c r="C341" s="7" t="s">
        <v>321</v>
      </c>
      <c r="D341" s="7">
        <v>351</v>
      </c>
      <c r="E341" s="10">
        <f>IFERROR(SUMIFS('Base bordo CD'!M$2:M$875,'Base bordo CD'!D$2:D$875,A341,'Base bordo CD'!A$2:A$875,B341,'Base bordo CD'!L$2:L$875,"CORTE DE CANA MECANIZADO"),0)</f>
        <v>0</v>
      </c>
      <c r="F341" s="10">
        <f>IFERROR(SUMIFS('Base bordo CD'!M$2:M$875,'Base bordo CD'!D$2:D$875,A341,'Base bordo CD'!A$2:A$875,B341,'Base bordo CD'!L$2:L$875,"MANOBRA"),0)</f>
        <v>0</v>
      </c>
      <c r="G341" s="10">
        <f>IFERROR(SUMIFS('Base bordo CD'!M$2:M$875,'Base bordo CD'!D$2:D$875,A341,'Base bordo CD'!A$2:A$875,B341,'Base bordo CD'!L$2:L$875,"DESLOCAMENTO"),0)</f>
        <v>0</v>
      </c>
      <c r="H341" s="10">
        <f>IFERROR(SUMIFS('Base bordo CD'!M$2:M$875,'Base bordo CD'!D$2:D$875,A341,'Base bordo CD'!A$2:A$875,B341,'Base bordo CD'!L$2:L$875,"AGUARDANDO MANOBRA DE TRANSBORDO"),0)+IFERROR(SUMIFS('Base bordo CD'!M$2:M$875,'Base bordo CD'!D$2:D$875,A341,'Base bordo CD'!A$2:A$875,B341,'Base bordo CD'!L$2:L$875,"FALTA DE TRANSBORDO"),0)</f>
        <v>0</v>
      </c>
      <c r="I341" s="10">
        <f>IFERROR(SUMIFS('Base bordo CD'!M$2:M$875,'Base bordo CD'!D$2:D$875,A341,'Base bordo CD'!A$2:A$875,B341,'Base bordo CD'!L$2:L$875,"PARADA POR CONDICOES CLIMATICAS"),0)+IFERROR(SUMIFS('Base bordo CD'!M$2:M$875,'Base bordo CD'!D$2:D$875,A341,'Base bordo CD'!A$2:A$875,B341,'Base bordo CD'!L$2:L$875,"TEMPO INDETERMINADO"),0)</f>
        <v>24</v>
      </c>
      <c r="J341" s="10">
        <f>IFERROR(SUMIFS('Base bordo CD'!M$2:M$875,'Base bordo CD'!D$2:D$875,A341,'Base bordo CD'!A$2:A$875,B341,'Base bordo CD'!L$2:L$875,"LIMITAÇÃO INDÚSTRIA"),0)</f>
        <v>0</v>
      </c>
      <c r="K341" s="10">
        <f>IFERROR(SUMIFS('Base bordo CD'!M$2:M$875,'Base bordo CD'!D$2:D$875,A341,'Base bordo CD'!A$2:A$875,B341,'Base bordo CD'!L$2:L$875,"MAN CORRETIVA*"),0)+IFERROR(SUMIFS('Base bordo CD'!M$2:M$875,'Base bordo CD'!D$2:D$875,A341,'Base bordo CD'!A$2:A$875,B341,'Base bordo CD'!L$2:L$875,"AGUARDANDO MANUTENCAO*"),0)+IFERROR(SUMIFS('Base bordo CD'!M$2:M$875,'Base bordo CD'!D$2:D$875,A341,'Base bordo CD'!A$2:A$875,B341,'Base bordo CD'!L$2:L$875,"TROCA DE FAQUINHA"),0)+IFERROR(SUMIFS('Base bordo CD'!M$2:M$875,'Base bordo CD'!D$2:D$875,A341,'Base bordo CD'!A$2:A$875,B341,'Base bordo CD'!L$2:L$875,"LIMPEZA*"),0)</f>
        <v>0</v>
      </c>
      <c r="L341" s="10">
        <f>IFERROR(SUMIFS('Base bordo CD'!M$2:M$875,'Base bordo CD'!D$2:D$875,A341,'Base bordo CD'!A$2:A$875,B341,'Base bordo CD'!L$2:L$875,"PATIO - RESERVA"),0)</f>
        <v>0</v>
      </c>
      <c r="M341" s="10">
        <f>IFERROR(SUMIFS('Base bordo CD'!M$2:M$875,'Base bordo CD'!D$2:D$875,A341,'Base bordo CD'!A$2:A$875,B341,'Base bordo CD'!L$2:L$875,"SEM APONTAMENTO"),0)</f>
        <v>0</v>
      </c>
      <c r="N341" s="10">
        <f>IFERROR(SUMIFS('Base bordo CD'!M$2:M$875,'Base bordo CD'!D$2:D$875,A341,'Base bordo CD'!A$2:A$875,B341,'Base bordo CD'!L$2:L$875,"FALTA DE CAMINHÃO"),0)+IFERROR(SUMIFS('Base bordo CD'!M$2:M$875,'Base bordo CD'!D$2:D$875,A341,'Base bordo CD'!A$2:A$875,B341,'Base bordo CD'!L$2:L$875,"FALTA DE COMBUSTIVEL"),0)+IFERROR(SUMIFS('Base bordo CD'!M$2:M$875,'Base bordo CD'!D$2:D$875,A341,'Base bordo CD'!A$2:A$875,B341,'Base bordo CD'!L$2:L$875,"FALTA DE MOTORIST*"),0)</f>
        <v>0</v>
      </c>
      <c r="O341" s="10">
        <f t="shared" si="30"/>
        <v>0</v>
      </c>
      <c r="P341" s="10">
        <f>IFERROR(SUMIFS('Base bordo CD'!M$2:M$875,'Base bordo CD'!D$2:D$875,A341,'Base bordo CD'!A$2:A$875,B341),0)</f>
        <v>24</v>
      </c>
      <c r="Q341" s="10">
        <f>IFERROR(SUMIFS('Base bordo CD'!O$2:O$875,'Base bordo CD'!D$2:D$875,A341,'Base bordo CD'!A$2:A$875,B341,'Base bordo CD'!L$2:L$875,"CORTE DE CANA MECANIZADO"),0)</f>
        <v>0</v>
      </c>
      <c r="R341" s="10">
        <f>IFERROR(SUMIFS('Base bordo CD'!Q$2:Q$875,'Base bordo CD'!D$2:D$875,A341,'Base bordo CD'!A$2:A$875,B341,'Base bordo CD'!L$2:L$875,"CORTE DE CANA MECANIZADO"),0)</f>
        <v>0</v>
      </c>
      <c r="S341" s="30" t="str">
        <f t="shared" si="31"/>
        <v/>
      </c>
      <c r="T341" s="9">
        <f t="shared" si="32"/>
        <v>0</v>
      </c>
      <c r="U341" s="9">
        <f t="shared" si="33"/>
        <v>0</v>
      </c>
      <c r="V341" s="9">
        <f t="shared" si="34"/>
        <v>1</v>
      </c>
    </row>
    <row r="342" spans="1:22" hidden="1" x14ac:dyDescent="0.35">
      <c r="A342" s="52">
        <v>49591</v>
      </c>
      <c r="B342" s="31">
        <v>46122</v>
      </c>
      <c r="C342" s="7" t="s">
        <v>364</v>
      </c>
      <c r="D342" s="7">
        <v>352</v>
      </c>
      <c r="E342" s="10">
        <f>IFERROR(SUMIFS('Base bordo CD'!M$2:M$875,'Base bordo CD'!D$2:D$875,A342,'Base bordo CD'!A$2:A$875,B342,'Base bordo CD'!L$2:L$875,"CORTE DE CANA MECANIZADO"),0)</f>
        <v>0</v>
      </c>
      <c r="F342" s="10">
        <f>IFERROR(SUMIFS('Base bordo CD'!M$2:M$875,'Base bordo CD'!D$2:D$875,A342,'Base bordo CD'!A$2:A$875,B342,'Base bordo CD'!L$2:L$875,"MANOBRA"),0)</f>
        <v>0</v>
      </c>
      <c r="G342" s="10">
        <f>IFERROR(SUMIFS('Base bordo CD'!M$2:M$875,'Base bordo CD'!D$2:D$875,A342,'Base bordo CD'!A$2:A$875,B342,'Base bordo CD'!L$2:L$875,"DESLOCAMENTO"),0)</f>
        <v>0</v>
      </c>
      <c r="H342" s="10">
        <f>IFERROR(SUMIFS('Base bordo CD'!M$2:M$875,'Base bordo CD'!D$2:D$875,A342,'Base bordo CD'!A$2:A$875,B342,'Base bordo CD'!L$2:L$875,"AGUARDANDO MANOBRA DE TRANSBORDO"),0)+IFERROR(SUMIFS('Base bordo CD'!M$2:M$875,'Base bordo CD'!D$2:D$875,A342,'Base bordo CD'!A$2:A$875,B342,'Base bordo CD'!L$2:L$875,"FALTA DE TRANSBORDO"),0)</f>
        <v>0</v>
      </c>
      <c r="I342" s="10">
        <f>IFERROR(SUMIFS('Base bordo CD'!M$2:M$875,'Base bordo CD'!D$2:D$875,A342,'Base bordo CD'!A$2:A$875,B342,'Base bordo CD'!L$2:L$875,"PARADA POR CONDICOES CLIMATICAS"),0)+IFERROR(SUMIFS('Base bordo CD'!M$2:M$875,'Base bordo CD'!D$2:D$875,A342,'Base bordo CD'!A$2:A$875,B342,'Base bordo CD'!L$2:L$875,"TEMPO INDETERMINADO"),0)</f>
        <v>24</v>
      </c>
      <c r="J342" s="10">
        <f>IFERROR(SUMIFS('Base bordo CD'!M$2:M$875,'Base bordo CD'!D$2:D$875,A342,'Base bordo CD'!A$2:A$875,B342,'Base bordo CD'!L$2:L$875,"LIMITAÇÃO INDÚSTRIA"),0)</f>
        <v>0</v>
      </c>
      <c r="K342" s="10">
        <f>IFERROR(SUMIFS('Base bordo CD'!M$2:M$875,'Base bordo CD'!D$2:D$875,A342,'Base bordo CD'!A$2:A$875,B342,'Base bordo CD'!L$2:L$875,"MAN CORRETIVA*"),0)+IFERROR(SUMIFS('Base bordo CD'!M$2:M$875,'Base bordo CD'!D$2:D$875,A342,'Base bordo CD'!A$2:A$875,B342,'Base bordo CD'!L$2:L$875,"AGUARDANDO MANUTENCAO*"),0)+IFERROR(SUMIFS('Base bordo CD'!M$2:M$875,'Base bordo CD'!D$2:D$875,A342,'Base bordo CD'!A$2:A$875,B342,'Base bordo CD'!L$2:L$875,"TROCA DE FAQUINHA"),0)+IFERROR(SUMIFS('Base bordo CD'!M$2:M$875,'Base bordo CD'!D$2:D$875,A342,'Base bordo CD'!A$2:A$875,B342,'Base bordo CD'!L$2:L$875,"LIMPEZA*"),0)</f>
        <v>0</v>
      </c>
      <c r="L342" s="10">
        <f>IFERROR(SUMIFS('Base bordo CD'!M$2:M$875,'Base bordo CD'!D$2:D$875,A342,'Base bordo CD'!A$2:A$875,B342,'Base bordo CD'!L$2:L$875,"PATIO - RESERVA"),0)</f>
        <v>0</v>
      </c>
      <c r="M342" s="10">
        <f>IFERROR(SUMIFS('Base bordo CD'!M$2:M$875,'Base bordo CD'!D$2:D$875,A342,'Base bordo CD'!A$2:A$875,B342,'Base bordo CD'!L$2:L$875,"SEM APONTAMENTO"),0)</f>
        <v>0</v>
      </c>
      <c r="N342" s="10">
        <f>IFERROR(SUMIFS('Base bordo CD'!M$2:M$875,'Base bordo CD'!D$2:D$875,A342,'Base bordo CD'!A$2:A$875,B342,'Base bordo CD'!L$2:L$875,"FALTA DE CAMINHÃO"),0)+IFERROR(SUMIFS('Base bordo CD'!M$2:M$875,'Base bordo CD'!D$2:D$875,A342,'Base bordo CD'!A$2:A$875,B342,'Base bordo CD'!L$2:L$875,"FALTA DE COMBUSTIVEL"),0)+IFERROR(SUMIFS('Base bordo CD'!M$2:M$875,'Base bordo CD'!D$2:D$875,A342,'Base bordo CD'!A$2:A$875,B342,'Base bordo CD'!L$2:L$875,"FALTA DE MOTORIST*"),0)</f>
        <v>0</v>
      </c>
      <c r="O342" s="10">
        <f t="shared" si="30"/>
        <v>0</v>
      </c>
      <c r="P342" s="10">
        <f>IFERROR(SUMIFS('Base bordo CD'!M$2:M$875,'Base bordo CD'!D$2:D$875,A342,'Base bordo CD'!A$2:A$875,B342),0)</f>
        <v>24</v>
      </c>
      <c r="Q342" s="10">
        <f>IFERROR(SUMIFS('Base bordo CD'!O$2:O$875,'Base bordo CD'!D$2:D$875,A342,'Base bordo CD'!A$2:A$875,B342,'Base bordo CD'!L$2:L$875,"CORTE DE CANA MECANIZADO"),0)</f>
        <v>0</v>
      </c>
      <c r="R342" s="10">
        <f>IFERROR(SUMIFS('Base bordo CD'!Q$2:Q$875,'Base bordo CD'!D$2:D$875,A342,'Base bordo CD'!A$2:A$875,B342,'Base bordo CD'!L$2:L$875,"CORTE DE CANA MECANIZADO"),0)</f>
        <v>0</v>
      </c>
      <c r="S342" s="30" t="str">
        <f t="shared" si="31"/>
        <v/>
      </c>
      <c r="T342" s="9">
        <f t="shared" si="32"/>
        <v>0</v>
      </c>
      <c r="U342" s="9">
        <f t="shared" si="33"/>
        <v>0</v>
      </c>
      <c r="V342" s="9">
        <f t="shared" si="34"/>
        <v>1</v>
      </c>
    </row>
    <row r="343" spans="1:22" hidden="1" x14ac:dyDescent="0.35">
      <c r="A343" s="52">
        <v>49591</v>
      </c>
      <c r="B343" s="31">
        <v>46122</v>
      </c>
      <c r="C343" s="7" t="s">
        <v>364</v>
      </c>
      <c r="D343" s="7">
        <v>352</v>
      </c>
      <c r="E343" s="10">
        <f>IFERROR(SUMIFS('Base bordo CD'!M$2:M$875,'Base bordo CD'!D$2:D$875,A343,'Base bordo CD'!A$2:A$875,B343,'Base bordo CD'!L$2:L$875,"CORTE DE CANA MECANIZADO"),0)</f>
        <v>0</v>
      </c>
      <c r="F343" s="10">
        <f>IFERROR(SUMIFS('Base bordo CD'!M$2:M$875,'Base bordo CD'!D$2:D$875,A343,'Base bordo CD'!A$2:A$875,B343,'Base bordo CD'!L$2:L$875,"MANOBRA"),0)</f>
        <v>0</v>
      </c>
      <c r="G343" s="10">
        <f>IFERROR(SUMIFS('Base bordo CD'!M$2:M$875,'Base bordo CD'!D$2:D$875,A343,'Base bordo CD'!A$2:A$875,B343,'Base bordo CD'!L$2:L$875,"DESLOCAMENTO"),0)</f>
        <v>0</v>
      </c>
      <c r="H343" s="10">
        <f>IFERROR(SUMIFS('Base bordo CD'!M$2:M$875,'Base bordo CD'!D$2:D$875,A343,'Base bordo CD'!A$2:A$875,B343,'Base bordo CD'!L$2:L$875,"AGUARDANDO MANOBRA DE TRANSBORDO"),0)+IFERROR(SUMIFS('Base bordo CD'!M$2:M$875,'Base bordo CD'!D$2:D$875,A343,'Base bordo CD'!A$2:A$875,B343,'Base bordo CD'!L$2:L$875,"FALTA DE TRANSBORDO"),0)</f>
        <v>0</v>
      </c>
      <c r="I343" s="10">
        <f>IFERROR(SUMIFS('Base bordo CD'!M$2:M$875,'Base bordo CD'!D$2:D$875,A343,'Base bordo CD'!A$2:A$875,B343,'Base bordo CD'!L$2:L$875,"PARADA POR CONDICOES CLIMATICAS"),0)+IFERROR(SUMIFS('Base bordo CD'!M$2:M$875,'Base bordo CD'!D$2:D$875,A343,'Base bordo CD'!A$2:A$875,B343,'Base bordo CD'!L$2:L$875,"TEMPO INDETERMINADO"),0)</f>
        <v>24</v>
      </c>
      <c r="J343" s="10">
        <f>IFERROR(SUMIFS('Base bordo CD'!M$2:M$875,'Base bordo CD'!D$2:D$875,A343,'Base bordo CD'!A$2:A$875,B343,'Base bordo CD'!L$2:L$875,"LIMITAÇÃO INDÚSTRIA"),0)</f>
        <v>0</v>
      </c>
      <c r="K343" s="10">
        <f>IFERROR(SUMIFS('Base bordo CD'!M$2:M$875,'Base bordo CD'!D$2:D$875,A343,'Base bordo CD'!A$2:A$875,B343,'Base bordo CD'!L$2:L$875,"MAN CORRETIVA*"),0)+IFERROR(SUMIFS('Base bordo CD'!M$2:M$875,'Base bordo CD'!D$2:D$875,A343,'Base bordo CD'!A$2:A$875,B343,'Base bordo CD'!L$2:L$875,"AGUARDANDO MANUTENCAO*"),0)+IFERROR(SUMIFS('Base bordo CD'!M$2:M$875,'Base bordo CD'!D$2:D$875,A343,'Base bordo CD'!A$2:A$875,B343,'Base bordo CD'!L$2:L$875,"TROCA DE FAQUINHA"),0)+IFERROR(SUMIFS('Base bordo CD'!M$2:M$875,'Base bordo CD'!D$2:D$875,A343,'Base bordo CD'!A$2:A$875,B343,'Base bordo CD'!L$2:L$875,"LIMPEZA*"),0)</f>
        <v>0</v>
      </c>
      <c r="L343" s="10">
        <f>IFERROR(SUMIFS('Base bordo CD'!M$2:M$875,'Base bordo CD'!D$2:D$875,A343,'Base bordo CD'!A$2:A$875,B343,'Base bordo CD'!L$2:L$875,"PATIO - RESERVA"),0)</f>
        <v>0</v>
      </c>
      <c r="M343" s="10">
        <f>IFERROR(SUMIFS('Base bordo CD'!M$2:M$875,'Base bordo CD'!D$2:D$875,A343,'Base bordo CD'!A$2:A$875,B343,'Base bordo CD'!L$2:L$875,"SEM APONTAMENTO"),0)</f>
        <v>0</v>
      </c>
      <c r="N343" s="10">
        <f>IFERROR(SUMIFS('Base bordo CD'!M$2:M$875,'Base bordo CD'!D$2:D$875,A343,'Base bordo CD'!A$2:A$875,B343,'Base bordo CD'!L$2:L$875,"FALTA DE CAMINHÃO"),0)+IFERROR(SUMIFS('Base bordo CD'!M$2:M$875,'Base bordo CD'!D$2:D$875,A343,'Base bordo CD'!A$2:A$875,B343,'Base bordo CD'!L$2:L$875,"FALTA DE COMBUSTIVEL"),0)+IFERROR(SUMIFS('Base bordo CD'!M$2:M$875,'Base bordo CD'!D$2:D$875,A343,'Base bordo CD'!A$2:A$875,B343,'Base bordo CD'!L$2:L$875,"FALTA DE MOTORIST*"),0)</f>
        <v>0</v>
      </c>
      <c r="O343" s="10">
        <f t="shared" si="30"/>
        <v>0</v>
      </c>
      <c r="P343" s="10">
        <f>IFERROR(SUMIFS('Base bordo CD'!M$2:M$875,'Base bordo CD'!D$2:D$875,A343,'Base bordo CD'!A$2:A$875,B343),0)</f>
        <v>24</v>
      </c>
      <c r="Q343" s="10">
        <f>IFERROR(SUMIFS('Base bordo CD'!O$2:O$875,'Base bordo CD'!D$2:D$875,A343,'Base bordo CD'!A$2:A$875,B343,'Base bordo CD'!L$2:L$875,"CORTE DE CANA MECANIZADO"),0)</f>
        <v>0</v>
      </c>
      <c r="R343" s="10">
        <f>IFERROR(SUMIFS('Base bordo CD'!Q$2:Q$875,'Base bordo CD'!D$2:D$875,A343,'Base bordo CD'!A$2:A$875,B343,'Base bordo CD'!L$2:L$875,"CORTE DE CANA MECANIZADO"),0)</f>
        <v>0</v>
      </c>
      <c r="S343" s="30" t="str">
        <f t="shared" si="31"/>
        <v/>
      </c>
      <c r="T343" s="9">
        <f t="shared" si="32"/>
        <v>0</v>
      </c>
      <c r="U343" s="9">
        <f t="shared" si="33"/>
        <v>0</v>
      </c>
      <c r="V343" s="9">
        <f t="shared" si="34"/>
        <v>1</v>
      </c>
    </row>
    <row r="344" spans="1:22" hidden="1" x14ac:dyDescent="0.35">
      <c r="A344" s="52">
        <v>49592</v>
      </c>
      <c r="B344" s="31">
        <v>46122</v>
      </c>
      <c r="C344" s="7" t="s">
        <v>364</v>
      </c>
      <c r="D344" s="7">
        <v>352</v>
      </c>
      <c r="E344" s="10">
        <f>IFERROR(SUMIFS('Base bordo CD'!M$2:M$875,'Base bordo CD'!D$2:D$875,A344,'Base bordo CD'!A$2:A$875,B344,'Base bordo CD'!L$2:L$875,"CORTE DE CANA MECANIZADO"),0)</f>
        <v>0</v>
      </c>
      <c r="F344" s="10">
        <f>IFERROR(SUMIFS('Base bordo CD'!M$2:M$875,'Base bordo CD'!D$2:D$875,A344,'Base bordo CD'!A$2:A$875,B344,'Base bordo CD'!L$2:L$875,"MANOBRA"),0)</f>
        <v>0</v>
      </c>
      <c r="G344" s="10">
        <f>IFERROR(SUMIFS('Base bordo CD'!M$2:M$875,'Base bordo CD'!D$2:D$875,A344,'Base bordo CD'!A$2:A$875,B344,'Base bordo CD'!L$2:L$875,"DESLOCAMENTO"),0)</f>
        <v>5.527777777777778E-2</v>
      </c>
      <c r="H344" s="10">
        <f>IFERROR(SUMIFS('Base bordo CD'!M$2:M$875,'Base bordo CD'!D$2:D$875,A344,'Base bordo CD'!A$2:A$875,B344,'Base bordo CD'!L$2:L$875,"AGUARDANDO MANOBRA DE TRANSBORDO"),0)+IFERROR(SUMIFS('Base bordo CD'!M$2:M$875,'Base bordo CD'!D$2:D$875,A344,'Base bordo CD'!A$2:A$875,B344,'Base bordo CD'!L$2:L$875,"FALTA DE TRANSBORDO"),0)</f>
        <v>0</v>
      </c>
      <c r="I344" s="10">
        <f>IFERROR(SUMIFS('Base bordo CD'!M$2:M$875,'Base bordo CD'!D$2:D$875,A344,'Base bordo CD'!A$2:A$875,B344,'Base bordo CD'!L$2:L$875,"PARADA POR CONDICOES CLIMATICAS"),0)+IFERROR(SUMIFS('Base bordo CD'!M$2:M$875,'Base bordo CD'!D$2:D$875,A344,'Base bordo CD'!A$2:A$875,B344,'Base bordo CD'!L$2:L$875,"TEMPO INDETERMINADO"),0)</f>
        <v>23.944722222222218</v>
      </c>
      <c r="J344" s="10">
        <f>IFERROR(SUMIFS('Base bordo CD'!M$2:M$875,'Base bordo CD'!D$2:D$875,A344,'Base bordo CD'!A$2:A$875,B344,'Base bordo CD'!L$2:L$875,"LIMITAÇÃO INDÚSTRIA"),0)</f>
        <v>0</v>
      </c>
      <c r="K344" s="10">
        <f>IFERROR(SUMIFS('Base bordo CD'!M$2:M$875,'Base bordo CD'!D$2:D$875,A344,'Base bordo CD'!A$2:A$875,B344,'Base bordo CD'!L$2:L$875,"MAN CORRETIVA*"),0)+IFERROR(SUMIFS('Base bordo CD'!M$2:M$875,'Base bordo CD'!D$2:D$875,A344,'Base bordo CD'!A$2:A$875,B344,'Base bordo CD'!L$2:L$875,"AGUARDANDO MANUTENCAO*"),0)+IFERROR(SUMIFS('Base bordo CD'!M$2:M$875,'Base bordo CD'!D$2:D$875,A344,'Base bordo CD'!A$2:A$875,B344,'Base bordo CD'!L$2:L$875,"TROCA DE FAQUINHA"),0)+IFERROR(SUMIFS('Base bordo CD'!M$2:M$875,'Base bordo CD'!D$2:D$875,A344,'Base bordo CD'!A$2:A$875,B344,'Base bordo CD'!L$2:L$875,"LIMPEZA*"),0)</f>
        <v>0</v>
      </c>
      <c r="L344" s="10">
        <f>IFERROR(SUMIFS('Base bordo CD'!M$2:M$875,'Base bordo CD'!D$2:D$875,A344,'Base bordo CD'!A$2:A$875,B344,'Base bordo CD'!L$2:L$875,"PATIO - RESERVA"),0)</f>
        <v>0</v>
      </c>
      <c r="M344" s="10">
        <f>IFERROR(SUMIFS('Base bordo CD'!M$2:M$875,'Base bordo CD'!D$2:D$875,A344,'Base bordo CD'!A$2:A$875,B344,'Base bordo CD'!L$2:L$875,"SEM APONTAMENTO"),0)</f>
        <v>0</v>
      </c>
      <c r="N344" s="10">
        <f>IFERROR(SUMIFS('Base bordo CD'!M$2:M$875,'Base bordo CD'!D$2:D$875,A344,'Base bordo CD'!A$2:A$875,B344,'Base bordo CD'!L$2:L$875,"FALTA DE CAMINHÃO"),0)+IFERROR(SUMIFS('Base bordo CD'!M$2:M$875,'Base bordo CD'!D$2:D$875,A344,'Base bordo CD'!A$2:A$875,B344,'Base bordo CD'!L$2:L$875,"FALTA DE COMBUSTIVEL"),0)+IFERROR(SUMIFS('Base bordo CD'!M$2:M$875,'Base bordo CD'!D$2:D$875,A344,'Base bordo CD'!A$2:A$875,B344,'Base bordo CD'!L$2:L$875,"FALTA DE MOTORIST*"),0)</f>
        <v>0</v>
      </c>
      <c r="O344" s="10">
        <f t="shared" si="30"/>
        <v>0</v>
      </c>
      <c r="P344" s="10">
        <f>IFERROR(SUMIFS('Base bordo CD'!M$2:M$875,'Base bordo CD'!D$2:D$875,A344,'Base bordo CD'!A$2:A$875,B344),0)</f>
        <v>23.999999999999996</v>
      </c>
      <c r="Q344" s="10">
        <f>IFERROR(SUMIFS('Base bordo CD'!O$2:O$875,'Base bordo CD'!D$2:D$875,A344,'Base bordo CD'!A$2:A$875,B344,'Base bordo CD'!L$2:L$875,"CORTE DE CANA MECANIZADO"),0)</f>
        <v>0</v>
      </c>
      <c r="R344" s="10">
        <f>IFERROR(SUMIFS('Base bordo CD'!Q$2:Q$875,'Base bordo CD'!D$2:D$875,A344,'Base bordo CD'!A$2:A$875,B344,'Base bordo CD'!L$2:L$875,"CORTE DE CANA MECANIZADO"),0)</f>
        <v>0</v>
      </c>
      <c r="S344" s="30" t="str">
        <f t="shared" si="31"/>
        <v/>
      </c>
      <c r="T344" s="9">
        <f t="shared" si="32"/>
        <v>0</v>
      </c>
      <c r="U344" s="9">
        <f t="shared" si="33"/>
        <v>0</v>
      </c>
      <c r="V344" s="9">
        <f t="shared" si="34"/>
        <v>0.99769675925925927</v>
      </c>
    </row>
    <row r="345" spans="1:22" hidden="1" x14ac:dyDescent="0.35">
      <c r="A345" s="52">
        <v>49592</v>
      </c>
      <c r="B345" s="31">
        <v>46122</v>
      </c>
      <c r="C345" s="7" t="s">
        <v>364</v>
      </c>
      <c r="D345" s="7">
        <v>352</v>
      </c>
      <c r="E345" s="10">
        <f>IFERROR(SUMIFS('Base bordo CD'!M$2:M$875,'Base bordo CD'!D$2:D$875,A345,'Base bordo CD'!A$2:A$875,B345,'Base bordo CD'!L$2:L$875,"CORTE DE CANA MECANIZADO"),0)</f>
        <v>0</v>
      </c>
      <c r="F345" s="10">
        <f>IFERROR(SUMIFS('Base bordo CD'!M$2:M$875,'Base bordo CD'!D$2:D$875,A345,'Base bordo CD'!A$2:A$875,B345,'Base bordo CD'!L$2:L$875,"MANOBRA"),0)</f>
        <v>0</v>
      </c>
      <c r="G345" s="10">
        <f>IFERROR(SUMIFS('Base bordo CD'!M$2:M$875,'Base bordo CD'!D$2:D$875,A345,'Base bordo CD'!A$2:A$875,B345,'Base bordo CD'!L$2:L$875,"DESLOCAMENTO"),0)</f>
        <v>5.527777777777778E-2</v>
      </c>
      <c r="H345" s="10">
        <f>IFERROR(SUMIFS('Base bordo CD'!M$2:M$875,'Base bordo CD'!D$2:D$875,A345,'Base bordo CD'!A$2:A$875,B345,'Base bordo CD'!L$2:L$875,"AGUARDANDO MANOBRA DE TRANSBORDO"),0)+IFERROR(SUMIFS('Base bordo CD'!M$2:M$875,'Base bordo CD'!D$2:D$875,A345,'Base bordo CD'!A$2:A$875,B345,'Base bordo CD'!L$2:L$875,"FALTA DE TRANSBORDO"),0)</f>
        <v>0</v>
      </c>
      <c r="I345" s="10">
        <f>IFERROR(SUMIFS('Base bordo CD'!M$2:M$875,'Base bordo CD'!D$2:D$875,A345,'Base bordo CD'!A$2:A$875,B345,'Base bordo CD'!L$2:L$875,"PARADA POR CONDICOES CLIMATICAS"),0)+IFERROR(SUMIFS('Base bordo CD'!M$2:M$875,'Base bordo CD'!D$2:D$875,A345,'Base bordo CD'!A$2:A$875,B345,'Base bordo CD'!L$2:L$875,"TEMPO INDETERMINADO"),0)</f>
        <v>23.944722222222218</v>
      </c>
      <c r="J345" s="10">
        <f>IFERROR(SUMIFS('Base bordo CD'!M$2:M$875,'Base bordo CD'!D$2:D$875,A345,'Base bordo CD'!A$2:A$875,B345,'Base bordo CD'!L$2:L$875,"LIMITAÇÃO INDÚSTRIA"),0)</f>
        <v>0</v>
      </c>
      <c r="K345" s="10">
        <f>IFERROR(SUMIFS('Base bordo CD'!M$2:M$875,'Base bordo CD'!D$2:D$875,A345,'Base bordo CD'!A$2:A$875,B345,'Base bordo CD'!L$2:L$875,"MAN CORRETIVA*"),0)+IFERROR(SUMIFS('Base bordo CD'!M$2:M$875,'Base bordo CD'!D$2:D$875,A345,'Base bordo CD'!A$2:A$875,B345,'Base bordo CD'!L$2:L$875,"AGUARDANDO MANUTENCAO*"),0)+IFERROR(SUMIFS('Base bordo CD'!M$2:M$875,'Base bordo CD'!D$2:D$875,A345,'Base bordo CD'!A$2:A$875,B345,'Base bordo CD'!L$2:L$875,"TROCA DE FAQUINHA"),0)+IFERROR(SUMIFS('Base bordo CD'!M$2:M$875,'Base bordo CD'!D$2:D$875,A345,'Base bordo CD'!A$2:A$875,B345,'Base bordo CD'!L$2:L$875,"LIMPEZA*"),0)</f>
        <v>0</v>
      </c>
      <c r="L345" s="10">
        <f>IFERROR(SUMIFS('Base bordo CD'!M$2:M$875,'Base bordo CD'!D$2:D$875,A345,'Base bordo CD'!A$2:A$875,B345,'Base bordo CD'!L$2:L$875,"PATIO - RESERVA"),0)</f>
        <v>0</v>
      </c>
      <c r="M345" s="10">
        <f>IFERROR(SUMIFS('Base bordo CD'!M$2:M$875,'Base bordo CD'!D$2:D$875,A345,'Base bordo CD'!A$2:A$875,B345,'Base bordo CD'!L$2:L$875,"SEM APONTAMENTO"),0)</f>
        <v>0</v>
      </c>
      <c r="N345" s="10">
        <f>IFERROR(SUMIFS('Base bordo CD'!M$2:M$875,'Base bordo CD'!D$2:D$875,A345,'Base bordo CD'!A$2:A$875,B345,'Base bordo CD'!L$2:L$875,"FALTA DE CAMINHÃO"),0)+IFERROR(SUMIFS('Base bordo CD'!M$2:M$875,'Base bordo CD'!D$2:D$875,A345,'Base bordo CD'!A$2:A$875,B345,'Base bordo CD'!L$2:L$875,"FALTA DE COMBUSTIVEL"),0)+IFERROR(SUMIFS('Base bordo CD'!M$2:M$875,'Base bordo CD'!D$2:D$875,A345,'Base bordo CD'!A$2:A$875,B345,'Base bordo CD'!L$2:L$875,"FALTA DE MOTORIST*"),0)</f>
        <v>0</v>
      </c>
      <c r="O345" s="10">
        <f t="shared" si="30"/>
        <v>0</v>
      </c>
      <c r="P345" s="10">
        <f>IFERROR(SUMIFS('Base bordo CD'!M$2:M$875,'Base bordo CD'!D$2:D$875,A345,'Base bordo CD'!A$2:A$875,B345),0)</f>
        <v>23.999999999999996</v>
      </c>
      <c r="Q345" s="10">
        <f>IFERROR(SUMIFS('Base bordo CD'!O$2:O$875,'Base bordo CD'!D$2:D$875,A345,'Base bordo CD'!A$2:A$875,B345,'Base bordo CD'!L$2:L$875,"CORTE DE CANA MECANIZADO"),0)</f>
        <v>0</v>
      </c>
      <c r="R345" s="10">
        <f>IFERROR(SUMIFS('Base bordo CD'!Q$2:Q$875,'Base bordo CD'!D$2:D$875,A345,'Base bordo CD'!A$2:A$875,B345,'Base bordo CD'!L$2:L$875,"CORTE DE CANA MECANIZADO"),0)</f>
        <v>0</v>
      </c>
      <c r="S345" s="30" t="str">
        <f t="shared" si="31"/>
        <v/>
      </c>
      <c r="T345" s="9">
        <f t="shared" si="32"/>
        <v>0</v>
      </c>
      <c r="U345" s="9">
        <f t="shared" si="33"/>
        <v>0</v>
      </c>
      <c r="V345" s="9">
        <f t="shared" si="34"/>
        <v>0.99769675925925927</v>
      </c>
    </row>
    <row r="346" spans="1:22" hidden="1" x14ac:dyDescent="0.35">
      <c r="A346" s="52">
        <v>49592</v>
      </c>
      <c r="B346" s="31">
        <v>46122</v>
      </c>
      <c r="C346" s="7" t="s">
        <v>364</v>
      </c>
      <c r="D346" s="7">
        <v>352</v>
      </c>
      <c r="E346" s="10">
        <f>IFERROR(SUMIFS('Base bordo CD'!M$2:M$875,'Base bordo CD'!D$2:D$875,A346,'Base bordo CD'!A$2:A$875,B346,'Base bordo CD'!L$2:L$875,"CORTE DE CANA MECANIZADO"),0)</f>
        <v>0</v>
      </c>
      <c r="F346" s="10">
        <f>IFERROR(SUMIFS('Base bordo CD'!M$2:M$875,'Base bordo CD'!D$2:D$875,A346,'Base bordo CD'!A$2:A$875,B346,'Base bordo CD'!L$2:L$875,"MANOBRA"),0)</f>
        <v>0</v>
      </c>
      <c r="G346" s="10">
        <f>IFERROR(SUMIFS('Base bordo CD'!M$2:M$875,'Base bordo CD'!D$2:D$875,A346,'Base bordo CD'!A$2:A$875,B346,'Base bordo CD'!L$2:L$875,"DESLOCAMENTO"),0)</f>
        <v>5.527777777777778E-2</v>
      </c>
      <c r="H346" s="10">
        <f>IFERROR(SUMIFS('Base bordo CD'!M$2:M$875,'Base bordo CD'!D$2:D$875,A346,'Base bordo CD'!A$2:A$875,B346,'Base bordo CD'!L$2:L$875,"AGUARDANDO MANOBRA DE TRANSBORDO"),0)+IFERROR(SUMIFS('Base bordo CD'!M$2:M$875,'Base bordo CD'!D$2:D$875,A346,'Base bordo CD'!A$2:A$875,B346,'Base bordo CD'!L$2:L$875,"FALTA DE TRANSBORDO"),0)</f>
        <v>0</v>
      </c>
      <c r="I346" s="10">
        <f>IFERROR(SUMIFS('Base bordo CD'!M$2:M$875,'Base bordo CD'!D$2:D$875,A346,'Base bordo CD'!A$2:A$875,B346,'Base bordo CD'!L$2:L$875,"PARADA POR CONDICOES CLIMATICAS"),0)+IFERROR(SUMIFS('Base bordo CD'!M$2:M$875,'Base bordo CD'!D$2:D$875,A346,'Base bordo CD'!A$2:A$875,B346,'Base bordo CD'!L$2:L$875,"TEMPO INDETERMINADO"),0)</f>
        <v>23.944722222222218</v>
      </c>
      <c r="J346" s="10">
        <f>IFERROR(SUMIFS('Base bordo CD'!M$2:M$875,'Base bordo CD'!D$2:D$875,A346,'Base bordo CD'!A$2:A$875,B346,'Base bordo CD'!L$2:L$875,"LIMITAÇÃO INDÚSTRIA"),0)</f>
        <v>0</v>
      </c>
      <c r="K346" s="10">
        <f>IFERROR(SUMIFS('Base bordo CD'!M$2:M$875,'Base bordo CD'!D$2:D$875,A346,'Base bordo CD'!A$2:A$875,B346,'Base bordo CD'!L$2:L$875,"MAN CORRETIVA*"),0)+IFERROR(SUMIFS('Base bordo CD'!M$2:M$875,'Base bordo CD'!D$2:D$875,A346,'Base bordo CD'!A$2:A$875,B346,'Base bordo CD'!L$2:L$875,"AGUARDANDO MANUTENCAO*"),0)+IFERROR(SUMIFS('Base bordo CD'!M$2:M$875,'Base bordo CD'!D$2:D$875,A346,'Base bordo CD'!A$2:A$875,B346,'Base bordo CD'!L$2:L$875,"TROCA DE FAQUINHA"),0)+IFERROR(SUMIFS('Base bordo CD'!M$2:M$875,'Base bordo CD'!D$2:D$875,A346,'Base bordo CD'!A$2:A$875,B346,'Base bordo CD'!L$2:L$875,"LIMPEZA*"),0)</f>
        <v>0</v>
      </c>
      <c r="L346" s="10">
        <f>IFERROR(SUMIFS('Base bordo CD'!M$2:M$875,'Base bordo CD'!D$2:D$875,A346,'Base bordo CD'!A$2:A$875,B346,'Base bordo CD'!L$2:L$875,"PATIO - RESERVA"),0)</f>
        <v>0</v>
      </c>
      <c r="M346" s="10">
        <f>IFERROR(SUMIFS('Base bordo CD'!M$2:M$875,'Base bordo CD'!D$2:D$875,A346,'Base bordo CD'!A$2:A$875,B346,'Base bordo CD'!L$2:L$875,"SEM APONTAMENTO"),0)</f>
        <v>0</v>
      </c>
      <c r="N346" s="10">
        <f>IFERROR(SUMIFS('Base bordo CD'!M$2:M$875,'Base bordo CD'!D$2:D$875,A346,'Base bordo CD'!A$2:A$875,B346,'Base bordo CD'!L$2:L$875,"FALTA DE CAMINHÃO"),0)+IFERROR(SUMIFS('Base bordo CD'!M$2:M$875,'Base bordo CD'!D$2:D$875,A346,'Base bordo CD'!A$2:A$875,B346,'Base bordo CD'!L$2:L$875,"FALTA DE COMBUSTIVEL"),0)+IFERROR(SUMIFS('Base bordo CD'!M$2:M$875,'Base bordo CD'!D$2:D$875,A346,'Base bordo CD'!A$2:A$875,B346,'Base bordo CD'!L$2:L$875,"FALTA DE MOTORIST*"),0)</f>
        <v>0</v>
      </c>
      <c r="O346" s="10">
        <f t="shared" si="30"/>
        <v>0</v>
      </c>
      <c r="P346" s="10">
        <f>IFERROR(SUMIFS('Base bordo CD'!M$2:M$875,'Base bordo CD'!D$2:D$875,A346,'Base bordo CD'!A$2:A$875,B346),0)</f>
        <v>23.999999999999996</v>
      </c>
      <c r="Q346" s="10">
        <f>IFERROR(SUMIFS('Base bordo CD'!O$2:O$875,'Base bordo CD'!D$2:D$875,A346,'Base bordo CD'!A$2:A$875,B346,'Base bordo CD'!L$2:L$875,"CORTE DE CANA MECANIZADO"),0)</f>
        <v>0</v>
      </c>
      <c r="R346" s="10">
        <f>IFERROR(SUMIFS('Base bordo CD'!Q$2:Q$875,'Base bordo CD'!D$2:D$875,A346,'Base bordo CD'!A$2:A$875,B346,'Base bordo CD'!L$2:L$875,"CORTE DE CANA MECANIZADO"),0)</f>
        <v>0</v>
      </c>
      <c r="S346" s="30" t="str">
        <f t="shared" si="31"/>
        <v/>
      </c>
      <c r="T346" s="9">
        <f t="shared" si="32"/>
        <v>0</v>
      </c>
      <c r="U346" s="9">
        <f t="shared" si="33"/>
        <v>0</v>
      </c>
      <c r="V346" s="9">
        <f t="shared" si="34"/>
        <v>0.99769675925925927</v>
      </c>
    </row>
    <row r="347" spans="1:22" hidden="1" x14ac:dyDescent="0.35">
      <c r="A347" s="52">
        <v>49592</v>
      </c>
      <c r="B347" s="31">
        <v>46122</v>
      </c>
      <c r="C347" s="7" t="s">
        <v>364</v>
      </c>
      <c r="D347" s="7">
        <v>352</v>
      </c>
      <c r="E347" s="10">
        <f>IFERROR(SUMIFS('Base bordo CD'!M$2:M$875,'Base bordo CD'!D$2:D$875,A347,'Base bordo CD'!A$2:A$875,B347,'Base bordo CD'!L$2:L$875,"CORTE DE CANA MECANIZADO"),0)</f>
        <v>0</v>
      </c>
      <c r="F347" s="10">
        <f>IFERROR(SUMIFS('Base bordo CD'!M$2:M$875,'Base bordo CD'!D$2:D$875,A347,'Base bordo CD'!A$2:A$875,B347,'Base bordo CD'!L$2:L$875,"MANOBRA"),0)</f>
        <v>0</v>
      </c>
      <c r="G347" s="10">
        <f>IFERROR(SUMIFS('Base bordo CD'!M$2:M$875,'Base bordo CD'!D$2:D$875,A347,'Base bordo CD'!A$2:A$875,B347,'Base bordo CD'!L$2:L$875,"DESLOCAMENTO"),0)</f>
        <v>5.527777777777778E-2</v>
      </c>
      <c r="H347" s="10">
        <f>IFERROR(SUMIFS('Base bordo CD'!M$2:M$875,'Base bordo CD'!D$2:D$875,A347,'Base bordo CD'!A$2:A$875,B347,'Base bordo CD'!L$2:L$875,"AGUARDANDO MANOBRA DE TRANSBORDO"),0)+IFERROR(SUMIFS('Base bordo CD'!M$2:M$875,'Base bordo CD'!D$2:D$875,A347,'Base bordo CD'!A$2:A$875,B347,'Base bordo CD'!L$2:L$875,"FALTA DE TRANSBORDO"),0)</f>
        <v>0</v>
      </c>
      <c r="I347" s="10">
        <f>IFERROR(SUMIFS('Base bordo CD'!M$2:M$875,'Base bordo CD'!D$2:D$875,A347,'Base bordo CD'!A$2:A$875,B347,'Base bordo CD'!L$2:L$875,"PARADA POR CONDICOES CLIMATICAS"),0)+IFERROR(SUMIFS('Base bordo CD'!M$2:M$875,'Base bordo CD'!D$2:D$875,A347,'Base bordo CD'!A$2:A$875,B347,'Base bordo CD'!L$2:L$875,"TEMPO INDETERMINADO"),0)</f>
        <v>23.944722222222218</v>
      </c>
      <c r="J347" s="10">
        <f>IFERROR(SUMIFS('Base bordo CD'!M$2:M$875,'Base bordo CD'!D$2:D$875,A347,'Base bordo CD'!A$2:A$875,B347,'Base bordo CD'!L$2:L$875,"LIMITAÇÃO INDÚSTRIA"),0)</f>
        <v>0</v>
      </c>
      <c r="K347" s="10">
        <f>IFERROR(SUMIFS('Base bordo CD'!M$2:M$875,'Base bordo CD'!D$2:D$875,A347,'Base bordo CD'!A$2:A$875,B347,'Base bordo CD'!L$2:L$875,"MAN CORRETIVA*"),0)+IFERROR(SUMIFS('Base bordo CD'!M$2:M$875,'Base bordo CD'!D$2:D$875,A347,'Base bordo CD'!A$2:A$875,B347,'Base bordo CD'!L$2:L$875,"AGUARDANDO MANUTENCAO*"),0)+IFERROR(SUMIFS('Base bordo CD'!M$2:M$875,'Base bordo CD'!D$2:D$875,A347,'Base bordo CD'!A$2:A$875,B347,'Base bordo CD'!L$2:L$875,"TROCA DE FAQUINHA"),0)+IFERROR(SUMIFS('Base bordo CD'!M$2:M$875,'Base bordo CD'!D$2:D$875,A347,'Base bordo CD'!A$2:A$875,B347,'Base bordo CD'!L$2:L$875,"LIMPEZA*"),0)</f>
        <v>0</v>
      </c>
      <c r="L347" s="10">
        <f>IFERROR(SUMIFS('Base bordo CD'!M$2:M$875,'Base bordo CD'!D$2:D$875,A347,'Base bordo CD'!A$2:A$875,B347,'Base bordo CD'!L$2:L$875,"PATIO - RESERVA"),0)</f>
        <v>0</v>
      </c>
      <c r="M347" s="10">
        <f>IFERROR(SUMIFS('Base bordo CD'!M$2:M$875,'Base bordo CD'!D$2:D$875,A347,'Base bordo CD'!A$2:A$875,B347,'Base bordo CD'!L$2:L$875,"SEM APONTAMENTO"),0)</f>
        <v>0</v>
      </c>
      <c r="N347" s="10">
        <f>IFERROR(SUMIFS('Base bordo CD'!M$2:M$875,'Base bordo CD'!D$2:D$875,A347,'Base bordo CD'!A$2:A$875,B347,'Base bordo CD'!L$2:L$875,"FALTA DE CAMINHÃO"),0)+IFERROR(SUMIFS('Base bordo CD'!M$2:M$875,'Base bordo CD'!D$2:D$875,A347,'Base bordo CD'!A$2:A$875,B347,'Base bordo CD'!L$2:L$875,"FALTA DE COMBUSTIVEL"),0)+IFERROR(SUMIFS('Base bordo CD'!M$2:M$875,'Base bordo CD'!D$2:D$875,A347,'Base bordo CD'!A$2:A$875,B347,'Base bordo CD'!L$2:L$875,"FALTA DE MOTORIST*"),0)</f>
        <v>0</v>
      </c>
      <c r="O347" s="10">
        <f t="shared" si="30"/>
        <v>0</v>
      </c>
      <c r="P347" s="10">
        <f>IFERROR(SUMIFS('Base bordo CD'!M$2:M$875,'Base bordo CD'!D$2:D$875,A347,'Base bordo CD'!A$2:A$875,B347),0)</f>
        <v>23.999999999999996</v>
      </c>
      <c r="Q347" s="10">
        <f>IFERROR(SUMIFS('Base bordo CD'!O$2:O$875,'Base bordo CD'!D$2:D$875,A347,'Base bordo CD'!A$2:A$875,B347,'Base bordo CD'!L$2:L$875,"CORTE DE CANA MECANIZADO"),0)</f>
        <v>0</v>
      </c>
      <c r="R347" s="10">
        <f>IFERROR(SUMIFS('Base bordo CD'!Q$2:Q$875,'Base bordo CD'!D$2:D$875,A347,'Base bordo CD'!A$2:A$875,B347,'Base bordo CD'!L$2:L$875,"CORTE DE CANA MECANIZADO"),0)</f>
        <v>0</v>
      </c>
      <c r="S347" s="30" t="str">
        <f t="shared" si="31"/>
        <v/>
      </c>
      <c r="T347" s="9">
        <f t="shared" si="32"/>
        <v>0</v>
      </c>
      <c r="U347" s="9">
        <f t="shared" si="33"/>
        <v>0</v>
      </c>
      <c r="V347" s="9">
        <f t="shared" si="34"/>
        <v>0.99769675925925927</v>
      </c>
    </row>
    <row r="348" spans="1:22" hidden="1" x14ac:dyDescent="0.35">
      <c r="A348" s="52">
        <v>49593</v>
      </c>
      <c r="B348" s="31">
        <v>46122</v>
      </c>
      <c r="C348" s="7" t="s">
        <v>321</v>
      </c>
      <c r="D348" s="7">
        <v>351</v>
      </c>
      <c r="E348" s="10">
        <f>IFERROR(SUMIFS('Base bordo CD'!M$2:M$875,'Base bordo CD'!D$2:D$875,A348,'Base bordo CD'!A$2:A$875,B348,'Base bordo CD'!L$2:L$875,"CORTE DE CANA MECANIZADO"),0)</f>
        <v>0</v>
      </c>
      <c r="F348" s="10">
        <f>IFERROR(SUMIFS('Base bordo CD'!M$2:M$875,'Base bordo CD'!D$2:D$875,A348,'Base bordo CD'!A$2:A$875,B348,'Base bordo CD'!L$2:L$875,"MANOBRA"),0)</f>
        <v>0</v>
      </c>
      <c r="G348" s="10">
        <f>IFERROR(SUMIFS('Base bordo CD'!M$2:M$875,'Base bordo CD'!D$2:D$875,A348,'Base bordo CD'!A$2:A$875,B348,'Base bordo CD'!L$2:L$875,"DESLOCAMENTO"),0)</f>
        <v>0</v>
      </c>
      <c r="H348" s="10">
        <f>IFERROR(SUMIFS('Base bordo CD'!M$2:M$875,'Base bordo CD'!D$2:D$875,A348,'Base bordo CD'!A$2:A$875,B348,'Base bordo CD'!L$2:L$875,"AGUARDANDO MANOBRA DE TRANSBORDO"),0)+IFERROR(SUMIFS('Base bordo CD'!M$2:M$875,'Base bordo CD'!D$2:D$875,A348,'Base bordo CD'!A$2:A$875,B348,'Base bordo CD'!L$2:L$875,"FALTA DE TRANSBORDO"),0)</f>
        <v>0</v>
      </c>
      <c r="I348" s="10">
        <f>IFERROR(SUMIFS('Base bordo CD'!M$2:M$875,'Base bordo CD'!D$2:D$875,A348,'Base bordo CD'!A$2:A$875,B348,'Base bordo CD'!L$2:L$875,"PARADA POR CONDICOES CLIMATICAS"),0)+IFERROR(SUMIFS('Base bordo CD'!M$2:M$875,'Base bordo CD'!D$2:D$875,A348,'Base bordo CD'!A$2:A$875,B348,'Base bordo CD'!L$2:L$875,"TEMPO INDETERMINADO"),0)</f>
        <v>24</v>
      </c>
      <c r="J348" s="10">
        <f>IFERROR(SUMIFS('Base bordo CD'!M$2:M$875,'Base bordo CD'!D$2:D$875,A348,'Base bordo CD'!A$2:A$875,B348,'Base bordo CD'!L$2:L$875,"LIMITAÇÃO INDÚSTRIA"),0)</f>
        <v>0</v>
      </c>
      <c r="K348" s="10">
        <f>IFERROR(SUMIFS('Base bordo CD'!M$2:M$875,'Base bordo CD'!D$2:D$875,A348,'Base bordo CD'!A$2:A$875,B348,'Base bordo CD'!L$2:L$875,"MAN CORRETIVA*"),0)+IFERROR(SUMIFS('Base bordo CD'!M$2:M$875,'Base bordo CD'!D$2:D$875,A348,'Base bordo CD'!A$2:A$875,B348,'Base bordo CD'!L$2:L$875,"AGUARDANDO MANUTENCAO*"),0)+IFERROR(SUMIFS('Base bordo CD'!M$2:M$875,'Base bordo CD'!D$2:D$875,A348,'Base bordo CD'!A$2:A$875,B348,'Base bordo CD'!L$2:L$875,"TROCA DE FAQUINHA"),0)+IFERROR(SUMIFS('Base bordo CD'!M$2:M$875,'Base bordo CD'!D$2:D$875,A348,'Base bordo CD'!A$2:A$875,B348,'Base bordo CD'!L$2:L$875,"LIMPEZA*"),0)</f>
        <v>0</v>
      </c>
      <c r="L348" s="10">
        <f>IFERROR(SUMIFS('Base bordo CD'!M$2:M$875,'Base bordo CD'!D$2:D$875,A348,'Base bordo CD'!A$2:A$875,B348,'Base bordo CD'!L$2:L$875,"PATIO - RESERVA"),0)</f>
        <v>0</v>
      </c>
      <c r="M348" s="10">
        <f>IFERROR(SUMIFS('Base bordo CD'!M$2:M$875,'Base bordo CD'!D$2:D$875,A348,'Base bordo CD'!A$2:A$875,B348,'Base bordo CD'!L$2:L$875,"SEM APONTAMENTO"),0)</f>
        <v>0</v>
      </c>
      <c r="N348" s="10">
        <f>IFERROR(SUMIFS('Base bordo CD'!M$2:M$875,'Base bordo CD'!D$2:D$875,A348,'Base bordo CD'!A$2:A$875,B348,'Base bordo CD'!L$2:L$875,"FALTA DE CAMINHÃO"),0)+IFERROR(SUMIFS('Base bordo CD'!M$2:M$875,'Base bordo CD'!D$2:D$875,A348,'Base bordo CD'!A$2:A$875,B348,'Base bordo CD'!L$2:L$875,"FALTA DE COMBUSTIVEL"),0)+IFERROR(SUMIFS('Base bordo CD'!M$2:M$875,'Base bordo CD'!D$2:D$875,A348,'Base bordo CD'!A$2:A$875,B348,'Base bordo CD'!L$2:L$875,"FALTA DE MOTORIST*"),0)</f>
        <v>0</v>
      </c>
      <c r="O348" s="10">
        <f t="shared" si="30"/>
        <v>0</v>
      </c>
      <c r="P348" s="10">
        <f>IFERROR(SUMIFS('Base bordo CD'!M$2:M$875,'Base bordo CD'!D$2:D$875,A348,'Base bordo CD'!A$2:A$875,B348),0)</f>
        <v>24</v>
      </c>
      <c r="Q348" s="10">
        <f>IFERROR(SUMIFS('Base bordo CD'!O$2:O$875,'Base bordo CD'!D$2:D$875,A348,'Base bordo CD'!A$2:A$875,B348,'Base bordo CD'!L$2:L$875,"CORTE DE CANA MECANIZADO"),0)</f>
        <v>0</v>
      </c>
      <c r="R348" s="10">
        <f>IFERROR(SUMIFS('Base bordo CD'!Q$2:Q$875,'Base bordo CD'!D$2:D$875,A348,'Base bordo CD'!A$2:A$875,B348,'Base bordo CD'!L$2:L$875,"CORTE DE CANA MECANIZADO"),0)</f>
        <v>0</v>
      </c>
      <c r="S348" s="30" t="str">
        <f t="shared" si="31"/>
        <v/>
      </c>
      <c r="T348" s="9">
        <f t="shared" si="32"/>
        <v>0</v>
      </c>
      <c r="U348" s="9">
        <f t="shared" si="33"/>
        <v>0</v>
      </c>
      <c r="V348" s="9">
        <f t="shared" si="34"/>
        <v>1</v>
      </c>
    </row>
    <row r="349" spans="1:22" hidden="1" x14ac:dyDescent="0.35">
      <c r="A349" s="52">
        <v>49593</v>
      </c>
      <c r="B349" s="31">
        <v>46122</v>
      </c>
      <c r="C349" s="7" t="s">
        <v>321</v>
      </c>
      <c r="D349" s="7">
        <v>351</v>
      </c>
      <c r="E349" s="10">
        <f>IFERROR(SUMIFS('Base bordo CD'!M$2:M$875,'Base bordo CD'!D$2:D$875,A349,'Base bordo CD'!A$2:A$875,B349,'Base bordo CD'!L$2:L$875,"CORTE DE CANA MECANIZADO"),0)</f>
        <v>0</v>
      </c>
      <c r="F349" s="10">
        <f>IFERROR(SUMIFS('Base bordo CD'!M$2:M$875,'Base bordo CD'!D$2:D$875,A349,'Base bordo CD'!A$2:A$875,B349,'Base bordo CD'!L$2:L$875,"MANOBRA"),0)</f>
        <v>0</v>
      </c>
      <c r="G349" s="10">
        <f>IFERROR(SUMIFS('Base bordo CD'!M$2:M$875,'Base bordo CD'!D$2:D$875,A349,'Base bordo CD'!A$2:A$875,B349,'Base bordo CD'!L$2:L$875,"DESLOCAMENTO"),0)</f>
        <v>0</v>
      </c>
      <c r="H349" s="10">
        <f>IFERROR(SUMIFS('Base bordo CD'!M$2:M$875,'Base bordo CD'!D$2:D$875,A349,'Base bordo CD'!A$2:A$875,B349,'Base bordo CD'!L$2:L$875,"AGUARDANDO MANOBRA DE TRANSBORDO"),0)+IFERROR(SUMIFS('Base bordo CD'!M$2:M$875,'Base bordo CD'!D$2:D$875,A349,'Base bordo CD'!A$2:A$875,B349,'Base bordo CD'!L$2:L$875,"FALTA DE TRANSBORDO"),0)</f>
        <v>0</v>
      </c>
      <c r="I349" s="10">
        <f>IFERROR(SUMIFS('Base bordo CD'!M$2:M$875,'Base bordo CD'!D$2:D$875,A349,'Base bordo CD'!A$2:A$875,B349,'Base bordo CD'!L$2:L$875,"PARADA POR CONDICOES CLIMATICAS"),0)+IFERROR(SUMIFS('Base bordo CD'!M$2:M$875,'Base bordo CD'!D$2:D$875,A349,'Base bordo CD'!A$2:A$875,B349,'Base bordo CD'!L$2:L$875,"TEMPO INDETERMINADO"),0)</f>
        <v>24</v>
      </c>
      <c r="J349" s="10">
        <f>IFERROR(SUMIFS('Base bordo CD'!M$2:M$875,'Base bordo CD'!D$2:D$875,A349,'Base bordo CD'!A$2:A$875,B349,'Base bordo CD'!L$2:L$875,"LIMITAÇÃO INDÚSTRIA"),0)</f>
        <v>0</v>
      </c>
      <c r="K349" s="10">
        <f>IFERROR(SUMIFS('Base bordo CD'!M$2:M$875,'Base bordo CD'!D$2:D$875,A349,'Base bordo CD'!A$2:A$875,B349,'Base bordo CD'!L$2:L$875,"MAN CORRETIVA*"),0)+IFERROR(SUMIFS('Base bordo CD'!M$2:M$875,'Base bordo CD'!D$2:D$875,A349,'Base bordo CD'!A$2:A$875,B349,'Base bordo CD'!L$2:L$875,"AGUARDANDO MANUTENCAO*"),0)+IFERROR(SUMIFS('Base bordo CD'!M$2:M$875,'Base bordo CD'!D$2:D$875,A349,'Base bordo CD'!A$2:A$875,B349,'Base bordo CD'!L$2:L$875,"TROCA DE FAQUINHA"),0)+IFERROR(SUMIFS('Base bordo CD'!M$2:M$875,'Base bordo CD'!D$2:D$875,A349,'Base bordo CD'!A$2:A$875,B349,'Base bordo CD'!L$2:L$875,"LIMPEZA*"),0)</f>
        <v>0</v>
      </c>
      <c r="L349" s="10">
        <f>IFERROR(SUMIFS('Base bordo CD'!M$2:M$875,'Base bordo CD'!D$2:D$875,A349,'Base bordo CD'!A$2:A$875,B349,'Base bordo CD'!L$2:L$875,"PATIO - RESERVA"),0)</f>
        <v>0</v>
      </c>
      <c r="M349" s="10">
        <f>IFERROR(SUMIFS('Base bordo CD'!M$2:M$875,'Base bordo CD'!D$2:D$875,A349,'Base bordo CD'!A$2:A$875,B349,'Base bordo CD'!L$2:L$875,"SEM APONTAMENTO"),0)</f>
        <v>0</v>
      </c>
      <c r="N349" s="10">
        <f>IFERROR(SUMIFS('Base bordo CD'!M$2:M$875,'Base bordo CD'!D$2:D$875,A349,'Base bordo CD'!A$2:A$875,B349,'Base bordo CD'!L$2:L$875,"FALTA DE CAMINHÃO"),0)+IFERROR(SUMIFS('Base bordo CD'!M$2:M$875,'Base bordo CD'!D$2:D$875,A349,'Base bordo CD'!A$2:A$875,B349,'Base bordo CD'!L$2:L$875,"FALTA DE COMBUSTIVEL"),0)+IFERROR(SUMIFS('Base bordo CD'!M$2:M$875,'Base bordo CD'!D$2:D$875,A349,'Base bordo CD'!A$2:A$875,B349,'Base bordo CD'!L$2:L$875,"FALTA DE MOTORIST*"),0)</f>
        <v>0</v>
      </c>
      <c r="O349" s="10">
        <f t="shared" si="30"/>
        <v>0</v>
      </c>
      <c r="P349" s="10">
        <f>IFERROR(SUMIFS('Base bordo CD'!M$2:M$875,'Base bordo CD'!D$2:D$875,A349,'Base bordo CD'!A$2:A$875,B349),0)</f>
        <v>24</v>
      </c>
      <c r="Q349" s="10">
        <f>IFERROR(SUMIFS('Base bordo CD'!O$2:O$875,'Base bordo CD'!D$2:D$875,A349,'Base bordo CD'!A$2:A$875,B349,'Base bordo CD'!L$2:L$875,"CORTE DE CANA MECANIZADO"),0)</f>
        <v>0</v>
      </c>
      <c r="R349" s="10">
        <f>IFERROR(SUMIFS('Base bordo CD'!Q$2:Q$875,'Base bordo CD'!D$2:D$875,A349,'Base bordo CD'!A$2:A$875,B349,'Base bordo CD'!L$2:L$875,"CORTE DE CANA MECANIZADO"),0)</f>
        <v>0</v>
      </c>
      <c r="S349" s="30" t="str">
        <f t="shared" si="31"/>
        <v/>
      </c>
      <c r="T349" s="9">
        <f t="shared" si="32"/>
        <v>0</v>
      </c>
      <c r="U349" s="9">
        <f t="shared" si="33"/>
        <v>0</v>
      </c>
      <c r="V349" s="9">
        <f t="shared" si="34"/>
        <v>1</v>
      </c>
    </row>
    <row r="350" spans="1:22" hidden="1" x14ac:dyDescent="0.35">
      <c r="A350" s="52">
        <v>49593</v>
      </c>
      <c r="B350" s="31">
        <v>46122</v>
      </c>
      <c r="C350" s="7" t="s">
        <v>321</v>
      </c>
      <c r="D350" s="7">
        <v>351</v>
      </c>
      <c r="E350" s="10">
        <f>IFERROR(SUMIFS('Base bordo CD'!M$2:M$875,'Base bordo CD'!D$2:D$875,A350,'Base bordo CD'!A$2:A$875,B350,'Base bordo CD'!L$2:L$875,"CORTE DE CANA MECANIZADO"),0)</f>
        <v>0</v>
      </c>
      <c r="F350" s="10">
        <f>IFERROR(SUMIFS('Base bordo CD'!M$2:M$875,'Base bordo CD'!D$2:D$875,A350,'Base bordo CD'!A$2:A$875,B350,'Base bordo CD'!L$2:L$875,"MANOBRA"),0)</f>
        <v>0</v>
      </c>
      <c r="G350" s="10">
        <f>IFERROR(SUMIFS('Base bordo CD'!M$2:M$875,'Base bordo CD'!D$2:D$875,A350,'Base bordo CD'!A$2:A$875,B350,'Base bordo CD'!L$2:L$875,"DESLOCAMENTO"),0)</f>
        <v>0</v>
      </c>
      <c r="H350" s="10">
        <f>IFERROR(SUMIFS('Base bordo CD'!M$2:M$875,'Base bordo CD'!D$2:D$875,A350,'Base bordo CD'!A$2:A$875,B350,'Base bordo CD'!L$2:L$875,"AGUARDANDO MANOBRA DE TRANSBORDO"),0)+IFERROR(SUMIFS('Base bordo CD'!M$2:M$875,'Base bordo CD'!D$2:D$875,A350,'Base bordo CD'!A$2:A$875,B350,'Base bordo CD'!L$2:L$875,"FALTA DE TRANSBORDO"),0)</f>
        <v>0</v>
      </c>
      <c r="I350" s="10">
        <f>IFERROR(SUMIFS('Base bordo CD'!M$2:M$875,'Base bordo CD'!D$2:D$875,A350,'Base bordo CD'!A$2:A$875,B350,'Base bordo CD'!L$2:L$875,"PARADA POR CONDICOES CLIMATICAS"),0)+IFERROR(SUMIFS('Base bordo CD'!M$2:M$875,'Base bordo CD'!D$2:D$875,A350,'Base bordo CD'!A$2:A$875,B350,'Base bordo CD'!L$2:L$875,"TEMPO INDETERMINADO"),0)</f>
        <v>24</v>
      </c>
      <c r="J350" s="10">
        <f>IFERROR(SUMIFS('Base bordo CD'!M$2:M$875,'Base bordo CD'!D$2:D$875,A350,'Base bordo CD'!A$2:A$875,B350,'Base bordo CD'!L$2:L$875,"LIMITAÇÃO INDÚSTRIA"),0)</f>
        <v>0</v>
      </c>
      <c r="K350" s="10">
        <f>IFERROR(SUMIFS('Base bordo CD'!M$2:M$875,'Base bordo CD'!D$2:D$875,A350,'Base bordo CD'!A$2:A$875,B350,'Base bordo CD'!L$2:L$875,"MAN CORRETIVA*"),0)+IFERROR(SUMIFS('Base bordo CD'!M$2:M$875,'Base bordo CD'!D$2:D$875,A350,'Base bordo CD'!A$2:A$875,B350,'Base bordo CD'!L$2:L$875,"AGUARDANDO MANUTENCAO*"),0)+IFERROR(SUMIFS('Base bordo CD'!M$2:M$875,'Base bordo CD'!D$2:D$875,A350,'Base bordo CD'!A$2:A$875,B350,'Base bordo CD'!L$2:L$875,"TROCA DE FAQUINHA"),0)+IFERROR(SUMIFS('Base bordo CD'!M$2:M$875,'Base bordo CD'!D$2:D$875,A350,'Base bordo CD'!A$2:A$875,B350,'Base bordo CD'!L$2:L$875,"LIMPEZA*"),0)</f>
        <v>0</v>
      </c>
      <c r="L350" s="10">
        <f>IFERROR(SUMIFS('Base bordo CD'!M$2:M$875,'Base bordo CD'!D$2:D$875,A350,'Base bordo CD'!A$2:A$875,B350,'Base bordo CD'!L$2:L$875,"PATIO - RESERVA"),0)</f>
        <v>0</v>
      </c>
      <c r="M350" s="10">
        <f>IFERROR(SUMIFS('Base bordo CD'!M$2:M$875,'Base bordo CD'!D$2:D$875,A350,'Base bordo CD'!A$2:A$875,B350,'Base bordo CD'!L$2:L$875,"SEM APONTAMENTO"),0)</f>
        <v>0</v>
      </c>
      <c r="N350" s="10">
        <f>IFERROR(SUMIFS('Base bordo CD'!M$2:M$875,'Base bordo CD'!D$2:D$875,A350,'Base bordo CD'!A$2:A$875,B350,'Base bordo CD'!L$2:L$875,"FALTA DE CAMINHÃO"),0)+IFERROR(SUMIFS('Base bordo CD'!M$2:M$875,'Base bordo CD'!D$2:D$875,A350,'Base bordo CD'!A$2:A$875,B350,'Base bordo CD'!L$2:L$875,"FALTA DE COMBUSTIVEL"),0)+IFERROR(SUMIFS('Base bordo CD'!M$2:M$875,'Base bordo CD'!D$2:D$875,A350,'Base bordo CD'!A$2:A$875,B350,'Base bordo CD'!L$2:L$875,"FALTA DE MOTORIST*"),0)</f>
        <v>0</v>
      </c>
      <c r="O350" s="10">
        <f t="shared" si="30"/>
        <v>0</v>
      </c>
      <c r="P350" s="10">
        <f>IFERROR(SUMIFS('Base bordo CD'!M$2:M$875,'Base bordo CD'!D$2:D$875,A350,'Base bordo CD'!A$2:A$875,B350),0)</f>
        <v>24</v>
      </c>
      <c r="Q350" s="10">
        <f>IFERROR(SUMIFS('Base bordo CD'!O$2:O$875,'Base bordo CD'!D$2:D$875,A350,'Base bordo CD'!A$2:A$875,B350,'Base bordo CD'!L$2:L$875,"CORTE DE CANA MECANIZADO"),0)</f>
        <v>0</v>
      </c>
      <c r="R350" s="10">
        <f>IFERROR(SUMIFS('Base bordo CD'!Q$2:Q$875,'Base bordo CD'!D$2:D$875,A350,'Base bordo CD'!A$2:A$875,B350,'Base bordo CD'!L$2:L$875,"CORTE DE CANA MECANIZADO"),0)</f>
        <v>0</v>
      </c>
      <c r="S350" s="30" t="str">
        <f t="shared" si="31"/>
        <v/>
      </c>
      <c r="T350" s="9">
        <f t="shared" si="32"/>
        <v>0</v>
      </c>
      <c r="U350" s="9">
        <f t="shared" si="33"/>
        <v>0</v>
      </c>
      <c r="V350" s="9">
        <f t="shared" si="34"/>
        <v>1</v>
      </c>
    </row>
    <row r="351" spans="1:22" x14ac:dyDescent="0.35">
      <c r="A351" s="52">
        <v>49595</v>
      </c>
      <c r="B351" s="31">
        <v>46122</v>
      </c>
      <c r="C351" s="7" t="s">
        <v>337</v>
      </c>
      <c r="D351" s="7">
        <v>353</v>
      </c>
      <c r="E351" s="10">
        <f>IFERROR(SUMIFS('Base bordo CD'!M$2:M$875,'Base bordo CD'!D$2:D$875,A351,'Base bordo CD'!A$2:A$875,B351,'Base bordo CD'!L$2:L$875,"CORTE DE CANA MECANIZADO"),0)</f>
        <v>0</v>
      </c>
      <c r="F351" s="10">
        <f>IFERROR(SUMIFS('Base bordo CD'!M$2:M$875,'Base bordo CD'!D$2:D$875,A351,'Base bordo CD'!A$2:A$875,B351,'Base bordo CD'!L$2:L$875,"MANOBRA"),0)</f>
        <v>0</v>
      </c>
      <c r="G351" s="10">
        <f>IFERROR(SUMIFS('Base bordo CD'!M$2:M$875,'Base bordo CD'!D$2:D$875,A351,'Base bordo CD'!A$2:A$875,B351,'Base bordo CD'!L$2:L$875,"DESLOCAMENTO"),0)</f>
        <v>0</v>
      </c>
      <c r="H351" s="10">
        <f>IFERROR(SUMIFS('Base bordo CD'!M$2:M$875,'Base bordo CD'!D$2:D$875,A351,'Base bordo CD'!A$2:A$875,B351,'Base bordo CD'!L$2:L$875,"AGUARDANDO MANOBRA DE TRANSBORDO"),0)+IFERROR(SUMIFS('Base bordo CD'!M$2:M$875,'Base bordo CD'!D$2:D$875,A351,'Base bordo CD'!A$2:A$875,B351,'Base bordo CD'!L$2:L$875,"FALTA DE TRANSBORDO"),0)</f>
        <v>0</v>
      </c>
      <c r="I351" s="10">
        <f>IFERROR(SUMIFS('Base bordo CD'!M$2:M$875,'Base bordo CD'!D$2:D$875,A351,'Base bordo CD'!A$2:A$875,B351,'Base bordo CD'!L$2:L$875,"PARADA POR CONDICOES CLIMATICAS"),0)+IFERROR(SUMIFS('Base bordo CD'!M$2:M$875,'Base bordo CD'!D$2:D$875,A351,'Base bordo CD'!A$2:A$875,B351,'Base bordo CD'!L$2:L$875,"TEMPO INDETERMINADO"),0)</f>
        <v>24</v>
      </c>
      <c r="J351" s="10">
        <f>IFERROR(SUMIFS('Base bordo CD'!M$2:M$875,'Base bordo CD'!D$2:D$875,A351,'Base bordo CD'!A$2:A$875,B351,'Base bordo CD'!L$2:L$875,"LIMITAÇÃO INDÚSTRIA"),0)</f>
        <v>0</v>
      </c>
      <c r="K351" s="10">
        <f>IFERROR(SUMIFS('Base bordo CD'!M$2:M$875,'Base bordo CD'!D$2:D$875,A351,'Base bordo CD'!A$2:A$875,B351,'Base bordo CD'!L$2:L$875,"MAN CORRETIVA*"),0)+IFERROR(SUMIFS('Base bordo CD'!M$2:M$875,'Base bordo CD'!D$2:D$875,A351,'Base bordo CD'!A$2:A$875,B351,'Base bordo CD'!L$2:L$875,"AGUARDANDO MANUTENCAO*"),0)+IFERROR(SUMIFS('Base bordo CD'!M$2:M$875,'Base bordo CD'!D$2:D$875,A351,'Base bordo CD'!A$2:A$875,B351,'Base bordo CD'!L$2:L$875,"TROCA DE FAQUINHA"),0)+IFERROR(SUMIFS('Base bordo CD'!M$2:M$875,'Base bordo CD'!D$2:D$875,A351,'Base bordo CD'!A$2:A$875,B351,'Base bordo CD'!L$2:L$875,"LIMPEZA*"),0)</f>
        <v>0</v>
      </c>
      <c r="L351" s="10">
        <f>IFERROR(SUMIFS('Base bordo CD'!M$2:M$875,'Base bordo CD'!D$2:D$875,A351,'Base bordo CD'!A$2:A$875,B351,'Base bordo CD'!L$2:L$875,"PATIO - RESERVA"),0)</f>
        <v>0</v>
      </c>
      <c r="M351" s="10">
        <f>IFERROR(SUMIFS('Base bordo CD'!M$2:M$875,'Base bordo CD'!D$2:D$875,A351,'Base bordo CD'!A$2:A$875,B351,'Base bordo CD'!L$2:L$875,"SEM APONTAMENTO"),0)</f>
        <v>0</v>
      </c>
      <c r="N351" s="10">
        <f>IFERROR(SUMIFS('Base bordo CD'!M$2:M$875,'Base bordo CD'!D$2:D$875,A351,'Base bordo CD'!A$2:A$875,B351,'Base bordo CD'!L$2:L$875,"FALTA DE CAMINHÃO"),0)+IFERROR(SUMIFS('Base bordo CD'!M$2:M$875,'Base bordo CD'!D$2:D$875,A351,'Base bordo CD'!A$2:A$875,B351,'Base bordo CD'!L$2:L$875,"FALTA DE COMBUSTIVEL"),0)+IFERROR(SUMIFS('Base bordo CD'!M$2:M$875,'Base bordo CD'!D$2:D$875,A351,'Base bordo CD'!A$2:A$875,B351,'Base bordo CD'!L$2:L$875,"FALTA DE MOTORIST*"),0)</f>
        <v>0</v>
      </c>
      <c r="O351" s="10">
        <f t="shared" si="30"/>
        <v>0</v>
      </c>
      <c r="P351" s="10">
        <f>IFERROR(SUMIFS('Base bordo CD'!M$2:M$875,'Base bordo CD'!D$2:D$875,A351,'Base bordo CD'!A$2:A$875,B351),0)</f>
        <v>24</v>
      </c>
      <c r="Q351" s="10">
        <f>IFERROR(SUMIFS('Base bordo CD'!O$2:O$875,'Base bordo CD'!D$2:D$875,A351,'Base bordo CD'!A$2:A$875,B351,'Base bordo CD'!L$2:L$875,"CORTE DE CANA MECANIZADO"),0)</f>
        <v>0</v>
      </c>
      <c r="R351" s="10">
        <f>IFERROR(SUMIFS('Base bordo CD'!Q$2:Q$875,'Base bordo CD'!D$2:D$875,A351,'Base bordo CD'!A$2:A$875,B351,'Base bordo CD'!L$2:L$875,"CORTE DE CANA MECANIZADO"),0)</f>
        <v>0</v>
      </c>
      <c r="S351" s="30" t="str">
        <f t="shared" si="31"/>
        <v/>
      </c>
      <c r="T351" s="9">
        <f t="shared" si="32"/>
        <v>0</v>
      </c>
      <c r="U351" s="9">
        <f t="shared" si="33"/>
        <v>0</v>
      </c>
      <c r="V351" s="9">
        <f t="shared" si="34"/>
        <v>1</v>
      </c>
    </row>
    <row r="352" spans="1:22" x14ac:dyDescent="0.35">
      <c r="A352" s="52">
        <v>49595</v>
      </c>
      <c r="B352" s="31">
        <v>46122</v>
      </c>
      <c r="C352" s="7" t="s">
        <v>337</v>
      </c>
      <c r="D352" s="7">
        <v>353</v>
      </c>
      <c r="E352" s="10">
        <f>IFERROR(SUMIFS('Base bordo CD'!M$2:M$875,'Base bordo CD'!D$2:D$875,A352,'Base bordo CD'!A$2:A$875,B352,'Base bordo CD'!L$2:L$875,"CORTE DE CANA MECANIZADO"),0)</f>
        <v>0</v>
      </c>
      <c r="F352" s="10">
        <f>IFERROR(SUMIFS('Base bordo CD'!M$2:M$875,'Base bordo CD'!D$2:D$875,A352,'Base bordo CD'!A$2:A$875,B352,'Base bordo CD'!L$2:L$875,"MANOBRA"),0)</f>
        <v>0</v>
      </c>
      <c r="G352" s="10">
        <f>IFERROR(SUMIFS('Base bordo CD'!M$2:M$875,'Base bordo CD'!D$2:D$875,A352,'Base bordo CD'!A$2:A$875,B352,'Base bordo CD'!L$2:L$875,"DESLOCAMENTO"),0)</f>
        <v>0</v>
      </c>
      <c r="H352" s="10">
        <f>IFERROR(SUMIFS('Base bordo CD'!M$2:M$875,'Base bordo CD'!D$2:D$875,A352,'Base bordo CD'!A$2:A$875,B352,'Base bordo CD'!L$2:L$875,"AGUARDANDO MANOBRA DE TRANSBORDO"),0)+IFERROR(SUMIFS('Base bordo CD'!M$2:M$875,'Base bordo CD'!D$2:D$875,A352,'Base bordo CD'!A$2:A$875,B352,'Base bordo CD'!L$2:L$875,"FALTA DE TRANSBORDO"),0)</f>
        <v>0</v>
      </c>
      <c r="I352" s="10">
        <f>IFERROR(SUMIFS('Base bordo CD'!M$2:M$875,'Base bordo CD'!D$2:D$875,A352,'Base bordo CD'!A$2:A$875,B352,'Base bordo CD'!L$2:L$875,"PARADA POR CONDICOES CLIMATICAS"),0)+IFERROR(SUMIFS('Base bordo CD'!M$2:M$875,'Base bordo CD'!D$2:D$875,A352,'Base bordo CD'!A$2:A$875,B352,'Base bordo CD'!L$2:L$875,"TEMPO INDETERMINADO"),0)</f>
        <v>24</v>
      </c>
      <c r="J352" s="10">
        <f>IFERROR(SUMIFS('Base bordo CD'!M$2:M$875,'Base bordo CD'!D$2:D$875,A352,'Base bordo CD'!A$2:A$875,B352,'Base bordo CD'!L$2:L$875,"LIMITAÇÃO INDÚSTRIA"),0)</f>
        <v>0</v>
      </c>
      <c r="K352" s="10">
        <f>IFERROR(SUMIFS('Base bordo CD'!M$2:M$875,'Base bordo CD'!D$2:D$875,A352,'Base bordo CD'!A$2:A$875,B352,'Base bordo CD'!L$2:L$875,"MAN CORRETIVA*"),0)+IFERROR(SUMIFS('Base bordo CD'!M$2:M$875,'Base bordo CD'!D$2:D$875,A352,'Base bordo CD'!A$2:A$875,B352,'Base bordo CD'!L$2:L$875,"AGUARDANDO MANUTENCAO*"),0)+IFERROR(SUMIFS('Base bordo CD'!M$2:M$875,'Base bordo CD'!D$2:D$875,A352,'Base bordo CD'!A$2:A$875,B352,'Base bordo CD'!L$2:L$875,"TROCA DE FAQUINHA"),0)+IFERROR(SUMIFS('Base bordo CD'!M$2:M$875,'Base bordo CD'!D$2:D$875,A352,'Base bordo CD'!A$2:A$875,B352,'Base bordo CD'!L$2:L$875,"LIMPEZA*"),0)</f>
        <v>0</v>
      </c>
      <c r="L352" s="10">
        <f>IFERROR(SUMIFS('Base bordo CD'!M$2:M$875,'Base bordo CD'!D$2:D$875,A352,'Base bordo CD'!A$2:A$875,B352,'Base bordo CD'!L$2:L$875,"PATIO - RESERVA"),0)</f>
        <v>0</v>
      </c>
      <c r="M352" s="10">
        <f>IFERROR(SUMIFS('Base bordo CD'!M$2:M$875,'Base bordo CD'!D$2:D$875,A352,'Base bordo CD'!A$2:A$875,B352,'Base bordo CD'!L$2:L$875,"SEM APONTAMENTO"),0)</f>
        <v>0</v>
      </c>
      <c r="N352" s="10">
        <f>IFERROR(SUMIFS('Base bordo CD'!M$2:M$875,'Base bordo CD'!D$2:D$875,A352,'Base bordo CD'!A$2:A$875,B352,'Base bordo CD'!L$2:L$875,"FALTA DE CAMINHÃO"),0)+IFERROR(SUMIFS('Base bordo CD'!M$2:M$875,'Base bordo CD'!D$2:D$875,A352,'Base bordo CD'!A$2:A$875,B352,'Base bordo CD'!L$2:L$875,"FALTA DE COMBUSTIVEL"),0)+IFERROR(SUMIFS('Base bordo CD'!M$2:M$875,'Base bordo CD'!D$2:D$875,A352,'Base bordo CD'!A$2:A$875,B352,'Base bordo CD'!L$2:L$875,"FALTA DE MOTORIST*"),0)</f>
        <v>0</v>
      </c>
      <c r="O352" s="10">
        <f t="shared" si="30"/>
        <v>0</v>
      </c>
      <c r="P352" s="10">
        <f>IFERROR(SUMIFS('Base bordo CD'!M$2:M$875,'Base bordo CD'!D$2:D$875,A352,'Base bordo CD'!A$2:A$875,B352),0)</f>
        <v>24</v>
      </c>
      <c r="Q352" s="10">
        <f>IFERROR(SUMIFS('Base bordo CD'!O$2:O$875,'Base bordo CD'!D$2:D$875,A352,'Base bordo CD'!A$2:A$875,B352,'Base bordo CD'!L$2:L$875,"CORTE DE CANA MECANIZADO"),0)</f>
        <v>0</v>
      </c>
      <c r="R352" s="10">
        <f>IFERROR(SUMIFS('Base bordo CD'!Q$2:Q$875,'Base bordo CD'!D$2:D$875,A352,'Base bordo CD'!A$2:A$875,B352,'Base bordo CD'!L$2:L$875,"CORTE DE CANA MECANIZADO"),0)</f>
        <v>0</v>
      </c>
      <c r="S352" s="30" t="str">
        <f t="shared" si="31"/>
        <v/>
      </c>
      <c r="T352" s="9">
        <f t="shared" si="32"/>
        <v>0</v>
      </c>
      <c r="U352" s="9">
        <f t="shared" si="33"/>
        <v>0</v>
      </c>
      <c r="V352" s="9">
        <f t="shared" si="34"/>
        <v>1</v>
      </c>
    </row>
    <row r="353" spans="1:22" x14ac:dyDescent="0.35">
      <c r="A353" s="52">
        <v>49595</v>
      </c>
      <c r="B353" s="31">
        <v>46122</v>
      </c>
      <c r="C353" s="7" t="s">
        <v>337</v>
      </c>
      <c r="D353" s="7">
        <v>353</v>
      </c>
      <c r="E353" s="10">
        <f>IFERROR(SUMIFS('Base bordo CD'!M$2:M$875,'Base bordo CD'!D$2:D$875,A353,'Base bordo CD'!A$2:A$875,B353,'Base bordo CD'!L$2:L$875,"CORTE DE CANA MECANIZADO"),0)</f>
        <v>0</v>
      </c>
      <c r="F353" s="10">
        <f>IFERROR(SUMIFS('Base bordo CD'!M$2:M$875,'Base bordo CD'!D$2:D$875,A353,'Base bordo CD'!A$2:A$875,B353,'Base bordo CD'!L$2:L$875,"MANOBRA"),0)</f>
        <v>0</v>
      </c>
      <c r="G353" s="10">
        <f>IFERROR(SUMIFS('Base bordo CD'!M$2:M$875,'Base bordo CD'!D$2:D$875,A353,'Base bordo CD'!A$2:A$875,B353,'Base bordo CD'!L$2:L$875,"DESLOCAMENTO"),0)</f>
        <v>0</v>
      </c>
      <c r="H353" s="10">
        <f>IFERROR(SUMIFS('Base bordo CD'!M$2:M$875,'Base bordo CD'!D$2:D$875,A353,'Base bordo CD'!A$2:A$875,B353,'Base bordo CD'!L$2:L$875,"AGUARDANDO MANOBRA DE TRANSBORDO"),0)+IFERROR(SUMIFS('Base bordo CD'!M$2:M$875,'Base bordo CD'!D$2:D$875,A353,'Base bordo CD'!A$2:A$875,B353,'Base bordo CD'!L$2:L$875,"FALTA DE TRANSBORDO"),0)</f>
        <v>0</v>
      </c>
      <c r="I353" s="10">
        <f>IFERROR(SUMIFS('Base bordo CD'!M$2:M$875,'Base bordo CD'!D$2:D$875,A353,'Base bordo CD'!A$2:A$875,B353,'Base bordo CD'!L$2:L$875,"PARADA POR CONDICOES CLIMATICAS"),0)+IFERROR(SUMIFS('Base bordo CD'!M$2:M$875,'Base bordo CD'!D$2:D$875,A353,'Base bordo CD'!A$2:A$875,B353,'Base bordo CD'!L$2:L$875,"TEMPO INDETERMINADO"),0)</f>
        <v>24</v>
      </c>
      <c r="J353" s="10">
        <f>IFERROR(SUMIFS('Base bordo CD'!M$2:M$875,'Base bordo CD'!D$2:D$875,A353,'Base bordo CD'!A$2:A$875,B353,'Base bordo CD'!L$2:L$875,"LIMITAÇÃO INDÚSTRIA"),0)</f>
        <v>0</v>
      </c>
      <c r="K353" s="10">
        <f>IFERROR(SUMIFS('Base bordo CD'!M$2:M$875,'Base bordo CD'!D$2:D$875,A353,'Base bordo CD'!A$2:A$875,B353,'Base bordo CD'!L$2:L$875,"MAN CORRETIVA*"),0)+IFERROR(SUMIFS('Base bordo CD'!M$2:M$875,'Base bordo CD'!D$2:D$875,A353,'Base bordo CD'!A$2:A$875,B353,'Base bordo CD'!L$2:L$875,"AGUARDANDO MANUTENCAO*"),0)+IFERROR(SUMIFS('Base bordo CD'!M$2:M$875,'Base bordo CD'!D$2:D$875,A353,'Base bordo CD'!A$2:A$875,B353,'Base bordo CD'!L$2:L$875,"TROCA DE FAQUINHA"),0)+IFERROR(SUMIFS('Base bordo CD'!M$2:M$875,'Base bordo CD'!D$2:D$875,A353,'Base bordo CD'!A$2:A$875,B353,'Base bordo CD'!L$2:L$875,"LIMPEZA*"),0)</f>
        <v>0</v>
      </c>
      <c r="L353" s="10">
        <f>IFERROR(SUMIFS('Base bordo CD'!M$2:M$875,'Base bordo CD'!D$2:D$875,A353,'Base bordo CD'!A$2:A$875,B353,'Base bordo CD'!L$2:L$875,"PATIO - RESERVA"),0)</f>
        <v>0</v>
      </c>
      <c r="M353" s="10">
        <f>IFERROR(SUMIFS('Base bordo CD'!M$2:M$875,'Base bordo CD'!D$2:D$875,A353,'Base bordo CD'!A$2:A$875,B353,'Base bordo CD'!L$2:L$875,"SEM APONTAMENTO"),0)</f>
        <v>0</v>
      </c>
      <c r="N353" s="10">
        <f>IFERROR(SUMIFS('Base bordo CD'!M$2:M$875,'Base bordo CD'!D$2:D$875,A353,'Base bordo CD'!A$2:A$875,B353,'Base bordo CD'!L$2:L$875,"FALTA DE CAMINHÃO"),0)+IFERROR(SUMIFS('Base bordo CD'!M$2:M$875,'Base bordo CD'!D$2:D$875,A353,'Base bordo CD'!A$2:A$875,B353,'Base bordo CD'!L$2:L$875,"FALTA DE COMBUSTIVEL"),0)+IFERROR(SUMIFS('Base bordo CD'!M$2:M$875,'Base bordo CD'!D$2:D$875,A353,'Base bordo CD'!A$2:A$875,B353,'Base bordo CD'!L$2:L$875,"FALTA DE MOTORIST*"),0)</f>
        <v>0</v>
      </c>
      <c r="O353" s="10">
        <f t="shared" si="30"/>
        <v>0</v>
      </c>
      <c r="P353" s="10">
        <f>IFERROR(SUMIFS('Base bordo CD'!M$2:M$875,'Base bordo CD'!D$2:D$875,A353,'Base bordo CD'!A$2:A$875,B353),0)</f>
        <v>24</v>
      </c>
      <c r="Q353" s="10">
        <f>IFERROR(SUMIFS('Base bordo CD'!O$2:O$875,'Base bordo CD'!D$2:D$875,A353,'Base bordo CD'!A$2:A$875,B353,'Base bordo CD'!L$2:L$875,"CORTE DE CANA MECANIZADO"),0)</f>
        <v>0</v>
      </c>
      <c r="R353" s="10">
        <f>IFERROR(SUMIFS('Base bordo CD'!Q$2:Q$875,'Base bordo CD'!D$2:D$875,A353,'Base bordo CD'!A$2:A$875,B353,'Base bordo CD'!L$2:L$875,"CORTE DE CANA MECANIZADO"),0)</f>
        <v>0</v>
      </c>
      <c r="S353" s="30" t="str">
        <f t="shared" si="31"/>
        <v/>
      </c>
      <c r="T353" s="9">
        <f t="shared" si="32"/>
        <v>0</v>
      </c>
      <c r="U353" s="9">
        <f t="shared" si="33"/>
        <v>0</v>
      </c>
      <c r="V353" s="9">
        <f t="shared" si="34"/>
        <v>1</v>
      </c>
    </row>
    <row r="354" spans="1:22" x14ac:dyDescent="0.35">
      <c r="A354" s="52">
        <v>49596</v>
      </c>
      <c r="B354" s="31">
        <v>46122</v>
      </c>
      <c r="C354" s="7" t="s">
        <v>337</v>
      </c>
      <c r="D354" s="7">
        <v>353</v>
      </c>
      <c r="E354" s="10">
        <f>IFERROR(SUMIFS('Base bordo CD'!M$2:M$875,'Base bordo CD'!D$2:D$875,A354,'Base bordo CD'!A$2:A$875,B354,'Base bordo CD'!L$2:L$875,"CORTE DE CANA MECANIZADO"),0)</f>
        <v>0</v>
      </c>
      <c r="F354" s="10">
        <f>IFERROR(SUMIFS('Base bordo CD'!M$2:M$875,'Base bordo CD'!D$2:D$875,A354,'Base bordo CD'!A$2:A$875,B354,'Base bordo CD'!L$2:L$875,"MANOBRA"),0)</f>
        <v>0</v>
      </c>
      <c r="G354" s="10">
        <f>IFERROR(SUMIFS('Base bordo CD'!M$2:M$875,'Base bordo CD'!D$2:D$875,A354,'Base bordo CD'!A$2:A$875,B354,'Base bordo CD'!L$2:L$875,"DESLOCAMENTO"),0)</f>
        <v>0</v>
      </c>
      <c r="H354" s="10">
        <f>IFERROR(SUMIFS('Base bordo CD'!M$2:M$875,'Base bordo CD'!D$2:D$875,A354,'Base bordo CD'!A$2:A$875,B354,'Base bordo CD'!L$2:L$875,"AGUARDANDO MANOBRA DE TRANSBORDO"),0)+IFERROR(SUMIFS('Base bordo CD'!M$2:M$875,'Base bordo CD'!D$2:D$875,A354,'Base bordo CD'!A$2:A$875,B354,'Base bordo CD'!L$2:L$875,"FALTA DE TRANSBORDO"),0)</f>
        <v>0</v>
      </c>
      <c r="I354" s="10">
        <f>IFERROR(SUMIFS('Base bordo CD'!M$2:M$875,'Base bordo CD'!D$2:D$875,A354,'Base bordo CD'!A$2:A$875,B354,'Base bordo CD'!L$2:L$875,"PARADA POR CONDICOES CLIMATICAS"),0)+IFERROR(SUMIFS('Base bordo CD'!M$2:M$875,'Base bordo CD'!D$2:D$875,A354,'Base bordo CD'!A$2:A$875,B354,'Base bordo CD'!L$2:L$875,"TEMPO INDETERMINADO"),0)</f>
        <v>24</v>
      </c>
      <c r="J354" s="10">
        <f>IFERROR(SUMIFS('Base bordo CD'!M$2:M$875,'Base bordo CD'!D$2:D$875,A354,'Base bordo CD'!A$2:A$875,B354,'Base bordo CD'!L$2:L$875,"LIMITAÇÃO INDÚSTRIA"),0)</f>
        <v>0</v>
      </c>
      <c r="K354" s="10">
        <f>IFERROR(SUMIFS('Base bordo CD'!M$2:M$875,'Base bordo CD'!D$2:D$875,A354,'Base bordo CD'!A$2:A$875,B354,'Base bordo CD'!L$2:L$875,"MAN CORRETIVA*"),0)+IFERROR(SUMIFS('Base bordo CD'!M$2:M$875,'Base bordo CD'!D$2:D$875,A354,'Base bordo CD'!A$2:A$875,B354,'Base bordo CD'!L$2:L$875,"AGUARDANDO MANUTENCAO*"),0)+IFERROR(SUMIFS('Base bordo CD'!M$2:M$875,'Base bordo CD'!D$2:D$875,A354,'Base bordo CD'!A$2:A$875,B354,'Base bordo CD'!L$2:L$875,"TROCA DE FAQUINHA"),0)+IFERROR(SUMIFS('Base bordo CD'!M$2:M$875,'Base bordo CD'!D$2:D$875,A354,'Base bordo CD'!A$2:A$875,B354,'Base bordo CD'!L$2:L$875,"LIMPEZA*"),0)</f>
        <v>0</v>
      </c>
      <c r="L354" s="10">
        <f>IFERROR(SUMIFS('Base bordo CD'!M$2:M$875,'Base bordo CD'!D$2:D$875,A354,'Base bordo CD'!A$2:A$875,B354,'Base bordo CD'!L$2:L$875,"PATIO - RESERVA"),0)</f>
        <v>0</v>
      </c>
      <c r="M354" s="10">
        <f>IFERROR(SUMIFS('Base bordo CD'!M$2:M$875,'Base bordo CD'!D$2:D$875,A354,'Base bordo CD'!A$2:A$875,B354,'Base bordo CD'!L$2:L$875,"SEM APONTAMENTO"),0)</f>
        <v>0</v>
      </c>
      <c r="N354" s="10">
        <f>IFERROR(SUMIFS('Base bordo CD'!M$2:M$875,'Base bordo CD'!D$2:D$875,A354,'Base bordo CD'!A$2:A$875,B354,'Base bordo CD'!L$2:L$875,"FALTA DE CAMINHÃO"),0)+IFERROR(SUMIFS('Base bordo CD'!M$2:M$875,'Base bordo CD'!D$2:D$875,A354,'Base bordo CD'!A$2:A$875,B354,'Base bordo CD'!L$2:L$875,"FALTA DE COMBUSTIVEL"),0)+IFERROR(SUMIFS('Base bordo CD'!M$2:M$875,'Base bordo CD'!D$2:D$875,A354,'Base bordo CD'!A$2:A$875,B354,'Base bordo CD'!L$2:L$875,"FALTA DE MOTORIST*"),0)</f>
        <v>0</v>
      </c>
      <c r="O354" s="10">
        <f t="shared" si="30"/>
        <v>0</v>
      </c>
      <c r="P354" s="10">
        <f>IFERROR(SUMIFS('Base bordo CD'!M$2:M$875,'Base bordo CD'!D$2:D$875,A354,'Base bordo CD'!A$2:A$875,B354),0)</f>
        <v>24</v>
      </c>
      <c r="Q354" s="10">
        <f>IFERROR(SUMIFS('Base bordo CD'!O$2:O$875,'Base bordo CD'!D$2:D$875,A354,'Base bordo CD'!A$2:A$875,B354,'Base bordo CD'!L$2:L$875,"CORTE DE CANA MECANIZADO"),0)</f>
        <v>0</v>
      </c>
      <c r="R354" s="10">
        <f>IFERROR(SUMIFS('Base bordo CD'!Q$2:Q$875,'Base bordo CD'!D$2:D$875,A354,'Base bordo CD'!A$2:A$875,B354,'Base bordo CD'!L$2:L$875,"CORTE DE CANA MECANIZADO"),0)</f>
        <v>0</v>
      </c>
      <c r="S354" s="30" t="str">
        <f t="shared" si="31"/>
        <v/>
      </c>
      <c r="T354" s="9">
        <f t="shared" si="32"/>
        <v>0</v>
      </c>
      <c r="U354" s="9">
        <f t="shared" si="33"/>
        <v>0</v>
      </c>
      <c r="V354" s="9">
        <f t="shared" si="34"/>
        <v>1</v>
      </c>
    </row>
    <row r="355" spans="1:22" x14ac:dyDescent="0.35">
      <c r="A355" s="52">
        <v>49596</v>
      </c>
      <c r="B355" s="31">
        <v>46122</v>
      </c>
      <c r="C355" s="7" t="s">
        <v>337</v>
      </c>
      <c r="D355" s="7">
        <v>353</v>
      </c>
      <c r="E355" s="10">
        <f>IFERROR(SUMIFS('Base bordo CD'!M$2:M$875,'Base bordo CD'!D$2:D$875,A355,'Base bordo CD'!A$2:A$875,B355,'Base bordo CD'!L$2:L$875,"CORTE DE CANA MECANIZADO"),0)</f>
        <v>0</v>
      </c>
      <c r="F355" s="10">
        <f>IFERROR(SUMIFS('Base bordo CD'!M$2:M$875,'Base bordo CD'!D$2:D$875,A355,'Base bordo CD'!A$2:A$875,B355,'Base bordo CD'!L$2:L$875,"MANOBRA"),0)</f>
        <v>0</v>
      </c>
      <c r="G355" s="10">
        <f>IFERROR(SUMIFS('Base bordo CD'!M$2:M$875,'Base bordo CD'!D$2:D$875,A355,'Base bordo CD'!A$2:A$875,B355,'Base bordo CD'!L$2:L$875,"DESLOCAMENTO"),0)</f>
        <v>0</v>
      </c>
      <c r="H355" s="10">
        <f>IFERROR(SUMIFS('Base bordo CD'!M$2:M$875,'Base bordo CD'!D$2:D$875,A355,'Base bordo CD'!A$2:A$875,B355,'Base bordo CD'!L$2:L$875,"AGUARDANDO MANOBRA DE TRANSBORDO"),0)+IFERROR(SUMIFS('Base bordo CD'!M$2:M$875,'Base bordo CD'!D$2:D$875,A355,'Base bordo CD'!A$2:A$875,B355,'Base bordo CD'!L$2:L$875,"FALTA DE TRANSBORDO"),0)</f>
        <v>0</v>
      </c>
      <c r="I355" s="10">
        <f>IFERROR(SUMIFS('Base bordo CD'!M$2:M$875,'Base bordo CD'!D$2:D$875,A355,'Base bordo CD'!A$2:A$875,B355,'Base bordo CD'!L$2:L$875,"PARADA POR CONDICOES CLIMATICAS"),0)+IFERROR(SUMIFS('Base bordo CD'!M$2:M$875,'Base bordo CD'!D$2:D$875,A355,'Base bordo CD'!A$2:A$875,B355,'Base bordo CD'!L$2:L$875,"TEMPO INDETERMINADO"),0)</f>
        <v>24</v>
      </c>
      <c r="J355" s="10">
        <f>IFERROR(SUMIFS('Base bordo CD'!M$2:M$875,'Base bordo CD'!D$2:D$875,A355,'Base bordo CD'!A$2:A$875,B355,'Base bordo CD'!L$2:L$875,"LIMITAÇÃO INDÚSTRIA"),0)</f>
        <v>0</v>
      </c>
      <c r="K355" s="10">
        <f>IFERROR(SUMIFS('Base bordo CD'!M$2:M$875,'Base bordo CD'!D$2:D$875,A355,'Base bordo CD'!A$2:A$875,B355,'Base bordo CD'!L$2:L$875,"MAN CORRETIVA*"),0)+IFERROR(SUMIFS('Base bordo CD'!M$2:M$875,'Base bordo CD'!D$2:D$875,A355,'Base bordo CD'!A$2:A$875,B355,'Base bordo CD'!L$2:L$875,"AGUARDANDO MANUTENCAO*"),0)+IFERROR(SUMIFS('Base bordo CD'!M$2:M$875,'Base bordo CD'!D$2:D$875,A355,'Base bordo CD'!A$2:A$875,B355,'Base bordo CD'!L$2:L$875,"TROCA DE FAQUINHA"),0)+IFERROR(SUMIFS('Base bordo CD'!M$2:M$875,'Base bordo CD'!D$2:D$875,A355,'Base bordo CD'!A$2:A$875,B355,'Base bordo CD'!L$2:L$875,"LIMPEZA*"),0)</f>
        <v>0</v>
      </c>
      <c r="L355" s="10">
        <f>IFERROR(SUMIFS('Base bordo CD'!M$2:M$875,'Base bordo CD'!D$2:D$875,A355,'Base bordo CD'!A$2:A$875,B355,'Base bordo CD'!L$2:L$875,"PATIO - RESERVA"),0)</f>
        <v>0</v>
      </c>
      <c r="M355" s="10">
        <f>IFERROR(SUMIFS('Base bordo CD'!M$2:M$875,'Base bordo CD'!D$2:D$875,A355,'Base bordo CD'!A$2:A$875,B355,'Base bordo CD'!L$2:L$875,"SEM APONTAMENTO"),0)</f>
        <v>0</v>
      </c>
      <c r="N355" s="10">
        <f>IFERROR(SUMIFS('Base bordo CD'!M$2:M$875,'Base bordo CD'!D$2:D$875,A355,'Base bordo CD'!A$2:A$875,B355,'Base bordo CD'!L$2:L$875,"FALTA DE CAMINHÃO"),0)+IFERROR(SUMIFS('Base bordo CD'!M$2:M$875,'Base bordo CD'!D$2:D$875,A355,'Base bordo CD'!A$2:A$875,B355,'Base bordo CD'!L$2:L$875,"FALTA DE COMBUSTIVEL"),0)+IFERROR(SUMIFS('Base bordo CD'!M$2:M$875,'Base bordo CD'!D$2:D$875,A355,'Base bordo CD'!A$2:A$875,B355,'Base bordo CD'!L$2:L$875,"FALTA DE MOTORIST*"),0)</f>
        <v>0</v>
      </c>
      <c r="O355" s="10">
        <f t="shared" si="30"/>
        <v>0</v>
      </c>
      <c r="P355" s="10">
        <f>IFERROR(SUMIFS('Base bordo CD'!M$2:M$875,'Base bordo CD'!D$2:D$875,A355,'Base bordo CD'!A$2:A$875,B355),0)</f>
        <v>24</v>
      </c>
      <c r="Q355" s="10">
        <f>IFERROR(SUMIFS('Base bordo CD'!O$2:O$875,'Base bordo CD'!D$2:D$875,A355,'Base bordo CD'!A$2:A$875,B355,'Base bordo CD'!L$2:L$875,"CORTE DE CANA MECANIZADO"),0)</f>
        <v>0</v>
      </c>
      <c r="R355" s="10">
        <f>IFERROR(SUMIFS('Base bordo CD'!Q$2:Q$875,'Base bordo CD'!D$2:D$875,A355,'Base bordo CD'!A$2:A$875,B355,'Base bordo CD'!L$2:L$875,"CORTE DE CANA MECANIZADO"),0)</f>
        <v>0</v>
      </c>
      <c r="S355" s="30" t="str">
        <f t="shared" si="31"/>
        <v/>
      </c>
      <c r="T355" s="9">
        <f t="shared" si="32"/>
        <v>0</v>
      </c>
      <c r="U355" s="9">
        <f t="shared" si="33"/>
        <v>0</v>
      </c>
      <c r="V355" s="9">
        <f t="shared" si="34"/>
        <v>1</v>
      </c>
    </row>
    <row r="356" spans="1:22" hidden="1" x14ac:dyDescent="0.35">
      <c r="A356" s="52">
        <v>49584</v>
      </c>
      <c r="B356" s="31">
        <v>46121</v>
      </c>
      <c r="C356" s="7" t="s">
        <v>321</v>
      </c>
      <c r="D356" s="7">
        <v>351</v>
      </c>
      <c r="E356" s="10">
        <f>IFERROR(SUMIFS('Base bordo CD'!M$2:M$875,'Base bordo CD'!D$2:D$875,A356,'Base bordo CD'!A$2:A$875,B356,'Base bordo CD'!L$2:L$875,"CORTE DE CANA MECANIZADO"),0)</f>
        <v>0</v>
      </c>
      <c r="F356" s="10">
        <f>IFERROR(SUMIFS('Base bordo CD'!M$2:M$875,'Base bordo CD'!D$2:D$875,A356,'Base bordo CD'!A$2:A$875,B356,'Base bordo CD'!L$2:L$875,"MANOBRA"),0)</f>
        <v>0</v>
      </c>
      <c r="G356" s="10">
        <f>IFERROR(SUMIFS('Base bordo CD'!M$2:M$875,'Base bordo CD'!D$2:D$875,A356,'Base bordo CD'!A$2:A$875,B356,'Base bordo CD'!L$2:L$875,"DESLOCAMENTO"),0)</f>
        <v>0</v>
      </c>
      <c r="H356" s="10">
        <f>IFERROR(SUMIFS('Base bordo CD'!M$2:M$875,'Base bordo CD'!D$2:D$875,A356,'Base bordo CD'!A$2:A$875,B356,'Base bordo CD'!L$2:L$875,"AGUARDANDO MANOBRA DE TRANSBORDO"),0)+IFERROR(SUMIFS('Base bordo CD'!M$2:M$875,'Base bordo CD'!D$2:D$875,A356,'Base bordo CD'!A$2:A$875,B356,'Base bordo CD'!L$2:L$875,"FALTA DE TRANSBORDO"),0)</f>
        <v>0</v>
      </c>
      <c r="I356" s="10">
        <f>IFERROR(SUMIFS('Base bordo CD'!M$2:M$875,'Base bordo CD'!D$2:D$875,A356,'Base bordo CD'!A$2:A$875,B356,'Base bordo CD'!L$2:L$875,"PARADA POR CONDICOES CLIMATICAS"),0)+IFERROR(SUMIFS('Base bordo CD'!M$2:M$875,'Base bordo CD'!D$2:D$875,A356,'Base bordo CD'!A$2:A$875,B356,'Base bordo CD'!L$2:L$875,"TEMPO INDETERMINADO"),0)</f>
        <v>24</v>
      </c>
      <c r="J356" s="10">
        <f>IFERROR(SUMIFS('Base bordo CD'!M$2:M$875,'Base bordo CD'!D$2:D$875,A356,'Base bordo CD'!A$2:A$875,B356,'Base bordo CD'!L$2:L$875,"LIMITAÇÃO INDÚSTRIA"),0)</f>
        <v>0</v>
      </c>
      <c r="K356" s="10">
        <f>IFERROR(SUMIFS('Base bordo CD'!M$2:M$875,'Base bordo CD'!D$2:D$875,A356,'Base bordo CD'!A$2:A$875,B356,'Base bordo CD'!L$2:L$875,"MAN CORRETIVA*"),0)+IFERROR(SUMIFS('Base bordo CD'!M$2:M$875,'Base bordo CD'!D$2:D$875,A356,'Base bordo CD'!A$2:A$875,B356,'Base bordo CD'!L$2:L$875,"AGUARDANDO MANUTENCAO*"),0)+IFERROR(SUMIFS('Base bordo CD'!M$2:M$875,'Base bordo CD'!D$2:D$875,A356,'Base bordo CD'!A$2:A$875,B356,'Base bordo CD'!L$2:L$875,"TROCA DE FAQUINHA"),0)+IFERROR(SUMIFS('Base bordo CD'!M$2:M$875,'Base bordo CD'!D$2:D$875,A356,'Base bordo CD'!A$2:A$875,B356,'Base bordo CD'!L$2:L$875,"LIMPEZA*"),0)</f>
        <v>0</v>
      </c>
      <c r="L356" s="10">
        <f>IFERROR(SUMIFS('Base bordo CD'!M$2:M$875,'Base bordo CD'!D$2:D$875,A356,'Base bordo CD'!A$2:A$875,B356,'Base bordo CD'!L$2:L$875,"PATIO - RESERVA"),0)</f>
        <v>0</v>
      </c>
      <c r="M356" s="10">
        <f>IFERROR(SUMIFS('Base bordo CD'!M$2:M$875,'Base bordo CD'!D$2:D$875,A356,'Base bordo CD'!A$2:A$875,B356,'Base bordo CD'!L$2:L$875,"SEM APONTAMENTO"),0)</f>
        <v>0</v>
      </c>
      <c r="N356" s="10">
        <f>IFERROR(SUMIFS('Base bordo CD'!M$2:M$875,'Base bordo CD'!D$2:D$875,A356,'Base bordo CD'!A$2:A$875,B356,'Base bordo CD'!L$2:L$875,"FALTA DE CAMINHÃO"),0)+IFERROR(SUMIFS('Base bordo CD'!M$2:M$875,'Base bordo CD'!D$2:D$875,A356,'Base bordo CD'!A$2:A$875,B356,'Base bordo CD'!L$2:L$875,"FALTA DE COMBUSTIVEL"),0)+IFERROR(SUMIFS('Base bordo CD'!M$2:M$875,'Base bordo CD'!D$2:D$875,A356,'Base bordo CD'!A$2:A$875,B356,'Base bordo CD'!L$2:L$875,"FALTA DE MOTORIST*"),0)</f>
        <v>0</v>
      </c>
      <c r="O356" s="10">
        <f t="shared" si="30"/>
        <v>0</v>
      </c>
      <c r="P356" s="10">
        <f>IFERROR(SUMIFS('Base bordo CD'!M$2:M$875,'Base bordo CD'!D$2:D$875,A356,'Base bordo CD'!A$2:A$875,B356),0)</f>
        <v>24</v>
      </c>
      <c r="Q356" s="10">
        <f>IFERROR(SUMIFS('Base bordo CD'!O$2:O$875,'Base bordo CD'!D$2:D$875,A356,'Base bordo CD'!A$2:A$875,B356,'Base bordo CD'!L$2:L$875,"CORTE DE CANA MECANIZADO"),0)</f>
        <v>0</v>
      </c>
      <c r="R356" s="10">
        <f>IFERROR(SUMIFS('Base bordo CD'!Q$2:Q$875,'Base bordo CD'!D$2:D$875,A356,'Base bordo CD'!A$2:A$875,B356,'Base bordo CD'!L$2:L$875,"CORTE DE CANA MECANIZADO"),0)</f>
        <v>0</v>
      </c>
      <c r="S356" s="30" t="str">
        <f t="shared" si="31"/>
        <v/>
      </c>
      <c r="T356" s="9">
        <f t="shared" si="32"/>
        <v>0</v>
      </c>
      <c r="U356" s="9">
        <f t="shared" si="33"/>
        <v>0</v>
      </c>
      <c r="V356" s="9">
        <f t="shared" si="34"/>
        <v>1</v>
      </c>
    </row>
    <row r="357" spans="1:22" hidden="1" x14ac:dyDescent="0.35">
      <c r="A357" s="52">
        <v>49584</v>
      </c>
      <c r="B357" s="31">
        <v>46121</v>
      </c>
      <c r="C357" s="7" t="s">
        <v>321</v>
      </c>
      <c r="D357" s="7">
        <v>351</v>
      </c>
      <c r="E357" s="10">
        <f>IFERROR(SUMIFS('Base bordo CD'!M$2:M$875,'Base bordo CD'!D$2:D$875,A357,'Base bordo CD'!A$2:A$875,B357,'Base bordo CD'!L$2:L$875,"CORTE DE CANA MECANIZADO"),0)</f>
        <v>0</v>
      </c>
      <c r="F357" s="10">
        <f>IFERROR(SUMIFS('Base bordo CD'!M$2:M$875,'Base bordo CD'!D$2:D$875,A357,'Base bordo CD'!A$2:A$875,B357,'Base bordo CD'!L$2:L$875,"MANOBRA"),0)</f>
        <v>0</v>
      </c>
      <c r="G357" s="10">
        <f>IFERROR(SUMIFS('Base bordo CD'!M$2:M$875,'Base bordo CD'!D$2:D$875,A357,'Base bordo CD'!A$2:A$875,B357,'Base bordo CD'!L$2:L$875,"DESLOCAMENTO"),0)</f>
        <v>0</v>
      </c>
      <c r="H357" s="10">
        <f>IFERROR(SUMIFS('Base bordo CD'!M$2:M$875,'Base bordo CD'!D$2:D$875,A357,'Base bordo CD'!A$2:A$875,B357,'Base bordo CD'!L$2:L$875,"AGUARDANDO MANOBRA DE TRANSBORDO"),0)+IFERROR(SUMIFS('Base bordo CD'!M$2:M$875,'Base bordo CD'!D$2:D$875,A357,'Base bordo CD'!A$2:A$875,B357,'Base bordo CD'!L$2:L$875,"FALTA DE TRANSBORDO"),0)</f>
        <v>0</v>
      </c>
      <c r="I357" s="10">
        <f>IFERROR(SUMIFS('Base bordo CD'!M$2:M$875,'Base bordo CD'!D$2:D$875,A357,'Base bordo CD'!A$2:A$875,B357,'Base bordo CD'!L$2:L$875,"PARADA POR CONDICOES CLIMATICAS"),0)+IFERROR(SUMIFS('Base bordo CD'!M$2:M$875,'Base bordo CD'!D$2:D$875,A357,'Base bordo CD'!A$2:A$875,B357,'Base bordo CD'!L$2:L$875,"TEMPO INDETERMINADO"),0)</f>
        <v>24</v>
      </c>
      <c r="J357" s="10">
        <f>IFERROR(SUMIFS('Base bordo CD'!M$2:M$875,'Base bordo CD'!D$2:D$875,A357,'Base bordo CD'!A$2:A$875,B357,'Base bordo CD'!L$2:L$875,"LIMITAÇÃO INDÚSTRIA"),0)</f>
        <v>0</v>
      </c>
      <c r="K357" s="10">
        <f>IFERROR(SUMIFS('Base bordo CD'!M$2:M$875,'Base bordo CD'!D$2:D$875,A357,'Base bordo CD'!A$2:A$875,B357,'Base bordo CD'!L$2:L$875,"MAN CORRETIVA*"),0)+IFERROR(SUMIFS('Base bordo CD'!M$2:M$875,'Base bordo CD'!D$2:D$875,A357,'Base bordo CD'!A$2:A$875,B357,'Base bordo CD'!L$2:L$875,"AGUARDANDO MANUTENCAO*"),0)+IFERROR(SUMIFS('Base bordo CD'!M$2:M$875,'Base bordo CD'!D$2:D$875,A357,'Base bordo CD'!A$2:A$875,B357,'Base bordo CD'!L$2:L$875,"TROCA DE FAQUINHA"),0)+IFERROR(SUMIFS('Base bordo CD'!M$2:M$875,'Base bordo CD'!D$2:D$875,A357,'Base bordo CD'!A$2:A$875,B357,'Base bordo CD'!L$2:L$875,"LIMPEZA*"),0)</f>
        <v>0</v>
      </c>
      <c r="L357" s="10">
        <f>IFERROR(SUMIFS('Base bordo CD'!M$2:M$875,'Base bordo CD'!D$2:D$875,A357,'Base bordo CD'!A$2:A$875,B357,'Base bordo CD'!L$2:L$875,"PATIO - RESERVA"),0)</f>
        <v>0</v>
      </c>
      <c r="M357" s="10">
        <f>IFERROR(SUMIFS('Base bordo CD'!M$2:M$875,'Base bordo CD'!D$2:D$875,A357,'Base bordo CD'!A$2:A$875,B357,'Base bordo CD'!L$2:L$875,"SEM APONTAMENTO"),0)</f>
        <v>0</v>
      </c>
      <c r="N357" s="10">
        <f>IFERROR(SUMIFS('Base bordo CD'!M$2:M$875,'Base bordo CD'!D$2:D$875,A357,'Base bordo CD'!A$2:A$875,B357,'Base bordo CD'!L$2:L$875,"FALTA DE CAMINHÃO"),0)+IFERROR(SUMIFS('Base bordo CD'!M$2:M$875,'Base bordo CD'!D$2:D$875,A357,'Base bordo CD'!A$2:A$875,B357,'Base bordo CD'!L$2:L$875,"FALTA DE COMBUSTIVEL"),0)+IFERROR(SUMIFS('Base bordo CD'!M$2:M$875,'Base bordo CD'!D$2:D$875,A357,'Base bordo CD'!A$2:A$875,B357,'Base bordo CD'!L$2:L$875,"FALTA DE MOTORIST*"),0)</f>
        <v>0</v>
      </c>
      <c r="O357" s="10">
        <f t="shared" si="30"/>
        <v>0</v>
      </c>
      <c r="P357" s="10">
        <f>IFERROR(SUMIFS('Base bordo CD'!M$2:M$875,'Base bordo CD'!D$2:D$875,A357,'Base bordo CD'!A$2:A$875,B357),0)</f>
        <v>24</v>
      </c>
      <c r="Q357" s="10">
        <f>IFERROR(SUMIFS('Base bordo CD'!O$2:O$875,'Base bordo CD'!D$2:D$875,A357,'Base bordo CD'!A$2:A$875,B357,'Base bordo CD'!L$2:L$875,"CORTE DE CANA MECANIZADO"),0)</f>
        <v>0</v>
      </c>
      <c r="R357" s="10">
        <f>IFERROR(SUMIFS('Base bordo CD'!Q$2:Q$875,'Base bordo CD'!D$2:D$875,A357,'Base bordo CD'!A$2:A$875,B357,'Base bordo CD'!L$2:L$875,"CORTE DE CANA MECANIZADO"),0)</f>
        <v>0</v>
      </c>
      <c r="S357" s="30" t="str">
        <f t="shared" si="31"/>
        <v/>
      </c>
      <c r="T357" s="9">
        <f t="shared" si="32"/>
        <v>0</v>
      </c>
      <c r="U357" s="9">
        <f t="shared" si="33"/>
        <v>0</v>
      </c>
      <c r="V357" s="9">
        <f t="shared" si="34"/>
        <v>1</v>
      </c>
    </row>
    <row r="358" spans="1:22" x14ac:dyDescent="0.35">
      <c r="A358" s="52">
        <v>49587</v>
      </c>
      <c r="B358" s="31">
        <v>46121</v>
      </c>
      <c r="C358" s="7" t="s">
        <v>337</v>
      </c>
      <c r="D358" s="7">
        <v>353</v>
      </c>
      <c r="E358" s="10">
        <f>IFERROR(SUMIFS('Base bordo CD'!M$2:M$875,'Base bordo CD'!D$2:D$875,A358,'Base bordo CD'!A$2:A$875,B358,'Base bordo CD'!L$2:L$875,"CORTE DE CANA MECANIZADO"),0)</f>
        <v>0</v>
      </c>
      <c r="F358" s="10">
        <f>IFERROR(SUMIFS('Base bordo CD'!M$2:M$875,'Base bordo CD'!D$2:D$875,A358,'Base bordo CD'!A$2:A$875,B358,'Base bordo CD'!L$2:L$875,"MANOBRA"),0)</f>
        <v>0</v>
      </c>
      <c r="G358" s="10">
        <f>IFERROR(SUMIFS('Base bordo CD'!M$2:M$875,'Base bordo CD'!D$2:D$875,A358,'Base bordo CD'!A$2:A$875,B358,'Base bordo CD'!L$2:L$875,"DESLOCAMENTO"),0)</f>
        <v>0</v>
      </c>
      <c r="H358" s="10">
        <f>IFERROR(SUMIFS('Base bordo CD'!M$2:M$875,'Base bordo CD'!D$2:D$875,A358,'Base bordo CD'!A$2:A$875,B358,'Base bordo CD'!L$2:L$875,"AGUARDANDO MANOBRA DE TRANSBORDO"),0)+IFERROR(SUMIFS('Base bordo CD'!M$2:M$875,'Base bordo CD'!D$2:D$875,A358,'Base bordo CD'!A$2:A$875,B358,'Base bordo CD'!L$2:L$875,"FALTA DE TRANSBORDO"),0)</f>
        <v>0</v>
      </c>
      <c r="I358" s="10">
        <f>IFERROR(SUMIFS('Base bordo CD'!M$2:M$875,'Base bordo CD'!D$2:D$875,A358,'Base bordo CD'!A$2:A$875,B358,'Base bordo CD'!L$2:L$875,"PARADA POR CONDICOES CLIMATICAS"),0)+IFERROR(SUMIFS('Base bordo CD'!M$2:M$875,'Base bordo CD'!D$2:D$875,A358,'Base bordo CD'!A$2:A$875,B358,'Base bordo CD'!L$2:L$875,"TEMPO INDETERMINADO"),0)</f>
        <v>24</v>
      </c>
      <c r="J358" s="10">
        <f>IFERROR(SUMIFS('Base bordo CD'!M$2:M$875,'Base bordo CD'!D$2:D$875,A358,'Base bordo CD'!A$2:A$875,B358,'Base bordo CD'!L$2:L$875,"LIMITAÇÃO INDÚSTRIA"),0)</f>
        <v>0</v>
      </c>
      <c r="K358" s="10">
        <f>IFERROR(SUMIFS('Base bordo CD'!M$2:M$875,'Base bordo CD'!D$2:D$875,A358,'Base bordo CD'!A$2:A$875,B358,'Base bordo CD'!L$2:L$875,"MAN CORRETIVA*"),0)+IFERROR(SUMIFS('Base bordo CD'!M$2:M$875,'Base bordo CD'!D$2:D$875,A358,'Base bordo CD'!A$2:A$875,B358,'Base bordo CD'!L$2:L$875,"AGUARDANDO MANUTENCAO*"),0)+IFERROR(SUMIFS('Base bordo CD'!M$2:M$875,'Base bordo CD'!D$2:D$875,A358,'Base bordo CD'!A$2:A$875,B358,'Base bordo CD'!L$2:L$875,"TROCA DE FAQUINHA"),0)+IFERROR(SUMIFS('Base bordo CD'!M$2:M$875,'Base bordo CD'!D$2:D$875,A358,'Base bordo CD'!A$2:A$875,B358,'Base bordo CD'!L$2:L$875,"LIMPEZA*"),0)</f>
        <v>0</v>
      </c>
      <c r="L358" s="10">
        <f>IFERROR(SUMIFS('Base bordo CD'!M$2:M$875,'Base bordo CD'!D$2:D$875,A358,'Base bordo CD'!A$2:A$875,B358,'Base bordo CD'!L$2:L$875,"PATIO - RESERVA"),0)</f>
        <v>0</v>
      </c>
      <c r="M358" s="10">
        <f>IFERROR(SUMIFS('Base bordo CD'!M$2:M$875,'Base bordo CD'!D$2:D$875,A358,'Base bordo CD'!A$2:A$875,B358,'Base bordo CD'!L$2:L$875,"SEM APONTAMENTO"),0)</f>
        <v>0</v>
      </c>
      <c r="N358" s="10">
        <f>IFERROR(SUMIFS('Base bordo CD'!M$2:M$875,'Base bordo CD'!D$2:D$875,A358,'Base bordo CD'!A$2:A$875,B358,'Base bordo CD'!L$2:L$875,"FALTA DE CAMINHÃO"),0)+IFERROR(SUMIFS('Base bordo CD'!M$2:M$875,'Base bordo CD'!D$2:D$875,A358,'Base bordo CD'!A$2:A$875,B358,'Base bordo CD'!L$2:L$875,"FALTA DE COMBUSTIVEL"),0)+IFERROR(SUMIFS('Base bordo CD'!M$2:M$875,'Base bordo CD'!D$2:D$875,A358,'Base bordo CD'!A$2:A$875,B358,'Base bordo CD'!L$2:L$875,"FALTA DE MOTORIST*"),0)</f>
        <v>0</v>
      </c>
      <c r="O358" s="10">
        <f t="shared" si="30"/>
        <v>0</v>
      </c>
      <c r="P358" s="10">
        <f>IFERROR(SUMIFS('Base bordo CD'!M$2:M$875,'Base bordo CD'!D$2:D$875,A358,'Base bordo CD'!A$2:A$875,B358),0)</f>
        <v>24</v>
      </c>
      <c r="Q358" s="10">
        <f>IFERROR(SUMIFS('Base bordo CD'!O$2:O$875,'Base bordo CD'!D$2:D$875,A358,'Base bordo CD'!A$2:A$875,B358,'Base bordo CD'!L$2:L$875,"CORTE DE CANA MECANIZADO"),0)</f>
        <v>0</v>
      </c>
      <c r="R358" s="10">
        <f>IFERROR(SUMIFS('Base bordo CD'!Q$2:Q$875,'Base bordo CD'!D$2:D$875,A358,'Base bordo CD'!A$2:A$875,B358,'Base bordo CD'!L$2:L$875,"CORTE DE CANA MECANIZADO"),0)</f>
        <v>0</v>
      </c>
      <c r="S358" s="30" t="str">
        <f t="shared" si="31"/>
        <v/>
      </c>
      <c r="T358" s="9">
        <f t="shared" si="32"/>
        <v>0</v>
      </c>
      <c r="U358" s="9">
        <f t="shared" si="33"/>
        <v>0</v>
      </c>
      <c r="V358" s="9">
        <f t="shared" si="34"/>
        <v>1</v>
      </c>
    </row>
    <row r="359" spans="1:22" x14ac:dyDescent="0.35">
      <c r="A359" s="52">
        <v>49587</v>
      </c>
      <c r="B359" s="31">
        <v>46121</v>
      </c>
      <c r="C359" s="7" t="s">
        <v>337</v>
      </c>
      <c r="D359" s="7">
        <v>353</v>
      </c>
      <c r="E359" s="10">
        <f>IFERROR(SUMIFS('Base bordo CD'!M$2:M$875,'Base bordo CD'!D$2:D$875,A359,'Base bordo CD'!A$2:A$875,B359,'Base bordo CD'!L$2:L$875,"CORTE DE CANA MECANIZADO"),0)</f>
        <v>0</v>
      </c>
      <c r="F359" s="10">
        <f>IFERROR(SUMIFS('Base bordo CD'!M$2:M$875,'Base bordo CD'!D$2:D$875,A359,'Base bordo CD'!A$2:A$875,B359,'Base bordo CD'!L$2:L$875,"MANOBRA"),0)</f>
        <v>0</v>
      </c>
      <c r="G359" s="10">
        <f>IFERROR(SUMIFS('Base bordo CD'!M$2:M$875,'Base bordo CD'!D$2:D$875,A359,'Base bordo CD'!A$2:A$875,B359,'Base bordo CD'!L$2:L$875,"DESLOCAMENTO"),0)</f>
        <v>0</v>
      </c>
      <c r="H359" s="10">
        <f>IFERROR(SUMIFS('Base bordo CD'!M$2:M$875,'Base bordo CD'!D$2:D$875,A359,'Base bordo CD'!A$2:A$875,B359,'Base bordo CD'!L$2:L$875,"AGUARDANDO MANOBRA DE TRANSBORDO"),0)+IFERROR(SUMIFS('Base bordo CD'!M$2:M$875,'Base bordo CD'!D$2:D$875,A359,'Base bordo CD'!A$2:A$875,B359,'Base bordo CD'!L$2:L$875,"FALTA DE TRANSBORDO"),0)</f>
        <v>0</v>
      </c>
      <c r="I359" s="10">
        <f>IFERROR(SUMIFS('Base bordo CD'!M$2:M$875,'Base bordo CD'!D$2:D$875,A359,'Base bordo CD'!A$2:A$875,B359,'Base bordo CD'!L$2:L$875,"PARADA POR CONDICOES CLIMATICAS"),0)+IFERROR(SUMIFS('Base bordo CD'!M$2:M$875,'Base bordo CD'!D$2:D$875,A359,'Base bordo CD'!A$2:A$875,B359,'Base bordo CD'!L$2:L$875,"TEMPO INDETERMINADO"),0)</f>
        <v>24</v>
      </c>
      <c r="J359" s="10">
        <f>IFERROR(SUMIFS('Base bordo CD'!M$2:M$875,'Base bordo CD'!D$2:D$875,A359,'Base bordo CD'!A$2:A$875,B359,'Base bordo CD'!L$2:L$875,"LIMITAÇÃO INDÚSTRIA"),0)</f>
        <v>0</v>
      </c>
      <c r="K359" s="10">
        <f>IFERROR(SUMIFS('Base bordo CD'!M$2:M$875,'Base bordo CD'!D$2:D$875,A359,'Base bordo CD'!A$2:A$875,B359,'Base bordo CD'!L$2:L$875,"MAN CORRETIVA*"),0)+IFERROR(SUMIFS('Base bordo CD'!M$2:M$875,'Base bordo CD'!D$2:D$875,A359,'Base bordo CD'!A$2:A$875,B359,'Base bordo CD'!L$2:L$875,"AGUARDANDO MANUTENCAO*"),0)+IFERROR(SUMIFS('Base bordo CD'!M$2:M$875,'Base bordo CD'!D$2:D$875,A359,'Base bordo CD'!A$2:A$875,B359,'Base bordo CD'!L$2:L$875,"TROCA DE FAQUINHA"),0)+IFERROR(SUMIFS('Base bordo CD'!M$2:M$875,'Base bordo CD'!D$2:D$875,A359,'Base bordo CD'!A$2:A$875,B359,'Base bordo CD'!L$2:L$875,"LIMPEZA*"),0)</f>
        <v>0</v>
      </c>
      <c r="L359" s="10">
        <f>IFERROR(SUMIFS('Base bordo CD'!M$2:M$875,'Base bordo CD'!D$2:D$875,A359,'Base bordo CD'!A$2:A$875,B359,'Base bordo CD'!L$2:L$875,"PATIO - RESERVA"),0)</f>
        <v>0</v>
      </c>
      <c r="M359" s="10">
        <f>IFERROR(SUMIFS('Base bordo CD'!M$2:M$875,'Base bordo CD'!D$2:D$875,A359,'Base bordo CD'!A$2:A$875,B359,'Base bordo CD'!L$2:L$875,"SEM APONTAMENTO"),0)</f>
        <v>0</v>
      </c>
      <c r="N359" s="10">
        <f>IFERROR(SUMIFS('Base bordo CD'!M$2:M$875,'Base bordo CD'!D$2:D$875,A359,'Base bordo CD'!A$2:A$875,B359,'Base bordo CD'!L$2:L$875,"FALTA DE CAMINHÃO"),0)+IFERROR(SUMIFS('Base bordo CD'!M$2:M$875,'Base bordo CD'!D$2:D$875,A359,'Base bordo CD'!A$2:A$875,B359,'Base bordo CD'!L$2:L$875,"FALTA DE COMBUSTIVEL"),0)+IFERROR(SUMIFS('Base bordo CD'!M$2:M$875,'Base bordo CD'!D$2:D$875,A359,'Base bordo CD'!A$2:A$875,B359,'Base bordo CD'!L$2:L$875,"FALTA DE MOTORIST*"),0)</f>
        <v>0</v>
      </c>
      <c r="O359" s="10">
        <f t="shared" si="30"/>
        <v>0</v>
      </c>
      <c r="P359" s="10">
        <f>IFERROR(SUMIFS('Base bordo CD'!M$2:M$875,'Base bordo CD'!D$2:D$875,A359,'Base bordo CD'!A$2:A$875,B359),0)</f>
        <v>24</v>
      </c>
      <c r="Q359" s="10">
        <f>IFERROR(SUMIFS('Base bordo CD'!O$2:O$875,'Base bordo CD'!D$2:D$875,A359,'Base bordo CD'!A$2:A$875,B359,'Base bordo CD'!L$2:L$875,"CORTE DE CANA MECANIZADO"),0)</f>
        <v>0</v>
      </c>
      <c r="R359" s="10">
        <f>IFERROR(SUMIFS('Base bordo CD'!Q$2:Q$875,'Base bordo CD'!D$2:D$875,A359,'Base bordo CD'!A$2:A$875,B359,'Base bordo CD'!L$2:L$875,"CORTE DE CANA MECANIZADO"),0)</f>
        <v>0</v>
      </c>
      <c r="S359" s="30" t="str">
        <f t="shared" si="31"/>
        <v/>
      </c>
      <c r="T359" s="9">
        <f t="shared" si="32"/>
        <v>0</v>
      </c>
      <c r="U359" s="9">
        <f t="shared" si="33"/>
        <v>0</v>
      </c>
      <c r="V359" s="9">
        <f t="shared" si="34"/>
        <v>1</v>
      </c>
    </row>
    <row r="360" spans="1:22" x14ac:dyDescent="0.35">
      <c r="A360" s="52">
        <v>49587</v>
      </c>
      <c r="B360" s="31">
        <v>46121</v>
      </c>
      <c r="C360" s="7" t="s">
        <v>337</v>
      </c>
      <c r="D360" s="7">
        <v>353</v>
      </c>
      <c r="E360" s="10">
        <f>IFERROR(SUMIFS('Base bordo CD'!M$2:M$875,'Base bordo CD'!D$2:D$875,A360,'Base bordo CD'!A$2:A$875,B360,'Base bordo CD'!L$2:L$875,"CORTE DE CANA MECANIZADO"),0)</f>
        <v>0</v>
      </c>
      <c r="F360" s="10">
        <f>IFERROR(SUMIFS('Base bordo CD'!M$2:M$875,'Base bordo CD'!D$2:D$875,A360,'Base bordo CD'!A$2:A$875,B360,'Base bordo CD'!L$2:L$875,"MANOBRA"),0)</f>
        <v>0</v>
      </c>
      <c r="G360" s="10">
        <f>IFERROR(SUMIFS('Base bordo CD'!M$2:M$875,'Base bordo CD'!D$2:D$875,A360,'Base bordo CD'!A$2:A$875,B360,'Base bordo CD'!L$2:L$875,"DESLOCAMENTO"),0)</f>
        <v>0</v>
      </c>
      <c r="H360" s="10">
        <f>IFERROR(SUMIFS('Base bordo CD'!M$2:M$875,'Base bordo CD'!D$2:D$875,A360,'Base bordo CD'!A$2:A$875,B360,'Base bordo CD'!L$2:L$875,"AGUARDANDO MANOBRA DE TRANSBORDO"),0)+IFERROR(SUMIFS('Base bordo CD'!M$2:M$875,'Base bordo CD'!D$2:D$875,A360,'Base bordo CD'!A$2:A$875,B360,'Base bordo CD'!L$2:L$875,"FALTA DE TRANSBORDO"),0)</f>
        <v>0</v>
      </c>
      <c r="I360" s="10">
        <f>IFERROR(SUMIFS('Base bordo CD'!M$2:M$875,'Base bordo CD'!D$2:D$875,A360,'Base bordo CD'!A$2:A$875,B360,'Base bordo CD'!L$2:L$875,"PARADA POR CONDICOES CLIMATICAS"),0)+IFERROR(SUMIFS('Base bordo CD'!M$2:M$875,'Base bordo CD'!D$2:D$875,A360,'Base bordo CD'!A$2:A$875,B360,'Base bordo CD'!L$2:L$875,"TEMPO INDETERMINADO"),0)</f>
        <v>24</v>
      </c>
      <c r="J360" s="10">
        <f>IFERROR(SUMIFS('Base bordo CD'!M$2:M$875,'Base bordo CD'!D$2:D$875,A360,'Base bordo CD'!A$2:A$875,B360,'Base bordo CD'!L$2:L$875,"LIMITAÇÃO INDÚSTRIA"),0)</f>
        <v>0</v>
      </c>
      <c r="K360" s="10">
        <f>IFERROR(SUMIFS('Base bordo CD'!M$2:M$875,'Base bordo CD'!D$2:D$875,A360,'Base bordo CD'!A$2:A$875,B360,'Base bordo CD'!L$2:L$875,"MAN CORRETIVA*"),0)+IFERROR(SUMIFS('Base bordo CD'!M$2:M$875,'Base bordo CD'!D$2:D$875,A360,'Base bordo CD'!A$2:A$875,B360,'Base bordo CD'!L$2:L$875,"AGUARDANDO MANUTENCAO*"),0)+IFERROR(SUMIFS('Base bordo CD'!M$2:M$875,'Base bordo CD'!D$2:D$875,A360,'Base bordo CD'!A$2:A$875,B360,'Base bordo CD'!L$2:L$875,"TROCA DE FAQUINHA"),0)+IFERROR(SUMIFS('Base bordo CD'!M$2:M$875,'Base bordo CD'!D$2:D$875,A360,'Base bordo CD'!A$2:A$875,B360,'Base bordo CD'!L$2:L$875,"LIMPEZA*"),0)</f>
        <v>0</v>
      </c>
      <c r="L360" s="10">
        <f>IFERROR(SUMIFS('Base bordo CD'!M$2:M$875,'Base bordo CD'!D$2:D$875,A360,'Base bordo CD'!A$2:A$875,B360,'Base bordo CD'!L$2:L$875,"PATIO - RESERVA"),0)</f>
        <v>0</v>
      </c>
      <c r="M360" s="10">
        <f>IFERROR(SUMIFS('Base bordo CD'!M$2:M$875,'Base bordo CD'!D$2:D$875,A360,'Base bordo CD'!A$2:A$875,B360,'Base bordo CD'!L$2:L$875,"SEM APONTAMENTO"),0)</f>
        <v>0</v>
      </c>
      <c r="N360" s="10">
        <f>IFERROR(SUMIFS('Base bordo CD'!M$2:M$875,'Base bordo CD'!D$2:D$875,A360,'Base bordo CD'!A$2:A$875,B360,'Base bordo CD'!L$2:L$875,"FALTA DE CAMINHÃO"),0)+IFERROR(SUMIFS('Base bordo CD'!M$2:M$875,'Base bordo CD'!D$2:D$875,A360,'Base bordo CD'!A$2:A$875,B360,'Base bordo CD'!L$2:L$875,"FALTA DE COMBUSTIVEL"),0)+IFERROR(SUMIFS('Base bordo CD'!M$2:M$875,'Base bordo CD'!D$2:D$875,A360,'Base bordo CD'!A$2:A$875,B360,'Base bordo CD'!L$2:L$875,"FALTA DE MOTORIST*"),0)</f>
        <v>0</v>
      </c>
      <c r="O360" s="10">
        <f t="shared" si="30"/>
        <v>0</v>
      </c>
      <c r="P360" s="10">
        <f>IFERROR(SUMIFS('Base bordo CD'!M$2:M$875,'Base bordo CD'!D$2:D$875,A360,'Base bordo CD'!A$2:A$875,B360),0)</f>
        <v>24</v>
      </c>
      <c r="Q360" s="10">
        <f>IFERROR(SUMIFS('Base bordo CD'!O$2:O$875,'Base bordo CD'!D$2:D$875,A360,'Base bordo CD'!A$2:A$875,B360,'Base bordo CD'!L$2:L$875,"CORTE DE CANA MECANIZADO"),0)</f>
        <v>0</v>
      </c>
      <c r="R360" s="10">
        <f>IFERROR(SUMIFS('Base bordo CD'!Q$2:Q$875,'Base bordo CD'!D$2:D$875,A360,'Base bordo CD'!A$2:A$875,B360,'Base bordo CD'!L$2:L$875,"CORTE DE CANA MECANIZADO"),0)</f>
        <v>0</v>
      </c>
      <c r="S360" s="30" t="str">
        <f t="shared" si="31"/>
        <v/>
      </c>
      <c r="T360" s="9">
        <f t="shared" si="32"/>
        <v>0</v>
      </c>
      <c r="U360" s="9">
        <f t="shared" si="33"/>
        <v>0</v>
      </c>
      <c r="V360" s="9">
        <f t="shared" si="34"/>
        <v>1</v>
      </c>
    </row>
    <row r="361" spans="1:22" x14ac:dyDescent="0.35">
      <c r="A361" s="52">
        <v>49587</v>
      </c>
      <c r="B361" s="31">
        <v>46121</v>
      </c>
      <c r="C361" s="7" t="s">
        <v>337</v>
      </c>
      <c r="D361" s="7">
        <v>353</v>
      </c>
      <c r="E361" s="10">
        <f>IFERROR(SUMIFS('Base bordo CD'!M$2:M$875,'Base bordo CD'!D$2:D$875,A361,'Base bordo CD'!A$2:A$875,B361,'Base bordo CD'!L$2:L$875,"CORTE DE CANA MECANIZADO"),0)</f>
        <v>0</v>
      </c>
      <c r="F361" s="10">
        <f>IFERROR(SUMIFS('Base bordo CD'!M$2:M$875,'Base bordo CD'!D$2:D$875,A361,'Base bordo CD'!A$2:A$875,B361,'Base bordo CD'!L$2:L$875,"MANOBRA"),0)</f>
        <v>0</v>
      </c>
      <c r="G361" s="10">
        <f>IFERROR(SUMIFS('Base bordo CD'!M$2:M$875,'Base bordo CD'!D$2:D$875,A361,'Base bordo CD'!A$2:A$875,B361,'Base bordo CD'!L$2:L$875,"DESLOCAMENTO"),0)</f>
        <v>0</v>
      </c>
      <c r="H361" s="10">
        <f>IFERROR(SUMIFS('Base bordo CD'!M$2:M$875,'Base bordo CD'!D$2:D$875,A361,'Base bordo CD'!A$2:A$875,B361,'Base bordo CD'!L$2:L$875,"AGUARDANDO MANOBRA DE TRANSBORDO"),0)+IFERROR(SUMIFS('Base bordo CD'!M$2:M$875,'Base bordo CD'!D$2:D$875,A361,'Base bordo CD'!A$2:A$875,B361,'Base bordo CD'!L$2:L$875,"FALTA DE TRANSBORDO"),0)</f>
        <v>0</v>
      </c>
      <c r="I361" s="10">
        <f>IFERROR(SUMIFS('Base bordo CD'!M$2:M$875,'Base bordo CD'!D$2:D$875,A361,'Base bordo CD'!A$2:A$875,B361,'Base bordo CD'!L$2:L$875,"PARADA POR CONDICOES CLIMATICAS"),0)+IFERROR(SUMIFS('Base bordo CD'!M$2:M$875,'Base bordo CD'!D$2:D$875,A361,'Base bordo CD'!A$2:A$875,B361,'Base bordo CD'!L$2:L$875,"TEMPO INDETERMINADO"),0)</f>
        <v>24</v>
      </c>
      <c r="J361" s="10">
        <f>IFERROR(SUMIFS('Base bordo CD'!M$2:M$875,'Base bordo CD'!D$2:D$875,A361,'Base bordo CD'!A$2:A$875,B361,'Base bordo CD'!L$2:L$875,"LIMITAÇÃO INDÚSTRIA"),0)</f>
        <v>0</v>
      </c>
      <c r="K361" s="10">
        <f>IFERROR(SUMIFS('Base bordo CD'!M$2:M$875,'Base bordo CD'!D$2:D$875,A361,'Base bordo CD'!A$2:A$875,B361,'Base bordo CD'!L$2:L$875,"MAN CORRETIVA*"),0)+IFERROR(SUMIFS('Base bordo CD'!M$2:M$875,'Base bordo CD'!D$2:D$875,A361,'Base bordo CD'!A$2:A$875,B361,'Base bordo CD'!L$2:L$875,"AGUARDANDO MANUTENCAO*"),0)+IFERROR(SUMIFS('Base bordo CD'!M$2:M$875,'Base bordo CD'!D$2:D$875,A361,'Base bordo CD'!A$2:A$875,B361,'Base bordo CD'!L$2:L$875,"TROCA DE FAQUINHA"),0)+IFERROR(SUMIFS('Base bordo CD'!M$2:M$875,'Base bordo CD'!D$2:D$875,A361,'Base bordo CD'!A$2:A$875,B361,'Base bordo CD'!L$2:L$875,"LIMPEZA*"),0)</f>
        <v>0</v>
      </c>
      <c r="L361" s="10">
        <f>IFERROR(SUMIFS('Base bordo CD'!M$2:M$875,'Base bordo CD'!D$2:D$875,A361,'Base bordo CD'!A$2:A$875,B361,'Base bordo CD'!L$2:L$875,"PATIO - RESERVA"),0)</f>
        <v>0</v>
      </c>
      <c r="M361" s="10">
        <f>IFERROR(SUMIFS('Base bordo CD'!M$2:M$875,'Base bordo CD'!D$2:D$875,A361,'Base bordo CD'!A$2:A$875,B361,'Base bordo CD'!L$2:L$875,"SEM APONTAMENTO"),0)</f>
        <v>0</v>
      </c>
      <c r="N361" s="10">
        <f>IFERROR(SUMIFS('Base bordo CD'!M$2:M$875,'Base bordo CD'!D$2:D$875,A361,'Base bordo CD'!A$2:A$875,B361,'Base bordo CD'!L$2:L$875,"FALTA DE CAMINHÃO"),0)+IFERROR(SUMIFS('Base bordo CD'!M$2:M$875,'Base bordo CD'!D$2:D$875,A361,'Base bordo CD'!A$2:A$875,B361,'Base bordo CD'!L$2:L$875,"FALTA DE COMBUSTIVEL"),0)+IFERROR(SUMIFS('Base bordo CD'!M$2:M$875,'Base bordo CD'!D$2:D$875,A361,'Base bordo CD'!A$2:A$875,B361,'Base bordo CD'!L$2:L$875,"FALTA DE MOTORIST*"),0)</f>
        <v>0</v>
      </c>
      <c r="O361" s="10">
        <f t="shared" si="30"/>
        <v>0</v>
      </c>
      <c r="P361" s="10">
        <f>IFERROR(SUMIFS('Base bordo CD'!M$2:M$875,'Base bordo CD'!D$2:D$875,A361,'Base bordo CD'!A$2:A$875,B361),0)</f>
        <v>24</v>
      </c>
      <c r="Q361" s="10">
        <f>IFERROR(SUMIFS('Base bordo CD'!O$2:O$875,'Base bordo CD'!D$2:D$875,A361,'Base bordo CD'!A$2:A$875,B361,'Base bordo CD'!L$2:L$875,"CORTE DE CANA MECANIZADO"),0)</f>
        <v>0</v>
      </c>
      <c r="R361" s="10">
        <f>IFERROR(SUMIFS('Base bordo CD'!Q$2:Q$875,'Base bordo CD'!D$2:D$875,A361,'Base bordo CD'!A$2:A$875,B361,'Base bordo CD'!L$2:L$875,"CORTE DE CANA MECANIZADO"),0)</f>
        <v>0</v>
      </c>
      <c r="S361" s="30" t="str">
        <f t="shared" si="31"/>
        <v/>
      </c>
      <c r="T361" s="9">
        <f t="shared" si="32"/>
        <v>0</v>
      </c>
      <c r="U361" s="9">
        <f t="shared" si="33"/>
        <v>0</v>
      </c>
      <c r="V361" s="9">
        <f t="shared" si="34"/>
        <v>1</v>
      </c>
    </row>
    <row r="362" spans="1:22" hidden="1" x14ac:dyDescent="0.35">
      <c r="A362" s="52">
        <v>49588</v>
      </c>
      <c r="B362" s="31">
        <v>46121</v>
      </c>
      <c r="C362" s="7" t="s">
        <v>364</v>
      </c>
      <c r="D362" s="7">
        <v>352</v>
      </c>
      <c r="E362" s="10">
        <f>IFERROR(SUMIFS('Base bordo CD'!M$2:M$875,'Base bordo CD'!D$2:D$875,A362,'Base bordo CD'!A$2:A$875,B362,'Base bordo CD'!L$2:L$875,"CORTE DE CANA MECANIZADO"),0)</f>
        <v>0</v>
      </c>
      <c r="F362" s="10">
        <f>IFERROR(SUMIFS('Base bordo CD'!M$2:M$875,'Base bordo CD'!D$2:D$875,A362,'Base bordo CD'!A$2:A$875,B362,'Base bordo CD'!L$2:L$875,"MANOBRA"),0)</f>
        <v>0</v>
      </c>
      <c r="G362" s="10">
        <f>IFERROR(SUMIFS('Base bordo CD'!M$2:M$875,'Base bordo CD'!D$2:D$875,A362,'Base bordo CD'!A$2:A$875,B362,'Base bordo CD'!L$2:L$875,"DESLOCAMENTO"),0)</f>
        <v>0</v>
      </c>
      <c r="H362" s="10">
        <f>IFERROR(SUMIFS('Base bordo CD'!M$2:M$875,'Base bordo CD'!D$2:D$875,A362,'Base bordo CD'!A$2:A$875,B362,'Base bordo CD'!L$2:L$875,"AGUARDANDO MANOBRA DE TRANSBORDO"),0)+IFERROR(SUMIFS('Base bordo CD'!M$2:M$875,'Base bordo CD'!D$2:D$875,A362,'Base bordo CD'!A$2:A$875,B362,'Base bordo CD'!L$2:L$875,"FALTA DE TRANSBORDO"),0)</f>
        <v>0</v>
      </c>
      <c r="I362" s="10">
        <f>IFERROR(SUMIFS('Base bordo CD'!M$2:M$875,'Base bordo CD'!D$2:D$875,A362,'Base bordo CD'!A$2:A$875,B362,'Base bordo CD'!L$2:L$875,"PARADA POR CONDICOES CLIMATICAS"),0)+IFERROR(SUMIFS('Base bordo CD'!M$2:M$875,'Base bordo CD'!D$2:D$875,A362,'Base bordo CD'!A$2:A$875,B362,'Base bordo CD'!L$2:L$875,"TEMPO INDETERMINADO"),0)</f>
        <v>24</v>
      </c>
      <c r="J362" s="10">
        <f>IFERROR(SUMIFS('Base bordo CD'!M$2:M$875,'Base bordo CD'!D$2:D$875,A362,'Base bordo CD'!A$2:A$875,B362,'Base bordo CD'!L$2:L$875,"LIMITAÇÃO INDÚSTRIA"),0)</f>
        <v>0</v>
      </c>
      <c r="K362" s="10">
        <f>IFERROR(SUMIFS('Base bordo CD'!M$2:M$875,'Base bordo CD'!D$2:D$875,A362,'Base bordo CD'!A$2:A$875,B362,'Base bordo CD'!L$2:L$875,"MAN CORRETIVA*"),0)+IFERROR(SUMIFS('Base bordo CD'!M$2:M$875,'Base bordo CD'!D$2:D$875,A362,'Base bordo CD'!A$2:A$875,B362,'Base bordo CD'!L$2:L$875,"AGUARDANDO MANUTENCAO*"),0)+IFERROR(SUMIFS('Base bordo CD'!M$2:M$875,'Base bordo CD'!D$2:D$875,A362,'Base bordo CD'!A$2:A$875,B362,'Base bordo CD'!L$2:L$875,"TROCA DE FAQUINHA"),0)+IFERROR(SUMIFS('Base bordo CD'!M$2:M$875,'Base bordo CD'!D$2:D$875,A362,'Base bordo CD'!A$2:A$875,B362,'Base bordo CD'!L$2:L$875,"LIMPEZA*"),0)</f>
        <v>0</v>
      </c>
      <c r="L362" s="10">
        <f>IFERROR(SUMIFS('Base bordo CD'!M$2:M$875,'Base bordo CD'!D$2:D$875,A362,'Base bordo CD'!A$2:A$875,B362,'Base bordo CD'!L$2:L$875,"PATIO - RESERVA"),0)</f>
        <v>0</v>
      </c>
      <c r="M362" s="10">
        <f>IFERROR(SUMIFS('Base bordo CD'!M$2:M$875,'Base bordo CD'!D$2:D$875,A362,'Base bordo CD'!A$2:A$875,B362,'Base bordo CD'!L$2:L$875,"SEM APONTAMENTO"),0)</f>
        <v>0</v>
      </c>
      <c r="N362" s="10">
        <f>IFERROR(SUMIFS('Base bordo CD'!M$2:M$875,'Base bordo CD'!D$2:D$875,A362,'Base bordo CD'!A$2:A$875,B362,'Base bordo CD'!L$2:L$875,"FALTA DE CAMINHÃO"),0)+IFERROR(SUMIFS('Base bordo CD'!M$2:M$875,'Base bordo CD'!D$2:D$875,A362,'Base bordo CD'!A$2:A$875,B362,'Base bordo CD'!L$2:L$875,"FALTA DE COMBUSTIVEL"),0)+IFERROR(SUMIFS('Base bordo CD'!M$2:M$875,'Base bordo CD'!D$2:D$875,A362,'Base bordo CD'!A$2:A$875,B362,'Base bordo CD'!L$2:L$875,"FALTA DE MOTORIST*"),0)</f>
        <v>0</v>
      </c>
      <c r="O362" s="10">
        <f t="shared" si="30"/>
        <v>0</v>
      </c>
      <c r="P362" s="10">
        <f>IFERROR(SUMIFS('Base bordo CD'!M$2:M$875,'Base bordo CD'!D$2:D$875,A362,'Base bordo CD'!A$2:A$875,B362),0)</f>
        <v>24</v>
      </c>
      <c r="Q362" s="10">
        <f>IFERROR(SUMIFS('Base bordo CD'!O$2:O$875,'Base bordo CD'!D$2:D$875,A362,'Base bordo CD'!A$2:A$875,B362,'Base bordo CD'!L$2:L$875,"CORTE DE CANA MECANIZADO"),0)</f>
        <v>0</v>
      </c>
      <c r="R362" s="10">
        <f>IFERROR(SUMIFS('Base bordo CD'!Q$2:Q$875,'Base bordo CD'!D$2:D$875,A362,'Base bordo CD'!A$2:A$875,B362,'Base bordo CD'!L$2:L$875,"CORTE DE CANA MECANIZADO"),0)</f>
        <v>0</v>
      </c>
      <c r="S362" s="30" t="str">
        <f t="shared" si="31"/>
        <v/>
      </c>
      <c r="T362" s="9">
        <f t="shared" si="32"/>
        <v>0</v>
      </c>
      <c r="U362" s="9">
        <f t="shared" si="33"/>
        <v>0</v>
      </c>
      <c r="V362" s="9">
        <f t="shared" si="34"/>
        <v>1</v>
      </c>
    </row>
    <row r="363" spans="1:22" hidden="1" x14ac:dyDescent="0.35">
      <c r="A363" s="52">
        <v>49588</v>
      </c>
      <c r="B363" s="31">
        <v>46121</v>
      </c>
      <c r="C363" s="7" t="s">
        <v>364</v>
      </c>
      <c r="D363" s="7">
        <v>352</v>
      </c>
      <c r="E363" s="10">
        <f>IFERROR(SUMIFS('Base bordo CD'!M$2:M$875,'Base bordo CD'!D$2:D$875,A363,'Base bordo CD'!A$2:A$875,B363,'Base bordo CD'!L$2:L$875,"CORTE DE CANA MECANIZADO"),0)</f>
        <v>0</v>
      </c>
      <c r="F363" s="10">
        <f>IFERROR(SUMIFS('Base bordo CD'!M$2:M$875,'Base bordo CD'!D$2:D$875,A363,'Base bordo CD'!A$2:A$875,B363,'Base bordo CD'!L$2:L$875,"MANOBRA"),0)</f>
        <v>0</v>
      </c>
      <c r="G363" s="10">
        <f>IFERROR(SUMIFS('Base bordo CD'!M$2:M$875,'Base bordo CD'!D$2:D$875,A363,'Base bordo CD'!A$2:A$875,B363,'Base bordo CD'!L$2:L$875,"DESLOCAMENTO"),0)</f>
        <v>0</v>
      </c>
      <c r="H363" s="10">
        <f>IFERROR(SUMIFS('Base bordo CD'!M$2:M$875,'Base bordo CD'!D$2:D$875,A363,'Base bordo CD'!A$2:A$875,B363,'Base bordo CD'!L$2:L$875,"AGUARDANDO MANOBRA DE TRANSBORDO"),0)+IFERROR(SUMIFS('Base bordo CD'!M$2:M$875,'Base bordo CD'!D$2:D$875,A363,'Base bordo CD'!A$2:A$875,B363,'Base bordo CD'!L$2:L$875,"FALTA DE TRANSBORDO"),0)</f>
        <v>0</v>
      </c>
      <c r="I363" s="10">
        <f>IFERROR(SUMIFS('Base bordo CD'!M$2:M$875,'Base bordo CD'!D$2:D$875,A363,'Base bordo CD'!A$2:A$875,B363,'Base bordo CD'!L$2:L$875,"PARADA POR CONDICOES CLIMATICAS"),0)+IFERROR(SUMIFS('Base bordo CD'!M$2:M$875,'Base bordo CD'!D$2:D$875,A363,'Base bordo CD'!A$2:A$875,B363,'Base bordo CD'!L$2:L$875,"TEMPO INDETERMINADO"),0)</f>
        <v>24</v>
      </c>
      <c r="J363" s="10">
        <f>IFERROR(SUMIFS('Base bordo CD'!M$2:M$875,'Base bordo CD'!D$2:D$875,A363,'Base bordo CD'!A$2:A$875,B363,'Base bordo CD'!L$2:L$875,"LIMITAÇÃO INDÚSTRIA"),0)</f>
        <v>0</v>
      </c>
      <c r="K363" s="10">
        <f>IFERROR(SUMIFS('Base bordo CD'!M$2:M$875,'Base bordo CD'!D$2:D$875,A363,'Base bordo CD'!A$2:A$875,B363,'Base bordo CD'!L$2:L$875,"MAN CORRETIVA*"),0)+IFERROR(SUMIFS('Base bordo CD'!M$2:M$875,'Base bordo CD'!D$2:D$875,A363,'Base bordo CD'!A$2:A$875,B363,'Base bordo CD'!L$2:L$875,"AGUARDANDO MANUTENCAO*"),0)+IFERROR(SUMIFS('Base bordo CD'!M$2:M$875,'Base bordo CD'!D$2:D$875,A363,'Base bordo CD'!A$2:A$875,B363,'Base bordo CD'!L$2:L$875,"TROCA DE FAQUINHA"),0)+IFERROR(SUMIFS('Base bordo CD'!M$2:M$875,'Base bordo CD'!D$2:D$875,A363,'Base bordo CD'!A$2:A$875,B363,'Base bordo CD'!L$2:L$875,"LIMPEZA*"),0)</f>
        <v>0</v>
      </c>
      <c r="L363" s="10">
        <f>IFERROR(SUMIFS('Base bordo CD'!M$2:M$875,'Base bordo CD'!D$2:D$875,A363,'Base bordo CD'!A$2:A$875,B363,'Base bordo CD'!L$2:L$875,"PATIO - RESERVA"),0)</f>
        <v>0</v>
      </c>
      <c r="M363" s="10">
        <f>IFERROR(SUMIFS('Base bordo CD'!M$2:M$875,'Base bordo CD'!D$2:D$875,A363,'Base bordo CD'!A$2:A$875,B363,'Base bordo CD'!L$2:L$875,"SEM APONTAMENTO"),0)</f>
        <v>0</v>
      </c>
      <c r="N363" s="10">
        <f>IFERROR(SUMIFS('Base bordo CD'!M$2:M$875,'Base bordo CD'!D$2:D$875,A363,'Base bordo CD'!A$2:A$875,B363,'Base bordo CD'!L$2:L$875,"FALTA DE CAMINHÃO"),0)+IFERROR(SUMIFS('Base bordo CD'!M$2:M$875,'Base bordo CD'!D$2:D$875,A363,'Base bordo CD'!A$2:A$875,B363,'Base bordo CD'!L$2:L$875,"FALTA DE COMBUSTIVEL"),0)+IFERROR(SUMIFS('Base bordo CD'!M$2:M$875,'Base bordo CD'!D$2:D$875,A363,'Base bordo CD'!A$2:A$875,B363,'Base bordo CD'!L$2:L$875,"FALTA DE MOTORIST*"),0)</f>
        <v>0</v>
      </c>
      <c r="O363" s="10">
        <f t="shared" si="30"/>
        <v>0</v>
      </c>
      <c r="P363" s="10">
        <f>IFERROR(SUMIFS('Base bordo CD'!M$2:M$875,'Base bordo CD'!D$2:D$875,A363,'Base bordo CD'!A$2:A$875,B363),0)</f>
        <v>24</v>
      </c>
      <c r="Q363" s="10">
        <f>IFERROR(SUMIFS('Base bordo CD'!O$2:O$875,'Base bordo CD'!D$2:D$875,A363,'Base bordo CD'!A$2:A$875,B363,'Base bordo CD'!L$2:L$875,"CORTE DE CANA MECANIZADO"),0)</f>
        <v>0</v>
      </c>
      <c r="R363" s="10">
        <f>IFERROR(SUMIFS('Base bordo CD'!Q$2:Q$875,'Base bordo CD'!D$2:D$875,A363,'Base bordo CD'!A$2:A$875,B363,'Base bordo CD'!L$2:L$875,"CORTE DE CANA MECANIZADO"),0)</f>
        <v>0</v>
      </c>
      <c r="S363" s="30" t="str">
        <f t="shared" si="31"/>
        <v/>
      </c>
      <c r="T363" s="9">
        <f t="shared" si="32"/>
        <v>0</v>
      </c>
      <c r="U363" s="9">
        <f t="shared" si="33"/>
        <v>0</v>
      </c>
      <c r="V363" s="9">
        <f t="shared" si="34"/>
        <v>1</v>
      </c>
    </row>
    <row r="364" spans="1:22" hidden="1" x14ac:dyDescent="0.35">
      <c r="A364" s="52">
        <v>49588</v>
      </c>
      <c r="B364" s="31">
        <v>46121</v>
      </c>
      <c r="C364" s="7" t="s">
        <v>364</v>
      </c>
      <c r="D364" s="7">
        <v>352</v>
      </c>
      <c r="E364" s="10">
        <f>IFERROR(SUMIFS('Base bordo CD'!M$2:M$875,'Base bordo CD'!D$2:D$875,A364,'Base bordo CD'!A$2:A$875,B364,'Base bordo CD'!L$2:L$875,"CORTE DE CANA MECANIZADO"),0)</f>
        <v>0</v>
      </c>
      <c r="F364" s="10">
        <f>IFERROR(SUMIFS('Base bordo CD'!M$2:M$875,'Base bordo CD'!D$2:D$875,A364,'Base bordo CD'!A$2:A$875,B364,'Base bordo CD'!L$2:L$875,"MANOBRA"),0)</f>
        <v>0</v>
      </c>
      <c r="G364" s="10">
        <f>IFERROR(SUMIFS('Base bordo CD'!M$2:M$875,'Base bordo CD'!D$2:D$875,A364,'Base bordo CD'!A$2:A$875,B364,'Base bordo CD'!L$2:L$875,"DESLOCAMENTO"),0)</f>
        <v>0</v>
      </c>
      <c r="H364" s="10">
        <f>IFERROR(SUMIFS('Base bordo CD'!M$2:M$875,'Base bordo CD'!D$2:D$875,A364,'Base bordo CD'!A$2:A$875,B364,'Base bordo CD'!L$2:L$875,"AGUARDANDO MANOBRA DE TRANSBORDO"),0)+IFERROR(SUMIFS('Base bordo CD'!M$2:M$875,'Base bordo CD'!D$2:D$875,A364,'Base bordo CD'!A$2:A$875,B364,'Base bordo CD'!L$2:L$875,"FALTA DE TRANSBORDO"),0)</f>
        <v>0</v>
      </c>
      <c r="I364" s="10">
        <f>IFERROR(SUMIFS('Base bordo CD'!M$2:M$875,'Base bordo CD'!D$2:D$875,A364,'Base bordo CD'!A$2:A$875,B364,'Base bordo CD'!L$2:L$875,"PARADA POR CONDICOES CLIMATICAS"),0)+IFERROR(SUMIFS('Base bordo CD'!M$2:M$875,'Base bordo CD'!D$2:D$875,A364,'Base bordo CD'!A$2:A$875,B364,'Base bordo CD'!L$2:L$875,"TEMPO INDETERMINADO"),0)</f>
        <v>24</v>
      </c>
      <c r="J364" s="10">
        <f>IFERROR(SUMIFS('Base bordo CD'!M$2:M$875,'Base bordo CD'!D$2:D$875,A364,'Base bordo CD'!A$2:A$875,B364,'Base bordo CD'!L$2:L$875,"LIMITAÇÃO INDÚSTRIA"),0)</f>
        <v>0</v>
      </c>
      <c r="K364" s="10">
        <f>IFERROR(SUMIFS('Base bordo CD'!M$2:M$875,'Base bordo CD'!D$2:D$875,A364,'Base bordo CD'!A$2:A$875,B364,'Base bordo CD'!L$2:L$875,"MAN CORRETIVA*"),0)+IFERROR(SUMIFS('Base bordo CD'!M$2:M$875,'Base bordo CD'!D$2:D$875,A364,'Base bordo CD'!A$2:A$875,B364,'Base bordo CD'!L$2:L$875,"AGUARDANDO MANUTENCAO*"),0)+IFERROR(SUMIFS('Base bordo CD'!M$2:M$875,'Base bordo CD'!D$2:D$875,A364,'Base bordo CD'!A$2:A$875,B364,'Base bordo CD'!L$2:L$875,"TROCA DE FAQUINHA"),0)+IFERROR(SUMIFS('Base bordo CD'!M$2:M$875,'Base bordo CD'!D$2:D$875,A364,'Base bordo CD'!A$2:A$875,B364,'Base bordo CD'!L$2:L$875,"LIMPEZA*"),0)</f>
        <v>0</v>
      </c>
      <c r="L364" s="10">
        <f>IFERROR(SUMIFS('Base bordo CD'!M$2:M$875,'Base bordo CD'!D$2:D$875,A364,'Base bordo CD'!A$2:A$875,B364,'Base bordo CD'!L$2:L$875,"PATIO - RESERVA"),0)</f>
        <v>0</v>
      </c>
      <c r="M364" s="10">
        <f>IFERROR(SUMIFS('Base bordo CD'!M$2:M$875,'Base bordo CD'!D$2:D$875,A364,'Base bordo CD'!A$2:A$875,B364,'Base bordo CD'!L$2:L$875,"SEM APONTAMENTO"),0)</f>
        <v>0</v>
      </c>
      <c r="N364" s="10">
        <f>IFERROR(SUMIFS('Base bordo CD'!M$2:M$875,'Base bordo CD'!D$2:D$875,A364,'Base bordo CD'!A$2:A$875,B364,'Base bordo CD'!L$2:L$875,"FALTA DE CAMINHÃO"),0)+IFERROR(SUMIFS('Base bordo CD'!M$2:M$875,'Base bordo CD'!D$2:D$875,A364,'Base bordo CD'!A$2:A$875,B364,'Base bordo CD'!L$2:L$875,"FALTA DE COMBUSTIVEL"),0)+IFERROR(SUMIFS('Base bordo CD'!M$2:M$875,'Base bordo CD'!D$2:D$875,A364,'Base bordo CD'!A$2:A$875,B364,'Base bordo CD'!L$2:L$875,"FALTA DE MOTORIST*"),0)</f>
        <v>0</v>
      </c>
      <c r="O364" s="10">
        <f t="shared" si="30"/>
        <v>0</v>
      </c>
      <c r="P364" s="10">
        <f>IFERROR(SUMIFS('Base bordo CD'!M$2:M$875,'Base bordo CD'!D$2:D$875,A364,'Base bordo CD'!A$2:A$875,B364),0)</f>
        <v>24</v>
      </c>
      <c r="Q364" s="10">
        <f>IFERROR(SUMIFS('Base bordo CD'!O$2:O$875,'Base bordo CD'!D$2:D$875,A364,'Base bordo CD'!A$2:A$875,B364,'Base bordo CD'!L$2:L$875,"CORTE DE CANA MECANIZADO"),0)</f>
        <v>0</v>
      </c>
      <c r="R364" s="10">
        <f>IFERROR(SUMIFS('Base bordo CD'!Q$2:Q$875,'Base bordo CD'!D$2:D$875,A364,'Base bordo CD'!A$2:A$875,B364,'Base bordo CD'!L$2:L$875,"CORTE DE CANA MECANIZADO"),0)</f>
        <v>0</v>
      </c>
      <c r="S364" s="30" t="str">
        <f t="shared" si="31"/>
        <v/>
      </c>
      <c r="T364" s="9">
        <f t="shared" si="32"/>
        <v>0</v>
      </c>
      <c r="U364" s="9">
        <f t="shared" si="33"/>
        <v>0</v>
      </c>
      <c r="V364" s="9">
        <f t="shared" si="34"/>
        <v>1</v>
      </c>
    </row>
    <row r="365" spans="1:22" hidden="1" x14ac:dyDescent="0.35">
      <c r="A365" s="52">
        <v>49588</v>
      </c>
      <c r="B365" s="31">
        <v>46121</v>
      </c>
      <c r="C365" s="7" t="s">
        <v>364</v>
      </c>
      <c r="D365" s="7">
        <v>352</v>
      </c>
      <c r="E365" s="10">
        <f>IFERROR(SUMIFS('Base bordo CD'!M$2:M$875,'Base bordo CD'!D$2:D$875,A365,'Base bordo CD'!A$2:A$875,B365,'Base bordo CD'!L$2:L$875,"CORTE DE CANA MECANIZADO"),0)</f>
        <v>0</v>
      </c>
      <c r="F365" s="10">
        <f>IFERROR(SUMIFS('Base bordo CD'!M$2:M$875,'Base bordo CD'!D$2:D$875,A365,'Base bordo CD'!A$2:A$875,B365,'Base bordo CD'!L$2:L$875,"MANOBRA"),0)</f>
        <v>0</v>
      </c>
      <c r="G365" s="10">
        <f>IFERROR(SUMIFS('Base bordo CD'!M$2:M$875,'Base bordo CD'!D$2:D$875,A365,'Base bordo CD'!A$2:A$875,B365,'Base bordo CD'!L$2:L$875,"DESLOCAMENTO"),0)</f>
        <v>0</v>
      </c>
      <c r="H365" s="10">
        <f>IFERROR(SUMIFS('Base bordo CD'!M$2:M$875,'Base bordo CD'!D$2:D$875,A365,'Base bordo CD'!A$2:A$875,B365,'Base bordo CD'!L$2:L$875,"AGUARDANDO MANOBRA DE TRANSBORDO"),0)+IFERROR(SUMIFS('Base bordo CD'!M$2:M$875,'Base bordo CD'!D$2:D$875,A365,'Base bordo CD'!A$2:A$875,B365,'Base bordo CD'!L$2:L$875,"FALTA DE TRANSBORDO"),0)</f>
        <v>0</v>
      </c>
      <c r="I365" s="10">
        <f>IFERROR(SUMIFS('Base bordo CD'!M$2:M$875,'Base bordo CD'!D$2:D$875,A365,'Base bordo CD'!A$2:A$875,B365,'Base bordo CD'!L$2:L$875,"PARADA POR CONDICOES CLIMATICAS"),0)+IFERROR(SUMIFS('Base bordo CD'!M$2:M$875,'Base bordo CD'!D$2:D$875,A365,'Base bordo CD'!A$2:A$875,B365,'Base bordo CD'!L$2:L$875,"TEMPO INDETERMINADO"),0)</f>
        <v>24</v>
      </c>
      <c r="J365" s="10">
        <f>IFERROR(SUMIFS('Base bordo CD'!M$2:M$875,'Base bordo CD'!D$2:D$875,A365,'Base bordo CD'!A$2:A$875,B365,'Base bordo CD'!L$2:L$875,"LIMITAÇÃO INDÚSTRIA"),0)</f>
        <v>0</v>
      </c>
      <c r="K365" s="10">
        <f>IFERROR(SUMIFS('Base bordo CD'!M$2:M$875,'Base bordo CD'!D$2:D$875,A365,'Base bordo CD'!A$2:A$875,B365,'Base bordo CD'!L$2:L$875,"MAN CORRETIVA*"),0)+IFERROR(SUMIFS('Base bordo CD'!M$2:M$875,'Base bordo CD'!D$2:D$875,A365,'Base bordo CD'!A$2:A$875,B365,'Base bordo CD'!L$2:L$875,"AGUARDANDO MANUTENCAO*"),0)+IFERROR(SUMIFS('Base bordo CD'!M$2:M$875,'Base bordo CD'!D$2:D$875,A365,'Base bordo CD'!A$2:A$875,B365,'Base bordo CD'!L$2:L$875,"TROCA DE FAQUINHA"),0)+IFERROR(SUMIFS('Base bordo CD'!M$2:M$875,'Base bordo CD'!D$2:D$875,A365,'Base bordo CD'!A$2:A$875,B365,'Base bordo CD'!L$2:L$875,"LIMPEZA*"),0)</f>
        <v>0</v>
      </c>
      <c r="L365" s="10">
        <f>IFERROR(SUMIFS('Base bordo CD'!M$2:M$875,'Base bordo CD'!D$2:D$875,A365,'Base bordo CD'!A$2:A$875,B365,'Base bordo CD'!L$2:L$875,"PATIO - RESERVA"),0)</f>
        <v>0</v>
      </c>
      <c r="M365" s="10">
        <f>IFERROR(SUMIFS('Base bordo CD'!M$2:M$875,'Base bordo CD'!D$2:D$875,A365,'Base bordo CD'!A$2:A$875,B365,'Base bordo CD'!L$2:L$875,"SEM APONTAMENTO"),0)</f>
        <v>0</v>
      </c>
      <c r="N365" s="10">
        <f>IFERROR(SUMIFS('Base bordo CD'!M$2:M$875,'Base bordo CD'!D$2:D$875,A365,'Base bordo CD'!A$2:A$875,B365,'Base bordo CD'!L$2:L$875,"FALTA DE CAMINHÃO"),0)+IFERROR(SUMIFS('Base bordo CD'!M$2:M$875,'Base bordo CD'!D$2:D$875,A365,'Base bordo CD'!A$2:A$875,B365,'Base bordo CD'!L$2:L$875,"FALTA DE COMBUSTIVEL"),0)+IFERROR(SUMIFS('Base bordo CD'!M$2:M$875,'Base bordo CD'!D$2:D$875,A365,'Base bordo CD'!A$2:A$875,B365,'Base bordo CD'!L$2:L$875,"FALTA DE MOTORIST*"),0)</f>
        <v>0</v>
      </c>
      <c r="O365" s="10">
        <f t="shared" si="30"/>
        <v>0</v>
      </c>
      <c r="P365" s="10">
        <f>IFERROR(SUMIFS('Base bordo CD'!M$2:M$875,'Base bordo CD'!D$2:D$875,A365,'Base bordo CD'!A$2:A$875,B365),0)</f>
        <v>24</v>
      </c>
      <c r="Q365" s="10">
        <f>IFERROR(SUMIFS('Base bordo CD'!O$2:O$875,'Base bordo CD'!D$2:D$875,A365,'Base bordo CD'!A$2:A$875,B365,'Base bordo CD'!L$2:L$875,"CORTE DE CANA MECANIZADO"),0)</f>
        <v>0</v>
      </c>
      <c r="R365" s="10">
        <f>IFERROR(SUMIFS('Base bordo CD'!Q$2:Q$875,'Base bordo CD'!D$2:D$875,A365,'Base bordo CD'!A$2:A$875,B365,'Base bordo CD'!L$2:L$875,"CORTE DE CANA MECANIZADO"),0)</f>
        <v>0</v>
      </c>
      <c r="S365" s="30" t="str">
        <f t="shared" si="31"/>
        <v/>
      </c>
      <c r="T365" s="9">
        <f t="shared" si="32"/>
        <v>0</v>
      </c>
      <c r="U365" s="9">
        <f t="shared" si="33"/>
        <v>0</v>
      </c>
      <c r="V365" s="9">
        <f t="shared" si="34"/>
        <v>1</v>
      </c>
    </row>
    <row r="366" spans="1:22" hidden="1" x14ac:dyDescent="0.35">
      <c r="A366" s="52">
        <v>49589</v>
      </c>
      <c r="B366" s="31">
        <v>46121</v>
      </c>
      <c r="C366" s="7" t="s">
        <v>321</v>
      </c>
      <c r="D366" s="7">
        <v>351</v>
      </c>
      <c r="E366" s="10">
        <f>IFERROR(SUMIFS('Base bordo CD'!M$2:M$875,'Base bordo CD'!D$2:D$875,A366,'Base bordo CD'!A$2:A$875,B366,'Base bordo CD'!L$2:L$875,"CORTE DE CANA MECANIZADO"),0)</f>
        <v>0</v>
      </c>
      <c r="F366" s="10">
        <f>IFERROR(SUMIFS('Base bordo CD'!M$2:M$875,'Base bordo CD'!D$2:D$875,A366,'Base bordo CD'!A$2:A$875,B366,'Base bordo CD'!L$2:L$875,"MANOBRA"),0)</f>
        <v>0</v>
      </c>
      <c r="G366" s="10">
        <f>IFERROR(SUMIFS('Base bordo CD'!M$2:M$875,'Base bordo CD'!D$2:D$875,A366,'Base bordo CD'!A$2:A$875,B366,'Base bordo CD'!L$2:L$875,"DESLOCAMENTO"),0)</f>
        <v>0</v>
      </c>
      <c r="H366" s="10">
        <f>IFERROR(SUMIFS('Base bordo CD'!M$2:M$875,'Base bordo CD'!D$2:D$875,A366,'Base bordo CD'!A$2:A$875,B366,'Base bordo CD'!L$2:L$875,"AGUARDANDO MANOBRA DE TRANSBORDO"),0)+IFERROR(SUMIFS('Base bordo CD'!M$2:M$875,'Base bordo CD'!D$2:D$875,A366,'Base bordo CD'!A$2:A$875,B366,'Base bordo CD'!L$2:L$875,"FALTA DE TRANSBORDO"),0)</f>
        <v>0</v>
      </c>
      <c r="I366" s="10">
        <f>IFERROR(SUMIFS('Base bordo CD'!M$2:M$875,'Base bordo CD'!D$2:D$875,A366,'Base bordo CD'!A$2:A$875,B366,'Base bordo CD'!L$2:L$875,"PARADA POR CONDICOES CLIMATICAS"),0)+IFERROR(SUMIFS('Base bordo CD'!M$2:M$875,'Base bordo CD'!D$2:D$875,A366,'Base bordo CD'!A$2:A$875,B366,'Base bordo CD'!L$2:L$875,"TEMPO INDETERMINADO"),0)</f>
        <v>24</v>
      </c>
      <c r="J366" s="10">
        <f>IFERROR(SUMIFS('Base bordo CD'!M$2:M$875,'Base bordo CD'!D$2:D$875,A366,'Base bordo CD'!A$2:A$875,B366,'Base bordo CD'!L$2:L$875,"LIMITAÇÃO INDÚSTRIA"),0)</f>
        <v>0</v>
      </c>
      <c r="K366" s="10">
        <f>IFERROR(SUMIFS('Base bordo CD'!M$2:M$875,'Base bordo CD'!D$2:D$875,A366,'Base bordo CD'!A$2:A$875,B366,'Base bordo CD'!L$2:L$875,"MAN CORRETIVA*"),0)+IFERROR(SUMIFS('Base bordo CD'!M$2:M$875,'Base bordo CD'!D$2:D$875,A366,'Base bordo CD'!A$2:A$875,B366,'Base bordo CD'!L$2:L$875,"AGUARDANDO MANUTENCAO*"),0)+IFERROR(SUMIFS('Base bordo CD'!M$2:M$875,'Base bordo CD'!D$2:D$875,A366,'Base bordo CD'!A$2:A$875,B366,'Base bordo CD'!L$2:L$875,"TROCA DE FAQUINHA"),0)+IFERROR(SUMIFS('Base bordo CD'!M$2:M$875,'Base bordo CD'!D$2:D$875,A366,'Base bordo CD'!A$2:A$875,B366,'Base bordo CD'!L$2:L$875,"LIMPEZA*"),0)</f>
        <v>0</v>
      </c>
      <c r="L366" s="10">
        <f>IFERROR(SUMIFS('Base bordo CD'!M$2:M$875,'Base bordo CD'!D$2:D$875,A366,'Base bordo CD'!A$2:A$875,B366,'Base bordo CD'!L$2:L$875,"PATIO - RESERVA"),0)</f>
        <v>0</v>
      </c>
      <c r="M366" s="10">
        <f>IFERROR(SUMIFS('Base bordo CD'!M$2:M$875,'Base bordo CD'!D$2:D$875,A366,'Base bordo CD'!A$2:A$875,B366,'Base bordo CD'!L$2:L$875,"SEM APONTAMENTO"),0)</f>
        <v>0</v>
      </c>
      <c r="N366" s="10">
        <f>IFERROR(SUMIFS('Base bordo CD'!M$2:M$875,'Base bordo CD'!D$2:D$875,A366,'Base bordo CD'!A$2:A$875,B366,'Base bordo CD'!L$2:L$875,"FALTA DE CAMINHÃO"),0)+IFERROR(SUMIFS('Base bordo CD'!M$2:M$875,'Base bordo CD'!D$2:D$875,A366,'Base bordo CD'!A$2:A$875,B366,'Base bordo CD'!L$2:L$875,"FALTA DE COMBUSTIVEL"),0)+IFERROR(SUMIFS('Base bordo CD'!M$2:M$875,'Base bordo CD'!D$2:D$875,A366,'Base bordo CD'!A$2:A$875,B366,'Base bordo CD'!L$2:L$875,"FALTA DE MOTORIST*"),0)</f>
        <v>0</v>
      </c>
      <c r="O366" s="10">
        <f t="shared" si="30"/>
        <v>0</v>
      </c>
      <c r="P366" s="10">
        <f>IFERROR(SUMIFS('Base bordo CD'!M$2:M$875,'Base bordo CD'!D$2:D$875,A366,'Base bordo CD'!A$2:A$875,B366),0)</f>
        <v>24</v>
      </c>
      <c r="Q366" s="10">
        <f>IFERROR(SUMIFS('Base bordo CD'!O$2:O$875,'Base bordo CD'!D$2:D$875,A366,'Base bordo CD'!A$2:A$875,B366,'Base bordo CD'!L$2:L$875,"CORTE DE CANA MECANIZADO"),0)</f>
        <v>0</v>
      </c>
      <c r="R366" s="10">
        <f>IFERROR(SUMIFS('Base bordo CD'!Q$2:Q$875,'Base bordo CD'!D$2:D$875,A366,'Base bordo CD'!A$2:A$875,B366,'Base bordo CD'!L$2:L$875,"CORTE DE CANA MECANIZADO"),0)</f>
        <v>0</v>
      </c>
      <c r="S366" s="30" t="str">
        <f t="shared" si="31"/>
        <v/>
      </c>
      <c r="T366" s="9">
        <f t="shared" si="32"/>
        <v>0</v>
      </c>
      <c r="U366" s="9">
        <f t="shared" si="33"/>
        <v>0</v>
      </c>
      <c r="V366" s="9">
        <f t="shared" si="34"/>
        <v>1</v>
      </c>
    </row>
    <row r="367" spans="1:22" hidden="1" x14ac:dyDescent="0.35">
      <c r="A367" s="52">
        <v>49590</v>
      </c>
      <c r="B367" s="31">
        <v>46121</v>
      </c>
      <c r="C367" s="7" t="s">
        <v>321</v>
      </c>
      <c r="D367" s="7">
        <v>351</v>
      </c>
      <c r="E367" s="10">
        <f>IFERROR(SUMIFS('Base bordo CD'!M$2:M$875,'Base bordo CD'!D$2:D$875,A367,'Base bordo CD'!A$2:A$875,B367,'Base bordo CD'!L$2:L$875,"CORTE DE CANA MECANIZADO"),0)</f>
        <v>0</v>
      </c>
      <c r="F367" s="10">
        <f>IFERROR(SUMIFS('Base bordo CD'!M$2:M$875,'Base bordo CD'!D$2:D$875,A367,'Base bordo CD'!A$2:A$875,B367,'Base bordo CD'!L$2:L$875,"MANOBRA"),0)</f>
        <v>0</v>
      </c>
      <c r="G367" s="10">
        <f>IFERROR(SUMIFS('Base bordo CD'!M$2:M$875,'Base bordo CD'!D$2:D$875,A367,'Base bordo CD'!A$2:A$875,B367,'Base bordo CD'!L$2:L$875,"DESLOCAMENTO"),0)</f>
        <v>0</v>
      </c>
      <c r="H367" s="10">
        <f>IFERROR(SUMIFS('Base bordo CD'!M$2:M$875,'Base bordo CD'!D$2:D$875,A367,'Base bordo CD'!A$2:A$875,B367,'Base bordo CD'!L$2:L$875,"AGUARDANDO MANOBRA DE TRANSBORDO"),0)+IFERROR(SUMIFS('Base bordo CD'!M$2:M$875,'Base bordo CD'!D$2:D$875,A367,'Base bordo CD'!A$2:A$875,B367,'Base bordo CD'!L$2:L$875,"FALTA DE TRANSBORDO"),0)</f>
        <v>0</v>
      </c>
      <c r="I367" s="10">
        <f>IFERROR(SUMIFS('Base bordo CD'!M$2:M$875,'Base bordo CD'!D$2:D$875,A367,'Base bordo CD'!A$2:A$875,B367,'Base bordo CD'!L$2:L$875,"PARADA POR CONDICOES CLIMATICAS"),0)+IFERROR(SUMIFS('Base bordo CD'!M$2:M$875,'Base bordo CD'!D$2:D$875,A367,'Base bordo CD'!A$2:A$875,B367,'Base bordo CD'!L$2:L$875,"TEMPO INDETERMINADO"),0)</f>
        <v>24</v>
      </c>
      <c r="J367" s="10">
        <f>IFERROR(SUMIFS('Base bordo CD'!M$2:M$875,'Base bordo CD'!D$2:D$875,A367,'Base bordo CD'!A$2:A$875,B367,'Base bordo CD'!L$2:L$875,"LIMITAÇÃO INDÚSTRIA"),0)</f>
        <v>0</v>
      </c>
      <c r="K367" s="10">
        <f>IFERROR(SUMIFS('Base bordo CD'!M$2:M$875,'Base bordo CD'!D$2:D$875,A367,'Base bordo CD'!A$2:A$875,B367,'Base bordo CD'!L$2:L$875,"MAN CORRETIVA*"),0)+IFERROR(SUMIFS('Base bordo CD'!M$2:M$875,'Base bordo CD'!D$2:D$875,A367,'Base bordo CD'!A$2:A$875,B367,'Base bordo CD'!L$2:L$875,"AGUARDANDO MANUTENCAO*"),0)+IFERROR(SUMIFS('Base bordo CD'!M$2:M$875,'Base bordo CD'!D$2:D$875,A367,'Base bordo CD'!A$2:A$875,B367,'Base bordo CD'!L$2:L$875,"TROCA DE FAQUINHA"),0)+IFERROR(SUMIFS('Base bordo CD'!M$2:M$875,'Base bordo CD'!D$2:D$875,A367,'Base bordo CD'!A$2:A$875,B367,'Base bordo CD'!L$2:L$875,"LIMPEZA*"),0)</f>
        <v>0</v>
      </c>
      <c r="L367" s="10">
        <f>IFERROR(SUMIFS('Base bordo CD'!M$2:M$875,'Base bordo CD'!D$2:D$875,A367,'Base bordo CD'!A$2:A$875,B367,'Base bordo CD'!L$2:L$875,"PATIO - RESERVA"),0)</f>
        <v>0</v>
      </c>
      <c r="M367" s="10">
        <f>IFERROR(SUMIFS('Base bordo CD'!M$2:M$875,'Base bordo CD'!D$2:D$875,A367,'Base bordo CD'!A$2:A$875,B367,'Base bordo CD'!L$2:L$875,"SEM APONTAMENTO"),0)</f>
        <v>0</v>
      </c>
      <c r="N367" s="10">
        <f>IFERROR(SUMIFS('Base bordo CD'!M$2:M$875,'Base bordo CD'!D$2:D$875,A367,'Base bordo CD'!A$2:A$875,B367,'Base bordo CD'!L$2:L$875,"FALTA DE CAMINHÃO"),0)+IFERROR(SUMIFS('Base bordo CD'!M$2:M$875,'Base bordo CD'!D$2:D$875,A367,'Base bordo CD'!A$2:A$875,B367,'Base bordo CD'!L$2:L$875,"FALTA DE COMBUSTIVEL"),0)+IFERROR(SUMIFS('Base bordo CD'!M$2:M$875,'Base bordo CD'!D$2:D$875,A367,'Base bordo CD'!A$2:A$875,B367,'Base bordo CD'!L$2:L$875,"FALTA DE MOTORIST*"),0)</f>
        <v>0</v>
      </c>
      <c r="O367" s="10">
        <f t="shared" si="30"/>
        <v>0</v>
      </c>
      <c r="P367" s="10">
        <f>IFERROR(SUMIFS('Base bordo CD'!M$2:M$875,'Base bordo CD'!D$2:D$875,A367,'Base bordo CD'!A$2:A$875,B367),0)</f>
        <v>24</v>
      </c>
      <c r="Q367" s="10">
        <f>IFERROR(SUMIFS('Base bordo CD'!O$2:O$875,'Base bordo CD'!D$2:D$875,A367,'Base bordo CD'!A$2:A$875,B367,'Base bordo CD'!L$2:L$875,"CORTE DE CANA MECANIZADO"),0)</f>
        <v>0</v>
      </c>
      <c r="R367" s="10">
        <f>IFERROR(SUMIFS('Base bordo CD'!Q$2:Q$875,'Base bordo CD'!D$2:D$875,A367,'Base bordo CD'!A$2:A$875,B367,'Base bordo CD'!L$2:L$875,"CORTE DE CANA MECANIZADO"),0)</f>
        <v>0</v>
      </c>
      <c r="S367" s="30" t="str">
        <f t="shared" si="31"/>
        <v/>
      </c>
      <c r="T367" s="9">
        <f t="shared" si="32"/>
        <v>0</v>
      </c>
      <c r="U367" s="9">
        <f t="shared" si="33"/>
        <v>0</v>
      </c>
      <c r="V367" s="9">
        <f t="shared" si="34"/>
        <v>1</v>
      </c>
    </row>
    <row r="368" spans="1:22" hidden="1" x14ac:dyDescent="0.35">
      <c r="A368" s="52">
        <v>49590</v>
      </c>
      <c r="B368" s="31">
        <v>46121</v>
      </c>
      <c r="C368" s="7" t="s">
        <v>321</v>
      </c>
      <c r="D368" s="7">
        <v>351</v>
      </c>
      <c r="E368" s="10">
        <f>IFERROR(SUMIFS('Base bordo CD'!M$2:M$875,'Base bordo CD'!D$2:D$875,A368,'Base bordo CD'!A$2:A$875,B368,'Base bordo CD'!L$2:L$875,"CORTE DE CANA MECANIZADO"),0)</f>
        <v>0</v>
      </c>
      <c r="F368" s="10">
        <f>IFERROR(SUMIFS('Base bordo CD'!M$2:M$875,'Base bordo CD'!D$2:D$875,A368,'Base bordo CD'!A$2:A$875,B368,'Base bordo CD'!L$2:L$875,"MANOBRA"),0)</f>
        <v>0</v>
      </c>
      <c r="G368" s="10">
        <f>IFERROR(SUMIFS('Base bordo CD'!M$2:M$875,'Base bordo CD'!D$2:D$875,A368,'Base bordo CD'!A$2:A$875,B368,'Base bordo CD'!L$2:L$875,"DESLOCAMENTO"),0)</f>
        <v>0</v>
      </c>
      <c r="H368" s="10">
        <f>IFERROR(SUMIFS('Base bordo CD'!M$2:M$875,'Base bordo CD'!D$2:D$875,A368,'Base bordo CD'!A$2:A$875,B368,'Base bordo CD'!L$2:L$875,"AGUARDANDO MANOBRA DE TRANSBORDO"),0)+IFERROR(SUMIFS('Base bordo CD'!M$2:M$875,'Base bordo CD'!D$2:D$875,A368,'Base bordo CD'!A$2:A$875,B368,'Base bordo CD'!L$2:L$875,"FALTA DE TRANSBORDO"),0)</f>
        <v>0</v>
      </c>
      <c r="I368" s="10">
        <f>IFERROR(SUMIFS('Base bordo CD'!M$2:M$875,'Base bordo CD'!D$2:D$875,A368,'Base bordo CD'!A$2:A$875,B368,'Base bordo CD'!L$2:L$875,"PARADA POR CONDICOES CLIMATICAS"),0)+IFERROR(SUMIFS('Base bordo CD'!M$2:M$875,'Base bordo CD'!D$2:D$875,A368,'Base bordo CD'!A$2:A$875,B368,'Base bordo CD'!L$2:L$875,"TEMPO INDETERMINADO"),0)</f>
        <v>24</v>
      </c>
      <c r="J368" s="10">
        <f>IFERROR(SUMIFS('Base bordo CD'!M$2:M$875,'Base bordo CD'!D$2:D$875,A368,'Base bordo CD'!A$2:A$875,B368,'Base bordo CD'!L$2:L$875,"LIMITAÇÃO INDÚSTRIA"),0)</f>
        <v>0</v>
      </c>
      <c r="K368" s="10">
        <f>IFERROR(SUMIFS('Base bordo CD'!M$2:M$875,'Base bordo CD'!D$2:D$875,A368,'Base bordo CD'!A$2:A$875,B368,'Base bordo CD'!L$2:L$875,"MAN CORRETIVA*"),0)+IFERROR(SUMIFS('Base bordo CD'!M$2:M$875,'Base bordo CD'!D$2:D$875,A368,'Base bordo CD'!A$2:A$875,B368,'Base bordo CD'!L$2:L$875,"AGUARDANDO MANUTENCAO*"),0)+IFERROR(SUMIFS('Base bordo CD'!M$2:M$875,'Base bordo CD'!D$2:D$875,A368,'Base bordo CD'!A$2:A$875,B368,'Base bordo CD'!L$2:L$875,"TROCA DE FAQUINHA"),0)+IFERROR(SUMIFS('Base bordo CD'!M$2:M$875,'Base bordo CD'!D$2:D$875,A368,'Base bordo CD'!A$2:A$875,B368,'Base bordo CD'!L$2:L$875,"LIMPEZA*"),0)</f>
        <v>0</v>
      </c>
      <c r="L368" s="10">
        <f>IFERROR(SUMIFS('Base bordo CD'!M$2:M$875,'Base bordo CD'!D$2:D$875,A368,'Base bordo CD'!A$2:A$875,B368,'Base bordo CD'!L$2:L$875,"PATIO - RESERVA"),0)</f>
        <v>0</v>
      </c>
      <c r="M368" s="10">
        <f>IFERROR(SUMIFS('Base bordo CD'!M$2:M$875,'Base bordo CD'!D$2:D$875,A368,'Base bordo CD'!A$2:A$875,B368,'Base bordo CD'!L$2:L$875,"SEM APONTAMENTO"),0)</f>
        <v>0</v>
      </c>
      <c r="N368" s="10">
        <f>IFERROR(SUMIFS('Base bordo CD'!M$2:M$875,'Base bordo CD'!D$2:D$875,A368,'Base bordo CD'!A$2:A$875,B368,'Base bordo CD'!L$2:L$875,"FALTA DE CAMINHÃO"),0)+IFERROR(SUMIFS('Base bordo CD'!M$2:M$875,'Base bordo CD'!D$2:D$875,A368,'Base bordo CD'!A$2:A$875,B368,'Base bordo CD'!L$2:L$875,"FALTA DE COMBUSTIVEL"),0)+IFERROR(SUMIFS('Base bordo CD'!M$2:M$875,'Base bordo CD'!D$2:D$875,A368,'Base bordo CD'!A$2:A$875,B368,'Base bordo CD'!L$2:L$875,"FALTA DE MOTORIST*"),0)</f>
        <v>0</v>
      </c>
      <c r="O368" s="10">
        <f t="shared" si="30"/>
        <v>0</v>
      </c>
      <c r="P368" s="10">
        <f>IFERROR(SUMIFS('Base bordo CD'!M$2:M$875,'Base bordo CD'!D$2:D$875,A368,'Base bordo CD'!A$2:A$875,B368),0)</f>
        <v>24</v>
      </c>
      <c r="Q368" s="10">
        <f>IFERROR(SUMIFS('Base bordo CD'!O$2:O$875,'Base bordo CD'!D$2:D$875,A368,'Base bordo CD'!A$2:A$875,B368,'Base bordo CD'!L$2:L$875,"CORTE DE CANA MECANIZADO"),0)</f>
        <v>0</v>
      </c>
      <c r="R368" s="10">
        <f>IFERROR(SUMIFS('Base bordo CD'!Q$2:Q$875,'Base bordo CD'!D$2:D$875,A368,'Base bordo CD'!A$2:A$875,B368,'Base bordo CD'!L$2:L$875,"CORTE DE CANA MECANIZADO"),0)</f>
        <v>0</v>
      </c>
      <c r="S368" s="30" t="str">
        <f t="shared" si="31"/>
        <v/>
      </c>
      <c r="T368" s="9">
        <f t="shared" si="32"/>
        <v>0</v>
      </c>
      <c r="U368" s="9">
        <f t="shared" si="33"/>
        <v>0</v>
      </c>
      <c r="V368" s="9">
        <f t="shared" si="34"/>
        <v>1</v>
      </c>
    </row>
    <row r="369" spans="1:22" hidden="1" x14ac:dyDescent="0.35">
      <c r="A369" s="52">
        <v>49591</v>
      </c>
      <c r="B369" s="31">
        <v>46121</v>
      </c>
      <c r="C369" s="7" t="s">
        <v>364</v>
      </c>
      <c r="D369" s="7">
        <v>352</v>
      </c>
      <c r="E369" s="10">
        <f>IFERROR(SUMIFS('Base bordo CD'!M$2:M$875,'Base bordo CD'!D$2:D$875,A369,'Base bordo CD'!A$2:A$875,B369,'Base bordo CD'!L$2:L$875,"CORTE DE CANA MECANIZADO"),0)</f>
        <v>0</v>
      </c>
      <c r="F369" s="10">
        <f>IFERROR(SUMIFS('Base bordo CD'!M$2:M$875,'Base bordo CD'!D$2:D$875,A369,'Base bordo CD'!A$2:A$875,B369,'Base bordo CD'!L$2:L$875,"MANOBRA"),0)</f>
        <v>0</v>
      </c>
      <c r="G369" s="10">
        <f>IFERROR(SUMIFS('Base bordo CD'!M$2:M$875,'Base bordo CD'!D$2:D$875,A369,'Base bordo CD'!A$2:A$875,B369,'Base bordo CD'!L$2:L$875,"DESLOCAMENTO"),0)</f>
        <v>0</v>
      </c>
      <c r="H369" s="10">
        <f>IFERROR(SUMIFS('Base bordo CD'!M$2:M$875,'Base bordo CD'!D$2:D$875,A369,'Base bordo CD'!A$2:A$875,B369,'Base bordo CD'!L$2:L$875,"AGUARDANDO MANOBRA DE TRANSBORDO"),0)+IFERROR(SUMIFS('Base bordo CD'!M$2:M$875,'Base bordo CD'!D$2:D$875,A369,'Base bordo CD'!A$2:A$875,B369,'Base bordo CD'!L$2:L$875,"FALTA DE TRANSBORDO"),0)</f>
        <v>0</v>
      </c>
      <c r="I369" s="10">
        <f>IFERROR(SUMIFS('Base bordo CD'!M$2:M$875,'Base bordo CD'!D$2:D$875,A369,'Base bordo CD'!A$2:A$875,B369,'Base bordo CD'!L$2:L$875,"PARADA POR CONDICOES CLIMATICAS"),0)+IFERROR(SUMIFS('Base bordo CD'!M$2:M$875,'Base bordo CD'!D$2:D$875,A369,'Base bordo CD'!A$2:A$875,B369,'Base bordo CD'!L$2:L$875,"TEMPO INDETERMINADO"),0)</f>
        <v>24</v>
      </c>
      <c r="J369" s="10">
        <f>IFERROR(SUMIFS('Base bordo CD'!M$2:M$875,'Base bordo CD'!D$2:D$875,A369,'Base bordo CD'!A$2:A$875,B369,'Base bordo CD'!L$2:L$875,"LIMITAÇÃO INDÚSTRIA"),0)</f>
        <v>0</v>
      </c>
      <c r="K369" s="10">
        <f>IFERROR(SUMIFS('Base bordo CD'!M$2:M$875,'Base bordo CD'!D$2:D$875,A369,'Base bordo CD'!A$2:A$875,B369,'Base bordo CD'!L$2:L$875,"MAN CORRETIVA*"),0)+IFERROR(SUMIFS('Base bordo CD'!M$2:M$875,'Base bordo CD'!D$2:D$875,A369,'Base bordo CD'!A$2:A$875,B369,'Base bordo CD'!L$2:L$875,"AGUARDANDO MANUTENCAO*"),0)+IFERROR(SUMIFS('Base bordo CD'!M$2:M$875,'Base bordo CD'!D$2:D$875,A369,'Base bordo CD'!A$2:A$875,B369,'Base bordo CD'!L$2:L$875,"TROCA DE FAQUINHA"),0)+IFERROR(SUMIFS('Base bordo CD'!M$2:M$875,'Base bordo CD'!D$2:D$875,A369,'Base bordo CD'!A$2:A$875,B369,'Base bordo CD'!L$2:L$875,"LIMPEZA*"),0)</f>
        <v>0</v>
      </c>
      <c r="L369" s="10">
        <f>IFERROR(SUMIFS('Base bordo CD'!M$2:M$875,'Base bordo CD'!D$2:D$875,A369,'Base bordo CD'!A$2:A$875,B369,'Base bordo CD'!L$2:L$875,"PATIO - RESERVA"),0)</f>
        <v>0</v>
      </c>
      <c r="M369" s="10">
        <f>IFERROR(SUMIFS('Base bordo CD'!M$2:M$875,'Base bordo CD'!D$2:D$875,A369,'Base bordo CD'!A$2:A$875,B369,'Base bordo CD'!L$2:L$875,"SEM APONTAMENTO"),0)</f>
        <v>0</v>
      </c>
      <c r="N369" s="10">
        <f>IFERROR(SUMIFS('Base bordo CD'!M$2:M$875,'Base bordo CD'!D$2:D$875,A369,'Base bordo CD'!A$2:A$875,B369,'Base bordo CD'!L$2:L$875,"FALTA DE CAMINHÃO"),0)+IFERROR(SUMIFS('Base bordo CD'!M$2:M$875,'Base bordo CD'!D$2:D$875,A369,'Base bordo CD'!A$2:A$875,B369,'Base bordo CD'!L$2:L$875,"FALTA DE COMBUSTIVEL"),0)+IFERROR(SUMIFS('Base bordo CD'!M$2:M$875,'Base bordo CD'!D$2:D$875,A369,'Base bordo CD'!A$2:A$875,B369,'Base bordo CD'!L$2:L$875,"FALTA DE MOTORIST*"),0)</f>
        <v>0</v>
      </c>
      <c r="O369" s="10">
        <f t="shared" si="30"/>
        <v>0</v>
      </c>
      <c r="P369" s="10">
        <f>IFERROR(SUMIFS('Base bordo CD'!M$2:M$875,'Base bordo CD'!D$2:D$875,A369,'Base bordo CD'!A$2:A$875,B369),0)</f>
        <v>24</v>
      </c>
      <c r="Q369" s="10">
        <f>IFERROR(SUMIFS('Base bordo CD'!O$2:O$875,'Base bordo CD'!D$2:D$875,A369,'Base bordo CD'!A$2:A$875,B369,'Base bordo CD'!L$2:L$875,"CORTE DE CANA MECANIZADO"),0)</f>
        <v>0</v>
      </c>
      <c r="R369" s="10">
        <f>IFERROR(SUMIFS('Base bordo CD'!Q$2:Q$875,'Base bordo CD'!D$2:D$875,A369,'Base bordo CD'!A$2:A$875,B369,'Base bordo CD'!L$2:L$875,"CORTE DE CANA MECANIZADO"),0)</f>
        <v>0</v>
      </c>
      <c r="S369" s="30" t="str">
        <f t="shared" si="31"/>
        <v/>
      </c>
      <c r="T369" s="9">
        <f t="shared" si="32"/>
        <v>0</v>
      </c>
      <c r="U369" s="9">
        <f t="shared" si="33"/>
        <v>0</v>
      </c>
      <c r="V369" s="9">
        <f t="shared" si="34"/>
        <v>1</v>
      </c>
    </row>
    <row r="370" spans="1:22" hidden="1" x14ac:dyDescent="0.35">
      <c r="A370" s="52">
        <v>49591</v>
      </c>
      <c r="B370" s="31">
        <v>46121</v>
      </c>
      <c r="C370" s="7" t="s">
        <v>364</v>
      </c>
      <c r="D370" s="7">
        <v>352</v>
      </c>
      <c r="E370" s="10">
        <f>IFERROR(SUMIFS('Base bordo CD'!M$2:M$875,'Base bordo CD'!D$2:D$875,A370,'Base bordo CD'!A$2:A$875,B370,'Base bordo CD'!L$2:L$875,"CORTE DE CANA MECANIZADO"),0)</f>
        <v>0</v>
      </c>
      <c r="F370" s="10">
        <f>IFERROR(SUMIFS('Base bordo CD'!M$2:M$875,'Base bordo CD'!D$2:D$875,A370,'Base bordo CD'!A$2:A$875,B370,'Base bordo CD'!L$2:L$875,"MANOBRA"),0)</f>
        <v>0</v>
      </c>
      <c r="G370" s="10">
        <f>IFERROR(SUMIFS('Base bordo CD'!M$2:M$875,'Base bordo CD'!D$2:D$875,A370,'Base bordo CD'!A$2:A$875,B370,'Base bordo CD'!L$2:L$875,"DESLOCAMENTO"),0)</f>
        <v>0</v>
      </c>
      <c r="H370" s="10">
        <f>IFERROR(SUMIFS('Base bordo CD'!M$2:M$875,'Base bordo CD'!D$2:D$875,A370,'Base bordo CD'!A$2:A$875,B370,'Base bordo CD'!L$2:L$875,"AGUARDANDO MANOBRA DE TRANSBORDO"),0)+IFERROR(SUMIFS('Base bordo CD'!M$2:M$875,'Base bordo CD'!D$2:D$875,A370,'Base bordo CD'!A$2:A$875,B370,'Base bordo CD'!L$2:L$875,"FALTA DE TRANSBORDO"),0)</f>
        <v>0</v>
      </c>
      <c r="I370" s="10">
        <f>IFERROR(SUMIFS('Base bordo CD'!M$2:M$875,'Base bordo CD'!D$2:D$875,A370,'Base bordo CD'!A$2:A$875,B370,'Base bordo CD'!L$2:L$875,"PARADA POR CONDICOES CLIMATICAS"),0)+IFERROR(SUMIFS('Base bordo CD'!M$2:M$875,'Base bordo CD'!D$2:D$875,A370,'Base bordo CD'!A$2:A$875,B370,'Base bordo CD'!L$2:L$875,"TEMPO INDETERMINADO"),0)</f>
        <v>24</v>
      </c>
      <c r="J370" s="10">
        <f>IFERROR(SUMIFS('Base bordo CD'!M$2:M$875,'Base bordo CD'!D$2:D$875,A370,'Base bordo CD'!A$2:A$875,B370,'Base bordo CD'!L$2:L$875,"LIMITAÇÃO INDÚSTRIA"),0)</f>
        <v>0</v>
      </c>
      <c r="K370" s="10">
        <f>IFERROR(SUMIFS('Base bordo CD'!M$2:M$875,'Base bordo CD'!D$2:D$875,A370,'Base bordo CD'!A$2:A$875,B370,'Base bordo CD'!L$2:L$875,"MAN CORRETIVA*"),0)+IFERROR(SUMIFS('Base bordo CD'!M$2:M$875,'Base bordo CD'!D$2:D$875,A370,'Base bordo CD'!A$2:A$875,B370,'Base bordo CD'!L$2:L$875,"AGUARDANDO MANUTENCAO*"),0)+IFERROR(SUMIFS('Base bordo CD'!M$2:M$875,'Base bordo CD'!D$2:D$875,A370,'Base bordo CD'!A$2:A$875,B370,'Base bordo CD'!L$2:L$875,"TROCA DE FAQUINHA"),0)+IFERROR(SUMIFS('Base bordo CD'!M$2:M$875,'Base bordo CD'!D$2:D$875,A370,'Base bordo CD'!A$2:A$875,B370,'Base bordo CD'!L$2:L$875,"LIMPEZA*"),0)</f>
        <v>0</v>
      </c>
      <c r="L370" s="10">
        <f>IFERROR(SUMIFS('Base bordo CD'!M$2:M$875,'Base bordo CD'!D$2:D$875,A370,'Base bordo CD'!A$2:A$875,B370,'Base bordo CD'!L$2:L$875,"PATIO - RESERVA"),0)</f>
        <v>0</v>
      </c>
      <c r="M370" s="10">
        <f>IFERROR(SUMIFS('Base bordo CD'!M$2:M$875,'Base bordo CD'!D$2:D$875,A370,'Base bordo CD'!A$2:A$875,B370,'Base bordo CD'!L$2:L$875,"SEM APONTAMENTO"),0)</f>
        <v>0</v>
      </c>
      <c r="N370" s="10">
        <f>IFERROR(SUMIFS('Base bordo CD'!M$2:M$875,'Base bordo CD'!D$2:D$875,A370,'Base bordo CD'!A$2:A$875,B370,'Base bordo CD'!L$2:L$875,"FALTA DE CAMINHÃO"),0)+IFERROR(SUMIFS('Base bordo CD'!M$2:M$875,'Base bordo CD'!D$2:D$875,A370,'Base bordo CD'!A$2:A$875,B370,'Base bordo CD'!L$2:L$875,"FALTA DE COMBUSTIVEL"),0)+IFERROR(SUMIFS('Base bordo CD'!M$2:M$875,'Base bordo CD'!D$2:D$875,A370,'Base bordo CD'!A$2:A$875,B370,'Base bordo CD'!L$2:L$875,"FALTA DE MOTORIST*"),0)</f>
        <v>0</v>
      </c>
      <c r="O370" s="10">
        <f t="shared" si="30"/>
        <v>0</v>
      </c>
      <c r="P370" s="10">
        <f>IFERROR(SUMIFS('Base bordo CD'!M$2:M$875,'Base bordo CD'!D$2:D$875,A370,'Base bordo CD'!A$2:A$875,B370),0)</f>
        <v>24</v>
      </c>
      <c r="Q370" s="10">
        <f>IFERROR(SUMIFS('Base bordo CD'!O$2:O$875,'Base bordo CD'!D$2:D$875,A370,'Base bordo CD'!A$2:A$875,B370,'Base bordo CD'!L$2:L$875,"CORTE DE CANA MECANIZADO"),0)</f>
        <v>0</v>
      </c>
      <c r="R370" s="10">
        <f>IFERROR(SUMIFS('Base bordo CD'!Q$2:Q$875,'Base bordo CD'!D$2:D$875,A370,'Base bordo CD'!A$2:A$875,B370,'Base bordo CD'!L$2:L$875,"CORTE DE CANA MECANIZADO"),0)</f>
        <v>0</v>
      </c>
      <c r="S370" s="30" t="str">
        <f t="shared" si="31"/>
        <v/>
      </c>
      <c r="T370" s="9">
        <f t="shared" si="32"/>
        <v>0</v>
      </c>
      <c r="U370" s="9">
        <f t="shared" si="33"/>
        <v>0</v>
      </c>
      <c r="V370" s="9">
        <f t="shared" si="34"/>
        <v>1</v>
      </c>
    </row>
    <row r="371" spans="1:22" hidden="1" x14ac:dyDescent="0.35">
      <c r="A371" s="52">
        <v>49592</v>
      </c>
      <c r="B371" s="31">
        <v>46121</v>
      </c>
      <c r="C371" s="7" t="s">
        <v>364</v>
      </c>
      <c r="D371" s="7">
        <v>352</v>
      </c>
      <c r="E371" s="10">
        <f>IFERROR(SUMIFS('Base bordo CD'!M$2:M$875,'Base bordo CD'!D$2:D$875,A371,'Base bordo CD'!A$2:A$875,B371,'Base bordo CD'!L$2:L$875,"CORTE DE CANA MECANIZADO"),0)</f>
        <v>4.1944444444444451E-2</v>
      </c>
      <c r="F371" s="10">
        <f>IFERROR(SUMIFS('Base bordo CD'!M$2:M$875,'Base bordo CD'!D$2:D$875,A371,'Base bordo CD'!A$2:A$875,B371,'Base bordo CD'!L$2:L$875,"MANOBRA"),0)</f>
        <v>1.4444444444444444E-2</v>
      </c>
      <c r="G371" s="10">
        <f>IFERROR(SUMIFS('Base bordo CD'!M$2:M$875,'Base bordo CD'!D$2:D$875,A371,'Base bordo CD'!A$2:A$875,B371,'Base bordo CD'!L$2:L$875,"DESLOCAMENTO"),0)</f>
        <v>0.13833333333333334</v>
      </c>
      <c r="H371" s="10">
        <f>IFERROR(SUMIFS('Base bordo CD'!M$2:M$875,'Base bordo CD'!D$2:D$875,A371,'Base bordo CD'!A$2:A$875,B371,'Base bordo CD'!L$2:L$875,"AGUARDANDO MANOBRA DE TRANSBORDO"),0)+IFERROR(SUMIFS('Base bordo CD'!M$2:M$875,'Base bordo CD'!D$2:D$875,A371,'Base bordo CD'!A$2:A$875,B371,'Base bordo CD'!L$2:L$875,"FALTA DE TRANSBORDO"),0)</f>
        <v>0</v>
      </c>
      <c r="I371" s="10">
        <f>IFERROR(SUMIFS('Base bordo CD'!M$2:M$875,'Base bordo CD'!D$2:D$875,A371,'Base bordo CD'!A$2:A$875,B371,'Base bordo CD'!L$2:L$875,"PARADA POR CONDICOES CLIMATICAS"),0)+IFERROR(SUMIFS('Base bordo CD'!M$2:M$875,'Base bordo CD'!D$2:D$875,A371,'Base bordo CD'!A$2:A$875,B371,'Base bordo CD'!L$2:L$875,"TEMPO INDETERMINADO"),0)</f>
        <v>23.805277777777778</v>
      </c>
      <c r="J371" s="10">
        <f>IFERROR(SUMIFS('Base bordo CD'!M$2:M$875,'Base bordo CD'!D$2:D$875,A371,'Base bordo CD'!A$2:A$875,B371,'Base bordo CD'!L$2:L$875,"LIMITAÇÃO INDÚSTRIA"),0)</f>
        <v>0</v>
      </c>
      <c r="K371" s="10">
        <f>IFERROR(SUMIFS('Base bordo CD'!M$2:M$875,'Base bordo CD'!D$2:D$875,A371,'Base bordo CD'!A$2:A$875,B371,'Base bordo CD'!L$2:L$875,"MAN CORRETIVA*"),0)+IFERROR(SUMIFS('Base bordo CD'!M$2:M$875,'Base bordo CD'!D$2:D$875,A371,'Base bordo CD'!A$2:A$875,B371,'Base bordo CD'!L$2:L$875,"AGUARDANDO MANUTENCAO*"),0)+IFERROR(SUMIFS('Base bordo CD'!M$2:M$875,'Base bordo CD'!D$2:D$875,A371,'Base bordo CD'!A$2:A$875,B371,'Base bordo CD'!L$2:L$875,"TROCA DE FAQUINHA"),0)+IFERROR(SUMIFS('Base bordo CD'!M$2:M$875,'Base bordo CD'!D$2:D$875,A371,'Base bordo CD'!A$2:A$875,B371,'Base bordo CD'!L$2:L$875,"LIMPEZA*"),0)</f>
        <v>0</v>
      </c>
      <c r="L371" s="10">
        <f>IFERROR(SUMIFS('Base bordo CD'!M$2:M$875,'Base bordo CD'!D$2:D$875,A371,'Base bordo CD'!A$2:A$875,B371,'Base bordo CD'!L$2:L$875,"PATIO - RESERVA"),0)</f>
        <v>0</v>
      </c>
      <c r="M371" s="10">
        <f>IFERROR(SUMIFS('Base bordo CD'!M$2:M$875,'Base bordo CD'!D$2:D$875,A371,'Base bordo CD'!A$2:A$875,B371,'Base bordo CD'!L$2:L$875,"SEM APONTAMENTO"),0)</f>
        <v>0</v>
      </c>
      <c r="N371" s="10">
        <f>IFERROR(SUMIFS('Base bordo CD'!M$2:M$875,'Base bordo CD'!D$2:D$875,A371,'Base bordo CD'!A$2:A$875,B371,'Base bordo CD'!L$2:L$875,"FALTA DE CAMINHÃO"),0)+IFERROR(SUMIFS('Base bordo CD'!M$2:M$875,'Base bordo CD'!D$2:D$875,A371,'Base bordo CD'!A$2:A$875,B371,'Base bordo CD'!L$2:L$875,"FALTA DE COMBUSTIVEL"),0)+IFERROR(SUMIFS('Base bordo CD'!M$2:M$875,'Base bordo CD'!D$2:D$875,A371,'Base bordo CD'!A$2:A$875,B371,'Base bordo CD'!L$2:L$875,"FALTA DE MOTORIST*"),0)</f>
        <v>0</v>
      </c>
      <c r="O371" s="10">
        <f t="shared" si="30"/>
        <v>0</v>
      </c>
      <c r="P371" s="10">
        <f>IFERROR(SUMIFS('Base bordo CD'!M$2:M$875,'Base bordo CD'!D$2:D$875,A371,'Base bordo CD'!A$2:A$875,B371),0)</f>
        <v>24</v>
      </c>
      <c r="Q371" s="10">
        <f>IFERROR(SUMIFS('Base bordo CD'!O$2:O$875,'Base bordo CD'!D$2:D$875,A371,'Base bordo CD'!A$2:A$875,B371,'Base bordo CD'!L$2:L$875,"CORTE DE CANA MECANIZADO"),0)</f>
        <v>470.48</v>
      </c>
      <c r="R371" s="10">
        <f>IFERROR(SUMIFS('Base bordo CD'!Q$2:Q$875,'Base bordo CD'!D$2:D$875,A371,'Base bordo CD'!A$2:A$875,B371,'Base bordo CD'!L$2:L$875,"CORTE DE CANA MECANIZADO"),0)</f>
        <v>151</v>
      </c>
      <c r="S371" s="30">
        <f t="shared" si="31"/>
        <v>3.1157615894039736</v>
      </c>
      <c r="T371" s="9">
        <f t="shared" si="32"/>
        <v>1.7476851851851855E-3</v>
      </c>
      <c r="U371" s="9">
        <f t="shared" si="33"/>
        <v>6.0185185185185179E-4</v>
      </c>
      <c r="V371" s="9">
        <f t="shared" si="34"/>
        <v>0.9924884259259259</v>
      </c>
    </row>
    <row r="372" spans="1:22" hidden="1" x14ac:dyDescent="0.35">
      <c r="A372" s="52">
        <v>49592</v>
      </c>
      <c r="B372" s="31">
        <v>46121</v>
      </c>
      <c r="C372" s="7" t="s">
        <v>364</v>
      </c>
      <c r="D372" s="7">
        <v>352</v>
      </c>
      <c r="E372" s="10">
        <f>IFERROR(SUMIFS('Base bordo CD'!M$2:M$875,'Base bordo CD'!D$2:D$875,A372,'Base bordo CD'!A$2:A$875,B372,'Base bordo CD'!L$2:L$875,"CORTE DE CANA MECANIZADO"),0)</f>
        <v>4.1944444444444451E-2</v>
      </c>
      <c r="F372" s="10">
        <f>IFERROR(SUMIFS('Base bordo CD'!M$2:M$875,'Base bordo CD'!D$2:D$875,A372,'Base bordo CD'!A$2:A$875,B372,'Base bordo CD'!L$2:L$875,"MANOBRA"),0)</f>
        <v>1.4444444444444444E-2</v>
      </c>
      <c r="G372" s="10">
        <f>IFERROR(SUMIFS('Base bordo CD'!M$2:M$875,'Base bordo CD'!D$2:D$875,A372,'Base bordo CD'!A$2:A$875,B372,'Base bordo CD'!L$2:L$875,"DESLOCAMENTO"),0)</f>
        <v>0.13833333333333334</v>
      </c>
      <c r="H372" s="10">
        <f>IFERROR(SUMIFS('Base bordo CD'!M$2:M$875,'Base bordo CD'!D$2:D$875,A372,'Base bordo CD'!A$2:A$875,B372,'Base bordo CD'!L$2:L$875,"AGUARDANDO MANOBRA DE TRANSBORDO"),0)+IFERROR(SUMIFS('Base bordo CD'!M$2:M$875,'Base bordo CD'!D$2:D$875,A372,'Base bordo CD'!A$2:A$875,B372,'Base bordo CD'!L$2:L$875,"FALTA DE TRANSBORDO"),0)</f>
        <v>0</v>
      </c>
      <c r="I372" s="10">
        <f>IFERROR(SUMIFS('Base bordo CD'!M$2:M$875,'Base bordo CD'!D$2:D$875,A372,'Base bordo CD'!A$2:A$875,B372,'Base bordo CD'!L$2:L$875,"PARADA POR CONDICOES CLIMATICAS"),0)+IFERROR(SUMIFS('Base bordo CD'!M$2:M$875,'Base bordo CD'!D$2:D$875,A372,'Base bordo CD'!A$2:A$875,B372,'Base bordo CD'!L$2:L$875,"TEMPO INDETERMINADO"),0)</f>
        <v>23.805277777777778</v>
      </c>
      <c r="J372" s="10">
        <f>IFERROR(SUMIFS('Base bordo CD'!M$2:M$875,'Base bordo CD'!D$2:D$875,A372,'Base bordo CD'!A$2:A$875,B372,'Base bordo CD'!L$2:L$875,"LIMITAÇÃO INDÚSTRIA"),0)</f>
        <v>0</v>
      </c>
      <c r="K372" s="10">
        <f>IFERROR(SUMIFS('Base bordo CD'!M$2:M$875,'Base bordo CD'!D$2:D$875,A372,'Base bordo CD'!A$2:A$875,B372,'Base bordo CD'!L$2:L$875,"MAN CORRETIVA*"),0)+IFERROR(SUMIFS('Base bordo CD'!M$2:M$875,'Base bordo CD'!D$2:D$875,A372,'Base bordo CD'!A$2:A$875,B372,'Base bordo CD'!L$2:L$875,"AGUARDANDO MANUTENCAO*"),0)+IFERROR(SUMIFS('Base bordo CD'!M$2:M$875,'Base bordo CD'!D$2:D$875,A372,'Base bordo CD'!A$2:A$875,B372,'Base bordo CD'!L$2:L$875,"TROCA DE FAQUINHA"),0)+IFERROR(SUMIFS('Base bordo CD'!M$2:M$875,'Base bordo CD'!D$2:D$875,A372,'Base bordo CD'!A$2:A$875,B372,'Base bordo CD'!L$2:L$875,"LIMPEZA*"),0)</f>
        <v>0</v>
      </c>
      <c r="L372" s="10">
        <f>IFERROR(SUMIFS('Base bordo CD'!M$2:M$875,'Base bordo CD'!D$2:D$875,A372,'Base bordo CD'!A$2:A$875,B372,'Base bordo CD'!L$2:L$875,"PATIO - RESERVA"),0)</f>
        <v>0</v>
      </c>
      <c r="M372" s="10">
        <f>IFERROR(SUMIFS('Base bordo CD'!M$2:M$875,'Base bordo CD'!D$2:D$875,A372,'Base bordo CD'!A$2:A$875,B372,'Base bordo CD'!L$2:L$875,"SEM APONTAMENTO"),0)</f>
        <v>0</v>
      </c>
      <c r="N372" s="10">
        <f>IFERROR(SUMIFS('Base bordo CD'!M$2:M$875,'Base bordo CD'!D$2:D$875,A372,'Base bordo CD'!A$2:A$875,B372,'Base bordo CD'!L$2:L$875,"FALTA DE CAMINHÃO"),0)+IFERROR(SUMIFS('Base bordo CD'!M$2:M$875,'Base bordo CD'!D$2:D$875,A372,'Base bordo CD'!A$2:A$875,B372,'Base bordo CD'!L$2:L$875,"FALTA DE COMBUSTIVEL"),0)+IFERROR(SUMIFS('Base bordo CD'!M$2:M$875,'Base bordo CD'!D$2:D$875,A372,'Base bordo CD'!A$2:A$875,B372,'Base bordo CD'!L$2:L$875,"FALTA DE MOTORIST*"),0)</f>
        <v>0</v>
      </c>
      <c r="O372" s="10">
        <f t="shared" si="30"/>
        <v>0</v>
      </c>
      <c r="P372" s="10">
        <f>IFERROR(SUMIFS('Base bordo CD'!M$2:M$875,'Base bordo CD'!D$2:D$875,A372,'Base bordo CD'!A$2:A$875,B372),0)</f>
        <v>24</v>
      </c>
      <c r="Q372" s="10">
        <f>IFERROR(SUMIFS('Base bordo CD'!O$2:O$875,'Base bordo CD'!D$2:D$875,A372,'Base bordo CD'!A$2:A$875,B372,'Base bordo CD'!L$2:L$875,"CORTE DE CANA MECANIZADO"),0)</f>
        <v>470.48</v>
      </c>
      <c r="R372" s="10">
        <f>IFERROR(SUMIFS('Base bordo CD'!Q$2:Q$875,'Base bordo CD'!D$2:D$875,A372,'Base bordo CD'!A$2:A$875,B372,'Base bordo CD'!L$2:L$875,"CORTE DE CANA MECANIZADO"),0)</f>
        <v>151</v>
      </c>
      <c r="S372" s="30">
        <f t="shared" si="31"/>
        <v>3.1157615894039736</v>
      </c>
      <c r="T372" s="9">
        <f t="shared" si="32"/>
        <v>1.7476851851851855E-3</v>
      </c>
      <c r="U372" s="9">
        <f t="shared" si="33"/>
        <v>6.0185185185185179E-4</v>
      </c>
      <c r="V372" s="9">
        <f t="shared" si="34"/>
        <v>0.9924884259259259</v>
      </c>
    </row>
    <row r="373" spans="1:22" hidden="1" x14ac:dyDescent="0.35">
      <c r="A373" s="52">
        <v>49592</v>
      </c>
      <c r="B373" s="31">
        <v>46121</v>
      </c>
      <c r="C373" s="7" t="s">
        <v>364</v>
      </c>
      <c r="D373" s="7">
        <v>352</v>
      </c>
      <c r="E373" s="10">
        <f>IFERROR(SUMIFS('Base bordo CD'!M$2:M$875,'Base bordo CD'!D$2:D$875,A373,'Base bordo CD'!A$2:A$875,B373,'Base bordo CD'!L$2:L$875,"CORTE DE CANA MECANIZADO"),0)</f>
        <v>4.1944444444444451E-2</v>
      </c>
      <c r="F373" s="10">
        <f>IFERROR(SUMIFS('Base bordo CD'!M$2:M$875,'Base bordo CD'!D$2:D$875,A373,'Base bordo CD'!A$2:A$875,B373,'Base bordo CD'!L$2:L$875,"MANOBRA"),0)</f>
        <v>1.4444444444444444E-2</v>
      </c>
      <c r="G373" s="10">
        <f>IFERROR(SUMIFS('Base bordo CD'!M$2:M$875,'Base bordo CD'!D$2:D$875,A373,'Base bordo CD'!A$2:A$875,B373,'Base bordo CD'!L$2:L$875,"DESLOCAMENTO"),0)</f>
        <v>0.13833333333333334</v>
      </c>
      <c r="H373" s="10">
        <f>IFERROR(SUMIFS('Base bordo CD'!M$2:M$875,'Base bordo CD'!D$2:D$875,A373,'Base bordo CD'!A$2:A$875,B373,'Base bordo CD'!L$2:L$875,"AGUARDANDO MANOBRA DE TRANSBORDO"),0)+IFERROR(SUMIFS('Base bordo CD'!M$2:M$875,'Base bordo CD'!D$2:D$875,A373,'Base bordo CD'!A$2:A$875,B373,'Base bordo CD'!L$2:L$875,"FALTA DE TRANSBORDO"),0)</f>
        <v>0</v>
      </c>
      <c r="I373" s="10">
        <f>IFERROR(SUMIFS('Base bordo CD'!M$2:M$875,'Base bordo CD'!D$2:D$875,A373,'Base bordo CD'!A$2:A$875,B373,'Base bordo CD'!L$2:L$875,"PARADA POR CONDICOES CLIMATICAS"),0)+IFERROR(SUMIFS('Base bordo CD'!M$2:M$875,'Base bordo CD'!D$2:D$875,A373,'Base bordo CD'!A$2:A$875,B373,'Base bordo CD'!L$2:L$875,"TEMPO INDETERMINADO"),0)</f>
        <v>23.805277777777778</v>
      </c>
      <c r="J373" s="10">
        <f>IFERROR(SUMIFS('Base bordo CD'!M$2:M$875,'Base bordo CD'!D$2:D$875,A373,'Base bordo CD'!A$2:A$875,B373,'Base bordo CD'!L$2:L$875,"LIMITAÇÃO INDÚSTRIA"),0)</f>
        <v>0</v>
      </c>
      <c r="K373" s="10">
        <f>IFERROR(SUMIFS('Base bordo CD'!M$2:M$875,'Base bordo CD'!D$2:D$875,A373,'Base bordo CD'!A$2:A$875,B373,'Base bordo CD'!L$2:L$875,"MAN CORRETIVA*"),0)+IFERROR(SUMIFS('Base bordo CD'!M$2:M$875,'Base bordo CD'!D$2:D$875,A373,'Base bordo CD'!A$2:A$875,B373,'Base bordo CD'!L$2:L$875,"AGUARDANDO MANUTENCAO*"),0)+IFERROR(SUMIFS('Base bordo CD'!M$2:M$875,'Base bordo CD'!D$2:D$875,A373,'Base bordo CD'!A$2:A$875,B373,'Base bordo CD'!L$2:L$875,"TROCA DE FAQUINHA"),0)+IFERROR(SUMIFS('Base bordo CD'!M$2:M$875,'Base bordo CD'!D$2:D$875,A373,'Base bordo CD'!A$2:A$875,B373,'Base bordo CD'!L$2:L$875,"LIMPEZA*"),0)</f>
        <v>0</v>
      </c>
      <c r="L373" s="10">
        <f>IFERROR(SUMIFS('Base bordo CD'!M$2:M$875,'Base bordo CD'!D$2:D$875,A373,'Base bordo CD'!A$2:A$875,B373,'Base bordo CD'!L$2:L$875,"PATIO - RESERVA"),0)</f>
        <v>0</v>
      </c>
      <c r="M373" s="10">
        <f>IFERROR(SUMIFS('Base bordo CD'!M$2:M$875,'Base bordo CD'!D$2:D$875,A373,'Base bordo CD'!A$2:A$875,B373,'Base bordo CD'!L$2:L$875,"SEM APONTAMENTO"),0)</f>
        <v>0</v>
      </c>
      <c r="N373" s="10">
        <f>IFERROR(SUMIFS('Base bordo CD'!M$2:M$875,'Base bordo CD'!D$2:D$875,A373,'Base bordo CD'!A$2:A$875,B373,'Base bordo CD'!L$2:L$875,"FALTA DE CAMINHÃO"),0)+IFERROR(SUMIFS('Base bordo CD'!M$2:M$875,'Base bordo CD'!D$2:D$875,A373,'Base bordo CD'!A$2:A$875,B373,'Base bordo CD'!L$2:L$875,"FALTA DE COMBUSTIVEL"),0)+IFERROR(SUMIFS('Base bordo CD'!M$2:M$875,'Base bordo CD'!D$2:D$875,A373,'Base bordo CD'!A$2:A$875,B373,'Base bordo CD'!L$2:L$875,"FALTA DE MOTORIST*"),0)</f>
        <v>0</v>
      </c>
      <c r="O373" s="10">
        <f t="shared" si="30"/>
        <v>0</v>
      </c>
      <c r="P373" s="10">
        <f>IFERROR(SUMIFS('Base bordo CD'!M$2:M$875,'Base bordo CD'!D$2:D$875,A373,'Base bordo CD'!A$2:A$875,B373),0)</f>
        <v>24</v>
      </c>
      <c r="Q373" s="10">
        <f>IFERROR(SUMIFS('Base bordo CD'!O$2:O$875,'Base bordo CD'!D$2:D$875,A373,'Base bordo CD'!A$2:A$875,B373,'Base bordo CD'!L$2:L$875,"CORTE DE CANA MECANIZADO"),0)</f>
        <v>470.48</v>
      </c>
      <c r="R373" s="10">
        <f>IFERROR(SUMIFS('Base bordo CD'!Q$2:Q$875,'Base bordo CD'!D$2:D$875,A373,'Base bordo CD'!A$2:A$875,B373,'Base bordo CD'!L$2:L$875,"CORTE DE CANA MECANIZADO"),0)</f>
        <v>151</v>
      </c>
      <c r="S373" s="30">
        <f t="shared" si="31"/>
        <v>3.1157615894039736</v>
      </c>
      <c r="T373" s="9">
        <f t="shared" si="32"/>
        <v>1.7476851851851855E-3</v>
      </c>
      <c r="U373" s="9">
        <f t="shared" si="33"/>
        <v>6.0185185185185179E-4</v>
      </c>
      <c r="V373" s="9">
        <f t="shared" si="34"/>
        <v>0.9924884259259259</v>
      </c>
    </row>
    <row r="374" spans="1:22" hidden="1" x14ac:dyDescent="0.35">
      <c r="A374" s="52">
        <v>49592</v>
      </c>
      <c r="B374" s="31">
        <v>46121</v>
      </c>
      <c r="C374" s="7" t="s">
        <v>364</v>
      </c>
      <c r="D374" s="7">
        <v>352</v>
      </c>
      <c r="E374" s="10">
        <f>IFERROR(SUMIFS('Base bordo CD'!M$2:M$875,'Base bordo CD'!D$2:D$875,A374,'Base bordo CD'!A$2:A$875,B374,'Base bordo CD'!L$2:L$875,"CORTE DE CANA MECANIZADO"),0)</f>
        <v>4.1944444444444451E-2</v>
      </c>
      <c r="F374" s="10">
        <f>IFERROR(SUMIFS('Base bordo CD'!M$2:M$875,'Base bordo CD'!D$2:D$875,A374,'Base bordo CD'!A$2:A$875,B374,'Base bordo CD'!L$2:L$875,"MANOBRA"),0)</f>
        <v>1.4444444444444444E-2</v>
      </c>
      <c r="G374" s="10">
        <f>IFERROR(SUMIFS('Base bordo CD'!M$2:M$875,'Base bordo CD'!D$2:D$875,A374,'Base bordo CD'!A$2:A$875,B374,'Base bordo CD'!L$2:L$875,"DESLOCAMENTO"),0)</f>
        <v>0.13833333333333334</v>
      </c>
      <c r="H374" s="10">
        <f>IFERROR(SUMIFS('Base bordo CD'!M$2:M$875,'Base bordo CD'!D$2:D$875,A374,'Base bordo CD'!A$2:A$875,B374,'Base bordo CD'!L$2:L$875,"AGUARDANDO MANOBRA DE TRANSBORDO"),0)+IFERROR(SUMIFS('Base bordo CD'!M$2:M$875,'Base bordo CD'!D$2:D$875,A374,'Base bordo CD'!A$2:A$875,B374,'Base bordo CD'!L$2:L$875,"FALTA DE TRANSBORDO"),0)</f>
        <v>0</v>
      </c>
      <c r="I374" s="10">
        <f>IFERROR(SUMIFS('Base bordo CD'!M$2:M$875,'Base bordo CD'!D$2:D$875,A374,'Base bordo CD'!A$2:A$875,B374,'Base bordo CD'!L$2:L$875,"PARADA POR CONDICOES CLIMATICAS"),0)+IFERROR(SUMIFS('Base bordo CD'!M$2:M$875,'Base bordo CD'!D$2:D$875,A374,'Base bordo CD'!A$2:A$875,B374,'Base bordo CD'!L$2:L$875,"TEMPO INDETERMINADO"),0)</f>
        <v>23.805277777777778</v>
      </c>
      <c r="J374" s="10">
        <f>IFERROR(SUMIFS('Base bordo CD'!M$2:M$875,'Base bordo CD'!D$2:D$875,A374,'Base bordo CD'!A$2:A$875,B374,'Base bordo CD'!L$2:L$875,"LIMITAÇÃO INDÚSTRIA"),0)</f>
        <v>0</v>
      </c>
      <c r="K374" s="10">
        <f>IFERROR(SUMIFS('Base bordo CD'!M$2:M$875,'Base bordo CD'!D$2:D$875,A374,'Base bordo CD'!A$2:A$875,B374,'Base bordo CD'!L$2:L$875,"MAN CORRETIVA*"),0)+IFERROR(SUMIFS('Base bordo CD'!M$2:M$875,'Base bordo CD'!D$2:D$875,A374,'Base bordo CD'!A$2:A$875,B374,'Base bordo CD'!L$2:L$875,"AGUARDANDO MANUTENCAO*"),0)+IFERROR(SUMIFS('Base bordo CD'!M$2:M$875,'Base bordo CD'!D$2:D$875,A374,'Base bordo CD'!A$2:A$875,B374,'Base bordo CD'!L$2:L$875,"TROCA DE FAQUINHA"),0)+IFERROR(SUMIFS('Base bordo CD'!M$2:M$875,'Base bordo CD'!D$2:D$875,A374,'Base bordo CD'!A$2:A$875,B374,'Base bordo CD'!L$2:L$875,"LIMPEZA*"),0)</f>
        <v>0</v>
      </c>
      <c r="L374" s="10">
        <f>IFERROR(SUMIFS('Base bordo CD'!M$2:M$875,'Base bordo CD'!D$2:D$875,A374,'Base bordo CD'!A$2:A$875,B374,'Base bordo CD'!L$2:L$875,"PATIO - RESERVA"),0)</f>
        <v>0</v>
      </c>
      <c r="M374" s="10">
        <f>IFERROR(SUMIFS('Base bordo CD'!M$2:M$875,'Base bordo CD'!D$2:D$875,A374,'Base bordo CD'!A$2:A$875,B374,'Base bordo CD'!L$2:L$875,"SEM APONTAMENTO"),0)</f>
        <v>0</v>
      </c>
      <c r="N374" s="10">
        <f>IFERROR(SUMIFS('Base bordo CD'!M$2:M$875,'Base bordo CD'!D$2:D$875,A374,'Base bordo CD'!A$2:A$875,B374,'Base bordo CD'!L$2:L$875,"FALTA DE CAMINHÃO"),0)+IFERROR(SUMIFS('Base bordo CD'!M$2:M$875,'Base bordo CD'!D$2:D$875,A374,'Base bordo CD'!A$2:A$875,B374,'Base bordo CD'!L$2:L$875,"FALTA DE COMBUSTIVEL"),0)+IFERROR(SUMIFS('Base bordo CD'!M$2:M$875,'Base bordo CD'!D$2:D$875,A374,'Base bordo CD'!A$2:A$875,B374,'Base bordo CD'!L$2:L$875,"FALTA DE MOTORIST*"),0)</f>
        <v>0</v>
      </c>
      <c r="O374" s="10">
        <f t="shared" si="30"/>
        <v>0</v>
      </c>
      <c r="P374" s="10">
        <f>IFERROR(SUMIFS('Base bordo CD'!M$2:M$875,'Base bordo CD'!D$2:D$875,A374,'Base bordo CD'!A$2:A$875,B374),0)</f>
        <v>24</v>
      </c>
      <c r="Q374" s="10">
        <f>IFERROR(SUMIFS('Base bordo CD'!O$2:O$875,'Base bordo CD'!D$2:D$875,A374,'Base bordo CD'!A$2:A$875,B374,'Base bordo CD'!L$2:L$875,"CORTE DE CANA MECANIZADO"),0)</f>
        <v>470.48</v>
      </c>
      <c r="R374" s="10">
        <f>IFERROR(SUMIFS('Base bordo CD'!Q$2:Q$875,'Base bordo CD'!D$2:D$875,A374,'Base bordo CD'!A$2:A$875,B374,'Base bordo CD'!L$2:L$875,"CORTE DE CANA MECANIZADO"),0)</f>
        <v>151</v>
      </c>
      <c r="S374" s="30">
        <f t="shared" si="31"/>
        <v>3.1157615894039736</v>
      </c>
      <c r="T374" s="9">
        <f t="shared" si="32"/>
        <v>1.7476851851851855E-3</v>
      </c>
      <c r="U374" s="9">
        <f t="shared" si="33"/>
        <v>6.0185185185185179E-4</v>
      </c>
      <c r="V374" s="9">
        <f t="shared" si="34"/>
        <v>0.9924884259259259</v>
      </c>
    </row>
    <row r="375" spans="1:22" hidden="1" x14ac:dyDescent="0.35">
      <c r="A375" s="52">
        <v>49592</v>
      </c>
      <c r="B375" s="31">
        <v>46121</v>
      </c>
      <c r="C375" s="7" t="s">
        <v>364</v>
      </c>
      <c r="D375" s="7">
        <v>352</v>
      </c>
      <c r="E375" s="10">
        <f>IFERROR(SUMIFS('Base bordo CD'!M$2:M$875,'Base bordo CD'!D$2:D$875,A375,'Base bordo CD'!A$2:A$875,B375,'Base bordo CD'!L$2:L$875,"CORTE DE CANA MECANIZADO"),0)</f>
        <v>4.1944444444444451E-2</v>
      </c>
      <c r="F375" s="10">
        <f>IFERROR(SUMIFS('Base bordo CD'!M$2:M$875,'Base bordo CD'!D$2:D$875,A375,'Base bordo CD'!A$2:A$875,B375,'Base bordo CD'!L$2:L$875,"MANOBRA"),0)</f>
        <v>1.4444444444444444E-2</v>
      </c>
      <c r="G375" s="10">
        <f>IFERROR(SUMIFS('Base bordo CD'!M$2:M$875,'Base bordo CD'!D$2:D$875,A375,'Base bordo CD'!A$2:A$875,B375,'Base bordo CD'!L$2:L$875,"DESLOCAMENTO"),0)</f>
        <v>0.13833333333333334</v>
      </c>
      <c r="H375" s="10">
        <f>IFERROR(SUMIFS('Base bordo CD'!M$2:M$875,'Base bordo CD'!D$2:D$875,A375,'Base bordo CD'!A$2:A$875,B375,'Base bordo CD'!L$2:L$875,"AGUARDANDO MANOBRA DE TRANSBORDO"),0)+IFERROR(SUMIFS('Base bordo CD'!M$2:M$875,'Base bordo CD'!D$2:D$875,A375,'Base bordo CD'!A$2:A$875,B375,'Base bordo CD'!L$2:L$875,"FALTA DE TRANSBORDO"),0)</f>
        <v>0</v>
      </c>
      <c r="I375" s="10">
        <f>IFERROR(SUMIFS('Base bordo CD'!M$2:M$875,'Base bordo CD'!D$2:D$875,A375,'Base bordo CD'!A$2:A$875,B375,'Base bordo CD'!L$2:L$875,"PARADA POR CONDICOES CLIMATICAS"),0)+IFERROR(SUMIFS('Base bordo CD'!M$2:M$875,'Base bordo CD'!D$2:D$875,A375,'Base bordo CD'!A$2:A$875,B375,'Base bordo CD'!L$2:L$875,"TEMPO INDETERMINADO"),0)</f>
        <v>23.805277777777778</v>
      </c>
      <c r="J375" s="10">
        <f>IFERROR(SUMIFS('Base bordo CD'!M$2:M$875,'Base bordo CD'!D$2:D$875,A375,'Base bordo CD'!A$2:A$875,B375,'Base bordo CD'!L$2:L$875,"LIMITAÇÃO INDÚSTRIA"),0)</f>
        <v>0</v>
      </c>
      <c r="K375" s="10">
        <f>IFERROR(SUMIFS('Base bordo CD'!M$2:M$875,'Base bordo CD'!D$2:D$875,A375,'Base bordo CD'!A$2:A$875,B375,'Base bordo CD'!L$2:L$875,"MAN CORRETIVA*"),0)+IFERROR(SUMIFS('Base bordo CD'!M$2:M$875,'Base bordo CD'!D$2:D$875,A375,'Base bordo CD'!A$2:A$875,B375,'Base bordo CD'!L$2:L$875,"AGUARDANDO MANUTENCAO*"),0)+IFERROR(SUMIFS('Base bordo CD'!M$2:M$875,'Base bordo CD'!D$2:D$875,A375,'Base bordo CD'!A$2:A$875,B375,'Base bordo CD'!L$2:L$875,"TROCA DE FAQUINHA"),0)+IFERROR(SUMIFS('Base bordo CD'!M$2:M$875,'Base bordo CD'!D$2:D$875,A375,'Base bordo CD'!A$2:A$875,B375,'Base bordo CD'!L$2:L$875,"LIMPEZA*"),0)</f>
        <v>0</v>
      </c>
      <c r="L375" s="10">
        <f>IFERROR(SUMIFS('Base bordo CD'!M$2:M$875,'Base bordo CD'!D$2:D$875,A375,'Base bordo CD'!A$2:A$875,B375,'Base bordo CD'!L$2:L$875,"PATIO - RESERVA"),0)</f>
        <v>0</v>
      </c>
      <c r="M375" s="10">
        <f>IFERROR(SUMIFS('Base bordo CD'!M$2:M$875,'Base bordo CD'!D$2:D$875,A375,'Base bordo CD'!A$2:A$875,B375,'Base bordo CD'!L$2:L$875,"SEM APONTAMENTO"),0)</f>
        <v>0</v>
      </c>
      <c r="N375" s="10">
        <f>IFERROR(SUMIFS('Base bordo CD'!M$2:M$875,'Base bordo CD'!D$2:D$875,A375,'Base bordo CD'!A$2:A$875,B375,'Base bordo CD'!L$2:L$875,"FALTA DE CAMINHÃO"),0)+IFERROR(SUMIFS('Base bordo CD'!M$2:M$875,'Base bordo CD'!D$2:D$875,A375,'Base bordo CD'!A$2:A$875,B375,'Base bordo CD'!L$2:L$875,"FALTA DE COMBUSTIVEL"),0)+IFERROR(SUMIFS('Base bordo CD'!M$2:M$875,'Base bordo CD'!D$2:D$875,A375,'Base bordo CD'!A$2:A$875,B375,'Base bordo CD'!L$2:L$875,"FALTA DE MOTORIST*"),0)</f>
        <v>0</v>
      </c>
      <c r="O375" s="10">
        <f t="shared" si="30"/>
        <v>0</v>
      </c>
      <c r="P375" s="10">
        <f>IFERROR(SUMIFS('Base bordo CD'!M$2:M$875,'Base bordo CD'!D$2:D$875,A375,'Base bordo CD'!A$2:A$875,B375),0)</f>
        <v>24</v>
      </c>
      <c r="Q375" s="10">
        <f>IFERROR(SUMIFS('Base bordo CD'!O$2:O$875,'Base bordo CD'!D$2:D$875,A375,'Base bordo CD'!A$2:A$875,B375,'Base bordo CD'!L$2:L$875,"CORTE DE CANA MECANIZADO"),0)</f>
        <v>470.48</v>
      </c>
      <c r="R375" s="10">
        <f>IFERROR(SUMIFS('Base bordo CD'!Q$2:Q$875,'Base bordo CD'!D$2:D$875,A375,'Base bordo CD'!A$2:A$875,B375,'Base bordo CD'!L$2:L$875,"CORTE DE CANA MECANIZADO"),0)</f>
        <v>151</v>
      </c>
      <c r="S375" s="30">
        <f t="shared" si="31"/>
        <v>3.1157615894039736</v>
      </c>
      <c r="T375" s="9">
        <f t="shared" si="32"/>
        <v>1.7476851851851855E-3</v>
      </c>
      <c r="U375" s="9">
        <f t="shared" si="33"/>
        <v>6.0185185185185179E-4</v>
      </c>
      <c r="V375" s="9">
        <f t="shared" si="34"/>
        <v>0.9924884259259259</v>
      </c>
    </row>
    <row r="376" spans="1:22" hidden="1" x14ac:dyDescent="0.35">
      <c r="A376" s="52">
        <v>49592</v>
      </c>
      <c r="B376" s="31">
        <v>46121</v>
      </c>
      <c r="C376" s="7" t="s">
        <v>364</v>
      </c>
      <c r="D376" s="7">
        <v>352</v>
      </c>
      <c r="E376" s="10">
        <f>IFERROR(SUMIFS('Base bordo CD'!M$2:M$875,'Base bordo CD'!D$2:D$875,A376,'Base bordo CD'!A$2:A$875,B376,'Base bordo CD'!L$2:L$875,"CORTE DE CANA MECANIZADO"),0)</f>
        <v>4.1944444444444451E-2</v>
      </c>
      <c r="F376" s="10">
        <f>IFERROR(SUMIFS('Base bordo CD'!M$2:M$875,'Base bordo CD'!D$2:D$875,A376,'Base bordo CD'!A$2:A$875,B376,'Base bordo CD'!L$2:L$875,"MANOBRA"),0)</f>
        <v>1.4444444444444444E-2</v>
      </c>
      <c r="G376" s="10">
        <f>IFERROR(SUMIFS('Base bordo CD'!M$2:M$875,'Base bordo CD'!D$2:D$875,A376,'Base bordo CD'!A$2:A$875,B376,'Base bordo CD'!L$2:L$875,"DESLOCAMENTO"),0)</f>
        <v>0.13833333333333334</v>
      </c>
      <c r="H376" s="10">
        <f>IFERROR(SUMIFS('Base bordo CD'!M$2:M$875,'Base bordo CD'!D$2:D$875,A376,'Base bordo CD'!A$2:A$875,B376,'Base bordo CD'!L$2:L$875,"AGUARDANDO MANOBRA DE TRANSBORDO"),0)+IFERROR(SUMIFS('Base bordo CD'!M$2:M$875,'Base bordo CD'!D$2:D$875,A376,'Base bordo CD'!A$2:A$875,B376,'Base bordo CD'!L$2:L$875,"FALTA DE TRANSBORDO"),0)</f>
        <v>0</v>
      </c>
      <c r="I376" s="10">
        <f>IFERROR(SUMIFS('Base bordo CD'!M$2:M$875,'Base bordo CD'!D$2:D$875,A376,'Base bordo CD'!A$2:A$875,B376,'Base bordo CD'!L$2:L$875,"PARADA POR CONDICOES CLIMATICAS"),0)+IFERROR(SUMIFS('Base bordo CD'!M$2:M$875,'Base bordo CD'!D$2:D$875,A376,'Base bordo CD'!A$2:A$875,B376,'Base bordo CD'!L$2:L$875,"TEMPO INDETERMINADO"),0)</f>
        <v>23.805277777777778</v>
      </c>
      <c r="J376" s="10">
        <f>IFERROR(SUMIFS('Base bordo CD'!M$2:M$875,'Base bordo CD'!D$2:D$875,A376,'Base bordo CD'!A$2:A$875,B376,'Base bordo CD'!L$2:L$875,"LIMITAÇÃO INDÚSTRIA"),0)</f>
        <v>0</v>
      </c>
      <c r="K376" s="10">
        <f>IFERROR(SUMIFS('Base bordo CD'!M$2:M$875,'Base bordo CD'!D$2:D$875,A376,'Base bordo CD'!A$2:A$875,B376,'Base bordo CD'!L$2:L$875,"MAN CORRETIVA*"),0)+IFERROR(SUMIFS('Base bordo CD'!M$2:M$875,'Base bordo CD'!D$2:D$875,A376,'Base bordo CD'!A$2:A$875,B376,'Base bordo CD'!L$2:L$875,"AGUARDANDO MANUTENCAO*"),0)+IFERROR(SUMIFS('Base bordo CD'!M$2:M$875,'Base bordo CD'!D$2:D$875,A376,'Base bordo CD'!A$2:A$875,B376,'Base bordo CD'!L$2:L$875,"TROCA DE FAQUINHA"),0)+IFERROR(SUMIFS('Base bordo CD'!M$2:M$875,'Base bordo CD'!D$2:D$875,A376,'Base bordo CD'!A$2:A$875,B376,'Base bordo CD'!L$2:L$875,"LIMPEZA*"),0)</f>
        <v>0</v>
      </c>
      <c r="L376" s="10">
        <f>IFERROR(SUMIFS('Base bordo CD'!M$2:M$875,'Base bordo CD'!D$2:D$875,A376,'Base bordo CD'!A$2:A$875,B376,'Base bordo CD'!L$2:L$875,"PATIO - RESERVA"),0)</f>
        <v>0</v>
      </c>
      <c r="M376" s="10">
        <f>IFERROR(SUMIFS('Base bordo CD'!M$2:M$875,'Base bordo CD'!D$2:D$875,A376,'Base bordo CD'!A$2:A$875,B376,'Base bordo CD'!L$2:L$875,"SEM APONTAMENTO"),0)</f>
        <v>0</v>
      </c>
      <c r="N376" s="10">
        <f>IFERROR(SUMIFS('Base bordo CD'!M$2:M$875,'Base bordo CD'!D$2:D$875,A376,'Base bordo CD'!A$2:A$875,B376,'Base bordo CD'!L$2:L$875,"FALTA DE CAMINHÃO"),0)+IFERROR(SUMIFS('Base bordo CD'!M$2:M$875,'Base bordo CD'!D$2:D$875,A376,'Base bordo CD'!A$2:A$875,B376,'Base bordo CD'!L$2:L$875,"FALTA DE COMBUSTIVEL"),0)+IFERROR(SUMIFS('Base bordo CD'!M$2:M$875,'Base bordo CD'!D$2:D$875,A376,'Base bordo CD'!A$2:A$875,B376,'Base bordo CD'!L$2:L$875,"FALTA DE MOTORIST*"),0)</f>
        <v>0</v>
      </c>
      <c r="O376" s="10">
        <f t="shared" si="30"/>
        <v>0</v>
      </c>
      <c r="P376" s="10">
        <f>IFERROR(SUMIFS('Base bordo CD'!M$2:M$875,'Base bordo CD'!D$2:D$875,A376,'Base bordo CD'!A$2:A$875,B376),0)</f>
        <v>24</v>
      </c>
      <c r="Q376" s="10">
        <f>IFERROR(SUMIFS('Base bordo CD'!O$2:O$875,'Base bordo CD'!D$2:D$875,A376,'Base bordo CD'!A$2:A$875,B376,'Base bordo CD'!L$2:L$875,"CORTE DE CANA MECANIZADO"),0)</f>
        <v>470.48</v>
      </c>
      <c r="R376" s="10">
        <f>IFERROR(SUMIFS('Base bordo CD'!Q$2:Q$875,'Base bordo CD'!D$2:D$875,A376,'Base bordo CD'!A$2:A$875,B376,'Base bordo CD'!L$2:L$875,"CORTE DE CANA MECANIZADO"),0)</f>
        <v>151</v>
      </c>
      <c r="S376" s="30">
        <f t="shared" si="31"/>
        <v>3.1157615894039736</v>
      </c>
      <c r="T376" s="9">
        <f t="shared" si="32"/>
        <v>1.7476851851851855E-3</v>
      </c>
      <c r="U376" s="9">
        <f t="shared" si="33"/>
        <v>6.0185185185185179E-4</v>
      </c>
      <c r="V376" s="9">
        <f t="shared" si="34"/>
        <v>0.9924884259259259</v>
      </c>
    </row>
    <row r="377" spans="1:22" hidden="1" x14ac:dyDescent="0.35">
      <c r="A377" s="52">
        <v>49592</v>
      </c>
      <c r="B377" s="31">
        <v>46121</v>
      </c>
      <c r="C377" s="7" t="s">
        <v>364</v>
      </c>
      <c r="D377" s="7">
        <v>352</v>
      </c>
      <c r="E377" s="10">
        <f>IFERROR(SUMIFS('Base bordo CD'!M$2:M$875,'Base bordo CD'!D$2:D$875,A377,'Base bordo CD'!A$2:A$875,B377,'Base bordo CD'!L$2:L$875,"CORTE DE CANA MECANIZADO"),0)</f>
        <v>4.1944444444444451E-2</v>
      </c>
      <c r="F377" s="10">
        <f>IFERROR(SUMIFS('Base bordo CD'!M$2:M$875,'Base bordo CD'!D$2:D$875,A377,'Base bordo CD'!A$2:A$875,B377,'Base bordo CD'!L$2:L$875,"MANOBRA"),0)</f>
        <v>1.4444444444444444E-2</v>
      </c>
      <c r="G377" s="10">
        <f>IFERROR(SUMIFS('Base bordo CD'!M$2:M$875,'Base bordo CD'!D$2:D$875,A377,'Base bordo CD'!A$2:A$875,B377,'Base bordo CD'!L$2:L$875,"DESLOCAMENTO"),0)</f>
        <v>0.13833333333333334</v>
      </c>
      <c r="H377" s="10">
        <f>IFERROR(SUMIFS('Base bordo CD'!M$2:M$875,'Base bordo CD'!D$2:D$875,A377,'Base bordo CD'!A$2:A$875,B377,'Base bordo CD'!L$2:L$875,"AGUARDANDO MANOBRA DE TRANSBORDO"),0)+IFERROR(SUMIFS('Base bordo CD'!M$2:M$875,'Base bordo CD'!D$2:D$875,A377,'Base bordo CD'!A$2:A$875,B377,'Base bordo CD'!L$2:L$875,"FALTA DE TRANSBORDO"),0)</f>
        <v>0</v>
      </c>
      <c r="I377" s="10">
        <f>IFERROR(SUMIFS('Base bordo CD'!M$2:M$875,'Base bordo CD'!D$2:D$875,A377,'Base bordo CD'!A$2:A$875,B377,'Base bordo CD'!L$2:L$875,"PARADA POR CONDICOES CLIMATICAS"),0)+IFERROR(SUMIFS('Base bordo CD'!M$2:M$875,'Base bordo CD'!D$2:D$875,A377,'Base bordo CD'!A$2:A$875,B377,'Base bordo CD'!L$2:L$875,"TEMPO INDETERMINADO"),0)</f>
        <v>23.805277777777778</v>
      </c>
      <c r="J377" s="10">
        <f>IFERROR(SUMIFS('Base bordo CD'!M$2:M$875,'Base bordo CD'!D$2:D$875,A377,'Base bordo CD'!A$2:A$875,B377,'Base bordo CD'!L$2:L$875,"LIMITAÇÃO INDÚSTRIA"),0)</f>
        <v>0</v>
      </c>
      <c r="K377" s="10">
        <f>IFERROR(SUMIFS('Base bordo CD'!M$2:M$875,'Base bordo CD'!D$2:D$875,A377,'Base bordo CD'!A$2:A$875,B377,'Base bordo CD'!L$2:L$875,"MAN CORRETIVA*"),0)+IFERROR(SUMIFS('Base bordo CD'!M$2:M$875,'Base bordo CD'!D$2:D$875,A377,'Base bordo CD'!A$2:A$875,B377,'Base bordo CD'!L$2:L$875,"AGUARDANDO MANUTENCAO*"),0)+IFERROR(SUMIFS('Base bordo CD'!M$2:M$875,'Base bordo CD'!D$2:D$875,A377,'Base bordo CD'!A$2:A$875,B377,'Base bordo CD'!L$2:L$875,"TROCA DE FAQUINHA"),0)+IFERROR(SUMIFS('Base bordo CD'!M$2:M$875,'Base bordo CD'!D$2:D$875,A377,'Base bordo CD'!A$2:A$875,B377,'Base bordo CD'!L$2:L$875,"LIMPEZA*"),0)</f>
        <v>0</v>
      </c>
      <c r="L377" s="10">
        <f>IFERROR(SUMIFS('Base bordo CD'!M$2:M$875,'Base bordo CD'!D$2:D$875,A377,'Base bordo CD'!A$2:A$875,B377,'Base bordo CD'!L$2:L$875,"PATIO - RESERVA"),0)</f>
        <v>0</v>
      </c>
      <c r="M377" s="10">
        <f>IFERROR(SUMIFS('Base bordo CD'!M$2:M$875,'Base bordo CD'!D$2:D$875,A377,'Base bordo CD'!A$2:A$875,B377,'Base bordo CD'!L$2:L$875,"SEM APONTAMENTO"),0)</f>
        <v>0</v>
      </c>
      <c r="N377" s="10">
        <f>IFERROR(SUMIFS('Base bordo CD'!M$2:M$875,'Base bordo CD'!D$2:D$875,A377,'Base bordo CD'!A$2:A$875,B377,'Base bordo CD'!L$2:L$875,"FALTA DE CAMINHÃO"),0)+IFERROR(SUMIFS('Base bordo CD'!M$2:M$875,'Base bordo CD'!D$2:D$875,A377,'Base bordo CD'!A$2:A$875,B377,'Base bordo CD'!L$2:L$875,"FALTA DE COMBUSTIVEL"),0)+IFERROR(SUMIFS('Base bordo CD'!M$2:M$875,'Base bordo CD'!D$2:D$875,A377,'Base bordo CD'!A$2:A$875,B377,'Base bordo CD'!L$2:L$875,"FALTA DE MOTORIST*"),0)</f>
        <v>0</v>
      </c>
      <c r="O377" s="10">
        <f t="shared" si="30"/>
        <v>0</v>
      </c>
      <c r="P377" s="10">
        <f>IFERROR(SUMIFS('Base bordo CD'!M$2:M$875,'Base bordo CD'!D$2:D$875,A377,'Base bordo CD'!A$2:A$875,B377),0)</f>
        <v>24</v>
      </c>
      <c r="Q377" s="10">
        <f>IFERROR(SUMIFS('Base bordo CD'!O$2:O$875,'Base bordo CD'!D$2:D$875,A377,'Base bordo CD'!A$2:A$875,B377,'Base bordo CD'!L$2:L$875,"CORTE DE CANA MECANIZADO"),0)</f>
        <v>470.48</v>
      </c>
      <c r="R377" s="10">
        <f>IFERROR(SUMIFS('Base bordo CD'!Q$2:Q$875,'Base bordo CD'!D$2:D$875,A377,'Base bordo CD'!A$2:A$875,B377,'Base bordo CD'!L$2:L$875,"CORTE DE CANA MECANIZADO"),0)</f>
        <v>151</v>
      </c>
      <c r="S377" s="30">
        <f t="shared" si="31"/>
        <v>3.1157615894039736</v>
      </c>
      <c r="T377" s="9">
        <f t="shared" si="32"/>
        <v>1.7476851851851855E-3</v>
      </c>
      <c r="U377" s="9">
        <f t="shared" si="33"/>
        <v>6.0185185185185179E-4</v>
      </c>
      <c r="V377" s="9">
        <f t="shared" si="34"/>
        <v>0.9924884259259259</v>
      </c>
    </row>
    <row r="378" spans="1:22" hidden="1" x14ac:dyDescent="0.35">
      <c r="A378" s="52">
        <v>49592</v>
      </c>
      <c r="B378" s="31">
        <v>46121</v>
      </c>
      <c r="C378" s="7" t="s">
        <v>364</v>
      </c>
      <c r="D378" s="7">
        <v>352</v>
      </c>
      <c r="E378" s="10">
        <f>IFERROR(SUMIFS('Base bordo CD'!M$2:M$875,'Base bordo CD'!D$2:D$875,A378,'Base bordo CD'!A$2:A$875,B378,'Base bordo CD'!L$2:L$875,"CORTE DE CANA MECANIZADO"),0)</f>
        <v>4.1944444444444451E-2</v>
      </c>
      <c r="F378" s="10">
        <f>IFERROR(SUMIFS('Base bordo CD'!M$2:M$875,'Base bordo CD'!D$2:D$875,A378,'Base bordo CD'!A$2:A$875,B378,'Base bordo CD'!L$2:L$875,"MANOBRA"),0)</f>
        <v>1.4444444444444444E-2</v>
      </c>
      <c r="G378" s="10">
        <f>IFERROR(SUMIFS('Base bordo CD'!M$2:M$875,'Base bordo CD'!D$2:D$875,A378,'Base bordo CD'!A$2:A$875,B378,'Base bordo CD'!L$2:L$875,"DESLOCAMENTO"),0)</f>
        <v>0.13833333333333334</v>
      </c>
      <c r="H378" s="10">
        <f>IFERROR(SUMIFS('Base bordo CD'!M$2:M$875,'Base bordo CD'!D$2:D$875,A378,'Base bordo CD'!A$2:A$875,B378,'Base bordo CD'!L$2:L$875,"AGUARDANDO MANOBRA DE TRANSBORDO"),0)+IFERROR(SUMIFS('Base bordo CD'!M$2:M$875,'Base bordo CD'!D$2:D$875,A378,'Base bordo CD'!A$2:A$875,B378,'Base bordo CD'!L$2:L$875,"FALTA DE TRANSBORDO"),0)</f>
        <v>0</v>
      </c>
      <c r="I378" s="10">
        <f>IFERROR(SUMIFS('Base bordo CD'!M$2:M$875,'Base bordo CD'!D$2:D$875,A378,'Base bordo CD'!A$2:A$875,B378,'Base bordo CD'!L$2:L$875,"PARADA POR CONDICOES CLIMATICAS"),0)+IFERROR(SUMIFS('Base bordo CD'!M$2:M$875,'Base bordo CD'!D$2:D$875,A378,'Base bordo CD'!A$2:A$875,B378,'Base bordo CD'!L$2:L$875,"TEMPO INDETERMINADO"),0)</f>
        <v>23.805277777777778</v>
      </c>
      <c r="J378" s="10">
        <f>IFERROR(SUMIFS('Base bordo CD'!M$2:M$875,'Base bordo CD'!D$2:D$875,A378,'Base bordo CD'!A$2:A$875,B378,'Base bordo CD'!L$2:L$875,"LIMITAÇÃO INDÚSTRIA"),0)</f>
        <v>0</v>
      </c>
      <c r="K378" s="10">
        <f>IFERROR(SUMIFS('Base bordo CD'!M$2:M$875,'Base bordo CD'!D$2:D$875,A378,'Base bordo CD'!A$2:A$875,B378,'Base bordo CD'!L$2:L$875,"MAN CORRETIVA*"),0)+IFERROR(SUMIFS('Base bordo CD'!M$2:M$875,'Base bordo CD'!D$2:D$875,A378,'Base bordo CD'!A$2:A$875,B378,'Base bordo CD'!L$2:L$875,"AGUARDANDO MANUTENCAO*"),0)+IFERROR(SUMIFS('Base bordo CD'!M$2:M$875,'Base bordo CD'!D$2:D$875,A378,'Base bordo CD'!A$2:A$875,B378,'Base bordo CD'!L$2:L$875,"TROCA DE FAQUINHA"),0)+IFERROR(SUMIFS('Base bordo CD'!M$2:M$875,'Base bordo CD'!D$2:D$875,A378,'Base bordo CD'!A$2:A$875,B378,'Base bordo CD'!L$2:L$875,"LIMPEZA*"),0)</f>
        <v>0</v>
      </c>
      <c r="L378" s="10">
        <f>IFERROR(SUMIFS('Base bordo CD'!M$2:M$875,'Base bordo CD'!D$2:D$875,A378,'Base bordo CD'!A$2:A$875,B378,'Base bordo CD'!L$2:L$875,"PATIO - RESERVA"),0)</f>
        <v>0</v>
      </c>
      <c r="M378" s="10">
        <f>IFERROR(SUMIFS('Base bordo CD'!M$2:M$875,'Base bordo CD'!D$2:D$875,A378,'Base bordo CD'!A$2:A$875,B378,'Base bordo CD'!L$2:L$875,"SEM APONTAMENTO"),0)</f>
        <v>0</v>
      </c>
      <c r="N378" s="10">
        <f>IFERROR(SUMIFS('Base bordo CD'!M$2:M$875,'Base bordo CD'!D$2:D$875,A378,'Base bordo CD'!A$2:A$875,B378,'Base bordo CD'!L$2:L$875,"FALTA DE CAMINHÃO"),0)+IFERROR(SUMIFS('Base bordo CD'!M$2:M$875,'Base bordo CD'!D$2:D$875,A378,'Base bordo CD'!A$2:A$875,B378,'Base bordo CD'!L$2:L$875,"FALTA DE COMBUSTIVEL"),0)+IFERROR(SUMIFS('Base bordo CD'!M$2:M$875,'Base bordo CD'!D$2:D$875,A378,'Base bordo CD'!A$2:A$875,B378,'Base bordo CD'!L$2:L$875,"FALTA DE MOTORIST*"),0)</f>
        <v>0</v>
      </c>
      <c r="O378" s="10">
        <f t="shared" si="30"/>
        <v>0</v>
      </c>
      <c r="P378" s="10">
        <f>IFERROR(SUMIFS('Base bordo CD'!M$2:M$875,'Base bordo CD'!D$2:D$875,A378,'Base bordo CD'!A$2:A$875,B378),0)</f>
        <v>24</v>
      </c>
      <c r="Q378" s="10">
        <f>IFERROR(SUMIFS('Base bordo CD'!O$2:O$875,'Base bordo CD'!D$2:D$875,A378,'Base bordo CD'!A$2:A$875,B378,'Base bordo CD'!L$2:L$875,"CORTE DE CANA MECANIZADO"),0)</f>
        <v>470.48</v>
      </c>
      <c r="R378" s="10">
        <f>IFERROR(SUMIFS('Base bordo CD'!Q$2:Q$875,'Base bordo CD'!D$2:D$875,A378,'Base bordo CD'!A$2:A$875,B378,'Base bordo CD'!L$2:L$875,"CORTE DE CANA MECANIZADO"),0)</f>
        <v>151</v>
      </c>
      <c r="S378" s="30">
        <f t="shared" si="31"/>
        <v>3.1157615894039736</v>
      </c>
      <c r="T378" s="9">
        <f t="shared" si="32"/>
        <v>1.7476851851851855E-3</v>
      </c>
      <c r="U378" s="9">
        <f t="shared" si="33"/>
        <v>6.0185185185185179E-4</v>
      </c>
      <c r="V378" s="9">
        <f t="shared" si="34"/>
        <v>0.9924884259259259</v>
      </c>
    </row>
    <row r="379" spans="1:22" hidden="1" x14ac:dyDescent="0.35">
      <c r="A379" s="52">
        <v>49593</v>
      </c>
      <c r="B379" s="31">
        <v>46121</v>
      </c>
      <c r="C379" s="7" t="s">
        <v>321</v>
      </c>
      <c r="D379" s="7">
        <v>351</v>
      </c>
      <c r="E379" s="10">
        <f>IFERROR(SUMIFS('Base bordo CD'!M$2:M$875,'Base bordo CD'!D$2:D$875,A379,'Base bordo CD'!A$2:A$875,B379,'Base bordo CD'!L$2:L$875,"CORTE DE CANA MECANIZADO"),0)</f>
        <v>0</v>
      </c>
      <c r="F379" s="10">
        <f>IFERROR(SUMIFS('Base bordo CD'!M$2:M$875,'Base bordo CD'!D$2:D$875,A379,'Base bordo CD'!A$2:A$875,B379,'Base bordo CD'!L$2:L$875,"MANOBRA"),0)</f>
        <v>0</v>
      </c>
      <c r="G379" s="10">
        <f>IFERROR(SUMIFS('Base bordo CD'!M$2:M$875,'Base bordo CD'!D$2:D$875,A379,'Base bordo CD'!A$2:A$875,B379,'Base bordo CD'!L$2:L$875,"DESLOCAMENTO"),0)</f>
        <v>0</v>
      </c>
      <c r="H379" s="10">
        <f>IFERROR(SUMIFS('Base bordo CD'!M$2:M$875,'Base bordo CD'!D$2:D$875,A379,'Base bordo CD'!A$2:A$875,B379,'Base bordo CD'!L$2:L$875,"AGUARDANDO MANOBRA DE TRANSBORDO"),0)+IFERROR(SUMIFS('Base bordo CD'!M$2:M$875,'Base bordo CD'!D$2:D$875,A379,'Base bordo CD'!A$2:A$875,B379,'Base bordo CD'!L$2:L$875,"FALTA DE TRANSBORDO"),0)</f>
        <v>0</v>
      </c>
      <c r="I379" s="10">
        <f>IFERROR(SUMIFS('Base bordo CD'!M$2:M$875,'Base bordo CD'!D$2:D$875,A379,'Base bordo CD'!A$2:A$875,B379,'Base bordo CD'!L$2:L$875,"PARADA POR CONDICOES CLIMATICAS"),0)+IFERROR(SUMIFS('Base bordo CD'!M$2:M$875,'Base bordo CD'!D$2:D$875,A379,'Base bordo CD'!A$2:A$875,B379,'Base bordo CD'!L$2:L$875,"TEMPO INDETERMINADO"),0)</f>
        <v>24</v>
      </c>
      <c r="J379" s="10">
        <f>IFERROR(SUMIFS('Base bordo CD'!M$2:M$875,'Base bordo CD'!D$2:D$875,A379,'Base bordo CD'!A$2:A$875,B379,'Base bordo CD'!L$2:L$875,"LIMITAÇÃO INDÚSTRIA"),0)</f>
        <v>0</v>
      </c>
      <c r="K379" s="10">
        <f>IFERROR(SUMIFS('Base bordo CD'!M$2:M$875,'Base bordo CD'!D$2:D$875,A379,'Base bordo CD'!A$2:A$875,B379,'Base bordo CD'!L$2:L$875,"MAN CORRETIVA*"),0)+IFERROR(SUMIFS('Base bordo CD'!M$2:M$875,'Base bordo CD'!D$2:D$875,A379,'Base bordo CD'!A$2:A$875,B379,'Base bordo CD'!L$2:L$875,"AGUARDANDO MANUTENCAO*"),0)+IFERROR(SUMIFS('Base bordo CD'!M$2:M$875,'Base bordo CD'!D$2:D$875,A379,'Base bordo CD'!A$2:A$875,B379,'Base bordo CD'!L$2:L$875,"TROCA DE FAQUINHA"),0)+IFERROR(SUMIFS('Base bordo CD'!M$2:M$875,'Base bordo CD'!D$2:D$875,A379,'Base bordo CD'!A$2:A$875,B379,'Base bordo CD'!L$2:L$875,"LIMPEZA*"),0)</f>
        <v>0</v>
      </c>
      <c r="L379" s="10">
        <f>IFERROR(SUMIFS('Base bordo CD'!M$2:M$875,'Base bordo CD'!D$2:D$875,A379,'Base bordo CD'!A$2:A$875,B379,'Base bordo CD'!L$2:L$875,"PATIO - RESERVA"),0)</f>
        <v>0</v>
      </c>
      <c r="M379" s="10">
        <f>IFERROR(SUMIFS('Base bordo CD'!M$2:M$875,'Base bordo CD'!D$2:D$875,A379,'Base bordo CD'!A$2:A$875,B379,'Base bordo CD'!L$2:L$875,"SEM APONTAMENTO"),0)</f>
        <v>0</v>
      </c>
      <c r="N379" s="10">
        <f>IFERROR(SUMIFS('Base bordo CD'!M$2:M$875,'Base bordo CD'!D$2:D$875,A379,'Base bordo CD'!A$2:A$875,B379,'Base bordo CD'!L$2:L$875,"FALTA DE CAMINHÃO"),0)+IFERROR(SUMIFS('Base bordo CD'!M$2:M$875,'Base bordo CD'!D$2:D$875,A379,'Base bordo CD'!A$2:A$875,B379,'Base bordo CD'!L$2:L$875,"FALTA DE COMBUSTIVEL"),0)+IFERROR(SUMIFS('Base bordo CD'!M$2:M$875,'Base bordo CD'!D$2:D$875,A379,'Base bordo CD'!A$2:A$875,B379,'Base bordo CD'!L$2:L$875,"FALTA DE MOTORIST*"),0)</f>
        <v>0</v>
      </c>
      <c r="O379" s="10">
        <f t="shared" si="30"/>
        <v>0</v>
      </c>
      <c r="P379" s="10">
        <f>IFERROR(SUMIFS('Base bordo CD'!M$2:M$875,'Base bordo CD'!D$2:D$875,A379,'Base bordo CD'!A$2:A$875,B379),0)</f>
        <v>24</v>
      </c>
      <c r="Q379" s="10">
        <f>IFERROR(SUMIFS('Base bordo CD'!O$2:O$875,'Base bordo CD'!D$2:D$875,A379,'Base bordo CD'!A$2:A$875,B379,'Base bordo CD'!L$2:L$875,"CORTE DE CANA MECANIZADO"),0)</f>
        <v>0</v>
      </c>
      <c r="R379" s="10">
        <f>IFERROR(SUMIFS('Base bordo CD'!Q$2:Q$875,'Base bordo CD'!D$2:D$875,A379,'Base bordo CD'!A$2:A$875,B379,'Base bordo CD'!L$2:L$875,"CORTE DE CANA MECANIZADO"),0)</f>
        <v>0</v>
      </c>
      <c r="S379" s="30" t="str">
        <f t="shared" si="31"/>
        <v/>
      </c>
      <c r="T379" s="9">
        <f t="shared" si="32"/>
        <v>0</v>
      </c>
      <c r="U379" s="9">
        <f t="shared" si="33"/>
        <v>0</v>
      </c>
      <c r="V379" s="9">
        <f t="shared" si="34"/>
        <v>1</v>
      </c>
    </row>
    <row r="380" spans="1:22" hidden="1" x14ac:dyDescent="0.35">
      <c r="A380" s="52">
        <v>49593</v>
      </c>
      <c r="B380" s="31">
        <v>46121</v>
      </c>
      <c r="C380" s="7" t="s">
        <v>321</v>
      </c>
      <c r="D380" s="7">
        <v>351</v>
      </c>
      <c r="E380" s="10">
        <f>IFERROR(SUMIFS('Base bordo CD'!M$2:M$875,'Base bordo CD'!D$2:D$875,A380,'Base bordo CD'!A$2:A$875,B380,'Base bordo CD'!L$2:L$875,"CORTE DE CANA MECANIZADO"),0)</f>
        <v>0</v>
      </c>
      <c r="F380" s="10">
        <f>IFERROR(SUMIFS('Base bordo CD'!M$2:M$875,'Base bordo CD'!D$2:D$875,A380,'Base bordo CD'!A$2:A$875,B380,'Base bordo CD'!L$2:L$875,"MANOBRA"),0)</f>
        <v>0</v>
      </c>
      <c r="G380" s="10">
        <f>IFERROR(SUMIFS('Base bordo CD'!M$2:M$875,'Base bordo CD'!D$2:D$875,A380,'Base bordo CD'!A$2:A$875,B380,'Base bordo CD'!L$2:L$875,"DESLOCAMENTO"),0)</f>
        <v>0</v>
      </c>
      <c r="H380" s="10">
        <f>IFERROR(SUMIFS('Base bordo CD'!M$2:M$875,'Base bordo CD'!D$2:D$875,A380,'Base bordo CD'!A$2:A$875,B380,'Base bordo CD'!L$2:L$875,"AGUARDANDO MANOBRA DE TRANSBORDO"),0)+IFERROR(SUMIFS('Base bordo CD'!M$2:M$875,'Base bordo CD'!D$2:D$875,A380,'Base bordo CD'!A$2:A$875,B380,'Base bordo CD'!L$2:L$875,"FALTA DE TRANSBORDO"),0)</f>
        <v>0</v>
      </c>
      <c r="I380" s="10">
        <f>IFERROR(SUMIFS('Base bordo CD'!M$2:M$875,'Base bordo CD'!D$2:D$875,A380,'Base bordo CD'!A$2:A$875,B380,'Base bordo CD'!L$2:L$875,"PARADA POR CONDICOES CLIMATICAS"),0)+IFERROR(SUMIFS('Base bordo CD'!M$2:M$875,'Base bordo CD'!D$2:D$875,A380,'Base bordo CD'!A$2:A$875,B380,'Base bordo CD'!L$2:L$875,"TEMPO INDETERMINADO"),0)</f>
        <v>24</v>
      </c>
      <c r="J380" s="10">
        <f>IFERROR(SUMIFS('Base bordo CD'!M$2:M$875,'Base bordo CD'!D$2:D$875,A380,'Base bordo CD'!A$2:A$875,B380,'Base bordo CD'!L$2:L$875,"LIMITAÇÃO INDÚSTRIA"),0)</f>
        <v>0</v>
      </c>
      <c r="K380" s="10">
        <f>IFERROR(SUMIFS('Base bordo CD'!M$2:M$875,'Base bordo CD'!D$2:D$875,A380,'Base bordo CD'!A$2:A$875,B380,'Base bordo CD'!L$2:L$875,"MAN CORRETIVA*"),0)+IFERROR(SUMIFS('Base bordo CD'!M$2:M$875,'Base bordo CD'!D$2:D$875,A380,'Base bordo CD'!A$2:A$875,B380,'Base bordo CD'!L$2:L$875,"AGUARDANDO MANUTENCAO*"),0)+IFERROR(SUMIFS('Base bordo CD'!M$2:M$875,'Base bordo CD'!D$2:D$875,A380,'Base bordo CD'!A$2:A$875,B380,'Base bordo CD'!L$2:L$875,"TROCA DE FAQUINHA"),0)+IFERROR(SUMIFS('Base bordo CD'!M$2:M$875,'Base bordo CD'!D$2:D$875,A380,'Base bordo CD'!A$2:A$875,B380,'Base bordo CD'!L$2:L$875,"LIMPEZA*"),0)</f>
        <v>0</v>
      </c>
      <c r="L380" s="10">
        <f>IFERROR(SUMIFS('Base bordo CD'!M$2:M$875,'Base bordo CD'!D$2:D$875,A380,'Base bordo CD'!A$2:A$875,B380,'Base bordo CD'!L$2:L$875,"PATIO - RESERVA"),0)</f>
        <v>0</v>
      </c>
      <c r="M380" s="10">
        <f>IFERROR(SUMIFS('Base bordo CD'!M$2:M$875,'Base bordo CD'!D$2:D$875,A380,'Base bordo CD'!A$2:A$875,B380,'Base bordo CD'!L$2:L$875,"SEM APONTAMENTO"),0)</f>
        <v>0</v>
      </c>
      <c r="N380" s="10">
        <f>IFERROR(SUMIFS('Base bordo CD'!M$2:M$875,'Base bordo CD'!D$2:D$875,A380,'Base bordo CD'!A$2:A$875,B380,'Base bordo CD'!L$2:L$875,"FALTA DE CAMINHÃO"),0)+IFERROR(SUMIFS('Base bordo CD'!M$2:M$875,'Base bordo CD'!D$2:D$875,A380,'Base bordo CD'!A$2:A$875,B380,'Base bordo CD'!L$2:L$875,"FALTA DE COMBUSTIVEL"),0)+IFERROR(SUMIFS('Base bordo CD'!M$2:M$875,'Base bordo CD'!D$2:D$875,A380,'Base bordo CD'!A$2:A$875,B380,'Base bordo CD'!L$2:L$875,"FALTA DE MOTORIST*"),0)</f>
        <v>0</v>
      </c>
      <c r="O380" s="10">
        <f t="shared" si="30"/>
        <v>0</v>
      </c>
      <c r="P380" s="10">
        <f>IFERROR(SUMIFS('Base bordo CD'!M$2:M$875,'Base bordo CD'!D$2:D$875,A380,'Base bordo CD'!A$2:A$875,B380),0)</f>
        <v>24</v>
      </c>
      <c r="Q380" s="10">
        <f>IFERROR(SUMIFS('Base bordo CD'!O$2:O$875,'Base bordo CD'!D$2:D$875,A380,'Base bordo CD'!A$2:A$875,B380,'Base bordo CD'!L$2:L$875,"CORTE DE CANA MECANIZADO"),0)</f>
        <v>0</v>
      </c>
      <c r="R380" s="10">
        <f>IFERROR(SUMIFS('Base bordo CD'!Q$2:Q$875,'Base bordo CD'!D$2:D$875,A380,'Base bordo CD'!A$2:A$875,B380,'Base bordo CD'!L$2:L$875,"CORTE DE CANA MECANIZADO"),0)</f>
        <v>0</v>
      </c>
      <c r="S380" s="30" t="str">
        <f t="shared" si="31"/>
        <v/>
      </c>
      <c r="T380" s="9">
        <f t="shared" si="32"/>
        <v>0</v>
      </c>
      <c r="U380" s="9">
        <f t="shared" si="33"/>
        <v>0</v>
      </c>
      <c r="V380" s="9">
        <f t="shared" si="34"/>
        <v>1</v>
      </c>
    </row>
    <row r="381" spans="1:22" hidden="1" x14ac:dyDescent="0.35">
      <c r="A381" s="52">
        <v>49593</v>
      </c>
      <c r="B381" s="31">
        <v>46121</v>
      </c>
      <c r="C381" s="7" t="s">
        <v>321</v>
      </c>
      <c r="D381" s="7">
        <v>351</v>
      </c>
      <c r="E381" s="10">
        <f>IFERROR(SUMIFS('Base bordo CD'!M$2:M$875,'Base bordo CD'!D$2:D$875,A381,'Base bordo CD'!A$2:A$875,B381,'Base bordo CD'!L$2:L$875,"CORTE DE CANA MECANIZADO"),0)</f>
        <v>0</v>
      </c>
      <c r="F381" s="10">
        <f>IFERROR(SUMIFS('Base bordo CD'!M$2:M$875,'Base bordo CD'!D$2:D$875,A381,'Base bordo CD'!A$2:A$875,B381,'Base bordo CD'!L$2:L$875,"MANOBRA"),0)</f>
        <v>0</v>
      </c>
      <c r="G381" s="10">
        <f>IFERROR(SUMIFS('Base bordo CD'!M$2:M$875,'Base bordo CD'!D$2:D$875,A381,'Base bordo CD'!A$2:A$875,B381,'Base bordo CD'!L$2:L$875,"DESLOCAMENTO"),0)</f>
        <v>0</v>
      </c>
      <c r="H381" s="10">
        <f>IFERROR(SUMIFS('Base bordo CD'!M$2:M$875,'Base bordo CD'!D$2:D$875,A381,'Base bordo CD'!A$2:A$875,B381,'Base bordo CD'!L$2:L$875,"AGUARDANDO MANOBRA DE TRANSBORDO"),0)+IFERROR(SUMIFS('Base bordo CD'!M$2:M$875,'Base bordo CD'!D$2:D$875,A381,'Base bordo CD'!A$2:A$875,B381,'Base bordo CD'!L$2:L$875,"FALTA DE TRANSBORDO"),0)</f>
        <v>0</v>
      </c>
      <c r="I381" s="10">
        <f>IFERROR(SUMIFS('Base bordo CD'!M$2:M$875,'Base bordo CD'!D$2:D$875,A381,'Base bordo CD'!A$2:A$875,B381,'Base bordo CD'!L$2:L$875,"PARADA POR CONDICOES CLIMATICAS"),0)+IFERROR(SUMIFS('Base bordo CD'!M$2:M$875,'Base bordo CD'!D$2:D$875,A381,'Base bordo CD'!A$2:A$875,B381,'Base bordo CD'!L$2:L$875,"TEMPO INDETERMINADO"),0)</f>
        <v>24</v>
      </c>
      <c r="J381" s="10">
        <f>IFERROR(SUMIFS('Base bordo CD'!M$2:M$875,'Base bordo CD'!D$2:D$875,A381,'Base bordo CD'!A$2:A$875,B381,'Base bordo CD'!L$2:L$875,"LIMITAÇÃO INDÚSTRIA"),0)</f>
        <v>0</v>
      </c>
      <c r="K381" s="10">
        <f>IFERROR(SUMIFS('Base bordo CD'!M$2:M$875,'Base bordo CD'!D$2:D$875,A381,'Base bordo CD'!A$2:A$875,B381,'Base bordo CD'!L$2:L$875,"MAN CORRETIVA*"),0)+IFERROR(SUMIFS('Base bordo CD'!M$2:M$875,'Base bordo CD'!D$2:D$875,A381,'Base bordo CD'!A$2:A$875,B381,'Base bordo CD'!L$2:L$875,"AGUARDANDO MANUTENCAO*"),0)+IFERROR(SUMIFS('Base bordo CD'!M$2:M$875,'Base bordo CD'!D$2:D$875,A381,'Base bordo CD'!A$2:A$875,B381,'Base bordo CD'!L$2:L$875,"TROCA DE FAQUINHA"),0)+IFERROR(SUMIFS('Base bordo CD'!M$2:M$875,'Base bordo CD'!D$2:D$875,A381,'Base bordo CD'!A$2:A$875,B381,'Base bordo CD'!L$2:L$875,"LIMPEZA*"),0)</f>
        <v>0</v>
      </c>
      <c r="L381" s="10">
        <f>IFERROR(SUMIFS('Base bordo CD'!M$2:M$875,'Base bordo CD'!D$2:D$875,A381,'Base bordo CD'!A$2:A$875,B381,'Base bordo CD'!L$2:L$875,"PATIO - RESERVA"),0)</f>
        <v>0</v>
      </c>
      <c r="M381" s="10">
        <f>IFERROR(SUMIFS('Base bordo CD'!M$2:M$875,'Base bordo CD'!D$2:D$875,A381,'Base bordo CD'!A$2:A$875,B381,'Base bordo CD'!L$2:L$875,"SEM APONTAMENTO"),0)</f>
        <v>0</v>
      </c>
      <c r="N381" s="10">
        <f>IFERROR(SUMIFS('Base bordo CD'!M$2:M$875,'Base bordo CD'!D$2:D$875,A381,'Base bordo CD'!A$2:A$875,B381,'Base bordo CD'!L$2:L$875,"FALTA DE CAMINHÃO"),0)+IFERROR(SUMIFS('Base bordo CD'!M$2:M$875,'Base bordo CD'!D$2:D$875,A381,'Base bordo CD'!A$2:A$875,B381,'Base bordo CD'!L$2:L$875,"FALTA DE COMBUSTIVEL"),0)+IFERROR(SUMIFS('Base bordo CD'!M$2:M$875,'Base bordo CD'!D$2:D$875,A381,'Base bordo CD'!A$2:A$875,B381,'Base bordo CD'!L$2:L$875,"FALTA DE MOTORIST*"),0)</f>
        <v>0</v>
      </c>
      <c r="O381" s="10">
        <f t="shared" si="30"/>
        <v>0</v>
      </c>
      <c r="P381" s="10">
        <f>IFERROR(SUMIFS('Base bordo CD'!M$2:M$875,'Base bordo CD'!D$2:D$875,A381,'Base bordo CD'!A$2:A$875,B381),0)</f>
        <v>24</v>
      </c>
      <c r="Q381" s="10">
        <f>IFERROR(SUMIFS('Base bordo CD'!O$2:O$875,'Base bordo CD'!D$2:D$875,A381,'Base bordo CD'!A$2:A$875,B381,'Base bordo CD'!L$2:L$875,"CORTE DE CANA MECANIZADO"),0)</f>
        <v>0</v>
      </c>
      <c r="R381" s="10">
        <f>IFERROR(SUMIFS('Base bordo CD'!Q$2:Q$875,'Base bordo CD'!D$2:D$875,A381,'Base bordo CD'!A$2:A$875,B381,'Base bordo CD'!L$2:L$875,"CORTE DE CANA MECANIZADO"),0)</f>
        <v>0</v>
      </c>
      <c r="S381" s="30" t="str">
        <f t="shared" si="31"/>
        <v/>
      </c>
      <c r="T381" s="9">
        <f t="shared" si="32"/>
        <v>0</v>
      </c>
      <c r="U381" s="9">
        <f t="shared" si="33"/>
        <v>0</v>
      </c>
      <c r="V381" s="9">
        <f t="shared" si="34"/>
        <v>1</v>
      </c>
    </row>
    <row r="382" spans="1:22" x14ac:dyDescent="0.35">
      <c r="A382" s="52">
        <v>49595</v>
      </c>
      <c r="B382" s="31">
        <v>46121</v>
      </c>
      <c r="C382" s="7" t="s">
        <v>337</v>
      </c>
      <c r="D382" s="7">
        <v>353</v>
      </c>
      <c r="E382" s="10">
        <f>IFERROR(SUMIFS('Base bordo CD'!M$2:M$875,'Base bordo CD'!D$2:D$875,A382,'Base bordo CD'!A$2:A$875,B382,'Base bordo CD'!L$2:L$875,"CORTE DE CANA MECANIZADO"),0)</f>
        <v>0</v>
      </c>
      <c r="F382" s="10">
        <f>IFERROR(SUMIFS('Base bordo CD'!M$2:M$875,'Base bordo CD'!D$2:D$875,A382,'Base bordo CD'!A$2:A$875,B382,'Base bordo CD'!L$2:L$875,"MANOBRA"),0)</f>
        <v>0</v>
      </c>
      <c r="G382" s="10">
        <f>IFERROR(SUMIFS('Base bordo CD'!M$2:M$875,'Base bordo CD'!D$2:D$875,A382,'Base bordo CD'!A$2:A$875,B382,'Base bordo CD'!L$2:L$875,"DESLOCAMENTO"),0)</f>
        <v>0</v>
      </c>
      <c r="H382" s="10">
        <f>IFERROR(SUMIFS('Base bordo CD'!M$2:M$875,'Base bordo CD'!D$2:D$875,A382,'Base bordo CD'!A$2:A$875,B382,'Base bordo CD'!L$2:L$875,"AGUARDANDO MANOBRA DE TRANSBORDO"),0)+IFERROR(SUMIFS('Base bordo CD'!M$2:M$875,'Base bordo CD'!D$2:D$875,A382,'Base bordo CD'!A$2:A$875,B382,'Base bordo CD'!L$2:L$875,"FALTA DE TRANSBORDO"),0)</f>
        <v>0</v>
      </c>
      <c r="I382" s="10">
        <f>IFERROR(SUMIFS('Base bordo CD'!M$2:M$875,'Base bordo CD'!D$2:D$875,A382,'Base bordo CD'!A$2:A$875,B382,'Base bordo CD'!L$2:L$875,"PARADA POR CONDICOES CLIMATICAS"),0)+IFERROR(SUMIFS('Base bordo CD'!M$2:M$875,'Base bordo CD'!D$2:D$875,A382,'Base bordo CD'!A$2:A$875,B382,'Base bordo CD'!L$2:L$875,"TEMPO INDETERMINADO"),0)</f>
        <v>24</v>
      </c>
      <c r="J382" s="10">
        <f>IFERROR(SUMIFS('Base bordo CD'!M$2:M$875,'Base bordo CD'!D$2:D$875,A382,'Base bordo CD'!A$2:A$875,B382,'Base bordo CD'!L$2:L$875,"LIMITAÇÃO INDÚSTRIA"),0)</f>
        <v>0</v>
      </c>
      <c r="K382" s="10">
        <f>IFERROR(SUMIFS('Base bordo CD'!M$2:M$875,'Base bordo CD'!D$2:D$875,A382,'Base bordo CD'!A$2:A$875,B382,'Base bordo CD'!L$2:L$875,"MAN CORRETIVA*"),0)+IFERROR(SUMIFS('Base bordo CD'!M$2:M$875,'Base bordo CD'!D$2:D$875,A382,'Base bordo CD'!A$2:A$875,B382,'Base bordo CD'!L$2:L$875,"AGUARDANDO MANUTENCAO*"),0)+IFERROR(SUMIFS('Base bordo CD'!M$2:M$875,'Base bordo CD'!D$2:D$875,A382,'Base bordo CD'!A$2:A$875,B382,'Base bordo CD'!L$2:L$875,"TROCA DE FAQUINHA"),0)+IFERROR(SUMIFS('Base bordo CD'!M$2:M$875,'Base bordo CD'!D$2:D$875,A382,'Base bordo CD'!A$2:A$875,B382,'Base bordo CD'!L$2:L$875,"LIMPEZA*"),0)</f>
        <v>0</v>
      </c>
      <c r="L382" s="10">
        <f>IFERROR(SUMIFS('Base bordo CD'!M$2:M$875,'Base bordo CD'!D$2:D$875,A382,'Base bordo CD'!A$2:A$875,B382,'Base bordo CD'!L$2:L$875,"PATIO - RESERVA"),0)</f>
        <v>0</v>
      </c>
      <c r="M382" s="10">
        <f>IFERROR(SUMIFS('Base bordo CD'!M$2:M$875,'Base bordo CD'!D$2:D$875,A382,'Base bordo CD'!A$2:A$875,B382,'Base bordo CD'!L$2:L$875,"SEM APONTAMENTO"),0)</f>
        <v>0</v>
      </c>
      <c r="N382" s="10">
        <f>IFERROR(SUMIFS('Base bordo CD'!M$2:M$875,'Base bordo CD'!D$2:D$875,A382,'Base bordo CD'!A$2:A$875,B382,'Base bordo CD'!L$2:L$875,"FALTA DE CAMINHÃO"),0)+IFERROR(SUMIFS('Base bordo CD'!M$2:M$875,'Base bordo CD'!D$2:D$875,A382,'Base bordo CD'!A$2:A$875,B382,'Base bordo CD'!L$2:L$875,"FALTA DE COMBUSTIVEL"),0)+IFERROR(SUMIFS('Base bordo CD'!M$2:M$875,'Base bordo CD'!D$2:D$875,A382,'Base bordo CD'!A$2:A$875,B382,'Base bordo CD'!L$2:L$875,"FALTA DE MOTORIST*"),0)</f>
        <v>0</v>
      </c>
      <c r="O382" s="10">
        <f t="shared" ref="O382:O445" si="35">IFERROR(P382-SUM(E382:N382),0)</f>
        <v>0</v>
      </c>
      <c r="P382" s="10">
        <f>IFERROR(SUMIFS('Base bordo CD'!M$2:M$875,'Base bordo CD'!D$2:D$875,A382,'Base bordo CD'!A$2:A$875,B382),0)</f>
        <v>24</v>
      </c>
      <c r="Q382" s="10">
        <f>IFERROR(SUMIFS('Base bordo CD'!O$2:O$875,'Base bordo CD'!D$2:D$875,A382,'Base bordo CD'!A$2:A$875,B382,'Base bordo CD'!L$2:L$875,"CORTE DE CANA MECANIZADO"),0)</f>
        <v>0</v>
      </c>
      <c r="R382" s="10">
        <f>IFERROR(SUMIFS('Base bordo CD'!Q$2:Q$875,'Base bordo CD'!D$2:D$875,A382,'Base bordo CD'!A$2:A$875,B382,'Base bordo CD'!L$2:L$875,"CORTE DE CANA MECANIZADO"),0)</f>
        <v>0</v>
      </c>
      <c r="S382" s="30" t="str">
        <f t="shared" ref="S382:S445" si="36">IFERROR(Q382/R382,"")</f>
        <v/>
      </c>
      <c r="T382" s="9">
        <f t="shared" ref="T382:T445" si="37">IFERROR(E382/P382,0)</f>
        <v>0</v>
      </c>
      <c r="U382" s="9">
        <f t="shared" ref="U382:U445" si="38">IFERROR(F382/P382,0)</f>
        <v>0</v>
      </c>
      <c r="V382" s="9">
        <f t="shared" ref="V382:V445" si="39">IFERROR(1-(E382+G382)/P382,0)</f>
        <v>1</v>
      </c>
    </row>
    <row r="383" spans="1:22" x14ac:dyDescent="0.35">
      <c r="A383" s="52">
        <v>49595</v>
      </c>
      <c r="B383" s="31">
        <v>46121</v>
      </c>
      <c r="C383" s="7" t="s">
        <v>337</v>
      </c>
      <c r="D383" s="7">
        <v>353</v>
      </c>
      <c r="E383" s="10">
        <f>IFERROR(SUMIFS('Base bordo CD'!M$2:M$875,'Base bordo CD'!D$2:D$875,A383,'Base bordo CD'!A$2:A$875,B383,'Base bordo CD'!L$2:L$875,"CORTE DE CANA MECANIZADO"),0)</f>
        <v>0</v>
      </c>
      <c r="F383" s="10">
        <f>IFERROR(SUMIFS('Base bordo CD'!M$2:M$875,'Base bordo CD'!D$2:D$875,A383,'Base bordo CD'!A$2:A$875,B383,'Base bordo CD'!L$2:L$875,"MANOBRA"),0)</f>
        <v>0</v>
      </c>
      <c r="G383" s="10">
        <f>IFERROR(SUMIFS('Base bordo CD'!M$2:M$875,'Base bordo CD'!D$2:D$875,A383,'Base bordo CD'!A$2:A$875,B383,'Base bordo CD'!L$2:L$875,"DESLOCAMENTO"),0)</f>
        <v>0</v>
      </c>
      <c r="H383" s="10">
        <f>IFERROR(SUMIFS('Base bordo CD'!M$2:M$875,'Base bordo CD'!D$2:D$875,A383,'Base bordo CD'!A$2:A$875,B383,'Base bordo CD'!L$2:L$875,"AGUARDANDO MANOBRA DE TRANSBORDO"),0)+IFERROR(SUMIFS('Base bordo CD'!M$2:M$875,'Base bordo CD'!D$2:D$875,A383,'Base bordo CD'!A$2:A$875,B383,'Base bordo CD'!L$2:L$875,"FALTA DE TRANSBORDO"),0)</f>
        <v>0</v>
      </c>
      <c r="I383" s="10">
        <f>IFERROR(SUMIFS('Base bordo CD'!M$2:M$875,'Base bordo CD'!D$2:D$875,A383,'Base bordo CD'!A$2:A$875,B383,'Base bordo CD'!L$2:L$875,"PARADA POR CONDICOES CLIMATICAS"),0)+IFERROR(SUMIFS('Base bordo CD'!M$2:M$875,'Base bordo CD'!D$2:D$875,A383,'Base bordo CD'!A$2:A$875,B383,'Base bordo CD'!L$2:L$875,"TEMPO INDETERMINADO"),0)</f>
        <v>24</v>
      </c>
      <c r="J383" s="10">
        <f>IFERROR(SUMIFS('Base bordo CD'!M$2:M$875,'Base bordo CD'!D$2:D$875,A383,'Base bordo CD'!A$2:A$875,B383,'Base bordo CD'!L$2:L$875,"LIMITAÇÃO INDÚSTRIA"),0)</f>
        <v>0</v>
      </c>
      <c r="K383" s="10">
        <f>IFERROR(SUMIFS('Base bordo CD'!M$2:M$875,'Base bordo CD'!D$2:D$875,A383,'Base bordo CD'!A$2:A$875,B383,'Base bordo CD'!L$2:L$875,"MAN CORRETIVA*"),0)+IFERROR(SUMIFS('Base bordo CD'!M$2:M$875,'Base bordo CD'!D$2:D$875,A383,'Base bordo CD'!A$2:A$875,B383,'Base bordo CD'!L$2:L$875,"AGUARDANDO MANUTENCAO*"),0)+IFERROR(SUMIFS('Base bordo CD'!M$2:M$875,'Base bordo CD'!D$2:D$875,A383,'Base bordo CD'!A$2:A$875,B383,'Base bordo CD'!L$2:L$875,"TROCA DE FAQUINHA"),0)+IFERROR(SUMIFS('Base bordo CD'!M$2:M$875,'Base bordo CD'!D$2:D$875,A383,'Base bordo CD'!A$2:A$875,B383,'Base bordo CD'!L$2:L$875,"LIMPEZA*"),0)</f>
        <v>0</v>
      </c>
      <c r="L383" s="10">
        <f>IFERROR(SUMIFS('Base bordo CD'!M$2:M$875,'Base bordo CD'!D$2:D$875,A383,'Base bordo CD'!A$2:A$875,B383,'Base bordo CD'!L$2:L$875,"PATIO - RESERVA"),0)</f>
        <v>0</v>
      </c>
      <c r="M383" s="10">
        <f>IFERROR(SUMIFS('Base bordo CD'!M$2:M$875,'Base bordo CD'!D$2:D$875,A383,'Base bordo CD'!A$2:A$875,B383,'Base bordo CD'!L$2:L$875,"SEM APONTAMENTO"),0)</f>
        <v>0</v>
      </c>
      <c r="N383" s="10">
        <f>IFERROR(SUMIFS('Base bordo CD'!M$2:M$875,'Base bordo CD'!D$2:D$875,A383,'Base bordo CD'!A$2:A$875,B383,'Base bordo CD'!L$2:L$875,"FALTA DE CAMINHÃO"),0)+IFERROR(SUMIFS('Base bordo CD'!M$2:M$875,'Base bordo CD'!D$2:D$875,A383,'Base bordo CD'!A$2:A$875,B383,'Base bordo CD'!L$2:L$875,"FALTA DE COMBUSTIVEL"),0)+IFERROR(SUMIFS('Base bordo CD'!M$2:M$875,'Base bordo CD'!D$2:D$875,A383,'Base bordo CD'!A$2:A$875,B383,'Base bordo CD'!L$2:L$875,"FALTA DE MOTORIST*"),0)</f>
        <v>0</v>
      </c>
      <c r="O383" s="10">
        <f t="shared" si="35"/>
        <v>0</v>
      </c>
      <c r="P383" s="10">
        <f>IFERROR(SUMIFS('Base bordo CD'!M$2:M$875,'Base bordo CD'!D$2:D$875,A383,'Base bordo CD'!A$2:A$875,B383),0)</f>
        <v>24</v>
      </c>
      <c r="Q383" s="10">
        <f>IFERROR(SUMIFS('Base bordo CD'!O$2:O$875,'Base bordo CD'!D$2:D$875,A383,'Base bordo CD'!A$2:A$875,B383,'Base bordo CD'!L$2:L$875,"CORTE DE CANA MECANIZADO"),0)</f>
        <v>0</v>
      </c>
      <c r="R383" s="10">
        <f>IFERROR(SUMIFS('Base bordo CD'!Q$2:Q$875,'Base bordo CD'!D$2:D$875,A383,'Base bordo CD'!A$2:A$875,B383,'Base bordo CD'!L$2:L$875,"CORTE DE CANA MECANIZADO"),0)</f>
        <v>0</v>
      </c>
      <c r="S383" s="30" t="str">
        <f t="shared" si="36"/>
        <v/>
      </c>
      <c r="T383" s="9">
        <f t="shared" si="37"/>
        <v>0</v>
      </c>
      <c r="U383" s="9">
        <f t="shared" si="38"/>
        <v>0</v>
      </c>
      <c r="V383" s="9">
        <f t="shared" si="39"/>
        <v>1</v>
      </c>
    </row>
    <row r="384" spans="1:22" x14ac:dyDescent="0.35">
      <c r="A384" s="52">
        <v>49595</v>
      </c>
      <c r="B384" s="31">
        <v>46121</v>
      </c>
      <c r="C384" s="7" t="s">
        <v>337</v>
      </c>
      <c r="D384" s="7">
        <v>353</v>
      </c>
      <c r="E384" s="10">
        <f>IFERROR(SUMIFS('Base bordo CD'!M$2:M$875,'Base bordo CD'!D$2:D$875,A384,'Base bordo CD'!A$2:A$875,B384,'Base bordo CD'!L$2:L$875,"CORTE DE CANA MECANIZADO"),0)</f>
        <v>0</v>
      </c>
      <c r="F384" s="10">
        <f>IFERROR(SUMIFS('Base bordo CD'!M$2:M$875,'Base bordo CD'!D$2:D$875,A384,'Base bordo CD'!A$2:A$875,B384,'Base bordo CD'!L$2:L$875,"MANOBRA"),0)</f>
        <v>0</v>
      </c>
      <c r="G384" s="10">
        <f>IFERROR(SUMIFS('Base bordo CD'!M$2:M$875,'Base bordo CD'!D$2:D$875,A384,'Base bordo CD'!A$2:A$875,B384,'Base bordo CD'!L$2:L$875,"DESLOCAMENTO"),0)</f>
        <v>0</v>
      </c>
      <c r="H384" s="10">
        <f>IFERROR(SUMIFS('Base bordo CD'!M$2:M$875,'Base bordo CD'!D$2:D$875,A384,'Base bordo CD'!A$2:A$875,B384,'Base bordo CD'!L$2:L$875,"AGUARDANDO MANOBRA DE TRANSBORDO"),0)+IFERROR(SUMIFS('Base bordo CD'!M$2:M$875,'Base bordo CD'!D$2:D$875,A384,'Base bordo CD'!A$2:A$875,B384,'Base bordo CD'!L$2:L$875,"FALTA DE TRANSBORDO"),0)</f>
        <v>0</v>
      </c>
      <c r="I384" s="10">
        <f>IFERROR(SUMIFS('Base bordo CD'!M$2:M$875,'Base bordo CD'!D$2:D$875,A384,'Base bordo CD'!A$2:A$875,B384,'Base bordo CD'!L$2:L$875,"PARADA POR CONDICOES CLIMATICAS"),0)+IFERROR(SUMIFS('Base bordo CD'!M$2:M$875,'Base bordo CD'!D$2:D$875,A384,'Base bordo CD'!A$2:A$875,B384,'Base bordo CD'!L$2:L$875,"TEMPO INDETERMINADO"),0)</f>
        <v>24</v>
      </c>
      <c r="J384" s="10">
        <f>IFERROR(SUMIFS('Base bordo CD'!M$2:M$875,'Base bordo CD'!D$2:D$875,A384,'Base bordo CD'!A$2:A$875,B384,'Base bordo CD'!L$2:L$875,"LIMITAÇÃO INDÚSTRIA"),0)</f>
        <v>0</v>
      </c>
      <c r="K384" s="10">
        <f>IFERROR(SUMIFS('Base bordo CD'!M$2:M$875,'Base bordo CD'!D$2:D$875,A384,'Base bordo CD'!A$2:A$875,B384,'Base bordo CD'!L$2:L$875,"MAN CORRETIVA*"),0)+IFERROR(SUMIFS('Base bordo CD'!M$2:M$875,'Base bordo CD'!D$2:D$875,A384,'Base bordo CD'!A$2:A$875,B384,'Base bordo CD'!L$2:L$875,"AGUARDANDO MANUTENCAO*"),0)+IFERROR(SUMIFS('Base bordo CD'!M$2:M$875,'Base bordo CD'!D$2:D$875,A384,'Base bordo CD'!A$2:A$875,B384,'Base bordo CD'!L$2:L$875,"TROCA DE FAQUINHA"),0)+IFERROR(SUMIFS('Base bordo CD'!M$2:M$875,'Base bordo CD'!D$2:D$875,A384,'Base bordo CD'!A$2:A$875,B384,'Base bordo CD'!L$2:L$875,"LIMPEZA*"),0)</f>
        <v>0</v>
      </c>
      <c r="L384" s="10">
        <f>IFERROR(SUMIFS('Base bordo CD'!M$2:M$875,'Base bordo CD'!D$2:D$875,A384,'Base bordo CD'!A$2:A$875,B384,'Base bordo CD'!L$2:L$875,"PATIO - RESERVA"),0)</f>
        <v>0</v>
      </c>
      <c r="M384" s="10">
        <f>IFERROR(SUMIFS('Base bordo CD'!M$2:M$875,'Base bordo CD'!D$2:D$875,A384,'Base bordo CD'!A$2:A$875,B384,'Base bordo CD'!L$2:L$875,"SEM APONTAMENTO"),0)</f>
        <v>0</v>
      </c>
      <c r="N384" s="10">
        <f>IFERROR(SUMIFS('Base bordo CD'!M$2:M$875,'Base bordo CD'!D$2:D$875,A384,'Base bordo CD'!A$2:A$875,B384,'Base bordo CD'!L$2:L$875,"FALTA DE CAMINHÃO"),0)+IFERROR(SUMIFS('Base bordo CD'!M$2:M$875,'Base bordo CD'!D$2:D$875,A384,'Base bordo CD'!A$2:A$875,B384,'Base bordo CD'!L$2:L$875,"FALTA DE COMBUSTIVEL"),0)+IFERROR(SUMIFS('Base bordo CD'!M$2:M$875,'Base bordo CD'!D$2:D$875,A384,'Base bordo CD'!A$2:A$875,B384,'Base bordo CD'!L$2:L$875,"FALTA DE MOTORIST*"),0)</f>
        <v>0</v>
      </c>
      <c r="O384" s="10">
        <f t="shared" si="35"/>
        <v>0</v>
      </c>
      <c r="P384" s="10">
        <f>IFERROR(SUMIFS('Base bordo CD'!M$2:M$875,'Base bordo CD'!D$2:D$875,A384,'Base bordo CD'!A$2:A$875,B384),0)</f>
        <v>24</v>
      </c>
      <c r="Q384" s="10">
        <f>IFERROR(SUMIFS('Base bordo CD'!O$2:O$875,'Base bordo CD'!D$2:D$875,A384,'Base bordo CD'!A$2:A$875,B384,'Base bordo CD'!L$2:L$875,"CORTE DE CANA MECANIZADO"),0)</f>
        <v>0</v>
      </c>
      <c r="R384" s="10">
        <f>IFERROR(SUMIFS('Base bordo CD'!Q$2:Q$875,'Base bordo CD'!D$2:D$875,A384,'Base bordo CD'!A$2:A$875,B384,'Base bordo CD'!L$2:L$875,"CORTE DE CANA MECANIZADO"),0)</f>
        <v>0</v>
      </c>
      <c r="S384" s="30" t="str">
        <f t="shared" si="36"/>
        <v/>
      </c>
      <c r="T384" s="9">
        <f t="shared" si="37"/>
        <v>0</v>
      </c>
      <c r="U384" s="9">
        <f t="shared" si="38"/>
        <v>0</v>
      </c>
      <c r="V384" s="9">
        <f t="shared" si="39"/>
        <v>1</v>
      </c>
    </row>
    <row r="385" spans="1:22" x14ac:dyDescent="0.35">
      <c r="A385" s="52">
        <v>49596</v>
      </c>
      <c r="B385" s="31">
        <v>46121</v>
      </c>
      <c r="C385" s="7" t="s">
        <v>337</v>
      </c>
      <c r="D385" s="7">
        <v>353</v>
      </c>
      <c r="E385" s="10">
        <f>IFERROR(SUMIFS('Base bordo CD'!M$2:M$875,'Base bordo CD'!D$2:D$875,A385,'Base bordo CD'!A$2:A$875,B385,'Base bordo CD'!L$2:L$875,"CORTE DE CANA MECANIZADO"),0)</f>
        <v>0</v>
      </c>
      <c r="F385" s="10">
        <f>IFERROR(SUMIFS('Base bordo CD'!M$2:M$875,'Base bordo CD'!D$2:D$875,A385,'Base bordo CD'!A$2:A$875,B385,'Base bordo CD'!L$2:L$875,"MANOBRA"),0)</f>
        <v>0</v>
      </c>
      <c r="G385" s="10">
        <f>IFERROR(SUMIFS('Base bordo CD'!M$2:M$875,'Base bordo CD'!D$2:D$875,A385,'Base bordo CD'!A$2:A$875,B385,'Base bordo CD'!L$2:L$875,"DESLOCAMENTO"),0)</f>
        <v>0</v>
      </c>
      <c r="H385" s="10">
        <f>IFERROR(SUMIFS('Base bordo CD'!M$2:M$875,'Base bordo CD'!D$2:D$875,A385,'Base bordo CD'!A$2:A$875,B385,'Base bordo CD'!L$2:L$875,"AGUARDANDO MANOBRA DE TRANSBORDO"),0)+IFERROR(SUMIFS('Base bordo CD'!M$2:M$875,'Base bordo CD'!D$2:D$875,A385,'Base bordo CD'!A$2:A$875,B385,'Base bordo CD'!L$2:L$875,"FALTA DE TRANSBORDO"),0)</f>
        <v>0</v>
      </c>
      <c r="I385" s="10">
        <f>IFERROR(SUMIFS('Base bordo CD'!M$2:M$875,'Base bordo CD'!D$2:D$875,A385,'Base bordo CD'!A$2:A$875,B385,'Base bordo CD'!L$2:L$875,"PARADA POR CONDICOES CLIMATICAS"),0)+IFERROR(SUMIFS('Base bordo CD'!M$2:M$875,'Base bordo CD'!D$2:D$875,A385,'Base bordo CD'!A$2:A$875,B385,'Base bordo CD'!L$2:L$875,"TEMPO INDETERMINADO"),0)</f>
        <v>24</v>
      </c>
      <c r="J385" s="10">
        <f>IFERROR(SUMIFS('Base bordo CD'!M$2:M$875,'Base bordo CD'!D$2:D$875,A385,'Base bordo CD'!A$2:A$875,B385,'Base bordo CD'!L$2:L$875,"LIMITAÇÃO INDÚSTRIA"),0)</f>
        <v>0</v>
      </c>
      <c r="K385" s="10">
        <f>IFERROR(SUMIFS('Base bordo CD'!M$2:M$875,'Base bordo CD'!D$2:D$875,A385,'Base bordo CD'!A$2:A$875,B385,'Base bordo CD'!L$2:L$875,"MAN CORRETIVA*"),0)+IFERROR(SUMIFS('Base bordo CD'!M$2:M$875,'Base bordo CD'!D$2:D$875,A385,'Base bordo CD'!A$2:A$875,B385,'Base bordo CD'!L$2:L$875,"AGUARDANDO MANUTENCAO*"),0)+IFERROR(SUMIFS('Base bordo CD'!M$2:M$875,'Base bordo CD'!D$2:D$875,A385,'Base bordo CD'!A$2:A$875,B385,'Base bordo CD'!L$2:L$875,"TROCA DE FAQUINHA"),0)+IFERROR(SUMIFS('Base bordo CD'!M$2:M$875,'Base bordo CD'!D$2:D$875,A385,'Base bordo CD'!A$2:A$875,B385,'Base bordo CD'!L$2:L$875,"LIMPEZA*"),0)</f>
        <v>0</v>
      </c>
      <c r="L385" s="10">
        <f>IFERROR(SUMIFS('Base bordo CD'!M$2:M$875,'Base bordo CD'!D$2:D$875,A385,'Base bordo CD'!A$2:A$875,B385,'Base bordo CD'!L$2:L$875,"PATIO - RESERVA"),0)</f>
        <v>0</v>
      </c>
      <c r="M385" s="10">
        <f>IFERROR(SUMIFS('Base bordo CD'!M$2:M$875,'Base bordo CD'!D$2:D$875,A385,'Base bordo CD'!A$2:A$875,B385,'Base bordo CD'!L$2:L$875,"SEM APONTAMENTO"),0)</f>
        <v>0</v>
      </c>
      <c r="N385" s="10">
        <f>IFERROR(SUMIFS('Base bordo CD'!M$2:M$875,'Base bordo CD'!D$2:D$875,A385,'Base bordo CD'!A$2:A$875,B385,'Base bordo CD'!L$2:L$875,"FALTA DE CAMINHÃO"),0)+IFERROR(SUMIFS('Base bordo CD'!M$2:M$875,'Base bordo CD'!D$2:D$875,A385,'Base bordo CD'!A$2:A$875,B385,'Base bordo CD'!L$2:L$875,"FALTA DE COMBUSTIVEL"),0)+IFERROR(SUMIFS('Base bordo CD'!M$2:M$875,'Base bordo CD'!D$2:D$875,A385,'Base bordo CD'!A$2:A$875,B385,'Base bordo CD'!L$2:L$875,"FALTA DE MOTORIST*"),0)</f>
        <v>0</v>
      </c>
      <c r="O385" s="10">
        <f t="shared" si="35"/>
        <v>0</v>
      </c>
      <c r="P385" s="10">
        <f>IFERROR(SUMIFS('Base bordo CD'!M$2:M$875,'Base bordo CD'!D$2:D$875,A385,'Base bordo CD'!A$2:A$875,B385),0)</f>
        <v>24</v>
      </c>
      <c r="Q385" s="10">
        <f>IFERROR(SUMIFS('Base bordo CD'!O$2:O$875,'Base bordo CD'!D$2:D$875,A385,'Base bordo CD'!A$2:A$875,B385,'Base bordo CD'!L$2:L$875,"CORTE DE CANA MECANIZADO"),0)</f>
        <v>0</v>
      </c>
      <c r="R385" s="10">
        <f>IFERROR(SUMIFS('Base bordo CD'!Q$2:Q$875,'Base bordo CD'!D$2:D$875,A385,'Base bordo CD'!A$2:A$875,B385,'Base bordo CD'!L$2:L$875,"CORTE DE CANA MECANIZADO"),0)</f>
        <v>0</v>
      </c>
      <c r="S385" s="30" t="str">
        <f t="shared" si="36"/>
        <v/>
      </c>
      <c r="T385" s="9">
        <f t="shared" si="37"/>
        <v>0</v>
      </c>
      <c r="U385" s="9">
        <f t="shared" si="38"/>
        <v>0</v>
      </c>
      <c r="V385" s="9">
        <f t="shared" si="39"/>
        <v>1</v>
      </c>
    </row>
    <row r="386" spans="1:22" x14ac:dyDescent="0.35">
      <c r="A386" s="52">
        <v>49596</v>
      </c>
      <c r="B386" s="31">
        <v>46121</v>
      </c>
      <c r="C386" s="7" t="s">
        <v>337</v>
      </c>
      <c r="D386" s="7">
        <v>353</v>
      </c>
      <c r="E386" s="10">
        <f>IFERROR(SUMIFS('Base bordo CD'!M$2:M$875,'Base bordo CD'!D$2:D$875,A386,'Base bordo CD'!A$2:A$875,B386,'Base bordo CD'!L$2:L$875,"CORTE DE CANA MECANIZADO"),0)</f>
        <v>0</v>
      </c>
      <c r="F386" s="10">
        <f>IFERROR(SUMIFS('Base bordo CD'!M$2:M$875,'Base bordo CD'!D$2:D$875,A386,'Base bordo CD'!A$2:A$875,B386,'Base bordo CD'!L$2:L$875,"MANOBRA"),0)</f>
        <v>0</v>
      </c>
      <c r="G386" s="10">
        <f>IFERROR(SUMIFS('Base bordo CD'!M$2:M$875,'Base bordo CD'!D$2:D$875,A386,'Base bordo CD'!A$2:A$875,B386,'Base bordo CD'!L$2:L$875,"DESLOCAMENTO"),0)</f>
        <v>0</v>
      </c>
      <c r="H386" s="10">
        <f>IFERROR(SUMIFS('Base bordo CD'!M$2:M$875,'Base bordo CD'!D$2:D$875,A386,'Base bordo CD'!A$2:A$875,B386,'Base bordo CD'!L$2:L$875,"AGUARDANDO MANOBRA DE TRANSBORDO"),0)+IFERROR(SUMIFS('Base bordo CD'!M$2:M$875,'Base bordo CD'!D$2:D$875,A386,'Base bordo CD'!A$2:A$875,B386,'Base bordo CD'!L$2:L$875,"FALTA DE TRANSBORDO"),0)</f>
        <v>0</v>
      </c>
      <c r="I386" s="10">
        <f>IFERROR(SUMIFS('Base bordo CD'!M$2:M$875,'Base bordo CD'!D$2:D$875,A386,'Base bordo CD'!A$2:A$875,B386,'Base bordo CD'!L$2:L$875,"PARADA POR CONDICOES CLIMATICAS"),0)+IFERROR(SUMIFS('Base bordo CD'!M$2:M$875,'Base bordo CD'!D$2:D$875,A386,'Base bordo CD'!A$2:A$875,B386,'Base bordo CD'!L$2:L$875,"TEMPO INDETERMINADO"),0)</f>
        <v>24</v>
      </c>
      <c r="J386" s="10">
        <f>IFERROR(SUMIFS('Base bordo CD'!M$2:M$875,'Base bordo CD'!D$2:D$875,A386,'Base bordo CD'!A$2:A$875,B386,'Base bordo CD'!L$2:L$875,"LIMITAÇÃO INDÚSTRIA"),0)</f>
        <v>0</v>
      </c>
      <c r="K386" s="10">
        <f>IFERROR(SUMIFS('Base bordo CD'!M$2:M$875,'Base bordo CD'!D$2:D$875,A386,'Base bordo CD'!A$2:A$875,B386,'Base bordo CD'!L$2:L$875,"MAN CORRETIVA*"),0)+IFERROR(SUMIFS('Base bordo CD'!M$2:M$875,'Base bordo CD'!D$2:D$875,A386,'Base bordo CD'!A$2:A$875,B386,'Base bordo CD'!L$2:L$875,"AGUARDANDO MANUTENCAO*"),0)+IFERROR(SUMIFS('Base bordo CD'!M$2:M$875,'Base bordo CD'!D$2:D$875,A386,'Base bordo CD'!A$2:A$875,B386,'Base bordo CD'!L$2:L$875,"TROCA DE FAQUINHA"),0)+IFERROR(SUMIFS('Base bordo CD'!M$2:M$875,'Base bordo CD'!D$2:D$875,A386,'Base bordo CD'!A$2:A$875,B386,'Base bordo CD'!L$2:L$875,"LIMPEZA*"),0)</f>
        <v>0</v>
      </c>
      <c r="L386" s="10">
        <f>IFERROR(SUMIFS('Base bordo CD'!M$2:M$875,'Base bordo CD'!D$2:D$875,A386,'Base bordo CD'!A$2:A$875,B386,'Base bordo CD'!L$2:L$875,"PATIO - RESERVA"),0)</f>
        <v>0</v>
      </c>
      <c r="M386" s="10">
        <f>IFERROR(SUMIFS('Base bordo CD'!M$2:M$875,'Base bordo CD'!D$2:D$875,A386,'Base bordo CD'!A$2:A$875,B386,'Base bordo CD'!L$2:L$875,"SEM APONTAMENTO"),0)</f>
        <v>0</v>
      </c>
      <c r="N386" s="10">
        <f>IFERROR(SUMIFS('Base bordo CD'!M$2:M$875,'Base bordo CD'!D$2:D$875,A386,'Base bordo CD'!A$2:A$875,B386,'Base bordo CD'!L$2:L$875,"FALTA DE CAMINHÃO"),0)+IFERROR(SUMIFS('Base bordo CD'!M$2:M$875,'Base bordo CD'!D$2:D$875,A386,'Base bordo CD'!A$2:A$875,B386,'Base bordo CD'!L$2:L$875,"FALTA DE COMBUSTIVEL"),0)+IFERROR(SUMIFS('Base bordo CD'!M$2:M$875,'Base bordo CD'!D$2:D$875,A386,'Base bordo CD'!A$2:A$875,B386,'Base bordo CD'!L$2:L$875,"FALTA DE MOTORIST*"),0)</f>
        <v>0</v>
      </c>
      <c r="O386" s="10">
        <f t="shared" si="35"/>
        <v>0</v>
      </c>
      <c r="P386" s="10">
        <f>IFERROR(SUMIFS('Base bordo CD'!M$2:M$875,'Base bordo CD'!D$2:D$875,A386,'Base bordo CD'!A$2:A$875,B386),0)</f>
        <v>24</v>
      </c>
      <c r="Q386" s="10">
        <f>IFERROR(SUMIFS('Base bordo CD'!O$2:O$875,'Base bordo CD'!D$2:D$875,A386,'Base bordo CD'!A$2:A$875,B386,'Base bordo CD'!L$2:L$875,"CORTE DE CANA MECANIZADO"),0)</f>
        <v>0</v>
      </c>
      <c r="R386" s="10">
        <f>IFERROR(SUMIFS('Base bordo CD'!Q$2:Q$875,'Base bordo CD'!D$2:D$875,A386,'Base bordo CD'!A$2:A$875,B386,'Base bordo CD'!L$2:L$875,"CORTE DE CANA MECANIZADO"),0)</f>
        <v>0</v>
      </c>
      <c r="S386" s="30" t="str">
        <f t="shared" si="36"/>
        <v/>
      </c>
      <c r="T386" s="9">
        <f t="shared" si="37"/>
        <v>0</v>
      </c>
      <c r="U386" s="9">
        <f t="shared" si="38"/>
        <v>0</v>
      </c>
      <c r="V386" s="9">
        <f t="shared" si="39"/>
        <v>1</v>
      </c>
    </row>
    <row r="387" spans="1:22" hidden="1" x14ac:dyDescent="0.35">
      <c r="A387" s="52">
        <v>49584</v>
      </c>
      <c r="B387" s="31">
        <v>46120</v>
      </c>
      <c r="C387" s="7" t="s">
        <v>321</v>
      </c>
      <c r="D387" s="7">
        <v>351</v>
      </c>
      <c r="E387" s="10">
        <f>IFERROR(SUMIFS('Base bordo CD'!M$2:M$875,'Base bordo CD'!D$2:D$875,A387,'Base bordo CD'!A$2:A$875,B387,'Base bordo CD'!L$2:L$875,"CORTE DE CANA MECANIZADO"),0)</f>
        <v>0</v>
      </c>
      <c r="F387" s="10">
        <f>IFERROR(SUMIFS('Base bordo CD'!M$2:M$875,'Base bordo CD'!D$2:D$875,A387,'Base bordo CD'!A$2:A$875,B387,'Base bordo CD'!L$2:L$875,"MANOBRA"),0)</f>
        <v>0</v>
      </c>
      <c r="G387" s="10">
        <f>IFERROR(SUMIFS('Base bordo CD'!M$2:M$875,'Base bordo CD'!D$2:D$875,A387,'Base bordo CD'!A$2:A$875,B387,'Base bordo CD'!L$2:L$875,"DESLOCAMENTO"),0)</f>
        <v>0</v>
      </c>
      <c r="H387" s="10">
        <f>IFERROR(SUMIFS('Base bordo CD'!M$2:M$875,'Base bordo CD'!D$2:D$875,A387,'Base bordo CD'!A$2:A$875,B387,'Base bordo CD'!L$2:L$875,"AGUARDANDO MANOBRA DE TRANSBORDO"),0)+IFERROR(SUMIFS('Base bordo CD'!M$2:M$875,'Base bordo CD'!D$2:D$875,A387,'Base bordo CD'!A$2:A$875,B387,'Base bordo CD'!L$2:L$875,"FALTA DE TRANSBORDO"),0)</f>
        <v>0</v>
      </c>
      <c r="I387" s="10">
        <f>IFERROR(SUMIFS('Base bordo CD'!M$2:M$875,'Base bordo CD'!D$2:D$875,A387,'Base bordo CD'!A$2:A$875,B387,'Base bordo CD'!L$2:L$875,"PARADA POR CONDICOES CLIMATICAS"),0)+IFERROR(SUMIFS('Base bordo CD'!M$2:M$875,'Base bordo CD'!D$2:D$875,A387,'Base bordo CD'!A$2:A$875,B387,'Base bordo CD'!L$2:L$875,"TEMPO INDETERMINADO"),0)</f>
        <v>24</v>
      </c>
      <c r="J387" s="10">
        <f>IFERROR(SUMIFS('Base bordo CD'!M$2:M$875,'Base bordo CD'!D$2:D$875,A387,'Base bordo CD'!A$2:A$875,B387,'Base bordo CD'!L$2:L$875,"LIMITAÇÃO INDÚSTRIA"),0)</f>
        <v>0</v>
      </c>
      <c r="K387" s="10">
        <f>IFERROR(SUMIFS('Base bordo CD'!M$2:M$875,'Base bordo CD'!D$2:D$875,A387,'Base bordo CD'!A$2:A$875,B387,'Base bordo CD'!L$2:L$875,"MAN CORRETIVA*"),0)+IFERROR(SUMIFS('Base bordo CD'!M$2:M$875,'Base bordo CD'!D$2:D$875,A387,'Base bordo CD'!A$2:A$875,B387,'Base bordo CD'!L$2:L$875,"AGUARDANDO MANUTENCAO*"),0)+IFERROR(SUMIFS('Base bordo CD'!M$2:M$875,'Base bordo CD'!D$2:D$875,A387,'Base bordo CD'!A$2:A$875,B387,'Base bordo CD'!L$2:L$875,"TROCA DE FAQUINHA"),0)+IFERROR(SUMIFS('Base bordo CD'!M$2:M$875,'Base bordo CD'!D$2:D$875,A387,'Base bordo CD'!A$2:A$875,B387,'Base bordo CD'!L$2:L$875,"LIMPEZA*"),0)</f>
        <v>0</v>
      </c>
      <c r="L387" s="10">
        <f>IFERROR(SUMIFS('Base bordo CD'!M$2:M$875,'Base bordo CD'!D$2:D$875,A387,'Base bordo CD'!A$2:A$875,B387,'Base bordo CD'!L$2:L$875,"PATIO - RESERVA"),0)</f>
        <v>0</v>
      </c>
      <c r="M387" s="10">
        <f>IFERROR(SUMIFS('Base bordo CD'!M$2:M$875,'Base bordo CD'!D$2:D$875,A387,'Base bordo CD'!A$2:A$875,B387,'Base bordo CD'!L$2:L$875,"SEM APONTAMENTO"),0)</f>
        <v>0</v>
      </c>
      <c r="N387" s="10">
        <f>IFERROR(SUMIFS('Base bordo CD'!M$2:M$875,'Base bordo CD'!D$2:D$875,A387,'Base bordo CD'!A$2:A$875,B387,'Base bordo CD'!L$2:L$875,"FALTA DE CAMINHÃO"),0)+IFERROR(SUMIFS('Base bordo CD'!M$2:M$875,'Base bordo CD'!D$2:D$875,A387,'Base bordo CD'!A$2:A$875,B387,'Base bordo CD'!L$2:L$875,"FALTA DE COMBUSTIVEL"),0)+IFERROR(SUMIFS('Base bordo CD'!M$2:M$875,'Base bordo CD'!D$2:D$875,A387,'Base bordo CD'!A$2:A$875,B387,'Base bordo CD'!L$2:L$875,"FALTA DE MOTORIST*"),0)</f>
        <v>0</v>
      </c>
      <c r="O387" s="10">
        <f t="shared" si="35"/>
        <v>0</v>
      </c>
      <c r="P387" s="10">
        <f>IFERROR(SUMIFS('Base bordo CD'!M$2:M$875,'Base bordo CD'!D$2:D$875,A387,'Base bordo CD'!A$2:A$875,B387),0)</f>
        <v>24</v>
      </c>
      <c r="Q387" s="10">
        <f>IFERROR(SUMIFS('Base bordo CD'!O$2:O$875,'Base bordo CD'!D$2:D$875,A387,'Base bordo CD'!A$2:A$875,B387,'Base bordo CD'!L$2:L$875,"CORTE DE CANA MECANIZADO"),0)</f>
        <v>0</v>
      </c>
      <c r="R387" s="10">
        <f>IFERROR(SUMIFS('Base bordo CD'!Q$2:Q$875,'Base bordo CD'!D$2:D$875,A387,'Base bordo CD'!A$2:A$875,B387,'Base bordo CD'!L$2:L$875,"CORTE DE CANA MECANIZADO"),0)</f>
        <v>0</v>
      </c>
      <c r="S387" s="30" t="str">
        <f t="shared" si="36"/>
        <v/>
      </c>
      <c r="T387" s="9">
        <f t="shared" si="37"/>
        <v>0</v>
      </c>
      <c r="U387" s="9">
        <f t="shared" si="38"/>
        <v>0</v>
      </c>
      <c r="V387" s="9">
        <f t="shared" si="39"/>
        <v>1</v>
      </c>
    </row>
    <row r="388" spans="1:22" hidden="1" x14ac:dyDescent="0.35">
      <c r="A388" s="52">
        <v>49584</v>
      </c>
      <c r="B388" s="31">
        <v>46120</v>
      </c>
      <c r="C388" s="7" t="s">
        <v>321</v>
      </c>
      <c r="D388" s="7">
        <v>351</v>
      </c>
      <c r="E388" s="10">
        <f>IFERROR(SUMIFS('Base bordo CD'!M$2:M$875,'Base bordo CD'!D$2:D$875,A388,'Base bordo CD'!A$2:A$875,B388,'Base bordo CD'!L$2:L$875,"CORTE DE CANA MECANIZADO"),0)</f>
        <v>0</v>
      </c>
      <c r="F388" s="10">
        <f>IFERROR(SUMIFS('Base bordo CD'!M$2:M$875,'Base bordo CD'!D$2:D$875,A388,'Base bordo CD'!A$2:A$875,B388,'Base bordo CD'!L$2:L$875,"MANOBRA"),0)</f>
        <v>0</v>
      </c>
      <c r="G388" s="10">
        <f>IFERROR(SUMIFS('Base bordo CD'!M$2:M$875,'Base bordo CD'!D$2:D$875,A388,'Base bordo CD'!A$2:A$875,B388,'Base bordo CD'!L$2:L$875,"DESLOCAMENTO"),0)</f>
        <v>0</v>
      </c>
      <c r="H388" s="10">
        <f>IFERROR(SUMIFS('Base bordo CD'!M$2:M$875,'Base bordo CD'!D$2:D$875,A388,'Base bordo CD'!A$2:A$875,B388,'Base bordo CD'!L$2:L$875,"AGUARDANDO MANOBRA DE TRANSBORDO"),0)+IFERROR(SUMIFS('Base bordo CD'!M$2:M$875,'Base bordo CD'!D$2:D$875,A388,'Base bordo CD'!A$2:A$875,B388,'Base bordo CD'!L$2:L$875,"FALTA DE TRANSBORDO"),0)</f>
        <v>0</v>
      </c>
      <c r="I388" s="10">
        <f>IFERROR(SUMIFS('Base bordo CD'!M$2:M$875,'Base bordo CD'!D$2:D$875,A388,'Base bordo CD'!A$2:A$875,B388,'Base bordo CD'!L$2:L$875,"PARADA POR CONDICOES CLIMATICAS"),0)+IFERROR(SUMIFS('Base bordo CD'!M$2:M$875,'Base bordo CD'!D$2:D$875,A388,'Base bordo CD'!A$2:A$875,B388,'Base bordo CD'!L$2:L$875,"TEMPO INDETERMINADO"),0)</f>
        <v>24</v>
      </c>
      <c r="J388" s="10">
        <f>IFERROR(SUMIFS('Base bordo CD'!M$2:M$875,'Base bordo CD'!D$2:D$875,A388,'Base bordo CD'!A$2:A$875,B388,'Base bordo CD'!L$2:L$875,"LIMITAÇÃO INDÚSTRIA"),0)</f>
        <v>0</v>
      </c>
      <c r="K388" s="10">
        <f>IFERROR(SUMIFS('Base bordo CD'!M$2:M$875,'Base bordo CD'!D$2:D$875,A388,'Base bordo CD'!A$2:A$875,B388,'Base bordo CD'!L$2:L$875,"MAN CORRETIVA*"),0)+IFERROR(SUMIFS('Base bordo CD'!M$2:M$875,'Base bordo CD'!D$2:D$875,A388,'Base bordo CD'!A$2:A$875,B388,'Base bordo CD'!L$2:L$875,"AGUARDANDO MANUTENCAO*"),0)+IFERROR(SUMIFS('Base bordo CD'!M$2:M$875,'Base bordo CD'!D$2:D$875,A388,'Base bordo CD'!A$2:A$875,B388,'Base bordo CD'!L$2:L$875,"TROCA DE FAQUINHA"),0)+IFERROR(SUMIFS('Base bordo CD'!M$2:M$875,'Base bordo CD'!D$2:D$875,A388,'Base bordo CD'!A$2:A$875,B388,'Base bordo CD'!L$2:L$875,"LIMPEZA*"),0)</f>
        <v>0</v>
      </c>
      <c r="L388" s="10">
        <f>IFERROR(SUMIFS('Base bordo CD'!M$2:M$875,'Base bordo CD'!D$2:D$875,A388,'Base bordo CD'!A$2:A$875,B388,'Base bordo CD'!L$2:L$875,"PATIO - RESERVA"),0)</f>
        <v>0</v>
      </c>
      <c r="M388" s="10">
        <f>IFERROR(SUMIFS('Base bordo CD'!M$2:M$875,'Base bordo CD'!D$2:D$875,A388,'Base bordo CD'!A$2:A$875,B388,'Base bordo CD'!L$2:L$875,"SEM APONTAMENTO"),0)</f>
        <v>0</v>
      </c>
      <c r="N388" s="10">
        <f>IFERROR(SUMIFS('Base bordo CD'!M$2:M$875,'Base bordo CD'!D$2:D$875,A388,'Base bordo CD'!A$2:A$875,B388,'Base bordo CD'!L$2:L$875,"FALTA DE CAMINHÃO"),0)+IFERROR(SUMIFS('Base bordo CD'!M$2:M$875,'Base bordo CD'!D$2:D$875,A388,'Base bordo CD'!A$2:A$875,B388,'Base bordo CD'!L$2:L$875,"FALTA DE COMBUSTIVEL"),0)+IFERROR(SUMIFS('Base bordo CD'!M$2:M$875,'Base bordo CD'!D$2:D$875,A388,'Base bordo CD'!A$2:A$875,B388,'Base bordo CD'!L$2:L$875,"FALTA DE MOTORIST*"),0)</f>
        <v>0</v>
      </c>
      <c r="O388" s="10">
        <f t="shared" si="35"/>
        <v>0</v>
      </c>
      <c r="P388" s="10">
        <f>IFERROR(SUMIFS('Base bordo CD'!M$2:M$875,'Base bordo CD'!D$2:D$875,A388,'Base bordo CD'!A$2:A$875,B388),0)</f>
        <v>24</v>
      </c>
      <c r="Q388" s="10">
        <f>IFERROR(SUMIFS('Base bordo CD'!O$2:O$875,'Base bordo CD'!D$2:D$875,A388,'Base bordo CD'!A$2:A$875,B388,'Base bordo CD'!L$2:L$875,"CORTE DE CANA MECANIZADO"),0)</f>
        <v>0</v>
      </c>
      <c r="R388" s="10">
        <f>IFERROR(SUMIFS('Base bordo CD'!Q$2:Q$875,'Base bordo CD'!D$2:D$875,A388,'Base bordo CD'!A$2:A$875,B388,'Base bordo CD'!L$2:L$875,"CORTE DE CANA MECANIZADO"),0)</f>
        <v>0</v>
      </c>
      <c r="S388" s="30" t="str">
        <f t="shared" si="36"/>
        <v/>
      </c>
      <c r="T388" s="9">
        <f t="shared" si="37"/>
        <v>0</v>
      </c>
      <c r="U388" s="9">
        <f t="shared" si="38"/>
        <v>0</v>
      </c>
      <c r="V388" s="9">
        <f t="shared" si="39"/>
        <v>1</v>
      </c>
    </row>
    <row r="389" spans="1:22" x14ac:dyDescent="0.35">
      <c r="A389" s="52">
        <v>49587</v>
      </c>
      <c r="B389" s="31">
        <v>46120</v>
      </c>
      <c r="C389" s="7" t="s">
        <v>337</v>
      </c>
      <c r="D389" s="7">
        <v>353</v>
      </c>
      <c r="E389" s="10">
        <f>IFERROR(SUMIFS('Base bordo CD'!M$2:M$875,'Base bordo CD'!D$2:D$875,A389,'Base bordo CD'!A$2:A$875,B389,'Base bordo CD'!L$2:L$875,"CORTE DE CANA MECANIZADO"),0)</f>
        <v>0.28416666666666668</v>
      </c>
      <c r="F389" s="10">
        <f>IFERROR(SUMIFS('Base bordo CD'!M$2:M$875,'Base bordo CD'!D$2:D$875,A389,'Base bordo CD'!A$2:A$875,B389,'Base bordo CD'!L$2:L$875,"MANOBRA"),0)</f>
        <v>2.3333333333333331E-2</v>
      </c>
      <c r="G389" s="10">
        <f>IFERROR(SUMIFS('Base bordo CD'!M$2:M$875,'Base bordo CD'!D$2:D$875,A389,'Base bordo CD'!A$2:A$875,B389,'Base bordo CD'!L$2:L$875,"DESLOCAMENTO"),0)</f>
        <v>0.54138888888888892</v>
      </c>
      <c r="H389" s="10">
        <f>IFERROR(SUMIFS('Base bordo CD'!M$2:M$875,'Base bordo CD'!D$2:D$875,A389,'Base bordo CD'!A$2:A$875,B389,'Base bordo CD'!L$2:L$875,"AGUARDANDO MANOBRA DE TRANSBORDO"),0)+IFERROR(SUMIFS('Base bordo CD'!M$2:M$875,'Base bordo CD'!D$2:D$875,A389,'Base bordo CD'!A$2:A$875,B389,'Base bordo CD'!L$2:L$875,"FALTA DE TRANSBORDO"),0)</f>
        <v>1.3055555555555556E-2</v>
      </c>
      <c r="I389" s="10">
        <f>IFERROR(SUMIFS('Base bordo CD'!M$2:M$875,'Base bordo CD'!D$2:D$875,A389,'Base bordo CD'!A$2:A$875,B389,'Base bordo CD'!L$2:L$875,"PARADA POR CONDICOES CLIMATICAS"),0)+IFERROR(SUMIFS('Base bordo CD'!M$2:M$875,'Base bordo CD'!D$2:D$875,A389,'Base bordo CD'!A$2:A$875,B389,'Base bordo CD'!L$2:L$875,"TEMPO INDETERMINADO"),0)</f>
        <v>22.167222222222222</v>
      </c>
      <c r="J389" s="10">
        <f>IFERROR(SUMIFS('Base bordo CD'!M$2:M$875,'Base bordo CD'!D$2:D$875,A389,'Base bordo CD'!A$2:A$875,B389,'Base bordo CD'!L$2:L$875,"LIMITAÇÃO INDÚSTRIA"),0)</f>
        <v>0</v>
      </c>
      <c r="K389" s="10">
        <f>IFERROR(SUMIFS('Base bordo CD'!M$2:M$875,'Base bordo CD'!D$2:D$875,A389,'Base bordo CD'!A$2:A$875,B389,'Base bordo CD'!L$2:L$875,"MAN CORRETIVA*"),0)+IFERROR(SUMIFS('Base bordo CD'!M$2:M$875,'Base bordo CD'!D$2:D$875,A389,'Base bordo CD'!A$2:A$875,B389,'Base bordo CD'!L$2:L$875,"AGUARDANDO MANUTENCAO*"),0)+IFERROR(SUMIFS('Base bordo CD'!M$2:M$875,'Base bordo CD'!D$2:D$875,A389,'Base bordo CD'!A$2:A$875,B389,'Base bordo CD'!L$2:L$875,"TROCA DE FAQUINHA"),0)+IFERROR(SUMIFS('Base bordo CD'!M$2:M$875,'Base bordo CD'!D$2:D$875,A389,'Base bordo CD'!A$2:A$875,B389,'Base bordo CD'!L$2:L$875,"LIMPEZA*"),0)</f>
        <v>0.93722222222222218</v>
      </c>
      <c r="L389" s="10">
        <f>IFERROR(SUMIFS('Base bordo CD'!M$2:M$875,'Base bordo CD'!D$2:D$875,A389,'Base bordo CD'!A$2:A$875,B389,'Base bordo CD'!L$2:L$875,"PATIO - RESERVA"),0)</f>
        <v>0</v>
      </c>
      <c r="M389" s="10">
        <f>IFERROR(SUMIFS('Base bordo CD'!M$2:M$875,'Base bordo CD'!D$2:D$875,A389,'Base bordo CD'!A$2:A$875,B389,'Base bordo CD'!L$2:L$875,"SEM APONTAMENTO"),0)</f>
        <v>3.3611111111111112E-2</v>
      </c>
      <c r="N389" s="10">
        <f>IFERROR(SUMIFS('Base bordo CD'!M$2:M$875,'Base bordo CD'!D$2:D$875,A389,'Base bordo CD'!A$2:A$875,B389,'Base bordo CD'!L$2:L$875,"FALTA DE CAMINHÃO"),0)+IFERROR(SUMIFS('Base bordo CD'!M$2:M$875,'Base bordo CD'!D$2:D$875,A389,'Base bordo CD'!A$2:A$875,B389,'Base bordo CD'!L$2:L$875,"FALTA DE COMBUSTIVEL"),0)+IFERROR(SUMIFS('Base bordo CD'!M$2:M$875,'Base bordo CD'!D$2:D$875,A389,'Base bordo CD'!A$2:A$875,B389,'Base bordo CD'!L$2:L$875,"FALTA DE MOTORIST*"),0)</f>
        <v>0</v>
      </c>
      <c r="O389" s="10">
        <f t="shared" si="35"/>
        <v>0</v>
      </c>
      <c r="P389" s="10">
        <f>IFERROR(SUMIFS('Base bordo CD'!M$2:M$875,'Base bordo CD'!D$2:D$875,A389,'Base bordo CD'!A$2:A$875,B389),0)</f>
        <v>23.999999999999996</v>
      </c>
      <c r="Q389" s="10">
        <f>IFERROR(SUMIFS('Base bordo CD'!O$2:O$875,'Base bordo CD'!D$2:D$875,A389,'Base bordo CD'!A$2:A$875,B389,'Base bordo CD'!L$2:L$875,"CORTE DE CANA MECANIZADO"),0)</f>
        <v>5032.5399999999991</v>
      </c>
      <c r="R389" s="10">
        <f>IFERROR(SUMIFS('Base bordo CD'!Q$2:Q$875,'Base bordo CD'!D$2:D$875,A389,'Base bordo CD'!A$2:A$875,B389,'Base bordo CD'!L$2:L$875,"CORTE DE CANA MECANIZADO"),0)</f>
        <v>1023</v>
      </c>
      <c r="S389" s="30">
        <f t="shared" si="36"/>
        <v>4.9193939393939381</v>
      </c>
      <c r="T389" s="9">
        <f t="shared" si="37"/>
        <v>1.1840277777777779E-2</v>
      </c>
      <c r="U389" s="9">
        <f t="shared" si="38"/>
        <v>9.722222222222223E-4</v>
      </c>
      <c r="V389" s="9">
        <f t="shared" si="39"/>
        <v>0.96560185185185188</v>
      </c>
    </row>
    <row r="390" spans="1:22" x14ac:dyDescent="0.35">
      <c r="A390" s="52">
        <v>49587</v>
      </c>
      <c r="B390" s="31">
        <v>46120</v>
      </c>
      <c r="C390" s="7" t="s">
        <v>337</v>
      </c>
      <c r="D390" s="7">
        <v>353</v>
      </c>
      <c r="E390" s="10">
        <f>IFERROR(SUMIFS('Base bordo CD'!M$2:M$875,'Base bordo CD'!D$2:D$875,A390,'Base bordo CD'!A$2:A$875,B390,'Base bordo CD'!L$2:L$875,"CORTE DE CANA MECANIZADO"),0)</f>
        <v>0.28416666666666668</v>
      </c>
      <c r="F390" s="10">
        <f>IFERROR(SUMIFS('Base bordo CD'!M$2:M$875,'Base bordo CD'!D$2:D$875,A390,'Base bordo CD'!A$2:A$875,B390,'Base bordo CD'!L$2:L$875,"MANOBRA"),0)</f>
        <v>2.3333333333333331E-2</v>
      </c>
      <c r="G390" s="10">
        <f>IFERROR(SUMIFS('Base bordo CD'!M$2:M$875,'Base bordo CD'!D$2:D$875,A390,'Base bordo CD'!A$2:A$875,B390,'Base bordo CD'!L$2:L$875,"DESLOCAMENTO"),0)</f>
        <v>0.54138888888888892</v>
      </c>
      <c r="H390" s="10">
        <f>IFERROR(SUMIFS('Base bordo CD'!M$2:M$875,'Base bordo CD'!D$2:D$875,A390,'Base bordo CD'!A$2:A$875,B390,'Base bordo CD'!L$2:L$875,"AGUARDANDO MANOBRA DE TRANSBORDO"),0)+IFERROR(SUMIFS('Base bordo CD'!M$2:M$875,'Base bordo CD'!D$2:D$875,A390,'Base bordo CD'!A$2:A$875,B390,'Base bordo CD'!L$2:L$875,"FALTA DE TRANSBORDO"),0)</f>
        <v>1.3055555555555556E-2</v>
      </c>
      <c r="I390" s="10">
        <f>IFERROR(SUMIFS('Base bordo CD'!M$2:M$875,'Base bordo CD'!D$2:D$875,A390,'Base bordo CD'!A$2:A$875,B390,'Base bordo CD'!L$2:L$875,"PARADA POR CONDICOES CLIMATICAS"),0)+IFERROR(SUMIFS('Base bordo CD'!M$2:M$875,'Base bordo CD'!D$2:D$875,A390,'Base bordo CD'!A$2:A$875,B390,'Base bordo CD'!L$2:L$875,"TEMPO INDETERMINADO"),0)</f>
        <v>22.167222222222222</v>
      </c>
      <c r="J390" s="10">
        <f>IFERROR(SUMIFS('Base bordo CD'!M$2:M$875,'Base bordo CD'!D$2:D$875,A390,'Base bordo CD'!A$2:A$875,B390,'Base bordo CD'!L$2:L$875,"LIMITAÇÃO INDÚSTRIA"),0)</f>
        <v>0</v>
      </c>
      <c r="K390" s="10">
        <f>IFERROR(SUMIFS('Base bordo CD'!M$2:M$875,'Base bordo CD'!D$2:D$875,A390,'Base bordo CD'!A$2:A$875,B390,'Base bordo CD'!L$2:L$875,"MAN CORRETIVA*"),0)+IFERROR(SUMIFS('Base bordo CD'!M$2:M$875,'Base bordo CD'!D$2:D$875,A390,'Base bordo CD'!A$2:A$875,B390,'Base bordo CD'!L$2:L$875,"AGUARDANDO MANUTENCAO*"),0)+IFERROR(SUMIFS('Base bordo CD'!M$2:M$875,'Base bordo CD'!D$2:D$875,A390,'Base bordo CD'!A$2:A$875,B390,'Base bordo CD'!L$2:L$875,"TROCA DE FAQUINHA"),0)+IFERROR(SUMIFS('Base bordo CD'!M$2:M$875,'Base bordo CD'!D$2:D$875,A390,'Base bordo CD'!A$2:A$875,B390,'Base bordo CD'!L$2:L$875,"LIMPEZA*"),0)</f>
        <v>0.93722222222222218</v>
      </c>
      <c r="L390" s="10">
        <f>IFERROR(SUMIFS('Base bordo CD'!M$2:M$875,'Base bordo CD'!D$2:D$875,A390,'Base bordo CD'!A$2:A$875,B390,'Base bordo CD'!L$2:L$875,"PATIO - RESERVA"),0)</f>
        <v>0</v>
      </c>
      <c r="M390" s="10">
        <f>IFERROR(SUMIFS('Base bordo CD'!M$2:M$875,'Base bordo CD'!D$2:D$875,A390,'Base bordo CD'!A$2:A$875,B390,'Base bordo CD'!L$2:L$875,"SEM APONTAMENTO"),0)</f>
        <v>3.3611111111111112E-2</v>
      </c>
      <c r="N390" s="10">
        <f>IFERROR(SUMIFS('Base bordo CD'!M$2:M$875,'Base bordo CD'!D$2:D$875,A390,'Base bordo CD'!A$2:A$875,B390,'Base bordo CD'!L$2:L$875,"FALTA DE CAMINHÃO"),0)+IFERROR(SUMIFS('Base bordo CD'!M$2:M$875,'Base bordo CD'!D$2:D$875,A390,'Base bordo CD'!A$2:A$875,B390,'Base bordo CD'!L$2:L$875,"FALTA DE COMBUSTIVEL"),0)+IFERROR(SUMIFS('Base bordo CD'!M$2:M$875,'Base bordo CD'!D$2:D$875,A390,'Base bordo CD'!A$2:A$875,B390,'Base bordo CD'!L$2:L$875,"FALTA DE MOTORIST*"),0)</f>
        <v>0</v>
      </c>
      <c r="O390" s="10">
        <f t="shared" si="35"/>
        <v>0</v>
      </c>
      <c r="P390" s="10">
        <f>IFERROR(SUMIFS('Base bordo CD'!M$2:M$875,'Base bordo CD'!D$2:D$875,A390,'Base bordo CD'!A$2:A$875,B390),0)</f>
        <v>23.999999999999996</v>
      </c>
      <c r="Q390" s="10">
        <f>IFERROR(SUMIFS('Base bordo CD'!O$2:O$875,'Base bordo CD'!D$2:D$875,A390,'Base bordo CD'!A$2:A$875,B390,'Base bordo CD'!L$2:L$875,"CORTE DE CANA MECANIZADO"),0)</f>
        <v>5032.5399999999991</v>
      </c>
      <c r="R390" s="10">
        <f>IFERROR(SUMIFS('Base bordo CD'!Q$2:Q$875,'Base bordo CD'!D$2:D$875,A390,'Base bordo CD'!A$2:A$875,B390,'Base bordo CD'!L$2:L$875,"CORTE DE CANA MECANIZADO"),0)</f>
        <v>1023</v>
      </c>
      <c r="S390" s="30">
        <f t="shared" si="36"/>
        <v>4.9193939393939381</v>
      </c>
      <c r="T390" s="9">
        <f t="shared" si="37"/>
        <v>1.1840277777777779E-2</v>
      </c>
      <c r="U390" s="9">
        <f t="shared" si="38"/>
        <v>9.722222222222223E-4</v>
      </c>
      <c r="V390" s="9">
        <f t="shared" si="39"/>
        <v>0.96560185185185188</v>
      </c>
    </row>
    <row r="391" spans="1:22" x14ac:dyDescent="0.35">
      <c r="A391" s="52">
        <v>49587</v>
      </c>
      <c r="B391" s="31">
        <v>46120</v>
      </c>
      <c r="C391" s="7" t="s">
        <v>337</v>
      </c>
      <c r="D391" s="7">
        <v>353</v>
      </c>
      <c r="E391" s="10">
        <f>IFERROR(SUMIFS('Base bordo CD'!M$2:M$875,'Base bordo CD'!D$2:D$875,A391,'Base bordo CD'!A$2:A$875,B391,'Base bordo CD'!L$2:L$875,"CORTE DE CANA MECANIZADO"),0)</f>
        <v>0.28416666666666668</v>
      </c>
      <c r="F391" s="10">
        <f>IFERROR(SUMIFS('Base bordo CD'!M$2:M$875,'Base bordo CD'!D$2:D$875,A391,'Base bordo CD'!A$2:A$875,B391,'Base bordo CD'!L$2:L$875,"MANOBRA"),0)</f>
        <v>2.3333333333333331E-2</v>
      </c>
      <c r="G391" s="10">
        <f>IFERROR(SUMIFS('Base bordo CD'!M$2:M$875,'Base bordo CD'!D$2:D$875,A391,'Base bordo CD'!A$2:A$875,B391,'Base bordo CD'!L$2:L$875,"DESLOCAMENTO"),0)</f>
        <v>0.54138888888888892</v>
      </c>
      <c r="H391" s="10">
        <f>IFERROR(SUMIFS('Base bordo CD'!M$2:M$875,'Base bordo CD'!D$2:D$875,A391,'Base bordo CD'!A$2:A$875,B391,'Base bordo CD'!L$2:L$875,"AGUARDANDO MANOBRA DE TRANSBORDO"),0)+IFERROR(SUMIFS('Base bordo CD'!M$2:M$875,'Base bordo CD'!D$2:D$875,A391,'Base bordo CD'!A$2:A$875,B391,'Base bordo CD'!L$2:L$875,"FALTA DE TRANSBORDO"),0)</f>
        <v>1.3055555555555556E-2</v>
      </c>
      <c r="I391" s="10">
        <f>IFERROR(SUMIFS('Base bordo CD'!M$2:M$875,'Base bordo CD'!D$2:D$875,A391,'Base bordo CD'!A$2:A$875,B391,'Base bordo CD'!L$2:L$875,"PARADA POR CONDICOES CLIMATICAS"),0)+IFERROR(SUMIFS('Base bordo CD'!M$2:M$875,'Base bordo CD'!D$2:D$875,A391,'Base bordo CD'!A$2:A$875,B391,'Base bordo CD'!L$2:L$875,"TEMPO INDETERMINADO"),0)</f>
        <v>22.167222222222222</v>
      </c>
      <c r="J391" s="10">
        <f>IFERROR(SUMIFS('Base bordo CD'!M$2:M$875,'Base bordo CD'!D$2:D$875,A391,'Base bordo CD'!A$2:A$875,B391,'Base bordo CD'!L$2:L$875,"LIMITAÇÃO INDÚSTRIA"),0)</f>
        <v>0</v>
      </c>
      <c r="K391" s="10">
        <f>IFERROR(SUMIFS('Base bordo CD'!M$2:M$875,'Base bordo CD'!D$2:D$875,A391,'Base bordo CD'!A$2:A$875,B391,'Base bordo CD'!L$2:L$875,"MAN CORRETIVA*"),0)+IFERROR(SUMIFS('Base bordo CD'!M$2:M$875,'Base bordo CD'!D$2:D$875,A391,'Base bordo CD'!A$2:A$875,B391,'Base bordo CD'!L$2:L$875,"AGUARDANDO MANUTENCAO*"),0)+IFERROR(SUMIFS('Base bordo CD'!M$2:M$875,'Base bordo CD'!D$2:D$875,A391,'Base bordo CD'!A$2:A$875,B391,'Base bordo CD'!L$2:L$875,"TROCA DE FAQUINHA"),0)+IFERROR(SUMIFS('Base bordo CD'!M$2:M$875,'Base bordo CD'!D$2:D$875,A391,'Base bordo CD'!A$2:A$875,B391,'Base bordo CD'!L$2:L$875,"LIMPEZA*"),0)</f>
        <v>0.93722222222222218</v>
      </c>
      <c r="L391" s="10">
        <f>IFERROR(SUMIFS('Base bordo CD'!M$2:M$875,'Base bordo CD'!D$2:D$875,A391,'Base bordo CD'!A$2:A$875,B391,'Base bordo CD'!L$2:L$875,"PATIO - RESERVA"),0)</f>
        <v>0</v>
      </c>
      <c r="M391" s="10">
        <f>IFERROR(SUMIFS('Base bordo CD'!M$2:M$875,'Base bordo CD'!D$2:D$875,A391,'Base bordo CD'!A$2:A$875,B391,'Base bordo CD'!L$2:L$875,"SEM APONTAMENTO"),0)</f>
        <v>3.3611111111111112E-2</v>
      </c>
      <c r="N391" s="10">
        <f>IFERROR(SUMIFS('Base bordo CD'!M$2:M$875,'Base bordo CD'!D$2:D$875,A391,'Base bordo CD'!A$2:A$875,B391,'Base bordo CD'!L$2:L$875,"FALTA DE CAMINHÃO"),0)+IFERROR(SUMIFS('Base bordo CD'!M$2:M$875,'Base bordo CD'!D$2:D$875,A391,'Base bordo CD'!A$2:A$875,B391,'Base bordo CD'!L$2:L$875,"FALTA DE COMBUSTIVEL"),0)+IFERROR(SUMIFS('Base bordo CD'!M$2:M$875,'Base bordo CD'!D$2:D$875,A391,'Base bordo CD'!A$2:A$875,B391,'Base bordo CD'!L$2:L$875,"FALTA DE MOTORIST*"),0)</f>
        <v>0</v>
      </c>
      <c r="O391" s="10">
        <f t="shared" si="35"/>
        <v>0</v>
      </c>
      <c r="P391" s="10">
        <f>IFERROR(SUMIFS('Base bordo CD'!M$2:M$875,'Base bordo CD'!D$2:D$875,A391,'Base bordo CD'!A$2:A$875,B391),0)</f>
        <v>23.999999999999996</v>
      </c>
      <c r="Q391" s="10">
        <f>IFERROR(SUMIFS('Base bordo CD'!O$2:O$875,'Base bordo CD'!D$2:D$875,A391,'Base bordo CD'!A$2:A$875,B391,'Base bordo CD'!L$2:L$875,"CORTE DE CANA MECANIZADO"),0)</f>
        <v>5032.5399999999991</v>
      </c>
      <c r="R391" s="10">
        <f>IFERROR(SUMIFS('Base bordo CD'!Q$2:Q$875,'Base bordo CD'!D$2:D$875,A391,'Base bordo CD'!A$2:A$875,B391,'Base bordo CD'!L$2:L$875,"CORTE DE CANA MECANIZADO"),0)</f>
        <v>1023</v>
      </c>
      <c r="S391" s="30">
        <f t="shared" si="36"/>
        <v>4.9193939393939381</v>
      </c>
      <c r="T391" s="9">
        <f t="shared" si="37"/>
        <v>1.1840277777777779E-2</v>
      </c>
      <c r="U391" s="9">
        <f t="shared" si="38"/>
        <v>9.722222222222223E-4</v>
      </c>
      <c r="V391" s="9">
        <f t="shared" si="39"/>
        <v>0.96560185185185188</v>
      </c>
    </row>
    <row r="392" spans="1:22" x14ac:dyDescent="0.35">
      <c r="A392" s="52">
        <v>49587</v>
      </c>
      <c r="B392" s="31">
        <v>46120</v>
      </c>
      <c r="C392" s="7" t="s">
        <v>337</v>
      </c>
      <c r="D392" s="7">
        <v>353</v>
      </c>
      <c r="E392" s="10">
        <f>IFERROR(SUMIFS('Base bordo CD'!M$2:M$875,'Base bordo CD'!D$2:D$875,A392,'Base bordo CD'!A$2:A$875,B392,'Base bordo CD'!L$2:L$875,"CORTE DE CANA MECANIZADO"),0)</f>
        <v>0.28416666666666668</v>
      </c>
      <c r="F392" s="10">
        <f>IFERROR(SUMIFS('Base bordo CD'!M$2:M$875,'Base bordo CD'!D$2:D$875,A392,'Base bordo CD'!A$2:A$875,B392,'Base bordo CD'!L$2:L$875,"MANOBRA"),0)</f>
        <v>2.3333333333333331E-2</v>
      </c>
      <c r="G392" s="10">
        <f>IFERROR(SUMIFS('Base bordo CD'!M$2:M$875,'Base bordo CD'!D$2:D$875,A392,'Base bordo CD'!A$2:A$875,B392,'Base bordo CD'!L$2:L$875,"DESLOCAMENTO"),0)</f>
        <v>0.54138888888888892</v>
      </c>
      <c r="H392" s="10">
        <f>IFERROR(SUMIFS('Base bordo CD'!M$2:M$875,'Base bordo CD'!D$2:D$875,A392,'Base bordo CD'!A$2:A$875,B392,'Base bordo CD'!L$2:L$875,"AGUARDANDO MANOBRA DE TRANSBORDO"),0)+IFERROR(SUMIFS('Base bordo CD'!M$2:M$875,'Base bordo CD'!D$2:D$875,A392,'Base bordo CD'!A$2:A$875,B392,'Base bordo CD'!L$2:L$875,"FALTA DE TRANSBORDO"),0)</f>
        <v>1.3055555555555556E-2</v>
      </c>
      <c r="I392" s="10">
        <f>IFERROR(SUMIFS('Base bordo CD'!M$2:M$875,'Base bordo CD'!D$2:D$875,A392,'Base bordo CD'!A$2:A$875,B392,'Base bordo CD'!L$2:L$875,"PARADA POR CONDICOES CLIMATICAS"),0)+IFERROR(SUMIFS('Base bordo CD'!M$2:M$875,'Base bordo CD'!D$2:D$875,A392,'Base bordo CD'!A$2:A$875,B392,'Base bordo CD'!L$2:L$875,"TEMPO INDETERMINADO"),0)</f>
        <v>22.167222222222222</v>
      </c>
      <c r="J392" s="10">
        <f>IFERROR(SUMIFS('Base bordo CD'!M$2:M$875,'Base bordo CD'!D$2:D$875,A392,'Base bordo CD'!A$2:A$875,B392,'Base bordo CD'!L$2:L$875,"LIMITAÇÃO INDÚSTRIA"),0)</f>
        <v>0</v>
      </c>
      <c r="K392" s="10">
        <f>IFERROR(SUMIFS('Base bordo CD'!M$2:M$875,'Base bordo CD'!D$2:D$875,A392,'Base bordo CD'!A$2:A$875,B392,'Base bordo CD'!L$2:L$875,"MAN CORRETIVA*"),0)+IFERROR(SUMIFS('Base bordo CD'!M$2:M$875,'Base bordo CD'!D$2:D$875,A392,'Base bordo CD'!A$2:A$875,B392,'Base bordo CD'!L$2:L$875,"AGUARDANDO MANUTENCAO*"),0)+IFERROR(SUMIFS('Base bordo CD'!M$2:M$875,'Base bordo CD'!D$2:D$875,A392,'Base bordo CD'!A$2:A$875,B392,'Base bordo CD'!L$2:L$875,"TROCA DE FAQUINHA"),0)+IFERROR(SUMIFS('Base bordo CD'!M$2:M$875,'Base bordo CD'!D$2:D$875,A392,'Base bordo CD'!A$2:A$875,B392,'Base bordo CD'!L$2:L$875,"LIMPEZA*"),0)</f>
        <v>0.93722222222222218</v>
      </c>
      <c r="L392" s="10">
        <f>IFERROR(SUMIFS('Base bordo CD'!M$2:M$875,'Base bordo CD'!D$2:D$875,A392,'Base bordo CD'!A$2:A$875,B392,'Base bordo CD'!L$2:L$875,"PATIO - RESERVA"),0)</f>
        <v>0</v>
      </c>
      <c r="M392" s="10">
        <f>IFERROR(SUMIFS('Base bordo CD'!M$2:M$875,'Base bordo CD'!D$2:D$875,A392,'Base bordo CD'!A$2:A$875,B392,'Base bordo CD'!L$2:L$875,"SEM APONTAMENTO"),0)</f>
        <v>3.3611111111111112E-2</v>
      </c>
      <c r="N392" s="10">
        <f>IFERROR(SUMIFS('Base bordo CD'!M$2:M$875,'Base bordo CD'!D$2:D$875,A392,'Base bordo CD'!A$2:A$875,B392,'Base bordo CD'!L$2:L$875,"FALTA DE CAMINHÃO"),0)+IFERROR(SUMIFS('Base bordo CD'!M$2:M$875,'Base bordo CD'!D$2:D$875,A392,'Base bordo CD'!A$2:A$875,B392,'Base bordo CD'!L$2:L$875,"FALTA DE COMBUSTIVEL"),0)+IFERROR(SUMIFS('Base bordo CD'!M$2:M$875,'Base bordo CD'!D$2:D$875,A392,'Base bordo CD'!A$2:A$875,B392,'Base bordo CD'!L$2:L$875,"FALTA DE MOTORIST*"),0)</f>
        <v>0</v>
      </c>
      <c r="O392" s="10">
        <f t="shared" si="35"/>
        <v>0</v>
      </c>
      <c r="P392" s="10">
        <f>IFERROR(SUMIFS('Base bordo CD'!M$2:M$875,'Base bordo CD'!D$2:D$875,A392,'Base bordo CD'!A$2:A$875,B392),0)</f>
        <v>23.999999999999996</v>
      </c>
      <c r="Q392" s="10">
        <f>IFERROR(SUMIFS('Base bordo CD'!O$2:O$875,'Base bordo CD'!D$2:D$875,A392,'Base bordo CD'!A$2:A$875,B392,'Base bordo CD'!L$2:L$875,"CORTE DE CANA MECANIZADO"),0)</f>
        <v>5032.5399999999991</v>
      </c>
      <c r="R392" s="10">
        <f>IFERROR(SUMIFS('Base bordo CD'!Q$2:Q$875,'Base bordo CD'!D$2:D$875,A392,'Base bordo CD'!A$2:A$875,B392,'Base bordo CD'!L$2:L$875,"CORTE DE CANA MECANIZADO"),0)</f>
        <v>1023</v>
      </c>
      <c r="S392" s="30">
        <f t="shared" si="36"/>
        <v>4.9193939393939381</v>
      </c>
      <c r="T392" s="9">
        <f t="shared" si="37"/>
        <v>1.1840277777777779E-2</v>
      </c>
      <c r="U392" s="9">
        <f t="shared" si="38"/>
        <v>9.722222222222223E-4</v>
      </c>
      <c r="V392" s="9">
        <f t="shared" si="39"/>
        <v>0.96560185185185188</v>
      </c>
    </row>
    <row r="393" spans="1:22" x14ac:dyDescent="0.35">
      <c r="A393" s="52">
        <v>49587</v>
      </c>
      <c r="B393" s="31">
        <v>46120</v>
      </c>
      <c r="C393" s="7" t="s">
        <v>337</v>
      </c>
      <c r="D393" s="7">
        <v>353</v>
      </c>
      <c r="E393" s="10">
        <f>IFERROR(SUMIFS('Base bordo CD'!M$2:M$875,'Base bordo CD'!D$2:D$875,A393,'Base bordo CD'!A$2:A$875,B393,'Base bordo CD'!L$2:L$875,"CORTE DE CANA MECANIZADO"),0)</f>
        <v>0.28416666666666668</v>
      </c>
      <c r="F393" s="10">
        <f>IFERROR(SUMIFS('Base bordo CD'!M$2:M$875,'Base bordo CD'!D$2:D$875,A393,'Base bordo CD'!A$2:A$875,B393,'Base bordo CD'!L$2:L$875,"MANOBRA"),0)</f>
        <v>2.3333333333333331E-2</v>
      </c>
      <c r="G393" s="10">
        <f>IFERROR(SUMIFS('Base bordo CD'!M$2:M$875,'Base bordo CD'!D$2:D$875,A393,'Base bordo CD'!A$2:A$875,B393,'Base bordo CD'!L$2:L$875,"DESLOCAMENTO"),0)</f>
        <v>0.54138888888888892</v>
      </c>
      <c r="H393" s="10">
        <f>IFERROR(SUMIFS('Base bordo CD'!M$2:M$875,'Base bordo CD'!D$2:D$875,A393,'Base bordo CD'!A$2:A$875,B393,'Base bordo CD'!L$2:L$875,"AGUARDANDO MANOBRA DE TRANSBORDO"),0)+IFERROR(SUMIFS('Base bordo CD'!M$2:M$875,'Base bordo CD'!D$2:D$875,A393,'Base bordo CD'!A$2:A$875,B393,'Base bordo CD'!L$2:L$875,"FALTA DE TRANSBORDO"),0)</f>
        <v>1.3055555555555556E-2</v>
      </c>
      <c r="I393" s="10">
        <f>IFERROR(SUMIFS('Base bordo CD'!M$2:M$875,'Base bordo CD'!D$2:D$875,A393,'Base bordo CD'!A$2:A$875,B393,'Base bordo CD'!L$2:L$875,"PARADA POR CONDICOES CLIMATICAS"),0)+IFERROR(SUMIFS('Base bordo CD'!M$2:M$875,'Base bordo CD'!D$2:D$875,A393,'Base bordo CD'!A$2:A$875,B393,'Base bordo CD'!L$2:L$875,"TEMPO INDETERMINADO"),0)</f>
        <v>22.167222222222222</v>
      </c>
      <c r="J393" s="10">
        <f>IFERROR(SUMIFS('Base bordo CD'!M$2:M$875,'Base bordo CD'!D$2:D$875,A393,'Base bordo CD'!A$2:A$875,B393,'Base bordo CD'!L$2:L$875,"LIMITAÇÃO INDÚSTRIA"),0)</f>
        <v>0</v>
      </c>
      <c r="K393" s="10">
        <f>IFERROR(SUMIFS('Base bordo CD'!M$2:M$875,'Base bordo CD'!D$2:D$875,A393,'Base bordo CD'!A$2:A$875,B393,'Base bordo CD'!L$2:L$875,"MAN CORRETIVA*"),0)+IFERROR(SUMIFS('Base bordo CD'!M$2:M$875,'Base bordo CD'!D$2:D$875,A393,'Base bordo CD'!A$2:A$875,B393,'Base bordo CD'!L$2:L$875,"AGUARDANDO MANUTENCAO*"),0)+IFERROR(SUMIFS('Base bordo CD'!M$2:M$875,'Base bordo CD'!D$2:D$875,A393,'Base bordo CD'!A$2:A$875,B393,'Base bordo CD'!L$2:L$875,"TROCA DE FAQUINHA"),0)+IFERROR(SUMIFS('Base bordo CD'!M$2:M$875,'Base bordo CD'!D$2:D$875,A393,'Base bordo CD'!A$2:A$875,B393,'Base bordo CD'!L$2:L$875,"LIMPEZA*"),0)</f>
        <v>0.93722222222222218</v>
      </c>
      <c r="L393" s="10">
        <f>IFERROR(SUMIFS('Base bordo CD'!M$2:M$875,'Base bordo CD'!D$2:D$875,A393,'Base bordo CD'!A$2:A$875,B393,'Base bordo CD'!L$2:L$875,"PATIO - RESERVA"),0)</f>
        <v>0</v>
      </c>
      <c r="M393" s="10">
        <f>IFERROR(SUMIFS('Base bordo CD'!M$2:M$875,'Base bordo CD'!D$2:D$875,A393,'Base bordo CD'!A$2:A$875,B393,'Base bordo CD'!L$2:L$875,"SEM APONTAMENTO"),0)</f>
        <v>3.3611111111111112E-2</v>
      </c>
      <c r="N393" s="10">
        <f>IFERROR(SUMIFS('Base bordo CD'!M$2:M$875,'Base bordo CD'!D$2:D$875,A393,'Base bordo CD'!A$2:A$875,B393,'Base bordo CD'!L$2:L$875,"FALTA DE CAMINHÃO"),0)+IFERROR(SUMIFS('Base bordo CD'!M$2:M$875,'Base bordo CD'!D$2:D$875,A393,'Base bordo CD'!A$2:A$875,B393,'Base bordo CD'!L$2:L$875,"FALTA DE COMBUSTIVEL"),0)+IFERROR(SUMIFS('Base bordo CD'!M$2:M$875,'Base bordo CD'!D$2:D$875,A393,'Base bordo CD'!A$2:A$875,B393,'Base bordo CD'!L$2:L$875,"FALTA DE MOTORIST*"),0)</f>
        <v>0</v>
      </c>
      <c r="O393" s="10">
        <f t="shared" si="35"/>
        <v>0</v>
      </c>
      <c r="P393" s="10">
        <f>IFERROR(SUMIFS('Base bordo CD'!M$2:M$875,'Base bordo CD'!D$2:D$875,A393,'Base bordo CD'!A$2:A$875,B393),0)</f>
        <v>23.999999999999996</v>
      </c>
      <c r="Q393" s="10">
        <f>IFERROR(SUMIFS('Base bordo CD'!O$2:O$875,'Base bordo CD'!D$2:D$875,A393,'Base bordo CD'!A$2:A$875,B393,'Base bordo CD'!L$2:L$875,"CORTE DE CANA MECANIZADO"),0)</f>
        <v>5032.5399999999991</v>
      </c>
      <c r="R393" s="10">
        <f>IFERROR(SUMIFS('Base bordo CD'!Q$2:Q$875,'Base bordo CD'!D$2:D$875,A393,'Base bordo CD'!A$2:A$875,B393,'Base bordo CD'!L$2:L$875,"CORTE DE CANA MECANIZADO"),0)</f>
        <v>1023</v>
      </c>
      <c r="S393" s="30">
        <f t="shared" si="36"/>
        <v>4.9193939393939381</v>
      </c>
      <c r="T393" s="9">
        <f t="shared" si="37"/>
        <v>1.1840277777777779E-2</v>
      </c>
      <c r="U393" s="9">
        <f t="shared" si="38"/>
        <v>9.722222222222223E-4</v>
      </c>
      <c r="V393" s="9">
        <f t="shared" si="39"/>
        <v>0.96560185185185188</v>
      </c>
    </row>
    <row r="394" spans="1:22" x14ac:dyDescent="0.35">
      <c r="A394" s="52">
        <v>49587</v>
      </c>
      <c r="B394" s="31">
        <v>46120</v>
      </c>
      <c r="C394" s="7" t="s">
        <v>337</v>
      </c>
      <c r="D394" s="7">
        <v>353</v>
      </c>
      <c r="E394" s="10">
        <f>IFERROR(SUMIFS('Base bordo CD'!M$2:M$875,'Base bordo CD'!D$2:D$875,A394,'Base bordo CD'!A$2:A$875,B394,'Base bordo CD'!L$2:L$875,"CORTE DE CANA MECANIZADO"),0)</f>
        <v>0.28416666666666668</v>
      </c>
      <c r="F394" s="10">
        <f>IFERROR(SUMIFS('Base bordo CD'!M$2:M$875,'Base bordo CD'!D$2:D$875,A394,'Base bordo CD'!A$2:A$875,B394,'Base bordo CD'!L$2:L$875,"MANOBRA"),0)</f>
        <v>2.3333333333333331E-2</v>
      </c>
      <c r="G394" s="10">
        <f>IFERROR(SUMIFS('Base bordo CD'!M$2:M$875,'Base bordo CD'!D$2:D$875,A394,'Base bordo CD'!A$2:A$875,B394,'Base bordo CD'!L$2:L$875,"DESLOCAMENTO"),0)</f>
        <v>0.54138888888888892</v>
      </c>
      <c r="H394" s="10">
        <f>IFERROR(SUMIFS('Base bordo CD'!M$2:M$875,'Base bordo CD'!D$2:D$875,A394,'Base bordo CD'!A$2:A$875,B394,'Base bordo CD'!L$2:L$875,"AGUARDANDO MANOBRA DE TRANSBORDO"),0)+IFERROR(SUMIFS('Base bordo CD'!M$2:M$875,'Base bordo CD'!D$2:D$875,A394,'Base bordo CD'!A$2:A$875,B394,'Base bordo CD'!L$2:L$875,"FALTA DE TRANSBORDO"),0)</f>
        <v>1.3055555555555556E-2</v>
      </c>
      <c r="I394" s="10">
        <f>IFERROR(SUMIFS('Base bordo CD'!M$2:M$875,'Base bordo CD'!D$2:D$875,A394,'Base bordo CD'!A$2:A$875,B394,'Base bordo CD'!L$2:L$875,"PARADA POR CONDICOES CLIMATICAS"),0)+IFERROR(SUMIFS('Base bordo CD'!M$2:M$875,'Base bordo CD'!D$2:D$875,A394,'Base bordo CD'!A$2:A$875,B394,'Base bordo CD'!L$2:L$875,"TEMPO INDETERMINADO"),0)</f>
        <v>22.167222222222222</v>
      </c>
      <c r="J394" s="10">
        <f>IFERROR(SUMIFS('Base bordo CD'!M$2:M$875,'Base bordo CD'!D$2:D$875,A394,'Base bordo CD'!A$2:A$875,B394,'Base bordo CD'!L$2:L$875,"LIMITAÇÃO INDÚSTRIA"),0)</f>
        <v>0</v>
      </c>
      <c r="K394" s="10">
        <f>IFERROR(SUMIFS('Base bordo CD'!M$2:M$875,'Base bordo CD'!D$2:D$875,A394,'Base bordo CD'!A$2:A$875,B394,'Base bordo CD'!L$2:L$875,"MAN CORRETIVA*"),0)+IFERROR(SUMIFS('Base bordo CD'!M$2:M$875,'Base bordo CD'!D$2:D$875,A394,'Base bordo CD'!A$2:A$875,B394,'Base bordo CD'!L$2:L$875,"AGUARDANDO MANUTENCAO*"),0)+IFERROR(SUMIFS('Base bordo CD'!M$2:M$875,'Base bordo CD'!D$2:D$875,A394,'Base bordo CD'!A$2:A$875,B394,'Base bordo CD'!L$2:L$875,"TROCA DE FAQUINHA"),0)+IFERROR(SUMIFS('Base bordo CD'!M$2:M$875,'Base bordo CD'!D$2:D$875,A394,'Base bordo CD'!A$2:A$875,B394,'Base bordo CD'!L$2:L$875,"LIMPEZA*"),0)</f>
        <v>0.93722222222222218</v>
      </c>
      <c r="L394" s="10">
        <f>IFERROR(SUMIFS('Base bordo CD'!M$2:M$875,'Base bordo CD'!D$2:D$875,A394,'Base bordo CD'!A$2:A$875,B394,'Base bordo CD'!L$2:L$875,"PATIO - RESERVA"),0)</f>
        <v>0</v>
      </c>
      <c r="M394" s="10">
        <f>IFERROR(SUMIFS('Base bordo CD'!M$2:M$875,'Base bordo CD'!D$2:D$875,A394,'Base bordo CD'!A$2:A$875,B394,'Base bordo CD'!L$2:L$875,"SEM APONTAMENTO"),0)</f>
        <v>3.3611111111111112E-2</v>
      </c>
      <c r="N394" s="10">
        <f>IFERROR(SUMIFS('Base bordo CD'!M$2:M$875,'Base bordo CD'!D$2:D$875,A394,'Base bordo CD'!A$2:A$875,B394,'Base bordo CD'!L$2:L$875,"FALTA DE CAMINHÃO"),0)+IFERROR(SUMIFS('Base bordo CD'!M$2:M$875,'Base bordo CD'!D$2:D$875,A394,'Base bordo CD'!A$2:A$875,B394,'Base bordo CD'!L$2:L$875,"FALTA DE COMBUSTIVEL"),0)+IFERROR(SUMIFS('Base bordo CD'!M$2:M$875,'Base bordo CD'!D$2:D$875,A394,'Base bordo CD'!A$2:A$875,B394,'Base bordo CD'!L$2:L$875,"FALTA DE MOTORIST*"),0)</f>
        <v>0</v>
      </c>
      <c r="O394" s="10">
        <f t="shared" si="35"/>
        <v>0</v>
      </c>
      <c r="P394" s="10">
        <f>IFERROR(SUMIFS('Base bordo CD'!M$2:M$875,'Base bordo CD'!D$2:D$875,A394,'Base bordo CD'!A$2:A$875,B394),0)</f>
        <v>23.999999999999996</v>
      </c>
      <c r="Q394" s="10">
        <f>IFERROR(SUMIFS('Base bordo CD'!O$2:O$875,'Base bordo CD'!D$2:D$875,A394,'Base bordo CD'!A$2:A$875,B394,'Base bordo CD'!L$2:L$875,"CORTE DE CANA MECANIZADO"),0)</f>
        <v>5032.5399999999991</v>
      </c>
      <c r="R394" s="10">
        <f>IFERROR(SUMIFS('Base bordo CD'!Q$2:Q$875,'Base bordo CD'!D$2:D$875,A394,'Base bordo CD'!A$2:A$875,B394,'Base bordo CD'!L$2:L$875,"CORTE DE CANA MECANIZADO"),0)</f>
        <v>1023</v>
      </c>
      <c r="S394" s="30">
        <f t="shared" si="36"/>
        <v>4.9193939393939381</v>
      </c>
      <c r="T394" s="9">
        <f t="shared" si="37"/>
        <v>1.1840277777777779E-2</v>
      </c>
      <c r="U394" s="9">
        <f t="shared" si="38"/>
        <v>9.722222222222223E-4</v>
      </c>
      <c r="V394" s="9">
        <f t="shared" si="39"/>
        <v>0.96560185185185188</v>
      </c>
    </row>
    <row r="395" spans="1:22" x14ac:dyDescent="0.35">
      <c r="A395" s="52">
        <v>49587</v>
      </c>
      <c r="B395" s="31">
        <v>46120</v>
      </c>
      <c r="C395" s="7" t="s">
        <v>337</v>
      </c>
      <c r="D395" s="7">
        <v>353</v>
      </c>
      <c r="E395" s="10">
        <f>IFERROR(SUMIFS('Base bordo CD'!M$2:M$875,'Base bordo CD'!D$2:D$875,A395,'Base bordo CD'!A$2:A$875,B395,'Base bordo CD'!L$2:L$875,"CORTE DE CANA MECANIZADO"),0)</f>
        <v>0.28416666666666668</v>
      </c>
      <c r="F395" s="10">
        <f>IFERROR(SUMIFS('Base bordo CD'!M$2:M$875,'Base bordo CD'!D$2:D$875,A395,'Base bordo CD'!A$2:A$875,B395,'Base bordo CD'!L$2:L$875,"MANOBRA"),0)</f>
        <v>2.3333333333333331E-2</v>
      </c>
      <c r="G395" s="10">
        <f>IFERROR(SUMIFS('Base bordo CD'!M$2:M$875,'Base bordo CD'!D$2:D$875,A395,'Base bordo CD'!A$2:A$875,B395,'Base bordo CD'!L$2:L$875,"DESLOCAMENTO"),0)</f>
        <v>0.54138888888888892</v>
      </c>
      <c r="H395" s="10">
        <f>IFERROR(SUMIFS('Base bordo CD'!M$2:M$875,'Base bordo CD'!D$2:D$875,A395,'Base bordo CD'!A$2:A$875,B395,'Base bordo CD'!L$2:L$875,"AGUARDANDO MANOBRA DE TRANSBORDO"),0)+IFERROR(SUMIFS('Base bordo CD'!M$2:M$875,'Base bordo CD'!D$2:D$875,A395,'Base bordo CD'!A$2:A$875,B395,'Base bordo CD'!L$2:L$875,"FALTA DE TRANSBORDO"),0)</f>
        <v>1.3055555555555556E-2</v>
      </c>
      <c r="I395" s="10">
        <f>IFERROR(SUMIFS('Base bordo CD'!M$2:M$875,'Base bordo CD'!D$2:D$875,A395,'Base bordo CD'!A$2:A$875,B395,'Base bordo CD'!L$2:L$875,"PARADA POR CONDICOES CLIMATICAS"),0)+IFERROR(SUMIFS('Base bordo CD'!M$2:M$875,'Base bordo CD'!D$2:D$875,A395,'Base bordo CD'!A$2:A$875,B395,'Base bordo CD'!L$2:L$875,"TEMPO INDETERMINADO"),0)</f>
        <v>22.167222222222222</v>
      </c>
      <c r="J395" s="10">
        <f>IFERROR(SUMIFS('Base bordo CD'!M$2:M$875,'Base bordo CD'!D$2:D$875,A395,'Base bordo CD'!A$2:A$875,B395,'Base bordo CD'!L$2:L$875,"LIMITAÇÃO INDÚSTRIA"),0)</f>
        <v>0</v>
      </c>
      <c r="K395" s="10">
        <f>IFERROR(SUMIFS('Base bordo CD'!M$2:M$875,'Base bordo CD'!D$2:D$875,A395,'Base bordo CD'!A$2:A$875,B395,'Base bordo CD'!L$2:L$875,"MAN CORRETIVA*"),0)+IFERROR(SUMIFS('Base bordo CD'!M$2:M$875,'Base bordo CD'!D$2:D$875,A395,'Base bordo CD'!A$2:A$875,B395,'Base bordo CD'!L$2:L$875,"AGUARDANDO MANUTENCAO*"),0)+IFERROR(SUMIFS('Base bordo CD'!M$2:M$875,'Base bordo CD'!D$2:D$875,A395,'Base bordo CD'!A$2:A$875,B395,'Base bordo CD'!L$2:L$875,"TROCA DE FAQUINHA"),0)+IFERROR(SUMIFS('Base bordo CD'!M$2:M$875,'Base bordo CD'!D$2:D$875,A395,'Base bordo CD'!A$2:A$875,B395,'Base bordo CD'!L$2:L$875,"LIMPEZA*"),0)</f>
        <v>0.93722222222222218</v>
      </c>
      <c r="L395" s="10">
        <f>IFERROR(SUMIFS('Base bordo CD'!M$2:M$875,'Base bordo CD'!D$2:D$875,A395,'Base bordo CD'!A$2:A$875,B395,'Base bordo CD'!L$2:L$875,"PATIO - RESERVA"),0)</f>
        <v>0</v>
      </c>
      <c r="M395" s="10">
        <f>IFERROR(SUMIFS('Base bordo CD'!M$2:M$875,'Base bordo CD'!D$2:D$875,A395,'Base bordo CD'!A$2:A$875,B395,'Base bordo CD'!L$2:L$875,"SEM APONTAMENTO"),0)</f>
        <v>3.3611111111111112E-2</v>
      </c>
      <c r="N395" s="10">
        <f>IFERROR(SUMIFS('Base bordo CD'!M$2:M$875,'Base bordo CD'!D$2:D$875,A395,'Base bordo CD'!A$2:A$875,B395,'Base bordo CD'!L$2:L$875,"FALTA DE CAMINHÃO"),0)+IFERROR(SUMIFS('Base bordo CD'!M$2:M$875,'Base bordo CD'!D$2:D$875,A395,'Base bordo CD'!A$2:A$875,B395,'Base bordo CD'!L$2:L$875,"FALTA DE COMBUSTIVEL"),0)+IFERROR(SUMIFS('Base bordo CD'!M$2:M$875,'Base bordo CD'!D$2:D$875,A395,'Base bordo CD'!A$2:A$875,B395,'Base bordo CD'!L$2:L$875,"FALTA DE MOTORIST*"),0)</f>
        <v>0</v>
      </c>
      <c r="O395" s="10">
        <f t="shared" si="35"/>
        <v>0</v>
      </c>
      <c r="P395" s="10">
        <f>IFERROR(SUMIFS('Base bordo CD'!M$2:M$875,'Base bordo CD'!D$2:D$875,A395,'Base bordo CD'!A$2:A$875,B395),0)</f>
        <v>23.999999999999996</v>
      </c>
      <c r="Q395" s="10">
        <f>IFERROR(SUMIFS('Base bordo CD'!O$2:O$875,'Base bordo CD'!D$2:D$875,A395,'Base bordo CD'!A$2:A$875,B395,'Base bordo CD'!L$2:L$875,"CORTE DE CANA MECANIZADO"),0)</f>
        <v>5032.5399999999991</v>
      </c>
      <c r="R395" s="10">
        <f>IFERROR(SUMIFS('Base bordo CD'!Q$2:Q$875,'Base bordo CD'!D$2:D$875,A395,'Base bordo CD'!A$2:A$875,B395,'Base bordo CD'!L$2:L$875,"CORTE DE CANA MECANIZADO"),0)</f>
        <v>1023</v>
      </c>
      <c r="S395" s="30">
        <f t="shared" si="36"/>
        <v>4.9193939393939381</v>
      </c>
      <c r="T395" s="9">
        <f t="shared" si="37"/>
        <v>1.1840277777777779E-2</v>
      </c>
      <c r="U395" s="9">
        <f t="shared" si="38"/>
        <v>9.722222222222223E-4</v>
      </c>
      <c r="V395" s="9">
        <f t="shared" si="39"/>
        <v>0.96560185185185188</v>
      </c>
    </row>
    <row r="396" spans="1:22" x14ac:dyDescent="0.35">
      <c r="A396" s="52">
        <v>49587</v>
      </c>
      <c r="B396" s="31">
        <v>46120</v>
      </c>
      <c r="C396" s="7" t="s">
        <v>337</v>
      </c>
      <c r="D396" s="7">
        <v>353</v>
      </c>
      <c r="E396" s="10">
        <f>IFERROR(SUMIFS('Base bordo CD'!M$2:M$875,'Base bordo CD'!D$2:D$875,A396,'Base bordo CD'!A$2:A$875,B396,'Base bordo CD'!L$2:L$875,"CORTE DE CANA MECANIZADO"),0)</f>
        <v>0.28416666666666668</v>
      </c>
      <c r="F396" s="10">
        <f>IFERROR(SUMIFS('Base bordo CD'!M$2:M$875,'Base bordo CD'!D$2:D$875,A396,'Base bordo CD'!A$2:A$875,B396,'Base bordo CD'!L$2:L$875,"MANOBRA"),0)</f>
        <v>2.3333333333333331E-2</v>
      </c>
      <c r="G396" s="10">
        <f>IFERROR(SUMIFS('Base bordo CD'!M$2:M$875,'Base bordo CD'!D$2:D$875,A396,'Base bordo CD'!A$2:A$875,B396,'Base bordo CD'!L$2:L$875,"DESLOCAMENTO"),0)</f>
        <v>0.54138888888888892</v>
      </c>
      <c r="H396" s="10">
        <f>IFERROR(SUMIFS('Base bordo CD'!M$2:M$875,'Base bordo CD'!D$2:D$875,A396,'Base bordo CD'!A$2:A$875,B396,'Base bordo CD'!L$2:L$875,"AGUARDANDO MANOBRA DE TRANSBORDO"),0)+IFERROR(SUMIFS('Base bordo CD'!M$2:M$875,'Base bordo CD'!D$2:D$875,A396,'Base bordo CD'!A$2:A$875,B396,'Base bordo CD'!L$2:L$875,"FALTA DE TRANSBORDO"),0)</f>
        <v>1.3055555555555556E-2</v>
      </c>
      <c r="I396" s="10">
        <f>IFERROR(SUMIFS('Base bordo CD'!M$2:M$875,'Base bordo CD'!D$2:D$875,A396,'Base bordo CD'!A$2:A$875,B396,'Base bordo CD'!L$2:L$875,"PARADA POR CONDICOES CLIMATICAS"),0)+IFERROR(SUMIFS('Base bordo CD'!M$2:M$875,'Base bordo CD'!D$2:D$875,A396,'Base bordo CD'!A$2:A$875,B396,'Base bordo CD'!L$2:L$875,"TEMPO INDETERMINADO"),0)</f>
        <v>22.167222222222222</v>
      </c>
      <c r="J396" s="10">
        <f>IFERROR(SUMIFS('Base bordo CD'!M$2:M$875,'Base bordo CD'!D$2:D$875,A396,'Base bordo CD'!A$2:A$875,B396,'Base bordo CD'!L$2:L$875,"LIMITAÇÃO INDÚSTRIA"),0)</f>
        <v>0</v>
      </c>
      <c r="K396" s="10">
        <f>IFERROR(SUMIFS('Base bordo CD'!M$2:M$875,'Base bordo CD'!D$2:D$875,A396,'Base bordo CD'!A$2:A$875,B396,'Base bordo CD'!L$2:L$875,"MAN CORRETIVA*"),0)+IFERROR(SUMIFS('Base bordo CD'!M$2:M$875,'Base bordo CD'!D$2:D$875,A396,'Base bordo CD'!A$2:A$875,B396,'Base bordo CD'!L$2:L$875,"AGUARDANDO MANUTENCAO*"),0)+IFERROR(SUMIFS('Base bordo CD'!M$2:M$875,'Base bordo CD'!D$2:D$875,A396,'Base bordo CD'!A$2:A$875,B396,'Base bordo CD'!L$2:L$875,"TROCA DE FAQUINHA"),0)+IFERROR(SUMIFS('Base bordo CD'!M$2:M$875,'Base bordo CD'!D$2:D$875,A396,'Base bordo CD'!A$2:A$875,B396,'Base bordo CD'!L$2:L$875,"LIMPEZA*"),0)</f>
        <v>0.93722222222222218</v>
      </c>
      <c r="L396" s="10">
        <f>IFERROR(SUMIFS('Base bordo CD'!M$2:M$875,'Base bordo CD'!D$2:D$875,A396,'Base bordo CD'!A$2:A$875,B396,'Base bordo CD'!L$2:L$875,"PATIO - RESERVA"),0)</f>
        <v>0</v>
      </c>
      <c r="M396" s="10">
        <f>IFERROR(SUMIFS('Base bordo CD'!M$2:M$875,'Base bordo CD'!D$2:D$875,A396,'Base bordo CD'!A$2:A$875,B396,'Base bordo CD'!L$2:L$875,"SEM APONTAMENTO"),0)</f>
        <v>3.3611111111111112E-2</v>
      </c>
      <c r="N396" s="10">
        <f>IFERROR(SUMIFS('Base bordo CD'!M$2:M$875,'Base bordo CD'!D$2:D$875,A396,'Base bordo CD'!A$2:A$875,B396,'Base bordo CD'!L$2:L$875,"FALTA DE CAMINHÃO"),0)+IFERROR(SUMIFS('Base bordo CD'!M$2:M$875,'Base bordo CD'!D$2:D$875,A396,'Base bordo CD'!A$2:A$875,B396,'Base bordo CD'!L$2:L$875,"FALTA DE COMBUSTIVEL"),0)+IFERROR(SUMIFS('Base bordo CD'!M$2:M$875,'Base bordo CD'!D$2:D$875,A396,'Base bordo CD'!A$2:A$875,B396,'Base bordo CD'!L$2:L$875,"FALTA DE MOTORIST*"),0)</f>
        <v>0</v>
      </c>
      <c r="O396" s="10">
        <f t="shared" si="35"/>
        <v>0</v>
      </c>
      <c r="P396" s="10">
        <f>IFERROR(SUMIFS('Base bordo CD'!M$2:M$875,'Base bordo CD'!D$2:D$875,A396,'Base bordo CD'!A$2:A$875,B396),0)</f>
        <v>23.999999999999996</v>
      </c>
      <c r="Q396" s="10">
        <f>IFERROR(SUMIFS('Base bordo CD'!O$2:O$875,'Base bordo CD'!D$2:D$875,A396,'Base bordo CD'!A$2:A$875,B396,'Base bordo CD'!L$2:L$875,"CORTE DE CANA MECANIZADO"),0)</f>
        <v>5032.5399999999991</v>
      </c>
      <c r="R396" s="10">
        <f>IFERROR(SUMIFS('Base bordo CD'!Q$2:Q$875,'Base bordo CD'!D$2:D$875,A396,'Base bordo CD'!A$2:A$875,B396,'Base bordo CD'!L$2:L$875,"CORTE DE CANA MECANIZADO"),0)</f>
        <v>1023</v>
      </c>
      <c r="S396" s="30">
        <f t="shared" si="36"/>
        <v>4.9193939393939381</v>
      </c>
      <c r="T396" s="9">
        <f t="shared" si="37"/>
        <v>1.1840277777777779E-2</v>
      </c>
      <c r="U396" s="9">
        <f t="shared" si="38"/>
        <v>9.722222222222223E-4</v>
      </c>
      <c r="V396" s="9">
        <f t="shared" si="39"/>
        <v>0.96560185185185188</v>
      </c>
    </row>
    <row r="397" spans="1:22" x14ac:dyDescent="0.35">
      <c r="A397" s="52">
        <v>49587</v>
      </c>
      <c r="B397" s="31">
        <v>46120</v>
      </c>
      <c r="C397" s="7" t="s">
        <v>337</v>
      </c>
      <c r="D397" s="7">
        <v>353</v>
      </c>
      <c r="E397" s="10">
        <f>IFERROR(SUMIFS('Base bordo CD'!M$2:M$875,'Base bordo CD'!D$2:D$875,A397,'Base bordo CD'!A$2:A$875,B397,'Base bordo CD'!L$2:L$875,"CORTE DE CANA MECANIZADO"),0)</f>
        <v>0.28416666666666668</v>
      </c>
      <c r="F397" s="10">
        <f>IFERROR(SUMIFS('Base bordo CD'!M$2:M$875,'Base bordo CD'!D$2:D$875,A397,'Base bordo CD'!A$2:A$875,B397,'Base bordo CD'!L$2:L$875,"MANOBRA"),0)</f>
        <v>2.3333333333333331E-2</v>
      </c>
      <c r="G397" s="10">
        <f>IFERROR(SUMIFS('Base bordo CD'!M$2:M$875,'Base bordo CD'!D$2:D$875,A397,'Base bordo CD'!A$2:A$875,B397,'Base bordo CD'!L$2:L$875,"DESLOCAMENTO"),0)</f>
        <v>0.54138888888888892</v>
      </c>
      <c r="H397" s="10">
        <f>IFERROR(SUMIFS('Base bordo CD'!M$2:M$875,'Base bordo CD'!D$2:D$875,A397,'Base bordo CD'!A$2:A$875,B397,'Base bordo CD'!L$2:L$875,"AGUARDANDO MANOBRA DE TRANSBORDO"),0)+IFERROR(SUMIFS('Base bordo CD'!M$2:M$875,'Base bordo CD'!D$2:D$875,A397,'Base bordo CD'!A$2:A$875,B397,'Base bordo CD'!L$2:L$875,"FALTA DE TRANSBORDO"),0)</f>
        <v>1.3055555555555556E-2</v>
      </c>
      <c r="I397" s="10">
        <f>IFERROR(SUMIFS('Base bordo CD'!M$2:M$875,'Base bordo CD'!D$2:D$875,A397,'Base bordo CD'!A$2:A$875,B397,'Base bordo CD'!L$2:L$875,"PARADA POR CONDICOES CLIMATICAS"),0)+IFERROR(SUMIFS('Base bordo CD'!M$2:M$875,'Base bordo CD'!D$2:D$875,A397,'Base bordo CD'!A$2:A$875,B397,'Base bordo CD'!L$2:L$875,"TEMPO INDETERMINADO"),0)</f>
        <v>22.167222222222222</v>
      </c>
      <c r="J397" s="10">
        <f>IFERROR(SUMIFS('Base bordo CD'!M$2:M$875,'Base bordo CD'!D$2:D$875,A397,'Base bordo CD'!A$2:A$875,B397,'Base bordo CD'!L$2:L$875,"LIMITAÇÃO INDÚSTRIA"),0)</f>
        <v>0</v>
      </c>
      <c r="K397" s="10">
        <f>IFERROR(SUMIFS('Base bordo CD'!M$2:M$875,'Base bordo CD'!D$2:D$875,A397,'Base bordo CD'!A$2:A$875,B397,'Base bordo CD'!L$2:L$875,"MAN CORRETIVA*"),0)+IFERROR(SUMIFS('Base bordo CD'!M$2:M$875,'Base bordo CD'!D$2:D$875,A397,'Base bordo CD'!A$2:A$875,B397,'Base bordo CD'!L$2:L$875,"AGUARDANDO MANUTENCAO*"),0)+IFERROR(SUMIFS('Base bordo CD'!M$2:M$875,'Base bordo CD'!D$2:D$875,A397,'Base bordo CD'!A$2:A$875,B397,'Base bordo CD'!L$2:L$875,"TROCA DE FAQUINHA"),0)+IFERROR(SUMIFS('Base bordo CD'!M$2:M$875,'Base bordo CD'!D$2:D$875,A397,'Base bordo CD'!A$2:A$875,B397,'Base bordo CD'!L$2:L$875,"LIMPEZA*"),0)</f>
        <v>0.93722222222222218</v>
      </c>
      <c r="L397" s="10">
        <f>IFERROR(SUMIFS('Base bordo CD'!M$2:M$875,'Base bordo CD'!D$2:D$875,A397,'Base bordo CD'!A$2:A$875,B397,'Base bordo CD'!L$2:L$875,"PATIO - RESERVA"),0)</f>
        <v>0</v>
      </c>
      <c r="M397" s="10">
        <f>IFERROR(SUMIFS('Base bordo CD'!M$2:M$875,'Base bordo CD'!D$2:D$875,A397,'Base bordo CD'!A$2:A$875,B397,'Base bordo CD'!L$2:L$875,"SEM APONTAMENTO"),0)</f>
        <v>3.3611111111111112E-2</v>
      </c>
      <c r="N397" s="10">
        <f>IFERROR(SUMIFS('Base bordo CD'!M$2:M$875,'Base bordo CD'!D$2:D$875,A397,'Base bordo CD'!A$2:A$875,B397,'Base bordo CD'!L$2:L$875,"FALTA DE CAMINHÃO"),0)+IFERROR(SUMIFS('Base bordo CD'!M$2:M$875,'Base bordo CD'!D$2:D$875,A397,'Base bordo CD'!A$2:A$875,B397,'Base bordo CD'!L$2:L$875,"FALTA DE COMBUSTIVEL"),0)+IFERROR(SUMIFS('Base bordo CD'!M$2:M$875,'Base bordo CD'!D$2:D$875,A397,'Base bordo CD'!A$2:A$875,B397,'Base bordo CD'!L$2:L$875,"FALTA DE MOTORIST*"),0)</f>
        <v>0</v>
      </c>
      <c r="O397" s="10">
        <f t="shared" si="35"/>
        <v>0</v>
      </c>
      <c r="P397" s="10">
        <f>IFERROR(SUMIFS('Base bordo CD'!M$2:M$875,'Base bordo CD'!D$2:D$875,A397,'Base bordo CD'!A$2:A$875,B397),0)</f>
        <v>23.999999999999996</v>
      </c>
      <c r="Q397" s="10">
        <f>IFERROR(SUMIFS('Base bordo CD'!O$2:O$875,'Base bordo CD'!D$2:D$875,A397,'Base bordo CD'!A$2:A$875,B397,'Base bordo CD'!L$2:L$875,"CORTE DE CANA MECANIZADO"),0)</f>
        <v>5032.5399999999991</v>
      </c>
      <c r="R397" s="10">
        <f>IFERROR(SUMIFS('Base bordo CD'!Q$2:Q$875,'Base bordo CD'!D$2:D$875,A397,'Base bordo CD'!A$2:A$875,B397,'Base bordo CD'!L$2:L$875,"CORTE DE CANA MECANIZADO"),0)</f>
        <v>1023</v>
      </c>
      <c r="S397" s="30">
        <f t="shared" si="36"/>
        <v>4.9193939393939381</v>
      </c>
      <c r="T397" s="9">
        <f t="shared" si="37"/>
        <v>1.1840277777777779E-2</v>
      </c>
      <c r="U397" s="9">
        <f t="shared" si="38"/>
        <v>9.722222222222223E-4</v>
      </c>
      <c r="V397" s="9">
        <f t="shared" si="39"/>
        <v>0.96560185185185188</v>
      </c>
    </row>
    <row r="398" spans="1:22" x14ac:dyDescent="0.35">
      <c r="A398" s="52">
        <v>49587</v>
      </c>
      <c r="B398" s="31">
        <v>46120</v>
      </c>
      <c r="C398" s="7" t="s">
        <v>337</v>
      </c>
      <c r="D398" s="7">
        <v>353</v>
      </c>
      <c r="E398" s="10">
        <f>IFERROR(SUMIFS('Base bordo CD'!M$2:M$875,'Base bordo CD'!D$2:D$875,A398,'Base bordo CD'!A$2:A$875,B398,'Base bordo CD'!L$2:L$875,"CORTE DE CANA MECANIZADO"),0)</f>
        <v>0.28416666666666668</v>
      </c>
      <c r="F398" s="10">
        <f>IFERROR(SUMIFS('Base bordo CD'!M$2:M$875,'Base bordo CD'!D$2:D$875,A398,'Base bordo CD'!A$2:A$875,B398,'Base bordo CD'!L$2:L$875,"MANOBRA"),0)</f>
        <v>2.3333333333333331E-2</v>
      </c>
      <c r="G398" s="10">
        <f>IFERROR(SUMIFS('Base bordo CD'!M$2:M$875,'Base bordo CD'!D$2:D$875,A398,'Base bordo CD'!A$2:A$875,B398,'Base bordo CD'!L$2:L$875,"DESLOCAMENTO"),0)</f>
        <v>0.54138888888888892</v>
      </c>
      <c r="H398" s="10">
        <f>IFERROR(SUMIFS('Base bordo CD'!M$2:M$875,'Base bordo CD'!D$2:D$875,A398,'Base bordo CD'!A$2:A$875,B398,'Base bordo CD'!L$2:L$875,"AGUARDANDO MANOBRA DE TRANSBORDO"),0)+IFERROR(SUMIFS('Base bordo CD'!M$2:M$875,'Base bordo CD'!D$2:D$875,A398,'Base bordo CD'!A$2:A$875,B398,'Base bordo CD'!L$2:L$875,"FALTA DE TRANSBORDO"),0)</f>
        <v>1.3055555555555556E-2</v>
      </c>
      <c r="I398" s="10">
        <f>IFERROR(SUMIFS('Base bordo CD'!M$2:M$875,'Base bordo CD'!D$2:D$875,A398,'Base bordo CD'!A$2:A$875,B398,'Base bordo CD'!L$2:L$875,"PARADA POR CONDICOES CLIMATICAS"),0)+IFERROR(SUMIFS('Base bordo CD'!M$2:M$875,'Base bordo CD'!D$2:D$875,A398,'Base bordo CD'!A$2:A$875,B398,'Base bordo CD'!L$2:L$875,"TEMPO INDETERMINADO"),0)</f>
        <v>22.167222222222222</v>
      </c>
      <c r="J398" s="10">
        <f>IFERROR(SUMIFS('Base bordo CD'!M$2:M$875,'Base bordo CD'!D$2:D$875,A398,'Base bordo CD'!A$2:A$875,B398,'Base bordo CD'!L$2:L$875,"LIMITAÇÃO INDÚSTRIA"),0)</f>
        <v>0</v>
      </c>
      <c r="K398" s="10">
        <f>IFERROR(SUMIFS('Base bordo CD'!M$2:M$875,'Base bordo CD'!D$2:D$875,A398,'Base bordo CD'!A$2:A$875,B398,'Base bordo CD'!L$2:L$875,"MAN CORRETIVA*"),0)+IFERROR(SUMIFS('Base bordo CD'!M$2:M$875,'Base bordo CD'!D$2:D$875,A398,'Base bordo CD'!A$2:A$875,B398,'Base bordo CD'!L$2:L$875,"AGUARDANDO MANUTENCAO*"),0)+IFERROR(SUMIFS('Base bordo CD'!M$2:M$875,'Base bordo CD'!D$2:D$875,A398,'Base bordo CD'!A$2:A$875,B398,'Base bordo CD'!L$2:L$875,"TROCA DE FAQUINHA"),0)+IFERROR(SUMIFS('Base bordo CD'!M$2:M$875,'Base bordo CD'!D$2:D$875,A398,'Base bordo CD'!A$2:A$875,B398,'Base bordo CD'!L$2:L$875,"LIMPEZA*"),0)</f>
        <v>0.93722222222222218</v>
      </c>
      <c r="L398" s="10">
        <f>IFERROR(SUMIFS('Base bordo CD'!M$2:M$875,'Base bordo CD'!D$2:D$875,A398,'Base bordo CD'!A$2:A$875,B398,'Base bordo CD'!L$2:L$875,"PATIO - RESERVA"),0)</f>
        <v>0</v>
      </c>
      <c r="M398" s="10">
        <f>IFERROR(SUMIFS('Base bordo CD'!M$2:M$875,'Base bordo CD'!D$2:D$875,A398,'Base bordo CD'!A$2:A$875,B398,'Base bordo CD'!L$2:L$875,"SEM APONTAMENTO"),0)</f>
        <v>3.3611111111111112E-2</v>
      </c>
      <c r="N398" s="10">
        <f>IFERROR(SUMIFS('Base bordo CD'!M$2:M$875,'Base bordo CD'!D$2:D$875,A398,'Base bordo CD'!A$2:A$875,B398,'Base bordo CD'!L$2:L$875,"FALTA DE CAMINHÃO"),0)+IFERROR(SUMIFS('Base bordo CD'!M$2:M$875,'Base bordo CD'!D$2:D$875,A398,'Base bordo CD'!A$2:A$875,B398,'Base bordo CD'!L$2:L$875,"FALTA DE COMBUSTIVEL"),0)+IFERROR(SUMIFS('Base bordo CD'!M$2:M$875,'Base bordo CD'!D$2:D$875,A398,'Base bordo CD'!A$2:A$875,B398,'Base bordo CD'!L$2:L$875,"FALTA DE MOTORIST*"),0)</f>
        <v>0</v>
      </c>
      <c r="O398" s="10">
        <f t="shared" si="35"/>
        <v>0</v>
      </c>
      <c r="P398" s="10">
        <f>IFERROR(SUMIFS('Base bordo CD'!M$2:M$875,'Base bordo CD'!D$2:D$875,A398,'Base bordo CD'!A$2:A$875,B398),0)</f>
        <v>23.999999999999996</v>
      </c>
      <c r="Q398" s="10">
        <f>IFERROR(SUMIFS('Base bordo CD'!O$2:O$875,'Base bordo CD'!D$2:D$875,A398,'Base bordo CD'!A$2:A$875,B398,'Base bordo CD'!L$2:L$875,"CORTE DE CANA MECANIZADO"),0)</f>
        <v>5032.5399999999991</v>
      </c>
      <c r="R398" s="10">
        <f>IFERROR(SUMIFS('Base bordo CD'!Q$2:Q$875,'Base bordo CD'!D$2:D$875,A398,'Base bordo CD'!A$2:A$875,B398,'Base bordo CD'!L$2:L$875,"CORTE DE CANA MECANIZADO"),0)</f>
        <v>1023</v>
      </c>
      <c r="S398" s="30">
        <f t="shared" si="36"/>
        <v>4.9193939393939381</v>
      </c>
      <c r="T398" s="9">
        <f t="shared" si="37"/>
        <v>1.1840277777777779E-2</v>
      </c>
      <c r="U398" s="9">
        <f t="shared" si="38"/>
        <v>9.722222222222223E-4</v>
      </c>
      <c r="V398" s="9">
        <f t="shared" si="39"/>
        <v>0.96560185185185188</v>
      </c>
    </row>
    <row r="399" spans="1:22" x14ac:dyDescent="0.35">
      <c r="A399" s="52">
        <v>49587</v>
      </c>
      <c r="B399" s="31">
        <v>46120</v>
      </c>
      <c r="C399" s="7" t="s">
        <v>337</v>
      </c>
      <c r="D399" s="7">
        <v>353</v>
      </c>
      <c r="E399" s="10">
        <f>IFERROR(SUMIFS('Base bordo CD'!M$2:M$875,'Base bordo CD'!D$2:D$875,A399,'Base bordo CD'!A$2:A$875,B399,'Base bordo CD'!L$2:L$875,"CORTE DE CANA MECANIZADO"),0)</f>
        <v>0.28416666666666668</v>
      </c>
      <c r="F399" s="10">
        <f>IFERROR(SUMIFS('Base bordo CD'!M$2:M$875,'Base bordo CD'!D$2:D$875,A399,'Base bordo CD'!A$2:A$875,B399,'Base bordo CD'!L$2:L$875,"MANOBRA"),0)</f>
        <v>2.3333333333333331E-2</v>
      </c>
      <c r="G399" s="10">
        <f>IFERROR(SUMIFS('Base bordo CD'!M$2:M$875,'Base bordo CD'!D$2:D$875,A399,'Base bordo CD'!A$2:A$875,B399,'Base bordo CD'!L$2:L$875,"DESLOCAMENTO"),0)</f>
        <v>0.54138888888888892</v>
      </c>
      <c r="H399" s="10">
        <f>IFERROR(SUMIFS('Base bordo CD'!M$2:M$875,'Base bordo CD'!D$2:D$875,A399,'Base bordo CD'!A$2:A$875,B399,'Base bordo CD'!L$2:L$875,"AGUARDANDO MANOBRA DE TRANSBORDO"),0)+IFERROR(SUMIFS('Base bordo CD'!M$2:M$875,'Base bordo CD'!D$2:D$875,A399,'Base bordo CD'!A$2:A$875,B399,'Base bordo CD'!L$2:L$875,"FALTA DE TRANSBORDO"),0)</f>
        <v>1.3055555555555556E-2</v>
      </c>
      <c r="I399" s="10">
        <f>IFERROR(SUMIFS('Base bordo CD'!M$2:M$875,'Base bordo CD'!D$2:D$875,A399,'Base bordo CD'!A$2:A$875,B399,'Base bordo CD'!L$2:L$875,"PARADA POR CONDICOES CLIMATICAS"),0)+IFERROR(SUMIFS('Base bordo CD'!M$2:M$875,'Base bordo CD'!D$2:D$875,A399,'Base bordo CD'!A$2:A$875,B399,'Base bordo CD'!L$2:L$875,"TEMPO INDETERMINADO"),0)</f>
        <v>22.167222222222222</v>
      </c>
      <c r="J399" s="10">
        <f>IFERROR(SUMIFS('Base bordo CD'!M$2:M$875,'Base bordo CD'!D$2:D$875,A399,'Base bordo CD'!A$2:A$875,B399,'Base bordo CD'!L$2:L$875,"LIMITAÇÃO INDÚSTRIA"),0)</f>
        <v>0</v>
      </c>
      <c r="K399" s="10">
        <f>IFERROR(SUMIFS('Base bordo CD'!M$2:M$875,'Base bordo CD'!D$2:D$875,A399,'Base bordo CD'!A$2:A$875,B399,'Base bordo CD'!L$2:L$875,"MAN CORRETIVA*"),0)+IFERROR(SUMIFS('Base bordo CD'!M$2:M$875,'Base bordo CD'!D$2:D$875,A399,'Base bordo CD'!A$2:A$875,B399,'Base bordo CD'!L$2:L$875,"AGUARDANDO MANUTENCAO*"),0)+IFERROR(SUMIFS('Base bordo CD'!M$2:M$875,'Base bordo CD'!D$2:D$875,A399,'Base bordo CD'!A$2:A$875,B399,'Base bordo CD'!L$2:L$875,"TROCA DE FAQUINHA"),0)+IFERROR(SUMIFS('Base bordo CD'!M$2:M$875,'Base bordo CD'!D$2:D$875,A399,'Base bordo CD'!A$2:A$875,B399,'Base bordo CD'!L$2:L$875,"LIMPEZA*"),0)</f>
        <v>0.93722222222222218</v>
      </c>
      <c r="L399" s="10">
        <f>IFERROR(SUMIFS('Base bordo CD'!M$2:M$875,'Base bordo CD'!D$2:D$875,A399,'Base bordo CD'!A$2:A$875,B399,'Base bordo CD'!L$2:L$875,"PATIO - RESERVA"),0)</f>
        <v>0</v>
      </c>
      <c r="M399" s="10">
        <f>IFERROR(SUMIFS('Base bordo CD'!M$2:M$875,'Base bordo CD'!D$2:D$875,A399,'Base bordo CD'!A$2:A$875,B399,'Base bordo CD'!L$2:L$875,"SEM APONTAMENTO"),0)</f>
        <v>3.3611111111111112E-2</v>
      </c>
      <c r="N399" s="10">
        <f>IFERROR(SUMIFS('Base bordo CD'!M$2:M$875,'Base bordo CD'!D$2:D$875,A399,'Base bordo CD'!A$2:A$875,B399,'Base bordo CD'!L$2:L$875,"FALTA DE CAMINHÃO"),0)+IFERROR(SUMIFS('Base bordo CD'!M$2:M$875,'Base bordo CD'!D$2:D$875,A399,'Base bordo CD'!A$2:A$875,B399,'Base bordo CD'!L$2:L$875,"FALTA DE COMBUSTIVEL"),0)+IFERROR(SUMIFS('Base bordo CD'!M$2:M$875,'Base bordo CD'!D$2:D$875,A399,'Base bordo CD'!A$2:A$875,B399,'Base bordo CD'!L$2:L$875,"FALTA DE MOTORIST*"),0)</f>
        <v>0</v>
      </c>
      <c r="O399" s="10">
        <f t="shared" si="35"/>
        <v>0</v>
      </c>
      <c r="P399" s="10">
        <f>IFERROR(SUMIFS('Base bordo CD'!M$2:M$875,'Base bordo CD'!D$2:D$875,A399,'Base bordo CD'!A$2:A$875,B399),0)</f>
        <v>23.999999999999996</v>
      </c>
      <c r="Q399" s="10">
        <f>IFERROR(SUMIFS('Base bordo CD'!O$2:O$875,'Base bordo CD'!D$2:D$875,A399,'Base bordo CD'!A$2:A$875,B399,'Base bordo CD'!L$2:L$875,"CORTE DE CANA MECANIZADO"),0)</f>
        <v>5032.5399999999991</v>
      </c>
      <c r="R399" s="10">
        <f>IFERROR(SUMIFS('Base bordo CD'!Q$2:Q$875,'Base bordo CD'!D$2:D$875,A399,'Base bordo CD'!A$2:A$875,B399,'Base bordo CD'!L$2:L$875,"CORTE DE CANA MECANIZADO"),0)</f>
        <v>1023</v>
      </c>
      <c r="S399" s="30">
        <f t="shared" si="36"/>
        <v>4.9193939393939381</v>
      </c>
      <c r="T399" s="9">
        <f t="shared" si="37"/>
        <v>1.1840277777777779E-2</v>
      </c>
      <c r="U399" s="9">
        <f t="shared" si="38"/>
        <v>9.722222222222223E-4</v>
      </c>
      <c r="V399" s="9">
        <f t="shared" si="39"/>
        <v>0.96560185185185188</v>
      </c>
    </row>
    <row r="400" spans="1:22" x14ac:dyDescent="0.35">
      <c r="A400" s="52">
        <v>49587</v>
      </c>
      <c r="B400" s="31">
        <v>46120</v>
      </c>
      <c r="C400" s="7" t="s">
        <v>337</v>
      </c>
      <c r="D400" s="7">
        <v>353</v>
      </c>
      <c r="E400" s="10">
        <f>IFERROR(SUMIFS('Base bordo CD'!M$2:M$875,'Base bordo CD'!D$2:D$875,A400,'Base bordo CD'!A$2:A$875,B400,'Base bordo CD'!L$2:L$875,"CORTE DE CANA MECANIZADO"),0)</f>
        <v>0.28416666666666668</v>
      </c>
      <c r="F400" s="10">
        <f>IFERROR(SUMIFS('Base bordo CD'!M$2:M$875,'Base bordo CD'!D$2:D$875,A400,'Base bordo CD'!A$2:A$875,B400,'Base bordo CD'!L$2:L$875,"MANOBRA"),0)</f>
        <v>2.3333333333333331E-2</v>
      </c>
      <c r="G400" s="10">
        <f>IFERROR(SUMIFS('Base bordo CD'!M$2:M$875,'Base bordo CD'!D$2:D$875,A400,'Base bordo CD'!A$2:A$875,B400,'Base bordo CD'!L$2:L$875,"DESLOCAMENTO"),0)</f>
        <v>0.54138888888888892</v>
      </c>
      <c r="H400" s="10">
        <f>IFERROR(SUMIFS('Base bordo CD'!M$2:M$875,'Base bordo CD'!D$2:D$875,A400,'Base bordo CD'!A$2:A$875,B400,'Base bordo CD'!L$2:L$875,"AGUARDANDO MANOBRA DE TRANSBORDO"),0)+IFERROR(SUMIFS('Base bordo CD'!M$2:M$875,'Base bordo CD'!D$2:D$875,A400,'Base bordo CD'!A$2:A$875,B400,'Base bordo CD'!L$2:L$875,"FALTA DE TRANSBORDO"),0)</f>
        <v>1.3055555555555556E-2</v>
      </c>
      <c r="I400" s="10">
        <f>IFERROR(SUMIFS('Base bordo CD'!M$2:M$875,'Base bordo CD'!D$2:D$875,A400,'Base bordo CD'!A$2:A$875,B400,'Base bordo CD'!L$2:L$875,"PARADA POR CONDICOES CLIMATICAS"),0)+IFERROR(SUMIFS('Base bordo CD'!M$2:M$875,'Base bordo CD'!D$2:D$875,A400,'Base bordo CD'!A$2:A$875,B400,'Base bordo CD'!L$2:L$875,"TEMPO INDETERMINADO"),0)</f>
        <v>22.167222222222222</v>
      </c>
      <c r="J400" s="10">
        <f>IFERROR(SUMIFS('Base bordo CD'!M$2:M$875,'Base bordo CD'!D$2:D$875,A400,'Base bordo CD'!A$2:A$875,B400,'Base bordo CD'!L$2:L$875,"LIMITAÇÃO INDÚSTRIA"),0)</f>
        <v>0</v>
      </c>
      <c r="K400" s="10">
        <f>IFERROR(SUMIFS('Base bordo CD'!M$2:M$875,'Base bordo CD'!D$2:D$875,A400,'Base bordo CD'!A$2:A$875,B400,'Base bordo CD'!L$2:L$875,"MAN CORRETIVA*"),0)+IFERROR(SUMIFS('Base bordo CD'!M$2:M$875,'Base bordo CD'!D$2:D$875,A400,'Base bordo CD'!A$2:A$875,B400,'Base bordo CD'!L$2:L$875,"AGUARDANDO MANUTENCAO*"),0)+IFERROR(SUMIFS('Base bordo CD'!M$2:M$875,'Base bordo CD'!D$2:D$875,A400,'Base bordo CD'!A$2:A$875,B400,'Base bordo CD'!L$2:L$875,"TROCA DE FAQUINHA"),0)+IFERROR(SUMIFS('Base bordo CD'!M$2:M$875,'Base bordo CD'!D$2:D$875,A400,'Base bordo CD'!A$2:A$875,B400,'Base bordo CD'!L$2:L$875,"LIMPEZA*"),0)</f>
        <v>0.93722222222222218</v>
      </c>
      <c r="L400" s="10">
        <f>IFERROR(SUMIFS('Base bordo CD'!M$2:M$875,'Base bordo CD'!D$2:D$875,A400,'Base bordo CD'!A$2:A$875,B400,'Base bordo CD'!L$2:L$875,"PATIO - RESERVA"),0)</f>
        <v>0</v>
      </c>
      <c r="M400" s="10">
        <f>IFERROR(SUMIFS('Base bordo CD'!M$2:M$875,'Base bordo CD'!D$2:D$875,A400,'Base bordo CD'!A$2:A$875,B400,'Base bordo CD'!L$2:L$875,"SEM APONTAMENTO"),0)</f>
        <v>3.3611111111111112E-2</v>
      </c>
      <c r="N400" s="10">
        <f>IFERROR(SUMIFS('Base bordo CD'!M$2:M$875,'Base bordo CD'!D$2:D$875,A400,'Base bordo CD'!A$2:A$875,B400,'Base bordo CD'!L$2:L$875,"FALTA DE CAMINHÃO"),0)+IFERROR(SUMIFS('Base bordo CD'!M$2:M$875,'Base bordo CD'!D$2:D$875,A400,'Base bordo CD'!A$2:A$875,B400,'Base bordo CD'!L$2:L$875,"FALTA DE COMBUSTIVEL"),0)+IFERROR(SUMIFS('Base bordo CD'!M$2:M$875,'Base bordo CD'!D$2:D$875,A400,'Base bordo CD'!A$2:A$875,B400,'Base bordo CD'!L$2:L$875,"FALTA DE MOTORIST*"),0)</f>
        <v>0</v>
      </c>
      <c r="O400" s="10">
        <f t="shared" si="35"/>
        <v>0</v>
      </c>
      <c r="P400" s="10">
        <f>IFERROR(SUMIFS('Base bordo CD'!M$2:M$875,'Base bordo CD'!D$2:D$875,A400,'Base bordo CD'!A$2:A$875,B400),0)</f>
        <v>23.999999999999996</v>
      </c>
      <c r="Q400" s="10">
        <f>IFERROR(SUMIFS('Base bordo CD'!O$2:O$875,'Base bordo CD'!D$2:D$875,A400,'Base bordo CD'!A$2:A$875,B400,'Base bordo CD'!L$2:L$875,"CORTE DE CANA MECANIZADO"),0)</f>
        <v>5032.5399999999991</v>
      </c>
      <c r="R400" s="10">
        <f>IFERROR(SUMIFS('Base bordo CD'!Q$2:Q$875,'Base bordo CD'!D$2:D$875,A400,'Base bordo CD'!A$2:A$875,B400,'Base bordo CD'!L$2:L$875,"CORTE DE CANA MECANIZADO"),0)</f>
        <v>1023</v>
      </c>
      <c r="S400" s="30">
        <f t="shared" si="36"/>
        <v>4.9193939393939381</v>
      </c>
      <c r="T400" s="9">
        <f t="shared" si="37"/>
        <v>1.1840277777777779E-2</v>
      </c>
      <c r="U400" s="9">
        <f t="shared" si="38"/>
        <v>9.722222222222223E-4</v>
      </c>
      <c r="V400" s="9">
        <f t="shared" si="39"/>
        <v>0.96560185185185188</v>
      </c>
    </row>
    <row r="401" spans="1:22" x14ac:dyDescent="0.35">
      <c r="A401" s="52">
        <v>49587</v>
      </c>
      <c r="B401" s="31">
        <v>46120</v>
      </c>
      <c r="C401" s="7" t="s">
        <v>337</v>
      </c>
      <c r="D401" s="7">
        <v>353</v>
      </c>
      <c r="E401" s="10">
        <f>IFERROR(SUMIFS('Base bordo CD'!M$2:M$875,'Base bordo CD'!D$2:D$875,A401,'Base bordo CD'!A$2:A$875,B401,'Base bordo CD'!L$2:L$875,"CORTE DE CANA MECANIZADO"),0)</f>
        <v>0.28416666666666668</v>
      </c>
      <c r="F401" s="10">
        <f>IFERROR(SUMIFS('Base bordo CD'!M$2:M$875,'Base bordo CD'!D$2:D$875,A401,'Base bordo CD'!A$2:A$875,B401,'Base bordo CD'!L$2:L$875,"MANOBRA"),0)</f>
        <v>2.3333333333333331E-2</v>
      </c>
      <c r="G401" s="10">
        <f>IFERROR(SUMIFS('Base bordo CD'!M$2:M$875,'Base bordo CD'!D$2:D$875,A401,'Base bordo CD'!A$2:A$875,B401,'Base bordo CD'!L$2:L$875,"DESLOCAMENTO"),0)</f>
        <v>0.54138888888888892</v>
      </c>
      <c r="H401" s="10">
        <f>IFERROR(SUMIFS('Base bordo CD'!M$2:M$875,'Base bordo CD'!D$2:D$875,A401,'Base bordo CD'!A$2:A$875,B401,'Base bordo CD'!L$2:L$875,"AGUARDANDO MANOBRA DE TRANSBORDO"),0)+IFERROR(SUMIFS('Base bordo CD'!M$2:M$875,'Base bordo CD'!D$2:D$875,A401,'Base bordo CD'!A$2:A$875,B401,'Base bordo CD'!L$2:L$875,"FALTA DE TRANSBORDO"),0)</f>
        <v>1.3055555555555556E-2</v>
      </c>
      <c r="I401" s="10">
        <f>IFERROR(SUMIFS('Base bordo CD'!M$2:M$875,'Base bordo CD'!D$2:D$875,A401,'Base bordo CD'!A$2:A$875,B401,'Base bordo CD'!L$2:L$875,"PARADA POR CONDICOES CLIMATICAS"),0)+IFERROR(SUMIFS('Base bordo CD'!M$2:M$875,'Base bordo CD'!D$2:D$875,A401,'Base bordo CD'!A$2:A$875,B401,'Base bordo CD'!L$2:L$875,"TEMPO INDETERMINADO"),0)</f>
        <v>22.167222222222222</v>
      </c>
      <c r="J401" s="10">
        <f>IFERROR(SUMIFS('Base bordo CD'!M$2:M$875,'Base bordo CD'!D$2:D$875,A401,'Base bordo CD'!A$2:A$875,B401,'Base bordo CD'!L$2:L$875,"LIMITAÇÃO INDÚSTRIA"),0)</f>
        <v>0</v>
      </c>
      <c r="K401" s="10">
        <f>IFERROR(SUMIFS('Base bordo CD'!M$2:M$875,'Base bordo CD'!D$2:D$875,A401,'Base bordo CD'!A$2:A$875,B401,'Base bordo CD'!L$2:L$875,"MAN CORRETIVA*"),0)+IFERROR(SUMIFS('Base bordo CD'!M$2:M$875,'Base bordo CD'!D$2:D$875,A401,'Base bordo CD'!A$2:A$875,B401,'Base bordo CD'!L$2:L$875,"AGUARDANDO MANUTENCAO*"),0)+IFERROR(SUMIFS('Base bordo CD'!M$2:M$875,'Base bordo CD'!D$2:D$875,A401,'Base bordo CD'!A$2:A$875,B401,'Base bordo CD'!L$2:L$875,"TROCA DE FAQUINHA"),0)+IFERROR(SUMIFS('Base bordo CD'!M$2:M$875,'Base bordo CD'!D$2:D$875,A401,'Base bordo CD'!A$2:A$875,B401,'Base bordo CD'!L$2:L$875,"LIMPEZA*"),0)</f>
        <v>0.93722222222222218</v>
      </c>
      <c r="L401" s="10">
        <f>IFERROR(SUMIFS('Base bordo CD'!M$2:M$875,'Base bordo CD'!D$2:D$875,A401,'Base bordo CD'!A$2:A$875,B401,'Base bordo CD'!L$2:L$875,"PATIO - RESERVA"),0)</f>
        <v>0</v>
      </c>
      <c r="M401" s="10">
        <f>IFERROR(SUMIFS('Base bordo CD'!M$2:M$875,'Base bordo CD'!D$2:D$875,A401,'Base bordo CD'!A$2:A$875,B401,'Base bordo CD'!L$2:L$875,"SEM APONTAMENTO"),0)</f>
        <v>3.3611111111111112E-2</v>
      </c>
      <c r="N401" s="10">
        <f>IFERROR(SUMIFS('Base bordo CD'!M$2:M$875,'Base bordo CD'!D$2:D$875,A401,'Base bordo CD'!A$2:A$875,B401,'Base bordo CD'!L$2:L$875,"FALTA DE CAMINHÃO"),0)+IFERROR(SUMIFS('Base bordo CD'!M$2:M$875,'Base bordo CD'!D$2:D$875,A401,'Base bordo CD'!A$2:A$875,B401,'Base bordo CD'!L$2:L$875,"FALTA DE COMBUSTIVEL"),0)+IFERROR(SUMIFS('Base bordo CD'!M$2:M$875,'Base bordo CD'!D$2:D$875,A401,'Base bordo CD'!A$2:A$875,B401,'Base bordo CD'!L$2:L$875,"FALTA DE MOTORIST*"),0)</f>
        <v>0</v>
      </c>
      <c r="O401" s="10">
        <f t="shared" si="35"/>
        <v>0</v>
      </c>
      <c r="P401" s="10">
        <f>IFERROR(SUMIFS('Base bordo CD'!M$2:M$875,'Base bordo CD'!D$2:D$875,A401,'Base bordo CD'!A$2:A$875,B401),0)</f>
        <v>23.999999999999996</v>
      </c>
      <c r="Q401" s="10">
        <f>IFERROR(SUMIFS('Base bordo CD'!O$2:O$875,'Base bordo CD'!D$2:D$875,A401,'Base bordo CD'!A$2:A$875,B401,'Base bordo CD'!L$2:L$875,"CORTE DE CANA MECANIZADO"),0)</f>
        <v>5032.5399999999991</v>
      </c>
      <c r="R401" s="10">
        <f>IFERROR(SUMIFS('Base bordo CD'!Q$2:Q$875,'Base bordo CD'!D$2:D$875,A401,'Base bordo CD'!A$2:A$875,B401,'Base bordo CD'!L$2:L$875,"CORTE DE CANA MECANIZADO"),0)</f>
        <v>1023</v>
      </c>
      <c r="S401" s="30">
        <f t="shared" si="36"/>
        <v>4.9193939393939381</v>
      </c>
      <c r="T401" s="9">
        <f t="shared" si="37"/>
        <v>1.1840277777777779E-2</v>
      </c>
      <c r="U401" s="9">
        <f t="shared" si="38"/>
        <v>9.722222222222223E-4</v>
      </c>
      <c r="V401" s="9">
        <f t="shared" si="39"/>
        <v>0.96560185185185188</v>
      </c>
    </row>
    <row r="402" spans="1:22" x14ac:dyDescent="0.35">
      <c r="A402" s="52">
        <v>49587</v>
      </c>
      <c r="B402" s="31">
        <v>46120</v>
      </c>
      <c r="C402" s="7" t="s">
        <v>337</v>
      </c>
      <c r="D402" s="7">
        <v>353</v>
      </c>
      <c r="E402" s="10">
        <f>IFERROR(SUMIFS('Base bordo CD'!M$2:M$875,'Base bordo CD'!D$2:D$875,A402,'Base bordo CD'!A$2:A$875,B402,'Base bordo CD'!L$2:L$875,"CORTE DE CANA MECANIZADO"),0)</f>
        <v>0.28416666666666668</v>
      </c>
      <c r="F402" s="10">
        <f>IFERROR(SUMIFS('Base bordo CD'!M$2:M$875,'Base bordo CD'!D$2:D$875,A402,'Base bordo CD'!A$2:A$875,B402,'Base bordo CD'!L$2:L$875,"MANOBRA"),0)</f>
        <v>2.3333333333333331E-2</v>
      </c>
      <c r="G402" s="10">
        <f>IFERROR(SUMIFS('Base bordo CD'!M$2:M$875,'Base bordo CD'!D$2:D$875,A402,'Base bordo CD'!A$2:A$875,B402,'Base bordo CD'!L$2:L$875,"DESLOCAMENTO"),0)</f>
        <v>0.54138888888888892</v>
      </c>
      <c r="H402" s="10">
        <f>IFERROR(SUMIFS('Base bordo CD'!M$2:M$875,'Base bordo CD'!D$2:D$875,A402,'Base bordo CD'!A$2:A$875,B402,'Base bordo CD'!L$2:L$875,"AGUARDANDO MANOBRA DE TRANSBORDO"),0)+IFERROR(SUMIFS('Base bordo CD'!M$2:M$875,'Base bordo CD'!D$2:D$875,A402,'Base bordo CD'!A$2:A$875,B402,'Base bordo CD'!L$2:L$875,"FALTA DE TRANSBORDO"),0)</f>
        <v>1.3055555555555556E-2</v>
      </c>
      <c r="I402" s="10">
        <f>IFERROR(SUMIFS('Base bordo CD'!M$2:M$875,'Base bordo CD'!D$2:D$875,A402,'Base bordo CD'!A$2:A$875,B402,'Base bordo CD'!L$2:L$875,"PARADA POR CONDICOES CLIMATICAS"),0)+IFERROR(SUMIFS('Base bordo CD'!M$2:M$875,'Base bordo CD'!D$2:D$875,A402,'Base bordo CD'!A$2:A$875,B402,'Base bordo CD'!L$2:L$875,"TEMPO INDETERMINADO"),0)</f>
        <v>22.167222222222222</v>
      </c>
      <c r="J402" s="10">
        <f>IFERROR(SUMIFS('Base bordo CD'!M$2:M$875,'Base bordo CD'!D$2:D$875,A402,'Base bordo CD'!A$2:A$875,B402,'Base bordo CD'!L$2:L$875,"LIMITAÇÃO INDÚSTRIA"),0)</f>
        <v>0</v>
      </c>
      <c r="K402" s="10">
        <f>IFERROR(SUMIFS('Base bordo CD'!M$2:M$875,'Base bordo CD'!D$2:D$875,A402,'Base bordo CD'!A$2:A$875,B402,'Base bordo CD'!L$2:L$875,"MAN CORRETIVA*"),0)+IFERROR(SUMIFS('Base bordo CD'!M$2:M$875,'Base bordo CD'!D$2:D$875,A402,'Base bordo CD'!A$2:A$875,B402,'Base bordo CD'!L$2:L$875,"AGUARDANDO MANUTENCAO*"),0)+IFERROR(SUMIFS('Base bordo CD'!M$2:M$875,'Base bordo CD'!D$2:D$875,A402,'Base bordo CD'!A$2:A$875,B402,'Base bordo CD'!L$2:L$875,"TROCA DE FAQUINHA"),0)+IFERROR(SUMIFS('Base bordo CD'!M$2:M$875,'Base bordo CD'!D$2:D$875,A402,'Base bordo CD'!A$2:A$875,B402,'Base bordo CD'!L$2:L$875,"LIMPEZA*"),0)</f>
        <v>0.93722222222222218</v>
      </c>
      <c r="L402" s="10">
        <f>IFERROR(SUMIFS('Base bordo CD'!M$2:M$875,'Base bordo CD'!D$2:D$875,A402,'Base bordo CD'!A$2:A$875,B402,'Base bordo CD'!L$2:L$875,"PATIO - RESERVA"),0)</f>
        <v>0</v>
      </c>
      <c r="M402" s="10">
        <f>IFERROR(SUMIFS('Base bordo CD'!M$2:M$875,'Base bordo CD'!D$2:D$875,A402,'Base bordo CD'!A$2:A$875,B402,'Base bordo CD'!L$2:L$875,"SEM APONTAMENTO"),0)</f>
        <v>3.3611111111111112E-2</v>
      </c>
      <c r="N402" s="10">
        <f>IFERROR(SUMIFS('Base bordo CD'!M$2:M$875,'Base bordo CD'!D$2:D$875,A402,'Base bordo CD'!A$2:A$875,B402,'Base bordo CD'!L$2:L$875,"FALTA DE CAMINHÃO"),0)+IFERROR(SUMIFS('Base bordo CD'!M$2:M$875,'Base bordo CD'!D$2:D$875,A402,'Base bordo CD'!A$2:A$875,B402,'Base bordo CD'!L$2:L$875,"FALTA DE COMBUSTIVEL"),0)+IFERROR(SUMIFS('Base bordo CD'!M$2:M$875,'Base bordo CD'!D$2:D$875,A402,'Base bordo CD'!A$2:A$875,B402,'Base bordo CD'!L$2:L$875,"FALTA DE MOTORIST*"),0)</f>
        <v>0</v>
      </c>
      <c r="O402" s="10">
        <f t="shared" si="35"/>
        <v>0</v>
      </c>
      <c r="P402" s="10">
        <f>IFERROR(SUMIFS('Base bordo CD'!M$2:M$875,'Base bordo CD'!D$2:D$875,A402,'Base bordo CD'!A$2:A$875,B402),0)</f>
        <v>23.999999999999996</v>
      </c>
      <c r="Q402" s="10">
        <f>IFERROR(SUMIFS('Base bordo CD'!O$2:O$875,'Base bordo CD'!D$2:D$875,A402,'Base bordo CD'!A$2:A$875,B402,'Base bordo CD'!L$2:L$875,"CORTE DE CANA MECANIZADO"),0)</f>
        <v>5032.5399999999991</v>
      </c>
      <c r="R402" s="10">
        <f>IFERROR(SUMIFS('Base bordo CD'!Q$2:Q$875,'Base bordo CD'!D$2:D$875,A402,'Base bordo CD'!A$2:A$875,B402,'Base bordo CD'!L$2:L$875,"CORTE DE CANA MECANIZADO"),0)</f>
        <v>1023</v>
      </c>
      <c r="S402" s="30">
        <f t="shared" si="36"/>
        <v>4.9193939393939381</v>
      </c>
      <c r="T402" s="9">
        <f t="shared" si="37"/>
        <v>1.1840277777777779E-2</v>
      </c>
      <c r="U402" s="9">
        <f t="shared" si="38"/>
        <v>9.722222222222223E-4</v>
      </c>
      <c r="V402" s="9">
        <f t="shared" si="39"/>
        <v>0.96560185185185188</v>
      </c>
    </row>
    <row r="403" spans="1:22" x14ac:dyDescent="0.35">
      <c r="A403" s="52">
        <v>49587</v>
      </c>
      <c r="B403" s="31">
        <v>46120</v>
      </c>
      <c r="C403" s="7" t="s">
        <v>337</v>
      </c>
      <c r="D403" s="7">
        <v>353</v>
      </c>
      <c r="E403" s="10">
        <f>IFERROR(SUMIFS('Base bordo CD'!M$2:M$875,'Base bordo CD'!D$2:D$875,A403,'Base bordo CD'!A$2:A$875,B403,'Base bordo CD'!L$2:L$875,"CORTE DE CANA MECANIZADO"),0)</f>
        <v>0.28416666666666668</v>
      </c>
      <c r="F403" s="10">
        <f>IFERROR(SUMIFS('Base bordo CD'!M$2:M$875,'Base bordo CD'!D$2:D$875,A403,'Base bordo CD'!A$2:A$875,B403,'Base bordo CD'!L$2:L$875,"MANOBRA"),0)</f>
        <v>2.3333333333333331E-2</v>
      </c>
      <c r="G403" s="10">
        <f>IFERROR(SUMIFS('Base bordo CD'!M$2:M$875,'Base bordo CD'!D$2:D$875,A403,'Base bordo CD'!A$2:A$875,B403,'Base bordo CD'!L$2:L$875,"DESLOCAMENTO"),0)</f>
        <v>0.54138888888888892</v>
      </c>
      <c r="H403" s="10">
        <f>IFERROR(SUMIFS('Base bordo CD'!M$2:M$875,'Base bordo CD'!D$2:D$875,A403,'Base bordo CD'!A$2:A$875,B403,'Base bordo CD'!L$2:L$875,"AGUARDANDO MANOBRA DE TRANSBORDO"),0)+IFERROR(SUMIFS('Base bordo CD'!M$2:M$875,'Base bordo CD'!D$2:D$875,A403,'Base bordo CD'!A$2:A$875,B403,'Base bordo CD'!L$2:L$875,"FALTA DE TRANSBORDO"),0)</f>
        <v>1.3055555555555556E-2</v>
      </c>
      <c r="I403" s="10">
        <f>IFERROR(SUMIFS('Base bordo CD'!M$2:M$875,'Base bordo CD'!D$2:D$875,A403,'Base bordo CD'!A$2:A$875,B403,'Base bordo CD'!L$2:L$875,"PARADA POR CONDICOES CLIMATICAS"),0)+IFERROR(SUMIFS('Base bordo CD'!M$2:M$875,'Base bordo CD'!D$2:D$875,A403,'Base bordo CD'!A$2:A$875,B403,'Base bordo CD'!L$2:L$875,"TEMPO INDETERMINADO"),0)</f>
        <v>22.167222222222222</v>
      </c>
      <c r="J403" s="10">
        <f>IFERROR(SUMIFS('Base bordo CD'!M$2:M$875,'Base bordo CD'!D$2:D$875,A403,'Base bordo CD'!A$2:A$875,B403,'Base bordo CD'!L$2:L$875,"LIMITAÇÃO INDÚSTRIA"),0)</f>
        <v>0</v>
      </c>
      <c r="K403" s="10">
        <f>IFERROR(SUMIFS('Base bordo CD'!M$2:M$875,'Base bordo CD'!D$2:D$875,A403,'Base bordo CD'!A$2:A$875,B403,'Base bordo CD'!L$2:L$875,"MAN CORRETIVA*"),0)+IFERROR(SUMIFS('Base bordo CD'!M$2:M$875,'Base bordo CD'!D$2:D$875,A403,'Base bordo CD'!A$2:A$875,B403,'Base bordo CD'!L$2:L$875,"AGUARDANDO MANUTENCAO*"),0)+IFERROR(SUMIFS('Base bordo CD'!M$2:M$875,'Base bordo CD'!D$2:D$875,A403,'Base bordo CD'!A$2:A$875,B403,'Base bordo CD'!L$2:L$875,"TROCA DE FAQUINHA"),0)+IFERROR(SUMIFS('Base bordo CD'!M$2:M$875,'Base bordo CD'!D$2:D$875,A403,'Base bordo CD'!A$2:A$875,B403,'Base bordo CD'!L$2:L$875,"LIMPEZA*"),0)</f>
        <v>0.93722222222222218</v>
      </c>
      <c r="L403" s="10">
        <f>IFERROR(SUMIFS('Base bordo CD'!M$2:M$875,'Base bordo CD'!D$2:D$875,A403,'Base bordo CD'!A$2:A$875,B403,'Base bordo CD'!L$2:L$875,"PATIO - RESERVA"),0)</f>
        <v>0</v>
      </c>
      <c r="M403" s="10">
        <f>IFERROR(SUMIFS('Base bordo CD'!M$2:M$875,'Base bordo CD'!D$2:D$875,A403,'Base bordo CD'!A$2:A$875,B403,'Base bordo CD'!L$2:L$875,"SEM APONTAMENTO"),0)</f>
        <v>3.3611111111111112E-2</v>
      </c>
      <c r="N403" s="10">
        <f>IFERROR(SUMIFS('Base bordo CD'!M$2:M$875,'Base bordo CD'!D$2:D$875,A403,'Base bordo CD'!A$2:A$875,B403,'Base bordo CD'!L$2:L$875,"FALTA DE CAMINHÃO"),0)+IFERROR(SUMIFS('Base bordo CD'!M$2:M$875,'Base bordo CD'!D$2:D$875,A403,'Base bordo CD'!A$2:A$875,B403,'Base bordo CD'!L$2:L$875,"FALTA DE COMBUSTIVEL"),0)+IFERROR(SUMIFS('Base bordo CD'!M$2:M$875,'Base bordo CD'!D$2:D$875,A403,'Base bordo CD'!A$2:A$875,B403,'Base bordo CD'!L$2:L$875,"FALTA DE MOTORIST*"),0)</f>
        <v>0</v>
      </c>
      <c r="O403" s="10">
        <f t="shared" si="35"/>
        <v>0</v>
      </c>
      <c r="P403" s="10">
        <f>IFERROR(SUMIFS('Base bordo CD'!M$2:M$875,'Base bordo CD'!D$2:D$875,A403,'Base bordo CD'!A$2:A$875,B403),0)</f>
        <v>23.999999999999996</v>
      </c>
      <c r="Q403" s="10">
        <f>IFERROR(SUMIFS('Base bordo CD'!O$2:O$875,'Base bordo CD'!D$2:D$875,A403,'Base bordo CD'!A$2:A$875,B403,'Base bordo CD'!L$2:L$875,"CORTE DE CANA MECANIZADO"),0)</f>
        <v>5032.5399999999991</v>
      </c>
      <c r="R403" s="10">
        <f>IFERROR(SUMIFS('Base bordo CD'!Q$2:Q$875,'Base bordo CD'!D$2:D$875,A403,'Base bordo CD'!A$2:A$875,B403,'Base bordo CD'!L$2:L$875,"CORTE DE CANA MECANIZADO"),0)</f>
        <v>1023</v>
      </c>
      <c r="S403" s="30">
        <f t="shared" si="36"/>
        <v>4.9193939393939381</v>
      </c>
      <c r="T403" s="9">
        <f t="shared" si="37"/>
        <v>1.1840277777777779E-2</v>
      </c>
      <c r="U403" s="9">
        <f t="shared" si="38"/>
        <v>9.722222222222223E-4</v>
      </c>
      <c r="V403" s="9">
        <f t="shared" si="39"/>
        <v>0.96560185185185188</v>
      </c>
    </row>
    <row r="404" spans="1:22" x14ac:dyDescent="0.35">
      <c r="A404" s="52">
        <v>49587</v>
      </c>
      <c r="B404" s="31">
        <v>46120</v>
      </c>
      <c r="C404" s="7" t="s">
        <v>337</v>
      </c>
      <c r="D404" s="7">
        <v>353</v>
      </c>
      <c r="E404" s="10">
        <f>IFERROR(SUMIFS('Base bordo CD'!M$2:M$875,'Base bordo CD'!D$2:D$875,A404,'Base bordo CD'!A$2:A$875,B404,'Base bordo CD'!L$2:L$875,"CORTE DE CANA MECANIZADO"),0)</f>
        <v>0.28416666666666668</v>
      </c>
      <c r="F404" s="10">
        <f>IFERROR(SUMIFS('Base bordo CD'!M$2:M$875,'Base bordo CD'!D$2:D$875,A404,'Base bordo CD'!A$2:A$875,B404,'Base bordo CD'!L$2:L$875,"MANOBRA"),0)</f>
        <v>2.3333333333333331E-2</v>
      </c>
      <c r="G404" s="10">
        <f>IFERROR(SUMIFS('Base bordo CD'!M$2:M$875,'Base bordo CD'!D$2:D$875,A404,'Base bordo CD'!A$2:A$875,B404,'Base bordo CD'!L$2:L$875,"DESLOCAMENTO"),0)</f>
        <v>0.54138888888888892</v>
      </c>
      <c r="H404" s="10">
        <f>IFERROR(SUMIFS('Base bordo CD'!M$2:M$875,'Base bordo CD'!D$2:D$875,A404,'Base bordo CD'!A$2:A$875,B404,'Base bordo CD'!L$2:L$875,"AGUARDANDO MANOBRA DE TRANSBORDO"),0)+IFERROR(SUMIFS('Base bordo CD'!M$2:M$875,'Base bordo CD'!D$2:D$875,A404,'Base bordo CD'!A$2:A$875,B404,'Base bordo CD'!L$2:L$875,"FALTA DE TRANSBORDO"),0)</f>
        <v>1.3055555555555556E-2</v>
      </c>
      <c r="I404" s="10">
        <f>IFERROR(SUMIFS('Base bordo CD'!M$2:M$875,'Base bordo CD'!D$2:D$875,A404,'Base bordo CD'!A$2:A$875,B404,'Base bordo CD'!L$2:L$875,"PARADA POR CONDICOES CLIMATICAS"),0)+IFERROR(SUMIFS('Base bordo CD'!M$2:M$875,'Base bordo CD'!D$2:D$875,A404,'Base bordo CD'!A$2:A$875,B404,'Base bordo CD'!L$2:L$875,"TEMPO INDETERMINADO"),0)</f>
        <v>22.167222222222222</v>
      </c>
      <c r="J404" s="10">
        <f>IFERROR(SUMIFS('Base bordo CD'!M$2:M$875,'Base bordo CD'!D$2:D$875,A404,'Base bordo CD'!A$2:A$875,B404,'Base bordo CD'!L$2:L$875,"LIMITAÇÃO INDÚSTRIA"),0)</f>
        <v>0</v>
      </c>
      <c r="K404" s="10">
        <f>IFERROR(SUMIFS('Base bordo CD'!M$2:M$875,'Base bordo CD'!D$2:D$875,A404,'Base bordo CD'!A$2:A$875,B404,'Base bordo CD'!L$2:L$875,"MAN CORRETIVA*"),0)+IFERROR(SUMIFS('Base bordo CD'!M$2:M$875,'Base bordo CD'!D$2:D$875,A404,'Base bordo CD'!A$2:A$875,B404,'Base bordo CD'!L$2:L$875,"AGUARDANDO MANUTENCAO*"),0)+IFERROR(SUMIFS('Base bordo CD'!M$2:M$875,'Base bordo CD'!D$2:D$875,A404,'Base bordo CD'!A$2:A$875,B404,'Base bordo CD'!L$2:L$875,"TROCA DE FAQUINHA"),0)+IFERROR(SUMIFS('Base bordo CD'!M$2:M$875,'Base bordo CD'!D$2:D$875,A404,'Base bordo CD'!A$2:A$875,B404,'Base bordo CD'!L$2:L$875,"LIMPEZA*"),0)</f>
        <v>0.93722222222222218</v>
      </c>
      <c r="L404" s="10">
        <f>IFERROR(SUMIFS('Base bordo CD'!M$2:M$875,'Base bordo CD'!D$2:D$875,A404,'Base bordo CD'!A$2:A$875,B404,'Base bordo CD'!L$2:L$875,"PATIO - RESERVA"),0)</f>
        <v>0</v>
      </c>
      <c r="M404" s="10">
        <f>IFERROR(SUMIFS('Base bordo CD'!M$2:M$875,'Base bordo CD'!D$2:D$875,A404,'Base bordo CD'!A$2:A$875,B404,'Base bordo CD'!L$2:L$875,"SEM APONTAMENTO"),0)</f>
        <v>3.3611111111111112E-2</v>
      </c>
      <c r="N404" s="10">
        <f>IFERROR(SUMIFS('Base bordo CD'!M$2:M$875,'Base bordo CD'!D$2:D$875,A404,'Base bordo CD'!A$2:A$875,B404,'Base bordo CD'!L$2:L$875,"FALTA DE CAMINHÃO"),0)+IFERROR(SUMIFS('Base bordo CD'!M$2:M$875,'Base bordo CD'!D$2:D$875,A404,'Base bordo CD'!A$2:A$875,B404,'Base bordo CD'!L$2:L$875,"FALTA DE COMBUSTIVEL"),0)+IFERROR(SUMIFS('Base bordo CD'!M$2:M$875,'Base bordo CD'!D$2:D$875,A404,'Base bordo CD'!A$2:A$875,B404,'Base bordo CD'!L$2:L$875,"FALTA DE MOTORIST*"),0)</f>
        <v>0</v>
      </c>
      <c r="O404" s="10">
        <f t="shared" si="35"/>
        <v>0</v>
      </c>
      <c r="P404" s="10">
        <f>IFERROR(SUMIFS('Base bordo CD'!M$2:M$875,'Base bordo CD'!D$2:D$875,A404,'Base bordo CD'!A$2:A$875,B404),0)</f>
        <v>23.999999999999996</v>
      </c>
      <c r="Q404" s="10">
        <f>IFERROR(SUMIFS('Base bordo CD'!O$2:O$875,'Base bordo CD'!D$2:D$875,A404,'Base bordo CD'!A$2:A$875,B404,'Base bordo CD'!L$2:L$875,"CORTE DE CANA MECANIZADO"),0)</f>
        <v>5032.5399999999991</v>
      </c>
      <c r="R404" s="10">
        <f>IFERROR(SUMIFS('Base bordo CD'!Q$2:Q$875,'Base bordo CD'!D$2:D$875,A404,'Base bordo CD'!A$2:A$875,B404,'Base bordo CD'!L$2:L$875,"CORTE DE CANA MECANIZADO"),0)</f>
        <v>1023</v>
      </c>
      <c r="S404" s="30">
        <f t="shared" si="36"/>
        <v>4.9193939393939381</v>
      </c>
      <c r="T404" s="9">
        <f t="shared" si="37"/>
        <v>1.1840277777777779E-2</v>
      </c>
      <c r="U404" s="9">
        <f t="shared" si="38"/>
        <v>9.722222222222223E-4</v>
      </c>
      <c r="V404" s="9">
        <f t="shared" si="39"/>
        <v>0.96560185185185188</v>
      </c>
    </row>
    <row r="405" spans="1:22" x14ac:dyDescent="0.35">
      <c r="A405" s="52">
        <v>49587</v>
      </c>
      <c r="B405" s="31">
        <v>46120</v>
      </c>
      <c r="C405" s="7" t="s">
        <v>337</v>
      </c>
      <c r="D405" s="7">
        <v>353</v>
      </c>
      <c r="E405" s="10">
        <f>IFERROR(SUMIFS('Base bordo CD'!M$2:M$875,'Base bordo CD'!D$2:D$875,A405,'Base bordo CD'!A$2:A$875,B405,'Base bordo CD'!L$2:L$875,"CORTE DE CANA MECANIZADO"),0)</f>
        <v>0.28416666666666668</v>
      </c>
      <c r="F405" s="10">
        <f>IFERROR(SUMIFS('Base bordo CD'!M$2:M$875,'Base bordo CD'!D$2:D$875,A405,'Base bordo CD'!A$2:A$875,B405,'Base bordo CD'!L$2:L$875,"MANOBRA"),0)</f>
        <v>2.3333333333333331E-2</v>
      </c>
      <c r="G405" s="10">
        <f>IFERROR(SUMIFS('Base bordo CD'!M$2:M$875,'Base bordo CD'!D$2:D$875,A405,'Base bordo CD'!A$2:A$875,B405,'Base bordo CD'!L$2:L$875,"DESLOCAMENTO"),0)</f>
        <v>0.54138888888888892</v>
      </c>
      <c r="H405" s="10">
        <f>IFERROR(SUMIFS('Base bordo CD'!M$2:M$875,'Base bordo CD'!D$2:D$875,A405,'Base bordo CD'!A$2:A$875,B405,'Base bordo CD'!L$2:L$875,"AGUARDANDO MANOBRA DE TRANSBORDO"),0)+IFERROR(SUMIFS('Base bordo CD'!M$2:M$875,'Base bordo CD'!D$2:D$875,A405,'Base bordo CD'!A$2:A$875,B405,'Base bordo CD'!L$2:L$875,"FALTA DE TRANSBORDO"),0)</f>
        <v>1.3055555555555556E-2</v>
      </c>
      <c r="I405" s="10">
        <f>IFERROR(SUMIFS('Base bordo CD'!M$2:M$875,'Base bordo CD'!D$2:D$875,A405,'Base bordo CD'!A$2:A$875,B405,'Base bordo CD'!L$2:L$875,"PARADA POR CONDICOES CLIMATICAS"),0)+IFERROR(SUMIFS('Base bordo CD'!M$2:M$875,'Base bordo CD'!D$2:D$875,A405,'Base bordo CD'!A$2:A$875,B405,'Base bordo CD'!L$2:L$875,"TEMPO INDETERMINADO"),0)</f>
        <v>22.167222222222222</v>
      </c>
      <c r="J405" s="10">
        <f>IFERROR(SUMIFS('Base bordo CD'!M$2:M$875,'Base bordo CD'!D$2:D$875,A405,'Base bordo CD'!A$2:A$875,B405,'Base bordo CD'!L$2:L$875,"LIMITAÇÃO INDÚSTRIA"),0)</f>
        <v>0</v>
      </c>
      <c r="K405" s="10">
        <f>IFERROR(SUMIFS('Base bordo CD'!M$2:M$875,'Base bordo CD'!D$2:D$875,A405,'Base bordo CD'!A$2:A$875,B405,'Base bordo CD'!L$2:L$875,"MAN CORRETIVA*"),0)+IFERROR(SUMIFS('Base bordo CD'!M$2:M$875,'Base bordo CD'!D$2:D$875,A405,'Base bordo CD'!A$2:A$875,B405,'Base bordo CD'!L$2:L$875,"AGUARDANDO MANUTENCAO*"),0)+IFERROR(SUMIFS('Base bordo CD'!M$2:M$875,'Base bordo CD'!D$2:D$875,A405,'Base bordo CD'!A$2:A$875,B405,'Base bordo CD'!L$2:L$875,"TROCA DE FAQUINHA"),0)+IFERROR(SUMIFS('Base bordo CD'!M$2:M$875,'Base bordo CD'!D$2:D$875,A405,'Base bordo CD'!A$2:A$875,B405,'Base bordo CD'!L$2:L$875,"LIMPEZA*"),0)</f>
        <v>0.93722222222222218</v>
      </c>
      <c r="L405" s="10">
        <f>IFERROR(SUMIFS('Base bordo CD'!M$2:M$875,'Base bordo CD'!D$2:D$875,A405,'Base bordo CD'!A$2:A$875,B405,'Base bordo CD'!L$2:L$875,"PATIO - RESERVA"),0)</f>
        <v>0</v>
      </c>
      <c r="M405" s="10">
        <f>IFERROR(SUMIFS('Base bordo CD'!M$2:M$875,'Base bordo CD'!D$2:D$875,A405,'Base bordo CD'!A$2:A$875,B405,'Base bordo CD'!L$2:L$875,"SEM APONTAMENTO"),0)</f>
        <v>3.3611111111111112E-2</v>
      </c>
      <c r="N405" s="10">
        <f>IFERROR(SUMIFS('Base bordo CD'!M$2:M$875,'Base bordo CD'!D$2:D$875,A405,'Base bordo CD'!A$2:A$875,B405,'Base bordo CD'!L$2:L$875,"FALTA DE CAMINHÃO"),0)+IFERROR(SUMIFS('Base bordo CD'!M$2:M$875,'Base bordo CD'!D$2:D$875,A405,'Base bordo CD'!A$2:A$875,B405,'Base bordo CD'!L$2:L$875,"FALTA DE COMBUSTIVEL"),0)+IFERROR(SUMIFS('Base bordo CD'!M$2:M$875,'Base bordo CD'!D$2:D$875,A405,'Base bordo CD'!A$2:A$875,B405,'Base bordo CD'!L$2:L$875,"FALTA DE MOTORIST*"),0)</f>
        <v>0</v>
      </c>
      <c r="O405" s="10">
        <f t="shared" si="35"/>
        <v>0</v>
      </c>
      <c r="P405" s="10">
        <f>IFERROR(SUMIFS('Base bordo CD'!M$2:M$875,'Base bordo CD'!D$2:D$875,A405,'Base bordo CD'!A$2:A$875,B405),0)</f>
        <v>23.999999999999996</v>
      </c>
      <c r="Q405" s="10">
        <f>IFERROR(SUMIFS('Base bordo CD'!O$2:O$875,'Base bordo CD'!D$2:D$875,A405,'Base bordo CD'!A$2:A$875,B405,'Base bordo CD'!L$2:L$875,"CORTE DE CANA MECANIZADO"),0)</f>
        <v>5032.5399999999991</v>
      </c>
      <c r="R405" s="10">
        <f>IFERROR(SUMIFS('Base bordo CD'!Q$2:Q$875,'Base bordo CD'!D$2:D$875,A405,'Base bordo CD'!A$2:A$875,B405,'Base bordo CD'!L$2:L$875,"CORTE DE CANA MECANIZADO"),0)</f>
        <v>1023</v>
      </c>
      <c r="S405" s="30">
        <f t="shared" si="36"/>
        <v>4.9193939393939381</v>
      </c>
      <c r="T405" s="9">
        <f t="shared" si="37"/>
        <v>1.1840277777777779E-2</v>
      </c>
      <c r="U405" s="9">
        <f t="shared" si="38"/>
        <v>9.722222222222223E-4</v>
      </c>
      <c r="V405" s="9">
        <f t="shared" si="39"/>
        <v>0.96560185185185188</v>
      </c>
    </row>
    <row r="406" spans="1:22" x14ac:dyDescent="0.35">
      <c r="A406" s="52">
        <v>49587</v>
      </c>
      <c r="B406" s="31">
        <v>46120</v>
      </c>
      <c r="C406" s="7" t="s">
        <v>337</v>
      </c>
      <c r="D406" s="7">
        <v>353</v>
      </c>
      <c r="E406" s="10">
        <f>IFERROR(SUMIFS('Base bordo CD'!M$2:M$875,'Base bordo CD'!D$2:D$875,A406,'Base bordo CD'!A$2:A$875,B406,'Base bordo CD'!L$2:L$875,"CORTE DE CANA MECANIZADO"),0)</f>
        <v>0.28416666666666668</v>
      </c>
      <c r="F406" s="10">
        <f>IFERROR(SUMIFS('Base bordo CD'!M$2:M$875,'Base bordo CD'!D$2:D$875,A406,'Base bordo CD'!A$2:A$875,B406,'Base bordo CD'!L$2:L$875,"MANOBRA"),0)</f>
        <v>2.3333333333333331E-2</v>
      </c>
      <c r="G406" s="10">
        <f>IFERROR(SUMIFS('Base bordo CD'!M$2:M$875,'Base bordo CD'!D$2:D$875,A406,'Base bordo CD'!A$2:A$875,B406,'Base bordo CD'!L$2:L$875,"DESLOCAMENTO"),0)</f>
        <v>0.54138888888888892</v>
      </c>
      <c r="H406" s="10">
        <f>IFERROR(SUMIFS('Base bordo CD'!M$2:M$875,'Base bordo CD'!D$2:D$875,A406,'Base bordo CD'!A$2:A$875,B406,'Base bordo CD'!L$2:L$875,"AGUARDANDO MANOBRA DE TRANSBORDO"),0)+IFERROR(SUMIFS('Base bordo CD'!M$2:M$875,'Base bordo CD'!D$2:D$875,A406,'Base bordo CD'!A$2:A$875,B406,'Base bordo CD'!L$2:L$875,"FALTA DE TRANSBORDO"),0)</f>
        <v>1.3055555555555556E-2</v>
      </c>
      <c r="I406" s="10">
        <f>IFERROR(SUMIFS('Base bordo CD'!M$2:M$875,'Base bordo CD'!D$2:D$875,A406,'Base bordo CD'!A$2:A$875,B406,'Base bordo CD'!L$2:L$875,"PARADA POR CONDICOES CLIMATICAS"),0)+IFERROR(SUMIFS('Base bordo CD'!M$2:M$875,'Base bordo CD'!D$2:D$875,A406,'Base bordo CD'!A$2:A$875,B406,'Base bordo CD'!L$2:L$875,"TEMPO INDETERMINADO"),0)</f>
        <v>22.167222222222222</v>
      </c>
      <c r="J406" s="10">
        <f>IFERROR(SUMIFS('Base bordo CD'!M$2:M$875,'Base bordo CD'!D$2:D$875,A406,'Base bordo CD'!A$2:A$875,B406,'Base bordo CD'!L$2:L$875,"LIMITAÇÃO INDÚSTRIA"),0)</f>
        <v>0</v>
      </c>
      <c r="K406" s="10">
        <f>IFERROR(SUMIFS('Base bordo CD'!M$2:M$875,'Base bordo CD'!D$2:D$875,A406,'Base bordo CD'!A$2:A$875,B406,'Base bordo CD'!L$2:L$875,"MAN CORRETIVA*"),0)+IFERROR(SUMIFS('Base bordo CD'!M$2:M$875,'Base bordo CD'!D$2:D$875,A406,'Base bordo CD'!A$2:A$875,B406,'Base bordo CD'!L$2:L$875,"AGUARDANDO MANUTENCAO*"),0)+IFERROR(SUMIFS('Base bordo CD'!M$2:M$875,'Base bordo CD'!D$2:D$875,A406,'Base bordo CD'!A$2:A$875,B406,'Base bordo CD'!L$2:L$875,"TROCA DE FAQUINHA"),0)+IFERROR(SUMIFS('Base bordo CD'!M$2:M$875,'Base bordo CD'!D$2:D$875,A406,'Base bordo CD'!A$2:A$875,B406,'Base bordo CD'!L$2:L$875,"LIMPEZA*"),0)</f>
        <v>0.93722222222222218</v>
      </c>
      <c r="L406" s="10">
        <f>IFERROR(SUMIFS('Base bordo CD'!M$2:M$875,'Base bordo CD'!D$2:D$875,A406,'Base bordo CD'!A$2:A$875,B406,'Base bordo CD'!L$2:L$875,"PATIO - RESERVA"),0)</f>
        <v>0</v>
      </c>
      <c r="M406" s="10">
        <f>IFERROR(SUMIFS('Base bordo CD'!M$2:M$875,'Base bordo CD'!D$2:D$875,A406,'Base bordo CD'!A$2:A$875,B406,'Base bordo CD'!L$2:L$875,"SEM APONTAMENTO"),0)</f>
        <v>3.3611111111111112E-2</v>
      </c>
      <c r="N406" s="10">
        <f>IFERROR(SUMIFS('Base bordo CD'!M$2:M$875,'Base bordo CD'!D$2:D$875,A406,'Base bordo CD'!A$2:A$875,B406,'Base bordo CD'!L$2:L$875,"FALTA DE CAMINHÃO"),0)+IFERROR(SUMIFS('Base bordo CD'!M$2:M$875,'Base bordo CD'!D$2:D$875,A406,'Base bordo CD'!A$2:A$875,B406,'Base bordo CD'!L$2:L$875,"FALTA DE COMBUSTIVEL"),0)+IFERROR(SUMIFS('Base bordo CD'!M$2:M$875,'Base bordo CD'!D$2:D$875,A406,'Base bordo CD'!A$2:A$875,B406,'Base bordo CD'!L$2:L$875,"FALTA DE MOTORIST*"),0)</f>
        <v>0</v>
      </c>
      <c r="O406" s="10">
        <f t="shared" si="35"/>
        <v>0</v>
      </c>
      <c r="P406" s="10">
        <f>IFERROR(SUMIFS('Base bordo CD'!M$2:M$875,'Base bordo CD'!D$2:D$875,A406,'Base bordo CD'!A$2:A$875,B406),0)</f>
        <v>23.999999999999996</v>
      </c>
      <c r="Q406" s="10">
        <f>IFERROR(SUMIFS('Base bordo CD'!O$2:O$875,'Base bordo CD'!D$2:D$875,A406,'Base bordo CD'!A$2:A$875,B406,'Base bordo CD'!L$2:L$875,"CORTE DE CANA MECANIZADO"),0)</f>
        <v>5032.5399999999991</v>
      </c>
      <c r="R406" s="10">
        <f>IFERROR(SUMIFS('Base bordo CD'!Q$2:Q$875,'Base bordo CD'!D$2:D$875,A406,'Base bordo CD'!A$2:A$875,B406,'Base bordo CD'!L$2:L$875,"CORTE DE CANA MECANIZADO"),0)</f>
        <v>1023</v>
      </c>
      <c r="S406" s="30">
        <f t="shared" si="36"/>
        <v>4.9193939393939381</v>
      </c>
      <c r="T406" s="9">
        <f t="shared" si="37"/>
        <v>1.1840277777777779E-2</v>
      </c>
      <c r="U406" s="9">
        <f t="shared" si="38"/>
        <v>9.722222222222223E-4</v>
      </c>
      <c r="V406" s="9">
        <f t="shared" si="39"/>
        <v>0.96560185185185188</v>
      </c>
    </row>
    <row r="407" spans="1:22" x14ac:dyDescent="0.35">
      <c r="A407" s="52">
        <v>49587</v>
      </c>
      <c r="B407" s="31">
        <v>46120</v>
      </c>
      <c r="C407" s="7" t="s">
        <v>337</v>
      </c>
      <c r="D407" s="7">
        <v>353</v>
      </c>
      <c r="E407" s="10">
        <f>IFERROR(SUMIFS('Base bordo CD'!M$2:M$875,'Base bordo CD'!D$2:D$875,A407,'Base bordo CD'!A$2:A$875,B407,'Base bordo CD'!L$2:L$875,"CORTE DE CANA MECANIZADO"),0)</f>
        <v>0.28416666666666668</v>
      </c>
      <c r="F407" s="10">
        <f>IFERROR(SUMIFS('Base bordo CD'!M$2:M$875,'Base bordo CD'!D$2:D$875,A407,'Base bordo CD'!A$2:A$875,B407,'Base bordo CD'!L$2:L$875,"MANOBRA"),0)</f>
        <v>2.3333333333333331E-2</v>
      </c>
      <c r="G407" s="10">
        <f>IFERROR(SUMIFS('Base bordo CD'!M$2:M$875,'Base bordo CD'!D$2:D$875,A407,'Base bordo CD'!A$2:A$875,B407,'Base bordo CD'!L$2:L$875,"DESLOCAMENTO"),0)</f>
        <v>0.54138888888888892</v>
      </c>
      <c r="H407" s="10">
        <f>IFERROR(SUMIFS('Base bordo CD'!M$2:M$875,'Base bordo CD'!D$2:D$875,A407,'Base bordo CD'!A$2:A$875,B407,'Base bordo CD'!L$2:L$875,"AGUARDANDO MANOBRA DE TRANSBORDO"),0)+IFERROR(SUMIFS('Base bordo CD'!M$2:M$875,'Base bordo CD'!D$2:D$875,A407,'Base bordo CD'!A$2:A$875,B407,'Base bordo CD'!L$2:L$875,"FALTA DE TRANSBORDO"),0)</f>
        <v>1.3055555555555556E-2</v>
      </c>
      <c r="I407" s="10">
        <f>IFERROR(SUMIFS('Base bordo CD'!M$2:M$875,'Base bordo CD'!D$2:D$875,A407,'Base bordo CD'!A$2:A$875,B407,'Base bordo CD'!L$2:L$875,"PARADA POR CONDICOES CLIMATICAS"),0)+IFERROR(SUMIFS('Base bordo CD'!M$2:M$875,'Base bordo CD'!D$2:D$875,A407,'Base bordo CD'!A$2:A$875,B407,'Base bordo CD'!L$2:L$875,"TEMPO INDETERMINADO"),0)</f>
        <v>22.167222222222222</v>
      </c>
      <c r="J407" s="10">
        <f>IFERROR(SUMIFS('Base bordo CD'!M$2:M$875,'Base bordo CD'!D$2:D$875,A407,'Base bordo CD'!A$2:A$875,B407,'Base bordo CD'!L$2:L$875,"LIMITAÇÃO INDÚSTRIA"),0)</f>
        <v>0</v>
      </c>
      <c r="K407" s="10">
        <f>IFERROR(SUMIFS('Base bordo CD'!M$2:M$875,'Base bordo CD'!D$2:D$875,A407,'Base bordo CD'!A$2:A$875,B407,'Base bordo CD'!L$2:L$875,"MAN CORRETIVA*"),0)+IFERROR(SUMIFS('Base bordo CD'!M$2:M$875,'Base bordo CD'!D$2:D$875,A407,'Base bordo CD'!A$2:A$875,B407,'Base bordo CD'!L$2:L$875,"AGUARDANDO MANUTENCAO*"),0)+IFERROR(SUMIFS('Base bordo CD'!M$2:M$875,'Base bordo CD'!D$2:D$875,A407,'Base bordo CD'!A$2:A$875,B407,'Base bordo CD'!L$2:L$875,"TROCA DE FAQUINHA"),0)+IFERROR(SUMIFS('Base bordo CD'!M$2:M$875,'Base bordo CD'!D$2:D$875,A407,'Base bordo CD'!A$2:A$875,B407,'Base bordo CD'!L$2:L$875,"LIMPEZA*"),0)</f>
        <v>0.93722222222222218</v>
      </c>
      <c r="L407" s="10">
        <f>IFERROR(SUMIFS('Base bordo CD'!M$2:M$875,'Base bordo CD'!D$2:D$875,A407,'Base bordo CD'!A$2:A$875,B407,'Base bordo CD'!L$2:L$875,"PATIO - RESERVA"),0)</f>
        <v>0</v>
      </c>
      <c r="M407" s="10">
        <f>IFERROR(SUMIFS('Base bordo CD'!M$2:M$875,'Base bordo CD'!D$2:D$875,A407,'Base bordo CD'!A$2:A$875,B407,'Base bordo CD'!L$2:L$875,"SEM APONTAMENTO"),0)</f>
        <v>3.3611111111111112E-2</v>
      </c>
      <c r="N407" s="10">
        <f>IFERROR(SUMIFS('Base bordo CD'!M$2:M$875,'Base bordo CD'!D$2:D$875,A407,'Base bordo CD'!A$2:A$875,B407,'Base bordo CD'!L$2:L$875,"FALTA DE CAMINHÃO"),0)+IFERROR(SUMIFS('Base bordo CD'!M$2:M$875,'Base bordo CD'!D$2:D$875,A407,'Base bordo CD'!A$2:A$875,B407,'Base bordo CD'!L$2:L$875,"FALTA DE COMBUSTIVEL"),0)+IFERROR(SUMIFS('Base bordo CD'!M$2:M$875,'Base bordo CD'!D$2:D$875,A407,'Base bordo CD'!A$2:A$875,B407,'Base bordo CD'!L$2:L$875,"FALTA DE MOTORIST*"),0)</f>
        <v>0</v>
      </c>
      <c r="O407" s="10">
        <f t="shared" si="35"/>
        <v>0</v>
      </c>
      <c r="P407" s="10">
        <f>IFERROR(SUMIFS('Base bordo CD'!M$2:M$875,'Base bordo CD'!D$2:D$875,A407,'Base bordo CD'!A$2:A$875,B407),0)</f>
        <v>23.999999999999996</v>
      </c>
      <c r="Q407" s="10">
        <f>IFERROR(SUMIFS('Base bordo CD'!O$2:O$875,'Base bordo CD'!D$2:D$875,A407,'Base bordo CD'!A$2:A$875,B407,'Base bordo CD'!L$2:L$875,"CORTE DE CANA MECANIZADO"),0)</f>
        <v>5032.5399999999991</v>
      </c>
      <c r="R407" s="10">
        <f>IFERROR(SUMIFS('Base bordo CD'!Q$2:Q$875,'Base bordo CD'!D$2:D$875,A407,'Base bordo CD'!A$2:A$875,B407,'Base bordo CD'!L$2:L$875,"CORTE DE CANA MECANIZADO"),0)</f>
        <v>1023</v>
      </c>
      <c r="S407" s="30">
        <f t="shared" si="36"/>
        <v>4.9193939393939381</v>
      </c>
      <c r="T407" s="9">
        <f t="shared" si="37"/>
        <v>1.1840277777777779E-2</v>
      </c>
      <c r="U407" s="9">
        <f t="shared" si="38"/>
        <v>9.722222222222223E-4</v>
      </c>
      <c r="V407" s="9">
        <f t="shared" si="39"/>
        <v>0.96560185185185188</v>
      </c>
    </row>
    <row r="408" spans="1:22" x14ac:dyDescent="0.35">
      <c r="A408" s="52">
        <v>49587</v>
      </c>
      <c r="B408" s="31">
        <v>46120</v>
      </c>
      <c r="C408" s="7" t="s">
        <v>337</v>
      </c>
      <c r="D408" s="7">
        <v>353</v>
      </c>
      <c r="E408" s="10">
        <f>IFERROR(SUMIFS('Base bordo CD'!M$2:M$875,'Base bordo CD'!D$2:D$875,A408,'Base bordo CD'!A$2:A$875,B408,'Base bordo CD'!L$2:L$875,"CORTE DE CANA MECANIZADO"),0)</f>
        <v>0.28416666666666668</v>
      </c>
      <c r="F408" s="10">
        <f>IFERROR(SUMIFS('Base bordo CD'!M$2:M$875,'Base bordo CD'!D$2:D$875,A408,'Base bordo CD'!A$2:A$875,B408,'Base bordo CD'!L$2:L$875,"MANOBRA"),0)</f>
        <v>2.3333333333333331E-2</v>
      </c>
      <c r="G408" s="10">
        <f>IFERROR(SUMIFS('Base bordo CD'!M$2:M$875,'Base bordo CD'!D$2:D$875,A408,'Base bordo CD'!A$2:A$875,B408,'Base bordo CD'!L$2:L$875,"DESLOCAMENTO"),0)</f>
        <v>0.54138888888888892</v>
      </c>
      <c r="H408" s="10">
        <f>IFERROR(SUMIFS('Base bordo CD'!M$2:M$875,'Base bordo CD'!D$2:D$875,A408,'Base bordo CD'!A$2:A$875,B408,'Base bordo CD'!L$2:L$875,"AGUARDANDO MANOBRA DE TRANSBORDO"),0)+IFERROR(SUMIFS('Base bordo CD'!M$2:M$875,'Base bordo CD'!D$2:D$875,A408,'Base bordo CD'!A$2:A$875,B408,'Base bordo CD'!L$2:L$875,"FALTA DE TRANSBORDO"),0)</f>
        <v>1.3055555555555556E-2</v>
      </c>
      <c r="I408" s="10">
        <f>IFERROR(SUMIFS('Base bordo CD'!M$2:M$875,'Base bordo CD'!D$2:D$875,A408,'Base bordo CD'!A$2:A$875,B408,'Base bordo CD'!L$2:L$875,"PARADA POR CONDICOES CLIMATICAS"),0)+IFERROR(SUMIFS('Base bordo CD'!M$2:M$875,'Base bordo CD'!D$2:D$875,A408,'Base bordo CD'!A$2:A$875,B408,'Base bordo CD'!L$2:L$875,"TEMPO INDETERMINADO"),0)</f>
        <v>22.167222222222222</v>
      </c>
      <c r="J408" s="10">
        <f>IFERROR(SUMIFS('Base bordo CD'!M$2:M$875,'Base bordo CD'!D$2:D$875,A408,'Base bordo CD'!A$2:A$875,B408,'Base bordo CD'!L$2:L$875,"LIMITAÇÃO INDÚSTRIA"),0)</f>
        <v>0</v>
      </c>
      <c r="K408" s="10">
        <f>IFERROR(SUMIFS('Base bordo CD'!M$2:M$875,'Base bordo CD'!D$2:D$875,A408,'Base bordo CD'!A$2:A$875,B408,'Base bordo CD'!L$2:L$875,"MAN CORRETIVA*"),0)+IFERROR(SUMIFS('Base bordo CD'!M$2:M$875,'Base bordo CD'!D$2:D$875,A408,'Base bordo CD'!A$2:A$875,B408,'Base bordo CD'!L$2:L$875,"AGUARDANDO MANUTENCAO*"),0)+IFERROR(SUMIFS('Base bordo CD'!M$2:M$875,'Base bordo CD'!D$2:D$875,A408,'Base bordo CD'!A$2:A$875,B408,'Base bordo CD'!L$2:L$875,"TROCA DE FAQUINHA"),0)+IFERROR(SUMIFS('Base bordo CD'!M$2:M$875,'Base bordo CD'!D$2:D$875,A408,'Base bordo CD'!A$2:A$875,B408,'Base bordo CD'!L$2:L$875,"LIMPEZA*"),0)</f>
        <v>0.93722222222222218</v>
      </c>
      <c r="L408" s="10">
        <f>IFERROR(SUMIFS('Base bordo CD'!M$2:M$875,'Base bordo CD'!D$2:D$875,A408,'Base bordo CD'!A$2:A$875,B408,'Base bordo CD'!L$2:L$875,"PATIO - RESERVA"),0)</f>
        <v>0</v>
      </c>
      <c r="M408" s="10">
        <f>IFERROR(SUMIFS('Base bordo CD'!M$2:M$875,'Base bordo CD'!D$2:D$875,A408,'Base bordo CD'!A$2:A$875,B408,'Base bordo CD'!L$2:L$875,"SEM APONTAMENTO"),0)</f>
        <v>3.3611111111111112E-2</v>
      </c>
      <c r="N408" s="10">
        <f>IFERROR(SUMIFS('Base bordo CD'!M$2:M$875,'Base bordo CD'!D$2:D$875,A408,'Base bordo CD'!A$2:A$875,B408,'Base bordo CD'!L$2:L$875,"FALTA DE CAMINHÃO"),0)+IFERROR(SUMIFS('Base bordo CD'!M$2:M$875,'Base bordo CD'!D$2:D$875,A408,'Base bordo CD'!A$2:A$875,B408,'Base bordo CD'!L$2:L$875,"FALTA DE COMBUSTIVEL"),0)+IFERROR(SUMIFS('Base bordo CD'!M$2:M$875,'Base bordo CD'!D$2:D$875,A408,'Base bordo CD'!A$2:A$875,B408,'Base bordo CD'!L$2:L$875,"FALTA DE MOTORIST*"),0)</f>
        <v>0</v>
      </c>
      <c r="O408" s="10">
        <f t="shared" si="35"/>
        <v>0</v>
      </c>
      <c r="P408" s="10">
        <f>IFERROR(SUMIFS('Base bordo CD'!M$2:M$875,'Base bordo CD'!D$2:D$875,A408,'Base bordo CD'!A$2:A$875,B408),0)</f>
        <v>23.999999999999996</v>
      </c>
      <c r="Q408" s="10">
        <f>IFERROR(SUMIFS('Base bordo CD'!O$2:O$875,'Base bordo CD'!D$2:D$875,A408,'Base bordo CD'!A$2:A$875,B408,'Base bordo CD'!L$2:L$875,"CORTE DE CANA MECANIZADO"),0)</f>
        <v>5032.5399999999991</v>
      </c>
      <c r="R408" s="10">
        <f>IFERROR(SUMIFS('Base bordo CD'!Q$2:Q$875,'Base bordo CD'!D$2:D$875,A408,'Base bordo CD'!A$2:A$875,B408,'Base bordo CD'!L$2:L$875,"CORTE DE CANA MECANIZADO"),0)</f>
        <v>1023</v>
      </c>
      <c r="S408" s="30">
        <f t="shared" si="36"/>
        <v>4.9193939393939381</v>
      </c>
      <c r="T408" s="9">
        <f t="shared" si="37"/>
        <v>1.1840277777777779E-2</v>
      </c>
      <c r="U408" s="9">
        <f t="shared" si="38"/>
        <v>9.722222222222223E-4</v>
      </c>
      <c r="V408" s="9">
        <f t="shared" si="39"/>
        <v>0.96560185185185188</v>
      </c>
    </row>
    <row r="409" spans="1:22" x14ac:dyDescent="0.35">
      <c r="A409" s="52">
        <v>49587</v>
      </c>
      <c r="B409" s="31">
        <v>46120</v>
      </c>
      <c r="C409" s="7" t="s">
        <v>337</v>
      </c>
      <c r="D409" s="7">
        <v>353</v>
      </c>
      <c r="E409" s="10">
        <f>IFERROR(SUMIFS('Base bordo CD'!M$2:M$875,'Base bordo CD'!D$2:D$875,A409,'Base bordo CD'!A$2:A$875,B409,'Base bordo CD'!L$2:L$875,"CORTE DE CANA MECANIZADO"),0)</f>
        <v>0.28416666666666668</v>
      </c>
      <c r="F409" s="10">
        <f>IFERROR(SUMIFS('Base bordo CD'!M$2:M$875,'Base bordo CD'!D$2:D$875,A409,'Base bordo CD'!A$2:A$875,B409,'Base bordo CD'!L$2:L$875,"MANOBRA"),0)</f>
        <v>2.3333333333333331E-2</v>
      </c>
      <c r="G409" s="10">
        <f>IFERROR(SUMIFS('Base bordo CD'!M$2:M$875,'Base bordo CD'!D$2:D$875,A409,'Base bordo CD'!A$2:A$875,B409,'Base bordo CD'!L$2:L$875,"DESLOCAMENTO"),0)</f>
        <v>0.54138888888888892</v>
      </c>
      <c r="H409" s="10">
        <f>IFERROR(SUMIFS('Base bordo CD'!M$2:M$875,'Base bordo CD'!D$2:D$875,A409,'Base bordo CD'!A$2:A$875,B409,'Base bordo CD'!L$2:L$875,"AGUARDANDO MANOBRA DE TRANSBORDO"),0)+IFERROR(SUMIFS('Base bordo CD'!M$2:M$875,'Base bordo CD'!D$2:D$875,A409,'Base bordo CD'!A$2:A$875,B409,'Base bordo CD'!L$2:L$875,"FALTA DE TRANSBORDO"),0)</f>
        <v>1.3055555555555556E-2</v>
      </c>
      <c r="I409" s="10">
        <f>IFERROR(SUMIFS('Base bordo CD'!M$2:M$875,'Base bordo CD'!D$2:D$875,A409,'Base bordo CD'!A$2:A$875,B409,'Base bordo CD'!L$2:L$875,"PARADA POR CONDICOES CLIMATICAS"),0)+IFERROR(SUMIFS('Base bordo CD'!M$2:M$875,'Base bordo CD'!D$2:D$875,A409,'Base bordo CD'!A$2:A$875,B409,'Base bordo CD'!L$2:L$875,"TEMPO INDETERMINADO"),0)</f>
        <v>22.167222222222222</v>
      </c>
      <c r="J409" s="10">
        <f>IFERROR(SUMIFS('Base bordo CD'!M$2:M$875,'Base bordo CD'!D$2:D$875,A409,'Base bordo CD'!A$2:A$875,B409,'Base bordo CD'!L$2:L$875,"LIMITAÇÃO INDÚSTRIA"),0)</f>
        <v>0</v>
      </c>
      <c r="K409" s="10">
        <f>IFERROR(SUMIFS('Base bordo CD'!M$2:M$875,'Base bordo CD'!D$2:D$875,A409,'Base bordo CD'!A$2:A$875,B409,'Base bordo CD'!L$2:L$875,"MAN CORRETIVA*"),0)+IFERROR(SUMIFS('Base bordo CD'!M$2:M$875,'Base bordo CD'!D$2:D$875,A409,'Base bordo CD'!A$2:A$875,B409,'Base bordo CD'!L$2:L$875,"AGUARDANDO MANUTENCAO*"),0)+IFERROR(SUMIFS('Base bordo CD'!M$2:M$875,'Base bordo CD'!D$2:D$875,A409,'Base bordo CD'!A$2:A$875,B409,'Base bordo CD'!L$2:L$875,"TROCA DE FAQUINHA"),0)+IFERROR(SUMIFS('Base bordo CD'!M$2:M$875,'Base bordo CD'!D$2:D$875,A409,'Base bordo CD'!A$2:A$875,B409,'Base bordo CD'!L$2:L$875,"LIMPEZA*"),0)</f>
        <v>0.93722222222222218</v>
      </c>
      <c r="L409" s="10">
        <f>IFERROR(SUMIFS('Base bordo CD'!M$2:M$875,'Base bordo CD'!D$2:D$875,A409,'Base bordo CD'!A$2:A$875,B409,'Base bordo CD'!L$2:L$875,"PATIO - RESERVA"),0)</f>
        <v>0</v>
      </c>
      <c r="M409" s="10">
        <f>IFERROR(SUMIFS('Base bordo CD'!M$2:M$875,'Base bordo CD'!D$2:D$875,A409,'Base bordo CD'!A$2:A$875,B409,'Base bordo CD'!L$2:L$875,"SEM APONTAMENTO"),0)</f>
        <v>3.3611111111111112E-2</v>
      </c>
      <c r="N409" s="10">
        <f>IFERROR(SUMIFS('Base bordo CD'!M$2:M$875,'Base bordo CD'!D$2:D$875,A409,'Base bordo CD'!A$2:A$875,B409,'Base bordo CD'!L$2:L$875,"FALTA DE CAMINHÃO"),0)+IFERROR(SUMIFS('Base bordo CD'!M$2:M$875,'Base bordo CD'!D$2:D$875,A409,'Base bordo CD'!A$2:A$875,B409,'Base bordo CD'!L$2:L$875,"FALTA DE COMBUSTIVEL"),0)+IFERROR(SUMIFS('Base bordo CD'!M$2:M$875,'Base bordo CD'!D$2:D$875,A409,'Base bordo CD'!A$2:A$875,B409,'Base bordo CD'!L$2:L$875,"FALTA DE MOTORIST*"),0)</f>
        <v>0</v>
      </c>
      <c r="O409" s="10">
        <f t="shared" si="35"/>
        <v>0</v>
      </c>
      <c r="P409" s="10">
        <f>IFERROR(SUMIFS('Base bordo CD'!M$2:M$875,'Base bordo CD'!D$2:D$875,A409,'Base bordo CD'!A$2:A$875,B409),0)</f>
        <v>23.999999999999996</v>
      </c>
      <c r="Q409" s="10">
        <f>IFERROR(SUMIFS('Base bordo CD'!O$2:O$875,'Base bordo CD'!D$2:D$875,A409,'Base bordo CD'!A$2:A$875,B409,'Base bordo CD'!L$2:L$875,"CORTE DE CANA MECANIZADO"),0)</f>
        <v>5032.5399999999991</v>
      </c>
      <c r="R409" s="10">
        <f>IFERROR(SUMIFS('Base bordo CD'!Q$2:Q$875,'Base bordo CD'!D$2:D$875,A409,'Base bordo CD'!A$2:A$875,B409,'Base bordo CD'!L$2:L$875,"CORTE DE CANA MECANIZADO"),0)</f>
        <v>1023</v>
      </c>
      <c r="S409" s="30">
        <f t="shared" si="36"/>
        <v>4.9193939393939381</v>
      </c>
      <c r="T409" s="9">
        <f t="shared" si="37"/>
        <v>1.1840277777777779E-2</v>
      </c>
      <c r="U409" s="9">
        <f t="shared" si="38"/>
        <v>9.722222222222223E-4</v>
      </c>
      <c r="V409" s="9">
        <f t="shared" si="39"/>
        <v>0.96560185185185188</v>
      </c>
    </row>
    <row r="410" spans="1:22" hidden="1" x14ac:dyDescent="0.35">
      <c r="A410" s="52">
        <v>49588</v>
      </c>
      <c r="B410" s="31">
        <v>46120</v>
      </c>
      <c r="C410" s="7" t="s">
        <v>364</v>
      </c>
      <c r="D410" s="7">
        <v>352</v>
      </c>
      <c r="E410" s="10">
        <f>IFERROR(SUMIFS('Base bordo CD'!M$2:M$875,'Base bordo CD'!D$2:D$875,A410,'Base bordo CD'!A$2:A$875,B410,'Base bordo CD'!L$2:L$875,"CORTE DE CANA MECANIZADO"),0)</f>
        <v>0</v>
      </c>
      <c r="F410" s="10">
        <f>IFERROR(SUMIFS('Base bordo CD'!M$2:M$875,'Base bordo CD'!D$2:D$875,A410,'Base bordo CD'!A$2:A$875,B410,'Base bordo CD'!L$2:L$875,"MANOBRA"),0)</f>
        <v>0</v>
      </c>
      <c r="G410" s="10">
        <f>IFERROR(SUMIFS('Base bordo CD'!M$2:M$875,'Base bordo CD'!D$2:D$875,A410,'Base bordo CD'!A$2:A$875,B410,'Base bordo CD'!L$2:L$875,"DESLOCAMENTO"),0)</f>
        <v>1.6111111111111111E-2</v>
      </c>
      <c r="H410" s="10">
        <f>IFERROR(SUMIFS('Base bordo CD'!M$2:M$875,'Base bordo CD'!D$2:D$875,A410,'Base bordo CD'!A$2:A$875,B410,'Base bordo CD'!L$2:L$875,"AGUARDANDO MANOBRA DE TRANSBORDO"),0)+IFERROR(SUMIFS('Base bordo CD'!M$2:M$875,'Base bordo CD'!D$2:D$875,A410,'Base bordo CD'!A$2:A$875,B410,'Base bordo CD'!L$2:L$875,"FALTA DE TRANSBORDO"),0)</f>
        <v>0</v>
      </c>
      <c r="I410" s="10">
        <f>IFERROR(SUMIFS('Base bordo CD'!M$2:M$875,'Base bordo CD'!D$2:D$875,A410,'Base bordo CD'!A$2:A$875,B410,'Base bordo CD'!L$2:L$875,"PARADA POR CONDICOES CLIMATICAS"),0)+IFERROR(SUMIFS('Base bordo CD'!M$2:M$875,'Base bordo CD'!D$2:D$875,A410,'Base bordo CD'!A$2:A$875,B410,'Base bordo CD'!L$2:L$875,"TEMPO INDETERMINADO"),0)</f>
        <v>23.983888888888888</v>
      </c>
      <c r="J410" s="10">
        <f>IFERROR(SUMIFS('Base bordo CD'!M$2:M$875,'Base bordo CD'!D$2:D$875,A410,'Base bordo CD'!A$2:A$875,B410,'Base bordo CD'!L$2:L$875,"LIMITAÇÃO INDÚSTRIA"),0)</f>
        <v>0</v>
      </c>
      <c r="K410" s="10">
        <f>IFERROR(SUMIFS('Base bordo CD'!M$2:M$875,'Base bordo CD'!D$2:D$875,A410,'Base bordo CD'!A$2:A$875,B410,'Base bordo CD'!L$2:L$875,"MAN CORRETIVA*"),0)+IFERROR(SUMIFS('Base bordo CD'!M$2:M$875,'Base bordo CD'!D$2:D$875,A410,'Base bordo CD'!A$2:A$875,B410,'Base bordo CD'!L$2:L$875,"AGUARDANDO MANUTENCAO*"),0)+IFERROR(SUMIFS('Base bordo CD'!M$2:M$875,'Base bordo CD'!D$2:D$875,A410,'Base bordo CD'!A$2:A$875,B410,'Base bordo CD'!L$2:L$875,"TROCA DE FAQUINHA"),0)+IFERROR(SUMIFS('Base bordo CD'!M$2:M$875,'Base bordo CD'!D$2:D$875,A410,'Base bordo CD'!A$2:A$875,B410,'Base bordo CD'!L$2:L$875,"LIMPEZA*"),0)</f>
        <v>0</v>
      </c>
      <c r="L410" s="10">
        <f>IFERROR(SUMIFS('Base bordo CD'!M$2:M$875,'Base bordo CD'!D$2:D$875,A410,'Base bordo CD'!A$2:A$875,B410,'Base bordo CD'!L$2:L$875,"PATIO - RESERVA"),0)</f>
        <v>0</v>
      </c>
      <c r="M410" s="10">
        <f>IFERROR(SUMIFS('Base bordo CD'!M$2:M$875,'Base bordo CD'!D$2:D$875,A410,'Base bordo CD'!A$2:A$875,B410,'Base bordo CD'!L$2:L$875,"SEM APONTAMENTO"),0)</f>
        <v>0</v>
      </c>
      <c r="N410" s="10">
        <f>IFERROR(SUMIFS('Base bordo CD'!M$2:M$875,'Base bordo CD'!D$2:D$875,A410,'Base bordo CD'!A$2:A$875,B410,'Base bordo CD'!L$2:L$875,"FALTA DE CAMINHÃO"),0)+IFERROR(SUMIFS('Base bordo CD'!M$2:M$875,'Base bordo CD'!D$2:D$875,A410,'Base bordo CD'!A$2:A$875,B410,'Base bordo CD'!L$2:L$875,"FALTA DE COMBUSTIVEL"),0)+IFERROR(SUMIFS('Base bordo CD'!M$2:M$875,'Base bordo CD'!D$2:D$875,A410,'Base bordo CD'!A$2:A$875,B410,'Base bordo CD'!L$2:L$875,"FALTA DE MOTORIST*"),0)</f>
        <v>0</v>
      </c>
      <c r="O410" s="10">
        <f t="shared" si="35"/>
        <v>0</v>
      </c>
      <c r="P410" s="10">
        <f>IFERROR(SUMIFS('Base bordo CD'!M$2:M$875,'Base bordo CD'!D$2:D$875,A410,'Base bordo CD'!A$2:A$875,B410),0)</f>
        <v>24</v>
      </c>
      <c r="Q410" s="10">
        <f>IFERROR(SUMIFS('Base bordo CD'!O$2:O$875,'Base bordo CD'!D$2:D$875,A410,'Base bordo CD'!A$2:A$875,B410,'Base bordo CD'!L$2:L$875,"CORTE DE CANA MECANIZADO"),0)</f>
        <v>0</v>
      </c>
      <c r="R410" s="10">
        <f>IFERROR(SUMIFS('Base bordo CD'!Q$2:Q$875,'Base bordo CD'!D$2:D$875,A410,'Base bordo CD'!A$2:A$875,B410,'Base bordo CD'!L$2:L$875,"CORTE DE CANA MECANIZADO"),0)</f>
        <v>0</v>
      </c>
      <c r="S410" s="30" t="str">
        <f t="shared" si="36"/>
        <v/>
      </c>
      <c r="T410" s="9">
        <f t="shared" si="37"/>
        <v>0</v>
      </c>
      <c r="U410" s="9">
        <f t="shared" si="38"/>
        <v>0</v>
      </c>
      <c r="V410" s="9">
        <f t="shared" si="39"/>
        <v>0.99932870370370375</v>
      </c>
    </row>
    <row r="411" spans="1:22" hidden="1" x14ac:dyDescent="0.35">
      <c r="A411" s="52">
        <v>49588</v>
      </c>
      <c r="B411" s="31">
        <v>46120</v>
      </c>
      <c r="C411" s="7" t="s">
        <v>364</v>
      </c>
      <c r="D411" s="7">
        <v>352</v>
      </c>
      <c r="E411" s="10">
        <f>IFERROR(SUMIFS('Base bordo CD'!M$2:M$875,'Base bordo CD'!D$2:D$875,A411,'Base bordo CD'!A$2:A$875,B411,'Base bordo CD'!L$2:L$875,"CORTE DE CANA MECANIZADO"),0)</f>
        <v>0</v>
      </c>
      <c r="F411" s="10">
        <f>IFERROR(SUMIFS('Base bordo CD'!M$2:M$875,'Base bordo CD'!D$2:D$875,A411,'Base bordo CD'!A$2:A$875,B411,'Base bordo CD'!L$2:L$875,"MANOBRA"),0)</f>
        <v>0</v>
      </c>
      <c r="G411" s="10">
        <f>IFERROR(SUMIFS('Base bordo CD'!M$2:M$875,'Base bordo CD'!D$2:D$875,A411,'Base bordo CD'!A$2:A$875,B411,'Base bordo CD'!L$2:L$875,"DESLOCAMENTO"),0)</f>
        <v>1.6111111111111111E-2</v>
      </c>
      <c r="H411" s="10">
        <f>IFERROR(SUMIFS('Base bordo CD'!M$2:M$875,'Base bordo CD'!D$2:D$875,A411,'Base bordo CD'!A$2:A$875,B411,'Base bordo CD'!L$2:L$875,"AGUARDANDO MANOBRA DE TRANSBORDO"),0)+IFERROR(SUMIFS('Base bordo CD'!M$2:M$875,'Base bordo CD'!D$2:D$875,A411,'Base bordo CD'!A$2:A$875,B411,'Base bordo CD'!L$2:L$875,"FALTA DE TRANSBORDO"),0)</f>
        <v>0</v>
      </c>
      <c r="I411" s="10">
        <f>IFERROR(SUMIFS('Base bordo CD'!M$2:M$875,'Base bordo CD'!D$2:D$875,A411,'Base bordo CD'!A$2:A$875,B411,'Base bordo CD'!L$2:L$875,"PARADA POR CONDICOES CLIMATICAS"),0)+IFERROR(SUMIFS('Base bordo CD'!M$2:M$875,'Base bordo CD'!D$2:D$875,A411,'Base bordo CD'!A$2:A$875,B411,'Base bordo CD'!L$2:L$875,"TEMPO INDETERMINADO"),0)</f>
        <v>23.983888888888888</v>
      </c>
      <c r="J411" s="10">
        <f>IFERROR(SUMIFS('Base bordo CD'!M$2:M$875,'Base bordo CD'!D$2:D$875,A411,'Base bordo CD'!A$2:A$875,B411,'Base bordo CD'!L$2:L$875,"LIMITAÇÃO INDÚSTRIA"),0)</f>
        <v>0</v>
      </c>
      <c r="K411" s="10">
        <f>IFERROR(SUMIFS('Base bordo CD'!M$2:M$875,'Base bordo CD'!D$2:D$875,A411,'Base bordo CD'!A$2:A$875,B411,'Base bordo CD'!L$2:L$875,"MAN CORRETIVA*"),0)+IFERROR(SUMIFS('Base bordo CD'!M$2:M$875,'Base bordo CD'!D$2:D$875,A411,'Base bordo CD'!A$2:A$875,B411,'Base bordo CD'!L$2:L$875,"AGUARDANDO MANUTENCAO*"),0)+IFERROR(SUMIFS('Base bordo CD'!M$2:M$875,'Base bordo CD'!D$2:D$875,A411,'Base bordo CD'!A$2:A$875,B411,'Base bordo CD'!L$2:L$875,"TROCA DE FAQUINHA"),0)+IFERROR(SUMIFS('Base bordo CD'!M$2:M$875,'Base bordo CD'!D$2:D$875,A411,'Base bordo CD'!A$2:A$875,B411,'Base bordo CD'!L$2:L$875,"LIMPEZA*"),0)</f>
        <v>0</v>
      </c>
      <c r="L411" s="10">
        <f>IFERROR(SUMIFS('Base bordo CD'!M$2:M$875,'Base bordo CD'!D$2:D$875,A411,'Base bordo CD'!A$2:A$875,B411,'Base bordo CD'!L$2:L$875,"PATIO - RESERVA"),0)</f>
        <v>0</v>
      </c>
      <c r="M411" s="10">
        <f>IFERROR(SUMIFS('Base bordo CD'!M$2:M$875,'Base bordo CD'!D$2:D$875,A411,'Base bordo CD'!A$2:A$875,B411,'Base bordo CD'!L$2:L$875,"SEM APONTAMENTO"),0)</f>
        <v>0</v>
      </c>
      <c r="N411" s="10">
        <f>IFERROR(SUMIFS('Base bordo CD'!M$2:M$875,'Base bordo CD'!D$2:D$875,A411,'Base bordo CD'!A$2:A$875,B411,'Base bordo CD'!L$2:L$875,"FALTA DE CAMINHÃO"),0)+IFERROR(SUMIFS('Base bordo CD'!M$2:M$875,'Base bordo CD'!D$2:D$875,A411,'Base bordo CD'!A$2:A$875,B411,'Base bordo CD'!L$2:L$875,"FALTA DE COMBUSTIVEL"),0)+IFERROR(SUMIFS('Base bordo CD'!M$2:M$875,'Base bordo CD'!D$2:D$875,A411,'Base bordo CD'!A$2:A$875,B411,'Base bordo CD'!L$2:L$875,"FALTA DE MOTORIST*"),0)</f>
        <v>0</v>
      </c>
      <c r="O411" s="10">
        <f t="shared" si="35"/>
        <v>0</v>
      </c>
      <c r="P411" s="10">
        <f>IFERROR(SUMIFS('Base bordo CD'!M$2:M$875,'Base bordo CD'!D$2:D$875,A411,'Base bordo CD'!A$2:A$875,B411),0)</f>
        <v>24</v>
      </c>
      <c r="Q411" s="10">
        <f>IFERROR(SUMIFS('Base bordo CD'!O$2:O$875,'Base bordo CD'!D$2:D$875,A411,'Base bordo CD'!A$2:A$875,B411,'Base bordo CD'!L$2:L$875,"CORTE DE CANA MECANIZADO"),0)</f>
        <v>0</v>
      </c>
      <c r="R411" s="10">
        <f>IFERROR(SUMIFS('Base bordo CD'!Q$2:Q$875,'Base bordo CD'!D$2:D$875,A411,'Base bordo CD'!A$2:A$875,B411,'Base bordo CD'!L$2:L$875,"CORTE DE CANA MECANIZADO"),0)</f>
        <v>0</v>
      </c>
      <c r="S411" s="30" t="str">
        <f t="shared" si="36"/>
        <v/>
      </c>
      <c r="T411" s="9">
        <f t="shared" si="37"/>
        <v>0</v>
      </c>
      <c r="U411" s="9">
        <f t="shared" si="38"/>
        <v>0</v>
      </c>
      <c r="V411" s="9">
        <f t="shared" si="39"/>
        <v>0.99932870370370375</v>
      </c>
    </row>
    <row r="412" spans="1:22" hidden="1" x14ac:dyDescent="0.35">
      <c r="A412" s="52">
        <v>49588</v>
      </c>
      <c r="B412" s="31">
        <v>46120</v>
      </c>
      <c r="C412" s="7" t="s">
        <v>364</v>
      </c>
      <c r="D412" s="7">
        <v>352</v>
      </c>
      <c r="E412" s="10">
        <f>IFERROR(SUMIFS('Base bordo CD'!M$2:M$875,'Base bordo CD'!D$2:D$875,A412,'Base bordo CD'!A$2:A$875,B412,'Base bordo CD'!L$2:L$875,"CORTE DE CANA MECANIZADO"),0)</f>
        <v>0</v>
      </c>
      <c r="F412" s="10">
        <f>IFERROR(SUMIFS('Base bordo CD'!M$2:M$875,'Base bordo CD'!D$2:D$875,A412,'Base bordo CD'!A$2:A$875,B412,'Base bordo CD'!L$2:L$875,"MANOBRA"),0)</f>
        <v>0</v>
      </c>
      <c r="G412" s="10">
        <f>IFERROR(SUMIFS('Base bordo CD'!M$2:M$875,'Base bordo CD'!D$2:D$875,A412,'Base bordo CD'!A$2:A$875,B412,'Base bordo CD'!L$2:L$875,"DESLOCAMENTO"),0)</f>
        <v>1.6111111111111111E-2</v>
      </c>
      <c r="H412" s="10">
        <f>IFERROR(SUMIFS('Base bordo CD'!M$2:M$875,'Base bordo CD'!D$2:D$875,A412,'Base bordo CD'!A$2:A$875,B412,'Base bordo CD'!L$2:L$875,"AGUARDANDO MANOBRA DE TRANSBORDO"),0)+IFERROR(SUMIFS('Base bordo CD'!M$2:M$875,'Base bordo CD'!D$2:D$875,A412,'Base bordo CD'!A$2:A$875,B412,'Base bordo CD'!L$2:L$875,"FALTA DE TRANSBORDO"),0)</f>
        <v>0</v>
      </c>
      <c r="I412" s="10">
        <f>IFERROR(SUMIFS('Base bordo CD'!M$2:M$875,'Base bordo CD'!D$2:D$875,A412,'Base bordo CD'!A$2:A$875,B412,'Base bordo CD'!L$2:L$875,"PARADA POR CONDICOES CLIMATICAS"),0)+IFERROR(SUMIFS('Base bordo CD'!M$2:M$875,'Base bordo CD'!D$2:D$875,A412,'Base bordo CD'!A$2:A$875,B412,'Base bordo CD'!L$2:L$875,"TEMPO INDETERMINADO"),0)</f>
        <v>23.983888888888888</v>
      </c>
      <c r="J412" s="10">
        <f>IFERROR(SUMIFS('Base bordo CD'!M$2:M$875,'Base bordo CD'!D$2:D$875,A412,'Base bordo CD'!A$2:A$875,B412,'Base bordo CD'!L$2:L$875,"LIMITAÇÃO INDÚSTRIA"),0)</f>
        <v>0</v>
      </c>
      <c r="K412" s="10">
        <f>IFERROR(SUMIFS('Base bordo CD'!M$2:M$875,'Base bordo CD'!D$2:D$875,A412,'Base bordo CD'!A$2:A$875,B412,'Base bordo CD'!L$2:L$875,"MAN CORRETIVA*"),0)+IFERROR(SUMIFS('Base bordo CD'!M$2:M$875,'Base bordo CD'!D$2:D$875,A412,'Base bordo CD'!A$2:A$875,B412,'Base bordo CD'!L$2:L$875,"AGUARDANDO MANUTENCAO*"),0)+IFERROR(SUMIFS('Base bordo CD'!M$2:M$875,'Base bordo CD'!D$2:D$875,A412,'Base bordo CD'!A$2:A$875,B412,'Base bordo CD'!L$2:L$875,"TROCA DE FAQUINHA"),0)+IFERROR(SUMIFS('Base bordo CD'!M$2:M$875,'Base bordo CD'!D$2:D$875,A412,'Base bordo CD'!A$2:A$875,B412,'Base bordo CD'!L$2:L$875,"LIMPEZA*"),0)</f>
        <v>0</v>
      </c>
      <c r="L412" s="10">
        <f>IFERROR(SUMIFS('Base bordo CD'!M$2:M$875,'Base bordo CD'!D$2:D$875,A412,'Base bordo CD'!A$2:A$875,B412,'Base bordo CD'!L$2:L$875,"PATIO - RESERVA"),0)</f>
        <v>0</v>
      </c>
      <c r="M412" s="10">
        <f>IFERROR(SUMIFS('Base bordo CD'!M$2:M$875,'Base bordo CD'!D$2:D$875,A412,'Base bordo CD'!A$2:A$875,B412,'Base bordo CD'!L$2:L$875,"SEM APONTAMENTO"),0)</f>
        <v>0</v>
      </c>
      <c r="N412" s="10">
        <f>IFERROR(SUMIFS('Base bordo CD'!M$2:M$875,'Base bordo CD'!D$2:D$875,A412,'Base bordo CD'!A$2:A$875,B412,'Base bordo CD'!L$2:L$875,"FALTA DE CAMINHÃO"),0)+IFERROR(SUMIFS('Base bordo CD'!M$2:M$875,'Base bordo CD'!D$2:D$875,A412,'Base bordo CD'!A$2:A$875,B412,'Base bordo CD'!L$2:L$875,"FALTA DE COMBUSTIVEL"),0)+IFERROR(SUMIFS('Base bordo CD'!M$2:M$875,'Base bordo CD'!D$2:D$875,A412,'Base bordo CD'!A$2:A$875,B412,'Base bordo CD'!L$2:L$875,"FALTA DE MOTORIST*"),0)</f>
        <v>0</v>
      </c>
      <c r="O412" s="10">
        <f t="shared" si="35"/>
        <v>0</v>
      </c>
      <c r="P412" s="10">
        <f>IFERROR(SUMIFS('Base bordo CD'!M$2:M$875,'Base bordo CD'!D$2:D$875,A412,'Base bordo CD'!A$2:A$875,B412),0)</f>
        <v>24</v>
      </c>
      <c r="Q412" s="10">
        <f>IFERROR(SUMIFS('Base bordo CD'!O$2:O$875,'Base bordo CD'!D$2:D$875,A412,'Base bordo CD'!A$2:A$875,B412,'Base bordo CD'!L$2:L$875,"CORTE DE CANA MECANIZADO"),0)</f>
        <v>0</v>
      </c>
      <c r="R412" s="10">
        <f>IFERROR(SUMIFS('Base bordo CD'!Q$2:Q$875,'Base bordo CD'!D$2:D$875,A412,'Base bordo CD'!A$2:A$875,B412,'Base bordo CD'!L$2:L$875,"CORTE DE CANA MECANIZADO"),0)</f>
        <v>0</v>
      </c>
      <c r="S412" s="30" t="str">
        <f t="shared" si="36"/>
        <v/>
      </c>
      <c r="T412" s="9">
        <f t="shared" si="37"/>
        <v>0</v>
      </c>
      <c r="U412" s="9">
        <f t="shared" si="38"/>
        <v>0</v>
      </c>
      <c r="V412" s="9">
        <f t="shared" si="39"/>
        <v>0.99932870370370375</v>
      </c>
    </row>
    <row r="413" spans="1:22" hidden="1" x14ac:dyDescent="0.35">
      <c r="A413" s="52">
        <v>49589</v>
      </c>
      <c r="B413" s="31">
        <v>46120</v>
      </c>
      <c r="C413" s="7" t="s">
        <v>321</v>
      </c>
      <c r="D413" s="7">
        <v>351</v>
      </c>
      <c r="E413" s="10">
        <f>IFERROR(SUMIFS('Base bordo CD'!M$2:M$875,'Base bordo CD'!D$2:D$875,A413,'Base bordo CD'!A$2:A$875,B413,'Base bordo CD'!L$2:L$875,"CORTE DE CANA MECANIZADO"),0)</f>
        <v>0</v>
      </c>
      <c r="F413" s="10">
        <f>IFERROR(SUMIFS('Base bordo CD'!M$2:M$875,'Base bordo CD'!D$2:D$875,A413,'Base bordo CD'!A$2:A$875,B413,'Base bordo CD'!L$2:L$875,"MANOBRA"),0)</f>
        <v>0</v>
      </c>
      <c r="G413" s="10">
        <f>IFERROR(SUMIFS('Base bordo CD'!M$2:M$875,'Base bordo CD'!D$2:D$875,A413,'Base bordo CD'!A$2:A$875,B413,'Base bordo CD'!L$2:L$875,"DESLOCAMENTO"),0)</f>
        <v>0</v>
      </c>
      <c r="H413" s="10">
        <f>IFERROR(SUMIFS('Base bordo CD'!M$2:M$875,'Base bordo CD'!D$2:D$875,A413,'Base bordo CD'!A$2:A$875,B413,'Base bordo CD'!L$2:L$875,"AGUARDANDO MANOBRA DE TRANSBORDO"),0)+IFERROR(SUMIFS('Base bordo CD'!M$2:M$875,'Base bordo CD'!D$2:D$875,A413,'Base bordo CD'!A$2:A$875,B413,'Base bordo CD'!L$2:L$875,"FALTA DE TRANSBORDO"),0)</f>
        <v>0</v>
      </c>
      <c r="I413" s="10">
        <f>IFERROR(SUMIFS('Base bordo CD'!M$2:M$875,'Base bordo CD'!D$2:D$875,A413,'Base bordo CD'!A$2:A$875,B413,'Base bordo CD'!L$2:L$875,"PARADA POR CONDICOES CLIMATICAS"),0)+IFERROR(SUMIFS('Base bordo CD'!M$2:M$875,'Base bordo CD'!D$2:D$875,A413,'Base bordo CD'!A$2:A$875,B413,'Base bordo CD'!L$2:L$875,"TEMPO INDETERMINADO"),0)</f>
        <v>24</v>
      </c>
      <c r="J413" s="10">
        <f>IFERROR(SUMIFS('Base bordo CD'!M$2:M$875,'Base bordo CD'!D$2:D$875,A413,'Base bordo CD'!A$2:A$875,B413,'Base bordo CD'!L$2:L$875,"LIMITAÇÃO INDÚSTRIA"),0)</f>
        <v>0</v>
      </c>
      <c r="K413" s="10">
        <f>IFERROR(SUMIFS('Base bordo CD'!M$2:M$875,'Base bordo CD'!D$2:D$875,A413,'Base bordo CD'!A$2:A$875,B413,'Base bordo CD'!L$2:L$875,"MAN CORRETIVA*"),0)+IFERROR(SUMIFS('Base bordo CD'!M$2:M$875,'Base bordo CD'!D$2:D$875,A413,'Base bordo CD'!A$2:A$875,B413,'Base bordo CD'!L$2:L$875,"AGUARDANDO MANUTENCAO*"),0)+IFERROR(SUMIFS('Base bordo CD'!M$2:M$875,'Base bordo CD'!D$2:D$875,A413,'Base bordo CD'!A$2:A$875,B413,'Base bordo CD'!L$2:L$875,"TROCA DE FAQUINHA"),0)+IFERROR(SUMIFS('Base bordo CD'!M$2:M$875,'Base bordo CD'!D$2:D$875,A413,'Base bordo CD'!A$2:A$875,B413,'Base bordo CD'!L$2:L$875,"LIMPEZA*"),0)</f>
        <v>0</v>
      </c>
      <c r="L413" s="10">
        <f>IFERROR(SUMIFS('Base bordo CD'!M$2:M$875,'Base bordo CD'!D$2:D$875,A413,'Base bordo CD'!A$2:A$875,B413,'Base bordo CD'!L$2:L$875,"PATIO - RESERVA"),0)</f>
        <v>0</v>
      </c>
      <c r="M413" s="10">
        <f>IFERROR(SUMIFS('Base bordo CD'!M$2:M$875,'Base bordo CD'!D$2:D$875,A413,'Base bordo CD'!A$2:A$875,B413,'Base bordo CD'!L$2:L$875,"SEM APONTAMENTO"),0)</f>
        <v>0</v>
      </c>
      <c r="N413" s="10">
        <f>IFERROR(SUMIFS('Base bordo CD'!M$2:M$875,'Base bordo CD'!D$2:D$875,A413,'Base bordo CD'!A$2:A$875,B413,'Base bordo CD'!L$2:L$875,"FALTA DE CAMINHÃO"),0)+IFERROR(SUMIFS('Base bordo CD'!M$2:M$875,'Base bordo CD'!D$2:D$875,A413,'Base bordo CD'!A$2:A$875,B413,'Base bordo CD'!L$2:L$875,"FALTA DE COMBUSTIVEL"),0)+IFERROR(SUMIFS('Base bordo CD'!M$2:M$875,'Base bordo CD'!D$2:D$875,A413,'Base bordo CD'!A$2:A$875,B413,'Base bordo CD'!L$2:L$875,"FALTA DE MOTORIST*"),0)</f>
        <v>0</v>
      </c>
      <c r="O413" s="10">
        <f t="shared" si="35"/>
        <v>0</v>
      </c>
      <c r="P413" s="10">
        <f>IFERROR(SUMIFS('Base bordo CD'!M$2:M$875,'Base bordo CD'!D$2:D$875,A413,'Base bordo CD'!A$2:A$875,B413),0)</f>
        <v>24</v>
      </c>
      <c r="Q413" s="10">
        <f>IFERROR(SUMIFS('Base bordo CD'!O$2:O$875,'Base bordo CD'!D$2:D$875,A413,'Base bordo CD'!A$2:A$875,B413,'Base bordo CD'!L$2:L$875,"CORTE DE CANA MECANIZADO"),0)</f>
        <v>0</v>
      </c>
      <c r="R413" s="10">
        <f>IFERROR(SUMIFS('Base bordo CD'!Q$2:Q$875,'Base bordo CD'!D$2:D$875,A413,'Base bordo CD'!A$2:A$875,B413,'Base bordo CD'!L$2:L$875,"CORTE DE CANA MECANIZADO"),0)</f>
        <v>0</v>
      </c>
      <c r="S413" s="30" t="str">
        <f t="shared" si="36"/>
        <v/>
      </c>
      <c r="T413" s="9">
        <f t="shared" si="37"/>
        <v>0</v>
      </c>
      <c r="U413" s="9">
        <f t="shared" si="38"/>
        <v>0</v>
      </c>
      <c r="V413" s="9">
        <f t="shared" si="39"/>
        <v>1</v>
      </c>
    </row>
    <row r="414" spans="1:22" hidden="1" x14ac:dyDescent="0.35">
      <c r="A414" s="52">
        <v>49589</v>
      </c>
      <c r="B414" s="31">
        <v>46120</v>
      </c>
      <c r="C414" s="7" t="s">
        <v>321</v>
      </c>
      <c r="D414" s="7">
        <v>351</v>
      </c>
      <c r="E414" s="10">
        <f>IFERROR(SUMIFS('Base bordo CD'!M$2:M$875,'Base bordo CD'!D$2:D$875,A414,'Base bordo CD'!A$2:A$875,B414,'Base bordo CD'!L$2:L$875,"CORTE DE CANA MECANIZADO"),0)</f>
        <v>0</v>
      </c>
      <c r="F414" s="10">
        <f>IFERROR(SUMIFS('Base bordo CD'!M$2:M$875,'Base bordo CD'!D$2:D$875,A414,'Base bordo CD'!A$2:A$875,B414,'Base bordo CD'!L$2:L$875,"MANOBRA"),0)</f>
        <v>0</v>
      </c>
      <c r="G414" s="10">
        <f>IFERROR(SUMIFS('Base bordo CD'!M$2:M$875,'Base bordo CD'!D$2:D$875,A414,'Base bordo CD'!A$2:A$875,B414,'Base bordo CD'!L$2:L$875,"DESLOCAMENTO"),0)</f>
        <v>0</v>
      </c>
      <c r="H414" s="10">
        <f>IFERROR(SUMIFS('Base bordo CD'!M$2:M$875,'Base bordo CD'!D$2:D$875,A414,'Base bordo CD'!A$2:A$875,B414,'Base bordo CD'!L$2:L$875,"AGUARDANDO MANOBRA DE TRANSBORDO"),0)+IFERROR(SUMIFS('Base bordo CD'!M$2:M$875,'Base bordo CD'!D$2:D$875,A414,'Base bordo CD'!A$2:A$875,B414,'Base bordo CD'!L$2:L$875,"FALTA DE TRANSBORDO"),0)</f>
        <v>0</v>
      </c>
      <c r="I414" s="10">
        <f>IFERROR(SUMIFS('Base bordo CD'!M$2:M$875,'Base bordo CD'!D$2:D$875,A414,'Base bordo CD'!A$2:A$875,B414,'Base bordo CD'!L$2:L$875,"PARADA POR CONDICOES CLIMATICAS"),0)+IFERROR(SUMIFS('Base bordo CD'!M$2:M$875,'Base bordo CD'!D$2:D$875,A414,'Base bordo CD'!A$2:A$875,B414,'Base bordo CD'!L$2:L$875,"TEMPO INDETERMINADO"),0)</f>
        <v>24</v>
      </c>
      <c r="J414" s="10">
        <f>IFERROR(SUMIFS('Base bordo CD'!M$2:M$875,'Base bordo CD'!D$2:D$875,A414,'Base bordo CD'!A$2:A$875,B414,'Base bordo CD'!L$2:L$875,"LIMITAÇÃO INDÚSTRIA"),0)</f>
        <v>0</v>
      </c>
      <c r="K414" s="10">
        <f>IFERROR(SUMIFS('Base bordo CD'!M$2:M$875,'Base bordo CD'!D$2:D$875,A414,'Base bordo CD'!A$2:A$875,B414,'Base bordo CD'!L$2:L$875,"MAN CORRETIVA*"),0)+IFERROR(SUMIFS('Base bordo CD'!M$2:M$875,'Base bordo CD'!D$2:D$875,A414,'Base bordo CD'!A$2:A$875,B414,'Base bordo CD'!L$2:L$875,"AGUARDANDO MANUTENCAO*"),0)+IFERROR(SUMIFS('Base bordo CD'!M$2:M$875,'Base bordo CD'!D$2:D$875,A414,'Base bordo CD'!A$2:A$875,B414,'Base bordo CD'!L$2:L$875,"TROCA DE FAQUINHA"),0)+IFERROR(SUMIFS('Base bordo CD'!M$2:M$875,'Base bordo CD'!D$2:D$875,A414,'Base bordo CD'!A$2:A$875,B414,'Base bordo CD'!L$2:L$875,"LIMPEZA*"),0)</f>
        <v>0</v>
      </c>
      <c r="L414" s="10">
        <f>IFERROR(SUMIFS('Base bordo CD'!M$2:M$875,'Base bordo CD'!D$2:D$875,A414,'Base bordo CD'!A$2:A$875,B414,'Base bordo CD'!L$2:L$875,"PATIO - RESERVA"),0)</f>
        <v>0</v>
      </c>
      <c r="M414" s="10">
        <f>IFERROR(SUMIFS('Base bordo CD'!M$2:M$875,'Base bordo CD'!D$2:D$875,A414,'Base bordo CD'!A$2:A$875,B414,'Base bordo CD'!L$2:L$875,"SEM APONTAMENTO"),0)</f>
        <v>0</v>
      </c>
      <c r="N414" s="10">
        <f>IFERROR(SUMIFS('Base bordo CD'!M$2:M$875,'Base bordo CD'!D$2:D$875,A414,'Base bordo CD'!A$2:A$875,B414,'Base bordo CD'!L$2:L$875,"FALTA DE CAMINHÃO"),0)+IFERROR(SUMIFS('Base bordo CD'!M$2:M$875,'Base bordo CD'!D$2:D$875,A414,'Base bordo CD'!A$2:A$875,B414,'Base bordo CD'!L$2:L$875,"FALTA DE COMBUSTIVEL"),0)+IFERROR(SUMIFS('Base bordo CD'!M$2:M$875,'Base bordo CD'!D$2:D$875,A414,'Base bordo CD'!A$2:A$875,B414,'Base bordo CD'!L$2:L$875,"FALTA DE MOTORIST*"),0)</f>
        <v>0</v>
      </c>
      <c r="O414" s="10">
        <f t="shared" si="35"/>
        <v>0</v>
      </c>
      <c r="P414" s="10">
        <f>IFERROR(SUMIFS('Base bordo CD'!M$2:M$875,'Base bordo CD'!D$2:D$875,A414,'Base bordo CD'!A$2:A$875,B414),0)</f>
        <v>24</v>
      </c>
      <c r="Q414" s="10">
        <f>IFERROR(SUMIFS('Base bordo CD'!O$2:O$875,'Base bordo CD'!D$2:D$875,A414,'Base bordo CD'!A$2:A$875,B414,'Base bordo CD'!L$2:L$875,"CORTE DE CANA MECANIZADO"),0)</f>
        <v>0</v>
      </c>
      <c r="R414" s="10">
        <f>IFERROR(SUMIFS('Base bordo CD'!Q$2:Q$875,'Base bordo CD'!D$2:D$875,A414,'Base bordo CD'!A$2:A$875,B414,'Base bordo CD'!L$2:L$875,"CORTE DE CANA MECANIZADO"),0)</f>
        <v>0</v>
      </c>
      <c r="S414" s="30" t="str">
        <f t="shared" si="36"/>
        <v/>
      </c>
      <c r="T414" s="9">
        <f t="shared" si="37"/>
        <v>0</v>
      </c>
      <c r="U414" s="9">
        <f t="shared" si="38"/>
        <v>0</v>
      </c>
      <c r="V414" s="9">
        <f t="shared" si="39"/>
        <v>1</v>
      </c>
    </row>
    <row r="415" spans="1:22" hidden="1" x14ac:dyDescent="0.35">
      <c r="A415" s="52">
        <v>49590</v>
      </c>
      <c r="B415" s="31">
        <v>46120</v>
      </c>
      <c r="C415" s="7" t="s">
        <v>321</v>
      </c>
      <c r="D415" s="7">
        <v>351</v>
      </c>
      <c r="E415" s="10">
        <f>IFERROR(SUMIFS('Base bordo CD'!M$2:M$875,'Base bordo CD'!D$2:D$875,A415,'Base bordo CD'!A$2:A$875,B415,'Base bordo CD'!L$2:L$875,"CORTE DE CANA MECANIZADO"),0)</f>
        <v>0</v>
      </c>
      <c r="F415" s="10">
        <f>IFERROR(SUMIFS('Base bordo CD'!M$2:M$875,'Base bordo CD'!D$2:D$875,A415,'Base bordo CD'!A$2:A$875,B415,'Base bordo CD'!L$2:L$875,"MANOBRA"),0)</f>
        <v>0</v>
      </c>
      <c r="G415" s="10">
        <f>IFERROR(SUMIFS('Base bordo CD'!M$2:M$875,'Base bordo CD'!D$2:D$875,A415,'Base bordo CD'!A$2:A$875,B415,'Base bordo CD'!L$2:L$875,"DESLOCAMENTO"),0)</f>
        <v>0</v>
      </c>
      <c r="H415" s="10">
        <f>IFERROR(SUMIFS('Base bordo CD'!M$2:M$875,'Base bordo CD'!D$2:D$875,A415,'Base bordo CD'!A$2:A$875,B415,'Base bordo CD'!L$2:L$875,"AGUARDANDO MANOBRA DE TRANSBORDO"),0)+IFERROR(SUMIFS('Base bordo CD'!M$2:M$875,'Base bordo CD'!D$2:D$875,A415,'Base bordo CD'!A$2:A$875,B415,'Base bordo CD'!L$2:L$875,"FALTA DE TRANSBORDO"),0)</f>
        <v>0</v>
      </c>
      <c r="I415" s="10">
        <f>IFERROR(SUMIFS('Base bordo CD'!M$2:M$875,'Base bordo CD'!D$2:D$875,A415,'Base bordo CD'!A$2:A$875,B415,'Base bordo CD'!L$2:L$875,"PARADA POR CONDICOES CLIMATICAS"),0)+IFERROR(SUMIFS('Base bordo CD'!M$2:M$875,'Base bordo CD'!D$2:D$875,A415,'Base bordo CD'!A$2:A$875,B415,'Base bordo CD'!L$2:L$875,"TEMPO INDETERMINADO"),0)</f>
        <v>24</v>
      </c>
      <c r="J415" s="10">
        <f>IFERROR(SUMIFS('Base bordo CD'!M$2:M$875,'Base bordo CD'!D$2:D$875,A415,'Base bordo CD'!A$2:A$875,B415,'Base bordo CD'!L$2:L$875,"LIMITAÇÃO INDÚSTRIA"),0)</f>
        <v>0</v>
      </c>
      <c r="K415" s="10">
        <f>IFERROR(SUMIFS('Base bordo CD'!M$2:M$875,'Base bordo CD'!D$2:D$875,A415,'Base bordo CD'!A$2:A$875,B415,'Base bordo CD'!L$2:L$875,"MAN CORRETIVA*"),0)+IFERROR(SUMIFS('Base bordo CD'!M$2:M$875,'Base bordo CD'!D$2:D$875,A415,'Base bordo CD'!A$2:A$875,B415,'Base bordo CD'!L$2:L$875,"AGUARDANDO MANUTENCAO*"),0)+IFERROR(SUMIFS('Base bordo CD'!M$2:M$875,'Base bordo CD'!D$2:D$875,A415,'Base bordo CD'!A$2:A$875,B415,'Base bordo CD'!L$2:L$875,"TROCA DE FAQUINHA"),0)+IFERROR(SUMIFS('Base bordo CD'!M$2:M$875,'Base bordo CD'!D$2:D$875,A415,'Base bordo CD'!A$2:A$875,B415,'Base bordo CD'!L$2:L$875,"LIMPEZA*"),0)</f>
        <v>0</v>
      </c>
      <c r="L415" s="10">
        <f>IFERROR(SUMIFS('Base bordo CD'!M$2:M$875,'Base bordo CD'!D$2:D$875,A415,'Base bordo CD'!A$2:A$875,B415,'Base bordo CD'!L$2:L$875,"PATIO - RESERVA"),0)</f>
        <v>0</v>
      </c>
      <c r="M415" s="10">
        <f>IFERROR(SUMIFS('Base bordo CD'!M$2:M$875,'Base bordo CD'!D$2:D$875,A415,'Base bordo CD'!A$2:A$875,B415,'Base bordo CD'!L$2:L$875,"SEM APONTAMENTO"),0)</f>
        <v>0</v>
      </c>
      <c r="N415" s="10">
        <f>IFERROR(SUMIFS('Base bordo CD'!M$2:M$875,'Base bordo CD'!D$2:D$875,A415,'Base bordo CD'!A$2:A$875,B415,'Base bordo CD'!L$2:L$875,"FALTA DE CAMINHÃO"),0)+IFERROR(SUMIFS('Base bordo CD'!M$2:M$875,'Base bordo CD'!D$2:D$875,A415,'Base bordo CD'!A$2:A$875,B415,'Base bordo CD'!L$2:L$875,"FALTA DE COMBUSTIVEL"),0)+IFERROR(SUMIFS('Base bordo CD'!M$2:M$875,'Base bordo CD'!D$2:D$875,A415,'Base bordo CD'!A$2:A$875,B415,'Base bordo CD'!L$2:L$875,"FALTA DE MOTORIST*"),0)</f>
        <v>0</v>
      </c>
      <c r="O415" s="10">
        <f t="shared" si="35"/>
        <v>0</v>
      </c>
      <c r="P415" s="10">
        <f>IFERROR(SUMIFS('Base bordo CD'!M$2:M$875,'Base bordo CD'!D$2:D$875,A415,'Base bordo CD'!A$2:A$875,B415),0)</f>
        <v>24</v>
      </c>
      <c r="Q415" s="10">
        <f>IFERROR(SUMIFS('Base bordo CD'!O$2:O$875,'Base bordo CD'!D$2:D$875,A415,'Base bordo CD'!A$2:A$875,B415,'Base bordo CD'!L$2:L$875,"CORTE DE CANA MECANIZADO"),0)</f>
        <v>0</v>
      </c>
      <c r="R415" s="10">
        <f>IFERROR(SUMIFS('Base bordo CD'!Q$2:Q$875,'Base bordo CD'!D$2:D$875,A415,'Base bordo CD'!A$2:A$875,B415,'Base bordo CD'!L$2:L$875,"CORTE DE CANA MECANIZADO"),0)</f>
        <v>0</v>
      </c>
      <c r="S415" s="30" t="str">
        <f t="shared" si="36"/>
        <v/>
      </c>
      <c r="T415" s="9">
        <f t="shared" si="37"/>
        <v>0</v>
      </c>
      <c r="U415" s="9">
        <f t="shared" si="38"/>
        <v>0</v>
      </c>
      <c r="V415" s="9">
        <f t="shared" si="39"/>
        <v>1</v>
      </c>
    </row>
    <row r="416" spans="1:22" hidden="1" x14ac:dyDescent="0.35">
      <c r="A416" s="52">
        <v>49590</v>
      </c>
      <c r="B416" s="31">
        <v>46120</v>
      </c>
      <c r="C416" s="7" t="s">
        <v>321</v>
      </c>
      <c r="D416" s="7">
        <v>351</v>
      </c>
      <c r="E416" s="10">
        <f>IFERROR(SUMIFS('Base bordo CD'!M$2:M$875,'Base bordo CD'!D$2:D$875,A416,'Base bordo CD'!A$2:A$875,B416,'Base bordo CD'!L$2:L$875,"CORTE DE CANA MECANIZADO"),0)</f>
        <v>0</v>
      </c>
      <c r="F416" s="10">
        <f>IFERROR(SUMIFS('Base bordo CD'!M$2:M$875,'Base bordo CD'!D$2:D$875,A416,'Base bordo CD'!A$2:A$875,B416,'Base bordo CD'!L$2:L$875,"MANOBRA"),0)</f>
        <v>0</v>
      </c>
      <c r="G416" s="10">
        <f>IFERROR(SUMIFS('Base bordo CD'!M$2:M$875,'Base bordo CD'!D$2:D$875,A416,'Base bordo CD'!A$2:A$875,B416,'Base bordo CD'!L$2:L$875,"DESLOCAMENTO"),0)</f>
        <v>0</v>
      </c>
      <c r="H416" s="10">
        <f>IFERROR(SUMIFS('Base bordo CD'!M$2:M$875,'Base bordo CD'!D$2:D$875,A416,'Base bordo CD'!A$2:A$875,B416,'Base bordo CD'!L$2:L$875,"AGUARDANDO MANOBRA DE TRANSBORDO"),0)+IFERROR(SUMIFS('Base bordo CD'!M$2:M$875,'Base bordo CD'!D$2:D$875,A416,'Base bordo CD'!A$2:A$875,B416,'Base bordo CD'!L$2:L$875,"FALTA DE TRANSBORDO"),0)</f>
        <v>0</v>
      </c>
      <c r="I416" s="10">
        <f>IFERROR(SUMIFS('Base bordo CD'!M$2:M$875,'Base bordo CD'!D$2:D$875,A416,'Base bordo CD'!A$2:A$875,B416,'Base bordo CD'!L$2:L$875,"PARADA POR CONDICOES CLIMATICAS"),0)+IFERROR(SUMIFS('Base bordo CD'!M$2:M$875,'Base bordo CD'!D$2:D$875,A416,'Base bordo CD'!A$2:A$875,B416,'Base bordo CD'!L$2:L$875,"TEMPO INDETERMINADO"),0)</f>
        <v>24</v>
      </c>
      <c r="J416" s="10">
        <f>IFERROR(SUMIFS('Base bordo CD'!M$2:M$875,'Base bordo CD'!D$2:D$875,A416,'Base bordo CD'!A$2:A$875,B416,'Base bordo CD'!L$2:L$875,"LIMITAÇÃO INDÚSTRIA"),0)</f>
        <v>0</v>
      </c>
      <c r="K416" s="10">
        <f>IFERROR(SUMIFS('Base bordo CD'!M$2:M$875,'Base bordo CD'!D$2:D$875,A416,'Base bordo CD'!A$2:A$875,B416,'Base bordo CD'!L$2:L$875,"MAN CORRETIVA*"),0)+IFERROR(SUMIFS('Base bordo CD'!M$2:M$875,'Base bordo CD'!D$2:D$875,A416,'Base bordo CD'!A$2:A$875,B416,'Base bordo CD'!L$2:L$875,"AGUARDANDO MANUTENCAO*"),0)+IFERROR(SUMIFS('Base bordo CD'!M$2:M$875,'Base bordo CD'!D$2:D$875,A416,'Base bordo CD'!A$2:A$875,B416,'Base bordo CD'!L$2:L$875,"TROCA DE FAQUINHA"),0)+IFERROR(SUMIFS('Base bordo CD'!M$2:M$875,'Base bordo CD'!D$2:D$875,A416,'Base bordo CD'!A$2:A$875,B416,'Base bordo CD'!L$2:L$875,"LIMPEZA*"),0)</f>
        <v>0</v>
      </c>
      <c r="L416" s="10">
        <f>IFERROR(SUMIFS('Base bordo CD'!M$2:M$875,'Base bordo CD'!D$2:D$875,A416,'Base bordo CD'!A$2:A$875,B416,'Base bordo CD'!L$2:L$875,"PATIO - RESERVA"),0)</f>
        <v>0</v>
      </c>
      <c r="M416" s="10">
        <f>IFERROR(SUMIFS('Base bordo CD'!M$2:M$875,'Base bordo CD'!D$2:D$875,A416,'Base bordo CD'!A$2:A$875,B416,'Base bordo CD'!L$2:L$875,"SEM APONTAMENTO"),0)</f>
        <v>0</v>
      </c>
      <c r="N416" s="10">
        <f>IFERROR(SUMIFS('Base bordo CD'!M$2:M$875,'Base bordo CD'!D$2:D$875,A416,'Base bordo CD'!A$2:A$875,B416,'Base bordo CD'!L$2:L$875,"FALTA DE CAMINHÃO"),0)+IFERROR(SUMIFS('Base bordo CD'!M$2:M$875,'Base bordo CD'!D$2:D$875,A416,'Base bordo CD'!A$2:A$875,B416,'Base bordo CD'!L$2:L$875,"FALTA DE COMBUSTIVEL"),0)+IFERROR(SUMIFS('Base bordo CD'!M$2:M$875,'Base bordo CD'!D$2:D$875,A416,'Base bordo CD'!A$2:A$875,B416,'Base bordo CD'!L$2:L$875,"FALTA DE MOTORIST*"),0)</f>
        <v>0</v>
      </c>
      <c r="O416" s="10">
        <f t="shared" si="35"/>
        <v>0</v>
      </c>
      <c r="P416" s="10">
        <f>IFERROR(SUMIFS('Base bordo CD'!M$2:M$875,'Base bordo CD'!D$2:D$875,A416,'Base bordo CD'!A$2:A$875,B416),0)</f>
        <v>24</v>
      </c>
      <c r="Q416" s="10">
        <f>IFERROR(SUMIFS('Base bordo CD'!O$2:O$875,'Base bordo CD'!D$2:D$875,A416,'Base bordo CD'!A$2:A$875,B416,'Base bordo CD'!L$2:L$875,"CORTE DE CANA MECANIZADO"),0)</f>
        <v>0</v>
      </c>
      <c r="R416" s="10">
        <f>IFERROR(SUMIFS('Base bordo CD'!Q$2:Q$875,'Base bordo CD'!D$2:D$875,A416,'Base bordo CD'!A$2:A$875,B416,'Base bordo CD'!L$2:L$875,"CORTE DE CANA MECANIZADO"),0)</f>
        <v>0</v>
      </c>
      <c r="S416" s="30" t="str">
        <f t="shared" si="36"/>
        <v/>
      </c>
      <c r="T416" s="9">
        <f t="shared" si="37"/>
        <v>0</v>
      </c>
      <c r="U416" s="9">
        <f t="shared" si="38"/>
        <v>0</v>
      </c>
      <c r="V416" s="9">
        <f t="shared" si="39"/>
        <v>1</v>
      </c>
    </row>
    <row r="417" spans="1:22" hidden="1" x14ac:dyDescent="0.35">
      <c r="A417" s="52">
        <v>49591</v>
      </c>
      <c r="B417" s="31">
        <v>46120</v>
      </c>
      <c r="C417" s="7" t="s">
        <v>364</v>
      </c>
      <c r="D417" s="7">
        <v>352</v>
      </c>
      <c r="E417" s="10">
        <f>IFERROR(SUMIFS('Base bordo CD'!M$2:M$875,'Base bordo CD'!D$2:D$875,A417,'Base bordo CD'!A$2:A$875,B417,'Base bordo CD'!L$2:L$875,"CORTE DE CANA MECANIZADO"),0)</f>
        <v>0</v>
      </c>
      <c r="F417" s="10">
        <f>IFERROR(SUMIFS('Base bordo CD'!M$2:M$875,'Base bordo CD'!D$2:D$875,A417,'Base bordo CD'!A$2:A$875,B417,'Base bordo CD'!L$2:L$875,"MANOBRA"),0)</f>
        <v>0</v>
      </c>
      <c r="G417" s="10">
        <f>IFERROR(SUMIFS('Base bordo CD'!M$2:M$875,'Base bordo CD'!D$2:D$875,A417,'Base bordo CD'!A$2:A$875,B417,'Base bordo CD'!L$2:L$875,"DESLOCAMENTO"),0)</f>
        <v>0</v>
      </c>
      <c r="H417" s="10">
        <f>IFERROR(SUMIFS('Base bordo CD'!M$2:M$875,'Base bordo CD'!D$2:D$875,A417,'Base bordo CD'!A$2:A$875,B417,'Base bordo CD'!L$2:L$875,"AGUARDANDO MANOBRA DE TRANSBORDO"),0)+IFERROR(SUMIFS('Base bordo CD'!M$2:M$875,'Base bordo CD'!D$2:D$875,A417,'Base bordo CD'!A$2:A$875,B417,'Base bordo CD'!L$2:L$875,"FALTA DE TRANSBORDO"),0)</f>
        <v>0</v>
      </c>
      <c r="I417" s="10">
        <f>IFERROR(SUMIFS('Base bordo CD'!M$2:M$875,'Base bordo CD'!D$2:D$875,A417,'Base bordo CD'!A$2:A$875,B417,'Base bordo CD'!L$2:L$875,"PARADA POR CONDICOES CLIMATICAS"),0)+IFERROR(SUMIFS('Base bordo CD'!M$2:M$875,'Base bordo CD'!D$2:D$875,A417,'Base bordo CD'!A$2:A$875,B417,'Base bordo CD'!L$2:L$875,"TEMPO INDETERMINADO"),0)</f>
        <v>24</v>
      </c>
      <c r="J417" s="10">
        <f>IFERROR(SUMIFS('Base bordo CD'!M$2:M$875,'Base bordo CD'!D$2:D$875,A417,'Base bordo CD'!A$2:A$875,B417,'Base bordo CD'!L$2:L$875,"LIMITAÇÃO INDÚSTRIA"),0)</f>
        <v>0</v>
      </c>
      <c r="K417" s="10">
        <f>IFERROR(SUMIFS('Base bordo CD'!M$2:M$875,'Base bordo CD'!D$2:D$875,A417,'Base bordo CD'!A$2:A$875,B417,'Base bordo CD'!L$2:L$875,"MAN CORRETIVA*"),0)+IFERROR(SUMIFS('Base bordo CD'!M$2:M$875,'Base bordo CD'!D$2:D$875,A417,'Base bordo CD'!A$2:A$875,B417,'Base bordo CD'!L$2:L$875,"AGUARDANDO MANUTENCAO*"),0)+IFERROR(SUMIFS('Base bordo CD'!M$2:M$875,'Base bordo CD'!D$2:D$875,A417,'Base bordo CD'!A$2:A$875,B417,'Base bordo CD'!L$2:L$875,"TROCA DE FAQUINHA"),0)+IFERROR(SUMIFS('Base bordo CD'!M$2:M$875,'Base bordo CD'!D$2:D$875,A417,'Base bordo CD'!A$2:A$875,B417,'Base bordo CD'!L$2:L$875,"LIMPEZA*"),0)</f>
        <v>0</v>
      </c>
      <c r="L417" s="10">
        <f>IFERROR(SUMIFS('Base bordo CD'!M$2:M$875,'Base bordo CD'!D$2:D$875,A417,'Base bordo CD'!A$2:A$875,B417,'Base bordo CD'!L$2:L$875,"PATIO - RESERVA"),0)</f>
        <v>0</v>
      </c>
      <c r="M417" s="10">
        <f>IFERROR(SUMIFS('Base bordo CD'!M$2:M$875,'Base bordo CD'!D$2:D$875,A417,'Base bordo CD'!A$2:A$875,B417,'Base bordo CD'!L$2:L$875,"SEM APONTAMENTO"),0)</f>
        <v>0</v>
      </c>
      <c r="N417" s="10">
        <f>IFERROR(SUMIFS('Base bordo CD'!M$2:M$875,'Base bordo CD'!D$2:D$875,A417,'Base bordo CD'!A$2:A$875,B417,'Base bordo CD'!L$2:L$875,"FALTA DE CAMINHÃO"),0)+IFERROR(SUMIFS('Base bordo CD'!M$2:M$875,'Base bordo CD'!D$2:D$875,A417,'Base bordo CD'!A$2:A$875,B417,'Base bordo CD'!L$2:L$875,"FALTA DE COMBUSTIVEL"),0)+IFERROR(SUMIFS('Base bordo CD'!M$2:M$875,'Base bordo CD'!D$2:D$875,A417,'Base bordo CD'!A$2:A$875,B417,'Base bordo CD'!L$2:L$875,"FALTA DE MOTORIST*"),0)</f>
        <v>0</v>
      </c>
      <c r="O417" s="10">
        <f t="shared" si="35"/>
        <v>0</v>
      </c>
      <c r="P417" s="10">
        <f>IFERROR(SUMIFS('Base bordo CD'!M$2:M$875,'Base bordo CD'!D$2:D$875,A417,'Base bordo CD'!A$2:A$875,B417),0)</f>
        <v>24</v>
      </c>
      <c r="Q417" s="10">
        <f>IFERROR(SUMIFS('Base bordo CD'!O$2:O$875,'Base bordo CD'!D$2:D$875,A417,'Base bordo CD'!A$2:A$875,B417,'Base bordo CD'!L$2:L$875,"CORTE DE CANA MECANIZADO"),0)</f>
        <v>0</v>
      </c>
      <c r="R417" s="10">
        <f>IFERROR(SUMIFS('Base bordo CD'!Q$2:Q$875,'Base bordo CD'!D$2:D$875,A417,'Base bordo CD'!A$2:A$875,B417,'Base bordo CD'!L$2:L$875,"CORTE DE CANA MECANIZADO"),0)</f>
        <v>0</v>
      </c>
      <c r="S417" s="30" t="str">
        <f t="shared" si="36"/>
        <v/>
      </c>
      <c r="T417" s="9">
        <f t="shared" si="37"/>
        <v>0</v>
      </c>
      <c r="U417" s="9">
        <f t="shared" si="38"/>
        <v>0</v>
      </c>
      <c r="V417" s="9">
        <f t="shared" si="39"/>
        <v>1</v>
      </c>
    </row>
    <row r="418" spans="1:22" hidden="1" x14ac:dyDescent="0.35">
      <c r="A418" s="52">
        <v>49591</v>
      </c>
      <c r="B418" s="31">
        <v>46120</v>
      </c>
      <c r="C418" s="7" t="s">
        <v>364</v>
      </c>
      <c r="D418" s="7">
        <v>352</v>
      </c>
      <c r="E418" s="10">
        <f>IFERROR(SUMIFS('Base bordo CD'!M$2:M$875,'Base bordo CD'!D$2:D$875,A418,'Base bordo CD'!A$2:A$875,B418,'Base bordo CD'!L$2:L$875,"CORTE DE CANA MECANIZADO"),0)</f>
        <v>0</v>
      </c>
      <c r="F418" s="10">
        <f>IFERROR(SUMIFS('Base bordo CD'!M$2:M$875,'Base bordo CD'!D$2:D$875,A418,'Base bordo CD'!A$2:A$875,B418,'Base bordo CD'!L$2:L$875,"MANOBRA"),0)</f>
        <v>0</v>
      </c>
      <c r="G418" s="10">
        <f>IFERROR(SUMIFS('Base bordo CD'!M$2:M$875,'Base bordo CD'!D$2:D$875,A418,'Base bordo CD'!A$2:A$875,B418,'Base bordo CD'!L$2:L$875,"DESLOCAMENTO"),0)</f>
        <v>0</v>
      </c>
      <c r="H418" s="10">
        <f>IFERROR(SUMIFS('Base bordo CD'!M$2:M$875,'Base bordo CD'!D$2:D$875,A418,'Base bordo CD'!A$2:A$875,B418,'Base bordo CD'!L$2:L$875,"AGUARDANDO MANOBRA DE TRANSBORDO"),0)+IFERROR(SUMIFS('Base bordo CD'!M$2:M$875,'Base bordo CD'!D$2:D$875,A418,'Base bordo CD'!A$2:A$875,B418,'Base bordo CD'!L$2:L$875,"FALTA DE TRANSBORDO"),0)</f>
        <v>0</v>
      </c>
      <c r="I418" s="10">
        <f>IFERROR(SUMIFS('Base bordo CD'!M$2:M$875,'Base bordo CD'!D$2:D$875,A418,'Base bordo CD'!A$2:A$875,B418,'Base bordo CD'!L$2:L$875,"PARADA POR CONDICOES CLIMATICAS"),0)+IFERROR(SUMIFS('Base bordo CD'!M$2:M$875,'Base bordo CD'!D$2:D$875,A418,'Base bordo CD'!A$2:A$875,B418,'Base bordo CD'!L$2:L$875,"TEMPO INDETERMINADO"),0)</f>
        <v>24</v>
      </c>
      <c r="J418" s="10">
        <f>IFERROR(SUMIFS('Base bordo CD'!M$2:M$875,'Base bordo CD'!D$2:D$875,A418,'Base bordo CD'!A$2:A$875,B418,'Base bordo CD'!L$2:L$875,"LIMITAÇÃO INDÚSTRIA"),0)</f>
        <v>0</v>
      </c>
      <c r="K418" s="10">
        <f>IFERROR(SUMIFS('Base bordo CD'!M$2:M$875,'Base bordo CD'!D$2:D$875,A418,'Base bordo CD'!A$2:A$875,B418,'Base bordo CD'!L$2:L$875,"MAN CORRETIVA*"),0)+IFERROR(SUMIFS('Base bordo CD'!M$2:M$875,'Base bordo CD'!D$2:D$875,A418,'Base bordo CD'!A$2:A$875,B418,'Base bordo CD'!L$2:L$875,"AGUARDANDO MANUTENCAO*"),0)+IFERROR(SUMIFS('Base bordo CD'!M$2:M$875,'Base bordo CD'!D$2:D$875,A418,'Base bordo CD'!A$2:A$875,B418,'Base bordo CD'!L$2:L$875,"TROCA DE FAQUINHA"),0)+IFERROR(SUMIFS('Base bordo CD'!M$2:M$875,'Base bordo CD'!D$2:D$875,A418,'Base bordo CD'!A$2:A$875,B418,'Base bordo CD'!L$2:L$875,"LIMPEZA*"),0)</f>
        <v>0</v>
      </c>
      <c r="L418" s="10">
        <f>IFERROR(SUMIFS('Base bordo CD'!M$2:M$875,'Base bordo CD'!D$2:D$875,A418,'Base bordo CD'!A$2:A$875,B418,'Base bordo CD'!L$2:L$875,"PATIO - RESERVA"),0)</f>
        <v>0</v>
      </c>
      <c r="M418" s="10">
        <f>IFERROR(SUMIFS('Base bordo CD'!M$2:M$875,'Base bordo CD'!D$2:D$875,A418,'Base bordo CD'!A$2:A$875,B418,'Base bordo CD'!L$2:L$875,"SEM APONTAMENTO"),0)</f>
        <v>0</v>
      </c>
      <c r="N418" s="10">
        <f>IFERROR(SUMIFS('Base bordo CD'!M$2:M$875,'Base bordo CD'!D$2:D$875,A418,'Base bordo CD'!A$2:A$875,B418,'Base bordo CD'!L$2:L$875,"FALTA DE CAMINHÃO"),0)+IFERROR(SUMIFS('Base bordo CD'!M$2:M$875,'Base bordo CD'!D$2:D$875,A418,'Base bordo CD'!A$2:A$875,B418,'Base bordo CD'!L$2:L$875,"FALTA DE COMBUSTIVEL"),0)+IFERROR(SUMIFS('Base bordo CD'!M$2:M$875,'Base bordo CD'!D$2:D$875,A418,'Base bordo CD'!A$2:A$875,B418,'Base bordo CD'!L$2:L$875,"FALTA DE MOTORIST*"),0)</f>
        <v>0</v>
      </c>
      <c r="O418" s="10">
        <f t="shared" si="35"/>
        <v>0</v>
      </c>
      <c r="P418" s="10">
        <f>IFERROR(SUMIFS('Base bordo CD'!M$2:M$875,'Base bordo CD'!D$2:D$875,A418,'Base bordo CD'!A$2:A$875,B418),0)</f>
        <v>24</v>
      </c>
      <c r="Q418" s="10">
        <f>IFERROR(SUMIFS('Base bordo CD'!O$2:O$875,'Base bordo CD'!D$2:D$875,A418,'Base bordo CD'!A$2:A$875,B418,'Base bordo CD'!L$2:L$875,"CORTE DE CANA MECANIZADO"),0)</f>
        <v>0</v>
      </c>
      <c r="R418" s="10">
        <f>IFERROR(SUMIFS('Base bordo CD'!Q$2:Q$875,'Base bordo CD'!D$2:D$875,A418,'Base bordo CD'!A$2:A$875,B418,'Base bordo CD'!L$2:L$875,"CORTE DE CANA MECANIZADO"),0)</f>
        <v>0</v>
      </c>
      <c r="S418" s="30" t="str">
        <f t="shared" si="36"/>
        <v/>
      </c>
      <c r="T418" s="9">
        <f t="shared" si="37"/>
        <v>0</v>
      </c>
      <c r="U418" s="9">
        <f t="shared" si="38"/>
        <v>0</v>
      </c>
      <c r="V418" s="9">
        <f t="shared" si="39"/>
        <v>1</v>
      </c>
    </row>
    <row r="419" spans="1:22" hidden="1" x14ac:dyDescent="0.35">
      <c r="A419" s="52">
        <v>49592</v>
      </c>
      <c r="B419" s="31">
        <v>46120</v>
      </c>
      <c r="C419" s="7" t="s">
        <v>364</v>
      </c>
      <c r="D419" s="7">
        <v>352</v>
      </c>
      <c r="E419" s="10">
        <f>IFERROR(SUMIFS('Base bordo CD'!M$2:M$875,'Base bordo CD'!D$2:D$875,A419,'Base bordo CD'!A$2:A$875,B419,'Base bordo CD'!L$2:L$875,"CORTE DE CANA MECANIZADO"),0)</f>
        <v>0</v>
      </c>
      <c r="F419" s="10">
        <f>IFERROR(SUMIFS('Base bordo CD'!M$2:M$875,'Base bordo CD'!D$2:D$875,A419,'Base bordo CD'!A$2:A$875,B419,'Base bordo CD'!L$2:L$875,"MANOBRA"),0)</f>
        <v>0</v>
      </c>
      <c r="G419" s="10">
        <f>IFERROR(SUMIFS('Base bordo CD'!M$2:M$875,'Base bordo CD'!D$2:D$875,A419,'Base bordo CD'!A$2:A$875,B419,'Base bordo CD'!L$2:L$875,"DESLOCAMENTO"),0)</f>
        <v>1.8055555555555554E-2</v>
      </c>
      <c r="H419" s="10">
        <f>IFERROR(SUMIFS('Base bordo CD'!M$2:M$875,'Base bordo CD'!D$2:D$875,A419,'Base bordo CD'!A$2:A$875,B419,'Base bordo CD'!L$2:L$875,"AGUARDANDO MANOBRA DE TRANSBORDO"),0)+IFERROR(SUMIFS('Base bordo CD'!M$2:M$875,'Base bordo CD'!D$2:D$875,A419,'Base bordo CD'!A$2:A$875,B419,'Base bordo CD'!L$2:L$875,"FALTA DE TRANSBORDO"),0)</f>
        <v>0</v>
      </c>
      <c r="I419" s="10">
        <f>IFERROR(SUMIFS('Base bordo CD'!M$2:M$875,'Base bordo CD'!D$2:D$875,A419,'Base bordo CD'!A$2:A$875,B419,'Base bordo CD'!L$2:L$875,"PARADA POR CONDICOES CLIMATICAS"),0)+IFERROR(SUMIFS('Base bordo CD'!M$2:M$875,'Base bordo CD'!D$2:D$875,A419,'Base bordo CD'!A$2:A$875,B419,'Base bordo CD'!L$2:L$875,"TEMPO INDETERMINADO"),0)</f>
        <v>23.981944444444444</v>
      </c>
      <c r="J419" s="10">
        <f>IFERROR(SUMIFS('Base bordo CD'!M$2:M$875,'Base bordo CD'!D$2:D$875,A419,'Base bordo CD'!A$2:A$875,B419,'Base bordo CD'!L$2:L$875,"LIMITAÇÃO INDÚSTRIA"),0)</f>
        <v>0</v>
      </c>
      <c r="K419" s="10">
        <f>IFERROR(SUMIFS('Base bordo CD'!M$2:M$875,'Base bordo CD'!D$2:D$875,A419,'Base bordo CD'!A$2:A$875,B419,'Base bordo CD'!L$2:L$875,"MAN CORRETIVA*"),0)+IFERROR(SUMIFS('Base bordo CD'!M$2:M$875,'Base bordo CD'!D$2:D$875,A419,'Base bordo CD'!A$2:A$875,B419,'Base bordo CD'!L$2:L$875,"AGUARDANDO MANUTENCAO*"),0)+IFERROR(SUMIFS('Base bordo CD'!M$2:M$875,'Base bordo CD'!D$2:D$875,A419,'Base bordo CD'!A$2:A$875,B419,'Base bordo CD'!L$2:L$875,"TROCA DE FAQUINHA"),0)+IFERROR(SUMIFS('Base bordo CD'!M$2:M$875,'Base bordo CD'!D$2:D$875,A419,'Base bordo CD'!A$2:A$875,B419,'Base bordo CD'!L$2:L$875,"LIMPEZA*"),0)</f>
        <v>0</v>
      </c>
      <c r="L419" s="10">
        <f>IFERROR(SUMIFS('Base bordo CD'!M$2:M$875,'Base bordo CD'!D$2:D$875,A419,'Base bordo CD'!A$2:A$875,B419,'Base bordo CD'!L$2:L$875,"PATIO - RESERVA"),0)</f>
        <v>0</v>
      </c>
      <c r="M419" s="10">
        <f>IFERROR(SUMIFS('Base bordo CD'!M$2:M$875,'Base bordo CD'!D$2:D$875,A419,'Base bordo CD'!A$2:A$875,B419,'Base bordo CD'!L$2:L$875,"SEM APONTAMENTO"),0)</f>
        <v>0</v>
      </c>
      <c r="N419" s="10">
        <f>IFERROR(SUMIFS('Base bordo CD'!M$2:M$875,'Base bordo CD'!D$2:D$875,A419,'Base bordo CD'!A$2:A$875,B419,'Base bordo CD'!L$2:L$875,"FALTA DE CAMINHÃO"),0)+IFERROR(SUMIFS('Base bordo CD'!M$2:M$875,'Base bordo CD'!D$2:D$875,A419,'Base bordo CD'!A$2:A$875,B419,'Base bordo CD'!L$2:L$875,"FALTA DE COMBUSTIVEL"),0)+IFERROR(SUMIFS('Base bordo CD'!M$2:M$875,'Base bordo CD'!D$2:D$875,A419,'Base bordo CD'!A$2:A$875,B419,'Base bordo CD'!L$2:L$875,"FALTA DE MOTORIST*"),0)</f>
        <v>0</v>
      </c>
      <c r="O419" s="10">
        <f t="shared" si="35"/>
        <v>0</v>
      </c>
      <c r="P419" s="10">
        <f>IFERROR(SUMIFS('Base bordo CD'!M$2:M$875,'Base bordo CD'!D$2:D$875,A419,'Base bordo CD'!A$2:A$875,B419),0)</f>
        <v>24</v>
      </c>
      <c r="Q419" s="10">
        <f>IFERROR(SUMIFS('Base bordo CD'!O$2:O$875,'Base bordo CD'!D$2:D$875,A419,'Base bordo CD'!A$2:A$875,B419,'Base bordo CD'!L$2:L$875,"CORTE DE CANA MECANIZADO"),0)</f>
        <v>0</v>
      </c>
      <c r="R419" s="10">
        <f>IFERROR(SUMIFS('Base bordo CD'!Q$2:Q$875,'Base bordo CD'!D$2:D$875,A419,'Base bordo CD'!A$2:A$875,B419,'Base bordo CD'!L$2:L$875,"CORTE DE CANA MECANIZADO"),0)</f>
        <v>0</v>
      </c>
      <c r="S419" s="30" t="str">
        <f t="shared" si="36"/>
        <v/>
      </c>
      <c r="T419" s="9">
        <f t="shared" si="37"/>
        <v>0</v>
      </c>
      <c r="U419" s="9">
        <f t="shared" si="38"/>
        <v>0</v>
      </c>
      <c r="V419" s="9">
        <f t="shared" si="39"/>
        <v>0.99924768518518514</v>
      </c>
    </row>
    <row r="420" spans="1:22" hidden="1" x14ac:dyDescent="0.35">
      <c r="A420" s="52">
        <v>49592</v>
      </c>
      <c r="B420" s="31">
        <v>46120</v>
      </c>
      <c r="C420" s="7" t="s">
        <v>364</v>
      </c>
      <c r="D420" s="7">
        <v>352</v>
      </c>
      <c r="E420" s="10">
        <f>IFERROR(SUMIFS('Base bordo CD'!M$2:M$875,'Base bordo CD'!D$2:D$875,A420,'Base bordo CD'!A$2:A$875,B420,'Base bordo CD'!L$2:L$875,"CORTE DE CANA MECANIZADO"),0)</f>
        <v>0</v>
      </c>
      <c r="F420" s="10">
        <f>IFERROR(SUMIFS('Base bordo CD'!M$2:M$875,'Base bordo CD'!D$2:D$875,A420,'Base bordo CD'!A$2:A$875,B420,'Base bordo CD'!L$2:L$875,"MANOBRA"),0)</f>
        <v>0</v>
      </c>
      <c r="G420" s="10">
        <f>IFERROR(SUMIFS('Base bordo CD'!M$2:M$875,'Base bordo CD'!D$2:D$875,A420,'Base bordo CD'!A$2:A$875,B420,'Base bordo CD'!L$2:L$875,"DESLOCAMENTO"),0)</f>
        <v>1.8055555555555554E-2</v>
      </c>
      <c r="H420" s="10">
        <f>IFERROR(SUMIFS('Base bordo CD'!M$2:M$875,'Base bordo CD'!D$2:D$875,A420,'Base bordo CD'!A$2:A$875,B420,'Base bordo CD'!L$2:L$875,"AGUARDANDO MANOBRA DE TRANSBORDO"),0)+IFERROR(SUMIFS('Base bordo CD'!M$2:M$875,'Base bordo CD'!D$2:D$875,A420,'Base bordo CD'!A$2:A$875,B420,'Base bordo CD'!L$2:L$875,"FALTA DE TRANSBORDO"),0)</f>
        <v>0</v>
      </c>
      <c r="I420" s="10">
        <f>IFERROR(SUMIFS('Base bordo CD'!M$2:M$875,'Base bordo CD'!D$2:D$875,A420,'Base bordo CD'!A$2:A$875,B420,'Base bordo CD'!L$2:L$875,"PARADA POR CONDICOES CLIMATICAS"),0)+IFERROR(SUMIFS('Base bordo CD'!M$2:M$875,'Base bordo CD'!D$2:D$875,A420,'Base bordo CD'!A$2:A$875,B420,'Base bordo CD'!L$2:L$875,"TEMPO INDETERMINADO"),0)</f>
        <v>23.981944444444444</v>
      </c>
      <c r="J420" s="10">
        <f>IFERROR(SUMIFS('Base bordo CD'!M$2:M$875,'Base bordo CD'!D$2:D$875,A420,'Base bordo CD'!A$2:A$875,B420,'Base bordo CD'!L$2:L$875,"LIMITAÇÃO INDÚSTRIA"),0)</f>
        <v>0</v>
      </c>
      <c r="K420" s="10">
        <f>IFERROR(SUMIFS('Base bordo CD'!M$2:M$875,'Base bordo CD'!D$2:D$875,A420,'Base bordo CD'!A$2:A$875,B420,'Base bordo CD'!L$2:L$875,"MAN CORRETIVA*"),0)+IFERROR(SUMIFS('Base bordo CD'!M$2:M$875,'Base bordo CD'!D$2:D$875,A420,'Base bordo CD'!A$2:A$875,B420,'Base bordo CD'!L$2:L$875,"AGUARDANDO MANUTENCAO*"),0)+IFERROR(SUMIFS('Base bordo CD'!M$2:M$875,'Base bordo CD'!D$2:D$875,A420,'Base bordo CD'!A$2:A$875,B420,'Base bordo CD'!L$2:L$875,"TROCA DE FAQUINHA"),0)+IFERROR(SUMIFS('Base bordo CD'!M$2:M$875,'Base bordo CD'!D$2:D$875,A420,'Base bordo CD'!A$2:A$875,B420,'Base bordo CD'!L$2:L$875,"LIMPEZA*"),0)</f>
        <v>0</v>
      </c>
      <c r="L420" s="10">
        <f>IFERROR(SUMIFS('Base bordo CD'!M$2:M$875,'Base bordo CD'!D$2:D$875,A420,'Base bordo CD'!A$2:A$875,B420,'Base bordo CD'!L$2:L$875,"PATIO - RESERVA"),0)</f>
        <v>0</v>
      </c>
      <c r="M420" s="10">
        <f>IFERROR(SUMIFS('Base bordo CD'!M$2:M$875,'Base bordo CD'!D$2:D$875,A420,'Base bordo CD'!A$2:A$875,B420,'Base bordo CD'!L$2:L$875,"SEM APONTAMENTO"),0)</f>
        <v>0</v>
      </c>
      <c r="N420" s="10">
        <f>IFERROR(SUMIFS('Base bordo CD'!M$2:M$875,'Base bordo CD'!D$2:D$875,A420,'Base bordo CD'!A$2:A$875,B420,'Base bordo CD'!L$2:L$875,"FALTA DE CAMINHÃO"),0)+IFERROR(SUMIFS('Base bordo CD'!M$2:M$875,'Base bordo CD'!D$2:D$875,A420,'Base bordo CD'!A$2:A$875,B420,'Base bordo CD'!L$2:L$875,"FALTA DE COMBUSTIVEL"),0)+IFERROR(SUMIFS('Base bordo CD'!M$2:M$875,'Base bordo CD'!D$2:D$875,A420,'Base bordo CD'!A$2:A$875,B420,'Base bordo CD'!L$2:L$875,"FALTA DE MOTORIST*"),0)</f>
        <v>0</v>
      </c>
      <c r="O420" s="10">
        <f t="shared" si="35"/>
        <v>0</v>
      </c>
      <c r="P420" s="10">
        <f>IFERROR(SUMIFS('Base bordo CD'!M$2:M$875,'Base bordo CD'!D$2:D$875,A420,'Base bordo CD'!A$2:A$875,B420),0)</f>
        <v>24</v>
      </c>
      <c r="Q420" s="10">
        <f>IFERROR(SUMIFS('Base bordo CD'!O$2:O$875,'Base bordo CD'!D$2:D$875,A420,'Base bordo CD'!A$2:A$875,B420,'Base bordo CD'!L$2:L$875,"CORTE DE CANA MECANIZADO"),0)</f>
        <v>0</v>
      </c>
      <c r="R420" s="10">
        <f>IFERROR(SUMIFS('Base bordo CD'!Q$2:Q$875,'Base bordo CD'!D$2:D$875,A420,'Base bordo CD'!A$2:A$875,B420,'Base bordo CD'!L$2:L$875,"CORTE DE CANA MECANIZADO"),0)</f>
        <v>0</v>
      </c>
      <c r="S420" s="30" t="str">
        <f t="shared" si="36"/>
        <v/>
      </c>
      <c r="T420" s="9">
        <f t="shared" si="37"/>
        <v>0</v>
      </c>
      <c r="U420" s="9">
        <f t="shared" si="38"/>
        <v>0</v>
      </c>
      <c r="V420" s="9">
        <f t="shared" si="39"/>
        <v>0.99924768518518514</v>
      </c>
    </row>
    <row r="421" spans="1:22" hidden="1" x14ac:dyDescent="0.35">
      <c r="A421" s="52">
        <v>49593</v>
      </c>
      <c r="B421" s="31">
        <v>46120</v>
      </c>
      <c r="C421" s="7" t="s">
        <v>321</v>
      </c>
      <c r="D421" s="7">
        <v>351</v>
      </c>
      <c r="E421" s="10">
        <f>IFERROR(SUMIFS('Base bordo CD'!M$2:M$875,'Base bordo CD'!D$2:D$875,A421,'Base bordo CD'!A$2:A$875,B421,'Base bordo CD'!L$2:L$875,"CORTE DE CANA MECANIZADO"),0)</f>
        <v>0</v>
      </c>
      <c r="F421" s="10">
        <f>IFERROR(SUMIFS('Base bordo CD'!M$2:M$875,'Base bordo CD'!D$2:D$875,A421,'Base bordo CD'!A$2:A$875,B421,'Base bordo CD'!L$2:L$875,"MANOBRA"),0)</f>
        <v>0</v>
      </c>
      <c r="G421" s="10">
        <f>IFERROR(SUMIFS('Base bordo CD'!M$2:M$875,'Base bordo CD'!D$2:D$875,A421,'Base bordo CD'!A$2:A$875,B421,'Base bordo CD'!L$2:L$875,"DESLOCAMENTO"),0)</f>
        <v>0</v>
      </c>
      <c r="H421" s="10">
        <f>IFERROR(SUMIFS('Base bordo CD'!M$2:M$875,'Base bordo CD'!D$2:D$875,A421,'Base bordo CD'!A$2:A$875,B421,'Base bordo CD'!L$2:L$875,"AGUARDANDO MANOBRA DE TRANSBORDO"),0)+IFERROR(SUMIFS('Base bordo CD'!M$2:M$875,'Base bordo CD'!D$2:D$875,A421,'Base bordo CD'!A$2:A$875,B421,'Base bordo CD'!L$2:L$875,"FALTA DE TRANSBORDO"),0)</f>
        <v>0</v>
      </c>
      <c r="I421" s="10">
        <f>IFERROR(SUMIFS('Base bordo CD'!M$2:M$875,'Base bordo CD'!D$2:D$875,A421,'Base bordo CD'!A$2:A$875,B421,'Base bordo CD'!L$2:L$875,"PARADA POR CONDICOES CLIMATICAS"),0)+IFERROR(SUMIFS('Base bordo CD'!M$2:M$875,'Base bordo CD'!D$2:D$875,A421,'Base bordo CD'!A$2:A$875,B421,'Base bordo CD'!L$2:L$875,"TEMPO INDETERMINADO"),0)</f>
        <v>24</v>
      </c>
      <c r="J421" s="10">
        <f>IFERROR(SUMIFS('Base bordo CD'!M$2:M$875,'Base bordo CD'!D$2:D$875,A421,'Base bordo CD'!A$2:A$875,B421,'Base bordo CD'!L$2:L$875,"LIMITAÇÃO INDÚSTRIA"),0)</f>
        <v>0</v>
      </c>
      <c r="K421" s="10">
        <f>IFERROR(SUMIFS('Base bordo CD'!M$2:M$875,'Base bordo CD'!D$2:D$875,A421,'Base bordo CD'!A$2:A$875,B421,'Base bordo CD'!L$2:L$875,"MAN CORRETIVA*"),0)+IFERROR(SUMIFS('Base bordo CD'!M$2:M$875,'Base bordo CD'!D$2:D$875,A421,'Base bordo CD'!A$2:A$875,B421,'Base bordo CD'!L$2:L$875,"AGUARDANDO MANUTENCAO*"),0)+IFERROR(SUMIFS('Base bordo CD'!M$2:M$875,'Base bordo CD'!D$2:D$875,A421,'Base bordo CD'!A$2:A$875,B421,'Base bordo CD'!L$2:L$875,"TROCA DE FAQUINHA"),0)+IFERROR(SUMIFS('Base bordo CD'!M$2:M$875,'Base bordo CD'!D$2:D$875,A421,'Base bordo CD'!A$2:A$875,B421,'Base bordo CD'!L$2:L$875,"LIMPEZA*"),0)</f>
        <v>0</v>
      </c>
      <c r="L421" s="10">
        <f>IFERROR(SUMIFS('Base bordo CD'!M$2:M$875,'Base bordo CD'!D$2:D$875,A421,'Base bordo CD'!A$2:A$875,B421,'Base bordo CD'!L$2:L$875,"PATIO - RESERVA"),0)</f>
        <v>0</v>
      </c>
      <c r="M421" s="10">
        <f>IFERROR(SUMIFS('Base bordo CD'!M$2:M$875,'Base bordo CD'!D$2:D$875,A421,'Base bordo CD'!A$2:A$875,B421,'Base bordo CD'!L$2:L$875,"SEM APONTAMENTO"),0)</f>
        <v>0</v>
      </c>
      <c r="N421" s="10">
        <f>IFERROR(SUMIFS('Base bordo CD'!M$2:M$875,'Base bordo CD'!D$2:D$875,A421,'Base bordo CD'!A$2:A$875,B421,'Base bordo CD'!L$2:L$875,"FALTA DE CAMINHÃO"),0)+IFERROR(SUMIFS('Base bordo CD'!M$2:M$875,'Base bordo CD'!D$2:D$875,A421,'Base bordo CD'!A$2:A$875,B421,'Base bordo CD'!L$2:L$875,"FALTA DE COMBUSTIVEL"),0)+IFERROR(SUMIFS('Base bordo CD'!M$2:M$875,'Base bordo CD'!D$2:D$875,A421,'Base bordo CD'!A$2:A$875,B421,'Base bordo CD'!L$2:L$875,"FALTA DE MOTORIST*"),0)</f>
        <v>0</v>
      </c>
      <c r="O421" s="10">
        <f t="shared" si="35"/>
        <v>0</v>
      </c>
      <c r="P421" s="10">
        <f>IFERROR(SUMIFS('Base bordo CD'!M$2:M$875,'Base bordo CD'!D$2:D$875,A421,'Base bordo CD'!A$2:A$875,B421),0)</f>
        <v>24</v>
      </c>
      <c r="Q421" s="10">
        <f>IFERROR(SUMIFS('Base bordo CD'!O$2:O$875,'Base bordo CD'!D$2:D$875,A421,'Base bordo CD'!A$2:A$875,B421,'Base bordo CD'!L$2:L$875,"CORTE DE CANA MECANIZADO"),0)</f>
        <v>0</v>
      </c>
      <c r="R421" s="10">
        <f>IFERROR(SUMIFS('Base bordo CD'!Q$2:Q$875,'Base bordo CD'!D$2:D$875,A421,'Base bordo CD'!A$2:A$875,B421,'Base bordo CD'!L$2:L$875,"CORTE DE CANA MECANIZADO"),0)</f>
        <v>0</v>
      </c>
      <c r="S421" s="30" t="str">
        <f t="shared" si="36"/>
        <v/>
      </c>
      <c r="T421" s="9">
        <f t="shared" si="37"/>
        <v>0</v>
      </c>
      <c r="U421" s="9">
        <f t="shared" si="38"/>
        <v>0</v>
      </c>
      <c r="V421" s="9">
        <f t="shared" si="39"/>
        <v>1</v>
      </c>
    </row>
    <row r="422" spans="1:22" hidden="1" x14ac:dyDescent="0.35">
      <c r="A422" s="52">
        <v>49593</v>
      </c>
      <c r="B422" s="31">
        <v>46120</v>
      </c>
      <c r="C422" s="7" t="s">
        <v>321</v>
      </c>
      <c r="D422" s="7">
        <v>351</v>
      </c>
      <c r="E422" s="10">
        <f>IFERROR(SUMIFS('Base bordo CD'!M$2:M$875,'Base bordo CD'!D$2:D$875,A422,'Base bordo CD'!A$2:A$875,B422,'Base bordo CD'!L$2:L$875,"CORTE DE CANA MECANIZADO"),0)</f>
        <v>0</v>
      </c>
      <c r="F422" s="10">
        <f>IFERROR(SUMIFS('Base bordo CD'!M$2:M$875,'Base bordo CD'!D$2:D$875,A422,'Base bordo CD'!A$2:A$875,B422,'Base bordo CD'!L$2:L$875,"MANOBRA"),0)</f>
        <v>0</v>
      </c>
      <c r="G422" s="10">
        <f>IFERROR(SUMIFS('Base bordo CD'!M$2:M$875,'Base bordo CD'!D$2:D$875,A422,'Base bordo CD'!A$2:A$875,B422,'Base bordo CD'!L$2:L$875,"DESLOCAMENTO"),0)</f>
        <v>0</v>
      </c>
      <c r="H422" s="10">
        <f>IFERROR(SUMIFS('Base bordo CD'!M$2:M$875,'Base bordo CD'!D$2:D$875,A422,'Base bordo CD'!A$2:A$875,B422,'Base bordo CD'!L$2:L$875,"AGUARDANDO MANOBRA DE TRANSBORDO"),0)+IFERROR(SUMIFS('Base bordo CD'!M$2:M$875,'Base bordo CD'!D$2:D$875,A422,'Base bordo CD'!A$2:A$875,B422,'Base bordo CD'!L$2:L$875,"FALTA DE TRANSBORDO"),0)</f>
        <v>0</v>
      </c>
      <c r="I422" s="10">
        <f>IFERROR(SUMIFS('Base bordo CD'!M$2:M$875,'Base bordo CD'!D$2:D$875,A422,'Base bordo CD'!A$2:A$875,B422,'Base bordo CD'!L$2:L$875,"PARADA POR CONDICOES CLIMATICAS"),0)+IFERROR(SUMIFS('Base bordo CD'!M$2:M$875,'Base bordo CD'!D$2:D$875,A422,'Base bordo CD'!A$2:A$875,B422,'Base bordo CD'!L$2:L$875,"TEMPO INDETERMINADO"),0)</f>
        <v>24</v>
      </c>
      <c r="J422" s="10">
        <f>IFERROR(SUMIFS('Base bordo CD'!M$2:M$875,'Base bordo CD'!D$2:D$875,A422,'Base bordo CD'!A$2:A$875,B422,'Base bordo CD'!L$2:L$875,"LIMITAÇÃO INDÚSTRIA"),0)</f>
        <v>0</v>
      </c>
      <c r="K422" s="10">
        <f>IFERROR(SUMIFS('Base bordo CD'!M$2:M$875,'Base bordo CD'!D$2:D$875,A422,'Base bordo CD'!A$2:A$875,B422,'Base bordo CD'!L$2:L$875,"MAN CORRETIVA*"),0)+IFERROR(SUMIFS('Base bordo CD'!M$2:M$875,'Base bordo CD'!D$2:D$875,A422,'Base bordo CD'!A$2:A$875,B422,'Base bordo CD'!L$2:L$875,"AGUARDANDO MANUTENCAO*"),0)+IFERROR(SUMIFS('Base bordo CD'!M$2:M$875,'Base bordo CD'!D$2:D$875,A422,'Base bordo CD'!A$2:A$875,B422,'Base bordo CD'!L$2:L$875,"TROCA DE FAQUINHA"),0)+IFERROR(SUMIFS('Base bordo CD'!M$2:M$875,'Base bordo CD'!D$2:D$875,A422,'Base bordo CD'!A$2:A$875,B422,'Base bordo CD'!L$2:L$875,"LIMPEZA*"),0)</f>
        <v>0</v>
      </c>
      <c r="L422" s="10">
        <f>IFERROR(SUMIFS('Base bordo CD'!M$2:M$875,'Base bordo CD'!D$2:D$875,A422,'Base bordo CD'!A$2:A$875,B422,'Base bordo CD'!L$2:L$875,"PATIO - RESERVA"),0)</f>
        <v>0</v>
      </c>
      <c r="M422" s="10">
        <f>IFERROR(SUMIFS('Base bordo CD'!M$2:M$875,'Base bordo CD'!D$2:D$875,A422,'Base bordo CD'!A$2:A$875,B422,'Base bordo CD'!L$2:L$875,"SEM APONTAMENTO"),0)</f>
        <v>0</v>
      </c>
      <c r="N422" s="10">
        <f>IFERROR(SUMIFS('Base bordo CD'!M$2:M$875,'Base bordo CD'!D$2:D$875,A422,'Base bordo CD'!A$2:A$875,B422,'Base bordo CD'!L$2:L$875,"FALTA DE CAMINHÃO"),0)+IFERROR(SUMIFS('Base bordo CD'!M$2:M$875,'Base bordo CD'!D$2:D$875,A422,'Base bordo CD'!A$2:A$875,B422,'Base bordo CD'!L$2:L$875,"FALTA DE COMBUSTIVEL"),0)+IFERROR(SUMIFS('Base bordo CD'!M$2:M$875,'Base bordo CD'!D$2:D$875,A422,'Base bordo CD'!A$2:A$875,B422,'Base bordo CD'!L$2:L$875,"FALTA DE MOTORIST*"),0)</f>
        <v>0</v>
      </c>
      <c r="O422" s="10">
        <f t="shared" si="35"/>
        <v>0</v>
      </c>
      <c r="P422" s="10">
        <f>IFERROR(SUMIFS('Base bordo CD'!M$2:M$875,'Base bordo CD'!D$2:D$875,A422,'Base bordo CD'!A$2:A$875,B422),0)</f>
        <v>24</v>
      </c>
      <c r="Q422" s="10">
        <f>IFERROR(SUMIFS('Base bordo CD'!O$2:O$875,'Base bordo CD'!D$2:D$875,A422,'Base bordo CD'!A$2:A$875,B422,'Base bordo CD'!L$2:L$875,"CORTE DE CANA MECANIZADO"),0)</f>
        <v>0</v>
      </c>
      <c r="R422" s="10">
        <f>IFERROR(SUMIFS('Base bordo CD'!Q$2:Q$875,'Base bordo CD'!D$2:D$875,A422,'Base bordo CD'!A$2:A$875,B422,'Base bordo CD'!L$2:L$875,"CORTE DE CANA MECANIZADO"),0)</f>
        <v>0</v>
      </c>
      <c r="S422" s="30" t="str">
        <f t="shared" si="36"/>
        <v/>
      </c>
      <c r="T422" s="9">
        <f t="shared" si="37"/>
        <v>0</v>
      </c>
      <c r="U422" s="9">
        <f t="shared" si="38"/>
        <v>0</v>
      </c>
      <c r="V422" s="9">
        <f t="shared" si="39"/>
        <v>1</v>
      </c>
    </row>
    <row r="423" spans="1:22" hidden="1" x14ac:dyDescent="0.35">
      <c r="A423" s="52">
        <v>49593</v>
      </c>
      <c r="B423" s="31">
        <v>46120</v>
      </c>
      <c r="C423" s="7" t="s">
        <v>321</v>
      </c>
      <c r="D423" s="7">
        <v>351</v>
      </c>
      <c r="E423" s="10">
        <f>IFERROR(SUMIFS('Base bordo CD'!M$2:M$875,'Base bordo CD'!D$2:D$875,A423,'Base bordo CD'!A$2:A$875,B423,'Base bordo CD'!L$2:L$875,"CORTE DE CANA MECANIZADO"),0)</f>
        <v>0</v>
      </c>
      <c r="F423" s="10">
        <f>IFERROR(SUMIFS('Base bordo CD'!M$2:M$875,'Base bordo CD'!D$2:D$875,A423,'Base bordo CD'!A$2:A$875,B423,'Base bordo CD'!L$2:L$875,"MANOBRA"),0)</f>
        <v>0</v>
      </c>
      <c r="G423" s="10">
        <f>IFERROR(SUMIFS('Base bordo CD'!M$2:M$875,'Base bordo CD'!D$2:D$875,A423,'Base bordo CD'!A$2:A$875,B423,'Base bordo CD'!L$2:L$875,"DESLOCAMENTO"),0)</f>
        <v>0</v>
      </c>
      <c r="H423" s="10">
        <f>IFERROR(SUMIFS('Base bordo CD'!M$2:M$875,'Base bordo CD'!D$2:D$875,A423,'Base bordo CD'!A$2:A$875,B423,'Base bordo CD'!L$2:L$875,"AGUARDANDO MANOBRA DE TRANSBORDO"),0)+IFERROR(SUMIFS('Base bordo CD'!M$2:M$875,'Base bordo CD'!D$2:D$875,A423,'Base bordo CD'!A$2:A$875,B423,'Base bordo CD'!L$2:L$875,"FALTA DE TRANSBORDO"),0)</f>
        <v>0</v>
      </c>
      <c r="I423" s="10">
        <f>IFERROR(SUMIFS('Base bordo CD'!M$2:M$875,'Base bordo CD'!D$2:D$875,A423,'Base bordo CD'!A$2:A$875,B423,'Base bordo CD'!L$2:L$875,"PARADA POR CONDICOES CLIMATICAS"),0)+IFERROR(SUMIFS('Base bordo CD'!M$2:M$875,'Base bordo CD'!D$2:D$875,A423,'Base bordo CD'!A$2:A$875,B423,'Base bordo CD'!L$2:L$875,"TEMPO INDETERMINADO"),0)</f>
        <v>24</v>
      </c>
      <c r="J423" s="10">
        <f>IFERROR(SUMIFS('Base bordo CD'!M$2:M$875,'Base bordo CD'!D$2:D$875,A423,'Base bordo CD'!A$2:A$875,B423,'Base bordo CD'!L$2:L$875,"LIMITAÇÃO INDÚSTRIA"),0)</f>
        <v>0</v>
      </c>
      <c r="K423" s="10">
        <f>IFERROR(SUMIFS('Base bordo CD'!M$2:M$875,'Base bordo CD'!D$2:D$875,A423,'Base bordo CD'!A$2:A$875,B423,'Base bordo CD'!L$2:L$875,"MAN CORRETIVA*"),0)+IFERROR(SUMIFS('Base bordo CD'!M$2:M$875,'Base bordo CD'!D$2:D$875,A423,'Base bordo CD'!A$2:A$875,B423,'Base bordo CD'!L$2:L$875,"AGUARDANDO MANUTENCAO*"),0)+IFERROR(SUMIFS('Base bordo CD'!M$2:M$875,'Base bordo CD'!D$2:D$875,A423,'Base bordo CD'!A$2:A$875,B423,'Base bordo CD'!L$2:L$875,"TROCA DE FAQUINHA"),0)+IFERROR(SUMIFS('Base bordo CD'!M$2:M$875,'Base bordo CD'!D$2:D$875,A423,'Base bordo CD'!A$2:A$875,B423,'Base bordo CD'!L$2:L$875,"LIMPEZA*"),0)</f>
        <v>0</v>
      </c>
      <c r="L423" s="10">
        <f>IFERROR(SUMIFS('Base bordo CD'!M$2:M$875,'Base bordo CD'!D$2:D$875,A423,'Base bordo CD'!A$2:A$875,B423,'Base bordo CD'!L$2:L$875,"PATIO - RESERVA"),0)</f>
        <v>0</v>
      </c>
      <c r="M423" s="10">
        <f>IFERROR(SUMIFS('Base bordo CD'!M$2:M$875,'Base bordo CD'!D$2:D$875,A423,'Base bordo CD'!A$2:A$875,B423,'Base bordo CD'!L$2:L$875,"SEM APONTAMENTO"),0)</f>
        <v>0</v>
      </c>
      <c r="N423" s="10">
        <f>IFERROR(SUMIFS('Base bordo CD'!M$2:M$875,'Base bordo CD'!D$2:D$875,A423,'Base bordo CD'!A$2:A$875,B423,'Base bordo CD'!L$2:L$875,"FALTA DE CAMINHÃO"),0)+IFERROR(SUMIFS('Base bordo CD'!M$2:M$875,'Base bordo CD'!D$2:D$875,A423,'Base bordo CD'!A$2:A$875,B423,'Base bordo CD'!L$2:L$875,"FALTA DE COMBUSTIVEL"),0)+IFERROR(SUMIFS('Base bordo CD'!M$2:M$875,'Base bordo CD'!D$2:D$875,A423,'Base bordo CD'!A$2:A$875,B423,'Base bordo CD'!L$2:L$875,"FALTA DE MOTORIST*"),0)</f>
        <v>0</v>
      </c>
      <c r="O423" s="10">
        <f t="shared" si="35"/>
        <v>0</v>
      </c>
      <c r="P423" s="10">
        <f>IFERROR(SUMIFS('Base bordo CD'!M$2:M$875,'Base bordo CD'!D$2:D$875,A423,'Base bordo CD'!A$2:A$875,B423),0)</f>
        <v>24</v>
      </c>
      <c r="Q423" s="10">
        <f>IFERROR(SUMIFS('Base bordo CD'!O$2:O$875,'Base bordo CD'!D$2:D$875,A423,'Base bordo CD'!A$2:A$875,B423,'Base bordo CD'!L$2:L$875,"CORTE DE CANA MECANIZADO"),0)</f>
        <v>0</v>
      </c>
      <c r="R423" s="10">
        <f>IFERROR(SUMIFS('Base bordo CD'!Q$2:Q$875,'Base bordo CD'!D$2:D$875,A423,'Base bordo CD'!A$2:A$875,B423,'Base bordo CD'!L$2:L$875,"CORTE DE CANA MECANIZADO"),0)</f>
        <v>0</v>
      </c>
      <c r="S423" s="30" t="str">
        <f t="shared" si="36"/>
        <v/>
      </c>
      <c r="T423" s="9">
        <f t="shared" si="37"/>
        <v>0</v>
      </c>
      <c r="U423" s="9">
        <f t="shared" si="38"/>
        <v>0</v>
      </c>
      <c r="V423" s="9">
        <f t="shared" si="39"/>
        <v>1</v>
      </c>
    </row>
    <row r="424" spans="1:22" x14ac:dyDescent="0.35">
      <c r="A424" s="52">
        <v>49595</v>
      </c>
      <c r="B424" s="31">
        <v>46120</v>
      </c>
      <c r="C424" s="7" t="s">
        <v>337</v>
      </c>
      <c r="D424" s="7">
        <v>353</v>
      </c>
      <c r="E424" s="10">
        <f>IFERROR(SUMIFS('Base bordo CD'!M$2:M$875,'Base bordo CD'!D$2:D$875,A424,'Base bordo CD'!A$2:A$875,B424,'Base bordo CD'!L$2:L$875,"CORTE DE CANA MECANIZADO"),0)</f>
        <v>0.55055555555555558</v>
      </c>
      <c r="F424" s="10">
        <f>IFERROR(SUMIFS('Base bordo CD'!M$2:M$875,'Base bordo CD'!D$2:D$875,A424,'Base bordo CD'!A$2:A$875,B424,'Base bordo CD'!L$2:L$875,"MANOBRA"),0)</f>
        <v>0.16555555555555557</v>
      </c>
      <c r="G424" s="10">
        <f>IFERROR(SUMIFS('Base bordo CD'!M$2:M$875,'Base bordo CD'!D$2:D$875,A424,'Base bordo CD'!A$2:A$875,B424,'Base bordo CD'!L$2:L$875,"DESLOCAMENTO"),0)</f>
        <v>0.13</v>
      </c>
      <c r="H424" s="10">
        <f>IFERROR(SUMIFS('Base bordo CD'!M$2:M$875,'Base bordo CD'!D$2:D$875,A424,'Base bordo CD'!A$2:A$875,B424,'Base bordo CD'!L$2:L$875,"AGUARDANDO MANOBRA DE TRANSBORDO"),0)+IFERROR(SUMIFS('Base bordo CD'!M$2:M$875,'Base bordo CD'!D$2:D$875,A424,'Base bordo CD'!A$2:A$875,B424,'Base bordo CD'!L$2:L$875,"FALTA DE TRANSBORDO"),0)</f>
        <v>0.23944444444444446</v>
      </c>
      <c r="I424" s="10">
        <f>IFERROR(SUMIFS('Base bordo CD'!M$2:M$875,'Base bordo CD'!D$2:D$875,A424,'Base bordo CD'!A$2:A$875,B424,'Base bordo CD'!L$2:L$875,"PARADA POR CONDICOES CLIMATICAS"),0)+IFERROR(SUMIFS('Base bordo CD'!M$2:M$875,'Base bordo CD'!D$2:D$875,A424,'Base bordo CD'!A$2:A$875,B424,'Base bordo CD'!L$2:L$875,"TEMPO INDETERMINADO"),0)</f>
        <v>22.784444444444446</v>
      </c>
      <c r="J424" s="10">
        <f>IFERROR(SUMIFS('Base bordo CD'!M$2:M$875,'Base bordo CD'!D$2:D$875,A424,'Base bordo CD'!A$2:A$875,B424,'Base bordo CD'!L$2:L$875,"LIMITAÇÃO INDÚSTRIA"),0)</f>
        <v>0</v>
      </c>
      <c r="K424" s="10">
        <f>IFERROR(SUMIFS('Base bordo CD'!M$2:M$875,'Base bordo CD'!D$2:D$875,A424,'Base bordo CD'!A$2:A$875,B424,'Base bordo CD'!L$2:L$875,"MAN CORRETIVA*"),0)+IFERROR(SUMIFS('Base bordo CD'!M$2:M$875,'Base bordo CD'!D$2:D$875,A424,'Base bordo CD'!A$2:A$875,B424,'Base bordo CD'!L$2:L$875,"AGUARDANDO MANUTENCAO*"),0)+IFERROR(SUMIFS('Base bordo CD'!M$2:M$875,'Base bordo CD'!D$2:D$875,A424,'Base bordo CD'!A$2:A$875,B424,'Base bordo CD'!L$2:L$875,"TROCA DE FAQUINHA"),0)+IFERROR(SUMIFS('Base bordo CD'!M$2:M$875,'Base bordo CD'!D$2:D$875,A424,'Base bordo CD'!A$2:A$875,B424,'Base bordo CD'!L$2:L$875,"LIMPEZA*"),0)</f>
        <v>0</v>
      </c>
      <c r="L424" s="10">
        <f>IFERROR(SUMIFS('Base bordo CD'!M$2:M$875,'Base bordo CD'!D$2:D$875,A424,'Base bordo CD'!A$2:A$875,B424,'Base bordo CD'!L$2:L$875,"PATIO - RESERVA"),0)</f>
        <v>0</v>
      </c>
      <c r="M424" s="10">
        <f>IFERROR(SUMIFS('Base bordo CD'!M$2:M$875,'Base bordo CD'!D$2:D$875,A424,'Base bordo CD'!A$2:A$875,B424,'Base bordo CD'!L$2:L$875,"SEM APONTAMENTO"),0)</f>
        <v>1.1111111111111111E-3</v>
      </c>
      <c r="N424" s="10">
        <f>IFERROR(SUMIFS('Base bordo CD'!M$2:M$875,'Base bordo CD'!D$2:D$875,A424,'Base bordo CD'!A$2:A$875,B424,'Base bordo CD'!L$2:L$875,"FALTA DE CAMINHÃO"),0)+IFERROR(SUMIFS('Base bordo CD'!M$2:M$875,'Base bordo CD'!D$2:D$875,A424,'Base bordo CD'!A$2:A$875,B424,'Base bordo CD'!L$2:L$875,"FALTA DE COMBUSTIVEL"),0)+IFERROR(SUMIFS('Base bordo CD'!M$2:M$875,'Base bordo CD'!D$2:D$875,A424,'Base bordo CD'!A$2:A$875,B424,'Base bordo CD'!L$2:L$875,"FALTA DE MOTORIST*"),0)</f>
        <v>0</v>
      </c>
      <c r="O424" s="10">
        <f t="shared" si="35"/>
        <v>0.12888888888888417</v>
      </c>
      <c r="P424" s="10">
        <f>IFERROR(SUMIFS('Base bordo CD'!M$2:M$875,'Base bordo CD'!D$2:D$875,A424,'Base bordo CD'!A$2:A$875,B424),0)</f>
        <v>23.999999999999996</v>
      </c>
      <c r="Q424" s="10">
        <f>IFERROR(SUMIFS('Base bordo CD'!O$2:O$875,'Base bordo CD'!D$2:D$875,A424,'Base bordo CD'!A$2:A$875,B424,'Base bordo CD'!L$2:L$875,"CORTE DE CANA MECANIZADO"),0)</f>
        <v>8987.159999999998</v>
      </c>
      <c r="R424" s="10">
        <f>IFERROR(SUMIFS('Base bordo CD'!Q$2:Q$875,'Base bordo CD'!D$2:D$875,A424,'Base bordo CD'!A$2:A$875,B424,'Base bordo CD'!L$2:L$875,"CORTE DE CANA MECANIZADO"),0)</f>
        <v>1982</v>
      </c>
      <c r="S424" s="30">
        <f t="shared" si="36"/>
        <v>4.5343895055499486</v>
      </c>
      <c r="T424" s="9">
        <f t="shared" si="37"/>
        <v>2.2939814814814819E-2</v>
      </c>
      <c r="U424" s="9">
        <f t="shared" si="38"/>
        <v>6.8981481481481498E-3</v>
      </c>
      <c r="V424" s="9">
        <f t="shared" si="39"/>
        <v>0.97164351851851849</v>
      </c>
    </row>
    <row r="425" spans="1:22" x14ac:dyDescent="0.35">
      <c r="A425" s="52">
        <v>49595</v>
      </c>
      <c r="B425" s="31">
        <v>46120</v>
      </c>
      <c r="C425" s="7" t="s">
        <v>337</v>
      </c>
      <c r="D425" s="7">
        <v>353</v>
      </c>
      <c r="E425" s="10">
        <f>IFERROR(SUMIFS('Base bordo CD'!M$2:M$875,'Base bordo CD'!D$2:D$875,A425,'Base bordo CD'!A$2:A$875,B425,'Base bordo CD'!L$2:L$875,"CORTE DE CANA MECANIZADO"),0)</f>
        <v>0.55055555555555558</v>
      </c>
      <c r="F425" s="10">
        <f>IFERROR(SUMIFS('Base bordo CD'!M$2:M$875,'Base bordo CD'!D$2:D$875,A425,'Base bordo CD'!A$2:A$875,B425,'Base bordo CD'!L$2:L$875,"MANOBRA"),0)</f>
        <v>0.16555555555555557</v>
      </c>
      <c r="G425" s="10">
        <f>IFERROR(SUMIFS('Base bordo CD'!M$2:M$875,'Base bordo CD'!D$2:D$875,A425,'Base bordo CD'!A$2:A$875,B425,'Base bordo CD'!L$2:L$875,"DESLOCAMENTO"),0)</f>
        <v>0.13</v>
      </c>
      <c r="H425" s="10">
        <f>IFERROR(SUMIFS('Base bordo CD'!M$2:M$875,'Base bordo CD'!D$2:D$875,A425,'Base bordo CD'!A$2:A$875,B425,'Base bordo CD'!L$2:L$875,"AGUARDANDO MANOBRA DE TRANSBORDO"),0)+IFERROR(SUMIFS('Base bordo CD'!M$2:M$875,'Base bordo CD'!D$2:D$875,A425,'Base bordo CD'!A$2:A$875,B425,'Base bordo CD'!L$2:L$875,"FALTA DE TRANSBORDO"),0)</f>
        <v>0.23944444444444446</v>
      </c>
      <c r="I425" s="10">
        <f>IFERROR(SUMIFS('Base bordo CD'!M$2:M$875,'Base bordo CD'!D$2:D$875,A425,'Base bordo CD'!A$2:A$875,B425,'Base bordo CD'!L$2:L$875,"PARADA POR CONDICOES CLIMATICAS"),0)+IFERROR(SUMIFS('Base bordo CD'!M$2:M$875,'Base bordo CD'!D$2:D$875,A425,'Base bordo CD'!A$2:A$875,B425,'Base bordo CD'!L$2:L$875,"TEMPO INDETERMINADO"),0)</f>
        <v>22.784444444444446</v>
      </c>
      <c r="J425" s="10">
        <f>IFERROR(SUMIFS('Base bordo CD'!M$2:M$875,'Base bordo CD'!D$2:D$875,A425,'Base bordo CD'!A$2:A$875,B425,'Base bordo CD'!L$2:L$875,"LIMITAÇÃO INDÚSTRIA"),0)</f>
        <v>0</v>
      </c>
      <c r="K425" s="10">
        <f>IFERROR(SUMIFS('Base bordo CD'!M$2:M$875,'Base bordo CD'!D$2:D$875,A425,'Base bordo CD'!A$2:A$875,B425,'Base bordo CD'!L$2:L$875,"MAN CORRETIVA*"),0)+IFERROR(SUMIFS('Base bordo CD'!M$2:M$875,'Base bordo CD'!D$2:D$875,A425,'Base bordo CD'!A$2:A$875,B425,'Base bordo CD'!L$2:L$875,"AGUARDANDO MANUTENCAO*"),0)+IFERROR(SUMIFS('Base bordo CD'!M$2:M$875,'Base bordo CD'!D$2:D$875,A425,'Base bordo CD'!A$2:A$875,B425,'Base bordo CD'!L$2:L$875,"TROCA DE FAQUINHA"),0)+IFERROR(SUMIFS('Base bordo CD'!M$2:M$875,'Base bordo CD'!D$2:D$875,A425,'Base bordo CD'!A$2:A$875,B425,'Base bordo CD'!L$2:L$875,"LIMPEZA*"),0)</f>
        <v>0</v>
      </c>
      <c r="L425" s="10">
        <f>IFERROR(SUMIFS('Base bordo CD'!M$2:M$875,'Base bordo CD'!D$2:D$875,A425,'Base bordo CD'!A$2:A$875,B425,'Base bordo CD'!L$2:L$875,"PATIO - RESERVA"),0)</f>
        <v>0</v>
      </c>
      <c r="M425" s="10">
        <f>IFERROR(SUMIFS('Base bordo CD'!M$2:M$875,'Base bordo CD'!D$2:D$875,A425,'Base bordo CD'!A$2:A$875,B425,'Base bordo CD'!L$2:L$875,"SEM APONTAMENTO"),0)</f>
        <v>1.1111111111111111E-3</v>
      </c>
      <c r="N425" s="10">
        <f>IFERROR(SUMIFS('Base bordo CD'!M$2:M$875,'Base bordo CD'!D$2:D$875,A425,'Base bordo CD'!A$2:A$875,B425,'Base bordo CD'!L$2:L$875,"FALTA DE CAMINHÃO"),0)+IFERROR(SUMIFS('Base bordo CD'!M$2:M$875,'Base bordo CD'!D$2:D$875,A425,'Base bordo CD'!A$2:A$875,B425,'Base bordo CD'!L$2:L$875,"FALTA DE COMBUSTIVEL"),0)+IFERROR(SUMIFS('Base bordo CD'!M$2:M$875,'Base bordo CD'!D$2:D$875,A425,'Base bordo CD'!A$2:A$875,B425,'Base bordo CD'!L$2:L$875,"FALTA DE MOTORIST*"),0)</f>
        <v>0</v>
      </c>
      <c r="O425" s="10">
        <f t="shared" si="35"/>
        <v>0.12888888888888417</v>
      </c>
      <c r="P425" s="10">
        <f>IFERROR(SUMIFS('Base bordo CD'!M$2:M$875,'Base bordo CD'!D$2:D$875,A425,'Base bordo CD'!A$2:A$875,B425),0)</f>
        <v>23.999999999999996</v>
      </c>
      <c r="Q425" s="10">
        <f>IFERROR(SUMIFS('Base bordo CD'!O$2:O$875,'Base bordo CD'!D$2:D$875,A425,'Base bordo CD'!A$2:A$875,B425,'Base bordo CD'!L$2:L$875,"CORTE DE CANA MECANIZADO"),0)</f>
        <v>8987.159999999998</v>
      </c>
      <c r="R425" s="10">
        <f>IFERROR(SUMIFS('Base bordo CD'!Q$2:Q$875,'Base bordo CD'!D$2:D$875,A425,'Base bordo CD'!A$2:A$875,B425,'Base bordo CD'!L$2:L$875,"CORTE DE CANA MECANIZADO"),0)</f>
        <v>1982</v>
      </c>
      <c r="S425" s="30">
        <f t="shared" si="36"/>
        <v>4.5343895055499486</v>
      </c>
      <c r="T425" s="9">
        <f t="shared" si="37"/>
        <v>2.2939814814814819E-2</v>
      </c>
      <c r="U425" s="9">
        <f t="shared" si="38"/>
        <v>6.8981481481481498E-3</v>
      </c>
      <c r="V425" s="9">
        <f t="shared" si="39"/>
        <v>0.97164351851851849</v>
      </c>
    </row>
    <row r="426" spans="1:22" x14ac:dyDescent="0.35">
      <c r="A426" s="52">
        <v>49595</v>
      </c>
      <c r="B426" s="31">
        <v>46120</v>
      </c>
      <c r="C426" s="7" t="s">
        <v>337</v>
      </c>
      <c r="D426" s="7">
        <v>353</v>
      </c>
      <c r="E426" s="10">
        <f>IFERROR(SUMIFS('Base bordo CD'!M$2:M$875,'Base bordo CD'!D$2:D$875,A426,'Base bordo CD'!A$2:A$875,B426,'Base bordo CD'!L$2:L$875,"CORTE DE CANA MECANIZADO"),0)</f>
        <v>0.55055555555555558</v>
      </c>
      <c r="F426" s="10">
        <f>IFERROR(SUMIFS('Base bordo CD'!M$2:M$875,'Base bordo CD'!D$2:D$875,A426,'Base bordo CD'!A$2:A$875,B426,'Base bordo CD'!L$2:L$875,"MANOBRA"),0)</f>
        <v>0.16555555555555557</v>
      </c>
      <c r="G426" s="10">
        <f>IFERROR(SUMIFS('Base bordo CD'!M$2:M$875,'Base bordo CD'!D$2:D$875,A426,'Base bordo CD'!A$2:A$875,B426,'Base bordo CD'!L$2:L$875,"DESLOCAMENTO"),0)</f>
        <v>0.13</v>
      </c>
      <c r="H426" s="10">
        <f>IFERROR(SUMIFS('Base bordo CD'!M$2:M$875,'Base bordo CD'!D$2:D$875,A426,'Base bordo CD'!A$2:A$875,B426,'Base bordo CD'!L$2:L$875,"AGUARDANDO MANOBRA DE TRANSBORDO"),0)+IFERROR(SUMIFS('Base bordo CD'!M$2:M$875,'Base bordo CD'!D$2:D$875,A426,'Base bordo CD'!A$2:A$875,B426,'Base bordo CD'!L$2:L$875,"FALTA DE TRANSBORDO"),0)</f>
        <v>0.23944444444444446</v>
      </c>
      <c r="I426" s="10">
        <f>IFERROR(SUMIFS('Base bordo CD'!M$2:M$875,'Base bordo CD'!D$2:D$875,A426,'Base bordo CD'!A$2:A$875,B426,'Base bordo CD'!L$2:L$875,"PARADA POR CONDICOES CLIMATICAS"),0)+IFERROR(SUMIFS('Base bordo CD'!M$2:M$875,'Base bordo CD'!D$2:D$875,A426,'Base bordo CD'!A$2:A$875,B426,'Base bordo CD'!L$2:L$875,"TEMPO INDETERMINADO"),0)</f>
        <v>22.784444444444446</v>
      </c>
      <c r="J426" s="10">
        <f>IFERROR(SUMIFS('Base bordo CD'!M$2:M$875,'Base bordo CD'!D$2:D$875,A426,'Base bordo CD'!A$2:A$875,B426,'Base bordo CD'!L$2:L$875,"LIMITAÇÃO INDÚSTRIA"),0)</f>
        <v>0</v>
      </c>
      <c r="K426" s="10">
        <f>IFERROR(SUMIFS('Base bordo CD'!M$2:M$875,'Base bordo CD'!D$2:D$875,A426,'Base bordo CD'!A$2:A$875,B426,'Base bordo CD'!L$2:L$875,"MAN CORRETIVA*"),0)+IFERROR(SUMIFS('Base bordo CD'!M$2:M$875,'Base bordo CD'!D$2:D$875,A426,'Base bordo CD'!A$2:A$875,B426,'Base bordo CD'!L$2:L$875,"AGUARDANDO MANUTENCAO*"),0)+IFERROR(SUMIFS('Base bordo CD'!M$2:M$875,'Base bordo CD'!D$2:D$875,A426,'Base bordo CD'!A$2:A$875,B426,'Base bordo CD'!L$2:L$875,"TROCA DE FAQUINHA"),0)+IFERROR(SUMIFS('Base bordo CD'!M$2:M$875,'Base bordo CD'!D$2:D$875,A426,'Base bordo CD'!A$2:A$875,B426,'Base bordo CD'!L$2:L$875,"LIMPEZA*"),0)</f>
        <v>0</v>
      </c>
      <c r="L426" s="10">
        <f>IFERROR(SUMIFS('Base bordo CD'!M$2:M$875,'Base bordo CD'!D$2:D$875,A426,'Base bordo CD'!A$2:A$875,B426,'Base bordo CD'!L$2:L$875,"PATIO - RESERVA"),0)</f>
        <v>0</v>
      </c>
      <c r="M426" s="10">
        <f>IFERROR(SUMIFS('Base bordo CD'!M$2:M$875,'Base bordo CD'!D$2:D$875,A426,'Base bordo CD'!A$2:A$875,B426,'Base bordo CD'!L$2:L$875,"SEM APONTAMENTO"),0)</f>
        <v>1.1111111111111111E-3</v>
      </c>
      <c r="N426" s="10">
        <f>IFERROR(SUMIFS('Base bordo CD'!M$2:M$875,'Base bordo CD'!D$2:D$875,A426,'Base bordo CD'!A$2:A$875,B426,'Base bordo CD'!L$2:L$875,"FALTA DE CAMINHÃO"),0)+IFERROR(SUMIFS('Base bordo CD'!M$2:M$875,'Base bordo CD'!D$2:D$875,A426,'Base bordo CD'!A$2:A$875,B426,'Base bordo CD'!L$2:L$875,"FALTA DE COMBUSTIVEL"),0)+IFERROR(SUMIFS('Base bordo CD'!M$2:M$875,'Base bordo CD'!D$2:D$875,A426,'Base bordo CD'!A$2:A$875,B426,'Base bordo CD'!L$2:L$875,"FALTA DE MOTORIST*"),0)</f>
        <v>0</v>
      </c>
      <c r="O426" s="10">
        <f t="shared" si="35"/>
        <v>0.12888888888888417</v>
      </c>
      <c r="P426" s="10">
        <f>IFERROR(SUMIFS('Base bordo CD'!M$2:M$875,'Base bordo CD'!D$2:D$875,A426,'Base bordo CD'!A$2:A$875,B426),0)</f>
        <v>23.999999999999996</v>
      </c>
      <c r="Q426" s="10">
        <f>IFERROR(SUMIFS('Base bordo CD'!O$2:O$875,'Base bordo CD'!D$2:D$875,A426,'Base bordo CD'!A$2:A$875,B426,'Base bordo CD'!L$2:L$875,"CORTE DE CANA MECANIZADO"),0)</f>
        <v>8987.159999999998</v>
      </c>
      <c r="R426" s="10">
        <f>IFERROR(SUMIFS('Base bordo CD'!Q$2:Q$875,'Base bordo CD'!D$2:D$875,A426,'Base bordo CD'!A$2:A$875,B426,'Base bordo CD'!L$2:L$875,"CORTE DE CANA MECANIZADO"),0)</f>
        <v>1982</v>
      </c>
      <c r="S426" s="30">
        <f t="shared" si="36"/>
        <v>4.5343895055499486</v>
      </c>
      <c r="T426" s="9">
        <f t="shared" si="37"/>
        <v>2.2939814814814819E-2</v>
      </c>
      <c r="U426" s="9">
        <f t="shared" si="38"/>
        <v>6.8981481481481498E-3</v>
      </c>
      <c r="V426" s="9">
        <f t="shared" si="39"/>
        <v>0.97164351851851849</v>
      </c>
    </row>
    <row r="427" spans="1:22" x14ac:dyDescent="0.35">
      <c r="A427" s="52">
        <v>49595</v>
      </c>
      <c r="B427" s="31">
        <v>46120</v>
      </c>
      <c r="C427" s="7" t="s">
        <v>337</v>
      </c>
      <c r="D427" s="7">
        <v>353</v>
      </c>
      <c r="E427" s="10">
        <f>IFERROR(SUMIFS('Base bordo CD'!M$2:M$875,'Base bordo CD'!D$2:D$875,A427,'Base bordo CD'!A$2:A$875,B427,'Base bordo CD'!L$2:L$875,"CORTE DE CANA MECANIZADO"),0)</f>
        <v>0.55055555555555558</v>
      </c>
      <c r="F427" s="10">
        <f>IFERROR(SUMIFS('Base bordo CD'!M$2:M$875,'Base bordo CD'!D$2:D$875,A427,'Base bordo CD'!A$2:A$875,B427,'Base bordo CD'!L$2:L$875,"MANOBRA"),0)</f>
        <v>0.16555555555555557</v>
      </c>
      <c r="G427" s="10">
        <f>IFERROR(SUMIFS('Base bordo CD'!M$2:M$875,'Base bordo CD'!D$2:D$875,A427,'Base bordo CD'!A$2:A$875,B427,'Base bordo CD'!L$2:L$875,"DESLOCAMENTO"),0)</f>
        <v>0.13</v>
      </c>
      <c r="H427" s="10">
        <f>IFERROR(SUMIFS('Base bordo CD'!M$2:M$875,'Base bordo CD'!D$2:D$875,A427,'Base bordo CD'!A$2:A$875,B427,'Base bordo CD'!L$2:L$875,"AGUARDANDO MANOBRA DE TRANSBORDO"),0)+IFERROR(SUMIFS('Base bordo CD'!M$2:M$875,'Base bordo CD'!D$2:D$875,A427,'Base bordo CD'!A$2:A$875,B427,'Base bordo CD'!L$2:L$875,"FALTA DE TRANSBORDO"),0)</f>
        <v>0.23944444444444446</v>
      </c>
      <c r="I427" s="10">
        <f>IFERROR(SUMIFS('Base bordo CD'!M$2:M$875,'Base bordo CD'!D$2:D$875,A427,'Base bordo CD'!A$2:A$875,B427,'Base bordo CD'!L$2:L$875,"PARADA POR CONDICOES CLIMATICAS"),0)+IFERROR(SUMIFS('Base bordo CD'!M$2:M$875,'Base bordo CD'!D$2:D$875,A427,'Base bordo CD'!A$2:A$875,B427,'Base bordo CD'!L$2:L$875,"TEMPO INDETERMINADO"),0)</f>
        <v>22.784444444444446</v>
      </c>
      <c r="J427" s="10">
        <f>IFERROR(SUMIFS('Base bordo CD'!M$2:M$875,'Base bordo CD'!D$2:D$875,A427,'Base bordo CD'!A$2:A$875,B427,'Base bordo CD'!L$2:L$875,"LIMITAÇÃO INDÚSTRIA"),0)</f>
        <v>0</v>
      </c>
      <c r="K427" s="10">
        <f>IFERROR(SUMIFS('Base bordo CD'!M$2:M$875,'Base bordo CD'!D$2:D$875,A427,'Base bordo CD'!A$2:A$875,B427,'Base bordo CD'!L$2:L$875,"MAN CORRETIVA*"),0)+IFERROR(SUMIFS('Base bordo CD'!M$2:M$875,'Base bordo CD'!D$2:D$875,A427,'Base bordo CD'!A$2:A$875,B427,'Base bordo CD'!L$2:L$875,"AGUARDANDO MANUTENCAO*"),0)+IFERROR(SUMIFS('Base bordo CD'!M$2:M$875,'Base bordo CD'!D$2:D$875,A427,'Base bordo CD'!A$2:A$875,B427,'Base bordo CD'!L$2:L$875,"TROCA DE FAQUINHA"),0)+IFERROR(SUMIFS('Base bordo CD'!M$2:M$875,'Base bordo CD'!D$2:D$875,A427,'Base bordo CD'!A$2:A$875,B427,'Base bordo CD'!L$2:L$875,"LIMPEZA*"),0)</f>
        <v>0</v>
      </c>
      <c r="L427" s="10">
        <f>IFERROR(SUMIFS('Base bordo CD'!M$2:M$875,'Base bordo CD'!D$2:D$875,A427,'Base bordo CD'!A$2:A$875,B427,'Base bordo CD'!L$2:L$875,"PATIO - RESERVA"),0)</f>
        <v>0</v>
      </c>
      <c r="M427" s="10">
        <f>IFERROR(SUMIFS('Base bordo CD'!M$2:M$875,'Base bordo CD'!D$2:D$875,A427,'Base bordo CD'!A$2:A$875,B427,'Base bordo CD'!L$2:L$875,"SEM APONTAMENTO"),0)</f>
        <v>1.1111111111111111E-3</v>
      </c>
      <c r="N427" s="10">
        <f>IFERROR(SUMIFS('Base bordo CD'!M$2:M$875,'Base bordo CD'!D$2:D$875,A427,'Base bordo CD'!A$2:A$875,B427,'Base bordo CD'!L$2:L$875,"FALTA DE CAMINHÃO"),0)+IFERROR(SUMIFS('Base bordo CD'!M$2:M$875,'Base bordo CD'!D$2:D$875,A427,'Base bordo CD'!A$2:A$875,B427,'Base bordo CD'!L$2:L$875,"FALTA DE COMBUSTIVEL"),0)+IFERROR(SUMIFS('Base bordo CD'!M$2:M$875,'Base bordo CD'!D$2:D$875,A427,'Base bordo CD'!A$2:A$875,B427,'Base bordo CD'!L$2:L$875,"FALTA DE MOTORIST*"),0)</f>
        <v>0</v>
      </c>
      <c r="O427" s="10">
        <f t="shared" si="35"/>
        <v>0.12888888888888417</v>
      </c>
      <c r="P427" s="10">
        <f>IFERROR(SUMIFS('Base bordo CD'!M$2:M$875,'Base bordo CD'!D$2:D$875,A427,'Base bordo CD'!A$2:A$875,B427),0)</f>
        <v>23.999999999999996</v>
      </c>
      <c r="Q427" s="10">
        <f>IFERROR(SUMIFS('Base bordo CD'!O$2:O$875,'Base bordo CD'!D$2:D$875,A427,'Base bordo CD'!A$2:A$875,B427,'Base bordo CD'!L$2:L$875,"CORTE DE CANA MECANIZADO"),0)</f>
        <v>8987.159999999998</v>
      </c>
      <c r="R427" s="10">
        <f>IFERROR(SUMIFS('Base bordo CD'!Q$2:Q$875,'Base bordo CD'!D$2:D$875,A427,'Base bordo CD'!A$2:A$875,B427,'Base bordo CD'!L$2:L$875,"CORTE DE CANA MECANIZADO"),0)</f>
        <v>1982</v>
      </c>
      <c r="S427" s="30">
        <f t="shared" si="36"/>
        <v>4.5343895055499486</v>
      </c>
      <c r="T427" s="9">
        <f t="shared" si="37"/>
        <v>2.2939814814814819E-2</v>
      </c>
      <c r="U427" s="9">
        <f t="shared" si="38"/>
        <v>6.8981481481481498E-3</v>
      </c>
      <c r="V427" s="9">
        <f t="shared" si="39"/>
        <v>0.97164351851851849</v>
      </c>
    </row>
    <row r="428" spans="1:22" x14ac:dyDescent="0.35">
      <c r="A428" s="52">
        <v>49595</v>
      </c>
      <c r="B428" s="31">
        <v>46120</v>
      </c>
      <c r="C428" s="7" t="s">
        <v>337</v>
      </c>
      <c r="D428" s="7">
        <v>353</v>
      </c>
      <c r="E428" s="10">
        <f>IFERROR(SUMIFS('Base bordo CD'!M$2:M$875,'Base bordo CD'!D$2:D$875,A428,'Base bordo CD'!A$2:A$875,B428,'Base bordo CD'!L$2:L$875,"CORTE DE CANA MECANIZADO"),0)</f>
        <v>0.55055555555555558</v>
      </c>
      <c r="F428" s="10">
        <f>IFERROR(SUMIFS('Base bordo CD'!M$2:M$875,'Base bordo CD'!D$2:D$875,A428,'Base bordo CD'!A$2:A$875,B428,'Base bordo CD'!L$2:L$875,"MANOBRA"),0)</f>
        <v>0.16555555555555557</v>
      </c>
      <c r="G428" s="10">
        <f>IFERROR(SUMIFS('Base bordo CD'!M$2:M$875,'Base bordo CD'!D$2:D$875,A428,'Base bordo CD'!A$2:A$875,B428,'Base bordo CD'!L$2:L$875,"DESLOCAMENTO"),0)</f>
        <v>0.13</v>
      </c>
      <c r="H428" s="10">
        <f>IFERROR(SUMIFS('Base bordo CD'!M$2:M$875,'Base bordo CD'!D$2:D$875,A428,'Base bordo CD'!A$2:A$875,B428,'Base bordo CD'!L$2:L$875,"AGUARDANDO MANOBRA DE TRANSBORDO"),0)+IFERROR(SUMIFS('Base bordo CD'!M$2:M$875,'Base bordo CD'!D$2:D$875,A428,'Base bordo CD'!A$2:A$875,B428,'Base bordo CD'!L$2:L$875,"FALTA DE TRANSBORDO"),0)</f>
        <v>0.23944444444444446</v>
      </c>
      <c r="I428" s="10">
        <f>IFERROR(SUMIFS('Base bordo CD'!M$2:M$875,'Base bordo CD'!D$2:D$875,A428,'Base bordo CD'!A$2:A$875,B428,'Base bordo CD'!L$2:L$875,"PARADA POR CONDICOES CLIMATICAS"),0)+IFERROR(SUMIFS('Base bordo CD'!M$2:M$875,'Base bordo CD'!D$2:D$875,A428,'Base bordo CD'!A$2:A$875,B428,'Base bordo CD'!L$2:L$875,"TEMPO INDETERMINADO"),0)</f>
        <v>22.784444444444446</v>
      </c>
      <c r="J428" s="10">
        <f>IFERROR(SUMIFS('Base bordo CD'!M$2:M$875,'Base bordo CD'!D$2:D$875,A428,'Base bordo CD'!A$2:A$875,B428,'Base bordo CD'!L$2:L$875,"LIMITAÇÃO INDÚSTRIA"),0)</f>
        <v>0</v>
      </c>
      <c r="K428" s="10">
        <f>IFERROR(SUMIFS('Base bordo CD'!M$2:M$875,'Base bordo CD'!D$2:D$875,A428,'Base bordo CD'!A$2:A$875,B428,'Base bordo CD'!L$2:L$875,"MAN CORRETIVA*"),0)+IFERROR(SUMIFS('Base bordo CD'!M$2:M$875,'Base bordo CD'!D$2:D$875,A428,'Base bordo CD'!A$2:A$875,B428,'Base bordo CD'!L$2:L$875,"AGUARDANDO MANUTENCAO*"),0)+IFERROR(SUMIFS('Base bordo CD'!M$2:M$875,'Base bordo CD'!D$2:D$875,A428,'Base bordo CD'!A$2:A$875,B428,'Base bordo CD'!L$2:L$875,"TROCA DE FAQUINHA"),0)+IFERROR(SUMIFS('Base bordo CD'!M$2:M$875,'Base bordo CD'!D$2:D$875,A428,'Base bordo CD'!A$2:A$875,B428,'Base bordo CD'!L$2:L$875,"LIMPEZA*"),0)</f>
        <v>0</v>
      </c>
      <c r="L428" s="10">
        <f>IFERROR(SUMIFS('Base bordo CD'!M$2:M$875,'Base bordo CD'!D$2:D$875,A428,'Base bordo CD'!A$2:A$875,B428,'Base bordo CD'!L$2:L$875,"PATIO - RESERVA"),0)</f>
        <v>0</v>
      </c>
      <c r="M428" s="10">
        <f>IFERROR(SUMIFS('Base bordo CD'!M$2:M$875,'Base bordo CD'!D$2:D$875,A428,'Base bordo CD'!A$2:A$875,B428,'Base bordo CD'!L$2:L$875,"SEM APONTAMENTO"),0)</f>
        <v>1.1111111111111111E-3</v>
      </c>
      <c r="N428" s="10">
        <f>IFERROR(SUMIFS('Base bordo CD'!M$2:M$875,'Base bordo CD'!D$2:D$875,A428,'Base bordo CD'!A$2:A$875,B428,'Base bordo CD'!L$2:L$875,"FALTA DE CAMINHÃO"),0)+IFERROR(SUMIFS('Base bordo CD'!M$2:M$875,'Base bordo CD'!D$2:D$875,A428,'Base bordo CD'!A$2:A$875,B428,'Base bordo CD'!L$2:L$875,"FALTA DE COMBUSTIVEL"),0)+IFERROR(SUMIFS('Base bordo CD'!M$2:M$875,'Base bordo CD'!D$2:D$875,A428,'Base bordo CD'!A$2:A$875,B428,'Base bordo CD'!L$2:L$875,"FALTA DE MOTORIST*"),0)</f>
        <v>0</v>
      </c>
      <c r="O428" s="10">
        <f t="shared" si="35"/>
        <v>0.12888888888888417</v>
      </c>
      <c r="P428" s="10">
        <f>IFERROR(SUMIFS('Base bordo CD'!M$2:M$875,'Base bordo CD'!D$2:D$875,A428,'Base bordo CD'!A$2:A$875,B428),0)</f>
        <v>23.999999999999996</v>
      </c>
      <c r="Q428" s="10">
        <f>IFERROR(SUMIFS('Base bordo CD'!O$2:O$875,'Base bordo CD'!D$2:D$875,A428,'Base bordo CD'!A$2:A$875,B428,'Base bordo CD'!L$2:L$875,"CORTE DE CANA MECANIZADO"),0)</f>
        <v>8987.159999999998</v>
      </c>
      <c r="R428" s="10">
        <f>IFERROR(SUMIFS('Base bordo CD'!Q$2:Q$875,'Base bordo CD'!D$2:D$875,A428,'Base bordo CD'!A$2:A$875,B428,'Base bordo CD'!L$2:L$875,"CORTE DE CANA MECANIZADO"),0)</f>
        <v>1982</v>
      </c>
      <c r="S428" s="30">
        <f t="shared" si="36"/>
        <v>4.5343895055499486</v>
      </c>
      <c r="T428" s="9">
        <f t="shared" si="37"/>
        <v>2.2939814814814819E-2</v>
      </c>
      <c r="U428" s="9">
        <f t="shared" si="38"/>
        <v>6.8981481481481498E-3</v>
      </c>
      <c r="V428" s="9">
        <f t="shared" si="39"/>
        <v>0.97164351851851849</v>
      </c>
    </row>
    <row r="429" spans="1:22" x14ac:dyDescent="0.35">
      <c r="A429" s="52">
        <v>49595</v>
      </c>
      <c r="B429" s="31">
        <v>46120</v>
      </c>
      <c r="C429" s="7" t="s">
        <v>337</v>
      </c>
      <c r="D429" s="7">
        <v>353</v>
      </c>
      <c r="E429" s="10">
        <f>IFERROR(SUMIFS('Base bordo CD'!M$2:M$875,'Base bordo CD'!D$2:D$875,A429,'Base bordo CD'!A$2:A$875,B429,'Base bordo CD'!L$2:L$875,"CORTE DE CANA MECANIZADO"),0)</f>
        <v>0.55055555555555558</v>
      </c>
      <c r="F429" s="10">
        <f>IFERROR(SUMIFS('Base bordo CD'!M$2:M$875,'Base bordo CD'!D$2:D$875,A429,'Base bordo CD'!A$2:A$875,B429,'Base bordo CD'!L$2:L$875,"MANOBRA"),0)</f>
        <v>0.16555555555555557</v>
      </c>
      <c r="G429" s="10">
        <f>IFERROR(SUMIFS('Base bordo CD'!M$2:M$875,'Base bordo CD'!D$2:D$875,A429,'Base bordo CD'!A$2:A$875,B429,'Base bordo CD'!L$2:L$875,"DESLOCAMENTO"),0)</f>
        <v>0.13</v>
      </c>
      <c r="H429" s="10">
        <f>IFERROR(SUMIFS('Base bordo CD'!M$2:M$875,'Base bordo CD'!D$2:D$875,A429,'Base bordo CD'!A$2:A$875,B429,'Base bordo CD'!L$2:L$875,"AGUARDANDO MANOBRA DE TRANSBORDO"),0)+IFERROR(SUMIFS('Base bordo CD'!M$2:M$875,'Base bordo CD'!D$2:D$875,A429,'Base bordo CD'!A$2:A$875,B429,'Base bordo CD'!L$2:L$875,"FALTA DE TRANSBORDO"),0)</f>
        <v>0.23944444444444446</v>
      </c>
      <c r="I429" s="10">
        <f>IFERROR(SUMIFS('Base bordo CD'!M$2:M$875,'Base bordo CD'!D$2:D$875,A429,'Base bordo CD'!A$2:A$875,B429,'Base bordo CD'!L$2:L$875,"PARADA POR CONDICOES CLIMATICAS"),0)+IFERROR(SUMIFS('Base bordo CD'!M$2:M$875,'Base bordo CD'!D$2:D$875,A429,'Base bordo CD'!A$2:A$875,B429,'Base bordo CD'!L$2:L$875,"TEMPO INDETERMINADO"),0)</f>
        <v>22.784444444444446</v>
      </c>
      <c r="J429" s="10">
        <f>IFERROR(SUMIFS('Base bordo CD'!M$2:M$875,'Base bordo CD'!D$2:D$875,A429,'Base bordo CD'!A$2:A$875,B429,'Base bordo CD'!L$2:L$875,"LIMITAÇÃO INDÚSTRIA"),0)</f>
        <v>0</v>
      </c>
      <c r="K429" s="10">
        <f>IFERROR(SUMIFS('Base bordo CD'!M$2:M$875,'Base bordo CD'!D$2:D$875,A429,'Base bordo CD'!A$2:A$875,B429,'Base bordo CD'!L$2:L$875,"MAN CORRETIVA*"),0)+IFERROR(SUMIFS('Base bordo CD'!M$2:M$875,'Base bordo CD'!D$2:D$875,A429,'Base bordo CD'!A$2:A$875,B429,'Base bordo CD'!L$2:L$875,"AGUARDANDO MANUTENCAO*"),0)+IFERROR(SUMIFS('Base bordo CD'!M$2:M$875,'Base bordo CD'!D$2:D$875,A429,'Base bordo CD'!A$2:A$875,B429,'Base bordo CD'!L$2:L$875,"TROCA DE FAQUINHA"),0)+IFERROR(SUMIFS('Base bordo CD'!M$2:M$875,'Base bordo CD'!D$2:D$875,A429,'Base bordo CD'!A$2:A$875,B429,'Base bordo CD'!L$2:L$875,"LIMPEZA*"),0)</f>
        <v>0</v>
      </c>
      <c r="L429" s="10">
        <f>IFERROR(SUMIFS('Base bordo CD'!M$2:M$875,'Base bordo CD'!D$2:D$875,A429,'Base bordo CD'!A$2:A$875,B429,'Base bordo CD'!L$2:L$875,"PATIO - RESERVA"),0)</f>
        <v>0</v>
      </c>
      <c r="M429" s="10">
        <f>IFERROR(SUMIFS('Base bordo CD'!M$2:M$875,'Base bordo CD'!D$2:D$875,A429,'Base bordo CD'!A$2:A$875,B429,'Base bordo CD'!L$2:L$875,"SEM APONTAMENTO"),0)</f>
        <v>1.1111111111111111E-3</v>
      </c>
      <c r="N429" s="10">
        <f>IFERROR(SUMIFS('Base bordo CD'!M$2:M$875,'Base bordo CD'!D$2:D$875,A429,'Base bordo CD'!A$2:A$875,B429,'Base bordo CD'!L$2:L$875,"FALTA DE CAMINHÃO"),0)+IFERROR(SUMIFS('Base bordo CD'!M$2:M$875,'Base bordo CD'!D$2:D$875,A429,'Base bordo CD'!A$2:A$875,B429,'Base bordo CD'!L$2:L$875,"FALTA DE COMBUSTIVEL"),0)+IFERROR(SUMIFS('Base bordo CD'!M$2:M$875,'Base bordo CD'!D$2:D$875,A429,'Base bordo CD'!A$2:A$875,B429,'Base bordo CD'!L$2:L$875,"FALTA DE MOTORIST*"),0)</f>
        <v>0</v>
      </c>
      <c r="O429" s="10">
        <f t="shared" si="35"/>
        <v>0.12888888888888417</v>
      </c>
      <c r="P429" s="10">
        <f>IFERROR(SUMIFS('Base bordo CD'!M$2:M$875,'Base bordo CD'!D$2:D$875,A429,'Base bordo CD'!A$2:A$875,B429),0)</f>
        <v>23.999999999999996</v>
      </c>
      <c r="Q429" s="10">
        <f>IFERROR(SUMIFS('Base bordo CD'!O$2:O$875,'Base bordo CD'!D$2:D$875,A429,'Base bordo CD'!A$2:A$875,B429,'Base bordo CD'!L$2:L$875,"CORTE DE CANA MECANIZADO"),0)</f>
        <v>8987.159999999998</v>
      </c>
      <c r="R429" s="10">
        <f>IFERROR(SUMIFS('Base bordo CD'!Q$2:Q$875,'Base bordo CD'!D$2:D$875,A429,'Base bordo CD'!A$2:A$875,B429,'Base bordo CD'!L$2:L$875,"CORTE DE CANA MECANIZADO"),0)</f>
        <v>1982</v>
      </c>
      <c r="S429" s="30">
        <f t="shared" si="36"/>
        <v>4.5343895055499486</v>
      </c>
      <c r="T429" s="9">
        <f t="shared" si="37"/>
        <v>2.2939814814814819E-2</v>
      </c>
      <c r="U429" s="9">
        <f t="shared" si="38"/>
        <v>6.8981481481481498E-3</v>
      </c>
      <c r="V429" s="9">
        <f t="shared" si="39"/>
        <v>0.97164351851851849</v>
      </c>
    </row>
    <row r="430" spans="1:22" x14ac:dyDescent="0.35">
      <c r="A430" s="52">
        <v>49595</v>
      </c>
      <c r="B430" s="31">
        <v>46120</v>
      </c>
      <c r="C430" s="7" t="s">
        <v>337</v>
      </c>
      <c r="D430" s="7">
        <v>353</v>
      </c>
      <c r="E430" s="10">
        <f>IFERROR(SUMIFS('Base bordo CD'!M$2:M$875,'Base bordo CD'!D$2:D$875,A430,'Base bordo CD'!A$2:A$875,B430,'Base bordo CD'!L$2:L$875,"CORTE DE CANA MECANIZADO"),0)</f>
        <v>0.55055555555555558</v>
      </c>
      <c r="F430" s="10">
        <f>IFERROR(SUMIFS('Base bordo CD'!M$2:M$875,'Base bordo CD'!D$2:D$875,A430,'Base bordo CD'!A$2:A$875,B430,'Base bordo CD'!L$2:L$875,"MANOBRA"),0)</f>
        <v>0.16555555555555557</v>
      </c>
      <c r="G430" s="10">
        <f>IFERROR(SUMIFS('Base bordo CD'!M$2:M$875,'Base bordo CD'!D$2:D$875,A430,'Base bordo CD'!A$2:A$875,B430,'Base bordo CD'!L$2:L$875,"DESLOCAMENTO"),0)</f>
        <v>0.13</v>
      </c>
      <c r="H430" s="10">
        <f>IFERROR(SUMIFS('Base bordo CD'!M$2:M$875,'Base bordo CD'!D$2:D$875,A430,'Base bordo CD'!A$2:A$875,B430,'Base bordo CD'!L$2:L$875,"AGUARDANDO MANOBRA DE TRANSBORDO"),0)+IFERROR(SUMIFS('Base bordo CD'!M$2:M$875,'Base bordo CD'!D$2:D$875,A430,'Base bordo CD'!A$2:A$875,B430,'Base bordo CD'!L$2:L$875,"FALTA DE TRANSBORDO"),0)</f>
        <v>0.23944444444444446</v>
      </c>
      <c r="I430" s="10">
        <f>IFERROR(SUMIFS('Base bordo CD'!M$2:M$875,'Base bordo CD'!D$2:D$875,A430,'Base bordo CD'!A$2:A$875,B430,'Base bordo CD'!L$2:L$875,"PARADA POR CONDICOES CLIMATICAS"),0)+IFERROR(SUMIFS('Base bordo CD'!M$2:M$875,'Base bordo CD'!D$2:D$875,A430,'Base bordo CD'!A$2:A$875,B430,'Base bordo CD'!L$2:L$875,"TEMPO INDETERMINADO"),0)</f>
        <v>22.784444444444446</v>
      </c>
      <c r="J430" s="10">
        <f>IFERROR(SUMIFS('Base bordo CD'!M$2:M$875,'Base bordo CD'!D$2:D$875,A430,'Base bordo CD'!A$2:A$875,B430,'Base bordo CD'!L$2:L$875,"LIMITAÇÃO INDÚSTRIA"),0)</f>
        <v>0</v>
      </c>
      <c r="K430" s="10">
        <f>IFERROR(SUMIFS('Base bordo CD'!M$2:M$875,'Base bordo CD'!D$2:D$875,A430,'Base bordo CD'!A$2:A$875,B430,'Base bordo CD'!L$2:L$875,"MAN CORRETIVA*"),0)+IFERROR(SUMIFS('Base bordo CD'!M$2:M$875,'Base bordo CD'!D$2:D$875,A430,'Base bordo CD'!A$2:A$875,B430,'Base bordo CD'!L$2:L$875,"AGUARDANDO MANUTENCAO*"),0)+IFERROR(SUMIFS('Base bordo CD'!M$2:M$875,'Base bordo CD'!D$2:D$875,A430,'Base bordo CD'!A$2:A$875,B430,'Base bordo CD'!L$2:L$875,"TROCA DE FAQUINHA"),0)+IFERROR(SUMIFS('Base bordo CD'!M$2:M$875,'Base bordo CD'!D$2:D$875,A430,'Base bordo CD'!A$2:A$875,B430,'Base bordo CD'!L$2:L$875,"LIMPEZA*"),0)</f>
        <v>0</v>
      </c>
      <c r="L430" s="10">
        <f>IFERROR(SUMIFS('Base bordo CD'!M$2:M$875,'Base bordo CD'!D$2:D$875,A430,'Base bordo CD'!A$2:A$875,B430,'Base bordo CD'!L$2:L$875,"PATIO - RESERVA"),0)</f>
        <v>0</v>
      </c>
      <c r="M430" s="10">
        <f>IFERROR(SUMIFS('Base bordo CD'!M$2:M$875,'Base bordo CD'!D$2:D$875,A430,'Base bordo CD'!A$2:A$875,B430,'Base bordo CD'!L$2:L$875,"SEM APONTAMENTO"),0)</f>
        <v>1.1111111111111111E-3</v>
      </c>
      <c r="N430" s="10">
        <f>IFERROR(SUMIFS('Base bordo CD'!M$2:M$875,'Base bordo CD'!D$2:D$875,A430,'Base bordo CD'!A$2:A$875,B430,'Base bordo CD'!L$2:L$875,"FALTA DE CAMINHÃO"),0)+IFERROR(SUMIFS('Base bordo CD'!M$2:M$875,'Base bordo CD'!D$2:D$875,A430,'Base bordo CD'!A$2:A$875,B430,'Base bordo CD'!L$2:L$875,"FALTA DE COMBUSTIVEL"),0)+IFERROR(SUMIFS('Base bordo CD'!M$2:M$875,'Base bordo CD'!D$2:D$875,A430,'Base bordo CD'!A$2:A$875,B430,'Base bordo CD'!L$2:L$875,"FALTA DE MOTORIST*"),0)</f>
        <v>0</v>
      </c>
      <c r="O430" s="10">
        <f t="shared" si="35"/>
        <v>0.12888888888888417</v>
      </c>
      <c r="P430" s="10">
        <f>IFERROR(SUMIFS('Base bordo CD'!M$2:M$875,'Base bordo CD'!D$2:D$875,A430,'Base bordo CD'!A$2:A$875,B430),0)</f>
        <v>23.999999999999996</v>
      </c>
      <c r="Q430" s="10">
        <f>IFERROR(SUMIFS('Base bordo CD'!O$2:O$875,'Base bordo CD'!D$2:D$875,A430,'Base bordo CD'!A$2:A$875,B430,'Base bordo CD'!L$2:L$875,"CORTE DE CANA MECANIZADO"),0)</f>
        <v>8987.159999999998</v>
      </c>
      <c r="R430" s="10">
        <f>IFERROR(SUMIFS('Base bordo CD'!Q$2:Q$875,'Base bordo CD'!D$2:D$875,A430,'Base bordo CD'!A$2:A$875,B430,'Base bordo CD'!L$2:L$875,"CORTE DE CANA MECANIZADO"),0)</f>
        <v>1982</v>
      </c>
      <c r="S430" s="30">
        <f t="shared" si="36"/>
        <v>4.5343895055499486</v>
      </c>
      <c r="T430" s="9">
        <f t="shared" si="37"/>
        <v>2.2939814814814819E-2</v>
      </c>
      <c r="U430" s="9">
        <f t="shared" si="38"/>
        <v>6.8981481481481498E-3</v>
      </c>
      <c r="V430" s="9">
        <f t="shared" si="39"/>
        <v>0.97164351851851849</v>
      </c>
    </row>
    <row r="431" spans="1:22" x14ac:dyDescent="0.35">
      <c r="A431" s="52">
        <v>49595</v>
      </c>
      <c r="B431" s="31">
        <v>46120</v>
      </c>
      <c r="C431" s="7" t="s">
        <v>337</v>
      </c>
      <c r="D431" s="7">
        <v>353</v>
      </c>
      <c r="E431" s="10">
        <f>IFERROR(SUMIFS('Base bordo CD'!M$2:M$875,'Base bordo CD'!D$2:D$875,A431,'Base bordo CD'!A$2:A$875,B431,'Base bordo CD'!L$2:L$875,"CORTE DE CANA MECANIZADO"),0)</f>
        <v>0.55055555555555558</v>
      </c>
      <c r="F431" s="10">
        <f>IFERROR(SUMIFS('Base bordo CD'!M$2:M$875,'Base bordo CD'!D$2:D$875,A431,'Base bordo CD'!A$2:A$875,B431,'Base bordo CD'!L$2:L$875,"MANOBRA"),0)</f>
        <v>0.16555555555555557</v>
      </c>
      <c r="G431" s="10">
        <f>IFERROR(SUMIFS('Base bordo CD'!M$2:M$875,'Base bordo CD'!D$2:D$875,A431,'Base bordo CD'!A$2:A$875,B431,'Base bordo CD'!L$2:L$875,"DESLOCAMENTO"),0)</f>
        <v>0.13</v>
      </c>
      <c r="H431" s="10">
        <f>IFERROR(SUMIFS('Base bordo CD'!M$2:M$875,'Base bordo CD'!D$2:D$875,A431,'Base bordo CD'!A$2:A$875,B431,'Base bordo CD'!L$2:L$875,"AGUARDANDO MANOBRA DE TRANSBORDO"),0)+IFERROR(SUMIFS('Base bordo CD'!M$2:M$875,'Base bordo CD'!D$2:D$875,A431,'Base bordo CD'!A$2:A$875,B431,'Base bordo CD'!L$2:L$875,"FALTA DE TRANSBORDO"),0)</f>
        <v>0.23944444444444446</v>
      </c>
      <c r="I431" s="10">
        <f>IFERROR(SUMIFS('Base bordo CD'!M$2:M$875,'Base bordo CD'!D$2:D$875,A431,'Base bordo CD'!A$2:A$875,B431,'Base bordo CD'!L$2:L$875,"PARADA POR CONDICOES CLIMATICAS"),0)+IFERROR(SUMIFS('Base bordo CD'!M$2:M$875,'Base bordo CD'!D$2:D$875,A431,'Base bordo CD'!A$2:A$875,B431,'Base bordo CD'!L$2:L$875,"TEMPO INDETERMINADO"),0)</f>
        <v>22.784444444444446</v>
      </c>
      <c r="J431" s="10">
        <f>IFERROR(SUMIFS('Base bordo CD'!M$2:M$875,'Base bordo CD'!D$2:D$875,A431,'Base bordo CD'!A$2:A$875,B431,'Base bordo CD'!L$2:L$875,"LIMITAÇÃO INDÚSTRIA"),0)</f>
        <v>0</v>
      </c>
      <c r="K431" s="10">
        <f>IFERROR(SUMIFS('Base bordo CD'!M$2:M$875,'Base bordo CD'!D$2:D$875,A431,'Base bordo CD'!A$2:A$875,B431,'Base bordo CD'!L$2:L$875,"MAN CORRETIVA*"),0)+IFERROR(SUMIFS('Base bordo CD'!M$2:M$875,'Base bordo CD'!D$2:D$875,A431,'Base bordo CD'!A$2:A$875,B431,'Base bordo CD'!L$2:L$875,"AGUARDANDO MANUTENCAO*"),0)+IFERROR(SUMIFS('Base bordo CD'!M$2:M$875,'Base bordo CD'!D$2:D$875,A431,'Base bordo CD'!A$2:A$875,B431,'Base bordo CD'!L$2:L$875,"TROCA DE FAQUINHA"),0)+IFERROR(SUMIFS('Base bordo CD'!M$2:M$875,'Base bordo CD'!D$2:D$875,A431,'Base bordo CD'!A$2:A$875,B431,'Base bordo CD'!L$2:L$875,"LIMPEZA*"),0)</f>
        <v>0</v>
      </c>
      <c r="L431" s="10">
        <f>IFERROR(SUMIFS('Base bordo CD'!M$2:M$875,'Base bordo CD'!D$2:D$875,A431,'Base bordo CD'!A$2:A$875,B431,'Base bordo CD'!L$2:L$875,"PATIO - RESERVA"),0)</f>
        <v>0</v>
      </c>
      <c r="M431" s="10">
        <f>IFERROR(SUMIFS('Base bordo CD'!M$2:M$875,'Base bordo CD'!D$2:D$875,A431,'Base bordo CD'!A$2:A$875,B431,'Base bordo CD'!L$2:L$875,"SEM APONTAMENTO"),0)</f>
        <v>1.1111111111111111E-3</v>
      </c>
      <c r="N431" s="10">
        <f>IFERROR(SUMIFS('Base bordo CD'!M$2:M$875,'Base bordo CD'!D$2:D$875,A431,'Base bordo CD'!A$2:A$875,B431,'Base bordo CD'!L$2:L$875,"FALTA DE CAMINHÃO"),0)+IFERROR(SUMIFS('Base bordo CD'!M$2:M$875,'Base bordo CD'!D$2:D$875,A431,'Base bordo CD'!A$2:A$875,B431,'Base bordo CD'!L$2:L$875,"FALTA DE COMBUSTIVEL"),0)+IFERROR(SUMIFS('Base bordo CD'!M$2:M$875,'Base bordo CD'!D$2:D$875,A431,'Base bordo CD'!A$2:A$875,B431,'Base bordo CD'!L$2:L$875,"FALTA DE MOTORIST*"),0)</f>
        <v>0</v>
      </c>
      <c r="O431" s="10">
        <f t="shared" si="35"/>
        <v>0.12888888888888417</v>
      </c>
      <c r="P431" s="10">
        <f>IFERROR(SUMIFS('Base bordo CD'!M$2:M$875,'Base bordo CD'!D$2:D$875,A431,'Base bordo CD'!A$2:A$875,B431),0)</f>
        <v>23.999999999999996</v>
      </c>
      <c r="Q431" s="10">
        <f>IFERROR(SUMIFS('Base bordo CD'!O$2:O$875,'Base bordo CD'!D$2:D$875,A431,'Base bordo CD'!A$2:A$875,B431,'Base bordo CD'!L$2:L$875,"CORTE DE CANA MECANIZADO"),0)</f>
        <v>8987.159999999998</v>
      </c>
      <c r="R431" s="10">
        <f>IFERROR(SUMIFS('Base bordo CD'!Q$2:Q$875,'Base bordo CD'!D$2:D$875,A431,'Base bordo CD'!A$2:A$875,B431,'Base bordo CD'!L$2:L$875,"CORTE DE CANA MECANIZADO"),0)</f>
        <v>1982</v>
      </c>
      <c r="S431" s="30">
        <f t="shared" si="36"/>
        <v>4.5343895055499486</v>
      </c>
      <c r="T431" s="9">
        <f t="shared" si="37"/>
        <v>2.2939814814814819E-2</v>
      </c>
      <c r="U431" s="9">
        <f t="shared" si="38"/>
        <v>6.8981481481481498E-3</v>
      </c>
      <c r="V431" s="9">
        <f t="shared" si="39"/>
        <v>0.97164351851851849</v>
      </c>
    </row>
    <row r="432" spans="1:22" x14ac:dyDescent="0.35">
      <c r="A432" s="52">
        <v>49595</v>
      </c>
      <c r="B432" s="31">
        <v>46120</v>
      </c>
      <c r="C432" s="7" t="s">
        <v>337</v>
      </c>
      <c r="D432" s="7">
        <v>353</v>
      </c>
      <c r="E432" s="10">
        <f>IFERROR(SUMIFS('Base bordo CD'!M$2:M$875,'Base bordo CD'!D$2:D$875,A432,'Base bordo CD'!A$2:A$875,B432,'Base bordo CD'!L$2:L$875,"CORTE DE CANA MECANIZADO"),0)</f>
        <v>0.55055555555555558</v>
      </c>
      <c r="F432" s="10">
        <f>IFERROR(SUMIFS('Base bordo CD'!M$2:M$875,'Base bordo CD'!D$2:D$875,A432,'Base bordo CD'!A$2:A$875,B432,'Base bordo CD'!L$2:L$875,"MANOBRA"),0)</f>
        <v>0.16555555555555557</v>
      </c>
      <c r="G432" s="10">
        <f>IFERROR(SUMIFS('Base bordo CD'!M$2:M$875,'Base bordo CD'!D$2:D$875,A432,'Base bordo CD'!A$2:A$875,B432,'Base bordo CD'!L$2:L$875,"DESLOCAMENTO"),0)</f>
        <v>0.13</v>
      </c>
      <c r="H432" s="10">
        <f>IFERROR(SUMIFS('Base bordo CD'!M$2:M$875,'Base bordo CD'!D$2:D$875,A432,'Base bordo CD'!A$2:A$875,B432,'Base bordo CD'!L$2:L$875,"AGUARDANDO MANOBRA DE TRANSBORDO"),0)+IFERROR(SUMIFS('Base bordo CD'!M$2:M$875,'Base bordo CD'!D$2:D$875,A432,'Base bordo CD'!A$2:A$875,B432,'Base bordo CD'!L$2:L$875,"FALTA DE TRANSBORDO"),0)</f>
        <v>0.23944444444444446</v>
      </c>
      <c r="I432" s="10">
        <f>IFERROR(SUMIFS('Base bordo CD'!M$2:M$875,'Base bordo CD'!D$2:D$875,A432,'Base bordo CD'!A$2:A$875,B432,'Base bordo CD'!L$2:L$875,"PARADA POR CONDICOES CLIMATICAS"),0)+IFERROR(SUMIFS('Base bordo CD'!M$2:M$875,'Base bordo CD'!D$2:D$875,A432,'Base bordo CD'!A$2:A$875,B432,'Base bordo CD'!L$2:L$875,"TEMPO INDETERMINADO"),0)</f>
        <v>22.784444444444446</v>
      </c>
      <c r="J432" s="10">
        <f>IFERROR(SUMIFS('Base bordo CD'!M$2:M$875,'Base bordo CD'!D$2:D$875,A432,'Base bordo CD'!A$2:A$875,B432,'Base bordo CD'!L$2:L$875,"LIMITAÇÃO INDÚSTRIA"),0)</f>
        <v>0</v>
      </c>
      <c r="K432" s="10">
        <f>IFERROR(SUMIFS('Base bordo CD'!M$2:M$875,'Base bordo CD'!D$2:D$875,A432,'Base bordo CD'!A$2:A$875,B432,'Base bordo CD'!L$2:L$875,"MAN CORRETIVA*"),0)+IFERROR(SUMIFS('Base bordo CD'!M$2:M$875,'Base bordo CD'!D$2:D$875,A432,'Base bordo CD'!A$2:A$875,B432,'Base bordo CD'!L$2:L$875,"AGUARDANDO MANUTENCAO*"),0)+IFERROR(SUMIFS('Base bordo CD'!M$2:M$875,'Base bordo CD'!D$2:D$875,A432,'Base bordo CD'!A$2:A$875,B432,'Base bordo CD'!L$2:L$875,"TROCA DE FAQUINHA"),0)+IFERROR(SUMIFS('Base bordo CD'!M$2:M$875,'Base bordo CD'!D$2:D$875,A432,'Base bordo CD'!A$2:A$875,B432,'Base bordo CD'!L$2:L$875,"LIMPEZA*"),0)</f>
        <v>0</v>
      </c>
      <c r="L432" s="10">
        <f>IFERROR(SUMIFS('Base bordo CD'!M$2:M$875,'Base bordo CD'!D$2:D$875,A432,'Base bordo CD'!A$2:A$875,B432,'Base bordo CD'!L$2:L$875,"PATIO - RESERVA"),0)</f>
        <v>0</v>
      </c>
      <c r="M432" s="10">
        <f>IFERROR(SUMIFS('Base bordo CD'!M$2:M$875,'Base bordo CD'!D$2:D$875,A432,'Base bordo CD'!A$2:A$875,B432,'Base bordo CD'!L$2:L$875,"SEM APONTAMENTO"),0)</f>
        <v>1.1111111111111111E-3</v>
      </c>
      <c r="N432" s="10">
        <f>IFERROR(SUMIFS('Base bordo CD'!M$2:M$875,'Base bordo CD'!D$2:D$875,A432,'Base bordo CD'!A$2:A$875,B432,'Base bordo CD'!L$2:L$875,"FALTA DE CAMINHÃO"),0)+IFERROR(SUMIFS('Base bordo CD'!M$2:M$875,'Base bordo CD'!D$2:D$875,A432,'Base bordo CD'!A$2:A$875,B432,'Base bordo CD'!L$2:L$875,"FALTA DE COMBUSTIVEL"),0)+IFERROR(SUMIFS('Base bordo CD'!M$2:M$875,'Base bordo CD'!D$2:D$875,A432,'Base bordo CD'!A$2:A$875,B432,'Base bordo CD'!L$2:L$875,"FALTA DE MOTORIST*"),0)</f>
        <v>0</v>
      </c>
      <c r="O432" s="10">
        <f t="shared" si="35"/>
        <v>0.12888888888888417</v>
      </c>
      <c r="P432" s="10">
        <f>IFERROR(SUMIFS('Base bordo CD'!M$2:M$875,'Base bordo CD'!D$2:D$875,A432,'Base bordo CD'!A$2:A$875,B432),0)</f>
        <v>23.999999999999996</v>
      </c>
      <c r="Q432" s="10">
        <f>IFERROR(SUMIFS('Base bordo CD'!O$2:O$875,'Base bordo CD'!D$2:D$875,A432,'Base bordo CD'!A$2:A$875,B432,'Base bordo CD'!L$2:L$875,"CORTE DE CANA MECANIZADO"),0)</f>
        <v>8987.159999999998</v>
      </c>
      <c r="R432" s="10">
        <f>IFERROR(SUMIFS('Base bordo CD'!Q$2:Q$875,'Base bordo CD'!D$2:D$875,A432,'Base bordo CD'!A$2:A$875,B432,'Base bordo CD'!L$2:L$875,"CORTE DE CANA MECANIZADO"),0)</f>
        <v>1982</v>
      </c>
      <c r="S432" s="30">
        <f t="shared" si="36"/>
        <v>4.5343895055499486</v>
      </c>
      <c r="T432" s="9">
        <f t="shared" si="37"/>
        <v>2.2939814814814819E-2</v>
      </c>
      <c r="U432" s="9">
        <f t="shared" si="38"/>
        <v>6.8981481481481498E-3</v>
      </c>
      <c r="V432" s="9">
        <f t="shared" si="39"/>
        <v>0.97164351851851849</v>
      </c>
    </row>
    <row r="433" spans="1:22" x14ac:dyDescent="0.35">
      <c r="A433" s="52">
        <v>49595</v>
      </c>
      <c r="B433" s="31">
        <v>46120</v>
      </c>
      <c r="C433" s="7" t="s">
        <v>337</v>
      </c>
      <c r="D433" s="7">
        <v>353</v>
      </c>
      <c r="E433" s="10">
        <f>IFERROR(SUMIFS('Base bordo CD'!M$2:M$875,'Base bordo CD'!D$2:D$875,A433,'Base bordo CD'!A$2:A$875,B433,'Base bordo CD'!L$2:L$875,"CORTE DE CANA MECANIZADO"),0)</f>
        <v>0.55055555555555558</v>
      </c>
      <c r="F433" s="10">
        <f>IFERROR(SUMIFS('Base bordo CD'!M$2:M$875,'Base bordo CD'!D$2:D$875,A433,'Base bordo CD'!A$2:A$875,B433,'Base bordo CD'!L$2:L$875,"MANOBRA"),0)</f>
        <v>0.16555555555555557</v>
      </c>
      <c r="G433" s="10">
        <f>IFERROR(SUMIFS('Base bordo CD'!M$2:M$875,'Base bordo CD'!D$2:D$875,A433,'Base bordo CD'!A$2:A$875,B433,'Base bordo CD'!L$2:L$875,"DESLOCAMENTO"),0)</f>
        <v>0.13</v>
      </c>
      <c r="H433" s="10">
        <f>IFERROR(SUMIFS('Base bordo CD'!M$2:M$875,'Base bordo CD'!D$2:D$875,A433,'Base bordo CD'!A$2:A$875,B433,'Base bordo CD'!L$2:L$875,"AGUARDANDO MANOBRA DE TRANSBORDO"),0)+IFERROR(SUMIFS('Base bordo CD'!M$2:M$875,'Base bordo CD'!D$2:D$875,A433,'Base bordo CD'!A$2:A$875,B433,'Base bordo CD'!L$2:L$875,"FALTA DE TRANSBORDO"),0)</f>
        <v>0.23944444444444446</v>
      </c>
      <c r="I433" s="10">
        <f>IFERROR(SUMIFS('Base bordo CD'!M$2:M$875,'Base bordo CD'!D$2:D$875,A433,'Base bordo CD'!A$2:A$875,B433,'Base bordo CD'!L$2:L$875,"PARADA POR CONDICOES CLIMATICAS"),0)+IFERROR(SUMIFS('Base bordo CD'!M$2:M$875,'Base bordo CD'!D$2:D$875,A433,'Base bordo CD'!A$2:A$875,B433,'Base bordo CD'!L$2:L$875,"TEMPO INDETERMINADO"),0)</f>
        <v>22.784444444444446</v>
      </c>
      <c r="J433" s="10">
        <f>IFERROR(SUMIFS('Base bordo CD'!M$2:M$875,'Base bordo CD'!D$2:D$875,A433,'Base bordo CD'!A$2:A$875,B433,'Base bordo CD'!L$2:L$875,"LIMITAÇÃO INDÚSTRIA"),0)</f>
        <v>0</v>
      </c>
      <c r="K433" s="10">
        <f>IFERROR(SUMIFS('Base bordo CD'!M$2:M$875,'Base bordo CD'!D$2:D$875,A433,'Base bordo CD'!A$2:A$875,B433,'Base bordo CD'!L$2:L$875,"MAN CORRETIVA*"),0)+IFERROR(SUMIFS('Base bordo CD'!M$2:M$875,'Base bordo CD'!D$2:D$875,A433,'Base bordo CD'!A$2:A$875,B433,'Base bordo CD'!L$2:L$875,"AGUARDANDO MANUTENCAO*"),0)+IFERROR(SUMIFS('Base bordo CD'!M$2:M$875,'Base bordo CD'!D$2:D$875,A433,'Base bordo CD'!A$2:A$875,B433,'Base bordo CD'!L$2:L$875,"TROCA DE FAQUINHA"),0)+IFERROR(SUMIFS('Base bordo CD'!M$2:M$875,'Base bordo CD'!D$2:D$875,A433,'Base bordo CD'!A$2:A$875,B433,'Base bordo CD'!L$2:L$875,"LIMPEZA*"),0)</f>
        <v>0</v>
      </c>
      <c r="L433" s="10">
        <f>IFERROR(SUMIFS('Base bordo CD'!M$2:M$875,'Base bordo CD'!D$2:D$875,A433,'Base bordo CD'!A$2:A$875,B433,'Base bordo CD'!L$2:L$875,"PATIO - RESERVA"),0)</f>
        <v>0</v>
      </c>
      <c r="M433" s="10">
        <f>IFERROR(SUMIFS('Base bordo CD'!M$2:M$875,'Base bordo CD'!D$2:D$875,A433,'Base bordo CD'!A$2:A$875,B433,'Base bordo CD'!L$2:L$875,"SEM APONTAMENTO"),0)</f>
        <v>1.1111111111111111E-3</v>
      </c>
      <c r="N433" s="10">
        <f>IFERROR(SUMIFS('Base bordo CD'!M$2:M$875,'Base bordo CD'!D$2:D$875,A433,'Base bordo CD'!A$2:A$875,B433,'Base bordo CD'!L$2:L$875,"FALTA DE CAMINHÃO"),0)+IFERROR(SUMIFS('Base bordo CD'!M$2:M$875,'Base bordo CD'!D$2:D$875,A433,'Base bordo CD'!A$2:A$875,B433,'Base bordo CD'!L$2:L$875,"FALTA DE COMBUSTIVEL"),0)+IFERROR(SUMIFS('Base bordo CD'!M$2:M$875,'Base bordo CD'!D$2:D$875,A433,'Base bordo CD'!A$2:A$875,B433,'Base bordo CD'!L$2:L$875,"FALTA DE MOTORIST*"),0)</f>
        <v>0</v>
      </c>
      <c r="O433" s="10">
        <f t="shared" si="35"/>
        <v>0.12888888888888417</v>
      </c>
      <c r="P433" s="10">
        <f>IFERROR(SUMIFS('Base bordo CD'!M$2:M$875,'Base bordo CD'!D$2:D$875,A433,'Base bordo CD'!A$2:A$875,B433),0)</f>
        <v>23.999999999999996</v>
      </c>
      <c r="Q433" s="10">
        <f>IFERROR(SUMIFS('Base bordo CD'!O$2:O$875,'Base bordo CD'!D$2:D$875,A433,'Base bordo CD'!A$2:A$875,B433,'Base bordo CD'!L$2:L$875,"CORTE DE CANA MECANIZADO"),0)</f>
        <v>8987.159999999998</v>
      </c>
      <c r="R433" s="10">
        <f>IFERROR(SUMIFS('Base bordo CD'!Q$2:Q$875,'Base bordo CD'!D$2:D$875,A433,'Base bordo CD'!A$2:A$875,B433,'Base bordo CD'!L$2:L$875,"CORTE DE CANA MECANIZADO"),0)</f>
        <v>1982</v>
      </c>
      <c r="S433" s="30">
        <f t="shared" si="36"/>
        <v>4.5343895055499486</v>
      </c>
      <c r="T433" s="9">
        <f t="shared" si="37"/>
        <v>2.2939814814814819E-2</v>
      </c>
      <c r="U433" s="9">
        <f t="shared" si="38"/>
        <v>6.8981481481481498E-3</v>
      </c>
      <c r="V433" s="9">
        <f t="shared" si="39"/>
        <v>0.97164351851851849</v>
      </c>
    </row>
    <row r="434" spans="1:22" x14ac:dyDescent="0.35">
      <c r="A434" s="52">
        <v>49595</v>
      </c>
      <c r="B434" s="31">
        <v>46120</v>
      </c>
      <c r="C434" s="7" t="s">
        <v>337</v>
      </c>
      <c r="D434" s="7">
        <v>353</v>
      </c>
      <c r="E434" s="10">
        <f>IFERROR(SUMIFS('Base bordo CD'!M$2:M$875,'Base bordo CD'!D$2:D$875,A434,'Base bordo CD'!A$2:A$875,B434,'Base bordo CD'!L$2:L$875,"CORTE DE CANA MECANIZADO"),0)</f>
        <v>0.55055555555555558</v>
      </c>
      <c r="F434" s="10">
        <f>IFERROR(SUMIFS('Base bordo CD'!M$2:M$875,'Base bordo CD'!D$2:D$875,A434,'Base bordo CD'!A$2:A$875,B434,'Base bordo CD'!L$2:L$875,"MANOBRA"),0)</f>
        <v>0.16555555555555557</v>
      </c>
      <c r="G434" s="10">
        <f>IFERROR(SUMIFS('Base bordo CD'!M$2:M$875,'Base bordo CD'!D$2:D$875,A434,'Base bordo CD'!A$2:A$875,B434,'Base bordo CD'!L$2:L$875,"DESLOCAMENTO"),0)</f>
        <v>0.13</v>
      </c>
      <c r="H434" s="10">
        <f>IFERROR(SUMIFS('Base bordo CD'!M$2:M$875,'Base bordo CD'!D$2:D$875,A434,'Base bordo CD'!A$2:A$875,B434,'Base bordo CD'!L$2:L$875,"AGUARDANDO MANOBRA DE TRANSBORDO"),0)+IFERROR(SUMIFS('Base bordo CD'!M$2:M$875,'Base bordo CD'!D$2:D$875,A434,'Base bordo CD'!A$2:A$875,B434,'Base bordo CD'!L$2:L$875,"FALTA DE TRANSBORDO"),0)</f>
        <v>0.23944444444444446</v>
      </c>
      <c r="I434" s="10">
        <f>IFERROR(SUMIFS('Base bordo CD'!M$2:M$875,'Base bordo CD'!D$2:D$875,A434,'Base bordo CD'!A$2:A$875,B434,'Base bordo CD'!L$2:L$875,"PARADA POR CONDICOES CLIMATICAS"),0)+IFERROR(SUMIFS('Base bordo CD'!M$2:M$875,'Base bordo CD'!D$2:D$875,A434,'Base bordo CD'!A$2:A$875,B434,'Base bordo CD'!L$2:L$875,"TEMPO INDETERMINADO"),0)</f>
        <v>22.784444444444446</v>
      </c>
      <c r="J434" s="10">
        <f>IFERROR(SUMIFS('Base bordo CD'!M$2:M$875,'Base bordo CD'!D$2:D$875,A434,'Base bordo CD'!A$2:A$875,B434,'Base bordo CD'!L$2:L$875,"LIMITAÇÃO INDÚSTRIA"),0)</f>
        <v>0</v>
      </c>
      <c r="K434" s="10">
        <f>IFERROR(SUMIFS('Base bordo CD'!M$2:M$875,'Base bordo CD'!D$2:D$875,A434,'Base bordo CD'!A$2:A$875,B434,'Base bordo CD'!L$2:L$875,"MAN CORRETIVA*"),0)+IFERROR(SUMIFS('Base bordo CD'!M$2:M$875,'Base bordo CD'!D$2:D$875,A434,'Base bordo CD'!A$2:A$875,B434,'Base bordo CD'!L$2:L$875,"AGUARDANDO MANUTENCAO*"),0)+IFERROR(SUMIFS('Base bordo CD'!M$2:M$875,'Base bordo CD'!D$2:D$875,A434,'Base bordo CD'!A$2:A$875,B434,'Base bordo CD'!L$2:L$875,"TROCA DE FAQUINHA"),0)+IFERROR(SUMIFS('Base bordo CD'!M$2:M$875,'Base bordo CD'!D$2:D$875,A434,'Base bordo CD'!A$2:A$875,B434,'Base bordo CD'!L$2:L$875,"LIMPEZA*"),0)</f>
        <v>0</v>
      </c>
      <c r="L434" s="10">
        <f>IFERROR(SUMIFS('Base bordo CD'!M$2:M$875,'Base bordo CD'!D$2:D$875,A434,'Base bordo CD'!A$2:A$875,B434,'Base bordo CD'!L$2:L$875,"PATIO - RESERVA"),0)</f>
        <v>0</v>
      </c>
      <c r="M434" s="10">
        <f>IFERROR(SUMIFS('Base bordo CD'!M$2:M$875,'Base bordo CD'!D$2:D$875,A434,'Base bordo CD'!A$2:A$875,B434,'Base bordo CD'!L$2:L$875,"SEM APONTAMENTO"),0)</f>
        <v>1.1111111111111111E-3</v>
      </c>
      <c r="N434" s="10">
        <f>IFERROR(SUMIFS('Base bordo CD'!M$2:M$875,'Base bordo CD'!D$2:D$875,A434,'Base bordo CD'!A$2:A$875,B434,'Base bordo CD'!L$2:L$875,"FALTA DE CAMINHÃO"),0)+IFERROR(SUMIFS('Base bordo CD'!M$2:M$875,'Base bordo CD'!D$2:D$875,A434,'Base bordo CD'!A$2:A$875,B434,'Base bordo CD'!L$2:L$875,"FALTA DE COMBUSTIVEL"),0)+IFERROR(SUMIFS('Base bordo CD'!M$2:M$875,'Base bordo CD'!D$2:D$875,A434,'Base bordo CD'!A$2:A$875,B434,'Base bordo CD'!L$2:L$875,"FALTA DE MOTORIST*"),0)</f>
        <v>0</v>
      </c>
      <c r="O434" s="10">
        <f t="shared" si="35"/>
        <v>0.12888888888888417</v>
      </c>
      <c r="P434" s="10">
        <f>IFERROR(SUMIFS('Base bordo CD'!M$2:M$875,'Base bordo CD'!D$2:D$875,A434,'Base bordo CD'!A$2:A$875,B434),0)</f>
        <v>23.999999999999996</v>
      </c>
      <c r="Q434" s="10">
        <f>IFERROR(SUMIFS('Base bordo CD'!O$2:O$875,'Base bordo CD'!D$2:D$875,A434,'Base bordo CD'!A$2:A$875,B434,'Base bordo CD'!L$2:L$875,"CORTE DE CANA MECANIZADO"),0)</f>
        <v>8987.159999999998</v>
      </c>
      <c r="R434" s="10">
        <f>IFERROR(SUMIFS('Base bordo CD'!Q$2:Q$875,'Base bordo CD'!D$2:D$875,A434,'Base bordo CD'!A$2:A$875,B434,'Base bordo CD'!L$2:L$875,"CORTE DE CANA MECANIZADO"),0)</f>
        <v>1982</v>
      </c>
      <c r="S434" s="30">
        <f t="shared" si="36"/>
        <v>4.5343895055499486</v>
      </c>
      <c r="T434" s="9">
        <f t="shared" si="37"/>
        <v>2.2939814814814819E-2</v>
      </c>
      <c r="U434" s="9">
        <f t="shared" si="38"/>
        <v>6.8981481481481498E-3</v>
      </c>
      <c r="V434" s="9">
        <f t="shared" si="39"/>
        <v>0.97164351851851849</v>
      </c>
    </row>
    <row r="435" spans="1:22" x14ac:dyDescent="0.35">
      <c r="A435" s="52">
        <v>49595</v>
      </c>
      <c r="B435" s="31">
        <v>46120</v>
      </c>
      <c r="C435" s="7" t="s">
        <v>337</v>
      </c>
      <c r="D435" s="7">
        <v>353</v>
      </c>
      <c r="E435" s="10">
        <f>IFERROR(SUMIFS('Base bordo CD'!M$2:M$875,'Base bordo CD'!D$2:D$875,A435,'Base bordo CD'!A$2:A$875,B435,'Base bordo CD'!L$2:L$875,"CORTE DE CANA MECANIZADO"),0)</f>
        <v>0.55055555555555558</v>
      </c>
      <c r="F435" s="10">
        <f>IFERROR(SUMIFS('Base bordo CD'!M$2:M$875,'Base bordo CD'!D$2:D$875,A435,'Base bordo CD'!A$2:A$875,B435,'Base bordo CD'!L$2:L$875,"MANOBRA"),0)</f>
        <v>0.16555555555555557</v>
      </c>
      <c r="G435" s="10">
        <f>IFERROR(SUMIFS('Base bordo CD'!M$2:M$875,'Base bordo CD'!D$2:D$875,A435,'Base bordo CD'!A$2:A$875,B435,'Base bordo CD'!L$2:L$875,"DESLOCAMENTO"),0)</f>
        <v>0.13</v>
      </c>
      <c r="H435" s="10">
        <f>IFERROR(SUMIFS('Base bordo CD'!M$2:M$875,'Base bordo CD'!D$2:D$875,A435,'Base bordo CD'!A$2:A$875,B435,'Base bordo CD'!L$2:L$875,"AGUARDANDO MANOBRA DE TRANSBORDO"),0)+IFERROR(SUMIFS('Base bordo CD'!M$2:M$875,'Base bordo CD'!D$2:D$875,A435,'Base bordo CD'!A$2:A$875,B435,'Base bordo CD'!L$2:L$875,"FALTA DE TRANSBORDO"),0)</f>
        <v>0.23944444444444446</v>
      </c>
      <c r="I435" s="10">
        <f>IFERROR(SUMIFS('Base bordo CD'!M$2:M$875,'Base bordo CD'!D$2:D$875,A435,'Base bordo CD'!A$2:A$875,B435,'Base bordo CD'!L$2:L$875,"PARADA POR CONDICOES CLIMATICAS"),0)+IFERROR(SUMIFS('Base bordo CD'!M$2:M$875,'Base bordo CD'!D$2:D$875,A435,'Base bordo CD'!A$2:A$875,B435,'Base bordo CD'!L$2:L$875,"TEMPO INDETERMINADO"),0)</f>
        <v>22.784444444444446</v>
      </c>
      <c r="J435" s="10">
        <f>IFERROR(SUMIFS('Base bordo CD'!M$2:M$875,'Base bordo CD'!D$2:D$875,A435,'Base bordo CD'!A$2:A$875,B435,'Base bordo CD'!L$2:L$875,"LIMITAÇÃO INDÚSTRIA"),0)</f>
        <v>0</v>
      </c>
      <c r="K435" s="10">
        <f>IFERROR(SUMIFS('Base bordo CD'!M$2:M$875,'Base bordo CD'!D$2:D$875,A435,'Base bordo CD'!A$2:A$875,B435,'Base bordo CD'!L$2:L$875,"MAN CORRETIVA*"),0)+IFERROR(SUMIFS('Base bordo CD'!M$2:M$875,'Base bordo CD'!D$2:D$875,A435,'Base bordo CD'!A$2:A$875,B435,'Base bordo CD'!L$2:L$875,"AGUARDANDO MANUTENCAO*"),0)+IFERROR(SUMIFS('Base bordo CD'!M$2:M$875,'Base bordo CD'!D$2:D$875,A435,'Base bordo CD'!A$2:A$875,B435,'Base bordo CD'!L$2:L$875,"TROCA DE FAQUINHA"),0)+IFERROR(SUMIFS('Base bordo CD'!M$2:M$875,'Base bordo CD'!D$2:D$875,A435,'Base bordo CD'!A$2:A$875,B435,'Base bordo CD'!L$2:L$875,"LIMPEZA*"),0)</f>
        <v>0</v>
      </c>
      <c r="L435" s="10">
        <f>IFERROR(SUMIFS('Base bordo CD'!M$2:M$875,'Base bordo CD'!D$2:D$875,A435,'Base bordo CD'!A$2:A$875,B435,'Base bordo CD'!L$2:L$875,"PATIO - RESERVA"),0)</f>
        <v>0</v>
      </c>
      <c r="M435" s="10">
        <f>IFERROR(SUMIFS('Base bordo CD'!M$2:M$875,'Base bordo CD'!D$2:D$875,A435,'Base bordo CD'!A$2:A$875,B435,'Base bordo CD'!L$2:L$875,"SEM APONTAMENTO"),0)</f>
        <v>1.1111111111111111E-3</v>
      </c>
      <c r="N435" s="10">
        <f>IFERROR(SUMIFS('Base bordo CD'!M$2:M$875,'Base bordo CD'!D$2:D$875,A435,'Base bordo CD'!A$2:A$875,B435,'Base bordo CD'!L$2:L$875,"FALTA DE CAMINHÃO"),0)+IFERROR(SUMIFS('Base bordo CD'!M$2:M$875,'Base bordo CD'!D$2:D$875,A435,'Base bordo CD'!A$2:A$875,B435,'Base bordo CD'!L$2:L$875,"FALTA DE COMBUSTIVEL"),0)+IFERROR(SUMIFS('Base bordo CD'!M$2:M$875,'Base bordo CD'!D$2:D$875,A435,'Base bordo CD'!A$2:A$875,B435,'Base bordo CD'!L$2:L$875,"FALTA DE MOTORIST*"),0)</f>
        <v>0</v>
      </c>
      <c r="O435" s="10">
        <f t="shared" si="35"/>
        <v>0.12888888888888417</v>
      </c>
      <c r="P435" s="10">
        <f>IFERROR(SUMIFS('Base bordo CD'!M$2:M$875,'Base bordo CD'!D$2:D$875,A435,'Base bordo CD'!A$2:A$875,B435),0)</f>
        <v>23.999999999999996</v>
      </c>
      <c r="Q435" s="10">
        <f>IFERROR(SUMIFS('Base bordo CD'!O$2:O$875,'Base bordo CD'!D$2:D$875,A435,'Base bordo CD'!A$2:A$875,B435,'Base bordo CD'!L$2:L$875,"CORTE DE CANA MECANIZADO"),0)</f>
        <v>8987.159999999998</v>
      </c>
      <c r="R435" s="10">
        <f>IFERROR(SUMIFS('Base bordo CD'!Q$2:Q$875,'Base bordo CD'!D$2:D$875,A435,'Base bordo CD'!A$2:A$875,B435,'Base bordo CD'!L$2:L$875,"CORTE DE CANA MECANIZADO"),0)</f>
        <v>1982</v>
      </c>
      <c r="S435" s="30">
        <f t="shared" si="36"/>
        <v>4.5343895055499486</v>
      </c>
      <c r="T435" s="9">
        <f t="shared" si="37"/>
        <v>2.2939814814814819E-2</v>
      </c>
      <c r="U435" s="9">
        <f t="shared" si="38"/>
        <v>6.8981481481481498E-3</v>
      </c>
      <c r="V435" s="9">
        <f t="shared" si="39"/>
        <v>0.97164351851851849</v>
      </c>
    </row>
    <row r="436" spans="1:22" x14ac:dyDescent="0.35">
      <c r="A436" s="52">
        <v>49595</v>
      </c>
      <c r="B436" s="31">
        <v>46120</v>
      </c>
      <c r="C436" s="7" t="s">
        <v>337</v>
      </c>
      <c r="D436" s="7">
        <v>353</v>
      </c>
      <c r="E436" s="10">
        <f>IFERROR(SUMIFS('Base bordo CD'!M$2:M$875,'Base bordo CD'!D$2:D$875,A436,'Base bordo CD'!A$2:A$875,B436,'Base bordo CD'!L$2:L$875,"CORTE DE CANA MECANIZADO"),0)</f>
        <v>0.55055555555555558</v>
      </c>
      <c r="F436" s="10">
        <f>IFERROR(SUMIFS('Base bordo CD'!M$2:M$875,'Base bordo CD'!D$2:D$875,A436,'Base bordo CD'!A$2:A$875,B436,'Base bordo CD'!L$2:L$875,"MANOBRA"),0)</f>
        <v>0.16555555555555557</v>
      </c>
      <c r="G436" s="10">
        <f>IFERROR(SUMIFS('Base bordo CD'!M$2:M$875,'Base bordo CD'!D$2:D$875,A436,'Base bordo CD'!A$2:A$875,B436,'Base bordo CD'!L$2:L$875,"DESLOCAMENTO"),0)</f>
        <v>0.13</v>
      </c>
      <c r="H436" s="10">
        <f>IFERROR(SUMIFS('Base bordo CD'!M$2:M$875,'Base bordo CD'!D$2:D$875,A436,'Base bordo CD'!A$2:A$875,B436,'Base bordo CD'!L$2:L$875,"AGUARDANDO MANOBRA DE TRANSBORDO"),0)+IFERROR(SUMIFS('Base bordo CD'!M$2:M$875,'Base bordo CD'!D$2:D$875,A436,'Base bordo CD'!A$2:A$875,B436,'Base bordo CD'!L$2:L$875,"FALTA DE TRANSBORDO"),0)</f>
        <v>0.23944444444444446</v>
      </c>
      <c r="I436" s="10">
        <f>IFERROR(SUMIFS('Base bordo CD'!M$2:M$875,'Base bordo CD'!D$2:D$875,A436,'Base bordo CD'!A$2:A$875,B436,'Base bordo CD'!L$2:L$875,"PARADA POR CONDICOES CLIMATICAS"),0)+IFERROR(SUMIFS('Base bordo CD'!M$2:M$875,'Base bordo CD'!D$2:D$875,A436,'Base bordo CD'!A$2:A$875,B436,'Base bordo CD'!L$2:L$875,"TEMPO INDETERMINADO"),0)</f>
        <v>22.784444444444446</v>
      </c>
      <c r="J436" s="10">
        <f>IFERROR(SUMIFS('Base bordo CD'!M$2:M$875,'Base bordo CD'!D$2:D$875,A436,'Base bordo CD'!A$2:A$875,B436,'Base bordo CD'!L$2:L$875,"LIMITAÇÃO INDÚSTRIA"),0)</f>
        <v>0</v>
      </c>
      <c r="K436" s="10">
        <f>IFERROR(SUMIFS('Base bordo CD'!M$2:M$875,'Base bordo CD'!D$2:D$875,A436,'Base bordo CD'!A$2:A$875,B436,'Base bordo CD'!L$2:L$875,"MAN CORRETIVA*"),0)+IFERROR(SUMIFS('Base bordo CD'!M$2:M$875,'Base bordo CD'!D$2:D$875,A436,'Base bordo CD'!A$2:A$875,B436,'Base bordo CD'!L$2:L$875,"AGUARDANDO MANUTENCAO*"),0)+IFERROR(SUMIFS('Base bordo CD'!M$2:M$875,'Base bordo CD'!D$2:D$875,A436,'Base bordo CD'!A$2:A$875,B436,'Base bordo CD'!L$2:L$875,"TROCA DE FAQUINHA"),0)+IFERROR(SUMIFS('Base bordo CD'!M$2:M$875,'Base bordo CD'!D$2:D$875,A436,'Base bordo CD'!A$2:A$875,B436,'Base bordo CD'!L$2:L$875,"LIMPEZA*"),0)</f>
        <v>0</v>
      </c>
      <c r="L436" s="10">
        <f>IFERROR(SUMIFS('Base bordo CD'!M$2:M$875,'Base bordo CD'!D$2:D$875,A436,'Base bordo CD'!A$2:A$875,B436,'Base bordo CD'!L$2:L$875,"PATIO - RESERVA"),0)</f>
        <v>0</v>
      </c>
      <c r="M436" s="10">
        <f>IFERROR(SUMIFS('Base bordo CD'!M$2:M$875,'Base bordo CD'!D$2:D$875,A436,'Base bordo CD'!A$2:A$875,B436,'Base bordo CD'!L$2:L$875,"SEM APONTAMENTO"),0)</f>
        <v>1.1111111111111111E-3</v>
      </c>
      <c r="N436" s="10">
        <f>IFERROR(SUMIFS('Base bordo CD'!M$2:M$875,'Base bordo CD'!D$2:D$875,A436,'Base bordo CD'!A$2:A$875,B436,'Base bordo CD'!L$2:L$875,"FALTA DE CAMINHÃO"),0)+IFERROR(SUMIFS('Base bordo CD'!M$2:M$875,'Base bordo CD'!D$2:D$875,A436,'Base bordo CD'!A$2:A$875,B436,'Base bordo CD'!L$2:L$875,"FALTA DE COMBUSTIVEL"),0)+IFERROR(SUMIFS('Base bordo CD'!M$2:M$875,'Base bordo CD'!D$2:D$875,A436,'Base bordo CD'!A$2:A$875,B436,'Base bordo CD'!L$2:L$875,"FALTA DE MOTORIST*"),0)</f>
        <v>0</v>
      </c>
      <c r="O436" s="10">
        <f t="shared" si="35"/>
        <v>0.12888888888888417</v>
      </c>
      <c r="P436" s="10">
        <f>IFERROR(SUMIFS('Base bordo CD'!M$2:M$875,'Base bordo CD'!D$2:D$875,A436,'Base bordo CD'!A$2:A$875,B436),0)</f>
        <v>23.999999999999996</v>
      </c>
      <c r="Q436" s="10">
        <f>IFERROR(SUMIFS('Base bordo CD'!O$2:O$875,'Base bordo CD'!D$2:D$875,A436,'Base bordo CD'!A$2:A$875,B436,'Base bordo CD'!L$2:L$875,"CORTE DE CANA MECANIZADO"),0)</f>
        <v>8987.159999999998</v>
      </c>
      <c r="R436" s="10">
        <f>IFERROR(SUMIFS('Base bordo CD'!Q$2:Q$875,'Base bordo CD'!D$2:D$875,A436,'Base bordo CD'!A$2:A$875,B436,'Base bordo CD'!L$2:L$875,"CORTE DE CANA MECANIZADO"),0)</f>
        <v>1982</v>
      </c>
      <c r="S436" s="30">
        <f t="shared" si="36"/>
        <v>4.5343895055499486</v>
      </c>
      <c r="T436" s="9">
        <f t="shared" si="37"/>
        <v>2.2939814814814819E-2</v>
      </c>
      <c r="U436" s="9">
        <f t="shared" si="38"/>
        <v>6.8981481481481498E-3</v>
      </c>
      <c r="V436" s="9">
        <f t="shared" si="39"/>
        <v>0.97164351851851849</v>
      </c>
    </row>
    <row r="437" spans="1:22" x14ac:dyDescent="0.35">
      <c r="A437" s="52">
        <v>49595</v>
      </c>
      <c r="B437" s="31">
        <v>46120</v>
      </c>
      <c r="C437" s="7" t="s">
        <v>337</v>
      </c>
      <c r="D437" s="7">
        <v>353</v>
      </c>
      <c r="E437" s="10">
        <f>IFERROR(SUMIFS('Base bordo CD'!M$2:M$875,'Base bordo CD'!D$2:D$875,A437,'Base bordo CD'!A$2:A$875,B437,'Base bordo CD'!L$2:L$875,"CORTE DE CANA MECANIZADO"),0)</f>
        <v>0.55055555555555558</v>
      </c>
      <c r="F437" s="10">
        <f>IFERROR(SUMIFS('Base bordo CD'!M$2:M$875,'Base bordo CD'!D$2:D$875,A437,'Base bordo CD'!A$2:A$875,B437,'Base bordo CD'!L$2:L$875,"MANOBRA"),0)</f>
        <v>0.16555555555555557</v>
      </c>
      <c r="G437" s="10">
        <f>IFERROR(SUMIFS('Base bordo CD'!M$2:M$875,'Base bordo CD'!D$2:D$875,A437,'Base bordo CD'!A$2:A$875,B437,'Base bordo CD'!L$2:L$875,"DESLOCAMENTO"),0)</f>
        <v>0.13</v>
      </c>
      <c r="H437" s="10">
        <f>IFERROR(SUMIFS('Base bordo CD'!M$2:M$875,'Base bordo CD'!D$2:D$875,A437,'Base bordo CD'!A$2:A$875,B437,'Base bordo CD'!L$2:L$875,"AGUARDANDO MANOBRA DE TRANSBORDO"),0)+IFERROR(SUMIFS('Base bordo CD'!M$2:M$875,'Base bordo CD'!D$2:D$875,A437,'Base bordo CD'!A$2:A$875,B437,'Base bordo CD'!L$2:L$875,"FALTA DE TRANSBORDO"),0)</f>
        <v>0.23944444444444446</v>
      </c>
      <c r="I437" s="10">
        <f>IFERROR(SUMIFS('Base bordo CD'!M$2:M$875,'Base bordo CD'!D$2:D$875,A437,'Base bordo CD'!A$2:A$875,B437,'Base bordo CD'!L$2:L$875,"PARADA POR CONDICOES CLIMATICAS"),0)+IFERROR(SUMIFS('Base bordo CD'!M$2:M$875,'Base bordo CD'!D$2:D$875,A437,'Base bordo CD'!A$2:A$875,B437,'Base bordo CD'!L$2:L$875,"TEMPO INDETERMINADO"),0)</f>
        <v>22.784444444444446</v>
      </c>
      <c r="J437" s="10">
        <f>IFERROR(SUMIFS('Base bordo CD'!M$2:M$875,'Base bordo CD'!D$2:D$875,A437,'Base bordo CD'!A$2:A$875,B437,'Base bordo CD'!L$2:L$875,"LIMITAÇÃO INDÚSTRIA"),0)</f>
        <v>0</v>
      </c>
      <c r="K437" s="10">
        <f>IFERROR(SUMIFS('Base bordo CD'!M$2:M$875,'Base bordo CD'!D$2:D$875,A437,'Base bordo CD'!A$2:A$875,B437,'Base bordo CD'!L$2:L$875,"MAN CORRETIVA*"),0)+IFERROR(SUMIFS('Base bordo CD'!M$2:M$875,'Base bordo CD'!D$2:D$875,A437,'Base bordo CD'!A$2:A$875,B437,'Base bordo CD'!L$2:L$875,"AGUARDANDO MANUTENCAO*"),0)+IFERROR(SUMIFS('Base bordo CD'!M$2:M$875,'Base bordo CD'!D$2:D$875,A437,'Base bordo CD'!A$2:A$875,B437,'Base bordo CD'!L$2:L$875,"TROCA DE FAQUINHA"),0)+IFERROR(SUMIFS('Base bordo CD'!M$2:M$875,'Base bordo CD'!D$2:D$875,A437,'Base bordo CD'!A$2:A$875,B437,'Base bordo CD'!L$2:L$875,"LIMPEZA*"),0)</f>
        <v>0</v>
      </c>
      <c r="L437" s="10">
        <f>IFERROR(SUMIFS('Base bordo CD'!M$2:M$875,'Base bordo CD'!D$2:D$875,A437,'Base bordo CD'!A$2:A$875,B437,'Base bordo CD'!L$2:L$875,"PATIO - RESERVA"),0)</f>
        <v>0</v>
      </c>
      <c r="M437" s="10">
        <f>IFERROR(SUMIFS('Base bordo CD'!M$2:M$875,'Base bordo CD'!D$2:D$875,A437,'Base bordo CD'!A$2:A$875,B437,'Base bordo CD'!L$2:L$875,"SEM APONTAMENTO"),0)</f>
        <v>1.1111111111111111E-3</v>
      </c>
      <c r="N437" s="10">
        <f>IFERROR(SUMIFS('Base bordo CD'!M$2:M$875,'Base bordo CD'!D$2:D$875,A437,'Base bordo CD'!A$2:A$875,B437,'Base bordo CD'!L$2:L$875,"FALTA DE CAMINHÃO"),0)+IFERROR(SUMIFS('Base bordo CD'!M$2:M$875,'Base bordo CD'!D$2:D$875,A437,'Base bordo CD'!A$2:A$875,B437,'Base bordo CD'!L$2:L$875,"FALTA DE COMBUSTIVEL"),0)+IFERROR(SUMIFS('Base bordo CD'!M$2:M$875,'Base bordo CD'!D$2:D$875,A437,'Base bordo CD'!A$2:A$875,B437,'Base bordo CD'!L$2:L$875,"FALTA DE MOTORIST*"),0)</f>
        <v>0</v>
      </c>
      <c r="O437" s="10">
        <f t="shared" si="35"/>
        <v>0.12888888888888417</v>
      </c>
      <c r="P437" s="10">
        <f>IFERROR(SUMIFS('Base bordo CD'!M$2:M$875,'Base bordo CD'!D$2:D$875,A437,'Base bordo CD'!A$2:A$875,B437),0)</f>
        <v>23.999999999999996</v>
      </c>
      <c r="Q437" s="10">
        <f>IFERROR(SUMIFS('Base bordo CD'!O$2:O$875,'Base bordo CD'!D$2:D$875,A437,'Base bordo CD'!A$2:A$875,B437,'Base bordo CD'!L$2:L$875,"CORTE DE CANA MECANIZADO"),0)</f>
        <v>8987.159999999998</v>
      </c>
      <c r="R437" s="10">
        <f>IFERROR(SUMIFS('Base bordo CD'!Q$2:Q$875,'Base bordo CD'!D$2:D$875,A437,'Base bordo CD'!A$2:A$875,B437,'Base bordo CD'!L$2:L$875,"CORTE DE CANA MECANIZADO"),0)</f>
        <v>1982</v>
      </c>
      <c r="S437" s="30">
        <f t="shared" si="36"/>
        <v>4.5343895055499486</v>
      </c>
      <c r="T437" s="9">
        <f t="shared" si="37"/>
        <v>2.2939814814814819E-2</v>
      </c>
      <c r="U437" s="9">
        <f t="shared" si="38"/>
        <v>6.8981481481481498E-3</v>
      </c>
      <c r="V437" s="9">
        <f t="shared" si="39"/>
        <v>0.97164351851851849</v>
      </c>
    </row>
    <row r="438" spans="1:22" x14ac:dyDescent="0.35">
      <c r="A438" s="52">
        <v>49595</v>
      </c>
      <c r="B438" s="31">
        <v>46120</v>
      </c>
      <c r="C438" s="7" t="s">
        <v>337</v>
      </c>
      <c r="D438" s="7">
        <v>353</v>
      </c>
      <c r="E438" s="10">
        <f>IFERROR(SUMIFS('Base bordo CD'!M$2:M$875,'Base bordo CD'!D$2:D$875,A438,'Base bordo CD'!A$2:A$875,B438,'Base bordo CD'!L$2:L$875,"CORTE DE CANA MECANIZADO"),0)</f>
        <v>0.55055555555555558</v>
      </c>
      <c r="F438" s="10">
        <f>IFERROR(SUMIFS('Base bordo CD'!M$2:M$875,'Base bordo CD'!D$2:D$875,A438,'Base bordo CD'!A$2:A$875,B438,'Base bordo CD'!L$2:L$875,"MANOBRA"),0)</f>
        <v>0.16555555555555557</v>
      </c>
      <c r="G438" s="10">
        <f>IFERROR(SUMIFS('Base bordo CD'!M$2:M$875,'Base bordo CD'!D$2:D$875,A438,'Base bordo CD'!A$2:A$875,B438,'Base bordo CD'!L$2:L$875,"DESLOCAMENTO"),0)</f>
        <v>0.13</v>
      </c>
      <c r="H438" s="10">
        <f>IFERROR(SUMIFS('Base bordo CD'!M$2:M$875,'Base bordo CD'!D$2:D$875,A438,'Base bordo CD'!A$2:A$875,B438,'Base bordo CD'!L$2:L$875,"AGUARDANDO MANOBRA DE TRANSBORDO"),0)+IFERROR(SUMIFS('Base bordo CD'!M$2:M$875,'Base bordo CD'!D$2:D$875,A438,'Base bordo CD'!A$2:A$875,B438,'Base bordo CD'!L$2:L$875,"FALTA DE TRANSBORDO"),0)</f>
        <v>0.23944444444444446</v>
      </c>
      <c r="I438" s="10">
        <f>IFERROR(SUMIFS('Base bordo CD'!M$2:M$875,'Base bordo CD'!D$2:D$875,A438,'Base bordo CD'!A$2:A$875,B438,'Base bordo CD'!L$2:L$875,"PARADA POR CONDICOES CLIMATICAS"),0)+IFERROR(SUMIFS('Base bordo CD'!M$2:M$875,'Base bordo CD'!D$2:D$875,A438,'Base bordo CD'!A$2:A$875,B438,'Base bordo CD'!L$2:L$875,"TEMPO INDETERMINADO"),0)</f>
        <v>22.784444444444446</v>
      </c>
      <c r="J438" s="10">
        <f>IFERROR(SUMIFS('Base bordo CD'!M$2:M$875,'Base bordo CD'!D$2:D$875,A438,'Base bordo CD'!A$2:A$875,B438,'Base bordo CD'!L$2:L$875,"LIMITAÇÃO INDÚSTRIA"),0)</f>
        <v>0</v>
      </c>
      <c r="K438" s="10">
        <f>IFERROR(SUMIFS('Base bordo CD'!M$2:M$875,'Base bordo CD'!D$2:D$875,A438,'Base bordo CD'!A$2:A$875,B438,'Base bordo CD'!L$2:L$875,"MAN CORRETIVA*"),0)+IFERROR(SUMIFS('Base bordo CD'!M$2:M$875,'Base bordo CD'!D$2:D$875,A438,'Base bordo CD'!A$2:A$875,B438,'Base bordo CD'!L$2:L$875,"AGUARDANDO MANUTENCAO*"),0)+IFERROR(SUMIFS('Base bordo CD'!M$2:M$875,'Base bordo CD'!D$2:D$875,A438,'Base bordo CD'!A$2:A$875,B438,'Base bordo CD'!L$2:L$875,"TROCA DE FAQUINHA"),0)+IFERROR(SUMIFS('Base bordo CD'!M$2:M$875,'Base bordo CD'!D$2:D$875,A438,'Base bordo CD'!A$2:A$875,B438,'Base bordo CD'!L$2:L$875,"LIMPEZA*"),0)</f>
        <v>0</v>
      </c>
      <c r="L438" s="10">
        <f>IFERROR(SUMIFS('Base bordo CD'!M$2:M$875,'Base bordo CD'!D$2:D$875,A438,'Base bordo CD'!A$2:A$875,B438,'Base bordo CD'!L$2:L$875,"PATIO - RESERVA"),0)</f>
        <v>0</v>
      </c>
      <c r="M438" s="10">
        <f>IFERROR(SUMIFS('Base bordo CD'!M$2:M$875,'Base bordo CD'!D$2:D$875,A438,'Base bordo CD'!A$2:A$875,B438,'Base bordo CD'!L$2:L$875,"SEM APONTAMENTO"),0)</f>
        <v>1.1111111111111111E-3</v>
      </c>
      <c r="N438" s="10">
        <f>IFERROR(SUMIFS('Base bordo CD'!M$2:M$875,'Base bordo CD'!D$2:D$875,A438,'Base bordo CD'!A$2:A$875,B438,'Base bordo CD'!L$2:L$875,"FALTA DE CAMINHÃO"),0)+IFERROR(SUMIFS('Base bordo CD'!M$2:M$875,'Base bordo CD'!D$2:D$875,A438,'Base bordo CD'!A$2:A$875,B438,'Base bordo CD'!L$2:L$875,"FALTA DE COMBUSTIVEL"),0)+IFERROR(SUMIFS('Base bordo CD'!M$2:M$875,'Base bordo CD'!D$2:D$875,A438,'Base bordo CD'!A$2:A$875,B438,'Base bordo CD'!L$2:L$875,"FALTA DE MOTORIST*"),0)</f>
        <v>0</v>
      </c>
      <c r="O438" s="10">
        <f t="shared" si="35"/>
        <v>0.12888888888888417</v>
      </c>
      <c r="P438" s="10">
        <f>IFERROR(SUMIFS('Base bordo CD'!M$2:M$875,'Base bordo CD'!D$2:D$875,A438,'Base bordo CD'!A$2:A$875,B438),0)</f>
        <v>23.999999999999996</v>
      </c>
      <c r="Q438" s="10">
        <f>IFERROR(SUMIFS('Base bordo CD'!O$2:O$875,'Base bordo CD'!D$2:D$875,A438,'Base bordo CD'!A$2:A$875,B438,'Base bordo CD'!L$2:L$875,"CORTE DE CANA MECANIZADO"),0)</f>
        <v>8987.159999999998</v>
      </c>
      <c r="R438" s="10">
        <f>IFERROR(SUMIFS('Base bordo CD'!Q$2:Q$875,'Base bordo CD'!D$2:D$875,A438,'Base bordo CD'!A$2:A$875,B438,'Base bordo CD'!L$2:L$875,"CORTE DE CANA MECANIZADO"),0)</f>
        <v>1982</v>
      </c>
      <c r="S438" s="30">
        <f t="shared" si="36"/>
        <v>4.5343895055499486</v>
      </c>
      <c r="T438" s="9">
        <f t="shared" si="37"/>
        <v>2.2939814814814819E-2</v>
      </c>
      <c r="U438" s="9">
        <f t="shared" si="38"/>
        <v>6.8981481481481498E-3</v>
      </c>
      <c r="V438" s="9">
        <f t="shared" si="39"/>
        <v>0.97164351851851849</v>
      </c>
    </row>
    <row r="439" spans="1:22" x14ac:dyDescent="0.35">
      <c r="A439" s="52">
        <v>49595</v>
      </c>
      <c r="B439" s="31">
        <v>46120</v>
      </c>
      <c r="C439" s="7" t="s">
        <v>337</v>
      </c>
      <c r="D439" s="7">
        <v>353</v>
      </c>
      <c r="E439" s="10">
        <f>IFERROR(SUMIFS('Base bordo CD'!M$2:M$875,'Base bordo CD'!D$2:D$875,A439,'Base bordo CD'!A$2:A$875,B439,'Base bordo CD'!L$2:L$875,"CORTE DE CANA MECANIZADO"),0)</f>
        <v>0.55055555555555558</v>
      </c>
      <c r="F439" s="10">
        <f>IFERROR(SUMIFS('Base bordo CD'!M$2:M$875,'Base bordo CD'!D$2:D$875,A439,'Base bordo CD'!A$2:A$875,B439,'Base bordo CD'!L$2:L$875,"MANOBRA"),0)</f>
        <v>0.16555555555555557</v>
      </c>
      <c r="G439" s="10">
        <f>IFERROR(SUMIFS('Base bordo CD'!M$2:M$875,'Base bordo CD'!D$2:D$875,A439,'Base bordo CD'!A$2:A$875,B439,'Base bordo CD'!L$2:L$875,"DESLOCAMENTO"),0)</f>
        <v>0.13</v>
      </c>
      <c r="H439" s="10">
        <f>IFERROR(SUMIFS('Base bordo CD'!M$2:M$875,'Base bordo CD'!D$2:D$875,A439,'Base bordo CD'!A$2:A$875,B439,'Base bordo CD'!L$2:L$875,"AGUARDANDO MANOBRA DE TRANSBORDO"),0)+IFERROR(SUMIFS('Base bordo CD'!M$2:M$875,'Base bordo CD'!D$2:D$875,A439,'Base bordo CD'!A$2:A$875,B439,'Base bordo CD'!L$2:L$875,"FALTA DE TRANSBORDO"),0)</f>
        <v>0.23944444444444446</v>
      </c>
      <c r="I439" s="10">
        <f>IFERROR(SUMIFS('Base bordo CD'!M$2:M$875,'Base bordo CD'!D$2:D$875,A439,'Base bordo CD'!A$2:A$875,B439,'Base bordo CD'!L$2:L$875,"PARADA POR CONDICOES CLIMATICAS"),0)+IFERROR(SUMIFS('Base bordo CD'!M$2:M$875,'Base bordo CD'!D$2:D$875,A439,'Base bordo CD'!A$2:A$875,B439,'Base bordo CD'!L$2:L$875,"TEMPO INDETERMINADO"),0)</f>
        <v>22.784444444444446</v>
      </c>
      <c r="J439" s="10">
        <f>IFERROR(SUMIFS('Base bordo CD'!M$2:M$875,'Base bordo CD'!D$2:D$875,A439,'Base bordo CD'!A$2:A$875,B439,'Base bordo CD'!L$2:L$875,"LIMITAÇÃO INDÚSTRIA"),0)</f>
        <v>0</v>
      </c>
      <c r="K439" s="10">
        <f>IFERROR(SUMIFS('Base bordo CD'!M$2:M$875,'Base bordo CD'!D$2:D$875,A439,'Base bordo CD'!A$2:A$875,B439,'Base bordo CD'!L$2:L$875,"MAN CORRETIVA*"),0)+IFERROR(SUMIFS('Base bordo CD'!M$2:M$875,'Base bordo CD'!D$2:D$875,A439,'Base bordo CD'!A$2:A$875,B439,'Base bordo CD'!L$2:L$875,"AGUARDANDO MANUTENCAO*"),0)+IFERROR(SUMIFS('Base bordo CD'!M$2:M$875,'Base bordo CD'!D$2:D$875,A439,'Base bordo CD'!A$2:A$875,B439,'Base bordo CD'!L$2:L$875,"TROCA DE FAQUINHA"),0)+IFERROR(SUMIFS('Base bordo CD'!M$2:M$875,'Base bordo CD'!D$2:D$875,A439,'Base bordo CD'!A$2:A$875,B439,'Base bordo CD'!L$2:L$875,"LIMPEZA*"),0)</f>
        <v>0</v>
      </c>
      <c r="L439" s="10">
        <f>IFERROR(SUMIFS('Base bordo CD'!M$2:M$875,'Base bordo CD'!D$2:D$875,A439,'Base bordo CD'!A$2:A$875,B439,'Base bordo CD'!L$2:L$875,"PATIO - RESERVA"),0)</f>
        <v>0</v>
      </c>
      <c r="M439" s="10">
        <f>IFERROR(SUMIFS('Base bordo CD'!M$2:M$875,'Base bordo CD'!D$2:D$875,A439,'Base bordo CD'!A$2:A$875,B439,'Base bordo CD'!L$2:L$875,"SEM APONTAMENTO"),0)</f>
        <v>1.1111111111111111E-3</v>
      </c>
      <c r="N439" s="10">
        <f>IFERROR(SUMIFS('Base bordo CD'!M$2:M$875,'Base bordo CD'!D$2:D$875,A439,'Base bordo CD'!A$2:A$875,B439,'Base bordo CD'!L$2:L$875,"FALTA DE CAMINHÃO"),0)+IFERROR(SUMIFS('Base bordo CD'!M$2:M$875,'Base bordo CD'!D$2:D$875,A439,'Base bordo CD'!A$2:A$875,B439,'Base bordo CD'!L$2:L$875,"FALTA DE COMBUSTIVEL"),0)+IFERROR(SUMIFS('Base bordo CD'!M$2:M$875,'Base bordo CD'!D$2:D$875,A439,'Base bordo CD'!A$2:A$875,B439,'Base bordo CD'!L$2:L$875,"FALTA DE MOTORIST*"),0)</f>
        <v>0</v>
      </c>
      <c r="O439" s="10">
        <f t="shared" si="35"/>
        <v>0.12888888888888417</v>
      </c>
      <c r="P439" s="10">
        <f>IFERROR(SUMIFS('Base bordo CD'!M$2:M$875,'Base bordo CD'!D$2:D$875,A439,'Base bordo CD'!A$2:A$875,B439),0)</f>
        <v>23.999999999999996</v>
      </c>
      <c r="Q439" s="10">
        <f>IFERROR(SUMIFS('Base bordo CD'!O$2:O$875,'Base bordo CD'!D$2:D$875,A439,'Base bordo CD'!A$2:A$875,B439,'Base bordo CD'!L$2:L$875,"CORTE DE CANA MECANIZADO"),0)</f>
        <v>8987.159999999998</v>
      </c>
      <c r="R439" s="10">
        <f>IFERROR(SUMIFS('Base bordo CD'!Q$2:Q$875,'Base bordo CD'!D$2:D$875,A439,'Base bordo CD'!A$2:A$875,B439,'Base bordo CD'!L$2:L$875,"CORTE DE CANA MECANIZADO"),0)</f>
        <v>1982</v>
      </c>
      <c r="S439" s="30">
        <f t="shared" si="36"/>
        <v>4.5343895055499486</v>
      </c>
      <c r="T439" s="9">
        <f t="shared" si="37"/>
        <v>2.2939814814814819E-2</v>
      </c>
      <c r="U439" s="9">
        <f t="shared" si="38"/>
        <v>6.8981481481481498E-3</v>
      </c>
      <c r="V439" s="9">
        <f t="shared" si="39"/>
        <v>0.97164351851851849</v>
      </c>
    </row>
    <row r="440" spans="1:22" x14ac:dyDescent="0.35">
      <c r="A440" s="52">
        <v>49595</v>
      </c>
      <c r="B440" s="31">
        <v>46120</v>
      </c>
      <c r="C440" s="7" t="s">
        <v>337</v>
      </c>
      <c r="D440" s="7">
        <v>353</v>
      </c>
      <c r="E440" s="10">
        <f>IFERROR(SUMIFS('Base bordo CD'!M$2:M$875,'Base bordo CD'!D$2:D$875,A440,'Base bordo CD'!A$2:A$875,B440,'Base bordo CD'!L$2:L$875,"CORTE DE CANA MECANIZADO"),0)</f>
        <v>0.55055555555555558</v>
      </c>
      <c r="F440" s="10">
        <f>IFERROR(SUMIFS('Base bordo CD'!M$2:M$875,'Base bordo CD'!D$2:D$875,A440,'Base bordo CD'!A$2:A$875,B440,'Base bordo CD'!L$2:L$875,"MANOBRA"),0)</f>
        <v>0.16555555555555557</v>
      </c>
      <c r="G440" s="10">
        <f>IFERROR(SUMIFS('Base bordo CD'!M$2:M$875,'Base bordo CD'!D$2:D$875,A440,'Base bordo CD'!A$2:A$875,B440,'Base bordo CD'!L$2:L$875,"DESLOCAMENTO"),0)</f>
        <v>0.13</v>
      </c>
      <c r="H440" s="10">
        <f>IFERROR(SUMIFS('Base bordo CD'!M$2:M$875,'Base bordo CD'!D$2:D$875,A440,'Base bordo CD'!A$2:A$875,B440,'Base bordo CD'!L$2:L$875,"AGUARDANDO MANOBRA DE TRANSBORDO"),0)+IFERROR(SUMIFS('Base bordo CD'!M$2:M$875,'Base bordo CD'!D$2:D$875,A440,'Base bordo CD'!A$2:A$875,B440,'Base bordo CD'!L$2:L$875,"FALTA DE TRANSBORDO"),0)</f>
        <v>0.23944444444444446</v>
      </c>
      <c r="I440" s="10">
        <f>IFERROR(SUMIFS('Base bordo CD'!M$2:M$875,'Base bordo CD'!D$2:D$875,A440,'Base bordo CD'!A$2:A$875,B440,'Base bordo CD'!L$2:L$875,"PARADA POR CONDICOES CLIMATICAS"),0)+IFERROR(SUMIFS('Base bordo CD'!M$2:M$875,'Base bordo CD'!D$2:D$875,A440,'Base bordo CD'!A$2:A$875,B440,'Base bordo CD'!L$2:L$875,"TEMPO INDETERMINADO"),0)</f>
        <v>22.784444444444446</v>
      </c>
      <c r="J440" s="10">
        <f>IFERROR(SUMIFS('Base bordo CD'!M$2:M$875,'Base bordo CD'!D$2:D$875,A440,'Base bordo CD'!A$2:A$875,B440,'Base bordo CD'!L$2:L$875,"LIMITAÇÃO INDÚSTRIA"),0)</f>
        <v>0</v>
      </c>
      <c r="K440" s="10">
        <f>IFERROR(SUMIFS('Base bordo CD'!M$2:M$875,'Base bordo CD'!D$2:D$875,A440,'Base bordo CD'!A$2:A$875,B440,'Base bordo CD'!L$2:L$875,"MAN CORRETIVA*"),0)+IFERROR(SUMIFS('Base bordo CD'!M$2:M$875,'Base bordo CD'!D$2:D$875,A440,'Base bordo CD'!A$2:A$875,B440,'Base bordo CD'!L$2:L$875,"AGUARDANDO MANUTENCAO*"),0)+IFERROR(SUMIFS('Base bordo CD'!M$2:M$875,'Base bordo CD'!D$2:D$875,A440,'Base bordo CD'!A$2:A$875,B440,'Base bordo CD'!L$2:L$875,"TROCA DE FAQUINHA"),0)+IFERROR(SUMIFS('Base bordo CD'!M$2:M$875,'Base bordo CD'!D$2:D$875,A440,'Base bordo CD'!A$2:A$875,B440,'Base bordo CD'!L$2:L$875,"LIMPEZA*"),0)</f>
        <v>0</v>
      </c>
      <c r="L440" s="10">
        <f>IFERROR(SUMIFS('Base bordo CD'!M$2:M$875,'Base bordo CD'!D$2:D$875,A440,'Base bordo CD'!A$2:A$875,B440,'Base bordo CD'!L$2:L$875,"PATIO - RESERVA"),0)</f>
        <v>0</v>
      </c>
      <c r="M440" s="10">
        <f>IFERROR(SUMIFS('Base bordo CD'!M$2:M$875,'Base bordo CD'!D$2:D$875,A440,'Base bordo CD'!A$2:A$875,B440,'Base bordo CD'!L$2:L$875,"SEM APONTAMENTO"),0)</f>
        <v>1.1111111111111111E-3</v>
      </c>
      <c r="N440" s="10">
        <f>IFERROR(SUMIFS('Base bordo CD'!M$2:M$875,'Base bordo CD'!D$2:D$875,A440,'Base bordo CD'!A$2:A$875,B440,'Base bordo CD'!L$2:L$875,"FALTA DE CAMINHÃO"),0)+IFERROR(SUMIFS('Base bordo CD'!M$2:M$875,'Base bordo CD'!D$2:D$875,A440,'Base bordo CD'!A$2:A$875,B440,'Base bordo CD'!L$2:L$875,"FALTA DE COMBUSTIVEL"),0)+IFERROR(SUMIFS('Base bordo CD'!M$2:M$875,'Base bordo CD'!D$2:D$875,A440,'Base bordo CD'!A$2:A$875,B440,'Base bordo CD'!L$2:L$875,"FALTA DE MOTORIST*"),0)</f>
        <v>0</v>
      </c>
      <c r="O440" s="10">
        <f t="shared" si="35"/>
        <v>0.12888888888888417</v>
      </c>
      <c r="P440" s="10">
        <f>IFERROR(SUMIFS('Base bordo CD'!M$2:M$875,'Base bordo CD'!D$2:D$875,A440,'Base bordo CD'!A$2:A$875,B440),0)</f>
        <v>23.999999999999996</v>
      </c>
      <c r="Q440" s="10">
        <f>IFERROR(SUMIFS('Base bordo CD'!O$2:O$875,'Base bordo CD'!D$2:D$875,A440,'Base bordo CD'!A$2:A$875,B440,'Base bordo CD'!L$2:L$875,"CORTE DE CANA MECANIZADO"),0)</f>
        <v>8987.159999999998</v>
      </c>
      <c r="R440" s="10">
        <f>IFERROR(SUMIFS('Base bordo CD'!Q$2:Q$875,'Base bordo CD'!D$2:D$875,A440,'Base bordo CD'!A$2:A$875,B440,'Base bordo CD'!L$2:L$875,"CORTE DE CANA MECANIZADO"),0)</f>
        <v>1982</v>
      </c>
      <c r="S440" s="30">
        <f t="shared" si="36"/>
        <v>4.5343895055499486</v>
      </c>
      <c r="T440" s="9">
        <f t="shared" si="37"/>
        <v>2.2939814814814819E-2</v>
      </c>
      <c r="U440" s="9">
        <f t="shared" si="38"/>
        <v>6.8981481481481498E-3</v>
      </c>
      <c r="V440" s="9">
        <f t="shared" si="39"/>
        <v>0.97164351851851849</v>
      </c>
    </row>
    <row r="441" spans="1:22" x14ac:dyDescent="0.35">
      <c r="A441" s="52">
        <v>49595</v>
      </c>
      <c r="B441" s="31">
        <v>46120</v>
      </c>
      <c r="C441" s="7" t="s">
        <v>337</v>
      </c>
      <c r="D441" s="7">
        <v>353</v>
      </c>
      <c r="E441" s="10">
        <f>IFERROR(SUMIFS('Base bordo CD'!M$2:M$875,'Base bordo CD'!D$2:D$875,A441,'Base bordo CD'!A$2:A$875,B441,'Base bordo CD'!L$2:L$875,"CORTE DE CANA MECANIZADO"),0)</f>
        <v>0.55055555555555558</v>
      </c>
      <c r="F441" s="10">
        <f>IFERROR(SUMIFS('Base bordo CD'!M$2:M$875,'Base bordo CD'!D$2:D$875,A441,'Base bordo CD'!A$2:A$875,B441,'Base bordo CD'!L$2:L$875,"MANOBRA"),0)</f>
        <v>0.16555555555555557</v>
      </c>
      <c r="G441" s="10">
        <f>IFERROR(SUMIFS('Base bordo CD'!M$2:M$875,'Base bordo CD'!D$2:D$875,A441,'Base bordo CD'!A$2:A$875,B441,'Base bordo CD'!L$2:L$875,"DESLOCAMENTO"),0)</f>
        <v>0.13</v>
      </c>
      <c r="H441" s="10">
        <f>IFERROR(SUMIFS('Base bordo CD'!M$2:M$875,'Base bordo CD'!D$2:D$875,A441,'Base bordo CD'!A$2:A$875,B441,'Base bordo CD'!L$2:L$875,"AGUARDANDO MANOBRA DE TRANSBORDO"),0)+IFERROR(SUMIFS('Base bordo CD'!M$2:M$875,'Base bordo CD'!D$2:D$875,A441,'Base bordo CD'!A$2:A$875,B441,'Base bordo CD'!L$2:L$875,"FALTA DE TRANSBORDO"),0)</f>
        <v>0.23944444444444446</v>
      </c>
      <c r="I441" s="10">
        <f>IFERROR(SUMIFS('Base bordo CD'!M$2:M$875,'Base bordo CD'!D$2:D$875,A441,'Base bordo CD'!A$2:A$875,B441,'Base bordo CD'!L$2:L$875,"PARADA POR CONDICOES CLIMATICAS"),0)+IFERROR(SUMIFS('Base bordo CD'!M$2:M$875,'Base bordo CD'!D$2:D$875,A441,'Base bordo CD'!A$2:A$875,B441,'Base bordo CD'!L$2:L$875,"TEMPO INDETERMINADO"),0)</f>
        <v>22.784444444444446</v>
      </c>
      <c r="J441" s="10">
        <f>IFERROR(SUMIFS('Base bordo CD'!M$2:M$875,'Base bordo CD'!D$2:D$875,A441,'Base bordo CD'!A$2:A$875,B441,'Base bordo CD'!L$2:L$875,"LIMITAÇÃO INDÚSTRIA"),0)</f>
        <v>0</v>
      </c>
      <c r="K441" s="10">
        <f>IFERROR(SUMIFS('Base bordo CD'!M$2:M$875,'Base bordo CD'!D$2:D$875,A441,'Base bordo CD'!A$2:A$875,B441,'Base bordo CD'!L$2:L$875,"MAN CORRETIVA*"),0)+IFERROR(SUMIFS('Base bordo CD'!M$2:M$875,'Base bordo CD'!D$2:D$875,A441,'Base bordo CD'!A$2:A$875,B441,'Base bordo CD'!L$2:L$875,"AGUARDANDO MANUTENCAO*"),0)+IFERROR(SUMIFS('Base bordo CD'!M$2:M$875,'Base bordo CD'!D$2:D$875,A441,'Base bordo CD'!A$2:A$875,B441,'Base bordo CD'!L$2:L$875,"TROCA DE FAQUINHA"),0)+IFERROR(SUMIFS('Base bordo CD'!M$2:M$875,'Base bordo CD'!D$2:D$875,A441,'Base bordo CD'!A$2:A$875,B441,'Base bordo CD'!L$2:L$875,"LIMPEZA*"),0)</f>
        <v>0</v>
      </c>
      <c r="L441" s="10">
        <f>IFERROR(SUMIFS('Base bordo CD'!M$2:M$875,'Base bordo CD'!D$2:D$875,A441,'Base bordo CD'!A$2:A$875,B441,'Base bordo CD'!L$2:L$875,"PATIO - RESERVA"),0)</f>
        <v>0</v>
      </c>
      <c r="M441" s="10">
        <f>IFERROR(SUMIFS('Base bordo CD'!M$2:M$875,'Base bordo CD'!D$2:D$875,A441,'Base bordo CD'!A$2:A$875,B441,'Base bordo CD'!L$2:L$875,"SEM APONTAMENTO"),0)</f>
        <v>1.1111111111111111E-3</v>
      </c>
      <c r="N441" s="10">
        <f>IFERROR(SUMIFS('Base bordo CD'!M$2:M$875,'Base bordo CD'!D$2:D$875,A441,'Base bordo CD'!A$2:A$875,B441,'Base bordo CD'!L$2:L$875,"FALTA DE CAMINHÃO"),0)+IFERROR(SUMIFS('Base bordo CD'!M$2:M$875,'Base bordo CD'!D$2:D$875,A441,'Base bordo CD'!A$2:A$875,B441,'Base bordo CD'!L$2:L$875,"FALTA DE COMBUSTIVEL"),0)+IFERROR(SUMIFS('Base bordo CD'!M$2:M$875,'Base bordo CD'!D$2:D$875,A441,'Base bordo CD'!A$2:A$875,B441,'Base bordo CD'!L$2:L$875,"FALTA DE MOTORIST*"),0)</f>
        <v>0</v>
      </c>
      <c r="O441" s="10">
        <f t="shared" si="35"/>
        <v>0.12888888888888417</v>
      </c>
      <c r="P441" s="10">
        <f>IFERROR(SUMIFS('Base bordo CD'!M$2:M$875,'Base bordo CD'!D$2:D$875,A441,'Base bordo CD'!A$2:A$875,B441),0)</f>
        <v>23.999999999999996</v>
      </c>
      <c r="Q441" s="10">
        <f>IFERROR(SUMIFS('Base bordo CD'!O$2:O$875,'Base bordo CD'!D$2:D$875,A441,'Base bordo CD'!A$2:A$875,B441,'Base bordo CD'!L$2:L$875,"CORTE DE CANA MECANIZADO"),0)</f>
        <v>8987.159999999998</v>
      </c>
      <c r="R441" s="10">
        <f>IFERROR(SUMIFS('Base bordo CD'!Q$2:Q$875,'Base bordo CD'!D$2:D$875,A441,'Base bordo CD'!A$2:A$875,B441,'Base bordo CD'!L$2:L$875,"CORTE DE CANA MECANIZADO"),0)</f>
        <v>1982</v>
      </c>
      <c r="S441" s="30">
        <f t="shared" si="36"/>
        <v>4.5343895055499486</v>
      </c>
      <c r="T441" s="9">
        <f t="shared" si="37"/>
        <v>2.2939814814814819E-2</v>
      </c>
      <c r="U441" s="9">
        <f t="shared" si="38"/>
        <v>6.8981481481481498E-3</v>
      </c>
      <c r="V441" s="9">
        <f t="shared" si="39"/>
        <v>0.97164351851851849</v>
      </c>
    </row>
    <row r="442" spans="1:22" x14ac:dyDescent="0.35">
      <c r="A442" s="52">
        <v>49595</v>
      </c>
      <c r="B442" s="31">
        <v>46120</v>
      </c>
      <c r="C442" s="7" t="s">
        <v>337</v>
      </c>
      <c r="D442" s="7">
        <v>353</v>
      </c>
      <c r="E442" s="10">
        <f>IFERROR(SUMIFS('Base bordo CD'!M$2:M$875,'Base bordo CD'!D$2:D$875,A442,'Base bordo CD'!A$2:A$875,B442,'Base bordo CD'!L$2:L$875,"CORTE DE CANA MECANIZADO"),0)</f>
        <v>0.55055555555555558</v>
      </c>
      <c r="F442" s="10">
        <f>IFERROR(SUMIFS('Base bordo CD'!M$2:M$875,'Base bordo CD'!D$2:D$875,A442,'Base bordo CD'!A$2:A$875,B442,'Base bordo CD'!L$2:L$875,"MANOBRA"),0)</f>
        <v>0.16555555555555557</v>
      </c>
      <c r="G442" s="10">
        <f>IFERROR(SUMIFS('Base bordo CD'!M$2:M$875,'Base bordo CD'!D$2:D$875,A442,'Base bordo CD'!A$2:A$875,B442,'Base bordo CD'!L$2:L$875,"DESLOCAMENTO"),0)</f>
        <v>0.13</v>
      </c>
      <c r="H442" s="10">
        <f>IFERROR(SUMIFS('Base bordo CD'!M$2:M$875,'Base bordo CD'!D$2:D$875,A442,'Base bordo CD'!A$2:A$875,B442,'Base bordo CD'!L$2:L$875,"AGUARDANDO MANOBRA DE TRANSBORDO"),0)+IFERROR(SUMIFS('Base bordo CD'!M$2:M$875,'Base bordo CD'!D$2:D$875,A442,'Base bordo CD'!A$2:A$875,B442,'Base bordo CD'!L$2:L$875,"FALTA DE TRANSBORDO"),0)</f>
        <v>0.23944444444444446</v>
      </c>
      <c r="I442" s="10">
        <f>IFERROR(SUMIFS('Base bordo CD'!M$2:M$875,'Base bordo CD'!D$2:D$875,A442,'Base bordo CD'!A$2:A$875,B442,'Base bordo CD'!L$2:L$875,"PARADA POR CONDICOES CLIMATICAS"),0)+IFERROR(SUMIFS('Base bordo CD'!M$2:M$875,'Base bordo CD'!D$2:D$875,A442,'Base bordo CD'!A$2:A$875,B442,'Base bordo CD'!L$2:L$875,"TEMPO INDETERMINADO"),0)</f>
        <v>22.784444444444446</v>
      </c>
      <c r="J442" s="10">
        <f>IFERROR(SUMIFS('Base bordo CD'!M$2:M$875,'Base bordo CD'!D$2:D$875,A442,'Base bordo CD'!A$2:A$875,B442,'Base bordo CD'!L$2:L$875,"LIMITAÇÃO INDÚSTRIA"),0)</f>
        <v>0</v>
      </c>
      <c r="K442" s="10">
        <f>IFERROR(SUMIFS('Base bordo CD'!M$2:M$875,'Base bordo CD'!D$2:D$875,A442,'Base bordo CD'!A$2:A$875,B442,'Base bordo CD'!L$2:L$875,"MAN CORRETIVA*"),0)+IFERROR(SUMIFS('Base bordo CD'!M$2:M$875,'Base bordo CD'!D$2:D$875,A442,'Base bordo CD'!A$2:A$875,B442,'Base bordo CD'!L$2:L$875,"AGUARDANDO MANUTENCAO*"),0)+IFERROR(SUMIFS('Base bordo CD'!M$2:M$875,'Base bordo CD'!D$2:D$875,A442,'Base bordo CD'!A$2:A$875,B442,'Base bordo CD'!L$2:L$875,"TROCA DE FAQUINHA"),0)+IFERROR(SUMIFS('Base bordo CD'!M$2:M$875,'Base bordo CD'!D$2:D$875,A442,'Base bordo CD'!A$2:A$875,B442,'Base bordo CD'!L$2:L$875,"LIMPEZA*"),0)</f>
        <v>0</v>
      </c>
      <c r="L442" s="10">
        <f>IFERROR(SUMIFS('Base bordo CD'!M$2:M$875,'Base bordo CD'!D$2:D$875,A442,'Base bordo CD'!A$2:A$875,B442,'Base bordo CD'!L$2:L$875,"PATIO - RESERVA"),0)</f>
        <v>0</v>
      </c>
      <c r="M442" s="10">
        <f>IFERROR(SUMIFS('Base bordo CD'!M$2:M$875,'Base bordo CD'!D$2:D$875,A442,'Base bordo CD'!A$2:A$875,B442,'Base bordo CD'!L$2:L$875,"SEM APONTAMENTO"),0)</f>
        <v>1.1111111111111111E-3</v>
      </c>
      <c r="N442" s="10">
        <f>IFERROR(SUMIFS('Base bordo CD'!M$2:M$875,'Base bordo CD'!D$2:D$875,A442,'Base bordo CD'!A$2:A$875,B442,'Base bordo CD'!L$2:L$875,"FALTA DE CAMINHÃO"),0)+IFERROR(SUMIFS('Base bordo CD'!M$2:M$875,'Base bordo CD'!D$2:D$875,A442,'Base bordo CD'!A$2:A$875,B442,'Base bordo CD'!L$2:L$875,"FALTA DE COMBUSTIVEL"),0)+IFERROR(SUMIFS('Base bordo CD'!M$2:M$875,'Base bordo CD'!D$2:D$875,A442,'Base bordo CD'!A$2:A$875,B442,'Base bordo CD'!L$2:L$875,"FALTA DE MOTORIST*"),0)</f>
        <v>0</v>
      </c>
      <c r="O442" s="10">
        <f t="shared" si="35"/>
        <v>0.12888888888888417</v>
      </c>
      <c r="P442" s="10">
        <f>IFERROR(SUMIFS('Base bordo CD'!M$2:M$875,'Base bordo CD'!D$2:D$875,A442,'Base bordo CD'!A$2:A$875,B442),0)</f>
        <v>23.999999999999996</v>
      </c>
      <c r="Q442" s="10">
        <f>IFERROR(SUMIFS('Base bordo CD'!O$2:O$875,'Base bordo CD'!D$2:D$875,A442,'Base bordo CD'!A$2:A$875,B442,'Base bordo CD'!L$2:L$875,"CORTE DE CANA MECANIZADO"),0)</f>
        <v>8987.159999999998</v>
      </c>
      <c r="R442" s="10">
        <f>IFERROR(SUMIFS('Base bordo CD'!Q$2:Q$875,'Base bordo CD'!D$2:D$875,A442,'Base bordo CD'!A$2:A$875,B442,'Base bordo CD'!L$2:L$875,"CORTE DE CANA MECANIZADO"),0)</f>
        <v>1982</v>
      </c>
      <c r="S442" s="30">
        <f t="shared" si="36"/>
        <v>4.5343895055499486</v>
      </c>
      <c r="T442" s="9">
        <f t="shared" si="37"/>
        <v>2.2939814814814819E-2</v>
      </c>
      <c r="U442" s="9">
        <f t="shared" si="38"/>
        <v>6.8981481481481498E-3</v>
      </c>
      <c r="V442" s="9">
        <f t="shared" si="39"/>
        <v>0.97164351851851849</v>
      </c>
    </row>
    <row r="443" spans="1:22" x14ac:dyDescent="0.35">
      <c r="A443" s="52">
        <v>49595</v>
      </c>
      <c r="B443" s="31">
        <v>46120</v>
      </c>
      <c r="C443" s="7" t="s">
        <v>337</v>
      </c>
      <c r="D443" s="7">
        <v>353</v>
      </c>
      <c r="E443" s="10">
        <f>IFERROR(SUMIFS('Base bordo CD'!M$2:M$875,'Base bordo CD'!D$2:D$875,A443,'Base bordo CD'!A$2:A$875,B443,'Base bordo CD'!L$2:L$875,"CORTE DE CANA MECANIZADO"),0)</f>
        <v>0.55055555555555558</v>
      </c>
      <c r="F443" s="10">
        <f>IFERROR(SUMIFS('Base bordo CD'!M$2:M$875,'Base bordo CD'!D$2:D$875,A443,'Base bordo CD'!A$2:A$875,B443,'Base bordo CD'!L$2:L$875,"MANOBRA"),0)</f>
        <v>0.16555555555555557</v>
      </c>
      <c r="G443" s="10">
        <f>IFERROR(SUMIFS('Base bordo CD'!M$2:M$875,'Base bordo CD'!D$2:D$875,A443,'Base bordo CD'!A$2:A$875,B443,'Base bordo CD'!L$2:L$875,"DESLOCAMENTO"),0)</f>
        <v>0.13</v>
      </c>
      <c r="H443" s="10">
        <f>IFERROR(SUMIFS('Base bordo CD'!M$2:M$875,'Base bordo CD'!D$2:D$875,A443,'Base bordo CD'!A$2:A$875,B443,'Base bordo CD'!L$2:L$875,"AGUARDANDO MANOBRA DE TRANSBORDO"),0)+IFERROR(SUMIFS('Base bordo CD'!M$2:M$875,'Base bordo CD'!D$2:D$875,A443,'Base bordo CD'!A$2:A$875,B443,'Base bordo CD'!L$2:L$875,"FALTA DE TRANSBORDO"),0)</f>
        <v>0.23944444444444446</v>
      </c>
      <c r="I443" s="10">
        <f>IFERROR(SUMIFS('Base bordo CD'!M$2:M$875,'Base bordo CD'!D$2:D$875,A443,'Base bordo CD'!A$2:A$875,B443,'Base bordo CD'!L$2:L$875,"PARADA POR CONDICOES CLIMATICAS"),0)+IFERROR(SUMIFS('Base bordo CD'!M$2:M$875,'Base bordo CD'!D$2:D$875,A443,'Base bordo CD'!A$2:A$875,B443,'Base bordo CD'!L$2:L$875,"TEMPO INDETERMINADO"),0)</f>
        <v>22.784444444444446</v>
      </c>
      <c r="J443" s="10">
        <f>IFERROR(SUMIFS('Base bordo CD'!M$2:M$875,'Base bordo CD'!D$2:D$875,A443,'Base bordo CD'!A$2:A$875,B443,'Base bordo CD'!L$2:L$875,"LIMITAÇÃO INDÚSTRIA"),0)</f>
        <v>0</v>
      </c>
      <c r="K443" s="10">
        <f>IFERROR(SUMIFS('Base bordo CD'!M$2:M$875,'Base bordo CD'!D$2:D$875,A443,'Base bordo CD'!A$2:A$875,B443,'Base bordo CD'!L$2:L$875,"MAN CORRETIVA*"),0)+IFERROR(SUMIFS('Base bordo CD'!M$2:M$875,'Base bordo CD'!D$2:D$875,A443,'Base bordo CD'!A$2:A$875,B443,'Base bordo CD'!L$2:L$875,"AGUARDANDO MANUTENCAO*"),0)+IFERROR(SUMIFS('Base bordo CD'!M$2:M$875,'Base bordo CD'!D$2:D$875,A443,'Base bordo CD'!A$2:A$875,B443,'Base bordo CD'!L$2:L$875,"TROCA DE FAQUINHA"),0)+IFERROR(SUMIFS('Base bordo CD'!M$2:M$875,'Base bordo CD'!D$2:D$875,A443,'Base bordo CD'!A$2:A$875,B443,'Base bordo CD'!L$2:L$875,"LIMPEZA*"),0)</f>
        <v>0</v>
      </c>
      <c r="L443" s="10">
        <f>IFERROR(SUMIFS('Base bordo CD'!M$2:M$875,'Base bordo CD'!D$2:D$875,A443,'Base bordo CD'!A$2:A$875,B443,'Base bordo CD'!L$2:L$875,"PATIO - RESERVA"),0)</f>
        <v>0</v>
      </c>
      <c r="M443" s="10">
        <f>IFERROR(SUMIFS('Base bordo CD'!M$2:M$875,'Base bordo CD'!D$2:D$875,A443,'Base bordo CD'!A$2:A$875,B443,'Base bordo CD'!L$2:L$875,"SEM APONTAMENTO"),0)</f>
        <v>1.1111111111111111E-3</v>
      </c>
      <c r="N443" s="10">
        <f>IFERROR(SUMIFS('Base bordo CD'!M$2:M$875,'Base bordo CD'!D$2:D$875,A443,'Base bordo CD'!A$2:A$875,B443,'Base bordo CD'!L$2:L$875,"FALTA DE CAMINHÃO"),0)+IFERROR(SUMIFS('Base bordo CD'!M$2:M$875,'Base bordo CD'!D$2:D$875,A443,'Base bordo CD'!A$2:A$875,B443,'Base bordo CD'!L$2:L$875,"FALTA DE COMBUSTIVEL"),0)+IFERROR(SUMIFS('Base bordo CD'!M$2:M$875,'Base bordo CD'!D$2:D$875,A443,'Base bordo CD'!A$2:A$875,B443,'Base bordo CD'!L$2:L$875,"FALTA DE MOTORIST*"),0)</f>
        <v>0</v>
      </c>
      <c r="O443" s="10">
        <f t="shared" si="35"/>
        <v>0.12888888888888417</v>
      </c>
      <c r="P443" s="10">
        <f>IFERROR(SUMIFS('Base bordo CD'!M$2:M$875,'Base bordo CD'!D$2:D$875,A443,'Base bordo CD'!A$2:A$875,B443),0)</f>
        <v>23.999999999999996</v>
      </c>
      <c r="Q443" s="10">
        <f>IFERROR(SUMIFS('Base bordo CD'!O$2:O$875,'Base bordo CD'!D$2:D$875,A443,'Base bordo CD'!A$2:A$875,B443,'Base bordo CD'!L$2:L$875,"CORTE DE CANA MECANIZADO"),0)</f>
        <v>8987.159999999998</v>
      </c>
      <c r="R443" s="10">
        <f>IFERROR(SUMIFS('Base bordo CD'!Q$2:Q$875,'Base bordo CD'!D$2:D$875,A443,'Base bordo CD'!A$2:A$875,B443,'Base bordo CD'!L$2:L$875,"CORTE DE CANA MECANIZADO"),0)</f>
        <v>1982</v>
      </c>
      <c r="S443" s="30">
        <f t="shared" si="36"/>
        <v>4.5343895055499486</v>
      </c>
      <c r="T443" s="9">
        <f t="shared" si="37"/>
        <v>2.2939814814814819E-2</v>
      </c>
      <c r="U443" s="9">
        <f t="shared" si="38"/>
        <v>6.8981481481481498E-3</v>
      </c>
      <c r="V443" s="9">
        <f t="shared" si="39"/>
        <v>0.97164351851851849</v>
      </c>
    </row>
    <row r="444" spans="1:22" x14ac:dyDescent="0.35">
      <c r="A444" s="52">
        <v>49595</v>
      </c>
      <c r="B444" s="31">
        <v>46120</v>
      </c>
      <c r="C444" s="7" t="s">
        <v>337</v>
      </c>
      <c r="D444" s="7">
        <v>353</v>
      </c>
      <c r="E444" s="10">
        <f>IFERROR(SUMIFS('Base bordo CD'!M$2:M$875,'Base bordo CD'!D$2:D$875,A444,'Base bordo CD'!A$2:A$875,B444,'Base bordo CD'!L$2:L$875,"CORTE DE CANA MECANIZADO"),0)</f>
        <v>0.55055555555555558</v>
      </c>
      <c r="F444" s="10">
        <f>IFERROR(SUMIFS('Base bordo CD'!M$2:M$875,'Base bordo CD'!D$2:D$875,A444,'Base bordo CD'!A$2:A$875,B444,'Base bordo CD'!L$2:L$875,"MANOBRA"),0)</f>
        <v>0.16555555555555557</v>
      </c>
      <c r="G444" s="10">
        <f>IFERROR(SUMIFS('Base bordo CD'!M$2:M$875,'Base bordo CD'!D$2:D$875,A444,'Base bordo CD'!A$2:A$875,B444,'Base bordo CD'!L$2:L$875,"DESLOCAMENTO"),0)</f>
        <v>0.13</v>
      </c>
      <c r="H444" s="10">
        <f>IFERROR(SUMIFS('Base bordo CD'!M$2:M$875,'Base bordo CD'!D$2:D$875,A444,'Base bordo CD'!A$2:A$875,B444,'Base bordo CD'!L$2:L$875,"AGUARDANDO MANOBRA DE TRANSBORDO"),0)+IFERROR(SUMIFS('Base bordo CD'!M$2:M$875,'Base bordo CD'!D$2:D$875,A444,'Base bordo CD'!A$2:A$875,B444,'Base bordo CD'!L$2:L$875,"FALTA DE TRANSBORDO"),0)</f>
        <v>0.23944444444444446</v>
      </c>
      <c r="I444" s="10">
        <f>IFERROR(SUMIFS('Base bordo CD'!M$2:M$875,'Base bordo CD'!D$2:D$875,A444,'Base bordo CD'!A$2:A$875,B444,'Base bordo CD'!L$2:L$875,"PARADA POR CONDICOES CLIMATICAS"),0)+IFERROR(SUMIFS('Base bordo CD'!M$2:M$875,'Base bordo CD'!D$2:D$875,A444,'Base bordo CD'!A$2:A$875,B444,'Base bordo CD'!L$2:L$875,"TEMPO INDETERMINADO"),0)</f>
        <v>22.784444444444446</v>
      </c>
      <c r="J444" s="10">
        <f>IFERROR(SUMIFS('Base bordo CD'!M$2:M$875,'Base bordo CD'!D$2:D$875,A444,'Base bordo CD'!A$2:A$875,B444,'Base bordo CD'!L$2:L$875,"LIMITAÇÃO INDÚSTRIA"),0)</f>
        <v>0</v>
      </c>
      <c r="K444" s="10">
        <f>IFERROR(SUMIFS('Base bordo CD'!M$2:M$875,'Base bordo CD'!D$2:D$875,A444,'Base bordo CD'!A$2:A$875,B444,'Base bordo CD'!L$2:L$875,"MAN CORRETIVA*"),0)+IFERROR(SUMIFS('Base bordo CD'!M$2:M$875,'Base bordo CD'!D$2:D$875,A444,'Base bordo CD'!A$2:A$875,B444,'Base bordo CD'!L$2:L$875,"AGUARDANDO MANUTENCAO*"),0)+IFERROR(SUMIFS('Base bordo CD'!M$2:M$875,'Base bordo CD'!D$2:D$875,A444,'Base bordo CD'!A$2:A$875,B444,'Base bordo CD'!L$2:L$875,"TROCA DE FAQUINHA"),0)+IFERROR(SUMIFS('Base bordo CD'!M$2:M$875,'Base bordo CD'!D$2:D$875,A444,'Base bordo CD'!A$2:A$875,B444,'Base bordo CD'!L$2:L$875,"LIMPEZA*"),0)</f>
        <v>0</v>
      </c>
      <c r="L444" s="10">
        <f>IFERROR(SUMIFS('Base bordo CD'!M$2:M$875,'Base bordo CD'!D$2:D$875,A444,'Base bordo CD'!A$2:A$875,B444,'Base bordo CD'!L$2:L$875,"PATIO - RESERVA"),0)</f>
        <v>0</v>
      </c>
      <c r="M444" s="10">
        <f>IFERROR(SUMIFS('Base bordo CD'!M$2:M$875,'Base bordo CD'!D$2:D$875,A444,'Base bordo CD'!A$2:A$875,B444,'Base bordo CD'!L$2:L$875,"SEM APONTAMENTO"),0)</f>
        <v>1.1111111111111111E-3</v>
      </c>
      <c r="N444" s="10">
        <f>IFERROR(SUMIFS('Base bordo CD'!M$2:M$875,'Base bordo CD'!D$2:D$875,A444,'Base bordo CD'!A$2:A$875,B444,'Base bordo CD'!L$2:L$875,"FALTA DE CAMINHÃO"),0)+IFERROR(SUMIFS('Base bordo CD'!M$2:M$875,'Base bordo CD'!D$2:D$875,A444,'Base bordo CD'!A$2:A$875,B444,'Base bordo CD'!L$2:L$875,"FALTA DE COMBUSTIVEL"),0)+IFERROR(SUMIFS('Base bordo CD'!M$2:M$875,'Base bordo CD'!D$2:D$875,A444,'Base bordo CD'!A$2:A$875,B444,'Base bordo CD'!L$2:L$875,"FALTA DE MOTORIST*"),0)</f>
        <v>0</v>
      </c>
      <c r="O444" s="10">
        <f t="shared" si="35"/>
        <v>0.12888888888888417</v>
      </c>
      <c r="P444" s="10">
        <f>IFERROR(SUMIFS('Base bordo CD'!M$2:M$875,'Base bordo CD'!D$2:D$875,A444,'Base bordo CD'!A$2:A$875,B444),0)</f>
        <v>23.999999999999996</v>
      </c>
      <c r="Q444" s="10">
        <f>IFERROR(SUMIFS('Base bordo CD'!O$2:O$875,'Base bordo CD'!D$2:D$875,A444,'Base bordo CD'!A$2:A$875,B444,'Base bordo CD'!L$2:L$875,"CORTE DE CANA MECANIZADO"),0)</f>
        <v>8987.159999999998</v>
      </c>
      <c r="R444" s="10">
        <f>IFERROR(SUMIFS('Base bordo CD'!Q$2:Q$875,'Base bordo CD'!D$2:D$875,A444,'Base bordo CD'!A$2:A$875,B444,'Base bordo CD'!L$2:L$875,"CORTE DE CANA MECANIZADO"),0)</f>
        <v>1982</v>
      </c>
      <c r="S444" s="30">
        <f t="shared" si="36"/>
        <v>4.5343895055499486</v>
      </c>
      <c r="T444" s="9">
        <f t="shared" si="37"/>
        <v>2.2939814814814819E-2</v>
      </c>
      <c r="U444" s="9">
        <f t="shared" si="38"/>
        <v>6.8981481481481498E-3</v>
      </c>
      <c r="V444" s="9">
        <f t="shared" si="39"/>
        <v>0.97164351851851849</v>
      </c>
    </row>
    <row r="445" spans="1:22" x14ac:dyDescent="0.35">
      <c r="A445" s="52">
        <v>49596</v>
      </c>
      <c r="B445" s="31">
        <v>46120</v>
      </c>
      <c r="C445" s="7" t="s">
        <v>337</v>
      </c>
      <c r="D445" s="7">
        <v>353</v>
      </c>
      <c r="E445" s="10">
        <f>IFERROR(SUMIFS('Base bordo CD'!M$2:M$875,'Base bordo CD'!D$2:D$875,A445,'Base bordo CD'!A$2:A$875,B445,'Base bordo CD'!L$2:L$875,"CORTE DE CANA MECANIZADO"),0)</f>
        <v>0.52222222222222214</v>
      </c>
      <c r="F445" s="10">
        <f>IFERROR(SUMIFS('Base bordo CD'!M$2:M$875,'Base bordo CD'!D$2:D$875,A445,'Base bordo CD'!A$2:A$875,B445,'Base bordo CD'!L$2:L$875,"MANOBRA"),0)</f>
        <v>0.28000000000000003</v>
      </c>
      <c r="G445" s="10">
        <f>IFERROR(SUMIFS('Base bordo CD'!M$2:M$875,'Base bordo CD'!D$2:D$875,A445,'Base bordo CD'!A$2:A$875,B445,'Base bordo CD'!L$2:L$875,"DESLOCAMENTO"),0)</f>
        <v>0.70750000000000002</v>
      </c>
      <c r="H445" s="10">
        <f>IFERROR(SUMIFS('Base bordo CD'!M$2:M$875,'Base bordo CD'!D$2:D$875,A445,'Base bordo CD'!A$2:A$875,B445,'Base bordo CD'!L$2:L$875,"AGUARDANDO MANOBRA DE TRANSBORDO"),0)+IFERROR(SUMIFS('Base bordo CD'!M$2:M$875,'Base bordo CD'!D$2:D$875,A445,'Base bordo CD'!A$2:A$875,B445,'Base bordo CD'!L$2:L$875,"FALTA DE TRANSBORDO"),0)</f>
        <v>0.1661111111111111</v>
      </c>
      <c r="I445" s="10">
        <f>IFERROR(SUMIFS('Base bordo CD'!M$2:M$875,'Base bordo CD'!D$2:D$875,A445,'Base bordo CD'!A$2:A$875,B445,'Base bordo CD'!L$2:L$875,"PARADA POR CONDICOES CLIMATICAS"),0)+IFERROR(SUMIFS('Base bordo CD'!M$2:M$875,'Base bordo CD'!D$2:D$875,A445,'Base bordo CD'!A$2:A$875,B445,'Base bordo CD'!L$2:L$875,"TEMPO INDETERMINADO"),0)</f>
        <v>21.55083333333333</v>
      </c>
      <c r="J445" s="10">
        <f>IFERROR(SUMIFS('Base bordo CD'!M$2:M$875,'Base bordo CD'!D$2:D$875,A445,'Base bordo CD'!A$2:A$875,B445,'Base bordo CD'!L$2:L$875,"LIMITAÇÃO INDÚSTRIA"),0)</f>
        <v>0</v>
      </c>
      <c r="K445" s="10">
        <f>IFERROR(SUMIFS('Base bordo CD'!M$2:M$875,'Base bordo CD'!D$2:D$875,A445,'Base bordo CD'!A$2:A$875,B445,'Base bordo CD'!L$2:L$875,"MAN CORRETIVA*"),0)+IFERROR(SUMIFS('Base bordo CD'!M$2:M$875,'Base bordo CD'!D$2:D$875,A445,'Base bordo CD'!A$2:A$875,B445,'Base bordo CD'!L$2:L$875,"AGUARDANDO MANUTENCAO*"),0)+IFERROR(SUMIFS('Base bordo CD'!M$2:M$875,'Base bordo CD'!D$2:D$875,A445,'Base bordo CD'!A$2:A$875,B445,'Base bordo CD'!L$2:L$875,"TROCA DE FAQUINHA"),0)+IFERROR(SUMIFS('Base bordo CD'!M$2:M$875,'Base bordo CD'!D$2:D$875,A445,'Base bordo CD'!A$2:A$875,B445,'Base bordo CD'!L$2:L$875,"LIMPEZA*"),0)</f>
        <v>1.4444444444444444E-2</v>
      </c>
      <c r="L445" s="10">
        <f>IFERROR(SUMIFS('Base bordo CD'!M$2:M$875,'Base bordo CD'!D$2:D$875,A445,'Base bordo CD'!A$2:A$875,B445,'Base bordo CD'!L$2:L$875,"PATIO - RESERVA"),0)</f>
        <v>0</v>
      </c>
      <c r="M445" s="10">
        <f>IFERROR(SUMIFS('Base bordo CD'!M$2:M$875,'Base bordo CD'!D$2:D$875,A445,'Base bordo CD'!A$2:A$875,B445,'Base bordo CD'!L$2:L$875,"SEM APONTAMENTO"),0)</f>
        <v>0</v>
      </c>
      <c r="N445" s="10">
        <f>IFERROR(SUMIFS('Base bordo CD'!M$2:M$875,'Base bordo CD'!D$2:D$875,A445,'Base bordo CD'!A$2:A$875,B445,'Base bordo CD'!L$2:L$875,"FALTA DE CAMINHÃO"),0)+IFERROR(SUMIFS('Base bordo CD'!M$2:M$875,'Base bordo CD'!D$2:D$875,A445,'Base bordo CD'!A$2:A$875,B445,'Base bordo CD'!L$2:L$875,"FALTA DE COMBUSTIVEL"),0)+IFERROR(SUMIFS('Base bordo CD'!M$2:M$875,'Base bordo CD'!D$2:D$875,A445,'Base bordo CD'!A$2:A$875,B445,'Base bordo CD'!L$2:L$875,"FALTA DE MOTORIST*"),0)</f>
        <v>0</v>
      </c>
      <c r="O445" s="10">
        <f t="shared" si="35"/>
        <v>0.75888888888889028</v>
      </c>
      <c r="P445" s="10">
        <f>IFERROR(SUMIFS('Base bordo CD'!M$2:M$875,'Base bordo CD'!D$2:D$875,A445,'Base bordo CD'!A$2:A$875,B445),0)</f>
        <v>23.999999999999996</v>
      </c>
      <c r="Q445" s="10">
        <f>IFERROR(SUMIFS('Base bordo CD'!O$2:O$875,'Base bordo CD'!D$2:D$875,A445,'Base bordo CD'!A$2:A$875,B445,'Base bordo CD'!L$2:L$875,"CORTE DE CANA MECANIZADO"),0)</f>
        <v>7601.4</v>
      </c>
      <c r="R445" s="10">
        <f>IFERROR(SUMIFS('Base bordo CD'!Q$2:Q$875,'Base bordo CD'!D$2:D$875,A445,'Base bordo CD'!A$2:A$875,B445,'Base bordo CD'!L$2:L$875,"CORTE DE CANA MECANIZADO"),0)</f>
        <v>1880</v>
      </c>
      <c r="S445" s="30">
        <f t="shared" si="36"/>
        <v>4.0432978723404256</v>
      </c>
      <c r="T445" s="9">
        <f t="shared" si="37"/>
        <v>2.1759259259259259E-2</v>
      </c>
      <c r="U445" s="9">
        <f t="shared" si="38"/>
        <v>1.1666666666666669E-2</v>
      </c>
      <c r="V445" s="9">
        <f t="shared" si="39"/>
        <v>0.94876157407407402</v>
      </c>
    </row>
    <row r="446" spans="1:22" x14ac:dyDescent="0.35">
      <c r="A446" s="52">
        <v>49596</v>
      </c>
      <c r="B446" s="31">
        <v>46120</v>
      </c>
      <c r="C446" s="7" t="s">
        <v>337</v>
      </c>
      <c r="D446" s="7">
        <v>353</v>
      </c>
      <c r="E446" s="10">
        <f>IFERROR(SUMIFS('Base bordo CD'!M$2:M$875,'Base bordo CD'!D$2:D$875,A446,'Base bordo CD'!A$2:A$875,B446,'Base bordo CD'!L$2:L$875,"CORTE DE CANA MECANIZADO"),0)</f>
        <v>0.52222222222222214</v>
      </c>
      <c r="F446" s="10">
        <f>IFERROR(SUMIFS('Base bordo CD'!M$2:M$875,'Base bordo CD'!D$2:D$875,A446,'Base bordo CD'!A$2:A$875,B446,'Base bordo CD'!L$2:L$875,"MANOBRA"),0)</f>
        <v>0.28000000000000003</v>
      </c>
      <c r="G446" s="10">
        <f>IFERROR(SUMIFS('Base bordo CD'!M$2:M$875,'Base bordo CD'!D$2:D$875,A446,'Base bordo CD'!A$2:A$875,B446,'Base bordo CD'!L$2:L$875,"DESLOCAMENTO"),0)</f>
        <v>0.70750000000000002</v>
      </c>
      <c r="H446" s="10">
        <f>IFERROR(SUMIFS('Base bordo CD'!M$2:M$875,'Base bordo CD'!D$2:D$875,A446,'Base bordo CD'!A$2:A$875,B446,'Base bordo CD'!L$2:L$875,"AGUARDANDO MANOBRA DE TRANSBORDO"),0)+IFERROR(SUMIFS('Base bordo CD'!M$2:M$875,'Base bordo CD'!D$2:D$875,A446,'Base bordo CD'!A$2:A$875,B446,'Base bordo CD'!L$2:L$875,"FALTA DE TRANSBORDO"),0)</f>
        <v>0.1661111111111111</v>
      </c>
      <c r="I446" s="10">
        <f>IFERROR(SUMIFS('Base bordo CD'!M$2:M$875,'Base bordo CD'!D$2:D$875,A446,'Base bordo CD'!A$2:A$875,B446,'Base bordo CD'!L$2:L$875,"PARADA POR CONDICOES CLIMATICAS"),0)+IFERROR(SUMIFS('Base bordo CD'!M$2:M$875,'Base bordo CD'!D$2:D$875,A446,'Base bordo CD'!A$2:A$875,B446,'Base bordo CD'!L$2:L$875,"TEMPO INDETERMINADO"),0)</f>
        <v>21.55083333333333</v>
      </c>
      <c r="J446" s="10">
        <f>IFERROR(SUMIFS('Base bordo CD'!M$2:M$875,'Base bordo CD'!D$2:D$875,A446,'Base bordo CD'!A$2:A$875,B446,'Base bordo CD'!L$2:L$875,"LIMITAÇÃO INDÚSTRIA"),0)</f>
        <v>0</v>
      </c>
      <c r="K446" s="10">
        <f>IFERROR(SUMIFS('Base bordo CD'!M$2:M$875,'Base bordo CD'!D$2:D$875,A446,'Base bordo CD'!A$2:A$875,B446,'Base bordo CD'!L$2:L$875,"MAN CORRETIVA*"),0)+IFERROR(SUMIFS('Base bordo CD'!M$2:M$875,'Base bordo CD'!D$2:D$875,A446,'Base bordo CD'!A$2:A$875,B446,'Base bordo CD'!L$2:L$875,"AGUARDANDO MANUTENCAO*"),0)+IFERROR(SUMIFS('Base bordo CD'!M$2:M$875,'Base bordo CD'!D$2:D$875,A446,'Base bordo CD'!A$2:A$875,B446,'Base bordo CD'!L$2:L$875,"TROCA DE FAQUINHA"),0)+IFERROR(SUMIFS('Base bordo CD'!M$2:M$875,'Base bordo CD'!D$2:D$875,A446,'Base bordo CD'!A$2:A$875,B446,'Base bordo CD'!L$2:L$875,"LIMPEZA*"),0)</f>
        <v>1.4444444444444444E-2</v>
      </c>
      <c r="L446" s="10">
        <f>IFERROR(SUMIFS('Base bordo CD'!M$2:M$875,'Base bordo CD'!D$2:D$875,A446,'Base bordo CD'!A$2:A$875,B446,'Base bordo CD'!L$2:L$875,"PATIO - RESERVA"),0)</f>
        <v>0</v>
      </c>
      <c r="M446" s="10">
        <f>IFERROR(SUMIFS('Base bordo CD'!M$2:M$875,'Base bordo CD'!D$2:D$875,A446,'Base bordo CD'!A$2:A$875,B446,'Base bordo CD'!L$2:L$875,"SEM APONTAMENTO"),0)</f>
        <v>0</v>
      </c>
      <c r="N446" s="10">
        <f>IFERROR(SUMIFS('Base bordo CD'!M$2:M$875,'Base bordo CD'!D$2:D$875,A446,'Base bordo CD'!A$2:A$875,B446,'Base bordo CD'!L$2:L$875,"FALTA DE CAMINHÃO"),0)+IFERROR(SUMIFS('Base bordo CD'!M$2:M$875,'Base bordo CD'!D$2:D$875,A446,'Base bordo CD'!A$2:A$875,B446,'Base bordo CD'!L$2:L$875,"FALTA DE COMBUSTIVEL"),0)+IFERROR(SUMIFS('Base bordo CD'!M$2:M$875,'Base bordo CD'!D$2:D$875,A446,'Base bordo CD'!A$2:A$875,B446,'Base bordo CD'!L$2:L$875,"FALTA DE MOTORIST*"),0)</f>
        <v>0</v>
      </c>
      <c r="O446" s="10">
        <f t="shared" ref="O446:O509" si="40">IFERROR(P446-SUM(E446:N446),0)</f>
        <v>0.75888888888889028</v>
      </c>
      <c r="P446" s="10">
        <f>IFERROR(SUMIFS('Base bordo CD'!M$2:M$875,'Base bordo CD'!D$2:D$875,A446,'Base bordo CD'!A$2:A$875,B446),0)</f>
        <v>23.999999999999996</v>
      </c>
      <c r="Q446" s="10">
        <f>IFERROR(SUMIFS('Base bordo CD'!O$2:O$875,'Base bordo CD'!D$2:D$875,A446,'Base bordo CD'!A$2:A$875,B446,'Base bordo CD'!L$2:L$875,"CORTE DE CANA MECANIZADO"),0)</f>
        <v>7601.4</v>
      </c>
      <c r="R446" s="10">
        <f>IFERROR(SUMIFS('Base bordo CD'!Q$2:Q$875,'Base bordo CD'!D$2:D$875,A446,'Base bordo CD'!A$2:A$875,B446,'Base bordo CD'!L$2:L$875,"CORTE DE CANA MECANIZADO"),0)</f>
        <v>1880</v>
      </c>
      <c r="S446" s="30">
        <f t="shared" ref="S446:S509" si="41">IFERROR(Q446/R446,"")</f>
        <v>4.0432978723404256</v>
      </c>
      <c r="T446" s="9">
        <f t="shared" ref="T446:T509" si="42">IFERROR(E446/P446,0)</f>
        <v>2.1759259259259259E-2</v>
      </c>
      <c r="U446" s="9">
        <f t="shared" ref="U446:U509" si="43">IFERROR(F446/P446,0)</f>
        <v>1.1666666666666669E-2</v>
      </c>
      <c r="V446" s="9">
        <f t="shared" ref="V446:V509" si="44">IFERROR(1-(E446+G446)/P446,0)</f>
        <v>0.94876157407407402</v>
      </c>
    </row>
    <row r="447" spans="1:22" x14ac:dyDescent="0.35">
      <c r="A447" s="52">
        <v>49596</v>
      </c>
      <c r="B447" s="31">
        <v>46120</v>
      </c>
      <c r="C447" s="7" t="s">
        <v>337</v>
      </c>
      <c r="D447" s="7">
        <v>353</v>
      </c>
      <c r="E447" s="10">
        <f>IFERROR(SUMIFS('Base bordo CD'!M$2:M$875,'Base bordo CD'!D$2:D$875,A447,'Base bordo CD'!A$2:A$875,B447,'Base bordo CD'!L$2:L$875,"CORTE DE CANA MECANIZADO"),0)</f>
        <v>0.52222222222222214</v>
      </c>
      <c r="F447" s="10">
        <f>IFERROR(SUMIFS('Base bordo CD'!M$2:M$875,'Base bordo CD'!D$2:D$875,A447,'Base bordo CD'!A$2:A$875,B447,'Base bordo CD'!L$2:L$875,"MANOBRA"),0)</f>
        <v>0.28000000000000003</v>
      </c>
      <c r="G447" s="10">
        <f>IFERROR(SUMIFS('Base bordo CD'!M$2:M$875,'Base bordo CD'!D$2:D$875,A447,'Base bordo CD'!A$2:A$875,B447,'Base bordo CD'!L$2:L$875,"DESLOCAMENTO"),0)</f>
        <v>0.70750000000000002</v>
      </c>
      <c r="H447" s="10">
        <f>IFERROR(SUMIFS('Base bordo CD'!M$2:M$875,'Base bordo CD'!D$2:D$875,A447,'Base bordo CD'!A$2:A$875,B447,'Base bordo CD'!L$2:L$875,"AGUARDANDO MANOBRA DE TRANSBORDO"),0)+IFERROR(SUMIFS('Base bordo CD'!M$2:M$875,'Base bordo CD'!D$2:D$875,A447,'Base bordo CD'!A$2:A$875,B447,'Base bordo CD'!L$2:L$875,"FALTA DE TRANSBORDO"),0)</f>
        <v>0.1661111111111111</v>
      </c>
      <c r="I447" s="10">
        <f>IFERROR(SUMIFS('Base bordo CD'!M$2:M$875,'Base bordo CD'!D$2:D$875,A447,'Base bordo CD'!A$2:A$875,B447,'Base bordo CD'!L$2:L$875,"PARADA POR CONDICOES CLIMATICAS"),0)+IFERROR(SUMIFS('Base bordo CD'!M$2:M$875,'Base bordo CD'!D$2:D$875,A447,'Base bordo CD'!A$2:A$875,B447,'Base bordo CD'!L$2:L$875,"TEMPO INDETERMINADO"),0)</f>
        <v>21.55083333333333</v>
      </c>
      <c r="J447" s="10">
        <f>IFERROR(SUMIFS('Base bordo CD'!M$2:M$875,'Base bordo CD'!D$2:D$875,A447,'Base bordo CD'!A$2:A$875,B447,'Base bordo CD'!L$2:L$875,"LIMITAÇÃO INDÚSTRIA"),0)</f>
        <v>0</v>
      </c>
      <c r="K447" s="10">
        <f>IFERROR(SUMIFS('Base bordo CD'!M$2:M$875,'Base bordo CD'!D$2:D$875,A447,'Base bordo CD'!A$2:A$875,B447,'Base bordo CD'!L$2:L$875,"MAN CORRETIVA*"),0)+IFERROR(SUMIFS('Base bordo CD'!M$2:M$875,'Base bordo CD'!D$2:D$875,A447,'Base bordo CD'!A$2:A$875,B447,'Base bordo CD'!L$2:L$875,"AGUARDANDO MANUTENCAO*"),0)+IFERROR(SUMIFS('Base bordo CD'!M$2:M$875,'Base bordo CD'!D$2:D$875,A447,'Base bordo CD'!A$2:A$875,B447,'Base bordo CD'!L$2:L$875,"TROCA DE FAQUINHA"),0)+IFERROR(SUMIFS('Base bordo CD'!M$2:M$875,'Base bordo CD'!D$2:D$875,A447,'Base bordo CD'!A$2:A$875,B447,'Base bordo CD'!L$2:L$875,"LIMPEZA*"),0)</f>
        <v>1.4444444444444444E-2</v>
      </c>
      <c r="L447" s="10">
        <f>IFERROR(SUMIFS('Base bordo CD'!M$2:M$875,'Base bordo CD'!D$2:D$875,A447,'Base bordo CD'!A$2:A$875,B447,'Base bordo CD'!L$2:L$875,"PATIO - RESERVA"),0)</f>
        <v>0</v>
      </c>
      <c r="M447" s="10">
        <f>IFERROR(SUMIFS('Base bordo CD'!M$2:M$875,'Base bordo CD'!D$2:D$875,A447,'Base bordo CD'!A$2:A$875,B447,'Base bordo CD'!L$2:L$875,"SEM APONTAMENTO"),0)</f>
        <v>0</v>
      </c>
      <c r="N447" s="10">
        <f>IFERROR(SUMIFS('Base bordo CD'!M$2:M$875,'Base bordo CD'!D$2:D$875,A447,'Base bordo CD'!A$2:A$875,B447,'Base bordo CD'!L$2:L$875,"FALTA DE CAMINHÃO"),0)+IFERROR(SUMIFS('Base bordo CD'!M$2:M$875,'Base bordo CD'!D$2:D$875,A447,'Base bordo CD'!A$2:A$875,B447,'Base bordo CD'!L$2:L$875,"FALTA DE COMBUSTIVEL"),0)+IFERROR(SUMIFS('Base bordo CD'!M$2:M$875,'Base bordo CD'!D$2:D$875,A447,'Base bordo CD'!A$2:A$875,B447,'Base bordo CD'!L$2:L$875,"FALTA DE MOTORIST*"),0)</f>
        <v>0</v>
      </c>
      <c r="O447" s="10">
        <f t="shared" si="40"/>
        <v>0.75888888888889028</v>
      </c>
      <c r="P447" s="10">
        <f>IFERROR(SUMIFS('Base bordo CD'!M$2:M$875,'Base bordo CD'!D$2:D$875,A447,'Base bordo CD'!A$2:A$875,B447),0)</f>
        <v>23.999999999999996</v>
      </c>
      <c r="Q447" s="10">
        <f>IFERROR(SUMIFS('Base bordo CD'!O$2:O$875,'Base bordo CD'!D$2:D$875,A447,'Base bordo CD'!A$2:A$875,B447,'Base bordo CD'!L$2:L$875,"CORTE DE CANA MECANIZADO"),0)</f>
        <v>7601.4</v>
      </c>
      <c r="R447" s="10">
        <f>IFERROR(SUMIFS('Base bordo CD'!Q$2:Q$875,'Base bordo CD'!D$2:D$875,A447,'Base bordo CD'!A$2:A$875,B447,'Base bordo CD'!L$2:L$875,"CORTE DE CANA MECANIZADO"),0)</f>
        <v>1880</v>
      </c>
      <c r="S447" s="30">
        <f t="shared" si="41"/>
        <v>4.0432978723404256</v>
      </c>
      <c r="T447" s="9">
        <f t="shared" si="42"/>
        <v>2.1759259259259259E-2</v>
      </c>
      <c r="U447" s="9">
        <f t="shared" si="43"/>
        <v>1.1666666666666669E-2</v>
      </c>
      <c r="V447" s="9">
        <f t="shared" si="44"/>
        <v>0.94876157407407402</v>
      </c>
    </row>
    <row r="448" spans="1:22" x14ac:dyDescent="0.35">
      <c r="A448" s="52">
        <v>49596</v>
      </c>
      <c r="B448" s="31">
        <v>46120</v>
      </c>
      <c r="C448" s="7" t="s">
        <v>337</v>
      </c>
      <c r="D448" s="7">
        <v>353</v>
      </c>
      <c r="E448" s="10">
        <f>IFERROR(SUMIFS('Base bordo CD'!M$2:M$875,'Base bordo CD'!D$2:D$875,A448,'Base bordo CD'!A$2:A$875,B448,'Base bordo CD'!L$2:L$875,"CORTE DE CANA MECANIZADO"),0)</f>
        <v>0.52222222222222214</v>
      </c>
      <c r="F448" s="10">
        <f>IFERROR(SUMIFS('Base bordo CD'!M$2:M$875,'Base bordo CD'!D$2:D$875,A448,'Base bordo CD'!A$2:A$875,B448,'Base bordo CD'!L$2:L$875,"MANOBRA"),0)</f>
        <v>0.28000000000000003</v>
      </c>
      <c r="G448" s="10">
        <f>IFERROR(SUMIFS('Base bordo CD'!M$2:M$875,'Base bordo CD'!D$2:D$875,A448,'Base bordo CD'!A$2:A$875,B448,'Base bordo CD'!L$2:L$875,"DESLOCAMENTO"),0)</f>
        <v>0.70750000000000002</v>
      </c>
      <c r="H448" s="10">
        <f>IFERROR(SUMIFS('Base bordo CD'!M$2:M$875,'Base bordo CD'!D$2:D$875,A448,'Base bordo CD'!A$2:A$875,B448,'Base bordo CD'!L$2:L$875,"AGUARDANDO MANOBRA DE TRANSBORDO"),0)+IFERROR(SUMIFS('Base bordo CD'!M$2:M$875,'Base bordo CD'!D$2:D$875,A448,'Base bordo CD'!A$2:A$875,B448,'Base bordo CD'!L$2:L$875,"FALTA DE TRANSBORDO"),0)</f>
        <v>0.1661111111111111</v>
      </c>
      <c r="I448" s="10">
        <f>IFERROR(SUMIFS('Base bordo CD'!M$2:M$875,'Base bordo CD'!D$2:D$875,A448,'Base bordo CD'!A$2:A$875,B448,'Base bordo CD'!L$2:L$875,"PARADA POR CONDICOES CLIMATICAS"),0)+IFERROR(SUMIFS('Base bordo CD'!M$2:M$875,'Base bordo CD'!D$2:D$875,A448,'Base bordo CD'!A$2:A$875,B448,'Base bordo CD'!L$2:L$875,"TEMPO INDETERMINADO"),0)</f>
        <v>21.55083333333333</v>
      </c>
      <c r="J448" s="10">
        <f>IFERROR(SUMIFS('Base bordo CD'!M$2:M$875,'Base bordo CD'!D$2:D$875,A448,'Base bordo CD'!A$2:A$875,B448,'Base bordo CD'!L$2:L$875,"LIMITAÇÃO INDÚSTRIA"),0)</f>
        <v>0</v>
      </c>
      <c r="K448" s="10">
        <f>IFERROR(SUMIFS('Base bordo CD'!M$2:M$875,'Base bordo CD'!D$2:D$875,A448,'Base bordo CD'!A$2:A$875,B448,'Base bordo CD'!L$2:L$875,"MAN CORRETIVA*"),0)+IFERROR(SUMIFS('Base bordo CD'!M$2:M$875,'Base bordo CD'!D$2:D$875,A448,'Base bordo CD'!A$2:A$875,B448,'Base bordo CD'!L$2:L$875,"AGUARDANDO MANUTENCAO*"),0)+IFERROR(SUMIFS('Base bordo CD'!M$2:M$875,'Base bordo CD'!D$2:D$875,A448,'Base bordo CD'!A$2:A$875,B448,'Base bordo CD'!L$2:L$875,"TROCA DE FAQUINHA"),0)+IFERROR(SUMIFS('Base bordo CD'!M$2:M$875,'Base bordo CD'!D$2:D$875,A448,'Base bordo CD'!A$2:A$875,B448,'Base bordo CD'!L$2:L$875,"LIMPEZA*"),0)</f>
        <v>1.4444444444444444E-2</v>
      </c>
      <c r="L448" s="10">
        <f>IFERROR(SUMIFS('Base bordo CD'!M$2:M$875,'Base bordo CD'!D$2:D$875,A448,'Base bordo CD'!A$2:A$875,B448,'Base bordo CD'!L$2:L$875,"PATIO - RESERVA"),0)</f>
        <v>0</v>
      </c>
      <c r="M448" s="10">
        <f>IFERROR(SUMIFS('Base bordo CD'!M$2:M$875,'Base bordo CD'!D$2:D$875,A448,'Base bordo CD'!A$2:A$875,B448,'Base bordo CD'!L$2:L$875,"SEM APONTAMENTO"),0)</f>
        <v>0</v>
      </c>
      <c r="N448" s="10">
        <f>IFERROR(SUMIFS('Base bordo CD'!M$2:M$875,'Base bordo CD'!D$2:D$875,A448,'Base bordo CD'!A$2:A$875,B448,'Base bordo CD'!L$2:L$875,"FALTA DE CAMINHÃO"),0)+IFERROR(SUMIFS('Base bordo CD'!M$2:M$875,'Base bordo CD'!D$2:D$875,A448,'Base bordo CD'!A$2:A$875,B448,'Base bordo CD'!L$2:L$875,"FALTA DE COMBUSTIVEL"),0)+IFERROR(SUMIFS('Base bordo CD'!M$2:M$875,'Base bordo CD'!D$2:D$875,A448,'Base bordo CD'!A$2:A$875,B448,'Base bordo CD'!L$2:L$875,"FALTA DE MOTORIST*"),0)</f>
        <v>0</v>
      </c>
      <c r="O448" s="10">
        <f t="shared" si="40"/>
        <v>0.75888888888889028</v>
      </c>
      <c r="P448" s="10">
        <f>IFERROR(SUMIFS('Base bordo CD'!M$2:M$875,'Base bordo CD'!D$2:D$875,A448,'Base bordo CD'!A$2:A$875,B448),0)</f>
        <v>23.999999999999996</v>
      </c>
      <c r="Q448" s="10">
        <f>IFERROR(SUMIFS('Base bordo CD'!O$2:O$875,'Base bordo CD'!D$2:D$875,A448,'Base bordo CD'!A$2:A$875,B448,'Base bordo CD'!L$2:L$875,"CORTE DE CANA MECANIZADO"),0)</f>
        <v>7601.4</v>
      </c>
      <c r="R448" s="10">
        <f>IFERROR(SUMIFS('Base bordo CD'!Q$2:Q$875,'Base bordo CD'!D$2:D$875,A448,'Base bordo CD'!A$2:A$875,B448,'Base bordo CD'!L$2:L$875,"CORTE DE CANA MECANIZADO"),0)</f>
        <v>1880</v>
      </c>
      <c r="S448" s="30">
        <f t="shared" si="41"/>
        <v>4.0432978723404256</v>
      </c>
      <c r="T448" s="9">
        <f t="shared" si="42"/>
        <v>2.1759259259259259E-2</v>
      </c>
      <c r="U448" s="9">
        <f t="shared" si="43"/>
        <v>1.1666666666666669E-2</v>
      </c>
      <c r="V448" s="9">
        <f t="shared" si="44"/>
        <v>0.94876157407407402</v>
      </c>
    </row>
    <row r="449" spans="1:22" x14ac:dyDescent="0.35">
      <c r="A449" s="52">
        <v>49596</v>
      </c>
      <c r="B449" s="31">
        <v>46120</v>
      </c>
      <c r="C449" s="7" t="s">
        <v>337</v>
      </c>
      <c r="D449" s="7">
        <v>353</v>
      </c>
      <c r="E449" s="10">
        <f>IFERROR(SUMIFS('Base bordo CD'!M$2:M$875,'Base bordo CD'!D$2:D$875,A449,'Base bordo CD'!A$2:A$875,B449,'Base bordo CD'!L$2:L$875,"CORTE DE CANA MECANIZADO"),0)</f>
        <v>0.52222222222222214</v>
      </c>
      <c r="F449" s="10">
        <f>IFERROR(SUMIFS('Base bordo CD'!M$2:M$875,'Base bordo CD'!D$2:D$875,A449,'Base bordo CD'!A$2:A$875,B449,'Base bordo CD'!L$2:L$875,"MANOBRA"),0)</f>
        <v>0.28000000000000003</v>
      </c>
      <c r="G449" s="10">
        <f>IFERROR(SUMIFS('Base bordo CD'!M$2:M$875,'Base bordo CD'!D$2:D$875,A449,'Base bordo CD'!A$2:A$875,B449,'Base bordo CD'!L$2:L$875,"DESLOCAMENTO"),0)</f>
        <v>0.70750000000000002</v>
      </c>
      <c r="H449" s="10">
        <f>IFERROR(SUMIFS('Base bordo CD'!M$2:M$875,'Base bordo CD'!D$2:D$875,A449,'Base bordo CD'!A$2:A$875,B449,'Base bordo CD'!L$2:L$875,"AGUARDANDO MANOBRA DE TRANSBORDO"),0)+IFERROR(SUMIFS('Base bordo CD'!M$2:M$875,'Base bordo CD'!D$2:D$875,A449,'Base bordo CD'!A$2:A$875,B449,'Base bordo CD'!L$2:L$875,"FALTA DE TRANSBORDO"),0)</f>
        <v>0.1661111111111111</v>
      </c>
      <c r="I449" s="10">
        <f>IFERROR(SUMIFS('Base bordo CD'!M$2:M$875,'Base bordo CD'!D$2:D$875,A449,'Base bordo CD'!A$2:A$875,B449,'Base bordo CD'!L$2:L$875,"PARADA POR CONDICOES CLIMATICAS"),0)+IFERROR(SUMIFS('Base bordo CD'!M$2:M$875,'Base bordo CD'!D$2:D$875,A449,'Base bordo CD'!A$2:A$875,B449,'Base bordo CD'!L$2:L$875,"TEMPO INDETERMINADO"),0)</f>
        <v>21.55083333333333</v>
      </c>
      <c r="J449" s="10">
        <f>IFERROR(SUMIFS('Base bordo CD'!M$2:M$875,'Base bordo CD'!D$2:D$875,A449,'Base bordo CD'!A$2:A$875,B449,'Base bordo CD'!L$2:L$875,"LIMITAÇÃO INDÚSTRIA"),0)</f>
        <v>0</v>
      </c>
      <c r="K449" s="10">
        <f>IFERROR(SUMIFS('Base bordo CD'!M$2:M$875,'Base bordo CD'!D$2:D$875,A449,'Base bordo CD'!A$2:A$875,B449,'Base bordo CD'!L$2:L$875,"MAN CORRETIVA*"),0)+IFERROR(SUMIFS('Base bordo CD'!M$2:M$875,'Base bordo CD'!D$2:D$875,A449,'Base bordo CD'!A$2:A$875,B449,'Base bordo CD'!L$2:L$875,"AGUARDANDO MANUTENCAO*"),0)+IFERROR(SUMIFS('Base bordo CD'!M$2:M$875,'Base bordo CD'!D$2:D$875,A449,'Base bordo CD'!A$2:A$875,B449,'Base bordo CD'!L$2:L$875,"TROCA DE FAQUINHA"),0)+IFERROR(SUMIFS('Base bordo CD'!M$2:M$875,'Base bordo CD'!D$2:D$875,A449,'Base bordo CD'!A$2:A$875,B449,'Base bordo CD'!L$2:L$875,"LIMPEZA*"),0)</f>
        <v>1.4444444444444444E-2</v>
      </c>
      <c r="L449" s="10">
        <f>IFERROR(SUMIFS('Base bordo CD'!M$2:M$875,'Base bordo CD'!D$2:D$875,A449,'Base bordo CD'!A$2:A$875,B449,'Base bordo CD'!L$2:L$875,"PATIO - RESERVA"),0)</f>
        <v>0</v>
      </c>
      <c r="M449" s="10">
        <f>IFERROR(SUMIFS('Base bordo CD'!M$2:M$875,'Base bordo CD'!D$2:D$875,A449,'Base bordo CD'!A$2:A$875,B449,'Base bordo CD'!L$2:L$875,"SEM APONTAMENTO"),0)</f>
        <v>0</v>
      </c>
      <c r="N449" s="10">
        <f>IFERROR(SUMIFS('Base bordo CD'!M$2:M$875,'Base bordo CD'!D$2:D$875,A449,'Base bordo CD'!A$2:A$875,B449,'Base bordo CD'!L$2:L$875,"FALTA DE CAMINHÃO"),0)+IFERROR(SUMIFS('Base bordo CD'!M$2:M$875,'Base bordo CD'!D$2:D$875,A449,'Base bordo CD'!A$2:A$875,B449,'Base bordo CD'!L$2:L$875,"FALTA DE COMBUSTIVEL"),0)+IFERROR(SUMIFS('Base bordo CD'!M$2:M$875,'Base bordo CD'!D$2:D$875,A449,'Base bordo CD'!A$2:A$875,B449,'Base bordo CD'!L$2:L$875,"FALTA DE MOTORIST*"),0)</f>
        <v>0</v>
      </c>
      <c r="O449" s="10">
        <f t="shared" si="40"/>
        <v>0.75888888888889028</v>
      </c>
      <c r="P449" s="10">
        <f>IFERROR(SUMIFS('Base bordo CD'!M$2:M$875,'Base bordo CD'!D$2:D$875,A449,'Base bordo CD'!A$2:A$875,B449),0)</f>
        <v>23.999999999999996</v>
      </c>
      <c r="Q449" s="10">
        <f>IFERROR(SUMIFS('Base bordo CD'!O$2:O$875,'Base bordo CD'!D$2:D$875,A449,'Base bordo CD'!A$2:A$875,B449,'Base bordo CD'!L$2:L$875,"CORTE DE CANA MECANIZADO"),0)</f>
        <v>7601.4</v>
      </c>
      <c r="R449" s="10">
        <f>IFERROR(SUMIFS('Base bordo CD'!Q$2:Q$875,'Base bordo CD'!D$2:D$875,A449,'Base bordo CD'!A$2:A$875,B449,'Base bordo CD'!L$2:L$875,"CORTE DE CANA MECANIZADO"),0)</f>
        <v>1880</v>
      </c>
      <c r="S449" s="30">
        <f t="shared" si="41"/>
        <v>4.0432978723404256</v>
      </c>
      <c r="T449" s="9">
        <f t="shared" si="42"/>
        <v>2.1759259259259259E-2</v>
      </c>
      <c r="U449" s="9">
        <f t="shared" si="43"/>
        <v>1.1666666666666669E-2</v>
      </c>
      <c r="V449" s="9">
        <f t="shared" si="44"/>
        <v>0.94876157407407402</v>
      </c>
    </row>
    <row r="450" spans="1:22" x14ac:dyDescent="0.35">
      <c r="A450" s="52">
        <v>49596</v>
      </c>
      <c r="B450" s="31">
        <v>46120</v>
      </c>
      <c r="C450" s="7" t="s">
        <v>337</v>
      </c>
      <c r="D450" s="7">
        <v>353</v>
      </c>
      <c r="E450" s="10">
        <f>IFERROR(SUMIFS('Base bordo CD'!M$2:M$875,'Base bordo CD'!D$2:D$875,A450,'Base bordo CD'!A$2:A$875,B450,'Base bordo CD'!L$2:L$875,"CORTE DE CANA MECANIZADO"),0)</f>
        <v>0.52222222222222214</v>
      </c>
      <c r="F450" s="10">
        <f>IFERROR(SUMIFS('Base bordo CD'!M$2:M$875,'Base bordo CD'!D$2:D$875,A450,'Base bordo CD'!A$2:A$875,B450,'Base bordo CD'!L$2:L$875,"MANOBRA"),0)</f>
        <v>0.28000000000000003</v>
      </c>
      <c r="G450" s="10">
        <f>IFERROR(SUMIFS('Base bordo CD'!M$2:M$875,'Base bordo CD'!D$2:D$875,A450,'Base bordo CD'!A$2:A$875,B450,'Base bordo CD'!L$2:L$875,"DESLOCAMENTO"),0)</f>
        <v>0.70750000000000002</v>
      </c>
      <c r="H450" s="10">
        <f>IFERROR(SUMIFS('Base bordo CD'!M$2:M$875,'Base bordo CD'!D$2:D$875,A450,'Base bordo CD'!A$2:A$875,B450,'Base bordo CD'!L$2:L$875,"AGUARDANDO MANOBRA DE TRANSBORDO"),0)+IFERROR(SUMIFS('Base bordo CD'!M$2:M$875,'Base bordo CD'!D$2:D$875,A450,'Base bordo CD'!A$2:A$875,B450,'Base bordo CD'!L$2:L$875,"FALTA DE TRANSBORDO"),0)</f>
        <v>0.1661111111111111</v>
      </c>
      <c r="I450" s="10">
        <f>IFERROR(SUMIFS('Base bordo CD'!M$2:M$875,'Base bordo CD'!D$2:D$875,A450,'Base bordo CD'!A$2:A$875,B450,'Base bordo CD'!L$2:L$875,"PARADA POR CONDICOES CLIMATICAS"),0)+IFERROR(SUMIFS('Base bordo CD'!M$2:M$875,'Base bordo CD'!D$2:D$875,A450,'Base bordo CD'!A$2:A$875,B450,'Base bordo CD'!L$2:L$875,"TEMPO INDETERMINADO"),0)</f>
        <v>21.55083333333333</v>
      </c>
      <c r="J450" s="10">
        <f>IFERROR(SUMIFS('Base bordo CD'!M$2:M$875,'Base bordo CD'!D$2:D$875,A450,'Base bordo CD'!A$2:A$875,B450,'Base bordo CD'!L$2:L$875,"LIMITAÇÃO INDÚSTRIA"),0)</f>
        <v>0</v>
      </c>
      <c r="K450" s="10">
        <f>IFERROR(SUMIFS('Base bordo CD'!M$2:M$875,'Base bordo CD'!D$2:D$875,A450,'Base bordo CD'!A$2:A$875,B450,'Base bordo CD'!L$2:L$875,"MAN CORRETIVA*"),0)+IFERROR(SUMIFS('Base bordo CD'!M$2:M$875,'Base bordo CD'!D$2:D$875,A450,'Base bordo CD'!A$2:A$875,B450,'Base bordo CD'!L$2:L$875,"AGUARDANDO MANUTENCAO*"),0)+IFERROR(SUMIFS('Base bordo CD'!M$2:M$875,'Base bordo CD'!D$2:D$875,A450,'Base bordo CD'!A$2:A$875,B450,'Base bordo CD'!L$2:L$875,"TROCA DE FAQUINHA"),0)+IFERROR(SUMIFS('Base bordo CD'!M$2:M$875,'Base bordo CD'!D$2:D$875,A450,'Base bordo CD'!A$2:A$875,B450,'Base bordo CD'!L$2:L$875,"LIMPEZA*"),0)</f>
        <v>1.4444444444444444E-2</v>
      </c>
      <c r="L450" s="10">
        <f>IFERROR(SUMIFS('Base bordo CD'!M$2:M$875,'Base bordo CD'!D$2:D$875,A450,'Base bordo CD'!A$2:A$875,B450,'Base bordo CD'!L$2:L$875,"PATIO - RESERVA"),0)</f>
        <v>0</v>
      </c>
      <c r="M450" s="10">
        <f>IFERROR(SUMIFS('Base bordo CD'!M$2:M$875,'Base bordo CD'!D$2:D$875,A450,'Base bordo CD'!A$2:A$875,B450,'Base bordo CD'!L$2:L$875,"SEM APONTAMENTO"),0)</f>
        <v>0</v>
      </c>
      <c r="N450" s="10">
        <f>IFERROR(SUMIFS('Base bordo CD'!M$2:M$875,'Base bordo CD'!D$2:D$875,A450,'Base bordo CD'!A$2:A$875,B450,'Base bordo CD'!L$2:L$875,"FALTA DE CAMINHÃO"),0)+IFERROR(SUMIFS('Base bordo CD'!M$2:M$875,'Base bordo CD'!D$2:D$875,A450,'Base bordo CD'!A$2:A$875,B450,'Base bordo CD'!L$2:L$875,"FALTA DE COMBUSTIVEL"),0)+IFERROR(SUMIFS('Base bordo CD'!M$2:M$875,'Base bordo CD'!D$2:D$875,A450,'Base bordo CD'!A$2:A$875,B450,'Base bordo CD'!L$2:L$875,"FALTA DE MOTORIST*"),0)</f>
        <v>0</v>
      </c>
      <c r="O450" s="10">
        <f t="shared" si="40"/>
        <v>0.75888888888889028</v>
      </c>
      <c r="P450" s="10">
        <f>IFERROR(SUMIFS('Base bordo CD'!M$2:M$875,'Base bordo CD'!D$2:D$875,A450,'Base bordo CD'!A$2:A$875,B450),0)</f>
        <v>23.999999999999996</v>
      </c>
      <c r="Q450" s="10">
        <f>IFERROR(SUMIFS('Base bordo CD'!O$2:O$875,'Base bordo CD'!D$2:D$875,A450,'Base bordo CD'!A$2:A$875,B450,'Base bordo CD'!L$2:L$875,"CORTE DE CANA MECANIZADO"),0)</f>
        <v>7601.4</v>
      </c>
      <c r="R450" s="10">
        <f>IFERROR(SUMIFS('Base bordo CD'!Q$2:Q$875,'Base bordo CD'!D$2:D$875,A450,'Base bordo CD'!A$2:A$875,B450,'Base bordo CD'!L$2:L$875,"CORTE DE CANA MECANIZADO"),0)</f>
        <v>1880</v>
      </c>
      <c r="S450" s="30">
        <f t="shared" si="41"/>
        <v>4.0432978723404256</v>
      </c>
      <c r="T450" s="9">
        <f t="shared" si="42"/>
        <v>2.1759259259259259E-2</v>
      </c>
      <c r="U450" s="9">
        <f t="shared" si="43"/>
        <v>1.1666666666666669E-2</v>
      </c>
      <c r="V450" s="9">
        <f t="shared" si="44"/>
        <v>0.94876157407407402</v>
      </c>
    </row>
    <row r="451" spans="1:22" x14ac:dyDescent="0.35">
      <c r="A451" s="52">
        <v>49596</v>
      </c>
      <c r="B451" s="31">
        <v>46120</v>
      </c>
      <c r="C451" s="7" t="s">
        <v>337</v>
      </c>
      <c r="D451" s="7">
        <v>353</v>
      </c>
      <c r="E451" s="10">
        <f>IFERROR(SUMIFS('Base bordo CD'!M$2:M$875,'Base bordo CD'!D$2:D$875,A451,'Base bordo CD'!A$2:A$875,B451,'Base bordo CD'!L$2:L$875,"CORTE DE CANA MECANIZADO"),0)</f>
        <v>0.52222222222222214</v>
      </c>
      <c r="F451" s="10">
        <f>IFERROR(SUMIFS('Base bordo CD'!M$2:M$875,'Base bordo CD'!D$2:D$875,A451,'Base bordo CD'!A$2:A$875,B451,'Base bordo CD'!L$2:L$875,"MANOBRA"),0)</f>
        <v>0.28000000000000003</v>
      </c>
      <c r="G451" s="10">
        <f>IFERROR(SUMIFS('Base bordo CD'!M$2:M$875,'Base bordo CD'!D$2:D$875,A451,'Base bordo CD'!A$2:A$875,B451,'Base bordo CD'!L$2:L$875,"DESLOCAMENTO"),0)</f>
        <v>0.70750000000000002</v>
      </c>
      <c r="H451" s="10">
        <f>IFERROR(SUMIFS('Base bordo CD'!M$2:M$875,'Base bordo CD'!D$2:D$875,A451,'Base bordo CD'!A$2:A$875,B451,'Base bordo CD'!L$2:L$875,"AGUARDANDO MANOBRA DE TRANSBORDO"),0)+IFERROR(SUMIFS('Base bordo CD'!M$2:M$875,'Base bordo CD'!D$2:D$875,A451,'Base bordo CD'!A$2:A$875,B451,'Base bordo CD'!L$2:L$875,"FALTA DE TRANSBORDO"),0)</f>
        <v>0.1661111111111111</v>
      </c>
      <c r="I451" s="10">
        <f>IFERROR(SUMIFS('Base bordo CD'!M$2:M$875,'Base bordo CD'!D$2:D$875,A451,'Base bordo CD'!A$2:A$875,B451,'Base bordo CD'!L$2:L$875,"PARADA POR CONDICOES CLIMATICAS"),0)+IFERROR(SUMIFS('Base bordo CD'!M$2:M$875,'Base bordo CD'!D$2:D$875,A451,'Base bordo CD'!A$2:A$875,B451,'Base bordo CD'!L$2:L$875,"TEMPO INDETERMINADO"),0)</f>
        <v>21.55083333333333</v>
      </c>
      <c r="J451" s="10">
        <f>IFERROR(SUMIFS('Base bordo CD'!M$2:M$875,'Base bordo CD'!D$2:D$875,A451,'Base bordo CD'!A$2:A$875,B451,'Base bordo CD'!L$2:L$875,"LIMITAÇÃO INDÚSTRIA"),0)</f>
        <v>0</v>
      </c>
      <c r="K451" s="10">
        <f>IFERROR(SUMIFS('Base bordo CD'!M$2:M$875,'Base bordo CD'!D$2:D$875,A451,'Base bordo CD'!A$2:A$875,B451,'Base bordo CD'!L$2:L$875,"MAN CORRETIVA*"),0)+IFERROR(SUMIFS('Base bordo CD'!M$2:M$875,'Base bordo CD'!D$2:D$875,A451,'Base bordo CD'!A$2:A$875,B451,'Base bordo CD'!L$2:L$875,"AGUARDANDO MANUTENCAO*"),0)+IFERROR(SUMIFS('Base bordo CD'!M$2:M$875,'Base bordo CD'!D$2:D$875,A451,'Base bordo CD'!A$2:A$875,B451,'Base bordo CD'!L$2:L$875,"TROCA DE FAQUINHA"),0)+IFERROR(SUMIFS('Base bordo CD'!M$2:M$875,'Base bordo CD'!D$2:D$875,A451,'Base bordo CD'!A$2:A$875,B451,'Base bordo CD'!L$2:L$875,"LIMPEZA*"),0)</f>
        <v>1.4444444444444444E-2</v>
      </c>
      <c r="L451" s="10">
        <f>IFERROR(SUMIFS('Base bordo CD'!M$2:M$875,'Base bordo CD'!D$2:D$875,A451,'Base bordo CD'!A$2:A$875,B451,'Base bordo CD'!L$2:L$875,"PATIO - RESERVA"),0)</f>
        <v>0</v>
      </c>
      <c r="M451" s="10">
        <f>IFERROR(SUMIFS('Base bordo CD'!M$2:M$875,'Base bordo CD'!D$2:D$875,A451,'Base bordo CD'!A$2:A$875,B451,'Base bordo CD'!L$2:L$875,"SEM APONTAMENTO"),0)</f>
        <v>0</v>
      </c>
      <c r="N451" s="10">
        <f>IFERROR(SUMIFS('Base bordo CD'!M$2:M$875,'Base bordo CD'!D$2:D$875,A451,'Base bordo CD'!A$2:A$875,B451,'Base bordo CD'!L$2:L$875,"FALTA DE CAMINHÃO"),0)+IFERROR(SUMIFS('Base bordo CD'!M$2:M$875,'Base bordo CD'!D$2:D$875,A451,'Base bordo CD'!A$2:A$875,B451,'Base bordo CD'!L$2:L$875,"FALTA DE COMBUSTIVEL"),0)+IFERROR(SUMIFS('Base bordo CD'!M$2:M$875,'Base bordo CD'!D$2:D$875,A451,'Base bordo CD'!A$2:A$875,B451,'Base bordo CD'!L$2:L$875,"FALTA DE MOTORIST*"),0)</f>
        <v>0</v>
      </c>
      <c r="O451" s="10">
        <f t="shared" si="40"/>
        <v>0.75888888888889028</v>
      </c>
      <c r="P451" s="10">
        <f>IFERROR(SUMIFS('Base bordo CD'!M$2:M$875,'Base bordo CD'!D$2:D$875,A451,'Base bordo CD'!A$2:A$875,B451),0)</f>
        <v>23.999999999999996</v>
      </c>
      <c r="Q451" s="10">
        <f>IFERROR(SUMIFS('Base bordo CD'!O$2:O$875,'Base bordo CD'!D$2:D$875,A451,'Base bordo CD'!A$2:A$875,B451,'Base bordo CD'!L$2:L$875,"CORTE DE CANA MECANIZADO"),0)</f>
        <v>7601.4</v>
      </c>
      <c r="R451" s="10">
        <f>IFERROR(SUMIFS('Base bordo CD'!Q$2:Q$875,'Base bordo CD'!D$2:D$875,A451,'Base bordo CD'!A$2:A$875,B451,'Base bordo CD'!L$2:L$875,"CORTE DE CANA MECANIZADO"),0)</f>
        <v>1880</v>
      </c>
      <c r="S451" s="30">
        <f t="shared" si="41"/>
        <v>4.0432978723404256</v>
      </c>
      <c r="T451" s="9">
        <f t="shared" si="42"/>
        <v>2.1759259259259259E-2</v>
      </c>
      <c r="U451" s="9">
        <f t="shared" si="43"/>
        <v>1.1666666666666669E-2</v>
      </c>
      <c r="V451" s="9">
        <f t="shared" si="44"/>
        <v>0.94876157407407402</v>
      </c>
    </row>
    <row r="452" spans="1:22" x14ac:dyDescent="0.35">
      <c r="A452" s="52">
        <v>49596</v>
      </c>
      <c r="B452" s="31">
        <v>46120</v>
      </c>
      <c r="C452" s="7" t="s">
        <v>337</v>
      </c>
      <c r="D452" s="7">
        <v>353</v>
      </c>
      <c r="E452" s="10">
        <f>IFERROR(SUMIFS('Base bordo CD'!M$2:M$875,'Base bordo CD'!D$2:D$875,A452,'Base bordo CD'!A$2:A$875,B452,'Base bordo CD'!L$2:L$875,"CORTE DE CANA MECANIZADO"),0)</f>
        <v>0.52222222222222214</v>
      </c>
      <c r="F452" s="10">
        <f>IFERROR(SUMIFS('Base bordo CD'!M$2:M$875,'Base bordo CD'!D$2:D$875,A452,'Base bordo CD'!A$2:A$875,B452,'Base bordo CD'!L$2:L$875,"MANOBRA"),0)</f>
        <v>0.28000000000000003</v>
      </c>
      <c r="G452" s="10">
        <f>IFERROR(SUMIFS('Base bordo CD'!M$2:M$875,'Base bordo CD'!D$2:D$875,A452,'Base bordo CD'!A$2:A$875,B452,'Base bordo CD'!L$2:L$875,"DESLOCAMENTO"),0)</f>
        <v>0.70750000000000002</v>
      </c>
      <c r="H452" s="10">
        <f>IFERROR(SUMIFS('Base bordo CD'!M$2:M$875,'Base bordo CD'!D$2:D$875,A452,'Base bordo CD'!A$2:A$875,B452,'Base bordo CD'!L$2:L$875,"AGUARDANDO MANOBRA DE TRANSBORDO"),0)+IFERROR(SUMIFS('Base bordo CD'!M$2:M$875,'Base bordo CD'!D$2:D$875,A452,'Base bordo CD'!A$2:A$875,B452,'Base bordo CD'!L$2:L$875,"FALTA DE TRANSBORDO"),0)</f>
        <v>0.1661111111111111</v>
      </c>
      <c r="I452" s="10">
        <f>IFERROR(SUMIFS('Base bordo CD'!M$2:M$875,'Base bordo CD'!D$2:D$875,A452,'Base bordo CD'!A$2:A$875,B452,'Base bordo CD'!L$2:L$875,"PARADA POR CONDICOES CLIMATICAS"),0)+IFERROR(SUMIFS('Base bordo CD'!M$2:M$875,'Base bordo CD'!D$2:D$875,A452,'Base bordo CD'!A$2:A$875,B452,'Base bordo CD'!L$2:L$875,"TEMPO INDETERMINADO"),0)</f>
        <v>21.55083333333333</v>
      </c>
      <c r="J452" s="10">
        <f>IFERROR(SUMIFS('Base bordo CD'!M$2:M$875,'Base bordo CD'!D$2:D$875,A452,'Base bordo CD'!A$2:A$875,B452,'Base bordo CD'!L$2:L$875,"LIMITAÇÃO INDÚSTRIA"),0)</f>
        <v>0</v>
      </c>
      <c r="K452" s="10">
        <f>IFERROR(SUMIFS('Base bordo CD'!M$2:M$875,'Base bordo CD'!D$2:D$875,A452,'Base bordo CD'!A$2:A$875,B452,'Base bordo CD'!L$2:L$875,"MAN CORRETIVA*"),0)+IFERROR(SUMIFS('Base bordo CD'!M$2:M$875,'Base bordo CD'!D$2:D$875,A452,'Base bordo CD'!A$2:A$875,B452,'Base bordo CD'!L$2:L$875,"AGUARDANDO MANUTENCAO*"),0)+IFERROR(SUMIFS('Base bordo CD'!M$2:M$875,'Base bordo CD'!D$2:D$875,A452,'Base bordo CD'!A$2:A$875,B452,'Base bordo CD'!L$2:L$875,"TROCA DE FAQUINHA"),0)+IFERROR(SUMIFS('Base bordo CD'!M$2:M$875,'Base bordo CD'!D$2:D$875,A452,'Base bordo CD'!A$2:A$875,B452,'Base bordo CD'!L$2:L$875,"LIMPEZA*"),0)</f>
        <v>1.4444444444444444E-2</v>
      </c>
      <c r="L452" s="10">
        <f>IFERROR(SUMIFS('Base bordo CD'!M$2:M$875,'Base bordo CD'!D$2:D$875,A452,'Base bordo CD'!A$2:A$875,B452,'Base bordo CD'!L$2:L$875,"PATIO - RESERVA"),0)</f>
        <v>0</v>
      </c>
      <c r="M452" s="10">
        <f>IFERROR(SUMIFS('Base bordo CD'!M$2:M$875,'Base bordo CD'!D$2:D$875,A452,'Base bordo CD'!A$2:A$875,B452,'Base bordo CD'!L$2:L$875,"SEM APONTAMENTO"),0)</f>
        <v>0</v>
      </c>
      <c r="N452" s="10">
        <f>IFERROR(SUMIFS('Base bordo CD'!M$2:M$875,'Base bordo CD'!D$2:D$875,A452,'Base bordo CD'!A$2:A$875,B452,'Base bordo CD'!L$2:L$875,"FALTA DE CAMINHÃO"),0)+IFERROR(SUMIFS('Base bordo CD'!M$2:M$875,'Base bordo CD'!D$2:D$875,A452,'Base bordo CD'!A$2:A$875,B452,'Base bordo CD'!L$2:L$875,"FALTA DE COMBUSTIVEL"),0)+IFERROR(SUMIFS('Base bordo CD'!M$2:M$875,'Base bordo CD'!D$2:D$875,A452,'Base bordo CD'!A$2:A$875,B452,'Base bordo CD'!L$2:L$875,"FALTA DE MOTORIST*"),0)</f>
        <v>0</v>
      </c>
      <c r="O452" s="10">
        <f t="shared" si="40"/>
        <v>0.75888888888889028</v>
      </c>
      <c r="P452" s="10">
        <f>IFERROR(SUMIFS('Base bordo CD'!M$2:M$875,'Base bordo CD'!D$2:D$875,A452,'Base bordo CD'!A$2:A$875,B452),0)</f>
        <v>23.999999999999996</v>
      </c>
      <c r="Q452" s="10">
        <f>IFERROR(SUMIFS('Base bordo CD'!O$2:O$875,'Base bordo CD'!D$2:D$875,A452,'Base bordo CD'!A$2:A$875,B452,'Base bordo CD'!L$2:L$875,"CORTE DE CANA MECANIZADO"),0)</f>
        <v>7601.4</v>
      </c>
      <c r="R452" s="10">
        <f>IFERROR(SUMIFS('Base bordo CD'!Q$2:Q$875,'Base bordo CD'!D$2:D$875,A452,'Base bordo CD'!A$2:A$875,B452,'Base bordo CD'!L$2:L$875,"CORTE DE CANA MECANIZADO"),0)</f>
        <v>1880</v>
      </c>
      <c r="S452" s="30">
        <f t="shared" si="41"/>
        <v>4.0432978723404256</v>
      </c>
      <c r="T452" s="9">
        <f t="shared" si="42"/>
        <v>2.1759259259259259E-2</v>
      </c>
      <c r="U452" s="9">
        <f t="shared" si="43"/>
        <v>1.1666666666666669E-2</v>
      </c>
      <c r="V452" s="9">
        <f t="shared" si="44"/>
        <v>0.94876157407407402</v>
      </c>
    </row>
    <row r="453" spans="1:22" x14ac:dyDescent="0.35">
      <c r="A453" s="52">
        <v>49596</v>
      </c>
      <c r="B453" s="31">
        <v>46120</v>
      </c>
      <c r="C453" s="7" t="s">
        <v>337</v>
      </c>
      <c r="D453" s="7">
        <v>353</v>
      </c>
      <c r="E453" s="10">
        <f>IFERROR(SUMIFS('Base bordo CD'!M$2:M$875,'Base bordo CD'!D$2:D$875,A453,'Base bordo CD'!A$2:A$875,B453,'Base bordo CD'!L$2:L$875,"CORTE DE CANA MECANIZADO"),0)</f>
        <v>0.52222222222222214</v>
      </c>
      <c r="F453" s="10">
        <f>IFERROR(SUMIFS('Base bordo CD'!M$2:M$875,'Base bordo CD'!D$2:D$875,A453,'Base bordo CD'!A$2:A$875,B453,'Base bordo CD'!L$2:L$875,"MANOBRA"),0)</f>
        <v>0.28000000000000003</v>
      </c>
      <c r="G453" s="10">
        <f>IFERROR(SUMIFS('Base bordo CD'!M$2:M$875,'Base bordo CD'!D$2:D$875,A453,'Base bordo CD'!A$2:A$875,B453,'Base bordo CD'!L$2:L$875,"DESLOCAMENTO"),0)</f>
        <v>0.70750000000000002</v>
      </c>
      <c r="H453" s="10">
        <f>IFERROR(SUMIFS('Base bordo CD'!M$2:M$875,'Base bordo CD'!D$2:D$875,A453,'Base bordo CD'!A$2:A$875,B453,'Base bordo CD'!L$2:L$875,"AGUARDANDO MANOBRA DE TRANSBORDO"),0)+IFERROR(SUMIFS('Base bordo CD'!M$2:M$875,'Base bordo CD'!D$2:D$875,A453,'Base bordo CD'!A$2:A$875,B453,'Base bordo CD'!L$2:L$875,"FALTA DE TRANSBORDO"),0)</f>
        <v>0.1661111111111111</v>
      </c>
      <c r="I453" s="10">
        <f>IFERROR(SUMIFS('Base bordo CD'!M$2:M$875,'Base bordo CD'!D$2:D$875,A453,'Base bordo CD'!A$2:A$875,B453,'Base bordo CD'!L$2:L$875,"PARADA POR CONDICOES CLIMATICAS"),0)+IFERROR(SUMIFS('Base bordo CD'!M$2:M$875,'Base bordo CD'!D$2:D$875,A453,'Base bordo CD'!A$2:A$875,B453,'Base bordo CD'!L$2:L$875,"TEMPO INDETERMINADO"),0)</f>
        <v>21.55083333333333</v>
      </c>
      <c r="J453" s="10">
        <f>IFERROR(SUMIFS('Base bordo CD'!M$2:M$875,'Base bordo CD'!D$2:D$875,A453,'Base bordo CD'!A$2:A$875,B453,'Base bordo CD'!L$2:L$875,"LIMITAÇÃO INDÚSTRIA"),0)</f>
        <v>0</v>
      </c>
      <c r="K453" s="10">
        <f>IFERROR(SUMIFS('Base bordo CD'!M$2:M$875,'Base bordo CD'!D$2:D$875,A453,'Base bordo CD'!A$2:A$875,B453,'Base bordo CD'!L$2:L$875,"MAN CORRETIVA*"),0)+IFERROR(SUMIFS('Base bordo CD'!M$2:M$875,'Base bordo CD'!D$2:D$875,A453,'Base bordo CD'!A$2:A$875,B453,'Base bordo CD'!L$2:L$875,"AGUARDANDO MANUTENCAO*"),0)+IFERROR(SUMIFS('Base bordo CD'!M$2:M$875,'Base bordo CD'!D$2:D$875,A453,'Base bordo CD'!A$2:A$875,B453,'Base bordo CD'!L$2:L$875,"TROCA DE FAQUINHA"),0)+IFERROR(SUMIFS('Base bordo CD'!M$2:M$875,'Base bordo CD'!D$2:D$875,A453,'Base bordo CD'!A$2:A$875,B453,'Base bordo CD'!L$2:L$875,"LIMPEZA*"),0)</f>
        <v>1.4444444444444444E-2</v>
      </c>
      <c r="L453" s="10">
        <f>IFERROR(SUMIFS('Base bordo CD'!M$2:M$875,'Base bordo CD'!D$2:D$875,A453,'Base bordo CD'!A$2:A$875,B453,'Base bordo CD'!L$2:L$875,"PATIO - RESERVA"),0)</f>
        <v>0</v>
      </c>
      <c r="M453" s="10">
        <f>IFERROR(SUMIFS('Base bordo CD'!M$2:M$875,'Base bordo CD'!D$2:D$875,A453,'Base bordo CD'!A$2:A$875,B453,'Base bordo CD'!L$2:L$875,"SEM APONTAMENTO"),0)</f>
        <v>0</v>
      </c>
      <c r="N453" s="10">
        <f>IFERROR(SUMIFS('Base bordo CD'!M$2:M$875,'Base bordo CD'!D$2:D$875,A453,'Base bordo CD'!A$2:A$875,B453,'Base bordo CD'!L$2:L$875,"FALTA DE CAMINHÃO"),0)+IFERROR(SUMIFS('Base bordo CD'!M$2:M$875,'Base bordo CD'!D$2:D$875,A453,'Base bordo CD'!A$2:A$875,B453,'Base bordo CD'!L$2:L$875,"FALTA DE COMBUSTIVEL"),0)+IFERROR(SUMIFS('Base bordo CD'!M$2:M$875,'Base bordo CD'!D$2:D$875,A453,'Base bordo CD'!A$2:A$875,B453,'Base bordo CD'!L$2:L$875,"FALTA DE MOTORIST*"),0)</f>
        <v>0</v>
      </c>
      <c r="O453" s="10">
        <f t="shared" si="40"/>
        <v>0.75888888888889028</v>
      </c>
      <c r="P453" s="10">
        <f>IFERROR(SUMIFS('Base bordo CD'!M$2:M$875,'Base bordo CD'!D$2:D$875,A453,'Base bordo CD'!A$2:A$875,B453),0)</f>
        <v>23.999999999999996</v>
      </c>
      <c r="Q453" s="10">
        <f>IFERROR(SUMIFS('Base bordo CD'!O$2:O$875,'Base bordo CD'!D$2:D$875,A453,'Base bordo CD'!A$2:A$875,B453,'Base bordo CD'!L$2:L$875,"CORTE DE CANA MECANIZADO"),0)</f>
        <v>7601.4</v>
      </c>
      <c r="R453" s="10">
        <f>IFERROR(SUMIFS('Base bordo CD'!Q$2:Q$875,'Base bordo CD'!D$2:D$875,A453,'Base bordo CD'!A$2:A$875,B453,'Base bordo CD'!L$2:L$875,"CORTE DE CANA MECANIZADO"),0)</f>
        <v>1880</v>
      </c>
      <c r="S453" s="30">
        <f t="shared" si="41"/>
        <v>4.0432978723404256</v>
      </c>
      <c r="T453" s="9">
        <f t="shared" si="42"/>
        <v>2.1759259259259259E-2</v>
      </c>
      <c r="U453" s="9">
        <f t="shared" si="43"/>
        <v>1.1666666666666669E-2</v>
      </c>
      <c r="V453" s="9">
        <f t="shared" si="44"/>
        <v>0.94876157407407402</v>
      </c>
    </row>
    <row r="454" spans="1:22" x14ac:dyDescent="0.35">
      <c r="A454" s="52">
        <v>49596</v>
      </c>
      <c r="B454" s="31">
        <v>46120</v>
      </c>
      <c r="C454" s="7" t="s">
        <v>337</v>
      </c>
      <c r="D454" s="7">
        <v>353</v>
      </c>
      <c r="E454" s="10">
        <f>IFERROR(SUMIFS('Base bordo CD'!M$2:M$875,'Base bordo CD'!D$2:D$875,A454,'Base bordo CD'!A$2:A$875,B454,'Base bordo CD'!L$2:L$875,"CORTE DE CANA MECANIZADO"),0)</f>
        <v>0.52222222222222214</v>
      </c>
      <c r="F454" s="10">
        <f>IFERROR(SUMIFS('Base bordo CD'!M$2:M$875,'Base bordo CD'!D$2:D$875,A454,'Base bordo CD'!A$2:A$875,B454,'Base bordo CD'!L$2:L$875,"MANOBRA"),0)</f>
        <v>0.28000000000000003</v>
      </c>
      <c r="G454" s="10">
        <f>IFERROR(SUMIFS('Base bordo CD'!M$2:M$875,'Base bordo CD'!D$2:D$875,A454,'Base bordo CD'!A$2:A$875,B454,'Base bordo CD'!L$2:L$875,"DESLOCAMENTO"),0)</f>
        <v>0.70750000000000002</v>
      </c>
      <c r="H454" s="10">
        <f>IFERROR(SUMIFS('Base bordo CD'!M$2:M$875,'Base bordo CD'!D$2:D$875,A454,'Base bordo CD'!A$2:A$875,B454,'Base bordo CD'!L$2:L$875,"AGUARDANDO MANOBRA DE TRANSBORDO"),0)+IFERROR(SUMIFS('Base bordo CD'!M$2:M$875,'Base bordo CD'!D$2:D$875,A454,'Base bordo CD'!A$2:A$875,B454,'Base bordo CD'!L$2:L$875,"FALTA DE TRANSBORDO"),0)</f>
        <v>0.1661111111111111</v>
      </c>
      <c r="I454" s="10">
        <f>IFERROR(SUMIFS('Base bordo CD'!M$2:M$875,'Base bordo CD'!D$2:D$875,A454,'Base bordo CD'!A$2:A$875,B454,'Base bordo CD'!L$2:L$875,"PARADA POR CONDICOES CLIMATICAS"),0)+IFERROR(SUMIFS('Base bordo CD'!M$2:M$875,'Base bordo CD'!D$2:D$875,A454,'Base bordo CD'!A$2:A$875,B454,'Base bordo CD'!L$2:L$875,"TEMPO INDETERMINADO"),0)</f>
        <v>21.55083333333333</v>
      </c>
      <c r="J454" s="10">
        <f>IFERROR(SUMIFS('Base bordo CD'!M$2:M$875,'Base bordo CD'!D$2:D$875,A454,'Base bordo CD'!A$2:A$875,B454,'Base bordo CD'!L$2:L$875,"LIMITAÇÃO INDÚSTRIA"),0)</f>
        <v>0</v>
      </c>
      <c r="K454" s="10">
        <f>IFERROR(SUMIFS('Base bordo CD'!M$2:M$875,'Base bordo CD'!D$2:D$875,A454,'Base bordo CD'!A$2:A$875,B454,'Base bordo CD'!L$2:L$875,"MAN CORRETIVA*"),0)+IFERROR(SUMIFS('Base bordo CD'!M$2:M$875,'Base bordo CD'!D$2:D$875,A454,'Base bordo CD'!A$2:A$875,B454,'Base bordo CD'!L$2:L$875,"AGUARDANDO MANUTENCAO*"),0)+IFERROR(SUMIFS('Base bordo CD'!M$2:M$875,'Base bordo CD'!D$2:D$875,A454,'Base bordo CD'!A$2:A$875,B454,'Base bordo CD'!L$2:L$875,"TROCA DE FAQUINHA"),0)+IFERROR(SUMIFS('Base bordo CD'!M$2:M$875,'Base bordo CD'!D$2:D$875,A454,'Base bordo CD'!A$2:A$875,B454,'Base bordo CD'!L$2:L$875,"LIMPEZA*"),0)</f>
        <v>1.4444444444444444E-2</v>
      </c>
      <c r="L454" s="10">
        <f>IFERROR(SUMIFS('Base bordo CD'!M$2:M$875,'Base bordo CD'!D$2:D$875,A454,'Base bordo CD'!A$2:A$875,B454,'Base bordo CD'!L$2:L$875,"PATIO - RESERVA"),0)</f>
        <v>0</v>
      </c>
      <c r="M454" s="10">
        <f>IFERROR(SUMIFS('Base bordo CD'!M$2:M$875,'Base bordo CD'!D$2:D$875,A454,'Base bordo CD'!A$2:A$875,B454,'Base bordo CD'!L$2:L$875,"SEM APONTAMENTO"),0)</f>
        <v>0</v>
      </c>
      <c r="N454" s="10">
        <f>IFERROR(SUMIFS('Base bordo CD'!M$2:M$875,'Base bordo CD'!D$2:D$875,A454,'Base bordo CD'!A$2:A$875,B454,'Base bordo CD'!L$2:L$875,"FALTA DE CAMINHÃO"),0)+IFERROR(SUMIFS('Base bordo CD'!M$2:M$875,'Base bordo CD'!D$2:D$875,A454,'Base bordo CD'!A$2:A$875,B454,'Base bordo CD'!L$2:L$875,"FALTA DE COMBUSTIVEL"),0)+IFERROR(SUMIFS('Base bordo CD'!M$2:M$875,'Base bordo CD'!D$2:D$875,A454,'Base bordo CD'!A$2:A$875,B454,'Base bordo CD'!L$2:L$875,"FALTA DE MOTORIST*"),0)</f>
        <v>0</v>
      </c>
      <c r="O454" s="10">
        <f t="shared" si="40"/>
        <v>0.75888888888889028</v>
      </c>
      <c r="P454" s="10">
        <f>IFERROR(SUMIFS('Base bordo CD'!M$2:M$875,'Base bordo CD'!D$2:D$875,A454,'Base bordo CD'!A$2:A$875,B454),0)</f>
        <v>23.999999999999996</v>
      </c>
      <c r="Q454" s="10">
        <f>IFERROR(SUMIFS('Base bordo CD'!O$2:O$875,'Base bordo CD'!D$2:D$875,A454,'Base bordo CD'!A$2:A$875,B454,'Base bordo CD'!L$2:L$875,"CORTE DE CANA MECANIZADO"),0)</f>
        <v>7601.4</v>
      </c>
      <c r="R454" s="10">
        <f>IFERROR(SUMIFS('Base bordo CD'!Q$2:Q$875,'Base bordo CD'!D$2:D$875,A454,'Base bordo CD'!A$2:A$875,B454,'Base bordo CD'!L$2:L$875,"CORTE DE CANA MECANIZADO"),0)</f>
        <v>1880</v>
      </c>
      <c r="S454" s="30">
        <f t="shared" si="41"/>
        <v>4.0432978723404256</v>
      </c>
      <c r="T454" s="9">
        <f t="shared" si="42"/>
        <v>2.1759259259259259E-2</v>
      </c>
      <c r="U454" s="9">
        <f t="shared" si="43"/>
        <v>1.1666666666666669E-2</v>
      </c>
      <c r="V454" s="9">
        <f t="shared" si="44"/>
        <v>0.94876157407407402</v>
      </c>
    </row>
    <row r="455" spans="1:22" x14ac:dyDescent="0.35">
      <c r="A455" s="52">
        <v>49596</v>
      </c>
      <c r="B455" s="31">
        <v>46120</v>
      </c>
      <c r="C455" s="7" t="s">
        <v>337</v>
      </c>
      <c r="D455" s="7">
        <v>353</v>
      </c>
      <c r="E455" s="10">
        <f>IFERROR(SUMIFS('Base bordo CD'!M$2:M$875,'Base bordo CD'!D$2:D$875,A455,'Base bordo CD'!A$2:A$875,B455,'Base bordo CD'!L$2:L$875,"CORTE DE CANA MECANIZADO"),0)</f>
        <v>0.52222222222222214</v>
      </c>
      <c r="F455" s="10">
        <f>IFERROR(SUMIFS('Base bordo CD'!M$2:M$875,'Base bordo CD'!D$2:D$875,A455,'Base bordo CD'!A$2:A$875,B455,'Base bordo CD'!L$2:L$875,"MANOBRA"),0)</f>
        <v>0.28000000000000003</v>
      </c>
      <c r="G455" s="10">
        <f>IFERROR(SUMIFS('Base bordo CD'!M$2:M$875,'Base bordo CD'!D$2:D$875,A455,'Base bordo CD'!A$2:A$875,B455,'Base bordo CD'!L$2:L$875,"DESLOCAMENTO"),0)</f>
        <v>0.70750000000000002</v>
      </c>
      <c r="H455" s="10">
        <f>IFERROR(SUMIFS('Base bordo CD'!M$2:M$875,'Base bordo CD'!D$2:D$875,A455,'Base bordo CD'!A$2:A$875,B455,'Base bordo CD'!L$2:L$875,"AGUARDANDO MANOBRA DE TRANSBORDO"),0)+IFERROR(SUMIFS('Base bordo CD'!M$2:M$875,'Base bordo CD'!D$2:D$875,A455,'Base bordo CD'!A$2:A$875,B455,'Base bordo CD'!L$2:L$875,"FALTA DE TRANSBORDO"),0)</f>
        <v>0.1661111111111111</v>
      </c>
      <c r="I455" s="10">
        <f>IFERROR(SUMIFS('Base bordo CD'!M$2:M$875,'Base bordo CD'!D$2:D$875,A455,'Base bordo CD'!A$2:A$875,B455,'Base bordo CD'!L$2:L$875,"PARADA POR CONDICOES CLIMATICAS"),0)+IFERROR(SUMIFS('Base bordo CD'!M$2:M$875,'Base bordo CD'!D$2:D$875,A455,'Base bordo CD'!A$2:A$875,B455,'Base bordo CD'!L$2:L$875,"TEMPO INDETERMINADO"),0)</f>
        <v>21.55083333333333</v>
      </c>
      <c r="J455" s="10">
        <f>IFERROR(SUMIFS('Base bordo CD'!M$2:M$875,'Base bordo CD'!D$2:D$875,A455,'Base bordo CD'!A$2:A$875,B455,'Base bordo CD'!L$2:L$875,"LIMITAÇÃO INDÚSTRIA"),0)</f>
        <v>0</v>
      </c>
      <c r="K455" s="10">
        <f>IFERROR(SUMIFS('Base bordo CD'!M$2:M$875,'Base bordo CD'!D$2:D$875,A455,'Base bordo CD'!A$2:A$875,B455,'Base bordo CD'!L$2:L$875,"MAN CORRETIVA*"),0)+IFERROR(SUMIFS('Base bordo CD'!M$2:M$875,'Base bordo CD'!D$2:D$875,A455,'Base bordo CD'!A$2:A$875,B455,'Base bordo CD'!L$2:L$875,"AGUARDANDO MANUTENCAO*"),0)+IFERROR(SUMIFS('Base bordo CD'!M$2:M$875,'Base bordo CD'!D$2:D$875,A455,'Base bordo CD'!A$2:A$875,B455,'Base bordo CD'!L$2:L$875,"TROCA DE FAQUINHA"),0)+IFERROR(SUMIFS('Base bordo CD'!M$2:M$875,'Base bordo CD'!D$2:D$875,A455,'Base bordo CD'!A$2:A$875,B455,'Base bordo CD'!L$2:L$875,"LIMPEZA*"),0)</f>
        <v>1.4444444444444444E-2</v>
      </c>
      <c r="L455" s="10">
        <f>IFERROR(SUMIFS('Base bordo CD'!M$2:M$875,'Base bordo CD'!D$2:D$875,A455,'Base bordo CD'!A$2:A$875,B455,'Base bordo CD'!L$2:L$875,"PATIO - RESERVA"),0)</f>
        <v>0</v>
      </c>
      <c r="M455" s="10">
        <f>IFERROR(SUMIFS('Base bordo CD'!M$2:M$875,'Base bordo CD'!D$2:D$875,A455,'Base bordo CD'!A$2:A$875,B455,'Base bordo CD'!L$2:L$875,"SEM APONTAMENTO"),0)</f>
        <v>0</v>
      </c>
      <c r="N455" s="10">
        <f>IFERROR(SUMIFS('Base bordo CD'!M$2:M$875,'Base bordo CD'!D$2:D$875,A455,'Base bordo CD'!A$2:A$875,B455,'Base bordo CD'!L$2:L$875,"FALTA DE CAMINHÃO"),0)+IFERROR(SUMIFS('Base bordo CD'!M$2:M$875,'Base bordo CD'!D$2:D$875,A455,'Base bordo CD'!A$2:A$875,B455,'Base bordo CD'!L$2:L$875,"FALTA DE COMBUSTIVEL"),0)+IFERROR(SUMIFS('Base bordo CD'!M$2:M$875,'Base bordo CD'!D$2:D$875,A455,'Base bordo CD'!A$2:A$875,B455,'Base bordo CD'!L$2:L$875,"FALTA DE MOTORIST*"),0)</f>
        <v>0</v>
      </c>
      <c r="O455" s="10">
        <f t="shared" si="40"/>
        <v>0.75888888888889028</v>
      </c>
      <c r="P455" s="10">
        <f>IFERROR(SUMIFS('Base bordo CD'!M$2:M$875,'Base bordo CD'!D$2:D$875,A455,'Base bordo CD'!A$2:A$875,B455),0)</f>
        <v>23.999999999999996</v>
      </c>
      <c r="Q455" s="10">
        <f>IFERROR(SUMIFS('Base bordo CD'!O$2:O$875,'Base bordo CD'!D$2:D$875,A455,'Base bordo CD'!A$2:A$875,B455,'Base bordo CD'!L$2:L$875,"CORTE DE CANA MECANIZADO"),0)</f>
        <v>7601.4</v>
      </c>
      <c r="R455" s="10">
        <f>IFERROR(SUMIFS('Base bordo CD'!Q$2:Q$875,'Base bordo CD'!D$2:D$875,A455,'Base bordo CD'!A$2:A$875,B455,'Base bordo CD'!L$2:L$875,"CORTE DE CANA MECANIZADO"),0)</f>
        <v>1880</v>
      </c>
      <c r="S455" s="30">
        <f t="shared" si="41"/>
        <v>4.0432978723404256</v>
      </c>
      <c r="T455" s="9">
        <f t="shared" si="42"/>
        <v>2.1759259259259259E-2</v>
      </c>
      <c r="U455" s="9">
        <f t="shared" si="43"/>
        <v>1.1666666666666669E-2</v>
      </c>
      <c r="V455" s="9">
        <f t="shared" si="44"/>
        <v>0.94876157407407402</v>
      </c>
    </row>
    <row r="456" spans="1:22" x14ac:dyDescent="0.35">
      <c r="A456" s="52">
        <v>49596</v>
      </c>
      <c r="B456" s="31">
        <v>46120</v>
      </c>
      <c r="C456" s="7" t="s">
        <v>337</v>
      </c>
      <c r="D456" s="7">
        <v>353</v>
      </c>
      <c r="E456" s="10">
        <f>IFERROR(SUMIFS('Base bordo CD'!M$2:M$875,'Base bordo CD'!D$2:D$875,A456,'Base bordo CD'!A$2:A$875,B456,'Base bordo CD'!L$2:L$875,"CORTE DE CANA MECANIZADO"),0)</f>
        <v>0.52222222222222214</v>
      </c>
      <c r="F456" s="10">
        <f>IFERROR(SUMIFS('Base bordo CD'!M$2:M$875,'Base bordo CD'!D$2:D$875,A456,'Base bordo CD'!A$2:A$875,B456,'Base bordo CD'!L$2:L$875,"MANOBRA"),0)</f>
        <v>0.28000000000000003</v>
      </c>
      <c r="G456" s="10">
        <f>IFERROR(SUMIFS('Base bordo CD'!M$2:M$875,'Base bordo CD'!D$2:D$875,A456,'Base bordo CD'!A$2:A$875,B456,'Base bordo CD'!L$2:L$875,"DESLOCAMENTO"),0)</f>
        <v>0.70750000000000002</v>
      </c>
      <c r="H456" s="10">
        <f>IFERROR(SUMIFS('Base bordo CD'!M$2:M$875,'Base bordo CD'!D$2:D$875,A456,'Base bordo CD'!A$2:A$875,B456,'Base bordo CD'!L$2:L$875,"AGUARDANDO MANOBRA DE TRANSBORDO"),0)+IFERROR(SUMIFS('Base bordo CD'!M$2:M$875,'Base bordo CD'!D$2:D$875,A456,'Base bordo CD'!A$2:A$875,B456,'Base bordo CD'!L$2:L$875,"FALTA DE TRANSBORDO"),0)</f>
        <v>0.1661111111111111</v>
      </c>
      <c r="I456" s="10">
        <f>IFERROR(SUMIFS('Base bordo CD'!M$2:M$875,'Base bordo CD'!D$2:D$875,A456,'Base bordo CD'!A$2:A$875,B456,'Base bordo CD'!L$2:L$875,"PARADA POR CONDICOES CLIMATICAS"),0)+IFERROR(SUMIFS('Base bordo CD'!M$2:M$875,'Base bordo CD'!D$2:D$875,A456,'Base bordo CD'!A$2:A$875,B456,'Base bordo CD'!L$2:L$875,"TEMPO INDETERMINADO"),0)</f>
        <v>21.55083333333333</v>
      </c>
      <c r="J456" s="10">
        <f>IFERROR(SUMIFS('Base bordo CD'!M$2:M$875,'Base bordo CD'!D$2:D$875,A456,'Base bordo CD'!A$2:A$875,B456,'Base bordo CD'!L$2:L$875,"LIMITAÇÃO INDÚSTRIA"),0)</f>
        <v>0</v>
      </c>
      <c r="K456" s="10">
        <f>IFERROR(SUMIFS('Base bordo CD'!M$2:M$875,'Base bordo CD'!D$2:D$875,A456,'Base bordo CD'!A$2:A$875,B456,'Base bordo CD'!L$2:L$875,"MAN CORRETIVA*"),0)+IFERROR(SUMIFS('Base bordo CD'!M$2:M$875,'Base bordo CD'!D$2:D$875,A456,'Base bordo CD'!A$2:A$875,B456,'Base bordo CD'!L$2:L$875,"AGUARDANDO MANUTENCAO*"),0)+IFERROR(SUMIFS('Base bordo CD'!M$2:M$875,'Base bordo CD'!D$2:D$875,A456,'Base bordo CD'!A$2:A$875,B456,'Base bordo CD'!L$2:L$875,"TROCA DE FAQUINHA"),0)+IFERROR(SUMIFS('Base bordo CD'!M$2:M$875,'Base bordo CD'!D$2:D$875,A456,'Base bordo CD'!A$2:A$875,B456,'Base bordo CD'!L$2:L$875,"LIMPEZA*"),0)</f>
        <v>1.4444444444444444E-2</v>
      </c>
      <c r="L456" s="10">
        <f>IFERROR(SUMIFS('Base bordo CD'!M$2:M$875,'Base bordo CD'!D$2:D$875,A456,'Base bordo CD'!A$2:A$875,B456,'Base bordo CD'!L$2:L$875,"PATIO - RESERVA"),0)</f>
        <v>0</v>
      </c>
      <c r="M456" s="10">
        <f>IFERROR(SUMIFS('Base bordo CD'!M$2:M$875,'Base bordo CD'!D$2:D$875,A456,'Base bordo CD'!A$2:A$875,B456,'Base bordo CD'!L$2:L$875,"SEM APONTAMENTO"),0)</f>
        <v>0</v>
      </c>
      <c r="N456" s="10">
        <f>IFERROR(SUMIFS('Base bordo CD'!M$2:M$875,'Base bordo CD'!D$2:D$875,A456,'Base bordo CD'!A$2:A$875,B456,'Base bordo CD'!L$2:L$875,"FALTA DE CAMINHÃO"),0)+IFERROR(SUMIFS('Base bordo CD'!M$2:M$875,'Base bordo CD'!D$2:D$875,A456,'Base bordo CD'!A$2:A$875,B456,'Base bordo CD'!L$2:L$875,"FALTA DE COMBUSTIVEL"),0)+IFERROR(SUMIFS('Base bordo CD'!M$2:M$875,'Base bordo CD'!D$2:D$875,A456,'Base bordo CD'!A$2:A$875,B456,'Base bordo CD'!L$2:L$875,"FALTA DE MOTORIST*"),0)</f>
        <v>0</v>
      </c>
      <c r="O456" s="10">
        <f t="shared" si="40"/>
        <v>0.75888888888889028</v>
      </c>
      <c r="P456" s="10">
        <f>IFERROR(SUMIFS('Base bordo CD'!M$2:M$875,'Base bordo CD'!D$2:D$875,A456,'Base bordo CD'!A$2:A$875,B456),0)</f>
        <v>23.999999999999996</v>
      </c>
      <c r="Q456" s="10">
        <f>IFERROR(SUMIFS('Base bordo CD'!O$2:O$875,'Base bordo CD'!D$2:D$875,A456,'Base bordo CD'!A$2:A$875,B456,'Base bordo CD'!L$2:L$875,"CORTE DE CANA MECANIZADO"),0)</f>
        <v>7601.4</v>
      </c>
      <c r="R456" s="10">
        <f>IFERROR(SUMIFS('Base bordo CD'!Q$2:Q$875,'Base bordo CD'!D$2:D$875,A456,'Base bordo CD'!A$2:A$875,B456,'Base bordo CD'!L$2:L$875,"CORTE DE CANA MECANIZADO"),0)</f>
        <v>1880</v>
      </c>
      <c r="S456" s="30">
        <f t="shared" si="41"/>
        <v>4.0432978723404256</v>
      </c>
      <c r="T456" s="9">
        <f t="shared" si="42"/>
        <v>2.1759259259259259E-2</v>
      </c>
      <c r="U456" s="9">
        <f t="shared" si="43"/>
        <v>1.1666666666666669E-2</v>
      </c>
      <c r="V456" s="9">
        <f t="shared" si="44"/>
        <v>0.94876157407407402</v>
      </c>
    </row>
    <row r="457" spans="1:22" x14ac:dyDescent="0.35">
      <c r="A457" s="52">
        <v>49596</v>
      </c>
      <c r="B457" s="31">
        <v>46120</v>
      </c>
      <c r="C457" s="7" t="s">
        <v>337</v>
      </c>
      <c r="D457" s="7">
        <v>353</v>
      </c>
      <c r="E457" s="10">
        <f>IFERROR(SUMIFS('Base bordo CD'!M$2:M$875,'Base bordo CD'!D$2:D$875,A457,'Base bordo CD'!A$2:A$875,B457,'Base bordo CD'!L$2:L$875,"CORTE DE CANA MECANIZADO"),0)</f>
        <v>0.52222222222222214</v>
      </c>
      <c r="F457" s="10">
        <f>IFERROR(SUMIFS('Base bordo CD'!M$2:M$875,'Base bordo CD'!D$2:D$875,A457,'Base bordo CD'!A$2:A$875,B457,'Base bordo CD'!L$2:L$875,"MANOBRA"),0)</f>
        <v>0.28000000000000003</v>
      </c>
      <c r="G457" s="10">
        <f>IFERROR(SUMIFS('Base bordo CD'!M$2:M$875,'Base bordo CD'!D$2:D$875,A457,'Base bordo CD'!A$2:A$875,B457,'Base bordo CD'!L$2:L$875,"DESLOCAMENTO"),0)</f>
        <v>0.70750000000000002</v>
      </c>
      <c r="H457" s="10">
        <f>IFERROR(SUMIFS('Base bordo CD'!M$2:M$875,'Base bordo CD'!D$2:D$875,A457,'Base bordo CD'!A$2:A$875,B457,'Base bordo CD'!L$2:L$875,"AGUARDANDO MANOBRA DE TRANSBORDO"),0)+IFERROR(SUMIFS('Base bordo CD'!M$2:M$875,'Base bordo CD'!D$2:D$875,A457,'Base bordo CD'!A$2:A$875,B457,'Base bordo CD'!L$2:L$875,"FALTA DE TRANSBORDO"),0)</f>
        <v>0.1661111111111111</v>
      </c>
      <c r="I457" s="10">
        <f>IFERROR(SUMIFS('Base bordo CD'!M$2:M$875,'Base bordo CD'!D$2:D$875,A457,'Base bordo CD'!A$2:A$875,B457,'Base bordo CD'!L$2:L$875,"PARADA POR CONDICOES CLIMATICAS"),0)+IFERROR(SUMIFS('Base bordo CD'!M$2:M$875,'Base bordo CD'!D$2:D$875,A457,'Base bordo CD'!A$2:A$875,B457,'Base bordo CD'!L$2:L$875,"TEMPO INDETERMINADO"),0)</f>
        <v>21.55083333333333</v>
      </c>
      <c r="J457" s="10">
        <f>IFERROR(SUMIFS('Base bordo CD'!M$2:M$875,'Base bordo CD'!D$2:D$875,A457,'Base bordo CD'!A$2:A$875,B457,'Base bordo CD'!L$2:L$875,"LIMITAÇÃO INDÚSTRIA"),0)</f>
        <v>0</v>
      </c>
      <c r="K457" s="10">
        <f>IFERROR(SUMIFS('Base bordo CD'!M$2:M$875,'Base bordo CD'!D$2:D$875,A457,'Base bordo CD'!A$2:A$875,B457,'Base bordo CD'!L$2:L$875,"MAN CORRETIVA*"),0)+IFERROR(SUMIFS('Base bordo CD'!M$2:M$875,'Base bordo CD'!D$2:D$875,A457,'Base bordo CD'!A$2:A$875,B457,'Base bordo CD'!L$2:L$875,"AGUARDANDO MANUTENCAO*"),0)+IFERROR(SUMIFS('Base bordo CD'!M$2:M$875,'Base bordo CD'!D$2:D$875,A457,'Base bordo CD'!A$2:A$875,B457,'Base bordo CD'!L$2:L$875,"TROCA DE FAQUINHA"),0)+IFERROR(SUMIFS('Base bordo CD'!M$2:M$875,'Base bordo CD'!D$2:D$875,A457,'Base bordo CD'!A$2:A$875,B457,'Base bordo CD'!L$2:L$875,"LIMPEZA*"),0)</f>
        <v>1.4444444444444444E-2</v>
      </c>
      <c r="L457" s="10">
        <f>IFERROR(SUMIFS('Base bordo CD'!M$2:M$875,'Base bordo CD'!D$2:D$875,A457,'Base bordo CD'!A$2:A$875,B457,'Base bordo CD'!L$2:L$875,"PATIO - RESERVA"),0)</f>
        <v>0</v>
      </c>
      <c r="M457" s="10">
        <f>IFERROR(SUMIFS('Base bordo CD'!M$2:M$875,'Base bordo CD'!D$2:D$875,A457,'Base bordo CD'!A$2:A$875,B457,'Base bordo CD'!L$2:L$875,"SEM APONTAMENTO"),0)</f>
        <v>0</v>
      </c>
      <c r="N457" s="10">
        <f>IFERROR(SUMIFS('Base bordo CD'!M$2:M$875,'Base bordo CD'!D$2:D$875,A457,'Base bordo CD'!A$2:A$875,B457,'Base bordo CD'!L$2:L$875,"FALTA DE CAMINHÃO"),0)+IFERROR(SUMIFS('Base bordo CD'!M$2:M$875,'Base bordo CD'!D$2:D$875,A457,'Base bordo CD'!A$2:A$875,B457,'Base bordo CD'!L$2:L$875,"FALTA DE COMBUSTIVEL"),0)+IFERROR(SUMIFS('Base bordo CD'!M$2:M$875,'Base bordo CD'!D$2:D$875,A457,'Base bordo CD'!A$2:A$875,B457,'Base bordo CD'!L$2:L$875,"FALTA DE MOTORIST*"),0)</f>
        <v>0</v>
      </c>
      <c r="O457" s="10">
        <f t="shared" si="40"/>
        <v>0.75888888888889028</v>
      </c>
      <c r="P457" s="10">
        <f>IFERROR(SUMIFS('Base bordo CD'!M$2:M$875,'Base bordo CD'!D$2:D$875,A457,'Base bordo CD'!A$2:A$875,B457),0)</f>
        <v>23.999999999999996</v>
      </c>
      <c r="Q457" s="10">
        <f>IFERROR(SUMIFS('Base bordo CD'!O$2:O$875,'Base bordo CD'!D$2:D$875,A457,'Base bordo CD'!A$2:A$875,B457,'Base bordo CD'!L$2:L$875,"CORTE DE CANA MECANIZADO"),0)</f>
        <v>7601.4</v>
      </c>
      <c r="R457" s="10">
        <f>IFERROR(SUMIFS('Base bordo CD'!Q$2:Q$875,'Base bordo CD'!D$2:D$875,A457,'Base bordo CD'!A$2:A$875,B457,'Base bordo CD'!L$2:L$875,"CORTE DE CANA MECANIZADO"),0)</f>
        <v>1880</v>
      </c>
      <c r="S457" s="30">
        <f t="shared" si="41"/>
        <v>4.0432978723404256</v>
      </c>
      <c r="T457" s="9">
        <f t="shared" si="42"/>
        <v>2.1759259259259259E-2</v>
      </c>
      <c r="U457" s="9">
        <f t="shared" si="43"/>
        <v>1.1666666666666669E-2</v>
      </c>
      <c r="V457" s="9">
        <f t="shared" si="44"/>
        <v>0.94876157407407402</v>
      </c>
    </row>
    <row r="458" spans="1:22" x14ac:dyDescent="0.35">
      <c r="A458" s="52">
        <v>49596</v>
      </c>
      <c r="B458" s="31">
        <v>46120</v>
      </c>
      <c r="C458" s="7" t="s">
        <v>337</v>
      </c>
      <c r="D458" s="7">
        <v>353</v>
      </c>
      <c r="E458" s="10">
        <f>IFERROR(SUMIFS('Base bordo CD'!M$2:M$875,'Base bordo CD'!D$2:D$875,A458,'Base bordo CD'!A$2:A$875,B458,'Base bordo CD'!L$2:L$875,"CORTE DE CANA MECANIZADO"),0)</f>
        <v>0.52222222222222214</v>
      </c>
      <c r="F458" s="10">
        <f>IFERROR(SUMIFS('Base bordo CD'!M$2:M$875,'Base bordo CD'!D$2:D$875,A458,'Base bordo CD'!A$2:A$875,B458,'Base bordo CD'!L$2:L$875,"MANOBRA"),0)</f>
        <v>0.28000000000000003</v>
      </c>
      <c r="G458" s="10">
        <f>IFERROR(SUMIFS('Base bordo CD'!M$2:M$875,'Base bordo CD'!D$2:D$875,A458,'Base bordo CD'!A$2:A$875,B458,'Base bordo CD'!L$2:L$875,"DESLOCAMENTO"),0)</f>
        <v>0.70750000000000002</v>
      </c>
      <c r="H458" s="10">
        <f>IFERROR(SUMIFS('Base bordo CD'!M$2:M$875,'Base bordo CD'!D$2:D$875,A458,'Base bordo CD'!A$2:A$875,B458,'Base bordo CD'!L$2:L$875,"AGUARDANDO MANOBRA DE TRANSBORDO"),0)+IFERROR(SUMIFS('Base bordo CD'!M$2:M$875,'Base bordo CD'!D$2:D$875,A458,'Base bordo CD'!A$2:A$875,B458,'Base bordo CD'!L$2:L$875,"FALTA DE TRANSBORDO"),0)</f>
        <v>0.1661111111111111</v>
      </c>
      <c r="I458" s="10">
        <f>IFERROR(SUMIFS('Base bordo CD'!M$2:M$875,'Base bordo CD'!D$2:D$875,A458,'Base bordo CD'!A$2:A$875,B458,'Base bordo CD'!L$2:L$875,"PARADA POR CONDICOES CLIMATICAS"),0)+IFERROR(SUMIFS('Base bordo CD'!M$2:M$875,'Base bordo CD'!D$2:D$875,A458,'Base bordo CD'!A$2:A$875,B458,'Base bordo CD'!L$2:L$875,"TEMPO INDETERMINADO"),0)</f>
        <v>21.55083333333333</v>
      </c>
      <c r="J458" s="10">
        <f>IFERROR(SUMIFS('Base bordo CD'!M$2:M$875,'Base bordo CD'!D$2:D$875,A458,'Base bordo CD'!A$2:A$875,B458,'Base bordo CD'!L$2:L$875,"LIMITAÇÃO INDÚSTRIA"),0)</f>
        <v>0</v>
      </c>
      <c r="K458" s="10">
        <f>IFERROR(SUMIFS('Base bordo CD'!M$2:M$875,'Base bordo CD'!D$2:D$875,A458,'Base bordo CD'!A$2:A$875,B458,'Base bordo CD'!L$2:L$875,"MAN CORRETIVA*"),0)+IFERROR(SUMIFS('Base bordo CD'!M$2:M$875,'Base bordo CD'!D$2:D$875,A458,'Base bordo CD'!A$2:A$875,B458,'Base bordo CD'!L$2:L$875,"AGUARDANDO MANUTENCAO*"),0)+IFERROR(SUMIFS('Base bordo CD'!M$2:M$875,'Base bordo CD'!D$2:D$875,A458,'Base bordo CD'!A$2:A$875,B458,'Base bordo CD'!L$2:L$875,"TROCA DE FAQUINHA"),0)+IFERROR(SUMIFS('Base bordo CD'!M$2:M$875,'Base bordo CD'!D$2:D$875,A458,'Base bordo CD'!A$2:A$875,B458,'Base bordo CD'!L$2:L$875,"LIMPEZA*"),0)</f>
        <v>1.4444444444444444E-2</v>
      </c>
      <c r="L458" s="10">
        <f>IFERROR(SUMIFS('Base bordo CD'!M$2:M$875,'Base bordo CD'!D$2:D$875,A458,'Base bordo CD'!A$2:A$875,B458,'Base bordo CD'!L$2:L$875,"PATIO - RESERVA"),0)</f>
        <v>0</v>
      </c>
      <c r="M458" s="10">
        <f>IFERROR(SUMIFS('Base bordo CD'!M$2:M$875,'Base bordo CD'!D$2:D$875,A458,'Base bordo CD'!A$2:A$875,B458,'Base bordo CD'!L$2:L$875,"SEM APONTAMENTO"),0)</f>
        <v>0</v>
      </c>
      <c r="N458" s="10">
        <f>IFERROR(SUMIFS('Base bordo CD'!M$2:M$875,'Base bordo CD'!D$2:D$875,A458,'Base bordo CD'!A$2:A$875,B458,'Base bordo CD'!L$2:L$875,"FALTA DE CAMINHÃO"),0)+IFERROR(SUMIFS('Base bordo CD'!M$2:M$875,'Base bordo CD'!D$2:D$875,A458,'Base bordo CD'!A$2:A$875,B458,'Base bordo CD'!L$2:L$875,"FALTA DE COMBUSTIVEL"),0)+IFERROR(SUMIFS('Base bordo CD'!M$2:M$875,'Base bordo CD'!D$2:D$875,A458,'Base bordo CD'!A$2:A$875,B458,'Base bordo CD'!L$2:L$875,"FALTA DE MOTORIST*"),0)</f>
        <v>0</v>
      </c>
      <c r="O458" s="10">
        <f t="shared" si="40"/>
        <v>0.75888888888889028</v>
      </c>
      <c r="P458" s="10">
        <f>IFERROR(SUMIFS('Base bordo CD'!M$2:M$875,'Base bordo CD'!D$2:D$875,A458,'Base bordo CD'!A$2:A$875,B458),0)</f>
        <v>23.999999999999996</v>
      </c>
      <c r="Q458" s="10">
        <f>IFERROR(SUMIFS('Base bordo CD'!O$2:O$875,'Base bordo CD'!D$2:D$875,A458,'Base bordo CD'!A$2:A$875,B458,'Base bordo CD'!L$2:L$875,"CORTE DE CANA MECANIZADO"),0)</f>
        <v>7601.4</v>
      </c>
      <c r="R458" s="10">
        <f>IFERROR(SUMIFS('Base bordo CD'!Q$2:Q$875,'Base bordo CD'!D$2:D$875,A458,'Base bordo CD'!A$2:A$875,B458,'Base bordo CD'!L$2:L$875,"CORTE DE CANA MECANIZADO"),0)</f>
        <v>1880</v>
      </c>
      <c r="S458" s="30">
        <f t="shared" si="41"/>
        <v>4.0432978723404256</v>
      </c>
      <c r="T458" s="9">
        <f t="shared" si="42"/>
        <v>2.1759259259259259E-2</v>
      </c>
      <c r="U458" s="9">
        <f t="shared" si="43"/>
        <v>1.1666666666666669E-2</v>
      </c>
      <c r="V458" s="9">
        <f t="shared" si="44"/>
        <v>0.94876157407407402</v>
      </c>
    </row>
    <row r="459" spans="1:22" x14ac:dyDescent="0.35">
      <c r="A459" s="52">
        <v>49596</v>
      </c>
      <c r="B459" s="31">
        <v>46120</v>
      </c>
      <c r="C459" s="7" t="s">
        <v>337</v>
      </c>
      <c r="D459" s="7">
        <v>353</v>
      </c>
      <c r="E459" s="10">
        <f>IFERROR(SUMIFS('Base bordo CD'!M$2:M$875,'Base bordo CD'!D$2:D$875,A459,'Base bordo CD'!A$2:A$875,B459,'Base bordo CD'!L$2:L$875,"CORTE DE CANA MECANIZADO"),0)</f>
        <v>0.52222222222222214</v>
      </c>
      <c r="F459" s="10">
        <f>IFERROR(SUMIFS('Base bordo CD'!M$2:M$875,'Base bordo CD'!D$2:D$875,A459,'Base bordo CD'!A$2:A$875,B459,'Base bordo CD'!L$2:L$875,"MANOBRA"),0)</f>
        <v>0.28000000000000003</v>
      </c>
      <c r="G459" s="10">
        <f>IFERROR(SUMIFS('Base bordo CD'!M$2:M$875,'Base bordo CD'!D$2:D$875,A459,'Base bordo CD'!A$2:A$875,B459,'Base bordo CD'!L$2:L$875,"DESLOCAMENTO"),0)</f>
        <v>0.70750000000000002</v>
      </c>
      <c r="H459" s="10">
        <f>IFERROR(SUMIFS('Base bordo CD'!M$2:M$875,'Base bordo CD'!D$2:D$875,A459,'Base bordo CD'!A$2:A$875,B459,'Base bordo CD'!L$2:L$875,"AGUARDANDO MANOBRA DE TRANSBORDO"),0)+IFERROR(SUMIFS('Base bordo CD'!M$2:M$875,'Base bordo CD'!D$2:D$875,A459,'Base bordo CD'!A$2:A$875,B459,'Base bordo CD'!L$2:L$875,"FALTA DE TRANSBORDO"),0)</f>
        <v>0.1661111111111111</v>
      </c>
      <c r="I459" s="10">
        <f>IFERROR(SUMIFS('Base bordo CD'!M$2:M$875,'Base bordo CD'!D$2:D$875,A459,'Base bordo CD'!A$2:A$875,B459,'Base bordo CD'!L$2:L$875,"PARADA POR CONDICOES CLIMATICAS"),0)+IFERROR(SUMIFS('Base bordo CD'!M$2:M$875,'Base bordo CD'!D$2:D$875,A459,'Base bordo CD'!A$2:A$875,B459,'Base bordo CD'!L$2:L$875,"TEMPO INDETERMINADO"),0)</f>
        <v>21.55083333333333</v>
      </c>
      <c r="J459" s="10">
        <f>IFERROR(SUMIFS('Base bordo CD'!M$2:M$875,'Base bordo CD'!D$2:D$875,A459,'Base bordo CD'!A$2:A$875,B459,'Base bordo CD'!L$2:L$875,"LIMITAÇÃO INDÚSTRIA"),0)</f>
        <v>0</v>
      </c>
      <c r="K459" s="10">
        <f>IFERROR(SUMIFS('Base bordo CD'!M$2:M$875,'Base bordo CD'!D$2:D$875,A459,'Base bordo CD'!A$2:A$875,B459,'Base bordo CD'!L$2:L$875,"MAN CORRETIVA*"),0)+IFERROR(SUMIFS('Base bordo CD'!M$2:M$875,'Base bordo CD'!D$2:D$875,A459,'Base bordo CD'!A$2:A$875,B459,'Base bordo CD'!L$2:L$875,"AGUARDANDO MANUTENCAO*"),0)+IFERROR(SUMIFS('Base bordo CD'!M$2:M$875,'Base bordo CD'!D$2:D$875,A459,'Base bordo CD'!A$2:A$875,B459,'Base bordo CD'!L$2:L$875,"TROCA DE FAQUINHA"),0)+IFERROR(SUMIFS('Base bordo CD'!M$2:M$875,'Base bordo CD'!D$2:D$875,A459,'Base bordo CD'!A$2:A$875,B459,'Base bordo CD'!L$2:L$875,"LIMPEZA*"),0)</f>
        <v>1.4444444444444444E-2</v>
      </c>
      <c r="L459" s="10">
        <f>IFERROR(SUMIFS('Base bordo CD'!M$2:M$875,'Base bordo CD'!D$2:D$875,A459,'Base bordo CD'!A$2:A$875,B459,'Base bordo CD'!L$2:L$875,"PATIO - RESERVA"),0)</f>
        <v>0</v>
      </c>
      <c r="M459" s="10">
        <f>IFERROR(SUMIFS('Base bordo CD'!M$2:M$875,'Base bordo CD'!D$2:D$875,A459,'Base bordo CD'!A$2:A$875,B459,'Base bordo CD'!L$2:L$875,"SEM APONTAMENTO"),0)</f>
        <v>0</v>
      </c>
      <c r="N459" s="10">
        <f>IFERROR(SUMIFS('Base bordo CD'!M$2:M$875,'Base bordo CD'!D$2:D$875,A459,'Base bordo CD'!A$2:A$875,B459,'Base bordo CD'!L$2:L$875,"FALTA DE CAMINHÃO"),0)+IFERROR(SUMIFS('Base bordo CD'!M$2:M$875,'Base bordo CD'!D$2:D$875,A459,'Base bordo CD'!A$2:A$875,B459,'Base bordo CD'!L$2:L$875,"FALTA DE COMBUSTIVEL"),0)+IFERROR(SUMIFS('Base bordo CD'!M$2:M$875,'Base bordo CD'!D$2:D$875,A459,'Base bordo CD'!A$2:A$875,B459,'Base bordo CD'!L$2:L$875,"FALTA DE MOTORIST*"),0)</f>
        <v>0</v>
      </c>
      <c r="O459" s="10">
        <f t="shared" si="40"/>
        <v>0.75888888888889028</v>
      </c>
      <c r="P459" s="10">
        <f>IFERROR(SUMIFS('Base bordo CD'!M$2:M$875,'Base bordo CD'!D$2:D$875,A459,'Base bordo CD'!A$2:A$875,B459),0)</f>
        <v>23.999999999999996</v>
      </c>
      <c r="Q459" s="10">
        <f>IFERROR(SUMIFS('Base bordo CD'!O$2:O$875,'Base bordo CD'!D$2:D$875,A459,'Base bordo CD'!A$2:A$875,B459,'Base bordo CD'!L$2:L$875,"CORTE DE CANA MECANIZADO"),0)</f>
        <v>7601.4</v>
      </c>
      <c r="R459" s="10">
        <f>IFERROR(SUMIFS('Base bordo CD'!Q$2:Q$875,'Base bordo CD'!D$2:D$875,A459,'Base bordo CD'!A$2:A$875,B459,'Base bordo CD'!L$2:L$875,"CORTE DE CANA MECANIZADO"),0)</f>
        <v>1880</v>
      </c>
      <c r="S459" s="30">
        <f t="shared" si="41"/>
        <v>4.0432978723404256</v>
      </c>
      <c r="T459" s="9">
        <f t="shared" si="42"/>
        <v>2.1759259259259259E-2</v>
      </c>
      <c r="U459" s="9">
        <f t="shared" si="43"/>
        <v>1.1666666666666669E-2</v>
      </c>
      <c r="V459" s="9">
        <f t="shared" si="44"/>
        <v>0.94876157407407402</v>
      </c>
    </row>
    <row r="460" spans="1:22" x14ac:dyDescent="0.35">
      <c r="A460" s="52">
        <v>49596</v>
      </c>
      <c r="B460" s="31">
        <v>46120</v>
      </c>
      <c r="C460" s="7" t="s">
        <v>337</v>
      </c>
      <c r="D460" s="7">
        <v>353</v>
      </c>
      <c r="E460" s="10">
        <f>IFERROR(SUMIFS('Base bordo CD'!M$2:M$875,'Base bordo CD'!D$2:D$875,A460,'Base bordo CD'!A$2:A$875,B460,'Base bordo CD'!L$2:L$875,"CORTE DE CANA MECANIZADO"),0)</f>
        <v>0.52222222222222214</v>
      </c>
      <c r="F460" s="10">
        <f>IFERROR(SUMIFS('Base bordo CD'!M$2:M$875,'Base bordo CD'!D$2:D$875,A460,'Base bordo CD'!A$2:A$875,B460,'Base bordo CD'!L$2:L$875,"MANOBRA"),0)</f>
        <v>0.28000000000000003</v>
      </c>
      <c r="G460" s="10">
        <f>IFERROR(SUMIFS('Base bordo CD'!M$2:M$875,'Base bordo CD'!D$2:D$875,A460,'Base bordo CD'!A$2:A$875,B460,'Base bordo CD'!L$2:L$875,"DESLOCAMENTO"),0)</f>
        <v>0.70750000000000002</v>
      </c>
      <c r="H460" s="10">
        <f>IFERROR(SUMIFS('Base bordo CD'!M$2:M$875,'Base bordo CD'!D$2:D$875,A460,'Base bordo CD'!A$2:A$875,B460,'Base bordo CD'!L$2:L$875,"AGUARDANDO MANOBRA DE TRANSBORDO"),0)+IFERROR(SUMIFS('Base bordo CD'!M$2:M$875,'Base bordo CD'!D$2:D$875,A460,'Base bordo CD'!A$2:A$875,B460,'Base bordo CD'!L$2:L$875,"FALTA DE TRANSBORDO"),0)</f>
        <v>0.1661111111111111</v>
      </c>
      <c r="I460" s="10">
        <f>IFERROR(SUMIFS('Base bordo CD'!M$2:M$875,'Base bordo CD'!D$2:D$875,A460,'Base bordo CD'!A$2:A$875,B460,'Base bordo CD'!L$2:L$875,"PARADA POR CONDICOES CLIMATICAS"),0)+IFERROR(SUMIFS('Base bordo CD'!M$2:M$875,'Base bordo CD'!D$2:D$875,A460,'Base bordo CD'!A$2:A$875,B460,'Base bordo CD'!L$2:L$875,"TEMPO INDETERMINADO"),0)</f>
        <v>21.55083333333333</v>
      </c>
      <c r="J460" s="10">
        <f>IFERROR(SUMIFS('Base bordo CD'!M$2:M$875,'Base bordo CD'!D$2:D$875,A460,'Base bordo CD'!A$2:A$875,B460,'Base bordo CD'!L$2:L$875,"LIMITAÇÃO INDÚSTRIA"),0)</f>
        <v>0</v>
      </c>
      <c r="K460" s="10">
        <f>IFERROR(SUMIFS('Base bordo CD'!M$2:M$875,'Base bordo CD'!D$2:D$875,A460,'Base bordo CD'!A$2:A$875,B460,'Base bordo CD'!L$2:L$875,"MAN CORRETIVA*"),0)+IFERROR(SUMIFS('Base bordo CD'!M$2:M$875,'Base bordo CD'!D$2:D$875,A460,'Base bordo CD'!A$2:A$875,B460,'Base bordo CD'!L$2:L$875,"AGUARDANDO MANUTENCAO*"),0)+IFERROR(SUMIFS('Base bordo CD'!M$2:M$875,'Base bordo CD'!D$2:D$875,A460,'Base bordo CD'!A$2:A$875,B460,'Base bordo CD'!L$2:L$875,"TROCA DE FAQUINHA"),0)+IFERROR(SUMIFS('Base bordo CD'!M$2:M$875,'Base bordo CD'!D$2:D$875,A460,'Base bordo CD'!A$2:A$875,B460,'Base bordo CD'!L$2:L$875,"LIMPEZA*"),0)</f>
        <v>1.4444444444444444E-2</v>
      </c>
      <c r="L460" s="10">
        <f>IFERROR(SUMIFS('Base bordo CD'!M$2:M$875,'Base bordo CD'!D$2:D$875,A460,'Base bordo CD'!A$2:A$875,B460,'Base bordo CD'!L$2:L$875,"PATIO - RESERVA"),0)</f>
        <v>0</v>
      </c>
      <c r="M460" s="10">
        <f>IFERROR(SUMIFS('Base bordo CD'!M$2:M$875,'Base bordo CD'!D$2:D$875,A460,'Base bordo CD'!A$2:A$875,B460,'Base bordo CD'!L$2:L$875,"SEM APONTAMENTO"),0)</f>
        <v>0</v>
      </c>
      <c r="N460" s="10">
        <f>IFERROR(SUMIFS('Base bordo CD'!M$2:M$875,'Base bordo CD'!D$2:D$875,A460,'Base bordo CD'!A$2:A$875,B460,'Base bordo CD'!L$2:L$875,"FALTA DE CAMINHÃO"),0)+IFERROR(SUMIFS('Base bordo CD'!M$2:M$875,'Base bordo CD'!D$2:D$875,A460,'Base bordo CD'!A$2:A$875,B460,'Base bordo CD'!L$2:L$875,"FALTA DE COMBUSTIVEL"),0)+IFERROR(SUMIFS('Base bordo CD'!M$2:M$875,'Base bordo CD'!D$2:D$875,A460,'Base bordo CD'!A$2:A$875,B460,'Base bordo CD'!L$2:L$875,"FALTA DE MOTORIST*"),0)</f>
        <v>0</v>
      </c>
      <c r="O460" s="10">
        <f t="shared" si="40"/>
        <v>0.75888888888889028</v>
      </c>
      <c r="P460" s="10">
        <f>IFERROR(SUMIFS('Base bordo CD'!M$2:M$875,'Base bordo CD'!D$2:D$875,A460,'Base bordo CD'!A$2:A$875,B460),0)</f>
        <v>23.999999999999996</v>
      </c>
      <c r="Q460" s="10">
        <f>IFERROR(SUMIFS('Base bordo CD'!O$2:O$875,'Base bordo CD'!D$2:D$875,A460,'Base bordo CD'!A$2:A$875,B460,'Base bordo CD'!L$2:L$875,"CORTE DE CANA MECANIZADO"),0)</f>
        <v>7601.4</v>
      </c>
      <c r="R460" s="10">
        <f>IFERROR(SUMIFS('Base bordo CD'!Q$2:Q$875,'Base bordo CD'!D$2:D$875,A460,'Base bordo CD'!A$2:A$875,B460,'Base bordo CD'!L$2:L$875,"CORTE DE CANA MECANIZADO"),0)</f>
        <v>1880</v>
      </c>
      <c r="S460" s="30">
        <f t="shared" si="41"/>
        <v>4.0432978723404256</v>
      </c>
      <c r="T460" s="9">
        <f t="shared" si="42"/>
        <v>2.1759259259259259E-2</v>
      </c>
      <c r="U460" s="9">
        <f t="shared" si="43"/>
        <v>1.1666666666666669E-2</v>
      </c>
      <c r="V460" s="9">
        <f t="shared" si="44"/>
        <v>0.94876157407407402</v>
      </c>
    </row>
    <row r="461" spans="1:22" x14ac:dyDescent="0.35">
      <c r="A461" s="52">
        <v>49596</v>
      </c>
      <c r="B461" s="31">
        <v>46120</v>
      </c>
      <c r="C461" s="7" t="s">
        <v>337</v>
      </c>
      <c r="D461" s="7">
        <v>353</v>
      </c>
      <c r="E461" s="10">
        <f>IFERROR(SUMIFS('Base bordo CD'!M$2:M$875,'Base bordo CD'!D$2:D$875,A461,'Base bordo CD'!A$2:A$875,B461,'Base bordo CD'!L$2:L$875,"CORTE DE CANA MECANIZADO"),0)</f>
        <v>0.52222222222222214</v>
      </c>
      <c r="F461" s="10">
        <f>IFERROR(SUMIFS('Base bordo CD'!M$2:M$875,'Base bordo CD'!D$2:D$875,A461,'Base bordo CD'!A$2:A$875,B461,'Base bordo CD'!L$2:L$875,"MANOBRA"),0)</f>
        <v>0.28000000000000003</v>
      </c>
      <c r="G461" s="10">
        <f>IFERROR(SUMIFS('Base bordo CD'!M$2:M$875,'Base bordo CD'!D$2:D$875,A461,'Base bordo CD'!A$2:A$875,B461,'Base bordo CD'!L$2:L$875,"DESLOCAMENTO"),0)</f>
        <v>0.70750000000000002</v>
      </c>
      <c r="H461" s="10">
        <f>IFERROR(SUMIFS('Base bordo CD'!M$2:M$875,'Base bordo CD'!D$2:D$875,A461,'Base bordo CD'!A$2:A$875,B461,'Base bordo CD'!L$2:L$875,"AGUARDANDO MANOBRA DE TRANSBORDO"),0)+IFERROR(SUMIFS('Base bordo CD'!M$2:M$875,'Base bordo CD'!D$2:D$875,A461,'Base bordo CD'!A$2:A$875,B461,'Base bordo CD'!L$2:L$875,"FALTA DE TRANSBORDO"),0)</f>
        <v>0.1661111111111111</v>
      </c>
      <c r="I461" s="10">
        <f>IFERROR(SUMIFS('Base bordo CD'!M$2:M$875,'Base bordo CD'!D$2:D$875,A461,'Base bordo CD'!A$2:A$875,B461,'Base bordo CD'!L$2:L$875,"PARADA POR CONDICOES CLIMATICAS"),0)+IFERROR(SUMIFS('Base bordo CD'!M$2:M$875,'Base bordo CD'!D$2:D$875,A461,'Base bordo CD'!A$2:A$875,B461,'Base bordo CD'!L$2:L$875,"TEMPO INDETERMINADO"),0)</f>
        <v>21.55083333333333</v>
      </c>
      <c r="J461" s="10">
        <f>IFERROR(SUMIFS('Base bordo CD'!M$2:M$875,'Base bordo CD'!D$2:D$875,A461,'Base bordo CD'!A$2:A$875,B461,'Base bordo CD'!L$2:L$875,"LIMITAÇÃO INDÚSTRIA"),0)</f>
        <v>0</v>
      </c>
      <c r="K461" s="10">
        <f>IFERROR(SUMIFS('Base bordo CD'!M$2:M$875,'Base bordo CD'!D$2:D$875,A461,'Base bordo CD'!A$2:A$875,B461,'Base bordo CD'!L$2:L$875,"MAN CORRETIVA*"),0)+IFERROR(SUMIFS('Base bordo CD'!M$2:M$875,'Base bordo CD'!D$2:D$875,A461,'Base bordo CD'!A$2:A$875,B461,'Base bordo CD'!L$2:L$875,"AGUARDANDO MANUTENCAO*"),0)+IFERROR(SUMIFS('Base bordo CD'!M$2:M$875,'Base bordo CD'!D$2:D$875,A461,'Base bordo CD'!A$2:A$875,B461,'Base bordo CD'!L$2:L$875,"TROCA DE FAQUINHA"),0)+IFERROR(SUMIFS('Base bordo CD'!M$2:M$875,'Base bordo CD'!D$2:D$875,A461,'Base bordo CD'!A$2:A$875,B461,'Base bordo CD'!L$2:L$875,"LIMPEZA*"),0)</f>
        <v>1.4444444444444444E-2</v>
      </c>
      <c r="L461" s="10">
        <f>IFERROR(SUMIFS('Base bordo CD'!M$2:M$875,'Base bordo CD'!D$2:D$875,A461,'Base bordo CD'!A$2:A$875,B461,'Base bordo CD'!L$2:L$875,"PATIO - RESERVA"),0)</f>
        <v>0</v>
      </c>
      <c r="M461" s="10">
        <f>IFERROR(SUMIFS('Base bordo CD'!M$2:M$875,'Base bordo CD'!D$2:D$875,A461,'Base bordo CD'!A$2:A$875,B461,'Base bordo CD'!L$2:L$875,"SEM APONTAMENTO"),0)</f>
        <v>0</v>
      </c>
      <c r="N461" s="10">
        <f>IFERROR(SUMIFS('Base bordo CD'!M$2:M$875,'Base bordo CD'!D$2:D$875,A461,'Base bordo CD'!A$2:A$875,B461,'Base bordo CD'!L$2:L$875,"FALTA DE CAMINHÃO"),0)+IFERROR(SUMIFS('Base bordo CD'!M$2:M$875,'Base bordo CD'!D$2:D$875,A461,'Base bordo CD'!A$2:A$875,B461,'Base bordo CD'!L$2:L$875,"FALTA DE COMBUSTIVEL"),0)+IFERROR(SUMIFS('Base bordo CD'!M$2:M$875,'Base bordo CD'!D$2:D$875,A461,'Base bordo CD'!A$2:A$875,B461,'Base bordo CD'!L$2:L$875,"FALTA DE MOTORIST*"),0)</f>
        <v>0</v>
      </c>
      <c r="O461" s="10">
        <f t="shared" si="40"/>
        <v>0.75888888888889028</v>
      </c>
      <c r="P461" s="10">
        <f>IFERROR(SUMIFS('Base bordo CD'!M$2:M$875,'Base bordo CD'!D$2:D$875,A461,'Base bordo CD'!A$2:A$875,B461),0)</f>
        <v>23.999999999999996</v>
      </c>
      <c r="Q461" s="10">
        <f>IFERROR(SUMIFS('Base bordo CD'!O$2:O$875,'Base bordo CD'!D$2:D$875,A461,'Base bordo CD'!A$2:A$875,B461,'Base bordo CD'!L$2:L$875,"CORTE DE CANA MECANIZADO"),0)</f>
        <v>7601.4</v>
      </c>
      <c r="R461" s="10">
        <f>IFERROR(SUMIFS('Base bordo CD'!Q$2:Q$875,'Base bordo CD'!D$2:D$875,A461,'Base bordo CD'!A$2:A$875,B461,'Base bordo CD'!L$2:L$875,"CORTE DE CANA MECANIZADO"),0)</f>
        <v>1880</v>
      </c>
      <c r="S461" s="30">
        <f t="shared" si="41"/>
        <v>4.0432978723404256</v>
      </c>
      <c r="T461" s="9">
        <f t="shared" si="42"/>
        <v>2.1759259259259259E-2</v>
      </c>
      <c r="U461" s="9">
        <f t="shared" si="43"/>
        <v>1.1666666666666669E-2</v>
      </c>
      <c r="V461" s="9">
        <f t="shared" si="44"/>
        <v>0.94876157407407402</v>
      </c>
    </row>
    <row r="462" spans="1:22" x14ac:dyDescent="0.35">
      <c r="A462" s="52">
        <v>49596</v>
      </c>
      <c r="B462" s="31">
        <v>46120</v>
      </c>
      <c r="C462" s="7" t="s">
        <v>337</v>
      </c>
      <c r="D462" s="7">
        <v>353</v>
      </c>
      <c r="E462" s="10">
        <f>IFERROR(SUMIFS('Base bordo CD'!M$2:M$875,'Base bordo CD'!D$2:D$875,A462,'Base bordo CD'!A$2:A$875,B462,'Base bordo CD'!L$2:L$875,"CORTE DE CANA MECANIZADO"),0)</f>
        <v>0.52222222222222214</v>
      </c>
      <c r="F462" s="10">
        <f>IFERROR(SUMIFS('Base bordo CD'!M$2:M$875,'Base bordo CD'!D$2:D$875,A462,'Base bordo CD'!A$2:A$875,B462,'Base bordo CD'!L$2:L$875,"MANOBRA"),0)</f>
        <v>0.28000000000000003</v>
      </c>
      <c r="G462" s="10">
        <f>IFERROR(SUMIFS('Base bordo CD'!M$2:M$875,'Base bordo CD'!D$2:D$875,A462,'Base bordo CD'!A$2:A$875,B462,'Base bordo CD'!L$2:L$875,"DESLOCAMENTO"),0)</f>
        <v>0.70750000000000002</v>
      </c>
      <c r="H462" s="10">
        <f>IFERROR(SUMIFS('Base bordo CD'!M$2:M$875,'Base bordo CD'!D$2:D$875,A462,'Base bordo CD'!A$2:A$875,B462,'Base bordo CD'!L$2:L$875,"AGUARDANDO MANOBRA DE TRANSBORDO"),0)+IFERROR(SUMIFS('Base bordo CD'!M$2:M$875,'Base bordo CD'!D$2:D$875,A462,'Base bordo CD'!A$2:A$875,B462,'Base bordo CD'!L$2:L$875,"FALTA DE TRANSBORDO"),0)</f>
        <v>0.1661111111111111</v>
      </c>
      <c r="I462" s="10">
        <f>IFERROR(SUMIFS('Base bordo CD'!M$2:M$875,'Base bordo CD'!D$2:D$875,A462,'Base bordo CD'!A$2:A$875,B462,'Base bordo CD'!L$2:L$875,"PARADA POR CONDICOES CLIMATICAS"),0)+IFERROR(SUMIFS('Base bordo CD'!M$2:M$875,'Base bordo CD'!D$2:D$875,A462,'Base bordo CD'!A$2:A$875,B462,'Base bordo CD'!L$2:L$875,"TEMPO INDETERMINADO"),0)</f>
        <v>21.55083333333333</v>
      </c>
      <c r="J462" s="10">
        <f>IFERROR(SUMIFS('Base bordo CD'!M$2:M$875,'Base bordo CD'!D$2:D$875,A462,'Base bordo CD'!A$2:A$875,B462,'Base bordo CD'!L$2:L$875,"LIMITAÇÃO INDÚSTRIA"),0)</f>
        <v>0</v>
      </c>
      <c r="K462" s="10">
        <f>IFERROR(SUMIFS('Base bordo CD'!M$2:M$875,'Base bordo CD'!D$2:D$875,A462,'Base bordo CD'!A$2:A$875,B462,'Base bordo CD'!L$2:L$875,"MAN CORRETIVA*"),0)+IFERROR(SUMIFS('Base bordo CD'!M$2:M$875,'Base bordo CD'!D$2:D$875,A462,'Base bordo CD'!A$2:A$875,B462,'Base bordo CD'!L$2:L$875,"AGUARDANDO MANUTENCAO*"),0)+IFERROR(SUMIFS('Base bordo CD'!M$2:M$875,'Base bordo CD'!D$2:D$875,A462,'Base bordo CD'!A$2:A$875,B462,'Base bordo CD'!L$2:L$875,"TROCA DE FAQUINHA"),0)+IFERROR(SUMIFS('Base bordo CD'!M$2:M$875,'Base bordo CD'!D$2:D$875,A462,'Base bordo CD'!A$2:A$875,B462,'Base bordo CD'!L$2:L$875,"LIMPEZA*"),0)</f>
        <v>1.4444444444444444E-2</v>
      </c>
      <c r="L462" s="10">
        <f>IFERROR(SUMIFS('Base bordo CD'!M$2:M$875,'Base bordo CD'!D$2:D$875,A462,'Base bordo CD'!A$2:A$875,B462,'Base bordo CD'!L$2:L$875,"PATIO - RESERVA"),0)</f>
        <v>0</v>
      </c>
      <c r="M462" s="10">
        <f>IFERROR(SUMIFS('Base bordo CD'!M$2:M$875,'Base bordo CD'!D$2:D$875,A462,'Base bordo CD'!A$2:A$875,B462,'Base bordo CD'!L$2:L$875,"SEM APONTAMENTO"),0)</f>
        <v>0</v>
      </c>
      <c r="N462" s="10">
        <f>IFERROR(SUMIFS('Base bordo CD'!M$2:M$875,'Base bordo CD'!D$2:D$875,A462,'Base bordo CD'!A$2:A$875,B462,'Base bordo CD'!L$2:L$875,"FALTA DE CAMINHÃO"),0)+IFERROR(SUMIFS('Base bordo CD'!M$2:M$875,'Base bordo CD'!D$2:D$875,A462,'Base bordo CD'!A$2:A$875,B462,'Base bordo CD'!L$2:L$875,"FALTA DE COMBUSTIVEL"),0)+IFERROR(SUMIFS('Base bordo CD'!M$2:M$875,'Base bordo CD'!D$2:D$875,A462,'Base bordo CD'!A$2:A$875,B462,'Base bordo CD'!L$2:L$875,"FALTA DE MOTORIST*"),0)</f>
        <v>0</v>
      </c>
      <c r="O462" s="10">
        <f t="shared" si="40"/>
        <v>0.75888888888889028</v>
      </c>
      <c r="P462" s="10">
        <f>IFERROR(SUMIFS('Base bordo CD'!M$2:M$875,'Base bordo CD'!D$2:D$875,A462,'Base bordo CD'!A$2:A$875,B462),0)</f>
        <v>23.999999999999996</v>
      </c>
      <c r="Q462" s="10">
        <f>IFERROR(SUMIFS('Base bordo CD'!O$2:O$875,'Base bordo CD'!D$2:D$875,A462,'Base bordo CD'!A$2:A$875,B462,'Base bordo CD'!L$2:L$875,"CORTE DE CANA MECANIZADO"),0)</f>
        <v>7601.4</v>
      </c>
      <c r="R462" s="10">
        <f>IFERROR(SUMIFS('Base bordo CD'!Q$2:Q$875,'Base bordo CD'!D$2:D$875,A462,'Base bordo CD'!A$2:A$875,B462,'Base bordo CD'!L$2:L$875,"CORTE DE CANA MECANIZADO"),0)</f>
        <v>1880</v>
      </c>
      <c r="S462" s="30">
        <f t="shared" si="41"/>
        <v>4.0432978723404256</v>
      </c>
      <c r="T462" s="9">
        <f t="shared" si="42"/>
        <v>2.1759259259259259E-2</v>
      </c>
      <c r="U462" s="9">
        <f t="shared" si="43"/>
        <v>1.1666666666666669E-2</v>
      </c>
      <c r="V462" s="9">
        <f t="shared" si="44"/>
        <v>0.94876157407407402</v>
      </c>
    </row>
    <row r="463" spans="1:22" x14ac:dyDescent="0.35">
      <c r="A463" s="52">
        <v>49596</v>
      </c>
      <c r="B463" s="31">
        <v>46120</v>
      </c>
      <c r="C463" s="7" t="s">
        <v>337</v>
      </c>
      <c r="D463" s="7">
        <v>353</v>
      </c>
      <c r="E463" s="10">
        <f>IFERROR(SUMIFS('Base bordo CD'!M$2:M$875,'Base bordo CD'!D$2:D$875,A463,'Base bordo CD'!A$2:A$875,B463,'Base bordo CD'!L$2:L$875,"CORTE DE CANA MECANIZADO"),0)</f>
        <v>0.52222222222222214</v>
      </c>
      <c r="F463" s="10">
        <f>IFERROR(SUMIFS('Base bordo CD'!M$2:M$875,'Base bordo CD'!D$2:D$875,A463,'Base bordo CD'!A$2:A$875,B463,'Base bordo CD'!L$2:L$875,"MANOBRA"),0)</f>
        <v>0.28000000000000003</v>
      </c>
      <c r="G463" s="10">
        <f>IFERROR(SUMIFS('Base bordo CD'!M$2:M$875,'Base bordo CD'!D$2:D$875,A463,'Base bordo CD'!A$2:A$875,B463,'Base bordo CD'!L$2:L$875,"DESLOCAMENTO"),0)</f>
        <v>0.70750000000000002</v>
      </c>
      <c r="H463" s="10">
        <f>IFERROR(SUMIFS('Base bordo CD'!M$2:M$875,'Base bordo CD'!D$2:D$875,A463,'Base bordo CD'!A$2:A$875,B463,'Base bordo CD'!L$2:L$875,"AGUARDANDO MANOBRA DE TRANSBORDO"),0)+IFERROR(SUMIFS('Base bordo CD'!M$2:M$875,'Base bordo CD'!D$2:D$875,A463,'Base bordo CD'!A$2:A$875,B463,'Base bordo CD'!L$2:L$875,"FALTA DE TRANSBORDO"),0)</f>
        <v>0.1661111111111111</v>
      </c>
      <c r="I463" s="10">
        <f>IFERROR(SUMIFS('Base bordo CD'!M$2:M$875,'Base bordo CD'!D$2:D$875,A463,'Base bordo CD'!A$2:A$875,B463,'Base bordo CD'!L$2:L$875,"PARADA POR CONDICOES CLIMATICAS"),0)+IFERROR(SUMIFS('Base bordo CD'!M$2:M$875,'Base bordo CD'!D$2:D$875,A463,'Base bordo CD'!A$2:A$875,B463,'Base bordo CD'!L$2:L$875,"TEMPO INDETERMINADO"),0)</f>
        <v>21.55083333333333</v>
      </c>
      <c r="J463" s="10">
        <f>IFERROR(SUMIFS('Base bordo CD'!M$2:M$875,'Base bordo CD'!D$2:D$875,A463,'Base bordo CD'!A$2:A$875,B463,'Base bordo CD'!L$2:L$875,"LIMITAÇÃO INDÚSTRIA"),0)</f>
        <v>0</v>
      </c>
      <c r="K463" s="10">
        <f>IFERROR(SUMIFS('Base bordo CD'!M$2:M$875,'Base bordo CD'!D$2:D$875,A463,'Base bordo CD'!A$2:A$875,B463,'Base bordo CD'!L$2:L$875,"MAN CORRETIVA*"),0)+IFERROR(SUMIFS('Base bordo CD'!M$2:M$875,'Base bordo CD'!D$2:D$875,A463,'Base bordo CD'!A$2:A$875,B463,'Base bordo CD'!L$2:L$875,"AGUARDANDO MANUTENCAO*"),0)+IFERROR(SUMIFS('Base bordo CD'!M$2:M$875,'Base bordo CD'!D$2:D$875,A463,'Base bordo CD'!A$2:A$875,B463,'Base bordo CD'!L$2:L$875,"TROCA DE FAQUINHA"),0)+IFERROR(SUMIFS('Base bordo CD'!M$2:M$875,'Base bordo CD'!D$2:D$875,A463,'Base bordo CD'!A$2:A$875,B463,'Base bordo CD'!L$2:L$875,"LIMPEZA*"),0)</f>
        <v>1.4444444444444444E-2</v>
      </c>
      <c r="L463" s="10">
        <f>IFERROR(SUMIFS('Base bordo CD'!M$2:M$875,'Base bordo CD'!D$2:D$875,A463,'Base bordo CD'!A$2:A$875,B463,'Base bordo CD'!L$2:L$875,"PATIO - RESERVA"),0)</f>
        <v>0</v>
      </c>
      <c r="M463" s="10">
        <f>IFERROR(SUMIFS('Base bordo CD'!M$2:M$875,'Base bordo CD'!D$2:D$875,A463,'Base bordo CD'!A$2:A$875,B463,'Base bordo CD'!L$2:L$875,"SEM APONTAMENTO"),0)</f>
        <v>0</v>
      </c>
      <c r="N463" s="10">
        <f>IFERROR(SUMIFS('Base bordo CD'!M$2:M$875,'Base bordo CD'!D$2:D$875,A463,'Base bordo CD'!A$2:A$875,B463,'Base bordo CD'!L$2:L$875,"FALTA DE CAMINHÃO"),0)+IFERROR(SUMIFS('Base bordo CD'!M$2:M$875,'Base bordo CD'!D$2:D$875,A463,'Base bordo CD'!A$2:A$875,B463,'Base bordo CD'!L$2:L$875,"FALTA DE COMBUSTIVEL"),0)+IFERROR(SUMIFS('Base bordo CD'!M$2:M$875,'Base bordo CD'!D$2:D$875,A463,'Base bordo CD'!A$2:A$875,B463,'Base bordo CD'!L$2:L$875,"FALTA DE MOTORIST*"),0)</f>
        <v>0</v>
      </c>
      <c r="O463" s="10">
        <f t="shared" si="40"/>
        <v>0.75888888888889028</v>
      </c>
      <c r="P463" s="10">
        <f>IFERROR(SUMIFS('Base bordo CD'!M$2:M$875,'Base bordo CD'!D$2:D$875,A463,'Base bordo CD'!A$2:A$875,B463),0)</f>
        <v>23.999999999999996</v>
      </c>
      <c r="Q463" s="10">
        <f>IFERROR(SUMIFS('Base bordo CD'!O$2:O$875,'Base bordo CD'!D$2:D$875,A463,'Base bordo CD'!A$2:A$875,B463,'Base bordo CD'!L$2:L$875,"CORTE DE CANA MECANIZADO"),0)</f>
        <v>7601.4</v>
      </c>
      <c r="R463" s="10">
        <f>IFERROR(SUMIFS('Base bordo CD'!Q$2:Q$875,'Base bordo CD'!D$2:D$875,A463,'Base bordo CD'!A$2:A$875,B463,'Base bordo CD'!L$2:L$875,"CORTE DE CANA MECANIZADO"),0)</f>
        <v>1880</v>
      </c>
      <c r="S463" s="30">
        <f t="shared" si="41"/>
        <v>4.0432978723404256</v>
      </c>
      <c r="T463" s="9">
        <f t="shared" si="42"/>
        <v>2.1759259259259259E-2</v>
      </c>
      <c r="U463" s="9">
        <f t="shared" si="43"/>
        <v>1.1666666666666669E-2</v>
      </c>
      <c r="V463" s="9">
        <f t="shared" si="44"/>
        <v>0.94876157407407402</v>
      </c>
    </row>
    <row r="464" spans="1:22" x14ac:dyDescent="0.35">
      <c r="A464" s="52">
        <v>49596</v>
      </c>
      <c r="B464" s="31">
        <v>46120</v>
      </c>
      <c r="C464" s="7" t="s">
        <v>337</v>
      </c>
      <c r="D464" s="7">
        <v>353</v>
      </c>
      <c r="E464" s="10">
        <f>IFERROR(SUMIFS('Base bordo CD'!M$2:M$875,'Base bordo CD'!D$2:D$875,A464,'Base bordo CD'!A$2:A$875,B464,'Base bordo CD'!L$2:L$875,"CORTE DE CANA MECANIZADO"),0)</f>
        <v>0.52222222222222214</v>
      </c>
      <c r="F464" s="10">
        <f>IFERROR(SUMIFS('Base bordo CD'!M$2:M$875,'Base bordo CD'!D$2:D$875,A464,'Base bordo CD'!A$2:A$875,B464,'Base bordo CD'!L$2:L$875,"MANOBRA"),0)</f>
        <v>0.28000000000000003</v>
      </c>
      <c r="G464" s="10">
        <f>IFERROR(SUMIFS('Base bordo CD'!M$2:M$875,'Base bordo CD'!D$2:D$875,A464,'Base bordo CD'!A$2:A$875,B464,'Base bordo CD'!L$2:L$875,"DESLOCAMENTO"),0)</f>
        <v>0.70750000000000002</v>
      </c>
      <c r="H464" s="10">
        <f>IFERROR(SUMIFS('Base bordo CD'!M$2:M$875,'Base bordo CD'!D$2:D$875,A464,'Base bordo CD'!A$2:A$875,B464,'Base bordo CD'!L$2:L$875,"AGUARDANDO MANOBRA DE TRANSBORDO"),0)+IFERROR(SUMIFS('Base bordo CD'!M$2:M$875,'Base bordo CD'!D$2:D$875,A464,'Base bordo CD'!A$2:A$875,B464,'Base bordo CD'!L$2:L$875,"FALTA DE TRANSBORDO"),0)</f>
        <v>0.1661111111111111</v>
      </c>
      <c r="I464" s="10">
        <f>IFERROR(SUMIFS('Base bordo CD'!M$2:M$875,'Base bordo CD'!D$2:D$875,A464,'Base bordo CD'!A$2:A$875,B464,'Base bordo CD'!L$2:L$875,"PARADA POR CONDICOES CLIMATICAS"),0)+IFERROR(SUMIFS('Base bordo CD'!M$2:M$875,'Base bordo CD'!D$2:D$875,A464,'Base bordo CD'!A$2:A$875,B464,'Base bordo CD'!L$2:L$875,"TEMPO INDETERMINADO"),0)</f>
        <v>21.55083333333333</v>
      </c>
      <c r="J464" s="10">
        <f>IFERROR(SUMIFS('Base bordo CD'!M$2:M$875,'Base bordo CD'!D$2:D$875,A464,'Base bordo CD'!A$2:A$875,B464,'Base bordo CD'!L$2:L$875,"LIMITAÇÃO INDÚSTRIA"),0)</f>
        <v>0</v>
      </c>
      <c r="K464" s="10">
        <f>IFERROR(SUMIFS('Base bordo CD'!M$2:M$875,'Base bordo CD'!D$2:D$875,A464,'Base bordo CD'!A$2:A$875,B464,'Base bordo CD'!L$2:L$875,"MAN CORRETIVA*"),0)+IFERROR(SUMIFS('Base bordo CD'!M$2:M$875,'Base bordo CD'!D$2:D$875,A464,'Base bordo CD'!A$2:A$875,B464,'Base bordo CD'!L$2:L$875,"AGUARDANDO MANUTENCAO*"),0)+IFERROR(SUMIFS('Base bordo CD'!M$2:M$875,'Base bordo CD'!D$2:D$875,A464,'Base bordo CD'!A$2:A$875,B464,'Base bordo CD'!L$2:L$875,"TROCA DE FAQUINHA"),0)+IFERROR(SUMIFS('Base bordo CD'!M$2:M$875,'Base bordo CD'!D$2:D$875,A464,'Base bordo CD'!A$2:A$875,B464,'Base bordo CD'!L$2:L$875,"LIMPEZA*"),0)</f>
        <v>1.4444444444444444E-2</v>
      </c>
      <c r="L464" s="10">
        <f>IFERROR(SUMIFS('Base bordo CD'!M$2:M$875,'Base bordo CD'!D$2:D$875,A464,'Base bordo CD'!A$2:A$875,B464,'Base bordo CD'!L$2:L$875,"PATIO - RESERVA"),0)</f>
        <v>0</v>
      </c>
      <c r="M464" s="10">
        <f>IFERROR(SUMIFS('Base bordo CD'!M$2:M$875,'Base bordo CD'!D$2:D$875,A464,'Base bordo CD'!A$2:A$875,B464,'Base bordo CD'!L$2:L$875,"SEM APONTAMENTO"),0)</f>
        <v>0</v>
      </c>
      <c r="N464" s="10">
        <f>IFERROR(SUMIFS('Base bordo CD'!M$2:M$875,'Base bordo CD'!D$2:D$875,A464,'Base bordo CD'!A$2:A$875,B464,'Base bordo CD'!L$2:L$875,"FALTA DE CAMINHÃO"),0)+IFERROR(SUMIFS('Base bordo CD'!M$2:M$875,'Base bordo CD'!D$2:D$875,A464,'Base bordo CD'!A$2:A$875,B464,'Base bordo CD'!L$2:L$875,"FALTA DE COMBUSTIVEL"),0)+IFERROR(SUMIFS('Base bordo CD'!M$2:M$875,'Base bordo CD'!D$2:D$875,A464,'Base bordo CD'!A$2:A$875,B464,'Base bordo CD'!L$2:L$875,"FALTA DE MOTORIST*"),0)</f>
        <v>0</v>
      </c>
      <c r="O464" s="10">
        <f t="shared" si="40"/>
        <v>0.75888888888889028</v>
      </c>
      <c r="P464" s="10">
        <f>IFERROR(SUMIFS('Base bordo CD'!M$2:M$875,'Base bordo CD'!D$2:D$875,A464,'Base bordo CD'!A$2:A$875,B464),0)</f>
        <v>23.999999999999996</v>
      </c>
      <c r="Q464" s="10">
        <f>IFERROR(SUMIFS('Base bordo CD'!O$2:O$875,'Base bordo CD'!D$2:D$875,A464,'Base bordo CD'!A$2:A$875,B464,'Base bordo CD'!L$2:L$875,"CORTE DE CANA MECANIZADO"),0)</f>
        <v>7601.4</v>
      </c>
      <c r="R464" s="10">
        <f>IFERROR(SUMIFS('Base bordo CD'!Q$2:Q$875,'Base bordo CD'!D$2:D$875,A464,'Base bordo CD'!A$2:A$875,B464,'Base bordo CD'!L$2:L$875,"CORTE DE CANA MECANIZADO"),0)</f>
        <v>1880</v>
      </c>
      <c r="S464" s="30">
        <f t="shared" si="41"/>
        <v>4.0432978723404256</v>
      </c>
      <c r="T464" s="9">
        <f t="shared" si="42"/>
        <v>2.1759259259259259E-2</v>
      </c>
      <c r="U464" s="9">
        <f t="shared" si="43"/>
        <v>1.1666666666666669E-2</v>
      </c>
      <c r="V464" s="9">
        <f t="shared" si="44"/>
        <v>0.94876157407407402</v>
      </c>
    </row>
    <row r="465" spans="1:22" x14ac:dyDescent="0.35">
      <c r="A465" s="52">
        <v>49596</v>
      </c>
      <c r="B465" s="31">
        <v>46120</v>
      </c>
      <c r="C465" s="7" t="s">
        <v>337</v>
      </c>
      <c r="D465" s="7">
        <v>353</v>
      </c>
      <c r="E465" s="10">
        <f>IFERROR(SUMIFS('Base bordo CD'!M$2:M$875,'Base bordo CD'!D$2:D$875,A465,'Base bordo CD'!A$2:A$875,B465,'Base bordo CD'!L$2:L$875,"CORTE DE CANA MECANIZADO"),0)</f>
        <v>0.52222222222222214</v>
      </c>
      <c r="F465" s="10">
        <f>IFERROR(SUMIFS('Base bordo CD'!M$2:M$875,'Base bordo CD'!D$2:D$875,A465,'Base bordo CD'!A$2:A$875,B465,'Base bordo CD'!L$2:L$875,"MANOBRA"),0)</f>
        <v>0.28000000000000003</v>
      </c>
      <c r="G465" s="10">
        <f>IFERROR(SUMIFS('Base bordo CD'!M$2:M$875,'Base bordo CD'!D$2:D$875,A465,'Base bordo CD'!A$2:A$875,B465,'Base bordo CD'!L$2:L$875,"DESLOCAMENTO"),0)</f>
        <v>0.70750000000000002</v>
      </c>
      <c r="H465" s="10">
        <f>IFERROR(SUMIFS('Base bordo CD'!M$2:M$875,'Base bordo CD'!D$2:D$875,A465,'Base bordo CD'!A$2:A$875,B465,'Base bordo CD'!L$2:L$875,"AGUARDANDO MANOBRA DE TRANSBORDO"),0)+IFERROR(SUMIFS('Base bordo CD'!M$2:M$875,'Base bordo CD'!D$2:D$875,A465,'Base bordo CD'!A$2:A$875,B465,'Base bordo CD'!L$2:L$875,"FALTA DE TRANSBORDO"),0)</f>
        <v>0.1661111111111111</v>
      </c>
      <c r="I465" s="10">
        <f>IFERROR(SUMIFS('Base bordo CD'!M$2:M$875,'Base bordo CD'!D$2:D$875,A465,'Base bordo CD'!A$2:A$875,B465,'Base bordo CD'!L$2:L$875,"PARADA POR CONDICOES CLIMATICAS"),0)+IFERROR(SUMIFS('Base bordo CD'!M$2:M$875,'Base bordo CD'!D$2:D$875,A465,'Base bordo CD'!A$2:A$875,B465,'Base bordo CD'!L$2:L$875,"TEMPO INDETERMINADO"),0)</f>
        <v>21.55083333333333</v>
      </c>
      <c r="J465" s="10">
        <f>IFERROR(SUMIFS('Base bordo CD'!M$2:M$875,'Base bordo CD'!D$2:D$875,A465,'Base bordo CD'!A$2:A$875,B465,'Base bordo CD'!L$2:L$875,"LIMITAÇÃO INDÚSTRIA"),0)</f>
        <v>0</v>
      </c>
      <c r="K465" s="10">
        <f>IFERROR(SUMIFS('Base bordo CD'!M$2:M$875,'Base bordo CD'!D$2:D$875,A465,'Base bordo CD'!A$2:A$875,B465,'Base bordo CD'!L$2:L$875,"MAN CORRETIVA*"),0)+IFERROR(SUMIFS('Base bordo CD'!M$2:M$875,'Base bordo CD'!D$2:D$875,A465,'Base bordo CD'!A$2:A$875,B465,'Base bordo CD'!L$2:L$875,"AGUARDANDO MANUTENCAO*"),0)+IFERROR(SUMIFS('Base bordo CD'!M$2:M$875,'Base bordo CD'!D$2:D$875,A465,'Base bordo CD'!A$2:A$875,B465,'Base bordo CD'!L$2:L$875,"TROCA DE FAQUINHA"),0)+IFERROR(SUMIFS('Base bordo CD'!M$2:M$875,'Base bordo CD'!D$2:D$875,A465,'Base bordo CD'!A$2:A$875,B465,'Base bordo CD'!L$2:L$875,"LIMPEZA*"),0)</f>
        <v>1.4444444444444444E-2</v>
      </c>
      <c r="L465" s="10">
        <f>IFERROR(SUMIFS('Base bordo CD'!M$2:M$875,'Base bordo CD'!D$2:D$875,A465,'Base bordo CD'!A$2:A$875,B465,'Base bordo CD'!L$2:L$875,"PATIO - RESERVA"),0)</f>
        <v>0</v>
      </c>
      <c r="M465" s="10">
        <f>IFERROR(SUMIFS('Base bordo CD'!M$2:M$875,'Base bordo CD'!D$2:D$875,A465,'Base bordo CD'!A$2:A$875,B465,'Base bordo CD'!L$2:L$875,"SEM APONTAMENTO"),0)</f>
        <v>0</v>
      </c>
      <c r="N465" s="10">
        <f>IFERROR(SUMIFS('Base bordo CD'!M$2:M$875,'Base bordo CD'!D$2:D$875,A465,'Base bordo CD'!A$2:A$875,B465,'Base bordo CD'!L$2:L$875,"FALTA DE CAMINHÃO"),0)+IFERROR(SUMIFS('Base bordo CD'!M$2:M$875,'Base bordo CD'!D$2:D$875,A465,'Base bordo CD'!A$2:A$875,B465,'Base bordo CD'!L$2:L$875,"FALTA DE COMBUSTIVEL"),0)+IFERROR(SUMIFS('Base bordo CD'!M$2:M$875,'Base bordo CD'!D$2:D$875,A465,'Base bordo CD'!A$2:A$875,B465,'Base bordo CD'!L$2:L$875,"FALTA DE MOTORIST*"),0)</f>
        <v>0</v>
      </c>
      <c r="O465" s="10">
        <f t="shared" si="40"/>
        <v>0.75888888888889028</v>
      </c>
      <c r="P465" s="10">
        <f>IFERROR(SUMIFS('Base bordo CD'!M$2:M$875,'Base bordo CD'!D$2:D$875,A465,'Base bordo CD'!A$2:A$875,B465),0)</f>
        <v>23.999999999999996</v>
      </c>
      <c r="Q465" s="10">
        <f>IFERROR(SUMIFS('Base bordo CD'!O$2:O$875,'Base bordo CD'!D$2:D$875,A465,'Base bordo CD'!A$2:A$875,B465,'Base bordo CD'!L$2:L$875,"CORTE DE CANA MECANIZADO"),0)</f>
        <v>7601.4</v>
      </c>
      <c r="R465" s="10">
        <f>IFERROR(SUMIFS('Base bordo CD'!Q$2:Q$875,'Base bordo CD'!D$2:D$875,A465,'Base bordo CD'!A$2:A$875,B465,'Base bordo CD'!L$2:L$875,"CORTE DE CANA MECANIZADO"),0)</f>
        <v>1880</v>
      </c>
      <c r="S465" s="30">
        <f t="shared" si="41"/>
        <v>4.0432978723404256</v>
      </c>
      <c r="T465" s="9">
        <f t="shared" si="42"/>
        <v>2.1759259259259259E-2</v>
      </c>
      <c r="U465" s="9">
        <f t="shared" si="43"/>
        <v>1.1666666666666669E-2</v>
      </c>
      <c r="V465" s="9">
        <f t="shared" si="44"/>
        <v>0.94876157407407402</v>
      </c>
    </row>
    <row r="466" spans="1:22" x14ac:dyDescent="0.35">
      <c r="A466" s="52">
        <v>49596</v>
      </c>
      <c r="B466" s="31">
        <v>46120</v>
      </c>
      <c r="C466" s="7" t="s">
        <v>337</v>
      </c>
      <c r="D466" s="7">
        <v>353</v>
      </c>
      <c r="E466" s="10">
        <f>IFERROR(SUMIFS('Base bordo CD'!M$2:M$875,'Base bordo CD'!D$2:D$875,A466,'Base bordo CD'!A$2:A$875,B466,'Base bordo CD'!L$2:L$875,"CORTE DE CANA MECANIZADO"),0)</f>
        <v>0.52222222222222214</v>
      </c>
      <c r="F466" s="10">
        <f>IFERROR(SUMIFS('Base bordo CD'!M$2:M$875,'Base bordo CD'!D$2:D$875,A466,'Base bordo CD'!A$2:A$875,B466,'Base bordo CD'!L$2:L$875,"MANOBRA"),0)</f>
        <v>0.28000000000000003</v>
      </c>
      <c r="G466" s="10">
        <f>IFERROR(SUMIFS('Base bordo CD'!M$2:M$875,'Base bordo CD'!D$2:D$875,A466,'Base bordo CD'!A$2:A$875,B466,'Base bordo CD'!L$2:L$875,"DESLOCAMENTO"),0)</f>
        <v>0.70750000000000002</v>
      </c>
      <c r="H466" s="10">
        <f>IFERROR(SUMIFS('Base bordo CD'!M$2:M$875,'Base bordo CD'!D$2:D$875,A466,'Base bordo CD'!A$2:A$875,B466,'Base bordo CD'!L$2:L$875,"AGUARDANDO MANOBRA DE TRANSBORDO"),0)+IFERROR(SUMIFS('Base bordo CD'!M$2:M$875,'Base bordo CD'!D$2:D$875,A466,'Base bordo CD'!A$2:A$875,B466,'Base bordo CD'!L$2:L$875,"FALTA DE TRANSBORDO"),0)</f>
        <v>0.1661111111111111</v>
      </c>
      <c r="I466" s="10">
        <f>IFERROR(SUMIFS('Base bordo CD'!M$2:M$875,'Base bordo CD'!D$2:D$875,A466,'Base bordo CD'!A$2:A$875,B466,'Base bordo CD'!L$2:L$875,"PARADA POR CONDICOES CLIMATICAS"),0)+IFERROR(SUMIFS('Base bordo CD'!M$2:M$875,'Base bordo CD'!D$2:D$875,A466,'Base bordo CD'!A$2:A$875,B466,'Base bordo CD'!L$2:L$875,"TEMPO INDETERMINADO"),0)</f>
        <v>21.55083333333333</v>
      </c>
      <c r="J466" s="10">
        <f>IFERROR(SUMIFS('Base bordo CD'!M$2:M$875,'Base bordo CD'!D$2:D$875,A466,'Base bordo CD'!A$2:A$875,B466,'Base bordo CD'!L$2:L$875,"LIMITAÇÃO INDÚSTRIA"),0)</f>
        <v>0</v>
      </c>
      <c r="K466" s="10">
        <f>IFERROR(SUMIFS('Base bordo CD'!M$2:M$875,'Base bordo CD'!D$2:D$875,A466,'Base bordo CD'!A$2:A$875,B466,'Base bordo CD'!L$2:L$875,"MAN CORRETIVA*"),0)+IFERROR(SUMIFS('Base bordo CD'!M$2:M$875,'Base bordo CD'!D$2:D$875,A466,'Base bordo CD'!A$2:A$875,B466,'Base bordo CD'!L$2:L$875,"AGUARDANDO MANUTENCAO*"),0)+IFERROR(SUMIFS('Base bordo CD'!M$2:M$875,'Base bordo CD'!D$2:D$875,A466,'Base bordo CD'!A$2:A$875,B466,'Base bordo CD'!L$2:L$875,"TROCA DE FAQUINHA"),0)+IFERROR(SUMIFS('Base bordo CD'!M$2:M$875,'Base bordo CD'!D$2:D$875,A466,'Base bordo CD'!A$2:A$875,B466,'Base bordo CD'!L$2:L$875,"LIMPEZA*"),0)</f>
        <v>1.4444444444444444E-2</v>
      </c>
      <c r="L466" s="10">
        <f>IFERROR(SUMIFS('Base bordo CD'!M$2:M$875,'Base bordo CD'!D$2:D$875,A466,'Base bordo CD'!A$2:A$875,B466,'Base bordo CD'!L$2:L$875,"PATIO - RESERVA"),0)</f>
        <v>0</v>
      </c>
      <c r="M466" s="10">
        <f>IFERROR(SUMIFS('Base bordo CD'!M$2:M$875,'Base bordo CD'!D$2:D$875,A466,'Base bordo CD'!A$2:A$875,B466,'Base bordo CD'!L$2:L$875,"SEM APONTAMENTO"),0)</f>
        <v>0</v>
      </c>
      <c r="N466" s="10">
        <f>IFERROR(SUMIFS('Base bordo CD'!M$2:M$875,'Base bordo CD'!D$2:D$875,A466,'Base bordo CD'!A$2:A$875,B466,'Base bordo CD'!L$2:L$875,"FALTA DE CAMINHÃO"),0)+IFERROR(SUMIFS('Base bordo CD'!M$2:M$875,'Base bordo CD'!D$2:D$875,A466,'Base bordo CD'!A$2:A$875,B466,'Base bordo CD'!L$2:L$875,"FALTA DE COMBUSTIVEL"),0)+IFERROR(SUMIFS('Base bordo CD'!M$2:M$875,'Base bordo CD'!D$2:D$875,A466,'Base bordo CD'!A$2:A$875,B466,'Base bordo CD'!L$2:L$875,"FALTA DE MOTORIST*"),0)</f>
        <v>0</v>
      </c>
      <c r="O466" s="10">
        <f t="shared" si="40"/>
        <v>0.75888888888889028</v>
      </c>
      <c r="P466" s="10">
        <f>IFERROR(SUMIFS('Base bordo CD'!M$2:M$875,'Base bordo CD'!D$2:D$875,A466,'Base bordo CD'!A$2:A$875,B466),0)</f>
        <v>23.999999999999996</v>
      </c>
      <c r="Q466" s="10">
        <f>IFERROR(SUMIFS('Base bordo CD'!O$2:O$875,'Base bordo CD'!D$2:D$875,A466,'Base bordo CD'!A$2:A$875,B466,'Base bordo CD'!L$2:L$875,"CORTE DE CANA MECANIZADO"),0)</f>
        <v>7601.4</v>
      </c>
      <c r="R466" s="10">
        <f>IFERROR(SUMIFS('Base bordo CD'!Q$2:Q$875,'Base bordo CD'!D$2:D$875,A466,'Base bordo CD'!A$2:A$875,B466,'Base bordo CD'!L$2:L$875,"CORTE DE CANA MECANIZADO"),0)</f>
        <v>1880</v>
      </c>
      <c r="S466" s="30">
        <f t="shared" si="41"/>
        <v>4.0432978723404256</v>
      </c>
      <c r="T466" s="9">
        <f t="shared" si="42"/>
        <v>2.1759259259259259E-2</v>
      </c>
      <c r="U466" s="9">
        <f t="shared" si="43"/>
        <v>1.1666666666666669E-2</v>
      </c>
      <c r="V466" s="9">
        <f t="shared" si="44"/>
        <v>0.94876157407407402</v>
      </c>
    </row>
    <row r="467" spans="1:22" hidden="1" x14ac:dyDescent="0.35">
      <c r="A467" s="52">
        <v>49584</v>
      </c>
      <c r="B467" s="31">
        <v>46119</v>
      </c>
      <c r="C467" s="7" t="s">
        <v>321</v>
      </c>
      <c r="D467" s="7">
        <v>351</v>
      </c>
      <c r="E467" s="10">
        <f>IFERROR(SUMIFS('Base bordo CD'!M$2:M$875,'Base bordo CD'!D$2:D$875,A467,'Base bordo CD'!A$2:A$875,B467,'Base bordo CD'!L$2:L$875,"CORTE DE CANA MECANIZADO"),0)</f>
        <v>0</v>
      </c>
      <c r="F467" s="10">
        <f>IFERROR(SUMIFS('Base bordo CD'!M$2:M$875,'Base bordo CD'!D$2:D$875,A467,'Base bordo CD'!A$2:A$875,B467,'Base bordo CD'!L$2:L$875,"MANOBRA"),0)</f>
        <v>0</v>
      </c>
      <c r="G467" s="10">
        <f>IFERROR(SUMIFS('Base bordo CD'!M$2:M$875,'Base bordo CD'!D$2:D$875,A467,'Base bordo CD'!A$2:A$875,B467,'Base bordo CD'!L$2:L$875,"DESLOCAMENTO"),0)</f>
        <v>1.4999999999999999E-2</v>
      </c>
      <c r="H467" s="10">
        <f>IFERROR(SUMIFS('Base bordo CD'!M$2:M$875,'Base bordo CD'!D$2:D$875,A467,'Base bordo CD'!A$2:A$875,B467,'Base bordo CD'!L$2:L$875,"AGUARDANDO MANOBRA DE TRANSBORDO"),0)+IFERROR(SUMIFS('Base bordo CD'!M$2:M$875,'Base bordo CD'!D$2:D$875,A467,'Base bordo CD'!A$2:A$875,B467,'Base bordo CD'!L$2:L$875,"FALTA DE TRANSBORDO"),0)</f>
        <v>0</v>
      </c>
      <c r="I467" s="10">
        <f>IFERROR(SUMIFS('Base bordo CD'!M$2:M$875,'Base bordo CD'!D$2:D$875,A467,'Base bordo CD'!A$2:A$875,B467,'Base bordo CD'!L$2:L$875,"PARADA POR CONDICOES CLIMATICAS"),0)+IFERROR(SUMIFS('Base bordo CD'!M$2:M$875,'Base bordo CD'!D$2:D$875,A467,'Base bordo CD'!A$2:A$875,B467,'Base bordo CD'!L$2:L$875,"TEMPO INDETERMINADO"),0)</f>
        <v>23.984999999999999</v>
      </c>
      <c r="J467" s="10">
        <f>IFERROR(SUMIFS('Base bordo CD'!M$2:M$875,'Base bordo CD'!D$2:D$875,A467,'Base bordo CD'!A$2:A$875,B467,'Base bordo CD'!L$2:L$875,"LIMITAÇÃO INDÚSTRIA"),0)</f>
        <v>0</v>
      </c>
      <c r="K467" s="10">
        <f>IFERROR(SUMIFS('Base bordo CD'!M$2:M$875,'Base bordo CD'!D$2:D$875,A467,'Base bordo CD'!A$2:A$875,B467,'Base bordo CD'!L$2:L$875,"MAN CORRETIVA*"),0)+IFERROR(SUMIFS('Base bordo CD'!M$2:M$875,'Base bordo CD'!D$2:D$875,A467,'Base bordo CD'!A$2:A$875,B467,'Base bordo CD'!L$2:L$875,"AGUARDANDO MANUTENCAO*"),0)+IFERROR(SUMIFS('Base bordo CD'!M$2:M$875,'Base bordo CD'!D$2:D$875,A467,'Base bordo CD'!A$2:A$875,B467,'Base bordo CD'!L$2:L$875,"TROCA DE FAQUINHA"),0)+IFERROR(SUMIFS('Base bordo CD'!M$2:M$875,'Base bordo CD'!D$2:D$875,A467,'Base bordo CD'!A$2:A$875,B467,'Base bordo CD'!L$2:L$875,"LIMPEZA*"),0)</f>
        <v>0</v>
      </c>
      <c r="L467" s="10">
        <f>IFERROR(SUMIFS('Base bordo CD'!M$2:M$875,'Base bordo CD'!D$2:D$875,A467,'Base bordo CD'!A$2:A$875,B467,'Base bordo CD'!L$2:L$875,"PATIO - RESERVA"),0)</f>
        <v>0</v>
      </c>
      <c r="M467" s="10">
        <f>IFERROR(SUMIFS('Base bordo CD'!M$2:M$875,'Base bordo CD'!D$2:D$875,A467,'Base bordo CD'!A$2:A$875,B467,'Base bordo CD'!L$2:L$875,"SEM APONTAMENTO"),0)</f>
        <v>0</v>
      </c>
      <c r="N467" s="10">
        <f>IFERROR(SUMIFS('Base bordo CD'!M$2:M$875,'Base bordo CD'!D$2:D$875,A467,'Base bordo CD'!A$2:A$875,B467,'Base bordo CD'!L$2:L$875,"FALTA DE CAMINHÃO"),0)+IFERROR(SUMIFS('Base bordo CD'!M$2:M$875,'Base bordo CD'!D$2:D$875,A467,'Base bordo CD'!A$2:A$875,B467,'Base bordo CD'!L$2:L$875,"FALTA DE COMBUSTIVEL"),0)+IFERROR(SUMIFS('Base bordo CD'!M$2:M$875,'Base bordo CD'!D$2:D$875,A467,'Base bordo CD'!A$2:A$875,B467,'Base bordo CD'!L$2:L$875,"FALTA DE MOTORIST*"),0)</f>
        <v>0</v>
      </c>
      <c r="O467" s="10">
        <f t="shared" si="40"/>
        <v>0</v>
      </c>
      <c r="P467" s="10">
        <f>IFERROR(SUMIFS('Base bordo CD'!M$2:M$875,'Base bordo CD'!D$2:D$875,A467,'Base bordo CD'!A$2:A$875,B467),0)</f>
        <v>24</v>
      </c>
      <c r="Q467" s="10">
        <f>IFERROR(SUMIFS('Base bordo CD'!O$2:O$875,'Base bordo CD'!D$2:D$875,A467,'Base bordo CD'!A$2:A$875,B467,'Base bordo CD'!L$2:L$875,"CORTE DE CANA MECANIZADO"),0)</f>
        <v>0</v>
      </c>
      <c r="R467" s="10">
        <f>IFERROR(SUMIFS('Base bordo CD'!Q$2:Q$875,'Base bordo CD'!D$2:D$875,A467,'Base bordo CD'!A$2:A$875,B467,'Base bordo CD'!L$2:L$875,"CORTE DE CANA MECANIZADO"),0)</f>
        <v>0</v>
      </c>
      <c r="S467" s="30" t="str">
        <f t="shared" si="41"/>
        <v/>
      </c>
      <c r="T467" s="9">
        <f t="shared" si="42"/>
        <v>0</v>
      </c>
      <c r="U467" s="9">
        <f t="shared" si="43"/>
        <v>0</v>
      </c>
      <c r="V467" s="9">
        <f t="shared" si="44"/>
        <v>0.99937500000000001</v>
      </c>
    </row>
    <row r="468" spans="1:22" hidden="1" x14ac:dyDescent="0.35">
      <c r="A468" s="52">
        <v>49584</v>
      </c>
      <c r="B468" s="31">
        <v>46119</v>
      </c>
      <c r="C468" s="7" t="s">
        <v>321</v>
      </c>
      <c r="D468" s="7">
        <v>351</v>
      </c>
      <c r="E468" s="10">
        <f>IFERROR(SUMIFS('Base bordo CD'!M$2:M$875,'Base bordo CD'!D$2:D$875,A468,'Base bordo CD'!A$2:A$875,B468,'Base bordo CD'!L$2:L$875,"CORTE DE CANA MECANIZADO"),0)</f>
        <v>0</v>
      </c>
      <c r="F468" s="10">
        <f>IFERROR(SUMIFS('Base bordo CD'!M$2:M$875,'Base bordo CD'!D$2:D$875,A468,'Base bordo CD'!A$2:A$875,B468,'Base bordo CD'!L$2:L$875,"MANOBRA"),0)</f>
        <v>0</v>
      </c>
      <c r="G468" s="10">
        <f>IFERROR(SUMIFS('Base bordo CD'!M$2:M$875,'Base bordo CD'!D$2:D$875,A468,'Base bordo CD'!A$2:A$875,B468,'Base bordo CD'!L$2:L$875,"DESLOCAMENTO"),0)</f>
        <v>1.4999999999999999E-2</v>
      </c>
      <c r="H468" s="10">
        <f>IFERROR(SUMIFS('Base bordo CD'!M$2:M$875,'Base bordo CD'!D$2:D$875,A468,'Base bordo CD'!A$2:A$875,B468,'Base bordo CD'!L$2:L$875,"AGUARDANDO MANOBRA DE TRANSBORDO"),0)+IFERROR(SUMIFS('Base bordo CD'!M$2:M$875,'Base bordo CD'!D$2:D$875,A468,'Base bordo CD'!A$2:A$875,B468,'Base bordo CD'!L$2:L$875,"FALTA DE TRANSBORDO"),0)</f>
        <v>0</v>
      </c>
      <c r="I468" s="10">
        <f>IFERROR(SUMIFS('Base bordo CD'!M$2:M$875,'Base bordo CD'!D$2:D$875,A468,'Base bordo CD'!A$2:A$875,B468,'Base bordo CD'!L$2:L$875,"PARADA POR CONDICOES CLIMATICAS"),0)+IFERROR(SUMIFS('Base bordo CD'!M$2:M$875,'Base bordo CD'!D$2:D$875,A468,'Base bordo CD'!A$2:A$875,B468,'Base bordo CD'!L$2:L$875,"TEMPO INDETERMINADO"),0)</f>
        <v>23.984999999999999</v>
      </c>
      <c r="J468" s="10">
        <f>IFERROR(SUMIFS('Base bordo CD'!M$2:M$875,'Base bordo CD'!D$2:D$875,A468,'Base bordo CD'!A$2:A$875,B468,'Base bordo CD'!L$2:L$875,"LIMITAÇÃO INDÚSTRIA"),0)</f>
        <v>0</v>
      </c>
      <c r="K468" s="10">
        <f>IFERROR(SUMIFS('Base bordo CD'!M$2:M$875,'Base bordo CD'!D$2:D$875,A468,'Base bordo CD'!A$2:A$875,B468,'Base bordo CD'!L$2:L$875,"MAN CORRETIVA*"),0)+IFERROR(SUMIFS('Base bordo CD'!M$2:M$875,'Base bordo CD'!D$2:D$875,A468,'Base bordo CD'!A$2:A$875,B468,'Base bordo CD'!L$2:L$875,"AGUARDANDO MANUTENCAO*"),0)+IFERROR(SUMIFS('Base bordo CD'!M$2:M$875,'Base bordo CD'!D$2:D$875,A468,'Base bordo CD'!A$2:A$875,B468,'Base bordo CD'!L$2:L$875,"TROCA DE FAQUINHA"),0)+IFERROR(SUMIFS('Base bordo CD'!M$2:M$875,'Base bordo CD'!D$2:D$875,A468,'Base bordo CD'!A$2:A$875,B468,'Base bordo CD'!L$2:L$875,"LIMPEZA*"),0)</f>
        <v>0</v>
      </c>
      <c r="L468" s="10">
        <f>IFERROR(SUMIFS('Base bordo CD'!M$2:M$875,'Base bordo CD'!D$2:D$875,A468,'Base bordo CD'!A$2:A$875,B468,'Base bordo CD'!L$2:L$875,"PATIO - RESERVA"),0)</f>
        <v>0</v>
      </c>
      <c r="M468" s="10">
        <f>IFERROR(SUMIFS('Base bordo CD'!M$2:M$875,'Base bordo CD'!D$2:D$875,A468,'Base bordo CD'!A$2:A$875,B468,'Base bordo CD'!L$2:L$875,"SEM APONTAMENTO"),0)</f>
        <v>0</v>
      </c>
      <c r="N468" s="10">
        <f>IFERROR(SUMIFS('Base bordo CD'!M$2:M$875,'Base bordo CD'!D$2:D$875,A468,'Base bordo CD'!A$2:A$875,B468,'Base bordo CD'!L$2:L$875,"FALTA DE CAMINHÃO"),0)+IFERROR(SUMIFS('Base bordo CD'!M$2:M$875,'Base bordo CD'!D$2:D$875,A468,'Base bordo CD'!A$2:A$875,B468,'Base bordo CD'!L$2:L$875,"FALTA DE COMBUSTIVEL"),0)+IFERROR(SUMIFS('Base bordo CD'!M$2:M$875,'Base bordo CD'!D$2:D$875,A468,'Base bordo CD'!A$2:A$875,B468,'Base bordo CD'!L$2:L$875,"FALTA DE MOTORIST*"),0)</f>
        <v>0</v>
      </c>
      <c r="O468" s="10">
        <f t="shared" si="40"/>
        <v>0</v>
      </c>
      <c r="P468" s="10">
        <f>IFERROR(SUMIFS('Base bordo CD'!M$2:M$875,'Base bordo CD'!D$2:D$875,A468,'Base bordo CD'!A$2:A$875,B468),0)</f>
        <v>24</v>
      </c>
      <c r="Q468" s="10">
        <f>IFERROR(SUMIFS('Base bordo CD'!O$2:O$875,'Base bordo CD'!D$2:D$875,A468,'Base bordo CD'!A$2:A$875,B468,'Base bordo CD'!L$2:L$875,"CORTE DE CANA MECANIZADO"),0)</f>
        <v>0</v>
      </c>
      <c r="R468" s="10">
        <f>IFERROR(SUMIFS('Base bordo CD'!Q$2:Q$875,'Base bordo CD'!D$2:D$875,A468,'Base bordo CD'!A$2:A$875,B468,'Base bordo CD'!L$2:L$875,"CORTE DE CANA MECANIZADO"),0)</f>
        <v>0</v>
      </c>
      <c r="S468" s="30" t="str">
        <f t="shared" si="41"/>
        <v/>
      </c>
      <c r="T468" s="9">
        <f t="shared" si="42"/>
        <v>0</v>
      </c>
      <c r="U468" s="9">
        <f t="shared" si="43"/>
        <v>0</v>
      </c>
      <c r="V468" s="9">
        <f t="shared" si="44"/>
        <v>0.99937500000000001</v>
      </c>
    </row>
    <row r="469" spans="1:22" hidden="1" x14ac:dyDescent="0.35">
      <c r="A469" s="52">
        <v>49584</v>
      </c>
      <c r="B469" s="31">
        <v>46119</v>
      </c>
      <c r="C469" s="7" t="s">
        <v>321</v>
      </c>
      <c r="D469" s="7">
        <v>351</v>
      </c>
      <c r="E469" s="10">
        <f>IFERROR(SUMIFS('Base bordo CD'!M$2:M$875,'Base bordo CD'!D$2:D$875,A469,'Base bordo CD'!A$2:A$875,B469,'Base bordo CD'!L$2:L$875,"CORTE DE CANA MECANIZADO"),0)</f>
        <v>0</v>
      </c>
      <c r="F469" s="10">
        <f>IFERROR(SUMIFS('Base bordo CD'!M$2:M$875,'Base bordo CD'!D$2:D$875,A469,'Base bordo CD'!A$2:A$875,B469,'Base bordo CD'!L$2:L$875,"MANOBRA"),0)</f>
        <v>0</v>
      </c>
      <c r="G469" s="10">
        <f>IFERROR(SUMIFS('Base bordo CD'!M$2:M$875,'Base bordo CD'!D$2:D$875,A469,'Base bordo CD'!A$2:A$875,B469,'Base bordo CD'!L$2:L$875,"DESLOCAMENTO"),0)</f>
        <v>1.4999999999999999E-2</v>
      </c>
      <c r="H469" s="10">
        <f>IFERROR(SUMIFS('Base bordo CD'!M$2:M$875,'Base bordo CD'!D$2:D$875,A469,'Base bordo CD'!A$2:A$875,B469,'Base bordo CD'!L$2:L$875,"AGUARDANDO MANOBRA DE TRANSBORDO"),0)+IFERROR(SUMIFS('Base bordo CD'!M$2:M$875,'Base bordo CD'!D$2:D$875,A469,'Base bordo CD'!A$2:A$875,B469,'Base bordo CD'!L$2:L$875,"FALTA DE TRANSBORDO"),0)</f>
        <v>0</v>
      </c>
      <c r="I469" s="10">
        <f>IFERROR(SUMIFS('Base bordo CD'!M$2:M$875,'Base bordo CD'!D$2:D$875,A469,'Base bordo CD'!A$2:A$875,B469,'Base bordo CD'!L$2:L$875,"PARADA POR CONDICOES CLIMATICAS"),0)+IFERROR(SUMIFS('Base bordo CD'!M$2:M$875,'Base bordo CD'!D$2:D$875,A469,'Base bordo CD'!A$2:A$875,B469,'Base bordo CD'!L$2:L$875,"TEMPO INDETERMINADO"),0)</f>
        <v>23.984999999999999</v>
      </c>
      <c r="J469" s="10">
        <f>IFERROR(SUMIFS('Base bordo CD'!M$2:M$875,'Base bordo CD'!D$2:D$875,A469,'Base bordo CD'!A$2:A$875,B469,'Base bordo CD'!L$2:L$875,"LIMITAÇÃO INDÚSTRIA"),0)</f>
        <v>0</v>
      </c>
      <c r="K469" s="10">
        <f>IFERROR(SUMIFS('Base bordo CD'!M$2:M$875,'Base bordo CD'!D$2:D$875,A469,'Base bordo CD'!A$2:A$875,B469,'Base bordo CD'!L$2:L$875,"MAN CORRETIVA*"),0)+IFERROR(SUMIFS('Base bordo CD'!M$2:M$875,'Base bordo CD'!D$2:D$875,A469,'Base bordo CD'!A$2:A$875,B469,'Base bordo CD'!L$2:L$875,"AGUARDANDO MANUTENCAO*"),0)+IFERROR(SUMIFS('Base bordo CD'!M$2:M$875,'Base bordo CD'!D$2:D$875,A469,'Base bordo CD'!A$2:A$875,B469,'Base bordo CD'!L$2:L$875,"TROCA DE FAQUINHA"),0)+IFERROR(SUMIFS('Base bordo CD'!M$2:M$875,'Base bordo CD'!D$2:D$875,A469,'Base bordo CD'!A$2:A$875,B469,'Base bordo CD'!L$2:L$875,"LIMPEZA*"),0)</f>
        <v>0</v>
      </c>
      <c r="L469" s="10">
        <f>IFERROR(SUMIFS('Base bordo CD'!M$2:M$875,'Base bordo CD'!D$2:D$875,A469,'Base bordo CD'!A$2:A$875,B469,'Base bordo CD'!L$2:L$875,"PATIO - RESERVA"),0)</f>
        <v>0</v>
      </c>
      <c r="M469" s="10">
        <f>IFERROR(SUMIFS('Base bordo CD'!M$2:M$875,'Base bordo CD'!D$2:D$875,A469,'Base bordo CD'!A$2:A$875,B469,'Base bordo CD'!L$2:L$875,"SEM APONTAMENTO"),0)</f>
        <v>0</v>
      </c>
      <c r="N469" s="10">
        <f>IFERROR(SUMIFS('Base bordo CD'!M$2:M$875,'Base bordo CD'!D$2:D$875,A469,'Base bordo CD'!A$2:A$875,B469,'Base bordo CD'!L$2:L$875,"FALTA DE CAMINHÃO"),0)+IFERROR(SUMIFS('Base bordo CD'!M$2:M$875,'Base bordo CD'!D$2:D$875,A469,'Base bordo CD'!A$2:A$875,B469,'Base bordo CD'!L$2:L$875,"FALTA DE COMBUSTIVEL"),0)+IFERROR(SUMIFS('Base bordo CD'!M$2:M$875,'Base bordo CD'!D$2:D$875,A469,'Base bordo CD'!A$2:A$875,B469,'Base bordo CD'!L$2:L$875,"FALTA DE MOTORIST*"),0)</f>
        <v>0</v>
      </c>
      <c r="O469" s="10">
        <f t="shared" si="40"/>
        <v>0</v>
      </c>
      <c r="P469" s="10">
        <f>IFERROR(SUMIFS('Base bordo CD'!M$2:M$875,'Base bordo CD'!D$2:D$875,A469,'Base bordo CD'!A$2:A$875,B469),0)</f>
        <v>24</v>
      </c>
      <c r="Q469" s="10">
        <f>IFERROR(SUMIFS('Base bordo CD'!O$2:O$875,'Base bordo CD'!D$2:D$875,A469,'Base bordo CD'!A$2:A$875,B469,'Base bordo CD'!L$2:L$875,"CORTE DE CANA MECANIZADO"),0)</f>
        <v>0</v>
      </c>
      <c r="R469" s="10">
        <f>IFERROR(SUMIFS('Base bordo CD'!Q$2:Q$875,'Base bordo CD'!D$2:D$875,A469,'Base bordo CD'!A$2:A$875,B469,'Base bordo CD'!L$2:L$875,"CORTE DE CANA MECANIZADO"),0)</f>
        <v>0</v>
      </c>
      <c r="S469" s="30" t="str">
        <f t="shared" si="41"/>
        <v/>
      </c>
      <c r="T469" s="9">
        <f t="shared" si="42"/>
        <v>0</v>
      </c>
      <c r="U469" s="9">
        <f t="shared" si="43"/>
        <v>0</v>
      </c>
      <c r="V469" s="9">
        <f t="shared" si="44"/>
        <v>0.99937500000000001</v>
      </c>
    </row>
    <row r="470" spans="1:22" x14ac:dyDescent="0.35">
      <c r="A470" s="52">
        <v>49587</v>
      </c>
      <c r="B470" s="31">
        <v>46119</v>
      </c>
      <c r="C470" s="7" t="s">
        <v>337</v>
      </c>
      <c r="D470" s="7">
        <v>353</v>
      </c>
      <c r="E470" s="10">
        <f>IFERROR(SUMIFS('Base bordo CD'!M$2:M$875,'Base bordo CD'!D$2:D$875,A470,'Base bordo CD'!A$2:A$875,B470,'Base bordo CD'!L$2:L$875,"CORTE DE CANA MECANIZADO"),0)</f>
        <v>1.9766666666666666</v>
      </c>
      <c r="F470" s="10">
        <f>IFERROR(SUMIFS('Base bordo CD'!M$2:M$875,'Base bordo CD'!D$2:D$875,A470,'Base bordo CD'!A$2:A$875,B470,'Base bordo CD'!L$2:L$875,"MANOBRA"),0)</f>
        <v>0.64388888888888896</v>
      </c>
      <c r="G470" s="10">
        <f>IFERROR(SUMIFS('Base bordo CD'!M$2:M$875,'Base bordo CD'!D$2:D$875,A470,'Base bordo CD'!A$2:A$875,B470,'Base bordo CD'!L$2:L$875,"DESLOCAMENTO"),0)</f>
        <v>0.3972222222222222</v>
      </c>
      <c r="H470" s="10">
        <f>IFERROR(SUMIFS('Base bordo CD'!M$2:M$875,'Base bordo CD'!D$2:D$875,A470,'Base bordo CD'!A$2:A$875,B470,'Base bordo CD'!L$2:L$875,"AGUARDANDO MANOBRA DE TRANSBORDO"),0)+IFERROR(SUMIFS('Base bordo CD'!M$2:M$875,'Base bordo CD'!D$2:D$875,A470,'Base bordo CD'!A$2:A$875,B470,'Base bordo CD'!L$2:L$875,"FALTA DE TRANSBORDO"),0)</f>
        <v>0</v>
      </c>
      <c r="I470" s="10">
        <f>IFERROR(SUMIFS('Base bordo CD'!M$2:M$875,'Base bordo CD'!D$2:D$875,A470,'Base bordo CD'!A$2:A$875,B470,'Base bordo CD'!L$2:L$875,"PARADA POR CONDICOES CLIMATICAS"),0)+IFERROR(SUMIFS('Base bordo CD'!M$2:M$875,'Base bordo CD'!D$2:D$875,A470,'Base bordo CD'!A$2:A$875,B470,'Base bordo CD'!L$2:L$875,"TEMPO INDETERMINADO"),0)</f>
        <v>17.548611111111111</v>
      </c>
      <c r="J470" s="10">
        <f>IFERROR(SUMIFS('Base bordo CD'!M$2:M$875,'Base bordo CD'!D$2:D$875,A470,'Base bordo CD'!A$2:A$875,B470,'Base bordo CD'!L$2:L$875,"LIMITAÇÃO INDÚSTRIA"),0)</f>
        <v>0</v>
      </c>
      <c r="K470" s="10">
        <f>IFERROR(SUMIFS('Base bordo CD'!M$2:M$875,'Base bordo CD'!D$2:D$875,A470,'Base bordo CD'!A$2:A$875,B470,'Base bordo CD'!L$2:L$875,"MAN CORRETIVA*"),0)+IFERROR(SUMIFS('Base bordo CD'!M$2:M$875,'Base bordo CD'!D$2:D$875,A470,'Base bordo CD'!A$2:A$875,B470,'Base bordo CD'!L$2:L$875,"AGUARDANDO MANUTENCAO*"),0)+IFERROR(SUMIFS('Base bordo CD'!M$2:M$875,'Base bordo CD'!D$2:D$875,A470,'Base bordo CD'!A$2:A$875,B470,'Base bordo CD'!L$2:L$875,"TROCA DE FAQUINHA"),0)+IFERROR(SUMIFS('Base bordo CD'!M$2:M$875,'Base bordo CD'!D$2:D$875,A470,'Base bordo CD'!A$2:A$875,B470,'Base bordo CD'!L$2:L$875,"LIMPEZA*"),0)</f>
        <v>3.4316666666666666</v>
      </c>
      <c r="L470" s="10">
        <f>IFERROR(SUMIFS('Base bordo CD'!M$2:M$875,'Base bordo CD'!D$2:D$875,A470,'Base bordo CD'!A$2:A$875,B470,'Base bordo CD'!L$2:L$875,"PATIO - RESERVA"),0)</f>
        <v>0</v>
      </c>
      <c r="M470" s="10">
        <f>IFERROR(SUMIFS('Base bordo CD'!M$2:M$875,'Base bordo CD'!D$2:D$875,A470,'Base bordo CD'!A$2:A$875,B470,'Base bordo CD'!L$2:L$875,"SEM APONTAMENTO"),0)</f>
        <v>1.9444444444444444E-3</v>
      </c>
      <c r="N470" s="10">
        <f>IFERROR(SUMIFS('Base bordo CD'!M$2:M$875,'Base bordo CD'!D$2:D$875,A470,'Base bordo CD'!A$2:A$875,B470,'Base bordo CD'!L$2:L$875,"FALTA DE CAMINHÃO"),0)+IFERROR(SUMIFS('Base bordo CD'!M$2:M$875,'Base bordo CD'!D$2:D$875,A470,'Base bordo CD'!A$2:A$875,B470,'Base bordo CD'!L$2:L$875,"FALTA DE COMBUSTIVEL"),0)+IFERROR(SUMIFS('Base bordo CD'!M$2:M$875,'Base bordo CD'!D$2:D$875,A470,'Base bordo CD'!A$2:A$875,B470,'Base bordo CD'!L$2:L$875,"FALTA DE MOTORIST*"),0)</f>
        <v>0</v>
      </c>
      <c r="O470" s="10">
        <f t="shared" si="40"/>
        <v>3.5527136788005009E-15</v>
      </c>
      <c r="P470" s="10">
        <f>IFERROR(SUMIFS('Base bordo CD'!M$2:M$875,'Base bordo CD'!D$2:D$875,A470,'Base bordo CD'!A$2:A$875,B470),0)</f>
        <v>24</v>
      </c>
      <c r="Q470" s="10">
        <f>IFERROR(SUMIFS('Base bordo CD'!O$2:O$875,'Base bordo CD'!D$2:D$875,A470,'Base bordo CD'!A$2:A$875,B470,'Base bordo CD'!L$2:L$875,"CORTE DE CANA MECANIZADO"),0)</f>
        <v>27507.010000000002</v>
      </c>
      <c r="R470" s="10">
        <f>IFERROR(SUMIFS('Base bordo CD'!Q$2:Q$875,'Base bordo CD'!D$2:D$875,A470,'Base bordo CD'!A$2:A$875,B470,'Base bordo CD'!L$2:L$875,"CORTE DE CANA MECANIZADO"),0)</f>
        <v>7116</v>
      </c>
      <c r="S470" s="30">
        <f t="shared" si="41"/>
        <v>3.8655157391793145</v>
      </c>
      <c r="T470" s="9">
        <f t="shared" si="42"/>
        <v>8.2361111111111107E-2</v>
      </c>
      <c r="U470" s="9">
        <f t="shared" si="43"/>
        <v>2.6828703703703705E-2</v>
      </c>
      <c r="V470" s="9">
        <f t="shared" si="44"/>
        <v>0.90108796296296301</v>
      </c>
    </row>
    <row r="471" spans="1:22" x14ac:dyDescent="0.35">
      <c r="A471" s="52">
        <v>49587</v>
      </c>
      <c r="B471" s="31">
        <v>46119</v>
      </c>
      <c r="C471" s="7" t="s">
        <v>337</v>
      </c>
      <c r="D471" s="7">
        <v>353</v>
      </c>
      <c r="E471" s="10">
        <f>IFERROR(SUMIFS('Base bordo CD'!M$2:M$875,'Base bordo CD'!D$2:D$875,A471,'Base bordo CD'!A$2:A$875,B471,'Base bordo CD'!L$2:L$875,"CORTE DE CANA MECANIZADO"),0)</f>
        <v>1.9766666666666666</v>
      </c>
      <c r="F471" s="10">
        <f>IFERROR(SUMIFS('Base bordo CD'!M$2:M$875,'Base bordo CD'!D$2:D$875,A471,'Base bordo CD'!A$2:A$875,B471,'Base bordo CD'!L$2:L$875,"MANOBRA"),0)</f>
        <v>0.64388888888888896</v>
      </c>
      <c r="G471" s="10">
        <f>IFERROR(SUMIFS('Base bordo CD'!M$2:M$875,'Base bordo CD'!D$2:D$875,A471,'Base bordo CD'!A$2:A$875,B471,'Base bordo CD'!L$2:L$875,"DESLOCAMENTO"),0)</f>
        <v>0.3972222222222222</v>
      </c>
      <c r="H471" s="10">
        <f>IFERROR(SUMIFS('Base bordo CD'!M$2:M$875,'Base bordo CD'!D$2:D$875,A471,'Base bordo CD'!A$2:A$875,B471,'Base bordo CD'!L$2:L$875,"AGUARDANDO MANOBRA DE TRANSBORDO"),0)+IFERROR(SUMIFS('Base bordo CD'!M$2:M$875,'Base bordo CD'!D$2:D$875,A471,'Base bordo CD'!A$2:A$875,B471,'Base bordo CD'!L$2:L$875,"FALTA DE TRANSBORDO"),0)</f>
        <v>0</v>
      </c>
      <c r="I471" s="10">
        <f>IFERROR(SUMIFS('Base bordo CD'!M$2:M$875,'Base bordo CD'!D$2:D$875,A471,'Base bordo CD'!A$2:A$875,B471,'Base bordo CD'!L$2:L$875,"PARADA POR CONDICOES CLIMATICAS"),0)+IFERROR(SUMIFS('Base bordo CD'!M$2:M$875,'Base bordo CD'!D$2:D$875,A471,'Base bordo CD'!A$2:A$875,B471,'Base bordo CD'!L$2:L$875,"TEMPO INDETERMINADO"),0)</f>
        <v>17.548611111111111</v>
      </c>
      <c r="J471" s="10">
        <f>IFERROR(SUMIFS('Base bordo CD'!M$2:M$875,'Base bordo CD'!D$2:D$875,A471,'Base bordo CD'!A$2:A$875,B471,'Base bordo CD'!L$2:L$875,"LIMITAÇÃO INDÚSTRIA"),0)</f>
        <v>0</v>
      </c>
      <c r="K471" s="10">
        <f>IFERROR(SUMIFS('Base bordo CD'!M$2:M$875,'Base bordo CD'!D$2:D$875,A471,'Base bordo CD'!A$2:A$875,B471,'Base bordo CD'!L$2:L$875,"MAN CORRETIVA*"),0)+IFERROR(SUMIFS('Base bordo CD'!M$2:M$875,'Base bordo CD'!D$2:D$875,A471,'Base bordo CD'!A$2:A$875,B471,'Base bordo CD'!L$2:L$875,"AGUARDANDO MANUTENCAO*"),0)+IFERROR(SUMIFS('Base bordo CD'!M$2:M$875,'Base bordo CD'!D$2:D$875,A471,'Base bordo CD'!A$2:A$875,B471,'Base bordo CD'!L$2:L$875,"TROCA DE FAQUINHA"),0)+IFERROR(SUMIFS('Base bordo CD'!M$2:M$875,'Base bordo CD'!D$2:D$875,A471,'Base bordo CD'!A$2:A$875,B471,'Base bordo CD'!L$2:L$875,"LIMPEZA*"),0)</f>
        <v>3.4316666666666666</v>
      </c>
      <c r="L471" s="10">
        <f>IFERROR(SUMIFS('Base bordo CD'!M$2:M$875,'Base bordo CD'!D$2:D$875,A471,'Base bordo CD'!A$2:A$875,B471,'Base bordo CD'!L$2:L$875,"PATIO - RESERVA"),0)</f>
        <v>0</v>
      </c>
      <c r="M471" s="10">
        <f>IFERROR(SUMIFS('Base bordo CD'!M$2:M$875,'Base bordo CD'!D$2:D$875,A471,'Base bordo CD'!A$2:A$875,B471,'Base bordo CD'!L$2:L$875,"SEM APONTAMENTO"),0)</f>
        <v>1.9444444444444444E-3</v>
      </c>
      <c r="N471" s="10">
        <f>IFERROR(SUMIFS('Base bordo CD'!M$2:M$875,'Base bordo CD'!D$2:D$875,A471,'Base bordo CD'!A$2:A$875,B471,'Base bordo CD'!L$2:L$875,"FALTA DE CAMINHÃO"),0)+IFERROR(SUMIFS('Base bordo CD'!M$2:M$875,'Base bordo CD'!D$2:D$875,A471,'Base bordo CD'!A$2:A$875,B471,'Base bordo CD'!L$2:L$875,"FALTA DE COMBUSTIVEL"),0)+IFERROR(SUMIFS('Base bordo CD'!M$2:M$875,'Base bordo CD'!D$2:D$875,A471,'Base bordo CD'!A$2:A$875,B471,'Base bordo CD'!L$2:L$875,"FALTA DE MOTORIST*"),0)</f>
        <v>0</v>
      </c>
      <c r="O471" s="10">
        <f t="shared" si="40"/>
        <v>3.5527136788005009E-15</v>
      </c>
      <c r="P471" s="10">
        <f>IFERROR(SUMIFS('Base bordo CD'!M$2:M$875,'Base bordo CD'!D$2:D$875,A471,'Base bordo CD'!A$2:A$875,B471),0)</f>
        <v>24</v>
      </c>
      <c r="Q471" s="10">
        <f>IFERROR(SUMIFS('Base bordo CD'!O$2:O$875,'Base bordo CD'!D$2:D$875,A471,'Base bordo CD'!A$2:A$875,B471,'Base bordo CD'!L$2:L$875,"CORTE DE CANA MECANIZADO"),0)</f>
        <v>27507.010000000002</v>
      </c>
      <c r="R471" s="10">
        <f>IFERROR(SUMIFS('Base bordo CD'!Q$2:Q$875,'Base bordo CD'!D$2:D$875,A471,'Base bordo CD'!A$2:A$875,B471,'Base bordo CD'!L$2:L$875,"CORTE DE CANA MECANIZADO"),0)</f>
        <v>7116</v>
      </c>
      <c r="S471" s="30">
        <f t="shared" si="41"/>
        <v>3.8655157391793145</v>
      </c>
      <c r="T471" s="9">
        <f t="shared" si="42"/>
        <v>8.2361111111111107E-2</v>
      </c>
      <c r="U471" s="9">
        <f t="shared" si="43"/>
        <v>2.6828703703703705E-2</v>
      </c>
      <c r="V471" s="9">
        <f t="shared" si="44"/>
        <v>0.90108796296296301</v>
      </c>
    </row>
    <row r="472" spans="1:22" x14ac:dyDescent="0.35">
      <c r="A472" s="52">
        <v>49587</v>
      </c>
      <c r="B472" s="31">
        <v>46119</v>
      </c>
      <c r="C472" s="7" t="s">
        <v>337</v>
      </c>
      <c r="D472" s="7">
        <v>353</v>
      </c>
      <c r="E472" s="10">
        <f>IFERROR(SUMIFS('Base bordo CD'!M$2:M$875,'Base bordo CD'!D$2:D$875,A472,'Base bordo CD'!A$2:A$875,B472,'Base bordo CD'!L$2:L$875,"CORTE DE CANA MECANIZADO"),0)</f>
        <v>1.9766666666666666</v>
      </c>
      <c r="F472" s="10">
        <f>IFERROR(SUMIFS('Base bordo CD'!M$2:M$875,'Base bordo CD'!D$2:D$875,A472,'Base bordo CD'!A$2:A$875,B472,'Base bordo CD'!L$2:L$875,"MANOBRA"),0)</f>
        <v>0.64388888888888896</v>
      </c>
      <c r="G472" s="10">
        <f>IFERROR(SUMIFS('Base bordo CD'!M$2:M$875,'Base bordo CD'!D$2:D$875,A472,'Base bordo CD'!A$2:A$875,B472,'Base bordo CD'!L$2:L$875,"DESLOCAMENTO"),0)</f>
        <v>0.3972222222222222</v>
      </c>
      <c r="H472" s="10">
        <f>IFERROR(SUMIFS('Base bordo CD'!M$2:M$875,'Base bordo CD'!D$2:D$875,A472,'Base bordo CD'!A$2:A$875,B472,'Base bordo CD'!L$2:L$875,"AGUARDANDO MANOBRA DE TRANSBORDO"),0)+IFERROR(SUMIFS('Base bordo CD'!M$2:M$875,'Base bordo CD'!D$2:D$875,A472,'Base bordo CD'!A$2:A$875,B472,'Base bordo CD'!L$2:L$875,"FALTA DE TRANSBORDO"),0)</f>
        <v>0</v>
      </c>
      <c r="I472" s="10">
        <f>IFERROR(SUMIFS('Base bordo CD'!M$2:M$875,'Base bordo CD'!D$2:D$875,A472,'Base bordo CD'!A$2:A$875,B472,'Base bordo CD'!L$2:L$875,"PARADA POR CONDICOES CLIMATICAS"),0)+IFERROR(SUMIFS('Base bordo CD'!M$2:M$875,'Base bordo CD'!D$2:D$875,A472,'Base bordo CD'!A$2:A$875,B472,'Base bordo CD'!L$2:L$875,"TEMPO INDETERMINADO"),0)</f>
        <v>17.548611111111111</v>
      </c>
      <c r="J472" s="10">
        <f>IFERROR(SUMIFS('Base bordo CD'!M$2:M$875,'Base bordo CD'!D$2:D$875,A472,'Base bordo CD'!A$2:A$875,B472,'Base bordo CD'!L$2:L$875,"LIMITAÇÃO INDÚSTRIA"),0)</f>
        <v>0</v>
      </c>
      <c r="K472" s="10">
        <f>IFERROR(SUMIFS('Base bordo CD'!M$2:M$875,'Base bordo CD'!D$2:D$875,A472,'Base bordo CD'!A$2:A$875,B472,'Base bordo CD'!L$2:L$875,"MAN CORRETIVA*"),0)+IFERROR(SUMIFS('Base bordo CD'!M$2:M$875,'Base bordo CD'!D$2:D$875,A472,'Base bordo CD'!A$2:A$875,B472,'Base bordo CD'!L$2:L$875,"AGUARDANDO MANUTENCAO*"),0)+IFERROR(SUMIFS('Base bordo CD'!M$2:M$875,'Base bordo CD'!D$2:D$875,A472,'Base bordo CD'!A$2:A$875,B472,'Base bordo CD'!L$2:L$875,"TROCA DE FAQUINHA"),0)+IFERROR(SUMIFS('Base bordo CD'!M$2:M$875,'Base bordo CD'!D$2:D$875,A472,'Base bordo CD'!A$2:A$875,B472,'Base bordo CD'!L$2:L$875,"LIMPEZA*"),0)</f>
        <v>3.4316666666666666</v>
      </c>
      <c r="L472" s="10">
        <f>IFERROR(SUMIFS('Base bordo CD'!M$2:M$875,'Base bordo CD'!D$2:D$875,A472,'Base bordo CD'!A$2:A$875,B472,'Base bordo CD'!L$2:L$875,"PATIO - RESERVA"),0)</f>
        <v>0</v>
      </c>
      <c r="M472" s="10">
        <f>IFERROR(SUMIFS('Base bordo CD'!M$2:M$875,'Base bordo CD'!D$2:D$875,A472,'Base bordo CD'!A$2:A$875,B472,'Base bordo CD'!L$2:L$875,"SEM APONTAMENTO"),0)</f>
        <v>1.9444444444444444E-3</v>
      </c>
      <c r="N472" s="10">
        <f>IFERROR(SUMIFS('Base bordo CD'!M$2:M$875,'Base bordo CD'!D$2:D$875,A472,'Base bordo CD'!A$2:A$875,B472,'Base bordo CD'!L$2:L$875,"FALTA DE CAMINHÃO"),0)+IFERROR(SUMIFS('Base bordo CD'!M$2:M$875,'Base bordo CD'!D$2:D$875,A472,'Base bordo CD'!A$2:A$875,B472,'Base bordo CD'!L$2:L$875,"FALTA DE COMBUSTIVEL"),0)+IFERROR(SUMIFS('Base bordo CD'!M$2:M$875,'Base bordo CD'!D$2:D$875,A472,'Base bordo CD'!A$2:A$875,B472,'Base bordo CD'!L$2:L$875,"FALTA DE MOTORIST*"),0)</f>
        <v>0</v>
      </c>
      <c r="O472" s="10">
        <f t="shared" si="40"/>
        <v>3.5527136788005009E-15</v>
      </c>
      <c r="P472" s="10">
        <f>IFERROR(SUMIFS('Base bordo CD'!M$2:M$875,'Base bordo CD'!D$2:D$875,A472,'Base bordo CD'!A$2:A$875,B472),0)</f>
        <v>24</v>
      </c>
      <c r="Q472" s="10">
        <f>IFERROR(SUMIFS('Base bordo CD'!O$2:O$875,'Base bordo CD'!D$2:D$875,A472,'Base bordo CD'!A$2:A$875,B472,'Base bordo CD'!L$2:L$875,"CORTE DE CANA MECANIZADO"),0)</f>
        <v>27507.010000000002</v>
      </c>
      <c r="R472" s="10">
        <f>IFERROR(SUMIFS('Base bordo CD'!Q$2:Q$875,'Base bordo CD'!D$2:D$875,A472,'Base bordo CD'!A$2:A$875,B472,'Base bordo CD'!L$2:L$875,"CORTE DE CANA MECANIZADO"),0)</f>
        <v>7116</v>
      </c>
      <c r="S472" s="30">
        <f t="shared" si="41"/>
        <v>3.8655157391793145</v>
      </c>
      <c r="T472" s="9">
        <f t="shared" si="42"/>
        <v>8.2361111111111107E-2</v>
      </c>
      <c r="U472" s="9">
        <f t="shared" si="43"/>
        <v>2.6828703703703705E-2</v>
      </c>
      <c r="V472" s="9">
        <f t="shared" si="44"/>
        <v>0.90108796296296301</v>
      </c>
    </row>
    <row r="473" spans="1:22" x14ac:dyDescent="0.35">
      <c r="A473" s="52">
        <v>49587</v>
      </c>
      <c r="B473" s="31">
        <v>46119</v>
      </c>
      <c r="C473" s="7" t="s">
        <v>337</v>
      </c>
      <c r="D473" s="7">
        <v>353</v>
      </c>
      <c r="E473" s="10">
        <f>IFERROR(SUMIFS('Base bordo CD'!M$2:M$875,'Base bordo CD'!D$2:D$875,A473,'Base bordo CD'!A$2:A$875,B473,'Base bordo CD'!L$2:L$875,"CORTE DE CANA MECANIZADO"),0)</f>
        <v>1.9766666666666666</v>
      </c>
      <c r="F473" s="10">
        <f>IFERROR(SUMIFS('Base bordo CD'!M$2:M$875,'Base bordo CD'!D$2:D$875,A473,'Base bordo CD'!A$2:A$875,B473,'Base bordo CD'!L$2:L$875,"MANOBRA"),0)</f>
        <v>0.64388888888888896</v>
      </c>
      <c r="G473" s="10">
        <f>IFERROR(SUMIFS('Base bordo CD'!M$2:M$875,'Base bordo CD'!D$2:D$875,A473,'Base bordo CD'!A$2:A$875,B473,'Base bordo CD'!L$2:L$875,"DESLOCAMENTO"),0)</f>
        <v>0.3972222222222222</v>
      </c>
      <c r="H473" s="10">
        <f>IFERROR(SUMIFS('Base bordo CD'!M$2:M$875,'Base bordo CD'!D$2:D$875,A473,'Base bordo CD'!A$2:A$875,B473,'Base bordo CD'!L$2:L$875,"AGUARDANDO MANOBRA DE TRANSBORDO"),0)+IFERROR(SUMIFS('Base bordo CD'!M$2:M$875,'Base bordo CD'!D$2:D$875,A473,'Base bordo CD'!A$2:A$875,B473,'Base bordo CD'!L$2:L$875,"FALTA DE TRANSBORDO"),0)</f>
        <v>0</v>
      </c>
      <c r="I473" s="10">
        <f>IFERROR(SUMIFS('Base bordo CD'!M$2:M$875,'Base bordo CD'!D$2:D$875,A473,'Base bordo CD'!A$2:A$875,B473,'Base bordo CD'!L$2:L$875,"PARADA POR CONDICOES CLIMATICAS"),0)+IFERROR(SUMIFS('Base bordo CD'!M$2:M$875,'Base bordo CD'!D$2:D$875,A473,'Base bordo CD'!A$2:A$875,B473,'Base bordo CD'!L$2:L$875,"TEMPO INDETERMINADO"),0)</f>
        <v>17.548611111111111</v>
      </c>
      <c r="J473" s="10">
        <f>IFERROR(SUMIFS('Base bordo CD'!M$2:M$875,'Base bordo CD'!D$2:D$875,A473,'Base bordo CD'!A$2:A$875,B473,'Base bordo CD'!L$2:L$875,"LIMITAÇÃO INDÚSTRIA"),0)</f>
        <v>0</v>
      </c>
      <c r="K473" s="10">
        <f>IFERROR(SUMIFS('Base bordo CD'!M$2:M$875,'Base bordo CD'!D$2:D$875,A473,'Base bordo CD'!A$2:A$875,B473,'Base bordo CD'!L$2:L$875,"MAN CORRETIVA*"),0)+IFERROR(SUMIFS('Base bordo CD'!M$2:M$875,'Base bordo CD'!D$2:D$875,A473,'Base bordo CD'!A$2:A$875,B473,'Base bordo CD'!L$2:L$875,"AGUARDANDO MANUTENCAO*"),0)+IFERROR(SUMIFS('Base bordo CD'!M$2:M$875,'Base bordo CD'!D$2:D$875,A473,'Base bordo CD'!A$2:A$875,B473,'Base bordo CD'!L$2:L$875,"TROCA DE FAQUINHA"),0)+IFERROR(SUMIFS('Base bordo CD'!M$2:M$875,'Base bordo CD'!D$2:D$875,A473,'Base bordo CD'!A$2:A$875,B473,'Base bordo CD'!L$2:L$875,"LIMPEZA*"),0)</f>
        <v>3.4316666666666666</v>
      </c>
      <c r="L473" s="10">
        <f>IFERROR(SUMIFS('Base bordo CD'!M$2:M$875,'Base bordo CD'!D$2:D$875,A473,'Base bordo CD'!A$2:A$875,B473,'Base bordo CD'!L$2:L$875,"PATIO - RESERVA"),0)</f>
        <v>0</v>
      </c>
      <c r="M473" s="10">
        <f>IFERROR(SUMIFS('Base bordo CD'!M$2:M$875,'Base bordo CD'!D$2:D$875,A473,'Base bordo CD'!A$2:A$875,B473,'Base bordo CD'!L$2:L$875,"SEM APONTAMENTO"),0)</f>
        <v>1.9444444444444444E-3</v>
      </c>
      <c r="N473" s="10">
        <f>IFERROR(SUMIFS('Base bordo CD'!M$2:M$875,'Base bordo CD'!D$2:D$875,A473,'Base bordo CD'!A$2:A$875,B473,'Base bordo CD'!L$2:L$875,"FALTA DE CAMINHÃO"),0)+IFERROR(SUMIFS('Base bordo CD'!M$2:M$875,'Base bordo CD'!D$2:D$875,A473,'Base bordo CD'!A$2:A$875,B473,'Base bordo CD'!L$2:L$875,"FALTA DE COMBUSTIVEL"),0)+IFERROR(SUMIFS('Base bordo CD'!M$2:M$875,'Base bordo CD'!D$2:D$875,A473,'Base bordo CD'!A$2:A$875,B473,'Base bordo CD'!L$2:L$875,"FALTA DE MOTORIST*"),0)</f>
        <v>0</v>
      </c>
      <c r="O473" s="10">
        <f t="shared" si="40"/>
        <v>3.5527136788005009E-15</v>
      </c>
      <c r="P473" s="10">
        <f>IFERROR(SUMIFS('Base bordo CD'!M$2:M$875,'Base bordo CD'!D$2:D$875,A473,'Base bordo CD'!A$2:A$875,B473),0)</f>
        <v>24</v>
      </c>
      <c r="Q473" s="10">
        <f>IFERROR(SUMIFS('Base bordo CD'!O$2:O$875,'Base bordo CD'!D$2:D$875,A473,'Base bordo CD'!A$2:A$875,B473,'Base bordo CD'!L$2:L$875,"CORTE DE CANA MECANIZADO"),0)</f>
        <v>27507.010000000002</v>
      </c>
      <c r="R473" s="10">
        <f>IFERROR(SUMIFS('Base bordo CD'!Q$2:Q$875,'Base bordo CD'!D$2:D$875,A473,'Base bordo CD'!A$2:A$875,B473,'Base bordo CD'!L$2:L$875,"CORTE DE CANA MECANIZADO"),0)</f>
        <v>7116</v>
      </c>
      <c r="S473" s="30">
        <f t="shared" si="41"/>
        <v>3.8655157391793145</v>
      </c>
      <c r="T473" s="9">
        <f t="shared" si="42"/>
        <v>8.2361111111111107E-2</v>
      </c>
      <c r="U473" s="9">
        <f t="shared" si="43"/>
        <v>2.6828703703703705E-2</v>
      </c>
      <c r="V473" s="9">
        <f t="shared" si="44"/>
        <v>0.90108796296296301</v>
      </c>
    </row>
    <row r="474" spans="1:22" x14ac:dyDescent="0.35">
      <c r="A474" s="52">
        <v>49587</v>
      </c>
      <c r="B474" s="31">
        <v>46119</v>
      </c>
      <c r="C474" s="7" t="s">
        <v>337</v>
      </c>
      <c r="D474" s="7">
        <v>353</v>
      </c>
      <c r="E474" s="10">
        <f>IFERROR(SUMIFS('Base bordo CD'!M$2:M$875,'Base bordo CD'!D$2:D$875,A474,'Base bordo CD'!A$2:A$875,B474,'Base bordo CD'!L$2:L$875,"CORTE DE CANA MECANIZADO"),0)</f>
        <v>1.9766666666666666</v>
      </c>
      <c r="F474" s="10">
        <f>IFERROR(SUMIFS('Base bordo CD'!M$2:M$875,'Base bordo CD'!D$2:D$875,A474,'Base bordo CD'!A$2:A$875,B474,'Base bordo CD'!L$2:L$875,"MANOBRA"),0)</f>
        <v>0.64388888888888896</v>
      </c>
      <c r="G474" s="10">
        <f>IFERROR(SUMIFS('Base bordo CD'!M$2:M$875,'Base bordo CD'!D$2:D$875,A474,'Base bordo CD'!A$2:A$875,B474,'Base bordo CD'!L$2:L$875,"DESLOCAMENTO"),0)</f>
        <v>0.3972222222222222</v>
      </c>
      <c r="H474" s="10">
        <f>IFERROR(SUMIFS('Base bordo CD'!M$2:M$875,'Base bordo CD'!D$2:D$875,A474,'Base bordo CD'!A$2:A$875,B474,'Base bordo CD'!L$2:L$875,"AGUARDANDO MANOBRA DE TRANSBORDO"),0)+IFERROR(SUMIFS('Base bordo CD'!M$2:M$875,'Base bordo CD'!D$2:D$875,A474,'Base bordo CD'!A$2:A$875,B474,'Base bordo CD'!L$2:L$875,"FALTA DE TRANSBORDO"),0)</f>
        <v>0</v>
      </c>
      <c r="I474" s="10">
        <f>IFERROR(SUMIFS('Base bordo CD'!M$2:M$875,'Base bordo CD'!D$2:D$875,A474,'Base bordo CD'!A$2:A$875,B474,'Base bordo CD'!L$2:L$875,"PARADA POR CONDICOES CLIMATICAS"),0)+IFERROR(SUMIFS('Base bordo CD'!M$2:M$875,'Base bordo CD'!D$2:D$875,A474,'Base bordo CD'!A$2:A$875,B474,'Base bordo CD'!L$2:L$875,"TEMPO INDETERMINADO"),0)</f>
        <v>17.548611111111111</v>
      </c>
      <c r="J474" s="10">
        <f>IFERROR(SUMIFS('Base bordo CD'!M$2:M$875,'Base bordo CD'!D$2:D$875,A474,'Base bordo CD'!A$2:A$875,B474,'Base bordo CD'!L$2:L$875,"LIMITAÇÃO INDÚSTRIA"),0)</f>
        <v>0</v>
      </c>
      <c r="K474" s="10">
        <f>IFERROR(SUMIFS('Base bordo CD'!M$2:M$875,'Base bordo CD'!D$2:D$875,A474,'Base bordo CD'!A$2:A$875,B474,'Base bordo CD'!L$2:L$875,"MAN CORRETIVA*"),0)+IFERROR(SUMIFS('Base bordo CD'!M$2:M$875,'Base bordo CD'!D$2:D$875,A474,'Base bordo CD'!A$2:A$875,B474,'Base bordo CD'!L$2:L$875,"AGUARDANDO MANUTENCAO*"),0)+IFERROR(SUMIFS('Base bordo CD'!M$2:M$875,'Base bordo CD'!D$2:D$875,A474,'Base bordo CD'!A$2:A$875,B474,'Base bordo CD'!L$2:L$875,"TROCA DE FAQUINHA"),0)+IFERROR(SUMIFS('Base bordo CD'!M$2:M$875,'Base bordo CD'!D$2:D$875,A474,'Base bordo CD'!A$2:A$875,B474,'Base bordo CD'!L$2:L$875,"LIMPEZA*"),0)</f>
        <v>3.4316666666666666</v>
      </c>
      <c r="L474" s="10">
        <f>IFERROR(SUMIFS('Base bordo CD'!M$2:M$875,'Base bordo CD'!D$2:D$875,A474,'Base bordo CD'!A$2:A$875,B474,'Base bordo CD'!L$2:L$875,"PATIO - RESERVA"),0)</f>
        <v>0</v>
      </c>
      <c r="M474" s="10">
        <f>IFERROR(SUMIFS('Base bordo CD'!M$2:M$875,'Base bordo CD'!D$2:D$875,A474,'Base bordo CD'!A$2:A$875,B474,'Base bordo CD'!L$2:L$875,"SEM APONTAMENTO"),0)</f>
        <v>1.9444444444444444E-3</v>
      </c>
      <c r="N474" s="10">
        <f>IFERROR(SUMIFS('Base bordo CD'!M$2:M$875,'Base bordo CD'!D$2:D$875,A474,'Base bordo CD'!A$2:A$875,B474,'Base bordo CD'!L$2:L$875,"FALTA DE CAMINHÃO"),0)+IFERROR(SUMIFS('Base bordo CD'!M$2:M$875,'Base bordo CD'!D$2:D$875,A474,'Base bordo CD'!A$2:A$875,B474,'Base bordo CD'!L$2:L$875,"FALTA DE COMBUSTIVEL"),0)+IFERROR(SUMIFS('Base bordo CD'!M$2:M$875,'Base bordo CD'!D$2:D$875,A474,'Base bordo CD'!A$2:A$875,B474,'Base bordo CD'!L$2:L$875,"FALTA DE MOTORIST*"),0)</f>
        <v>0</v>
      </c>
      <c r="O474" s="10">
        <f t="shared" si="40"/>
        <v>3.5527136788005009E-15</v>
      </c>
      <c r="P474" s="10">
        <f>IFERROR(SUMIFS('Base bordo CD'!M$2:M$875,'Base bordo CD'!D$2:D$875,A474,'Base bordo CD'!A$2:A$875,B474),0)</f>
        <v>24</v>
      </c>
      <c r="Q474" s="10">
        <f>IFERROR(SUMIFS('Base bordo CD'!O$2:O$875,'Base bordo CD'!D$2:D$875,A474,'Base bordo CD'!A$2:A$875,B474,'Base bordo CD'!L$2:L$875,"CORTE DE CANA MECANIZADO"),0)</f>
        <v>27507.010000000002</v>
      </c>
      <c r="R474" s="10">
        <f>IFERROR(SUMIFS('Base bordo CD'!Q$2:Q$875,'Base bordo CD'!D$2:D$875,A474,'Base bordo CD'!A$2:A$875,B474,'Base bordo CD'!L$2:L$875,"CORTE DE CANA MECANIZADO"),0)</f>
        <v>7116</v>
      </c>
      <c r="S474" s="30">
        <f t="shared" si="41"/>
        <v>3.8655157391793145</v>
      </c>
      <c r="T474" s="9">
        <f t="shared" si="42"/>
        <v>8.2361111111111107E-2</v>
      </c>
      <c r="U474" s="9">
        <f t="shared" si="43"/>
        <v>2.6828703703703705E-2</v>
      </c>
      <c r="V474" s="9">
        <f t="shared" si="44"/>
        <v>0.90108796296296301</v>
      </c>
    </row>
    <row r="475" spans="1:22" x14ac:dyDescent="0.35">
      <c r="A475" s="52">
        <v>49587</v>
      </c>
      <c r="B475" s="31">
        <v>46119</v>
      </c>
      <c r="C475" s="7" t="s">
        <v>337</v>
      </c>
      <c r="D475" s="7">
        <v>353</v>
      </c>
      <c r="E475" s="10">
        <f>IFERROR(SUMIFS('Base bordo CD'!M$2:M$875,'Base bordo CD'!D$2:D$875,A475,'Base bordo CD'!A$2:A$875,B475,'Base bordo CD'!L$2:L$875,"CORTE DE CANA MECANIZADO"),0)</f>
        <v>1.9766666666666666</v>
      </c>
      <c r="F475" s="10">
        <f>IFERROR(SUMIFS('Base bordo CD'!M$2:M$875,'Base bordo CD'!D$2:D$875,A475,'Base bordo CD'!A$2:A$875,B475,'Base bordo CD'!L$2:L$875,"MANOBRA"),0)</f>
        <v>0.64388888888888896</v>
      </c>
      <c r="G475" s="10">
        <f>IFERROR(SUMIFS('Base bordo CD'!M$2:M$875,'Base bordo CD'!D$2:D$875,A475,'Base bordo CD'!A$2:A$875,B475,'Base bordo CD'!L$2:L$875,"DESLOCAMENTO"),0)</f>
        <v>0.3972222222222222</v>
      </c>
      <c r="H475" s="10">
        <f>IFERROR(SUMIFS('Base bordo CD'!M$2:M$875,'Base bordo CD'!D$2:D$875,A475,'Base bordo CD'!A$2:A$875,B475,'Base bordo CD'!L$2:L$875,"AGUARDANDO MANOBRA DE TRANSBORDO"),0)+IFERROR(SUMIFS('Base bordo CD'!M$2:M$875,'Base bordo CD'!D$2:D$875,A475,'Base bordo CD'!A$2:A$875,B475,'Base bordo CD'!L$2:L$875,"FALTA DE TRANSBORDO"),0)</f>
        <v>0</v>
      </c>
      <c r="I475" s="10">
        <f>IFERROR(SUMIFS('Base bordo CD'!M$2:M$875,'Base bordo CD'!D$2:D$875,A475,'Base bordo CD'!A$2:A$875,B475,'Base bordo CD'!L$2:L$875,"PARADA POR CONDICOES CLIMATICAS"),0)+IFERROR(SUMIFS('Base bordo CD'!M$2:M$875,'Base bordo CD'!D$2:D$875,A475,'Base bordo CD'!A$2:A$875,B475,'Base bordo CD'!L$2:L$875,"TEMPO INDETERMINADO"),0)</f>
        <v>17.548611111111111</v>
      </c>
      <c r="J475" s="10">
        <f>IFERROR(SUMIFS('Base bordo CD'!M$2:M$875,'Base bordo CD'!D$2:D$875,A475,'Base bordo CD'!A$2:A$875,B475,'Base bordo CD'!L$2:L$875,"LIMITAÇÃO INDÚSTRIA"),0)</f>
        <v>0</v>
      </c>
      <c r="K475" s="10">
        <f>IFERROR(SUMIFS('Base bordo CD'!M$2:M$875,'Base bordo CD'!D$2:D$875,A475,'Base bordo CD'!A$2:A$875,B475,'Base bordo CD'!L$2:L$875,"MAN CORRETIVA*"),0)+IFERROR(SUMIFS('Base bordo CD'!M$2:M$875,'Base bordo CD'!D$2:D$875,A475,'Base bordo CD'!A$2:A$875,B475,'Base bordo CD'!L$2:L$875,"AGUARDANDO MANUTENCAO*"),0)+IFERROR(SUMIFS('Base bordo CD'!M$2:M$875,'Base bordo CD'!D$2:D$875,A475,'Base bordo CD'!A$2:A$875,B475,'Base bordo CD'!L$2:L$875,"TROCA DE FAQUINHA"),0)+IFERROR(SUMIFS('Base bordo CD'!M$2:M$875,'Base bordo CD'!D$2:D$875,A475,'Base bordo CD'!A$2:A$875,B475,'Base bordo CD'!L$2:L$875,"LIMPEZA*"),0)</f>
        <v>3.4316666666666666</v>
      </c>
      <c r="L475" s="10">
        <f>IFERROR(SUMIFS('Base bordo CD'!M$2:M$875,'Base bordo CD'!D$2:D$875,A475,'Base bordo CD'!A$2:A$875,B475,'Base bordo CD'!L$2:L$875,"PATIO - RESERVA"),0)</f>
        <v>0</v>
      </c>
      <c r="M475" s="10">
        <f>IFERROR(SUMIFS('Base bordo CD'!M$2:M$875,'Base bordo CD'!D$2:D$875,A475,'Base bordo CD'!A$2:A$875,B475,'Base bordo CD'!L$2:L$875,"SEM APONTAMENTO"),0)</f>
        <v>1.9444444444444444E-3</v>
      </c>
      <c r="N475" s="10">
        <f>IFERROR(SUMIFS('Base bordo CD'!M$2:M$875,'Base bordo CD'!D$2:D$875,A475,'Base bordo CD'!A$2:A$875,B475,'Base bordo CD'!L$2:L$875,"FALTA DE CAMINHÃO"),0)+IFERROR(SUMIFS('Base bordo CD'!M$2:M$875,'Base bordo CD'!D$2:D$875,A475,'Base bordo CD'!A$2:A$875,B475,'Base bordo CD'!L$2:L$875,"FALTA DE COMBUSTIVEL"),0)+IFERROR(SUMIFS('Base bordo CD'!M$2:M$875,'Base bordo CD'!D$2:D$875,A475,'Base bordo CD'!A$2:A$875,B475,'Base bordo CD'!L$2:L$875,"FALTA DE MOTORIST*"),0)</f>
        <v>0</v>
      </c>
      <c r="O475" s="10">
        <f t="shared" si="40"/>
        <v>3.5527136788005009E-15</v>
      </c>
      <c r="P475" s="10">
        <f>IFERROR(SUMIFS('Base bordo CD'!M$2:M$875,'Base bordo CD'!D$2:D$875,A475,'Base bordo CD'!A$2:A$875,B475),0)</f>
        <v>24</v>
      </c>
      <c r="Q475" s="10">
        <f>IFERROR(SUMIFS('Base bordo CD'!O$2:O$875,'Base bordo CD'!D$2:D$875,A475,'Base bordo CD'!A$2:A$875,B475,'Base bordo CD'!L$2:L$875,"CORTE DE CANA MECANIZADO"),0)</f>
        <v>27507.010000000002</v>
      </c>
      <c r="R475" s="10">
        <f>IFERROR(SUMIFS('Base bordo CD'!Q$2:Q$875,'Base bordo CD'!D$2:D$875,A475,'Base bordo CD'!A$2:A$875,B475,'Base bordo CD'!L$2:L$875,"CORTE DE CANA MECANIZADO"),0)</f>
        <v>7116</v>
      </c>
      <c r="S475" s="30">
        <f t="shared" si="41"/>
        <v>3.8655157391793145</v>
      </c>
      <c r="T475" s="9">
        <f t="shared" si="42"/>
        <v>8.2361111111111107E-2</v>
      </c>
      <c r="U475" s="9">
        <f t="shared" si="43"/>
        <v>2.6828703703703705E-2</v>
      </c>
      <c r="V475" s="9">
        <f t="shared" si="44"/>
        <v>0.90108796296296301</v>
      </c>
    </row>
    <row r="476" spans="1:22" x14ac:dyDescent="0.35">
      <c r="A476" s="52">
        <v>49587</v>
      </c>
      <c r="B476" s="31">
        <v>46119</v>
      </c>
      <c r="C476" s="7" t="s">
        <v>337</v>
      </c>
      <c r="D476" s="7">
        <v>353</v>
      </c>
      <c r="E476" s="10">
        <f>IFERROR(SUMIFS('Base bordo CD'!M$2:M$875,'Base bordo CD'!D$2:D$875,A476,'Base bordo CD'!A$2:A$875,B476,'Base bordo CD'!L$2:L$875,"CORTE DE CANA MECANIZADO"),0)</f>
        <v>1.9766666666666666</v>
      </c>
      <c r="F476" s="10">
        <f>IFERROR(SUMIFS('Base bordo CD'!M$2:M$875,'Base bordo CD'!D$2:D$875,A476,'Base bordo CD'!A$2:A$875,B476,'Base bordo CD'!L$2:L$875,"MANOBRA"),0)</f>
        <v>0.64388888888888896</v>
      </c>
      <c r="G476" s="10">
        <f>IFERROR(SUMIFS('Base bordo CD'!M$2:M$875,'Base bordo CD'!D$2:D$875,A476,'Base bordo CD'!A$2:A$875,B476,'Base bordo CD'!L$2:L$875,"DESLOCAMENTO"),0)</f>
        <v>0.3972222222222222</v>
      </c>
      <c r="H476" s="10">
        <f>IFERROR(SUMIFS('Base bordo CD'!M$2:M$875,'Base bordo CD'!D$2:D$875,A476,'Base bordo CD'!A$2:A$875,B476,'Base bordo CD'!L$2:L$875,"AGUARDANDO MANOBRA DE TRANSBORDO"),0)+IFERROR(SUMIFS('Base bordo CD'!M$2:M$875,'Base bordo CD'!D$2:D$875,A476,'Base bordo CD'!A$2:A$875,B476,'Base bordo CD'!L$2:L$875,"FALTA DE TRANSBORDO"),0)</f>
        <v>0</v>
      </c>
      <c r="I476" s="10">
        <f>IFERROR(SUMIFS('Base bordo CD'!M$2:M$875,'Base bordo CD'!D$2:D$875,A476,'Base bordo CD'!A$2:A$875,B476,'Base bordo CD'!L$2:L$875,"PARADA POR CONDICOES CLIMATICAS"),0)+IFERROR(SUMIFS('Base bordo CD'!M$2:M$875,'Base bordo CD'!D$2:D$875,A476,'Base bordo CD'!A$2:A$875,B476,'Base bordo CD'!L$2:L$875,"TEMPO INDETERMINADO"),0)</f>
        <v>17.548611111111111</v>
      </c>
      <c r="J476" s="10">
        <f>IFERROR(SUMIFS('Base bordo CD'!M$2:M$875,'Base bordo CD'!D$2:D$875,A476,'Base bordo CD'!A$2:A$875,B476,'Base bordo CD'!L$2:L$875,"LIMITAÇÃO INDÚSTRIA"),0)</f>
        <v>0</v>
      </c>
      <c r="K476" s="10">
        <f>IFERROR(SUMIFS('Base bordo CD'!M$2:M$875,'Base bordo CD'!D$2:D$875,A476,'Base bordo CD'!A$2:A$875,B476,'Base bordo CD'!L$2:L$875,"MAN CORRETIVA*"),0)+IFERROR(SUMIFS('Base bordo CD'!M$2:M$875,'Base bordo CD'!D$2:D$875,A476,'Base bordo CD'!A$2:A$875,B476,'Base bordo CD'!L$2:L$875,"AGUARDANDO MANUTENCAO*"),0)+IFERROR(SUMIFS('Base bordo CD'!M$2:M$875,'Base bordo CD'!D$2:D$875,A476,'Base bordo CD'!A$2:A$875,B476,'Base bordo CD'!L$2:L$875,"TROCA DE FAQUINHA"),0)+IFERROR(SUMIFS('Base bordo CD'!M$2:M$875,'Base bordo CD'!D$2:D$875,A476,'Base bordo CD'!A$2:A$875,B476,'Base bordo CD'!L$2:L$875,"LIMPEZA*"),0)</f>
        <v>3.4316666666666666</v>
      </c>
      <c r="L476" s="10">
        <f>IFERROR(SUMIFS('Base bordo CD'!M$2:M$875,'Base bordo CD'!D$2:D$875,A476,'Base bordo CD'!A$2:A$875,B476,'Base bordo CD'!L$2:L$875,"PATIO - RESERVA"),0)</f>
        <v>0</v>
      </c>
      <c r="M476" s="10">
        <f>IFERROR(SUMIFS('Base bordo CD'!M$2:M$875,'Base bordo CD'!D$2:D$875,A476,'Base bordo CD'!A$2:A$875,B476,'Base bordo CD'!L$2:L$875,"SEM APONTAMENTO"),0)</f>
        <v>1.9444444444444444E-3</v>
      </c>
      <c r="N476" s="10">
        <f>IFERROR(SUMIFS('Base bordo CD'!M$2:M$875,'Base bordo CD'!D$2:D$875,A476,'Base bordo CD'!A$2:A$875,B476,'Base bordo CD'!L$2:L$875,"FALTA DE CAMINHÃO"),0)+IFERROR(SUMIFS('Base bordo CD'!M$2:M$875,'Base bordo CD'!D$2:D$875,A476,'Base bordo CD'!A$2:A$875,B476,'Base bordo CD'!L$2:L$875,"FALTA DE COMBUSTIVEL"),0)+IFERROR(SUMIFS('Base bordo CD'!M$2:M$875,'Base bordo CD'!D$2:D$875,A476,'Base bordo CD'!A$2:A$875,B476,'Base bordo CD'!L$2:L$875,"FALTA DE MOTORIST*"),0)</f>
        <v>0</v>
      </c>
      <c r="O476" s="10">
        <f t="shared" si="40"/>
        <v>3.5527136788005009E-15</v>
      </c>
      <c r="P476" s="10">
        <f>IFERROR(SUMIFS('Base bordo CD'!M$2:M$875,'Base bordo CD'!D$2:D$875,A476,'Base bordo CD'!A$2:A$875,B476),0)</f>
        <v>24</v>
      </c>
      <c r="Q476" s="10">
        <f>IFERROR(SUMIFS('Base bordo CD'!O$2:O$875,'Base bordo CD'!D$2:D$875,A476,'Base bordo CD'!A$2:A$875,B476,'Base bordo CD'!L$2:L$875,"CORTE DE CANA MECANIZADO"),0)</f>
        <v>27507.010000000002</v>
      </c>
      <c r="R476" s="10">
        <f>IFERROR(SUMIFS('Base bordo CD'!Q$2:Q$875,'Base bordo CD'!D$2:D$875,A476,'Base bordo CD'!A$2:A$875,B476,'Base bordo CD'!L$2:L$875,"CORTE DE CANA MECANIZADO"),0)</f>
        <v>7116</v>
      </c>
      <c r="S476" s="30">
        <f t="shared" si="41"/>
        <v>3.8655157391793145</v>
      </c>
      <c r="T476" s="9">
        <f t="shared" si="42"/>
        <v>8.2361111111111107E-2</v>
      </c>
      <c r="U476" s="9">
        <f t="shared" si="43"/>
        <v>2.6828703703703705E-2</v>
      </c>
      <c r="V476" s="9">
        <f t="shared" si="44"/>
        <v>0.90108796296296301</v>
      </c>
    </row>
    <row r="477" spans="1:22" x14ac:dyDescent="0.35">
      <c r="A477" s="52">
        <v>49587</v>
      </c>
      <c r="B477" s="31">
        <v>46119</v>
      </c>
      <c r="C477" s="7" t="s">
        <v>337</v>
      </c>
      <c r="D477" s="7">
        <v>353</v>
      </c>
      <c r="E477" s="10">
        <f>IFERROR(SUMIFS('Base bordo CD'!M$2:M$875,'Base bordo CD'!D$2:D$875,A477,'Base bordo CD'!A$2:A$875,B477,'Base bordo CD'!L$2:L$875,"CORTE DE CANA MECANIZADO"),0)</f>
        <v>1.9766666666666666</v>
      </c>
      <c r="F477" s="10">
        <f>IFERROR(SUMIFS('Base bordo CD'!M$2:M$875,'Base bordo CD'!D$2:D$875,A477,'Base bordo CD'!A$2:A$875,B477,'Base bordo CD'!L$2:L$875,"MANOBRA"),0)</f>
        <v>0.64388888888888896</v>
      </c>
      <c r="G477" s="10">
        <f>IFERROR(SUMIFS('Base bordo CD'!M$2:M$875,'Base bordo CD'!D$2:D$875,A477,'Base bordo CD'!A$2:A$875,B477,'Base bordo CD'!L$2:L$875,"DESLOCAMENTO"),0)</f>
        <v>0.3972222222222222</v>
      </c>
      <c r="H477" s="10">
        <f>IFERROR(SUMIFS('Base bordo CD'!M$2:M$875,'Base bordo CD'!D$2:D$875,A477,'Base bordo CD'!A$2:A$875,B477,'Base bordo CD'!L$2:L$875,"AGUARDANDO MANOBRA DE TRANSBORDO"),0)+IFERROR(SUMIFS('Base bordo CD'!M$2:M$875,'Base bordo CD'!D$2:D$875,A477,'Base bordo CD'!A$2:A$875,B477,'Base bordo CD'!L$2:L$875,"FALTA DE TRANSBORDO"),0)</f>
        <v>0</v>
      </c>
      <c r="I477" s="10">
        <f>IFERROR(SUMIFS('Base bordo CD'!M$2:M$875,'Base bordo CD'!D$2:D$875,A477,'Base bordo CD'!A$2:A$875,B477,'Base bordo CD'!L$2:L$875,"PARADA POR CONDICOES CLIMATICAS"),0)+IFERROR(SUMIFS('Base bordo CD'!M$2:M$875,'Base bordo CD'!D$2:D$875,A477,'Base bordo CD'!A$2:A$875,B477,'Base bordo CD'!L$2:L$875,"TEMPO INDETERMINADO"),0)</f>
        <v>17.548611111111111</v>
      </c>
      <c r="J477" s="10">
        <f>IFERROR(SUMIFS('Base bordo CD'!M$2:M$875,'Base bordo CD'!D$2:D$875,A477,'Base bordo CD'!A$2:A$875,B477,'Base bordo CD'!L$2:L$875,"LIMITAÇÃO INDÚSTRIA"),0)</f>
        <v>0</v>
      </c>
      <c r="K477" s="10">
        <f>IFERROR(SUMIFS('Base bordo CD'!M$2:M$875,'Base bordo CD'!D$2:D$875,A477,'Base bordo CD'!A$2:A$875,B477,'Base bordo CD'!L$2:L$875,"MAN CORRETIVA*"),0)+IFERROR(SUMIFS('Base bordo CD'!M$2:M$875,'Base bordo CD'!D$2:D$875,A477,'Base bordo CD'!A$2:A$875,B477,'Base bordo CD'!L$2:L$875,"AGUARDANDO MANUTENCAO*"),0)+IFERROR(SUMIFS('Base bordo CD'!M$2:M$875,'Base bordo CD'!D$2:D$875,A477,'Base bordo CD'!A$2:A$875,B477,'Base bordo CD'!L$2:L$875,"TROCA DE FAQUINHA"),0)+IFERROR(SUMIFS('Base bordo CD'!M$2:M$875,'Base bordo CD'!D$2:D$875,A477,'Base bordo CD'!A$2:A$875,B477,'Base bordo CD'!L$2:L$875,"LIMPEZA*"),0)</f>
        <v>3.4316666666666666</v>
      </c>
      <c r="L477" s="10">
        <f>IFERROR(SUMIFS('Base bordo CD'!M$2:M$875,'Base bordo CD'!D$2:D$875,A477,'Base bordo CD'!A$2:A$875,B477,'Base bordo CD'!L$2:L$875,"PATIO - RESERVA"),0)</f>
        <v>0</v>
      </c>
      <c r="M477" s="10">
        <f>IFERROR(SUMIFS('Base bordo CD'!M$2:M$875,'Base bordo CD'!D$2:D$875,A477,'Base bordo CD'!A$2:A$875,B477,'Base bordo CD'!L$2:L$875,"SEM APONTAMENTO"),0)</f>
        <v>1.9444444444444444E-3</v>
      </c>
      <c r="N477" s="10">
        <f>IFERROR(SUMIFS('Base bordo CD'!M$2:M$875,'Base bordo CD'!D$2:D$875,A477,'Base bordo CD'!A$2:A$875,B477,'Base bordo CD'!L$2:L$875,"FALTA DE CAMINHÃO"),0)+IFERROR(SUMIFS('Base bordo CD'!M$2:M$875,'Base bordo CD'!D$2:D$875,A477,'Base bordo CD'!A$2:A$875,B477,'Base bordo CD'!L$2:L$875,"FALTA DE COMBUSTIVEL"),0)+IFERROR(SUMIFS('Base bordo CD'!M$2:M$875,'Base bordo CD'!D$2:D$875,A477,'Base bordo CD'!A$2:A$875,B477,'Base bordo CD'!L$2:L$875,"FALTA DE MOTORIST*"),0)</f>
        <v>0</v>
      </c>
      <c r="O477" s="10">
        <f t="shared" si="40"/>
        <v>3.5527136788005009E-15</v>
      </c>
      <c r="P477" s="10">
        <f>IFERROR(SUMIFS('Base bordo CD'!M$2:M$875,'Base bordo CD'!D$2:D$875,A477,'Base bordo CD'!A$2:A$875,B477),0)</f>
        <v>24</v>
      </c>
      <c r="Q477" s="10">
        <f>IFERROR(SUMIFS('Base bordo CD'!O$2:O$875,'Base bordo CD'!D$2:D$875,A477,'Base bordo CD'!A$2:A$875,B477,'Base bordo CD'!L$2:L$875,"CORTE DE CANA MECANIZADO"),0)</f>
        <v>27507.010000000002</v>
      </c>
      <c r="R477" s="10">
        <f>IFERROR(SUMIFS('Base bordo CD'!Q$2:Q$875,'Base bordo CD'!D$2:D$875,A477,'Base bordo CD'!A$2:A$875,B477,'Base bordo CD'!L$2:L$875,"CORTE DE CANA MECANIZADO"),0)</f>
        <v>7116</v>
      </c>
      <c r="S477" s="30">
        <f t="shared" si="41"/>
        <v>3.8655157391793145</v>
      </c>
      <c r="T477" s="9">
        <f t="shared" si="42"/>
        <v>8.2361111111111107E-2</v>
      </c>
      <c r="U477" s="9">
        <f t="shared" si="43"/>
        <v>2.6828703703703705E-2</v>
      </c>
      <c r="V477" s="9">
        <f t="shared" si="44"/>
        <v>0.90108796296296301</v>
      </c>
    </row>
    <row r="478" spans="1:22" x14ac:dyDescent="0.35">
      <c r="A478" s="52">
        <v>49587</v>
      </c>
      <c r="B478" s="31">
        <v>46119</v>
      </c>
      <c r="C478" s="7" t="s">
        <v>337</v>
      </c>
      <c r="D478" s="7">
        <v>353</v>
      </c>
      <c r="E478" s="10">
        <f>IFERROR(SUMIFS('Base bordo CD'!M$2:M$875,'Base bordo CD'!D$2:D$875,A478,'Base bordo CD'!A$2:A$875,B478,'Base bordo CD'!L$2:L$875,"CORTE DE CANA MECANIZADO"),0)</f>
        <v>1.9766666666666666</v>
      </c>
      <c r="F478" s="10">
        <f>IFERROR(SUMIFS('Base bordo CD'!M$2:M$875,'Base bordo CD'!D$2:D$875,A478,'Base bordo CD'!A$2:A$875,B478,'Base bordo CD'!L$2:L$875,"MANOBRA"),0)</f>
        <v>0.64388888888888896</v>
      </c>
      <c r="G478" s="10">
        <f>IFERROR(SUMIFS('Base bordo CD'!M$2:M$875,'Base bordo CD'!D$2:D$875,A478,'Base bordo CD'!A$2:A$875,B478,'Base bordo CD'!L$2:L$875,"DESLOCAMENTO"),0)</f>
        <v>0.3972222222222222</v>
      </c>
      <c r="H478" s="10">
        <f>IFERROR(SUMIFS('Base bordo CD'!M$2:M$875,'Base bordo CD'!D$2:D$875,A478,'Base bordo CD'!A$2:A$875,B478,'Base bordo CD'!L$2:L$875,"AGUARDANDO MANOBRA DE TRANSBORDO"),0)+IFERROR(SUMIFS('Base bordo CD'!M$2:M$875,'Base bordo CD'!D$2:D$875,A478,'Base bordo CD'!A$2:A$875,B478,'Base bordo CD'!L$2:L$875,"FALTA DE TRANSBORDO"),0)</f>
        <v>0</v>
      </c>
      <c r="I478" s="10">
        <f>IFERROR(SUMIFS('Base bordo CD'!M$2:M$875,'Base bordo CD'!D$2:D$875,A478,'Base bordo CD'!A$2:A$875,B478,'Base bordo CD'!L$2:L$875,"PARADA POR CONDICOES CLIMATICAS"),0)+IFERROR(SUMIFS('Base bordo CD'!M$2:M$875,'Base bordo CD'!D$2:D$875,A478,'Base bordo CD'!A$2:A$875,B478,'Base bordo CD'!L$2:L$875,"TEMPO INDETERMINADO"),0)</f>
        <v>17.548611111111111</v>
      </c>
      <c r="J478" s="10">
        <f>IFERROR(SUMIFS('Base bordo CD'!M$2:M$875,'Base bordo CD'!D$2:D$875,A478,'Base bordo CD'!A$2:A$875,B478,'Base bordo CD'!L$2:L$875,"LIMITAÇÃO INDÚSTRIA"),0)</f>
        <v>0</v>
      </c>
      <c r="K478" s="10">
        <f>IFERROR(SUMIFS('Base bordo CD'!M$2:M$875,'Base bordo CD'!D$2:D$875,A478,'Base bordo CD'!A$2:A$875,B478,'Base bordo CD'!L$2:L$875,"MAN CORRETIVA*"),0)+IFERROR(SUMIFS('Base bordo CD'!M$2:M$875,'Base bordo CD'!D$2:D$875,A478,'Base bordo CD'!A$2:A$875,B478,'Base bordo CD'!L$2:L$875,"AGUARDANDO MANUTENCAO*"),0)+IFERROR(SUMIFS('Base bordo CD'!M$2:M$875,'Base bordo CD'!D$2:D$875,A478,'Base bordo CD'!A$2:A$875,B478,'Base bordo CD'!L$2:L$875,"TROCA DE FAQUINHA"),0)+IFERROR(SUMIFS('Base bordo CD'!M$2:M$875,'Base bordo CD'!D$2:D$875,A478,'Base bordo CD'!A$2:A$875,B478,'Base bordo CD'!L$2:L$875,"LIMPEZA*"),0)</f>
        <v>3.4316666666666666</v>
      </c>
      <c r="L478" s="10">
        <f>IFERROR(SUMIFS('Base bordo CD'!M$2:M$875,'Base bordo CD'!D$2:D$875,A478,'Base bordo CD'!A$2:A$875,B478,'Base bordo CD'!L$2:L$875,"PATIO - RESERVA"),0)</f>
        <v>0</v>
      </c>
      <c r="M478" s="10">
        <f>IFERROR(SUMIFS('Base bordo CD'!M$2:M$875,'Base bordo CD'!D$2:D$875,A478,'Base bordo CD'!A$2:A$875,B478,'Base bordo CD'!L$2:L$875,"SEM APONTAMENTO"),0)</f>
        <v>1.9444444444444444E-3</v>
      </c>
      <c r="N478" s="10">
        <f>IFERROR(SUMIFS('Base bordo CD'!M$2:M$875,'Base bordo CD'!D$2:D$875,A478,'Base bordo CD'!A$2:A$875,B478,'Base bordo CD'!L$2:L$875,"FALTA DE CAMINHÃO"),0)+IFERROR(SUMIFS('Base bordo CD'!M$2:M$875,'Base bordo CD'!D$2:D$875,A478,'Base bordo CD'!A$2:A$875,B478,'Base bordo CD'!L$2:L$875,"FALTA DE COMBUSTIVEL"),0)+IFERROR(SUMIFS('Base bordo CD'!M$2:M$875,'Base bordo CD'!D$2:D$875,A478,'Base bordo CD'!A$2:A$875,B478,'Base bordo CD'!L$2:L$875,"FALTA DE MOTORIST*"),0)</f>
        <v>0</v>
      </c>
      <c r="O478" s="10">
        <f t="shared" si="40"/>
        <v>3.5527136788005009E-15</v>
      </c>
      <c r="P478" s="10">
        <f>IFERROR(SUMIFS('Base bordo CD'!M$2:M$875,'Base bordo CD'!D$2:D$875,A478,'Base bordo CD'!A$2:A$875,B478),0)</f>
        <v>24</v>
      </c>
      <c r="Q478" s="10">
        <f>IFERROR(SUMIFS('Base bordo CD'!O$2:O$875,'Base bordo CD'!D$2:D$875,A478,'Base bordo CD'!A$2:A$875,B478,'Base bordo CD'!L$2:L$875,"CORTE DE CANA MECANIZADO"),0)</f>
        <v>27507.010000000002</v>
      </c>
      <c r="R478" s="10">
        <f>IFERROR(SUMIFS('Base bordo CD'!Q$2:Q$875,'Base bordo CD'!D$2:D$875,A478,'Base bordo CD'!A$2:A$875,B478,'Base bordo CD'!L$2:L$875,"CORTE DE CANA MECANIZADO"),0)</f>
        <v>7116</v>
      </c>
      <c r="S478" s="30">
        <f t="shared" si="41"/>
        <v>3.8655157391793145</v>
      </c>
      <c r="T478" s="9">
        <f t="shared" si="42"/>
        <v>8.2361111111111107E-2</v>
      </c>
      <c r="U478" s="9">
        <f t="shared" si="43"/>
        <v>2.6828703703703705E-2</v>
      </c>
      <c r="V478" s="9">
        <f t="shared" si="44"/>
        <v>0.90108796296296301</v>
      </c>
    </row>
    <row r="479" spans="1:22" x14ac:dyDescent="0.35">
      <c r="A479" s="52">
        <v>49587</v>
      </c>
      <c r="B479" s="31">
        <v>46119</v>
      </c>
      <c r="C479" s="7" t="s">
        <v>337</v>
      </c>
      <c r="D479" s="7">
        <v>353</v>
      </c>
      <c r="E479" s="10">
        <f>IFERROR(SUMIFS('Base bordo CD'!M$2:M$875,'Base bordo CD'!D$2:D$875,A479,'Base bordo CD'!A$2:A$875,B479,'Base bordo CD'!L$2:L$875,"CORTE DE CANA MECANIZADO"),0)</f>
        <v>1.9766666666666666</v>
      </c>
      <c r="F479" s="10">
        <f>IFERROR(SUMIFS('Base bordo CD'!M$2:M$875,'Base bordo CD'!D$2:D$875,A479,'Base bordo CD'!A$2:A$875,B479,'Base bordo CD'!L$2:L$875,"MANOBRA"),0)</f>
        <v>0.64388888888888896</v>
      </c>
      <c r="G479" s="10">
        <f>IFERROR(SUMIFS('Base bordo CD'!M$2:M$875,'Base bordo CD'!D$2:D$875,A479,'Base bordo CD'!A$2:A$875,B479,'Base bordo CD'!L$2:L$875,"DESLOCAMENTO"),0)</f>
        <v>0.3972222222222222</v>
      </c>
      <c r="H479" s="10">
        <f>IFERROR(SUMIFS('Base bordo CD'!M$2:M$875,'Base bordo CD'!D$2:D$875,A479,'Base bordo CD'!A$2:A$875,B479,'Base bordo CD'!L$2:L$875,"AGUARDANDO MANOBRA DE TRANSBORDO"),0)+IFERROR(SUMIFS('Base bordo CD'!M$2:M$875,'Base bordo CD'!D$2:D$875,A479,'Base bordo CD'!A$2:A$875,B479,'Base bordo CD'!L$2:L$875,"FALTA DE TRANSBORDO"),0)</f>
        <v>0</v>
      </c>
      <c r="I479" s="10">
        <f>IFERROR(SUMIFS('Base bordo CD'!M$2:M$875,'Base bordo CD'!D$2:D$875,A479,'Base bordo CD'!A$2:A$875,B479,'Base bordo CD'!L$2:L$875,"PARADA POR CONDICOES CLIMATICAS"),0)+IFERROR(SUMIFS('Base bordo CD'!M$2:M$875,'Base bordo CD'!D$2:D$875,A479,'Base bordo CD'!A$2:A$875,B479,'Base bordo CD'!L$2:L$875,"TEMPO INDETERMINADO"),0)</f>
        <v>17.548611111111111</v>
      </c>
      <c r="J479" s="10">
        <f>IFERROR(SUMIFS('Base bordo CD'!M$2:M$875,'Base bordo CD'!D$2:D$875,A479,'Base bordo CD'!A$2:A$875,B479,'Base bordo CD'!L$2:L$875,"LIMITAÇÃO INDÚSTRIA"),0)</f>
        <v>0</v>
      </c>
      <c r="K479" s="10">
        <f>IFERROR(SUMIFS('Base bordo CD'!M$2:M$875,'Base bordo CD'!D$2:D$875,A479,'Base bordo CD'!A$2:A$875,B479,'Base bordo CD'!L$2:L$875,"MAN CORRETIVA*"),0)+IFERROR(SUMIFS('Base bordo CD'!M$2:M$875,'Base bordo CD'!D$2:D$875,A479,'Base bordo CD'!A$2:A$875,B479,'Base bordo CD'!L$2:L$875,"AGUARDANDO MANUTENCAO*"),0)+IFERROR(SUMIFS('Base bordo CD'!M$2:M$875,'Base bordo CD'!D$2:D$875,A479,'Base bordo CD'!A$2:A$875,B479,'Base bordo CD'!L$2:L$875,"TROCA DE FAQUINHA"),0)+IFERROR(SUMIFS('Base bordo CD'!M$2:M$875,'Base bordo CD'!D$2:D$875,A479,'Base bordo CD'!A$2:A$875,B479,'Base bordo CD'!L$2:L$875,"LIMPEZA*"),0)</f>
        <v>3.4316666666666666</v>
      </c>
      <c r="L479" s="10">
        <f>IFERROR(SUMIFS('Base bordo CD'!M$2:M$875,'Base bordo CD'!D$2:D$875,A479,'Base bordo CD'!A$2:A$875,B479,'Base bordo CD'!L$2:L$875,"PATIO - RESERVA"),0)</f>
        <v>0</v>
      </c>
      <c r="M479" s="10">
        <f>IFERROR(SUMIFS('Base bordo CD'!M$2:M$875,'Base bordo CD'!D$2:D$875,A479,'Base bordo CD'!A$2:A$875,B479,'Base bordo CD'!L$2:L$875,"SEM APONTAMENTO"),0)</f>
        <v>1.9444444444444444E-3</v>
      </c>
      <c r="N479" s="10">
        <f>IFERROR(SUMIFS('Base bordo CD'!M$2:M$875,'Base bordo CD'!D$2:D$875,A479,'Base bordo CD'!A$2:A$875,B479,'Base bordo CD'!L$2:L$875,"FALTA DE CAMINHÃO"),0)+IFERROR(SUMIFS('Base bordo CD'!M$2:M$875,'Base bordo CD'!D$2:D$875,A479,'Base bordo CD'!A$2:A$875,B479,'Base bordo CD'!L$2:L$875,"FALTA DE COMBUSTIVEL"),0)+IFERROR(SUMIFS('Base bordo CD'!M$2:M$875,'Base bordo CD'!D$2:D$875,A479,'Base bordo CD'!A$2:A$875,B479,'Base bordo CD'!L$2:L$875,"FALTA DE MOTORIST*"),0)</f>
        <v>0</v>
      </c>
      <c r="O479" s="10">
        <f t="shared" si="40"/>
        <v>3.5527136788005009E-15</v>
      </c>
      <c r="P479" s="10">
        <f>IFERROR(SUMIFS('Base bordo CD'!M$2:M$875,'Base bordo CD'!D$2:D$875,A479,'Base bordo CD'!A$2:A$875,B479),0)</f>
        <v>24</v>
      </c>
      <c r="Q479" s="10">
        <f>IFERROR(SUMIFS('Base bordo CD'!O$2:O$875,'Base bordo CD'!D$2:D$875,A479,'Base bordo CD'!A$2:A$875,B479,'Base bordo CD'!L$2:L$875,"CORTE DE CANA MECANIZADO"),0)</f>
        <v>27507.010000000002</v>
      </c>
      <c r="R479" s="10">
        <f>IFERROR(SUMIFS('Base bordo CD'!Q$2:Q$875,'Base bordo CD'!D$2:D$875,A479,'Base bordo CD'!A$2:A$875,B479,'Base bordo CD'!L$2:L$875,"CORTE DE CANA MECANIZADO"),0)</f>
        <v>7116</v>
      </c>
      <c r="S479" s="30">
        <f t="shared" si="41"/>
        <v>3.8655157391793145</v>
      </c>
      <c r="T479" s="9">
        <f t="shared" si="42"/>
        <v>8.2361111111111107E-2</v>
      </c>
      <c r="U479" s="9">
        <f t="shared" si="43"/>
        <v>2.6828703703703705E-2</v>
      </c>
      <c r="V479" s="9">
        <f t="shared" si="44"/>
        <v>0.90108796296296301</v>
      </c>
    </row>
    <row r="480" spans="1:22" x14ac:dyDescent="0.35">
      <c r="A480" s="52">
        <v>49587</v>
      </c>
      <c r="B480" s="31">
        <v>46119</v>
      </c>
      <c r="C480" s="7" t="s">
        <v>337</v>
      </c>
      <c r="D480" s="7">
        <v>353</v>
      </c>
      <c r="E480" s="10">
        <f>IFERROR(SUMIFS('Base bordo CD'!M$2:M$875,'Base bordo CD'!D$2:D$875,A480,'Base bordo CD'!A$2:A$875,B480,'Base bordo CD'!L$2:L$875,"CORTE DE CANA MECANIZADO"),0)</f>
        <v>1.9766666666666666</v>
      </c>
      <c r="F480" s="10">
        <f>IFERROR(SUMIFS('Base bordo CD'!M$2:M$875,'Base bordo CD'!D$2:D$875,A480,'Base bordo CD'!A$2:A$875,B480,'Base bordo CD'!L$2:L$875,"MANOBRA"),0)</f>
        <v>0.64388888888888896</v>
      </c>
      <c r="G480" s="10">
        <f>IFERROR(SUMIFS('Base bordo CD'!M$2:M$875,'Base bordo CD'!D$2:D$875,A480,'Base bordo CD'!A$2:A$875,B480,'Base bordo CD'!L$2:L$875,"DESLOCAMENTO"),0)</f>
        <v>0.3972222222222222</v>
      </c>
      <c r="H480" s="10">
        <f>IFERROR(SUMIFS('Base bordo CD'!M$2:M$875,'Base bordo CD'!D$2:D$875,A480,'Base bordo CD'!A$2:A$875,B480,'Base bordo CD'!L$2:L$875,"AGUARDANDO MANOBRA DE TRANSBORDO"),0)+IFERROR(SUMIFS('Base bordo CD'!M$2:M$875,'Base bordo CD'!D$2:D$875,A480,'Base bordo CD'!A$2:A$875,B480,'Base bordo CD'!L$2:L$875,"FALTA DE TRANSBORDO"),0)</f>
        <v>0</v>
      </c>
      <c r="I480" s="10">
        <f>IFERROR(SUMIFS('Base bordo CD'!M$2:M$875,'Base bordo CD'!D$2:D$875,A480,'Base bordo CD'!A$2:A$875,B480,'Base bordo CD'!L$2:L$875,"PARADA POR CONDICOES CLIMATICAS"),0)+IFERROR(SUMIFS('Base bordo CD'!M$2:M$875,'Base bordo CD'!D$2:D$875,A480,'Base bordo CD'!A$2:A$875,B480,'Base bordo CD'!L$2:L$875,"TEMPO INDETERMINADO"),0)</f>
        <v>17.548611111111111</v>
      </c>
      <c r="J480" s="10">
        <f>IFERROR(SUMIFS('Base bordo CD'!M$2:M$875,'Base bordo CD'!D$2:D$875,A480,'Base bordo CD'!A$2:A$875,B480,'Base bordo CD'!L$2:L$875,"LIMITAÇÃO INDÚSTRIA"),0)</f>
        <v>0</v>
      </c>
      <c r="K480" s="10">
        <f>IFERROR(SUMIFS('Base bordo CD'!M$2:M$875,'Base bordo CD'!D$2:D$875,A480,'Base bordo CD'!A$2:A$875,B480,'Base bordo CD'!L$2:L$875,"MAN CORRETIVA*"),0)+IFERROR(SUMIFS('Base bordo CD'!M$2:M$875,'Base bordo CD'!D$2:D$875,A480,'Base bordo CD'!A$2:A$875,B480,'Base bordo CD'!L$2:L$875,"AGUARDANDO MANUTENCAO*"),0)+IFERROR(SUMIFS('Base bordo CD'!M$2:M$875,'Base bordo CD'!D$2:D$875,A480,'Base bordo CD'!A$2:A$875,B480,'Base bordo CD'!L$2:L$875,"TROCA DE FAQUINHA"),0)+IFERROR(SUMIFS('Base bordo CD'!M$2:M$875,'Base bordo CD'!D$2:D$875,A480,'Base bordo CD'!A$2:A$875,B480,'Base bordo CD'!L$2:L$875,"LIMPEZA*"),0)</f>
        <v>3.4316666666666666</v>
      </c>
      <c r="L480" s="10">
        <f>IFERROR(SUMIFS('Base bordo CD'!M$2:M$875,'Base bordo CD'!D$2:D$875,A480,'Base bordo CD'!A$2:A$875,B480,'Base bordo CD'!L$2:L$875,"PATIO - RESERVA"),0)</f>
        <v>0</v>
      </c>
      <c r="M480" s="10">
        <f>IFERROR(SUMIFS('Base bordo CD'!M$2:M$875,'Base bordo CD'!D$2:D$875,A480,'Base bordo CD'!A$2:A$875,B480,'Base bordo CD'!L$2:L$875,"SEM APONTAMENTO"),0)</f>
        <v>1.9444444444444444E-3</v>
      </c>
      <c r="N480" s="10">
        <f>IFERROR(SUMIFS('Base bordo CD'!M$2:M$875,'Base bordo CD'!D$2:D$875,A480,'Base bordo CD'!A$2:A$875,B480,'Base bordo CD'!L$2:L$875,"FALTA DE CAMINHÃO"),0)+IFERROR(SUMIFS('Base bordo CD'!M$2:M$875,'Base bordo CD'!D$2:D$875,A480,'Base bordo CD'!A$2:A$875,B480,'Base bordo CD'!L$2:L$875,"FALTA DE COMBUSTIVEL"),0)+IFERROR(SUMIFS('Base bordo CD'!M$2:M$875,'Base bordo CD'!D$2:D$875,A480,'Base bordo CD'!A$2:A$875,B480,'Base bordo CD'!L$2:L$875,"FALTA DE MOTORIST*"),0)</f>
        <v>0</v>
      </c>
      <c r="O480" s="10">
        <f t="shared" si="40"/>
        <v>3.5527136788005009E-15</v>
      </c>
      <c r="P480" s="10">
        <f>IFERROR(SUMIFS('Base bordo CD'!M$2:M$875,'Base bordo CD'!D$2:D$875,A480,'Base bordo CD'!A$2:A$875,B480),0)</f>
        <v>24</v>
      </c>
      <c r="Q480" s="10">
        <f>IFERROR(SUMIFS('Base bordo CD'!O$2:O$875,'Base bordo CD'!D$2:D$875,A480,'Base bordo CD'!A$2:A$875,B480,'Base bordo CD'!L$2:L$875,"CORTE DE CANA MECANIZADO"),0)</f>
        <v>27507.010000000002</v>
      </c>
      <c r="R480" s="10">
        <f>IFERROR(SUMIFS('Base bordo CD'!Q$2:Q$875,'Base bordo CD'!D$2:D$875,A480,'Base bordo CD'!A$2:A$875,B480,'Base bordo CD'!L$2:L$875,"CORTE DE CANA MECANIZADO"),0)</f>
        <v>7116</v>
      </c>
      <c r="S480" s="30">
        <f t="shared" si="41"/>
        <v>3.8655157391793145</v>
      </c>
      <c r="T480" s="9">
        <f t="shared" si="42"/>
        <v>8.2361111111111107E-2</v>
      </c>
      <c r="U480" s="9">
        <f t="shared" si="43"/>
        <v>2.6828703703703705E-2</v>
      </c>
      <c r="V480" s="9">
        <f t="shared" si="44"/>
        <v>0.90108796296296301</v>
      </c>
    </row>
    <row r="481" spans="1:22" x14ac:dyDescent="0.35">
      <c r="A481" s="52">
        <v>49587</v>
      </c>
      <c r="B481" s="31">
        <v>46119</v>
      </c>
      <c r="C481" s="7" t="s">
        <v>337</v>
      </c>
      <c r="D481" s="7">
        <v>353</v>
      </c>
      <c r="E481" s="10">
        <f>IFERROR(SUMIFS('Base bordo CD'!M$2:M$875,'Base bordo CD'!D$2:D$875,A481,'Base bordo CD'!A$2:A$875,B481,'Base bordo CD'!L$2:L$875,"CORTE DE CANA MECANIZADO"),0)</f>
        <v>1.9766666666666666</v>
      </c>
      <c r="F481" s="10">
        <f>IFERROR(SUMIFS('Base bordo CD'!M$2:M$875,'Base bordo CD'!D$2:D$875,A481,'Base bordo CD'!A$2:A$875,B481,'Base bordo CD'!L$2:L$875,"MANOBRA"),0)</f>
        <v>0.64388888888888896</v>
      </c>
      <c r="G481" s="10">
        <f>IFERROR(SUMIFS('Base bordo CD'!M$2:M$875,'Base bordo CD'!D$2:D$875,A481,'Base bordo CD'!A$2:A$875,B481,'Base bordo CD'!L$2:L$875,"DESLOCAMENTO"),0)</f>
        <v>0.3972222222222222</v>
      </c>
      <c r="H481" s="10">
        <f>IFERROR(SUMIFS('Base bordo CD'!M$2:M$875,'Base bordo CD'!D$2:D$875,A481,'Base bordo CD'!A$2:A$875,B481,'Base bordo CD'!L$2:L$875,"AGUARDANDO MANOBRA DE TRANSBORDO"),0)+IFERROR(SUMIFS('Base bordo CD'!M$2:M$875,'Base bordo CD'!D$2:D$875,A481,'Base bordo CD'!A$2:A$875,B481,'Base bordo CD'!L$2:L$875,"FALTA DE TRANSBORDO"),0)</f>
        <v>0</v>
      </c>
      <c r="I481" s="10">
        <f>IFERROR(SUMIFS('Base bordo CD'!M$2:M$875,'Base bordo CD'!D$2:D$875,A481,'Base bordo CD'!A$2:A$875,B481,'Base bordo CD'!L$2:L$875,"PARADA POR CONDICOES CLIMATICAS"),0)+IFERROR(SUMIFS('Base bordo CD'!M$2:M$875,'Base bordo CD'!D$2:D$875,A481,'Base bordo CD'!A$2:A$875,B481,'Base bordo CD'!L$2:L$875,"TEMPO INDETERMINADO"),0)</f>
        <v>17.548611111111111</v>
      </c>
      <c r="J481" s="10">
        <f>IFERROR(SUMIFS('Base bordo CD'!M$2:M$875,'Base bordo CD'!D$2:D$875,A481,'Base bordo CD'!A$2:A$875,B481,'Base bordo CD'!L$2:L$875,"LIMITAÇÃO INDÚSTRIA"),0)</f>
        <v>0</v>
      </c>
      <c r="K481" s="10">
        <f>IFERROR(SUMIFS('Base bordo CD'!M$2:M$875,'Base bordo CD'!D$2:D$875,A481,'Base bordo CD'!A$2:A$875,B481,'Base bordo CD'!L$2:L$875,"MAN CORRETIVA*"),0)+IFERROR(SUMIFS('Base bordo CD'!M$2:M$875,'Base bordo CD'!D$2:D$875,A481,'Base bordo CD'!A$2:A$875,B481,'Base bordo CD'!L$2:L$875,"AGUARDANDO MANUTENCAO*"),0)+IFERROR(SUMIFS('Base bordo CD'!M$2:M$875,'Base bordo CD'!D$2:D$875,A481,'Base bordo CD'!A$2:A$875,B481,'Base bordo CD'!L$2:L$875,"TROCA DE FAQUINHA"),0)+IFERROR(SUMIFS('Base bordo CD'!M$2:M$875,'Base bordo CD'!D$2:D$875,A481,'Base bordo CD'!A$2:A$875,B481,'Base bordo CD'!L$2:L$875,"LIMPEZA*"),0)</f>
        <v>3.4316666666666666</v>
      </c>
      <c r="L481" s="10">
        <f>IFERROR(SUMIFS('Base bordo CD'!M$2:M$875,'Base bordo CD'!D$2:D$875,A481,'Base bordo CD'!A$2:A$875,B481,'Base bordo CD'!L$2:L$875,"PATIO - RESERVA"),0)</f>
        <v>0</v>
      </c>
      <c r="M481" s="10">
        <f>IFERROR(SUMIFS('Base bordo CD'!M$2:M$875,'Base bordo CD'!D$2:D$875,A481,'Base bordo CD'!A$2:A$875,B481,'Base bordo CD'!L$2:L$875,"SEM APONTAMENTO"),0)</f>
        <v>1.9444444444444444E-3</v>
      </c>
      <c r="N481" s="10">
        <f>IFERROR(SUMIFS('Base bordo CD'!M$2:M$875,'Base bordo CD'!D$2:D$875,A481,'Base bordo CD'!A$2:A$875,B481,'Base bordo CD'!L$2:L$875,"FALTA DE CAMINHÃO"),0)+IFERROR(SUMIFS('Base bordo CD'!M$2:M$875,'Base bordo CD'!D$2:D$875,A481,'Base bordo CD'!A$2:A$875,B481,'Base bordo CD'!L$2:L$875,"FALTA DE COMBUSTIVEL"),0)+IFERROR(SUMIFS('Base bordo CD'!M$2:M$875,'Base bordo CD'!D$2:D$875,A481,'Base bordo CD'!A$2:A$875,B481,'Base bordo CD'!L$2:L$875,"FALTA DE MOTORIST*"),0)</f>
        <v>0</v>
      </c>
      <c r="O481" s="10">
        <f t="shared" si="40"/>
        <v>3.5527136788005009E-15</v>
      </c>
      <c r="P481" s="10">
        <f>IFERROR(SUMIFS('Base bordo CD'!M$2:M$875,'Base bordo CD'!D$2:D$875,A481,'Base bordo CD'!A$2:A$875,B481),0)</f>
        <v>24</v>
      </c>
      <c r="Q481" s="10">
        <f>IFERROR(SUMIFS('Base bordo CD'!O$2:O$875,'Base bordo CD'!D$2:D$875,A481,'Base bordo CD'!A$2:A$875,B481,'Base bordo CD'!L$2:L$875,"CORTE DE CANA MECANIZADO"),0)</f>
        <v>27507.010000000002</v>
      </c>
      <c r="R481" s="10">
        <f>IFERROR(SUMIFS('Base bordo CD'!Q$2:Q$875,'Base bordo CD'!D$2:D$875,A481,'Base bordo CD'!A$2:A$875,B481,'Base bordo CD'!L$2:L$875,"CORTE DE CANA MECANIZADO"),0)</f>
        <v>7116</v>
      </c>
      <c r="S481" s="30">
        <f t="shared" si="41"/>
        <v>3.8655157391793145</v>
      </c>
      <c r="T481" s="9">
        <f t="shared" si="42"/>
        <v>8.2361111111111107E-2</v>
      </c>
      <c r="U481" s="9">
        <f t="shared" si="43"/>
        <v>2.6828703703703705E-2</v>
      </c>
      <c r="V481" s="9">
        <f t="shared" si="44"/>
        <v>0.90108796296296301</v>
      </c>
    </row>
    <row r="482" spans="1:22" x14ac:dyDescent="0.35">
      <c r="A482" s="52">
        <v>49587</v>
      </c>
      <c r="B482" s="31">
        <v>46119</v>
      </c>
      <c r="C482" s="7" t="s">
        <v>337</v>
      </c>
      <c r="D482" s="7">
        <v>353</v>
      </c>
      <c r="E482" s="10">
        <f>IFERROR(SUMIFS('Base bordo CD'!M$2:M$875,'Base bordo CD'!D$2:D$875,A482,'Base bordo CD'!A$2:A$875,B482,'Base bordo CD'!L$2:L$875,"CORTE DE CANA MECANIZADO"),0)</f>
        <v>1.9766666666666666</v>
      </c>
      <c r="F482" s="10">
        <f>IFERROR(SUMIFS('Base bordo CD'!M$2:M$875,'Base bordo CD'!D$2:D$875,A482,'Base bordo CD'!A$2:A$875,B482,'Base bordo CD'!L$2:L$875,"MANOBRA"),0)</f>
        <v>0.64388888888888896</v>
      </c>
      <c r="G482" s="10">
        <f>IFERROR(SUMIFS('Base bordo CD'!M$2:M$875,'Base bordo CD'!D$2:D$875,A482,'Base bordo CD'!A$2:A$875,B482,'Base bordo CD'!L$2:L$875,"DESLOCAMENTO"),0)</f>
        <v>0.3972222222222222</v>
      </c>
      <c r="H482" s="10">
        <f>IFERROR(SUMIFS('Base bordo CD'!M$2:M$875,'Base bordo CD'!D$2:D$875,A482,'Base bordo CD'!A$2:A$875,B482,'Base bordo CD'!L$2:L$875,"AGUARDANDO MANOBRA DE TRANSBORDO"),0)+IFERROR(SUMIFS('Base bordo CD'!M$2:M$875,'Base bordo CD'!D$2:D$875,A482,'Base bordo CD'!A$2:A$875,B482,'Base bordo CD'!L$2:L$875,"FALTA DE TRANSBORDO"),0)</f>
        <v>0</v>
      </c>
      <c r="I482" s="10">
        <f>IFERROR(SUMIFS('Base bordo CD'!M$2:M$875,'Base bordo CD'!D$2:D$875,A482,'Base bordo CD'!A$2:A$875,B482,'Base bordo CD'!L$2:L$875,"PARADA POR CONDICOES CLIMATICAS"),0)+IFERROR(SUMIFS('Base bordo CD'!M$2:M$875,'Base bordo CD'!D$2:D$875,A482,'Base bordo CD'!A$2:A$875,B482,'Base bordo CD'!L$2:L$875,"TEMPO INDETERMINADO"),0)</f>
        <v>17.548611111111111</v>
      </c>
      <c r="J482" s="10">
        <f>IFERROR(SUMIFS('Base bordo CD'!M$2:M$875,'Base bordo CD'!D$2:D$875,A482,'Base bordo CD'!A$2:A$875,B482,'Base bordo CD'!L$2:L$875,"LIMITAÇÃO INDÚSTRIA"),0)</f>
        <v>0</v>
      </c>
      <c r="K482" s="10">
        <f>IFERROR(SUMIFS('Base bordo CD'!M$2:M$875,'Base bordo CD'!D$2:D$875,A482,'Base bordo CD'!A$2:A$875,B482,'Base bordo CD'!L$2:L$875,"MAN CORRETIVA*"),0)+IFERROR(SUMIFS('Base bordo CD'!M$2:M$875,'Base bordo CD'!D$2:D$875,A482,'Base bordo CD'!A$2:A$875,B482,'Base bordo CD'!L$2:L$875,"AGUARDANDO MANUTENCAO*"),0)+IFERROR(SUMIFS('Base bordo CD'!M$2:M$875,'Base bordo CD'!D$2:D$875,A482,'Base bordo CD'!A$2:A$875,B482,'Base bordo CD'!L$2:L$875,"TROCA DE FAQUINHA"),0)+IFERROR(SUMIFS('Base bordo CD'!M$2:M$875,'Base bordo CD'!D$2:D$875,A482,'Base bordo CD'!A$2:A$875,B482,'Base bordo CD'!L$2:L$875,"LIMPEZA*"),0)</f>
        <v>3.4316666666666666</v>
      </c>
      <c r="L482" s="10">
        <f>IFERROR(SUMIFS('Base bordo CD'!M$2:M$875,'Base bordo CD'!D$2:D$875,A482,'Base bordo CD'!A$2:A$875,B482,'Base bordo CD'!L$2:L$875,"PATIO - RESERVA"),0)</f>
        <v>0</v>
      </c>
      <c r="M482" s="10">
        <f>IFERROR(SUMIFS('Base bordo CD'!M$2:M$875,'Base bordo CD'!D$2:D$875,A482,'Base bordo CD'!A$2:A$875,B482,'Base bordo CD'!L$2:L$875,"SEM APONTAMENTO"),0)</f>
        <v>1.9444444444444444E-3</v>
      </c>
      <c r="N482" s="10">
        <f>IFERROR(SUMIFS('Base bordo CD'!M$2:M$875,'Base bordo CD'!D$2:D$875,A482,'Base bordo CD'!A$2:A$875,B482,'Base bordo CD'!L$2:L$875,"FALTA DE CAMINHÃO"),0)+IFERROR(SUMIFS('Base bordo CD'!M$2:M$875,'Base bordo CD'!D$2:D$875,A482,'Base bordo CD'!A$2:A$875,B482,'Base bordo CD'!L$2:L$875,"FALTA DE COMBUSTIVEL"),0)+IFERROR(SUMIFS('Base bordo CD'!M$2:M$875,'Base bordo CD'!D$2:D$875,A482,'Base bordo CD'!A$2:A$875,B482,'Base bordo CD'!L$2:L$875,"FALTA DE MOTORIST*"),0)</f>
        <v>0</v>
      </c>
      <c r="O482" s="10">
        <f t="shared" si="40"/>
        <v>3.5527136788005009E-15</v>
      </c>
      <c r="P482" s="10">
        <f>IFERROR(SUMIFS('Base bordo CD'!M$2:M$875,'Base bordo CD'!D$2:D$875,A482,'Base bordo CD'!A$2:A$875,B482),0)</f>
        <v>24</v>
      </c>
      <c r="Q482" s="10">
        <f>IFERROR(SUMIFS('Base bordo CD'!O$2:O$875,'Base bordo CD'!D$2:D$875,A482,'Base bordo CD'!A$2:A$875,B482,'Base bordo CD'!L$2:L$875,"CORTE DE CANA MECANIZADO"),0)</f>
        <v>27507.010000000002</v>
      </c>
      <c r="R482" s="10">
        <f>IFERROR(SUMIFS('Base bordo CD'!Q$2:Q$875,'Base bordo CD'!D$2:D$875,A482,'Base bordo CD'!A$2:A$875,B482,'Base bordo CD'!L$2:L$875,"CORTE DE CANA MECANIZADO"),0)</f>
        <v>7116</v>
      </c>
      <c r="S482" s="30">
        <f t="shared" si="41"/>
        <v>3.8655157391793145</v>
      </c>
      <c r="T482" s="9">
        <f t="shared" si="42"/>
        <v>8.2361111111111107E-2</v>
      </c>
      <c r="U482" s="9">
        <f t="shared" si="43"/>
        <v>2.6828703703703705E-2</v>
      </c>
      <c r="V482" s="9">
        <f t="shared" si="44"/>
        <v>0.90108796296296301</v>
      </c>
    </row>
    <row r="483" spans="1:22" x14ac:dyDescent="0.35">
      <c r="A483" s="52">
        <v>49587</v>
      </c>
      <c r="B483" s="31">
        <v>46119</v>
      </c>
      <c r="C483" s="7" t="s">
        <v>337</v>
      </c>
      <c r="D483" s="7">
        <v>353</v>
      </c>
      <c r="E483" s="10">
        <f>IFERROR(SUMIFS('Base bordo CD'!M$2:M$875,'Base bordo CD'!D$2:D$875,A483,'Base bordo CD'!A$2:A$875,B483,'Base bordo CD'!L$2:L$875,"CORTE DE CANA MECANIZADO"),0)</f>
        <v>1.9766666666666666</v>
      </c>
      <c r="F483" s="10">
        <f>IFERROR(SUMIFS('Base bordo CD'!M$2:M$875,'Base bordo CD'!D$2:D$875,A483,'Base bordo CD'!A$2:A$875,B483,'Base bordo CD'!L$2:L$875,"MANOBRA"),0)</f>
        <v>0.64388888888888896</v>
      </c>
      <c r="G483" s="10">
        <f>IFERROR(SUMIFS('Base bordo CD'!M$2:M$875,'Base bordo CD'!D$2:D$875,A483,'Base bordo CD'!A$2:A$875,B483,'Base bordo CD'!L$2:L$875,"DESLOCAMENTO"),0)</f>
        <v>0.3972222222222222</v>
      </c>
      <c r="H483" s="10">
        <f>IFERROR(SUMIFS('Base bordo CD'!M$2:M$875,'Base bordo CD'!D$2:D$875,A483,'Base bordo CD'!A$2:A$875,B483,'Base bordo CD'!L$2:L$875,"AGUARDANDO MANOBRA DE TRANSBORDO"),0)+IFERROR(SUMIFS('Base bordo CD'!M$2:M$875,'Base bordo CD'!D$2:D$875,A483,'Base bordo CD'!A$2:A$875,B483,'Base bordo CD'!L$2:L$875,"FALTA DE TRANSBORDO"),0)</f>
        <v>0</v>
      </c>
      <c r="I483" s="10">
        <f>IFERROR(SUMIFS('Base bordo CD'!M$2:M$875,'Base bordo CD'!D$2:D$875,A483,'Base bordo CD'!A$2:A$875,B483,'Base bordo CD'!L$2:L$875,"PARADA POR CONDICOES CLIMATICAS"),0)+IFERROR(SUMIFS('Base bordo CD'!M$2:M$875,'Base bordo CD'!D$2:D$875,A483,'Base bordo CD'!A$2:A$875,B483,'Base bordo CD'!L$2:L$875,"TEMPO INDETERMINADO"),0)</f>
        <v>17.548611111111111</v>
      </c>
      <c r="J483" s="10">
        <f>IFERROR(SUMIFS('Base bordo CD'!M$2:M$875,'Base bordo CD'!D$2:D$875,A483,'Base bordo CD'!A$2:A$875,B483,'Base bordo CD'!L$2:L$875,"LIMITAÇÃO INDÚSTRIA"),0)</f>
        <v>0</v>
      </c>
      <c r="K483" s="10">
        <f>IFERROR(SUMIFS('Base bordo CD'!M$2:M$875,'Base bordo CD'!D$2:D$875,A483,'Base bordo CD'!A$2:A$875,B483,'Base bordo CD'!L$2:L$875,"MAN CORRETIVA*"),0)+IFERROR(SUMIFS('Base bordo CD'!M$2:M$875,'Base bordo CD'!D$2:D$875,A483,'Base bordo CD'!A$2:A$875,B483,'Base bordo CD'!L$2:L$875,"AGUARDANDO MANUTENCAO*"),0)+IFERROR(SUMIFS('Base bordo CD'!M$2:M$875,'Base bordo CD'!D$2:D$875,A483,'Base bordo CD'!A$2:A$875,B483,'Base bordo CD'!L$2:L$875,"TROCA DE FAQUINHA"),0)+IFERROR(SUMIFS('Base bordo CD'!M$2:M$875,'Base bordo CD'!D$2:D$875,A483,'Base bordo CD'!A$2:A$875,B483,'Base bordo CD'!L$2:L$875,"LIMPEZA*"),0)</f>
        <v>3.4316666666666666</v>
      </c>
      <c r="L483" s="10">
        <f>IFERROR(SUMIFS('Base bordo CD'!M$2:M$875,'Base bordo CD'!D$2:D$875,A483,'Base bordo CD'!A$2:A$875,B483,'Base bordo CD'!L$2:L$875,"PATIO - RESERVA"),0)</f>
        <v>0</v>
      </c>
      <c r="M483" s="10">
        <f>IFERROR(SUMIFS('Base bordo CD'!M$2:M$875,'Base bordo CD'!D$2:D$875,A483,'Base bordo CD'!A$2:A$875,B483,'Base bordo CD'!L$2:L$875,"SEM APONTAMENTO"),0)</f>
        <v>1.9444444444444444E-3</v>
      </c>
      <c r="N483" s="10">
        <f>IFERROR(SUMIFS('Base bordo CD'!M$2:M$875,'Base bordo CD'!D$2:D$875,A483,'Base bordo CD'!A$2:A$875,B483,'Base bordo CD'!L$2:L$875,"FALTA DE CAMINHÃO"),0)+IFERROR(SUMIFS('Base bordo CD'!M$2:M$875,'Base bordo CD'!D$2:D$875,A483,'Base bordo CD'!A$2:A$875,B483,'Base bordo CD'!L$2:L$875,"FALTA DE COMBUSTIVEL"),0)+IFERROR(SUMIFS('Base bordo CD'!M$2:M$875,'Base bordo CD'!D$2:D$875,A483,'Base bordo CD'!A$2:A$875,B483,'Base bordo CD'!L$2:L$875,"FALTA DE MOTORIST*"),0)</f>
        <v>0</v>
      </c>
      <c r="O483" s="10">
        <f t="shared" si="40"/>
        <v>3.5527136788005009E-15</v>
      </c>
      <c r="P483" s="10">
        <f>IFERROR(SUMIFS('Base bordo CD'!M$2:M$875,'Base bordo CD'!D$2:D$875,A483,'Base bordo CD'!A$2:A$875,B483),0)</f>
        <v>24</v>
      </c>
      <c r="Q483" s="10">
        <f>IFERROR(SUMIFS('Base bordo CD'!O$2:O$875,'Base bordo CD'!D$2:D$875,A483,'Base bordo CD'!A$2:A$875,B483,'Base bordo CD'!L$2:L$875,"CORTE DE CANA MECANIZADO"),0)</f>
        <v>27507.010000000002</v>
      </c>
      <c r="R483" s="10">
        <f>IFERROR(SUMIFS('Base bordo CD'!Q$2:Q$875,'Base bordo CD'!D$2:D$875,A483,'Base bordo CD'!A$2:A$875,B483,'Base bordo CD'!L$2:L$875,"CORTE DE CANA MECANIZADO"),0)</f>
        <v>7116</v>
      </c>
      <c r="S483" s="30">
        <f t="shared" si="41"/>
        <v>3.8655157391793145</v>
      </c>
      <c r="T483" s="9">
        <f t="shared" si="42"/>
        <v>8.2361111111111107E-2</v>
      </c>
      <c r="U483" s="9">
        <f t="shared" si="43"/>
        <v>2.6828703703703705E-2</v>
      </c>
      <c r="V483" s="9">
        <f t="shared" si="44"/>
        <v>0.90108796296296301</v>
      </c>
    </row>
    <row r="484" spans="1:22" x14ac:dyDescent="0.35">
      <c r="A484" s="52">
        <v>49587</v>
      </c>
      <c r="B484" s="31">
        <v>46119</v>
      </c>
      <c r="C484" s="7" t="s">
        <v>337</v>
      </c>
      <c r="D484" s="7">
        <v>353</v>
      </c>
      <c r="E484" s="10">
        <f>IFERROR(SUMIFS('Base bordo CD'!M$2:M$875,'Base bordo CD'!D$2:D$875,A484,'Base bordo CD'!A$2:A$875,B484,'Base bordo CD'!L$2:L$875,"CORTE DE CANA MECANIZADO"),0)</f>
        <v>1.9766666666666666</v>
      </c>
      <c r="F484" s="10">
        <f>IFERROR(SUMIFS('Base bordo CD'!M$2:M$875,'Base bordo CD'!D$2:D$875,A484,'Base bordo CD'!A$2:A$875,B484,'Base bordo CD'!L$2:L$875,"MANOBRA"),0)</f>
        <v>0.64388888888888896</v>
      </c>
      <c r="G484" s="10">
        <f>IFERROR(SUMIFS('Base bordo CD'!M$2:M$875,'Base bordo CD'!D$2:D$875,A484,'Base bordo CD'!A$2:A$875,B484,'Base bordo CD'!L$2:L$875,"DESLOCAMENTO"),0)</f>
        <v>0.3972222222222222</v>
      </c>
      <c r="H484" s="10">
        <f>IFERROR(SUMIFS('Base bordo CD'!M$2:M$875,'Base bordo CD'!D$2:D$875,A484,'Base bordo CD'!A$2:A$875,B484,'Base bordo CD'!L$2:L$875,"AGUARDANDO MANOBRA DE TRANSBORDO"),0)+IFERROR(SUMIFS('Base bordo CD'!M$2:M$875,'Base bordo CD'!D$2:D$875,A484,'Base bordo CD'!A$2:A$875,B484,'Base bordo CD'!L$2:L$875,"FALTA DE TRANSBORDO"),0)</f>
        <v>0</v>
      </c>
      <c r="I484" s="10">
        <f>IFERROR(SUMIFS('Base bordo CD'!M$2:M$875,'Base bordo CD'!D$2:D$875,A484,'Base bordo CD'!A$2:A$875,B484,'Base bordo CD'!L$2:L$875,"PARADA POR CONDICOES CLIMATICAS"),0)+IFERROR(SUMIFS('Base bordo CD'!M$2:M$875,'Base bordo CD'!D$2:D$875,A484,'Base bordo CD'!A$2:A$875,B484,'Base bordo CD'!L$2:L$875,"TEMPO INDETERMINADO"),0)</f>
        <v>17.548611111111111</v>
      </c>
      <c r="J484" s="10">
        <f>IFERROR(SUMIFS('Base bordo CD'!M$2:M$875,'Base bordo CD'!D$2:D$875,A484,'Base bordo CD'!A$2:A$875,B484,'Base bordo CD'!L$2:L$875,"LIMITAÇÃO INDÚSTRIA"),0)</f>
        <v>0</v>
      </c>
      <c r="K484" s="10">
        <f>IFERROR(SUMIFS('Base bordo CD'!M$2:M$875,'Base bordo CD'!D$2:D$875,A484,'Base bordo CD'!A$2:A$875,B484,'Base bordo CD'!L$2:L$875,"MAN CORRETIVA*"),0)+IFERROR(SUMIFS('Base bordo CD'!M$2:M$875,'Base bordo CD'!D$2:D$875,A484,'Base bordo CD'!A$2:A$875,B484,'Base bordo CD'!L$2:L$875,"AGUARDANDO MANUTENCAO*"),0)+IFERROR(SUMIFS('Base bordo CD'!M$2:M$875,'Base bordo CD'!D$2:D$875,A484,'Base bordo CD'!A$2:A$875,B484,'Base bordo CD'!L$2:L$875,"TROCA DE FAQUINHA"),0)+IFERROR(SUMIFS('Base bordo CD'!M$2:M$875,'Base bordo CD'!D$2:D$875,A484,'Base bordo CD'!A$2:A$875,B484,'Base bordo CD'!L$2:L$875,"LIMPEZA*"),0)</f>
        <v>3.4316666666666666</v>
      </c>
      <c r="L484" s="10">
        <f>IFERROR(SUMIFS('Base bordo CD'!M$2:M$875,'Base bordo CD'!D$2:D$875,A484,'Base bordo CD'!A$2:A$875,B484,'Base bordo CD'!L$2:L$875,"PATIO - RESERVA"),0)</f>
        <v>0</v>
      </c>
      <c r="M484" s="10">
        <f>IFERROR(SUMIFS('Base bordo CD'!M$2:M$875,'Base bordo CD'!D$2:D$875,A484,'Base bordo CD'!A$2:A$875,B484,'Base bordo CD'!L$2:L$875,"SEM APONTAMENTO"),0)</f>
        <v>1.9444444444444444E-3</v>
      </c>
      <c r="N484" s="10">
        <f>IFERROR(SUMIFS('Base bordo CD'!M$2:M$875,'Base bordo CD'!D$2:D$875,A484,'Base bordo CD'!A$2:A$875,B484,'Base bordo CD'!L$2:L$875,"FALTA DE CAMINHÃO"),0)+IFERROR(SUMIFS('Base bordo CD'!M$2:M$875,'Base bordo CD'!D$2:D$875,A484,'Base bordo CD'!A$2:A$875,B484,'Base bordo CD'!L$2:L$875,"FALTA DE COMBUSTIVEL"),0)+IFERROR(SUMIFS('Base bordo CD'!M$2:M$875,'Base bordo CD'!D$2:D$875,A484,'Base bordo CD'!A$2:A$875,B484,'Base bordo CD'!L$2:L$875,"FALTA DE MOTORIST*"),0)</f>
        <v>0</v>
      </c>
      <c r="O484" s="10">
        <f t="shared" si="40"/>
        <v>3.5527136788005009E-15</v>
      </c>
      <c r="P484" s="10">
        <f>IFERROR(SUMIFS('Base bordo CD'!M$2:M$875,'Base bordo CD'!D$2:D$875,A484,'Base bordo CD'!A$2:A$875,B484),0)</f>
        <v>24</v>
      </c>
      <c r="Q484" s="10">
        <f>IFERROR(SUMIFS('Base bordo CD'!O$2:O$875,'Base bordo CD'!D$2:D$875,A484,'Base bordo CD'!A$2:A$875,B484,'Base bordo CD'!L$2:L$875,"CORTE DE CANA MECANIZADO"),0)</f>
        <v>27507.010000000002</v>
      </c>
      <c r="R484" s="10">
        <f>IFERROR(SUMIFS('Base bordo CD'!Q$2:Q$875,'Base bordo CD'!D$2:D$875,A484,'Base bordo CD'!A$2:A$875,B484,'Base bordo CD'!L$2:L$875,"CORTE DE CANA MECANIZADO"),0)</f>
        <v>7116</v>
      </c>
      <c r="S484" s="30">
        <f t="shared" si="41"/>
        <v>3.8655157391793145</v>
      </c>
      <c r="T484" s="9">
        <f t="shared" si="42"/>
        <v>8.2361111111111107E-2</v>
      </c>
      <c r="U484" s="9">
        <f t="shared" si="43"/>
        <v>2.6828703703703705E-2</v>
      </c>
      <c r="V484" s="9">
        <f t="shared" si="44"/>
        <v>0.90108796296296301</v>
      </c>
    </row>
    <row r="485" spans="1:22" x14ac:dyDescent="0.35">
      <c r="A485" s="52">
        <v>49587</v>
      </c>
      <c r="B485" s="31">
        <v>46119</v>
      </c>
      <c r="C485" s="7" t="s">
        <v>337</v>
      </c>
      <c r="D485" s="7">
        <v>353</v>
      </c>
      <c r="E485" s="10">
        <f>IFERROR(SUMIFS('Base bordo CD'!M$2:M$875,'Base bordo CD'!D$2:D$875,A485,'Base bordo CD'!A$2:A$875,B485,'Base bordo CD'!L$2:L$875,"CORTE DE CANA MECANIZADO"),0)</f>
        <v>1.9766666666666666</v>
      </c>
      <c r="F485" s="10">
        <f>IFERROR(SUMIFS('Base bordo CD'!M$2:M$875,'Base bordo CD'!D$2:D$875,A485,'Base bordo CD'!A$2:A$875,B485,'Base bordo CD'!L$2:L$875,"MANOBRA"),0)</f>
        <v>0.64388888888888896</v>
      </c>
      <c r="G485" s="10">
        <f>IFERROR(SUMIFS('Base bordo CD'!M$2:M$875,'Base bordo CD'!D$2:D$875,A485,'Base bordo CD'!A$2:A$875,B485,'Base bordo CD'!L$2:L$875,"DESLOCAMENTO"),0)</f>
        <v>0.3972222222222222</v>
      </c>
      <c r="H485" s="10">
        <f>IFERROR(SUMIFS('Base bordo CD'!M$2:M$875,'Base bordo CD'!D$2:D$875,A485,'Base bordo CD'!A$2:A$875,B485,'Base bordo CD'!L$2:L$875,"AGUARDANDO MANOBRA DE TRANSBORDO"),0)+IFERROR(SUMIFS('Base bordo CD'!M$2:M$875,'Base bordo CD'!D$2:D$875,A485,'Base bordo CD'!A$2:A$875,B485,'Base bordo CD'!L$2:L$875,"FALTA DE TRANSBORDO"),0)</f>
        <v>0</v>
      </c>
      <c r="I485" s="10">
        <f>IFERROR(SUMIFS('Base bordo CD'!M$2:M$875,'Base bordo CD'!D$2:D$875,A485,'Base bordo CD'!A$2:A$875,B485,'Base bordo CD'!L$2:L$875,"PARADA POR CONDICOES CLIMATICAS"),0)+IFERROR(SUMIFS('Base bordo CD'!M$2:M$875,'Base bordo CD'!D$2:D$875,A485,'Base bordo CD'!A$2:A$875,B485,'Base bordo CD'!L$2:L$875,"TEMPO INDETERMINADO"),0)</f>
        <v>17.548611111111111</v>
      </c>
      <c r="J485" s="10">
        <f>IFERROR(SUMIFS('Base bordo CD'!M$2:M$875,'Base bordo CD'!D$2:D$875,A485,'Base bordo CD'!A$2:A$875,B485,'Base bordo CD'!L$2:L$875,"LIMITAÇÃO INDÚSTRIA"),0)</f>
        <v>0</v>
      </c>
      <c r="K485" s="10">
        <f>IFERROR(SUMIFS('Base bordo CD'!M$2:M$875,'Base bordo CD'!D$2:D$875,A485,'Base bordo CD'!A$2:A$875,B485,'Base bordo CD'!L$2:L$875,"MAN CORRETIVA*"),0)+IFERROR(SUMIFS('Base bordo CD'!M$2:M$875,'Base bordo CD'!D$2:D$875,A485,'Base bordo CD'!A$2:A$875,B485,'Base bordo CD'!L$2:L$875,"AGUARDANDO MANUTENCAO*"),0)+IFERROR(SUMIFS('Base bordo CD'!M$2:M$875,'Base bordo CD'!D$2:D$875,A485,'Base bordo CD'!A$2:A$875,B485,'Base bordo CD'!L$2:L$875,"TROCA DE FAQUINHA"),0)+IFERROR(SUMIFS('Base bordo CD'!M$2:M$875,'Base bordo CD'!D$2:D$875,A485,'Base bordo CD'!A$2:A$875,B485,'Base bordo CD'!L$2:L$875,"LIMPEZA*"),0)</f>
        <v>3.4316666666666666</v>
      </c>
      <c r="L485" s="10">
        <f>IFERROR(SUMIFS('Base bordo CD'!M$2:M$875,'Base bordo CD'!D$2:D$875,A485,'Base bordo CD'!A$2:A$875,B485,'Base bordo CD'!L$2:L$875,"PATIO - RESERVA"),0)</f>
        <v>0</v>
      </c>
      <c r="M485" s="10">
        <f>IFERROR(SUMIFS('Base bordo CD'!M$2:M$875,'Base bordo CD'!D$2:D$875,A485,'Base bordo CD'!A$2:A$875,B485,'Base bordo CD'!L$2:L$875,"SEM APONTAMENTO"),0)</f>
        <v>1.9444444444444444E-3</v>
      </c>
      <c r="N485" s="10">
        <f>IFERROR(SUMIFS('Base bordo CD'!M$2:M$875,'Base bordo CD'!D$2:D$875,A485,'Base bordo CD'!A$2:A$875,B485,'Base bordo CD'!L$2:L$875,"FALTA DE CAMINHÃO"),0)+IFERROR(SUMIFS('Base bordo CD'!M$2:M$875,'Base bordo CD'!D$2:D$875,A485,'Base bordo CD'!A$2:A$875,B485,'Base bordo CD'!L$2:L$875,"FALTA DE COMBUSTIVEL"),0)+IFERROR(SUMIFS('Base bordo CD'!M$2:M$875,'Base bordo CD'!D$2:D$875,A485,'Base bordo CD'!A$2:A$875,B485,'Base bordo CD'!L$2:L$875,"FALTA DE MOTORIST*"),0)</f>
        <v>0</v>
      </c>
      <c r="O485" s="10">
        <f t="shared" si="40"/>
        <v>3.5527136788005009E-15</v>
      </c>
      <c r="P485" s="10">
        <f>IFERROR(SUMIFS('Base bordo CD'!M$2:M$875,'Base bordo CD'!D$2:D$875,A485,'Base bordo CD'!A$2:A$875,B485),0)</f>
        <v>24</v>
      </c>
      <c r="Q485" s="10">
        <f>IFERROR(SUMIFS('Base bordo CD'!O$2:O$875,'Base bordo CD'!D$2:D$875,A485,'Base bordo CD'!A$2:A$875,B485,'Base bordo CD'!L$2:L$875,"CORTE DE CANA MECANIZADO"),0)</f>
        <v>27507.010000000002</v>
      </c>
      <c r="R485" s="10">
        <f>IFERROR(SUMIFS('Base bordo CD'!Q$2:Q$875,'Base bordo CD'!D$2:D$875,A485,'Base bordo CD'!A$2:A$875,B485,'Base bordo CD'!L$2:L$875,"CORTE DE CANA MECANIZADO"),0)</f>
        <v>7116</v>
      </c>
      <c r="S485" s="30">
        <f t="shared" si="41"/>
        <v>3.8655157391793145</v>
      </c>
      <c r="T485" s="9">
        <f t="shared" si="42"/>
        <v>8.2361111111111107E-2</v>
      </c>
      <c r="U485" s="9">
        <f t="shared" si="43"/>
        <v>2.6828703703703705E-2</v>
      </c>
      <c r="V485" s="9">
        <f t="shared" si="44"/>
        <v>0.90108796296296301</v>
      </c>
    </row>
    <row r="486" spans="1:22" x14ac:dyDescent="0.35">
      <c r="A486" s="52">
        <v>49587</v>
      </c>
      <c r="B486" s="31">
        <v>46119</v>
      </c>
      <c r="C486" s="7" t="s">
        <v>337</v>
      </c>
      <c r="D486" s="7">
        <v>353</v>
      </c>
      <c r="E486" s="10">
        <f>IFERROR(SUMIFS('Base bordo CD'!M$2:M$875,'Base bordo CD'!D$2:D$875,A486,'Base bordo CD'!A$2:A$875,B486,'Base bordo CD'!L$2:L$875,"CORTE DE CANA MECANIZADO"),0)</f>
        <v>1.9766666666666666</v>
      </c>
      <c r="F486" s="10">
        <f>IFERROR(SUMIFS('Base bordo CD'!M$2:M$875,'Base bordo CD'!D$2:D$875,A486,'Base bordo CD'!A$2:A$875,B486,'Base bordo CD'!L$2:L$875,"MANOBRA"),0)</f>
        <v>0.64388888888888896</v>
      </c>
      <c r="G486" s="10">
        <f>IFERROR(SUMIFS('Base bordo CD'!M$2:M$875,'Base bordo CD'!D$2:D$875,A486,'Base bordo CD'!A$2:A$875,B486,'Base bordo CD'!L$2:L$875,"DESLOCAMENTO"),0)</f>
        <v>0.3972222222222222</v>
      </c>
      <c r="H486" s="10">
        <f>IFERROR(SUMIFS('Base bordo CD'!M$2:M$875,'Base bordo CD'!D$2:D$875,A486,'Base bordo CD'!A$2:A$875,B486,'Base bordo CD'!L$2:L$875,"AGUARDANDO MANOBRA DE TRANSBORDO"),0)+IFERROR(SUMIFS('Base bordo CD'!M$2:M$875,'Base bordo CD'!D$2:D$875,A486,'Base bordo CD'!A$2:A$875,B486,'Base bordo CD'!L$2:L$875,"FALTA DE TRANSBORDO"),0)</f>
        <v>0</v>
      </c>
      <c r="I486" s="10">
        <f>IFERROR(SUMIFS('Base bordo CD'!M$2:M$875,'Base bordo CD'!D$2:D$875,A486,'Base bordo CD'!A$2:A$875,B486,'Base bordo CD'!L$2:L$875,"PARADA POR CONDICOES CLIMATICAS"),0)+IFERROR(SUMIFS('Base bordo CD'!M$2:M$875,'Base bordo CD'!D$2:D$875,A486,'Base bordo CD'!A$2:A$875,B486,'Base bordo CD'!L$2:L$875,"TEMPO INDETERMINADO"),0)</f>
        <v>17.548611111111111</v>
      </c>
      <c r="J486" s="10">
        <f>IFERROR(SUMIFS('Base bordo CD'!M$2:M$875,'Base bordo CD'!D$2:D$875,A486,'Base bordo CD'!A$2:A$875,B486,'Base bordo CD'!L$2:L$875,"LIMITAÇÃO INDÚSTRIA"),0)</f>
        <v>0</v>
      </c>
      <c r="K486" s="10">
        <f>IFERROR(SUMIFS('Base bordo CD'!M$2:M$875,'Base bordo CD'!D$2:D$875,A486,'Base bordo CD'!A$2:A$875,B486,'Base bordo CD'!L$2:L$875,"MAN CORRETIVA*"),0)+IFERROR(SUMIFS('Base bordo CD'!M$2:M$875,'Base bordo CD'!D$2:D$875,A486,'Base bordo CD'!A$2:A$875,B486,'Base bordo CD'!L$2:L$875,"AGUARDANDO MANUTENCAO*"),0)+IFERROR(SUMIFS('Base bordo CD'!M$2:M$875,'Base bordo CD'!D$2:D$875,A486,'Base bordo CD'!A$2:A$875,B486,'Base bordo CD'!L$2:L$875,"TROCA DE FAQUINHA"),0)+IFERROR(SUMIFS('Base bordo CD'!M$2:M$875,'Base bordo CD'!D$2:D$875,A486,'Base bordo CD'!A$2:A$875,B486,'Base bordo CD'!L$2:L$875,"LIMPEZA*"),0)</f>
        <v>3.4316666666666666</v>
      </c>
      <c r="L486" s="10">
        <f>IFERROR(SUMIFS('Base bordo CD'!M$2:M$875,'Base bordo CD'!D$2:D$875,A486,'Base bordo CD'!A$2:A$875,B486,'Base bordo CD'!L$2:L$875,"PATIO - RESERVA"),0)</f>
        <v>0</v>
      </c>
      <c r="M486" s="10">
        <f>IFERROR(SUMIFS('Base bordo CD'!M$2:M$875,'Base bordo CD'!D$2:D$875,A486,'Base bordo CD'!A$2:A$875,B486,'Base bordo CD'!L$2:L$875,"SEM APONTAMENTO"),0)</f>
        <v>1.9444444444444444E-3</v>
      </c>
      <c r="N486" s="10">
        <f>IFERROR(SUMIFS('Base bordo CD'!M$2:M$875,'Base bordo CD'!D$2:D$875,A486,'Base bordo CD'!A$2:A$875,B486,'Base bordo CD'!L$2:L$875,"FALTA DE CAMINHÃO"),0)+IFERROR(SUMIFS('Base bordo CD'!M$2:M$875,'Base bordo CD'!D$2:D$875,A486,'Base bordo CD'!A$2:A$875,B486,'Base bordo CD'!L$2:L$875,"FALTA DE COMBUSTIVEL"),0)+IFERROR(SUMIFS('Base bordo CD'!M$2:M$875,'Base bordo CD'!D$2:D$875,A486,'Base bordo CD'!A$2:A$875,B486,'Base bordo CD'!L$2:L$875,"FALTA DE MOTORIST*"),0)</f>
        <v>0</v>
      </c>
      <c r="O486" s="10">
        <f t="shared" si="40"/>
        <v>3.5527136788005009E-15</v>
      </c>
      <c r="P486" s="10">
        <f>IFERROR(SUMIFS('Base bordo CD'!M$2:M$875,'Base bordo CD'!D$2:D$875,A486,'Base bordo CD'!A$2:A$875,B486),0)</f>
        <v>24</v>
      </c>
      <c r="Q486" s="10">
        <f>IFERROR(SUMIFS('Base bordo CD'!O$2:O$875,'Base bordo CD'!D$2:D$875,A486,'Base bordo CD'!A$2:A$875,B486,'Base bordo CD'!L$2:L$875,"CORTE DE CANA MECANIZADO"),0)</f>
        <v>27507.010000000002</v>
      </c>
      <c r="R486" s="10">
        <f>IFERROR(SUMIFS('Base bordo CD'!Q$2:Q$875,'Base bordo CD'!D$2:D$875,A486,'Base bordo CD'!A$2:A$875,B486,'Base bordo CD'!L$2:L$875,"CORTE DE CANA MECANIZADO"),0)</f>
        <v>7116</v>
      </c>
      <c r="S486" s="30">
        <f t="shared" si="41"/>
        <v>3.8655157391793145</v>
      </c>
      <c r="T486" s="9">
        <f t="shared" si="42"/>
        <v>8.2361111111111107E-2</v>
      </c>
      <c r="U486" s="9">
        <f t="shared" si="43"/>
        <v>2.6828703703703705E-2</v>
      </c>
      <c r="V486" s="9">
        <f t="shared" si="44"/>
        <v>0.90108796296296301</v>
      </c>
    </row>
    <row r="487" spans="1:22" x14ac:dyDescent="0.35">
      <c r="A487" s="52">
        <v>49587</v>
      </c>
      <c r="B487" s="31">
        <v>46119</v>
      </c>
      <c r="C487" s="7" t="s">
        <v>337</v>
      </c>
      <c r="D487" s="7">
        <v>353</v>
      </c>
      <c r="E487" s="10">
        <f>IFERROR(SUMIFS('Base bordo CD'!M$2:M$875,'Base bordo CD'!D$2:D$875,A487,'Base bordo CD'!A$2:A$875,B487,'Base bordo CD'!L$2:L$875,"CORTE DE CANA MECANIZADO"),0)</f>
        <v>1.9766666666666666</v>
      </c>
      <c r="F487" s="10">
        <f>IFERROR(SUMIFS('Base bordo CD'!M$2:M$875,'Base bordo CD'!D$2:D$875,A487,'Base bordo CD'!A$2:A$875,B487,'Base bordo CD'!L$2:L$875,"MANOBRA"),0)</f>
        <v>0.64388888888888896</v>
      </c>
      <c r="G487" s="10">
        <f>IFERROR(SUMIFS('Base bordo CD'!M$2:M$875,'Base bordo CD'!D$2:D$875,A487,'Base bordo CD'!A$2:A$875,B487,'Base bordo CD'!L$2:L$875,"DESLOCAMENTO"),0)</f>
        <v>0.3972222222222222</v>
      </c>
      <c r="H487" s="10">
        <f>IFERROR(SUMIFS('Base bordo CD'!M$2:M$875,'Base bordo CD'!D$2:D$875,A487,'Base bordo CD'!A$2:A$875,B487,'Base bordo CD'!L$2:L$875,"AGUARDANDO MANOBRA DE TRANSBORDO"),0)+IFERROR(SUMIFS('Base bordo CD'!M$2:M$875,'Base bordo CD'!D$2:D$875,A487,'Base bordo CD'!A$2:A$875,B487,'Base bordo CD'!L$2:L$875,"FALTA DE TRANSBORDO"),0)</f>
        <v>0</v>
      </c>
      <c r="I487" s="10">
        <f>IFERROR(SUMIFS('Base bordo CD'!M$2:M$875,'Base bordo CD'!D$2:D$875,A487,'Base bordo CD'!A$2:A$875,B487,'Base bordo CD'!L$2:L$875,"PARADA POR CONDICOES CLIMATICAS"),0)+IFERROR(SUMIFS('Base bordo CD'!M$2:M$875,'Base bordo CD'!D$2:D$875,A487,'Base bordo CD'!A$2:A$875,B487,'Base bordo CD'!L$2:L$875,"TEMPO INDETERMINADO"),0)</f>
        <v>17.548611111111111</v>
      </c>
      <c r="J487" s="10">
        <f>IFERROR(SUMIFS('Base bordo CD'!M$2:M$875,'Base bordo CD'!D$2:D$875,A487,'Base bordo CD'!A$2:A$875,B487,'Base bordo CD'!L$2:L$875,"LIMITAÇÃO INDÚSTRIA"),0)</f>
        <v>0</v>
      </c>
      <c r="K487" s="10">
        <f>IFERROR(SUMIFS('Base bordo CD'!M$2:M$875,'Base bordo CD'!D$2:D$875,A487,'Base bordo CD'!A$2:A$875,B487,'Base bordo CD'!L$2:L$875,"MAN CORRETIVA*"),0)+IFERROR(SUMIFS('Base bordo CD'!M$2:M$875,'Base bordo CD'!D$2:D$875,A487,'Base bordo CD'!A$2:A$875,B487,'Base bordo CD'!L$2:L$875,"AGUARDANDO MANUTENCAO*"),0)+IFERROR(SUMIFS('Base bordo CD'!M$2:M$875,'Base bordo CD'!D$2:D$875,A487,'Base bordo CD'!A$2:A$875,B487,'Base bordo CD'!L$2:L$875,"TROCA DE FAQUINHA"),0)+IFERROR(SUMIFS('Base bordo CD'!M$2:M$875,'Base bordo CD'!D$2:D$875,A487,'Base bordo CD'!A$2:A$875,B487,'Base bordo CD'!L$2:L$875,"LIMPEZA*"),0)</f>
        <v>3.4316666666666666</v>
      </c>
      <c r="L487" s="10">
        <f>IFERROR(SUMIFS('Base bordo CD'!M$2:M$875,'Base bordo CD'!D$2:D$875,A487,'Base bordo CD'!A$2:A$875,B487,'Base bordo CD'!L$2:L$875,"PATIO - RESERVA"),0)</f>
        <v>0</v>
      </c>
      <c r="M487" s="10">
        <f>IFERROR(SUMIFS('Base bordo CD'!M$2:M$875,'Base bordo CD'!D$2:D$875,A487,'Base bordo CD'!A$2:A$875,B487,'Base bordo CD'!L$2:L$875,"SEM APONTAMENTO"),0)</f>
        <v>1.9444444444444444E-3</v>
      </c>
      <c r="N487" s="10">
        <f>IFERROR(SUMIFS('Base bordo CD'!M$2:M$875,'Base bordo CD'!D$2:D$875,A487,'Base bordo CD'!A$2:A$875,B487,'Base bordo CD'!L$2:L$875,"FALTA DE CAMINHÃO"),0)+IFERROR(SUMIFS('Base bordo CD'!M$2:M$875,'Base bordo CD'!D$2:D$875,A487,'Base bordo CD'!A$2:A$875,B487,'Base bordo CD'!L$2:L$875,"FALTA DE COMBUSTIVEL"),0)+IFERROR(SUMIFS('Base bordo CD'!M$2:M$875,'Base bordo CD'!D$2:D$875,A487,'Base bordo CD'!A$2:A$875,B487,'Base bordo CD'!L$2:L$875,"FALTA DE MOTORIST*"),0)</f>
        <v>0</v>
      </c>
      <c r="O487" s="10">
        <f t="shared" si="40"/>
        <v>3.5527136788005009E-15</v>
      </c>
      <c r="P487" s="10">
        <f>IFERROR(SUMIFS('Base bordo CD'!M$2:M$875,'Base bordo CD'!D$2:D$875,A487,'Base bordo CD'!A$2:A$875,B487),0)</f>
        <v>24</v>
      </c>
      <c r="Q487" s="10">
        <f>IFERROR(SUMIFS('Base bordo CD'!O$2:O$875,'Base bordo CD'!D$2:D$875,A487,'Base bordo CD'!A$2:A$875,B487,'Base bordo CD'!L$2:L$875,"CORTE DE CANA MECANIZADO"),0)</f>
        <v>27507.010000000002</v>
      </c>
      <c r="R487" s="10">
        <f>IFERROR(SUMIFS('Base bordo CD'!Q$2:Q$875,'Base bordo CD'!D$2:D$875,A487,'Base bordo CD'!A$2:A$875,B487,'Base bordo CD'!L$2:L$875,"CORTE DE CANA MECANIZADO"),0)</f>
        <v>7116</v>
      </c>
      <c r="S487" s="30">
        <f t="shared" si="41"/>
        <v>3.8655157391793145</v>
      </c>
      <c r="T487" s="9">
        <f t="shared" si="42"/>
        <v>8.2361111111111107E-2</v>
      </c>
      <c r="U487" s="9">
        <f t="shared" si="43"/>
        <v>2.6828703703703705E-2</v>
      </c>
      <c r="V487" s="9">
        <f t="shared" si="44"/>
        <v>0.90108796296296301</v>
      </c>
    </row>
    <row r="488" spans="1:22" x14ac:dyDescent="0.35">
      <c r="A488" s="52">
        <v>49587</v>
      </c>
      <c r="B488" s="31">
        <v>46119</v>
      </c>
      <c r="C488" s="7" t="s">
        <v>337</v>
      </c>
      <c r="D488" s="7">
        <v>353</v>
      </c>
      <c r="E488" s="10">
        <f>IFERROR(SUMIFS('Base bordo CD'!M$2:M$875,'Base bordo CD'!D$2:D$875,A488,'Base bordo CD'!A$2:A$875,B488,'Base bordo CD'!L$2:L$875,"CORTE DE CANA MECANIZADO"),0)</f>
        <v>1.9766666666666666</v>
      </c>
      <c r="F488" s="10">
        <f>IFERROR(SUMIFS('Base bordo CD'!M$2:M$875,'Base bordo CD'!D$2:D$875,A488,'Base bordo CD'!A$2:A$875,B488,'Base bordo CD'!L$2:L$875,"MANOBRA"),0)</f>
        <v>0.64388888888888896</v>
      </c>
      <c r="G488" s="10">
        <f>IFERROR(SUMIFS('Base bordo CD'!M$2:M$875,'Base bordo CD'!D$2:D$875,A488,'Base bordo CD'!A$2:A$875,B488,'Base bordo CD'!L$2:L$875,"DESLOCAMENTO"),0)</f>
        <v>0.3972222222222222</v>
      </c>
      <c r="H488" s="10">
        <f>IFERROR(SUMIFS('Base bordo CD'!M$2:M$875,'Base bordo CD'!D$2:D$875,A488,'Base bordo CD'!A$2:A$875,B488,'Base bordo CD'!L$2:L$875,"AGUARDANDO MANOBRA DE TRANSBORDO"),0)+IFERROR(SUMIFS('Base bordo CD'!M$2:M$875,'Base bordo CD'!D$2:D$875,A488,'Base bordo CD'!A$2:A$875,B488,'Base bordo CD'!L$2:L$875,"FALTA DE TRANSBORDO"),0)</f>
        <v>0</v>
      </c>
      <c r="I488" s="10">
        <f>IFERROR(SUMIFS('Base bordo CD'!M$2:M$875,'Base bordo CD'!D$2:D$875,A488,'Base bordo CD'!A$2:A$875,B488,'Base bordo CD'!L$2:L$875,"PARADA POR CONDICOES CLIMATICAS"),0)+IFERROR(SUMIFS('Base bordo CD'!M$2:M$875,'Base bordo CD'!D$2:D$875,A488,'Base bordo CD'!A$2:A$875,B488,'Base bordo CD'!L$2:L$875,"TEMPO INDETERMINADO"),0)</f>
        <v>17.548611111111111</v>
      </c>
      <c r="J488" s="10">
        <f>IFERROR(SUMIFS('Base bordo CD'!M$2:M$875,'Base bordo CD'!D$2:D$875,A488,'Base bordo CD'!A$2:A$875,B488,'Base bordo CD'!L$2:L$875,"LIMITAÇÃO INDÚSTRIA"),0)</f>
        <v>0</v>
      </c>
      <c r="K488" s="10">
        <f>IFERROR(SUMIFS('Base bordo CD'!M$2:M$875,'Base bordo CD'!D$2:D$875,A488,'Base bordo CD'!A$2:A$875,B488,'Base bordo CD'!L$2:L$875,"MAN CORRETIVA*"),0)+IFERROR(SUMIFS('Base bordo CD'!M$2:M$875,'Base bordo CD'!D$2:D$875,A488,'Base bordo CD'!A$2:A$875,B488,'Base bordo CD'!L$2:L$875,"AGUARDANDO MANUTENCAO*"),0)+IFERROR(SUMIFS('Base bordo CD'!M$2:M$875,'Base bordo CD'!D$2:D$875,A488,'Base bordo CD'!A$2:A$875,B488,'Base bordo CD'!L$2:L$875,"TROCA DE FAQUINHA"),0)+IFERROR(SUMIFS('Base bordo CD'!M$2:M$875,'Base bordo CD'!D$2:D$875,A488,'Base bordo CD'!A$2:A$875,B488,'Base bordo CD'!L$2:L$875,"LIMPEZA*"),0)</f>
        <v>3.4316666666666666</v>
      </c>
      <c r="L488" s="10">
        <f>IFERROR(SUMIFS('Base bordo CD'!M$2:M$875,'Base bordo CD'!D$2:D$875,A488,'Base bordo CD'!A$2:A$875,B488,'Base bordo CD'!L$2:L$875,"PATIO - RESERVA"),0)</f>
        <v>0</v>
      </c>
      <c r="M488" s="10">
        <f>IFERROR(SUMIFS('Base bordo CD'!M$2:M$875,'Base bordo CD'!D$2:D$875,A488,'Base bordo CD'!A$2:A$875,B488,'Base bordo CD'!L$2:L$875,"SEM APONTAMENTO"),0)</f>
        <v>1.9444444444444444E-3</v>
      </c>
      <c r="N488" s="10">
        <f>IFERROR(SUMIFS('Base bordo CD'!M$2:M$875,'Base bordo CD'!D$2:D$875,A488,'Base bordo CD'!A$2:A$875,B488,'Base bordo CD'!L$2:L$875,"FALTA DE CAMINHÃO"),0)+IFERROR(SUMIFS('Base bordo CD'!M$2:M$875,'Base bordo CD'!D$2:D$875,A488,'Base bordo CD'!A$2:A$875,B488,'Base bordo CD'!L$2:L$875,"FALTA DE COMBUSTIVEL"),0)+IFERROR(SUMIFS('Base bordo CD'!M$2:M$875,'Base bordo CD'!D$2:D$875,A488,'Base bordo CD'!A$2:A$875,B488,'Base bordo CD'!L$2:L$875,"FALTA DE MOTORIST*"),0)</f>
        <v>0</v>
      </c>
      <c r="O488" s="10">
        <f t="shared" si="40"/>
        <v>3.5527136788005009E-15</v>
      </c>
      <c r="P488" s="10">
        <f>IFERROR(SUMIFS('Base bordo CD'!M$2:M$875,'Base bordo CD'!D$2:D$875,A488,'Base bordo CD'!A$2:A$875,B488),0)</f>
        <v>24</v>
      </c>
      <c r="Q488" s="10">
        <f>IFERROR(SUMIFS('Base bordo CD'!O$2:O$875,'Base bordo CD'!D$2:D$875,A488,'Base bordo CD'!A$2:A$875,B488,'Base bordo CD'!L$2:L$875,"CORTE DE CANA MECANIZADO"),0)</f>
        <v>27507.010000000002</v>
      </c>
      <c r="R488" s="10">
        <f>IFERROR(SUMIFS('Base bordo CD'!Q$2:Q$875,'Base bordo CD'!D$2:D$875,A488,'Base bordo CD'!A$2:A$875,B488,'Base bordo CD'!L$2:L$875,"CORTE DE CANA MECANIZADO"),0)</f>
        <v>7116</v>
      </c>
      <c r="S488" s="30">
        <f t="shared" si="41"/>
        <v>3.8655157391793145</v>
      </c>
      <c r="T488" s="9">
        <f t="shared" si="42"/>
        <v>8.2361111111111107E-2</v>
      </c>
      <c r="U488" s="9">
        <f t="shared" si="43"/>
        <v>2.6828703703703705E-2</v>
      </c>
      <c r="V488" s="9">
        <f t="shared" si="44"/>
        <v>0.90108796296296301</v>
      </c>
    </row>
    <row r="489" spans="1:22" x14ac:dyDescent="0.35">
      <c r="A489" s="52">
        <v>49587</v>
      </c>
      <c r="B489" s="31">
        <v>46119</v>
      </c>
      <c r="C489" s="7" t="s">
        <v>337</v>
      </c>
      <c r="D489" s="7">
        <v>353</v>
      </c>
      <c r="E489" s="10">
        <f>IFERROR(SUMIFS('Base bordo CD'!M$2:M$875,'Base bordo CD'!D$2:D$875,A489,'Base bordo CD'!A$2:A$875,B489,'Base bordo CD'!L$2:L$875,"CORTE DE CANA MECANIZADO"),0)</f>
        <v>1.9766666666666666</v>
      </c>
      <c r="F489" s="10">
        <f>IFERROR(SUMIFS('Base bordo CD'!M$2:M$875,'Base bordo CD'!D$2:D$875,A489,'Base bordo CD'!A$2:A$875,B489,'Base bordo CD'!L$2:L$875,"MANOBRA"),0)</f>
        <v>0.64388888888888896</v>
      </c>
      <c r="G489" s="10">
        <f>IFERROR(SUMIFS('Base bordo CD'!M$2:M$875,'Base bordo CD'!D$2:D$875,A489,'Base bordo CD'!A$2:A$875,B489,'Base bordo CD'!L$2:L$875,"DESLOCAMENTO"),0)</f>
        <v>0.3972222222222222</v>
      </c>
      <c r="H489" s="10">
        <f>IFERROR(SUMIFS('Base bordo CD'!M$2:M$875,'Base bordo CD'!D$2:D$875,A489,'Base bordo CD'!A$2:A$875,B489,'Base bordo CD'!L$2:L$875,"AGUARDANDO MANOBRA DE TRANSBORDO"),0)+IFERROR(SUMIFS('Base bordo CD'!M$2:M$875,'Base bordo CD'!D$2:D$875,A489,'Base bordo CD'!A$2:A$875,B489,'Base bordo CD'!L$2:L$875,"FALTA DE TRANSBORDO"),0)</f>
        <v>0</v>
      </c>
      <c r="I489" s="10">
        <f>IFERROR(SUMIFS('Base bordo CD'!M$2:M$875,'Base bordo CD'!D$2:D$875,A489,'Base bordo CD'!A$2:A$875,B489,'Base bordo CD'!L$2:L$875,"PARADA POR CONDICOES CLIMATICAS"),0)+IFERROR(SUMIFS('Base bordo CD'!M$2:M$875,'Base bordo CD'!D$2:D$875,A489,'Base bordo CD'!A$2:A$875,B489,'Base bordo CD'!L$2:L$875,"TEMPO INDETERMINADO"),0)</f>
        <v>17.548611111111111</v>
      </c>
      <c r="J489" s="10">
        <f>IFERROR(SUMIFS('Base bordo CD'!M$2:M$875,'Base bordo CD'!D$2:D$875,A489,'Base bordo CD'!A$2:A$875,B489,'Base bordo CD'!L$2:L$875,"LIMITAÇÃO INDÚSTRIA"),0)</f>
        <v>0</v>
      </c>
      <c r="K489" s="10">
        <f>IFERROR(SUMIFS('Base bordo CD'!M$2:M$875,'Base bordo CD'!D$2:D$875,A489,'Base bordo CD'!A$2:A$875,B489,'Base bordo CD'!L$2:L$875,"MAN CORRETIVA*"),0)+IFERROR(SUMIFS('Base bordo CD'!M$2:M$875,'Base bordo CD'!D$2:D$875,A489,'Base bordo CD'!A$2:A$875,B489,'Base bordo CD'!L$2:L$875,"AGUARDANDO MANUTENCAO*"),0)+IFERROR(SUMIFS('Base bordo CD'!M$2:M$875,'Base bordo CD'!D$2:D$875,A489,'Base bordo CD'!A$2:A$875,B489,'Base bordo CD'!L$2:L$875,"TROCA DE FAQUINHA"),0)+IFERROR(SUMIFS('Base bordo CD'!M$2:M$875,'Base bordo CD'!D$2:D$875,A489,'Base bordo CD'!A$2:A$875,B489,'Base bordo CD'!L$2:L$875,"LIMPEZA*"),0)</f>
        <v>3.4316666666666666</v>
      </c>
      <c r="L489" s="10">
        <f>IFERROR(SUMIFS('Base bordo CD'!M$2:M$875,'Base bordo CD'!D$2:D$875,A489,'Base bordo CD'!A$2:A$875,B489,'Base bordo CD'!L$2:L$875,"PATIO - RESERVA"),0)</f>
        <v>0</v>
      </c>
      <c r="M489" s="10">
        <f>IFERROR(SUMIFS('Base bordo CD'!M$2:M$875,'Base bordo CD'!D$2:D$875,A489,'Base bordo CD'!A$2:A$875,B489,'Base bordo CD'!L$2:L$875,"SEM APONTAMENTO"),0)</f>
        <v>1.9444444444444444E-3</v>
      </c>
      <c r="N489" s="10">
        <f>IFERROR(SUMIFS('Base bordo CD'!M$2:M$875,'Base bordo CD'!D$2:D$875,A489,'Base bordo CD'!A$2:A$875,B489,'Base bordo CD'!L$2:L$875,"FALTA DE CAMINHÃO"),0)+IFERROR(SUMIFS('Base bordo CD'!M$2:M$875,'Base bordo CD'!D$2:D$875,A489,'Base bordo CD'!A$2:A$875,B489,'Base bordo CD'!L$2:L$875,"FALTA DE COMBUSTIVEL"),0)+IFERROR(SUMIFS('Base bordo CD'!M$2:M$875,'Base bordo CD'!D$2:D$875,A489,'Base bordo CD'!A$2:A$875,B489,'Base bordo CD'!L$2:L$875,"FALTA DE MOTORIST*"),0)</f>
        <v>0</v>
      </c>
      <c r="O489" s="10">
        <f t="shared" si="40"/>
        <v>3.5527136788005009E-15</v>
      </c>
      <c r="P489" s="10">
        <f>IFERROR(SUMIFS('Base bordo CD'!M$2:M$875,'Base bordo CD'!D$2:D$875,A489,'Base bordo CD'!A$2:A$875,B489),0)</f>
        <v>24</v>
      </c>
      <c r="Q489" s="10">
        <f>IFERROR(SUMIFS('Base bordo CD'!O$2:O$875,'Base bordo CD'!D$2:D$875,A489,'Base bordo CD'!A$2:A$875,B489,'Base bordo CD'!L$2:L$875,"CORTE DE CANA MECANIZADO"),0)</f>
        <v>27507.010000000002</v>
      </c>
      <c r="R489" s="10">
        <f>IFERROR(SUMIFS('Base bordo CD'!Q$2:Q$875,'Base bordo CD'!D$2:D$875,A489,'Base bordo CD'!A$2:A$875,B489,'Base bordo CD'!L$2:L$875,"CORTE DE CANA MECANIZADO"),0)</f>
        <v>7116</v>
      </c>
      <c r="S489" s="30">
        <f t="shared" si="41"/>
        <v>3.8655157391793145</v>
      </c>
      <c r="T489" s="9">
        <f t="shared" si="42"/>
        <v>8.2361111111111107E-2</v>
      </c>
      <c r="U489" s="9">
        <f t="shared" si="43"/>
        <v>2.6828703703703705E-2</v>
      </c>
      <c r="V489" s="9">
        <f t="shared" si="44"/>
        <v>0.90108796296296301</v>
      </c>
    </row>
    <row r="490" spans="1:22" x14ac:dyDescent="0.35">
      <c r="A490" s="52">
        <v>49587</v>
      </c>
      <c r="B490" s="31">
        <v>46119</v>
      </c>
      <c r="C490" s="7" t="s">
        <v>337</v>
      </c>
      <c r="D490" s="7">
        <v>353</v>
      </c>
      <c r="E490" s="10">
        <f>IFERROR(SUMIFS('Base bordo CD'!M$2:M$875,'Base bordo CD'!D$2:D$875,A490,'Base bordo CD'!A$2:A$875,B490,'Base bordo CD'!L$2:L$875,"CORTE DE CANA MECANIZADO"),0)</f>
        <v>1.9766666666666666</v>
      </c>
      <c r="F490" s="10">
        <f>IFERROR(SUMIFS('Base bordo CD'!M$2:M$875,'Base bordo CD'!D$2:D$875,A490,'Base bordo CD'!A$2:A$875,B490,'Base bordo CD'!L$2:L$875,"MANOBRA"),0)</f>
        <v>0.64388888888888896</v>
      </c>
      <c r="G490" s="10">
        <f>IFERROR(SUMIFS('Base bordo CD'!M$2:M$875,'Base bordo CD'!D$2:D$875,A490,'Base bordo CD'!A$2:A$875,B490,'Base bordo CD'!L$2:L$875,"DESLOCAMENTO"),0)</f>
        <v>0.3972222222222222</v>
      </c>
      <c r="H490" s="10">
        <f>IFERROR(SUMIFS('Base bordo CD'!M$2:M$875,'Base bordo CD'!D$2:D$875,A490,'Base bordo CD'!A$2:A$875,B490,'Base bordo CD'!L$2:L$875,"AGUARDANDO MANOBRA DE TRANSBORDO"),0)+IFERROR(SUMIFS('Base bordo CD'!M$2:M$875,'Base bordo CD'!D$2:D$875,A490,'Base bordo CD'!A$2:A$875,B490,'Base bordo CD'!L$2:L$875,"FALTA DE TRANSBORDO"),0)</f>
        <v>0</v>
      </c>
      <c r="I490" s="10">
        <f>IFERROR(SUMIFS('Base bordo CD'!M$2:M$875,'Base bordo CD'!D$2:D$875,A490,'Base bordo CD'!A$2:A$875,B490,'Base bordo CD'!L$2:L$875,"PARADA POR CONDICOES CLIMATICAS"),0)+IFERROR(SUMIFS('Base bordo CD'!M$2:M$875,'Base bordo CD'!D$2:D$875,A490,'Base bordo CD'!A$2:A$875,B490,'Base bordo CD'!L$2:L$875,"TEMPO INDETERMINADO"),0)</f>
        <v>17.548611111111111</v>
      </c>
      <c r="J490" s="10">
        <f>IFERROR(SUMIFS('Base bordo CD'!M$2:M$875,'Base bordo CD'!D$2:D$875,A490,'Base bordo CD'!A$2:A$875,B490,'Base bordo CD'!L$2:L$875,"LIMITAÇÃO INDÚSTRIA"),0)</f>
        <v>0</v>
      </c>
      <c r="K490" s="10">
        <f>IFERROR(SUMIFS('Base bordo CD'!M$2:M$875,'Base bordo CD'!D$2:D$875,A490,'Base bordo CD'!A$2:A$875,B490,'Base bordo CD'!L$2:L$875,"MAN CORRETIVA*"),0)+IFERROR(SUMIFS('Base bordo CD'!M$2:M$875,'Base bordo CD'!D$2:D$875,A490,'Base bordo CD'!A$2:A$875,B490,'Base bordo CD'!L$2:L$875,"AGUARDANDO MANUTENCAO*"),0)+IFERROR(SUMIFS('Base bordo CD'!M$2:M$875,'Base bordo CD'!D$2:D$875,A490,'Base bordo CD'!A$2:A$875,B490,'Base bordo CD'!L$2:L$875,"TROCA DE FAQUINHA"),0)+IFERROR(SUMIFS('Base bordo CD'!M$2:M$875,'Base bordo CD'!D$2:D$875,A490,'Base bordo CD'!A$2:A$875,B490,'Base bordo CD'!L$2:L$875,"LIMPEZA*"),0)</f>
        <v>3.4316666666666666</v>
      </c>
      <c r="L490" s="10">
        <f>IFERROR(SUMIFS('Base bordo CD'!M$2:M$875,'Base bordo CD'!D$2:D$875,A490,'Base bordo CD'!A$2:A$875,B490,'Base bordo CD'!L$2:L$875,"PATIO - RESERVA"),0)</f>
        <v>0</v>
      </c>
      <c r="M490" s="10">
        <f>IFERROR(SUMIFS('Base bordo CD'!M$2:M$875,'Base bordo CD'!D$2:D$875,A490,'Base bordo CD'!A$2:A$875,B490,'Base bordo CD'!L$2:L$875,"SEM APONTAMENTO"),0)</f>
        <v>1.9444444444444444E-3</v>
      </c>
      <c r="N490" s="10">
        <f>IFERROR(SUMIFS('Base bordo CD'!M$2:M$875,'Base bordo CD'!D$2:D$875,A490,'Base bordo CD'!A$2:A$875,B490,'Base bordo CD'!L$2:L$875,"FALTA DE CAMINHÃO"),0)+IFERROR(SUMIFS('Base bordo CD'!M$2:M$875,'Base bordo CD'!D$2:D$875,A490,'Base bordo CD'!A$2:A$875,B490,'Base bordo CD'!L$2:L$875,"FALTA DE COMBUSTIVEL"),0)+IFERROR(SUMIFS('Base bordo CD'!M$2:M$875,'Base bordo CD'!D$2:D$875,A490,'Base bordo CD'!A$2:A$875,B490,'Base bordo CD'!L$2:L$875,"FALTA DE MOTORIST*"),0)</f>
        <v>0</v>
      </c>
      <c r="O490" s="10">
        <f t="shared" si="40"/>
        <v>3.5527136788005009E-15</v>
      </c>
      <c r="P490" s="10">
        <f>IFERROR(SUMIFS('Base bordo CD'!M$2:M$875,'Base bordo CD'!D$2:D$875,A490,'Base bordo CD'!A$2:A$875,B490),0)</f>
        <v>24</v>
      </c>
      <c r="Q490" s="10">
        <f>IFERROR(SUMIFS('Base bordo CD'!O$2:O$875,'Base bordo CD'!D$2:D$875,A490,'Base bordo CD'!A$2:A$875,B490,'Base bordo CD'!L$2:L$875,"CORTE DE CANA MECANIZADO"),0)</f>
        <v>27507.010000000002</v>
      </c>
      <c r="R490" s="10">
        <f>IFERROR(SUMIFS('Base bordo CD'!Q$2:Q$875,'Base bordo CD'!D$2:D$875,A490,'Base bordo CD'!A$2:A$875,B490,'Base bordo CD'!L$2:L$875,"CORTE DE CANA MECANIZADO"),0)</f>
        <v>7116</v>
      </c>
      <c r="S490" s="30">
        <f t="shared" si="41"/>
        <v>3.8655157391793145</v>
      </c>
      <c r="T490" s="9">
        <f t="shared" si="42"/>
        <v>8.2361111111111107E-2</v>
      </c>
      <c r="U490" s="9">
        <f t="shared" si="43"/>
        <v>2.6828703703703705E-2</v>
      </c>
      <c r="V490" s="9">
        <f t="shared" si="44"/>
        <v>0.90108796296296301</v>
      </c>
    </row>
    <row r="491" spans="1:22" x14ac:dyDescent="0.35">
      <c r="A491" s="52">
        <v>49587</v>
      </c>
      <c r="B491" s="31">
        <v>46119</v>
      </c>
      <c r="C491" s="7" t="s">
        <v>337</v>
      </c>
      <c r="D491" s="7">
        <v>353</v>
      </c>
      <c r="E491" s="10">
        <f>IFERROR(SUMIFS('Base bordo CD'!M$2:M$875,'Base bordo CD'!D$2:D$875,A491,'Base bordo CD'!A$2:A$875,B491,'Base bordo CD'!L$2:L$875,"CORTE DE CANA MECANIZADO"),0)</f>
        <v>1.9766666666666666</v>
      </c>
      <c r="F491" s="10">
        <f>IFERROR(SUMIFS('Base bordo CD'!M$2:M$875,'Base bordo CD'!D$2:D$875,A491,'Base bordo CD'!A$2:A$875,B491,'Base bordo CD'!L$2:L$875,"MANOBRA"),0)</f>
        <v>0.64388888888888896</v>
      </c>
      <c r="G491" s="10">
        <f>IFERROR(SUMIFS('Base bordo CD'!M$2:M$875,'Base bordo CD'!D$2:D$875,A491,'Base bordo CD'!A$2:A$875,B491,'Base bordo CD'!L$2:L$875,"DESLOCAMENTO"),0)</f>
        <v>0.3972222222222222</v>
      </c>
      <c r="H491" s="10">
        <f>IFERROR(SUMIFS('Base bordo CD'!M$2:M$875,'Base bordo CD'!D$2:D$875,A491,'Base bordo CD'!A$2:A$875,B491,'Base bordo CD'!L$2:L$875,"AGUARDANDO MANOBRA DE TRANSBORDO"),0)+IFERROR(SUMIFS('Base bordo CD'!M$2:M$875,'Base bordo CD'!D$2:D$875,A491,'Base bordo CD'!A$2:A$875,B491,'Base bordo CD'!L$2:L$875,"FALTA DE TRANSBORDO"),0)</f>
        <v>0</v>
      </c>
      <c r="I491" s="10">
        <f>IFERROR(SUMIFS('Base bordo CD'!M$2:M$875,'Base bordo CD'!D$2:D$875,A491,'Base bordo CD'!A$2:A$875,B491,'Base bordo CD'!L$2:L$875,"PARADA POR CONDICOES CLIMATICAS"),0)+IFERROR(SUMIFS('Base bordo CD'!M$2:M$875,'Base bordo CD'!D$2:D$875,A491,'Base bordo CD'!A$2:A$875,B491,'Base bordo CD'!L$2:L$875,"TEMPO INDETERMINADO"),0)</f>
        <v>17.548611111111111</v>
      </c>
      <c r="J491" s="10">
        <f>IFERROR(SUMIFS('Base bordo CD'!M$2:M$875,'Base bordo CD'!D$2:D$875,A491,'Base bordo CD'!A$2:A$875,B491,'Base bordo CD'!L$2:L$875,"LIMITAÇÃO INDÚSTRIA"),0)</f>
        <v>0</v>
      </c>
      <c r="K491" s="10">
        <f>IFERROR(SUMIFS('Base bordo CD'!M$2:M$875,'Base bordo CD'!D$2:D$875,A491,'Base bordo CD'!A$2:A$875,B491,'Base bordo CD'!L$2:L$875,"MAN CORRETIVA*"),0)+IFERROR(SUMIFS('Base bordo CD'!M$2:M$875,'Base bordo CD'!D$2:D$875,A491,'Base bordo CD'!A$2:A$875,B491,'Base bordo CD'!L$2:L$875,"AGUARDANDO MANUTENCAO*"),0)+IFERROR(SUMIFS('Base bordo CD'!M$2:M$875,'Base bordo CD'!D$2:D$875,A491,'Base bordo CD'!A$2:A$875,B491,'Base bordo CD'!L$2:L$875,"TROCA DE FAQUINHA"),0)+IFERROR(SUMIFS('Base bordo CD'!M$2:M$875,'Base bordo CD'!D$2:D$875,A491,'Base bordo CD'!A$2:A$875,B491,'Base bordo CD'!L$2:L$875,"LIMPEZA*"),0)</f>
        <v>3.4316666666666666</v>
      </c>
      <c r="L491" s="10">
        <f>IFERROR(SUMIFS('Base bordo CD'!M$2:M$875,'Base bordo CD'!D$2:D$875,A491,'Base bordo CD'!A$2:A$875,B491,'Base bordo CD'!L$2:L$875,"PATIO - RESERVA"),0)</f>
        <v>0</v>
      </c>
      <c r="M491" s="10">
        <f>IFERROR(SUMIFS('Base bordo CD'!M$2:M$875,'Base bordo CD'!D$2:D$875,A491,'Base bordo CD'!A$2:A$875,B491,'Base bordo CD'!L$2:L$875,"SEM APONTAMENTO"),0)</f>
        <v>1.9444444444444444E-3</v>
      </c>
      <c r="N491" s="10">
        <f>IFERROR(SUMIFS('Base bordo CD'!M$2:M$875,'Base bordo CD'!D$2:D$875,A491,'Base bordo CD'!A$2:A$875,B491,'Base bordo CD'!L$2:L$875,"FALTA DE CAMINHÃO"),0)+IFERROR(SUMIFS('Base bordo CD'!M$2:M$875,'Base bordo CD'!D$2:D$875,A491,'Base bordo CD'!A$2:A$875,B491,'Base bordo CD'!L$2:L$875,"FALTA DE COMBUSTIVEL"),0)+IFERROR(SUMIFS('Base bordo CD'!M$2:M$875,'Base bordo CD'!D$2:D$875,A491,'Base bordo CD'!A$2:A$875,B491,'Base bordo CD'!L$2:L$875,"FALTA DE MOTORIST*"),0)</f>
        <v>0</v>
      </c>
      <c r="O491" s="10">
        <f t="shared" si="40"/>
        <v>3.5527136788005009E-15</v>
      </c>
      <c r="P491" s="10">
        <f>IFERROR(SUMIFS('Base bordo CD'!M$2:M$875,'Base bordo CD'!D$2:D$875,A491,'Base bordo CD'!A$2:A$875,B491),0)</f>
        <v>24</v>
      </c>
      <c r="Q491" s="10">
        <f>IFERROR(SUMIFS('Base bordo CD'!O$2:O$875,'Base bordo CD'!D$2:D$875,A491,'Base bordo CD'!A$2:A$875,B491,'Base bordo CD'!L$2:L$875,"CORTE DE CANA MECANIZADO"),0)</f>
        <v>27507.010000000002</v>
      </c>
      <c r="R491" s="10">
        <f>IFERROR(SUMIFS('Base bordo CD'!Q$2:Q$875,'Base bordo CD'!D$2:D$875,A491,'Base bordo CD'!A$2:A$875,B491,'Base bordo CD'!L$2:L$875,"CORTE DE CANA MECANIZADO"),0)</f>
        <v>7116</v>
      </c>
      <c r="S491" s="30">
        <f t="shared" si="41"/>
        <v>3.8655157391793145</v>
      </c>
      <c r="T491" s="9">
        <f t="shared" si="42"/>
        <v>8.2361111111111107E-2</v>
      </c>
      <c r="U491" s="9">
        <f t="shared" si="43"/>
        <v>2.6828703703703705E-2</v>
      </c>
      <c r="V491" s="9">
        <f t="shared" si="44"/>
        <v>0.90108796296296301</v>
      </c>
    </row>
    <row r="492" spans="1:22" x14ac:dyDescent="0.35">
      <c r="A492" s="52">
        <v>49587</v>
      </c>
      <c r="B492" s="31">
        <v>46119</v>
      </c>
      <c r="C492" s="7" t="s">
        <v>337</v>
      </c>
      <c r="D492" s="7">
        <v>353</v>
      </c>
      <c r="E492" s="10">
        <f>IFERROR(SUMIFS('Base bordo CD'!M$2:M$875,'Base bordo CD'!D$2:D$875,A492,'Base bordo CD'!A$2:A$875,B492,'Base bordo CD'!L$2:L$875,"CORTE DE CANA MECANIZADO"),0)</f>
        <v>1.9766666666666666</v>
      </c>
      <c r="F492" s="10">
        <f>IFERROR(SUMIFS('Base bordo CD'!M$2:M$875,'Base bordo CD'!D$2:D$875,A492,'Base bordo CD'!A$2:A$875,B492,'Base bordo CD'!L$2:L$875,"MANOBRA"),0)</f>
        <v>0.64388888888888896</v>
      </c>
      <c r="G492" s="10">
        <f>IFERROR(SUMIFS('Base bordo CD'!M$2:M$875,'Base bordo CD'!D$2:D$875,A492,'Base bordo CD'!A$2:A$875,B492,'Base bordo CD'!L$2:L$875,"DESLOCAMENTO"),0)</f>
        <v>0.3972222222222222</v>
      </c>
      <c r="H492" s="10">
        <f>IFERROR(SUMIFS('Base bordo CD'!M$2:M$875,'Base bordo CD'!D$2:D$875,A492,'Base bordo CD'!A$2:A$875,B492,'Base bordo CD'!L$2:L$875,"AGUARDANDO MANOBRA DE TRANSBORDO"),0)+IFERROR(SUMIFS('Base bordo CD'!M$2:M$875,'Base bordo CD'!D$2:D$875,A492,'Base bordo CD'!A$2:A$875,B492,'Base bordo CD'!L$2:L$875,"FALTA DE TRANSBORDO"),0)</f>
        <v>0</v>
      </c>
      <c r="I492" s="10">
        <f>IFERROR(SUMIFS('Base bordo CD'!M$2:M$875,'Base bordo CD'!D$2:D$875,A492,'Base bordo CD'!A$2:A$875,B492,'Base bordo CD'!L$2:L$875,"PARADA POR CONDICOES CLIMATICAS"),0)+IFERROR(SUMIFS('Base bordo CD'!M$2:M$875,'Base bordo CD'!D$2:D$875,A492,'Base bordo CD'!A$2:A$875,B492,'Base bordo CD'!L$2:L$875,"TEMPO INDETERMINADO"),0)</f>
        <v>17.548611111111111</v>
      </c>
      <c r="J492" s="10">
        <f>IFERROR(SUMIFS('Base bordo CD'!M$2:M$875,'Base bordo CD'!D$2:D$875,A492,'Base bordo CD'!A$2:A$875,B492,'Base bordo CD'!L$2:L$875,"LIMITAÇÃO INDÚSTRIA"),0)</f>
        <v>0</v>
      </c>
      <c r="K492" s="10">
        <f>IFERROR(SUMIFS('Base bordo CD'!M$2:M$875,'Base bordo CD'!D$2:D$875,A492,'Base bordo CD'!A$2:A$875,B492,'Base bordo CD'!L$2:L$875,"MAN CORRETIVA*"),0)+IFERROR(SUMIFS('Base bordo CD'!M$2:M$875,'Base bordo CD'!D$2:D$875,A492,'Base bordo CD'!A$2:A$875,B492,'Base bordo CD'!L$2:L$875,"AGUARDANDO MANUTENCAO*"),0)+IFERROR(SUMIFS('Base bordo CD'!M$2:M$875,'Base bordo CD'!D$2:D$875,A492,'Base bordo CD'!A$2:A$875,B492,'Base bordo CD'!L$2:L$875,"TROCA DE FAQUINHA"),0)+IFERROR(SUMIFS('Base bordo CD'!M$2:M$875,'Base bordo CD'!D$2:D$875,A492,'Base bordo CD'!A$2:A$875,B492,'Base bordo CD'!L$2:L$875,"LIMPEZA*"),0)</f>
        <v>3.4316666666666666</v>
      </c>
      <c r="L492" s="10">
        <f>IFERROR(SUMIFS('Base bordo CD'!M$2:M$875,'Base bordo CD'!D$2:D$875,A492,'Base bordo CD'!A$2:A$875,B492,'Base bordo CD'!L$2:L$875,"PATIO - RESERVA"),0)</f>
        <v>0</v>
      </c>
      <c r="M492" s="10">
        <f>IFERROR(SUMIFS('Base bordo CD'!M$2:M$875,'Base bordo CD'!D$2:D$875,A492,'Base bordo CD'!A$2:A$875,B492,'Base bordo CD'!L$2:L$875,"SEM APONTAMENTO"),0)</f>
        <v>1.9444444444444444E-3</v>
      </c>
      <c r="N492" s="10">
        <f>IFERROR(SUMIFS('Base bordo CD'!M$2:M$875,'Base bordo CD'!D$2:D$875,A492,'Base bordo CD'!A$2:A$875,B492,'Base bordo CD'!L$2:L$875,"FALTA DE CAMINHÃO"),0)+IFERROR(SUMIFS('Base bordo CD'!M$2:M$875,'Base bordo CD'!D$2:D$875,A492,'Base bordo CD'!A$2:A$875,B492,'Base bordo CD'!L$2:L$875,"FALTA DE COMBUSTIVEL"),0)+IFERROR(SUMIFS('Base bordo CD'!M$2:M$875,'Base bordo CD'!D$2:D$875,A492,'Base bordo CD'!A$2:A$875,B492,'Base bordo CD'!L$2:L$875,"FALTA DE MOTORIST*"),0)</f>
        <v>0</v>
      </c>
      <c r="O492" s="10">
        <f t="shared" si="40"/>
        <v>3.5527136788005009E-15</v>
      </c>
      <c r="P492" s="10">
        <f>IFERROR(SUMIFS('Base bordo CD'!M$2:M$875,'Base bordo CD'!D$2:D$875,A492,'Base bordo CD'!A$2:A$875,B492),0)</f>
        <v>24</v>
      </c>
      <c r="Q492" s="10">
        <f>IFERROR(SUMIFS('Base bordo CD'!O$2:O$875,'Base bordo CD'!D$2:D$875,A492,'Base bordo CD'!A$2:A$875,B492,'Base bordo CD'!L$2:L$875,"CORTE DE CANA MECANIZADO"),0)</f>
        <v>27507.010000000002</v>
      </c>
      <c r="R492" s="10">
        <f>IFERROR(SUMIFS('Base bordo CD'!Q$2:Q$875,'Base bordo CD'!D$2:D$875,A492,'Base bordo CD'!A$2:A$875,B492,'Base bordo CD'!L$2:L$875,"CORTE DE CANA MECANIZADO"),0)</f>
        <v>7116</v>
      </c>
      <c r="S492" s="30">
        <f t="shared" si="41"/>
        <v>3.8655157391793145</v>
      </c>
      <c r="T492" s="9">
        <f t="shared" si="42"/>
        <v>8.2361111111111107E-2</v>
      </c>
      <c r="U492" s="9">
        <f t="shared" si="43"/>
        <v>2.6828703703703705E-2</v>
      </c>
      <c r="V492" s="9">
        <f t="shared" si="44"/>
        <v>0.90108796296296301</v>
      </c>
    </row>
    <row r="493" spans="1:22" x14ac:dyDescent="0.35">
      <c r="A493" s="52">
        <v>49587</v>
      </c>
      <c r="B493" s="31">
        <v>46119</v>
      </c>
      <c r="C493" s="7" t="s">
        <v>337</v>
      </c>
      <c r="D493" s="7">
        <v>353</v>
      </c>
      <c r="E493" s="10">
        <f>IFERROR(SUMIFS('Base bordo CD'!M$2:M$875,'Base bordo CD'!D$2:D$875,A493,'Base bordo CD'!A$2:A$875,B493,'Base bordo CD'!L$2:L$875,"CORTE DE CANA MECANIZADO"),0)</f>
        <v>1.9766666666666666</v>
      </c>
      <c r="F493" s="10">
        <f>IFERROR(SUMIFS('Base bordo CD'!M$2:M$875,'Base bordo CD'!D$2:D$875,A493,'Base bordo CD'!A$2:A$875,B493,'Base bordo CD'!L$2:L$875,"MANOBRA"),0)</f>
        <v>0.64388888888888896</v>
      </c>
      <c r="G493" s="10">
        <f>IFERROR(SUMIFS('Base bordo CD'!M$2:M$875,'Base bordo CD'!D$2:D$875,A493,'Base bordo CD'!A$2:A$875,B493,'Base bordo CD'!L$2:L$875,"DESLOCAMENTO"),0)</f>
        <v>0.3972222222222222</v>
      </c>
      <c r="H493" s="10">
        <f>IFERROR(SUMIFS('Base bordo CD'!M$2:M$875,'Base bordo CD'!D$2:D$875,A493,'Base bordo CD'!A$2:A$875,B493,'Base bordo CD'!L$2:L$875,"AGUARDANDO MANOBRA DE TRANSBORDO"),0)+IFERROR(SUMIFS('Base bordo CD'!M$2:M$875,'Base bordo CD'!D$2:D$875,A493,'Base bordo CD'!A$2:A$875,B493,'Base bordo CD'!L$2:L$875,"FALTA DE TRANSBORDO"),0)</f>
        <v>0</v>
      </c>
      <c r="I493" s="10">
        <f>IFERROR(SUMIFS('Base bordo CD'!M$2:M$875,'Base bordo CD'!D$2:D$875,A493,'Base bordo CD'!A$2:A$875,B493,'Base bordo CD'!L$2:L$875,"PARADA POR CONDICOES CLIMATICAS"),0)+IFERROR(SUMIFS('Base bordo CD'!M$2:M$875,'Base bordo CD'!D$2:D$875,A493,'Base bordo CD'!A$2:A$875,B493,'Base bordo CD'!L$2:L$875,"TEMPO INDETERMINADO"),0)</f>
        <v>17.548611111111111</v>
      </c>
      <c r="J493" s="10">
        <f>IFERROR(SUMIFS('Base bordo CD'!M$2:M$875,'Base bordo CD'!D$2:D$875,A493,'Base bordo CD'!A$2:A$875,B493,'Base bordo CD'!L$2:L$875,"LIMITAÇÃO INDÚSTRIA"),0)</f>
        <v>0</v>
      </c>
      <c r="K493" s="10">
        <f>IFERROR(SUMIFS('Base bordo CD'!M$2:M$875,'Base bordo CD'!D$2:D$875,A493,'Base bordo CD'!A$2:A$875,B493,'Base bordo CD'!L$2:L$875,"MAN CORRETIVA*"),0)+IFERROR(SUMIFS('Base bordo CD'!M$2:M$875,'Base bordo CD'!D$2:D$875,A493,'Base bordo CD'!A$2:A$875,B493,'Base bordo CD'!L$2:L$875,"AGUARDANDO MANUTENCAO*"),0)+IFERROR(SUMIFS('Base bordo CD'!M$2:M$875,'Base bordo CD'!D$2:D$875,A493,'Base bordo CD'!A$2:A$875,B493,'Base bordo CD'!L$2:L$875,"TROCA DE FAQUINHA"),0)+IFERROR(SUMIFS('Base bordo CD'!M$2:M$875,'Base bordo CD'!D$2:D$875,A493,'Base bordo CD'!A$2:A$875,B493,'Base bordo CD'!L$2:L$875,"LIMPEZA*"),0)</f>
        <v>3.4316666666666666</v>
      </c>
      <c r="L493" s="10">
        <f>IFERROR(SUMIFS('Base bordo CD'!M$2:M$875,'Base bordo CD'!D$2:D$875,A493,'Base bordo CD'!A$2:A$875,B493,'Base bordo CD'!L$2:L$875,"PATIO - RESERVA"),0)</f>
        <v>0</v>
      </c>
      <c r="M493" s="10">
        <f>IFERROR(SUMIFS('Base bordo CD'!M$2:M$875,'Base bordo CD'!D$2:D$875,A493,'Base bordo CD'!A$2:A$875,B493,'Base bordo CD'!L$2:L$875,"SEM APONTAMENTO"),0)</f>
        <v>1.9444444444444444E-3</v>
      </c>
      <c r="N493" s="10">
        <f>IFERROR(SUMIFS('Base bordo CD'!M$2:M$875,'Base bordo CD'!D$2:D$875,A493,'Base bordo CD'!A$2:A$875,B493,'Base bordo CD'!L$2:L$875,"FALTA DE CAMINHÃO"),0)+IFERROR(SUMIFS('Base bordo CD'!M$2:M$875,'Base bordo CD'!D$2:D$875,A493,'Base bordo CD'!A$2:A$875,B493,'Base bordo CD'!L$2:L$875,"FALTA DE COMBUSTIVEL"),0)+IFERROR(SUMIFS('Base bordo CD'!M$2:M$875,'Base bordo CD'!D$2:D$875,A493,'Base bordo CD'!A$2:A$875,B493,'Base bordo CD'!L$2:L$875,"FALTA DE MOTORIST*"),0)</f>
        <v>0</v>
      </c>
      <c r="O493" s="10">
        <f t="shared" si="40"/>
        <v>3.5527136788005009E-15</v>
      </c>
      <c r="P493" s="10">
        <f>IFERROR(SUMIFS('Base bordo CD'!M$2:M$875,'Base bordo CD'!D$2:D$875,A493,'Base bordo CD'!A$2:A$875,B493),0)</f>
        <v>24</v>
      </c>
      <c r="Q493" s="10">
        <f>IFERROR(SUMIFS('Base bordo CD'!O$2:O$875,'Base bordo CD'!D$2:D$875,A493,'Base bordo CD'!A$2:A$875,B493,'Base bordo CD'!L$2:L$875,"CORTE DE CANA MECANIZADO"),0)</f>
        <v>27507.010000000002</v>
      </c>
      <c r="R493" s="10">
        <f>IFERROR(SUMIFS('Base bordo CD'!Q$2:Q$875,'Base bordo CD'!D$2:D$875,A493,'Base bordo CD'!A$2:A$875,B493,'Base bordo CD'!L$2:L$875,"CORTE DE CANA MECANIZADO"),0)</f>
        <v>7116</v>
      </c>
      <c r="S493" s="30">
        <f t="shared" si="41"/>
        <v>3.8655157391793145</v>
      </c>
      <c r="T493" s="9">
        <f t="shared" si="42"/>
        <v>8.2361111111111107E-2</v>
      </c>
      <c r="U493" s="9">
        <f t="shared" si="43"/>
        <v>2.6828703703703705E-2</v>
      </c>
      <c r="V493" s="9">
        <f t="shared" si="44"/>
        <v>0.90108796296296301</v>
      </c>
    </row>
    <row r="494" spans="1:22" x14ac:dyDescent="0.35">
      <c r="A494" s="52">
        <v>49587</v>
      </c>
      <c r="B494" s="31">
        <v>46119</v>
      </c>
      <c r="C494" s="7" t="s">
        <v>337</v>
      </c>
      <c r="D494" s="7">
        <v>353</v>
      </c>
      <c r="E494" s="10">
        <f>IFERROR(SUMIFS('Base bordo CD'!M$2:M$875,'Base bordo CD'!D$2:D$875,A494,'Base bordo CD'!A$2:A$875,B494,'Base bordo CD'!L$2:L$875,"CORTE DE CANA MECANIZADO"),0)</f>
        <v>1.9766666666666666</v>
      </c>
      <c r="F494" s="10">
        <f>IFERROR(SUMIFS('Base bordo CD'!M$2:M$875,'Base bordo CD'!D$2:D$875,A494,'Base bordo CD'!A$2:A$875,B494,'Base bordo CD'!L$2:L$875,"MANOBRA"),0)</f>
        <v>0.64388888888888896</v>
      </c>
      <c r="G494" s="10">
        <f>IFERROR(SUMIFS('Base bordo CD'!M$2:M$875,'Base bordo CD'!D$2:D$875,A494,'Base bordo CD'!A$2:A$875,B494,'Base bordo CD'!L$2:L$875,"DESLOCAMENTO"),0)</f>
        <v>0.3972222222222222</v>
      </c>
      <c r="H494" s="10">
        <f>IFERROR(SUMIFS('Base bordo CD'!M$2:M$875,'Base bordo CD'!D$2:D$875,A494,'Base bordo CD'!A$2:A$875,B494,'Base bordo CD'!L$2:L$875,"AGUARDANDO MANOBRA DE TRANSBORDO"),0)+IFERROR(SUMIFS('Base bordo CD'!M$2:M$875,'Base bordo CD'!D$2:D$875,A494,'Base bordo CD'!A$2:A$875,B494,'Base bordo CD'!L$2:L$875,"FALTA DE TRANSBORDO"),0)</f>
        <v>0</v>
      </c>
      <c r="I494" s="10">
        <f>IFERROR(SUMIFS('Base bordo CD'!M$2:M$875,'Base bordo CD'!D$2:D$875,A494,'Base bordo CD'!A$2:A$875,B494,'Base bordo CD'!L$2:L$875,"PARADA POR CONDICOES CLIMATICAS"),0)+IFERROR(SUMIFS('Base bordo CD'!M$2:M$875,'Base bordo CD'!D$2:D$875,A494,'Base bordo CD'!A$2:A$875,B494,'Base bordo CD'!L$2:L$875,"TEMPO INDETERMINADO"),0)</f>
        <v>17.548611111111111</v>
      </c>
      <c r="J494" s="10">
        <f>IFERROR(SUMIFS('Base bordo CD'!M$2:M$875,'Base bordo CD'!D$2:D$875,A494,'Base bordo CD'!A$2:A$875,B494,'Base bordo CD'!L$2:L$875,"LIMITAÇÃO INDÚSTRIA"),0)</f>
        <v>0</v>
      </c>
      <c r="K494" s="10">
        <f>IFERROR(SUMIFS('Base bordo CD'!M$2:M$875,'Base bordo CD'!D$2:D$875,A494,'Base bordo CD'!A$2:A$875,B494,'Base bordo CD'!L$2:L$875,"MAN CORRETIVA*"),0)+IFERROR(SUMIFS('Base bordo CD'!M$2:M$875,'Base bordo CD'!D$2:D$875,A494,'Base bordo CD'!A$2:A$875,B494,'Base bordo CD'!L$2:L$875,"AGUARDANDO MANUTENCAO*"),0)+IFERROR(SUMIFS('Base bordo CD'!M$2:M$875,'Base bordo CD'!D$2:D$875,A494,'Base bordo CD'!A$2:A$875,B494,'Base bordo CD'!L$2:L$875,"TROCA DE FAQUINHA"),0)+IFERROR(SUMIFS('Base bordo CD'!M$2:M$875,'Base bordo CD'!D$2:D$875,A494,'Base bordo CD'!A$2:A$875,B494,'Base bordo CD'!L$2:L$875,"LIMPEZA*"),0)</f>
        <v>3.4316666666666666</v>
      </c>
      <c r="L494" s="10">
        <f>IFERROR(SUMIFS('Base bordo CD'!M$2:M$875,'Base bordo CD'!D$2:D$875,A494,'Base bordo CD'!A$2:A$875,B494,'Base bordo CD'!L$2:L$875,"PATIO - RESERVA"),0)</f>
        <v>0</v>
      </c>
      <c r="M494" s="10">
        <f>IFERROR(SUMIFS('Base bordo CD'!M$2:M$875,'Base bordo CD'!D$2:D$875,A494,'Base bordo CD'!A$2:A$875,B494,'Base bordo CD'!L$2:L$875,"SEM APONTAMENTO"),0)</f>
        <v>1.9444444444444444E-3</v>
      </c>
      <c r="N494" s="10">
        <f>IFERROR(SUMIFS('Base bordo CD'!M$2:M$875,'Base bordo CD'!D$2:D$875,A494,'Base bordo CD'!A$2:A$875,B494,'Base bordo CD'!L$2:L$875,"FALTA DE CAMINHÃO"),0)+IFERROR(SUMIFS('Base bordo CD'!M$2:M$875,'Base bordo CD'!D$2:D$875,A494,'Base bordo CD'!A$2:A$875,B494,'Base bordo CD'!L$2:L$875,"FALTA DE COMBUSTIVEL"),0)+IFERROR(SUMIFS('Base bordo CD'!M$2:M$875,'Base bordo CD'!D$2:D$875,A494,'Base bordo CD'!A$2:A$875,B494,'Base bordo CD'!L$2:L$875,"FALTA DE MOTORIST*"),0)</f>
        <v>0</v>
      </c>
      <c r="O494" s="10">
        <f t="shared" si="40"/>
        <v>3.5527136788005009E-15</v>
      </c>
      <c r="P494" s="10">
        <f>IFERROR(SUMIFS('Base bordo CD'!M$2:M$875,'Base bordo CD'!D$2:D$875,A494,'Base bordo CD'!A$2:A$875,B494),0)</f>
        <v>24</v>
      </c>
      <c r="Q494" s="10">
        <f>IFERROR(SUMIFS('Base bordo CD'!O$2:O$875,'Base bordo CD'!D$2:D$875,A494,'Base bordo CD'!A$2:A$875,B494,'Base bordo CD'!L$2:L$875,"CORTE DE CANA MECANIZADO"),0)</f>
        <v>27507.010000000002</v>
      </c>
      <c r="R494" s="10">
        <f>IFERROR(SUMIFS('Base bordo CD'!Q$2:Q$875,'Base bordo CD'!D$2:D$875,A494,'Base bordo CD'!A$2:A$875,B494,'Base bordo CD'!L$2:L$875,"CORTE DE CANA MECANIZADO"),0)</f>
        <v>7116</v>
      </c>
      <c r="S494" s="30">
        <f t="shared" si="41"/>
        <v>3.8655157391793145</v>
      </c>
      <c r="T494" s="9">
        <f t="shared" si="42"/>
        <v>8.2361111111111107E-2</v>
      </c>
      <c r="U494" s="9">
        <f t="shared" si="43"/>
        <v>2.6828703703703705E-2</v>
      </c>
      <c r="V494" s="9">
        <f t="shared" si="44"/>
        <v>0.90108796296296301</v>
      </c>
    </row>
    <row r="495" spans="1:22" x14ac:dyDescent="0.35">
      <c r="A495" s="52">
        <v>49587</v>
      </c>
      <c r="B495" s="31">
        <v>46119</v>
      </c>
      <c r="C495" s="7" t="s">
        <v>337</v>
      </c>
      <c r="D495" s="7">
        <v>353</v>
      </c>
      <c r="E495" s="10">
        <f>IFERROR(SUMIFS('Base bordo CD'!M$2:M$875,'Base bordo CD'!D$2:D$875,A495,'Base bordo CD'!A$2:A$875,B495,'Base bordo CD'!L$2:L$875,"CORTE DE CANA MECANIZADO"),0)</f>
        <v>1.9766666666666666</v>
      </c>
      <c r="F495" s="10">
        <f>IFERROR(SUMIFS('Base bordo CD'!M$2:M$875,'Base bordo CD'!D$2:D$875,A495,'Base bordo CD'!A$2:A$875,B495,'Base bordo CD'!L$2:L$875,"MANOBRA"),0)</f>
        <v>0.64388888888888896</v>
      </c>
      <c r="G495" s="10">
        <f>IFERROR(SUMIFS('Base bordo CD'!M$2:M$875,'Base bordo CD'!D$2:D$875,A495,'Base bordo CD'!A$2:A$875,B495,'Base bordo CD'!L$2:L$875,"DESLOCAMENTO"),0)</f>
        <v>0.3972222222222222</v>
      </c>
      <c r="H495" s="10">
        <f>IFERROR(SUMIFS('Base bordo CD'!M$2:M$875,'Base bordo CD'!D$2:D$875,A495,'Base bordo CD'!A$2:A$875,B495,'Base bordo CD'!L$2:L$875,"AGUARDANDO MANOBRA DE TRANSBORDO"),0)+IFERROR(SUMIFS('Base bordo CD'!M$2:M$875,'Base bordo CD'!D$2:D$875,A495,'Base bordo CD'!A$2:A$875,B495,'Base bordo CD'!L$2:L$875,"FALTA DE TRANSBORDO"),0)</f>
        <v>0</v>
      </c>
      <c r="I495" s="10">
        <f>IFERROR(SUMIFS('Base bordo CD'!M$2:M$875,'Base bordo CD'!D$2:D$875,A495,'Base bordo CD'!A$2:A$875,B495,'Base bordo CD'!L$2:L$875,"PARADA POR CONDICOES CLIMATICAS"),0)+IFERROR(SUMIFS('Base bordo CD'!M$2:M$875,'Base bordo CD'!D$2:D$875,A495,'Base bordo CD'!A$2:A$875,B495,'Base bordo CD'!L$2:L$875,"TEMPO INDETERMINADO"),0)</f>
        <v>17.548611111111111</v>
      </c>
      <c r="J495" s="10">
        <f>IFERROR(SUMIFS('Base bordo CD'!M$2:M$875,'Base bordo CD'!D$2:D$875,A495,'Base bordo CD'!A$2:A$875,B495,'Base bordo CD'!L$2:L$875,"LIMITAÇÃO INDÚSTRIA"),0)</f>
        <v>0</v>
      </c>
      <c r="K495" s="10">
        <f>IFERROR(SUMIFS('Base bordo CD'!M$2:M$875,'Base bordo CD'!D$2:D$875,A495,'Base bordo CD'!A$2:A$875,B495,'Base bordo CD'!L$2:L$875,"MAN CORRETIVA*"),0)+IFERROR(SUMIFS('Base bordo CD'!M$2:M$875,'Base bordo CD'!D$2:D$875,A495,'Base bordo CD'!A$2:A$875,B495,'Base bordo CD'!L$2:L$875,"AGUARDANDO MANUTENCAO*"),0)+IFERROR(SUMIFS('Base bordo CD'!M$2:M$875,'Base bordo CD'!D$2:D$875,A495,'Base bordo CD'!A$2:A$875,B495,'Base bordo CD'!L$2:L$875,"TROCA DE FAQUINHA"),0)+IFERROR(SUMIFS('Base bordo CD'!M$2:M$875,'Base bordo CD'!D$2:D$875,A495,'Base bordo CD'!A$2:A$875,B495,'Base bordo CD'!L$2:L$875,"LIMPEZA*"),0)</f>
        <v>3.4316666666666666</v>
      </c>
      <c r="L495" s="10">
        <f>IFERROR(SUMIFS('Base bordo CD'!M$2:M$875,'Base bordo CD'!D$2:D$875,A495,'Base bordo CD'!A$2:A$875,B495,'Base bordo CD'!L$2:L$875,"PATIO - RESERVA"),0)</f>
        <v>0</v>
      </c>
      <c r="M495" s="10">
        <f>IFERROR(SUMIFS('Base bordo CD'!M$2:M$875,'Base bordo CD'!D$2:D$875,A495,'Base bordo CD'!A$2:A$875,B495,'Base bordo CD'!L$2:L$875,"SEM APONTAMENTO"),0)</f>
        <v>1.9444444444444444E-3</v>
      </c>
      <c r="N495" s="10">
        <f>IFERROR(SUMIFS('Base bordo CD'!M$2:M$875,'Base bordo CD'!D$2:D$875,A495,'Base bordo CD'!A$2:A$875,B495,'Base bordo CD'!L$2:L$875,"FALTA DE CAMINHÃO"),0)+IFERROR(SUMIFS('Base bordo CD'!M$2:M$875,'Base bordo CD'!D$2:D$875,A495,'Base bordo CD'!A$2:A$875,B495,'Base bordo CD'!L$2:L$875,"FALTA DE COMBUSTIVEL"),0)+IFERROR(SUMIFS('Base bordo CD'!M$2:M$875,'Base bordo CD'!D$2:D$875,A495,'Base bordo CD'!A$2:A$875,B495,'Base bordo CD'!L$2:L$875,"FALTA DE MOTORIST*"),0)</f>
        <v>0</v>
      </c>
      <c r="O495" s="10">
        <f t="shared" si="40"/>
        <v>3.5527136788005009E-15</v>
      </c>
      <c r="P495" s="10">
        <f>IFERROR(SUMIFS('Base bordo CD'!M$2:M$875,'Base bordo CD'!D$2:D$875,A495,'Base bordo CD'!A$2:A$875,B495),0)</f>
        <v>24</v>
      </c>
      <c r="Q495" s="10">
        <f>IFERROR(SUMIFS('Base bordo CD'!O$2:O$875,'Base bordo CD'!D$2:D$875,A495,'Base bordo CD'!A$2:A$875,B495,'Base bordo CD'!L$2:L$875,"CORTE DE CANA MECANIZADO"),0)</f>
        <v>27507.010000000002</v>
      </c>
      <c r="R495" s="10">
        <f>IFERROR(SUMIFS('Base bordo CD'!Q$2:Q$875,'Base bordo CD'!D$2:D$875,A495,'Base bordo CD'!A$2:A$875,B495,'Base bordo CD'!L$2:L$875,"CORTE DE CANA MECANIZADO"),0)</f>
        <v>7116</v>
      </c>
      <c r="S495" s="30">
        <f t="shared" si="41"/>
        <v>3.8655157391793145</v>
      </c>
      <c r="T495" s="9">
        <f t="shared" si="42"/>
        <v>8.2361111111111107E-2</v>
      </c>
      <c r="U495" s="9">
        <f t="shared" si="43"/>
        <v>2.6828703703703705E-2</v>
      </c>
      <c r="V495" s="9">
        <f t="shared" si="44"/>
        <v>0.90108796296296301</v>
      </c>
    </row>
    <row r="496" spans="1:22" x14ac:dyDescent="0.35">
      <c r="A496" s="52">
        <v>49587</v>
      </c>
      <c r="B496" s="31">
        <v>46119</v>
      </c>
      <c r="C496" s="7" t="s">
        <v>337</v>
      </c>
      <c r="D496" s="7">
        <v>353</v>
      </c>
      <c r="E496" s="10">
        <f>IFERROR(SUMIFS('Base bordo CD'!M$2:M$875,'Base bordo CD'!D$2:D$875,A496,'Base bordo CD'!A$2:A$875,B496,'Base bordo CD'!L$2:L$875,"CORTE DE CANA MECANIZADO"),0)</f>
        <v>1.9766666666666666</v>
      </c>
      <c r="F496" s="10">
        <f>IFERROR(SUMIFS('Base bordo CD'!M$2:M$875,'Base bordo CD'!D$2:D$875,A496,'Base bordo CD'!A$2:A$875,B496,'Base bordo CD'!L$2:L$875,"MANOBRA"),0)</f>
        <v>0.64388888888888896</v>
      </c>
      <c r="G496" s="10">
        <f>IFERROR(SUMIFS('Base bordo CD'!M$2:M$875,'Base bordo CD'!D$2:D$875,A496,'Base bordo CD'!A$2:A$875,B496,'Base bordo CD'!L$2:L$875,"DESLOCAMENTO"),0)</f>
        <v>0.3972222222222222</v>
      </c>
      <c r="H496" s="10">
        <f>IFERROR(SUMIFS('Base bordo CD'!M$2:M$875,'Base bordo CD'!D$2:D$875,A496,'Base bordo CD'!A$2:A$875,B496,'Base bordo CD'!L$2:L$875,"AGUARDANDO MANOBRA DE TRANSBORDO"),0)+IFERROR(SUMIFS('Base bordo CD'!M$2:M$875,'Base bordo CD'!D$2:D$875,A496,'Base bordo CD'!A$2:A$875,B496,'Base bordo CD'!L$2:L$875,"FALTA DE TRANSBORDO"),0)</f>
        <v>0</v>
      </c>
      <c r="I496" s="10">
        <f>IFERROR(SUMIFS('Base bordo CD'!M$2:M$875,'Base bordo CD'!D$2:D$875,A496,'Base bordo CD'!A$2:A$875,B496,'Base bordo CD'!L$2:L$875,"PARADA POR CONDICOES CLIMATICAS"),0)+IFERROR(SUMIFS('Base bordo CD'!M$2:M$875,'Base bordo CD'!D$2:D$875,A496,'Base bordo CD'!A$2:A$875,B496,'Base bordo CD'!L$2:L$875,"TEMPO INDETERMINADO"),0)</f>
        <v>17.548611111111111</v>
      </c>
      <c r="J496" s="10">
        <f>IFERROR(SUMIFS('Base bordo CD'!M$2:M$875,'Base bordo CD'!D$2:D$875,A496,'Base bordo CD'!A$2:A$875,B496,'Base bordo CD'!L$2:L$875,"LIMITAÇÃO INDÚSTRIA"),0)</f>
        <v>0</v>
      </c>
      <c r="K496" s="10">
        <f>IFERROR(SUMIFS('Base bordo CD'!M$2:M$875,'Base bordo CD'!D$2:D$875,A496,'Base bordo CD'!A$2:A$875,B496,'Base bordo CD'!L$2:L$875,"MAN CORRETIVA*"),0)+IFERROR(SUMIFS('Base bordo CD'!M$2:M$875,'Base bordo CD'!D$2:D$875,A496,'Base bordo CD'!A$2:A$875,B496,'Base bordo CD'!L$2:L$875,"AGUARDANDO MANUTENCAO*"),0)+IFERROR(SUMIFS('Base bordo CD'!M$2:M$875,'Base bordo CD'!D$2:D$875,A496,'Base bordo CD'!A$2:A$875,B496,'Base bordo CD'!L$2:L$875,"TROCA DE FAQUINHA"),0)+IFERROR(SUMIFS('Base bordo CD'!M$2:M$875,'Base bordo CD'!D$2:D$875,A496,'Base bordo CD'!A$2:A$875,B496,'Base bordo CD'!L$2:L$875,"LIMPEZA*"),0)</f>
        <v>3.4316666666666666</v>
      </c>
      <c r="L496" s="10">
        <f>IFERROR(SUMIFS('Base bordo CD'!M$2:M$875,'Base bordo CD'!D$2:D$875,A496,'Base bordo CD'!A$2:A$875,B496,'Base bordo CD'!L$2:L$875,"PATIO - RESERVA"),0)</f>
        <v>0</v>
      </c>
      <c r="M496" s="10">
        <f>IFERROR(SUMIFS('Base bordo CD'!M$2:M$875,'Base bordo CD'!D$2:D$875,A496,'Base bordo CD'!A$2:A$875,B496,'Base bordo CD'!L$2:L$875,"SEM APONTAMENTO"),0)</f>
        <v>1.9444444444444444E-3</v>
      </c>
      <c r="N496" s="10">
        <f>IFERROR(SUMIFS('Base bordo CD'!M$2:M$875,'Base bordo CD'!D$2:D$875,A496,'Base bordo CD'!A$2:A$875,B496,'Base bordo CD'!L$2:L$875,"FALTA DE CAMINHÃO"),0)+IFERROR(SUMIFS('Base bordo CD'!M$2:M$875,'Base bordo CD'!D$2:D$875,A496,'Base bordo CD'!A$2:A$875,B496,'Base bordo CD'!L$2:L$875,"FALTA DE COMBUSTIVEL"),0)+IFERROR(SUMIFS('Base bordo CD'!M$2:M$875,'Base bordo CD'!D$2:D$875,A496,'Base bordo CD'!A$2:A$875,B496,'Base bordo CD'!L$2:L$875,"FALTA DE MOTORIST*"),0)</f>
        <v>0</v>
      </c>
      <c r="O496" s="10">
        <f t="shared" si="40"/>
        <v>3.5527136788005009E-15</v>
      </c>
      <c r="P496" s="10">
        <f>IFERROR(SUMIFS('Base bordo CD'!M$2:M$875,'Base bordo CD'!D$2:D$875,A496,'Base bordo CD'!A$2:A$875,B496),0)</f>
        <v>24</v>
      </c>
      <c r="Q496" s="10">
        <f>IFERROR(SUMIFS('Base bordo CD'!O$2:O$875,'Base bordo CD'!D$2:D$875,A496,'Base bordo CD'!A$2:A$875,B496,'Base bordo CD'!L$2:L$875,"CORTE DE CANA MECANIZADO"),0)</f>
        <v>27507.010000000002</v>
      </c>
      <c r="R496" s="10">
        <f>IFERROR(SUMIFS('Base bordo CD'!Q$2:Q$875,'Base bordo CD'!D$2:D$875,A496,'Base bordo CD'!A$2:A$875,B496,'Base bordo CD'!L$2:L$875,"CORTE DE CANA MECANIZADO"),0)</f>
        <v>7116</v>
      </c>
      <c r="S496" s="30">
        <f t="shared" si="41"/>
        <v>3.8655157391793145</v>
      </c>
      <c r="T496" s="9">
        <f t="shared" si="42"/>
        <v>8.2361111111111107E-2</v>
      </c>
      <c r="U496" s="9">
        <f t="shared" si="43"/>
        <v>2.6828703703703705E-2</v>
      </c>
      <c r="V496" s="9">
        <f t="shared" si="44"/>
        <v>0.90108796296296301</v>
      </c>
    </row>
    <row r="497" spans="1:22" x14ac:dyDescent="0.35">
      <c r="A497" s="52">
        <v>49587</v>
      </c>
      <c r="B497" s="31">
        <v>46119</v>
      </c>
      <c r="C497" s="7" t="s">
        <v>337</v>
      </c>
      <c r="D497" s="7">
        <v>353</v>
      </c>
      <c r="E497" s="10">
        <f>IFERROR(SUMIFS('Base bordo CD'!M$2:M$875,'Base bordo CD'!D$2:D$875,A497,'Base bordo CD'!A$2:A$875,B497,'Base bordo CD'!L$2:L$875,"CORTE DE CANA MECANIZADO"),0)</f>
        <v>1.9766666666666666</v>
      </c>
      <c r="F497" s="10">
        <f>IFERROR(SUMIFS('Base bordo CD'!M$2:M$875,'Base bordo CD'!D$2:D$875,A497,'Base bordo CD'!A$2:A$875,B497,'Base bordo CD'!L$2:L$875,"MANOBRA"),0)</f>
        <v>0.64388888888888896</v>
      </c>
      <c r="G497" s="10">
        <f>IFERROR(SUMIFS('Base bordo CD'!M$2:M$875,'Base bordo CD'!D$2:D$875,A497,'Base bordo CD'!A$2:A$875,B497,'Base bordo CD'!L$2:L$875,"DESLOCAMENTO"),0)</f>
        <v>0.3972222222222222</v>
      </c>
      <c r="H497" s="10">
        <f>IFERROR(SUMIFS('Base bordo CD'!M$2:M$875,'Base bordo CD'!D$2:D$875,A497,'Base bordo CD'!A$2:A$875,B497,'Base bordo CD'!L$2:L$875,"AGUARDANDO MANOBRA DE TRANSBORDO"),0)+IFERROR(SUMIFS('Base bordo CD'!M$2:M$875,'Base bordo CD'!D$2:D$875,A497,'Base bordo CD'!A$2:A$875,B497,'Base bordo CD'!L$2:L$875,"FALTA DE TRANSBORDO"),0)</f>
        <v>0</v>
      </c>
      <c r="I497" s="10">
        <f>IFERROR(SUMIFS('Base bordo CD'!M$2:M$875,'Base bordo CD'!D$2:D$875,A497,'Base bordo CD'!A$2:A$875,B497,'Base bordo CD'!L$2:L$875,"PARADA POR CONDICOES CLIMATICAS"),0)+IFERROR(SUMIFS('Base bordo CD'!M$2:M$875,'Base bordo CD'!D$2:D$875,A497,'Base bordo CD'!A$2:A$875,B497,'Base bordo CD'!L$2:L$875,"TEMPO INDETERMINADO"),0)</f>
        <v>17.548611111111111</v>
      </c>
      <c r="J497" s="10">
        <f>IFERROR(SUMIFS('Base bordo CD'!M$2:M$875,'Base bordo CD'!D$2:D$875,A497,'Base bordo CD'!A$2:A$875,B497,'Base bordo CD'!L$2:L$875,"LIMITAÇÃO INDÚSTRIA"),0)</f>
        <v>0</v>
      </c>
      <c r="K497" s="10">
        <f>IFERROR(SUMIFS('Base bordo CD'!M$2:M$875,'Base bordo CD'!D$2:D$875,A497,'Base bordo CD'!A$2:A$875,B497,'Base bordo CD'!L$2:L$875,"MAN CORRETIVA*"),0)+IFERROR(SUMIFS('Base bordo CD'!M$2:M$875,'Base bordo CD'!D$2:D$875,A497,'Base bordo CD'!A$2:A$875,B497,'Base bordo CD'!L$2:L$875,"AGUARDANDO MANUTENCAO*"),0)+IFERROR(SUMIFS('Base bordo CD'!M$2:M$875,'Base bordo CD'!D$2:D$875,A497,'Base bordo CD'!A$2:A$875,B497,'Base bordo CD'!L$2:L$875,"TROCA DE FAQUINHA"),0)+IFERROR(SUMIFS('Base bordo CD'!M$2:M$875,'Base bordo CD'!D$2:D$875,A497,'Base bordo CD'!A$2:A$875,B497,'Base bordo CD'!L$2:L$875,"LIMPEZA*"),0)</f>
        <v>3.4316666666666666</v>
      </c>
      <c r="L497" s="10">
        <f>IFERROR(SUMIFS('Base bordo CD'!M$2:M$875,'Base bordo CD'!D$2:D$875,A497,'Base bordo CD'!A$2:A$875,B497,'Base bordo CD'!L$2:L$875,"PATIO - RESERVA"),0)</f>
        <v>0</v>
      </c>
      <c r="M497" s="10">
        <f>IFERROR(SUMIFS('Base bordo CD'!M$2:M$875,'Base bordo CD'!D$2:D$875,A497,'Base bordo CD'!A$2:A$875,B497,'Base bordo CD'!L$2:L$875,"SEM APONTAMENTO"),0)</f>
        <v>1.9444444444444444E-3</v>
      </c>
      <c r="N497" s="10">
        <f>IFERROR(SUMIFS('Base bordo CD'!M$2:M$875,'Base bordo CD'!D$2:D$875,A497,'Base bordo CD'!A$2:A$875,B497,'Base bordo CD'!L$2:L$875,"FALTA DE CAMINHÃO"),0)+IFERROR(SUMIFS('Base bordo CD'!M$2:M$875,'Base bordo CD'!D$2:D$875,A497,'Base bordo CD'!A$2:A$875,B497,'Base bordo CD'!L$2:L$875,"FALTA DE COMBUSTIVEL"),0)+IFERROR(SUMIFS('Base bordo CD'!M$2:M$875,'Base bordo CD'!D$2:D$875,A497,'Base bordo CD'!A$2:A$875,B497,'Base bordo CD'!L$2:L$875,"FALTA DE MOTORIST*"),0)</f>
        <v>0</v>
      </c>
      <c r="O497" s="10">
        <f t="shared" si="40"/>
        <v>3.5527136788005009E-15</v>
      </c>
      <c r="P497" s="10">
        <f>IFERROR(SUMIFS('Base bordo CD'!M$2:M$875,'Base bordo CD'!D$2:D$875,A497,'Base bordo CD'!A$2:A$875,B497),0)</f>
        <v>24</v>
      </c>
      <c r="Q497" s="10">
        <f>IFERROR(SUMIFS('Base bordo CD'!O$2:O$875,'Base bordo CD'!D$2:D$875,A497,'Base bordo CD'!A$2:A$875,B497,'Base bordo CD'!L$2:L$875,"CORTE DE CANA MECANIZADO"),0)</f>
        <v>27507.010000000002</v>
      </c>
      <c r="R497" s="10">
        <f>IFERROR(SUMIFS('Base bordo CD'!Q$2:Q$875,'Base bordo CD'!D$2:D$875,A497,'Base bordo CD'!A$2:A$875,B497,'Base bordo CD'!L$2:L$875,"CORTE DE CANA MECANIZADO"),0)</f>
        <v>7116</v>
      </c>
      <c r="S497" s="30">
        <f t="shared" si="41"/>
        <v>3.8655157391793145</v>
      </c>
      <c r="T497" s="9">
        <f t="shared" si="42"/>
        <v>8.2361111111111107E-2</v>
      </c>
      <c r="U497" s="9">
        <f t="shared" si="43"/>
        <v>2.6828703703703705E-2</v>
      </c>
      <c r="V497" s="9">
        <f t="shared" si="44"/>
        <v>0.90108796296296301</v>
      </c>
    </row>
    <row r="498" spans="1:22" x14ac:dyDescent="0.35">
      <c r="A498" s="52">
        <v>49587</v>
      </c>
      <c r="B498" s="31">
        <v>46119</v>
      </c>
      <c r="C498" s="7" t="s">
        <v>337</v>
      </c>
      <c r="D498" s="7">
        <v>353</v>
      </c>
      <c r="E498" s="10">
        <f>IFERROR(SUMIFS('Base bordo CD'!M$2:M$875,'Base bordo CD'!D$2:D$875,A498,'Base bordo CD'!A$2:A$875,B498,'Base bordo CD'!L$2:L$875,"CORTE DE CANA MECANIZADO"),0)</f>
        <v>1.9766666666666666</v>
      </c>
      <c r="F498" s="10">
        <f>IFERROR(SUMIFS('Base bordo CD'!M$2:M$875,'Base bordo CD'!D$2:D$875,A498,'Base bordo CD'!A$2:A$875,B498,'Base bordo CD'!L$2:L$875,"MANOBRA"),0)</f>
        <v>0.64388888888888896</v>
      </c>
      <c r="G498" s="10">
        <f>IFERROR(SUMIFS('Base bordo CD'!M$2:M$875,'Base bordo CD'!D$2:D$875,A498,'Base bordo CD'!A$2:A$875,B498,'Base bordo CD'!L$2:L$875,"DESLOCAMENTO"),0)</f>
        <v>0.3972222222222222</v>
      </c>
      <c r="H498" s="10">
        <f>IFERROR(SUMIFS('Base bordo CD'!M$2:M$875,'Base bordo CD'!D$2:D$875,A498,'Base bordo CD'!A$2:A$875,B498,'Base bordo CD'!L$2:L$875,"AGUARDANDO MANOBRA DE TRANSBORDO"),0)+IFERROR(SUMIFS('Base bordo CD'!M$2:M$875,'Base bordo CD'!D$2:D$875,A498,'Base bordo CD'!A$2:A$875,B498,'Base bordo CD'!L$2:L$875,"FALTA DE TRANSBORDO"),0)</f>
        <v>0</v>
      </c>
      <c r="I498" s="10">
        <f>IFERROR(SUMIFS('Base bordo CD'!M$2:M$875,'Base bordo CD'!D$2:D$875,A498,'Base bordo CD'!A$2:A$875,B498,'Base bordo CD'!L$2:L$875,"PARADA POR CONDICOES CLIMATICAS"),0)+IFERROR(SUMIFS('Base bordo CD'!M$2:M$875,'Base bordo CD'!D$2:D$875,A498,'Base bordo CD'!A$2:A$875,B498,'Base bordo CD'!L$2:L$875,"TEMPO INDETERMINADO"),0)</f>
        <v>17.548611111111111</v>
      </c>
      <c r="J498" s="10">
        <f>IFERROR(SUMIFS('Base bordo CD'!M$2:M$875,'Base bordo CD'!D$2:D$875,A498,'Base bordo CD'!A$2:A$875,B498,'Base bordo CD'!L$2:L$875,"LIMITAÇÃO INDÚSTRIA"),0)</f>
        <v>0</v>
      </c>
      <c r="K498" s="10">
        <f>IFERROR(SUMIFS('Base bordo CD'!M$2:M$875,'Base bordo CD'!D$2:D$875,A498,'Base bordo CD'!A$2:A$875,B498,'Base bordo CD'!L$2:L$875,"MAN CORRETIVA*"),0)+IFERROR(SUMIFS('Base bordo CD'!M$2:M$875,'Base bordo CD'!D$2:D$875,A498,'Base bordo CD'!A$2:A$875,B498,'Base bordo CD'!L$2:L$875,"AGUARDANDO MANUTENCAO*"),0)+IFERROR(SUMIFS('Base bordo CD'!M$2:M$875,'Base bordo CD'!D$2:D$875,A498,'Base bordo CD'!A$2:A$875,B498,'Base bordo CD'!L$2:L$875,"TROCA DE FAQUINHA"),0)+IFERROR(SUMIFS('Base bordo CD'!M$2:M$875,'Base bordo CD'!D$2:D$875,A498,'Base bordo CD'!A$2:A$875,B498,'Base bordo CD'!L$2:L$875,"LIMPEZA*"),0)</f>
        <v>3.4316666666666666</v>
      </c>
      <c r="L498" s="10">
        <f>IFERROR(SUMIFS('Base bordo CD'!M$2:M$875,'Base bordo CD'!D$2:D$875,A498,'Base bordo CD'!A$2:A$875,B498,'Base bordo CD'!L$2:L$875,"PATIO - RESERVA"),0)</f>
        <v>0</v>
      </c>
      <c r="M498" s="10">
        <f>IFERROR(SUMIFS('Base bordo CD'!M$2:M$875,'Base bordo CD'!D$2:D$875,A498,'Base bordo CD'!A$2:A$875,B498,'Base bordo CD'!L$2:L$875,"SEM APONTAMENTO"),0)</f>
        <v>1.9444444444444444E-3</v>
      </c>
      <c r="N498" s="10">
        <f>IFERROR(SUMIFS('Base bordo CD'!M$2:M$875,'Base bordo CD'!D$2:D$875,A498,'Base bordo CD'!A$2:A$875,B498,'Base bordo CD'!L$2:L$875,"FALTA DE CAMINHÃO"),0)+IFERROR(SUMIFS('Base bordo CD'!M$2:M$875,'Base bordo CD'!D$2:D$875,A498,'Base bordo CD'!A$2:A$875,B498,'Base bordo CD'!L$2:L$875,"FALTA DE COMBUSTIVEL"),0)+IFERROR(SUMIFS('Base bordo CD'!M$2:M$875,'Base bordo CD'!D$2:D$875,A498,'Base bordo CD'!A$2:A$875,B498,'Base bordo CD'!L$2:L$875,"FALTA DE MOTORIST*"),0)</f>
        <v>0</v>
      </c>
      <c r="O498" s="10">
        <f t="shared" si="40"/>
        <v>3.5527136788005009E-15</v>
      </c>
      <c r="P498" s="10">
        <f>IFERROR(SUMIFS('Base bordo CD'!M$2:M$875,'Base bordo CD'!D$2:D$875,A498,'Base bordo CD'!A$2:A$875,B498),0)</f>
        <v>24</v>
      </c>
      <c r="Q498" s="10">
        <f>IFERROR(SUMIFS('Base bordo CD'!O$2:O$875,'Base bordo CD'!D$2:D$875,A498,'Base bordo CD'!A$2:A$875,B498,'Base bordo CD'!L$2:L$875,"CORTE DE CANA MECANIZADO"),0)</f>
        <v>27507.010000000002</v>
      </c>
      <c r="R498" s="10">
        <f>IFERROR(SUMIFS('Base bordo CD'!Q$2:Q$875,'Base bordo CD'!D$2:D$875,A498,'Base bordo CD'!A$2:A$875,B498,'Base bordo CD'!L$2:L$875,"CORTE DE CANA MECANIZADO"),0)</f>
        <v>7116</v>
      </c>
      <c r="S498" s="30">
        <f t="shared" si="41"/>
        <v>3.8655157391793145</v>
      </c>
      <c r="T498" s="9">
        <f t="shared" si="42"/>
        <v>8.2361111111111107E-2</v>
      </c>
      <c r="U498" s="9">
        <f t="shared" si="43"/>
        <v>2.6828703703703705E-2</v>
      </c>
      <c r="V498" s="9">
        <f t="shared" si="44"/>
        <v>0.90108796296296301</v>
      </c>
    </row>
    <row r="499" spans="1:22" x14ac:dyDescent="0.35">
      <c r="A499" s="52">
        <v>49587</v>
      </c>
      <c r="B499" s="31">
        <v>46119</v>
      </c>
      <c r="C499" s="7" t="s">
        <v>337</v>
      </c>
      <c r="D499" s="7">
        <v>353</v>
      </c>
      <c r="E499" s="10">
        <f>IFERROR(SUMIFS('Base bordo CD'!M$2:M$875,'Base bordo CD'!D$2:D$875,A499,'Base bordo CD'!A$2:A$875,B499,'Base bordo CD'!L$2:L$875,"CORTE DE CANA MECANIZADO"),0)</f>
        <v>1.9766666666666666</v>
      </c>
      <c r="F499" s="10">
        <f>IFERROR(SUMIFS('Base bordo CD'!M$2:M$875,'Base bordo CD'!D$2:D$875,A499,'Base bordo CD'!A$2:A$875,B499,'Base bordo CD'!L$2:L$875,"MANOBRA"),0)</f>
        <v>0.64388888888888896</v>
      </c>
      <c r="G499" s="10">
        <f>IFERROR(SUMIFS('Base bordo CD'!M$2:M$875,'Base bordo CD'!D$2:D$875,A499,'Base bordo CD'!A$2:A$875,B499,'Base bordo CD'!L$2:L$875,"DESLOCAMENTO"),0)</f>
        <v>0.3972222222222222</v>
      </c>
      <c r="H499" s="10">
        <f>IFERROR(SUMIFS('Base bordo CD'!M$2:M$875,'Base bordo CD'!D$2:D$875,A499,'Base bordo CD'!A$2:A$875,B499,'Base bordo CD'!L$2:L$875,"AGUARDANDO MANOBRA DE TRANSBORDO"),0)+IFERROR(SUMIFS('Base bordo CD'!M$2:M$875,'Base bordo CD'!D$2:D$875,A499,'Base bordo CD'!A$2:A$875,B499,'Base bordo CD'!L$2:L$875,"FALTA DE TRANSBORDO"),0)</f>
        <v>0</v>
      </c>
      <c r="I499" s="10">
        <f>IFERROR(SUMIFS('Base bordo CD'!M$2:M$875,'Base bordo CD'!D$2:D$875,A499,'Base bordo CD'!A$2:A$875,B499,'Base bordo CD'!L$2:L$875,"PARADA POR CONDICOES CLIMATICAS"),0)+IFERROR(SUMIFS('Base bordo CD'!M$2:M$875,'Base bordo CD'!D$2:D$875,A499,'Base bordo CD'!A$2:A$875,B499,'Base bordo CD'!L$2:L$875,"TEMPO INDETERMINADO"),0)</f>
        <v>17.548611111111111</v>
      </c>
      <c r="J499" s="10">
        <f>IFERROR(SUMIFS('Base bordo CD'!M$2:M$875,'Base bordo CD'!D$2:D$875,A499,'Base bordo CD'!A$2:A$875,B499,'Base bordo CD'!L$2:L$875,"LIMITAÇÃO INDÚSTRIA"),0)</f>
        <v>0</v>
      </c>
      <c r="K499" s="10">
        <f>IFERROR(SUMIFS('Base bordo CD'!M$2:M$875,'Base bordo CD'!D$2:D$875,A499,'Base bordo CD'!A$2:A$875,B499,'Base bordo CD'!L$2:L$875,"MAN CORRETIVA*"),0)+IFERROR(SUMIFS('Base bordo CD'!M$2:M$875,'Base bordo CD'!D$2:D$875,A499,'Base bordo CD'!A$2:A$875,B499,'Base bordo CD'!L$2:L$875,"AGUARDANDO MANUTENCAO*"),0)+IFERROR(SUMIFS('Base bordo CD'!M$2:M$875,'Base bordo CD'!D$2:D$875,A499,'Base bordo CD'!A$2:A$875,B499,'Base bordo CD'!L$2:L$875,"TROCA DE FAQUINHA"),0)+IFERROR(SUMIFS('Base bordo CD'!M$2:M$875,'Base bordo CD'!D$2:D$875,A499,'Base bordo CD'!A$2:A$875,B499,'Base bordo CD'!L$2:L$875,"LIMPEZA*"),0)</f>
        <v>3.4316666666666666</v>
      </c>
      <c r="L499" s="10">
        <f>IFERROR(SUMIFS('Base bordo CD'!M$2:M$875,'Base bordo CD'!D$2:D$875,A499,'Base bordo CD'!A$2:A$875,B499,'Base bordo CD'!L$2:L$875,"PATIO - RESERVA"),0)</f>
        <v>0</v>
      </c>
      <c r="M499" s="10">
        <f>IFERROR(SUMIFS('Base bordo CD'!M$2:M$875,'Base bordo CD'!D$2:D$875,A499,'Base bordo CD'!A$2:A$875,B499,'Base bordo CD'!L$2:L$875,"SEM APONTAMENTO"),0)</f>
        <v>1.9444444444444444E-3</v>
      </c>
      <c r="N499" s="10">
        <f>IFERROR(SUMIFS('Base bordo CD'!M$2:M$875,'Base bordo CD'!D$2:D$875,A499,'Base bordo CD'!A$2:A$875,B499,'Base bordo CD'!L$2:L$875,"FALTA DE CAMINHÃO"),0)+IFERROR(SUMIFS('Base bordo CD'!M$2:M$875,'Base bordo CD'!D$2:D$875,A499,'Base bordo CD'!A$2:A$875,B499,'Base bordo CD'!L$2:L$875,"FALTA DE COMBUSTIVEL"),0)+IFERROR(SUMIFS('Base bordo CD'!M$2:M$875,'Base bordo CD'!D$2:D$875,A499,'Base bordo CD'!A$2:A$875,B499,'Base bordo CD'!L$2:L$875,"FALTA DE MOTORIST*"),0)</f>
        <v>0</v>
      </c>
      <c r="O499" s="10">
        <f t="shared" si="40"/>
        <v>3.5527136788005009E-15</v>
      </c>
      <c r="P499" s="10">
        <f>IFERROR(SUMIFS('Base bordo CD'!M$2:M$875,'Base bordo CD'!D$2:D$875,A499,'Base bordo CD'!A$2:A$875,B499),0)</f>
        <v>24</v>
      </c>
      <c r="Q499" s="10">
        <f>IFERROR(SUMIFS('Base bordo CD'!O$2:O$875,'Base bordo CD'!D$2:D$875,A499,'Base bordo CD'!A$2:A$875,B499,'Base bordo CD'!L$2:L$875,"CORTE DE CANA MECANIZADO"),0)</f>
        <v>27507.010000000002</v>
      </c>
      <c r="R499" s="10">
        <f>IFERROR(SUMIFS('Base bordo CD'!Q$2:Q$875,'Base bordo CD'!D$2:D$875,A499,'Base bordo CD'!A$2:A$875,B499,'Base bordo CD'!L$2:L$875,"CORTE DE CANA MECANIZADO"),0)</f>
        <v>7116</v>
      </c>
      <c r="S499" s="30">
        <f t="shared" si="41"/>
        <v>3.8655157391793145</v>
      </c>
      <c r="T499" s="9">
        <f t="shared" si="42"/>
        <v>8.2361111111111107E-2</v>
      </c>
      <c r="U499" s="9">
        <f t="shared" si="43"/>
        <v>2.6828703703703705E-2</v>
      </c>
      <c r="V499" s="9">
        <f t="shared" si="44"/>
        <v>0.90108796296296301</v>
      </c>
    </row>
    <row r="500" spans="1:22" x14ac:dyDescent="0.35">
      <c r="A500" s="52">
        <v>49587</v>
      </c>
      <c r="B500" s="31">
        <v>46119</v>
      </c>
      <c r="C500" s="7" t="s">
        <v>337</v>
      </c>
      <c r="D500" s="7">
        <v>353</v>
      </c>
      <c r="E500" s="10">
        <f>IFERROR(SUMIFS('Base bordo CD'!M$2:M$875,'Base bordo CD'!D$2:D$875,A500,'Base bordo CD'!A$2:A$875,B500,'Base bordo CD'!L$2:L$875,"CORTE DE CANA MECANIZADO"),0)</f>
        <v>1.9766666666666666</v>
      </c>
      <c r="F500" s="10">
        <f>IFERROR(SUMIFS('Base bordo CD'!M$2:M$875,'Base bordo CD'!D$2:D$875,A500,'Base bordo CD'!A$2:A$875,B500,'Base bordo CD'!L$2:L$875,"MANOBRA"),0)</f>
        <v>0.64388888888888896</v>
      </c>
      <c r="G500" s="10">
        <f>IFERROR(SUMIFS('Base bordo CD'!M$2:M$875,'Base bordo CD'!D$2:D$875,A500,'Base bordo CD'!A$2:A$875,B500,'Base bordo CD'!L$2:L$875,"DESLOCAMENTO"),0)</f>
        <v>0.3972222222222222</v>
      </c>
      <c r="H500" s="10">
        <f>IFERROR(SUMIFS('Base bordo CD'!M$2:M$875,'Base bordo CD'!D$2:D$875,A500,'Base bordo CD'!A$2:A$875,B500,'Base bordo CD'!L$2:L$875,"AGUARDANDO MANOBRA DE TRANSBORDO"),0)+IFERROR(SUMIFS('Base bordo CD'!M$2:M$875,'Base bordo CD'!D$2:D$875,A500,'Base bordo CD'!A$2:A$875,B500,'Base bordo CD'!L$2:L$875,"FALTA DE TRANSBORDO"),0)</f>
        <v>0</v>
      </c>
      <c r="I500" s="10">
        <f>IFERROR(SUMIFS('Base bordo CD'!M$2:M$875,'Base bordo CD'!D$2:D$875,A500,'Base bordo CD'!A$2:A$875,B500,'Base bordo CD'!L$2:L$875,"PARADA POR CONDICOES CLIMATICAS"),0)+IFERROR(SUMIFS('Base bordo CD'!M$2:M$875,'Base bordo CD'!D$2:D$875,A500,'Base bordo CD'!A$2:A$875,B500,'Base bordo CD'!L$2:L$875,"TEMPO INDETERMINADO"),0)</f>
        <v>17.548611111111111</v>
      </c>
      <c r="J500" s="10">
        <f>IFERROR(SUMIFS('Base bordo CD'!M$2:M$875,'Base bordo CD'!D$2:D$875,A500,'Base bordo CD'!A$2:A$875,B500,'Base bordo CD'!L$2:L$875,"LIMITAÇÃO INDÚSTRIA"),0)</f>
        <v>0</v>
      </c>
      <c r="K500" s="10">
        <f>IFERROR(SUMIFS('Base bordo CD'!M$2:M$875,'Base bordo CD'!D$2:D$875,A500,'Base bordo CD'!A$2:A$875,B500,'Base bordo CD'!L$2:L$875,"MAN CORRETIVA*"),0)+IFERROR(SUMIFS('Base bordo CD'!M$2:M$875,'Base bordo CD'!D$2:D$875,A500,'Base bordo CD'!A$2:A$875,B500,'Base bordo CD'!L$2:L$875,"AGUARDANDO MANUTENCAO*"),0)+IFERROR(SUMIFS('Base bordo CD'!M$2:M$875,'Base bordo CD'!D$2:D$875,A500,'Base bordo CD'!A$2:A$875,B500,'Base bordo CD'!L$2:L$875,"TROCA DE FAQUINHA"),0)+IFERROR(SUMIFS('Base bordo CD'!M$2:M$875,'Base bordo CD'!D$2:D$875,A500,'Base bordo CD'!A$2:A$875,B500,'Base bordo CD'!L$2:L$875,"LIMPEZA*"),0)</f>
        <v>3.4316666666666666</v>
      </c>
      <c r="L500" s="10">
        <f>IFERROR(SUMIFS('Base bordo CD'!M$2:M$875,'Base bordo CD'!D$2:D$875,A500,'Base bordo CD'!A$2:A$875,B500,'Base bordo CD'!L$2:L$875,"PATIO - RESERVA"),0)</f>
        <v>0</v>
      </c>
      <c r="M500" s="10">
        <f>IFERROR(SUMIFS('Base bordo CD'!M$2:M$875,'Base bordo CD'!D$2:D$875,A500,'Base bordo CD'!A$2:A$875,B500,'Base bordo CD'!L$2:L$875,"SEM APONTAMENTO"),0)</f>
        <v>1.9444444444444444E-3</v>
      </c>
      <c r="N500" s="10">
        <f>IFERROR(SUMIFS('Base bordo CD'!M$2:M$875,'Base bordo CD'!D$2:D$875,A500,'Base bordo CD'!A$2:A$875,B500,'Base bordo CD'!L$2:L$875,"FALTA DE CAMINHÃO"),0)+IFERROR(SUMIFS('Base bordo CD'!M$2:M$875,'Base bordo CD'!D$2:D$875,A500,'Base bordo CD'!A$2:A$875,B500,'Base bordo CD'!L$2:L$875,"FALTA DE COMBUSTIVEL"),0)+IFERROR(SUMIFS('Base bordo CD'!M$2:M$875,'Base bordo CD'!D$2:D$875,A500,'Base bordo CD'!A$2:A$875,B500,'Base bordo CD'!L$2:L$875,"FALTA DE MOTORIST*"),0)</f>
        <v>0</v>
      </c>
      <c r="O500" s="10">
        <f t="shared" si="40"/>
        <v>3.5527136788005009E-15</v>
      </c>
      <c r="P500" s="10">
        <f>IFERROR(SUMIFS('Base bordo CD'!M$2:M$875,'Base bordo CD'!D$2:D$875,A500,'Base bordo CD'!A$2:A$875,B500),0)</f>
        <v>24</v>
      </c>
      <c r="Q500" s="10">
        <f>IFERROR(SUMIFS('Base bordo CD'!O$2:O$875,'Base bordo CD'!D$2:D$875,A500,'Base bordo CD'!A$2:A$875,B500,'Base bordo CD'!L$2:L$875,"CORTE DE CANA MECANIZADO"),0)</f>
        <v>27507.010000000002</v>
      </c>
      <c r="R500" s="10">
        <f>IFERROR(SUMIFS('Base bordo CD'!Q$2:Q$875,'Base bordo CD'!D$2:D$875,A500,'Base bordo CD'!A$2:A$875,B500,'Base bordo CD'!L$2:L$875,"CORTE DE CANA MECANIZADO"),0)</f>
        <v>7116</v>
      </c>
      <c r="S500" s="30">
        <f t="shared" si="41"/>
        <v>3.8655157391793145</v>
      </c>
      <c r="T500" s="9">
        <f t="shared" si="42"/>
        <v>8.2361111111111107E-2</v>
      </c>
      <c r="U500" s="9">
        <f t="shared" si="43"/>
        <v>2.6828703703703705E-2</v>
      </c>
      <c r="V500" s="9">
        <f t="shared" si="44"/>
        <v>0.90108796296296301</v>
      </c>
    </row>
    <row r="501" spans="1:22" hidden="1" x14ac:dyDescent="0.35">
      <c r="A501" s="52">
        <v>49588</v>
      </c>
      <c r="B501" s="31">
        <v>46119</v>
      </c>
      <c r="C501" s="7" t="s">
        <v>364</v>
      </c>
      <c r="D501" s="7">
        <v>352</v>
      </c>
      <c r="E501" s="10">
        <f>IFERROR(SUMIFS('Base bordo CD'!M$2:M$875,'Base bordo CD'!D$2:D$875,A501,'Base bordo CD'!A$2:A$875,B501,'Base bordo CD'!L$2:L$875,"CORTE DE CANA MECANIZADO"),0)</f>
        <v>0</v>
      </c>
      <c r="F501" s="10">
        <f>IFERROR(SUMIFS('Base bordo CD'!M$2:M$875,'Base bordo CD'!D$2:D$875,A501,'Base bordo CD'!A$2:A$875,B501,'Base bordo CD'!L$2:L$875,"MANOBRA"),0)</f>
        <v>0</v>
      </c>
      <c r="G501" s="10">
        <f>IFERROR(SUMIFS('Base bordo CD'!M$2:M$875,'Base bordo CD'!D$2:D$875,A501,'Base bordo CD'!A$2:A$875,B501,'Base bordo CD'!L$2:L$875,"DESLOCAMENTO"),0)</f>
        <v>7.7499999999999999E-2</v>
      </c>
      <c r="H501" s="10">
        <f>IFERROR(SUMIFS('Base bordo CD'!M$2:M$875,'Base bordo CD'!D$2:D$875,A501,'Base bordo CD'!A$2:A$875,B501,'Base bordo CD'!L$2:L$875,"AGUARDANDO MANOBRA DE TRANSBORDO"),0)+IFERROR(SUMIFS('Base bordo CD'!M$2:M$875,'Base bordo CD'!D$2:D$875,A501,'Base bordo CD'!A$2:A$875,B501,'Base bordo CD'!L$2:L$875,"FALTA DE TRANSBORDO"),0)</f>
        <v>0</v>
      </c>
      <c r="I501" s="10">
        <f>IFERROR(SUMIFS('Base bordo CD'!M$2:M$875,'Base bordo CD'!D$2:D$875,A501,'Base bordo CD'!A$2:A$875,B501,'Base bordo CD'!L$2:L$875,"PARADA POR CONDICOES CLIMATICAS"),0)+IFERROR(SUMIFS('Base bordo CD'!M$2:M$875,'Base bordo CD'!D$2:D$875,A501,'Base bordo CD'!A$2:A$875,B501,'Base bordo CD'!L$2:L$875,"TEMPO INDETERMINADO"),0)</f>
        <v>10.742777777777777</v>
      </c>
      <c r="J501" s="10">
        <f>IFERROR(SUMIFS('Base bordo CD'!M$2:M$875,'Base bordo CD'!D$2:D$875,A501,'Base bordo CD'!A$2:A$875,B501,'Base bordo CD'!L$2:L$875,"LIMITAÇÃO INDÚSTRIA"),0)</f>
        <v>0</v>
      </c>
      <c r="K501" s="10">
        <f>IFERROR(SUMIFS('Base bordo CD'!M$2:M$875,'Base bordo CD'!D$2:D$875,A501,'Base bordo CD'!A$2:A$875,B501,'Base bordo CD'!L$2:L$875,"MAN CORRETIVA*"),0)+IFERROR(SUMIFS('Base bordo CD'!M$2:M$875,'Base bordo CD'!D$2:D$875,A501,'Base bordo CD'!A$2:A$875,B501,'Base bordo CD'!L$2:L$875,"AGUARDANDO MANUTENCAO*"),0)+IFERROR(SUMIFS('Base bordo CD'!M$2:M$875,'Base bordo CD'!D$2:D$875,A501,'Base bordo CD'!A$2:A$875,B501,'Base bordo CD'!L$2:L$875,"TROCA DE FAQUINHA"),0)+IFERROR(SUMIFS('Base bordo CD'!M$2:M$875,'Base bordo CD'!D$2:D$875,A501,'Base bordo CD'!A$2:A$875,B501,'Base bordo CD'!L$2:L$875,"LIMPEZA*"),0)</f>
        <v>0</v>
      </c>
      <c r="L501" s="10">
        <f>IFERROR(SUMIFS('Base bordo CD'!M$2:M$875,'Base bordo CD'!D$2:D$875,A501,'Base bordo CD'!A$2:A$875,B501,'Base bordo CD'!L$2:L$875,"PATIO - RESERVA"),0)</f>
        <v>0</v>
      </c>
      <c r="M501" s="10">
        <f>IFERROR(SUMIFS('Base bordo CD'!M$2:M$875,'Base bordo CD'!D$2:D$875,A501,'Base bordo CD'!A$2:A$875,B501,'Base bordo CD'!L$2:L$875,"SEM APONTAMENTO"),0)</f>
        <v>13.179722222222223</v>
      </c>
      <c r="N501" s="10">
        <f>IFERROR(SUMIFS('Base bordo CD'!M$2:M$875,'Base bordo CD'!D$2:D$875,A501,'Base bordo CD'!A$2:A$875,B501,'Base bordo CD'!L$2:L$875,"FALTA DE CAMINHÃO"),0)+IFERROR(SUMIFS('Base bordo CD'!M$2:M$875,'Base bordo CD'!D$2:D$875,A501,'Base bordo CD'!A$2:A$875,B501,'Base bordo CD'!L$2:L$875,"FALTA DE COMBUSTIVEL"),0)+IFERROR(SUMIFS('Base bordo CD'!M$2:M$875,'Base bordo CD'!D$2:D$875,A501,'Base bordo CD'!A$2:A$875,B501,'Base bordo CD'!L$2:L$875,"FALTA DE MOTORIST*"),0)</f>
        <v>0</v>
      </c>
      <c r="O501" s="10">
        <f t="shared" si="40"/>
        <v>0</v>
      </c>
      <c r="P501" s="10">
        <f>IFERROR(SUMIFS('Base bordo CD'!M$2:M$875,'Base bordo CD'!D$2:D$875,A501,'Base bordo CD'!A$2:A$875,B501),0)</f>
        <v>24</v>
      </c>
      <c r="Q501" s="10">
        <f>IFERROR(SUMIFS('Base bordo CD'!O$2:O$875,'Base bordo CD'!D$2:D$875,A501,'Base bordo CD'!A$2:A$875,B501,'Base bordo CD'!L$2:L$875,"CORTE DE CANA MECANIZADO"),0)</f>
        <v>0</v>
      </c>
      <c r="R501" s="10">
        <f>IFERROR(SUMIFS('Base bordo CD'!Q$2:Q$875,'Base bordo CD'!D$2:D$875,A501,'Base bordo CD'!A$2:A$875,B501,'Base bordo CD'!L$2:L$875,"CORTE DE CANA MECANIZADO"),0)</f>
        <v>0</v>
      </c>
      <c r="S501" s="30" t="str">
        <f t="shared" si="41"/>
        <v/>
      </c>
      <c r="T501" s="9">
        <f t="shared" si="42"/>
        <v>0</v>
      </c>
      <c r="U501" s="9">
        <f t="shared" si="43"/>
        <v>0</v>
      </c>
      <c r="V501" s="9">
        <f t="shared" si="44"/>
        <v>0.99677083333333338</v>
      </c>
    </row>
    <row r="502" spans="1:22" hidden="1" x14ac:dyDescent="0.35">
      <c r="A502" s="52">
        <v>49588</v>
      </c>
      <c r="B502" s="31">
        <v>46119</v>
      </c>
      <c r="C502" s="7" t="s">
        <v>364</v>
      </c>
      <c r="D502" s="7">
        <v>352</v>
      </c>
      <c r="E502" s="10">
        <f>IFERROR(SUMIFS('Base bordo CD'!M$2:M$875,'Base bordo CD'!D$2:D$875,A502,'Base bordo CD'!A$2:A$875,B502,'Base bordo CD'!L$2:L$875,"CORTE DE CANA MECANIZADO"),0)</f>
        <v>0</v>
      </c>
      <c r="F502" s="10">
        <f>IFERROR(SUMIFS('Base bordo CD'!M$2:M$875,'Base bordo CD'!D$2:D$875,A502,'Base bordo CD'!A$2:A$875,B502,'Base bordo CD'!L$2:L$875,"MANOBRA"),0)</f>
        <v>0</v>
      </c>
      <c r="G502" s="10">
        <f>IFERROR(SUMIFS('Base bordo CD'!M$2:M$875,'Base bordo CD'!D$2:D$875,A502,'Base bordo CD'!A$2:A$875,B502,'Base bordo CD'!L$2:L$875,"DESLOCAMENTO"),0)</f>
        <v>7.7499999999999999E-2</v>
      </c>
      <c r="H502" s="10">
        <f>IFERROR(SUMIFS('Base bordo CD'!M$2:M$875,'Base bordo CD'!D$2:D$875,A502,'Base bordo CD'!A$2:A$875,B502,'Base bordo CD'!L$2:L$875,"AGUARDANDO MANOBRA DE TRANSBORDO"),0)+IFERROR(SUMIFS('Base bordo CD'!M$2:M$875,'Base bordo CD'!D$2:D$875,A502,'Base bordo CD'!A$2:A$875,B502,'Base bordo CD'!L$2:L$875,"FALTA DE TRANSBORDO"),0)</f>
        <v>0</v>
      </c>
      <c r="I502" s="10">
        <f>IFERROR(SUMIFS('Base bordo CD'!M$2:M$875,'Base bordo CD'!D$2:D$875,A502,'Base bordo CD'!A$2:A$875,B502,'Base bordo CD'!L$2:L$875,"PARADA POR CONDICOES CLIMATICAS"),0)+IFERROR(SUMIFS('Base bordo CD'!M$2:M$875,'Base bordo CD'!D$2:D$875,A502,'Base bordo CD'!A$2:A$875,B502,'Base bordo CD'!L$2:L$875,"TEMPO INDETERMINADO"),0)</f>
        <v>10.742777777777777</v>
      </c>
      <c r="J502" s="10">
        <f>IFERROR(SUMIFS('Base bordo CD'!M$2:M$875,'Base bordo CD'!D$2:D$875,A502,'Base bordo CD'!A$2:A$875,B502,'Base bordo CD'!L$2:L$875,"LIMITAÇÃO INDÚSTRIA"),0)</f>
        <v>0</v>
      </c>
      <c r="K502" s="10">
        <f>IFERROR(SUMIFS('Base bordo CD'!M$2:M$875,'Base bordo CD'!D$2:D$875,A502,'Base bordo CD'!A$2:A$875,B502,'Base bordo CD'!L$2:L$875,"MAN CORRETIVA*"),0)+IFERROR(SUMIFS('Base bordo CD'!M$2:M$875,'Base bordo CD'!D$2:D$875,A502,'Base bordo CD'!A$2:A$875,B502,'Base bordo CD'!L$2:L$875,"AGUARDANDO MANUTENCAO*"),0)+IFERROR(SUMIFS('Base bordo CD'!M$2:M$875,'Base bordo CD'!D$2:D$875,A502,'Base bordo CD'!A$2:A$875,B502,'Base bordo CD'!L$2:L$875,"TROCA DE FAQUINHA"),0)+IFERROR(SUMIFS('Base bordo CD'!M$2:M$875,'Base bordo CD'!D$2:D$875,A502,'Base bordo CD'!A$2:A$875,B502,'Base bordo CD'!L$2:L$875,"LIMPEZA*"),0)</f>
        <v>0</v>
      </c>
      <c r="L502" s="10">
        <f>IFERROR(SUMIFS('Base bordo CD'!M$2:M$875,'Base bordo CD'!D$2:D$875,A502,'Base bordo CD'!A$2:A$875,B502,'Base bordo CD'!L$2:L$875,"PATIO - RESERVA"),0)</f>
        <v>0</v>
      </c>
      <c r="M502" s="10">
        <f>IFERROR(SUMIFS('Base bordo CD'!M$2:M$875,'Base bordo CD'!D$2:D$875,A502,'Base bordo CD'!A$2:A$875,B502,'Base bordo CD'!L$2:L$875,"SEM APONTAMENTO"),0)</f>
        <v>13.179722222222223</v>
      </c>
      <c r="N502" s="10">
        <f>IFERROR(SUMIFS('Base bordo CD'!M$2:M$875,'Base bordo CD'!D$2:D$875,A502,'Base bordo CD'!A$2:A$875,B502,'Base bordo CD'!L$2:L$875,"FALTA DE CAMINHÃO"),0)+IFERROR(SUMIFS('Base bordo CD'!M$2:M$875,'Base bordo CD'!D$2:D$875,A502,'Base bordo CD'!A$2:A$875,B502,'Base bordo CD'!L$2:L$875,"FALTA DE COMBUSTIVEL"),0)+IFERROR(SUMIFS('Base bordo CD'!M$2:M$875,'Base bordo CD'!D$2:D$875,A502,'Base bordo CD'!A$2:A$875,B502,'Base bordo CD'!L$2:L$875,"FALTA DE MOTORIST*"),0)</f>
        <v>0</v>
      </c>
      <c r="O502" s="10">
        <f t="shared" si="40"/>
        <v>0</v>
      </c>
      <c r="P502" s="10">
        <f>IFERROR(SUMIFS('Base bordo CD'!M$2:M$875,'Base bordo CD'!D$2:D$875,A502,'Base bordo CD'!A$2:A$875,B502),0)</f>
        <v>24</v>
      </c>
      <c r="Q502" s="10">
        <f>IFERROR(SUMIFS('Base bordo CD'!O$2:O$875,'Base bordo CD'!D$2:D$875,A502,'Base bordo CD'!A$2:A$875,B502,'Base bordo CD'!L$2:L$875,"CORTE DE CANA MECANIZADO"),0)</f>
        <v>0</v>
      </c>
      <c r="R502" s="10">
        <f>IFERROR(SUMIFS('Base bordo CD'!Q$2:Q$875,'Base bordo CD'!D$2:D$875,A502,'Base bordo CD'!A$2:A$875,B502,'Base bordo CD'!L$2:L$875,"CORTE DE CANA MECANIZADO"),0)</f>
        <v>0</v>
      </c>
      <c r="S502" s="30" t="str">
        <f t="shared" si="41"/>
        <v/>
      </c>
      <c r="T502" s="9">
        <f t="shared" si="42"/>
        <v>0</v>
      </c>
      <c r="U502" s="9">
        <f t="shared" si="43"/>
        <v>0</v>
      </c>
      <c r="V502" s="9">
        <f t="shared" si="44"/>
        <v>0.99677083333333338</v>
      </c>
    </row>
    <row r="503" spans="1:22" hidden="1" x14ac:dyDescent="0.35">
      <c r="A503" s="52">
        <v>49588</v>
      </c>
      <c r="B503" s="31">
        <v>46119</v>
      </c>
      <c r="C503" s="7" t="s">
        <v>364</v>
      </c>
      <c r="D503" s="7">
        <v>352</v>
      </c>
      <c r="E503" s="10">
        <f>IFERROR(SUMIFS('Base bordo CD'!M$2:M$875,'Base bordo CD'!D$2:D$875,A503,'Base bordo CD'!A$2:A$875,B503,'Base bordo CD'!L$2:L$875,"CORTE DE CANA MECANIZADO"),0)</f>
        <v>0</v>
      </c>
      <c r="F503" s="10">
        <f>IFERROR(SUMIFS('Base bordo CD'!M$2:M$875,'Base bordo CD'!D$2:D$875,A503,'Base bordo CD'!A$2:A$875,B503,'Base bordo CD'!L$2:L$875,"MANOBRA"),0)</f>
        <v>0</v>
      </c>
      <c r="G503" s="10">
        <f>IFERROR(SUMIFS('Base bordo CD'!M$2:M$875,'Base bordo CD'!D$2:D$875,A503,'Base bordo CD'!A$2:A$875,B503,'Base bordo CD'!L$2:L$875,"DESLOCAMENTO"),0)</f>
        <v>7.7499999999999999E-2</v>
      </c>
      <c r="H503" s="10">
        <f>IFERROR(SUMIFS('Base bordo CD'!M$2:M$875,'Base bordo CD'!D$2:D$875,A503,'Base bordo CD'!A$2:A$875,B503,'Base bordo CD'!L$2:L$875,"AGUARDANDO MANOBRA DE TRANSBORDO"),0)+IFERROR(SUMIFS('Base bordo CD'!M$2:M$875,'Base bordo CD'!D$2:D$875,A503,'Base bordo CD'!A$2:A$875,B503,'Base bordo CD'!L$2:L$875,"FALTA DE TRANSBORDO"),0)</f>
        <v>0</v>
      </c>
      <c r="I503" s="10">
        <f>IFERROR(SUMIFS('Base bordo CD'!M$2:M$875,'Base bordo CD'!D$2:D$875,A503,'Base bordo CD'!A$2:A$875,B503,'Base bordo CD'!L$2:L$875,"PARADA POR CONDICOES CLIMATICAS"),0)+IFERROR(SUMIFS('Base bordo CD'!M$2:M$875,'Base bordo CD'!D$2:D$875,A503,'Base bordo CD'!A$2:A$875,B503,'Base bordo CD'!L$2:L$875,"TEMPO INDETERMINADO"),0)</f>
        <v>10.742777777777777</v>
      </c>
      <c r="J503" s="10">
        <f>IFERROR(SUMIFS('Base bordo CD'!M$2:M$875,'Base bordo CD'!D$2:D$875,A503,'Base bordo CD'!A$2:A$875,B503,'Base bordo CD'!L$2:L$875,"LIMITAÇÃO INDÚSTRIA"),0)</f>
        <v>0</v>
      </c>
      <c r="K503" s="10">
        <f>IFERROR(SUMIFS('Base bordo CD'!M$2:M$875,'Base bordo CD'!D$2:D$875,A503,'Base bordo CD'!A$2:A$875,B503,'Base bordo CD'!L$2:L$875,"MAN CORRETIVA*"),0)+IFERROR(SUMIFS('Base bordo CD'!M$2:M$875,'Base bordo CD'!D$2:D$875,A503,'Base bordo CD'!A$2:A$875,B503,'Base bordo CD'!L$2:L$875,"AGUARDANDO MANUTENCAO*"),0)+IFERROR(SUMIFS('Base bordo CD'!M$2:M$875,'Base bordo CD'!D$2:D$875,A503,'Base bordo CD'!A$2:A$875,B503,'Base bordo CD'!L$2:L$875,"TROCA DE FAQUINHA"),0)+IFERROR(SUMIFS('Base bordo CD'!M$2:M$875,'Base bordo CD'!D$2:D$875,A503,'Base bordo CD'!A$2:A$875,B503,'Base bordo CD'!L$2:L$875,"LIMPEZA*"),0)</f>
        <v>0</v>
      </c>
      <c r="L503" s="10">
        <f>IFERROR(SUMIFS('Base bordo CD'!M$2:M$875,'Base bordo CD'!D$2:D$875,A503,'Base bordo CD'!A$2:A$875,B503,'Base bordo CD'!L$2:L$875,"PATIO - RESERVA"),0)</f>
        <v>0</v>
      </c>
      <c r="M503" s="10">
        <f>IFERROR(SUMIFS('Base bordo CD'!M$2:M$875,'Base bordo CD'!D$2:D$875,A503,'Base bordo CD'!A$2:A$875,B503,'Base bordo CD'!L$2:L$875,"SEM APONTAMENTO"),0)</f>
        <v>13.179722222222223</v>
      </c>
      <c r="N503" s="10">
        <f>IFERROR(SUMIFS('Base bordo CD'!M$2:M$875,'Base bordo CD'!D$2:D$875,A503,'Base bordo CD'!A$2:A$875,B503,'Base bordo CD'!L$2:L$875,"FALTA DE CAMINHÃO"),0)+IFERROR(SUMIFS('Base bordo CD'!M$2:M$875,'Base bordo CD'!D$2:D$875,A503,'Base bordo CD'!A$2:A$875,B503,'Base bordo CD'!L$2:L$875,"FALTA DE COMBUSTIVEL"),0)+IFERROR(SUMIFS('Base bordo CD'!M$2:M$875,'Base bordo CD'!D$2:D$875,A503,'Base bordo CD'!A$2:A$875,B503,'Base bordo CD'!L$2:L$875,"FALTA DE MOTORIST*"),0)</f>
        <v>0</v>
      </c>
      <c r="O503" s="10">
        <f t="shared" si="40"/>
        <v>0</v>
      </c>
      <c r="P503" s="10">
        <f>IFERROR(SUMIFS('Base bordo CD'!M$2:M$875,'Base bordo CD'!D$2:D$875,A503,'Base bordo CD'!A$2:A$875,B503),0)</f>
        <v>24</v>
      </c>
      <c r="Q503" s="10">
        <f>IFERROR(SUMIFS('Base bordo CD'!O$2:O$875,'Base bordo CD'!D$2:D$875,A503,'Base bordo CD'!A$2:A$875,B503,'Base bordo CD'!L$2:L$875,"CORTE DE CANA MECANIZADO"),0)</f>
        <v>0</v>
      </c>
      <c r="R503" s="10">
        <f>IFERROR(SUMIFS('Base bordo CD'!Q$2:Q$875,'Base bordo CD'!D$2:D$875,A503,'Base bordo CD'!A$2:A$875,B503,'Base bordo CD'!L$2:L$875,"CORTE DE CANA MECANIZADO"),0)</f>
        <v>0</v>
      </c>
      <c r="S503" s="30" t="str">
        <f t="shared" si="41"/>
        <v/>
      </c>
      <c r="T503" s="9">
        <f t="shared" si="42"/>
        <v>0</v>
      </c>
      <c r="U503" s="9">
        <f t="shared" si="43"/>
        <v>0</v>
      </c>
      <c r="V503" s="9">
        <f t="shared" si="44"/>
        <v>0.99677083333333338</v>
      </c>
    </row>
    <row r="504" spans="1:22" hidden="1" x14ac:dyDescent="0.35">
      <c r="A504" s="52">
        <v>49588</v>
      </c>
      <c r="B504" s="31">
        <v>46119</v>
      </c>
      <c r="C504" s="7" t="s">
        <v>364</v>
      </c>
      <c r="D504" s="7">
        <v>352</v>
      </c>
      <c r="E504" s="10">
        <f>IFERROR(SUMIFS('Base bordo CD'!M$2:M$875,'Base bordo CD'!D$2:D$875,A504,'Base bordo CD'!A$2:A$875,B504,'Base bordo CD'!L$2:L$875,"CORTE DE CANA MECANIZADO"),0)</f>
        <v>0</v>
      </c>
      <c r="F504" s="10">
        <f>IFERROR(SUMIFS('Base bordo CD'!M$2:M$875,'Base bordo CD'!D$2:D$875,A504,'Base bordo CD'!A$2:A$875,B504,'Base bordo CD'!L$2:L$875,"MANOBRA"),0)</f>
        <v>0</v>
      </c>
      <c r="G504" s="10">
        <f>IFERROR(SUMIFS('Base bordo CD'!M$2:M$875,'Base bordo CD'!D$2:D$875,A504,'Base bordo CD'!A$2:A$875,B504,'Base bordo CD'!L$2:L$875,"DESLOCAMENTO"),0)</f>
        <v>7.7499999999999999E-2</v>
      </c>
      <c r="H504" s="10">
        <f>IFERROR(SUMIFS('Base bordo CD'!M$2:M$875,'Base bordo CD'!D$2:D$875,A504,'Base bordo CD'!A$2:A$875,B504,'Base bordo CD'!L$2:L$875,"AGUARDANDO MANOBRA DE TRANSBORDO"),0)+IFERROR(SUMIFS('Base bordo CD'!M$2:M$875,'Base bordo CD'!D$2:D$875,A504,'Base bordo CD'!A$2:A$875,B504,'Base bordo CD'!L$2:L$875,"FALTA DE TRANSBORDO"),0)</f>
        <v>0</v>
      </c>
      <c r="I504" s="10">
        <f>IFERROR(SUMIFS('Base bordo CD'!M$2:M$875,'Base bordo CD'!D$2:D$875,A504,'Base bordo CD'!A$2:A$875,B504,'Base bordo CD'!L$2:L$875,"PARADA POR CONDICOES CLIMATICAS"),0)+IFERROR(SUMIFS('Base bordo CD'!M$2:M$875,'Base bordo CD'!D$2:D$875,A504,'Base bordo CD'!A$2:A$875,B504,'Base bordo CD'!L$2:L$875,"TEMPO INDETERMINADO"),0)</f>
        <v>10.742777777777777</v>
      </c>
      <c r="J504" s="10">
        <f>IFERROR(SUMIFS('Base bordo CD'!M$2:M$875,'Base bordo CD'!D$2:D$875,A504,'Base bordo CD'!A$2:A$875,B504,'Base bordo CD'!L$2:L$875,"LIMITAÇÃO INDÚSTRIA"),0)</f>
        <v>0</v>
      </c>
      <c r="K504" s="10">
        <f>IFERROR(SUMIFS('Base bordo CD'!M$2:M$875,'Base bordo CD'!D$2:D$875,A504,'Base bordo CD'!A$2:A$875,B504,'Base bordo CD'!L$2:L$875,"MAN CORRETIVA*"),0)+IFERROR(SUMIFS('Base bordo CD'!M$2:M$875,'Base bordo CD'!D$2:D$875,A504,'Base bordo CD'!A$2:A$875,B504,'Base bordo CD'!L$2:L$875,"AGUARDANDO MANUTENCAO*"),0)+IFERROR(SUMIFS('Base bordo CD'!M$2:M$875,'Base bordo CD'!D$2:D$875,A504,'Base bordo CD'!A$2:A$875,B504,'Base bordo CD'!L$2:L$875,"TROCA DE FAQUINHA"),0)+IFERROR(SUMIFS('Base bordo CD'!M$2:M$875,'Base bordo CD'!D$2:D$875,A504,'Base bordo CD'!A$2:A$875,B504,'Base bordo CD'!L$2:L$875,"LIMPEZA*"),0)</f>
        <v>0</v>
      </c>
      <c r="L504" s="10">
        <f>IFERROR(SUMIFS('Base bordo CD'!M$2:M$875,'Base bordo CD'!D$2:D$875,A504,'Base bordo CD'!A$2:A$875,B504,'Base bordo CD'!L$2:L$875,"PATIO - RESERVA"),0)</f>
        <v>0</v>
      </c>
      <c r="M504" s="10">
        <f>IFERROR(SUMIFS('Base bordo CD'!M$2:M$875,'Base bordo CD'!D$2:D$875,A504,'Base bordo CD'!A$2:A$875,B504,'Base bordo CD'!L$2:L$875,"SEM APONTAMENTO"),0)</f>
        <v>13.179722222222223</v>
      </c>
      <c r="N504" s="10">
        <f>IFERROR(SUMIFS('Base bordo CD'!M$2:M$875,'Base bordo CD'!D$2:D$875,A504,'Base bordo CD'!A$2:A$875,B504,'Base bordo CD'!L$2:L$875,"FALTA DE CAMINHÃO"),0)+IFERROR(SUMIFS('Base bordo CD'!M$2:M$875,'Base bordo CD'!D$2:D$875,A504,'Base bordo CD'!A$2:A$875,B504,'Base bordo CD'!L$2:L$875,"FALTA DE COMBUSTIVEL"),0)+IFERROR(SUMIFS('Base bordo CD'!M$2:M$875,'Base bordo CD'!D$2:D$875,A504,'Base bordo CD'!A$2:A$875,B504,'Base bordo CD'!L$2:L$875,"FALTA DE MOTORIST*"),0)</f>
        <v>0</v>
      </c>
      <c r="O504" s="10">
        <f t="shared" si="40"/>
        <v>0</v>
      </c>
      <c r="P504" s="10">
        <f>IFERROR(SUMIFS('Base bordo CD'!M$2:M$875,'Base bordo CD'!D$2:D$875,A504,'Base bordo CD'!A$2:A$875,B504),0)</f>
        <v>24</v>
      </c>
      <c r="Q504" s="10">
        <f>IFERROR(SUMIFS('Base bordo CD'!O$2:O$875,'Base bordo CD'!D$2:D$875,A504,'Base bordo CD'!A$2:A$875,B504,'Base bordo CD'!L$2:L$875,"CORTE DE CANA MECANIZADO"),0)</f>
        <v>0</v>
      </c>
      <c r="R504" s="10">
        <f>IFERROR(SUMIFS('Base bordo CD'!Q$2:Q$875,'Base bordo CD'!D$2:D$875,A504,'Base bordo CD'!A$2:A$875,B504,'Base bordo CD'!L$2:L$875,"CORTE DE CANA MECANIZADO"),0)</f>
        <v>0</v>
      </c>
      <c r="S504" s="30" t="str">
        <f t="shared" si="41"/>
        <v/>
      </c>
      <c r="T504" s="9">
        <f t="shared" si="42"/>
        <v>0</v>
      </c>
      <c r="U504" s="9">
        <f t="shared" si="43"/>
        <v>0</v>
      </c>
      <c r="V504" s="9">
        <f t="shared" si="44"/>
        <v>0.99677083333333338</v>
      </c>
    </row>
    <row r="505" spans="1:22" hidden="1" x14ac:dyDescent="0.35">
      <c r="A505" s="52">
        <v>49588</v>
      </c>
      <c r="B505" s="31">
        <v>46119</v>
      </c>
      <c r="C505" s="7" t="s">
        <v>364</v>
      </c>
      <c r="D505" s="7">
        <v>352</v>
      </c>
      <c r="E505" s="10">
        <f>IFERROR(SUMIFS('Base bordo CD'!M$2:M$875,'Base bordo CD'!D$2:D$875,A505,'Base bordo CD'!A$2:A$875,B505,'Base bordo CD'!L$2:L$875,"CORTE DE CANA MECANIZADO"),0)</f>
        <v>0</v>
      </c>
      <c r="F505" s="10">
        <f>IFERROR(SUMIFS('Base bordo CD'!M$2:M$875,'Base bordo CD'!D$2:D$875,A505,'Base bordo CD'!A$2:A$875,B505,'Base bordo CD'!L$2:L$875,"MANOBRA"),0)</f>
        <v>0</v>
      </c>
      <c r="G505" s="10">
        <f>IFERROR(SUMIFS('Base bordo CD'!M$2:M$875,'Base bordo CD'!D$2:D$875,A505,'Base bordo CD'!A$2:A$875,B505,'Base bordo CD'!L$2:L$875,"DESLOCAMENTO"),0)</f>
        <v>7.7499999999999999E-2</v>
      </c>
      <c r="H505" s="10">
        <f>IFERROR(SUMIFS('Base bordo CD'!M$2:M$875,'Base bordo CD'!D$2:D$875,A505,'Base bordo CD'!A$2:A$875,B505,'Base bordo CD'!L$2:L$875,"AGUARDANDO MANOBRA DE TRANSBORDO"),0)+IFERROR(SUMIFS('Base bordo CD'!M$2:M$875,'Base bordo CD'!D$2:D$875,A505,'Base bordo CD'!A$2:A$875,B505,'Base bordo CD'!L$2:L$875,"FALTA DE TRANSBORDO"),0)</f>
        <v>0</v>
      </c>
      <c r="I505" s="10">
        <f>IFERROR(SUMIFS('Base bordo CD'!M$2:M$875,'Base bordo CD'!D$2:D$875,A505,'Base bordo CD'!A$2:A$875,B505,'Base bordo CD'!L$2:L$875,"PARADA POR CONDICOES CLIMATICAS"),0)+IFERROR(SUMIFS('Base bordo CD'!M$2:M$875,'Base bordo CD'!D$2:D$875,A505,'Base bordo CD'!A$2:A$875,B505,'Base bordo CD'!L$2:L$875,"TEMPO INDETERMINADO"),0)</f>
        <v>10.742777777777777</v>
      </c>
      <c r="J505" s="10">
        <f>IFERROR(SUMIFS('Base bordo CD'!M$2:M$875,'Base bordo CD'!D$2:D$875,A505,'Base bordo CD'!A$2:A$875,B505,'Base bordo CD'!L$2:L$875,"LIMITAÇÃO INDÚSTRIA"),0)</f>
        <v>0</v>
      </c>
      <c r="K505" s="10">
        <f>IFERROR(SUMIFS('Base bordo CD'!M$2:M$875,'Base bordo CD'!D$2:D$875,A505,'Base bordo CD'!A$2:A$875,B505,'Base bordo CD'!L$2:L$875,"MAN CORRETIVA*"),0)+IFERROR(SUMIFS('Base bordo CD'!M$2:M$875,'Base bordo CD'!D$2:D$875,A505,'Base bordo CD'!A$2:A$875,B505,'Base bordo CD'!L$2:L$875,"AGUARDANDO MANUTENCAO*"),0)+IFERROR(SUMIFS('Base bordo CD'!M$2:M$875,'Base bordo CD'!D$2:D$875,A505,'Base bordo CD'!A$2:A$875,B505,'Base bordo CD'!L$2:L$875,"TROCA DE FAQUINHA"),0)+IFERROR(SUMIFS('Base bordo CD'!M$2:M$875,'Base bordo CD'!D$2:D$875,A505,'Base bordo CD'!A$2:A$875,B505,'Base bordo CD'!L$2:L$875,"LIMPEZA*"),0)</f>
        <v>0</v>
      </c>
      <c r="L505" s="10">
        <f>IFERROR(SUMIFS('Base bordo CD'!M$2:M$875,'Base bordo CD'!D$2:D$875,A505,'Base bordo CD'!A$2:A$875,B505,'Base bordo CD'!L$2:L$875,"PATIO - RESERVA"),0)</f>
        <v>0</v>
      </c>
      <c r="M505" s="10">
        <f>IFERROR(SUMIFS('Base bordo CD'!M$2:M$875,'Base bordo CD'!D$2:D$875,A505,'Base bordo CD'!A$2:A$875,B505,'Base bordo CD'!L$2:L$875,"SEM APONTAMENTO"),0)</f>
        <v>13.179722222222223</v>
      </c>
      <c r="N505" s="10">
        <f>IFERROR(SUMIFS('Base bordo CD'!M$2:M$875,'Base bordo CD'!D$2:D$875,A505,'Base bordo CD'!A$2:A$875,B505,'Base bordo CD'!L$2:L$875,"FALTA DE CAMINHÃO"),0)+IFERROR(SUMIFS('Base bordo CD'!M$2:M$875,'Base bordo CD'!D$2:D$875,A505,'Base bordo CD'!A$2:A$875,B505,'Base bordo CD'!L$2:L$875,"FALTA DE COMBUSTIVEL"),0)+IFERROR(SUMIFS('Base bordo CD'!M$2:M$875,'Base bordo CD'!D$2:D$875,A505,'Base bordo CD'!A$2:A$875,B505,'Base bordo CD'!L$2:L$875,"FALTA DE MOTORIST*"),0)</f>
        <v>0</v>
      </c>
      <c r="O505" s="10">
        <f t="shared" si="40"/>
        <v>0</v>
      </c>
      <c r="P505" s="10">
        <f>IFERROR(SUMIFS('Base bordo CD'!M$2:M$875,'Base bordo CD'!D$2:D$875,A505,'Base bordo CD'!A$2:A$875,B505),0)</f>
        <v>24</v>
      </c>
      <c r="Q505" s="10">
        <f>IFERROR(SUMIFS('Base bordo CD'!O$2:O$875,'Base bordo CD'!D$2:D$875,A505,'Base bordo CD'!A$2:A$875,B505,'Base bordo CD'!L$2:L$875,"CORTE DE CANA MECANIZADO"),0)</f>
        <v>0</v>
      </c>
      <c r="R505" s="10">
        <f>IFERROR(SUMIFS('Base bordo CD'!Q$2:Q$875,'Base bordo CD'!D$2:D$875,A505,'Base bordo CD'!A$2:A$875,B505,'Base bordo CD'!L$2:L$875,"CORTE DE CANA MECANIZADO"),0)</f>
        <v>0</v>
      </c>
      <c r="S505" s="30" t="str">
        <f t="shared" si="41"/>
        <v/>
      </c>
      <c r="T505" s="9">
        <f t="shared" si="42"/>
        <v>0</v>
      </c>
      <c r="U505" s="9">
        <f t="shared" si="43"/>
        <v>0</v>
      </c>
      <c r="V505" s="9">
        <f t="shared" si="44"/>
        <v>0.99677083333333338</v>
      </c>
    </row>
    <row r="506" spans="1:22" hidden="1" x14ac:dyDescent="0.35">
      <c r="A506" s="52">
        <v>49588</v>
      </c>
      <c r="B506" s="31">
        <v>46119</v>
      </c>
      <c r="C506" s="7" t="s">
        <v>364</v>
      </c>
      <c r="D506" s="7">
        <v>352</v>
      </c>
      <c r="E506" s="10">
        <f>IFERROR(SUMIFS('Base bordo CD'!M$2:M$875,'Base bordo CD'!D$2:D$875,A506,'Base bordo CD'!A$2:A$875,B506,'Base bordo CD'!L$2:L$875,"CORTE DE CANA MECANIZADO"),0)</f>
        <v>0</v>
      </c>
      <c r="F506" s="10">
        <f>IFERROR(SUMIFS('Base bordo CD'!M$2:M$875,'Base bordo CD'!D$2:D$875,A506,'Base bordo CD'!A$2:A$875,B506,'Base bordo CD'!L$2:L$875,"MANOBRA"),0)</f>
        <v>0</v>
      </c>
      <c r="G506" s="10">
        <f>IFERROR(SUMIFS('Base bordo CD'!M$2:M$875,'Base bordo CD'!D$2:D$875,A506,'Base bordo CD'!A$2:A$875,B506,'Base bordo CD'!L$2:L$875,"DESLOCAMENTO"),0)</f>
        <v>7.7499999999999999E-2</v>
      </c>
      <c r="H506" s="10">
        <f>IFERROR(SUMIFS('Base bordo CD'!M$2:M$875,'Base bordo CD'!D$2:D$875,A506,'Base bordo CD'!A$2:A$875,B506,'Base bordo CD'!L$2:L$875,"AGUARDANDO MANOBRA DE TRANSBORDO"),0)+IFERROR(SUMIFS('Base bordo CD'!M$2:M$875,'Base bordo CD'!D$2:D$875,A506,'Base bordo CD'!A$2:A$875,B506,'Base bordo CD'!L$2:L$875,"FALTA DE TRANSBORDO"),0)</f>
        <v>0</v>
      </c>
      <c r="I506" s="10">
        <f>IFERROR(SUMIFS('Base bordo CD'!M$2:M$875,'Base bordo CD'!D$2:D$875,A506,'Base bordo CD'!A$2:A$875,B506,'Base bordo CD'!L$2:L$875,"PARADA POR CONDICOES CLIMATICAS"),0)+IFERROR(SUMIFS('Base bordo CD'!M$2:M$875,'Base bordo CD'!D$2:D$875,A506,'Base bordo CD'!A$2:A$875,B506,'Base bordo CD'!L$2:L$875,"TEMPO INDETERMINADO"),0)</f>
        <v>10.742777777777777</v>
      </c>
      <c r="J506" s="10">
        <f>IFERROR(SUMIFS('Base bordo CD'!M$2:M$875,'Base bordo CD'!D$2:D$875,A506,'Base bordo CD'!A$2:A$875,B506,'Base bordo CD'!L$2:L$875,"LIMITAÇÃO INDÚSTRIA"),0)</f>
        <v>0</v>
      </c>
      <c r="K506" s="10">
        <f>IFERROR(SUMIFS('Base bordo CD'!M$2:M$875,'Base bordo CD'!D$2:D$875,A506,'Base bordo CD'!A$2:A$875,B506,'Base bordo CD'!L$2:L$875,"MAN CORRETIVA*"),0)+IFERROR(SUMIFS('Base bordo CD'!M$2:M$875,'Base bordo CD'!D$2:D$875,A506,'Base bordo CD'!A$2:A$875,B506,'Base bordo CD'!L$2:L$875,"AGUARDANDO MANUTENCAO*"),0)+IFERROR(SUMIFS('Base bordo CD'!M$2:M$875,'Base bordo CD'!D$2:D$875,A506,'Base bordo CD'!A$2:A$875,B506,'Base bordo CD'!L$2:L$875,"TROCA DE FAQUINHA"),0)+IFERROR(SUMIFS('Base bordo CD'!M$2:M$875,'Base bordo CD'!D$2:D$875,A506,'Base bordo CD'!A$2:A$875,B506,'Base bordo CD'!L$2:L$875,"LIMPEZA*"),0)</f>
        <v>0</v>
      </c>
      <c r="L506" s="10">
        <f>IFERROR(SUMIFS('Base bordo CD'!M$2:M$875,'Base bordo CD'!D$2:D$875,A506,'Base bordo CD'!A$2:A$875,B506,'Base bordo CD'!L$2:L$875,"PATIO - RESERVA"),0)</f>
        <v>0</v>
      </c>
      <c r="M506" s="10">
        <f>IFERROR(SUMIFS('Base bordo CD'!M$2:M$875,'Base bordo CD'!D$2:D$875,A506,'Base bordo CD'!A$2:A$875,B506,'Base bordo CD'!L$2:L$875,"SEM APONTAMENTO"),0)</f>
        <v>13.179722222222223</v>
      </c>
      <c r="N506" s="10">
        <f>IFERROR(SUMIFS('Base bordo CD'!M$2:M$875,'Base bordo CD'!D$2:D$875,A506,'Base bordo CD'!A$2:A$875,B506,'Base bordo CD'!L$2:L$875,"FALTA DE CAMINHÃO"),0)+IFERROR(SUMIFS('Base bordo CD'!M$2:M$875,'Base bordo CD'!D$2:D$875,A506,'Base bordo CD'!A$2:A$875,B506,'Base bordo CD'!L$2:L$875,"FALTA DE COMBUSTIVEL"),0)+IFERROR(SUMIFS('Base bordo CD'!M$2:M$875,'Base bordo CD'!D$2:D$875,A506,'Base bordo CD'!A$2:A$875,B506,'Base bordo CD'!L$2:L$875,"FALTA DE MOTORIST*"),0)</f>
        <v>0</v>
      </c>
      <c r="O506" s="10">
        <f t="shared" si="40"/>
        <v>0</v>
      </c>
      <c r="P506" s="10">
        <f>IFERROR(SUMIFS('Base bordo CD'!M$2:M$875,'Base bordo CD'!D$2:D$875,A506,'Base bordo CD'!A$2:A$875,B506),0)</f>
        <v>24</v>
      </c>
      <c r="Q506" s="10">
        <f>IFERROR(SUMIFS('Base bordo CD'!O$2:O$875,'Base bordo CD'!D$2:D$875,A506,'Base bordo CD'!A$2:A$875,B506,'Base bordo CD'!L$2:L$875,"CORTE DE CANA MECANIZADO"),0)</f>
        <v>0</v>
      </c>
      <c r="R506" s="10">
        <f>IFERROR(SUMIFS('Base bordo CD'!Q$2:Q$875,'Base bordo CD'!D$2:D$875,A506,'Base bordo CD'!A$2:A$875,B506,'Base bordo CD'!L$2:L$875,"CORTE DE CANA MECANIZADO"),0)</f>
        <v>0</v>
      </c>
      <c r="S506" s="30" t="str">
        <f t="shared" si="41"/>
        <v/>
      </c>
      <c r="T506" s="9">
        <f t="shared" si="42"/>
        <v>0</v>
      </c>
      <c r="U506" s="9">
        <f t="shared" si="43"/>
        <v>0</v>
      </c>
      <c r="V506" s="9">
        <f t="shared" si="44"/>
        <v>0.99677083333333338</v>
      </c>
    </row>
    <row r="507" spans="1:22" hidden="1" x14ac:dyDescent="0.35">
      <c r="A507" s="52">
        <v>49589</v>
      </c>
      <c r="B507" s="31">
        <v>46119</v>
      </c>
      <c r="C507" s="7" t="s">
        <v>321</v>
      </c>
      <c r="D507" s="7">
        <v>351</v>
      </c>
      <c r="E507" s="10">
        <f>IFERROR(SUMIFS('Base bordo CD'!M$2:M$875,'Base bordo CD'!D$2:D$875,A507,'Base bordo CD'!A$2:A$875,B507,'Base bordo CD'!L$2:L$875,"CORTE DE CANA MECANIZADO"),0)</f>
        <v>0</v>
      </c>
      <c r="F507" s="10">
        <f>IFERROR(SUMIFS('Base bordo CD'!M$2:M$875,'Base bordo CD'!D$2:D$875,A507,'Base bordo CD'!A$2:A$875,B507,'Base bordo CD'!L$2:L$875,"MANOBRA"),0)</f>
        <v>0</v>
      </c>
      <c r="G507" s="10">
        <f>IFERROR(SUMIFS('Base bordo CD'!M$2:M$875,'Base bordo CD'!D$2:D$875,A507,'Base bordo CD'!A$2:A$875,B507,'Base bordo CD'!L$2:L$875,"DESLOCAMENTO"),0)</f>
        <v>5.7777777777777782E-2</v>
      </c>
      <c r="H507" s="10">
        <f>IFERROR(SUMIFS('Base bordo CD'!M$2:M$875,'Base bordo CD'!D$2:D$875,A507,'Base bordo CD'!A$2:A$875,B507,'Base bordo CD'!L$2:L$875,"AGUARDANDO MANOBRA DE TRANSBORDO"),0)+IFERROR(SUMIFS('Base bordo CD'!M$2:M$875,'Base bordo CD'!D$2:D$875,A507,'Base bordo CD'!A$2:A$875,B507,'Base bordo CD'!L$2:L$875,"FALTA DE TRANSBORDO"),0)</f>
        <v>0</v>
      </c>
      <c r="I507" s="10">
        <f>IFERROR(SUMIFS('Base bordo CD'!M$2:M$875,'Base bordo CD'!D$2:D$875,A507,'Base bordo CD'!A$2:A$875,B507,'Base bordo CD'!L$2:L$875,"PARADA POR CONDICOES CLIMATICAS"),0)+IFERROR(SUMIFS('Base bordo CD'!M$2:M$875,'Base bordo CD'!D$2:D$875,A507,'Base bordo CD'!A$2:A$875,B507,'Base bordo CD'!L$2:L$875,"TEMPO INDETERMINADO"),0)</f>
        <v>23.94222222222222</v>
      </c>
      <c r="J507" s="10">
        <f>IFERROR(SUMIFS('Base bordo CD'!M$2:M$875,'Base bordo CD'!D$2:D$875,A507,'Base bordo CD'!A$2:A$875,B507,'Base bordo CD'!L$2:L$875,"LIMITAÇÃO INDÚSTRIA"),0)</f>
        <v>0</v>
      </c>
      <c r="K507" s="10">
        <f>IFERROR(SUMIFS('Base bordo CD'!M$2:M$875,'Base bordo CD'!D$2:D$875,A507,'Base bordo CD'!A$2:A$875,B507,'Base bordo CD'!L$2:L$875,"MAN CORRETIVA*"),0)+IFERROR(SUMIFS('Base bordo CD'!M$2:M$875,'Base bordo CD'!D$2:D$875,A507,'Base bordo CD'!A$2:A$875,B507,'Base bordo CD'!L$2:L$875,"AGUARDANDO MANUTENCAO*"),0)+IFERROR(SUMIFS('Base bordo CD'!M$2:M$875,'Base bordo CD'!D$2:D$875,A507,'Base bordo CD'!A$2:A$875,B507,'Base bordo CD'!L$2:L$875,"TROCA DE FAQUINHA"),0)+IFERROR(SUMIFS('Base bordo CD'!M$2:M$875,'Base bordo CD'!D$2:D$875,A507,'Base bordo CD'!A$2:A$875,B507,'Base bordo CD'!L$2:L$875,"LIMPEZA*"),0)</f>
        <v>0</v>
      </c>
      <c r="L507" s="10">
        <f>IFERROR(SUMIFS('Base bordo CD'!M$2:M$875,'Base bordo CD'!D$2:D$875,A507,'Base bordo CD'!A$2:A$875,B507,'Base bordo CD'!L$2:L$875,"PATIO - RESERVA"),0)</f>
        <v>0</v>
      </c>
      <c r="M507" s="10">
        <f>IFERROR(SUMIFS('Base bordo CD'!M$2:M$875,'Base bordo CD'!D$2:D$875,A507,'Base bordo CD'!A$2:A$875,B507,'Base bordo CD'!L$2:L$875,"SEM APONTAMENTO"),0)</f>
        <v>0</v>
      </c>
      <c r="N507" s="10">
        <f>IFERROR(SUMIFS('Base bordo CD'!M$2:M$875,'Base bordo CD'!D$2:D$875,A507,'Base bordo CD'!A$2:A$875,B507,'Base bordo CD'!L$2:L$875,"FALTA DE CAMINHÃO"),0)+IFERROR(SUMIFS('Base bordo CD'!M$2:M$875,'Base bordo CD'!D$2:D$875,A507,'Base bordo CD'!A$2:A$875,B507,'Base bordo CD'!L$2:L$875,"FALTA DE COMBUSTIVEL"),0)+IFERROR(SUMIFS('Base bordo CD'!M$2:M$875,'Base bordo CD'!D$2:D$875,A507,'Base bordo CD'!A$2:A$875,B507,'Base bordo CD'!L$2:L$875,"FALTA DE MOTORIST*"),0)</f>
        <v>0</v>
      </c>
      <c r="O507" s="10">
        <f t="shared" si="40"/>
        <v>3.5527136788005009E-15</v>
      </c>
      <c r="P507" s="10">
        <f>IFERROR(SUMIFS('Base bordo CD'!M$2:M$875,'Base bordo CD'!D$2:D$875,A507,'Base bordo CD'!A$2:A$875,B507),0)</f>
        <v>24</v>
      </c>
      <c r="Q507" s="10">
        <f>IFERROR(SUMIFS('Base bordo CD'!O$2:O$875,'Base bordo CD'!D$2:D$875,A507,'Base bordo CD'!A$2:A$875,B507,'Base bordo CD'!L$2:L$875,"CORTE DE CANA MECANIZADO"),0)</f>
        <v>0</v>
      </c>
      <c r="R507" s="10">
        <f>IFERROR(SUMIFS('Base bordo CD'!Q$2:Q$875,'Base bordo CD'!D$2:D$875,A507,'Base bordo CD'!A$2:A$875,B507,'Base bordo CD'!L$2:L$875,"CORTE DE CANA MECANIZADO"),0)</f>
        <v>0</v>
      </c>
      <c r="S507" s="30" t="str">
        <f t="shared" si="41"/>
        <v/>
      </c>
      <c r="T507" s="9">
        <f t="shared" si="42"/>
        <v>0</v>
      </c>
      <c r="U507" s="9">
        <f t="shared" si="43"/>
        <v>0</v>
      </c>
      <c r="V507" s="9">
        <f t="shared" si="44"/>
        <v>0.99759259259259259</v>
      </c>
    </row>
    <row r="508" spans="1:22" hidden="1" x14ac:dyDescent="0.35">
      <c r="A508" s="52">
        <v>49589</v>
      </c>
      <c r="B508" s="31">
        <v>46119</v>
      </c>
      <c r="C508" s="7" t="s">
        <v>321</v>
      </c>
      <c r="D508" s="7">
        <v>351</v>
      </c>
      <c r="E508" s="10">
        <f>IFERROR(SUMIFS('Base bordo CD'!M$2:M$875,'Base bordo CD'!D$2:D$875,A508,'Base bordo CD'!A$2:A$875,B508,'Base bordo CD'!L$2:L$875,"CORTE DE CANA MECANIZADO"),0)</f>
        <v>0</v>
      </c>
      <c r="F508" s="10">
        <f>IFERROR(SUMIFS('Base bordo CD'!M$2:M$875,'Base bordo CD'!D$2:D$875,A508,'Base bordo CD'!A$2:A$875,B508,'Base bordo CD'!L$2:L$875,"MANOBRA"),0)</f>
        <v>0</v>
      </c>
      <c r="G508" s="10">
        <f>IFERROR(SUMIFS('Base bordo CD'!M$2:M$875,'Base bordo CD'!D$2:D$875,A508,'Base bordo CD'!A$2:A$875,B508,'Base bordo CD'!L$2:L$875,"DESLOCAMENTO"),0)</f>
        <v>5.7777777777777782E-2</v>
      </c>
      <c r="H508" s="10">
        <f>IFERROR(SUMIFS('Base bordo CD'!M$2:M$875,'Base bordo CD'!D$2:D$875,A508,'Base bordo CD'!A$2:A$875,B508,'Base bordo CD'!L$2:L$875,"AGUARDANDO MANOBRA DE TRANSBORDO"),0)+IFERROR(SUMIFS('Base bordo CD'!M$2:M$875,'Base bordo CD'!D$2:D$875,A508,'Base bordo CD'!A$2:A$875,B508,'Base bordo CD'!L$2:L$875,"FALTA DE TRANSBORDO"),0)</f>
        <v>0</v>
      </c>
      <c r="I508" s="10">
        <f>IFERROR(SUMIFS('Base bordo CD'!M$2:M$875,'Base bordo CD'!D$2:D$875,A508,'Base bordo CD'!A$2:A$875,B508,'Base bordo CD'!L$2:L$875,"PARADA POR CONDICOES CLIMATICAS"),0)+IFERROR(SUMIFS('Base bordo CD'!M$2:M$875,'Base bordo CD'!D$2:D$875,A508,'Base bordo CD'!A$2:A$875,B508,'Base bordo CD'!L$2:L$875,"TEMPO INDETERMINADO"),0)</f>
        <v>23.94222222222222</v>
      </c>
      <c r="J508" s="10">
        <f>IFERROR(SUMIFS('Base bordo CD'!M$2:M$875,'Base bordo CD'!D$2:D$875,A508,'Base bordo CD'!A$2:A$875,B508,'Base bordo CD'!L$2:L$875,"LIMITAÇÃO INDÚSTRIA"),0)</f>
        <v>0</v>
      </c>
      <c r="K508" s="10">
        <f>IFERROR(SUMIFS('Base bordo CD'!M$2:M$875,'Base bordo CD'!D$2:D$875,A508,'Base bordo CD'!A$2:A$875,B508,'Base bordo CD'!L$2:L$875,"MAN CORRETIVA*"),0)+IFERROR(SUMIFS('Base bordo CD'!M$2:M$875,'Base bordo CD'!D$2:D$875,A508,'Base bordo CD'!A$2:A$875,B508,'Base bordo CD'!L$2:L$875,"AGUARDANDO MANUTENCAO*"),0)+IFERROR(SUMIFS('Base bordo CD'!M$2:M$875,'Base bordo CD'!D$2:D$875,A508,'Base bordo CD'!A$2:A$875,B508,'Base bordo CD'!L$2:L$875,"TROCA DE FAQUINHA"),0)+IFERROR(SUMIFS('Base bordo CD'!M$2:M$875,'Base bordo CD'!D$2:D$875,A508,'Base bordo CD'!A$2:A$875,B508,'Base bordo CD'!L$2:L$875,"LIMPEZA*"),0)</f>
        <v>0</v>
      </c>
      <c r="L508" s="10">
        <f>IFERROR(SUMIFS('Base bordo CD'!M$2:M$875,'Base bordo CD'!D$2:D$875,A508,'Base bordo CD'!A$2:A$875,B508,'Base bordo CD'!L$2:L$875,"PATIO - RESERVA"),0)</f>
        <v>0</v>
      </c>
      <c r="M508" s="10">
        <f>IFERROR(SUMIFS('Base bordo CD'!M$2:M$875,'Base bordo CD'!D$2:D$875,A508,'Base bordo CD'!A$2:A$875,B508,'Base bordo CD'!L$2:L$875,"SEM APONTAMENTO"),0)</f>
        <v>0</v>
      </c>
      <c r="N508" s="10">
        <f>IFERROR(SUMIFS('Base bordo CD'!M$2:M$875,'Base bordo CD'!D$2:D$875,A508,'Base bordo CD'!A$2:A$875,B508,'Base bordo CD'!L$2:L$875,"FALTA DE CAMINHÃO"),0)+IFERROR(SUMIFS('Base bordo CD'!M$2:M$875,'Base bordo CD'!D$2:D$875,A508,'Base bordo CD'!A$2:A$875,B508,'Base bordo CD'!L$2:L$875,"FALTA DE COMBUSTIVEL"),0)+IFERROR(SUMIFS('Base bordo CD'!M$2:M$875,'Base bordo CD'!D$2:D$875,A508,'Base bordo CD'!A$2:A$875,B508,'Base bordo CD'!L$2:L$875,"FALTA DE MOTORIST*"),0)</f>
        <v>0</v>
      </c>
      <c r="O508" s="10">
        <f t="shared" si="40"/>
        <v>3.5527136788005009E-15</v>
      </c>
      <c r="P508" s="10">
        <f>IFERROR(SUMIFS('Base bordo CD'!M$2:M$875,'Base bordo CD'!D$2:D$875,A508,'Base bordo CD'!A$2:A$875,B508),0)</f>
        <v>24</v>
      </c>
      <c r="Q508" s="10">
        <f>IFERROR(SUMIFS('Base bordo CD'!O$2:O$875,'Base bordo CD'!D$2:D$875,A508,'Base bordo CD'!A$2:A$875,B508,'Base bordo CD'!L$2:L$875,"CORTE DE CANA MECANIZADO"),0)</f>
        <v>0</v>
      </c>
      <c r="R508" s="10">
        <f>IFERROR(SUMIFS('Base bordo CD'!Q$2:Q$875,'Base bordo CD'!D$2:D$875,A508,'Base bordo CD'!A$2:A$875,B508,'Base bordo CD'!L$2:L$875,"CORTE DE CANA MECANIZADO"),0)</f>
        <v>0</v>
      </c>
      <c r="S508" s="30" t="str">
        <f t="shared" si="41"/>
        <v/>
      </c>
      <c r="T508" s="9">
        <f t="shared" si="42"/>
        <v>0</v>
      </c>
      <c r="U508" s="9">
        <f t="shared" si="43"/>
        <v>0</v>
      </c>
      <c r="V508" s="9">
        <f t="shared" si="44"/>
        <v>0.99759259259259259</v>
      </c>
    </row>
    <row r="509" spans="1:22" hidden="1" x14ac:dyDescent="0.35">
      <c r="A509" s="52">
        <v>49589</v>
      </c>
      <c r="B509" s="31">
        <v>46119</v>
      </c>
      <c r="C509" s="7" t="s">
        <v>321</v>
      </c>
      <c r="D509" s="7">
        <v>351</v>
      </c>
      <c r="E509" s="10">
        <f>IFERROR(SUMIFS('Base bordo CD'!M$2:M$875,'Base bordo CD'!D$2:D$875,A509,'Base bordo CD'!A$2:A$875,B509,'Base bordo CD'!L$2:L$875,"CORTE DE CANA MECANIZADO"),0)</f>
        <v>0</v>
      </c>
      <c r="F509" s="10">
        <f>IFERROR(SUMIFS('Base bordo CD'!M$2:M$875,'Base bordo CD'!D$2:D$875,A509,'Base bordo CD'!A$2:A$875,B509,'Base bordo CD'!L$2:L$875,"MANOBRA"),0)</f>
        <v>0</v>
      </c>
      <c r="G509" s="10">
        <f>IFERROR(SUMIFS('Base bordo CD'!M$2:M$875,'Base bordo CD'!D$2:D$875,A509,'Base bordo CD'!A$2:A$875,B509,'Base bordo CD'!L$2:L$875,"DESLOCAMENTO"),0)</f>
        <v>5.7777777777777782E-2</v>
      </c>
      <c r="H509" s="10">
        <f>IFERROR(SUMIFS('Base bordo CD'!M$2:M$875,'Base bordo CD'!D$2:D$875,A509,'Base bordo CD'!A$2:A$875,B509,'Base bordo CD'!L$2:L$875,"AGUARDANDO MANOBRA DE TRANSBORDO"),0)+IFERROR(SUMIFS('Base bordo CD'!M$2:M$875,'Base bordo CD'!D$2:D$875,A509,'Base bordo CD'!A$2:A$875,B509,'Base bordo CD'!L$2:L$875,"FALTA DE TRANSBORDO"),0)</f>
        <v>0</v>
      </c>
      <c r="I509" s="10">
        <f>IFERROR(SUMIFS('Base bordo CD'!M$2:M$875,'Base bordo CD'!D$2:D$875,A509,'Base bordo CD'!A$2:A$875,B509,'Base bordo CD'!L$2:L$875,"PARADA POR CONDICOES CLIMATICAS"),0)+IFERROR(SUMIFS('Base bordo CD'!M$2:M$875,'Base bordo CD'!D$2:D$875,A509,'Base bordo CD'!A$2:A$875,B509,'Base bordo CD'!L$2:L$875,"TEMPO INDETERMINADO"),0)</f>
        <v>23.94222222222222</v>
      </c>
      <c r="J509" s="10">
        <f>IFERROR(SUMIFS('Base bordo CD'!M$2:M$875,'Base bordo CD'!D$2:D$875,A509,'Base bordo CD'!A$2:A$875,B509,'Base bordo CD'!L$2:L$875,"LIMITAÇÃO INDÚSTRIA"),0)</f>
        <v>0</v>
      </c>
      <c r="K509" s="10">
        <f>IFERROR(SUMIFS('Base bordo CD'!M$2:M$875,'Base bordo CD'!D$2:D$875,A509,'Base bordo CD'!A$2:A$875,B509,'Base bordo CD'!L$2:L$875,"MAN CORRETIVA*"),0)+IFERROR(SUMIFS('Base bordo CD'!M$2:M$875,'Base bordo CD'!D$2:D$875,A509,'Base bordo CD'!A$2:A$875,B509,'Base bordo CD'!L$2:L$875,"AGUARDANDO MANUTENCAO*"),0)+IFERROR(SUMIFS('Base bordo CD'!M$2:M$875,'Base bordo CD'!D$2:D$875,A509,'Base bordo CD'!A$2:A$875,B509,'Base bordo CD'!L$2:L$875,"TROCA DE FAQUINHA"),0)+IFERROR(SUMIFS('Base bordo CD'!M$2:M$875,'Base bordo CD'!D$2:D$875,A509,'Base bordo CD'!A$2:A$875,B509,'Base bordo CD'!L$2:L$875,"LIMPEZA*"),0)</f>
        <v>0</v>
      </c>
      <c r="L509" s="10">
        <f>IFERROR(SUMIFS('Base bordo CD'!M$2:M$875,'Base bordo CD'!D$2:D$875,A509,'Base bordo CD'!A$2:A$875,B509,'Base bordo CD'!L$2:L$875,"PATIO - RESERVA"),0)</f>
        <v>0</v>
      </c>
      <c r="M509" s="10">
        <f>IFERROR(SUMIFS('Base bordo CD'!M$2:M$875,'Base bordo CD'!D$2:D$875,A509,'Base bordo CD'!A$2:A$875,B509,'Base bordo CD'!L$2:L$875,"SEM APONTAMENTO"),0)</f>
        <v>0</v>
      </c>
      <c r="N509" s="10">
        <f>IFERROR(SUMIFS('Base bordo CD'!M$2:M$875,'Base bordo CD'!D$2:D$875,A509,'Base bordo CD'!A$2:A$875,B509,'Base bordo CD'!L$2:L$875,"FALTA DE CAMINHÃO"),0)+IFERROR(SUMIFS('Base bordo CD'!M$2:M$875,'Base bordo CD'!D$2:D$875,A509,'Base bordo CD'!A$2:A$875,B509,'Base bordo CD'!L$2:L$875,"FALTA DE COMBUSTIVEL"),0)+IFERROR(SUMIFS('Base bordo CD'!M$2:M$875,'Base bordo CD'!D$2:D$875,A509,'Base bordo CD'!A$2:A$875,B509,'Base bordo CD'!L$2:L$875,"FALTA DE MOTORIST*"),0)</f>
        <v>0</v>
      </c>
      <c r="O509" s="10">
        <f t="shared" si="40"/>
        <v>3.5527136788005009E-15</v>
      </c>
      <c r="P509" s="10">
        <f>IFERROR(SUMIFS('Base bordo CD'!M$2:M$875,'Base bordo CD'!D$2:D$875,A509,'Base bordo CD'!A$2:A$875,B509),0)</f>
        <v>24</v>
      </c>
      <c r="Q509" s="10">
        <f>IFERROR(SUMIFS('Base bordo CD'!O$2:O$875,'Base bordo CD'!D$2:D$875,A509,'Base bordo CD'!A$2:A$875,B509,'Base bordo CD'!L$2:L$875,"CORTE DE CANA MECANIZADO"),0)</f>
        <v>0</v>
      </c>
      <c r="R509" s="10">
        <f>IFERROR(SUMIFS('Base bordo CD'!Q$2:Q$875,'Base bordo CD'!D$2:D$875,A509,'Base bordo CD'!A$2:A$875,B509,'Base bordo CD'!L$2:L$875,"CORTE DE CANA MECANIZADO"),0)</f>
        <v>0</v>
      </c>
      <c r="S509" s="30" t="str">
        <f t="shared" si="41"/>
        <v/>
      </c>
      <c r="T509" s="9">
        <f t="shared" si="42"/>
        <v>0</v>
      </c>
      <c r="U509" s="9">
        <f t="shared" si="43"/>
        <v>0</v>
      </c>
      <c r="V509" s="9">
        <f t="shared" si="44"/>
        <v>0.99759259259259259</v>
      </c>
    </row>
    <row r="510" spans="1:22" hidden="1" x14ac:dyDescent="0.35">
      <c r="A510" s="52">
        <v>49589</v>
      </c>
      <c r="B510" s="31">
        <v>46119</v>
      </c>
      <c r="C510" s="7" t="s">
        <v>321</v>
      </c>
      <c r="D510" s="7">
        <v>351</v>
      </c>
      <c r="E510" s="10">
        <f>IFERROR(SUMIFS('Base bordo CD'!M$2:M$875,'Base bordo CD'!D$2:D$875,A510,'Base bordo CD'!A$2:A$875,B510,'Base bordo CD'!L$2:L$875,"CORTE DE CANA MECANIZADO"),0)</f>
        <v>0</v>
      </c>
      <c r="F510" s="10">
        <f>IFERROR(SUMIFS('Base bordo CD'!M$2:M$875,'Base bordo CD'!D$2:D$875,A510,'Base bordo CD'!A$2:A$875,B510,'Base bordo CD'!L$2:L$875,"MANOBRA"),0)</f>
        <v>0</v>
      </c>
      <c r="G510" s="10">
        <f>IFERROR(SUMIFS('Base bordo CD'!M$2:M$875,'Base bordo CD'!D$2:D$875,A510,'Base bordo CD'!A$2:A$875,B510,'Base bordo CD'!L$2:L$875,"DESLOCAMENTO"),0)</f>
        <v>5.7777777777777782E-2</v>
      </c>
      <c r="H510" s="10">
        <f>IFERROR(SUMIFS('Base bordo CD'!M$2:M$875,'Base bordo CD'!D$2:D$875,A510,'Base bordo CD'!A$2:A$875,B510,'Base bordo CD'!L$2:L$875,"AGUARDANDO MANOBRA DE TRANSBORDO"),0)+IFERROR(SUMIFS('Base bordo CD'!M$2:M$875,'Base bordo CD'!D$2:D$875,A510,'Base bordo CD'!A$2:A$875,B510,'Base bordo CD'!L$2:L$875,"FALTA DE TRANSBORDO"),0)</f>
        <v>0</v>
      </c>
      <c r="I510" s="10">
        <f>IFERROR(SUMIFS('Base bordo CD'!M$2:M$875,'Base bordo CD'!D$2:D$875,A510,'Base bordo CD'!A$2:A$875,B510,'Base bordo CD'!L$2:L$875,"PARADA POR CONDICOES CLIMATICAS"),0)+IFERROR(SUMIFS('Base bordo CD'!M$2:M$875,'Base bordo CD'!D$2:D$875,A510,'Base bordo CD'!A$2:A$875,B510,'Base bordo CD'!L$2:L$875,"TEMPO INDETERMINADO"),0)</f>
        <v>23.94222222222222</v>
      </c>
      <c r="J510" s="10">
        <f>IFERROR(SUMIFS('Base bordo CD'!M$2:M$875,'Base bordo CD'!D$2:D$875,A510,'Base bordo CD'!A$2:A$875,B510,'Base bordo CD'!L$2:L$875,"LIMITAÇÃO INDÚSTRIA"),0)</f>
        <v>0</v>
      </c>
      <c r="K510" s="10">
        <f>IFERROR(SUMIFS('Base bordo CD'!M$2:M$875,'Base bordo CD'!D$2:D$875,A510,'Base bordo CD'!A$2:A$875,B510,'Base bordo CD'!L$2:L$875,"MAN CORRETIVA*"),0)+IFERROR(SUMIFS('Base bordo CD'!M$2:M$875,'Base bordo CD'!D$2:D$875,A510,'Base bordo CD'!A$2:A$875,B510,'Base bordo CD'!L$2:L$875,"AGUARDANDO MANUTENCAO*"),0)+IFERROR(SUMIFS('Base bordo CD'!M$2:M$875,'Base bordo CD'!D$2:D$875,A510,'Base bordo CD'!A$2:A$875,B510,'Base bordo CD'!L$2:L$875,"TROCA DE FAQUINHA"),0)+IFERROR(SUMIFS('Base bordo CD'!M$2:M$875,'Base bordo CD'!D$2:D$875,A510,'Base bordo CD'!A$2:A$875,B510,'Base bordo CD'!L$2:L$875,"LIMPEZA*"),0)</f>
        <v>0</v>
      </c>
      <c r="L510" s="10">
        <f>IFERROR(SUMIFS('Base bordo CD'!M$2:M$875,'Base bordo CD'!D$2:D$875,A510,'Base bordo CD'!A$2:A$875,B510,'Base bordo CD'!L$2:L$875,"PATIO - RESERVA"),0)</f>
        <v>0</v>
      </c>
      <c r="M510" s="10">
        <f>IFERROR(SUMIFS('Base bordo CD'!M$2:M$875,'Base bordo CD'!D$2:D$875,A510,'Base bordo CD'!A$2:A$875,B510,'Base bordo CD'!L$2:L$875,"SEM APONTAMENTO"),0)</f>
        <v>0</v>
      </c>
      <c r="N510" s="10">
        <f>IFERROR(SUMIFS('Base bordo CD'!M$2:M$875,'Base bordo CD'!D$2:D$875,A510,'Base bordo CD'!A$2:A$875,B510,'Base bordo CD'!L$2:L$875,"FALTA DE CAMINHÃO"),0)+IFERROR(SUMIFS('Base bordo CD'!M$2:M$875,'Base bordo CD'!D$2:D$875,A510,'Base bordo CD'!A$2:A$875,B510,'Base bordo CD'!L$2:L$875,"FALTA DE COMBUSTIVEL"),0)+IFERROR(SUMIFS('Base bordo CD'!M$2:M$875,'Base bordo CD'!D$2:D$875,A510,'Base bordo CD'!A$2:A$875,B510,'Base bordo CD'!L$2:L$875,"FALTA DE MOTORIST*"),0)</f>
        <v>0</v>
      </c>
      <c r="O510" s="10">
        <f t="shared" ref="O510:O573" si="45">IFERROR(P510-SUM(E510:N510),0)</f>
        <v>3.5527136788005009E-15</v>
      </c>
      <c r="P510" s="10">
        <f>IFERROR(SUMIFS('Base bordo CD'!M$2:M$875,'Base bordo CD'!D$2:D$875,A510,'Base bordo CD'!A$2:A$875,B510),0)</f>
        <v>24</v>
      </c>
      <c r="Q510" s="10">
        <f>IFERROR(SUMIFS('Base bordo CD'!O$2:O$875,'Base bordo CD'!D$2:D$875,A510,'Base bordo CD'!A$2:A$875,B510,'Base bordo CD'!L$2:L$875,"CORTE DE CANA MECANIZADO"),0)</f>
        <v>0</v>
      </c>
      <c r="R510" s="10">
        <f>IFERROR(SUMIFS('Base bordo CD'!Q$2:Q$875,'Base bordo CD'!D$2:D$875,A510,'Base bordo CD'!A$2:A$875,B510,'Base bordo CD'!L$2:L$875,"CORTE DE CANA MECANIZADO"),0)</f>
        <v>0</v>
      </c>
      <c r="S510" s="30" t="str">
        <f t="shared" ref="S510:S573" si="46">IFERROR(Q510/R510,"")</f>
        <v/>
      </c>
      <c r="T510" s="9">
        <f t="shared" ref="T510:T573" si="47">IFERROR(E510/P510,0)</f>
        <v>0</v>
      </c>
      <c r="U510" s="9">
        <f t="shared" ref="U510:U573" si="48">IFERROR(F510/P510,0)</f>
        <v>0</v>
      </c>
      <c r="V510" s="9">
        <f t="shared" ref="V510:V573" si="49">IFERROR(1-(E510+G510)/P510,0)</f>
        <v>0.99759259259259259</v>
      </c>
    </row>
    <row r="511" spans="1:22" hidden="1" x14ac:dyDescent="0.35">
      <c r="A511" s="52">
        <v>49589</v>
      </c>
      <c r="B511" s="31">
        <v>46119</v>
      </c>
      <c r="C511" s="7" t="s">
        <v>321</v>
      </c>
      <c r="D511" s="7">
        <v>351</v>
      </c>
      <c r="E511" s="10">
        <f>IFERROR(SUMIFS('Base bordo CD'!M$2:M$875,'Base bordo CD'!D$2:D$875,A511,'Base bordo CD'!A$2:A$875,B511,'Base bordo CD'!L$2:L$875,"CORTE DE CANA MECANIZADO"),0)</f>
        <v>0</v>
      </c>
      <c r="F511" s="10">
        <f>IFERROR(SUMIFS('Base bordo CD'!M$2:M$875,'Base bordo CD'!D$2:D$875,A511,'Base bordo CD'!A$2:A$875,B511,'Base bordo CD'!L$2:L$875,"MANOBRA"),0)</f>
        <v>0</v>
      </c>
      <c r="G511" s="10">
        <f>IFERROR(SUMIFS('Base bordo CD'!M$2:M$875,'Base bordo CD'!D$2:D$875,A511,'Base bordo CD'!A$2:A$875,B511,'Base bordo CD'!L$2:L$875,"DESLOCAMENTO"),0)</f>
        <v>5.7777777777777782E-2</v>
      </c>
      <c r="H511" s="10">
        <f>IFERROR(SUMIFS('Base bordo CD'!M$2:M$875,'Base bordo CD'!D$2:D$875,A511,'Base bordo CD'!A$2:A$875,B511,'Base bordo CD'!L$2:L$875,"AGUARDANDO MANOBRA DE TRANSBORDO"),0)+IFERROR(SUMIFS('Base bordo CD'!M$2:M$875,'Base bordo CD'!D$2:D$875,A511,'Base bordo CD'!A$2:A$875,B511,'Base bordo CD'!L$2:L$875,"FALTA DE TRANSBORDO"),0)</f>
        <v>0</v>
      </c>
      <c r="I511" s="10">
        <f>IFERROR(SUMIFS('Base bordo CD'!M$2:M$875,'Base bordo CD'!D$2:D$875,A511,'Base bordo CD'!A$2:A$875,B511,'Base bordo CD'!L$2:L$875,"PARADA POR CONDICOES CLIMATICAS"),0)+IFERROR(SUMIFS('Base bordo CD'!M$2:M$875,'Base bordo CD'!D$2:D$875,A511,'Base bordo CD'!A$2:A$875,B511,'Base bordo CD'!L$2:L$875,"TEMPO INDETERMINADO"),0)</f>
        <v>23.94222222222222</v>
      </c>
      <c r="J511" s="10">
        <f>IFERROR(SUMIFS('Base bordo CD'!M$2:M$875,'Base bordo CD'!D$2:D$875,A511,'Base bordo CD'!A$2:A$875,B511,'Base bordo CD'!L$2:L$875,"LIMITAÇÃO INDÚSTRIA"),0)</f>
        <v>0</v>
      </c>
      <c r="K511" s="10">
        <f>IFERROR(SUMIFS('Base bordo CD'!M$2:M$875,'Base bordo CD'!D$2:D$875,A511,'Base bordo CD'!A$2:A$875,B511,'Base bordo CD'!L$2:L$875,"MAN CORRETIVA*"),0)+IFERROR(SUMIFS('Base bordo CD'!M$2:M$875,'Base bordo CD'!D$2:D$875,A511,'Base bordo CD'!A$2:A$875,B511,'Base bordo CD'!L$2:L$875,"AGUARDANDO MANUTENCAO*"),0)+IFERROR(SUMIFS('Base bordo CD'!M$2:M$875,'Base bordo CD'!D$2:D$875,A511,'Base bordo CD'!A$2:A$875,B511,'Base bordo CD'!L$2:L$875,"TROCA DE FAQUINHA"),0)+IFERROR(SUMIFS('Base bordo CD'!M$2:M$875,'Base bordo CD'!D$2:D$875,A511,'Base bordo CD'!A$2:A$875,B511,'Base bordo CD'!L$2:L$875,"LIMPEZA*"),0)</f>
        <v>0</v>
      </c>
      <c r="L511" s="10">
        <f>IFERROR(SUMIFS('Base bordo CD'!M$2:M$875,'Base bordo CD'!D$2:D$875,A511,'Base bordo CD'!A$2:A$875,B511,'Base bordo CD'!L$2:L$875,"PATIO - RESERVA"),0)</f>
        <v>0</v>
      </c>
      <c r="M511" s="10">
        <f>IFERROR(SUMIFS('Base bordo CD'!M$2:M$875,'Base bordo CD'!D$2:D$875,A511,'Base bordo CD'!A$2:A$875,B511,'Base bordo CD'!L$2:L$875,"SEM APONTAMENTO"),0)</f>
        <v>0</v>
      </c>
      <c r="N511" s="10">
        <f>IFERROR(SUMIFS('Base bordo CD'!M$2:M$875,'Base bordo CD'!D$2:D$875,A511,'Base bordo CD'!A$2:A$875,B511,'Base bordo CD'!L$2:L$875,"FALTA DE CAMINHÃO"),0)+IFERROR(SUMIFS('Base bordo CD'!M$2:M$875,'Base bordo CD'!D$2:D$875,A511,'Base bordo CD'!A$2:A$875,B511,'Base bordo CD'!L$2:L$875,"FALTA DE COMBUSTIVEL"),0)+IFERROR(SUMIFS('Base bordo CD'!M$2:M$875,'Base bordo CD'!D$2:D$875,A511,'Base bordo CD'!A$2:A$875,B511,'Base bordo CD'!L$2:L$875,"FALTA DE MOTORIST*"),0)</f>
        <v>0</v>
      </c>
      <c r="O511" s="10">
        <f t="shared" si="45"/>
        <v>3.5527136788005009E-15</v>
      </c>
      <c r="P511" s="10">
        <f>IFERROR(SUMIFS('Base bordo CD'!M$2:M$875,'Base bordo CD'!D$2:D$875,A511,'Base bordo CD'!A$2:A$875,B511),0)</f>
        <v>24</v>
      </c>
      <c r="Q511" s="10">
        <f>IFERROR(SUMIFS('Base bordo CD'!O$2:O$875,'Base bordo CD'!D$2:D$875,A511,'Base bordo CD'!A$2:A$875,B511,'Base bordo CD'!L$2:L$875,"CORTE DE CANA MECANIZADO"),0)</f>
        <v>0</v>
      </c>
      <c r="R511" s="10">
        <f>IFERROR(SUMIFS('Base bordo CD'!Q$2:Q$875,'Base bordo CD'!D$2:D$875,A511,'Base bordo CD'!A$2:A$875,B511,'Base bordo CD'!L$2:L$875,"CORTE DE CANA MECANIZADO"),0)</f>
        <v>0</v>
      </c>
      <c r="S511" s="30" t="str">
        <f t="shared" si="46"/>
        <v/>
      </c>
      <c r="T511" s="9">
        <f t="shared" si="47"/>
        <v>0</v>
      </c>
      <c r="U511" s="9">
        <f t="shared" si="48"/>
        <v>0</v>
      </c>
      <c r="V511" s="9">
        <f t="shared" si="49"/>
        <v>0.99759259259259259</v>
      </c>
    </row>
    <row r="512" spans="1:22" hidden="1" x14ac:dyDescent="0.35">
      <c r="A512" s="52">
        <v>49590</v>
      </c>
      <c r="B512" s="31">
        <v>46119</v>
      </c>
      <c r="C512" s="7" t="s">
        <v>321</v>
      </c>
      <c r="D512" s="7">
        <v>351</v>
      </c>
      <c r="E512" s="10">
        <f>IFERROR(SUMIFS('Base bordo CD'!M$2:M$875,'Base bordo CD'!D$2:D$875,A512,'Base bordo CD'!A$2:A$875,B512,'Base bordo CD'!L$2:L$875,"CORTE DE CANA MECANIZADO"),0)</f>
        <v>0</v>
      </c>
      <c r="F512" s="10">
        <f>IFERROR(SUMIFS('Base bordo CD'!M$2:M$875,'Base bordo CD'!D$2:D$875,A512,'Base bordo CD'!A$2:A$875,B512,'Base bordo CD'!L$2:L$875,"MANOBRA"),0)</f>
        <v>0</v>
      </c>
      <c r="G512" s="10">
        <f>IFERROR(SUMIFS('Base bordo CD'!M$2:M$875,'Base bordo CD'!D$2:D$875,A512,'Base bordo CD'!A$2:A$875,B512,'Base bordo CD'!L$2:L$875,"DESLOCAMENTO"),0)</f>
        <v>0</v>
      </c>
      <c r="H512" s="10">
        <f>IFERROR(SUMIFS('Base bordo CD'!M$2:M$875,'Base bordo CD'!D$2:D$875,A512,'Base bordo CD'!A$2:A$875,B512,'Base bordo CD'!L$2:L$875,"AGUARDANDO MANOBRA DE TRANSBORDO"),0)+IFERROR(SUMIFS('Base bordo CD'!M$2:M$875,'Base bordo CD'!D$2:D$875,A512,'Base bordo CD'!A$2:A$875,B512,'Base bordo CD'!L$2:L$875,"FALTA DE TRANSBORDO"),0)</f>
        <v>0</v>
      </c>
      <c r="I512" s="10">
        <f>IFERROR(SUMIFS('Base bordo CD'!M$2:M$875,'Base bordo CD'!D$2:D$875,A512,'Base bordo CD'!A$2:A$875,B512,'Base bordo CD'!L$2:L$875,"PARADA POR CONDICOES CLIMATICAS"),0)+IFERROR(SUMIFS('Base bordo CD'!M$2:M$875,'Base bordo CD'!D$2:D$875,A512,'Base bordo CD'!A$2:A$875,B512,'Base bordo CD'!L$2:L$875,"TEMPO INDETERMINADO"),0)</f>
        <v>24</v>
      </c>
      <c r="J512" s="10">
        <f>IFERROR(SUMIFS('Base bordo CD'!M$2:M$875,'Base bordo CD'!D$2:D$875,A512,'Base bordo CD'!A$2:A$875,B512,'Base bordo CD'!L$2:L$875,"LIMITAÇÃO INDÚSTRIA"),0)</f>
        <v>0</v>
      </c>
      <c r="K512" s="10">
        <f>IFERROR(SUMIFS('Base bordo CD'!M$2:M$875,'Base bordo CD'!D$2:D$875,A512,'Base bordo CD'!A$2:A$875,B512,'Base bordo CD'!L$2:L$875,"MAN CORRETIVA*"),0)+IFERROR(SUMIFS('Base bordo CD'!M$2:M$875,'Base bordo CD'!D$2:D$875,A512,'Base bordo CD'!A$2:A$875,B512,'Base bordo CD'!L$2:L$875,"AGUARDANDO MANUTENCAO*"),0)+IFERROR(SUMIFS('Base bordo CD'!M$2:M$875,'Base bordo CD'!D$2:D$875,A512,'Base bordo CD'!A$2:A$875,B512,'Base bordo CD'!L$2:L$875,"TROCA DE FAQUINHA"),0)+IFERROR(SUMIFS('Base bordo CD'!M$2:M$875,'Base bordo CD'!D$2:D$875,A512,'Base bordo CD'!A$2:A$875,B512,'Base bordo CD'!L$2:L$875,"LIMPEZA*"),0)</f>
        <v>0</v>
      </c>
      <c r="L512" s="10">
        <f>IFERROR(SUMIFS('Base bordo CD'!M$2:M$875,'Base bordo CD'!D$2:D$875,A512,'Base bordo CD'!A$2:A$875,B512,'Base bordo CD'!L$2:L$875,"PATIO - RESERVA"),0)</f>
        <v>0</v>
      </c>
      <c r="M512" s="10">
        <f>IFERROR(SUMIFS('Base bordo CD'!M$2:M$875,'Base bordo CD'!D$2:D$875,A512,'Base bordo CD'!A$2:A$875,B512,'Base bordo CD'!L$2:L$875,"SEM APONTAMENTO"),0)</f>
        <v>0</v>
      </c>
      <c r="N512" s="10">
        <f>IFERROR(SUMIFS('Base bordo CD'!M$2:M$875,'Base bordo CD'!D$2:D$875,A512,'Base bordo CD'!A$2:A$875,B512,'Base bordo CD'!L$2:L$875,"FALTA DE CAMINHÃO"),0)+IFERROR(SUMIFS('Base bordo CD'!M$2:M$875,'Base bordo CD'!D$2:D$875,A512,'Base bordo CD'!A$2:A$875,B512,'Base bordo CD'!L$2:L$875,"FALTA DE COMBUSTIVEL"),0)+IFERROR(SUMIFS('Base bordo CD'!M$2:M$875,'Base bordo CD'!D$2:D$875,A512,'Base bordo CD'!A$2:A$875,B512,'Base bordo CD'!L$2:L$875,"FALTA DE MOTORIST*"),0)</f>
        <v>0</v>
      </c>
      <c r="O512" s="10">
        <f t="shared" si="45"/>
        <v>0</v>
      </c>
      <c r="P512" s="10">
        <f>IFERROR(SUMIFS('Base bordo CD'!M$2:M$875,'Base bordo CD'!D$2:D$875,A512,'Base bordo CD'!A$2:A$875,B512),0)</f>
        <v>24</v>
      </c>
      <c r="Q512" s="10">
        <f>IFERROR(SUMIFS('Base bordo CD'!O$2:O$875,'Base bordo CD'!D$2:D$875,A512,'Base bordo CD'!A$2:A$875,B512,'Base bordo CD'!L$2:L$875,"CORTE DE CANA MECANIZADO"),0)</f>
        <v>0</v>
      </c>
      <c r="R512" s="10">
        <f>IFERROR(SUMIFS('Base bordo CD'!Q$2:Q$875,'Base bordo CD'!D$2:D$875,A512,'Base bordo CD'!A$2:A$875,B512,'Base bordo CD'!L$2:L$875,"CORTE DE CANA MECANIZADO"),0)</f>
        <v>0</v>
      </c>
      <c r="S512" s="30" t="str">
        <f t="shared" si="46"/>
        <v/>
      </c>
      <c r="T512" s="9">
        <f t="shared" si="47"/>
        <v>0</v>
      </c>
      <c r="U512" s="9">
        <f t="shared" si="48"/>
        <v>0</v>
      </c>
      <c r="V512" s="9">
        <f t="shared" si="49"/>
        <v>1</v>
      </c>
    </row>
    <row r="513" spans="1:22" hidden="1" x14ac:dyDescent="0.35">
      <c r="A513" s="52">
        <v>49590</v>
      </c>
      <c r="B513" s="31">
        <v>46119</v>
      </c>
      <c r="C513" s="7" t="s">
        <v>321</v>
      </c>
      <c r="D513" s="7">
        <v>351</v>
      </c>
      <c r="E513" s="10">
        <f>IFERROR(SUMIFS('Base bordo CD'!M$2:M$875,'Base bordo CD'!D$2:D$875,A513,'Base bordo CD'!A$2:A$875,B513,'Base bordo CD'!L$2:L$875,"CORTE DE CANA MECANIZADO"),0)</f>
        <v>0</v>
      </c>
      <c r="F513" s="10">
        <f>IFERROR(SUMIFS('Base bordo CD'!M$2:M$875,'Base bordo CD'!D$2:D$875,A513,'Base bordo CD'!A$2:A$875,B513,'Base bordo CD'!L$2:L$875,"MANOBRA"),0)</f>
        <v>0</v>
      </c>
      <c r="G513" s="10">
        <f>IFERROR(SUMIFS('Base bordo CD'!M$2:M$875,'Base bordo CD'!D$2:D$875,A513,'Base bordo CD'!A$2:A$875,B513,'Base bordo CD'!L$2:L$875,"DESLOCAMENTO"),0)</f>
        <v>0</v>
      </c>
      <c r="H513" s="10">
        <f>IFERROR(SUMIFS('Base bordo CD'!M$2:M$875,'Base bordo CD'!D$2:D$875,A513,'Base bordo CD'!A$2:A$875,B513,'Base bordo CD'!L$2:L$875,"AGUARDANDO MANOBRA DE TRANSBORDO"),0)+IFERROR(SUMIFS('Base bordo CD'!M$2:M$875,'Base bordo CD'!D$2:D$875,A513,'Base bordo CD'!A$2:A$875,B513,'Base bordo CD'!L$2:L$875,"FALTA DE TRANSBORDO"),0)</f>
        <v>0</v>
      </c>
      <c r="I513" s="10">
        <f>IFERROR(SUMIFS('Base bordo CD'!M$2:M$875,'Base bordo CD'!D$2:D$875,A513,'Base bordo CD'!A$2:A$875,B513,'Base bordo CD'!L$2:L$875,"PARADA POR CONDICOES CLIMATICAS"),0)+IFERROR(SUMIFS('Base bordo CD'!M$2:M$875,'Base bordo CD'!D$2:D$875,A513,'Base bordo CD'!A$2:A$875,B513,'Base bordo CD'!L$2:L$875,"TEMPO INDETERMINADO"),0)</f>
        <v>24</v>
      </c>
      <c r="J513" s="10">
        <f>IFERROR(SUMIFS('Base bordo CD'!M$2:M$875,'Base bordo CD'!D$2:D$875,A513,'Base bordo CD'!A$2:A$875,B513,'Base bordo CD'!L$2:L$875,"LIMITAÇÃO INDÚSTRIA"),0)</f>
        <v>0</v>
      </c>
      <c r="K513" s="10">
        <f>IFERROR(SUMIFS('Base bordo CD'!M$2:M$875,'Base bordo CD'!D$2:D$875,A513,'Base bordo CD'!A$2:A$875,B513,'Base bordo CD'!L$2:L$875,"MAN CORRETIVA*"),0)+IFERROR(SUMIFS('Base bordo CD'!M$2:M$875,'Base bordo CD'!D$2:D$875,A513,'Base bordo CD'!A$2:A$875,B513,'Base bordo CD'!L$2:L$875,"AGUARDANDO MANUTENCAO*"),0)+IFERROR(SUMIFS('Base bordo CD'!M$2:M$875,'Base bordo CD'!D$2:D$875,A513,'Base bordo CD'!A$2:A$875,B513,'Base bordo CD'!L$2:L$875,"TROCA DE FAQUINHA"),0)+IFERROR(SUMIFS('Base bordo CD'!M$2:M$875,'Base bordo CD'!D$2:D$875,A513,'Base bordo CD'!A$2:A$875,B513,'Base bordo CD'!L$2:L$875,"LIMPEZA*"),0)</f>
        <v>0</v>
      </c>
      <c r="L513" s="10">
        <f>IFERROR(SUMIFS('Base bordo CD'!M$2:M$875,'Base bordo CD'!D$2:D$875,A513,'Base bordo CD'!A$2:A$875,B513,'Base bordo CD'!L$2:L$875,"PATIO - RESERVA"),0)</f>
        <v>0</v>
      </c>
      <c r="M513" s="10">
        <f>IFERROR(SUMIFS('Base bordo CD'!M$2:M$875,'Base bordo CD'!D$2:D$875,A513,'Base bordo CD'!A$2:A$875,B513,'Base bordo CD'!L$2:L$875,"SEM APONTAMENTO"),0)</f>
        <v>0</v>
      </c>
      <c r="N513" s="10">
        <f>IFERROR(SUMIFS('Base bordo CD'!M$2:M$875,'Base bordo CD'!D$2:D$875,A513,'Base bordo CD'!A$2:A$875,B513,'Base bordo CD'!L$2:L$875,"FALTA DE CAMINHÃO"),0)+IFERROR(SUMIFS('Base bordo CD'!M$2:M$875,'Base bordo CD'!D$2:D$875,A513,'Base bordo CD'!A$2:A$875,B513,'Base bordo CD'!L$2:L$875,"FALTA DE COMBUSTIVEL"),0)+IFERROR(SUMIFS('Base bordo CD'!M$2:M$875,'Base bordo CD'!D$2:D$875,A513,'Base bordo CD'!A$2:A$875,B513,'Base bordo CD'!L$2:L$875,"FALTA DE MOTORIST*"),0)</f>
        <v>0</v>
      </c>
      <c r="O513" s="10">
        <f t="shared" si="45"/>
        <v>0</v>
      </c>
      <c r="P513" s="10">
        <f>IFERROR(SUMIFS('Base bordo CD'!M$2:M$875,'Base bordo CD'!D$2:D$875,A513,'Base bordo CD'!A$2:A$875,B513),0)</f>
        <v>24</v>
      </c>
      <c r="Q513" s="10">
        <f>IFERROR(SUMIFS('Base bordo CD'!O$2:O$875,'Base bordo CD'!D$2:D$875,A513,'Base bordo CD'!A$2:A$875,B513,'Base bordo CD'!L$2:L$875,"CORTE DE CANA MECANIZADO"),0)</f>
        <v>0</v>
      </c>
      <c r="R513" s="10">
        <f>IFERROR(SUMIFS('Base bordo CD'!Q$2:Q$875,'Base bordo CD'!D$2:D$875,A513,'Base bordo CD'!A$2:A$875,B513,'Base bordo CD'!L$2:L$875,"CORTE DE CANA MECANIZADO"),0)</f>
        <v>0</v>
      </c>
      <c r="S513" s="30" t="str">
        <f t="shared" si="46"/>
        <v/>
      </c>
      <c r="T513" s="9">
        <f t="shared" si="47"/>
        <v>0</v>
      </c>
      <c r="U513" s="9">
        <f t="shared" si="48"/>
        <v>0</v>
      </c>
      <c r="V513" s="9">
        <f t="shared" si="49"/>
        <v>1</v>
      </c>
    </row>
    <row r="514" spans="1:22" hidden="1" x14ac:dyDescent="0.35">
      <c r="A514" s="52">
        <v>49591</v>
      </c>
      <c r="B514" s="31">
        <v>46119</v>
      </c>
      <c r="C514" s="7" t="s">
        <v>364</v>
      </c>
      <c r="D514" s="7">
        <v>352</v>
      </c>
      <c r="E514" s="10">
        <f>IFERROR(SUMIFS('Base bordo CD'!M$2:M$875,'Base bordo CD'!D$2:D$875,A514,'Base bordo CD'!A$2:A$875,B514,'Base bordo CD'!L$2:L$875,"CORTE DE CANA MECANIZADO"),0)</f>
        <v>0</v>
      </c>
      <c r="F514" s="10">
        <f>IFERROR(SUMIFS('Base bordo CD'!M$2:M$875,'Base bordo CD'!D$2:D$875,A514,'Base bordo CD'!A$2:A$875,B514,'Base bordo CD'!L$2:L$875,"MANOBRA"),0)</f>
        <v>0</v>
      </c>
      <c r="G514" s="10">
        <f>IFERROR(SUMIFS('Base bordo CD'!M$2:M$875,'Base bordo CD'!D$2:D$875,A514,'Base bordo CD'!A$2:A$875,B514,'Base bordo CD'!L$2:L$875,"DESLOCAMENTO"),0)</f>
        <v>7.4166666666666672E-2</v>
      </c>
      <c r="H514" s="10">
        <f>IFERROR(SUMIFS('Base bordo CD'!M$2:M$875,'Base bordo CD'!D$2:D$875,A514,'Base bordo CD'!A$2:A$875,B514,'Base bordo CD'!L$2:L$875,"AGUARDANDO MANOBRA DE TRANSBORDO"),0)+IFERROR(SUMIFS('Base bordo CD'!M$2:M$875,'Base bordo CD'!D$2:D$875,A514,'Base bordo CD'!A$2:A$875,B514,'Base bordo CD'!L$2:L$875,"FALTA DE TRANSBORDO"),0)</f>
        <v>0</v>
      </c>
      <c r="I514" s="10">
        <f>IFERROR(SUMIFS('Base bordo CD'!M$2:M$875,'Base bordo CD'!D$2:D$875,A514,'Base bordo CD'!A$2:A$875,B514,'Base bordo CD'!L$2:L$875,"PARADA POR CONDICOES CLIMATICAS"),0)+IFERROR(SUMIFS('Base bordo CD'!M$2:M$875,'Base bordo CD'!D$2:D$875,A514,'Base bordo CD'!A$2:A$875,B514,'Base bordo CD'!L$2:L$875,"TEMPO INDETERMINADO"),0)</f>
        <v>22.980555555555554</v>
      </c>
      <c r="J514" s="10">
        <f>IFERROR(SUMIFS('Base bordo CD'!M$2:M$875,'Base bordo CD'!D$2:D$875,A514,'Base bordo CD'!A$2:A$875,B514,'Base bordo CD'!L$2:L$875,"LIMITAÇÃO INDÚSTRIA"),0)</f>
        <v>0</v>
      </c>
      <c r="K514" s="10">
        <f>IFERROR(SUMIFS('Base bordo CD'!M$2:M$875,'Base bordo CD'!D$2:D$875,A514,'Base bordo CD'!A$2:A$875,B514,'Base bordo CD'!L$2:L$875,"MAN CORRETIVA*"),0)+IFERROR(SUMIFS('Base bordo CD'!M$2:M$875,'Base bordo CD'!D$2:D$875,A514,'Base bordo CD'!A$2:A$875,B514,'Base bordo CD'!L$2:L$875,"AGUARDANDO MANUTENCAO*"),0)+IFERROR(SUMIFS('Base bordo CD'!M$2:M$875,'Base bordo CD'!D$2:D$875,A514,'Base bordo CD'!A$2:A$875,B514,'Base bordo CD'!L$2:L$875,"TROCA DE FAQUINHA"),0)+IFERROR(SUMIFS('Base bordo CD'!M$2:M$875,'Base bordo CD'!D$2:D$875,A514,'Base bordo CD'!A$2:A$875,B514,'Base bordo CD'!L$2:L$875,"LIMPEZA*"),0)</f>
        <v>0</v>
      </c>
      <c r="L514" s="10">
        <f>IFERROR(SUMIFS('Base bordo CD'!M$2:M$875,'Base bordo CD'!D$2:D$875,A514,'Base bordo CD'!A$2:A$875,B514,'Base bordo CD'!L$2:L$875,"PATIO - RESERVA"),0)</f>
        <v>0</v>
      </c>
      <c r="M514" s="10">
        <f>IFERROR(SUMIFS('Base bordo CD'!M$2:M$875,'Base bordo CD'!D$2:D$875,A514,'Base bordo CD'!A$2:A$875,B514,'Base bordo CD'!L$2:L$875,"SEM APONTAMENTO"),0)</f>
        <v>0.94527777777777777</v>
      </c>
      <c r="N514" s="10">
        <f>IFERROR(SUMIFS('Base bordo CD'!M$2:M$875,'Base bordo CD'!D$2:D$875,A514,'Base bordo CD'!A$2:A$875,B514,'Base bordo CD'!L$2:L$875,"FALTA DE CAMINHÃO"),0)+IFERROR(SUMIFS('Base bordo CD'!M$2:M$875,'Base bordo CD'!D$2:D$875,A514,'Base bordo CD'!A$2:A$875,B514,'Base bordo CD'!L$2:L$875,"FALTA DE COMBUSTIVEL"),0)+IFERROR(SUMIFS('Base bordo CD'!M$2:M$875,'Base bordo CD'!D$2:D$875,A514,'Base bordo CD'!A$2:A$875,B514,'Base bordo CD'!L$2:L$875,"FALTA DE MOTORIST*"),0)</f>
        <v>0</v>
      </c>
      <c r="O514" s="10">
        <f t="shared" si="45"/>
        <v>3.5527136788005009E-15</v>
      </c>
      <c r="P514" s="10">
        <f>IFERROR(SUMIFS('Base bordo CD'!M$2:M$875,'Base bordo CD'!D$2:D$875,A514,'Base bordo CD'!A$2:A$875,B514),0)</f>
        <v>24.000000000000004</v>
      </c>
      <c r="Q514" s="10">
        <f>IFERROR(SUMIFS('Base bordo CD'!O$2:O$875,'Base bordo CD'!D$2:D$875,A514,'Base bordo CD'!A$2:A$875,B514,'Base bordo CD'!L$2:L$875,"CORTE DE CANA MECANIZADO"),0)</f>
        <v>0</v>
      </c>
      <c r="R514" s="10">
        <f>IFERROR(SUMIFS('Base bordo CD'!Q$2:Q$875,'Base bordo CD'!D$2:D$875,A514,'Base bordo CD'!A$2:A$875,B514,'Base bordo CD'!L$2:L$875,"CORTE DE CANA MECANIZADO"),0)</f>
        <v>0</v>
      </c>
      <c r="S514" s="30" t="str">
        <f t="shared" si="46"/>
        <v/>
      </c>
      <c r="T514" s="9">
        <f t="shared" si="47"/>
        <v>0</v>
      </c>
      <c r="U514" s="9">
        <f t="shared" si="48"/>
        <v>0</v>
      </c>
      <c r="V514" s="9">
        <f t="shared" si="49"/>
        <v>0.99690972222222218</v>
      </c>
    </row>
    <row r="515" spans="1:22" hidden="1" x14ac:dyDescent="0.35">
      <c r="A515" s="52">
        <v>49591</v>
      </c>
      <c r="B515" s="31">
        <v>46119</v>
      </c>
      <c r="C515" s="7" t="s">
        <v>364</v>
      </c>
      <c r="D515" s="7">
        <v>352</v>
      </c>
      <c r="E515" s="10">
        <f>IFERROR(SUMIFS('Base bordo CD'!M$2:M$875,'Base bordo CD'!D$2:D$875,A515,'Base bordo CD'!A$2:A$875,B515,'Base bordo CD'!L$2:L$875,"CORTE DE CANA MECANIZADO"),0)</f>
        <v>0</v>
      </c>
      <c r="F515" s="10">
        <f>IFERROR(SUMIFS('Base bordo CD'!M$2:M$875,'Base bordo CD'!D$2:D$875,A515,'Base bordo CD'!A$2:A$875,B515,'Base bordo CD'!L$2:L$875,"MANOBRA"),0)</f>
        <v>0</v>
      </c>
      <c r="G515" s="10">
        <f>IFERROR(SUMIFS('Base bordo CD'!M$2:M$875,'Base bordo CD'!D$2:D$875,A515,'Base bordo CD'!A$2:A$875,B515,'Base bordo CD'!L$2:L$875,"DESLOCAMENTO"),0)</f>
        <v>7.4166666666666672E-2</v>
      </c>
      <c r="H515" s="10">
        <f>IFERROR(SUMIFS('Base bordo CD'!M$2:M$875,'Base bordo CD'!D$2:D$875,A515,'Base bordo CD'!A$2:A$875,B515,'Base bordo CD'!L$2:L$875,"AGUARDANDO MANOBRA DE TRANSBORDO"),0)+IFERROR(SUMIFS('Base bordo CD'!M$2:M$875,'Base bordo CD'!D$2:D$875,A515,'Base bordo CD'!A$2:A$875,B515,'Base bordo CD'!L$2:L$875,"FALTA DE TRANSBORDO"),0)</f>
        <v>0</v>
      </c>
      <c r="I515" s="10">
        <f>IFERROR(SUMIFS('Base bordo CD'!M$2:M$875,'Base bordo CD'!D$2:D$875,A515,'Base bordo CD'!A$2:A$875,B515,'Base bordo CD'!L$2:L$875,"PARADA POR CONDICOES CLIMATICAS"),0)+IFERROR(SUMIFS('Base bordo CD'!M$2:M$875,'Base bordo CD'!D$2:D$875,A515,'Base bordo CD'!A$2:A$875,B515,'Base bordo CD'!L$2:L$875,"TEMPO INDETERMINADO"),0)</f>
        <v>22.980555555555554</v>
      </c>
      <c r="J515" s="10">
        <f>IFERROR(SUMIFS('Base bordo CD'!M$2:M$875,'Base bordo CD'!D$2:D$875,A515,'Base bordo CD'!A$2:A$875,B515,'Base bordo CD'!L$2:L$875,"LIMITAÇÃO INDÚSTRIA"),0)</f>
        <v>0</v>
      </c>
      <c r="K515" s="10">
        <f>IFERROR(SUMIFS('Base bordo CD'!M$2:M$875,'Base bordo CD'!D$2:D$875,A515,'Base bordo CD'!A$2:A$875,B515,'Base bordo CD'!L$2:L$875,"MAN CORRETIVA*"),0)+IFERROR(SUMIFS('Base bordo CD'!M$2:M$875,'Base bordo CD'!D$2:D$875,A515,'Base bordo CD'!A$2:A$875,B515,'Base bordo CD'!L$2:L$875,"AGUARDANDO MANUTENCAO*"),0)+IFERROR(SUMIFS('Base bordo CD'!M$2:M$875,'Base bordo CD'!D$2:D$875,A515,'Base bordo CD'!A$2:A$875,B515,'Base bordo CD'!L$2:L$875,"TROCA DE FAQUINHA"),0)+IFERROR(SUMIFS('Base bordo CD'!M$2:M$875,'Base bordo CD'!D$2:D$875,A515,'Base bordo CD'!A$2:A$875,B515,'Base bordo CD'!L$2:L$875,"LIMPEZA*"),0)</f>
        <v>0</v>
      </c>
      <c r="L515" s="10">
        <f>IFERROR(SUMIFS('Base bordo CD'!M$2:M$875,'Base bordo CD'!D$2:D$875,A515,'Base bordo CD'!A$2:A$875,B515,'Base bordo CD'!L$2:L$875,"PATIO - RESERVA"),0)</f>
        <v>0</v>
      </c>
      <c r="M515" s="10">
        <f>IFERROR(SUMIFS('Base bordo CD'!M$2:M$875,'Base bordo CD'!D$2:D$875,A515,'Base bordo CD'!A$2:A$875,B515,'Base bordo CD'!L$2:L$875,"SEM APONTAMENTO"),0)</f>
        <v>0.94527777777777777</v>
      </c>
      <c r="N515" s="10">
        <f>IFERROR(SUMIFS('Base bordo CD'!M$2:M$875,'Base bordo CD'!D$2:D$875,A515,'Base bordo CD'!A$2:A$875,B515,'Base bordo CD'!L$2:L$875,"FALTA DE CAMINHÃO"),0)+IFERROR(SUMIFS('Base bordo CD'!M$2:M$875,'Base bordo CD'!D$2:D$875,A515,'Base bordo CD'!A$2:A$875,B515,'Base bordo CD'!L$2:L$875,"FALTA DE COMBUSTIVEL"),0)+IFERROR(SUMIFS('Base bordo CD'!M$2:M$875,'Base bordo CD'!D$2:D$875,A515,'Base bordo CD'!A$2:A$875,B515,'Base bordo CD'!L$2:L$875,"FALTA DE MOTORIST*"),0)</f>
        <v>0</v>
      </c>
      <c r="O515" s="10">
        <f t="shared" si="45"/>
        <v>3.5527136788005009E-15</v>
      </c>
      <c r="P515" s="10">
        <f>IFERROR(SUMIFS('Base bordo CD'!M$2:M$875,'Base bordo CD'!D$2:D$875,A515,'Base bordo CD'!A$2:A$875,B515),0)</f>
        <v>24.000000000000004</v>
      </c>
      <c r="Q515" s="10">
        <f>IFERROR(SUMIFS('Base bordo CD'!O$2:O$875,'Base bordo CD'!D$2:D$875,A515,'Base bordo CD'!A$2:A$875,B515,'Base bordo CD'!L$2:L$875,"CORTE DE CANA MECANIZADO"),0)</f>
        <v>0</v>
      </c>
      <c r="R515" s="10">
        <f>IFERROR(SUMIFS('Base bordo CD'!Q$2:Q$875,'Base bordo CD'!D$2:D$875,A515,'Base bordo CD'!A$2:A$875,B515,'Base bordo CD'!L$2:L$875,"CORTE DE CANA MECANIZADO"),0)</f>
        <v>0</v>
      </c>
      <c r="S515" s="30" t="str">
        <f t="shared" si="46"/>
        <v/>
      </c>
      <c r="T515" s="9">
        <f t="shared" si="47"/>
        <v>0</v>
      </c>
      <c r="U515" s="9">
        <f t="shared" si="48"/>
        <v>0</v>
      </c>
      <c r="V515" s="9">
        <f t="shared" si="49"/>
        <v>0.99690972222222218</v>
      </c>
    </row>
    <row r="516" spans="1:22" hidden="1" x14ac:dyDescent="0.35">
      <c r="A516" s="52">
        <v>49591</v>
      </c>
      <c r="B516" s="31">
        <v>46119</v>
      </c>
      <c r="C516" s="7" t="s">
        <v>364</v>
      </c>
      <c r="D516" s="7">
        <v>352</v>
      </c>
      <c r="E516" s="10">
        <f>IFERROR(SUMIFS('Base bordo CD'!M$2:M$875,'Base bordo CD'!D$2:D$875,A516,'Base bordo CD'!A$2:A$875,B516,'Base bordo CD'!L$2:L$875,"CORTE DE CANA MECANIZADO"),0)</f>
        <v>0</v>
      </c>
      <c r="F516" s="10">
        <f>IFERROR(SUMIFS('Base bordo CD'!M$2:M$875,'Base bordo CD'!D$2:D$875,A516,'Base bordo CD'!A$2:A$875,B516,'Base bordo CD'!L$2:L$875,"MANOBRA"),0)</f>
        <v>0</v>
      </c>
      <c r="G516" s="10">
        <f>IFERROR(SUMIFS('Base bordo CD'!M$2:M$875,'Base bordo CD'!D$2:D$875,A516,'Base bordo CD'!A$2:A$875,B516,'Base bordo CD'!L$2:L$875,"DESLOCAMENTO"),0)</f>
        <v>7.4166666666666672E-2</v>
      </c>
      <c r="H516" s="10">
        <f>IFERROR(SUMIFS('Base bordo CD'!M$2:M$875,'Base bordo CD'!D$2:D$875,A516,'Base bordo CD'!A$2:A$875,B516,'Base bordo CD'!L$2:L$875,"AGUARDANDO MANOBRA DE TRANSBORDO"),0)+IFERROR(SUMIFS('Base bordo CD'!M$2:M$875,'Base bordo CD'!D$2:D$875,A516,'Base bordo CD'!A$2:A$875,B516,'Base bordo CD'!L$2:L$875,"FALTA DE TRANSBORDO"),0)</f>
        <v>0</v>
      </c>
      <c r="I516" s="10">
        <f>IFERROR(SUMIFS('Base bordo CD'!M$2:M$875,'Base bordo CD'!D$2:D$875,A516,'Base bordo CD'!A$2:A$875,B516,'Base bordo CD'!L$2:L$875,"PARADA POR CONDICOES CLIMATICAS"),0)+IFERROR(SUMIFS('Base bordo CD'!M$2:M$875,'Base bordo CD'!D$2:D$875,A516,'Base bordo CD'!A$2:A$875,B516,'Base bordo CD'!L$2:L$875,"TEMPO INDETERMINADO"),0)</f>
        <v>22.980555555555554</v>
      </c>
      <c r="J516" s="10">
        <f>IFERROR(SUMIFS('Base bordo CD'!M$2:M$875,'Base bordo CD'!D$2:D$875,A516,'Base bordo CD'!A$2:A$875,B516,'Base bordo CD'!L$2:L$875,"LIMITAÇÃO INDÚSTRIA"),0)</f>
        <v>0</v>
      </c>
      <c r="K516" s="10">
        <f>IFERROR(SUMIFS('Base bordo CD'!M$2:M$875,'Base bordo CD'!D$2:D$875,A516,'Base bordo CD'!A$2:A$875,B516,'Base bordo CD'!L$2:L$875,"MAN CORRETIVA*"),0)+IFERROR(SUMIFS('Base bordo CD'!M$2:M$875,'Base bordo CD'!D$2:D$875,A516,'Base bordo CD'!A$2:A$875,B516,'Base bordo CD'!L$2:L$875,"AGUARDANDO MANUTENCAO*"),0)+IFERROR(SUMIFS('Base bordo CD'!M$2:M$875,'Base bordo CD'!D$2:D$875,A516,'Base bordo CD'!A$2:A$875,B516,'Base bordo CD'!L$2:L$875,"TROCA DE FAQUINHA"),0)+IFERROR(SUMIFS('Base bordo CD'!M$2:M$875,'Base bordo CD'!D$2:D$875,A516,'Base bordo CD'!A$2:A$875,B516,'Base bordo CD'!L$2:L$875,"LIMPEZA*"),0)</f>
        <v>0</v>
      </c>
      <c r="L516" s="10">
        <f>IFERROR(SUMIFS('Base bordo CD'!M$2:M$875,'Base bordo CD'!D$2:D$875,A516,'Base bordo CD'!A$2:A$875,B516,'Base bordo CD'!L$2:L$875,"PATIO - RESERVA"),0)</f>
        <v>0</v>
      </c>
      <c r="M516" s="10">
        <f>IFERROR(SUMIFS('Base bordo CD'!M$2:M$875,'Base bordo CD'!D$2:D$875,A516,'Base bordo CD'!A$2:A$875,B516,'Base bordo CD'!L$2:L$875,"SEM APONTAMENTO"),0)</f>
        <v>0.94527777777777777</v>
      </c>
      <c r="N516" s="10">
        <f>IFERROR(SUMIFS('Base bordo CD'!M$2:M$875,'Base bordo CD'!D$2:D$875,A516,'Base bordo CD'!A$2:A$875,B516,'Base bordo CD'!L$2:L$875,"FALTA DE CAMINHÃO"),0)+IFERROR(SUMIFS('Base bordo CD'!M$2:M$875,'Base bordo CD'!D$2:D$875,A516,'Base bordo CD'!A$2:A$875,B516,'Base bordo CD'!L$2:L$875,"FALTA DE COMBUSTIVEL"),0)+IFERROR(SUMIFS('Base bordo CD'!M$2:M$875,'Base bordo CD'!D$2:D$875,A516,'Base bordo CD'!A$2:A$875,B516,'Base bordo CD'!L$2:L$875,"FALTA DE MOTORIST*"),0)</f>
        <v>0</v>
      </c>
      <c r="O516" s="10">
        <f t="shared" si="45"/>
        <v>3.5527136788005009E-15</v>
      </c>
      <c r="P516" s="10">
        <f>IFERROR(SUMIFS('Base bordo CD'!M$2:M$875,'Base bordo CD'!D$2:D$875,A516,'Base bordo CD'!A$2:A$875,B516),0)</f>
        <v>24.000000000000004</v>
      </c>
      <c r="Q516" s="10">
        <f>IFERROR(SUMIFS('Base bordo CD'!O$2:O$875,'Base bordo CD'!D$2:D$875,A516,'Base bordo CD'!A$2:A$875,B516,'Base bordo CD'!L$2:L$875,"CORTE DE CANA MECANIZADO"),0)</f>
        <v>0</v>
      </c>
      <c r="R516" s="10">
        <f>IFERROR(SUMIFS('Base bordo CD'!Q$2:Q$875,'Base bordo CD'!D$2:D$875,A516,'Base bordo CD'!A$2:A$875,B516,'Base bordo CD'!L$2:L$875,"CORTE DE CANA MECANIZADO"),0)</f>
        <v>0</v>
      </c>
      <c r="S516" s="30" t="str">
        <f t="shared" si="46"/>
        <v/>
      </c>
      <c r="T516" s="9">
        <f t="shared" si="47"/>
        <v>0</v>
      </c>
      <c r="U516" s="9">
        <f t="shared" si="48"/>
        <v>0</v>
      </c>
      <c r="V516" s="9">
        <f t="shared" si="49"/>
        <v>0.99690972222222218</v>
      </c>
    </row>
    <row r="517" spans="1:22" hidden="1" x14ac:dyDescent="0.35">
      <c r="A517" s="52">
        <v>49591</v>
      </c>
      <c r="B517" s="31">
        <v>46119</v>
      </c>
      <c r="C517" s="7" t="s">
        <v>364</v>
      </c>
      <c r="D517" s="7">
        <v>352</v>
      </c>
      <c r="E517" s="10">
        <f>IFERROR(SUMIFS('Base bordo CD'!M$2:M$875,'Base bordo CD'!D$2:D$875,A517,'Base bordo CD'!A$2:A$875,B517,'Base bordo CD'!L$2:L$875,"CORTE DE CANA MECANIZADO"),0)</f>
        <v>0</v>
      </c>
      <c r="F517" s="10">
        <f>IFERROR(SUMIFS('Base bordo CD'!M$2:M$875,'Base bordo CD'!D$2:D$875,A517,'Base bordo CD'!A$2:A$875,B517,'Base bordo CD'!L$2:L$875,"MANOBRA"),0)</f>
        <v>0</v>
      </c>
      <c r="G517" s="10">
        <f>IFERROR(SUMIFS('Base bordo CD'!M$2:M$875,'Base bordo CD'!D$2:D$875,A517,'Base bordo CD'!A$2:A$875,B517,'Base bordo CD'!L$2:L$875,"DESLOCAMENTO"),0)</f>
        <v>7.4166666666666672E-2</v>
      </c>
      <c r="H517" s="10">
        <f>IFERROR(SUMIFS('Base bordo CD'!M$2:M$875,'Base bordo CD'!D$2:D$875,A517,'Base bordo CD'!A$2:A$875,B517,'Base bordo CD'!L$2:L$875,"AGUARDANDO MANOBRA DE TRANSBORDO"),0)+IFERROR(SUMIFS('Base bordo CD'!M$2:M$875,'Base bordo CD'!D$2:D$875,A517,'Base bordo CD'!A$2:A$875,B517,'Base bordo CD'!L$2:L$875,"FALTA DE TRANSBORDO"),0)</f>
        <v>0</v>
      </c>
      <c r="I517" s="10">
        <f>IFERROR(SUMIFS('Base bordo CD'!M$2:M$875,'Base bordo CD'!D$2:D$875,A517,'Base bordo CD'!A$2:A$875,B517,'Base bordo CD'!L$2:L$875,"PARADA POR CONDICOES CLIMATICAS"),0)+IFERROR(SUMIFS('Base bordo CD'!M$2:M$875,'Base bordo CD'!D$2:D$875,A517,'Base bordo CD'!A$2:A$875,B517,'Base bordo CD'!L$2:L$875,"TEMPO INDETERMINADO"),0)</f>
        <v>22.980555555555554</v>
      </c>
      <c r="J517" s="10">
        <f>IFERROR(SUMIFS('Base bordo CD'!M$2:M$875,'Base bordo CD'!D$2:D$875,A517,'Base bordo CD'!A$2:A$875,B517,'Base bordo CD'!L$2:L$875,"LIMITAÇÃO INDÚSTRIA"),0)</f>
        <v>0</v>
      </c>
      <c r="K517" s="10">
        <f>IFERROR(SUMIFS('Base bordo CD'!M$2:M$875,'Base bordo CD'!D$2:D$875,A517,'Base bordo CD'!A$2:A$875,B517,'Base bordo CD'!L$2:L$875,"MAN CORRETIVA*"),0)+IFERROR(SUMIFS('Base bordo CD'!M$2:M$875,'Base bordo CD'!D$2:D$875,A517,'Base bordo CD'!A$2:A$875,B517,'Base bordo CD'!L$2:L$875,"AGUARDANDO MANUTENCAO*"),0)+IFERROR(SUMIFS('Base bordo CD'!M$2:M$875,'Base bordo CD'!D$2:D$875,A517,'Base bordo CD'!A$2:A$875,B517,'Base bordo CD'!L$2:L$875,"TROCA DE FAQUINHA"),0)+IFERROR(SUMIFS('Base bordo CD'!M$2:M$875,'Base bordo CD'!D$2:D$875,A517,'Base bordo CD'!A$2:A$875,B517,'Base bordo CD'!L$2:L$875,"LIMPEZA*"),0)</f>
        <v>0</v>
      </c>
      <c r="L517" s="10">
        <f>IFERROR(SUMIFS('Base bordo CD'!M$2:M$875,'Base bordo CD'!D$2:D$875,A517,'Base bordo CD'!A$2:A$875,B517,'Base bordo CD'!L$2:L$875,"PATIO - RESERVA"),0)</f>
        <v>0</v>
      </c>
      <c r="M517" s="10">
        <f>IFERROR(SUMIFS('Base bordo CD'!M$2:M$875,'Base bordo CD'!D$2:D$875,A517,'Base bordo CD'!A$2:A$875,B517,'Base bordo CD'!L$2:L$875,"SEM APONTAMENTO"),0)</f>
        <v>0.94527777777777777</v>
      </c>
      <c r="N517" s="10">
        <f>IFERROR(SUMIFS('Base bordo CD'!M$2:M$875,'Base bordo CD'!D$2:D$875,A517,'Base bordo CD'!A$2:A$875,B517,'Base bordo CD'!L$2:L$875,"FALTA DE CAMINHÃO"),0)+IFERROR(SUMIFS('Base bordo CD'!M$2:M$875,'Base bordo CD'!D$2:D$875,A517,'Base bordo CD'!A$2:A$875,B517,'Base bordo CD'!L$2:L$875,"FALTA DE COMBUSTIVEL"),0)+IFERROR(SUMIFS('Base bordo CD'!M$2:M$875,'Base bordo CD'!D$2:D$875,A517,'Base bordo CD'!A$2:A$875,B517,'Base bordo CD'!L$2:L$875,"FALTA DE MOTORIST*"),0)</f>
        <v>0</v>
      </c>
      <c r="O517" s="10">
        <f t="shared" si="45"/>
        <v>3.5527136788005009E-15</v>
      </c>
      <c r="P517" s="10">
        <f>IFERROR(SUMIFS('Base bordo CD'!M$2:M$875,'Base bordo CD'!D$2:D$875,A517,'Base bordo CD'!A$2:A$875,B517),0)</f>
        <v>24.000000000000004</v>
      </c>
      <c r="Q517" s="10">
        <f>IFERROR(SUMIFS('Base bordo CD'!O$2:O$875,'Base bordo CD'!D$2:D$875,A517,'Base bordo CD'!A$2:A$875,B517,'Base bordo CD'!L$2:L$875,"CORTE DE CANA MECANIZADO"),0)</f>
        <v>0</v>
      </c>
      <c r="R517" s="10">
        <f>IFERROR(SUMIFS('Base bordo CD'!Q$2:Q$875,'Base bordo CD'!D$2:D$875,A517,'Base bordo CD'!A$2:A$875,B517,'Base bordo CD'!L$2:L$875,"CORTE DE CANA MECANIZADO"),0)</f>
        <v>0</v>
      </c>
      <c r="S517" s="30" t="str">
        <f t="shared" si="46"/>
        <v/>
      </c>
      <c r="T517" s="9">
        <f t="shared" si="47"/>
        <v>0</v>
      </c>
      <c r="U517" s="9">
        <f t="shared" si="48"/>
        <v>0</v>
      </c>
      <c r="V517" s="9">
        <f t="shared" si="49"/>
        <v>0.99690972222222218</v>
      </c>
    </row>
    <row r="518" spans="1:22" hidden="1" x14ac:dyDescent="0.35">
      <c r="A518" s="52">
        <v>49591</v>
      </c>
      <c r="B518" s="31">
        <v>46119</v>
      </c>
      <c r="C518" s="7" t="s">
        <v>364</v>
      </c>
      <c r="D518" s="7">
        <v>352</v>
      </c>
      <c r="E518" s="10">
        <f>IFERROR(SUMIFS('Base bordo CD'!M$2:M$875,'Base bordo CD'!D$2:D$875,A518,'Base bordo CD'!A$2:A$875,B518,'Base bordo CD'!L$2:L$875,"CORTE DE CANA MECANIZADO"),0)</f>
        <v>0</v>
      </c>
      <c r="F518" s="10">
        <f>IFERROR(SUMIFS('Base bordo CD'!M$2:M$875,'Base bordo CD'!D$2:D$875,A518,'Base bordo CD'!A$2:A$875,B518,'Base bordo CD'!L$2:L$875,"MANOBRA"),0)</f>
        <v>0</v>
      </c>
      <c r="G518" s="10">
        <f>IFERROR(SUMIFS('Base bordo CD'!M$2:M$875,'Base bordo CD'!D$2:D$875,A518,'Base bordo CD'!A$2:A$875,B518,'Base bordo CD'!L$2:L$875,"DESLOCAMENTO"),0)</f>
        <v>7.4166666666666672E-2</v>
      </c>
      <c r="H518" s="10">
        <f>IFERROR(SUMIFS('Base bordo CD'!M$2:M$875,'Base bordo CD'!D$2:D$875,A518,'Base bordo CD'!A$2:A$875,B518,'Base bordo CD'!L$2:L$875,"AGUARDANDO MANOBRA DE TRANSBORDO"),0)+IFERROR(SUMIFS('Base bordo CD'!M$2:M$875,'Base bordo CD'!D$2:D$875,A518,'Base bordo CD'!A$2:A$875,B518,'Base bordo CD'!L$2:L$875,"FALTA DE TRANSBORDO"),0)</f>
        <v>0</v>
      </c>
      <c r="I518" s="10">
        <f>IFERROR(SUMIFS('Base bordo CD'!M$2:M$875,'Base bordo CD'!D$2:D$875,A518,'Base bordo CD'!A$2:A$875,B518,'Base bordo CD'!L$2:L$875,"PARADA POR CONDICOES CLIMATICAS"),0)+IFERROR(SUMIFS('Base bordo CD'!M$2:M$875,'Base bordo CD'!D$2:D$875,A518,'Base bordo CD'!A$2:A$875,B518,'Base bordo CD'!L$2:L$875,"TEMPO INDETERMINADO"),0)</f>
        <v>22.980555555555554</v>
      </c>
      <c r="J518" s="10">
        <f>IFERROR(SUMIFS('Base bordo CD'!M$2:M$875,'Base bordo CD'!D$2:D$875,A518,'Base bordo CD'!A$2:A$875,B518,'Base bordo CD'!L$2:L$875,"LIMITAÇÃO INDÚSTRIA"),0)</f>
        <v>0</v>
      </c>
      <c r="K518" s="10">
        <f>IFERROR(SUMIFS('Base bordo CD'!M$2:M$875,'Base bordo CD'!D$2:D$875,A518,'Base bordo CD'!A$2:A$875,B518,'Base bordo CD'!L$2:L$875,"MAN CORRETIVA*"),0)+IFERROR(SUMIFS('Base bordo CD'!M$2:M$875,'Base bordo CD'!D$2:D$875,A518,'Base bordo CD'!A$2:A$875,B518,'Base bordo CD'!L$2:L$875,"AGUARDANDO MANUTENCAO*"),0)+IFERROR(SUMIFS('Base bordo CD'!M$2:M$875,'Base bordo CD'!D$2:D$875,A518,'Base bordo CD'!A$2:A$875,B518,'Base bordo CD'!L$2:L$875,"TROCA DE FAQUINHA"),0)+IFERROR(SUMIFS('Base bordo CD'!M$2:M$875,'Base bordo CD'!D$2:D$875,A518,'Base bordo CD'!A$2:A$875,B518,'Base bordo CD'!L$2:L$875,"LIMPEZA*"),0)</f>
        <v>0</v>
      </c>
      <c r="L518" s="10">
        <f>IFERROR(SUMIFS('Base bordo CD'!M$2:M$875,'Base bordo CD'!D$2:D$875,A518,'Base bordo CD'!A$2:A$875,B518,'Base bordo CD'!L$2:L$875,"PATIO - RESERVA"),0)</f>
        <v>0</v>
      </c>
      <c r="M518" s="10">
        <f>IFERROR(SUMIFS('Base bordo CD'!M$2:M$875,'Base bordo CD'!D$2:D$875,A518,'Base bordo CD'!A$2:A$875,B518,'Base bordo CD'!L$2:L$875,"SEM APONTAMENTO"),0)</f>
        <v>0.94527777777777777</v>
      </c>
      <c r="N518" s="10">
        <f>IFERROR(SUMIFS('Base bordo CD'!M$2:M$875,'Base bordo CD'!D$2:D$875,A518,'Base bordo CD'!A$2:A$875,B518,'Base bordo CD'!L$2:L$875,"FALTA DE CAMINHÃO"),0)+IFERROR(SUMIFS('Base bordo CD'!M$2:M$875,'Base bordo CD'!D$2:D$875,A518,'Base bordo CD'!A$2:A$875,B518,'Base bordo CD'!L$2:L$875,"FALTA DE COMBUSTIVEL"),0)+IFERROR(SUMIFS('Base bordo CD'!M$2:M$875,'Base bordo CD'!D$2:D$875,A518,'Base bordo CD'!A$2:A$875,B518,'Base bordo CD'!L$2:L$875,"FALTA DE MOTORIST*"),0)</f>
        <v>0</v>
      </c>
      <c r="O518" s="10">
        <f t="shared" si="45"/>
        <v>3.5527136788005009E-15</v>
      </c>
      <c r="P518" s="10">
        <f>IFERROR(SUMIFS('Base bordo CD'!M$2:M$875,'Base bordo CD'!D$2:D$875,A518,'Base bordo CD'!A$2:A$875,B518),0)</f>
        <v>24.000000000000004</v>
      </c>
      <c r="Q518" s="10">
        <f>IFERROR(SUMIFS('Base bordo CD'!O$2:O$875,'Base bordo CD'!D$2:D$875,A518,'Base bordo CD'!A$2:A$875,B518,'Base bordo CD'!L$2:L$875,"CORTE DE CANA MECANIZADO"),0)</f>
        <v>0</v>
      </c>
      <c r="R518" s="10">
        <f>IFERROR(SUMIFS('Base bordo CD'!Q$2:Q$875,'Base bordo CD'!D$2:D$875,A518,'Base bordo CD'!A$2:A$875,B518,'Base bordo CD'!L$2:L$875,"CORTE DE CANA MECANIZADO"),0)</f>
        <v>0</v>
      </c>
      <c r="S518" s="30" t="str">
        <f t="shared" si="46"/>
        <v/>
      </c>
      <c r="T518" s="9">
        <f t="shared" si="47"/>
        <v>0</v>
      </c>
      <c r="U518" s="9">
        <f t="shared" si="48"/>
        <v>0</v>
      </c>
      <c r="V518" s="9">
        <f t="shared" si="49"/>
        <v>0.99690972222222218</v>
      </c>
    </row>
    <row r="519" spans="1:22" hidden="1" x14ac:dyDescent="0.35">
      <c r="A519" s="52">
        <v>49592</v>
      </c>
      <c r="B519" s="31">
        <v>46119</v>
      </c>
      <c r="C519" s="7" t="s">
        <v>364</v>
      </c>
      <c r="D519" s="7">
        <v>352</v>
      </c>
      <c r="E519" s="10">
        <f>IFERROR(SUMIFS('Base bordo CD'!M$2:M$875,'Base bordo CD'!D$2:D$875,A519,'Base bordo CD'!A$2:A$875,B519,'Base bordo CD'!L$2:L$875,"CORTE DE CANA MECANIZADO"),0)</f>
        <v>0</v>
      </c>
      <c r="F519" s="10">
        <f>IFERROR(SUMIFS('Base bordo CD'!M$2:M$875,'Base bordo CD'!D$2:D$875,A519,'Base bordo CD'!A$2:A$875,B519,'Base bordo CD'!L$2:L$875,"MANOBRA"),0)</f>
        <v>0</v>
      </c>
      <c r="G519" s="10">
        <f>IFERROR(SUMIFS('Base bordo CD'!M$2:M$875,'Base bordo CD'!D$2:D$875,A519,'Base bordo CD'!A$2:A$875,B519,'Base bordo CD'!L$2:L$875,"DESLOCAMENTO"),0)</f>
        <v>0.11333333333333333</v>
      </c>
      <c r="H519" s="10">
        <f>IFERROR(SUMIFS('Base bordo CD'!M$2:M$875,'Base bordo CD'!D$2:D$875,A519,'Base bordo CD'!A$2:A$875,B519,'Base bordo CD'!L$2:L$875,"AGUARDANDO MANOBRA DE TRANSBORDO"),0)+IFERROR(SUMIFS('Base bordo CD'!M$2:M$875,'Base bordo CD'!D$2:D$875,A519,'Base bordo CD'!A$2:A$875,B519,'Base bordo CD'!L$2:L$875,"FALTA DE TRANSBORDO"),0)</f>
        <v>0</v>
      </c>
      <c r="I519" s="10">
        <f>IFERROR(SUMIFS('Base bordo CD'!M$2:M$875,'Base bordo CD'!D$2:D$875,A519,'Base bordo CD'!A$2:A$875,B519,'Base bordo CD'!L$2:L$875,"PARADA POR CONDICOES CLIMATICAS"),0)+IFERROR(SUMIFS('Base bordo CD'!M$2:M$875,'Base bordo CD'!D$2:D$875,A519,'Base bordo CD'!A$2:A$875,B519,'Base bordo CD'!L$2:L$875,"TEMPO INDETERMINADO"),0)</f>
        <v>23.886666666666667</v>
      </c>
      <c r="J519" s="10">
        <f>IFERROR(SUMIFS('Base bordo CD'!M$2:M$875,'Base bordo CD'!D$2:D$875,A519,'Base bordo CD'!A$2:A$875,B519,'Base bordo CD'!L$2:L$875,"LIMITAÇÃO INDÚSTRIA"),0)</f>
        <v>0</v>
      </c>
      <c r="K519" s="10">
        <f>IFERROR(SUMIFS('Base bordo CD'!M$2:M$875,'Base bordo CD'!D$2:D$875,A519,'Base bordo CD'!A$2:A$875,B519,'Base bordo CD'!L$2:L$875,"MAN CORRETIVA*"),0)+IFERROR(SUMIFS('Base bordo CD'!M$2:M$875,'Base bordo CD'!D$2:D$875,A519,'Base bordo CD'!A$2:A$875,B519,'Base bordo CD'!L$2:L$875,"AGUARDANDO MANUTENCAO*"),0)+IFERROR(SUMIFS('Base bordo CD'!M$2:M$875,'Base bordo CD'!D$2:D$875,A519,'Base bordo CD'!A$2:A$875,B519,'Base bordo CD'!L$2:L$875,"TROCA DE FAQUINHA"),0)+IFERROR(SUMIFS('Base bordo CD'!M$2:M$875,'Base bordo CD'!D$2:D$875,A519,'Base bordo CD'!A$2:A$875,B519,'Base bordo CD'!L$2:L$875,"LIMPEZA*"),0)</f>
        <v>0</v>
      </c>
      <c r="L519" s="10">
        <f>IFERROR(SUMIFS('Base bordo CD'!M$2:M$875,'Base bordo CD'!D$2:D$875,A519,'Base bordo CD'!A$2:A$875,B519,'Base bordo CD'!L$2:L$875,"PATIO - RESERVA"),0)</f>
        <v>0</v>
      </c>
      <c r="M519" s="10">
        <f>IFERROR(SUMIFS('Base bordo CD'!M$2:M$875,'Base bordo CD'!D$2:D$875,A519,'Base bordo CD'!A$2:A$875,B519,'Base bordo CD'!L$2:L$875,"SEM APONTAMENTO"),0)</f>
        <v>0</v>
      </c>
      <c r="N519" s="10">
        <f>IFERROR(SUMIFS('Base bordo CD'!M$2:M$875,'Base bordo CD'!D$2:D$875,A519,'Base bordo CD'!A$2:A$875,B519,'Base bordo CD'!L$2:L$875,"FALTA DE CAMINHÃO"),0)+IFERROR(SUMIFS('Base bordo CD'!M$2:M$875,'Base bordo CD'!D$2:D$875,A519,'Base bordo CD'!A$2:A$875,B519,'Base bordo CD'!L$2:L$875,"FALTA DE COMBUSTIVEL"),0)+IFERROR(SUMIFS('Base bordo CD'!M$2:M$875,'Base bordo CD'!D$2:D$875,A519,'Base bordo CD'!A$2:A$875,B519,'Base bordo CD'!L$2:L$875,"FALTA DE MOTORIST*"),0)</f>
        <v>0</v>
      </c>
      <c r="O519" s="10">
        <f t="shared" si="45"/>
        <v>0</v>
      </c>
      <c r="P519" s="10">
        <f>IFERROR(SUMIFS('Base bordo CD'!M$2:M$875,'Base bordo CD'!D$2:D$875,A519,'Base bordo CD'!A$2:A$875,B519),0)</f>
        <v>24</v>
      </c>
      <c r="Q519" s="10">
        <f>IFERROR(SUMIFS('Base bordo CD'!O$2:O$875,'Base bordo CD'!D$2:D$875,A519,'Base bordo CD'!A$2:A$875,B519,'Base bordo CD'!L$2:L$875,"CORTE DE CANA MECANIZADO"),0)</f>
        <v>0</v>
      </c>
      <c r="R519" s="10">
        <f>IFERROR(SUMIFS('Base bordo CD'!Q$2:Q$875,'Base bordo CD'!D$2:D$875,A519,'Base bordo CD'!A$2:A$875,B519,'Base bordo CD'!L$2:L$875,"CORTE DE CANA MECANIZADO"),0)</f>
        <v>0</v>
      </c>
      <c r="S519" s="30" t="str">
        <f t="shared" si="46"/>
        <v/>
      </c>
      <c r="T519" s="9">
        <f t="shared" si="47"/>
        <v>0</v>
      </c>
      <c r="U519" s="9">
        <f t="shared" si="48"/>
        <v>0</v>
      </c>
      <c r="V519" s="9">
        <f t="shared" si="49"/>
        <v>0.99527777777777782</v>
      </c>
    </row>
    <row r="520" spans="1:22" hidden="1" x14ac:dyDescent="0.35">
      <c r="A520" s="52">
        <v>49592</v>
      </c>
      <c r="B520" s="31">
        <v>46119</v>
      </c>
      <c r="C520" s="7" t="s">
        <v>364</v>
      </c>
      <c r="D520" s="7">
        <v>352</v>
      </c>
      <c r="E520" s="10">
        <f>IFERROR(SUMIFS('Base bordo CD'!M$2:M$875,'Base bordo CD'!D$2:D$875,A520,'Base bordo CD'!A$2:A$875,B520,'Base bordo CD'!L$2:L$875,"CORTE DE CANA MECANIZADO"),0)</f>
        <v>0</v>
      </c>
      <c r="F520" s="10">
        <f>IFERROR(SUMIFS('Base bordo CD'!M$2:M$875,'Base bordo CD'!D$2:D$875,A520,'Base bordo CD'!A$2:A$875,B520,'Base bordo CD'!L$2:L$875,"MANOBRA"),0)</f>
        <v>0</v>
      </c>
      <c r="G520" s="10">
        <f>IFERROR(SUMIFS('Base bordo CD'!M$2:M$875,'Base bordo CD'!D$2:D$875,A520,'Base bordo CD'!A$2:A$875,B520,'Base bordo CD'!L$2:L$875,"DESLOCAMENTO"),0)</f>
        <v>0.11333333333333333</v>
      </c>
      <c r="H520" s="10">
        <f>IFERROR(SUMIFS('Base bordo CD'!M$2:M$875,'Base bordo CD'!D$2:D$875,A520,'Base bordo CD'!A$2:A$875,B520,'Base bordo CD'!L$2:L$875,"AGUARDANDO MANOBRA DE TRANSBORDO"),0)+IFERROR(SUMIFS('Base bordo CD'!M$2:M$875,'Base bordo CD'!D$2:D$875,A520,'Base bordo CD'!A$2:A$875,B520,'Base bordo CD'!L$2:L$875,"FALTA DE TRANSBORDO"),0)</f>
        <v>0</v>
      </c>
      <c r="I520" s="10">
        <f>IFERROR(SUMIFS('Base bordo CD'!M$2:M$875,'Base bordo CD'!D$2:D$875,A520,'Base bordo CD'!A$2:A$875,B520,'Base bordo CD'!L$2:L$875,"PARADA POR CONDICOES CLIMATICAS"),0)+IFERROR(SUMIFS('Base bordo CD'!M$2:M$875,'Base bordo CD'!D$2:D$875,A520,'Base bordo CD'!A$2:A$875,B520,'Base bordo CD'!L$2:L$875,"TEMPO INDETERMINADO"),0)</f>
        <v>23.886666666666667</v>
      </c>
      <c r="J520" s="10">
        <f>IFERROR(SUMIFS('Base bordo CD'!M$2:M$875,'Base bordo CD'!D$2:D$875,A520,'Base bordo CD'!A$2:A$875,B520,'Base bordo CD'!L$2:L$875,"LIMITAÇÃO INDÚSTRIA"),0)</f>
        <v>0</v>
      </c>
      <c r="K520" s="10">
        <f>IFERROR(SUMIFS('Base bordo CD'!M$2:M$875,'Base bordo CD'!D$2:D$875,A520,'Base bordo CD'!A$2:A$875,B520,'Base bordo CD'!L$2:L$875,"MAN CORRETIVA*"),0)+IFERROR(SUMIFS('Base bordo CD'!M$2:M$875,'Base bordo CD'!D$2:D$875,A520,'Base bordo CD'!A$2:A$875,B520,'Base bordo CD'!L$2:L$875,"AGUARDANDO MANUTENCAO*"),0)+IFERROR(SUMIFS('Base bordo CD'!M$2:M$875,'Base bordo CD'!D$2:D$875,A520,'Base bordo CD'!A$2:A$875,B520,'Base bordo CD'!L$2:L$875,"TROCA DE FAQUINHA"),0)+IFERROR(SUMIFS('Base bordo CD'!M$2:M$875,'Base bordo CD'!D$2:D$875,A520,'Base bordo CD'!A$2:A$875,B520,'Base bordo CD'!L$2:L$875,"LIMPEZA*"),0)</f>
        <v>0</v>
      </c>
      <c r="L520" s="10">
        <f>IFERROR(SUMIFS('Base bordo CD'!M$2:M$875,'Base bordo CD'!D$2:D$875,A520,'Base bordo CD'!A$2:A$875,B520,'Base bordo CD'!L$2:L$875,"PATIO - RESERVA"),0)</f>
        <v>0</v>
      </c>
      <c r="M520" s="10">
        <f>IFERROR(SUMIFS('Base bordo CD'!M$2:M$875,'Base bordo CD'!D$2:D$875,A520,'Base bordo CD'!A$2:A$875,B520,'Base bordo CD'!L$2:L$875,"SEM APONTAMENTO"),0)</f>
        <v>0</v>
      </c>
      <c r="N520" s="10">
        <f>IFERROR(SUMIFS('Base bordo CD'!M$2:M$875,'Base bordo CD'!D$2:D$875,A520,'Base bordo CD'!A$2:A$875,B520,'Base bordo CD'!L$2:L$875,"FALTA DE CAMINHÃO"),0)+IFERROR(SUMIFS('Base bordo CD'!M$2:M$875,'Base bordo CD'!D$2:D$875,A520,'Base bordo CD'!A$2:A$875,B520,'Base bordo CD'!L$2:L$875,"FALTA DE COMBUSTIVEL"),0)+IFERROR(SUMIFS('Base bordo CD'!M$2:M$875,'Base bordo CD'!D$2:D$875,A520,'Base bordo CD'!A$2:A$875,B520,'Base bordo CD'!L$2:L$875,"FALTA DE MOTORIST*"),0)</f>
        <v>0</v>
      </c>
      <c r="O520" s="10">
        <f t="shared" si="45"/>
        <v>0</v>
      </c>
      <c r="P520" s="10">
        <f>IFERROR(SUMIFS('Base bordo CD'!M$2:M$875,'Base bordo CD'!D$2:D$875,A520,'Base bordo CD'!A$2:A$875,B520),0)</f>
        <v>24</v>
      </c>
      <c r="Q520" s="10">
        <f>IFERROR(SUMIFS('Base bordo CD'!O$2:O$875,'Base bordo CD'!D$2:D$875,A520,'Base bordo CD'!A$2:A$875,B520,'Base bordo CD'!L$2:L$875,"CORTE DE CANA MECANIZADO"),0)</f>
        <v>0</v>
      </c>
      <c r="R520" s="10">
        <f>IFERROR(SUMIFS('Base bordo CD'!Q$2:Q$875,'Base bordo CD'!D$2:D$875,A520,'Base bordo CD'!A$2:A$875,B520,'Base bordo CD'!L$2:L$875,"CORTE DE CANA MECANIZADO"),0)</f>
        <v>0</v>
      </c>
      <c r="S520" s="30" t="str">
        <f t="shared" si="46"/>
        <v/>
      </c>
      <c r="T520" s="9">
        <f t="shared" si="47"/>
        <v>0</v>
      </c>
      <c r="U520" s="9">
        <f t="shared" si="48"/>
        <v>0</v>
      </c>
      <c r="V520" s="9">
        <f t="shared" si="49"/>
        <v>0.99527777777777782</v>
      </c>
    </row>
    <row r="521" spans="1:22" hidden="1" x14ac:dyDescent="0.35">
      <c r="A521" s="52">
        <v>49592</v>
      </c>
      <c r="B521" s="31">
        <v>46119</v>
      </c>
      <c r="C521" s="7" t="s">
        <v>364</v>
      </c>
      <c r="D521" s="7">
        <v>352</v>
      </c>
      <c r="E521" s="10">
        <f>IFERROR(SUMIFS('Base bordo CD'!M$2:M$875,'Base bordo CD'!D$2:D$875,A521,'Base bordo CD'!A$2:A$875,B521,'Base bordo CD'!L$2:L$875,"CORTE DE CANA MECANIZADO"),0)</f>
        <v>0</v>
      </c>
      <c r="F521" s="10">
        <f>IFERROR(SUMIFS('Base bordo CD'!M$2:M$875,'Base bordo CD'!D$2:D$875,A521,'Base bordo CD'!A$2:A$875,B521,'Base bordo CD'!L$2:L$875,"MANOBRA"),0)</f>
        <v>0</v>
      </c>
      <c r="G521" s="10">
        <f>IFERROR(SUMIFS('Base bordo CD'!M$2:M$875,'Base bordo CD'!D$2:D$875,A521,'Base bordo CD'!A$2:A$875,B521,'Base bordo CD'!L$2:L$875,"DESLOCAMENTO"),0)</f>
        <v>0.11333333333333333</v>
      </c>
      <c r="H521" s="10">
        <f>IFERROR(SUMIFS('Base bordo CD'!M$2:M$875,'Base bordo CD'!D$2:D$875,A521,'Base bordo CD'!A$2:A$875,B521,'Base bordo CD'!L$2:L$875,"AGUARDANDO MANOBRA DE TRANSBORDO"),0)+IFERROR(SUMIFS('Base bordo CD'!M$2:M$875,'Base bordo CD'!D$2:D$875,A521,'Base bordo CD'!A$2:A$875,B521,'Base bordo CD'!L$2:L$875,"FALTA DE TRANSBORDO"),0)</f>
        <v>0</v>
      </c>
      <c r="I521" s="10">
        <f>IFERROR(SUMIFS('Base bordo CD'!M$2:M$875,'Base bordo CD'!D$2:D$875,A521,'Base bordo CD'!A$2:A$875,B521,'Base bordo CD'!L$2:L$875,"PARADA POR CONDICOES CLIMATICAS"),0)+IFERROR(SUMIFS('Base bordo CD'!M$2:M$875,'Base bordo CD'!D$2:D$875,A521,'Base bordo CD'!A$2:A$875,B521,'Base bordo CD'!L$2:L$875,"TEMPO INDETERMINADO"),0)</f>
        <v>23.886666666666667</v>
      </c>
      <c r="J521" s="10">
        <f>IFERROR(SUMIFS('Base bordo CD'!M$2:M$875,'Base bordo CD'!D$2:D$875,A521,'Base bordo CD'!A$2:A$875,B521,'Base bordo CD'!L$2:L$875,"LIMITAÇÃO INDÚSTRIA"),0)</f>
        <v>0</v>
      </c>
      <c r="K521" s="10">
        <f>IFERROR(SUMIFS('Base bordo CD'!M$2:M$875,'Base bordo CD'!D$2:D$875,A521,'Base bordo CD'!A$2:A$875,B521,'Base bordo CD'!L$2:L$875,"MAN CORRETIVA*"),0)+IFERROR(SUMIFS('Base bordo CD'!M$2:M$875,'Base bordo CD'!D$2:D$875,A521,'Base bordo CD'!A$2:A$875,B521,'Base bordo CD'!L$2:L$875,"AGUARDANDO MANUTENCAO*"),0)+IFERROR(SUMIFS('Base bordo CD'!M$2:M$875,'Base bordo CD'!D$2:D$875,A521,'Base bordo CD'!A$2:A$875,B521,'Base bordo CD'!L$2:L$875,"TROCA DE FAQUINHA"),0)+IFERROR(SUMIFS('Base bordo CD'!M$2:M$875,'Base bordo CD'!D$2:D$875,A521,'Base bordo CD'!A$2:A$875,B521,'Base bordo CD'!L$2:L$875,"LIMPEZA*"),0)</f>
        <v>0</v>
      </c>
      <c r="L521" s="10">
        <f>IFERROR(SUMIFS('Base bordo CD'!M$2:M$875,'Base bordo CD'!D$2:D$875,A521,'Base bordo CD'!A$2:A$875,B521,'Base bordo CD'!L$2:L$875,"PATIO - RESERVA"),0)</f>
        <v>0</v>
      </c>
      <c r="M521" s="10">
        <f>IFERROR(SUMIFS('Base bordo CD'!M$2:M$875,'Base bordo CD'!D$2:D$875,A521,'Base bordo CD'!A$2:A$875,B521,'Base bordo CD'!L$2:L$875,"SEM APONTAMENTO"),0)</f>
        <v>0</v>
      </c>
      <c r="N521" s="10">
        <f>IFERROR(SUMIFS('Base bordo CD'!M$2:M$875,'Base bordo CD'!D$2:D$875,A521,'Base bordo CD'!A$2:A$875,B521,'Base bordo CD'!L$2:L$875,"FALTA DE CAMINHÃO"),0)+IFERROR(SUMIFS('Base bordo CD'!M$2:M$875,'Base bordo CD'!D$2:D$875,A521,'Base bordo CD'!A$2:A$875,B521,'Base bordo CD'!L$2:L$875,"FALTA DE COMBUSTIVEL"),0)+IFERROR(SUMIFS('Base bordo CD'!M$2:M$875,'Base bordo CD'!D$2:D$875,A521,'Base bordo CD'!A$2:A$875,B521,'Base bordo CD'!L$2:L$875,"FALTA DE MOTORIST*"),0)</f>
        <v>0</v>
      </c>
      <c r="O521" s="10">
        <f t="shared" si="45"/>
        <v>0</v>
      </c>
      <c r="P521" s="10">
        <f>IFERROR(SUMIFS('Base bordo CD'!M$2:M$875,'Base bordo CD'!D$2:D$875,A521,'Base bordo CD'!A$2:A$875,B521),0)</f>
        <v>24</v>
      </c>
      <c r="Q521" s="10">
        <f>IFERROR(SUMIFS('Base bordo CD'!O$2:O$875,'Base bordo CD'!D$2:D$875,A521,'Base bordo CD'!A$2:A$875,B521,'Base bordo CD'!L$2:L$875,"CORTE DE CANA MECANIZADO"),0)</f>
        <v>0</v>
      </c>
      <c r="R521" s="10">
        <f>IFERROR(SUMIFS('Base bordo CD'!Q$2:Q$875,'Base bordo CD'!D$2:D$875,A521,'Base bordo CD'!A$2:A$875,B521,'Base bordo CD'!L$2:L$875,"CORTE DE CANA MECANIZADO"),0)</f>
        <v>0</v>
      </c>
      <c r="S521" s="30" t="str">
        <f t="shared" si="46"/>
        <v/>
      </c>
      <c r="T521" s="9">
        <f t="shared" si="47"/>
        <v>0</v>
      </c>
      <c r="U521" s="9">
        <f t="shared" si="48"/>
        <v>0</v>
      </c>
      <c r="V521" s="9">
        <f t="shared" si="49"/>
        <v>0.99527777777777782</v>
      </c>
    </row>
    <row r="522" spans="1:22" hidden="1" x14ac:dyDescent="0.35">
      <c r="A522" s="52">
        <v>49592</v>
      </c>
      <c r="B522" s="31">
        <v>46119</v>
      </c>
      <c r="C522" s="7" t="s">
        <v>364</v>
      </c>
      <c r="D522" s="7">
        <v>352</v>
      </c>
      <c r="E522" s="10">
        <f>IFERROR(SUMIFS('Base bordo CD'!M$2:M$875,'Base bordo CD'!D$2:D$875,A522,'Base bordo CD'!A$2:A$875,B522,'Base bordo CD'!L$2:L$875,"CORTE DE CANA MECANIZADO"),0)</f>
        <v>0</v>
      </c>
      <c r="F522" s="10">
        <f>IFERROR(SUMIFS('Base bordo CD'!M$2:M$875,'Base bordo CD'!D$2:D$875,A522,'Base bordo CD'!A$2:A$875,B522,'Base bordo CD'!L$2:L$875,"MANOBRA"),0)</f>
        <v>0</v>
      </c>
      <c r="G522" s="10">
        <f>IFERROR(SUMIFS('Base bordo CD'!M$2:M$875,'Base bordo CD'!D$2:D$875,A522,'Base bordo CD'!A$2:A$875,B522,'Base bordo CD'!L$2:L$875,"DESLOCAMENTO"),0)</f>
        <v>0.11333333333333333</v>
      </c>
      <c r="H522" s="10">
        <f>IFERROR(SUMIFS('Base bordo CD'!M$2:M$875,'Base bordo CD'!D$2:D$875,A522,'Base bordo CD'!A$2:A$875,B522,'Base bordo CD'!L$2:L$875,"AGUARDANDO MANOBRA DE TRANSBORDO"),0)+IFERROR(SUMIFS('Base bordo CD'!M$2:M$875,'Base bordo CD'!D$2:D$875,A522,'Base bordo CD'!A$2:A$875,B522,'Base bordo CD'!L$2:L$875,"FALTA DE TRANSBORDO"),0)</f>
        <v>0</v>
      </c>
      <c r="I522" s="10">
        <f>IFERROR(SUMIFS('Base bordo CD'!M$2:M$875,'Base bordo CD'!D$2:D$875,A522,'Base bordo CD'!A$2:A$875,B522,'Base bordo CD'!L$2:L$875,"PARADA POR CONDICOES CLIMATICAS"),0)+IFERROR(SUMIFS('Base bordo CD'!M$2:M$875,'Base bordo CD'!D$2:D$875,A522,'Base bordo CD'!A$2:A$875,B522,'Base bordo CD'!L$2:L$875,"TEMPO INDETERMINADO"),0)</f>
        <v>23.886666666666667</v>
      </c>
      <c r="J522" s="10">
        <f>IFERROR(SUMIFS('Base bordo CD'!M$2:M$875,'Base bordo CD'!D$2:D$875,A522,'Base bordo CD'!A$2:A$875,B522,'Base bordo CD'!L$2:L$875,"LIMITAÇÃO INDÚSTRIA"),0)</f>
        <v>0</v>
      </c>
      <c r="K522" s="10">
        <f>IFERROR(SUMIFS('Base bordo CD'!M$2:M$875,'Base bordo CD'!D$2:D$875,A522,'Base bordo CD'!A$2:A$875,B522,'Base bordo CD'!L$2:L$875,"MAN CORRETIVA*"),0)+IFERROR(SUMIFS('Base bordo CD'!M$2:M$875,'Base bordo CD'!D$2:D$875,A522,'Base bordo CD'!A$2:A$875,B522,'Base bordo CD'!L$2:L$875,"AGUARDANDO MANUTENCAO*"),0)+IFERROR(SUMIFS('Base bordo CD'!M$2:M$875,'Base bordo CD'!D$2:D$875,A522,'Base bordo CD'!A$2:A$875,B522,'Base bordo CD'!L$2:L$875,"TROCA DE FAQUINHA"),0)+IFERROR(SUMIFS('Base bordo CD'!M$2:M$875,'Base bordo CD'!D$2:D$875,A522,'Base bordo CD'!A$2:A$875,B522,'Base bordo CD'!L$2:L$875,"LIMPEZA*"),0)</f>
        <v>0</v>
      </c>
      <c r="L522" s="10">
        <f>IFERROR(SUMIFS('Base bordo CD'!M$2:M$875,'Base bordo CD'!D$2:D$875,A522,'Base bordo CD'!A$2:A$875,B522,'Base bordo CD'!L$2:L$875,"PATIO - RESERVA"),0)</f>
        <v>0</v>
      </c>
      <c r="M522" s="10">
        <f>IFERROR(SUMIFS('Base bordo CD'!M$2:M$875,'Base bordo CD'!D$2:D$875,A522,'Base bordo CD'!A$2:A$875,B522,'Base bordo CD'!L$2:L$875,"SEM APONTAMENTO"),0)</f>
        <v>0</v>
      </c>
      <c r="N522" s="10">
        <f>IFERROR(SUMIFS('Base bordo CD'!M$2:M$875,'Base bordo CD'!D$2:D$875,A522,'Base bordo CD'!A$2:A$875,B522,'Base bordo CD'!L$2:L$875,"FALTA DE CAMINHÃO"),0)+IFERROR(SUMIFS('Base bordo CD'!M$2:M$875,'Base bordo CD'!D$2:D$875,A522,'Base bordo CD'!A$2:A$875,B522,'Base bordo CD'!L$2:L$875,"FALTA DE COMBUSTIVEL"),0)+IFERROR(SUMIFS('Base bordo CD'!M$2:M$875,'Base bordo CD'!D$2:D$875,A522,'Base bordo CD'!A$2:A$875,B522,'Base bordo CD'!L$2:L$875,"FALTA DE MOTORIST*"),0)</f>
        <v>0</v>
      </c>
      <c r="O522" s="10">
        <f t="shared" si="45"/>
        <v>0</v>
      </c>
      <c r="P522" s="10">
        <f>IFERROR(SUMIFS('Base bordo CD'!M$2:M$875,'Base bordo CD'!D$2:D$875,A522,'Base bordo CD'!A$2:A$875,B522),0)</f>
        <v>24</v>
      </c>
      <c r="Q522" s="10">
        <f>IFERROR(SUMIFS('Base bordo CD'!O$2:O$875,'Base bordo CD'!D$2:D$875,A522,'Base bordo CD'!A$2:A$875,B522,'Base bordo CD'!L$2:L$875,"CORTE DE CANA MECANIZADO"),0)</f>
        <v>0</v>
      </c>
      <c r="R522" s="10">
        <f>IFERROR(SUMIFS('Base bordo CD'!Q$2:Q$875,'Base bordo CD'!D$2:D$875,A522,'Base bordo CD'!A$2:A$875,B522,'Base bordo CD'!L$2:L$875,"CORTE DE CANA MECANIZADO"),0)</f>
        <v>0</v>
      </c>
      <c r="S522" s="30" t="str">
        <f t="shared" si="46"/>
        <v/>
      </c>
      <c r="T522" s="9">
        <f t="shared" si="47"/>
        <v>0</v>
      </c>
      <c r="U522" s="9">
        <f t="shared" si="48"/>
        <v>0</v>
      </c>
      <c r="V522" s="9">
        <f t="shared" si="49"/>
        <v>0.99527777777777782</v>
      </c>
    </row>
    <row r="523" spans="1:22" hidden="1" x14ac:dyDescent="0.35">
      <c r="A523" s="52">
        <v>49592</v>
      </c>
      <c r="B523" s="31">
        <v>46119</v>
      </c>
      <c r="C523" s="7" t="s">
        <v>364</v>
      </c>
      <c r="D523" s="7">
        <v>352</v>
      </c>
      <c r="E523" s="10">
        <f>IFERROR(SUMIFS('Base bordo CD'!M$2:M$875,'Base bordo CD'!D$2:D$875,A523,'Base bordo CD'!A$2:A$875,B523,'Base bordo CD'!L$2:L$875,"CORTE DE CANA MECANIZADO"),0)</f>
        <v>0</v>
      </c>
      <c r="F523" s="10">
        <f>IFERROR(SUMIFS('Base bordo CD'!M$2:M$875,'Base bordo CD'!D$2:D$875,A523,'Base bordo CD'!A$2:A$875,B523,'Base bordo CD'!L$2:L$875,"MANOBRA"),0)</f>
        <v>0</v>
      </c>
      <c r="G523" s="10">
        <f>IFERROR(SUMIFS('Base bordo CD'!M$2:M$875,'Base bordo CD'!D$2:D$875,A523,'Base bordo CD'!A$2:A$875,B523,'Base bordo CD'!L$2:L$875,"DESLOCAMENTO"),0)</f>
        <v>0.11333333333333333</v>
      </c>
      <c r="H523" s="10">
        <f>IFERROR(SUMIFS('Base bordo CD'!M$2:M$875,'Base bordo CD'!D$2:D$875,A523,'Base bordo CD'!A$2:A$875,B523,'Base bordo CD'!L$2:L$875,"AGUARDANDO MANOBRA DE TRANSBORDO"),0)+IFERROR(SUMIFS('Base bordo CD'!M$2:M$875,'Base bordo CD'!D$2:D$875,A523,'Base bordo CD'!A$2:A$875,B523,'Base bordo CD'!L$2:L$875,"FALTA DE TRANSBORDO"),0)</f>
        <v>0</v>
      </c>
      <c r="I523" s="10">
        <f>IFERROR(SUMIFS('Base bordo CD'!M$2:M$875,'Base bordo CD'!D$2:D$875,A523,'Base bordo CD'!A$2:A$875,B523,'Base bordo CD'!L$2:L$875,"PARADA POR CONDICOES CLIMATICAS"),0)+IFERROR(SUMIFS('Base bordo CD'!M$2:M$875,'Base bordo CD'!D$2:D$875,A523,'Base bordo CD'!A$2:A$875,B523,'Base bordo CD'!L$2:L$875,"TEMPO INDETERMINADO"),0)</f>
        <v>23.886666666666667</v>
      </c>
      <c r="J523" s="10">
        <f>IFERROR(SUMIFS('Base bordo CD'!M$2:M$875,'Base bordo CD'!D$2:D$875,A523,'Base bordo CD'!A$2:A$875,B523,'Base bordo CD'!L$2:L$875,"LIMITAÇÃO INDÚSTRIA"),0)</f>
        <v>0</v>
      </c>
      <c r="K523" s="10">
        <f>IFERROR(SUMIFS('Base bordo CD'!M$2:M$875,'Base bordo CD'!D$2:D$875,A523,'Base bordo CD'!A$2:A$875,B523,'Base bordo CD'!L$2:L$875,"MAN CORRETIVA*"),0)+IFERROR(SUMIFS('Base bordo CD'!M$2:M$875,'Base bordo CD'!D$2:D$875,A523,'Base bordo CD'!A$2:A$875,B523,'Base bordo CD'!L$2:L$875,"AGUARDANDO MANUTENCAO*"),0)+IFERROR(SUMIFS('Base bordo CD'!M$2:M$875,'Base bordo CD'!D$2:D$875,A523,'Base bordo CD'!A$2:A$875,B523,'Base bordo CD'!L$2:L$875,"TROCA DE FAQUINHA"),0)+IFERROR(SUMIFS('Base bordo CD'!M$2:M$875,'Base bordo CD'!D$2:D$875,A523,'Base bordo CD'!A$2:A$875,B523,'Base bordo CD'!L$2:L$875,"LIMPEZA*"),0)</f>
        <v>0</v>
      </c>
      <c r="L523" s="10">
        <f>IFERROR(SUMIFS('Base bordo CD'!M$2:M$875,'Base bordo CD'!D$2:D$875,A523,'Base bordo CD'!A$2:A$875,B523,'Base bordo CD'!L$2:L$875,"PATIO - RESERVA"),0)</f>
        <v>0</v>
      </c>
      <c r="M523" s="10">
        <f>IFERROR(SUMIFS('Base bordo CD'!M$2:M$875,'Base bordo CD'!D$2:D$875,A523,'Base bordo CD'!A$2:A$875,B523,'Base bordo CD'!L$2:L$875,"SEM APONTAMENTO"),0)</f>
        <v>0</v>
      </c>
      <c r="N523" s="10">
        <f>IFERROR(SUMIFS('Base bordo CD'!M$2:M$875,'Base bordo CD'!D$2:D$875,A523,'Base bordo CD'!A$2:A$875,B523,'Base bordo CD'!L$2:L$875,"FALTA DE CAMINHÃO"),0)+IFERROR(SUMIFS('Base bordo CD'!M$2:M$875,'Base bordo CD'!D$2:D$875,A523,'Base bordo CD'!A$2:A$875,B523,'Base bordo CD'!L$2:L$875,"FALTA DE COMBUSTIVEL"),0)+IFERROR(SUMIFS('Base bordo CD'!M$2:M$875,'Base bordo CD'!D$2:D$875,A523,'Base bordo CD'!A$2:A$875,B523,'Base bordo CD'!L$2:L$875,"FALTA DE MOTORIST*"),0)</f>
        <v>0</v>
      </c>
      <c r="O523" s="10">
        <f t="shared" si="45"/>
        <v>0</v>
      </c>
      <c r="P523" s="10">
        <f>IFERROR(SUMIFS('Base bordo CD'!M$2:M$875,'Base bordo CD'!D$2:D$875,A523,'Base bordo CD'!A$2:A$875,B523),0)</f>
        <v>24</v>
      </c>
      <c r="Q523" s="10">
        <f>IFERROR(SUMIFS('Base bordo CD'!O$2:O$875,'Base bordo CD'!D$2:D$875,A523,'Base bordo CD'!A$2:A$875,B523,'Base bordo CD'!L$2:L$875,"CORTE DE CANA MECANIZADO"),0)</f>
        <v>0</v>
      </c>
      <c r="R523" s="10">
        <f>IFERROR(SUMIFS('Base bordo CD'!Q$2:Q$875,'Base bordo CD'!D$2:D$875,A523,'Base bordo CD'!A$2:A$875,B523,'Base bordo CD'!L$2:L$875,"CORTE DE CANA MECANIZADO"),0)</f>
        <v>0</v>
      </c>
      <c r="S523" s="30" t="str">
        <f t="shared" si="46"/>
        <v/>
      </c>
      <c r="T523" s="9">
        <f t="shared" si="47"/>
        <v>0</v>
      </c>
      <c r="U523" s="9">
        <f t="shared" si="48"/>
        <v>0</v>
      </c>
      <c r="V523" s="9">
        <f t="shared" si="49"/>
        <v>0.99527777777777782</v>
      </c>
    </row>
    <row r="524" spans="1:22" hidden="1" x14ac:dyDescent="0.35">
      <c r="A524" s="52">
        <v>49592</v>
      </c>
      <c r="B524" s="31">
        <v>46119</v>
      </c>
      <c r="C524" s="7" t="s">
        <v>364</v>
      </c>
      <c r="D524" s="7">
        <v>352</v>
      </c>
      <c r="E524" s="10">
        <f>IFERROR(SUMIFS('Base bordo CD'!M$2:M$875,'Base bordo CD'!D$2:D$875,A524,'Base bordo CD'!A$2:A$875,B524,'Base bordo CD'!L$2:L$875,"CORTE DE CANA MECANIZADO"),0)</f>
        <v>0</v>
      </c>
      <c r="F524" s="10">
        <f>IFERROR(SUMIFS('Base bordo CD'!M$2:M$875,'Base bordo CD'!D$2:D$875,A524,'Base bordo CD'!A$2:A$875,B524,'Base bordo CD'!L$2:L$875,"MANOBRA"),0)</f>
        <v>0</v>
      </c>
      <c r="G524" s="10">
        <f>IFERROR(SUMIFS('Base bordo CD'!M$2:M$875,'Base bordo CD'!D$2:D$875,A524,'Base bordo CD'!A$2:A$875,B524,'Base bordo CD'!L$2:L$875,"DESLOCAMENTO"),0)</f>
        <v>0.11333333333333333</v>
      </c>
      <c r="H524" s="10">
        <f>IFERROR(SUMIFS('Base bordo CD'!M$2:M$875,'Base bordo CD'!D$2:D$875,A524,'Base bordo CD'!A$2:A$875,B524,'Base bordo CD'!L$2:L$875,"AGUARDANDO MANOBRA DE TRANSBORDO"),0)+IFERROR(SUMIFS('Base bordo CD'!M$2:M$875,'Base bordo CD'!D$2:D$875,A524,'Base bordo CD'!A$2:A$875,B524,'Base bordo CD'!L$2:L$875,"FALTA DE TRANSBORDO"),0)</f>
        <v>0</v>
      </c>
      <c r="I524" s="10">
        <f>IFERROR(SUMIFS('Base bordo CD'!M$2:M$875,'Base bordo CD'!D$2:D$875,A524,'Base bordo CD'!A$2:A$875,B524,'Base bordo CD'!L$2:L$875,"PARADA POR CONDICOES CLIMATICAS"),0)+IFERROR(SUMIFS('Base bordo CD'!M$2:M$875,'Base bordo CD'!D$2:D$875,A524,'Base bordo CD'!A$2:A$875,B524,'Base bordo CD'!L$2:L$875,"TEMPO INDETERMINADO"),0)</f>
        <v>23.886666666666667</v>
      </c>
      <c r="J524" s="10">
        <f>IFERROR(SUMIFS('Base bordo CD'!M$2:M$875,'Base bordo CD'!D$2:D$875,A524,'Base bordo CD'!A$2:A$875,B524,'Base bordo CD'!L$2:L$875,"LIMITAÇÃO INDÚSTRIA"),0)</f>
        <v>0</v>
      </c>
      <c r="K524" s="10">
        <f>IFERROR(SUMIFS('Base bordo CD'!M$2:M$875,'Base bordo CD'!D$2:D$875,A524,'Base bordo CD'!A$2:A$875,B524,'Base bordo CD'!L$2:L$875,"MAN CORRETIVA*"),0)+IFERROR(SUMIFS('Base bordo CD'!M$2:M$875,'Base bordo CD'!D$2:D$875,A524,'Base bordo CD'!A$2:A$875,B524,'Base bordo CD'!L$2:L$875,"AGUARDANDO MANUTENCAO*"),0)+IFERROR(SUMIFS('Base bordo CD'!M$2:M$875,'Base bordo CD'!D$2:D$875,A524,'Base bordo CD'!A$2:A$875,B524,'Base bordo CD'!L$2:L$875,"TROCA DE FAQUINHA"),0)+IFERROR(SUMIFS('Base bordo CD'!M$2:M$875,'Base bordo CD'!D$2:D$875,A524,'Base bordo CD'!A$2:A$875,B524,'Base bordo CD'!L$2:L$875,"LIMPEZA*"),0)</f>
        <v>0</v>
      </c>
      <c r="L524" s="10">
        <f>IFERROR(SUMIFS('Base bordo CD'!M$2:M$875,'Base bordo CD'!D$2:D$875,A524,'Base bordo CD'!A$2:A$875,B524,'Base bordo CD'!L$2:L$875,"PATIO - RESERVA"),0)</f>
        <v>0</v>
      </c>
      <c r="M524" s="10">
        <f>IFERROR(SUMIFS('Base bordo CD'!M$2:M$875,'Base bordo CD'!D$2:D$875,A524,'Base bordo CD'!A$2:A$875,B524,'Base bordo CD'!L$2:L$875,"SEM APONTAMENTO"),0)</f>
        <v>0</v>
      </c>
      <c r="N524" s="10">
        <f>IFERROR(SUMIFS('Base bordo CD'!M$2:M$875,'Base bordo CD'!D$2:D$875,A524,'Base bordo CD'!A$2:A$875,B524,'Base bordo CD'!L$2:L$875,"FALTA DE CAMINHÃO"),0)+IFERROR(SUMIFS('Base bordo CD'!M$2:M$875,'Base bordo CD'!D$2:D$875,A524,'Base bordo CD'!A$2:A$875,B524,'Base bordo CD'!L$2:L$875,"FALTA DE COMBUSTIVEL"),0)+IFERROR(SUMIFS('Base bordo CD'!M$2:M$875,'Base bordo CD'!D$2:D$875,A524,'Base bordo CD'!A$2:A$875,B524,'Base bordo CD'!L$2:L$875,"FALTA DE MOTORIST*"),0)</f>
        <v>0</v>
      </c>
      <c r="O524" s="10">
        <f t="shared" si="45"/>
        <v>0</v>
      </c>
      <c r="P524" s="10">
        <f>IFERROR(SUMIFS('Base bordo CD'!M$2:M$875,'Base bordo CD'!D$2:D$875,A524,'Base bordo CD'!A$2:A$875,B524),0)</f>
        <v>24</v>
      </c>
      <c r="Q524" s="10">
        <f>IFERROR(SUMIFS('Base bordo CD'!O$2:O$875,'Base bordo CD'!D$2:D$875,A524,'Base bordo CD'!A$2:A$875,B524,'Base bordo CD'!L$2:L$875,"CORTE DE CANA MECANIZADO"),0)</f>
        <v>0</v>
      </c>
      <c r="R524" s="10">
        <f>IFERROR(SUMIFS('Base bordo CD'!Q$2:Q$875,'Base bordo CD'!D$2:D$875,A524,'Base bordo CD'!A$2:A$875,B524,'Base bordo CD'!L$2:L$875,"CORTE DE CANA MECANIZADO"),0)</f>
        <v>0</v>
      </c>
      <c r="S524" s="30" t="str">
        <f t="shared" si="46"/>
        <v/>
      </c>
      <c r="T524" s="9">
        <f t="shared" si="47"/>
        <v>0</v>
      </c>
      <c r="U524" s="9">
        <f t="shared" si="48"/>
        <v>0</v>
      </c>
      <c r="V524" s="9">
        <f t="shared" si="49"/>
        <v>0.99527777777777782</v>
      </c>
    </row>
    <row r="525" spans="1:22" hidden="1" x14ac:dyDescent="0.35">
      <c r="A525" s="52">
        <v>49592</v>
      </c>
      <c r="B525" s="31">
        <v>46119</v>
      </c>
      <c r="C525" s="7" t="s">
        <v>364</v>
      </c>
      <c r="D525" s="7">
        <v>352</v>
      </c>
      <c r="E525" s="10">
        <f>IFERROR(SUMIFS('Base bordo CD'!M$2:M$875,'Base bordo CD'!D$2:D$875,A525,'Base bordo CD'!A$2:A$875,B525,'Base bordo CD'!L$2:L$875,"CORTE DE CANA MECANIZADO"),0)</f>
        <v>0</v>
      </c>
      <c r="F525" s="10">
        <f>IFERROR(SUMIFS('Base bordo CD'!M$2:M$875,'Base bordo CD'!D$2:D$875,A525,'Base bordo CD'!A$2:A$875,B525,'Base bordo CD'!L$2:L$875,"MANOBRA"),0)</f>
        <v>0</v>
      </c>
      <c r="G525" s="10">
        <f>IFERROR(SUMIFS('Base bordo CD'!M$2:M$875,'Base bordo CD'!D$2:D$875,A525,'Base bordo CD'!A$2:A$875,B525,'Base bordo CD'!L$2:L$875,"DESLOCAMENTO"),0)</f>
        <v>0.11333333333333333</v>
      </c>
      <c r="H525" s="10">
        <f>IFERROR(SUMIFS('Base bordo CD'!M$2:M$875,'Base bordo CD'!D$2:D$875,A525,'Base bordo CD'!A$2:A$875,B525,'Base bordo CD'!L$2:L$875,"AGUARDANDO MANOBRA DE TRANSBORDO"),0)+IFERROR(SUMIFS('Base bordo CD'!M$2:M$875,'Base bordo CD'!D$2:D$875,A525,'Base bordo CD'!A$2:A$875,B525,'Base bordo CD'!L$2:L$875,"FALTA DE TRANSBORDO"),0)</f>
        <v>0</v>
      </c>
      <c r="I525" s="10">
        <f>IFERROR(SUMIFS('Base bordo CD'!M$2:M$875,'Base bordo CD'!D$2:D$875,A525,'Base bordo CD'!A$2:A$875,B525,'Base bordo CD'!L$2:L$875,"PARADA POR CONDICOES CLIMATICAS"),0)+IFERROR(SUMIFS('Base bordo CD'!M$2:M$875,'Base bordo CD'!D$2:D$875,A525,'Base bordo CD'!A$2:A$875,B525,'Base bordo CD'!L$2:L$875,"TEMPO INDETERMINADO"),0)</f>
        <v>23.886666666666667</v>
      </c>
      <c r="J525" s="10">
        <f>IFERROR(SUMIFS('Base bordo CD'!M$2:M$875,'Base bordo CD'!D$2:D$875,A525,'Base bordo CD'!A$2:A$875,B525,'Base bordo CD'!L$2:L$875,"LIMITAÇÃO INDÚSTRIA"),0)</f>
        <v>0</v>
      </c>
      <c r="K525" s="10">
        <f>IFERROR(SUMIFS('Base bordo CD'!M$2:M$875,'Base bordo CD'!D$2:D$875,A525,'Base bordo CD'!A$2:A$875,B525,'Base bordo CD'!L$2:L$875,"MAN CORRETIVA*"),0)+IFERROR(SUMIFS('Base bordo CD'!M$2:M$875,'Base bordo CD'!D$2:D$875,A525,'Base bordo CD'!A$2:A$875,B525,'Base bordo CD'!L$2:L$875,"AGUARDANDO MANUTENCAO*"),0)+IFERROR(SUMIFS('Base bordo CD'!M$2:M$875,'Base bordo CD'!D$2:D$875,A525,'Base bordo CD'!A$2:A$875,B525,'Base bordo CD'!L$2:L$875,"TROCA DE FAQUINHA"),0)+IFERROR(SUMIFS('Base bordo CD'!M$2:M$875,'Base bordo CD'!D$2:D$875,A525,'Base bordo CD'!A$2:A$875,B525,'Base bordo CD'!L$2:L$875,"LIMPEZA*"),0)</f>
        <v>0</v>
      </c>
      <c r="L525" s="10">
        <f>IFERROR(SUMIFS('Base bordo CD'!M$2:M$875,'Base bordo CD'!D$2:D$875,A525,'Base bordo CD'!A$2:A$875,B525,'Base bordo CD'!L$2:L$875,"PATIO - RESERVA"),0)</f>
        <v>0</v>
      </c>
      <c r="M525" s="10">
        <f>IFERROR(SUMIFS('Base bordo CD'!M$2:M$875,'Base bordo CD'!D$2:D$875,A525,'Base bordo CD'!A$2:A$875,B525,'Base bordo CD'!L$2:L$875,"SEM APONTAMENTO"),0)</f>
        <v>0</v>
      </c>
      <c r="N525" s="10">
        <f>IFERROR(SUMIFS('Base bordo CD'!M$2:M$875,'Base bordo CD'!D$2:D$875,A525,'Base bordo CD'!A$2:A$875,B525,'Base bordo CD'!L$2:L$875,"FALTA DE CAMINHÃO"),0)+IFERROR(SUMIFS('Base bordo CD'!M$2:M$875,'Base bordo CD'!D$2:D$875,A525,'Base bordo CD'!A$2:A$875,B525,'Base bordo CD'!L$2:L$875,"FALTA DE COMBUSTIVEL"),0)+IFERROR(SUMIFS('Base bordo CD'!M$2:M$875,'Base bordo CD'!D$2:D$875,A525,'Base bordo CD'!A$2:A$875,B525,'Base bordo CD'!L$2:L$875,"FALTA DE MOTORIST*"),0)</f>
        <v>0</v>
      </c>
      <c r="O525" s="10">
        <f t="shared" si="45"/>
        <v>0</v>
      </c>
      <c r="P525" s="10">
        <f>IFERROR(SUMIFS('Base bordo CD'!M$2:M$875,'Base bordo CD'!D$2:D$875,A525,'Base bordo CD'!A$2:A$875,B525),0)</f>
        <v>24</v>
      </c>
      <c r="Q525" s="10">
        <f>IFERROR(SUMIFS('Base bordo CD'!O$2:O$875,'Base bordo CD'!D$2:D$875,A525,'Base bordo CD'!A$2:A$875,B525,'Base bordo CD'!L$2:L$875,"CORTE DE CANA MECANIZADO"),0)</f>
        <v>0</v>
      </c>
      <c r="R525" s="10">
        <f>IFERROR(SUMIFS('Base bordo CD'!Q$2:Q$875,'Base bordo CD'!D$2:D$875,A525,'Base bordo CD'!A$2:A$875,B525,'Base bordo CD'!L$2:L$875,"CORTE DE CANA MECANIZADO"),0)</f>
        <v>0</v>
      </c>
      <c r="S525" s="30" t="str">
        <f t="shared" si="46"/>
        <v/>
      </c>
      <c r="T525" s="9">
        <f t="shared" si="47"/>
        <v>0</v>
      </c>
      <c r="U525" s="9">
        <f t="shared" si="48"/>
        <v>0</v>
      </c>
      <c r="V525" s="9">
        <f t="shared" si="49"/>
        <v>0.99527777777777782</v>
      </c>
    </row>
    <row r="526" spans="1:22" hidden="1" x14ac:dyDescent="0.35">
      <c r="A526" s="52">
        <v>49593</v>
      </c>
      <c r="B526" s="31">
        <v>46119</v>
      </c>
      <c r="C526" s="7" t="s">
        <v>321</v>
      </c>
      <c r="D526" s="7">
        <v>351</v>
      </c>
      <c r="E526" s="10">
        <f>IFERROR(SUMIFS('Base bordo CD'!M$2:M$875,'Base bordo CD'!D$2:D$875,A526,'Base bordo CD'!A$2:A$875,B526,'Base bordo CD'!L$2:L$875,"CORTE DE CANA MECANIZADO"),0)</f>
        <v>0</v>
      </c>
      <c r="F526" s="10">
        <f>IFERROR(SUMIFS('Base bordo CD'!M$2:M$875,'Base bordo CD'!D$2:D$875,A526,'Base bordo CD'!A$2:A$875,B526,'Base bordo CD'!L$2:L$875,"MANOBRA"),0)</f>
        <v>0</v>
      </c>
      <c r="G526" s="10">
        <f>IFERROR(SUMIFS('Base bordo CD'!M$2:M$875,'Base bordo CD'!D$2:D$875,A526,'Base bordo CD'!A$2:A$875,B526,'Base bordo CD'!L$2:L$875,"DESLOCAMENTO"),0)</f>
        <v>0.18916666666666665</v>
      </c>
      <c r="H526" s="10">
        <f>IFERROR(SUMIFS('Base bordo CD'!M$2:M$875,'Base bordo CD'!D$2:D$875,A526,'Base bordo CD'!A$2:A$875,B526,'Base bordo CD'!L$2:L$875,"AGUARDANDO MANOBRA DE TRANSBORDO"),0)+IFERROR(SUMIFS('Base bordo CD'!M$2:M$875,'Base bordo CD'!D$2:D$875,A526,'Base bordo CD'!A$2:A$875,B526,'Base bordo CD'!L$2:L$875,"FALTA DE TRANSBORDO"),0)</f>
        <v>0</v>
      </c>
      <c r="I526" s="10">
        <f>IFERROR(SUMIFS('Base bordo CD'!M$2:M$875,'Base bordo CD'!D$2:D$875,A526,'Base bordo CD'!A$2:A$875,B526,'Base bordo CD'!L$2:L$875,"PARADA POR CONDICOES CLIMATICAS"),0)+IFERROR(SUMIFS('Base bordo CD'!M$2:M$875,'Base bordo CD'!D$2:D$875,A526,'Base bordo CD'!A$2:A$875,B526,'Base bordo CD'!L$2:L$875,"TEMPO INDETERMINADO"),0)</f>
        <v>23.810833333333335</v>
      </c>
      <c r="J526" s="10">
        <f>IFERROR(SUMIFS('Base bordo CD'!M$2:M$875,'Base bordo CD'!D$2:D$875,A526,'Base bordo CD'!A$2:A$875,B526,'Base bordo CD'!L$2:L$875,"LIMITAÇÃO INDÚSTRIA"),0)</f>
        <v>0</v>
      </c>
      <c r="K526" s="10">
        <f>IFERROR(SUMIFS('Base bordo CD'!M$2:M$875,'Base bordo CD'!D$2:D$875,A526,'Base bordo CD'!A$2:A$875,B526,'Base bordo CD'!L$2:L$875,"MAN CORRETIVA*"),0)+IFERROR(SUMIFS('Base bordo CD'!M$2:M$875,'Base bordo CD'!D$2:D$875,A526,'Base bordo CD'!A$2:A$875,B526,'Base bordo CD'!L$2:L$875,"AGUARDANDO MANUTENCAO*"),0)+IFERROR(SUMIFS('Base bordo CD'!M$2:M$875,'Base bordo CD'!D$2:D$875,A526,'Base bordo CD'!A$2:A$875,B526,'Base bordo CD'!L$2:L$875,"TROCA DE FAQUINHA"),0)+IFERROR(SUMIFS('Base bordo CD'!M$2:M$875,'Base bordo CD'!D$2:D$875,A526,'Base bordo CD'!A$2:A$875,B526,'Base bordo CD'!L$2:L$875,"LIMPEZA*"),0)</f>
        <v>0</v>
      </c>
      <c r="L526" s="10">
        <f>IFERROR(SUMIFS('Base bordo CD'!M$2:M$875,'Base bordo CD'!D$2:D$875,A526,'Base bordo CD'!A$2:A$875,B526,'Base bordo CD'!L$2:L$875,"PATIO - RESERVA"),0)</f>
        <v>0</v>
      </c>
      <c r="M526" s="10">
        <f>IFERROR(SUMIFS('Base bordo CD'!M$2:M$875,'Base bordo CD'!D$2:D$875,A526,'Base bordo CD'!A$2:A$875,B526,'Base bordo CD'!L$2:L$875,"SEM APONTAMENTO"),0)</f>
        <v>0</v>
      </c>
      <c r="N526" s="10">
        <f>IFERROR(SUMIFS('Base bordo CD'!M$2:M$875,'Base bordo CD'!D$2:D$875,A526,'Base bordo CD'!A$2:A$875,B526,'Base bordo CD'!L$2:L$875,"FALTA DE CAMINHÃO"),0)+IFERROR(SUMIFS('Base bordo CD'!M$2:M$875,'Base bordo CD'!D$2:D$875,A526,'Base bordo CD'!A$2:A$875,B526,'Base bordo CD'!L$2:L$875,"FALTA DE COMBUSTIVEL"),0)+IFERROR(SUMIFS('Base bordo CD'!M$2:M$875,'Base bordo CD'!D$2:D$875,A526,'Base bordo CD'!A$2:A$875,B526,'Base bordo CD'!L$2:L$875,"FALTA DE MOTORIST*"),0)</f>
        <v>0</v>
      </c>
      <c r="O526" s="10">
        <f t="shared" si="45"/>
        <v>0</v>
      </c>
      <c r="P526" s="10">
        <f>IFERROR(SUMIFS('Base bordo CD'!M$2:M$875,'Base bordo CD'!D$2:D$875,A526,'Base bordo CD'!A$2:A$875,B526),0)</f>
        <v>24</v>
      </c>
      <c r="Q526" s="10">
        <f>IFERROR(SUMIFS('Base bordo CD'!O$2:O$875,'Base bordo CD'!D$2:D$875,A526,'Base bordo CD'!A$2:A$875,B526,'Base bordo CD'!L$2:L$875,"CORTE DE CANA MECANIZADO"),0)</f>
        <v>0</v>
      </c>
      <c r="R526" s="10">
        <f>IFERROR(SUMIFS('Base bordo CD'!Q$2:Q$875,'Base bordo CD'!D$2:D$875,A526,'Base bordo CD'!A$2:A$875,B526,'Base bordo CD'!L$2:L$875,"CORTE DE CANA MECANIZADO"),0)</f>
        <v>0</v>
      </c>
      <c r="S526" s="30" t="str">
        <f t="shared" si="46"/>
        <v/>
      </c>
      <c r="T526" s="9">
        <f t="shared" si="47"/>
        <v>0</v>
      </c>
      <c r="U526" s="9">
        <f t="shared" si="48"/>
        <v>0</v>
      </c>
      <c r="V526" s="9">
        <f t="shared" si="49"/>
        <v>0.99211805555555554</v>
      </c>
    </row>
    <row r="527" spans="1:22" hidden="1" x14ac:dyDescent="0.35">
      <c r="A527" s="52">
        <v>49593</v>
      </c>
      <c r="B527" s="31">
        <v>46119</v>
      </c>
      <c r="C527" s="7" t="s">
        <v>321</v>
      </c>
      <c r="D527" s="7">
        <v>351</v>
      </c>
      <c r="E527" s="10">
        <f>IFERROR(SUMIFS('Base bordo CD'!M$2:M$875,'Base bordo CD'!D$2:D$875,A527,'Base bordo CD'!A$2:A$875,B527,'Base bordo CD'!L$2:L$875,"CORTE DE CANA MECANIZADO"),0)</f>
        <v>0</v>
      </c>
      <c r="F527" s="10">
        <f>IFERROR(SUMIFS('Base bordo CD'!M$2:M$875,'Base bordo CD'!D$2:D$875,A527,'Base bordo CD'!A$2:A$875,B527,'Base bordo CD'!L$2:L$875,"MANOBRA"),0)</f>
        <v>0</v>
      </c>
      <c r="G527" s="10">
        <f>IFERROR(SUMIFS('Base bordo CD'!M$2:M$875,'Base bordo CD'!D$2:D$875,A527,'Base bordo CD'!A$2:A$875,B527,'Base bordo CD'!L$2:L$875,"DESLOCAMENTO"),0)</f>
        <v>0.18916666666666665</v>
      </c>
      <c r="H527" s="10">
        <f>IFERROR(SUMIFS('Base bordo CD'!M$2:M$875,'Base bordo CD'!D$2:D$875,A527,'Base bordo CD'!A$2:A$875,B527,'Base bordo CD'!L$2:L$875,"AGUARDANDO MANOBRA DE TRANSBORDO"),0)+IFERROR(SUMIFS('Base bordo CD'!M$2:M$875,'Base bordo CD'!D$2:D$875,A527,'Base bordo CD'!A$2:A$875,B527,'Base bordo CD'!L$2:L$875,"FALTA DE TRANSBORDO"),0)</f>
        <v>0</v>
      </c>
      <c r="I527" s="10">
        <f>IFERROR(SUMIFS('Base bordo CD'!M$2:M$875,'Base bordo CD'!D$2:D$875,A527,'Base bordo CD'!A$2:A$875,B527,'Base bordo CD'!L$2:L$875,"PARADA POR CONDICOES CLIMATICAS"),0)+IFERROR(SUMIFS('Base bordo CD'!M$2:M$875,'Base bordo CD'!D$2:D$875,A527,'Base bordo CD'!A$2:A$875,B527,'Base bordo CD'!L$2:L$875,"TEMPO INDETERMINADO"),0)</f>
        <v>23.810833333333335</v>
      </c>
      <c r="J527" s="10">
        <f>IFERROR(SUMIFS('Base bordo CD'!M$2:M$875,'Base bordo CD'!D$2:D$875,A527,'Base bordo CD'!A$2:A$875,B527,'Base bordo CD'!L$2:L$875,"LIMITAÇÃO INDÚSTRIA"),0)</f>
        <v>0</v>
      </c>
      <c r="K527" s="10">
        <f>IFERROR(SUMIFS('Base bordo CD'!M$2:M$875,'Base bordo CD'!D$2:D$875,A527,'Base bordo CD'!A$2:A$875,B527,'Base bordo CD'!L$2:L$875,"MAN CORRETIVA*"),0)+IFERROR(SUMIFS('Base bordo CD'!M$2:M$875,'Base bordo CD'!D$2:D$875,A527,'Base bordo CD'!A$2:A$875,B527,'Base bordo CD'!L$2:L$875,"AGUARDANDO MANUTENCAO*"),0)+IFERROR(SUMIFS('Base bordo CD'!M$2:M$875,'Base bordo CD'!D$2:D$875,A527,'Base bordo CD'!A$2:A$875,B527,'Base bordo CD'!L$2:L$875,"TROCA DE FAQUINHA"),0)+IFERROR(SUMIFS('Base bordo CD'!M$2:M$875,'Base bordo CD'!D$2:D$875,A527,'Base bordo CD'!A$2:A$875,B527,'Base bordo CD'!L$2:L$875,"LIMPEZA*"),0)</f>
        <v>0</v>
      </c>
      <c r="L527" s="10">
        <f>IFERROR(SUMIFS('Base bordo CD'!M$2:M$875,'Base bordo CD'!D$2:D$875,A527,'Base bordo CD'!A$2:A$875,B527,'Base bordo CD'!L$2:L$875,"PATIO - RESERVA"),0)</f>
        <v>0</v>
      </c>
      <c r="M527" s="10">
        <f>IFERROR(SUMIFS('Base bordo CD'!M$2:M$875,'Base bordo CD'!D$2:D$875,A527,'Base bordo CD'!A$2:A$875,B527,'Base bordo CD'!L$2:L$875,"SEM APONTAMENTO"),0)</f>
        <v>0</v>
      </c>
      <c r="N527" s="10">
        <f>IFERROR(SUMIFS('Base bordo CD'!M$2:M$875,'Base bordo CD'!D$2:D$875,A527,'Base bordo CD'!A$2:A$875,B527,'Base bordo CD'!L$2:L$875,"FALTA DE CAMINHÃO"),0)+IFERROR(SUMIFS('Base bordo CD'!M$2:M$875,'Base bordo CD'!D$2:D$875,A527,'Base bordo CD'!A$2:A$875,B527,'Base bordo CD'!L$2:L$875,"FALTA DE COMBUSTIVEL"),0)+IFERROR(SUMIFS('Base bordo CD'!M$2:M$875,'Base bordo CD'!D$2:D$875,A527,'Base bordo CD'!A$2:A$875,B527,'Base bordo CD'!L$2:L$875,"FALTA DE MOTORIST*"),0)</f>
        <v>0</v>
      </c>
      <c r="O527" s="10">
        <f t="shared" si="45"/>
        <v>0</v>
      </c>
      <c r="P527" s="10">
        <f>IFERROR(SUMIFS('Base bordo CD'!M$2:M$875,'Base bordo CD'!D$2:D$875,A527,'Base bordo CD'!A$2:A$875,B527),0)</f>
        <v>24</v>
      </c>
      <c r="Q527" s="10">
        <f>IFERROR(SUMIFS('Base bordo CD'!O$2:O$875,'Base bordo CD'!D$2:D$875,A527,'Base bordo CD'!A$2:A$875,B527,'Base bordo CD'!L$2:L$875,"CORTE DE CANA MECANIZADO"),0)</f>
        <v>0</v>
      </c>
      <c r="R527" s="10">
        <f>IFERROR(SUMIFS('Base bordo CD'!Q$2:Q$875,'Base bordo CD'!D$2:D$875,A527,'Base bordo CD'!A$2:A$875,B527,'Base bordo CD'!L$2:L$875,"CORTE DE CANA MECANIZADO"),0)</f>
        <v>0</v>
      </c>
      <c r="S527" s="30" t="str">
        <f t="shared" si="46"/>
        <v/>
      </c>
      <c r="T527" s="9">
        <f t="shared" si="47"/>
        <v>0</v>
      </c>
      <c r="U527" s="9">
        <f t="shared" si="48"/>
        <v>0</v>
      </c>
      <c r="V527" s="9">
        <f t="shared" si="49"/>
        <v>0.99211805555555554</v>
      </c>
    </row>
    <row r="528" spans="1:22" hidden="1" x14ac:dyDescent="0.35">
      <c r="A528" s="52">
        <v>49593</v>
      </c>
      <c r="B528" s="31">
        <v>46119</v>
      </c>
      <c r="C528" s="7" t="s">
        <v>321</v>
      </c>
      <c r="D528" s="7">
        <v>351</v>
      </c>
      <c r="E528" s="10">
        <f>IFERROR(SUMIFS('Base bordo CD'!M$2:M$875,'Base bordo CD'!D$2:D$875,A528,'Base bordo CD'!A$2:A$875,B528,'Base bordo CD'!L$2:L$875,"CORTE DE CANA MECANIZADO"),0)</f>
        <v>0</v>
      </c>
      <c r="F528" s="10">
        <f>IFERROR(SUMIFS('Base bordo CD'!M$2:M$875,'Base bordo CD'!D$2:D$875,A528,'Base bordo CD'!A$2:A$875,B528,'Base bordo CD'!L$2:L$875,"MANOBRA"),0)</f>
        <v>0</v>
      </c>
      <c r="G528" s="10">
        <f>IFERROR(SUMIFS('Base bordo CD'!M$2:M$875,'Base bordo CD'!D$2:D$875,A528,'Base bordo CD'!A$2:A$875,B528,'Base bordo CD'!L$2:L$875,"DESLOCAMENTO"),0)</f>
        <v>0.18916666666666665</v>
      </c>
      <c r="H528" s="10">
        <f>IFERROR(SUMIFS('Base bordo CD'!M$2:M$875,'Base bordo CD'!D$2:D$875,A528,'Base bordo CD'!A$2:A$875,B528,'Base bordo CD'!L$2:L$875,"AGUARDANDO MANOBRA DE TRANSBORDO"),0)+IFERROR(SUMIFS('Base bordo CD'!M$2:M$875,'Base bordo CD'!D$2:D$875,A528,'Base bordo CD'!A$2:A$875,B528,'Base bordo CD'!L$2:L$875,"FALTA DE TRANSBORDO"),0)</f>
        <v>0</v>
      </c>
      <c r="I528" s="10">
        <f>IFERROR(SUMIFS('Base bordo CD'!M$2:M$875,'Base bordo CD'!D$2:D$875,A528,'Base bordo CD'!A$2:A$875,B528,'Base bordo CD'!L$2:L$875,"PARADA POR CONDICOES CLIMATICAS"),0)+IFERROR(SUMIFS('Base bordo CD'!M$2:M$875,'Base bordo CD'!D$2:D$875,A528,'Base bordo CD'!A$2:A$875,B528,'Base bordo CD'!L$2:L$875,"TEMPO INDETERMINADO"),0)</f>
        <v>23.810833333333335</v>
      </c>
      <c r="J528" s="10">
        <f>IFERROR(SUMIFS('Base bordo CD'!M$2:M$875,'Base bordo CD'!D$2:D$875,A528,'Base bordo CD'!A$2:A$875,B528,'Base bordo CD'!L$2:L$875,"LIMITAÇÃO INDÚSTRIA"),0)</f>
        <v>0</v>
      </c>
      <c r="K528" s="10">
        <f>IFERROR(SUMIFS('Base bordo CD'!M$2:M$875,'Base bordo CD'!D$2:D$875,A528,'Base bordo CD'!A$2:A$875,B528,'Base bordo CD'!L$2:L$875,"MAN CORRETIVA*"),0)+IFERROR(SUMIFS('Base bordo CD'!M$2:M$875,'Base bordo CD'!D$2:D$875,A528,'Base bordo CD'!A$2:A$875,B528,'Base bordo CD'!L$2:L$875,"AGUARDANDO MANUTENCAO*"),0)+IFERROR(SUMIFS('Base bordo CD'!M$2:M$875,'Base bordo CD'!D$2:D$875,A528,'Base bordo CD'!A$2:A$875,B528,'Base bordo CD'!L$2:L$875,"TROCA DE FAQUINHA"),0)+IFERROR(SUMIFS('Base bordo CD'!M$2:M$875,'Base bordo CD'!D$2:D$875,A528,'Base bordo CD'!A$2:A$875,B528,'Base bordo CD'!L$2:L$875,"LIMPEZA*"),0)</f>
        <v>0</v>
      </c>
      <c r="L528" s="10">
        <f>IFERROR(SUMIFS('Base bordo CD'!M$2:M$875,'Base bordo CD'!D$2:D$875,A528,'Base bordo CD'!A$2:A$875,B528,'Base bordo CD'!L$2:L$875,"PATIO - RESERVA"),0)</f>
        <v>0</v>
      </c>
      <c r="M528" s="10">
        <f>IFERROR(SUMIFS('Base bordo CD'!M$2:M$875,'Base bordo CD'!D$2:D$875,A528,'Base bordo CD'!A$2:A$875,B528,'Base bordo CD'!L$2:L$875,"SEM APONTAMENTO"),0)</f>
        <v>0</v>
      </c>
      <c r="N528" s="10">
        <f>IFERROR(SUMIFS('Base bordo CD'!M$2:M$875,'Base bordo CD'!D$2:D$875,A528,'Base bordo CD'!A$2:A$875,B528,'Base bordo CD'!L$2:L$875,"FALTA DE CAMINHÃO"),0)+IFERROR(SUMIFS('Base bordo CD'!M$2:M$875,'Base bordo CD'!D$2:D$875,A528,'Base bordo CD'!A$2:A$875,B528,'Base bordo CD'!L$2:L$875,"FALTA DE COMBUSTIVEL"),0)+IFERROR(SUMIFS('Base bordo CD'!M$2:M$875,'Base bordo CD'!D$2:D$875,A528,'Base bordo CD'!A$2:A$875,B528,'Base bordo CD'!L$2:L$875,"FALTA DE MOTORIST*"),0)</f>
        <v>0</v>
      </c>
      <c r="O528" s="10">
        <f t="shared" si="45"/>
        <v>0</v>
      </c>
      <c r="P528" s="10">
        <f>IFERROR(SUMIFS('Base bordo CD'!M$2:M$875,'Base bordo CD'!D$2:D$875,A528,'Base bordo CD'!A$2:A$875,B528),0)</f>
        <v>24</v>
      </c>
      <c r="Q528" s="10">
        <f>IFERROR(SUMIFS('Base bordo CD'!O$2:O$875,'Base bordo CD'!D$2:D$875,A528,'Base bordo CD'!A$2:A$875,B528,'Base bordo CD'!L$2:L$875,"CORTE DE CANA MECANIZADO"),0)</f>
        <v>0</v>
      </c>
      <c r="R528" s="10">
        <f>IFERROR(SUMIFS('Base bordo CD'!Q$2:Q$875,'Base bordo CD'!D$2:D$875,A528,'Base bordo CD'!A$2:A$875,B528,'Base bordo CD'!L$2:L$875,"CORTE DE CANA MECANIZADO"),0)</f>
        <v>0</v>
      </c>
      <c r="S528" s="30" t="str">
        <f t="shared" si="46"/>
        <v/>
      </c>
      <c r="T528" s="9">
        <f t="shared" si="47"/>
        <v>0</v>
      </c>
      <c r="U528" s="9">
        <f t="shared" si="48"/>
        <v>0</v>
      </c>
      <c r="V528" s="9">
        <f t="shared" si="49"/>
        <v>0.99211805555555554</v>
      </c>
    </row>
    <row r="529" spans="1:22" hidden="1" x14ac:dyDescent="0.35">
      <c r="A529" s="52">
        <v>49593</v>
      </c>
      <c r="B529" s="31">
        <v>46119</v>
      </c>
      <c r="C529" s="7" t="s">
        <v>321</v>
      </c>
      <c r="D529" s="7">
        <v>351</v>
      </c>
      <c r="E529" s="10">
        <f>IFERROR(SUMIFS('Base bordo CD'!M$2:M$875,'Base bordo CD'!D$2:D$875,A529,'Base bordo CD'!A$2:A$875,B529,'Base bordo CD'!L$2:L$875,"CORTE DE CANA MECANIZADO"),0)</f>
        <v>0</v>
      </c>
      <c r="F529" s="10">
        <f>IFERROR(SUMIFS('Base bordo CD'!M$2:M$875,'Base bordo CD'!D$2:D$875,A529,'Base bordo CD'!A$2:A$875,B529,'Base bordo CD'!L$2:L$875,"MANOBRA"),0)</f>
        <v>0</v>
      </c>
      <c r="G529" s="10">
        <f>IFERROR(SUMIFS('Base bordo CD'!M$2:M$875,'Base bordo CD'!D$2:D$875,A529,'Base bordo CD'!A$2:A$875,B529,'Base bordo CD'!L$2:L$875,"DESLOCAMENTO"),0)</f>
        <v>0.18916666666666665</v>
      </c>
      <c r="H529" s="10">
        <f>IFERROR(SUMIFS('Base bordo CD'!M$2:M$875,'Base bordo CD'!D$2:D$875,A529,'Base bordo CD'!A$2:A$875,B529,'Base bordo CD'!L$2:L$875,"AGUARDANDO MANOBRA DE TRANSBORDO"),0)+IFERROR(SUMIFS('Base bordo CD'!M$2:M$875,'Base bordo CD'!D$2:D$875,A529,'Base bordo CD'!A$2:A$875,B529,'Base bordo CD'!L$2:L$875,"FALTA DE TRANSBORDO"),0)</f>
        <v>0</v>
      </c>
      <c r="I529" s="10">
        <f>IFERROR(SUMIFS('Base bordo CD'!M$2:M$875,'Base bordo CD'!D$2:D$875,A529,'Base bordo CD'!A$2:A$875,B529,'Base bordo CD'!L$2:L$875,"PARADA POR CONDICOES CLIMATICAS"),0)+IFERROR(SUMIFS('Base bordo CD'!M$2:M$875,'Base bordo CD'!D$2:D$875,A529,'Base bordo CD'!A$2:A$875,B529,'Base bordo CD'!L$2:L$875,"TEMPO INDETERMINADO"),0)</f>
        <v>23.810833333333335</v>
      </c>
      <c r="J529" s="10">
        <f>IFERROR(SUMIFS('Base bordo CD'!M$2:M$875,'Base bordo CD'!D$2:D$875,A529,'Base bordo CD'!A$2:A$875,B529,'Base bordo CD'!L$2:L$875,"LIMITAÇÃO INDÚSTRIA"),0)</f>
        <v>0</v>
      </c>
      <c r="K529" s="10">
        <f>IFERROR(SUMIFS('Base bordo CD'!M$2:M$875,'Base bordo CD'!D$2:D$875,A529,'Base bordo CD'!A$2:A$875,B529,'Base bordo CD'!L$2:L$875,"MAN CORRETIVA*"),0)+IFERROR(SUMIFS('Base bordo CD'!M$2:M$875,'Base bordo CD'!D$2:D$875,A529,'Base bordo CD'!A$2:A$875,B529,'Base bordo CD'!L$2:L$875,"AGUARDANDO MANUTENCAO*"),0)+IFERROR(SUMIFS('Base bordo CD'!M$2:M$875,'Base bordo CD'!D$2:D$875,A529,'Base bordo CD'!A$2:A$875,B529,'Base bordo CD'!L$2:L$875,"TROCA DE FAQUINHA"),0)+IFERROR(SUMIFS('Base bordo CD'!M$2:M$875,'Base bordo CD'!D$2:D$875,A529,'Base bordo CD'!A$2:A$875,B529,'Base bordo CD'!L$2:L$875,"LIMPEZA*"),0)</f>
        <v>0</v>
      </c>
      <c r="L529" s="10">
        <f>IFERROR(SUMIFS('Base bordo CD'!M$2:M$875,'Base bordo CD'!D$2:D$875,A529,'Base bordo CD'!A$2:A$875,B529,'Base bordo CD'!L$2:L$875,"PATIO - RESERVA"),0)</f>
        <v>0</v>
      </c>
      <c r="M529" s="10">
        <f>IFERROR(SUMIFS('Base bordo CD'!M$2:M$875,'Base bordo CD'!D$2:D$875,A529,'Base bordo CD'!A$2:A$875,B529,'Base bordo CD'!L$2:L$875,"SEM APONTAMENTO"),0)</f>
        <v>0</v>
      </c>
      <c r="N529" s="10">
        <f>IFERROR(SUMIFS('Base bordo CD'!M$2:M$875,'Base bordo CD'!D$2:D$875,A529,'Base bordo CD'!A$2:A$875,B529,'Base bordo CD'!L$2:L$875,"FALTA DE CAMINHÃO"),0)+IFERROR(SUMIFS('Base bordo CD'!M$2:M$875,'Base bordo CD'!D$2:D$875,A529,'Base bordo CD'!A$2:A$875,B529,'Base bordo CD'!L$2:L$875,"FALTA DE COMBUSTIVEL"),0)+IFERROR(SUMIFS('Base bordo CD'!M$2:M$875,'Base bordo CD'!D$2:D$875,A529,'Base bordo CD'!A$2:A$875,B529,'Base bordo CD'!L$2:L$875,"FALTA DE MOTORIST*"),0)</f>
        <v>0</v>
      </c>
      <c r="O529" s="10">
        <f t="shared" si="45"/>
        <v>0</v>
      </c>
      <c r="P529" s="10">
        <f>IFERROR(SUMIFS('Base bordo CD'!M$2:M$875,'Base bordo CD'!D$2:D$875,A529,'Base bordo CD'!A$2:A$875,B529),0)</f>
        <v>24</v>
      </c>
      <c r="Q529" s="10">
        <f>IFERROR(SUMIFS('Base bordo CD'!O$2:O$875,'Base bordo CD'!D$2:D$875,A529,'Base bordo CD'!A$2:A$875,B529,'Base bordo CD'!L$2:L$875,"CORTE DE CANA MECANIZADO"),0)</f>
        <v>0</v>
      </c>
      <c r="R529" s="10">
        <f>IFERROR(SUMIFS('Base bordo CD'!Q$2:Q$875,'Base bordo CD'!D$2:D$875,A529,'Base bordo CD'!A$2:A$875,B529,'Base bordo CD'!L$2:L$875,"CORTE DE CANA MECANIZADO"),0)</f>
        <v>0</v>
      </c>
      <c r="S529" s="30" t="str">
        <f t="shared" si="46"/>
        <v/>
      </c>
      <c r="T529" s="9">
        <f t="shared" si="47"/>
        <v>0</v>
      </c>
      <c r="U529" s="9">
        <f t="shared" si="48"/>
        <v>0</v>
      </c>
      <c r="V529" s="9">
        <f t="shared" si="49"/>
        <v>0.99211805555555554</v>
      </c>
    </row>
    <row r="530" spans="1:22" hidden="1" x14ac:dyDescent="0.35">
      <c r="A530" s="52">
        <v>49593</v>
      </c>
      <c r="B530" s="31">
        <v>46119</v>
      </c>
      <c r="C530" s="7" t="s">
        <v>321</v>
      </c>
      <c r="D530" s="7">
        <v>351</v>
      </c>
      <c r="E530" s="10">
        <f>IFERROR(SUMIFS('Base bordo CD'!M$2:M$875,'Base bordo CD'!D$2:D$875,A530,'Base bordo CD'!A$2:A$875,B530,'Base bordo CD'!L$2:L$875,"CORTE DE CANA MECANIZADO"),0)</f>
        <v>0</v>
      </c>
      <c r="F530" s="10">
        <f>IFERROR(SUMIFS('Base bordo CD'!M$2:M$875,'Base bordo CD'!D$2:D$875,A530,'Base bordo CD'!A$2:A$875,B530,'Base bordo CD'!L$2:L$875,"MANOBRA"),0)</f>
        <v>0</v>
      </c>
      <c r="G530" s="10">
        <f>IFERROR(SUMIFS('Base bordo CD'!M$2:M$875,'Base bordo CD'!D$2:D$875,A530,'Base bordo CD'!A$2:A$875,B530,'Base bordo CD'!L$2:L$875,"DESLOCAMENTO"),0)</f>
        <v>0.18916666666666665</v>
      </c>
      <c r="H530" s="10">
        <f>IFERROR(SUMIFS('Base bordo CD'!M$2:M$875,'Base bordo CD'!D$2:D$875,A530,'Base bordo CD'!A$2:A$875,B530,'Base bordo CD'!L$2:L$875,"AGUARDANDO MANOBRA DE TRANSBORDO"),0)+IFERROR(SUMIFS('Base bordo CD'!M$2:M$875,'Base bordo CD'!D$2:D$875,A530,'Base bordo CD'!A$2:A$875,B530,'Base bordo CD'!L$2:L$875,"FALTA DE TRANSBORDO"),0)</f>
        <v>0</v>
      </c>
      <c r="I530" s="10">
        <f>IFERROR(SUMIFS('Base bordo CD'!M$2:M$875,'Base bordo CD'!D$2:D$875,A530,'Base bordo CD'!A$2:A$875,B530,'Base bordo CD'!L$2:L$875,"PARADA POR CONDICOES CLIMATICAS"),0)+IFERROR(SUMIFS('Base bordo CD'!M$2:M$875,'Base bordo CD'!D$2:D$875,A530,'Base bordo CD'!A$2:A$875,B530,'Base bordo CD'!L$2:L$875,"TEMPO INDETERMINADO"),0)</f>
        <v>23.810833333333335</v>
      </c>
      <c r="J530" s="10">
        <f>IFERROR(SUMIFS('Base bordo CD'!M$2:M$875,'Base bordo CD'!D$2:D$875,A530,'Base bordo CD'!A$2:A$875,B530,'Base bordo CD'!L$2:L$875,"LIMITAÇÃO INDÚSTRIA"),0)</f>
        <v>0</v>
      </c>
      <c r="K530" s="10">
        <f>IFERROR(SUMIFS('Base bordo CD'!M$2:M$875,'Base bordo CD'!D$2:D$875,A530,'Base bordo CD'!A$2:A$875,B530,'Base bordo CD'!L$2:L$875,"MAN CORRETIVA*"),0)+IFERROR(SUMIFS('Base bordo CD'!M$2:M$875,'Base bordo CD'!D$2:D$875,A530,'Base bordo CD'!A$2:A$875,B530,'Base bordo CD'!L$2:L$875,"AGUARDANDO MANUTENCAO*"),0)+IFERROR(SUMIFS('Base bordo CD'!M$2:M$875,'Base bordo CD'!D$2:D$875,A530,'Base bordo CD'!A$2:A$875,B530,'Base bordo CD'!L$2:L$875,"TROCA DE FAQUINHA"),0)+IFERROR(SUMIFS('Base bordo CD'!M$2:M$875,'Base bordo CD'!D$2:D$875,A530,'Base bordo CD'!A$2:A$875,B530,'Base bordo CD'!L$2:L$875,"LIMPEZA*"),0)</f>
        <v>0</v>
      </c>
      <c r="L530" s="10">
        <f>IFERROR(SUMIFS('Base bordo CD'!M$2:M$875,'Base bordo CD'!D$2:D$875,A530,'Base bordo CD'!A$2:A$875,B530,'Base bordo CD'!L$2:L$875,"PATIO - RESERVA"),0)</f>
        <v>0</v>
      </c>
      <c r="M530" s="10">
        <f>IFERROR(SUMIFS('Base bordo CD'!M$2:M$875,'Base bordo CD'!D$2:D$875,A530,'Base bordo CD'!A$2:A$875,B530,'Base bordo CD'!L$2:L$875,"SEM APONTAMENTO"),0)</f>
        <v>0</v>
      </c>
      <c r="N530" s="10">
        <f>IFERROR(SUMIFS('Base bordo CD'!M$2:M$875,'Base bordo CD'!D$2:D$875,A530,'Base bordo CD'!A$2:A$875,B530,'Base bordo CD'!L$2:L$875,"FALTA DE CAMINHÃO"),0)+IFERROR(SUMIFS('Base bordo CD'!M$2:M$875,'Base bordo CD'!D$2:D$875,A530,'Base bordo CD'!A$2:A$875,B530,'Base bordo CD'!L$2:L$875,"FALTA DE COMBUSTIVEL"),0)+IFERROR(SUMIFS('Base bordo CD'!M$2:M$875,'Base bordo CD'!D$2:D$875,A530,'Base bordo CD'!A$2:A$875,B530,'Base bordo CD'!L$2:L$875,"FALTA DE MOTORIST*"),0)</f>
        <v>0</v>
      </c>
      <c r="O530" s="10">
        <f t="shared" si="45"/>
        <v>0</v>
      </c>
      <c r="P530" s="10">
        <f>IFERROR(SUMIFS('Base bordo CD'!M$2:M$875,'Base bordo CD'!D$2:D$875,A530,'Base bordo CD'!A$2:A$875,B530),0)</f>
        <v>24</v>
      </c>
      <c r="Q530" s="10">
        <f>IFERROR(SUMIFS('Base bordo CD'!O$2:O$875,'Base bordo CD'!D$2:D$875,A530,'Base bordo CD'!A$2:A$875,B530,'Base bordo CD'!L$2:L$875,"CORTE DE CANA MECANIZADO"),0)</f>
        <v>0</v>
      </c>
      <c r="R530" s="10">
        <f>IFERROR(SUMIFS('Base bordo CD'!Q$2:Q$875,'Base bordo CD'!D$2:D$875,A530,'Base bordo CD'!A$2:A$875,B530,'Base bordo CD'!L$2:L$875,"CORTE DE CANA MECANIZADO"),0)</f>
        <v>0</v>
      </c>
      <c r="S530" s="30" t="str">
        <f t="shared" si="46"/>
        <v/>
      </c>
      <c r="T530" s="9">
        <f t="shared" si="47"/>
        <v>0</v>
      </c>
      <c r="U530" s="9">
        <f t="shared" si="48"/>
        <v>0</v>
      </c>
      <c r="V530" s="9">
        <f t="shared" si="49"/>
        <v>0.99211805555555554</v>
      </c>
    </row>
    <row r="531" spans="1:22" hidden="1" x14ac:dyDescent="0.35">
      <c r="A531" s="52">
        <v>49593</v>
      </c>
      <c r="B531" s="31">
        <v>46119</v>
      </c>
      <c r="C531" s="7" t="s">
        <v>321</v>
      </c>
      <c r="D531" s="7">
        <v>351</v>
      </c>
      <c r="E531" s="10">
        <f>IFERROR(SUMIFS('Base bordo CD'!M$2:M$875,'Base bordo CD'!D$2:D$875,A531,'Base bordo CD'!A$2:A$875,B531,'Base bordo CD'!L$2:L$875,"CORTE DE CANA MECANIZADO"),0)</f>
        <v>0</v>
      </c>
      <c r="F531" s="10">
        <f>IFERROR(SUMIFS('Base bordo CD'!M$2:M$875,'Base bordo CD'!D$2:D$875,A531,'Base bordo CD'!A$2:A$875,B531,'Base bordo CD'!L$2:L$875,"MANOBRA"),0)</f>
        <v>0</v>
      </c>
      <c r="G531" s="10">
        <f>IFERROR(SUMIFS('Base bordo CD'!M$2:M$875,'Base bordo CD'!D$2:D$875,A531,'Base bordo CD'!A$2:A$875,B531,'Base bordo CD'!L$2:L$875,"DESLOCAMENTO"),0)</f>
        <v>0.18916666666666665</v>
      </c>
      <c r="H531" s="10">
        <f>IFERROR(SUMIFS('Base bordo CD'!M$2:M$875,'Base bordo CD'!D$2:D$875,A531,'Base bordo CD'!A$2:A$875,B531,'Base bordo CD'!L$2:L$875,"AGUARDANDO MANOBRA DE TRANSBORDO"),0)+IFERROR(SUMIFS('Base bordo CD'!M$2:M$875,'Base bordo CD'!D$2:D$875,A531,'Base bordo CD'!A$2:A$875,B531,'Base bordo CD'!L$2:L$875,"FALTA DE TRANSBORDO"),0)</f>
        <v>0</v>
      </c>
      <c r="I531" s="10">
        <f>IFERROR(SUMIFS('Base bordo CD'!M$2:M$875,'Base bordo CD'!D$2:D$875,A531,'Base bordo CD'!A$2:A$875,B531,'Base bordo CD'!L$2:L$875,"PARADA POR CONDICOES CLIMATICAS"),0)+IFERROR(SUMIFS('Base bordo CD'!M$2:M$875,'Base bordo CD'!D$2:D$875,A531,'Base bordo CD'!A$2:A$875,B531,'Base bordo CD'!L$2:L$875,"TEMPO INDETERMINADO"),0)</f>
        <v>23.810833333333335</v>
      </c>
      <c r="J531" s="10">
        <f>IFERROR(SUMIFS('Base bordo CD'!M$2:M$875,'Base bordo CD'!D$2:D$875,A531,'Base bordo CD'!A$2:A$875,B531,'Base bordo CD'!L$2:L$875,"LIMITAÇÃO INDÚSTRIA"),0)</f>
        <v>0</v>
      </c>
      <c r="K531" s="10">
        <f>IFERROR(SUMIFS('Base bordo CD'!M$2:M$875,'Base bordo CD'!D$2:D$875,A531,'Base bordo CD'!A$2:A$875,B531,'Base bordo CD'!L$2:L$875,"MAN CORRETIVA*"),0)+IFERROR(SUMIFS('Base bordo CD'!M$2:M$875,'Base bordo CD'!D$2:D$875,A531,'Base bordo CD'!A$2:A$875,B531,'Base bordo CD'!L$2:L$875,"AGUARDANDO MANUTENCAO*"),0)+IFERROR(SUMIFS('Base bordo CD'!M$2:M$875,'Base bordo CD'!D$2:D$875,A531,'Base bordo CD'!A$2:A$875,B531,'Base bordo CD'!L$2:L$875,"TROCA DE FAQUINHA"),0)+IFERROR(SUMIFS('Base bordo CD'!M$2:M$875,'Base bordo CD'!D$2:D$875,A531,'Base bordo CD'!A$2:A$875,B531,'Base bordo CD'!L$2:L$875,"LIMPEZA*"),0)</f>
        <v>0</v>
      </c>
      <c r="L531" s="10">
        <f>IFERROR(SUMIFS('Base bordo CD'!M$2:M$875,'Base bordo CD'!D$2:D$875,A531,'Base bordo CD'!A$2:A$875,B531,'Base bordo CD'!L$2:L$875,"PATIO - RESERVA"),0)</f>
        <v>0</v>
      </c>
      <c r="M531" s="10">
        <f>IFERROR(SUMIFS('Base bordo CD'!M$2:M$875,'Base bordo CD'!D$2:D$875,A531,'Base bordo CD'!A$2:A$875,B531,'Base bordo CD'!L$2:L$875,"SEM APONTAMENTO"),0)</f>
        <v>0</v>
      </c>
      <c r="N531" s="10">
        <f>IFERROR(SUMIFS('Base bordo CD'!M$2:M$875,'Base bordo CD'!D$2:D$875,A531,'Base bordo CD'!A$2:A$875,B531,'Base bordo CD'!L$2:L$875,"FALTA DE CAMINHÃO"),0)+IFERROR(SUMIFS('Base bordo CD'!M$2:M$875,'Base bordo CD'!D$2:D$875,A531,'Base bordo CD'!A$2:A$875,B531,'Base bordo CD'!L$2:L$875,"FALTA DE COMBUSTIVEL"),0)+IFERROR(SUMIFS('Base bordo CD'!M$2:M$875,'Base bordo CD'!D$2:D$875,A531,'Base bordo CD'!A$2:A$875,B531,'Base bordo CD'!L$2:L$875,"FALTA DE MOTORIST*"),0)</f>
        <v>0</v>
      </c>
      <c r="O531" s="10">
        <f t="shared" si="45"/>
        <v>0</v>
      </c>
      <c r="P531" s="10">
        <f>IFERROR(SUMIFS('Base bordo CD'!M$2:M$875,'Base bordo CD'!D$2:D$875,A531,'Base bordo CD'!A$2:A$875,B531),0)</f>
        <v>24</v>
      </c>
      <c r="Q531" s="10">
        <f>IFERROR(SUMIFS('Base bordo CD'!O$2:O$875,'Base bordo CD'!D$2:D$875,A531,'Base bordo CD'!A$2:A$875,B531,'Base bordo CD'!L$2:L$875,"CORTE DE CANA MECANIZADO"),0)</f>
        <v>0</v>
      </c>
      <c r="R531" s="10">
        <f>IFERROR(SUMIFS('Base bordo CD'!Q$2:Q$875,'Base bordo CD'!D$2:D$875,A531,'Base bordo CD'!A$2:A$875,B531,'Base bordo CD'!L$2:L$875,"CORTE DE CANA MECANIZADO"),0)</f>
        <v>0</v>
      </c>
      <c r="S531" s="30" t="str">
        <f t="shared" si="46"/>
        <v/>
      </c>
      <c r="T531" s="9">
        <f t="shared" si="47"/>
        <v>0</v>
      </c>
      <c r="U531" s="9">
        <f t="shared" si="48"/>
        <v>0</v>
      </c>
      <c r="V531" s="9">
        <f t="shared" si="49"/>
        <v>0.99211805555555554</v>
      </c>
    </row>
    <row r="532" spans="1:22" x14ac:dyDescent="0.35">
      <c r="A532" s="52">
        <v>49595</v>
      </c>
      <c r="B532" s="31">
        <v>46119</v>
      </c>
      <c r="C532" s="7" t="s">
        <v>337</v>
      </c>
      <c r="D532" s="7">
        <v>353</v>
      </c>
      <c r="E532" s="10">
        <f>IFERROR(SUMIFS('Base bordo CD'!M$2:M$875,'Base bordo CD'!D$2:D$875,A532,'Base bordo CD'!A$2:A$875,B532,'Base bordo CD'!L$2:L$875,"CORTE DE CANA MECANIZADO"),0)</f>
        <v>6.762777777777778</v>
      </c>
      <c r="F532" s="10">
        <f>IFERROR(SUMIFS('Base bordo CD'!M$2:M$875,'Base bordo CD'!D$2:D$875,A532,'Base bordo CD'!A$2:A$875,B532,'Base bordo CD'!L$2:L$875,"MANOBRA"),0)</f>
        <v>0.84138888888888885</v>
      </c>
      <c r="G532" s="10">
        <f>IFERROR(SUMIFS('Base bordo CD'!M$2:M$875,'Base bordo CD'!D$2:D$875,A532,'Base bordo CD'!A$2:A$875,B532,'Base bordo CD'!L$2:L$875,"DESLOCAMENTO"),0)</f>
        <v>0.61694444444444441</v>
      </c>
      <c r="H532" s="10">
        <f>IFERROR(SUMIFS('Base bordo CD'!M$2:M$875,'Base bordo CD'!D$2:D$875,A532,'Base bordo CD'!A$2:A$875,B532,'Base bordo CD'!L$2:L$875,"AGUARDANDO MANOBRA DE TRANSBORDO"),0)+IFERROR(SUMIFS('Base bordo CD'!M$2:M$875,'Base bordo CD'!D$2:D$875,A532,'Base bordo CD'!A$2:A$875,B532,'Base bordo CD'!L$2:L$875,"FALTA DE TRANSBORDO"),0)</f>
        <v>0.56472222222222224</v>
      </c>
      <c r="I532" s="10">
        <f>IFERROR(SUMIFS('Base bordo CD'!M$2:M$875,'Base bordo CD'!D$2:D$875,A532,'Base bordo CD'!A$2:A$875,B532,'Base bordo CD'!L$2:L$875,"PARADA POR CONDICOES CLIMATICAS"),0)+IFERROR(SUMIFS('Base bordo CD'!M$2:M$875,'Base bordo CD'!D$2:D$875,A532,'Base bordo CD'!A$2:A$875,B532,'Base bordo CD'!L$2:L$875,"TEMPO INDETERMINADO"),0)</f>
        <v>14.727222222222222</v>
      </c>
      <c r="J532" s="10">
        <f>IFERROR(SUMIFS('Base bordo CD'!M$2:M$875,'Base bordo CD'!D$2:D$875,A532,'Base bordo CD'!A$2:A$875,B532,'Base bordo CD'!L$2:L$875,"LIMITAÇÃO INDÚSTRIA"),0)</f>
        <v>0</v>
      </c>
      <c r="K532" s="10">
        <f>IFERROR(SUMIFS('Base bordo CD'!M$2:M$875,'Base bordo CD'!D$2:D$875,A532,'Base bordo CD'!A$2:A$875,B532,'Base bordo CD'!L$2:L$875,"MAN CORRETIVA*"),0)+IFERROR(SUMIFS('Base bordo CD'!M$2:M$875,'Base bordo CD'!D$2:D$875,A532,'Base bordo CD'!A$2:A$875,B532,'Base bordo CD'!L$2:L$875,"AGUARDANDO MANUTENCAO*"),0)+IFERROR(SUMIFS('Base bordo CD'!M$2:M$875,'Base bordo CD'!D$2:D$875,A532,'Base bordo CD'!A$2:A$875,B532,'Base bordo CD'!L$2:L$875,"TROCA DE FAQUINHA"),0)+IFERROR(SUMIFS('Base bordo CD'!M$2:M$875,'Base bordo CD'!D$2:D$875,A532,'Base bordo CD'!A$2:A$875,B532,'Base bordo CD'!L$2:L$875,"LIMPEZA*"),0)</f>
        <v>0.4836111111111111</v>
      </c>
      <c r="L532" s="10">
        <f>IFERROR(SUMIFS('Base bordo CD'!M$2:M$875,'Base bordo CD'!D$2:D$875,A532,'Base bordo CD'!A$2:A$875,B532,'Base bordo CD'!L$2:L$875,"PATIO - RESERVA"),0)</f>
        <v>0</v>
      </c>
      <c r="M532" s="10">
        <f>IFERROR(SUMIFS('Base bordo CD'!M$2:M$875,'Base bordo CD'!D$2:D$875,A532,'Base bordo CD'!A$2:A$875,B532,'Base bordo CD'!L$2:L$875,"SEM APONTAMENTO"),0)</f>
        <v>3.3333333333333335E-3</v>
      </c>
      <c r="N532" s="10">
        <f>IFERROR(SUMIFS('Base bordo CD'!M$2:M$875,'Base bordo CD'!D$2:D$875,A532,'Base bordo CD'!A$2:A$875,B532,'Base bordo CD'!L$2:L$875,"FALTA DE CAMINHÃO"),0)+IFERROR(SUMIFS('Base bordo CD'!M$2:M$875,'Base bordo CD'!D$2:D$875,A532,'Base bordo CD'!A$2:A$875,B532,'Base bordo CD'!L$2:L$875,"FALTA DE COMBUSTIVEL"),0)+IFERROR(SUMIFS('Base bordo CD'!M$2:M$875,'Base bordo CD'!D$2:D$875,A532,'Base bordo CD'!A$2:A$875,B532,'Base bordo CD'!L$2:L$875,"FALTA DE MOTORIST*"),0)</f>
        <v>0</v>
      </c>
      <c r="O532" s="10">
        <f t="shared" si="45"/>
        <v>0</v>
      </c>
      <c r="P532" s="10">
        <f>IFERROR(SUMIFS('Base bordo CD'!M$2:M$875,'Base bordo CD'!D$2:D$875,A532,'Base bordo CD'!A$2:A$875,B532),0)</f>
        <v>24</v>
      </c>
      <c r="Q532" s="10">
        <f>IFERROR(SUMIFS('Base bordo CD'!O$2:O$875,'Base bordo CD'!D$2:D$875,A532,'Base bordo CD'!A$2:A$875,B532,'Base bordo CD'!L$2:L$875,"CORTE DE CANA MECANIZADO"),0)</f>
        <v>93510.06</v>
      </c>
      <c r="R532" s="10">
        <f>IFERROR(SUMIFS('Base bordo CD'!Q$2:Q$875,'Base bordo CD'!D$2:D$875,A532,'Base bordo CD'!A$2:A$875,B532,'Base bordo CD'!L$2:L$875,"CORTE DE CANA MECANIZADO"),0)</f>
        <v>24346</v>
      </c>
      <c r="S532" s="30">
        <f t="shared" si="46"/>
        <v>3.8408798159861988</v>
      </c>
      <c r="T532" s="9">
        <f t="shared" si="47"/>
        <v>0.2817824074074074</v>
      </c>
      <c r="U532" s="9">
        <f t="shared" si="48"/>
        <v>3.5057870370370371E-2</v>
      </c>
      <c r="V532" s="9">
        <f t="shared" si="49"/>
        <v>0.69251157407407415</v>
      </c>
    </row>
    <row r="533" spans="1:22" x14ac:dyDescent="0.35">
      <c r="A533" s="52">
        <v>49595</v>
      </c>
      <c r="B533" s="31">
        <v>46119</v>
      </c>
      <c r="C533" s="7" t="s">
        <v>337</v>
      </c>
      <c r="D533" s="7">
        <v>353</v>
      </c>
      <c r="E533" s="10">
        <f>IFERROR(SUMIFS('Base bordo CD'!M$2:M$875,'Base bordo CD'!D$2:D$875,A533,'Base bordo CD'!A$2:A$875,B533,'Base bordo CD'!L$2:L$875,"CORTE DE CANA MECANIZADO"),0)</f>
        <v>6.762777777777778</v>
      </c>
      <c r="F533" s="10">
        <f>IFERROR(SUMIFS('Base bordo CD'!M$2:M$875,'Base bordo CD'!D$2:D$875,A533,'Base bordo CD'!A$2:A$875,B533,'Base bordo CD'!L$2:L$875,"MANOBRA"),0)</f>
        <v>0.84138888888888885</v>
      </c>
      <c r="G533" s="10">
        <f>IFERROR(SUMIFS('Base bordo CD'!M$2:M$875,'Base bordo CD'!D$2:D$875,A533,'Base bordo CD'!A$2:A$875,B533,'Base bordo CD'!L$2:L$875,"DESLOCAMENTO"),0)</f>
        <v>0.61694444444444441</v>
      </c>
      <c r="H533" s="10">
        <f>IFERROR(SUMIFS('Base bordo CD'!M$2:M$875,'Base bordo CD'!D$2:D$875,A533,'Base bordo CD'!A$2:A$875,B533,'Base bordo CD'!L$2:L$875,"AGUARDANDO MANOBRA DE TRANSBORDO"),0)+IFERROR(SUMIFS('Base bordo CD'!M$2:M$875,'Base bordo CD'!D$2:D$875,A533,'Base bordo CD'!A$2:A$875,B533,'Base bordo CD'!L$2:L$875,"FALTA DE TRANSBORDO"),0)</f>
        <v>0.56472222222222224</v>
      </c>
      <c r="I533" s="10">
        <f>IFERROR(SUMIFS('Base bordo CD'!M$2:M$875,'Base bordo CD'!D$2:D$875,A533,'Base bordo CD'!A$2:A$875,B533,'Base bordo CD'!L$2:L$875,"PARADA POR CONDICOES CLIMATICAS"),0)+IFERROR(SUMIFS('Base bordo CD'!M$2:M$875,'Base bordo CD'!D$2:D$875,A533,'Base bordo CD'!A$2:A$875,B533,'Base bordo CD'!L$2:L$875,"TEMPO INDETERMINADO"),0)</f>
        <v>14.727222222222222</v>
      </c>
      <c r="J533" s="10">
        <f>IFERROR(SUMIFS('Base bordo CD'!M$2:M$875,'Base bordo CD'!D$2:D$875,A533,'Base bordo CD'!A$2:A$875,B533,'Base bordo CD'!L$2:L$875,"LIMITAÇÃO INDÚSTRIA"),0)</f>
        <v>0</v>
      </c>
      <c r="K533" s="10">
        <f>IFERROR(SUMIFS('Base bordo CD'!M$2:M$875,'Base bordo CD'!D$2:D$875,A533,'Base bordo CD'!A$2:A$875,B533,'Base bordo CD'!L$2:L$875,"MAN CORRETIVA*"),0)+IFERROR(SUMIFS('Base bordo CD'!M$2:M$875,'Base bordo CD'!D$2:D$875,A533,'Base bordo CD'!A$2:A$875,B533,'Base bordo CD'!L$2:L$875,"AGUARDANDO MANUTENCAO*"),0)+IFERROR(SUMIFS('Base bordo CD'!M$2:M$875,'Base bordo CD'!D$2:D$875,A533,'Base bordo CD'!A$2:A$875,B533,'Base bordo CD'!L$2:L$875,"TROCA DE FAQUINHA"),0)+IFERROR(SUMIFS('Base bordo CD'!M$2:M$875,'Base bordo CD'!D$2:D$875,A533,'Base bordo CD'!A$2:A$875,B533,'Base bordo CD'!L$2:L$875,"LIMPEZA*"),0)</f>
        <v>0.4836111111111111</v>
      </c>
      <c r="L533" s="10">
        <f>IFERROR(SUMIFS('Base bordo CD'!M$2:M$875,'Base bordo CD'!D$2:D$875,A533,'Base bordo CD'!A$2:A$875,B533,'Base bordo CD'!L$2:L$875,"PATIO - RESERVA"),0)</f>
        <v>0</v>
      </c>
      <c r="M533" s="10">
        <f>IFERROR(SUMIFS('Base bordo CD'!M$2:M$875,'Base bordo CD'!D$2:D$875,A533,'Base bordo CD'!A$2:A$875,B533,'Base bordo CD'!L$2:L$875,"SEM APONTAMENTO"),0)</f>
        <v>3.3333333333333335E-3</v>
      </c>
      <c r="N533" s="10">
        <f>IFERROR(SUMIFS('Base bordo CD'!M$2:M$875,'Base bordo CD'!D$2:D$875,A533,'Base bordo CD'!A$2:A$875,B533,'Base bordo CD'!L$2:L$875,"FALTA DE CAMINHÃO"),0)+IFERROR(SUMIFS('Base bordo CD'!M$2:M$875,'Base bordo CD'!D$2:D$875,A533,'Base bordo CD'!A$2:A$875,B533,'Base bordo CD'!L$2:L$875,"FALTA DE COMBUSTIVEL"),0)+IFERROR(SUMIFS('Base bordo CD'!M$2:M$875,'Base bordo CD'!D$2:D$875,A533,'Base bordo CD'!A$2:A$875,B533,'Base bordo CD'!L$2:L$875,"FALTA DE MOTORIST*"),0)</f>
        <v>0</v>
      </c>
      <c r="O533" s="10">
        <f t="shared" si="45"/>
        <v>0</v>
      </c>
      <c r="P533" s="10">
        <f>IFERROR(SUMIFS('Base bordo CD'!M$2:M$875,'Base bordo CD'!D$2:D$875,A533,'Base bordo CD'!A$2:A$875,B533),0)</f>
        <v>24</v>
      </c>
      <c r="Q533" s="10">
        <f>IFERROR(SUMIFS('Base bordo CD'!O$2:O$875,'Base bordo CD'!D$2:D$875,A533,'Base bordo CD'!A$2:A$875,B533,'Base bordo CD'!L$2:L$875,"CORTE DE CANA MECANIZADO"),0)</f>
        <v>93510.06</v>
      </c>
      <c r="R533" s="10">
        <f>IFERROR(SUMIFS('Base bordo CD'!Q$2:Q$875,'Base bordo CD'!D$2:D$875,A533,'Base bordo CD'!A$2:A$875,B533,'Base bordo CD'!L$2:L$875,"CORTE DE CANA MECANIZADO"),0)</f>
        <v>24346</v>
      </c>
      <c r="S533" s="30">
        <f t="shared" si="46"/>
        <v>3.8408798159861988</v>
      </c>
      <c r="T533" s="9">
        <f t="shared" si="47"/>
        <v>0.2817824074074074</v>
      </c>
      <c r="U533" s="9">
        <f t="shared" si="48"/>
        <v>3.5057870370370371E-2</v>
      </c>
      <c r="V533" s="9">
        <f t="shared" si="49"/>
        <v>0.69251157407407415</v>
      </c>
    </row>
    <row r="534" spans="1:22" x14ac:dyDescent="0.35">
      <c r="A534" s="52">
        <v>49595</v>
      </c>
      <c r="B534" s="31">
        <v>46119</v>
      </c>
      <c r="C534" s="7" t="s">
        <v>337</v>
      </c>
      <c r="D534" s="7">
        <v>353</v>
      </c>
      <c r="E534" s="10">
        <f>IFERROR(SUMIFS('Base bordo CD'!M$2:M$875,'Base bordo CD'!D$2:D$875,A534,'Base bordo CD'!A$2:A$875,B534,'Base bordo CD'!L$2:L$875,"CORTE DE CANA MECANIZADO"),0)</f>
        <v>6.762777777777778</v>
      </c>
      <c r="F534" s="10">
        <f>IFERROR(SUMIFS('Base bordo CD'!M$2:M$875,'Base bordo CD'!D$2:D$875,A534,'Base bordo CD'!A$2:A$875,B534,'Base bordo CD'!L$2:L$875,"MANOBRA"),0)</f>
        <v>0.84138888888888885</v>
      </c>
      <c r="G534" s="10">
        <f>IFERROR(SUMIFS('Base bordo CD'!M$2:M$875,'Base bordo CD'!D$2:D$875,A534,'Base bordo CD'!A$2:A$875,B534,'Base bordo CD'!L$2:L$875,"DESLOCAMENTO"),0)</f>
        <v>0.61694444444444441</v>
      </c>
      <c r="H534" s="10">
        <f>IFERROR(SUMIFS('Base bordo CD'!M$2:M$875,'Base bordo CD'!D$2:D$875,A534,'Base bordo CD'!A$2:A$875,B534,'Base bordo CD'!L$2:L$875,"AGUARDANDO MANOBRA DE TRANSBORDO"),0)+IFERROR(SUMIFS('Base bordo CD'!M$2:M$875,'Base bordo CD'!D$2:D$875,A534,'Base bordo CD'!A$2:A$875,B534,'Base bordo CD'!L$2:L$875,"FALTA DE TRANSBORDO"),0)</f>
        <v>0.56472222222222224</v>
      </c>
      <c r="I534" s="10">
        <f>IFERROR(SUMIFS('Base bordo CD'!M$2:M$875,'Base bordo CD'!D$2:D$875,A534,'Base bordo CD'!A$2:A$875,B534,'Base bordo CD'!L$2:L$875,"PARADA POR CONDICOES CLIMATICAS"),0)+IFERROR(SUMIFS('Base bordo CD'!M$2:M$875,'Base bordo CD'!D$2:D$875,A534,'Base bordo CD'!A$2:A$875,B534,'Base bordo CD'!L$2:L$875,"TEMPO INDETERMINADO"),0)</f>
        <v>14.727222222222222</v>
      </c>
      <c r="J534" s="10">
        <f>IFERROR(SUMIFS('Base bordo CD'!M$2:M$875,'Base bordo CD'!D$2:D$875,A534,'Base bordo CD'!A$2:A$875,B534,'Base bordo CD'!L$2:L$875,"LIMITAÇÃO INDÚSTRIA"),0)</f>
        <v>0</v>
      </c>
      <c r="K534" s="10">
        <f>IFERROR(SUMIFS('Base bordo CD'!M$2:M$875,'Base bordo CD'!D$2:D$875,A534,'Base bordo CD'!A$2:A$875,B534,'Base bordo CD'!L$2:L$875,"MAN CORRETIVA*"),0)+IFERROR(SUMIFS('Base bordo CD'!M$2:M$875,'Base bordo CD'!D$2:D$875,A534,'Base bordo CD'!A$2:A$875,B534,'Base bordo CD'!L$2:L$875,"AGUARDANDO MANUTENCAO*"),0)+IFERROR(SUMIFS('Base bordo CD'!M$2:M$875,'Base bordo CD'!D$2:D$875,A534,'Base bordo CD'!A$2:A$875,B534,'Base bordo CD'!L$2:L$875,"TROCA DE FAQUINHA"),0)+IFERROR(SUMIFS('Base bordo CD'!M$2:M$875,'Base bordo CD'!D$2:D$875,A534,'Base bordo CD'!A$2:A$875,B534,'Base bordo CD'!L$2:L$875,"LIMPEZA*"),0)</f>
        <v>0.4836111111111111</v>
      </c>
      <c r="L534" s="10">
        <f>IFERROR(SUMIFS('Base bordo CD'!M$2:M$875,'Base bordo CD'!D$2:D$875,A534,'Base bordo CD'!A$2:A$875,B534,'Base bordo CD'!L$2:L$875,"PATIO - RESERVA"),0)</f>
        <v>0</v>
      </c>
      <c r="M534" s="10">
        <f>IFERROR(SUMIFS('Base bordo CD'!M$2:M$875,'Base bordo CD'!D$2:D$875,A534,'Base bordo CD'!A$2:A$875,B534,'Base bordo CD'!L$2:L$875,"SEM APONTAMENTO"),0)</f>
        <v>3.3333333333333335E-3</v>
      </c>
      <c r="N534" s="10">
        <f>IFERROR(SUMIFS('Base bordo CD'!M$2:M$875,'Base bordo CD'!D$2:D$875,A534,'Base bordo CD'!A$2:A$875,B534,'Base bordo CD'!L$2:L$875,"FALTA DE CAMINHÃO"),0)+IFERROR(SUMIFS('Base bordo CD'!M$2:M$875,'Base bordo CD'!D$2:D$875,A534,'Base bordo CD'!A$2:A$875,B534,'Base bordo CD'!L$2:L$875,"FALTA DE COMBUSTIVEL"),0)+IFERROR(SUMIFS('Base bordo CD'!M$2:M$875,'Base bordo CD'!D$2:D$875,A534,'Base bordo CD'!A$2:A$875,B534,'Base bordo CD'!L$2:L$875,"FALTA DE MOTORIST*"),0)</f>
        <v>0</v>
      </c>
      <c r="O534" s="10">
        <f t="shared" si="45"/>
        <v>0</v>
      </c>
      <c r="P534" s="10">
        <f>IFERROR(SUMIFS('Base bordo CD'!M$2:M$875,'Base bordo CD'!D$2:D$875,A534,'Base bordo CD'!A$2:A$875,B534),0)</f>
        <v>24</v>
      </c>
      <c r="Q534" s="10">
        <f>IFERROR(SUMIFS('Base bordo CD'!O$2:O$875,'Base bordo CD'!D$2:D$875,A534,'Base bordo CD'!A$2:A$875,B534,'Base bordo CD'!L$2:L$875,"CORTE DE CANA MECANIZADO"),0)</f>
        <v>93510.06</v>
      </c>
      <c r="R534" s="10">
        <f>IFERROR(SUMIFS('Base bordo CD'!Q$2:Q$875,'Base bordo CD'!D$2:D$875,A534,'Base bordo CD'!A$2:A$875,B534,'Base bordo CD'!L$2:L$875,"CORTE DE CANA MECANIZADO"),0)</f>
        <v>24346</v>
      </c>
      <c r="S534" s="30">
        <f t="shared" si="46"/>
        <v>3.8408798159861988</v>
      </c>
      <c r="T534" s="9">
        <f t="shared" si="47"/>
        <v>0.2817824074074074</v>
      </c>
      <c r="U534" s="9">
        <f t="shared" si="48"/>
        <v>3.5057870370370371E-2</v>
      </c>
      <c r="V534" s="9">
        <f t="shared" si="49"/>
        <v>0.69251157407407415</v>
      </c>
    </row>
    <row r="535" spans="1:22" x14ac:dyDescent="0.35">
      <c r="A535" s="52">
        <v>49595</v>
      </c>
      <c r="B535" s="31">
        <v>46119</v>
      </c>
      <c r="C535" s="7" t="s">
        <v>337</v>
      </c>
      <c r="D535" s="7">
        <v>353</v>
      </c>
      <c r="E535" s="10">
        <f>IFERROR(SUMIFS('Base bordo CD'!M$2:M$875,'Base bordo CD'!D$2:D$875,A535,'Base bordo CD'!A$2:A$875,B535,'Base bordo CD'!L$2:L$875,"CORTE DE CANA MECANIZADO"),0)</f>
        <v>6.762777777777778</v>
      </c>
      <c r="F535" s="10">
        <f>IFERROR(SUMIFS('Base bordo CD'!M$2:M$875,'Base bordo CD'!D$2:D$875,A535,'Base bordo CD'!A$2:A$875,B535,'Base bordo CD'!L$2:L$875,"MANOBRA"),0)</f>
        <v>0.84138888888888885</v>
      </c>
      <c r="G535" s="10">
        <f>IFERROR(SUMIFS('Base bordo CD'!M$2:M$875,'Base bordo CD'!D$2:D$875,A535,'Base bordo CD'!A$2:A$875,B535,'Base bordo CD'!L$2:L$875,"DESLOCAMENTO"),0)</f>
        <v>0.61694444444444441</v>
      </c>
      <c r="H535" s="10">
        <f>IFERROR(SUMIFS('Base bordo CD'!M$2:M$875,'Base bordo CD'!D$2:D$875,A535,'Base bordo CD'!A$2:A$875,B535,'Base bordo CD'!L$2:L$875,"AGUARDANDO MANOBRA DE TRANSBORDO"),0)+IFERROR(SUMIFS('Base bordo CD'!M$2:M$875,'Base bordo CD'!D$2:D$875,A535,'Base bordo CD'!A$2:A$875,B535,'Base bordo CD'!L$2:L$875,"FALTA DE TRANSBORDO"),0)</f>
        <v>0.56472222222222224</v>
      </c>
      <c r="I535" s="10">
        <f>IFERROR(SUMIFS('Base bordo CD'!M$2:M$875,'Base bordo CD'!D$2:D$875,A535,'Base bordo CD'!A$2:A$875,B535,'Base bordo CD'!L$2:L$875,"PARADA POR CONDICOES CLIMATICAS"),0)+IFERROR(SUMIFS('Base bordo CD'!M$2:M$875,'Base bordo CD'!D$2:D$875,A535,'Base bordo CD'!A$2:A$875,B535,'Base bordo CD'!L$2:L$875,"TEMPO INDETERMINADO"),0)</f>
        <v>14.727222222222222</v>
      </c>
      <c r="J535" s="10">
        <f>IFERROR(SUMIFS('Base bordo CD'!M$2:M$875,'Base bordo CD'!D$2:D$875,A535,'Base bordo CD'!A$2:A$875,B535,'Base bordo CD'!L$2:L$875,"LIMITAÇÃO INDÚSTRIA"),0)</f>
        <v>0</v>
      </c>
      <c r="K535" s="10">
        <f>IFERROR(SUMIFS('Base bordo CD'!M$2:M$875,'Base bordo CD'!D$2:D$875,A535,'Base bordo CD'!A$2:A$875,B535,'Base bordo CD'!L$2:L$875,"MAN CORRETIVA*"),0)+IFERROR(SUMIFS('Base bordo CD'!M$2:M$875,'Base bordo CD'!D$2:D$875,A535,'Base bordo CD'!A$2:A$875,B535,'Base bordo CD'!L$2:L$875,"AGUARDANDO MANUTENCAO*"),0)+IFERROR(SUMIFS('Base bordo CD'!M$2:M$875,'Base bordo CD'!D$2:D$875,A535,'Base bordo CD'!A$2:A$875,B535,'Base bordo CD'!L$2:L$875,"TROCA DE FAQUINHA"),0)+IFERROR(SUMIFS('Base bordo CD'!M$2:M$875,'Base bordo CD'!D$2:D$875,A535,'Base bordo CD'!A$2:A$875,B535,'Base bordo CD'!L$2:L$875,"LIMPEZA*"),0)</f>
        <v>0.4836111111111111</v>
      </c>
      <c r="L535" s="10">
        <f>IFERROR(SUMIFS('Base bordo CD'!M$2:M$875,'Base bordo CD'!D$2:D$875,A535,'Base bordo CD'!A$2:A$875,B535,'Base bordo CD'!L$2:L$875,"PATIO - RESERVA"),0)</f>
        <v>0</v>
      </c>
      <c r="M535" s="10">
        <f>IFERROR(SUMIFS('Base bordo CD'!M$2:M$875,'Base bordo CD'!D$2:D$875,A535,'Base bordo CD'!A$2:A$875,B535,'Base bordo CD'!L$2:L$875,"SEM APONTAMENTO"),0)</f>
        <v>3.3333333333333335E-3</v>
      </c>
      <c r="N535" s="10">
        <f>IFERROR(SUMIFS('Base bordo CD'!M$2:M$875,'Base bordo CD'!D$2:D$875,A535,'Base bordo CD'!A$2:A$875,B535,'Base bordo CD'!L$2:L$875,"FALTA DE CAMINHÃO"),0)+IFERROR(SUMIFS('Base bordo CD'!M$2:M$875,'Base bordo CD'!D$2:D$875,A535,'Base bordo CD'!A$2:A$875,B535,'Base bordo CD'!L$2:L$875,"FALTA DE COMBUSTIVEL"),0)+IFERROR(SUMIFS('Base bordo CD'!M$2:M$875,'Base bordo CD'!D$2:D$875,A535,'Base bordo CD'!A$2:A$875,B535,'Base bordo CD'!L$2:L$875,"FALTA DE MOTORIST*"),0)</f>
        <v>0</v>
      </c>
      <c r="O535" s="10">
        <f t="shared" si="45"/>
        <v>0</v>
      </c>
      <c r="P535" s="10">
        <f>IFERROR(SUMIFS('Base bordo CD'!M$2:M$875,'Base bordo CD'!D$2:D$875,A535,'Base bordo CD'!A$2:A$875,B535),0)</f>
        <v>24</v>
      </c>
      <c r="Q535" s="10">
        <f>IFERROR(SUMIFS('Base bordo CD'!O$2:O$875,'Base bordo CD'!D$2:D$875,A535,'Base bordo CD'!A$2:A$875,B535,'Base bordo CD'!L$2:L$875,"CORTE DE CANA MECANIZADO"),0)</f>
        <v>93510.06</v>
      </c>
      <c r="R535" s="10">
        <f>IFERROR(SUMIFS('Base bordo CD'!Q$2:Q$875,'Base bordo CD'!D$2:D$875,A535,'Base bordo CD'!A$2:A$875,B535,'Base bordo CD'!L$2:L$875,"CORTE DE CANA MECANIZADO"),0)</f>
        <v>24346</v>
      </c>
      <c r="S535" s="30">
        <f t="shared" si="46"/>
        <v>3.8408798159861988</v>
      </c>
      <c r="T535" s="9">
        <f t="shared" si="47"/>
        <v>0.2817824074074074</v>
      </c>
      <c r="U535" s="9">
        <f t="shared" si="48"/>
        <v>3.5057870370370371E-2</v>
      </c>
      <c r="V535" s="9">
        <f t="shared" si="49"/>
        <v>0.69251157407407415</v>
      </c>
    </row>
    <row r="536" spans="1:22" x14ac:dyDescent="0.35">
      <c r="A536" s="52">
        <v>49595</v>
      </c>
      <c r="B536" s="31">
        <v>46119</v>
      </c>
      <c r="C536" s="7" t="s">
        <v>337</v>
      </c>
      <c r="D536" s="7">
        <v>353</v>
      </c>
      <c r="E536" s="10">
        <f>IFERROR(SUMIFS('Base bordo CD'!M$2:M$875,'Base bordo CD'!D$2:D$875,A536,'Base bordo CD'!A$2:A$875,B536,'Base bordo CD'!L$2:L$875,"CORTE DE CANA MECANIZADO"),0)</f>
        <v>6.762777777777778</v>
      </c>
      <c r="F536" s="10">
        <f>IFERROR(SUMIFS('Base bordo CD'!M$2:M$875,'Base bordo CD'!D$2:D$875,A536,'Base bordo CD'!A$2:A$875,B536,'Base bordo CD'!L$2:L$875,"MANOBRA"),0)</f>
        <v>0.84138888888888885</v>
      </c>
      <c r="G536" s="10">
        <f>IFERROR(SUMIFS('Base bordo CD'!M$2:M$875,'Base bordo CD'!D$2:D$875,A536,'Base bordo CD'!A$2:A$875,B536,'Base bordo CD'!L$2:L$875,"DESLOCAMENTO"),0)</f>
        <v>0.61694444444444441</v>
      </c>
      <c r="H536" s="10">
        <f>IFERROR(SUMIFS('Base bordo CD'!M$2:M$875,'Base bordo CD'!D$2:D$875,A536,'Base bordo CD'!A$2:A$875,B536,'Base bordo CD'!L$2:L$875,"AGUARDANDO MANOBRA DE TRANSBORDO"),0)+IFERROR(SUMIFS('Base bordo CD'!M$2:M$875,'Base bordo CD'!D$2:D$875,A536,'Base bordo CD'!A$2:A$875,B536,'Base bordo CD'!L$2:L$875,"FALTA DE TRANSBORDO"),0)</f>
        <v>0.56472222222222224</v>
      </c>
      <c r="I536" s="10">
        <f>IFERROR(SUMIFS('Base bordo CD'!M$2:M$875,'Base bordo CD'!D$2:D$875,A536,'Base bordo CD'!A$2:A$875,B536,'Base bordo CD'!L$2:L$875,"PARADA POR CONDICOES CLIMATICAS"),0)+IFERROR(SUMIFS('Base bordo CD'!M$2:M$875,'Base bordo CD'!D$2:D$875,A536,'Base bordo CD'!A$2:A$875,B536,'Base bordo CD'!L$2:L$875,"TEMPO INDETERMINADO"),0)</f>
        <v>14.727222222222222</v>
      </c>
      <c r="J536" s="10">
        <f>IFERROR(SUMIFS('Base bordo CD'!M$2:M$875,'Base bordo CD'!D$2:D$875,A536,'Base bordo CD'!A$2:A$875,B536,'Base bordo CD'!L$2:L$875,"LIMITAÇÃO INDÚSTRIA"),0)</f>
        <v>0</v>
      </c>
      <c r="K536" s="10">
        <f>IFERROR(SUMIFS('Base bordo CD'!M$2:M$875,'Base bordo CD'!D$2:D$875,A536,'Base bordo CD'!A$2:A$875,B536,'Base bordo CD'!L$2:L$875,"MAN CORRETIVA*"),0)+IFERROR(SUMIFS('Base bordo CD'!M$2:M$875,'Base bordo CD'!D$2:D$875,A536,'Base bordo CD'!A$2:A$875,B536,'Base bordo CD'!L$2:L$875,"AGUARDANDO MANUTENCAO*"),0)+IFERROR(SUMIFS('Base bordo CD'!M$2:M$875,'Base bordo CD'!D$2:D$875,A536,'Base bordo CD'!A$2:A$875,B536,'Base bordo CD'!L$2:L$875,"TROCA DE FAQUINHA"),0)+IFERROR(SUMIFS('Base bordo CD'!M$2:M$875,'Base bordo CD'!D$2:D$875,A536,'Base bordo CD'!A$2:A$875,B536,'Base bordo CD'!L$2:L$875,"LIMPEZA*"),0)</f>
        <v>0.4836111111111111</v>
      </c>
      <c r="L536" s="10">
        <f>IFERROR(SUMIFS('Base bordo CD'!M$2:M$875,'Base bordo CD'!D$2:D$875,A536,'Base bordo CD'!A$2:A$875,B536,'Base bordo CD'!L$2:L$875,"PATIO - RESERVA"),0)</f>
        <v>0</v>
      </c>
      <c r="M536" s="10">
        <f>IFERROR(SUMIFS('Base bordo CD'!M$2:M$875,'Base bordo CD'!D$2:D$875,A536,'Base bordo CD'!A$2:A$875,B536,'Base bordo CD'!L$2:L$875,"SEM APONTAMENTO"),0)</f>
        <v>3.3333333333333335E-3</v>
      </c>
      <c r="N536" s="10">
        <f>IFERROR(SUMIFS('Base bordo CD'!M$2:M$875,'Base bordo CD'!D$2:D$875,A536,'Base bordo CD'!A$2:A$875,B536,'Base bordo CD'!L$2:L$875,"FALTA DE CAMINHÃO"),0)+IFERROR(SUMIFS('Base bordo CD'!M$2:M$875,'Base bordo CD'!D$2:D$875,A536,'Base bordo CD'!A$2:A$875,B536,'Base bordo CD'!L$2:L$875,"FALTA DE COMBUSTIVEL"),0)+IFERROR(SUMIFS('Base bordo CD'!M$2:M$875,'Base bordo CD'!D$2:D$875,A536,'Base bordo CD'!A$2:A$875,B536,'Base bordo CD'!L$2:L$875,"FALTA DE MOTORIST*"),0)</f>
        <v>0</v>
      </c>
      <c r="O536" s="10">
        <f t="shared" si="45"/>
        <v>0</v>
      </c>
      <c r="P536" s="10">
        <f>IFERROR(SUMIFS('Base bordo CD'!M$2:M$875,'Base bordo CD'!D$2:D$875,A536,'Base bordo CD'!A$2:A$875,B536),0)</f>
        <v>24</v>
      </c>
      <c r="Q536" s="10">
        <f>IFERROR(SUMIFS('Base bordo CD'!O$2:O$875,'Base bordo CD'!D$2:D$875,A536,'Base bordo CD'!A$2:A$875,B536,'Base bordo CD'!L$2:L$875,"CORTE DE CANA MECANIZADO"),0)</f>
        <v>93510.06</v>
      </c>
      <c r="R536" s="10">
        <f>IFERROR(SUMIFS('Base bordo CD'!Q$2:Q$875,'Base bordo CD'!D$2:D$875,A536,'Base bordo CD'!A$2:A$875,B536,'Base bordo CD'!L$2:L$875,"CORTE DE CANA MECANIZADO"),0)</f>
        <v>24346</v>
      </c>
      <c r="S536" s="30">
        <f t="shared" si="46"/>
        <v>3.8408798159861988</v>
      </c>
      <c r="T536" s="9">
        <f t="shared" si="47"/>
        <v>0.2817824074074074</v>
      </c>
      <c r="U536" s="9">
        <f t="shared" si="48"/>
        <v>3.5057870370370371E-2</v>
      </c>
      <c r="V536" s="9">
        <f t="shared" si="49"/>
        <v>0.69251157407407415</v>
      </c>
    </row>
    <row r="537" spans="1:22" x14ac:dyDescent="0.35">
      <c r="A537" s="52">
        <v>49595</v>
      </c>
      <c r="B537" s="31">
        <v>46119</v>
      </c>
      <c r="C537" s="7" t="s">
        <v>337</v>
      </c>
      <c r="D537" s="7">
        <v>353</v>
      </c>
      <c r="E537" s="10">
        <f>IFERROR(SUMIFS('Base bordo CD'!M$2:M$875,'Base bordo CD'!D$2:D$875,A537,'Base bordo CD'!A$2:A$875,B537,'Base bordo CD'!L$2:L$875,"CORTE DE CANA MECANIZADO"),0)</f>
        <v>6.762777777777778</v>
      </c>
      <c r="F537" s="10">
        <f>IFERROR(SUMIFS('Base bordo CD'!M$2:M$875,'Base bordo CD'!D$2:D$875,A537,'Base bordo CD'!A$2:A$875,B537,'Base bordo CD'!L$2:L$875,"MANOBRA"),0)</f>
        <v>0.84138888888888885</v>
      </c>
      <c r="G537" s="10">
        <f>IFERROR(SUMIFS('Base bordo CD'!M$2:M$875,'Base bordo CD'!D$2:D$875,A537,'Base bordo CD'!A$2:A$875,B537,'Base bordo CD'!L$2:L$875,"DESLOCAMENTO"),0)</f>
        <v>0.61694444444444441</v>
      </c>
      <c r="H537" s="10">
        <f>IFERROR(SUMIFS('Base bordo CD'!M$2:M$875,'Base bordo CD'!D$2:D$875,A537,'Base bordo CD'!A$2:A$875,B537,'Base bordo CD'!L$2:L$875,"AGUARDANDO MANOBRA DE TRANSBORDO"),0)+IFERROR(SUMIFS('Base bordo CD'!M$2:M$875,'Base bordo CD'!D$2:D$875,A537,'Base bordo CD'!A$2:A$875,B537,'Base bordo CD'!L$2:L$875,"FALTA DE TRANSBORDO"),0)</f>
        <v>0.56472222222222224</v>
      </c>
      <c r="I537" s="10">
        <f>IFERROR(SUMIFS('Base bordo CD'!M$2:M$875,'Base bordo CD'!D$2:D$875,A537,'Base bordo CD'!A$2:A$875,B537,'Base bordo CD'!L$2:L$875,"PARADA POR CONDICOES CLIMATICAS"),0)+IFERROR(SUMIFS('Base bordo CD'!M$2:M$875,'Base bordo CD'!D$2:D$875,A537,'Base bordo CD'!A$2:A$875,B537,'Base bordo CD'!L$2:L$875,"TEMPO INDETERMINADO"),0)</f>
        <v>14.727222222222222</v>
      </c>
      <c r="J537" s="10">
        <f>IFERROR(SUMIFS('Base bordo CD'!M$2:M$875,'Base bordo CD'!D$2:D$875,A537,'Base bordo CD'!A$2:A$875,B537,'Base bordo CD'!L$2:L$875,"LIMITAÇÃO INDÚSTRIA"),0)</f>
        <v>0</v>
      </c>
      <c r="K537" s="10">
        <f>IFERROR(SUMIFS('Base bordo CD'!M$2:M$875,'Base bordo CD'!D$2:D$875,A537,'Base bordo CD'!A$2:A$875,B537,'Base bordo CD'!L$2:L$875,"MAN CORRETIVA*"),0)+IFERROR(SUMIFS('Base bordo CD'!M$2:M$875,'Base bordo CD'!D$2:D$875,A537,'Base bordo CD'!A$2:A$875,B537,'Base bordo CD'!L$2:L$875,"AGUARDANDO MANUTENCAO*"),0)+IFERROR(SUMIFS('Base bordo CD'!M$2:M$875,'Base bordo CD'!D$2:D$875,A537,'Base bordo CD'!A$2:A$875,B537,'Base bordo CD'!L$2:L$875,"TROCA DE FAQUINHA"),0)+IFERROR(SUMIFS('Base bordo CD'!M$2:M$875,'Base bordo CD'!D$2:D$875,A537,'Base bordo CD'!A$2:A$875,B537,'Base bordo CD'!L$2:L$875,"LIMPEZA*"),0)</f>
        <v>0.4836111111111111</v>
      </c>
      <c r="L537" s="10">
        <f>IFERROR(SUMIFS('Base bordo CD'!M$2:M$875,'Base bordo CD'!D$2:D$875,A537,'Base bordo CD'!A$2:A$875,B537,'Base bordo CD'!L$2:L$875,"PATIO - RESERVA"),0)</f>
        <v>0</v>
      </c>
      <c r="M537" s="10">
        <f>IFERROR(SUMIFS('Base bordo CD'!M$2:M$875,'Base bordo CD'!D$2:D$875,A537,'Base bordo CD'!A$2:A$875,B537,'Base bordo CD'!L$2:L$875,"SEM APONTAMENTO"),0)</f>
        <v>3.3333333333333335E-3</v>
      </c>
      <c r="N537" s="10">
        <f>IFERROR(SUMIFS('Base bordo CD'!M$2:M$875,'Base bordo CD'!D$2:D$875,A537,'Base bordo CD'!A$2:A$875,B537,'Base bordo CD'!L$2:L$875,"FALTA DE CAMINHÃO"),0)+IFERROR(SUMIFS('Base bordo CD'!M$2:M$875,'Base bordo CD'!D$2:D$875,A537,'Base bordo CD'!A$2:A$875,B537,'Base bordo CD'!L$2:L$875,"FALTA DE COMBUSTIVEL"),0)+IFERROR(SUMIFS('Base bordo CD'!M$2:M$875,'Base bordo CD'!D$2:D$875,A537,'Base bordo CD'!A$2:A$875,B537,'Base bordo CD'!L$2:L$875,"FALTA DE MOTORIST*"),0)</f>
        <v>0</v>
      </c>
      <c r="O537" s="10">
        <f t="shared" si="45"/>
        <v>0</v>
      </c>
      <c r="P537" s="10">
        <f>IFERROR(SUMIFS('Base bordo CD'!M$2:M$875,'Base bordo CD'!D$2:D$875,A537,'Base bordo CD'!A$2:A$875,B537),0)</f>
        <v>24</v>
      </c>
      <c r="Q537" s="10">
        <f>IFERROR(SUMIFS('Base bordo CD'!O$2:O$875,'Base bordo CD'!D$2:D$875,A537,'Base bordo CD'!A$2:A$875,B537,'Base bordo CD'!L$2:L$875,"CORTE DE CANA MECANIZADO"),0)</f>
        <v>93510.06</v>
      </c>
      <c r="R537" s="10">
        <f>IFERROR(SUMIFS('Base bordo CD'!Q$2:Q$875,'Base bordo CD'!D$2:D$875,A537,'Base bordo CD'!A$2:A$875,B537,'Base bordo CD'!L$2:L$875,"CORTE DE CANA MECANIZADO"),0)</f>
        <v>24346</v>
      </c>
      <c r="S537" s="30">
        <f t="shared" si="46"/>
        <v>3.8408798159861988</v>
      </c>
      <c r="T537" s="9">
        <f t="shared" si="47"/>
        <v>0.2817824074074074</v>
      </c>
      <c r="U537" s="9">
        <f t="shared" si="48"/>
        <v>3.5057870370370371E-2</v>
      </c>
      <c r="V537" s="9">
        <f t="shared" si="49"/>
        <v>0.69251157407407415</v>
      </c>
    </row>
    <row r="538" spans="1:22" x14ac:dyDescent="0.35">
      <c r="A538" s="52">
        <v>49595</v>
      </c>
      <c r="B538" s="31">
        <v>46119</v>
      </c>
      <c r="C538" s="7" t="s">
        <v>337</v>
      </c>
      <c r="D538" s="7">
        <v>353</v>
      </c>
      <c r="E538" s="10">
        <f>IFERROR(SUMIFS('Base bordo CD'!M$2:M$875,'Base bordo CD'!D$2:D$875,A538,'Base bordo CD'!A$2:A$875,B538,'Base bordo CD'!L$2:L$875,"CORTE DE CANA MECANIZADO"),0)</f>
        <v>6.762777777777778</v>
      </c>
      <c r="F538" s="10">
        <f>IFERROR(SUMIFS('Base bordo CD'!M$2:M$875,'Base bordo CD'!D$2:D$875,A538,'Base bordo CD'!A$2:A$875,B538,'Base bordo CD'!L$2:L$875,"MANOBRA"),0)</f>
        <v>0.84138888888888885</v>
      </c>
      <c r="G538" s="10">
        <f>IFERROR(SUMIFS('Base bordo CD'!M$2:M$875,'Base bordo CD'!D$2:D$875,A538,'Base bordo CD'!A$2:A$875,B538,'Base bordo CD'!L$2:L$875,"DESLOCAMENTO"),0)</f>
        <v>0.61694444444444441</v>
      </c>
      <c r="H538" s="10">
        <f>IFERROR(SUMIFS('Base bordo CD'!M$2:M$875,'Base bordo CD'!D$2:D$875,A538,'Base bordo CD'!A$2:A$875,B538,'Base bordo CD'!L$2:L$875,"AGUARDANDO MANOBRA DE TRANSBORDO"),0)+IFERROR(SUMIFS('Base bordo CD'!M$2:M$875,'Base bordo CD'!D$2:D$875,A538,'Base bordo CD'!A$2:A$875,B538,'Base bordo CD'!L$2:L$875,"FALTA DE TRANSBORDO"),0)</f>
        <v>0.56472222222222224</v>
      </c>
      <c r="I538" s="10">
        <f>IFERROR(SUMIFS('Base bordo CD'!M$2:M$875,'Base bordo CD'!D$2:D$875,A538,'Base bordo CD'!A$2:A$875,B538,'Base bordo CD'!L$2:L$875,"PARADA POR CONDICOES CLIMATICAS"),0)+IFERROR(SUMIFS('Base bordo CD'!M$2:M$875,'Base bordo CD'!D$2:D$875,A538,'Base bordo CD'!A$2:A$875,B538,'Base bordo CD'!L$2:L$875,"TEMPO INDETERMINADO"),0)</f>
        <v>14.727222222222222</v>
      </c>
      <c r="J538" s="10">
        <f>IFERROR(SUMIFS('Base bordo CD'!M$2:M$875,'Base bordo CD'!D$2:D$875,A538,'Base bordo CD'!A$2:A$875,B538,'Base bordo CD'!L$2:L$875,"LIMITAÇÃO INDÚSTRIA"),0)</f>
        <v>0</v>
      </c>
      <c r="K538" s="10">
        <f>IFERROR(SUMIFS('Base bordo CD'!M$2:M$875,'Base bordo CD'!D$2:D$875,A538,'Base bordo CD'!A$2:A$875,B538,'Base bordo CD'!L$2:L$875,"MAN CORRETIVA*"),0)+IFERROR(SUMIFS('Base bordo CD'!M$2:M$875,'Base bordo CD'!D$2:D$875,A538,'Base bordo CD'!A$2:A$875,B538,'Base bordo CD'!L$2:L$875,"AGUARDANDO MANUTENCAO*"),0)+IFERROR(SUMIFS('Base bordo CD'!M$2:M$875,'Base bordo CD'!D$2:D$875,A538,'Base bordo CD'!A$2:A$875,B538,'Base bordo CD'!L$2:L$875,"TROCA DE FAQUINHA"),0)+IFERROR(SUMIFS('Base bordo CD'!M$2:M$875,'Base bordo CD'!D$2:D$875,A538,'Base bordo CD'!A$2:A$875,B538,'Base bordo CD'!L$2:L$875,"LIMPEZA*"),0)</f>
        <v>0.4836111111111111</v>
      </c>
      <c r="L538" s="10">
        <f>IFERROR(SUMIFS('Base bordo CD'!M$2:M$875,'Base bordo CD'!D$2:D$875,A538,'Base bordo CD'!A$2:A$875,B538,'Base bordo CD'!L$2:L$875,"PATIO - RESERVA"),0)</f>
        <v>0</v>
      </c>
      <c r="M538" s="10">
        <f>IFERROR(SUMIFS('Base bordo CD'!M$2:M$875,'Base bordo CD'!D$2:D$875,A538,'Base bordo CD'!A$2:A$875,B538,'Base bordo CD'!L$2:L$875,"SEM APONTAMENTO"),0)</f>
        <v>3.3333333333333335E-3</v>
      </c>
      <c r="N538" s="10">
        <f>IFERROR(SUMIFS('Base bordo CD'!M$2:M$875,'Base bordo CD'!D$2:D$875,A538,'Base bordo CD'!A$2:A$875,B538,'Base bordo CD'!L$2:L$875,"FALTA DE CAMINHÃO"),0)+IFERROR(SUMIFS('Base bordo CD'!M$2:M$875,'Base bordo CD'!D$2:D$875,A538,'Base bordo CD'!A$2:A$875,B538,'Base bordo CD'!L$2:L$875,"FALTA DE COMBUSTIVEL"),0)+IFERROR(SUMIFS('Base bordo CD'!M$2:M$875,'Base bordo CD'!D$2:D$875,A538,'Base bordo CD'!A$2:A$875,B538,'Base bordo CD'!L$2:L$875,"FALTA DE MOTORIST*"),0)</f>
        <v>0</v>
      </c>
      <c r="O538" s="10">
        <f t="shared" si="45"/>
        <v>0</v>
      </c>
      <c r="P538" s="10">
        <f>IFERROR(SUMIFS('Base bordo CD'!M$2:M$875,'Base bordo CD'!D$2:D$875,A538,'Base bordo CD'!A$2:A$875,B538),0)</f>
        <v>24</v>
      </c>
      <c r="Q538" s="10">
        <f>IFERROR(SUMIFS('Base bordo CD'!O$2:O$875,'Base bordo CD'!D$2:D$875,A538,'Base bordo CD'!A$2:A$875,B538,'Base bordo CD'!L$2:L$875,"CORTE DE CANA MECANIZADO"),0)</f>
        <v>93510.06</v>
      </c>
      <c r="R538" s="10">
        <f>IFERROR(SUMIFS('Base bordo CD'!Q$2:Q$875,'Base bordo CD'!D$2:D$875,A538,'Base bordo CD'!A$2:A$875,B538,'Base bordo CD'!L$2:L$875,"CORTE DE CANA MECANIZADO"),0)</f>
        <v>24346</v>
      </c>
      <c r="S538" s="30">
        <f t="shared" si="46"/>
        <v>3.8408798159861988</v>
      </c>
      <c r="T538" s="9">
        <f t="shared" si="47"/>
        <v>0.2817824074074074</v>
      </c>
      <c r="U538" s="9">
        <f t="shared" si="48"/>
        <v>3.5057870370370371E-2</v>
      </c>
      <c r="V538" s="9">
        <f t="shared" si="49"/>
        <v>0.69251157407407415</v>
      </c>
    </row>
    <row r="539" spans="1:22" x14ac:dyDescent="0.35">
      <c r="A539" s="52">
        <v>49595</v>
      </c>
      <c r="B539" s="31">
        <v>46119</v>
      </c>
      <c r="C539" s="7" t="s">
        <v>337</v>
      </c>
      <c r="D539" s="7">
        <v>353</v>
      </c>
      <c r="E539" s="10">
        <f>IFERROR(SUMIFS('Base bordo CD'!M$2:M$875,'Base bordo CD'!D$2:D$875,A539,'Base bordo CD'!A$2:A$875,B539,'Base bordo CD'!L$2:L$875,"CORTE DE CANA MECANIZADO"),0)</f>
        <v>6.762777777777778</v>
      </c>
      <c r="F539" s="10">
        <f>IFERROR(SUMIFS('Base bordo CD'!M$2:M$875,'Base bordo CD'!D$2:D$875,A539,'Base bordo CD'!A$2:A$875,B539,'Base bordo CD'!L$2:L$875,"MANOBRA"),0)</f>
        <v>0.84138888888888885</v>
      </c>
      <c r="G539" s="10">
        <f>IFERROR(SUMIFS('Base bordo CD'!M$2:M$875,'Base bordo CD'!D$2:D$875,A539,'Base bordo CD'!A$2:A$875,B539,'Base bordo CD'!L$2:L$875,"DESLOCAMENTO"),0)</f>
        <v>0.61694444444444441</v>
      </c>
      <c r="H539" s="10">
        <f>IFERROR(SUMIFS('Base bordo CD'!M$2:M$875,'Base bordo CD'!D$2:D$875,A539,'Base bordo CD'!A$2:A$875,B539,'Base bordo CD'!L$2:L$875,"AGUARDANDO MANOBRA DE TRANSBORDO"),0)+IFERROR(SUMIFS('Base bordo CD'!M$2:M$875,'Base bordo CD'!D$2:D$875,A539,'Base bordo CD'!A$2:A$875,B539,'Base bordo CD'!L$2:L$875,"FALTA DE TRANSBORDO"),0)</f>
        <v>0.56472222222222224</v>
      </c>
      <c r="I539" s="10">
        <f>IFERROR(SUMIFS('Base bordo CD'!M$2:M$875,'Base bordo CD'!D$2:D$875,A539,'Base bordo CD'!A$2:A$875,B539,'Base bordo CD'!L$2:L$875,"PARADA POR CONDICOES CLIMATICAS"),0)+IFERROR(SUMIFS('Base bordo CD'!M$2:M$875,'Base bordo CD'!D$2:D$875,A539,'Base bordo CD'!A$2:A$875,B539,'Base bordo CD'!L$2:L$875,"TEMPO INDETERMINADO"),0)</f>
        <v>14.727222222222222</v>
      </c>
      <c r="J539" s="10">
        <f>IFERROR(SUMIFS('Base bordo CD'!M$2:M$875,'Base bordo CD'!D$2:D$875,A539,'Base bordo CD'!A$2:A$875,B539,'Base bordo CD'!L$2:L$875,"LIMITAÇÃO INDÚSTRIA"),0)</f>
        <v>0</v>
      </c>
      <c r="K539" s="10">
        <f>IFERROR(SUMIFS('Base bordo CD'!M$2:M$875,'Base bordo CD'!D$2:D$875,A539,'Base bordo CD'!A$2:A$875,B539,'Base bordo CD'!L$2:L$875,"MAN CORRETIVA*"),0)+IFERROR(SUMIFS('Base bordo CD'!M$2:M$875,'Base bordo CD'!D$2:D$875,A539,'Base bordo CD'!A$2:A$875,B539,'Base bordo CD'!L$2:L$875,"AGUARDANDO MANUTENCAO*"),0)+IFERROR(SUMIFS('Base bordo CD'!M$2:M$875,'Base bordo CD'!D$2:D$875,A539,'Base bordo CD'!A$2:A$875,B539,'Base bordo CD'!L$2:L$875,"TROCA DE FAQUINHA"),0)+IFERROR(SUMIFS('Base bordo CD'!M$2:M$875,'Base bordo CD'!D$2:D$875,A539,'Base bordo CD'!A$2:A$875,B539,'Base bordo CD'!L$2:L$875,"LIMPEZA*"),0)</f>
        <v>0.4836111111111111</v>
      </c>
      <c r="L539" s="10">
        <f>IFERROR(SUMIFS('Base bordo CD'!M$2:M$875,'Base bordo CD'!D$2:D$875,A539,'Base bordo CD'!A$2:A$875,B539,'Base bordo CD'!L$2:L$875,"PATIO - RESERVA"),0)</f>
        <v>0</v>
      </c>
      <c r="M539" s="10">
        <f>IFERROR(SUMIFS('Base bordo CD'!M$2:M$875,'Base bordo CD'!D$2:D$875,A539,'Base bordo CD'!A$2:A$875,B539,'Base bordo CD'!L$2:L$875,"SEM APONTAMENTO"),0)</f>
        <v>3.3333333333333335E-3</v>
      </c>
      <c r="N539" s="10">
        <f>IFERROR(SUMIFS('Base bordo CD'!M$2:M$875,'Base bordo CD'!D$2:D$875,A539,'Base bordo CD'!A$2:A$875,B539,'Base bordo CD'!L$2:L$875,"FALTA DE CAMINHÃO"),0)+IFERROR(SUMIFS('Base bordo CD'!M$2:M$875,'Base bordo CD'!D$2:D$875,A539,'Base bordo CD'!A$2:A$875,B539,'Base bordo CD'!L$2:L$875,"FALTA DE COMBUSTIVEL"),0)+IFERROR(SUMIFS('Base bordo CD'!M$2:M$875,'Base bordo CD'!D$2:D$875,A539,'Base bordo CD'!A$2:A$875,B539,'Base bordo CD'!L$2:L$875,"FALTA DE MOTORIST*"),0)</f>
        <v>0</v>
      </c>
      <c r="O539" s="10">
        <f t="shared" si="45"/>
        <v>0</v>
      </c>
      <c r="P539" s="10">
        <f>IFERROR(SUMIFS('Base bordo CD'!M$2:M$875,'Base bordo CD'!D$2:D$875,A539,'Base bordo CD'!A$2:A$875,B539),0)</f>
        <v>24</v>
      </c>
      <c r="Q539" s="10">
        <f>IFERROR(SUMIFS('Base bordo CD'!O$2:O$875,'Base bordo CD'!D$2:D$875,A539,'Base bordo CD'!A$2:A$875,B539,'Base bordo CD'!L$2:L$875,"CORTE DE CANA MECANIZADO"),0)</f>
        <v>93510.06</v>
      </c>
      <c r="R539" s="10">
        <f>IFERROR(SUMIFS('Base bordo CD'!Q$2:Q$875,'Base bordo CD'!D$2:D$875,A539,'Base bordo CD'!A$2:A$875,B539,'Base bordo CD'!L$2:L$875,"CORTE DE CANA MECANIZADO"),0)</f>
        <v>24346</v>
      </c>
      <c r="S539" s="30">
        <f t="shared" si="46"/>
        <v>3.8408798159861988</v>
      </c>
      <c r="T539" s="9">
        <f t="shared" si="47"/>
        <v>0.2817824074074074</v>
      </c>
      <c r="U539" s="9">
        <f t="shared" si="48"/>
        <v>3.5057870370370371E-2</v>
      </c>
      <c r="V539" s="9">
        <f t="shared" si="49"/>
        <v>0.69251157407407415</v>
      </c>
    </row>
    <row r="540" spans="1:22" x14ac:dyDescent="0.35">
      <c r="A540" s="52">
        <v>49595</v>
      </c>
      <c r="B540" s="31">
        <v>46119</v>
      </c>
      <c r="C540" s="7" t="s">
        <v>337</v>
      </c>
      <c r="D540" s="7">
        <v>353</v>
      </c>
      <c r="E540" s="10">
        <f>IFERROR(SUMIFS('Base bordo CD'!M$2:M$875,'Base bordo CD'!D$2:D$875,A540,'Base bordo CD'!A$2:A$875,B540,'Base bordo CD'!L$2:L$875,"CORTE DE CANA MECANIZADO"),0)</f>
        <v>6.762777777777778</v>
      </c>
      <c r="F540" s="10">
        <f>IFERROR(SUMIFS('Base bordo CD'!M$2:M$875,'Base bordo CD'!D$2:D$875,A540,'Base bordo CD'!A$2:A$875,B540,'Base bordo CD'!L$2:L$875,"MANOBRA"),0)</f>
        <v>0.84138888888888885</v>
      </c>
      <c r="G540" s="10">
        <f>IFERROR(SUMIFS('Base bordo CD'!M$2:M$875,'Base bordo CD'!D$2:D$875,A540,'Base bordo CD'!A$2:A$875,B540,'Base bordo CD'!L$2:L$875,"DESLOCAMENTO"),0)</f>
        <v>0.61694444444444441</v>
      </c>
      <c r="H540" s="10">
        <f>IFERROR(SUMIFS('Base bordo CD'!M$2:M$875,'Base bordo CD'!D$2:D$875,A540,'Base bordo CD'!A$2:A$875,B540,'Base bordo CD'!L$2:L$875,"AGUARDANDO MANOBRA DE TRANSBORDO"),0)+IFERROR(SUMIFS('Base bordo CD'!M$2:M$875,'Base bordo CD'!D$2:D$875,A540,'Base bordo CD'!A$2:A$875,B540,'Base bordo CD'!L$2:L$875,"FALTA DE TRANSBORDO"),0)</f>
        <v>0.56472222222222224</v>
      </c>
      <c r="I540" s="10">
        <f>IFERROR(SUMIFS('Base bordo CD'!M$2:M$875,'Base bordo CD'!D$2:D$875,A540,'Base bordo CD'!A$2:A$875,B540,'Base bordo CD'!L$2:L$875,"PARADA POR CONDICOES CLIMATICAS"),0)+IFERROR(SUMIFS('Base bordo CD'!M$2:M$875,'Base bordo CD'!D$2:D$875,A540,'Base bordo CD'!A$2:A$875,B540,'Base bordo CD'!L$2:L$875,"TEMPO INDETERMINADO"),0)</f>
        <v>14.727222222222222</v>
      </c>
      <c r="J540" s="10">
        <f>IFERROR(SUMIFS('Base bordo CD'!M$2:M$875,'Base bordo CD'!D$2:D$875,A540,'Base bordo CD'!A$2:A$875,B540,'Base bordo CD'!L$2:L$875,"LIMITAÇÃO INDÚSTRIA"),0)</f>
        <v>0</v>
      </c>
      <c r="K540" s="10">
        <f>IFERROR(SUMIFS('Base bordo CD'!M$2:M$875,'Base bordo CD'!D$2:D$875,A540,'Base bordo CD'!A$2:A$875,B540,'Base bordo CD'!L$2:L$875,"MAN CORRETIVA*"),0)+IFERROR(SUMIFS('Base bordo CD'!M$2:M$875,'Base bordo CD'!D$2:D$875,A540,'Base bordo CD'!A$2:A$875,B540,'Base bordo CD'!L$2:L$875,"AGUARDANDO MANUTENCAO*"),0)+IFERROR(SUMIFS('Base bordo CD'!M$2:M$875,'Base bordo CD'!D$2:D$875,A540,'Base bordo CD'!A$2:A$875,B540,'Base bordo CD'!L$2:L$875,"TROCA DE FAQUINHA"),0)+IFERROR(SUMIFS('Base bordo CD'!M$2:M$875,'Base bordo CD'!D$2:D$875,A540,'Base bordo CD'!A$2:A$875,B540,'Base bordo CD'!L$2:L$875,"LIMPEZA*"),0)</f>
        <v>0.4836111111111111</v>
      </c>
      <c r="L540" s="10">
        <f>IFERROR(SUMIFS('Base bordo CD'!M$2:M$875,'Base bordo CD'!D$2:D$875,A540,'Base bordo CD'!A$2:A$875,B540,'Base bordo CD'!L$2:L$875,"PATIO - RESERVA"),0)</f>
        <v>0</v>
      </c>
      <c r="M540" s="10">
        <f>IFERROR(SUMIFS('Base bordo CD'!M$2:M$875,'Base bordo CD'!D$2:D$875,A540,'Base bordo CD'!A$2:A$875,B540,'Base bordo CD'!L$2:L$875,"SEM APONTAMENTO"),0)</f>
        <v>3.3333333333333335E-3</v>
      </c>
      <c r="N540" s="10">
        <f>IFERROR(SUMIFS('Base bordo CD'!M$2:M$875,'Base bordo CD'!D$2:D$875,A540,'Base bordo CD'!A$2:A$875,B540,'Base bordo CD'!L$2:L$875,"FALTA DE CAMINHÃO"),0)+IFERROR(SUMIFS('Base bordo CD'!M$2:M$875,'Base bordo CD'!D$2:D$875,A540,'Base bordo CD'!A$2:A$875,B540,'Base bordo CD'!L$2:L$875,"FALTA DE COMBUSTIVEL"),0)+IFERROR(SUMIFS('Base bordo CD'!M$2:M$875,'Base bordo CD'!D$2:D$875,A540,'Base bordo CD'!A$2:A$875,B540,'Base bordo CD'!L$2:L$875,"FALTA DE MOTORIST*"),0)</f>
        <v>0</v>
      </c>
      <c r="O540" s="10">
        <f t="shared" si="45"/>
        <v>0</v>
      </c>
      <c r="P540" s="10">
        <f>IFERROR(SUMIFS('Base bordo CD'!M$2:M$875,'Base bordo CD'!D$2:D$875,A540,'Base bordo CD'!A$2:A$875,B540),0)</f>
        <v>24</v>
      </c>
      <c r="Q540" s="10">
        <f>IFERROR(SUMIFS('Base bordo CD'!O$2:O$875,'Base bordo CD'!D$2:D$875,A540,'Base bordo CD'!A$2:A$875,B540,'Base bordo CD'!L$2:L$875,"CORTE DE CANA MECANIZADO"),0)</f>
        <v>93510.06</v>
      </c>
      <c r="R540" s="10">
        <f>IFERROR(SUMIFS('Base bordo CD'!Q$2:Q$875,'Base bordo CD'!D$2:D$875,A540,'Base bordo CD'!A$2:A$875,B540,'Base bordo CD'!L$2:L$875,"CORTE DE CANA MECANIZADO"),0)</f>
        <v>24346</v>
      </c>
      <c r="S540" s="30">
        <f t="shared" si="46"/>
        <v>3.8408798159861988</v>
      </c>
      <c r="T540" s="9">
        <f t="shared" si="47"/>
        <v>0.2817824074074074</v>
      </c>
      <c r="U540" s="9">
        <f t="shared" si="48"/>
        <v>3.5057870370370371E-2</v>
      </c>
      <c r="V540" s="9">
        <f t="shared" si="49"/>
        <v>0.69251157407407415</v>
      </c>
    </row>
    <row r="541" spans="1:22" x14ac:dyDescent="0.35">
      <c r="A541" s="52">
        <v>49595</v>
      </c>
      <c r="B541" s="31">
        <v>46119</v>
      </c>
      <c r="C541" s="7" t="s">
        <v>337</v>
      </c>
      <c r="D541" s="7">
        <v>353</v>
      </c>
      <c r="E541" s="10">
        <f>IFERROR(SUMIFS('Base bordo CD'!M$2:M$875,'Base bordo CD'!D$2:D$875,A541,'Base bordo CD'!A$2:A$875,B541,'Base bordo CD'!L$2:L$875,"CORTE DE CANA MECANIZADO"),0)</f>
        <v>6.762777777777778</v>
      </c>
      <c r="F541" s="10">
        <f>IFERROR(SUMIFS('Base bordo CD'!M$2:M$875,'Base bordo CD'!D$2:D$875,A541,'Base bordo CD'!A$2:A$875,B541,'Base bordo CD'!L$2:L$875,"MANOBRA"),0)</f>
        <v>0.84138888888888885</v>
      </c>
      <c r="G541" s="10">
        <f>IFERROR(SUMIFS('Base bordo CD'!M$2:M$875,'Base bordo CD'!D$2:D$875,A541,'Base bordo CD'!A$2:A$875,B541,'Base bordo CD'!L$2:L$875,"DESLOCAMENTO"),0)</f>
        <v>0.61694444444444441</v>
      </c>
      <c r="H541" s="10">
        <f>IFERROR(SUMIFS('Base bordo CD'!M$2:M$875,'Base bordo CD'!D$2:D$875,A541,'Base bordo CD'!A$2:A$875,B541,'Base bordo CD'!L$2:L$875,"AGUARDANDO MANOBRA DE TRANSBORDO"),0)+IFERROR(SUMIFS('Base bordo CD'!M$2:M$875,'Base bordo CD'!D$2:D$875,A541,'Base bordo CD'!A$2:A$875,B541,'Base bordo CD'!L$2:L$875,"FALTA DE TRANSBORDO"),0)</f>
        <v>0.56472222222222224</v>
      </c>
      <c r="I541" s="10">
        <f>IFERROR(SUMIFS('Base bordo CD'!M$2:M$875,'Base bordo CD'!D$2:D$875,A541,'Base bordo CD'!A$2:A$875,B541,'Base bordo CD'!L$2:L$875,"PARADA POR CONDICOES CLIMATICAS"),0)+IFERROR(SUMIFS('Base bordo CD'!M$2:M$875,'Base bordo CD'!D$2:D$875,A541,'Base bordo CD'!A$2:A$875,B541,'Base bordo CD'!L$2:L$875,"TEMPO INDETERMINADO"),0)</f>
        <v>14.727222222222222</v>
      </c>
      <c r="J541" s="10">
        <f>IFERROR(SUMIFS('Base bordo CD'!M$2:M$875,'Base bordo CD'!D$2:D$875,A541,'Base bordo CD'!A$2:A$875,B541,'Base bordo CD'!L$2:L$875,"LIMITAÇÃO INDÚSTRIA"),0)</f>
        <v>0</v>
      </c>
      <c r="K541" s="10">
        <f>IFERROR(SUMIFS('Base bordo CD'!M$2:M$875,'Base bordo CD'!D$2:D$875,A541,'Base bordo CD'!A$2:A$875,B541,'Base bordo CD'!L$2:L$875,"MAN CORRETIVA*"),0)+IFERROR(SUMIFS('Base bordo CD'!M$2:M$875,'Base bordo CD'!D$2:D$875,A541,'Base bordo CD'!A$2:A$875,B541,'Base bordo CD'!L$2:L$875,"AGUARDANDO MANUTENCAO*"),0)+IFERROR(SUMIFS('Base bordo CD'!M$2:M$875,'Base bordo CD'!D$2:D$875,A541,'Base bordo CD'!A$2:A$875,B541,'Base bordo CD'!L$2:L$875,"TROCA DE FAQUINHA"),0)+IFERROR(SUMIFS('Base bordo CD'!M$2:M$875,'Base bordo CD'!D$2:D$875,A541,'Base bordo CD'!A$2:A$875,B541,'Base bordo CD'!L$2:L$875,"LIMPEZA*"),0)</f>
        <v>0.4836111111111111</v>
      </c>
      <c r="L541" s="10">
        <f>IFERROR(SUMIFS('Base bordo CD'!M$2:M$875,'Base bordo CD'!D$2:D$875,A541,'Base bordo CD'!A$2:A$875,B541,'Base bordo CD'!L$2:L$875,"PATIO - RESERVA"),0)</f>
        <v>0</v>
      </c>
      <c r="M541" s="10">
        <f>IFERROR(SUMIFS('Base bordo CD'!M$2:M$875,'Base bordo CD'!D$2:D$875,A541,'Base bordo CD'!A$2:A$875,B541,'Base bordo CD'!L$2:L$875,"SEM APONTAMENTO"),0)</f>
        <v>3.3333333333333335E-3</v>
      </c>
      <c r="N541" s="10">
        <f>IFERROR(SUMIFS('Base bordo CD'!M$2:M$875,'Base bordo CD'!D$2:D$875,A541,'Base bordo CD'!A$2:A$875,B541,'Base bordo CD'!L$2:L$875,"FALTA DE CAMINHÃO"),0)+IFERROR(SUMIFS('Base bordo CD'!M$2:M$875,'Base bordo CD'!D$2:D$875,A541,'Base bordo CD'!A$2:A$875,B541,'Base bordo CD'!L$2:L$875,"FALTA DE COMBUSTIVEL"),0)+IFERROR(SUMIFS('Base bordo CD'!M$2:M$875,'Base bordo CD'!D$2:D$875,A541,'Base bordo CD'!A$2:A$875,B541,'Base bordo CD'!L$2:L$875,"FALTA DE MOTORIST*"),0)</f>
        <v>0</v>
      </c>
      <c r="O541" s="10">
        <f t="shared" si="45"/>
        <v>0</v>
      </c>
      <c r="P541" s="10">
        <f>IFERROR(SUMIFS('Base bordo CD'!M$2:M$875,'Base bordo CD'!D$2:D$875,A541,'Base bordo CD'!A$2:A$875,B541),0)</f>
        <v>24</v>
      </c>
      <c r="Q541" s="10">
        <f>IFERROR(SUMIFS('Base bordo CD'!O$2:O$875,'Base bordo CD'!D$2:D$875,A541,'Base bordo CD'!A$2:A$875,B541,'Base bordo CD'!L$2:L$875,"CORTE DE CANA MECANIZADO"),0)</f>
        <v>93510.06</v>
      </c>
      <c r="R541" s="10">
        <f>IFERROR(SUMIFS('Base bordo CD'!Q$2:Q$875,'Base bordo CD'!D$2:D$875,A541,'Base bordo CD'!A$2:A$875,B541,'Base bordo CD'!L$2:L$875,"CORTE DE CANA MECANIZADO"),0)</f>
        <v>24346</v>
      </c>
      <c r="S541" s="30">
        <f t="shared" si="46"/>
        <v>3.8408798159861988</v>
      </c>
      <c r="T541" s="9">
        <f t="shared" si="47"/>
        <v>0.2817824074074074</v>
      </c>
      <c r="U541" s="9">
        <f t="shared" si="48"/>
        <v>3.5057870370370371E-2</v>
      </c>
      <c r="V541" s="9">
        <f t="shared" si="49"/>
        <v>0.69251157407407415</v>
      </c>
    </row>
    <row r="542" spans="1:22" x14ac:dyDescent="0.35">
      <c r="A542" s="52">
        <v>49595</v>
      </c>
      <c r="B542" s="31">
        <v>46119</v>
      </c>
      <c r="C542" s="7" t="s">
        <v>337</v>
      </c>
      <c r="D542" s="7">
        <v>353</v>
      </c>
      <c r="E542" s="10">
        <f>IFERROR(SUMIFS('Base bordo CD'!M$2:M$875,'Base bordo CD'!D$2:D$875,A542,'Base bordo CD'!A$2:A$875,B542,'Base bordo CD'!L$2:L$875,"CORTE DE CANA MECANIZADO"),0)</f>
        <v>6.762777777777778</v>
      </c>
      <c r="F542" s="10">
        <f>IFERROR(SUMIFS('Base bordo CD'!M$2:M$875,'Base bordo CD'!D$2:D$875,A542,'Base bordo CD'!A$2:A$875,B542,'Base bordo CD'!L$2:L$875,"MANOBRA"),0)</f>
        <v>0.84138888888888885</v>
      </c>
      <c r="G542" s="10">
        <f>IFERROR(SUMIFS('Base bordo CD'!M$2:M$875,'Base bordo CD'!D$2:D$875,A542,'Base bordo CD'!A$2:A$875,B542,'Base bordo CD'!L$2:L$875,"DESLOCAMENTO"),0)</f>
        <v>0.61694444444444441</v>
      </c>
      <c r="H542" s="10">
        <f>IFERROR(SUMIFS('Base bordo CD'!M$2:M$875,'Base bordo CD'!D$2:D$875,A542,'Base bordo CD'!A$2:A$875,B542,'Base bordo CD'!L$2:L$875,"AGUARDANDO MANOBRA DE TRANSBORDO"),0)+IFERROR(SUMIFS('Base bordo CD'!M$2:M$875,'Base bordo CD'!D$2:D$875,A542,'Base bordo CD'!A$2:A$875,B542,'Base bordo CD'!L$2:L$875,"FALTA DE TRANSBORDO"),0)</f>
        <v>0.56472222222222224</v>
      </c>
      <c r="I542" s="10">
        <f>IFERROR(SUMIFS('Base bordo CD'!M$2:M$875,'Base bordo CD'!D$2:D$875,A542,'Base bordo CD'!A$2:A$875,B542,'Base bordo CD'!L$2:L$875,"PARADA POR CONDICOES CLIMATICAS"),0)+IFERROR(SUMIFS('Base bordo CD'!M$2:M$875,'Base bordo CD'!D$2:D$875,A542,'Base bordo CD'!A$2:A$875,B542,'Base bordo CD'!L$2:L$875,"TEMPO INDETERMINADO"),0)</f>
        <v>14.727222222222222</v>
      </c>
      <c r="J542" s="10">
        <f>IFERROR(SUMIFS('Base bordo CD'!M$2:M$875,'Base bordo CD'!D$2:D$875,A542,'Base bordo CD'!A$2:A$875,B542,'Base bordo CD'!L$2:L$875,"LIMITAÇÃO INDÚSTRIA"),0)</f>
        <v>0</v>
      </c>
      <c r="K542" s="10">
        <f>IFERROR(SUMIFS('Base bordo CD'!M$2:M$875,'Base bordo CD'!D$2:D$875,A542,'Base bordo CD'!A$2:A$875,B542,'Base bordo CD'!L$2:L$875,"MAN CORRETIVA*"),0)+IFERROR(SUMIFS('Base bordo CD'!M$2:M$875,'Base bordo CD'!D$2:D$875,A542,'Base bordo CD'!A$2:A$875,B542,'Base bordo CD'!L$2:L$875,"AGUARDANDO MANUTENCAO*"),0)+IFERROR(SUMIFS('Base bordo CD'!M$2:M$875,'Base bordo CD'!D$2:D$875,A542,'Base bordo CD'!A$2:A$875,B542,'Base bordo CD'!L$2:L$875,"TROCA DE FAQUINHA"),0)+IFERROR(SUMIFS('Base bordo CD'!M$2:M$875,'Base bordo CD'!D$2:D$875,A542,'Base bordo CD'!A$2:A$875,B542,'Base bordo CD'!L$2:L$875,"LIMPEZA*"),0)</f>
        <v>0.4836111111111111</v>
      </c>
      <c r="L542" s="10">
        <f>IFERROR(SUMIFS('Base bordo CD'!M$2:M$875,'Base bordo CD'!D$2:D$875,A542,'Base bordo CD'!A$2:A$875,B542,'Base bordo CD'!L$2:L$875,"PATIO - RESERVA"),0)</f>
        <v>0</v>
      </c>
      <c r="M542" s="10">
        <f>IFERROR(SUMIFS('Base bordo CD'!M$2:M$875,'Base bordo CD'!D$2:D$875,A542,'Base bordo CD'!A$2:A$875,B542,'Base bordo CD'!L$2:L$875,"SEM APONTAMENTO"),0)</f>
        <v>3.3333333333333335E-3</v>
      </c>
      <c r="N542" s="10">
        <f>IFERROR(SUMIFS('Base bordo CD'!M$2:M$875,'Base bordo CD'!D$2:D$875,A542,'Base bordo CD'!A$2:A$875,B542,'Base bordo CD'!L$2:L$875,"FALTA DE CAMINHÃO"),0)+IFERROR(SUMIFS('Base bordo CD'!M$2:M$875,'Base bordo CD'!D$2:D$875,A542,'Base bordo CD'!A$2:A$875,B542,'Base bordo CD'!L$2:L$875,"FALTA DE COMBUSTIVEL"),0)+IFERROR(SUMIFS('Base bordo CD'!M$2:M$875,'Base bordo CD'!D$2:D$875,A542,'Base bordo CD'!A$2:A$875,B542,'Base bordo CD'!L$2:L$875,"FALTA DE MOTORIST*"),0)</f>
        <v>0</v>
      </c>
      <c r="O542" s="10">
        <f t="shared" si="45"/>
        <v>0</v>
      </c>
      <c r="P542" s="10">
        <f>IFERROR(SUMIFS('Base bordo CD'!M$2:M$875,'Base bordo CD'!D$2:D$875,A542,'Base bordo CD'!A$2:A$875,B542),0)</f>
        <v>24</v>
      </c>
      <c r="Q542" s="10">
        <f>IFERROR(SUMIFS('Base bordo CD'!O$2:O$875,'Base bordo CD'!D$2:D$875,A542,'Base bordo CD'!A$2:A$875,B542,'Base bordo CD'!L$2:L$875,"CORTE DE CANA MECANIZADO"),0)</f>
        <v>93510.06</v>
      </c>
      <c r="R542" s="10">
        <f>IFERROR(SUMIFS('Base bordo CD'!Q$2:Q$875,'Base bordo CD'!D$2:D$875,A542,'Base bordo CD'!A$2:A$875,B542,'Base bordo CD'!L$2:L$875,"CORTE DE CANA MECANIZADO"),0)</f>
        <v>24346</v>
      </c>
      <c r="S542" s="30">
        <f t="shared" si="46"/>
        <v>3.8408798159861988</v>
      </c>
      <c r="T542" s="9">
        <f t="shared" si="47"/>
        <v>0.2817824074074074</v>
      </c>
      <c r="U542" s="9">
        <f t="shared" si="48"/>
        <v>3.5057870370370371E-2</v>
      </c>
      <c r="V542" s="9">
        <f t="shared" si="49"/>
        <v>0.69251157407407415</v>
      </c>
    </row>
    <row r="543" spans="1:22" x14ac:dyDescent="0.35">
      <c r="A543" s="52">
        <v>49595</v>
      </c>
      <c r="B543" s="31">
        <v>46119</v>
      </c>
      <c r="C543" s="7" t="s">
        <v>337</v>
      </c>
      <c r="D543" s="7">
        <v>353</v>
      </c>
      <c r="E543" s="10">
        <f>IFERROR(SUMIFS('Base bordo CD'!M$2:M$875,'Base bordo CD'!D$2:D$875,A543,'Base bordo CD'!A$2:A$875,B543,'Base bordo CD'!L$2:L$875,"CORTE DE CANA MECANIZADO"),0)</f>
        <v>6.762777777777778</v>
      </c>
      <c r="F543" s="10">
        <f>IFERROR(SUMIFS('Base bordo CD'!M$2:M$875,'Base bordo CD'!D$2:D$875,A543,'Base bordo CD'!A$2:A$875,B543,'Base bordo CD'!L$2:L$875,"MANOBRA"),0)</f>
        <v>0.84138888888888885</v>
      </c>
      <c r="G543" s="10">
        <f>IFERROR(SUMIFS('Base bordo CD'!M$2:M$875,'Base bordo CD'!D$2:D$875,A543,'Base bordo CD'!A$2:A$875,B543,'Base bordo CD'!L$2:L$875,"DESLOCAMENTO"),0)</f>
        <v>0.61694444444444441</v>
      </c>
      <c r="H543" s="10">
        <f>IFERROR(SUMIFS('Base bordo CD'!M$2:M$875,'Base bordo CD'!D$2:D$875,A543,'Base bordo CD'!A$2:A$875,B543,'Base bordo CD'!L$2:L$875,"AGUARDANDO MANOBRA DE TRANSBORDO"),0)+IFERROR(SUMIFS('Base bordo CD'!M$2:M$875,'Base bordo CD'!D$2:D$875,A543,'Base bordo CD'!A$2:A$875,B543,'Base bordo CD'!L$2:L$875,"FALTA DE TRANSBORDO"),0)</f>
        <v>0.56472222222222224</v>
      </c>
      <c r="I543" s="10">
        <f>IFERROR(SUMIFS('Base bordo CD'!M$2:M$875,'Base bordo CD'!D$2:D$875,A543,'Base bordo CD'!A$2:A$875,B543,'Base bordo CD'!L$2:L$875,"PARADA POR CONDICOES CLIMATICAS"),0)+IFERROR(SUMIFS('Base bordo CD'!M$2:M$875,'Base bordo CD'!D$2:D$875,A543,'Base bordo CD'!A$2:A$875,B543,'Base bordo CD'!L$2:L$875,"TEMPO INDETERMINADO"),0)</f>
        <v>14.727222222222222</v>
      </c>
      <c r="J543" s="10">
        <f>IFERROR(SUMIFS('Base bordo CD'!M$2:M$875,'Base bordo CD'!D$2:D$875,A543,'Base bordo CD'!A$2:A$875,B543,'Base bordo CD'!L$2:L$875,"LIMITAÇÃO INDÚSTRIA"),0)</f>
        <v>0</v>
      </c>
      <c r="K543" s="10">
        <f>IFERROR(SUMIFS('Base bordo CD'!M$2:M$875,'Base bordo CD'!D$2:D$875,A543,'Base bordo CD'!A$2:A$875,B543,'Base bordo CD'!L$2:L$875,"MAN CORRETIVA*"),0)+IFERROR(SUMIFS('Base bordo CD'!M$2:M$875,'Base bordo CD'!D$2:D$875,A543,'Base bordo CD'!A$2:A$875,B543,'Base bordo CD'!L$2:L$875,"AGUARDANDO MANUTENCAO*"),0)+IFERROR(SUMIFS('Base bordo CD'!M$2:M$875,'Base bordo CD'!D$2:D$875,A543,'Base bordo CD'!A$2:A$875,B543,'Base bordo CD'!L$2:L$875,"TROCA DE FAQUINHA"),0)+IFERROR(SUMIFS('Base bordo CD'!M$2:M$875,'Base bordo CD'!D$2:D$875,A543,'Base bordo CD'!A$2:A$875,B543,'Base bordo CD'!L$2:L$875,"LIMPEZA*"),0)</f>
        <v>0.4836111111111111</v>
      </c>
      <c r="L543" s="10">
        <f>IFERROR(SUMIFS('Base bordo CD'!M$2:M$875,'Base bordo CD'!D$2:D$875,A543,'Base bordo CD'!A$2:A$875,B543,'Base bordo CD'!L$2:L$875,"PATIO - RESERVA"),0)</f>
        <v>0</v>
      </c>
      <c r="M543" s="10">
        <f>IFERROR(SUMIFS('Base bordo CD'!M$2:M$875,'Base bordo CD'!D$2:D$875,A543,'Base bordo CD'!A$2:A$875,B543,'Base bordo CD'!L$2:L$875,"SEM APONTAMENTO"),0)</f>
        <v>3.3333333333333335E-3</v>
      </c>
      <c r="N543" s="10">
        <f>IFERROR(SUMIFS('Base bordo CD'!M$2:M$875,'Base bordo CD'!D$2:D$875,A543,'Base bordo CD'!A$2:A$875,B543,'Base bordo CD'!L$2:L$875,"FALTA DE CAMINHÃO"),0)+IFERROR(SUMIFS('Base bordo CD'!M$2:M$875,'Base bordo CD'!D$2:D$875,A543,'Base bordo CD'!A$2:A$875,B543,'Base bordo CD'!L$2:L$875,"FALTA DE COMBUSTIVEL"),0)+IFERROR(SUMIFS('Base bordo CD'!M$2:M$875,'Base bordo CD'!D$2:D$875,A543,'Base bordo CD'!A$2:A$875,B543,'Base bordo CD'!L$2:L$875,"FALTA DE MOTORIST*"),0)</f>
        <v>0</v>
      </c>
      <c r="O543" s="10">
        <f t="shared" si="45"/>
        <v>0</v>
      </c>
      <c r="P543" s="10">
        <f>IFERROR(SUMIFS('Base bordo CD'!M$2:M$875,'Base bordo CD'!D$2:D$875,A543,'Base bordo CD'!A$2:A$875,B543),0)</f>
        <v>24</v>
      </c>
      <c r="Q543" s="10">
        <f>IFERROR(SUMIFS('Base bordo CD'!O$2:O$875,'Base bordo CD'!D$2:D$875,A543,'Base bordo CD'!A$2:A$875,B543,'Base bordo CD'!L$2:L$875,"CORTE DE CANA MECANIZADO"),0)</f>
        <v>93510.06</v>
      </c>
      <c r="R543" s="10">
        <f>IFERROR(SUMIFS('Base bordo CD'!Q$2:Q$875,'Base bordo CD'!D$2:D$875,A543,'Base bordo CD'!A$2:A$875,B543,'Base bordo CD'!L$2:L$875,"CORTE DE CANA MECANIZADO"),0)</f>
        <v>24346</v>
      </c>
      <c r="S543" s="30">
        <f t="shared" si="46"/>
        <v>3.8408798159861988</v>
      </c>
      <c r="T543" s="9">
        <f t="shared" si="47"/>
        <v>0.2817824074074074</v>
      </c>
      <c r="U543" s="9">
        <f t="shared" si="48"/>
        <v>3.5057870370370371E-2</v>
      </c>
      <c r="V543" s="9">
        <f t="shared" si="49"/>
        <v>0.69251157407407415</v>
      </c>
    </row>
    <row r="544" spans="1:22" x14ac:dyDescent="0.35">
      <c r="A544" s="52">
        <v>49595</v>
      </c>
      <c r="B544" s="31">
        <v>46119</v>
      </c>
      <c r="C544" s="7" t="s">
        <v>337</v>
      </c>
      <c r="D544" s="7">
        <v>353</v>
      </c>
      <c r="E544" s="10">
        <f>IFERROR(SUMIFS('Base bordo CD'!M$2:M$875,'Base bordo CD'!D$2:D$875,A544,'Base bordo CD'!A$2:A$875,B544,'Base bordo CD'!L$2:L$875,"CORTE DE CANA MECANIZADO"),0)</f>
        <v>6.762777777777778</v>
      </c>
      <c r="F544" s="10">
        <f>IFERROR(SUMIFS('Base bordo CD'!M$2:M$875,'Base bordo CD'!D$2:D$875,A544,'Base bordo CD'!A$2:A$875,B544,'Base bordo CD'!L$2:L$875,"MANOBRA"),0)</f>
        <v>0.84138888888888885</v>
      </c>
      <c r="G544" s="10">
        <f>IFERROR(SUMIFS('Base bordo CD'!M$2:M$875,'Base bordo CD'!D$2:D$875,A544,'Base bordo CD'!A$2:A$875,B544,'Base bordo CD'!L$2:L$875,"DESLOCAMENTO"),0)</f>
        <v>0.61694444444444441</v>
      </c>
      <c r="H544" s="10">
        <f>IFERROR(SUMIFS('Base bordo CD'!M$2:M$875,'Base bordo CD'!D$2:D$875,A544,'Base bordo CD'!A$2:A$875,B544,'Base bordo CD'!L$2:L$875,"AGUARDANDO MANOBRA DE TRANSBORDO"),0)+IFERROR(SUMIFS('Base bordo CD'!M$2:M$875,'Base bordo CD'!D$2:D$875,A544,'Base bordo CD'!A$2:A$875,B544,'Base bordo CD'!L$2:L$875,"FALTA DE TRANSBORDO"),0)</f>
        <v>0.56472222222222224</v>
      </c>
      <c r="I544" s="10">
        <f>IFERROR(SUMIFS('Base bordo CD'!M$2:M$875,'Base bordo CD'!D$2:D$875,A544,'Base bordo CD'!A$2:A$875,B544,'Base bordo CD'!L$2:L$875,"PARADA POR CONDICOES CLIMATICAS"),0)+IFERROR(SUMIFS('Base bordo CD'!M$2:M$875,'Base bordo CD'!D$2:D$875,A544,'Base bordo CD'!A$2:A$875,B544,'Base bordo CD'!L$2:L$875,"TEMPO INDETERMINADO"),0)</f>
        <v>14.727222222222222</v>
      </c>
      <c r="J544" s="10">
        <f>IFERROR(SUMIFS('Base bordo CD'!M$2:M$875,'Base bordo CD'!D$2:D$875,A544,'Base bordo CD'!A$2:A$875,B544,'Base bordo CD'!L$2:L$875,"LIMITAÇÃO INDÚSTRIA"),0)</f>
        <v>0</v>
      </c>
      <c r="K544" s="10">
        <f>IFERROR(SUMIFS('Base bordo CD'!M$2:M$875,'Base bordo CD'!D$2:D$875,A544,'Base bordo CD'!A$2:A$875,B544,'Base bordo CD'!L$2:L$875,"MAN CORRETIVA*"),0)+IFERROR(SUMIFS('Base bordo CD'!M$2:M$875,'Base bordo CD'!D$2:D$875,A544,'Base bordo CD'!A$2:A$875,B544,'Base bordo CD'!L$2:L$875,"AGUARDANDO MANUTENCAO*"),0)+IFERROR(SUMIFS('Base bordo CD'!M$2:M$875,'Base bordo CD'!D$2:D$875,A544,'Base bordo CD'!A$2:A$875,B544,'Base bordo CD'!L$2:L$875,"TROCA DE FAQUINHA"),0)+IFERROR(SUMIFS('Base bordo CD'!M$2:M$875,'Base bordo CD'!D$2:D$875,A544,'Base bordo CD'!A$2:A$875,B544,'Base bordo CD'!L$2:L$875,"LIMPEZA*"),0)</f>
        <v>0.4836111111111111</v>
      </c>
      <c r="L544" s="10">
        <f>IFERROR(SUMIFS('Base bordo CD'!M$2:M$875,'Base bordo CD'!D$2:D$875,A544,'Base bordo CD'!A$2:A$875,B544,'Base bordo CD'!L$2:L$875,"PATIO - RESERVA"),0)</f>
        <v>0</v>
      </c>
      <c r="M544" s="10">
        <f>IFERROR(SUMIFS('Base bordo CD'!M$2:M$875,'Base bordo CD'!D$2:D$875,A544,'Base bordo CD'!A$2:A$875,B544,'Base bordo CD'!L$2:L$875,"SEM APONTAMENTO"),0)</f>
        <v>3.3333333333333335E-3</v>
      </c>
      <c r="N544" s="10">
        <f>IFERROR(SUMIFS('Base bordo CD'!M$2:M$875,'Base bordo CD'!D$2:D$875,A544,'Base bordo CD'!A$2:A$875,B544,'Base bordo CD'!L$2:L$875,"FALTA DE CAMINHÃO"),0)+IFERROR(SUMIFS('Base bordo CD'!M$2:M$875,'Base bordo CD'!D$2:D$875,A544,'Base bordo CD'!A$2:A$875,B544,'Base bordo CD'!L$2:L$875,"FALTA DE COMBUSTIVEL"),0)+IFERROR(SUMIFS('Base bordo CD'!M$2:M$875,'Base bordo CD'!D$2:D$875,A544,'Base bordo CD'!A$2:A$875,B544,'Base bordo CD'!L$2:L$875,"FALTA DE MOTORIST*"),0)</f>
        <v>0</v>
      </c>
      <c r="O544" s="10">
        <f t="shared" si="45"/>
        <v>0</v>
      </c>
      <c r="P544" s="10">
        <f>IFERROR(SUMIFS('Base bordo CD'!M$2:M$875,'Base bordo CD'!D$2:D$875,A544,'Base bordo CD'!A$2:A$875,B544),0)</f>
        <v>24</v>
      </c>
      <c r="Q544" s="10">
        <f>IFERROR(SUMIFS('Base bordo CD'!O$2:O$875,'Base bordo CD'!D$2:D$875,A544,'Base bordo CD'!A$2:A$875,B544,'Base bordo CD'!L$2:L$875,"CORTE DE CANA MECANIZADO"),0)</f>
        <v>93510.06</v>
      </c>
      <c r="R544" s="10">
        <f>IFERROR(SUMIFS('Base bordo CD'!Q$2:Q$875,'Base bordo CD'!D$2:D$875,A544,'Base bordo CD'!A$2:A$875,B544,'Base bordo CD'!L$2:L$875,"CORTE DE CANA MECANIZADO"),0)</f>
        <v>24346</v>
      </c>
      <c r="S544" s="30">
        <f t="shared" si="46"/>
        <v>3.8408798159861988</v>
      </c>
      <c r="T544" s="9">
        <f t="shared" si="47"/>
        <v>0.2817824074074074</v>
      </c>
      <c r="U544" s="9">
        <f t="shared" si="48"/>
        <v>3.5057870370370371E-2</v>
      </c>
      <c r="V544" s="9">
        <f t="shared" si="49"/>
        <v>0.69251157407407415</v>
      </c>
    </row>
    <row r="545" spans="1:22" x14ac:dyDescent="0.35">
      <c r="A545" s="52">
        <v>49595</v>
      </c>
      <c r="B545" s="31">
        <v>46119</v>
      </c>
      <c r="C545" s="7" t="s">
        <v>337</v>
      </c>
      <c r="D545" s="7">
        <v>353</v>
      </c>
      <c r="E545" s="10">
        <f>IFERROR(SUMIFS('Base bordo CD'!M$2:M$875,'Base bordo CD'!D$2:D$875,A545,'Base bordo CD'!A$2:A$875,B545,'Base bordo CD'!L$2:L$875,"CORTE DE CANA MECANIZADO"),0)</f>
        <v>6.762777777777778</v>
      </c>
      <c r="F545" s="10">
        <f>IFERROR(SUMIFS('Base bordo CD'!M$2:M$875,'Base bordo CD'!D$2:D$875,A545,'Base bordo CD'!A$2:A$875,B545,'Base bordo CD'!L$2:L$875,"MANOBRA"),0)</f>
        <v>0.84138888888888885</v>
      </c>
      <c r="G545" s="10">
        <f>IFERROR(SUMIFS('Base bordo CD'!M$2:M$875,'Base bordo CD'!D$2:D$875,A545,'Base bordo CD'!A$2:A$875,B545,'Base bordo CD'!L$2:L$875,"DESLOCAMENTO"),0)</f>
        <v>0.61694444444444441</v>
      </c>
      <c r="H545" s="10">
        <f>IFERROR(SUMIFS('Base bordo CD'!M$2:M$875,'Base bordo CD'!D$2:D$875,A545,'Base bordo CD'!A$2:A$875,B545,'Base bordo CD'!L$2:L$875,"AGUARDANDO MANOBRA DE TRANSBORDO"),0)+IFERROR(SUMIFS('Base bordo CD'!M$2:M$875,'Base bordo CD'!D$2:D$875,A545,'Base bordo CD'!A$2:A$875,B545,'Base bordo CD'!L$2:L$875,"FALTA DE TRANSBORDO"),0)</f>
        <v>0.56472222222222224</v>
      </c>
      <c r="I545" s="10">
        <f>IFERROR(SUMIFS('Base bordo CD'!M$2:M$875,'Base bordo CD'!D$2:D$875,A545,'Base bordo CD'!A$2:A$875,B545,'Base bordo CD'!L$2:L$875,"PARADA POR CONDICOES CLIMATICAS"),0)+IFERROR(SUMIFS('Base bordo CD'!M$2:M$875,'Base bordo CD'!D$2:D$875,A545,'Base bordo CD'!A$2:A$875,B545,'Base bordo CD'!L$2:L$875,"TEMPO INDETERMINADO"),0)</f>
        <v>14.727222222222222</v>
      </c>
      <c r="J545" s="10">
        <f>IFERROR(SUMIFS('Base bordo CD'!M$2:M$875,'Base bordo CD'!D$2:D$875,A545,'Base bordo CD'!A$2:A$875,B545,'Base bordo CD'!L$2:L$875,"LIMITAÇÃO INDÚSTRIA"),0)</f>
        <v>0</v>
      </c>
      <c r="K545" s="10">
        <f>IFERROR(SUMIFS('Base bordo CD'!M$2:M$875,'Base bordo CD'!D$2:D$875,A545,'Base bordo CD'!A$2:A$875,B545,'Base bordo CD'!L$2:L$875,"MAN CORRETIVA*"),0)+IFERROR(SUMIFS('Base bordo CD'!M$2:M$875,'Base bordo CD'!D$2:D$875,A545,'Base bordo CD'!A$2:A$875,B545,'Base bordo CD'!L$2:L$875,"AGUARDANDO MANUTENCAO*"),0)+IFERROR(SUMIFS('Base bordo CD'!M$2:M$875,'Base bordo CD'!D$2:D$875,A545,'Base bordo CD'!A$2:A$875,B545,'Base bordo CD'!L$2:L$875,"TROCA DE FAQUINHA"),0)+IFERROR(SUMIFS('Base bordo CD'!M$2:M$875,'Base bordo CD'!D$2:D$875,A545,'Base bordo CD'!A$2:A$875,B545,'Base bordo CD'!L$2:L$875,"LIMPEZA*"),0)</f>
        <v>0.4836111111111111</v>
      </c>
      <c r="L545" s="10">
        <f>IFERROR(SUMIFS('Base bordo CD'!M$2:M$875,'Base bordo CD'!D$2:D$875,A545,'Base bordo CD'!A$2:A$875,B545,'Base bordo CD'!L$2:L$875,"PATIO - RESERVA"),0)</f>
        <v>0</v>
      </c>
      <c r="M545" s="10">
        <f>IFERROR(SUMIFS('Base bordo CD'!M$2:M$875,'Base bordo CD'!D$2:D$875,A545,'Base bordo CD'!A$2:A$875,B545,'Base bordo CD'!L$2:L$875,"SEM APONTAMENTO"),0)</f>
        <v>3.3333333333333335E-3</v>
      </c>
      <c r="N545" s="10">
        <f>IFERROR(SUMIFS('Base bordo CD'!M$2:M$875,'Base bordo CD'!D$2:D$875,A545,'Base bordo CD'!A$2:A$875,B545,'Base bordo CD'!L$2:L$875,"FALTA DE CAMINHÃO"),0)+IFERROR(SUMIFS('Base bordo CD'!M$2:M$875,'Base bordo CD'!D$2:D$875,A545,'Base bordo CD'!A$2:A$875,B545,'Base bordo CD'!L$2:L$875,"FALTA DE COMBUSTIVEL"),0)+IFERROR(SUMIFS('Base bordo CD'!M$2:M$875,'Base bordo CD'!D$2:D$875,A545,'Base bordo CD'!A$2:A$875,B545,'Base bordo CD'!L$2:L$875,"FALTA DE MOTORIST*"),0)</f>
        <v>0</v>
      </c>
      <c r="O545" s="10">
        <f t="shared" si="45"/>
        <v>0</v>
      </c>
      <c r="P545" s="10">
        <f>IFERROR(SUMIFS('Base bordo CD'!M$2:M$875,'Base bordo CD'!D$2:D$875,A545,'Base bordo CD'!A$2:A$875,B545),0)</f>
        <v>24</v>
      </c>
      <c r="Q545" s="10">
        <f>IFERROR(SUMIFS('Base bordo CD'!O$2:O$875,'Base bordo CD'!D$2:D$875,A545,'Base bordo CD'!A$2:A$875,B545,'Base bordo CD'!L$2:L$875,"CORTE DE CANA MECANIZADO"),0)</f>
        <v>93510.06</v>
      </c>
      <c r="R545" s="10">
        <f>IFERROR(SUMIFS('Base bordo CD'!Q$2:Q$875,'Base bordo CD'!D$2:D$875,A545,'Base bordo CD'!A$2:A$875,B545,'Base bordo CD'!L$2:L$875,"CORTE DE CANA MECANIZADO"),0)</f>
        <v>24346</v>
      </c>
      <c r="S545" s="30">
        <f t="shared" si="46"/>
        <v>3.8408798159861988</v>
      </c>
      <c r="T545" s="9">
        <f t="shared" si="47"/>
        <v>0.2817824074074074</v>
      </c>
      <c r="U545" s="9">
        <f t="shared" si="48"/>
        <v>3.5057870370370371E-2</v>
      </c>
      <c r="V545" s="9">
        <f t="shared" si="49"/>
        <v>0.69251157407407415</v>
      </c>
    </row>
    <row r="546" spans="1:22" x14ac:dyDescent="0.35">
      <c r="A546" s="52">
        <v>49595</v>
      </c>
      <c r="B546" s="31">
        <v>46119</v>
      </c>
      <c r="C546" s="7" t="s">
        <v>337</v>
      </c>
      <c r="D546" s="7">
        <v>353</v>
      </c>
      <c r="E546" s="10">
        <f>IFERROR(SUMIFS('Base bordo CD'!M$2:M$875,'Base bordo CD'!D$2:D$875,A546,'Base bordo CD'!A$2:A$875,B546,'Base bordo CD'!L$2:L$875,"CORTE DE CANA MECANIZADO"),0)</f>
        <v>6.762777777777778</v>
      </c>
      <c r="F546" s="10">
        <f>IFERROR(SUMIFS('Base bordo CD'!M$2:M$875,'Base bordo CD'!D$2:D$875,A546,'Base bordo CD'!A$2:A$875,B546,'Base bordo CD'!L$2:L$875,"MANOBRA"),0)</f>
        <v>0.84138888888888885</v>
      </c>
      <c r="G546" s="10">
        <f>IFERROR(SUMIFS('Base bordo CD'!M$2:M$875,'Base bordo CD'!D$2:D$875,A546,'Base bordo CD'!A$2:A$875,B546,'Base bordo CD'!L$2:L$875,"DESLOCAMENTO"),0)</f>
        <v>0.61694444444444441</v>
      </c>
      <c r="H546" s="10">
        <f>IFERROR(SUMIFS('Base bordo CD'!M$2:M$875,'Base bordo CD'!D$2:D$875,A546,'Base bordo CD'!A$2:A$875,B546,'Base bordo CD'!L$2:L$875,"AGUARDANDO MANOBRA DE TRANSBORDO"),0)+IFERROR(SUMIFS('Base bordo CD'!M$2:M$875,'Base bordo CD'!D$2:D$875,A546,'Base bordo CD'!A$2:A$875,B546,'Base bordo CD'!L$2:L$875,"FALTA DE TRANSBORDO"),0)</f>
        <v>0.56472222222222224</v>
      </c>
      <c r="I546" s="10">
        <f>IFERROR(SUMIFS('Base bordo CD'!M$2:M$875,'Base bordo CD'!D$2:D$875,A546,'Base bordo CD'!A$2:A$875,B546,'Base bordo CD'!L$2:L$875,"PARADA POR CONDICOES CLIMATICAS"),0)+IFERROR(SUMIFS('Base bordo CD'!M$2:M$875,'Base bordo CD'!D$2:D$875,A546,'Base bordo CD'!A$2:A$875,B546,'Base bordo CD'!L$2:L$875,"TEMPO INDETERMINADO"),0)</f>
        <v>14.727222222222222</v>
      </c>
      <c r="J546" s="10">
        <f>IFERROR(SUMIFS('Base bordo CD'!M$2:M$875,'Base bordo CD'!D$2:D$875,A546,'Base bordo CD'!A$2:A$875,B546,'Base bordo CD'!L$2:L$875,"LIMITAÇÃO INDÚSTRIA"),0)</f>
        <v>0</v>
      </c>
      <c r="K546" s="10">
        <f>IFERROR(SUMIFS('Base bordo CD'!M$2:M$875,'Base bordo CD'!D$2:D$875,A546,'Base bordo CD'!A$2:A$875,B546,'Base bordo CD'!L$2:L$875,"MAN CORRETIVA*"),0)+IFERROR(SUMIFS('Base bordo CD'!M$2:M$875,'Base bordo CD'!D$2:D$875,A546,'Base bordo CD'!A$2:A$875,B546,'Base bordo CD'!L$2:L$875,"AGUARDANDO MANUTENCAO*"),0)+IFERROR(SUMIFS('Base bordo CD'!M$2:M$875,'Base bordo CD'!D$2:D$875,A546,'Base bordo CD'!A$2:A$875,B546,'Base bordo CD'!L$2:L$875,"TROCA DE FAQUINHA"),0)+IFERROR(SUMIFS('Base bordo CD'!M$2:M$875,'Base bordo CD'!D$2:D$875,A546,'Base bordo CD'!A$2:A$875,B546,'Base bordo CD'!L$2:L$875,"LIMPEZA*"),0)</f>
        <v>0.4836111111111111</v>
      </c>
      <c r="L546" s="10">
        <f>IFERROR(SUMIFS('Base bordo CD'!M$2:M$875,'Base bordo CD'!D$2:D$875,A546,'Base bordo CD'!A$2:A$875,B546,'Base bordo CD'!L$2:L$875,"PATIO - RESERVA"),0)</f>
        <v>0</v>
      </c>
      <c r="M546" s="10">
        <f>IFERROR(SUMIFS('Base bordo CD'!M$2:M$875,'Base bordo CD'!D$2:D$875,A546,'Base bordo CD'!A$2:A$875,B546,'Base bordo CD'!L$2:L$875,"SEM APONTAMENTO"),0)</f>
        <v>3.3333333333333335E-3</v>
      </c>
      <c r="N546" s="10">
        <f>IFERROR(SUMIFS('Base bordo CD'!M$2:M$875,'Base bordo CD'!D$2:D$875,A546,'Base bordo CD'!A$2:A$875,B546,'Base bordo CD'!L$2:L$875,"FALTA DE CAMINHÃO"),0)+IFERROR(SUMIFS('Base bordo CD'!M$2:M$875,'Base bordo CD'!D$2:D$875,A546,'Base bordo CD'!A$2:A$875,B546,'Base bordo CD'!L$2:L$875,"FALTA DE COMBUSTIVEL"),0)+IFERROR(SUMIFS('Base bordo CD'!M$2:M$875,'Base bordo CD'!D$2:D$875,A546,'Base bordo CD'!A$2:A$875,B546,'Base bordo CD'!L$2:L$875,"FALTA DE MOTORIST*"),0)</f>
        <v>0</v>
      </c>
      <c r="O546" s="10">
        <f t="shared" si="45"/>
        <v>0</v>
      </c>
      <c r="P546" s="10">
        <f>IFERROR(SUMIFS('Base bordo CD'!M$2:M$875,'Base bordo CD'!D$2:D$875,A546,'Base bordo CD'!A$2:A$875,B546),0)</f>
        <v>24</v>
      </c>
      <c r="Q546" s="10">
        <f>IFERROR(SUMIFS('Base bordo CD'!O$2:O$875,'Base bordo CD'!D$2:D$875,A546,'Base bordo CD'!A$2:A$875,B546,'Base bordo CD'!L$2:L$875,"CORTE DE CANA MECANIZADO"),0)</f>
        <v>93510.06</v>
      </c>
      <c r="R546" s="10">
        <f>IFERROR(SUMIFS('Base bordo CD'!Q$2:Q$875,'Base bordo CD'!D$2:D$875,A546,'Base bordo CD'!A$2:A$875,B546,'Base bordo CD'!L$2:L$875,"CORTE DE CANA MECANIZADO"),0)</f>
        <v>24346</v>
      </c>
      <c r="S546" s="30">
        <f t="shared" si="46"/>
        <v>3.8408798159861988</v>
      </c>
      <c r="T546" s="9">
        <f t="shared" si="47"/>
        <v>0.2817824074074074</v>
      </c>
      <c r="U546" s="9">
        <f t="shared" si="48"/>
        <v>3.5057870370370371E-2</v>
      </c>
      <c r="V546" s="9">
        <f t="shared" si="49"/>
        <v>0.69251157407407415</v>
      </c>
    </row>
    <row r="547" spans="1:22" x14ac:dyDescent="0.35">
      <c r="A547" s="52">
        <v>49595</v>
      </c>
      <c r="B547" s="31">
        <v>46119</v>
      </c>
      <c r="C547" s="7" t="s">
        <v>337</v>
      </c>
      <c r="D547" s="7">
        <v>353</v>
      </c>
      <c r="E547" s="10">
        <f>IFERROR(SUMIFS('Base bordo CD'!M$2:M$875,'Base bordo CD'!D$2:D$875,A547,'Base bordo CD'!A$2:A$875,B547,'Base bordo CD'!L$2:L$875,"CORTE DE CANA MECANIZADO"),0)</f>
        <v>6.762777777777778</v>
      </c>
      <c r="F547" s="10">
        <f>IFERROR(SUMIFS('Base bordo CD'!M$2:M$875,'Base bordo CD'!D$2:D$875,A547,'Base bordo CD'!A$2:A$875,B547,'Base bordo CD'!L$2:L$875,"MANOBRA"),0)</f>
        <v>0.84138888888888885</v>
      </c>
      <c r="G547" s="10">
        <f>IFERROR(SUMIFS('Base bordo CD'!M$2:M$875,'Base bordo CD'!D$2:D$875,A547,'Base bordo CD'!A$2:A$875,B547,'Base bordo CD'!L$2:L$875,"DESLOCAMENTO"),0)</f>
        <v>0.61694444444444441</v>
      </c>
      <c r="H547" s="10">
        <f>IFERROR(SUMIFS('Base bordo CD'!M$2:M$875,'Base bordo CD'!D$2:D$875,A547,'Base bordo CD'!A$2:A$875,B547,'Base bordo CD'!L$2:L$875,"AGUARDANDO MANOBRA DE TRANSBORDO"),0)+IFERROR(SUMIFS('Base bordo CD'!M$2:M$875,'Base bordo CD'!D$2:D$875,A547,'Base bordo CD'!A$2:A$875,B547,'Base bordo CD'!L$2:L$875,"FALTA DE TRANSBORDO"),0)</f>
        <v>0.56472222222222224</v>
      </c>
      <c r="I547" s="10">
        <f>IFERROR(SUMIFS('Base bordo CD'!M$2:M$875,'Base bordo CD'!D$2:D$875,A547,'Base bordo CD'!A$2:A$875,B547,'Base bordo CD'!L$2:L$875,"PARADA POR CONDICOES CLIMATICAS"),0)+IFERROR(SUMIFS('Base bordo CD'!M$2:M$875,'Base bordo CD'!D$2:D$875,A547,'Base bordo CD'!A$2:A$875,B547,'Base bordo CD'!L$2:L$875,"TEMPO INDETERMINADO"),0)</f>
        <v>14.727222222222222</v>
      </c>
      <c r="J547" s="10">
        <f>IFERROR(SUMIFS('Base bordo CD'!M$2:M$875,'Base bordo CD'!D$2:D$875,A547,'Base bordo CD'!A$2:A$875,B547,'Base bordo CD'!L$2:L$875,"LIMITAÇÃO INDÚSTRIA"),0)</f>
        <v>0</v>
      </c>
      <c r="K547" s="10">
        <f>IFERROR(SUMIFS('Base bordo CD'!M$2:M$875,'Base bordo CD'!D$2:D$875,A547,'Base bordo CD'!A$2:A$875,B547,'Base bordo CD'!L$2:L$875,"MAN CORRETIVA*"),0)+IFERROR(SUMIFS('Base bordo CD'!M$2:M$875,'Base bordo CD'!D$2:D$875,A547,'Base bordo CD'!A$2:A$875,B547,'Base bordo CD'!L$2:L$875,"AGUARDANDO MANUTENCAO*"),0)+IFERROR(SUMIFS('Base bordo CD'!M$2:M$875,'Base bordo CD'!D$2:D$875,A547,'Base bordo CD'!A$2:A$875,B547,'Base bordo CD'!L$2:L$875,"TROCA DE FAQUINHA"),0)+IFERROR(SUMIFS('Base bordo CD'!M$2:M$875,'Base bordo CD'!D$2:D$875,A547,'Base bordo CD'!A$2:A$875,B547,'Base bordo CD'!L$2:L$875,"LIMPEZA*"),0)</f>
        <v>0.4836111111111111</v>
      </c>
      <c r="L547" s="10">
        <f>IFERROR(SUMIFS('Base bordo CD'!M$2:M$875,'Base bordo CD'!D$2:D$875,A547,'Base bordo CD'!A$2:A$875,B547,'Base bordo CD'!L$2:L$875,"PATIO - RESERVA"),0)</f>
        <v>0</v>
      </c>
      <c r="M547" s="10">
        <f>IFERROR(SUMIFS('Base bordo CD'!M$2:M$875,'Base bordo CD'!D$2:D$875,A547,'Base bordo CD'!A$2:A$875,B547,'Base bordo CD'!L$2:L$875,"SEM APONTAMENTO"),0)</f>
        <v>3.3333333333333335E-3</v>
      </c>
      <c r="N547" s="10">
        <f>IFERROR(SUMIFS('Base bordo CD'!M$2:M$875,'Base bordo CD'!D$2:D$875,A547,'Base bordo CD'!A$2:A$875,B547,'Base bordo CD'!L$2:L$875,"FALTA DE CAMINHÃO"),0)+IFERROR(SUMIFS('Base bordo CD'!M$2:M$875,'Base bordo CD'!D$2:D$875,A547,'Base bordo CD'!A$2:A$875,B547,'Base bordo CD'!L$2:L$875,"FALTA DE COMBUSTIVEL"),0)+IFERROR(SUMIFS('Base bordo CD'!M$2:M$875,'Base bordo CD'!D$2:D$875,A547,'Base bordo CD'!A$2:A$875,B547,'Base bordo CD'!L$2:L$875,"FALTA DE MOTORIST*"),0)</f>
        <v>0</v>
      </c>
      <c r="O547" s="10">
        <f t="shared" si="45"/>
        <v>0</v>
      </c>
      <c r="P547" s="10">
        <f>IFERROR(SUMIFS('Base bordo CD'!M$2:M$875,'Base bordo CD'!D$2:D$875,A547,'Base bordo CD'!A$2:A$875,B547),0)</f>
        <v>24</v>
      </c>
      <c r="Q547" s="10">
        <f>IFERROR(SUMIFS('Base bordo CD'!O$2:O$875,'Base bordo CD'!D$2:D$875,A547,'Base bordo CD'!A$2:A$875,B547,'Base bordo CD'!L$2:L$875,"CORTE DE CANA MECANIZADO"),0)</f>
        <v>93510.06</v>
      </c>
      <c r="R547" s="10">
        <f>IFERROR(SUMIFS('Base bordo CD'!Q$2:Q$875,'Base bordo CD'!D$2:D$875,A547,'Base bordo CD'!A$2:A$875,B547,'Base bordo CD'!L$2:L$875,"CORTE DE CANA MECANIZADO"),0)</f>
        <v>24346</v>
      </c>
      <c r="S547" s="30">
        <f t="shared" si="46"/>
        <v>3.8408798159861988</v>
      </c>
      <c r="T547" s="9">
        <f t="shared" si="47"/>
        <v>0.2817824074074074</v>
      </c>
      <c r="U547" s="9">
        <f t="shared" si="48"/>
        <v>3.5057870370370371E-2</v>
      </c>
      <c r="V547" s="9">
        <f t="shared" si="49"/>
        <v>0.69251157407407415</v>
      </c>
    </row>
    <row r="548" spans="1:22" x14ac:dyDescent="0.35">
      <c r="A548" s="52">
        <v>49595</v>
      </c>
      <c r="B548" s="31">
        <v>46119</v>
      </c>
      <c r="C548" s="7" t="s">
        <v>337</v>
      </c>
      <c r="D548" s="7">
        <v>353</v>
      </c>
      <c r="E548" s="10">
        <f>IFERROR(SUMIFS('Base bordo CD'!M$2:M$875,'Base bordo CD'!D$2:D$875,A548,'Base bordo CD'!A$2:A$875,B548,'Base bordo CD'!L$2:L$875,"CORTE DE CANA MECANIZADO"),0)</f>
        <v>6.762777777777778</v>
      </c>
      <c r="F548" s="10">
        <f>IFERROR(SUMIFS('Base bordo CD'!M$2:M$875,'Base bordo CD'!D$2:D$875,A548,'Base bordo CD'!A$2:A$875,B548,'Base bordo CD'!L$2:L$875,"MANOBRA"),0)</f>
        <v>0.84138888888888885</v>
      </c>
      <c r="G548" s="10">
        <f>IFERROR(SUMIFS('Base bordo CD'!M$2:M$875,'Base bordo CD'!D$2:D$875,A548,'Base bordo CD'!A$2:A$875,B548,'Base bordo CD'!L$2:L$875,"DESLOCAMENTO"),0)</f>
        <v>0.61694444444444441</v>
      </c>
      <c r="H548" s="10">
        <f>IFERROR(SUMIFS('Base bordo CD'!M$2:M$875,'Base bordo CD'!D$2:D$875,A548,'Base bordo CD'!A$2:A$875,B548,'Base bordo CD'!L$2:L$875,"AGUARDANDO MANOBRA DE TRANSBORDO"),0)+IFERROR(SUMIFS('Base bordo CD'!M$2:M$875,'Base bordo CD'!D$2:D$875,A548,'Base bordo CD'!A$2:A$875,B548,'Base bordo CD'!L$2:L$875,"FALTA DE TRANSBORDO"),0)</f>
        <v>0.56472222222222224</v>
      </c>
      <c r="I548" s="10">
        <f>IFERROR(SUMIFS('Base bordo CD'!M$2:M$875,'Base bordo CD'!D$2:D$875,A548,'Base bordo CD'!A$2:A$875,B548,'Base bordo CD'!L$2:L$875,"PARADA POR CONDICOES CLIMATICAS"),0)+IFERROR(SUMIFS('Base bordo CD'!M$2:M$875,'Base bordo CD'!D$2:D$875,A548,'Base bordo CD'!A$2:A$875,B548,'Base bordo CD'!L$2:L$875,"TEMPO INDETERMINADO"),0)</f>
        <v>14.727222222222222</v>
      </c>
      <c r="J548" s="10">
        <f>IFERROR(SUMIFS('Base bordo CD'!M$2:M$875,'Base bordo CD'!D$2:D$875,A548,'Base bordo CD'!A$2:A$875,B548,'Base bordo CD'!L$2:L$875,"LIMITAÇÃO INDÚSTRIA"),0)</f>
        <v>0</v>
      </c>
      <c r="K548" s="10">
        <f>IFERROR(SUMIFS('Base bordo CD'!M$2:M$875,'Base bordo CD'!D$2:D$875,A548,'Base bordo CD'!A$2:A$875,B548,'Base bordo CD'!L$2:L$875,"MAN CORRETIVA*"),0)+IFERROR(SUMIFS('Base bordo CD'!M$2:M$875,'Base bordo CD'!D$2:D$875,A548,'Base bordo CD'!A$2:A$875,B548,'Base bordo CD'!L$2:L$875,"AGUARDANDO MANUTENCAO*"),0)+IFERROR(SUMIFS('Base bordo CD'!M$2:M$875,'Base bordo CD'!D$2:D$875,A548,'Base bordo CD'!A$2:A$875,B548,'Base bordo CD'!L$2:L$875,"TROCA DE FAQUINHA"),0)+IFERROR(SUMIFS('Base bordo CD'!M$2:M$875,'Base bordo CD'!D$2:D$875,A548,'Base bordo CD'!A$2:A$875,B548,'Base bordo CD'!L$2:L$875,"LIMPEZA*"),0)</f>
        <v>0.4836111111111111</v>
      </c>
      <c r="L548" s="10">
        <f>IFERROR(SUMIFS('Base bordo CD'!M$2:M$875,'Base bordo CD'!D$2:D$875,A548,'Base bordo CD'!A$2:A$875,B548,'Base bordo CD'!L$2:L$875,"PATIO - RESERVA"),0)</f>
        <v>0</v>
      </c>
      <c r="M548" s="10">
        <f>IFERROR(SUMIFS('Base bordo CD'!M$2:M$875,'Base bordo CD'!D$2:D$875,A548,'Base bordo CD'!A$2:A$875,B548,'Base bordo CD'!L$2:L$875,"SEM APONTAMENTO"),0)</f>
        <v>3.3333333333333335E-3</v>
      </c>
      <c r="N548" s="10">
        <f>IFERROR(SUMIFS('Base bordo CD'!M$2:M$875,'Base bordo CD'!D$2:D$875,A548,'Base bordo CD'!A$2:A$875,B548,'Base bordo CD'!L$2:L$875,"FALTA DE CAMINHÃO"),0)+IFERROR(SUMIFS('Base bordo CD'!M$2:M$875,'Base bordo CD'!D$2:D$875,A548,'Base bordo CD'!A$2:A$875,B548,'Base bordo CD'!L$2:L$875,"FALTA DE COMBUSTIVEL"),0)+IFERROR(SUMIFS('Base bordo CD'!M$2:M$875,'Base bordo CD'!D$2:D$875,A548,'Base bordo CD'!A$2:A$875,B548,'Base bordo CD'!L$2:L$875,"FALTA DE MOTORIST*"),0)</f>
        <v>0</v>
      </c>
      <c r="O548" s="10">
        <f t="shared" si="45"/>
        <v>0</v>
      </c>
      <c r="P548" s="10">
        <f>IFERROR(SUMIFS('Base bordo CD'!M$2:M$875,'Base bordo CD'!D$2:D$875,A548,'Base bordo CD'!A$2:A$875,B548),0)</f>
        <v>24</v>
      </c>
      <c r="Q548" s="10">
        <f>IFERROR(SUMIFS('Base bordo CD'!O$2:O$875,'Base bordo CD'!D$2:D$875,A548,'Base bordo CD'!A$2:A$875,B548,'Base bordo CD'!L$2:L$875,"CORTE DE CANA MECANIZADO"),0)</f>
        <v>93510.06</v>
      </c>
      <c r="R548" s="10">
        <f>IFERROR(SUMIFS('Base bordo CD'!Q$2:Q$875,'Base bordo CD'!D$2:D$875,A548,'Base bordo CD'!A$2:A$875,B548,'Base bordo CD'!L$2:L$875,"CORTE DE CANA MECANIZADO"),0)</f>
        <v>24346</v>
      </c>
      <c r="S548" s="30">
        <f t="shared" si="46"/>
        <v>3.8408798159861988</v>
      </c>
      <c r="T548" s="9">
        <f t="shared" si="47"/>
        <v>0.2817824074074074</v>
      </c>
      <c r="U548" s="9">
        <f t="shared" si="48"/>
        <v>3.5057870370370371E-2</v>
      </c>
      <c r="V548" s="9">
        <f t="shared" si="49"/>
        <v>0.69251157407407415</v>
      </c>
    </row>
    <row r="549" spans="1:22" x14ac:dyDescent="0.35">
      <c r="A549" s="52">
        <v>49595</v>
      </c>
      <c r="B549" s="31">
        <v>46119</v>
      </c>
      <c r="C549" s="7" t="s">
        <v>337</v>
      </c>
      <c r="D549" s="7">
        <v>353</v>
      </c>
      <c r="E549" s="10">
        <f>IFERROR(SUMIFS('Base bordo CD'!M$2:M$875,'Base bordo CD'!D$2:D$875,A549,'Base bordo CD'!A$2:A$875,B549,'Base bordo CD'!L$2:L$875,"CORTE DE CANA MECANIZADO"),0)</f>
        <v>6.762777777777778</v>
      </c>
      <c r="F549" s="10">
        <f>IFERROR(SUMIFS('Base bordo CD'!M$2:M$875,'Base bordo CD'!D$2:D$875,A549,'Base bordo CD'!A$2:A$875,B549,'Base bordo CD'!L$2:L$875,"MANOBRA"),0)</f>
        <v>0.84138888888888885</v>
      </c>
      <c r="G549" s="10">
        <f>IFERROR(SUMIFS('Base bordo CD'!M$2:M$875,'Base bordo CD'!D$2:D$875,A549,'Base bordo CD'!A$2:A$875,B549,'Base bordo CD'!L$2:L$875,"DESLOCAMENTO"),0)</f>
        <v>0.61694444444444441</v>
      </c>
      <c r="H549" s="10">
        <f>IFERROR(SUMIFS('Base bordo CD'!M$2:M$875,'Base bordo CD'!D$2:D$875,A549,'Base bordo CD'!A$2:A$875,B549,'Base bordo CD'!L$2:L$875,"AGUARDANDO MANOBRA DE TRANSBORDO"),0)+IFERROR(SUMIFS('Base bordo CD'!M$2:M$875,'Base bordo CD'!D$2:D$875,A549,'Base bordo CD'!A$2:A$875,B549,'Base bordo CD'!L$2:L$875,"FALTA DE TRANSBORDO"),0)</f>
        <v>0.56472222222222224</v>
      </c>
      <c r="I549" s="10">
        <f>IFERROR(SUMIFS('Base bordo CD'!M$2:M$875,'Base bordo CD'!D$2:D$875,A549,'Base bordo CD'!A$2:A$875,B549,'Base bordo CD'!L$2:L$875,"PARADA POR CONDICOES CLIMATICAS"),0)+IFERROR(SUMIFS('Base bordo CD'!M$2:M$875,'Base bordo CD'!D$2:D$875,A549,'Base bordo CD'!A$2:A$875,B549,'Base bordo CD'!L$2:L$875,"TEMPO INDETERMINADO"),0)</f>
        <v>14.727222222222222</v>
      </c>
      <c r="J549" s="10">
        <f>IFERROR(SUMIFS('Base bordo CD'!M$2:M$875,'Base bordo CD'!D$2:D$875,A549,'Base bordo CD'!A$2:A$875,B549,'Base bordo CD'!L$2:L$875,"LIMITAÇÃO INDÚSTRIA"),0)</f>
        <v>0</v>
      </c>
      <c r="K549" s="10">
        <f>IFERROR(SUMIFS('Base bordo CD'!M$2:M$875,'Base bordo CD'!D$2:D$875,A549,'Base bordo CD'!A$2:A$875,B549,'Base bordo CD'!L$2:L$875,"MAN CORRETIVA*"),0)+IFERROR(SUMIFS('Base bordo CD'!M$2:M$875,'Base bordo CD'!D$2:D$875,A549,'Base bordo CD'!A$2:A$875,B549,'Base bordo CD'!L$2:L$875,"AGUARDANDO MANUTENCAO*"),0)+IFERROR(SUMIFS('Base bordo CD'!M$2:M$875,'Base bordo CD'!D$2:D$875,A549,'Base bordo CD'!A$2:A$875,B549,'Base bordo CD'!L$2:L$875,"TROCA DE FAQUINHA"),0)+IFERROR(SUMIFS('Base bordo CD'!M$2:M$875,'Base bordo CD'!D$2:D$875,A549,'Base bordo CD'!A$2:A$875,B549,'Base bordo CD'!L$2:L$875,"LIMPEZA*"),0)</f>
        <v>0.4836111111111111</v>
      </c>
      <c r="L549" s="10">
        <f>IFERROR(SUMIFS('Base bordo CD'!M$2:M$875,'Base bordo CD'!D$2:D$875,A549,'Base bordo CD'!A$2:A$875,B549,'Base bordo CD'!L$2:L$875,"PATIO - RESERVA"),0)</f>
        <v>0</v>
      </c>
      <c r="M549" s="10">
        <f>IFERROR(SUMIFS('Base bordo CD'!M$2:M$875,'Base bordo CD'!D$2:D$875,A549,'Base bordo CD'!A$2:A$875,B549,'Base bordo CD'!L$2:L$875,"SEM APONTAMENTO"),0)</f>
        <v>3.3333333333333335E-3</v>
      </c>
      <c r="N549" s="10">
        <f>IFERROR(SUMIFS('Base bordo CD'!M$2:M$875,'Base bordo CD'!D$2:D$875,A549,'Base bordo CD'!A$2:A$875,B549,'Base bordo CD'!L$2:L$875,"FALTA DE CAMINHÃO"),0)+IFERROR(SUMIFS('Base bordo CD'!M$2:M$875,'Base bordo CD'!D$2:D$875,A549,'Base bordo CD'!A$2:A$875,B549,'Base bordo CD'!L$2:L$875,"FALTA DE COMBUSTIVEL"),0)+IFERROR(SUMIFS('Base bordo CD'!M$2:M$875,'Base bordo CD'!D$2:D$875,A549,'Base bordo CD'!A$2:A$875,B549,'Base bordo CD'!L$2:L$875,"FALTA DE MOTORIST*"),0)</f>
        <v>0</v>
      </c>
      <c r="O549" s="10">
        <f t="shared" si="45"/>
        <v>0</v>
      </c>
      <c r="P549" s="10">
        <f>IFERROR(SUMIFS('Base bordo CD'!M$2:M$875,'Base bordo CD'!D$2:D$875,A549,'Base bordo CD'!A$2:A$875,B549),0)</f>
        <v>24</v>
      </c>
      <c r="Q549" s="10">
        <f>IFERROR(SUMIFS('Base bordo CD'!O$2:O$875,'Base bordo CD'!D$2:D$875,A549,'Base bordo CD'!A$2:A$875,B549,'Base bordo CD'!L$2:L$875,"CORTE DE CANA MECANIZADO"),0)</f>
        <v>93510.06</v>
      </c>
      <c r="R549" s="10">
        <f>IFERROR(SUMIFS('Base bordo CD'!Q$2:Q$875,'Base bordo CD'!D$2:D$875,A549,'Base bordo CD'!A$2:A$875,B549,'Base bordo CD'!L$2:L$875,"CORTE DE CANA MECANIZADO"),0)</f>
        <v>24346</v>
      </c>
      <c r="S549" s="30">
        <f t="shared" si="46"/>
        <v>3.8408798159861988</v>
      </c>
      <c r="T549" s="9">
        <f t="shared" si="47"/>
        <v>0.2817824074074074</v>
      </c>
      <c r="U549" s="9">
        <f t="shared" si="48"/>
        <v>3.5057870370370371E-2</v>
      </c>
      <c r="V549" s="9">
        <f t="shared" si="49"/>
        <v>0.69251157407407415</v>
      </c>
    </row>
    <row r="550" spans="1:22" x14ac:dyDescent="0.35">
      <c r="A550" s="52">
        <v>49595</v>
      </c>
      <c r="B550" s="31">
        <v>46119</v>
      </c>
      <c r="C550" s="7" t="s">
        <v>337</v>
      </c>
      <c r="D550" s="7">
        <v>353</v>
      </c>
      <c r="E550" s="10">
        <f>IFERROR(SUMIFS('Base bordo CD'!M$2:M$875,'Base bordo CD'!D$2:D$875,A550,'Base bordo CD'!A$2:A$875,B550,'Base bordo CD'!L$2:L$875,"CORTE DE CANA MECANIZADO"),0)</f>
        <v>6.762777777777778</v>
      </c>
      <c r="F550" s="10">
        <f>IFERROR(SUMIFS('Base bordo CD'!M$2:M$875,'Base bordo CD'!D$2:D$875,A550,'Base bordo CD'!A$2:A$875,B550,'Base bordo CD'!L$2:L$875,"MANOBRA"),0)</f>
        <v>0.84138888888888885</v>
      </c>
      <c r="G550" s="10">
        <f>IFERROR(SUMIFS('Base bordo CD'!M$2:M$875,'Base bordo CD'!D$2:D$875,A550,'Base bordo CD'!A$2:A$875,B550,'Base bordo CD'!L$2:L$875,"DESLOCAMENTO"),0)</f>
        <v>0.61694444444444441</v>
      </c>
      <c r="H550" s="10">
        <f>IFERROR(SUMIFS('Base bordo CD'!M$2:M$875,'Base bordo CD'!D$2:D$875,A550,'Base bordo CD'!A$2:A$875,B550,'Base bordo CD'!L$2:L$875,"AGUARDANDO MANOBRA DE TRANSBORDO"),0)+IFERROR(SUMIFS('Base bordo CD'!M$2:M$875,'Base bordo CD'!D$2:D$875,A550,'Base bordo CD'!A$2:A$875,B550,'Base bordo CD'!L$2:L$875,"FALTA DE TRANSBORDO"),0)</f>
        <v>0.56472222222222224</v>
      </c>
      <c r="I550" s="10">
        <f>IFERROR(SUMIFS('Base bordo CD'!M$2:M$875,'Base bordo CD'!D$2:D$875,A550,'Base bordo CD'!A$2:A$875,B550,'Base bordo CD'!L$2:L$875,"PARADA POR CONDICOES CLIMATICAS"),0)+IFERROR(SUMIFS('Base bordo CD'!M$2:M$875,'Base bordo CD'!D$2:D$875,A550,'Base bordo CD'!A$2:A$875,B550,'Base bordo CD'!L$2:L$875,"TEMPO INDETERMINADO"),0)</f>
        <v>14.727222222222222</v>
      </c>
      <c r="J550" s="10">
        <f>IFERROR(SUMIFS('Base bordo CD'!M$2:M$875,'Base bordo CD'!D$2:D$875,A550,'Base bordo CD'!A$2:A$875,B550,'Base bordo CD'!L$2:L$875,"LIMITAÇÃO INDÚSTRIA"),0)</f>
        <v>0</v>
      </c>
      <c r="K550" s="10">
        <f>IFERROR(SUMIFS('Base bordo CD'!M$2:M$875,'Base bordo CD'!D$2:D$875,A550,'Base bordo CD'!A$2:A$875,B550,'Base bordo CD'!L$2:L$875,"MAN CORRETIVA*"),0)+IFERROR(SUMIFS('Base bordo CD'!M$2:M$875,'Base bordo CD'!D$2:D$875,A550,'Base bordo CD'!A$2:A$875,B550,'Base bordo CD'!L$2:L$875,"AGUARDANDO MANUTENCAO*"),0)+IFERROR(SUMIFS('Base bordo CD'!M$2:M$875,'Base bordo CD'!D$2:D$875,A550,'Base bordo CD'!A$2:A$875,B550,'Base bordo CD'!L$2:L$875,"TROCA DE FAQUINHA"),0)+IFERROR(SUMIFS('Base bordo CD'!M$2:M$875,'Base bordo CD'!D$2:D$875,A550,'Base bordo CD'!A$2:A$875,B550,'Base bordo CD'!L$2:L$875,"LIMPEZA*"),0)</f>
        <v>0.4836111111111111</v>
      </c>
      <c r="L550" s="10">
        <f>IFERROR(SUMIFS('Base bordo CD'!M$2:M$875,'Base bordo CD'!D$2:D$875,A550,'Base bordo CD'!A$2:A$875,B550,'Base bordo CD'!L$2:L$875,"PATIO - RESERVA"),0)</f>
        <v>0</v>
      </c>
      <c r="M550" s="10">
        <f>IFERROR(SUMIFS('Base bordo CD'!M$2:M$875,'Base bordo CD'!D$2:D$875,A550,'Base bordo CD'!A$2:A$875,B550,'Base bordo CD'!L$2:L$875,"SEM APONTAMENTO"),0)</f>
        <v>3.3333333333333335E-3</v>
      </c>
      <c r="N550" s="10">
        <f>IFERROR(SUMIFS('Base bordo CD'!M$2:M$875,'Base bordo CD'!D$2:D$875,A550,'Base bordo CD'!A$2:A$875,B550,'Base bordo CD'!L$2:L$875,"FALTA DE CAMINHÃO"),0)+IFERROR(SUMIFS('Base bordo CD'!M$2:M$875,'Base bordo CD'!D$2:D$875,A550,'Base bordo CD'!A$2:A$875,B550,'Base bordo CD'!L$2:L$875,"FALTA DE COMBUSTIVEL"),0)+IFERROR(SUMIFS('Base bordo CD'!M$2:M$875,'Base bordo CD'!D$2:D$875,A550,'Base bordo CD'!A$2:A$875,B550,'Base bordo CD'!L$2:L$875,"FALTA DE MOTORIST*"),0)</f>
        <v>0</v>
      </c>
      <c r="O550" s="10">
        <f t="shared" si="45"/>
        <v>0</v>
      </c>
      <c r="P550" s="10">
        <f>IFERROR(SUMIFS('Base bordo CD'!M$2:M$875,'Base bordo CD'!D$2:D$875,A550,'Base bordo CD'!A$2:A$875,B550),0)</f>
        <v>24</v>
      </c>
      <c r="Q550" s="10">
        <f>IFERROR(SUMIFS('Base bordo CD'!O$2:O$875,'Base bordo CD'!D$2:D$875,A550,'Base bordo CD'!A$2:A$875,B550,'Base bordo CD'!L$2:L$875,"CORTE DE CANA MECANIZADO"),0)</f>
        <v>93510.06</v>
      </c>
      <c r="R550" s="10">
        <f>IFERROR(SUMIFS('Base bordo CD'!Q$2:Q$875,'Base bordo CD'!D$2:D$875,A550,'Base bordo CD'!A$2:A$875,B550,'Base bordo CD'!L$2:L$875,"CORTE DE CANA MECANIZADO"),0)</f>
        <v>24346</v>
      </c>
      <c r="S550" s="30">
        <f t="shared" si="46"/>
        <v>3.8408798159861988</v>
      </c>
      <c r="T550" s="9">
        <f t="shared" si="47"/>
        <v>0.2817824074074074</v>
      </c>
      <c r="U550" s="9">
        <f t="shared" si="48"/>
        <v>3.5057870370370371E-2</v>
      </c>
      <c r="V550" s="9">
        <f t="shared" si="49"/>
        <v>0.69251157407407415</v>
      </c>
    </row>
    <row r="551" spans="1:22" x14ac:dyDescent="0.35">
      <c r="A551" s="52">
        <v>49595</v>
      </c>
      <c r="B551" s="31">
        <v>46119</v>
      </c>
      <c r="C551" s="7" t="s">
        <v>337</v>
      </c>
      <c r="D551" s="7">
        <v>353</v>
      </c>
      <c r="E551" s="10">
        <f>IFERROR(SUMIFS('Base bordo CD'!M$2:M$875,'Base bordo CD'!D$2:D$875,A551,'Base bordo CD'!A$2:A$875,B551,'Base bordo CD'!L$2:L$875,"CORTE DE CANA MECANIZADO"),0)</f>
        <v>6.762777777777778</v>
      </c>
      <c r="F551" s="10">
        <f>IFERROR(SUMIFS('Base bordo CD'!M$2:M$875,'Base bordo CD'!D$2:D$875,A551,'Base bordo CD'!A$2:A$875,B551,'Base bordo CD'!L$2:L$875,"MANOBRA"),0)</f>
        <v>0.84138888888888885</v>
      </c>
      <c r="G551" s="10">
        <f>IFERROR(SUMIFS('Base bordo CD'!M$2:M$875,'Base bordo CD'!D$2:D$875,A551,'Base bordo CD'!A$2:A$875,B551,'Base bordo CD'!L$2:L$875,"DESLOCAMENTO"),0)</f>
        <v>0.61694444444444441</v>
      </c>
      <c r="H551" s="10">
        <f>IFERROR(SUMIFS('Base bordo CD'!M$2:M$875,'Base bordo CD'!D$2:D$875,A551,'Base bordo CD'!A$2:A$875,B551,'Base bordo CD'!L$2:L$875,"AGUARDANDO MANOBRA DE TRANSBORDO"),0)+IFERROR(SUMIFS('Base bordo CD'!M$2:M$875,'Base bordo CD'!D$2:D$875,A551,'Base bordo CD'!A$2:A$875,B551,'Base bordo CD'!L$2:L$875,"FALTA DE TRANSBORDO"),0)</f>
        <v>0.56472222222222224</v>
      </c>
      <c r="I551" s="10">
        <f>IFERROR(SUMIFS('Base bordo CD'!M$2:M$875,'Base bordo CD'!D$2:D$875,A551,'Base bordo CD'!A$2:A$875,B551,'Base bordo CD'!L$2:L$875,"PARADA POR CONDICOES CLIMATICAS"),0)+IFERROR(SUMIFS('Base bordo CD'!M$2:M$875,'Base bordo CD'!D$2:D$875,A551,'Base bordo CD'!A$2:A$875,B551,'Base bordo CD'!L$2:L$875,"TEMPO INDETERMINADO"),0)</f>
        <v>14.727222222222222</v>
      </c>
      <c r="J551" s="10">
        <f>IFERROR(SUMIFS('Base bordo CD'!M$2:M$875,'Base bordo CD'!D$2:D$875,A551,'Base bordo CD'!A$2:A$875,B551,'Base bordo CD'!L$2:L$875,"LIMITAÇÃO INDÚSTRIA"),0)</f>
        <v>0</v>
      </c>
      <c r="K551" s="10">
        <f>IFERROR(SUMIFS('Base bordo CD'!M$2:M$875,'Base bordo CD'!D$2:D$875,A551,'Base bordo CD'!A$2:A$875,B551,'Base bordo CD'!L$2:L$875,"MAN CORRETIVA*"),0)+IFERROR(SUMIFS('Base bordo CD'!M$2:M$875,'Base bordo CD'!D$2:D$875,A551,'Base bordo CD'!A$2:A$875,B551,'Base bordo CD'!L$2:L$875,"AGUARDANDO MANUTENCAO*"),0)+IFERROR(SUMIFS('Base bordo CD'!M$2:M$875,'Base bordo CD'!D$2:D$875,A551,'Base bordo CD'!A$2:A$875,B551,'Base bordo CD'!L$2:L$875,"TROCA DE FAQUINHA"),0)+IFERROR(SUMIFS('Base bordo CD'!M$2:M$875,'Base bordo CD'!D$2:D$875,A551,'Base bordo CD'!A$2:A$875,B551,'Base bordo CD'!L$2:L$875,"LIMPEZA*"),0)</f>
        <v>0.4836111111111111</v>
      </c>
      <c r="L551" s="10">
        <f>IFERROR(SUMIFS('Base bordo CD'!M$2:M$875,'Base bordo CD'!D$2:D$875,A551,'Base bordo CD'!A$2:A$875,B551,'Base bordo CD'!L$2:L$875,"PATIO - RESERVA"),0)</f>
        <v>0</v>
      </c>
      <c r="M551" s="10">
        <f>IFERROR(SUMIFS('Base bordo CD'!M$2:M$875,'Base bordo CD'!D$2:D$875,A551,'Base bordo CD'!A$2:A$875,B551,'Base bordo CD'!L$2:L$875,"SEM APONTAMENTO"),0)</f>
        <v>3.3333333333333335E-3</v>
      </c>
      <c r="N551" s="10">
        <f>IFERROR(SUMIFS('Base bordo CD'!M$2:M$875,'Base bordo CD'!D$2:D$875,A551,'Base bordo CD'!A$2:A$875,B551,'Base bordo CD'!L$2:L$875,"FALTA DE CAMINHÃO"),0)+IFERROR(SUMIFS('Base bordo CD'!M$2:M$875,'Base bordo CD'!D$2:D$875,A551,'Base bordo CD'!A$2:A$875,B551,'Base bordo CD'!L$2:L$875,"FALTA DE COMBUSTIVEL"),0)+IFERROR(SUMIFS('Base bordo CD'!M$2:M$875,'Base bordo CD'!D$2:D$875,A551,'Base bordo CD'!A$2:A$875,B551,'Base bordo CD'!L$2:L$875,"FALTA DE MOTORIST*"),0)</f>
        <v>0</v>
      </c>
      <c r="O551" s="10">
        <f t="shared" si="45"/>
        <v>0</v>
      </c>
      <c r="P551" s="10">
        <f>IFERROR(SUMIFS('Base bordo CD'!M$2:M$875,'Base bordo CD'!D$2:D$875,A551,'Base bordo CD'!A$2:A$875,B551),0)</f>
        <v>24</v>
      </c>
      <c r="Q551" s="10">
        <f>IFERROR(SUMIFS('Base bordo CD'!O$2:O$875,'Base bordo CD'!D$2:D$875,A551,'Base bordo CD'!A$2:A$875,B551,'Base bordo CD'!L$2:L$875,"CORTE DE CANA MECANIZADO"),0)</f>
        <v>93510.06</v>
      </c>
      <c r="R551" s="10">
        <f>IFERROR(SUMIFS('Base bordo CD'!Q$2:Q$875,'Base bordo CD'!D$2:D$875,A551,'Base bordo CD'!A$2:A$875,B551,'Base bordo CD'!L$2:L$875,"CORTE DE CANA MECANIZADO"),0)</f>
        <v>24346</v>
      </c>
      <c r="S551" s="30">
        <f t="shared" si="46"/>
        <v>3.8408798159861988</v>
      </c>
      <c r="T551" s="9">
        <f t="shared" si="47"/>
        <v>0.2817824074074074</v>
      </c>
      <c r="U551" s="9">
        <f t="shared" si="48"/>
        <v>3.5057870370370371E-2</v>
      </c>
      <c r="V551" s="9">
        <f t="shared" si="49"/>
        <v>0.69251157407407415</v>
      </c>
    </row>
    <row r="552" spans="1:22" x14ac:dyDescent="0.35">
      <c r="A552" s="52">
        <v>49595</v>
      </c>
      <c r="B552" s="31">
        <v>46119</v>
      </c>
      <c r="C552" s="7" t="s">
        <v>337</v>
      </c>
      <c r="D552" s="7">
        <v>353</v>
      </c>
      <c r="E552" s="10">
        <f>IFERROR(SUMIFS('Base bordo CD'!M$2:M$875,'Base bordo CD'!D$2:D$875,A552,'Base bordo CD'!A$2:A$875,B552,'Base bordo CD'!L$2:L$875,"CORTE DE CANA MECANIZADO"),0)</f>
        <v>6.762777777777778</v>
      </c>
      <c r="F552" s="10">
        <f>IFERROR(SUMIFS('Base bordo CD'!M$2:M$875,'Base bordo CD'!D$2:D$875,A552,'Base bordo CD'!A$2:A$875,B552,'Base bordo CD'!L$2:L$875,"MANOBRA"),0)</f>
        <v>0.84138888888888885</v>
      </c>
      <c r="G552" s="10">
        <f>IFERROR(SUMIFS('Base bordo CD'!M$2:M$875,'Base bordo CD'!D$2:D$875,A552,'Base bordo CD'!A$2:A$875,B552,'Base bordo CD'!L$2:L$875,"DESLOCAMENTO"),0)</f>
        <v>0.61694444444444441</v>
      </c>
      <c r="H552" s="10">
        <f>IFERROR(SUMIFS('Base bordo CD'!M$2:M$875,'Base bordo CD'!D$2:D$875,A552,'Base bordo CD'!A$2:A$875,B552,'Base bordo CD'!L$2:L$875,"AGUARDANDO MANOBRA DE TRANSBORDO"),0)+IFERROR(SUMIFS('Base bordo CD'!M$2:M$875,'Base bordo CD'!D$2:D$875,A552,'Base bordo CD'!A$2:A$875,B552,'Base bordo CD'!L$2:L$875,"FALTA DE TRANSBORDO"),0)</f>
        <v>0.56472222222222224</v>
      </c>
      <c r="I552" s="10">
        <f>IFERROR(SUMIFS('Base bordo CD'!M$2:M$875,'Base bordo CD'!D$2:D$875,A552,'Base bordo CD'!A$2:A$875,B552,'Base bordo CD'!L$2:L$875,"PARADA POR CONDICOES CLIMATICAS"),0)+IFERROR(SUMIFS('Base bordo CD'!M$2:M$875,'Base bordo CD'!D$2:D$875,A552,'Base bordo CD'!A$2:A$875,B552,'Base bordo CD'!L$2:L$875,"TEMPO INDETERMINADO"),0)</f>
        <v>14.727222222222222</v>
      </c>
      <c r="J552" s="10">
        <f>IFERROR(SUMIFS('Base bordo CD'!M$2:M$875,'Base bordo CD'!D$2:D$875,A552,'Base bordo CD'!A$2:A$875,B552,'Base bordo CD'!L$2:L$875,"LIMITAÇÃO INDÚSTRIA"),0)</f>
        <v>0</v>
      </c>
      <c r="K552" s="10">
        <f>IFERROR(SUMIFS('Base bordo CD'!M$2:M$875,'Base bordo CD'!D$2:D$875,A552,'Base bordo CD'!A$2:A$875,B552,'Base bordo CD'!L$2:L$875,"MAN CORRETIVA*"),0)+IFERROR(SUMIFS('Base bordo CD'!M$2:M$875,'Base bordo CD'!D$2:D$875,A552,'Base bordo CD'!A$2:A$875,B552,'Base bordo CD'!L$2:L$875,"AGUARDANDO MANUTENCAO*"),0)+IFERROR(SUMIFS('Base bordo CD'!M$2:M$875,'Base bordo CD'!D$2:D$875,A552,'Base bordo CD'!A$2:A$875,B552,'Base bordo CD'!L$2:L$875,"TROCA DE FAQUINHA"),0)+IFERROR(SUMIFS('Base bordo CD'!M$2:M$875,'Base bordo CD'!D$2:D$875,A552,'Base bordo CD'!A$2:A$875,B552,'Base bordo CD'!L$2:L$875,"LIMPEZA*"),0)</f>
        <v>0.4836111111111111</v>
      </c>
      <c r="L552" s="10">
        <f>IFERROR(SUMIFS('Base bordo CD'!M$2:M$875,'Base bordo CD'!D$2:D$875,A552,'Base bordo CD'!A$2:A$875,B552,'Base bordo CD'!L$2:L$875,"PATIO - RESERVA"),0)</f>
        <v>0</v>
      </c>
      <c r="M552" s="10">
        <f>IFERROR(SUMIFS('Base bordo CD'!M$2:M$875,'Base bordo CD'!D$2:D$875,A552,'Base bordo CD'!A$2:A$875,B552,'Base bordo CD'!L$2:L$875,"SEM APONTAMENTO"),0)</f>
        <v>3.3333333333333335E-3</v>
      </c>
      <c r="N552" s="10">
        <f>IFERROR(SUMIFS('Base bordo CD'!M$2:M$875,'Base bordo CD'!D$2:D$875,A552,'Base bordo CD'!A$2:A$875,B552,'Base bordo CD'!L$2:L$875,"FALTA DE CAMINHÃO"),0)+IFERROR(SUMIFS('Base bordo CD'!M$2:M$875,'Base bordo CD'!D$2:D$875,A552,'Base bordo CD'!A$2:A$875,B552,'Base bordo CD'!L$2:L$875,"FALTA DE COMBUSTIVEL"),0)+IFERROR(SUMIFS('Base bordo CD'!M$2:M$875,'Base bordo CD'!D$2:D$875,A552,'Base bordo CD'!A$2:A$875,B552,'Base bordo CD'!L$2:L$875,"FALTA DE MOTORIST*"),0)</f>
        <v>0</v>
      </c>
      <c r="O552" s="10">
        <f t="shared" si="45"/>
        <v>0</v>
      </c>
      <c r="P552" s="10">
        <f>IFERROR(SUMIFS('Base bordo CD'!M$2:M$875,'Base bordo CD'!D$2:D$875,A552,'Base bordo CD'!A$2:A$875,B552),0)</f>
        <v>24</v>
      </c>
      <c r="Q552" s="10">
        <f>IFERROR(SUMIFS('Base bordo CD'!O$2:O$875,'Base bordo CD'!D$2:D$875,A552,'Base bordo CD'!A$2:A$875,B552,'Base bordo CD'!L$2:L$875,"CORTE DE CANA MECANIZADO"),0)</f>
        <v>93510.06</v>
      </c>
      <c r="R552" s="10">
        <f>IFERROR(SUMIFS('Base bordo CD'!Q$2:Q$875,'Base bordo CD'!D$2:D$875,A552,'Base bordo CD'!A$2:A$875,B552,'Base bordo CD'!L$2:L$875,"CORTE DE CANA MECANIZADO"),0)</f>
        <v>24346</v>
      </c>
      <c r="S552" s="30">
        <f t="shared" si="46"/>
        <v>3.8408798159861988</v>
      </c>
      <c r="T552" s="9">
        <f t="shared" si="47"/>
        <v>0.2817824074074074</v>
      </c>
      <c r="U552" s="9">
        <f t="shared" si="48"/>
        <v>3.5057870370370371E-2</v>
      </c>
      <c r="V552" s="9">
        <f t="shared" si="49"/>
        <v>0.69251157407407415</v>
      </c>
    </row>
    <row r="553" spans="1:22" x14ac:dyDescent="0.35">
      <c r="A553" s="52">
        <v>49595</v>
      </c>
      <c r="B553" s="31">
        <v>46119</v>
      </c>
      <c r="C553" s="7" t="s">
        <v>337</v>
      </c>
      <c r="D553" s="7">
        <v>353</v>
      </c>
      <c r="E553" s="10">
        <f>IFERROR(SUMIFS('Base bordo CD'!M$2:M$875,'Base bordo CD'!D$2:D$875,A553,'Base bordo CD'!A$2:A$875,B553,'Base bordo CD'!L$2:L$875,"CORTE DE CANA MECANIZADO"),0)</f>
        <v>6.762777777777778</v>
      </c>
      <c r="F553" s="10">
        <f>IFERROR(SUMIFS('Base bordo CD'!M$2:M$875,'Base bordo CD'!D$2:D$875,A553,'Base bordo CD'!A$2:A$875,B553,'Base bordo CD'!L$2:L$875,"MANOBRA"),0)</f>
        <v>0.84138888888888885</v>
      </c>
      <c r="G553" s="10">
        <f>IFERROR(SUMIFS('Base bordo CD'!M$2:M$875,'Base bordo CD'!D$2:D$875,A553,'Base bordo CD'!A$2:A$875,B553,'Base bordo CD'!L$2:L$875,"DESLOCAMENTO"),0)</f>
        <v>0.61694444444444441</v>
      </c>
      <c r="H553" s="10">
        <f>IFERROR(SUMIFS('Base bordo CD'!M$2:M$875,'Base bordo CD'!D$2:D$875,A553,'Base bordo CD'!A$2:A$875,B553,'Base bordo CD'!L$2:L$875,"AGUARDANDO MANOBRA DE TRANSBORDO"),0)+IFERROR(SUMIFS('Base bordo CD'!M$2:M$875,'Base bordo CD'!D$2:D$875,A553,'Base bordo CD'!A$2:A$875,B553,'Base bordo CD'!L$2:L$875,"FALTA DE TRANSBORDO"),0)</f>
        <v>0.56472222222222224</v>
      </c>
      <c r="I553" s="10">
        <f>IFERROR(SUMIFS('Base bordo CD'!M$2:M$875,'Base bordo CD'!D$2:D$875,A553,'Base bordo CD'!A$2:A$875,B553,'Base bordo CD'!L$2:L$875,"PARADA POR CONDICOES CLIMATICAS"),0)+IFERROR(SUMIFS('Base bordo CD'!M$2:M$875,'Base bordo CD'!D$2:D$875,A553,'Base bordo CD'!A$2:A$875,B553,'Base bordo CD'!L$2:L$875,"TEMPO INDETERMINADO"),0)</f>
        <v>14.727222222222222</v>
      </c>
      <c r="J553" s="10">
        <f>IFERROR(SUMIFS('Base bordo CD'!M$2:M$875,'Base bordo CD'!D$2:D$875,A553,'Base bordo CD'!A$2:A$875,B553,'Base bordo CD'!L$2:L$875,"LIMITAÇÃO INDÚSTRIA"),0)</f>
        <v>0</v>
      </c>
      <c r="K553" s="10">
        <f>IFERROR(SUMIFS('Base bordo CD'!M$2:M$875,'Base bordo CD'!D$2:D$875,A553,'Base bordo CD'!A$2:A$875,B553,'Base bordo CD'!L$2:L$875,"MAN CORRETIVA*"),0)+IFERROR(SUMIFS('Base bordo CD'!M$2:M$875,'Base bordo CD'!D$2:D$875,A553,'Base bordo CD'!A$2:A$875,B553,'Base bordo CD'!L$2:L$875,"AGUARDANDO MANUTENCAO*"),0)+IFERROR(SUMIFS('Base bordo CD'!M$2:M$875,'Base bordo CD'!D$2:D$875,A553,'Base bordo CD'!A$2:A$875,B553,'Base bordo CD'!L$2:L$875,"TROCA DE FAQUINHA"),0)+IFERROR(SUMIFS('Base bordo CD'!M$2:M$875,'Base bordo CD'!D$2:D$875,A553,'Base bordo CD'!A$2:A$875,B553,'Base bordo CD'!L$2:L$875,"LIMPEZA*"),0)</f>
        <v>0.4836111111111111</v>
      </c>
      <c r="L553" s="10">
        <f>IFERROR(SUMIFS('Base bordo CD'!M$2:M$875,'Base bordo CD'!D$2:D$875,A553,'Base bordo CD'!A$2:A$875,B553,'Base bordo CD'!L$2:L$875,"PATIO - RESERVA"),0)</f>
        <v>0</v>
      </c>
      <c r="M553" s="10">
        <f>IFERROR(SUMIFS('Base bordo CD'!M$2:M$875,'Base bordo CD'!D$2:D$875,A553,'Base bordo CD'!A$2:A$875,B553,'Base bordo CD'!L$2:L$875,"SEM APONTAMENTO"),0)</f>
        <v>3.3333333333333335E-3</v>
      </c>
      <c r="N553" s="10">
        <f>IFERROR(SUMIFS('Base bordo CD'!M$2:M$875,'Base bordo CD'!D$2:D$875,A553,'Base bordo CD'!A$2:A$875,B553,'Base bordo CD'!L$2:L$875,"FALTA DE CAMINHÃO"),0)+IFERROR(SUMIFS('Base bordo CD'!M$2:M$875,'Base bordo CD'!D$2:D$875,A553,'Base bordo CD'!A$2:A$875,B553,'Base bordo CD'!L$2:L$875,"FALTA DE COMBUSTIVEL"),0)+IFERROR(SUMIFS('Base bordo CD'!M$2:M$875,'Base bordo CD'!D$2:D$875,A553,'Base bordo CD'!A$2:A$875,B553,'Base bordo CD'!L$2:L$875,"FALTA DE MOTORIST*"),0)</f>
        <v>0</v>
      </c>
      <c r="O553" s="10">
        <f t="shared" si="45"/>
        <v>0</v>
      </c>
      <c r="P553" s="10">
        <f>IFERROR(SUMIFS('Base bordo CD'!M$2:M$875,'Base bordo CD'!D$2:D$875,A553,'Base bordo CD'!A$2:A$875,B553),0)</f>
        <v>24</v>
      </c>
      <c r="Q553" s="10">
        <f>IFERROR(SUMIFS('Base bordo CD'!O$2:O$875,'Base bordo CD'!D$2:D$875,A553,'Base bordo CD'!A$2:A$875,B553,'Base bordo CD'!L$2:L$875,"CORTE DE CANA MECANIZADO"),0)</f>
        <v>93510.06</v>
      </c>
      <c r="R553" s="10">
        <f>IFERROR(SUMIFS('Base bordo CD'!Q$2:Q$875,'Base bordo CD'!D$2:D$875,A553,'Base bordo CD'!A$2:A$875,B553,'Base bordo CD'!L$2:L$875,"CORTE DE CANA MECANIZADO"),0)</f>
        <v>24346</v>
      </c>
      <c r="S553" s="30">
        <f t="shared" si="46"/>
        <v>3.8408798159861988</v>
      </c>
      <c r="T553" s="9">
        <f t="shared" si="47"/>
        <v>0.2817824074074074</v>
      </c>
      <c r="U553" s="9">
        <f t="shared" si="48"/>
        <v>3.5057870370370371E-2</v>
      </c>
      <c r="V553" s="9">
        <f t="shared" si="49"/>
        <v>0.69251157407407415</v>
      </c>
    </row>
    <row r="554" spans="1:22" x14ac:dyDescent="0.35">
      <c r="A554" s="52">
        <v>49595</v>
      </c>
      <c r="B554" s="31">
        <v>46119</v>
      </c>
      <c r="C554" s="7" t="s">
        <v>337</v>
      </c>
      <c r="D554" s="7">
        <v>353</v>
      </c>
      <c r="E554" s="10">
        <f>IFERROR(SUMIFS('Base bordo CD'!M$2:M$875,'Base bordo CD'!D$2:D$875,A554,'Base bordo CD'!A$2:A$875,B554,'Base bordo CD'!L$2:L$875,"CORTE DE CANA MECANIZADO"),0)</f>
        <v>6.762777777777778</v>
      </c>
      <c r="F554" s="10">
        <f>IFERROR(SUMIFS('Base bordo CD'!M$2:M$875,'Base bordo CD'!D$2:D$875,A554,'Base bordo CD'!A$2:A$875,B554,'Base bordo CD'!L$2:L$875,"MANOBRA"),0)</f>
        <v>0.84138888888888885</v>
      </c>
      <c r="G554" s="10">
        <f>IFERROR(SUMIFS('Base bordo CD'!M$2:M$875,'Base bordo CD'!D$2:D$875,A554,'Base bordo CD'!A$2:A$875,B554,'Base bordo CD'!L$2:L$875,"DESLOCAMENTO"),0)</f>
        <v>0.61694444444444441</v>
      </c>
      <c r="H554" s="10">
        <f>IFERROR(SUMIFS('Base bordo CD'!M$2:M$875,'Base bordo CD'!D$2:D$875,A554,'Base bordo CD'!A$2:A$875,B554,'Base bordo CD'!L$2:L$875,"AGUARDANDO MANOBRA DE TRANSBORDO"),0)+IFERROR(SUMIFS('Base bordo CD'!M$2:M$875,'Base bordo CD'!D$2:D$875,A554,'Base bordo CD'!A$2:A$875,B554,'Base bordo CD'!L$2:L$875,"FALTA DE TRANSBORDO"),0)</f>
        <v>0.56472222222222224</v>
      </c>
      <c r="I554" s="10">
        <f>IFERROR(SUMIFS('Base bordo CD'!M$2:M$875,'Base bordo CD'!D$2:D$875,A554,'Base bordo CD'!A$2:A$875,B554,'Base bordo CD'!L$2:L$875,"PARADA POR CONDICOES CLIMATICAS"),0)+IFERROR(SUMIFS('Base bordo CD'!M$2:M$875,'Base bordo CD'!D$2:D$875,A554,'Base bordo CD'!A$2:A$875,B554,'Base bordo CD'!L$2:L$875,"TEMPO INDETERMINADO"),0)</f>
        <v>14.727222222222222</v>
      </c>
      <c r="J554" s="10">
        <f>IFERROR(SUMIFS('Base bordo CD'!M$2:M$875,'Base bordo CD'!D$2:D$875,A554,'Base bordo CD'!A$2:A$875,B554,'Base bordo CD'!L$2:L$875,"LIMITAÇÃO INDÚSTRIA"),0)</f>
        <v>0</v>
      </c>
      <c r="K554" s="10">
        <f>IFERROR(SUMIFS('Base bordo CD'!M$2:M$875,'Base bordo CD'!D$2:D$875,A554,'Base bordo CD'!A$2:A$875,B554,'Base bordo CD'!L$2:L$875,"MAN CORRETIVA*"),0)+IFERROR(SUMIFS('Base bordo CD'!M$2:M$875,'Base bordo CD'!D$2:D$875,A554,'Base bordo CD'!A$2:A$875,B554,'Base bordo CD'!L$2:L$875,"AGUARDANDO MANUTENCAO*"),0)+IFERROR(SUMIFS('Base bordo CD'!M$2:M$875,'Base bordo CD'!D$2:D$875,A554,'Base bordo CD'!A$2:A$875,B554,'Base bordo CD'!L$2:L$875,"TROCA DE FAQUINHA"),0)+IFERROR(SUMIFS('Base bordo CD'!M$2:M$875,'Base bordo CD'!D$2:D$875,A554,'Base bordo CD'!A$2:A$875,B554,'Base bordo CD'!L$2:L$875,"LIMPEZA*"),0)</f>
        <v>0.4836111111111111</v>
      </c>
      <c r="L554" s="10">
        <f>IFERROR(SUMIFS('Base bordo CD'!M$2:M$875,'Base bordo CD'!D$2:D$875,A554,'Base bordo CD'!A$2:A$875,B554,'Base bordo CD'!L$2:L$875,"PATIO - RESERVA"),0)</f>
        <v>0</v>
      </c>
      <c r="M554" s="10">
        <f>IFERROR(SUMIFS('Base bordo CD'!M$2:M$875,'Base bordo CD'!D$2:D$875,A554,'Base bordo CD'!A$2:A$875,B554,'Base bordo CD'!L$2:L$875,"SEM APONTAMENTO"),0)</f>
        <v>3.3333333333333335E-3</v>
      </c>
      <c r="N554" s="10">
        <f>IFERROR(SUMIFS('Base bordo CD'!M$2:M$875,'Base bordo CD'!D$2:D$875,A554,'Base bordo CD'!A$2:A$875,B554,'Base bordo CD'!L$2:L$875,"FALTA DE CAMINHÃO"),0)+IFERROR(SUMIFS('Base bordo CD'!M$2:M$875,'Base bordo CD'!D$2:D$875,A554,'Base bordo CD'!A$2:A$875,B554,'Base bordo CD'!L$2:L$875,"FALTA DE COMBUSTIVEL"),0)+IFERROR(SUMIFS('Base bordo CD'!M$2:M$875,'Base bordo CD'!D$2:D$875,A554,'Base bordo CD'!A$2:A$875,B554,'Base bordo CD'!L$2:L$875,"FALTA DE MOTORIST*"),0)</f>
        <v>0</v>
      </c>
      <c r="O554" s="10">
        <f t="shared" si="45"/>
        <v>0</v>
      </c>
      <c r="P554" s="10">
        <f>IFERROR(SUMIFS('Base bordo CD'!M$2:M$875,'Base bordo CD'!D$2:D$875,A554,'Base bordo CD'!A$2:A$875,B554),0)</f>
        <v>24</v>
      </c>
      <c r="Q554" s="10">
        <f>IFERROR(SUMIFS('Base bordo CD'!O$2:O$875,'Base bordo CD'!D$2:D$875,A554,'Base bordo CD'!A$2:A$875,B554,'Base bordo CD'!L$2:L$875,"CORTE DE CANA MECANIZADO"),0)</f>
        <v>93510.06</v>
      </c>
      <c r="R554" s="10">
        <f>IFERROR(SUMIFS('Base bordo CD'!Q$2:Q$875,'Base bordo CD'!D$2:D$875,A554,'Base bordo CD'!A$2:A$875,B554,'Base bordo CD'!L$2:L$875,"CORTE DE CANA MECANIZADO"),0)</f>
        <v>24346</v>
      </c>
      <c r="S554" s="30">
        <f t="shared" si="46"/>
        <v>3.8408798159861988</v>
      </c>
      <c r="T554" s="9">
        <f t="shared" si="47"/>
        <v>0.2817824074074074</v>
      </c>
      <c r="U554" s="9">
        <f t="shared" si="48"/>
        <v>3.5057870370370371E-2</v>
      </c>
      <c r="V554" s="9">
        <f t="shared" si="49"/>
        <v>0.69251157407407415</v>
      </c>
    </row>
    <row r="555" spans="1:22" x14ac:dyDescent="0.35">
      <c r="A555" s="52">
        <v>49595</v>
      </c>
      <c r="B555" s="31">
        <v>46119</v>
      </c>
      <c r="C555" s="7" t="s">
        <v>337</v>
      </c>
      <c r="D555" s="7">
        <v>353</v>
      </c>
      <c r="E555" s="10">
        <f>IFERROR(SUMIFS('Base bordo CD'!M$2:M$875,'Base bordo CD'!D$2:D$875,A555,'Base bordo CD'!A$2:A$875,B555,'Base bordo CD'!L$2:L$875,"CORTE DE CANA MECANIZADO"),0)</f>
        <v>6.762777777777778</v>
      </c>
      <c r="F555" s="10">
        <f>IFERROR(SUMIFS('Base bordo CD'!M$2:M$875,'Base bordo CD'!D$2:D$875,A555,'Base bordo CD'!A$2:A$875,B555,'Base bordo CD'!L$2:L$875,"MANOBRA"),0)</f>
        <v>0.84138888888888885</v>
      </c>
      <c r="G555" s="10">
        <f>IFERROR(SUMIFS('Base bordo CD'!M$2:M$875,'Base bordo CD'!D$2:D$875,A555,'Base bordo CD'!A$2:A$875,B555,'Base bordo CD'!L$2:L$875,"DESLOCAMENTO"),0)</f>
        <v>0.61694444444444441</v>
      </c>
      <c r="H555" s="10">
        <f>IFERROR(SUMIFS('Base bordo CD'!M$2:M$875,'Base bordo CD'!D$2:D$875,A555,'Base bordo CD'!A$2:A$875,B555,'Base bordo CD'!L$2:L$875,"AGUARDANDO MANOBRA DE TRANSBORDO"),0)+IFERROR(SUMIFS('Base bordo CD'!M$2:M$875,'Base bordo CD'!D$2:D$875,A555,'Base bordo CD'!A$2:A$875,B555,'Base bordo CD'!L$2:L$875,"FALTA DE TRANSBORDO"),0)</f>
        <v>0.56472222222222224</v>
      </c>
      <c r="I555" s="10">
        <f>IFERROR(SUMIFS('Base bordo CD'!M$2:M$875,'Base bordo CD'!D$2:D$875,A555,'Base bordo CD'!A$2:A$875,B555,'Base bordo CD'!L$2:L$875,"PARADA POR CONDICOES CLIMATICAS"),0)+IFERROR(SUMIFS('Base bordo CD'!M$2:M$875,'Base bordo CD'!D$2:D$875,A555,'Base bordo CD'!A$2:A$875,B555,'Base bordo CD'!L$2:L$875,"TEMPO INDETERMINADO"),0)</f>
        <v>14.727222222222222</v>
      </c>
      <c r="J555" s="10">
        <f>IFERROR(SUMIFS('Base bordo CD'!M$2:M$875,'Base bordo CD'!D$2:D$875,A555,'Base bordo CD'!A$2:A$875,B555,'Base bordo CD'!L$2:L$875,"LIMITAÇÃO INDÚSTRIA"),0)</f>
        <v>0</v>
      </c>
      <c r="K555" s="10">
        <f>IFERROR(SUMIFS('Base bordo CD'!M$2:M$875,'Base bordo CD'!D$2:D$875,A555,'Base bordo CD'!A$2:A$875,B555,'Base bordo CD'!L$2:L$875,"MAN CORRETIVA*"),0)+IFERROR(SUMIFS('Base bordo CD'!M$2:M$875,'Base bordo CD'!D$2:D$875,A555,'Base bordo CD'!A$2:A$875,B555,'Base bordo CD'!L$2:L$875,"AGUARDANDO MANUTENCAO*"),0)+IFERROR(SUMIFS('Base bordo CD'!M$2:M$875,'Base bordo CD'!D$2:D$875,A555,'Base bordo CD'!A$2:A$875,B555,'Base bordo CD'!L$2:L$875,"TROCA DE FAQUINHA"),0)+IFERROR(SUMIFS('Base bordo CD'!M$2:M$875,'Base bordo CD'!D$2:D$875,A555,'Base bordo CD'!A$2:A$875,B555,'Base bordo CD'!L$2:L$875,"LIMPEZA*"),0)</f>
        <v>0.4836111111111111</v>
      </c>
      <c r="L555" s="10">
        <f>IFERROR(SUMIFS('Base bordo CD'!M$2:M$875,'Base bordo CD'!D$2:D$875,A555,'Base bordo CD'!A$2:A$875,B555,'Base bordo CD'!L$2:L$875,"PATIO - RESERVA"),0)</f>
        <v>0</v>
      </c>
      <c r="M555" s="10">
        <f>IFERROR(SUMIFS('Base bordo CD'!M$2:M$875,'Base bordo CD'!D$2:D$875,A555,'Base bordo CD'!A$2:A$875,B555,'Base bordo CD'!L$2:L$875,"SEM APONTAMENTO"),0)</f>
        <v>3.3333333333333335E-3</v>
      </c>
      <c r="N555" s="10">
        <f>IFERROR(SUMIFS('Base bordo CD'!M$2:M$875,'Base bordo CD'!D$2:D$875,A555,'Base bordo CD'!A$2:A$875,B555,'Base bordo CD'!L$2:L$875,"FALTA DE CAMINHÃO"),0)+IFERROR(SUMIFS('Base bordo CD'!M$2:M$875,'Base bordo CD'!D$2:D$875,A555,'Base bordo CD'!A$2:A$875,B555,'Base bordo CD'!L$2:L$875,"FALTA DE COMBUSTIVEL"),0)+IFERROR(SUMIFS('Base bordo CD'!M$2:M$875,'Base bordo CD'!D$2:D$875,A555,'Base bordo CD'!A$2:A$875,B555,'Base bordo CD'!L$2:L$875,"FALTA DE MOTORIST*"),0)</f>
        <v>0</v>
      </c>
      <c r="O555" s="10">
        <f t="shared" si="45"/>
        <v>0</v>
      </c>
      <c r="P555" s="10">
        <f>IFERROR(SUMIFS('Base bordo CD'!M$2:M$875,'Base bordo CD'!D$2:D$875,A555,'Base bordo CD'!A$2:A$875,B555),0)</f>
        <v>24</v>
      </c>
      <c r="Q555" s="10">
        <f>IFERROR(SUMIFS('Base bordo CD'!O$2:O$875,'Base bordo CD'!D$2:D$875,A555,'Base bordo CD'!A$2:A$875,B555,'Base bordo CD'!L$2:L$875,"CORTE DE CANA MECANIZADO"),0)</f>
        <v>93510.06</v>
      </c>
      <c r="R555" s="10">
        <f>IFERROR(SUMIFS('Base bordo CD'!Q$2:Q$875,'Base bordo CD'!D$2:D$875,A555,'Base bordo CD'!A$2:A$875,B555,'Base bordo CD'!L$2:L$875,"CORTE DE CANA MECANIZADO"),0)</f>
        <v>24346</v>
      </c>
      <c r="S555" s="30">
        <f t="shared" si="46"/>
        <v>3.8408798159861988</v>
      </c>
      <c r="T555" s="9">
        <f t="shared" si="47"/>
        <v>0.2817824074074074</v>
      </c>
      <c r="U555" s="9">
        <f t="shared" si="48"/>
        <v>3.5057870370370371E-2</v>
      </c>
      <c r="V555" s="9">
        <f t="shared" si="49"/>
        <v>0.69251157407407415</v>
      </c>
    </row>
    <row r="556" spans="1:22" x14ac:dyDescent="0.35">
      <c r="A556" s="52">
        <v>49595</v>
      </c>
      <c r="B556" s="31">
        <v>46119</v>
      </c>
      <c r="C556" s="7" t="s">
        <v>337</v>
      </c>
      <c r="D556" s="7">
        <v>353</v>
      </c>
      <c r="E556" s="10">
        <f>IFERROR(SUMIFS('Base bordo CD'!M$2:M$875,'Base bordo CD'!D$2:D$875,A556,'Base bordo CD'!A$2:A$875,B556,'Base bordo CD'!L$2:L$875,"CORTE DE CANA MECANIZADO"),0)</f>
        <v>6.762777777777778</v>
      </c>
      <c r="F556" s="10">
        <f>IFERROR(SUMIFS('Base bordo CD'!M$2:M$875,'Base bordo CD'!D$2:D$875,A556,'Base bordo CD'!A$2:A$875,B556,'Base bordo CD'!L$2:L$875,"MANOBRA"),0)</f>
        <v>0.84138888888888885</v>
      </c>
      <c r="G556" s="10">
        <f>IFERROR(SUMIFS('Base bordo CD'!M$2:M$875,'Base bordo CD'!D$2:D$875,A556,'Base bordo CD'!A$2:A$875,B556,'Base bordo CD'!L$2:L$875,"DESLOCAMENTO"),0)</f>
        <v>0.61694444444444441</v>
      </c>
      <c r="H556" s="10">
        <f>IFERROR(SUMIFS('Base bordo CD'!M$2:M$875,'Base bordo CD'!D$2:D$875,A556,'Base bordo CD'!A$2:A$875,B556,'Base bordo CD'!L$2:L$875,"AGUARDANDO MANOBRA DE TRANSBORDO"),0)+IFERROR(SUMIFS('Base bordo CD'!M$2:M$875,'Base bordo CD'!D$2:D$875,A556,'Base bordo CD'!A$2:A$875,B556,'Base bordo CD'!L$2:L$875,"FALTA DE TRANSBORDO"),0)</f>
        <v>0.56472222222222224</v>
      </c>
      <c r="I556" s="10">
        <f>IFERROR(SUMIFS('Base bordo CD'!M$2:M$875,'Base bordo CD'!D$2:D$875,A556,'Base bordo CD'!A$2:A$875,B556,'Base bordo CD'!L$2:L$875,"PARADA POR CONDICOES CLIMATICAS"),0)+IFERROR(SUMIFS('Base bordo CD'!M$2:M$875,'Base bordo CD'!D$2:D$875,A556,'Base bordo CD'!A$2:A$875,B556,'Base bordo CD'!L$2:L$875,"TEMPO INDETERMINADO"),0)</f>
        <v>14.727222222222222</v>
      </c>
      <c r="J556" s="10">
        <f>IFERROR(SUMIFS('Base bordo CD'!M$2:M$875,'Base bordo CD'!D$2:D$875,A556,'Base bordo CD'!A$2:A$875,B556,'Base bordo CD'!L$2:L$875,"LIMITAÇÃO INDÚSTRIA"),0)</f>
        <v>0</v>
      </c>
      <c r="K556" s="10">
        <f>IFERROR(SUMIFS('Base bordo CD'!M$2:M$875,'Base bordo CD'!D$2:D$875,A556,'Base bordo CD'!A$2:A$875,B556,'Base bordo CD'!L$2:L$875,"MAN CORRETIVA*"),0)+IFERROR(SUMIFS('Base bordo CD'!M$2:M$875,'Base bordo CD'!D$2:D$875,A556,'Base bordo CD'!A$2:A$875,B556,'Base bordo CD'!L$2:L$875,"AGUARDANDO MANUTENCAO*"),0)+IFERROR(SUMIFS('Base bordo CD'!M$2:M$875,'Base bordo CD'!D$2:D$875,A556,'Base bordo CD'!A$2:A$875,B556,'Base bordo CD'!L$2:L$875,"TROCA DE FAQUINHA"),0)+IFERROR(SUMIFS('Base bordo CD'!M$2:M$875,'Base bordo CD'!D$2:D$875,A556,'Base bordo CD'!A$2:A$875,B556,'Base bordo CD'!L$2:L$875,"LIMPEZA*"),0)</f>
        <v>0.4836111111111111</v>
      </c>
      <c r="L556" s="10">
        <f>IFERROR(SUMIFS('Base bordo CD'!M$2:M$875,'Base bordo CD'!D$2:D$875,A556,'Base bordo CD'!A$2:A$875,B556,'Base bordo CD'!L$2:L$875,"PATIO - RESERVA"),0)</f>
        <v>0</v>
      </c>
      <c r="M556" s="10">
        <f>IFERROR(SUMIFS('Base bordo CD'!M$2:M$875,'Base bordo CD'!D$2:D$875,A556,'Base bordo CD'!A$2:A$875,B556,'Base bordo CD'!L$2:L$875,"SEM APONTAMENTO"),0)</f>
        <v>3.3333333333333335E-3</v>
      </c>
      <c r="N556" s="10">
        <f>IFERROR(SUMIFS('Base bordo CD'!M$2:M$875,'Base bordo CD'!D$2:D$875,A556,'Base bordo CD'!A$2:A$875,B556,'Base bordo CD'!L$2:L$875,"FALTA DE CAMINHÃO"),0)+IFERROR(SUMIFS('Base bordo CD'!M$2:M$875,'Base bordo CD'!D$2:D$875,A556,'Base bordo CD'!A$2:A$875,B556,'Base bordo CD'!L$2:L$875,"FALTA DE COMBUSTIVEL"),0)+IFERROR(SUMIFS('Base bordo CD'!M$2:M$875,'Base bordo CD'!D$2:D$875,A556,'Base bordo CD'!A$2:A$875,B556,'Base bordo CD'!L$2:L$875,"FALTA DE MOTORIST*"),0)</f>
        <v>0</v>
      </c>
      <c r="O556" s="10">
        <f t="shared" si="45"/>
        <v>0</v>
      </c>
      <c r="P556" s="10">
        <f>IFERROR(SUMIFS('Base bordo CD'!M$2:M$875,'Base bordo CD'!D$2:D$875,A556,'Base bordo CD'!A$2:A$875,B556),0)</f>
        <v>24</v>
      </c>
      <c r="Q556" s="10">
        <f>IFERROR(SUMIFS('Base bordo CD'!O$2:O$875,'Base bordo CD'!D$2:D$875,A556,'Base bordo CD'!A$2:A$875,B556,'Base bordo CD'!L$2:L$875,"CORTE DE CANA MECANIZADO"),0)</f>
        <v>93510.06</v>
      </c>
      <c r="R556" s="10">
        <f>IFERROR(SUMIFS('Base bordo CD'!Q$2:Q$875,'Base bordo CD'!D$2:D$875,A556,'Base bordo CD'!A$2:A$875,B556,'Base bordo CD'!L$2:L$875,"CORTE DE CANA MECANIZADO"),0)</f>
        <v>24346</v>
      </c>
      <c r="S556" s="30">
        <f t="shared" si="46"/>
        <v>3.8408798159861988</v>
      </c>
      <c r="T556" s="9">
        <f t="shared" si="47"/>
        <v>0.2817824074074074</v>
      </c>
      <c r="U556" s="9">
        <f t="shared" si="48"/>
        <v>3.5057870370370371E-2</v>
      </c>
      <c r="V556" s="9">
        <f t="shared" si="49"/>
        <v>0.69251157407407415</v>
      </c>
    </row>
    <row r="557" spans="1:22" x14ac:dyDescent="0.35">
      <c r="A557" s="52">
        <v>49595</v>
      </c>
      <c r="B557" s="31">
        <v>46119</v>
      </c>
      <c r="C557" s="7" t="s">
        <v>337</v>
      </c>
      <c r="D557" s="7">
        <v>353</v>
      </c>
      <c r="E557" s="10">
        <f>IFERROR(SUMIFS('Base bordo CD'!M$2:M$875,'Base bordo CD'!D$2:D$875,A557,'Base bordo CD'!A$2:A$875,B557,'Base bordo CD'!L$2:L$875,"CORTE DE CANA MECANIZADO"),0)</f>
        <v>6.762777777777778</v>
      </c>
      <c r="F557" s="10">
        <f>IFERROR(SUMIFS('Base bordo CD'!M$2:M$875,'Base bordo CD'!D$2:D$875,A557,'Base bordo CD'!A$2:A$875,B557,'Base bordo CD'!L$2:L$875,"MANOBRA"),0)</f>
        <v>0.84138888888888885</v>
      </c>
      <c r="G557" s="10">
        <f>IFERROR(SUMIFS('Base bordo CD'!M$2:M$875,'Base bordo CD'!D$2:D$875,A557,'Base bordo CD'!A$2:A$875,B557,'Base bordo CD'!L$2:L$875,"DESLOCAMENTO"),0)</f>
        <v>0.61694444444444441</v>
      </c>
      <c r="H557" s="10">
        <f>IFERROR(SUMIFS('Base bordo CD'!M$2:M$875,'Base bordo CD'!D$2:D$875,A557,'Base bordo CD'!A$2:A$875,B557,'Base bordo CD'!L$2:L$875,"AGUARDANDO MANOBRA DE TRANSBORDO"),0)+IFERROR(SUMIFS('Base bordo CD'!M$2:M$875,'Base bordo CD'!D$2:D$875,A557,'Base bordo CD'!A$2:A$875,B557,'Base bordo CD'!L$2:L$875,"FALTA DE TRANSBORDO"),0)</f>
        <v>0.56472222222222224</v>
      </c>
      <c r="I557" s="10">
        <f>IFERROR(SUMIFS('Base bordo CD'!M$2:M$875,'Base bordo CD'!D$2:D$875,A557,'Base bordo CD'!A$2:A$875,B557,'Base bordo CD'!L$2:L$875,"PARADA POR CONDICOES CLIMATICAS"),0)+IFERROR(SUMIFS('Base bordo CD'!M$2:M$875,'Base bordo CD'!D$2:D$875,A557,'Base bordo CD'!A$2:A$875,B557,'Base bordo CD'!L$2:L$875,"TEMPO INDETERMINADO"),0)</f>
        <v>14.727222222222222</v>
      </c>
      <c r="J557" s="10">
        <f>IFERROR(SUMIFS('Base bordo CD'!M$2:M$875,'Base bordo CD'!D$2:D$875,A557,'Base bordo CD'!A$2:A$875,B557,'Base bordo CD'!L$2:L$875,"LIMITAÇÃO INDÚSTRIA"),0)</f>
        <v>0</v>
      </c>
      <c r="K557" s="10">
        <f>IFERROR(SUMIFS('Base bordo CD'!M$2:M$875,'Base bordo CD'!D$2:D$875,A557,'Base bordo CD'!A$2:A$875,B557,'Base bordo CD'!L$2:L$875,"MAN CORRETIVA*"),0)+IFERROR(SUMIFS('Base bordo CD'!M$2:M$875,'Base bordo CD'!D$2:D$875,A557,'Base bordo CD'!A$2:A$875,B557,'Base bordo CD'!L$2:L$875,"AGUARDANDO MANUTENCAO*"),0)+IFERROR(SUMIFS('Base bordo CD'!M$2:M$875,'Base bordo CD'!D$2:D$875,A557,'Base bordo CD'!A$2:A$875,B557,'Base bordo CD'!L$2:L$875,"TROCA DE FAQUINHA"),0)+IFERROR(SUMIFS('Base bordo CD'!M$2:M$875,'Base bordo CD'!D$2:D$875,A557,'Base bordo CD'!A$2:A$875,B557,'Base bordo CD'!L$2:L$875,"LIMPEZA*"),0)</f>
        <v>0.4836111111111111</v>
      </c>
      <c r="L557" s="10">
        <f>IFERROR(SUMIFS('Base bordo CD'!M$2:M$875,'Base bordo CD'!D$2:D$875,A557,'Base bordo CD'!A$2:A$875,B557,'Base bordo CD'!L$2:L$875,"PATIO - RESERVA"),0)</f>
        <v>0</v>
      </c>
      <c r="M557" s="10">
        <f>IFERROR(SUMIFS('Base bordo CD'!M$2:M$875,'Base bordo CD'!D$2:D$875,A557,'Base bordo CD'!A$2:A$875,B557,'Base bordo CD'!L$2:L$875,"SEM APONTAMENTO"),0)</f>
        <v>3.3333333333333335E-3</v>
      </c>
      <c r="N557" s="10">
        <f>IFERROR(SUMIFS('Base bordo CD'!M$2:M$875,'Base bordo CD'!D$2:D$875,A557,'Base bordo CD'!A$2:A$875,B557,'Base bordo CD'!L$2:L$875,"FALTA DE CAMINHÃO"),0)+IFERROR(SUMIFS('Base bordo CD'!M$2:M$875,'Base bordo CD'!D$2:D$875,A557,'Base bordo CD'!A$2:A$875,B557,'Base bordo CD'!L$2:L$875,"FALTA DE COMBUSTIVEL"),0)+IFERROR(SUMIFS('Base bordo CD'!M$2:M$875,'Base bordo CD'!D$2:D$875,A557,'Base bordo CD'!A$2:A$875,B557,'Base bordo CD'!L$2:L$875,"FALTA DE MOTORIST*"),0)</f>
        <v>0</v>
      </c>
      <c r="O557" s="10">
        <f t="shared" si="45"/>
        <v>0</v>
      </c>
      <c r="P557" s="10">
        <f>IFERROR(SUMIFS('Base bordo CD'!M$2:M$875,'Base bordo CD'!D$2:D$875,A557,'Base bordo CD'!A$2:A$875,B557),0)</f>
        <v>24</v>
      </c>
      <c r="Q557" s="10">
        <f>IFERROR(SUMIFS('Base bordo CD'!O$2:O$875,'Base bordo CD'!D$2:D$875,A557,'Base bordo CD'!A$2:A$875,B557,'Base bordo CD'!L$2:L$875,"CORTE DE CANA MECANIZADO"),0)</f>
        <v>93510.06</v>
      </c>
      <c r="R557" s="10">
        <f>IFERROR(SUMIFS('Base bordo CD'!Q$2:Q$875,'Base bordo CD'!D$2:D$875,A557,'Base bordo CD'!A$2:A$875,B557,'Base bordo CD'!L$2:L$875,"CORTE DE CANA MECANIZADO"),0)</f>
        <v>24346</v>
      </c>
      <c r="S557" s="30">
        <f t="shared" si="46"/>
        <v>3.8408798159861988</v>
      </c>
      <c r="T557" s="9">
        <f t="shared" si="47"/>
        <v>0.2817824074074074</v>
      </c>
      <c r="U557" s="9">
        <f t="shared" si="48"/>
        <v>3.5057870370370371E-2</v>
      </c>
      <c r="V557" s="9">
        <f t="shared" si="49"/>
        <v>0.69251157407407415</v>
      </c>
    </row>
    <row r="558" spans="1:22" x14ac:dyDescent="0.35">
      <c r="A558" s="52">
        <v>49595</v>
      </c>
      <c r="B558" s="31">
        <v>46119</v>
      </c>
      <c r="C558" s="7" t="s">
        <v>337</v>
      </c>
      <c r="D558" s="7">
        <v>353</v>
      </c>
      <c r="E558" s="10">
        <f>IFERROR(SUMIFS('Base bordo CD'!M$2:M$875,'Base bordo CD'!D$2:D$875,A558,'Base bordo CD'!A$2:A$875,B558,'Base bordo CD'!L$2:L$875,"CORTE DE CANA MECANIZADO"),0)</f>
        <v>6.762777777777778</v>
      </c>
      <c r="F558" s="10">
        <f>IFERROR(SUMIFS('Base bordo CD'!M$2:M$875,'Base bordo CD'!D$2:D$875,A558,'Base bordo CD'!A$2:A$875,B558,'Base bordo CD'!L$2:L$875,"MANOBRA"),0)</f>
        <v>0.84138888888888885</v>
      </c>
      <c r="G558" s="10">
        <f>IFERROR(SUMIFS('Base bordo CD'!M$2:M$875,'Base bordo CD'!D$2:D$875,A558,'Base bordo CD'!A$2:A$875,B558,'Base bordo CD'!L$2:L$875,"DESLOCAMENTO"),0)</f>
        <v>0.61694444444444441</v>
      </c>
      <c r="H558" s="10">
        <f>IFERROR(SUMIFS('Base bordo CD'!M$2:M$875,'Base bordo CD'!D$2:D$875,A558,'Base bordo CD'!A$2:A$875,B558,'Base bordo CD'!L$2:L$875,"AGUARDANDO MANOBRA DE TRANSBORDO"),0)+IFERROR(SUMIFS('Base bordo CD'!M$2:M$875,'Base bordo CD'!D$2:D$875,A558,'Base bordo CD'!A$2:A$875,B558,'Base bordo CD'!L$2:L$875,"FALTA DE TRANSBORDO"),0)</f>
        <v>0.56472222222222224</v>
      </c>
      <c r="I558" s="10">
        <f>IFERROR(SUMIFS('Base bordo CD'!M$2:M$875,'Base bordo CD'!D$2:D$875,A558,'Base bordo CD'!A$2:A$875,B558,'Base bordo CD'!L$2:L$875,"PARADA POR CONDICOES CLIMATICAS"),0)+IFERROR(SUMIFS('Base bordo CD'!M$2:M$875,'Base bordo CD'!D$2:D$875,A558,'Base bordo CD'!A$2:A$875,B558,'Base bordo CD'!L$2:L$875,"TEMPO INDETERMINADO"),0)</f>
        <v>14.727222222222222</v>
      </c>
      <c r="J558" s="10">
        <f>IFERROR(SUMIFS('Base bordo CD'!M$2:M$875,'Base bordo CD'!D$2:D$875,A558,'Base bordo CD'!A$2:A$875,B558,'Base bordo CD'!L$2:L$875,"LIMITAÇÃO INDÚSTRIA"),0)</f>
        <v>0</v>
      </c>
      <c r="K558" s="10">
        <f>IFERROR(SUMIFS('Base bordo CD'!M$2:M$875,'Base bordo CD'!D$2:D$875,A558,'Base bordo CD'!A$2:A$875,B558,'Base bordo CD'!L$2:L$875,"MAN CORRETIVA*"),0)+IFERROR(SUMIFS('Base bordo CD'!M$2:M$875,'Base bordo CD'!D$2:D$875,A558,'Base bordo CD'!A$2:A$875,B558,'Base bordo CD'!L$2:L$875,"AGUARDANDO MANUTENCAO*"),0)+IFERROR(SUMIFS('Base bordo CD'!M$2:M$875,'Base bordo CD'!D$2:D$875,A558,'Base bordo CD'!A$2:A$875,B558,'Base bordo CD'!L$2:L$875,"TROCA DE FAQUINHA"),0)+IFERROR(SUMIFS('Base bordo CD'!M$2:M$875,'Base bordo CD'!D$2:D$875,A558,'Base bordo CD'!A$2:A$875,B558,'Base bordo CD'!L$2:L$875,"LIMPEZA*"),0)</f>
        <v>0.4836111111111111</v>
      </c>
      <c r="L558" s="10">
        <f>IFERROR(SUMIFS('Base bordo CD'!M$2:M$875,'Base bordo CD'!D$2:D$875,A558,'Base bordo CD'!A$2:A$875,B558,'Base bordo CD'!L$2:L$875,"PATIO - RESERVA"),0)</f>
        <v>0</v>
      </c>
      <c r="M558" s="10">
        <f>IFERROR(SUMIFS('Base bordo CD'!M$2:M$875,'Base bordo CD'!D$2:D$875,A558,'Base bordo CD'!A$2:A$875,B558,'Base bordo CD'!L$2:L$875,"SEM APONTAMENTO"),0)</f>
        <v>3.3333333333333335E-3</v>
      </c>
      <c r="N558" s="10">
        <f>IFERROR(SUMIFS('Base bordo CD'!M$2:M$875,'Base bordo CD'!D$2:D$875,A558,'Base bordo CD'!A$2:A$875,B558,'Base bordo CD'!L$2:L$875,"FALTA DE CAMINHÃO"),0)+IFERROR(SUMIFS('Base bordo CD'!M$2:M$875,'Base bordo CD'!D$2:D$875,A558,'Base bordo CD'!A$2:A$875,B558,'Base bordo CD'!L$2:L$875,"FALTA DE COMBUSTIVEL"),0)+IFERROR(SUMIFS('Base bordo CD'!M$2:M$875,'Base bordo CD'!D$2:D$875,A558,'Base bordo CD'!A$2:A$875,B558,'Base bordo CD'!L$2:L$875,"FALTA DE MOTORIST*"),0)</f>
        <v>0</v>
      </c>
      <c r="O558" s="10">
        <f t="shared" si="45"/>
        <v>0</v>
      </c>
      <c r="P558" s="10">
        <f>IFERROR(SUMIFS('Base bordo CD'!M$2:M$875,'Base bordo CD'!D$2:D$875,A558,'Base bordo CD'!A$2:A$875,B558),0)</f>
        <v>24</v>
      </c>
      <c r="Q558" s="10">
        <f>IFERROR(SUMIFS('Base bordo CD'!O$2:O$875,'Base bordo CD'!D$2:D$875,A558,'Base bordo CD'!A$2:A$875,B558,'Base bordo CD'!L$2:L$875,"CORTE DE CANA MECANIZADO"),0)</f>
        <v>93510.06</v>
      </c>
      <c r="R558" s="10">
        <f>IFERROR(SUMIFS('Base bordo CD'!Q$2:Q$875,'Base bordo CD'!D$2:D$875,A558,'Base bordo CD'!A$2:A$875,B558,'Base bordo CD'!L$2:L$875,"CORTE DE CANA MECANIZADO"),0)</f>
        <v>24346</v>
      </c>
      <c r="S558" s="30">
        <f t="shared" si="46"/>
        <v>3.8408798159861988</v>
      </c>
      <c r="T558" s="9">
        <f t="shared" si="47"/>
        <v>0.2817824074074074</v>
      </c>
      <c r="U558" s="9">
        <f t="shared" si="48"/>
        <v>3.5057870370370371E-2</v>
      </c>
      <c r="V558" s="9">
        <f t="shared" si="49"/>
        <v>0.69251157407407415</v>
      </c>
    </row>
    <row r="559" spans="1:22" x14ac:dyDescent="0.35">
      <c r="A559" s="52">
        <v>49595</v>
      </c>
      <c r="B559" s="31">
        <v>46119</v>
      </c>
      <c r="C559" s="7" t="s">
        <v>337</v>
      </c>
      <c r="D559" s="7">
        <v>353</v>
      </c>
      <c r="E559" s="10">
        <f>IFERROR(SUMIFS('Base bordo CD'!M$2:M$875,'Base bordo CD'!D$2:D$875,A559,'Base bordo CD'!A$2:A$875,B559,'Base bordo CD'!L$2:L$875,"CORTE DE CANA MECANIZADO"),0)</f>
        <v>6.762777777777778</v>
      </c>
      <c r="F559" s="10">
        <f>IFERROR(SUMIFS('Base bordo CD'!M$2:M$875,'Base bordo CD'!D$2:D$875,A559,'Base bordo CD'!A$2:A$875,B559,'Base bordo CD'!L$2:L$875,"MANOBRA"),0)</f>
        <v>0.84138888888888885</v>
      </c>
      <c r="G559" s="10">
        <f>IFERROR(SUMIFS('Base bordo CD'!M$2:M$875,'Base bordo CD'!D$2:D$875,A559,'Base bordo CD'!A$2:A$875,B559,'Base bordo CD'!L$2:L$875,"DESLOCAMENTO"),0)</f>
        <v>0.61694444444444441</v>
      </c>
      <c r="H559" s="10">
        <f>IFERROR(SUMIFS('Base bordo CD'!M$2:M$875,'Base bordo CD'!D$2:D$875,A559,'Base bordo CD'!A$2:A$875,B559,'Base bordo CD'!L$2:L$875,"AGUARDANDO MANOBRA DE TRANSBORDO"),0)+IFERROR(SUMIFS('Base bordo CD'!M$2:M$875,'Base bordo CD'!D$2:D$875,A559,'Base bordo CD'!A$2:A$875,B559,'Base bordo CD'!L$2:L$875,"FALTA DE TRANSBORDO"),0)</f>
        <v>0.56472222222222224</v>
      </c>
      <c r="I559" s="10">
        <f>IFERROR(SUMIFS('Base bordo CD'!M$2:M$875,'Base bordo CD'!D$2:D$875,A559,'Base bordo CD'!A$2:A$875,B559,'Base bordo CD'!L$2:L$875,"PARADA POR CONDICOES CLIMATICAS"),0)+IFERROR(SUMIFS('Base bordo CD'!M$2:M$875,'Base bordo CD'!D$2:D$875,A559,'Base bordo CD'!A$2:A$875,B559,'Base bordo CD'!L$2:L$875,"TEMPO INDETERMINADO"),0)</f>
        <v>14.727222222222222</v>
      </c>
      <c r="J559" s="10">
        <f>IFERROR(SUMIFS('Base bordo CD'!M$2:M$875,'Base bordo CD'!D$2:D$875,A559,'Base bordo CD'!A$2:A$875,B559,'Base bordo CD'!L$2:L$875,"LIMITAÇÃO INDÚSTRIA"),0)</f>
        <v>0</v>
      </c>
      <c r="K559" s="10">
        <f>IFERROR(SUMIFS('Base bordo CD'!M$2:M$875,'Base bordo CD'!D$2:D$875,A559,'Base bordo CD'!A$2:A$875,B559,'Base bordo CD'!L$2:L$875,"MAN CORRETIVA*"),0)+IFERROR(SUMIFS('Base bordo CD'!M$2:M$875,'Base bordo CD'!D$2:D$875,A559,'Base bordo CD'!A$2:A$875,B559,'Base bordo CD'!L$2:L$875,"AGUARDANDO MANUTENCAO*"),0)+IFERROR(SUMIFS('Base bordo CD'!M$2:M$875,'Base bordo CD'!D$2:D$875,A559,'Base bordo CD'!A$2:A$875,B559,'Base bordo CD'!L$2:L$875,"TROCA DE FAQUINHA"),0)+IFERROR(SUMIFS('Base bordo CD'!M$2:M$875,'Base bordo CD'!D$2:D$875,A559,'Base bordo CD'!A$2:A$875,B559,'Base bordo CD'!L$2:L$875,"LIMPEZA*"),0)</f>
        <v>0.4836111111111111</v>
      </c>
      <c r="L559" s="10">
        <f>IFERROR(SUMIFS('Base bordo CD'!M$2:M$875,'Base bordo CD'!D$2:D$875,A559,'Base bordo CD'!A$2:A$875,B559,'Base bordo CD'!L$2:L$875,"PATIO - RESERVA"),0)</f>
        <v>0</v>
      </c>
      <c r="M559" s="10">
        <f>IFERROR(SUMIFS('Base bordo CD'!M$2:M$875,'Base bordo CD'!D$2:D$875,A559,'Base bordo CD'!A$2:A$875,B559,'Base bordo CD'!L$2:L$875,"SEM APONTAMENTO"),0)</f>
        <v>3.3333333333333335E-3</v>
      </c>
      <c r="N559" s="10">
        <f>IFERROR(SUMIFS('Base bordo CD'!M$2:M$875,'Base bordo CD'!D$2:D$875,A559,'Base bordo CD'!A$2:A$875,B559,'Base bordo CD'!L$2:L$875,"FALTA DE CAMINHÃO"),0)+IFERROR(SUMIFS('Base bordo CD'!M$2:M$875,'Base bordo CD'!D$2:D$875,A559,'Base bordo CD'!A$2:A$875,B559,'Base bordo CD'!L$2:L$875,"FALTA DE COMBUSTIVEL"),0)+IFERROR(SUMIFS('Base bordo CD'!M$2:M$875,'Base bordo CD'!D$2:D$875,A559,'Base bordo CD'!A$2:A$875,B559,'Base bordo CD'!L$2:L$875,"FALTA DE MOTORIST*"),0)</f>
        <v>0</v>
      </c>
      <c r="O559" s="10">
        <f t="shared" si="45"/>
        <v>0</v>
      </c>
      <c r="P559" s="10">
        <f>IFERROR(SUMIFS('Base bordo CD'!M$2:M$875,'Base bordo CD'!D$2:D$875,A559,'Base bordo CD'!A$2:A$875,B559),0)</f>
        <v>24</v>
      </c>
      <c r="Q559" s="10">
        <f>IFERROR(SUMIFS('Base bordo CD'!O$2:O$875,'Base bordo CD'!D$2:D$875,A559,'Base bordo CD'!A$2:A$875,B559,'Base bordo CD'!L$2:L$875,"CORTE DE CANA MECANIZADO"),0)</f>
        <v>93510.06</v>
      </c>
      <c r="R559" s="10">
        <f>IFERROR(SUMIFS('Base bordo CD'!Q$2:Q$875,'Base bordo CD'!D$2:D$875,A559,'Base bordo CD'!A$2:A$875,B559,'Base bordo CD'!L$2:L$875,"CORTE DE CANA MECANIZADO"),0)</f>
        <v>24346</v>
      </c>
      <c r="S559" s="30">
        <f t="shared" si="46"/>
        <v>3.8408798159861988</v>
      </c>
      <c r="T559" s="9">
        <f t="shared" si="47"/>
        <v>0.2817824074074074</v>
      </c>
      <c r="U559" s="9">
        <f t="shared" si="48"/>
        <v>3.5057870370370371E-2</v>
      </c>
      <c r="V559" s="9">
        <f t="shared" si="49"/>
        <v>0.69251157407407415</v>
      </c>
    </row>
    <row r="560" spans="1:22" x14ac:dyDescent="0.35">
      <c r="A560" s="52">
        <v>49595</v>
      </c>
      <c r="B560" s="31">
        <v>46119</v>
      </c>
      <c r="C560" s="7" t="s">
        <v>337</v>
      </c>
      <c r="D560" s="7">
        <v>353</v>
      </c>
      <c r="E560" s="10">
        <f>IFERROR(SUMIFS('Base bordo CD'!M$2:M$875,'Base bordo CD'!D$2:D$875,A560,'Base bordo CD'!A$2:A$875,B560,'Base bordo CD'!L$2:L$875,"CORTE DE CANA MECANIZADO"),0)</f>
        <v>6.762777777777778</v>
      </c>
      <c r="F560" s="10">
        <f>IFERROR(SUMIFS('Base bordo CD'!M$2:M$875,'Base bordo CD'!D$2:D$875,A560,'Base bordo CD'!A$2:A$875,B560,'Base bordo CD'!L$2:L$875,"MANOBRA"),0)</f>
        <v>0.84138888888888885</v>
      </c>
      <c r="G560" s="10">
        <f>IFERROR(SUMIFS('Base bordo CD'!M$2:M$875,'Base bordo CD'!D$2:D$875,A560,'Base bordo CD'!A$2:A$875,B560,'Base bordo CD'!L$2:L$875,"DESLOCAMENTO"),0)</f>
        <v>0.61694444444444441</v>
      </c>
      <c r="H560" s="10">
        <f>IFERROR(SUMIFS('Base bordo CD'!M$2:M$875,'Base bordo CD'!D$2:D$875,A560,'Base bordo CD'!A$2:A$875,B560,'Base bordo CD'!L$2:L$875,"AGUARDANDO MANOBRA DE TRANSBORDO"),0)+IFERROR(SUMIFS('Base bordo CD'!M$2:M$875,'Base bordo CD'!D$2:D$875,A560,'Base bordo CD'!A$2:A$875,B560,'Base bordo CD'!L$2:L$875,"FALTA DE TRANSBORDO"),0)</f>
        <v>0.56472222222222224</v>
      </c>
      <c r="I560" s="10">
        <f>IFERROR(SUMIFS('Base bordo CD'!M$2:M$875,'Base bordo CD'!D$2:D$875,A560,'Base bordo CD'!A$2:A$875,B560,'Base bordo CD'!L$2:L$875,"PARADA POR CONDICOES CLIMATICAS"),0)+IFERROR(SUMIFS('Base bordo CD'!M$2:M$875,'Base bordo CD'!D$2:D$875,A560,'Base bordo CD'!A$2:A$875,B560,'Base bordo CD'!L$2:L$875,"TEMPO INDETERMINADO"),0)</f>
        <v>14.727222222222222</v>
      </c>
      <c r="J560" s="10">
        <f>IFERROR(SUMIFS('Base bordo CD'!M$2:M$875,'Base bordo CD'!D$2:D$875,A560,'Base bordo CD'!A$2:A$875,B560,'Base bordo CD'!L$2:L$875,"LIMITAÇÃO INDÚSTRIA"),0)</f>
        <v>0</v>
      </c>
      <c r="K560" s="10">
        <f>IFERROR(SUMIFS('Base bordo CD'!M$2:M$875,'Base bordo CD'!D$2:D$875,A560,'Base bordo CD'!A$2:A$875,B560,'Base bordo CD'!L$2:L$875,"MAN CORRETIVA*"),0)+IFERROR(SUMIFS('Base bordo CD'!M$2:M$875,'Base bordo CD'!D$2:D$875,A560,'Base bordo CD'!A$2:A$875,B560,'Base bordo CD'!L$2:L$875,"AGUARDANDO MANUTENCAO*"),0)+IFERROR(SUMIFS('Base bordo CD'!M$2:M$875,'Base bordo CD'!D$2:D$875,A560,'Base bordo CD'!A$2:A$875,B560,'Base bordo CD'!L$2:L$875,"TROCA DE FAQUINHA"),0)+IFERROR(SUMIFS('Base bordo CD'!M$2:M$875,'Base bordo CD'!D$2:D$875,A560,'Base bordo CD'!A$2:A$875,B560,'Base bordo CD'!L$2:L$875,"LIMPEZA*"),0)</f>
        <v>0.4836111111111111</v>
      </c>
      <c r="L560" s="10">
        <f>IFERROR(SUMIFS('Base bordo CD'!M$2:M$875,'Base bordo CD'!D$2:D$875,A560,'Base bordo CD'!A$2:A$875,B560,'Base bordo CD'!L$2:L$875,"PATIO - RESERVA"),0)</f>
        <v>0</v>
      </c>
      <c r="M560" s="10">
        <f>IFERROR(SUMIFS('Base bordo CD'!M$2:M$875,'Base bordo CD'!D$2:D$875,A560,'Base bordo CD'!A$2:A$875,B560,'Base bordo CD'!L$2:L$875,"SEM APONTAMENTO"),0)</f>
        <v>3.3333333333333335E-3</v>
      </c>
      <c r="N560" s="10">
        <f>IFERROR(SUMIFS('Base bordo CD'!M$2:M$875,'Base bordo CD'!D$2:D$875,A560,'Base bordo CD'!A$2:A$875,B560,'Base bordo CD'!L$2:L$875,"FALTA DE CAMINHÃO"),0)+IFERROR(SUMIFS('Base bordo CD'!M$2:M$875,'Base bordo CD'!D$2:D$875,A560,'Base bordo CD'!A$2:A$875,B560,'Base bordo CD'!L$2:L$875,"FALTA DE COMBUSTIVEL"),0)+IFERROR(SUMIFS('Base bordo CD'!M$2:M$875,'Base bordo CD'!D$2:D$875,A560,'Base bordo CD'!A$2:A$875,B560,'Base bordo CD'!L$2:L$875,"FALTA DE MOTORIST*"),0)</f>
        <v>0</v>
      </c>
      <c r="O560" s="10">
        <f t="shared" si="45"/>
        <v>0</v>
      </c>
      <c r="P560" s="10">
        <f>IFERROR(SUMIFS('Base bordo CD'!M$2:M$875,'Base bordo CD'!D$2:D$875,A560,'Base bordo CD'!A$2:A$875,B560),0)</f>
        <v>24</v>
      </c>
      <c r="Q560" s="10">
        <f>IFERROR(SUMIFS('Base bordo CD'!O$2:O$875,'Base bordo CD'!D$2:D$875,A560,'Base bordo CD'!A$2:A$875,B560,'Base bordo CD'!L$2:L$875,"CORTE DE CANA MECANIZADO"),0)</f>
        <v>93510.06</v>
      </c>
      <c r="R560" s="10">
        <f>IFERROR(SUMIFS('Base bordo CD'!Q$2:Q$875,'Base bordo CD'!D$2:D$875,A560,'Base bordo CD'!A$2:A$875,B560,'Base bordo CD'!L$2:L$875,"CORTE DE CANA MECANIZADO"),0)</f>
        <v>24346</v>
      </c>
      <c r="S560" s="30">
        <f t="shared" si="46"/>
        <v>3.8408798159861988</v>
      </c>
      <c r="T560" s="9">
        <f t="shared" si="47"/>
        <v>0.2817824074074074</v>
      </c>
      <c r="U560" s="9">
        <f t="shared" si="48"/>
        <v>3.5057870370370371E-2</v>
      </c>
      <c r="V560" s="9">
        <f t="shared" si="49"/>
        <v>0.69251157407407415</v>
      </c>
    </row>
    <row r="561" spans="1:22" x14ac:dyDescent="0.35">
      <c r="A561" s="52">
        <v>49595</v>
      </c>
      <c r="B561" s="31">
        <v>46119</v>
      </c>
      <c r="C561" s="7" t="s">
        <v>337</v>
      </c>
      <c r="D561" s="7">
        <v>353</v>
      </c>
      <c r="E561" s="10">
        <f>IFERROR(SUMIFS('Base bordo CD'!M$2:M$875,'Base bordo CD'!D$2:D$875,A561,'Base bordo CD'!A$2:A$875,B561,'Base bordo CD'!L$2:L$875,"CORTE DE CANA MECANIZADO"),0)</f>
        <v>6.762777777777778</v>
      </c>
      <c r="F561" s="10">
        <f>IFERROR(SUMIFS('Base bordo CD'!M$2:M$875,'Base bordo CD'!D$2:D$875,A561,'Base bordo CD'!A$2:A$875,B561,'Base bordo CD'!L$2:L$875,"MANOBRA"),0)</f>
        <v>0.84138888888888885</v>
      </c>
      <c r="G561" s="10">
        <f>IFERROR(SUMIFS('Base bordo CD'!M$2:M$875,'Base bordo CD'!D$2:D$875,A561,'Base bordo CD'!A$2:A$875,B561,'Base bordo CD'!L$2:L$875,"DESLOCAMENTO"),0)</f>
        <v>0.61694444444444441</v>
      </c>
      <c r="H561" s="10">
        <f>IFERROR(SUMIFS('Base bordo CD'!M$2:M$875,'Base bordo CD'!D$2:D$875,A561,'Base bordo CD'!A$2:A$875,B561,'Base bordo CD'!L$2:L$875,"AGUARDANDO MANOBRA DE TRANSBORDO"),0)+IFERROR(SUMIFS('Base bordo CD'!M$2:M$875,'Base bordo CD'!D$2:D$875,A561,'Base bordo CD'!A$2:A$875,B561,'Base bordo CD'!L$2:L$875,"FALTA DE TRANSBORDO"),0)</f>
        <v>0.56472222222222224</v>
      </c>
      <c r="I561" s="10">
        <f>IFERROR(SUMIFS('Base bordo CD'!M$2:M$875,'Base bordo CD'!D$2:D$875,A561,'Base bordo CD'!A$2:A$875,B561,'Base bordo CD'!L$2:L$875,"PARADA POR CONDICOES CLIMATICAS"),0)+IFERROR(SUMIFS('Base bordo CD'!M$2:M$875,'Base bordo CD'!D$2:D$875,A561,'Base bordo CD'!A$2:A$875,B561,'Base bordo CD'!L$2:L$875,"TEMPO INDETERMINADO"),0)</f>
        <v>14.727222222222222</v>
      </c>
      <c r="J561" s="10">
        <f>IFERROR(SUMIFS('Base bordo CD'!M$2:M$875,'Base bordo CD'!D$2:D$875,A561,'Base bordo CD'!A$2:A$875,B561,'Base bordo CD'!L$2:L$875,"LIMITAÇÃO INDÚSTRIA"),0)</f>
        <v>0</v>
      </c>
      <c r="K561" s="10">
        <f>IFERROR(SUMIFS('Base bordo CD'!M$2:M$875,'Base bordo CD'!D$2:D$875,A561,'Base bordo CD'!A$2:A$875,B561,'Base bordo CD'!L$2:L$875,"MAN CORRETIVA*"),0)+IFERROR(SUMIFS('Base bordo CD'!M$2:M$875,'Base bordo CD'!D$2:D$875,A561,'Base bordo CD'!A$2:A$875,B561,'Base bordo CD'!L$2:L$875,"AGUARDANDO MANUTENCAO*"),0)+IFERROR(SUMIFS('Base bordo CD'!M$2:M$875,'Base bordo CD'!D$2:D$875,A561,'Base bordo CD'!A$2:A$875,B561,'Base bordo CD'!L$2:L$875,"TROCA DE FAQUINHA"),0)+IFERROR(SUMIFS('Base bordo CD'!M$2:M$875,'Base bordo CD'!D$2:D$875,A561,'Base bordo CD'!A$2:A$875,B561,'Base bordo CD'!L$2:L$875,"LIMPEZA*"),0)</f>
        <v>0.4836111111111111</v>
      </c>
      <c r="L561" s="10">
        <f>IFERROR(SUMIFS('Base bordo CD'!M$2:M$875,'Base bordo CD'!D$2:D$875,A561,'Base bordo CD'!A$2:A$875,B561,'Base bordo CD'!L$2:L$875,"PATIO - RESERVA"),0)</f>
        <v>0</v>
      </c>
      <c r="M561" s="10">
        <f>IFERROR(SUMIFS('Base bordo CD'!M$2:M$875,'Base bordo CD'!D$2:D$875,A561,'Base bordo CD'!A$2:A$875,B561,'Base bordo CD'!L$2:L$875,"SEM APONTAMENTO"),0)</f>
        <v>3.3333333333333335E-3</v>
      </c>
      <c r="N561" s="10">
        <f>IFERROR(SUMIFS('Base bordo CD'!M$2:M$875,'Base bordo CD'!D$2:D$875,A561,'Base bordo CD'!A$2:A$875,B561,'Base bordo CD'!L$2:L$875,"FALTA DE CAMINHÃO"),0)+IFERROR(SUMIFS('Base bordo CD'!M$2:M$875,'Base bordo CD'!D$2:D$875,A561,'Base bordo CD'!A$2:A$875,B561,'Base bordo CD'!L$2:L$875,"FALTA DE COMBUSTIVEL"),0)+IFERROR(SUMIFS('Base bordo CD'!M$2:M$875,'Base bordo CD'!D$2:D$875,A561,'Base bordo CD'!A$2:A$875,B561,'Base bordo CD'!L$2:L$875,"FALTA DE MOTORIST*"),0)</f>
        <v>0</v>
      </c>
      <c r="O561" s="10">
        <f t="shared" si="45"/>
        <v>0</v>
      </c>
      <c r="P561" s="10">
        <f>IFERROR(SUMIFS('Base bordo CD'!M$2:M$875,'Base bordo CD'!D$2:D$875,A561,'Base bordo CD'!A$2:A$875,B561),0)</f>
        <v>24</v>
      </c>
      <c r="Q561" s="10">
        <f>IFERROR(SUMIFS('Base bordo CD'!O$2:O$875,'Base bordo CD'!D$2:D$875,A561,'Base bordo CD'!A$2:A$875,B561,'Base bordo CD'!L$2:L$875,"CORTE DE CANA MECANIZADO"),0)</f>
        <v>93510.06</v>
      </c>
      <c r="R561" s="10">
        <f>IFERROR(SUMIFS('Base bordo CD'!Q$2:Q$875,'Base bordo CD'!D$2:D$875,A561,'Base bordo CD'!A$2:A$875,B561,'Base bordo CD'!L$2:L$875,"CORTE DE CANA MECANIZADO"),0)</f>
        <v>24346</v>
      </c>
      <c r="S561" s="30">
        <f t="shared" si="46"/>
        <v>3.8408798159861988</v>
      </c>
      <c r="T561" s="9">
        <f t="shared" si="47"/>
        <v>0.2817824074074074</v>
      </c>
      <c r="U561" s="9">
        <f t="shared" si="48"/>
        <v>3.5057870370370371E-2</v>
      </c>
      <c r="V561" s="9">
        <f t="shared" si="49"/>
        <v>0.69251157407407415</v>
      </c>
    </row>
    <row r="562" spans="1:22" x14ac:dyDescent="0.35">
      <c r="A562" s="52">
        <v>49595</v>
      </c>
      <c r="B562" s="31">
        <v>46119</v>
      </c>
      <c r="C562" s="7" t="s">
        <v>337</v>
      </c>
      <c r="D562" s="7">
        <v>353</v>
      </c>
      <c r="E562" s="10">
        <f>IFERROR(SUMIFS('Base bordo CD'!M$2:M$875,'Base bordo CD'!D$2:D$875,A562,'Base bordo CD'!A$2:A$875,B562,'Base bordo CD'!L$2:L$875,"CORTE DE CANA MECANIZADO"),0)</f>
        <v>6.762777777777778</v>
      </c>
      <c r="F562" s="10">
        <f>IFERROR(SUMIFS('Base bordo CD'!M$2:M$875,'Base bordo CD'!D$2:D$875,A562,'Base bordo CD'!A$2:A$875,B562,'Base bordo CD'!L$2:L$875,"MANOBRA"),0)</f>
        <v>0.84138888888888885</v>
      </c>
      <c r="G562" s="10">
        <f>IFERROR(SUMIFS('Base bordo CD'!M$2:M$875,'Base bordo CD'!D$2:D$875,A562,'Base bordo CD'!A$2:A$875,B562,'Base bordo CD'!L$2:L$875,"DESLOCAMENTO"),0)</f>
        <v>0.61694444444444441</v>
      </c>
      <c r="H562" s="10">
        <f>IFERROR(SUMIFS('Base bordo CD'!M$2:M$875,'Base bordo CD'!D$2:D$875,A562,'Base bordo CD'!A$2:A$875,B562,'Base bordo CD'!L$2:L$875,"AGUARDANDO MANOBRA DE TRANSBORDO"),0)+IFERROR(SUMIFS('Base bordo CD'!M$2:M$875,'Base bordo CD'!D$2:D$875,A562,'Base bordo CD'!A$2:A$875,B562,'Base bordo CD'!L$2:L$875,"FALTA DE TRANSBORDO"),0)</f>
        <v>0.56472222222222224</v>
      </c>
      <c r="I562" s="10">
        <f>IFERROR(SUMIFS('Base bordo CD'!M$2:M$875,'Base bordo CD'!D$2:D$875,A562,'Base bordo CD'!A$2:A$875,B562,'Base bordo CD'!L$2:L$875,"PARADA POR CONDICOES CLIMATICAS"),0)+IFERROR(SUMIFS('Base bordo CD'!M$2:M$875,'Base bordo CD'!D$2:D$875,A562,'Base bordo CD'!A$2:A$875,B562,'Base bordo CD'!L$2:L$875,"TEMPO INDETERMINADO"),0)</f>
        <v>14.727222222222222</v>
      </c>
      <c r="J562" s="10">
        <f>IFERROR(SUMIFS('Base bordo CD'!M$2:M$875,'Base bordo CD'!D$2:D$875,A562,'Base bordo CD'!A$2:A$875,B562,'Base bordo CD'!L$2:L$875,"LIMITAÇÃO INDÚSTRIA"),0)</f>
        <v>0</v>
      </c>
      <c r="K562" s="10">
        <f>IFERROR(SUMIFS('Base bordo CD'!M$2:M$875,'Base bordo CD'!D$2:D$875,A562,'Base bordo CD'!A$2:A$875,B562,'Base bordo CD'!L$2:L$875,"MAN CORRETIVA*"),0)+IFERROR(SUMIFS('Base bordo CD'!M$2:M$875,'Base bordo CD'!D$2:D$875,A562,'Base bordo CD'!A$2:A$875,B562,'Base bordo CD'!L$2:L$875,"AGUARDANDO MANUTENCAO*"),0)+IFERROR(SUMIFS('Base bordo CD'!M$2:M$875,'Base bordo CD'!D$2:D$875,A562,'Base bordo CD'!A$2:A$875,B562,'Base bordo CD'!L$2:L$875,"TROCA DE FAQUINHA"),0)+IFERROR(SUMIFS('Base bordo CD'!M$2:M$875,'Base bordo CD'!D$2:D$875,A562,'Base bordo CD'!A$2:A$875,B562,'Base bordo CD'!L$2:L$875,"LIMPEZA*"),0)</f>
        <v>0.4836111111111111</v>
      </c>
      <c r="L562" s="10">
        <f>IFERROR(SUMIFS('Base bordo CD'!M$2:M$875,'Base bordo CD'!D$2:D$875,A562,'Base bordo CD'!A$2:A$875,B562,'Base bordo CD'!L$2:L$875,"PATIO - RESERVA"),0)</f>
        <v>0</v>
      </c>
      <c r="M562" s="10">
        <f>IFERROR(SUMIFS('Base bordo CD'!M$2:M$875,'Base bordo CD'!D$2:D$875,A562,'Base bordo CD'!A$2:A$875,B562,'Base bordo CD'!L$2:L$875,"SEM APONTAMENTO"),0)</f>
        <v>3.3333333333333335E-3</v>
      </c>
      <c r="N562" s="10">
        <f>IFERROR(SUMIFS('Base bordo CD'!M$2:M$875,'Base bordo CD'!D$2:D$875,A562,'Base bordo CD'!A$2:A$875,B562,'Base bordo CD'!L$2:L$875,"FALTA DE CAMINHÃO"),0)+IFERROR(SUMIFS('Base bordo CD'!M$2:M$875,'Base bordo CD'!D$2:D$875,A562,'Base bordo CD'!A$2:A$875,B562,'Base bordo CD'!L$2:L$875,"FALTA DE COMBUSTIVEL"),0)+IFERROR(SUMIFS('Base bordo CD'!M$2:M$875,'Base bordo CD'!D$2:D$875,A562,'Base bordo CD'!A$2:A$875,B562,'Base bordo CD'!L$2:L$875,"FALTA DE MOTORIST*"),0)</f>
        <v>0</v>
      </c>
      <c r="O562" s="10">
        <f t="shared" si="45"/>
        <v>0</v>
      </c>
      <c r="P562" s="10">
        <f>IFERROR(SUMIFS('Base bordo CD'!M$2:M$875,'Base bordo CD'!D$2:D$875,A562,'Base bordo CD'!A$2:A$875,B562),0)</f>
        <v>24</v>
      </c>
      <c r="Q562" s="10">
        <f>IFERROR(SUMIFS('Base bordo CD'!O$2:O$875,'Base bordo CD'!D$2:D$875,A562,'Base bordo CD'!A$2:A$875,B562,'Base bordo CD'!L$2:L$875,"CORTE DE CANA MECANIZADO"),0)</f>
        <v>93510.06</v>
      </c>
      <c r="R562" s="10">
        <f>IFERROR(SUMIFS('Base bordo CD'!Q$2:Q$875,'Base bordo CD'!D$2:D$875,A562,'Base bordo CD'!A$2:A$875,B562,'Base bordo CD'!L$2:L$875,"CORTE DE CANA MECANIZADO"),0)</f>
        <v>24346</v>
      </c>
      <c r="S562" s="30">
        <f t="shared" si="46"/>
        <v>3.8408798159861988</v>
      </c>
      <c r="T562" s="9">
        <f t="shared" si="47"/>
        <v>0.2817824074074074</v>
      </c>
      <c r="U562" s="9">
        <f t="shared" si="48"/>
        <v>3.5057870370370371E-2</v>
      </c>
      <c r="V562" s="9">
        <f t="shared" si="49"/>
        <v>0.69251157407407415</v>
      </c>
    </row>
    <row r="563" spans="1:22" x14ac:dyDescent="0.35">
      <c r="A563" s="52">
        <v>49595</v>
      </c>
      <c r="B563" s="31">
        <v>46119</v>
      </c>
      <c r="C563" s="7" t="s">
        <v>337</v>
      </c>
      <c r="D563" s="7">
        <v>353</v>
      </c>
      <c r="E563" s="10">
        <f>IFERROR(SUMIFS('Base bordo CD'!M$2:M$875,'Base bordo CD'!D$2:D$875,A563,'Base bordo CD'!A$2:A$875,B563,'Base bordo CD'!L$2:L$875,"CORTE DE CANA MECANIZADO"),0)</f>
        <v>6.762777777777778</v>
      </c>
      <c r="F563" s="10">
        <f>IFERROR(SUMIFS('Base bordo CD'!M$2:M$875,'Base bordo CD'!D$2:D$875,A563,'Base bordo CD'!A$2:A$875,B563,'Base bordo CD'!L$2:L$875,"MANOBRA"),0)</f>
        <v>0.84138888888888885</v>
      </c>
      <c r="G563" s="10">
        <f>IFERROR(SUMIFS('Base bordo CD'!M$2:M$875,'Base bordo CD'!D$2:D$875,A563,'Base bordo CD'!A$2:A$875,B563,'Base bordo CD'!L$2:L$875,"DESLOCAMENTO"),0)</f>
        <v>0.61694444444444441</v>
      </c>
      <c r="H563" s="10">
        <f>IFERROR(SUMIFS('Base bordo CD'!M$2:M$875,'Base bordo CD'!D$2:D$875,A563,'Base bordo CD'!A$2:A$875,B563,'Base bordo CD'!L$2:L$875,"AGUARDANDO MANOBRA DE TRANSBORDO"),0)+IFERROR(SUMIFS('Base bordo CD'!M$2:M$875,'Base bordo CD'!D$2:D$875,A563,'Base bordo CD'!A$2:A$875,B563,'Base bordo CD'!L$2:L$875,"FALTA DE TRANSBORDO"),0)</f>
        <v>0.56472222222222224</v>
      </c>
      <c r="I563" s="10">
        <f>IFERROR(SUMIFS('Base bordo CD'!M$2:M$875,'Base bordo CD'!D$2:D$875,A563,'Base bordo CD'!A$2:A$875,B563,'Base bordo CD'!L$2:L$875,"PARADA POR CONDICOES CLIMATICAS"),0)+IFERROR(SUMIFS('Base bordo CD'!M$2:M$875,'Base bordo CD'!D$2:D$875,A563,'Base bordo CD'!A$2:A$875,B563,'Base bordo CD'!L$2:L$875,"TEMPO INDETERMINADO"),0)</f>
        <v>14.727222222222222</v>
      </c>
      <c r="J563" s="10">
        <f>IFERROR(SUMIFS('Base bordo CD'!M$2:M$875,'Base bordo CD'!D$2:D$875,A563,'Base bordo CD'!A$2:A$875,B563,'Base bordo CD'!L$2:L$875,"LIMITAÇÃO INDÚSTRIA"),0)</f>
        <v>0</v>
      </c>
      <c r="K563" s="10">
        <f>IFERROR(SUMIFS('Base bordo CD'!M$2:M$875,'Base bordo CD'!D$2:D$875,A563,'Base bordo CD'!A$2:A$875,B563,'Base bordo CD'!L$2:L$875,"MAN CORRETIVA*"),0)+IFERROR(SUMIFS('Base bordo CD'!M$2:M$875,'Base bordo CD'!D$2:D$875,A563,'Base bordo CD'!A$2:A$875,B563,'Base bordo CD'!L$2:L$875,"AGUARDANDO MANUTENCAO*"),0)+IFERROR(SUMIFS('Base bordo CD'!M$2:M$875,'Base bordo CD'!D$2:D$875,A563,'Base bordo CD'!A$2:A$875,B563,'Base bordo CD'!L$2:L$875,"TROCA DE FAQUINHA"),0)+IFERROR(SUMIFS('Base bordo CD'!M$2:M$875,'Base bordo CD'!D$2:D$875,A563,'Base bordo CD'!A$2:A$875,B563,'Base bordo CD'!L$2:L$875,"LIMPEZA*"),0)</f>
        <v>0.4836111111111111</v>
      </c>
      <c r="L563" s="10">
        <f>IFERROR(SUMIFS('Base bordo CD'!M$2:M$875,'Base bordo CD'!D$2:D$875,A563,'Base bordo CD'!A$2:A$875,B563,'Base bordo CD'!L$2:L$875,"PATIO - RESERVA"),0)</f>
        <v>0</v>
      </c>
      <c r="M563" s="10">
        <f>IFERROR(SUMIFS('Base bordo CD'!M$2:M$875,'Base bordo CD'!D$2:D$875,A563,'Base bordo CD'!A$2:A$875,B563,'Base bordo CD'!L$2:L$875,"SEM APONTAMENTO"),0)</f>
        <v>3.3333333333333335E-3</v>
      </c>
      <c r="N563" s="10">
        <f>IFERROR(SUMIFS('Base bordo CD'!M$2:M$875,'Base bordo CD'!D$2:D$875,A563,'Base bordo CD'!A$2:A$875,B563,'Base bordo CD'!L$2:L$875,"FALTA DE CAMINHÃO"),0)+IFERROR(SUMIFS('Base bordo CD'!M$2:M$875,'Base bordo CD'!D$2:D$875,A563,'Base bordo CD'!A$2:A$875,B563,'Base bordo CD'!L$2:L$875,"FALTA DE COMBUSTIVEL"),0)+IFERROR(SUMIFS('Base bordo CD'!M$2:M$875,'Base bordo CD'!D$2:D$875,A563,'Base bordo CD'!A$2:A$875,B563,'Base bordo CD'!L$2:L$875,"FALTA DE MOTORIST*"),0)</f>
        <v>0</v>
      </c>
      <c r="O563" s="10">
        <f t="shared" si="45"/>
        <v>0</v>
      </c>
      <c r="P563" s="10">
        <f>IFERROR(SUMIFS('Base bordo CD'!M$2:M$875,'Base bordo CD'!D$2:D$875,A563,'Base bordo CD'!A$2:A$875,B563),0)</f>
        <v>24</v>
      </c>
      <c r="Q563" s="10">
        <f>IFERROR(SUMIFS('Base bordo CD'!O$2:O$875,'Base bordo CD'!D$2:D$875,A563,'Base bordo CD'!A$2:A$875,B563,'Base bordo CD'!L$2:L$875,"CORTE DE CANA MECANIZADO"),0)</f>
        <v>93510.06</v>
      </c>
      <c r="R563" s="10">
        <f>IFERROR(SUMIFS('Base bordo CD'!Q$2:Q$875,'Base bordo CD'!D$2:D$875,A563,'Base bordo CD'!A$2:A$875,B563,'Base bordo CD'!L$2:L$875,"CORTE DE CANA MECANIZADO"),0)</f>
        <v>24346</v>
      </c>
      <c r="S563" s="30">
        <f t="shared" si="46"/>
        <v>3.8408798159861988</v>
      </c>
      <c r="T563" s="9">
        <f t="shared" si="47"/>
        <v>0.2817824074074074</v>
      </c>
      <c r="U563" s="9">
        <f t="shared" si="48"/>
        <v>3.5057870370370371E-2</v>
      </c>
      <c r="V563" s="9">
        <f t="shared" si="49"/>
        <v>0.69251157407407415</v>
      </c>
    </row>
    <row r="564" spans="1:22" x14ac:dyDescent="0.35">
      <c r="A564" s="52">
        <v>49595</v>
      </c>
      <c r="B564" s="31">
        <v>46119</v>
      </c>
      <c r="C564" s="7" t="s">
        <v>337</v>
      </c>
      <c r="D564" s="7">
        <v>353</v>
      </c>
      <c r="E564" s="10">
        <f>IFERROR(SUMIFS('Base bordo CD'!M$2:M$875,'Base bordo CD'!D$2:D$875,A564,'Base bordo CD'!A$2:A$875,B564,'Base bordo CD'!L$2:L$875,"CORTE DE CANA MECANIZADO"),0)</f>
        <v>6.762777777777778</v>
      </c>
      <c r="F564" s="10">
        <f>IFERROR(SUMIFS('Base bordo CD'!M$2:M$875,'Base bordo CD'!D$2:D$875,A564,'Base bordo CD'!A$2:A$875,B564,'Base bordo CD'!L$2:L$875,"MANOBRA"),0)</f>
        <v>0.84138888888888885</v>
      </c>
      <c r="G564" s="10">
        <f>IFERROR(SUMIFS('Base bordo CD'!M$2:M$875,'Base bordo CD'!D$2:D$875,A564,'Base bordo CD'!A$2:A$875,B564,'Base bordo CD'!L$2:L$875,"DESLOCAMENTO"),0)</f>
        <v>0.61694444444444441</v>
      </c>
      <c r="H564" s="10">
        <f>IFERROR(SUMIFS('Base bordo CD'!M$2:M$875,'Base bordo CD'!D$2:D$875,A564,'Base bordo CD'!A$2:A$875,B564,'Base bordo CD'!L$2:L$875,"AGUARDANDO MANOBRA DE TRANSBORDO"),0)+IFERROR(SUMIFS('Base bordo CD'!M$2:M$875,'Base bordo CD'!D$2:D$875,A564,'Base bordo CD'!A$2:A$875,B564,'Base bordo CD'!L$2:L$875,"FALTA DE TRANSBORDO"),0)</f>
        <v>0.56472222222222224</v>
      </c>
      <c r="I564" s="10">
        <f>IFERROR(SUMIFS('Base bordo CD'!M$2:M$875,'Base bordo CD'!D$2:D$875,A564,'Base bordo CD'!A$2:A$875,B564,'Base bordo CD'!L$2:L$875,"PARADA POR CONDICOES CLIMATICAS"),0)+IFERROR(SUMIFS('Base bordo CD'!M$2:M$875,'Base bordo CD'!D$2:D$875,A564,'Base bordo CD'!A$2:A$875,B564,'Base bordo CD'!L$2:L$875,"TEMPO INDETERMINADO"),0)</f>
        <v>14.727222222222222</v>
      </c>
      <c r="J564" s="10">
        <f>IFERROR(SUMIFS('Base bordo CD'!M$2:M$875,'Base bordo CD'!D$2:D$875,A564,'Base bordo CD'!A$2:A$875,B564,'Base bordo CD'!L$2:L$875,"LIMITAÇÃO INDÚSTRIA"),0)</f>
        <v>0</v>
      </c>
      <c r="K564" s="10">
        <f>IFERROR(SUMIFS('Base bordo CD'!M$2:M$875,'Base bordo CD'!D$2:D$875,A564,'Base bordo CD'!A$2:A$875,B564,'Base bordo CD'!L$2:L$875,"MAN CORRETIVA*"),0)+IFERROR(SUMIFS('Base bordo CD'!M$2:M$875,'Base bordo CD'!D$2:D$875,A564,'Base bordo CD'!A$2:A$875,B564,'Base bordo CD'!L$2:L$875,"AGUARDANDO MANUTENCAO*"),0)+IFERROR(SUMIFS('Base bordo CD'!M$2:M$875,'Base bordo CD'!D$2:D$875,A564,'Base bordo CD'!A$2:A$875,B564,'Base bordo CD'!L$2:L$875,"TROCA DE FAQUINHA"),0)+IFERROR(SUMIFS('Base bordo CD'!M$2:M$875,'Base bordo CD'!D$2:D$875,A564,'Base bordo CD'!A$2:A$875,B564,'Base bordo CD'!L$2:L$875,"LIMPEZA*"),0)</f>
        <v>0.4836111111111111</v>
      </c>
      <c r="L564" s="10">
        <f>IFERROR(SUMIFS('Base bordo CD'!M$2:M$875,'Base bordo CD'!D$2:D$875,A564,'Base bordo CD'!A$2:A$875,B564,'Base bordo CD'!L$2:L$875,"PATIO - RESERVA"),0)</f>
        <v>0</v>
      </c>
      <c r="M564" s="10">
        <f>IFERROR(SUMIFS('Base bordo CD'!M$2:M$875,'Base bordo CD'!D$2:D$875,A564,'Base bordo CD'!A$2:A$875,B564,'Base bordo CD'!L$2:L$875,"SEM APONTAMENTO"),0)</f>
        <v>3.3333333333333335E-3</v>
      </c>
      <c r="N564" s="10">
        <f>IFERROR(SUMIFS('Base bordo CD'!M$2:M$875,'Base bordo CD'!D$2:D$875,A564,'Base bordo CD'!A$2:A$875,B564,'Base bordo CD'!L$2:L$875,"FALTA DE CAMINHÃO"),0)+IFERROR(SUMIFS('Base bordo CD'!M$2:M$875,'Base bordo CD'!D$2:D$875,A564,'Base bordo CD'!A$2:A$875,B564,'Base bordo CD'!L$2:L$875,"FALTA DE COMBUSTIVEL"),0)+IFERROR(SUMIFS('Base bordo CD'!M$2:M$875,'Base bordo CD'!D$2:D$875,A564,'Base bordo CD'!A$2:A$875,B564,'Base bordo CD'!L$2:L$875,"FALTA DE MOTORIST*"),0)</f>
        <v>0</v>
      </c>
      <c r="O564" s="10">
        <f t="shared" si="45"/>
        <v>0</v>
      </c>
      <c r="P564" s="10">
        <f>IFERROR(SUMIFS('Base bordo CD'!M$2:M$875,'Base bordo CD'!D$2:D$875,A564,'Base bordo CD'!A$2:A$875,B564),0)</f>
        <v>24</v>
      </c>
      <c r="Q564" s="10">
        <f>IFERROR(SUMIFS('Base bordo CD'!O$2:O$875,'Base bordo CD'!D$2:D$875,A564,'Base bordo CD'!A$2:A$875,B564,'Base bordo CD'!L$2:L$875,"CORTE DE CANA MECANIZADO"),0)</f>
        <v>93510.06</v>
      </c>
      <c r="R564" s="10">
        <f>IFERROR(SUMIFS('Base bordo CD'!Q$2:Q$875,'Base bordo CD'!D$2:D$875,A564,'Base bordo CD'!A$2:A$875,B564,'Base bordo CD'!L$2:L$875,"CORTE DE CANA MECANIZADO"),0)</f>
        <v>24346</v>
      </c>
      <c r="S564" s="30">
        <f t="shared" si="46"/>
        <v>3.8408798159861988</v>
      </c>
      <c r="T564" s="9">
        <f t="shared" si="47"/>
        <v>0.2817824074074074</v>
      </c>
      <c r="U564" s="9">
        <f t="shared" si="48"/>
        <v>3.5057870370370371E-2</v>
      </c>
      <c r="V564" s="9">
        <f t="shared" si="49"/>
        <v>0.69251157407407415</v>
      </c>
    </row>
    <row r="565" spans="1:22" x14ac:dyDescent="0.35">
      <c r="A565" s="52">
        <v>49595</v>
      </c>
      <c r="B565" s="31">
        <v>46119</v>
      </c>
      <c r="C565" s="7" t="s">
        <v>337</v>
      </c>
      <c r="D565" s="7">
        <v>353</v>
      </c>
      <c r="E565" s="10">
        <f>IFERROR(SUMIFS('Base bordo CD'!M$2:M$875,'Base bordo CD'!D$2:D$875,A565,'Base bordo CD'!A$2:A$875,B565,'Base bordo CD'!L$2:L$875,"CORTE DE CANA MECANIZADO"),0)</f>
        <v>6.762777777777778</v>
      </c>
      <c r="F565" s="10">
        <f>IFERROR(SUMIFS('Base bordo CD'!M$2:M$875,'Base bordo CD'!D$2:D$875,A565,'Base bordo CD'!A$2:A$875,B565,'Base bordo CD'!L$2:L$875,"MANOBRA"),0)</f>
        <v>0.84138888888888885</v>
      </c>
      <c r="G565" s="10">
        <f>IFERROR(SUMIFS('Base bordo CD'!M$2:M$875,'Base bordo CD'!D$2:D$875,A565,'Base bordo CD'!A$2:A$875,B565,'Base bordo CD'!L$2:L$875,"DESLOCAMENTO"),0)</f>
        <v>0.61694444444444441</v>
      </c>
      <c r="H565" s="10">
        <f>IFERROR(SUMIFS('Base bordo CD'!M$2:M$875,'Base bordo CD'!D$2:D$875,A565,'Base bordo CD'!A$2:A$875,B565,'Base bordo CD'!L$2:L$875,"AGUARDANDO MANOBRA DE TRANSBORDO"),0)+IFERROR(SUMIFS('Base bordo CD'!M$2:M$875,'Base bordo CD'!D$2:D$875,A565,'Base bordo CD'!A$2:A$875,B565,'Base bordo CD'!L$2:L$875,"FALTA DE TRANSBORDO"),0)</f>
        <v>0.56472222222222224</v>
      </c>
      <c r="I565" s="10">
        <f>IFERROR(SUMIFS('Base bordo CD'!M$2:M$875,'Base bordo CD'!D$2:D$875,A565,'Base bordo CD'!A$2:A$875,B565,'Base bordo CD'!L$2:L$875,"PARADA POR CONDICOES CLIMATICAS"),0)+IFERROR(SUMIFS('Base bordo CD'!M$2:M$875,'Base bordo CD'!D$2:D$875,A565,'Base bordo CD'!A$2:A$875,B565,'Base bordo CD'!L$2:L$875,"TEMPO INDETERMINADO"),0)</f>
        <v>14.727222222222222</v>
      </c>
      <c r="J565" s="10">
        <f>IFERROR(SUMIFS('Base bordo CD'!M$2:M$875,'Base bordo CD'!D$2:D$875,A565,'Base bordo CD'!A$2:A$875,B565,'Base bordo CD'!L$2:L$875,"LIMITAÇÃO INDÚSTRIA"),0)</f>
        <v>0</v>
      </c>
      <c r="K565" s="10">
        <f>IFERROR(SUMIFS('Base bordo CD'!M$2:M$875,'Base bordo CD'!D$2:D$875,A565,'Base bordo CD'!A$2:A$875,B565,'Base bordo CD'!L$2:L$875,"MAN CORRETIVA*"),0)+IFERROR(SUMIFS('Base bordo CD'!M$2:M$875,'Base bordo CD'!D$2:D$875,A565,'Base bordo CD'!A$2:A$875,B565,'Base bordo CD'!L$2:L$875,"AGUARDANDO MANUTENCAO*"),0)+IFERROR(SUMIFS('Base bordo CD'!M$2:M$875,'Base bordo CD'!D$2:D$875,A565,'Base bordo CD'!A$2:A$875,B565,'Base bordo CD'!L$2:L$875,"TROCA DE FAQUINHA"),0)+IFERROR(SUMIFS('Base bordo CD'!M$2:M$875,'Base bordo CD'!D$2:D$875,A565,'Base bordo CD'!A$2:A$875,B565,'Base bordo CD'!L$2:L$875,"LIMPEZA*"),0)</f>
        <v>0.4836111111111111</v>
      </c>
      <c r="L565" s="10">
        <f>IFERROR(SUMIFS('Base bordo CD'!M$2:M$875,'Base bordo CD'!D$2:D$875,A565,'Base bordo CD'!A$2:A$875,B565,'Base bordo CD'!L$2:L$875,"PATIO - RESERVA"),0)</f>
        <v>0</v>
      </c>
      <c r="M565" s="10">
        <f>IFERROR(SUMIFS('Base bordo CD'!M$2:M$875,'Base bordo CD'!D$2:D$875,A565,'Base bordo CD'!A$2:A$875,B565,'Base bordo CD'!L$2:L$875,"SEM APONTAMENTO"),0)</f>
        <v>3.3333333333333335E-3</v>
      </c>
      <c r="N565" s="10">
        <f>IFERROR(SUMIFS('Base bordo CD'!M$2:M$875,'Base bordo CD'!D$2:D$875,A565,'Base bordo CD'!A$2:A$875,B565,'Base bordo CD'!L$2:L$875,"FALTA DE CAMINHÃO"),0)+IFERROR(SUMIFS('Base bordo CD'!M$2:M$875,'Base bordo CD'!D$2:D$875,A565,'Base bordo CD'!A$2:A$875,B565,'Base bordo CD'!L$2:L$875,"FALTA DE COMBUSTIVEL"),0)+IFERROR(SUMIFS('Base bordo CD'!M$2:M$875,'Base bordo CD'!D$2:D$875,A565,'Base bordo CD'!A$2:A$875,B565,'Base bordo CD'!L$2:L$875,"FALTA DE MOTORIST*"),0)</f>
        <v>0</v>
      </c>
      <c r="O565" s="10">
        <f t="shared" si="45"/>
        <v>0</v>
      </c>
      <c r="P565" s="10">
        <f>IFERROR(SUMIFS('Base bordo CD'!M$2:M$875,'Base bordo CD'!D$2:D$875,A565,'Base bordo CD'!A$2:A$875,B565),0)</f>
        <v>24</v>
      </c>
      <c r="Q565" s="10">
        <f>IFERROR(SUMIFS('Base bordo CD'!O$2:O$875,'Base bordo CD'!D$2:D$875,A565,'Base bordo CD'!A$2:A$875,B565,'Base bordo CD'!L$2:L$875,"CORTE DE CANA MECANIZADO"),0)</f>
        <v>93510.06</v>
      </c>
      <c r="R565" s="10">
        <f>IFERROR(SUMIFS('Base bordo CD'!Q$2:Q$875,'Base bordo CD'!D$2:D$875,A565,'Base bordo CD'!A$2:A$875,B565,'Base bordo CD'!L$2:L$875,"CORTE DE CANA MECANIZADO"),0)</f>
        <v>24346</v>
      </c>
      <c r="S565" s="30">
        <f t="shared" si="46"/>
        <v>3.8408798159861988</v>
      </c>
      <c r="T565" s="9">
        <f t="shared" si="47"/>
        <v>0.2817824074074074</v>
      </c>
      <c r="U565" s="9">
        <f t="shared" si="48"/>
        <v>3.5057870370370371E-2</v>
      </c>
      <c r="V565" s="9">
        <f t="shared" si="49"/>
        <v>0.69251157407407415</v>
      </c>
    </row>
    <row r="566" spans="1:22" x14ac:dyDescent="0.35">
      <c r="A566" s="52">
        <v>49595</v>
      </c>
      <c r="B566" s="31">
        <v>46119</v>
      </c>
      <c r="C566" s="7" t="s">
        <v>337</v>
      </c>
      <c r="D566" s="7">
        <v>353</v>
      </c>
      <c r="E566" s="10">
        <f>IFERROR(SUMIFS('Base bordo CD'!M$2:M$875,'Base bordo CD'!D$2:D$875,A566,'Base bordo CD'!A$2:A$875,B566,'Base bordo CD'!L$2:L$875,"CORTE DE CANA MECANIZADO"),0)</f>
        <v>6.762777777777778</v>
      </c>
      <c r="F566" s="10">
        <f>IFERROR(SUMIFS('Base bordo CD'!M$2:M$875,'Base bordo CD'!D$2:D$875,A566,'Base bordo CD'!A$2:A$875,B566,'Base bordo CD'!L$2:L$875,"MANOBRA"),0)</f>
        <v>0.84138888888888885</v>
      </c>
      <c r="G566" s="10">
        <f>IFERROR(SUMIFS('Base bordo CD'!M$2:M$875,'Base bordo CD'!D$2:D$875,A566,'Base bordo CD'!A$2:A$875,B566,'Base bordo CD'!L$2:L$875,"DESLOCAMENTO"),0)</f>
        <v>0.61694444444444441</v>
      </c>
      <c r="H566" s="10">
        <f>IFERROR(SUMIFS('Base bordo CD'!M$2:M$875,'Base bordo CD'!D$2:D$875,A566,'Base bordo CD'!A$2:A$875,B566,'Base bordo CD'!L$2:L$875,"AGUARDANDO MANOBRA DE TRANSBORDO"),0)+IFERROR(SUMIFS('Base bordo CD'!M$2:M$875,'Base bordo CD'!D$2:D$875,A566,'Base bordo CD'!A$2:A$875,B566,'Base bordo CD'!L$2:L$875,"FALTA DE TRANSBORDO"),0)</f>
        <v>0.56472222222222224</v>
      </c>
      <c r="I566" s="10">
        <f>IFERROR(SUMIFS('Base bordo CD'!M$2:M$875,'Base bordo CD'!D$2:D$875,A566,'Base bordo CD'!A$2:A$875,B566,'Base bordo CD'!L$2:L$875,"PARADA POR CONDICOES CLIMATICAS"),0)+IFERROR(SUMIFS('Base bordo CD'!M$2:M$875,'Base bordo CD'!D$2:D$875,A566,'Base bordo CD'!A$2:A$875,B566,'Base bordo CD'!L$2:L$875,"TEMPO INDETERMINADO"),0)</f>
        <v>14.727222222222222</v>
      </c>
      <c r="J566" s="10">
        <f>IFERROR(SUMIFS('Base bordo CD'!M$2:M$875,'Base bordo CD'!D$2:D$875,A566,'Base bordo CD'!A$2:A$875,B566,'Base bordo CD'!L$2:L$875,"LIMITAÇÃO INDÚSTRIA"),0)</f>
        <v>0</v>
      </c>
      <c r="K566" s="10">
        <f>IFERROR(SUMIFS('Base bordo CD'!M$2:M$875,'Base bordo CD'!D$2:D$875,A566,'Base bordo CD'!A$2:A$875,B566,'Base bordo CD'!L$2:L$875,"MAN CORRETIVA*"),0)+IFERROR(SUMIFS('Base bordo CD'!M$2:M$875,'Base bordo CD'!D$2:D$875,A566,'Base bordo CD'!A$2:A$875,B566,'Base bordo CD'!L$2:L$875,"AGUARDANDO MANUTENCAO*"),0)+IFERROR(SUMIFS('Base bordo CD'!M$2:M$875,'Base bordo CD'!D$2:D$875,A566,'Base bordo CD'!A$2:A$875,B566,'Base bordo CD'!L$2:L$875,"TROCA DE FAQUINHA"),0)+IFERROR(SUMIFS('Base bordo CD'!M$2:M$875,'Base bordo CD'!D$2:D$875,A566,'Base bordo CD'!A$2:A$875,B566,'Base bordo CD'!L$2:L$875,"LIMPEZA*"),0)</f>
        <v>0.4836111111111111</v>
      </c>
      <c r="L566" s="10">
        <f>IFERROR(SUMIFS('Base bordo CD'!M$2:M$875,'Base bordo CD'!D$2:D$875,A566,'Base bordo CD'!A$2:A$875,B566,'Base bordo CD'!L$2:L$875,"PATIO - RESERVA"),0)</f>
        <v>0</v>
      </c>
      <c r="M566" s="10">
        <f>IFERROR(SUMIFS('Base bordo CD'!M$2:M$875,'Base bordo CD'!D$2:D$875,A566,'Base bordo CD'!A$2:A$875,B566,'Base bordo CD'!L$2:L$875,"SEM APONTAMENTO"),0)</f>
        <v>3.3333333333333335E-3</v>
      </c>
      <c r="N566" s="10">
        <f>IFERROR(SUMIFS('Base bordo CD'!M$2:M$875,'Base bordo CD'!D$2:D$875,A566,'Base bordo CD'!A$2:A$875,B566,'Base bordo CD'!L$2:L$875,"FALTA DE CAMINHÃO"),0)+IFERROR(SUMIFS('Base bordo CD'!M$2:M$875,'Base bordo CD'!D$2:D$875,A566,'Base bordo CD'!A$2:A$875,B566,'Base bordo CD'!L$2:L$875,"FALTA DE COMBUSTIVEL"),0)+IFERROR(SUMIFS('Base bordo CD'!M$2:M$875,'Base bordo CD'!D$2:D$875,A566,'Base bordo CD'!A$2:A$875,B566,'Base bordo CD'!L$2:L$875,"FALTA DE MOTORIST*"),0)</f>
        <v>0</v>
      </c>
      <c r="O566" s="10">
        <f t="shared" si="45"/>
        <v>0</v>
      </c>
      <c r="P566" s="10">
        <f>IFERROR(SUMIFS('Base bordo CD'!M$2:M$875,'Base bordo CD'!D$2:D$875,A566,'Base bordo CD'!A$2:A$875,B566),0)</f>
        <v>24</v>
      </c>
      <c r="Q566" s="10">
        <f>IFERROR(SUMIFS('Base bordo CD'!O$2:O$875,'Base bordo CD'!D$2:D$875,A566,'Base bordo CD'!A$2:A$875,B566,'Base bordo CD'!L$2:L$875,"CORTE DE CANA MECANIZADO"),0)</f>
        <v>93510.06</v>
      </c>
      <c r="R566" s="10">
        <f>IFERROR(SUMIFS('Base bordo CD'!Q$2:Q$875,'Base bordo CD'!D$2:D$875,A566,'Base bordo CD'!A$2:A$875,B566,'Base bordo CD'!L$2:L$875,"CORTE DE CANA MECANIZADO"),0)</f>
        <v>24346</v>
      </c>
      <c r="S566" s="30">
        <f t="shared" si="46"/>
        <v>3.8408798159861988</v>
      </c>
      <c r="T566" s="9">
        <f t="shared" si="47"/>
        <v>0.2817824074074074</v>
      </c>
      <c r="U566" s="9">
        <f t="shared" si="48"/>
        <v>3.5057870370370371E-2</v>
      </c>
      <c r="V566" s="9">
        <f t="shared" si="49"/>
        <v>0.69251157407407415</v>
      </c>
    </row>
    <row r="567" spans="1:22" x14ac:dyDescent="0.35">
      <c r="A567" s="52">
        <v>49595</v>
      </c>
      <c r="B567" s="31">
        <v>46119</v>
      </c>
      <c r="C567" s="7" t="s">
        <v>337</v>
      </c>
      <c r="D567" s="7">
        <v>353</v>
      </c>
      <c r="E567" s="10">
        <f>IFERROR(SUMIFS('Base bordo CD'!M$2:M$875,'Base bordo CD'!D$2:D$875,A567,'Base bordo CD'!A$2:A$875,B567,'Base bordo CD'!L$2:L$875,"CORTE DE CANA MECANIZADO"),0)</f>
        <v>6.762777777777778</v>
      </c>
      <c r="F567" s="10">
        <f>IFERROR(SUMIFS('Base bordo CD'!M$2:M$875,'Base bordo CD'!D$2:D$875,A567,'Base bordo CD'!A$2:A$875,B567,'Base bordo CD'!L$2:L$875,"MANOBRA"),0)</f>
        <v>0.84138888888888885</v>
      </c>
      <c r="G567" s="10">
        <f>IFERROR(SUMIFS('Base bordo CD'!M$2:M$875,'Base bordo CD'!D$2:D$875,A567,'Base bordo CD'!A$2:A$875,B567,'Base bordo CD'!L$2:L$875,"DESLOCAMENTO"),0)</f>
        <v>0.61694444444444441</v>
      </c>
      <c r="H567" s="10">
        <f>IFERROR(SUMIFS('Base bordo CD'!M$2:M$875,'Base bordo CD'!D$2:D$875,A567,'Base bordo CD'!A$2:A$875,B567,'Base bordo CD'!L$2:L$875,"AGUARDANDO MANOBRA DE TRANSBORDO"),0)+IFERROR(SUMIFS('Base bordo CD'!M$2:M$875,'Base bordo CD'!D$2:D$875,A567,'Base bordo CD'!A$2:A$875,B567,'Base bordo CD'!L$2:L$875,"FALTA DE TRANSBORDO"),0)</f>
        <v>0.56472222222222224</v>
      </c>
      <c r="I567" s="10">
        <f>IFERROR(SUMIFS('Base bordo CD'!M$2:M$875,'Base bordo CD'!D$2:D$875,A567,'Base bordo CD'!A$2:A$875,B567,'Base bordo CD'!L$2:L$875,"PARADA POR CONDICOES CLIMATICAS"),0)+IFERROR(SUMIFS('Base bordo CD'!M$2:M$875,'Base bordo CD'!D$2:D$875,A567,'Base bordo CD'!A$2:A$875,B567,'Base bordo CD'!L$2:L$875,"TEMPO INDETERMINADO"),0)</f>
        <v>14.727222222222222</v>
      </c>
      <c r="J567" s="10">
        <f>IFERROR(SUMIFS('Base bordo CD'!M$2:M$875,'Base bordo CD'!D$2:D$875,A567,'Base bordo CD'!A$2:A$875,B567,'Base bordo CD'!L$2:L$875,"LIMITAÇÃO INDÚSTRIA"),0)</f>
        <v>0</v>
      </c>
      <c r="K567" s="10">
        <f>IFERROR(SUMIFS('Base bordo CD'!M$2:M$875,'Base bordo CD'!D$2:D$875,A567,'Base bordo CD'!A$2:A$875,B567,'Base bordo CD'!L$2:L$875,"MAN CORRETIVA*"),0)+IFERROR(SUMIFS('Base bordo CD'!M$2:M$875,'Base bordo CD'!D$2:D$875,A567,'Base bordo CD'!A$2:A$875,B567,'Base bordo CD'!L$2:L$875,"AGUARDANDO MANUTENCAO*"),0)+IFERROR(SUMIFS('Base bordo CD'!M$2:M$875,'Base bordo CD'!D$2:D$875,A567,'Base bordo CD'!A$2:A$875,B567,'Base bordo CD'!L$2:L$875,"TROCA DE FAQUINHA"),0)+IFERROR(SUMIFS('Base bordo CD'!M$2:M$875,'Base bordo CD'!D$2:D$875,A567,'Base bordo CD'!A$2:A$875,B567,'Base bordo CD'!L$2:L$875,"LIMPEZA*"),0)</f>
        <v>0.4836111111111111</v>
      </c>
      <c r="L567" s="10">
        <f>IFERROR(SUMIFS('Base bordo CD'!M$2:M$875,'Base bordo CD'!D$2:D$875,A567,'Base bordo CD'!A$2:A$875,B567,'Base bordo CD'!L$2:L$875,"PATIO - RESERVA"),0)</f>
        <v>0</v>
      </c>
      <c r="M567" s="10">
        <f>IFERROR(SUMIFS('Base bordo CD'!M$2:M$875,'Base bordo CD'!D$2:D$875,A567,'Base bordo CD'!A$2:A$875,B567,'Base bordo CD'!L$2:L$875,"SEM APONTAMENTO"),0)</f>
        <v>3.3333333333333335E-3</v>
      </c>
      <c r="N567" s="10">
        <f>IFERROR(SUMIFS('Base bordo CD'!M$2:M$875,'Base bordo CD'!D$2:D$875,A567,'Base bordo CD'!A$2:A$875,B567,'Base bordo CD'!L$2:L$875,"FALTA DE CAMINHÃO"),0)+IFERROR(SUMIFS('Base bordo CD'!M$2:M$875,'Base bordo CD'!D$2:D$875,A567,'Base bordo CD'!A$2:A$875,B567,'Base bordo CD'!L$2:L$875,"FALTA DE COMBUSTIVEL"),0)+IFERROR(SUMIFS('Base bordo CD'!M$2:M$875,'Base bordo CD'!D$2:D$875,A567,'Base bordo CD'!A$2:A$875,B567,'Base bordo CD'!L$2:L$875,"FALTA DE MOTORIST*"),0)</f>
        <v>0</v>
      </c>
      <c r="O567" s="10">
        <f t="shared" si="45"/>
        <v>0</v>
      </c>
      <c r="P567" s="10">
        <f>IFERROR(SUMIFS('Base bordo CD'!M$2:M$875,'Base bordo CD'!D$2:D$875,A567,'Base bordo CD'!A$2:A$875,B567),0)</f>
        <v>24</v>
      </c>
      <c r="Q567" s="10">
        <f>IFERROR(SUMIFS('Base bordo CD'!O$2:O$875,'Base bordo CD'!D$2:D$875,A567,'Base bordo CD'!A$2:A$875,B567,'Base bordo CD'!L$2:L$875,"CORTE DE CANA MECANIZADO"),0)</f>
        <v>93510.06</v>
      </c>
      <c r="R567" s="10">
        <f>IFERROR(SUMIFS('Base bordo CD'!Q$2:Q$875,'Base bordo CD'!D$2:D$875,A567,'Base bordo CD'!A$2:A$875,B567,'Base bordo CD'!L$2:L$875,"CORTE DE CANA MECANIZADO"),0)</f>
        <v>24346</v>
      </c>
      <c r="S567" s="30">
        <f t="shared" si="46"/>
        <v>3.8408798159861988</v>
      </c>
      <c r="T567" s="9">
        <f t="shared" si="47"/>
        <v>0.2817824074074074</v>
      </c>
      <c r="U567" s="9">
        <f t="shared" si="48"/>
        <v>3.5057870370370371E-2</v>
      </c>
      <c r="V567" s="9">
        <f t="shared" si="49"/>
        <v>0.69251157407407415</v>
      </c>
    </row>
    <row r="568" spans="1:22" x14ac:dyDescent="0.35">
      <c r="A568" s="52">
        <v>49595</v>
      </c>
      <c r="B568" s="31">
        <v>46119</v>
      </c>
      <c r="C568" s="7" t="s">
        <v>337</v>
      </c>
      <c r="D568" s="7">
        <v>353</v>
      </c>
      <c r="E568" s="10">
        <f>IFERROR(SUMIFS('Base bordo CD'!M$2:M$875,'Base bordo CD'!D$2:D$875,A568,'Base bordo CD'!A$2:A$875,B568,'Base bordo CD'!L$2:L$875,"CORTE DE CANA MECANIZADO"),0)</f>
        <v>6.762777777777778</v>
      </c>
      <c r="F568" s="10">
        <f>IFERROR(SUMIFS('Base bordo CD'!M$2:M$875,'Base bordo CD'!D$2:D$875,A568,'Base bordo CD'!A$2:A$875,B568,'Base bordo CD'!L$2:L$875,"MANOBRA"),0)</f>
        <v>0.84138888888888885</v>
      </c>
      <c r="G568" s="10">
        <f>IFERROR(SUMIFS('Base bordo CD'!M$2:M$875,'Base bordo CD'!D$2:D$875,A568,'Base bordo CD'!A$2:A$875,B568,'Base bordo CD'!L$2:L$875,"DESLOCAMENTO"),0)</f>
        <v>0.61694444444444441</v>
      </c>
      <c r="H568" s="10">
        <f>IFERROR(SUMIFS('Base bordo CD'!M$2:M$875,'Base bordo CD'!D$2:D$875,A568,'Base bordo CD'!A$2:A$875,B568,'Base bordo CD'!L$2:L$875,"AGUARDANDO MANOBRA DE TRANSBORDO"),0)+IFERROR(SUMIFS('Base bordo CD'!M$2:M$875,'Base bordo CD'!D$2:D$875,A568,'Base bordo CD'!A$2:A$875,B568,'Base bordo CD'!L$2:L$875,"FALTA DE TRANSBORDO"),0)</f>
        <v>0.56472222222222224</v>
      </c>
      <c r="I568" s="10">
        <f>IFERROR(SUMIFS('Base bordo CD'!M$2:M$875,'Base bordo CD'!D$2:D$875,A568,'Base bordo CD'!A$2:A$875,B568,'Base bordo CD'!L$2:L$875,"PARADA POR CONDICOES CLIMATICAS"),0)+IFERROR(SUMIFS('Base bordo CD'!M$2:M$875,'Base bordo CD'!D$2:D$875,A568,'Base bordo CD'!A$2:A$875,B568,'Base bordo CD'!L$2:L$875,"TEMPO INDETERMINADO"),0)</f>
        <v>14.727222222222222</v>
      </c>
      <c r="J568" s="10">
        <f>IFERROR(SUMIFS('Base bordo CD'!M$2:M$875,'Base bordo CD'!D$2:D$875,A568,'Base bordo CD'!A$2:A$875,B568,'Base bordo CD'!L$2:L$875,"LIMITAÇÃO INDÚSTRIA"),0)</f>
        <v>0</v>
      </c>
      <c r="K568" s="10">
        <f>IFERROR(SUMIFS('Base bordo CD'!M$2:M$875,'Base bordo CD'!D$2:D$875,A568,'Base bordo CD'!A$2:A$875,B568,'Base bordo CD'!L$2:L$875,"MAN CORRETIVA*"),0)+IFERROR(SUMIFS('Base bordo CD'!M$2:M$875,'Base bordo CD'!D$2:D$875,A568,'Base bordo CD'!A$2:A$875,B568,'Base bordo CD'!L$2:L$875,"AGUARDANDO MANUTENCAO*"),0)+IFERROR(SUMIFS('Base bordo CD'!M$2:M$875,'Base bordo CD'!D$2:D$875,A568,'Base bordo CD'!A$2:A$875,B568,'Base bordo CD'!L$2:L$875,"TROCA DE FAQUINHA"),0)+IFERROR(SUMIFS('Base bordo CD'!M$2:M$875,'Base bordo CD'!D$2:D$875,A568,'Base bordo CD'!A$2:A$875,B568,'Base bordo CD'!L$2:L$875,"LIMPEZA*"),0)</f>
        <v>0.4836111111111111</v>
      </c>
      <c r="L568" s="10">
        <f>IFERROR(SUMIFS('Base bordo CD'!M$2:M$875,'Base bordo CD'!D$2:D$875,A568,'Base bordo CD'!A$2:A$875,B568,'Base bordo CD'!L$2:L$875,"PATIO - RESERVA"),0)</f>
        <v>0</v>
      </c>
      <c r="M568" s="10">
        <f>IFERROR(SUMIFS('Base bordo CD'!M$2:M$875,'Base bordo CD'!D$2:D$875,A568,'Base bordo CD'!A$2:A$875,B568,'Base bordo CD'!L$2:L$875,"SEM APONTAMENTO"),0)</f>
        <v>3.3333333333333335E-3</v>
      </c>
      <c r="N568" s="10">
        <f>IFERROR(SUMIFS('Base bordo CD'!M$2:M$875,'Base bordo CD'!D$2:D$875,A568,'Base bordo CD'!A$2:A$875,B568,'Base bordo CD'!L$2:L$875,"FALTA DE CAMINHÃO"),0)+IFERROR(SUMIFS('Base bordo CD'!M$2:M$875,'Base bordo CD'!D$2:D$875,A568,'Base bordo CD'!A$2:A$875,B568,'Base bordo CD'!L$2:L$875,"FALTA DE COMBUSTIVEL"),0)+IFERROR(SUMIFS('Base bordo CD'!M$2:M$875,'Base bordo CD'!D$2:D$875,A568,'Base bordo CD'!A$2:A$875,B568,'Base bordo CD'!L$2:L$875,"FALTA DE MOTORIST*"),0)</f>
        <v>0</v>
      </c>
      <c r="O568" s="10">
        <f t="shared" si="45"/>
        <v>0</v>
      </c>
      <c r="P568" s="10">
        <f>IFERROR(SUMIFS('Base bordo CD'!M$2:M$875,'Base bordo CD'!D$2:D$875,A568,'Base bordo CD'!A$2:A$875,B568),0)</f>
        <v>24</v>
      </c>
      <c r="Q568" s="10">
        <f>IFERROR(SUMIFS('Base bordo CD'!O$2:O$875,'Base bordo CD'!D$2:D$875,A568,'Base bordo CD'!A$2:A$875,B568,'Base bordo CD'!L$2:L$875,"CORTE DE CANA MECANIZADO"),0)</f>
        <v>93510.06</v>
      </c>
      <c r="R568" s="10">
        <f>IFERROR(SUMIFS('Base bordo CD'!Q$2:Q$875,'Base bordo CD'!D$2:D$875,A568,'Base bordo CD'!A$2:A$875,B568,'Base bordo CD'!L$2:L$875,"CORTE DE CANA MECANIZADO"),0)</f>
        <v>24346</v>
      </c>
      <c r="S568" s="30">
        <f t="shared" si="46"/>
        <v>3.8408798159861988</v>
      </c>
      <c r="T568" s="9">
        <f t="shared" si="47"/>
        <v>0.2817824074074074</v>
      </c>
      <c r="U568" s="9">
        <f t="shared" si="48"/>
        <v>3.5057870370370371E-2</v>
      </c>
      <c r="V568" s="9">
        <f t="shared" si="49"/>
        <v>0.69251157407407415</v>
      </c>
    </row>
    <row r="569" spans="1:22" x14ac:dyDescent="0.35">
      <c r="A569" s="52">
        <v>49595</v>
      </c>
      <c r="B569" s="31">
        <v>46119</v>
      </c>
      <c r="C569" s="7" t="s">
        <v>337</v>
      </c>
      <c r="D569" s="7">
        <v>353</v>
      </c>
      <c r="E569" s="10">
        <f>IFERROR(SUMIFS('Base bordo CD'!M$2:M$875,'Base bordo CD'!D$2:D$875,A569,'Base bordo CD'!A$2:A$875,B569,'Base bordo CD'!L$2:L$875,"CORTE DE CANA MECANIZADO"),0)</f>
        <v>6.762777777777778</v>
      </c>
      <c r="F569" s="10">
        <f>IFERROR(SUMIFS('Base bordo CD'!M$2:M$875,'Base bordo CD'!D$2:D$875,A569,'Base bordo CD'!A$2:A$875,B569,'Base bordo CD'!L$2:L$875,"MANOBRA"),0)</f>
        <v>0.84138888888888885</v>
      </c>
      <c r="G569" s="10">
        <f>IFERROR(SUMIFS('Base bordo CD'!M$2:M$875,'Base bordo CD'!D$2:D$875,A569,'Base bordo CD'!A$2:A$875,B569,'Base bordo CD'!L$2:L$875,"DESLOCAMENTO"),0)</f>
        <v>0.61694444444444441</v>
      </c>
      <c r="H569" s="10">
        <f>IFERROR(SUMIFS('Base bordo CD'!M$2:M$875,'Base bordo CD'!D$2:D$875,A569,'Base bordo CD'!A$2:A$875,B569,'Base bordo CD'!L$2:L$875,"AGUARDANDO MANOBRA DE TRANSBORDO"),0)+IFERROR(SUMIFS('Base bordo CD'!M$2:M$875,'Base bordo CD'!D$2:D$875,A569,'Base bordo CD'!A$2:A$875,B569,'Base bordo CD'!L$2:L$875,"FALTA DE TRANSBORDO"),0)</f>
        <v>0.56472222222222224</v>
      </c>
      <c r="I569" s="10">
        <f>IFERROR(SUMIFS('Base bordo CD'!M$2:M$875,'Base bordo CD'!D$2:D$875,A569,'Base bordo CD'!A$2:A$875,B569,'Base bordo CD'!L$2:L$875,"PARADA POR CONDICOES CLIMATICAS"),0)+IFERROR(SUMIFS('Base bordo CD'!M$2:M$875,'Base bordo CD'!D$2:D$875,A569,'Base bordo CD'!A$2:A$875,B569,'Base bordo CD'!L$2:L$875,"TEMPO INDETERMINADO"),0)</f>
        <v>14.727222222222222</v>
      </c>
      <c r="J569" s="10">
        <f>IFERROR(SUMIFS('Base bordo CD'!M$2:M$875,'Base bordo CD'!D$2:D$875,A569,'Base bordo CD'!A$2:A$875,B569,'Base bordo CD'!L$2:L$875,"LIMITAÇÃO INDÚSTRIA"),0)</f>
        <v>0</v>
      </c>
      <c r="K569" s="10">
        <f>IFERROR(SUMIFS('Base bordo CD'!M$2:M$875,'Base bordo CD'!D$2:D$875,A569,'Base bordo CD'!A$2:A$875,B569,'Base bordo CD'!L$2:L$875,"MAN CORRETIVA*"),0)+IFERROR(SUMIFS('Base bordo CD'!M$2:M$875,'Base bordo CD'!D$2:D$875,A569,'Base bordo CD'!A$2:A$875,B569,'Base bordo CD'!L$2:L$875,"AGUARDANDO MANUTENCAO*"),0)+IFERROR(SUMIFS('Base bordo CD'!M$2:M$875,'Base bordo CD'!D$2:D$875,A569,'Base bordo CD'!A$2:A$875,B569,'Base bordo CD'!L$2:L$875,"TROCA DE FAQUINHA"),0)+IFERROR(SUMIFS('Base bordo CD'!M$2:M$875,'Base bordo CD'!D$2:D$875,A569,'Base bordo CD'!A$2:A$875,B569,'Base bordo CD'!L$2:L$875,"LIMPEZA*"),0)</f>
        <v>0.4836111111111111</v>
      </c>
      <c r="L569" s="10">
        <f>IFERROR(SUMIFS('Base bordo CD'!M$2:M$875,'Base bordo CD'!D$2:D$875,A569,'Base bordo CD'!A$2:A$875,B569,'Base bordo CD'!L$2:L$875,"PATIO - RESERVA"),0)</f>
        <v>0</v>
      </c>
      <c r="M569" s="10">
        <f>IFERROR(SUMIFS('Base bordo CD'!M$2:M$875,'Base bordo CD'!D$2:D$875,A569,'Base bordo CD'!A$2:A$875,B569,'Base bordo CD'!L$2:L$875,"SEM APONTAMENTO"),0)</f>
        <v>3.3333333333333335E-3</v>
      </c>
      <c r="N569" s="10">
        <f>IFERROR(SUMIFS('Base bordo CD'!M$2:M$875,'Base bordo CD'!D$2:D$875,A569,'Base bordo CD'!A$2:A$875,B569,'Base bordo CD'!L$2:L$875,"FALTA DE CAMINHÃO"),0)+IFERROR(SUMIFS('Base bordo CD'!M$2:M$875,'Base bordo CD'!D$2:D$875,A569,'Base bordo CD'!A$2:A$875,B569,'Base bordo CD'!L$2:L$875,"FALTA DE COMBUSTIVEL"),0)+IFERROR(SUMIFS('Base bordo CD'!M$2:M$875,'Base bordo CD'!D$2:D$875,A569,'Base bordo CD'!A$2:A$875,B569,'Base bordo CD'!L$2:L$875,"FALTA DE MOTORIST*"),0)</f>
        <v>0</v>
      </c>
      <c r="O569" s="10">
        <f t="shared" si="45"/>
        <v>0</v>
      </c>
      <c r="P569" s="10">
        <f>IFERROR(SUMIFS('Base bordo CD'!M$2:M$875,'Base bordo CD'!D$2:D$875,A569,'Base bordo CD'!A$2:A$875,B569),0)</f>
        <v>24</v>
      </c>
      <c r="Q569" s="10">
        <f>IFERROR(SUMIFS('Base bordo CD'!O$2:O$875,'Base bordo CD'!D$2:D$875,A569,'Base bordo CD'!A$2:A$875,B569,'Base bordo CD'!L$2:L$875,"CORTE DE CANA MECANIZADO"),0)</f>
        <v>93510.06</v>
      </c>
      <c r="R569" s="10">
        <f>IFERROR(SUMIFS('Base bordo CD'!Q$2:Q$875,'Base bordo CD'!D$2:D$875,A569,'Base bordo CD'!A$2:A$875,B569,'Base bordo CD'!L$2:L$875,"CORTE DE CANA MECANIZADO"),0)</f>
        <v>24346</v>
      </c>
      <c r="S569" s="30">
        <f t="shared" si="46"/>
        <v>3.8408798159861988</v>
      </c>
      <c r="T569" s="9">
        <f t="shared" si="47"/>
        <v>0.2817824074074074</v>
      </c>
      <c r="U569" s="9">
        <f t="shared" si="48"/>
        <v>3.5057870370370371E-2</v>
      </c>
      <c r="V569" s="9">
        <f t="shared" si="49"/>
        <v>0.69251157407407415</v>
      </c>
    </row>
    <row r="570" spans="1:22" x14ac:dyDescent="0.35">
      <c r="A570" s="52">
        <v>49595</v>
      </c>
      <c r="B570" s="31">
        <v>46119</v>
      </c>
      <c r="C570" s="7" t="s">
        <v>337</v>
      </c>
      <c r="D570" s="7">
        <v>353</v>
      </c>
      <c r="E570" s="10">
        <f>IFERROR(SUMIFS('Base bordo CD'!M$2:M$875,'Base bordo CD'!D$2:D$875,A570,'Base bordo CD'!A$2:A$875,B570,'Base bordo CD'!L$2:L$875,"CORTE DE CANA MECANIZADO"),0)</f>
        <v>6.762777777777778</v>
      </c>
      <c r="F570" s="10">
        <f>IFERROR(SUMIFS('Base bordo CD'!M$2:M$875,'Base bordo CD'!D$2:D$875,A570,'Base bordo CD'!A$2:A$875,B570,'Base bordo CD'!L$2:L$875,"MANOBRA"),0)</f>
        <v>0.84138888888888885</v>
      </c>
      <c r="G570" s="10">
        <f>IFERROR(SUMIFS('Base bordo CD'!M$2:M$875,'Base bordo CD'!D$2:D$875,A570,'Base bordo CD'!A$2:A$875,B570,'Base bordo CD'!L$2:L$875,"DESLOCAMENTO"),0)</f>
        <v>0.61694444444444441</v>
      </c>
      <c r="H570" s="10">
        <f>IFERROR(SUMIFS('Base bordo CD'!M$2:M$875,'Base bordo CD'!D$2:D$875,A570,'Base bordo CD'!A$2:A$875,B570,'Base bordo CD'!L$2:L$875,"AGUARDANDO MANOBRA DE TRANSBORDO"),0)+IFERROR(SUMIFS('Base bordo CD'!M$2:M$875,'Base bordo CD'!D$2:D$875,A570,'Base bordo CD'!A$2:A$875,B570,'Base bordo CD'!L$2:L$875,"FALTA DE TRANSBORDO"),0)</f>
        <v>0.56472222222222224</v>
      </c>
      <c r="I570" s="10">
        <f>IFERROR(SUMIFS('Base bordo CD'!M$2:M$875,'Base bordo CD'!D$2:D$875,A570,'Base bordo CD'!A$2:A$875,B570,'Base bordo CD'!L$2:L$875,"PARADA POR CONDICOES CLIMATICAS"),0)+IFERROR(SUMIFS('Base bordo CD'!M$2:M$875,'Base bordo CD'!D$2:D$875,A570,'Base bordo CD'!A$2:A$875,B570,'Base bordo CD'!L$2:L$875,"TEMPO INDETERMINADO"),0)</f>
        <v>14.727222222222222</v>
      </c>
      <c r="J570" s="10">
        <f>IFERROR(SUMIFS('Base bordo CD'!M$2:M$875,'Base bordo CD'!D$2:D$875,A570,'Base bordo CD'!A$2:A$875,B570,'Base bordo CD'!L$2:L$875,"LIMITAÇÃO INDÚSTRIA"),0)</f>
        <v>0</v>
      </c>
      <c r="K570" s="10">
        <f>IFERROR(SUMIFS('Base bordo CD'!M$2:M$875,'Base bordo CD'!D$2:D$875,A570,'Base bordo CD'!A$2:A$875,B570,'Base bordo CD'!L$2:L$875,"MAN CORRETIVA*"),0)+IFERROR(SUMIFS('Base bordo CD'!M$2:M$875,'Base bordo CD'!D$2:D$875,A570,'Base bordo CD'!A$2:A$875,B570,'Base bordo CD'!L$2:L$875,"AGUARDANDO MANUTENCAO*"),0)+IFERROR(SUMIFS('Base bordo CD'!M$2:M$875,'Base bordo CD'!D$2:D$875,A570,'Base bordo CD'!A$2:A$875,B570,'Base bordo CD'!L$2:L$875,"TROCA DE FAQUINHA"),0)+IFERROR(SUMIFS('Base bordo CD'!M$2:M$875,'Base bordo CD'!D$2:D$875,A570,'Base bordo CD'!A$2:A$875,B570,'Base bordo CD'!L$2:L$875,"LIMPEZA*"),0)</f>
        <v>0.4836111111111111</v>
      </c>
      <c r="L570" s="10">
        <f>IFERROR(SUMIFS('Base bordo CD'!M$2:M$875,'Base bordo CD'!D$2:D$875,A570,'Base bordo CD'!A$2:A$875,B570,'Base bordo CD'!L$2:L$875,"PATIO - RESERVA"),0)</f>
        <v>0</v>
      </c>
      <c r="M570" s="10">
        <f>IFERROR(SUMIFS('Base bordo CD'!M$2:M$875,'Base bordo CD'!D$2:D$875,A570,'Base bordo CD'!A$2:A$875,B570,'Base bordo CD'!L$2:L$875,"SEM APONTAMENTO"),0)</f>
        <v>3.3333333333333335E-3</v>
      </c>
      <c r="N570" s="10">
        <f>IFERROR(SUMIFS('Base bordo CD'!M$2:M$875,'Base bordo CD'!D$2:D$875,A570,'Base bordo CD'!A$2:A$875,B570,'Base bordo CD'!L$2:L$875,"FALTA DE CAMINHÃO"),0)+IFERROR(SUMIFS('Base bordo CD'!M$2:M$875,'Base bordo CD'!D$2:D$875,A570,'Base bordo CD'!A$2:A$875,B570,'Base bordo CD'!L$2:L$875,"FALTA DE COMBUSTIVEL"),0)+IFERROR(SUMIFS('Base bordo CD'!M$2:M$875,'Base bordo CD'!D$2:D$875,A570,'Base bordo CD'!A$2:A$875,B570,'Base bordo CD'!L$2:L$875,"FALTA DE MOTORIST*"),0)</f>
        <v>0</v>
      </c>
      <c r="O570" s="10">
        <f t="shared" si="45"/>
        <v>0</v>
      </c>
      <c r="P570" s="10">
        <f>IFERROR(SUMIFS('Base bordo CD'!M$2:M$875,'Base bordo CD'!D$2:D$875,A570,'Base bordo CD'!A$2:A$875,B570),0)</f>
        <v>24</v>
      </c>
      <c r="Q570" s="10">
        <f>IFERROR(SUMIFS('Base bordo CD'!O$2:O$875,'Base bordo CD'!D$2:D$875,A570,'Base bordo CD'!A$2:A$875,B570,'Base bordo CD'!L$2:L$875,"CORTE DE CANA MECANIZADO"),0)</f>
        <v>93510.06</v>
      </c>
      <c r="R570" s="10">
        <f>IFERROR(SUMIFS('Base bordo CD'!Q$2:Q$875,'Base bordo CD'!D$2:D$875,A570,'Base bordo CD'!A$2:A$875,B570,'Base bordo CD'!L$2:L$875,"CORTE DE CANA MECANIZADO"),0)</f>
        <v>24346</v>
      </c>
      <c r="S570" s="30">
        <f t="shared" si="46"/>
        <v>3.8408798159861988</v>
      </c>
      <c r="T570" s="9">
        <f t="shared" si="47"/>
        <v>0.2817824074074074</v>
      </c>
      <c r="U570" s="9">
        <f t="shared" si="48"/>
        <v>3.5057870370370371E-2</v>
      </c>
      <c r="V570" s="9">
        <f t="shared" si="49"/>
        <v>0.69251157407407415</v>
      </c>
    </row>
    <row r="571" spans="1:22" x14ac:dyDescent="0.35">
      <c r="A571" s="52">
        <v>49595</v>
      </c>
      <c r="B571" s="31">
        <v>46119</v>
      </c>
      <c r="C571" s="7" t="s">
        <v>337</v>
      </c>
      <c r="D571" s="7">
        <v>353</v>
      </c>
      <c r="E571" s="10">
        <f>IFERROR(SUMIFS('Base bordo CD'!M$2:M$875,'Base bordo CD'!D$2:D$875,A571,'Base bordo CD'!A$2:A$875,B571,'Base bordo CD'!L$2:L$875,"CORTE DE CANA MECANIZADO"),0)</f>
        <v>6.762777777777778</v>
      </c>
      <c r="F571" s="10">
        <f>IFERROR(SUMIFS('Base bordo CD'!M$2:M$875,'Base bordo CD'!D$2:D$875,A571,'Base bordo CD'!A$2:A$875,B571,'Base bordo CD'!L$2:L$875,"MANOBRA"),0)</f>
        <v>0.84138888888888885</v>
      </c>
      <c r="G571" s="10">
        <f>IFERROR(SUMIFS('Base bordo CD'!M$2:M$875,'Base bordo CD'!D$2:D$875,A571,'Base bordo CD'!A$2:A$875,B571,'Base bordo CD'!L$2:L$875,"DESLOCAMENTO"),0)</f>
        <v>0.61694444444444441</v>
      </c>
      <c r="H571" s="10">
        <f>IFERROR(SUMIFS('Base bordo CD'!M$2:M$875,'Base bordo CD'!D$2:D$875,A571,'Base bordo CD'!A$2:A$875,B571,'Base bordo CD'!L$2:L$875,"AGUARDANDO MANOBRA DE TRANSBORDO"),0)+IFERROR(SUMIFS('Base bordo CD'!M$2:M$875,'Base bordo CD'!D$2:D$875,A571,'Base bordo CD'!A$2:A$875,B571,'Base bordo CD'!L$2:L$875,"FALTA DE TRANSBORDO"),0)</f>
        <v>0.56472222222222224</v>
      </c>
      <c r="I571" s="10">
        <f>IFERROR(SUMIFS('Base bordo CD'!M$2:M$875,'Base bordo CD'!D$2:D$875,A571,'Base bordo CD'!A$2:A$875,B571,'Base bordo CD'!L$2:L$875,"PARADA POR CONDICOES CLIMATICAS"),0)+IFERROR(SUMIFS('Base bordo CD'!M$2:M$875,'Base bordo CD'!D$2:D$875,A571,'Base bordo CD'!A$2:A$875,B571,'Base bordo CD'!L$2:L$875,"TEMPO INDETERMINADO"),0)</f>
        <v>14.727222222222222</v>
      </c>
      <c r="J571" s="10">
        <f>IFERROR(SUMIFS('Base bordo CD'!M$2:M$875,'Base bordo CD'!D$2:D$875,A571,'Base bordo CD'!A$2:A$875,B571,'Base bordo CD'!L$2:L$875,"LIMITAÇÃO INDÚSTRIA"),0)</f>
        <v>0</v>
      </c>
      <c r="K571" s="10">
        <f>IFERROR(SUMIFS('Base bordo CD'!M$2:M$875,'Base bordo CD'!D$2:D$875,A571,'Base bordo CD'!A$2:A$875,B571,'Base bordo CD'!L$2:L$875,"MAN CORRETIVA*"),0)+IFERROR(SUMIFS('Base bordo CD'!M$2:M$875,'Base bordo CD'!D$2:D$875,A571,'Base bordo CD'!A$2:A$875,B571,'Base bordo CD'!L$2:L$875,"AGUARDANDO MANUTENCAO*"),0)+IFERROR(SUMIFS('Base bordo CD'!M$2:M$875,'Base bordo CD'!D$2:D$875,A571,'Base bordo CD'!A$2:A$875,B571,'Base bordo CD'!L$2:L$875,"TROCA DE FAQUINHA"),0)+IFERROR(SUMIFS('Base bordo CD'!M$2:M$875,'Base bordo CD'!D$2:D$875,A571,'Base bordo CD'!A$2:A$875,B571,'Base bordo CD'!L$2:L$875,"LIMPEZA*"),0)</f>
        <v>0.4836111111111111</v>
      </c>
      <c r="L571" s="10">
        <f>IFERROR(SUMIFS('Base bordo CD'!M$2:M$875,'Base bordo CD'!D$2:D$875,A571,'Base bordo CD'!A$2:A$875,B571,'Base bordo CD'!L$2:L$875,"PATIO - RESERVA"),0)</f>
        <v>0</v>
      </c>
      <c r="M571" s="10">
        <f>IFERROR(SUMIFS('Base bordo CD'!M$2:M$875,'Base bordo CD'!D$2:D$875,A571,'Base bordo CD'!A$2:A$875,B571,'Base bordo CD'!L$2:L$875,"SEM APONTAMENTO"),0)</f>
        <v>3.3333333333333335E-3</v>
      </c>
      <c r="N571" s="10">
        <f>IFERROR(SUMIFS('Base bordo CD'!M$2:M$875,'Base bordo CD'!D$2:D$875,A571,'Base bordo CD'!A$2:A$875,B571,'Base bordo CD'!L$2:L$875,"FALTA DE CAMINHÃO"),0)+IFERROR(SUMIFS('Base bordo CD'!M$2:M$875,'Base bordo CD'!D$2:D$875,A571,'Base bordo CD'!A$2:A$875,B571,'Base bordo CD'!L$2:L$875,"FALTA DE COMBUSTIVEL"),0)+IFERROR(SUMIFS('Base bordo CD'!M$2:M$875,'Base bordo CD'!D$2:D$875,A571,'Base bordo CD'!A$2:A$875,B571,'Base bordo CD'!L$2:L$875,"FALTA DE MOTORIST*"),0)</f>
        <v>0</v>
      </c>
      <c r="O571" s="10">
        <f t="shared" si="45"/>
        <v>0</v>
      </c>
      <c r="P571" s="10">
        <f>IFERROR(SUMIFS('Base bordo CD'!M$2:M$875,'Base bordo CD'!D$2:D$875,A571,'Base bordo CD'!A$2:A$875,B571),0)</f>
        <v>24</v>
      </c>
      <c r="Q571" s="10">
        <f>IFERROR(SUMIFS('Base bordo CD'!O$2:O$875,'Base bordo CD'!D$2:D$875,A571,'Base bordo CD'!A$2:A$875,B571,'Base bordo CD'!L$2:L$875,"CORTE DE CANA MECANIZADO"),0)</f>
        <v>93510.06</v>
      </c>
      <c r="R571" s="10">
        <f>IFERROR(SUMIFS('Base bordo CD'!Q$2:Q$875,'Base bordo CD'!D$2:D$875,A571,'Base bordo CD'!A$2:A$875,B571,'Base bordo CD'!L$2:L$875,"CORTE DE CANA MECANIZADO"),0)</f>
        <v>24346</v>
      </c>
      <c r="S571" s="30">
        <f t="shared" si="46"/>
        <v>3.8408798159861988</v>
      </c>
      <c r="T571" s="9">
        <f t="shared" si="47"/>
        <v>0.2817824074074074</v>
      </c>
      <c r="U571" s="9">
        <f t="shared" si="48"/>
        <v>3.5057870370370371E-2</v>
      </c>
      <c r="V571" s="9">
        <f t="shared" si="49"/>
        <v>0.69251157407407415</v>
      </c>
    </row>
    <row r="572" spans="1:22" x14ac:dyDescent="0.35">
      <c r="A572" s="52">
        <v>49595</v>
      </c>
      <c r="B572" s="31">
        <v>46119</v>
      </c>
      <c r="C572" s="7" t="s">
        <v>337</v>
      </c>
      <c r="D572" s="7">
        <v>353</v>
      </c>
      <c r="E572" s="10">
        <f>IFERROR(SUMIFS('Base bordo CD'!M$2:M$875,'Base bordo CD'!D$2:D$875,A572,'Base bordo CD'!A$2:A$875,B572,'Base bordo CD'!L$2:L$875,"CORTE DE CANA MECANIZADO"),0)</f>
        <v>6.762777777777778</v>
      </c>
      <c r="F572" s="10">
        <f>IFERROR(SUMIFS('Base bordo CD'!M$2:M$875,'Base bordo CD'!D$2:D$875,A572,'Base bordo CD'!A$2:A$875,B572,'Base bordo CD'!L$2:L$875,"MANOBRA"),0)</f>
        <v>0.84138888888888885</v>
      </c>
      <c r="G572" s="10">
        <f>IFERROR(SUMIFS('Base bordo CD'!M$2:M$875,'Base bordo CD'!D$2:D$875,A572,'Base bordo CD'!A$2:A$875,B572,'Base bordo CD'!L$2:L$875,"DESLOCAMENTO"),0)</f>
        <v>0.61694444444444441</v>
      </c>
      <c r="H572" s="10">
        <f>IFERROR(SUMIFS('Base bordo CD'!M$2:M$875,'Base bordo CD'!D$2:D$875,A572,'Base bordo CD'!A$2:A$875,B572,'Base bordo CD'!L$2:L$875,"AGUARDANDO MANOBRA DE TRANSBORDO"),0)+IFERROR(SUMIFS('Base bordo CD'!M$2:M$875,'Base bordo CD'!D$2:D$875,A572,'Base bordo CD'!A$2:A$875,B572,'Base bordo CD'!L$2:L$875,"FALTA DE TRANSBORDO"),0)</f>
        <v>0.56472222222222224</v>
      </c>
      <c r="I572" s="10">
        <f>IFERROR(SUMIFS('Base bordo CD'!M$2:M$875,'Base bordo CD'!D$2:D$875,A572,'Base bordo CD'!A$2:A$875,B572,'Base bordo CD'!L$2:L$875,"PARADA POR CONDICOES CLIMATICAS"),0)+IFERROR(SUMIFS('Base bordo CD'!M$2:M$875,'Base bordo CD'!D$2:D$875,A572,'Base bordo CD'!A$2:A$875,B572,'Base bordo CD'!L$2:L$875,"TEMPO INDETERMINADO"),0)</f>
        <v>14.727222222222222</v>
      </c>
      <c r="J572" s="10">
        <f>IFERROR(SUMIFS('Base bordo CD'!M$2:M$875,'Base bordo CD'!D$2:D$875,A572,'Base bordo CD'!A$2:A$875,B572,'Base bordo CD'!L$2:L$875,"LIMITAÇÃO INDÚSTRIA"),0)</f>
        <v>0</v>
      </c>
      <c r="K572" s="10">
        <f>IFERROR(SUMIFS('Base bordo CD'!M$2:M$875,'Base bordo CD'!D$2:D$875,A572,'Base bordo CD'!A$2:A$875,B572,'Base bordo CD'!L$2:L$875,"MAN CORRETIVA*"),0)+IFERROR(SUMIFS('Base bordo CD'!M$2:M$875,'Base bordo CD'!D$2:D$875,A572,'Base bordo CD'!A$2:A$875,B572,'Base bordo CD'!L$2:L$875,"AGUARDANDO MANUTENCAO*"),0)+IFERROR(SUMIFS('Base bordo CD'!M$2:M$875,'Base bordo CD'!D$2:D$875,A572,'Base bordo CD'!A$2:A$875,B572,'Base bordo CD'!L$2:L$875,"TROCA DE FAQUINHA"),0)+IFERROR(SUMIFS('Base bordo CD'!M$2:M$875,'Base bordo CD'!D$2:D$875,A572,'Base bordo CD'!A$2:A$875,B572,'Base bordo CD'!L$2:L$875,"LIMPEZA*"),0)</f>
        <v>0.4836111111111111</v>
      </c>
      <c r="L572" s="10">
        <f>IFERROR(SUMIFS('Base bordo CD'!M$2:M$875,'Base bordo CD'!D$2:D$875,A572,'Base bordo CD'!A$2:A$875,B572,'Base bordo CD'!L$2:L$875,"PATIO - RESERVA"),0)</f>
        <v>0</v>
      </c>
      <c r="M572" s="10">
        <f>IFERROR(SUMIFS('Base bordo CD'!M$2:M$875,'Base bordo CD'!D$2:D$875,A572,'Base bordo CD'!A$2:A$875,B572,'Base bordo CD'!L$2:L$875,"SEM APONTAMENTO"),0)</f>
        <v>3.3333333333333335E-3</v>
      </c>
      <c r="N572" s="10">
        <f>IFERROR(SUMIFS('Base bordo CD'!M$2:M$875,'Base bordo CD'!D$2:D$875,A572,'Base bordo CD'!A$2:A$875,B572,'Base bordo CD'!L$2:L$875,"FALTA DE CAMINHÃO"),0)+IFERROR(SUMIFS('Base bordo CD'!M$2:M$875,'Base bordo CD'!D$2:D$875,A572,'Base bordo CD'!A$2:A$875,B572,'Base bordo CD'!L$2:L$875,"FALTA DE COMBUSTIVEL"),0)+IFERROR(SUMIFS('Base bordo CD'!M$2:M$875,'Base bordo CD'!D$2:D$875,A572,'Base bordo CD'!A$2:A$875,B572,'Base bordo CD'!L$2:L$875,"FALTA DE MOTORIST*"),0)</f>
        <v>0</v>
      </c>
      <c r="O572" s="10">
        <f t="shared" si="45"/>
        <v>0</v>
      </c>
      <c r="P572" s="10">
        <f>IFERROR(SUMIFS('Base bordo CD'!M$2:M$875,'Base bordo CD'!D$2:D$875,A572,'Base bordo CD'!A$2:A$875,B572),0)</f>
        <v>24</v>
      </c>
      <c r="Q572" s="10">
        <f>IFERROR(SUMIFS('Base bordo CD'!O$2:O$875,'Base bordo CD'!D$2:D$875,A572,'Base bordo CD'!A$2:A$875,B572,'Base bordo CD'!L$2:L$875,"CORTE DE CANA MECANIZADO"),0)</f>
        <v>93510.06</v>
      </c>
      <c r="R572" s="10">
        <f>IFERROR(SUMIFS('Base bordo CD'!Q$2:Q$875,'Base bordo CD'!D$2:D$875,A572,'Base bordo CD'!A$2:A$875,B572,'Base bordo CD'!L$2:L$875,"CORTE DE CANA MECANIZADO"),0)</f>
        <v>24346</v>
      </c>
      <c r="S572" s="30">
        <f t="shared" si="46"/>
        <v>3.8408798159861988</v>
      </c>
      <c r="T572" s="9">
        <f t="shared" si="47"/>
        <v>0.2817824074074074</v>
      </c>
      <c r="U572" s="9">
        <f t="shared" si="48"/>
        <v>3.5057870370370371E-2</v>
      </c>
      <c r="V572" s="9">
        <f t="shared" si="49"/>
        <v>0.69251157407407415</v>
      </c>
    </row>
    <row r="573" spans="1:22" x14ac:dyDescent="0.35">
      <c r="A573" s="52">
        <v>49595</v>
      </c>
      <c r="B573" s="31">
        <v>46119</v>
      </c>
      <c r="C573" s="7" t="s">
        <v>337</v>
      </c>
      <c r="D573" s="7">
        <v>353</v>
      </c>
      <c r="E573" s="10">
        <f>IFERROR(SUMIFS('Base bordo CD'!M$2:M$875,'Base bordo CD'!D$2:D$875,A573,'Base bordo CD'!A$2:A$875,B573,'Base bordo CD'!L$2:L$875,"CORTE DE CANA MECANIZADO"),0)</f>
        <v>6.762777777777778</v>
      </c>
      <c r="F573" s="10">
        <f>IFERROR(SUMIFS('Base bordo CD'!M$2:M$875,'Base bordo CD'!D$2:D$875,A573,'Base bordo CD'!A$2:A$875,B573,'Base bordo CD'!L$2:L$875,"MANOBRA"),0)</f>
        <v>0.84138888888888885</v>
      </c>
      <c r="G573" s="10">
        <f>IFERROR(SUMIFS('Base bordo CD'!M$2:M$875,'Base bordo CD'!D$2:D$875,A573,'Base bordo CD'!A$2:A$875,B573,'Base bordo CD'!L$2:L$875,"DESLOCAMENTO"),0)</f>
        <v>0.61694444444444441</v>
      </c>
      <c r="H573" s="10">
        <f>IFERROR(SUMIFS('Base bordo CD'!M$2:M$875,'Base bordo CD'!D$2:D$875,A573,'Base bordo CD'!A$2:A$875,B573,'Base bordo CD'!L$2:L$875,"AGUARDANDO MANOBRA DE TRANSBORDO"),0)+IFERROR(SUMIFS('Base bordo CD'!M$2:M$875,'Base bordo CD'!D$2:D$875,A573,'Base bordo CD'!A$2:A$875,B573,'Base bordo CD'!L$2:L$875,"FALTA DE TRANSBORDO"),0)</f>
        <v>0.56472222222222224</v>
      </c>
      <c r="I573" s="10">
        <f>IFERROR(SUMIFS('Base bordo CD'!M$2:M$875,'Base bordo CD'!D$2:D$875,A573,'Base bordo CD'!A$2:A$875,B573,'Base bordo CD'!L$2:L$875,"PARADA POR CONDICOES CLIMATICAS"),0)+IFERROR(SUMIFS('Base bordo CD'!M$2:M$875,'Base bordo CD'!D$2:D$875,A573,'Base bordo CD'!A$2:A$875,B573,'Base bordo CD'!L$2:L$875,"TEMPO INDETERMINADO"),0)</f>
        <v>14.727222222222222</v>
      </c>
      <c r="J573" s="10">
        <f>IFERROR(SUMIFS('Base bordo CD'!M$2:M$875,'Base bordo CD'!D$2:D$875,A573,'Base bordo CD'!A$2:A$875,B573,'Base bordo CD'!L$2:L$875,"LIMITAÇÃO INDÚSTRIA"),0)</f>
        <v>0</v>
      </c>
      <c r="K573" s="10">
        <f>IFERROR(SUMIFS('Base bordo CD'!M$2:M$875,'Base bordo CD'!D$2:D$875,A573,'Base bordo CD'!A$2:A$875,B573,'Base bordo CD'!L$2:L$875,"MAN CORRETIVA*"),0)+IFERROR(SUMIFS('Base bordo CD'!M$2:M$875,'Base bordo CD'!D$2:D$875,A573,'Base bordo CD'!A$2:A$875,B573,'Base bordo CD'!L$2:L$875,"AGUARDANDO MANUTENCAO*"),0)+IFERROR(SUMIFS('Base bordo CD'!M$2:M$875,'Base bordo CD'!D$2:D$875,A573,'Base bordo CD'!A$2:A$875,B573,'Base bordo CD'!L$2:L$875,"TROCA DE FAQUINHA"),0)+IFERROR(SUMIFS('Base bordo CD'!M$2:M$875,'Base bordo CD'!D$2:D$875,A573,'Base bordo CD'!A$2:A$875,B573,'Base bordo CD'!L$2:L$875,"LIMPEZA*"),0)</f>
        <v>0.4836111111111111</v>
      </c>
      <c r="L573" s="10">
        <f>IFERROR(SUMIFS('Base bordo CD'!M$2:M$875,'Base bordo CD'!D$2:D$875,A573,'Base bordo CD'!A$2:A$875,B573,'Base bordo CD'!L$2:L$875,"PATIO - RESERVA"),0)</f>
        <v>0</v>
      </c>
      <c r="M573" s="10">
        <f>IFERROR(SUMIFS('Base bordo CD'!M$2:M$875,'Base bordo CD'!D$2:D$875,A573,'Base bordo CD'!A$2:A$875,B573,'Base bordo CD'!L$2:L$875,"SEM APONTAMENTO"),0)</f>
        <v>3.3333333333333335E-3</v>
      </c>
      <c r="N573" s="10">
        <f>IFERROR(SUMIFS('Base bordo CD'!M$2:M$875,'Base bordo CD'!D$2:D$875,A573,'Base bordo CD'!A$2:A$875,B573,'Base bordo CD'!L$2:L$875,"FALTA DE CAMINHÃO"),0)+IFERROR(SUMIFS('Base bordo CD'!M$2:M$875,'Base bordo CD'!D$2:D$875,A573,'Base bordo CD'!A$2:A$875,B573,'Base bordo CD'!L$2:L$875,"FALTA DE COMBUSTIVEL"),0)+IFERROR(SUMIFS('Base bordo CD'!M$2:M$875,'Base bordo CD'!D$2:D$875,A573,'Base bordo CD'!A$2:A$875,B573,'Base bordo CD'!L$2:L$875,"FALTA DE MOTORIST*"),0)</f>
        <v>0</v>
      </c>
      <c r="O573" s="10">
        <f t="shared" si="45"/>
        <v>0</v>
      </c>
      <c r="P573" s="10">
        <f>IFERROR(SUMIFS('Base bordo CD'!M$2:M$875,'Base bordo CD'!D$2:D$875,A573,'Base bordo CD'!A$2:A$875,B573),0)</f>
        <v>24</v>
      </c>
      <c r="Q573" s="10">
        <f>IFERROR(SUMIFS('Base bordo CD'!O$2:O$875,'Base bordo CD'!D$2:D$875,A573,'Base bordo CD'!A$2:A$875,B573,'Base bordo CD'!L$2:L$875,"CORTE DE CANA MECANIZADO"),0)</f>
        <v>93510.06</v>
      </c>
      <c r="R573" s="10">
        <f>IFERROR(SUMIFS('Base bordo CD'!Q$2:Q$875,'Base bordo CD'!D$2:D$875,A573,'Base bordo CD'!A$2:A$875,B573,'Base bordo CD'!L$2:L$875,"CORTE DE CANA MECANIZADO"),0)</f>
        <v>24346</v>
      </c>
      <c r="S573" s="30">
        <f t="shared" si="46"/>
        <v>3.8408798159861988</v>
      </c>
      <c r="T573" s="9">
        <f t="shared" si="47"/>
        <v>0.2817824074074074</v>
      </c>
      <c r="U573" s="9">
        <f t="shared" si="48"/>
        <v>3.5057870370370371E-2</v>
      </c>
      <c r="V573" s="9">
        <f t="shared" si="49"/>
        <v>0.69251157407407415</v>
      </c>
    </row>
    <row r="574" spans="1:22" x14ac:dyDescent="0.35">
      <c r="A574" s="52">
        <v>49595</v>
      </c>
      <c r="B574" s="31">
        <v>46119</v>
      </c>
      <c r="C574" s="7" t="s">
        <v>337</v>
      </c>
      <c r="D574" s="7">
        <v>353</v>
      </c>
      <c r="E574" s="10">
        <f>IFERROR(SUMIFS('Base bordo CD'!M$2:M$875,'Base bordo CD'!D$2:D$875,A574,'Base bordo CD'!A$2:A$875,B574,'Base bordo CD'!L$2:L$875,"CORTE DE CANA MECANIZADO"),0)</f>
        <v>6.762777777777778</v>
      </c>
      <c r="F574" s="10">
        <f>IFERROR(SUMIFS('Base bordo CD'!M$2:M$875,'Base bordo CD'!D$2:D$875,A574,'Base bordo CD'!A$2:A$875,B574,'Base bordo CD'!L$2:L$875,"MANOBRA"),0)</f>
        <v>0.84138888888888885</v>
      </c>
      <c r="G574" s="10">
        <f>IFERROR(SUMIFS('Base bordo CD'!M$2:M$875,'Base bordo CD'!D$2:D$875,A574,'Base bordo CD'!A$2:A$875,B574,'Base bordo CD'!L$2:L$875,"DESLOCAMENTO"),0)</f>
        <v>0.61694444444444441</v>
      </c>
      <c r="H574" s="10">
        <f>IFERROR(SUMIFS('Base bordo CD'!M$2:M$875,'Base bordo CD'!D$2:D$875,A574,'Base bordo CD'!A$2:A$875,B574,'Base bordo CD'!L$2:L$875,"AGUARDANDO MANOBRA DE TRANSBORDO"),0)+IFERROR(SUMIFS('Base bordo CD'!M$2:M$875,'Base bordo CD'!D$2:D$875,A574,'Base bordo CD'!A$2:A$875,B574,'Base bordo CD'!L$2:L$875,"FALTA DE TRANSBORDO"),0)</f>
        <v>0.56472222222222224</v>
      </c>
      <c r="I574" s="10">
        <f>IFERROR(SUMIFS('Base bordo CD'!M$2:M$875,'Base bordo CD'!D$2:D$875,A574,'Base bordo CD'!A$2:A$875,B574,'Base bordo CD'!L$2:L$875,"PARADA POR CONDICOES CLIMATICAS"),0)+IFERROR(SUMIFS('Base bordo CD'!M$2:M$875,'Base bordo CD'!D$2:D$875,A574,'Base bordo CD'!A$2:A$875,B574,'Base bordo CD'!L$2:L$875,"TEMPO INDETERMINADO"),0)</f>
        <v>14.727222222222222</v>
      </c>
      <c r="J574" s="10">
        <f>IFERROR(SUMIFS('Base bordo CD'!M$2:M$875,'Base bordo CD'!D$2:D$875,A574,'Base bordo CD'!A$2:A$875,B574,'Base bordo CD'!L$2:L$875,"LIMITAÇÃO INDÚSTRIA"),0)</f>
        <v>0</v>
      </c>
      <c r="K574" s="10">
        <f>IFERROR(SUMIFS('Base bordo CD'!M$2:M$875,'Base bordo CD'!D$2:D$875,A574,'Base bordo CD'!A$2:A$875,B574,'Base bordo CD'!L$2:L$875,"MAN CORRETIVA*"),0)+IFERROR(SUMIFS('Base bordo CD'!M$2:M$875,'Base bordo CD'!D$2:D$875,A574,'Base bordo CD'!A$2:A$875,B574,'Base bordo CD'!L$2:L$875,"AGUARDANDO MANUTENCAO*"),0)+IFERROR(SUMIFS('Base bordo CD'!M$2:M$875,'Base bordo CD'!D$2:D$875,A574,'Base bordo CD'!A$2:A$875,B574,'Base bordo CD'!L$2:L$875,"TROCA DE FAQUINHA"),0)+IFERROR(SUMIFS('Base bordo CD'!M$2:M$875,'Base bordo CD'!D$2:D$875,A574,'Base bordo CD'!A$2:A$875,B574,'Base bordo CD'!L$2:L$875,"LIMPEZA*"),0)</f>
        <v>0.4836111111111111</v>
      </c>
      <c r="L574" s="10">
        <f>IFERROR(SUMIFS('Base bordo CD'!M$2:M$875,'Base bordo CD'!D$2:D$875,A574,'Base bordo CD'!A$2:A$875,B574,'Base bordo CD'!L$2:L$875,"PATIO - RESERVA"),0)</f>
        <v>0</v>
      </c>
      <c r="M574" s="10">
        <f>IFERROR(SUMIFS('Base bordo CD'!M$2:M$875,'Base bordo CD'!D$2:D$875,A574,'Base bordo CD'!A$2:A$875,B574,'Base bordo CD'!L$2:L$875,"SEM APONTAMENTO"),0)</f>
        <v>3.3333333333333335E-3</v>
      </c>
      <c r="N574" s="10">
        <f>IFERROR(SUMIFS('Base bordo CD'!M$2:M$875,'Base bordo CD'!D$2:D$875,A574,'Base bordo CD'!A$2:A$875,B574,'Base bordo CD'!L$2:L$875,"FALTA DE CAMINHÃO"),0)+IFERROR(SUMIFS('Base bordo CD'!M$2:M$875,'Base bordo CD'!D$2:D$875,A574,'Base bordo CD'!A$2:A$875,B574,'Base bordo CD'!L$2:L$875,"FALTA DE COMBUSTIVEL"),0)+IFERROR(SUMIFS('Base bordo CD'!M$2:M$875,'Base bordo CD'!D$2:D$875,A574,'Base bordo CD'!A$2:A$875,B574,'Base bordo CD'!L$2:L$875,"FALTA DE MOTORIST*"),0)</f>
        <v>0</v>
      </c>
      <c r="O574" s="10">
        <f t="shared" ref="O574:O637" si="50">IFERROR(P574-SUM(E574:N574),0)</f>
        <v>0</v>
      </c>
      <c r="P574" s="10">
        <f>IFERROR(SUMIFS('Base bordo CD'!M$2:M$875,'Base bordo CD'!D$2:D$875,A574,'Base bordo CD'!A$2:A$875,B574),0)</f>
        <v>24</v>
      </c>
      <c r="Q574" s="10">
        <f>IFERROR(SUMIFS('Base bordo CD'!O$2:O$875,'Base bordo CD'!D$2:D$875,A574,'Base bordo CD'!A$2:A$875,B574,'Base bordo CD'!L$2:L$875,"CORTE DE CANA MECANIZADO"),0)</f>
        <v>93510.06</v>
      </c>
      <c r="R574" s="10">
        <f>IFERROR(SUMIFS('Base bordo CD'!Q$2:Q$875,'Base bordo CD'!D$2:D$875,A574,'Base bordo CD'!A$2:A$875,B574,'Base bordo CD'!L$2:L$875,"CORTE DE CANA MECANIZADO"),0)</f>
        <v>24346</v>
      </c>
      <c r="S574" s="30">
        <f t="shared" ref="S574:S637" si="51">IFERROR(Q574/R574,"")</f>
        <v>3.8408798159861988</v>
      </c>
      <c r="T574" s="9">
        <f t="shared" ref="T574:T637" si="52">IFERROR(E574/P574,0)</f>
        <v>0.2817824074074074</v>
      </c>
      <c r="U574" s="9">
        <f t="shared" ref="U574:U637" si="53">IFERROR(F574/P574,0)</f>
        <v>3.5057870370370371E-2</v>
      </c>
      <c r="V574" s="9">
        <f t="shared" ref="V574:V637" si="54">IFERROR(1-(E574+G574)/P574,0)</f>
        <v>0.69251157407407415</v>
      </c>
    </row>
    <row r="575" spans="1:22" x14ac:dyDescent="0.35">
      <c r="A575" s="52">
        <v>49595</v>
      </c>
      <c r="B575" s="31">
        <v>46119</v>
      </c>
      <c r="C575" s="7" t="s">
        <v>337</v>
      </c>
      <c r="D575" s="7">
        <v>353</v>
      </c>
      <c r="E575" s="10">
        <f>IFERROR(SUMIFS('Base bordo CD'!M$2:M$875,'Base bordo CD'!D$2:D$875,A575,'Base bordo CD'!A$2:A$875,B575,'Base bordo CD'!L$2:L$875,"CORTE DE CANA MECANIZADO"),0)</f>
        <v>6.762777777777778</v>
      </c>
      <c r="F575" s="10">
        <f>IFERROR(SUMIFS('Base bordo CD'!M$2:M$875,'Base bordo CD'!D$2:D$875,A575,'Base bordo CD'!A$2:A$875,B575,'Base bordo CD'!L$2:L$875,"MANOBRA"),0)</f>
        <v>0.84138888888888885</v>
      </c>
      <c r="G575" s="10">
        <f>IFERROR(SUMIFS('Base bordo CD'!M$2:M$875,'Base bordo CD'!D$2:D$875,A575,'Base bordo CD'!A$2:A$875,B575,'Base bordo CD'!L$2:L$875,"DESLOCAMENTO"),0)</f>
        <v>0.61694444444444441</v>
      </c>
      <c r="H575" s="10">
        <f>IFERROR(SUMIFS('Base bordo CD'!M$2:M$875,'Base bordo CD'!D$2:D$875,A575,'Base bordo CD'!A$2:A$875,B575,'Base bordo CD'!L$2:L$875,"AGUARDANDO MANOBRA DE TRANSBORDO"),0)+IFERROR(SUMIFS('Base bordo CD'!M$2:M$875,'Base bordo CD'!D$2:D$875,A575,'Base bordo CD'!A$2:A$875,B575,'Base bordo CD'!L$2:L$875,"FALTA DE TRANSBORDO"),0)</f>
        <v>0.56472222222222224</v>
      </c>
      <c r="I575" s="10">
        <f>IFERROR(SUMIFS('Base bordo CD'!M$2:M$875,'Base bordo CD'!D$2:D$875,A575,'Base bordo CD'!A$2:A$875,B575,'Base bordo CD'!L$2:L$875,"PARADA POR CONDICOES CLIMATICAS"),0)+IFERROR(SUMIFS('Base bordo CD'!M$2:M$875,'Base bordo CD'!D$2:D$875,A575,'Base bordo CD'!A$2:A$875,B575,'Base bordo CD'!L$2:L$875,"TEMPO INDETERMINADO"),0)</f>
        <v>14.727222222222222</v>
      </c>
      <c r="J575" s="10">
        <f>IFERROR(SUMIFS('Base bordo CD'!M$2:M$875,'Base bordo CD'!D$2:D$875,A575,'Base bordo CD'!A$2:A$875,B575,'Base bordo CD'!L$2:L$875,"LIMITAÇÃO INDÚSTRIA"),0)</f>
        <v>0</v>
      </c>
      <c r="K575" s="10">
        <f>IFERROR(SUMIFS('Base bordo CD'!M$2:M$875,'Base bordo CD'!D$2:D$875,A575,'Base bordo CD'!A$2:A$875,B575,'Base bordo CD'!L$2:L$875,"MAN CORRETIVA*"),0)+IFERROR(SUMIFS('Base bordo CD'!M$2:M$875,'Base bordo CD'!D$2:D$875,A575,'Base bordo CD'!A$2:A$875,B575,'Base bordo CD'!L$2:L$875,"AGUARDANDO MANUTENCAO*"),0)+IFERROR(SUMIFS('Base bordo CD'!M$2:M$875,'Base bordo CD'!D$2:D$875,A575,'Base bordo CD'!A$2:A$875,B575,'Base bordo CD'!L$2:L$875,"TROCA DE FAQUINHA"),0)+IFERROR(SUMIFS('Base bordo CD'!M$2:M$875,'Base bordo CD'!D$2:D$875,A575,'Base bordo CD'!A$2:A$875,B575,'Base bordo CD'!L$2:L$875,"LIMPEZA*"),0)</f>
        <v>0.4836111111111111</v>
      </c>
      <c r="L575" s="10">
        <f>IFERROR(SUMIFS('Base bordo CD'!M$2:M$875,'Base bordo CD'!D$2:D$875,A575,'Base bordo CD'!A$2:A$875,B575,'Base bordo CD'!L$2:L$875,"PATIO - RESERVA"),0)</f>
        <v>0</v>
      </c>
      <c r="M575" s="10">
        <f>IFERROR(SUMIFS('Base bordo CD'!M$2:M$875,'Base bordo CD'!D$2:D$875,A575,'Base bordo CD'!A$2:A$875,B575,'Base bordo CD'!L$2:L$875,"SEM APONTAMENTO"),0)</f>
        <v>3.3333333333333335E-3</v>
      </c>
      <c r="N575" s="10">
        <f>IFERROR(SUMIFS('Base bordo CD'!M$2:M$875,'Base bordo CD'!D$2:D$875,A575,'Base bordo CD'!A$2:A$875,B575,'Base bordo CD'!L$2:L$875,"FALTA DE CAMINHÃO"),0)+IFERROR(SUMIFS('Base bordo CD'!M$2:M$875,'Base bordo CD'!D$2:D$875,A575,'Base bordo CD'!A$2:A$875,B575,'Base bordo CD'!L$2:L$875,"FALTA DE COMBUSTIVEL"),0)+IFERROR(SUMIFS('Base bordo CD'!M$2:M$875,'Base bordo CD'!D$2:D$875,A575,'Base bordo CD'!A$2:A$875,B575,'Base bordo CD'!L$2:L$875,"FALTA DE MOTORIST*"),0)</f>
        <v>0</v>
      </c>
      <c r="O575" s="10">
        <f t="shared" si="50"/>
        <v>0</v>
      </c>
      <c r="P575" s="10">
        <f>IFERROR(SUMIFS('Base bordo CD'!M$2:M$875,'Base bordo CD'!D$2:D$875,A575,'Base bordo CD'!A$2:A$875,B575),0)</f>
        <v>24</v>
      </c>
      <c r="Q575" s="10">
        <f>IFERROR(SUMIFS('Base bordo CD'!O$2:O$875,'Base bordo CD'!D$2:D$875,A575,'Base bordo CD'!A$2:A$875,B575,'Base bordo CD'!L$2:L$875,"CORTE DE CANA MECANIZADO"),0)</f>
        <v>93510.06</v>
      </c>
      <c r="R575" s="10">
        <f>IFERROR(SUMIFS('Base bordo CD'!Q$2:Q$875,'Base bordo CD'!D$2:D$875,A575,'Base bordo CD'!A$2:A$875,B575,'Base bordo CD'!L$2:L$875,"CORTE DE CANA MECANIZADO"),0)</f>
        <v>24346</v>
      </c>
      <c r="S575" s="30">
        <f t="shared" si="51"/>
        <v>3.8408798159861988</v>
      </c>
      <c r="T575" s="9">
        <f t="shared" si="52"/>
        <v>0.2817824074074074</v>
      </c>
      <c r="U575" s="9">
        <f t="shared" si="53"/>
        <v>3.5057870370370371E-2</v>
      </c>
      <c r="V575" s="9">
        <f t="shared" si="54"/>
        <v>0.69251157407407415</v>
      </c>
    </row>
    <row r="576" spans="1:22" x14ac:dyDescent="0.35">
      <c r="A576" s="52">
        <v>49596</v>
      </c>
      <c r="B576" s="31">
        <v>46119</v>
      </c>
      <c r="C576" s="7" t="s">
        <v>337</v>
      </c>
      <c r="D576" s="7">
        <v>353</v>
      </c>
      <c r="E576" s="10">
        <f>IFERROR(SUMIFS('Base bordo CD'!M$2:M$875,'Base bordo CD'!D$2:D$875,A576,'Base bordo CD'!A$2:A$875,B576,'Base bordo CD'!L$2:L$875,"CORTE DE CANA MECANIZADO"),0)</f>
        <v>4.1094444444444438</v>
      </c>
      <c r="F576" s="10">
        <f>IFERROR(SUMIFS('Base bordo CD'!M$2:M$875,'Base bordo CD'!D$2:D$875,A576,'Base bordo CD'!A$2:A$875,B576,'Base bordo CD'!L$2:L$875,"MANOBRA"),0)</f>
        <v>1.716388888888889</v>
      </c>
      <c r="G576" s="10">
        <f>IFERROR(SUMIFS('Base bordo CD'!M$2:M$875,'Base bordo CD'!D$2:D$875,A576,'Base bordo CD'!A$2:A$875,B576,'Base bordo CD'!L$2:L$875,"DESLOCAMENTO"),0)</f>
        <v>0.50583333333333336</v>
      </c>
      <c r="H576" s="10">
        <f>IFERROR(SUMIFS('Base bordo CD'!M$2:M$875,'Base bordo CD'!D$2:D$875,A576,'Base bordo CD'!A$2:A$875,B576,'Base bordo CD'!L$2:L$875,"AGUARDANDO MANOBRA DE TRANSBORDO"),0)+IFERROR(SUMIFS('Base bordo CD'!M$2:M$875,'Base bordo CD'!D$2:D$875,A576,'Base bordo CD'!A$2:A$875,B576,'Base bordo CD'!L$2:L$875,"FALTA DE TRANSBORDO"),0)</f>
        <v>0.48555555555555557</v>
      </c>
      <c r="I576" s="10">
        <f>IFERROR(SUMIFS('Base bordo CD'!M$2:M$875,'Base bordo CD'!D$2:D$875,A576,'Base bordo CD'!A$2:A$875,B576,'Base bordo CD'!L$2:L$875,"PARADA POR CONDICOES CLIMATICAS"),0)+IFERROR(SUMIFS('Base bordo CD'!M$2:M$875,'Base bordo CD'!D$2:D$875,A576,'Base bordo CD'!A$2:A$875,B576,'Base bordo CD'!L$2:L$875,"TEMPO INDETERMINADO"),0)</f>
        <v>15.052222222222222</v>
      </c>
      <c r="J576" s="10">
        <f>IFERROR(SUMIFS('Base bordo CD'!M$2:M$875,'Base bordo CD'!D$2:D$875,A576,'Base bordo CD'!A$2:A$875,B576,'Base bordo CD'!L$2:L$875,"LIMITAÇÃO INDÚSTRIA"),0)</f>
        <v>0</v>
      </c>
      <c r="K576" s="10">
        <f>IFERROR(SUMIFS('Base bordo CD'!M$2:M$875,'Base bordo CD'!D$2:D$875,A576,'Base bordo CD'!A$2:A$875,B576,'Base bordo CD'!L$2:L$875,"MAN CORRETIVA*"),0)+IFERROR(SUMIFS('Base bordo CD'!M$2:M$875,'Base bordo CD'!D$2:D$875,A576,'Base bordo CD'!A$2:A$875,B576,'Base bordo CD'!L$2:L$875,"AGUARDANDO MANUTENCAO*"),0)+IFERROR(SUMIFS('Base bordo CD'!M$2:M$875,'Base bordo CD'!D$2:D$875,A576,'Base bordo CD'!A$2:A$875,B576,'Base bordo CD'!L$2:L$875,"TROCA DE FAQUINHA"),0)+IFERROR(SUMIFS('Base bordo CD'!M$2:M$875,'Base bordo CD'!D$2:D$875,A576,'Base bordo CD'!A$2:A$875,B576,'Base bordo CD'!L$2:L$875,"LIMPEZA*"),0)</f>
        <v>2.02</v>
      </c>
      <c r="L576" s="10">
        <f>IFERROR(SUMIFS('Base bordo CD'!M$2:M$875,'Base bordo CD'!D$2:D$875,A576,'Base bordo CD'!A$2:A$875,B576,'Base bordo CD'!L$2:L$875,"PATIO - RESERVA"),0)</f>
        <v>0</v>
      </c>
      <c r="M576" s="10">
        <f>IFERROR(SUMIFS('Base bordo CD'!M$2:M$875,'Base bordo CD'!D$2:D$875,A576,'Base bordo CD'!A$2:A$875,B576,'Base bordo CD'!L$2:L$875,"SEM APONTAMENTO"),0)</f>
        <v>4.4444444444444444E-3</v>
      </c>
      <c r="N576" s="10">
        <f>IFERROR(SUMIFS('Base bordo CD'!M$2:M$875,'Base bordo CD'!D$2:D$875,A576,'Base bordo CD'!A$2:A$875,B576,'Base bordo CD'!L$2:L$875,"FALTA DE CAMINHÃO"),0)+IFERROR(SUMIFS('Base bordo CD'!M$2:M$875,'Base bordo CD'!D$2:D$875,A576,'Base bordo CD'!A$2:A$875,B576,'Base bordo CD'!L$2:L$875,"FALTA DE COMBUSTIVEL"),0)+IFERROR(SUMIFS('Base bordo CD'!M$2:M$875,'Base bordo CD'!D$2:D$875,A576,'Base bordo CD'!A$2:A$875,B576,'Base bordo CD'!L$2:L$875,"FALTA DE MOTORIST*"),0)</f>
        <v>0</v>
      </c>
      <c r="O576" s="10">
        <f t="shared" si="50"/>
        <v>0.10611111111111526</v>
      </c>
      <c r="P576" s="10">
        <f>IFERROR(SUMIFS('Base bordo CD'!M$2:M$875,'Base bordo CD'!D$2:D$875,A576,'Base bordo CD'!A$2:A$875,B576),0)</f>
        <v>24.000000000000004</v>
      </c>
      <c r="Q576" s="10">
        <f>IFERROR(SUMIFS('Base bordo CD'!O$2:O$875,'Base bordo CD'!D$2:D$875,A576,'Base bordo CD'!A$2:A$875,B576,'Base bordo CD'!L$2:L$875,"CORTE DE CANA MECANIZADO"),0)</f>
        <v>55289.72</v>
      </c>
      <c r="R576" s="10">
        <f>IFERROR(SUMIFS('Base bordo CD'!Q$2:Q$875,'Base bordo CD'!D$2:D$875,A576,'Base bordo CD'!A$2:A$875,B576,'Base bordo CD'!L$2:L$875,"CORTE DE CANA MECANIZADO"),0)</f>
        <v>14793</v>
      </c>
      <c r="S576" s="30">
        <f t="shared" si="51"/>
        <v>3.7375596565943354</v>
      </c>
      <c r="T576" s="9">
        <f t="shared" si="52"/>
        <v>0.1712268518518518</v>
      </c>
      <c r="U576" s="9">
        <f t="shared" si="53"/>
        <v>7.1516203703703693E-2</v>
      </c>
      <c r="V576" s="9">
        <f t="shared" si="54"/>
        <v>0.80769675925925932</v>
      </c>
    </row>
    <row r="577" spans="1:22" x14ac:dyDescent="0.35">
      <c r="A577" s="52">
        <v>49596</v>
      </c>
      <c r="B577" s="31">
        <v>46119</v>
      </c>
      <c r="C577" s="7" t="s">
        <v>337</v>
      </c>
      <c r="D577" s="7">
        <v>353</v>
      </c>
      <c r="E577" s="10">
        <f>IFERROR(SUMIFS('Base bordo CD'!M$2:M$875,'Base bordo CD'!D$2:D$875,A577,'Base bordo CD'!A$2:A$875,B577,'Base bordo CD'!L$2:L$875,"CORTE DE CANA MECANIZADO"),0)</f>
        <v>4.1094444444444438</v>
      </c>
      <c r="F577" s="10">
        <f>IFERROR(SUMIFS('Base bordo CD'!M$2:M$875,'Base bordo CD'!D$2:D$875,A577,'Base bordo CD'!A$2:A$875,B577,'Base bordo CD'!L$2:L$875,"MANOBRA"),0)</f>
        <v>1.716388888888889</v>
      </c>
      <c r="G577" s="10">
        <f>IFERROR(SUMIFS('Base bordo CD'!M$2:M$875,'Base bordo CD'!D$2:D$875,A577,'Base bordo CD'!A$2:A$875,B577,'Base bordo CD'!L$2:L$875,"DESLOCAMENTO"),0)</f>
        <v>0.50583333333333336</v>
      </c>
      <c r="H577" s="10">
        <f>IFERROR(SUMIFS('Base bordo CD'!M$2:M$875,'Base bordo CD'!D$2:D$875,A577,'Base bordo CD'!A$2:A$875,B577,'Base bordo CD'!L$2:L$875,"AGUARDANDO MANOBRA DE TRANSBORDO"),0)+IFERROR(SUMIFS('Base bordo CD'!M$2:M$875,'Base bordo CD'!D$2:D$875,A577,'Base bordo CD'!A$2:A$875,B577,'Base bordo CD'!L$2:L$875,"FALTA DE TRANSBORDO"),0)</f>
        <v>0.48555555555555557</v>
      </c>
      <c r="I577" s="10">
        <f>IFERROR(SUMIFS('Base bordo CD'!M$2:M$875,'Base bordo CD'!D$2:D$875,A577,'Base bordo CD'!A$2:A$875,B577,'Base bordo CD'!L$2:L$875,"PARADA POR CONDICOES CLIMATICAS"),0)+IFERROR(SUMIFS('Base bordo CD'!M$2:M$875,'Base bordo CD'!D$2:D$875,A577,'Base bordo CD'!A$2:A$875,B577,'Base bordo CD'!L$2:L$875,"TEMPO INDETERMINADO"),0)</f>
        <v>15.052222222222222</v>
      </c>
      <c r="J577" s="10">
        <f>IFERROR(SUMIFS('Base bordo CD'!M$2:M$875,'Base bordo CD'!D$2:D$875,A577,'Base bordo CD'!A$2:A$875,B577,'Base bordo CD'!L$2:L$875,"LIMITAÇÃO INDÚSTRIA"),0)</f>
        <v>0</v>
      </c>
      <c r="K577" s="10">
        <f>IFERROR(SUMIFS('Base bordo CD'!M$2:M$875,'Base bordo CD'!D$2:D$875,A577,'Base bordo CD'!A$2:A$875,B577,'Base bordo CD'!L$2:L$875,"MAN CORRETIVA*"),0)+IFERROR(SUMIFS('Base bordo CD'!M$2:M$875,'Base bordo CD'!D$2:D$875,A577,'Base bordo CD'!A$2:A$875,B577,'Base bordo CD'!L$2:L$875,"AGUARDANDO MANUTENCAO*"),0)+IFERROR(SUMIFS('Base bordo CD'!M$2:M$875,'Base bordo CD'!D$2:D$875,A577,'Base bordo CD'!A$2:A$875,B577,'Base bordo CD'!L$2:L$875,"TROCA DE FAQUINHA"),0)+IFERROR(SUMIFS('Base bordo CD'!M$2:M$875,'Base bordo CD'!D$2:D$875,A577,'Base bordo CD'!A$2:A$875,B577,'Base bordo CD'!L$2:L$875,"LIMPEZA*"),0)</f>
        <v>2.02</v>
      </c>
      <c r="L577" s="10">
        <f>IFERROR(SUMIFS('Base bordo CD'!M$2:M$875,'Base bordo CD'!D$2:D$875,A577,'Base bordo CD'!A$2:A$875,B577,'Base bordo CD'!L$2:L$875,"PATIO - RESERVA"),0)</f>
        <v>0</v>
      </c>
      <c r="M577" s="10">
        <f>IFERROR(SUMIFS('Base bordo CD'!M$2:M$875,'Base bordo CD'!D$2:D$875,A577,'Base bordo CD'!A$2:A$875,B577,'Base bordo CD'!L$2:L$875,"SEM APONTAMENTO"),0)</f>
        <v>4.4444444444444444E-3</v>
      </c>
      <c r="N577" s="10">
        <f>IFERROR(SUMIFS('Base bordo CD'!M$2:M$875,'Base bordo CD'!D$2:D$875,A577,'Base bordo CD'!A$2:A$875,B577,'Base bordo CD'!L$2:L$875,"FALTA DE CAMINHÃO"),0)+IFERROR(SUMIFS('Base bordo CD'!M$2:M$875,'Base bordo CD'!D$2:D$875,A577,'Base bordo CD'!A$2:A$875,B577,'Base bordo CD'!L$2:L$875,"FALTA DE COMBUSTIVEL"),0)+IFERROR(SUMIFS('Base bordo CD'!M$2:M$875,'Base bordo CD'!D$2:D$875,A577,'Base bordo CD'!A$2:A$875,B577,'Base bordo CD'!L$2:L$875,"FALTA DE MOTORIST*"),0)</f>
        <v>0</v>
      </c>
      <c r="O577" s="10">
        <f t="shared" si="50"/>
        <v>0.10611111111111526</v>
      </c>
      <c r="P577" s="10">
        <f>IFERROR(SUMIFS('Base bordo CD'!M$2:M$875,'Base bordo CD'!D$2:D$875,A577,'Base bordo CD'!A$2:A$875,B577),0)</f>
        <v>24.000000000000004</v>
      </c>
      <c r="Q577" s="10">
        <f>IFERROR(SUMIFS('Base bordo CD'!O$2:O$875,'Base bordo CD'!D$2:D$875,A577,'Base bordo CD'!A$2:A$875,B577,'Base bordo CD'!L$2:L$875,"CORTE DE CANA MECANIZADO"),0)</f>
        <v>55289.72</v>
      </c>
      <c r="R577" s="10">
        <f>IFERROR(SUMIFS('Base bordo CD'!Q$2:Q$875,'Base bordo CD'!D$2:D$875,A577,'Base bordo CD'!A$2:A$875,B577,'Base bordo CD'!L$2:L$875,"CORTE DE CANA MECANIZADO"),0)</f>
        <v>14793</v>
      </c>
      <c r="S577" s="30">
        <f t="shared" si="51"/>
        <v>3.7375596565943354</v>
      </c>
      <c r="T577" s="9">
        <f t="shared" si="52"/>
        <v>0.1712268518518518</v>
      </c>
      <c r="U577" s="9">
        <f t="shared" si="53"/>
        <v>7.1516203703703693E-2</v>
      </c>
      <c r="V577" s="9">
        <f t="shared" si="54"/>
        <v>0.80769675925925932</v>
      </c>
    </row>
    <row r="578" spans="1:22" x14ac:dyDescent="0.35">
      <c r="A578" s="52">
        <v>49596</v>
      </c>
      <c r="B578" s="31">
        <v>46119</v>
      </c>
      <c r="C578" s="7" t="s">
        <v>337</v>
      </c>
      <c r="D578" s="7">
        <v>353</v>
      </c>
      <c r="E578" s="10">
        <f>IFERROR(SUMIFS('Base bordo CD'!M$2:M$875,'Base bordo CD'!D$2:D$875,A578,'Base bordo CD'!A$2:A$875,B578,'Base bordo CD'!L$2:L$875,"CORTE DE CANA MECANIZADO"),0)</f>
        <v>4.1094444444444438</v>
      </c>
      <c r="F578" s="10">
        <f>IFERROR(SUMIFS('Base bordo CD'!M$2:M$875,'Base bordo CD'!D$2:D$875,A578,'Base bordo CD'!A$2:A$875,B578,'Base bordo CD'!L$2:L$875,"MANOBRA"),0)</f>
        <v>1.716388888888889</v>
      </c>
      <c r="G578" s="10">
        <f>IFERROR(SUMIFS('Base bordo CD'!M$2:M$875,'Base bordo CD'!D$2:D$875,A578,'Base bordo CD'!A$2:A$875,B578,'Base bordo CD'!L$2:L$875,"DESLOCAMENTO"),0)</f>
        <v>0.50583333333333336</v>
      </c>
      <c r="H578" s="10">
        <f>IFERROR(SUMIFS('Base bordo CD'!M$2:M$875,'Base bordo CD'!D$2:D$875,A578,'Base bordo CD'!A$2:A$875,B578,'Base bordo CD'!L$2:L$875,"AGUARDANDO MANOBRA DE TRANSBORDO"),0)+IFERROR(SUMIFS('Base bordo CD'!M$2:M$875,'Base bordo CD'!D$2:D$875,A578,'Base bordo CD'!A$2:A$875,B578,'Base bordo CD'!L$2:L$875,"FALTA DE TRANSBORDO"),0)</f>
        <v>0.48555555555555557</v>
      </c>
      <c r="I578" s="10">
        <f>IFERROR(SUMIFS('Base bordo CD'!M$2:M$875,'Base bordo CD'!D$2:D$875,A578,'Base bordo CD'!A$2:A$875,B578,'Base bordo CD'!L$2:L$875,"PARADA POR CONDICOES CLIMATICAS"),0)+IFERROR(SUMIFS('Base bordo CD'!M$2:M$875,'Base bordo CD'!D$2:D$875,A578,'Base bordo CD'!A$2:A$875,B578,'Base bordo CD'!L$2:L$875,"TEMPO INDETERMINADO"),0)</f>
        <v>15.052222222222222</v>
      </c>
      <c r="J578" s="10">
        <f>IFERROR(SUMIFS('Base bordo CD'!M$2:M$875,'Base bordo CD'!D$2:D$875,A578,'Base bordo CD'!A$2:A$875,B578,'Base bordo CD'!L$2:L$875,"LIMITAÇÃO INDÚSTRIA"),0)</f>
        <v>0</v>
      </c>
      <c r="K578" s="10">
        <f>IFERROR(SUMIFS('Base bordo CD'!M$2:M$875,'Base bordo CD'!D$2:D$875,A578,'Base bordo CD'!A$2:A$875,B578,'Base bordo CD'!L$2:L$875,"MAN CORRETIVA*"),0)+IFERROR(SUMIFS('Base bordo CD'!M$2:M$875,'Base bordo CD'!D$2:D$875,A578,'Base bordo CD'!A$2:A$875,B578,'Base bordo CD'!L$2:L$875,"AGUARDANDO MANUTENCAO*"),0)+IFERROR(SUMIFS('Base bordo CD'!M$2:M$875,'Base bordo CD'!D$2:D$875,A578,'Base bordo CD'!A$2:A$875,B578,'Base bordo CD'!L$2:L$875,"TROCA DE FAQUINHA"),0)+IFERROR(SUMIFS('Base bordo CD'!M$2:M$875,'Base bordo CD'!D$2:D$875,A578,'Base bordo CD'!A$2:A$875,B578,'Base bordo CD'!L$2:L$875,"LIMPEZA*"),0)</f>
        <v>2.02</v>
      </c>
      <c r="L578" s="10">
        <f>IFERROR(SUMIFS('Base bordo CD'!M$2:M$875,'Base bordo CD'!D$2:D$875,A578,'Base bordo CD'!A$2:A$875,B578,'Base bordo CD'!L$2:L$875,"PATIO - RESERVA"),0)</f>
        <v>0</v>
      </c>
      <c r="M578" s="10">
        <f>IFERROR(SUMIFS('Base bordo CD'!M$2:M$875,'Base bordo CD'!D$2:D$875,A578,'Base bordo CD'!A$2:A$875,B578,'Base bordo CD'!L$2:L$875,"SEM APONTAMENTO"),0)</f>
        <v>4.4444444444444444E-3</v>
      </c>
      <c r="N578" s="10">
        <f>IFERROR(SUMIFS('Base bordo CD'!M$2:M$875,'Base bordo CD'!D$2:D$875,A578,'Base bordo CD'!A$2:A$875,B578,'Base bordo CD'!L$2:L$875,"FALTA DE CAMINHÃO"),0)+IFERROR(SUMIFS('Base bordo CD'!M$2:M$875,'Base bordo CD'!D$2:D$875,A578,'Base bordo CD'!A$2:A$875,B578,'Base bordo CD'!L$2:L$875,"FALTA DE COMBUSTIVEL"),0)+IFERROR(SUMIFS('Base bordo CD'!M$2:M$875,'Base bordo CD'!D$2:D$875,A578,'Base bordo CD'!A$2:A$875,B578,'Base bordo CD'!L$2:L$875,"FALTA DE MOTORIST*"),0)</f>
        <v>0</v>
      </c>
      <c r="O578" s="10">
        <f t="shared" si="50"/>
        <v>0.10611111111111526</v>
      </c>
      <c r="P578" s="10">
        <f>IFERROR(SUMIFS('Base bordo CD'!M$2:M$875,'Base bordo CD'!D$2:D$875,A578,'Base bordo CD'!A$2:A$875,B578),0)</f>
        <v>24.000000000000004</v>
      </c>
      <c r="Q578" s="10">
        <f>IFERROR(SUMIFS('Base bordo CD'!O$2:O$875,'Base bordo CD'!D$2:D$875,A578,'Base bordo CD'!A$2:A$875,B578,'Base bordo CD'!L$2:L$875,"CORTE DE CANA MECANIZADO"),0)</f>
        <v>55289.72</v>
      </c>
      <c r="R578" s="10">
        <f>IFERROR(SUMIFS('Base bordo CD'!Q$2:Q$875,'Base bordo CD'!D$2:D$875,A578,'Base bordo CD'!A$2:A$875,B578,'Base bordo CD'!L$2:L$875,"CORTE DE CANA MECANIZADO"),0)</f>
        <v>14793</v>
      </c>
      <c r="S578" s="30">
        <f t="shared" si="51"/>
        <v>3.7375596565943354</v>
      </c>
      <c r="T578" s="9">
        <f t="shared" si="52"/>
        <v>0.1712268518518518</v>
      </c>
      <c r="U578" s="9">
        <f t="shared" si="53"/>
        <v>7.1516203703703693E-2</v>
      </c>
      <c r="V578" s="9">
        <f t="shared" si="54"/>
        <v>0.80769675925925932</v>
      </c>
    </row>
    <row r="579" spans="1:22" x14ac:dyDescent="0.35">
      <c r="A579" s="52">
        <v>49596</v>
      </c>
      <c r="B579" s="31">
        <v>46119</v>
      </c>
      <c r="C579" s="7" t="s">
        <v>337</v>
      </c>
      <c r="D579" s="7">
        <v>353</v>
      </c>
      <c r="E579" s="10">
        <f>IFERROR(SUMIFS('Base bordo CD'!M$2:M$875,'Base bordo CD'!D$2:D$875,A579,'Base bordo CD'!A$2:A$875,B579,'Base bordo CD'!L$2:L$875,"CORTE DE CANA MECANIZADO"),0)</f>
        <v>4.1094444444444438</v>
      </c>
      <c r="F579" s="10">
        <f>IFERROR(SUMIFS('Base bordo CD'!M$2:M$875,'Base bordo CD'!D$2:D$875,A579,'Base bordo CD'!A$2:A$875,B579,'Base bordo CD'!L$2:L$875,"MANOBRA"),0)</f>
        <v>1.716388888888889</v>
      </c>
      <c r="G579" s="10">
        <f>IFERROR(SUMIFS('Base bordo CD'!M$2:M$875,'Base bordo CD'!D$2:D$875,A579,'Base bordo CD'!A$2:A$875,B579,'Base bordo CD'!L$2:L$875,"DESLOCAMENTO"),0)</f>
        <v>0.50583333333333336</v>
      </c>
      <c r="H579" s="10">
        <f>IFERROR(SUMIFS('Base bordo CD'!M$2:M$875,'Base bordo CD'!D$2:D$875,A579,'Base bordo CD'!A$2:A$875,B579,'Base bordo CD'!L$2:L$875,"AGUARDANDO MANOBRA DE TRANSBORDO"),0)+IFERROR(SUMIFS('Base bordo CD'!M$2:M$875,'Base bordo CD'!D$2:D$875,A579,'Base bordo CD'!A$2:A$875,B579,'Base bordo CD'!L$2:L$875,"FALTA DE TRANSBORDO"),0)</f>
        <v>0.48555555555555557</v>
      </c>
      <c r="I579" s="10">
        <f>IFERROR(SUMIFS('Base bordo CD'!M$2:M$875,'Base bordo CD'!D$2:D$875,A579,'Base bordo CD'!A$2:A$875,B579,'Base bordo CD'!L$2:L$875,"PARADA POR CONDICOES CLIMATICAS"),0)+IFERROR(SUMIFS('Base bordo CD'!M$2:M$875,'Base bordo CD'!D$2:D$875,A579,'Base bordo CD'!A$2:A$875,B579,'Base bordo CD'!L$2:L$875,"TEMPO INDETERMINADO"),0)</f>
        <v>15.052222222222222</v>
      </c>
      <c r="J579" s="10">
        <f>IFERROR(SUMIFS('Base bordo CD'!M$2:M$875,'Base bordo CD'!D$2:D$875,A579,'Base bordo CD'!A$2:A$875,B579,'Base bordo CD'!L$2:L$875,"LIMITAÇÃO INDÚSTRIA"),0)</f>
        <v>0</v>
      </c>
      <c r="K579" s="10">
        <f>IFERROR(SUMIFS('Base bordo CD'!M$2:M$875,'Base bordo CD'!D$2:D$875,A579,'Base bordo CD'!A$2:A$875,B579,'Base bordo CD'!L$2:L$875,"MAN CORRETIVA*"),0)+IFERROR(SUMIFS('Base bordo CD'!M$2:M$875,'Base bordo CD'!D$2:D$875,A579,'Base bordo CD'!A$2:A$875,B579,'Base bordo CD'!L$2:L$875,"AGUARDANDO MANUTENCAO*"),0)+IFERROR(SUMIFS('Base bordo CD'!M$2:M$875,'Base bordo CD'!D$2:D$875,A579,'Base bordo CD'!A$2:A$875,B579,'Base bordo CD'!L$2:L$875,"TROCA DE FAQUINHA"),0)+IFERROR(SUMIFS('Base bordo CD'!M$2:M$875,'Base bordo CD'!D$2:D$875,A579,'Base bordo CD'!A$2:A$875,B579,'Base bordo CD'!L$2:L$875,"LIMPEZA*"),0)</f>
        <v>2.02</v>
      </c>
      <c r="L579" s="10">
        <f>IFERROR(SUMIFS('Base bordo CD'!M$2:M$875,'Base bordo CD'!D$2:D$875,A579,'Base bordo CD'!A$2:A$875,B579,'Base bordo CD'!L$2:L$875,"PATIO - RESERVA"),0)</f>
        <v>0</v>
      </c>
      <c r="M579" s="10">
        <f>IFERROR(SUMIFS('Base bordo CD'!M$2:M$875,'Base bordo CD'!D$2:D$875,A579,'Base bordo CD'!A$2:A$875,B579,'Base bordo CD'!L$2:L$875,"SEM APONTAMENTO"),0)</f>
        <v>4.4444444444444444E-3</v>
      </c>
      <c r="N579" s="10">
        <f>IFERROR(SUMIFS('Base bordo CD'!M$2:M$875,'Base bordo CD'!D$2:D$875,A579,'Base bordo CD'!A$2:A$875,B579,'Base bordo CD'!L$2:L$875,"FALTA DE CAMINHÃO"),0)+IFERROR(SUMIFS('Base bordo CD'!M$2:M$875,'Base bordo CD'!D$2:D$875,A579,'Base bordo CD'!A$2:A$875,B579,'Base bordo CD'!L$2:L$875,"FALTA DE COMBUSTIVEL"),0)+IFERROR(SUMIFS('Base bordo CD'!M$2:M$875,'Base bordo CD'!D$2:D$875,A579,'Base bordo CD'!A$2:A$875,B579,'Base bordo CD'!L$2:L$875,"FALTA DE MOTORIST*"),0)</f>
        <v>0</v>
      </c>
      <c r="O579" s="10">
        <f t="shared" si="50"/>
        <v>0.10611111111111526</v>
      </c>
      <c r="P579" s="10">
        <f>IFERROR(SUMIFS('Base bordo CD'!M$2:M$875,'Base bordo CD'!D$2:D$875,A579,'Base bordo CD'!A$2:A$875,B579),0)</f>
        <v>24.000000000000004</v>
      </c>
      <c r="Q579" s="10">
        <f>IFERROR(SUMIFS('Base bordo CD'!O$2:O$875,'Base bordo CD'!D$2:D$875,A579,'Base bordo CD'!A$2:A$875,B579,'Base bordo CD'!L$2:L$875,"CORTE DE CANA MECANIZADO"),0)</f>
        <v>55289.72</v>
      </c>
      <c r="R579" s="10">
        <f>IFERROR(SUMIFS('Base bordo CD'!Q$2:Q$875,'Base bordo CD'!D$2:D$875,A579,'Base bordo CD'!A$2:A$875,B579,'Base bordo CD'!L$2:L$875,"CORTE DE CANA MECANIZADO"),0)</f>
        <v>14793</v>
      </c>
      <c r="S579" s="30">
        <f t="shared" si="51"/>
        <v>3.7375596565943354</v>
      </c>
      <c r="T579" s="9">
        <f t="shared" si="52"/>
        <v>0.1712268518518518</v>
      </c>
      <c r="U579" s="9">
        <f t="shared" si="53"/>
        <v>7.1516203703703693E-2</v>
      </c>
      <c r="V579" s="9">
        <f t="shared" si="54"/>
        <v>0.80769675925925932</v>
      </c>
    </row>
    <row r="580" spans="1:22" x14ac:dyDescent="0.35">
      <c r="A580" s="52">
        <v>49596</v>
      </c>
      <c r="B580" s="31">
        <v>46119</v>
      </c>
      <c r="C580" s="7" t="s">
        <v>337</v>
      </c>
      <c r="D580" s="7">
        <v>353</v>
      </c>
      <c r="E580" s="10">
        <f>IFERROR(SUMIFS('Base bordo CD'!M$2:M$875,'Base bordo CD'!D$2:D$875,A580,'Base bordo CD'!A$2:A$875,B580,'Base bordo CD'!L$2:L$875,"CORTE DE CANA MECANIZADO"),0)</f>
        <v>4.1094444444444438</v>
      </c>
      <c r="F580" s="10">
        <f>IFERROR(SUMIFS('Base bordo CD'!M$2:M$875,'Base bordo CD'!D$2:D$875,A580,'Base bordo CD'!A$2:A$875,B580,'Base bordo CD'!L$2:L$875,"MANOBRA"),0)</f>
        <v>1.716388888888889</v>
      </c>
      <c r="G580" s="10">
        <f>IFERROR(SUMIFS('Base bordo CD'!M$2:M$875,'Base bordo CD'!D$2:D$875,A580,'Base bordo CD'!A$2:A$875,B580,'Base bordo CD'!L$2:L$875,"DESLOCAMENTO"),0)</f>
        <v>0.50583333333333336</v>
      </c>
      <c r="H580" s="10">
        <f>IFERROR(SUMIFS('Base bordo CD'!M$2:M$875,'Base bordo CD'!D$2:D$875,A580,'Base bordo CD'!A$2:A$875,B580,'Base bordo CD'!L$2:L$875,"AGUARDANDO MANOBRA DE TRANSBORDO"),0)+IFERROR(SUMIFS('Base bordo CD'!M$2:M$875,'Base bordo CD'!D$2:D$875,A580,'Base bordo CD'!A$2:A$875,B580,'Base bordo CD'!L$2:L$875,"FALTA DE TRANSBORDO"),0)</f>
        <v>0.48555555555555557</v>
      </c>
      <c r="I580" s="10">
        <f>IFERROR(SUMIFS('Base bordo CD'!M$2:M$875,'Base bordo CD'!D$2:D$875,A580,'Base bordo CD'!A$2:A$875,B580,'Base bordo CD'!L$2:L$875,"PARADA POR CONDICOES CLIMATICAS"),0)+IFERROR(SUMIFS('Base bordo CD'!M$2:M$875,'Base bordo CD'!D$2:D$875,A580,'Base bordo CD'!A$2:A$875,B580,'Base bordo CD'!L$2:L$875,"TEMPO INDETERMINADO"),0)</f>
        <v>15.052222222222222</v>
      </c>
      <c r="J580" s="10">
        <f>IFERROR(SUMIFS('Base bordo CD'!M$2:M$875,'Base bordo CD'!D$2:D$875,A580,'Base bordo CD'!A$2:A$875,B580,'Base bordo CD'!L$2:L$875,"LIMITAÇÃO INDÚSTRIA"),0)</f>
        <v>0</v>
      </c>
      <c r="K580" s="10">
        <f>IFERROR(SUMIFS('Base bordo CD'!M$2:M$875,'Base bordo CD'!D$2:D$875,A580,'Base bordo CD'!A$2:A$875,B580,'Base bordo CD'!L$2:L$875,"MAN CORRETIVA*"),0)+IFERROR(SUMIFS('Base bordo CD'!M$2:M$875,'Base bordo CD'!D$2:D$875,A580,'Base bordo CD'!A$2:A$875,B580,'Base bordo CD'!L$2:L$875,"AGUARDANDO MANUTENCAO*"),0)+IFERROR(SUMIFS('Base bordo CD'!M$2:M$875,'Base bordo CD'!D$2:D$875,A580,'Base bordo CD'!A$2:A$875,B580,'Base bordo CD'!L$2:L$875,"TROCA DE FAQUINHA"),0)+IFERROR(SUMIFS('Base bordo CD'!M$2:M$875,'Base bordo CD'!D$2:D$875,A580,'Base bordo CD'!A$2:A$875,B580,'Base bordo CD'!L$2:L$875,"LIMPEZA*"),0)</f>
        <v>2.02</v>
      </c>
      <c r="L580" s="10">
        <f>IFERROR(SUMIFS('Base bordo CD'!M$2:M$875,'Base bordo CD'!D$2:D$875,A580,'Base bordo CD'!A$2:A$875,B580,'Base bordo CD'!L$2:L$875,"PATIO - RESERVA"),0)</f>
        <v>0</v>
      </c>
      <c r="M580" s="10">
        <f>IFERROR(SUMIFS('Base bordo CD'!M$2:M$875,'Base bordo CD'!D$2:D$875,A580,'Base bordo CD'!A$2:A$875,B580,'Base bordo CD'!L$2:L$875,"SEM APONTAMENTO"),0)</f>
        <v>4.4444444444444444E-3</v>
      </c>
      <c r="N580" s="10">
        <f>IFERROR(SUMIFS('Base bordo CD'!M$2:M$875,'Base bordo CD'!D$2:D$875,A580,'Base bordo CD'!A$2:A$875,B580,'Base bordo CD'!L$2:L$875,"FALTA DE CAMINHÃO"),0)+IFERROR(SUMIFS('Base bordo CD'!M$2:M$875,'Base bordo CD'!D$2:D$875,A580,'Base bordo CD'!A$2:A$875,B580,'Base bordo CD'!L$2:L$875,"FALTA DE COMBUSTIVEL"),0)+IFERROR(SUMIFS('Base bordo CD'!M$2:M$875,'Base bordo CD'!D$2:D$875,A580,'Base bordo CD'!A$2:A$875,B580,'Base bordo CD'!L$2:L$875,"FALTA DE MOTORIST*"),0)</f>
        <v>0</v>
      </c>
      <c r="O580" s="10">
        <f t="shared" si="50"/>
        <v>0.10611111111111526</v>
      </c>
      <c r="P580" s="10">
        <f>IFERROR(SUMIFS('Base bordo CD'!M$2:M$875,'Base bordo CD'!D$2:D$875,A580,'Base bordo CD'!A$2:A$875,B580),0)</f>
        <v>24.000000000000004</v>
      </c>
      <c r="Q580" s="10">
        <f>IFERROR(SUMIFS('Base bordo CD'!O$2:O$875,'Base bordo CD'!D$2:D$875,A580,'Base bordo CD'!A$2:A$875,B580,'Base bordo CD'!L$2:L$875,"CORTE DE CANA MECANIZADO"),0)</f>
        <v>55289.72</v>
      </c>
      <c r="R580" s="10">
        <f>IFERROR(SUMIFS('Base bordo CD'!Q$2:Q$875,'Base bordo CD'!D$2:D$875,A580,'Base bordo CD'!A$2:A$875,B580,'Base bordo CD'!L$2:L$875,"CORTE DE CANA MECANIZADO"),0)</f>
        <v>14793</v>
      </c>
      <c r="S580" s="30">
        <f t="shared" si="51"/>
        <v>3.7375596565943354</v>
      </c>
      <c r="T580" s="9">
        <f t="shared" si="52"/>
        <v>0.1712268518518518</v>
      </c>
      <c r="U580" s="9">
        <f t="shared" si="53"/>
        <v>7.1516203703703693E-2</v>
      </c>
      <c r="V580" s="9">
        <f t="shared" si="54"/>
        <v>0.80769675925925932</v>
      </c>
    </row>
    <row r="581" spans="1:22" x14ac:dyDescent="0.35">
      <c r="A581" s="52">
        <v>49596</v>
      </c>
      <c r="B581" s="31">
        <v>46119</v>
      </c>
      <c r="C581" s="7" t="s">
        <v>337</v>
      </c>
      <c r="D581" s="7">
        <v>353</v>
      </c>
      <c r="E581" s="10">
        <f>IFERROR(SUMIFS('Base bordo CD'!M$2:M$875,'Base bordo CD'!D$2:D$875,A581,'Base bordo CD'!A$2:A$875,B581,'Base bordo CD'!L$2:L$875,"CORTE DE CANA MECANIZADO"),0)</f>
        <v>4.1094444444444438</v>
      </c>
      <c r="F581" s="10">
        <f>IFERROR(SUMIFS('Base bordo CD'!M$2:M$875,'Base bordo CD'!D$2:D$875,A581,'Base bordo CD'!A$2:A$875,B581,'Base bordo CD'!L$2:L$875,"MANOBRA"),0)</f>
        <v>1.716388888888889</v>
      </c>
      <c r="G581" s="10">
        <f>IFERROR(SUMIFS('Base bordo CD'!M$2:M$875,'Base bordo CD'!D$2:D$875,A581,'Base bordo CD'!A$2:A$875,B581,'Base bordo CD'!L$2:L$875,"DESLOCAMENTO"),0)</f>
        <v>0.50583333333333336</v>
      </c>
      <c r="H581" s="10">
        <f>IFERROR(SUMIFS('Base bordo CD'!M$2:M$875,'Base bordo CD'!D$2:D$875,A581,'Base bordo CD'!A$2:A$875,B581,'Base bordo CD'!L$2:L$875,"AGUARDANDO MANOBRA DE TRANSBORDO"),0)+IFERROR(SUMIFS('Base bordo CD'!M$2:M$875,'Base bordo CD'!D$2:D$875,A581,'Base bordo CD'!A$2:A$875,B581,'Base bordo CD'!L$2:L$875,"FALTA DE TRANSBORDO"),0)</f>
        <v>0.48555555555555557</v>
      </c>
      <c r="I581" s="10">
        <f>IFERROR(SUMIFS('Base bordo CD'!M$2:M$875,'Base bordo CD'!D$2:D$875,A581,'Base bordo CD'!A$2:A$875,B581,'Base bordo CD'!L$2:L$875,"PARADA POR CONDICOES CLIMATICAS"),0)+IFERROR(SUMIFS('Base bordo CD'!M$2:M$875,'Base bordo CD'!D$2:D$875,A581,'Base bordo CD'!A$2:A$875,B581,'Base bordo CD'!L$2:L$875,"TEMPO INDETERMINADO"),0)</f>
        <v>15.052222222222222</v>
      </c>
      <c r="J581" s="10">
        <f>IFERROR(SUMIFS('Base bordo CD'!M$2:M$875,'Base bordo CD'!D$2:D$875,A581,'Base bordo CD'!A$2:A$875,B581,'Base bordo CD'!L$2:L$875,"LIMITAÇÃO INDÚSTRIA"),0)</f>
        <v>0</v>
      </c>
      <c r="K581" s="10">
        <f>IFERROR(SUMIFS('Base bordo CD'!M$2:M$875,'Base bordo CD'!D$2:D$875,A581,'Base bordo CD'!A$2:A$875,B581,'Base bordo CD'!L$2:L$875,"MAN CORRETIVA*"),0)+IFERROR(SUMIFS('Base bordo CD'!M$2:M$875,'Base bordo CD'!D$2:D$875,A581,'Base bordo CD'!A$2:A$875,B581,'Base bordo CD'!L$2:L$875,"AGUARDANDO MANUTENCAO*"),0)+IFERROR(SUMIFS('Base bordo CD'!M$2:M$875,'Base bordo CD'!D$2:D$875,A581,'Base bordo CD'!A$2:A$875,B581,'Base bordo CD'!L$2:L$875,"TROCA DE FAQUINHA"),0)+IFERROR(SUMIFS('Base bordo CD'!M$2:M$875,'Base bordo CD'!D$2:D$875,A581,'Base bordo CD'!A$2:A$875,B581,'Base bordo CD'!L$2:L$875,"LIMPEZA*"),0)</f>
        <v>2.02</v>
      </c>
      <c r="L581" s="10">
        <f>IFERROR(SUMIFS('Base bordo CD'!M$2:M$875,'Base bordo CD'!D$2:D$875,A581,'Base bordo CD'!A$2:A$875,B581,'Base bordo CD'!L$2:L$875,"PATIO - RESERVA"),0)</f>
        <v>0</v>
      </c>
      <c r="M581" s="10">
        <f>IFERROR(SUMIFS('Base bordo CD'!M$2:M$875,'Base bordo CD'!D$2:D$875,A581,'Base bordo CD'!A$2:A$875,B581,'Base bordo CD'!L$2:L$875,"SEM APONTAMENTO"),0)</f>
        <v>4.4444444444444444E-3</v>
      </c>
      <c r="N581" s="10">
        <f>IFERROR(SUMIFS('Base bordo CD'!M$2:M$875,'Base bordo CD'!D$2:D$875,A581,'Base bordo CD'!A$2:A$875,B581,'Base bordo CD'!L$2:L$875,"FALTA DE CAMINHÃO"),0)+IFERROR(SUMIFS('Base bordo CD'!M$2:M$875,'Base bordo CD'!D$2:D$875,A581,'Base bordo CD'!A$2:A$875,B581,'Base bordo CD'!L$2:L$875,"FALTA DE COMBUSTIVEL"),0)+IFERROR(SUMIFS('Base bordo CD'!M$2:M$875,'Base bordo CD'!D$2:D$875,A581,'Base bordo CD'!A$2:A$875,B581,'Base bordo CD'!L$2:L$875,"FALTA DE MOTORIST*"),0)</f>
        <v>0</v>
      </c>
      <c r="O581" s="10">
        <f t="shared" si="50"/>
        <v>0.10611111111111526</v>
      </c>
      <c r="P581" s="10">
        <f>IFERROR(SUMIFS('Base bordo CD'!M$2:M$875,'Base bordo CD'!D$2:D$875,A581,'Base bordo CD'!A$2:A$875,B581),0)</f>
        <v>24.000000000000004</v>
      </c>
      <c r="Q581" s="10">
        <f>IFERROR(SUMIFS('Base bordo CD'!O$2:O$875,'Base bordo CD'!D$2:D$875,A581,'Base bordo CD'!A$2:A$875,B581,'Base bordo CD'!L$2:L$875,"CORTE DE CANA MECANIZADO"),0)</f>
        <v>55289.72</v>
      </c>
      <c r="R581" s="10">
        <f>IFERROR(SUMIFS('Base bordo CD'!Q$2:Q$875,'Base bordo CD'!D$2:D$875,A581,'Base bordo CD'!A$2:A$875,B581,'Base bordo CD'!L$2:L$875,"CORTE DE CANA MECANIZADO"),0)</f>
        <v>14793</v>
      </c>
      <c r="S581" s="30">
        <f t="shared" si="51"/>
        <v>3.7375596565943354</v>
      </c>
      <c r="T581" s="9">
        <f t="shared" si="52"/>
        <v>0.1712268518518518</v>
      </c>
      <c r="U581" s="9">
        <f t="shared" si="53"/>
        <v>7.1516203703703693E-2</v>
      </c>
      <c r="V581" s="9">
        <f t="shared" si="54"/>
        <v>0.80769675925925932</v>
      </c>
    </row>
    <row r="582" spans="1:22" x14ac:dyDescent="0.35">
      <c r="A582" s="52">
        <v>49596</v>
      </c>
      <c r="B582" s="31">
        <v>46119</v>
      </c>
      <c r="C582" s="7" t="s">
        <v>337</v>
      </c>
      <c r="D582" s="7">
        <v>353</v>
      </c>
      <c r="E582" s="10">
        <f>IFERROR(SUMIFS('Base bordo CD'!M$2:M$875,'Base bordo CD'!D$2:D$875,A582,'Base bordo CD'!A$2:A$875,B582,'Base bordo CD'!L$2:L$875,"CORTE DE CANA MECANIZADO"),0)</f>
        <v>4.1094444444444438</v>
      </c>
      <c r="F582" s="10">
        <f>IFERROR(SUMIFS('Base bordo CD'!M$2:M$875,'Base bordo CD'!D$2:D$875,A582,'Base bordo CD'!A$2:A$875,B582,'Base bordo CD'!L$2:L$875,"MANOBRA"),0)</f>
        <v>1.716388888888889</v>
      </c>
      <c r="G582" s="10">
        <f>IFERROR(SUMIFS('Base bordo CD'!M$2:M$875,'Base bordo CD'!D$2:D$875,A582,'Base bordo CD'!A$2:A$875,B582,'Base bordo CD'!L$2:L$875,"DESLOCAMENTO"),0)</f>
        <v>0.50583333333333336</v>
      </c>
      <c r="H582" s="10">
        <f>IFERROR(SUMIFS('Base bordo CD'!M$2:M$875,'Base bordo CD'!D$2:D$875,A582,'Base bordo CD'!A$2:A$875,B582,'Base bordo CD'!L$2:L$875,"AGUARDANDO MANOBRA DE TRANSBORDO"),0)+IFERROR(SUMIFS('Base bordo CD'!M$2:M$875,'Base bordo CD'!D$2:D$875,A582,'Base bordo CD'!A$2:A$875,B582,'Base bordo CD'!L$2:L$875,"FALTA DE TRANSBORDO"),0)</f>
        <v>0.48555555555555557</v>
      </c>
      <c r="I582" s="10">
        <f>IFERROR(SUMIFS('Base bordo CD'!M$2:M$875,'Base bordo CD'!D$2:D$875,A582,'Base bordo CD'!A$2:A$875,B582,'Base bordo CD'!L$2:L$875,"PARADA POR CONDICOES CLIMATICAS"),0)+IFERROR(SUMIFS('Base bordo CD'!M$2:M$875,'Base bordo CD'!D$2:D$875,A582,'Base bordo CD'!A$2:A$875,B582,'Base bordo CD'!L$2:L$875,"TEMPO INDETERMINADO"),0)</f>
        <v>15.052222222222222</v>
      </c>
      <c r="J582" s="10">
        <f>IFERROR(SUMIFS('Base bordo CD'!M$2:M$875,'Base bordo CD'!D$2:D$875,A582,'Base bordo CD'!A$2:A$875,B582,'Base bordo CD'!L$2:L$875,"LIMITAÇÃO INDÚSTRIA"),0)</f>
        <v>0</v>
      </c>
      <c r="K582" s="10">
        <f>IFERROR(SUMIFS('Base bordo CD'!M$2:M$875,'Base bordo CD'!D$2:D$875,A582,'Base bordo CD'!A$2:A$875,B582,'Base bordo CD'!L$2:L$875,"MAN CORRETIVA*"),0)+IFERROR(SUMIFS('Base bordo CD'!M$2:M$875,'Base bordo CD'!D$2:D$875,A582,'Base bordo CD'!A$2:A$875,B582,'Base bordo CD'!L$2:L$875,"AGUARDANDO MANUTENCAO*"),0)+IFERROR(SUMIFS('Base bordo CD'!M$2:M$875,'Base bordo CD'!D$2:D$875,A582,'Base bordo CD'!A$2:A$875,B582,'Base bordo CD'!L$2:L$875,"TROCA DE FAQUINHA"),0)+IFERROR(SUMIFS('Base bordo CD'!M$2:M$875,'Base bordo CD'!D$2:D$875,A582,'Base bordo CD'!A$2:A$875,B582,'Base bordo CD'!L$2:L$875,"LIMPEZA*"),0)</f>
        <v>2.02</v>
      </c>
      <c r="L582" s="10">
        <f>IFERROR(SUMIFS('Base bordo CD'!M$2:M$875,'Base bordo CD'!D$2:D$875,A582,'Base bordo CD'!A$2:A$875,B582,'Base bordo CD'!L$2:L$875,"PATIO - RESERVA"),0)</f>
        <v>0</v>
      </c>
      <c r="M582" s="10">
        <f>IFERROR(SUMIFS('Base bordo CD'!M$2:M$875,'Base bordo CD'!D$2:D$875,A582,'Base bordo CD'!A$2:A$875,B582,'Base bordo CD'!L$2:L$875,"SEM APONTAMENTO"),0)</f>
        <v>4.4444444444444444E-3</v>
      </c>
      <c r="N582" s="10">
        <f>IFERROR(SUMIFS('Base bordo CD'!M$2:M$875,'Base bordo CD'!D$2:D$875,A582,'Base bordo CD'!A$2:A$875,B582,'Base bordo CD'!L$2:L$875,"FALTA DE CAMINHÃO"),0)+IFERROR(SUMIFS('Base bordo CD'!M$2:M$875,'Base bordo CD'!D$2:D$875,A582,'Base bordo CD'!A$2:A$875,B582,'Base bordo CD'!L$2:L$875,"FALTA DE COMBUSTIVEL"),0)+IFERROR(SUMIFS('Base bordo CD'!M$2:M$875,'Base bordo CD'!D$2:D$875,A582,'Base bordo CD'!A$2:A$875,B582,'Base bordo CD'!L$2:L$875,"FALTA DE MOTORIST*"),0)</f>
        <v>0</v>
      </c>
      <c r="O582" s="10">
        <f t="shared" si="50"/>
        <v>0.10611111111111526</v>
      </c>
      <c r="P582" s="10">
        <f>IFERROR(SUMIFS('Base bordo CD'!M$2:M$875,'Base bordo CD'!D$2:D$875,A582,'Base bordo CD'!A$2:A$875,B582),0)</f>
        <v>24.000000000000004</v>
      </c>
      <c r="Q582" s="10">
        <f>IFERROR(SUMIFS('Base bordo CD'!O$2:O$875,'Base bordo CD'!D$2:D$875,A582,'Base bordo CD'!A$2:A$875,B582,'Base bordo CD'!L$2:L$875,"CORTE DE CANA MECANIZADO"),0)</f>
        <v>55289.72</v>
      </c>
      <c r="R582" s="10">
        <f>IFERROR(SUMIFS('Base bordo CD'!Q$2:Q$875,'Base bordo CD'!D$2:D$875,A582,'Base bordo CD'!A$2:A$875,B582,'Base bordo CD'!L$2:L$875,"CORTE DE CANA MECANIZADO"),0)</f>
        <v>14793</v>
      </c>
      <c r="S582" s="30">
        <f t="shared" si="51"/>
        <v>3.7375596565943354</v>
      </c>
      <c r="T582" s="9">
        <f t="shared" si="52"/>
        <v>0.1712268518518518</v>
      </c>
      <c r="U582" s="9">
        <f t="shared" si="53"/>
        <v>7.1516203703703693E-2</v>
      </c>
      <c r="V582" s="9">
        <f t="shared" si="54"/>
        <v>0.80769675925925932</v>
      </c>
    </row>
    <row r="583" spans="1:22" x14ac:dyDescent="0.35">
      <c r="A583" s="52">
        <v>49596</v>
      </c>
      <c r="B583" s="31">
        <v>46119</v>
      </c>
      <c r="C583" s="7" t="s">
        <v>337</v>
      </c>
      <c r="D583" s="7">
        <v>353</v>
      </c>
      <c r="E583" s="10">
        <f>IFERROR(SUMIFS('Base bordo CD'!M$2:M$875,'Base bordo CD'!D$2:D$875,A583,'Base bordo CD'!A$2:A$875,B583,'Base bordo CD'!L$2:L$875,"CORTE DE CANA MECANIZADO"),0)</f>
        <v>4.1094444444444438</v>
      </c>
      <c r="F583" s="10">
        <f>IFERROR(SUMIFS('Base bordo CD'!M$2:M$875,'Base bordo CD'!D$2:D$875,A583,'Base bordo CD'!A$2:A$875,B583,'Base bordo CD'!L$2:L$875,"MANOBRA"),0)</f>
        <v>1.716388888888889</v>
      </c>
      <c r="G583" s="10">
        <f>IFERROR(SUMIFS('Base bordo CD'!M$2:M$875,'Base bordo CD'!D$2:D$875,A583,'Base bordo CD'!A$2:A$875,B583,'Base bordo CD'!L$2:L$875,"DESLOCAMENTO"),0)</f>
        <v>0.50583333333333336</v>
      </c>
      <c r="H583" s="10">
        <f>IFERROR(SUMIFS('Base bordo CD'!M$2:M$875,'Base bordo CD'!D$2:D$875,A583,'Base bordo CD'!A$2:A$875,B583,'Base bordo CD'!L$2:L$875,"AGUARDANDO MANOBRA DE TRANSBORDO"),0)+IFERROR(SUMIFS('Base bordo CD'!M$2:M$875,'Base bordo CD'!D$2:D$875,A583,'Base bordo CD'!A$2:A$875,B583,'Base bordo CD'!L$2:L$875,"FALTA DE TRANSBORDO"),0)</f>
        <v>0.48555555555555557</v>
      </c>
      <c r="I583" s="10">
        <f>IFERROR(SUMIFS('Base bordo CD'!M$2:M$875,'Base bordo CD'!D$2:D$875,A583,'Base bordo CD'!A$2:A$875,B583,'Base bordo CD'!L$2:L$875,"PARADA POR CONDICOES CLIMATICAS"),0)+IFERROR(SUMIFS('Base bordo CD'!M$2:M$875,'Base bordo CD'!D$2:D$875,A583,'Base bordo CD'!A$2:A$875,B583,'Base bordo CD'!L$2:L$875,"TEMPO INDETERMINADO"),0)</f>
        <v>15.052222222222222</v>
      </c>
      <c r="J583" s="10">
        <f>IFERROR(SUMIFS('Base bordo CD'!M$2:M$875,'Base bordo CD'!D$2:D$875,A583,'Base bordo CD'!A$2:A$875,B583,'Base bordo CD'!L$2:L$875,"LIMITAÇÃO INDÚSTRIA"),0)</f>
        <v>0</v>
      </c>
      <c r="K583" s="10">
        <f>IFERROR(SUMIFS('Base bordo CD'!M$2:M$875,'Base bordo CD'!D$2:D$875,A583,'Base bordo CD'!A$2:A$875,B583,'Base bordo CD'!L$2:L$875,"MAN CORRETIVA*"),0)+IFERROR(SUMIFS('Base bordo CD'!M$2:M$875,'Base bordo CD'!D$2:D$875,A583,'Base bordo CD'!A$2:A$875,B583,'Base bordo CD'!L$2:L$875,"AGUARDANDO MANUTENCAO*"),0)+IFERROR(SUMIFS('Base bordo CD'!M$2:M$875,'Base bordo CD'!D$2:D$875,A583,'Base bordo CD'!A$2:A$875,B583,'Base bordo CD'!L$2:L$875,"TROCA DE FAQUINHA"),0)+IFERROR(SUMIFS('Base bordo CD'!M$2:M$875,'Base bordo CD'!D$2:D$875,A583,'Base bordo CD'!A$2:A$875,B583,'Base bordo CD'!L$2:L$875,"LIMPEZA*"),0)</f>
        <v>2.02</v>
      </c>
      <c r="L583" s="10">
        <f>IFERROR(SUMIFS('Base bordo CD'!M$2:M$875,'Base bordo CD'!D$2:D$875,A583,'Base bordo CD'!A$2:A$875,B583,'Base bordo CD'!L$2:L$875,"PATIO - RESERVA"),0)</f>
        <v>0</v>
      </c>
      <c r="M583" s="10">
        <f>IFERROR(SUMIFS('Base bordo CD'!M$2:M$875,'Base bordo CD'!D$2:D$875,A583,'Base bordo CD'!A$2:A$875,B583,'Base bordo CD'!L$2:L$875,"SEM APONTAMENTO"),0)</f>
        <v>4.4444444444444444E-3</v>
      </c>
      <c r="N583" s="10">
        <f>IFERROR(SUMIFS('Base bordo CD'!M$2:M$875,'Base bordo CD'!D$2:D$875,A583,'Base bordo CD'!A$2:A$875,B583,'Base bordo CD'!L$2:L$875,"FALTA DE CAMINHÃO"),0)+IFERROR(SUMIFS('Base bordo CD'!M$2:M$875,'Base bordo CD'!D$2:D$875,A583,'Base bordo CD'!A$2:A$875,B583,'Base bordo CD'!L$2:L$875,"FALTA DE COMBUSTIVEL"),0)+IFERROR(SUMIFS('Base bordo CD'!M$2:M$875,'Base bordo CD'!D$2:D$875,A583,'Base bordo CD'!A$2:A$875,B583,'Base bordo CD'!L$2:L$875,"FALTA DE MOTORIST*"),0)</f>
        <v>0</v>
      </c>
      <c r="O583" s="10">
        <f t="shared" si="50"/>
        <v>0.10611111111111526</v>
      </c>
      <c r="P583" s="10">
        <f>IFERROR(SUMIFS('Base bordo CD'!M$2:M$875,'Base bordo CD'!D$2:D$875,A583,'Base bordo CD'!A$2:A$875,B583),0)</f>
        <v>24.000000000000004</v>
      </c>
      <c r="Q583" s="10">
        <f>IFERROR(SUMIFS('Base bordo CD'!O$2:O$875,'Base bordo CD'!D$2:D$875,A583,'Base bordo CD'!A$2:A$875,B583,'Base bordo CD'!L$2:L$875,"CORTE DE CANA MECANIZADO"),0)</f>
        <v>55289.72</v>
      </c>
      <c r="R583" s="10">
        <f>IFERROR(SUMIFS('Base bordo CD'!Q$2:Q$875,'Base bordo CD'!D$2:D$875,A583,'Base bordo CD'!A$2:A$875,B583,'Base bordo CD'!L$2:L$875,"CORTE DE CANA MECANIZADO"),0)</f>
        <v>14793</v>
      </c>
      <c r="S583" s="30">
        <f t="shared" si="51"/>
        <v>3.7375596565943354</v>
      </c>
      <c r="T583" s="9">
        <f t="shared" si="52"/>
        <v>0.1712268518518518</v>
      </c>
      <c r="U583" s="9">
        <f t="shared" si="53"/>
        <v>7.1516203703703693E-2</v>
      </c>
      <c r="V583" s="9">
        <f t="shared" si="54"/>
        <v>0.80769675925925932</v>
      </c>
    </row>
    <row r="584" spans="1:22" x14ac:dyDescent="0.35">
      <c r="A584" s="52">
        <v>49596</v>
      </c>
      <c r="B584" s="31">
        <v>46119</v>
      </c>
      <c r="C584" s="7" t="s">
        <v>337</v>
      </c>
      <c r="D584" s="7">
        <v>353</v>
      </c>
      <c r="E584" s="10">
        <f>IFERROR(SUMIFS('Base bordo CD'!M$2:M$875,'Base bordo CD'!D$2:D$875,A584,'Base bordo CD'!A$2:A$875,B584,'Base bordo CD'!L$2:L$875,"CORTE DE CANA MECANIZADO"),0)</f>
        <v>4.1094444444444438</v>
      </c>
      <c r="F584" s="10">
        <f>IFERROR(SUMIFS('Base bordo CD'!M$2:M$875,'Base bordo CD'!D$2:D$875,A584,'Base bordo CD'!A$2:A$875,B584,'Base bordo CD'!L$2:L$875,"MANOBRA"),0)</f>
        <v>1.716388888888889</v>
      </c>
      <c r="G584" s="10">
        <f>IFERROR(SUMIFS('Base bordo CD'!M$2:M$875,'Base bordo CD'!D$2:D$875,A584,'Base bordo CD'!A$2:A$875,B584,'Base bordo CD'!L$2:L$875,"DESLOCAMENTO"),0)</f>
        <v>0.50583333333333336</v>
      </c>
      <c r="H584" s="10">
        <f>IFERROR(SUMIFS('Base bordo CD'!M$2:M$875,'Base bordo CD'!D$2:D$875,A584,'Base bordo CD'!A$2:A$875,B584,'Base bordo CD'!L$2:L$875,"AGUARDANDO MANOBRA DE TRANSBORDO"),0)+IFERROR(SUMIFS('Base bordo CD'!M$2:M$875,'Base bordo CD'!D$2:D$875,A584,'Base bordo CD'!A$2:A$875,B584,'Base bordo CD'!L$2:L$875,"FALTA DE TRANSBORDO"),0)</f>
        <v>0.48555555555555557</v>
      </c>
      <c r="I584" s="10">
        <f>IFERROR(SUMIFS('Base bordo CD'!M$2:M$875,'Base bordo CD'!D$2:D$875,A584,'Base bordo CD'!A$2:A$875,B584,'Base bordo CD'!L$2:L$875,"PARADA POR CONDICOES CLIMATICAS"),0)+IFERROR(SUMIFS('Base bordo CD'!M$2:M$875,'Base bordo CD'!D$2:D$875,A584,'Base bordo CD'!A$2:A$875,B584,'Base bordo CD'!L$2:L$875,"TEMPO INDETERMINADO"),0)</f>
        <v>15.052222222222222</v>
      </c>
      <c r="J584" s="10">
        <f>IFERROR(SUMIFS('Base bordo CD'!M$2:M$875,'Base bordo CD'!D$2:D$875,A584,'Base bordo CD'!A$2:A$875,B584,'Base bordo CD'!L$2:L$875,"LIMITAÇÃO INDÚSTRIA"),0)</f>
        <v>0</v>
      </c>
      <c r="K584" s="10">
        <f>IFERROR(SUMIFS('Base bordo CD'!M$2:M$875,'Base bordo CD'!D$2:D$875,A584,'Base bordo CD'!A$2:A$875,B584,'Base bordo CD'!L$2:L$875,"MAN CORRETIVA*"),0)+IFERROR(SUMIFS('Base bordo CD'!M$2:M$875,'Base bordo CD'!D$2:D$875,A584,'Base bordo CD'!A$2:A$875,B584,'Base bordo CD'!L$2:L$875,"AGUARDANDO MANUTENCAO*"),0)+IFERROR(SUMIFS('Base bordo CD'!M$2:M$875,'Base bordo CD'!D$2:D$875,A584,'Base bordo CD'!A$2:A$875,B584,'Base bordo CD'!L$2:L$875,"TROCA DE FAQUINHA"),0)+IFERROR(SUMIFS('Base bordo CD'!M$2:M$875,'Base bordo CD'!D$2:D$875,A584,'Base bordo CD'!A$2:A$875,B584,'Base bordo CD'!L$2:L$875,"LIMPEZA*"),0)</f>
        <v>2.02</v>
      </c>
      <c r="L584" s="10">
        <f>IFERROR(SUMIFS('Base bordo CD'!M$2:M$875,'Base bordo CD'!D$2:D$875,A584,'Base bordo CD'!A$2:A$875,B584,'Base bordo CD'!L$2:L$875,"PATIO - RESERVA"),0)</f>
        <v>0</v>
      </c>
      <c r="M584" s="10">
        <f>IFERROR(SUMIFS('Base bordo CD'!M$2:M$875,'Base bordo CD'!D$2:D$875,A584,'Base bordo CD'!A$2:A$875,B584,'Base bordo CD'!L$2:L$875,"SEM APONTAMENTO"),0)</f>
        <v>4.4444444444444444E-3</v>
      </c>
      <c r="N584" s="10">
        <f>IFERROR(SUMIFS('Base bordo CD'!M$2:M$875,'Base bordo CD'!D$2:D$875,A584,'Base bordo CD'!A$2:A$875,B584,'Base bordo CD'!L$2:L$875,"FALTA DE CAMINHÃO"),0)+IFERROR(SUMIFS('Base bordo CD'!M$2:M$875,'Base bordo CD'!D$2:D$875,A584,'Base bordo CD'!A$2:A$875,B584,'Base bordo CD'!L$2:L$875,"FALTA DE COMBUSTIVEL"),0)+IFERROR(SUMIFS('Base bordo CD'!M$2:M$875,'Base bordo CD'!D$2:D$875,A584,'Base bordo CD'!A$2:A$875,B584,'Base bordo CD'!L$2:L$875,"FALTA DE MOTORIST*"),0)</f>
        <v>0</v>
      </c>
      <c r="O584" s="10">
        <f t="shared" si="50"/>
        <v>0.10611111111111526</v>
      </c>
      <c r="P584" s="10">
        <f>IFERROR(SUMIFS('Base bordo CD'!M$2:M$875,'Base bordo CD'!D$2:D$875,A584,'Base bordo CD'!A$2:A$875,B584),0)</f>
        <v>24.000000000000004</v>
      </c>
      <c r="Q584" s="10">
        <f>IFERROR(SUMIFS('Base bordo CD'!O$2:O$875,'Base bordo CD'!D$2:D$875,A584,'Base bordo CD'!A$2:A$875,B584,'Base bordo CD'!L$2:L$875,"CORTE DE CANA MECANIZADO"),0)</f>
        <v>55289.72</v>
      </c>
      <c r="R584" s="10">
        <f>IFERROR(SUMIFS('Base bordo CD'!Q$2:Q$875,'Base bordo CD'!D$2:D$875,A584,'Base bordo CD'!A$2:A$875,B584,'Base bordo CD'!L$2:L$875,"CORTE DE CANA MECANIZADO"),0)</f>
        <v>14793</v>
      </c>
      <c r="S584" s="30">
        <f t="shared" si="51"/>
        <v>3.7375596565943354</v>
      </c>
      <c r="T584" s="9">
        <f t="shared" si="52"/>
        <v>0.1712268518518518</v>
      </c>
      <c r="U584" s="9">
        <f t="shared" si="53"/>
        <v>7.1516203703703693E-2</v>
      </c>
      <c r="V584" s="9">
        <f t="shared" si="54"/>
        <v>0.80769675925925932</v>
      </c>
    </row>
    <row r="585" spans="1:22" x14ac:dyDescent="0.35">
      <c r="A585" s="52">
        <v>49596</v>
      </c>
      <c r="B585" s="31">
        <v>46119</v>
      </c>
      <c r="C585" s="7" t="s">
        <v>337</v>
      </c>
      <c r="D585" s="7">
        <v>353</v>
      </c>
      <c r="E585" s="10">
        <f>IFERROR(SUMIFS('Base bordo CD'!M$2:M$875,'Base bordo CD'!D$2:D$875,A585,'Base bordo CD'!A$2:A$875,B585,'Base bordo CD'!L$2:L$875,"CORTE DE CANA MECANIZADO"),0)</f>
        <v>4.1094444444444438</v>
      </c>
      <c r="F585" s="10">
        <f>IFERROR(SUMIFS('Base bordo CD'!M$2:M$875,'Base bordo CD'!D$2:D$875,A585,'Base bordo CD'!A$2:A$875,B585,'Base bordo CD'!L$2:L$875,"MANOBRA"),0)</f>
        <v>1.716388888888889</v>
      </c>
      <c r="G585" s="10">
        <f>IFERROR(SUMIFS('Base bordo CD'!M$2:M$875,'Base bordo CD'!D$2:D$875,A585,'Base bordo CD'!A$2:A$875,B585,'Base bordo CD'!L$2:L$875,"DESLOCAMENTO"),0)</f>
        <v>0.50583333333333336</v>
      </c>
      <c r="H585" s="10">
        <f>IFERROR(SUMIFS('Base bordo CD'!M$2:M$875,'Base bordo CD'!D$2:D$875,A585,'Base bordo CD'!A$2:A$875,B585,'Base bordo CD'!L$2:L$875,"AGUARDANDO MANOBRA DE TRANSBORDO"),0)+IFERROR(SUMIFS('Base bordo CD'!M$2:M$875,'Base bordo CD'!D$2:D$875,A585,'Base bordo CD'!A$2:A$875,B585,'Base bordo CD'!L$2:L$875,"FALTA DE TRANSBORDO"),0)</f>
        <v>0.48555555555555557</v>
      </c>
      <c r="I585" s="10">
        <f>IFERROR(SUMIFS('Base bordo CD'!M$2:M$875,'Base bordo CD'!D$2:D$875,A585,'Base bordo CD'!A$2:A$875,B585,'Base bordo CD'!L$2:L$875,"PARADA POR CONDICOES CLIMATICAS"),0)+IFERROR(SUMIFS('Base bordo CD'!M$2:M$875,'Base bordo CD'!D$2:D$875,A585,'Base bordo CD'!A$2:A$875,B585,'Base bordo CD'!L$2:L$875,"TEMPO INDETERMINADO"),0)</f>
        <v>15.052222222222222</v>
      </c>
      <c r="J585" s="10">
        <f>IFERROR(SUMIFS('Base bordo CD'!M$2:M$875,'Base bordo CD'!D$2:D$875,A585,'Base bordo CD'!A$2:A$875,B585,'Base bordo CD'!L$2:L$875,"LIMITAÇÃO INDÚSTRIA"),0)</f>
        <v>0</v>
      </c>
      <c r="K585" s="10">
        <f>IFERROR(SUMIFS('Base bordo CD'!M$2:M$875,'Base bordo CD'!D$2:D$875,A585,'Base bordo CD'!A$2:A$875,B585,'Base bordo CD'!L$2:L$875,"MAN CORRETIVA*"),0)+IFERROR(SUMIFS('Base bordo CD'!M$2:M$875,'Base bordo CD'!D$2:D$875,A585,'Base bordo CD'!A$2:A$875,B585,'Base bordo CD'!L$2:L$875,"AGUARDANDO MANUTENCAO*"),0)+IFERROR(SUMIFS('Base bordo CD'!M$2:M$875,'Base bordo CD'!D$2:D$875,A585,'Base bordo CD'!A$2:A$875,B585,'Base bordo CD'!L$2:L$875,"TROCA DE FAQUINHA"),0)+IFERROR(SUMIFS('Base bordo CD'!M$2:M$875,'Base bordo CD'!D$2:D$875,A585,'Base bordo CD'!A$2:A$875,B585,'Base bordo CD'!L$2:L$875,"LIMPEZA*"),0)</f>
        <v>2.02</v>
      </c>
      <c r="L585" s="10">
        <f>IFERROR(SUMIFS('Base bordo CD'!M$2:M$875,'Base bordo CD'!D$2:D$875,A585,'Base bordo CD'!A$2:A$875,B585,'Base bordo CD'!L$2:L$875,"PATIO - RESERVA"),0)</f>
        <v>0</v>
      </c>
      <c r="M585" s="10">
        <f>IFERROR(SUMIFS('Base bordo CD'!M$2:M$875,'Base bordo CD'!D$2:D$875,A585,'Base bordo CD'!A$2:A$875,B585,'Base bordo CD'!L$2:L$875,"SEM APONTAMENTO"),0)</f>
        <v>4.4444444444444444E-3</v>
      </c>
      <c r="N585" s="10">
        <f>IFERROR(SUMIFS('Base bordo CD'!M$2:M$875,'Base bordo CD'!D$2:D$875,A585,'Base bordo CD'!A$2:A$875,B585,'Base bordo CD'!L$2:L$875,"FALTA DE CAMINHÃO"),0)+IFERROR(SUMIFS('Base bordo CD'!M$2:M$875,'Base bordo CD'!D$2:D$875,A585,'Base bordo CD'!A$2:A$875,B585,'Base bordo CD'!L$2:L$875,"FALTA DE COMBUSTIVEL"),0)+IFERROR(SUMIFS('Base bordo CD'!M$2:M$875,'Base bordo CD'!D$2:D$875,A585,'Base bordo CD'!A$2:A$875,B585,'Base bordo CD'!L$2:L$875,"FALTA DE MOTORIST*"),0)</f>
        <v>0</v>
      </c>
      <c r="O585" s="10">
        <f t="shared" si="50"/>
        <v>0.10611111111111526</v>
      </c>
      <c r="P585" s="10">
        <f>IFERROR(SUMIFS('Base bordo CD'!M$2:M$875,'Base bordo CD'!D$2:D$875,A585,'Base bordo CD'!A$2:A$875,B585),0)</f>
        <v>24.000000000000004</v>
      </c>
      <c r="Q585" s="10">
        <f>IFERROR(SUMIFS('Base bordo CD'!O$2:O$875,'Base bordo CD'!D$2:D$875,A585,'Base bordo CD'!A$2:A$875,B585,'Base bordo CD'!L$2:L$875,"CORTE DE CANA MECANIZADO"),0)</f>
        <v>55289.72</v>
      </c>
      <c r="R585" s="10">
        <f>IFERROR(SUMIFS('Base bordo CD'!Q$2:Q$875,'Base bordo CD'!D$2:D$875,A585,'Base bordo CD'!A$2:A$875,B585,'Base bordo CD'!L$2:L$875,"CORTE DE CANA MECANIZADO"),0)</f>
        <v>14793</v>
      </c>
      <c r="S585" s="30">
        <f t="shared" si="51"/>
        <v>3.7375596565943354</v>
      </c>
      <c r="T585" s="9">
        <f t="shared" si="52"/>
        <v>0.1712268518518518</v>
      </c>
      <c r="U585" s="9">
        <f t="shared" si="53"/>
        <v>7.1516203703703693E-2</v>
      </c>
      <c r="V585" s="9">
        <f t="shared" si="54"/>
        <v>0.80769675925925932</v>
      </c>
    </row>
    <row r="586" spans="1:22" x14ac:dyDescent="0.35">
      <c r="A586" s="52">
        <v>49596</v>
      </c>
      <c r="B586" s="31">
        <v>46119</v>
      </c>
      <c r="C586" s="7" t="s">
        <v>337</v>
      </c>
      <c r="D586" s="7">
        <v>353</v>
      </c>
      <c r="E586" s="10">
        <f>IFERROR(SUMIFS('Base bordo CD'!M$2:M$875,'Base bordo CD'!D$2:D$875,A586,'Base bordo CD'!A$2:A$875,B586,'Base bordo CD'!L$2:L$875,"CORTE DE CANA MECANIZADO"),0)</f>
        <v>4.1094444444444438</v>
      </c>
      <c r="F586" s="10">
        <f>IFERROR(SUMIFS('Base bordo CD'!M$2:M$875,'Base bordo CD'!D$2:D$875,A586,'Base bordo CD'!A$2:A$875,B586,'Base bordo CD'!L$2:L$875,"MANOBRA"),0)</f>
        <v>1.716388888888889</v>
      </c>
      <c r="G586" s="10">
        <f>IFERROR(SUMIFS('Base bordo CD'!M$2:M$875,'Base bordo CD'!D$2:D$875,A586,'Base bordo CD'!A$2:A$875,B586,'Base bordo CD'!L$2:L$875,"DESLOCAMENTO"),0)</f>
        <v>0.50583333333333336</v>
      </c>
      <c r="H586" s="10">
        <f>IFERROR(SUMIFS('Base bordo CD'!M$2:M$875,'Base bordo CD'!D$2:D$875,A586,'Base bordo CD'!A$2:A$875,B586,'Base bordo CD'!L$2:L$875,"AGUARDANDO MANOBRA DE TRANSBORDO"),0)+IFERROR(SUMIFS('Base bordo CD'!M$2:M$875,'Base bordo CD'!D$2:D$875,A586,'Base bordo CD'!A$2:A$875,B586,'Base bordo CD'!L$2:L$875,"FALTA DE TRANSBORDO"),0)</f>
        <v>0.48555555555555557</v>
      </c>
      <c r="I586" s="10">
        <f>IFERROR(SUMIFS('Base bordo CD'!M$2:M$875,'Base bordo CD'!D$2:D$875,A586,'Base bordo CD'!A$2:A$875,B586,'Base bordo CD'!L$2:L$875,"PARADA POR CONDICOES CLIMATICAS"),0)+IFERROR(SUMIFS('Base bordo CD'!M$2:M$875,'Base bordo CD'!D$2:D$875,A586,'Base bordo CD'!A$2:A$875,B586,'Base bordo CD'!L$2:L$875,"TEMPO INDETERMINADO"),0)</f>
        <v>15.052222222222222</v>
      </c>
      <c r="J586" s="10">
        <f>IFERROR(SUMIFS('Base bordo CD'!M$2:M$875,'Base bordo CD'!D$2:D$875,A586,'Base bordo CD'!A$2:A$875,B586,'Base bordo CD'!L$2:L$875,"LIMITAÇÃO INDÚSTRIA"),0)</f>
        <v>0</v>
      </c>
      <c r="K586" s="10">
        <f>IFERROR(SUMIFS('Base bordo CD'!M$2:M$875,'Base bordo CD'!D$2:D$875,A586,'Base bordo CD'!A$2:A$875,B586,'Base bordo CD'!L$2:L$875,"MAN CORRETIVA*"),0)+IFERROR(SUMIFS('Base bordo CD'!M$2:M$875,'Base bordo CD'!D$2:D$875,A586,'Base bordo CD'!A$2:A$875,B586,'Base bordo CD'!L$2:L$875,"AGUARDANDO MANUTENCAO*"),0)+IFERROR(SUMIFS('Base bordo CD'!M$2:M$875,'Base bordo CD'!D$2:D$875,A586,'Base bordo CD'!A$2:A$875,B586,'Base bordo CD'!L$2:L$875,"TROCA DE FAQUINHA"),0)+IFERROR(SUMIFS('Base bordo CD'!M$2:M$875,'Base bordo CD'!D$2:D$875,A586,'Base bordo CD'!A$2:A$875,B586,'Base bordo CD'!L$2:L$875,"LIMPEZA*"),0)</f>
        <v>2.02</v>
      </c>
      <c r="L586" s="10">
        <f>IFERROR(SUMIFS('Base bordo CD'!M$2:M$875,'Base bordo CD'!D$2:D$875,A586,'Base bordo CD'!A$2:A$875,B586,'Base bordo CD'!L$2:L$875,"PATIO - RESERVA"),0)</f>
        <v>0</v>
      </c>
      <c r="M586" s="10">
        <f>IFERROR(SUMIFS('Base bordo CD'!M$2:M$875,'Base bordo CD'!D$2:D$875,A586,'Base bordo CD'!A$2:A$875,B586,'Base bordo CD'!L$2:L$875,"SEM APONTAMENTO"),0)</f>
        <v>4.4444444444444444E-3</v>
      </c>
      <c r="N586" s="10">
        <f>IFERROR(SUMIFS('Base bordo CD'!M$2:M$875,'Base bordo CD'!D$2:D$875,A586,'Base bordo CD'!A$2:A$875,B586,'Base bordo CD'!L$2:L$875,"FALTA DE CAMINHÃO"),0)+IFERROR(SUMIFS('Base bordo CD'!M$2:M$875,'Base bordo CD'!D$2:D$875,A586,'Base bordo CD'!A$2:A$875,B586,'Base bordo CD'!L$2:L$875,"FALTA DE COMBUSTIVEL"),0)+IFERROR(SUMIFS('Base bordo CD'!M$2:M$875,'Base bordo CD'!D$2:D$875,A586,'Base bordo CD'!A$2:A$875,B586,'Base bordo CD'!L$2:L$875,"FALTA DE MOTORIST*"),0)</f>
        <v>0</v>
      </c>
      <c r="O586" s="10">
        <f t="shared" si="50"/>
        <v>0.10611111111111526</v>
      </c>
      <c r="P586" s="10">
        <f>IFERROR(SUMIFS('Base bordo CD'!M$2:M$875,'Base bordo CD'!D$2:D$875,A586,'Base bordo CD'!A$2:A$875,B586),0)</f>
        <v>24.000000000000004</v>
      </c>
      <c r="Q586" s="10">
        <f>IFERROR(SUMIFS('Base bordo CD'!O$2:O$875,'Base bordo CD'!D$2:D$875,A586,'Base bordo CD'!A$2:A$875,B586,'Base bordo CD'!L$2:L$875,"CORTE DE CANA MECANIZADO"),0)</f>
        <v>55289.72</v>
      </c>
      <c r="R586" s="10">
        <f>IFERROR(SUMIFS('Base bordo CD'!Q$2:Q$875,'Base bordo CD'!D$2:D$875,A586,'Base bordo CD'!A$2:A$875,B586,'Base bordo CD'!L$2:L$875,"CORTE DE CANA MECANIZADO"),0)</f>
        <v>14793</v>
      </c>
      <c r="S586" s="30">
        <f t="shared" si="51"/>
        <v>3.7375596565943354</v>
      </c>
      <c r="T586" s="9">
        <f t="shared" si="52"/>
        <v>0.1712268518518518</v>
      </c>
      <c r="U586" s="9">
        <f t="shared" si="53"/>
        <v>7.1516203703703693E-2</v>
      </c>
      <c r="V586" s="9">
        <f t="shared" si="54"/>
        <v>0.80769675925925932</v>
      </c>
    </row>
    <row r="587" spans="1:22" x14ac:dyDescent="0.35">
      <c r="A587" s="52">
        <v>49596</v>
      </c>
      <c r="B587" s="31">
        <v>46119</v>
      </c>
      <c r="C587" s="7" t="s">
        <v>337</v>
      </c>
      <c r="D587" s="7">
        <v>353</v>
      </c>
      <c r="E587" s="10">
        <f>IFERROR(SUMIFS('Base bordo CD'!M$2:M$875,'Base bordo CD'!D$2:D$875,A587,'Base bordo CD'!A$2:A$875,B587,'Base bordo CD'!L$2:L$875,"CORTE DE CANA MECANIZADO"),0)</f>
        <v>4.1094444444444438</v>
      </c>
      <c r="F587" s="10">
        <f>IFERROR(SUMIFS('Base bordo CD'!M$2:M$875,'Base bordo CD'!D$2:D$875,A587,'Base bordo CD'!A$2:A$875,B587,'Base bordo CD'!L$2:L$875,"MANOBRA"),0)</f>
        <v>1.716388888888889</v>
      </c>
      <c r="G587" s="10">
        <f>IFERROR(SUMIFS('Base bordo CD'!M$2:M$875,'Base bordo CD'!D$2:D$875,A587,'Base bordo CD'!A$2:A$875,B587,'Base bordo CD'!L$2:L$875,"DESLOCAMENTO"),0)</f>
        <v>0.50583333333333336</v>
      </c>
      <c r="H587" s="10">
        <f>IFERROR(SUMIFS('Base bordo CD'!M$2:M$875,'Base bordo CD'!D$2:D$875,A587,'Base bordo CD'!A$2:A$875,B587,'Base bordo CD'!L$2:L$875,"AGUARDANDO MANOBRA DE TRANSBORDO"),0)+IFERROR(SUMIFS('Base bordo CD'!M$2:M$875,'Base bordo CD'!D$2:D$875,A587,'Base bordo CD'!A$2:A$875,B587,'Base bordo CD'!L$2:L$875,"FALTA DE TRANSBORDO"),0)</f>
        <v>0.48555555555555557</v>
      </c>
      <c r="I587" s="10">
        <f>IFERROR(SUMIFS('Base bordo CD'!M$2:M$875,'Base bordo CD'!D$2:D$875,A587,'Base bordo CD'!A$2:A$875,B587,'Base bordo CD'!L$2:L$875,"PARADA POR CONDICOES CLIMATICAS"),0)+IFERROR(SUMIFS('Base bordo CD'!M$2:M$875,'Base bordo CD'!D$2:D$875,A587,'Base bordo CD'!A$2:A$875,B587,'Base bordo CD'!L$2:L$875,"TEMPO INDETERMINADO"),0)</f>
        <v>15.052222222222222</v>
      </c>
      <c r="J587" s="10">
        <f>IFERROR(SUMIFS('Base bordo CD'!M$2:M$875,'Base bordo CD'!D$2:D$875,A587,'Base bordo CD'!A$2:A$875,B587,'Base bordo CD'!L$2:L$875,"LIMITAÇÃO INDÚSTRIA"),0)</f>
        <v>0</v>
      </c>
      <c r="K587" s="10">
        <f>IFERROR(SUMIFS('Base bordo CD'!M$2:M$875,'Base bordo CD'!D$2:D$875,A587,'Base bordo CD'!A$2:A$875,B587,'Base bordo CD'!L$2:L$875,"MAN CORRETIVA*"),0)+IFERROR(SUMIFS('Base bordo CD'!M$2:M$875,'Base bordo CD'!D$2:D$875,A587,'Base bordo CD'!A$2:A$875,B587,'Base bordo CD'!L$2:L$875,"AGUARDANDO MANUTENCAO*"),0)+IFERROR(SUMIFS('Base bordo CD'!M$2:M$875,'Base bordo CD'!D$2:D$875,A587,'Base bordo CD'!A$2:A$875,B587,'Base bordo CD'!L$2:L$875,"TROCA DE FAQUINHA"),0)+IFERROR(SUMIFS('Base bordo CD'!M$2:M$875,'Base bordo CD'!D$2:D$875,A587,'Base bordo CD'!A$2:A$875,B587,'Base bordo CD'!L$2:L$875,"LIMPEZA*"),0)</f>
        <v>2.02</v>
      </c>
      <c r="L587" s="10">
        <f>IFERROR(SUMIFS('Base bordo CD'!M$2:M$875,'Base bordo CD'!D$2:D$875,A587,'Base bordo CD'!A$2:A$875,B587,'Base bordo CD'!L$2:L$875,"PATIO - RESERVA"),0)</f>
        <v>0</v>
      </c>
      <c r="M587" s="10">
        <f>IFERROR(SUMIFS('Base bordo CD'!M$2:M$875,'Base bordo CD'!D$2:D$875,A587,'Base bordo CD'!A$2:A$875,B587,'Base bordo CD'!L$2:L$875,"SEM APONTAMENTO"),0)</f>
        <v>4.4444444444444444E-3</v>
      </c>
      <c r="N587" s="10">
        <f>IFERROR(SUMIFS('Base bordo CD'!M$2:M$875,'Base bordo CD'!D$2:D$875,A587,'Base bordo CD'!A$2:A$875,B587,'Base bordo CD'!L$2:L$875,"FALTA DE CAMINHÃO"),0)+IFERROR(SUMIFS('Base bordo CD'!M$2:M$875,'Base bordo CD'!D$2:D$875,A587,'Base bordo CD'!A$2:A$875,B587,'Base bordo CD'!L$2:L$875,"FALTA DE COMBUSTIVEL"),0)+IFERROR(SUMIFS('Base bordo CD'!M$2:M$875,'Base bordo CD'!D$2:D$875,A587,'Base bordo CD'!A$2:A$875,B587,'Base bordo CD'!L$2:L$875,"FALTA DE MOTORIST*"),0)</f>
        <v>0</v>
      </c>
      <c r="O587" s="10">
        <f t="shared" si="50"/>
        <v>0.10611111111111526</v>
      </c>
      <c r="P587" s="10">
        <f>IFERROR(SUMIFS('Base bordo CD'!M$2:M$875,'Base bordo CD'!D$2:D$875,A587,'Base bordo CD'!A$2:A$875,B587),0)</f>
        <v>24.000000000000004</v>
      </c>
      <c r="Q587" s="10">
        <f>IFERROR(SUMIFS('Base bordo CD'!O$2:O$875,'Base bordo CD'!D$2:D$875,A587,'Base bordo CD'!A$2:A$875,B587,'Base bordo CD'!L$2:L$875,"CORTE DE CANA MECANIZADO"),0)</f>
        <v>55289.72</v>
      </c>
      <c r="R587" s="10">
        <f>IFERROR(SUMIFS('Base bordo CD'!Q$2:Q$875,'Base bordo CD'!D$2:D$875,A587,'Base bordo CD'!A$2:A$875,B587,'Base bordo CD'!L$2:L$875,"CORTE DE CANA MECANIZADO"),0)</f>
        <v>14793</v>
      </c>
      <c r="S587" s="30">
        <f t="shared" si="51"/>
        <v>3.7375596565943354</v>
      </c>
      <c r="T587" s="9">
        <f t="shared" si="52"/>
        <v>0.1712268518518518</v>
      </c>
      <c r="U587" s="9">
        <f t="shared" si="53"/>
        <v>7.1516203703703693E-2</v>
      </c>
      <c r="V587" s="9">
        <f t="shared" si="54"/>
        <v>0.80769675925925932</v>
      </c>
    </row>
    <row r="588" spans="1:22" x14ac:dyDescent="0.35">
      <c r="A588" s="52">
        <v>49596</v>
      </c>
      <c r="B588" s="31">
        <v>46119</v>
      </c>
      <c r="C588" s="7" t="s">
        <v>337</v>
      </c>
      <c r="D588" s="7">
        <v>353</v>
      </c>
      <c r="E588" s="10">
        <f>IFERROR(SUMIFS('Base bordo CD'!M$2:M$875,'Base bordo CD'!D$2:D$875,A588,'Base bordo CD'!A$2:A$875,B588,'Base bordo CD'!L$2:L$875,"CORTE DE CANA MECANIZADO"),0)</f>
        <v>4.1094444444444438</v>
      </c>
      <c r="F588" s="10">
        <f>IFERROR(SUMIFS('Base bordo CD'!M$2:M$875,'Base bordo CD'!D$2:D$875,A588,'Base bordo CD'!A$2:A$875,B588,'Base bordo CD'!L$2:L$875,"MANOBRA"),0)</f>
        <v>1.716388888888889</v>
      </c>
      <c r="G588" s="10">
        <f>IFERROR(SUMIFS('Base bordo CD'!M$2:M$875,'Base bordo CD'!D$2:D$875,A588,'Base bordo CD'!A$2:A$875,B588,'Base bordo CD'!L$2:L$875,"DESLOCAMENTO"),0)</f>
        <v>0.50583333333333336</v>
      </c>
      <c r="H588" s="10">
        <f>IFERROR(SUMIFS('Base bordo CD'!M$2:M$875,'Base bordo CD'!D$2:D$875,A588,'Base bordo CD'!A$2:A$875,B588,'Base bordo CD'!L$2:L$875,"AGUARDANDO MANOBRA DE TRANSBORDO"),0)+IFERROR(SUMIFS('Base bordo CD'!M$2:M$875,'Base bordo CD'!D$2:D$875,A588,'Base bordo CD'!A$2:A$875,B588,'Base bordo CD'!L$2:L$875,"FALTA DE TRANSBORDO"),0)</f>
        <v>0.48555555555555557</v>
      </c>
      <c r="I588" s="10">
        <f>IFERROR(SUMIFS('Base bordo CD'!M$2:M$875,'Base bordo CD'!D$2:D$875,A588,'Base bordo CD'!A$2:A$875,B588,'Base bordo CD'!L$2:L$875,"PARADA POR CONDICOES CLIMATICAS"),0)+IFERROR(SUMIFS('Base bordo CD'!M$2:M$875,'Base bordo CD'!D$2:D$875,A588,'Base bordo CD'!A$2:A$875,B588,'Base bordo CD'!L$2:L$875,"TEMPO INDETERMINADO"),0)</f>
        <v>15.052222222222222</v>
      </c>
      <c r="J588" s="10">
        <f>IFERROR(SUMIFS('Base bordo CD'!M$2:M$875,'Base bordo CD'!D$2:D$875,A588,'Base bordo CD'!A$2:A$875,B588,'Base bordo CD'!L$2:L$875,"LIMITAÇÃO INDÚSTRIA"),0)</f>
        <v>0</v>
      </c>
      <c r="K588" s="10">
        <f>IFERROR(SUMIFS('Base bordo CD'!M$2:M$875,'Base bordo CD'!D$2:D$875,A588,'Base bordo CD'!A$2:A$875,B588,'Base bordo CD'!L$2:L$875,"MAN CORRETIVA*"),0)+IFERROR(SUMIFS('Base bordo CD'!M$2:M$875,'Base bordo CD'!D$2:D$875,A588,'Base bordo CD'!A$2:A$875,B588,'Base bordo CD'!L$2:L$875,"AGUARDANDO MANUTENCAO*"),0)+IFERROR(SUMIFS('Base bordo CD'!M$2:M$875,'Base bordo CD'!D$2:D$875,A588,'Base bordo CD'!A$2:A$875,B588,'Base bordo CD'!L$2:L$875,"TROCA DE FAQUINHA"),0)+IFERROR(SUMIFS('Base bordo CD'!M$2:M$875,'Base bordo CD'!D$2:D$875,A588,'Base bordo CD'!A$2:A$875,B588,'Base bordo CD'!L$2:L$875,"LIMPEZA*"),0)</f>
        <v>2.02</v>
      </c>
      <c r="L588" s="10">
        <f>IFERROR(SUMIFS('Base bordo CD'!M$2:M$875,'Base bordo CD'!D$2:D$875,A588,'Base bordo CD'!A$2:A$875,B588,'Base bordo CD'!L$2:L$875,"PATIO - RESERVA"),0)</f>
        <v>0</v>
      </c>
      <c r="M588" s="10">
        <f>IFERROR(SUMIFS('Base bordo CD'!M$2:M$875,'Base bordo CD'!D$2:D$875,A588,'Base bordo CD'!A$2:A$875,B588,'Base bordo CD'!L$2:L$875,"SEM APONTAMENTO"),0)</f>
        <v>4.4444444444444444E-3</v>
      </c>
      <c r="N588" s="10">
        <f>IFERROR(SUMIFS('Base bordo CD'!M$2:M$875,'Base bordo CD'!D$2:D$875,A588,'Base bordo CD'!A$2:A$875,B588,'Base bordo CD'!L$2:L$875,"FALTA DE CAMINHÃO"),0)+IFERROR(SUMIFS('Base bordo CD'!M$2:M$875,'Base bordo CD'!D$2:D$875,A588,'Base bordo CD'!A$2:A$875,B588,'Base bordo CD'!L$2:L$875,"FALTA DE COMBUSTIVEL"),0)+IFERROR(SUMIFS('Base bordo CD'!M$2:M$875,'Base bordo CD'!D$2:D$875,A588,'Base bordo CD'!A$2:A$875,B588,'Base bordo CD'!L$2:L$875,"FALTA DE MOTORIST*"),0)</f>
        <v>0</v>
      </c>
      <c r="O588" s="10">
        <f t="shared" si="50"/>
        <v>0.10611111111111526</v>
      </c>
      <c r="P588" s="10">
        <f>IFERROR(SUMIFS('Base bordo CD'!M$2:M$875,'Base bordo CD'!D$2:D$875,A588,'Base bordo CD'!A$2:A$875,B588),0)</f>
        <v>24.000000000000004</v>
      </c>
      <c r="Q588" s="10">
        <f>IFERROR(SUMIFS('Base bordo CD'!O$2:O$875,'Base bordo CD'!D$2:D$875,A588,'Base bordo CD'!A$2:A$875,B588,'Base bordo CD'!L$2:L$875,"CORTE DE CANA MECANIZADO"),0)</f>
        <v>55289.72</v>
      </c>
      <c r="R588" s="10">
        <f>IFERROR(SUMIFS('Base bordo CD'!Q$2:Q$875,'Base bordo CD'!D$2:D$875,A588,'Base bordo CD'!A$2:A$875,B588,'Base bordo CD'!L$2:L$875,"CORTE DE CANA MECANIZADO"),0)</f>
        <v>14793</v>
      </c>
      <c r="S588" s="30">
        <f t="shared" si="51"/>
        <v>3.7375596565943354</v>
      </c>
      <c r="T588" s="9">
        <f t="shared" si="52"/>
        <v>0.1712268518518518</v>
      </c>
      <c r="U588" s="9">
        <f t="shared" si="53"/>
        <v>7.1516203703703693E-2</v>
      </c>
      <c r="V588" s="9">
        <f t="shared" si="54"/>
        <v>0.80769675925925932</v>
      </c>
    </row>
    <row r="589" spans="1:22" x14ac:dyDescent="0.35">
      <c r="A589" s="52">
        <v>49596</v>
      </c>
      <c r="B589" s="31">
        <v>46119</v>
      </c>
      <c r="C589" s="7" t="s">
        <v>337</v>
      </c>
      <c r="D589" s="7">
        <v>353</v>
      </c>
      <c r="E589" s="10">
        <f>IFERROR(SUMIFS('Base bordo CD'!M$2:M$875,'Base bordo CD'!D$2:D$875,A589,'Base bordo CD'!A$2:A$875,B589,'Base bordo CD'!L$2:L$875,"CORTE DE CANA MECANIZADO"),0)</f>
        <v>4.1094444444444438</v>
      </c>
      <c r="F589" s="10">
        <f>IFERROR(SUMIFS('Base bordo CD'!M$2:M$875,'Base bordo CD'!D$2:D$875,A589,'Base bordo CD'!A$2:A$875,B589,'Base bordo CD'!L$2:L$875,"MANOBRA"),0)</f>
        <v>1.716388888888889</v>
      </c>
      <c r="G589" s="10">
        <f>IFERROR(SUMIFS('Base bordo CD'!M$2:M$875,'Base bordo CD'!D$2:D$875,A589,'Base bordo CD'!A$2:A$875,B589,'Base bordo CD'!L$2:L$875,"DESLOCAMENTO"),0)</f>
        <v>0.50583333333333336</v>
      </c>
      <c r="H589" s="10">
        <f>IFERROR(SUMIFS('Base bordo CD'!M$2:M$875,'Base bordo CD'!D$2:D$875,A589,'Base bordo CD'!A$2:A$875,B589,'Base bordo CD'!L$2:L$875,"AGUARDANDO MANOBRA DE TRANSBORDO"),0)+IFERROR(SUMIFS('Base bordo CD'!M$2:M$875,'Base bordo CD'!D$2:D$875,A589,'Base bordo CD'!A$2:A$875,B589,'Base bordo CD'!L$2:L$875,"FALTA DE TRANSBORDO"),0)</f>
        <v>0.48555555555555557</v>
      </c>
      <c r="I589" s="10">
        <f>IFERROR(SUMIFS('Base bordo CD'!M$2:M$875,'Base bordo CD'!D$2:D$875,A589,'Base bordo CD'!A$2:A$875,B589,'Base bordo CD'!L$2:L$875,"PARADA POR CONDICOES CLIMATICAS"),0)+IFERROR(SUMIFS('Base bordo CD'!M$2:M$875,'Base bordo CD'!D$2:D$875,A589,'Base bordo CD'!A$2:A$875,B589,'Base bordo CD'!L$2:L$875,"TEMPO INDETERMINADO"),0)</f>
        <v>15.052222222222222</v>
      </c>
      <c r="J589" s="10">
        <f>IFERROR(SUMIFS('Base bordo CD'!M$2:M$875,'Base bordo CD'!D$2:D$875,A589,'Base bordo CD'!A$2:A$875,B589,'Base bordo CD'!L$2:L$875,"LIMITAÇÃO INDÚSTRIA"),0)</f>
        <v>0</v>
      </c>
      <c r="K589" s="10">
        <f>IFERROR(SUMIFS('Base bordo CD'!M$2:M$875,'Base bordo CD'!D$2:D$875,A589,'Base bordo CD'!A$2:A$875,B589,'Base bordo CD'!L$2:L$875,"MAN CORRETIVA*"),0)+IFERROR(SUMIFS('Base bordo CD'!M$2:M$875,'Base bordo CD'!D$2:D$875,A589,'Base bordo CD'!A$2:A$875,B589,'Base bordo CD'!L$2:L$875,"AGUARDANDO MANUTENCAO*"),0)+IFERROR(SUMIFS('Base bordo CD'!M$2:M$875,'Base bordo CD'!D$2:D$875,A589,'Base bordo CD'!A$2:A$875,B589,'Base bordo CD'!L$2:L$875,"TROCA DE FAQUINHA"),0)+IFERROR(SUMIFS('Base bordo CD'!M$2:M$875,'Base bordo CD'!D$2:D$875,A589,'Base bordo CD'!A$2:A$875,B589,'Base bordo CD'!L$2:L$875,"LIMPEZA*"),0)</f>
        <v>2.02</v>
      </c>
      <c r="L589" s="10">
        <f>IFERROR(SUMIFS('Base bordo CD'!M$2:M$875,'Base bordo CD'!D$2:D$875,A589,'Base bordo CD'!A$2:A$875,B589,'Base bordo CD'!L$2:L$875,"PATIO - RESERVA"),0)</f>
        <v>0</v>
      </c>
      <c r="M589" s="10">
        <f>IFERROR(SUMIFS('Base bordo CD'!M$2:M$875,'Base bordo CD'!D$2:D$875,A589,'Base bordo CD'!A$2:A$875,B589,'Base bordo CD'!L$2:L$875,"SEM APONTAMENTO"),0)</f>
        <v>4.4444444444444444E-3</v>
      </c>
      <c r="N589" s="10">
        <f>IFERROR(SUMIFS('Base bordo CD'!M$2:M$875,'Base bordo CD'!D$2:D$875,A589,'Base bordo CD'!A$2:A$875,B589,'Base bordo CD'!L$2:L$875,"FALTA DE CAMINHÃO"),0)+IFERROR(SUMIFS('Base bordo CD'!M$2:M$875,'Base bordo CD'!D$2:D$875,A589,'Base bordo CD'!A$2:A$875,B589,'Base bordo CD'!L$2:L$875,"FALTA DE COMBUSTIVEL"),0)+IFERROR(SUMIFS('Base bordo CD'!M$2:M$875,'Base bordo CD'!D$2:D$875,A589,'Base bordo CD'!A$2:A$875,B589,'Base bordo CD'!L$2:L$875,"FALTA DE MOTORIST*"),0)</f>
        <v>0</v>
      </c>
      <c r="O589" s="10">
        <f t="shared" si="50"/>
        <v>0.10611111111111526</v>
      </c>
      <c r="P589" s="10">
        <f>IFERROR(SUMIFS('Base bordo CD'!M$2:M$875,'Base bordo CD'!D$2:D$875,A589,'Base bordo CD'!A$2:A$875,B589),0)</f>
        <v>24.000000000000004</v>
      </c>
      <c r="Q589" s="10">
        <f>IFERROR(SUMIFS('Base bordo CD'!O$2:O$875,'Base bordo CD'!D$2:D$875,A589,'Base bordo CD'!A$2:A$875,B589,'Base bordo CD'!L$2:L$875,"CORTE DE CANA MECANIZADO"),0)</f>
        <v>55289.72</v>
      </c>
      <c r="R589" s="10">
        <f>IFERROR(SUMIFS('Base bordo CD'!Q$2:Q$875,'Base bordo CD'!D$2:D$875,A589,'Base bordo CD'!A$2:A$875,B589,'Base bordo CD'!L$2:L$875,"CORTE DE CANA MECANIZADO"),0)</f>
        <v>14793</v>
      </c>
      <c r="S589" s="30">
        <f t="shared" si="51"/>
        <v>3.7375596565943354</v>
      </c>
      <c r="T589" s="9">
        <f t="shared" si="52"/>
        <v>0.1712268518518518</v>
      </c>
      <c r="U589" s="9">
        <f t="shared" si="53"/>
        <v>7.1516203703703693E-2</v>
      </c>
      <c r="V589" s="9">
        <f t="shared" si="54"/>
        <v>0.80769675925925932</v>
      </c>
    </row>
    <row r="590" spans="1:22" x14ac:dyDescent="0.35">
      <c r="A590" s="52">
        <v>49596</v>
      </c>
      <c r="B590" s="31">
        <v>46119</v>
      </c>
      <c r="C590" s="7" t="s">
        <v>337</v>
      </c>
      <c r="D590" s="7">
        <v>353</v>
      </c>
      <c r="E590" s="10">
        <f>IFERROR(SUMIFS('Base bordo CD'!M$2:M$875,'Base bordo CD'!D$2:D$875,A590,'Base bordo CD'!A$2:A$875,B590,'Base bordo CD'!L$2:L$875,"CORTE DE CANA MECANIZADO"),0)</f>
        <v>4.1094444444444438</v>
      </c>
      <c r="F590" s="10">
        <f>IFERROR(SUMIFS('Base bordo CD'!M$2:M$875,'Base bordo CD'!D$2:D$875,A590,'Base bordo CD'!A$2:A$875,B590,'Base bordo CD'!L$2:L$875,"MANOBRA"),0)</f>
        <v>1.716388888888889</v>
      </c>
      <c r="G590" s="10">
        <f>IFERROR(SUMIFS('Base bordo CD'!M$2:M$875,'Base bordo CD'!D$2:D$875,A590,'Base bordo CD'!A$2:A$875,B590,'Base bordo CD'!L$2:L$875,"DESLOCAMENTO"),0)</f>
        <v>0.50583333333333336</v>
      </c>
      <c r="H590" s="10">
        <f>IFERROR(SUMIFS('Base bordo CD'!M$2:M$875,'Base bordo CD'!D$2:D$875,A590,'Base bordo CD'!A$2:A$875,B590,'Base bordo CD'!L$2:L$875,"AGUARDANDO MANOBRA DE TRANSBORDO"),0)+IFERROR(SUMIFS('Base bordo CD'!M$2:M$875,'Base bordo CD'!D$2:D$875,A590,'Base bordo CD'!A$2:A$875,B590,'Base bordo CD'!L$2:L$875,"FALTA DE TRANSBORDO"),0)</f>
        <v>0.48555555555555557</v>
      </c>
      <c r="I590" s="10">
        <f>IFERROR(SUMIFS('Base bordo CD'!M$2:M$875,'Base bordo CD'!D$2:D$875,A590,'Base bordo CD'!A$2:A$875,B590,'Base bordo CD'!L$2:L$875,"PARADA POR CONDICOES CLIMATICAS"),0)+IFERROR(SUMIFS('Base bordo CD'!M$2:M$875,'Base bordo CD'!D$2:D$875,A590,'Base bordo CD'!A$2:A$875,B590,'Base bordo CD'!L$2:L$875,"TEMPO INDETERMINADO"),0)</f>
        <v>15.052222222222222</v>
      </c>
      <c r="J590" s="10">
        <f>IFERROR(SUMIFS('Base bordo CD'!M$2:M$875,'Base bordo CD'!D$2:D$875,A590,'Base bordo CD'!A$2:A$875,B590,'Base bordo CD'!L$2:L$875,"LIMITAÇÃO INDÚSTRIA"),0)</f>
        <v>0</v>
      </c>
      <c r="K590" s="10">
        <f>IFERROR(SUMIFS('Base bordo CD'!M$2:M$875,'Base bordo CD'!D$2:D$875,A590,'Base bordo CD'!A$2:A$875,B590,'Base bordo CD'!L$2:L$875,"MAN CORRETIVA*"),0)+IFERROR(SUMIFS('Base bordo CD'!M$2:M$875,'Base bordo CD'!D$2:D$875,A590,'Base bordo CD'!A$2:A$875,B590,'Base bordo CD'!L$2:L$875,"AGUARDANDO MANUTENCAO*"),0)+IFERROR(SUMIFS('Base bordo CD'!M$2:M$875,'Base bordo CD'!D$2:D$875,A590,'Base bordo CD'!A$2:A$875,B590,'Base bordo CD'!L$2:L$875,"TROCA DE FAQUINHA"),0)+IFERROR(SUMIFS('Base bordo CD'!M$2:M$875,'Base bordo CD'!D$2:D$875,A590,'Base bordo CD'!A$2:A$875,B590,'Base bordo CD'!L$2:L$875,"LIMPEZA*"),0)</f>
        <v>2.02</v>
      </c>
      <c r="L590" s="10">
        <f>IFERROR(SUMIFS('Base bordo CD'!M$2:M$875,'Base bordo CD'!D$2:D$875,A590,'Base bordo CD'!A$2:A$875,B590,'Base bordo CD'!L$2:L$875,"PATIO - RESERVA"),0)</f>
        <v>0</v>
      </c>
      <c r="M590" s="10">
        <f>IFERROR(SUMIFS('Base bordo CD'!M$2:M$875,'Base bordo CD'!D$2:D$875,A590,'Base bordo CD'!A$2:A$875,B590,'Base bordo CD'!L$2:L$875,"SEM APONTAMENTO"),0)</f>
        <v>4.4444444444444444E-3</v>
      </c>
      <c r="N590" s="10">
        <f>IFERROR(SUMIFS('Base bordo CD'!M$2:M$875,'Base bordo CD'!D$2:D$875,A590,'Base bordo CD'!A$2:A$875,B590,'Base bordo CD'!L$2:L$875,"FALTA DE CAMINHÃO"),0)+IFERROR(SUMIFS('Base bordo CD'!M$2:M$875,'Base bordo CD'!D$2:D$875,A590,'Base bordo CD'!A$2:A$875,B590,'Base bordo CD'!L$2:L$875,"FALTA DE COMBUSTIVEL"),0)+IFERROR(SUMIFS('Base bordo CD'!M$2:M$875,'Base bordo CD'!D$2:D$875,A590,'Base bordo CD'!A$2:A$875,B590,'Base bordo CD'!L$2:L$875,"FALTA DE MOTORIST*"),0)</f>
        <v>0</v>
      </c>
      <c r="O590" s="10">
        <f t="shared" si="50"/>
        <v>0.10611111111111526</v>
      </c>
      <c r="P590" s="10">
        <f>IFERROR(SUMIFS('Base bordo CD'!M$2:M$875,'Base bordo CD'!D$2:D$875,A590,'Base bordo CD'!A$2:A$875,B590),0)</f>
        <v>24.000000000000004</v>
      </c>
      <c r="Q590" s="10">
        <f>IFERROR(SUMIFS('Base bordo CD'!O$2:O$875,'Base bordo CD'!D$2:D$875,A590,'Base bordo CD'!A$2:A$875,B590,'Base bordo CD'!L$2:L$875,"CORTE DE CANA MECANIZADO"),0)</f>
        <v>55289.72</v>
      </c>
      <c r="R590" s="10">
        <f>IFERROR(SUMIFS('Base bordo CD'!Q$2:Q$875,'Base bordo CD'!D$2:D$875,A590,'Base bordo CD'!A$2:A$875,B590,'Base bordo CD'!L$2:L$875,"CORTE DE CANA MECANIZADO"),0)</f>
        <v>14793</v>
      </c>
      <c r="S590" s="30">
        <f t="shared" si="51"/>
        <v>3.7375596565943354</v>
      </c>
      <c r="T590" s="9">
        <f t="shared" si="52"/>
        <v>0.1712268518518518</v>
      </c>
      <c r="U590" s="9">
        <f t="shared" si="53"/>
        <v>7.1516203703703693E-2</v>
      </c>
      <c r="V590" s="9">
        <f t="shared" si="54"/>
        <v>0.80769675925925932</v>
      </c>
    </row>
    <row r="591" spans="1:22" x14ac:dyDescent="0.35">
      <c r="A591" s="52">
        <v>49596</v>
      </c>
      <c r="B591" s="31">
        <v>46119</v>
      </c>
      <c r="C591" s="7" t="s">
        <v>337</v>
      </c>
      <c r="D591" s="7">
        <v>353</v>
      </c>
      <c r="E591" s="10">
        <f>IFERROR(SUMIFS('Base bordo CD'!M$2:M$875,'Base bordo CD'!D$2:D$875,A591,'Base bordo CD'!A$2:A$875,B591,'Base bordo CD'!L$2:L$875,"CORTE DE CANA MECANIZADO"),0)</f>
        <v>4.1094444444444438</v>
      </c>
      <c r="F591" s="10">
        <f>IFERROR(SUMIFS('Base bordo CD'!M$2:M$875,'Base bordo CD'!D$2:D$875,A591,'Base bordo CD'!A$2:A$875,B591,'Base bordo CD'!L$2:L$875,"MANOBRA"),0)</f>
        <v>1.716388888888889</v>
      </c>
      <c r="G591" s="10">
        <f>IFERROR(SUMIFS('Base bordo CD'!M$2:M$875,'Base bordo CD'!D$2:D$875,A591,'Base bordo CD'!A$2:A$875,B591,'Base bordo CD'!L$2:L$875,"DESLOCAMENTO"),0)</f>
        <v>0.50583333333333336</v>
      </c>
      <c r="H591" s="10">
        <f>IFERROR(SUMIFS('Base bordo CD'!M$2:M$875,'Base bordo CD'!D$2:D$875,A591,'Base bordo CD'!A$2:A$875,B591,'Base bordo CD'!L$2:L$875,"AGUARDANDO MANOBRA DE TRANSBORDO"),0)+IFERROR(SUMIFS('Base bordo CD'!M$2:M$875,'Base bordo CD'!D$2:D$875,A591,'Base bordo CD'!A$2:A$875,B591,'Base bordo CD'!L$2:L$875,"FALTA DE TRANSBORDO"),0)</f>
        <v>0.48555555555555557</v>
      </c>
      <c r="I591" s="10">
        <f>IFERROR(SUMIFS('Base bordo CD'!M$2:M$875,'Base bordo CD'!D$2:D$875,A591,'Base bordo CD'!A$2:A$875,B591,'Base bordo CD'!L$2:L$875,"PARADA POR CONDICOES CLIMATICAS"),0)+IFERROR(SUMIFS('Base bordo CD'!M$2:M$875,'Base bordo CD'!D$2:D$875,A591,'Base bordo CD'!A$2:A$875,B591,'Base bordo CD'!L$2:L$875,"TEMPO INDETERMINADO"),0)</f>
        <v>15.052222222222222</v>
      </c>
      <c r="J591" s="10">
        <f>IFERROR(SUMIFS('Base bordo CD'!M$2:M$875,'Base bordo CD'!D$2:D$875,A591,'Base bordo CD'!A$2:A$875,B591,'Base bordo CD'!L$2:L$875,"LIMITAÇÃO INDÚSTRIA"),0)</f>
        <v>0</v>
      </c>
      <c r="K591" s="10">
        <f>IFERROR(SUMIFS('Base bordo CD'!M$2:M$875,'Base bordo CD'!D$2:D$875,A591,'Base bordo CD'!A$2:A$875,B591,'Base bordo CD'!L$2:L$875,"MAN CORRETIVA*"),0)+IFERROR(SUMIFS('Base bordo CD'!M$2:M$875,'Base bordo CD'!D$2:D$875,A591,'Base bordo CD'!A$2:A$875,B591,'Base bordo CD'!L$2:L$875,"AGUARDANDO MANUTENCAO*"),0)+IFERROR(SUMIFS('Base bordo CD'!M$2:M$875,'Base bordo CD'!D$2:D$875,A591,'Base bordo CD'!A$2:A$875,B591,'Base bordo CD'!L$2:L$875,"TROCA DE FAQUINHA"),0)+IFERROR(SUMIFS('Base bordo CD'!M$2:M$875,'Base bordo CD'!D$2:D$875,A591,'Base bordo CD'!A$2:A$875,B591,'Base bordo CD'!L$2:L$875,"LIMPEZA*"),0)</f>
        <v>2.02</v>
      </c>
      <c r="L591" s="10">
        <f>IFERROR(SUMIFS('Base bordo CD'!M$2:M$875,'Base bordo CD'!D$2:D$875,A591,'Base bordo CD'!A$2:A$875,B591,'Base bordo CD'!L$2:L$875,"PATIO - RESERVA"),0)</f>
        <v>0</v>
      </c>
      <c r="M591" s="10">
        <f>IFERROR(SUMIFS('Base bordo CD'!M$2:M$875,'Base bordo CD'!D$2:D$875,A591,'Base bordo CD'!A$2:A$875,B591,'Base bordo CD'!L$2:L$875,"SEM APONTAMENTO"),0)</f>
        <v>4.4444444444444444E-3</v>
      </c>
      <c r="N591" s="10">
        <f>IFERROR(SUMIFS('Base bordo CD'!M$2:M$875,'Base bordo CD'!D$2:D$875,A591,'Base bordo CD'!A$2:A$875,B591,'Base bordo CD'!L$2:L$875,"FALTA DE CAMINHÃO"),0)+IFERROR(SUMIFS('Base bordo CD'!M$2:M$875,'Base bordo CD'!D$2:D$875,A591,'Base bordo CD'!A$2:A$875,B591,'Base bordo CD'!L$2:L$875,"FALTA DE COMBUSTIVEL"),0)+IFERROR(SUMIFS('Base bordo CD'!M$2:M$875,'Base bordo CD'!D$2:D$875,A591,'Base bordo CD'!A$2:A$875,B591,'Base bordo CD'!L$2:L$875,"FALTA DE MOTORIST*"),0)</f>
        <v>0</v>
      </c>
      <c r="O591" s="10">
        <f t="shared" si="50"/>
        <v>0.10611111111111526</v>
      </c>
      <c r="P591" s="10">
        <f>IFERROR(SUMIFS('Base bordo CD'!M$2:M$875,'Base bordo CD'!D$2:D$875,A591,'Base bordo CD'!A$2:A$875,B591),0)</f>
        <v>24.000000000000004</v>
      </c>
      <c r="Q591" s="10">
        <f>IFERROR(SUMIFS('Base bordo CD'!O$2:O$875,'Base bordo CD'!D$2:D$875,A591,'Base bordo CD'!A$2:A$875,B591,'Base bordo CD'!L$2:L$875,"CORTE DE CANA MECANIZADO"),0)</f>
        <v>55289.72</v>
      </c>
      <c r="R591" s="10">
        <f>IFERROR(SUMIFS('Base bordo CD'!Q$2:Q$875,'Base bordo CD'!D$2:D$875,A591,'Base bordo CD'!A$2:A$875,B591,'Base bordo CD'!L$2:L$875,"CORTE DE CANA MECANIZADO"),0)</f>
        <v>14793</v>
      </c>
      <c r="S591" s="30">
        <f t="shared" si="51"/>
        <v>3.7375596565943354</v>
      </c>
      <c r="T591" s="9">
        <f t="shared" si="52"/>
        <v>0.1712268518518518</v>
      </c>
      <c r="U591" s="9">
        <f t="shared" si="53"/>
        <v>7.1516203703703693E-2</v>
      </c>
      <c r="V591" s="9">
        <f t="shared" si="54"/>
        <v>0.80769675925925932</v>
      </c>
    </row>
    <row r="592" spans="1:22" x14ac:dyDescent="0.35">
      <c r="A592" s="52">
        <v>49596</v>
      </c>
      <c r="B592" s="31">
        <v>46119</v>
      </c>
      <c r="C592" s="7" t="s">
        <v>337</v>
      </c>
      <c r="D592" s="7">
        <v>353</v>
      </c>
      <c r="E592" s="10">
        <f>IFERROR(SUMIFS('Base bordo CD'!M$2:M$875,'Base bordo CD'!D$2:D$875,A592,'Base bordo CD'!A$2:A$875,B592,'Base bordo CD'!L$2:L$875,"CORTE DE CANA MECANIZADO"),0)</f>
        <v>4.1094444444444438</v>
      </c>
      <c r="F592" s="10">
        <f>IFERROR(SUMIFS('Base bordo CD'!M$2:M$875,'Base bordo CD'!D$2:D$875,A592,'Base bordo CD'!A$2:A$875,B592,'Base bordo CD'!L$2:L$875,"MANOBRA"),0)</f>
        <v>1.716388888888889</v>
      </c>
      <c r="G592" s="10">
        <f>IFERROR(SUMIFS('Base bordo CD'!M$2:M$875,'Base bordo CD'!D$2:D$875,A592,'Base bordo CD'!A$2:A$875,B592,'Base bordo CD'!L$2:L$875,"DESLOCAMENTO"),0)</f>
        <v>0.50583333333333336</v>
      </c>
      <c r="H592" s="10">
        <f>IFERROR(SUMIFS('Base bordo CD'!M$2:M$875,'Base bordo CD'!D$2:D$875,A592,'Base bordo CD'!A$2:A$875,B592,'Base bordo CD'!L$2:L$875,"AGUARDANDO MANOBRA DE TRANSBORDO"),0)+IFERROR(SUMIFS('Base bordo CD'!M$2:M$875,'Base bordo CD'!D$2:D$875,A592,'Base bordo CD'!A$2:A$875,B592,'Base bordo CD'!L$2:L$875,"FALTA DE TRANSBORDO"),0)</f>
        <v>0.48555555555555557</v>
      </c>
      <c r="I592" s="10">
        <f>IFERROR(SUMIFS('Base bordo CD'!M$2:M$875,'Base bordo CD'!D$2:D$875,A592,'Base bordo CD'!A$2:A$875,B592,'Base bordo CD'!L$2:L$875,"PARADA POR CONDICOES CLIMATICAS"),0)+IFERROR(SUMIFS('Base bordo CD'!M$2:M$875,'Base bordo CD'!D$2:D$875,A592,'Base bordo CD'!A$2:A$875,B592,'Base bordo CD'!L$2:L$875,"TEMPO INDETERMINADO"),0)</f>
        <v>15.052222222222222</v>
      </c>
      <c r="J592" s="10">
        <f>IFERROR(SUMIFS('Base bordo CD'!M$2:M$875,'Base bordo CD'!D$2:D$875,A592,'Base bordo CD'!A$2:A$875,B592,'Base bordo CD'!L$2:L$875,"LIMITAÇÃO INDÚSTRIA"),0)</f>
        <v>0</v>
      </c>
      <c r="K592" s="10">
        <f>IFERROR(SUMIFS('Base bordo CD'!M$2:M$875,'Base bordo CD'!D$2:D$875,A592,'Base bordo CD'!A$2:A$875,B592,'Base bordo CD'!L$2:L$875,"MAN CORRETIVA*"),0)+IFERROR(SUMIFS('Base bordo CD'!M$2:M$875,'Base bordo CD'!D$2:D$875,A592,'Base bordo CD'!A$2:A$875,B592,'Base bordo CD'!L$2:L$875,"AGUARDANDO MANUTENCAO*"),0)+IFERROR(SUMIFS('Base bordo CD'!M$2:M$875,'Base bordo CD'!D$2:D$875,A592,'Base bordo CD'!A$2:A$875,B592,'Base bordo CD'!L$2:L$875,"TROCA DE FAQUINHA"),0)+IFERROR(SUMIFS('Base bordo CD'!M$2:M$875,'Base bordo CD'!D$2:D$875,A592,'Base bordo CD'!A$2:A$875,B592,'Base bordo CD'!L$2:L$875,"LIMPEZA*"),0)</f>
        <v>2.02</v>
      </c>
      <c r="L592" s="10">
        <f>IFERROR(SUMIFS('Base bordo CD'!M$2:M$875,'Base bordo CD'!D$2:D$875,A592,'Base bordo CD'!A$2:A$875,B592,'Base bordo CD'!L$2:L$875,"PATIO - RESERVA"),0)</f>
        <v>0</v>
      </c>
      <c r="M592" s="10">
        <f>IFERROR(SUMIFS('Base bordo CD'!M$2:M$875,'Base bordo CD'!D$2:D$875,A592,'Base bordo CD'!A$2:A$875,B592,'Base bordo CD'!L$2:L$875,"SEM APONTAMENTO"),0)</f>
        <v>4.4444444444444444E-3</v>
      </c>
      <c r="N592" s="10">
        <f>IFERROR(SUMIFS('Base bordo CD'!M$2:M$875,'Base bordo CD'!D$2:D$875,A592,'Base bordo CD'!A$2:A$875,B592,'Base bordo CD'!L$2:L$875,"FALTA DE CAMINHÃO"),0)+IFERROR(SUMIFS('Base bordo CD'!M$2:M$875,'Base bordo CD'!D$2:D$875,A592,'Base bordo CD'!A$2:A$875,B592,'Base bordo CD'!L$2:L$875,"FALTA DE COMBUSTIVEL"),0)+IFERROR(SUMIFS('Base bordo CD'!M$2:M$875,'Base bordo CD'!D$2:D$875,A592,'Base bordo CD'!A$2:A$875,B592,'Base bordo CD'!L$2:L$875,"FALTA DE MOTORIST*"),0)</f>
        <v>0</v>
      </c>
      <c r="O592" s="10">
        <f t="shared" si="50"/>
        <v>0.10611111111111526</v>
      </c>
      <c r="P592" s="10">
        <f>IFERROR(SUMIFS('Base bordo CD'!M$2:M$875,'Base bordo CD'!D$2:D$875,A592,'Base bordo CD'!A$2:A$875,B592),0)</f>
        <v>24.000000000000004</v>
      </c>
      <c r="Q592" s="10">
        <f>IFERROR(SUMIFS('Base bordo CD'!O$2:O$875,'Base bordo CD'!D$2:D$875,A592,'Base bordo CD'!A$2:A$875,B592,'Base bordo CD'!L$2:L$875,"CORTE DE CANA MECANIZADO"),0)</f>
        <v>55289.72</v>
      </c>
      <c r="R592" s="10">
        <f>IFERROR(SUMIFS('Base bordo CD'!Q$2:Q$875,'Base bordo CD'!D$2:D$875,A592,'Base bordo CD'!A$2:A$875,B592,'Base bordo CD'!L$2:L$875,"CORTE DE CANA MECANIZADO"),0)</f>
        <v>14793</v>
      </c>
      <c r="S592" s="30">
        <f t="shared" si="51"/>
        <v>3.7375596565943354</v>
      </c>
      <c r="T592" s="9">
        <f t="shared" si="52"/>
        <v>0.1712268518518518</v>
      </c>
      <c r="U592" s="9">
        <f t="shared" si="53"/>
        <v>7.1516203703703693E-2</v>
      </c>
      <c r="V592" s="9">
        <f t="shared" si="54"/>
        <v>0.80769675925925932</v>
      </c>
    </row>
    <row r="593" spans="1:22" x14ac:dyDescent="0.35">
      <c r="A593" s="52">
        <v>49596</v>
      </c>
      <c r="B593" s="31">
        <v>46119</v>
      </c>
      <c r="C593" s="7" t="s">
        <v>337</v>
      </c>
      <c r="D593" s="7">
        <v>353</v>
      </c>
      <c r="E593" s="10">
        <f>IFERROR(SUMIFS('Base bordo CD'!M$2:M$875,'Base bordo CD'!D$2:D$875,A593,'Base bordo CD'!A$2:A$875,B593,'Base bordo CD'!L$2:L$875,"CORTE DE CANA MECANIZADO"),0)</f>
        <v>4.1094444444444438</v>
      </c>
      <c r="F593" s="10">
        <f>IFERROR(SUMIFS('Base bordo CD'!M$2:M$875,'Base bordo CD'!D$2:D$875,A593,'Base bordo CD'!A$2:A$875,B593,'Base bordo CD'!L$2:L$875,"MANOBRA"),0)</f>
        <v>1.716388888888889</v>
      </c>
      <c r="G593" s="10">
        <f>IFERROR(SUMIFS('Base bordo CD'!M$2:M$875,'Base bordo CD'!D$2:D$875,A593,'Base bordo CD'!A$2:A$875,B593,'Base bordo CD'!L$2:L$875,"DESLOCAMENTO"),0)</f>
        <v>0.50583333333333336</v>
      </c>
      <c r="H593" s="10">
        <f>IFERROR(SUMIFS('Base bordo CD'!M$2:M$875,'Base bordo CD'!D$2:D$875,A593,'Base bordo CD'!A$2:A$875,B593,'Base bordo CD'!L$2:L$875,"AGUARDANDO MANOBRA DE TRANSBORDO"),0)+IFERROR(SUMIFS('Base bordo CD'!M$2:M$875,'Base bordo CD'!D$2:D$875,A593,'Base bordo CD'!A$2:A$875,B593,'Base bordo CD'!L$2:L$875,"FALTA DE TRANSBORDO"),0)</f>
        <v>0.48555555555555557</v>
      </c>
      <c r="I593" s="10">
        <f>IFERROR(SUMIFS('Base bordo CD'!M$2:M$875,'Base bordo CD'!D$2:D$875,A593,'Base bordo CD'!A$2:A$875,B593,'Base bordo CD'!L$2:L$875,"PARADA POR CONDICOES CLIMATICAS"),0)+IFERROR(SUMIFS('Base bordo CD'!M$2:M$875,'Base bordo CD'!D$2:D$875,A593,'Base bordo CD'!A$2:A$875,B593,'Base bordo CD'!L$2:L$875,"TEMPO INDETERMINADO"),0)</f>
        <v>15.052222222222222</v>
      </c>
      <c r="J593" s="10">
        <f>IFERROR(SUMIFS('Base bordo CD'!M$2:M$875,'Base bordo CD'!D$2:D$875,A593,'Base bordo CD'!A$2:A$875,B593,'Base bordo CD'!L$2:L$875,"LIMITAÇÃO INDÚSTRIA"),0)</f>
        <v>0</v>
      </c>
      <c r="K593" s="10">
        <f>IFERROR(SUMIFS('Base bordo CD'!M$2:M$875,'Base bordo CD'!D$2:D$875,A593,'Base bordo CD'!A$2:A$875,B593,'Base bordo CD'!L$2:L$875,"MAN CORRETIVA*"),0)+IFERROR(SUMIFS('Base bordo CD'!M$2:M$875,'Base bordo CD'!D$2:D$875,A593,'Base bordo CD'!A$2:A$875,B593,'Base bordo CD'!L$2:L$875,"AGUARDANDO MANUTENCAO*"),0)+IFERROR(SUMIFS('Base bordo CD'!M$2:M$875,'Base bordo CD'!D$2:D$875,A593,'Base bordo CD'!A$2:A$875,B593,'Base bordo CD'!L$2:L$875,"TROCA DE FAQUINHA"),0)+IFERROR(SUMIFS('Base bordo CD'!M$2:M$875,'Base bordo CD'!D$2:D$875,A593,'Base bordo CD'!A$2:A$875,B593,'Base bordo CD'!L$2:L$875,"LIMPEZA*"),0)</f>
        <v>2.02</v>
      </c>
      <c r="L593" s="10">
        <f>IFERROR(SUMIFS('Base bordo CD'!M$2:M$875,'Base bordo CD'!D$2:D$875,A593,'Base bordo CD'!A$2:A$875,B593,'Base bordo CD'!L$2:L$875,"PATIO - RESERVA"),0)</f>
        <v>0</v>
      </c>
      <c r="M593" s="10">
        <f>IFERROR(SUMIFS('Base bordo CD'!M$2:M$875,'Base bordo CD'!D$2:D$875,A593,'Base bordo CD'!A$2:A$875,B593,'Base bordo CD'!L$2:L$875,"SEM APONTAMENTO"),0)</f>
        <v>4.4444444444444444E-3</v>
      </c>
      <c r="N593" s="10">
        <f>IFERROR(SUMIFS('Base bordo CD'!M$2:M$875,'Base bordo CD'!D$2:D$875,A593,'Base bordo CD'!A$2:A$875,B593,'Base bordo CD'!L$2:L$875,"FALTA DE CAMINHÃO"),0)+IFERROR(SUMIFS('Base bordo CD'!M$2:M$875,'Base bordo CD'!D$2:D$875,A593,'Base bordo CD'!A$2:A$875,B593,'Base bordo CD'!L$2:L$875,"FALTA DE COMBUSTIVEL"),0)+IFERROR(SUMIFS('Base bordo CD'!M$2:M$875,'Base bordo CD'!D$2:D$875,A593,'Base bordo CD'!A$2:A$875,B593,'Base bordo CD'!L$2:L$875,"FALTA DE MOTORIST*"),0)</f>
        <v>0</v>
      </c>
      <c r="O593" s="10">
        <f t="shared" si="50"/>
        <v>0.10611111111111526</v>
      </c>
      <c r="P593" s="10">
        <f>IFERROR(SUMIFS('Base bordo CD'!M$2:M$875,'Base bordo CD'!D$2:D$875,A593,'Base bordo CD'!A$2:A$875,B593),0)</f>
        <v>24.000000000000004</v>
      </c>
      <c r="Q593" s="10">
        <f>IFERROR(SUMIFS('Base bordo CD'!O$2:O$875,'Base bordo CD'!D$2:D$875,A593,'Base bordo CD'!A$2:A$875,B593,'Base bordo CD'!L$2:L$875,"CORTE DE CANA MECANIZADO"),0)</f>
        <v>55289.72</v>
      </c>
      <c r="R593" s="10">
        <f>IFERROR(SUMIFS('Base bordo CD'!Q$2:Q$875,'Base bordo CD'!D$2:D$875,A593,'Base bordo CD'!A$2:A$875,B593,'Base bordo CD'!L$2:L$875,"CORTE DE CANA MECANIZADO"),0)</f>
        <v>14793</v>
      </c>
      <c r="S593" s="30">
        <f t="shared" si="51"/>
        <v>3.7375596565943354</v>
      </c>
      <c r="T593" s="9">
        <f t="shared" si="52"/>
        <v>0.1712268518518518</v>
      </c>
      <c r="U593" s="9">
        <f t="shared" si="53"/>
        <v>7.1516203703703693E-2</v>
      </c>
      <c r="V593" s="9">
        <f t="shared" si="54"/>
        <v>0.80769675925925932</v>
      </c>
    </row>
    <row r="594" spans="1:22" x14ac:dyDescent="0.35">
      <c r="A594" s="52">
        <v>49596</v>
      </c>
      <c r="B594" s="31">
        <v>46119</v>
      </c>
      <c r="C594" s="7" t="s">
        <v>337</v>
      </c>
      <c r="D594" s="7">
        <v>353</v>
      </c>
      <c r="E594" s="10">
        <f>IFERROR(SUMIFS('Base bordo CD'!M$2:M$875,'Base bordo CD'!D$2:D$875,A594,'Base bordo CD'!A$2:A$875,B594,'Base bordo CD'!L$2:L$875,"CORTE DE CANA MECANIZADO"),0)</f>
        <v>4.1094444444444438</v>
      </c>
      <c r="F594" s="10">
        <f>IFERROR(SUMIFS('Base bordo CD'!M$2:M$875,'Base bordo CD'!D$2:D$875,A594,'Base bordo CD'!A$2:A$875,B594,'Base bordo CD'!L$2:L$875,"MANOBRA"),0)</f>
        <v>1.716388888888889</v>
      </c>
      <c r="G594" s="10">
        <f>IFERROR(SUMIFS('Base bordo CD'!M$2:M$875,'Base bordo CD'!D$2:D$875,A594,'Base bordo CD'!A$2:A$875,B594,'Base bordo CD'!L$2:L$875,"DESLOCAMENTO"),0)</f>
        <v>0.50583333333333336</v>
      </c>
      <c r="H594" s="10">
        <f>IFERROR(SUMIFS('Base bordo CD'!M$2:M$875,'Base bordo CD'!D$2:D$875,A594,'Base bordo CD'!A$2:A$875,B594,'Base bordo CD'!L$2:L$875,"AGUARDANDO MANOBRA DE TRANSBORDO"),0)+IFERROR(SUMIFS('Base bordo CD'!M$2:M$875,'Base bordo CD'!D$2:D$875,A594,'Base bordo CD'!A$2:A$875,B594,'Base bordo CD'!L$2:L$875,"FALTA DE TRANSBORDO"),0)</f>
        <v>0.48555555555555557</v>
      </c>
      <c r="I594" s="10">
        <f>IFERROR(SUMIFS('Base bordo CD'!M$2:M$875,'Base bordo CD'!D$2:D$875,A594,'Base bordo CD'!A$2:A$875,B594,'Base bordo CD'!L$2:L$875,"PARADA POR CONDICOES CLIMATICAS"),0)+IFERROR(SUMIFS('Base bordo CD'!M$2:M$875,'Base bordo CD'!D$2:D$875,A594,'Base bordo CD'!A$2:A$875,B594,'Base bordo CD'!L$2:L$875,"TEMPO INDETERMINADO"),0)</f>
        <v>15.052222222222222</v>
      </c>
      <c r="J594" s="10">
        <f>IFERROR(SUMIFS('Base bordo CD'!M$2:M$875,'Base bordo CD'!D$2:D$875,A594,'Base bordo CD'!A$2:A$875,B594,'Base bordo CD'!L$2:L$875,"LIMITAÇÃO INDÚSTRIA"),0)</f>
        <v>0</v>
      </c>
      <c r="K594" s="10">
        <f>IFERROR(SUMIFS('Base bordo CD'!M$2:M$875,'Base bordo CD'!D$2:D$875,A594,'Base bordo CD'!A$2:A$875,B594,'Base bordo CD'!L$2:L$875,"MAN CORRETIVA*"),0)+IFERROR(SUMIFS('Base bordo CD'!M$2:M$875,'Base bordo CD'!D$2:D$875,A594,'Base bordo CD'!A$2:A$875,B594,'Base bordo CD'!L$2:L$875,"AGUARDANDO MANUTENCAO*"),0)+IFERROR(SUMIFS('Base bordo CD'!M$2:M$875,'Base bordo CD'!D$2:D$875,A594,'Base bordo CD'!A$2:A$875,B594,'Base bordo CD'!L$2:L$875,"TROCA DE FAQUINHA"),0)+IFERROR(SUMIFS('Base bordo CD'!M$2:M$875,'Base bordo CD'!D$2:D$875,A594,'Base bordo CD'!A$2:A$875,B594,'Base bordo CD'!L$2:L$875,"LIMPEZA*"),0)</f>
        <v>2.02</v>
      </c>
      <c r="L594" s="10">
        <f>IFERROR(SUMIFS('Base bordo CD'!M$2:M$875,'Base bordo CD'!D$2:D$875,A594,'Base bordo CD'!A$2:A$875,B594,'Base bordo CD'!L$2:L$875,"PATIO - RESERVA"),0)</f>
        <v>0</v>
      </c>
      <c r="M594" s="10">
        <f>IFERROR(SUMIFS('Base bordo CD'!M$2:M$875,'Base bordo CD'!D$2:D$875,A594,'Base bordo CD'!A$2:A$875,B594,'Base bordo CD'!L$2:L$875,"SEM APONTAMENTO"),0)</f>
        <v>4.4444444444444444E-3</v>
      </c>
      <c r="N594" s="10">
        <f>IFERROR(SUMIFS('Base bordo CD'!M$2:M$875,'Base bordo CD'!D$2:D$875,A594,'Base bordo CD'!A$2:A$875,B594,'Base bordo CD'!L$2:L$875,"FALTA DE CAMINHÃO"),0)+IFERROR(SUMIFS('Base bordo CD'!M$2:M$875,'Base bordo CD'!D$2:D$875,A594,'Base bordo CD'!A$2:A$875,B594,'Base bordo CD'!L$2:L$875,"FALTA DE COMBUSTIVEL"),0)+IFERROR(SUMIFS('Base bordo CD'!M$2:M$875,'Base bordo CD'!D$2:D$875,A594,'Base bordo CD'!A$2:A$875,B594,'Base bordo CD'!L$2:L$875,"FALTA DE MOTORIST*"),0)</f>
        <v>0</v>
      </c>
      <c r="O594" s="10">
        <f t="shared" si="50"/>
        <v>0.10611111111111526</v>
      </c>
      <c r="P594" s="10">
        <f>IFERROR(SUMIFS('Base bordo CD'!M$2:M$875,'Base bordo CD'!D$2:D$875,A594,'Base bordo CD'!A$2:A$875,B594),0)</f>
        <v>24.000000000000004</v>
      </c>
      <c r="Q594" s="10">
        <f>IFERROR(SUMIFS('Base bordo CD'!O$2:O$875,'Base bordo CD'!D$2:D$875,A594,'Base bordo CD'!A$2:A$875,B594,'Base bordo CD'!L$2:L$875,"CORTE DE CANA MECANIZADO"),0)</f>
        <v>55289.72</v>
      </c>
      <c r="R594" s="10">
        <f>IFERROR(SUMIFS('Base bordo CD'!Q$2:Q$875,'Base bordo CD'!D$2:D$875,A594,'Base bordo CD'!A$2:A$875,B594,'Base bordo CD'!L$2:L$875,"CORTE DE CANA MECANIZADO"),0)</f>
        <v>14793</v>
      </c>
      <c r="S594" s="30">
        <f t="shared" si="51"/>
        <v>3.7375596565943354</v>
      </c>
      <c r="T594" s="9">
        <f t="shared" si="52"/>
        <v>0.1712268518518518</v>
      </c>
      <c r="U594" s="9">
        <f t="shared" si="53"/>
        <v>7.1516203703703693E-2</v>
      </c>
      <c r="V594" s="9">
        <f t="shared" si="54"/>
        <v>0.80769675925925932</v>
      </c>
    </row>
    <row r="595" spans="1:22" x14ac:dyDescent="0.35">
      <c r="A595" s="52">
        <v>49596</v>
      </c>
      <c r="B595" s="31">
        <v>46119</v>
      </c>
      <c r="C595" s="7" t="s">
        <v>337</v>
      </c>
      <c r="D595" s="7">
        <v>353</v>
      </c>
      <c r="E595" s="10">
        <f>IFERROR(SUMIFS('Base bordo CD'!M$2:M$875,'Base bordo CD'!D$2:D$875,A595,'Base bordo CD'!A$2:A$875,B595,'Base bordo CD'!L$2:L$875,"CORTE DE CANA MECANIZADO"),0)</f>
        <v>4.1094444444444438</v>
      </c>
      <c r="F595" s="10">
        <f>IFERROR(SUMIFS('Base bordo CD'!M$2:M$875,'Base bordo CD'!D$2:D$875,A595,'Base bordo CD'!A$2:A$875,B595,'Base bordo CD'!L$2:L$875,"MANOBRA"),0)</f>
        <v>1.716388888888889</v>
      </c>
      <c r="G595" s="10">
        <f>IFERROR(SUMIFS('Base bordo CD'!M$2:M$875,'Base bordo CD'!D$2:D$875,A595,'Base bordo CD'!A$2:A$875,B595,'Base bordo CD'!L$2:L$875,"DESLOCAMENTO"),0)</f>
        <v>0.50583333333333336</v>
      </c>
      <c r="H595" s="10">
        <f>IFERROR(SUMIFS('Base bordo CD'!M$2:M$875,'Base bordo CD'!D$2:D$875,A595,'Base bordo CD'!A$2:A$875,B595,'Base bordo CD'!L$2:L$875,"AGUARDANDO MANOBRA DE TRANSBORDO"),0)+IFERROR(SUMIFS('Base bordo CD'!M$2:M$875,'Base bordo CD'!D$2:D$875,A595,'Base bordo CD'!A$2:A$875,B595,'Base bordo CD'!L$2:L$875,"FALTA DE TRANSBORDO"),0)</f>
        <v>0.48555555555555557</v>
      </c>
      <c r="I595" s="10">
        <f>IFERROR(SUMIFS('Base bordo CD'!M$2:M$875,'Base bordo CD'!D$2:D$875,A595,'Base bordo CD'!A$2:A$875,B595,'Base bordo CD'!L$2:L$875,"PARADA POR CONDICOES CLIMATICAS"),0)+IFERROR(SUMIFS('Base bordo CD'!M$2:M$875,'Base bordo CD'!D$2:D$875,A595,'Base bordo CD'!A$2:A$875,B595,'Base bordo CD'!L$2:L$875,"TEMPO INDETERMINADO"),0)</f>
        <v>15.052222222222222</v>
      </c>
      <c r="J595" s="10">
        <f>IFERROR(SUMIFS('Base bordo CD'!M$2:M$875,'Base bordo CD'!D$2:D$875,A595,'Base bordo CD'!A$2:A$875,B595,'Base bordo CD'!L$2:L$875,"LIMITAÇÃO INDÚSTRIA"),0)</f>
        <v>0</v>
      </c>
      <c r="K595" s="10">
        <f>IFERROR(SUMIFS('Base bordo CD'!M$2:M$875,'Base bordo CD'!D$2:D$875,A595,'Base bordo CD'!A$2:A$875,B595,'Base bordo CD'!L$2:L$875,"MAN CORRETIVA*"),0)+IFERROR(SUMIFS('Base bordo CD'!M$2:M$875,'Base bordo CD'!D$2:D$875,A595,'Base bordo CD'!A$2:A$875,B595,'Base bordo CD'!L$2:L$875,"AGUARDANDO MANUTENCAO*"),0)+IFERROR(SUMIFS('Base bordo CD'!M$2:M$875,'Base bordo CD'!D$2:D$875,A595,'Base bordo CD'!A$2:A$875,B595,'Base bordo CD'!L$2:L$875,"TROCA DE FAQUINHA"),0)+IFERROR(SUMIFS('Base bordo CD'!M$2:M$875,'Base bordo CD'!D$2:D$875,A595,'Base bordo CD'!A$2:A$875,B595,'Base bordo CD'!L$2:L$875,"LIMPEZA*"),0)</f>
        <v>2.02</v>
      </c>
      <c r="L595" s="10">
        <f>IFERROR(SUMIFS('Base bordo CD'!M$2:M$875,'Base bordo CD'!D$2:D$875,A595,'Base bordo CD'!A$2:A$875,B595,'Base bordo CD'!L$2:L$875,"PATIO - RESERVA"),0)</f>
        <v>0</v>
      </c>
      <c r="M595" s="10">
        <f>IFERROR(SUMIFS('Base bordo CD'!M$2:M$875,'Base bordo CD'!D$2:D$875,A595,'Base bordo CD'!A$2:A$875,B595,'Base bordo CD'!L$2:L$875,"SEM APONTAMENTO"),0)</f>
        <v>4.4444444444444444E-3</v>
      </c>
      <c r="N595" s="10">
        <f>IFERROR(SUMIFS('Base bordo CD'!M$2:M$875,'Base bordo CD'!D$2:D$875,A595,'Base bordo CD'!A$2:A$875,B595,'Base bordo CD'!L$2:L$875,"FALTA DE CAMINHÃO"),0)+IFERROR(SUMIFS('Base bordo CD'!M$2:M$875,'Base bordo CD'!D$2:D$875,A595,'Base bordo CD'!A$2:A$875,B595,'Base bordo CD'!L$2:L$875,"FALTA DE COMBUSTIVEL"),0)+IFERROR(SUMIFS('Base bordo CD'!M$2:M$875,'Base bordo CD'!D$2:D$875,A595,'Base bordo CD'!A$2:A$875,B595,'Base bordo CD'!L$2:L$875,"FALTA DE MOTORIST*"),0)</f>
        <v>0</v>
      </c>
      <c r="O595" s="10">
        <f t="shared" si="50"/>
        <v>0.10611111111111526</v>
      </c>
      <c r="P595" s="10">
        <f>IFERROR(SUMIFS('Base bordo CD'!M$2:M$875,'Base bordo CD'!D$2:D$875,A595,'Base bordo CD'!A$2:A$875,B595),0)</f>
        <v>24.000000000000004</v>
      </c>
      <c r="Q595" s="10">
        <f>IFERROR(SUMIFS('Base bordo CD'!O$2:O$875,'Base bordo CD'!D$2:D$875,A595,'Base bordo CD'!A$2:A$875,B595,'Base bordo CD'!L$2:L$875,"CORTE DE CANA MECANIZADO"),0)</f>
        <v>55289.72</v>
      </c>
      <c r="R595" s="10">
        <f>IFERROR(SUMIFS('Base bordo CD'!Q$2:Q$875,'Base bordo CD'!D$2:D$875,A595,'Base bordo CD'!A$2:A$875,B595,'Base bordo CD'!L$2:L$875,"CORTE DE CANA MECANIZADO"),0)</f>
        <v>14793</v>
      </c>
      <c r="S595" s="30">
        <f t="shared" si="51"/>
        <v>3.7375596565943354</v>
      </c>
      <c r="T595" s="9">
        <f t="shared" si="52"/>
        <v>0.1712268518518518</v>
      </c>
      <c r="U595" s="9">
        <f t="shared" si="53"/>
        <v>7.1516203703703693E-2</v>
      </c>
      <c r="V595" s="9">
        <f t="shared" si="54"/>
        <v>0.80769675925925932</v>
      </c>
    </row>
    <row r="596" spans="1:22" x14ac:dyDescent="0.35">
      <c r="A596" s="52">
        <v>49596</v>
      </c>
      <c r="B596" s="31">
        <v>46119</v>
      </c>
      <c r="C596" s="7" t="s">
        <v>337</v>
      </c>
      <c r="D596" s="7">
        <v>353</v>
      </c>
      <c r="E596" s="10">
        <f>IFERROR(SUMIFS('Base bordo CD'!M$2:M$875,'Base bordo CD'!D$2:D$875,A596,'Base bordo CD'!A$2:A$875,B596,'Base bordo CD'!L$2:L$875,"CORTE DE CANA MECANIZADO"),0)</f>
        <v>4.1094444444444438</v>
      </c>
      <c r="F596" s="10">
        <f>IFERROR(SUMIFS('Base bordo CD'!M$2:M$875,'Base bordo CD'!D$2:D$875,A596,'Base bordo CD'!A$2:A$875,B596,'Base bordo CD'!L$2:L$875,"MANOBRA"),0)</f>
        <v>1.716388888888889</v>
      </c>
      <c r="G596" s="10">
        <f>IFERROR(SUMIFS('Base bordo CD'!M$2:M$875,'Base bordo CD'!D$2:D$875,A596,'Base bordo CD'!A$2:A$875,B596,'Base bordo CD'!L$2:L$875,"DESLOCAMENTO"),0)</f>
        <v>0.50583333333333336</v>
      </c>
      <c r="H596" s="10">
        <f>IFERROR(SUMIFS('Base bordo CD'!M$2:M$875,'Base bordo CD'!D$2:D$875,A596,'Base bordo CD'!A$2:A$875,B596,'Base bordo CD'!L$2:L$875,"AGUARDANDO MANOBRA DE TRANSBORDO"),0)+IFERROR(SUMIFS('Base bordo CD'!M$2:M$875,'Base bordo CD'!D$2:D$875,A596,'Base bordo CD'!A$2:A$875,B596,'Base bordo CD'!L$2:L$875,"FALTA DE TRANSBORDO"),0)</f>
        <v>0.48555555555555557</v>
      </c>
      <c r="I596" s="10">
        <f>IFERROR(SUMIFS('Base bordo CD'!M$2:M$875,'Base bordo CD'!D$2:D$875,A596,'Base bordo CD'!A$2:A$875,B596,'Base bordo CD'!L$2:L$875,"PARADA POR CONDICOES CLIMATICAS"),0)+IFERROR(SUMIFS('Base bordo CD'!M$2:M$875,'Base bordo CD'!D$2:D$875,A596,'Base bordo CD'!A$2:A$875,B596,'Base bordo CD'!L$2:L$875,"TEMPO INDETERMINADO"),0)</f>
        <v>15.052222222222222</v>
      </c>
      <c r="J596" s="10">
        <f>IFERROR(SUMIFS('Base bordo CD'!M$2:M$875,'Base bordo CD'!D$2:D$875,A596,'Base bordo CD'!A$2:A$875,B596,'Base bordo CD'!L$2:L$875,"LIMITAÇÃO INDÚSTRIA"),0)</f>
        <v>0</v>
      </c>
      <c r="K596" s="10">
        <f>IFERROR(SUMIFS('Base bordo CD'!M$2:M$875,'Base bordo CD'!D$2:D$875,A596,'Base bordo CD'!A$2:A$875,B596,'Base bordo CD'!L$2:L$875,"MAN CORRETIVA*"),0)+IFERROR(SUMIFS('Base bordo CD'!M$2:M$875,'Base bordo CD'!D$2:D$875,A596,'Base bordo CD'!A$2:A$875,B596,'Base bordo CD'!L$2:L$875,"AGUARDANDO MANUTENCAO*"),0)+IFERROR(SUMIFS('Base bordo CD'!M$2:M$875,'Base bordo CD'!D$2:D$875,A596,'Base bordo CD'!A$2:A$875,B596,'Base bordo CD'!L$2:L$875,"TROCA DE FAQUINHA"),0)+IFERROR(SUMIFS('Base bordo CD'!M$2:M$875,'Base bordo CD'!D$2:D$875,A596,'Base bordo CD'!A$2:A$875,B596,'Base bordo CD'!L$2:L$875,"LIMPEZA*"),0)</f>
        <v>2.02</v>
      </c>
      <c r="L596" s="10">
        <f>IFERROR(SUMIFS('Base bordo CD'!M$2:M$875,'Base bordo CD'!D$2:D$875,A596,'Base bordo CD'!A$2:A$875,B596,'Base bordo CD'!L$2:L$875,"PATIO - RESERVA"),0)</f>
        <v>0</v>
      </c>
      <c r="M596" s="10">
        <f>IFERROR(SUMIFS('Base bordo CD'!M$2:M$875,'Base bordo CD'!D$2:D$875,A596,'Base bordo CD'!A$2:A$875,B596,'Base bordo CD'!L$2:L$875,"SEM APONTAMENTO"),0)</f>
        <v>4.4444444444444444E-3</v>
      </c>
      <c r="N596" s="10">
        <f>IFERROR(SUMIFS('Base bordo CD'!M$2:M$875,'Base bordo CD'!D$2:D$875,A596,'Base bordo CD'!A$2:A$875,B596,'Base bordo CD'!L$2:L$875,"FALTA DE CAMINHÃO"),0)+IFERROR(SUMIFS('Base bordo CD'!M$2:M$875,'Base bordo CD'!D$2:D$875,A596,'Base bordo CD'!A$2:A$875,B596,'Base bordo CD'!L$2:L$875,"FALTA DE COMBUSTIVEL"),0)+IFERROR(SUMIFS('Base bordo CD'!M$2:M$875,'Base bordo CD'!D$2:D$875,A596,'Base bordo CD'!A$2:A$875,B596,'Base bordo CD'!L$2:L$875,"FALTA DE MOTORIST*"),0)</f>
        <v>0</v>
      </c>
      <c r="O596" s="10">
        <f t="shared" si="50"/>
        <v>0.10611111111111526</v>
      </c>
      <c r="P596" s="10">
        <f>IFERROR(SUMIFS('Base bordo CD'!M$2:M$875,'Base bordo CD'!D$2:D$875,A596,'Base bordo CD'!A$2:A$875,B596),0)</f>
        <v>24.000000000000004</v>
      </c>
      <c r="Q596" s="10">
        <f>IFERROR(SUMIFS('Base bordo CD'!O$2:O$875,'Base bordo CD'!D$2:D$875,A596,'Base bordo CD'!A$2:A$875,B596,'Base bordo CD'!L$2:L$875,"CORTE DE CANA MECANIZADO"),0)</f>
        <v>55289.72</v>
      </c>
      <c r="R596" s="10">
        <f>IFERROR(SUMIFS('Base bordo CD'!Q$2:Q$875,'Base bordo CD'!D$2:D$875,A596,'Base bordo CD'!A$2:A$875,B596,'Base bordo CD'!L$2:L$875,"CORTE DE CANA MECANIZADO"),0)</f>
        <v>14793</v>
      </c>
      <c r="S596" s="30">
        <f t="shared" si="51"/>
        <v>3.7375596565943354</v>
      </c>
      <c r="T596" s="9">
        <f t="shared" si="52"/>
        <v>0.1712268518518518</v>
      </c>
      <c r="U596" s="9">
        <f t="shared" si="53"/>
        <v>7.1516203703703693E-2</v>
      </c>
      <c r="V596" s="9">
        <f t="shared" si="54"/>
        <v>0.80769675925925932</v>
      </c>
    </row>
    <row r="597" spans="1:22" x14ac:dyDescent="0.35">
      <c r="A597" s="52">
        <v>49596</v>
      </c>
      <c r="B597" s="31">
        <v>46119</v>
      </c>
      <c r="C597" s="7" t="s">
        <v>337</v>
      </c>
      <c r="D597" s="7">
        <v>353</v>
      </c>
      <c r="E597" s="10">
        <f>IFERROR(SUMIFS('Base bordo CD'!M$2:M$875,'Base bordo CD'!D$2:D$875,A597,'Base bordo CD'!A$2:A$875,B597,'Base bordo CD'!L$2:L$875,"CORTE DE CANA MECANIZADO"),0)</f>
        <v>4.1094444444444438</v>
      </c>
      <c r="F597" s="10">
        <f>IFERROR(SUMIFS('Base bordo CD'!M$2:M$875,'Base bordo CD'!D$2:D$875,A597,'Base bordo CD'!A$2:A$875,B597,'Base bordo CD'!L$2:L$875,"MANOBRA"),0)</f>
        <v>1.716388888888889</v>
      </c>
      <c r="G597" s="10">
        <f>IFERROR(SUMIFS('Base bordo CD'!M$2:M$875,'Base bordo CD'!D$2:D$875,A597,'Base bordo CD'!A$2:A$875,B597,'Base bordo CD'!L$2:L$875,"DESLOCAMENTO"),0)</f>
        <v>0.50583333333333336</v>
      </c>
      <c r="H597" s="10">
        <f>IFERROR(SUMIFS('Base bordo CD'!M$2:M$875,'Base bordo CD'!D$2:D$875,A597,'Base bordo CD'!A$2:A$875,B597,'Base bordo CD'!L$2:L$875,"AGUARDANDO MANOBRA DE TRANSBORDO"),0)+IFERROR(SUMIFS('Base bordo CD'!M$2:M$875,'Base bordo CD'!D$2:D$875,A597,'Base bordo CD'!A$2:A$875,B597,'Base bordo CD'!L$2:L$875,"FALTA DE TRANSBORDO"),0)</f>
        <v>0.48555555555555557</v>
      </c>
      <c r="I597" s="10">
        <f>IFERROR(SUMIFS('Base bordo CD'!M$2:M$875,'Base bordo CD'!D$2:D$875,A597,'Base bordo CD'!A$2:A$875,B597,'Base bordo CD'!L$2:L$875,"PARADA POR CONDICOES CLIMATICAS"),0)+IFERROR(SUMIFS('Base bordo CD'!M$2:M$875,'Base bordo CD'!D$2:D$875,A597,'Base bordo CD'!A$2:A$875,B597,'Base bordo CD'!L$2:L$875,"TEMPO INDETERMINADO"),0)</f>
        <v>15.052222222222222</v>
      </c>
      <c r="J597" s="10">
        <f>IFERROR(SUMIFS('Base bordo CD'!M$2:M$875,'Base bordo CD'!D$2:D$875,A597,'Base bordo CD'!A$2:A$875,B597,'Base bordo CD'!L$2:L$875,"LIMITAÇÃO INDÚSTRIA"),0)</f>
        <v>0</v>
      </c>
      <c r="K597" s="10">
        <f>IFERROR(SUMIFS('Base bordo CD'!M$2:M$875,'Base bordo CD'!D$2:D$875,A597,'Base bordo CD'!A$2:A$875,B597,'Base bordo CD'!L$2:L$875,"MAN CORRETIVA*"),0)+IFERROR(SUMIFS('Base bordo CD'!M$2:M$875,'Base bordo CD'!D$2:D$875,A597,'Base bordo CD'!A$2:A$875,B597,'Base bordo CD'!L$2:L$875,"AGUARDANDO MANUTENCAO*"),0)+IFERROR(SUMIFS('Base bordo CD'!M$2:M$875,'Base bordo CD'!D$2:D$875,A597,'Base bordo CD'!A$2:A$875,B597,'Base bordo CD'!L$2:L$875,"TROCA DE FAQUINHA"),0)+IFERROR(SUMIFS('Base bordo CD'!M$2:M$875,'Base bordo CD'!D$2:D$875,A597,'Base bordo CD'!A$2:A$875,B597,'Base bordo CD'!L$2:L$875,"LIMPEZA*"),0)</f>
        <v>2.02</v>
      </c>
      <c r="L597" s="10">
        <f>IFERROR(SUMIFS('Base bordo CD'!M$2:M$875,'Base bordo CD'!D$2:D$875,A597,'Base bordo CD'!A$2:A$875,B597,'Base bordo CD'!L$2:L$875,"PATIO - RESERVA"),0)</f>
        <v>0</v>
      </c>
      <c r="M597" s="10">
        <f>IFERROR(SUMIFS('Base bordo CD'!M$2:M$875,'Base bordo CD'!D$2:D$875,A597,'Base bordo CD'!A$2:A$875,B597,'Base bordo CD'!L$2:L$875,"SEM APONTAMENTO"),0)</f>
        <v>4.4444444444444444E-3</v>
      </c>
      <c r="N597" s="10">
        <f>IFERROR(SUMIFS('Base bordo CD'!M$2:M$875,'Base bordo CD'!D$2:D$875,A597,'Base bordo CD'!A$2:A$875,B597,'Base bordo CD'!L$2:L$875,"FALTA DE CAMINHÃO"),0)+IFERROR(SUMIFS('Base bordo CD'!M$2:M$875,'Base bordo CD'!D$2:D$875,A597,'Base bordo CD'!A$2:A$875,B597,'Base bordo CD'!L$2:L$875,"FALTA DE COMBUSTIVEL"),0)+IFERROR(SUMIFS('Base bordo CD'!M$2:M$875,'Base bordo CD'!D$2:D$875,A597,'Base bordo CD'!A$2:A$875,B597,'Base bordo CD'!L$2:L$875,"FALTA DE MOTORIST*"),0)</f>
        <v>0</v>
      </c>
      <c r="O597" s="10">
        <f t="shared" si="50"/>
        <v>0.10611111111111526</v>
      </c>
      <c r="P597" s="10">
        <f>IFERROR(SUMIFS('Base bordo CD'!M$2:M$875,'Base bordo CD'!D$2:D$875,A597,'Base bordo CD'!A$2:A$875,B597),0)</f>
        <v>24.000000000000004</v>
      </c>
      <c r="Q597" s="10">
        <f>IFERROR(SUMIFS('Base bordo CD'!O$2:O$875,'Base bordo CD'!D$2:D$875,A597,'Base bordo CD'!A$2:A$875,B597,'Base bordo CD'!L$2:L$875,"CORTE DE CANA MECANIZADO"),0)</f>
        <v>55289.72</v>
      </c>
      <c r="R597" s="10">
        <f>IFERROR(SUMIFS('Base bordo CD'!Q$2:Q$875,'Base bordo CD'!D$2:D$875,A597,'Base bordo CD'!A$2:A$875,B597,'Base bordo CD'!L$2:L$875,"CORTE DE CANA MECANIZADO"),0)</f>
        <v>14793</v>
      </c>
      <c r="S597" s="30">
        <f t="shared" si="51"/>
        <v>3.7375596565943354</v>
      </c>
      <c r="T597" s="9">
        <f t="shared" si="52"/>
        <v>0.1712268518518518</v>
      </c>
      <c r="U597" s="9">
        <f t="shared" si="53"/>
        <v>7.1516203703703693E-2</v>
      </c>
      <c r="V597" s="9">
        <f t="shared" si="54"/>
        <v>0.80769675925925932</v>
      </c>
    </row>
    <row r="598" spans="1:22" x14ac:dyDescent="0.35">
      <c r="A598" s="52">
        <v>49596</v>
      </c>
      <c r="B598" s="31">
        <v>46119</v>
      </c>
      <c r="C598" s="7" t="s">
        <v>337</v>
      </c>
      <c r="D598" s="7">
        <v>353</v>
      </c>
      <c r="E598" s="10">
        <f>IFERROR(SUMIFS('Base bordo CD'!M$2:M$875,'Base bordo CD'!D$2:D$875,A598,'Base bordo CD'!A$2:A$875,B598,'Base bordo CD'!L$2:L$875,"CORTE DE CANA MECANIZADO"),0)</f>
        <v>4.1094444444444438</v>
      </c>
      <c r="F598" s="10">
        <f>IFERROR(SUMIFS('Base bordo CD'!M$2:M$875,'Base bordo CD'!D$2:D$875,A598,'Base bordo CD'!A$2:A$875,B598,'Base bordo CD'!L$2:L$875,"MANOBRA"),0)</f>
        <v>1.716388888888889</v>
      </c>
      <c r="G598" s="10">
        <f>IFERROR(SUMIFS('Base bordo CD'!M$2:M$875,'Base bordo CD'!D$2:D$875,A598,'Base bordo CD'!A$2:A$875,B598,'Base bordo CD'!L$2:L$875,"DESLOCAMENTO"),0)</f>
        <v>0.50583333333333336</v>
      </c>
      <c r="H598" s="10">
        <f>IFERROR(SUMIFS('Base bordo CD'!M$2:M$875,'Base bordo CD'!D$2:D$875,A598,'Base bordo CD'!A$2:A$875,B598,'Base bordo CD'!L$2:L$875,"AGUARDANDO MANOBRA DE TRANSBORDO"),0)+IFERROR(SUMIFS('Base bordo CD'!M$2:M$875,'Base bordo CD'!D$2:D$875,A598,'Base bordo CD'!A$2:A$875,B598,'Base bordo CD'!L$2:L$875,"FALTA DE TRANSBORDO"),0)</f>
        <v>0.48555555555555557</v>
      </c>
      <c r="I598" s="10">
        <f>IFERROR(SUMIFS('Base bordo CD'!M$2:M$875,'Base bordo CD'!D$2:D$875,A598,'Base bordo CD'!A$2:A$875,B598,'Base bordo CD'!L$2:L$875,"PARADA POR CONDICOES CLIMATICAS"),0)+IFERROR(SUMIFS('Base bordo CD'!M$2:M$875,'Base bordo CD'!D$2:D$875,A598,'Base bordo CD'!A$2:A$875,B598,'Base bordo CD'!L$2:L$875,"TEMPO INDETERMINADO"),0)</f>
        <v>15.052222222222222</v>
      </c>
      <c r="J598" s="10">
        <f>IFERROR(SUMIFS('Base bordo CD'!M$2:M$875,'Base bordo CD'!D$2:D$875,A598,'Base bordo CD'!A$2:A$875,B598,'Base bordo CD'!L$2:L$875,"LIMITAÇÃO INDÚSTRIA"),0)</f>
        <v>0</v>
      </c>
      <c r="K598" s="10">
        <f>IFERROR(SUMIFS('Base bordo CD'!M$2:M$875,'Base bordo CD'!D$2:D$875,A598,'Base bordo CD'!A$2:A$875,B598,'Base bordo CD'!L$2:L$875,"MAN CORRETIVA*"),0)+IFERROR(SUMIFS('Base bordo CD'!M$2:M$875,'Base bordo CD'!D$2:D$875,A598,'Base bordo CD'!A$2:A$875,B598,'Base bordo CD'!L$2:L$875,"AGUARDANDO MANUTENCAO*"),0)+IFERROR(SUMIFS('Base bordo CD'!M$2:M$875,'Base bordo CD'!D$2:D$875,A598,'Base bordo CD'!A$2:A$875,B598,'Base bordo CD'!L$2:L$875,"TROCA DE FAQUINHA"),0)+IFERROR(SUMIFS('Base bordo CD'!M$2:M$875,'Base bordo CD'!D$2:D$875,A598,'Base bordo CD'!A$2:A$875,B598,'Base bordo CD'!L$2:L$875,"LIMPEZA*"),0)</f>
        <v>2.02</v>
      </c>
      <c r="L598" s="10">
        <f>IFERROR(SUMIFS('Base bordo CD'!M$2:M$875,'Base bordo CD'!D$2:D$875,A598,'Base bordo CD'!A$2:A$875,B598,'Base bordo CD'!L$2:L$875,"PATIO - RESERVA"),0)</f>
        <v>0</v>
      </c>
      <c r="M598" s="10">
        <f>IFERROR(SUMIFS('Base bordo CD'!M$2:M$875,'Base bordo CD'!D$2:D$875,A598,'Base bordo CD'!A$2:A$875,B598,'Base bordo CD'!L$2:L$875,"SEM APONTAMENTO"),0)</f>
        <v>4.4444444444444444E-3</v>
      </c>
      <c r="N598" s="10">
        <f>IFERROR(SUMIFS('Base bordo CD'!M$2:M$875,'Base bordo CD'!D$2:D$875,A598,'Base bordo CD'!A$2:A$875,B598,'Base bordo CD'!L$2:L$875,"FALTA DE CAMINHÃO"),0)+IFERROR(SUMIFS('Base bordo CD'!M$2:M$875,'Base bordo CD'!D$2:D$875,A598,'Base bordo CD'!A$2:A$875,B598,'Base bordo CD'!L$2:L$875,"FALTA DE COMBUSTIVEL"),0)+IFERROR(SUMIFS('Base bordo CD'!M$2:M$875,'Base bordo CD'!D$2:D$875,A598,'Base bordo CD'!A$2:A$875,B598,'Base bordo CD'!L$2:L$875,"FALTA DE MOTORIST*"),0)</f>
        <v>0</v>
      </c>
      <c r="O598" s="10">
        <f t="shared" si="50"/>
        <v>0.10611111111111526</v>
      </c>
      <c r="P598" s="10">
        <f>IFERROR(SUMIFS('Base bordo CD'!M$2:M$875,'Base bordo CD'!D$2:D$875,A598,'Base bordo CD'!A$2:A$875,B598),0)</f>
        <v>24.000000000000004</v>
      </c>
      <c r="Q598" s="10">
        <f>IFERROR(SUMIFS('Base bordo CD'!O$2:O$875,'Base bordo CD'!D$2:D$875,A598,'Base bordo CD'!A$2:A$875,B598,'Base bordo CD'!L$2:L$875,"CORTE DE CANA MECANIZADO"),0)</f>
        <v>55289.72</v>
      </c>
      <c r="R598" s="10">
        <f>IFERROR(SUMIFS('Base bordo CD'!Q$2:Q$875,'Base bordo CD'!D$2:D$875,A598,'Base bordo CD'!A$2:A$875,B598,'Base bordo CD'!L$2:L$875,"CORTE DE CANA MECANIZADO"),0)</f>
        <v>14793</v>
      </c>
      <c r="S598" s="30">
        <f t="shared" si="51"/>
        <v>3.7375596565943354</v>
      </c>
      <c r="T598" s="9">
        <f t="shared" si="52"/>
        <v>0.1712268518518518</v>
      </c>
      <c r="U598" s="9">
        <f t="shared" si="53"/>
        <v>7.1516203703703693E-2</v>
      </c>
      <c r="V598" s="9">
        <f t="shared" si="54"/>
        <v>0.80769675925925932</v>
      </c>
    </row>
    <row r="599" spans="1:22" x14ac:dyDescent="0.35">
      <c r="A599" s="52">
        <v>49596</v>
      </c>
      <c r="B599" s="31">
        <v>46119</v>
      </c>
      <c r="C599" s="7" t="s">
        <v>337</v>
      </c>
      <c r="D599" s="7">
        <v>353</v>
      </c>
      <c r="E599" s="10">
        <f>IFERROR(SUMIFS('Base bordo CD'!M$2:M$875,'Base bordo CD'!D$2:D$875,A599,'Base bordo CD'!A$2:A$875,B599,'Base bordo CD'!L$2:L$875,"CORTE DE CANA MECANIZADO"),0)</f>
        <v>4.1094444444444438</v>
      </c>
      <c r="F599" s="10">
        <f>IFERROR(SUMIFS('Base bordo CD'!M$2:M$875,'Base bordo CD'!D$2:D$875,A599,'Base bordo CD'!A$2:A$875,B599,'Base bordo CD'!L$2:L$875,"MANOBRA"),0)</f>
        <v>1.716388888888889</v>
      </c>
      <c r="G599" s="10">
        <f>IFERROR(SUMIFS('Base bordo CD'!M$2:M$875,'Base bordo CD'!D$2:D$875,A599,'Base bordo CD'!A$2:A$875,B599,'Base bordo CD'!L$2:L$875,"DESLOCAMENTO"),0)</f>
        <v>0.50583333333333336</v>
      </c>
      <c r="H599" s="10">
        <f>IFERROR(SUMIFS('Base bordo CD'!M$2:M$875,'Base bordo CD'!D$2:D$875,A599,'Base bordo CD'!A$2:A$875,B599,'Base bordo CD'!L$2:L$875,"AGUARDANDO MANOBRA DE TRANSBORDO"),0)+IFERROR(SUMIFS('Base bordo CD'!M$2:M$875,'Base bordo CD'!D$2:D$875,A599,'Base bordo CD'!A$2:A$875,B599,'Base bordo CD'!L$2:L$875,"FALTA DE TRANSBORDO"),0)</f>
        <v>0.48555555555555557</v>
      </c>
      <c r="I599" s="10">
        <f>IFERROR(SUMIFS('Base bordo CD'!M$2:M$875,'Base bordo CD'!D$2:D$875,A599,'Base bordo CD'!A$2:A$875,B599,'Base bordo CD'!L$2:L$875,"PARADA POR CONDICOES CLIMATICAS"),0)+IFERROR(SUMIFS('Base bordo CD'!M$2:M$875,'Base bordo CD'!D$2:D$875,A599,'Base bordo CD'!A$2:A$875,B599,'Base bordo CD'!L$2:L$875,"TEMPO INDETERMINADO"),0)</f>
        <v>15.052222222222222</v>
      </c>
      <c r="J599" s="10">
        <f>IFERROR(SUMIFS('Base bordo CD'!M$2:M$875,'Base bordo CD'!D$2:D$875,A599,'Base bordo CD'!A$2:A$875,B599,'Base bordo CD'!L$2:L$875,"LIMITAÇÃO INDÚSTRIA"),0)</f>
        <v>0</v>
      </c>
      <c r="K599" s="10">
        <f>IFERROR(SUMIFS('Base bordo CD'!M$2:M$875,'Base bordo CD'!D$2:D$875,A599,'Base bordo CD'!A$2:A$875,B599,'Base bordo CD'!L$2:L$875,"MAN CORRETIVA*"),0)+IFERROR(SUMIFS('Base bordo CD'!M$2:M$875,'Base bordo CD'!D$2:D$875,A599,'Base bordo CD'!A$2:A$875,B599,'Base bordo CD'!L$2:L$875,"AGUARDANDO MANUTENCAO*"),0)+IFERROR(SUMIFS('Base bordo CD'!M$2:M$875,'Base bordo CD'!D$2:D$875,A599,'Base bordo CD'!A$2:A$875,B599,'Base bordo CD'!L$2:L$875,"TROCA DE FAQUINHA"),0)+IFERROR(SUMIFS('Base bordo CD'!M$2:M$875,'Base bordo CD'!D$2:D$875,A599,'Base bordo CD'!A$2:A$875,B599,'Base bordo CD'!L$2:L$875,"LIMPEZA*"),0)</f>
        <v>2.02</v>
      </c>
      <c r="L599" s="10">
        <f>IFERROR(SUMIFS('Base bordo CD'!M$2:M$875,'Base bordo CD'!D$2:D$875,A599,'Base bordo CD'!A$2:A$875,B599,'Base bordo CD'!L$2:L$875,"PATIO - RESERVA"),0)</f>
        <v>0</v>
      </c>
      <c r="M599" s="10">
        <f>IFERROR(SUMIFS('Base bordo CD'!M$2:M$875,'Base bordo CD'!D$2:D$875,A599,'Base bordo CD'!A$2:A$875,B599,'Base bordo CD'!L$2:L$875,"SEM APONTAMENTO"),0)</f>
        <v>4.4444444444444444E-3</v>
      </c>
      <c r="N599" s="10">
        <f>IFERROR(SUMIFS('Base bordo CD'!M$2:M$875,'Base bordo CD'!D$2:D$875,A599,'Base bordo CD'!A$2:A$875,B599,'Base bordo CD'!L$2:L$875,"FALTA DE CAMINHÃO"),0)+IFERROR(SUMIFS('Base bordo CD'!M$2:M$875,'Base bordo CD'!D$2:D$875,A599,'Base bordo CD'!A$2:A$875,B599,'Base bordo CD'!L$2:L$875,"FALTA DE COMBUSTIVEL"),0)+IFERROR(SUMIFS('Base bordo CD'!M$2:M$875,'Base bordo CD'!D$2:D$875,A599,'Base bordo CD'!A$2:A$875,B599,'Base bordo CD'!L$2:L$875,"FALTA DE MOTORIST*"),0)</f>
        <v>0</v>
      </c>
      <c r="O599" s="10">
        <f t="shared" si="50"/>
        <v>0.10611111111111526</v>
      </c>
      <c r="P599" s="10">
        <f>IFERROR(SUMIFS('Base bordo CD'!M$2:M$875,'Base bordo CD'!D$2:D$875,A599,'Base bordo CD'!A$2:A$875,B599),0)</f>
        <v>24.000000000000004</v>
      </c>
      <c r="Q599" s="10">
        <f>IFERROR(SUMIFS('Base bordo CD'!O$2:O$875,'Base bordo CD'!D$2:D$875,A599,'Base bordo CD'!A$2:A$875,B599,'Base bordo CD'!L$2:L$875,"CORTE DE CANA MECANIZADO"),0)</f>
        <v>55289.72</v>
      </c>
      <c r="R599" s="10">
        <f>IFERROR(SUMIFS('Base bordo CD'!Q$2:Q$875,'Base bordo CD'!D$2:D$875,A599,'Base bordo CD'!A$2:A$875,B599,'Base bordo CD'!L$2:L$875,"CORTE DE CANA MECANIZADO"),0)</f>
        <v>14793</v>
      </c>
      <c r="S599" s="30">
        <f t="shared" si="51"/>
        <v>3.7375596565943354</v>
      </c>
      <c r="T599" s="9">
        <f t="shared" si="52"/>
        <v>0.1712268518518518</v>
      </c>
      <c r="U599" s="9">
        <f t="shared" si="53"/>
        <v>7.1516203703703693E-2</v>
      </c>
      <c r="V599" s="9">
        <f t="shared" si="54"/>
        <v>0.80769675925925932</v>
      </c>
    </row>
    <row r="600" spans="1:22" x14ac:dyDescent="0.35">
      <c r="A600" s="52">
        <v>49596</v>
      </c>
      <c r="B600" s="31">
        <v>46119</v>
      </c>
      <c r="C600" s="7" t="s">
        <v>337</v>
      </c>
      <c r="D600" s="7">
        <v>353</v>
      </c>
      <c r="E600" s="10">
        <f>IFERROR(SUMIFS('Base bordo CD'!M$2:M$875,'Base bordo CD'!D$2:D$875,A600,'Base bordo CD'!A$2:A$875,B600,'Base bordo CD'!L$2:L$875,"CORTE DE CANA MECANIZADO"),0)</f>
        <v>4.1094444444444438</v>
      </c>
      <c r="F600" s="10">
        <f>IFERROR(SUMIFS('Base bordo CD'!M$2:M$875,'Base bordo CD'!D$2:D$875,A600,'Base bordo CD'!A$2:A$875,B600,'Base bordo CD'!L$2:L$875,"MANOBRA"),0)</f>
        <v>1.716388888888889</v>
      </c>
      <c r="G600" s="10">
        <f>IFERROR(SUMIFS('Base bordo CD'!M$2:M$875,'Base bordo CD'!D$2:D$875,A600,'Base bordo CD'!A$2:A$875,B600,'Base bordo CD'!L$2:L$875,"DESLOCAMENTO"),0)</f>
        <v>0.50583333333333336</v>
      </c>
      <c r="H600" s="10">
        <f>IFERROR(SUMIFS('Base bordo CD'!M$2:M$875,'Base bordo CD'!D$2:D$875,A600,'Base bordo CD'!A$2:A$875,B600,'Base bordo CD'!L$2:L$875,"AGUARDANDO MANOBRA DE TRANSBORDO"),0)+IFERROR(SUMIFS('Base bordo CD'!M$2:M$875,'Base bordo CD'!D$2:D$875,A600,'Base bordo CD'!A$2:A$875,B600,'Base bordo CD'!L$2:L$875,"FALTA DE TRANSBORDO"),0)</f>
        <v>0.48555555555555557</v>
      </c>
      <c r="I600" s="10">
        <f>IFERROR(SUMIFS('Base bordo CD'!M$2:M$875,'Base bordo CD'!D$2:D$875,A600,'Base bordo CD'!A$2:A$875,B600,'Base bordo CD'!L$2:L$875,"PARADA POR CONDICOES CLIMATICAS"),0)+IFERROR(SUMIFS('Base bordo CD'!M$2:M$875,'Base bordo CD'!D$2:D$875,A600,'Base bordo CD'!A$2:A$875,B600,'Base bordo CD'!L$2:L$875,"TEMPO INDETERMINADO"),0)</f>
        <v>15.052222222222222</v>
      </c>
      <c r="J600" s="10">
        <f>IFERROR(SUMIFS('Base bordo CD'!M$2:M$875,'Base bordo CD'!D$2:D$875,A600,'Base bordo CD'!A$2:A$875,B600,'Base bordo CD'!L$2:L$875,"LIMITAÇÃO INDÚSTRIA"),0)</f>
        <v>0</v>
      </c>
      <c r="K600" s="10">
        <f>IFERROR(SUMIFS('Base bordo CD'!M$2:M$875,'Base bordo CD'!D$2:D$875,A600,'Base bordo CD'!A$2:A$875,B600,'Base bordo CD'!L$2:L$875,"MAN CORRETIVA*"),0)+IFERROR(SUMIFS('Base bordo CD'!M$2:M$875,'Base bordo CD'!D$2:D$875,A600,'Base bordo CD'!A$2:A$875,B600,'Base bordo CD'!L$2:L$875,"AGUARDANDO MANUTENCAO*"),0)+IFERROR(SUMIFS('Base bordo CD'!M$2:M$875,'Base bordo CD'!D$2:D$875,A600,'Base bordo CD'!A$2:A$875,B600,'Base bordo CD'!L$2:L$875,"TROCA DE FAQUINHA"),0)+IFERROR(SUMIFS('Base bordo CD'!M$2:M$875,'Base bordo CD'!D$2:D$875,A600,'Base bordo CD'!A$2:A$875,B600,'Base bordo CD'!L$2:L$875,"LIMPEZA*"),0)</f>
        <v>2.02</v>
      </c>
      <c r="L600" s="10">
        <f>IFERROR(SUMIFS('Base bordo CD'!M$2:M$875,'Base bordo CD'!D$2:D$875,A600,'Base bordo CD'!A$2:A$875,B600,'Base bordo CD'!L$2:L$875,"PATIO - RESERVA"),0)</f>
        <v>0</v>
      </c>
      <c r="M600" s="10">
        <f>IFERROR(SUMIFS('Base bordo CD'!M$2:M$875,'Base bordo CD'!D$2:D$875,A600,'Base bordo CD'!A$2:A$875,B600,'Base bordo CD'!L$2:L$875,"SEM APONTAMENTO"),0)</f>
        <v>4.4444444444444444E-3</v>
      </c>
      <c r="N600" s="10">
        <f>IFERROR(SUMIFS('Base bordo CD'!M$2:M$875,'Base bordo CD'!D$2:D$875,A600,'Base bordo CD'!A$2:A$875,B600,'Base bordo CD'!L$2:L$875,"FALTA DE CAMINHÃO"),0)+IFERROR(SUMIFS('Base bordo CD'!M$2:M$875,'Base bordo CD'!D$2:D$875,A600,'Base bordo CD'!A$2:A$875,B600,'Base bordo CD'!L$2:L$875,"FALTA DE COMBUSTIVEL"),0)+IFERROR(SUMIFS('Base bordo CD'!M$2:M$875,'Base bordo CD'!D$2:D$875,A600,'Base bordo CD'!A$2:A$875,B600,'Base bordo CD'!L$2:L$875,"FALTA DE MOTORIST*"),0)</f>
        <v>0</v>
      </c>
      <c r="O600" s="10">
        <f t="shared" si="50"/>
        <v>0.10611111111111526</v>
      </c>
      <c r="P600" s="10">
        <f>IFERROR(SUMIFS('Base bordo CD'!M$2:M$875,'Base bordo CD'!D$2:D$875,A600,'Base bordo CD'!A$2:A$875,B600),0)</f>
        <v>24.000000000000004</v>
      </c>
      <c r="Q600" s="10">
        <f>IFERROR(SUMIFS('Base bordo CD'!O$2:O$875,'Base bordo CD'!D$2:D$875,A600,'Base bordo CD'!A$2:A$875,B600,'Base bordo CD'!L$2:L$875,"CORTE DE CANA MECANIZADO"),0)</f>
        <v>55289.72</v>
      </c>
      <c r="R600" s="10">
        <f>IFERROR(SUMIFS('Base bordo CD'!Q$2:Q$875,'Base bordo CD'!D$2:D$875,A600,'Base bordo CD'!A$2:A$875,B600,'Base bordo CD'!L$2:L$875,"CORTE DE CANA MECANIZADO"),0)</f>
        <v>14793</v>
      </c>
      <c r="S600" s="30">
        <f t="shared" si="51"/>
        <v>3.7375596565943354</v>
      </c>
      <c r="T600" s="9">
        <f t="shared" si="52"/>
        <v>0.1712268518518518</v>
      </c>
      <c r="U600" s="9">
        <f t="shared" si="53"/>
        <v>7.1516203703703693E-2</v>
      </c>
      <c r="V600" s="9">
        <f t="shared" si="54"/>
        <v>0.80769675925925932</v>
      </c>
    </row>
    <row r="601" spans="1:22" x14ac:dyDescent="0.35">
      <c r="A601" s="52">
        <v>49596</v>
      </c>
      <c r="B601" s="31">
        <v>46119</v>
      </c>
      <c r="C601" s="7" t="s">
        <v>337</v>
      </c>
      <c r="D601" s="7">
        <v>353</v>
      </c>
      <c r="E601" s="10">
        <f>IFERROR(SUMIFS('Base bordo CD'!M$2:M$875,'Base bordo CD'!D$2:D$875,A601,'Base bordo CD'!A$2:A$875,B601,'Base bordo CD'!L$2:L$875,"CORTE DE CANA MECANIZADO"),0)</f>
        <v>4.1094444444444438</v>
      </c>
      <c r="F601" s="10">
        <f>IFERROR(SUMIFS('Base bordo CD'!M$2:M$875,'Base bordo CD'!D$2:D$875,A601,'Base bordo CD'!A$2:A$875,B601,'Base bordo CD'!L$2:L$875,"MANOBRA"),0)</f>
        <v>1.716388888888889</v>
      </c>
      <c r="G601" s="10">
        <f>IFERROR(SUMIFS('Base bordo CD'!M$2:M$875,'Base bordo CD'!D$2:D$875,A601,'Base bordo CD'!A$2:A$875,B601,'Base bordo CD'!L$2:L$875,"DESLOCAMENTO"),0)</f>
        <v>0.50583333333333336</v>
      </c>
      <c r="H601" s="10">
        <f>IFERROR(SUMIFS('Base bordo CD'!M$2:M$875,'Base bordo CD'!D$2:D$875,A601,'Base bordo CD'!A$2:A$875,B601,'Base bordo CD'!L$2:L$875,"AGUARDANDO MANOBRA DE TRANSBORDO"),0)+IFERROR(SUMIFS('Base bordo CD'!M$2:M$875,'Base bordo CD'!D$2:D$875,A601,'Base bordo CD'!A$2:A$875,B601,'Base bordo CD'!L$2:L$875,"FALTA DE TRANSBORDO"),0)</f>
        <v>0.48555555555555557</v>
      </c>
      <c r="I601" s="10">
        <f>IFERROR(SUMIFS('Base bordo CD'!M$2:M$875,'Base bordo CD'!D$2:D$875,A601,'Base bordo CD'!A$2:A$875,B601,'Base bordo CD'!L$2:L$875,"PARADA POR CONDICOES CLIMATICAS"),0)+IFERROR(SUMIFS('Base bordo CD'!M$2:M$875,'Base bordo CD'!D$2:D$875,A601,'Base bordo CD'!A$2:A$875,B601,'Base bordo CD'!L$2:L$875,"TEMPO INDETERMINADO"),0)</f>
        <v>15.052222222222222</v>
      </c>
      <c r="J601" s="10">
        <f>IFERROR(SUMIFS('Base bordo CD'!M$2:M$875,'Base bordo CD'!D$2:D$875,A601,'Base bordo CD'!A$2:A$875,B601,'Base bordo CD'!L$2:L$875,"LIMITAÇÃO INDÚSTRIA"),0)</f>
        <v>0</v>
      </c>
      <c r="K601" s="10">
        <f>IFERROR(SUMIFS('Base bordo CD'!M$2:M$875,'Base bordo CD'!D$2:D$875,A601,'Base bordo CD'!A$2:A$875,B601,'Base bordo CD'!L$2:L$875,"MAN CORRETIVA*"),0)+IFERROR(SUMIFS('Base bordo CD'!M$2:M$875,'Base bordo CD'!D$2:D$875,A601,'Base bordo CD'!A$2:A$875,B601,'Base bordo CD'!L$2:L$875,"AGUARDANDO MANUTENCAO*"),0)+IFERROR(SUMIFS('Base bordo CD'!M$2:M$875,'Base bordo CD'!D$2:D$875,A601,'Base bordo CD'!A$2:A$875,B601,'Base bordo CD'!L$2:L$875,"TROCA DE FAQUINHA"),0)+IFERROR(SUMIFS('Base bordo CD'!M$2:M$875,'Base bordo CD'!D$2:D$875,A601,'Base bordo CD'!A$2:A$875,B601,'Base bordo CD'!L$2:L$875,"LIMPEZA*"),0)</f>
        <v>2.02</v>
      </c>
      <c r="L601" s="10">
        <f>IFERROR(SUMIFS('Base bordo CD'!M$2:M$875,'Base bordo CD'!D$2:D$875,A601,'Base bordo CD'!A$2:A$875,B601,'Base bordo CD'!L$2:L$875,"PATIO - RESERVA"),0)</f>
        <v>0</v>
      </c>
      <c r="M601" s="10">
        <f>IFERROR(SUMIFS('Base bordo CD'!M$2:M$875,'Base bordo CD'!D$2:D$875,A601,'Base bordo CD'!A$2:A$875,B601,'Base bordo CD'!L$2:L$875,"SEM APONTAMENTO"),0)</f>
        <v>4.4444444444444444E-3</v>
      </c>
      <c r="N601" s="10">
        <f>IFERROR(SUMIFS('Base bordo CD'!M$2:M$875,'Base bordo CD'!D$2:D$875,A601,'Base bordo CD'!A$2:A$875,B601,'Base bordo CD'!L$2:L$875,"FALTA DE CAMINHÃO"),0)+IFERROR(SUMIFS('Base bordo CD'!M$2:M$875,'Base bordo CD'!D$2:D$875,A601,'Base bordo CD'!A$2:A$875,B601,'Base bordo CD'!L$2:L$875,"FALTA DE COMBUSTIVEL"),0)+IFERROR(SUMIFS('Base bordo CD'!M$2:M$875,'Base bordo CD'!D$2:D$875,A601,'Base bordo CD'!A$2:A$875,B601,'Base bordo CD'!L$2:L$875,"FALTA DE MOTORIST*"),0)</f>
        <v>0</v>
      </c>
      <c r="O601" s="10">
        <f t="shared" si="50"/>
        <v>0.10611111111111526</v>
      </c>
      <c r="P601" s="10">
        <f>IFERROR(SUMIFS('Base bordo CD'!M$2:M$875,'Base bordo CD'!D$2:D$875,A601,'Base bordo CD'!A$2:A$875,B601),0)</f>
        <v>24.000000000000004</v>
      </c>
      <c r="Q601" s="10">
        <f>IFERROR(SUMIFS('Base bordo CD'!O$2:O$875,'Base bordo CD'!D$2:D$875,A601,'Base bordo CD'!A$2:A$875,B601,'Base bordo CD'!L$2:L$875,"CORTE DE CANA MECANIZADO"),0)</f>
        <v>55289.72</v>
      </c>
      <c r="R601" s="10">
        <f>IFERROR(SUMIFS('Base bordo CD'!Q$2:Q$875,'Base bordo CD'!D$2:D$875,A601,'Base bordo CD'!A$2:A$875,B601,'Base bordo CD'!L$2:L$875,"CORTE DE CANA MECANIZADO"),0)</f>
        <v>14793</v>
      </c>
      <c r="S601" s="30">
        <f t="shared" si="51"/>
        <v>3.7375596565943354</v>
      </c>
      <c r="T601" s="9">
        <f t="shared" si="52"/>
        <v>0.1712268518518518</v>
      </c>
      <c r="U601" s="9">
        <f t="shared" si="53"/>
        <v>7.1516203703703693E-2</v>
      </c>
      <c r="V601" s="9">
        <f t="shared" si="54"/>
        <v>0.80769675925925932</v>
      </c>
    </row>
    <row r="602" spans="1:22" x14ac:dyDescent="0.35">
      <c r="A602" s="52">
        <v>49596</v>
      </c>
      <c r="B602" s="31">
        <v>46119</v>
      </c>
      <c r="C602" s="7" t="s">
        <v>337</v>
      </c>
      <c r="D602" s="7">
        <v>353</v>
      </c>
      <c r="E602" s="10">
        <f>IFERROR(SUMIFS('Base bordo CD'!M$2:M$875,'Base bordo CD'!D$2:D$875,A602,'Base bordo CD'!A$2:A$875,B602,'Base bordo CD'!L$2:L$875,"CORTE DE CANA MECANIZADO"),0)</f>
        <v>4.1094444444444438</v>
      </c>
      <c r="F602" s="10">
        <f>IFERROR(SUMIFS('Base bordo CD'!M$2:M$875,'Base bordo CD'!D$2:D$875,A602,'Base bordo CD'!A$2:A$875,B602,'Base bordo CD'!L$2:L$875,"MANOBRA"),0)</f>
        <v>1.716388888888889</v>
      </c>
      <c r="G602" s="10">
        <f>IFERROR(SUMIFS('Base bordo CD'!M$2:M$875,'Base bordo CD'!D$2:D$875,A602,'Base bordo CD'!A$2:A$875,B602,'Base bordo CD'!L$2:L$875,"DESLOCAMENTO"),0)</f>
        <v>0.50583333333333336</v>
      </c>
      <c r="H602" s="10">
        <f>IFERROR(SUMIFS('Base bordo CD'!M$2:M$875,'Base bordo CD'!D$2:D$875,A602,'Base bordo CD'!A$2:A$875,B602,'Base bordo CD'!L$2:L$875,"AGUARDANDO MANOBRA DE TRANSBORDO"),0)+IFERROR(SUMIFS('Base bordo CD'!M$2:M$875,'Base bordo CD'!D$2:D$875,A602,'Base bordo CD'!A$2:A$875,B602,'Base bordo CD'!L$2:L$875,"FALTA DE TRANSBORDO"),0)</f>
        <v>0.48555555555555557</v>
      </c>
      <c r="I602" s="10">
        <f>IFERROR(SUMIFS('Base bordo CD'!M$2:M$875,'Base bordo CD'!D$2:D$875,A602,'Base bordo CD'!A$2:A$875,B602,'Base bordo CD'!L$2:L$875,"PARADA POR CONDICOES CLIMATICAS"),0)+IFERROR(SUMIFS('Base bordo CD'!M$2:M$875,'Base bordo CD'!D$2:D$875,A602,'Base bordo CD'!A$2:A$875,B602,'Base bordo CD'!L$2:L$875,"TEMPO INDETERMINADO"),0)</f>
        <v>15.052222222222222</v>
      </c>
      <c r="J602" s="10">
        <f>IFERROR(SUMIFS('Base bordo CD'!M$2:M$875,'Base bordo CD'!D$2:D$875,A602,'Base bordo CD'!A$2:A$875,B602,'Base bordo CD'!L$2:L$875,"LIMITAÇÃO INDÚSTRIA"),0)</f>
        <v>0</v>
      </c>
      <c r="K602" s="10">
        <f>IFERROR(SUMIFS('Base bordo CD'!M$2:M$875,'Base bordo CD'!D$2:D$875,A602,'Base bordo CD'!A$2:A$875,B602,'Base bordo CD'!L$2:L$875,"MAN CORRETIVA*"),0)+IFERROR(SUMIFS('Base bordo CD'!M$2:M$875,'Base bordo CD'!D$2:D$875,A602,'Base bordo CD'!A$2:A$875,B602,'Base bordo CD'!L$2:L$875,"AGUARDANDO MANUTENCAO*"),0)+IFERROR(SUMIFS('Base bordo CD'!M$2:M$875,'Base bordo CD'!D$2:D$875,A602,'Base bordo CD'!A$2:A$875,B602,'Base bordo CD'!L$2:L$875,"TROCA DE FAQUINHA"),0)+IFERROR(SUMIFS('Base bordo CD'!M$2:M$875,'Base bordo CD'!D$2:D$875,A602,'Base bordo CD'!A$2:A$875,B602,'Base bordo CD'!L$2:L$875,"LIMPEZA*"),0)</f>
        <v>2.02</v>
      </c>
      <c r="L602" s="10">
        <f>IFERROR(SUMIFS('Base bordo CD'!M$2:M$875,'Base bordo CD'!D$2:D$875,A602,'Base bordo CD'!A$2:A$875,B602,'Base bordo CD'!L$2:L$875,"PATIO - RESERVA"),0)</f>
        <v>0</v>
      </c>
      <c r="M602" s="10">
        <f>IFERROR(SUMIFS('Base bordo CD'!M$2:M$875,'Base bordo CD'!D$2:D$875,A602,'Base bordo CD'!A$2:A$875,B602,'Base bordo CD'!L$2:L$875,"SEM APONTAMENTO"),0)</f>
        <v>4.4444444444444444E-3</v>
      </c>
      <c r="N602" s="10">
        <f>IFERROR(SUMIFS('Base bordo CD'!M$2:M$875,'Base bordo CD'!D$2:D$875,A602,'Base bordo CD'!A$2:A$875,B602,'Base bordo CD'!L$2:L$875,"FALTA DE CAMINHÃO"),0)+IFERROR(SUMIFS('Base bordo CD'!M$2:M$875,'Base bordo CD'!D$2:D$875,A602,'Base bordo CD'!A$2:A$875,B602,'Base bordo CD'!L$2:L$875,"FALTA DE COMBUSTIVEL"),0)+IFERROR(SUMIFS('Base bordo CD'!M$2:M$875,'Base bordo CD'!D$2:D$875,A602,'Base bordo CD'!A$2:A$875,B602,'Base bordo CD'!L$2:L$875,"FALTA DE MOTORIST*"),0)</f>
        <v>0</v>
      </c>
      <c r="O602" s="10">
        <f t="shared" si="50"/>
        <v>0.10611111111111526</v>
      </c>
      <c r="P602" s="10">
        <f>IFERROR(SUMIFS('Base bordo CD'!M$2:M$875,'Base bordo CD'!D$2:D$875,A602,'Base bordo CD'!A$2:A$875,B602),0)</f>
        <v>24.000000000000004</v>
      </c>
      <c r="Q602" s="10">
        <f>IFERROR(SUMIFS('Base bordo CD'!O$2:O$875,'Base bordo CD'!D$2:D$875,A602,'Base bordo CD'!A$2:A$875,B602,'Base bordo CD'!L$2:L$875,"CORTE DE CANA MECANIZADO"),0)</f>
        <v>55289.72</v>
      </c>
      <c r="R602" s="10">
        <f>IFERROR(SUMIFS('Base bordo CD'!Q$2:Q$875,'Base bordo CD'!D$2:D$875,A602,'Base bordo CD'!A$2:A$875,B602,'Base bordo CD'!L$2:L$875,"CORTE DE CANA MECANIZADO"),0)</f>
        <v>14793</v>
      </c>
      <c r="S602" s="30">
        <f t="shared" si="51"/>
        <v>3.7375596565943354</v>
      </c>
      <c r="T602" s="9">
        <f t="shared" si="52"/>
        <v>0.1712268518518518</v>
      </c>
      <c r="U602" s="9">
        <f t="shared" si="53"/>
        <v>7.1516203703703693E-2</v>
      </c>
      <c r="V602" s="9">
        <f t="shared" si="54"/>
        <v>0.80769675925925932</v>
      </c>
    </row>
    <row r="603" spans="1:22" x14ac:dyDescent="0.35">
      <c r="A603" s="52">
        <v>49596</v>
      </c>
      <c r="B603" s="31">
        <v>46119</v>
      </c>
      <c r="C603" s="7" t="s">
        <v>337</v>
      </c>
      <c r="D603" s="7">
        <v>353</v>
      </c>
      <c r="E603" s="10">
        <f>IFERROR(SUMIFS('Base bordo CD'!M$2:M$875,'Base bordo CD'!D$2:D$875,A603,'Base bordo CD'!A$2:A$875,B603,'Base bordo CD'!L$2:L$875,"CORTE DE CANA MECANIZADO"),0)</f>
        <v>4.1094444444444438</v>
      </c>
      <c r="F603" s="10">
        <f>IFERROR(SUMIFS('Base bordo CD'!M$2:M$875,'Base bordo CD'!D$2:D$875,A603,'Base bordo CD'!A$2:A$875,B603,'Base bordo CD'!L$2:L$875,"MANOBRA"),0)</f>
        <v>1.716388888888889</v>
      </c>
      <c r="G603" s="10">
        <f>IFERROR(SUMIFS('Base bordo CD'!M$2:M$875,'Base bordo CD'!D$2:D$875,A603,'Base bordo CD'!A$2:A$875,B603,'Base bordo CD'!L$2:L$875,"DESLOCAMENTO"),0)</f>
        <v>0.50583333333333336</v>
      </c>
      <c r="H603" s="10">
        <f>IFERROR(SUMIFS('Base bordo CD'!M$2:M$875,'Base bordo CD'!D$2:D$875,A603,'Base bordo CD'!A$2:A$875,B603,'Base bordo CD'!L$2:L$875,"AGUARDANDO MANOBRA DE TRANSBORDO"),0)+IFERROR(SUMIFS('Base bordo CD'!M$2:M$875,'Base bordo CD'!D$2:D$875,A603,'Base bordo CD'!A$2:A$875,B603,'Base bordo CD'!L$2:L$875,"FALTA DE TRANSBORDO"),0)</f>
        <v>0.48555555555555557</v>
      </c>
      <c r="I603" s="10">
        <f>IFERROR(SUMIFS('Base bordo CD'!M$2:M$875,'Base bordo CD'!D$2:D$875,A603,'Base bordo CD'!A$2:A$875,B603,'Base bordo CD'!L$2:L$875,"PARADA POR CONDICOES CLIMATICAS"),0)+IFERROR(SUMIFS('Base bordo CD'!M$2:M$875,'Base bordo CD'!D$2:D$875,A603,'Base bordo CD'!A$2:A$875,B603,'Base bordo CD'!L$2:L$875,"TEMPO INDETERMINADO"),0)</f>
        <v>15.052222222222222</v>
      </c>
      <c r="J603" s="10">
        <f>IFERROR(SUMIFS('Base bordo CD'!M$2:M$875,'Base bordo CD'!D$2:D$875,A603,'Base bordo CD'!A$2:A$875,B603,'Base bordo CD'!L$2:L$875,"LIMITAÇÃO INDÚSTRIA"),0)</f>
        <v>0</v>
      </c>
      <c r="K603" s="10">
        <f>IFERROR(SUMIFS('Base bordo CD'!M$2:M$875,'Base bordo CD'!D$2:D$875,A603,'Base bordo CD'!A$2:A$875,B603,'Base bordo CD'!L$2:L$875,"MAN CORRETIVA*"),0)+IFERROR(SUMIFS('Base bordo CD'!M$2:M$875,'Base bordo CD'!D$2:D$875,A603,'Base bordo CD'!A$2:A$875,B603,'Base bordo CD'!L$2:L$875,"AGUARDANDO MANUTENCAO*"),0)+IFERROR(SUMIFS('Base bordo CD'!M$2:M$875,'Base bordo CD'!D$2:D$875,A603,'Base bordo CD'!A$2:A$875,B603,'Base bordo CD'!L$2:L$875,"TROCA DE FAQUINHA"),0)+IFERROR(SUMIFS('Base bordo CD'!M$2:M$875,'Base bordo CD'!D$2:D$875,A603,'Base bordo CD'!A$2:A$875,B603,'Base bordo CD'!L$2:L$875,"LIMPEZA*"),0)</f>
        <v>2.02</v>
      </c>
      <c r="L603" s="10">
        <f>IFERROR(SUMIFS('Base bordo CD'!M$2:M$875,'Base bordo CD'!D$2:D$875,A603,'Base bordo CD'!A$2:A$875,B603,'Base bordo CD'!L$2:L$875,"PATIO - RESERVA"),0)</f>
        <v>0</v>
      </c>
      <c r="M603" s="10">
        <f>IFERROR(SUMIFS('Base bordo CD'!M$2:M$875,'Base bordo CD'!D$2:D$875,A603,'Base bordo CD'!A$2:A$875,B603,'Base bordo CD'!L$2:L$875,"SEM APONTAMENTO"),0)</f>
        <v>4.4444444444444444E-3</v>
      </c>
      <c r="N603" s="10">
        <f>IFERROR(SUMIFS('Base bordo CD'!M$2:M$875,'Base bordo CD'!D$2:D$875,A603,'Base bordo CD'!A$2:A$875,B603,'Base bordo CD'!L$2:L$875,"FALTA DE CAMINHÃO"),0)+IFERROR(SUMIFS('Base bordo CD'!M$2:M$875,'Base bordo CD'!D$2:D$875,A603,'Base bordo CD'!A$2:A$875,B603,'Base bordo CD'!L$2:L$875,"FALTA DE COMBUSTIVEL"),0)+IFERROR(SUMIFS('Base bordo CD'!M$2:M$875,'Base bordo CD'!D$2:D$875,A603,'Base bordo CD'!A$2:A$875,B603,'Base bordo CD'!L$2:L$875,"FALTA DE MOTORIST*"),0)</f>
        <v>0</v>
      </c>
      <c r="O603" s="10">
        <f t="shared" si="50"/>
        <v>0.10611111111111526</v>
      </c>
      <c r="P603" s="10">
        <f>IFERROR(SUMIFS('Base bordo CD'!M$2:M$875,'Base bordo CD'!D$2:D$875,A603,'Base bordo CD'!A$2:A$875,B603),0)</f>
        <v>24.000000000000004</v>
      </c>
      <c r="Q603" s="10">
        <f>IFERROR(SUMIFS('Base bordo CD'!O$2:O$875,'Base bordo CD'!D$2:D$875,A603,'Base bordo CD'!A$2:A$875,B603,'Base bordo CD'!L$2:L$875,"CORTE DE CANA MECANIZADO"),0)</f>
        <v>55289.72</v>
      </c>
      <c r="R603" s="10">
        <f>IFERROR(SUMIFS('Base bordo CD'!Q$2:Q$875,'Base bordo CD'!D$2:D$875,A603,'Base bordo CD'!A$2:A$875,B603,'Base bordo CD'!L$2:L$875,"CORTE DE CANA MECANIZADO"),0)</f>
        <v>14793</v>
      </c>
      <c r="S603" s="30">
        <f t="shared" si="51"/>
        <v>3.7375596565943354</v>
      </c>
      <c r="T603" s="9">
        <f t="shared" si="52"/>
        <v>0.1712268518518518</v>
      </c>
      <c r="U603" s="9">
        <f t="shared" si="53"/>
        <v>7.1516203703703693E-2</v>
      </c>
      <c r="V603" s="9">
        <f t="shared" si="54"/>
        <v>0.80769675925925932</v>
      </c>
    </row>
    <row r="604" spans="1:22" x14ac:dyDescent="0.35">
      <c r="A604" s="52">
        <v>49596</v>
      </c>
      <c r="B604" s="31">
        <v>46119</v>
      </c>
      <c r="C604" s="7" t="s">
        <v>337</v>
      </c>
      <c r="D604" s="7">
        <v>353</v>
      </c>
      <c r="E604" s="10">
        <f>IFERROR(SUMIFS('Base bordo CD'!M$2:M$875,'Base bordo CD'!D$2:D$875,A604,'Base bordo CD'!A$2:A$875,B604,'Base bordo CD'!L$2:L$875,"CORTE DE CANA MECANIZADO"),0)</f>
        <v>4.1094444444444438</v>
      </c>
      <c r="F604" s="10">
        <f>IFERROR(SUMIFS('Base bordo CD'!M$2:M$875,'Base bordo CD'!D$2:D$875,A604,'Base bordo CD'!A$2:A$875,B604,'Base bordo CD'!L$2:L$875,"MANOBRA"),0)</f>
        <v>1.716388888888889</v>
      </c>
      <c r="G604" s="10">
        <f>IFERROR(SUMIFS('Base bordo CD'!M$2:M$875,'Base bordo CD'!D$2:D$875,A604,'Base bordo CD'!A$2:A$875,B604,'Base bordo CD'!L$2:L$875,"DESLOCAMENTO"),0)</f>
        <v>0.50583333333333336</v>
      </c>
      <c r="H604" s="10">
        <f>IFERROR(SUMIFS('Base bordo CD'!M$2:M$875,'Base bordo CD'!D$2:D$875,A604,'Base bordo CD'!A$2:A$875,B604,'Base bordo CD'!L$2:L$875,"AGUARDANDO MANOBRA DE TRANSBORDO"),0)+IFERROR(SUMIFS('Base bordo CD'!M$2:M$875,'Base bordo CD'!D$2:D$875,A604,'Base bordo CD'!A$2:A$875,B604,'Base bordo CD'!L$2:L$875,"FALTA DE TRANSBORDO"),0)</f>
        <v>0.48555555555555557</v>
      </c>
      <c r="I604" s="10">
        <f>IFERROR(SUMIFS('Base bordo CD'!M$2:M$875,'Base bordo CD'!D$2:D$875,A604,'Base bordo CD'!A$2:A$875,B604,'Base bordo CD'!L$2:L$875,"PARADA POR CONDICOES CLIMATICAS"),0)+IFERROR(SUMIFS('Base bordo CD'!M$2:M$875,'Base bordo CD'!D$2:D$875,A604,'Base bordo CD'!A$2:A$875,B604,'Base bordo CD'!L$2:L$875,"TEMPO INDETERMINADO"),0)</f>
        <v>15.052222222222222</v>
      </c>
      <c r="J604" s="10">
        <f>IFERROR(SUMIFS('Base bordo CD'!M$2:M$875,'Base bordo CD'!D$2:D$875,A604,'Base bordo CD'!A$2:A$875,B604,'Base bordo CD'!L$2:L$875,"LIMITAÇÃO INDÚSTRIA"),0)</f>
        <v>0</v>
      </c>
      <c r="K604" s="10">
        <f>IFERROR(SUMIFS('Base bordo CD'!M$2:M$875,'Base bordo CD'!D$2:D$875,A604,'Base bordo CD'!A$2:A$875,B604,'Base bordo CD'!L$2:L$875,"MAN CORRETIVA*"),0)+IFERROR(SUMIFS('Base bordo CD'!M$2:M$875,'Base bordo CD'!D$2:D$875,A604,'Base bordo CD'!A$2:A$875,B604,'Base bordo CD'!L$2:L$875,"AGUARDANDO MANUTENCAO*"),0)+IFERROR(SUMIFS('Base bordo CD'!M$2:M$875,'Base bordo CD'!D$2:D$875,A604,'Base bordo CD'!A$2:A$875,B604,'Base bordo CD'!L$2:L$875,"TROCA DE FAQUINHA"),0)+IFERROR(SUMIFS('Base bordo CD'!M$2:M$875,'Base bordo CD'!D$2:D$875,A604,'Base bordo CD'!A$2:A$875,B604,'Base bordo CD'!L$2:L$875,"LIMPEZA*"),0)</f>
        <v>2.02</v>
      </c>
      <c r="L604" s="10">
        <f>IFERROR(SUMIFS('Base bordo CD'!M$2:M$875,'Base bordo CD'!D$2:D$875,A604,'Base bordo CD'!A$2:A$875,B604,'Base bordo CD'!L$2:L$875,"PATIO - RESERVA"),0)</f>
        <v>0</v>
      </c>
      <c r="M604" s="10">
        <f>IFERROR(SUMIFS('Base bordo CD'!M$2:M$875,'Base bordo CD'!D$2:D$875,A604,'Base bordo CD'!A$2:A$875,B604,'Base bordo CD'!L$2:L$875,"SEM APONTAMENTO"),0)</f>
        <v>4.4444444444444444E-3</v>
      </c>
      <c r="N604" s="10">
        <f>IFERROR(SUMIFS('Base bordo CD'!M$2:M$875,'Base bordo CD'!D$2:D$875,A604,'Base bordo CD'!A$2:A$875,B604,'Base bordo CD'!L$2:L$875,"FALTA DE CAMINHÃO"),0)+IFERROR(SUMIFS('Base bordo CD'!M$2:M$875,'Base bordo CD'!D$2:D$875,A604,'Base bordo CD'!A$2:A$875,B604,'Base bordo CD'!L$2:L$875,"FALTA DE COMBUSTIVEL"),0)+IFERROR(SUMIFS('Base bordo CD'!M$2:M$875,'Base bordo CD'!D$2:D$875,A604,'Base bordo CD'!A$2:A$875,B604,'Base bordo CD'!L$2:L$875,"FALTA DE MOTORIST*"),0)</f>
        <v>0</v>
      </c>
      <c r="O604" s="10">
        <f t="shared" si="50"/>
        <v>0.10611111111111526</v>
      </c>
      <c r="P604" s="10">
        <f>IFERROR(SUMIFS('Base bordo CD'!M$2:M$875,'Base bordo CD'!D$2:D$875,A604,'Base bordo CD'!A$2:A$875,B604),0)</f>
        <v>24.000000000000004</v>
      </c>
      <c r="Q604" s="10">
        <f>IFERROR(SUMIFS('Base bordo CD'!O$2:O$875,'Base bordo CD'!D$2:D$875,A604,'Base bordo CD'!A$2:A$875,B604,'Base bordo CD'!L$2:L$875,"CORTE DE CANA MECANIZADO"),0)</f>
        <v>55289.72</v>
      </c>
      <c r="R604" s="10">
        <f>IFERROR(SUMIFS('Base bordo CD'!Q$2:Q$875,'Base bordo CD'!D$2:D$875,A604,'Base bordo CD'!A$2:A$875,B604,'Base bordo CD'!L$2:L$875,"CORTE DE CANA MECANIZADO"),0)</f>
        <v>14793</v>
      </c>
      <c r="S604" s="30">
        <f t="shared" si="51"/>
        <v>3.7375596565943354</v>
      </c>
      <c r="T604" s="9">
        <f t="shared" si="52"/>
        <v>0.1712268518518518</v>
      </c>
      <c r="U604" s="9">
        <f t="shared" si="53"/>
        <v>7.1516203703703693E-2</v>
      </c>
      <c r="V604" s="9">
        <f t="shared" si="54"/>
        <v>0.80769675925925932</v>
      </c>
    </row>
    <row r="605" spans="1:22" x14ac:dyDescent="0.35">
      <c r="A605" s="52">
        <v>49596</v>
      </c>
      <c r="B605" s="31">
        <v>46119</v>
      </c>
      <c r="C605" s="7" t="s">
        <v>337</v>
      </c>
      <c r="D605" s="7">
        <v>353</v>
      </c>
      <c r="E605" s="10">
        <f>IFERROR(SUMIFS('Base bordo CD'!M$2:M$875,'Base bordo CD'!D$2:D$875,A605,'Base bordo CD'!A$2:A$875,B605,'Base bordo CD'!L$2:L$875,"CORTE DE CANA MECANIZADO"),0)</f>
        <v>4.1094444444444438</v>
      </c>
      <c r="F605" s="10">
        <f>IFERROR(SUMIFS('Base bordo CD'!M$2:M$875,'Base bordo CD'!D$2:D$875,A605,'Base bordo CD'!A$2:A$875,B605,'Base bordo CD'!L$2:L$875,"MANOBRA"),0)</f>
        <v>1.716388888888889</v>
      </c>
      <c r="G605" s="10">
        <f>IFERROR(SUMIFS('Base bordo CD'!M$2:M$875,'Base bordo CD'!D$2:D$875,A605,'Base bordo CD'!A$2:A$875,B605,'Base bordo CD'!L$2:L$875,"DESLOCAMENTO"),0)</f>
        <v>0.50583333333333336</v>
      </c>
      <c r="H605" s="10">
        <f>IFERROR(SUMIFS('Base bordo CD'!M$2:M$875,'Base bordo CD'!D$2:D$875,A605,'Base bordo CD'!A$2:A$875,B605,'Base bordo CD'!L$2:L$875,"AGUARDANDO MANOBRA DE TRANSBORDO"),0)+IFERROR(SUMIFS('Base bordo CD'!M$2:M$875,'Base bordo CD'!D$2:D$875,A605,'Base bordo CD'!A$2:A$875,B605,'Base bordo CD'!L$2:L$875,"FALTA DE TRANSBORDO"),0)</f>
        <v>0.48555555555555557</v>
      </c>
      <c r="I605" s="10">
        <f>IFERROR(SUMIFS('Base bordo CD'!M$2:M$875,'Base bordo CD'!D$2:D$875,A605,'Base bordo CD'!A$2:A$875,B605,'Base bordo CD'!L$2:L$875,"PARADA POR CONDICOES CLIMATICAS"),0)+IFERROR(SUMIFS('Base bordo CD'!M$2:M$875,'Base bordo CD'!D$2:D$875,A605,'Base bordo CD'!A$2:A$875,B605,'Base bordo CD'!L$2:L$875,"TEMPO INDETERMINADO"),0)</f>
        <v>15.052222222222222</v>
      </c>
      <c r="J605" s="10">
        <f>IFERROR(SUMIFS('Base bordo CD'!M$2:M$875,'Base bordo CD'!D$2:D$875,A605,'Base bordo CD'!A$2:A$875,B605,'Base bordo CD'!L$2:L$875,"LIMITAÇÃO INDÚSTRIA"),0)</f>
        <v>0</v>
      </c>
      <c r="K605" s="10">
        <f>IFERROR(SUMIFS('Base bordo CD'!M$2:M$875,'Base bordo CD'!D$2:D$875,A605,'Base bordo CD'!A$2:A$875,B605,'Base bordo CD'!L$2:L$875,"MAN CORRETIVA*"),0)+IFERROR(SUMIFS('Base bordo CD'!M$2:M$875,'Base bordo CD'!D$2:D$875,A605,'Base bordo CD'!A$2:A$875,B605,'Base bordo CD'!L$2:L$875,"AGUARDANDO MANUTENCAO*"),0)+IFERROR(SUMIFS('Base bordo CD'!M$2:M$875,'Base bordo CD'!D$2:D$875,A605,'Base bordo CD'!A$2:A$875,B605,'Base bordo CD'!L$2:L$875,"TROCA DE FAQUINHA"),0)+IFERROR(SUMIFS('Base bordo CD'!M$2:M$875,'Base bordo CD'!D$2:D$875,A605,'Base bordo CD'!A$2:A$875,B605,'Base bordo CD'!L$2:L$875,"LIMPEZA*"),0)</f>
        <v>2.02</v>
      </c>
      <c r="L605" s="10">
        <f>IFERROR(SUMIFS('Base bordo CD'!M$2:M$875,'Base bordo CD'!D$2:D$875,A605,'Base bordo CD'!A$2:A$875,B605,'Base bordo CD'!L$2:L$875,"PATIO - RESERVA"),0)</f>
        <v>0</v>
      </c>
      <c r="M605" s="10">
        <f>IFERROR(SUMIFS('Base bordo CD'!M$2:M$875,'Base bordo CD'!D$2:D$875,A605,'Base bordo CD'!A$2:A$875,B605,'Base bordo CD'!L$2:L$875,"SEM APONTAMENTO"),0)</f>
        <v>4.4444444444444444E-3</v>
      </c>
      <c r="N605" s="10">
        <f>IFERROR(SUMIFS('Base bordo CD'!M$2:M$875,'Base bordo CD'!D$2:D$875,A605,'Base bordo CD'!A$2:A$875,B605,'Base bordo CD'!L$2:L$875,"FALTA DE CAMINHÃO"),0)+IFERROR(SUMIFS('Base bordo CD'!M$2:M$875,'Base bordo CD'!D$2:D$875,A605,'Base bordo CD'!A$2:A$875,B605,'Base bordo CD'!L$2:L$875,"FALTA DE COMBUSTIVEL"),0)+IFERROR(SUMIFS('Base bordo CD'!M$2:M$875,'Base bordo CD'!D$2:D$875,A605,'Base bordo CD'!A$2:A$875,B605,'Base bordo CD'!L$2:L$875,"FALTA DE MOTORIST*"),0)</f>
        <v>0</v>
      </c>
      <c r="O605" s="10">
        <f t="shared" si="50"/>
        <v>0.10611111111111526</v>
      </c>
      <c r="P605" s="10">
        <f>IFERROR(SUMIFS('Base bordo CD'!M$2:M$875,'Base bordo CD'!D$2:D$875,A605,'Base bordo CD'!A$2:A$875,B605),0)</f>
        <v>24.000000000000004</v>
      </c>
      <c r="Q605" s="10">
        <f>IFERROR(SUMIFS('Base bordo CD'!O$2:O$875,'Base bordo CD'!D$2:D$875,A605,'Base bordo CD'!A$2:A$875,B605,'Base bordo CD'!L$2:L$875,"CORTE DE CANA MECANIZADO"),0)</f>
        <v>55289.72</v>
      </c>
      <c r="R605" s="10">
        <f>IFERROR(SUMIFS('Base bordo CD'!Q$2:Q$875,'Base bordo CD'!D$2:D$875,A605,'Base bordo CD'!A$2:A$875,B605,'Base bordo CD'!L$2:L$875,"CORTE DE CANA MECANIZADO"),0)</f>
        <v>14793</v>
      </c>
      <c r="S605" s="30">
        <f t="shared" si="51"/>
        <v>3.7375596565943354</v>
      </c>
      <c r="T605" s="9">
        <f t="shared" si="52"/>
        <v>0.1712268518518518</v>
      </c>
      <c r="U605" s="9">
        <f t="shared" si="53"/>
        <v>7.1516203703703693E-2</v>
      </c>
      <c r="V605" s="9">
        <f t="shared" si="54"/>
        <v>0.80769675925925932</v>
      </c>
    </row>
    <row r="606" spans="1:22" x14ac:dyDescent="0.35">
      <c r="A606" s="52">
        <v>49596</v>
      </c>
      <c r="B606" s="31">
        <v>46119</v>
      </c>
      <c r="C606" s="7" t="s">
        <v>337</v>
      </c>
      <c r="D606" s="7">
        <v>353</v>
      </c>
      <c r="E606" s="10">
        <f>IFERROR(SUMIFS('Base bordo CD'!M$2:M$875,'Base bordo CD'!D$2:D$875,A606,'Base bordo CD'!A$2:A$875,B606,'Base bordo CD'!L$2:L$875,"CORTE DE CANA MECANIZADO"),0)</f>
        <v>4.1094444444444438</v>
      </c>
      <c r="F606" s="10">
        <f>IFERROR(SUMIFS('Base bordo CD'!M$2:M$875,'Base bordo CD'!D$2:D$875,A606,'Base bordo CD'!A$2:A$875,B606,'Base bordo CD'!L$2:L$875,"MANOBRA"),0)</f>
        <v>1.716388888888889</v>
      </c>
      <c r="G606" s="10">
        <f>IFERROR(SUMIFS('Base bordo CD'!M$2:M$875,'Base bordo CD'!D$2:D$875,A606,'Base bordo CD'!A$2:A$875,B606,'Base bordo CD'!L$2:L$875,"DESLOCAMENTO"),0)</f>
        <v>0.50583333333333336</v>
      </c>
      <c r="H606" s="10">
        <f>IFERROR(SUMIFS('Base bordo CD'!M$2:M$875,'Base bordo CD'!D$2:D$875,A606,'Base bordo CD'!A$2:A$875,B606,'Base bordo CD'!L$2:L$875,"AGUARDANDO MANOBRA DE TRANSBORDO"),0)+IFERROR(SUMIFS('Base bordo CD'!M$2:M$875,'Base bordo CD'!D$2:D$875,A606,'Base bordo CD'!A$2:A$875,B606,'Base bordo CD'!L$2:L$875,"FALTA DE TRANSBORDO"),0)</f>
        <v>0.48555555555555557</v>
      </c>
      <c r="I606" s="10">
        <f>IFERROR(SUMIFS('Base bordo CD'!M$2:M$875,'Base bordo CD'!D$2:D$875,A606,'Base bordo CD'!A$2:A$875,B606,'Base bordo CD'!L$2:L$875,"PARADA POR CONDICOES CLIMATICAS"),0)+IFERROR(SUMIFS('Base bordo CD'!M$2:M$875,'Base bordo CD'!D$2:D$875,A606,'Base bordo CD'!A$2:A$875,B606,'Base bordo CD'!L$2:L$875,"TEMPO INDETERMINADO"),0)</f>
        <v>15.052222222222222</v>
      </c>
      <c r="J606" s="10">
        <f>IFERROR(SUMIFS('Base bordo CD'!M$2:M$875,'Base bordo CD'!D$2:D$875,A606,'Base bordo CD'!A$2:A$875,B606,'Base bordo CD'!L$2:L$875,"LIMITAÇÃO INDÚSTRIA"),0)</f>
        <v>0</v>
      </c>
      <c r="K606" s="10">
        <f>IFERROR(SUMIFS('Base bordo CD'!M$2:M$875,'Base bordo CD'!D$2:D$875,A606,'Base bordo CD'!A$2:A$875,B606,'Base bordo CD'!L$2:L$875,"MAN CORRETIVA*"),0)+IFERROR(SUMIFS('Base bordo CD'!M$2:M$875,'Base bordo CD'!D$2:D$875,A606,'Base bordo CD'!A$2:A$875,B606,'Base bordo CD'!L$2:L$875,"AGUARDANDO MANUTENCAO*"),0)+IFERROR(SUMIFS('Base bordo CD'!M$2:M$875,'Base bordo CD'!D$2:D$875,A606,'Base bordo CD'!A$2:A$875,B606,'Base bordo CD'!L$2:L$875,"TROCA DE FAQUINHA"),0)+IFERROR(SUMIFS('Base bordo CD'!M$2:M$875,'Base bordo CD'!D$2:D$875,A606,'Base bordo CD'!A$2:A$875,B606,'Base bordo CD'!L$2:L$875,"LIMPEZA*"),0)</f>
        <v>2.02</v>
      </c>
      <c r="L606" s="10">
        <f>IFERROR(SUMIFS('Base bordo CD'!M$2:M$875,'Base bordo CD'!D$2:D$875,A606,'Base bordo CD'!A$2:A$875,B606,'Base bordo CD'!L$2:L$875,"PATIO - RESERVA"),0)</f>
        <v>0</v>
      </c>
      <c r="M606" s="10">
        <f>IFERROR(SUMIFS('Base bordo CD'!M$2:M$875,'Base bordo CD'!D$2:D$875,A606,'Base bordo CD'!A$2:A$875,B606,'Base bordo CD'!L$2:L$875,"SEM APONTAMENTO"),0)</f>
        <v>4.4444444444444444E-3</v>
      </c>
      <c r="N606" s="10">
        <f>IFERROR(SUMIFS('Base bordo CD'!M$2:M$875,'Base bordo CD'!D$2:D$875,A606,'Base bordo CD'!A$2:A$875,B606,'Base bordo CD'!L$2:L$875,"FALTA DE CAMINHÃO"),0)+IFERROR(SUMIFS('Base bordo CD'!M$2:M$875,'Base bordo CD'!D$2:D$875,A606,'Base bordo CD'!A$2:A$875,B606,'Base bordo CD'!L$2:L$875,"FALTA DE COMBUSTIVEL"),0)+IFERROR(SUMIFS('Base bordo CD'!M$2:M$875,'Base bordo CD'!D$2:D$875,A606,'Base bordo CD'!A$2:A$875,B606,'Base bordo CD'!L$2:L$875,"FALTA DE MOTORIST*"),0)</f>
        <v>0</v>
      </c>
      <c r="O606" s="10">
        <f t="shared" si="50"/>
        <v>0.10611111111111526</v>
      </c>
      <c r="P606" s="10">
        <f>IFERROR(SUMIFS('Base bordo CD'!M$2:M$875,'Base bordo CD'!D$2:D$875,A606,'Base bordo CD'!A$2:A$875,B606),0)</f>
        <v>24.000000000000004</v>
      </c>
      <c r="Q606" s="10">
        <f>IFERROR(SUMIFS('Base bordo CD'!O$2:O$875,'Base bordo CD'!D$2:D$875,A606,'Base bordo CD'!A$2:A$875,B606,'Base bordo CD'!L$2:L$875,"CORTE DE CANA MECANIZADO"),0)</f>
        <v>55289.72</v>
      </c>
      <c r="R606" s="10">
        <f>IFERROR(SUMIFS('Base bordo CD'!Q$2:Q$875,'Base bordo CD'!D$2:D$875,A606,'Base bordo CD'!A$2:A$875,B606,'Base bordo CD'!L$2:L$875,"CORTE DE CANA MECANIZADO"),0)</f>
        <v>14793</v>
      </c>
      <c r="S606" s="30">
        <f t="shared" si="51"/>
        <v>3.7375596565943354</v>
      </c>
      <c r="T606" s="9">
        <f t="shared" si="52"/>
        <v>0.1712268518518518</v>
      </c>
      <c r="U606" s="9">
        <f t="shared" si="53"/>
        <v>7.1516203703703693E-2</v>
      </c>
      <c r="V606" s="9">
        <f t="shared" si="54"/>
        <v>0.80769675925925932</v>
      </c>
    </row>
    <row r="607" spans="1:22" x14ac:dyDescent="0.35">
      <c r="A607" s="52">
        <v>49596</v>
      </c>
      <c r="B607" s="31">
        <v>46119</v>
      </c>
      <c r="C607" s="7" t="s">
        <v>337</v>
      </c>
      <c r="D607" s="7">
        <v>353</v>
      </c>
      <c r="E607" s="10">
        <f>IFERROR(SUMIFS('Base bordo CD'!M$2:M$875,'Base bordo CD'!D$2:D$875,A607,'Base bordo CD'!A$2:A$875,B607,'Base bordo CD'!L$2:L$875,"CORTE DE CANA MECANIZADO"),0)</f>
        <v>4.1094444444444438</v>
      </c>
      <c r="F607" s="10">
        <f>IFERROR(SUMIFS('Base bordo CD'!M$2:M$875,'Base bordo CD'!D$2:D$875,A607,'Base bordo CD'!A$2:A$875,B607,'Base bordo CD'!L$2:L$875,"MANOBRA"),0)</f>
        <v>1.716388888888889</v>
      </c>
      <c r="G607" s="10">
        <f>IFERROR(SUMIFS('Base bordo CD'!M$2:M$875,'Base bordo CD'!D$2:D$875,A607,'Base bordo CD'!A$2:A$875,B607,'Base bordo CD'!L$2:L$875,"DESLOCAMENTO"),0)</f>
        <v>0.50583333333333336</v>
      </c>
      <c r="H607" s="10">
        <f>IFERROR(SUMIFS('Base bordo CD'!M$2:M$875,'Base bordo CD'!D$2:D$875,A607,'Base bordo CD'!A$2:A$875,B607,'Base bordo CD'!L$2:L$875,"AGUARDANDO MANOBRA DE TRANSBORDO"),0)+IFERROR(SUMIFS('Base bordo CD'!M$2:M$875,'Base bordo CD'!D$2:D$875,A607,'Base bordo CD'!A$2:A$875,B607,'Base bordo CD'!L$2:L$875,"FALTA DE TRANSBORDO"),0)</f>
        <v>0.48555555555555557</v>
      </c>
      <c r="I607" s="10">
        <f>IFERROR(SUMIFS('Base bordo CD'!M$2:M$875,'Base bordo CD'!D$2:D$875,A607,'Base bordo CD'!A$2:A$875,B607,'Base bordo CD'!L$2:L$875,"PARADA POR CONDICOES CLIMATICAS"),0)+IFERROR(SUMIFS('Base bordo CD'!M$2:M$875,'Base bordo CD'!D$2:D$875,A607,'Base bordo CD'!A$2:A$875,B607,'Base bordo CD'!L$2:L$875,"TEMPO INDETERMINADO"),0)</f>
        <v>15.052222222222222</v>
      </c>
      <c r="J607" s="10">
        <f>IFERROR(SUMIFS('Base bordo CD'!M$2:M$875,'Base bordo CD'!D$2:D$875,A607,'Base bordo CD'!A$2:A$875,B607,'Base bordo CD'!L$2:L$875,"LIMITAÇÃO INDÚSTRIA"),0)</f>
        <v>0</v>
      </c>
      <c r="K607" s="10">
        <f>IFERROR(SUMIFS('Base bordo CD'!M$2:M$875,'Base bordo CD'!D$2:D$875,A607,'Base bordo CD'!A$2:A$875,B607,'Base bordo CD'!L$2:L$875,"MAN CORRETIVA*"),0)+IFERROR(SUMIFS('Base bordo CD'!M$2:M$875,'Base bordo CD'!D$2:D$875,A607,'Base bordo CD'!A$2:A$875,B607,'Base bordo CD'!L$2:L$875,"AGUARDANDO MANUTENCAO*"),0)+IFERROR(SUMIFS('Base bordo CD'!M$2:M$875,'Base bordo CD'!D$2:D$875,A607,'Base bordo CD'!A$2:A$875,B607,'Base bordo CD'!L$2:L$875,"TROCA DE FAQUINHA"),0)+IFERROR(SUMIFS('Base bordo CD'!M$2:M$875,'Base bordo CD'!D$2:D$875,A607,'Base bordo CD'!A$2:A$875,B607,'Base bordo CD'!L$2:L$875,"LIMPEZA*"),0)</f>
        <v>2.02</v>
      </c>
      <c r="L607" s="10">
        <f>IFERROR(SUMIFS('Base bordo CD'!M$2:M$875,'Base bordo CD'!D$2:D$875,A607,'Base bordo CD'!A$2:A$875,B607,'Base bordo CD'!L$2:L$875,"PATIO - RESERVA"),0)</f>
        <v>0</v>
      </c>
      <c r="M607" s="10">
        <f>IFERROR(SUMIFS('Base bordo CD'!M$2:M$875,'Base bordo CD'!D$2:D$875,A607,'Base bordo CD'!A$2:A$875,B607,'Base bordo CD'!L$2:L$875,"SEM APONTAMENTO"),0)</f>
        <v>4.4444444444444444E-3</v>
      </c>
      <c r="N607" s="10">
        <f>IFERROR(SUMIFS('Base bordo CD'!M$2:M$875,'Base bordo CD'!D$2:D$875,A607,'Base bordo CD'!A$2:A$875,B607,'Base bordo CD'!L$2:L$875,"FALTA DE CAMINHÃO"),0)+IFERROR(SUMIFS('Base bordo CD'!M$2:M$875,'Base bordo CD'!D$2:D$875,A607,'Base bordo CD'!A$2:A$875,B607,'Base bordo CD'!L$2:L$875,"FALTA DE COMBUSTIVEL"),0)+IFERROR(SUMIFS('Base bordo CD'!M$2:M$875,'Base bordo CD'!D$2:D$875,A607,'Base bordo CD'!A$2:A$875,B607,'Base bordo CD'!L$2:L$875,"FALTA DE MOTORIST*"),0)</f>
        <v>0</v>
      </c>
      <c r="O607" s="10">
        <f t="shared" si="50"/>
        <v>0.10611111111111526</v>
      </c>
      <c r="P607" s="10">
        <f>IFERROR(SUMIFS('Base bordo CD'!M$2:M$875,'Base bordo CD'!D$2:D$875,A607,'Base bordo CD'!A$2:A$875,B607),0)</f>
        <v>24.000000000000004</v>
      </c>
      <c r="Q607" s="10">
        <f>IFERROR(SUMIFS('Base bordo CD'!O$2:O$875,'Base bordo CD'!D$2:D$875,A607,'Base bordo CD'!A$2:A$875,B607,'Base bordo CD'!L$2:L$875,"CORTE DE CANA MECANIZADO"),0)</f>
        <v>55289.72</v>
      </c>
      <c r="R607" s="10">
        <f>IFERROR(SUMIFS('Base bordo CD'!Q$2:Q$875,'Base bordo CD'!D$2:D$875,A607,'Base bordo CD'!A$2:A$875,B607,'Base bordo CD'!L$2:L$875,"CORTE DE CANA MECANIZADO"),0)</f>
        <v>14793</v>
      </c>
      <c r="S607" s="30">
        <f t="shared" si="51"/>
        <v>3.7375596565943354</v>
      </c>
      <c r="T607" s="9">
        <f t="shared" si="52"/>
        <v>0.1712268518518518</v>
      </c>
      <c r="U607" s="9">
        <f t="shared" si="53"/>
        <v>7.1516203703703693E-2</v>
      </c>
      <c r="V607" s="9">
        <f t="shared" si="54"/>
        <v>0.80769675925925932</v>
      </c>
    </row>
    <row r="608" spans="1:22" x14ac:dyDescent="0.35">
      <c r="A608" s="52">
        <v>49596</v>
      </c>
      <c r="B608" s="31">
        <v>46119</v>
      </c>
      <c r="C608" s="7" t="s">
        <v>337</v>
      </c>
      <c r="D608" s="7">
        <v>353</v>
      </c>
      <c r="E608" s="10">
        <f>IFERROR(SUMIFS('Base bordo CD'!M$2:M$875,'Base bordo CD'!D$2:D$875,A608,'Base bordo CD'!A$2:A$875,B608,'Base bordo CD'!L$2:L$875,"CORTE DE CANA MECANIZADO"),0)</f>
        <v>4.1094444444444438</v>
      </c>
      <c r="F608" s="10">
        <f>IFERROR(SUMIFS('Base bordo CD'!M$2:M$875,'Base bordo CD'!D$2:D$875,A608,'Base bordo CD'!A$2:A$875,B608,'Base bordo CD'!L$2:L$875,"MANOBRA"),0)</f>
        <v>1.716388888888889</v>
      </c>
      <c r="G608" s="10">
        <f>IFERROR(SUMIFS('Base bordo CD'!M$2:M$875,'Base bordo CD'!D$2:D$875,A608,'Base bordo CD'!A$2:A$875,B608,'Base bordo CD'!L$2:L$875,"DESLOCAMENTO"),0)</f>
        <v>0.50583333333333336</v>
      </c>
      <c r="H608" s="10">
        <f>IFERROR(SUMIFS('Base bordo CD'!M$2:M$875,'Base bordo CD'!D$2:D$875,A608,'Base bordo CD'!A$2:A$875,B608,'Base bordo CD'!L$2:L$875,"AGUARDANDO MANOBRA DE TRANSBORDO"),0)+IFERROR(SUMIFS('Base bordo CD'!M$2:M$875,'Base bordo CD'!D$2:D$875,A608,'Base bordo CD'!A$2:A$875,B608,'Base bordo CD'!L$2:L$875,"FALTA DE TRANSBORDO"),0)</f>
        <v>0.48555555555555557</v>
      </c>
      <c r="I608" s="10">
        <f>IFERROR(SUMIFS('Base bordo CD'!M$2:M$875,'Base bordo CD'!D$2:D$875,A608,'Base bordo CD'!A$2:A$875,B608,'Base bordo CD'!L$2:L$875,"PARADA POR CONDICOES CLIMATICAS"),0)+IFERROR(SUMIFS('Base bordo CD'!M$2:M$875,'Base bordo CD'!D$2:D$875,A608,'Base bordo CD'!A$2:A$875,B608,'Base bordo CD'!L$2:L$875,"TEMPO INDETERMINADO"),0)</f>
        <v>15.052222222222222</v>
      </c>
      <c r="J608" s="10">
        <f>IFERROR(SUMIFS('Base bordo CD'!M$2:M$875,'Base bordo CD'!D$2:D$875,A608,'Base bordo CD'!A$2:A$875,B608,'Base bordo CD'!L$2:L$875,"LIMITAÇÃO INDÚSTRIA"),0)</f>
        <v>0</v>
      </c>
      <c r="K608" s="10">
        <f>IFERROR(SUMIFS('Base bordo CD'!M$2:M$875,'Base bordo CD'!D$2:D$875,A608,'Base bordo CD'!A$2:A$875,B608,'Base bordo CD'!L$2:L$875,"MAN CORRETIVA*"),0)+IFERROR(SUMIFS('Base bordo CD'!M$2:M$875,'Base bordo CD'!D$2:D$875,A608,'Base bordo CD'!A$2:A$875,B608,'Base bordo CD'!L$2:L$875,"AGUARDANDO MANUTENCAO*"),0)+IFERROR(SUMIFS('Base bordo CD'!M$2:M$875,'Base bordo CD'!D$2:D$875,A608,'Base bordo CD'!A$2:A$875,B608,'Base bordo CD'!L$2:L$875,"TROCA DE FAQUINHA"),0)+IFERROR(SUMIFS('Base bordo CD'!M$2:M$875,'Base bordo CD'!D$2:D$875,A608,'Base bordo CD'!A$2:A$875,B608,'Base bordo CD'!L$2:L$875,"LIMPEZA*"),0)</f>
        <v>2.02</v>
      </c>
      <c r="L608" s="10">
        <f>IFERROR(SUMIFS('Base bordo CD'!M$2:M$875,'Base bordo CD'!D$2:D$875,A608,'Base bordo CD'!A$2:A$875,B608,'Base bordo CD'!L$2:L$875,"PATIO - RESERVA"),0)</f>
        <v>0</v>
      </c>
      <c r="M608" s="10">
        <f>IFERROR(SUMIFS('Base bordo CD'!M$2:M$875,'Base bordo CD'!D$2:D$875,A608,'Base bordo CD'!A$2:A$875,B608,'Base bordo CD'!L$2:L$875,"SEM APONTAMENTO"),0)</f>
        <v>4.4444444444444444E-3</v>
      </c>
      <c r="N608" s="10">
        <f>IFERROR(SUMIFS('Base bordo CD'!M$2:M$875,'Base bordo CD'!D$2:D$875,A608,'Base bordo CD'!A$2:A$875,B608,'Base bordo CD'!L$2:L$875,"FALTA DE CAMINHÃO"),0)+IFERROR(SUMIFS('Base bordo CD'!M$2:M$875,'Base bordo CD'!D$2:D$875,A608,'Base bordo CD'!A$2:A$875,B608,'Base bordo CD'!L$2:L$875,"FALTA DE COMBUSTIVEL"),0)+IFERROR(SUMIFS('Base bordo CD'!M$2:M$875,'Base bordo CD'!D$2:D$875,A608,'Base bordo CD'!A$2:A$875,B608,'Base bordo CD'!L$2:L$875,"FALTA DE MOTORIST*"),0)</f>
        <v>0</v>
      </c>
      <c r="O608" s="10">
        <f t="shared" si="50"/>
        <v>0.10611111111111526</v>
      </c>
      <c r="P608" s="10">
        <f>IFERROR(SUMIFS('Base bordo CD'!M$2:M$875,'Base bordo CD'!D$2:D$875,A608,'Base bordo CD'!A$2:A$875,B608),0)</f>
        <v>24.000000000000004</v>
      </c>
      <c r="Q608" s="10">
        <f>IFERROR(SUMIFS('Base bordo CD'!O$2:O$875,'Base bordo CD'!D$2:D$875,A608,'Base bordo CD'!A$2:A$875,B608,'Base bordo CD'!L$2:L$875,"CORTE DE CANA MECANIZADO"),0)</f>
        <v>55289.72</v>
      </c>
      <c r="R608" s="10">
        <f>IFERROR(SUMIFS('Base bordo CD'!Q$2:Q$875,'Base bordo CD'!D$2:D$875,A608,'Base bordo CD'!A$2:A$875,B608,'Base bordo CD'!L$2:L$875,"CORTE DE CANA MECANIZADO"),0)</f>
        <v>14793</v>
      </c>
      <c r="S608" s="30">
        <f t="shared" si="51"/>
        <v>3.7375596565943354</v>
      </c>
      <c r="T608" s="9">
        <f t="shared" si="52"/>
        <v>0.1712268518518518</v>
      </c>
      <c r="U608" s="9">
        <f t="shared" si="53"/>
        <v>7.1516203703703693E-2</v>
      </c>
      <c r="V608" s="9">
        <f t="shared" si="54"/>
        <v>0.80769675925925932</v>
      </c>
    </row>
    <row r="609" spans="1:22" x14ac:dyDescent="0.35">
      <c r="A609" s="52">
        <v>49596</v>
      </c>
      <c r="B609" s="31">
        <v>46119</v>
      </c>
      <c r="C609" s="7" t="s">
        <v>337</v>
      </c>
      <c r="D609" s="7">
        <v>353</v>
      </c>
      <c r="E609" s="10">
        <f>IFERROR(SUMIFS('Base bordo CD'!M$2:M$875,'Base bordo CD'!D$2:D$875,A609,'Base bordo CD'!A$2:A$875,B609,'Base bordo CD'!L$2:L$875,"CORTE DE CANA MECANIZADO"),0)</f>
        <v>4.1094444444444438</v>
      </c>
      <c r="F609" s="10">
        <f>IFERROR(SUMIFS('Base bordo CD'!M$2:M$875,'Base bordo CD'!D$2:D$875,A609,'Base bordo CD'!A$2:A$875,B609,'Base bordo CD'!L$2:L$875,"MANOBRA"),0)</f>
        <v>1.716388888888889</v>
      </c>
      <c r="G609" s="10">
        <f>IFERROR(SUMIFS('Base bordo CD'!M$2:M$875,'Base bordo CD'!D$2:D$875,A609,'Base bordo CD'!A$2:A$875,B609,'Base bordo CD'!L$2:L$875,"DESLOCAMENTO"),0)</f>
        <v>0.50583333333333336</v>
      </c>
      <c r="H609" s="10">
        <f>IFERROR(SUMIFS('Base bordo CD'!M$2:M$875,'Base bordo CD'!D$2:D$875,A609,'Base bordo CD'!A$2:A$875,B609,'Base bordo CD'!L$2:L$875,"AGUARDANDO MANOBRA DE TRANSBORDO"),0)+IFERROR(SUMIFS('Base bordo CD'!M$2:M$875,'Base bordo CD'!D$2:D$875,A609,'Base bordo CD'!A$2:A$875,B609,'Base bordo CD'!L$2:L$875,"FALTA DE TRANSBORDO"),0)</f>
        <v>0.48555555555555557</v>
      </c>
      <c r="I609" s="10">
        <f>IFERROR(SUMIFS('Base bordo CD'!M$2:M$875,'Base bordo CD'!D$2:D$875,A609,'Base bordo CD'!A$2:A$875,B609,'Base bordo CD'!L$2:L$875,"PARADA POR CONDICOES CLIMATICAS"),0)+IFERROR(SUMIFS('Base bordo CD'!M$2:M$875,'Base bordo CD'!D$2:D$875,A609,'Base bordo CD'!A$2:A$875,B609,'Base bordo CD'!L$2:L$875,"TEMPO INDETERMINADO"),0)</f>
        <v>15.052222222222222</v>
      </c>
      <c r="J609" s="10">
        <f>IFERROR(SUMIFS('Base bordo CD'!M$2:M$875,'Base bordo CD'!D$2:D$875,A609,'Base bordo CD'!A$2:A$875,B609,'Base bordo CD'!L$2:L$875,"LIMITAÇÃO INDÚSTRIA"),0)</f>
        <v>0</v>
      </c>
      <c r="K609" s="10">
        <f>IFERROR(SUMIFS('Base bordo CD'!M$2:M$875,'Base bordo CD'!D$2:D$875,A609,'Base bordo CD'!A$2:A$875,B609,'Base bordo CD'!L$2:L$875,"MAN CORRETIVA*"),0)+IFERROR(SUMIFS('Base bordo CD'!M$2:M$875,'Base bordo CD'!D$2:D$875,A609,'Base bordo CD'!A$2:A$875,B609,'Base bordo CD'!L$2:L$875,"AGUARDANDO MANUTENCAO*"),0)+IFERROR(SUMIFS('Base bordo CD'!M$2:M$875,'Base bordo CD'!D$2:D$875,A609,'Base bordo CD'!A$2:A$875,B609,'Base bordo CD'!L$2:L$875,"TROCA DE FAQUINHA"),0)+IFERROR(SUMIFS('Base bordo CD'!M$2:M$875,'Base bordo CD'!D$2:D$875,A609,'Base bordo CD'!A$2:A$875,B609,'Base bordo CD'!L$2:L$875,"LIMPEZA*"),0)</f>
        <v>2.02</v>
      </c>
      <c r="L609" s="10">
        <f>IFERROR(SUMIFS('Base bordo CD'!M$2:M$875,'Base bordo CD'!D$2:D$875,A609,'Base bordo CD'!A$2:A$875,B609,'Base bordo CD'!L$2:L$875,"PATIO - RESERVA"),0)</f>
        <v>0</v>
      </c>
      <c r="M609" s="10">
        <f>IFERROR(SUMIFS('Base bordo CD'!M$2:M$875,'Base bordo CD'!D$2:D$875,A609,'Base bordo CD'!A$2:A$875,B609,'Base bordo CD'!L$2:L$875,"SEM APONTAMENTO"),0)</f>
        <v>4.4444444444444444E-3</v>
      </c>
      <c r="N609" s="10">
        <f>IFERROR(SUMIFS('Base bordo CD'!M$2:M$875,'Base bordo CD'!D$2:D$875,A609,'Base bordo CD'!A$2:A$875,B609,'Base bordo CD'!L$2:L$875,"FALTA DE CAMINHÃO"),0)+IFERROR(SUMIFS('Base bordo CD'!M$2:M$875,'Base bordo CD'!D$2:D$875,A609,'Base bordo CD'!A$2:A$875,B609,'Base bordo CD'!L$2:L$875,"FALTA DE COMBUSTIVEL"),0)+IFERROR(SUMIFS('Base bordo CD'!M$2:M$875,'Base bordo CD'!D$2:D$875,A609,'Base bordo CD'!A$2:A$875,B609,'Base bordo CD'!L$2:L$875,"FALTA DE MOTORIST*"),0)</f>
        <v>0</v>
      </c>
      <c r="O609" s="10">
        <f t="shared" si="50"/>
        <v>0.10611111111111526</v>
      </c>
      <c r="P609" s="10">
        <f>IFERROR(SUMIFS('Base bordo CD'!M$2:M$875,'Base bordo CD'!D$2:D$875,A609,'Base bordo CD'!A$2:A$875,B609),0)</f>
        <v>24.000000000000004</v>
      </c>
      <c r="Q609" s="10">
        <f>IFERROR(SUMIFS('Base bordo CD'!O$2:O$875,'Base bordo CD'!D$2:D$875,A609,'Base bordo CD'!A$2:A$875,B609,'Base bordo CD'!L$2:L$875,"CORTE DE CANA MECANIZADO"),0)</f>
        <v>55289.72</v>
      </c>
      <c r="R609" s="10">
        <f>IFERROR(SUMIFS('Base bordo CD'!Q$2:Q$875,'Base bordo CD'!D$2:D$875,A609,'Base bordo CD'!A$2:A$875,B609,'Base bordo CD'!L$2:L$875,"CORTE DE CANA MECANIZADO"),0)</f>
        <v>14793</v>
      </c>
      <c r="S609" s="30">
        <f t="shared" si="51"/>
        <v>3.7375596565943354</v>
      </c>
      <c r="T609" s="9">
        <f t="shared" si="52"/>
        <v>0.1712268518518518</v>
      </c>
      <c r="U609" s="9">
        <f t="shared" si="53"/>
        <v>7.1516203703703693E-2</v>
      </c>
      <c r="V609" s="9">
        <f t="shared" si="54"/>
        <v>0.80769675925925932</v>
      </c>
    </row>
    <row r="610" spans="1:22" x14ac:dyDescent="0.35">
      <c r="A610" s="52">
        <v>49596</v>
      </c>
      <c r="B610" s="31">
        <v>46119</v>
      </c>
      <c r="C610" s="7" t="s">
        <v>337</v>
      </c>
      <c r="D610" s="7">
        <v>353</v>
      </c>
      <c r="E610" s="10">
        <f>IFERROR(SUMIFS('Base bordo CD'!M$2:M$875,'Base bordo CD'!D$2:D$875,A610,'Base bordo CD'!A$2:A$875,B610,'Base bordo CD'!L$2:L$875,"CORTE DE CANA MECANIZADO"),0)</f>
        <v>4.1094444444444438</v>
      </c>
      <c r="F610" s="10">
        <f>IFERROR(SUMIFS('Base bordo CD'!M$2:M$875,'Base bordo CD'!D$2:D$875,A610,'Base bordo CD'!A$2:A$875,B610,'Base bordo CD'!L$2:L$875,"MANOBRA"),0)</f>
        <v>1.716388888888889</v>
      </c>
      <c r="G610" s="10">
        <f>IFERROR(SUMIFS('Base bordo CD'!M$2:M$875,'Base bordo CD'!D$2:D$875,A610,'Base bordo CD'!A$2:A$875,B610,'Base bordo CD'!L$2:L$875,"DESLOCAMENTO"),0)</f>
        <v>0.50583333333333336</v>
      </c>
      <c r="H610" s="10">
        <f>IFERROR(SUMIFS('Base bordo CD'!M$2:M$875,'Base bordo CD'!D$2:D$875,A610,'Base bordo CD'!A$2:A$875,B610,'Base bordo CD'!L$2:L$875,"AGUARDANDO MANOBRA DE TRANSBORDO"),0)+IFERROR(SUMIFS('Base bordo CD'!M$2:M$875,'Base bordo CD'!D$2:D$875,A610,'Base bordo CD'!A$2:A$875,B610,'Base bordo CD'!L$2:L$875,"FALTA DE TRANSBORDO"),0)</f>
        <v>0.48555555555555557</v>
      </c>
      <c r="I610" s="10">
        <f>IFERROR(SUMIFS('Base bordo CD'!M$2:M$875,'Base bordo CD'!D$2:D$875,A610,'Base bordo CD'!A$2:A$875,B610,'Base bordo CD'!L$2:L$875,"PARADA POR CONDICOES CLIMATICAS"),0)+IFERROR(SUMIFS('Base bordo CD'!M$2:M$875,'Base bordo CD'!D$2:D$875,A610,'Base bordo CD'!A$2:A$875,B610,'Base bordo CD'!L$2:L$875,"TEMPO INDETERMINADO"),0)</f>
        <v>15.052222222222222</v>
      </c>
      <c r="J610" s="10">
        <f>IFERROR(SUMIFS('Base bordo CD'!M$2:M$875,'Base bordo CD'!D$2:D$875,A610,'Base bordo CD'!A$2:A$875,B610,'Base bordo CD'!L$2:L$875,"LIMITAÇÃO INDÚSTRIA"),0)</f>
        <v>0</v>
      </c>
      <c r="K610" s="10">
        <f>IFERROR(SUMIFS('Base bordo CD'!M$2:M$875,'Base bordo CD'!D$2:D$875,A610,'Base bordo CD'!A$2:A$875,B610,'Base bordo CD'!L$2:L$875,"MAN CORRETIVA*"),0)+IFERROR(SUMIFS('Base bordo CD'!M$2:M$875,'Base bordo CD'!D$2:D$875,A610,'Base bordo CD'!A$2:A$875,B610,'Base bordo CD'!L$2:L$875,"AGUARDANDO MANUTENCAO*"),0)+IFERROR(SUMIFS('Base bordo CD'!M$2:M$875,'Base bordo CD'!D$2:D$875,A610,'Base bordo CD'!A$2:A$875,B610,'Base bordo CD'!L$2:L$875,"TROCA DE FAQUINHA"),0)+IFERROR(SUMIFS('Base bordo CD'!M$2:M$875,'Base bordo CD'!D$2:D$875,A610,'Base bordo CD'!A$2:A$875,B610,'Base bordo CD'!L$2:L$875,"LIMPEZA*"),0)</f>
        <v>2.02</v>
      </c>
      <c r="L610" s="10">
        <f>IFERROR(SUMIFS('Base bordo CD'!M$2:M$875,'Base bordo CD'!D$2:D$875,A610,'Base bordo CD'!A$2:A$875,B610,'Base bordo CD'!L$2:L$875,"PATIO - RESERVA"),0)</f>
        <v>0</v>
      </c>
      <c r="M610" s="10">
        <f>IFERROR(SUMIFS('Base bordo CD'!M$2:M$875,'Base bordo CD'!D$2:D$875,A610,'Base bordo CD'!A$2:A$875,B610,'Base bordo CD'!L$2:L$875,"SEM APONTAMENTO"),0)</f>
        <v>4.4444444444444444E-3</v>
      </c>
      <c r="N610" s="10">
        <f>IFERROR(SUMIFS('Base bordo CD'!M$2:M$875,'Base bordo CD'!D$2:D$875,A610,'Base bordo CD'!A$2:A$875,B610,'Base bordo CD'!L$2:L$875,"FALTA DE CAMINHÃO"),0)+IFERROR(SUMIFS('Base bordo CD'!M$2:M$875,'Base bordo CD'!D$2:D$875,A610,'Base bordo CD'!A$2:A$875,B610,'Base bordo CD'!L$2:L$875,"FALTA DE COMBUSTIVEL"),0)+IFERROR(SUMIFS('Base bordo CD'!M$2:M$875,'Base bordo CD'!D$2:D$875,A610,'Base bordo CD'!A$2:A$875,B610,'Base bordo CD'!L$2:L$875,"FALTA DE MOTORIST*"),0)</f>
        <v>0</v>
      </c>
      <c r="O610" s="10">
        <f t="shared" si="50"/>
        <v>0.10611111111111526</v>
      </c>
      <c r="P610" s="10">
        <f>IFERROR(SUMIFS('Base bordo CD'!M$2:M$875,'Base bordo CD'!D$2:D$875,A610,'Base bordo CD'!A$2:A$875,B610),0)</f>
        <v>24.000000000000004</v>
      </c>
      <c r="Q610" s="10">
        <f>IFERROR(SUMIFS('Base bordo CD'!O$2:O$875,'Base bordo CD'!D$2:D$875,A610,'Base bordo CD'!A$2:A$875,B610,'Base bordo CD'!L$2:L$875,"CORTE DE CANA MECANIZADO"),0)</f>
        <v>55289.72</v>
      </c>
      <c r="R610" s="10">
        <f>IFERROR(SUMIFS('Base bordo CD'!Q$2:Q$875,'Base bordo CD'!D$2:D$875,A610,'Base bordo CD'!A$2:A$875,B610,'Base bordo CD'!L$2:L$875,"CORTE DE CANA MECANIZADO"),0)</f>
        <v>14793</v>
      </c>
      <c r="S610" s="30">
        <f t="shared" si="51"/>
        <v>3.7375596565943354</v>
      </c>
      <c r="T610" s="9">
        <f t="shared" si="52"/>
        <v>0.1712268518518518</v>
      </c>
      <c r="U610" s="9">
        <f t="shared" si="53"/>
        <v>7.1516203703703693E-2</v>
      </c>
      <c r="V610" s="9">
        <f t="shared" si="54"/>
        <v>0.80769675925925932</v>
      </c>
    </row>
    <row r="611" spans="1:22" x14ac:dyDescent="0.35">
      <c r="A611" s="52">
        <v>49596</v>
      </c>
      <c r="B611" s="31">
        <v>46119</v>
      </c>
      <c r="C611" s="7" t="s">
        <v>337</v>
      </c>
      <c r="D611" s="7">
        <v>353</v>
      </c>
      <c r="E611" s="10">
        <f>IFERROR(SUMIFS('Base bordo CD'!M$2:M$875,'Base bordo CD'!D$2:D$875,A611,'Base bordo CD'!A$2:A$875,B611,'Base bordo CD'!L$2:L$875,"CORTE DE CANA MECANIZADO"),0)</f>
        <v>4.1094444444444438</v>
      </c>
      <c r="F611" s="10">
        <f>IFERROR(SUMIFS('Base bordo CD'!M$2:M$875,'Base bordo CD'!D$2:D$875,A611,'Base bordo CD'!A$2:A$875,B611,'Base bordo CD'!L$2:L$875,"MANOBRA"),0)</f>
        <v>1.716388888888889</v>
      </c>
      <c r="G611" s="10">
        <f>IFERROR(SUMIFS('Base bordo CD'!M$2:M$875,'Base bordo CD'!D$2:D$875,A611,'Base bordo CD'!A$2:A$875,B611,'Base bordo CD'!L$2:L$875,"DESLOCAMENTO"),0)</f>
        <v>0.50583333333333336</v>
      </c>
      <c r="H611" s="10">
        <f>IFERROR(SUMIFS('Base bordo CD'!M$2:M$875,'Base bordo CD'!D$2:D$875,A611,'Base bordo CD'!A$2:A$875,B611,'Base bordo CD'!L$2:L$875,"AGUARDANDO MANOBRA DE TRANSBORDO"),0)+IFERROR(SUMIFS('Base bordo CD'!M$2:M$875,'Base bordo CD'!D$2:D$875,A611,'Base bordo CD'!A$2:A$875,B611,'Base bordo CD'!L$2:L$875,"FALTA DE TRANSBORDO"),0)</f>
        <v>0.48555555555555557</v>
      </c>
      <c r="I611" s="10">
        <f>IFERROR(SUMIFS('Base bordo CD'!M$2:M$875,'Base bordo CD'!D$2:D$875,A611,'Base bordo CD'!A$2:A$875,B611,'Base bordo CD'!L$2:L$875,"PARADA POR CONDICOES CLIMATICAS"),0)+IFERROR(SUMIFS('Base bordo CD'!M$2:M$875,'Base bordo CD'!D$2:D$875,A611,'Base bordo CD'!A$2:A$875,B611,'Base bordo CD'!L$2:L$875,"TEMPO INDETERMINADO"),0)</f>
        <v>15.052222222222222</v>
      </c>
      <c r="J611" s="10">
        <f>IFERROR(SUMIFS('Base bordo CD'!M$2:M$875,'Base bordo CD'!D$2:D$875,A611,'Base bordo CD'!A$2:A$875,B611,'Base bordo CD'!L$2:L$875,"LIMITAÇÃO INDÚSTRIA"),0)</f>
        <v>0</v>
      </c>
      <c r="K611" s="10">
        <f>IFERROR(SUMIFS('Base bordo CD'!M$2:M$875,'Base bordo CD'!D$2:D$875,A611,'Base bordo CD'!A$2:A$875,B611,'Base bordo CD'!L$2:L$875,"MAN CORRETIVA*"),0)+IFERROR(SUMIFS('Base bordo CD'!M$2:M$875,'Base bordo CD'!D$2:D$875,A611,'Base bordo CD'!A$2:A$875,B611,'Base bordo CD'!L$2:L$875,"AGUARDANDO MANUTENCAO*"),0)+IFERROR(SUMIFS('Base bordo CD'!M$2:M$875,'Base bordo CD'!D$2:D$875,A611,'Base bordo CD'!A$2:A$875,B611,'Base bordo CD'!L$2:L$875,"TROCA DE FAQUINHA"),0)+IFERROR(SUMIFS('Base bordo CD'!M$2:M$875,'Base bordo CD'!D$2:D$875,A611,'Base bordo CD'!A$2:A$875,B611,'Base bordo CD'!L$2:L$875,"LIMPEZA*"),0)</f>
        <v>2.02</v>
      </c>
      <c r="L611" s="10">
        <f>IFERROR(SUMIFS('Base bordo CD'!M$2:M$875,'Base bordo CD'!D$2:D$875,A611,'Base bordo CD'!A$2:A$875,B611,'Base bordo CD'!L$2:L$875,"PATIO - RESERVA"),0)</f>
        <v>0</v>
      </c>
      <c r="M611" s="10">
        <f>IFERROR(SUMIFS('Base bordo CD'!M$2:M$875,'Base bordo CD'!D$2:D$875,A611,'Base bordo CD'!A$2:A$875,B611,'Base bordo CD'!L$2:L$875,"SEM APONTAMENTO"),0)</f>
        <v>4.4444444444444444E-3</v>
      </c>
      <c r="N611" s="10">
        <f>IFERROR(SUMIFS('Base bordo CD'!M$2:M$875,'Base bordo CD'!D$2:D$875,A611,'Base bordo CD'!A$2:A$875,B611,'Base bordo CD'!L$2:L$875,"FALTA DE CAMINHÃO"),0)+IFERROR(SUMIFS('Base bordo CD'!M$2:M$875,'Base bordo CD'!D$2:D$875,A611,'Base bordo CD'!A$2:A$875,B611,'Base bordo CD'!L$2:L$875,"FALTA DE COMBUSTIVEL"),0)+IFERROR(SUMIFS('Base bordo CD'!M$2:M$875,'Base bordo CD'!D$2:D$875,A611,'Base bordo CD'!A$2:A$875,B611,'Base bordo CD'!L$2:L$875,"FALTA DE MOTORIST*"),0)</f>
        <v>0</v>
      </c>
      <c r="O611" s="10">
        <f t="shared" si="50"/>
        <v>0.10611111111111526</v>
      </c>
      <c r="P611" s="10">
        <f>IFERROR(SUMIFS('Base bordo CD'!M$2:M$875,'Base bordo CD'!D$2:D$875,A611,'Base bordo CD'!A$2:A$875,B611),0)</f>
        <v>24.000000000000004</v>
      </c>
      <c r="Q611" s="10">
        <f>IFERROR(SUMIFS('Base bordo CD'!O$2:O$875,'Base bordo CD'!D$2:D$875,A611,'Base bordo CD'!A$2:A$875,B611,'Base bordo CD'!L$2:L$875,"CORTE DE CANA MECANIZADO"),0)</f>
        <v>55289.72</v>
      </c>
      <c r="R611" s="10">
        <f>IFERROR(SUMIFS('Base bordo CD'!Q$2:Q$875,'Base bordo CD'!D$2:D$875,A611,'Base bordo CD'!A$2:A$875,B611,'Base bordo CD'!L$2:L$875,"CORTE DE CANA MECANIZADO"),0)</f>
        <v>14793</v>
      </c>
      <c r="S611" s="30">
        <f t="shared" si="51"/>
        <v>3.7375596565943354</v>
      </c>
      <c r="T611" s="9">
        <f t="shared" si="52"/>
        <v>0.1712268518518518</v>
      </c>
      <c r="U611" s="9">
        <f t="shared" si="53"/>
        <v>7.1516203703703693E-2</v>
      </c>
      <c r="V611" s="9">
        <f t="shared" si="54"/>
        <v>0.80769675925925932</v>
      </c>
    </row>
    <row r="612" spans="1:22" x14ac:dyDescent="0.35">
      <c r="A612" s="52">
        <v>49596</v>
      </c>
      <c r="B612" s="31">
        <v>46119</v>
      </c>
      <c r="C612" s="7" t="s">
        <v>337</v>
      </c>
      <c r="D612" s="7">
        <v>353</v>
      </c>
      <c r="E612" s="10">
        <f>IFERROR(SUMIFS('Base bordo CD'!M$2:M$875,'Base bordo CD'!D$2:D$875,A612,'Base bordo CD'!A$2:A$875,B612,'Base bordo CD'!L$2:L$875,"CORTE DE CANA MECANIZADO"),0)</f>
        <v>4.1094444444444438</v>
      </c>
      <c r="F612" s="10">
        <f>IFERROR(SUMIFS('Base bordo CD'!M$2:M$875,'Base bordo CD'!D$2:D$875,A612,'Base bordo CD'!A$2:A$875,B612,'Base bordo CD'!L$2:L$875,"MANOBRA"),0)</f>
        <v>1.716388888888889</v>
      </c>
      <c r="G612" s="10">
        <f>IFERROR(SUMIFS('Base bordo CD'!M$2:M$875,'Base bordo CD'!D$2:D$875,A612,'Base bordo CD'!A$2:A$875,B612,'Base bordo CD'!L$2:L$875,"DESLOCAMENTO"),0)</f>
        <v>0.50583333333333336</v>
      </c>
      <c r="H612" s="10">
        <f>IFERROR(SUMIFS('Base bordo CD'!M$2:M$875,'Base bordo CD'!D$2:D$875,A612,'Base bordo CD'!A$2:A$875,B612,'Base bordo CD'!L$2:L$875,"AGUARDANDO MANOBRA DE TRANSBORDO"),0)+IFERROR(SUMIFS('Base bordo CD'!M$2:M$875,'Base bordo CD'!D$2:D$875,A612,'Base bordo CD'!A$2:A$875,B612,'Base bordo CD'!L$2:L$875,"FALTA DE TRANSBORDO"),0)</f>
        <v>0.48555555555555557</v>
      </c>
      <c r="I612" s="10">
        <f>IFERROR(SUMIFS('Base bordo CD'!M$2:M$875,'Base bordo CD'!D$2:D$875,A612,'Base bordo CD'!A$2:A$875,B612,'Base bordo CD'!L$2:L$875,"PARADA POR CONDICOES CLIMATICAS"),0)+IFERROR(SUMIFS('Base bordo CD'!M$2:M$875,'Base bordo CD'!D$2:D$875,A612,'Base bordo CD'!A$2:A$875,B612,'Base bordo CD'!L$2:L$875,"TEMPO INDETERMINADO"),0)</f>
        <v>15.052222222222222</v>
      </c>
      <c r="J612" s="10">
        <f>IFERROR(SUMIFS('Base bordo CD'!M$2:M$875,'Base bordo CD'!D$2:D$875,A612,'Base bordo CD'!A$2:A$875,B612,'Base bordo CD'!L$2:L$875,"LIMITAÇÃO INDÚSTRIA"),0)</f>
        <v>0</v>
      </c>
      <c r="K612" s="10">
        <f>IFERROR(SUMIFS('Base bordo CD'!M$2:M$875,'Base bordo CD'!D$2:D$875,A612,'Base bordo CD'!A$2:A$875,B612,'Base bordo CD'!L$2:L$875,"MAN CORRETIVA*"),0)+IFERROR(SUMIFS('Base bordo CD'!M$2:M$875,'Base bordo CD'!D$2:D$875,A612,'Base bordo CD'!A$2:A$875,B612,'Base bordo CD'!L$2:L$875,"AGUARDANDO MANUTENCAO*"),0)+IFERROR(SUMIFS('Base bordo CD'!M$2:M$875,'Base bordo CD'!D$2:D$875,A612,'Base bordo CD'!A$2:A$875,B612,'Base bordo CD'!L$2:L$875,"TROCA DE FAQUINHA"),0)+IFERROR(SUMIFS('Base bordo CD'!M$2:M$875,'Base bordo CD'!D$2:D$875,A612,'Base bordo CD'!A$2:A$875,B612,'Base bordo CD'!L$2:L$875,"LIMPEZA*"),0)</f>
        <v>2.02</v>
      </c>
      <c r="L612" s="10">
        <f>IFERROR(SUMIFS('Base bordo CD'!M$2:M$875,'Base bordo CD'!D$2:D$875,A612,'Base bordo CD'!A$2:A$875,B612,'Base bordo CD'!L$2:L$875,"PATIO - RESERVA"),0)</f>
        <v>0</v>
      </c>
      <c r="M612" s="10">
        <f>IFERROR(SUMIFS('Base bordo CD'!M$2:M$875,'Base bordo CD'!D$2:D$875,A612,'Base bordo CD'!A$2:A$875,B612,'Base bordo CD'!L$2:L$875,"SEM APONTAMENTO"),0)</f>
        <v>4.4444444444444444E-3</v>
      </c>
      <c r="N612" s="10">
        <f>IFERROR(SUMIFS('Base bordo CD'!M$2:M$875,'Base bordo CD'!D$2:D$875,A612,'Base bordo CD'!A$2:A$875,B612,'Base bordo CD'!L$2:L$875,"FALTA DE CAMINHÃO"),0)+IFERROR(SUMIFS('Base bordo CD'!M$2:M$875,'Base bordo CD'!D$2:D$875,A612,'Base bordo CD'!A$2:A$875,B612,'Base bordo CD'!L$2:L$875,"FALTA DE COMBUSTIVEL"),0)+IFERROR(SUMIFS('Base bordo CD'!M$2:M$875,'Base bordo CD'!D$2:D$875,A612,'Base bordo CD'!A$2:A$875,B612,'Base bordo CD'!L$2:L$875,"FALTA DE MOTORIST*"),0)</f>
        <v>0</v>
      </c>
      <c r="O612" s="10">
        <f t="shared" si="50"/>
        <v>0.10611111111111526</v>
      </c>
      <c r="P612" s="10">
        <f>IFERROR(SUMIFS('Base bordo CD'!M$2:M$875,'Base bordo CD'!D$2:D$875,A612,'Base bordo CD'!A$2:A$875,B612),0)</f>
        <v>24.000000000000004</v>
      </c>
      <c r="Q612" s="10">
        <f>IFERROR(SUMIFS('Base bordo CD'!O$2:O$875,'Base bordo CD'!D$2:D$875,A612,'Base bordo CD'!A$2:A$875,B612,'Base bordo CD'!L$2:L$875,"CORTE DE CANA MECANIZADO"),0)</f>
        <v>55289.72</v>
      </c>
      <c r="R612" s="10">
        <f>IFERROR(SUMIFS('Base bordo CD'!Q$2:Q$875,'Base bordo CD'!D$2:D$875,A612,'Base bordo CD'!A$2:A$875,B612,'Base bordo CD'!L$2:L$875,"CORTE DE CANA MECANIZADO"),0)</f>
        <v>14793</v>
      </c>
      <c r="S612" s="30">
        <f t="shared" si="51"/>
        <v>3.7375596565943354</v>
      </c>
      <c r="T612" s="9">
        <f t="shared" si="52"/>
        <v>0.1712268518518518</v>
      </c>
      <c r="U612" s="9">
        <f t="shared" si="53"/>
        <v>7.1516203703703693E-2</v>
      </c>
      <c r="V612" s="9">
        <f t="shared" si="54"/>
        <v>0.80769675925925932</v>
      </c>
    </row>
    <row r="613" spans="1:22" x14ac:dyDescent="0.35">
      <c r="A613" s="52">
        <v>49596</v>
      </c>
      <c r="B613" s="31">
        <v>46119</v>
      </c>
      <c r="C613" s="7" t="s">
        <v>337</v>
      </c>
      <c r="D613" s="7">
        <v>353</v>
      </c>
      <c r="E613" s="10">
        <f>IFERROR(SUMIFS('Base bordo CD'!M$2:M$875,'Base bordo CD'!D$2:D$875,A613,'Base bordo CD'!A$2:A$875,B613,'Base bordo CD'!L$2:L$875,"CORTE DE CANA MECANIZADO"),0)</f>
        <v>4.1094444444444438</v>
      </c>
      <c r="F613" s="10">
        <f>IFERROR(SUMIFS('Base bordo CD'!M$2:M$875,'Base bordo CD'!D$2:D$875,A613,'Base bordo CD'!A$2:A$875,B613,'Base bordo CD'!L$2:L$875,"MANOBRA"),0)</f>
        <v>1.716388888888889</v>
      </c>
      <c r="G613" s="10">
        <f>IFERROR(SUMIFS('Base bordo CD'!M$2:M$875,'Base bordo CD'!D$2:D$875,A613,'Base bordo CD'!A$2:A$875,B613,'Base bordo CD'!L$2:L$875,"DESLOCAMENTO"),0)</f>
        <v>0.50583333333333336</v>
      </c>
      <c r="H613" s="10">
        <f>IFERROR(SUMIFS('Base bordo CD'!M$2:M$875,'Base bordo CD'!D$2:D$875,A613,'Base bordo CD'!A$2:A$875,B613,'Base bordo CD'!L$2:L$875,"AGUARDANDO MANOBRA DE TRANSBORDO"),0)+IFERROR(SUMIFS('Base bordo CD'!M$2:M$875,'Base bordo CD'!D$2:D$875,A613,'Base bordo CD'!A$2:A$875,B613,'Base bordo CD'!L$2:L$875,"FALTA DE TRANSBORDO"),0)</f>
        <v>0.48555555555555557</v>
      </c>
      <c r="I613" s="10">
        <f>IFERROR(SUMIFS('Base bordo CD'!M$2:M$875,'Base bordo CD'!D$2:D$875,A613,'Base bordo CD'!A$2:A$875,B613,'Base bordo CD'!L$2:L$875,"PARADA POR CONDICOES CLIMATICAS"),0)+IFERROR(SUMIFS('Base bordo CD'!M$2:M$875,'Base bordo CD'!D$2:D$875,A613,'Base bordo CD'!A$2:A$875,B613,'Base bordo CD'!L$2:L$875,"TEMPO INDETERMINADO"),0)</f>
        <v>15.052222222222222</v>
      </c>
      <c r="J613" s="10">
        <f>IFERROR(SUMIFS('Base bordo CD'!M$2:M$875,'Base bordo CD'!D$2:D$875,A613,'Base bordo CD'!A$2:A$875,B613,'Base bordo CD'!L$2:L$875,"LIMITAÇÃO INDÚSTRIA"),0)</f>
        <v>0</v>
      </c>
      <c r="K613" s="10">
        <f>IFERROR(SUMIFS('Base bordo CD'!M$2:M$875,'Base bordo CD'!D$2:D$875,A613,'Base bordo CD'!A$2:A$875,B613,'Base bordo CD'!L$2:L$875,"MAN CORRETIVA*"),0)+IFERROR(SUMIFS('Base bordo CD'!M$2:M$875,'Base bordo CD'!D$2:D$875,A613,'Base bordo CD'!A$2:A$875,B613,'Base bordo CD'!L$2:L$875,"AGUARDANDO MANUTENCAO*"),0)+IFERROR(SUMIFS('Base bordo CD'!M$2:M$875,'Base bordo CD'!D$2:D$875,A613,'Base bordo CD'!A$2:A$875,B613,'Base bordo CD'!L$2:L$875,"TROCA DE FAQUINHA"),0)+IFERROR(SUMIFS('Base bordo CD'!M$2:M$875,'Base bordo CD'!D$2:D$875,A613,'Base bordo CD'!A$2:A$875,B613,'Base bordo CD'!L$2:L$875,"LIMPEZA*"),0)</f>
        <v>2.02</v>
      </c>
      <c r="L613" s="10">
        <f>IFERROR(SUMIFS('Base bordo CD'!M$2:M$875,'Base bordo CD'!D$2:D$875,A613,'Base bordo CD'!A$2:A$875,B613,'Base bordo CD'!L$2:L$875,"PATIO - RESERVA"),0)</f>
        <v>0</v>
      </c>
      <c r="M613" s="10">
        <f>IFERROR(SUMIFS('Base bordo CD'!M$2:M$875,'Base bordo CD'!D$2:D$875,A613,'Base bordo CD'!A$2:A$875,B613,'Base bordo CD'!L$2:L$875,"SEM APONTAMENTO"),0)</f>
        <v>4.4444444444444444E-3</v>
      </c>
      <c r="N613" s="10">
        <f>IFERROR(SUMIFS('Base bordo CD'!M$2:M$875,'Base bordo CD'!D$2:D$875,A613,'Base bordo CD'!A$2:A$875,B613,'Base bordo CD'!L$2:L$875,"FALTA DE CAMINHÃO"),0)+IFERROR(SUMIFS('Base bordo CD'!M$2:M$875,'Base bordo CD'!D$2:D$875,A613,'Base bordo CD'!A$2:A$875,B613,'Base bordo CD'!L$2:L$875,"FALTA DE COMBUSTIVEL"),0)+IFERROR(SUMIFS('Base bordo CD'!M$2:M$875,'Base bordo CD'!D$2:D$875,A613,'Base bordo CD'!A$2:A$875,B613,'Base bordo CD'!L$2:L$875,"FALTA DE MOTORIST*"),0)</f>
        <v>0</v>
      </c>
      <c r="O613" s="10">
        <f t="shared" si="50"/>
        <v>0.10611111111111526</v>
      </c>
      <c r="P613" s="10">
        <f>IFERROR(SUMIFS('Base bordo CD'!M$2:M$875,'Base bordo CD'!D$2:D$875,A613,'Base bordo CD'!A$2:A$875,B613),0)</f>
        <v>24.000000000000004</v>
      </c>
      <c r="Q613" s="10">
        <f>IFERROR(SUMIFS('Base bordo CD'!O$2:O$875,'Base bordo CD'!D$2:D$875,A613,'Base bordo CD'!A$2:A$875,B613,'Base bordo CD'!L$2:L$875,"CORTE DE CANA MECANIZADO"),0)</f>
        <v>55289.72</v>
      </c>
      <c r="R613" s="10">
        <f>IFERROR(SUMIFS('Base bordo CD'!Q$2:Q$875,'Base bordo CD'!D$2:D$875,A613,'Base bordo CD'!A$2:A$875,B613,'Base bordo CD'!L$2:L$875,"CORTE DE CANA MECANIZADO"),0)</f>
        <v>14793</v>
      </c>
      <c r="S613" s="30">
        <f t="shared" si="51"/>
        <v>3.7375596565943354</v>
      </c>
      <c r="T613" s="9">
        <f t="shared" si="52"/>
        <v>0.1712268518518518</v>
      </c>
      <c r="U613" s="9">
        <f t="shared" si="53"/>
        <v>7.1516203703703693E-2</v>
      </c>
      <c r="V613" s="9">
        <f t="shared" si="54"/>
        <v>0.80769675925925932</v>
      </c>
    </row>
    <row r="614" spans="1:22" x14ac:dyDescent="0.35">
      <c r="A614" s="52">
        <v>49596</v>
      </c>
      <c r="B614" s="31">
        <v>46119</v>
      </c>
      <c r="C614" s="7" t="s">
        <v>337</v>
      </c>
      <c r="D614" s="7">
        <v>353</v>
      </c>
      <c r="E614" s="10">
        <f>IFERROR(SUMIFS('Base bordo CD'!M$2:M$875,'Base bordo CD'!D$2:D$875,A614,'Base bordo CD'!A$2:A$875,B614,'Base bordo CD'!L$2:L$875,"CORTE DE CANA MECANIZADO"),0)</f>
        <v>4.1094444444444438</v>
      </c>
      <c r="F614" s="10">
        <f>IFERROR(SUMIFS('Base bordo CD'!M$2:M$875,'Base bordo CD'!D$2:D$875,A614,'Base bordo CD'!A$2:A$875,B614,'Base bordo CD'!L$2:L$875,"MANOBRA"),0)</f>
        <v>1.716388888888889</v>
      </c>
      <c r="G614" s="10">
        <f>IFERROR(SUMIFS('Base bordo CD'!M$2:M$875,'Base bordo CD'!D$2:D$875,A614,'Base bordo CD'!A$2:A$875,B614,'Base bordo CD'!L$2:L$875,"DESLOCAMENTO"),0)</f>
        <v>0.50583333333333336</v>
      </c>
      <c r="H614" s="10">
        <f>IFERROR(SUMIFS('Base bordo CD'!M$2:M$875,'Base bordo CD'!D$2:D$875,A614,'Base bordo CD'!A$2:A$875,B614,'Base bordo CD'!L$2:L$875,"AGUARDANDO MANOBRA DE TRANSBORDO"),0)+IFERROR(SUMIFS('Base bordo CD'!M$2:M$875,'Base bordo CD'!D$2:D$875,A614,'Base bordo CD'!A$2:A$875,B614,'Base bordo CD'!L$2:L$875,"FALTA DE TRANSBORDO"),0)</f>
        <v>0.48555555555555557</v>
      </c>
      <c r="I614" s="10">
        <f>IFERROR(SUMIFS('Base bordo CD'!M$2:M$875,'Base bordo CD'!D$2:D$875,A614,'Base bordo CD'!A$2:A$875,B614,'Base bordo CD'!L$2:L$875,"PARADA POR CONDICOES CLIMATICAS"),0)+IFERROR(SUMIFS('Base bordo CD'!M$2:M$875,'Base bordo CD'!D$2:D$875,A614,'Base bordo CD'!A$2:A$875,B614,'Base bordo CD'!L$2:L$875,"TEMPO INDETERMINADO"),0)</f>
        <v>15.052222222222222</v>
      </c>
      <c r="J614" s="10">
        <f>IFERROR(SUMIFS('Base bordo CD'!M$2:M$875,'Base bordo CD'!D$2:D$875,A614,'Base bordo CD'!A$2:A$875,B614,'Base bordo CD'!L$2:L$875,"LIMITAÇÃO INDÚSTRIA"),0)</f>
        <v>0</v>
      </c>
      <c r="K614" s="10">
        <f>IFERROR(SUMIFS('Base bordo CD'!M$2:M$875,'Base bordo CD'!D$2:D$875,A614,'Base bordo CD'!A$2:A$875,B614,'Base bordo CD'!L$2:L$875,"MAN CORRETIVA*"),0)+IFERROR(SUMIFS('Base bordo CD'!M$2:M$875,'Base bordo CD'!D$2:D$875,A614,'Base bordo CD'!A$2:A$875,B614,'Base bordo CD'!L$2:L$875,"AGUARDANDO MANUTENCAO*"),0)+IFERROR(SUMIFS('Base bordo CD'!M$2:M$875,'Base bordo CD'!D$2:D$875,A614,'Base bordo CD'!A$2:A$875,B614,'Base bordo CD'!L$2:L$875,"TROCA DE FAQUINHA"),0)+IFERROR(SUMIFS('Base bordo CD'!M$2:M$875,'Base bordo CD'!D$2:D$875,A614,'Base bordo CD'!A$2:A$875,B614,'Base bordo CD'!L$2:L$875,"LIMPEZA*"),0)</f>
        <v>2.02</v>
      </c>
      <c r="L614" s="10">
        <f>IFERROR(SUMIFS('Base bordo CD'!M$2:M$875,'Base bordo CD'!D$2:D$875,A614,'Base bordo CD'!A$2:A$875,B614,'Base bordo CD'!L$2:L$875,"PATIO - RESERVA"),0)</f>
        <v>0</v>
      </c>
      <c r="M614" s="10">
        <f>IFERROR(SUMIFS('Base bordo CD'!M$2:M$875,'Base bordo CD'!D$2:D$875,A614,'Base bordo CD'!A$2:A$875,B614,'Base bordo CD'!L$2:L$875,"SEM APONTAMENTO"),0)</f>
        <v>4.4444444444444444E-3</v>
      </c>
      <c r="N614" s="10">
        <f>IFERROR(SUMIFS('Base bordo CD'!M$2:M$875,'Base bordo CD'!D$2:D$875,A614,'Base bordo CD'!A$2:A$875,B614,'Base bordo CD'!L$2:L$875,"FALTA DE CAMINHÃO"),0)+IFERROR(SUMIFS('Base bordo CD'!M$2:M$875,'Base bordo CD'!D$2:D$875,A614,'Base bordo CD'!A$2:A$875,B614,'Base bordo CD'!L$2:L$875,"FALTA DE COMBUSTIVEL"),0)+IFERROR(SUMIFS('Base bordo CD'!M$2:M$875,'Base bordo CD'!D$2:D$875,A614,'Base bordo CD'!A$2:A$875,B614,'Base bordo CD'!L$2:L$875,"FALTA DE MOTORIST*"),0)</f>
        <v>0</v>
      </c>
      <c r="O614" s="10">
        <f t="shared" si="50"/>
        <v>0.10611111111111526</v>
      </c>
      <c r="P614" s="10">
        <f>IFERROR(SUMIFS('Base bordo CD'!M$2:M$875,'Base bordo CD'!D$2:D$875,A614,'Base bordo CD'!A$2:A$875,B614),0)</f>
        <v>24.000000000000004</v>
      </c>
      <c r="Q614" s="10">
        <f>IFERROR(SUMIFS('Base bordo CD'!O$2:O$875,'Base bordo CD'!D$2:D$875,A614,'Base bordo CD'!A$2:A$875,B614,'Base bordo CD'!L$2:L$875,"CORTE DE CANA MECANIZADO"),0)</f>
        <v>55289.72</v>
      </c>
      <c r="R614" s="10">
        <f>IFERROR(SUMIFS('Base bordo CD'!Q$2:Q$875,'Base bordo CD'!D$2:D$875,A614,'Base bordo CD'!A$2:A$875,B614,'Base bordo CD'!L$2:L$875,"CORTE DE CANA MECANIZADO"),0)</f>
        <v>14793</v>
      </c>
      <c r="S614" s="30">
        <f t="shared" si="51"/>
        <v>3.7375596565943354</v>
      </c>
      <c r="T614" s="9">
        <f t="shared" si="52"/>
        <v>0.1712268518518518</v>
      </c>
      <c r="U614" s="9">
        <f t="shared" si="53"/>
        <v>7.1516203703703693E-2</v>
      </c>
      <c r="V614" s="9">
        <f t="shared" si="54"/>
        <v>0.80769675925925932</v>
      </c>
    </row>
    <row r="615" spans="1:22" x14ac:dyDescent="0.35">
      <c r="A615" s="52">
        <v>49596</v>
      </c>
      <c r="B615" s="31">
        <v>46119</v>
      </c>
      <c r="C615" s="7" t="s">
        <v>337</v>
      </c>
      <c r="D615" s="7">
        <v>353</v>
      </c>
      <c r="E615" s="10">
        <f>IFERROR(SUMIFS('Base bordo CD'!M$2:M$875,'Base bordo CD'!D$2:D$875,A615,'Base bordo CD'!A$2:A$875,B615,'Base bordo CD'!L$2:L$875,"CORTE DE CANA MECANIZADO"),0)</f>
        <v>4.1094444444444438</v>
      </c>
      <c r="F615" s="10">
        <f>IFERROR(SUMIFS('Base bordo CD'!M$2:M$875,'Base bordo CD'!D$2:D$875,A615,'Base bordo CD'!A$2:A$875,B615,'Base bordo CD'!L$2:L$875,"MANOBRA"),0)</f>
        <v>1.716388888888889</v>
      </c>
      <c r="G615" s="10">
        <f>IFERROR(SUMIFS('Base bordo CD'!M$2:M$875,'Base bordo CD'!D$2:D$875,A615,'Base bordo CD'!A$2:A$875,B615,'Base bordo CD'!L$2:L$875,"DESLOCAMENTO"),0)</f>
        <v>0.50583333333333336</v>
      </c>
      <c r="H615" s="10">
        <f>IFERROR(SUMIFS('Base bordo CD'!M$2:M$875,'Base bordo CD'!D$2:D$875,A615,'Base bordo CD'!A$2:A$875,B615,'Base bordo CD'!L$2:L$875,"AGUARDANDO MANOBRA DE TRANSBORDO"),0)+IFERROR(SUMIFS('Base bordo CD'!M$2:M$875,'Base bordo CD'!D$2:D$875,A615,'Base bordo CD'!A$2:A$875,B615,'Base bordo CD'!L$2:L$875,"FALTA DE TRANSBORDO"),0)</f>
        <v>0.48555555555555557</v>
      </c>
      <c r="I615" s="10">
        <f>IFERROR(SUMIFS('Base bordo CD'!M$2:M$875,'Base bordo CD'!D$2:D$875,A615,'Base bordo CD'!A$2:A$875,B615,'Base bordo CD'!L$2:L$875,"PARADA POR CONDICOES CLIMATICAS"),0)+IFERROR(SUMIFS('Base bordo CD'!M$2:M$875,'Base bordo CD'!D$2:D$875,A615,'Base bordo CD'!A$2:A$875,B615,'Base bordo CD'!L$2:L$875,"TEMPO INDETERMINADO"),0)</f>
        <v>15.052222222222222</v>
      </c>
      <c r="J615" s="10">
        <f>IFERROR(SUMIFS('Base bordo CD'!M$2:M$875,'Base bordo CD'!D$2:D$875,A615,'Base bordo CD'!A$2:A$875,B615,'Base bordo CD'!L$2:L$875,"LIMITAÇÃO INDÚSTRIA"),0)</f>
        <v>0</v>
      </c>
      <c r="K615" s="10">
        <f>IFERROR(SUMIFS('Base bordo CD'!M$2:M$875,'Base bordo CD'!D$2:D$875,A615,'Base bordo CD'!A$2:A$875,B615,'Base bordo CD'!L$2:L$875,"MAN CORRETIVA*"),0)+IFERROR(SUMIFS('Base bordo CD'!M$2:M$875,'Base bordo CD'!D$2:D$875,A615,'Base bordo CD'!A$2:A$875,B615,'Base bordo CD'!L$2:L$875,"AGUARDANDO MANUTENCAO*"),0)+IFERROR(SUMIFS('Base bordo CD'!M$2:M$875,'Base bordo CD'!D$2:D$875,A615,'Base bordo CD'!A$2:A$875,B615,'Base bordo CD'!L$2:L$875,"TROCA DE FAQUINHA"),0)+IFERROR(SUMIFS('Base bordo CD'!M$2:M$875,'Base bordo CD'!D$2:D$875,A615,'Base bordo CD'!A$2:A$875,B615,'Base bordo CD'!L$2:L$875,"LIMPEZA*"),0)</f>
        <v>2.02</v>
      </c>
      <c r="L615" s="10">
        <f>IFERROR(SUMIFS('Base bordo CD'!M$2:M$875,'Base bordo CD'!D$2:D$875,A615,'Base bordo CD'!A$2:A$875,B615,'Base bordo CD'!L$2:L$875,"PATIO - RESERVA"),0)</f>
        <v>0</v>
      </c>
      <c r="M615" s="10">
        <f>IFERROR(SUMIFS('Base bordo CD'!M$2:M$875,'Base bordo CD'!D$2:D$875,A615,'Base bordo CD'!A$2:A$875,B615,'Base bordo CD'!L$2:L$875,"SEM APONTAMENTO"),0)</f>
        <v>4.4444444444444444E-3</v>
      </c>
      <c r="N615" s="10">
        <f>IFERROR(SUMIFS('Base bordo CD'!M$2:M$875,'Base bordo CD'!D$2:D$875,A615,'Base bordo CD'!A$2:A$875,B615,'Base bordo CD'!L$2:L$875,"FALTA DE CAMINHÃO"),0)+IFERROR(SUMIFS('Base bordo CD'!M$2:M$875,'Base bordo CD'!D$2:D$875,A615,'Base bordo CD'!A$2:A$875,B615,'Base bordo CD'!L$2:L$875,"FALTA DE COMBUSTIVEL"),0)+IFERROR(SUMIFS('Base bordo CD'!M$2:M$875,'Base bordo CD'!D$2:D$875,A615,'Base bordo CD'!A$2:A$875,B615,'Base bordo CD'!L$2:L$875,"FALTA DE MOTORIST*"),0)</f>
        <v>0</v>
      </c>
      <c r="O615" s="10">
        <f t="shared" si="50"/>
        <v>0.10611111111111526</v>
      </c>
      <c r="P615" s="10">
        <f>IFERROR(SUMIFS('Base bordo CD'!M$2:M$875,'Base bordo CD'!D$2:D$875,A615,'Base bordo CD'!A$2:A$875,B615),0)</f>
        <v>24.000000000000004</v>
      </c>
      <c r="Q615" s="10">
        <f>IFERROR(SUMIFS('Base bordo CD'!O$2:O$875,'Base bordo CD'!D$2:D$875,A615,'Base bordo CD'!A$2:A$875,B615,'Base bordo CD'!L$2:L$875,"CORTE DE CANA MECANIZADO"),0)</f>
        <v>55289.72</v>
      </c>
      <c r="R615" s="10">
        <f>IFERROR(SUMIFS('Base bordo CD'!Q$2:Q$875,'Base bordo CD'!D$2:D$875,A615,'Base bordo CD'!A$2:A$875,B615,'Base bordo CD'!L$2:L$875,"CORTE DE CANA MECANIZADO"),0)</f>
        <v>14793</v>
      </c>
      <c r="S615" s="30">
        <f t="shared" si="51"/>
        <v>3.7375596565943354</v>
      </c>
      <c r="T615" s="9">
        <f t="shared" si="52"/>
        <v>0.1712268518518518</v>
      </c>
      <c r="U615" s="9">
        <f t="shared" si="53"/>
        <v>7.1516203703703693E-2</v>
      </c>
      <c r="V615" s="9">
        <f t="shared" si="54"/>
        <v>0.80769675925925932</v>
      </c>
    </row>
    <row r="616" spans="1:22" x14ac:dyDescent="0.35">
      <c r="A616" s="52">
        <v>49596</v>
      </c>
      <c r="B616" s="31">
        <v>46119</v>
      </c>
      <c r="C616" s="7" t="s">
        <v>337</v>
      </c>
      <c r="D616" s="7">
        <v>353</v>
      </c>
      <c r="E616" s="10">
        <f>IFERROR(SUMIFS('Base bordo CD'!M$2:M$875,'Base bordo CD'!D$2:D$875,A616,'Base bordo CD'!A$2:A$875,B616,'Base bordo CD'!L$2:L$875,"CORTE DE CANA MECANIZADO"),0)</f>
        <v>4.1094444444444438</v>
      </c>
      <c r="F616" s="10">
        <f>IFERROR(SUMIFS('Base bordo CD'!M$2:M$875,'Base bordo CD'!D$2:D$875,A616,'Base bordo CD'!A$2:A$875,B616,'Base bordo CD'!L$2:L$875,"MANOBRA"),0)</f>
        <v>1.716388888888889</v>
      </c>
      <c r="G616" s="10">
        <f>IFERROR(SUMIFS('Base bordo CD'!M$2:M$875,'Base bordo CD'!D$2:D$875,A616,'Base bordo CD'!A$2:A$875,B616,'Base bordo CD'!L$2:L$875,"DESLOCAMENTO"),0)</f>
        <v>0.50583333333333336</v>
      </c>
      <c r="H616" s="10">
        <f>IFERROR(SUMIFS('Base bordo CD'!M$2:M$875,'Base bordo CD'!D$2:D$875,A616,'Base bordo CD'!A$2:A$875,B616,'Base bordo CD'!L$2:L$875,"AGUARDANDO MANOBRA DE TRANSBORDO"),0)+IFERROR(SUMIFS('Base bordo CD'!M$2:M$875,'Base bordo CD'!D$2:D$875,A616,'Base bordo CD'!A$2:A$875,B616,'Base bordo CD'!L$2:L$875,"FALTA DE TRANSBORDO"),0)</f>
        <v>0.48555555555555557</v>
      </c>
      <c r="I616" s="10">
        <f>IFERROR(SUMIFS('Base bordo CD'!M$2:M$875,'Base bordo CD'!D$2:D$875,A616,'Base bordo CD'!A$2:A$875,B616,'Base bordo CD'!L$2:L$875,"PARADA POR CONDICOES CLIMATICAS"),0)+IFERROR(SUMIFS('Base bordo CD'!M$2:M$875,'Base bordo CD'!D$2:D$875,A616,'Base bordo CD'!A$2:A$875,B616,'Base bordo CD'!L$2:L$875,"TEMPO INDETERMINADO"),0)</f>
        <v>15.052222222222222</v>
      </c>
      <c r="J616" s="10">
        <f>IFERROR(SUMIFS('Base bordo CD'!M$2:M$875,'Base bordo CD'!D$2:D$875,A616,'Base bordo CD'!A$2:A$875,B616,'Base bordo CD'!L$2:L$875,"LIMITAÇÃO INDÚSTRIA"),0)</f>
        <v>0</v>
      </c>
      <c r="K616" s="10">
        <f>IFERROR(SUMIFS('Base bordo CD'!M$2:M$875,'Base bordo CD'!D$2:D$875,A616,'Base bordo CD'!A$2:A$875,B616,'Base bordo CD'!L$2:L$875,"MAN CORRETIVA*"),0)+IFERROR(SUMIFS('Base bordo CD'!M$2:M$875,'Base bordo CD'!D$2:D$875,A616,'Base bordo CD'!A$2:A$875,B616,'Base bordo CD'!L$2:L$875,"AGUARDANDO MANUTENCAO*"),0)+IFERROR(SUMIFS('Base bordo CD'!M$2:M$875,'Base bordo CD'!D$2:D$875,A616,'Base bordo CD'!A$2:A$875,B616,'Base bordo CD'!L$2:L$875,"TROCA DE FAQUINHA"),0)+IFERROR(SUMIFS('Base bordo CD'!M$2:M$875,'Base bordo CD'!D$2:D$875,A616,'Base bordo CD'!A$2:A$875,B616,'Base bordo CD'!L$2:L$875,"LIMPEZA*"),0)</f>
        <v>2.02</v>
      </c>
      <c r="L616" s="10">
        <f>IFERROR(SUMIFS('Base bordo CD'!M$2:M$875,'Base bordo CD'!D$2:D$875,A616,'Base bordo CD'!A$2:A$875,B616,'Base bordo CD'!L$2:L$875,"PATIO - RESERVA"),0)</f>
        <v>0</v>
      </c>
      <c r="M616" s="10">
        <f>IFERROR(SUMIFS('Base bordo CD'!M$2:M$875,'Base bordo CD'!D$2:D$875,A616,'Base bordo CD'!A$2:A$875,B616,'Base bordo CD'!L$2:L$875,"SEM APONTAMENTO"),0)</f>
        <v>4.4444444444444444E-3</v>
      </c>
      <c r="N616" s="10">
        <f>IFERROR(SUMIFS('Base bordo CD'!M$2:M$875,'Base bordo CD'!D$2:D$875,A616,'Base bordo CD'!A$2:A$875,B616,'Base bordo CD'!L$2:L$875,"FALTA DE CAMINHÃO"),0)+IFERROR(SUMIFS('Base bordo CD'!M$2:M$875,'Base bordo CD'!D$2:D$875,A616,'Base bordo CD'!A$2:A$875,B616,'Base bordo CD'!L$2:L$875,"FALTA DE COMBUSTIVEL"),0)+IFERROR(SUMIFS('Base bordo CD'!M$2:M$875,'Base bordo CD'!D$2:D$875,A616,'Base bordo CD'!A$2:A$875,B616,'Base bordo CD'!L$2:L$875,"FALTA DE MOTORIST*"),0)</f>
        <v>0</v>
      </c>
      <c r="O616" s="10">
        <f t="shared" si="50"/>
        <v>0.10611111111111526</v>
      </c>
      <c r="P616" s="10">
        <f>IFERROR(SUMIFS('Base bordo CD'!M$2:M$875,'Base bordo CD'!D$2:D$875,A616,'Base bordo CD'!A$2:A$875,B616),0)</f>
        <v>24.000000000000004</v>
      </c>
      <c r="Q616" s="10">
        <f>IFERROR(SUMIFS('Base bordo CD'!O$2:O$875,'Base bordo CD'!D$2:D$875,A616,'Base bordo CD'!A$2:A$875,B616,'Base bordo CD'!L$2:L$875,"CORTE DE CANA MECANIZADO"),0)</f>
        <v>55289.72</v>
      </c>
      <c r="R616" s="10">
        <f>IFERROR(SUMIFS('Base bordo CD'!Q$2:Q$875,'Base bordo CD'!D$2:D$875,A616,'Base bordo CD'!A$2:A$875,B616,'Base bordo CD'!L$2:L$875,"CORTE DE CANA MECANIZADO"),0)</f>
        <v>14793</v>
      </c>
      <c r="S616" s="30">
        <f t="shared" si="51"/>
        <v>3.7375596565943354</v>
      </c>
      <c r="T616" s="9">
        <f t="shared" si="52"/>
        <v>0.1712268518518518</v>
      </c>
      <c r="U616" s="9">
        <f t="shared" si="53"/>
        <v>7.1516203703703693E-2</v>
      </c>
      <c r="V616" s="9">
        <f t="shared" si="54"/>
        <v>0.80769675925925932</v>
      </c>
    </row>
    <row r="617" spans="1:22" x14ac:dyDescent="0.35">
      <c r="A617" s="52">
        <v>49596</v>
      </c>
      <c r="B617" s="31">
        <v>46119</v>
      </c>
      <c r="C617" s="7" t="s">
        <v>337</v>
      </c>
      <c r="D617" s="7">
        <v>353</v>
      </c>
      <c r="E617" s="10">
        <f>IFERROR(SUMIFS('Base bordo CD'!M$2:M$875,'Base bordo CD'!D$2:D$875,A617,'Base bordo CD'!A$2:A$875,B617,'Base bordo CD'!L$2:L$875,"CORTE DE CANA MECANIZADO"),0)</f>
        <v>4.1094444444444438</v>
      </c>
      <c r="F617" s="10">
        <f>IFERROR(SUMIFS('Base bordo CD'!M$2:M$875,'Base bordo CD'!D$2:D$875,A617,'Base bordo CD'!A$2:A$875,B617,'Base bordo CD'!L$2:L$875,"MANOBRA"),0)</f>
        <v>1.716388888888889</v>
      </c>
      <c r="G617" s="10">
        <f>IFERROR(SUMIFS('Base bordo CD'!M$2:M$875,'Base bordo CD'!D$2:D$875,A617,'Base bordo CD'!A$2:A$875,B617,'Base bordo CD'!L$2:L$875,"DESLOCAMENTO"),0)</f>
        <v>0.50583333333333336</v>
      </c>
      <c r="H617" s="10">
        <f>IFERROR(SUMIFS('Base bordo CD'!M$2:M$875,'Base bordo CD'!D$2:D$875,A617,'Base bordo CD'!A$2:A$875,B617,'Base bordo CD'!L$2:L$875,"AGUARDANDO MANOBRA DE TRANSBORDO"),0)+IFERROR(SUMIFS('Base bordo CD'!M$2:M$875,'Base bordo CD'!D$2:D$875,A617,'Base bordo CD'!A$2:A$875,B617,'Base bordo CD'!L$2:L$875,"FALTA DE TRANSBORDO"),0)</f>
        <v>0.48555555555555557</v>
      </c>
      <c r="I617" s="10">
        <f>IFERROR(SUMIFS('Base bordo CD'!M$2:M$875,'Base bordo CD'!D$2:D$875,A617,'Base bordo CD'!A$2:A$875,B617,'Base bordo CD'!L$2:L$875,"PARADA POR CONDICOES CLIMATICAS"),0)+IFERROR(SUMIFS('Base bordo CD'!M$2:M$875,'Base bordo CD'!D$2:D$875,A617,'Base bordo CD'!A$2:A$875,B617,'Base bordo CD'!L$2:L$875,"TEMPO INDETERMINADO"),0)</f>
        <v>15.052222222222222</v>
      </c>
      <c r="J617" s="10">
        <f>IFERROR(SUMIFS('Base bordo CD'!M$2:M$875,'Base bordo CD'!D$2:D$875,A617,'Base bordo CD'!A$2:A$875,B617,'Base bordo CD'!L$2:L$875,"LIMITAÇÃO INDÚSTRIA"),0)</f>
        <v>0</v>
      </c>
      <c r="K617" s="10">
        <f>IFERROR(SUMIFS('Base bordo CD'!M$2:M$875,'Base bordo CD'!D$2:D$875,A617,'Base bordo CD'!A$2:A$875,B617,'Base bordo CD'!L$2:L$875,"MAN CORRETIVA*"),0)+IFERROR(SUMIFS('Base bordo CD'!M$2:M$875,'Base bordo CD'!D$2:D$875,A617,'Base bordo CD'!A$2:A$875,B617,'Base bordo CD'!L$2:L$875,"AGUARDANDO MANUTENCAO*"),0)+IFERROR(SUMIFS('Base bordo CD'!M$2:M$875,'Base bordo CD'!D$2:D$875,A617,'Base bordo CD'!A$2:A$875,B617,'Base bordo CD'!L$2:L$875,"TROCA DE FAQUINHA"),0)+IFERROR(SUMIFS('Base bordo CD'!M$2:M$875,'Base bordo CD'!D$2:D$875,A617,'Base bordo CD'!A$2:A$875,B617,'Base bordo CD'!L$2:L$875,"LIMPEZA*"),0)</f>
        <v>2.02</v>
      </c>
      <c r="L617" s="10">
        <f>IFERROR(SUMIFS('Base bordo CD'!M$2:M$875,'Base bordo CD'!D$2:D$875,A617,'Base bordo CD'!A$2:A$875,B617,'Base bordo CD'!L$2:L$875,"PATIO - RESERVA"),0)</f>
        <v>0</v>
      </c>
      <c r="M617" s="10">
        <f>IFERROR(SUMIFS('Base bordo CD'!M$2:M$875,'Base bordo CD'!D$2:D$875,A617,'Base bordo CD'!A$2:A$875,B617,'Base bordo CD'!L$2:L$875,"SEM APONTAMENTO"),0)</f>
        <v>4.4444444444444444E-3</v>
      </c>
      <c r="N617" s="10">
        <f>IFERROR(SUMIFS('Base bordo CD'!M$2:M$875,'Base bordo CD'!D$2:D$875,A617,'Base bordo CD'!A$2:A$875,B617,'Base bordo CD'!L$2:L$875,"FALTA DE CAMINHÃO"),0)+IFERROR(SUMIFS('Base bordo CD'!M$2:M$875,'Base bordo CD'!D$2:D$875,A617,'Base bordo CD'!A$2:A$875,B617,'Base bordo CD'!L$2:L$875,"FALTA DE COMBUSTIVEL"),0)+IFERROR(SUMIFS('Base bordo CD'!M$2:M$875,'Base bordo CD'!D$2:D$875,A617,'Base bordo CD'!A$2:A$875,B617,'Base bordo CD'!L$2:L$875,"FALTA DE MOTORIST*"),0)</f>
        <v>0</v>
      </c>
      <c r="O617" s="10">
        <f t="shared" si="50"/>
        <v>0.10611111111111526</v>
      </c>
      <c r="P617" s="10">
        <f>IFERROR(SUMIFS('Base bordo CD'!M$2:M$875,'Base bordo CD'!D$2:D$875,A617,'Base bordo CD'!A$2:A$875,B617),0)</f>
        <v>24.000000000000004</v>
      </c>
      <c r="Q617" s="10">
        <f>IFERROR(SUMIFS('Base bordo CD'!O$2:O$875,'Base bordo CD'!D$2:D$875,A617,'Base bordo CD'!A$2:A$875,B617,'Base bordo CD'!L$2:L$875,"CORTE DE CANA MECANIZADO"),0)</f>
        <v>55289.72</v>
      </c>
      <c r="R617" s="10">
        <f>IFERROR(SUMIFS('Base bordo CD'!Q$2:Q$875,'Base bordo CD'!D$2:D$875,A617,'Base bordo CD'!A$2:A$875,B617,'Base bordo CD'!L$2:L$875,"CORTE DE CANA MECANIZADO"),0)</f>
        <v>14793</v>
      </c>
      <c r="S617" s="30">
        <f t="shared" si="51"/>
        <v>3.7375596565943354</v>
      </c>
      <c r="T617" s="9">
        <f t="shared" si="52"/>
        <v>0.1712268518518518</v>
      </c>
      <c r="U617" s="9">
        <f t="shared" si="53"/>
        <v>7.1516203703703693E-2</v>
      </c>
      <c r="V617" s="9">
        <f t="shared" si="54"/>
        <v>0.80769675925925932</v>
      </c>
    </row>
    <row r="618" spans="1:22" x14ac:dyDescent="0.35">
      <c r="A618" s="52">
        <v>49596</v>
      </c>
      <c r="B618" s="31">
        <v>46119</v>
      </c>
      <c r="C618" s="7" t="s">
        <v>337</v>
      </c>
      <c r="D618" s="7">
        <v>353</v>
      </c>
      <c r="E618" s="10">
        <f>IFERROR(SUMIFS('Base bordo CD'!M$2:M$875,'Base bordo CD'!D$2:D$875,A618,'Base bordo CD'!A$2:A$875,B618,'Base bordo CD'!L$2:L$875,"CORTE DE CANA MECANIZADO"),0)</f>
        <v>4.1094444444444438</v>
      </c>
      <c r="F618" s="10">
        <f>IFERROR(SUMIFS('Base bordo CD'!M$2:M$875,'Base bordo CD'!D$2:D$875,A618,'Base bordo CD'!A$2:A$875,B618,'Base bordo CD'!L$2:L$875,"MANOBRA"),0)</f>
        <v>1.716388888888889</v>
      </c>
      <c r="G618" s="10">
        <f>IFERROR(SUMIFS('Base bordo CD'!M$2:M$875,'Base bordo CD'!D$2:D$875,A618,'Base bordo CD'!A$2:A$875,B618,'Base bordo CD'!L$2:L$875,"DESLOCAMENTO"),0)</f>
        <v>0.50583333333333336</v>
      </c>
      <c r="H618" s="10">
        <f>IFERROR(SUMIFS('Base bordo CD'!M$2:M$875,'Base bordo CD'!D$2:D$875,A618,'Base bordo CD'!A$2:A$875,B618,'Base bordo CD'!L$2:L$875,"AGUARDANDO MANOBRA DE TRANSBORDO"),0)+IFERROR(SUMIFS('Base bordo CD'!M$2:M$875,'Base bordo CD'!D$2:D$875,A618,'Base bordo CD'!A$2:A$875,B618,'Base bordo CD'!L$2:L$875,"FALTA DE TRANSBORDO"),0)</f>
        <v>0.48555555555555557</v>
      </c>
      <c r="I618" s="10">
        <f>IFERROR(SUMIFS('Base bordo CD'!M$2:M$875,'Base bordo CD'!D$2:D$875,A618,'Base bordo CD'!A$2:A$875,B618,'Base bordo CD'!L$2:L$875,"PARADA POR CONDICOES CLIMATICAS"),0)+IFERROR(SUMIFS('Base bordo CD'!M$2:M$875,'Base bordo CD'!D$2:D$875,A618,'Base bordo CD'!A$2:A$875,B618,'Base bordo CD'!L$2:L$875,"TEMPO INDETERMINADO"),0)</f>
        <v>15.052222222222222</v>
      </c>
      <c r="J618" s="10">
        <f>IFERROR(SUMIFS('Base bordo CD'!M$2:M$875,'Base bordo CD'!D$2:D$875,A618,'Base bordo CD'!A$2:A$875,B618,'Base bordo CD'!L$2:L$875,"LIMITAÇÃO INDÚSTRIA"),0)</f>
        <v>0</v>
      </c>
      <c r="K618" s="10">
        <f>IFERROR(SUMIFS('Base bordo CD'!M$2:M$875,'Base bordo CD'!D$2:D$875,A618,'Base bordo CD'!A$2:A$875,B618,'Base bordo CD'!L$2:L$875,"MAN CORRETIVA*"),0)+IFERROR(SUMIFS('Base bordo CD'!M$2:M$875,'Base bordo CD'!D$2:D$875,A618,'Base bordo CD'!A$2:A$875,B618,'Base bordo CD'!L$2:L$875,"AGUARDANDO MANUTENCAO*"),0)+IFERROR(SUMIFS('Base bordo CD'!M$2:M$875,'Base bordo CD'!D$2:D$875,A618,'Base bordo CD'!A$2:A$875,B618,'Base bordo CD'!L$2:L$875,"TROCA DE FAQUINHA"),0)+IFERROR(SUMIFS('Base bordo CD'!M$2:M$875,'Base bordo CD'!D$2:D$875,A618,'Base bordo CD'!A$2:A$875,B618,'Base bordo CD'!L$2:L$875,"LIMPEZA*"),0)</f>
        <v>2.02</v>
      </c>
      <c r="L618" s="10">
        <f>IFERROR(SUMIFS('Base bordo CD'!M$2:M$875,'Base bordo CD'!D$2:D$875,A618,'Base bordo CD'!A$2:A$875,B618,'Base bordo CD'!L$2:L$875,"PATIO - RESERVA"),0)</f>
        <v>0</v>
      </c>
      <c r="M618" s="10">
        <f>IFERROR(SUMIFS('Base bordo CD'!M$2:M$875,'Base bordo CD'!D$2:D$875,A618,'Base bordo CD'!A$2:A$875,B618,'Base bordo CD'!L$2:L$875,"SEM APONTAMENTO"),0)</f>
        <v>4.4444444444444444E-3</v>
      </c>
      <c r="N618" s="10">
        <f>IFERROR(SUMIFS('Base bordo CD'!M$2:M$875,'Base bordo CD'!D$2:D$875,A618,'Base bordo CD'!A$2:A$875,B618,'Base bordo CD'!L$2:L$875,"FALTA DE CAMINHÃO"),0)+IFERROR(SUMIFS('Base bordo CD'!M$2:M$875,'Base bordo CD'!D$2:D$875,A618,'Base bordo CD'!A$2:A$875,B618,'Base bordo CD'!L$2:L$875,"FALTA DE COMBUSTIVEL"),0)+IFERROR(SUMIFS('Base bordo CD'!M$2:M$875,'Base bordo CD'!D$2:D$875,A618,'Base bordo CD'!A$2:A$875,B618,'Base bordo CD'!L$2:L$875,"FALTA DE MOTORIST*"),0)</f>
        <v>0</v>
      </c>
      <c r="O618" s="10">
        <f t="shared" si="50"/>
        <v>0.10611111111111526</v>
      </c>
      <c r="P618" s="10">
        <f>IFERROR(SUMIFS('Base bordo CD'!M$2:M$875,'Base bordo CD'!D$2:D$875,A618,'Base bordo CD'!A$2:A$875,B618),0)</f>
        <v>24.000000000000004</v>
      </c>
      <c r="Q618" s="10">
        <f>IFERROR(SUMIFS('Base bordo CD'!O$2:O$875,'Base bordo CD'!D$2:D$875,A618,'Base bordo CD'!A$2:A$875,B618,'Base bordo CD'!L$2:L$875,"CORTE DE CANA MECANIZADO"),0)</f>
        <v>55289.72</v>
      </c>
      <c r="R618" s="10">
        <f>IFERROR(SUMIFS('Base bordo CD'!Q$2:Q$875,'Base bordo CD'!D$2:D$875,A618,'Base bordo CD'!A$2:A$875,B618,'Base bordo CD'!L$2:L$875,"CORTE DE CANA MECANIZADO"),0)</f>
        <v>14793</v>
      </c>
      <c r="S618" s="30">
        <f t="shared" si="51"/>
        <v>3.7375596565943354</v>
      </c>
      <c r="T618" s="9">
        <f t="shared" si="52"/>
        <v>0.1712268518518518</v>
      </c>
      <c r="U618" s="9">
        <f t="shared" si="53"/>
        <v>7.1516203703703693E-2</v>
      </c>
      <c r="V618" s="9">
        <f t="shared" si="54"/>
        <v>0.80769675925925932</v>
      </c>
    </row>
    <row r="619" spans="1:22" hidden="1" x14ac:dyDescent="0.35">
      <c r="A619" s="52">
        <v>49584</v>
      </c>
      <c r="B619" s="31">
        <v>46118</v>
      </c>
      <c r="C619" s="7" t="s">
        <v>321</v>
      </c>
      <c r="D619" s="7">
        <v>351</v>
      </c>
      <c r="E619" s="10">
        <f>IFERROR(SUMIFS('Base bordo CD'!M$2:M$875,'Base bordo CD'!D$2:D$875,A619,'Base bordo CD'!A$2:A$875,B619,'Base bordo CD'!L$2:L$875,"CORTE DE CANA MECANIZADO"),0)</f>
        <v>0</v>
      </c>
      <c r="F619" s="10">
        <f>IFERROR(SUMIFS('Base bordo CD'!M$2:M$875,'Base bordo CD'!D$2:D$875,A619,'Base bordo CD'!A$2:A$875,B619,'Base bordo CD'!L$2:L$875,"MANOBRA"),0)</f>
        <v>0</v>
      </c>
      <c r="G619" s="10">
        <f>IFERROR(SUMIFS('Base bordo CD'!M$2:M$875,'Base bordo CD'!D$2:D$875,A619,'Base bordo CD'!A$2:A$875,B619,'Base bordo CD'!L$2:L$875,"DESLOCAMENTO"),0)</f>
        <v>0.21611111111111111</v>
      </c>
      <c r="H619" s="10">
        <f>IFERROR(SUMIFS('Base bordo CD'!M$2:M$875,'Base bordo CD'!D$2:D$875,A619,'Base bordo CD'!A$2:A$875,B619,'Base bordo CD'!L$2:L$875,"AGUARDANDO MANOBRA DE TRANSBORDO"),0)+IFERROR(SUMIFS('Base bordo CD'!M$2:M$875,'Base bordo CD'!D$2:D$875,A619,'Base bordo CD'!A$2:A$875,B619,'Base bordo CD'!L$2:L$875,"FALTA DE TRANSBORDO"),0)</f>
        <v>0</v>
      </c>
      <c r="I619" s="10">
        <f>IFERROR(SUMIFS('Base bordo CD'!M$2:M$875,'Base bordo CD'!D$2:D$875,A619,'Base bordo CD'!A$2:A$875,B619,'Base bordo CD'!L$2:L$875,"PARADA POR CONDICOES CLIMATICAS"),0)+IFERROR(SUMIFS('Base bordo CD'!M$2:M$875,'Base bordo CD'!D$2:D$875,A619,'Base bordo CD'!A$2:A$875,B619,'Base bordo CD'!L$2:L$875,"TEMPO INDETERMINADO"),0)</f>
        <v>5.6375000000000002</v>
      </c>
      <c r="J619" s="10">
        <f>IFERROR(SUMIFS('Base bordo CD'!M$2:M$875,'Base bordo CD'!D$2:D$875,A619,'Base bordo CD'!A$2:A$875,B619,'Base bordo CD'!L$2:L$875,"LIMITAÇÃO INDÚSTRIA"),0)</f>
        <v>9.1775000000000002</v>
      </c>
      <c r="K619" s="10">
        <f>IFERROR(SUMIFS('Base bordo CD'!M$2:M$875,'Base bordo CD'!D$2:D$875,A619,'Base bordo CD'!A$2:A$875,B619,'Base bordo CD'!L$2:L$875,"MAN CORRETIVA*"),0)+IFERROR(SUMIFS('Base bordo CD'!M$2:M$875,'Base bordo CD'!D$2:D$875,A619,'Base bordo CD'!A$2:A$875,B619,'Base bordo CD'!L$2:L$875,"AGUARDANDO MANUTENCAO*"),0)+IFERROR(SUMIFS('Base bordo CD'!M$2:M$875,'Base bordo CD'!D$2:D$875,A619,'Base bordo CD'!A$2:A$875,B619,'Base bordo CD'!L$2:L$875,"TROCA DE FAQUINHA"),0)+IFERROR(SUMIFS('Base bordo CD'!M$2:M$875,'Base bordo CD'!D$2:D$875,A619,'Base bordo CD'!A$2:A$875,B619,'Base bordo CD'!L$2:L$875,"LIMPEZA*"),0)</f>
        <v>0</v>
      </c>
      <c r="L619" s="10">
        <f>IFERROR(SUMIFS('Base bordo CD'!M$2:M$875,'Base bordo CD'!D$2:D$875,A619,'Base bordo CD'!A$2:A$875,B619,'Base bordo CD'!L$2:L$875,"PATIO - RESERVA"),0)</f>
        <v>2.0319444444444441</v>
      </c>
      <c r="M619" s="10">
        <f>IFERROR(SUMIFS('Base bordo CD'!M$2:M$875,'Base bordo CD'!D$2:D$875,A619,'Base bordo CD'!A$2:A$875,B619,'Base bordo CD'!L$2:L$875,"SEM APONTAMENTO"),0)</f>
        <v>4.1216666666666661</v>
      </c>
      <c r="N619" s="10">
        <f>IFERROR(SUMIFS('Base bordo CD'!M$2:M$875,'Base bordo CD'!D$2:D$875,A619,'Base bordo CD'!A$2:A$875,B619,'Base bordo CD'!L$2:L$875,"FALTA DE CAMINHÃO"),0)+IFERROR(SUMIFS('Base bordo CD'!M$2:M$875,'Base bordo CD'!D$2:D$875,A619,'Base bordo CD'!A$2:A$875,B619,'Base bordo CD'!L$2:L$875,"FALTA DE COMBUSTIVEL"),0)+IFERROR(SUMIFS('Base bordo CD'!M$2:M$875,'Base bordo CD'!D$2:D$875,A619,'Base bordo CD'!A$2:A$875,B619,'Base bordo CD'!L$2:L$875,"FALTA DE MOTORIST*"),0)</f>
        <v>0</v>
      </c>
      <c r="O619" s="10">
        <f t="shared" si="50"/>
        <v>2.8152777777777764</v>
      </c>
      <c r="P619" s="10">
        <f>IFERROR(SUMIFS('Base bordo CD'!M$2:M$875,'Base bordo CD'!D$2:D$875,A619,'Base bordo CD'!A$2:A$875,B619),0)</f>
        <v>24</v>
      </c>
      <c r="Q619" s="10">
        <f>IFERROR(SUMIFS('Base bordo CD'!O$2:O$875,'Base bordo CD'!D$2:D$875,A619,'Base bordo CD'!A$2:A$875,B619,'Base bordo CD'!L$2:L$875,"CORTE DE CANA MECANIZADO"),0)</f>
        <v>0</v>
      </c>
      <c r="R619" s="10">
        <f>IFERROR(SUMIFS('Base bordo CD'!Q$2:Q$875,'Base bordo CD'!D$2:D$875,A619,'Base bordo CD'!A$2:A$875,B619,'Base bordo CD'!L$2:L$875,"CORTE DE CANA MECANIZADO"),0)</f>
        <v>0</v>
      </c>
      <c r="S619" s="30" t="str">
        <f t="shared" si="51"/>
        <v/>
      </c>
      <c r="T619" s="9">
        <f t="shared" si="52"/>
        <v>0</v>
      </c>
      <c r="U619" s="9">
        <f t="shared" si="53"/>
        <v>0</v>
      </c>
      <c r="V619" s="9">
        <f t="shared" si="54"/>
        <v>0.99099537037037033</v>
      </c>
    </row>
    <row r="620" spans="1:22" hidden="1" x14ac:dyDescent="0.35">
      <c r="A620" s="52">
        <v>49584</v>
      </c>
      <c r="B620" s="31">
        <v>46118</v>
      </c>
      <c r="C620" s="7" t="s">
        <v>321</v>
      </c>
      <c r="D620" s="7">
        <v>351</v>
      </c>
      <c r="E620" s="10">
        <f>IFERROR(SUMIFS('Base bordo CD'!M$2:M$875,'Base bordo CD'!D$2:D$875,A620,'Base bordo CD'!A$2:A$875,B620,'Base bordo CD'!L$2:L$875,"CORTE DE CANA MECANIZADO"),0)</f>
        <v>0</v>
      </c>
      <c r="F620" s="10">
        <f>IFERROR(SUMIFS('Base bordo CD'!M$2:M$875,'Base bordo CD'!D$2:D$875,A620,'Base bordo CD'!A$2:A$875,B620,'Base bordo CD'!L$2:L$875,"MANOBRA"),0)</f>
        <v>0</v>
      </c>
      <c r="G620" s="10">
        <f>IFERROR(SUMIFS('Base bordo CD'!M$2:M$875,'Base bordo CD'!D$2:D$875,A620,'Base bordo CD'!A$2:A$875,B620,'Base bordo CD'!L$2:L$875,"DESLOCAMENTO"),0)</f>
        <v>0.21611111111111111</v>
      </c>
      <c r="H620" s="10">
        <f>IFERROR(SUMIFS('Base bordo CD'!M$2:M$875,'Base bordo CD'!D$2:D$875,A620,'Base bordo CD'!A$2:A$875,B620,'Base bordo CD'!L$2:L$875,"AGUARDANDO MANOBRA DE TRANSBORDO"),0)+IFERROR(SUMIFS('Base bordo CD'!M$2:M$875,'Base bordo CD'!D$2:D$875,A620,'Base bordo CD'!A$2:A$875,B620,'Base bordo CD'!L$2:L$875,"FALTA DE TRANSBORDO"),0)</f>
        <v>0</v>
      </c>
      <c r="I620" s="10">
        <f>IFERROR(SUMIFS('Base bordo CD'!M$2:M$875,'Base bordo CD'!D$2:D$875,A620,'Base bordo CD'!A$2:A$875,B620,'Base bordo CD'!L$2:L$875,"PARADA POR CONDICOES CLIMATICAS"),0)+IFERROR(SUMIFS('Base bordo CD'!M$2:M$875,'Base bordo CD'!D$2:D$875,A620,'Base bordo CD'!A$2:A$875,B620,'Base bordo CD'!L$2:L$875,"TEMPO INDETERMINADO"),0)</f>
        <v>5.6375000000000002</v>
      </c>
      <c r="J620" s="10">
        <f>IFERROR(SUMIFS('Base bordo CD'!M$2:M$875,'Base bordo CD'!D$2:D$875,A620,'Base bordo CD'!A$2:A$875,B620,'Base bordo CD'!L$2:L$875,"LIMITAÇÃO INDÚSTRIA"),0)</f>
        <v>9.1775000000000002</v>
      </c>
      <c r="K620" s="10">
        <f>IFERROR(SUMIFS('Base bordo CD'!M$2:M$875,'Base bordo CD'!D$2:D$875,A620,'Base bordo CD'!A$2:A$875,B620,'Base bordo CD'!L$2:L$875,"MAN CORRETIVA*"),0)+IFERROR(SUMIFS('Base bordo CD'!M$2:M$875,'Base bordo CD'!D$2:D$875,A620,'Base bordo CD'!A$2:A$875,B620,'Base bordo CD'!L$2:L$875,"AGUARDANDO MANUTENCAO*"),0)+IFERROR(SUMIFS('Base bordo CD'!M$2:M$875,'Base bordo CD'!D$2:D$875,A620,'Base bordo CD'!A$2:A$875,B620,'Base bordo CD'!L$2:L$875,"TROCA DE FAQUINHA"),0)+IFERROR(SUMIFS('Base bordo CD'!M$2:M$875,'Base bordo CD'!D$2:D$875,A620,'Base bordo CD'!A$2:A$875,B620,'Base bordo CD'!L$2:L$875,"LIMPEZA*"),0)</f>
        <v>0</v>
      </c>
      <c r="L620" s="10">
        <f>IFERROR(SUMIFS('Base bordo CD'!M$2:M$875,'Base bordo CD'!D$2:D$875,A620,'Base bordo CD'!A$2:A$875,B620,'Base bordo CD'!L$2:L$875,"PATIO - RESERVA"),0)</f>
        <v>2.0319444444444441</v>
      </c>
      <c r="M620" s="10">
        <f>IFERROR(SUMIFS('Base bordo CD'!M$2:M$875,'Base bordo CD'!D$2:D$875,A620,'Base bordo CD'!A$2:A$875,B620,'Base bordo CD'!L$2:L$875,"SEM APONTAMENTO"),0)</f>
        <v>4.1216666666666661</v>
      </c>
      <c r="N620" s="10">
        <f>IFERROR(SUMIFS('Base bordo CD'!M$2:M$875,'Base bordo CD'!D$2:D$875,A620,'Base bordo CD'!A$2:A$875,B620,'Base bordo CD'!L$2:L$875,"FALTA DE CAMINHÃO"),0)+IFERROR(SUMIFS('Base bordo CD'!M$2:M$875,'Base bordo CD'!D$2:D$875,A620,'Base bordo CD'!A$2:A$875,B620,'Base bordo CD'!L$2:L$875,"FALTA DE COMBUSTIVEL"),0)+IFERROR(SUMIFS('Base bordo CD'!M$2:M$875,'Base bordo CD'!D$2:D$875,A620,'Base bordo CD'!A$2:A$875,B620,'Base bordo CD'!L$2:L$875,"FALTA DE MOTORIST*"),0)</f>
        <v>0</v>
      </c>
      <c r="O620" s="10">
        <f t="shared" si="50"/>
        <v>2.8152777777777764</v>
      </c>
      <c r="P620" s="10">
        <f>IFERROR(SUMIFS('Base bordo CD'!M$2:M$875,'Base bordo CD'!D$2:D$875,A620,'Base bordo CD'!A$2:A$875,B620),0)</f>
        <v>24</v>
      </c>
      <c r="Q620" s="10">
        <f>IFERROR(SUMIFS('Base bordo CD'!O$2:O$875,'Base bordo CD'!D$2:D$875,A620,'Base bordo CD'!A$2:A$875,B620,'Base bordo CD'!L$2:L$875,"CORTE DE CANA MECANIZADO"),0)</f>
        <v>0</v>
      </c>
      <c r="R620" s="10">
        <f>IFERROR(SUMIFS('Base bordo CD'!Q$2:Q$875,'Base bordo CD'!D$2:D$875,A620,'Base bordo CD'!A$2:A$875,B620,'Base bordo CD'!L$2:L$875,"CORTE DE CANA MECANIZADO"),0)</f>
        <v>0</v>
      </c>
      <c r="S620" s="30" t="str">
        <f t="shared" si="51"/>
        <v/>
      </c>
      <c r="T620" s="9">
        <f t="shared" si="52"/>
        <v>0</v>
      </c>
      <c r="U620" s="9">
        <f t="shared" si="53"/>
        <v>0</v>
      </c>
      <c r="V620" s="9">
        <f t="shared" si="54"/>
        <v>0.99099537037037033</v>
      </c>
    </row>
    <row r="621" spans="1:22" hidden="1" x14ac:dyDescent="0.35">
      <c r="A621" s="52">
        <v>49584</v>
      </c>
      <c r="B621" s="31">
        <v>46118</v>
      </c>
      <c r="C621" s="7" t="s">
        <v>321</v>
      </c>
      <c r="D621" s="7">
        <v>351</v>
      </c>
      <c r="E621" s="10">
        <f>IFERROR(SUMIFS('Base bordo CD'!M$2:M$875,'Base bordo CD'!D$2:D$875,A621,'Base bordo CD'!A$2:A$875,B621,'Base bordo CD'!L$2:L$875,"CORTE DE CANA MECANIZADO"),0)</f>
        <v>0</v>
      </c>
      <c r="F621" s="10">
        <f>IFERROR(SUMIFS('Base bordo CD'!M$2:M$875,'Base bordo CD'!D$2:D$875,A621,'Base bordo CD'!A$2:A$875,B621,'Base bordo CD'!L$2:L$875,"MANOBRA"),0)</f>
        <v>0</v>
      </c>
      <c r="G621" s="10">
        <f>IFERROR(SUMIFS('Base bordo CD'!M$2:M$875,'Base bordo CD'!D$2:D$875,A621,'Base bordo CD'!A$2:A$875,B621,'Base bordo CD'!L$2:L$875,"DESLOCAMENTO"),0)</f>
        <v>0.21611111111111111</v>
      </c>
      <c r="H621" s="10">
        <f>IFERROR(SUMIFS('Base bordo CD'!M$2:M$875,'Base bordo CD'!D$2:D$875,A621,'Base bordo CD'!A$2:A$875,B621,'Base bordo CD'!L$2:L$875,"AGUARDANDO MANOBRA DE TRANSBORDO"),0)+IFERROR(SUMIFS('Base bordo CD'!M$2:M$875,'Base bordo CD'!D$2:D$875,A621,'Base bordo CD'!A$2:A$875,B621,'Base bordo CD'!L$2:L$875,"FALTA DE TRANSBORDO"),0)</f>
        <v>0</v>
      </c>
      <c r="I621" s="10">
        <f>IFERROR(SUMIFS('Base bordo CD'!M$2:M$875,'Base bordo CD'!D$2:D$875,A621,'Base bordo CD'!A$2:A$875,B621,'Base bordo CD'!L$2:L$875,"PARADA POR CONDICOES CLIMATICAS"),0)+IFERROR(SUMIFS('Base bordo CD'!M$2:M$875,'Base bordo CD'!D$2:D$875,A621,'Base bordo CD'!A$2:A$875,B621,'Base bordo CD'!L$2:L$875,"TEMPO INDETERMINADO"),0)</f>
        <v>5.6375000000000002</v>
      </c>
      <c r="J621" s="10">
        <f>IFERROR(SUMIFS('Base bordo CD'!M$2:M$875,'Base bordo CD'!D$2:D$875,A621,'Base bordo CD'!A$2:A$875,B621,'Base bordo CD'!L$2:L$875,"LIMITAÇÃO INDÚSTRIA"),0)</f>
        <v>9.1775000000000002</v>
      </c>
      <c r="K621" s="10">
        <f>IFERROR(SUMIFS('Base bordo CD'!M$2:M$875,'Base bordo CD'!D$2:D$875,A621,'Base bordo CD'!A$2:A$875,B621,'Base bordo CD'!L$2:L$875,"MAN CORRETIVA*"),0)+IFERROR(SUMIFS('Base bordo CD'!M$2:M$875,'Base bordo CD'!D$2:D$875,A621,'Base bordo CD'!A$2:A$875,B621,'Base bordo CD'!L$2:L$875,"AGUARDANDO MANUTENCAO*"),0)+IFERROR(SUMIFS('Base bordo CD'!M$2:M$875,'Base bordo CD'!D$2:D$875,A621,'Base bordo CD'!A$2:A$875,B621,'Base bordo CD'!L$2:L$875,"TROCA DE FAQUINHA"),0)+IFERROR(SUMIFS('Base bordo CD'!M$2:M$875,'Base bordo CD'!D$2:D$875,A621,'Base bordo CD'!A$2:A$875,B621,'Base bordo CD'!L$2:L$875,"LIMPEZA*"),0)</f>
        <v>0</v>
      </c>
      <c r="L621" s="10">
        <f>IFERROR(SUMIFS('Base bordo CD'!M$2:M$875,'Base bordo CD'!D$2:D$875,A621,'Base bordo CD'!A$2:A$875,B621,'Base bordo CD'!L$2:L$875,"PATIO - RESERVA"),0)</f>
        <v>2.0319444444444441</v>
      </c>
      <c r="M621" s="10">
        <f>IFERROR(SUMIFS('Base bordo CD'!M$2:M$875,'Base bordo CD'!D$2:D$875,A621,'Base bordo CD'!A$2:A$875,B621,'Base bordo CD'!L$2:L$875,"SEM APONTAMENTO"),0)</f>
        <v>4.1216666666666661</v>
      </c>
      <c r="N621" s="10">
        <f>IFERROR(SUMIFS('Base bordo CD'!M$2:M$875,'Base bordo CD'!D$2:D$875,A621,'Base bordo CD'!A$2:A$875,B621,'Base bordo CD'!L$2:L$875,"FALTA DE CAMINHÃO"),0)+IFERROR(SUMIFS('Base bordo CD'!M$2:M$875,'Base bordo CD'!D$2:D$875,A621,'Base bordo CD'!A$2:A$875,B621,'Base bordo CD'!L$2:L$875,"FALTA DE COMBUSTIVEL"),0)+IFERROR(SUMIFS('Base bordo CD'!M$2:M$875,'Base bordo CD'!D$2:D$875,A621,'Base bordo CD'!A$2:A$875,B621,'Base bordo CD'!L$2:L$875,"FALTA DE MOTORIST*"),0)</f>
        <v>0</v>
      </c>
      <c r="O621" s="10">
        <f t="shared" si="50"/>
        <v>2.8152777777777764</v>
      </c>
      <c r="P621" s="10">
        <f>IFERROR(SUMIFS('Base bordo CD'!M$2:M$875,'Base bordo CD'!D$2:D$875,A621,'Base bordo CD'!A$2:A$875,B621),0)</f>
        <v>24</v>
      </c>
      <c r="Q621" s="10">
        <f>IFERROR(SUMIFS('Base bordo CD'!O$2:O$875,'Base bordo CD'!D$2:D$875,A621,'Base bordo CD'!A$2:A$875,B621,'Base bordo CD'!L$2:L$875,"CORTE DE CANA MECANIZADO"),0)</f>
        <v>0</v>
      </c>
      <c r="R621" s="10">
        <f>IFERROR(SUMIFS('Base bordo CD'!Q$2:Q$875,'Base bordo CD'!D$2:D$875,A621,'Base bordo CD'!A$2:A$875,B621,'Base bordo CD'!L$2:L$875,"CORTE DE CANA MECANIZADO"),0)</f>
        <v>0</v>
      </c>
      <c r="S621" s="30" t="str">
        <f t="shared" si="51"/>
        <v/>
      </c>
      <c r="T621" s="9">
        <f t="shared" si="52"/>
        <v>0</v>
      </c>
      <c r="U621" s="9">
        <f t="shared" si="53"/>
        <v>0</v>
      </c>
      <c r="V621" s="9">
        <f t="shared" si="54"/>
        <v>0.99099537037037033</v>
      </c>
    </row>
    <row r="622" spans="1:22" hidden="1" x14ac:dyDescent="0.35">
      <c r="A622" s="52">
        <v>49584</v>
      </c>
      <c r="B622" s="31">
        <v>46118</v>
      </c>
      <c r="C622" s="7" t="s">
        <v>321</v>
      </c>
      <c r="D622" s="7">
        <v>351</v>
      </c>
      <c r="E622" s="10">
        <f>IFERROR(SUMIFS('Base bordo CD'!M$2:M$875,'Base bordo CD'!D$2:D$875,A622,'Base bordo CD'!A$2:A$875,B622,'Base bordo CD'!L$2:L$875,"CORTE DE CANA MECANIZADO"),0)</f>
        <v>0</v>
      </c>
      <c r="F622" s="10">
        <f>IFERROR(SUMIFS('Base bordo CD'!M$2:M$875,'Base bordo CD'!D$2:D$875,A622,'Base bordo CD'!A$2:A$875,B622,'Base bordo CD'!L$2:L$875,"MANOBRA"),0)</f>
        <v>0</v>
      </c>
      <c r="G622" s="10">
        <f>IFERROR(SUMIFS('Base bordo CD'!M$2:M$875,'Base bordo CD'!D$2:D$875,A622,'Base bordo CD'!A$2:A$875,B622,'Base bordo CD'!L$2:L$875,"DESLOCAMENTO"),0)</f>
        <v>0.21611111111111111</v>
      </c>
      <c r="H622" s="10">
        <f>IFERROR(SUMIFS('Base bordo CD'!M$2:M$875,'Base bordo CD'!D$2:D$875,A622,'Base bordo CD'!A$2:A$875,B622,'Base bordo CD'!L$2:L$875,"AGUARDANDO MANOBRA DE TRANSBORDO"),0)+IFERROR(SUMIFS('Base bordo CD'!M$2:M$875,'Base bordo CD'!D$2:D$875,A622,'Base bordo CD'!A$2:A$875,B622,'Base bordo CD'!L$2:L$875,"FALTA DE TRANSBORDO"),0)</f>
        <v>0</v>
      </c>
      <c r="I622" s="10">
        <f>IFERROR(SUMIFS('Base bordo CD'!M$2:M$875,'Base bordo CD'!D$2:D$875,A622,'Base bordo CD'!A$2:A$875,B622,'Base bordo CD'!L$2:L$875,"PARADA POR CONDICOES CLIMATICAS"),0)+IFERROR(SUMIFS('Base bordo CD'!M$2:M$875,'Base bordo CD'!D$2:D$875,A622,'Base bordo CD'!A$2:A$875,B622,'Base bordo CD'!L$2:L$875,"TEMPO INDETERMINADO"),0)</f>
        <v>5.6375000000000002</v>
      </c>
      <c r="J622" s="10">
        <f>IFERROR(SUMIFS('Base bordo CD'!M$2:M$875,'Base bordo CD'!D$2:D$875,A622,'Base bordo CD'!A$2:A$875,B622,'Base bordo CD'!L$2:L$875,"LIMITAÇÃO INDÚSTRIA"),0)</f>
        <v>9.1775000000000002</v>
      </c>
      <c r="K622" s="10">
        <f>IFERROR(SUMIFS('Base bordo CD'!M$2:M$875,'Base bordo CD'!D$2:D$875,A622,'Base bordo CD'!A$2:A$875,B622,'Base bordo CD'!L$2:L$875,"MAN CORRETIVA*"),0)+IFERROR(SUMIFS('Base bordo CD'!M$2:M$875,'Base bordo CD'!D$2:D$875,A622,'Base bordo CD'!A$2:A$875,B622,'Base bordo CD'!L$2:L$875,"AGUARDANDO MANUTENCAO*"),0)+IFERROR(SUMIFS('Base bordo CD'!M$2:M$875,'Base bordo CD'!D$2:D$875,A622,'Base bordo CD'!A$2:A$875,B622,'Base bordo CD'!L$2:L$875,"TROCA DE FAQUINHA"),0)+IFERROR(SUMIFS('Base bordo CD'!M$2:M$875,'Base bordo CD'!D$2:D$875,A622,'Base bordo CD'!A$2:A$875,B622,'Base bordo CD'!L$2:L$875,"LIMPEZA*"),0)</f>
        <v>0</v>
      </c>
      <c r="L622" s="10">
        <f>IFERROR(SUMIFS('Base bordo CD'!M$2:M$875,'Base bordo CD'!D$2:D$875,A622,'Base bordo CD'!A$2:A$875,B622,'Base bordo CD'!L$2:L$875,"PATIO - RESERVA"),0)</f>
        <v>2.0319444444444441</v>
      </c>
      <c r="M622" s="10">
        <f>IFERROR(SUMIFS('Base bordo CD'!M$2:M$875,'Base bordo CD'!D$2:D$875,A622,'Base bordo CD'!A$2:A$875,B622,'Base bordo CD'!L$2:L$875,"SEM APONTAMENTO"),0)</f>
        <v>4.1216666666666661</v>
      </c>
      <c r="N622" s="10">
        <f>IFERROR(SUMIFS('Base bordo CD'!M$2:M$875,'Base bordo CD'!D$2:D$875,A622,'Base bordo CD'!A$2:A$875,B622,'Base bordo CD'!L$2:L$875,"FALTA DE CAMINHÃO"),0)+IFERROR(SUMIFS('Base bordo CD'!M$2:M$875,'Base bordo CD'!D$2:D$875,A622,'Base bordo CD'!A$2:A$875,B622,'Base bordo CD'!L$2:L$875,"FALTA DE COMBUSTIVEL"),0)+IFERROR(SUMIFS('Base bordo CD'!M$2:M$875,'Base bordo CD'!D$2:D$875,A622,'Base bordo CD'!A$2:A$875,B622,'Base bordo CD'!L$2:L$875,"FALTA DE MOTORIST*"),0)</f>
        <v>0</v>
      </c>
      <c r="O622" s="10">
        <f t="shared" si="50"/>
        <v>2.8152777777777764</v>
      </c>
      <c r="P622" s="10">
        <f>IFERROR(SUMIFS('Base bordo CD'!M$2:M$875,'Base bordo CD'!D$2:D$875,A622,'Base bordo CD'!A$2:A$875,B622),0)</f>
        <v>24</v>
      </c>
      <c r="Q622" s="10">
        <f>IFERROR(SUMIFS('Base bordo CD'!O$2:O$875,'Base bordo CD'!D$2:D$875,A622,'Base bordo CD'!A$2:A$875,B622,'Base bordo CD'!L$2:L$875,"CORTE DE CANA MECANIZADO"),0)</f>
        <v>0</v>
      </c>
      <c r="R622" s="10">
        <f>IFERROR(SUMIFS('Base bordo CD'!Q$2:Q$875,'Base bordo CD'!D$2:D$875,A622,'Base bordo CD'!A$2:A$875,B622,'Base bordo CD'!L$2:L$875,"CORTE DE CANA MECANIZADO"),0)</f>
        <v>0</v>
      </c>
      <c r="S622" s="30" t="str">
        <f t="shared" si="51"/>
        <v/>
      </c>
      <c r="T622" s="9">
        <f t="shared" si="52"/>
        <v>0</v>
      </c>
      <c r="U622" s="9">
        <f t="shared" si="53"/>
        <v>0</v>
      </c>
      <c r="V622" s="9">
        <f t="shared" si="54"/>
        <v>0.99099537037037033</v>
      </c>
    </row>
    <row r="623" spans="1:22" hidden="1" x14ac:dyDescent="0.35">
      <c r="A623" s="52">
        <v>49584</v>
      </c>
      <c r="B623" s="31">
        <v>46118</v>
      </c>
      <c r="C623" s="7" t="s">
        <v>321</v>
      </c>
      <c r="D623" s="7">
        <v>351</v>
      </c>
      <c r="E623" s="10">
        <f>IFERROR(SUMIFS('Base bordo CD'!M$2:M$875,'Base bordo CD'!D$2:D$875,A623,'Base bordo CD'!A$2:A$875,B623,'Base bordo CD'!L$2:L$875,"CORTE DE CANA MECANIZADO"),0)</f>
        <v>0</v>
      </c>
      <c r="F623" s="10">
        <f>IFERROR(SUMIFS('Base bordo CD'!M$2:M$875,'Base bordo CD'!D$2:D$875,A623,'Base bordo CD'!A$2:A$875,B623,'Base bordo CD'!L$2:L$875,"MANOBRA"),0)</f>
        <v>0</v>
      </c>
      <c r="G623" s="10">
        <f>IFERROR(SUMIFS('Base bordo CD'!M$2:M$875,'Base bordo CD'!D$2:D$875,A623,'Base bordo CD'!A$2:A$875,B623,'Base bordo CD'!L$2:L$875,"DESLOCAMENTO"),0)</f>
        <v>0.21611111111111111</v>
      </c>
      <c r="H623" s="10">
        <f>IFERROR(SUMIFS('Base bordo CD'!M$2:M$875,'Base bordo CD'!D$2:D$875,A623,'Base bordo CD'!A$2:A$875,B623,'Base bordo CD'!L$2:L$875,"AGUARDANDO MANOBRA DE TRANSBORDO"),0)+IFERROR(SUMIFS('Base bordo CD'!M$2:M$875,'Base bordo CD'!D$2:D$875,A623,'Base bordo CD'!A$2:A$875,B623,'Base bordo CD'!L$2:L$875,"FALTA DE TRANSBORDO"),0)</f>
        <v>0</v>
      </c>
      <c r="I623" s="10">
        <f>IFERROR(SUMIFS('Base bordo CD'!M$2:M$875,'Base bordo CD'!D$2:D$875,A623,'Base bordo CD'!A$2:A$875,B623,'Base bordo CD'!L$2:L$875,"PARADA POR CONDICOES CLIMATICAS"),0)+IFERROR(SUMIFS('Base bordo CD'!M$2:M$875,'Base bordo CD'!D$2:D$875,A623,'Base bordo CD'!A$2:A$875,B623,'Base bordo CD'!L$2:L$875,"TEMPO INDETERMINADO"),0)</f>
        <v>5.6375000000000002</v>
      </c>
      <c r="J623" s="10">
        <f>IFERROR(SUMIFS('Base bordo CD'!M$2:M$875,'Base bordo CD'!D$2:D$875,A623,'Base bordo CD'!A$2:A$875,B623,'Base bordo CD'!L$2:L$875,"LIMITAÇÃO INDÚSTRIA"),0)</f>
        <v>9.1775000000000002</v>
      </c>
      <c r="K623" s="10">
        <f>IFERROR(SUMIFS('Base bordo CD'!M$2:M$875,'Base bordo CD'!D$2:D$875,A623,'Base bordo CD'!A$2:A$875,B623,'Base bordo CD'!L$2:L$875,"MAN CORRETIVA*"),0)+IFERROR(SUMIFS('Base bordo CD'!M$2:M$875,'Base bordo CD'!D$2:D$875,A623,'Base bordo CD'!A$2:A$875,B623,'Base bordo CD'!L$2:L$875,"AGUARDANDO MANUTENCAO*"),0)+IFERROR(SUMIFS('Base bordo CD'!M$2:M$875,'Base bordo CD'!D$2:D$875,A623,'Base bordo CD'!A$2:A$875,B623,'Base bordo CD'!L$2:L$875,"TROCA DE FAQUINHA"),0)+IFERROR(SUMIFS('Base bordo CD'!M$2:M$875,'Base bordo CD'!D$2:D$875,A623,'Base bordo CD'!A$2:A$875,B623,'Base bordo CD'!L$2:L$875,"LIMPEZA*"),0)</f>
        <v>0</v>
      </c>
      <c r="L623" s="10">
        <f>IFERROR(SUMIFS('Base bordo CD'!M$2:M$875,'Base bordo CD'!D$2:D$875,A623,'Base bordo CD'!A$2:A$875,B623,'Base bordo CD'!L$2:L$875,"PATIO - RESERVA"),0)</f>
        <v>2.0319444444444441</v>
      </c>
      <c r="M623" s="10">
        <f>IFERROR(SUMIFS('Base bordo CD'!M$2:M$875,'Base bordo CD'!D$2:D$875,A623,'Base bordo CD'!A$2:A$875,B623,'Base bordo CD'!L$2:L$875,"SEM APONTAMENTO"),0)</f>
        <v>4.1216666666666661</v>
      </c>
      <c r="N623" s="10">
        <f>IFERROR(SUMIFS('Base bordo CD'!M$2:M$875,'Base bordo CD'!D$2:D$875,A623,'Base bordo CD'!A$2:A$875,B623,'Base bordo CD'!L$2:L$875,"FALTA DE CAMINHÃO"),0)+IFERROR(SUMIFS('Base bordo CD'!M$2:M$875,'Base bordo CD'!D$2:D$875,A623,'Base bordo CD'!A$2:A$875,B623,'Base bordo CD'!L$2:L$875,"FALTA DE COMBUSTIVEL"),0)+IFERROR(SUMIFS('Base bordo CD'!M$2:M$875,'Base bordo CD'!D$2:D$875,A623,'Base bordo CD'!A$2:A$875,B623,'Base bordo CD'!L$2:L$875,"FALTA DE MOTORIST*"),0)</f>
        <v>0</v>
      </c>
      <c r="O623" s="10">
        <f t="shared" si="50"/>
        <v>2.8152777777777764</v>
      </c>
      <c r="P623" s="10">
        <f>IFERROR(SUMIFS('Base bordo CD'!M$2:M$875,'Base bordo CD'!D$2:D$875,A623,'Base bordo CD'!A$2:A$875,B623),0)</f>
        <v>24</v>
      </c>
      <c r="Q623" s="10">
        <f>IFERROR(SUMIFS('Base bordo CD'!O$2:O$875,'Base bordo CD'!D$2:D$875,A623,'Base bordo CD'!A$2:A$875,B623,'Base bordo CD'!L$2:L$875,"CORTE DE CANA MECANIZADO"),0)</f>
        <v>0</v>
      </c>
      <c r="R623" s="10">
        <f>IFERROR(SUMIFS('Base bordo CD'!Q$2:Q$875,'Base bordo CD'!D$2:D$875,A623,'Base bordo CD'!A$2:A$875,B623,'Base bordo CD'!L$2:L$875,"CORTE DE CANA MECANIZADO"),0)</f>
        <v>0</v>
      </c>
      <c r="S623" s="30" t="str">
        <f t="shared" si="51"/>
        <v/>
      </c>
      <c r="T623" s="9">
        <f t="shared" si="52"/>
        <v>0</v>
      </c>
      <c r="U623" s="9">
        <f t="shared" si="53"/>
        <v>0</v>
      </c>
      <c r="V623" s="9">
        <f t="shared" si="54"/>
        <v>0.99099537037037033</v>
      </c>
    </row>
    <row r="624" spans="1:22" hidden="1" x14ac:dyDescent="0.35">
      <c r="A624" s="52">
        <v>49584</v>
      </c>
      <c r="B624" s="31">
        <v>46118</v>
      </c>
      <c r="C624" s="7" t="s">
        <v>321</v>
      </c>
      <c r="D624" s="7">
        <v>351</v>
      </c>
      <c r="E624" s="10">
        <f>IFERROR(SUMIFS('Base bordo CD'!M$2:M$875,'Base bordo CD'!D$2:D$875,A624,'Base bordo CD'!A$2:A$875,B624,'Base bordo CD'!L$2:L$875,"CORTE DE CANA MECANIZADO"),0)</f>
        <v>0</v>
      </c>
      <c r="F624" s="10">
        <f>IFERROR(SUMIFS('Base bordo CD'!M$2:M$875,'Base bordo CD'!D$2:D$875,A624,'Base bordo CD'!A$2:A$875,B624,'Base bordo CD'!L$2:L$875,"MANOBRA"),0)</f>
        <v>0</v>
      </c>
      <c r="G624" s="10">
        <f>IFERROR(SUMIFS('Base bordo CD'!M$2:M$875,'Base bordo CD'!D$2:D$875,A624,'Base bordo CD'!A$2:A$875,B624,'Base bordo CD'!L$2:L$875,"DESLOCAMENTO"),0)</f>
        <v>0.21611111111111111</v>
      </c>
      <c r="H624" s="10">
        <f>IFERROR(SUMIFS('Base bordo CD'!M$2:M$875,'Base bordo CD'!D$2:D$875,A624,'Base bordo CD'!A$2:A$875,B624,'Base bordo CD'!L$2:L$875,"AGUARDANDO MANOBRA DE TRANSBORDO"),0)+IFERROR(SUMIFS('Base bordo CD'!M$2:M$875,'Base bordo CD'!D$2:D$875,A624,'Base bordo CD'!A$2:A$875,B624,'Base bordo CD'!L$2:L$875,"FALTA DE TRANSBORDO"),0)</f>
        <v>0</v>
      </c>
      <c r="I624" s="10">
        <f>IFERROR(SUMIFS('Base bordo CD'!M$2:M$875,'Base bordo CD'!D$2:D$875,A624,'Base bordo CD'!A$2:A$875,B624,'Base bordo CD'!L$2:L$875,"PARADA POR CONDICOES CLIMATICAS"),0)+IFERROR(SUMIFS('Base bordo CD'!M$2:M$875,'Base bordo CD'!D$2:D$875,A624,'Base bordo CD'!A$2:A$875,B624,'Base bordo CD'!L$2:L$875,"TEMPO INDETERMINADO"),0)</f>
        <v>5.6375000000000002</v>
      </c>
      <c r="J624" s="10">
        <f>IFERROR(SUMIFS('Base bordo CD'!M$2:M$875,'Base bordo CD'!D$2:D$875,A624,'Base bordo CD'!A$2:A$875,B624,'Base bordo CD'!L$2:L$875,"LIMITAÇÃO INDÚSTRIA"),0)</f>
        <v>9.1775000000000002</v>
      </c>
      <c r="K624" s="10">
        <f>IFERROR(SUMIFS('Base bordo CD'!M$2:M$875,'Base bordo CD'!D$2:D$875,A624,'Base bordo CD'!A$2:A$875,B624,'Base bordo CD'!L$2:L$875,"MAN CORRETIVA*"),0)+IFERROR(SUMIFS('Base bordo CD'!M$2:M$875,'Base bordo CD'!D$2:D$875,A624,'Base bordo CD'!A$2:A$875,B624,'Base bordo CD'!L$2:L$875,"AGUARDANDO MANUTENCAO*"),0)+IFERROR(SUMIFS('Base bordo CD'!M$2:M$875,'Base bordo CD'!D$2:D$875,A624,'Base bordo CD'!A$2:A$875,B624,'Base bordo CD'!L$2:L$875,"TROCA DE FAQUINHA"),0)+IFERROR(SUMIFS('Base bordo CD'!M$2:M$875,'Base bordo CD'!D$2:D$875,A624,'Base bordo CD'!A$2:A$875,B624,'Base bordo CD'!L$2:L$875,"LIMPEZA*"),0)</f>
        <v>0</v>
      </c>
      <c r="L624" s="10">
        <f>IFERROR(SUMIFS('Base bordo CD'!M$2:M$875,'Base bordo CD'!D$2:D$875,A624,'Base bordo CD'!A$2:A$875,B624,'Base bordo CD'!L$2:L$875,"PATIO - RESERVA"),0)</f>
        <v>2.0319444444444441</v>
      </c>
      <c r="M624" s="10">
        <f>IFERROR(SUMIFS('Base bordo CD'!M$2:M$875,'Base bordo CD'!D$2:D$875,A624,'Base bordo CD'!A$2:A$875,B624,'Base bordo CD'!L$2:L$875,"SEM APONTAMENTO"),0)</f>
        <v>4.1216666666666661</v>
      </c>
      <c r="N624" s="10">
        <f>IFERROR(SUMIFS('Base bordo CD'!M$2:M$875,'Base bordo CD'!D$2:D$875,A624,'Base bordo CD'!A$2:A$875,B624,'Base bordo CD'!L$2:L$875,"FALTA DE CAMINHÃO"),0)+IFERROR(SUMIFS('Base bordo CD'!M$2:M$875,'Base bordo CD'!D$2:D$875,A624,'Base bordo CD'!A$2:A$875,B624,'Base bordo CD'!L$2:L$875,"FALTA DE COMBUSTIVEL"),0)+IFERROR(SUMIFS('Base bordo CD'!M$2:M$875,'Base bordo CD'!D$2:D$875,A624,'Base bordo CD'!A$2:A$875,B624,'Base bordo CD'!L$2:L$875,"FALTA DE MOTORIST*"),0)</f>
        <v>0</v>
      </c>
      <c r="O624" s="10">
        <f t="shared" si="50"/>
        <v>2.8152777777777764</v>
      </c>
      <c r="P624" s="10">
        <f>IFERROR(SUMIFS('Base bordo CD'!M$2:M$875,'Base bordo CD'!D$2:D$875,A624,'Base bordo CD'!A$2:A$875,B624),0)</f>
        <v>24</v>
      </c>
      <c r="Q624" s="10">
        <f>IFERROR(SUMIFS('Base bordo CD'!O$2:O$875,'Base bordo CD'!D$2:D$875,A624,'Base bordo CD'!A$2:A$875,B624,'Base bordo CD'!L$2:L$875,"CORTE DE CANA MECANIZADO"),0)</f>
        <v>0</v>
      </c>
      <c r="R624" s="10">
        <f>IFERROR(SUMIFS('Base bordo CD'!Q$2:Q$875,'Base bordo CD'!D$2:D$875,A624,'Base bordo CD'!A$2:A$875,B624,'Base bordo CD'!L$2:L$875,"CORTE DE CANA MECANIZADO"),0)</f>
        <v>0</v>
      </c>
      <c r="S624" s="30" t="str">
        <f t="shared" si="51"/>
        <v/>
      </c>
      <c r="T624" s="9">
        <f t="shared" si="52"/>
        <v>0</v>
      </c>
      <c r="U624" s="9">
        <f t="shared" si="53"/>
        <v>0</v>
      </c>
      <c r="V624" s="9">
        <f t="shared" si="54"/>
        <v>0.99099537037037033</v>
      </c>
    </row>
    <row r="625" spans="1:22" hidden="1" x14ac:dyDescent="0.35">
      <c r="A625" s="52">
        <v>49584</v>
      </c>
      <c r="B625" s="31">
        <v>46118</v>
      </c>
      <c r="C625" s="7" t="s">
        <v>321</v>
      </c>
      <c r="D625" s="7">
        <v>351</v>
      </c>
      <c r="E625" s="10">
        <f>IFERROR(SUMIFS('Base bordo CD'!M$2:M$875,'Base bordo CD'!D$2:D$875,A625,'Base bordo CD'!A$2:A$875,B625,'Base bordo CD'!L$2:L$875,"CORTE DE CANA MECANIZADO"),0)</f>
        <v>0</v>
      </c>
      <c r="F625" s="10">
        <f>IFERROR(SUMIFS('Base bordo CD'!M$2:M$875,'Base bordo CD'!D$2:D$875,A625,'Base bordo CD'!A$2:A$875,B625,'Base bordo CD'!L$2:L$875,"MANOBRA"),0)</f>
        <v>0</v>
      </c>
      <c r="G625" s="10">
        <f>IFERROR(SUMIFS('Base bordo CD'!M$2:M$875,'Base bordo CD'!D$2:D$875,A625,'Base bordo CD'!A$2:A$875,B625,'Base bordo CD'!L$2:L$875,"DESLOCAMENTO"),0)</f>
        <v>0.21611111111111111</v>
      </c>
      <c r="H625" s="10">
        <f>IFERROR(SUMIFS('Base bordo CD'!M$2:M$875,'Base bordo CD'!D$2:D$875,A625,'Base bordo CD'!A$2:A$875,B625,'Base bordo CD'!L$2:L$875,"AGUARDANDO MANOBRA DE TRANSBORDO"),0)+IFERROR(SUMIFS('Base bordo CD'!M$2:M$875,'Base bordo CD'!D$2:D$875,A625,'Base bordo CD'!A$2:A$875,B625,'Base bordo CD'!L$2:L$875,"FALTA DE TRANSBORDO"),0)</f>
        <v>0</v>
      </c>
      <c r="I625" s="10">
        <f>IFERROR(SUMIFS('Base bordo CD'!M$2:M$875,'Base bordo CD'!D$2:D$875,A625,'Base bordo CD'!A$2:A$875,B625,'Base bordo CD'!L$2:L$875,"PARADA POR CONDICOES CLIMATICAS"),0)+IFERROR(SUMIFS('Base bordo CD'!M$2:M$875,'Base bordo CD'!D$2:D$875,A625,'Base bordo CD'!A$2:A$875,B625,'Base bordo CD'!L$2:L$875,"TEMPO INDETERMINADO"),0)</f>
        <v>5.6375000000000002</v>
      </c>
      <c r="J625" s="10">
        <f>IFERROR(SUMIFS('Base bordo CD'!M$2:M$875,'Base bordo CD'!D$2:D$875,A625,'Base bordo CD'!A$2:A$875,B625,'Base bordo CD'!L$2:L$875,"LIMITAÇÃO INDÚSTRIA"),0)</f>
        <v>9.1775000000000002</v>
      </c>
      <c r="K625" s="10">
        <f>IFERROR(SUMIFS('Base bordo CD'!M$2:M$875,'Base bordo CD'!D$2:D$875,A625,'Base bordo CD'!A$2:A$875,B625,'Base bordo CD'!L$2:L$875,"MAN CORRETIVA*"),0)+IFERROR(SUMIFS('Base bordo CD'!M$2:M$875,'Base bordo CD'!D$2:D$875,A625,'Base bordo CD'!A$2:A$875,B625,'Base bordo CD'!L$2:L$875,"AGUARDANDO MANUTENCAO*"),0)+IFERROR(SUMIFS('Base bordo CD'!M$2:M$875,'Base bordo CD'!D$2:D$875,A625,'Base bordo CD'!A$2:A$875,B625,'Base bordo CD'!L$2:L$875,"TROCA DE FAQUINHA"),0)+IFERROR(SUMIFS('Base bordo CD'!M$2:M$875,'Base bordo CD'!D$2:D$875,A625,'Base bordo CD'!A$2:A$875,B625,'Base bordo CD'!L$2:L$875,"LIMPEZA*"),0)</f>
        <v>0</v>
      </c>
      <c r="L625" s="10">
        <f>IFERROR(SUMIFS('Base bordo CD'!M$2:M$875,'Base bordo CD'!D$2:D$875,A625,'Base bordo CD'!A$2:A$875,B625,'Base bordo CD'!L$2:L$875,"PATIO - RESERVA"),0)</f>
        <v>2.0319444444444441</v>
      </c>
      <c r="M625" s="10">
        <f>IFERROR(SUMIFS('Base bordo CD'!M$2:M$875,'Base bordo CD'!D$2:D$875,A625,'Base bordo CD'!A$2:A$875,B625,'Base bordo CD'!L$2:L$875,"SEM APONTAMENTO"),0)</f>
        <v>4.1216666666666661</v>
      </c>
      <c r="N625" s="10">
        <f>IFERROR(SUMIFS('Base bordo CD'!M$2:M$875,'Base bordo CD'!D$2:D$875,A625,'Base bordo CD'!A$2:A$875,B625,'Base bordo CD'!L$2:L$875,"FALTA DE CAMINHÃO"),0)+IFERROR(SUMIFS('Base bordo CD'!M$2:M$875,'Base bordo CD'!D$2:D$875,A625,'Base bordo CD'!A$2:A$875,B625,'Base bordo CD'!L$2:L$875,"FALTA DE COMBUSTIVEL"),0)+IFERROR(SUMIFS('Base bordo CD'!M$2:M$875,'Base bordo CD'!D$2:D$875,A625,'Base bordo CD'!A$2:A$875,B625,'Base bordo CD'!L$2:L$875,"FALTA DE MOTORIST*"),0)</f>
        <v>0</v>
      </c>
      <c r="O625" s="10">
        <f t="shared" si="50"/>
        <v>2.8152777777777764</v>
      </c>
      <c r="P625" s="10">
        <f>IFERROR(SUMIFS('Base bordo CD'!M$2:M$875,'Base bordo CD'!D$2:D$875,A625,'Base bordo CD'!A$2:A$875,B625),0)</f>
        <v>24</v>
      </c>
      <c r="Q625" s="10">
        <f>IFERROR(SUMIFS('Base bordo CD'!O$2:O$875,'Base bordo CD'!D$2:D$875,A625,'Base bordo CD'!A$2:A$875,B625,'Base bordo CD'!L$2:L$875,"CORTE DE CANA MECANIZADO"),0)</f>
        <v>0</v>
      </c>
      <c r="R625" s="10">
        <f>IFERROR(SUMIFS('Base bordo CD'!Q$2:Q$875,'Base bordo CD'!D$2:D$875,A625,'Base bordo CD'!A$2:A$875,B625,'Base bordo CD'!L$2:L$875,"CORTE DE CANA MECANIZADO"),0)</f>
        <v>0</v>
      </c>
      <c r="S625" s="30" t="str">
        <f t="shared" si="51"/>
        <v/>
      </c>
      <c r="T625" s="9">
        <f t="shared" si="52"/>
        <v>0</v>
      </c>
      <c r="U625" s="9">
        <f t="shared" si="53"/>
        <v>0</v>
      </c>
      <c r="V625" s="9">
        <f t="shared" si="54"/>
        <v>0.99099537037037033</v>
      </c>
    </row>
    <row r="626" spans="1:22" hidden="1" x14ac:dyDescent="0.35">
      <c r="A626" s="52">
        <v>49584</v>
      </c>
      <c r="B626" s="31">
        <v>46118</v>
      </c>
      <c r="C626" s="7" t="s">
        <v>321</v>
      </c>
      <c r="D626" s="7">
        <v>351</v>
      </c>
      <c r="E626" s="10">
        <f>IFERROR(SUMIFS('Base bordo CD'!M$2:M$875,'Base bordo CD'!D$2:D$875,A626,'Base bordo CD'!A$2:A$875,B626,'Base bordo CD'!L$2:L$875,"CORTE DE CANA MECANIZADO"),0)</f>
        <v>0</v>
      </c>
      <c r="F626" s="10">
        <f>IFERROR(SUMIFS('Base bordo CD'!M$2:M$875,'Base bordo CD'!D$2:D$875,A626,'Base bordo CD'!A$2:A$875,B626,'Base bordo CD'!L$2:L$875,"MANOBRA"),0)</f>
        <v>0</v>
      </c>
      <c r="G626" s="10">
        <f>IFERROR(SUMIFS('Base bordo CD'!M$2:M$875,'Base bordo CD'!D$2:D$875,A626,'Base bordo CD'!A$2:A$875,B626,'Base bordo CD'!L$2:L$875,"DESLOCAMENTO"),0)</f>
        <v>0.21611111111111111</v>
      </c>
      <c r="H626" s="10">
        <f>IFERROR(SUMIFS('Base bordo CD'!M$2:M$875,'Base bordo CD'!D$2:D$875,A626,'Base bordo CD'!A$2:A$875,B626,'Base bordo CD'!L$2:L$875,"AGUARDANDO MANOBRA DE TRANSBORDO"),0)+IFERROR(SUMIFS('Base bordo CD'!M$2:M$875,'Base bordo CD'!D$2:D$875,A626,'Base bordo CD'!A$2:A$875,B626,'Base bordo CD'!L$2:L$875,"FALTA DE TRANSBORDO"),0)</f>
        <v>0</v>
      </c>
      <c r="I626" s="10">
        <f>IFERROR(SUMIFS('Base bordo CD'!M$2:M$875,'Base bordo CD'!D$2:D$875,A626,'Base bordo CD'!A$2:A$875,B626,'Base bordo CD'!L$2:L$875,"PARADA POR CONDICOES CLIMATICAS"),0)+IFERROR(SUMIFS('Base bordo CD'!M$2:M$875,'Base bordo CD'!D$2:D$875,A626,'Base bordo CD'!A$2:A$875,B626,'Base bordo CD'!L$2:L$875,"TEMPO INDETERMINADO"),0)</f>
        <v>5.6375000000000002</v>
      </c>
      <c r="J626" s="10">
        <f>IFERROR(SUMIFS('Base bordo CD'!M$2:M$875,'Base bordo CD'!D$2:D$875,A626,'Base bordo CD'!A$2:A$875,B626,'Base bordo CD'!L$2:L$875,"LIMITAÇÃO INDÚSTRIA"),0)</f>
        <v>9.1775000000000002</v>
      </c>
      <c r="K626" s="10">
        <f>IFERROR(SUMIFS('Base bordo CD'!M$2:M$875,'Base bordo CD'!D$2:D$875,A626,'Base bordo CD'!A$2:A$875,B626,'Base bordo CD'!L$2:L$875,"MAN CORRETIVA*"),0)+IFERROR(SUMIFS('Base bordo CD'!M$2:M$875,'Base bordo CD'!D$2:D$875,A626,'Base bordo CD'!A$2:A$875,B626,'Base bordo CD'!L$2:L$875,"AGUARDANDO MANUTENCAO*"),0)+IFERROR(SUMIFS('Base bordo CD'!M$2:M$875,'Base bordo CD'!D$2:D$875,A626,'Base bordo CD'!A$2:A$875,B626,'Base bordo CD'!L$2:L$875,"TROCA DE FAQUINHA"),0)+IFERROR(SUMIFS('Base bordo CD'!M$2:M$875,'Base bordo CD'!D$2:D$875,A626,'Base bordo CD'!A$2:A$875,B626,'Base bordo CD'!L$2:L$875,"LIMPEZA*"),0)</f>
        <v>0</v>
      </c>
      <c r="L626" s="10">
        <f>IFERROR(SUMIFS('Base bordo CD'!M$2:M$875,'Base bordo CD'!D$2:D$875,A626,'Base bordo CD'!A$2:A$875,B626,'Base bordo CD'!L$2:L$875,"PATIO - RESERVA"),0)</f>
        <v>2.0319444444444441</v>
      </c>
      <c r="M626" s="10">
        <f>IFERROR(SUMIFS('Base bordo CD'!M$2:M$875,'Base bordo CD'!D$2:D$875,A626,'Base bordo CD'!A$2:A$875,B626,'Base bordo CD'!L$2:L$875,"SEM APONTAMENTO"),0)</f>
        <v>4.1216666666666661</v>
      </c>
      <c r="N626" s="10">
        <f>IFERROR(SUMIFS('Base bordo CD'!M$2:M$875,'Base bordo CD'!D$2:D$875,A626,'Base bordo CD'!A$2:A$875,B626,'Base bordo CD'!L$2:L$875,"FALTA DE CAMINHÃO"),0)+IFERROR(SUMIFS('Base bordo CD'!M$2:M$875,'Base bordo CD'!D$2:D$875,A626,'Base bordo CD'!A$2:A$875,B626,'Base bordo CD'!L$2:L$875,"FALTA DE COMBUSTIVEL"),0)+IFERROR(SUMIFS('Base bordo CD'!M$2:M$875,'Base bordo CD'!D$2:D$875,A626,'Base bordo CD'!A$2:A$875,B626,'Base bordo CD'!L$2:L$875,"FALTA DE MOTORIST*"),0)</f>
        <v>0</v>
      </c>
      <c r="O626" s="10">
        <f t="shared" si="50"/>
        <v>2.8152777777777764</v>
      </c>
      <c r="P626" s="10">
        <f>IFERROR(SUMIFS('Base bordo CD'!M$2:M$875,'Base bordo CD'!D$2:D$875,A626,'Base bordo CD'!A$2:A$875,B626),0)</f>
        <v>24</v>
      </c>
      <c r="Q626" s="10">
        <f>IFERROR(SUMIFS('Base bordo CD'!O$2:O$875,'Base bordo CD'!D$2:D$875,A626,'Base bordo CD'!A$2:A$875,B626,'Base bordo CD'!L$2:L$875,"CORTE DE CANA MECANIZADO"),0)</f>
        <v>0</v>
      </c>
      <c r="R626" s="10">
        <f>IFERROR(SUMIFS('Base bordo CD'!Q$2:Q$875,'Base bordo CD'!D$2:D$875,A626,'Base bordo CD'!A$2:A$875,B626,'Base bordo CD'!L$2:L$875,"CORTE DE CANA MECANIZADO"),0)</f>
        <v>0</v>
      </c>
      <c r="S626" s="30" t="str">
        <f t="shared" si="51"/>
        <v/>
      </c>
      <c r="T626" s="9">
        <f t="shared" si="52"/>
        <v>0</v>
      </c>
      <c r="U626" s="9">
        <f t="shared" si="53"/>
        <v>0</v>
      </c>
      <c r="V626" s="9">
        <f t="shared" si="54"/>
        <v>0.99099537037037033</v>
      </c>
    </row>
    <row r="627" spans="1:22" hidden="1" x14ac:dyDescent="0.35">
      <c r="A627" s="52">
        <v>49584</v>
      </c>
      <c r="B627" s="31">
        <v>46118</v>
      </c>
      <c r="C627" s="7" t="s">
        <v>321</v>
      </c>
      <c r="D627" s="7">
        <v>351</v>
      </c>
      <c r="E627" s="10">
        <f>IFERROR(SUMIFS('Base bordo CD'!M$2:M$875,'Base bordo CD'!D$2:D$875,A627,'Base bordo CD'!A$2:A$875,B627,'Base bordo CD'!L$2:L$875,"CORTE DE CANA MECANIZADO"),0)</f>
        <v>0</v>
      </c>
      <c r="F627" s="10">
        <f>IFERROR(SUMIFS('Base bordo CD'!M$2:M$875,'Base bordo CD'!D$2:D$875,A627,'Base bordo CD'!A$2:A$875,B627,'Base bordo CD'!L$2:L$875,"MANOBRA"),0)</f>
        <v>0</v>
      </c>
      <c r="G627" s="10">
        <f>IFERROR(SUMIFS('Base bordo CD'!M$2:M$875,'Base bordo CD'!D$2:D$875,A627,'Base bordo CD'!A$2:A$875,B627,'Base bordo CD'!L$2:L$875,"DESLOCAMENTO"),0)</f>
        <v>0.21611111111111111</v>
      </c>
      <c r="H627" s="10">
        <f>IFERROR(SUMIFS('Base bordo CD'!M$2:M$875,'Base bordo CD'!D$2:D$875,A627,'Base bordo CD'!A$2:A$875,B627,'Base bordo CD'!L$2:L$875,"AGUARDANDO MANOBRA DE TRANSBORDO"),0)+IFERROR(SUMIFS('Base bordo CD'!M$2:M$875,'Base bordo CD'!D$2:D$875,A627,'Base bordo CD'!A$2:A$875,B627,'Base bordo CD'!L$2:L$875,"FALTA DE TRANSBORDO"),0)</f>
        <v>0</v>
      </c>
      <c r="I627" s="10">
        <f>IFERROR(SUMIFS('Base bordo CD'!M$2:M$875,'Base bordo CD'!D$2:D$875,A627,'Base bordo CD'!A$2:A$875,B627,'Base bordo CD'!L$2:L$875,"PARADA POR CONDICOES CLIMATICAS"),0)+IFERROR(SUMIFS('Base bordo CD'!M$2:M$875,'Base bordo CD'!D$2:D$875,A627,'Base bordo CD'!A$2:A$875,B627,'Base bordo CD'!L$2:L$875,"TEMPO INDETERMINADO"),0)</f>
        <v>5.6375000000000002</v>
      </c>
      <c r="J627" s="10">
        <f>IFERROR(SUMIFS('Base bordo CD'!M$2:M$875,'Base bordo CD'!D$2:D$875,A627,'Base bordo CD'!A$2:A$875,B627,'Base bordo CD'!L$2:L$875,"LIMITAÇÃO INDÚSTRIA"),0)</f>
        <v>9.1775000000000002</v>
      </c>
      <c r="K627" s="10">
        <f>IFERROR(SUMIFS('Base bordo CD'!M$2:M$875,'Base bordo CD'!D$2:D$875,A627,'Base bordo CD'!A$2:A$875,B627,'Base bordo CD'!L$2:L$875,"MAN CORRETIVA*"),0)+IFERROR(SUMIFS('Base bordo CD'!M$2:M$875,'Base bordo CD'!D$2:D$875,A627,'Base bordo CD'!A$2:A$875,B627,'Base bordo CD'!L$2:L$875,"AGUARDANDO MANUTENCAO*"),0)+IFERROR(SUMIFS('Base bordo CD'!M$2:M$875,'Base bordo CD'!D$2:D$875,A627,'Base bordo CD'!A$2:A$875,B627,'Base bordo CD'!L$2:L$875,"TROCA DE FAQUINHA"),0)+IFERROR(SUMIFS('Base bordo CD'!M$2:M$875,'Base bordo CD'!D$2:D$875,A627,'Base bordo CD'!A$2:A$875,B627,'Base bordo CD'!L$2:L$875,"LIMPEZA*"),0)</f>
        <v>0</v>
      </c>
      <c r="L627" s="10">
        <f>IFERROR(SUMIFS('Base bordo CD'!M$2:M$875,'Base bordo CD'!D$2:D$875,A627,'Base bordo CD'!A$2:A$875,B627,'Base bordo CD'!L$2:L$875,"PATIO - RESERVA"),0)</f>
        <v>2.0319444444444441</v>
      </c>
      <c r="M627" s="10">
        <f>IFERROR(SUMIFS('Base bordo CD'!M$2:M$875,'Base bordo CD'!D$2:D$875,A627,'Base bordo CD'!A$2:A$875,B627,'Base bordo CD'!L$2:L$875,"SEM APONTAMENTO"),0)</f>
        <v>4.1216666666666661</v>
      </c>
      <c r="N627" s="10">
        <f>IFERROR(SUMIFS('Base bordo CD'!M$2:M$875,'Base bordo CD'!D$2:D$875,A627,'Base bordo CD'!A$2:A$875,B627,'Base bordo CD'!L$2:L$875,"FALTA DE CAMINHÃO"),0)+IFERROR(SUMIFS('Base bordo CD'!M$2:M$875,'Base bordo CD'!D$2:D$875,A627,'Base bordo CD'!A$2:A$875,B627,'Base bordo CD'!L$2:L$875,"FALTA DE COMBUSTIVEL"),0)+IFERROR(SUMIFS('Base bordo CD'!M$2:M$875,'Base bordo CD'!D$2:D$875,A627,'Base bordo CD'!A$2:A$875,B627,'Base bordo CD'!L$2:L$875,"FALTA DE MOTORIST*"),0)</f>
        <v>0</v>
      </c>
      <c r="O627" s="10">
        <f t="shared" si="50"/>
        <v>2.8152777777777764</v>
      </c>
      <c r="P627" s="10">
        <f>IFERROR(SUMIFS('Base bordo CD'!M$2:M$875,'Base bordo CD'!D$2:D$875,A627,'Base bordo CD'!A$2:A$875,B627),0)</f>
        <v>24</v>
      </c>
      <c r="Q627" s="10">
        <f>IFERROR(SUMIFS('Base bordo CD'!O$2:O$875,'Base bordo CD'!D$2:D$875,A627,'Base bordo CD'!A$2:A$875,B627,'Base bordo CD'!L$2:L$875,"CORTE DE CANA MECANIZADO"),0)</f>
        <v>0</v>
      </c>
      <c r="R627" s="10">
        <f>IFERROR(SUMIFS('Base bordo CD'!Q$2:Q$875,'Base bordo CD'!D$2:D$875,A627,'Base bordo CD'!A$2:A$875,B627,'Base bordo CD'!L$2:L$875,"CORTE DE CANA MECANIZADO"),0)</f>
        <v>0</v>
      </c>
      <c r="S627" s="30" t="str">
        <f t="shared" si="51"/>
        <v/>
      </c>
      <c r="T627" s="9">
        <f t="shared" si="52"/>
        <v>0</v>
      </c>
      <c r="U627" s="9">
        <f t="shared" si="53"/>
        <v>0</v>
      </c>
      <c r="V627" s="9">
        <f t="shared" si="54"/>
        <v>0.99099537037037033</v>
      </c>
    </row>
    <row r="628" spans="1:22" hidden="1" x14ac:dyDescent="0.35">
      <c r="A628" s="52">
        <v>49584</v>
      </c>
      <c r="B628" s="31">
        <v>46118</v>
      </c>
      <c r="C628" s="7" t="s">
        <v>321</v>
      </c>
      <c r="D628" s="7">
        <v>351</v>
      </c>
      <c r="E628" s="10">
        <f>IFERROR(SUMIFS('Base bordo CD'!M$2:M$875,'Base bordo CD'!D$2:D$875,A628,'Base bordo CD'!A$2:A$875,B628,'Base bordo CD'!L$2:L$875,"CORTE DE CANA MECANIZADO"),0)</f>
        <v>0</v>
      </c>
      <c r="F628" s="10">
        <f>IFERROR(SUMIFS('Base bordo CD'!M$2:M$875,'Base bordo CD'!D$2:D$875,A628,'Base bordo CD'!A$2:A$875,B628,'Base bordo CD'!L$2:L$875,"MANOBRA"),0)</f>
        <v>0</v>
      </c>
      <c r="G628" s="10">
        <f>IFERROR(SUMIFS('Base bordo CD'!M$2:M$875,'Base bordo CD'!D$2:D$875,A628,'Base bordo CD'!A$2:A$875,B628,'Base bordo CD'!L$2:L$875,"DESLOCAMENTO"),0)</f>
        <v>0.21611111111111111</v>
      </c>
      <c r="H628" s="10">
        <f>IFERROR(SUMIFS('Base bordo CD'!M$2:M$875,'Base bordo CD'!D$2:D$875,A628,'Base bordo CD'!A$2:A$875,B628,'Base bordo CD'!L$2:L$875,"AGUARDANDO MANOBRA DE TRANSBORDO"),0)+IFERROR(SUMIFS('Base bordo CD'!M$2:M$875,'Base bordo CD'!D$2:D$875,A628,'Base bordo CD'!A$2:A$875,B628,'Base bordo CD'!L$2:L$875,"FALTA DE TRANSBORDO"),0)</f>
        <v>0</v>
      </c>
      <c r="I628" s="10">
        <f>IFERROR(SUMIFS('Base bordo CD'!M$2:M$875,'Base bordo CD'!D$2:D$875,A628,'Base bordo CD'!A$2:A$875,B628,'Base bordo CD'!L$2:L$875,"PARADA POR CONDICOES CLIMATICAS"),0)+IFERROR(SUMIFS('Base bordo CD'!M$2:M$875,'Base bordo CD'!D$2:D$875,A628,'Base bordo CD'!A$2:A$875,B628,'Base bordo CD'!L$2:L$875,"TEMPO INDETERMINADO"),0)</f>
        <v>5.6375000000000002</v>
      </c>
      <c r="J628" s="10">
        <f>IFERROR(SUMIFS('Base bordo CD'!M$2:M$875,'Base bordo CD'!D$2:D$875,A628,'Base bordo CD'!A$2:A$875,B628,'Base bordo CD'!L$2:L$875,"LIMITAÇÃO INDÚSTRIA"),0)</f>
        <v>9.1775000000000002</v>
      </c>
      <c r="K628" s="10">
        <f>IFERROR(SUMIFS('Base bordo CD'!M$2:M$875,'Base bordo CD'!D$2:D$875,A628,'Base bordo CD'!A$2:A$875,B628,'Base bordo CD'!L$2:L$875,"MAN CORRETIVA*"),0)+IFERROR(SUMIFS('Base bordo CD'!M$2:M$875,'Base bordo CD'!D$2:D$875,A628,'Base bordo CD'!A$2:A$875,B628,'Base bordo CD'!L$2:L$875,"AGUARDANDO MANUTENCAO*"),0)+IFERROR(SUMIFS('Base bordo CD'!M$2:M$875,'Base bordo CD'!D$2:D$875,A628,'Base bordo CD'!A$2:A$875,B628,'Base bordo CD'!L$2:L$875,"TROCA DE FAQUINHA"),0)+IFERROR(SUMIFS('Base bordo CD'!M$2:M$875,'Base bordo CD'!D$2:D$875,A628,'Base bordo CD'!A$2:A$875,B628,'Base bordo CD'!L$2:L$875,"LIMPEZA*"),0)</f>
        <v>0</v>
      </c>
      <c r="L628" s="10">
        <f>IFERROR(SUMIFS('Base bordo CD'!M$2:M$875,'Base bordo CD'!D$2:D$875,A628,'Base bordo CD'!A$2:A$875,B628,'Base bordo CD'!L$2:L$875,"PATIO - RESERVA"),0)</f>
        <v>2.0319444444444441</v>
      </c>
      <c r="M628" s="10">
        <f>IFERROR(SUMIFS('Base bordo CD'!M$2:M$875,'Base bordo CD'!D$2:D$875,A628,'Base bordo CD'!A$2:A$875,B628,'Base bordo CD'!L$2:L$875,"SEM APONTAMENTO"),0)</f>
        <v>4.1216666666666661</v>
      </c>
      <c r="N628" s="10">
        <f>IFERROR(SUMIFS('Base bordo CD'!M$2:M$875,'Base bordo CD'!D$2:D$875,A628,'Base bordo CD'!A$2:A$875,B628,'Base bordo CD'!L$2:L$875,"FALTA DE CAMINHÃO"),0)+IFERROR(SUMIFS('Base bordo CD'!M$2:M$875,'Base bordo CD'!D$2:D$875,A628,'Base bordo CD'!A$2:A$875,B628,'Base bordo CD'!L$2:L$875,"FALTA DE COMBUSTIVEL"),0)+IFERROR(SUMIFS('Base bordo CD'!M$2:M$875,'Base bordo CD'!D$2:D$875,A628,'Base bordo CD'!A$2:A$875,B628,'Base bordo CD'!L$2:L$875,"FALTA DE MOTORIST*"),0)</f>
        <v>0</v>
      </c>
      <c r="O628" s="10">
        <f t="shared" si="50"/>
        <v>2.8152777777777764</v>
      </c>
      <c r="P628" s="10">
        <f>IFERROR(SUMIFS('Base bordo CD'!M$2:M$875,'Base bordo CD'!D$2:D$875,A628,'Base bordo CD'!A$2:A$875,B628),0)</f>
        <v>24</v>
      </c>
      <c r="Q628" s="10">
        <f>IFERROR(SUMIFS('Base bordo CD'!O$2:O$875,'Base bordo CD'!D$2:D$875,A628,'Base bordo CD'!A$2:A$875,B628,'Base bordo CD'!L$2:L$875,"CORTE DE CANA MECANIZADO"),0)</f>
        <v>0</v>
      </c>
      <c r="R628" s="10">
        <f>IFERROR(SUMIFS('Base bordo CD'!Q$2:Q$875,'Base bordo CD'!D$2:D$875,A628,'Base bordo CD'!A$2:A$875,B628,'Base bordo CD'!L$2:L$875,"CORTE DE CANA MECANIZADO"),0)</f>
        <v>0</v>
      </c>
      <c r="S628" s="30" t="str">
        <f t="shared" si="51"/>
        <v/>
      </c>
      <c r="T628" s="9">
        <f t="shared" si="52"/>
        <v>0</v>
      </c>
      <c r="U628" s="9">
        <f t="shared" si="53"/>
        <v>0</v>
      </c>
      <c r="V628" s="9">
        <f t="shared" si="54"/>
        <v>0.99099537037037033</v>
      </c>
    </row>
    <row r="629" spans="1:22" hidden="1" x14ac:dyDescent="0.35">
      <c r="A629" s="52">
        <v>49584</v>
      </c>
      <c r="B629" s="31">
        <v>46118</v>
      </c>
      <c r="C629" s="7" t="s">
        <v>321</v>
      </c>
      <c r="D629" s="7">
        <v>351</v>
      </c>
      <c r="E629" s="10">
        <f>IFERROR(SUMIFS('Base bordo CD'!M$2:M$875,'Base bordo CD'!D$2:D$875,A629,'Base bordo CD'!A$2:A$875,B629,'Base bordo CD'!L$2:L$875,"CORTE DE CANA MECANIZADO"),0)</f>
        <v>0</v>
      </c>
      <c r="F629" s="10">
        <f>IFERROR(SUMIFS('Base bordo CD'!M$2:M$875,'Base bordo CD'!D$2:D$875,A629,'Base bordo CD'!A$2:A$875,B629,'Base bordo CD'!L$2:L$875,"MANOBRA"),0)</f>
        <v>0</v>
      </c>
      <c r="G629" s="10">
        <f>IFERROR(SUMIFS('Base bordo CD'!M$2:M$875,'Base bordo CD'!D$2:D$875,A629,'Base bordo CD'!A$2:A$875,B629,'Base bordo CD'!L$2:L$875,"DESLOCAMENTO"),0)</f>
        <v>0.21611111111111111</v>
      </c>
      <c r="H629" s="10">
        <f>IFERROR(SUMIFS('Base bordo CD'!M$2:M$875,'Base bordo CD'!D$2:D$875,A629,'Base bordo CD'!A$2:A$875,B629,'Base bordo CD'!L$2:L$875,"AGUARDANDO MANOBRA DE TRANSBORDO"),0)+IFERROR(SUMIFS('Base bordo CD'!M$2:M$875,'Base bordo CD'!D$2:D$875,A629,'Base bordo CD'!A$2:A$875,B629,'Base bordo CD'!L$2:L$875,"FALTA DE TRANSBORDO"),0)</f>
        <v>0</v>
      </c>
      <c r="I629" s="10">
        <f>IFERROR(SUMIFS('Base bordo CD'!M$2:M$875,'Base bordo CD'!D$2:D$875,A629,'Base bordo CD'!A$2:A$875,B629,'Base bordo CD'!L$2:L$875,"PARADA POR CONDICOES CLIMATICAS"),0)+IFERROR(SUMIFS('Base bordo CD'!M$2:M$875,'Base bordo CD'!D$2:D$875,A629,'Base bordo CD'!A$2:A$875,B629,'Base bordo CD'!L$2:L$875,"TEMPO INDETERMINADO"),0)</f>
        <v>5.6375000000000002</v>
      </c>
      <c r="J629" s="10">
        <f>IFERROR(SUMIFS('Base bordo CD'!M$2:M$875,'Base bordo CD'!D$2:D$875,A629,'Base bordo CD'!A$2:A$875,B629,'Base bordo CD'!L$2:L$875,"LIMITAÇÃO INDÚSTRIA"),0)</f>
        <v>9.1775000000000002</v>
      </c>
      <c r="K629" s="10">
        <f>IFERROR(SUMIFS('Base bordo CD'!M$2:M$875,'Base bordo CD'!D$2:D$875,A629,'Base bordo CD'!A$2:A$875,B629,'Base bordo CD'!L$2:L$875,"MAN CORRETIVA*"),0)+IFERROR(SUMIFS('Base bordo CD'!M$2:M$875,'Base bordo CD'!D$2:D$875,A629,'Base bordo CD'!A$2:A$875,B629,'Base bordo CD'!L$2:L$875,"AGUARDANDO MANUTENCAO*"),0)+IFERROR(SUMIFS('Base bordo CD'!M$2:M$875,'Base bordo CD'!D$2:D$875,A629,'Base bordo CD'!A$2:A$875,B629,'Base bordo CD'!L$2:L$875,"TROCA DE FAQUINHA"),0)+IFERROR(SUMIFS('Base bordo CD'!M$2:M$875,'Base bordo CD'!D$2:D$875,A629,'Base bordo CD'!A$2:A$875,B629,'Base bordo CD'!L$2:L$875,"LIMPEZA*"),0)</f>
        <v>0</v>
      </c>
      <c r="L629" s="10">
        <f>IFERROR(SUMIFS('Base bordo CD'!M$2:M$875,'Base bordo CD'!D$2:D$875,A629,'Base bordo CD'!A$2:A$875,B629,'Base bordo CD'!L$2:L$875,"PATIO - RESERVA"),0)</f>
        <v>2.0319444444444441</v>
      </c>
      <c r="M629" s="10">
        <f>IFERROR(SUMIFS('Base bordo CD'!M$2:M$875,'Base bordo CD'!D$2:D$875,A629,'Base bordo CD'!A$2:A$875,B629,'Base bordo CD'!L$2:L$875,"SEM APONTAMENTO"),0)</f>
        <v>4.1216666666666661</v>
      </c>
      <c r="N629" s="10">
        <f>IFERROR(SUMIFS('Base bordo CD'!M$2:M$875,'Base bordo CD'!D$2:D$875,A629,'Base bordo CD'!A$2:A$875,B629,'Base bordo CD'!L$2:L$875,"FALTA DE CAMINHÃO"),0)+IFERROR(SUMIFS('Base bordo CD'!M$2:M$875,'Base bordo CD'!D$2:D$875,A629,'Base bordo CD'!A$2:A$875,B629,'Base bordo CD'!L$2:L$875,"FALTA DE COMBUSTIVEL"),0)+IFERROR(SUMIFS('Base bordo CD'!M$2:M$875,'Base bordo CD'!D$2:D$875,A629,'Base bordo CD'!A$2:A$875,B629,'Base bordo CD'!L$2:L$875,"FALTA DE MOTORIST*"),0)</f>
        <v>0</v>
      </c>
      <c r="O629" s="10">
        <f t="shared" si="50"/>
        <v>2.8152777777777764</v>
      </c>
      <c r="P629" s="10">
        <f>IFERROR(SUMIFS('Base bordo CD'!M$2:M$875,'Base bordo CD'!D$2:D$875,A629,'Base bordo CD'!A$2:A$875,B629),0)</f>
        <v>24</v>
      </c>
      <c r="Q629" s="10">
        <f>IFERROR(SUMIFS('Base bordo CD'!O$2:O$875,'Base bordo CD'!D$2:D$875,A629,'Base bordo CD'!A$2:A$875,B629,'Base bordo CD'!L$2:L$875,"CORTE DE CANA MECANIZADO"),0)</f>
        <v>0</v>
      </c>
      <c r="R629" s="10">
        <f>IFERROR(SUMIFS('Base bordo CD'!Q$2:Q$875,'Base bordo CD'!D$2:D$875,A629,'Base bordo CD'!A$2:A$875,B629,'Base bordo CD'!L$2:L$875,"CORTE DE CANA MECANIZADO"),0)</f>
        <v>0</v>
      </c>
      <c r="S629" s="30" t="str">
        <f t="shared" si="51"/>
        <v/>
      </c>
      <c r="T629" s="9">
        <f t="shared" si="52"/>
        <v>0</v>
      </c>
      <c r="U629" s="9">
        <f t="shared" si="53"/>
        <v>0</v>
      </c>
      <c r="V629" s="9">
        <f t="shared" si="54"/>
        <v>0.99099537037037033</v>
      </c>
    </row>
    <row r="630" spans="1:22" hidden="1" x14ac:dyDescent="0.35">
      <c r="A630" s="52">
        <v>49584</v>
      </c>
      <c r="B630" s="31">
        <v>46118</v>
      </c>
      <c r="C630" s="7" t="s">
        <v>321</v>
      </c>
      <c r="D630" s="7">
        <v>351</v>
      </c>
      <c r="E630" s="10">
        <f>IFERROR(SUMIFS('Base bordo CD'!M$2:M$875,'Base bordo CD'!D$2:D$875,A630,'Base bordo CD'!A$2:A$875,B630,'Base bordo CD'!L$2:L$875,"CORTE DE CANA MECANIZADO"),0)</f>
        <v>0</v>
      </c>
      <c r="F630" s="10">
        <f>IFERROR(SUMIFS('Base bordo CD'!M$2:M$875,'Base bordo CD'!D$2:D$875,A630,'Base bordo CD'!A$2:A$875,B630,'Base bordo CD'!L$2:L$875,"MANOBRA"),0)</f>
        <v>0</v>
      </c>
      <c r="G630" s="10">
        <f>IFERROR(SUMIFS('Base bordo CD'!M$2:M$875,'Base bordo CD'!D$2:D$875,A630,'Base bordo CD'!A$2:A$875,B630,'Base bordo CD'!L$2:L$875,"DESLOCAMENTO"),0)</f>
        <v>0.21611111111111111</v>
      </c>
      <c r="H630" s="10">
        <f>IFERROR(SUMIFS('Base bordo CD'!M$2:M$875,'Base bordo CD'!D$2:D$875,A630,'Base bordo CD'!A$2:A$875,B630,'Base bordo CD'!L$2:L$875,"AGUARDANDO MANOBRA DE TRANSBORDO"),0)+IFERROR(SUMIFS('Base bordo CD'!M$2:M$875,'Base bordo CD'!D$2:D$875,A630,'Base bordo CD'!A$2:A$875,B630,'Base bordo CD'!L$2:L$875,"FALTA DE TRANSBORDO"),0)</f>
        <v>0</v>
      </c>
      <c r="I630" s="10">
        <f>IFERROR(SUMIFS('Base bordo CD'!M$2:M$875,'Base bordo CD'!D$2:D$875,A630,'Base bordo CD'!A$2:A$875,B630,'Base bordo CD'!L$2:L$875,"PARADA POR CONDICOES CLIMATICAS"),0)+IFERROR(SUMIFS('Base bordo CD'!M$2:M$875,'Base bordo CD'!D$2:D$875,A630,'Base bordo CD'!A$2:A$875,B630,'Base bordo CD'!L$2:L$875,"TEMPO INDETERMINADO"),0)</f>
        <v>5.6375000000000002</v>
      </c>
      <c r="J630" s="10">
        <f>IFERROR(SUMIFS('Base bordo CD'!M$2:M$875,'Base bordo CD'!D$2:D$875,A630,'Base bordo CD'!A$2:A$875,B630,'Base bordo CD'!L$2:L$875,"LIMITAÇÃO INDÚSTRIA"),0)</f>
        <v>9.1775000000000002</v>
      </c>
      <c r="K630" s="10">
        <f>IFERROR(SUMIFS('Base bordo CD'!M$2:M$875,'Base bordo CD'!D$2:D$875,A630,'Base bordo CD'!A$2:A$875,B630,'Base bordo CD'!L$2:L$875,"MAN CORRETIVA*"),0)+IFERROR(SUMIFS('Base bordo CD'!M$2:M$875,'Base bordo CD'!D$2:D$875,A630,'Base bordo CD'!A$2:A$875,B630,'Base bordo CD'!L$2:L$875,"AGUARDANDO MANUTENCAO*"),0)+IFERROR(SUMIFS('Base bordo CD'!M$2:M$875,'Base bordo CD'!D$2:D$875,A630,'Base bordo CD'!A$2:A$875,B630,'Base bordo CD'!L$2:L$875,"TROCA DE FAQUINHA"),0)+IFERROR(SUMIFS('Base bordo CD'!M$2:M$875,'Base bordo CD'!D$2:D$875,A630,'Base bordo CD'!A$2:A$875,B630,'Base bordo CD'!L$2:L$875,"LIMPEZA*"),0)</f>
        <v>0</v>
      </c>
      <c r="L630" s="10">
        <f>IFERROR(SUMIFS('Base bordo CD'!M$2:M$875,'Base bordo CD'!D$2:D$875,A630,'Base bordo CD'!A$2:A$875,B630,'Base bordo CD'!L$2:L$875,"PATIO - RESERVA"),0)</f>
        <v>2.0319444444444441</v>
      </c>
      <c r="M630" s="10">
        <f>IFERROR(SUMIFS('Base bordo CD'!M$2:M$875,'Base bordo CD'!D$2:D$875,A630,'Base bordo CD'!A$2:A$875,B630,'Base bordo CD'!L$2:L$875,"SEM APONTAMENTO"),0)</f>
        <v>4.1216666666666661</v>
      </c>
      <c r="N630" s="10">
        <f>IFERROR(SUMIFS('Base bordo CD'!M$2:M$875,'Base bordo CD'!D$2:D$875,A630,'Base bordo CD'!A$2:A$875,B630,'Base bordo CD'!L$2:L$875,"FALTA DE CAMINHÃO"),0)+IFERROR(SUMIFS('Base bordo CD'!M$2:M$875,'Base bordo CD'!D$2:D$875,A630,'Base bordo CD'!A$2:A$875,B630,'Base bordo CD'!L$2:L$875,"FALTA DE COMBUSTIVEL"),0)+IFERROR(SUMIFS('Base bordo CD'!M$2:M$875,'Base bordo CD'!D$2:D$875,A630,'Base bordo CD'!A$2:A$875,B630,'Base bordo CD'!L$2:L$875,"FALTA DE MOTORIST*"),0)</f>
        <v>0</v>
      </c>
      <c r="O630" s="10">
        <f t="shared" si="50"/>
        <v>2.8152777777777764</v>
      </c>
      <c r="P630" s="10">
        <f>IFERROR(SUMIFS('Base bordo CD'!M$2:M$875,'Base bordo CD'!D$2:D$875,A630,'Base bordo CD'!A$2:A$875,B630),0)</f>
        <v>24</v>
      </c>
      <c r="Q630" s="10">
        <f>IFERROR(SUMIFS('Base bordo CD'!O$2:O$875,'Base bordo CD'!D$2:D$875,A630,'Base bordo CD'!A$2:A$875,B630,'Base bordo CD'!L$2:L$875,"CORTE DE CANA MECANIZADO"),0)</f>
        <v>0</v>
      </c>
      <c r="R630" s="10">
        <f>IFERROR(SUMIFS('Base bordo CD'!Q$2:Q$875,'Base bordo CD'!D$2:D$875,A630,'Base bordo CD'!A$2:A$875,B630,'Base bordo CD'!L$2:L$875,"CORTE DE CANA MECANIZADO"),0)</f>
        <v>0</v>
      </c>
      <c r="S630" s="30" t="str">
        <f t="shared" si="51"/>
        <v/>
      </c>
      <c r="T630" s="9">
        <f t="shared" si="52"/>
        <v>0</v>
      </c>
      <c r="U630" s="9">
        <f t="shared" si="53"/>
        <v>0</v>
      </c>
      <c r="V630" s="9">
        <f t="shared" si="54"/>
        <v>0.99099537037037033</v>
      </c>
    </row>
    <row r="631" spans="1:22" x14ac:dyDescent="0.35">
      <c r="A631" s="52">
        <v>49587</v>
      </c>
      <c r="B631" s="31">
        <v>46118</v>
      </c>
      <c r="C631" s="7" t="s">
        <v>337</v>
      </c>
      <c r="D631" s="7">
        <v>353</v>
      </c>
      <c r="E631" s="10">
        <f>IFERROR(SUMIFS('Base bordo CD'!M$2:M$875,'Base bordo CD'!D$2:D$875,A631,'Base bordo CD'!A$2:A$875,B631,'Base bordo CD'!L$2:L$875,"CORTE DE CANA MECANIZADO"),0)</f>
        <v>1.8822222222222222</v>
      </c>
      <c r="F631" s="10">
        <f>IFERROR(SUMIFS('Base bordo CD'!M$2:M$875,'Base bordo CD'!D$2:D$875,A631,'Base bordo CD'!A$2:A$875,B631,'Base bordo CD'!L$2:L$875,"MANOBRA"),0)</f>
        <v>0.96111111111111103</v>
      </c>
      <c r="G631" s="10">
        <f>IFERROR(SUMIFS('Base bordo CD'!M$2:M$875,'Base bordo CD'!D$2:D$875,A631,'Base bordo CD'!A$2:A$875,B631,'Base bordo CD'!L$2:L$875,"DESLOCAMENTO"),0)</f>
        <v>0.12388888888888888</v>
      </c>
      <c r="H631" s="10">
        <f>IFERROR(SUMIFS('Base bordo CD'!M$2:M$875,'Base bordo CD'!D$2:D$875,A631,'Base bordo CD'!A$2:A$875,B631,'Base bordo CD'!L$2:L$875,"AGUARDANDO MANOBRA DE TRANSBORDO"),0)+IFERROR(SUMIFS('Base bordo CD'!M$2:M$875,'Base bordo CD'!D$2:D$875,A631,'Base bordo CD'!A$2:A$875,B631,'Base bordo CD'!L$2:L$875,"FALTA DE TRANSBORDO"),0)</f>
        <v>0</v>
      </c>
      <c r="I631" s="10">
        <f>IFERROR(SUMIFS('Base bordo CD'!M$2:M$875,'Base bordo CD'!D$2:D$875,A631,'Base bordo CD'!A$2:A$875,B631,'Base bordo CD'!L$2:L$875,"PARADA POR CONDICOES CLIMATICAS"),0)+IFERROR(SUMIFS('Base bordo CD'!M$2:M$875,'Base bordo CD'!D$2:D$875,A631,'Base bordo CD'!A$2:A$875,B631,'Base bordo CD'!L$2:L$875,"TEMPO INDETERMINADO"),0)</f>
        <v>2.4319444444444445</v>
      </c>
      <c r="J631" s="10">
        <f>IFERROR(SUMIFS('Base bordo CD'!M$2:M$875,'Base bordo CD'!D$2:D$875,A631,'Base bordo CD'!A$2:A$875,B631,'Base bordo CD'!L$2:L$875,"LIMITAÇÃO INDÚSTRIA"),0)</f>
        <v>15.731666666666667</v>
      </c>
      <c r="K631" s="10">
        <f>IFERROR(SUMIFS('Base bordo CD'!M$2:M$875,'Base bordo CD'!D$2:D$875,A631,'Base bordo CD'!A$2:A$875,B631,'Base bordo CD'!L$2:L$875,"MAN CORRETIVA*"),0)+IFERROR(SUMIFS('Base bordo CD'!M$2:M$875,'Base bordo CD'!D$2:D$875,A631,'Base bordo CD'!A$2:A$875,B631,'Base bordo CD'!L$2:L$875,"AGUARDANDO MANUTENCAO*"),0)+IFERROR(SUMIFS('Base bordo CD'!M$2:M$875,'Base bordo CD'!D$2:D$875,A631,'Base bordo CD'!A$2:A$875,B631,'Base bordo CD'!L$2:L$875,"TROCA DE FAQUINHA"),0)+IFERROR(SUMIFS('Base bordo CD'!M$2:M$875,'Base bordo CD'!D$2:D$875,A631,'Base bordo CD'!A$2:A$875,B631,'Base bordo CD'!L$2:L$875,"LIMPEZA*"),0)</f>
        <v>2.7750000000000004</v>
      </c>
      <c r="L631" s="10">
        <f>IFERROR(SUMIFS('Base bordo CD'!M$2:M$875,'Base bordo CD'!D$2:D$875,A631,'Base bordo CD'!A$2:A$875,B631,'Base bordo CD'!L$2:L$875,"PATIO - RESERVA"),0)</f>
        <v>0</v>
      </c>
      <c r="M631" s="10">
        <f>IFERROR(SUMIFS('Base bordo CD'!M$2:M$875,'Base bordo CD'!D$2:D$875,A631,'Base bordo CD'!A$2:A$875,B631,'Base bordo CD'!L$2:L$875,"SEM APONTAMENTO"),0)</f>
        <v>9.4166666666666662E-2</v>
      </c>
      <c r="N631" s="10">
        <f>IFERROR(SUMIFS('Base bordo CD'!M$2:M$875,'Base bordo CD'!D$2:D$875,A631,'Base bordo CD'!A$2:A$875,B631,'Base bordo CD'!L$2:L$875,"FALTA DE CAMINHÃO"),0)+IFERROR(SUMIFS('Base bordo CD'!M$2:M$875,'Base bordo CD'!D$2:D$875,A631,'Base bordo CD'!A$2:A$875,B631,'Base bordo CD'!L$2:L$875,"FALTA DE COMBUSTIVEL"),0)+IFERROR(SUMIFS('Base bordo CD'!M$2:M$875,'Base bordo CD'!D$2:D$875,A631,'Base bordo CD'!A$2:A$875,B631,'Base bordo CD'!L$2:L$875,"FALTA DE MOTORIST*"),0)</f>
        <v>0</v>
      </c>
      <c r="O631" s="10">
        <f t="shared" si="50"/>
        <v>0</v>
      </c>
      <c r="P631" s="10">
        <f>IFERROR(SUMIFS('Base bordo CD'!M$2:M$875,'Base bordo CD'!D$2:D$875,A631,'Base bordo CD'!A$2:A$875,B631),0)</f>
        <v>24</v>
      </c>
      <c r="Q631" s="10">
        <f>IFERROR(SUMIFS('Base bordo CD'!O$2:O$875,'Base bordo CD'!D$2:D$875,A631,'Base bordo CD'!A$2:A$875,B631,'Base bordo CD'!L$2:L$875,"CORTE DE CANA MECANIZADO"),0)</f>
        <v>24358.739999999998</v>
      </c>
      <c r="R631" s="10">
        <f>IFERROR(SUMIFS('Base bordo CD'!Q$2:Q$875,'Base bordo CD'!D$2:D$875,A631,'Base bordo CD'!A$2:A$875,B631,'Base bordo CD'!L$2:L$875,"CORTE DE CANA MECANIZADO"),0)</f>
        <v>6775</v>
      </c>
      <c r="S631" s="30">
        <f t="shared" si="51"/>
        <v>3.5953859778597783</v>
      </c>
      <c r="T631" s="9">
        <f t="shared" si="52"/>
        <v>7.8425925925925927E-2</v>
      </c>
      <c r="U631" s="9">
        <f t="shared" si="53"/>
        <v>4.0046296296296295E-2</v>
      </c>
      <c r="V631" s="9">
        <f t="shared" si="54"/>
        <v>0.916412037037037</v>
      </c>
    </row>
    <row r="632" spans="1:22" x14ac:dyDescent="0.35">
      <c r="A632" s="52">
        <v>49587</v>
      </c>
      <c r="B632" s="31">
        <v>46118</v>
      </c>
      <c r="C632" s="7" t="s">
        <v>337</v>
      </c>
      <c r="D632" s="7">
        <v>353</v>
      </c>
      <c r="E632" s="10">
        <f>IFERROR(SUMIFS('Base bordo CD'!M$2:M$875,'Base bordo CD'!D$2:D$875,A632,'Base bordo CD'!A$2:A$875,B632,'Base bordo CD'!L$2:L$875,"CORTE DE CANA MECANIZADO"),0)</f>
        <v>1.8822222222222222</v>
      </c>
      <c r="F632" s="10">
        <f>IFERROR(SUMIFS('Base bordo CD'!M$2:M$875,'Base bordo CD'!D$2:D$875,A632,'Base bordo CD'!A$2:A$875,B632,'Base bordo CD'!L$2:L$875,"MANOBRA"),0)</f>
        <v>0.96111111111111103</v>
      </c>
      <c r="G632" s="10">
        <f>IFERROR(SUMIFS('Base bordo CD'!M$2:M$875,'Base bordo CD'!D$2:D$875,A632,'Base bordo CD'!A$2:A$875,B632,'Base bordo CD'!L$2:L$875,"DESLOCAMENTO"),0)</f>
        <v>0.12388888888888888</v>
      </c>
      <c r="H632" s="10">
        <f>IFERROR(SUMIFS('Base bordo CD'!M$2:M$875,'Base bordo CD'!D$2:D$875,A632,'Base bordo CD'!A$2:A$875,B632,'Base bordo CD'!L$2:L$875,"AGUARDANDO MANOBRA DE TRANSBORDO"),0)+IFERROR(SUMIFS('Base bordo CD'!M$2:M$875,'Base bordo CD'!D$2:D$875,A632,'Base bordo CD'!A$2:A$875,B632,'Base bordo CD'!L$2:L$875,"FALTA DE TRANSBORDO"),0)</f>
        <v>0</v>
      </c>
      <c r="I632" s="10">
        <f>IFERROR(SUMIFS('Base bordo CD'!M$2:M$875,'Base bordo CD'!D$2:D$875,A632,'Base bordo CD'!A$2:A$875,B632,'Base bordo CD'!L$2:L$875,"PARADA POR CONDICOES CLIMATICAS"),0)+IFERROR(SUMIFS('Base bordo CD'!M$2:M$875,'Base bordo CD'!D$2:D$875,A632,'Base bordo CD'!A$2:A$875,B632,'Base bordo CD'!L$2:L$875,"TEMPO INDETERMINADO"),0)</f>
        <v>2.4319444444444445</v>
      </c>
      <c r="J632" s="10">
        <f>IFERROR(SUMIFS('Base bordo CD'!M$2:M$875,'Base bordo CD'!D$2:D$875,A632,'Base bordo CD'!A$2:A$875,B632,'Base bordo CD'!L$2:L$875,"LIMITAÇÃO INDÚSTRIA"),0)</f>
        <v>15.731666666666667</v>
      </c>
      <c r="K632" s="10">
        <f>IFERROR(SUMIFS('Base bordo CD'!M$2:M$875,'Base bordo CD'!D$2:D$875,A632,'Base bordo CD'!A$2:A$875,B632,'Base bordo CD'!L$2:L$875,"MAN CORRETIVA*"),0)+IFERROR(SUMIFS('Base bordo CD'!M$2:M$875,'Base bordo CD'!D$2:D$875,A632,'Base bordo CD'!A$2:A$875,B632,'Base bordo CD'!L$2:L$875,"AGUARDANDO MANUTENCAO*"),0)+IFERROR(SUMIFS('Base bordo CD'!M$2:M$875,'Base bordo CD'!D$2:D$875,A632,'Base bordo CD'!A$2:A$875,B632,'Base bordo CD'!L$2:L$875,"TROCA DE FAQUINHA"),0)+IFERROR(SUMIFS('Base bordo CD'!M$2:M$875,'Base bordo CD'!D$2:D$875,A632,'Base bordo CD'!A$2:A$875,B632,'Base bordo CD'!L$2:L$875,"LIMPEZA*"),0)</f>
        <v>2.7750000000000004</v>
      </c>
      <c r="L632" s="10">
        <f>IFERROR(SUMIFS('Base bordo CD'!M$2:M$875,'Base bordo CD'!D$2:D$875,A632,'Base bordo CD'!A$2:A$875,B632,'Base bordo CD'!L$2:L$875,"PATIO - RESERVA"),0)</f>
        <v>0</v>
      </c>
      <c r="M632" s="10">
        <f>IFERROR(SUMIFS('Base bordo CD'!M$2:M$875,'Base bordo CD'!D$2:D$875,A632,'Base bordo CD'!A$2:A$875,B632,'Base bordo CD'!L$2:L$875,"SEM APONTAMENTO"),0)</f>
        <v>9.4166666666666662E-2</v>
      </c>
      <c r="N632" s="10">
        <f>IFERROR(SUMIFS('Base bordo CD'!M$2:M$875,'Base bordo CD'!D$2:D$875,A632,'Base bordo CD'!A$2:A$875,B632,'Base bordo CD'!L$2:L$875,"FALTA DE CAMINHÃO"),0)+IFERROR(SUMIFS('Base bordo CD'!M$2:M$875,'Base bordo CD'!D$2:D$875,A632,'Base bordo CD'!A$2:A$875,B632,'Base bordo CD'!L$2:L$875,"FALTA DE COMBUSTIVEL"),0)+IFERROR(SUMIFS('Base bordo CD'!M$2:M$875,'Base bordo CD'!D$2:D$875,A632,'Base bordo CD'!A$2:A$875,B632,'Base bordo CD'!L$2:L$875,"FALTA DE MOTORIST*"),0)</f>
        <v>0</v>
      </c>
      <c r="O632" s="10">
        <f t="shared" si="50"/>
        <v>0</v>
      </c>
      <c r="P632" s="10">
        <f>IFERROR(SUMIFS('Base bordo CD'!M$2:M$875,'Base bordo CD'!D$2:D$875,A632,'Base bordo CD'!A$2:A$875,B632),0)</f>
        <v>24</v>
      </c>
      <c r="Q632" s="10">
        <f>IFERROR(SUMIFS('Base bordo CD'!O$2:O$875,'Base bordo CD'!D$2:D$875,A632,'Base bordo CD'!A$2:A$875,B632,'Base bordo CD'!L$2:L$875,"CORTE DE CANA MECANIZADO"),0)</f>
        <v>24358.739999999998</v>
      </c>
      <c r="R632" s="10">
        <f>IFERROR(SUMIFS('Base bordo CD'!Q$2:Q$875,'Base bordo CD'!D$2:D$875,A632,'Base bordo CD'!A$2:A$875,B632,'Base bordo CD'!L$2:L$875,"CORTE DE CANA MECANIZADO"),0)</f>
        <v>6775</v>
      </c>
      <c r="S632" s="30">
        <f t="shared" si="51"/>
        <v>3.5953859778597783</v>
      </c>
      <c r="T632" s="9">
        <f t="shared" si="52"/>
        <v>7.8425925925925927E-2</v>
      </c>
      <c r="U632" s="9">
        <f t="shared" si="53"/>
        <v>4.0046296296296295E-2</v>
      </c>
      <c r="V632" s="9">
        <f t="shared" si="54"/>
        <v>0.916412037037037</v>
      </c>
    </row>
    <row r="633" spans="1:22" x14ac:dyDescent="0.35">
      <c r="A633" s="52">
        <v>49587</v>
      </c>
      <c r="B633" s="31">
        <v>46118</v>
      </c>
      <c r="C633" s="7" t="s">
        <v>337</v>
      </c>
      <c r="D633" s="7">
        <v>353</v>
      </c>
      <c r="E633" s="10">
        <f>IFERROR(SUMIFS('Base bordo CD'!M$2:M$875,'Base bordo CD'!D$2:D$875,A633,'Base bordo CD'!A$2:A$875,B633,'Base bordo CD'!L$2:L$875,"CORTE DE CANA MECANIZADO"),0)</f>
        <v>1.8822222222222222</v>
      </c>
      <c r="F633" s="10">
        <f>IFERROR(SUMIFS('Base bordo CD'!M$2:M$875,'Base bordo CD'!D$2:D$875,A633,'Base bordo CD'!A$2:A$875,B633,'Base bordo CD'!L$2:L$875,"MANOBRA"),0)</f>
        <v>0.96111111111111103</v>
      </c>
      <c r="G633" s="10">
        <f>IFERROR(SUMIFS('Base bordo CD'!M$2:M$875,'Base bordo CD'!D$2:D$875,A633,'Base bordo CD'!A$2:A$875,B633,'Base bordo CD'!L$2:L$875,"DESLOCAMENTO"),0)</f>
        <v>0.12388888888888888</v>
      </c>
      <c r="H633" s="10">
        <f>IFERROR(SUMIFS('Base bordo CD'!M$2:M$875,'Base bordo CD'!D$2:D$875,A633,'Base bordo CD'!A$2:A$875,B633,'Base bordo CD'!L$2:L$875,"AGUARDANDO MANOBRA DE TRANSBORDO"),0)+IFERROR(SUMIFS('Base bordo CD'!M$2:M$875,'Base bordo CD'!D$2:D$875,A633,'Base bordo CD'!A$2:A$875,B633,'Base bordo CD'!L$2:L$875,"FALTA DE TRANSBORDO"),0)</f>
        <v>0</v>
      </c>
      <c r="I633" s="10">
        <f>IFERROR(SUMIFS('Base bordo CD'!M$2:M$875,'Base bordo CD'!D$2:D$875,A633,'Base bordo CD'!A$2:A$875,B633,'Base bordo CD'!L$2:L$875,"PARADA POR CONDICOES CLIMATICAS"),0)+IFERROR(SUMIFS('Base bordo CD'!M$2:M$875,'Base bordo CD'!D$2:D$875,A633,'Base bordo CD'!A$2:A$875,B633,'Base bordo CD'!L$2:L$875,"TEMPO INDETERMINADO"),0)</f>
        <v>2.4319444444444445</v>
      </c>
      <c r="J633" s="10">
        <f>IFERROR(SUMIFS('Base bordo CD'!M$2:M$875,'Base bordo CD'!D$2:D$875,A633,'Base bordo CD'!A$2:A$875,B633,'Base bordo CD'!L$2:L$875,"LIMITAÇÃO INDÚSTRIA"),0)</f>
        <v>15.731666666666667</v>
      </c>
      <c r="K633" s="10">
        <f>IFERROR(SUMIFS('Base bordo CD'!M$2:M$875,'Base bordo CD'!D$2:D$875,A633,'Base bordo CD'!A$2:A$875,B633,'Base bordo CD'!L$2:L$875,"MAN CORRETIVA*"),0)+IFERROR(SUMIFS('Base bordo CD'!M$2:M$875,'Base bordo CD'!D$2:D$875,A633,'Base bordo CD'!A$2:A$875,B633,'Base bordo CD'!L$2:L$875,"AGUARDANDO MANUTENCAO*"),0)+IFERROR(SUMIFS('Base bordo CD'!M$2:M$875,'Base bordo CD'!D$2:D$875,A633,'Base bordo CD'!A$2:A$875,B633,'Base bordo CD'!L$2:L$875,"TROCA DE FAQUINHA"),0)+IFERROR(SUMIFS('Base bordo CD'!M$2:M$875,'Base bordo CD'!D$2:D$875,A633,'Base bordo CD'!A$2:A$875,B633,'Base bordo CD'!L$2:L$875,"LIMPEZA*"),0)</f>
        <v>2.7750000000000004</v>
      </c>
      <c r="L633" s="10">
        <f>IFERROR(SUMIFS('Base bordo CD'!M$2:M$875,'Base bordo CD'!D$2:D$875,A633,'Base bordo CD'!A$2:A$875,B633,'Base bordo CD'!L$2:L$875,"PATIO - RESERVA"),0)</f>
        <v>0</v>
      </c>
      <c r="M633" s="10">
        <f>IFERROR(SUMIFS('Base bordo CD'!M$2:M$875,'Base bordo CD'!D$2:D$875,A633,'Base bordo CD'!A$2:A$875,B633,'Base bordo CD'!L$2:L$875,"SEM APONTAMENTO"),0)</f>
        <v>9.4166666666666662E-2</v>
      </c>
      <c r="N633" s="10">
        <f>IFERROR(SUMIFS('Base bordo CD'!M$2:M$875,'Base bordo CD'!D$2:D$875,A633,'Base bordo CD'!A$2:A$875,B633,'Base bordo CD'!L$2:L$875,"FALTA DE CAMINHÃO"),0)+IFERROR(SUMIFS('Base bordo CD'!M$2:M$875,'Base bordo CD'!D$2:D$875,A633,'Base bordo CD'!A$2:A$875,B633,'Base bordo CD'!L$2:L$875,"FALTA DE COMBUSTIVEL"),0)+IFERROR(SUMIFS('Base bordo CD'!M$2:M$875,'Base bordo CD'!D$2:D$875,A633,'Base bordo CD'!A$2:A$875,B633,'Base bordo CD'!L$2:L$875,"FALTA DE MOTORIST*"),0)</f>
        <v>0</v>
      </c>
      <c r="O633" s="10">
        <f t="shared" si="50"/>
        <v>0</v>
      </c>
      <c r="P633" s="10">
        <f>IFERROR(SUMIFS('Base bordo CD'!M$2:M$875,'Base bordo CD'!D$2:D$875,A633,'Base bordo CD'!A$2:A$875,B633),0)</f>
        <v>24</v>
      </c>
      <c r="Q633" s="10">
        <f>IFERROR(SUMIFS('Base bordo CD'!O$2:O$875,'Base bordo CD'!D$2:D$875,A633,'Base bordo CD'!A$2:A$875,B633,'Base bordo CD'!L$2:L$875,"CORTE DE CANA MECANIZADO"),0)</f>
        <v>24358.739999999998</v>
      </c>
      <c r="R633" s="10">
        <f>IFERROR(SUMIFS('Base bordo CD'!Q$2:Q$875,'Base bordo CD'!D$2:D$875,A633,'Base bordo CD'!A$2:A$875,B633,'Base bordo CD'!L$2:L$875,"CORTE DE CANA MECANIZADO"),0)</f>
        <v>6775</v>
      </c>
      <c r="S633" s="30">
        <f t="shared" si="51"/>
        <v>3.5953859778597783</v>
      </c>
      <c r="T633" s="9">
        <f t="shared" si="52"/>
        <v>7.8425925925925927E-2</v>
      </c>
      <c r="U633" s="9">
        <f t="shared" si="53"/>
        <v>4.0046296296296295E-2</v>
      </c>
      <c r="V633" s="9">
        <f t="shared" si="54"/>
        <v>0.916412037037037</v>
      </c>
    </row>
    <row r="634" spans="1:22" x14ac:dyDescent="0.35">
      <c r="A634" s="52">
        <v>49587</v>
      </c>
      <c r="B634" s="31">
        <v>46118</v>
      </c>
      <c r="C634" s="7" t="s">
        <v>337</v>
      </c>
      <c r="D634" s="7">
        <v>353</v>
      </c>
      <c r="E634" s="10">
        <f>IFERROR(SUMIFS('Base bordo CD'!M$2:M$875,'Base bordo CD'!D$2:D$875,A634,'Base bordo CD'!A$2:A$875,B634,'Base bordo CD'!L$2:L$875,"CORTE DE CANA MECANIZADO"),0)</f>
        <v>1.8822222222222222</v>
      </c>
      <c r="F634" s="10">
        <f>IFERROR(SUMIFS('Base bordo CD'!M$2:M$875,'Base bordo CD'!D$2:D$875,A634,'Base bordo CD'!A$2:A$875,B634,'Base bordo CD'!L$2:L$875,"MANOBRA"),0)</f>
        <v>0.96111111111111103</v>
      </c>
      <c r="G634" s="10">
        <f>IFERROR(SUMIFS('Base bordo CD'!M$2:M$875,'Base bordo CD'!D$2:D$875,A634,'Base bordo CD'!A$2:A$875,B634,'Base bordo CD'!L$2:L$875,"DESLOCAMENTO"),0)</f>
        <v>0.12388888888888888</v>
      </c>
      <c r="H634" s="10">
        <f>IFERROR(SUMIFS('Base bordo CD'!M$2:M$875,'Base bordo CD'!D$2:D$875,A634,'Base bordo CD'!A$2:A$875,B634,'Base bordo CD'!L$2:L$875,"AGUARDANDO MANOBRA DE TRANSBORDO"),0)+IFERROR(SUMIFS('Base bordo CD'!M$2:M$875,'Base bordo CD'!D$2:D$875,A634,'Base bordo CD'!A$2:A$875,B634,'Base bordo CD'!L$2:L$875,"FALTA DE TRANSBORDO"),0)</f>
        <v>0</v>
      </c>
      <c r="I634" s="10">
        <f>IFERROR(SUMIFS('Base bordo CD'!M$2:M$875,'Base bordo CD'!D$2:D$875,A634,'Base bordo CD'!A$2:A$875,B634,'Base bordo CD'!L$2:L$875,"PARADA POR CONDICOES CLIMATICAS"),0)+IFERROR(SUMIFS('Base bordo CD'!M$2:M$875,'Base bordo CD'!D$2:D$875,A634,'Base bordo CD'!A$2:A$875,B634,'Base bordo CD'!L$2:L$875,"TEMPO INDETERMINADO"),0)</f>
        <v>2.4319444444444445</v>
      </c>
      <c r="J634" s="10">
        <f>IFERROR(SUMIFS('Base bordo CD'!M$2:M$875,'Base bordo CD'!D$2:D$875,A634,'Base bordo CD'!A$2:A$875,B634,'Base bordo CD'!L$2:L$875,"LIMITAÇÃO INDÚSTRIA"),0)</f>
        <v>15.731666666666667</v>
      </c>
      <c r="K634" s="10">
        <f>IFERROR(SUMIFS('Base bordo CD'!M$2:M$875,'Base bordo CD'!D$2:D$875,A634,'Base bordo CD'!A$2:A$875,B634,'Base bordo CD'!L$2:L$875,"MAN CORRETIVA*"),0)+IFERROR(SUMIFS('Base bordo CD'!M$2:M$875,'Base bordo CD'!D$2:D$875,A634,'Base bordo CD'!A$2:A$875,B634,'Base bordo CD'!L$2:L$875,"AGUARDANDO MANUTENCAO*"),0)+IFERROR(SUMIFS('Base bordo CD'!M$2:M$875,'Base bordo CD'!D$2:D$875,A634,'Base bordo CD'!A$2:A$875,B634,'Base bordo CD'!L$2:L$875,"TROCA DE FAQUINHA"),0)+IFERROR(SUMIFS('Base bordo CD'!M$2:M$875,'Base bordo CD'!D$2:D$875,A634,'Base bordo CD'!A$2:A$875,B634,'Base bordo CD'!L$2:L$875,"LIMPEZA*"),0)</f>
        <v>2.7750000000000004</v>
      </c>
      <c r="L634" s="10">
        <f>IFERROR(SUMIFS('Base bordo CD'!M$2:M$875,'Base bordo CD'!D$2:D$875,A634,'Base bordo CD'!A$2:A$875,B634,'Base bordo CD'!L$2:L$875,"PATIO - RESERVA"),0)</f>
        <v>0</v>
      </c>
      <c r="M634" s="10">
        <f>IFERROR(SUMIFS('Base bordo CD'!M$2:M$875,'Base bordo CD'!D$2:D$875,A634,'Base bordo CD'!A$2:A$875,B634,'Base bordo CD'!L$2:L$875,"SEM APONTAMENTO"),0)</f>
        <v>9.4166666666666662E-2</v>
      </c>
      <c r="N634" s="10">
        <f>IFERROR(SUMIFS('Base bordo CD'!M$2:M$875,'Base bordo CD'!D$2:D$875,A634,'Base bordo CD'!A$2:A$875,B634,'Base bordo CD'!L$2:L$875,"FALTA DE CAMINHÃO"),0)+IFERROR(SUMIFS('Base bordo CD'!M$2:M$875,'Base bordo CD'!D$2:D$875,A634,'Base bordo CD'!A$2:A$875,B634,'Base bordo CD'!L$2:L$875,"FALTA DE COMBUSTIVEL"),0)+IFERROR(SUMIFS('Base bordo CD'!M$2:M$875,'Base bordo CD'!D$2:D$875,A634,'Base bordo CD'!A$2:A$875,B634,'Base bordo CD'!L$2:L$875,"FALTA DE MOTORIST*"),0)</f>
        <v>0</v>
      </c>
      <c r="O634" s="10">
        <f t="shared" si="50"/>
        <v>0</v>
      </c>
      <c r="P634" s="10">
        <f>IFERROR(SUMIFS('Base bordo CD'!M$2:M$875,'Base bordo CD'!D$2:D$875,A634,'Base bordo CD'!A$2:A$875,B634),0)</f>
        <v>24</v>
      </c>
      <c r="Q634" s="10">
        <f>IFERROR(SUMIFS('Base bordo CD'!O$2:O$875,'Base bordo CD'!D$2:D$875,A634,'Base bordo CD'!A$2:A$875,B634,'Base bordo CD'!L$2:L$875,"CORTE DE CANA MECANIZADO"),0)</f>
        <v>24358.739999999998</v>
      </c>
      <c r="R634" s="10">
        <f>IFERROR(SUMIFS('Base bordo CD'!Q$2:Q$875,'Base bordo CD'!D$2:D$875,A634,'Base bordo CD'!A$2:A$875,B634,'Base bordo CD'!L$2:L$875,"CORTE DE CANA MECANIZADO"),0)</f>
        <v>6775</v>
      </c>
      <c r="S634" s="30">
        <f t="shared" si="51"/>
        <v>3.5953859778597783</v>
      </c>
      <c r="T634" s="9">
        <f t="shared" si="52"/>
        <v>7.8425925925925927E-2</v>
      </c>
      <c r="U634" s="9">
        <f t="shared" si="53"/>
        <v>4.0046296296296295E-2</v>
      </c>
      <c r="V634" s="9">
        <f t="shared" si="54"/>
        <v>0.916412037037037</v>
      </c>
    </row>
    <row r="635" spans="1:22" x14ac:dyDescent="0.35">
      <c r="A635" s="52">
        <v>49587</v>
      </c>
      <c r="B635" s="31">
        <v>46118</v>
      </c>
      <c r="C635" s="7" t="s">
        <v>337</v>
      </c>
      <c r="D635" s="7">
        <v>353</v>
      </c>
      <c r="E635" s="10">
        <f>IFERROR(SUMIFS('Base bordo CD'!M$2:M$875,'Base bordo CD'!D$2:D$875,A635,'Base bordo CD'!A$2:A$875,B635,'Base bordo CD'!L$2:L$875,"CORTE DE CANA MECANIZADO"),0)</f>
        <v>1.8822222222222222</v>
      </c>
      <c r="F635" s="10">
        <f>IFERROR(SUMIFS('Base bordo CD'!M$2:M$875,'Base bordo CD'!D$2:D$875,A635,'Base bordo CD'!A$2:A$875,B635,'Base bordo CD'!L$2:L$875,"MANOBRA"),0)</f>
        <v>0.96111111111111103</v>
      </c>
      <c r="G635" s="10">
        <f>IFERROR(SUMIFS('Base bordo CD'!M$2:M$875,'Base bordo CD'!D$2:D$875,A635,'Base bordo CD'!A$2:A$875,B635,'Base bordo CD'!L$2:L$875,"DESLOCAMENTO"),0)</f>
        <v>0.12388888888888888</v>
      </c>
      <c r="H635" s="10">
        <f>IFERROR(SUMIFS('Base bordo CD'!M$2:M$875,'Base bordo CD'!D$2:D$875,A635,'Base bordo CD'!A$2:A$875,B635,'Base bordo CD'!L$2:L$875,"AGUARDANDO MANOBRA DE TRANSBORDO"),0)+IFERROR(SUMIFS('Base bordo CD'!M$2:M$875,'Base bordo CD'!D$2:D$875,A635,'Base bordo CD'!A$2:A$875,B635,'Base bordo CD'!L$2:L$875,"FALTA DE TRANSBORDO"),0)</f>
        <v>0</v>
      </c>
      <c r="I635" s="10">
        <f>IFERROR(SUMIFS('Base bordo CD'!M$2:M$875,'Base bordo CD'!D$2:D$875,A635,'Base bordo CD'!A$2:A$875,B635,'Base bordo CD'!L$2:L$875,"PARADA POR CONDICOES CLIMATICAS"),0)+IFERROR(SUMIFS('Base bordo CD'!M$2:M$875,'Base bordo CD'!D$2:D$875,A635,'Base bordo CD'!A$2:A$875,B635,'Base bordo CD'!L$2:L$875,"TEMPO INDETERMINADO"),0)</f>
        <v>2.4319444444444445</v>
      </c>
      <c r="J635" s="10">
        <f>IFERROR(SUMIFS('Base bordo CD'!M$2:M$875,'Base bordo CD'!D$2:D$875,A635,'Base bordo CD'!A$2:A$875,B635,'Base bordo CD'!L$2:L$875,"LIMITAÇÃO INDÚSTRIA"),0)</f>
        <v>15.731666666666667</v>
      </c>
      <c r="K635" s="10">
        <f>IFERROR(SUMIFS('Base bordo CD'!M$2:M$875,'Base bordo CD'!D$2:D$875,A635,'Base bordo CD'!A$2:A$875,B635,'Base bordo CD'!L$2:L$875,"MAN CORRETIVA*"),0)+IFERROR(SUMIFS('Base bordo CD'!M$2:M$875,'Base bordo CD'!D$2:D$875,A635,'Base bordo CD'!A$2:A$875,B635,'Base bordo CD'!L$2:L$875,"AGUARDANDO MANUTENCAO*"),0)+IFERROR(SUMIFS('Base bordo CD'!M$2:M$875,'Base bordo CD'!D$2:D$875,A635,'Base bordo CD'!A$2:A$875,B635,'Base bordo CD'!L$2:L$875,"TROCA DE FAQUINHA"),0)+IFERROR(SUMIFS('Base bordo CD'!M$2:M$875,'Base bordo CD'!D$2:D$875,A635,'Base bordo CD'!A$2:A$875,B635,'Base bordo CD'!L$2:L$875,"LIMPEZA*"),0)</f>
        <v>2.7750000000000004</v>
      </c>
      <c r="L635" s="10">
        <f>IFERROR(SUMIFS('Base bordo CD'!M$2:M$875,'Base bordo CD'!D$2:D$875,A635,'Base bordo CD'!A$2:A$875,B635,'Base bordo CD'!L$2:L$875,"PATIO - RESERVA"),0)</f>
        <v>0</v>
      </c>
      <c r="M635" s="10">
        <f>IFERROR(SUMIFS('Base bordo CD'!M$2:M$875,'Base bordo CD'!D$2:D$875,A635,'Base bordo CD'!A$2:A$875,B635,'Base bordo CD'!L$2:L$875,"SEM APONTAMENTO"),0)</f>
        <v>9.4166666666666662E-2</v>
      </c>
      <c r="N635" s="10">
        <f>IFERROR(SUMIFS('Base bordo CD'!M$2:M$875,'Base bordo CD'!D$2:D$875,A635,'Base bordo CD'!A$2:A$875,B635,'Base bordo CD'!L$2:L$875,"FALTA DE CAMINHÃO"),0)+IFERROR(SUMIFS('Base bordo CD'!M$2:M$875,'Base bordo CD'!D$2:D$875,A635,'Base bordo CD'!A$2:A$875,B635,'Base bordo CD'!L$2:L$875,"FALTA DE COMBUSTIVEL"),0)+IFERROR(SUMIFS('Base bordo CD'!M$2:M$875,'Base bordo CD'!D$2:D$875,A635,'Base bordo CD'!A$2:A$875,B635,'Base bordo CD'!L$2:L$875,"FALTA DE MOTORIST*"),0)</f>
        <v>0</v>
      </c>
      <c r="O635" s="10">
        <f t="shared" si="50"/>
        <v>0</v>
      </c>
      <c r="P635" s="10">
        <f>IFERROR(SUMIFS('Base bordo CD'!M$2:M$875,'Base bordo CD'!D$2:D$875,A635,'Base bordo CD'!A$2:A$875,B635),0)</f>
        <v>24</v>
      </c>
      <c r="Q635" s="10">
        <f>IFERROR(SUMIFS('Base bordo CD'!O$2:O$875,'Base bordo CD'!D$2:D$875,A635,'Base bordo CD'!A$2:A$875,B635,'Base bordo CD'!L$2:L$875,"CORTE DE CANA MECANIZADO"),0)</f>
        <v>24358.739999999998</v>
      </c>
      <c r="R635" s="10">
        <f>IFERROR(SUMIFS('Base bordo CD'!Q$2:Q$875,'Base bordo CD'!D$2:D$875,A635,'Base bordo CD'!A$2:A$875,B635,'Base bordo CD'!L$2:L$875,"CORTE DE CANA MECANIZADO"),0)</f>
        <v>6775</v>
      </c>
      <c r="S635" s="30">
        <f t="shared" si="51"/>
        <v>3.5953859778597783</v>
      </c>
      <c r="T635" s="9">
        <f t="shared" si="52"/>
        <v>7.8425925925925927E-2</v>
      </c>
      <c r="U635" s="9">
        <f t="shared" si="53"/>
        <v>4.0046296296296295E-2</v>
      </c>
      <c r="V635" s="9">
        <f t="shared" si="54"/>
        <v>0.916412037037037</v>
      </c>
    </row>
    <row r="636" spans="1:22" x14ac:dyDescent="0.35">
      <c r="A636" s="52">
        <v>49587</v>
      </c>
      <c r="B636" s="31">
        <v>46118</v>
      </c>
      <c r="C636" s="7" t="s">
        <v>337</v>
      </c>
      <c r="D636" s="7">
        <v>353</v>
      </c>
      <c r="E636" s="10">
        <f>IFERROR(SUMIFS('Base bordo CD'!M$2:M$875,'Base bordo CD'!D$2:D$875,A636,'Base bordo CD'!A$2:A$875,B636,'Base bordo CD'!L$2:L$875,"CORTE DE CANA MECANIZADO"),0)</f>
        <v>1.8822222222222222</v>
      </c>
      <c r="F636" s="10">
        <f>IFERROR(SUMIFS('Base bordo CD'!M$2:M$875,'Base bordo CD'!D$2:D$875,A636,'Base bordo CD'!A$2:A$875,B636,'Base bordo CD'!L$2:L$875,"MANOBRA"),0)</f>
        <v>0.96111111111111103</v>
      </c>
      <c r="G636" s="10">
        <f>IFERROR(SUMIFS('Base bordo CD'!M$2:M$875,'Base bordo CD'!D$2:D$875,A636,'Base bordo CD'!A$2:A$875,B636,'Base bordo CD'!L$2:L$875,"DESLOCAMENTO"),0)</f>
        <v>0.12388888888888888</v>
      </c>
      <c r="H636" s="10">
        <f>IFERROR(SUMIFS('Base bordo CD'!M$2:M$875,'Base bordo CD'!D$2:D$875,A636,'Base bordo CD'!A$2:A$875,B636,'Base bordo CD'!L$2:L$875,"AGUARDANDO MANOBRA DE TRANSBORDO"),0)+IFERROR(SUMIFS('Base bordo CD'!M$2:M$875,'Base bordo CD'!D$2:D$875,A636,'Base bordo CD'!A$2:A$875,B636,'Base bordo CD'!L$2:L$875,"FALTA DE TRANSBORDO"),0)</f>
        <v>0</v>
      </c>
      <c r="I636" s="10">
        <f>IFERROR(SUMIFS('Base bordo CD'!M$2:M$875,'Base bordo CD'!D$2:D$875,A636,'Base bordo CD'!A$2:A$875,B636,'Base bordo CD'!L$2:L$875,"PARADA POR CONDICOES CLIMATICAS"),0)+IFERROR(SUMIFS('Base bordo CD'!M$2:M$875,'Base bordo CD'!D$2:D$875,A636,'Base bordo CD'!A$2:A$875,B636,'Base bordo CD'!L$2:L$875,"TEMPO INDETERMINADO"),0)</f>
        <v>2.4319444444444445</v>
      </c>
      <c r="J636" s="10">
        <f>IFERROR(SUMIFS('Base bordo CD'!M$2:M$875,'Base bordo CD'!D$2:D$875,A636,'Base bordo CD'!A$2:A$875,B636,'Base bordo CD'!L$2:L$875,"LIMITAÇÃO INDÚSTRIA"),0)</f>
        <v>15.731666666666667</v>
      </c>
      <c r="K636" s="10">
        <f>IFERROR(SUMIFS('Base bordo CD'!M$2:M$875,'Base bordo CD'!D$2:D$875,A636,'Base bordo CD'!A$2:A$875,B636,'Base bordo CD'!L$2:L$875,"MAN CORRETIVA*"),0)+IFERROR(SUMIFS('Base bordo CD'!M$2:M$875,'Base bordo CD'!D$2:D$875,A636,'Base bordo CD'!A$2:A$875,B636,'Base bordo CD'!L$2:L$875,"AGUARDANDO MANUTENCAO*"),0)+IFERROR(SUMIFS('Base bordo CD'!M$2:M$875,'Base bordo CD'!D$2:D$875,A636,'Base bordo CD'!A$2:A$875,B636,'Base bordo CD'!L$2:L$875,"TROCA DE FAQUINHA"),0)+IFERROR(SUMIFS('Base bordo CD'!M$2:M$875,'Base bordo CD'!D$2:D$875,A636,'Base bordo CD'!A$2:A$875,B636,'Base bordo CD'!L$2:L$875,"LIMPEZA*"),0)</f>
        <v>2.7750000000000004</v>
      </c>
      <c r="L636" s="10">
        <f>IFERROR(SUMIFS('Base bordo CD'!M$2:M$875,'Base bordo CD'!D$2:D$875,A636,'Base bordo CD'!A$2:A$875,B636,'Base bordo CD'!L$2:L$875,"PATIO - RESERVA"),0)</f>
        <v>0</v>
      </c>
      <c r="M636" s="10">
        <f>IFERROR(SUMIFS('Base bordo CD'!M$2:M$875,'Base bordo CD'!D$2:D$875,A636,'Base bordo CD'!A$2:A$875,B636,'Base bordo CD'!L$2:L$875,"SEM APONTAMENTO"),0)</f>
        <v>9.4166666666666662E-2</v>
      </c>
      <c r="N636" s="10">
        <f>IFERROR(SUMIFS('Base bordo CD'!M$2:M$875,'Base bordo CD'!D$2:D$875,A636,'Base bordo CD'!A$2:A$875,B636,'Base bordo CD'!L$2:L$875,"FALTA DE CAMINHÃO"),0)+IFERROR(SUMIFS('Base bordo CD'!M$2:M$875,'Base bordo CD'!D$2:D$875,A636,'Base bordo CD'!A$2:A$875,B636,'Base bordo CD'!L$2:L$875,"FALTA DE COMBUSTIVEL"),0)+IFERROR(SUMIFS('Base bordo CD'!M$2:M$875,'Base bordo CD'!D$2:D$875,A636,'Base bordo CD'!A$2:A$875,B636,'Base bordo CD'!L$2:L$875,"FALTA DE MOTORIST*"),0)</f>
        <v>0</v>
      </c>
      <c r="O636" s="10">
        <f t="shared" si="50"/>
        <v>0</v>
      </c>
      <c r="P636" s="10">
        <f>IFERROR(SUMIFS('Base bordo CD'!M$2:M$875,'Base bordo CD'!D$2:D$875,A636,'Base bordo CD'!A$2:A$875,B636),0)</f>
        <v>24</v>
      </c>
      <c r="Q636" s="10">
        <f>IFERROR(SUMIFS('Base bordo CD'!O$2:O$875,'Base bordo CD'!D$2:D$875,A636,'Base bordo CD'!A$2:A$875,B636,'Base bordo CD'!L$2:L$875,"CORTE DE CANA MECANIZADO"),0)</f>
        <v>24358.739999999998</v>
      </c>
      <c r="R636" s="10">
        <f>IFERROR(SUMIFS('Base bordo CD'!Q$2:Q$875,'Base bordo CD'!D$2:D$875,A636,'Base bordo CD'!A$2:A$875,B636,'Base bordo CD'!L$2:L$875,"CORTE DE CANA MECANIZADO"),0)</f>
        <v>6775</v>
      </c>
      <c r="S636" s="30">
        <f t="shared" si="51"/>
        <v>3.5953859778597783</v>
      </c>
      <c r="T636" s="9">
        <f t="shared" si="52"/>
        <v>7.8425925925925927E-2</v>
      </c>
      <c r="U636" s="9">
        <f t="shared" si="53"/>
        <v>4.0046296296296295E-2</v>
      </c>
      <c r="V636" s="9">
        <f t="shared" si="54"/>
        <v>0.916412037037037</v>
      </c>
    </row>
    <row r="637" spans="1:22" x14ac:dyDescent="0.35">
      <c r="A637" s="52">
        <v>49587</v>
      </c>
      <c r="B637" s="31">
        <v>46118</v>
      </c>
      <c r="C637" s="7" t="s">
        <v>337</v>
      </c>
      <c r="D637" s="7">
        <v>353</v>
      </c>
      <c r="E637" s="10">
        <f>IFERROR(SUMIFS('Base bordo CD'!M$2:M$875,'Base bordo CD'!D$2:D$875,A637,'Base bordo CD'!A$2:A$875,B637,'Base bordo CD'!L$2:L$875,"CORTE DE CANA MECANIZADO"),0)</f>
        <v>1.8822222222222222</v>
      </c>
      <c r="F637" s="10">
        <f>IFERROR(SUMIFS('Base bordo CD'!M$2:M$875,'Base bordo CD'!D$2:D$875,A637,'Base bordo CD'!A$2:A$875,B637,'Base bordo CD'!L$2:L$875,"MANOBRA"),0)</f>
        <v>0.96111111111111103</v>
      </c>
      <c r="G637" s="10">
        <f>IFERROR(SUMIFS('Base bordo CD'!M$2:M$875,'Base bordo CD'!D$2:D$875,A637,'Base bordo CD'!A$2:A$875,B637,'Base bordo CD'!L$2:L$875,"DESLOCAMENTO"),0)</f>
        <v>0.12388888888888888</v>
      </c>
      <c r="H637" s="10">
        <f>IFERROR(SUMIFS('Base bordo CD'!M$2:M$875,'Base bordo CD'!D$2:D$875,A637,'Base bordo CD'!A$2:A$875,B637,'Base bordo CD'!L$2:L$875,"AGUARDANDO MANOBRA DE TRANSBORDO"),0)+IFERROR(SUMIFS('Base bordo CD'!M$2:M$875,'Base bordo CD'!D$2:D$875,A637,'Base bordo CD'!A$2:A$875,B637,'Base bordo CD'!L$2:L$875,"FALTA DE TRANSBORDO"),0)</f>
        <v>0</v>
      </c>
      <c r="I637" s="10">
        <f>IFERROR(SUMIFS('Base bordo CD'!M$2:M$875,'Base bordo CD'!D$2:D$875,A637,'Base bordo CD'!A$2:A$875,B637,'Base bordo CD'!L$2:L$875,"PARADA POR CONDICOES CLIMATICAS"),0)+IFERROR(SUMIFS('Base bordo CD'!M$2:M$875,'Base bordo CD'!D$2:D$875,A637,'Base bordo CD'!A$2:A$875,B637,'Base bordo CD'!L$2:L$875,"TEMPO INDETERMINADO"),0)</f>
        <v>2.4319444444444445</v>
      </c>
      <c r="J637" s="10">
        <f>IFERROR(SUMIFS('Base bordo CD'!M$2:M$875,'Base bordo CD'!D$2:D$875,A637,'Base bordo CD'!A$2:A$875,B637,'Base bordo CD'!L$2:L$875,"LIMITAÇÃO INDÚSTRIA"),0)</f>
        <v>15.731666666666667</v>
      </c>
      <c r="K637" s="10">
        <f>IFERROR(SUMIFS('Base bordo CD'!M$2:M$875,'Base bordo CD'!D$2:D$875,A637,'Base bordo CD'!A$2:A$875,B637,'Base bordo CD'!L$2:L$875,"MAN CORRETIVA*"),0)+IFERROR(SUMIFS('Base bordo CD'!M$2:M$875,'Base bordo CD'!D$2:D$875,A637,'Base bordo CD'!A$2:A$875,B637,'Base bordo CD'!L$2:L$875,"AGUARDANDO MANUTENCAO*"),0)+IFERROR(SUMIFS('Base bordo CD'!M$2:M$875,'Base bordo CD'!D$2:D$875,A637,'Base bordo CD'!A$2:A$875,B637,'Base bordo CD'!L$2:L$875,"TROCA DE FAQUINHA"),0)+IFERROR(SUMIFS('Base bordo CD'!M$2:M$875,'Base bordo CD'!D$2:D$875,A637,'Base bordo CD'!A$2:A$875,B637,'Base bordo CD'!L$2:L$875,"LIMPEZA*"),0)</f>
        <v>2.7750000000000004</v>
      </c>
      <c r="L637" s="10">
        <f>IFERROR(SUMIFS('Base bordo CD'!M$2:M$875,'Base bordo CD'!D$2:D$875,A637,'Base bordo CD'!A$2:A$875,B637,'Base bordo CD'!L$2:L$875,"PATIO - RESERVA"),0)</f>
        <v>0</v>
      </c>
      <c r="M637" s="10">
        <f>IFERROR(SUMIFS('Base bordo CD'!M$2:M$875,'Base bordo CD'!D$2:D$875,A637,'Base bordo CD'!A$2:A$875,B637,'Base bordo CD'!L$2:L$875,"SEM APONTAMENTO"),0)</f>
        <v>9.4166666666666662E-2</v>
      </c>
      <c r="N637" s="10">
        <f>IFERROR(SUMIFS('Base bordo CD'!M$2:M$875,'Base bordo CD'!D$2:D$875,A637,'Base bordo CD'!A$2:A$875,B637,'Base bordo CD'!L$2:L$875,"FALTA DE CAMINHÃO"),0)+IFERROR(SUMIFS('Base bordo CD'!M$2:M$875,'Base bordo CD'!D$2:D$875,A637,'Base bordo CD'!A$2:A$875,B637,'Base bordo CD'!L$2:L$875,"FALTA DE COMBUSTIVEL"),0)+IFERROR(SUMIFS('Base bordo CD'!M$2:M$875,'Base bordo CD'!D$2:D$875,A637,'Base bordo CD'!A$2:A$875,B637,'Base bordo CD'!L$2:L$875,"FALTA DE MOTORIST*"),0)</f>
        <v>0</v>
      </c>
      <c r="O637" s="10">
        <f t="shared" si="50"/>
        <v>0</v>
      </c>
      <c r="P637" s="10">
        <f>IFERROR(SUMIFS('Base bordo CD'!M$2:M$875,'Base bordo CD'!D$2:D$875,A637,'Base bordo CD'!A$2:A$875,B637),0)</f>
        <v>24</v>
      </c>
      <c r="Q637" s="10">
        <f>IFERROR(SUMIFS('Base bordo CD'!O$2:O$875,'Base bordo CD'!D$2:D$875,A637,'Base bordo CD'!A$2:A$875,B637,'Base bordo CD'!L$2:L$875,"CORTE DE CANA MECANIZADO"),0)</f>
        <v>24358.739999999998</v>
      </c>
      <c r="R637" s="10">
        <f>IFERROR(SUMIFS('Base bordo CD'!Q$2:Q$875,'Base bordo CD'!D$2:D$875,A637,'Base bordo CD'!A$2:A$875,B637,'Base bordo CD'!L$2:L$875,"CORTE DE CANA MECANIZADO"),0)</f>
        <v>6775</v>
      </c>
      <c r="S637" s="30">
        <f t="shared" si="51"/>
        <v>3.5953859778597783</v>
      </c>
      <c r="T637" s="9">
        <f t="shared" si="52"/>
        <v>7.8425925925925927E-2</v>
      </c>
      <c r="U637" s="9">
        <f t="shared" si="53"/>
        <v>4.0046296296296295E-2</v>
      </c>
      <c r="V637" s="9">
        <f t="shared" si="54"/>
        <v>0.916412037037037</v>
      </c>
    </row>
    <row r="638" spans="1:22" x14ac:dyDescent="0.35">
      <c r="A638" s="52">
        <v>49587</v>
      </c>
      <c r="B638" s="31">
        <v>46118</v>
      </c>
      <c r="C638" s="7" t="s">
        <v>337</v>
      </c>
      <c r="D638" s="7">
        <v>353</v>
      </c>
      <c r="E638" s="10">
        <f>IFERROR(SUMIFS('Base bordo CD'!M$2:M$875,'Base bordo CD'!D$2:D$875,A638,'Base bordo CD'!A$2:A$875,B638,'Base bordo CD'!L$2:L$875,"CORTE DE CANA MECANIZADO"),0)</f>
        <v>1.8822222222222222</v>
      </c>
      <c r="F638" s="10">
        <f>IFERROR(SUMIFS('Base bordo CD'!M$2:M$875,'Base bordo CD'!D$2:D$875,A638,'Base bordo CD'!A$2:A$875,B638,'Base bordo CD'!L$2:L$875,"MANOBRA"),0)</f>
        <v>0.96111111111111103</v>
      </c>
      <c r="G638" s="10">
        <f>IFERROR(SUMIFS('Base bordo CD'!M$2:M$875,'Base bordo CD'!D$2:D$875,A638,'Base bordo CD'!A$2:A$875,B638,'Base bordo CD'!L$2:L$875,"DESLOCAMENTO"),0)</f>
        <v>0.12388888888888888</v>
      </c>
      <c r="H638" s="10">
        <f>IFERROR(SUMIFS('Base bordo CD'!M$2:M$875,'Base bordo CD'!D$2:D$875,A638,'Base bordo CD'!A$2:A$875,B638,'Base bordo CD'!L$2:L$875,"AGUARDANDO MANOBRA DE TRANSBORDO"),0)+IFERROR(SUMIFS('Base bordo CD'!M$2:M$875,'Base bordo CD'!D$2:D$875,A638,'Base bordo CD'!A$2:A$875,B638,'Base bordo CD'!L$2:L$875,"FALTA DE TRANSBORDO"),0)</f>
        <v>0</v>
      </c>
      <c r="I638" s="10">
        <f>IFERROR(SUMIFS('Base bordo CD'!M$2:M$875,'Base bordo CD'!D$2:D$875,A638,'Base bordo CD'!A$2:A$875,B638,'Base bordo CD'!L$2:L$875,"PARADA POR CONDICOES CLIMATICAS"),0)+IFERROR(SUMIFS('Base bordo CD'!M$2:M$875,'Base bordo CD'!D$2:D$875,A638,'Base bordo CD'!A$2:A$875,B638,'Base bordo CD'!L$2:L$875,"TEMPO INDETERMINADO"),0)</f>
        <v>2.4319444444444445</v>
      </c>
      <c r="J638" s="10">
        <f>IFERROR(SUMIFS('Base bordo CD'!M$2:M$875,'Base bordo CD'!D$2:D$875,A638,'Base bordo CD'!A$2:A$875,B638,'Base bordo CD'!L$2:L$875,"LIMITAÇÃO INDÚSTRIA"),0)</f>
        <v>15.731666666666667</v>
      </c>
      <c r="K638" s="10">
        <f>IFERROR(SUMIFS('Base bordo CD'!M$2:M$875,'Base bordo CD'!D$2:D$875,A638,'Base bordo CD'!A$2:A$875,B638,'Base bordo CD'!L$2:L$875,"MAN CORRETIVA*"),0)+IFERROR(SUMIFS('Base bordo CD'!M$2:M$875,'Base bordo CD'!D$2:D$875,A638,'Base bordo CD'!A$2:A$875,B638,'Base bordo CD'!L$2:L$875,"AGUARDANDO MANUTENCAO*"),0)+IFERROR(SUMIFS('Base bordo CD'!M$2:M$875,'Base bordo CD'!D$2:D$875,A638,'Base bordo CD'!A$2:A$875,B638,'Base bordo CD'!L$2:L$875,"TROCA DE FAQUINHA"),0)+IFERROR(SUMIFS('Base bordo CD'!M$2:M$875,'Base bordo CD'!D$2:D$875,A638,'Base bordo CD'!A$2:A$875,B638,'Base bordo CD'!L$2:L$875,"LIMPEZA*"),0)</f>
        <v>2.7750000000000004</v>
      </c>
      <c r="L638" s="10">
        <f>IFERROR(SUMIFS('Base bordo CD'!M$2:M$875,'Base bordo CD'!D$2:D$875,A638,'Base bordo CD'!A$2:A$875,B638,'Base bordo CD'!L$2:L$875,"PATIO - RESERVA"),0)</f>
        <v>0</v>
      </c>
      <c r="M638" s="10">
        <f>IFERROR(SUMIFS('Base bordo CD'!M$2:M$875,'Base bordo CD'!D$2:D$875,A638,'Base bordo CD'!A$2:A$875,B638,'Base bordo CD'!L$2:L$875,"SEM APONTAMENTO"),0)</f>
        <v>9.4166666666666662E-2</v>
      </c>
      <c r="N638" s="10">
        <f>IFERROR(SUMIFS('Base bordo CD'!M$2:M$875,'Base bordo CD'!D$2:D$875,A638,'Base bordo CD'!A$2:A$875,B638,'Base bordo CD'!L$2:L$875,"FALTA DE CAMINHÃO"),0)+IFERROR(SUMIFS('Base bordo CD'!M$2:M$875,'Base bordo CD'!D$2:D$875,A638,'Base bordo CD'!A$2:A$875,B638,'Base bordo CD'!L$2:L$875,"FALTA DE COMBUSTIVEL"),0)+IFERROR(SUMIFS('Base bordo CD'!M$2:M$875,'Base bordo CD'!D$2:D$875,A638,'Base bordo CD'!A$2:A$875,B638,'Base bordo CD'!L$2:L$875,"FALTA DE MOTORIST*"),0)</f>
        <v>0</v>
      </c>
      <c r="O638" s="10">
        <f t="shared" ref="O638:O701" si="55">IFERROR(P638-SUM(E638:N638),0)</f>
        <v>0</v>
      </c>
      <c r="P638" s="10">
        <f>IFERROR(SUMIFS('Base bordo CD'!M$2:M$875,'Base bordo CD'!D$2:D$875,A638,'Base bordo CD'!A$2:A$875,B638),0)</f>
        <v>24</v>
      </c>
      <c r="Q638" s="10">
        <f>IFERROR(SUMIFS('Base bordo CD'!O$2:O$875,'Base bordo CD'!D$2:D$875,A638,'Base bordo CD'!A$2:A$875,B638,'Base bordo CD'!L$2:L$875,"CORTE DE CANA MECANIZADO"),0)</f>
        <v>24358.739999999998</v>
      </c>
      <c r="R638" s="10">
        <f>IFERROR(SUMIFS('Base bordo CD'!Q$2:Q$875,'Base bordo CD'!D$2:D$875,A638,'Base bordo CD'!A$2:A$875,B638,'Base bordo CD'!L$2:L$875,"CORTE DE CANA MECANIZADO"),0)</f>
        <v>6775</v>
      </c>
      <c r="S638" s="30">
        <f t="shared" ref="S638:S701" si="56">IFERROR(Q638/R638,"")</f>
        <v>3.5953859778597783</v>
      </c>
      <c r="T638" s="9">
        <f t="shared" ref="T638:T701" si="57">IFERROR(E638/P638,0)</f>
        <v>7.8425925925925927E-2</v>
      </c>
      <c r="U638" s="9">
        <f t="shared" ref="U638:U701" si="58">IFERROR(F638/P638,0)</f>
        <v>4.0046296296296295E-2</v>
      </c>
      <c r="V638" s="9">
        <f t="shared" ref="V638:V701" si="59">IFERROR(1-(E638+G638)/P638,0)</f>
        <v>0.916412037037037</v>
      </c>
    </row>
    <row r="639" spans="1:22" x14ac:dyDescent="0.35">
      <c r="A639" s="52">
        <v>49587</v>
      </c>
      <c r="B639" s="31">
        <v>46118</v>
      </c>
      <c r="C639" s="7" t="s">
        <v>337</v>
      </c>
      <c r="D639" s="7">
        <v>353</v>
      </c>
      <c r="E639" s="10">
        <f>IFERROR(SUMIFS('Base bordo CD'!M$2:M$875,'Base bordo CD'!D$2:D$875,A639,'Base bordo CD'!A$2:A$875,B639,'Base bordo CD'!L$2:L$875,"CORTE DE CANA MECANIZADO"),0)</f>
        <v>1.8822222222222222</v>
      </c>
      <c r="F639" s="10">
        <f>IFERROR(SUMIFS('Base bordo CD'!M$2:M$875,'Base bordo CD'!D$2:D$875,A639,'Base bordo CD'!A$2:A$875,B639,'Base bordo CD'!L$2:L$875,"MANOBRA"),0)</f>
        <v>0.96111111111111103</v>
      </c>
      <c r="G639" s="10">
        <f>IFERROR(SUMIFS('Base bordo CD'!M$2:M$875,'Base bordo CD'!D$2:D$875,A639,'Base bordo CD'!A$2:A$875,B639,'Base bordo CD'!L$2:L$875,"DESLOCAMENTO"),0)</f>
        <v>0.12388888888888888</v>
      </c>
      <c r="H639" s="10">
        <f>IFERROR(SUMIFS('Base bordo CD'!M$2:M$875,'Base bordo CD'!D$2:D$875,A639,'Base bordo CD'!A$2:A$875,B639,'Base bordo CD'!L$2:L$875,"AGUARDANDO MANOBRA DE TRANSBORDO"),0)+IFERROR(SUMIFS('Base bordo CD'!M$2:M$875,'Base bordo CD'!D$2:D$875,A639,'Base bordo CD'!A$2:A$875,B639,'Base bordo CD'!L$2:L$875,"FALTA DE TRANSBORDO"),0)</f>
        <v>0</v>
      </c>
      <c r="I639" s="10">
        <f>IFERROR(SUMIFS('Base bordo CD'!M$2:M$875,'Base bordo CD'!D$2:D$875,A639,'Base bordo CD'!A$2:A$875,B639,'Base bordo CD'!L$2:L$875,"PARADA POR CONDICOES CLIMATICAS"),0)+IFERROR(SUMIFS('Base bordo CD'!M$2:M$875,'Base bordo CD'!D$2:D$875,A639,'Base bordo CD'!A$2:A$875,B639,'Base bordo CD'!L$2:L$875,"TEMPO INDETERMINADO"),0)</f>
        <v>2.4319444444444445</v>
      </c>
      <c r="J639" s="10">
        <f>IFERROR(SUMIFS('Base bordo CD'!M$2:M$875,'Base bordo CD'!D$2:D$875,A639,'Base bordo CD'!A$2:A$875,B639,'Base bordo CD'!L$2:L$875,"LIMITAÇÃO INDÚSTRIA"),0)</f>
        <v>15.731666666666667</v>
      </c>
      <c r="K639" s="10">
        <f>IFERROR(SUMIFS('Base bordo CD'!M$2:M$875,'Base bordo CD'!D$2:D$875,A639,'Base bordo CD'!A$2:A$875,B639,'Base bordo CD'!L$2:L$875,"MAN CORRETIVA*"),0)+IFERROR(SUMIFS('Base bordo CD'!M$2:M$875,'Base bordo CD'!D$2:D$875,A639,'Base bordo CD'!A$2:A$875,B639,'Base bordo CD'!L$2:L$875,"AGUARDANDO MANUTENCAO*"),0)+IFERROR(SUMIFS('Base bordo CD'!M$2:M$875,'Base bordo CD'!D$2:D$875,A639,'Base bordo CD'!A$2:A$875,B639,'Base bordo CD'!L$2:L$875,"TROCA DE FAQUINHA"),0)+IFERROR(SUMIFS('Base bordo CD'!M$2:M$875,'Base bordo CD'!D$2:D$875,A639,'Base bordo CD'!A$2:A$875,B639,'Base bordo CD'!L$2:L$875,"LIMPEZA*"),0)</f>
        <v>2.7750000000000004</v>
      </c>
      <c r="L639" s="10">
        <f>IFERROR(SUMIFS('Base bordo CD'!M$2:M$875,'Base bordo CD'!D$2:D$875,A639,'Base bordo CD'!A$2:A$875,B639,'Base bordo CD'!L$2:L$875,"PATIO - RESERVA"),0)</f>
        <v>0</v>
      </c>
      <c r="M639" s="10">
        <f>IFERROR(SUMIFS('Base bordo CD'!M$2:M$875,'Base bordo CD'!D$2:D$875,A639,'Base bordo CD'!A$2:A$875,B639,'Base bordo CD'!L$2:L$875,"SEM APONTAMENTO"),0)</f>
        <v>9.4166666666666662E-2</v>
      </c>
      <c r="N639" s="10">
        <f>IFERROR(SUMIFS('Base bordo CD'!M$2:M$875,'Base bordo CD'!D$2:D$875,A639,'Base bordo CD'!A$2:A$875,B639,'Base bordo CD'!L$2:L$875,"FALTA DE CAMINHÃO"),0)+IFERROR(SUMIFS('Base bordo CD'!M$2:M$875,'Base bordo CD'!D$2:D$875,A639,'Base bordo CD'!A$2:A$875,B639,'Base bordo CD'!L$2:L$875,"FALTA DE COMBUSTIVEL"),0)+IFERROR(SUMIFS('Base bordo CD'!M$2:M$875,'Base bordo CD'!D$2:D$875,A639,'Base bordo CD'!A$2:A$875,B639,'Base bordo CD'!L$2:L$875,"FALTA DE MOTORIST*"),0)</f>
        <v>0</v>
      </c>
      <c r="O639" s="10">
        <f t="shared" si="55"/>
        <v>0</v>
      </c>
      <c r="P639" s="10">
        <f>IFERROR(SUMIFS('Base bordo CD'!M$2:M$875,'Base bordo CD'!D$2:D$875,A639,'Base bordo CD'!A$2:A$875,B639),0)</f>
        <v>24</v>
      </c>
      <c r="Q639" s="10">
        <f>IFERROR(SUMIFS('Base bordo CD'!O$2:O$875,'Base bordo CD'!D$2:D$875,A639,'Base bordo CD'!A$2:A$875,B639,'Base bordo CD'!L$2:L$875,"CORTE DE CANA MECANIZADO"),0)</f>
        <v>24358.739999999998</v>
      </c>
      <c r="R639" s="10">
        <f>IFERROR(SUMIFS('Base bordo CD'!Q$2:Q$875,'Base bordo CD'!D$2:D$875,A639,'Base bordo CD'!A$2:A$875,B639,'Base bordo CD'!L$2:L$875,"CORTE DE CANA MECANIZADO"),0)</f>
        <v>6775</v>
      </c>
      <c r="S639" s="30">
        <f t="shared" si="56"/>
        <v>3.5953859778597783</v>
      </c>
      <c r="T639" s="9">
        <f t="shared" si="57"/>
        <v>7.8425925925925927E-2</v>
      </c>
      <c r="U639" s="9">
        <f t="shared" si="58"/>
        <v>4.0046296296296295E-2</v>
      </c>
      <c r="V639" s="9">
        <f t="shared" si="59"/>
        <v>0.916412037037037</v>
      </c>
    </row>
    <row r="640" spans="1:22" x14ac:dyDescent="0.35">
      <c r="A640" s="52">
        <v>49587</v>
      </c>
      <c r="B640" s="31">
        <v>46118</v>
      </c>
      <c r="C640" s="7" t="s">
        <v>337</v>
      </c>
      <c r="D640" s="7">
        <v>353</v>
      </c>
      <c r="E640" s="10">
        <f>IFERROR(SUMIFS('Base bordo CD'!M$2:M$875,'Base bordo CD'!D$2:D$875,A640,'Base bordo CD'!A$2:A$875,B640,'Base bordo CD'!L$2:L$875,"CORTE DE CANA MECANIZADO"),0)</f>
        <v>1.8822222222222222</v>
      </c>
      <c r="F640" s="10">
        <f>IFERROR(SUMIFS('Base bordo CD'!M$2:M$875,'Base bordo CD'!D$2:D$875,A640,'Base bordo CD'!A$2:A$875,B640,'Base bordo CD'!L$2:L$875,"MANOBRA"),0)</f>
        <v>0.96111111111111103</v>
      </c>
      <c r="G640" s="10">
        <f>IFERROR(SUMIFS('Base bordo CD'!M$2:M$875,'Base bordo CD'!D$2:D$875,A640,'Base bordo CD'!A$2:A$875,B640,'Base bordo CD'!L$2:L$875,"DESLOCAMENTO"),0)</f>
        <v>0.12388888888888888</v>
      </c>
      <c r="H640" s="10">
        <f>IFERROR(SUMIFS('Base bordo CD'!M$2:M$875,'Base bordo CD'!D$2:D$875,A640,'Base bordo CD'!A$2:A$875,B640,'Base bordo CD'!L$2:L$875,"AGUARDANDO MANOBRA DE TRANSBORDO"),0)+IFERROR(SUMIFS('Base bordo CD'!M$2:M$875,'Base bordo CD'!D$2:D$875,A640,'Base bordo CD'!A$2:A$875,B640,'Base bordo CD'!L$2:L$875,"FALTA DE TRANSBORDO"),0)</f>
        <v>0</v>
      </c>
      <c r="I640" s="10">
        <f>IFERROR(SUMIFS('Base bordo CD'!M$2:M$875,'Base bordo CD'!D$2:D$875,A640,'Base bordo CD'!A$2:A$875,B640,'Base bordo CD'!L$2:L$875,"PARADA POR CONDICOES CLIMATICAS"),0)+IFERROR(SUMIFS('Base bordo CD'!M$2:M$875,'Base bordo CD'!D$2:D$875,A640,'Base bordo CD'!A$2:A$875,B640,'Base bordo CD'!L$2:L$875,"TEMPO INDETERMINADO"),0)</f>
        <v>2.4319444444444445</v>
      </c>
      <c r="J640" s="10">
        <f>IFERROR(SUMIFS('Base bordo CD'!M$2:M$875,'Base bordo CD'!D$2:D$875,A640,'Base bordo CD'!A$2:A$875,B640,'Base bordo CD'!L$2:L$875,"LIMITAÇÃO INDÚSTRIA"),0)</f>
        <v>15.731666666666667</v>
      </c>
      <c r="K640" s="10">
        <f>IFERROR(SUMIFS('Base bordo CD'!M$2:M$875,'Base bordo CD'!D$2:D$875,A640,'Base bordo CD'!A$2:A$875,B640,'Base bordo CD'!L$2:L$875,"MAN CORRETIVA*"),0)+IFERROR(SUMIFS('Base bordo CD'!M$2:M$875,'Base bordo CD'!D$2:D$875,A640,'Base bordo CD'!A$2:A$875,B640,'Base bordo CD'!L$2:L$875,"AGUARDANDO MANUTENCAO*"),0)+IFERROR(SUMIFS('Base bordo CD'!M$2:M$875,'Base bordo CD'!D$2:D$875,A640,'Base bordo CD'!A$2:A$875,B640,'Base bordo CD'!L$2:L$875,"TROCA DE FAQUINHA"),0)+IFERROR(SUMIFS('Base bordo CD'!M$2:M$875,'Base bordo CD'!D$2:D$875,A640,'Base bordo CD'!A$2:A$875,B640,'Base bordo CD'!L$2:L$875,"LIMPEZA*"),0)</f>
        <v>2.7750000000000004</v>
      </c>
      <c r="L640" s="10">
        <f>IFERROR(SUMIFS('Base bordo CD'!M$2:M$875,'Base bordo CD'!D$2:D$875,A640,'Base bordo CD'!A$2:A$875,B640,'Base bordo CD'!L$2:L$875,"PATIO - RESERVA"),0)</f>
        <v>0</v>
      </c>
      <c r="M640" s="10">
        <f>IFERROR(SUMIFS('Base bordo CD'!M$2:M$875,'Base bordo CD'!D$2:D$875,A640,'Base bordo CD'!A$2:A$875,B640,'Base bordo CD'!L$2:L$875,"SEM APONTAMENTO"),0)</f>
        <v>9.4166666666666662E-2</v>
      </c>
      <c r="N640" s="10">
        <f>IFERROR(SUMIFS('Base bordo CD'!M$2:M$875,'Base bordo CD'!D$2:D$875,A640,'Base bordo CD'!A$2:A$875,B640,'Base bordo CD'!L$2:L$875,"FALTA DE CAMINHÃO"),0)+IFERROR(SUMIFS('Base bordo CD'!M$2:M$875,'Base bordo CD'!D$2:D$875,A640,'Base bordo CD'!A$2:A$875,B640,'Base bordo CD'!L$2:L$875,"FALTA DE COMBUSTIVEL"),0)+IFERROR(SUMIFS('Base bordo CD'!M$2:M$875,'Base bordo CD'!D$2:D$875,A640,'Base bordo CD'!A$2:A$875,B640,'Base bordo CD'!L$2:L$875,"FALTA DE MOTORIST*"),0)</f>
        <v>0</v>
      </c>
      <c r="O640" s="10">
        <f t="shared" si="55"/>
        <v>0</v>
      </c>
      <c r="P640" s="10">
        <f>IFERROR(SUMIFS('Base bordo CD'!M$2:M$875,'Base bordo CD'!D$2:D$875,A640,'Base bordo CD'!A$2:A$875,B640),0)</f>
        <v>24</v>
      </c>
      <c r="Q640" s="10">
        <f>IFERROR(SUMIFS('Base bordo CD'!O$2:O$875,'Base bordo CD'!D$2:D$875,A640,'Base bordo CD'!A$2:A$875,B640,'Base bordo CD'!L$2:L$875,"CORTE DE CANA MECANIZADO"),0)</f>
        <v>24358.739999999998</v>
      </c>
      <c r="R640" s="10">
        <f>IFERROR(SUMIFS('Base bordo CD'!Q$2:Q$875,'Base bordo CD'!D$2:D$875,A640,'Base bordo CD'!A$2:A$875,B640,'Base bordo CD'!L$2:L$875,"CORTE DE CANA MECANIZADO"),0)</f>
        <v>6775</v>
      </c>
      <c r="S640" s="30">
        <f t="shared" si="56"/>
        <v>3.5953859778597783</v>
      </c>
      <c r="T640" s="9">
        <f t="shared" si="57"/>
        <v>7.8425925925925927E-2</v>
      </c>
      <c r="U640" s="9">
        <f t="shared" si="58"/>
        <v>4.0046296296296295E-2</v>
      </c>
      <c r="V640" s="9">
        <f t="shared" si="59"/>
        <v>0.916412037037037</v>
      </c>
    </row>
    <row r="641" spans="1:22" x14ac:dyDescent="0.35">
      <c r="A641" s="52">
        <v>49587</v>
      </c>
      <c r="B641" s="31">
        <v>46118</v>
      </c>
      <c r="C641" s="7" t="s">
        <v>337</v>
      </c>
      <c r="D641" s="7">
        <v>353</v>
      </c>
      <c r="E641" s="10">
        <f>IFERROR(SUMIFS('Base bordo CD'!M$2:M$875,'Base bordo CD'!D$2:D$875,A641,'Base bordo CD'!A$2:A$875,B641,'Base bordo CD'!L$2:L$875,"CORTE DE CANA MECANIZADO"),0)</f>
        <v>1.8822222222222222</v>
      </c>
      <c r="F641" s="10">
        <f>IFERROR(SUMIFS('Base bordo CD'!M$2:M$875,'Base bordo CD'!D$2:D$875,A641,'Base bordo CD'!A$2:A$875,B641,'Base bordo CD'!L$2:L$875,"MANOBRA"),0)</f>
        <v>0.96111111111111103</v>
      </c>
      <c r="G641" s="10">
        <f>IFERROR(SUMIFS('Base bordo CD'!M$2:M$875,'Base bordo CD'!D$2:D$875,A641,'Base bordo CD'!A$2:A$875,B641,'Base bordo CD'!L$2:L$875,"DESLOCAMENTO"),0)</f>
        <v>0.12388888888888888</v>
      </c>
      <c r="H641" s="10">
        <f>IFERROR(SUMIFS('Base bordo CD'!M$2:M$875,'Base bordo CD'!D$2:D$875,A641,'Base bordo CD'!A$2:A$875,B641,'Base bordo CD'!L$2:L$875,"AGUARDANDO MANOBRA DE TRANSBORDO"),0)+IFERROR(SUMIFS('Base bordo CD'!M$2:M$875,'Base bordo CD'!D$2:D$875,A641,'Base bordo CD'!A$2:A$875,B641,'Base bordo CD'!L$2:L$875,"FALTA DE TRANSBORDO"),0)</f>
        <v>0</v>
      </c>
      <c r="I641" s="10">
        <f>IFERROR(SUMIFS('Base bordo CD'!M$2:M$875,'Base bordo CD'!D$2:D$875,A641,'Base bordo CD'!A$2:A$875,B641,'Base bordo CD'!L$2:L$875,"PARADA POR CONDICOES CLIMATICAS"),0)+IFERROR(SUMIFS('Base bordo CD'!M$2:M$875,'Base bordo CD'!D$2:D$875,A641,'Base bordo CD'!A$2:A$875,B641,'Base bordo CD'!L$2:L$875,"TEMPO INDETERMINADO"),0)</f>
        <v>2.4319444444444445</v>
      </c>
      <c r="J641" s="10">
        <f>IFERROR(SUMIFS('Base bordo CD'!M$2:M$875,'Base bordo CD'!D$2:D$875,A641,'Base bordo CD'!A$2:A$875,B641,'Base bordo CD'!L$2:L$875,"LIMITAÇÃO INDÚSTRIA"),0)</f>
        <v>15.731666666666667</v>
      </c>
      <c r="K641" s="10">
        <f>IFERROR(SUMIFS('Base bordo CD'!M$2:M$875,'Base bordo CD'!D$2:D$875,A641,'Base bordo CD'!A$2:A$875,B641,'Base bordo CD'!L$2:L$875,"MAN CORRETIVA*"),0)+IFERROR(SUMIFS('Base bordo CD'!M$2:M$875,'Base bordo CD'!D$2:D$875,A641,'Base bordo CD'!A$2:A$875,B641,'Base bordo CD'!L$2:L$875,"AGUARDANDO MANUTENCAO*"),0)+IFERROR(SUMIFS('Base bordo CD'!M$2:M$875,'Base bordo CD'!D$2:D$875,A641,'Base bordo CD'!A$2:A$875,B641,'Base bordo CD'!L$2:L$875,"TROCA DE FAQUINHA"),0)+IFERROR(SUMIFS('Base bordo CD'!M$2:M$875,'Base bordo CD'!D$2:D$875,A641,'Base bordo CD'!A$2:A$875,B641,'Base bordo CD'!L$2:L$875,"LIMPEZA*"),0)</f>
        <v>2.7750000000000004</v>
      </c>
      <c r="L641" s="10">
        <f>IFERROR(SUMIFS('Base bordo CD'!M$2:M$875,'Base bordo CD'!D$2:D$875,A641,'Base bordo CD'!A$2:A$875,B641,'Base bordo CD'!L$2:L$875,"PATIO - RESERVA"),0)</f>
        <v>0</v>
      </c>
      <c r="M641" s="10">
        <f>IFERROR(SUMIFS('Base bordo CD'!M$2:M$875,'Base bordo CD'!D$2:D$875,A641,'Base bordo CD'!A$2:A$875,B641,'Base bordo CD'!L$2:L$875,"SEM APONTAMENTO"),0)</f>
        <v>9.4166666666666662E-2</v>
      </c>
      <c r="N641" s="10">
        <f>IFERROR(SUMIFS('Base bordo CD'!M$2:M$875,'Base bordo CD'!D$2:D$875,A641,'Base bordo CD'!A$2:A$875,B641,'Base bordo CD'!L$2:L$875,"FALTA DE CAMINHÃO"),0)+IFERROR(SUMIFS('Base bordo CD'!M$2:M$875,'Base bordo CD'!D$2:D$875,A641,'Base bordo CD'!A$2:A$875,B641,'Base bordo CD'!L$2:L$875,"FALTA DE COMBUSTIVEL"),0)+IFERROR(SUMIFS('Base bordo CD'!M$2:M$875,'Base bordo CD'!D$2:D$875,A641,'Base bordo CD'!A$2:A$875,B641,'Base bordo CD'!L$2:L$875,"FALTA DE MOTORIST*"),0)</f>
        <v>0</v>
      </c>
      <c r="O641" s="10">
        <f t="shared" si="55"/>
        <v>0</v>
      </c>
      <c r="P641" s="10">
        <f>IFERROR(SUMIFS('Base bordo CD'!M$2:M$875,'Base bordo CD'!D$2:D$875,A641,'Base bordo CD'!A$2:A$875,B641),0)</f>
        <v>24</v>
      </c>
      <c r="Q641" s="10">
        <f>IFERROR(SUMIFS('Base bordo CD'!O$2:O$875,'Base bordo CD'!D$2:D$875,A641,'Base bordo CD'!A$2:A$875,B641,'Base bordo CD'!L$2:L$875,"CORTE DE CANA MECANIZADO"),0)</f>
        <v>24358.739999999998</v>
      </c>
      <c r="R641" s="10">
        <f>IFERROR(SUMIFS('Base bordo CD'!Q$2:Q$875,'Base bordo CD'!D$2:D$875,A641,'Base bordo CD'!A$2:A$875,B641,'Base bordo CD'!L$2:L$875,"CORTE DE CANA MECANIZADO"),0)</f>
        <v>6775</v>
      </c>
      <c r="S641" s="30">
        <f t="shared" si="56"/>
        <v>3.5953859778597783</v>
      </c>
      <c r="T641" s="9">
        <f t="shared" si="57"/>
        <v>7.8425925925925927E-2</v>
      </c>
      <c r="U641" s="9">
        <f t="shared" si="58"/>
        <v>4.0046296296296295E-2</v>
      </c>
      <c r="V641" s="9">
        <f t="shared" si="59"/>
        <v>0.916412037037037</v>
      </c>
    </row>
    <row r="642" spans="1:22" x14ac:dyDescent="0.35">
      <c r="A642" s="52">
        <v>49587</v>
      </c>
      <c r="B642" s="31">
        <v>46118</v>
      </c>
      <c r="C642" s="7" t="s">
        <v>337</v>
      </c>
      <c r="D642" s="7">
        <v>353</v>
      </c>
      <c r="E642" s="10">
        <f>IFERROR(SUMIFS('Base bordo CD'!M$2:M$875,'Base bordo CD'!D$2:D$875,A642,'Base bordo CD'!A$2:A$875,B642,'Base bordo CD'!L$2:L$875,"CORTE DE CANA MECANIZADO"),0)</f>
        <v>1.8822222222222222</v>
      </c>
      <c r="F642" s="10">
        <f>IFERROR(SUMIFS('Base bordo CD'!M$2:M$875,'Base bordo CD'!D$2:D$875,A642,'Base bordo CD'!A$2:A$875,B642,'Base bordo CD'!L$2:L$875,"MANOBRA"),0)</f>
        <v>0.96111111111111103</v>
      </c>
      <c r="G642" s="10">
        <f>IFERROR(SUMIFS('Base bordo CD'!M$2:M$875,'Base bordo CD'!D$2:D$875,A642,'Base bordo CD'!A$2:A$875,B642,'Base bordo CD'!L$2:L$875,"DESLOCAMENTO"),0)</f>
        <v>0.12388888888888888</v>
      </c>
      <c r="H642" s="10">
        <f>IFERROR(SUMIFS('Base bordo CD'!M$2:M$875,'Base bordo CD'!D$2:D$875,A642,'Base bordo CD'!A$2:A$875,B642,'Base bordo CD'!L$2:L$875,"AGUARDANDO MANOBRA DE TRANSBORDO"),0)+IFERROR(SUMIFS('Base bordo CD'!M$2:M$875,'Base bordo CD'!D$2:D$875,A642,'Base bordo CD'!A$2:A$875,B642,'Base bordo CD'!L$2:L$875,"FALTA DE TRANSBORDO"),0)</f>
        <v>0</v>
      </c>
      <c r="I642" s="10">
        <f>IFERROR(SUMIFS('Base bordo CD'!M$2:M$875,'Base bordo CD'!D$2:D$875,A642,'Base bordo CD'!A$2:A$875,B642,'Base bordo CD'!L$2:L$875,"PARADA POR CONDICOES CLIMATICAS"),0)+IFERROR(SUMIFS('Base bordo CD'!M$2:M$875,'Base bordo CD'!D$2:D$875,A642,'Base bordo CD'!A$2:A$875,B642,'Base bordo CD'!L$2:L$875,"TEMPO INDETERMINADO"),0)</f>
        <v>2.4319444444444445</v>
      </c>
      <c r="J642" s="10">
        <f>IFERROR(SUMIFS('Base bordo CD'!M$2:M$875,'Base bordo CD'!D$2:D$875,A642,'Base bordo CD'!A$2:A$875,B642,'Base bordo CD'!L$2:L$875,"LIMITAÇÃO INDÚSTRIA"),0)</f>
        <v>15.731666666666667</v>
      </c>
      <c r="K642" s="10">
        <f>IFERROR(SUMIFS('Base bordo CD'!M$2:M$875,'Base bordo CD'!D$2:D$875,A642,'Base bordo CD'!A$2:A$875,B642,'Base bordo CD'!L$2:L$875,"MAN CORRETIVA*"),0)+IFERROR(SUMIFS('Base bordo CD'!M$2:M$875,'Base bordo CD'!D$2:D$875,A642,'Base bordo CD'!A$2:A$875,B642,'Base bordo CD'!L$2:L$875,"AGUARDANDO MANUTENCAO*"),0)+IFERROR(SUMIFS('Base bordo CD'!M$2:M$875,'Base bordo CD'!D$2:D$875,A642,'Base bordo CD'!A$2:A$875,B642,'Base bordo CD'!L$2:L$875,"TROCA DE FAQUINHA"),0)+IFERROR(SUMIFS('Base bordo CD'!M$2:M$875,'Base bordo CD'!D$2:D$875,A642,'Base bordo CD'!A$2:A$875,B642,'Base bordo CD'!L$2:L$875,"LIMPEZA*"),0)</f>
        <v>2.7750000000000004</v>
      </c>
      <c r="L642" s="10">
        <f>IFERROR(SUMIFS('Base bordo CD'!M$2:M$875,'Base bordo CD'!D$2:D$875,A642,'Base bordo CD'!A$2:A$875,B642,'Base bordo CD'!L$2:L$875,"PATIO - RESERVA"),0)</f>
        <v>0</v>
      </c>
      <c r="M642" s="10">
        <f>IFERROR(SUMIFS('Base bordo CD'!M$2:M$875,'Base bordo CD'!D$2:D$875,A642,'Base bordo CD'!A$2:A$875,B642,'Base bordo CD'!L$2:L$875,"SEM APONTAMENTO"),0)</f>
        <v>9.4166666666666662E-2</v>
      </c>
      <c r="N642" s="10">
        <f>IFERROR(SUMIFS('Base bordo CD'!M$2:M$875,'Base bordo CD'!D$2:D$875,A642,'Base bordo CD'!A$2:A$875,B642,'Base bordo CD'!L$2:L$875,"FALTA DE CAMINHÃO"),0)+IFERROR(SUMIFS('Base bordo CD'!M$2:M$875,'Base bordo CD'!D$2:D$875,A642,'Base bordo CD'!A$2:A$875,B642,'Base bordo CD'!L$2:L$875,"FALTA DE COMBUSTIVEL"),0)+IFERROR(SUMIFS('Base bordo CD'!M$2:M$875,'Base bordo CD'!D$2:D$875,A642,'Base bordo CD'!A$2:A$875,B642,'Base bordo CD'!L$2:L$875,"FALTA DE MOTORIST*"),0)</f>
        <v>0</v>
      </c>
      <c r="O642" s="10">
        <f t="shared" si="55"/>
        <v>0</v>
      </c>
      <c r="P642" s="10">
        <f>IFERROR(SUMIFS('Base bordo CD'!M$2:M$875,'Base bordo CD'!D$2:D$875,A642,'Base bordo CD'!A$2:A$875,B642),0)</f>
        <v>24</v>
      </c>
      <c r="Q642" s="10">
        <f>IFERROR(SUMIFS('Base bordo CD'!O$2:O$875,'Base bordo CD'!D$2:D$875,A642,'Base bordo CD'!A$2:A$875,B642,'Base bordo CD'!L$2:L$875,"CORTE DE CANA MECANIZADO"),0)</f>
        <v>24358.739999999998</v>
      </c>
      <c r="R642" s="10">
        <f>IFERROR(SUMIFS('Base bordo CD'!Q$2:Q$875,'Base bordo CD'!D$2:D$875,A642,'Base bordo CD'!A$2:A$875,B642,'Base bordo CD'!L$2:L$875,"CORTE DE CANA MECANIZADO"),0)</f>
        <v>6775</v>
      </c>
      <c r="S642" s="30">
        <f t="shared" si="56"/>
        <v>3.5953859778597783</v>
      </c>
      <c r="T642" s="9">
        <f t="shared" si="57"/>
        <v>7.8425925925925927E-2</v>
      </c>
      <c r="U642" s="9">
        <f t="shared" si="58"/>
        <v>4.0046296296296295E-2</v>
      </c>
      <c r="V642" s="9">
        <f t="shared" si="59"/>
        <v>0.916412037037037</v>
      </c>
    </row>
    <row r="643" spans="1:22" x14ac:dyDescent="0.35">
      <c r="A643" s="52">
        <v>49587</v>
      </c>
      <c r="B643" s="31">
        <v>46118</v>
      </c>
      <c r="C643" s="7" t="s">
        <v>337</v>
      </c>
      <c r="D643" s="7">
        <v>353</v>
      </c>
      <c r="E643" s="10">
        <f>IFERROR(SUMIFS('Base bordo CD'!M$2:M$875,'Base bordo CD'!D$2:D$875,A643,'Base bordo CD'!A$2:A$875,B643,'Base bordo CD'!L$2:L$875,"CORTE DE CANA MECANIZADO"),0)</f>
        <v>1.8822222222222222</v>
      </c>
      <c r="F643" s="10">
        <f>IFERROR(SUMIFS('Base bordo CD'!M$2:M$875,'Base bordo CD'!D$2:D$875,A643,'Base bordo CD'!A$2:A$875,B643,'Base bordo CD'!L$2:L$875,"MANOBRA"),0)</f>
        <v>0.96111111111111103</v>
      </c>
      <c r="G643" s="10">
        <f>IFERROR(SUMIFS('Base bordo CD'!M$2:M$875,'Base bordo CD'!D$2:D$875,A643,'Base bordo CD'!A$2:A$875,B643,'Base bordo CD'!L$2:L$875,"DESLOCAMENTO"),0)</f>
        <v>0.12388888888888888</v>
      </c>
      <c r="H643" s="10">
        <f>IFERROR(SUMIFS('Base bordo CD'!M$2:M$875,'Base bordo CD'!D$2:D$875,A643,'Base bordo CD'!A$2:A$875,B643,'Base bordo CD'!L$2:L$875,"AGUARDANDO MANOBRA DE TRANSBORDO"),0)+IFERROR(SUMIFS('Base bordo CD'!M$2:M$875,'Base bordo CD'!D$2:D$875,A643,'Base bordo CD'!A$2:A$875,B643,'Base bordo CD'!L$2:L$875,"FALTA DE TRANSBORDO"),0)</f>
        <v>0</v>
      </c>
      <c r="I643" s="10">
        <f>IFERROR(SUMIFS('Base bordo CD'!M$2:M$875,'Base bordo CD'!D$2:D$875,A643,'Base bordo CD'!A$2:A$875,B643,'Base bordo CD'!L$2:L$875,"PARADA POR CONDICOES CLIMATICAS"),0)+IFERROR(SUMIFS('Base bordo CD'!M$2:M$875,'Base bordo CD'!D$2:D$875,A643,'Base bordo CD'!A$2:A$875,B643,'Base bordo CD'!L$2:L$875,"TEMPO INDETERMINADO"),0)</f>
        <v>2.4319444444444445</v>
      </c>
      <c r="J643" s="10">
        <f>IFERROR(SUMIFS('Base bordo CD'!M$2:M$875,'Base bordo CD'!D$2:D$875,A643,'Base bordo CD'!A$2:A$875,B643,'Base bordo CD'!L$2:L$875,"LIMITAÇÃO INDÚSTRIA"),0)</f>
        <v>15.731666666666667</v>
      </c>
      <c r="K643" s="10">
        <f>IFERROR(SUMIFS('Base bordo CD'!M$2:M$875,'Base bordo CD'!D$2:D$875,A643,'Base bordo CD'!A$2:A$875,B643,'Base bordo CD'!L$2:L$875,"MAN CORRETIVA*"),0)+IFERROR(SUMIFS('Base bordo CD'!M$2:M$875,'Base bordo CD'!D$2:D$875,A643,'Base bordo CD'!A$2:A$875,B643,'Base bordo CD'!L$2:L$875,"AGUARDANDO MANUTENCAO*"),0)+IFERROR(SUMIFS('Base bordo CD'!M$2:M$875,'Base bordo CD'!D$2:D$875,A643,'Base bordo CD'!A$2:A$875,B643,'Base bordo CD'!L$2:L$875,"TROCA DE FAQUINHA"),0)+IFERROR(SUMIFS('Base bordo CD'!M$2:M$875,'Base bordo CD'!D$2:D$875,A643,'Base bordo CD'!A$2:A$875,B643,'Base bordo CD'!L$2:L$875,"LIMPEZA*"),0)</f>
        <v>2.7750000000000004</v>
      </c>
      <c r="L643" s="10">
        <f>IFERROR(SUMIFS('Base bordo CD'!M$2:M$875,'Base bordo CD'!D$2:D$875,A643,'Base bordo CD'!A$2:A$875,B643,'Base bordo CD'!L$2:L$875,"PATIO - RESERVA"),0)</f>
        <v>0</v>
      </c>
      <c r="M643" s="10">
        <f>IFERROR(SUMIFS('Base bordo CD'!M$2:M$875,'Base bordo CD'!D$2:D$875,A643,'Base bordo CD'!A$2:A$875,B643,'Base bordo CD'!L$2:L$875,"SEM APONTAMENTO"),0)</f>
        <v>9.4166666666666662E-2</v>
      </c>
      <c r="N643" s="10">
        <f>IFERROR(SUMIFS('Base bordo CD'!M$2:M$875,'Base bordo CD'!D$2:D$875,A643,'Base bordo CD'!A$2:A$875,B643,'Base bordo CD'!L$2:L$875,"FALTA DE CAMINHÃO"),0)+IFERROR(SUMIFS('Base bordo CD'!M$2:M$875,'Base bordo CD'!D$2:D$875,A643,'Base bordo CD'!A$2:A$875,B643,'Base bordo CD'!L$2:L$875,"FALTA DE COMBUSTIVEL"),0)+IFERROR(SUMIFS('Base bordo CD'!M$2:M$875,'Base bordo CD'!D$2:D$875,A643,'Base bordo CD'!A$2:A$875,B643,'Base bordo CD'!L$2:L$875,"FALTA DE MOTORIST*"),0)</f>
        <v>0</v>
      </c>
      <c r="O643" s="10">
        <f t="shared" si="55"/>
        <v>0</v>
      </c>
      <c r="P643" s="10">
        <f>IFERROR(SUMIFS('Base bordo CD'!M$2:M$875,'Base bordo CD'!D$2:D$875,A643,'Base bordo CD'!A$2:A$875,B643),0)</f>
        <v>24</v>
      </c>
      <c r="Q643" s="10">
        <f>IFERROR(SUMIFS('Base bordo CD'!O$2:O$875,'Base bordo CD'!D$2:D$875,A643,'Base bordo CD'!A$2:A$875,B643,'Base bordo CD'!L$2:L$875,"CORTE DE CANA MECANIZADO"),0)</f>
        <v>24358.739999999998</v>
      </c>
      <c r="R643" s="10">
        <f>IFERROR(SUMIFS('Base bordo CD'!Q$2:Q$875,'Base bordo CD'!D$2:D$875,A643,'Base bordo CD'!A$2:A$875,B643,'Base bordo CD'!L$2:L$875,"CORTE DE CANA MECANIZADO"),0)</f>
        <v>6775</v>
      </c>
      <c r="S643" s="30">
        <f t="shared" si="56"/>
        <v>3.5953859778597783</v>
      </c>
      <c r="T643" s="9">
        <f t="shared" si="57"/>
        <v>7.8425925925925927E-2</v>
      </c>
      <c r="U643" s="9">
        <f t="shared" si="58"/>
        <v>4.0046296296296295E-2</v>
      </c>
      <c r="V643" s="9">
        <f t="shared" si="59"/>
        <v>0.916412037037037</v>
      </c>
    </row>
    <row r="644" spans="1:22" x14ac:dyDescent="0.35">
      <c r="A644" s="52">
        <v>49587</v>
      </c>
      <c r="B644" s="31">
        <v>46118</v>
      </c>
      <c r="C644" s="7" t="s">
        <v>337</v>
      </c>
      <c r="D644" s="7">
        <v>353</v>
      </c>
      <c r="E644" s="10">
        <f>IFERROR(SUMIFS('Base bordo CD'!M$2:M$875,'Base bordo CD'!D$2:D$875,A644,'Base bordo CD'!A$2:A$875,B644,'Base bordo CD'!L$2:L$875,"CORTE DE CANA MECANIZADO"),0)</f>
        <v>1.8822222222222222</v>
      </c>
      <c r="F644" s="10">
        <f>IFERROR(SUMIFS('Base bordo CD'!M$2:M$875,'Base bordo CD'!D$2:D$875,A644,'Base bordo CD'!A$2:A$875,B644,'Base bordo CD'!L$2:L$875,"MANOBRA"),0)</f>
        <v>0.96111111111111103</v>
      </c>
      <c r="G644" s="10">
        <f>IFERROR(SUMIFS('Base bordo CD'!M$2:M$875,'Base bordo CD'!D$2:D$875,A644,'Base bordo CD'!A$2:A$875,B644,'Base bordo CD'!L$2:L$875,"DESLOCAMENTO"),0)</f>
        <v>0.12388888888888888</v>
      </c>
      <c r="H644" s="10">
        <f>IFERROR(SUMIFS('Base bordo CD'!M$2:M$875,'Base bordo CD'!D$2:D$875,A644,'Base bordo CD'!A$2:A$875,B644,'Base bordo CD'!L$2:L$875,"AGUARDANDO MANOBRA DE TRANSBORDO"),0)+IFERROR(SUMIFS('Base bordo CD'!M$2:M$875,'Base bordo CD'!D$2:D$875,A644,'Base bordo CD'!A$2:A$875,B644,'Base bordo CD'!L$2:L$875,"FALTA DE TRANSBORDO"),0)</f>
        <v>0</v>
      </c>
      <c r="I644" s="10">
        <f>IFERROR(SUMIFS('Base bordo CD'!M$2:M$875,'Base bordo CD'!D$2:D$875,A644,'Base bordo CD'!A$2:A$875,B644,'Base bordo CD'!L$2:L$875,"PARADA POR CONDICOES CLIMATICAS"),0)+IFERROR(SUMIFS('Base bordo CD'!M$2:M$875,'Base bordo CD'!D$2:D$875,A644,'Base bordo CD'!A$2:A$875,B644,'Base bordo CD'!L$2:L$875,"TEMPO INDETERMINADO"),0)</f>
        <v>2.4319444444444445</v>
      </c>
      <c r="J644" s="10">
        <f>IFERROR(SUMIFS('Base bordo CD'!M$2:M$875,'Base bordo CD'!D$2:D$875,A644,'Base bordo CD'!A$2:A$875,B644,'Base bordo CD'!L$2:L$875,"LIMITAÇÃO INDÚSTRIA"),0)</f>
        <v>15.731666666666667</v>
      </c>
      <c r="K644" s="10">
        <f>IFERROR(SUMIFS('Base bordo CD'!M$2:M$875,'Base bordo CD'!D$2:D$875,A644,'Base bordo CD'!A$2:A$875,B644,'Base bordo CD'!L$2:L$875,"MAN CORRETIVA*"),0)+IFERROR(SUMIFS('Base bordo CD'!M$2:M$875,'Base bordo CD'!D$2:D$875,A644,'Base bordo CD'!A$2:A$875,B644,'Base bordo CD'!L$2:L$875,"AGUARDANDO MANUTENCAO*"),0)+IFERROR(SUMIFS('Base bordo CD'!M$2:M$875,'Base bordo CD'!D$2:D$875,A644,'Base bordo CD'!A$2:A$875,B644,'Base bordo CD'!L$2:L$875,"TROCA DE FAQUINHA"),0)+IFERROR(SUMIFS('Base bordo CD'!M$2:M$875,'Base bordo CD'!D$2:D$875,A644,'Base bordo CD'!A$2:A$875,B644,'Base bordo CD'!L$2:L$875,"LIMPEZA*"),0)</f>
        <v>2.7750000000000004</v>
      </c>
      <c r="L644" s="10">
        <f>IFERROR(SUMIFS('Base bordo CD'!M$2:M$875,'Base bordo CD'!D$2:D$875,A644,'Base bordo CD'!A$2:A$875,B644,'Base bordo CD'!L$2:L$875,"PATIO - RESERVA"),0)</f>
        <v>0</v>
      </c>
      <c r="M644" s="10">
        <f>IFERROR(SUMIFS('Base bordo CD'!M$2:M$875,'Base bordo CD'!D$2:D$875,A644,'Base bordo CD'!A$2:A$875,B644,'Base bordo CD'!L$2:L$875,"SEM APONTAMENTO"),0)</f>
        <v>9.4166666666666662E-2</v>
      </c>
      <c r="N644" s="10">
        <f>IFERROR(SUMIFS('Base bordo CD'!M$2:M$875,'Base bordo CD'!D$2:D$875,A644,'Base bordo CD'!A$2:A$875,B644,'Base bordo CD'!L$2:L$875,"FALTA DE CAMINHÃO"),0)+IFERROR(SUMIFS('Base bordo CD'!M$2:M$875,'Base bordo CD'!D$2:D$875,A644,'Base bordo CD'!A$2:A$875,B644,'Base bordo CD'!L$2:L$875,"FALTA DE COMBUSTIVEL"),0)+IFERROR(SUMIFS('Base bordo CD'!M$2:M$875,'Base bordo CD'!D$2:D$875,A644,'Base bordo CD'!A$2:A$875,B644,'Base bordo CD'!L$2:L$875,"FALTA DE MOTORIST*"),0)</f>
        <v>0</v>
      </c>
      <c r="O644" s="10">
        <f t="shared" si="55"/>
        <v>0</v>
      </c>
      <c r="P644" s="10">
        <f>IFERROR(SUMIFS('Base bordo CD'!M$2:M$875,'Base bordo CD'!D$2:D$875,A644,'Base bordo CD'!A$2:A$875,B644),0)</f>
        <v>24</v>
      </c>
      <c r="Q644" s="10">
        <f>IFERROR(SUMIFS('Base bordo CD'!O$2:O$875,'Base bordo CD'!D$2:D$875,A644,'Base bordo CD'!A$2:A$875,B644,'Base bordo CD'!L$2:L$875,"CORTE DE CANA MECANIZADO"),0)</f>
        <v>24358.739999999998</v>
      </c>
      <c r="R644" s="10">
        <f>IFERROR(SUMIFS('Base bordo CD'!Q$2:Q$875,'Base bordo CD'!D$2:D$875,A644,'Base bordo CD'!A$2:A$875,B644,'Base bordo CD'!L$2:L$875,"CORTE DE CANA MECANIZADO"),0)</f>
        <v>6775</v>
      </c>
      <c r="S644" s="30">
        <f t="shared" si="56"/>
        <v>3.5953859778597783</v>
      </c>
      <c r="T644" s="9">
        <f t="shared" si="57"/>
        <v>7.8425925925925927E-2</v>
      </c>
      <c r="U644" s="9">
        <f t="shared" si="58"/>
        <v>4.0046296296296295E-2</v>
      </c>
      <c r="V644" s="9">
        <f t="shared" si="59"/>
        <v>0.916412037037037</v>
      </c>
    </row>
    <row r="645" spans="1:22" x14ac:dyDescent="0.35">
      <c r="A645" s="52">
        <v>49587</v>
      </c>
      <c r="B645" s="31">
        <v>46118</v>
      </c>
      <c r="C645" s="7" t="s">
        <v>337</v>
      </c>
      <c r="D645" s="7">
        <v>353</v>
      </c>
      <c r="E645" s="10">
        <f>IFERROR(SUMIFS('Base bordo CD'!M$2:M$875,'Base bordo CD'!D$2:D$875,A645,'Base bordo CD'!A$2:A$875,B645,'Base bordo CD'!L$2:L$875,"CORTE DE CANA MECANIZADO"),0)</f>
        <v>1.8822222222222222</v>
      </c>
      <c r="F645" s="10">
        <f>IFERROR(SUMIFS('Base bordo CD'!M$2:M$875,'Base bordo CD'!D$2:D$875,A645,'Base bordo CD'!A$2:A$875,B645,'Base bordo CD'!L$2:L$875,"MANOBRA"),0)</f>
        <v>0.96111111111111103</v>
      </c>
      <c r="G645" s="10">
        <f>IFERROR(SUMIFS('Base bordo CD'!M$2:M$875,'Base bordo CD'!D$2:D$875,A645,'Base bordo CD'!A$2:A$875,B645,'Base bordo CD'!L$2:L$875,"DESLOCAMENTO"),0)</f>
        <v>0.12388888888888888</v>
      </c>
      <c r="H645" s="10">
        <f>IFERROR(SUMIFS('Base bordo CD'!M$2:M$875,'Base bordo CD'!D$2:D$875,A645,'Base bordo CD'!A$2:A$875,B645,'Base bordo CD'!L$2:L$875,"AGUARDANDO MANOBRA DE TRANSBORDO"),0)+IFERROR(SUMIFS('Base bordo CD'!M$2:M$875,'Base bordo CD'!D$2:D$875,A645,'Base bordo CD'!A$2:A$875,B645,'Base bordo CD'!L$2:L$875,"FALTA DE TRANSBORDO"),0)</f>
        <v>0</v>
      </c>
      <c r="I645" s="10">
        <f>IFERROR(SUMIFS('Base bordo CD'!M$2:M$875,'Base bordo CD'!D$2:D$875,A645,'Base bordo CD'!A$2:A$875,B645,'Base bordo CD'!L$2:L$875,"PARADA POR CONDICOES CLIMATICAS"),0)+IFERROR(SUMIFS('Base bordo CD'!M$2:M$875,'Base bordo CD'!D$2:D$875,A645,'Base bordo CD'!A$2:A$875,B645,'Base bordo CD'!L$2:L$875,"TEMPO INDETERMINADO"),0)</f>
        <v>2.4319444444444445</v>
      </c>
      <c r="J645" s="10">
        <f>IFERROR(SUMIFS('Base bordo CD'!M$2:M$875,'Base bordo CD'!D$2:D$875,A645,'Base bordo CD'!A$2:A$875,B645,'Base bordo CD'!L$2:L$875,"LIMITAÇÃO INDÚSTRIA"),0)</f>
        <v>15.731666666666667</v>
      </c>
      <c r="K645" s="10">
        <f>IFERROR(SUMIFS('Base bordo CD'!M$2:M$875,'Base bordo CD'!D$2:D$875,A645,'Base bordo CD'!A$2:A$875,B645,'Base bordo CD'!L$2:L$875,"MAN CORRETIVA*"),0)+IFERROR(SUMIFS('Base bordo CD'!M$2:M$875,'Base bordo CD'!D$2:D$875,A645,'Base bordo CD'!A$2:A$875,B645,'Base bordo CD'!L$2:L$875,"AGUARDANDO MANUTENCAO*"),0)+IFERROR(SUMIFS('Base bordo CD'!M$2:M$875,'Base bordo CD'!D$2:D$875,A645,'Base bordo CD'!A$2:A$875,B645,'Base bordo CD'!L$2:L$875,"TROCA DE FAQUINHA"),0)+IFERROR(SUMIFS('Base bordo CD'!M$2:M$875,'Base bordo CD'!D$2:D$875,A645,'Base bordo CD'!A$2:A$875,B645,'Base bordo CD'!L$2:L$875,"LIMPEZA*"),0)</f>
        <v>2.7750000000000004</v>
      </c>
      <c r="L645" s="10">
        <f>IFERROR(SUMIFS('Base bordo CD'!M$2:M$875,'Base bordo CD'!D$2:D$875,A645,'Base bordo CD'!A$2:A$875,B645,'Base bordo CD'!L$2:L$875,"PATIO - RESERVA"),0)</f>
        <v>0</v>
      </c>
      <c r="M645" s="10">
        <f>IFERROR(SUMIFS('Base bordo CD'!M$2:M$875,'Base bordo CD'!D$2:D$875,A645,'Base bordo CD'!A$2:A$875,B645,'Base bordo CD'!L$2:L$875,"SEM APONTAMENTO"),0)</f>
        <v>9.4166666666666662E-2</v>
      </c>
      <c r="N645" s="10">
        <f>IFERROR(SUMIFS('Base bordo CD'!M$2:M$875,'Base bordo CD'!D$2:D$875,A645,'Base bordo CD'!A$2:A$875,B645,'Base bordo CD'!L$2:L$875,"FALTA DE CAMINHÃO"),0)+IFERROR(SUMIFS('Base bordo CD'!M$2:M$875,'Base bordo CD'!D$2:D$875,A645,'Base bordo CD'!A$2:A$875,B645,'Base bordo CD'!L$2:L$875,"FALTA DE COMBUSTIVEL"),0)+IFERROR(SUMIFS('Base bordo CD'!M$2:M$875,'Base bordo CD'!D$2:D$875,A645,'Base bordo CD'!A$2:A$875,B645,'Base bordo CD'!L$2:L$875,"FALTA DE MOTORIST*"),0)</f>
        <v>0</v>
      </c>
      <c r="O645" s="10">
        <f t="shared" si="55"/>
        <v>0</v>
      </c>
      <c r="P645" s="10">
        <f>IFERROR(SUMIFS('Base bordo CD'!M$2:M$875,'Base bordo CD'!D$2:D$875,A645,'Base bordo CD'!A$2:A$875,B645),0)</f>
        <v>24</v>
      </c>
      <c r="Q645" s="10">
        <f>IFERROR(SUMIFS('Base bordo CD'!O$2:O$875,'Base bordo CD'!D$2:D$875,A645,'Base bordo CD'!A$2:A$875,B645,'Base bordo CD'!L$2:L$875,"CORTE DE CANA MECANIZADO"),0)</f>
        <v>24358.739999999998</v>
      </c>
      <c r="R645" s="10">
        <f>IFERROR(SUMIFS('Base bordo CD'!Q$2:Q$875,'Base bordo CD'!D$2:D$875,A645,'Base bordo CD'!A$2:A$875,B645,'Base bordo CD'!L$2:L$875,"CORTE DE CANA MECANIZADO"),0)</f>
        <v>6775</v>
      </c>
      <c r="S645" s="30">
        <f t="shared" si="56"/>
        <v>3.5953859778597783</v>
      </c>
      <c r="T645" s="9">
        <f t="shared" si="57"/>
        <v>7.8425925925925927E-2</v>
      </c>
      <c r="U645" s="9">
        <f t="shared" si="58"/>
        <v>4.0046296296296295E-2</v>
      </c>
      <c r="V645" s="9">
        <f t="shared" si="59"/>
        <v>0.916412037037037</v>
      </c>
    </row>
    <row r="646" spans="1:22" x14ac:dyDescent="0.35">
      <c r="A646" s="52">
        <v>49587</v>
      </c>
      <c r="B646" s="31">
        <v>46118</v>
      </c>
      <c r="C646" s="7" t="s">
        <v>337</v>
      </c>
      <c r="D646" s="7">
        <v>353</v>
      </c>
      <c r="E646" s="10">
        <f>IFERROR(SUMIFS('Base bordo CD'!M$2:M$875,'Base bordo CD'!D$2:D$875,A646,'Base bordo CD'!A$2:A$875,B646,'Base bordo CD'!L$2:L$875,"CORTE DE CANA MECANIZADO"),0)</f>
        <v>1.8822222222222222</v>
      </c>
      <c r="F646" s="10">
        <f>IFERROR(SUMIFS('Base bordo CD'!M$2:M$875,'Base bordo CD'!D$2:D$875,A646,'Base bordo CD'!A$2:A$875,B646,'Base bordo CD'!L$2:L$875,"MANOBRA"),0)</f>
        <v>0.96111111111111103</v>
      </c>
      <c r="G646" s="10">
        <f>IFERROR(SUMIFS('Base bordo CD'!M$2:M$875,'Base bordo CD'!D$2:D$875,A646,'Base bordo CD'!A$2:A$875,B646,'Base bordo CD'!L$2:L$875,"DESLOCAMENTO"),0)</f>
        <v>0.12388888888888888</v>
      </c>
      <c r="H646" s="10">
        <f>IFERROR(SUMIFS('Base bordo CD'!M$2:M$875,'Base bordo CD'!D$2:D$875,A646,'Base bordo CD'!A$2:A$875,B646,'Base bordo CD'!L$2:L$875,"AGUARDANDO MANOBRA DE TRANSBORDO"),0)+IFERROR(SUMIFS('Base bordo CD'!M$2:M$875,'Base bordo CD'!D$2:D$875,A646,'Base bordo CD'!A$2:A$875,B646,'Base bordo CD'!L$2:L$875,"FALTA DE TRANSBORDO"),0)</f>
        <v>0</v>
      </c>
      <c r="I646" s="10">
        <f>IFERROR(SUMIFS('Base bordo CD'!M$2:M$875,'Base bordo CD'!D$2:D$875,A646,'Base bordo CD'!A$2:A$875,B646,'Base bordo CD'!L$2:L$875,"PARADA POR CONDICOES CLIMATICAS"),0)+IFERROR(SUMIFS('Base bordo CD'!M$2:M$875,'Base bordo CD'!D$2:D$875,A646,'Base bordo CD'!A$2:A$875,B646,'Base bordo CD'!L$2:L$875,"TEMPO INDETERMINADO"),0)</f>
        <v>2.4319444444444445</v>
      </c>
      <c r="J646" s="10">
        <f>IFERROR(SUMIFS('Base bordo CD'!M$2:M$875,'Base bordo CD'!D$2:D$875,A646,'Base bordo CD'!A$2:A$875,B646,'Base bordo CD'!L$2:L$875,"LIMITAÇÃO INDÚSTRIA"),0)</f>
        <v>15.731666666666667</v>
      </c>
      <c r="K646" s="10">
        <f>IFERROR(SUMIFS('Base bordo CD'!M$2:M$875,'Base bordo CD'!D$2:D$875,A646,'Base bordo CD'!A$2:A$875,B646,'Base bordo CD'!L$2:L$875,"MAN CORRETIVA*"),0)+IFERROR(SUMIFS('Base bordo CD'!M$2:M$875,'Base bordo CD'!D$2:D$875,A646,'Base bordo CD'!A$2:A$875,B646,'Base bordo CD'!L$2:L$875,"AGUARDANDO MANUTENCAO*"),0)+IFERROR(SUMIFS('Base bordo CD'!M$2:M$875,'Base bordo CD'!D$2:D$875,A646,'Base bordo CD'!A$2:A$875,B646,'Base bordo CD'!L$2:L$875,"TROCA DE FAQUINHA"),0)+IFERROR(SUMIFS('Base bordo CD'!M$2:M$875,'Base bordo CD'!D$2:D$875,A646,'Base bordo CD'!A$2:A$875,B646,'Base bordo CD'!L$2:L$875,"LIMPEZA*"),0)</f>
        <v>2.7750000000000004</v>
      </c>
      <c r="L646" s="10">
        <f>IFERROR(SUMIFS('Base bordo CD'!M$2:M$875,'Base bordo CD'!D$2:D$875,A646,'Base bordo CD'!A$2:A$875,B646,'Base bordo CD'!L$2:L$875,"PATIO - RESERVA"),0)</f>
        <v>0</v>
      </c>
      <c r="M646" s="10">
        <f>IFERROR(SUMIFS('Base bordo CD'!M$2:M$875,'Base bordo CD'!D$2:D$875,A646,'Base bordo CD'!A$2:A$875,B646,'Base bordo CD'!L$2:L$875,"SEM APONTAMENTO"),0)</f>
        <v>9.4166666666666662E-2</v>
      </c>
      <c r="N646" s="10">
        <f>IFERROR(SUMIFS('Base bordo CD'!M$2:M$875,'Base bordo CD'!D$2:D$875,A646,'Base bordo CD'!A$2:A$875,B646,'Base bordo CD'!L$2:L$875,"FALTA DE CAMINHÃO"),0)+IFERROR(SUMIFS('Base bordo CD'!M$2:M$875,'Base bordo CD'!D$2:D$875,A646,'Base bordo CD'!A$2:A$875,B646,'Base bordo CD'!L$2:L$875,"FALTA DE COMBUSTIVEL"),0)+IFERROR(SUMIFS('Base bordo CD'!M$2:M$875,'Base bordo CD'!D$2:D$875,A646,'Base bordo CD'!A$2:A$875,B646,'Base bordo CD'!L$2:L$875,"FALTA DE MOTORIST*"),0)</f>
        <v>0</v>
      </c>
      <c r="O646" s="10">
        <f t="shared" si="55"/>
        <v>0</v>
      </c>
      <c r="P646" s="10">
        <f>IFERROR(SUMIFS('Base bordo CD'!M$2:M$875,'Base bordo CD'!D$2:D$875,A646,'Base bordo CD'!A$2:A$875,B646),0)</f>
        <v>24</v>
      </c>
      <c r="Q646" s="10">
        <f>IFERROR(SUMIFS('Base bordo CD'!O$2:O$875,'Base bordo CD'!D$2:D$875,A646,'Base bordo CD'!A$2:A$875,B646,'Base bordo CD'!L$2:L$875,"CORTE DE CANA MECANIZADO"),0)</f>
        <v>24358.739999999998</v>
      </c>
      <c r="R646" s="10">
        <f>IFERROR(SUMIFS('Base bordo CD'!Q$2:Q$875,'Base bordo CD'!D$2:D$875,A646,'Base bordo CD'!A$2:A$875,B646,'Base bordo CD'!L$2:L$875,"CORTE DE CANA MECANIZADO"),0)</f>
        <v>6775</v>
      </c>
      <c r="S646" s="30">
        <f t="shared" si="56"/>
        <v>3.5953859778597783</v>
      </c>
      <c r="T646" s="9">
        <f t="shared" si="57"/>
        <v>7.8425925925925927E-2</v>
      </c>
      <c r="U646" s="9">
        <f t="shared" si="58"/>
        <v>4.0046296296296295E-2</v>
      </c>
      <c r="V646" s="9">
        <f t="shared" si="59"/>
        <v>0.916412037037037</v>
      </c>
    </row>
    <row r="647" spans="1:22" x14ac:dyDescent="0.35">
      <c r="A647" s="52">
        <v>49587</v>
      </c>
      <c r="B647" s="31">
        <v>46118</v>
      </c>
      <c r="C647" s="7" t="s">
        <v>337</v>
      </c>
      <c r="D647" s="7">
        <v>353</v>
      </c>
      <c r="E647" s="10">
        <f>IFERROR(SUMIFS('Base bordo CD'!M$2:M$875,'Base bordo CD'!D$2:D$875,A647,'Base bordo CD'!A$2:A$875,B647,'Base bordo CD'!L$2:L$875,"CORTE DE CANA MECANIZADO"),0)</f>
        <v>1.8822222222222222</v>
      </c>
      <c r="F647" s="10">
        <f>IFERROR(SUMIFS('Base bordo CD'!M$2:M$875,'Base bordo CD'!D$2:D$875,A647,'Base bordo CD'!A$2:A$875,B647,'Base bordo CD'!L$2:L$875,"MANOBRA"),0)</f>
        <v>0.96111111111111103</v>
      </c>
      <c r="G647" s="10">
        <f>IFERROR(SUMIFS('Base bordo CD'!M$2:M$875,'Base bordo CD'!D$2:D$875,A647,'Base bordo CD'!A$2:A$875,B647,'Base bordo CD'!L$2:L$875,"DESLOCAMENTO"),0)</f>
        <v>0.12388888888888888</v>
      </c>
      <c r="H647" s="10">
        <f>IFERROR(SUMIFS('Base bordo CD'!M$2:M$875,'Base bordo CD'!D$2:D$875,A647,'Base bordo CD'!A$2:A$875,B647,'Base bordo CD'!L$2:L$875,"AGUARDANDO MANOBRA DE TRANSBORDO"),0)+IFERROR(SUMIFS('Base bordo CD'!M$2:M$875,'Base bordo CD'!D$2:D$875,A647,'Base bordo CD'!A$2:A$875,B647,'Base bordo CD'!L$2:L$875,"FALTA DE TRANSBORDO"),0)</f>
        <v>0</v>
      </c>
      <c r="I647" s="10">
        <f>IFERROR(SUMIFS('Base bordo CD'!M$2:M$875,'Base bordo CD'!D$2:D$875,A647,'Base bordo CD'!A$2:A$875,B647,'Base bordo CD'!L$2:L$875,"PARADA POR CONDICOES CLIMATICAS"),0)+IFERROR(SUMIFS('Base bordo CD'!M$2:M$875,'Base bordo CD'!D$2:D$875,A647,'Base bordo CD'!A$2:A$875,B647,'Base bordo CD'!L$2:L$875,"TEMPO INDETERMINADO"),0)</f>
        <v>2.4319444444444445</v>
      </c>
      <c r="J647" s="10">
        <f>IFERROR(SUMIFS('Base bordo CD'!M$2:M$875,'Base bordo CD'!D$2:D$875,A647,'Base bordo CD'!A$2:A$875,B647,'Base bordo CD'!L$2:L$875,"LIMITAÇÃO INDÚSTRIA"),0)</f>
        <v>15.731666666666667</v>
      </c>
      <c r="K647" s="10">
        <f>IFERROR(SUMIFS('Base bordo CD'!M$2:M$875,'Base bordo CD'!D$2:D$875,A647,'Base bordo CD'!A$2:A$875,B647,'Base bordo CD'!L$2:L$875,"MAN CORRETIVA*"),0)+IFERROR(SUMIFS('Base bordo CD'!M$2:M$875,'Base bordo CD'!D$2:D$875,A647,'Base bordo CD'!A$2:A$875,B647,'Base bordo CD'!L$2:L$875,"AGUARDANDO MANUTENCAO*"),0)+IFERROR(SUMIFS('Base bordo CD'!M$2:M$875,'Base bordo CD'!D$2:D$875,A647,'Base bordo CD'!A$2:A$875,B647,'Base bordo CD'!L$2:L$875,"TROCA DE FAQUINHA"),0)+IFERROR(SUMIFS('Base bordo CD'!M$2:M$875,'Base bordo CD'!D$2:D$875,A647,'Base bordo CD'!A$2:A$875,B647,'Base bordo CD'!L$2:L$875,"LIMPEZA*"),0)</f>
        <v>2.7750000000000004</v>
      </c>
      <c r="L647" s="10">
        <f>IFERROR(SUMIFS('Base bordo CD'!M$2:M$875,'Base bordo CD'!D$2:D$875,A647,'Base bordo CD'!A$2:A$875,B647,'Base bordo CD'!L$2:L$875,"PATIO - RESERVA"),0)</f>
        <v>0</v>
      </c>
      <c r="M647" s="10">
        <f>IFERROR(SUMIFS('Base bordo CD'!M$2:M$875,'Base bordo CD'!D$2:D$875,A647,'Base bordo CD'!A$2:A$875,B647,'Base bordo CD'!L$2:L$875,"SEM APONTAMENTO"),0)</f>
        <v>9.4166666666666662E-2</v>
      </c>
      <c r="N647" s="10">
        <f>IFERROR(SUMIFS('Base bordo CD'!M$2:M$875,'Base bordo CD'!D$2:D$875,A647,'Base bordo CD'!A$2:A$875,B647,'Base bordo CD'!L$2:L$875,"FALTA DE CAMINHÃO"),0)+IFERROR(SUMIFS('Base bordo CD'!M$2:M$875,'Base bordo CD'!D$2:D$875,A647,'Base bordo CD'!A$2:A$875,B647,'Base bordo CD'!L$2:L$875,"FALTA DE COMBUSTIVEL"),0)+IFERROR(SUMIFS('Base bordo CD'!M$2:M$875,'Base bordo CD'!D$2:D$875,A647,'Base bordo CD'!A$2:A$875,B647,'Base bordo CD'!L$2:L$875,"FALTA DE MOTORIST*"),0)</f>
        <v>0</v>
      </c>
      <c r="O647" s="10">
        <f t="shared" si="55"/>
        <v>0</v>
      </c>
      <c r="P647" s="10">
        <f>IFERROR(SUMIFS('Base bordo CD'!M$2:M$875,'Base bordo CD'!D$2:D$875,A647,'Base bordo CD'!A$2:A$875,B647),0)</f>
        <v>24</v>
      </c>
      <c r="Q647" s="10">
        <f>IFERROR(SUMIFS('Base bordo CD'!O$2:O$875,'Base bordo CD'!D$2:D$875,A647,'Base bordo CD'!A$2:A$875,B647,'Base bordo CD'!L$2:L$875,"CORTE DE CANA MECANIZADO"),0)</f>
        <v>24358.739999999998</v>
      </c>
      <c r="R647" s="10">
        <f>IFERROR(SUMIFS('Base bordo CD'!Q$2:Q$875,'Base bordo CD'!D$2:D$875,A647,'Base bordo CD'!A$2:A$875,B647,'Base bordo CD'!L$2:L$875,"CORTE DE CANA MECANIZADO"),0)</f>
        <v>6775</v>
      </c>
      <c r="S647" s="30">
        <f t="shared" si="56"/>
        <v>3.5953859778597783</v>
      </c>
      <c r="T647" s="9">
        <f t="shared" si="57"/>
        <v>7.8425925925925927E-2</v>
      </c>
      <c r="U647" s="9">
        <f t="shared" si="58"/>
        <v>4.0046296296296295E-2</v>
      </c>
      <c r="V647" s="9">
        <f t="shared" si="59"/>
        <v>0.916412037037037</v>
      </c>
    </row>
    <row r="648" spans="1:22" x14ac:dyDescent="0.35">
      <c r="A648" s="52">
        <v>49587</v>
      </c>
      <c r="B648" s="31">
        <v>46118</v>
      </c>
      <c r="C648" s="7" t="s">
        <v>337</v>
      </c>
      <c r="D648" s="7">
        <v>353</v>
      </c>
      <c r="E648" s="10">
        <f>IFERROR(SUMIFS('Base bordo CD'!M$2:M$875,'Base bordo CD'!D$2:D$875,A648,'Base bordo CD'!A$2:A$875,B648,'Base bordo CD'!L$2:L$875,"CORTE DE CANA MECANIZADO"),0)</f>
        <v>1.8822222222222222</v>
      </c>
      <c r="F648" s="10">
        <f>IFERROR(SUMIFS('Base bordo CD'!M$2:M$875,'Base bordo CD'!D$2:D$875,A648,'Base bordo CD'!A$2:A$875,B648,'Base bordo CD'!L$2:L$875,"MANOBRA"),0)</f>
        <v>0.96111111111111103</v>
      </c>
      <c r="G648" s="10">
        <f>IFERROR(SUMIFS('Base bordo CD'!M$2:M$875,'Base bordo CD'!D$2:D$875,A648,'Base bordo CD'!A$2:A$875,B648,'Base bordo CD'!L$2:L$875,"DESLOCAMENTO"),0)</f>
        <v>0.12388888888888888</v>
      </c>
      <c r="H648" s="10">
        <f>IFERROR(SUMIFS('Base bordo CD'!M$2:M$875,'Base bordo CD'!D$2:D$875,A648,'Base bordo CD'!A$2:A$875,B648,'Base bordo CD'!L$2:L$875,"AGUARDANDO MANOBRA DE TRANSBORDO"),0)+IFERROR(SUMIFS('Base bordo CD'!M$2:M$875,'Base bordo CD'!D$2:D$875,A648,'Base bordo CD'!A$2:A$875,B648,'Base bordo CD'!L$2:L$875,"FALTA DE TRANSBORDO"),0)</f>
        <v>0</v>
      </c>
      <c r="I648" s="10">
        <f>IFERROR(SUMIFS('Base bordo CD'!M$2:M$875,'Base bordo CD'!D$2:D$875,A648,'Base bordo CD'!A$2:A$875,B648,'Base bordo CD'!L$2:L$875,"PARADA POR CONDICOES CLIMATICAS"),0)+IFERROR(SUMIFS('Base bordo CD'!M$2:M$875,'Base bordo CD'!D$2:D$875,A648,'Base bordo CD'!A$2:A$875,B648,'Base bordo CD'!L$2:L$875,"TEMPO INDETERMINADO"),0)</f>
        <v>2.4319444444444445</v>
      </c>
      <c r="J648" s="10">
        <f>IFERROR(SUMIFS('Base bordo CD'!M$2:M$875,'Base bordo CD'!D$2:D$875,A648,'Base bordo CD'!A$2:A$875,B648,'Base bordo CD'!L$2:L$875,"LIMITAÇÃO INDÚSTRIA"),0)</f>
        <v>15.731666666666667</v>
      </c>
      <c r="K648" s="10">
        <f>IFERROR(SUMIFS('Base bordo CD'!M$2:M$875,'Base bordo CD'!D$2:D$875,A648,'Base bordo CD'!A$2:A$875,B648,'Base bordo CD'!L$2:L$875,"MAN CORRETIVA*"),0)+IFERROR(SUMIFS('Base bordo CD'!M$2:M$875,'Base bordo CD'!D$2:D$875,A648,'Base bordo CD'!A$2:A$875,B648,'Base bordo CD'!L$2:L$875,"AGUARDANDO MANUTENCAO*"),0)+IFERROR(SUMIFS('Base bordo CD'!M$2:M$875,'Base bordo CD'!D$2:D$875,A648,'Base bordo CD'!A$2:A$875,B648,'Base bordo CD'!L$2:L$875,"TROCA DE FAQUINHA"),0)+IFERROR(SUMIFS('Base bordo CD'!M$2:M$875,'Base bordo CD'!D$2:D$875,A648,'Base bordo CD'!A$2:A$875,B648,'Base bordo CD'!L$2:L$875,"LIMPEZA*"),0)</f>
        <v>2.7750000000000004</v>
      </c>
      <c r="L648" s="10">
        <f>IFERROR(SUMIFS('Base bordo CD'!M$2:M$875,'Base bordo CD'!D$2:D$875,A648,'Base bordo CD'!A$2:A$875,B648,'Base bordo CD'!L$2:L$875,"PATIO - RESERVA"),0)</f>
        <v>0</v>
      </c>
      <c r="M648" s="10">
        <f>IFERROR(SUMIFS('Base bordo CD'!M$2:M$875,'Base bordo CD'!D$2:D$875,A648,'Base bordo CD'!A$2:A$875,B648,'Base bordo CD'!L$2:L$875,"SEM APONTAMENTO"),0)</f>
        <v>9.4166666666666662E-2</v>
      </c>
      <c r="N648" s="10">
        <f>IFERROR(SUMIFS('Base bordo CD'!M$2:M$875,'Base bordo CD'!D$2:D$875,A648,'Base bordo CD'!A$2:A$875,B648,'Base bordo CD'!L$2:L$875,"FALTA DE CAMINHÃO"),0)+IFERROR(SUMIFS('Base bordo CD'!M$2:M$875,'Base bordo CD'!D$2:D$875,A648,'Base bordo CD'!A$2:A$875,B648,'Base bordo CD'!L$2:L$875,"FALTA DE COMBUSTIVEL"),0)+IFERROR(SUMIFS('Base bordo CD'!M$2:M$875,'Base bordo CD'!D$2:D$875,A648,'Base bordo CD'!A$2:A$875,B648,'Base bordo CD'!L$2:L$875,"FALTA DE MOTORIST*"),0)</f>
        <v>0</v>
      </c>
      <c r="O648" s="10">
        <f t="shared" si="55"/>
        <v>0</v>
      </c>
      <c r="P648" s="10">
        <f>IFERROR(SUMIFS('Base bordo CD'!M$2:M$875,'Base bordo CD'!D$2:D$875,A648,'Base bordo CD'!A$2:A$875,B648),0)</f>
        <v>24</v>
      </c>
      <c r="Q648" s="10">
        <f>IFERROR(SUMIFS('Base bordo CD'!O$2:O$875,'Base bordo CD'!D$2:D$875,A648,'Base bordo CD'!A$2:A$875,B648,'Base bordo CD'!L$2:L$875,"CORTE DE CANA MECANIZADO"),0)</f>
        <v>24358.739999999998</v>
      </c>
      <c r="R648" s="10">
        <f>IFERROR(SUMIFS('Base bordo CD'!Q$2:Q$875,'Base bordo CD'!D$2:D$875,A648,'Base bordo CD'!A$2:A$875,B648,'Base bordo CD'!L$2:L$875,"CORTE DE CANA MECANIZADO"),0)</f>
        <v>6775</v>
      </c>
      <c r="S648" s="30">
        <f t="shared" si="56"/>
        <v>3.5953859778597783</v>
      </c>
      <c r="T648" s="9">
        <f t="shared" si="57"/>
        <v>7.8425925925925927E-2</v>
      </c>
      <c r="U648" s="9">
        <f t="shared" si="58"/>
        <v>4.0046296296296295E-2</v>
      </c>
      <c r="V648" s="9">
        <f t="shared" si="59"/>
        <v>0.916412037037037</v>
      </c>
    </row>
    <row r="649" spans="1:22" x14ac:dyDescent="0.35">
      <c r="A649" s="52">
        <v>49587</v>
      </c>
      <c r="B649" s="31">
        <v>46118</v>
      </c>
      <c r="C649" s="7" t="s">
        <v>337</v>
      </c>
      <c r="D649" s="7">
        <v>353</v>
      </c>
      <c r="E649" s="10">
        <f>IFERROR(SUMIFS('Base bordo CD'!M$2:M$875,'Base bordo CD'!D$2:D$875,A649,'Base bordo CD'!A$2:A$875,B649,'Base bordo CD'!L$2:L$875,"CORTE DE CANA MECANIZADO"),0)</f>
        <v>1.8822222222222222</v>
      </c>
      <c r="F649" s="10">
        <f>IFERROR(SUMIFS('Base bordo CD'!M$2:M$875,'Base bordo CD'!D$2:D$875,A649,'Base bordo CD'!A$2:A$875,B649,'Base bordo CD'!L$2:L$875,"MANOBRA"),0)</f>
        <v>0.96111111111111103</v>
      </c>
      <c r="G649" s="10">
        <f>IFERROR(SUMIFS('Base bordo CD'!M$2:M$875,'Base bordo CD'!D$2:D$875,A649,'Base bordo CD'!A$2:A$875,B649,'Base bordo CD'!L$2:L$875,"DESLOCAMENTO"),0)</f>
        <v>0.12388888888888888</v>
      </c>
      <c r="H649" s="10">
        <f>IFERROR(SUMIFS('Base bordo CD'!M$2:M$875,'Base bordo CD'!D$2:D$875,A649,'Base bordo CD'!A$2:A$875,B649,'Base bordo CD'!L$2:L$875,"AGUARDANDO MANOBRA DE TRANSBORDO"),0)+IFERROR(SUMIFS('Base bordo CD'!M$2:M$875,'Base bordo CD'!D$2:D$875,A649,'Base bordo CD'!A$2:A$875,B649,'Base bordo CD'!L$2:L$875,"FALTA DE TRANSBORDO"),0)</f>
        <v>0</v>
      </c>
      <c r="I649" s="10">
        <f>IFERROR(SUMIFS('Base bordo CD'!M$2:M$875,'Base bordo CD'!D$2:D$875,A649,'Base bordo CD'!A$2:A$875,B649,'Base bordo CD'!L$2:L$875,"PARADA POR CONDICOES CLIMATICAS"),0)+IFERROR(SUMIFS('Base bordo CD'!M$2:M$875,'Base bordo CD'!D$2:D$875,A649,'Base bordo CD'!A$2:A$875,B649,'Base bordo CD'!L$2:L$875,"TEMPO INDETERMINADO"),0)</f>
        <v>2.4319444444444445</v>
      </c>
      <c r="J649" s="10">
        <f>IFERROR(SUMIFS('Base bordo CD'!M$2:M$875,'Base bordo CD'!D$2:D$875,A649,'Base bordo CD'!A$2:A$875,B649,'Base bordo CD'!L$2:L$875,"LIMITAÇÃO INDÚSTRIA"),0)</f>
        <v>15.731666666666667</v>
      </c>
      <c r="K649" s="10">
        <f>IFERROR(SUMIFS('Base bordo CD'!M$2:M$875,'Base bordo CD'!D$2:D$875,A649,'Base bordo CD'!A$2:A$875,B649,'Base bordo CD'!L$2:L$875,"MAN CORRETIVA*"),0)+IFERROR(SUMIFS('Base bordo CD'!M$2:M$875,'Base bordo CD'!D$2:D$875,A649,'Base bordo CD'!A$2:A$875,B649,'Base bordo CD'!L$2:L$875,"AGUARDANDO MANUTENCAO*"),0)+IFERROR(SUMIFS('Base bordo CD'!M$2:M$875,'Base bordo CD'!D$2:D$875,A649,'Base bordo CD'!A$2:A$875,B649,'Base bordo CD'!L$2:L$875,"TROCA DE FAQUINHA"),0)+IFERROR(SUMIFS('Base bordo CD'!M$2:M$875,'Base bordo CD'!D$2:D$875,A649,'Base bordo CD'!A$2:A$875,B649,'Base bordo CD'!L$2:L$875,"LIMPEZA*"),0)</f>
        <v>2.7750000000000004</v>
      </c>
      <c r="L649" s="10">
        <f>IFERROR(SUMIFS('Base bordo CD'!M$2:M$875,'Base bordo CD'!D$2:D$875,A649,'Base bordo CD'!A$2:A$875,B649,'Base bordo CD'!L$2:L$875,"PATIO - RESERVA"),0)</f>
        <v>0</v>
      </c>
      <c r="M649" s="10">
        <f>IFERROR(SUMIFS('Base bordo CD'!M$2:M$875,'Base bordo CD'!D$2:D$875,A649,'Base bordo CD'!A$2:A$875,B649,'Base bordo CD'!L$2:L$875,"SEM APONTAMENTO"),0)</f>
        <v>9.4166666666666662E-2</v>
      </c>
      <c r="N649" s="10">
        <f>IFERROR(SUMIFS('Base bordo CD'!M$2:M$875,'Base bordo CD'!D$2:D$875,A649,'Base bordo CD'!A$2:A$875,B649,'Base bordo CD'!L$2:L$875,"FALTA DE CAMINHÃO"),0)+IFERROR(SUMIFS('Base bordo CD'!M$2:M$875,'Base bordo CD'!D$2:D$875,A649,'Base bordo CD'!A$2:A$875,B649,'Base bordo CD'!L$2:L$875,"FALTA DE COMBUSTIVEL"),0)+IFERROR(SUMIFS('Base bordo CD'!M$2:M$875,'Base bordo CD'!D$2:D$875,A649,'Base bordo CD'!A$2:A$875,B649,'Base bordo CD'!L$2:L$875,"FALTA DE MOTORIST*"),0)</f>
        <v>0</v>
      </c>
      <c r="O649" s="10">
        <f t="shared" si="55"/>
        <v>0</v>
      </c>
      <c r="P649" s="10">
        <f>IFERROR(SUMIFS('Base bordo CD'!M$2:M$875,'Base bordo CD'!D$2:D$875,A649,'Base bordo CD'!A$2:A$875,B649),0)</f>
        <v>24</v>
      </c>
      <c r="Q649" s="10">
        <f>IFERROR(SUMIFS('Base bordo CD'!O$2:O$875,'Base bordo CD'!D$2:D$875,A649,'Base bordo CD'!A$2:A$875,B649,'Base bordo CD'!L$2:L$875,"CORTE DE CANA MECANIZADO"),0)</f>
        <v>24358.739999999998</v>
      </c>
      <c r="R649" s="10">
        <f>IFERROR(SUMIFS('Base bordo CD'!Q$2:Q$875,'Base bordo CD'!D$2:D$875,A649,'Base bordo CD'!A$2:A$875,B649,'Base bordo CD'!L$2:L$875,"CORTE DE CANA MECANIZADO"),0)</f>
        <v>6775</v>
      </c>
      <c r="S649" s="30">
        <f t="shared" si="56"/>
        <v>3.5953859778597783</v>
      </c>
      <c r="T649" s="9">
        <f t="shared" si="57"/>
        <v>7.8425925925925927E-2</v>
      </c>
      <c r="U649" s="9">
        <f t="shared" si="58"/>
        <v>4.0046296296296295E-2</v>
      </c>
      <c r="V649" s="9">
        <f t="shared" si="59"/>
        <v>0.916412037037037</v>
      </c>
    </row>
    <row r="650" spans="1:22" x14ac:dyDescent="0.35">
      <c r="A650" s="52">
        <v>49587</v>
      </c>
      <c r="B650" s="31">
        <v>46118</v>
      </c>
      <c r="C650" s="7" t="s">
        <v>337</v>
      </c>
      <c r="D650" s="7">
        <v>353</v>
      </c>
      <c r="E650" s="10">
        <f>IFERROR(SUMIFS('Base bordo CD'!M$2:M$875,'Base bordo CD'!D$2:D$875,A650,'Base bordo CD'!A$2:A$875,B650,'Base bordo CD'!L$2:L$875,"CORTE DE CANA MECANIZADO"),0)</f>
        <v>1.8822222222222222</v>
      </c>
      <c r="F650" s="10">
        <f>IFERROR(SUMIFS('Base bordo CD'!M$2:M$875,'Base bordo CD'!D$2:D$875,A650,'Base bordo CD'!A$2:A$875,B650,'Base bordo CD'!L$2:L$875,"MANOBRA"),0)</f>
        <v>0.96111111111111103</v>
      </c>
      <c r="G650" s="10">
        <f>IFERROR(SUMIFS('Base bordo CD'!M$2:M$875,'Base bordo CD'!D$2:D$875,A650,'Base bordo CD'!A$2:A$875,B650,'Base bordo CD'!L$2:L$875,"DESLOCAMENTO"),0)</f>
        <v>0.12388888888888888</v>
      </c>
      <c r="H650" s="10">
        <f>IFERROR(SUMIFS('Base bordo CD'!M$2:M$875,'Base bordo CD'!D$2:D$875,A650,'Base bordo CD'!A$2:A$875,B650,'Base bordo CD'!L$2:L$875,"AGUARDANDO MANOBRA DE TRANSBORDO"),0)+IFERROR(SUMIFS('Base bordo CD'!M$2:M$875,'Base bordo CD'!D$2:D$875,A650,'Base bordo CD'!A$2:A$875,B650,'Base bordo CD'!L$2:L$875,"FALTA DE TRANSBORDO"),0)</f>
        <v>0</v>
      </c>
      <c r="I650" s="10">
        <f>IFERROR(SUMIFS('Base bordo CD'!M$2:M$875,'Base bordo CD'!D$2:D$875,A650,'Base bordo CD'!A$2:A$875,B650,'Base bordo CD'!L$2:L$875,"PARADA POR CONDICOES CLIMATICAS"),0)+IFERROR(SUMIFS('Base bordo CD'!M$2:M$875,'Base bordo CD'!D$2:D$875,A650,'Base bordo CD'!A$2:A$875,B650,'Base bordo CD'!L$2:L$875,"TEMPO INDETERMINADO"),0)</f>
        <v>2.4319444444444445</v>
      </c>
      <c r="J650" s="10">
        <f>IFERROR(SUMIFS('Base bordo CD'!M$2:M$875,'Base bordo CD'!D$2:D$875,A650,'Base bordo CD'!A$2:A$875,B650,'Base bordo CD'!L$2:L$875,"LIMITAÇÃO INDÚSTRIA"),0)</f>
        <v>15.731666666666667</v>
      </c>
      <c r="K650" s="10">
        <f>IFERROR(SUMIFS('Base bordo CD'!M$2:M$875,'Base bordo CD'!D$2:D$875,A650,'Base bordo CD'!A$2:A$875,B650,'Base bordo CD'!L$2:L$875,"MAN CORRETIVA*"),0)+IFERROR(SUMIFS('Base bordo CD'!M$2:M$875,'Base bordo CD'!D$2:D$875,A650,'Base bordo CD'!A$2:A$875,B650,'Base bordo CD'!L$2:L$875,"AGUARDANDO MANUTENCAO*"),0)+IFERROR(SUMIFS('Base bordo CD'!M$2:M$875,'Base bordo CD'!D$2:D$875,A650,'Base bordo CD'!A$2:A$875,B650,'Base bordo CD'!L$2:L$875,"TROCA DE FAQUINHA"),0)+IFERROR(SUMIFS('Base bordo CD'!M$2:M$875,'Base bordo CD'!D$2:D$875,A650,'Base bordo CD'!A$2:A$875,B650,'Base bordo CD'!L$2:L$875,"LIMPEZA*"),0)</f>
        <v>2.7750000000000004</v>
      </c>
      <c r="L650" s="10">
        <f>IFERROR(SUMIFS('Base bordo CD'!M$2:M$875,'Base bordo CD'!D$2:D$875,A650,'Base bordo CD'!A$2:A$875,B650,'Base bordo CD'!L$2:L$875,"PATIO - RESERVA"),0)</f>
        <v>0</v>
      </c>
      <c r="M650" s="10">
        <f>IFERROR(SUMIFS('Base bordo CD'!M$2:M$875,'Base bordo CD'!D$2:D$875,A650,'Base bordo CD'!A$2:A$875,B650,'Base bordo CD'!L$2:L$875,"SEM APONTAMENTO"),0)</f>
        <v>9.4166666666666662E-2</v>
      </c>
      <c r="N650" s="10">
        <f>IFERROR(SUMIFS('Base bordo CD'!M$2:M$875,'Base bordo CD'!D$2:D$875,A650,'Base bordo CD'!A$2:A$875,B650,'Base bordo CD'!L$2:L$875,"FALTA DE CAMINHÃO"),0)+IFERROR(SUMIFS('Base bordo CD'!M$2:M$875,'Base bordo CD'!D$2:D$875,A650,'Base bordo CD'!A$2:A$875,B650,'Base bordo CD'!L$2:L$875,"FALTA DE COMBUSTIVEL"),0)+IFERROR(SUMIFS('Base bordo CD'!M$2:M$875,'Base bordo CD'!D$2:D$875,A650,'Base bordo CD'!A$2:A$875,B650,'Base bordo CD'!L$2:L$875,"FALTA DE MOTORIST*"),0)</f>
        <v>0</v>
      </c>
      <c r="O650" s="10">
        <f t="shared" si="55"/>
        <v>0</v>
      </c>
      <c r="P650" s="10">
        <f>IFERROR(SUMIFS('Base bordo CD'!M$2:M$875,'Base bordo CD'!D$2:D$875,A650,'Base bordo CD'!A$2:A$875,B650),0)</f>
        <v>24</v>
      </c>
      <c r="Q650" s="10">
        <f>IFERROR(SUMIFS('Base bordo CD'!O$2:O$875,'Base bordo CD'!D$2:D$875,A650,'Base bordo CD'!A$2:A$875,B650,'Base bordo CD'!L$2:L$875,"CORTE DE CANA MECANIZADO"),0)</f>
        <v>24358.739999999998</v>
      </c>
      <c r="R650" s="10">
        <f>IFERROR(SUMIFS('Base bordo CD'!Q$2:Q$875,'Base bordo CD'!D$2:D$875,A650,'Base bordo CD'!A$2:A$875,B650,'Base bordo CD'!L$2:L$875,"CORTE DE CANA MECANIZADO"),0)</f>
        <v>6775</v>
      </c>
      <c r="S650" s="30">
        <f t="shared" si="56"/>
        <v>3.5953859778597783</v>
      </c>
      <c r="T650" s="9">
        <f t="shared" si="57"/>
        <v>7.8425925925925927E-2</v>
      </c>
      <c r="U650" s="9">
        <f t="shared" si="58"/>
        <v>4.0046296296296295E-2</v>
      </c>
      <c r="V650" s="9">
        <f t="shared" si="59"/>
        <v>0.916412037037037</v>
      </c>
    </row>
    <row r="651" spans="1:22" x14ac:dyDescent="0.35">
      <c r="A651" s="52">
        <v>49587</v>
      </c>
      <c r="B651" s="31">
        <v>46118</v>
      </c>
      <c r="C651" s="7" t="s">
        <v>337</v>
      </c>
      <c r="D651" s="7">
        <v>353</v>
      </c>
      <c r="E651" s="10">
        <f>IFERROR(SUMIFS('Base bordo CD'!M$2:M$875,'Base bordo CD'!D$2:D$875,A651,'Base bordo CD'!A$2:A$875,B651,'Base bordo CD'!L$2:L$875,"CORTE DE CANA MECANIZADO"),0)</f>
        <v>1.8822222222222222</v>
      </c>
      <c r="F651" s="10">
        <f>IFERROR(SUMIFS('Base bordo CD'!M$2:M$875,'Base bordo CD'!D$2:D$875,A651,'Base bordo CD'!A$2:A$875,B651,'Base bordo CD'!L$2:L$875,"MANOBRA"),0)</f>
        <v>0.96111111111111103</v>
      </c>
      <c r="G651" s="10">
        <f>IFERROR(SUMIFS('Base bordo CD'!M$2:M$875,'Base bordo CD'!D$2:D$875,A651,'Base bordo CD'!A$2:A$875,B651,'Base bordo CD'!L$2:L$875,"DESLOCAMENTO"),0)</f>
        <v>0.12388888888888888</v>
      </c>
      <c r="H651" s="10">
        <f>IFERROR(SUMIFS('Base bordo CD'!M$2:M$875,'Base bordo CD'!D$2:D$875,A651,'Base bordo CD'!A$2:A$875,B651,'Base bordo CD'!L$2:L$875,"AGUARDANDO MANOBRA DE TRANSBORDO"),0)+IFERROR(SUMIFS('Base bordo CD'!M$2:M$875,'Base bordo CD'!D$2:D$875,A651,'Base bordo CD'!A$2:A$875,B651,'Base bordo CD'!L$2:L$875,"FALTA DE TRANSBORDO"),0)</f>
        <v>0</v>
      </c>
      <c r="I651" s="10">
        <f>IFERROR(SUMIFS('Base bordo CD'!M$2:M$875,'Base bordo CD'!D$2:D$875,A651,'Base bordo CD'!A$2:A$875,B651,'Base bordo CD'!L$2:L$875,"PARADA POR CONDICOES CLIMATICAS"),0)+IFERROR(SUMIFS('Base bordo CD'!M$2:M$875,'Base bordo CD'!D$2:D$875,A651,'Base bordo CD'!A$2:A$875,B651,'Base bordo CD'!L$2:L$875,"TEMPO INDETERMINADO"),0)</f>
        <v>2.4319444444444445</v>
      </c>
      <c r="J651" s="10">
        <f>IFERROR(SUMIFS('Base bordo CD'!M$2:M$875,'Base bordo CD'!D$2:D$875,A651,'Base bordo CD'!A$2:A$875,B651,'Base bordo CD'!L$2:L$875,"LIMITAÇÃO INDÚSTRIA"),0)</f>
        <v>15.731666666666667</v>
      </c>
      <c r="K651" s="10">
        <f>IFERROR(SUMIFS('Base bordo CD'!M$2:M$875,'Base bordo CD'!D$2:D$875,A651,'Base bordo CD'!A$2:A$875,B651,'Base bordo CD'!L$2:L$875,"MAN CORRETIVA*"),0)+IFERROR(SUMIFS('Base bordo CD'!M$2:M$875,'Base bordo CD'!D$2:D$875,A651,'Base bordo CD'!A$2:A$875,B651,'Base bordo CD'!L$2:L$875,"AGUARDANDO MANUTENCAO*"),0)+IFERROR(SUMIFS('Base bordo CD'!M$2:M$875,'Base bordo CD'!D$2:D$875,A651,'Base bordo CD'!A$2:A$875,B651,'Base bordo CD'!L$2:L$875,"TROCA DE FAQUINHA"),0)+IFERROR(SUMIFS('Base bordo CD'!M$2:M$875,'Base bordo CD'!D$2:D$875,A651,'Base bordo CD'!A$2:A$875,B651,'Base bordo CD'!L$2:L$875,"LIMPEZA*"),0)</f>
        <v>2.7750000000000004</v>
      </c>
      <c r="L651" s="10">
        <f>IFERROR(SUMIFS('Base bordo CD'!M$2:M$875,'Base bordo CD'!D$2:D$875,A651,'Base bordo CD'!A$2:A$875,B651,'Base bordo CD'!L$2:L$875,"PATIO - RESERVA"),0)</f>
        <v>0</v>
      </c>
      <c r="M651" s="10">
        <f>IFERROR(SUMIFS('Base bordo CD'!M$2:M$875,'Base bordo CD'!D$2:D$875,A651,'Base bordo CD'!A$2:A$875,B651,'Base bordo CD'!L$2:L$875,"SEM APONTAMENTO"),0)</f>
        <v>9.4166666666666662E-2</v>
      </c>
      <c r="N651" s="10">
        <f>IFERROR(SUMIFS('Base bordo CD'!M$2:M$875,'Base bordo CD'!D$2:D$875,A651,'Base bordo CD'!A$2:A$875,B651,'Base bordo CD'!L$2:L$875,"FALTA DE CAMINHÃO"),0)+IFERROR(SUMIFS('Base bordo CD'!M$2:M$875,'Base bordo CD'!D$2:D$875,A651,'Base bordo CD'!A$2:A$875,B651,'Base bordo CD'!L$2:L$875,"FALTA DE COMBUSTIVEL"),0)+IFERROR(SUMIFS('Base bordo CD'!M$2:M$875,'Base bordo CD'!D$2:D$875,A651,'Base bordo CD'!A$2:A$875,B651,'Base bordo CD'!L$2:L$875,"FALTA DE MOTORIST*"),0)</f>
        <v>0</v>
      </c>
      <c r="O651" s="10">
        <f t="shared" si="55"/>
        <v>0</v>
      </c>
      <c r="P651" s="10">
        <f>IFERROR(SUMIFS('Base bordo CD'!M$2:M$875,'Base bordo CD'!D$2:D$875,A651,'Base bordo CD'!A$2:A$875,B651),0)</f>
        <v>24</v>
      </c>
      <c r="Q651" s="10">
        <f>IFERROR(SUMIFS('Base bordo CD'!O$2:O$875,'Base bordo CD'!D$2:D$875,A651,'Base bordo CD'!A$2:A$875,B651,'Base bordo CD'!L$2:L$875,"CORTE DE CANA MECANIZADO"),0)</f>
        <v>24358.739999999998</v>
      </c>
      <c r="R651" s="10">
        <f>IFERROR(SUMIFS('Base bordo CD'!Q$2:Q$875,'Base bordo CD'!D$2:D$875,A651,'Base bordo CD'!A$2:A$875,B651,'Base bordo CD'!L$2:L$875,"CORTE DE CANA MECANIZADO"),0)</f>
        <v>6775</v>
      </c>
      <c r="S651" s="30">
        <f t="shared" si="56"/>
        <v>3.5953859778597783</v>
      </c>
      <c r="T651" s="9">
        <f t="shared" si="57"/>
        <v>7.8425925925925927E-2</v>
      </c>
      <c r="U651" s="9">
        <f t="shared" si="58"/>
        <v>4.0046296296296295E-2</v>
      </c>
      <c r="V651" s="9">
        <f t="shared" si="59"/>
        <v>0.916412037037037</v>
      </c>
    </row>
    <row r="652" spans="1:22" x14ac:dyDescent="0.35">
      <c r="A652" s="52">
        <v>49587</v>
      </c>
      <c r="B652" s="31">
        <v>46118</v>
      </c>
      <c r="C652" s="7" t="s">
        <v>337</v>
      </c>
      <c r="D652" s="7">
        <v>353</v>
      </c>
      <c r="E652" s="10">
        <f>IFERROR(SUMIFS('Base bordo CD'!M$2:M$875,'Base bordo CD'!D$2:D$875,A652,'Base bordo CD'!A$2:A$875,B652,'Base bordo CD'!L$2:L$875,"CORTE DE CANA MECANIZADO"),0)</f>
        <v>1.8822222222222222</v>
      </c>
      <c r="F652" s="10">
        <f>IFERROR(SUMIFS('Base bordo CD'!M$2:M$875,'Base bordo CD'!D$2:D$875,A652,'Base bordo CD'!A$2:A$875,B652,'Base bordo CD'!L$2:L$875,"MANOBRA"),0)</f>
        <v>0.96111111111111103</v>
      </c>
      <c r="G652" s="10">
        <f>IFERROR(SUMIFS('Base bordo CD'!M$2:M$875,'Base bordo CD'!D$2:D$875,A652,'Base bordo CD'!A$2:A$875,B652,'Base bordo CD'!L$2:L$875,"DESLOCAMENTO"),0)</f>
        <v>0.12388888888888888</v>
      </c>
      <c r="H652" s="10">
        <f>IFERROR(SUMIFS('Base bordo CD'!M$2:M$875,'Base bordo CD'!D$2:D$875,A652,'Base bordo CD'!A$2:A$875,B652,'Base bordo CD'!L$2:L$875,"AGUARDANDO MANOBRA DE TRANSBORDO"),0)+IFERROR(SUMIFS('Base bordo CD'!M$2:M$875,'Base bordo CD'!D$2:D$875,A652,'Base bordo CD'!A$2:A$875,B652,'Base bordo CD'!L$2:L$875,"FALTA DE TRANSBORDO"),0)</f>
        <v>0</v>
      </c>
      <c r="I652" s="10">
        <f>IFERROR(SUMIFS('Base bordo CD'!M$2:M$875,'Base bordo CD'!D$2:D$875,A652,'Base bordo CD'!A$2:A$875,B652,'Base bordo CD'!L$2:L$875,"PARADA POR CONDICOES CLIMATICAS"),0)+IFERROR(SUMIFS('Base bordo CD'!M$2:M$875,'Base bordo CD'!D$2:D$875,A652,'Base bordo CD'!A$2:A$875,B652,'Base bordo CD'!L$2:L$875,"TEMPO INDETERMINADO"),0)</f>
        <v>2.4319444444444445</v>
      </c>
      <c r="J652" s="10">
        <f>IFERROR(SUMIFS('Base bordo CD'!M$2:M$875,'Base bordo CD'!D$2:D$875,A652,'Base bordo CD'!A$2:A$875,B652,'Base bordo CD'!L$2:L$875,"LIMITAÇÃO INDÚSTRIA"),0)</f>
        <v>15.731666666666667</v>
      </c>
      <c r="K652" s="10">
        <f>IFERROR(SUMIFS('Base bordo CD'!M$2:M$875,'Base bordo CD'!D$2:D$875,A652,'Base bordo CD'!A$2:A$875,B652,'Base bordo CD'!L$2:L$875,"MAN CORRETIVA*"),0)+IFERROR(SUMIFS('Base bordo CD'!M$2:M$875,'Base bordo CD'!D$2:D$875,A652,'Base bordo CD'!A$2:A$875,B652,'Base bordo CD'!L$2:L$875,"AGUARDANDO MANUTENCAO*"),0)+IFERROR(SUMIFS('Base bordo CD'!M$2:M$875,'Base bordo CD'!D$2:D$875,A652,'Base bordo CD'!A$2:A$875,B652,'Base bordo CD'!L$2:L$875,"TROCA DE FAQUINHA"),0)+IFERROR(SUMIFS('Base bordo CD'!M$2:M$875,'Base bordo CD'!D$2:D$875,A652,'Base bordo CD'!A$2:A$875,B652,'Base bordo CD'!L$2:L$875,"LIMPEZA*"),0)</f>
        <v>2.7750000000000004</v>
      </c>
      <c r="L652" s="10">
        <f>IFERROR(SUMIFS('Base bordo CD'!M$2:M$875,'Base bordo CD'!D$2:D$875,A652,'Base bordo CD'!A$2:A$875,B652,'Base bordo CD'!L$2:L$875,"PATIO - RESERVA"),0)</f>
        <v>0</v>
      </c>
      <c r="M652" s="10">
        <f>IFERROR(SUMIFS('Base bordo CD'!M$2:M$875,'Base bordo CD'!D$2:D$875,A652,'Base bordo CD'!A$2:A$875,B652,'Base bordo CD'!L$2:L$875,"SEM APONTAMENTO"),0)</f>
        <v>9.4166666666666662E-2</v>
      </c>
      <c r="N652" s="10">
        <f>IFERROR(SUMIFS('Base bordo CD'!M$2:M$875,'Base bordo CD'!D$2:D$875,A652,'Base bordo CD'!A$2:A$875,B652,'Base bordo CD'!L$2:L$875,"FALTA DE CAMINHÃO"),0)+IFERROR(SUMIFS('Base bordo CD'!M$2:M$875,'Base bordo CD'!D$2:D$875,A652,'Base bordo CD'!A$2:A$875,B652,'Base bordo CD'!L$2:L$875,"FALTA DE COMBUSTIVEL"),0)+IFERROR(SUMIFS('Base bordo CD'!M$2:M$875,'Base bordo CD'!D$2:D$875,A652,'Base bordo CD'!A$2:A$875,B652,'Base bordo CD'!L$2:L$875,"FALTA DE MOTORIST*"),0)</f>
        <v>0</v>
      </c>
      <c r="O652" s="10">
        <f t="shared" si="55"/>
        <v>0</v>
      </c>
      <c r="P652" s="10">
        <f>IFERROR(SUMIFS('Base bordo CD'!M$2:M$875,'Base bordo CD'!D$2:D$875,A652,'Base bordo CD'!A$2:A$875,B652),0)</f>
        <v>24</v>
      </c>
      <c r="Q652" s="10">
        <f>IFERROR(SUMIFS('Base bordo CD'!O$2:O$875,'Base bordo CD'!D$2:D$875,A652,'Base bordo CD'!A$2:A$875,B652,'Base bordo CD'!L$2:L$875,"CORTE DE CANA MECANIZADO"),0)</f>
        <v>24358.739999999998</v>
      </c>
      <c r="R652" s="10">
        <f>IFERROR(SUMIFS('Base bordo CD'!Q$2:Q$875,'Base bordo CD'!D$2:D$875,A652,'Base bordo CD'!A$2:A$875,B652,'Base bordo CD'!L$2:L$875,"CORTE DE CANA MECANIZADO"),0)</f>
        <v>6775</v>
      </c>
      <c r="S652" s="30">
        <f t="shared" si="56"/>
        <v>3.5953859778597783</v>
      </c>
      <c r="T652" s="9">
        <f t="shared" si="57"/>
        <v>7.8425925925925927E-2</v>
      </c>
      <c r="U652" s="9">
        <f t="shared" si="58"/>
        <v>4.0046296296296295E-2</v>
      </c>
      <c r="V652" s="9">
        <f t="shared" si="59"/>
        <v>0.916412037037037</v>
      </c>
    </row>
    <row r="653" spans="1:22" x14ac:dyDescent="0.35">
      <c r="A653" s="52">
        <v>49587</v>
      </c>
      <c r="B653" s="31">
        <v>46118</v>
      </c>
      <c r="C653" s="7" t="s">
        <v>337</v>
      </c>
      <c r="D653" s="7">
        <v>353</v>
      </c>
      <c r="E653" s="10">
        <f>IFERROR(SUMIFS('Base bordo CD'!M$2:M$875,'Base bordo CD'!D$2:D$875,A653,'Base bordo CD'!A$2:A$875,B653,'Base bordo CD'!L$2:L$875,"CORTE DE CANA MECANIZADO"),0)</f>
        <v>1.8822222222222222</v>
      </c>
      <c r="F653" s="10">
        <f>IFERROR(SUMIFS('Base bordo CD'!M$2:M$875,'Base bordo CD'!D$2:D$875,A653,'Base bordo CD'!A$2:A$875,B653,'Base bordo CD'!L$2:L$875,"MANOBRA"),0)</f>
        <v>0.96111111111111103</v>
      </c>
      <c r="G653" s="10">
        <f>IFERROR(SUMIFS('Base bordo CD'!M$2:M$875,'Base bordo CD'!D$2:D$875,A653,'Base bordo CD'!A$2:A$875,B653,'Base bordo CD'!L$2:L$875,"DESLOCAMENTO"),0)</f>
        <v>0.12388888888888888</v>
      </c>
      <c r="H653" s="10">
        <f>IFERROR(SUMIFS('Base bordo CD'!M$2:M$875,'Base bordo CD'!D$2:D$875,A653,'Base bordo CD'!A$2:A$875,B653,'Base bordo CD'!L$2:L$875,"AGUARDANDO MANOBRA DE TRANSBORDO"),0)+IFERROR(SUMIFS('Base bordo CD'!M$2:M$875,'Base bordo CD'!D$2:D$875,A653,'Base bordo CD'!A$2:A$875,B653,'Base bordo CD'!L$2:L$875,"FALTA DE TRANSBORDO"),0)</f>
        <v>0</v>
      </c>
      <c r="I653" s="10">
        <f>IFERROR(SUMIFS('Base bordo CD'!M$2:M$875,'Base bordo CD'!D$2:D$875,A653,'Base bordo CD'!A$2:A$875,B653,'Base bordo CD'!L$2:L$875,"PARADA POR CONDICOES CLIMATICAS"),0)+IFERROR(SUMIFS('Base bordo CD'!M$2:M$875,'Base bordo CD'!D$2:D$875,A653,'Base bordo CD'!A$2:A$875,B653,'Base bordo CD'!L$2:L$875,"TEMPO INDETERMINADO"),0)</f>
        <v>2.4319444444444445</v>
      </c>
      <c r="J653" s="10">
        <f>IFERROR(SUMIFS('Base bordo CD'!M$2:M$875,'Base bordo CD'!D$2:D$875,A653,'Base bordo CD'!A$2:A$875,B653,'Base bordo CD'!L$2:L$875,"LIMITAÇÃO INDÚSTRIA"),0)</f>
        <v>15.731666666666667</v>
      </c>
      <c r="K653" s="10">
        <f>IFERROR(SUMIFS('Base bordo CD'!M$2:M$875,'Base bordo CD'!D$2:D$875,A653,'Base bordo CD'!A$2:A$875,B653,'Base bordo CD'!L$2:L$875,"MAN CORRETIVA*"),0)+IFERROR(SUMIFS('Base bordo CD'!M$2:M$875,'Base bordo CD'!D$2:D$875,A653,'Base bordo CD'!A$2:A$875,B653,'Base bordo CD'!L$2:L$875,"AGUARDANDO MANUTENCAO*"),0)+IFERROR(SUMIFS('Base bordo CD'!M$2:M$875,'Base bordo CD'!D$2:D$875,A653,'Base bordo CD'!A$2:A$875,B653,'Base bordo CD'!L$2:L$875,"TROCA DE FAQUINHA"),0)+IFERROR(SUMIFS('Base bordo CD'!M$2:M$875,'Base bordo CD'!D$2:D$875,A653,'Base bordo CD'!A$2:A$875,B653,'Base bordo CD'!L$2:L$875,"LIMPEZA*"),0)</f>
        <v>2.7750000000000004</v>
      </c>
      <c r="L653" s="10">
        <f>IFERROR(SUMIFS('Base bordo CD'!M$2:M$875,'Base bordo CD'!D$2:D$875,A653,'Base bordo CD'!A$2:A$875,B653,'Base bordo CD'!L$2:L$875,"PATIO - RESERVA"),0)</f>
        <v>0</v>
      </c>
      <c r="M653" s="10">
        <f>IFERROR(SUMIFS('Base bordo CD'!M$2:M$875,'Base bordo CD'!D$2:D$875,A653,'Base bordo CD'!A$2:A$875,B653,'Base bordo CD'!L$2:L$875,"SEM APONTAMENTO"),0)</f>
        <v>9.4166666666666662E-2</v>
      </c>
      <c r="N653" s="10">
        <f>IFERROR(SUMIFS('Base bordo CD'!M$2:M$875,'Base bordo CD'!D$2:D$875,A653,'Base bordo CD'!A$2:A$875,B653,'Base bordo CD'!L$2:L$875,"FALTA DE CAMINHÃO"),0)+IFERROR(SUMIFS('Base bordo CD'!M$2:M$875,'Base bordo CD'!D$2:D$875,A653,'Base bordo CD'!A$2:A$875,B653,'Base bordo CD'!L$2:L$875,"FALTA DE COMBUSTIVEL"),0)+IFERROR(SUMIFS('Base bordo CD'!M$2:M$875,'Base bordo CD'!D$2:D$875,A653,'Base bordo CD'!A$2:A$875,B653,'Base bordo CD'!L$2:L$875,"FALTA DE MOTORIST*"),0)</f>
        <v>0</v>
      </c>
      <c r="O653" s="10">
        <f t="shared" si="55"/>
        <v>0</v>
      </c>
      <c r="P653" s="10">
        <f>IFERROR(SUMIFS('Base bordo CD'!M$2:M$875,'Base bordo CD'!D$2:D$875,A653,'Base bordo CD'!A$2:A$875,B653),0)</f>
        <v>24</v>
      </c>
      <c r="Q653" s="10">
        <f>IFERROR(SUMIFS('Base bordo CD'!O$2:O$875,'Base bordo CD'!D$2:D$875,A653,'Base bordo CD'!A$2:A$875,B653,'Base bordo CD'!L$2:L$875,"CORTE DE CANA MECANIZADO"),0)</f>
        <v>24358.739999999998</v>
      </c>
      <c r="R653" s="10">
        <f>IFERROR(SUMIFS('Base bordo CD'!Q$2:Q$875,'Base bordo CD'!D$2:D$875,A653,'Base bordo CD'!A$2:A$875,B653,'Base bordo CD'!L$2:L$875,"CORTE DE CANA MECANIZADO"),0)</f>
        <v>6775</v>
      </c>
      <c r="S653" s="30">
        <f t="shared" si="56"/>
        <v>3.5953859778597783</v>
      </c>
      <c r="T653" s="9">
        <f t="shared" si="57"/>
        <v>7.8425925925925927E-2</v>
      </c>
      <c r="U653" s="9">
        <f t="shared" si="58"/>
        <v>4.0046296296296295E-2</v>
      </c>
      <c r="V653" s="9">
        <f t="shared" si="59"/>
        <v>0.916412037037037</v>
      </c>
    </row>
    <row r="654" spans="1:22" x14ac:dyDescent="0.35">
      <c r="A654" s="52">
        <v>49587</v>
      </c>
      <c r="B654" s="31">
        <v>46118</v>
      </c>
      <c r="C654" s="7" t="s">
        <v>337</v>
      </c>
      <c r="D654" s="7">
        <v>353</v>
      </c>
      <c r="E654" s="10">
        <f>IFERROR(SUMIFS('Base bordo CD'!M$2:M$875,'Base bordo CD'!D$2:D$875,A654,'Base bordo CD'!A$2:A$875,B654,'Base bordo CD'!L$2:L$875,"CORTE DE CANA MECANIZADO"),0)</f>
        <v>1.8822222222222222</v>
      </c>
      <c r="F654" s="10">
        <f>IFERROR(SUMIFS('Base bordo CD'!M$2:M$875,'Base bordo CD'!D$2:D$875,A654,'Base bordo CD'!A$2:A$875,B654,'Base bordo CD'!L$2:L$875,"MANOBRA"),0)</f>
        <v>0.96111111111111103</v>
      </c>
      <c r="G654" s="10">
        <f>IFERROR(SUMIFS('Base bordo CD'!M$2:M$875,'Base bordo CD'!D$2:D$875,A654,'Base bordo CD'!A$2:A$875,B654,'Base bordo CD'!L$2:L$875,"DESLOCAMENTO"),0)</f>
        <v>0.12388888888888888</v>
      </c>
      <c r="H654" s="10">
        <f>IFERROR(SUMIFS('Base bordo CD'!M$2:M$875,'Base bordo CD'!D$2:D$875,A654,'Base bordo CD'!A$2:A$875,B654,'Base bordo CD'!L$2:L$875,"AGUARDANDO MANOBRA DE TRANSBORDO"),0)+IFERROR(SUMIFS('Base bordo CD'!M$2:M$875,'Base bordo CD'!D$2:D$875,A654,'Base bordo CD'!A$2:A$875,B654,'Base bordo CD'!L$2:L$875,"FALTA DE TRANSBORDO"),0)</f>
        <v>0</v>
      </c>
      <c r="I654" s="10">
        <f>IFERROR(SUMIFS('Base bordo CD'!M$2:M$875,'Base bordo CD'!D$2:D$875,A654,'Base bordo CD'!A$2:A$875,B654,'Base bordo CD'!L$2:L$875,"PARADA POR CONDICOES CLIMATICAS"),0)+IFERROR(SUMIFS('Base bordo CD'!M$2:M$875,'Base bordo CD'!D$2:D$875,A654,'Base bordo CD'!A$2:A$875,B654,'Base bordo CD'!L$2:L$875,"TEMPO INDETERMINADO"),0)</f>
        <v>2.4319444444444445</v>
      </c>
      <c r="J654" s="10">
        <f>IFERROR(SUMIFS('Base bordo CD'!M$2:M$875,'Base bordo CD'!D$2:D$875,A654,'Base bordo CD'!A$2:A$875,B654,'Base bordo CD'!L$2:L$875,"LIMITAÇÃO INDÚSTRIA"),0)</f>
        <v>15.731666666666667</v>
      </c>
      <c r="K654" s="10">
        <f>IFERROR(SUMIFS('Base bordo CD'!M$2:M$875,'Base bordo CD'!D$2:D$875,A654,'Base bordo CD'!A$2:A$875,B654,'Base bordo CD'!L$2:L$875,"MAN CORRETIVA*"),0)+IFERROR(SUMIFS('Base bordo CD'!M$2:M$875,'Base bordo CD'!D$2:D$875,A654,'Base bordo CD'!A$2:A$875,B654,'Base bordo CD'!L$2:L$875,"AGUARDANDO MANUTENCAO*"),0)+IFERROR(SUMIFS('Base bordo CD'!M$2:M$875,'Base bordo CD'!D$2:D$875,A654,'Base bordo CD'!A$2:A$875,B654,'Base bordo CD'!L$2:L$875,"TROCA DE FAQUINHA"),0)+IFERROR(SUMIFS('Base bordo CD'!M$2:M$875,'Base bordo CD'!D$2:D$875,A654,'Base bordo CD'!A$2:A$875,B654,'Base bordo CD'!L$2:L$875,"LIMPEZA*"),0)</f>
        <v>2.7750000000000004</v>
      </c>
      <c r="L654" s="10">
        <f>IFERROR(SUMIFS('Base bordo CD'!M$2:M$875,'Base bordo CD'!D$2:D$875,A654,'Base bordo CD'!A$2:A$875,B654,'Base bordo CD'!L$2:L$875,"PATIO - RESERVA"),0)</f>
        <v>0</v>
      </c>
      <c r="M654" s="10">
        <f>IFERROR(SUMIFS('Base bordo CD'!M$2:M$875,'Base bordo CD'!D$2:D$875,A654,'Base bordo CD'!A$2:A$875,B654,'Base bordo CD'!L$2:L$875,"SEM APONTAMENTO"),0)</f>
        <v>9.4166666666666662E-2</v>
      </c>
      <c r="N654" s="10">
        <f>IFERROR(SUMIFS('Base bordo CD'!M$2:M$875,'Base bordo CD'!D$2:D$875,A654,'Base bordo CD'!A$2:A$875,B654,'Base bordo CD'!L$2:L$875,"FALTA DE CAMINHÃO"),0)+IFERROR(SUMIFS('Base bordo CD'!M$2:M$875,'Base bordo CD'!D$2:D$875,A654,'Base bordo CD'!A$2:A$875,B654,'Base bordo CD'!L$2:L$875,"FALTA DE COMBUSTIVEL"),0)+IFERROR(SUMIFS('Base bordo CD'!M$2:M$875,'Base bordo CD'!D$2:D$875,A654,'Base bordo CD'!A$2:A$875,B654,'Base bordo CD'!L$2:L$875,"FALTA DE MOTORIST*"),0)</f>
        <v>0</v>
      </c>
      <c r="O654" s="10">
        <f t="shared" si="55"/>
        <v>0</v>
      </c>
      <c r="P654" s="10">
        <f>IFERROR(SUMIFS('Base bordo CD'!M$2:M$875,'Base bordo CD'!D$2:D$875,A654,'Base bordo CD'!A$2:A$875,B654),0)</f>
        <v>24</v>
      </c>
      <c r="Q654" s="10">
        <f>IFERROR(SUMIFS('Base bordo CD'!O$2:O$875,'Base bordo CD'!D$2:D$875,A654,'Base bordo CD'!A$2:A$875,B654,'Base bordo CD'!L$2:L$875,"CORTE DE CANA MECANIZADO"),0)</f>
        <v>24358.739999999998</v>
      </c>
      <c r="R654" s="10">
        <f>IFERROR(SUMIFS('Base bordo CD'!Q$2:Q$875,'Base bordo CD'!D$2:D$875,A654,'Base bordo CD'!A$2:A$875,B654,'Base bordo CD'!L$2:L$875,"CORTE DE CANA MECANIZADO"),0)</f>
        <v>6775</v>
      </c>
      <c r="S654" s="30">
        <f t="shared" si="56"/>
        <v>3.5953859778597783</v>
      </c>
      <c r="T654" s="9">
        <f t="shared" si="57"/>
        <v>7.8425925925925927E-2</v>
      </c>
      <c r="U654" s="9">
        <f t="shared" si="58"/>
        <v>4.0046296296296295E-2</v>
      </c>
      <c r="V654" s="9">
        <f t="shared" si="59"/>
        <v>0.916412037037037</v>
      </c>
    </row>
    <row r="655" spans="1:22" x14ac:dyDescent="0.35">
      <c r="A655" s="52">
        <v>49587</v>
      </c>
      <c r="B655" s="31">
        <v>46118</v>
      </c>
      <c r="C655" s="7" t="s">
        <v>337</v>
      </c>
      <c r="D655" s="7">
        <v>353</v>
      </c>
      <c r="E655" s="10">
        <f>IFERROR(SUMIFS('Base bordo CD'!M$2:M$875,'Base bordo CD'!D$2:D$875,A655,'Base bordo CD'!A$2:A$875,B655,'Base bordo CD'!L$2:L$875,"CORTE DE CANA MECANIZADO"),0)</f>
        <v>1.8822222222222222</v>
      </c>
      <c r="F655" s="10">
        <f>IFERROR(SUMIFS('Base bordo CD'!M$2:M$875,'Base bordo CD'!D$2:D$875,A655,'Base bordo CD'!A$2:A$875,B655,'Base bordo CD'!L$2:L$875,"MANOBRA"),0)</f>
        <v>0.96111111111111103</v>
      </c>
      <c r="G655" s="10">
        <f>IFERROR(SUMIFS('Base bordo CD'!M$2:M$875,'Base bordo CD'!D$2:D$875,A655,'Base bordo CD'!A$2:A$875,B655,'Base bordo CD'!L$2:L$875,"DESLOCAMENTO"),0)</f>
        <v>0.12388888888888888</v>
      </c>
      <c r="H655" s="10">
        <f>IFERROR(SUMIFS('Base bordo CD'!M$2:M$875,'Base bordo CD'!D$2:D$875,A655,'Base bordo CD'!A$2:A$875,B655,'Base bordo CD'!L$2:L$875,"AGUARDANDO MANOBRA DE TRANSBORDO"),0)+IFERROR(SUMIFS('Base bordo CD'!M$2:M$875,'Base bordo CD'!D$2:D$875,A655,'Base bordo CD'!A$2:A$875,B655,'Base bordo CD'!L$2:L$875,"FALTA DE TRANSBORDO"),0)</f>
        <v>0</v>
      </c>
      <c r="I655" s="10">
        <f>IFERROR(SUMIFS('Base bordo CD'!M$2:M$875,'Base bordo CD'!D$2:D$875,A655,'Base bordo CD'!A$2:A$875,B655,'Base bordo CD'!L$2:L$875,"PARADA POR CONDICOES CLIMATICAS"),0)+IFERROR(SUMIFS('Base bordo CD'!M$2:M$875,'Base bordo CD'!D$2:D$875,A655,'Base bordo CD'!A$2:A$875,B655,'Base bordo CD'!L$2:L$875,"TEMPO INDETERMINADO"),0)</f>
        <v>2.4319444444444445</v>
      </c>
      <c r="J655" s="10">
        <f>IFERROR(SUMIFS('Base bordo CD'!M$2:M$875,'Base bordo CD'!D$2:D$875,A655,'Base bordo CD'!A$2:A$875,B655,'Base bordo CD'!L$2:L$875,"LIMITAÇÃO INDÚSTRIA"),0)</f>
        <v>15.731666666666667</v>
      </c>
      <c r="K655" s="10">
        <f>IFERROR(SUMIFS('Base bordo CD'!M$2:M$875,'Base bordo CD'!D$2:D$875,A655,'Base bordo CD'!A$2:A$875,B655,'Base bordo CD'!L$2:L$875,"MAN CORRETIVA*"),0)+IFERROR(SUMIFS('Base bordo CD'!M$2:M$875,'Base bordo CD'!D$2:D$875,A655,'Base bordo CD'!A$2:A$875,B655,'Base bordo CD'!L$2:L$875,"AGUARDANDO MANUTENCAO*"),0)+IFERROR(SUMIFS('Base bordo CD'!M$2:M$875,'Base bordo CD'!D$2:D$875,A655,'Base bordo CD'!A$2:A$875,B655,'Base bordo CD'!L$2:L$875,"TROCA DE FAQUINHA"),0)+IFERROR(SUMIFS('Base bordo CD'!M$2:M$875,'Base bordo CD'!D$2:D$875,A655,'Base bordo CD'!A$2:A$875,B655,'Base bordo CD'!L$2:L$875,"LIMPEZA*"),0)</f>
        <v>2.7750000000000004</v>
      </c>
      <c r="L655" s="10">
        <f>IFERROR(SUMIFS('Base bordo CD'!M$2:M$875,'Base bordo CD'!D$2:D$875,A655,'Base bordo CD'!A$2:A$875,B655,'Base bordo CD'!L$2:L$875,"PATIO - RESERVA"),0)</f>
        <v>0</v>
      </c>
      <c r="M655" s="10">
        <f>IFERROR(SUMIFS('Base bordo CD'!M$2:M$875,'Base bordo CD'!D$2:D$875,A655,'Base bordo CD'!A$2:A$875,B655,'Base bordo CD'!L$2:L$875,"SEM APONTAMENTO"),0)</f>
        <v>9.4166666666666662E-2</v>
      </c>
      <c r="N655" s="10">
        <f>IFERROR(SUMIFS('Base bordo CD'!M$2:M$875,'Base bordo CD'!D$2:D$875,A655,'Base bordo CD'!A$2:A$875,B655,'Base bordo CD'!L$2:L$875,"FALTA DE CAMINHÃO"),0)+IFERROR(SUMIFS('Base bordo CD'!M$2:M$875,'Base bordo CD'!D$2:D$875,A655,'Base bordo CD'!A$2:A$875,B655,'Base bordo CD'!L$2:L$875,"FALTA DE COMBUSTIVEL"),0)+IFERROR(SUMIFS('Base bordo CD'!M$2:M$875,'Base bordo CD'!D$2:D$875,A655,'Base bordo CD'!A$2:A$875,B655,'Base bordo CD'!L$2:L$875,"FALTA DE MOTORIST*"),0)</f>
        <v>0</v>
      </c>
      <c r="O655" s="10">
        <f t="shared" si="55"/>
        <v>0</v>
      </c>
      <c r="P655" s="10">
        <f>IFERROR(SUMIFS('Base bordo CD'!M$2:M$875,'Base bordo CD'!D$2:D$875,A655,'Base bordo CD'!A$2:A$875,B655),0)</f>
        <v>24</v>
      </c>
      <c r="Q655" s="10">
        <f>IFERROR(SUMIFS('Base bordo CD'!O$2:O$875,'Base bordo CD'!D$2:D$875,A655,'Base bordo CD'!A$2:A$875,B655,'Base bordo CD'!L$2:L$875,"CORTE DE CANA MECANIZADO"),0)</f>
        <v>24358.739999999998</v>
      </c>
      <c r="R655" s="10">
        <f>IFERROR(SUMIFS('Base bordo CD'!Q$2:Q$875,'Base bordo CD'!D$2:D$875,A655,'Base bordo CD'!A$2:A$875,B655,'Base bordo CD'!L$2:L$875,"CORTE DE CANA MECANIZADO"),0)</f>
        <v>6775</v>
      </c>
      <c r="S655" s="30">
        <f t="shared" si="56"/>
        <v>3.5953859778597783</v>
      </c>
      <c r="T655" s="9">
        <f t="shared" si="57"/>
        <v>7.8425925925925927E-2</v>
      </c>
      <c r="U655" s="9">
        <f t="shared" si="58"/>
        <v>4.0046296296296295E-2</v>
      </c>
      <c r="V655" s="9">
        <f t="shared" si="59"/>
        <v>0.916412037037037</v>
      </c>
    </row>
    <row r="656" spans="1:22" x14ac:dyDescent="0.35">
      <c r="A656" s="52">
        <v>49587</v>
      </c>
      <c r="B656" s="31">
        <v>46118</v>
      </c>
      <c r="C656" s="7" t="s">
        <v>337</v>
      </c>
      <c r="D656" s="7">
        <v>353</v>
      </c>
      <c r="E656" s="10">
        <f>IFERROR(SUMIFS('Base bordo CD'!M$2:M$875,'Base bordo CD'!D$2:D$875,A656,'Base bordo CD'!A$2:A$875,B656,'Base bordo CD'!L$2:L$875,"CORTE DE CANA MECANIZADO"),0)</f>
        <v>1.8822222222222222</v>
      </c>
      <c r="F656" s="10">
        <f>IFERROR(SUMIFS('Base bordo CD'!M$2:M$875,'Base bordo CD'!D$2:D$875,A656,'Base bordo CD'!A$2:A$875,B656,'Base bordo CD'!L$2:L$875,"MANOBRA"),0)</f>
        <v>0.96111111111111103</v>
      </c>
      <c r="G656" s="10">
        <f>IFERROR(SUMIFS('Base bordo CD'!M$2:M$875,'Base bordo CD'!D$2:D$875,A656,'Base bordo CD'!A$2:A$875,B656,'Base bordo CD'!L$2:L$875,"DESLOCAMENTO"),0)</f>
        <v>0.12388888888888888</v>
      </c>
      <c r="H656" s="10">
        <f>IFERROR(SUMIFS('Base bordo CD'!M$2:M$875,'Base bordo CD'!D$2:D$875,A656,'Base bordo CD'!A$2:A$875,B656,'Base bordo CD'!L$2:L$875,"AGUARDANDO MANOBRA DE TRANSBORDO"),0)+IFERROR(SUMIFS('Base bordo CD'!M$2:M$875,'Base bordo CD'!D$2:D$875,A656,'Base bordo CD'!A$2:A$875,B656,'Base bordo CD'!L$2:L$875,"FALTA DE TRANSBORDO"),0)</f>
        <v>0</v>
      </c>
      <c r="I656" s="10">
        <f>IFERROR(SUMIFS('Base bordo CD'!M$2:M$875,'Base bordo CD'!D$2:D$875,A656,'Base bordo CD'!A$2:A$875,B656,'Base bordo CD'!L$2:L$875,"PARADA POR CONDICOES CLIMATICAS"),0)+IFERROR(SUMIFS('Base bordo CD'!M$2:M$875,'Base bordo CD'!D$2:D$875,A656,'Base bordo CD'!A$2:A$875,B656,'Base bordo CD'!L$2:L$875,"TEMPO INDETERMINADO"),0)</f>
        <v>2.4319444444444445</v>
      </c>
      <c r="J656" s="10">
        <f>IFERROR(SUMIFS('Base bordo CD'!M$2:M$875,'Base bordo CD'!D$2:D$875,A656,'Base bordo CD'!A$2:A$875,B656,'Base bordo CD'!L$2:L$875,"LIMITAÇÃO INDÚSTRIA"),0)</f>
        <v>15.731666666666667</v>
      </c>
      <c r="K656" s="10">
        <f>IFERROR(SUMIFS('Base bordo CD'!M$2:M$875,'Base bordo CD'!D$2:D$875,A656,'Base bordo CD'!A$2:A$875,B656,'Base bordo CD'!L$2:L$875,"MAN CORRETIVA*"),0)+IFERROR(SUMIFS('Base bordo CD'!M$2:M$875,'Base bordo CD'!D$2:D$875,A656,'Base bordo CD'!A$2:A$875,B656,'Base bordo CD'!L$2:L$875,"AGUARDANDO MANUTENCAO*"),0)+IFERROR(SUMIFS('Base bordo CD'!M$2:M$875,'Base bordo CD'!D$2:D$875,A656,'Base bordo CD'!A$2:A$875,B656,'Base bordo CD'!L$2:L$875,"TROCA DE FAQUINHA"),0)+IFERROR(SUMIFS('Base bordo CD'!M$2:M$875,'Base bordo CD'!D$2:D$875,A656,'Base bordo CD'!A$2:A$875,B656,'Base bordo CD'!L$2:L$875,"LIMPEZA*"),0)</f>
        <v>2.7750000000000004</v>
      </c>
      <c r="L656" s="10">
        <f>IFERROR(SUMIFS('Base bordo CD'!M$2:M$875,'Base bordo CD'!D$2:D$875,A656,'Base bordo CD'!A$2:A$875,B656,'Base bordo CD'!L$2:L$875,"PATIO - RESERVA"),0)</f>
        <v>0</v>
      </c>
      <c r="M656" s="10">
        <f>IFERROR(SUMIFS('Base bordo CD'!M$2:M$875,'Base bordo CD'!D$2:D$875,A656,'Base bordo CD'!A$2:A$875,B656,'Base bordo CD'!L$2:L$875,"SEM APONTAMENTO"),0)</f>
        <v>9.4166666666666662E-2</v>
      </c>
      <c r="N656" s="10">
        <f>IFERROR(SUMIFS('Base bordo CD'!M$2:M$875,'Base bordo CD'!D$2:D$875,A656,'Base bordo CD'!A$2:A$875,B656,'Base bordo CD'!L$2:L$875,"FALTA DE CAMINHÃO"),0)+IFERROR(SUMIFS('Base bordo CD'!M$2:M$875,'Base bordo CD'!D$2:D$875,A656,'Base bordo CD'!A$2:A$875,B656,'Base bordo CD'!L$2:L$875,"FALTA DE COMBUSTIVEL"),0)+IFERROR(SUMIFS('Base bordo CD'!M$2:M$875,'Base bordo CD'!D$2:D$875,A656,'Base bordo CD'!A$2:A$875,B656,'Base bordo CD'!L$2:L$875,"FALTA DE MOTORIST*"),0)</f>
        <v>0</v>
      </c>
      <c r="O656" s="10">
        <f t="shared" si="55"/>
        <v>0</v>
      </c>
      <c r="P656" s="10">
        <f>IFERROR(SUMIFS('Base bordo CD'!M$2:M$875,'Base bordo CD'!D$2:D$875,A656,'Base bordo CD'!A$2:A$875,B656),0)</f>
        <v>24</v>
      </c>
      <c r="Q656" s="10">
        <f>IFERROR(SUMIFS('Base bordo CD'!O$2:O$875,'Base bordo CD'!D$2:D$875,A656,'Base bordo CD'!A$2:A$875,B656,'Base bordo CD'!L$2:L$875,"CORTE DE CANA MECANIZADO"),0)</f>
        <v>24358.739999999998</v>
      </c>
      <c r="R656" s="10">
        <f>IFERROR(SUMIFS('Base bordo CD'!Q$2:Q$875,'Base bordo CD'!D$2:D$875,A656,'Base bordo CD'!A$2:A$875,B656,'Base bordo CD'!L$2:L$875,"CORTE DE CANA MECANIZADO"),0)</f>
        <v>6775</v>
      </c>
      <c r="S656" s="30">
        <f t="shared" si="56"/>
        <v>3.5953859778597783</v>
      </c>
      <c r="T656" s="9">
        <f t="shared" si="57"/>
        <v>7.8425925925925927E-2</v>
      </c>
      <c r="U656" s="9">
        <f t="shared" si="58"/>
        <v>4.0046296296296295E-2</v>
      </c>
      <c r="V656" s="9">
        <f t="shared" si="59"/>
        <v>0.916412037037037</v>
      </c>
    </row>
    <row r="657" spans="1:22" x14ac:dyDescent="0.35">
      <c r="A657" s="52">
        <v>49587</v>
      </c>
      <c r="B657" s="31">
        <v>46118</v>
      </c>
      <c r="C657" s="7" t="s">
        <v>337</v>
      </c>
      <c r="D657" s="7">
        <v>353</v>
      </c>
      <c r="E657" s="10">
        <f>IFERROR(SUMIFS('Base bordo CD'!M$2:M$875,'Base bordo CD'!D$2:D$875,A657,'Base bordo CD'!A$2:A$875,B657,'Base bordo CD'!L$2:L$875,"CORTE DE CANA MECANIZADO"),0)</f>
        <v>1.8822222222222222</v>
      </c>
      <c r="F657" s="10">
        <f>IFERROR(SUMIFS('Base bordo CD'!M$2:M$875,'Base bordo CD'!D$2:D$875,A657,'Base bordo CD'!A$2:A$875,B657,'Base bordo CD'!L$2:L$875,"MANOBRA"),0)</f>
        <v>0.96111111111111103</v>
      </c>
      <c r="G657" s="10">
        <f>IFERROR(SUMIFS('Base bordo CD'!M$2:M$875,'Base bordo CD'!D$2:D$875,A657,'Base bordo CD'!A$2:A$875,B657,'Base bordo CD'!L$2:L$875,"DESLOCAMENTO"),0)</f>
        <v>0.12388888888888888</v>
      </c>
      <c r="H657" s="10">
        <f>IFERROR(SUMIFS('Base bordo CD'!M$2:M$875,'Base bordo CD'!D$2:D$875,A657,'Base bordo CD'!A$2:A$875,B657,'Base bordo CD'!L$2:L$875,"AGUARDANDO MANOBRA DE TRANSBORDO"),0)+IFERROR(SUMIFS('Base bordo CD'!M$2:M$875,'Base bordo CD'!D$2:D$875,A657,'Base bordo CD'!A$2:A$875,B657,'Base bordo CD'!L$2:L$875,"FALTA DE TRANSBORDO"),0)</f>
        <v>0</v>
      </c>
      <c r="I657" s="10">
        <f>IFERROR(SUMIFS('Base bordo CD'!M$2:M$875,'Base bordo CD'!D$2:D$875,A657,'Base bordo CD'!A$2:A$875,B657,'Base bordo CD'!L$2:L$875,"PARADA POR CONDICOES CLIMATICAS"),0)+IFERROR(SUMIFS('Base bordo CD'!M$2:M$875,'Base bordo CD'!D$2:D$875,A657,'Base bordo CD'!A$2:A$875,B657,'Base bordo CD'!L$2:L$875,"TEMPO INDETERMINADO"),0)</f>
        <v>2.4319444444444445</v>
      </c>
      <c r="J657" s="10">
        <f>IFERROR(SUMIFS('Base bordo CD'!M$2:M$875,'Base bordo CD'!D$2:D$875,A657,'Base bordo CD'!A$2:A$875,B657,'Base bordo CD'!L$2:L$875,"LIMITAÇÃO INDÚSTRIA"),0)</f>
        <v>15.731666666666667</v>
      </c>
      <c r="K657" s="10">
        <f>IFERROR(SUMIFS('Base bordo CD'!M$2:M$875,'Base bordo CD'!D$2:D$875,A657,'Base bordo CD'!A$2:A$875,B657,'Base bordo CD'!L$2:L$875,"MAN CORRETIVA*"),0)+IFERROR(SUMIFS('Base bordo CD'!M$2:M$875,'Base bordo CD'!D$2:D$875,A657,'Base bordo CD'!A$2:A$875,B657,'Base bordo CD'!L$2:L$875,"AGUARDANDO MANUTENCAO*"),0)+IFERROR(SUMIFS('Base bordo CD'!M$2:M$875,'Base bordo CD'!D$2:D$875,A657,'Base bordo CD'!A$2:A$875,B657,'Base bordo CD'!L$2:L$875,"TROCA DE FAQUINHA"),0)+IFERROR(SUMIFS('Base bordo CD'!M$2:M$875,'Base bordo CD'!D$2:D$875,A657,'Base bordo CD'!A$2:A$875,B657,'Base bordo CD'!L$2:L$875,"LIMPEZA*"),0)</f>
        <v>2.7750000000000004</v>
      </c>
      <c r="L657" s="10">
        <f>IFERROR(SUMIFS('Base bordo CD'!M$2:M$875,'Base bordo CD'!D$2:D$875,A657,'Base bordo CD'!A$2:A$875,B657,'Base bordo CD'!L$2:L$875,"PATIO - RESERVA"),0)</f>
        <v>0</v>
      </c>
      <c r="M657" s="10">
        <f>IFERROR(SUMIFS('Base bordo CD'!M$2:M$875,'Base bordo CD'!D$2:D$875,A657,'Base bordo CD'!A$2:A$875,B657,'Base bordo CD'!L$2:L$875,"SEM APONTAMENTO"),0)</f>
        <v>9.4166666666666662E-2</v>
      </c>
      <c r="N657" s="10">
        <f>IFERROR(SUMIFS('Base bordo CD'!M$2:M$875,'Base bordo CD'!D$2:D$875,A657,'Base bordo CD'!A$2:A$875,B657,'Base bordo CD'!L$2:L$875,"FALTA DE CAMINHÃO"),0)+IFERROR(SUMIFS('Base bordo CD'!M$2:M$875,'Base bordo CD'!D$2:D$875,A657,'Base bordo CD'!A$2:A$875,B657,'Base bordo CD'!L$2:L$875,"FALTA DE COMBUSTIVEL"),0)+IFERROR(SUMIFS('Base bordo CD'!M$2:M$875,'Base bordo CD'!D$2:D$875,A657,'Base bordo CD'!A$2:A$875,B657,'Base bordo CD'!L$2:L$875,"FALTA DE MOTORIST*"),0)</f>
        <v>0</v>
      </c>
      <c r="O657" s="10">
        <f t="shared" si="55"/>
        <v>0</v>
      </c>
      <c r="P657" s="10">
        <f>IFERROR(SUMIFS('Base bordo CD'!M$2:M$875,'Base bordo CD'!D$2:D$875,A657,'Base bordo CD'!A$2:A$875,B657),0)</f>
        <v>24</v>
      </c>
      <c r="Q657" s="10">
        <f>IFERROR(SUMIFS('Base bordo CD'!O$2:O$875,'Base bordo CD'!D$2:D$875,A657,'Base bordo CD'!A$2:A$875,B657,'Base bordo CD'!L$2:L$875,"CORTE DE CANA MECANIZADO"),0)</f>
        <v>24358.739999999998</v>
      </c>
      <c r="R657" s="10">
        <f>IFERROR(SUMIFS('Base bordo CD'!Q$2:Q$875,'Base bordo CD'!D$2:D$875,A657,'Base bordo CD'!A$2:A$875,B657,'Base bordo CD'!L$2:L$875,"CORTE DE CANA MECANIZADO"),0)</f>
        <v>6775</v>
      </c>
      <c r="S657" s="30">
        <f t="shared" si="56"/>
        <v>3.5953859778597783</v>
      </c>
      <c r="T657" s="9">
        <f t="shared" si="57"/>
        <v>7.8425925925925927E-2</v>
      </c>
      <c r="U657" s="9">
        <f t="shared" si="58"/>
        <v>4.0046296296296295E-2</v>
      </c>
      <c r="V657" s="9">
        <f t="shared" si="59"/>
        <v>0.916412037037037</v>
      </c>
    </row>
    <row r="658" spans="1:22" x14ac:dyDescent="0.35">
      <c r="A658" s="52">
        <v>49587</v>
      </c>
      <c r="B658" s="31">
        <v>46118</v>
      </c>
      <c r="C658" s="7" t="s">
        <v>337</v>
      </c>
      <c r="D658" s="7">
        <v>353</v>
      </c>
      <c r="E658" s="10">
        <f>IFERROR(SUMIFS('Base bordo CD'!M$2:M$875,'Base bordo CD'!D$2:D$875,A658,'Base bordo CD'!A$2:A$875,B658,'Base bordo CD'!L$2:L$875,"CORTE DE CANA MECANIZADO"),0)</f>
        <v>1.8822222222222222</v>
      </c>
      <c r="F658" s="10">
        <f>IFERROR(SUMIFS('Base bordo CD'!M$2:M$875,'Base bordo CD'!D$2:D$875,A658,'Base bordo CD'!A$2:A$875,B658,'Base bordo CD'!L$2:L$875,"MANOBRA"),0)</f>
        <v>0.96111111111111103</v>
      </c>
      <c r="G658" s="10">
        <f>IFERROR(SUMIFS('Base bordo CD'!M$2:M$875,'Base bordo CD'!D$2:D$875,A658,'Base bordo CD'!A$2:A$875,B658,'Base bordo CD'!L$2:L$875,"DESLOCAMENTO"),0)</f>
        <v>0.12388888888888888</v>
      </c>
      <c r="H658" s="10">
        <f>IFERROR(SUMIFS('Base bordo CD'!M$2:M$875,'Base bordo CD'!D$2:D$875,A658,'Base bordo CD'!A$2:A$875,B658,'Base bordo CD'!L$2:L$875,"AGUARDANDO MANOBRA DE TRANSBORDO"),0)+IFERROR(SUMIFS('Base bordo CD'!M$2:M$875,'Base bordo CD'!D$2:D$875,A658,'Base bordo CD'!A$2:A$875,B658,'Base bordo CD'!L$2:L$875,"FALTA DE TRANSBORDO"),0)</f>
        <v>0</v>
      </c>
      <c r="I658" s="10">
        <f>IFERROR(SUMIFS('Base bordo CD'!M$2:M$875,'Base bordo CD'!D$2:D$875,A658,'Base bordo CD'!A$2:A$875,B658,'Base bordo CD'!L$2:L$875,"PARADA POR CONDICOES CLIMATICAS"),0)+IFERROR(SUMIFS('Base bordo CD'!M$2:M$875,'Base bordo CD'!D$2:D$875,A658,'Base bordo CD'!A$2:A$875,B658,'Base bordo CD'!L$2:L$875,"TEMPO INDETERMINADO"),0)</f>
        <v>2.4319444444444445</v>
      </c>
      <c r="J658" s="10">
        <f>IFERROR(SUMIFS('Base bordo CD'!M$2:M$875,'Base bordo CD'!D$2:D$875,A658,'Base bordo CD'!A$2:A$875,B658,'Base bordo CD'!L$2:L$875,"LIMITAÇÃO INDÚSTRIA"),0)</f>
        <v>15.731666666666667</v>
      </c>
      <c r="K658" s="10">
        <f>IFERROR(SUMIFS('Base bordo CD'!M$2:M$875,'Base bordo CD'!D$2:D$875,A658,'Base bordo CD'!A$2:A$875,B658,'Base bordo CD'!L$2:L$875,"MAN CORRETIVA*"),0)+IFERROR(SUMIFS('Base bordo CD'!M$2:M$875,'Base bordo CD'!D$2:D$875,A658,'Base bordo CD'!A$2:A$875,B658,'Base bordo CD'!L$2:L$875,"AGUARDANDO MANUTENCAO*"),0)+IFERROR(SUMIFS('Base bordo CD'!M$2:M$875,'Base bordo CD'!D$2:D$875,A658,'Base bordo CD'!A$2:A$875,B658,'Base bordo CD'!L$2:L$875,"TROCA DE FAQUINHA"),0)+IFERROR(SUMIFS('Base bordo CD'!M$2:M$875,'Base bordo CD'!D$2:D$875,A658,'Base bordo CD'!A$2:A$875,B658,'Base bordo CD'!L$2:L$875,"LIMPEZA*"),0)</f>
        <v>2.7750000000000004</v>
      </c>
      <c r="L658" s="10">
        <f>IFERROR(SUMIFS('Base bordo CD'!M$2:M$875,'Base bordo CD'!D$2:D$875,A658,'Base bordo CD'!A$2:A$875,B658,'Base bordo CD'!L$2:L$875,"PATIO - RESERVA"),0)</f>
        <v>0</v>
      </c>
      <c r="M658" s="10">
        <f>IFERROR(SUMIFS('Base bordo CD'!M$2:M$875,'Base bordo CD'!D$2:D$875,A658,'Base bordo CD'!A$2:A$875,B658,'Base bordo CD'!L$2:L$875,"SEM APONTAMENTO"),0)</f>
        <v>9.4166666666666662E-2</v>
      </c>
      <c r="N658" s="10">
        <f>IFERROR(SUMIFS('Base bordo CD'!M$2:M$875,'Base bordo CD'!D$2:D$875,A658,'Base bordo CD'!A$2:A$875,B658,'Base bordo CD'!L$2:L$875,"FALTA DE CAMINHÃO"),0)+IFERROR(SUMIFS('Base bordo CD'!M$2:M$875,'Base bordo CD'!D$2:D$875,A658,'Base bordo CD'!A$2:A$875,B658,'Base bordo CD'!L$2:L$875,"FALTA DE COMBUSTIVEL"),0)+IFERROR(SUMIFS('Base bordo CD'!M$2:M$875,'Base bordo CD'!D$2:D$875,A658,'Base bordo CD'!A$2:A$875,B658,'Base bordo CD'!L$2:L$875,"FALTA DE MOTORIST*"),0)</f>
        <v>0</v>
      </c>
      <c r="O658" s="10">
        <f t="shared" si="55"/>
        <v>0</v>
      </c>
      <c r="P658" s="10">
        <f>IFERROR(SUMIFS('Base bordo CD'!M$2:M$875,'Base bordo CD'!D$2:D$875,A658,'Base bordo CD'!A$2:A$875,B658),0)</f>
        <v>24</v>
      </c>
      <c r="Q658" s="10">
        <f>IFERROR(SUMIFS('Base bordo CD'!O$2:O$875,'Base bordo CD'!D$2:D$875,A658,'Base bordo CD'!A$2:A$875,B658,'Base bordo CD'!L$2:L$875,"CORTE DE CANA MECANIZADO"),0)</f>
        <v>24358.739999999998</v>
      </c>
      <c r="R658" s="10">
        <f>IFERROR(SUMIFS('Base bordo CD'!Q$2:Q$875,'Base bordo CD'!D$2:D$875,A658,'Base bordo CD'!A$2:A$875,B658,'Base bordo CD'!L$2:L$875,"CORTE DE CANA MECANIZADO"),0)</f>
        <v>6775</v>
      </c>
      <c r="S658" s="30">
        <f t="shared" si="56"/>
        <v>3.5953859778597783</v>
      </c>
      <c r="T658" s="9">
        <f t="shared" si="57"/>
        <v>7.8425925925925927E-2</v>
      </c>
      <c r="U658" s="9">
        <f t="shared" si="58"/>
        <v>4.0046296296296295E-2</v>
      </c>
      <c r="V658" s="9">
        <f t="shared" si="59"/>
        <v>0.916412037037037</v>
      </c>
    </row>
    <row r="659" spans="1:22" x14ac:dyDescent="0.35">
      <c r="A659" s="52">
        <v>49587</v>
      </c>
      <c r="B659" s="31">
        <v>46118</v>
      </c>
      <c r="C659" s="7" t="s">
        <v>337</v>
      </c>
      <c r="D659" s="7">
        <v>353</v>
      </c>
      <c r="E659" s="10">
        <f>IFERROR(SUMIFS('Base bordo CD'!M$2:M$875,'Base bordo CD'!D$2:D$875,A659,'Base bordo CD'!A$2:A$875,B659,'Base bordo CD'!L$2:L$875,"CORTE DE CANA MECANIZADO"),0)</f>
        <v>1.8822222222222222</v>
      </c>
      <c r="F659" s="10">
        <f>IFERROR(SUMIFS('Base bordo CD'!M$2:M$875,'Base bordo CD'!D$2:D$875,A659,'Base bordo CD'!A$2:A$875,B659,'Base bordo CD'!L$2:L$875,"MANOBRA"),0)</f>
        <v>0.96111111111111103</v>
      </c>
      <c r="G659" s="10">
        <f>IFERROR(SUMIFS('Base bordo CD'!M$2:M$875,'Base bordo CD'!D$2:D$875,A659,'Base bordo CD'!A$2:A$875,B659,'Base bordo CD'!L$2:L$875,"DESLOCAMENTO"),0)</f>
        <v>0.12388888888888888</v>
      </c>
      <c r="H659" s="10">
        <f>IFERROR(SUMIFS('Base bordo CD'!M$2:M$875,'Base bordo CD'!D$2:D$875,A659,'Base bordo CD'!A$2:A$875,B659,'Base bordo CD'!L$2:L$875,"AGUARDANDO MANOBRA DE TRANSBORDO"),0)+IFERROR(SUMIFS('Base bordo CD'!M$2:M$875,'Base bordo CD'!D$2:D$875,A659,'Base bordo CD'!A$2:A$875,B659,'Base bordo CD'!L$2:L$875,"FALTA DE TRANSBORDO"),0)</f>
        <v>0</v>
      </c>
      <c r="I659" s="10">
        <f>IFERROR(SUMIFS('Base bordo CD'!M$2:M$875,'Base bordo CD'!D$2:D$875,A659,'Base bordo CD'!A$2:A$875,B659,'Base bordo CD'!L$2:L$875,"PARADA POR CONDICOES CLIMATICAS"),0)+IFERROR(SUMIFS('Base bordo CD'!M$2:M$875,'Base bordo CD'!D$2:D$875,A659,'Base bordo CD'!A$2:A$875,B659,'Base bordo CD'!L$2:L$875,"TEMPO INDETERMINADO"),0)</f>
        <v>2.4319444444444445</v>
      </c>
      <c r="J659" s="10">
        <f>IFERROR(SUMIFS('Base bordo CD'!M$2:M$875,'Base bordo CD'!D$2:D$875,A659,'Base bordo CD'!A$2:A$875,B659,'Base bordo CD'!L$2:L$875,"LIMITAÇÃO INDÚSTRIA"),0)</f>
        <v>15.731666666666667</v>
      </c>
      <c r="K659" s="10">
        <f>IFERROR(SUMIFS('Base bordo CD'!M$2:M$875,'Base bordo CD'!D$2:D$875,A659,'Base bordo CD'!A$2:A$875,B659,'Base bordo CD'!L$2:L$875,"MAN CORRETIVA*"),0)+IFERROR(SUMIFS('Base bordo CD'!M$2:M$875,'Base bordo CD'!D$2:D$875,A659,'Base bordo CD'!A$2:A$875,B659,'Base bordo CD'!L$2:L$875,"AGUARDANDO MANUTENCAO*"),0)+IFERROR(SUMIFS('Base bordo CD'!M$2:M$875,'Base bordo CD'!D$2:D$875,A659,'Base bordo CD'!A$2:A$875,B659,'Base bordo CD'!L$2:L$875,"TROCA DE FAQUINHA"),0)+IFERROR(SUMIFS('Base bordo CD'!M$2:M$875,'Base bordo CD'!D$2:D$875,A659,'Base bordo CD'!A$2:A$875,B659,'Base bordo CD'!L$2:L$875,"LIMPEZA*"),0)</f>
        <v>2.7750000000000004</v>
      </c>
      <c r="L659" s="10">
        <f>IFERROR(SUMIFS('Base bordo CD'!M$2:M$875,'Base bordo CD'!D$2:D$875,A659,'Base bordo CD'!A$2:A$875,B659,'Base bordo CD'!L$2:L$875,"PATIO - RESERVA"),0)</f>
        <v>0</v>
      </c>
      <c r="M659" s="10">
        <f>IFERROR(SUMIFS('Base bordo CD'!M$2:M$875,'Base bordo CD'!D$2:D$875,A659,'Base bordo CD'!A$2:A$875,B659,'Base bordo CD'!L$2:L$875,"SEM APONTAMENTO"),0)</f>
        <v>9.4166666666666662E-2</v>
      </c>
      <c r="N659" s="10">
        <f>IFERROR(SUMIFS('Base bordo CD'!M$2:M$875,'Base bordo CD'!D$2:D$875,A659,'Base bordo CD'!A$2:A$875,B659,'Base bordo CD'!L$2:L$875,"FALTA DE CAMINHÃO"),0)+IFERROR(SUMIFS('Base bordo CD'!M$2:M$875,'Base bordo CD'!D$2:D$875,A659,'Base bordo CD'!A$2:A$875,B659,'Base bordo CD'!L$2:L$875,"FALTA DE COMBUSTIVEL"),0)+IFERROR(SUMIFS('Base bordo CD'!M$2:M$875,'Base bordo CD'!D$2:D$875,A659,'Base bordo CD'!A$2:A$875,B659,'Base bordo CD'!L$2:L$875,"FALTA DE MOTORIST*"),0)</f>
        <v>0</v>
      </c>
      <c r="O659" s="10">
        <f t="shared" si="55"/>
        <v>0</v>
      </c>
      <c r="P659" s="10">
        <f>IFERROR(SUMIFS('Base bordo CD'!M$2:M$875,'Base bordo CD'!D$2:D$875,A659,'Base bordo CD'!A$2:A$875,B659),0)</f>
        <v>24</v>
      </c>
      <c r="Q659" s="10">
        <f>IFERROR(SUMIFS('Base bordo CD'!O$2:O$875,'Base bordo CD'!D$2:D$875,A659,'Base bordo CD'!A$2:A$875,B659,'Base bordo CD'!L$2:L$875,"CORTE DE CANA MECANIZADO"),0)</f>
        <v>24358.739999999998</v>
      </c>
      <c r="R659" s="10">
        <f>IFERROR(SUMIFS('Base bordo CD'!Q$2:Q$875,'Base bordo CD'!D$2:D$875,A659,'Base bordo CD'!A$2:A$875,B659,'Base bordo CD'!L$2:L$875,"CORTE DE CANA MECANIZADO"),0)</f>
        <v>6775</v>
      </c>
      <c r="S659" s="30">
        <f t="shared" si="56"/>
        <v>3.5953859778597783</v>
      </c>
      <c r="T659" s="9">
        <f t="shared" si="57"/>
        <v>7.8425925925925927E-2</v>
      </c>
      <c r="U659" s="9">
        <f t="shared" si="58"/>
        <v>4.0046296296296295E-2</v>
      </c>
      <c r="V659" s="9">
        <f t="shared" si="59"/>
        <v>0.916412037037037</v>
      </c>
    </row>
    <row r="660" spans="1:22" x14ac:dyDescent="0.35">
      <c r="A660" s="52">
        <v>49587</v>
      </c>
      <c r="B660" s="31">
        <v>46118</v>
      </c>
      <c r="C660" s="7" t="s">
        <v>337</v>
      </c>
      <c r="D660" s="7">
        <v>353</v>
      </c>
      <c r="E660" s="10">
        <f>IFERROR(SUMIFS('Base bordo CD'!M$2:M$875,'Base bordo CD'!D$2:D$875,A660,'Base bordo CD'!A$2:A$875,B660,'Base bordo CD'!L$2:L$875,"CORTE DE CANA MECANIZADO"),0)</f>
        <v>1.8822222222222222</v>
      </c>
      <c r="F660" s="10">
        <f>IFERROR(SUMIFS('Base bordo CD'!M$2:M$875,'Base bordo CD'!D$2:D$875,A660,'Base bordo CD'!A$2:A$875,B660,'Base bordo CD'!L$2:L$875,"MANOBRA"),0)</f>
        <v>0.96111111111111103</v>
      </c>
      <c r="G660" s="10">
        <f>IFERROR(SUMIFS('Base bordo CD'!M$2:M$875,'Base bordo CD'!D$2:D$875,A660,'Base bordo CD'!A$2:A$875,B660,'Base bordo CD'!L$2:L$875,"DESLOCAMENTO"),0)</f>
        <v>0.12388888888888888</v>
      </c>
      <c r="H660" s="10">
        <f>IFERROR(SUMIFS('Base bordo CD'!M$2:M$875,'Base bordo CD'!D$2:D$875,A660,'Base bordo CD'!A$2:A$875,B660,'Base bordo CD'!L$2:L$875,"AGUARDANDO MANOBRA DE TRANSBORDO"),0)+IFERROR(SUMIFS('Base bordo CD'!M$2:M$875,'Base bordo CD'!D$2:D$875,A660,'Base bordo CD'!A$2:A$875,B660,'Base bordo CD'!L$2:L$875,"FALTA DE TRANSBORDO"),0)</f>
        <v>0</v>
      </c>
      <c r="I660" s="10">
        <f>IFERROR(SUMIFS('Base bordo CD'!M$2:M$875,'Base bordo CD'!D$2:D$875,A660,'Base bordo CD'!A$2:A$875,B660,'Base bordo CD'!L$2:L$875,"PARADA POR CONDICOES CLIMATICAS"),0)+IFERROR(SUMIFS('Base bordo CD'!M$2:M$875,'Base bordo CD'!D$2:D$875,A660,'Base bordo CD'!A$2:A$875,B660,'Base bordo CD'!L$2:L$875,"TEMPO INDETERMINADO"),0)</f>
        <v>2.4319444444444445</v>
      </c>
      <c r="J660" s="10">
        <f>IFERROR(SUMIFS('Base bordo CD'!M$2:M$875,'Base bordo CD'!D$2:D$875,A660,'Base bordo CD'!A$2:A$875,B660,'Base bordo CD'!L$2:L$875,"LIMITAÇÃO INDÚSTRIA"),0)</f>
        <v>15.731666666666667</v>
      </c>
      <c r="K660" s="10">
        <f>IFERROR(SUMIFS('Base bordo CD'!M$2:M$875,'Base bordo CD'!D$2:D$875,A660,'Base bordo CD'!A$2:A$875,B660,'Base bordo CD'!L$2:L$875,"MAN CORRETIVA*"),0)+IFERROR(SUMIFS('Base bordo CD'!M$2:M$875,'Base bordo CD'!D$2:D$875,A660,'Base bordo CD'!A$2:A$875,B660,'Base bordo CD'!L$2:L$875,"AGUARDANDO MANUTENCAO*"),0)+IFERROR(SUMIFS('Base bordo CD'!M$2:M$875,'Base bordo CD'!D$2:D$875,A660,'Base bordo CD'!A$2:A$875,B660,'Base bordo CD'!L$2:L$875,"TROCA DE FAQUINHA"),0)+IFERROR(SUMIFS('Base bordo CD'!M$2:M$875,'Base bordo CD'!D$2:D$875,A660,'Base bordo CD'!A$2:A$875,B660,'Base bordo CD'!L$2:L$875,"LIMPEZA*"),0)</f>
        <v>2.7750000000000004</v>
      </c>
      <c r="L660" s="10">
        <f>IFERROR(SUMIFS('Base bordo CD'!M$2:M$875,'Base bordo CD'!D$2:D$875,A660,'Base bordo CD'!A$2:A$875,B660,'Base bordo CD'!L$2:L$875,"PATIO - RESERVA"),0)</f>
        <v>0</v>
      </c>
      <c r="M660" s="10">
        <f>IFERROR(SUMIFS('Base bordo CD'!M$2:M$875,'Base bordo CD'!D$2:D$875,A660,'Base bordo CD'!A$2:A$875,B660,'Base bordo CD'!L$2:L$875,"SEM APONTAMENTO"),0)</f>
        <v>9.4166666666666662E-2</v>
      </c>
      <c r="N660" s="10">
        <f>IFERROR(SUMIFS('Base bordo CD'!M$2:M$875,'Base bordo CD'!D$2:D$875,A660,'Base bordo CD'!A$2:A$875,B660,'Base bordo CD'!L$2:L$875,"FALTA DE CAMINHÃO"),0)+IFERROR(SUMIFS('Base bordo CD'!M$2:M$875,'Base bordo CD'!D$2:D$875,A660,'Base bordo CD'!A$2:A$875,B660,'Base bordo CD'!L$2:L$875,"FALTA DE COMBUSTIVEL"),0)+IFERROR(SUMIFS('Base bordo CD'!M$2:M$875,'Base bordo CD'!D$2:D$875,A660,'Base bordo CD'!A$2:A$875,B660,'Base bordo CD'!L$2:L$875,"FALTA DE MOTORIST*"),0)</f>
        <v>0</v>
      </c>
      <c r="O660" s="10">
        <f t="shared" si="55"/>
        <v>0</v>
      </c>
      <c r="P660" s="10">
        <f>IFERROR(SUMIFS('Base bordo CD'!M$2:M$875,'Base bordo CD'!D$2:D$875,A660,'Base bordo CD'!A$2:A$875,B660),0)</f>
        <v>24</v>
      </c>
      <c r="Q660" s="10">
        <f>IFERROR(SUMIFS('Base bordo CD'!O$2:O$875,'Base bordo CD'!D$2:D$875,A660,'Base bordo CD'!A$2:A$875,B660,'Base bordo CD'!L$2:L$875,"CORTE DE CANA MECANIZADO"),0)</f>
        <v>24358.739999999998</v>
      </c>
      <c r="R660" s="10">
        <f>IFERROR(SUMIFS('Base bordo CD'!Q$2:Q$875,'Base bordo CD'!D$2:D$875,A660,'Base bordo CD'!A$2:A$875,B660,'Base bordo CD'!L$2:L$875,"CORTE DE CANA MECANIZADO"),0)</f>
        <v>6775</v>
      </c>
      <c r="S660" s="30">
        <f t="shared" si="56"/>
        <v>3.5953859778597783</v>
      </c>
      <c r="T660" s="9">
        <f t="shared" si="57"/>
        <v>7.8425925925925927E-2</v>
      </c>
      <c r="U660" s="9">
        <f t="shared" si="58"/>
        <v>4.0046296296296295E-2</v>
      </c>
      <c r="V660" s="9">
        <f t="shared" si="59"/>
        <v>0.916412037037037</v>
      </c>
    </row>
    <row r="661" spans="1:22" x14ac:dyDescent="0.35">
      <c r="A661" s="52">
        <v>49587</v>
      </c>
      <c r="B661" s="31">
        <v>46118</v>
      </c>
      <c r="C661" s="7" t="s">
        <v>337</v>
      </c>
      <c r="D661" s="7">
        <v>353</v>
      </c>
      <c r="E661" s="10">
        <f>IFERROR(SUMIFS('Base bordo CD'!M$2:M$875,'Base bordo CD'!D$2:D$875,A661,'Base bordo CD'!A$2:A$875,B661,'Base bordo CD'!L$2:L$875,"CORTE DE CANA MECANIZADO"),0)</f>
        <v>1.8822222222222222</v>
      </c>
      <c r="F661" s="10">
        <f>IFERROR(SUMIFS('Base bordo CD'!M$2:M$875,'Base bordo CD'!D$2:D$875,A661,'Base bordo CD'!A$2:A$875,B661,'Base bordo CD'!L$2:L$875,"MANOBRA"),0)</f>
        <v>0.96111111111111103</v>
      </c>
      <c r="G661" s="10">
        <f>IFERROR(SUMIFS('Base bordo CD'!M$2:M$875,'Base bordo CD'!D$2:D$875,A661,'Base bordo CD'!A$2:A$875,B661,'Base bordo CD'!L$2:L$875,"DESLOCAMENTO"),0)</f>
        <v>0.12388888888888888</v>
      </c>
      <c r="H661" s="10">
        <f>IFERROR(SUMIFS('Base bordo CD'!M$2:M$875,'Base bordo CD'!D$2:D$875,A661,'Base bordo CD'!A$2:A$875,B661,'Base bordo CD'!L$2:L$875,"AGUARDANDO MANOBRA DE TRANSBORDO"),0)+IFERROR(SUMIFS('Base bordo CD'!M$2:M$875,'Base bordo CD'!D$2:D$875,A661,'Base bordo CD'!A$2:A$875,B661,'Base bordo CD'!L$2:L$875,"FALTA DE TRANSBORDO"),0)</f>
        <v>0</v>
      </c>
      <c r="I661" s="10">
        <f>IFERROR(SUMIFS('Base bordo CD'!M$2:M$875,'Base bordo CD'!D$2:D$875,A661,'Base bordo CD'!A$2:A$875,B661,'Base bordo CD'!L$2:L$875,"PARADA POR CONDICOES CLIMATICAS"),0)+IFERROR(SUMIFS('Base bordo CD'!M$2:M$875,'Base bordo CD'!D$2:D$875,A661,'Base bordo CD'!A$2:A$875,B661,'Base bordo CD'!L$2:L$875,"TEMPO INDETERMINADO"),0)</f>
        <v>2.4319444444444445</v>
      </c>
      <c r="J661" s="10">
        <f>IFERROR(SUMIFS('Base bordo CD'!M$2:M$875,'Base bordo CD'!D$2:D$875,A661,'Base bordo CD'!A$2:A$875,B661,'Base bordo CD'!L$2:L$875,"LIMITAÇÃO INDÚSTRIA"),0)</f>
        <v>15.731666666666667</v>
      </c>
      <c r="K661" s="10">
        <f>IFERROR(SUMIFS('Base bordo CD'!M$2:M$875,'Base bordo CD'!D$2:D$875,A661,'Base bordo CD'!A$2:A$875,B661,'Base bordo CD'!L$2:L$875,"MAN CORRETIVA*"),0)+IFERROR(SUMIFS('Base bordo CD'!M$2:M$875,'Base bordo CD'!D$2:D$875,A661,'Base bordo CD'!A$2:A$875,B661,'Base bordo CD'!L$2:L$875,"AGUARDANDO MANUTENCAO*"),0)+IFERROR(SUMIFS('Base bordo CD'!M$2:M$875,'Base bordo CD'!D$2:D$875,A661,'Base bordo CD'!A$2:A$875,B661,'Base bordo CD'!L$2:L$875,"TROCA DE FAQUINHA"),0)+IFERROR(SUMIFS('Base bordo CD'!M$2:M$875,'Base bordo CD'!D$2:D$875,A661,'Base bordo CD'!A$2:A$875,B661,'Base bordo CD'!L$2:L$875,"LIMPEZA*"),0)</f>
        <v>2.7750000000000004</v>
      </c>
      <c r="L661" s="10">
        <f>IFERROR(SUMIFS('Base bordo CD'!M$2:M$875,'Base bordo CD'!D$2:D$875,A661,'Base bordo CD'!A$2:A$875,B661,'Base bordo CD'!L$2:L$875,"PATIO - RESERVA"),0)</f>
        <v>0</v>
      </c>
      <c r="M661" s="10">
        <f>IFERROR(SUMIFS('Base bordo CD'!M$2:M$875,'Base bordo CD'!D$2:D$875,A661,'Base bordo CD'!A$2:A$875,B661,'Base bordo CD'!L$2:L$875,"SEM APONTAMENTO"),0)</f>
        <v>9.4166666666666662E-2</v>
      </c>
      <c r="N661" s="10">
        <f>IFERROR(SUMIFS('Base bordo CD'!M$2:M$875,'Base bordo CD'!D$2:D$875,A661,'Base bordo CD'!A$2:A$875,B661,'Base bordo CD'!L$2:L$875,"FALTA DE CAMINHÃO"),0)+IFERROR(SUMIFS('Base bordo CD'!M$2:M$875,'Base bordo CD'!D$2:D$875,A661,'Base bordo CD'!A$2:A$875,B661,'Base bordo CD'!L$2:L$875,"FALTA DE COMBUSTIVEL"),0)+IFERROR(SUMIFS('Base bordo CD'!M$2:M$875,'Base bordo CD'!D$2:D$875,A661,'Base bordo CD'!A$2:A$875,B661,'Base bordo CD'!L$2:L$875,"FALTA DE MOTORIST*"),0)</f>
        <v>0</v>
      </c>
      <c r="O661" s="10">
        <f t="shared" si="55"/>
        <v>0</v>
      </c>
      <c r="P661" s="10">
        <f>IFERROR(SUMIFS('Base bordo CD'!M$2:M$875,'Base bordo CD'!D$2:D$875,A661,'Base bordo CD'!A$2:A$875,B661),0)</f>
        <v>24</v>
      </c>
      <c r="Q661" s="10">
        <f>IFERROR(SUMIFS('Base bordo CD'!O$2:O$875,'Base bordo CD'!D$2:D$875,A661,'Base bordo CD'!A$2:A$875,B661,'Base bordo CD'!L$2:L$875,"CORTE DE CANA MECANIZADO"),0)</f>
        <v>24358.739999999998</v>
      </c>
      <c r="R661" s="10">
        <f>IFERROR(SUMIFS('Base bordo CD'!Q$2:Q$875,'Base bordo CD'!D$2:D$875,A661,'Base bordo CD'!A$2:A$875,B661,'Base bordo CD'!L$2:L$875,"CORTE DE CANA MECANIZADO"),0)</f>
        <v>6775</v>
      </c>
      <c r="S661" s="30">
        <f t="shared" si="56"/>
        <v>3.5953859778597783</v>
      </c>
      <c r="T661" s="9">
        <f t="shared" si="57"/>
        <v>7.8425925925925927E-2</v>
      </c>
      <c r="U661" s="9">
        <f t="shared" si="58"/>
        <v>4.0046296296296295E-2</v>
      </c>
      <c r="V661" s="9">
        <f t="shared" si="59"/>
        <v>0.916412037037037</v>
      </c>
    </row>
    <row r="662" spans="1:22" x14ac:dyDescent="0.35">
      <c r="A662" s="52">
        <v>49587</v>
      </c>
      <c r="B662" s="31">
        <v>46118</v>
      </c>
      <c r="C662" s="7" t="s">
        <v>337</v>
      </c>
      <c r="D662" s="7">
        <v>353</v>
      </c>
      <c r="E662" s="10">
        <f>IFERROR(SUMIFS('Base bordo CD'!M$2:M$875,'Base bordo CD'!D$2:D$875,A662,'Base bordo CD'!A$2:A$875,B662,'Base bordo CD'!L$2:L$875,"CORTE DE CANA MECANIZADO"),0)</f>
        <v>1.8822222222222222</v>
      </c>
      <c r="F662" s="10">
        <f>IFERROR(SUMIFS('Base bordo CD'!M$2:M$875,'Base bordo CD'!D$2:D$875,A662,'Base bordo CD'!A$2:A$875,B662,'Base bordo CD'!L$2:L$875,"MANOBRA"),0)</f>
        <v>0.96111111111111103</v>
      </c>
      <c r="G662" s="10">
        <f>IFERROR(SUMIFS('Base bordo CD'!M$2:M$875,'Base bordo CD'!D$2:D$875,A662,'Base bordo CD'!A$2:A$875,B662,'Base bordo CD'!L$2:L$875,"DESLOCAMENTO"),0)</f>
        <v>0.12388888888888888</v>
      </c>
      <c r="H662" s="10">
        <f>IFERROR(SUMIFS('Base bordo CD'!M$2:M$875,'Base bordo CD'!D$2:D$875,A662,'Base bordo CD'!A$2:A$875,B662,'Base bordo CD'!L$2:L$875,"AGUARDANDO MANOBRA DE TRANSBORDO"),0)+IFERROR(SUMIFS('Base bordo CD'!M$2:M$875,'Base bordo CD'!D$2:D$875,A662,'Base bordo CD'!A$2:A$875,B662,'Base bordo CD'!L$2:L$875,"FALTA DE TRANSBORDO"),0)</f>
        <v>0</v>
      </c>
      <c r="I662" s="10">
        <f>IFERROR(SUMIFS('Base bordo CD'!M$2:M$875,'Base bordo CD'!D$2:D$875,A662,'Base bordo CD'!A$2:A$875,B662,'Base bordo CD'!L$2:L$875,"PARADA POR CONDICOES CLIMATICAS"),0)+IFERROR(SUMIFS('Base bordo CD'!M$2:M$875,'Base bordo CD'!D$2:D$875,A662,'Base bordo CD'!A$2:A$875,B662,'Base bordo CD'!L$2:L$875,"TEMPO INDETERMINADO"),0)</f>
        <v>2.4319444444444445</v>
      </c>
      <c r="J662" s="10">
        <f>IFERROR(SUMIFS('Base bordo CD'!M$2:M$875,'Base bordo CD'!D$2:D$875,A662,'Base bordo CD'!A$2:A$875,B662,'Base bordo CD'!L$2:L$875,"LIMITAÇÃO INDÚSTRIA"),0)</f>
        <v>15.731666666666667</v>
      </c>
      <c r="K662" s="10">
        <f>IFERROR(SUMIFS('Base bordo CD'!M$2:M$875,'Base bordo CD'!D$2:D$875,A662,'Base bordo CD'!A$2:A$875,B662,'Base bordo CD'!L$2:L$875,"MAN CORRETIVA*"),0)+IFERROR(SUMIFS('Base bordo CD'!M$2:M$875,'Base bordo CD'!D$2:D$875,A662,'Base bordo CD'!A$2:A$875,B662,'Base bordo CD'!L$2:L$875,"AGUARDANDO MANUTENCAO*"),0)+IFERROR(SUMIFS('Base bordo CD'!M$2:M$875,'Base bordo CD'!D$2:D$875,A662,'Base bordo CD'!A$2:A$875,B662,'Base bordo CD'!L$2:L$875,"TROCA DE FAQUINHA"),0)+IFERROR(SUMIFS('Base bordo CD'!M$2:M$875,'Base bordo CD'!D$2:D$875,A662,'Base bordo CD'!A$2:A$875,B662,'Base bordo CD'!L$2:L$875,"LIMPEZA*"),0)</f>
        <v>2.7750000000000004</v>
      </c>
      <c r="L662" s="10">
        <f>IFERROR(SUMIFS('Base bordo CD'!M$2:M$875,'Base bordo CD'!D$2:D$875,A662,'Base bordo CD'!A$2:A$875,B662,'Base bordo CD'!L$2:L$875,"PATIO - RESERVA"),0)</f>
        <v>0</v>
      </c>
      <c r="M662" s="10">
        <f>IFERROR(SUMIFS('Base bordo CD'!M$2:M$875,'Base bordo CD'!D$2:D$875,A662,'Base bordo CD'!A$2:A$875,B662,'Base bordo CD'!L$2:L$875,"SEM APONTAMENTO"),0)</f>
        <v>9.4166666666666662E-2</v>
      </c>
      <c r="N662" s="10">
        <f>IFERROR(SUMIFS('Base bordo CD'!M$2:M$875,'Base bordo CD'!D$2:D$875,A662,'Base bordo CD'!A$2:A$875,B662,'Base bordo CD'!L$2:L$875,"FALTA DE CAMINHÃO"),0)+IFERROR(SUMIFS('Base bordo CD'!M$2:M$875,'Base bordo CD'!D$2:D$875,A662,'Base bordo CD'!A$2:A$875,B662,'Base bordo CD'!L$2:L$875,"FALTA DE COMBUSTIVEL"),0)+IFERROR(SUMIFS('Base bordo CD'!M$2:M$875,'Base bordo CD'!D$2:D$875,A662,'Base bordo CD'!A$2:A$875,B662,'Base bordo CD'!L$2:L$875,"FALTA DE MOTORIST*"),0)</f>
        <v>0</v>
      </c>
      <c r="O662" s="10">
        <f t="shared" si="55"/>
        <v>0</v>
      </c>
      <c r="P662" s="10">
        <f>IFERROR(SUMIFS('Base bordo CD'!M$2:M$875,'Base bordo CD'!D$2:D$875,A662,'Base bordo CD'!A$2:A$875,B662),0)</f>
        <v>24</v>
      </c>
      <c r="Q662" s="10">
        <f>IFERROR(SUMIFS('Base bordo CD'!O$2:O$875,'Base bordo CD'!D$2:D$875,A662,'Base bordo CD'!A$2:A$875,B662,'Base bordo CD'!L$2:L$875,"CORTE DE CANA MECANIZADO"),0)</f>
        <v>24358.739999999998</v>
      </c>
      <c r="R662" s="10">
        <f>IFERROR(SUMIFS('Base bordo CD'!Q$2:Q$875,'Base bordo CD'!D$2:D$875,A662,'Base bordo CD'!A$2:A$875,B662,'Base bordo CD'!L$2:L$875,"CORTE DE CANA MECANIZADO"),0)</f>
        <v>6775</v>
      </c>
      <c r="S662" s="30">
        <f t="shared" si="56"/>
        <v>3.5953859778597783</v>
      </c>
      <c r="T662" s="9">
        <f t="shared" si="57"/>
        <v>7.8425925925925927E-2</v>
      </c>
      <c r="U662" s="9">
        <f t="shared" si="58"/>
        <v>4.0046296296296295E-2</v>
      </c>
      <c r="V662" s="9">
        <f t="shared" si="59"/>
        <v>0.916412037037037</v>
      </c>
    </row>
    <row r="663" spans="1:22" hidden="1" x14ac:dyDescent="0.35">
      <c r="A663" s="52">
        <v>49588</v>
      </c>
      <c r="B663" s="31">
        <v>46118</v>
      </c>
      <c r="C663" s="7" t="s">
        <v>364</v>
      </c>
      <c r="D663" s="7">
        <v>352</v>
      </c>
      <c r="E663" s="10">
        <f>IFERROR(SUMIFS('Base bordo CD'!M$2:M$875,'Base bordo CD'!D$2:D$875,A663,'Base bordo CD'!A$2:A$875,B663,'Base bordo CD'!L$2:L$875,"CORTE DE CANA MECANIZADO"),0)</f>
        <v>6.5616666666666674</v>
      </c>
      <c r="F663" s="10">
        <f>IFERROR(SUMIFS('Base bordo CD'!M$2:M$875,'Base bordo CD'!D$2:D$875,A663,'Base bordo CD'!A$2:A$875,B663,'Base bordo CD'!L$2:L$875,"MANOBRA"),0)</f>
        <v>3.6008333333333336</v>
      </c>
      <c r="G663" s="10">
        <f>IFERROR(SUMIFS('Base bordo CD'!M$2:M$875,'Base bordo CD'!D$2:D$875,A663,'Base bordo CD'!A$2:A$875,B663,'Base bordo CD'!L$2:L$875,"DESLOCAMENTO"),0)</f>
        <v>0.58194444444444449</v>
      </c>
      <c r="H663" s="10">
        <f>IFERROR(SUMIFS('Base bordo CD'!M$2:M$875,'Base bordo CD'!D$2:D$875,A663,'Base bordo CD'!A$2:A$875,B663,'Base bordo CD'!L$2:L$875,"AGUARDANDO MANOBRA DE TRANSBORDO"),0)+IFERROR(SUMIFS('Base bordo CD'!M$2:M$875,'Base bordo CD'!D$2:D$875,A663,'Base bordo CD'!A$2:A$875,B663,'Base bordo CD'!L$2:L$875,"FALTA DE TRANSBORDO"),0)</f>
        <v>0.11</v>
      </c>
      <c r="I663" s="10">
        <f>IFERROR(SUMIFS('Base bordo CD'!M$2:M$875,'Base bordo CD'!D$2:D$875,A663,'Base bordo CD'!A$2:A$875,B663,'Base bordo CD'!L$2:L$875,"PARADA POR CONDICOES CLIMATICAS"),0)+IFERROR(SUMIFS('Base bordo CD'!M$2:M$875,'Base bordo CD'!D$2:D$875,A663,'Base bordo CD'!A$2:A$875,B663,'Base bordo CD'!L$2:L$875,"TEMPO INDETERMINADO"),0)</f>
        <v>6.7058333333333326</v>
      </c>
      <c r="J663" s="10">
        <f>IFERROR(SUMIFS('Base bordo CD'!M$2:M$875,'Base bordo CD'!D$2:D$875,A663,'Base bordo CD'!A$2:A$875,B663,'Base bordo CD'!L$2:L$875,"LIMITAÇÃO INDÚSTRIA"),0)</f>
        <v>2.276388888888889</v>
      </c>
      <c r="K663" s="10">
        <f>IFERROR(SUMIFS('Base bordo CD'!M$2:M$875,'Base bordo CD'!D$2:D$875,A663,'Base bordo CD'!A$2:A$875,B663,'Base bordo CD'!L$2:L$875,"MAN CORRETIVA*"),0)+IFERROR(SUMIFS('Base bordo CD'!M$2:M$875,'Base bordo CD'!D$2:D$875,A663,'Base bordo CD'!A$2:A$875,B663,'Base bordo CD'!L$2:L$875,"AGUARDANDO MANUTENCAO*"),0)+IFERROR(SUMIFS('Base bordo CD'!M$2:M$875,'Base bordo CD'!D$2:D$875,A663,'Base bordo CD'!A$2:A$875,B663,'Base bordo CD'!L$2:L$875,"TROCA DE FAQUINHA"),0)+IFERROR(SUMIFS('Base bordo CD'!M$2:M$875,'Base bordo CD'!D$2:D$875,A663,'Base bordo CD'!A$2:A$875,B663,'Base bordo CD'!L$2:L$875,"LIMPEZA*"),0)</f>
        <v>1.8849999999999998</v>
      </c>
      <c r="L663" s="10">
        <f>IFERROR(SUMIFS('Base bordo CD'!M$2:M$875,'Base bordo CD'!D$2:D$875,A663,'Base bordo CD'!A$2:A$875,B663,'Base bordo CD'!L$2:L$875,"PATIO - RESERVA"),0)</f>
        <v>0.31472222222222224</v>
      </c>
      <c r="M663" s="10">
        <f>IFERROR(SUMIFS('Base bordo CD'!M$2:M$875,'Base bordo CD'!D$2:D$875,A663,'Base bordo CD'!A$2:A$875,B663,'Base bordo CD'!L$2:L$875,"SEM APONTAMENTO"),0)</f>
        <v>0.13333333333333333</v>
      </c>
      <c r="N663" s="10">
        <f>IFERROR(SUMIFS('Base bordo CD'!M$2:M$875,'Base bordo CD'!D$2:D$875,A663,'Base bordo CD'!A$2:A$875,B663,'Base bordo CD'!L$2:L$875,"FALTA DE CAMINHÃO"),0)+IFERROR(SUMIFS('Base bordo CD'!M$2:M$875,'Base bordo CD'!D$2:D$875,A663,'Base bordo CD'!A$2:A$875,B663,'Base bordo CD'!L$2:L$875,"FALTA DE COMBUSTIVEL"),0)+IFERROR(SUMIFS('Base bordo CD'!M$2:M$875,'Base bordo CD'!D$2:D$875,A663,'Base bordo CD'!A$2:A$875,B663,'Base bordo CD'!L$2:L$875,"FALTA DE MOTORIST*"),0)</f>
        <v>1.5150000000000001</v>
      </c>
      <c r="O663" s="10">
        <f t="shared" si="55"/>
        <v>0.31527777777778354</v>
      </c>
      <c r="P663" s="10">
        <f>IFERROR(SUMIFS('Base bordo CD'!M$2:M$875,'Base bordo CD'!D$2:D$875,A663,'Base bordo CD'!A$2:A$875,B663),0)</f>
        <v>24.000000000000004</v>
      </c>
      <c r="Q663" s="10">
        <f>IFERROR(SUMIFS('Base bordo CD'!O$2:O$875,'Base bordo CD'!D$2:D$875,A663,'Base bordo CD'!A$2:A$875,B663,'Base bordo CD'!L$2:L$875,"CORTE DE CANA MECANIZADO"),0)</f>
        <v>97141.5</v>
      </c>
      <c r="R663" s="10">
        <f>IFERROR(SUMIFS('Base bordo CD'!Q$2:Q$875,'Base bordo CD'!D$2:D$875,A663,'Base bordo CD'!A$2:A$875,B663,'Base bordo CD'!L$2:L$875,"CORTE DE CANA MECANIZADO"),0)</f>
        <v>23621</v>
      </c>
      <c r="S663" s="30">
        <f t="shared" si="56"/>
        <v>4.1125058210914016</v>
      </c>
      <c r="T663" s="9">
        <f t="shared" si="57"/>
        <v>0.27340277777777777</v>
      </c>
      <c r="U663" s="9">
        <f t="shared" si="58"/>
        <v>0.15003472222222222</v>
      </c>
      <c r="V663" s="9">
        <f t="shared" si="59"/>
        <v>0.70234953703703695</v>
      </c>
    </row>
    <row r="664" spans="1:22" hidden="1" x14ac:dyDescent="0.35">
      <c r="A664" s="52">
        <v>49588</v>
      </c>
      <c r="B664" s="31">
        <v>46118</v>
      </c>
      <c r="C664" s="7" t="s">
        <v>364</v>
      </c>
      <c r="D664" s="7">
        <v>352</v>
      </c>
      <c r="E664" s="10">
        <f>IFERROR(SUMIFS('Base bordo CD'!M$2:M$875,'Base bordo CD'!D$2:D$875,A664,'Base bordo CD'!A$2:A$875,B664,'Base bordo CD'!L$2:L$875,"CORTE DE CANA MECANIZADO"),0)</f>
        <v>6.5616666666666674</v>
      </c>
      <c r="F664" s="10">
        <f>IFERROR(SUMIFS('Base bordo CD'!M$2:M$875,'Base bordo CD'!D$2:D$875,A664,'Base bordo CD'!A$2:A$875,B664,'Base bordo CD'!L$2:L$875,"MANOBRA"),0)</f>
        <v>3.6008333333333336</v>
      </c>
      <c r="G664" s="10">
        <f>IFERROR(SUMIFS('Base bordo CD'!M$2:M$875,'Base bordo CD'!D$2:D$875,A664,'Base bordo CD'!A$2:A$875,B664,'Base bordo CD'!L$2:L$875,"DESLOCAMENTO"),0)</f>
        <v>0.58194444444444449</v>
      </c>
      <c r="H664" s="10">
        <f>IFERROR(SUMIFS('Base bordo CD'!M$2:M$875,'Base bordo CD'!D$2:D$875,A664,'Base bordo CD'!A$2:A$875,B664,'Base bordo CD'!L$2:L$875,"AGUARDANDO MANOBRA DE TRANSBORDO"),0)+IFERROR(SUMIFS('Base bordo CD'!M$2:M$875,'Base bordo CD'!D$2:D$875,A664,'Base bordo CD'!A$2:A$875,B664,'Base bordo CD'!L$2:L$875,"FALTA DE TRANSBORDO"),0)</f>
        <v>0.11</v>
      </c>
      <c r="I664" s="10">
        <f>IFERROR(SUMIFS('Base bordo CD'!M$2:M$875,'Base bordo CD'!D$2:D$875,A664,'Base bordo CD'!A$2:A$875,B664,'Base bordo CD'!L$2:L$875,"PARADA POR CONDICOES CLIMATICAS"),0)+IFERROR(SUMIFS('Base bordo CD'!M$2:M$875,'Base bordo CD'!D$2:D$875,A664,'Base bordo CD'!A$2:A$875,B664,'Base bordo CD'!L$2:L$875,"TEMPO INDETERMINADO"),0)</f>
        <v>6.7058333333333326</v>
      </c>
      <c r="J664" s="10">
        <f>IFERROR(SUMIFS('Base bordo CD'!M$2:M$875,'Base bordo CD'!D$2:D$875,A664,'Base bordo CD'!A$2:A$875,B664,'Base bordo CD'!L$2:L$875,"LIMITAÇÃO INDÚSTRIA"),0)</f>
        <v>2.276388888888889</v>
      </c>
      <c r="K664" s="10">
        <f>IFERROR(SUMIFS('Base bordo CD'!M$2:M$875,'Base bordo CD'!D$2:D$875,A664,'Base bordo CD'!A$2:A$875,B664,'Base bordo CD'!L$2:L$875,"MAN CORRETIVA*"),0)+IFERROR(SUMIFS('Base bordo CD'!M$2:M$875,'Base bordo CD'!D$2:D$875,A664,'Base bordo CD'!A$2:A$875,B664,'Base bordo CD'!L$2:L$875,"AGUARDANDO MANUTENCAO*"),0)+IFERROR(SUMIFS('Base bordo CD'!M$2:M$875,'Base bordo CD'!D$2:D$875,A664,'Base bordo CD'!A$2:A$875,B664,'Base bordo CD'!L$2:L$875,"TROCA DE FAQUINHA"),0)+IFERROR(SUMIFS('Base bordo CD'!M$2:M$875,'Base bordo CD'!D$2:D$875,A664,'Base bordo CD'!A$2:A$875,B664,'Base bordo CD'!L$2:L$875,"LIMPEZA*"),0)</f>
        <v>1.8849999999999998</v>
      </c>
      <c r="L664" s="10">
        <f>IFERROR(SUMIFS('Base bordo CD'!M$2:M$875,'Base bordo CD'!D$2:D$875,A664,'Base bordo CD'!A$2:A$875,B664,'Base bordo CD'!L$2:L$875,"PATIO - RESERVA"),0)</f>
        <v>0.31472222222222224</v>
      </c>
      <c r="M664" s="10">
        <f>IFERROR(SUMIFS('Base bordo CD'!M$2:M$875,'Base bordo CD'!D$2:D$875,A664,'Base bordo CD'!A$2:A$875,B664,'Base bordo CD'!L$2:L$875,"SEM APONTAMENTO"),0)</f>
        <v>0.13333333333333333</v>
      </c>
      <c r="N664" s="10">
        <f>IFERROR(SUMIFS('Base bordo CD'!M$2:M$875,'Base bordo CD'!D$2:D$875,A664,'Base bordo CD'!A$2:A$875,B664,'Base bordo CD'!L$2:L$875,"FALTA DE CAMINHÃO"),0)+IFERROR(SUMIFS('Base bordo CD'!M$2:M$875,'Base bordo CD'!D$2:D$875,A664,'Base bordo CD'!A$2:A$875,B664,'Base bordo CD'!L$2:L$875,"FALTA DE COMBUSTIVEL"),0)+IFERROR(SUMIFS('Base bordo CD'!M$2:M$875,'Base bordo CD'!D$2:D$875,A664,'Base bordo CD'!A$2:A$875,B664,'Base bordo CD'!L$2:L$875,"FALTA DE MOTORIST*"),0)</f>
        <v>1.5150000000000001</v>
      </c>
      <c r="O664" s="10">
        <f t="shared" si="55"/>
        <v>0.31527777777778354</v>
      </c>
      <c r="P664" s="10">
        <f>IFERROR(SUMIFS('Base bordo CD'!M$2:M$875,'Base bordo CD'!D$2:D$875,A664,'Base bordo CD'!A$2:A$875,B664),0)</f>
        <v>24.000000000000004</v>
      </c>
      <c r="Q664" s="10">
        <f>IFERROR(SUMIFS('Base bordo CD'!O$2:O$875,'Base bordo CD'!D$2:D$875,A664,'Base bordo CD'!A$2:A$875,B664,'Base bordo CD'!L$2:L$875,"CORTE DE CANA MECANIZADO"),0)</f>
        <v>97141.5</v>
      </c>
      <c r="R664" s="10">
        <f>IFERROR(SUMIFS('Base bordo CD'!Q$2:Q$875,'Base bordo CD'!D$2:D$875,A664,'Base bordo CD'!A$2:A$875,B664,'Base bordo CD'!L$2:L$875,"CORTE DE CANA MECANIZADO"),0)</f>
        <v>23621</v>
      </c>
      <c r="S664" s="30">
        <f t="shared" si="56"/>
        <v>4.1125058210914016</v>
      </c>
      <c r="T664" s="9">
        <f t="shared" si="57"/>
        <v>0.27340277777777777</v>
      </c>
      <c r="U664" s="9">
        <f t="shared" si="58"/>
        <v>0.15003472222222222</v>
      </c>
      <c r="V664" s="9">
        <f t="shared" si="59"/>
        <v>0.70234953703703695</v>
      </c>
    </row>
    <row r="665" spans="1:22" hidden="1" x14ac:dyDescent="0.35">
      <c r="A665" s="52">
        <v>49588</v>
      </c>
      <c r="B665" s="31">
        <v>46118</v>
      </c>
      <c r="C665" s="7" t="s">
        <v>364</v>
      </c>
      <c r="D665" s="7">
        <v>352</v>
      </c>
      <c r="E665" s="10">
        <f>IFERROR(SUMIFS('Base bordo CD'!M$2:M$875,'Base bordo CD'!D$2:D$875,A665,'Base bordo CD'!A$2:A$875,B665,'Base bordo CD'!L$2:L$875,"CORTE DE CANA MECANIZADO"),0)</f>
        <v>6.5616666666666674</v>
      </c>
      <c r="F665" s="10">
        <f>IFERROR(SUMIFS('Base bordo CD'!M$2:M$875,'Base bordo CD'!D$2:D$875,A665,'Base bordo CD'!A$2:A$875,B665,'Base bordo CD'!L$2:L$875,"MANOBRA"),0)</f>
        <v>3.6008333333333336</v>
      </c>
      <c r="G665" s="10">
        <f>IFERROR(SUMIFS('Base bordo CD'!M$2:M$875,'Base bordo CD'!D$2:D$875,A665,'Base bordo CD'!A$2:A$875,B665,'Base bordo CD'!L$2:L$875,"DESLOCAMENTO"),0)</f>
        <v>0.58194444444444449</v>
      </c>
      <c r="H665" s="10">
        <f>IFERROR(SUMIFS('Base bordo CD'!M$2:M$875,'Base bordo CD'!D$2:D$875,A665,'Base bordo CD'!A$2:A$875,B665,'Base bordo CD'!L$2:L$875,"AGUARDANDO MANOBRA DE TRANSBORDO"),0)+IFERROR(SUMIFS('Base bordo CD'!M$2:M$875,'Base bordo CD'!D$2:D$875,A665,'Base bordo CD'!A$2:A$875,B665,'Base bordo CD'!L$2:L$875,"FALTA DE TRANSBORDO"),0)</f>
        <v>0.11</v>
      </c>
      <c r="I665" s="10">
        <f>IFERROR(SUMIFS('Base bordo CD'!M$2:M$875,'Base bordo CD'!D$2:D$875,A665,'Base bordo CD'!A$2:A$875,B665,'Base bordo CD'!L$2:L$875,"PARADA POR CONDICOES CLIMATICAS"),0)+IFERROR(SUMIFS('Base bordo CD'!M$2:M$875,'Base bordo CD'!D$2:D$875,A665,'Base bordo CD'!A$2:A$875,B665,'Base bordo CD'!L$2:L$875,"TEMPO INDETERMINADO"),0)</f>
        <v>6.7058333333333326</v>
      </c>
      <c r="J665" s="10">
        <f>IFERROR(SUMIFS('Base bordo CD'!M$2:M$875,'Base bordo CD'!D$2:D$875,A665,'Base bordo CD'!A$2:A$875,B665,'Base bordo CD'!L$2:L$875,"LIMITAÇÃO INDÚSTRIA"),0)</f>
        <v>2.276388888888889</v>
      </c>
      <c r="K665" s="10">
        <f>IFERROR(SUMIFS('Base bordo CD'!M$2:M$875,'Base bordo CD'!D$2:D$875,A665,'Base bordo CD'!A$2:A$875,B665,'Base bordo CD'!L$2:L$875,"MAN CORRETIVA*"),0)+IFERROR(SUMIFS('Base bordo CD'!M$2:M$875,'Base bordo CD'!D$2:D$875,A665,'Base bordo CD'!A$2:A$875,B665,'Base bordo CD'!L$2:L$875,"AGUARDANDO MANUTENCAO*"),0)+IFERROR(SUMIFS('Base bordo CD'!M$2:M$875,'Base bordo CD'!D$2:D$875,A665,'Base bordo CD'!A$2:A$875,B665,'Base bordo CD'!L$2:L$875,"TROCA DE FAQUINHA"),0)+IFERROR(SUMIFS('Base bordo CD'!M$2:M$875,'Base bordo CD'!D$2:D$875,A665,'Base bordo CD'!A$2:A$875,B665,'Base bordo CD'!L$2:L$875,"LIMPEZA*"),0)</f>
        <v>1.8849999999999998</v>
      </c>
      <c r="L665" s="10">
        <f>IFERROR(SUMIFS('Base bordo CD'!M$2:M$875,'Base bordo CD'!D$2:D$875,A665,'Base bordo CD'!A$2:A$875,B665,'Base bordo CD'!L$2:L$875,"PATIO - RESERVA"),0)</f>
        <v>0.31472222222222224</v>
      </c>
      <c r="M665" s="10">
        <f>IFERROR(SUMIFS('Base bordo CD'!M$2:M$875,'Base bordo CD'!D$2:D$875,A665,'Base bordo CD'!A$2:A$875,B665,'Base bordo CD'!L$2:L$875,"SEM APONTAMENTO"),0)</f>
        <v>0.13333333333333333</v>
      </c>
      <c r="N665" s="10">
        <f>IFERROR(SUMIFS('Base bordo CD'!M$2:M$875,'Base bordo CD'!D$2:D$875,A665,'Base bordo CD'!A$2:A$875,B665,'Base bordo CD'!L$2:L$875,"FALTA DE CAMINHÃO"),0)+IFERROR(SUMIFS('Base bordo CD'!M$2:M$875,'Base bordo CD'!D$2:D$875,A665,'Base bordo CD'!A$2:A$875,B665,'Base bordo CD'!L$2:L$875,"FALTA DE COMBUSTIVEL"),0)+IFERROR(SUMIFS('Base bordo CD'!M$2:M$875,'Base bordo CD'!D$2:D$875,A665,'Base bordo CD'!A$2:A$875,B665,'Base bordo CD'!L$2:L$875,"FALTA DE MOTORIST*"),0)</f>
        <v>1.5150000000000001</v>
      </c>
      <c r="O665" s="10">
        <f t="shared" si="55"/>
        <v>0.31527777777778354</v>
      </c>
      <c r="P665" s="10">
        <f>IFERROR(SUMIFS('Base bordo CD'!M$2:M$875,'Base bordo CD'!D$2:D$875,A665,'Base bordo CD'!A$2:A$875,B665),0)</f>
        <v>24.000000000000004</v>
      </c>
      <c r="Q665" s="10">
        <f>IFERROR(SUMIFS('Base bordo CD'!O$2:O$875,'Base bordo CD'!D$2:D$875,A665,'Base bordo CD'!A$2:A$875,B665,'Base bordo CD'!L$2:L$875,"CORTE DE CANA MECANIZADO"),0)</f>
        <v>97141.5</v>
      </c>
      <c r="R665" s="10">
        <f>IFERROR(SUMIFS('Base bordo CD'!Q$2:Q$875,'Base bordo CD'!D$2:D$875,A665,'Base bordo CD'!A$2:A$875,B665,'Base bordo CD'!L$2:L$875,"CORTE DE CANA MECANIZADO"),0)</f>
        <v>23621</v>
      </c>
      <c r="S665" s="30">
        <f t="shared" si="56"/>
        <v>4.1125058210914016</v>
      </c>
      <c r="T665" s="9">
        <f t="shared" si="57"/>
        <v>0.27340277777777777</v>
      </c>
      <c r="U665" s="9">
        <f t="shared" si="58"/>
        <v>0.15003472222222222</v>
      </c>
      <c r="V665" s="9">
        <f t="shared" si="59"/>
        <v>0.70234953703703695</v>
      </c>
    </row>
    <row r="666" spans="1:22" hidden="1" x14ac:dyDescent="0.35">
      <c r="A666" s="52">
        <v>49588</v>
      </c>
      <c r="B666" s="31">
        <v>46118</v>
      </c>
      <c r="C666" s="7" t="s">
        <v>364</v>
      </c>
      <c r="D666" s="7">
        <v>352</v>
      </c>
      <c r="E666" s="10">
        <f>IFERROR(SUMIFS('Base bordo CD'!M$2:M$875,'Base bordo CD'!D$2:D$875,A666,'Base bordo CD'!A$2:A$875,B666,'Base bordo CD'!L$2:L$875,"CORTE DE CANA MECANIZADO"),0)</f>
        <v>6.5616666666666674</v>
      </c>
      <c r="F666" s="10">
        <f>IFERROR(SUMIFS('Base bordo CD'!M$2:M$875,'Base bordo CD'!D$2:D$875,A666,'Base bordo CD'!A$2:A$875,B666,'Base bordo CD'!L$2:L$875,"MANOBRA"),0)</f>
        <v>3.6008333333333336</v>
      </c>
      <c r="G666" s="10">
        <f>IFERROR(SUMIFS('Base bordo CD'!M$2:M$875,'Base bordo CD'!D$2:D$875,A666,'Base bordo CD'!A$2:A$875,B666,'Base bordo CD'!L$2:L$875,"DESLOCAMENTO"),0)</f>
        <v>0.58194444444444449</v>
      </c>
      <c r="H666" s="10">
        <f>IFERROR(SUMIFS('Base bordo CD'!M$2:M$875,'Base bordo CD'!D$2:D$875,A666,'Base bordo CD'!A$2:A$875,B666,'Base bordo CD'!L$2:L$875,"AGUARDANDO MANOBRA DE TRANSBORDO"),0)+IFERROR(SUMIFS('Base bordo CD'!M$2:M$875,'Base bordo CD'!D$2:D$875,A666,'Base bordo CD'!A$2:A$875,B666,'Base bordo CD'!L$2:L$875,"FALTA DE TRANSBORDO"),0)</f>
        <v>0.11</v>
      </c>
      <c r="I666" s="10">
        <f>IFERROR(SUMIFS('Base bordo CD'!M$2:M$875,'Base bordo CD'!D$2:D$875,A666,'Base bordo CD'!A$2:A$875,B666,'Base bordo CD'!L$2:L$875,"PARADA POR CONDICOES CLIMATICAS"),0)+IFERROR(SUMIFS('Base bordo CD'!M$2:M$875,'Base bordo CD'!D$2:D$875,A666,'Base bordo CD'!A$2:A$875,B666,'Base bordo CD'!L$2:L$875,"TEMPO INDETERMINADO"),0)</f>
        <v>6.7058333333333326</v>
      </c>
      <c r="J666" s="10">
        <f>IFERROR(SUMIFS('Base bordo CD'!M$2:M$875,'Base bordo CD'!D$2:D$875,A666,'Base bordo CD'!A$2:A$875,B666,'Base bordo CD'!L$2:L$875,"LIMITAÇÃO INDÚSTRIA"),0)</f>
        <v>2.276388888888889</v>
      </c>
      <c r="K666" s="10">
        <f>IFERROR(SUMIFS('Base bordo CD'!M$2:M$875,'Base bordo CD'!D$2:D$875,A666,'Base bordo CD'!A$2:A$875,B666,'Base bordo CD'!L$2:L$875,"MAN CORRETIVA*"),0)+IFERROR(SUMIFS('Base bordo CD'!M$2:M$875,'Base bordo CD'!D$2:D$875,A666,'Base bordo CD'!A$2:A$875,B666,'Base bordo CD'!L$2:L$875,"AGUARDANDO MANUTENCAO*"),0)+IFERROR(SUMIFS('Base bordo CD'!M$2:M$875,'Base bordo CD'!D$2:D$875,A666,'Base bordo CD'!A$2:A$875,B666,'Base bordo CD'!L$2:L$875,"TROCA DE FAQUINHA"),0)+IFERROR(SUMIFS('Base bordo CD'!M$2:M$875,'Base bordo CD'!D$2:D$875,A666,'Base bordo CD'!A$2:A$875,B666,'Base bordo CD'!L$2:L$875,"LIMPEZA*"),0)</f>
        <v>1.8849999999999998</v>
      </c>
      <c r="L666" s="10">
        <f>IFERROR(SUMIFS('Base bordo CD'!M$2:M$875,'Base bordo CD'!D$2:D$875,A666,'Base bordo CD'!A$2:A$875,B666,'Base bordo CD'!L$2:L$875,"PATIO - RESERVA"),0)</f>
        <v>0.31472222222222224</v>
      </c>
      <c r="M666" s="10">
        <f>IFERROR(SUMIFS('Base bordo CD'!M$2:M$875,'Base bordo CD'!D$2:D$875,A666,'Base bordo CD'!A$2:A$875,B666,'Base bordo CD'!L$2:L$875,"SEM APONTAMENTO"),0)</f>
        <v>0.13333333333333333</v>
      </c>
      <c r="N666" s="10">
        <f>IFERROR(SUMIFS('Base bordo CD'!M$2:M$875,'Base bordo CD'!D$2:D$875,A666,'Base bordo CD'!A$2:A$875,B666,'Base bordo CD'!L$2:L$875,"FALTA DE CAMINHÃO"),0)+IFERROR(SUMIFS('Base bordo CD'!M$2:M$875,'Base bordo CD'!D$2:D$875,A666,'Base bordo CD'!A$2:A$875,B666,'Base bordo CD'!L$2:L$875,"FALTA DE COMBUSTIVEL"),0)+IFERROR(SUMIFS('Base bordo CD'!M$2:M$875,'Base bordo CD'!D$2:D$875,A666,'Base bordo CD'!A$2:A$875,B666,'Base bordo CD'!L$2:L$875,"FALTA DE MOTORIST*"),0)</f>
        <v>1.5150000000000001</v>
      </c>
      <c r="O666" s="10">
        <f t="shared" si="55"/>
        <v>0.31527777777778354</v>
      </c>
      <c r="P666" s="10">
        <f>IFERROR(SUMIFS('Base bordo CD'!M$2:M$875,'Base bordo CD'!D$2:D$875,A666,'Base bordo CD'!A$2:A$875,B666),0)</f>
        <v>24.000000000000004</v>
      </c>
      <c r="Q666" s="10">
        <f>IFERROR(SUMIFS('Base bordo CD'!O$2:O$875,'Base bordo CD'!D$2:D$875,A666,'Base bordo CD'!A$2:A$875,B666,'Base bordo CD'!L$2:L$875,"CORTE DE CANA MECANIZADO"),0)</f>
        <v>97141.5</v>
      </c>
      <c r="R666" s="10">
        <f>IFERROR(SUMIFS('Base bordo CD'!Q$2:Q$875,'Base bordo CD'!D$2:D$875,A666,'Base bordo CD'!A$2:A$875,B666,'Base bordo CD'!L$2:L$875,"CORTE DE CANA MECANIZADO"),0)</f>
        <v>23621</v>
      </c>
      <c r="S666" s="30">
        <f t="shared" si="56"/>
        <v>4.1125058210914016</v>
      </c>
      <c r="T666" s="9">
        <f t="shared" si="57"/>
        <v>0.27340277777777777</v>
      </c>
      <c r="U666" s="9">
        <f t="shared" si="58"/>
        <v>0.15003472222222222</v>
      </c>
      <c r="V666" s="9">
        <f t="shared" si="59"/>
        <v>0.70234953703703695</v>
      </c>
    </row>
    <row r="667" spans="1:22" hidden="1" x14ac:dyDescent="0.35">
      <c r="A667" s="52">
        <v>49588</v>
      </c>
      <c r="B667" s="31">
        <v>46118</v>
      </c>
      <c r="C667" s="7" t="s">
        <v>364</v>
      </c>
      <c r="D667" s="7">
        <v>352</v>
      </c>
      <c r="E667" s="10">
        <f>IFERROR(SUMIFS('Base bordo CD'!M$2:M$875,'Base bordo CD'!D$2:D$875,A667,'Base bordo CD'!A$2:A$875,B667,'Base bordo CD'!L$2:L$875,"CORTE DE CANA MECANIZADO"),0)</f>
        <v>6.5616666666666674</v>
      </c>
      <c r="F667" s="10">
        <f>IFERROR(SUMIFS('Base bordo CD'!M$2:M$875,'Base bordo CD'!D$2:D$875,A667,'Base bordo CD'!A$2:A$875,B667,'Base bordo CD'!L$2:L$875,"MANOBRA"),0)</f>
        <v>3.6008333333333336</v>
      </c>
      <c r="G667" s="10">
        <f>IFERROR(SUMIFS('Base bordo CD'!M$2:M$875,'Base bordo CD'!D$2:D$875,A667,'Base bordo CD'!A$2:A$875,B667,'Base bordo CD'!L$2:L$875,"DESLOCAMENTO"),0)</f>
        <v>0.58194444444444449</v>
      </c>
      <c r="H667" s="10">
        <f>IFERROR(SUMIFS('Base bordo CD'!M$2:M$875,'Base bordo CD'!D$2:D$875,A667,'Base bordo CD'!A$2:A$875,B667,'Base bordo CD'!L$2:L$875,"AGUARDANDO MANOBRA DE TRANSBORDO"),0)+IFERROR(SUMIFS('Base bordo CD'!M$2:M$875,'Base bordo CD'!D$2:D$875,A667,'Base bordo CD'!A$2:A$875,B667,'Base bordo CD'!L$2:L$875,"FALTA DE TRANSBORDO"),0)</f>
        <v>0.11</v>
      </c>
      <c r="I667" s="10">
        <f>IFERROR(SUMIFS('Base bordo CD'!M$2:M$875,'Base bordo CD'!D$2:D$875,A667,'Base bordo CD'!A$2:A$875,B667,'Base bordo CD'!L$2:L$875,"PARADA POR CONDICOES CLIMATICAS"),0)+IFERROR(SUMIFS('Base bordo CD'!M$2:M$875,'Base bordo CD'!D$2:D$875,A667,'Base bordo CD'!A$2:A$875,B667,'Base bordo CD'!L$2:L$875,"TEMPO INDETERMINADO"),0)</f>
        <v>6.7058333333333326</v>
      </c>
      <c r="J667" s="10">
        <f>IFERROR(SUMIFS('Base bordo CD'!M$2:M$875,'Base bordo CD'!D$2:D$875,A667,'Base bordo CD'!A$2:A$875,B667,'Base bordo CD'!L$2:L$875,"LIMITAÇÃO INDÚSTRIA"),0)</f>
        <v>2.276388888888889</v>
      </c>
      <c r="K667" s="10">
        <f>IFERROR(SUMIFS('Base bordo CD'!M$2:M$875,'Base bordo CD'!D$2:D$875,A667,'Base bordo CD'!A$2:A$875,B667,'Base bordo CD'!L$2:L$875,"MAN CORRETIVA*"),0)+IFERROR(SUMIFS('Base bordo CD'!M$2:M$875,'Base bordo CD'!D$2:D$875,A667,'Base bordo CD'!A$2:A$875,B667,'Base bordo CD'!L$2:L$875,"AGUARDANDO MANUTENCAO*"),0)+IFERROR(SUMIFS('Base bordo CD'!M$2:M$875,'Base bordo CD'!D$2:D$875,A667,'Base bordo CD'!A$2:A$875,B667,'Base bordo CD'!L$2:L$875,"TROCA DE FAQUINHA"),0)+IFERROR(SUMIFS('Base bordo CD'!M$2:M$875,'Base bordo CD'!D$2:D$875,A667,'Base bordo CD'!A$2:A$875,B667,'Base bordo CD'!L$2:L$875,"LIMPEZA*"),0)</f>
        <v>1.8849999999999998</v>
      </c>
      <c r="L667" s="10">
        <f>IFERROR(SUMIFS('Base bordo CD'!M$2:M$875,'Base bordo CD'!D$2:D$875,A667,'Base bordo CD'!A$2:A$875,B667,'Base bordo CD'!L$2:L$875,"PATIO - RESERVA"),0)</f>
        <v>0.31472222222222224</v>
      </c>
      <c r="M667" s="10">
        <f>IFERROR(SUMIFS('Base bordo CD'!M$2:M$875,'Base bordo CD'!D$2:D$875,A667,'Base bordo CD'!A$2:A$875,B667,'Base bordo CD'!L$2:L$875,"SEM APONTAMENTO"),0)</f>
        <v>0.13333333333333333</v>
      </c>
      <c r="N667" s="10">
        <f>IFERROR(SUMIFS('Base bordo CD'!M$2:M$875,'Base bordo CD'!D$2:D$875,A667,'Base bordo CD'!A$2:A$875,B667,'Base bordo CD'!L$2:L$875,"FALTA DE CAMINHÃO"),0)+IFERROR(SUMIFS('Base bordo CD'!M$2:M$875,'Base bordo CD'!D$2:D$875,A667,'Base bordo CD'!A$2:A$875,B667,'Base bordo CD'!L$2:L$875,"FALTA DE COMBUSTIVEL"),0)+IFERROR(SUMIFS('Base bordo CD'!M$2:M$875,'Base bordo CD'!D$2:D$875,A667,'Base bordo CD'!A$2:A$875,B667,'Base bordo CD'!L$2:L$875,"FALTA DE MOTORIST*"),0)</f>
        <v>1.5150000000000001</v>
      </c>
      <c r="O667" s="10">
        <f t="shared" si="55"/>
        <v>0.31527777777778354</v>
      </c>
      <c r="P667" s="10">
        <f>IFERROR(SUMIFS('Base bordo CD'!M$2:M$875,'Base bordo CD'!D$2:D$875,A667,'Base bordo CD'!A$2:A$875,B667),0)</f>
        <v>24.000000000000004</v>
      </c>
      <c r="Q667" s="10">
        <f>IFERROR(SUMIFS('Base bordo CD'!O$2:O$875,'Base bordo CD'!D$2:D$875,A667,'Base bordo CD'!A$2:A$875,B667,'Base bordo CD'!L$2:L$875,"CORTE DE CANA MECANIZADO"),0)</f>
        <v>97141.5</v>
      </c>
      <c r="R667" s="10">
        <f>IFERROR(SUMIFS('Base bordo CD'!Q$2:Q$875,'Base bordo CD'!D$2:D$875,A667,'Base bordo CD'!A$2:A$875,B667,'Base bordo CD'!L$2:L$875,"CORTE DE CANA MECANIZADO"),0)</f>
        <v>23621</v>
      </c>
      <c r="S667" s="30">
        <f t="shared" si="56"/>
        <v>4.1125058210914016</v>
      </c>
      <c r="T667" s="9">
        <f t="shared" si="57"/>
        <v>0.27340277777777777</v>
      </c>
      <c r="U667" s="9">
        <f t="shared" si="58"/>
        <v>0.15003472222222222</v>
      </c>
      <c r="V667" s="9">
        <f t="shared" si="59"/>
        <v>0.70234953703703695</v>
      </c>
    </row>
    <row r="668" spans="1:22" hidden="1" x14ac:dyDescent="0.35">
      <c r="A668" s="52">
        <v>49588</v>
      </c>
      <c r="B668" s="31">
        <v>46118</v>
      </c>
      <c r="C668" s="7" t="s">
        <v>364</v>
      </c>
      <c r="D668" s="7">
        <v>352</v>
      </c>
      <c r="E668" s="10">
        <f>IFERROR(SUMIFS('Base bordo CD'!M$2:M$875,'Base bordo CD'!D$2:D$875,A668,'Base bordo CD'!A$2:A$875,B668,'Base bordo CD'!L$2:L$875,"CORTE DE CANA MECANIZADO"),0)</f>
        <v>6.5616666666666674</v>
      </c>
      <c r="F668" s="10">
        <f>IFERROR(SUMIFS('Base bordo CD'!M$2:M$875,'Base bordo CD'!D$2:D$875,A668,'Base bordo CD'!A$2:A$875,B668,'Base bordo CD'!L$2:L$875,"MANOBRA"),0)</f>
        <v>3.6008333333333336</v>
      </c>
      <c r="G668" s="10">
        <f>IFERROR(SUMIFS('Base bordo CD'!M$2:M$875,'Base bordo CD'!D$2:D$875,A668,'Base bordo CD'!A$2:A$875,B668,'Base bordo CD'!L$2:L$875,"DESLOCAMENTO"),0)</f>
        <v>0.58194444444444449</v>
      </c>
      <c r="H668" s="10">
        <f>IFERROR(SUMIFS('Base bordo CD'!M$2:M$875,'Base bordo CD'!D$2:D$875,A668,'Base bordo CD'!A$2:A$875,B668,'Base bordo CD'!L$2:L$875,"AGUARDANDO MANOBRA DE TRANSBORDO"),0)+IFERROR(SUMIFS('Base bordo CD'!M$2:M$875,'Base bordo CD'!D$2:D$875,A668,'Base bordo CD'!A$2:A$875,B668,'Base bordo CD'!L$2:L$875,"FALTA DE TRANSBORDO"),0)</f>
        <v>0.11</v>
      </c>
      <c r="I668" s="10">
        <f>IFERROR(SUMIFS('Base bordo CD'!M$2:M$875,'Base bordo CD'!D$2:D$875,A668,'Base bordo CD'!A$2:A$875,B668,'Base bordo CD'!L$2:L$875,"PARADA POR CONDICOES CLIMATICAS"),0)+IFERROR(SUMIFS('Base bordo CD'!M$2:M$875,'Base bordo CD'!D$2:D$875,A668,'Base bordo CD'!A$2:A$875,B668,'Base bordo CD'!L$2:L$875,"TEMPO INDETERMINADO"),0)</f>
        <v>6.7058333333333326</v>
      </c>
      <c r="J668" s="10">
        <f>IFERROR(SUMIFS('Base bordo CD'!M$2:M$875,'Base bordo CD'!D$2:D$875,A668,'Base bordo CD'!A$2:A$875,B668,'Base bordo CD'!L$2:L$875,"LIMITAÇÃO INDÚSTRIA"),0)</f>
        <v>2.276388888888889</v>
      </c>
      <c r="K668" s="10">
        <f>IFERROR(SUMIFS('Base bordo CD'!M$2:M$875,'Base bordo CD'!D$2:D$875,A668,'Base bordo CD'!A$2:A$875,B668,'Base bordo CD'!L$2:L$875,"MAN CORRETIVA*"),0)+IFERROR(SUMIFS('Base bordo CD'!M$2:M$875,'Base bordo CD'!D$2:D$875,A668,'Base bordo CD'!A$2:A$875,B668,'Base bordo CD'!L$2:L$875,"AGUARDANDO MANUTENCAO*"),0)+IFERROR(SUMIFS('Base bordo CD'!M$2:M$875,'Base bordo CD'!D$2:D$875,A668,'Base bordo CD'!A$2:A$875,B668,'Base bordo CD'!L$2:L$875,"TROCA DE FAQUINHA"),0)+IFERROR(SUMIFS('Base bordo CD'!M$2:M$875,'Base bordo CD'!D$2:D$875,A668,'Base bordo CD'!A$2:A$875,B668,'Base bordo CD'!L$2:L$875,"LIMPEZA*"),0)</f>
        <v>1.8849999999999998</v>
      </c>
      <c r="L668" s="10">
        <f>IFERROR(SUMIFS('Base bordo CD'!M$2:M$875,'Base bordo CD'!D$2:D$875,A668,'Base bordo CD'!A$2:A$875,B668,'Base bordo CD'!L$2:L$875,"PATIO - RESERVA"),0)</f>
        <v>0.31472222222222224</v>
      </c>
      <c r="M668" s="10">
        <f>IFERROR(SUMIFS('Base bordo CD'!M$2:M$875,'Base bordo CD'!D$2:D$875,A668,'Base bordo CD'!A$2:A$875,B668,'Base bordo CD'!L$2:L$875,"SEM APONTAMENTO"),0)</f>
        <v>0.13333333333333333</v>
      </c>
      <c r="N668" s="10">
        <f>IFERROR(SUMIFS('Base bordo CD'!M$2:M$875,'Base bordo CD'!D$2:D$875,A668,'Base bordo CD'!A$2:A$875,B668,'Base bordo CD'!L$2:L$875,"FALTA DE CAMINHÃO"),0)+IFERROR(SUMIFS('Base bordo CD'!M$2:M$875,'Base bordo CD'!D$2:D$875,A668,'Base bordo CD'!A$2:A$875,B668,'Base bordo CD'!L$2:L$875,"FALTA DE COMBUSTIVEL"),0)+IFERROR(SUMIFS('Base bordo CD'!M$2:M$875,'Base bordo CD'!D$2:D$875,A668,'Base bordo CD'!A$2:A$875,B668,'Base bordo CD'!L$2:L$875,"FALTA DE MOTORIST*"),0)</f>
        <v>1.5150000000000001</v>
      </c>
      <c r="O668" s="10">
        <f t="shared" si="55"/>
        <v>0.31527777777778354</v>
      </c>
      <c r="P668" s="10">
        <f>IFERROR(SUMIFS('Base bordo CD'!M$2:M$875,'Base bordo CD'!D$2:D$875,A668,'Base bordo CD'!A$2:A$875,B668),0)</f>
        <v>24.000000000000004</v>
      </c>
      <c r="Q668" s="10">
        <f>IFERROR(SUMIFS('Base bordo CD'!O$2:O$875,'Base bordo CD'!D$2:D$875,A668,'Base bordo CD'!A$2:A$875,B668,'Base bordo CD'!L$2:L$875,"CORTE DE CANA MECANIZADO"),0)</f>
        <v>97141.5</v>
      </c>
      <c r="R668" s="10">
        <f>IFERROR(SUMIFS('Base bordo CD'!Q$2:Q$875,'Base bordo CD'!D$2:D$875,A668,'Base bordo CD'!A$2:A$875,B668,'Base bordo CD'!L$2:L$875,"CORTE DE CANA MECANIZADO"),0)</f>
        <v>23621</v>
      </c>
      <c r="S668" s="30">
        <f t="shared" si="56"/>
        <v>4.1125058210914016</v>
      </c>
      <c r="T668" s="9">
        <f t="shared" si="57"/>
        <v>0.27340277777777777</v>
      </c>
      <c r="U668" s="9">
        <f t="shared" si="58"/>
        <v>0.15003472222222222</v>
      </c>
      <c r="V668" s="9">
        <f t="shared" si="59"/>
        <v>0.70234953703703695</v>
      </c>
    </row>
    <row r="669" spans="1:22" hidden="1" x14ac:dyDescent="0.35">
      <c r="A669" s="52">
        <v>49588</v>
      </c>
      <c r="B669" s="31">
        <v>46118</v>
      </c>
      <c r="C669" s="7" t="s">
        <v>364</v>
      </c>
      <c r="D669" s="7">
        <v>352</v>
      </c>
      <c r="E669" s="10">
        <f>IFERROR(SUMIFS('Base bordo CD'!M$2:M$875,'Base bordo CD'!D$2:D$875,A669,'Base bordo CD'!A$2:A$875,B669,'Base bordo CD'!L$2:L$875,"CORTE DE CANA MECANIZADO"),0)</f>
        <v>6.5616666666666674</v>
      </c>
      <c r="F669" s="10">
        <f>IFERROR(SUMIFS('Base bordo CD'!M$2:M$875,'Base bordo CD'!D$2:D$875,A669,'Base bordo CD'!A$2:A$875,B669,'Base bordo CD'!L$2:L$875,"MANOBRA"),0)</f>
        <v>3.6008333333333336</v>
      </c>
      <c r="G669" s="10">
        <f>IFERROR(SUMIFS('Base bordo CD'!M$2:M$875,'Base bordo CD'!D$2:D$875,A669,'Base bordo CD'!A$2:A$875,B669,'Base bordo CD'!L$2:L$875,"DESLOCAMENTO"),0)</f>
        <v>0.58194444444444449</v>
      </c>
      <c r="H669" s="10">
        <f>IFERROR(SUMIFS('Base bordo CD'!M$2:M$875,'Base bordo CD'!D$2:D$875,A669,'Base bordo CD'!A$2:A$875,B669,'Base bordo CD'!L$2:L$875,"AGUARDANDO MANOBRA DE TRANSBORDO"),0)+IFERROR(SUMIFS('Base bordo CD'!M$2:M$875,'Base bordo CD'!D$2:D$875,A669,'Base bordo CD'!A$2:A$875,B669,'Base bordo CD'!L$2:L$875,"FALTA DE TRANSBORDO"),0)</f>
        <v>0.11</v>
      </c>
      <c r="I669" s="10">
        <f>IFERROR(SUMIFS('Base bordo CD'!M$2:M$875,'Base bordo CD'!D$2:D$875,A669,'Base bordo CD'!A$2:A$875,B669,'Base bordo CD'!L$2:L$875,"PARADA POR CONDICOES CLIMATICAS"),0)+IFERROR(SUMIFS('Base bordo CD'!M$2:M$875,'Base bordo CD'!D$2:D$875,A669,'Base bordo CD'!A$2:A$875,B669,'Base bordo CD'!L$2:L$875,"TEMPO INDETERMINADO"),0)</f>
        <v>6.7058333333333326</v>
      </c>
      <c r="J669" s="10">
        <f>IFERROR(SUMIFS('Base bordo CD'!M$2:M$875,'Base bordo CD'!D$2:D$875,A669,'Base bordo CD'!A$2:A$875,B669,'Base bordo CD'!L$2:L$875,"LIMITAÇÃO INDÚSTRIA"),0)</f>
        <v>2.276388888888889</v>
      </c>
      <c r="K669" s="10">
        <f>IFERROR(SUMIFS('Base bordo CD'!M$2:M$875,'Base bordo CD'!D$2:D$875,A669,'Base bordo CD'!A$2:A$875,B669,'Base bordo CD'!L$2:L$875,"MAN CORRETIVA*"),0)+IFERROR(SUMIFS('Base bordo CD'!M$2:M$875,'Base bordo CD'!D$2:D$875,A669,'Base bordo CD'!A$2:A$875,B669,'Base bordo CD'!L$2:L$875,"AGUARDANDO MANUTENCAO*"),0)+IFERROR(SUMIFS('Base bordo CD'!M$2:M$875,'Base bordo CD'!D$2:D$875,A669,'Base bordo CD'!A$2:A$875,B669,'Base bordo CD'!L$2:L$875,"TROCA DE FAQUINHA"),0)+IFERROR(SUMIFS('Base bordo CD'!M$2:M$875,'Base bordo CD'!D$2:D$875,A669,'Base bordo CD'!A$2:A$875,B669,'Base bordo CD'!L$2:L$875,"LIMPEZA*"),0)</f>
        <v>1.8849999999999998</v>
      </c>
      <c r="L669" s="10">
        <f>IFERROR(SUMIFS('Base bordo CD'!M$2:M$875,'Base bordo CD'!D$2:D$875,A669,'Base bordo CD'!A$2:A$875,B669,'Base bordo CD'!L$2:L$875,"PATIO - RESERVA"),0)</f>
        <v>0.31472222222222224</v>
      </c>
      <c r="M669" s="10">
        <f>IFERROR(SUMIFS('Base bordo CD'!M$2:M$875,'Base bordo CD'!D$2:D$875,A669,'Base bordo CD'!A$2:A$875,B669,'Base bordo CD'!L$2:L$875,"SEM APONTAMENTO"),0)</f>
        <v>0.13333333333333333</v>
      </c>
      <c r="N669" s="10">
        <f>IFERROR(SUMIFS('Base bordo CD'!M$2:M$875,'Base bordo CD'!D$2:D$875,A669,'Base bordo CD'!A$2:A$875,B669,'Base bordo CD'!L$2:L$875,"FALTA DE CAMINHÃO"),0)+IFERROR(SUMIFS('Base bordo CD'!M$2:M$875,'Base bordo CD'!D$2:D$875,A669,'Base bordo CD'!A$2:A$875,B669,'Base bordo CD'!L$2:L$875,"FALTA DE COMBUSTIVEL"),0)+IFERROR(SUMIFS('Base bordo CD'!M$2:M$875,'Base bordo CD'!D$2:D$875,A669,'Base bordo CD'!A$2:A$875,B669,'Base bordo CD'!L$2:L$875,"FALTA DE MOTORIST*"),0)</f>
        <v>1.5150000000000001</v>
      </c>
      <c r="O669" s="10">
        <f t="shared" si="55"/>
        <v>0.31527777777778354</v>
      </c>
      <c r="P669" s="10">
        <f>IFERROR(SUMIFS('Base bordo CD'!M$2:M$875,'Base bordo CD'!D$2:D$875,A669,'Base bordo CD'!A$2:A$875,B669),0)</f>
        <v>24.000000000000004</v>
      </c>
      <c r="Q669" s="10">
        <f>IFERROR(SUMIFS('Base bordo CD'!O$2:O$875,'Base bordo CD'!D$2:D$875,A669,'Base bordo CD'!A$2:A$875,B669,'Base bordo CD'!L$2:L$875,"CORTE DE CANA MECANIZADO"),0)</f>
        <v>97141.5</v>
      </c>
      <c r="R669" s="10">
        <f>IFERROR(SUMIFS('Base bordo CD'!Q$2:Q$875,'Base bordo CD'!D$2:D$875,A669,'Base bordo CD'!A$2:A$875,B669,'Base bordo CD'!L$2:L$875,"CORTE DE CANA MECANIZADO"),0)</f>
        <v>23621</v>
      </c>
      <c r="S669" s="30">
        <f t="shared" si="56"/>
        <v>4.1125058210914016</v>
      </c>
      <c r="T669" s="9">
        <f t="shared" si="57"/>
        <v>0.27340277777777777</v>
      </c>
      <c r="U669" s="9">
        <f t="shared" si="58"/>
        <v>0.15003472222222222</v>
      </c>
      <c r="V669" s="9">
        <f t="shared" si="59"/>
        <v>0.70234953703703695</v>
      </c>
    </row>
    <row r="670" spans="1:22" hidden="1" x14ac:dyDescent="0.35">
      <c r="A670" s="52">
        <v>49588</v>
      </c>
      <c r="B670" s="31">
        <v>46118</v>
      </c>
      <c r="C670" s="7" t="s">
        <v>364</v>
      </c>
      <c r="D670" s="7">
        <v>352</v>
      </c>
      <c r="E670" s="10">
        <f>IFERROR(SUMIFS('Base bordo CD'!M$2:M$875,'Base bordo CD'!D$2:D$875,A670,'Base bordo CD'!A$2:A$875,B670,'Base bordo CD'!L$2:L$875,"CORTE DE CANA MECANIZADO"),0)</f>
        <v>6.5616666666666674</v>
      </c>
      <c r="F670" s="10">
        <f>IFERROR(SUMIFS('Base bordo CD'!M$2:M$875,'Base bordo CD'!D$2:D$875,A670,'Base bordo CD'!A$2:A$875,B670,'Base bordo CD'!L$2:L$875,"MANOBRA"),0)</f>
        <v>3.6008333333333336</v>
      </c>
      <c r="G670" s="10">
        <f>IFERROR(SUMIFS('Base bordo CD'!M$2:M$875,'Base bordo CD'!D$2:D$875,A670,'Base bordo CD'!A$2:A$875,B670,'Base bordo CD'!L$2:L$875,"DESLOCAMENTO"),0)</f>
        <v>0.58194444444444449</v>
      </c>
      <c r="H670" s="10">
        <f>IFERROR(SUMIFS('Base bordo CD'!M$2:M$875,'Base bordo CD'!D$2:D$875,A670,'Base bordo CD'!A$2:A$875,B670,'Base bordo CD'!L$2:L$875,"AGUARDANDO MANOBRA DE TRANSBORDO"),0)+IFERROR(SUMIFS('Base bordo CD'!M$2:M$875,'Base bordo CD'!D$2:D$875,A670,'Base bordo CD'!A$2:A$875,B670,'Base bordo CD'!L$2:L$875,"FALTA DE TRANSBORDO"),0)</f>
        <v>0.11</v>
      </c>
      <c r="I670" s="10">
        <f>IFERROR(SUMIFS('Base bordo CD'!M$2:M$875,'Base bordo CD'!D$2:D$875,A670,'Base bordo CD'!A$2:A$875,B670,'Base bordo CD'!L$2:L$875,"PARADA POR CONDICOES CLIMATICAS"),0)+IFERROR(SUMIFS('Base bordo CD'!M$2:M$875,'Base bordo CD'!D$2:D$875,A670,'Base bordo CD'!A$2:A$875,B670,'Base bordo CD'!L$2:L$875,"TEMPO INDETERMINADO"),0)</f>
        <v>6.7058333333333326</v>
      </c>
      <c r="J670" s="10">
        <f>IFERROR(SUMIFS('Base bordo CD'!M$2:M$875,'Base bordo CD'!D$2:D$875,A670,'Base bordo CD'!A$2:A$875,B670,'Base bordo CD'!L$2:L$875,"LIMITAÇÃO INDÚSTRIA"),0)</f>
        <v>2.276388888888889</v>
      </c>
      <c r="K670" s="10">
        <f>IFERROR(SUMIFS('Base bordo CD'!M$2:M$875,'Base bordo CD'!D$2:D$875,A670,'Base bordo CD'!A$2:A$875,B670,'Base bordo CD'!L$2:L$875,"MAN CORRETIVA*"),0)+IFERROR(SUMIFS('Base bordo CD'!M$2:M$875,'Base bordo CD'!D$2:D$875,A670,'Base bordo CD'!A$2:A$875,B670,'Base bordo CD'!L$2:L$875,"AGUARDANDO MANUTENCAO*"),0)+IFERROR(SUMIFS('Base bordo CD'!M$2:M$875,'Base bordo CD'!D$2:D$875,A670,'Base bordo CD'!A$2:A$875,B670,'Base bordo CD'!L$2:L$875,"TROCA DE FAQUINHA"),0)+IFERROR(SUMIFS('Base bordo CD'!M$2:M$875,'Base bordo CD'!D$2:D$875,A670,'Base bordo CD'!A$2:A$875,B670,'Base bordo CD'!L$2:L$875,"LIMPEZA*"),0)</f>
        <v>1.8849999999999998</v>
      </c>
      <c r="L670" s="10">
        <f>IFERROR(SUMIFS('Base bordo CD'!M$2:M$875,'Base bordo CD'!D$2:D$875,A670,'Base bordo CD'!A$2:A$875,B670,'Base bordo CD'!L$2:L$875,"PATIO - RESERVA"),0)</f>
        <v>0.31472222222222224</v>
      </c>
      <c r="M670" s="10">
        <f>IFERROR(SUMIFS('Base bordo CD'!M$2:M$875,'Base bordo CD'!D$2:D$875,A670,'Base bordo CD'!A$2:A$875,B670,'Base bordo CD'!L$2:L$875,"SEM APONTAMENTO"),0)</f>
        <v>0.13333333333333333</v>
      </c>
      <c r="N670" s="10">
        <f>IFERROR(SUMIFS('Base bordo CD'!M$2:M$875,'Base bordo CD'!D$2:D$875,A670,'Base bordo CD'!A$2:A$875,B670,'Base bordo CD'!L$2:L$875,"FALTA DE CAMINHÃO"),0)+IFERROR(SUMIFS('Base bordo CD'!M$2:M$875,'Base bordo CD'!D$2:D$875,A670,'Base bordo CD'!A$2:A$875,B670,'Base bordo CD'!L$2:L$875,"FALTA DE COMBUSTIVEL"),0)+IFERROR(SUMIFS('Base bordo CD'!M$2:M$875,'Base bordo CD'!D$2:D$875,A670,'Base bordo CD'!A$2:A$875,B670,'Base bordo CD'!L$2:L$875,"FALTA DE MOTORIST*"),0)</f>
        <v>1.5150000000000001</v>
      </c>
      <c r="O670" s="10">
        <f t="shared" si="55"/>
        <v>0.31527777777778354</v>
      </c>
      <c r="P670" s="10">
        <f>IFERROR(SUMIFS('Base bordo CD'!M$2:M$875,'Base bordo CD'!D$2:D$875,A670,'Base bordo CD'!A$2:A$875,B670),0)</f>
        <v>24.000000000000004</v>
      </c>
      <c r="Q670" s="10">
        <f>IFERROR(SUMIFS('Base bordo CD'!O$2:O$875,'Base bordo CD'!D$2:D$875,A670,'Base bordo CD'!A$2:A$875,B670,'Base bordo CD'!L$2:L$875,"CORTE DE CANA MECANIZADO"),0)</f>
        <v>97141.5</v>
      </c>
      <c r="R670" s="10">
        <f>IFERROR(SUMIFS('Base bordo CD'!Q$2:Q$875,'Base bordo CD'!D$2:D$875,A670,'Base bordo CD'!A$2:A$875,B670,'Base bordo CD'!L$2:L$875,"CORTE DE CANA MECANIZADO"),0)</f>
        <v>23621</v>
      </c>
      <c r="S670" s="30">
        <f t="shared" si="56"/>
        <v>4.1125058210914016</v>
      </c>
      <c r="T670" s="9">
        <f t="shared" si="57"/>
        <v>0.27340277777777777</v>
      </c>
      <c r="U670" s="9">
        <f t="shared" si="58"/>
        <v>0.15003472222222222</v>
      </c>
      <c r="V670" s="9">
        <f t="shared" si="59"/>
        <v>0.70234953703703695</v>
      </c>
    </row>
    <row r="671" spans="1:22" hidden="1" x14ac:dyDescent="0.35">
      <c r="A671" s="52">
        <v>49588</v>
      </c>
      <c r="B671" s="31">
        <v>46118</v>
      </c>
      <c r="C671" s="7" t="s">
        <v>364</v>
      </c>
      <c r="D671" s="7">
        <v>352</v>
      </c>
      <c r="E671" s="10">
        <f>IFERROR(SUMIFS('Base bordo CD'!M$2:M$875,'Base bordo CD'!D$2:D$875,A671,'Base bordo CD'!A$2:A$875,B671,'Base bordo CD'!L$2:L$875,"CORTE DE CANA MECANIZADO"),0)</f>
        <v>6.5616666666666674</v>
      </c>
      <c r="F671" s="10">
        <f>IFERROR(SUMIFS('Base bordo CD'!M$2:M$875,'Base bordo CD'!D$2:D$875,A671,'Base bordo CD'!A$2:A$875,B671,'Base bordo CD'!L$2:L$875,"MANOBRA"),0)</f>
        <v>3.6008333333333336</v>
      </c>
      <c r="G671" s="10">
        <f>IFERROR(SUMIFS('Base bordo CD'!M$2:M$875,'Base bordo CD'!D$2:D$875,A671,'Base bordo CD'!A$2:A$875,B671,'Base bordo CD'!L$2:L$875,"DESLOCAMENTO"),0)</f>
        <v>0.58194444444444449</v>
      </c>
      <c r="H671" s="10">
        <f>IFERROR(SUMIFS('Base bordo CD'!M$2:M$875,'Base bordo CD'!D$2:D$875,A671,'Base bordo CD'!A$2:A$875,B671,'Base bordo CD'!L$2:L$875,"AGUARDANDO MANOBRA DE TRANSBORDO"),0)+IFERROR(SUMIFS('Base bordo CD'!M$2:M$875,'Base bordo CD'!D$2:D$875,A671,'Base bordo CD'!A$2:A$875,B671,'Base bordo CD'!L$2:L$875,"FALTA DE TRANSBORDO"),0)</f>
        <v>0.11</v>
      </c>
      <c r="I671" s="10">
        <f>IFERROR(SUMIFS('Base bordo CD'!M$2:M$875,'Base bordo CD'!D$2:D$875,A671,'Base bordo CD'!A$2:A$875,B671,'Base bordo CD'!L$2:L$875,"PARADA POR CONDICOES CLIMATICAS"),0)+IFERROR(SUMIFS('Base bordo CD'!M$2:M$875,'Base bordo CD'!D$2:D$875,A671,'Base bordo CD'!A$2:A$875,B671,'Base bordo CD'!L$2:L$875,"TEMPO INDETERMINADO"),0)</f>
        <v>6.7058333333333326</v>
      </c>
      <c r="J671" s="10">
        <f>IFERROR(SUMIFS('Base bordo CD'!M$2:M$875,'Base bordo CD'!D$2:D$875,A671,'Base bordo CD'!A$2:A$875,B671,'Base bordo CD'!L$2:L$875,"LIMITAÇÃO INDÚSTRIA"),0)</f>
        <v>2.276388888888889</v>
      </c>
      <c r="K671" s="10">
        <f>IFERROR(SUMIFS('Base bordo CD'!M$2:M$875,'Base bordo CD'!D$2:D$875,A671,'Base bordo CD'!A$2:A$875,B671,'Base bordo CD'!L$2:L$875,"MAN CORRETIVA*"),0)+IFERROR(SUMIFS('Base bordo CD'!M$2:M$875,'Base bordo CD'!D$2:D$875,A671,'Base bordo CD'!A$2:A$875,B671,'Base bordo CD'!L$2:L$875,"AGUARDANDO MANUTENCAO*"),0)+IFERROR(SUMIFS('Base bordo CD'!M$2:M$875,'Base bordo CD'!D$2:D$875,A671,'Base bordo CD'!A$2:A$875,B671,'Base bordo CD'!L$2:L$875,"TROCA DE FAQUINHA"),0)+IFERROR(SUMIFS('Base bordo CD'!M$2:M$875,'Base bordo CD'!D$2:D$875,A671,'Base bordo CD'!A$2:A$875,B671,'Base bordo CD'!L$2:L$875,"LIMPEZA*"),0)</f>
        <v>1.8849999999999998</v>
      </c>
      <c r="L671" s="10">
        <f>IFERROR(SUMIFS('Base bordo CD'!M$2:M$875,'Base bordo CD'!D$2:D$875,A671,'Base bordo CD'!A$2:A$875,B671,'Base bordo CD'!L$2:L$875,"PATIO - RESERVA"),0)</f>
        <v>0.31472222222222224</v>
      </c>
      <c r="M671" s="10">
        <f>IFERROR(SUMIFS('Base bordo CD'!M$2:M$875,'Base bordo CD'!D$2:D$875,A671,'Base bordo CD'!A$2:A$875,B671,'Base bordo CD'!L$2:L$875,"SEM APONTAMENTO"),0)</f>
        <v>0.13333333333333333</v>
      </c>
      <c r="N671" s="10">
        <f>IFERROR(SUMIFS('Base bordo CD'!M$2:M$875,'Base bordo CD'!D$2:D$875,A671,'Base bordo CD'!A$2:A$875,B671,'Base bordo CD'!L$2:L$875,"FALTA DE CAMINHÃO"),0)+IFERROR(SUMIFS('Base bordo CD'!M$2:M$875,'Base bordo CD'!D$2:D$875,A671,'Base bordo CD'!A$2:A$875,B671,'Base bordo CD'!L$2:L$875,"FALTA DE COMBUSTIVEL"),0)+IFERROR(SUMIFS('Base bordo CD'!M$2:M$875,'Base bordo CD'!D$2:D$875,A671,'Base bordo CD'!A$2:A$875,B671,'Base bordo CD'!L$2:L$875,"FALTA DE MOTORIST*"),0)</f>
        <v>1.5150000000000001</v>
      </c>
      <c r="O671" s="10">
        <f t="shared" si="55"/>
        <v>0.31527777777778354</v>
      </c>
      <c r="P671" s="10">
        <f>IFERROR(SUMIFS('Base bordo CD'!M$2:M$875,'Base bordo CD'!D$2:D$875,A671,'Base bordo CD'!A$2:A$875,B671),0)</f>
        <v>24.000000000000004</v>
      </c>
      <c r="Q671" s="10">
        <f>IFERROR(SUMIFS('Base bordo CD'!O$2:O$875,'Base bordo CD'!D$2:D$875,A671,'Base bordo CD'!A$2:A$875,B671,'Base bordo CD'!L$2:L$875,"CORTE DE CANA MECANIZADO"),0)</f>
        <v>97141.5</v>
      </c>
      <c r="R671" s="10">
        <f>IFERROR(SUMIFS('Base bordo CD'!Q$2:Q$875,'Base bordo CD'!D$2:D$875,A671,'Base bordo CD'!A$2:A$875,B671,'Base bordo CD'!L$2:L$875,"CORTE DE CANA MECANIZADO"),0)</f>
        <v>23621</v>
      </c>
      <c r="S671" s="30">
        <f t="shared" si="56"/>
        <v>4.1125058210914016</v>
      </c>
      <c r="T671" s="9">
        <f t="shared" si="57"/>
        <v>0.27340277777777777</v>
      </c>
      <c r="U671" s="9">
        <f t="shared" si="58"/>
        <v>0.15003472222222222</v>
      </c>
      <c r="V671" s="9">
        <f t="shared" si="59"/>
        <v>0.70234953703703695</v>
      </c>
    </row>
    <row r="672" spans="1:22" hidden="1" x14ac:dyDescent="0.35">
      <c r="A672" s="52">
        <v>49588</v>
      </c>
      <c r="B672" s="31">
        <v>46118</v>
      </c>
      <c r="C672" s="7" t="s">
        <v>364</v>
      </c>
      <c r="D672" s="7">
        <v>352</v>
      </c>
      <c r="E672" s="10">
        <f>IFERROR(SUMIFS('Base bordo CD'!M$2:M$875,'Base bordo CD'!D$2:D$875,A672,'Base bordo CD'!A$2:A$875,B672,'Base bordo CD'!L$2:L$875,"CORTE DE CANA MECANIZADO"),0)</f>
        <v>6.5616666666666674</v>
      </c>
      <c r="F672" s="10">
        <f>IFERROR(SUMIFS('Base bordo CD'!M$2:M$875,'Base bordo CD'!D$2:D$875,A672,'Base bordo CD'!A$2:A$875,B672,'Base bordo CD'!L$2:L$875,"MANOBRA"),0)</f>
        <v>3.6008333333333336</v>
      </c>
      <c r="G672" s="10">
        <f>IFERROR(SUMIFS('Base bordo CD'!M$2:M$875,'Base bordo CD'!D$2:D$875,A672,'Base bordo CD'!A$2:A$875,B672,'Base bordo CD'!L$2:L$875,"DESLOCAMENTO"),0)</f>
        <v>0.58194444444444449</v>
      </c>
      <c r="H672" s="10">
        <f>IFERROR(SUMIFS('Base bordo CD'!M$2:M$875,'Base bordo CD'!D$2:D$875,A672,'Base bordo CD'!A$2:A$875,B672,'Base bordo CD'!L$2:L$875,"AGUARDANDO MANOBRA DE TRANSBORDO"),0)+IFERROR(SUMIFS('Base bordo CD'!M$2:M$875,'Base bordo CD'!D$2:D$875,A672,'Base bordo CD'!A$2:A$875,B672,'Base bordo CD'!L$2:L$875,"FALTA DE TRANSBORDO"),0)</f>
        <v>0.11</v>
      </c>
      <c r="I672" s="10">
        <f>IFERROR(SUMIFS('Base bordo CD'!M$2:M$875,'Base bordo CD'!D$2:D$875,A672,'Base bordo CD'!A$2:A$875,B672,'Base bordo CD'!L$2:L$875,"PARADA POR CONDICOES CLIMATICAS"),0)+IFERROR(SUMIFS('Base bordo CD'!M$2:M$875,'Base bordo CD'!D$2:D$875,A672,'Base bordo CD'!A$2:A$875,B672,'Base bordo CD'!L$2:L$875,"TEMPO INDETERMINADO"),0)</f>
        <v>6.7058333333333326</v>
      </c>
      <c r="J672" s="10">
        <f>IFERROR(SUMIFS('Base bordo CD'!M$2:M$875,'Base bordo CD'!D$2:D$875,A672,'Base bordo CD'!A$2:A$875,B672,'Base bordo CD'!L$2:L$875,"LIMITAÇÃO INDÚSTRIA"),0)</f>
        <v>2.276388888888889</v>
      </c>
      <c r="K672" s="10">
        <f>IFERROR(SUMIFS('Base bordo CD'!M$2:M$875,'Base bordo CD'!D$2:D$875,A672,'Base bordo CD'!A$2:A$875,B672,'Base bordo CD'!L$2:L$875,"MAN CORRETIVA*"),0)+IFERROR(SUMIFS('Base bordo CD'!M$2:M$875,'Base bordo CD'!D$2:D$875,A672,'Base bordo CD'!A$2:A$875,B672,'Base bordo CD'!L$2:L$875,"AGUARDANDO MANUTENCAO*"),0)+IFERROR(SUMIFS('Base bordo CD'!M$2:M$875,'Base bordo CD'!D$2:D$875,A672,'Base bordo CD'!A$2:A$875,B672,'Base bordo CD'!L$2:L$875,"TROCA DE FAQUINHA"),0)+IFERROR(SUMIFS('Base bordo CD'!M$2:M$875,'Base bordo CD'!D$2:D$875,A672,'Base bordo CD'!A$2:A$875,B672,'Base bordo CD'!L$2:L$875,"LIMPEZA*"),0)</f>
        <v>1.8849999999999998</v>
      </c>
      <c r="L672" s="10">
        <f>IFERROR(SUMIFS('Base bordo CD'!M$2:M$875,'Base bordo CD'!D$2:D$875,A672,'Base bordo CD'!A$2:A$875,B672,'Base bordo CD'!L$2:L$875,"PATIO - RESERVA"),0)</f>
        <v>0.31472222222222224</v>
      </c>
      <c r="M672" s="10">
        <f>IFERROR(SUMIFS('Base bordo CD'!M$2:M$875,'Base bordo CD'!D$2:D$875,A672,'Base bordo CD'!A$2:A$875,B672,'Base bordo CD'!L$2:L$875,"SEM APONTAMENTO"),0)</f>
        <v>0.13333333333333333</v>
      </c>
      <c r="N672" s="10">
        <f>IFERROR(SUMIFS('Base bordo CD'!M$2:M$875,'Base bordo CD'!D$2:D$875,A672,'Base bordo CD'!A$2:A$875,B672,'Base bordo CD'!L$2:L$875,"FALTA DE CAMINHÃO"),0)+IFERROR(SUMIFS('Base bordo CD'!M$2:M$875,'Base bordo CD'!D$2:D$875,A672,'Base bordo CD'!A$2:A$875,B672,'Base bordo CD'!L$2:L$875,"FALTA DE COMBUSTIVEL"),0)+IFERROR(SUMIFS('Base bordo CD'!M$2:M$875,'Base bordo CD'!D$2:D$875,A672,'Base bordo CD'!A$2:A$875,B672,'Base bordo CD'!L$2:L$875,"FALTA DE MOTORIST*"),0)</f>
        <v>1.5150000000000001</v>
      </c>
      <c r="O672" s="10">
        <f t="shared" si="55"/>
        <v>0.31527777777778354</v>
      </c>
      <c r="P672" s="10">
        <f>IFERROR(SUMIFS('Base bordo CD'!M$2:M$875,'Base bordo CD'!D$2:D$875,A672,'Base bordo CD'!A$2:A$875,B672),0)</f>
        <v>24.000000000000004</v>
      </c>
      <c r="Q672" s="10">
        <f>IFERROR(SUMIFS('Base bordo CD'!O$2:O$875,'Base bordo CD'!D$2:D$875,A672,'Base bordo CD'!A$2:A$875,B672,'Base bordo CD'!L$2:L$875,"CORTE DE CANA MECANIZADO"),0)</f>
        <v>97141.5</v>
      </c>
      <c r="R672" s="10">
        <f>IFERROR(SUMIFS('Base bordo CD'!Q$2:Q$875,'Base bordo CD'!D$2:D$875,A672,'Base bordo CD'!A$2:A$875,B672,'Base bordo CD'!L$2:L$875,"CORTE DE CANA MECANIZADO"),0)</f>
        <v>23621</v>
      </c>
      <c r="S672" s="30">
        <f t="shared" si="56"/>
        <v>4.1125058210914016</v>
      </c>
      <c r="T672" s="9">
        <f t="shared" si="57"/>
        <v>0.27340277777777777</v>
      </c>
      <c r="U672" s="9">
        <f t="shared" si="58"/>
        <v>0.15003472222222222</v>
      </c>
      <c r="V672" s="9">
        <f t="shared" si="59"/>
        <v>0.70234953703703695</v>
      </c>
    </row>
    <row r="673" spans="1:22" hidden="1" x14ac:dyDescent="0.35">
      <c r="A673" s="52">
        <v>49588</v>
      </c>
      <c r="B673" s="31">
        <v>46118</v>
      </c>
      <c r="C673" s="7" t="s">
        <v>364</v>
      </c>
      <c r="D673" s="7">
        <v>352</v>
      </c>
      <c r="E673" s="10">
        <f>IFERROR(SUMIFS('Base bordo CD'!M$2:M$875,'Base bordo CD'!D$2:D$875,A673,'Base bordo CD'!A$2:A$875,B673,'Base bordo CD'!L$2:L$875,"CORTE DE CANA MECANIZADO"),0)</f>
        <v>6.5616666666666674</v>
      </c>
      <c r="F673" s="10">
        <f>IFERROR(SUMIFS('Base bordo CD'!M$2:M$875,'Base bordo CD'!D$2:D$875,A673,'Base bordo CD'!A$2:A$875,B673,'Base bordo CD'!L$2:L$875,"MANOBRA"),0)</f>
        <v>3.6008333333333336</v>
      </c>
      <c r="G673" s="10">
        <f>IFERROR(SUMIFS('Base bordo CD'!M$2:M$875,'Base bordo CD'!D$2:D$875,A673,'Base bordo CD'!A$2:A$875,B673,'Base bordo CD'!L$2:L$875,"DESLOCAMENTO"),0)</f>
        <v>0.58194444444444449</v>
      </c>
      <c r="H673" s="10">
        <f>IFERROR(SUMIFS('Base bordo CD'!M$2:M$875,'Base bordo CD'!D$2:D$875,A673,'Base bordo CD'!A$2:A$875,B673,'Base bordo CD'!L$2:L$875,"AGUARDANDO MANOBRA DE TRANSBORDO"),0)+IFERROR(SUMIFS('Base bordo CD'!M$2:M$875,'Base bordo CD'!D$2:D$875,A673,'Base bordo CD'!A$2:A$875,B673,'Base bordo CD'!L$2:L$875,"FALTA DE TRANSBORDO"),0)</f>
        <v>0.11</v>
      </c>
      <c r="I673" s="10">
        <f>IFERROR(SUMIFS('Base bordo CD'!M$2:M$875,'Base bordo CD'!D$2:D$875,A673,'Base bordo CD'!A$2:A$875,B673,'Base bordo CD'!L$2:L$875,"PARADA POR CONDICOES CLIMATICAS"),0)+IFERROR(SUMIFS('Base bordo CD'!M$2:M$875,'Base bordo CD'!D$2:D$875,A673,'Base bordo CD'!A$2:A$875,B673,'Base bordo CD'!L$2:L$875,"TEMPO INDETERMINADO"),0)</f>
        <v>6.7058333333333326</v>
      </c>
      <c r="J673" s="10">
        <f>IFERROR(SUMIFS('Base bordo CD'!M$2:M$875,'Base bordo CD'!D$2:D$875,A673,'Base bordo CD'!A$2:A$875,B673,'Base bordo CD'!L$2:L$875,"LIMITAÇÃO INDÚSTRIA"),0)</f>
        <v>2.276388888888889</v>
      </c>
      <c r="K673" s="10">
        <f>IFERROR(SUMIFS('Base bordo CD'!M$2:M$875,'Base bordo CD'!D$2:D$875,A673,'Base bordo CD'!A$2:A$875,B673,'Base bordo CD'!L$2:L$875,"MAN CORRETIVA*"),0)+IFERROR(SUMIFS('Base bordo CD'!M$2:M$875,'Base bordo CD'!D$2:D$875,A673,'Base bordo CD'!A$2:A$875,B673,'Base bordo CD'!L$2:L$875,"AGUARDANDO MANUTENCAO*"),0)+IFERROR(SUMIFS('Base bordo CD'!M$2:M$875,'Base bordo CD'!D$2:D$875,A673,'Base bordo CD'!A$2:A$875,B673,'Base bordo CD'!L$2:L$875,"TROCA DE FAQUINHA"),0)+IFERROR(SUMIFS('Base bordo CD'!M$2:M$875,'Base bordo CD'!D$2:D$875,A673,'Base bordo CD'!A$2:A$875,B673,'Base bordo CD'!L$2:L$875,"LIMPEZA*"),0)</f>
        <v>1.8849999999999998</v>
      </c>
      <c r="L673" s="10">
        <f>IFERROR(SUMIFS('Base bordo CD'!M$2:M$875,'Base bordo CD'!D$2:D$875,A673,'Base bordo CD'!A$2:A$875,B673,'Base bordo CD'!L$2:L$875,"PATIO - RESERVA"),0)</f>
        <v>0.31472222222222224</v>
      </c>
      <c r="M673" s="10">
        <f>IFERROR(SUMIFS('Base bordo CD'!M$2:M$875,'Base bordo CD'!D$2:D$875,A673,'Base bordo CD'!A$2:A$875,B673,'Base bordo CD'!L$2:L$875,"SEM APONTAMENTO"),0)</f>
        <v>0.13333333333333333</v>
      </c>
      <c r="N673" s="10">
        <f>IFERROR(SUMIFS('Base bordo CD'!M$2:M$875,'Base bordo CD'!D$2:D$875,A673,'Base bordo CD'!A$2:A$875,B673,'Base bordo CD'!L$2:L$875,"FALTA DE CAMINHÃO"),0)+IFERROR(SUMIFS('Base bordo CD'!M$2:M$875,'Base bordo CD'!D$2:D$875,A673,'Base bordo CD'!A$2:A$875,B673,'Base bordo CD'!L$2:L$875,"FALTA DE COMBUSTIVEL"),0)+IFERROR(SUMIFS('Base bordo CD'!M$2:M$875,'Base bordo CD'!D$2:D$875,A673,'Base bordo CD'!A$2:A$875,B673,'Base bordo CD'!L$2:L$875,"FALTA DE MOTORIST*"),0)</f>
        <v>1.5150000000000001</v>
      </c>
      <c r="O673" s="10">
        <f t="shared" si="55"/>
        <v>0.31527777777778354</v>
      </c>
      <c r="P673" s="10">
        <f>IFERROR(SUMIFS('Base bordo CD'!M$2:M$875,'Base bordo CD'!D$2:D$875,A673,'Base bordo CD'!A$2:A$875,B673),0)</f>
        <v>24.000000000000004</v>
      </c>
      <c r="Q673" s="10">
        <f>IFERROR(SUMIFS('Base bordo CD'!O$2:O$875,'Base bordo CD'!D$2:D$875,A673,'Base bordo CD'!A$2:A$875,B673,'Base bordo CD'!L$2:L$875,"CORTE DE CANA MECANIZADO"),0)</f>
        <v>97141.5</v>
      </c>
      <c r="R673" s="10">
        <f>IFERROR(SUMIFS('Base bordo CD'!Q$2:Q$875,'Base bordo CD'!D$2:D$875,A673,'Base bordo CD'!A$2:A$875,B673,'Base bordo CD'!L$2:L$875,"CORTE DE CANA MECANIZADO"),0)</f>
        <v>23621</v>
      </c>
      <c r="S673" s="30">
        <f t="shared" si="56"/>
        <v>4.1125058210914016</v>
      </c>
      <c r="T673" s="9">
        <f t="shared" si="57"/>
        <v>0.27340277777777777</v>
      </c>
      <c r="U673" s="9">
        <f t="shared" si="58"/>
        <v>0.15003472222222222</v>
      </c>
      <c r="V673" s="9">
        <f t="shared" si="59"/>
        <v>0.70234953703703695</v>
      </c>
    </row>
    <row r="674" spans="1:22" hidden="1" x14ac:dyDescent="0.35">
      <c r="A674" s="52">
        <v>49588</v>
      </c>
      <c r="B674" s="31">
        <v>46118</v>
      </c>
      <c r="C674" s="7" t="s">
        <v>364</v>
      </c>
      <c r="D674" s="7">
        <v>352</v>
      </c>
      <c r="E674" s="10">
        <f>IFERROR(SUMIFS('Base bordo CD'!M$2:M$875,'Base bordo CD'!D$2:D$875,A674,'Base bordo CD'!A$2:A$875,B674,'Base bordo CD'!L$2:L$875,"CORTE DE CANA MECANIZADO"),0)</f>
        <v>6.5616666666666674</v>
      </c>
      <c r="F674" s="10">
        <f>IFERROR(SUMIFS('Base bordo CD'!M$2:M$875,'Base bordo CD'!D$2:D$875,A674,'Base bordo CD'!A$2:A$875,B674,'Base bordo CD'!L$2:L$875,"MANOBRA"),0)</f>
        <v>3.6008333333333336</v>
      </c>
      <c r="G674" s="10">
        <f>IFERROR(SUMIFS('Base bordo CD'!M$2:M$875,'Base bordo CD'!D$2:D$875,A674,'Base bordo CD'!A$2:A$875,B674,'Base bordo CD'!L$2:L$875,"DESLOCAMENTO"),0)</f>
        <v>0.58194444444444449</v>
      </c>
      <c r="H674" s="10">
        <f>IFERROR(SUMIFS('Base bordo CD'!M$2:M$875,'Base bordo CD'!D$2:D$875,A674,'Base bordo CD'!A$2:A$875,B674,'Base bordo CD'!L$2:L$875,"AGUARDANDO MANOBRA DE TRANSBORDO"),0)+IFERROR(SUMIFS('Base bordo CD'!M$2:M$875,'Base bordo CD'!D$2:D$875,A674,'Base bordo CD'!A$2:A$875,B674,'Base bordo CD'!L$2:L$875,"FALTA DE TRANSBORDO"),0)</f>
        <v>0.11</v>
      </c>
      <c r="I674" s="10">
        <f>IFERROR(SUMIFS('Base bordo CD'!M$2:M$875,'Base bordo CD'!D$2:D$875,A674,'Base bordo CD'!A$2:A$875,B674,'Base bordo CD'!L$2:L$875,"PARADA POR CONDICOES CLIMATICAS"),0)+IFERROR(SUMIFS('Base bordo CD'!M$2:M$875,'Base bordo CD'!D$2:D$875,A674,'Base bordo CD'!A$2:A$875,B674,'Base bordo CD'!L$2:L$875,"TEMPO INDETERMINADO"),0)</f>
        <v>6.7058333333333326</v>
      </c>
      <c r="J674" s="10">
        <f>IFERROR(SUMIFS('Base bordo CD'!M$2:M$875,'Base bordo CD'!D$2:D$875,A674,'Base bordo CD'!A$2:A$875,B674,'Base bordo CD'!L$2:L$875,"LIMITAÇÃO INDÚSTRIA"),0)</f>
        <v>2.276388888888889</v>
      </c>
      <c r="K674" s="10">
        <f>IFERROR(SUMIFS('Base bordo CD'!M$2:M$875,'Base bordo CD'!D$2:D$875,A674,'Base bordo CD'!A$2:A$875,B674,'Base bordo CD'!L$2:L$875,"MAN CORRETIVA*"),0)+IFERROR(SUMIFS('Base bordo CD'!M$2:M$875,'Base bordo CD'!D$2:D$875,A674,'Base bordo CD'!A$2:A$875,B674,'Base bordo CD'!L$2:L$875,"AGUARDANDO MANUTENCAO*"),0)+IFERROR(SUMIFS('Base bordo CD'!M$2:M$875,'Base bordo CD'!D$2:D$875,A674,'Base bordo CD'!A$2:A$875,B674,'Base bordo CD'!L$2:L$875,"TROCA DE FAQUINHA"),0)+IFERROR(SUMIFS('Base bordo CD'!M$2:M$875,'Base bordo CD'!D$2:D$875,A674,'Base bordo CD'!A$2:A$875,B674,'Base bordo CD'!L$2:L$875,"LIMPEZA*"),0)</f>
        <v>1.8849999999999998</v>
      </c>
      <c r="L674" s="10">
        <f>IFERROR(SUMIFS('Base bordo CD'!M$2:M$875,'Base bordo CD'!D$2:D$875,A674,'Base bordo CD'!A$2:A$875,B674,'Base bordo CD'!L$2:L$875,"PATIO - RESERVA"),0)</f>
        <v>0.31472222222222224</v>
      </c>
      <c r="M674" s="10">
        <f>IFERROR(SUMIFS('Base bordo CD'!M$2:M$875,'Base bordo CD'!D$2:D$875,A674,'Base bordo CD'!A$2:A$875,B674,'Base bordo CD'!L$2:L$875,"SEM APONTAMENTO"),0)</f>
        <v>0.13333333333333333</v>
      </c>
      <c r="N674" s="10">
        <f>IFERROR(SUMIFS('Base bordo CD'!M$2:M$875,'Base bordo CD'!D$2:D$875,A674,'Base bordo CD'!A$2:A$875,B674,'Base bordo CD'!L$2:L$875,"FALTA DE CAMINHÃO"),0)+IFERROR(SUMIFS('Base bordo CD'!M$2:M$875,'Base bordo CD'!D$2:D$875,A674,'Base bordo CD'!A$2:A$875,B674,'Base bordo CD'!L$2:L$875,"FALTA DE COMBUSTIVEL"),0)+IFERROR(SUMIFS('Base bordo CD'!M$2:M$875,'Base bordo CD'!D$2:D$875,A674,'Base bordo CD'!A$2:A$875,B674,'Base bordo CD'!L$2:L$875,"FALTA DE MOTORIST*"),0)</f>
        <v>1.5150000000000001</v>
      </c>
      <c r="O674" s="10">
        <f t="shared" si="55"/>
        <v>0.31527777777778354</v>
      </c>
      <c r="P674" s="10">
        <f>IFERROR(SUMIFS('Base bordo CD'!M$2:M$875,'Base bordo CD'!D$2:D$875,A674,'Base bordo CD'!A$2:A$875,B674),0)</f>
        <v>24.000000000000004</v>
      </c>
      <c r="Q674" s="10">
        <f>IFERROR(SUMIFS('Base bordo CD'!O$2:O$875,'Base bordo CD'!D$2:D$875,A674,'Base bordo CD'!A$2:A$875,B674,'Base bordo CD'!L$2:L$875,"CORTE DE CANA MECANIZADO"),0)</f>
        <v>97141.5</v>
      </c>
      <c r="R674" s="10">
        <f>IFERROR(SUMIFS('Base bordo CD'!Q$2:Q$875,'Base bordo CD'!D$2:D$875,A674,'Base bordo CD'!A$2:A$875,B674,'Base bordo CD'!L$2:L$875,"CORTE DE CANA MECANIZADO"),0)</f>
        <v>23621</v>
      </c>
      <c r="S674" s="30">
        <f t="shared" si="56"/>
        <v>4.1125058210914016</v>
      </c>
      <c r="T674" s="9">
        <f t="shared" si="57"/>
        <v>0.27340277777777777</v>
      </c>
      <c r="U674" s="9">
        <f t="shared" si="58"/>
        <v>0.15003472222222222</v>
      </c>
      <c r="V674" s="9">
        <f t="shared" si="59"/>
        <v>0.70234953703703695</v>
      </c>
    </row>
    <row r="675" spans="1:22" hidden="1" x14ac:dyDescent="0.35">
      <c r="A675" s="52">
        <v>49588</v>
      </c>
      <c r="B675" s="31">
        <v>46118</v>
      </c>
      <c r="C675" s="7" t="s">
        <v>364</v>
      </c>
      <c r="D675" s="7">
        <v>352</v>
      </c>
      <c r="E675" s="10">
        <f>IFERROR(SUMIFS('Base bordo CD'!M$2:M$875,'Base bordo CD'!D$2:D$875,A675,'Base bordo CD'!A$2:A$875,B675,'Base bordo CD'!L$2:L$875,"CORTE DE CANA MECANIZADO"),0)</f>
        <v>6.5616666666666674</v>
      </c>
      <c r="F675" s="10">
        <f>IFERROR(SUMIFS('Base bordo CD'!M$2:M$875,'Base bordo CD'!D$2:D$875,A675,'Base bordo CD'!A$2:A$875,B675,'Base bordo CD'!L$2:L$875,"MANOBRA"),0)</f>
        <v>3.6008333333333336</v>
      </c>
      <c r="G675" s="10">
        <f>IFERROR(SUMIFS('Base bordo CD'!M$2:M$875,'Base bordo CD'!D$2:D$875,A675,'Base bordo CD'!A$2:A$875,B675,'Base bordo CD'!L$2:L$875,"DESLOCAMENTO"),0)</f>
        <v>0.58194444444444449</v>
      </c>
      <c r="H675" s="10">
        <f>IFERROR(SUMIFS('Base bordo CD'!M$2:M$875,'Base bordo CD'!D$2:D$875,A675,'Base bordo CD'!A$2:A$875,B675,'Base bordo CD'!L$2:L$875,"AGUARDANDO MANOBRA DE TRANSBORDO"),0)+IFERROR(SUMIFS('Base bordo CD'!M$2:M$875,'Base bordo CD'!D$2:D$875,A675,'Base bordo CD'!A$2:A$875,B675,'Base bordo CD'!L$2:L$875,"FALTA DE TRANSBORDO"),0)</f>
        <v>0.11</v>
      </c>
      <c r="I675" s="10">
        <f>IFERROR(SUMIFS('Base bordo CD'!M$2:M$875,'Base bordo CD'!D$2:D$875,A675,'Base bordo CD'!A$2:A$875,B675,'Base bordo CD'!L$2:L$875,"PARADA POR CONDICOES CLIMATICAS"),0)+IFERROR(SUMIFS('Base bordo CD'!M$2:M$875,'Base bordo CD'!D$2:D$875,A675,'Base bordo CD'!A$2:A$875,B675,'Base bordo CD'!L$2:L$875,"TEMPO INDETERMINADO"),0)</f>
        <v>6.7058333333333326</v>
      </c>
      <c r="J675" s="10">
        <f>IFERROR(SUMIFS('Base bordo CD'!M$2:M$875,'Base bordo CD'!D$2:D$875,A675,'Base bordo CD'!A$2:A$875,B675,'Base bordo CD'!L$2:L$875,"LIMITAÇÃO INDÚSTRIA"),0)</f>
        <v>2.276388888888889</v>
      </c>
      <c r="K675" s="10">
        <f>IFERROR(SUMIFS('Base bordo CD'!M$2:M$875,'Base bordo CD'!D$2:D$875,A675,'Base bordo CD'!A$2:A$875,B675,'Base bordo CD'!L$2:L$875,"MAN CORRETIVA*"),0)+IFERROR(SUMIFS('Base bordo CD'!M$2:M$875,'Base bordo CD'!D$2:D$875,A675,'Base bordo CD'!A$2:A$875,B675,'Base bordo CD'!L$2:L$875,"AGUARDANDO MANUTENCAO*"),0)+IFERROR(SUMIFS('Base bordo CD'!M$2:M$875,'Base bordo CD'!D$2:D$875,A675,'Base bordo CD'!A$2:A$875,B675,'Base bordo CD'!L$2:L$875,"TROCA DE FAQUINHA"),0)+IFERROR(SUMIFS('Base bordo CD'!M$2:M$875,'Base bordo CD'!D$2:D$875,A675,'Base bordo CD'!A$2:A$875,B675,'Base bordo CD'!L$2:L$875,"LIMPEZA*"),0)</f>
        <v>1.8849999999999998</v>
      </c>
      <c r="L675" s="10">
        <f>IFERROR(SUMIFS('Base bordo CD'!M$2:M$875,'Base bordo CD'!D$2:D$875,A675,'Base bordo CD'!A$2:A$875,B675,'Base bordo CD'!L$2:L$875,"PATIO - RESERVA"),0)</f>
        <v>0.31472222222222224</v>
      </c>
      <c r="M675" s="10">
        <f>IFERROR(SUMIFS('Base bordo CD'!M$2:M$875,'Base bordo CD'!D$2:D$875,A675,'Base bordo CD'!A$2:A$875,B675,'Base bordo CD'!L$2:L$875,"SEM APONTAMENTO"),0)</f>
        <v>0.13333333333333333</v>
      </c>
      <c r="N675" s="10">
        <f>IFERROR(SUMIFS('Base bordo CD'!M$2:M$875,'Base bordo CD'!D$2:D$875,A675,'Base bordo CD'!A$2:A$875,B675,'Base bordo CD'!L$2:L$875,"FALTA DE CAMINHÃO"),0)+IFERROR(SUMIFS('Base bordo CD'!M$2:M$875,'Base bordo CD'!D$2:D$875,A675,'Base bordo CD'!A$2:A$875,B675,'Base bordo CD'!L$2:L$875,"FALTA DE COMBUSTIVEL"),0)+IFERROR(SUMIFS('Base bordo CD'!M$2:M$875,'Base bordo CD'!D$2:D$875,A675,'Base bordo CD'!A$2:A$875,B675,'Base bordo CD'!L$2:L$875,"FALTA DE MOTORIST*"),0)</f>
        <v>1.5150000000000001</v>
      </c>
      <c r="O675" s="10">
        <f t="shared" si="55"/>
        <v>0.31527777777778354</v>
      </c>
      <c r="P675" s="10">
        <f>IFERROR(SUMIFS('Base bordo CD'!M$2:M$875,'Base bordo CD'!D$2:D$875,A675,'Base bordo CD'!A$2:A$875,B675),0)</f>
        <v>24.000000000000004</v>
      </c>
      <c r="Q675" s="10">
        <f>IFERROR(SUMIFS('Base bordo CD'!O$2:O$875,'Base bordo CD'!D$2:D$875,A675,'Base bordo CD'!A$2:A$875,B675,'Base bordo CD'!L$2:L$875,"CORTE DE CANA MECANIZADO"),0)</f>
        <v>97141.5</v>
      </c>
      <c r="R675" s="10">
        <f>IFERROR(SUMIFS('Base bordo CD'!Q$2:Q$875,'Base bordo CD'!D$2:D$875,A675,'Base bordo CD'!A$2:A$875,B675,'Base bordo CD'!L$2:L$875,"CORTE DE CANA MECANIZADO"),0)</f>
        <v>23621</v>
      </c>
      <c r="S675" s="30">
        <f t="shared" si="56"/>
        <v>4.1125058210914016</v>
      </c>
      <c r="T675" s="9">
        <f t="shared" si="57"/>
        <v>0.27340277777777777</v>
      </c>
      <c r="U675" s="9">
        <f t="shared" si="58"/>
        <v>0.15003472222222222</v>
      </c>
      <c r="V675" s="9">
        <f t="shared" si="59"/>
        <v>0.70234953703703695</v>
      </c>
    </row>
    <row r="676" spans="1:22" hidden="1" x14ac:dyDescent="0.35">
      <c r="A676" s="52">
        <v>49588</v>
      </c>
      <c r="B676" s="31">
        <v>46118</v>
      </c>
      <c r="C676" s="7" t="s">
        <v>364</v>
      </c>
      <c r="D676" s="7">
        <v>352</v>
      </c>
      <c r="E676" s="10">
        <f>IFERROR(SUMIFS('Base bordo CD'!M$2:M$875,'Base bordo CD'!D$2:D$875,A676,'Base bordo CD'!A$2:A$875,B676,'Base bordo CD'!L$2:L$875,"CORTE DE CANA MECANIZADO"),0)</f>
        <v>6.5616666666666674</v>
      </c>
      <c r="F676" s="10">
        <f>IFERROR(SUMIFS('Base bordo CD'!M$2:M$875,'Base bordo CD'!D$2:D$875,A676,'Base bordo CD'!A$2:A$875,B676,'Base bordo CD'!L$2:L$875,"MANOBRA"),0)</f>
        <v>3.6008333333333336</v>
      </c>
      <c r="G676" s="10">
        <f>IFERROR(SUMIFS('Base bordo CD'!M$2:M$875,'Base bordo CD'!D$2:D$875,A676,'Base bordo CD'!A$2:A$875,B676,'Base bordo CD'!L$2:L$875,"DESLOCAMENTO"),0)</f>
        <v>0.58194444444444449</v>
      </c>
      <c r="H676" s="10">
        <f>IFERROR(SUMIFS('Base bordo CD'!M$2:M$875,'Base bordo CD'!D$2:D$875,A676,'Base bordo CD'!A$2:A$875,B676,'Base bordo CD'!L$2:L$875,"AGUARDANDO MANOBRA DE TRANSBORDO"),0)+IFERROR(SUMIFS('Base bordo CD'!M$2:M$875,'Base bordo CD'!D$2:D$875,A676,'Base bordo CD'!A$2:A$875,B676,'Base bordo CD'!L$2:L$875,"FALTA DE TRANSBORDO"),0)</f>
        <v>0.11</v>
      </c>
      <c r="I676" s="10">
        <f>IFERROR(SUMIFS('Base bordo CD'!M$2:M$875,'Base bordo CD'!D$2:D$875,A676,'Base bordo CD'!A$2:A$875,B676,'Base bordo CD'!L$2:L$875,"PARADA POR CONDICOES CLIMATICAS"),0)+IFERROR(SUMIFS('Base bordo CD'!M$2:M$875,'Base bordo CD'!D$2:D$875,A676,'Base bordo CD'!A$2:A$875,B676,'Base bordo CD'!L$2:L$875,"TEMPO INDETERMINADO"),0)</f>
        <v>6.7058333333333326</v>
      </c>
      <c r="J676" s="10">
        <f>IFERROR(SUMIFS('Base bordo CD'!M$2:M$875,'Base bordo CD'!D$2:D$875,A676,'Base bordo CD'!A$2:A$875,B676,'Base bordo CD'!L$2:L$875,"LIMITAÇÃO INDÚSTRIA"),0)</f>
        <v>2.276388888888889</v>
      </c>
      <c r="K676" s="10">
        <f>IFERROR(SUMIFS('Base bordo CD'!M$2:M$875,'Base bordo CD'!D$2:D$875,A676,'Base bordo CD'!A$2:A$875,B676,'Base bordo CD'!L$2:L$875,"MAN CORRETIVA*"),0)+IFERROR(SUMIFS('Base bordo CD'!M$2:M$875,'Base bordo CD'!D$2:D$875,A676,'Base bordo CD'!A$2:A$875,B676,'Base bordo CD'!L$2:L$875,"AGUARDANDO MANUTENCAO*"),0)+IFERROR(SUMIFS('Base bordo CD'!M$2:M$875,'Base bordo CD'!D$2:D$875,A676,'Base bordo CD'!A$2:A$875,B676,'Base bordo CD'!L$2:L$875,"TROCA DE FAQUINHA"),0)+IFERROR(SUMIFS('Base bordo CD'!M$2:M$875,'Base bordo CD'!D$2:D$875,A676,'Base bordo CD'!A$2:A$875,B676,'Base bordo CD'!L$2:L$875,"LIMPEZA*"),0)</f>
        <v>1.8849999999999998</v>
      </c>
      <c r="L676" s="10">
        <f>IFERROR(SUMIFS('Base bordo CD'!M$2:M$875,'Base bordo CD'!D$2:D$875,A676,'Base bordo CD'!A$2:A$875,B676,'Base bordo CD'!L$2:L$875,"PATIO - RESERVA"),0)</f>
        <v>0.31472222222222224</v>
      </c>
      <c r="M676" s="10">
        <f>IFERROR(SUMIFS('Base bordo CD'!M$2:M$875,'Base bordo CD'!D$2:D$875,A676,'Base bordo CD'!A$2:A$875,B676,'Base bordo CD'!L$2:L$875,"SEM APONTAMENTO"),0)</f>
        <v>0.13333333333333333</v>
      </c>
      <c r="N676" s="10">
        <f>IFERROR(SUMIFS('Base bordo CD'!M$2:M$875,'Base bordo CD'!D$2:D$875,A676,'Base bordo CD'!A$2:A$875,B676,'Base bordo CD'!L$2:L$875,"FALTA DE CAMINHÃO"),0)+IFERROR(SUMIFS('Base bordo CD'!M$2:M$875,'Base bordo CD'!D$2:D$875,A676,'Base bordo CD'!A$2:A$875,B676,'Base bordo CD'!L$2:L$875,"FALTA DE COMBUSTIVEL"),0)+IFERROR(SUMIFS('Base bordo CD'!M$2:M$875,'Base bordo CD'!D$2:D$875,A676,'Base bordo CD'!A$2:A$875,B676,'Base bordo CD'!L$2:L$875,"FALTA DE MOTORIST*"),0)</f>
        <v>1.5150000000000001</v>
      </c>
      <c r="O676" s="10">
        <f t="shared" si="55"/>
        <v>0.31527777777778354</v>
      </c>
      <c r="P676" s="10">
        <f>IFERROR(SUMIFS('Base bordo CD'!M$2:M$875,'Base bordo CD'!D$2:D$875,A676,'Base bordo CD'!A$2:A$875,B676),0)</f>
        <v>24.000000000000004</v>
      </c>
      <c r="Q676" s="10">
        <f>IFERROR(SUMIFS('Base bordo CD'!O$2:O$875,'Base bordo CD'!D$2:D$875,A676,'Base bordo CD'!A$2:A$875,B676,'Base bordo CD'!L$2:L$875,"CORTE DE CANA MECANIZADO"),0)</f>
        <v>97141.5</v>
      </c>
      <c r="R676" s="10">
        <f>IFERROR(SUMIFS('Base bordo CD'!Q$2:Q$875,'Base bordo CD'!D$2:D$875,A676,'Base bordo CD'!A$2:A$875,B676,'Base bordo CD'!L$2:L$875,"CORTE DE CANA MECANIZADO"),0)</f>
        <v>23621</v>
      </c>
      <c r="S676" s="30">
        <f t="shared" si="56"/>
        <v>4.1125058210914016</v>
      </c>
      <c r="T676" s="9">
        <f t="shared" si="57"/>
        <v>0.27340277777777777</v>
      </c>
      <c r="U676" s="9">
        <f t="shared" si="58"/>
        <v>0.15003472222222222</v>
      </c>
      <c r="V676" s="9">
        <f t="shared" si="59"/>
        <v>0.70234953703703695</v>
      </c>
    </row>
    <row r="677" spans="1:22" hidden="1" x14ac:dyDescent="0.35">
      <c r="A677" s="52">
        <v>49588</v>
      </c>
      <c r="B677" s="31">
        <v>46118</v>
      </c>
      <c r="C677" s="7" t="s">
        <v>364</v>
      </c>
      <c r="D677" s="7">
        <v>352</v>
      </c>
      <c r="E677" s="10">
        <f>IFERROR(SUMIFS('Base bordo CD'!M$2:M$875,'Base bordo CD'!D$2:D$875,A677,'Base bordo CD'!A$2:A$875,B677,'Base bordo CD'!L$2:L$875,"CORTE DE CANA MECANIZADO"),0)</f>
        <v>6.5616666666666674</v>
      </c>
      <c r="F677" s="10">
        <f>IFERROR(SUMIFS('Base bordo CD'!M$2:M$875,'Base bordo CD'!D$2:D$875,A677,'Base bordo CD'!A$2:A$875,B677,'Base bordo CD'!L$2:L$875,"MANOBRA"),0)</f>
        <v>3.6008333333333336</v>
      </c>
      <c r="G677" s="10">
        <f>IFERROR(SUMIFS('Base bordo CD'!M$2:M$875,'Base bordo CD'!D$2:D$875,A677,'Base bordo CD'!A$2:A$875,B677,'Base bordo CD'!L$2:L$875,"DESLOCAMENTO"),0)</f>
        <v>0.58194444444444449</v>
      </c>
      <c r="H677" s="10">
        <f>IFERROR(SUMIFS('Base bordo CD'!M$2:M$875,'Base bordo CD'!D$2:D$875,A677,'Base bordo CD'!A$2:A$875,B677,'Base bordo CD'!L$2:L$875,"AGUARDANDO MANOBRA DE TRANSBORDO"),0)+IFERROR(SUMIFS('Base bordo CD'!M$2:M$875,'Base bordo CD'!D$2:D$875,A677,'Base bordo CD'!A$2:A$875,B677,'Base bordo CD'!L$2:L$875,"FALTA DE TRANSBORDO"),0)</f>
        <v>0.11</v>
      </c>
      <c r="I677" s="10">
        <f>IFERROR(SUMIFS('Base bordo CD'!M$2:M$875,'Base bordo CD'!D$2:D$875,A677,'Base bordo CD'!A$2:A$875,B677,'Base bordo CD'!L$2:L$875,"PARADA POR CONDICOES CLIMATICAS"),0)+IFERROR(SUMIFS('Base bordo CD'!M$2:M$875,'Base bordo CD'!D$2:D$875,A677,'Base bordo CD'!A$2:A$875,B677,'Base bordo CD'!L$2:L$875,"TEMPO INDETERMINADO"),0)</f>
        <v>6.7058333333333326</v>
      </c>
      <c r="J677" s="10">
        <f>IFERROR(SUMIFS('Base bordo CD'!M$2:M$875,'Base bordo CD'!D$2:D$875,A677,'Base bordo CD'!A$2:A$875,B677,'Base bordo CD'!L$2:L$875,"LIMITAÇÃO INDÚSTRIA"),0)</f>
        <v>2.276388888888889</v>
      </c>
      <c r="K677" s="10">
        <f>IFERROR(SUMIFS('Base bordo CD'!M$2:M$875,'Base bordo CD'!D$2:D$875,A677,'Base bordo CD'!A$2:A$875,B677,'Base bordo CD'!L$2:L$875,"MAN CORRETIVA*"),0)+IFERROR(SUMIFS('Base bordo CD'!M$2:M$875,'Base bordo CD'!D$2:D$875,A677,'Base bordo CD'!A$2:A$875,B677,'Base bordo CD'!L$2:L$875,"AGUARDANDO MANUTENCAO*"),0)+IFERROR(SUMIFS('Base bordo CD'!M$2:M$875,'Base bordo CD'!D$2:D$875,A677,'Base bordo CD'!A$2:A$875,B677,'Base bordo CD'!L$2:L$875,"TROCA DE FAQUINHA"),0)+IFERROR(SUMIFS('Base bordo CD'!M$2:M$875,'Base bordo CD'!D$2:D$875,A677,'Base bordo CD'!A$2:A$875,B677,'Base bordo CD'!L$2:L$875,"LIMPEZA*"),0)</f>
        <v>1.8849999999999998</v>
      </c>
      <c r="L677" s="10">
        <f>IFERROR(SUMIFS('Base bordo CD'!M$2:M$875,'Base bordo CD'!D$2:D$875,A677,'Base bordo CD'!A$2:A$875,B677,'Base bordo CD'!L$2:L$875,"PATIO - RESERVA"),0)</f>
        <v>0.31472222222222224</v>
      </c>
      <c r="M677" s="10">
        <f>IFERROR(SUMIFS('Base bordo CD'!M$2:M$875,'Base bordo CD'!D$2:D$875,A677,'Base bordo CD'!A$2:A$875,B677,'Base bordo CD'!L$2:L$875,"SEM APONTAMENTO"),0)</f>
        <v>0.13333333333333333</v>
      </c>
      <c r="N677" s="10">
        <f>IFERROR(SUMIFS('Base bordo CD'!M$2:M$875,'Base bordo CD'!D$2:D$875,A677,'Base bordo CD'!A$2:A$875,B677,'Base bordo CD'!L$2:L$875,"FALTA DE CAMINHÃO"),0)+IFERROR(SUMIFS('Base bordo CD'!M$2:M$875,'Base bordo CD'!D$2:D$875,A677,'Base bordo CD'!A$2:A$875,B677,'Base bordo CD'!L$2:L$875,"FALTA DE COMBUSTIVEL"),0)+IFERROR(SUMIFS('Base bordo CD'!M$2:M$875,'Base bordo CD'!D$2:D$875,A677,'Base bordo CD'!A$2:A$875,B677,'Base bordo CD'!L$2:L$875,"FALTA DE MOTORIST*"),0)</f>
        <v>1.5150000000000001</v>
      </c>
      <c r="O677" s="10">
        <f t="shared" si="55"/>
        <v>0.31527777777778354</v>
      </c>
      <c r="P677" s="10">
        <f>IFERROR(SUMIFS('Base bordo CD'!M$2:M$875,'Base bordo CD'!D$2:D$875,A677,'Base bordo CD'!A$2:A$875,B677),0)</f>
        <v>24.000000000000004</v>
      </c>
      <c r="Q677" s="10">
        <f>IFERROR(SUMIFS('Base bordo CD'!O$2:O$875,'Base bordo CD'!D$2:D$875,A677,'Base bordo CD'!A$2:A$875,B677,'Base bordo CD'!L$2:L$875,"CORTE DE CANA MECANIZADO"),0)</f>
        <v>97141.5</v>
      </c>
      <c r="R677" s="10">
        <f>IFERROR(SUMIFS('Base bordo CD'!Q$2:Q$875,'Base bordo CD'!D$2:D$875,A677,'Base bordo CD'!A$2:A$875,B677,'Base bordo CD'!L$2:L$875,"CORTE DE CANA MECANIZADO"),0)</f>
        <v>23621</v>
      </c>
      <c r="S677" s="30">
        <f t="shared" si="56"/>
        <v>4.1125058210914016</v>
      </c>
      <c r="T677" s="9">
        <f t="shared" si="57"/>
        <v>0.27340277777777777</v>
      </c>
      <c r="U677" s="9">
        <f t="shared" si="58"/>
        <v>0.15003472222222222</v>
      </c>
      <c r="V677" s="9">
        <f t="shared" si="59"/>
        <v>0.70234953703703695</v>
      </c>
    </row>
    <row r="678" spans="1:22" hidden="1" x14ac:dyDescent="0.35">
      <c r="A678" s="52">
        <v>49588</v>
      </c>
      <c r="B678" s="31">
        <v>46118</v>
      </c>
      <c r="C678" s="7" t="s">
        <v>364</v>
      </c>
      <c r="D678" s="7">
        <v>352</v>
      </c>
      <c r="E678" s="10">
        <f>IFERROR(SUMIFS('Base bordo CD'!M$2:M$875,'Base bordo CD'!D$2:D$875,A678,'Base bordo CD'!A$2:A$875,B678,'Base bordo CD'!L$2:L$875,"CORTE DE CANA MECANIZADO"),0)</f>
        <v>6.5616666666666674</v>
      </c>
      <c r="F678" s="10">
        <f>IFERROR(SUMIFS('Base bordo CD'!M$2:M$875,'Base bordo CD'!D$2:D$875,A678,'Base bordo CD'!A$2:A$875,B678,'Base bordo CD'!L$2:L$875,"MANOBRA"),0)</f>
        <v>3.6008333333333336</v>
      </c>
      <c r="G678" s="10">
        <f>IFERROR(SUMIFS('Base bordo CD'!M$2:M$875,'Base bordo CD'!D$2:D$875,A678,'Base bordo CD'!A$2:A$875,B678,'Base bordo CD'!L$2:L$875,"DESLOCAMENTO"),0)</f>
        <v>0.58194444444444449</v>
      </c>
      <c r="H678" s="10">
        <f>IFERROR(SUMIFS('Base bordo CD'!M$2:M$875,'Base bordo CD'!D$2:D$875,A678,'Base bordo CD'!A$2:A$875,B678,'Base bordo CD'!L$2:L$875,"AGUARDANDO MANOBRA DE TRANSBORDO"),0)+IFERROR(SUMIFS('Base bordo CD'!M$2:M$875,'Base bordo CD'!D$2:D$875,A678,'Base bordo CD'!A$2:A$875,B678,'Base bordo CD'!L$2:L$875,"FALTA DE TRANSBORDO"),0)</f>
        <v>0.11</v>
      </c>
      <c r="I678" s="10">
        <f>IFERROR(SUMIFS('Base bordo CD'!M$2:M$875,'Base bordo CD'!D$2:D$875,A678,'Base bordo CD'!A$2:A$875,B678,'Base bordo CD'!L$2:L$875,"PARADA POR CONDICOES CLIMATICAS"),0)+IFERROR(SUMIFS('Base bordo CD'!M$2:M$875,'Base bordo CD'!D$2:D$875,A678,'Base bordo CD'!A$2:A$875,B678,'Base bordo CD'!L$2:L$875,"TEMPO INDETERMINADO"),0)</f>
        <v>6.7058333333333326</v>
      </c>
      <c r="J678" s="10">
        <f>IFERROR(SUMIFS('Base bordo CD'!M$2:M$875,'Base bordo CD'!D$2:D$875,A678,'Base bordo CD'!A$2:A$875,B678,'Base bordo CD'!L$2:L$875,"LIMITAÇÃO INDÚSTRIA"),0)</f>
        <v>2.276388888888889</v>
      </c>
      <c r="K678" s="10">
        <f>IFERROR(SUMIFS('Base bordo CD'!M$2:M$875,'Base bordo CD'!D$2:D$875,A678,'Base bordo CD'!A$2:A$875,B678,'Base bordo CD'!L$2:L$875,"MAN CORRETIVA*"),0)+IFERROR(SUMIFS('Base bordo CD'!M$2:M$875,'Base bordo CD'!D$2:D$875,A678,'Base bordo CD'!A$2:A$875,B678,'Base bordo CD'!L$2:L$875,"AGUARDANDO MANUTENCAO*"),0)+IFERROR(SUMIFS('Base bordo CD'!M$2:M$875,'Base bordo CD'!D$2:D$875,A678,'Base bordo CD'!A$2:A$875,B678,'Base bordo CD'!L$2:L$875,"TROCA DE FAQUINHA"),0)+IFERROR(SUMIFS('Base bordo CD'!M$2:M$875,'Base bordo CD'!D$2:D$875,A678,'Base bordo CD'!A$2:A$875,B678,'Base bordo CD'!L$2:L$875,"LIMPEZA*"),0)</f>
        <v>1.8849999999999998</v>
      </c>
      <c r="L678" s="10">
        <f>IFERROR(SUMIFS('Base bordo CD'!M$2:M$875,'Base bordo CD'!D$2:D$875,A678,'Base bordo CD'!A$2:A$875,B678,'Base bordo CD'!L$2:L$875,"PATIO - RESERVA"),0)</f>
        <v>0.31472222222222224</v>
      </c>
      <c r="M678" s="10">
        <f>IFERROR(SUMIFS('Base bordo CD'!M$2:M$875,'Base bordo CD'!D$2:D$875,A678,'Base bordo CD'!A$2:A$875,B678,'Base bordo CD'!L$2:L$875,"SEM APONTAMENTO"),0)</f>
        <v>0.13333333333333333</v>
      </c>
      <c r="N678" s="10">
        <f>IFERROR(SUMIFS('Base bordo CD'!M$2:M$875,'Base bordo CD'!D$2:D$875,A678,'Base bordo CD'!A$2:A$875,B678,'Base bordo CD'!L$2:L$875,"FALTA DE CAMINHÃO"),0)+IFERROR(SUMIFS('Base bordo CD'!M$2:M$875,'Base bordo CD'!D$2:D$875,A678,'Base bordo CD'!A$2:A$875,B678,'Base bordo CD'!L$2:L$875,"FALTA DE COMBUSTIVEL"),0)+IFERROR(SUMIFS('Base bordo CD'!M$2:M$875,'Base bordo CD'!D$2:D$875,A678,'Base bordo CD'!A$2:A$875,B678,'Base bordo CD'!L$2:L$875,"FALTA DE MOTORIST*"),0)</f>
        <v>1.5150000000000001</v>
      </c>
      <c r="O678" s="10">
        <f t="shared" si="55"/>
        <v>0.31527777777778354</v>
      </c>
      <c r="P678" s="10">
        <f>IFERROR(SUMIFS('Base bordo CD'!M$2:M$875,'Base bordo CD'!D$2:D$875,A678,'Base bordo CD'!A$2:A$875,B678),0)</f>
        <v>24.000000000000004</v>
      </c>
      <c r="Q678" s="10">
        <f>IFERROR(SUMIFS('Base bordo CD'!O$2:O$875,'Base bordo CD'!D$2:D$875,A678,'Base bordo CD'!A$2:A$875,B678,'Base bordo CD'!L$2:L$875,"CORTE DE CANA MECANIZADO"),0)</f>
        <v>97141.5</v>
      </c>
      <c r="R678" s="10">
        <f>IFERROR(SUMIFS('Base bordo CD'!Q$2:Q$875,'Base bordo CD'!D$2:D$875,A678,'Base bordo CD'!A$2:A$875,B678,'Base bordo CD'!L$2:L$875,"CORTE DE CANA MECANIZADO"),0)</f>
        <v>23621</v>
      </c>
      <c r="S678" s="30">
        <f t="shared" si="56"/>
        <v>4.1125058210914016</v>
      </c>
      <c r="T678" s="9">
        <f t="shared" si="57"/>
        <v>0.27340277777777777</v>
      </c>
      <c r="U678" s="9">
        <f t="shared" si="58"/>
        <v>0.15003472222222222</v>
      </c>
      <c r="V678" s="9">
        <f t="shared" si="59"/>
        <v>0.70234953703703695</v>
      </c>
    </row>
    <row r="679" spans="1:22" hidden="1" x14ac:dyDescent="0.35">
      <c r="A679" s="52">
        <v>49588</v>
      </c>
      <c r="B679" s="31">
        <v>46118</v>
      </c>
      <c r="C679" s="7" t="s">
        <v>364</v>
      </c>
      <c r="D679" s="7">
        <v>352</v>
      </c>
      <c r="E679" s="10">
        <f>IFERROR(SUMIFS('Base bordo CD'!M$2:M$875,'Base bordo CD'!D$2:D$875,A679,'Base bordo CD'!A$2:A$875,B679,'Base bordo CD'!L$2:L$875,"CORTE DE CANA MECANIZADO"),0)</f>
        <v>6.5616666666666674</v>
      </c>
      <c r="F679" s="10">
        <f>IFERROR(SUMIFS('Base bordo CD'!M$2:M$875,'Base bordo CD'!D$2:D$875,A679,'Base bordo CD'!A$2:A$875,B679,'Base bordo CD'!L$2:L$875,"MANOBRA"),0)</f>
        <v>3.6008333333333336</v>
      </c>
      <c r="G679" s="10">
        <f>IFERROR(SUMIFS('Base bordo CD'!M$2:M$875,'Base bordo CD'!D$2:D$875,A679,'Base bordo CD'!A$2:A$875,B679,'Base bordo CD'!L$2:L$875,"DESLOCAMENTO"),0)</f>
        <v>0.58194444444444449</v>
      </c>
      <c r="H679" s="10">
        <f>IFERROR(SUMIFS('Base bordo CD'!M$2:M$875,'Base bordo CD'!D$2:D$875,A679,'Base bordo CD'!A$2:A$875,B679,'Base bordo CD'!L$2:L$875,"AGUARDANDO MANOBRA DE TRANSBORDO"),0)+IFERROR(SUMIFS('Base bordo CD'!M$2:M$875,'Base bordo CD'!D$2:D$875,A679,'Base bordo CD'!A$2:A$875,B679,'Base bordo CD'!L$2:L$875,"FALTA DE TRANSBORDO"),0)</f>
        <v>0.11</v>
      </c>
      <c r="I679" s="10">
        <f>IFERROR(SUMIFS('Base bordo CD'!M$2:M$875,'Base bordo CD'!D$2:D$875,A679,'Base bordo CD'!A$2:A$875,B679,'Base bordo CD'!L$2:L$875,"PARADA POR CONDICOES CLIMATICAS"),0)+IFERROR(SUMIFS('Base bordo CD'!M$2:M$875,'Base bordo CD'!D$2:D$875,A679,'Base bordo CD'!A$2:A$875,B679,'Base bordo CD'!L$2:L$875,"TEMPO INDETERMINADO"),0)</f>
        <v>6.7058333333333326</v>
      </c>
      <c r="J679" s="10">
        <f>IFERROR(SUMIFS('Base bordo CD'!M$2:M$875,'Base bordo CD'!D$2:D$875,A679,'Base bordo CD'!A$2:A$875,B679,'Base bordo CD'!L$2:L$875,"LIMITAÇÃO INDÚSTRIA"),0)</f>
        <v>2.276388888888889</v>
      </c>
      <c r="K679" s="10">
        <f>IFERROR(SUMIFS('Base bordo CD'!M$2:M$875,'Base bordo CD'!D$2:D$875,A679,'Base bordo CD'!A$2:A$875,B679,'Base bordo CD'!L$2:L$875,"MAN CORRETIVA*"),0)+IFERROR(SUMIFS('Base bordo CD'!M$2:M$875,'Base bordo CD'!D$2:D$875,A679,'Base bordo CD'!A$2:A$875,B679,'Base bordo CD'!L$2:L$875,"AGUARDANDO MANUTENCAO*"),0)+IFERROR(SUMIFS('Base bordo CD'!M$2:M$875,'Base bordo CD'!D$2:D$875,A679,'Base bordo CD'!A$2:A$875,B679,'Base bordo CD'!L$2:L$875,"TROCA DE FAQUINHA"),0)+IFERROR(SUMIFS('Base bordo CD'!M$2:M$875,'Base bordo CD'!D$2:D$875,A679,'Base bordo CD'!A$2:A$875,B679,'Base bordo CD'!L$2:L$875,"LIMPEZA*"),0)</f>
        <v>1.8849999999999998</v>
      </c>
      <c r="L679" s="10">
        <f>IFERROR(SUMIFS('Base bordo CD'!M$2:M$875,'Base bordo CD'!D$2:D$875,A679,'Base bordo CD'!A$2:A$875,B679,'Base bordo CD'!L$2:L$875,"PATIO - RESERVA"),0)</f>
        <v>0.31472222222222224</v>
      </c>
      <c r="M679" s="10">
        <f>IFERROR(SUMIFS('Base bordo CD'!M$2:M$875,'Base bordo CD'!D$2:D$875,A679,'Base bordo CD'!A$2:A$875,B679,'Base bordo CD'!L$2:L$875,"SEM APONTAMENTO"),0)</f>
        <v>0.13333333333333333</v>
      </c>
      <c r="N679" s="10">
        <f>IFERROR(SUMIFS('Base bordo CD'!M$2:M$875,'Base bordo CD'!D$2:D$875,A679,'Base bordo CD'!A$2:A$875,B679,'Base bordo CD'!L$2:L$875,"FALTA DE CAMINHÃO"),0)+IFERROR(SUMIFS('Base bordo CD'!M$2:M$875,'Base bordo CD'!D$2:D$875,A679,'Base bordo CD'!A$2:A$875,B679,'Base bordo CD'!L$2:L$875,"FALTA DE COMBUSTIVEL"),0)+IFERROR(SUMIFS('Base bordo CD'!M$2:M$875,'Base bordo CD'!D$2:D$875,A679,'Base bordo CD'!A$2:A$875,B679,'Base bordo CD'!L$2:L$875,"FALTA DE MOTORIST*"),0)</f>
        <v>1.5150000000000001</v>
      </c>
      <c r="O679" s="10">
        <f t="shared" si="55"/>
        <v>0.31527777777778354</v>
      </c>
      <c r="P679" s="10">
        <f>IFERROR(SUMIFS('Base bordo CD'!M$2:M$875,'Base bordo CD'!D$2:D$875,A679,'Base bordo CD'!A$2:A$875,B679),0)</f>
        <v>24.000000000000004</v>
      </c>
      <c r="Q679" s="10">
        <f>IFERROR(SUMIFS('Base bordo CD'!O$2:O$875,'Base bordo CD'!D$2:D$875,A679,'Base bordo CD'!A$2:A$875,B679,'Base bordo CD'!L$2:L$875,"CORTE DE CANA MECANIZADO"),0)</f>
        <v>97141.5</v>
      </c>
      <c r="R679" s="10">
        <f>IFERROR(SUMIFS('Base bordo CD'!Q$2:Q$875,'Base bordo CD'!D$2:D$875,A679,'Base bordo CD'!A$2:A$875,B679,'Base bordo CD'!L$2:L$875,"CORTE DE CANA MECANIZADO"),0)</f>
        <v>23621</v>
      </c>
      <c r="S679" s="30">
        <f t="shared" si="56"/>
        <v>4.1125058210914016</v>
      </c>
      <c r="T679" s="9">
        <f t="shared" si="57"/>
        <v>0.27340277777777777</v>
      </c>
      <c r="U679" s="9">
        <f t="shared" si="58"/>
        <v>0.15003472222222222</v>
      </c>
      <c r="V679" s="9">
        <f t="shared" si="59"/>
        <v>0.70234953703703695</v>
      </c>
    </row>
    <row r="680" spans="1:22" hidden="1" x14ac:dyDescent="0.35">
      <c r="A680" s="52">
        <v>49588</v>
      </c>
      <c r="B680" s="31">
        <v>46118</v>
      </c>
      <c r="C680" s="7" t="s">
        <v>364</v>
      </c>
      <c r="D680" s="7">
        <v>352</v>
      </c>
      <c r="E680" s="10">
        <f>IFERROR(SUMIFS('Base bordo CD'!M$2:M$875,'Base bordo CD'!D$2:D$875,A680,'Base bordo CD'!A$2:A$875,B680,'Base bordo CD'!L$2:L$875,"CORTE DE CANA MECANIZADO"),0)</f>
        <v>6.5616666666666674</v>
      </c>
      <c r="F680" s="10">
        <f>IFERROR(SUMIFS('Base bordo CD'!M$2:M$875,'Base bordo CD'!D$2:D$875,A680,'Base bordo CD'!A$2:A$875,B680,'Base bordo CD'!L$2:L$875,"MANOBRA"),0)</f>
        <v>3.6008333333333336</v>
      </c>
      <c r="G680" s="10">
        <f>IFERROR(SUMIFS('Base bordo CD'!M$2:M$875,'Base bordo CD'!D$2:D$875,A680,'Base bordo CD'!A$2:A$875,B680,'Base bordo CD'!L$2:L$875,"DESLOCAMENTO"),0)</f>
        <v>0.58194444444444449</v>
      </c>
      <c r="H680" s="10">
        <f>IFERROR(SUMIFS('Base bordo CD'!M$2:M$875,'Base bordo CD'!D$2:D$875,A680,'Base bordo CD'!A$2:A$875,B680,'Base bordo CD'!L$2:L$875,"AGUARDANDO MANOBRA DE TRANSBORDO"),0)+IFERROR(SUMIFS('Base bordo CD'!M$2:M$875,'Base bordo CD'!D$2:D$875,A680,'Base bordo CD'!A$2:A$875,B680,'Base bordo CD'!L$2:L$875,"FALTA DE TRANSBORDO"),0)</f>
        <v>0.11</v>
      </c>
      <c r="I680" s="10">
        <f>IFERROR(SUMIFS('Base bordo CD'!M$2:M$875,'Base bordo CD'!D$2:D$875,A680,'Base bordo CD'!A$2:A$875,B680,'Base bordo CD'!L$2:L$875,"PARADA POR CONDICOES CLIMATICAS"),0)+IFERROR(SUMIFS('Base bordo CD'!M$2:M$875,'Base bordo CD'!D$2:D$875,A680,'Base bordo CD'!A$2:A$875,B680,'Base bordo CD'!L$2:L$875,"TEMPO INDETERMINADO"),0)</f>
        <v>6.7058333333333326</v>
      </c>
      <c r="J680" s="10">
        <f>IFERROR(SUMIFS('Base bordo CD'!M$2:M$875,'Base bordo CD'!D$2:D$875,A680,'Base bordo CD'!A$2:A$875,B680,'Base bordo CD'!L$2:L$875,"LIMITAÇÃO INDÚSTRIA"),0)</f>
        <v>2.276388888888889</v>
      </c>
      <c r="K680" s="10">
        <f>IFERROR(SUMIFS('Base bordo CD'!M$2:M$875,'Base bordo CD'!D$2:D$875,A680,'Base bordo CD'!A$2:A$875,B680,'Base bordo CD'!L$2:L$875,"MAN CORRETIVA*"),0)+IFERROR(SUMIFS('Base bordo CD'!M$2:M$875,'Base bordo CD'!D$2:D$875,A680,'Base bordo CD'!A$2:A$875,B680,'Base bordo CD'!L$2:L$875,"AGUARDANDO MANUTENCAO*"),0)+IFERROR(SUMIFS('Base bordo CD'!M$2:M$875,'Base bordo CD'!D$2:D$875,A680,'Base bordo CD'!A$2:A$875,B680,'Base bordo CD'!L$2:L$875,"TROCA DE FAQUINHA"),0)+IFERROR(SUMIFS('Base bordo CD'!M$2:M$875,'Base bordo CD'!D$2:D$875,A680,'Base bordo CD'!A$2:A$875,B680,'Base bordo CD'!L$2:L$875,"LIMPEZA*"),0)</f>
        <v>1.8849999999999998</v>
      </c>
      <c r="L680" s="10">
        <f>IFERROR(SUMIFS('Base bordo CD'!M$2:M$875,'Base bordo CD'!D$2:D$875,A680,'Base bordo CD'!A$2:A$875,B680,'Base bordo CD'!L$2:L$875,"PATIO - RESERVA"),0)</f>
        <v>0.31472222222222224</v>
      </c>
      <c r="M680" s="10">
        <f>IFERROR(SUMIFS('Base bordo CD'!M$2:M$875,'Base bordo CD'!D$2:D$875,A680,'Base bordo CD'!A$2:A$875,B680,'Base bordo CD'!L$2:L$875,"SEM APONTAMENTO"),0)</f>
        <v>0.13333333333333333</v>
      </c>
      <c r="N680" s="10">
        <f>IFERROR(SUMIFS('Base bordo CD'!M$2:M$875,'Base bordo CD'!D$2:D$875,A680,'Base bordo CD'!A$2:A$875,B680,'Base bordo CD'!L$2:L$875,"FALTA DE CAMINHÃO"),0)+IFERROR(SUMIFS('Base bordo CD'!M$2:M$875,'Base bordo CD'!D$2:D$875,A680,'Base bordo CD'!A$2:A$875,B680,'Base bordo CD'!L$2:L$875,"FALTA DE COMBUSTIVEL"),0)+IFERROR(SUMIFS('Base bordo CD'!M$2:M$875,'Base bordo CD'!D$2:D$875,A680,'Base bordo CD'!A$2:A$875,B680,'Base bordo CD'!L$2:L$875,"FALTA DE MOTORIST*"),0)</f>
        <v>1.5150000000000001</v>
      </c>
      <c r="O680" s="10">
        <f t="shared" si="55"/>
        <v>0.31527777777778354</v>
      </c>
      <c r="P680" s="10">
        <f>IFERROR(SUMIFS('Base bordo CD'!M$2:M$875,'Base bordo CD'!D$2:D$875,A680,'Base bordo CD'!A$2:A$875,B680),0)</f>
        <v>24.000000000000004</v>
      </c>
      <c r="Q680" s="10">
        <f>IFERROR(SUMIFS('Base bordo CD'!O$2:O$875,'Base bordo CD'!D$2:D$875,A680,'Base bordo CD'!A$2:A$875,B680,'Base bordo CD'!L$2:L$875,"CORTE DE CANA MECANIZADO"),0)</f>
        <v>97141.5</v>
      </c>
      <c r="R680" s="10">
        <f>IFERROR(SUMIFS('Base bordo CD'!Q$2:Q$875,'Base bordo CD'!D$2:D$875,A680,'Base bordo CD'!A$2:A$875,B680,'Base bordo CD'!L$2:L$875,"CORTE DE CANA MECANIZADO"),0)</f>
        <v>23621</v>
      </c>
      <c r="S680" s="30">
        <f t="shared" si="56"/>
        <v>4.1125058210914016</v>
      </c>
      <c r="T680" s="9">
        <f t="shared" si="57"/>
        <v>0.27340277777777777</v>
      </c>
      <c r="U680" s="9">
        <f t="shared" si="58"/>
        <v>0.15003472222222222</v>
      </c>
      <c r="V680" s="9">
        <f t="shared" si="59"/>
        <v>0.70234953703703695</v>
      </c>
    </row>
    <row r="681" spans="1:22" hidden="1" x14ac:dyDescent="0.35">
      <c r="A681" s="52">
        <v>49588</v>
      </c>
      <c r="B681" s="31">
        <v>46118</v>
      </c>
      <c r="C681" s="7" t="s">
        <v>364</v>
      </c>
      <c r="D681" s="7">
        <v>352</v>
      </c>
      <c r="E681" s="10">
        <f>IFERROR(SUMIFS('Base bordo CD'!M$2:M$875,'Base bordo CD'!D$2:D$875,A681,'Base bordo CD'!A$2:A$875,B681,'Base bordo CD'!L$2:L$875,"CORTE DE CANA MECANIZADO"),0)</f>
        <v>6.5616666666666674</v>
      </c>
      <c r="F681" s="10">
        <f>IFERROR(SUMIFS('Base bordo CD'!M$2:M$875,'Base bordo CD'!D$2:D$875,A681,'Base bordo CD'!A$2:A$875,B681,'Base bordo CD'!L$2:L$875,"MANOBRA"),0)</f>
        <v>3.6008333333333336</v>
      </c>
      <c r="G681" s="10">
        <f>IFERROR(SUMIFS('Base bordo CD'!M$2:M$875,'Base bordo CD'!D$2:D$875,A681,'Base bordo CD'!A$2:A$875,B681,'Base bordo CD'!L$2:L$875,"DESLOCAMENTO"),0)</f>
        <v>0.58194444444444449</v>
      </c>
      <c r="H681" s="10">
        <f>IFERROR(SUMIFS('Base bordo CD'!M$2:M$875,'Base bordo CD'!D$2:D$875,A681,'Base bordo CD'!A$2:A$875,B681,'Base bordo CD'!L$2:L$875,"AGUARDANDO MANOBRA DE TRANSBORDO"),0)+IFERROR(SUMIFS('Base bordo CD'!M$2:M$875,'Base bordo CD'!D$2:D$875,A681,'Base bordo CD'!A$2:A$875,B681,'Base bordo CD'!L$2:L$875,"FALTA DE TRANSBORDO"),0)</f>
        <v>0.11</v>
      </c>
      <c r="I681" s="10">
        <f>IFERROR(SUMIFS('Base bordo CD'!M$2:M$875,'Base bordo CD'!D$2:D$875,A681,'Base bordo CD'!A$2:A$875,B681,'Base bordo CD'!L$2:L$875,"PARADA POR CONDICOES CLIMATICAS"),0)+IFERROR(SUMIFS('Base bordo CD'!M$2:M$875,'Base bordo CD'!D$2:D$875,A681,'Base bordo CD'!A$2:A$875,B681,'Base bordo CD'!L$2:L$875,"TEMPO INDETERMINADO"),0)</f>
        <v>6.7058333333333326</v>
      </c>
      <c r="J681" s="10">
        <f>IFERROR(SUMIFS('Base bordo CD'!M$2:M$875,'Base bordo CD'!D$2:D$875,A681,'Base bordo CD'!A$2:A$875,B681,'Base bordo CD'!L$2:L$875,"LIMITAÇÃO INDÚSTRIA"),0)</f>
        <v>2.276388888888889</v>
      </c>
      <c r="K681" s="10">
        <f>IFERROR(SUMIFS('Base bordo CD'!M$2:M$875,'Base bordo CD'!D$2:D$875,A681,'Base bordo CD'!A$2:A$875,B681,'Base bordo CD'!L$2:L$875,"MAN CORRETIVA*"),0)+IFERROR(SUMIFS('Base bordo CD'!M$2:M$875,'Base bordo CD'!D$2:D$875,A681,'Base bordo CD'!A$2:A$875,B681,'Base bordo CD'!L$2:L$875,"AGUARDANDO MANUTENCAO*"),0)+IFERROR(SUMIFS('Base bordo CD'!M$2:M$875,'Base bordo CD'!D$2:D$875,A681,'Base bordo CD'!A$2:A$875,B681,'Base bordo CD'!L$2:L$875,"TROCA DE FAQUINHA"),0)+IFERROR(SUMIFS('Base bordo CD'!M$2:M$875,'Base bordo CD'!D$2:D$875,A681,'Base bordo CD'!A$2:A$875,B681,'Base bordo CD'!L$2:L$875,"LIMPEZA*"),0)</f>
        <v>1.8849999999999998</v>
      </c>
      <c r="L681" s="10">
        <f>IFERROR(SUMIFS('Base bordo CD'!M$2:M$875,'Base bordo CD'!D$2:D$875,A681,'Base bordo CD'!A$2:A$875,B681,'Base bordo CD'!L$2:L$875,"PATIO - RESERVA"),0)</f>
        <v>0.31472222222222224</v>
      </c>
      <c r="M681" s="10">
        <f>IFERROR(SUMIFS('Base bordo CD'!M$2:M$875,'Base bordo CD'!D$2:D$875,A681,'Base bordo CD'!A$2:A$875,B681,'Base bordo CD'!L$2:L$875,"SEM APONTAMENTO"),0)</f>
        <v>0.13333333333333333</v>
      </c>
      <c r="N681" s="10">
        <f>IFERROR(SUMIFS('Base bordo CD'!M$2:M$875,'Base bordo CD'!D$2:D$875,A681,'Base bordo CD'!A$2:A$875,B681,'Base bordo CD'!L$2:L$875,"FALTA DE CAMINHÃO"),0)+IFERROR(SUMIFS('Base bordo CD'!M$2:M$875,'Base bordo CD'!D$2:D$875,A681,'Base bordo CD'!A$2:A$875,B681,'Base bordo CD'!L$2:L$875,"FALTA DE COMBUSTIVEL"),0)+IFERROR(SUMIFS('Base bordo CD'!M$2:M$875,'Base bordo CD'!D$2:D$875,A681,'Base bordo CD'!A$2:A$875,B681,'Base bordo CD'!L$2:L$875,"FALTA DE MOTORIST*"),0)</f>
        <v>1.5150000000000001</v>
      </c>
      <c r="O681" s="10">
        <f t="shared" si="55"/>
        <v>0.31527777777778354</v>
      </c>
      <c r="P681" s="10">
        <f>IFERROR(SUMIFS('Base bordo CD'!M$2:M$875,'Base bordo CD'!D$2:D$875,A681,'Base bordo CD'!A$2:A$875,B681),0)</f>
        <v>24.000000000000004</v>
      </c>
      <c r="Q681" s="10">
        <f>IFERROR(SUMIFS('Base bordo CD'!O$2:O$875,'Base bordo CD'!D$2:D$875,A681,'Base bordo CD'!A$2:A$875,B681,'Base bordo CD'!L$2:L$875,"CORTE DE CANA MECANIZADO"),0)</f>
        <v>97141.5</v>
      </c>
      <c r="R681" s="10">
        <f>IFERROR(SUMIFS('Base bordo CD'!Q$2:Q$875,'Base bordo CD'!D$2:D$875,A681,'Base bordo CD'!A$2:A$875,B681,'Base bordo CD'!L$2:L$875,"CORTE DE CANA MECANIZADO"),0)</f>
        <v>23621</v>
      </c>
      <c r="S681" s="30">
        <f t="shared" si="56"/>
        <v>4.1125058210914016</v>
      </c>
      <c r="T681" s="9">
        <f t="shared" si="57"/>
        <v>0.27340277777777777</v>
      </c>
      <c r="U681" s="9">
        <f t="shared" si="58"/>
        <v>0.15003472222222222</v>
      </c>
      <c r="V681" s="9">
        <f t="shared" si="59"/>
        <v>0.70234953703703695</v>
      </c>
    </row>
    <row r="682" spans="1:22" hidden="1" x14ac:dyDescent="0.35">
      <c r="A682" s="52">
        <v>49588</v>
      </c>
      <c r="B682" s="31">
        <v>46118</v>
      </c>
      <c r="C682" s="7" t="s">
        <v>364</v>
      </c>
      <c r="D682" s="7">
        <v>352</v>
      </c>
      <c r="E682" s="10">
        <f>IFERROR(SUMIFS('Base bordo CD'!M$2:M$875,'Base bordo CD'!D$2:D$875,A682,'Base bordo CD'!A$2:A$875,B682,'Base bordo CD'!L$2:L$875,"CORTE DE CANA MECANIZADO"),0)</f>
        <v>6.5616666666666674</v>
      </c>
      <c r="F682" s="10">
        <f>IFERROR(SUMIFS('Base bordo CD'!M$2:M$875,'Base bordo CD'!D$2:D$875,A682,'Base bordo CD'!A$2:A$875,B682,'Base bordo CD'!L$2:L$875,"MANOBRA"),0)</f>
        <v>3.6008333333333336</v>
      </c>
      <c r="G682" s="10">
        <f>IFERROR(SUMIFS('Base bordo CD'!M$2:M$875,'Base bordo CD'!D$2:D$875,A682,'Base bordo CD'!A$2:A$875,B682,'Base bordo CD'!L$2:L$875,"DESLOCAMENTO"),0)</f>
        <v>0.58194444444444449</v>
      </c>
      <c r="H682" s="10">
        <f>IFERROR(SUMIFS('Base bordo CD'!M$2:M$875,'Base bordo CD'!D$2:D$875,A682,'Base bordo CD'!A$2:A$875,B682,'Base bordo CD'!L$2:L$875,"AGUARDANDO MANOBRA DE TRANSBORDO"),0)+IFERROR(SUMIFS('Base bordo CD'!M$2:M$875,'Base bordo CD'!D$2:D$875,A682,'Base bordo CD'!A$2:A$875,B682,'Base bordo CD'!L$2:L$875,"FALTA DE TRANSBORDO"),0)</f>
        <v>0.11</v>
      </c>
      <c r="I682" s="10">
        <f>IFERROR(SUMIFS('Base bordo CD'!M$2:M$875,'Base bordo CD'!D$2:D$875,A682,'Base bordo CD'!A$2:A$875,B682,'Base bordo CD'!L$2:L$875,"PARADA POR CONDICOES CLIMATICAS"),0)+IFERROR(SUMIFS('Base bordo CD'!M$2:M$875,'Base bordo CD'!D$2:D$875,A682,'Base bordo CD'!A$2:A$875,B682,'Base bordo CD'!L$2:L$875,"TEMPO INDETERMINADO"),0)</f>
        <v>6.7058333333333326</v>
      </c>
      <c r="J682" s="10">
        <f>IFERROR(SUMIFS('Base bordo CD'!M$2:M$875,'Base bordo CD'!D$2:D$875,A682,'Base bordo CD'!A$2:A$875,B682,'Base bordo CD'!L$2:L$875,"LIMITAÇÃO INDÚSTRIA"),0)</f>
        <v>2.276388888888889</v>
      </c>
      <c r="K682" s="10">
        <f>IFERROR(SUMIFS('Base bordo CD'!M$2:M$875,'Base bordo CD'!D$2:D$875,A682,'Base bordo CD'!A$2:A$875,B682,'Base bordo CD'!L$2:L$875,"MAN CORRETIVA*"),0)+IFERROR(SUMIFS('Base bordo CD'!M$2:M$875,'Base bordo CD'!D$2:D$875,A682,'Base bordo CD'!A$2:A$875,B682,'Base bordo CD'!L$2:L$875,"AGUARDANDO MANUTENCAO*"),0)+IFERROR(SUMIFS('Base bordo CD'!M$2:M$875,'Base bordo CD'!D$2:D$875,A682,'Base bordo CD'!A$2:A$875,B682,'Base bordo CD'!L$2:L$875,"TROCA DE FAQUINHA"),0)+IFERROR(SUMIFS('Base bordo CD'!M$2:M$875,'Base bordo CD'!D$2:D$875,A682,'Base bordo CD'!A$2:A$875,B682,'Base bordo CD'!L$2:L$875,"LIMPEZA*"),0)</f>
        <v>1.8849999999999998</v>
      </c>
      <c r="L682" s="10">
        <f>IFERROR(SUMIFS('Base bordo CD'!M$2:M$875,'Base bordo CD'!D$2:D$875,A682,'Base bordo CD'!A$2:A$875,B682,'Base bordo CD'!L$2:L$875,"PATIO - RESERVA"),0)</f>
        <v>0.31472222222222224</v>
      </c>
      <c r="M682" s="10">
        <f>IFERROR(SUMIFS('Base bordo CD'!M$2:M$875,'Base bordo CD'!D$2:D$875,A682,'Base bordo CD'!A$2:A$875,B682,'Base bordo CD'!L$2:L$875,"SEM APONTAMENTO"),0)</f>
        <v>0.13333333333333333</v>
      </c>
      <c r="N682" s="10">
        <f>IFERROR(SUMIFS('Base bordo CD'!M$2:M$875,'Base bordo CD'!D$2:D$875,A682,'Base bordo CD'!A$2:A$875,B682,'Base bordo CD'!L$2:L$875,"FALTA DE CAMINHÃO"),0)+IFERROR(SUMIFS('Base bordo CD'!M$2:M$875,'Base bordo CD'!D$2:D$875,A682,'Base bordo CD'!A$2:A$875,B682,'Base bordo CD'!L$2:L$875,"FALTA DE COMBUSTIVEL"),0)+IFERROR(SUMIFS('Base bordo CD'!M$2:M$875,'Base bordo CD'!D$2:D$875,A682,'Base bordo CD'!A$2:A$875,B682,'Base bordo CD'!L$2:L$875,"FALTA DE MOTORIST*"),0)</f>
        <v>1.5150000000000001</v>
      </c>
      <c r="O682" s="10">
        <f t="shared" si="55"/>
        <v>0.31527777777778354</v>
      </c>
      <c r="P682" s="10">
        <f>IFERROR(SUMIFS('Base bordo CD'!M$2:M$875,'Base bordo CD'!D$2:D$875,A682,'Base bordo CD'!A$2:A$875,B682),0)</f>
        <v>24.000000000000004</v>
      </c>
      <c r="Q682" s="10">
        <f>IFERROR(SUMIFS('Base bordo CD'!O$2:O$875,'Base bordo CD'!D$2:D$875,A682,'Base bordo CD'!A$2:A$875,B682,'Base bordo CD'!L$2:L$875,"CORTE DE CANA MECANIZADO"),0)</f>
        <v>97141.5</v>
      </c>
      <c r="R682" s="10">
        <f>IFERROR(SUMIFS('Base bordo CD'!Q$2:Q$875,'Base bordo CD'!D$2:D$875,A682,'Base bordo CD'!A$2:A$875,B682,'Base bordo CD'!L$2:L$875,"CORTE DE CANA MECANIZADO"),0)</f>
        <v>23621</v>
      </c>
      <c r="S682" s="30">
        <f t="shared" si="56"/>
        <v>4.1125058210914016</v>
      </c>
      <c r="T682" s="9">
        <f t="shared" si="57"/>
        <v>0.27340277777777777</v>
      </c>
      <c r="U682" s="9">
        <f t="shared" si="58"/>
        <v>0.15003472222222222</v>
      </c>
      <c r="V682" s="9">
        <f t="shared" si="59"/>
        <v>0.70234953703703695</v>
      </c>
    </row>
    <row r="683" spans="1:22" hidden="1" x14ac:dyDescent="0.35">
      <c r="A683" s="52">
        <v>49588</v>
      </c>
      <c r="B683" s="31">
        <v>46118</v>
      </c>
      <c r="C683" s="7" t="s">
        <v>364</v>
      </c>
      <c r="D683" s="7">
        <v>352</v>
      </c>
      <c r="E683" s="10">
        <f>IFERROR(SUMIFS('Base bordo CD'!M$2:M$875,'Base bordo CD'!D$2:D$875,A683,'Base bordo CD'!A$2:A$875,B683,'Base bordo CD'!L$2:L$875,"CORTE DE CANA MECANIZADO"),0)</f>
        <v>6.5616666666666674</v>
      </c>
      <c r="F683" s="10">
        <f>IFERROR(SUMIFS('Base bordo CD'!M$2:M$875,'Base bordo CD'!D$2:D$875,A683,'Base bordo CD'!A$2:A$875,B683,'Base bordo CD'!L$2:L$875,"MANOBRA"),0)</f>
        <v>3.6008333333333336</v>
      </c>
      <c r="G683" s="10">
        <f>IFERROR(SUMIFS('Base bordo CD'!M$2:M$875,'Base bordo CD'!D$2:D$875,A683,'Base bordo CD'!A$2:A$875,B683,'Base bordo CD'!L$2:L$875,"DESLOCAMENTO"),0)</f>
        <v>0.58194444444444449</v>
      </c>
      <c r="H683" s="10">
        <f>IFERROR(SUMIFS('Base bordo CD'!M$2:M$875,'Base bordo CD'!D$2:D$875,A683,'Base bordo CD'!A$2:A$875,B683,'Base bordo CD'!L$2:L$875,"AGUARDANDO MANOBRA DE TRANSBORDO"),0)+IFERROR(SUMIFS('Base bordo CD'!M$2:M$875,'Base bordo CD'!D$2:D$875,A683,'Base bordo CD'!A$2:A$875,B683,'Base bordo CD'!L$2:L$875,"FALTA DE TRANSBORDO"),0)</f>
        <v>0.11</v>
      </c>
      <c r="I683" s="10">
        <f>IFERROR(SUMIFS('Base bordo CD'!M$2:M$875,'Base bordo CD'!D$2:D$875,A683,'Base bordo CD'!A$2:A$875,B683,'Base bordo CD'!L$2:L$875,"PARADA POR CONDICOES CLIMATICAS"),0)+IFERROR(SUMIFS('Base bordo CD'!M$2:M$875,'Base bordo CD'!D$2:D$875,A683,'Base bordo CD'!A$2:A$875,B683,'Base bordo CD'!L$2:L$875,"TEMPO INDETERMINADO"),0)</f>
        <v>6.7058333333333326</v>
      </c>
      <c r="J683" s="10">
        <f>IFERROR(SUMIFS('Base bordo CD'!M$2:M$875,'Base bordo CD'!D$2:D$875,A683,'Base bordo CD'!A$2:A$875,B683,'Base bordo CD'!L$2:L$875,"LIMITAÇÃO INDÚSTRIA"),0)</f>
        <v>2.276388888888889</v>
      </c>
      <c r="K683" s="10">
        <f>IFERROR(SUMIFS('Base bordo CD'!M$2:M$875,'Base bordo CD'!D$2:D$875,A683,'Base bordo CD'!A$2:A$875,B683,'Base bordo CD'!L$2:L$875,"MAN CORRETIVA*"),0)+IFERROR(SUMIFS('Base bordo CD'!M$2:M$875,'Base bordo CD'!D$2:D$875,A683,'Base bordo CD'!A$2:A$875,B683,'Base bordo CD'!L$2:L$875,"AGUARDANDO MANUTENCAO*"),0)+IFERROR(SUMIFS('Base bordo CD'!M$2:M$875,'Base bordo CD'!D$2:D$875,A683,'Base bordo CD'!A$2:A$875,B683,'Base bordo CD'!L$2:L$875,"TROCA DE FAQUINHA"),0)+IFERROR(SUMIFS('Base bordo CD'!M$2:M$875,'Base bordo CD'!D$2:D$875,A683,'Base bordo CD'!A$2:A$875,B683,'Base bordo CD'!L$2:L$875,"LIMPEZA*"),0)</f>
        <v>1.8849999999999998</v>
      </c>
      <c r="L683" s="10">
        <f>IFERROR(SUMIFS('Base bordo CD'!M$2:M$875,'Base bordo CD'!D$2:D$875,A683,'Base bordo CD'!A$2:A$875,B683,'Base bordo CD'!L$2:L$875,"PATIO - RESERVA"),0)</f>
        <v>0.31472222222222224</v>
      </c>
      <c r="M683" s="10">
        <f>IFERROR(SUMIFS('Base bordo CD'!M$2:M$875,'Base bordo CD'!D$2:D$875,A683,'Base bordo CD'!A$2:A$875,B683,'Base bordo CD'!L$2:L$875,"SEM APONTAMENTO"),0)</f>
        <v>0.13333333333333333</v>
      </c>
      <c r="N683" s="10">
        <f>IFERROR(SUMIFS('Base bordo CD'!M$2:M$875,'Base bordo CD'!D$2:D$875,A683,'Base bordo CD'!A$2:A$875,B683,'Base bordo CD'!L$2:L$875,"FALTA DE CAMINHÃO"),0)+IFERROR(SUMIFS('Base bordo CD'!M$2:M$875,'Base bordo CD'!D$2:D$875,A683,'Base bordo CD'!A$2:A$875,B683,'Base bordo CD'!L$2:L$875,"FALTA DE COMBUSTIVEL"),0)+IFERROR(SUMIFS('Base bordo CD'!M$2:M$875,'Base bordo CD'!D$2:D$875,A683,'Base bordo CD'!A$2:A$875,B683,'Base bordo CD'!L$2:L$875,"FALTA DE MOTORIST*"),0)</f>
        <v>1.5150000000000001</v>
      </c>
      <c r="O683" s="10">
        <f t="shared" si="55"/>
        <v>0.31527777777778354</v>
      </c>
      <c r="P683" s="10">
        <f>IFERROR(SUMIFS('Base bordo CD'!M$2:M$875,'Base bordo CD'!D$2:D$875,A683,'Base bordo CD'!A$2:A$875,B683),0)</f>
        <v>24.000000000000004</v>
      </c>
      <c r="Q683" s="10">
        <f>IFERROR(SUMIFS('Base bordo CD'!O$2:O$875,'Base bordo CD'!D$2:D$875,A683,'Base bordo CD'!A$2:A$875,B683,'Base bordo CD'!L$2:L$875,"CORTE DE CANA MECANIZADO"),0)</f>
        <v>97141.5</v>
      </c>
      <c r="R683" s="10">
        <f>IFERROR(SUMIFS('Base bordo CD'!Q$2:Q$875,'Base bordo CD'!D$2:D$875,A683,'Base bordo CD'!A$2:A$875,B683,'Base bordo CD'!L$2:L$875,"CORTE DE CANA MECANIZADO"),0)</f>
        <v>23621</v>
      </c>
      <c r="S683" s="30">
        <f t="shared" si="56"/>
        <v>4.1125058210914016</v>
      </c>
      <c r="T683" s="9">
        <f t="shared" si="57"/>
        <v>0.27340277777777777</v>
      </c>
      <c r="U683" s="9">
        <f t="shared" si="58"/>
        <v>0.15003472222222222</v>
      </c>
      <c r="V683" s="9">
        <f t="shared" si="59"/>
        <v>0.70234953703703695</v>
      </c>
    </row>
    <row r="684" spans="1:22" hidden="1" x14ac:dyDescent="0.35">
      <c r="A684" s="52">
        <v>49588</v>
      </c>
      <c r="B684" s="31">
        <v>46118</v>
      </c>
      <c r="C684" s="7" t="s">
        <v>364</v>
      </c>
      <c r="D684" s="7">
        <v>352</v>
      </c>
      <c r="E684" s="10">
        <f>IFERROR(SUMIFS('Base bordo CD'!M$2:M$875,'Base bordo CD'!D$2:D$875,A684,'Base bordo CD'!A$2:A$875,B684,'Base bordo CD'!L$2:L$875,"CORTE DE CANA MECANIZADO"),0)</f>
        <v>6.5616666666666674</v>
      </c>
      <c r="F684" s="10">
        <f>IFERROR(SUMIFS('Base bordo CD'!M$2:M$875,'Base bordo CD'!D$2:D$875,A684,'Base bordo CD'!A$2:A$875,B684,'Base bordo CD'!L$2:L$875,"MANOBRA"),0)</f>
        <v>3.6008333333333336</v>
      </c>
      <c r="G684" s="10">
        <f>IFERROR(SUMIFS('Base bordo CD'!M$2:M$875,'Base bordo CD'!D$2:D$875,A684,'Base bordo CD'!A$2:A$875,B684,'Base bordo CD'!L$2:L$875,"DESLOCAMENTO"),0)</f>
        <v>0.58194444444444449</v>
      </c>
      <c r="H684" s="10">
        <f>IFERROR(SUMIFS('Base bordo CD'!M$2:M$875,'Base bordo CD'!D$2:D$875,A684,'Base bordo CD'!A$2:A$875,B684,'Base bordo CD'!L$2:L$875,"AGUARDANDO MANOBRA DE TRANSBORDO"),0)+IFERROR(SUMIFS('Base bordo CD'!M$2:M$875,'Base bordo CD'!D$2:D$875,A684,'Base bordo CD'!A$2:A$875,B684,'Base bordo CD'!L$2:L$875,"FALTA DE TRANSBORDO"),0)</f>
        <v>0.11</v>
      </c>
      <c r="I684" s="10">
        <f>IFERROR(SUMIFS('Base bordo CD'!M$2:M$875,'Base bordo CD'!D$2:D$875,A684,'Base bordo CD'!A$2:A$875,B684,'Base bordo CD'!L$2:L$875,"PARADA POR CONDICOES CLIMATICAS"),0)+IFERROR(SUMIFS('Base bordo CD'!M$2:M$875,'Base bordo CD'!D$2:D$875,A684,'Base bordo CD'!A$2:A$875,B684,'Base bordo CD'!L$2:L$875,"TEMPO INDETERMINADO"),0)</f>
        <v>6.7058333333333326</v>
      </c>
      <c r="J684" s="10">
        <f>IFERROR(SUMIFS('Base bordo CD'!M$2:M$875,'Base bordo CD'!D$2:D$875,A684,'Base bordo CD'!A$2:A$875,B684,'Base bordo CD'!L$2:L$875,"LIMITAÇÃO INDÚSTRIA"),0)</f>
        <v>2.276388888888889</v>
      </c>
      <c r="K684" s="10">
        <f>IFERROR(SUMIFS('Base bordo CD'!M$2:M$875,'Base bordo CD'!D$2:D$875,A684,'Base bordo CD'!A$2:A$875,B684,'Base bordo CD'!L$2:L$875,"MAN CORRETIVA*"),0)+IFERROR(SUMIFS('Base bordo CD'!M$2:M$875,'Base bordo CD'!D$2:D$875,A684,'Base bordo CD'!A$2:A$875,B684,'Base bordo CD'!L$2:L$875,"AGUARDANDO MANUTENCAO*"),0)+IFERROR(SUMIFS('Base bordo CD'!M$2:M$875,'Base bordo CD'!D$2:D$875,A684,'Base bordo CD'!A$2:A$875,B684,'Base bordo CD'!L$2:L$875,"TROCA DE FAQUINHA"),0)+IFERROR(SUMIFS('Base bordo CD'!M$2:M$875,'Base bordo CD'!D$2:D$875,A684,'Base bordo CD'!A$2:A$875,B684,'Base bordo CD'!L$2:L$875,"LIMPEZA*"),0)</f>
        <v>1.8849999999999998</v>
      </c>
      <c r="L684" s="10">
        <f>IFERROR(SUMIFS('Base bordo CD'!M$2:M$875,'Base bordo CD'!D$2:D$875,A684,'Base bordo CD'!A$2:A$875,B684,'Base bordo CD'!L$2:L$875,"PATIO - RESERVA"),0)</f>
        <v>0.31472222222222224</v>
      </c>
      <c r="M684" s="10">
        <f>IFERROR(SUMIFS('Base bordo CD'!M$2:M$875,'Base bordo CD'!D$2:D$875,A684,'Base bordo CD'!A$2:A$875,B684,'Base bordo CD'!L$2:L$875,"SEM APONTAMENTO"),0)</f>
        <v>0.13333333333333333</v>
      </c>
      <c r="N684" s="10">
        <f>IFERROR(SUMIFS('Base bordo CD'!M$2:M$875,'Base bordo CD'!D$2:D$875,A684,'Base bordo CD'!A$2:A$875,B684,'Base bordo CD'!L$2:L$875,"FALTA DE CAMINHÃO"),0)+IFERROR(SUMIFS('Base bordo CD'!M$2:M$875,'Base bordo CD'!D$2:D$875,A684,'Base bordo CD'!A$2:A$875,B684,'Base bordo CD'!L$2:L$875,"FALTA DE COMBUSTIVEL"),0)+IFERROR(SUMIFS('Base bordo CD'!M$2:M$875,'Base bordo CD'!D$2:D$875,A684,'Base bordo CD'!A$2:A$875,B684,'Base bordo CD'!L$2:L$875,"FALTA DE MOTORIST*"),0)</f>
        <v>1.5150000000000001</v>
      </c>
      <c r="O684" s="10">
        <f t="shared" si="55"/>
        <v>0.31527777777778354</v>
      </c>
      <c r="P684" s="10">
        <f>IFERROR(SUMIFS('Base bordo CD'!M$2:M$875,'Base bordo CD'!D$2:D$875,A684,'Base bordo CD'!A$2:A$875,B684),0)</f>
        <v>24.000000000000004</v>
      </c>
      <c r="Q684" s="10">
        <f>IFERROR(SUMIFS('Base bordo CD'!O$2:O$875,'Base bordo CD'!D$2:D$875,A684,'Base bordo CD'!A$2:A$875,B684,'Base bordo CD'!L$2:L$875,"CORTE DE CANA MECANIZADO"),0)</f>
        <v>97141.5</v>
      </c>
      <c r="R684" s="10">
        <f>IFERROR(SUMIFS('Base bordo CD'!Q$2:Q$875,'Base bordo CD'!D$2:D$875,A684,'Base bordo CD'!A$2:A$875,B684,'Base bordo CD'!L$2:L$875,"CORTE DE CANA MECANIZADO"),0)</f>
        <v>23621</v>
      </c>
      <c r="S684" s="30">
        <f t="shared" si="56"/>
        <v>4.1125058210914016</v>
      </c>
      <c r="T684" s="9">
        <f t="shared" si="57"/>
        <v>0.27340277777777777</v>
      </c>
      <c r="U684" s="9">
        <f t="shared" si="58"/>
        <v>0.15003472222222222</v>
      </c>
      <c r="V684" s="9">
        <f t="shared" si="59"/>
        <v>0.70234953703703695</v>
      </c>
    </row>
    <row r="685" spans="1:22" hidden="1" x14ac:dyDescent="0.35">
      <c r="A685" s="52">
        <v>49588</v>
      </c>
      <c r="B685" s="31">
        <v>46118</v>
      </c>
      <c r="C685" s="7" t="s">
        <v>364</v>
      </c>
      <c r="D685" s="7">
        <v>352</v>
      </c>
      <c r="E685" s="10">
        <f>IFERROR(SUMIFS('Base bordo CD'!M$2:M$875,'Base bordo CD'!D$2:D$875,A685,'Base bordo CD'!A$2:A$875,B685,'Base bordo CD'!L$2:L$875,"CORTE DE CANA MECANIZADO"),0)</f>
        <v>6.5616666666666674</v>
      </c>
      <c r="F685" s="10">
        <f>IFERROR(SUMIFS('Base bordo CD'!M$2:M$875,'Base bordo CD'!D$2:D$875,A685,'Base bordo CD'!A$2:A$875,B685,'Base bordo CD'!L$2:L$875,"MANOBRA"),0)</f>
        <v>3.6008333333333336</v>
      </c>
      <c r="G685" s="10">
        <f>IFERROR(SUMIFS('Base bordo CD'!M$2:M$875,'Base bordo CD'!D$2:D$875,A685,'Base bordo CD'!A$2:A$875,B685,'Base bordo CD'!L$2:L$875,"DESLOCAMENTO"),0)</f>
        <v>0.58194444444444449</v>
      </c>
      <c r="H685" s="10">
        <f>IFERROR(SUMIFS('Base bordo CD'!M$2:M$875,'Base bordo CD'!D$2:D$875,A685,'Base bordo CD'!A$2:A$875,B685,'Base bordo CD'!L$2:L$875,"AGUARDANDO MANOBRA DE TRANSBORDO"),0)+IFERROR(SUMIFS('Base bordo CD'!M$2:M$875,'Base bordo CD'!D$2:D$875,A685,'Base bordo CD'!A$2:A$875,B685,'Base bordo CD'!L$2:L$875,"FALTA DE TRANSBORDO"),0)</f>
        <v>0.11</v>
      </c>
      <c r="I685" s="10">
        <f>IFERROR(SUMIFS('Base bordo CD'!M$2:M$875,'Base bordo CD'!D$2:D$875,A685,'Base bordo CD'!A$2:A$875,B685,'Base bordo CD'!L$2:L$875,"PARADA POR CONDICOES CLIMATICAS"),0)+IFERROR(SUMIFS('Base bordo CD'!M$2:M$875,'Base bordo CD'!D$2:D$875,A685,'Base bordo CD'!A$2:A$875,B685,'Base bordo CD'!L$2:L$875,"TEMPO INDETERMINADO"),0)</f>
        <v>6.7058333333333326</v>
      </c>
      <c r="J685" s="10">
        <f>IFERROR(SUMIFS('Base bordo CD'!M$2:M$875,'Base bordo CD'!D$2:D$875,A685,'Base bordo CD'!A$2:A$875,B685,'Base bordo CD'!L$2:L$875,"LIMITAÇÃO INDÚSTRIA"),0)</f>
        <v>2.276388888888889</v>
      </c>
      <c r="K685" s="10">
        <f>IFERROR(SUMIFS('Base bordo CD'!M$2:M$875,'Base bordo CD'!D$2:D$875,A685,'Base bordo CD'!A$2:A$875,B685,'Base bordo CD'!L$2:L$875,"MAN CORRETIVA*"),0)+IFERROR(SUMIFS('Base bordo CD'!M$2:M$875,'Base bordo CD'!D$2:D$875,A685,'Base bordo CD'!A$2:A$875,B685,'Base bordo CD'!L$2:L$875,"AGUARDANDO MANUTENCAO*"),0)+IFERROR(SUMIFS('Base bordo CD'!M$2:M$875,'Base bordo CD'!D$2:D$875,A685,'Base bordo CD'!A$2:A$875,B685,'Base bordo CD'!L$2:L$875,"TROCA DE FAQUINHA"),0)+IFERROR(SUMIFS('Base bordo CD'!M$2:M$875,'Base bordo CD'!D$2:D$875,A685,'Base bordo CD'!A$2:A$875,B685,'Base bordo CD'!L$2:L$875,"LIMPEZA*"),0)</f>
        <v>1.8849999999999998</v>
      </c>
      <c r="L685" s="10">
        <f>IFERROR(SUMIFS('Base bordo CD'!M$2:M$875,'Base bordo CD'!D$2:D$875,A685,'Base bordo CD'!A$2:A$875,B685,'Base bordo CD'!L$2:L$875,"PATIO - RESERVA"),0)</f>
        <v>0.31472222222222224</v>
      </c>
      <c r="M685" s="10">
        <f>IFERROR(SUMIFS('Base bordo CD'!M$2:M$875,'Base bordo CD'!D$2:D$875,A685,'Base bordo CD'!A$2:A$875,B685,'Base bordo CD'!L$2:L$875,"SEM APONTAMENTO"),0)</f>
        <v>0.13333333333333333</v>
      </c>
      <c r="N685" s="10">
        <f>IFERROR(SUMIFS('Base bordo CD'!M$2:M$875,'Base bordo CD'!D$2:D$875,A685,'Base bordo CD'!A$2:A$875,B685,'Base bordo CD'!L$2:L$875,"FALTA DE CAMINHÃO"),0)+IFERROR(SUMIFS('Base bordo CD'!M$2:M$875,'Base bordo CD'!D$2:D$875,A685,'Base bordo CD'!A$2:A$875,B685,'Base bordo CD'!L$2:L$875,"FALTA DE COMBUSTIVEL"),0)+IFERROR(SUMIFS('Base bordo CD'!M$2:M$875,'Base bordo CD'!D$2:D$875,A685,'Base bordo CD'!A$2:A$875,B685,'Base bordo CD'!L$2:L$875,"FALTA DE MOTORIST*"),0)</f>
        <v>1.5150000000000001</v>
      </c>
      <c r="O685" s="10">
        <f t="shared" si="55"/>
        <v>0.31527777777778354</v>
      </c>
      <c r="P685" s="10">
        <f>IFERROR(SUMIFS('Base bordo CD'!M$2:M$875,'Base bordo CD'!D$2:D$875,A685,'Base bordo CD'!A$2:A$875,B685),0)</f>
        <v>24.000000000000004</v>
      </c>
      <c r="Q685" s="10">
        <f>IFERROR(SUMIFS('Base bordo CD'!O$2:O$875,'Base bordo CD'!D$2:D$875,A685,'Base bordo CD'!A$2:A$875,B685,'Base bordo CD'!L$2:L$875,"CORTE DE CANA MECANIZADO"),0)</f>
        <v>97141.5</v>
      </c>
      <c r="R685" s="10">
        <f>IFERROR(SUMIFS('Base bordo CD'!Q$2:Q$875,'Base bordo CD'!D$2:D$875,A685,'Base bordo CD'!A$2:A$875,B685,'Base bordo CD'!L$2:L$875,"CORTE DE CANA MECANIZADO"),0)</f>
        <v>23621</v>
      </c>
      <c r="S685" s="30">
        <f t="shared" si="56"/>
        <v>4.1125058210914016</v>
      </c>
      <c r="T685" s="9">
        <f t="shared" si="57"/>
        <v>0.27340277777777777</v>
      </c>
      <c r="U685" s="9">
        <f t="shared" si="58"/>
        <v>0.15003472222222222</v>
      </c>
      <c r="V685" s="9">
        <f t="shared" si="59"/>
        <v>0.70234953703703695</v>
      </c>
    </row>
    <row r="686" spans="1:22" hidden="1" x14ac:dyDescent="0.35">
      <c r="A686" s="52">
        <v>49588</v>
      </c>
      <c r="B686" s="31">
        <v>46118</v>
      </c>
      <c r="C686" s="7" t="s">
        <v>364</v>
      </c>
      <c r="D686" s="7">
        <v>352</v>
      </c>
      <c r="E686" s="10">
        <f>IFERROR(SUMIFS('Base bordo CD'!M$2:M$875,'Base bordo CD'!D$2:D$875,A686,'Base bordo CD'!A$2:A$875,B686,'Base bordo CD'!L$2:L$875,"CORTE DE CANA MECANIZADO"),0)</f>
        <v>6.5616666666666674</v>
      </c>
      <c r="F686" s="10">
        <f>IFERROR(SUMIFS('Base bordo CD'!M$2:M$875,'Base bordo CD'!D$2:D$875,A686,'Base bordo CD'!A$2:A$875,B686,'Base bordo CD'!L$2:L$875,"MANOBRA"),0)</f>
        <v>3.6008333333333336</v>
      </c>
      <c r="G686" s="10">
        <f>IFERROR(SUMIFS('Base bordo CD'!M$2:M$875,'Base bordo CD'!D$2:D$875,A686,'Base bordo CD'!A$2:A$875,B686,'Base bordo CD'!L$2:L$875,"DESLOCAMENTO"),0)</f>
        <v>0.58194444444444449</v>
      </c>
      <c r="H686" s="10">
        <f>IFERROR(SUMIFS('Base bordo CD'!M$2:M$875,'Base bordo CD'!D$2:D$875,A686,'Base bordo CD'!A$2:A$875,B686,'Base bordo CD'!L$2:L$875,"AGUARDANDO MANOBRA DE TRANSBORDO"),0)+IFERROR(SUMIFS('Base bordo CD'!M$2:M$875,'Base bordo CD'!D$2:D$875,A686,'Base bordo CD'!A$2:A$875,B686,'Base bordo CD'!L$2:L$875,"FALTA DE TRANSBORDO"),0)</f>
        <v>0.11</v>
      </c>
      <c r="I686" s="10">
        <f>IFERROR(SUMIFS('Base bordo CD'!M$2:M$875,'Base bordo CD'!D$2:D$875,A686,'Base bordo CD'!A$2:A$875,B686,'Base bordo CD'!L$2:L$875,"PARADA POR CONDICOES CLIMATICAS"),0)+IFERROR(SUMIFS('Base bordo CD'!M$2:M$875,'Base bordo CD'!D$2:D$875,A686,'Base bordo CD'!A$2:A$875,B686,'Base bordo CD'!L$2:L$875,"TEMPO INDETERMINADO"),0)</f>
        <v>6.7058333333333326</v>
      </c>
      <c r="J686" s="10">
        <f>IFERROR(SUMIFS('Base bordo CD'!M$2:M$875,'Base bordo CD'!D$2:D$875,A686,'Base bordo CD'!A$2:A$875,B686,'Base bordo CD'!L$2:L$875,"LIMITAÇÃO INDÚSTRIA"),0)</f>
        <v>2.276388888888889</v>
      </c>
      <c r="K686" s="10">
        <f>IFERROR(SUMIFS('Base bordo CD'!M$2:M$875,'Base bordo CD'!D$2:D$875,A686,'Base bordo CD'!A$2:A$875,B686,'Base bordo CD'!L$2:L$875,"MAN CORRETIVA*"),0)+IFERROR(SUMIFS('Base bordo CD'!M$2:M$875,'Base bordo CD'!D$2:D$875,A686,'Base bordo CD'!A$2:A$875,B686,'Base bordo CD'!L$2:L$875,"AGUARDANDO MANUTENCAO*"),0)+IFERROR(SUMIFS('Base bordo CD'!M$2:M$875,'Base bordo CD'!D$2:D$875,A686,'Base bordo CD'!A$2:A$875,B686,'Base bordo CD'!L$2:L$875,"TROCA DE FAQUINHA"),0)+IFERROR(SUMIFS('Base bordo CD'!M$2:M$875,'Base bordo CD'!D$2:D$875,A686,'Base bordo CD'!A$2:A$875,B686,'Base bordo CD'!L$2:L$875,"LIMPEZA*"),0)</f>
        <v>1.8849999999999998</v>
      </c>
      <c r="L686" s="10">
        <f>IFERROR(SUMIFS('Base bordo CD'!M$2:M$875,'Base bordo CD'!D$2:D$875,A686,'Base bordo CD'!A$2:A$875,B686,'Base bordo CD'!L$2:L$875,"PATIO - RESERVA"),0)</f>
        <v>0.31472222222222224</v>
      </c>
      <c r="M686" s="10">
        <f>IFERROR(SUMIFS('Base bordo CD'!M$2:M$875,'Base bordo CD'!D$2:D$875,A686,'Base bordo CD'!A$2:A$875,B686,'Base bordo CD'!L$2:L$875,"SEM APONTAMENTO"),0)</f>
        <v>0.13333333333333333</v>
      </c>
      <c r="N686" s="10">
        <f>IFERROR(SUMIFS('Base bordo CD'!M$2:M$875,'Base bordo CD'!D$2:D$875,A686,'Base bordo CD'!A$2:A$875,B686,'Base bordo CD'!L$2:L$875,"FALTA DE CAMINHÃO"),0)+IFERROR(SUMIFS('Base bordo CD'!M$2:M$875,'Base bordo CD'!D$2:D$875,A686,'Base bordo CD'!A$2:A$875,B686,'Base bordo CD'!L$2:L$875,"FALTA DE COMBUSTIVEL"),0)+IFERROR(SUMIFS('Base bordo CD'!M$2:M$875,'Base bordo CD'!D$2:D$875,A686,'Base bordo CD'!A$2:A$875,B686,'Base bordo CD'!L$2:L$875,"FALTA DE MOTORIST*"),0)</f>
        <v>1.5150000000000001</v>
      </c>
      <c r="O686" s="10">
        <f t="shared" si="55"/>
        <v>0.31527777777778354</v>
      </c>
      <c r="P686" s="10">
        <f>IFERROR(SUMIFS('Base bordo CD'!M$2:M$875,'Base bordo CD'!D$2:D$875,A686,'Base bordo CD'!A$2:A$875,B686),0)</f>
        <v>24.000000000000004</v>
      </c>
      <c r="Q686" s="10">
        <f>IFERROR(SUMIFS('Base bordo CD'!O$2:O$875,'Base bordo CD'!D$2:D$875,A686,'Base bordo CD'!A$2:A$875,B686,'Base bordo CD'!L$2:L$875,"CORTE DE CANA MECANIZADO"),0)</f>
        <v>97141.5</v>
      </c>
      <c r="R686" s="10">
        <f>IFERROR(SUMIFS('Base bordo CD'!Q$2:Q$875,'Base bordo CD'!D$2:D$875,A686,'Base bordo CD'!A$2:A$875,B686,'Base bordo CD'!L$2:L$875,"CORTE DE CANA MECANIZADO"),0)</f>
        <v>23621</v>
      </c>
      <c r="S686" s="30">
        <f t="shared" si="56"/>
        <v>4.1125058210914016</v>
      </c>
      <c r="T686" s="9">
        <f t="shared" si="57"/>
        <v>0.27340277777777777</v>
      </c>
      <c r="U686" s="9">
        <f t="shared" si="58"/>
        <v>0.15003472222222222</v>
      </c>
      <c r="V686" s="9">
        <f t="shared" si="59"/>
        <v>0.70234953703703695</v>
      </c>
    </row>
    <row r="687" spans="1:22" hidden="1" x14ac:dyDescent="0.35">
      <c r="A687" s="52">
        <v>49588</v>
      </c>
      <c r="B687" s="31">
        <v>46118</v>
      </c>
      <c r="C687" s="7" t="s">
        <v>364</v>
      </c>
      <c r="D687" s="7">
        <v>352</v>
      </c>
      <c r="E687" s="10">
        <f>IFERROR(SUMIFS('Base bordo CD'!M$2:M$875,'Base bordo CD'!D$2:D$875,A687,'Base bordo CD'!A$2:A$875,B687,'Base bordo CD'!L$2:L$875,"CORTE DE CANA MECANIZADO"),0)</f>
        <v>6.5616666666666674</v>
      </c>
      <c r="F687" s="10">
        <f>IFERROR(SUMIFS('Base bordo CD'!M$2:M$875,'Base bordo CD'!D$2:D$875,A687,'Base bordo CD'!A$2:A$875,B687,'Base bordo CD'!L$2:L$875,"MANOBRA"),0)</f>
        <v>3.6008333333333336</v>
      </c>
      <c r="G687" s="10">
        <f>IFERROR(SUMIFS('Base bordo CD'!M$2:M$875,'Base bordo CD'!D$2:D$875,A687,'Base bordo CD'!A$2:A$875,B687,'Base bordo CD'!L$2:L$875,"DESLOCAMENTO"),0)</f>
        <v>0.58194444444444449</v>
      </c>
      <c r="H687" s="10">
        <f>IFERROR(SUMIFS('Base bordo CD'!M$2:M$875,'Base bordo CD'!D$2:D$875,A687,'Base bordo CD'!A$2:A$875,B687,'Base bordo CD'!L$2:L$875,"AGUARDANDO MANOBRA DE TRANSBORDO"),0)+IFERROR(SUMIFS('Base bordo CD'!M$2:M$875,'Base bordo CD'!D$2:D$875,A687,'Base bordo CD'!A$2:A$875,B687,'Base bordo CD'!L$2:L$875,"FALTA DE TRANSBORDO"),0)</f>
        <v>0.11</v>
      </c>
      <c r="I687" s="10">
        <f>IFERROR(SUMIFS('Base bordo CD'!M$2:M$875,'Base bordo CD'!D$2:D$875,A687,'Base bordo CD'!A$2:A$875,B687,'Base bordo CD'!L$2:L$875,"PARADA POR CONDICOES CLIMATICAS"),0)+IFERROR(SUMIFS('Base bordo CD'!M$2:M$875,'Base bordo CD'!D$2:D$875,A687,'Base bordo CD'!A$2:A$875,B687,'Base bordo CD'!L$2:L$875,"TEMPO INDETERMINADO"),0)</f>
        <v>6.7058333333333326</v>
      </c>
      <c r="J687" s="10">
        <f>IFERROR(SUMIFS('Base bordo CD'!M$2:M$875,'Base bordo CD'!D$2:D$875,A687,'Base bordo CD'!A$2:A$875,B687,'Base bordo CD'!L$2:L$875,"LIMITAÇÃO INDÚSTRIA"),0)</f>
        <v>2.276388888888889</v>
      </c>
      <c r="K687" s="10">
        <f>IFERROR(SUMIFS('Base bordo CD'!M$2:M$875,'Base bordo CD'!D$2:D$875,A687,'Base bordo CD'!A$2:A$875,B687,'Base bordo CD'!L$2:L$875,"MAN CORRETIVA*"),0)+IFERROR(SUMIFS('Base bordo CD'!M$2:M$875,'Base bordo CD'!D$2:D$875,A687,'Base bordo CD'!A$2:A$875,B687,'Base bordo CD'!L$2:L$875,"AGUARDANDO MANUTENCAO*"),0)+IFERROR(SUMIFS('Base bordo CD'!M$2:M$875,'Base bordo CD'!D$2:D$875,A687,'Base bordo CD'!A$2:A$875,B687,'Base bordo CD'!L$2:L$875,"TROCA DE FAQUINHA"),0)+IFERROR(SUMIFS('Base bordo CD'!M$2:M$875,'Base bordo CD'!D$2:D$875,A687,'Base bordo CD'!A$2:A$875,B687,'Base bordo CD'!L$2:L$875,"LIMPEZA*"),0)</f>
        <v>1.8849999999999998</v>
      </c>
      <c r="L687" s="10">
        <f>IFERROR(SUMIFS('Base bordo CD'!M$2:M$875,'Base bordo CD'!D$2:D$875,A687,'Base bordo CD'!A$2:A$875,B687,'Base bordo CD'!L$2:L$875,"PATIO - RESERVA"),0)</f>
        <v>0.31472222222222224</v>
      </c>
      <c r="M687" s="10">
        <f>IFERROR(SUMIFS('Base bordo CD'!M$2:M$875,'Base bordo CD'!D$2:D$875,A687,'Base bordo CD'!A$2:A$875,B687,'Base bordo CD'!L$2:L$875,"SEM APONTAMENTO"),0)</f>
        <v>0.13333333333333333</v>
      </c>
      <c r="N687" s="10">
        <f>IFERROR(SUMIFS('Base bordo CD'!M$2:M$875,'Base bordo CD'!D$2:D$875,A687,'Base bordo CD'!A$2:A$875,B687,'Base bordo CD'!L$2:L$875,"FALTA DE CAMINHÃO"),0)+IFERROR(SUMIFS('Base bordo CD'!M$2:M$875,'Base bordo CD'!D$2:D$875,A687,'Base bordo CD'!A$2:A$875,B687,'Base bordo CD'!L$2:L$875,"FALTA DE COMBUSTIVEL"),0)+IFERROR(SUMIFS('Base bordo CD'!M$2:M$875,'Base bordo CD'!D$2:D$875,A687,'Base bordo CD'!A$2:A$875,B687,'Base bordo CD'!L$2:L$875,"FALTA DE MOTORIST*"),0)</f>
        <v>1.5150000000000001</v>
      </c>
      <c r="O687" s="10">
        <f t="shared" si="55"/>
        <v>0.31527777777778354</v>
      </c>
      <c r="P687" s="10">
        <f>IFERROR(SUMIFS('Base bordo CD'!M$2:M$875,'Base bordo CD'!D$2:D$875,A687,'Base bordo CD'!A$2:A$875,B687),0)</f>
        <v>24.000000000000004</v>
      </c>
      <c r="Q687" s="10">
        <f>IFERROR(SUMIFS('Base bordo CD'!O$2:O$875,'Base bordo CD'!D$2:D$875,A687,'Base bordo CD'!A$2:A$875,B687,'Base bordo CD'!L$2:L$875,"CORTE DE CANA MECANIZADO"),0)</f>
        <v>97141.5</v>
      </c>
      <c r="R687" s="10">
        <f>IFERROR(SUMIFS('Base bordo CD'!Q$2:Q$875,'Base bordo CD'!D$2:D$875,A687,'Base bordo CD'!A$2:A$875,B687,'Base bordo CD'!L$2:L$875,"CORTE DE CANA MECANIZADO"),0)</f>
        <v>23621</v>
      </c>
      <c r="S687" s="30">
        <f t="shared" si="56"/>
        <v>4.1125058210914016</v>
      </c>
      <c r="T687" s="9">
        <f t="shared" si="57"/>
        <v>0.27340277777777777</v>
      </c>
      <c r="U687" s="9">
        <f t="shared" si="58"/>
        <v>0.15003472222222222</v>
      </c>
      <c r="V687" s="9">
        <f t="shared" si="59"/>
        <v>0.70234953703703695</v>
      </c>
    </row>
    <row r="688" spans="1:22" hidden="1" x14ac:dyDescent="0.35">
      <c r="A688" s="52">
        <v>49588</v>
      </c>
      <c r="B688" s="31">
        <v>46118</v>
      </c>
      <c r="C688" s="7" t="s">
        <v>364</v>
      </c>
      <c r="D688" s="7">
        <v>352</v>
      </c>
      <c r="E688" s="10">
        <f>IFERROR(SUMIFS('Base bordo CD'!M$2:M$875,'Base bordo CD'!D$2:D$875,A688,'Base bordo CD'!A$2:A$875,B688,'Base bordo CD'!L$2:L$875,"CORTE DE CANA MECANIZADO"),0)</f>
        <v>6.5616666666666674</v>
      </c>
      <c r="F688" s="10">
        <f>IFERROR(SUMIFS('Base bordo CD'!M$2:M$875,'Base bordo CD'!D$2:D$875,A688,'Base bordo CD'!A$2:A$875,B688,'Base bordo CD'!L$2:L$875,"MANOBRA"),0)</f>
        <v>3.6008333333333336</v>
      </c>
      <c r="G688" s="10">
        <f>IFERROR(SUMIFS('Base bordo CD'!M$2:M$875,'Base bordo CD'!D$2:D$875,A688,'Base bordo CD'!A$2:A$875,B688,'Base bordo CD'!L$2:L$875,"DESLOCAMENTO"),0)</f>
        <v>0.58194444444444449</v>
      </c>
      <c r="H688" s="10">
        <f>IFERROR(SUMIFS('Base bordo CD'!M$2:M$875,'Base bordo CD'!D$2:D$875,A688,'Base bordo CD'!A$2:A$875,B688,'Base bordo CD'!L$2:L$875,"AGUARDANDO MANOBRA DE TRANSBORDO"),0)+IFERROR(SUMIFS('Base bordo CD'!M$2:M$875,'Base bordo CD'!D$2:D$875,A688,'Base bordo CD'!A$2:A$875,B688,'Base bordo CD'!L$2:L$875,"FALTA DE TRANSBORDO"),0)</f>
        <v>0.11</v>
      </c>
      <c r="I688" s="10">
        <f>IFERROR(SUMIFS('Base bordo CD'!M$2:M$875,'Base bordo CD'!D$2:D$875,A688,'Base bordo CD'!A$2:A$875,B688,'Base bordo CD'!L$2:L$875,"PARADA POR CONDICOES CLIMATICAS"),0)+IFERROR(SUMIFS('Base bordo CD'!M$2:M$875,'Base bordo CD'!D$2:D$875,A688,'Base bordo CD'!A$2:A$875,B688,'Base bordo CD'!L$2:L$875,"TEMPO INDETERMINADO"),0)</f>
        <v>6.7058333333333326</v>
      </c>
      <c r="J688" s="10">
        <f>IFERROR(SUMIFS('Base bordo CD'!M$2:M$875,'Base bordo CD'!D$2:D$875,A688,'Base bordo CD'!A$2:A$875,B688,'Base bordo CD'!L$2:L$875,"LIMITAÇÃO INDÚSTRIA"),0)</f>
        <v>2.276388888888889</v>
      </c>
      <c r="K688" s="10">
        <f>IFERROR(SUMIFS('Base bordo CD'!M$2:M$875,'Base bordo CD'!D$2:D$875,A688,'Base bordo CD'!A$2:A$875,B688,'Base bordo CD'!L$2:L$875,"MAN CORRETIVA*"),0)+IFERROR(SUMIFS('Base bordo CD'!M$2:M$875,'Base bordo CD'!D$2:D$875,A688,'Base bordo CD'!A$2:A$875,B688,'Base bordo CD'!L$2:L$875,"AGUARDANDO MANUTENCAO*"),0)+IFERROR(SUMIFS('Base bordo CD'!M$2:M$875,'Base bordo CD'!D$2:D$875,A688,'Base bordo CD'!A$2:A$875,B688,'Base bordo CD'!L$2:L$875,"TROCA DE FAQUINHA"),0)+IFERROR(SUMIFS('Base bordo CD'!M$2:M$875,'Base bordo CD'!D$2:D$875,A688,'Base bordo CD'!A$2:A$875,B688,'Base bordo CD'!L$2:L$875,"LIMPEZA*"),0)</f>
        <v>1.8849999999999998</v>
      </c>
      <c r="L688" s="10">
        <f>IFERROR(SUMIFS('Base bordo CD'!M$2:M$875,'Base bordo CD'!D$2:D$875,A688,'Base bordo CD'!A$2:A$875,B688,'Base bordo CD'!L$2:L$875,"PATIO - RESERVA"),0)</f>
        <v>0.31472222222222224</v>
      </c>
      <c r="M688" s="10">
        <f>IFERROR(SUMIFS('Base bordo CD'!M$2:M$875,'Base bordo CD'!D$2:D$875,A688,'Base bordo CD'!A$2:A$875,B688,'Base bordo CD'!L$2:L$875,"SEM APONTAMENTO"),0)</f>
        <v>0.13333333333333333</v>
      </c>
      <c r="N688" s="10">
        <f>IFERROR(SUMIFS('Base bordo CD'!M$2:M$875,'Base bordo CD'!D$2:D$875,A688,'Base bordo CD'!A$2:A$875,B688,'Base bordo CD'!L$2:L$875,"FALTA DE CAMINHÃO"),0)+IFERROR(SUMIFS('Base bordo CD'!M$2:M$875,'Base bordo CD'!D$2:D$875,A688,'Base bordo CD'!A$2:A$875,B688,'Base bordo CD'!L$2:L$875,"FALTA DE COMBUSTIVEL"),0)+IFERROR(SUMIFS('Base bordo CD'!M$2:M$875,'Base bordo CD'!D$2:D$875,A688,'Base bordo CD'!A$2:A$875,B688,'Base bordo CD'!L$2:L$875,"FALTA DE MOTORIST*"),0)</f>
        <v>1.5150000000000001</v>
      </c>
      <c r="O688" s="10">
        <f t="shared" si="55"/>
        <v>0.31527777777778354</v>
      </c>
      <c r="P688" s="10">
        <f>IFERROR(SUMIFS('Base bordo CD'!M$2:M$875,'Base bordo CD'!D$2:D$875,A688,'Base bordo CD'!A$2:A$875,B688),0)</f>
        <v>24.000000000000004</v>
      </c>
      <c r="Q688" s="10">
        <f>IFERROR(SUMIFS('Base bordo CD'!O$2:O$875,'Base bordo CD'!D$2:D$875,A688,'Base bordo CD'!A$2:A$875,B688,'Base bordo CD'!L$2:L$875,"CORTE DE CANA MECANIZADO"),0)</f>
        <v>97141.5</v>
      </c>
      <c r="R688" s="10">
        <f>IFERROR(SUMIFS('Base bordo CD'!Q$2:Q$875,'Base bordo CD'!D$2:D$875,A688,'Base bordo CD'!A$2:A$875,B688,'Base bordo CD'!L$2:L$875,"CORTE DE CANA MECANIZADO"),0)</f>
        <v>23621</v>
      </c>
      <c r="S688" s="30">
        <f t="shared" si="56"/>
        <v>4.1125058210914016</v>
      </c>
      <c r="T688" s="9">
        <f t="shared" si="57"/>
        <v>0.27340277777777777</v>
      </c>
      <c r="U688" s="9">
        <f t="shared" si="58"/>
        <v>0.15003472222222222</v>
      </c>
      <c r="V688" s="9">
        <f t="shared" si="59"/>
        <v>0.70234953703703695</v>
      </c>
    </row>
    <row r="689" spans="1:22" hidden="1" x14ac:dyDescent="0.35">
      <c r="A689" s="52">
        <v>49588</v>
      </c>
      <c r="B689" s="31">
        <v>46118</v>
      </c>
      <c r="C689" s="7" t="s">
        <v>364</v>
      </c>
      <c r="D689" s="7">
        <v>352</v>
      </c>
      <c r="E689" s="10">
        <f>IFERROR(SUMIFS('Base bordo CD'!M$2:M$875,'Base bordo CD'!D$2:D$875,A689,'Base bordo CD'!A$2:A$875,B689,'Base bordo CD'!L$2:L$875,"CORTE DE CANA MECANIZADO"),0)</f>
        <v>6.5616666666666674</v>
      </c>
      <c r="F689" s="10">
        <f>IFERROR(SUMIFS('Base bordo CD'!M$2:M$875,'Base bordo CD'!D$2:D$875,A689,'Base bordo CD'!A$2:A$875,B689,'Base bordo CD'!L$2:L$875,"MANOBRA"),0)</f>
        <v>3.6008333333333336</v>
      </c>
      <c r="G689" s="10">
        <f>IFERROR(SUMIFS('Base bordo CD'!M$2:M$875,'Base bordo CD'!D$2:D$875,A689,'Base bordo CD'!A$2:A$875,B689,'Base bordo CD'!L$2:L$875,"DESLOCAMENTO"),0)</f>
        <v>0.58194444444444449</v>
      </c>
      <c r="H689" s="10">
        <f>IFERROR(SUMIFS('Base bordo CD'!M$2:M$875,'Base bordo CD'!D$2:D$875,A689,'Base bordo CD'!A$2:A$875,B689,'Base bordo CD'!L$2:L$875,"AGUARDANDO MANOBRA DE TRANSBORDO"),0)+IFERROR(SUMIFS('Base bordo CD'!M$2:M$875,'Base bordo CD'!D$2:D$875,A689,'Base bordo CD'!A$2:A$875,B689,'Base bordo CD'!L$2:L$875,"FALTA DE TRANSBORDO"),0)</f>
        <v>0.11</v>
      </c>
      <c r="I689" s="10">
        <f>IFERROR(SUMIFS('Base bordo CD'!M$2:M$875,'Base bordo CD'!D$2:D$875,A689,'Base bordo CD'!A$2:A$875,B689,'Base bordo CD'!L$2:L$875,"PARADA POR CONDICOES CLIMATICAS"),0)+IFERROR(SUMIFS('Base bordo CD'!M$2:M$875,'Base bordo CD'!D$2:D$875,A689,'Base bordo CD'!A$2:A$875,B689,'Base bordo CD'!L$2:L$875,"TEMPO INDETERMINADO"),0)</f>
        <v>6.7058333333333326</v>
      </c>
      <c r="J689" s="10">
        <f>IFERROR(SUMIFS('Base bordo CD'!M$2:M$875,'Base bordo CD'!D$2:D$875,A689,'Base bordo CD'!A$2:A$875,B689,'Base bordo CD'!L$2:L$875,"LIMITAÇÃO INDÚSTRIA"),0)</f>
        <v>2.276388888888889</v>
      </c>
      <c r="K689" s="10">
        <f>IFERROR(SUMIFS('Base bordo CD'!M$2:M$875,'Base bordo CD'!D$2:D$875,A689,'Base bordo CD'!A$2:A$875,B689,'Base bordo CD'!L$2:L$875,"MAN CORRETIVA*"),0)+IFERROR(SUMIFS('Base bordo CD'!M$2:M$875,'Base bordo CD'!D$2:D$875,A689,'Base bordo CD'!A$2:A$875,B689,'Base bordo CD'!L$2:L$875,"AGUARDANDO MANUTENCAO*"),0)+IFERROR(SUMIFS('Base bordo CD'!M$2:M$875,'Base bordo CD'!D$2:D$875,A689,'Base bordo CD'!A$2:A$875,B689,'Base bordo CD'!L$2:L$875,"TROCA DE FAQUINHA"),0)+IFERROR(SUMIFS('Base bordo CD'!M$2:M$875,'Base bordo CD'!D$2:D$875,A689,'Base bordo CD'!A$2:A$875,B689,'Base bordo CD'!L$2:L$875,"LIMPEZA*"),0)</f>
        <v>1.8849999999999998</v>
      </c>
      <c r="L689" s="10">
        <f>IFERROR(SUMIFS('Base bordo CD'!M$2:M$875,'Base bordo CD'!D$2:D$875,A689,'Base bordo CD'!A$2:A$875,B689,'Base bordo CD'!L$2:L$875,"PATIO - RESERVA"),0)</f>
        <v>0.31472222222222224</v>
      </c>
      <c r="M689" s="10">
        <f>IFERROR(SUMIFS('Base bordo CD'!M$2:M$875,'Base bordo CD'!D$2:D$875,A689,'Base bordo CD'!A$2:A$875,B689,'Base bordo CD'!L$2:L$875,"SEM APONTAMENTO"),0)</f>
        <v>0.13333333333333333</v>
      </c>
      <c r="N689" s="10">
        <f>IFERROR(SUMIFS('Base bordo CD'!M$2:M$875,'Base bordo CD'!D$2:D$875,A689,'Base bordo CD'!A$2:A$875,B689,'Base bordo CD'!L$2:L$875,"FALTA DE CAMINHÃO"),0)+IFERROR(SUMIFS('Base bordo CD'!M$2:M$875,'Base bordo CD'!D$2:D$875,A689,'Base bordo CD'!A$2:A$875,B689,'Base bordo CD'!L$2:L$875,"FALTA DE COMBUSTIVEL"),0)+IFERROR(SUMIFS('Base bordo CD'!M$2:M$875,'Base bordo CD'!D$2:D$875,A689,'Base bordo CD'!A$2:A$875,B689,'Base bordo CD'!L$2:L$875,"FALTA DE MOTORIST*"),0)</f>
        <v>1.5150000000000001</v>
      </c>
      <c r="O689" s="10">
        <f t="shared" si="55"/>
        <v>0.31527777777778354</v>
      </c>
      <c r="P689" s="10">
        <f>IFERROR(SUMIFS('Base bordo CD'!M$2:M$875,'Base bordo CD'!D$2:D$875,A689,'Base bordo CD'!A$2:A$875,B689),0)</f>
        <v>24.000000000000004</v>
      </c>
      <c r="Q689" s="10">
        <f>IFERROR(SUMIFS('Base bordo CD'!O$2:O$875,'Base bordo CD'!D$2:D$875,A689,'Base bordo CD'!A$2:A$875,B689,'Base bordo CD'!L$2:L$875,"CORTE DE CANA MECANIZADO"),0)</f>
        <v>97141.5</v>
      </c>
      <c r="R689" s="10">
        <f>IFERROR(SUMIFS('Base bordo CD'!Q$2:Q$875,'Base bordo CD'!D$2:D$875,A689,'Base bordo CD'!A$2:A$875,B689,'Base bordo CD'!L$2:L$875,"CORTE DE CANA MECANIZADO"),0)</f>
        <v>23621</v>
      </c>
      <c r="S689" s="30">
        <f t="shared" si="56"/>
        <v>4.1125058210914016</v>
      </c>
      <c r="T689" s="9">
        <f t="shared" si="57"/>
        <v>0.27340277777777777</v>
      </c>
      <c r="U689" s="9">
        <f t="shared" si="58"/>
        <v>0.15003472222222222</v>
      </c>
      <c r="V689" s="9">
        <f t="shared" si="59"/>
        <v>0.70234953703703695</v>
      </c>
    </row>
    <row r="690" spans="1:22" hidden="1" x14ac:dyDescent="0.35">
      <c r="A690" s="52">
        <v>49588</v>
      </c>
      <c r="B690" s="31">
        <v>46118</v>
      </c>
      <c r="C690" s="7" t="s">
        <v>364</v>
      </c>
      <c r="D690" s="7">
        <v>352</v>
      </c>
      <c r="E690" s="10">
        <f>IFERROR(SUMIFS('Base bordo CD'!M$2:M$875,'Base bordo CD'!D$2:D$875,A690,'Base bordo CD'!A$2:A$875,B690,'Base bordo CD'!L$2:L$875,"CORTE DE CANA MECANIZADO"),0)</f>
        <v>6.5616666666666674</v>
      </c>
      <c r="F690" s="10">
        <f>IFERROR(SUMIFS('Base bordo CD'!M$2:M$875,'Base bordo CD'!D$2:D$875,A690,'Base bordo CD'!A$2:A$875,B690,'Base bordo CD'!L$2:L$875,"MANOBRA"),0)</f>
        <v>3.6008333333333336</v>
      </c>
      <c r="G690" s="10">
        <f>IFERROR(SUMIFS('Base bordo CD'!M$2:M$875,'Base bordo CD'!D$2:D$875,A690,'Base bordo CD'!A$2:A$875,B690,'Base bordo CD'!L$2:L$875,"DESLOCAMENTO"),0)</f>
        <v>0.58194444444444449</v>
      </c>
      <c r="H690" s="10">
        <f>IFERROR(SUMIFS('Base bordo CD'!M$2:M$875,'Base bordo CD'!D$2:D$875,A690,'Base bordo CD'!A$2:A$875,B690,'Base bordo CD'!L$2:L$875,"AGUARDANDO MANOBRA DE TRANSBORDO"),0)+IFERROR(SUMIFS('Base bordo CD'!M$2:M$875,'Base bordo CD'!D$2:D$875,A690,'Base bordo CD'!A$2:A$875,B690,'Base bordo CD'!L$2:L$875,"FALTA DE TRANSBORDO"),0)</f>
        <v>0.11</v>
      </c>
      <c r="I690" s="10">
        <f>IFERROR(SUMIFS('Base bordo CD'!M$2:M$875,'Base bordo CD'!D$2:D$875,A690,'Base bordo CD'!A$2:A$875,B690,'Base bordo CD'!L$2:L$875,"PARADA POR CONDICOES CLIMATICAS"),0)+IFERROR(SUMIFS('Base bordo CD'!M$2:M$875,'Base bordo CD'!D$2:D$875,A690,'Base bordo CD'!A$2:A$875,B690,'Base bordo CD'!L$2:L$875,"TEMPO INDETERMINADO"),0)</f>
        <v>6.7058333333333326</v>
      </c>
      <c r="J690" s="10">
        <f>IFERROR(SUMIFS('Base bordo CD'!M$2:M$875,'Base bordo CD'!D$2:D$875,A690,'Base bordo CD'!A$2:A$875,B690,'Base bordo CD'!L$2:L$875,"LIMITAÇÃO INDÚSTRIA"),0)</f>
        <v>2.276388888888889</v>
      </c>
      <c r="K690" s="10">
        <f>IFERROR(SUMIFS('Base bordo CD'!M$2:M$875,'Base bordo CD'!D$2:D$875,A690,'Base bordo CD'!A$2:A$875,B690,'Base bordo CD'!L$2:L$875,"MAN CORRETIVA*"),0)+IFERROR(SUMIFS('Base bordo CD'!M$2:M$875,'Base bordo CD'!D$2:D$875,A690,'Base bordo CD'!A$2:A$875,B690,'Base bordo CD'!L$2:L$875,"AGUARDANDO MANUTENCAO*"),0)+IFERROR(SUMIFS('Base bordo CD'!M$2:M$875,'Base bordo CD'!D$2:D$875,A690,'Base bordo CD'!A$2:A$875,B690,'Base bordo CD'!L$2:L$875,"TROCA DE FAQUINHA"),0)+IFERROR(SUMIFS('Base bordo CD'!M$2:M$875,'Base bordo CD'!D$2:D$875,A690,'Base bordo CD'!A$2:A$875,B690,'Base bordo CD'!L$2:L$875,"LIMPEZA*"),0)</f>
        <v>1.8849999999999998</v>
      </c>
      <c r="L690" s="10">
        <f>IFERROR(SUMIFS('Base bordo CD'!M$2:M$875,'Base bordo CD'!D$2:D$875,A690,'Base bordo CD'!A$2:A$875,B690,'Base bordo CD'!L$2:L$875,"PATIO - RESERVA"),0)</f>
        <v>0.31472222222222224</v>
      </c>
      <c r="M690" s="10">
        <f>IFERROR(SUMIFS('Base bordo CD'!M$2:M$875,'Base bordo CD'!D$2:D$875,A690,'Base bordo CD'!A$2:A$875,B690,'Base bordo CD'!L$2:L$875,"SEM APONTAMENTO"),0)</f>
        <v>0.13333333333333333</v>
      </c>
      <c r="N690" s="10">
        <f>IFERROR(SUMIFS('Base bordo CD'!M$2:M$875,'Base bordo CD'!D$2:D$875,A690,'Base bordo CD'!A$2:A$875,B690,'Base bordo CD'!L$2:L$875,"FALTA DE CAMINHÃO"),0)+IFERROR(SUMIFS('Base bordo CD'!M$2:M$875,'Base bordo CD'!D$2:D$875,A690,'Base bordo CD'!A$2:A$875,B690,'Base bordo CD'!L$2:L$875,"FALTA DE COMBUSTIVEL"),0)+IFERROR(SUMIFS('Base bordo CD'!M$2:M$875,'Base bordo CD'!D$2:D$875,A690,'Base bordo CD'!A$2:A$875,B690,'Base bordo CD'!L$2:L$875,"FALTA DE MOTORIST*"),0)</f>
        <v>1.5150000000000001</v>
      </c>
      <c r="O690" s="10">
        <f t="shared" si="55"/>
        <v>0.31527777777778354</v>
      </c>
      <c r="P690" s="10">
        <f>IFERROR(SUMIFS('Base bordo CD'!M$2:M$875,'Base bordo CD'!D$2:D$875,A690,'Base bordo CD'!A$2:A$875,B690),0)</f>
        <v>24.000000000000004</v>
      </c>
      <c r="Q690" s="10">
        <f>IFERROR(SUMIFS('Base bordo CD'!O$2:O$875,'Base bordo CD'!D$2:D$875,A690,'Base bordo CD'!A$2:A$875,B690,'Base bordo CD'!L$2:L$875,"CORTE DE CANA MECANIZADO"),0)</f>
        <v>97141.5</v>
      </c>
      <c r="R690" s="10">
        <f>IFERROR(SUMIFS('Base bordo CD'!Q$2:Q$875,'Base bordo CD'!D$2:D$875,A690,'Base bordo CD'!A$2:A$875,B690,'Base bordo CD'!L$2:L$875,"CORTE DE CANA MECANIZADO"),0)</f>
        <v>23621</v>
      </c>
      <c r="S690" s="30">
        <f t="shared" si="56"/>
        <v>4.1125058210914016</v>
      </c>
      <c r="T690" s="9">
        <f t="shared" si="57"/>
        <v>0.27340277777777777</v>
      </c>
      <c r="U690" s="9">
        <f t="shared" si="58"/>
        <v>0.15003472222222222</v>
      </c>
      <c r="V690" s="9">
        <f t="shared" si="59"/>
        <v>0.70234953703703695</v>
      </c>
    </row>
    <row r="691" spans="1:22" hidden="1" x14ac:dyDescent="0.35">
      <c r="A691" s="52">
        <v>49588</v>
      </c>
      <c r="B691" s="31">
        <v>46118</v>
      </c>
      <c r="C691" s="7" t="s">
        <v>364</v>
      </c>
      <c r="D691" s="7">
        <v>352</v>
      </c>
      <c r="E691" s="10">
        <f>IFERROR(SUMIFS('Base bordo CD'!M$2:M$875,'Base bordo CD'!D$2:D$875,A691,'Base bordo CD'!A$2:A$875,B691,'Base bordo CD'!L$2:L$875,"CORTE DE CANA MECANIZADO"),0)</f>
        <v>6.5616666666666674</v>
      </c>
      <c r="F691" s="10">
        <f>IFERROR(SUMIFS('Base bordo CD'!M$2:M$875,'Base bordo CD'!D$2:D$875,A691,'Base bordo CD'!A$2:A$875,B691,'Base bordo CD'!L$2:L$875,"MANOBRA"),0)</f>
        <v>3.6008333333333336</v>
      </c>
      <c r="G691" s="10">
        <f>IFERROR(SUMIFS('Base bordo CD'!M$2:M$875,'Base bordo CD'!D$2:D$875,A691,'Base bordo CD'!A$2:A$875,B691,'Base bordo CD'!L$2:L$875,"DESLOCAMENTO"),0)</f>
        <v>0.58194444444444449</v>
      </c>
      <c r="H691" s="10">
        <f>IFERROR(SUMIFS('Base bordo CD'!M$2:M$875,'Base bordo CD'!D$2:D$875,A691,'Base bordo CD'!A$2:A$875,B691,'Base bordo CD'!L$2:L$875,"AGUARDANDO MANOBRA DE TRANSBORDO"),0)+IFERROR(SUMIFS('Base bordo CD'!M$2:M$875,'Base bordo CD'!D$2:D$875,A691,'Base bordo CD'!A$2:A$875,B691,'Base bordo CD'!L$2:L$875,"FALTA DE TRANSBORDO"),0)</f>
        <v>0.11</v>
      </c>
      <c r="I691" s="10">
        <f>IFERROR(SUMIFS('Base bordo CD'!M$2:M$875,'Base bordo CD'!D$2:D$875,A691,'Base bordo CD'!A$2:A$875,B691,'Base bordo CD'!L$2:L$875,"PARADA POR CONDICOES CLIMATICAS"),0)+IFERROR(SUMIFS('Base bordo CD'!M$2:M$875,'Base bordo CD'!D$2:D$875,A691,'Base bordo CD'!A$2:A$875,B691,'Base bordo CD'!L$2:L$875,"TEMPO INDETERMINADO"),0)</f>
        <v>6.7058333333333326</v>
      </c>
      <c r="J691" s="10">
        <f>IFERROR(SUMIFS('Base bordo CD'!M$2:M$875,'Base bordo CD'!D$2:D$875,A691,'Base bordo CD'!A$2:A$875,B691,'Base bordo CD'!L$2:L$875,"LIMITAÇÃO INDÚSTRIA"),0)</f>
        <v>2.276388888888889</v>
      </c>
      <c r="K691" s="10">
        <f>IFERROR(SUMIFS('Base bordo CD'!M$2:M$875,'Base bordo CD'!D$2:D$875,A691,'Base bordo CD'!A$2:A$875,B691,'Base bordo CD'!L$2:L$875,"MAN CORRETIVA*"),0)+IFERROR(SUMIFS('Base bordo CD'!M$2:M$875,'Base bordo CD'!D$2:D$875,A691,'Base bordo CD'!A$2:A$875,B691,'Base bordo CD'!L$2:L$875,"AGUARDANDO MANUTENCAO*"),0)+IFERROR(SUMIFS('Base bordo CD'!M$2:M$875,'Base bordo CD'!D$2:D$875,A691,'Base bordo CD'!A$2:A$875,B691,'Base bordo CD'!L$2:L$875,"TROCA DE FAQUINHA"),0)+IFERROR(SUMIFS('Base bordo CD'!M$2:M$875,'Base bordo CD'!D$2:D$875,A691,'Base bordo CD'!A$2:A$875,B691,'Base bordo CD'!L$2:L$875,"LIMPEZA*"),0)</f>
        <v>1.8849999999999998</v>
      </c>
      <c r="L691" s="10">
        <f>IFERROR(SUMIFS('Base bordo CD'!M$2:M$875,'Base bordo CD'!D$2:D$875,A691,'Base bordo CD'!A$2:A$875,B691,'Base bordo CD'!L$2:L$875,"PATIO - RESERVA"),0)</f>
        <v>0.31472222222222224</v>
      </c>
      <c r="M691" s="10">
        <f>IFERROR(SUMIFS('Base bordo CD'!M$2:M$875,'Base bordo CD'!D$2:D$875,A691,'Base bordo CD'!A$2:A$875,B691,'Base bordo CD'!L$2:L$875,"SEM APONTAMENTO"),0)</f>
        <v>0.13333333333333333</v>
      </c>
      <c r="N691" s="10">
        <f>IFERROR(SUMIFS('Base bordo CD'!M$2:M$875,'Base bordo CD'!D$2:D$875,A691,'Base bordo CD'!A$2:A$875,B691,'Base bordo CD'!L$2:L$875,"FALTA DE CAMINHÃO"),0)+IFERROR(SUMIFS('Base bordo CD'!M$2:M$875,'Base bordo CD'!D$2:D$875,A691,'Base bordo CD'!A$2:A$875,B691,'Base bordo CD'!L$2:L$875,"FALTA DE COMBUSTIVEL"),0)+IFERROR(SUMIFS('Base bordo CD'!M$2:M$875,'Base bordo CD'!D$2:D$875,A691,'Base bordo CD'!A$2:A$875,B691,'Base bordo CD'!L$2:L$875,"FALTA DE MOTORIST*"),0)</f>
        <v>1.5150000000000001</v>
      </c>
      <c r="O691" s="10">
        <f t="shared" si="55"/>
        <v>0.31527777777778354</v>
      </c>
      <c r="P691" s="10">
        <f>IFERROR(SUMIFS('Base bordo CD'!M$2:M$875,'Base bordo CD'!D$2:D$875,A691,'Base bordo CD'!A$2:A$875,B691),0)</f>
        <v>24.000000000000004</v>
      </c>
      <c r="Q691" s="10">
        <f>IFERROR(SUMIFS('Base bordo CD'!O$2:O$875,'Base bordo CD'!D$2:D$875,A691,'Base bordo CD'!A$2:A$875,B691,'Base bordo CD'!L$2:L$875,"CORTE DE CANA MECANIZADO"),0)</f>
        <v>97141.5</v>
      </c>
      <c r="R691" s="10">
        <f>IFERROR(SUMIFS('Base bordo CD'!Q$2:Q$875,'Base bordo CD'!D$2:D$875,A691,'Base bordo CD'!A$2:A$875,B691,'Base bordo CD'!L$2:L$875,"CORTE DE CANA MECANIZADO"),0)</f>
        <v>23621</v>
      </c>
      <c r="S691" s="30">
        <f t="shared" si="56"/>
        <v>4.1125058210914016</v>
      </c>
      <c r="T691" s="9">
        <f t="shared" si="57"/>
        <v>0.27340277777777777</v>
      </c>
      <c r="U691" s="9">
        <f t="shared" si="58"/>
        <v>0.15003472222222222</v>
      </c>
      <c r="V691" s="9">
        <f t="shared" si="59"/>
        <v>0.70234953703703695</v>
      </c>
    </row>
    <row r="692" spans="1:22" hidden="1" x14ac:dyDescent="0.35">
      <c r="A692" s="52">
        <v>49588</v>
      </c>
      <c r="B692" s="31">
        <v>46118</v>
      </c>
      <c r="C692" s="7" t="s">
        <v>364</v>
      </c>
      <c r="D692" s="7">
        <v>352</v>
      </c>
      <c r="E692" s="10">
        <f>IFERROR(SUMIFS('Base bordo CD'!M$2:M$875,'Base bordo CD'!D$2:D$875,A692,'Base bordo CD'!A$2:A$875,B692,'Base bordo CD'!L$2:L$875,"CORTE DE CANA MECANIZADO"),0)</f>
        <v>6.5616666666666674</v>
      </c>
      <c r="F692" s="10">
        <f>IFERROR(SUMIFS('Base bordo CD'!M$2:M$875,'Base bordo CD'!D$2:D$875,A692,'Base bordo CD'!A$2:A$875,B692,'Base bordo CD'!L$2:L$875,"MANOBRA"),0)</f>
        <v>3.6008333333333336</v>
      </c>
      <c r="G692" s="10">
        <f>IFERROR(SUMIFS('Base bordo CD'!M$2:M$875,'Base bordo CD'!D$2:D$875,A692,'Base bordo CD'!A$2:A$875,B692,'Base bordo CD'!L$2:L$875,"DESLOCAMENTO"),0)</f>
        <v>0.58194444444444449</v>
      </c>
      <c r="H692" s="10">
        <f>IFERROR(SUMIFS('Base bordo CD'!M$2:M$875,'Base bordo CD'!D$2:D$875,A692,'Base bordo CD'!A$2:A$875,B692,'Base bordo CD'!L$2:L$875,"AGUARDANDO MANOBRA DE TRANSBORDO"),0)+IFERROR(SUMIFS('Base bordo CD'!M$2:M$875,'Base bordo CD'!D$2:D$875,A692,'Base bordo CD'!A$2:A$875,B692,'Base bordo CD'!L$2:L$875,"FALTA DE TRANSBORDO"),0)</f>
        <v>0.11</v>
      </c>
      <c r="I692" s="10">
        <f>IFERROR(SUMIFS('Base bordo CD'!M$2:M$875,'Base bordo CD'!D$2:D$875,A692,'Base bordo CD'!A$2:A$875,B692,'Base bordo CD'!L$2:L$875,"PARADA POR CONDICOES CLIMATICAS"),0)+IFERROR(SUMIFS('Base bordo CD'!M$2:M$875,'Base bordo CD'!D$2:D$875,A692,'Base bordo CD'!A$2:A$875,B692,'Base bordo CD'!L$2:L$875,"TEMPO INDETERMINADO"),0)</f>
        <v>6.7058333333333326</v>
      </c>
      <c r="J692" s="10">
        <f>IFERROR(SUMIFS('Base bordo CD'!M$2:M$875,'Base bordo CD'!D$2:D$875,A692,'Base bordo CD'!A$2:A$875,B692,'Base bordo CD'!L$2:L$875,"LIMITAÇÃO INDÚSTRIA"),0)</f>
        <v>2.276388888888889</v>
      </c>
      <c r="K692" s="10">
        <f>IFERROR(SUMIFS('Base bordo CD'!M$2:M$875,'Base bordo CD'!D$2:D$875,A692,'Base bordo CD'!A$2:A$875,B692,'Base bordo CD'!L$2:L$875,"MAN CORRETIVA*"),0)+IFERROR(SUMIFS('Base bordo CD'!M$2:M$875,'Base bordo CD'!D$2:D$875,A692,'Base bordo CD'!A$2:A$875,B692,'Base bordo CD'!L$2:L$875,"AGUARDANDO MANUTENCAO*"),0)+IFERROR(SUMIFS('Base bordo CD'!M$2:M$875,'Base bordo CD'!D$2:D$875,A692,'Base bordo CD'!A$2:A$875,B692,'Base bordo CD'!L$2:L$875,"TROCA DE FAQUINHA"),0)+IFERROR(SUMIFS('Base bordo CD'!M$2:M$875,'Base bordo CD'!D$2:D$875,A692,'Base bordo CD'!A$2:A$875,B692,'Base bordo CD'!L$2:L$875,"LIMPEZA*"),0)</f>
        <v>1.8849999999999998</v>
      </c>
      <c r="L692" s="10">
        <f>IFERROR(SUMIFS('Base bordo CD'!M$2:M$875,'Base bordo CD'!D$2:D$875,A692,'Base bordo CD'!A$2:A$875,B692,'Base bordo CD'!L$2:L$875,"PATIO - RESERVA"),0)</f>
        <v>0.31472222222222224</v>
      </c>
      <c r="M692" s="10">
        <f>IFERROR(SUMIFS('Base bordo CD'!M$2:M$875,'Base bordo CD'!D$2:D$875,A692,'Base bordo CD'!A$2:A$875,B692,'Base bordo CD'!L$2:L$875,"SEM APONTAMENTO"),0)</f>
        <v>0.13333333333333333</v>
      </c>
      <c r="N692" s="10">
        <f>IFERROR(SUMIFS('Base bordo CD'!M$2:M$875,'Base bordo CD'!D$2:D$875,A692,'Base bordo CD'!A$2:A$875,B692,'Base bordo CD'!L$2:L$875,"FALTA DE CAMINHÃO"),0)+IFERROR(SUMIFS('Base bordo CD'!M$2:M$875,'Base bordo CD'!D$2:D$875,A692,'Base bordo CD'!A$2:A$875,B692,'Base bordo CD'!L$2:L$875,"FALTA DE COMBUSTIVEL"),0)+IFERROR(SUMIFS('Base bordo CD'!M$2:M$875,'Base bordo CD'!D$2:D$875,A692,'Base bordo CD'!A$2:A$875,B692,'Base bordo CD'!L$2:L$875,"FALTA DE MOTORIST*"),0)</f>
        <v>1.5150000000000001</v>
      </c>
      <c r="O692" s="10">
        <f t="shared" si="55"/>
        <v>0.31527777777778354</v>
      </c>
      <c r="P692" s="10">
        <f>IFERROR(SUMIFS('Base bordo CD'!M$2:M$875,'Base bordo CD'!D$2:D$875,A692,'Base bordo CD'!A$2:A$875,B692),0)</f>
        <v>24.000000000000004</v>
      </c>
      <c r="Q692" s="10">
        <f>IFERROR(SUMIFS('Base bordo CD'!O$2:O$875,'Base bordo CD'!D$2:D$875,A692,'Base bordo CD'!A$2:A$875,B692,'Base bordo CD'!L$2:L$875,"CORTE DE CANA MECANIZADO"),0)</f>
        <v>97141.5</v>
      </c>
      <c r="R692" s="10">
        <f>IFERROR(SUMIFS('Base bordo CD'!Q$2:Q$875,'Base bordo CD'!D$2:D$875,A692,'Base bordo CD'!A$2:A$875,B692,'Base bordo CD'!L$2:L$875,"CORTE DE CANA MECANIZADO"),0)</f>
        <v>23621</v>
      </c>
      <c r="S692" s="30">
        <f t="shared" si="56"/>
        <v>4.1125058210914016</v>
      </c>
      <c r="T692" s="9">
        <f t="shared" si="57"/>
        <v>0.27340277777777777</v>
      </c>
      <c r="U692" s="9">
        <f t="shared" si="58"/>
        <v>0.15003472222222222</v>
      </c>
      <c r="V692" s="9">
        <f t="shared" si="59"/>
        <v>0.70234953703703695</v>
      </c>
    </row>
    <row r="693" spans="1:22" hidden="1" x14ac:dyDescent="0.35">
      <c r="A693" s="52">
        <v>49588</v>
      </c>
      <c r="B693" s="31">
        <v>46118</v>
      </c>
      <c r="C693" s="7" t="s">
        <v>364</v>
      </c>
      <c r="D693" s="7">
        <v>352</v>
      </c>
      <c r="E693" s="10">
        <f>IFERROR(SUMIFS('Base bordo CD'!M$2:M$875,'Base bordo CD'!D$2:D$875,A693,'Base bordo CD'!A$2:A$875,B693,'Base bordo CD'!L$2:L$875,"CORTE DE CANA MECANIZADO"),0)</f>
        <v>6.5616666666666674</v>
      </c>
      <c r="F693" s="10">
        <f>IFERROR(SUMIFS('Base bordo CD'!M$2:M$875,'Base bordo CD'!D$2:D$875,A693,'Base bordo CD'!A$2:A$875,B693,'Base bordo CD'!L$2:L$875,"MANOBRA"),0)</f>
        <v>3.6008333333333336</v>
      </c>
      <c r="G693" s="10">
        <f>IFERROR(SUMIFS('Base bordo CD'!M$2:M$875,'Base bordo CD'!D$2:D$875,A693,'Base bordo CD'!A$2:A$875,B693,'Base bordo CD'!L$2:L$875,"DESLOCAMENTO"),0)</f>
        <v>0.58194444444444449</v>
      </c>
      <c r="H693" s="10">
        <f>IFERROR(SUMIFS('Base bordo CD'!M$2:M$875,'Base bordo CD'!D$2:D$875,A693,'Base bordo CD'!A$2:A$875,B693,'Base bordo CD'!L$2:L$875,"AGUARDANDO MANOBRA DE TRANSBORDO"),0)+IFERROR(SUMIFS('Base bordo CD'!M$2:M$875,'Base bordo CD'!D$2:D$875,A693,'Base bordo CD'!A$2:A$875,B693,'Base bordo CD'!L$2:L$875,"FALTA DE TRANSBORDO"),0)</f>
        <v>0.11</v>
      </c>
      <c r="I693" s="10">
        <f>IFERROR(SUMIFS('Base bordo CD'!M$2:M$875,'Base bordo CD'!D$2:D$875,A693,'Base bordo CD'!A$2:A$875,B693,'Base bordo CD'!L$2:L$875,"PARADA POR CONDICOES CLIMATICAS"),0)+IFERROR(SUMIFS('Base bordo CD'!M$2:M$875,'Base bordo CD'!D$2:D$875,A693,'Base bordo CD'!A$2:A$875,B693,'Base bordo CD'!L$2:L$875,"TEMPO INDETERMINADO"),0)</f>
        <v>6.7058333333333326</v>
      </c>
      <c r="J693" s="10">
        <f>IFERROR(SUMIFS('Base bordo CD'!M$2:M$875,'Base bordo CD'!D$2:D$875,A693,'Base bordo CD'!A$2:A$875,B693,'Base bordo CD'!L$2:L$875,"LIMITAÇÃO INDÚSTRIA"),0)</f>
        <v>2.276388888888889</v>
      </c>
      <c r="K693" s="10">
        <f>IFERROR(SUMIFS('Base bordo CD'!M$2:M$875,'Base bordo CD'!D$2:D$875,A693,'Base bordo CD'!A$2:A$875,B693,'Base bordo CD'!L$2:L$875,"MAN CORRETIVA*"),0)+IFERROR(SUMIFS('Base bordo CD'!M$2:M$875,'Base bordo CD'!D$2:D$875,A693,'Base bordo CD'!A$2:A$875,B693,'Base bordo CD'!L$2:L$875,"AGUARDANDO MANUTENCAO*"),0)+IFERROR(SUMIFS('Base bordo CD'!M$2:M$875,'Base bordo CD'!D$2:D$875,A693,'Base bordo CD'!A$2:A$875,B693,'Base bordo CD'!L$2:L$875,"TROCA DE FAQUINHA"),0)+IFERROR(SUMIFS('Base bordo CD'!M$2:M$875,'Base bordo CD'!D$2:D$875,A693,'Base bordo CD'!A$2:A$875,B693,'Base bordo CD'!L$2:L$875,"LIMPEZA*"),0)</f>
        <v>1.8849999999999998</v>
      </c>
      <c r="L693" s="10">
        <f>IFERROR(SUMIFS('Base bordo CD'!M$2:M$875,'Base bordo CD'!D$2:D$875,A693,'Base bordo CD'!A$2:A$875,B693,'Base bordo CD'!L$2:L$875,"PATIO - RESERVA"),0)</f>
        <v>0.31472222222222224</v>
      </c>
      <c r="M693" s="10">
        <f>IFERROR(SUMIFS('Base bordo CD'!M$2:M$875,'Base bordo CD'!D$2:D$875,A693,'Base bordo CD'!A$2:A$875,B693,'Base bordo CD'!L$2:L$875,"SEM APONTAMENTO"),0)</f>
        <v>0.13333333333333333</v>
      </c>
      <c r="N693" s="10">
        <f>IFERROR(SUMIFS('Base bordo CD'!M$2:M$875,'Base bordo CD'!D$2:D$875,A693,'Base bordo CD'!A$2:A$875,B693,'Base bordo CD'!L$2:L$875,"FALTA DE CAMINHÃO"),0)+IFERROR(SUMIFS('Base bordo CD'!M$2:M$875,'Base bordo CD'!D$2:D$875,A693,'Base bordo CD'!A$2:A$875,B693,'Base bordo CD'!L$2:L$875,"FALTA DE COMBUSTIVEL"),0)+IFERROR(SUMIFS('Base bordo CD'!M$2:M$875,'Base bordo CD'!D$2:D$875,A693,'Base bordo CD'!A$2:A$875,B693,'Base bordo CD'!L$2:L$875,"FALTA DE MOTORIST*"),0)</f>
        <v>1.5150000000000001</v>
      </c>
      <c r="O693" s="10">
        <f t="shared" si="55"/>
        <v>0.31527777777778354</v>
      </c>
      <c r="P693" s="10">
        <f>IFERROR(SUMIFS('Base bordo CD'!M$2:M$875,'Base bordo CD'!D$2:D$875,A693,'Base bordo CD'!A$2:A$875,B693),0)</f>
        <v>24.000000000000004</v>
      </c>
      <c r="Q693" s="10">
        <f>IFERROR(SUMIFS('Base bordo CD'!O$2:O$875,'Base bordo CD'!D$2:D$875,A693,'Base bordo CD'!A$2:A$875,B693,'Base bordo CD'!L$2:L$875,"CORTE DE CANA MECANIZADO"),0)</f>
        <v>97141.5</v>
      </c>
      <c r="R693" s="10">
        <f>IFERROR(SUMIFS('Base bordo CD'!Q$2:Q$875,'Base bordo CD'!D$2:D$875,A693,'Base bordo CD'!A$2:A$875,B693,'Base bordo CD'!L$2:L$875,"CORTE DE CANA MECANIZADO"),0)</f>
        <v>23621</v>
      </c>
      <c r="S693" s="30">
        <f t="shared" si="56"/>
        <v>4.1125058210914016</v>
      </c>
      <c r="T693" s="9">
        <f t="shared" si="57"/>
        <v>0.27340277777777777</v>
      </c>
      <c r="U693" s="9">
        <f t="shared" si="58"/>
        <v>0.15003472222222222</v>
      </c>
      <c r="V693" s="9">
        <f t="shared" si="59"/>
        <v>0.70234953703703695</v>
      </c>
    </row>
    <row r="694" spans="1:22" hidden="1" x14ac:dyDescent="0.35">
      <c r="A694" s="52">
        <v>49588</v>
      </c>
      <c r="B694" s="31">
        <v>46118</v>
      </c>
      <c r="C694" s="7" t="s">
        <v>364</v>
      </c>
      <c r="D694" s="7">
        <v>352</v>
      </c>
      <c r="E694" s="10">
        <f>IFERROR(SUMIFS('Base bordo CD'!M$2:M$875,'Base bordo CD'!D$2:D$875,A694,'Base bordo CD'!A$2:A$875,B694,'Base bordo CD'!L$2:L$875,"CORTE DE CANA MECANIZADO"),0)</f>
        <v>6.5616666666666674</v>
      </c>
      <c r="F694" s="10">
        <f>IFERROR(SUMIFS('Base bordo CD'!M$2:M$875,'Base bordo CD'!D$2:D$875,A694,'Base bordo CD'!A$2:A$875,B694,'Base bordo CD'!L$2:L$875,"MANOBRA"),0)</f>
        <v>3.6008333333333336</v>
      </c>
      <c r="G694" s="10">
        <f>IFERROR(SUMIFS('Base bordo CD'!M$2:M$875,'Base bordo CD'!D$2:D$875,A694,'Base bordo CD'!A$2:A$875,B694,'Base bordo CD'!L$2:L$875,"DESLOCAMENTO"),0)</f>
        <v>0.58194444444444449</v>
      </c>
      <c r="H694" s="10">
        <f>IFERROR(SUMIFS('Base bordo CD'!M$2:M$875,'Base bordo CD'!D$2:D$875,A694,'Base bordo CD'!A$2:A$875,B694,'Base bordo CD'!L$2:L$875,"AGUARDANDO MANOBRA DE TRANSBORDO"),0)+IFERROR(SUMIFS('Base bordo CD'!M$2:M$875,'Base bordo CD'!D$2:D$875,A694,'Base bordo CD'!A$2:A$875,B694,'Base bordo CD'!L$2:L$875,"FALTA DE TRANSBORDO"),0)</f>
        <v>0.11</v>
      </c>
      <c r="I694" s="10">
        <f>IFERROR(SUMIFS('Base bordo CD'!M$2:M$875,'Base bordo CD'!D$2:D$875,A694,'Base bordo CD'!A$2:A$875,B694,'Base bordo CD'!L$2:L$875,"PARADA POR CONDICOES CLIMATICAS"),0)+IFERROR(SUMIFS('Base bordo CD'!M$2:M$875,'Base bordo CD'!D$2:D$875,A694,'Base bordo CD'!A$2:A$875,B694,'Base bordo CD'!L$2:L$875,"TEMPO INDETERMINADO"),0)</f>
        <v>6.7058333333333326</v>
      </c>
      <c r="J694" s="10">
        <f>IFERROR(SUMIFS('Base bordo CD'!M$2:M$875,'Base bordo CD'!D$2:D$875,A694,'Base bordo CD'!A$2:A$875,B694,'Base bordo CD'!L$2:L$875,"LIMITAÇÃO INDÚSTRIA"),0)</f>
        <v>2.276388888888889</v>
      </c>
      <c r="K694" s="10">
        <f>IFERROR(SUMIFS('Base bordo CD'!M$2:M$875,'Base bordo CD'!D$2:D$875,A694,'Base bordo CD'!A$2:A$875,B694,'Base bordo CD'!L$2:L$875,"MAN CORRETIVA*"),0)+IFERROR(SUMIFS('Base bordo CD'!M$2:M$875,'Base bordo CD'!D$2:D$875,A694,'Base bordo CD'!A$2:A$875,B694,'Base bordo CD'!L$2:L$875,"AGUARDANDO MANUTENCAO*"),0)+IFERROR(SUMIFS('Base bordo CD'!M$2:M$875,'Base bordo CD'!D$2:D$875,A694,'Base bordo CD'!A$2:A$875,B694,'Base bordo CD'!L$2:L$875,"TROCA DE FAQUINHA"),0)+IFERROR(SUMIFS('Base bordo CD'!M$2:M$875,'Base bordo CD'!D$2:D$875,A694,'Base bordo CD'!A$2:A$875,B694,'Base bordo CD'!L$2:L$875,"LIMPEZA*"),0)</f>
        <v>1.8849999999999998</v>
      </c>
      <c r="L694" s="10">
        <f>IFERROR(SUMIFS('Base bordo CD'!M$2:M$875,'Base bordo CD'!D$2:D$875,A694,'Base bordo CD'!A$2:A$875,B694,'Base bordo CD'!L$2:L$875,"PATIO - RESERVA"),0)</f>
        <v>0.31472222222222224</v>
      </c>
      <c r="M694" s="10">
        <f>IFERROR(SUMIFS('Base bordo CD'!M$2:M$875,'Base bordo CD'!D$2:D$875,A694,'Base bordo CD'!A$2:A$875,B694,'Base bordo CD'!L$2:L$875,"SEM APONTAMENTO"),0)</f>
        <v>0.13333333333333333</v>
      </c>
      <c r="N694" s="10">
        <f>IFERROR(SUMIFS('Base bordo CD'!M$2:M$875,'Base bordo CD'!D$2:D$875,A694,'Base bordo CD'!A$2:A$875,B694,'Base bordo CD'!L$2:L$875,"FALTA DE CAMINHÃO"),0)+IFERROR(SUMIFS('Base bordo CD'!M$2:M$875,'Base bordo CD'!D$2:D$875,A694,'Base bordo CD'!A$2:A$875,B694,'Base bordo CD'!L$2:L$875,"FALTA DE COMBUSTIVEL"),0)+IFERROR(SUMIFS('Base bordo CD'!M$2:M$875,'Base bordo CD'!D$2:D$875,A694,'Base bordo CD'!A$2:A$875,B694,'Base bordo CD'!L$2:L$875,"FALTA DE MOTORIST*"),0)</f>
        <v>1.5150000000000001</v>
      </c>
      <c r="O694" s="10">
        <f t="shared" si="55"/>
        <v>0.31527777777778354</v>
      </c>
      <c r="P694" s="10">
        <f>IFERROR(SUMIFS('Base bordo CD'!M$2:M$875,'Base bordo CD'!D$2:D$875,A694,'Base bordo CD'!A$2:A$875,B694),0)</f>
        <v>24.000000000000004</v>
      </c>
      <c r="Q694" s="10">
        <f>IFERROR(SUMIFS('Base bordo CD'!O$2:O$875,'Base bordo CD'!D$2:D$875,A694,'Base bordo CD'!A$2:A$875,B694,'Base bordo CD'!L$2:L$875,"CORTE DE CANA MECANIZADO"),0)</f>
        <v>97141.5</v>
      </c>
      <c r="R694" s="10">
        <f>IFERROR(SUMIFS('Base bordo CD'!Q$2:Q$875,'Base bordo CD'!D$2:D$875,A694,'Base bordo CD'!A$2:A$875,B694,'Base bordo CD'!L$2:L$875,"CORTE DE CANA MECANIZADO"),0)</f>
        <v>23621</v>
      </c>
      <c r="S694" s="30">
        <f t="shared" si="56"/>
        <v>4.1125058210914016</v>
      </c>
      <c r="T694" s="9">
        <f t="shared" si="57"/>
        <v>0.27340277777777777</v>
      </c>
      <c r="U694" s="9">
        <f t="shared" si="58"/>
        <v>0.15003472222222222</v>
      </c>
      <c r="V694" s="9">
        <f t="shared" si="59"/>
        <v>0.70234953703703695</v>
      </c>
    </row>
    <row r="695" spans="1:22" hidden="1" x14ac:dyDescent="0.35">
      <c r="A695" s="52">
        <v>49588</v>
      </c>
      <c r="B695" s="31">
        <v>46118</v>
      </c>
      <c r="C695" s="7" t="s">
        <v>364</v>
      </c>
      <c r="D695" s="7">
        <v>352</v>
      </c>
      <c r="E695" s="10">
        <f>IFERROR(SUMIFS('Base bordo CD'!M$2:M$875,'Base bordo CD'!D$2:D$875,A695,'Base bordo CD'!A$2:A$875,B695,'Base bordo CD'!L$2:L$875,"CORTE DE CANA MECANIZADO"),0)</f>
        <v>6.5616666666666674</v>
      </c>
      <c r="F695" s="10">
        <f>IFERROR(SUMIFS('Base bordo CD'!M$2:M$875,'Base bordo CD'!D$2:D$875,A695,'Base bordo CD'!A$2:A$875,B695,'Base bordo CD'!L$2:L$875,"MANOBRA"),0)</f>
        <v>3.6008333333333336</v>
      </c>
      <c r="G695" s="10">
        <f>IFERROR(SUMIFS('Base bordo CD'!M$2:M$875,'Base bordo CD'!D$2:D$875,A695,'Base bordo CD'!A$2:A$875,B695,'Base bordo CD'!L$2:L$875,"DESLOCAMENTO"),0)</f>
        <v>0.58194444444444449</v>
      </c>
      <c r="H695" s="10">
        <f>IFERROR(SUMIFS('Base bordo CD'!M$2:M$875,'Base bordo CD'!D$2:D$875,A695,'Base bordo CD'!A$2:A$875,B695,'Base bordo CD'!L$2:L$875,"AGUARDANDO MANOBRA DE TRANSBORDO"),0)+IFERROR(SUMIFS('Base bordo CD'!M$2:M$875,'Base bordo CD'!D$2:D$875,A695,'Base bordo CD'!A$2:A$875,B695,'Base bordo CD'!L$2:L$875,"FALTA DE TRANSBORDO"),0)</f>
        <v>0.11</v>
      </c>
      <c r="I695" s="10">
        <f>IFERROR(SUMIFS('Base bordo CD'!M$2:M$875,'Base bordo CD'!D$2:D$875,A695,'Base bordo CD'!A$2:A$875,B695,'Base bordo CD'!L$2:L$875,"PARADA POR CONDICOES CLIMATICAS"),0)+IFERROR(SUMIFS('Base bordo CD'!M$2:M$875,'Base bordo CD'!D$2:D$875,A695,'Base bordo CD'!A$2:A$875,B695,'Base bordo CD'!L$2:L$875,"TEMPO INDETERMINADO"),0)</f>
        <v>6.7058333333333326</v>
      </c>
      <c r="J695" s="10">
        <f>IFERROR(SUMIFS('Base bordo CD'!M$2:M$875,'Base bordo CD'!D$2:D$875,A695,'Base bordo CD'!A$2:A$875,B695,'Base bordo CD'!L$2:L$875,"LIMITAÇÃO INDÚSTRIA"),0)</f>
        <v>2.276388888888889</v>
      </c>
      <c r="K695" s="10">
        <f>IFERROR(SUMIFS('Base bordo CD'!M$2:M$875,'Base bordo CD'!D$2:D$875,A695,'Base bordo CD'!A$2:A$875,B695,'Base bordo CD'!L$2:L$875,"MAN CORRETIVA*"),0)+IFERROR(SUMIFS('Base bordo CD'!M$2:M$875,'Base bordo CD'!D$2:D$875,A695,'Base bordo CD'!A$2:A$875,B695,'Base bordo CD'!L$2:L$875,"AGUARDANDO MANUTENCAO*"),0)+IFERROR(SUMIFS('Base bordo CD'!M$2:M$875,'Base bordo CD'!D$2:D$875,A695,'Base bordo CD'!A$2:A$875,B695,'Base bordo CD'!L$2:L$875,"TROCA DE FAQUINHA"),0)+IFERROR(SUMIFS('Base bordo CD'!M$2:M$875,'Base bordo CD'!D$2:D$875,A695,'Base bordo CD'!A$2:A$875,B695,'Base bordo CD'!L$2:L$875,"LIMPEZA*"),0)</f>
        <v>1.8849999999999998</v>
      </c>
      <c r="L695" s="10">
        <f>IFERROR(SUMIFS('Base bordo CD'!M$2:M$875,'Base bordo CD'!D$2:D$875,A695,'Base bordo CD'!A$2:A$875,B695,'Base bordo CD'!L$2:L$875,"PATIO - RESERVA"),0)</f>
        <v>0.31472222222222224</v>
      </c>
      <c r="M695" s="10">
        <f>IFERROR(SUMIFS('Base bordo CD'!M$2:M$875,'Base bordo CD'!D$2:D$875,A695,'Base bordo CD'!A$2:A$875,B695,'Base bordo CD'!L$2:L$875,"SEM APONTAMENTO"),0)</f>
        <v>0.13333333333333333</v>
      </c>
      <c r="N695" s="10">
        <f>IFERROR(SUMIFS('Base bordo CD'!M$2:M$875,'Base bordo CD'!D$2:D$875,A695,'Base bordo CD'!A$2:A$875,B695,'Base bordo CD'!L$2:L$875,"FALTA DE CAMINHÃO"),0)+IFERROR(SUMIFS('Base bordo CD'!M$2:M$875,'Base bordo CD'!D$2:D$875,A695,'Base bordo CD'!A$2:A$875,B695,'Base bordo CD'!L$2:L$875,"FALTA DE COMBUSTIVEL"),0)+IFERROR(SUMIFS('Base bordo CD'!M$2:M$875,'Base bordo CD'!D$2:D$875,A695,'Base bordo CD'!A$2:A$875,B695,'Base bordo CD'!L$2:L$875,"FALTA DE MOTORIST*"),0)</f>
        <v>1.5150000000000001</v>
      </c>
      <c r="O695" s="10">
        <f t="shared" si="55"/>
        <v>0.31527777777778354</v>
      </c>
      <c r="P695" s="10">
        <f>IFERROR(SUMIFS('Base bordo CD'!M$2:M$875,'Base bordo CD'!D$2:D$875,A695,'Base bordo CD'!A$2:A$875,B695),0)</f>
        <v>24.000000000000004</v>
      </c>
      <c r="Q695" s="10">
        <f>IFERROR(SUMIFS('Base bordo CD'!O$2:O$875,'Base bordo CD'!D$2:D$875,A695,'Base bordo CD'!A$2:A$875,B695,'Base bordo CD'!L$2:L$875,"CORTE DE CANA MECANIZADO"),0)</f>
        <v>97141.5</v>
      </c>
      <c r="R695" s="10">
        <f>IFERROR(SUMIFS('Base bordo CD'!Q$2:Q$875,'Base bordo CD'!D$2:D$875,A695,'Base bordo CD'!A$2:A$875,B695,'Base bordo CD'!L$2:L$875,"CORTE DE CANA MECANIZADO"),0)</f>
        <v>23621</v>
      </c>
      <c r="S695" s="30">
        <f t="shared" si="56"/>
        <v>4.1125058210914016</v>
      </c>
      <c r="T695" s="9">
        <f t="shared" si="57"/>
        <v>0.27340277777777777</v>
      </c>
      <c r="U695" s="9">
        <f t="shared" si="58"/>
        <v>0.15003472222222222</v>
      </c>
      <c r="V695" s="9">
        <f t="shared" si="59"/>
        <v>0.70234953703703695</v>
      </c>
    </row>
    <row r="696" spans="1:22" hidden="1" x14ac:dyDescent="0.35">
      <c r="A696" s="52">
        <v>49588</v>
      </c>
      <c r="B696" s="31">
        <v>46118</v>
      </c>
      <c r="C696" s="7" t="s">
        <v>364</v>
      </c>
      <c r="D696" s="7">
        <v>352</v>
      </c>
      <c r="E696" s="10">
        <f>IFERROR(SUMIFS('Base bordo CD'!M$2:M$875,'Base bordo CD'!D$2:D$875,A696,'Base bordo CD'!A$2:A$875,B696,'Base bordo CD'!L$2:L$875,"CORTE DE CANA MECANIZADO"),0)</f>
        <v>6.5616666666666674</v>
      </c>
      <c r="F696" s="10">
        <f>IFERROR(SUMIFS('Base bordo CD'!M$2:M$875,'Base bordo CD'!D$2:D$875,A696,'Base bordo CD'!A$2:A$875,B696,'Base bordo CD'!L$2:L$875,"MANOBRA"),0)</f>
        <v>3.6008333333333336</v>
      </c>
      <c r="G696" s="10">
        <f>IFERROR(SUMIFS('Base bordo CD'!M$2:M$875,'Base bordo CD'!D$2:D$875,A696,'Base bordo CD'!A$2:A$875,B696,'Base bordo CD'!L$2:L$875,"DESLOCAMENTO"),0)</f>
        <v>0.58194444444444449</v>
      </c>
      <c r="H696" s="10">
        <f>IFERROR(SUMIFS('Base bordo CD'!M$2:M$875,'Base bordo CD'!D$2:D$875,A696,'Base bordo CD'!A$2:A$875,B696,'Base bordo CD'!L$2:L$875,"AGUARDANDO MANOBRA DE TRANSBORDO"),0)+IFERROR(SUMIFS('Base bordo CD'!M$2:M$875,'Base bordo CD'!D$2:D$875,A696,'Base bordo CD'!A$2:A$875,B696,'Base bordo CD'!L$2:L$875,"FALTA DE TRANSBORDO"),0)</f>
        <v>0.11</v>
      </c>
      <c r="I696" s="10">
        <f>IFERROR(SUMIFS('Base bordo CD'!M$2:M$875,'Base bordo CD'!D$2:D$875,A696,'Base bordo CD'!A$2:A$875,B696,'Base bordo CD'!L$2:L$875,"PARADA POR CONDICOES CLIMATICAS"),0)+IFERROR(SUMIFS('Base bordo CD'!M$2:M$875,'Base bordo CD'!D$2:D$875,A696,'Base bordo CD'!A$2:A$875,B696,'Base bordo CD'!L$2:L$875,"TEMPO INDETERMINADO"),0)</f>
        <v>6.7058333333333326</v>
      </c>
      <c r="J696" s="10">
        <f>IFERROR(SUMIFS('Base bordo CD'!M$2:M$875,'Base bordo CD'!D$2:D$875,A696,'Base bordo CD'!A$2:A$875,B696,'Base bordo CD'!L$2:L$875,"LIMITAÇÃO INDÚSTRIA"),0)</f>
        <v>2.276388888888889</v>
      </c>
      <c r="K696" s="10">
        <f>IFERROR(SUMIFS('Base bordo CD'!M$2:M$875,'Base bordo CD'!D$2:D$875,A696,'Base bordo CD'!A$2:A$875,B696,'Base bordo CD'!L$2:L$875,"MAN CORRETIVA*"),0)+IFERROR(SUMIFS('Base bordo CD'!M$2:M$875,'Base bordo CD'!D$2:D$875,A696,'Base bordo CD'!A$2:A$875,B696,'Base bordo CD'!L$2:L$875,"AGUARDANDO MANUTENCAO*"),0)+IFERROR(SUMIFS('Base bordo CD'!M$2:M$875,'Base bordo CD'!D$2:D$875,A696,'Base bordo CD'!A$2:A$875,B696,'Base bordo CD'!L$2:L$875,"TROCA DE FAQUINHA"),0)+IFERROR(SUMIFS('Base bordo CD'!M$2:M$875,'Base bordo CD'!D$2:D$875,A696,'Base bordo CD'!A$2:A$875,B696,'Base bordo CD'!L$2:L$875,"LIMPEZA*"),0)</f>
        <v>1.8849999999999998</v>
      </c>
      <c r="L696" s="10">
        <f>IFERROR(SUMIFS('Base bordo CD'!M$2:M$875,'Base bordo CD'!D$2:D$875,A696,'Base bordo CD'!A$2:A$875,B696,'Base bordo CD'!L$2:L$875,"PATIO - RESERVA"),0)</f>
        <v>0.31472222222222224</v>
      </c>
      <c r="M696" s="10">
        <f>IFERROR(SUMIFS('Base bordo CD'!M$2:M$875,'Base bordo CD'!D$2:D$875,A696,'Base bordo CD'!A$2:A$875,B696,'Base bordo CD'!L$2:L$875,"SEM APONTAMENTO"),0)</f>
        <v>0.13333333333333333</v>
      </c>
      <c r="N696" s="10">
        <f>IFERROR(SUMIFS('Base bordo CD'!M$2:M$875,'Base bordo CD'!D$2:D$875,A696,'Base bordo CD'!A$2:A$875,B696,'Base bordo CD'!L$2:L$875,"FALTA DE CAMINHÃO"),0)+IFERROR(SUMIFS('Base bordo CD'!M$2:M$875,'Base bordo CD'!D$2:D$875,A696,'Base bordo CD'!A$2:A$875,B696,'Base bordo CD'!L$2:L$875,"FALTA DE COMBUSTIVEL"),0)+IFERROR(SUMIFS('Base bordo CD'!M$2:M$875,'Base bordo CD'!D$2:D$875,A696,'Base bordo CD'!A$2:A$875,B696,'Base bordo CD'!L$2:L$875,"FALTA DE MOTORIST*"),0)</f>
        <v>1.5150000000000001</v>
      </c>
      <c r="O696" s="10">
        <f t="shared" si="55"/>
        <v>0.31527777777778354</v>
      </c>
      <c r="P696" s="10">
        <f>IFERROR(SUMIFS('Base bordo CD'!M$2:M$875,'Base bordo CD'!D$2:D$875,A696,'Base bordo CD'!A$2:A$875,B696),0)</f>
        <v>24.000000000000004</v>
      </c>
      <c r="Q696" s="10">
        <f>IFERROR(SUMIFS('Base bordo CD'!O$2:O$875,'Base bordo CD'!D$2:D$875,A696,'Base bordo CD'!A$2:A$875,B696,'Base bordo CD'!L$2:L$875,"CORTE DE CANA MECANIZADO"),0)</f>
        <v>97141.5</v>
      </c>
      <c r="R696" s="10">
        <f>IFERROR(SUMIFS('Base bordo CD'!Q$2:Q$875,'Base bordo CD'!D$2:D$875,A696,'Base bordo CD'!A$2:A$875,B696,'Base bordo CD'!L$2:L$875,"CORTE DE CANA MECANIZADO"),0)</f>
        <v>23621</v>
      </c>
      <c r="S696" s="30">
        <f t="shared" si="56"/>
        <v>4.1125058210914016</v>
      </c>
      <c r="T696" s="9">
        <f t="shared" si="57"/>
        <v>0.27340277777777777</v>
      </c>
      <c r="U696" s="9">
        <f t="shared" si="58"/>
        <v>0.15003472222222222</v>
      </c>
      <c r="V696" s="9">
        <f t="shared" si="59"/>
        <v>0.70234953703703695</v>
      </c>
    </row>
    <row r="697" spans="1:22" hidden="1" x14ac:dyDescent="0.35">
      <c r="A697" s="52">
        <v>49588</v>
      </c>
      <c r="B697" s="31">
        <v>46118</v>
      </c>
      <c r="C697" s="7" t="s">
        <v>364</v>
      </c>
      <c r="D697" s="7">
        <v>352</v>
      </c>
      <c r="E697" s="10">
        <f>IFERROR(SUMIFS('Base bordo CD'!M$2:M$875,'Base bordo CD'!D$2:D$875,A697,'Base bordo CD'!A$2:A$875,B697,'Base bordo CD'!L$2:L$875,"CORTE DE CANA MECANIZADO"),0)</f>
        <v>6.5616666666666674</v>
      </c>
      <c r="F697" s="10">
        <f>IFERROR(SUMIFS('Base bordo CD'!M$2:M$875,'Base bordo CD'!D$2:D$875,A697,'Base bordo CD'!A$2:A$875,B697,'Base bordo CD'!L$2:L$875,"MANOBRA"),0)</f>
        <v>3.6008333333333336</v>
      </c>
      <c r="G697" s="10">
        <f>IFERROR(SUMIFS('Base bordo CD'!M$2:M$875,'Base bordo CD'!D$2:D$875,A697,'Base bordo CD'!A$2:A$875,B697,'Base bordo CD'!L$2:L$875,"DESLOCAMENTO"),0)</f>
        <v>0.58194444444444449</v>
      </c>
      <c r="H697" s="10">
        <f>IFERROR(SUMIFS('Base bordo CD'!M$2:M$875,'Base bordo CD'!D$2:D$875,A697,'Base bordo CD'!A$2:A$875,B697,'Base bordo CD'!L$2:L$875,"AGUARDANDO MANOBRA DE TRANSBORDO"),0)+IFERROR(SUMIFS('Base bordo CD'!M$2:M$875,'Base bordo CD'!D$2:D$875,A697,'Base bordo CD'!A$2:A$875,B697,'Base bordo CD'!L$2:L$875,"FALTA DE TRANSBORDO"),0)</f>
        <v>0.11</v>
      </c>
      <c r="I697" s="10">
        <f>IFERROR(SUMIFS('Base bordo CD'!M$2:M$875,'Base bordo CD'!D$2:D$875,A697,'Base bordo CD'!A$2:A$875,B697,'Base bordo CD'!L$2:L$875,"PARADA POR CONDICOES CLIMATICAS"),0)+IFERROR(SUMIFS('Base bordo CD'!M$2:M$875,'Base bordo CD'!D$2:D$875,A697,'Base bordo CD'!A$2:A$875,B697,'Base bordo CD'!L$2:L$875,"TEMPO INDETERMINADO"),0)</f>
        <v>6.7058333333333326</v>
      </c>
      <c r="J697" s="10">
        <f>IFERROR(SUMIFS('Base bordo CD'!M$2:M$875,'Base bordo CD'!D$2:D$875,A697,'Base bordo CD'!A$2:A$875,B697,'Base bordo CD'!L$2:L$875,"LIMITAÇÃO INDÚSTRIA"),0)</f>
        <v>2.276388888888889</v>
      </c>
      <c r="K697" s="10">
        <f>IFERROR(SUMIFS('Base bordo CD'!M$2:M$875,'Base bordo CD'!D$2:D$875,A697,'Base bordo CD'!A$2:A$875,B697,'Base bordo CD'!L$2:L$875,"MAN CORRETIVA*"),0)+IFERROR(SUMIFS('Base bordo CD'!M$2:M$875,'Base bordo CD'!D$2:D$875,A697,'Base bordo CD'!A$2:A$875,B697,'Base bordo CD'!L$2:L$875,"AGUARDANDO MANUTENCAO*"),0)+IFERROR(SUMIFS('Base bordo CD'!M$2:M$875,'Base bordo CD'!D$2:D$875,A697,'Base bordo CD'!A$2:A$875,B697,'Base bordo CD'!L$2:L$875,"TROCA DE FAQUINHA"),0)+IFERROR(SUMIFS('Base bordo CD'!M$2:M$875,'Base bordo CD'!D$2:D$875,A697,'Base bordo CD'!A$2:A$875,B697,'Base bordo CD'!L$2:L$875,"LIMPEZA*"),0)</f>
        <v>1.8849999999999998</v>
      </c>
      <c r="L697" s="10">
        <f>IFERROR(SUMIFS('Base bordo CD'!M$2:M$875,'Base bordo CD'!D$2:D$875,A697,'Base bordo CD'!A$2:A$875,B697,'Base bordo CD'!L$2:L$875,"PATIO - RESERVA"),0)</f>
        <v>0.31472222222222224</v>
      </c>
      <c r="M697" s="10">
        <f>IFERROR(SUMIFS('Base bordo CD'!M$2:M$875,'Base bordo CD'!D$2:D$875,A697,'Base bordo CD'!A$2:A$875,B697,'Base bordo CD'!L$2:L$875,"SEM APONTAMENTO"),0)</f>
        <v>0.13333333333333333</v>
      </c>
      <c r="N697" s="10">
        <f>IFERROR(SUMIFS('Base bordo CD'!M$2:M$875,'Base bordo CD'!D$2:D$875,A697,'Base bordo CD'!A$2:A$875,B697,'Base bordo CD'!L$2:L$875,"FALTA DE CAMINHÃO"),0)+IFERROR(SUMIFS('Base bordo CD'!M$2:M$875,'Base bordo CD'!D$2:D$875,A697,'Base bordo CD'!A$2:A$875,B697,'Base bordo CD'!L$2:L$875,"FALTA DE COMBUSTIVEL"),0)+IFERROR(SUMIFS('Base bordo CD'!M$2:M$875,'Base bordo CD'!D$2:D$875,A697,'Base bordo CD'!A$2:A$875,B697,'Base bordo CD'!L$2:L$875,"FALTA DE MOTORIST*"),0)</f>
        <v>1.5150000000000001</v>
      </c>
      <c r="O697" s="10">
        <f t="shared" si="55"/>
        <v>0.31527777777778354</v>
      </c>
      <c r="P697" s="10">
        <f>IFERROR(SUMIFS('Base bordo CD'!M$2:M$875,'Base bordo CD'!D$2:D$875,A697,'Base bordo CD'!A$2:A$875,B697),0)</f>
        <v>24.000000000000004</v>
      </c>
      <c r="Q697" s="10">
        <f>IFERROR(SUMIFS('Base bordo CD'!O$2:O$875,'Base bordo CD'!D$2:D$875,A697,'Base bordo CD'!A$2:A$875,B697,'Base bordo CD'!L$2:L$875,"CORTE DE CANA MECANIZADO"),0)</f>
        <v>97141.5</v>
      </c>
      <c r="R697" s="10">
        <f>IFERROR(SUMIFS('Base bordo CD'!Q$2:Q$875,'Base bordo CD'!D$2:D$875,A697,'Base bordo CD'!A$2:A$875,B697,'Base bordo CD'!L$2:L$875,"CORTE DE CANA MECANIZADO"),0)</f>
        <v>23621</v>
      </c>
      <c r="S697" s="30">
        <f t="shared" si="56"/>
        <v>4.1125058210914016</v>
      </c>
      <c r="T697" s="9">
        <f t="shared" si="57"/>
        <v>0.27340277777777777</v>
      </c>
      <c r="U697" s="9">
        <f t="shared" si="58"/>
        <v>0.15003472222222222</v>
      </c>
      <c r="V697" s="9">
        <f t="shared" si="59"/>
        <v>0.70234953703703695</v>
      </c>
    </row>
    <row r="698" spans="1:22" hidden="1" x14ac:dyDescent="0.35">
      <c r="A698" s="52">
        <v>49588</v>
      </c>
      <c r="B698" s="31">
        <v>46118</v>
      </c>
      <c r="C698" s="7" t="s">
        <v>364</v>
      </c>
      <c r="D698" s="7">
        <v>352</v>
      </c>
      <c r="E698" s="10">
        <f>IFERROR(SUMIFS('Base bordo CD'!M$2:M$875,'Base bordo CD'!D$2:D$875,A698,'Base bordo CD'!A$2:A$875,B698,'Base bordo CD'!L$2:L$875,"CORTE DE CANA MECANIZADO"),0)</f>
        <v>6.5616666666666674</v>
      </c>
      <c r="F698" s="10">
        <f>IFERROR(SUMIFS('Base bordo CD'!M$2:M$875,'Base bordo CD'!D$2:D$875,A698,'Base bordo CD'!A$2:A$875,B698,'Base bordo CD'!L$2:L$875,"MANOBRA"),0)</f>
        <v>3.6008333333333336</v>
      </c>
      <c r="G698" s="10">
        <f>IFERROR(SUMIFS('Base bordo CD'!M$2:M$875,'Base bordo CD'!D$2:D$875,A698,'Base bordo CD'!A$2:A$875,B698,'Base bordo CD'!L$2:L$875,"DESLOCAMENTO"),0)</f>
        <v>0.58194444444444449</v>
      </c>
      <c r="H698" s="10">
        <f>IFERROR(SUMIFS('Base bordo CD'!M$2:M$875,'Base bordo CD'!D$2:D$875,A698,'Base bordo CD'!A$2:A$875,B698,'Base bordo CD'!L$2:L$875,"AGUARDANDO MANOBRA DE TRANSBORDO"),0)+IFERROR(SUMIFS('Base bordo CD'!M$2:M$875,'Base bordo CD'!D$2:D$875,A698,'Base bordo CD'!A$2:A$875,B698,'Base bordo CD'!L$2:L$875,"FALTA DE TRANSBORDO"),0)</f>
        <v>0.11</v>
      </c>
      <c r="I698" s="10">
        <f>IFERROR(SUMIFS('Base bordo CD'!M$2:M$875,'Base bordo CD'!D$2:D$875,A698,'Base bordo CD'!A$2:A$875,B698,'Base bordo CD'!L$2:L$875,"PARADA POR CONDICOES CLIMATICAS"),0)+IFERROR(SUMIFS('Base bordo CD'!M$2:M$875,'Base bordo CD'!D$2:D$875,A698,'Base bordo CD'!A$2:A$875,B698,'Base bordo CD'!L$2:L$875,"TEMPO INDETERMINADO"),0)</f>
        <v>6.7058333333333326</v>
      </c>
      <c r="J698" s="10">
        <f>IFERROR(SUMIFS('Base bordo CD'!M$2:M$875,'Base bordo CD'!D$2:D$875,A698,'Base bordo CD'!A$2:A$875,B698,'Base bordo CD'!L$2:L$875,"LIMITAÇÃO INDÚSTRIA"),0)</f>
        <v>2.276388888888889</v>
      </c>
      <c r="K698" s="10">
        <f>IFERROR(SUMIFS('Base bordo CD'!M$2:M$875,'Base bordo CD'!D$2:D$875,A698,'Base bordo CD'!A$2:A$875,B698,'Base bordo CD'!L$2:L$875,"MAN CORRETIVA*"),0)+IFERROR(SUMIFS('Base bordo CD'!M$2:M$875,'Base bordo CD'!D$2:D$875,A698,'Base bordo CD'!A$2:A$875,B698,'Base bordo CD'!L$2:L$875,"AGUARDANDO MANUTENCAO*"),0)+IFERROR(SUMIFS('Base bordo CD'!M$2:M$875,'Base bordo CD'!D$2:D$875,A698,'Base bordo CD'!A$2:A$875,B698,'Base bordo CD'!L$2:L$875,"TROCA DE FAQUINHA"),0)+IFERROR(SUMIFS('Base bordo CD'!M$2:M$875,'Base bordo CD'!D$2:D$875,A698,'Base bordo CD'!A$2:A$875,B698,'Base bordo CD'!L$2:L$875,"LIMPEZA*"),0)</f>
        <v>1.8849999999999998</v>
      </c>
      <c r="L698" s="10">
        <f>IFERROR(SUMIFS('Base bordo CD'!M$2:M$875,'Base bordo CD'!D$2:D$875,A698,'Base bordo CD'!A$2:A$875,B698,'Base bordo CD'!L$2:L$875,"PATIO - RESERVA"),0)</f>
        <v>0.31472222222222224</v>
      </c>
      <c r="M698" s="10">
        <f>IFERROR(SUMIFS('Base bordo CD'!M$2:M$875,'Base bordo CD'!D$2:D$875,A698,'Base bordo CD'!A$2:A$875,B698,'Base bordo CD'!L$2:L$875,"SEM APONTAMENTO"),0)</f>
        <v>0.13333333333333333</v>
      </c>
      <c r="N698" s="10">
        <f>IFERROR(SUMIFS('Base bordo CD'!M$2:M$875,'Base bordo CD'!D$2:D$875,A698,'Base bordo CD'!A$2:A$875,B698,'Base bordo CD'!L$2:L$875,"FALTA DE CAMINHÃO"),0)+IFERROR(SUMIFS('Base bordo CD'!M$2:M$875,'Base bordo CD'!D$2:D$875,A698,'Base bordo CD'!A$2:A$875,B698,'Base bordo CD'!L$2:L$875,"FALTA DE COMBUSTIVEL"),0)+IFERROR(SUMIFS('Base bordo CD'!M$2:M$875,'Base bordo CD'!D$2:D$875,A698,'Base bordo CD'!A$2:A$875,B698,'Base bordo CD'!L$2:L$875,"FALTA DE MOTORIST*"),0)</f>
        <v>1.5150000000000001</v>
      </c>
      <c r="O698" s="10">
        <f t="shared" si="55"/>
        <v>0.31527777777778354</v>
      </c>
      <c r="P698" s="10">
        <f>IFERROR(SUMIFS('Base bordo CD'!M$2:M$875,'Base bordo CD'!D$2:D$875,A698,'Base bordo CD'!A$2:A$875,B698),0)</f>
        <v>24.000000000000004</v>
      </c>
      <c r="Q698" s="10">
        <f>IFERROR(SUMIFS('Base bordo CD'!O$2:O$875,'Base bordo CD'!D$2:D$875,A698,'Base bordo CD'!A$2:A$875,B698,'Base bordo CD'!L$2:L$875,"CORTE DE CANA MECANIZADO"),0)</f>
        <v>97141.5</v>
      </c>
      <c r="R698" s="10">
        <f>IFERROR(SUMIFS('Base bordo CD'!Q$2:Q$875,'Base bordo CD'!D$2:D$875,A698,'Base bordo CD'!A$2:A$875,B698,'Base bordo CD'!L$2:L$875,"CORTE DE CANA MECANIZADO"),0)</f>
        <v>23621</v>
      </c>
      <c r="S698" s="30">
        <f t="shared" si="56"/>
        <v>4.1125058210914016</v>
      </c>
      <c r="T698" s="9">
        <f t="shared" si="57"/>
        <v>0.27340277777777777</v>
      </c>
      <c r="U698" s="9">
        <f t="shared" si="58"/>
        <v>0.15003472222222222</v>
      </c>
      <c r="V698" s="9">
        <f t="shared" si="59"/>
        <v>0.70234953703703695</v>
      </c>
    </row>
    <row r="699" spans="1:22" hidden="1" x14ac:dyDescent="0.35">
      <c r="A699" s="52">
        <v>49588</v>
      </c>
      <c r="B699" s="31">
        <v>46118</v>
      </c>
      <c r="C699" s="7" t="s">
        <v>364</v>
      </c>
      <c r="D699" s="7">
        <v>352</v>
      </c>
      <c r="E699" s="10">
        <f>IFERROR(SUMIFS('Base bordo CD'!M$2:M$875,'Base bordo CD'!D$2:D$875,A699,'Base bordo CD'!A$2:A$875,B699,'Base bordo CD'!L$2:L$875,"CORTE DE CANA MECANIZADO"),0)</f>
        <v>6.5616666666666674</v>
      </c>
      <c r="F699" s="10">
        <f>IFERROR(SUMIFS('Base bordo CD'!M$2:M$875,'Base bordo CD'!D$2:D$875,A699,'Base bordo CD'!A$2:A$875,B699,'Base bordo CD'!L$2:L$875,"MANOBRA"),0)</f>
        <v>3.6008333333333336</v>
      </c>
      <c r="G699" s="10">
        <f>IFERROR(SUMIFS('Base bordo CD'!M$2:M$875,'Base bordo CD'!D$2:D$875,A699,'Base bordo CD'!A$2:A$875,B699,'Base bordo CD'!L$2:L$875,"DESLOCAMENTO"),0)</f>
        <v>0.58194444444444449</v>
      </c>
      <c r="H699" s="10">
        <f>IFERROR(SUMIFS('Base bordo CD'!M$2:M$875,'Base bordo CD'!D$2:D$875,A699,'Base bordo CD'!A$2:A$875,B699,'Base bordo CD'!L$2:L$875,"AGUARDANDO MANOBRA DE TRANSBORDO"),0)+IFERROR(SUMIFS('Base bordo CD'!M$2:M$875,'Base bordo CD'!D$2:D$875,A699,'Base bordo CD'!A$2:A$875,B699,'Base bordo CD'!L$2:L$875,"FALTA DE TRANSBORDO"),0)</f>
        <v>0.11</v>
      </c>
      <c r="I699" s="10">
        <f>IFERROR(SUMIFS('Base bordo CD'!M$2:M$875,'Base bordo CD'!D$2:D$875,A699,'Base bordo CD'!A$2:A$875,B699,'Base bordo CD'!L$2:L$875,"PARADA POR CONDICOES CLIMATICAS"),0)+IFERROR(SUMIFS('Base bordo CD'!M$2:M$875,'Base bordo CD'!D$2:D$875,A699,'Base bordo CD'!A$2:A$875,B699,'Base bordo CD'!L$2:L$875,"TEMPO INDETERMINADO"),0)</f>
        <v>6.7058333333333326</v>
      </c>
      <c r="J699" s="10">
        <f>IFERROR(SUMIFS('Base bordo CD'!M$2:M$875,'Base bordo CD'!D$2:D$875,A699,'Base bordo CD'!A$2:A$875,B699,'Base bordo CD'!L$2:L$875,"LIMITAÇÃO INDÚSTRIA"),0)</f>
        <v>2.276388888888889</v>
      </c>
      <c r="K699" s="10">
        <f>IFERROR(SUMIFS('Base bordo CD'!M$2:M$875,'Base bordo CD'!D$2:D$875,A699,'Base bordo CD'!A$2:A$875,B699,'Base bordo CD'!L$2:L$875,"MAN CORRETIVA*"),0)+IFERROR(SUMIFS('Base bordo CD'!M$2:M$875,'Base bordo CD'!D$2:D$875,A699,'Base bordo CD'!A$2:A$875,B699,'Base bordo CD'!L$2:L$875,"AGUARDANDO MANUTENCAO*"),0)+IFERROR(SUMIFS('Base bordo CD'!M$2:M$875,'Base bordo CD'!D$2:D$875,A699,'Base bordo CD'!A$2:A$875,B699,'Base bordo CD'!L$2:L$875,"TROCA DE FAQUINHA"),0)+IFERROR(SUMIFS('Base bordo CD'!M$2:M$875,'Base bordo CD'!D$2:D$875,A699,'Base bordo CD'!A$2:A$875,B699,'Base bordo CD'!L$2:L$875,"LIMPEZA*"),0)</f>
        <v>1.8849999999999998</v>
      </c>
      <c r="L699" s="10">
        <f>IFERROR(SUMIFS('Base bordo CD'!M$2:M$875,'Base bordo CD'!D$2:D$875,A699,'Base bordo CD'!A$2:A$875,B699,'Base bordo CD'!L$2:L$875,"PATIO - RESERVA"),0)</f>
        <v>0.31472222222222224</v>
      </c>
      <c r="M699" s="10">
        <f>IFERROR(SUMIFS('Base bordo CD'!M$2:M$875,'Base bordo CD'!D$2:D$875,A699,'Base bordo CD'!A$2:A$875,B699,'Base bordo CD'!L$2:L$875,"SEM APONTAMENTO"),0)</f>
        <v>0.13333333333333333</v>
      </c>
      <c r="N699" s="10">
        <f>IFERROR(SUMIFS('Base bordo CD'!M$2:M$875,'Base bordo CD'!D$2:D$875,A699,'Base bordo CD'!A$2:A$875,B699,'Base bordo CD'!L$2:L$875,"FALTA DE CAMINHÃO"),0)+IFERROR(SUMIFS('Base bordo CD'!M$2:M$875,'Base bordo CD'!D$2:D$875,A699,'Base bordo CD'!A$2:A$875,B699,'Base bordo CD'!L$2:L$875,"FALTA DE COMBUSTIVEL"),0)+IFERROR(SUMIFS('Base bordo CD'!M$2:M$875,'Base bordo CD'!D$2:D$875,A699,'Base bordo CD'!A$2:A$875,B699,'Base bordo CD'!L$2:L$875,"FALTA DE MOTORIST*"),0)</f>
        <v>1.5150000000000001</v>
      </c>
      <c r="O699" s="10">
        <f t="shared" si="55"/>
        <v>0.31527777777778354</v>
      </c>
      <c r="P699" s="10">
        <f>IFERROR(SUMIFS('Base bordo CD'!M$2:M$875,'Base bordo CD'!D$2:D$875,A699,'Base bordo CD'!A$2:A$875,B699),0)</f>
        <v>24.000000000000004</v>
      </c>
      <c r="Q699" s="10">
        <f>IFERROR(SUMIFS('Base bordo CD'!O$2:O$875,'Base bordo CD'!D$2:D$875,A699,'Base bordo CD'!A$2:A$875,B699,'Base bordo CD'!L$2:L$875,"CORTE DE CANA MECANIZADO"),0)</f>
        <v>97141.5</v>
      </c>
      <c r="R699" s="10">
        <f>IFERROR(SUMIFS('Base bordo CD'!Q$2:Q$875,'Base bordo CD'!D$2:D$875,A699,'Base bordo CD'!A$2:A$875,B699,'Base bordo CD'!L$2:L$875,"CORTE DE CANA MECANIZADO"),0)</f>
        <v>23621</v>
      </c>
      <c r="S699" s="30">
        <f t="shared" si="56"/>
        <v>4.1125058210914016</v>
      </c>
      <c r="T699" s="9">
        <f t="shared" si="57"/>
        <v>0.27340277777777777</v>
      </c>
      <c r="U699" s="9">
        <f t="shared" si="58"/>
        <v>0.15003472222222222</v>
      </c>
      <c r="V699" s="9">
        <f t="shared" si="59"/>
        <v>0.70234953703703695</v>
      </c>
    </row>
    <row r="700" spans="1:22" hidden="1" x14ac:dyDescent="0.35">
      <c r="A700" s="52">
        <v>49588</v>
      </c>
      <c r="B700" s="31">
        <v>46118</v>
      </c>
      <c r="C700" s="7" t="s">
        <v>364</v>
      </c>
      <c r="D700" s="7">
        <v>352</v>
      </c>
      <c r="E700" s="10">
        <f>IFERROR(SUMIFS('Base bordo CD'!M$2:M$875,'Base bordo CD'!D$2:D$875,A700,'Base bordo CD'!A$2:A$875,B700,'Base bordo CD'!L$2:L$875,"CORTE DE CANA MECANIZADO"),0)</f>
        <v>6.5616666666666674</v>
      </c>
      <c r="F700" s="10">
        <f>IFERROR(SUMIFS('Base bordo CD'!M$2:M$875,'Base bordo CD'!D$2:D$875,A700,'Base bordo CD'!A$2:A$875,B700,'Base bordo CD'!L$2:L$875,"MANOBRA"),0)</f>
        <v>3.6008333333333336</v>
      </c>
      <c r="G700" s="10">
        <f>IFERROR(SUMIFS('Base bordo CD'!M$2:M$875,'Base bordo CD'!D$2:D$875,A700,'Base bordo CD'!A$2:A$875,B700,'Base bordo CD'!L$2:L$875,"DESLOCAMENTO"),0)</f>
        <v>0.58194444444444449</v>
      </c>
      <c r="H700" s="10">
        <f>IFERROR(SUMIFS('Base bordo CD'!M$2:M$875,'Base bordo CD'!D$2:D$875,A700,'Base bordo CD'!A$2:A$875,B700,'Base bordo CD'!L$2:L$875,"AGUARDANDO MANOBRA DE TRANSBORDO"),0)+IFERROR(SUMIFS('Base bordo CD'!M$2:M$875,'Base bordo CD'!D$2:D$875,A700,'Base bordo CD'!A$2:A$875,B700,'Base bordo CD'!L$2:L$875,"FALTA DE TRANSBORDO"),0)</f>
        <v>0.11</v>
      </c>
      <c r="I700" s="10">
        <f>IFERROR(SUMIFS('Base bordo CD'!M$2:M$875,'Base bordo CD'!D$2:D$875,A700,'Base bordo CD'!A$2:A$875,B700,'Base bordo CD'!L$2:L$875,"PARADA POR CONDICOES CLIMATICAS"),0)+IFERROR(SUMIFS('Base bordo CD'!M$2:M$875,'Base bordo CD'!D$2:D$875,A700,'Base bordo CD'!A$2:A$875,B700,'Base bordo CD'!L$2:L$875,"TEMPO INDETERMINADO"),0)</f>
        <v>6.7058333333333326</v>
      </c>
      <c r="J700" s="10">
        <f>IFERROR(SUMIFS('Base bordo CD'!M$2:M$875,'Base bordo CD'!D$2:D$875,A700,'Base bordo CD'!A$2:A$875,B700,'Base bordo CD'!L$2:L$875,"LIMITAÇÃO INDÚSTRIA"),0)</f>
        <v>2.276388888888889</v>
      </c>
      <c r="K700" s="10">
        <f>IFERROR(SUMIFS('Base bordo CD'!M$2:M$875,'Base bordo CD'!D$2:D$875,A700,'Base bordo CD'!A$2:A$875,B700,'Base bordo CD'!L$2:L$875,"MAN CORRETIVA*"),0)+IFERROR(SUMIFS('Base bordo CD'!M$2:M$875,'Base bordo CD'!D$2:D$875,A700,'Base bordo CD'!A$2:A$875,B700,'Base bordo CD'!L$2:L$875,"AGUARDANDO MANUTENCAO*"),0)+IFERROR(SUMIFS('Base bordo CD'!M$2:M$875,'Base bordo CD'!D$2:D$875,A700,'Base bordo CD'!A$2:A$875,B700,'Base bordo CD'!L$2:L$875,"TROCA DE FAQUINHA"),0)+IFERROR(SUMIFS('Base bordo CD'!M$2:M$875,'Base bordo CD'!D$2:D$875,A700,'Base bordo CD'!A$2:A$875,B700,'Base bordo CD'!L$2:L$875,"LIMPEZA*"),0)</f>
        <v>1.8849999999999998</v>
      </c>
      <c r="L700" s="10">
        <f>IFERROR(SUMIFS('Base bordo CD'!M$2:M$875,'Base bordo CD'!D$2:D$875,A700,'Base bordo CD'!A$2:A$875,B700,'Base bordo CD'!L$2:L$875,"PATIO - RESERVA"),0)</f>
        <v>0.31472222222222224</v>
      </c>
      <c r="M700" s="10">
        <f>IFERROR(SUMIFS('Base bordo CD'!M$2:M$875,'Base bordo CD'!D$2:D$875,A700,'Base bordo CD'!A$2:A$875,B700,'Base bordo CD'!L$2:L$875,"SEM APONTAMENTO"),0)</f>
        <v>0.13333333333333333</v>
      </c>
      <c r="N700" s="10">
        <f>IFERROR(SUMIFS('Base bordo CD'!M$2:M$875,'Base bordo CD'!D$2:D$875,A700,'Base bordo CD'!A$2:A$875,B700,'Base bordo CD'!L$2:L$875,"FALTA DE CAMINHÃO"),0)+IFERROR(SUMIFS('Base bordo CD'!M$2:M$875,'Base bordo CD'!D$2:D$875,A700,'Base bordo CD'!A$2:A$875,B700,'Base bordo CD'!L$2:L$875,"FALTA DE COMBUSTIVEL"),0)+IFERROR(SUMIFS('Base bordo CD'!M$2:M$875,'Base bordo CD'!D$2:D$875,A700,'Base bordo CD'!A$2:A$875,B700,'Base bordo CD'!L$2:L$875,"FALTA DE MOTORIST*"),0)</f>
        <v>1.5150000000000001</v>
      </c>
      <c r="O700" s="10">
        <f t="shared" si="55"/>
        <v>0.31527777777778354</v>
      </c>
      <c r="P700" s="10">
        <f>IFERROR(SUMIFS('Base bordo CD'!M$2:M$875,'Base bordo CD'!D$2:D$875,A700,'Base bordo CD'!A$2:A$875,B700),0)</f>
        <v>24.000000000000004</v>
      </c>
      <c r="Q700" s="10">
        <f>IFERROR(SUMIFS('Base bordo CD'!O$2:O$875,'Base bordo CD'!D$2:D$875,A700,'Base bordo CD'!A$2:A$875,B700,'Base bordo CD'!L$2:L$875,"CORTE DE CANA MECANIZADO"),0)</f>
        <v>97141.5</v>
      </c>
      <c r="R700" s="10">
        <f>IFERROR(SUMIFS('Base bordo CD'!Q$2:Q$875,'Base bordo CD'!D$2:D$875,A700,'Base bordo CD'!A$2:A$875,B700,'Base bordo CD'!L$2:L$875,"CORTE DE CANA MECANIZADO"),0)</f>
        <v>23621</v>
      </c>
      <c r="S700" s="30">
        <f t="shared" si="56"/>
        <v>4.1125058210914016</v>
      </c>
      <c r="T700" s="9">
        <f t="shared" si="57"/>
        <v>0.27340277777777777</v>
      </c>
      <c r="U700" s="9">
        <f t="shared" si="58"/>
        <v>0.15003472222222222</v>
      </c>
      <c r="V700" s="9">
        <f t="shared" si="59"/>
        <v>0.70234953703703695</v>
      </c>
    </row>
    <row r="701" spans="1:22" hidden="1" x14ac:dyDescent="0.35">
      <c r="A701" s="52">
        <v>49588</v>
      </c>
      <c r="B701" s="31">
        <v>46118</v>
      </c>
      <c r="C701" s="7" t="s">
        <v>364</v>
      </c>
      <c r="D701" s="7">
        <v>352</v>
      </c>
      <c r="E701" s="10">
        <f>IFERROR(SUMIFS('Base bordo CD'!M$2:M$875,'Base bordo CD'!D$2:D$875,A701,'Base bordo CD'!A$2:A$875,B701,'Base bordo CD'!L$2:L$875,"CORTE DE CANA MECANIZADO"),0)</f>
        <v>6.5616666666666674</v>
      </c>
      <c r="F701" s="10">
        <f>IFERROR(SUMIFS('Base bordo CD'!M$2:M$875,'Base bordo CD'!D$2:D$875,A701,'Base bordo CD'!A$2:A$875,B701,'Base bordo CD'!L$2:L$875,"MANOBRA"),0)</f>
        <v>3.6008333333333336</v>
      </c>
      <c r="G701" s="10">
        <f>IFERROR(SUMIFS('Base bordo CD'!M$2:M$875,'Base bordo CD'!D$2:D$875,A701,'Base bordo CD'!A$2:A$875,B701,'Base bordo CD'!L$2:L$875,"DESLOCAMENTO"),0)</f>
        <v>0.58194444444444449</v>
      </c>
      <c r="H701" s="10">
        <f>IFERROR(SUMIFS('Base bordo CD'!M$2:M$875,'Base bordo CD'!D$2:D$875,A701,'Base bordo CD'!A$2:A$875,B701,'Base bordo CD'!L$2:L$875,"AGUARDANDO MANOBRA DE TRANSBORDO"),0)+IFERROR(SUMIFS('Base bordo CD'!M$2:M$875,'Base bordo CD'!D$2:D$875,A701,'Base bordo CD'!A$2:A$875,B701,'Base bordo CD'!L$2:L$875,"FALTA DE TRANSBORDO"),0)</f>
        <v>0.11</v>
      </c>
      <c r="I701" s="10">
        <f>IFERROR(SUMIFS('Base bordo CD'!M$2:M$875,'Base bordo CD'!D$2:D$875,A701,'Base bordo CD'!A$2:A$875,B701,'Base bordo CD'!L$2:L$875,"PARADA POR CONDICOES CLIMATICAS"),0)+IFERROR(SUMIFS('Base bordo CD'!M$2:M$875,'Base bordo CD'!D$2:D$875,A701,'Base bordo CD'!A$2:A$875,B701,'Base bordo CD'!L$2:L$875,"TEMPO INDETERMINADO"),0)</f>
        <v>6.7058333333333326</v>
      </c>
      <c r="J701" s="10">
        <f>IFERROR(SUMIFS('Base bordo CD'!M$2:M$875,'Base bordo CD'!D$2:D$875,A701,'Base bordo CD'!A$2:A$875,B701,'Base bordo CD'!L$2:L$875,"LIMITAÇÃO INDÚSTRIA"),0)</f>
        <v>2.276388888888889</v>
      </c>
      <c r="K701" s="10">
        <f>IFERROR(SUMIFS('Base bordo CD'!M$2:M$875,'Base bordo CD'!D$2:D$875,A701,'Base bordo CD'!A$2:A$875,B701,'Base bordo CD'!L$2:L$875,"MAN CORRETIVA*"),0)+IFERROR(SUMIFS('Base bordo CD'!M$2:M$875,'Base bordo CD'!D$2:D$875,A701,'Base bordo CD'!A$2:A$875,B701,'Base bordo CD'!L$2:L$875,"AGUARDANDO MANUTENCAO*"),0)+IFERROR(SUMIFS('Base bordo CD'!M$2:M$875,'Base bordo CD'!D$2:D$875,A701,'Base bordo CD'!A$2:A$875,B701,'Base bordo CD'!L$2:L$875,"TROCA DE FAQUINHA"),0)+IFERROR(SUMIFS('Base bordo CD'!M$2:M$875,'Base bordo CD'!D$2:D$875,A701,'Base bordo CD'!A$2:A$875,B701,'Base bordo CD'!L$2:L$875,"LIMPEZA*"),0)</f>
        <v>1.8849999999999998</v>
      </c>
      <c r="L701" s="10">
        <f>IFERROR(SUMIFS('Base bordo CD'!M$2:M$875,'Base bordo CD'!D$2:D$875,A701,'Base bordo CD'!A$2:A$875,B701,'Base bordo CD'!L$2:L$875,"PATIO - RESERVA"),0)</f>
        <v>0.31472222222222224</v>
      </c>
      <c r="M701" s="10">
        <f>IFERROR(SUMIFS('Base bordo CD'!M$2:M$875,'Base bordo CD'!D$2:D$875,A701,'Base bordo CD'!A$2:A$875,B701,'Base bordo CD'!L$2:L$875,"SEM APONTAMENTO"),0)</f>
        <v>0.13333333333333333</v>
      </c>
      <c r="N701" s="10">
        <f>IFERROR(SUMIFS('Base bordo CD'!M$2:M$875,'Base bordo CD'!D$2:D$875,A701,'Base bordo CD'!A$2:A$875,B701,'Base bordo CD'!L$2:L$875,"FALTA DE CAMINHÃO"),0)+IFERROR(SUMIFS('Base bordo CD'!M$2:M$875,'Base bordo CD'!D$2:D$875,A701,'Base bordo CD'!A$2:A$875,B701,'Base bordo CD'!L$2:L$875,"FALTA DE COMBUSTIVEL"),0)+IFERROR(SUMIFS('Base bordo CD'!M$2:M$875,'Base bordo CD'!D$2:D$875,A701,'Base bordo CD'!A$2:A$875,B701,'Base bordo CD'!L$2:L$875,"FALTA DE MOTORIST*"),0)</f>
        <v>1.5150000000000001</v>
      </c>
      <c r="O701" s="10">
        <f t="shared" si="55"/>
        <v>0.31527777777778354</v>
      </c>
      <c r="P701" s="10">
        <f>IFERROR(SUMIFS('Base bordo CD'!M$2:M$875,'Base bordo CD'!D$2:D$875,A701,'Base bordo CD'!A$2:A$875,B701),0)</f>
        <v>24.000000000000004</v>
      </c>
      <c r="Q701" s="10">
        <f>IFERROR(SUMIFS('Base bordo CD'!O$2:O$875,'Base bordo CD'!D$2:D$875,A701,'Base bordo CD'!A$2:A$875,B701,'Base bordo CD'!L$2:L$875,"CORTE DE CANA MECANIZADO"),0)</f>
        <v>97141.5</v>
      </c>
      <c r="R701" s="10">
        <f>IFERROR(SUMIFS('Base bordo CD'!Q$2:Q$875,'Base bordo CD'!D$2:D$875,A701,'Base bordo CD'!A$2:A$875,B701,'Base bordo CD'!L$2:L$875,"CORTE DE CANA MECANIZADO"),0)</f>
        <v>23621</v>
      </c>
      <c r="S701" s="30">
        <f t="shared" si="56"/>
        <v>4.1125058210914016</v>
      </c>
      <c r="T701" s="9">
        <f t="shared" si="57"/>
        <v>0.27340277777777777</v>
      </c>
      <c r="U701" s="9">
        <f t="shared" si="58"/>
        <v>0.15003472222222222</v>
      </c>
      <c r="V701" s="9">
        <f t="shared" si="59"/>
        <v>0.70234953703703695</v>
      </c>
    </row>
    <row r="702" spans="1:22" hidden="1" x14ac:dyDescent="0.35">
      <c r="A702" s="52">
        <v>49588</v>
      </c>
      <c r="B702" s="31">
        <v>46118</v>
      </c>
      <c r="C702" s="7" t="s">
        <v>364</v>
      </c>
      <c r="D702" s="7">
        <v>352</v>
      </c>
      <c r="E702" s="10">
        <f>IFERROR(SUMIFS('Base bordo CD'!M$2:M$875,'Base bordo CD'!D$2:D$875,A702,'Base bordo CD'!A$2:A$875,B702,'Base bordo CD'!L$2:L$875,"CORTE DE CANA MECANIZADO"),0)</f>
        <v>6.5616666666666674</v>
      </c>
      <c r="F702" s="10">
        <f>IFERROR(SUMIFS('Base bordo CD'!M$2:M$875,'Base bordo CD'!D$2:D$875,A702,'Base bordo CD'!A$2:A$875,B702,'Base bordo CD'!L$2:L$875,"MANOBRA"),0)</f>
        <v>3.6008333333333336</v>
      </c>
      <c r="G702" s="10">
        <f>IFERROR(SUMIFS('Base bordo CD'!M$2:M$875,'Base bordo CD'!D$2:D$875,A702,'Base bordo CD'!A$2:A$875,B702,'Base bordo CD'!L$2:L$875,"DESLOCAMENTO"),0)</f>
        <v>0.58194444444444449</v>
      </c>
      <c r="H702" s="10">
        <f>IFERROR(SUMIFS('Base bordo CD'!M$2:M$875,'Base bordo CD'!D$2:D$875,A702,'Base bordo CD'!A$2:A$875,B702,'Base bordo CD'!L$2:L$875,"AGUARDANDO MANOBRA DE TRANSBORDO"),0)+IFERROR(SUMIFS('Base bordo CD'!M$2:M$875,'Base bordo CD'!D$2:D$875,A702,'Base bordo CD'!A$2:A$875,B702,'Base bordo CD'!L$2:L$875,"FALTA DE TRANSBORDO"),0)</f>
        <v>0.11</v>
      </c>
      <c r="I702" s="10">
        <f>IFERROR(SUMIFS('Base bordo CD'!M$2:M$875,'Base bordo CD'!D$2:D$875,A702,'Base bordo CD'!A$2:A$875,B702,'Base bordo CD'!L$2:L$875,"PARADA POR CONDICOES CLIMATICAS"),0)+IFERROR(SUMIFS('Base bordo CD'!M$2:M$875,'Base bordo CD'!D$2:D$875,A702,'Base bordo CD'!A$2:A$875,B702,'Base bordo CD'!L$2:L$875,"TEMPO INDETERMINADO"),0)</f>
        <v>6.7058333333333326</v>
      </c>
      <c r="J702" s="10">
        <f>IFERROR(SUMIFS('Base bordo CD'!M$2:M$875,'Base bordo CD'!D$2:D$875,A702,'Base bordo CD'!A$2:A$875,B702,'Base bordo CD'!L$2:L$875,"LIMITAÇÃO INDÚSTRIA"),0)</f>
        <v>2.276388888888889</v>
      </c>
      <c r="K702" s="10">
        <f>IFERROR(SUMIFS('Base bordo CD'!M$2:M$875,'Base bordo CD'!D$2:D$875,A702,'Base bordo CD'!A$2:A$875,B702,'Base bordo CD'!L$2:L$875,"MAN CORRETIVA*"),0)+IFERROR(SUMIFS('Base bordo CD'!M$2:M$875,'Base bordo CD'!D$2:D$875,A702,'Base bordo CD'!A$2:A$875,B702,'Base bordo CD'!L$2:L$875,"AGUARDANDO MANUTENCAO*"),0)+IFERROR(SUMIFS('Base bordo CD'!M$2:M$875,'Base bordo CD'!D$2:D$875,A702,'Base bordo CD'!A$2:A$875,B702,'Base bordo CD'!L$2:L$875,"TROCA DE FAQUINHA"),0)+IFERROR(SUMIFS('Base bordo CD'!M$2:M$875,'Base bordo CD'!D$2:D$875,A702,'Base bordo CD'!A$2:A$875,B702,'Base bordo CD'!L$2:L$875,"LIMPEZA*"),0)</f>
        <v>1.8849999999999998</v>
      </c>
      <c r="L702" s="10">
        <f>IFERROR(SUMIFS('Base bordo CD'!M$2:M$875,'Base bordo CD'!D$2:D$875,A702,'Base bordo CD'!A$2:A$875,B702,'Base bordo CD'!L$2:L$875,"PATIO - RESERVA"),0)</f>
        <v>0.31472222222222224</v>
      </c>
      <c r="M702" s="10">
        <f>IFERROR(SUMIFS('Base bordo CD'!M$2:M$875,'Base bordo CD'!D$2:D$875,A702,'Base bordo CD'!A$2:A$875,B702,'Base bordo CD'!L$2:L$875,"SEM APONTAMENTO"),0)</f>
        <v>0.13333333333333333</v>
      </c>
      <c r="N702" s="10">
        <f>IFERROR(SUMIFS('Base bordo CD'!M$2:M$875,'Base bordo CD'!D$2:D$875,A702,'Base bordo CD'!A$2:A$875,B702,'Base bordo CD'!L$2:L$875,"FALTA DE CAMINHÃO"),0)+IFERROR(SUMIFS('Base bordo CD'!M$2:M$875,'Base bordo CD'!D$2:D$875,A702,'Base bordo CD'!A$2:A$875,B702,'Base bordo CD'!L$2:L$875,"FALTA DE COMBUSTIVEL"),0)+IFERROR(SUMIFS('Base bordo CD'!M$2:M$875,'Base bordo CD'!D$2:D$875,A702,'Base bordo CD'!A$2:A$875,B702,'Base bordo CD'!L$2:L$875,"FALTA DE MOTORIST*"),0)</f>
        <v>1.5150000000000001</v>
      </c>
      <c r="O702" s="10">
        <f t="shared" ref="O702:O765" si="60">IFERROR(P702-SUM(E702:N702),0)</f>
        <v>0.31527777777778354</v>
      </c>
      <c r="P702" s="10">
        <f>IFERROR(SUMIFS('Base bordo CD'!M$2:M$875,'Base bordo CD'!D$2:D$875,A702,'Base bordo CD'!A$2:A$875,B702),0)</f>
        <v>24.000000000000004</v>
      </c>
      <c r="Q702" s="10">
        <f>IFERROR(SUMIFS('Base bordo CD'!O$2:O$875,'Base bordo CD'!D$2:D$875,A702,'Base bordo CD'!A$2:A$875,B702,'Base bordo CD'!L$2:L$875,"CORTE DE CANA MECANIZADO"),0)</f>
        <v>97141.5</v>
      </c>
      <c r="R702" s="10">
        <f>IFERROR(SUMIFS('Base bordo CD'!Q$2:Q$875,'Base bordo CD'!D$2:D$875,A702,'Base bordo CD'!A$2:A$875,B702,'Base bordo CD'!L$2:L$875,"CORTE DE CANA MECANIZADO"),0)</f>
        <v>23621</v>
      </c>
      <c r="S702" s="30">
        <f t="shared" ref="S702:S765" si="61">IFERROR(Q702/R702,"")</f>
        <v>4.1125058210914016</v>
      </c>
      <c r="T702" s="9">
        <f t="shared" ref="T702:T765" si="62">IFERROR(E702/P702,0)</f>
        <v>0.27340277777777777</v>
      </c>
      <c r="U702" s="9">
        <f t="shared" ref="U702:U765" si="63">IFERROR(F702/P702,0)</f>
        <v>0.15003472222222222</v>
      </c>
      <c r="V702" s="9">
        <f t="shared" ref="V702:V765" si="64">IFERROR(1-(E702+G702)/P702,0)</f>
        <v>0.70234953703703695</v>
      </c>
    </row>
    <row r="703" spans="1:22" hidden="1" x14ac:dyDescent="0.35">
      <c r="A703" s="52">
        <v>49588</v>
      </c>
      <c r="B703" s="31">
        <v>46118</v>
      </c>
      <c r="C703" s="7" t="s">
        <v>364</v>
      </c>
      <c r="D703" s="7">
        <v>352</v>
      </c>
      <c r="E703" s="10">
        <f>IFERROR(SUMIFS('Base bordo CD'!M$2:M$875,'Base bordo CD'!D$2:D$875,A703,'Base bordo CD'!A$2:A$875,B703,'Base bordo CD'!L$2:L$875,"CORTE DE CANA MECANIZADO"),0)</f>
        <v>6.5616666666666674</v>
      </c>
      <c r="F703" s="10">
        <f>IFERROR(SUMIFS('Base bordo CD'!M$2:M$875,'Base bordo CD'!D$2:D$875,A703,'Base bordo CD'!A$2:A$875,B703,'Base bordo CD'!L$2:L$875,"MANOBRA"),0)</f>
        <v>3.6008333333333336</v>
      </c>
      <c r="G703" s="10">
        <f>IFERROR(SUMIFS('Base bordo CD'!M$2:M$875,'Base bordo CD'!D$2:D$875,A703,'Base bordo CD'!A$2:A$875,B703,'Base bordo CD'!L$2:L$875,"DESLOCAMENTO"),0)</f>
        <v>0.58194444444444449</v>
      </c>
      <c r="H703" s="10">
        <f>IFERROR(SUMIFS('Base bordo CD'!M$2:M$875,'Base bordo CD'!D$2:D$875,A703,'Base bordo CD'!A$2:A$875,B703,'Base bordo CD'!L$2:L$875,"AGUARDANDO MANOBRA DE TRANSBORDO"),0)+IFERROR(SUMIFS('Base bordo CD'!M$2:M$875,'Base bordo CD'!D$2:D$875,A703,'Base bordo CD'!A$2:A$875,B703,'Base bordo CD'!L$2:L$875,"FALTA DE TRANSBORDO"),0)</f>
        <v>0.11</v>
      </c>
      <c r="I703" s="10">
        <f>IFERROR(SUMIFS('Base bordo CD'!M$2:M$875,'Base bordo CD'!D$2:D$875,A703,'Base bordo CD'!A$2:A$875,B703,'Base bordo CD'!L$2:L$875,"PARADA POR CONDICOES CLIMATICAS"),0)+IFERROR(SUMIFS('Base bordo CD'!M$2:M$875,'Base bordo CD'!D$2:D$875,A703,'Base bordo CD'!A$2:A$875,B703,'Base bordo CD'!L$2:L$875,"TEMPO INDETERMINADO"),0)</f>
        <v>6.7058333333333326</v>
      </c>
      <c r="J703" s="10">
        <f>IFERROR(SUMIFS('Base bordo CD'!M$2:M$875,'Base bordo CD'!D$2:D$875,A703,'Base bordo CD'!A$2:A$875,B703,'Base bordo CD'!L$2:L$875,"LIMITAÇÃO INDÚSTRIA"),0)</f>
        <v>2.276388888888889</v>
      </c>
      <c r="K703" s="10">
        <f>IFERROR(SUMIFS('Base bordo CD'!M$2:M$875,'Base bordo CD'!D$2:D$875,A703,'Base bordo CD'!A$2:A$875,B703,'Base bordo CD'!L$2:L$875,"MAN CORRETIVA*"),0)+IFERROR(SUMIFS('Base bordo CD'!M$2:M$875,'Base bordo CD'!D$2:D$875,A703,'Base bordo CD'!A$2:A$875,B703,'Base bordo CD'!L$2:L$875,"AGUARDANDO MANUTENCAO*"),0)+IFERROR(SUMIFS('Base bordo CD'!M$2:M$875,'Base bordo CD'!D$2:D$875,A703,'Base bordo CD'!A$2:A$875,B703,'Base bordo CD'!L$2:L$875,"TROCA DE FAQUINHA"),0)+IFERROR(SUMIFS('Base bordo CD'!M$2:M$875,'Base bordo CD'!D$2:D$875,A703,'Base bordo CD'!A$2:A$875,B703,'Base bordo CD'!L$2:L$875,"LIMPEZA*"),0)</f>
        <v>1.8849999999999998</v>
      </c>
      <c r="L703" s="10">
        <f>IFERROR(SUMIFS('Base bordo CD'!M$2:M$875,'Base bordo CD'!D$2:D$875,A703,'Base bordo CD'!A$2:A$875,B703,'Base bordo CD'!L$2:L$875,"PATIO - RESERVA"),0)</f>
        <v>0.31472222222222224</v>
      </c>
      <c r="M703" s="10">
        <f>IFERROR(SUMIFS('Base bordo CD'!M$2:M$875,'Base bordo CD'!D$2:D$875,A703,'Base bordo CD'!A$2:A$875,B703,'Base bordo CD'!L$2:L$875,"SEM APONTAMENTO"),0)</f>
        <v>0.13333333333333333</v>
      </c>
      <c r="N703" s="10">
        <f>IFERROR(SUMIFS('Base bordo CD'!M$2:M$875,'Base bordo CD'!D$2:D$875,A703,'Base bordo CD'!A$2:A$875,B703,'Base bordo CD'!L$2:L$875,"FALTA DE CAMINHÃO"),0)+IFERROR(SUMIFS('Base bordo CD'!M$2:M$875,'Base bordo CD'!D$2:D$875,A703,'Base bordo CD'!A$2:A$875,B703,'Base bordo CD'!L$2:L$875,"FALTA DE COMBUSTIVEL"),0)+IFERROR(SUMIFS('Base bordo CD'!M$2:M$875,'Base bordo CD'!D$2:D$875,A703,'Base bordo CD'!A$2:A$875,B703,'Base bordo CD'!L$2:L$875,"FALTA DE MOTORIST*"),0)</f>
        <v>1.5150000000000001</v>
      </c>
      <c r="O703" s="10">
        <f t="shared" si="60"/>
        <v>0.31527777777778354</v>
      </c>
      <c r="P703" s="10">
        <f>IFERROR(SUMIFS('Base bordo CD'!M$2:M$875,'Base bordo CD'!D$2:D$875,A703,'Base bordo CD'!A$2:A$875,B703),0)</f>
        <v>24.000000000000004</v>
      </c>
      <c r="Q703" s="10">
        <f>IFERROR(SUMIFS('Base bordo CD'!O$2:O$875,'Base bordo CD'!D$2:D$875,A703,'Base bordo CD'!A$2:A$875,B703,'Base bordo CD'!L$2:L$875,"CORTE DE CANA MECANIZADO"),0)</f>
        <v>97141.5</v>
      </c>
      <c r="R703" s="10">
        <f>IFERROR(SUMIFS('Base bordo CD'!Q$2:Q$875,'Base bordo CD'!D$2:D$875,A703,'Base bordo CD'!A$2:A$875,B703,'Base bordo CD'!L$2:L$875,"CORTE DE CANA MECANIZADO"),0)</f>
        <v>23621</v>
      </c>
      <c r="S703" s="30">
        <f t="shared" si="61"/>
        <v>4.1125058210914016</v>
      </c>
      <c r="T703" s="9">
        <f t="shared" si="62"/>
        <v>0.27340277777777777</v>
      </c>
      <c r="U703" s="9">
        <f t="shared" si="63"/>
        <v>0.15003472222222222</v>
      </c>
      <c r="V703" s="9">
        <f t="shared" si="64"/>
        <v>0.70234953703703695</v>
      </c>
    </row>
    <row r="704" spans="1:22" hidden="1" x14ac:dyDescent="0.35">
      <c r="A704" s="52">
        <v>49588</v>
      </c>
      <c r="B704" s="31">
        <v>46118</v>
      </c>
      <c r="C704" s="7" t="s">
        <v>364</v>
      </c>
      <c r="D704" s="7">
        <v>352</v>
      </c>
      <c r="E704" s="10">
        <f>IFERROR(SUMIFS('Base bordo CD'!M$2:M$875,'Base bordo CD'!D$2:D$875,A704,'Base bordo CD'!A$2:A$875,B704,'Base bordo CD'!L$2:L$875,"CORTE DE CANA MECANIZADO"),0)</f>
        <v>6.5616666666666674</v>
      </c>
      <c r="F704" s="10">
        <f>IFERROR(SUMIFS('Base bordo CD'!M$2:M$875,'Base bordo CD'!D$2:D$875,A704,'Base bordo CD'!A$2:A$875,B704,'Base bordo CD'!L$2:L$875,"MANOBRA"),0)</f>
        <v>3.6008333333333336</v>
      </c>
      <c r="G704" s="10">
        <f>IFERROR(SUMIFS('Base bordo CD'!M$2:M$875,'Base bordo CD'!D$2:D$875,A704,'Base bordo CD'!A$2:A$875,B704,'Base bordo CD'!L$2:L$875,"DESLOCAMENTO"),0)</f>
        <v>0.58194444444444449</v>
      </c>
      <c r="H704" s="10">
        <f>IFERROR(SUMIFS('Base bordo CD'!M$2:M$875,'Base bordo CD'!D$2:D$875,A704,'Base bordo CD'!A$2:A$875,B704,'Base bordo CD'!L$2:L$875,"AGUARDANDO MANOBRA DE TRANSBORDO"),0)+IFERROR(SUMIFS('Base bordo CD'!M$2:M$875,'Base bordo CD'!D$2:D$875,A704,'Base bordo CD'!A$2:A$875,B704,'Base bordo CD'!L$2:L$875,"FALTA DE TRANSBORDO"),0)</f>
        <v>0.11</v>
      </c>
      <c r="I704" s="10">
        <f>IFERROR(SUMIFS('Base bordo CD'!M$2:M$875,'Base bordo CD'!D$2:D$875,A704,'Base bordo CD'!A$2:A$875,B704,'Base bordo CD'!L$2:L$875,"PARADA POR CONDICOES CLIMATICAS"),0)+IFERROR(SUMIFS('Base bordo CD'!M$2:M$875,'Base bordo CD'!D$2:D$875,A704,'Base bordo CD'!A$2:A$875,B704,'Base bordo CD'!L$2:L$875,"TEMPO INDETERMINADO"),0)</f>
        <v>6.7058333333333326</v>
      </c>
      <c r="J704" s="10">
        <f>IFERROR(SUMIFS('Base bordo CD'!M$2:M$875,'Base bordo CD'!D$2:D$875,A704,'Base bordo CD'!A$2:A$875,B704,'Base bordo CD'!L$2:L$875,"LIMITAÇÃO INDÚSTRIA"),0)</f>
        <v>2.276388888888889</v>
      </c>
      <c r="K704" s="10">
        <f>IFERROR(SUMIFS('Base bordo CD'!M$2:M$875,'Base bordo CD'!D$2:D$875,A704,'Base bordo CD'!A$2:A$875,B704,'Base bordo CD'!L$2:L$875,"MAN CORRETIVA*"),0)+IFERROR(SUMIFS('Base bordo CD'!M$2:M$875,'Base bordo CD'!D$2:D$875,A704,'Base bordo CD'!A$2:A$875,B704,'Base bordo CD'!L$2:L$875,"AGUARDANDO MANUTENCAO*"),0)+IFERROR(SUMIFS('Base bordo CD'!M$2:M$875,'Base bordo CD'!D$2:D$875,A704,'Base bordo CD'!A$2:A$875,B704,'Base bordo CD'!L$2:L$875,"TROCA DE FAQUINHA"),0)+IFERROR(SUMIFS('Base bordo CD'!M$2:M$875,'Base bordo CD'!D$2:D$875,A704,'Base bordo CD'!A$2:A$875,B704,'Base bordo CD'!L$2:L$875,"LIMPEZA*"),0)</f>
        <v>1.8849999999999998</v>
      </c>
      <c r="L704" s="10">
        <f>IFERROR(SUMIFS('Base bordo CD'!M$2:M$875,'Base bordo CD'!D$2:D$875,A704,'Base bordo CD'!A$2:A$875,B704,'Base bordo CD'!L$2:L$875,"PATIO - RESERVA"),0)</f>
        <v>0.31472222222222224</v>
      </c>
      <c r="M704" s="10">
        <f>IFERROR(SUMIFS('Base bordo CD'!M$2:M$875,'Base bordo CD'!D$2:D$875,A704,'Base bordo CD'!A$2:A$875,B704,'Base bordo CD'!L$2:L$875,"SEM APONTAMENTO"),0)</f>
        <v>0.13333333333333333</v>
      </c>
      <c r="N704" s="10">
        <f>IFERROR(SUMIFS('Base bordo CD'!M$2:M$875,'Base bordo CD'!D$2:D$875,A704,'Base bordo CD'!A$2:A$875,B704,'Base bordo CD'!L$2:L$875,"FALTA DE CAMINHÃO"),0)+IFERROR(SUMIFS('Base bordo CD'!M$2:M$875,'Base bordo CD'!D$2:D$875,A704,'Base bordo CD'!A$2:A$875,B704,'Base bordo CD'!L$2:L$875,"FALTA DE COMBUSTIVEL"),0)+IFERROR(SUMIFS('Base bordo CD'!M$2:M$875,'Base bordo CD'!D$2:D$875,A704,'Base bordo CD'!A$2:A$875,B704,'Base bordo CD'!L$2:L$875,"FALTA DE MOTORIST*"),0)</f>
        <v>1.5150000000000001</v>
      </c>
      <c r="O704" s="10">
        <f t="shared" si="60"/>
        <v>0.31527777777778354</v>
      </c>
      <c r="P704" s="10">
        <f>IFERROR(SUMIFS('Base bordo CD'!M$2:M$875,'Base bordo CD'!D$2:D$875,A704,'Base bordo CD'!A$2:A$875,B704),0)</f>
        <v>24.000000000000004</v>
      </c>
      <c r="Q704" s="10">
        <f>IFERROR(SUMIFS('Base bordo CD'!O$2:O$875,'Base bordo CD'!D$2:D$875,A704,'Base bordo CD'!A$2:A$875,B704,'Base bordo CD'!L$2:L$875,"CORTE DE CANA MECANIZADO"),0)</f>
        <v>97141.5</v>
      </c>
      <c r="R704" s="10">
        <f>IFERROR(SUMIFS('Base bordo CD'!Q$2:Q$875,'Base bordo CD'!D$2:D$875,A704,'Base bordo CD'!A$2:A$875,B704,'Base bordo CD'!L$2:L$875,"CORTE DE CANA MECANIZADO"),0)</f>
        <v>23621</v>
      </c>
      <c r="S704" s="30">
        <f t="shared" si="61"/>
        <v>4.1125058210914016</v>
      </c>
      <c r="T704" s="9">
        <f t="shared" si="62"/>
        <v>0.27340277777777777</v>
      </c>
      <c r="U704" s="9">
        <f t="shared" si="63"/>
        <v>0.15003472222222222</v>
      </c>
      <c r="V704" s="9">
        <f t="shared" si="64"/>
        <v>0.70234953703703695</v>
      </c>
    </row>
    <row r="705" spans="1:22" hidden="1" x14ac:dyDescent="0.35">
      <c r="A705" s="52">
        <v>49588</v>
      </c>
      <c r="B705" s="31">
        <v>46118</v>
      </c>
      <c r="C705" s="7" t="s">
        <v>364</v>
      </c>
      <c r="D705" s="7">
        <v>352</v>
      </c>
      <c r="E705" s="10">
        <f>IFERROR(SUMIFS('Base bordo CD'!M$2:M$875,'Base bordo CD'!D$2:D$875,A705,'Base bordo CD'!A$2:A$875,B705,'Base bordo CD'!L$2:L$875,"CORTE DE CANA MECANIZADO"),0)</f>
        <v>6.5616666666666674</v>
      </c>
      <c r="F705" s="10">
        <f>IFERROR(SUMIFS('Base bordo CD'!M$2:M$875,'Base bordo CD'!D$2:D$875,A705,'Base bordo CD'!A$2:A$875,B705,'Base bordo CD'!L$2:L$875,"MANOBRA"),0)</f>
        <v>3.6008333333333336</v>
      </c>
      <c r="G705" s="10">
        <f>IFERROR(SUMIFS('Base bordo CD'!M$2:M$875,'Base bordo CD'!D$2:D$875,A705,'Base bordo CD'!A$2:A$875,B705,'Base bordo CD'!L$2:L$875,"DESLOCAMENTO"),0)</f>
        <v>0.58194444444444449</v>
      </c>
      <c r="H705" s="10">
        <f>IFERROR(SUMIFS('Base bordo CD'!M$2:M$875,'Base bordo CD'!D$2:D$875,A705,'Base bordo CD'!A$2:A$875,B705,'Base bordo CD'!L$2:L$875,"AGUARDANDO MANOBRA DE TRANSBORDO"),0)+IFERROR(SUMIFS('Base bordo CD'!M$2:M$875,'Base bordo CD'!D$2:D$875,A705,'Base bordo CD'!A$2:A$875,B705,'Base bordo CD'!L$2:L$875,"FALTA DE TRANSBORDO"),0)</f>
        <v>0.11</v>
      </c>
      <c r="I705" s="10">
        <f>IFERROR(SUMIFS('Base bordo CD'!M$2:M$875,'Base bordo CD'!D$2:D$875,A705,'Base bordo CD'!A$2:A$875,B705,'Base bordo CD'!L$2:L$875,"PARADA POR CONDICOES CLIMATICAS"),0)+IFERROR(SUMIFS('Base bordo CD'!M$2:M$875,'Base bordo CD'!D$2:D$875,A705,'Base bordo CD'!A$2:A$875,B705,'Base bordo CD'!L$2:L$875,"TEMPO INDETERMINADO"),0)</f>
        <v>6.7058333333333326</v>
      </c>
      <c r="J705" s="10">
        <f>IFERROR(SUMIFS('Base bordo CD'!M$2:M$875,'Base bordo CD'!D$2:D$875,A705,'Base bordo CD'!A$2:A$875,B705,'Base bordo CD'!L$2:L$875,"LIMITAÇÃO INDÚSTRIA"),0)</f>
        <v>2.276388888888889</v>
      </c>
      <c r="K705" s="10">
        <f>IFERROR(SUMIFS('Base bordo CD'!M$2:M$875,'Base bordo CD'!D$2:D$875,A705,'Base bordo CD'!A$2:A$875,B705,'Base bordo CD'!L$2:L$875,"MAN CORRETIVA*"),0)+IFERROR(SUMIFS('Base bordo CD'!M$2:M$875,'Base bordo CD'!D$2:D$875,A705,'Base bordo CD'!A$2:A$875,B705,'Base bordo CD'!L$2:L$875,"AGUARDANDO MANUTENCAO*"),0)+IFERROR(SUMIFS('Base bordo CD'!M$2:M$875,'Base bordo CD'!D$2:D$875,A705,'Base bordo CD'!A$2:A$875,B705,'Base bordo CD'!L$2:L$875,"TROCA DE FAQUINHA"),0)+IFERROR(SUMIFS('Base bordo CD'!M$2:M$875,'Base bordo CD'!D$2:D$875,A705,'Base bordo CD'!A$2:A$875,B705,'Base bordo CD'!L$2:L$875,"LIMPEZA*"),0)</f>
        <v>1.8849999999999998</v>
      </c>
      <c r="L705" s="10">
        <f>IFERROR(SUMIFS('Base bordo CD'!M$2:M$875,'Base bordo CD'!D$2:D$875,A705,'Base bordo CD'!A$2:A$875,B705,'Base bordo CD'!L$2:L$875,"PATIO - RESERVA"),0)</f>
        <v>0.31472222222222224</v>
      </c>
      <c r="M705" s="10">
        <f>IFERROR(SUMIFS('Base bordo CD'!M$2:M$875,'Base bordo CD'!D$2:D$875,A705,'Base bordo CD'!A$2:A$875,B705,'Base bordo CD'!L$2:L$875,"SEM APONTAMENTO"),0)</f>
        <v>0.13333333333333333</v>
      </c>
      <c r="N705" s="10">
        <f>IFERROR(SUMIFS('Base bordo CD'!M$2:M$875,'Base bordo CD'!D$2:D$875,A705,'Base bordo CD'!A$2:A$875,B705,'Base bordo CD'!L$2:L$875,"FALTA DE CAMINHÃO"),0)+IFERROR(SUMIFS('Base bordo CD'!M$2:M$875,'Base bordo CD'!D$2:D$875,A705,'Base bordo CD'!A$2:A$875,B705,'Base bordo CD'!L$2:L$875,"FALTA DE COMBUSTIVEL"),0)+IFERROR(SUMIFS('Base bordo CD'!M$2:M$875,'Base bordo CD'!D$2:D$875,A705,'Base bordo CD'!A$2:A$875,B705,'Base bordo CD'!L$2:L$875,"FALTA DE MOTORIST*"),0)</f>
        <v>1.5150000000000001</v>
      </c>
      <c r="O705" s="10">
        <f t="shared" si="60"/>
        <v>0.31527777777778354</v>
      </c>
      <c r="P705" s="10">
        <f>IFERROR(SUMIFS('Base bordo CD'!M$2:M$875,'Base bordo CD'!D$2:D$875,A705,'Base bordo CD'!A$2:A$875,B705),0)</f>
        <v>24.000000000000004</v>
      </c>
      <c r="Q705" s="10">
        <f>IFERROR(SUMIFS('Base bordo CD'!O$2:O$875,'Base bordo CD'!D$2:D$875,A705,'Base bordo CD'!A$2:A$875,B705,'Base bordo CD'!L$2:L$875,"CORTE DE CANA MECANIZADO"),0)</f>
        <v>97141.5</v>
      </c>
      <c r="R705" s="10">
        <f>IFERROR(SUMIFS('Base bordo CD'!Q$2:Q$875,'Base bordo CD'!D$2:D$875,A705,'Base bordo CD'!A$2:A$875,B705,'Base bordo CD'!L$2:L$875,"CORTE DE CANA MECANIZADO"),0)</f>
        <v>23621</v>
      </c>
      <c r="S705" s="30">
        <f t="shared" si="61"/>
        <v>4.1125058210914016</v>
      </c>
      <c r="T705" s="9">
        <f t="shared" si="62"/>
        <v>0.27340277777777777</v>
      </c>
      <c r="U705" s="9">
        <f t="shared" si="63"/>
        <v>0.15003472222222222</v>
      </c>
      <c r="V705" s="9">
        <f t="shared" si="64"/>
        <v>0.70234953703703695</v>
      </c>
    </row>
    <row r="706" spans="1:22" hidden="1" x14ac:dyDescent="0.35">
      <c r="A706" s="52">
        <v>49588</v>
      </c>
      <c r="B706" s="31">
        <v>46118</v>
      </c>
      <c r="C706" s="7" t="s">
        <v>364</v>
      </c>
      <c r="D706" s="7">
        <v>352</v>
      </c>
      <c r="E706" s="10">
        <f>IFERROR(SUMIFS('Base bordo CD'!M$2:M$875,'Base bordo CD'!D$2:D$875,A706,'Base bordo CD'!A$2:A$875,B706,'Base bordo CD'!L$2:L$875,"CORTE DE CANA MECANIZADO"),0)</f>
        <v>6.5616666666666674</v>
      </c>
      <c r="F706" s="10">
        <f>IFERROR(SUMIFS('Base bordo CD'!M$2:M$875,'Base bordo CD'!D$2:D$875,A706,'Base bordo CD'!A$2:A$875,B706,'Base bordo CD'!L$2:L$875,"MANOBRA"),0)</f>
        <v>3.6008333333333336</v>
      </c>
      <c r="G706" s="10">
        <f>IFERROR(SUMIFS('Base bordo CD'!M$2:M$875,'Base bordo CD'!D$2:D$875,A706,'Base bordo CD'!A$2:A$875,B706,'Base bordo CD'!L$2:L$875,"DESLOCAMENTO"),0)</f>
        <v>0.58194444444444449</v>
      </c>
      <c r="H706" s="10">
        <f>IFERROR(SUMIFS('Base bordo CD'!M$2:M$875,'Base bordo CD'!D$2:D$875,A706,'Base bordo CD'!A$2:A$875,B706,'Base bordo CD'!L$2:L$875,"AGUARDANDO MANOBRA DE TRANSBORDO"),0)+IFERROR(SUMIFS('Base bordo CD'!M$2:M$875,'Base bordo CD'!D$2:D$875,A706,'Base bordo CD'!A$2:A$875,B706,'Base bordo CD'!L$2:L$875,"FALTA DE TRANSBORDO"),0)</f>
        <v>0.11</v>
      </c>
      <c r="I706" s="10">
        <f>IFERROR(SUMIFS('Base bordo CD'!M$2:M$875,'Base bordo CD'!D$2:D$875,A706,'Base bordo CD'!A$2:A$875,B706,'Base bordo CD'!L$2:L$875,"PARADA POR CONDICOES CLIMATICAS"),0)+IFERROR(SUMIFS('Base bordo CD'!M$2:M$875,'Base bordo CD'!D$2:D$875,A706,'Base bordo CD'!A$2:A$875,B706,'Base bordo CD'!L$2:L$875,"TEMPO INDETERMINADO"),0)</f>
        <v>6.7058333333333326</v>
      </c>
      <c r="J706" s="10">
        <f>IFERROR(SUMIFS('Base bordo CD'!M$2:M$875,'Base bordo CD'!D$2:D$875,A706,'Base bordo CD'!A$2:A$875,B706,'Base bordo CD'!L$2:L$875,"LIMITAÇÃO INDÚSTRIA"),0)</f>
        <v>2.276388888888889</v>
      </c>
      <c r="K706" s="10">
        <f>IFERROR(SUMIFS('Base bordo CD'!M$2:M$875,'Base bordo CD'!D$2:D$875,A706,'Base bordo CD'!A$2:A$875,B706,'Base bordo CD'!L$2:L$875,"MAN CORRETIVA*"),0)+IFERROR(SUMIFS('Base bordo CD'!M$2:M$875,'Base bordo CD'!D$2:D$875,A706,'Base bordo CD'!A$2:A$875,B706,'Base bordo CD'!L$2:L$875,"AGUARDANDO MANUTENCAO*"),0)+IFERROR(SUMIFS('Base bordo CD'!M$2:M$875,'Base bordo CD'!D$2:D$875,A706,'Base bordo CD'!A$2:A$875,B706,'Base bordo CD'!L$2:L$875,"TROCA DE FAQUINHA"),0)+IFERROR(SUMIFS('Base bordo CD'!M$2:M$875,'Base bordo CD'!D$2:D$875,A706,'Base bordo CD'!A$2:A$875,B706,'Base bordo CD'!L$2:L$875,"LIMPEZA*"),0)</f>
        <v>1.8849999999999998</v>
      </c>
      <c r="L706" s="10">
        <f>IFERROR(SUMIFS('Base bordo CD'!M$2:M$875,'Base bordo CD'!D$2:D$875,A706,'Base bordo CD'!A$2:A$875,B706,'Base bordo CD'!L$2:L$875,"PATIO - RESERVA"),0)</f>
        <v>0.31472222222222224</v>
      </c>
      <c r="M706" s="10">
        <f>IFERROR(SUMIFS('Base bordo CD'!M$2:M$875,'Base bordo CD'!D$2:D$875,A706,'Base bordo CD'!A$2:A$875,B706,'Base bordo CD'!L$2:L$875,"SEM APONTAMENTO"),0)</f>
        <v>0.13333333333333333</v>
      </c>
      <c r="N706" s="10">
        <f>IFERROR(SUMIFS('Base bordo CD'!M$2:M$875,'Base bordo CD'!D$2:D$875,A706,'Base bordo CD'!A$2:A$875,B706,'Base bordo CD'!L$2:L$875,"FALTA DE CAMINHÃO"),0)+IFERROR(SUMIFS('Base bordo CD'!M$2:M$875,'Base bordo CD'!D$2:D$875,A706,'Base bordo CD'!A$2:A$875,B706,'Base bordo CD'!L$2:L$875,"FALTA DE COMBUSTIVEL"),0)+IFERROR(SUMIFS('Base bordo CD'!M$2:M$875,'Base bordo CD'!D$2:D$875,A706,'Base bordo CD'!A$2:A$875,B706,'Base bordo CD'!L$2:L$875,"FALTA DE MOTORIST*"),0)</f>
        <v>1.5150000000000001</v>
      </c>
      <c r="O706" s="10">
        <f t="shared" si="60"/>
        <v>0.31527777777778354</v>
      </c>
      <c r="P706" s="10">
        <f>IFERROR(SUMIFS('Base bordo CD'!M$2:M$875,'Base bordo CD'!D$2:D$875,A706,'Base bordo CD'!A$2:A$875,B706),0)</f>
        <v>24.000000000000004</v>
      </c>
      <c r="Q706" s="10">
        <f>IFERROR(SUMIFS('Base bordo CD'!O$2:O$875,'Base bordo CD'!D$2:D$875,A706,'Base bordo CD'!A$2:A$875,B706,'Base bordo CD'!L$2:L$875,"CORTE DE CANA MECANIZADO"),0)</f>
        <v>97141.5</v>
      </c>
      <c r="R706" s="10">
        <f>IFERROR(SUMIFS('Base bordo CD'!Q$2:Q$875,'Base bordo CD'!D$2:D$875,A706,'Base bordo CD'!A$2:A$875,B706,'Base bordo CD'!L$2:L$875,"CORTE DE CANA MECANIZADO"),0)</f>
        <v>23621</v>
      </c>
      <c r="S706" s="30">
        <f t="shared" si="61"/>
        <v>4.1125058210914016</v>
      </c>
      <c r="T706" s="9">
        <f t="shared" si="62"/>
        <v>0.27340277777777777</v>
      </c>
      <c r="U706" s="9">
        <f t="shared" si="63"/>
        <v>0.15003472222222222</v>
      </c>
      <c r="V706" s="9">
        <f t="shared" si="64"/>
        <v>0.70234953703703695</v>
      </c>
    </row>
    <row r="707" spans="1:22" hidden="1" x14ac:dyDescent="0.35">
      <c r="A707" s="52">
        <v>49588</v>
      </c>
      <c r="B707" s="31">
        <v>46118</v>
      </c>
      <c r="C707" s="7" t="s">
        <v>364</v>
      </c>
      <c r="D707" s="7">
        <v>352</v>
      </c>
      <c r="E707" s="10">
        <f>IFERROR(SUMIFS('Base bordo CD'!M$2:M$875,'Base bordo CD'!D$2:D$875,A707,'Base bordo CD'!A$2:A$875,B707,'Base bordo CD'!L$2:L$875,"CORTE DE CANA MECANIZADO"),0)</f>
        <v>6.5616666666666674</v>
      </c>
      <c r="F707" s="10">
        <f>IFERROR(SUMIFS('Base bordo CD'!M$2:M$875,'Base bordo CD'!D$2:D$875,A707,'Base bordo CD'!A$2:A$875,B707,'Base bordo CD'!L$2:L$875,"MANOBRA"),0)</f>
        <v>3.6008333333333336</v>
      </c>
      <c r="G707" s="10">
        <f>IFERROR(SUMIFS('Base bordo CD'!M$2:M$875,'Base bordo CD'!D$2:D$875,A707,'Base bordo CD'!A$2:A$875,B707,'Base bordo CD'!L$2:L$875,"DESLOCAMENTO"),0)</f>
        <v>0.58194444444444449</v>
      </c>
      <c r="H707" s="10">
        <f>IFERROR(SUMIFS('Base bordo CD'!M$2:M$875,'Base bordo CD'!D$2:D$875,A707,'Base bordo CD'!A$2:A$875,B707,'Base bordo CD'!L$2:L$875,"AGUARDANDO MANOBRA DE TRANSBORDO"),0)+IFERROR(SUMIFS('Base bordo CD'!M$2:M$875,'Base bordo CD'!D$2:D$875,A707,'Base bordo CD'!A$2:A$875,B707,'Base bordo CD'!L$2:L$875,"FALTA DE TRANSBORDO"),0)</f>
        <v>0.11</v>
      </c>
      <c r="I707" s="10">
        <f>IFERROR(SUMIFS('Base bordo CD'!M$2:M$875,'Base bordo CD'!D$2:D$875,A707,'Base bordo CD'!A$2:A$875,B707,'Base bordo CD'!L$2:L$875,"PARADA POR CONDICOES CLIMATICAS"),0)+IFERROR(SUMIFS('Base bordo CD'!M$2:M$875,'Base bordo CD'!D$2:D$875,A707,'Base bordo CD'!A$2:A$875,B707,'Base bordo CD'!L$2:L$875,"TEMPO INDETERMINADO"),0)</f>
        <v>6.7058333333333326</v>
      </c>
      <c r="J707" s="10">
        <f>IFERROR(SUMIFS('Base bordo CD'!M$2:M$875,'Base bordo CD'!D$2:D$875,A707,'Base bordo CD'!A$2:A$875,B707,'Base bordo CD'!L$2:L$875,"LIMITAÇÃO INDÚSTRIA"),0)</f>
        <v>2.276388888888889</v>
      </c>
      <c r="K707" s="10">
        <f>IFERROR(SUMIFS('Base bordo CD'!M$2:M$875,'Base bordo CD'!D$2:D$875,A707,'Base bordo CD'!A$2:A$875,B707,'Base bordo CD'!L$2:L$875,"MAN CORRETIVA*"),0)+IFERROR(SUMIFS('Base bordo CD'!M$2:M$875,'Base bordo CD'!D$2:D$875,A707,'Base bordo CD'!A$2:A$875,B707,'Base bordo CD'!L$2:L$875,"AGUARDANDO MANUTENCAO*"),0)+IFERROR(SUMIFS('Base bordo CD'!M$2:M$875,'Base bordo CD'!D$2:D$875,A707,'Base bordo CD'!A$2:A$875,B707,'Base bordo CD'!L$2:L$875,"TROCA DE FAQUINHA"),0)+IFERROR(SUMIFS('Base bordo CD'!M$2:M$875,'Base bordo CD'!D$2:D$875,A707,'Base bordo CD'!A$2:A$875,B707,'Base bordo CD'!L$2:L$875,"LIMPEZA*"),0)</f>
        <v>1.8849999999999998</v>
      </c>
      <c r="L707" s="10">
        <f>IFERROR(SUMIFS('Base bordo CD'!M$2:M$875,'Base bordo CD'!D$2:D$875,A707,'Base bordo CD'!A$2:A$875,B707,'Base bordo CD'!L$2:L$875,"PATIO - RESERVA"),0)</f>
        <v>0.31472222222222224</v>
      </c>
      <c r="M707" s="10">
        <f>IFERROR(SUMIFS('Base bordo CD'!M$2:M$875,'Base bordo CD'!D$2:D$875,A707,'Base bordo CD'!A$2:A$875,B707,'Base bordo CD'!L$2:L$875,"SEM APONTAMENTO"),0)</f>
        <v>0.13333333333333333</v>
      </c>
      <c r="N707" s="10">
        <f>IFERROR(SUMIFS('Base bordo CD'!M$2:M$875,'Base bordo CD'!D$2:D$875,A707,'Base bordo CD'!A$2:A$875,B707,'Base bordo CD'!L$2:L$875,"FALTA DE CAMINHÃO"),0)+IFERROR(SUMIFS('Base bordo CD'!M$2:M$875,'Base bordo CD'!D$2:D$875,A707,'Base bordo CD'!A$2:A$875,B707,'Base bordo CD'!L$2:L$875,"FALTA DE COMBUSTIVEL"),0)+IFERROR(SUMIFS('Base bordo CD'!M$2:M$875,'Base bordo CD'!D$2:D$875,A707,'Base bordo CD'!A$2:A$875,B707,'Base bordo CD'!L$2:L$875,"FALTA DE MOTORIST*"),0)</f>
        <v>1.5150000000000001</v>
      </c>
      <c r="O707" s="10">
        <f t="shared" si="60"/>
        <v>0.31527777777778354</v>
      </c>
      <c r="P707" s="10">
        <f>IFERROR(SUMIFS('Base bordo CD'!M$2:M$875,'Base bordo CD'!D$2:D$875,A707,'Base bordo CD'!A$2:A$875,B707),0)</f>
        <v>24.000000000000004</v>
      </c>
      <c r="Q707" s="10">
        <f>IFERROR(SUMIFS('Base bordo CD'!O$2:O$875,'Base bordo CD'!D$2:D$875,A707,'Base bordo CD'!A$2:A$875,B707,'Base bordo CD'!L$2:L$875,"CORTE DE CANA MECANIZADO"),0)</f>
        <v>97141.5</v>
      </c>
      <c r="R707" s="10">
        <f>IFERROR(SUMIFS('Base bordo CD'!Q$2:Q$875,'Base bordo CD'!D$2:D$875,A707,'Base bordo CD'!A$2:A$875,B707,'Base bordo CD'!L$2:L$875,"CORTE DE CANA MECANIZADO"),0)</f>
        <v>23621</v>
      </c>
      <c r="S707" s="30">
        <f t="shared" si="61"/>
        <v>4.1125058210914016</v>
      </c>
      <c r="T707" s="9">
        <f t="shared" si="62"/>
        <v>0.27340277777777777</v>
      </c>
      <c r="U707" s="9">
        <f t="shared" si="63"/>
        <v>0.15003472222222222</v>
      </c>
      <c r="V707" s="9">
        <f t="shared" si="64"/>
        <v>0.70234953703703695</v>
      </c>
    </row>
    <row r="708" spans="1:22" hidden="1" x14ac:dyDescent="0.35">
      <c r="A708" s="52">
        <v>49588</v>
      </c>
      <c r="B708" s="31">
        <v>46118</v>
      </c>
      <c r="C708" s="7" t="s">
        <v>364</v>
      </c>
      <c r="D708" s="7">
        <v>352</v>
      </c>
      <c r="E708" s="10">
        <f>IFERROR(SUMIFS('Base bordo CD'!M$2:M$875,'Base bordo CD'!D$2:D$875,A708,'Base bordo CD'!A$2:A$875,B708,'Base bordo CD'!L$2:L$875,"CORTE DE CANA MECANIZADO"),0)</f>
        <v>6.5616666666666674</v>
      </c>
      <c r="F708" s="10">
        <f>IFERROR(SUMIFS('Base bordo CD'!M$2:M$875,'Base bordo CD'!D$2:D$875,A708,'Base bordo CD'!A$2:A$875,B708,'Base bordo CD'!L$2:L$875,"MANOBRA"),0)</f>
        <v>3.6008333333333336</v>
      </c>
      <c r="G708" s="10">
        <f>IFERROR(SUMIFS('Base bordo CD'!M$2:M$875,'Base bordo CD'!D$2:D$875,A708,'Base bordo CD'!A$2:A$875,B708,'Base bordo CD'!L$2:L$875,"DESLOCAMENTO"),0)</f>
        <v>0.58194444444444449</v>
      </c>
      <c r="H708" s="10">
        <f>IFERROR(SUMIFS('Base bordo CD'!M$2:M$875,'Base bordo CD'!D$2:D$875,A708,'Base bordo CD'!A$2:A$875,B708,'Base bordo CD'!L$2:L$875,"AGUARDANDO MANOBRA DE TRANSBORDO"),0)+IFERROR(SUMIFS('Base bordo CD'!M$2:M$875,'Base bordo CD'!D$2:D$875,A708,'Base bordo CD'!A$2:A$875,B708,'Base bordo CD'!L$2:L$875,"FALTA DE TRANSBORDO"),0)</f>
        <v>0.11</v>
      </c>
      <c r="I708" s="10">
        <f>IFERROR(SUMIFS('Base bordo CD'!M$2:M$875,'Base bordo CD'!D$2:D$875,A708,'Base bordo CD'!A$2:A$875,B708,'Base bordo CD'!L$2:L$875,"PARADA POR CONDICOES CLIMATICAS"),0)+IFERROR(SUMIFS('Base bordo CD'!M$2:M$875,'Base bordo CD'!D$2:D$875,A708,'Base bordo CD'!A$2:A$875,B708,'Base bordo CD'!L$2:L$875,"TEMPO INDETERMINADO"),0)</f>
        <v>6.7058333333333326</v>
      </c>
      <c r="J708" s="10">
        <f>IFERROR(SUMIFS('Base bordo CD'!M$2:M$875,'Base bordo CD'!D$2:D$875,A708,'Base bordo CD'!A$2:A$875,B708,'Base bordo CD'!L$2:L$875,"LIMITAÇÃO INDÚSTRIA"),0)</f>
        <v>2.276388888888889</v>
      </c>
      <c r="K708" s="10">
        <f>IFERROR(SUMIFS('Base bordo CD'!M$2:M$875,'Base bordo CD'!D$2:D$875,A708,'Base bordo CD'!A$2:A$875,B708,'Base bordo CD'!L$2:L$875,"MAN CORRETIVA*"),0)+IFERROR(SUMIFS('Base bordo CD'!M$2:M$875,'Base bordo CD'!D$2:D$875,A708,'Base bordo CD'!A$2:A$875,B708,'Base bordo CD'!L$2:L$875,"AGUARDANDO MANUTENCAO*"),0)+IFERROR(SUMIFS('Base bordo CD'!M$2:M$875,'Base bordo CD'!D$2:D$875,A708,'Base bordo CD'!A$2:A$875,B708,'Base bordo CD'!L$2:L$875,"TROCA DE FAQUINHA"),0)+IFERROR(SUMIFS('Base bordo CD'!M$2:M$875,'Base bordo CD'!D$2:D$875,A708,'Base bordo CD'!A$2:A$875,B708,'Base bordo CD'!L$2:L$875,"LIMPEZA*"),0)</f>
        <v>1.8849999999999998</v>
      </c>
      <c r="L708" s="10">
        <f>IFERROR(SUMIFS('Base bordo CD'!M$2:M$875,'Base bordo CD'!D$2:D$875,A708,'Base bordo CD'!A$2:A$875,B708,'Base bordo CD'!L$2:L$875,"PATIO - RESERVA"),0)</f>
        <v>0.31472222222222224</v>
      </c>
      <c r="M708" s="10">
        <f>IFERROR(SUMIFS('Base bordo CD'!M$2:M$875,'Base bordo CD'!D$2:D$875,A708,'Base bordo CD'!A$2:A$875,B708,'Base bordo CD'!L$2:L$875,"SEM APONTAMENTO"),0)</f>
        <v>0.13333333333333333</v>
      </c>
      <c r="N708" s="10">
        <f>IFERROR(SUMIFS('Base bordo CD'!M$2:M$875,'Base bordo CD'!D$2:D$875,A708,'Base bordo CD'!A$2:A$875,B708,'Base bordo CD'!L$2:L$875,"FALTA DE CAMINHÃO"),0)+IFERROR(SUMIFS('Base bordo CD'!M$2:M$875,'Base bordo CD'!D$2:D$875,A708,'Base bordo CD'!A$2:A$875,B708,'Base bordo CD'!L$2:L$875,"FALTA DE COMBUSTIVEL"),0)+IFERROR(SUMIFS('Base bordo CD'!M$2:M$875,'Base bordo CD'!D$2:D$875,A708,'Base bordo CD'!A$2:A$875,B708,'Base bordo CD'!L$2:L$875,"FALTA DE MOTORIST*"),0)</f>
        <v>1.5150000000000001</v>
      </c>
      <c r="O708" s="10">
        <f t="shared" si="60"/>
        <v>0.31527777777778354</v>
      </c>
      <c r="P708" s="10">
        <f>IFERROR(SUMIFS('Base bordo CD'!M$2:M$875,'Base bordo CD'!D$2:D$875,A708,'Base bordo CD'!A$2:A$875,B708),0)</f>
        <v>24.000000000000004</v>
      </c>
      <c r="Q708" s="10">
        <f>IFERROR(SUMIFS('Base bordo CD'!O$2:O$875,'Base bordo CD'!D$2:D$875,A708,'Base bordo CD'!A$2:A$875,B708,'Base bordo CD'!L$2:L$875,"CORTE DE CANA MECANIZADO"),0)</f>
        <v>97141.5</v>
      </c>
      <c r="R708" s="10">
        <f>IFERROR(SUMIFS('Base bordo CD'!Q$2:Q$875,'Base bordo CD'!D$2:D$875,A708,'Base bordo CD'!A$2:A$875,B708,'Base bordo CD'!L$2:L$875,"CORTE DE CANA MECANIZADO"),0)</f>
        <v>23621</v>
      </c>
      <c r="S708" s="30">
        <f t="shared" si="61"/>
        <v>4.1125058210914016</v>
      </c>
      <c r="T708" s="9">
        <f t="shared" si="62"/>
        <v>0.27340277777777777</v>
      </c>
      <c r="U708" s="9">
        <f t="shared" si="63"/>
        <v>0.15003472222222222</v>
      </c>
      <c r="V708" s="9">
        <f t="shared" si="64"/>
        <v>0.70234953703703695</v>
      </c>
    </row>
    <row r="709" spans="1:22" hidden="1" x14ac:dyDescent="0.35">
      <c r="A709" s="52">
        <v>49588</v>
      </c>
      <c r="B709" s="31">
        <v>46118</v>
      </c>
      <c r="C709" s="7" t="s">
        <v>364</v>
      </c>
      <c r="D709" s="7">
        <v>352</v>
      </c>
      <c r="E709" s="10">
        <f>IFERROR(SUMIFS('Base bordo CD'!M$2:M$875,'Base bordo CD'!D$2:D$875,A709,'Base bordo CD'!A$2:A$875,B709,'Base bordo CD'!L$2:L$875,"CORTE DE CANA MECANIZADO"),0)</f>
        <v>6.5616666666666674</v>
      </c>
      <c r="F709" s="10">
        <f>IFERROR(SUMIFS('Base bordo CD'!M$2:M$875,'Base bordo CD'!D$2:D$875,A709,'Base bordo CD'!A$2:A$875,B709,'Base bordo CD'!L$2:L$875,"MANOBRA"),0)</f>
        <v>3.6008333333333336</v>
      </c>
      <c r="G709" s="10">
        <f>IFERROR(SUMIFS('Base bordo CD'!M$2:M$875,'Base bordo CD'!D$2:D$875,A709,'Base bordo CD'!A$2:A$875,B709,'Base bordo CD'!L$2:L$875,"DESLOCAMENTO"),0)</f>
        <v>0.58194444444444449</v>
      </c>
      <c r="H709" s="10">
        <f>IFERROR(SUMIFS('Base bordo CD'!M$2:M$875,'Base bordo CD'!D$2:D$875,A709,'Base bordo CD'!A$2:A$875,B709,'Base bordo CD'!L$2:L$875,"AGUARDANDO MANOBRA DE TRANSBORDO"),0)+IFERROR(SUMIFS('Base bordo CD'!M$2:M$875,'Base bordo CD'!D$2:D$875,A709,'Base bordo CD'!A$2:A$875,B709,'Base bordo CD'!L$2:L$875,"FALTA DE TRANSBORDO"),0)</f>
        <v>0.11</v>
      </c>
      <c r="I709" s="10">
        <f>IFERROR(SUMIFS('Base bordo CD'!M$2:M$875,'Base bordo CD'!D$2:D$875,A709,'Base bordo CD'!A$2:A$875,B709,'Base bordo CD'!L$2:L$875,"PARADA POR CONDICOES CLIMATICAS"),0)+IFERROR(SUMIFS('Base bordo CD'!M$2:M$875,'Base bordo CD'!D$2:D$875,A709,'Base bordo CD'!A$2:A$875,B709,'Base bordo CD'!L$2:L$875,"TEMPO INDETERMINADO"),0)</f>
        <v>6.7058333333333326</v>
      </c>
      <c r="J709" s="10">
        <f>IFERROR(SUMIFS('Base bordo CD'!M$2:M$875,'Base bordo CD'!D$2:D$875,A709,'Base bordo CD'!A$2:A$875,B709,'Base bordo CD'!L$2:L$875,"LIMITAÇÃO INDÚSTRIA"),0)</f>
        <v>2.276388888888889</v>
      </c>
      <c r="K709" s="10">
        <f>IFERROR(SUMIFS('Base bordo CD'!M$2:M$875,'Base bordo CD'!D$2:D$875,A709,'Base bordo CD'!A$2:A$875,B709,'Base bordo CD'!L$2:L$875,"MAN CORRETIVA*"),0)+IFERROR(SUMIFS('Base bordo CD'!M$2:M$875,'Base bordo CD'!D$2:D$875,A709,'Base bordo CD'!A$2:A$875,B709,'Base bordo CD'!L$2:L$875,"AGUARDANDO MANUTENCAO*"),0)+IFERROR(SUMIFS('Base bordo CD'!M$2:M$875,'Base bordo CD'!D$2:D$875,A709,'Base bordo CD'!A$2:A$875,B709,'Base bordo CD'!L$2:L$875,"TROCA DE FAQUINHA"),0)+IFERROR(SUMIFS('Base bordo CD'!M$2:M$875,'Base bordo CD'!D$2:D$875,A709,'Base bordo CD'!A$2:A$875,B709,'Base bordo CD'!L$2:L$875,"LIMPEZA*"),0)</f>
        <v>1.8849999999999998</v>
      </c>
      <c r="L709" s="10">
        <f>IFERROR(SUMIFS('Base bordo CD'!M$2:M$875,'Base bordo CD'!D$2:D$875,A709,'Base bordo CD'!A$2:A$875,B709,'Base bordo CD'!L$2:L$875,"PATIO - RESERVA"),0)</f>
        <v>0.31472222222222224</v>
      </c>
      <c r="M709" s="10">
        <f>IFERROR(SUMIFS('Base bordo CD'!M$2:M$875,'Base bordo CD'!D$2:D$875,A709,'Base bordo CD'!A$2:A$875,B709,'Base bordo CD'!L$2:L$875,"SEM APONTAMENTO"),0)</f>
        <v>0.13333333333333333</v>
      </c>
      <c r="N709" s="10">
        <f>IFERROR(SUMIFS('Base bordo CD'!M$2:M$875,'Base bordo CD'!D$2:D$875,A709,'Base bordo CD'!A$2:A$875,B709,'Base bordo CD'!L$2:L$875,"FALTA DE CAMINHÃO"),0)+IFERROR(SUMIFS('Base bordo CD'!M$2:M$875,'Base bordo CD'!D$2:D$875,A709,'Base bordo CD'!A$2:A$875,B709,'Base bordo CD'!L$2:L$875,"FALTA DE COMBUSTIVEL"),0)+IFERROR(SUMIFS('Base bordo CD'!M$2:M$875,'Base bordo CD'!D$2:D$875,A709,'Base bordo CD'!A$2:A$875,B709,'Base bordo CD'!L$2:L$875,"FALTA DE MOTORIST*"),0)</f>
        <v>1.5150000000000001</v>
      </c>
      <c r="O709" s="10">
        <f t="shared" si="60"/>
        <v>0.31527777777778354</v>
      </c>
      <c r="P709" s="10">
        <f>IFERROR(SUMIFS('Base bordo CD'!M$2:M$875,'Base bordo CD'!D$2:D$875,A709,'Base bordo CD'!A$2:A$875,B709),0)</f>
        <v>24.000000000000004</v>
      </c>
      <c r="Q709" s="10">
        <f>IFERROR(SUMIFS('Base bordo CD'!O$2:O$875,'Base bordo CD'!D$2:D$875,A709,'Base bordo CD'!A$2:A$875,B709,'Base bordo CD'!L$2:L$875,"CORTE DE CANA MECANIZADO"),0)</f>
        <v>97141.5</v>
      </c>
      <c r="R709" s="10">
        <f>IFERROR(SUMIFS('Base bordo CD'!Q$2:Q$875,'Base bordo CD'!D$2:D$875,A709,'Base bordo CD'!A$2:A$875,B709,'Base bordo CD'!L$2:L$875,"CORTE DE CANA MECANIZADO"),0)</f>
        <v>23621</v>
      </c>
      <c r="S709" s="30">
        <f t="shared" si="61"/>
        <v>4.1125058210914016</v>
      </c>
      <c r="T709" s="9">
        <f t="shared" si="62"/>
        <v>0.27340277777777777</v>
      </c>
      <c r="U709" s="9">
        <f t="shared" si="63"/>
        <v>0.15003472222222222</v>
      </c>
      <c r="V709" s="9">
        <f t="shared" si="64"/>
        <v>0.70234953703703695</v>
      </c>
    </row>
    <row r="710" spans="1:22" hidden="1" x14ac:dyDescent="0.35">
      <c r="A710" s="52">
        <v>49588</v>
      </c>
      <c r="B710" s="31">
        <v>46118</v>
      </c>
      <c r="C710" s="7" t="s">
        <v>364</v>
      </c>
      <c r="D710" s="7">
        <v>352</v>
      </c>
      <c r="E710" s="10">
        <f>IFERROR(SUMIFS('Base bordo CD'!M$2:M$875,'Base bordo CD'!D$2:D$875,A710,'Base bordo CD'!A$2:A$875,B710,'Base bordo CD'!L$2:L$875,"CORTE DE CANA MECANIZADO"),0)</f>
        <v>6.5616666666666674</v>
      </c>
      <c r="F710" s="10">
        <f>IFERROR(SUMIFS('Base bordo CD'!M$2:M$875,'Base bordo CD'!D$2:D$875,A710,'Base bordo CD'!A$2:A$875,B710,'Base bordo CD'!L$2:L$875,"MANOBRA"),0)</f>
        <v>3.6008333333333336</v>
      </c>
      <c r="G710" s="10">
        <f>IFERROR(SUMIFS('Base bordo CD'!M$2:M$875,'Base bordo CD'!D$2:D$875,A710,'Base bordo CD'!A$2:A$875,B710,'Base bordo CD'!L$2:L$875,"DESLOCAMENTO"),0)</f>
        <v>0.58194444444444449</v>
      </c>
      <c r="H710" s="10">
        <f>IFERROR(SUMIFS('Base bordo CD'!M$2:M$875,'Base bordo CD'!D$2:D$875,A710,'Base bordo CD'!A$2:A$875,B710,'Base bordo CD'!L$2:L$875,"AGUARDANDO MANOBRA DE TRANSBORDO"),0)+IFERROR(SUMIFS('Base bordo CD'!M$2:M$875,'Base bordo CD'!D$2:D$875,A710,'Base bordo CD'!A$2:A$875,B710,'Base bordo CD'!L$2:L$875,"FALTA DE TRANSBORDO"),0)</f>
        <v>0.11</v>
      </c>
      <c r="I710" s="10">
        <f>IFERROR(SUMIFS('Base bordo CD'!M$2:M$875,'Base bordo CD'!D$2:D$875,A710,'Base bordo CD'!A$2:A$875,B710,'Base bordo CD'!L$2:L$875,"PARADA POR CONDICOES CLIMATICAS"),0)+IFERROR(SUMIFS('Base bordo CD'!M$2:M$875,'Base bordo CD'!D$2:D$875,A710,'Base bordo CD'!A$2:A$875,B710,'Base bordo CD'!L$2:L$875,"TEMPO INDETERMINADO"),0)</f>
        <v>6.7058333333333326</v>
      </c>
      <c r="J710" s="10">
        <f>IFERROR(SUMIFS('Base bordo CD'!M$2:M$875,'Base bordo CD'!D$2:D$875,A710,'Base bordo CD'!A$2:A$875,B710,'Base bordo CD'!L$2:L$875,"LIMITAÇÃO INDÚSTRIA"),0)</f>
        <v>2.276388888888889</v>
      </c>
      <c r="K710" s="10">
        <f>IFERROR(SUMIFS('Base bordo CD'!M$2:M$875,'Base bordo CD'!D$2:D$875,A710,'Base bordo CD'!A$2:A$875,B710,'Base bordo CD'!L$2:L$875,"MAN CORRETIVA*"),0)+IFERROR(SUMIFS('Base bordo CD'!M$2:M$875,'Base bordo CD'!D$2:D$875,A710,'Base bordo CD'!A$2:A$875,B710,'Base bordo CD'!L$2:L$875,"AGUARDANDO MANUTENCAO*"),0)+IFERROR(SUMIFS('Base bordo CD'!M$2:M$875,'Base bordo CD'!D$2:D$875,A710,'Base bordo CD'!A$2:A$875,B710,'Base bordo CD'!L$2:L$875,"TROCA DE FAQUINHA"),0)+IFERROR(SUMIFS('Base bordo CD'!M$2:M$875,'Base bordo CD'!D$2:D$875,A710,'Base bordo CD'!A$2:A$875,B710,'Base bordo CD'!L$2:L$875,"LIMPEZA*"),0)</f>
        <v>1.8849999999999998</v>
      </c>
      <c r="L710" s="10">
        <f>IFERROR(SUMIFS('Base bordo CD'!M$2:M$875,'Base bordo CD'!D$2:D$875,A710,'Base bordo CD'!A$2:A$875,B710,'Base bordo CD'!L$2:L$875,"PATIO - RESERVA"),0)</f>
        <v>0.31472222222222224</v>
      </c>
      <c r="M710" s="10">
        <f>IFERROR(SUMIFS('Base bordo CD'!M$2:M$875,'Base bordo CD'!D$2:D$875,A710,'Base bordo CD'!A$2:A$875,B710,'Base bordo CD'!L$2:L$875,"SEM APONTAMENTO"),0)</f>
        <v>0.13333333333333333</v>
      </c>
      <c r="N710" s="10">
        <f>IFERROR(SUMIFS('Base bordo CD'!M$2:M$875,'Base bordo CD'!D$2:D$875,A710,'Base bordo CD'!A$2:A$875,B710,'Base bordo CD'!L$2:L$875,"FALTA DE CAMINHÃO"),0)+IFERROR(SUMIFS('Base bordo CD'!M$2:M$875,'Base bordo CD'!D$2:D$875,A710,'Base bordo CD'!A$2:A$875,B710,'Base bordo CD'!L$2:L$875,"FALTA DE COMBUSTIVEL"),0)+IFERROR(SUMIFS('Base bordo CD'!M$2:M$875,'Base bordo CD'!D$2:D$875,A710,'Base bordo CD'!A$2:A$875,B710,'Base bordo CD'!L$2:L$875,"FALTA DE MOTORIST*"),0)</f>
        <v>1.5150000000000001</v>
      </c>
      <c r="O710" s="10">
        <f t="shared" si="60"/>
        <v>0.31527777777778354</v>
      </c>
      <c r="P710" s="10">
        <f>IFERROR(SUMIFS('Base bordo CD'!M$2:M$875,'Base bordo CD'!D$2:D$875,A710,'Base bordo CD'!A$2:A$875,B710),0)</f>
        <v>24.000000000000004</v>
      </c>
      <c r="Q710" s="10">
        <f>IFERROR(SUMIFS('Base bordo CD'!O$2:O$875,'Base bordo CD'!D$2:D$875,A710,'Base bordo CD'!A$2:A$875,B710,'Base bordo CD'!L$2:L$875,"CORTE DE CANA MECANIZADO"),0)</f>
        <v>97141.5</v>
      </c>
      <c r="R710" s="10">
        <f>IFERROR(SUMIFS('Base bordo CD'!Q$2:Q$875,'Base bordo CD'!D$2:D$875,A710,'Base bordo CD'!A$2:A$875,B710,'Base bordo CD'!L$2:L$875,"CORTE DE CANA MECANIZADO"),0)</f>
        <v>23621</v>
      </c>
      <c r="S710" s="30">
        <f t="shared" si="61"/>
        <v>4.1125058210914016</v>
      </c>
      <c r="T710" s="9">
        <f t="shared" si="62"/>
        <v>0.27340277777777777</v>
      </c>
      <c r="U710" s="9">
        <f t="shared" si="63"/>
        <v>0.15003472222222222</v>
      </c>
      <c r="V710" s="9">
        <f t="shared" si="64"/>
        <v>0.70234953703703695</v>
      </c>
    </row>
    <row r="711" spans="1:22" hidden="1" x14ac:dyDescent="0.35">
      <c r="A711" s="52">
        <v>49588</v>
      </c>
      <c r="B711" s="31">
        <v>46118</v>
      </c>
      <c r="C711" s="7" t="s">
        <v>364</v>
      </c>
      <c r="D711" s="7">
        <v>352</v>
      </c>
      <c r="E711" s="10">
        <f>IFERROR(SUMIFS('Base bordo CD'!M$2:M$875,'Base bordo CD'!D$2:D$875,A711,'Base bordo CD'!A$2:A$875,B711,'Base bordo CD'!L$2:L$875,"CORTE DE CANA MECANIZADO"),0)</f>
        <v>6.5616666666666674</v>
      </c>
      <c r="F711" s="10">
        <f>IFERROR(SUMIFS('Base bordo CD'!M$2:M$875,'Base bordo CD'!D$2:D$875,A711,'Base bordo CD'!A$2:A$875,B711,'Base bordo CD'!L$2:L$875,"MANOBRA"),0)</f>
        <v>3.6008333333333336</v>
      </c>
      <c r="G711" s="10">
        <f>IFERROR(SUMIFS('Base bordo CD'!M$2:M$875,'Base bordo CD'!D$2:D$875,A711,'Base bordo CD'!A$2:A$875,B711,'Base bordo CD'!L$2:L$875,"DESLOCAMENTO"),0)</f>
        <v>0.58194444444444449</v>
      </c>
      <c r="H711" s="10">
        <f>IFERROR(SUMIFS('Base bordo CD'!M$2:M$875,'Base bordo CD'!D$2:D$875,A711,'Base bordo CD'!A$2:A$875,B711,'Base bordo CD'!L$2:L$875,"AGUARDANDO MANOBRA DE TRANSBORDO"),0)+IFERROR(SUMIFS('Base bordo CD'!M$2:M$875,'Base bordo CD'!D$2:D$875,A711,'Base bordo CD'!A$2:A$875,B711,'Base bordo CD'!L$2:L$875,"FALTA DE TRANSBORDO"),0)</f>
        <v>0.11</v>
      </c>
      <c r="I711" s="10">
        <f>IFERROR(SUMIFS('Base bordo CD'!M$2:M$875,'Base bordo CD'!D$2:D$875,A711,'Base bordo CD'!A$2:A$875,B711,'Base bordo CD'!L$2:L$875,"PARADA POR CONDICOES CLIMATICAS"),0)+IFERROR(SUMIFS('Base bordo CD'!M$2:M$875,'Base bordo CD'!D$2:D$875,A711,'Base bordo CD'!A$2:A$875,B711,'Base bordo CD'!L$2:L$875,"TEMPO INDETERMINADO"),0)</f>
        <v>6.7058333333333326</v>
      </c>
      <c r="J711" s="10">
        <f>IFERROR(SUMIFS('Base bordo CD'!M$2:M$875,'Base bordo CD'!D$2:D$875,A711,'Base bordo CD'!A$2:A$875,B711,'Base bordo CD'!L$2:L$875,"LIMITAÇÃO INDÚSTRIA"),0)</f>
        <v>2.276388888888889</v>
      </c>
      <c r="K711" s="10">
        <f>IFERROR(SUMIFS('Base bordo CD'!M$2:M$875,'Base bordo CD'!D$2:D$875,A711,'Base bordo CD'!A$2:A$875,B711,'Base bordo CD'!L$2:L$875,"MAN CORRETIVA*"),0)+IFERROR(SUMIFS('Base bordo CD'!M$2:M$875,'Base bordo CD'!D$2:D$875,A711,'Base bordo CD'!A$2:A$875,B711,'Base bordo CD'!L$2:L$875,"AGUARDANDO MANUTENCAO*"),0)+IFERROR(SUMIFS('Base bordo CD'!M$2:M$875,'Base bordo CD'!D$2:D$875,A711,'Base bordo CD'!A$2:A$875,B711,'Base bordo CD'!L$2:L$875,"TROCA DE FAQUINHA"),0)+IFERROR(SUMIFS('Base bordo CD'!M$2:M$875,'Base bordo CD'!D$2:D$875,A711,'Base bordo CD'!A$2:A$875,B711,'Base bordo CD'!L$2:L$875,"LIMPEZA*"),0)</f>
        <v>1.8849999999999998</v>
      </c>
      <c r="L711" s="10">
        <f>IFERROR(SUMIFS('Base bordo CD'!M$2:M$875,'Base bordo CD'!D$2:D$875,A711,'Base bordo CD'!A$2:A$875,B711,'Base bordo CD'!L$2:L$875,"PATIO - RESERVA"),0)</f>
        <v>0.31472222222222224</v>
      </c>
      <c r="M711" s="10">
        <f>IFERROR(SUMIFS('Base bordo CD'!M$2:M$875,'Base bordo CD'!D$2:D$875,A711,'Base bordo CD'!A$2:A$875,B711,'Base bordo CD'!L$2:L$875,"SEM APONTAMENTO"),0)</f>
        <v>0.13333333333333333</v>
      </c>
      <c r="N711" s="10">
        <f>IFERROR(SUMIFS('Base bordo CD'!M$2:M$875,'Base bordo CD'!D$2:D$875,A711,'Base bordo CD'!A$2:A$875,B711,'Base bordo CD'!L$2:L$875,"FALTA DE CAMINHÃO"),0)+IFERROR(SUMIFS('Base bordo CD'!M$2:M$875,'Base bordo CD'!D$2:D$875,A711,'Base bordo CD'!A$2:A$875,B711,'Base bordo CD'!L$2:L$875,"FALTA DE COMBUSTIVEL"),0)+IFERROR(SUMIFS('Base bordo CD'!M$2:M$875,'Base bordo CD'!D$2:D$875,A711,'Base bordo CD'!A$2:A$875,B711,'Base bordo CD'!L$2:L$875,"FALTA DE MOTORIST*"),0)</f>
        <v>1.5150000000000001</v>
      </c>
      <c r="O711" s="10">
        <f t="shared" si="60"/>
        <v>0.31527777777778354</v>
      </c>
      <c r="P711" s="10">
        <f>IFERROR(SUMIFS('Base bordo CD'!M$2:M$875,'Base bordo CD'!D$2:D$875,A711,'Base bordo CD'!A$2:A$875,B711),0)</f>
        <v>24.000000000000004</v>
      </c>
      <c r="Q711" s="10">
        <f>IFERROR(SUMIFS('Base bordo CD'!O$2:O$875,'Base bordo CD'!D$2:D$875,A711,'Base bordo CD'!A$2:A$875,B711,'Base bordo CD'!L$2:L$875,"CORTE DE CANA MECANIZADO"),0)</f>
        <v>97141.5</v>
      </c>
      <c r="R711" s="10">
        <f>IFERROR(SUMIFS('Base bordo CD'!Q$2:Q$875,'Base bordo CD'!D$2:D$875,A711,'Base bordo CD'!A$2:A$875,B711,'Base bordo CD'!L$2:L$875,"CORTE DE CANA MECANIZADO"),0)</f>
        <v>23621</v>
      </c>
      <c r="S711" s="30">
        <f t="shared" si="61"/>
        <v>4.1125058210914016</v>
      </c>
      <c r="T711" s="9">
        <f t="shared" si="62"/>
        <v>0.27340277777777777</v>
      </c>
      <c r="U711" s="9">
        <f t="shared" si="63"/>
        <v>0.15003472222222222</v>
      </c>
      <c r="V711" s="9">
        <f t="shared" si="64"/>
        <v>0.70234953703703695</v>
      </c>
    </row>
    <row r="712" spans="1:22" hidden="1" x14ac:dyDescent="0.35">
      <c r="A712" s="52">
        <v>49588</v>
      </c>
      <c r="B712" s="31">
        <v>46118</v>
      </c>
      <c r="C712" s="7" t="s">
        <v>364</v>
      </c>
      <c r="D712" s="7">
        <v>352</v>
      </c>
      <c r="E712" s="10">
        <f>IFERROR(SUMIFS('Base bordo CD'!M$2:M$875,'Base bordo CD'!D$2:D$875,A712,'Base bordo CD'!A$2:A$875,B712,'Base bordo CD'!L$2:L$875,"CORTE DE CANA MECANIZADO"),0)</f>
        <v>6.5616666666666674</v>
      </c>
      <c r="F712" s="10">
        <f>IFERROR(SUMIFS('Base bordo CD'!M$2:M$875,'Base bordo CD'!D$2:D$875,A712,'Base bordo CD'!A$2:A$875,B712,'Base bordo CD'!L$2:L$875,"MANOBRA"),0)</f>
        <v>3.6008333333333336</v>
      </c>
      <c r="G712" s="10">
        <f>IFERROR(SUMIFS('Base bordo CD'!M$2:M$875,'Base bordo CD'!D$2:D$875,A712,'Base bordo CD'!A$2:A$875,B712,'Base bordo CD'!L$2:L$875,"DESLOCAMENTO"),0)</f>
        <v>0.58194444444444449</v>
      </c>
      <c r="H712" s="10">
        <f>IFERROR(SUMIFS('Base bordo CD'!M$2:M$875,'Base bordo CD'!D$2:D$875,A712,'Base bordo CD'!A$2:A$875,B712,'Base bordo CD'!L$2:L$875,"AGUARDANDO MANOBRA DE TRANSBORDO"),0)+IFERROR(SUMIFS('Base bordo CD'!M$2:M$875,'Base bordo CD'!D$2:D$875,A712,'Base bordo CD'!A$2:A$875,B712,'Base bordo CD'!L$2:L$875,"FALTA DE TRANSBORDO"),0)</f>
        <v>0.11</v>
      </c>
      <c r="I712" s="10">
        <f>IFERROR(SUMIFS('Base bordo CD'!M$2:M$875,'Base bordo CD'!D$2:D$875,A712,'Base bordo CD'!A$2:A$875,B712,'Base bordo CD'!L$2:L$875,"PARADA POR CONDICOES CLIMATICAS"),0)+IFERROR(SUMIFS('Base bordo CD'!M$2:M$875,'Base bordo CD'!D$2:D$875,A712,'Base bordo CD'!A$2:A$875,B712,'Base bordo CD'!L$2:L$875,"TEMPO INDETERMINADO"),0)</f>
        <v>6.7058333333333326</v>
      </c>
      <c r="J712" s="10">
        <f>IFERROR(SUMIFS('Base bordo CD'!M$2:M$875,'Base bordo CD'!D$2:D$875,A712,'Base bordo CD'!A$2:A$875,B712,'Base bordo CD'!L$2:L$875,"LIMITAÇÃO INDÚSTRIA"),0)</f>
        <v>2.276388888888889</v>
      </c>
      <c r="K712" s="10">
        <f>IFERROR(SUMIFS('Base bordo CD'!M$2:M$875,'Base bordo CD'!D$2:D$875,A712,'Base bordo CD'!A$2:A$875,B712,'Base bordo CD'!L$2:L$875,"MAN CORRETIVA*"),0)+IFERROR(SUMIFS('Base bordo CD'!M$2:M$875,'Base bordo CD'!D$2:D$875,A712,'Base bordo CD'!A$2:A$875,B712,'Base bordo CD'!L$2:L$875,"AGUARDANDO MANUTENCAO*"),0)+IFERROR(SUMIFS('Base bordo CD'!M$2:M$875,'Base bordo CD'!D$2:D$875,A712,'Base bordo CD'!A$2:A$875,B712,'Base bordo CD'!L$2:L$875,"TROCA DE FAQUINHA"),0)+IFERROR(SUMIFS('Base bordo CD'!M$2:M$875,'Base bordo CD'!D$2:D$875,A712,'Base bordo CD'!A$2:A$875,B712,'Base bordo CD'!L$2:L$875,"LIMPEZA*"),0)</f>
        <v>1.8849999999999998</v>
      </c>
      <c r="L712" s="10">
        <f>IFERROR(SUMIFS('Base bordo CD'!M$2:M$875,'Base bordo CD'!D$2:D$875,A712,'Base bordo CD'!A$2:A$875,B712,'Base bordo CD'!L$2:L$875,"PATIO - RESERVA"),0)</f>
        <v>0.31472222222222224</v>
      </c>
      <c r="M712" s="10">
        <f>IFERROR(SUMIFS('Base bordo CD'!M$2:M$875,'Base bordo CD'!D$2:D$875,A712,'Base bordo CD'!A$2:A$875,B712,'Base bordo CD'!L$2:L$875,"SEM APONTAMENTO"),0)</f>
        <v>0.13333333333333333</v>
      </c>
      <c r="N712" s="10">
        <f>IFERROR(SUMIFS('Base bordo CD'!M$2:M$875,'Base bordo CD'!D$2:D$875,A712,'Base bordo CD'!A$2:A$875,B712,'Base bordo CD'!L$2:L$875,"FALTA DE CAMINHÃO"),0)+IFERROR(SUMIFS('Base bordo CD'!M$2:M$875,'Base bordo CD'!D$2:D$875,A712,'Base bordo CD'!A$2:A$875,B712,'Base bordo CD'!L$2:L$875,"FALTA DE COMBUSTIVEL"),0)+IFERROR(SUMIFS('Base bordo CD'!M$2:M$875,'Base bordo CD'!D$2:D$875,A712,'Base bordo CD'!A$2:A$875,B712,'Base bordo CD'!L$2:L$875,"FALTA DE MOTORIST*"),0)</f>
        <v>1.5150000000000001</v>
      </c>
      <c r="O712" s="10">
        <f t="shared" si="60"/>
        <v>0.31527777777778354</v>
      </c>
      <c r="P712" s="10">
        <f>IFERROR(SUMIFS('Base bordo CD'!M$2:M$875,'Base bordo CD'!D$2:D$875,A712,'Base bordo CD'!A$2:A$875,B712),0)</f>
        <v>24.000000000000004</v>
      </c>
      <c r="Q712" s="10">
        <f>IFERROR(SUMIFS('Base bordo CD'!O$2:O$875,'Base bordo CD'!D$2:D$875,A712,'Base bordo CD'!A$2:A$875,B712,'Base bordo CD'!L$2:L$875,"CORTE DE CANA MECANIZADO"),0)</f>
        <v>97141.5</v>
      </c>
      <c r="R712" s="10">
        <f>IFERROR(SUMIFS('Base bordo CD'!Q$2:Q$875,'Base bordo CD'!D$2:D$875,A712,'Base bordo CD'!A$2:A$875,B712,'Base bordo CD'!L$2:L$875,"CORTE DE CANA MECANIZADO"),0)</f>
        <v>23621</v>
      </c>
      <c r="S712" s="30">
        <f t="shared" si="61"/>
        <v>4.1125058210914016</v>
      </c>
      <c r="T712" s="9">
        <f t="shared" si="62"/>
        <v>0.27340277777777777</v>
      </c>
      <c r="U712" s="9">
        <f t="shared" si="63"/>
        <v>0.15003472222222222</v>
      </c>
      <c r="V712" s="9">
        <f t="shared" si="64"/>
        <v>0.70234953703703695</v>
      </c>
    </row>
    <row r="713" spans="1:22" hidden="1" x14ac:dyDescent="0.35">
      <c r="A713" s="52">
        <v>49588</v>
      </c>
      <c r="B713" s="31">
        <v>46118</v>
      </c>
      <c r="C713" s="7" t="s">
        <v>364</v>
      </c>
      <c r="D713" s="7">
        <v>352</v>
      </c>
      <c r="E713" s="10">
        <f>IFERROR(SUMIFS('Base bordo CD'!M$2:M$875,'Base bordo CD'!D$2:D$875,A713,'Base bordo CD'!A$2:A$875,B713,'Base bordo CD'!L$2:L$875,"CORTE DE CANA MECANIZADO"),0)</f>
        <v>6.5616666666666674</v>
      </c>
      <c r="F713" s="10">
        <f>IFERROR(SUMIFS('Base bordo CD'!M$2:M$875,'Base bordo CD'!D$2:D$875,A713,'Base bordo CD'!A$2:A$875,B713,'Base bordo CD'!L$2:L$875,"MANOBRA"),0)</f>
        <v>3.6008333333333336</v>
      </c>
      <c r="G713" s="10">
        <f>IFERROR(SUMIFS('Base bordo CD'!M$2:M$875,'Base bordo CD'!D$2:D$875,A713,'Base bordo CD'!A$2:A$875,B713,'Base bordo CD'!L$2:L$875,"DESLOCAMENTO"),0)</f>
        <v>0.58194444444444449</v>
      </c>
      <c r="H713" s="10">
        <f>IFERROR(SUMIFS('Base bordo CD'!M$2:M$875,'Base bordo CD'!D$2:D$875,A713,'Base bordo CD'!A$2:A$875,B713,'Base bordo CD'!L$2:L$875,"AGUARDANDO MANOBRA DE TRANSBORDO"),0)+IFERROR(SUMIFS('Base bordo CD'!M$2:M$875,'Base bordo CD'!D$2:D$875,A713,'Base bordo CD'!A$2:A$875,B713,'Base bordo CD'!L$2:L$875,"FALTA DE TRANSBORDO"),0)</f>
        <v>0.11</v>
      </c>
      <c r="I713" s="10">
        <f>IFERROR(SUMIFS('Base bordo CD'!M$2:M$875,'Base bordo CD'!D$2:D$875,A713,'Base bordo CD'!A$2:A$875,B713,'Base bordo CD'!L$2:L$875,"PARADA POR CONDICOES CLIMATICAS"),0)+IFERROR(SUMIFS('Base bordo CD'!M$2:M$875,'Base bordo CD'!D$2:D$875,A713,'Base bordo CD'!A$2:A$875,B713,'Base bordo CD'!L$2:L$875,"TEMPO INDETERMINADO"),0)</f>
        <v>6.7058333333333326</v>
      </c>
      <c r="J713" s="10">
        <f>IFERROR(SUMIFS('Base bordo CD'!M$2:M$875,'Base bordo CD'!D$2:D$875,A713,'Base bordo CD'!A$2:A$875,B713,'Base bordo CD'!L$2:L$875,"LIMITAÇÃO INDÚSTRIA"),0)</f>
        <v>2.276388888888889</v>
      </c>
      <c r="K713" s="10">
        <f>IFERROR(SUMIFS('Base bordo CD'!M$2:M$875,'Base bordo CD'!D$2:D$875,A713,'Base bordo CD'!A$2:A$875,B713,'Base bordo CD'!L$2:L$875,"MAN CORRETIVA*"),0)+IFERROR(SUMIFS('Base bordo CD'!M$2:M$875,'Base bordo CD'!D$2:D$875,A713,'Base bordo CD'!A$2:A$875,B713,'Base bordo CD'!L$2:L$875,"AGUARDANDO MANUTENCAO*"),0)+IFERROR(SUMIFS('Base bordo CD'!M$2:M$875,'Base bordo CD'!D$2:D$875,A713,'Base bordo CD'!A$2:A$875,B713,'Base bordo CD'!L$2:L$875,"TROCA DE FAQUINHA"),0)+IFERROR(SUMIFS('Base bordo CD'!M$2:M$875,'Base bordo CD'!D$2:D$875,A713,'Base bordo CD'!A$2:A$875,B713,'Base bordo CD'!L$2:L$875,"LIMPEZA*"),0)</f>
        <v>1.8849999999999998</v>
      </c>
      <c r="L713" s="10">
        <f>IFERROR(SUMIFS('Base bordo CD'!M$2:M$875,'Base bordo CD'!D$2:D$875,A713,'Base bordo CD'!A$2:A$875,B713,'Base bordo CD'!L$2:L$875,"PATIO - RESERVA"),0)</f>
        <v>0.31472222222222224</v>
      </c>
      <c r="M713" s="10">
        <f>IFERROR(SUMIFS('Base bordo CD'!M$2:M$875,'Base bordo CD'!D$2:D$875,A713,'Base bordo CD'!A$2:A$875,B713,'Base bordo CD'!L$2:L$875,"SEM APONTAMENTO"),0)</f>
        <v>0.13333333333333333</v>
      </c>
      <c r="N713" s="10">
        <f>IFERROR(SUMIFS('Base bordo CD'!M$2:M$875,'Base bordo CD'!D$2:D$875,A713,'Base bordo CD'!A$2:A$875,B713,'Base bordo CD'!L$2:L$875,"FALTA DE CAMINHÃO"),0)+IFERROR(SUMIFS('Base bordo CD'!M$2:M$875,'Base bordo CD'!D$2:D$875,A713,'Base bordo CD'!A$2:A$875,B713,'Base bordo CD'!L$2:L$875,"FALTA DE COMBUSTIVEL"),0)+IFERROR(SUMIFS('Base bordo CD'!M$2:M$875,'Base bordo CD'!D$2:D$875,A713,'Base bordo CD'!A$2:A$875,B713,'Base bordo CD'!L$2:L$875,"FALTA DE MOTORIST*"),0)</f>
        <v>1.5150000000000001</v>
      </c>
      <c r="O713" s="10">
        <f t="shared" si="60"/>
        <v>0.31527777777778354</v>
      </c>
      <c r="P713" s="10">
        <f>IFERROR(SUMIFS('Base bordo CD'!M$2:M$875,'Base bordo CD'!D$2:D$875,A713,'Base bordo CD'!A$2:A$875,B713),0)</f>
        <v>24.000000000000004</v>
      </c>
      <c r="Q713" s="10">
        <f>IFERROR(SUMIFS('Base bordo CD'!O$2:O$875,'Base bordo CD'!D$2:D$875,A713,'Base bordo CD'!A$2:A$875,B713,'Base bordo CD'!L$2:L$875,"CORTE DE CANA MECANIZADO"),0)</f>
        <v>97141.5</v>
      </c>
      <c r="R713" s="10">
        <f>IFERROR(SUMIFS('Base bordo CD'!Q$2:Q$875,'Base bordo CD'!D$2:D$875,A713,'Base bordo CD'!A$2:A$875,B713,'Base bordo CD'!L$2:L$875,"CORTE DE CANA MECANIZADO"),0)</f>
        <v>23621</v>
      </c>
      <c r="S713" s="30">
        <f t="shared" si="61"/>
        <v>4.1125058210914016</v>
      </c>
      <c r="T713" s="9">
        <f t="shared" si="62"/>
        <v>0.27340277777777777</v>
      </c>
      <c r="U713" s="9">
        <f t="shared" si="63"/>
        <v>0.15003472222222222</v>
      </c>
      <c r="V713" s="9">
        <f t="shared" si="64"/>
        <v>0.70234953703703695</v>
      </c>
    </row>
    <row r="714" spans="1:22" hidden="1" x14ac:dyDescent="0.35">
      <c r="A714" s="52">
        <v>49588</v>
      </c>
      <c r="B714" s="31">
        <v>46118</v>
      </c>
      <c r="C714" s="7" t="s">
        <v>364</v>
      </c>
      <c r="D714" s="7">
        <v>352</v>
      </c>
      <c r="E714" s="10">
        <f>IFERROR(SUMIFS('Base bordo CD'!M$2:M$875,'Base bordo CD'!D$2:D$875,A714,'Base bordo CD'!A$2:A$875,B714,'Base bordo CD'!L$2:L$875,"CORTE DE CANA MECANIZADO"),0)</f>
        <v>6.5616666666666674</v>
      </c>
      <c r="F714" s="10">
        <f>IFERROR(SUMIFS('Base bordo CD'!M$2:M$875,'Base bordo CD'!D$2:D$875,A714,'Base bordo CD'!A$2:A$875,B714,'Base bordo CD'!L$2:L$875,"MANOBRA"),0)</f>
        <v>3.6008333333333336</v>
      </c>
      <c r="G714" s="10">
        <f>IFERROR(SUMIFS('Base bordo CD'!M$2:M$875,'Base bordo CD'!D$2:D$875,A714,'Base bordo CD'!A$2:A$875,B714,'Base bordo CD'!L$2:L$875,"DESLOCAMENTO"),0)</f>
        <v>0.58194444444444449</v>
      </c>
      <c r="H714" s="10">
        <f>IFERROR(SUMIFS('Base bordo CD'!M$2:M$875,'Base bordo CD'!D$2:D$875,A714,'Base bordo CD'!A$2:A$875,B714,'Base bordo CD'!L$2:L$875,"AGUARDANDO MANOBRA DE TRANSBORDO"),0)+IFERROR(SUMIFS('Base bordo CD'!M$2:M$875,'Base bordo CD'!D$2:D$875,A714,'Base bordo CD'!A$2:A$875,B714,'Base bordo CD'!L$2:L$875,"FALTA DE TRANSBORDO"),0)</f>
        <v>0.11</v>
      </c>
      <c r="I714" s="10">
        <f>IFERROR(SUMIFS('Base bordo CD'!M$2:M$875,'Base bordo CD'!D$2:D$875,A714,'Base bordo CD'!A$2:A$875,B714,'Base bordo CD'!L$2:L$875,"PARADA POR CONDICOES CLIMATICAS"),0)+IFERROR(SUMIFS('Base bordo CD'!M$2:M$875,'Base bordo CD'!D$2:D$875,A714,'Base bordo CD'!A$2:A$875,B714,'Base bordo CD'!L$2:L$875,"TEMPO INDETERMINADO"),0)</f>
        <v>6.7058333333333326</v>
      </c>
      <c r="J714" s="10">
        <f>IFERROR(SUMIFS('Base bordo CD'!M$2:M$875,'Base bordo CD'!D$2:D$875,A714,'Base bordo CD'!A$2:A$875,B714,'Base bordo CD'!L$2:L$875,"LIMITAÇÃO INDÚSTRIA"),0)</f>
        <v>2.276388888888889</v>
      </c>
      <c r="K714" s="10">
        <f>IFERROR(SUMIFS('Base bordo CD'!M$2:M$875,'Base bordo CD'!D$2:D$875,A714,'Base bordo CD'!A$2:A$875,B714,'Base bordo CD'!L$2:L$875,"MAN CORRETIVA*"),0)+IFERROR(SUMIFS('Base bordo CD'!M$2:M$875,'Base bordo CD'!D$2:D$875,A714,'Base bordo CD'!A$2:A$875,B714,'Base bordo CD'!L$2:L$875,"AGUARDANDO MANUTENCAO*"),0)+IFERROR(SUMIFS('Base bordo CD'!M$2:M$875,'Base bordo CD'!D$2:D$875,A714,'Base bordo CD'!A$2:A$875,B714,'Base bordo CD'!L$2:L$875,"TROCA DE FAQUINHA"),0)+IFERROR(SUMIFS('Base bordo CD'!M$2:M$875,'Base bordo CD'!D$2:D$875,A714,'Base bordo CD'!A$2:A$875,B714,'Base bordo CD'!L$2:L$875,"LIMPEZA*"),0)</f>
        <v>1.8849999999999998</v>
      </c>
      <c r="L714" s="10">
        <f>IFERROR(SUMIFS('Base bordo CD'!M$2:M$875,'Base bordo CD'!D$2:D$875,A714,'Base bordo CD'!A$2:A$875,B714,'Base bordo CD'!L$2:L$875,"PATIO - RESERVA"),0)</f>
        <v>0.31472222222222224</v>
      </c>
      <c r="M714" s="10">
        <f>IFERROR(SUMIFS('Base bordo CD'!M$2:M$875,'Base bordo CD'!D$2:D$875,A714,'Base bordo CD'!A$2:A$875,B714,'Base bordo CD'!L$2:L$875,"SEM APONTAMENTO"),0)</f>
        <v>0.13333333333333333</v>
      </c>
      <c r="N714" s="10">
        <f>IFERROR(SUMIFS('Base bordo CD'!M$2:M$875,'Base bordo CD'!D$2:D$875,A714,'Base bordo CD'!A$2:A$875,B714,'Base bordo CD'!L$2:L$875,"FALTA DE CAMINHÃO"),0)+IFERROR(SUMIFS('Base bordo CD'!M$2:M$875,'Base bordo CD'!D$2:D$875,A714,'Base bordo CD'!A$2:A$875,B714,'Base bordo CD'!L$2:L$875,"FALTA DE COMBUSTIVEL"),0)+IFERROR(SUMIFS('Base bordo CD'!M$2:M$875,'Base bordo CD'!D$2:D$875,A714,'Base bordo CD'!A$2:A$875,B714,'Base bordo CD'!L$2:L$875,"FALTA DE MOTORIST*"),0)</f>
        <v>1.5150000000000001</v>
      </c>
      <c r="O714" s="10">
        <f t="shared" si="60"/>
        <v>0.31527777777778354</v>
      </c>
      <c r="P714" s="10">
        <f>IFERROR(SUMIFS('Base bordo CD'!M$2:M$875,'Base bordo CD'!D$2:D$875,A714,'Base bordo CD'!A$2:A$875,B714),0)</f>
        <v>24.000000000000004</v>
      </c>
      <c r="Q714" s="10">
        <f>IFERROR(SUMIFS('Base bordo CD'!O$2:O$875,'Base bordo CD'!D$2:D$875,A714,'Base bordo CD'!A$2:A$875,B714,'Base bordo CD'!L$2:L$875,"CORTE DE CANA MECANIZADO"),0)</f>
        <v>97141.5</v>
      </c>
      <c r="R714" s="10">
        <f>IFERROR(SUMIFS('Base bordo CD'!Q$2:Q$875,'Base bordo CD'!D$2:D$875,A714,'Base bordo CD'!A$2:A$875,B714,'Base bordo CD'!L$2:L$875,"CORTE DE CANA MECANIZADO"),0)</f>
        <v>23621</v>
      </c>
      <c r="S714" s="30">
        <f t="shared" si="61"/>
        <v>4.1125058210914016</v>
      </c>
      <c r="T714" s="9">
        <f t="shared" si="62"/>
        <v>0.27340277777777777</v>
      </c>
      <c r="U714" s="9">
        <f t="shared" si="63"/>
        <v>0.15003472222222222</v>
      </c>
      <c r="V714" s="9">
        <f t="shared" si="64"/>
        <v>0.70234953703703695</v>
      </c>
    </row>
    <row r="715" spans="1:22" hidden="1" x14ac:dyDescent="0.35">
      <c r="A715" s="52">
        <v>49588</v>
      </c>
      <c r="B715" s="31">
        <v>46118</v>
      </c>
      <c r="C715" s="7" t="s">
        <v>364</v>
      </c>
      <c r="D715" s="7">
        <v>352</v>
      </c>
      <c r="E715" s="10">
        <f>IFERROR(SUMIFS('Base bordo CD'!M$2:M$875,'Base bordo CD'!D$2:D$875,A715,'Base bordo CD'!A$2:A$875,B715,'Base bordo CD'!L$2:L$875,"CORTE DE CANA MECANIZADO"),0)</f>
        <v>6.5616666666666674</v>
      </c>
      <c r="F715" s="10">
        <f>IFERROR(SUMIFS('Base bordo CD'!M$2:M$875,'Base bordo CD'!D$2:D$875,A715,'Base bordo CD'!A$2:A$875,B715,'Base bordo CD'!L$2:L$875,"MANOBRA"),0)</f>
        <v>3.6008333333333336</v>
      </c>
      <c r="G715" s="10">
        <f>IFERROR(SUMIFS('Base bordo CD'!M$2:M$875,'Base bordo CD'!D$2:D$875,A715,'Base bordo CD'!A$2:A$875,B715,'Base bordo CD'!L$2:L$875,"DESLOCAMENTO"),0)</f>
        <v>0.58194444444444449</v>
      </c>
      <c r="H715" s="10">
        <f>IFERROR(SUMIFS('Base bordo CD'!M$2:M$875,'Base bordo CD'!D$2:D$875,A715,'Base bordo CD'!A$2:A$875,B715,'Base bordo CD'!L$2:L$875,"AGUARDANDO MANOBRA DE TRANSBORDO"),0)+IFERROR(SUMIFS('Base bordo CD'!M$2:M$875,'Base bordo CD'!D$2:D$875,A715,'Base bordo CD'!A$2:A$875,B715,'Base bordo CD'!L$2:L$875,"FALTA DE TRANSBORDO"),0)</f>
        <v>0.11</v>
      </c>
      <c r="I715" s="10">
        <f>IFERROR(SUMIFS('Base bordo CD'!M$2:M$875,'Base bordo CD'!D$2:D$875,A715,'Base bordo CD'!A$2:A$875,B715,'Base bordo CD'!L$2:L$875,"PARADA POR CONDICOES CLIMATICAS"),0)+IFERROR(SUMIFS('Base bordo CD'!M$2:M$875,'Base bordo CD'!D$2:D$875,A715,'Base bordo CD'!A$2:A$875,B715,'Base bordo CD'!L$2:L$875,"TEMPO INDETERMINADO"),0)</f>
        <v>6.7058333333333326</v>
      </c>
      <c r="J715" s="10">
        <f>IFERROR(SUMIFS('Base bordo CD'!M$2:M$875,'Base bordo CD'!D$2:D$875,A715,'Base bordo CD'!A$2:A$875,B715,'Base bordo CD'!L$2:L$875,"LIMITAÇÃO INDÚSTRIA"),0)</f>
        <v>2.276388888888889</v>
      </c>
      <c r="K715" s="10">
        <f>IFERROR(SUMIFS('Base bordo CD'!M$2:M$875,'Base bordo CD'!D$2:D$875,A715,'Base bordo CD'!A$2:A$875,B715,'Base bordo CD'!L$2:L$875,"MAN CORRETIVA*"),0)+IFERROR(SUMIFS('Base bordo CD'!M$2:M$875,'Base bordo CD'!D$2:D$875,A715,'Base bordo CD'!A$2:A$875,B715,'Base bordo CD'!L$2:L$875,"AGUARDANDO MANUTENCAO*"),0)+IFERROR(SUMIFS('Base bordo CD'!M$2:M$875,'Base bordo CD'!D$2:D$875,A715,'Base bordo CD'!A$2:A$875,B715,'Base bordo CD'!L$2:L$875,"TROCA DE FAQUINHA"),0)+IFERROR(SUMIFS('Base bordo CD'!M$2:M$875,'Base bordo CD'!D$2:D$875,A715,'Base bordo CD'!A$2:A$875,B715,'Base bordo CD'!L$2:L$875,"LIMPEZA*"),0)</f>
        <v>1.8849999999999998</v>
      </c>
      <c r="L715" s="10">
        <f>IFERROR(SUMIFS('Base bordo CD'!M$2:M$875,'Base bordo CD'!D$2:D$875,A715,'Base bordo CD'!A$2:A$875,B715,'Base bordo CD'!L$2:L$875,"PATIO - RESERVA"),0)</f>
        <v>0.31472222222222224</v>
      </c>
      <c r="M715" s="10">
        <f>IFERROR(SUMIFS('Base bordo CD'!M$2:M$875,'Base bordo CD'!D$2:D$875,A715,'Base bordo CD'!A$2:A$875,B715,'Base bordo CD'!L$2:L$875,"SEM APONTAMENTO"),0)</f>
        <v>0.13333333333333333</v>
      </c>
      <c r="N715" s="10">
        <f>IFERROR(SUMIFS('Base bordo CD'!M$2:M$875,'Base bordo CD'!D$2:D$875,A715,'Base bordo CD'!A$2:A$875,B715,'Base bordo CD'!L$2:L$875,"FALTA DE CAMINHÃO"),0)+IFERROR(SUMIFS('Base bordo CD'!M$2:M$875,'Base bordo CD'!D$2:D$875,A715,'Base bordo CD'!A$2:A$875,B715,'Base bordo CD'!L$2:L$875,"FALTA DE COMBUSTIVEL"),0)+IFERROR(SUMIFS('Base bordo CD'!M$2:M$875,'Base bordo CD'!D$2:D$875,A715,'Base bordo CD'!A$2:A$875,B715,'Base bordo CD'!L$2:L$875,"FALTA DE MOTORIST*"),0)</f>
        <v>1.5150000000000001</v>
      </c>
      <c r="O715" s="10">
        <f t="shared" si="60"/>
        <v>0.31527777777778354</v>
      </c>
      <c r="P715" s="10">
        <f>IFERROR(SUMIFS('Base bordo CD'!M$2:M$875,'Base bordo CD'!D$2:D$875,A715,'Base bordo CD'!A$2:A$875,B715),0)</f>
        <v>24.000000000000004</v>
      </c>
      <c r="Q715" s="10">
        <f>IFERROR(SUMIFS('Base bordo CD'!O$2:O$875,'Base bordo CD'!D$2:D$875,A715,'Base bordo CD'!A$2:A$875,B715,'Base bordo CD'!L$2:L$875,"CORTE DE CANA MECANIZADO"),0)</f>
        <v>97141.5</v>
      </c>
      <c r="R715" s="10">
        <f>IFERROR(SUMIFS('Base bordo CD'!Q$2:Q$875,'Base bordo CD'!D$2:D$875,A715,'Base bordo CD'!A$2:A$875,B715,'Base bordo CD'!L$2:L$875,"CORTE DE CANA MECANIZADO"),0)</f>
        <v>23621</v>
      </c>
      <c r="S715" s="30">
        <f t="shared" si="61"/>
        <v>4.1125058210914016</v>
      </c>
      <c r="T715" s="9">
        <f t="shared" si="62"/>
        <v>0.27340277777777777</v>
      </c>
      <c r="U715" s="9">
        <f t="shared" si="63"/>
        <v>0.15003472222222222</v>
      </c>
      <c r="V715" s="9">
        <f t="shared" si="64"/>
        <v>0.70234953703703695</v>
      </c>
    </row>
    <row r="716" spans="1:22" hidden="1" x14ac:dyDescent="0.35">
      <c r="A716" s="52">
        <v>49588</v>
      </c>
      <c r="B716" s="31">
        <v>46118</v>
      </c>
      <c r="C716" s="7" t="s">
        <v>364</v>
      </c>
      <c r="D716" s="7">
        <v>352</v>
      </c>
      <c r="E716" s="10">
        <f>IFERROR(SUMIFS('Base bordo CD'!M$2:M$875,'Base bordo CD'!D$2:D$875,A716,'Base bordo CD'!A$2:A$875,B716,'Base bordo CD'!L$2:L$875,"CORTE DE CANA MECANIZADO"),0)</f>
        <v>6.5616666666666674</v>
      </c>
      <c r="F716" s="10">
        <f>IFERROR(SUMIFS('Base bordo CD'!M$2:M$875,'Base bordo CD'!D$2:D$875,A716,'Base bordo CD'!A$2:A$875,B716,'Base bordo CD'!L$2:L$875,"MANOBRA"),0)</f>
        <v>3.6008333333333336</v>
      </c>
      <c r="G716" s="10">
        <f>IFERROR(SUMIFS('Base bordo CD'!M$2:M$875,'Base bordo CD'!D$2:D$875,A716,'Base bordo CD'!A$2:A$875,B716,'Base bordo CD'!L$2:L$875,"DESLOCAMENTO"),0)</f>
        <v>0.58194444444444449</v>
      </c>
      <c r="H716" s="10">
        <f>IFERROR(SUMIFS('Base bordo CD'!M$2:M$875,'Base bordo CD'!D$2:D$875,A716,'Base bordo CD'!A$2:A$875,B716,'Base bordo CD'!L$2:L$875,"AGUARDANDO MANOBRA DE TRANSBORDO"),0)+IFERROR(SUMIFS('Base bordo CD'!M$2:M$875,'Base bordo CD'!D$2:D$875,A716,'Base bordo CD'!A$2:A$875,B716,'Base bordo CD'!L$2:L$875,"FALTA DE TRANSBORDO"),0)</f>
        <v>0.11</v>
      </c>
      <c r="I716" s="10">
        <f>IFERROR(SUMIFS('Base bordo CD'!M$2:M$875,'Base bordo CD'!D$2:D$875,A716,'Base bordo CD'!A$2:A$875,B716,'Base bordo CD'!L$2:L$875,"PARADA POR CONDICOES CLIMATICAS"),0)+IFERROR(SUMIFS('Base bordo CD'!M$2:M$875,'Base bordo CD'!D$2:D$875,A716,'Base bordo CD'!A$2:A$875,B716,'Base bordo CD'!L$2:L$875,"TEMPO INDETERMINADO"),0)</f>
        <v>6.7058333333333326</v>
      </c>
      <c r="J716" s="10">
        <f>IFERROR(SUMIFS('Base bordo CD'!M$2:M$875,'Base bordo CD'!D$2:D$875,A716,'Base bordo CD'!A$2:A$875,B716,'Base bordo CD'!L$2:L$875,"LIMITAÇÃO INDÚSTRIA"),0)</f>
        <v>2.276388888888889</v>
      </c>
      <c r="K716" s="10">
        <f>IFERROR(SUMIFS('Base bordo CD'!M$2:M$875,'Base bordo CD'!D$2:D$875,A716,'Base bordo CD'!A$2:A$875,B716,'Base bordo CD'!L$2:L$875,"MAN CORRETIVA*"),0)+IFERROR(SUMIFS('Base bordo CD'!M$2:M$875,'Base bordo CD'!D$2:D$875,A716,'Base bordo CD'!A$2:A$875,B716,'Base bordo CD'!L$2:L$875,"AGUARDANDO MANUTENCAO*"),0)+IFERROR(SUMIFS('Base bordo CD'!M$2:M$875,'Base bordo CD'!D$2:D$875,A716,'Base bordo CD'!A$2:A$875,B716,'Base bordo CD'!L$2:L$875,"TROCA DE FAQUINHA"),0)+IFERROR(SUMIFS('Base bordo CD'!M$2:M$875,'Base bordo CD'!D$2:D$875,A716,'Base bordo CD'!A$2:A$875,B716,'Base bordo CD'!L$2:L$875,"LIMPEZA*"),0)</f>
        <v>1.8849999999999998</v>
      </c>
      <c r="L716" s="10">
        <f>IFERROR(SUMIFS('Base bordo CD'!M$2:M$875,'Base bordo CD'!D$2:D$875,A716,'Base bordo CD'!A$2:A$875,B716,'Base bordo CD'!L$2:L$875,"PATIO - RESERVA"),0)</f>
        <v>0.31472222222222224</v>
      </c>
      <c r="M716" s="10">
        <f>IFERROR(SUMIFS('Base bordo CD'!M$2:M$875,'Base bordo CD'!D$2:D$875,A716,'Base bordo CD'!A$2:A$875,B716,'Base bordo CD'!L$2:L$875,"SEM APONTAMENTO"),0)</f>
        <v>0.13333333333333333</v>
      </c>
      <c r="N716" s="10">
        <f>IFERROR(SUMIFS('Base bordo CD'!M$2:M$875,'Base bordo CD'!D$2:D$875,A716,'Base bordo CD'!A$2:A$875,B716,'Base bordo CD'!L$2:L$875,"FALTA DE CAMINHÃO"),0)+IFERROR(SUMIFS('Base bordo CD'!M$2:M$875,'Base bordo CD'!D$2:D$875,A716,'Base bordo CD'!A$2:A$875,B716,'Base bordo CD'!L$2:L$875,"FALTA DE COMBUSTIVEL"),0)+IFERROR(SUMIFS('Base bordo CD'!M$2:M$875,'Base bordo CD'!D$2:D$875,A716,'Base bordo CD'!A$2:A$875,B716,'Base bordo CD'!L$2:L$875,"FALTA DE MOTORIST*"),0)</f>
        <v>1.5150000000000001</v>
      </c>
      <c r="O716" s="10">
        <f t="shared" si="60"/>
        <v>0.31527777777778354</v>
      </c>
      <c r="P716" s="10">
        <f>IFERROR(SUMIFS('Base bordo CD'!M$2:M$875,'Base bordo CD'!D$2:D$875,A716,'Base bordo CD'!A$2:A$875,B716),0)</f>
        <v>24.000000000000004</v>
      </c>
      <c r="Q716" s="10">
        <f>IFERROR(SUMIFS('Base bordo CD'!O$2:O$875,'Base bordo CD'!D$2:D$875,A716,'Base bordo CD'!A$2:A$875,B716,'Base bordo CD'!L$2:L$875,"CORTE DE CANA MECANIZADO"),0)</f>
        <v>97141.5</v>
      </c>
      <c r="R716" s="10">
        <f>IFERROR(SUMIFS('Base bordo CD'!Q$2:Q$875,'Base bordo CD'!D$2:D$875,A716,'Base bordo CD'!A$2:A$875,B716,'Base bordo CD'!L$2:L$875,"CORTE DE CANA MECANIZADO"),0)</f>
        <v>23621</v>
      </c>
      <c r="S716" s="30">
        <f t="shared" si="61"/>
        <v>4.1125058210914016</v>
      </c>
      <c r="T716" s="9">
        <f t="shared" si="62"/>
        <v>0.27340277777777777</v>
      </c>
      <c r="U716" s="9">
        <f t="shared" si="63"/>
        <v>0.15003472222222222</v>
      </c>
      <c r="V716" s="9">
        <f t="shared" si="64"/>
        <v>0.70234953703703695</v>
      </c>
    </row>
    <row r="717" spans="1:22" hidden="1" x14ac:dyDescent="0.35">
      <c r="A717" s="52">
        <v>49589</v>
      </c>
      <c r="B717" s="31">
        <v>46118</v>
      </c>
      <c r="C717" s="7" t="s">
        <v>321</v>
      </c>
      <c r="D717" s="7">
        <v>351</v>
      </c>
      <c r="E717" s="10">
        <f>IFERROR(SUMIFS('Base bordo CD'!M$2:M$875,'Base bordo CD'!D$2:D$875,A717,'Base bordo CD'!A$2:A$875,B717,'Base bordo CD'!L$2:L$875,"CORTE DE CANA MECANIZADO"),0)</f>
        <v>4.0449999999999999</v>
      </c>
      <c r="F717" s="10">
        <f>IFERROR(SUMIFS('Base bordo CD'!M$2:M$875,'Base bordo CD'!D$2:D$875,A717,'Base bordo CD'!A$2:A$875,B717,'Base bordo CD'!L$2:L$875,"MANOBRA"),0)</f>
        <v>2.9416666666666664</v>
      </c>
      <c r="G717" s="10">
        <f>IFERROR(SUMIFS('Base bordo CD'!M$2:M$875,'Base bordo CD'!D$2:D$875,A717,'Base bordo CD'!A$2:A$875,B717,'Base bordo CD'!L$2:L$875,"DESLOCAMENTO"),0)</f>
        <v>0.29972222222222222</v>
      </c>
      <c r="H717" s="10">
        <f>IFERROR(SUMIFS('Base bordo CD'!M$2:M$875,'Base bordo CD'!D$2:D$875,A717,'Base bordo CD'!A$2:A$875,B717,'Base bordo CD'!L$2:L$875,"AGUARDANDO MANOBRA DE TRANSBORDO"),0)+IFERROR(SUMIFS('Base bordo CD'!M$2:M$875,'Base bordo CD'!D$2:D$875,A717,'Base bordo CD'!A$2:A$875,B717,'Base bordo CD'!L$2:L$875,"FALTA DE TRANSBORDO"),0)</f>
        <v>0</v>
      </c>
      <c r="I717" s="10">
        <f>IFERROR(SUMIFS('Base bordo CD'!M$2:M$875,'Base bordo CD'!D$2:D$875,A717,'Base bordo CD'!A$2:A$875,B717,'Base bordo CD'!L$2:L$875,"PARADA POR CONDICOES CLIMATICAS"),0)+IFERROR(SUMIFS('Base bordo CD'!M$2:M$875,'Base bordo CD'!D$2:D$875,A717,'Base bordo CD'!A$2:A$875,B717,'Base bordo CD'!L$2:L$875,"TEMPO INDETERMINADO"),0)</f>
        <v>5.3358333333333334</v>
      </c>
      <c r="J717" s="10">
        <f>IFERROR(SUMIFS('Base bordo CD'!M$2:M$875,'Base bordo CD'!D$2:D$875,A717,'Base bordo CD'!A$2:A$875,B717,'Base bordo CD'!L$2:L$875,"LIMITAÇÃO INDÚSTRIA"),0)</f>
        <v>4.8672222222222228</v>
      </c>
      <c r="K717" s="10">
        <f>IFERROR(SUMIFS('Base bordo CD'!M$2:M$875,'Base bordo CD'!D$2:D$875,A717,'Base bordo CD'!A$2:A$875,B717,'Base bordo CD'!L$2:L$875,"MAN CORRETIVA*"),0)+IFERROR(SUMIFS('Base bordo CD'!M$2:M$875,'Base bordo CD'!D$2:D$875,A717,'Base bordo CD'!A$2:A$875,B717,'Base bordo CD'!L$2:L$875,"AGUARDANDO MANUTENCAO*"),0)+IFERROR(SUMIFS('Base bordo CD'!M$2:M$875,'Base bordo CD'!D$2:D$875,A717,'Base bordo CD'!A$2:A$875,B717,'Base bordo CD'!L$2:L$875,"TROCA DE FAQUINHA"),0)+IFERROR(SUMIFS('Base bordo CD'!M$2:M$875,'Base bordo CD'!D$2:D$875,A717,'Base bordo CD'!A$2:A$875,B717,'Base bordo CD'!L$2:L$875,"LIMPEZA*"),0)</f>
        <v>0</v>
      </c>
      <c r="L717" s="10">
        <f>IFERROR(SUMIFS('Base bordo CD'!M$2:M$875,'Base bordo CD'!D$2:D$875,A717,'Base bordo CD'!A$2:A$875,B717,'Base bordo CD'!L$2:L$875,"PATIO - RESERVA"),0)</f>
        <v>3.0319444444444441</v>
      </c>
      <c r="M717" s="10">
        <f>IFERROR(SUMIFS('Base bordo CD'!M$2:M$875,'Base bordo CD'!D$2:D$875,A717,'Base bordo CD'!A$2:A$875,B717,'Base bordo CD'!L$2:L$875,"SEM APONTAMENTO"),0)</f>
        <v>2.4722222222222222E-2</v>
      </c>
      <c r="N717" s="10">
        <f>IFERROR(SUMIFS('Base bordo CD'!M$2:M$875,'Base bordo CD'!D$2:D$875,A717,'Base bordo CD'!A$2:A$875,B717,'Base bordo CD'!L$2:L$875,"FALTA DE CAMINHÃO"),0)+IFERROR(SUMIFS('Base bordo CD'!M$2:M$875,'Base bordo CD'!D$2:D$875,A717,'Base bordo CD'!A$2:A$875,B717,'Base bordo CD'!L$2:L$875,"FALTA DE COMBUSTIVEL"),0)+IFERROR(SUMIFS('Base bordo CD'!M$2:M$875,'Base bordo CD'!D$2:D$875,A717,'Base bordo CD'!A$2:A$875,B717,'Base bordo CD'!L$2:L$875,"FALTA DE MOTORIST*"),0)</f>
        <v>0</v>
      </c>
      <c r="O717" s="10">
        <f t="shared" si="60"/>
        <v>3.4538888888888799</v>
      </c>
      <c r="P717" s="10">
        <f>IFERROR(SUMIFS('Base bordo CD'!M$2:M$875,'Base bordo CD'!D$2:D$875,A717,'Base bordo CD'!A$2:A$875,B717),0)</f>
        <v>23.999999999999993</v>
      </c>
      <c r="Q717" s="10">
        <f>IFERROR(SUMIFS('Base bordo CD'!O$2:O$875,'Base bordo CD'!D$2:D$875,A717,'Base bordo CD'!A$2:A$875,B717,'Base bordo CD'!L$2:L$875,"CORTE DE CANA MECANIZADO"),0)</f>
        <v>64702.710000000006</v>
      </c>
      <c r="R717" s="10">
        <f>IFERROR(SUMIFS('Base bordo CD'!Q$2:Q$875,'Base bordo CD'!D$2:D$875,A717,'Base bordo CD'!A$2:A$875,B717,'Base bordo CD'!L$2:L$875,"CORTE DE CANA MECANIZADO"),0)</f>
        <v>14562</v>
      </c>
      <c r="S717" s="30">
        <f t="shared" si="61"/>
        <v>4.4432571075401732</v>
      </c>
      <c r="T717" s="9">
        <f t="shared" si="62"/>
        <v>0.1685416666666667</v>
      </c>
      <c r="U717" s="9">
        <f t="shared" si="63"/>
        <v>0.12256944444444447</v>
      </c>
      <c r="V717" s="9">
        <f t="shared" si="64"/>
        <v>0.81896990740740738</v>
      </c>
    </row>
    <row r="718" spans="1:22" hidden="1" x14ac:dyDescent="0.35">
      <c r="A718" s="52">
        <v>49589</v>
      </c>
      <c r="B718" s="31">
        <v>46118</v>
      </c>
      <c r="C718" s="7" t="s">
        <v>321</v>
      </c>
      <c r="D718" s="7">
        <v>351</v>
      </c>
      <c r="E718" s="10">
        <f>IFERROR(SUMIFS('Base bordo CD'!M$2:M$875,'Base bordo CD'!D$2:D$875,A718,'Base bordo CD'!A$2:A$875,B718,'Base bordo CD'!L$2:L$875,"CORTE DE CANA MECANIZADO"),0)</f>
        <v>4.0449999999999999</v>
      </c>
      <c r="F718" s="10">
        <f>IFERROR(SUMIFS('Base bordo CD'!M$2:M$875,'Base bordo CD'!D$2:D$875,A718,'Base bordo CD'!A$2:A$875,B718,'Base bordo CD'!L$2:L$875,"MANOBRA"),0)</f>
        <v>2.9416666666666664</v>
      </c>
      <c r="G718" s="10">
        <f>IFERROR(SUMIFS('Base bordo CD'!M$2:M$875,'Base bordo CD'!D$2:D$875,A718,'Base bordo CD'!A$2:A$875,B718,'Base bordo CD'!L$2:L$875,"DESLOCAMENTO"),0)</f>
        <v>0.29972222222222222</v>
      </c>
      <c r="H718" s="10">
        <f>IFERROR(SUMIFS('Base bordo CD'!M$2:M$875,'Base bordo CD'!D$2:D$875,A718,'Base bordo CD'!A$2:A$875,B718,'Base bordo CD'!L$2:L$875,"AGUARDANDO MANOBRA DE TRANSBORDO"),0)+IFERROR(SUMIFS('Base bordo CD'!M$2:M$875,'Base bordo CD'!D$2:D$875,A718,'Base bordo CD'!A$2:A$875,B718,'Base bordo CD'!L$2:L$875,"FALTA DE TRANSBORDO"),0)</f>
        <v>0</v>
      </c>
      <c r="I718" s="10">
        <f>IFERROR(SUMIFS('Base bordo CD'!M$2:M$875,'Base bordo CD'!D$2:D$875,A718,'Base bordo CD'!A$2:A$875,B718,'Base bordo CD'!L$2:L$875,"PARADA POR CONDICOES CLIMATICAS"),0)+IFERROR(SUMIFS('Base bordo CD'!M$2:M$875,'Base bordo CD'!D$2:D$875,A718,'Base bordo CD'!A$2:A$875,B718,'Base bordo CD'!L$2:L$875,"TEMPO INDETERMINADO"),0)</f>
        <v>5.3358333333333334</v>
      </c>
      <c r="J718" s="10">
        <f>IFERROR(SUMIFS('Base bordo CD'!M$2:M$875,'Base bordo CD'!D$2:D$875,A718,'Base bordo CD'!A$2:A$875,B718,'Base bordo CD'!L$2:L$875,"LIMITAÇÃO INDÚSTRIA"),0)</f>
        <v>4.8672222222222228</v>
      </c>
      <c r="K718" s="10">
        <f>IFERROR(SUMIFS('Base bordo CD'!M$2:M$875,'Base bordo CD'!D$2:D$875,A718,'Base bordo CD'!A$2:A$875,B718,'Base bordo CD'!L$2:L$875,"MAN CORRETIVA*"),0)+IFERROR(SUMIFS('Base bordo CD'!M$2:M$875,'Base bordo CD'!D$2:D$875,A718,'Base bordo CD'!A$2:A$875,B718,'Base bordo CD'!L$2:L$875,"AGUARDANDO MANUTENCAO*"),0)+IFERROR(SUMIFS('Base bordo CD'!M$2:M$875,'Base bordo CD'!D$2:D$875,A718,'Base bordo CD'!A$2:A$875,B718,'Base bordo CD'!L$2:L$875,"TROCA DE FAQUINHA"),0)+IFERROR(SUMIFS('Base bordo CD'!M$2:M$875,'Base bordo CD'!D$2:D$875,A718,'Base bordo CD'!A$2:A$875,B718,'Base bordo CD'!L$2:L$875,"LIMPEZA*"),0)</f>
        <v>0</v>
      </c>
      <c r="L718" s="10">
        <f>IFERROR(SUMIFS('Base bordo CD'!M$2:M$875,'Base bordo CD'!D$2:D$875,A718,'Base bordo CD'!A$2:A$875,B718,'Base bordo CD'!L$2:L$875,"PATIO - RESERVA"),0)</f>
        <v>3.0319444444444441</v>
      </c>
      <c r="M718" s="10">
        <f>IFERROR(SUMIFS('Base bordo CD'!M$2:M$875,'Base bordo CD'!D$2:D$875,A718,'Base bordo CD'!A$2:A$875,B718,'Base bordo CD'!L$2:L$875,"SEM APONTAMENTO"),0)</f>
        <v>2.4722222222222222E-2</v>
      </c>
      <c r="N718" s="10">
        <f>IFERROR(SUMIFS('Base bordo CD'!M$2:M$875,'Base bordo CD'!D$2:D$875,A718,'Base bordo CD'!A$2:A$875,B718,'Base bordo CD'!L$2:L$875,"FALTA DE CAMINHÃO"),0)+IFERROR(SUMIFS('Base bordo CD'!M$2:M$875,'Base bordo CD'!D$2:D$875,A718,'Base bordo CD'!A$2:A$875,B718,'Base bordo CD'!L$2:L$875,"FALTA DE COMBUSTIVEL"),0)+IFERROR(SUMIFS('Base bordo CD'!M$2:M$875,'Base bordo CD'!D$2:D$875,A718,'Base bordo CD'!A$2:A$875,B718,'Base bordo CD'!L$2:L$875,"FALTA DE MOTORIST*"),0)</f>
        <v>0</v>
      </c>
      <c r="O718" s="10">
        <f t="shared" si="60"/>
        <v>3.4538888888888799</v>
      </c>
      <c r="P718" s="10">
        <f>IFERROR(SUMIFS('Base bordo CD'!M$2:M$875,'Base bordo CD'!D$2:D$875,A718,'Base bordo CD'!A$2:A$875,B718),0)</f>
        <v>23.999999999999993</v>
      </c>
      <c r="Q718" s="10">
        <f>IFERROR(SUMIFS('Base bordo CD'!O$2:O$875,'Base bordo CD'!D$2:D$875,A718,'Base bordo CD'!A$2:A$875,B718,'Base bordo CD'!L$2:L$875,"CORTE DE CANA MECANIZADO"),0)</f>
        <v>64702.710000000006</v>
      </c>
      <c r="R718" s="10">
        <f>IFERROR(SUMIFS('Base bordo CD'!Q$2:Q$875,'Base bordo CD'!D$2:D$875,A718,'Base bordo CD'!A$2:A$875,B718,'Base bordo CD'!L$2:L$875,"CORTE DE CANA MECANIZADO"),0)</f>
        <v>14562</v>
      </c>
      <c r="S718" s="30">
        <f t="shared" si="61"/>
        <v>4.4432571075401732</v>
      </c>
      <c r="T718" s="9">
        <f t="shared" si="62"/>
        <v>0.1685416666666667</v>
      </c>
      <c r="U718" s="9">
        <f t="shared" si="63"/>
        <v>0.12256944444444447</v>
      </c>
      <c r="V718" s="9">
        <f t="shared" si="64"/>
        <v>0.81896990740740738</v>
      </c>
    </row>
    <row r="719" spans="1:22" hidden="1" x14ac:dyDescent="0.35">
      <c r="A719" s="52">
        <v>49589</v>
      </c>
      <c r="B719" s="31">
        <v>46118</v>
      </c>
      <c r="C719" s="7" t="s">
        <v>321</v>
      </c>
      <c r="D719" s="7">
        <v>351</v>
      </c>
      <c r="E719" s="10">
        <f>IFERROR(SUMIFS('Base bordo CD'!M$2:M$875,'Base bordo CD'!D$2:D$875,A719,'Base bordo CD'!A$2:A$875,B719,'Base bordo CD'!L$2:L$875,"CORTE DE CANA MECANIZADO"),0)</f>
        <v>4.0449999999999999</v>
      </c>
      <c r="F719" s="10">
        <f>IFERROR(SUMIFS('Base bordo CD'!M$2:M$875,'Base bordo CD'!D$2:D$875,A719,'Base bordo CD'!A$2:A$875,B719,'Base bordo CD'!L$2:L$875,"MANOBRA"),0)</f>
        <v>2.9416666666666664</v>
      </c>
      <c r="G719" s="10">
        <f>IFERROR(SUMIFS('Base bordo CD'!M$2:M$875,'Base bordo CD'!D$2:D$875,A719,'Base bordo CD'!A$2:A$875,B719,'Base bordo CD'!L$2:L$875,"DESLOCAMENTO"),0)</f>
        <v>0.29972222222222222</v>
      </c>
      <c r="H719" s="10">
        <f>IFERROR(SUMIFS('Base bordo CD'!M$2:M$875,'Base bordo CD'!D$2:D$875,A719,'Base bordo CD'!A$2:A$875,B719,'Base bordo CD'!L$2:L$875,"AGUARDANDO MANOBRA DE TRANSBORDO"),0)+IFERROR(SUMIFS('Base bordo CD'!M$2:M$875,'Base bordo CD'!D$2:D$875,A719,'Base bordo CD'!A$2:A$875,B719,'Base bordo CD'!L$2:L$875,"FALTA DE TRANSBORDO"),0)</f>
        <v>0</v>
      </c>
      <c r="I719" s="10">
        <f>IFERROR(SUMIFS('Base bordo CD'!M$2:M$875,'Base bordo CD'!D$2:D$875,A719,'Base bordo CD'!A$2:A$875,B719,'Base bordo CD'!L$2:L$875,"PARADA POR CONDICOES CLIMATICAS"),0)+IFERROR(SUMIFS('Base bordo CD'!M$2:M$875,'Base bordo CD'!D$2:D$875,A719,'Base bordo CD'!A$2:A$875,B719,'Base bordo CD'!L$2:L$875,"TEMPO INDETERMINADO"),0)</f>
        <v>5.3358333333333334</v>
      </c>
      <c r="J719" s="10">
        <f>IFERROR(SUMIFS('Base bordo CD'!M$2:M$875,'Base bordo CD'!D$2:D$875,A719,'Base bordo CD'!A$2:A$875,B719,'Base bordo CD'!L$2:L$875,"LIMITAÇÃO INDÚSTRIA"),0)</f>
        <v>4.8672222222222228</v>
      </c>
      <c r="K719" s="10">
        <f>IFERROR(SUMIFS('Base bordo CD'!M$2:M$875,'Base bordo CD'!D$2:D$875,A719,'Base bordo CD'!A$2:A$875,B719,'Base bordo CD'!L$2:L$875,"MAN CORRETIVA*"),0)+IFERROR(SUMIFS('Base bordo CD'!M$2:M$875,'Base bordo CD'!D$2:D$875,A719,'Base bordo CD'!A$2:A$875,B719,'Base bordo CD'!L$2:L$875,"AGUARDANDO MANUTENCAO*"),0)+IFERROR(SUMIFS('Base bordo CD'!M$2:M$875,'Base bordo CD'!D$2:D$875,A719,'Base bordo CD'!A$2:A$875,B719,'Base bordo CD'!L$2:L$875,"TROCA DE FAQUINHA"),0)+IFERROR(SUMIFS('Base bordo CD'!M$2:M$875,'Base bordo CD'!D$2:D$875,A719,'Base bordo CD'!A$2:A$875,B719,'Base bordo CD'!L$2:L$875,"LIMPEZA*"),0)</f>
        <v>0</v>
      </c>
      <c r="L719" s="10">
        <f>IFERROR(SUMIFS('Base bordo CD'!M$2:M$875,'Base bordo CD'!D$2:D$875,A719,'Base bordo CD'!A$2:A$875,B719,'Base bordo CD'!L$2:L$875,"PATIO - RESERVA"),0)</f>
        <v>3.0319444444444441</v>
      </c>
      <c r="M719" s="10">
        <f>IFERROR(SUMIFS('Base bordo CD'!M$2:M$875,'Base bordo CD'!D$2:D$875,A719,'Base bordo CD'!A$2:A$875,B719,'Base bordo CD'!L$2:L$875,"SEM APONTAMENTO"),0)</f>
        <v>2.4722222222222222E-2</v>
      </c>
      <c r="N719" s="10">
        <f>IFERROR(SUMIFS('Base bordo CD'!M$2:M$875,'Base bordo CD'!D$2:D$875,A719,'Base bordo CD'!A$2:A$875,B719,'Base bordo CD'!L$2:L$875,"FALTA DE CAMINHÃO"),0)+IFERROR(SUMIFS('Base bordo CD'!M$2:M$875,'Base bordo CD'!D$2:D$875,A719,'Base bordo CD'!A$2:A$875,B719,'Base bordo CD'!L$2:L$875,"FALTA DE COMBUSTIVEL"),0)+IFERROR(SUMIFS('Base bordo CD'!M$2:M$875,'Base bordo CD'!D$2:D$875,A719,'Base bordo CD'!A$2:A$875,B719,'Base bordo CD'!L$2:L$875,"FALTA DE MOTORIST*"),0)</f>
        <v>0</v>
      </c>
      <c r="O719" s="10">
        <f t="shared" si="60"/>
        <v>3.4538888888888799</v>
      </c>
      <c r="P719" s="10">
        <f>IFERROR(SUMIFS('Base bordo CD'!M$2:M$875,'Base bordo CD'!D$2:D$875,A719,'Base bordo CD'!A$2:A$875,B719),0)</f>
        <v>23.999999999999993</v>
      </c>
      <c r="Q719" s="10">
        <f>IFERROR(SUMIFS('Base bordo CD'!O$2:O$875,'Base bordo CD'!D$2:D$875,A719,'Base bordo CD'!A$2:A$875,B719,'Base bordo CD'!L$2:L$875,"CORTE DE CANA MECANIZADO"),0)</f>
        <v>64702.710000000006</v>
      </c>
      <c r="R719" s="10">
        <f>IFERROR(SUMIFS('Base bordo CD'!Q$2:Q$875,'Base bordo CD'!D$2:D$875,A719,'Base bordo CD'!A$2:A$875,B719,'Base bordo CD'!L$2:L$875,"CORTE DE CANA MECANIZADO"),0)</f>
        <v>14562</v>
      </c>
      <c r="S719" s="30">
        <f t="shared" si="61"/>
        <v>4.4432571075401732</v>
      </c>
      <c r="T719" s="9">
        <f t="shared" si="62"/>
        <v>0.1685416666666667</v>
      </c>
      <c r="U719" s="9">
        <f t="shared" si="63"/>
        <v>0.12256944444444447</v>
      </c>
      <c r="V719" s="9">
        <f t="shared" si="64"/>
        <v>0.81896990740740738</v>
      </c>
    </row>
    <row r="720" spans="1:22" hidden="1" x14ac:dyDescent="0.35">
      <c r="A720" s="52">
        <v>49589</v>
      </c>
      <c r="B720" s="31">
        <v>46118</v>
      </c>
      <c r="C720" s="7" t="s">
        <v>321</v>
      </c>
      <c r="D720" s="7">
        <v>351</v>
      </c>
      <c r="E720" s="10">
        <f>IFERROR(SUMIFS('Base bordo CD'!M$2:M$875,'Base bordo CD'!D$2:D$875,A720,'Base bordo CD'!A$2:A$875,B720,'Base bordo CD'!L$2:L$875,"CORTE DE CANA MECANIZADO"),0)</f>
        <v>4.0449999999999999</v>
      </c>
      <c r="F720" s="10">
        <f>IFERROR(SUMIFS('Base bordo CD'!M$2:M$875,'Base bordo CD'!D$2:D$875,A720,'Base bordo CD'!A$2:A$875,B720,'Base bordo CD'!L$2:L$875,"MANOBRA"),0)</f>
        <v>2.9416666666666664</v>
      </c>
      <c r="G720" s="10">
        <f>IFERROR(SUMIFS('Base bordo CD'!M$2:M$875,'Base bordo CD'!D$2:D$875,A720,'Base bordo CD'!A$2:A$875,B720,'Base bordo CD'!L$2:L$875,"DESLOCAMENTO"),0)</f>
        <v>0.29972222222222222</v>
      </c>
      <c r="H720" s="10">
        <f>IFERROR(SUMIFS('Base bordo CD'!M$2:M$875,'Base bordo CD'!D$2:D$875,A720,'Base bordo CD'!A$2:A$875,B720,'Base bordo CD'!L$2:L$875,"AGUARDANDO MANOBRA DE TRANSBORDO"),0)+IFERROR(SUMIFS('Base bordo CD'!M$2:M$875,'Base bordo CD'!D$2:D$875,A720,'Base bordo CD'!A$2:A$875,B720,'Base bordo CD'!L$2:L$875,"FALTA DE TRANSBORDO"),0)</f>
        <v>0</v>
      </c>
      <c r="I720" s="10">
        <f>IFERROR(SUMIFS('Base bordo CD'!M$2:M$875,'Base bordo CD'!D$2:D$875,A720,'Base bordo CD'!A$2:A$875,B720,'Base bordo CD'!L$2:L$875,"PARADA POR CONDICOES CLIMATICAS"),0)+IFERROR(SUMIFS('Base bordo CD'!M$2:M$875,'Base bordo CD'!D$2:D$875,A720,'Base bordo CD'!A$2:A$875,B720,'Base bordo CD'!L$2:L$875,"TEMPO INDETERMINADO"),0)</f>
        <v>5.3358333333333334</v>
      </c>
      <c r="J720" s="10">
        <f>IFERROR(SUMIFS('Base bordo CD'!M$2:M$875,'Base bordo CD'!D$2:D$875,A720,'Base bordo CD'!A$2:A$875,B720,'Base bordo CD'!L$2:L$875,"LIMITAÇÃO INDÚSTRIA"),0)</f>
        <v>4.8672222222222228</v>
      </c>
      <c r="K720" s="10">
        <f>IFERROR(SUMIFS('Base bordo CD'!M$2:M$875,'Base bordo CD'!D$2:D$875,A720,'Base bordo CD'!A$2:A$875,B720,'Base bordo CD'!L$2:L$875,"MAN CORRETIVA*"),0)+IFERROR(SUMIFS('Base bordo CD'!M$2:M$875,'Base bordo CD'!D$2:D$875,A720,'Base bordo CD'!A$2:A$875,B720,'Base bordo CD'!L$2:L$875,"AGUARDANDO MANUTENCAO*"),0)+IFERROR(SUMIFS('Base bordo CD'!M$2:M$875,'Base bordo CD'!D$2:D$875,A720,'Base bordo CD'!A$2:A$875,B720,'Base bordo CD'!L$2:L$875,"TROCA DE FAQUINHA"),0)+IFERROR(SUMIFS('Base bordo CD'!M$2:M$875,'Base bordo CD'!D$2:D$875,A720,'Base bordo CD'!A$2:A$875,B720,'Base bordo CD'!L$2:L$875,"LIMPEZA*"),0)</f>
        <v>0</v>
      </c>
      <c r="L720" s="10">
        <f>IFERROR(SUMIFS('Base bordo CD'!M$2:M$875,'Base bordo CD'!D$2:D$875,A720,'Base bordo CD'!A$2:A$875,B720,'Base bordo CD'!L$2:L$875,"PATIO - RESERVA"),0)</f>
        <v>3.0319444444444441</v>
      </c>
      <c r="M720" s="10">
        <f>IFERROR(SUMIFS('Base bordo CD'!M$2:M$875,'Base bordo CD'!D$2:D$875,A720,'Base bordo CD'!A$2:A$875,B720,'Base bordo CD'!L$2:L$875,"SEM APONTAMENTO"),0)</f>
        <v>2.4722222222222222E-2</v>
      </c>
      <c r="N720" s="10">
        <f>IFERROR(SUMIFS('Base bordo CD'!M$2:M$875,'Base bordo CD'!D$2:D$875,A720,'Base bordo CD'!A$2:A$875,B720,'Base bordo CD'!L$2:L$875,"FALTA DE CAMINHÃO"),0)+IFERROR(SUMIFS('Base bordo CD'!M$2:M$875,'Base bordo CD'!D$2:D$875,A720,'Base bordo CD'!A$2:A$875,B720,'Base bordo CD'!L$2:L$875,"FALTA DE COMBUSTIVEL"),0)+IFERROR(SUMIFS('Base bordo CD'!M$2:M$875,'Base bordo CD'!D$2:D$875,A720,'Base bordo CD'!A$2:A$875,B720,'Base bordo CD'!L$2:L$875,"FALTA DE MOTORIST*"),0)</f>
        <v>0</v>
      </c>
      <c r="O720" s="10">
        <f t="shared" si="60"/>
        <v>3.4538888888888799</v>
      </c>
      <c r="P720" s="10">
        <f>IFERROR(SUMIFS('Base bordo CD'!M$2:M$875,'Base bordo CD'!D$2:D$875,A720,'Base bordo CD'!A$2:A$875,B720),0)</f>
        <v>23.999999999999993</v>
      </c>
      <c r="Q720" s="10">
        <f>IFERROR(SUMIFS('Base bordo CD'!O$2:O$875,'Base bordo CD'!D$2:D$875,A720,'Base bordo CD'!A$2:A$875,B720,'Base bordo CD'!L$2:L$875,"CORTE DE CANA MECANIZADO"),0)</f>
        <v>64702.710000000006</v>
      </c>
      <c r="R720" s="10">
        <f>IFERROR(SUMIFS('Base bordo CD'!Q$2:Q$875,'Base bordo CD'!D$2:D$875,A720,'Base bordo CD'!A$2:A$875,B720,'Base bordo CD'!L$2:L$875,"CORTE DE CANA MECANIZADO"),0)</f>
        <v>14562</v>
      </c>
      <c r="S720" s="30">
        <f t="shared" si="61"/>
        <v>4.4432571075401732</v>
      </c>
      <c r="T720" s="9">
        <f t="shared" si="62"/>
        <v>0.1685416666666667</v>
      </c>
      <c r="U720" s="9">
        <f t="shared" si="63"/>
        <v>0.12256944444444447</v>
      </c>
      <c r="V720" s="9">
        <f t="shared" si="64"/>
        <v>0.81896990740740738</v>
      </c>
    </row>
    <row r="721" spans="1:22" hidden="1" x14ac:dyDescent="0.35">
      <c r="A721" s="52">
        <v>49589</v>
      </c>
      <c r="B721" s="31">
        <v>46118</v>
      </c>
      <c r="C721" s="7" t="s">
        <v>321</v>
      </c>
      <c r="D721" s="7">
        <v>351</v>
      </c>
      <c r="E721" s="10">
        <f>IFERROR(SUMIFS('Base bordo CD'!M$2:M$875,'Base bordo CD'!D$2:D$875,A721,'Base bordo CD'!A$2:A$875,B721,'Base bordo CD'!L$2:L$875,"CORTE DE CANA MECANIZADO"),0)</f>
        <v>4.0449999999999999</v>
      </c>
      <c r="F721" s="10">
        <f>IFERROR(SUMIFS('Base bordo CD'!M$2:M$875,'Base bordo CD'!D$2:D$875,A721,'Base bordo CD'!A$2:A$875,B721,'Base bordo CD'!L$2:L$875,"MANOBRA"),0)</f>
        <v>2.9416666666666664</v>
      </c>
      <c r="G721" s="10">
        <f>IFERROR(SUMIFS('Base bordo CD'!M$2:M$875,'Base bordo CD'!D$2:D$875,A721,'Base bordo CD'!A$2:A$875,B721,'Base bordo CD'!L$2:L$875,"DESLOCAMENTO"),0)</f>
        <v>0.29972222222222222</v>
      </c>
      <c r="H721" s="10">
        <f>IFERROR(SUMIFS('Base bordo CD'!M$2:M$875,'Base bordo CD'!D$2:D$875,A721,'Base bordo CD'!A$2:A$875,B721,'Base bordo CD'!L$2:L$875,"AGUARDANDO MANOBRA DE TRANSBORDO"),0)+IFERROR(SUMIFS('Base bordo CD'!M$2:M$875,'Base bordo CD'!D$2:D$875,A721,'Base bordo CD'!A$2:A$875,B721,'Base bordo CD'!L$2:L$875,"FALTA DE TRANSBORDO"),0)</f>
        <v>0</v>
      </c>
      <c r="I721" s="10">
        <f>IFERROR(SUMIFS('Base bordo CD'!M$2:M$875,'Base bordo CD'!D$2:D$875,A721,'Base bordo CD'!A$2:A$875,B721,'Base bordo CD'!L$2:L$875,"PARADA POR CONDICOES CLIMATICAS"),0)+IFERROR(SUMIFS('Base bordo CD'!M$2:M$875,'Base bordo CD'!D$2:D$875,A721,'Base bordo CD'!A$2:A$875,B721,'Base bordo CD'!L$2:L$875,"TEMPO INDETERMINADO"),0)</f>
        <v>5.3358333333333334</v>
      </c>
      <c r="J721" s="10">
        <f>IFERROR(SUMIFS('Base bordo CD'!M$2:M$875,'Base bordo CD'!D$2:D$875,A721,'Base bordo CD'!A$2:A$875,B721,'Base bordo CD'!L$2:L$875,"LIMITAÇÃO INDÚSTRIA"),0)</f>
        <v>4.8672222222222228</v>
      </c>
      <c r="K721" s="10">
        <f>IFERROR(SUMIFS('Base bordo CD'!M$2:M$875,'Base bordo CD'!D$2:D$875,A721,'Base bordo CD'!A$2:A$875,B721,'Base bordo CD'!L$2:L$875,"MAN CORRETIVA*"),0)+IFERROR(SUMIFS('Base bordo CD'!M$2:M$875,'Base bordo CD'!D$2:D$875,A721,'Base bordo CD'!A$2:A$875,B721,'Base bordo CD'!L$2:L$875,"AGUARDANDO MANUTENCAO*"),0)+IFERROR(SUMIFS('Base bordo CD'!M$2:M$875,'Base bordo CD'!D$2:D$875,A721,'Base bordo CD'!A$2:A$875,B721,'Base bordo CD'!L$2:L$875,"TROCA DE FAQUINHA"),0)+IFERROR(SUMIFS('Base bordo CD'!M$2:M$875,'Base bordo CD'!D$2:D$875,A721,'Base bordo CD'!A$2:A$875,B721,'Base bordo CD'!L$2:L$875,"LIMPEZA*"),0)</f>
        <v>0</v>
      </c>
      <c r="L721" s="10">
        <f>IFERROR(SUMIFS('Base bordo CD'!M$2:M$875,'Base bordo CD'!D$2:D$875,A721,'Base bordo CD'!A$2:A$875,B721,'Base bordo CD'!L$2:L$875,"PATIO - RESERVA"),0)</f>
        <v>3.0319444444444441</v>
      </c>
      <c r="M721" s="10">
        <f>IFERROR(SUMIFS('Base bordo CD'!M$2:M$875,'Base bordo CD'!D$2:D$875,A721,'Base bordo CD'!A$2:A$875,B721,'Base bordo CD'!L$2:L$875,"SEM APONTAMENTO"),0)</f>
        <v>2.4722222222222222E-2</v>
      </c>
      <c r="N721" s="10">
        <f>IFERROR(SUMIFS('Base bordo CD'!M$2:M$875,'Base bordo CD'!D$2:D$875,A721,'Base bordo CD'!A$2:A$875,B721,'Base bordo CD'!L$2:L$875,"FALTA DE CAMINHÃO"),0)+IFERROR(SUMIFS('Base bordo CD'!M$2:M$875,'Base bordo CD'!D$2:D$875,A721,'Base bordo CD'!A$2:A$875,B721,'Base bordo CD'!L$2:L$875,"FALTA DE COMBUSTIVEL"),0)+IFERROR(SUMIFS('Base bordo CD'!M$2:M$875,'Base bordo CD'!D$2:D$875,A721,'Base bordo CD'!A$2:A$875,B721,'Base bordo CD'!L$2:L$875,"FALTA DE MOTORIST*"),0)</f>
        <v>0</v>
      </c>
      <c r="O721" s="10">
        <f t="shared" si="60"/>
        <v>3.4538888888888799</v>
      </c>
      <c r="P721" s="10">
        <f>IFERROR(SUMIFS('Base bordo CD'!M$2:M$875,'Base bordo CD'!D$2:D$875,A721,'Base bordo CD'!A$2:A$875,B721),0)</f>
        <v>23.999999999999993</v>
      </c>
      <c r="Q721" s="10">
        <f>IFERROR(SUMIFS('Base bordo CD'!O$2:O$875,'Base bordo CD'!D$2:D$875,A721,'Base bordo CD'!A$2:A$875,B721,'Base bordo CD'!L$2:L$875,"CORTE DE CANA MECANIZADO"),0)</f>
        <v>64702.710000000006</v>
      </c>
      <c r="R721" s="10">
        <f>IFERROR(SUMIFS('Base bordo CD'!Q$2:Q$875,'Base bordo CD'!D$2:D$875,A721,'Base bordo CD'!A$2:A$875,B721,'Base bordo CD'!L$2:L$875,"CORTE DE CANA MECANIZADO"),0)</f>
        <v>14562</v>
      </c>
      <c r="S721" s="30">
        <f t="shared" si="61"/>
        <v>4.4432571075401732</v>
      </c>
      <c r="T721" s="9">
        <f t="shared" si="62"/>
        <v>0.1685416666666667</v>
      </c>
      <c r="U721" s="9">
        <f t="shared" si="63"/>
        <v>0.12256944444444447</v>
      </c>
      <c r="V721" s="9">
        <f t="shared" si="64"/>
        <v>0.81896990740740738</v>
      </c>
    </row>
    <row r="722" spans="1:22" hidden="1" x14ac:dyDescent="0.35">
      <c r="A722" s="52">
        <v>49589</v>
      </c>
      <c r="B722" s="31">
        <v>46118</v>
      </c>
      <c r="C722" s="7" t="s">
        <v>321</v>
      </c>
      <c r="D722" s="7">
        <v>351</v>
      </c>
      <c r="E722" s="10">
        <f>IFERROR(SUMIFS('Base bordo CD'!M$2:M$875,'Base bordo CD'!D$2:D$875,A722,'Base bordo CD'!A$2:A$875,B722,'Base bordo CD'!L$2:L$875,"CORTE DE CANA MECANIZADO"),0)</f>
        <v>4.0449999999999999</v>
      </c>
      <c r="F722" s="10">
        <f>IFERROR(SUMIFS('Base bordo CD'!M$2:M$875,'Base bordo CD'!D$2:D$875,A722,'Base bordo CD'!A$2:A$875,B722,'Base bordo CD'!L$2:L$875,"MANOBRA"),0)</f>
        <v>2.9416666666666664</v>
      </c>
      <c r="G722" s="10">
        <f>IFERROR(SUMIFS('Base bordo CD'!M$2:M$875,'Base bordo CD'!D$2:D$875,A722,'Base bordo CD'!A$2:A$875,B722,'Base bordo CD'!L$2:L$875,"DESLOCAMENTO"),0)</f>
        <v>0.29972222222222222</v>
      </c>
      <c r="H722" s="10">
        <f>IFERROR(SUMIFS('Base bordo CD'!M$2:M$875,'Base bordo CD'!D$2:D$875,A722,'Base bordo CD'!A$2:A$875,B722,'Base bordo CD'!L$2:L$875,"AGUARDANDO MANOBRA DE TRANSBORDO"),0)+IFERROR(SUMIFS('Base bordo CD'!M$2:M$875,'Base bordo CD'!D$2:D$875,A722,'Base bordo CD'!A$2:A$875,B722,'Base bordo CD'!L$2:L$875,"FALTA DE TRANSBORDO"),0)</f>
        <v>0</v>
      </c>
      <c r="I722" s="10">
        <f>IFERROR(SUMIFS('Base bordo CD'!M$2:M$875,'Base bordo CD'!D$2:D$875,A722,'Base bordo CD'!A$2:A$875,B722,'Base bordo CD'!L$2:L$875,"PARADA POR CONDICOES CLIMATICAS"),0)+IFERROR(SUMIFS('Base bordo CD'!M$2:M$875,'Base bordo CD'!D$2:D$875,A722,'Base bordo CD'!A$2:A$875,B722,'Base bordo CD'!L$2:L$875,"TEMPO INDETERMINADO"),0)</f>
        <v>5.3358333333333334</v>
      </c>
      <c r="J722" s="10">
        <f>IFERROR(SUMIFS('Base bordo CD'!M$2:M$875,'Base bordo CD'!D$2:D$875,A722,'Base bordo CD'!A$2:A$875,B722,'Base bordo CD'!L$2:L$875,"LIMITAÇÃO INDÚSTRIA"),0)</f>
        <v>4.8672222222222228</v>
      </c>
      <c r="K722" s="10">
        <f>IFERROR(SUMIFS('Base bordo CD'!M$2:M$875,'Base bordo CD'!D$2:D$875,A722,'Base bordo CD'!A$2:A$875,B722,'Base bordo CD'!L$2:L$875,"MAN CORRETIVA*"),0)+IFERROR(SUMIFS('Base bordo CD'!M$2:M$875,'Base bordo CD'!D$2:D$875,A722,'Base bordo CD'!A$2:A$875,B722,'Base bordo CD'!L$2:L$875,"AGUARDANDO MANUTENCAO*"),0)+IFERROR(SUMIFS('Base bordo CD'!M$2:M$875,'Base bordo CD'!D$2:D$875,A722,'Base bordo CD'!A$2:A$875,B722,'Base bordo CD'!L$2:L$875,"TROCA DE FAQUINHA"),0)+IFERROR(SUMIFS('Base bordo CD'!M$2:M$875,'Base bordo CD'!D$2:D$875,A722,'Base bordo CD'!A$2:A$875,B722,'Base bordo CD'!L$2:L$875,"LIMPEZA*"),0)</f>
        <v>0</v>
      </c>
      <c r="L722" s="10">
        <f>IFERROR(SUMIFS('Base bordo CD'!M$2:M$875,'Base bordo CD'!D$2:D$875,A722,'Base bordo CD'!A$2:A$875,B722,'Base bordo CD'!L$2:L$875,"PATIO - RESERVA"),0)</f>
        <v>3.0319444444444441</v>
      </c>
      <c r="M722" s="10">
        <f>IFERROR(SUMIFS('Base bordo CD'!M$2:M$875,'Base bordo CD'!D$2:D$875,A722,'Base bordo CD'!A$2:A$875,B722,'Base bordo CD'!L$2:L$875,"SEM APONTAMENTO"),0)</f>
        <v>2.4722222222222222E-2</v>
      </c>
      <c r="N722" s="10">
        <f>IFERROR(SUMIFS('Base bordo CD'!M$2:M$875,'Base bordo CD'!D$2:D$875,A722,'Base bordo CD'!A$2:A$875,B722,'Base bordo CD'!L$2:L$875,"FALTA DE CAMINHÃO"),0)+IFERROR(SUMIFS('Base bordo CD'!M$2:M$875,'Base bordo CD'!D$2:D$875,A722,'Base bordo CD'!A$2:A$875,B722,'Base bordo CD'!L$2:L$875,"FALTA DE COMBUSTIVEL"),0)+IFERROR(SUMIFS('Base bordo CD'!M$2:M$875,'Base bordo CD'!D$2:D$875,A722,'Base bordo CD'!A$2:A$875,B722,'Base bordo CD'!L$2:L$875,"FALTA DE MOTORIST*"),0)</f>
        <v>0</v>
      </c>
      <c r="O722" s="10">
        <f t="shared" si="60"/>
        <v>3.4538888888888799</v>
      </c>
      <c r="P722" s="10">
        <f>IFERROR(SUMIFS('Base bordo CD'!M$2:M$875,'Base bordo CD'!D$2:D$875,A722,'Base bordo CD'!A$2:A$875,B722),0)</f>
        <v>23.999999999999993</v>
      </c>
      <c r="Q722" s="10">
        <f>IFERROR(SUMIFS('Base bordo CD'!O$2:O$875,'Base bordo CD'!D$2:D$875,A722,'Base bordo CD'!A$2:A$875,B722,'Base bordo CD'!L$2:L$875,"CORTE DE CANA MECANIZADO"),0)</f>
        <v>64702.710000000006</v>
      </c>
      <c r="R722" s="10">
        <f>IFERROR(SUMIFS('Base bordo CD'!Q$2:Q$875,'Base bordo CD'!D$2:D$875,A722,'Base bordo CD'!A$2:A$875,B722,'Base bordo CD'!L$2:L$875,"CORTE DE CANA MECANIZADO"),0)</f>
        <v>14562</v>
      </c>
      <c r="S722" s="30">
        <f t="shared" si="61"/>
        <v>4.4432571075401732</v>
      </c>
      <c r="T722" s="9">
        <f t="shared" si="62"/>
        <v>0.1685416666666667</v>
      </c>
      <c r="U722" s="9">
        <f t="shared" si="63"/>
        <v>0.12256944444444447</v>
      </c>
      <c r="V722" s="9">
        <f t="shared" si="64"/>
        <v>0.81896990740740738</v>
      </c>
    </row>
    <row r="723" spans="1:22" hidden="1" x14ac:dyDescent="0.35">
      <c r="A723" s="52">
        <v>49589</v>
      </c>
      <c r="B723" s="31">
        <v>46118</v>
      </c>
      <c r="C723" s="7" t="s">
        <v>321</v>
      </c>
      <c r="D723" s="7">
        <v>351</v>
      </c>
      <c r="E723" s="10">
        <f>IFERROR(SUMIFS('Base bordo CD'!M$2:M$875,'Base bordo CD'!D$2:D$875,A723,'Base bordo CD'!A$2:A$875,B723,'Base bordo CD'!L$2:L$875,"CORTE DE CANA MECANIZADO"),0)</f>
        <v>4.0449999999999999</v>
      </c>
      <c r="F723" s="10">
        <f>IFERROR(SUMIFS('Base bordo CD'!M$2:M$875,'Base bordo CD'!D$2:D$875,A723,'Base bordo CD'!A$2:A$875,B723,'Base bordo CD'!L$2:L$875,"MANOBRA"),0)</f>
        <v>2.9416666666666664</v>
      </c>
      <c r="G723" s="10">
        <f>IFERROR(SUMIFS('Base bordo CD'!M$2:M$875,'Base bordo CD'!D$2:D$875,A723,'Base bordo CD'!A$2:A$875,B723,'Base bordo CD'!L$2:L$875,"DESLOCAMENTO"),0)</f>
        <v>0.29972222222222222</v>
      </c>
      <c r="H723" s="10">
        <f>IFERROR(SUMIFS('Base bordo CD'!M$2:M$875,'Base bordo CD'!D$2:D$875,A723,'Base bordo CD'!A$2:A$875,B723,'Base bordo CD'!L$2:L$875,"AGUARDANDO MANOBRA DE TRANSBORDO"),0)+IFERROR(SUMIFS('Base bordo CD'!M$2:M$875,'Base bordo CD'!D$2:D$875,A723,'Base bordo CD'!A$2:A$875,B723,'Base bordo CD'!L$2:L$875,"FALTA DE TRANSBORDO"),0)</f>
        <v>0</v>
      </c>
      <c r="I723" s="10">
        <f>IFERROR(SUMIFS('Base bordo CD'!M$2:M$875,'Base bordo CD'!D$2:D$875,A723,'Base bordo CD'!A$2:A$875,B723,'Base bordo CD'!L$2:L$875,"PARADA POR CONDICOES CLIMATICAS"),0)+IFERROR(SUMIFS('Base bordo CD'!M$2:M$875,'Base bordo CD'!D$2:D$875,A723,'Base bordo CD'!A$2:A$875,B723,'Base bordo CD'!L$2:L$875,"TEMPO INDETERMINADO"),0)</f>
        <v>5.3358333333333334</v>
      </c>
      <c r="J723" s="10">
        <f>IFERROR(SUMIFS('Base bordo CD'!M$2:M$875,'Base bordo CD'!D$2:D$875,A723,'Base bordo CD'!A$2:A$875,B723,'Base bordo CD'!L$2:L$875,"LIMITAÇÃO INDÚSTRIA"),0)</f>
        <v>4.8672222222222228</v>
      </c>
      <c r="K723" s="10">
        <f>IFERROR(SUMIFS('Base bordo CD'!M$2:M$875,'Base bordo CD'!D$2:D$875,A723,'Base bordo CD'!A$2:A$875,B723,'Base bordo CD'!L$2:L$875,"MAN CORRETIVA*"),0)+IFERROR(SUMIFS('Base bordo CD'!M$2:M$875,'Base bordo CD'!D$2:D$875,A723,'Base bordo CD'!A$2:A$875,B723,'Base bordo CD'!L$2:L$875,"AGUARDANDO MANUTENCAO*"),0)+IFERROR(SUMIFS('Base bordo CD'!M$2:M$875,'Base bordo CD'!D$2:D$875,A723,'Base bordo CD'!A$2:A$875,B723,'Base bordo CD'!L$2:L$875,"TROCA DE FAQUINHA"),0)+IFERROR(SUMIFS('Base bordo CD'!M$2:M$875,'Base bordo CD'!D$2:D$875,A723,'Base bordo CD'!A$2:A$875,B723,'Base bordo CD'!L$2:L$875,"LIMPEZA*"),0)</f>
        <v>0</v>
      </c>
      <c r="L723" s="10">
        <f>IFERROR(SUMIFS('Base bordo CD'!M$2:M$875,'Base bordo CD'!D$2:D$875,A723,'Base bordo CD'!A$2:A$875,B723,'Base bordo CD'!L$2:L$875,"PATIO - RESERVA"),0)</f>
        <v>3.0319444444444441</v>
      </c>
      <c r="M723" s="10">
        <f>IFERROR(SUMIFS('Base bordo CD'!M$2:M$875,'Base bordo CD'!D$2:D$875,A723,'Base bordo CD'!A$2:A$875,B723,'Base bordo CD'!L$2:L$875,"SEM APONTAMENTO"),0)</f>
        <v>2.4722222222222222E-2</v>
      </c>
      <c r="N723" s="10">
        <f>IFERROR(SUMIFS('Base bordo CD'!M$2:M$875,'Base bordo CD'!D$2:D$875,A723,'Base bordo CD'!A$2:A$875,B723,'Base bordo CD'!L$2:L$875,"FALTA DE CAMINHÃO"),0)+IFERROR(SUMIFS('Base bordo CD'!M$2:M$875,'Base bordo CD'!D$2:D$875,A723,'Base bordo CD'!A$2:A$875,B723,'Base bordo CD'!L$2:L$875,"FALTA DE COMBUSTIVEL"),0)+IFERROR(SUMIFS('Base bordo CD'!M$2:M$875,'Base bordo CD'!D$2:D$875,A723,'Base bordo CD'!A$2:A$875,B723,'Base bordo CD'!L$2:L$875,"FALTA DE MOTORIST*"),0)</f>
        <v>0</v>
      </c>
      <c r="O723" s="10">
        <f t="shared" si="60"/>
        <v>3.4538888888888799</v>
      </c>
      <c r="P723" s="10">
        <f>IFERROR(SUMIFS('Base bordo CD'!M$2:M$875,'Base bordo CD'!D$2:D$875,A723,'Base bordo CD'!A$2:A$875,B723),0)</f>
        <v>23.999999999999993</v>
      </c>
      <c r="Q723" s="10">
        <f>IFERROR(SUMIFS('Base bordo CD'!O$2:O$875,'Base bordo CD'!D$2:D$875,A723,'Base bordo CD'!A$2:A$875,B723,'Base bordo CD'!L$2:L$875,"CORTE DE CANA MECANIZADO"),0)</f>
        <v>64702.710000000006</v>
      </c>
      <c r="R723" s="10">
        <f>IFERROR(SUMIFS('Base bordo CD'!Q$2:Q$875,'Base bordo CD'!D$2:D$875,A723,'Base bordo CD'!A$2:A$875,B723,'Base bordo CD'!L$2:L$875,"CORTE DE CANA MECANIZADO"),0)</f>
        <v>14562</v>
      </c>
      <c r="S723" s="30">
        <f t="shared" si="61"/>
        <v>4.4432571075401732</v>
      </c>
      <c r="T723" s="9">
        <f t="shared" si="62"/>
        <v>0.1685416666666667</v>
      </c>
      <c r="U723" s="9">
        <f t="shared" si="63"/>
        <v>0.12256944444444447</v>
      </c>
      <c r="V723" s="9">
        <f t="shared" si="64"/>
        <v>0.81896990740740738</v>
      </c>
    </row>
    <row r="724" spans="1:22" hidden="1" x14ac:dyDescent="0.35">
      <c r="A724" s="52">
        <v>49589</v>
      </c>
      <c r="B724" s="31">
        <v>46118</v>
      </c>
      <c r="C724" s="7" t="s">
        <v>321</v>
      </c>
      <c r="D724" s="7">
        <v>351</v>
      </c>
      <c r="E724" s="10">
        <f>IFERROR(SUMIFS('Base bordo CD'!M$2:M$875,'Base bordo CD'!D$2:D$875,A724,'Base bordo CD'!A$2:A$875,B724,'Base bordo CD'!L$2:L$875,"CORTE DE CANA MECANIZADO"),0)</f>
        <v>4.0449999999999999</v>
      </c>
      <c r="F724" s="10">
        <f>IFERROR(SUMIFS('Base bordo CD'!M$2:M$875,'Base bordo CD'!D$2:D$875,A724,'Base bordo CD'!A$2:A$875,B724,'Base bordo CD'!L$2:L$875,"MANOBRA"),0)</f>
        <v>2.9416666666666664</v>
      </c>
      <c r="G724" s="10">
        <f>IFERROR(SUMIFS('Base bordo CD'!M$2:M$875,'Base bordo CD'!D$2:D$875,A724,'Base bordo CD'!A$2:A$875,B724,'Base bordo CD'!L$2:L$875,"DESLOCAMENTO"),0)</f>
        <v>0.29972222222222222</v>
      </c>
      <c r="H724" s="10">
        <f>IFERROR(SUMIFS('Base bordo CD'!M$2:M$875,'Base bordo CD'!D$2:D$875,A724,'Base bordo CD'!A$2:A$875,B724,'Base bordo CD'!L$2:L$875,"AGUARDANDO MANOBRA DE TRANSBORDO"),0)+IFERROR(SUMIFS('Base bordo CD'!M$2:M$875,'Base bordo CD'!D$2:D$875,A724,'Base bordo CD'!A$2:A$875,B724,'Base bordo CD'!L$2:L$875,"FALTA DE TRANSBORDO"),0)</f>
        <v>0</v>
      </c>
      <c r="I724" s="10">
        <f>IFERROR(SUMIFS('Base bordo CD'!M$2:M$875,'Base bordo CD'!D$2:D$875,A724,'Base bordo CD'!A$2:A$875,B724,'Base bordo CD'!L$2:L$875,"PARADA POR CONDICOES CLIMATICAS"),0)+IFERROR(SUMIFS('Base bordo CD'!M$2:M$875,'Base bordo CD'!D$2:D$875,A724,'Base bordo CD'!A$2:A$875,B724,'Base bordo CD'!L$2:L$875,"TEMPO INDETERMINADO"),0)</f>
        <v>5.3358333333333334</v>
      </c>
      <c r="J724" s="10">
        <f>IFERROR(SUMIFS('Base bordo CD'!M$2:M$875,'Base bordo CD'!D$2:D$875,A724,'Base bordo CD'!A$2:A$875,B724,'Base bordo CD'!L$2:L$875,"LIMITAÇÃO INDÚSTRIA"),0)</f>
        <v>4.8672222222222228</v>
      </c>
      <c r="K724" s="10">
        <f>IFERROR(SUMIFS('Base bordo CD'!M$2:M$875,'Base bordo CD'!D$2:D$875,A724,'Base bordo CD'!A$2:A$875,B724,'Base bordo CD'!L$2:L$875,"MAN CORRETIVA*"),0)+IFERROR(SUMIFS('Base bordo CD'!M$2:M$875,'Base bordo CD'!D$2:D$875,A724,'Base bordo CD'!A$2:A$875,B724,'Base bordo CD'!L$2:L$875,"AGUARDANDO MANUTENCAO*"),0)+IFERROR(SUMIFS('Base bordo CD'!M$2:M$875,'Base bordo CD'!D$2:D$875,A724,'Base bordo CD'!A$2:A$875,B724,'Base bordo CD'!L$2:L$875,"TROCA DE FAQUINHA"),0)+IFERROR(SUMIFS('Base bordo CD'!M$2:M$875,'Base bordo CD'!D$2:D$875,A724,'Base bordo CD'!A$2:A$875,B724,'Base bordo CD'!L$2:L$875,"LIMPEZA*"),0)</f>
        <v>0</v>
      </c>
      <c r="L724" s="10">
        <f>IFERROR(SUMIFS('Base bordo CD'!M$2:M$875,'Base bordo CD'!D$2:D$875,A724,'Base bordo CD'!A$2:A$875,B724,'Base bordo CD'!L$2:L$875,"PATIO - RESERVA"),0)</f>
        <v>3.0319444444444441</v>
      </c>
      <c r="M724" s="10">
        <f>IFERROR(SUMIFS('Base bordo CD'!M$2:M$875,'Base bordo CD'!D$2:D$875,A724,'Base bordo CD'!A$2:A$875,B724,'Base bordo CD'!L$2:L$875,"SEM APONTAMENTO"),0)</f>
        <v>2.4722222222222222E-2</v>
      </c>
      <c r="N724" s="10">
        <f>IFERROR(SUMIFS('Base bordo CD'!M$2:M$875,'Base bordo CD'!D$2:D$875,A724,'Base bordo CD'!A$2:A$875,B724,'Base bordo CD'!L$2:L$875,"FALTA DE CAMINHÃO"),0)+IFERROR(SUMIFS('Base bordo CD'!M$2:M$875,'Base bordo CD'!D$2:D$875,A724,'Base bordo CD'!A$2:A$875,B724,'Base bordo CD'!L$2:L$875,"FALTA DE COMBUSTIVEL"),0)+IFERROR(SUMIFS('Base bordo CD'!M$2:M$875,'Base bordo CD'!D$2:D$875,A724,'Base bordo CD'!A$2:A$875,B724,'Base bordo CD'!L$2:L$875,"FALTA DE MOTORIST*"),0)</f>
        <v>0</v>
      </c>
      <c r="O724" s="10">
        <f t="shared" si="60"/>
        <v>3.4538888888888799</v>
      </c>
      <c r="P724" s="10">
        <f>IFERROR(SUMIFS('Base bordo CD'!M$2:M$875,'Base bordo CD'!D$2:D$875,A724,'Base bordo CD'!A$2:A$875,B724),0)</f>
        <v>23.999999999999993</v>
      </c>
      <c r="Q724" s="10">
        <f>IFERROR(SUMIFS('Base bordo CD'!O$2:O$875,'Base bordo CD'!D$2:D$875,A724,'Base bordo CD'!A$2:A$875,B724,'Base bordo CD'!L$2:L$875,"CORTE DE CANA MECANIZADO"),0)</f>
        <v>64702.710000000006</v>
      </c>
      <c r="R724" s="10">
        <f>IFERROR(SUMIFS('Base bordo CD'!Q$2:Q$875,'Base bordo CD'!D$2:D$875,A724,'Base bordo CD'!A$2:A$875,B724,'Base bordo CD'!L$2:L$875,"CORTE DE CANA MECANIZADO"),0)</f>
        <v>14562</v>
      </c>
      <c r="S724" s="30">
        <f t="shared" si="61"/>
        <v>4.4432571075401732</v>
      </c>
      <c r="T724" s="9">
        <f t="shared" si="62"/>
        <v>0.1685416666666667</v>
      </c>
      <c r="U724" s="9">
        <f t="shared" si="63"/>
        <v>0.12256944444444447</v>
      </c>
      <c r="V724" s="9">
        <f t="shared" si="64"/>
        <v>0.81896990740740738</v>
      </c>
    </row>
    <row r="725" spans="1:22" hidden="1" x14ac:dyDescent="0.35">
      <c r="A725" s="52">
        <v>49589</v>
      </c>
      <c r="B725" s="31">
        <v>46118</v>
      </c>
      <c r="C725" s="7" t="s">
        <v>321</v>
      </c>
      <c r="D725" s="7">
        <v>351</v>
      </c>
      <c r="E725" s="10">
        <f>IFERROR(SUMIFS('Base bordo CD'!M$2:M$875,'Base bordo CD'!D$2:D$875,A725,'Base bordo CD'!A$2:A$875,B725,'Base bordo CD'!L$2:L$875,"CORTE DE CANA MECANIZADO"),0)</f>
        <v>4.0449999999999999</v>
      </c>
      <c r="F725" s="10">
        <f>IFERROR(SUMIFS('Base bordo CD'!M$2:M$875,'Base bordo CD'!D$2:D$875,A725,'Base bordo CD'!A$2:A$875,B725,'Base bordo CD'!L$2:L$875,"MANOBRA"),0)</f>
        <v>2.9416666666666664</v>
      </c>
      <c r="G725" s="10">
        <f>IFERROR(SUMIFS('Base bordo CD'!M$2:M$875,'Base bordo CD'!D$2:D$875,A725,'Base bordo CD'!A$2:A$875,B725,'Base bordo CD'!L$2:L$875,"DESLOCAMENTO"),0)</f>
        <v>0.29972222222222222</v>
      </c>
      <c r="H725" s="10">
        <f>IFERROR(SUMIFS('Base bordo CD'!M$2:M$875,'Base bordo CD'!D$2:D$875,A725,'Base bordo CD'!A$2:A$875,B725,'Base bordo CD'!L$2:L$875,"AGUARDANDO MANOBRA DE TRANSBORDO"),0)+IFERROR(SUMIFS('Base bordo CD'!M$2:M$875,'Base bordo CD'!D$2:D$875,A725,'Base bordo CD'!A$2:A$875,B725,'Base bordo CD'!L$2:L$875,"FALTA DE TRANSBORDO"),0)</f>
        <v>0</v>
      </c>
      <c r="I725" s="10">
        <f>IFERROR(SUMIFS('Base bordo CD'!M$2:M$875,'Base bordo CD'!D$2:D$875,A725,'Base bordo CD'!A$2:A$875,B725,'Base bordo CD'!L$2:L$875,"PARADA POR CONDICOES CLIMATICAS"),0)+IFERROR(SUMIFS('Base bordo CD'!M$2:M$875,'Base bordo CD'!D$2:D$875,A725,'Base bordo CD'!A$2:A$875,B725,'Base bordo CD'!L$2:L$875,"TEMPO INDETERMINADO"),0)</f>
        <v>5.3358333333333334</v>
      </c>
      <c r="J725" s="10">
        <f>IFERROR(SUMIFS('Base bordo CD'!M$2:M$875,'Base bordo CD'!D$2:D$875,A725,'Base bordo CD'!A$2:A$875,B725,'Base bordo CD'!L$2:L$875,"LIMITAÇÃO INDÚSTRIA"),0)</f>
        <v>4.8672222222222228</v>
      </c>
      <c r="K725" s="10">
        <f>IFERROR(SUMIFS('Base bordo CD'!M$2:M$875,'Base bordo CD'!D$2:D$875,A725,'Base bordo CD'!A$2:A$875,B725,'Base bordo CD'!L$2:L$875,"MAN CORRETIVA*"),0)+IFERROR(SUMIFS('Base bordo CD'!M$2:M$875,'Base bordo CD'!D$2:D$875,A725,'Base bordo CD'!A$2:A$875,B725,'Base bordo CD'!L$2:L$875,"AGUARDANDO MANUTENCAO*"),0)+IFERROR(SUMIFS('Base bordo CD'!M$2:M$875,'Base bordo CD'!D$2:D$875,A725,'Base bordo CD'!A$2:A$875,B725,'Base bordo CD'!L$2:L$875,"TROCA DE FAQUINHA"),0)+IFERROR(SUMIFS('Base bordo CD'!M$2:M$875,'Base bordo CD'!D$2:D$875,A725,'Base bordo CD'!A$2:A$875,B725,'Base bordo CD'!L$2:L$875,"LIMPEZA*"),0)</f>
        <v>0</v>
      </c>
      <c r="L725" s="10">
        <f>IFERROR(SUMIFS('Base bordo CD'!M$2:M$875,'Base bordo CD'!D$2:D$875,A725,'Base bordo CD'!A$2:A$875,B725,'Base bordo CD'!L$2:L$875,"PATIO - RESERVA"),0)</f>
        <v>3.0319444444444441</v>
      </c>
      <c r="M725" s="10">
        <f>IFERROR(SUMIFS('Base bordo CD'!M$2:M$875,'Base bordo CD'!D$2:D$875,A725,'Base bordo CD'!A$2:A$875,B725,'Base bordo CD'!L$2:L$875,"SEM APONTAMENTO"),0)</f>
        <v>2.4722222222222222E-2</v>
      </c>
      <c r="N725" s="10">
        <f>IFERROR(SUMIFS('Base bordo CD'!M$2:M$875,'Base bordo CD'!D$2:D$875,A725,'Base bordo CD'!A$2:A$875,B725,'Base bordo CD'!L$2:L$875,"FALTA DE CAMINHÃO"),0)+IFERROR(SUMIFS('Base bordo CD'!M$2:M$875,'Base bordo CD'!D$2:D$875,A725,'Base bordo CD'!A$2:A$875,B725,'Base bordo CD'!L$2:L$875,"FALTA DE COMBUSTIVEL"),0)+IFERROR(SUMIFS('Base bordo CD'!M$2:M$875,'Base bordo CD'!D$2:D$875,A725,'Base bordo CD'!A$2:A$875,B725,'Base bordo CD'!L$2:L$875,"FALTA DE MOTORIST*"),0)</f>
        <v>0</v>
      </c>
      <c r="O725" s="10">
        <f t="shared" si="60"/>
        <v>3.4538888888888799</v>
      </c>
      <c r="P725" s="10">
        <f>IFERROR(SUMIFS('Base bordo CD'!M$2:M$875,'Base bordo CD'!D$2:D$875,A725,'Base bordo CD'!A$2:A$875,B725),0)</f>
        <v>23.999999999999993</v>
      </c>
      <c r="Q725" s="10">
        <f>IFERROR(SUMIFS('Base bordo CD'!O$2:O$875,'Base bordo CD'!D$2:D$875,A725,'Base bordo CD'!A$2:A$875,B725,'Base bordo CD'!L$2:L$875,"CORTE DE CANA MECANIZADO"),0)</f>
        <v>64702.710000000006</v>
      </c>
      <c r="R725" s="10">
        <f>IFERROR(SUMIFS('Base bordo CD'!Q$2:Q$875,'Base bordo CD'!D$2:D$875,A725,'Base bordo CD'!A$2:A$875,B725,'Base bordo CD'!L$2:L$875,"CORTE DE CANA MECANIZADO"),0)</f>
        <v>14562</v>
      </c>
      <c r="S725" s="30">
        <f t="shared" si="61"/>
        <v>4.4432571075401732</v>
      </c>
      <c r="T725" s="9">
        <f t="shared" si="62"/>
        <v>0.1685416666666667</v>
      </c>
      <c r="U725" s="9">
        <f t="shared" si="63"/>
        <v>0.12256944444444447</v>
      </c>
      <c r="V725" s="9">
        <f t="shared" si="64"/>
        <v>0.81896990740740738</v>
      </c>
    </row>
    <row r="726" spans="1:22" hidden="1" x14ac:dyDescent="0.35">
      <c r="A726" s="52">
        <v>49589</v>
      </c>
      <c r="B726" s="31">
        <v>46118</v>
      </c>
      <c r="C726" s="7" t="s">
        <v>321</v>
      </c>
      <c r="D726" s="7">
        <v>351</v>
      </c>
      <c r="E726" s="10">
        <f>IFERROR(SUMIFS('Base bordo CD'!M$2:M$875,'Base bordo CD'!D$2:D$875,A726,'Base bordo CD'!A$2:A$875,B726,'Base bordo CD'!L$2:L$875,"CORTE DE CANA MECANIZADO"),0)</f>
        <v>4.0449999999999999</v>
      </c>
      <c r="F726" s="10">
        <f>IFERROR(SUMIFS('Base bordo CD'!M$2:M$875,'Base bordo CD'!D$2:D$875,A726,'Base bordo CD'!A$2:A$875,B726,'Base bordo CD'!L$2:L$875,"MANOBRA"),0)</f>
        <v>2.9416666666666664</v>
      </c>
      <c r="G726" s="10">
        <f>IFERROR(SUMIFS('Base bordo CD'!M$2:M$875,'Base bordo CD'!D$2:D$875,A726,'Base bordo CD'!A$2:A$875,B726,'Base bordo CD'!L$2:L$875,"DESLOCAMENTO"),0)</f>
        <v>0.29972222222222222</v>
      </c>
      <c r="H726" s="10">
        <f>IFERROR(SUMIFS('Base bordo CD'!M$2:M$875,'Base bordo CD'!D$2:D$875,A726,'Base bordo CD'!A$2:A$875,B726,'Base bordo CD'!L$2:L$875,"AGUARDANDO MANOBRA DE TRANSBORDO"),0)+IFERROR(SUMIFS('Base bordo CD'!M$2:M$875,'Base bordo CD'!D$2:D$875,A726,'Base bordo CD'!A$2:A$875,B726,'Base bordo CD'!L$2:L$875,"FALTA DE TRANSBORDO"),0)</f>
        <v>0</v>
      </c>
      <c r="I726" s="10">
        <f>IFERROR(SUMIFS('Base bordo CD'!M$2:M$875,'Base bordo CD'!D$2:D$875,A726,'Base bordo CD'!A$2:A$875,B726,'Base bordo CD'!L$2:L$875,"PARADA POR CONDICOES CLIMATICAS"),0)+IFERROR(SUMIFS('Base bordo CD'!M$2:M$875,'Base bordo CD'!D$2:D$875,A726,'Base bordo CD'!A$2:A$875,B726,'Base bordo CD'!L$2:L$875,"TEMPO INDETERMINADO"),0)</f>
        <v>5.3358333333333334</v>
      </c>
      <c r="J726" s="10">
        <f>IFERROR(SUMIFS('Base bordo CD'!M$2:M$875,'Base bordo CD'!D$2:D$875,A726,'Base bordo CD'!A$2:A$875,B726,'Base bordo CD'!L$2:L$875,"LIMITAÇÃO INDÚSTRIA"),0)</f>
        <v>4.8672222222222228</v>
      </c>
      <c r="K726" s="10">
        <f>IFERROR(SUMIFS('Base bordo CD'!M$2:M$875,'Base bordo CD'!D$2:D$875,A726,'Base bordo CD'!A$2:A$875,B726,'Base bordo CD'!L$2:L$875,"MAN CORRETIVA*"),0)+IFERROR(SUMIFS('Base bordo CD'!M$2:M$875,'Base bordo CD'!D$2:D$875,A726,'Base bordo CD'!A$2:A$875,B726,'Base bordo CD'!L$2:L$875,"AGUARDANDO MANUTENCAO*"),0)+IFERROR(SUMIFS('Base bordo CD'!M$2:M$875,'Base bordo CD'!D$2:D$875,A726,'Base bordo CD'!A$2:A$875,B726,'Base bordo CD'!L$2:L$875,"TROCA DE FAQUINHA"),0)+IFERROR(SUMIFS('Base bordo CD'!M$2:M$875,'Base bordo CD'!D$2:D$875,A726,'Base bordo CD'!A$2:A$875,B726,'Base bordo CD'!L$2:L$875,"LIMPEZA*"),0)</f>
        <v>0</v>
      </c>
      <c r="L726" s="10">
        <f>IFERROR(SUMIFS('Base bordo CD'!M$2:M$875,'Base bordo CD'!D$2:D$875,A726,'Base bordo CD'!A$2:A$875,B726,'Base bordo CD'!L$2:L$875,"PATIO - RESERVA"),0)</f>
        <v>3.0319444444444441</v>
      </c>
      <c r="M726" s="10">
        <f>IFERROR(SUMIFS('Base bordo CD'!M$2:M$875,'Base bordo CD'!D$2:D$875,A726,'Base bordo CD'!A$2:A$875,B726,'Base bordo CD'!L$2:L$875,"SEM APONTAMENTO"),0)</f>
        <v>2.4722222222222222E-2</v>
      </c>
      <c r="N726" s="10">
        <f>IFERROR(SUMIFS('Base bordo CD'!M$2:M$875,'Base bordo CD'!D$2:D$875,A726,'Base bordo CD'!A$2:A$875,B726,'Base bordo CD'!L$2:L$875,"FALTA DE CAMINHÃO"),0)+IFERROR(SUMIFS('Base bordo CD'!M$2:M$875,'Base bordo CD'!D$2:D$875,A726,'Base bordo CD'!A$2:A$875,B726,'Base bordo CD'!L$2:L$875,"FALTA DE COMBUSTIVEL"),0)+IFERROR(SUMIFS('Base bordo CD'!M$2:M$875,'Base bordo CD'!D$2:D$875,A726,'Base bordo CD'!A$2:A$875,B726,'Base bordo CD'!L$2:L$875,"FALTA DE MOTORIST*"),0)</f>
        <v>0</v>
      </c>
      <c r="O726" s="10">
        <f t="shared" si="60"/>
        <v>3.4538888888888799</v>
      </c>
      <c r="P726" s="10">
        <f>IFERROR(SUMIFS('Base bordo CD'!M$2:M$875,'Base bordo CD'!D$2:D$875,A726,'Base bordo CD'!A$2:A$875,B726),0)</f>
        <v>23.999999999999993</v>
      </c>
      <c r="Q726" s="10">
        <f>IFERROR(SUMIFS('Base bordo CD'!O$2:O$875,'Base bordo CD'!D$2:D$875,A726,'Base bordo CD'!A$2:A$875,B726,'Base bordo CD'!L$2:L$875,"CORTE DE CANA MECANIZADO"),0)</f>
        <v>64702.710000000006</v>
      </c>
      <c r="R726" s="10">
        <f>IFERROR(SUMIFS('Base bordo CD'!Q$2:Q$875,'Base bordo CD'!D$2:D$875,A726,'Base bordo CD'!A$2:A$875,B726,'Base bordo CD'!L$2:L$875,"CORTE DE CANA MECANIZADO"),0)</f>
        <v>14562</v>
      </c>
      <c r="S726" s="30">
        <f t="shared" si="61"/>
        <v>4.4432571075401732</v>
      </c>
      <c r="T726" s="9">
        <f t="shared" si="62"/>
        <v>0.1685416666666667</v>
      </c>
      <c r="U726" s="9">
        <f t="shared" si="63"/>
        <v>0.12256944444444447</v>
      </c>
      <c r="V726" s="9">
        <f t="shared" si="64"/>
        <v>0.81896990740740738</v>
      </c>
    </row>
    <row r="727" spans="1:22" hidden="1" x14ac:dyDescent="0.35">
      <c r="A727" s="52">
        <v>49589</v>
      </c>
      <c r="B727" s="31">
        <v>46118</v>
      </c>
      <c r="C727" s="7" t="s">
        <v>321</v>
      </c>
      <c r="D727" s="7">
        <v>351</v>
      </c>
      <c r="E727" s="10">
        <f>IFERROR(SUMIFS('Base bordo CD'!M$2:M$875,'Base bordo CD'!D$2:D$875,A727,'Base bordo CD'!A$2:A$875,B727,'Base bordo CD'!L$2:L$875,"CORTE DE CANA MECANIZADO"),0)</f>
        <v>4.0449999999999999</v>
      </c>
      <c r="F727" s="10">
        <f>IFERROR(SUMIFS('Base bordo CD'!M$2:M$875,'Base bordo CD'!D$2:D$875,A727,'Base bordo CD'!A$2:A$875,B727,'Base bordo CD'!L$2:L$875,"MANOBRA"),0)</f>
        <v>2.9416666666666664</v>
      </c>
      <c r="G727" s="10">
        <f>IFERROR(SUMIFS('Base bordo CD'!M$2:M$875,'Base bordo CD'!D$2:D$875,A727,'Base bordo CD'!A$2:A$875,B727,'Base bordo CD'!L$2:L$875,"DESLOCAMENTO"),0)</f>
        <v>0.29972222222222222</v>
      </c>
      <c r="H727" s="10">
        <f>IFERROR(SUMIFS('Base bordo CD'!M$2:M$875,'Base bordo CD'!D$2:D$875,A727,'Base bordo CD'!A$2:A$875,B727,'Base bordo CD'!L$2:L$875,"AGUARDANDO MANOBRA DE TRANSBORDO"),0)+IFERROR(SUMIFS('Base bordo CD'!M$2:M$875,'Base bordo CD'!D$2:D$875,A727,'Base bordo CD'!A$2:A$875,B727,'Base bordo CD'!L$2:L$875,"FALTA DE TRANSBORDO"),0)</f>
        <v>0</v>
      </c>
      <c r="I727" s="10">
        <f>IFERROR(SUMIFS('Base bordo CD'!M$2:M$875,'Base bordo CD'!D$2:D$875,A727,'Base bordo CD'!A$2:A$875,B727,'Base bordo CD'!L$2:L$875,"PARADA POR CONDICOES CLIMATICAS"),0)+IFERROR(SUMIFS('Base bordo CD'!M$2:M$875,'Base bordo CD'!D$2:D$875,A727,'Base bordo CD'!A$2:A$875,B727,'Base bordo CD'!L$2:L$875,"TEMPO INDETERMINADO"),0)</f>
        <v>5.3358333333333334</v>
      </c>
      <c r="J727" s="10">
        <f>IFERROR(SUMIFS('Base bordo CD'!M$2:M$875,'Base bordo CD'!D$2:D$875,A727,'Base bordo CD'!A$2:A$875,B727,'Base bordo CD'!L$2:L$875,"LIMITAÇÃO INDÚSTRIA"),0)</f>
        <v>4.8672222222222228</v>
      </c>
      <c r="K727" s="10">
        <f>IFERROR(SUMIFS('Base bordo CD'!M$2:M$875,'Base bordo CD'!D$2:D$875,A727,'Base bordo CD'!A$2:A$875,B727,'Base bordo CD'!L$2:L$875,"MAN CORRETIVA*"),0)+IFERROR(SUMIFS('Base bordo CD'!M$2:M$875,'Base bordo CD'!D$2:D$875,A727,'Base bordo CD'!A$2:A$875,B727,'Base bordo CD'!L$2:L$875,"AGUARDANDO MANUTENCAO*"),0)+IFERROR(SUMIFS('Base bordo CD'!M$2:M$875,'Base bordo CD'!D$2:D$875,A727,'Base bordo CD'!A$2:A$875,B727,'Base bordo CD'!L$2:L$875,"TROCA DE FAQUINHA"),0)+IFERROR(SUMIFS('Base bordo CD'!M$2:M$875,'Base bordo CD'!D$2:D$875,A727,'Base bordo CD'!A$2:A$875,B727,'Base bordo CD'!L$2:L$875,"LIMPEZA*"),0)</f>
        <v>0</v>
      </c>
      <c r="L727" s="10">
        <f>IFERROR(SUMIFS('Base bordo CD'!M$2:M$875,'Base bordo CD'!D$2:D$875,A727,'Base bordo CD'!A$2:A$875,B727,'Base bordo CD'!L$2:L$875,"PATIO - RESERVA"),0)</f>
        <v>3.0319444444444441</v>
      </c>
      <c r="M727" s="10">
        <f>IFERROR(SUMIFS('Base bordo CD'!M$2:M$875,'Base bordo CD'!D$2:D$875,A727,'Base bordo CD'!A$2:A$875,B727,'Base bordo CD'!L$2:L$875,"SEM APONTAMENTO"),0)</f>
        <v>2.4722222222222222E-2</v>
      </c>
      <c r="N727" s="10">
        <f>IFERROR(SUMIFS('Base bordo CD'!M$2:M$875,'Base bordo CD'!D$2:D$875,A727,'Base bordo CD'!A$2:A$875,B727,'Base bordo CD'!L$2:L$875,"FALTA DE CAMINHÃO"),0)+IFERROR(SUMIFS('Base bordo CD'!M$2:M$875,'Base bordo CD'!D$2:D$875,A727,'Base bordo CD'!A$2:A$875,B727,'Base bordo CD'!L$2:L$875,"FALTA DE COMBUSTIVEL"),0)+IFERROR(SUMIFS('Base bordo CD'!M$2:M$875,'Base bordo CD'!D$2:D$875,A727,'Base bordo CD'!A$2:A$875,B727,'Base bordo CD'!L$2:L$875,"FALTA DE MOTORIST*"),0)</f>
        <v>0</v>
      </c>
      <c r="O727" s="10">
        <f t="shared" si="60"/>
        <v>3.4538888888888799</v>
      </c>
      <c r="P727" s="10">
        <f>IFERROR(SUMIFS('Base bordo CD'!M$2:M$875,'Base bordo CD'!D$2:D$875,A727,'Base bordo CD'!A$2:A$875,B727),0)</f>
        <v>23.999999999999993</v>
      </c>
      <c r="Q727" s="10">
        <f>IFERROR(SUMIFS('Base bordo CD'!O$2:O$875,'Base bordo CD'!D$2:D$875,A727,'Base bordo CD'!A$2:A$875,B727,'Base bordo CD'!L$2:L$875,"CORTE DE CANA MECANIZADO"),0)</f>
        <v>64702.710000000006</v>
      </c>
      <c r="R727" s="10">
        <f>IFERROR(SUMIFS('Base bordo CD'!Q$2:Q$875,'Base bordo CD'!D$2:D$875,A727,'Base bordo CD'!A$2:A$875,B727,'Base bordo CD'!L$2:L$875,"CORTE DE CANA MECANIZADO"),0)</f>
        <v>14562</v>
      </c>
      <c r="S727" s="30">
        <f t="shared" si="61"/>
        <v>4.4432571075401732</v>
      </c>
      <c r="T727" s="9">
        <f t="shared" si="62"/>
        <v>0.1685416666666667</v>
      </c>
      <c r="U727" s="9">
        <f t="shared" si="63"/>
        <v>0.12256944444444447</v>
      </c>
      <c r="V727" s="9">
        <f t="shared" si="64"/>
        <v>0.81896990740740738</v>
      </c>
    </row>
    <row r="728" spans="1:22" hidden="1" x14ac:dyDescent="0.35">
      <c r="A728" s="52">
        <v>49589</v>
      </c>
      <c r="B728" s="31">
        <v>46118</v>
      </c>
      <c r="C728" s="7" t="s">
        <v>321</v>
      </c>
      <c r="D728" s="7">
        <v>351</v>
      </c>
      <c r="E728" s="10">
        <f>IFERROR(SUMIFS('Base bordo CD'!M$2:M$875,'Base bordo CD'!D$2:D$875,A728,'Base bordo CD'!A$2:A$875,B728,'Base bordo CD'!L$2:L$875,"CORTE DE CANA MECANIZADO"),0)</f>
        <v>4.0449999999999999</v>
      </c>
      <c r="F728" s="10">
        <f>IFERROR(SUMIFS('Base bordo CD'!M$2:M$875,'Base bordo CD'!D$2:D$875,A728,'Base bordo CD'!A$2:A$875,B728,'Base bordo CD'!L$2:L$875,"MANOBRA"),0)</f>
        <v>2.9416666666666664</v>
      </c>
      <c r="G728" s="10">
        <f>IFERROR(SUMIFS('Base bordo CD'!M$2:M$875,'Base bordo CD'!D$2:D$875,A728,'Base bordo CD'!A$2:A$875,B728,'Base bordo CD'!L$2:L$875,"DESLOCAMENTO"),0)</f>
        <v>0.29972222222222222</v>
      </c>
      <c r="H728" s="10">
        <f>IFERROR(SUMIFS('Base bordo CD'!M$2:M$875,'Base bordo CD'!D$2:D$875,A728,'Base bordo CD'!A$2:A$875,B728,'Base bordo CD'!L$2:L$875,"AGUARDANDO MANOBRA DE TRANSBORDO"),0)+IFERROR(SUMIFS('Base bordo CD'!M$2:M$875,'Base bordo CD'!D$2:D$875,A728,'Base bordo CD'!A$2:A$875,B728,'Base bordo CD'!L$2:L$875,"FALTA DE TRANSBORDO"),0)</f>
        <v>0</v>
      </c>
      <c r="I728" s="10">
        <f>IFERROR(SUMIFS('Base bordo CD'!M$2:M$875,'Base bordo CD'!D$2:D$875,A728,'Base bordo CD'!A$2:A$875,B728,'Base bordo CD'!L$2:L$875,"PARADA POR CONDICOES CLIMATICAS"),0)+IFERROR(SUMIFS('Base bordo CD'!M$2:M$875,'Base bordo CD'!D$2:D$875,A728,'Base bordo CD'!A$2:A$875,B728,'Base bordo CD'!L$2:L$875,"TEMPO INDETERMINADO"),0)</f>
        <v>5.3358333333333334</v>
      </c>
      <c r="J728" s="10">
        <f>IFERROR(SUMIFS('Base bordo CD'!M$2:M$875,'Base bordo CD'!D$2:D$875,A728,'Base bordo CD'!A$2:A$875,B728,'Base bordo CD'!L$2:L$875,"LIMITAÇÃO INDÚSTRIA"),0)</f>
        <v>4.8672222222222228</v>
      </c>
      <c r="K728" s="10">
        <f>IFERROR(SUMIFS('Base bordo CD'!M$2:M$875,'Base bordo CD'!D$2:D$875,A728,'Base bordo CD'!A$2:A$875,B728,'Base bordo CD'!L$2:L$875,"MAN CORRETIVA*"),0)+IFERROR(SUMIFS('Base bordo CD'!M$2:M$875,'Base bordo CD'!D$2:D$875,A728,'Base bordo CD'!A$2:A$875,B728,'Base bordo CD'!L$2:L$875,"AGUARDANDO MANUTENCAO*"),0)+IFERROR(SUMIFS('Base bordo CD'!M$2:M$875,'Base bordo CD'!D$2:D$875,A728,'Base bordo CD'!A$2:A$875,B728,'Base bordo CD'!L$2:L$875,"TROCA DE FAQUINHA"),0)+IFERROR(SUMIFS('Base bordo CD'!M$2:M$875,'Base bordo CD'!D$2:D$875,A728,'Base bordo CD'!A$2:A$875,B728,'Base bordo CD'!L$2:L$875,"LIMPEZA*"),0)</f>
        <v>0</v>
      </c>
      <c r="L728" s="10">
        <f>IFERROR(SUMIFS('Base bordo CD'!M$2:M$875,'Base bordo CD'!D$2:D$875,A728,'Base bordo CD'!A$2:A$875,B728,'Base bordo CD'!L$2:L$875,"PATIO - RESERVA"),0)</f>
        <v>3.0319444444444441</v>
      </c>
      <c r="M728" s="10">
        <f>IFERROR(SUMIFS('Base bordo CD'!M$2:M$875,'Base bordo CD'!D$2:D$875,A728,'Base bordo CD'!A$2:A$875,B728,'Base bordo CD'!L$2:L$875,"SEM APONTAMENTO"),0)</f>
        <v>2.4722222222222222E-2</v>
      </c>
      <c r="N728" s="10">
        <f>IFERROR(SUMIFS('Base bordo CD'!M$2:M$875,'Base bordo CD'!D$2:D$875,A728,'Base bordo CD'!A$2:A$875,B728,'Base bordo CD'!L$2:L$875,"FALTA DE CAMINHÃO"),0)+IFERROR(SUMIFS('Base bordo CD'!M$2:M$875,'Base bordo CD'!D$2:D$875,A728,'Base bordo CD'!A$2:A$875,B728,'Base bordo CD'!L$2:L$875,"FALTA DE COMBUSTIVEL"),0)+IFERROR(SUMIFS('Base bordo CD'!M$2:M$875,'Base bordo CD'!D$2:D$875,A728,'Base bordo CD'!A$2:A$875,B728,'Base bordo CD'!L$2:L$875,"FALTA DE MOTORIST*"),0)</f>
        <v>0</v>
      </c>
      <c r="O728" s="10">
        <f t="shared" si="60"/>
        <v>3.4538888888888799</v>
      </c>
      <c r="P728" s="10">
        <f>IFERROR(SUMIFS('Base bordo CD'!M$2:M$875,'Base bordo CD'!D$2:D$875,A728,'Base bordo CD'!A$2:A$875,B728),0)</f>
        <v>23.999999999999993</v>
      </c>
      <c r="Q728" s="10">
        <f>IFERROR(SUMIFS('Base bordo CD'!O$2:O$875,'Base bordo CD'!D$2:D$875,A728,'Base bordo CD'!A$2:A$875,B728,'Base bordo CD'!L$2:L$875,"CORTE DE CANA MECANIZADO"),0)</f>
        <v>64702.710000000006</v>
      </c>
      <c r="R728" s="10">
        <f>IFERROR(SUMIFS('Base bordo CD'!Q$2:Q$875,'Base bordo CD'!D$2:D$875,A728,'Base bordo CD'!A$2:A$875,B728,'Base bordo CD'!L$2:L$875,"CORTE DE CANA MECANIZADO"),0)</f>
        <v>14562</v>
      </c>
      <c r="S728" s="30">
        <f t="shared" si="61"/>
        <v>4.4432571075401732</v>
      </c>
      <c r="T728" s="9">
        <f t="shared" si="62"/>
        <v>0.1685416666666667</v>
      </c>
      <c r="U728" s="9">
        <f t="shared" si="63"/>
        <v>0.12256944444444447</v>
      </c>
      <c r="V728" s="9">
        <f t="shared" si="64"/>
        <v>0.81896990740740738</v>
      </c>
    </row>
    <row r="729" spans="1:22" hidden="1" x14ac:dyDescent="0.35">
      <c r="A729" s="52">
        <v>49589</v>
      </c>
      <c r="B729" s="31">
        <v>46118</v>
      </c>
      <c r="C729" s="7" t="s">
        <v>321</v>
      </c>
      <c r="D729" s="7">
        <v>351</v>
      </c>
      <c r="E729" s="10">
        <f>IFERROR(SUMIFS('Base bordo CD'!M$2:M$875,'Base bordo CD'!D$2:D$875,A729,'Base bordo CD'!A$2:A$875,B729,'Base bordo CD'!L$2:L$875,"CORTE DE CANA MECANIZADO"),0)</f>
        <v>4.0449999999999999</v>
      </c>
      <c r="F729" s="10">
        <f>IFERROR(SUMIFS('Base bordo CD'!M$2:M$875,'Base bordo CD'!D$2:D$875,A729,'Base bordo CD'!A$2:A$875,B729,'Base bordo CD'!L$2:L$875,"MANOBRA"),0)</f>
        <v>2.9416666666666664</v>
      </c>
      <c r="G729" s="10">
        <f>IFERROR(SUMIFS('Base bordo CD'!M$2:M$875,'Base bordo CD'!D$2:D$875,A729,'Base bordo CD'!A$2:A$875,B729,'Base bordo CD'!L$2:L$875,"DESLOCAMENTO"),0)</f>
        <v>0.29972222222222222</v>
      </c>
      <c r="H729" s="10">
        <f>IFERROR(SUMIFS('Base bordo CD'!M$2:M$875,'Base bordo CD'!D$2:D$875,A729,'Base bordo CD'!A$2:A$875,B729,'Base bordo CD'!L$2:L$875,"AGUARDANDO MANOBRA DE TRANSBORDO"),0)+IFERROR(SUMIFS('Base bordo CD'!M$2:M$875,'Base bordo CD'!D$2:D$875,A729,'Base bordo CD'!A$2:A$875,B729,'Base bordo CD'!L$2:L$875,"FALTA DE TRANSBORDO"),0)</f>
        <v>0</v>
      </c>
      <c r="I729" s="10">
        <f>IFERROR(SUMIFS('Base bordo CD'!M$2:M$875,'Base bordo CD'!D$2:D$875,A729,'Base bordo CD'!A$2:A$875,B729,'Base bordo CD'!L$2:L$875,"PARADA POR CONDICOES CLIMATICAS"),0)+IFERROR(SUMIFS('Base bordo CD'!M$2:M$875,'Base bordo CD'!D$2:D$875,A729,'Base bordo CD'!A$2:A$875,B729,'Base bordo CD'!L$2:L$875,"TEMPO INDETERMINADO"),0)</f>
        <v>5.3358333333333334</v>
      </c>
      <c r="J729" s="10">
        <f>IFERROR(SUMIFS('Base bordo CD'!M$2:M$875,'Base bordo CD'!D$2:D$875,A729,'Base bordo CD'!A$2:A$875,B729,'Base bordo CD'!L$2:L$875,"LIMITAÇÃO INDÚSTRIA"),0)</f>
        <v>4.8672222222222228</v>
      </c>
      <c r="K729" s="10">
        <f>IFERROR(SUMIFS('Base bordo CD'!M$2:M$875,'Base bordo CD'!D$2:D$875,A729,'Base bordo CD'!A$2:A$875,B729,'Base bordo CD'!L$2:L$875,"MAN CORRETIVA*"),0)+IFERROR(SUMIFS('Base bordo CD'!M$2:M$875,'Base bordo CD'!D$2:D$875,A729,'Base bordo CD'!A$2:A$875,B729,'Base bordo CD'!L$2:L$875,"AGUARDANDO MANUTENCAO*"),0)+IFERROR(SUMIFS('Base bordo CD'!M$2:M$875,'Base bordo CD'!D$2:D$875,A729,'Base bordo CD'!A$2:A$875,B729,'Base bordo CD'!L$2:L$875,"TROCA DE FAQUINHA"),0)+IFERROR(SUMIFS('Base bordo CD'!M$2:M$875,'Base bordo CD'!D$2:D$875,A729,'Base bordo CD'!A$2:A$875,B729,'Base bordo CD'!L$2:L$875,"LIMPEZA*"),0)</f>
        <v>0</v>
      </c>
      <c r="L729" s="10">
        <f>IFERROR(SUMIFS('Base bordo CD'!M$2:M$875,'Base bordo CD'!D$2:D$875,A729,'Base bordo CD'!A$2:A$875,B729,'Base bordo CD'!L$2:L$875,"PATIO - RESERVA"),0)</f>
        <v>3.0319444444444441</v>
      </c>
      <c r="M729" s="10">
        <f>IFERROR(SUMIFS('Base bordo CD'!M$2:M$875,'Base bordo CD'!D$2:D$875,A729,'Base bordo CD'!A$2:A$875,B729,'Base bordo CD'!L$2:L$875,"SEM APONTAMENTO"),0)</f>
        <v>2.4722222222222222E-2</v>
      </c>
      <c r="N729" s="10">
        <f>IFERROR(SUMIFS('Base bordo CD'!M$2:M$875,'Base bordo CD'!D$2:D$875,A729,'Base bordo CD'!A$2:A$875,B729,'Base bordo CD'!L$2:L$875,"FALTA DE CAMINHÃO"),0)+IFERROR(SUMIFS('Base bordo CD'!M$2:M$875,'Base bordo CD'!D$2:D$875,A729,'Base bordo CD'!A$2:A$875,B729,'Base bordo CD'!L$2:L$875,"FALTA DE COMBUSTIVEL"),0)+IFERROR(SUMIFS('Base bordo CD'!M$2:M$875,'Base bordo CD'!D$2:D$875,A729,'Base bordo CD'!A$2:A$875,B729,'Base bordo CD'!L$2:L$875,"FALTA DE MOTORIST*"),0)</f>
        <v>0</v>
      </c>
      <c r="O729" s="10">
        <f t="shared" si="60"/>
        <v>3.4538888888888799</v>
      </c>
      <c r="P729" s="10">
        <f>IFERROR(SUMIFS('Base bordo CD'!M$2:M$875,'Base bordo CD'!D$2:D$875,A729,'Base bordo CD'!A$2:A$875,B729),0)</f>
        <v>23.999999999999993</v>
      </c>
      <c r="Q729" s="10">
        <f>IFERROR(SUMIFS('Base bordo CD'!O$2:O$875,'Base bordo CD'!D$2:D$875,A729,'Base bordo CD'!A$2:A$875,B729,'Base bordo CD'!L$2:L$875,"CORTE DE CANA MECANIZADO"),0)</f>
        <v>64702.710000000006</v>
      </c>
      <c r="R729" s="10">
        <f>IFERROR(SUMIFS('Base bordo CD'!Q$2:Q$875,'Base bordo CD'!D$2:D$875,A729,'Base bordo CD'!A$2:A$875,B729,'Base bordo CD'!L$2:L$875,"CORTE DE CANA MECANIZADO"),0)</f>
        <v>14562</v>
      </c>
      <c r="S729" s="30">
        <f t="shared" si="61"/>
        <v>4.4432571075401732</v>
      </c>
      <c r="T729" s="9">
        <f t="shared" si="62"/>
        <v>0.1685416666666667</v>
      </c>
      <c r="U729" s="9">
        <f t="shared" si="63"/>
        <v>0.12256944444444447</v>
      </c>
      <c r="V729" s="9">
        <f t="shared" si="64"/>
        <v>0.81896990740740738</v>
      </c>
    </row>
    <row r="730" spans="1:22" hidden="1" x14ac:dyDescent="0.35">
      <c r="A730" s="52">
        <v>49589</v>
      </c>
      <c r="B730" s="31">
        <v>46118</v>
      </c>
      <c r="C730" s="7" t="s">
        <v>321</v>
      </c>
      <c r="D730" s="7">
        <v>351</v>
      </c>
      <c r="E730" s="10">
        <f>IFERROR(SUMIFS('Base bordo CD'!M$2:M$875,'Base bordo CD'!D$2:D$875,A730,'Base bordo CD'!A$2:A$875,B730,'Base bordo CD'!L$2:L$875,"CORTE DE CANA MECANIZADO"),0)</f>
        <v>4.0449999999999999</v>
      </c>
      <c r="F730" s="10">
        <f>IFERROR(SUMIFS('Base bordo CD'!M$2:M$875,'Base bordo CD'!D$2:D$875,A730,'Base bordo CD'!A$2:A$875,B730,'Base bordo CD'!L$2:L$875,"MANOBRA"),0)</f>
        <v>2.9416666666666664</v>
      </c>
      <c r="G730" s="10">
        <f>IFERROR(SUMIFS('Base bordo CD'!M$2:M$875,'Base bordo CD'!D$2:D$875,A730,'Base bordo CD'!A$2:A$875,B730,'Base bordo CD'!L$2:L$875,"DESLOCAMENTO"),0)</f>
        <v>0.29972222222222222</v>
      </c>
      <c r="H730" s="10">
        <f>IFERROR(SUMIFS('Base bordo CD'!M$2:M$875,'Base bordo CD'!D$2:D$875,A730,'Base bordo CD'!A$2:A$875,B730,'Base bordo CD'!L$2:L$875,"AGUARDANDO MANOBRA DE TRANSBORDO"),0)+IFERROR(SUMIFS('Base bordo CD'!M$2:M$875,'Base bordo CD'!D$2:D$875,A730,'Base bordo CD'!A$2:A$875,B730,'Base bordo CD'!L$2:L$875,"FALTA DE TRANSBORDO"),0)</f>
        <v>0</v>
      </c>
      <c r="I730" s="10">
        <f>IFERROR(SUMIFS('Base bordo CD'!M$2:M$875,'Base bordo CD'!D$2:D$875,A730,'Base bordo CD'!A$2:A$875,B730,'Base bordo CD'!L$2:L$875,"PARADA POR CONDICOES CLIMATICAS"),0)+IFERROR(SUMIFS('Base bordo CD'!M$2:M$875,'Base bordo CD'!D$2:D$875,A730,'Base bordo CD'!A$2:A$875,B730,'Base bordo CD'!L$2:L$875,"TEMPO INDETERMINADO"),0)</f>
        <v>5.3358333333333334</v>
      </c>
      <c r="J730" s="10">
        <f>IFERROR(SUMIFS('Base bordo CD'!M$2:M$875,'Base bordo CD'!D$2:D$875,A730,'Base bordo CD'!A$2:A$875,B730,'Base bordo CD'!L$2:L$875,"LIMITAÇÃO INDÚSTRIA"),0)</f>
        <v>4.8672222222222228</v>
      </c>
      <c r="K730" s="10">
        <f>IFERROR(SUMIFS('Base bordo CD'!M$2:M$875,'Base bordo CD'!D$2:D$875,A730,'Base bordo CD'!A$2:A$875,B730,'Base bordo CD'!L$2:L$875,"MAN CORRETIVA*"),0)+IFERROR(SUMIFS('Base bordo CD'!M$2:M$875,'Base bordo CD'!D$2:D$875,A730,'Base bordo CD'!A$2:A$875,B730,'Base bordo CD'!L$2:L$875,"AGUARDANDO MANUTENCAO*"),0)+IFERROR(SUMIFS('Base bordo CD'!M$2:M$875,'Base bordo CD'!D$2:D$875,A730,'Base bordo CD'!A$2:A$875,B730,'Base bordo CD'!L$2:L$875,"TROCA DE FAQUINHA"),0)+IFERROR(SUMIFS('Base bordo CD'!M$2:M$875,'Base bordo CD'!D$2:D$875,A730,'Base bordo CD'!A$2:A$875,B730,'Base bordo CD'!L$2:L$875,"LIMPEZA*"),0)</f>
        <v>0</v>
      </c>
      <c r="L730" s="10">
        <f>IFERROR(SUMIFS('Base bordo CD'!M$2:M$875,'Base bordo CD'!D$2:D$875,A730,'Base bordo CD'!A$2:A$875,B730,'Base bordo CD'!L$2:L$875,"PATIO - RESERVA"),0)</f>
        <v>3.0319444444444441</v>
      </c>
      <c r="M730" s="10">
        <f>IFERROR(SUMIFS('Base bordo CD'!M$2:M$875,'Base bordo CD'!D$2:D$875,A730,'Base bordo CD'!A$2:A$875,B730,'Base bordo CD'!L$2:L$875,"SEM APONTAMENTO"),0)</f>
        <v>2.4722222222222222E-2</v>
      </c>
      <c r="N730" s="10">
        <f>IFERROR(SUMIFS('Base bordo CD'!M$2:M$875,'Base bordo CD'!D$2:D$875,A730,'Base bordo CD'!A$2:A$875,B730,'Base bordo CD'!L$2:L$875,"FALTA DE CAMINHÃO"),0)+IFERROR(SUMIFS('Base bordo CD'!M$2:M$875,'Base bordo CD'!D$2:D$875,A730,'Base bordo CD'!A$2:A$875,B730,'Base bordo CD'!L$2:L$875,"FALTA DE COMBUSTIVEL"),0)+IFERROR(SUMIFS('Base bordo CD'!M$2:M$875,'Base bordo CD'!D$2:D$875,A730,'Base bordo CD'!A$2:A$875,B730,'Base bordo CD'!L$2:L$875,"FALTA DE MOTORIST*"),0)</f>
        <v>0</v>
      </c>
      <c r="O730" s="10">
        <f t="shared" si="60"/>
        <v>3.4538888888888799</v>
      </c>
      <c r="P730" s="10">
        <f>IFERROR(SUMIFS('Base bordo CD'!M$2:M$875,'Base bordo CD'!D$2:D$875,A730,'Base bordo CD'!A$2:A$875,B730),0)</f>
        <v>23.999999999999993</v>
      </c>
      <c r="Q730" s="10">
        <f>IFERROR(SUMIFS('Base bordo CD'!O$2:O$875,'Base bordo CD'!D$2:D$875,A730,'Base bordo CD'!A$2:A$875,B730,'Base bordo CD'!L$2:L$875,"CORTE DE CANA MECANIZADO"),0)</f>
        <v>64702.710000000006</v>
      </c>
      <c r="R730" s="10">
        <f>IFERROR(SUMIFS('Base bordo CD'!Q$2:Q$875,'Base bordo CD'!D$2:D$875,A730,'Base bordo CD'!A$2:A$875,B730,'Base bordo CD'!L$2:L$875,"CORTE DE CANA MECANIZADO"),0)</f>
        <v>14562</v>
      </c>
      <c r="S730" s="30">
        <f t="shared" si="61"/>
        <v>4.4432571075401732</v>
      </c>
      <c r="T730" s="9">
        <f t="shared" si="62"/>
        <v>0.1685416666666667</v>
      </c>
      <c r="U730" s="9">
        <f t="shared" si="63"/>
        <v>0.12256944444444447</v>
      </c>
      <c r="V730" s="9">
        <f t="shared" si="64"/>
        <v>0.81896990740740738</v>
      </c>
    </row>
    <row r="731" spans="1:22" hidden="1" x14ac:dyDescent="0.35">
      <c r="A731" s="52">
        <v>49589</v>
      </c>
      <c r="B731" s="31">
        <v>46118</v>
      </c>
      <c r="C731" s="7" t="s">
        <v>321</v>
      </c>
      <c r="D731" s="7">
        <v>351</v>
      </c>
      <c r="E731" s="10">
        <f>IFERROR(SUMIFS('Base bordo CD'!M$2:M$875,'Base bordo CD'!D$2:D$875,A731,'Base bordo CD'!A$2:A$875,B731,'Base bordo CD'!L$2:L$875,"CORTE DE CANA MECANIZADO"),0)</f>
        <v>4.0449999999999999</v>
      </c>
      <c r="F731" s="10">
        <f>IFERROR(SUMIFS('Base bordo CD'!M$2:M$875,'Base bordo CD'!D$2:D$875,A731,'Base bordo CD'!A$2:A$875,B731,'Base bordo CD'!L$2:L$875,"MANOBRA"),0)</f>
        <v>2.9416666666666664</v>
      </c>
      <c r="G731" s="10">
        <f>IFERROR(SUMIFS('Base bordo CD'!M$2:M$875,'Base bordo CD'!D$2:D$875,A731,'Base bordo CD'!A$2:A$875,B731,'Base bordo CD'!L$2:L$875,"DESLOCAMENTO"),0)</f>
        <v>0.29972222222222222</v>
      </c>
      <c r="H731" s="10">
        <f>IFERROR(SUMIFS('Base bordo CD'!M$2:M$875,'Base bordo CD'!D$2:D$875,A731,'Base bordo CD'!A$2:A$875,B731,'Base bordo CD'!L$2:L$875,"AGUARDANDO MANOBRA DE TRANSBORDO"),0)+IFERROR(SUMIFS('Base bordo CD'!M$2:M$875,'Base bordo CD'!D$2:D$875,A731,'Base bordo CD'!A$2:A$875,B731,'Base bordo CD'!L$2:L$875,"FALTA DE TRANSBORDO"),0)</f>
        <v>0</v>
      </c>
      <c r="I731" s="10">
        <f>IFERROR(SUMIFS('Base bordo CD'!M$2:M$875,'Base bordo CD'!D$2:D$875,A731,'Base bordo CD'!A$2:A$875,B731,'Base bordo CD'!L$2:L$875,"PARADA POR CONDICOES CLIMATICAS"),0)+IFERROR(SUMIFS('Base bordo CD'!M$2:M$875,'Base bordo CD'!D$2:D$875,A731,'Base bordo CD'!A$2:A$875,B731,'Base bordo CD'!L$2:L$875,"TEMPO INDETERMINADO"),0)</f>
        <v>5.3358333333333334</v>
      </c>
      <c r="J731" s="10">
        <f>IFERROR(SUMIFS('Base bordo CD'!M$2:M$875,'Base bordo CD'!D$2:D$875,A731,'Base bordo CD'!A$2:A$875,B731,'Base bordo CD'!L$2:L$875,"LIMITAÇÃO INDÚSTRIA"),0)</f>
        <v>4.8672222222222228</v>
      </c>
      <c r="K731" s="10">
        <f>IFERROR(SUMIFS('Base bordo CD'!M$2:M$875,'Base bordo CD'!D$2:D$875,A731,'Base bordo CD'!A$2:A$875,B731,'Base bordo CD'!L$2:L$875,"MAN CORRETIVA*"),0)+IFERROR(SUMIFS('Base bordo CD'!M$2:M$875,'Base bordo CD'!D$2:D$875,A731,'Base bordo CD'!A$2:A$875,B731,'Base bordo CD'!L$2:L$875,"AGUARDANDO MANUTENCAO*"),0)+IFERROR(SUMIFS('Base bordo CD'!M$2:M$875,'Base bordo CD'!D$2:D$875,A731,'Base bordo CD'!A$2:A$875,B731,'Base bordo CD'!L$2:L$875,"TROCA DE FAQUINHA"),0)+IFERROR(SUMIFS('Base bordo CD'!M$2:M$875,'Base bordo CD'!D$2:D$875,A731,'Base bordo CD'!A$2:A$875,B731,'Base bordo CD'!L$2:L$875,"LIMPEZA*"),0)</f>
        <v>0</v>
      </c>
      <c r="L731" s="10">
        <f>IFERROR(SUMIFS('Base bordo CD'!M$2:M$875,'Base bordo CD'!D$2:D$875,A731,'Base bordo CD'!A$2:A$875,B731,'Base bordo CD'!L$2:L$875,"PATIO - RESERVA"),0)</f>
        <v>3.0319444444444441</v>
      </c>
      <c r="M731" s="10">
        <f>IFERROR(SUMIFS('Base bordo CD'!M$2:M$875,'Base bordo CD'!D$2:D$875,A731,'Base bordo CD'!A$2:A$875,B731,'Base bordo CD'!L$2:L$875,"SEM APONTAMENTO"),0)</f>
        <v>2.4722222222222222E-2</v>
      </c>
      <c r="N731" s="10">
        <f>IFERROR(SUMIFS('Base bordo CD'!M$2:M$875,'Base bordo CD'!D$2:D$875,A731,'Base bordo CD'!A$2:A$875,B731,'Base bordo CD'!L$2:L$875,"FALTA DE CAMINHÃO"),0)+IFERROR(SUMIFS('Base bordo CD'!M$2:M$875,'Base bordo CD'!D$2:D$875,A731,'Base bordo CD'!A$2:A$875,B731,'Base bordo CD'!L$2:L$875,"FALTA DE COMBUSTIVEL"),0)+IFERROR(SUMIFS('Base bordo CD'!M$2:M$875,'Base bordo CD'!D$2:D$875,A731,'Base bordo CD'!A$2:A$875,B731,'Base bordo CD'!L$2:L$875,"FALTA DE MOTORIST*"),0)</f>
        <v>0</v>
      </c>
      <c r="O731" s="10">
        <f t="shared" si="60"/>
        <v>3.4538888888888799</v>
      </c>
      <c r="P731" s="10">
        <f>IFERROR(SUMIFS('Base bordo CD'!M$2:M$875,'Base bordo CD'!D$2:D$875,A731,'Base bordo CD'!A$2:A$875,B731),0)</f>
        <v>23.999999999999993</v>
      </c>
      <c r="Q731" s="10">
        <f>IFERROR(SUMIFS('Base bordo CD'!O$2:O$875,'Base bordo CD'!D$2:D$875,A731,'Base bordo CD'!A$2:A$875,B731,'Base bordo CD'!L$2:L$875,"CORTE DE CANA MECANIZADO"),0)</f>
        <v>64702.710000000006</v>
      </c>
      <c r="R731" s="10">
        <f>IFERROR(SUMIFS('Base bordo CD'!Q$2:Q$875,'Base bordo CD'!D$2:D$875,A731,'Base bordo CD'!A$2:A$875,B731,'Base bordo CD'!L$2:L$875,"CORTE DE CANA MECANIZADO"),0)</f>
        <v>14562</v>
      </c>
      <c r="S731" s="30">
        <f t="shared" si="61"/>
        <v>4.4432571075401732</v>
      </c>
      <c r="T731" s="9">
        <f t="shared" si="62"/>
        <v>0.1685416666666667</v>
      </c>
      <c r="U731" s="9">
        <f t="shared" si="63"/>
        <v>0.12256944444444447</v>
      </c>
      <c r="V731" s="9">
        <f t="shared" si="64"/>
        <v>0.81896990740740738</v>
      </c>
    </row>
    <row r="732" spans="1:22" hidden="1" x14ac:dyDescent="0.35">
      <c r="A732" s="52">
        <v>49589</v>
      </c>
      <c r="B732" s="31">
        <v>46118</v>
      </c>
      <c r="C732" s="7" t="s">
        <v>321</v>
      </c>
      <c r="D732" s="7">
        <v>351</v>
      </c>
      <c r="E732" s="10">
        <f>IFERROR(SUMIFS('Base bordo CD'!M$2:M$875,'Base bordo CD'!D$2:D$875,A732,'Base bordo CD'!A$2:A$875,B732,'Base bordo CD'!L$2:L$875,"CORTE DE CANA MECANIZADO"),0)</f>
        <v>4.0449999999999999</v>
      </c>
      <c r="F732" s="10">
        <f>IFERROR(SUMIFS('Base bordo CD'!M$2:M$875,'Base bordo CD'!D$2:D$875,A732,'Base bordo CD'!A$2:A$875,B732,'Base bordo CD'!L$2:L$875,"MANOBRA"),0)</f>
        <v>2.9416666666666664</v>
      </c>
      <c r="G732" s="10">
        <f>IFERROR(SUMIFS('Base bordo CD'!M$2:M$875,'Base bordo CD'!D$2:D$875,A732,'Base bordo CD'!A$2:A$875,B732,'Base bordo CD'!L$2:L$875,"DESLOCAMENTO"),0)</f>
        <v>0.29972222222222222</v>
      </c>
      <c r="H732" s="10">
        <f>IFERROR(SUMIFS('Base bordo CD'!M$2:M$875,'Base bordo CD'!D$2:D$875,A732,'Base bordo CD'!A$2:A$875,B732,'Base bordo CD'!L$2:L$875,"AGUARDANDO MANOBRA DE TRANSBORDO"),0)+IFERROR(SUMIFS('Base bordo CD'!M$2:M$875,'Base bordo CD'!D$2:D$875,A732,'Base bordo CD'!A$2:A$875,B732,'Base bordo CD'!L$2:L$875,"FALTA DE TRANSBORDO"),0)</f>
        <v>0</v>
      </c>
      <c r="I732" s="10">
        <f>IFERROR(SUMIFS('Base bordo CD'!M$2:M$875,'Base bordo CD'!D$2:D$875,A732,'Base bordo CD'!A$2:A$875,B732,'Base bordo CD'!L$2:L$875,"PARADA POR CONDICOES CLIMATICAS"),0)+IFERROR(SUMIFS('Base bordo CD'!M$2:M$875,'Base bordo CD'!D$2:D$875,A732,'Base bordo CD'!A$2:A$875,B732,'Base bordo CD'!L$2:L$875,"TEMPO INDETERMINADO"),0)</f>
        <v>5.3358333333333334</v>
      </c>
      <c r="J732" s="10">
        <f>IFERROR(SUMIFS('Base bordo CD'!M$2:M$875,'Base bordo CD'!D$2:D$875,A732,'Base bordo CD'!A$2:A$875,B732,'Base bordo CD'!L$2:L$875,"LIMITAÇÃO INDÚSTRIA"),0)</f>
        <v>4.8672222222222228</v>
      </c>
      <c r="K732" s="10">
        <f>IFERROR(SUMIFS('Base bordo CD'!M$2:M$875,'Base bordo CD'!D$2:D$875,A732,'Base bordo CD'!A$2:A$875,B732,'Base bordo CD'!L$2:L$875,"MAN CORRETIVA*"),0)+IFERROR(SUMIFS('Base bordo CD'!M$2:M$875,'Base bordo CD'!D$2:D$875,A732,'Base bordo CD'!A$2:A$875,B732,'Base bordo CD'!L$2:L$875,"AGUARDANDO MANUTENCAO*"),0)+IFERROR(SUMIFS('Base bordo CD'!M$2:M$875,'Base bordo CD'!D$2:D$875,A732,'Base bordo CD'!A$2:A$875,B732,'Base bordo CD'!L$2:L$875,"TROCA DE FAQUINHA"),0)+IFERROR(SUMIFS('Base bordo CD'!M$2:M$875,'Base bordo CD'!D$2:D$875,A732,'Base bordo CD'!A$2:A$875,B732,'Base bordo CD'!L$2:L$875,"LIMPEZA*"),0)</f>
        <v>0</v>
      </c>
      <c r="L732" s="10">
        <f>IFERROR(SUMIFS('Base bordo CD'!M$2:M$875,'Base bordo CD'!D$2:D$875,A732,'Base bordo CD'!A$2:A$875,B732,'Base bordo CD'!L$2:L$875,"PATIO - RESERVA"),0)</f>
        <v>3.0319444444444441</v>
      </c>
      <c r="M732" s="10">
        <f>IFERROR(SUMIFS('Base bordo CD'!M$2:M$875,'Base bordo CD'!D$2:D$875,A732,'Base bordo CD'!A$2:A$875,B732,'Base bordo CD'!L$2:L$875,"SEM APONTAMENTO"),0)</f>
        <v>2.4722222222222222E-2</v>
      </c>
      <c r="N732" s="10">
        <f>IFERROR(SUMIFS('Base bordo CD'!M$2:M$875,'Base bordo CD'!D$2:D$875,A732,'Base bordo CD'!A$2:A$875,B732,'Base bordo CD'!L$2:L$875,"FALTA DE CAMINHÃO"),0)+IFERROR(SUMIFS('Base bordo CD'!M$2:M$875,'Base bordo CD'!D$2:D$875,A732,'Base bordo CD'!A$2:A$875,B732,'Base bordo CD'!L$2:L$875,"FALTA DE COMBUSTIVEL"),0)+IFERROR(SUMIFS('Base bordo CD'!M$2:M$875,'Base bordo CD'!D$2:D$875,A732,'Base bordo CD'!A$2:A$875,B732,'Base bordo CD'!L$2:L$875,"FALTA DE MOTORIST*"),0)</f>
        <v>0</v>
      </c>
      <c r="O732" s="10">
        <f t="shared" si="60"/>
        <v>3.4538888888888799</v>
      </c>
      <c r="P732" s="10">
        <f>IFERROR(SUMIFS('Base bordo CD'!M$2:M$875,'Base bordo CD'!D$2:D$875,A732,'Base bordo CD'!A$2:A$875,B732),0)</f>
        <v>23.999999999999993</v>
      </c>
      <c r="Q732" s="10">
        <f>IFERROR(SUMIFS('Base bordo CD'!O$2:O$875,'Base bordo CD'!D$2:D$875,A732,'Base bordo CD'!A$2:A$875,B732,'Base bordo CD'!L$2:L$875,"CORTE DE CANA MECANIZADO"),0)</f>
        <v>64702.710000000006</v>
      </c>
      <c r="R732" s="10">
        <f>IFERROR(SUMIFS('Base bordo CD'!Q$2:Q$875,'Base bordo CD'!D$2:D$875,A732,'Base bordo CD'!A$2:A$875,B732,'Base bordo CD'!L$2:L$875,"CORTE DE CANA MECANIZADO"),0)</f>
        <v>14562</v>
      </c>
      <c r="S732" s="30">
        <f t="shared" si="61"/>
        <v>4.4432571075401732</v>
      </c>
      <c r="T732" s="9">
        <f t="shared" si="62"/>
        <v>0.1685416666666667</v>
      </c>
      <c r="U732" s="9">
        <f t="shared" si="63"/>
        <v>0.12256944444444447</v>
      </c>
      <c r="V732" s="9">
        <f t="shared" si="64"/>
        <v>0.81896990740740738</v>
      </c>
    </row>
    <row r="733" spans="1:22" hidden="1" x14ac:dyDescent="0.35">
      <c r="A733" s="52">
        <v>49589</v>
      </c>
      <c r="B733" s="31">
        <v>46118</v>
      </c>
      <c r="C733" s="7" t="s">
        <v>321</v>
      </c>
      <c r="D733" s="7">
        <v>351</v>
      </c>
      <c r="E733" s="10">
        <f>IFERROR(SUMIFS('Base bordo CD'!M$2:M$875,'Base bordo CD'!D$2:D$875,A733,'Base bordo CD'!A$2:A$875,B733,'Base bordo CD'!L$2:L$875,"CORTE DE CANA MECANIZADO"),0)</f>
        <v>4.0449999999999999</v>
      </c>
      <c r="F733" s="10">
        <f>IFERROR(SUMIFS('Base bordo CD'!M$2:M$875,'Base bordo CD'!D$2:D$875,A733,'Base bordo CD'!A$2:A$875,B733,'Base bordo CD'!L$2:L$875,"MANOBRA"),0)</f>
        <v>2.9416666666666664</v>
      </c>
      <c r="G733" s="10">
        <f>IFERROR(SUMIFS('Base bordo CD'!M$2:M$875,'Base bordo CD'!D$2:D$875,A733,'Base bordo CD'!A$2:A$875,B733,'Base bordo CD'!L$2:L$875,"DESLOCAMENTO"),0)</f>
        <v>0.29972222222222222</v>
      </c>
      <c r="H733" s="10">
        <f>IFERROR(SUMIFS('Base bordo CD'!M$2:M$875,'Base bordo CD'!D$2:D$875,A733,'Base bordo CD'!A$2:A$875,B733,'Base bordo CD'!L$2:L$875,"AGUARDANDO MANOBRA DE TRANSBORDO"),0)+IFERROR(SUMIFS('Base bordo CD'!M$2:M$875,'Base bordo CD'!D$2:D$875,A733,'Base bordo CD'!A$2:A$875,B733,'Base bordo CD'!L$2:L$875,"FALTA DE TRANSBORDO"),0)</f>
        <v>0</v>
      </c>
      <c r="I733" s="10">
        <f>IFERROR(SUMIFS('Base bordo CD'!M$2:M$875,'Base bordo CD'!D$2:D$875,A733,'Base bordo CD'!A$2:A$875,B733,'Base bordo CD'!L$2:L$875,"PARADA POR CONDICOES CLIMATICAS"),0)+IFERROR(SUMIFS('Base bordo CD'!M$2:M$875,'Base bordo CD'!D$2:D$875,A733,'Base bordo CD'!A$2:A$875,B733,'Base bordo CD'!L$2:L$875,"TEMPO INDETERMINADO"),0)</f>
        <v>5.3358333333333334</v>
      </c>
      <c r="J733" s="10">
        <f>IFERROR(SUMIFS('Base bordo CD'!M$2:M$875,'Base bordo CD'!D$2:D$875,A733,'Base bordo CD'!A$2:A$875,B733,'Base bordo CD'!L$2:L$875,"LIMITAÇÃO INDÚSTRIA"),0)</f>
        <v>4.8672222222222228</v>
      </c>
      <c r="K733" s="10">
        <f>IFERROR(SUMIFS('Base bordo CD'!M$2:M$875,'Base bordo CD'!D$2:D$875,A733,'Base bordo CD'!A$2:A$875,B733,'Base bordo CD'!L$2:L$875,"MAN CORRETIVA*"),0)+IFERROR(SUMIFS('Base bordo CD'!M$2:M$875,'Base bordo CD'!D$2:D$875,A733,'Base bordo CD'!A$2:A$875,B733,'Base bordo CD'!L$2:L$875,"AGUARDANDO MANUTENCAO*"),0)+IFERROR(SUMIFS('Base bordo CD'!M$2:M$875,'Base bordo CD'!D$2:D$875,A733,'Base bordo CD'!A$2:A$875,B733,'Base bordo CD'!L$2:L$875,"TROCA DE FAQUINHA"),0)+IFERROR(SUMIFS('Base bordo CD'!M$2:M$875,'Base bordo CD'!D$2:D$875,A733,'Base bordo CD'!A$2:A$875,B733,'Base bordo CD'!L$2:L$875,"LIMPEZA*"),0)</f>
        <v>0</v>
      </c>
      <c r="L733" s="10">
        <f>IFERROR(SUMIFS('Base bordo CD'!M$2:M$875,'Base bordo CD'!D$2:D$875,A733,'Base bordo CD'!A$2:A$875,B733,'Base bordo CD'!L$2:L$875,"PATIO - RESERVA"),0)</f>
        <v>3.0319444444444441</v>
      </c>
      <c r="M733" s="10">
        <f>IFERROR(SUMIFS('Base bordo CD'!M$2:M$875,'Base bordo CD'!D$2:D$875,A733,'Base bordo CD'!A$2:A$875,B733,'Base bordo CD'!L$2:L$875,"SEM APONTAMENTO"),0)</f>
        <v>2.4722222222222222E-2</v>
      </c>
      <c r="N733" s="10">
        <f>IFERROR(SUMIFS('Base bordo CD'!M$2:M$875,'Base bordo CD'!D$2:D$875,A733,'Base bordo CD'!A$2:A$875,B733,'Base bordo CD'!L$2:L$875,"FALTA DE CAMINHÃO"),0)+IFERROR(SUMIFS('Base bordo CD'!M$2:M$875,'Base bordo CD'!D$2:D$875,A733,'Base bordo CD'!A$2:A$875,B733,'Base bordo CD'!L$2:L$875,"FALTA DE COMBUSTIVEL"),0)+IFERROR(SUMIFS('Base bordo CD'!M$2:M$875,'Base bordo CD'!D$2:D$875,A733,'Base bordo CD'!A$2:A$875,B733,'Base bordo CD'!L$2:L$875,"FALTA DE MOTORIST*"),0)</f>
        <v>0</v>
      </c>
      <c r="O733" s="10">
        <f t="shared" si="60"/>
        <v>3.4538888888888799</v>
      </c>
      <c r="P733" s="10">
        <f>IFERROR(SUMIFS('Base bordo CD'!M$2:M$875,'Base bordo CD'!D$2:D$875,A733,'Base bordo CD'!A$2:A$875,B733),0)</f>
        <v>23.999999999999993</v>
      </c>
      <c r="Q733" s="10">
        <f>IFERROR(SUMIFS('Base bordo CD'!O$2:O$875,'Base bordo CD'!D$2:D$875,A733,'Base bordo CD'!A$2:A$875,B733,'Base bordo CD'!L$2:L$875,"CORTE DE CANA MECANIZADO"),0)</f>
        <v>64702.710000000006</v>
      </c>
      <c r="R733" s="10">
        <f>IFERROR(SUMIFS('Base bordo CD'!Q$2:Q$875,'Base bordo CD'!D$2:D$875,A733,'Base bordo CD'!A$2:A$875,B733,'Base bordo CD'!L$2:L$875,"CORTE DE CANA MECANIZADO"),0)</f>
        <v>14562</v>
      </c>
      <c r="S733" s="30">
        <f t="shared" si="61"/>
        <v>4.4432571075401732</v>
      </c>
      <c r="T733" s="9">
        <f t="shared" si="62"/>
        <v>0.1685416666666667</v>
      </c>
      <c r="U733" s="9">
        <f t="shared" si="63"/>
        <v>0.12256944444444447</v>
      </c>
      <c r="V733" s="9">
        <f t="shared" si="64"/>
        <v>0.81896990740740738</v>
      </c>
    </row>
    <row r="734" spans="1:22" hidden="1" x14ac:dyDescent="0.35">
      <c r="A734" s="52">
        <v>49589</v>
      </c>
      <c r="B734" s="31">
        <v>46118</v>
      </c>
      <c r="C734" s="7" t="s">
        <v>321</v>
      </c>
      <c r="D734" s="7">
        <v>351</v>
      </c>
      <c r="E734" s="10">
        <f>IFERROR(SUMIFS('Base bordo CD'!M$2:M$875,'Base bordo CD'!D$2:D$875,A734,'Base bordo CD'!A$2:A$875,B734,'Base bordo CD'!L$2:L$875,"CORTE DE CANA MECANIZADO"),0)</f>
        <v>4.0449999999999999</v>
      </c>
      <c r="F734" s="10">
        <f>IFERROR(SUMIFS('Base bordo CD'!M$2:M$875,'Base bordo CD'!D$2:D$875,A734,'Base bordo CD'!A$2:A$875,B734,'Base bordo CD'!L$2:L$875,"MANOBRA"),0)</f>
        <v>2.9416666666666664</v>
      </c>
      <c r="G734" s="10">
        <f>IFERROR(SUMIFS('Base bordo CD'!M$2:M$875,'Base bordo CD'!D$2:D$875,A734,'Base bordo CD'!A$2:A$875,B734,'Base bordo CD'!L$2:L$875,"DESLOCAMENTO"),0)</f>
        <v>0.29972222222222222</v>
      </c>
      <c r="H734" s="10">
        <f>IFERROR(SUMIFS('Base bordo CD'!M$2:M$875,'Base bordo CD'!D$2:D$875,A734,'Base bordo CD'!A$2:A$875,B734,'Base bordo CD'!L$2:L$875,"AGUARDANDO MANOBRA DE TRANSBORDO"),0)+IFERROR(SUMIFS('Base bordo CD'!M$2:M$875,'Base bordo CD'!D$2:D$875,A734,'Base bordo CD'!A$2:A$875,B734,'Base bordo CD'!L$2:L$875,"FALTA DE TRANSBORDO"),0)</f>
        <v>0</v>
      </c>
      <c r="I734" s="10">
        <f>IFERROR(SUMIFS('Base bordo CD'!M$2:M$875,'Base bordo CD'!D$2:D$875,A734,'Base bordo CD'!A$2:A$875,B734,'Base bordo CD'!L$2:L$875,"PARADA POR CONDICOES CLIMATICAS"),0)+IFERROR(SUMIFS('Base bordo CD'!M$2:M$875,'Base bordo CD'!D$2:D$875,A734,'Base bordo CD'!A$2:A$875,B734,'Base bordo CD'!L$2:L$875,"TEMPO INDETERMINADO"),0)</f>
        <v>5.3358333333333334</v>
      </c>
      <c r="J734" s="10">
        <f>IFERROR(SUMIFS('Base bordo CD'!M$2:M$875,'Base bordo CD'!D$2:D$875,A734,'Base bordo CD'!A$2:A$875,B734,'Base bordo CD'!L$2:L$875,"LIMITAÇÃO INDÚSTRIA"),0)</f>
        <v>4.8672222222222228</v>
      </c>
      <c r="K734" s="10">
        <f>IFERROR(SUMIFS('Base bordo CD'!M$2:M$875,'Base bordo CD'!D$2:D$875,A734,'Base bordo CD'!A$2:A$875,B734,'Base bordo CD'!L$2:L$875,"MAN CORRETIVA*"),0)+IFERROR(SUMIFS('Base bordo CD'!M$2:M$875,'Base bordo CD'!D$2:D$875,A734,'Base bordo CD'!A$2:A$875,B734,'Base bordo CD'!L$2:L$875,"AGUARDANDO MANUTENCAO*"),0)+IFERROR(SUMIFS('Base bordo CD'!M$2:M$875,'Base bordo CD'!D$2:D$875,A734,'Base bordo CD'!A$2:A$875,B734,'Base bordo CD'!L$2:L$875,"TROCA DE FAQUINHA"),0)+IFERROR(SUMIFS('Base bordo CD'!M$2:M$875,'Base bordo CD'!D$2:D$875,A734,'Base bordo CD'!A$2:A$875,B734,'Base bordo CD'!L$2:L$875,"LIMPEZA*"),0)</f>
        <v>0</v>
      </c>
      <c r="L734" s="10">
        <f>IFERROR(SUMIFS('Base bordo CD'!M$2:M$875,'Base bordo CD'!D$2:D$875,A734,'Base bordo CD'!A$2:A$875,B734,'Base bordo CD'!L$2:L$875,"PATIO - RESERVA"),0)</f>
        <v>3.0319444444444441</v>
      </c>
      <c r="M734" s="10">
        <f>IFERROR(SUMIFS('Base bordo CD'!M$2:M$875,'Base bordo CD'!D$2:D$875,A734,'Base bordo CD'!A$2:A$875,B734,'Base bordo CD'!L$2:L$875,"SEM APONTAMENTO"),0)</f>
        <v>2.4722222222222222E-2</v>
      </c>
      <c r="N734" s="10">
        <f>IFERROR(SUMIFS('Base bordo CD'!M$2:M$875,'Base bordo CD'!D$2:D$875,A734,'Base bordo CD'!A$2:A$875,B734,'Base bordo CD'!L$2:L$875,"FALTA DE CAMINHÃO"),0)+IFERROR(SUMIFS('Base bordo CD'!M$2:M$875,'Base bordo CD'!D$2:D$875,A734,'Base bordo CD'!A$2:A$875,B734,'Base bordo CD'!L$2:L$875,"FALTA DE COMBUSTIVEL"),0)+IFERROR(SUMIFS('Base bordo CD'!M$2:M$875,'Base bordo CD'!D$2:D$875,A734,'Base bordo CD'!A$2:A$875,B734,'Base bordo CD'!L$2:L$875,"FALTA DE MOTORIST*"),0)</f>
        <v>0</v>
      </c>
      <c r="O734" s="10">
        <f t="shared" si="60"/>
        <v>3.4538888888888799</v>
      </c>
      <c r="P734" s="10">
        <f>IFERROR(SUMIFS('Base bordo CD'!M$2:M$875,'Base bordo CD'!D$2:D$875,A734,'Base bordo CD'!A$2:A$875,B734),0)</f>
        <v>23.999999999999993</v>
      </c>
      <c r="Q734" s="10">
        <f>IFERROR(SUMIFS('Base bordo CD'!O$2:O$875,'Base bordo CD'!D$2:D$875,A734,'Base bordo CD'!A$2:A$875,B734,'Base bordo CD'!L$2:L$875,"CORTE DE CANA MECANIZADO"),0)</f>
        <v>64702.710000000006</v>
      </c>
      <c r="R734" s="10">
        <f>IFERROR(SUMIFS('Base bordo CD'!Q$2:Q$875,'Base bordo CD'!D$2:D$875,A734,'Base bordo CD'!A$2:A$875,B734,'Base bordo CD'!L$2:L$875,"CORTE DE CANA MECANIZADO"),0)</f>
        <v>14562</v>
      </c>
      <c r="S734" s="30">
        <f t="shared" si="61"/>
        <v>4.4432571075401732</v>
      </c>
      <c r="T734" s="9">
        <f t="shared" si="62"/>
        <v>0.1685416666666667</v>
      </c>
      <c r="U734" s="9">
        <f t="shared" si="63"/>
        <v>0.12256944444444447</v>
      </c>
      <c r="V734" s="9">
        <f t="shared" si="64"/>
        <v>0.81896990740740738</v>
      </c>
    </row>
    <row r="735" spans="1:22" hidden="1" x14ac:dyDescent="0.35">
      <c r="A735" s="52">
        <v>49589</v>
      </c>
      <c r="B735" s="31">
        <v>46118</v>
      </c>
      <c r="C735" s="7" t="s">
        <v>321</v>
      </c>
      <c r="D735" s="7">
        <v>351</v>
      </c>
      <c r="E735" s="10">
        <f>IFERROR(SUMIFS('Base bordo CD'!M$2:M$875,'Base bordo CD'!D$2:D$875,A735,'Base bordo CD'!A$2:A$875,B735,'Base bordo CD'!L$2:L$875,"CORTE DE CANA MECANIZADO"),0)</f>
        <v>4.0449999999999999</v>
      </c>
      <c r="F735" s="10">
        <f>IFERROR(SUMIFS('Base bordo CD'!M$2:M$875,'Base bordo CD'!D$2:D$875,A735,'Base bordo CD'!A$2:A$875,B735,'Base bordo CD'!L$2:L$875,"MANOBRA"),0)</f>
        <v>2.9416666666666664</v>
      </c>
      <c r="G735" s="10">
        <f>IFERROR(SUMIFS('Base bordo CD'!M$2:M$875,'Base bordo CD'!D$2:D$875,A735,'Base bordo CD'!A$2:A$875,B735,'Base bordo CD'!L$2:L$875,"DESLOCAMENTO"),0)</f>
        <v>0.29972222222222222</v>
      </c>
      <c r="H735" s="10">
        <f>IFERROR(SUMIFS('Base bordo CD'!M$2:M$875,'Base bordo CD'!D$2:D$875,A735,'Base bordo CD'!A$2:A$875,B735,'Base bordo CD'!L$2:L$875,"AGUARDANDO MANOBRA DE TRANSBORDO"),0)+IFERROR(SUMIFS('Base bordo CD'!M$2:M$875,'Base bordo CD'!D$2:D$875,A735,'Base bordo CD'!A$2:A$875,B735,'Base bordo CD'!L$2:L$875,"FALTA DE TRANSBORDO"),0)</f>
        <v>0</v>
      </c>
      <c r="I735" s="10">
        <f>IFERROR(SUMIFS('Base bordo CD'!M$2:M$875,'Base bordo CD'!D$2:D$875,A735,'Base bordo CD'!A$2:A$875,B735,'Base bordo CD'!L$2:L$875,"PARADA POR CONDICOES CLIMATICAS"),0)+IFERROR(SUMIFS('Base bordo CD'!M$2:M$875,'Base bordo CD'!D$2:D$875,A735,'Base bordo CD'!A$2:A$875,B735,'Base bordo CD'!L$2:L$875,"TEMPO INDETERMINADO"),0)</f>
        <v>5.3358333333333334</v>
      </c>
      <c r="J735" s="10">
        <f>IFERROR(SUMIFS('Base bordo CD'!M$2:M$875,'Base bordo CD'!D$2:D$875,A735,'Base bordo CD'!A$2:A$875,B735,'Base bordo CD'!L$2:L$875,"LIMITAÇÃO INDÚSTRIA"),0)</f>
        <v>4.8672222222222228</v>
      </c>
      <c r="K735" s="10">
        <f>IFERROR(SUMIFS('Base bordo CD'!M$2:M$875,'Base bordo CD'!D$2:D$875,A735,'Base bordo CD'!A$2:A$875,B735,'Base bordo CD'!L$2:L$875,"MAN CORRETIVA*"),0)+IFERROR(SUMIFS('Base bordo CD'!M$2:M$875,'Base bordo CD'!D$2:D$875,A735,'Base bordo CD'!A$2:A$875,B735,'Base bordo CD'!L$2:L$875,"AGUARDANDO MANUTENCAO*"),0)+IFERROR(SUMIFS('Base bordo CD'!M$2:M$875,'Base bordo CD'!D$2:D$875,A735,'Base bordo CD'!A$2:A$875,B735,'Base bordo CD'!L$2:L$875,"TROCA DE FAQUINHA"),0)+IFERROR(SUMIFS('Base bordo CD'!M$2:M$875,'Base bordo CD'!D$2:D$875,A735,'Base bordo CD'!A$2:A$875,B735,'Base bordo CD'!L$2:L$875,"LIMPEZA*"),0)</f>
        <v>0</v>
      </c>
      <c r="L735" s="10">
        <f>IFERROR(SUMIFS('Base bordo CD'!M$2:M$875,'Base bordo CD'!D$2:D$875,A735,'Base bordo CD'!A$2:A$875,B735,'Base bordo CD'!L$2:L$875,"PATIO - RESERVA"),0)</f>
        <v>3.0319444444444441</v>
      </c>
      <c r="M735" s="10">
        <f>IFERROR(SUMIFS('Base bordo CD'!M$2:M$875,'Base bordo CD'!D$2:D$875,A735,'Base bordo CD'!A$2:A$875,B735,'Base bordo CD'!L$2:L$875,"SEM APONTAMENTO"),0)</f>
        <v>2.4722222222222222E-2</v>
      </c>
      <c r="N735" s="10">
        <f>IFERROR(SUMIFS('Base bordo CD'!M$2:M$875,'Base bordo CD'!D$2:D$875,A735,'Base bordo CD'!A$2:A$875,B735,'Base bordo CD'!L$2:L$875,"FALTA DE CAMINHÃO"),0)+IFERROR(SUMIFS('Base bordo CD'!M$2:M$875,'Base bordo CD'!D$2:D$875,A735,'Base bordo CD'!A$2:A$875,B735,'Base bordo CD'!L$2:L$875,"FALTA DE COMBUSTIVEL"),0)+IFERROR(SUMIFS('Base bordo CD'!M$2:M$875,'Base bordo CD'!D$2:D$875,A735,'Base bordo CD'!A$2:A$875,B735,'Base bordo CD'!L$2:L$875,"FALTA DE MOTORIST*"),0)</f>
        <v>0</v>
      </c>
      <c r="O735" s="10">
        <f t="shared" si="60"/>
        <v>3.4538888888888799</v>
      </c>
      <c r="P735" s="10">
        <f>IFERROR(SUMIFS('Base bordo CD'!M$2:M$875,'Base bordo CD'!D$2:D$875,A735,'Base bordo CD'!A$2:A$875,B735),0)</f>
        <v>23.999999999999993</v>
      </c>
      <c r="Q735" s="10">
        <f>IFERROR(SUMIFS('Base bordo CD'!O$2:O$875,'Base bordo CD'!D$2:D$875,A735,'Base bordo CD'!A$2:A$875,B735,'Base bordo CD'!L$2:L$875,"CORTE DE CANA MECANIZADO"),0)</f>
        <v>64702.710000000006</v>
      </c>
      <c r="R735" s="10">
        <f>IFERROR(SUMIFS('Base bordo CD'!Q$2:Q$875,'Base bordo CD'!D$2:D$875,A735,'Base bordo CD'!A$2:A$875,B735,'Base bordo CD'!L$2:L$875,"CORTE DE CANA MECANIZADO"),0)</f>
        <v>14562</v>
      </c>
      <c r="S735" s="30">
        <f t="shared" si="61"/>
        <v>4.4432571075401732</v>
      </c>
      <c r="T735" s="9">
        <f t="shared" si="62"/>
        <v>0.1685416666666667</v>
      </c>
      <c r="U735" s="9">
        <f t="shared" si="63"/>
        <v>0.12256944444444447</v>
      </c>
      <c r="V735" s="9">
        <f t="shared" si="64"/>
        <v>0.81896990740740738</v>
      </c>
    </row>
    <row r="736" spans="1:22" hidden="1" x14ac:dyDescent="0.35">
      <c r="A736" s="52">
        <v>49589</v>
      </c>
      <c r="B736" s="31">
        <v>46118</v>
      </c>
      <c r="C736" s="7" t="s">
        <v>321</v>
      </c>
      <c r="D736" s="7">
        <v>351</v>
      </c>
      <c r="E736" s="10">
        <f>IFERROR(SUMIFS('Base bordo CD'!M$2:M$875,'Base bordo CD'!D$2:D$875,A736,'Base bordo CD'!A$2:A$875,B736,'Base bordo CD'!L$2:L$875,"CORTE DE CANA MECANIZADO"),0)</f>
        <v>4.0449999999999999</v>
      </c>
      <c r="F736" s="10">
        <f>IFERROR(SUMIFS('Base bordo CD'!M$2:M$875,'Base bordo CD'!D$2:D$875,A736,'Base bordo CD'!A$2:A$875,B736,'Base bordo CD'!L$2:L$875,"MANOBRA"),0)</f>
        <v>2.9416666666666664</v>
      </c>
      <c r="G736" s="10">
        <f>IFERROR(SUMIFS('Base bordo CD'!M$2:M$875,'Base bordo CD'!D$2:D$875,A736,'Base bordo CD'!A$2:A$875,B736,'Base bordo CD'!L$2:L$875,"DESLOCAMENTO"),0)</f>
        <v>0.29972222222222222</v>
      </c>
      <c r="H736" s="10">
        <f>IFERROR(SUMIFS('Base bordo CD'!M$2:M$875,'Base bordo CD'!D$2:D$875,A736,'Base bordo CD'!A$2:A$875,B736,'Base bordo CD'!L$2:L$875,"AGUARDANDO MANOBRA DE TRANSBORDO"),0)+IFERROR(SUMIFS('Base bordo CD'!M$2:M$875,'Base bordo CD'!D$2:D$875,A736,'Base bordo CD'!A$2:A$875,B736,'Base bordo CD'!L$2:L$875,"FALTA DE TRANSBORDO"),0)</f>
        <v>0</v>
      </c>
      <c r="I736" s="10">
        <f>IFERROR(SUMIFS('Base bordo CD'!M$2:M$875,'Base bordo CD'!D$2:D$875,A736,'Base bordo CD'!A$2:A$875,B736,'Base bordo CD'!L$2:L$875,"PARADA POR CONDICOES CLIMATICAS"),0)+IFERROR(SUMIFS('Base bordo CD'!M$2:M$875,'Base bordo CD'!D$2:D$875,A736,'Base bordo CD'!A$2:A$875,B736,'Base bordo CD'!L$2:L$875,"TEMPO INDETERMINADO"),0)</f>
        <v>5.3358333333333334</v>
      </c>
      <c r="J736" s="10">
        <f>IFERROR(SUMIFS('Base bordo CD'!M$2:M$875,'Base bordo CD'!D$2:D$875,A736,'Base bordo CD'!A$2:A$875,B736,'Base bordo CD'!L$2:L$875,"LIMITAÇÃO INDÚSTRIA"),0)</f>
        <v>4.8672222222222228</v>
      </c>
      <c r="K736" s="10">
        <f>IFERROR(SUMIFS('Base bordo CD'!M$2:M$875,'Base bordo CD'!D$2:D$875,A736,'Base bordo CD'!A$2:A$875,B736,'Base bordo CD'!L$2:L$875,"MAN CORRETIVA*"),0)+IFERROR(SUMIFS('Base bordo CD'!M$2:M$875,'Base bordo CD'!D$2:D$875,A736,'Base bordo CD'!A$2:A$875,B736,'Base bordo CD'!L$2:L$875,"AGUARDANDO MANUTENCAO*"),0)+IFERROR(SUMIFS('Base bordo CD'!M$2:M$875,'Base bordo CD'!D$2:D$875,A736,'Base bordo CD'!A$2:A$875,B736,'Base bordo CD'!L$2:L$875,"TROCA DE FAQUINHA"),0)+IFERROR(SUMIFS('Base bordo CD'!M$2:M$875,'Base bordo CD'!D$2:D$875,A736,'Base bordo CD'!A$2:A$875,B736,'Base bordo CD'!L$2:L$875,"LIMPEZA*"),0)</f>
        <v>0</v>
      </c>
      <c r="L736" s="10">
        <f>IFERROR(SUMIFS('Base bordo CD'!M$2:M$875,'Base bordo CD'!D$2:D$875,A736,'Base bordo CD'!A$2:A$875,B736,'Base bordo CD'!L$2:L$875,"PATIO - RESERVA"),0)</f>
        <v>3.0319444444444441</v>
      </c>
      <c r="M736" s="10">
        <f>IFERROR(SUMIFS('Base bordo CD'!M$2:M$875,'Base bordo CD'!D$2:D$875,A736,'Base bordo CD'!A$2:A$875,B736,'Base bordo CD'!L$2:L$875,"SEM APONTAMENTO"),0)</f>
        <v>2.4722222222222222E-2</v>
      </c>
      <c r="N736" s="10">
        <f>IFERROR(SUMIFS('Base bordo CD'!M$2:M$875,'Base bordo CD'!D$2:D$875,A736,'Base bordo CD'!A$2:A$875,B736,'Base bordo CD'!L$2:L$875,"FALTA DE CAMINHÃO"),0)+IFERROR(SUMIFS('Base bordo CD'!M$2:M$875,'Base bordo CD'!D$2:D$875,A736,'Base bordo CD'!A$2:A$875,B736,'Base bordo CD'!L$2:L$875,"FALTA DE COMBUSTIVEL"),0)+IFERROR(SUMIFS('Base bordo CD'!M$2:M$875,'Base bordo CD'!D$2:D$875,A736,'Base bordo CD'!A$2:A$875,B736,'Base bordo CD'!L$2:L$875,"FALTA DE MOTORIST*"),0)</f>
        <v>0</v>
      </c>
      <c r="O736" s="10">
        <f t="shared" si="60"/>
        <v>3.4538888888888799</v>
      </c>
      <c r="P736" s="10">
        <f>IFERROR(SUMIFS('Base bordo CD'!M$2:M$875,'Base bordo CD'!D$2:D$875,A736,'Base bordo CD'!A$2:A$875,B736),0)</f>
        <v>23.999999999999993</v>
      </c>
      <c r="Q736" s="10">
        <f>IFERROR(SUMIFS('Base bordo CD'!O$2:O$875,'Base bordo CD'!D$2:D$875,A736,'Base bordo CD'!A$2:A$875,B736,'Base bordo CD'!L$2:L$875,"CORTE DE CANA MECANIZADO"),0)</f>
        <v>64702.710000000006</v>
      </c>
      <c r="R736" s="10">
        <f>IFERROR(SUMIFS('Base bordo CD'!Q$2:Q$875,'Base bordo CD'!D$2:D$875,A736,'Base bordo CD'!A$2:A$875,B736,'Base bordo CD'!L$2:L$875,"CORTE DE CANA MECANIZADO"),0)</f>
        <v>14562</v>
      </c>
      <c r="S736" s="30">
        <f t="shared" si="61"/>
        <v>4.4432571075401732</v>
      </c>
      <c r="T736" s="9">
        <f t="shared" si="62"/>
        <v>0.1685416666666667</v>
      </c>
      <c r="U736" s="9">
        <f t="shared" si="63"/>
        <v>0.12256944444444447</v>
      </c>
      <c r="V736" s="9">
        <f t="shared" si="64"/>
        <v>0.81896990740740738</v>
      </c>
    </row>
    <row r="737" spans="1:22" hidden="1" x14ac:dyDescent="0.35">
      <c r="A737" s="52">
        <v>49589</v>
      </c>
      <c r="B737" s="31">
        <v>46118</v>
      </c>
      <c r="C737" s="7" t="s">
        <v>321</v>
      </c>
      <c r="D737" s="7">
        <v>351</v>
      </c>
      <c r="E737" s="10">
        <f>IFERROR(SUMIFS('Base bordo CD'!M$2:M$875,'Base bordo CD'!D$2:D$875,A737,'Base bordo CD'!A$2:A$875,B737,'Base bordo CD'!L$2:L$875,"CORTE DE CANA MECANIZADO"),0)</f>
        <v>4.0449999999999999</v>
      </c>
      <c r="F737" s="10">
        <f>IFERROR(SUMIFS('Base bordo CD'!M$2:M$875,'Base bordo CD'!D$2:D$875,A737,'Base bordo CD'!A$2:A$875,B737,'Base bordo CD'!L$2:L$875,"MANOBRA"),0)</f>
        <v>2.9416666666666664</v>
      </c>
      <c r="G737" s="10">
        <f>IFERROR(SUMIFS('Base bordo CD'!M$2:M$875,'Base bordo CD'!D$2:D$875,A737,'Base bordo CD'!A$2:A$875,B737,'Base bordo CD'!L$2:L$875,"DESLOCAMENTO"),0)</f>
        <v>0.29972222222222222</v>
      </c>
      <c r="H737" s="10">
        <f>IFERROR(SUMIFS('Base bordo CD'!M$2:M$875,'Base bordo CD'!D$2:D$875,A737,'Base bordo CD'!A$2:A$875,B737,'Base bordo CD'!L$2:L$875,"AGUARDANDO MANOBRA DE TRANSBORDO"),0)+IFERROR(SUMIFS('Base bordo CD'!M$2:M$875,'Base bordo CD'!D$2:D$875,A737,'Base bordo CD'!A$2:A$875,B737,'Base bordo CD'!L$2:L$875,"FALTA DE TRANSBORDO"),0)</f>
        <v>0</v>
      </c>
      <c r="I737" s="10">
        <f>IFERROR(SUMIFS('Base bordo CD'!M$2:M$875,'Base bordo CD'!D$2:D$875,A737,'Base bordo CD'!A$2:A$875,B737,'Base bordo CD'!L$2:L$875,"PARADA POR CONDICOES CLIMATICAS"),0)+IFERROR(SUMIFS('Base bordo CD'!M$2:M$875,'Base bordo CD'!D$2:D$875,A737,'Base bordo CD'!A$2:A$875,B737,'Base bordo CD'!L$2:L$875,"TEMPO INDETERMINADO"),0)</f>
        <v>5.3358333333333334</v>
      </c>
      <c r="J737" s="10">
        <f>IFERROR(SUMIFS('Base bordo CD'!M$2:M$875,'Base bordo CD'!D$2:D$875,A737,'Base bordo CD'!A$2:A$875,B737,'Base bordo CD'!L$2:L$875,"LIMITAÇÃO INDÚSTRIA"),0)</f>
        <v>4.8672222222222228</v>
      </c>
      <c r="K737" s="10">
        <f>IFERROR(SUMIFS('Base bordo CD'!M$2:M$875,'Base bordo CD'!D$2:D$875,A737,'Base bordo CD'!A$2:A$875,B737,'Base bordo CD'!L$2:L$875,"MAN CORRETIVA*"),0)+IFERROR(SUMIFS('Base bordo CD'!M$2:M$875,'Base bordo CD'!D$2:D$875,A737,'Base bordo CD'!A$2:A$875,B737,'Base bordo CD'!L$2:L$875,"AGUARDANDO MANUTENCAO*"),0)+IFERROR(SUMIFS('Base bordo CD'!M$2:M$875,'Base bordo CD'!D$2:D$875,A737,'Base bordo CD'!A$2:A$875,B737,'Base bordo CD'!L$2:L$875,"TROCA DE FAQUINHA"),0)+IFERROR(SUMIFS('Base bordo CD'!M$2:M$875,'Base bordo CD'!D$2:D$875,A737,'Base bordo CD'!A$2:A$875,B737,'Base bordo CD'!L$2:L$875,"LIMPEZA*"),0)</f>
        <v>0</v>
      </c>
      <c r="L737" s="10">
        <f>IFERROR(SUMIFS('Base bordo CD'!M$2:M$875,'Base bordo CD'!D$2:D$875,A737,'Base bordo CD'!A$2:A$875,B737,'Base bordo CD'!L$2:L$875,"PATIO - RESERVA"),0)</f>
        <v>3.0319444444444441</v>
      </c>
      <c r="M737" s="10">
        <f>IFERROR(SUMIFS('Base bordo CD'!M$2:M$875,'Base bordo CD'!D$2:D$875,A737,'Base bordo CD'!A$2:A$875,B737,'Base bordo CD'!L$2:L$875,"SEM APONTAMENTO"),0)</f>
        <v>2.4722222222222222E-2</v>
      </c>
      <c r="N737" s="10">
        <f>IFERROR(SUMIFS('Base bordo CD'!M$2:M$875,'Base bordo CD'!D$2:D$875,A737,'Base bordo CD'!A$2:A$875,B737,'Base bordo CD'!L$2:L$875,"FALTA DE CAMINHÃO"),0)+IFERROR(SUMIFS('Base bordo CD'!M$2:M$875,'Base bordo CD'!D$2:D$875,A737,'Base bordo CD'!A$2:A$875,B737,'Base bordo CD'!L$2:L$875,"FALTA DE COMBUSTIVEL"),0)+IFERROR(SUMIFS('Base bordo CD'!M$2:M$875,'Base bordo CD'!D$2:D$875,A737,'Base bordo CD'!A$2:A$875,B737,'Base bordo CD'!L$2:L$875,"FALTA DE MOTORIST*"),0)</f>
        <v>0</v>
      </c>
      <c r="O737" s="10">
        <f t="shared" si="60"/>
        <v>3.4538888888888799</v>
      </c>
      <c r="P737" s="10">
        <f>IFERROR(SUMIFS('Base bordo CD'!M$2:M$875,'Base bordo CD'!D$2:D$875,A737,'Base bordo CD'!A$2:A$875,B737),0)</f>
        <v>23.999999999999993</v>
      </c>
      <c r="Q737" s="10">
        <f>IFERROR(SUMIFS('Base bordo CD'!O$2:O$875,'Base bordo CD'!D$2:D$875,A737,'Base bordo CD'!A$2:A$875,B737,'Base bordo CD'!L$2:L$875,"CORTE DE CANA MECANIZADO"),0)</f>
        <v>64702.710000000006</v>
      </c>
      <c r="R737" s="10">
        <f>IFERROR(SUMIFS('Base bordo CD'!Q$2:Q$875,'Base bordo CD'!D$2:D$875,A737,'Base bordo CD'!A$2:A$875,B737,'Base bordo CD'!L$2:L$875,"CORTE DE CANA MECANIZADO"),0)</f>
        <v>14562</v>
      </c>
      <c r="S737" s="30">
        <f t="shared" si="61"/>
        <v>4.4432571075401732</v>
      </c>
      <c r="T737" s="9">
        <f t="shared" si="62"/>
        <v>0.1685416666666667</v>
      </c>
      <c r="U737" s="9">
        <f t="shared" si="63"/>
        <v>0.12256944444444447</v>
      </c>
      <c r="V737" s="9">
        <f t="shared" si="64"/>
        <v>0.81896990740740738</v>
      </c>
    </row>
    <row r="738" spans="1:22" hidden="1" x14ac:dyDescent="0.35">
      <c r="A738" s="52">
        <v>49589</v>
      </c>
      <c r="B738" s="31">
        <v>46118</v>
      </c>
      <c r="C738" s="7" t="s">
        <v>321</v>
      </c>
      <c r="D738" s="7">
        <v>351</v>
      </c>
      <c r="E738" s="10">
        <f>IFERROR(SUMIFS('Base bordo CD'!M$2:M$875,'Base bordo CD'!D$2:D$875,A738,'Base bordo CD'!A$2:A$875,B738,'Base bordo CD'!L$2:L$875,"CORTE DE CANA MECANIZADO"),0)</f>
        <v>4.0449999999999999</v>
      </c>
      <c r="F738" s="10">
        <f>IFERROR(SUMIFS('Base bordo CD'!M$2:M$875,'Base bordo CD'!D$2:D$875,A738,'Base bordo CD'!A$2:A$875,B738,'Base bordo CD'!L$2:L$875,"MANOBRA"),0)</f>
        <v>2.9416666666666664</v>
      </c>
      <c r="G738" s="10">
        <f>IFERROR(SUMIFS('Base bordo CD'!M$2:M$875,'Base bordo CD'!D$2:D$875,A738,'Base bordo CD'!A$2:A$875,B738,'Base bordo CD'!L$2:L$875,"DESLOCAMENTO"),0)</f>
        <v>0.29972222222222222</v>
      </c>
      <c r="H738" s="10">
        <f>IFERROR(SUMIFS('Base bordo CD'!M$2:M$875,'Base bordo CD'!D$2:D$875,A738,'Base bordo CD'!A$2:A$875,B738,'Base bordo CD'!L$2:L$875,"AGUARDANDO MANOBRA DE TRANSBORDO"),0)+IFERROR(SUMIFS('Base bordo CD'!M$2:M$875,'Base bordo CD'!D$2:D$875,A738,'Base bordo CD'!A$2:A$875,B738,'Base bordo CD'!L$2:L$875,"FALTA DE TRANSBORDO"),0)</f>
        <v>0</v>
      </c>
      <c r="I738" s="10">
        <f>IFERROR(SUMIFS('Base bordo CD'!M$2:M$875,'Base bordo CD'!D$2:D$875,A738,'Base bordo CD'!A$2:A$875,B738,'Base bordo CD'!L$2:L$875,"PARADA POR CONDICOES CLIMATICAS"),0)+IFERROR(SUMIFS('Base bordo CD'!M$2:M$875,'Base bordo CD'!D$2:D$875,A738,'Base bordo CD'!A$2:A$875,B738,'Base bordo CD'!L$2:L$875,"TEMPO INDETERMINADO"),0)</f>
        <v>5.3358333333333334</v>
      </c>
      <c r="J738" s="10">
        <f>IFERROR(SUMIFS('Base bordo CD'!M$2:M$875,'Base bordo CD'!D$2:D$875,A738,'Base bordo CD'!A$2:A$875,B738,'Base bordo CD'!L$2:L$875,"LIMITAÇÃO INDÚSTRIA"),0)</f>
        <v>4.8672222222222228</v>
      </c>
      <c r="K738" s="10">
        <f>IFERROR(SUMIFS('Base bordo CD'!M$2:M$875,'Base bordo CD'!D$2:D$875,A738,'Base bordo CD'!A$2:A$875,B738,'Base bordo CD'!L$2:L$875,"MAN CORRETIVA*"),0)+IFERROR(SUMIFS('Base bordo CD'!M$2:M$875,'Base bordo CD'!D$2:D$875,A738,'Base bordo CD'!A$2:A$875,B738,'Base bordo CD'!L$2:L$875,"AGUARDANDO MANUTENCAO*"),0)+IFERROR(SUMIFS('Base bordo CD'!M$2:M$875,'Base bordo CD'!D$2:D$875,A738,'Base bordo CD'!A$2:A$875,B738,'Base bordo CD'!L$2:L$875,"TROCA DE FAQUINHA"),0)+IFERROR(SUMIFS('Base bordo CD'!M$2:M$875,'Base bordo CD'!D$2:D$875,A738,'Base bordo CD'!A$2:A$875,B738,'Base bordo CD'!L$2:L$875,"LIMPEZA*"),0)</f>
        <v>0</v>
      </c>
      <c r="L738" s="10">
        <f>IFERROR(SUMIFS('Base bordo CD'!M$2:M$875,'Base bordo CD'!D$2:D$875,A738,'Base bordo CD'!A$2:A$875,B738,'Base bordo CD'!L$2:L$875,"PATIO - RESERVA"),0)</f>
        <v>3.0319444444444441</v>
      </c>
      <c r="M738" s="10">
        <f>IFERROR(SUMIFS('Base bordo CD'!M$2:M$875,'Base bordo CD'!D$2:D$875,A738,'Base bordo CD'!A$2:A$875,B738,'Base bordo CD'!L$2:L$875,"SEM APONTAMENTO"),0)</f>
        <v>2.4722222222222222E-2</v>
      </c>
      <c r="N738" s="10">
        <f>IFERROR(SUMIFS('Base bordo CD'!M$2:M$875,'Base bordo CD'!D$2:D$875,A738,'Base bordo CD'!A$2:A$875,B738,'Base bordo CD'!L$2:L$875,"FALTA DE CAMINHÃO"),0)+IFERROR(SUMIFS('Base bordo CD'!M$2:M$875,'Base bordo CD'!D$2:D$875,A738,'Base bordo CD'!A$2:A$875,B738,'Base bordo CD'!L$2:L$875,"FALTA DE COMBUSTIVEL"),0)+IFERROR(SUMIFS('Base bordo CD'!M$2:M$875,'Base bordo CD'!D$2:D$875,A738,'Base bordo CD'!A$2:A$875,B738,'Base bordo CD'!L$2:L$875,"FALTA DE MOTORIST*"),0)</f>
        <v>0</v>
      </c>
      <c r="O738" s="10">
        <f t="shared" si="60"/>
        <v>3.4538888888888799</v>
      </c>
      <c r="P738" s="10">
        <f>IFERROR(SUMIFS('Base bordo CD'!M$2:M$875,'Base bordo CD'!D$2:D$875,A738,'Base bordo CD'!A$2:A$875,B738),0)</f>
        <v>23.999999999999993</v>
      </c>
      <c r="Q738" s="10">
        <f>IFERROR(SUMIFS('Base bordo CD'!O$2:O$875,'Base bordo CD'!D$2:D$875,A738,'Base bordo CD'!A$2:A$875,B738,'Base bordo CD'!L$2:L$875,"CORTE DE CANA MECANIZADO"),0)</f>
        <v>64702.710000000006</v>
      </c>
      <c r="R738" s="10">
        <f>IFERROR(SUMIFS('Base bordo CD'!Q$2:Q$875,'Base bordo CD'!D$2:D$875,A738,'Base bordo CD'!A$2:A$875,B738,'Base bordo CD'!L$2:L$875,"CORTE DE CANA MECANIZADO"),0)</f>
        <v>14562</v>
      </c>
      <c r="S738" s="30">
        <f t="shared" si="61"/>
        <v>4.4432571075401732</v>
      </c>
      <c r="T738" s="9">
        <f t="shared" si="62"/>
        <v>0.1685416666666667</v>
      </c>
      <c r="U738" s="9">
        <f t="shared" si="63"/>
        <v>0.12256944444444447</v>
      </c>
      <c r="V738" s="9">
        <f t="shared" si="64"/>
        <v>0.81896990740740738</v>
      </c>
    </row>
    <row r="739" spans="1:22" hidden="1" x14ac:dyDescent="0.35">
      <c r="A739" s="52">
        <v>49589</v>
      </c>
      <c r="B739" s="31">
        <v>46118</v>
      </c>
      <c r="C739" s="7" t="s">
        <v>321</v>
      </c>
      <c r="D739" s="7">
        <v>351</v>
      </c>
      <c r="E739" s="10">
        <f>IFERROR(SUMIFS('Base bordo CD'!M$2:M$875,'Base bordo CD'!D$2:D$875,A739,'Base bordo CD'!A$2:A$875,B739,'Base bordo CD'!L$2:L$875,"CORTE DE CANA MECANIZADO"),0)</f>
        <v>4.0449999999999999</v>
      </c>
      <c r="F739" s="10">
        <f>IFERROR(SUMIFS('Base bordo CD'!M$2:M$875,'Base bordo CD'!D$2:D$875,A739,'Base bordo CD'!A$2:A$875,B739,'Base bordo CD'!L$2:L$875,"MANOBRA"),0)</f>
        <v>2.9416666666666664</v>
      </c>
      <c r="G739" s="10">
        <f>IFERROR(SUMIFS('Base bordo CD'!M$2:M$875,'Base bordo CD'!D$2:D$875,A739,'Base bordo CD'!A$2:A$875,B739,'Base bordo CD'!L$2:L$875,"DESLOCAMENTO"),0)</f>
        <v>0.29972222222222222</v>
      </c>
      <c r="H739" s="10">
        <f>IFERROR(SUMIFS('Base bordo CD'!M$2:M$875,'Base bordo CD'!D$2:D$875,A739,'Base bordo CD'!A$2:A$875,B739,'Base bordo CD'!L$2:L$875,"AGUARDANDO MANOBRA DE TRANSBORDO"),0)+IFERROR(SUMIFS('Base bordo CD'!M$2:M$875,'Base bordo CD'!D$2:D$875,A739,'Base bordo CD'!A$2:A$875,B739,'Base bordo CD'!L$2:L$875,"FALTA DE TRANSBORDO"),0)</f>
        <v>0</v>
      </c>
      <c r="I739" s="10">
        <f>IFERROR(SUMIFS('Base bordo CD'!M$2:M$875,'Base bordo CD'!D$2:D$875,A739,'Base bordo CD'!A$2:A$875,B739,'Base bordo CD'!L$2:L$875,"PARADA POR CONDICOES CLIMATICAS"),0)+IFERROR(SUMIFS('Base bordo CD'!M$2:M$875,'Base bordo CD'!D$2:D$875,A739,'Base bordo CD'!A$2:A$875,B739,'Base bordo CD'!L$2:L$875,"TEMPO INDETERMINADO"),0)</f>
        <v>5.3358333333333334</v>
      </c>
      <c r="J739" s="10">
        <f>IFERROR(SUMIFS('Base bordo CD'!M$2:M$875,'Base bordo CD'!D$2:D$875,A739,'Base bordo CD'!A$2:A$875,B739,'Base bordo CD'!L$2:L$875,"LIMITAÇÃO INDÚSTRIA"),0)</f>
        <v>4.8672222222222228</v>
      </c>
      <c r="K739" s="10">
        <f>IFERROR(SUMIFS('Base bordo CD'!M$2:M$875,'Base bordo CD'!D$2:D$875,A739,'Base bordo CD'!A$2:A$875,B739,'Base bordo CD'!L$2:L$875,"MAN CORRETIVA*"),0)+IFERROR(SUMIFS('Base bordo CD'!M$2:M$875,'Base bordo CD'!D$2:D$875,A739,'Base bordo CD'!A$2:A$875,B739,'Base bordo CD'!L$2:L$875,"AGUARDANDO MANUTENCAO*"),0)+IFERROR(SUMIFS('Base bordo CD'!M$2:M$875,'Base bordo CD'!D$2:D$875,A739,'Base bordo CD'!A$2:A$875,B739,'Base bordo CD'!L$2:L$875,"TROCA DE FAQUINHA"),0)+IFERROR(SUMIFS('Base bordo CD'!M$2:M$875,'Base bordo CD'!D$2:D$875,A739,'Base bordo CD'!A$2:A$875,B739,'Base bordo CD'!L$2:L$875,"LIMPEZA*"),0)</f>
        <v>0</v>
      </c>
      <c r="L739" s="10">
        <f>IFERROR(SUMIFS('Base bordo CD'!M$2:M$875,'Base bordo CD'!D$2:D$875,A739,'Base bordo CD'!A$2:A$875,B739,'Base bordo CD'!L$2:L$875,"PATIO - RESERVA"),0)</f>
        <v>3.0319444444444441</v>
      </c>
      <c r="M739" s="10">
        <f>IFERROR(SUMIFS('Base bordo CD'!M$2:M$875,'Base bordo CD'!D$2:D$875,A739,'Base bordo CD'!A$2:A$875,B739,'Base bordo CD'!L$2:L$875,"SEM APONTAMENTO"),0)</f>
        <v>2.4722222222222222E-2</v>
      </c>
      <c r="N739" s="10">
        <f>IFERROR(SUMIFS('Base bordo CD'!M$2:M$875,'Base bordo CD'!D$2:D$875,A739,'Base bordo CD'!A$2:A$875,B739,'Base bordo CD'!L$2:L$875,"FALTA DE CAMINHÃO"),0)+IFERROR(SUMIFS('Base bordo CD'!M$2:M$875,'Base bordo CD'!D$2:D$875,A739,'Base bordo CD'!A$2:A$875,B739,'Base bordo CD'!L$2:L$875,"FALTA DE COMBUSTIVEL"),0)+IFERROR(SUMIFS('Base bordo CD'!M$2:M$875,'Base bordo CD'!D$2:D$875,A739,'Base bordo CD'!A$2:A$875,B739,'Base bordo CD'!L$2:L$875,"FALTA DE MOTORIST*"),0)</f>
        <v>0</v>
      </c>
      <c r="O739" s="10">
        <f t="shared" si="60"/>
        <v>3.4538888888888799</v>
      </c>
      <c r="P739" s="10">
        <f>IFERROR(SUMIFS('Base bordo CD'!M$2:M$875,'Base bordo CD'!D$2:D$875,A739,'Base bordo CD'!A$2:A$875,B739),0)</f>
        <v>23.999999999999993</v>
      </c>
      <c r="Q739" s="10">
        <f>IFERROR(SUMIFS('Base bordo CD'!O$2:O$875,'Base bordo CD'!D$2:D$875,A739,'Base bordo CD'!A$2:A$875,B739,'Base bordo CD'!L$2:L$875,"CORTE DE CANA MECANIZADO"),0)</f>
        <v>64702.710000000006</v>
      </c>
      <c r="R739" s="10">
        <f>IFERROR(SUMIFS('Base bordo CD'!Q$2:Q$875,'Base bordo CD'!D$2:D$875,A739,'Base bordo CD'!A$2:A$875,B739,'Base bordo CD'!L$2:L$875,"CORTE DE CANA MECANIZADO"),0)</f>
        <v>14562</v>
      </c>
      <c r="S739" s="30">
        <f t="shared" si="61"/>
        <v>4.4432571075401732</v>
      </c>
      <c r="T739" s="9">
        <f t="shared" si="62"/>
        <v>0.1685416666666667</v>
      </c>
      <c r="U739" s="9">
        <f t="shared" si="63"/>
        <v>0.12256944444444447</v>
      </c>
      <c r="V739" s="9">
        <f t="shared" si="64"/>
        <v>0.81896990740740738</v>
      </c>
    </row>
    <row r="740" spans="1:22" hidden="1" x14ac:dyDescent="0.35">
      <c r="A740" s="52">
        <v>49589</v>
      </c>
      <c r="B740" s="31">
        <v>46118</v>
      </c>
      <c r="C740" s="7" t="s">
        <v>321</v>
      </c>
      <c r="D740" s="7">
        <v>351</v>
      </c>
      <c r="E740" s="10">
        <f>IFERROR(SUMIFS('Base bordo CD'!M$2:M$875,'Base bordo CD'!D$2:D$875,A740,'Base bordo CD'!A$2:A$875,B740,'Base bordo CD'!L$2:L$875,"CORTE DE CANA MECANIZADO"),0)</f>
        <v>4.0449999999999999</v>
      </c>
      <c r="F740" s="10">
        <f>IFERROR(SUMIFS('Base bordo CD'!M$2:M$875,'Base bordo CD'!D$2:D$875,A740,'Base bordo CD'!A$2:A$875,B740,'Base bordo CD'!L$2:L$875,"MANOBRA"),0)</f>
        <v>2.9416666666666664</v>
      </c>
      <c r="G740" s="10">
        <f>IFERROR(SUMIFS('Base bordo CD'!M$2:M$875,'Base bordo CD'!D$2:D$875,A740,'Base bordo CD'!A$2:A$875,B740,'Base bordo CD'!L$2:L$875,"DESLOCAMENTO"),0)</f>
        <v>0.29972222222222222</v>
      </c>
      <c r="H740" s="10">
        <f>IFERROR(SUMIFS('Base bordo CD'!M$2:M$875,'Base bordo CD'!D$2:D$875,A740,'Base bordo CD'!A$2:A$875,B740,'Base bordo CD'!L$2:L$875,"AGUARDANDO MANOBRA DE TRANSBORDO"),0)+IFERROR(SUMIFS('Base bordo CD'!M$2:M$875,'Base bordo CD'!D$2:D$875,A740,'Base bordo CD'!A$2:A$875,B740,'Base bordo CD'!L$2:L$875,"FALTA DE TRANSBORDO"),0)</f>
        <v>0</v>
      </c>
      <c r="I740" s="10">
        <f>IFERROR(SUMIFS('Base bordo CD'!M$2:M$875,'Base bordo CD'!D$2:D$875,A740,'Base bordo CD'!A$2:A$875,B740,'Base bordo CD'!L$2:L$875,"PARADA POR CONDICOES CLIMATICAS"),0)+IFERROR(SUMIFS('Base bordo CD'!M$2:M$875,'Base bordo CD'!D$2:D$875,A740,'Base bordo CD'!A$2:A$875,B740,'Base bordo CD'!L$2:L$875,"TEMPO INDETERMINADO"),0)</f>
        <v>5.3358333333333334</v>
      </c>
      <c r="J740" s="10">
        <f>IFERROR(SUMIFS('Base bordo CD'!M$2:M$875,'Base bordo CD'!D$2:D$875,A740,'Base bordo CD'!A$2:A$875,B740,'Base bordo CD'!L$2:L$875,"LIMITAÇÃO INDÚSTRIA"),0)</f>
        <v>4.8672222222222228</v>
      </c>
      <c r="K740" s="10">
        <f>IFERROR(SUMIFS('Base bordo CD'!M$2:M$875,'Base bordo CD'!D$2:D$875,A740,'Base bordo CD'!A$2:A$875,B740,'Base bordo CD'!L$2:L$875,"MAN CORRETIVA*"),0)+IFERROR(SUMIFS('Base bordo CD'!M$2:M$875,'Base bordo CD'!D$2:D$875,A740,'Base bordo CD'!A$2:A$875,B740,'Base bordo CD'!L$2:L$875,"AGUARDANDO MANUTENCAO*"),0)+IFERROR(SUMIFS('Base bordo CD'!M$2:M$875,'Base bordo CD'!D$2:D$875,A740,'Base bordo CD'!A$2:A$875,B740,'Base bordo CD'!L$2:L$875,"TROCA DE FAQUINHA"),0)+IFERROR(SUMIFS('Base bordo CD'!M$2:M$875,'Base bordo CD'!D$2:D$875,A740,'Base bordo CD'!A$2:A$875,B740,'Base bordo CD'!L$2:L$875,"LIMPEZA*"),0)</f>
        <v>0</v>
      </c>
      <c r="L740" s="10">
        <f>IFERROR(SUMIFS('Base bordo CD'!M$2:M$875,'Base bordo CD'!D$2:D$875,A740,'Base bordo CD'!A$2:A$875,B740,'Base bordo CD'!L$2:L$875,"PATIO - RESERVA"),0)</f>
        <v>3.0319444444444441</v>
      </c>
      <c r="M740" s="10">
        <f>IFERROR(SUMIFS('Base bordo CD'!M$2:M$875,'Base bordo CD'!D$2:D$875,A740,'Base bordo CD'!A$2:A$875,B740,'Base bordo CD'!L$2:L$875,"SEM APONTAMENTO"),0)</f>
        <v>2.4722222222222222E-2</v>
      </c>
      <c r="N740" s="10">
        <f>IFERROR(SUMIFS('Base bordo CD'!M$2:M$875,'Base bordo CD'!D$2:D$875,A740,'Base bordo CD'!A$2:A$875,B740,'Base bordo CD'!L$2:L$875,"FALTA DE CAMINHÃO"),0)+IFERROR(SUMIFS('Base bordo CD'!M$2:M$875,'Base bordo CD'!D$2:D$875,A740,'Base bordo CD'!A$2:A$875,B740,'Base bordo CD'!L$2:L$875,"FALTA DE COMBUSTIVEL"),0)+IFERROR(SUMIFS('Base bordo CD'!M$2:M$875,'Base bordo CD'!D$2:D$875,A740,'Base bordo CD'!A$2:A$875,B740,'Base bordo CD'!L$2:L$875,"FALTA DE MOTORIST*"),0)</f>
        <v>0</v>
      </c>
      <c r="O740" s="10">
        <f t="shared" si="60"/>
        <v>3.4538888888888799</v>
      </c>
      <c r="P740" s="10">
        <f>IFERROR(SUMIFS('Base bordo CD'!M$2:M$875,'Base bordo CD'!D$2:D$875,A740,'Base bordo CD'!A$2:A$875,B740),0)</f>
        <v>23.999999999999993</v>
      </c>
      <c r="Q740" s="10">
        <f>IFERROR(SUMIFS('Base bordo CD'!O$2:O$875,'Base bordo CD'!D$2:D$875,A740,'Base bordo CD'!A$2:A$875,B740,'Base bordo CD'!L$2:L$875,"CORTE DE CANA MECANIZADO"),0)</f>
        <v>64702.710000000006</v>
      </c>
      <c r="R740" s="10">
        <f>IFERROR(SUMIFS('Base bordo CD'!Q$2:Q$875,'Base bordo CD'!D$2:D$875,A740,'Base bordo CD'!A$2:A$875,B740,'Base bordo CD'!L$2:L$875,"CORTE DE CANA MECANIZADO"),0)</f>
        <v>14562</v>
      </c>
      <c r="S740" s="30">
        <f t="shared" si="61"/>
        <v>4.4432571075401732</v>
      </c>
      <c r="T740" s="9">
        <f t="shared" si="62"/>
        <v>0.1685416666666667</v>
      </c>
      <c r="U740" s="9">
        <f t="shared" si="63"/>
        <v>0.12256944444444447</v>
      </c>
      <c r="V740" s="9">
        <f t="shared" si="64"/>
        <v>0.81896990740740738</v>
      </c>
    </row>
    <row r="741" spans="1:22" hidden="1" x14ac:dyDescent="0.35">
      <c r="A741" s="52">
        <v>49589</v>
      </c>
      <c r="B741" s="31">
        <v>46118</v>
      </c>
      <c r="C741" s="7" t="s">
        <v>321</v>
      </c>
      <c r="D741" s="7">
        <v>351</v>
      </c>
      <c r="E741" s="10">
        <f>IFERROR(SUMIFS('Base bordo CD'!M$2:M$875,'Base bordo CD'!D$2:D$875,A741,'Base bordo CD'!A$2:A$875,B741,'Base bordo CD'!L$2:L$875,"CORTE DE CANA MECANIZADO"),0)</f>
        <v>4.0449999999999999</v>
      </c>
      <c r="F741" s="10">
        <f>IFERROR(SUMIFS('Base bordo CD'!M$2:M$875,'Base bordo CD'!D$2:D$875,A741,'Base bordo CD'!A$2:A$875,B741,'Base bordo CD'!L$2:L$875,"MANOBRA"),0)</f>
        <v>2.9416666666666664</v>
      </c>
      <c r="G741" s="10">
        <f>IFERROR(SUMIFS('Base bordo CD'!M$2:M$875,'Base bordo CD'!D$2:D$875,A741,'Base bordo CD'!A$2:A$875,B741,'Base bordo CD'!L$2:L$875,"DESLOCAMENTO"),0)</f>
        <v>0.29972222222222222</v>
      </c>
      <c r="H741" s="10">
        <f>IFERROR(SUMIFS('Base bordo CD'!M$2:M$875,'Base bordo CD'!D$2:D$875,A741,'Base bordo CD'!A$2:A$875,B741,'Base bordo CD'!L$2:L$875,"AGUARDANDO MANOBRA DE TRANSBORDO"),0)+IFERROR(SUMIFS('Base bordo CD'!M$2:M$875,'Base bordo CD'!D$2:D$875,A741,'Base bordo CD'!A$2:A$875,B741,'Base bordo CD'!L$2:L$875,"FALTA DE TRANSBORDO"),0)</f>
        <v>0</v>
      </c>
      <c r="I741" s="10">
        <f>IFERROR(SUMIFS('Base bordo CD'!M$2:M$875,'Base bordo CD'!D$2:D$875,A741,'Base bordo CD'!A$2:A$875,B741,'Base bordo CD'!L$2:L$875,"PARADA POR CONDICOES CLIMATICAS"),0)+IFERROR(SUMIFS('Base bordo CD'!M$2:M$875,'Base bordo CD'!D$2:D$875,A741,'Base bordo CD'!A$2:A$875,B741,'Base bordo CD'!L$2:L$875,"TEMPO INDETERMINADO"),0)</f>
        <v>5.3358333333333334</v>
      </c>
      <c r="J741" s="10">
        <f>IFERROR(SUMIFS('Base bordo CD'!M$2:M$875,'Base bordo CD'!D$2:D$875,A741,'Base bordo CD'!A$2:A$875,B741,'Base bordo CD'!L$2:L$875,"LIMITAÇÃO INDÚSTRIA"),0)</f>
        <v>4.8672222222222228</v>
      </c>
      <c r="K741" s="10">
        <f>IFERROR(SUMIFS('Base bordo CD'!M$2:M$875,'Base bordo CD'!D$2:D$875,A741,'Base bordo CD'!A$2:A$875,B741,'Base bordo CD'!L$2:L$875,"MAN CORRETIVA*"),0)+IFERROR(SUMIFS('Base bordo CD'!M$2:M$875,'Base bordo CD'!D$2:D$875,A741,'Base bordo CD'!A$2:A$875,B741,'Base bordo CD'!L$2:L$875,"AGUARDANDO MANUTENCAO*"),0)+IFERROR(SUMIFS('Base bordo CD'!M$2:M$875,'Base bordo CD'!D$2:D$875,A741,'Base bordo CD'!A$2:A$875,B741,'Base bordo CD'!L$2:L$875,"TROCA DE FAQUINHA"),0)+IFERROR(SUMIFS('Base bordo CD'!M$2:M$875,'Base bordo CD'!D$2:D$875,A741,'Base bordo CD'!A$2:A$875,B741,'Base bordo CD'!L$2:L$875,"LIMPEZA*"),0)</f>
        <v>0</v>
      </c>
      <c r="L741" s="10">
        <f>IFERROR(SUMIFS('Base bordo CD'!M$2:M$875,'Base bordo CD'!D$2:D$875,A741,'Base bordo CD'!A$2:A$875,B741,'Base bordo CD'!L$2:L$875,"PATIO - RESERVA"),0)</f>
        <v>3.0319444444444441</v>
      </c>
      <c r="M741" s="10">
        <f>IFERROR(SUMIFS('Base bordo CD'!M$2:M$875,'Base bordo CD'!D$2:D$875,A741,'Base bordo CD'!A$2:A$875,B741,'Base bordo CD'!L$2:L$875,"SEM APONTAMENTO"),0)</f>
        <v>2.4722222222222222E-2</v>
      </c>
      <c r="N741" s="10">
        <f>IFERROR(SUMIFS('Base bordo CD'!M$2:M$875,'Base bordo CD'!D$2:D$875,A741,'Base bordo CD'!A$2:A$875,B741,'Base bordo CD'!L$2:L$875,"FALTA DE CAMINHÃO"),0)+IFERROR(SUMIFS('Base bordo CD'!M$2:M$875,'Base bordo CD'!D$2:D$875,A741,'Base bordo CD'!A$2:A$875,B741,'Base bordo CD'!L$2:L$875,"FALTA DE COMBUSTIVEL"),0)+IFERROR(SUMIFS('Base bordo CD'!M$2:M$875,'Base bordo CD'!D$2:D$875,A741,'Base bordo CD'!A$2:A$875,B741,'Base bordo CD'!L$2:L$875,"FALTA DE MOTORIST*"),0)</f>
        <v>0</v>
      </c>
      <c r="O741" s="10">
        <f t="shared" si="60"/>
        <v>3.4538888888888799</v>
      </c>
      <c r="P741" s="10">
        <f>IFERROR(SUMIFS('Base bordo CD'!M$2:M$875,'Base bordo CD'!D$2:D$875,A741,'Base bordo CD'!A$2:A$875,B741),0)</f>
        <v>23.999999999999993</v>
      </c>
      <c r="Q741" s="10">
        <f>IFERROR(SUMIFS('Base bordo CD'!O$2:O$875,'Base bordo CD'!D$2:D$875,A741,'Base bordo CD'!A$2:A$875,B741,'Base bordo CD'!L$2:L$875,"CORTE DE CANA MECANIZADO"),0)</f>
        <v>64702.710000000006</v>
      </c>
      <c r="R741" s="10">
        <f>IFERROR(SUMIFS('Base bordo CD'!Q$2:Q$875,'Base bordo CD'!D$2:D$875,A741,'Base bordo CD'!A$2:A$875,B741,'Base bordo CD'!L$2:L$875,"CORTE DE CANA MECANIZADO"),0)</f>
        <v>14562</v>
      </c>
      <c r="S741" s="30">
        <f t="shared" si="61"/>
        <v>4.4432571075401732</v>
      </c>
      <c r="T741" s="9">
        <f t="shared" si="62"/>
        <v>0.1685416666666667</v>
      </c>
      <c r="U741" s="9">
        <f t="shared" si="63"/>
        <v>0.12256944444444447</v>
      </c>
      <c r="V741" s="9">
        <f t="shared" si="64"/>
        <v>0.81896990740740738</v>
      </c>
    </row>
    <row r="742" spans="1:22" hidden="1" x14ac:dyDescent="0.35">
      <c r="A742" s="52">
        <v>49589</v>
      </c>
      <c r="B742" s="31">
        <v>46118</v>
      </c>
      <c r="C742" s="7" t="s">
        <v>321</v>
      </c>
      <c r="D742" s="7">
        <v>351</v>
      </c>
      <c r="E742" s="10">
        <f>IFERROR(SUMIFS('Base bordo CD'!M$2:M$875,'Base bordo CD'!D$2:D$875,A742,'Base bordo CD'!A$2:A$875,B742,'Base bordo CD'!L$2:L$875,"CORTE DE CANA MECANIZADO"),0)</f>
        <v>4.0449999999999999</v>
      </c>
      <c r="F742" s="10">
        <f>IFERROR(SUMIFS('Base bordo CD'!M$2:M$875,'Base bordo CD'!D$2:D$875,A742,'Base bordo CD'!A$2:A$875,B742,'Base bordo CD'!L$2:L$875,"MANOBRA"),0)</f>
        <v>2.9416666666666664</v>
      </c>
      <c r="G742" s="10">
        <f>IFERROR(SUMIFS('Base bordo CD'!M$2:M$875,'Base bordo CD'!D$2:D$875,A742,'Base bordo CD'!A$2:A$875,B742,'Base bordo CD'!L$2:L$875,"DESLOCAMENTO"),0)</f>
        <v>0.29972222222222222</v>
      </c>
      <c r="H742" s="10">
        <f>IFERROR(SUMIFS('Base bordo CD'!M$2:M$875,'Base bordo CD'!D$2:D$875,A742,'Base bordo CD'!A$2:A$875,B742,'Base bordo CD'!L$2:L$875,"AGUARDANDO MANOBRA DE TRANSBORDO"),0)+IFERROR(SUMIFS('Base bordo CD'!M$2:M$875,'Base bordo CD'!D$2:D$875,A742,'Base bordo CD'!A$2:A$875,B742,'Base bordo CD'!L$2:L$875,"FALTA DE TRANSBORDO"),0)</f>
        <v>0</v>
      </c>
      <c r="I742" s="10">
        <f>IFERROR(SUMIFS('Base bordo CD'!M$2:M$875,'Base bordo CD'!D$2:D$875,A742,'Base bordo CD'!A$2:A$875,B742,'Base bordo CD'!L$2:L$875,"PARADA POR CONDICOES CLIMATICAS"),0)+IFERROR(SUMIFS('Base bordo CD'!M$2:M$875,'Base bordo CD'!D$2:D$875,A742,'Base bordo CD'!A$2:A$875,B742,'Base bordo CD'!L$2:L$875,"TEMPO INDETERMINADO"),0)</f>
        <v>5.3358333333333334</v>
      </c>
      <c r="J742" s="10">
        <f>IFERROR(SUMIFS('Base bordo CD'!M$2:M$875,'Base bordo CD'!D$2:D$875,A742,'Base bordo CD'!A$2:A$875,B742,'Base bordo CD'!L$2:L$875,"LIMITAÇÃO INDÚSTRIA"),0)</f>
        <v>4.8672222222222228</v>
      </c>
      <c r="K742" s="10">
        <f>IFERROR(SUMIFS('Base bordo CD'!M$2:M$875,'Base bordo CD'!D$2:D$875,A742,'Base bordo CD'!A$2:A$875,B742,'Base bordo CD'!L$2:L$875,"MAN CORRETIVA*"),0)+IFERROR(SUMIFS('Base bordo CD'!M$2:M$875,'Base bordo CD'!D$2:D$875,A742,'Base bordo CD'!A$2:A$875,B742,'Base bordo CD'!L$2:L$875,"AGUARDANDO MANUTENCAO*"),0)+IFERROR(SUMIFS('Base bordo CD'!M$2:M$875,'Base bordo CD'!D$2:D$875,A742,'Base bordo CD'!A$2:A$875,B742,'Base bordo CD'!L$2:L$875,"TROCA DE FAQUINHA"),0)+IFERROR(SUMIFS('Base bordo CD'!M$2:M$875,'Base bordo CD'!D$2:D$875,A742,'Base bordo CD'!A$2:A$875,B742,'Base bordo CD'!L$2:L$875,"LIMPEZA*"),0)</f>
        <v>0</v>
      </c>
      <c r="L742" s="10">
        <f>IFERROR(SUMIFS('Base bordo CD'!M$2:M$875,'Base bordo CD'!D$2:D$875,A742,'Base bordo CD'!A$2:A$875,B742,'Base bordo CD'!L$2:L$875,"PATIO - RESERVA"),0)</f>
        <v>3.0319444444444441</v>
      </c>
      <c r="M742" s="10">
        <f>IFERROR(SUMIFS('Base bordo CD'!M$2:M$875,'Base bordo CD'!D$2:D$875,A742,'Base bordo CD'!A$2:A$875,B742,'Base bordo CD'!L$2:L$875,"SEM APONTAMENTO"),0)</f>
        <v>2.4722222222222222E-2</v>
      </c>
      <c r="N742" s="10">
        <f>IFERROR(SUMIFS('Base bordo CD'!M$2:M$875,'Base bordo CD'!D$2:D$875,A742,'Base bordo CD'!A$2:A$875,B742,'Base bordo CD'!L$2:L$875,"FALTA DE CAMINHÃO"),0)+IFERROR(SUMIFS('Base bordo CD'!M$2:M$875,'Base bordo CD'!D$2:D$875,A742,'Base bordo CD'!A$2:A$875,B742,'Base bordo CD'!L$2:L$875,"FALTA DE COMBUSTIVEL"),0)+IFERROR(SUMIFS('Base bordo CD'!M$2:M$875,'Base bordo CD'!D$2:D$875,A742,'Base bordo CD'!A$2:A$875,B742,'Base bordo CD'!L$2:L$875,"FALTA DE MOTORIST*"),0)</f>
        <v>0</v>
      </c>
      <c r="O742" s="10">
        <f t="shared" si="60"/>
        <v>3.4538888888888799</v>
      </c>
      <c r="P742" s="10">
        <f>IFERROR(SUMIFS('Base bordo CD'!M$2:M$875,'Base bordo CD'!D$2:D$875,A742,'Base bordo CD'!A$2:A$875,B742),0)</f>
        <v>23.999999999999993</v>
      </c>
      <c r="Q742" s="10">
        <f>IFERROR(SUMIFS('Base bordo CD'!O$2:O$875,'Base bordo CD'!D$2:D$875,A742,'Base bordo CD'!A$2:A$875,B742,'Base bordo CD'!L$2:L$875,"CORTE DE CANA MECANIZADO"),0)</f>
        <v>64702.710000000006</v>
      </c>
      <c r="R742" s="10">
        <f>IFERROR(SUMIFS('Base bordo CD'!Q$2:Q$875,'Base bordo CD'!D$2:D$875,A742,'Base bordo CD'!A$2:A$875,B742,'Base bordo CD'!L$2:L$875,"CORTE DE CANA MECANIZADO"),0)</f>
        <v>14562</v>
      </c>
      <c r="S742" s="30">
        <f t="shared" si="61"/>
        <v>4.4432571075401732</v>
      </c>
      <c r="T742" s="9">
        <f t="shared" si="62"/>
        <v>0.1685416666666667</v>
      </c>
      <c r="U742" s="9">
        <f t="shared" si="63"/>
        <v>0.12256944444444447</v>
      </c>
      <c r="V742" s="9">
        <f t="shared" si="64"/>
        <v>0.81896990740740738</v>
      </c>
    </row>
    <row r="743" spans="1:22" hidden="1" x14ac:dyDescent="0.35">
      <c r="A743" s="52">
        <v>49589</v>
      </c>
      <c r="B743" s="31">
        <v>46118</v>
      </c>
      <c r="C743" s="7" t="s">
        <v>321</v>
      </c>
      <c r="D743" s="7">
        <v>351</v>
      </c>
      <c r="E743" s="10">
        <f>IFERROR(SUMIFS('Base bordo CD'!M$2:M$875,'Base bordo CD'!D$2:D$875,A743,'Base bordo CD'!A$2:A$875,B743,'Base bordo CD'!L$2:L$875,"CORTE DE CANA MECANIZADO"),0)</f>
        <v>4.0449999999999999</v>
      </c>
      <c r="F743" s="10">
        <f>IFERROR(SUMIFS('Base bordo CD'!M$2:M$875,'Base bordo CD'!D$2:D$875,A743,'Base bordo CD'!A$2:A$875,B743,'Base bordo CD'!L$2:L$875,"MANOBRA"),0)</f>
        <v>2.9416666666666664</v>
      </c>
      <c r="G743" s="10">
        <f>IFERROR(SUMIFS('Base bordo CD'!M$2:M$875,'Base bordo CD'!D$2:D$875,A743,'Base bordo CD'!A$2:A$875,B743,'Base bordo CD'!L$2:L$875,"DESLOCAMENTO"),0)</f>
        <v>0.29972222222222222</v>
      </c>
      <c r="H743" s="10">
        <f>IFERROR(SUMIFS('Base bordo CD'!M$2:M$875,'Base bordo CD'!D$2:D$875,A743,'Base bordo CD'!A$2:A$875,B743,'Base bordo CD'!L$2:L$875,"AGUARDANDO MANOBRA DE TRANSBORDO"),0)+IFERROR(SUMIFS('Base bordo CD'!M$2:M$875,'Base bordo CD'!D$2:D$875,A743,'Base bordo CD'!A$2:A$875,B743,'Base bordo CD'!L$2:L$875,"FALTA DE TRANSBORDO"),0)</f>
        <v>0</v>
      </c>
      <c r="I743" s="10">
        <f>IFERROR(SUMIFS('Base bordo CD'!M$2:M$875,'Base bordo CD'!D$2:D$875,A743,'Base bordo CD'!A$2:A$875,B743,'Base bordo CD'!L$2:L$875,"PARADA POR CONDICOES CLIMATICAS"),0)+IFERROR(SUMIFS('Base bordo CD'!M$2:M$875,'Base bordo CD'!D$2:D$875,A743,'Base bordo CD'!A$2:A$875,B743,'Base bordo CD'!L$2:L$875,"TEMPO INDETERMINADO"),0)</f>
        <v>5.3358333333333334</v>
      </c>
      <c r="J743" s="10">
        <f>IFERROR(SUMIFS('Base bordo CD'!M$2:M$875,'Base bordo CD'!D$2:D$875,A743,'Base bordo CD'!A$2:A$875,B743,'Base bordo CD'!L$2:L$875,"LIMITAÇÃO INDÚSTRIA"),0)</f>
        <v>4.8672222222222228</v>
      </c>
      <c r="K743" s="10">
        <f>IFERROR(SUMIFS('Base bordo CD'!M$2:M$875,'Base bordo CD'!D$2:D$875,A743,'Base bordo CD'!A$2:A$875,B743,'Base bordo CD'!L$2:L$875,"MAN CORRETIVA*"),0)+IFERROR(SUMIFS('Base bordo CD'!M$2:M$875,'Base bordo CD'!D$2:D$875,A743,'Base bordo CD'!A$2:A$875,B743,'Base bordo CD'!L$2:L$875,"AGUARDANDO MANUTENCAO*"),0)+IFERROR(SUMIFS('Base bordo CD'!M$2:M$875,'Base bordo CD'!D$2:D$875,A743,'Base bordo CD'!A$2:A$875,B743,'Base bordo CD'!L$2:L$875,"TROCA DE FAQUINHA"),0)+IFERROR(SUMIFS('Base bordo CD'!M$2:M$875,'Base bordo CD'!D$2:D$875,A743,'Base bordo CD'!A$2:A$875,B743,'Base bordo CD'!L$2:L$875,"LIMPEZA*"),0)</f>
        <v>0</v>
      </c>
      <c r="L743" s="10">
        <f>IFERROR(SUMIFS('Base bordo CD'!M$2:M$875,'Base bordo CD'!D$2:D$875,A743,'Base bordo CD'!A$2:A$875,B743,'Base bordo CD'!L$2:L$875,"PATIO - RESERVA"),0)</f>
        <v>3.0319444444444441</v>
      </c>
      <c r="M743" s="10">
        <f>IFERROR(SUMIFS('Base bordo CD'!M$2:M$875,'Base bordo CD'!D$2:D$875,A743,'Base bordo CD'!A$2:A$875,B743,'Base bordo CD'!L$2:L$875,"SEM APONTAMENTO"),0)</f>
        <v>2.4722222222222222E-2</v>
      </c>
      <c r="N743" s="10">
        <f>IFERROR(SUMIFS('Base bordo CD'!M$2:M$875,'Base bordo CD'!D$2:D$875,A743,'Base bordo CD'!A$2:A$875,B743,'Base bordo CD'!L$2:L$875,"FALTA DE CAMINHÃO"),0)+IFERROR(SUMIFS('Base bordo CD'!M$2:M$875,'Base bordo CD'!D$2:D$875,A743,'Base bordo CD'!A$2:A$875,B743,'Base bordo CD'!L$2:L$875,"FALTA DE COMBUSTIVEL"),0)+IFERROR(SUMIFS('Base bordo CD'!M$2:M$875,'Base bordo CD'!D$2:D$875,A743,'Base bordo CD'!A$2:A$875,B743,'Base bordo CD'!L$2:L$875,"FALTA DE MOTORIST*"),0)</f>
        <v>0</v>
      </c>
      <c r="O743" s="10">
        <f t="shared" si="60"/>
        <v>3.4538888888888799</v>
      </c>
      <c r="P743" s="10">
        <f>IFERROR(SUMIFS('Base bordo CD'!M$2:M$875,'Base bordo CD'!D$2:D$875,A743,'Base bordo CD'!A$2:A$875,B743),0)</f>
        <v>23.999999999999993</v>
      </c>
      <c r="Q743" s="10">
        <f>IFERROR(SUMIFS('Base bordo CD'!O$2:O$875,'Base bordo CD'!D$2:D$875,A743,'Base bordo CD'!A$2:A$875,B743,'Base bordo CD'!L$2:L$875,"CORTE DE CANA MECANIZADO"),0)</f>
        <v>64702.710000000006</v>
      </c>
      <c r="R743" s="10">
        <f>IFERROR(SUMIFS('Base bordo CD'!Q$2:Q$875,'Base bordo CD'!D$2:D$875,A743,'Base bordo CD'!A$2:A$875,B743,'Base bordo CD'!L$2:L$875,"CORTE DE CANA MECANIZADO"),0)</f>
        <v>14562</v>
      </c>
      <c r="S743" s="30">
        <f t="shared" si="61"/>
        <v>4.4432571075401732</v>
      </c>
      <c r="T743" s="9">
        <f t="shared" si="62"/>
        <v>0.1685416666666667</v>
      </c>
      <c r="U743" s="9">
        <f t="shared" si="63"/>
        <v>0.12256944444444447</v>
      </c>
      <c r="V743" s="9">
        <f t="shared" si="64"/>
        <v>0.81896990740740738</v>
      </c>
    </row>
    <row r="744" spans="1:22" hidden="1" x14ac:dyDescent="0.35">
      <c r="A744" s="52">
        <v>49589</v>
      </c>
      <c r="B744" s="31">
        <v>46118</v>
      </c>
      <c r="C744" s="7" t="s">
        <v>321</v>
      </c>
      <c r="D744" s="7">
        <v>351</v>
      </c>
      <c r="E744" s="10">
        <f>IFERROR(SUMIFS('Base bordo CD'!M$2:M$875,'Base bordo CD'!D$2:D$875,A744,'Base bordo CD'!A$2:A$875,B744,'Base bordo CD'!L$2:L$875,"CORTE DE CANA MECANIZADO"),0)</f>
        <v>4.0449999999999999</v>
      </c>
      <c r="F744" s="10">
        <f>IFERROR(SUMIFS('Base bordo CD'!M$2:M$875,'Base bordo CD'!D$2:D$875,A744,'Base bordo CD'!A$2:A$875,B744,'Base bordo CD'!L$2:L$875,"MANOBRA"),0)</f>
        <v>2.9416666666666664</v>
      </c>
      <c r="G744" s="10">
        <f>IFERROR(SUMIFS('Base bordo CD'!M$2:M$875,'Base bordo CD'!D$2:D$875,A744,'Base bordo CD'!A$2:A$875,B744,'Base bordo CD'!L$2:L$875,"DESLOCAMENTO"),0)</f>
        <v>0.29972222222222222</v>
      </c>
      <c r="H744" s="10">
        <f>IFERROR(SUMIFS('Base bordo CD'!M$2:M$875,'Base bordo CD'!D$2:D$875,A744,'Base bordo CD'!A$2:A$875,B744,'Base bordo CD'!L$2:L$875,"AGUARDANDO MANOBRA DE TRANSBORDO"),0)+IFERROR(SUMIFS('Base bordo CD'!M$2:M$875,'Base bordo CD'!D$2:D$875,A744,'Base bordo CD'!A$2:A$875,B744,'Base bordo CD'!L$2:L$875,"FALTA DE TRANSBORDO"),0)</f>
        <v>0</v>
      </c>
      <c r="I744" s="10">
        <f>IFERROR(SUMIFS('Base bordo CD'!M$2:M$875,'Base bordo CD'!D$2:D$875,A744,'Base bordo CD'!A$2:A$875,B744,'Base bordo CD'!L$2:L$875,"PARADA POR CONDICOES CLIMATICAS"),0)+IFERROR(SUMIFS('Base bordo CD'!M$2:M$875,'Base bordo CD'!D$2:D$875,A744,'Base bordo CD'!A$2:A$875,B744,'Base bordo CD'!L$2:L$875,"TEMPO INDETERMINADO"),0)</f>
        <v>5.3358333333333334</v>
      </c>
      <c r="J744" s="10">
        <f>IFERROR(SUMIFS('Base bordo CD'!M$2:M$875,'Base bordo CD'!D$2:D$875,A744,'Base bordo CD'!A$2:A$875,B744,'Base bordo CD'!L$2:L$875,"LIMITAÇÃO INDÚSTRIA"),0)</f>
        <v>4.8672222222222228</v>
      </c>
      <c r="K744" s="10">
        <f>IFERROR(SUMIFS('Base bordo CD'!M$2:M$875,'Base bordo CD'!D$2:D$875,A744,'Base bordo CD'!A$2:A$875,B744,'Base bordo CD'!L$2:L$875,"MAN CORRETIVA*"),0)+IFERROR(SUMIFS('Base bordo CD'!M$2:M$875,'Base bordo CD'!D$2:D$875,A744,'Base bordo CD'!A$2:A$875,B744,'Base bordo CD'!L$2:L$875,"AGUARDANDO MANUTENCAO*"),0)+IFERROR(SUMIFS('Base bordo CD'!M$2:M$875,'Base bordo CD'!D$2:D$875,A744,'Base bordo CD'!A$2:A$875,B744,'Base bordo CD'!L$2:L$875,"TROCA DE FAQUINHA"),0)+IFERROR(SUMIFS('Base bordo CD'!M$2:M$875,'Base bordo CD'!D$2:D$875,A744,'Base bordo CD'!A$2:A$875,B744,'Base bordo CD'!L$2:L$875,"LIMPEZA*"),0)</f>
        <v>0</v>
      </c>
      <c r="L744" s="10">
        <f>IFERROR(SUMIFS('Base bordo CD'!M$2:M$875,'Base bordo CD'!D$2:D$875,A744,'Base bordo CD'!A$2:A$875,B744,'Base bordo CD'!L$2:L$875,"PATIO - RESERVA"),0)</f>
        <v>3.0319444444444441</v>
      </c>
      <c r="M744" s="10">
        <f>IFERROR(SUMIFS('Base bordo CD'!M$2:M$875,'Base bordo CD'!D$2:D$875,A744,'Base bordo CD'!A$2:A$875,B744,'Base bordo CD'!L$2:L$875,"SEM APONTAMENTO"),0)</f>
        <v>2.4722222222222222E-2</v>
      </c>
      <c r="N744" s="10">
        <f>IFERROR(SUMIFS('Base bordo CD'!M$2:M$875,'Base bordo CD'!D$2:D$875,A744,'Base bordo CD'!A$2:A$875,B744,'Base bordo CD'!L$2:L$875,"FALTA DE CAMINHÃO"),0)+IFERROR(SUMIFS('Base bordo CD'!M$2:M$875,'Base bordo CD'!D$2:D$875,A744,'Base bordo CD'!A$2:A$875,B744,'Base bordo CD'!L$2:L$875,"FALTA DE COMBUSTIVEL"),0)+IFERROR(SUMIFS('Base bordo CD'!M$2:M$875,'Base bordo CD'!D$2:D$875,A744,'Base bordo CD'!A$2:A$875,B744,'Base bordo CD'!L$2:L$875,"FALTA DE MOTORIST*"),0)</f>
        <v>0</v>
      </c>
      <c r="O744" s="10">
        <f t="shared" si="60"/>
        <v>3.4538888888888799</v>
      </c>
      <c r="P744" s="10">
        <f>IFERROR(SUMIFS('Base bordo CD'!M$2:M$875,'Base bordo CD'!D$2:D$875,A744,'Base bordo CD'!A$2:A$875,B744),0)</f>
        <v>23.999999999999993</v>
      </c>
      <c r="Q744" s="10">
        <f>IFERROR(SUMIFS('Base bordo CD'!O$2:O$875,'Base bordo CD'!D$2:D$875,A744,'Base bordo CD'!A$2:A$875,B744,'Base bordo CD'!L$2:L$875,"CORTE DE CANA MECANIZADO"),0)</f>
        <v>64702.710000000006</v>
      </c>
      <c r="R744" s="10">
        <f>IFERROR(SUMIFS('Base bordo CD'!Q$2:Q$875,'Base bordo CD'!D$2:D$875,A744,'Base bordo CD'!A$2:A$875,B744,'Base bordo CD'!L$2:L$875,"CORTE DE CANA MECANIZADO"),0)</f>
        <v>14562</v>
      </c>
      <c r="S744" s="30">
        <f t="shared" si="61"/>
        <v>4.4432571075401732</v>
      </c>
      <c r="T744" s="9">
        <f t="shared" si="62"/>
        <v>0.1685416666666667</v>
      </c>
      <c r="U744" s="9">
        <f t="shared" si="63"/>
        <v>0.12256944444444447</v>
      </c>
      <c r="V744" s="9">
        <f t="shared" si="64"/>
        <v>0.81896990740740738</v>
      </c>
    </row>
    <row r="745" spans="1:22" hidden="1" x14ac:dyDescent="0.35">
      <c r="A745" s="52">
        <v>49589</v>
      </c>
      <c r="B745" s="31">
        <v>46118</v>
      </c>
      <c r="C745" s="7" t="s">
        <v>321</v>
      </c>
      <c r="D745" s="7">
        <v>351</v>
      </c>
      <c r="E745" s="10">
        <f>IFERROR(SUMIFS('Base bordo CD'!M$2:M$875,'Base bordo CD'!D$2:D$875,A745,'Base bordo CD'!A$2:A$875,B745,'Base bordo CD'!L$2:L$875,"CORTE DE CANA MECANIZADO"),0)</f>
        <v>4.0449999999999999</v>
      </c>
      <c r="F745" s="10">
        <f>IFERROR(SUMIFS('Base bordo CD'!M$2:M$875,'Base bordo CD'!D$2:D$875,A745,'Base bordo CD'!A$2:A$875,B745,'Base bordo CD'!L$2:L$875,"MANOBRA"),0)</f>
        <v>2.9416666666666664</v>
      </c>
      <c r="G745" s="10">
        <f>IFERROR(SUMIFS('Base bordo CD'!M$2:M$875,'Base bordo CD'!D$2:D$875,A745,'Base bordo CD'!A$2:A$875,B745,'Base bordo CD'!L$2:L$875,"DESLOCAMENTO"),0)</f>
        <v>0.29972222222222222</v>
      </c>
      <c r="H745" s="10">
        <f>IFERROR(SUMIFS('Base bordo CD'!M$2:M$875,'Base bordo CD'!D$2:D$875,A745,'Base bordo CD'!A$2:A$875,B745,'Base bordo CD'!L$2:L$875,"AGUARDANDO MANOBRA DE TRANSBORDO"),0)+IFERROR(SUMIFS('Base bordo CD'!M$2:M$875,'Base bordo CD'!D$2:D$875,A745,'Base bordo CD'!A$2:A$875,B745,'Base bordo CD'!L$2:L$875,"FALTA DE TRANSBORDO"),0)</f>
        <v>0</v>
      </c>
      <c r="I745" s="10">
        <f>IFERROR(SUMIFS('Base bordo CD'!M$2:M$875,'Base bordo CD'!D$2:D$875,A745,'Base bordo CD'!A$2:A$875,B745,'Base bordo CD'!L$2:L$875,"PARADA POR CONDICOES CLIMATICAS"),0)+IFERROR(SUMIFS('Base bordo CD'!M$2:M$875,'Base bordo CD'!D$2:D$875,A745,'Base bordo CD'!A$2:A$875,B745,'Base bordo CD'!L$2:L$875,"TEMPO INDETERMINADO"),0)</f>
        <v>5.3358333333333334</v>
      </c>
      <c r="J745" s="10">
        <f>IFERROR(SUMIFS('Base bordo CD'!M$2:M$875,'Base bordo CD'!D$2:D$875,A745,'Base bordo CD'!A$2:A$875,B745,'Base bordo CD'!L$2:L$875,"LIMITAÇÃO INDÚSTRIA"),0)</f>
        <v>4.8672222222222228</v>
      </c>
      <c r="K745" s="10">
        <f>IFERROR(SUMIFS('Base bordo CD'!M$2:M$875,'Base bordo CD'!D$2:D$875,A745,'Base bordo CD'!A$2:A$875,B745,'Base bordo CD'!L$2:L$875,"MAN CORRETIVA*"),0)+IFERROR(SUMIFS('Base bordo CD'!M$2:M$875,'Base bordo CD'!D$2:D$875,A745,'Base bordo CD'!A$2:A$875,B745,'Base bordo CD'!L$2:L$875,"AGUARDANDO MANUTENCAO*"),0)+IFERROR(SUMIFS('Base bordo CD'!M$2:M$875,'Base bordo CD'!D$2:D$875,A745,'Base bordo CD'!A$2:A$875,B745,'Base bordo CD'!L$2:L$875,"TROCA DE FAQUINHA"),0)+IFERROR(SUMIFS('Base bordo CD'!M$2:M$875,'Base bordo CD'!D$2:D$875,A745,'Base bordo CD'!A$2:A$875,B745,'Base bordo CD'!L$2:L$875,"LIMPEZA*"),0)</f>
        <v>0</v>
      </c>
      <c r="L745" s="10">
        <f>IFERROR(SUMIFS('Base bordo CD'!M$2:M$875,'Base bordo CD'!D$2:D$875,A745,'Base bordo CD'!A$2:A$875,B745,'Base bordo CD'!L$2:L$875,"PATIO - RESERVA"),0)</f>
        <v>3.0319444444444441</v>
      </c>
      <c r="M745" s="10">
        <f>IFERROR(SUMIFS('Base bordo CD'!M$2:M$875,'Base bordo CD'!D$2:D$875,A745,'Base bordo CD'!A$2:A$875,B745,'Base bordo CD'!L$2:L$875,"SEM APONTAMENTO"),0)</f>
        <v>2.4722222222222222E-2</v>
      </c>
      <c r="N745" s="10">
        <f>IFERROR(SUMIFS('Base bordo CD'!M$2:M$875,'Base bordo CD'!D$2:D$875,A745,'Base bordo CD'!A$2:A$875,B745,'Base bordo CD'!L$2:L$875,"FALTA DE CAMINHÃO"),0)+IFERROR(SUMIFS('Base bordo CD'!M$2:M$875,'Base bordo CD'!D$2:D$875,A745,'Base bordo CD'!A$2:A$875,B745,'Base bordo CD'!L$2:L$875,"FALTA DE COMBUSTIVEL"),0)+IFERROR(SUMIFS('Base bordo CD'!M$2:M$875,'Base bordo CD'!D$2:D$875,A745,'Base bordo CD'!A$2:A$875,B745,'Base bordo CD'!L$2:L$875,"FALTA DE MOTORIST*"),0)</f>
        <v>0</v>
      </c>
      <c r="O745" s="10">
        <f t="shared" si="60"/>
        <v>3.4538888888888799</v>
      </c>
      <c r="P745" s="10">
        <f>IFERROR(SUMIFS('Base bordo CD'!M$2:M$875,'Base bordo CD'!D$2:D$875,A745,'Base bordo CD'!A$2:A$875,B745),0)</f>
        <v>23.999999999999993</v>
      </c>
      <c r="Q745" s="10">
        <f>IFERROR(SUMIFS('Base bordo CD'!O$2:O$875,'Base bordo CD'!D$2:D$875,A745,'Base bordo CD'!A$2:A$875,B745,'Base bordo CD'!L$2:L$875,"CORTE DE CANA MECANIZADO"),0)</f>
        <v>64702.710000000006</v>
      </c>
      <c r="R745" s="10">
        <f>IFERROR(SUMIFS('Base bordo CD'!Q$2:Q$875,'Base bordo CD'!D$2:D$875,A745,'Base bordo CD'!A$2:A$875,B745,'Base bordo CD'!L$2:L$875,"CORTE DE CANA MECANIZADO"),0)</f>
        <v>14562</v>
      </c>
      <c r="S745" s="30">
        <f t="shared" si="61"/>
        <v>4.4432571075401732</v>
      </c>
      <c r="T745" s="9">
        <f t="shared" si="62"/>
        <v>0.1685416666666667</v>
      </c>
      <c r="U745" s="9">
        <f t="shared" si="63"/>
        <v>0.12256944444444447</v>
      </c>
      <c r="V745" s="9">
        <f t="shared" si="64"/>
        <v>0.81896990740740738</v>
      </c>
    </row>
    <row r="746" spans="1:22" hidden="1" x14ac:dyDescent="0.35">
      <c r="A746" s="52">
        <v>49589</v>
      </c>
      <c r="B746" s="31">
        <v>46118</v>
      </c>
      <c r="C746" s="7" t="s">
        <v>321</v>
      </c>
      <c r="D746" s="7">
        <v>351</v>
      </c>
      <c r="E746" s="10">
        <f>IFERROR(SUMIFS('Base bordo CD'!M$2:M$875,'Base bordo CD'!D$2:D$875,A746,'Base bordo CD'!A$2:A$875,B746,'Base bordo CD'!L$2:L$875,"CORTE DE CANA MECANIZADO"),0)</f>
        <v>4.0449999999999999</v>
      </c>
      <c r="F746" s="10">
        <f>IFERROR(SUMIFS('Base bordo CD'!M$2:M$875,'Base bordo CD'!D$2:D$875,A746,'Base bordo CD'!A$2:A$875,B746,'Base bordo CD'!L$2:L$875,"MANOBRA"),0)</f>
        <v>2.9416666666666664</v>
      </c>
      <c r="G746" s="10">
        <f>IFERROR(SUMIFS('Base bordo CD'!M$2:M$875,'Base bordo CD'!D$2:D$875,A746,'Base bordo CD'!A$2:A$875,B746,'Base bordo CD'!L$2:L$875,"DESLOCAMENTO"),0)</f>
        <v>0.29972222222222222</v>
      </c>
      <c r="H746" s="10">
        <f>IFERROR(SUMIFS('Base bordo CD'!M$2:M$875,'Base bordo CD'!D$2:D$875,A746,'Base bordo CD'!A$2:A$875,B746,'Base bordo CD'!L$2:L$875,"AGUARDANDO MANOBRA DE TRANSBORDO"),0)+IFERROR(SUMIFS('Base bordo CD'!M$2:M$875,'Base bordo CD'!D$2:D$875,A746,'Base bordo CD'!A$2:A$875,B746,'Base bordo CD'!L$2:L$875,"FALTA DE TRANSBORDO"),0)</f>
        <v>0</v>
      </c>
      <c r="I746" s="10">
        <f>IFERROR(SUMIFS('Base bordo CD'!M$2:M$875,'Base bordo CD'!D$2:D$875,A746,'Base bordo CD'!A$2:A$875,B746,'Base bordo CD'!L$2:L$875,"PARADA POR CONDICOES CLIMATICAS"),0)+IFERROR(SUMIFS('Base bordo CD'!M$2:M$875,'Base bordo CD'!D$2:D$875,A746,'Base bordo CD'!A$2:A$875,B746,'Base bordo CD'!L$2:L$875,"TEMPO INDETERMINADO"),0)</f>
        <v>5.3358333333333334</v>
      </c>
      <c r="J746" s="10">
        <f>IFERROR(SUMIFS('Base bordo CD'!M$2:M$875,'Base bordo CD'!D$2:D$875,A746,'Base bordo CD'!A$2:A$875,B746,'Base bordo CD'!L$2:L$875,"LIMITAÇÃO INDÚSTRIA"),0)</f>
        <v>4.8672222222222228</v>
      </c>
      <c r="K746" s="10">
        <f>IFERROR(SUMIFS('Base bordo CD'!M$2:M$875,'Base bordo CD'!D$2:D$875,A746,'Base bordo CD'!A$2:A$875,B746,'Base bordo CD'!L$2:L$875,"MAN CORRETIVA*"),0)+IFERROR(SUMIFS('Base bordo CD'!M$2:M$875,'Base bordo CD'!D$2:D$875,A746,'Base bordo CD'!A$2:A$875,B746,'Base bordo CD'!L$2:L$875,"AGUARDANDO MANUTENCAO*"),0)+IFERROR(SUMIFS('Base bordo CD'!M$2:M$875,'Base bordo CD'!D$2:D$875,A746,'Base bordo CD'!A$2:A$875,B746,'Base bordo CD'!L$2:L$875,"TROCA DE FAQUINHA"),0)+IFERROR(SUMIFS('Base bordo CD'!M$2:M$875,'Base bordo CD'!D$2:D$875,A746,'Base bordo CD'!A$2:A$875,B746,'Base bordo CD'!L$2:L$875,"LIMPEZA*"),0)</f>
        <v>0</v>
      </c>
      <c r="L746" s="10">
        <f>IFERROR(SUMIFS('Base bordo CD'!M$2:M$875,'Base bordo CD'!D$2:D$875,A746,'Base bordo CD'!A$2:A$875,B746,'Base bordo CD'!L$2:L$875,"PATIO - RESERVA"),0)</f>
        <v>3.0319444444444441</v>
      </c>
      <c r="M746" s="10">
        <f>IFERROR(SUMIFS('Base bordo CD'!M$2:M$875,'Base bordo CD'!D$2:D$875,A746,'Base bordo CD'!A$2:A$875,B746,'Base bordo CD'!L$2:L$875,"SEM APONTAMENTO"),0)</f>
        <v>2.4722222222222222E-2</v>
      </c>
      <c r="N746" s="10">
        <f>IFERROR(SUMIFS('Base bordo CD'!M$2:M$875,'Base bordo CD'!D$2:D$875,A746,'Base bordo CD'!A$2:A$875,B746,'Base bordo CD'!L$2:L$875,"FALTA DE CAMINHÃO"),0)+IFERROR(SUMIFS('Base bordo CD'!M$2:M$875,'Base bordo CD'!D$2:D$875,A746,'Base bordo CD'!A$2:A$875,B746,'Base bordo CD'!L$2:L$875,"FALTA DE COMBUSTIVEL"),0)+IFERROR(SUMIFS('Base bordo CD'!M$2:M$875,'Base bordo CD'!D$2:D$875,A746,'Base bordo CD'!A$2:A$875,B746,'Base bordo CD'!L$2:L$875,"FALTA DE MOTORIST*"),0)</f>
        <v>0</v>
      </c>
      <c r="O746" s="10">
        <f t="shared" si="60"/>
        <v>3.4538888888888799</v>
      </c>
      <c r="P746" s="10">
        <f>IFERROR(SUMIFS('Base bordo CD'!M$2:M$875,'Base bordo CD'!D$2:D$875,A746,'Base bordo CD'!A$2:A$875,B746),0)</f>
        <v>23.999999999999993</v>
      </c>
      <c r="Q746" s="10">
        <f>IFERROR(SUMIFS('Base bordo CD'!O$2:O$875,'Base bordo CD'!D$2:D$875,A746,'Base bordo CD'!A$2:A$875,B746,'Base bordo CD'!L$2:L$875,"CORTE DE CANA MECANIZADO"),0)</f>
        <v>64702.710000000006</v>
      </c>
      <c r="R746" s="10">
        <f>IFERROR(SUMIFS('Base bordo CD'!Q$2:Q$875,'Base bordo CD'!D$2:D$875,A746,'Base bordo CD'!A$2:A$875,B746,'Base bordo CD'!L$2:L$875,"CORTE DE CANA MECANIZADO"),0)</f>
        <v>14562</v>
      </c>
      <c r="S746" s="30">
        <f t="shared" si="61"/>
        <v>4.4432571075401732</v>
      </c>
      <c r="T746" s="9">
        <f t="shared" si="62"/>
        <v>0.1685416666666667</v>
      </c>
      <c r="U746" s="9">
        <f t="shared" si="63"/>
        <v>0.12256944444444447</v>
      </c>
      <c r="V746" s="9">
        <f t="shared" si="64"/>
        <v>0.81896990740740738</v>
      </c>
    </row>
    <row r="747" spans="1:22" hidden="1" x14ac:dyDescent="0.35">
      <c r="A747" s="52">
        <v>49589</v>
      </c>
      <c r="B747" s="31">
        <v>46118</v>
      </c>
      <c r="C747" s="7" t="s">
        <v>321</v>
      </c>
      <c r="D747" s="7">
        <v>351</v>
      </c>
      <c r="E747" s="10">
        <f>IFERROR(SUMIFS('Base bordo CD'!M$2:M$875,'Base bordo CD'!D$2:D$875,A747,'Base bordo CD'!A$2:A$875,B747,'Base bordo CD'!L$2:L$875,"CORTE DE CANA MECANIZADO"),0)</f>
        <v>4.0449999999999999</v>
      </c>
      <c r="F747" s="10">
        <f>IFERROR(SUMIFS('Base bordo CD'!M$2:M$875,'Base bordo CD'!D$2:D$875,A747,'Base bordo CD'!A$2:A$875,B747,'Base bordo CD'!L$2:L$875,"MANOBRA"),0)</f>
        <v>2.9416666666666664</v>
      </c>
      <c r="G747" s="10">
        <f>IFERROR(SUMIFS('Base bordo CD'!M$2:M$875,'Base bordo CD'!D$2:D$875,A747,'Base bordo CD'!A$2:A$875,B747,'Base bordo CD'!L$2:L$875,"DESLOCAMENTO"),0)</f>
        <v>0.29972222222222222</v>
      </c>
      <c r="H747" s="10">
        <f>IFERROR(SUMIFS('Base bordo CD'!M$2:M$875,'Base bordo CD'!D$2:D$875,A747,'Base bordo CD'!A$2:A$875,B747,'Base bordo CD'!L$2:L$875,"AGUARDANDO MANOBRA DE TRANSBORDO"),0)+IFERROR(SUMIFS('Base bordo CD'!M$2:M$875,'Base bordo CD'!D$2:D$875,A747,'Base bordo CD'!A$2:A$875,B747,'Base bordo CD'!L$2:L$875,"FALTA DE TRANSBORDO"),0)</f>
        <v>0</v>
      </c>
      <c r="I747" s="10">
        <f>IFERROR(SUMIFS('Base bordo CD'!M$2:M$875,'Base bordo CD'!D$2:D$875,A747,'Base bordo CD'!A$2:A$875,B747,'Base bordo CD'!L$2:L$875,"PARADA POR CONDICOES CLIMATICAS"),0)+IFERROR(SUMIFS('Base bordo CD'!M$2:M$875,'Base bordo CD'!D$2:D$875,A747,'Base bordo CD'!A$2:A$875,B747,'Base bordo CD'!L$2:L$875,"TEMPO INDETERMINADO"),0)</f>
        <v>5.3358333333333334</v>
      </c>
      <c r="J747" s="10">
        <f>IFERROR(SUMIFS('Base bordo CD'!M$2:M$875,'Base bordo CD'!D$2:D$875,A747,'Base bordo CD'!A$2:A$875,B747,'Base bordo CD'!L$2:L$875,"LIMITAÇÃO INDÚSTRIA"),0)</f>
        <v>4.8672222222222228</v>
      </c>
      <c r="K747" s="10">
        <f>IFERROR(SUMIFS('Base bordo CD'!M$2:M$875,'Base bordo CD'!D$2:D$875,A747,'Base bordo CD'!A$2:A$875,B747,'Base bordo CD'!L$2:L$875,"MAN CORRETIVA*"),0)+IFERROR(SUMIFS('Base bordo CD'!M$2:M$875,'Base bordo CD'!D$2:D$875,A747,'Base bordo CD'!A$2:A$875,B747,'Base bordo CD'!L$2:L$875,"AGUARDANDO MANUTENCAO*"),0)+IFERROR(SUMIFS('Base bordo CD'!M$2:M$875,'Base bordo CD'!D$2:D$875,A747,'Base bordo CD'!A$2:A$875,B747,'Base bordo CD'!L$2:L$875,"TROCA DE FAQUINHA"),0)+IFERROR(SUMIFS('Base bordo CD'!M$2:M$875,'Base bordo CD'!D$2:D$875,A747,'Base bordo CD'!A$2:A$875,B747,'Base bordo CD'!L$2:L$875,"LIMPEZA*"),0)</f>
        <v>0</v>
      </c>
      <c r="L747" s="10">
        <f>IFERROR(SUMIFS('Base bordo CD'!M$2:M$875,'Base bordo CD'!D$2:D$875,A747,'Base bordo CD'!A$2:A$875,B747,'Base bordo CD'!L$2:L$875,"PATIO - RESERVA"),0)</f>
        <v>3.0319444444444441</v>
      </c>
      <c r="M747" s="10">
        <f>IFERROR(SUMIFS('Base bordo CD'!M$2:M$875,'Base bordo CD'!D$2:D$875,A747,'Base bordo CD'!A$2:A$875,B747,'Base bordo CD'!L$2:L$875,"SEM APONTAMENTO"),0)</f>
        <v>2.4722222222222222E-2</v>
      </c>
      <c r="N747" s="10">
        <f>IFERROR(SUMIFS('Base bordo CD'!M$2:M$875,'Base bordo CD'!D$2:D$875,A747,'Base bordo CD'!A$2:A$875,B747,'Base bordo CD'!L$2:L$875,"FALTA DE CAMINHÃO"),0)+IFERROR(SUMIFS('Base bordo CD'!M$2:M$875,'Base bordo CD'!D$2:D$875,A747,'Base bordo CD'!A$2:A$875,B747,'Base bordo CD'!L$2:L$875,"FALTA DE COMBUSTIVEL"),0)+IFERROR(SUMIFS('Base bordo CD'!M$2:M$875,'Base bordo CD'!D$2:D$875,A747,'Base bordo CD'!A$2:A$875,B747,'Base bordo CD'!L$2:L$875,"FALTA DE MOTORIST*"),0)</f>
        <v>0</v>
      </c>
      <c r="O747" s="10">
        <f t="shared" si="60"/>
        <v>3.4538888888888799</v>
      </c>
      <c r="P747" s="10">
        <f>IFERROR(SUMIFS('Base bordo CD'!M$2:M$875,'Base bordo CD'!D$2:D$875,A747,'Base bordo CD'!A$2:A$875,B747),0)</f>
        <v>23.999999999999993</v>
      </c>
      <c r="Q747" s="10">
        <f>IFERROR(SUMIFS('Base bordo CD'!O$2:O$875,'Base bordo CD'!D$2:D$875,A747,'Base bordo CD'!A$2:A$875,B747,'Base bordo CD'!L$2:L$875,"CORTE DE CANA MECANIZADO"),0)</f>
        <v>64702.710000000006</v>
      </c>
      <c r="R747" s="10">
        <f>IFERROR(SUMIFS('Base bordo CD'!Q$2:Q$875,'Base bordo CD'!D$2:D$875,A747,'Base bordo CD'!A$2:A$875,B747,'Base bordo CD'!L$2:L$875,"CORTE DE CANA MECANIZADO"),0)</f>
        <v>14562</v>
      </c>
      <c r="S747" s="30">
        <f t="shared" si="61"/>
        <v>4.4432571075401732</v>
      </c>
      <c r="T747" s="9">
        <f t="shared" si="62"/>
        <v>0.1685416666666667</v>
      </c>
      <c r="U747" s="9">
        <f t="shared" si="63"/>
        <v>0.12256944444444447</v>
      </c>
      <c r="V747" s="9">
        <f t="shared" si="64"/>
        <v>0.81896990740740738</v>
      </c>
    </row>
    <row r="748" spans="1:22" hidden="1" x14ac:dyDescent="0.35">
      <c r="A748" s="52">
        <v>49589</v>
      </c>
      <c r="B748" s="31">
        <v>46118</v>
      </c>
      <c r="C748" s="7" t="s">
        <v>321</v>
      </c>
      <c r="D748" s="7">
        <v>351</v>
      </c>
      <c r="E748" s="10">
        <f>IFERROR(SUMIFS('Base bordo CD'!M$2:M$875,'Base bordo CD'!D$2:D$875,A748,'Base bordo CD'!A$2:A$875,B748,'Base bordo CD'!L$2:L$875,"CORTE DE CANA MECANIZADO"),0)</f>
        <v>4.0449999999999999</v>
      </c>
      <c r="F748" s="10">
        <f>IFERROR(SUMIFS('Base bordo CD'!M$2:M$875,'Base bordo CD'!D$2:D$875,A748,'Base bordo CD'!A$2:A$875,B748,'Base bordo CD'!L$2:L$875,"MANOBRA"),0)</f>
        <v>2.9416666666666664</v>
      </c>
      <c r="G748" s="10">
        <f>IFERROR(SUMIFS('Base bordo CD'!M$2:M$875,'Base bordo CD'!D$2:D$875,A748,'Base bordo CD'!A$2:A$875,B748,'Base bordo CD'!L$2:L$875,"DESLOCAMENTO"),0)</f>
        <v>0.29972222222222222</v>
      </c>
      <c r="H748" s="10">
        <f>IFERROR(SUMIFS('Base bordo CD'!M$2:M$875,'Base bordo CD'!D$2:D$875,A748,'Base bordo CD'!A$2:A$875,B748,'Base bordo CD'!L$2:L$875,"AGUARDANDO MANOBRA DE TRANSBORDO"),0)+IFERROR(SUMIFS('Base bordo CD'!M$2:M$875,'Base bordo CD'!D$2:D$875,A748,'Base bordo CD'!A$2:A$875,B748,'Base bordo CD'!L$2:L$875,"FALTA DE TRANSBORDO"),0)</f>
        <v>0</v>
      </c>
      <c r="I748" s="10">
        <f>IFERROR(SUMIFS('Base bordo CD'!M$2:M$875,'Base bordo CD'!D$2:D$875,A748,'Base bordo CD'!A$2:A$875,B748,'Base bordo CD'!L$2:L$875,"PARADA POR CONDICOES CLIMATICAS"),0)+IFERROR(SUMIFS('Base bordo CD'!M$2:M$875,'Base bordo CD'!D$2:D$875,A748,'Base bordo CD'!A$2:A$875,B748,'Base bordo CD'!L$2:L$875,"TEMPO INDETERMINADO"),0)</f>
        <v>5.3358333333333334</v>
      </c>
      <c r="J748" s="10">
        <f>IFERROR(SUMIFS('Base bordo CD'!M$2:M$875,'Base bordo CD'!D$2:D$875,A748,'Base bordo CD'!A$2:A$875,B748,'Base bordo CD'!L$2:L$875,"LIMITAÇÃO INDÚSTRIA"),0)</f>
        <v>4.8672222222222228</v>
      </c>
      <c r="K748" s="10">
        <f>IFERROR(SUMIFS('Base bordo CD'!M$2:M$875,'Base bordo CD'!D$2:D$875,A748,'Base bordo CD'!A$2:A$875,B748,'Base bordo CD'!L$2:L$875,"MAN CORRETIVA*"),0)+IFERROR(SUMIFS('Base bordo CD'!M$2:M$875,'Base bordo CD'!D$2:D$875,A748,'Base bordo CD'!A$2:A$875,B748,'Base bordo CD'!L$2:L$875,"AGUARDANDO MANUTENCAO*"),0)+IFERROR(SUMIFS('Base bordo CD'!M$2:M$875,'Base bordo CD'!D$2:D$875,A748,'Base bordo CD'!A$2:A$875,B748,'Base bordo CD'!L$2:L$875,"TROCA DE FAQUINHA"),0)+IFERROR(SUMIFS('Base bordo CD'!M$2:M$875,'Base bordo CD'!D$2:D$875,A748,'Base bordo CD'!A$2:A$875,B748,'Base bordo CD'!L$2:L$875,"LIMPEZA*"),0)</f>
        <v>0</v>
      </c>
      <c r="L748" s="10">
        <f>IFERROR(SUMIFS('Base bordo CD'!M$2:M$875,'Base bordo CD'!D$2:D$875,A748,'Base bordo CD'!A$2:A$875,B748,'Base bordo CD'!L$2:L$875,"PATIO - RESERVA"),0)</f>
        <v>3.0319444444444441</v>
      </c>
      <c r="M748" s="10">
        <f>IFERROR(SUMIFS('Base bordo CD'!M$2:M$875,'Base bordo CD'!D$2:D$875,A748,'Base bordo CD'!A$2:A$875,B748,'Base bordo CD'!L$2:L$875,"SEM APONTAMENTO"),0)</f>
        <v>2.4722222222222222E-2</v>
      </c>
      <c r="N748" s="10">
        <f>IFERROR(SUMIFS('Base bordo CD'!M$2:M$875,'Base bordo CD'!D$2:D$875,A748,'Base bordo CD'!A$2:A$875,B748,'Base bordo CD'!L$2:L$875,"FALTA DE CAMINHÃO"),0)+IFERROR(SUMIFS('Base bordo CD'!M$2:M$875,'Base bordo CD'!D$2:D$875,A748,'Base bordo CD'!A$2:A$875,B748,'Base bordo CD'!L$2:L$875,"FALTA DE COMBUSTIVEL"),0)+IFERROR(SUMIFS('Base bordo CD'!M$2:M$875,'Base bordo CD'!D$2:D$875,A748,'Base bordo CD'!A$2:A$875,B748,'Base bordo CD'!L$2:L$875,"FALTA DE MOTORIST*"),0)</f>
        <v>0</v>
      </c>
      <c r="O748" s="10">
        <f t="shared" si="60"/>
        <v>3.4538888888888799</v>
      </c>
      <c r="P748" s="10">
        <f>IFERROR(SUMIFS('Base bordo CD'!M$2:M$875,'Base bordo CD'!D$2:D$875,A748,'Base bordo CD'!A$2:A$875,B748),0)</f>
        <v>23.999999999999993</v>
      </c>
      <c r="Q748" s="10">
        <f>IFERROR(SUMIFS('Base bordo CD'!O$2:O$875,'Base bordo CD'!D$2:D$875,A748,'Base bordo CD'!A$2:A$875,B748,'Base bordo CD'!L$2:L$875,"CORTE DE CANA MECANIZADO"),0)</f>
        <v>64702.710000000006</v>
      </c>
      <c r="R748" s="10">
        <f>IFERROR(SUMIFS('Base bordo CD'!Q$2:Q$875,'Base bordo CD'!D$2:D$875,A748,'Base bordo CD'!A$2:A$875,B748,'Base bordo CD'!L$2:L$875,"CORTE DE CANA MECANIZADO"),0)</f>
        <v>14562</v>
      </c>
      <c r="S748" s="30">
        <f t="shared" si="61"/>
        <v>4.4432571075401732</v>
      </c>
      <c r="T748" s="9">
        <f t="shared" si="62"/>
        <v>0.1685416666666667</v>
      </c>
      <c r="U748" s="9">
        <f t="shared" si="63"/>
        <v>0.12256944444444447</v>
      </c>
      <c r="V748" s="9">
        <f t="shared" si="64"/>
        <v>0.81896990740740738</v>
      </c>
    </row>
    <row r="749" spans="1:22" hidden="1" x14ac:dyDescent="0.35">
      <c r="A749" s="52">
        <v>49589</v>
      </c>
      <c r="B749" s="31">
        <v>46118</v>
      </c>
      <c r="C749" s="7" t="s">
        <v>321</v>
      </c>
      <c r="D749" s="7">
        <v>351</v>
      </c>
      <c r="E749" s="10">
        <f>IFERROR(SUMIFS('Base bordo CD'!M$2:M$875,'Base bordo CD'!D$2:D$875,A749,'Base bordo CD'!A$2:A$875,B749,'Base bordo CD'!L$2:L$875,"CORTE DE CANA MECANIZADO"),0)</f>
        <v>4.0449999999999999</v>
      </c>
      <c r="F749" s="10">
        <f>IFERROR(SUMIFS('Base bordo CD'!M$2:M$875,'Base bordo CD'!D$2:D$875,A749,'Base bordo CD'!A$2:A$875,B749,'Base bordo CD'!L$2:L$875,"MANOBRA"),0)</f>
        <v>2.9416666666666664</v>
      </c>
      <c r="G749" s="10">
        <f>IFERROR(SUMIFS('Base bordo CD'!M$2:M$875,'Base bordo CD'!D$2:D$875,A749,'Base bordo CD'!A$2:A$875,B749,'Base bordo CD'!L$2:L$875,"DESLOCAMENTO"),0)</f>
        <v>0.29972222222222222</v>
      </c>
      <c r="H749" s="10">
        <f>IFERROR(SUMIFS('Base bordo CD'!M$2:M$875,'Base bordo CD'!D$2:D$875,A749,'Base bordo CD'!A$2:A$875,B749,'Base bordo CD'!L$2:L$875,"AGUARDANDO MANOBRA DE TRANSBORDO"),0)+IFERROR(SUMIFS('Base bordo CD'!M$2:M$875,'Base bordo CD'!D$2:D$875,A749,'Base bordo CD'!A$2:A$875,B749,'Base bordo CD'!L$2:L$875,"FALTA DE TRANSBORDO"),0)</f>
        <v>0</v>
      </c>
      <c r="I749" s="10">
        <f>IFERROR(SUMIFS('Base bordo CD'!M$2:M$875,'Base bordo CD'!D$2:D$875,A749,'Base bordo CD'!A$2:A$875,B749,'Base bordo CD'!L$2:L$875,"PARADA POR CONDICOES CLIMATICAS"),0)+IFERROR(SUMIFS('Base bordo CD'!M$2:M$875,'Base bordo CD'!D$2:D$875,A749,'Base bordo CD'!A$2:A$875,B749,'Base bordo CD'!L$2:L$875,"TEMPO INDETERMINADO"),0)</f>
        <v>5.3358333333333334</v>
      </c>
      <c r="J749" s="10">
        <f>IFERROR(SUMIFS('Base bordo CD'!M$2:M$875,'Base bordo CD'!D$2:D$875,A749,'Base bordo CD'!A$2:A$875,B749,'Base bordo CD'!L$2:L$875,"LIMITAÇÃO INDÚSTRIA"),0)</f>
        <v>4.8672222222222228</v>
      </c>
      <c r="K749" s="10">
        <f>IFERROR(SUMIFS('Base bordo CD'!M$2:M$875,'Base bordo CD'!D$2:D$875,A749,'Base bordo CD'!A$2:A$875,B749,'Base bordo CD'!L$2:L$875,"MAN CORRETIVA*"),0)+IFERROR(SUMIFS('Base bordo CD'!M$2:M$875,'Base bordo CD'!D$2:D$875,A749,'Base bordo CD'!A$2:A$875,B749,'Base bordo CD'!L$2:L$875,"AGUARDANDO MANUTENCAO*"),0)+IFERROR(SUMIFS('Base bordo CD'!M$2:M$875,'Base bordo CD'!D$2:D$875,A749,'Base bordo CD'!A$2:A$875,B749,'Base bordo CD'!L$2:L$875,"TROCA DE FAQUINHA"),0)+IFERROR(SUMIFS('Base bordo CD'!M$2:M$875,'Base bordo CD'!D$2:D$875,A749,'Base bordo CD'!A$2:A$875,B749,'Base bordo CD'!L$2:L$875,"LIMPEZA*"),0)</f>
        <v>0</v>
      </c>
      <c r="L749" s="10">
        <f>IFERROR(SUMIFS('Base bordo CD'!M$2:M$875,'Base bordo CD'!D$2:D$875,A749,'Base bordo CD'!A$2:A$875,B749,'Base bordo CD'!L$2:L$875,"PATIO - RESERVA"),0)</f>
        <v>3.0319444444444441</v>
      </c>
      <c r="M749" s="10">
        <f>IFERROR(SUMIFS('Base bordo CD'!M$2:M$875,'Base bordo CD'!D$2:D$875,A749,'Base bordo CD'!A$2:A$875,B749,'Base bordo CD'!L$2:L$875,"SEM APONTAMENTO"),0)</f>
        <v>2.4722222222222222E-2</v>
      </c>
      <c r="N749" s="10">
        <f>IFERROR(SUMIFS('Base bordo CD'!M$2:M$875,'Base bordo CD'!D$2:D$875,A749,'Base bordo CD'!A$2:A$875,B749,'Base bordo CD'!L$2:L$875,"FALTA DE CAMINHÃO"),0)+IFERROR(SUMIFS('Base bordo CD'!M$2:M$875,'Base bordo CD'!D$2:D$875,A749,'Base bordo CD'!A$2:A$875,B749,'Base bordo CD'!L$2:L$875,"FALTA DE COMBUSTIVEL"),0)+IFERROR(SUMIFS('Base bordo CD'!M$2:M$875,'Base bordo CD'!D$2:D$875,A749,'Base bordo CD'!A$2:A$875,B749,'Base bordo CD'!L$2:L$875,"FALTA DE MOTORIST*"),0)</f>
        <v>0</v>
      </c>
      <c r="O749" s="10">
        <f t="shared" si="60"/>
        <v>3.4538888888888799</v>
      </c>
      <c r="P749" s="10">
        <f>IFERROR(SUMIFS('Base bordo CD'!M$2:M$875,'Base bordo CD'!D$2:D$875,A749,'Base bordo CD'!A$2:A$875,B749),0)</f>
        <v>23.999999999999993</v>
      </c>
      <c r="Q749" s="10">
        <f>IFERROR(SUMIFS('Base bordo CD'!O$2:O$875,'Base bordo CD'!D$2:D$875,A749,'Base bordo CD'!A$2:A$875,B749,'Base bordo CD'!L$2:L$875,"CORTE DE CANA MECANIZADO"),0)</f>
        <v>64702.710000000006</v>
      </c>
      <c r="R749" s="10">
        <f>IFERROR(SUMIFS('Base bordo CD'!Q$2:Q$875,'Base bordo CD'!D$2:D$875,A749,'Base bordo CD'!A$2:A$875,B749,'Base bordo CD'!L$2:L$875,"CORTE DE CANA MECANIZADO"),0)</f>
        <v>14562</v>
      </c>
      <c r="S749" s="30">
        <f t="shared" si="61"/>
        <v>4.4432571075401732</v>
      </c>
      <c r="T749" s="9">
        <f t="shared" si="62"/>
        <v>0.1685416666666667</v>
      </c>
      <c r="U749" s="9">
        <f t="shared" si="63"/>
        <v>0.12256944444444447</v>
      </c>
      <c r="V749" s="9">
        <f t="shared" si="64"/>
        <v>0.81896990740740738</v>
      </c>
    </row>
    <row r="750" spans="1:22" hidden="1" x14ac:dyDescent="0.35">
      <c r="A750" s="52">
        <v>49589</v>
      </c>
      <c r="B750" s="31">
        <v>46118</v>
      </c>
      <c r="C750" s="7" t="s">
        <v>321</v>
      </c>
      <c r="D750" s="7">
        <v>351</v>
      </c>
      <c r="E750" s="10">
        <f>IFERROR(SUMIFS('Base bordo CD'!M$2:M$875,'Base bordo CD'!D$2:D$875,A750,'Base bordo CD'!A$2:A$875,B750,'Base bordo CD'!L$2:L$875,"CORTE DE CANA MECANIZADO"),0)</f>
        <v>4.0449999999999999</v>
      </c>
      <c r="F750" s="10">
        <f>IFERROR(SUMIFS('Base bordo CD'!M$2:M$875,'Base bordo CD'!D$2:D$875,A750,'Base bordo CD'!A$2:A$875,B750,'Base bordo CD'!L$2:L$875,"MANOBRA"),0)</f>
        <v>2.9416666666666664</v>
      </c>
      <c r="G750" s="10">
        <f>IFERROR(SUMIFS('Base bordo CD'!M$2:M$875,'Base bordo CD'!D$2:D$875,A750,'Base bordo CD'!A$2:A$875,B750,'Base bordo CD'!L$2:L$875,"DESLOCAMENTO"),0)</f>
        <v>0.29972222222222222</v>
      </c>
      <c r="H750" s="10">
        <f>IFERROR(SUMIFS('Base bordo CD'!M$2:M$875,'Base bordo CD'!D$2:D$875,A750,'Base bordo CD'!A$2:A$875,B750,'Base bordo CD'!L$2:L$875,"AGUARDANDO MANOBRA DE TRANSBORDO"),0)+IFERROR(SUMIFS('Base bordo CD'!M$2:M$875,'Base bordo CD'!D$2:D$875,A750,'Base bordo CD'!A$2:A$875,B750,'Base bordo CD'!L$2:L$875,"FALTA DE TRANSBORDO"),0)</f>
        <v>0</v>
      </c>
      <c r="I750" s="10">
        <f>IFERROR(SUMIFS('Base bordo CD'!M$2:M$875,'Base bordo CD'!D$2:D$875,A750,'Base bordo CD'!A$2:A$875,B750,'Base bordo CD'!L$2:L$875,"PARADA POR CONDICOES CLIMATICAS"),0)+IFERROR(SUMIFS('Base bordo CD'!M$2:M$875,'Base bordo CD'!D$2:D$875,A750,'Base bordo CD'!A$2:A$875,B750,'Base bordo CD'!L$2:L$875,"TEMPO INDETERMINADO"),0)</f>
        <v>5.3358333333333334</v>
      </c>
      <c r="J750" s="10">
        <f>IFERROR(SUMIFS('Base bordo CD'!M$2:M$875,'Base bordo CD'!D$2:D$875,A750,'Base bordo CD'!A$2:A$875,B750,'Base bordo CD'!L$2:L$875,"LIMITAÇÃO INDÚSTRIA"),0)</f>
        <v>4.8672222222222228</v>
      </c>
      <c r="K750" s="10">
        <f>IFERROR(SUMIFS('Base bordo CD'!M$2:M$875,'Base bordo CD'!D$2:D$875,A750,'Base bordo CD'!A$2:A$875,B750,'Base bordo CD'!L$2:L$875,"MAN CORRETIVA*"),0)+IFERROR(SUMIFS('Base bordo CD'!M$2:M$875,'Base bordo CD'!D$2:D$875,A750,'Base bordo CD'!A$2:A$875,B750,'Base bordo CD'!L$2:L$875,"AGUARDANDO MANUTENCAO*"),0)+IFERROR(SUMIFS('Base bordo CD'!M$2:M$875,'Base bordo CD'!D$2:D$875,A750,'Base bordo CD'!A$2:A$875,B750,'Base bordo CD'!L$2:L$875,"TROCA DE FAQUINHA"),0)+IFERROR(SUMIFS('Base bordo CD'!M$2:M$875,'Base bordo CD'!D$2:D$875,A750,'Base bordo CD'!A$2:A$875,B750,'Base bordo CD'!L$2:L$875,"LIMPEZA*"),0)</f>
        <v>0</v>
      </c>
      <c r="L750" s="10">
        <f>IFERROR(SUMIFS('Base bordo CD'!M$2:M$875,'Base bordo CD'!D$2:D$875,A750,'Base bordo CD'!A$2:A$875,B750,'Base bordo CD'!L$2:L$875,"PATIO - RESERVA"),0)</f>
        <v>3.0319444444444441</v>
      </c>
      <c r="M750" s="10">
        <f>IFERROR(SUMIFS('Base bordo CD'!M$2:M$875,'Base bordo CD'!D$2:D$875,A750,'Base bordo CD'!A$2:A$875,B750,'Base bordo CD'!L$2:L$875,"SEM APONTAMENTO"),0)</f>
        <v>2.4722222222222222E-2</v>
      </c>
      <c r="N750" s="10">
        <f>IFERROR(SUMIFS('Base bordo CD'!M$2:M$875,'Base bordo CD'!D$2:D$875,A750,'Base bordo CD'!A$2:A$875,B750,'Base bordo CD'!L$2:L$875,"FALTA DE CAMINHÃO"),0)+IFERROR(SUMIFS('Base bordo CD'!M$2:M$875,'Base bordo CD'!D$2:D$875,A750,'Base bordo CD'!A$2:A$875,B750,'Base bordo CD'!L$2:L$875,"FALTA DE COMBUSTIVEL"),0)+IFERROR(SUMIFS('Base bordo CD'!M$2:M$875,'Base bordo CD'!D$2:D$875,A750,'Base bordo CD'!A$2:A$875,B750,'Base bordo CD'!L$2:L$875,"FALTA DE MOTORIST*"),0)</f>
        <v>0</v>
      </c>
      <c r="O750" s="10">
        <f t="shared" si="60"/>
        <v>3.4538888888888799</v>
      </c>
      <c r="P750" s="10">
        <f>IFERROR(SUMIFS('Base bordo CD'!M$2:M$875,'Base bordo CD'!D$2:D$875,A750,'Base bordo CD'!A$2:A$875,B750),0)</f>
        <v>23.999999999999993</v>
      </c>
      <c r="Q750" s="10">
        <f>IFERROR(SUMIFS('Base bordo CD'!O$2:O$875,'Base bordo CD'!D$2:D$875,A750,'Base bordo CD'!A$2:A$875,B750,'Base bordo CD'!L$2:L$875,"CORTE DE CANA MECANIZADO"),0)</f>
        <v>64702.710000000006</v>
      </c>
      <c r="R750" s="10">
        <f>IFERROR(SUMIFS('Base bordo CD'!Q$2:Q$875,'Base bordo CD'!D$2:D$875,A750,'Base bordo CD'!A$2:A$875,B750,'Base bordo CD'!L$2:L$875,"CORTE DE CANA MECANIZADO"),0)</f>
        <v>14562</v>
      </c>
      <c r="S750" s="30">
        <f t="shared" si="61"/>
        <v>4.4432571075401732</v>
      </c>
      <c r="T750" s="9">
        <f t="shared" si="62"/>
        <v>0.1685416666666667</v>
      </c>
      <c r="U750" s="9">
        <f t="shared" si="63"/>
        <v>0.12256944444444447</v>
      </c>
      <c r="V750" s="9">
        <f t="shared" si="64"/>
        <v>0.81896990740740738</v>
      </c>
    </row>
    <row r="751" spans="1:22" hidden="1" x14ac:dyDescent="0.35">
      <c r="A751" s="52">
        <v>49589</v>
      </c>
      <c r="B751" s="31">
        <v>46118</v>
      </c>
      <c r="C751" s="7" t="s">
        <v>321</v>
      </c>
      <c r="D751" s="7">
        <v>351</v>
      </c>
      <c r="E751" s="10">
        <f>IFERROR(SUMIFS('Base bordo CD'!M$2:M$875,'Base bordo CD'!D$2:D$875,A751,'Base bordo CD'!A$2:A$875,B751,'Base bordo CD'!L$2:L$875,"CORTE DE CANA MECANIZADO"),0)</f>
        <v>4.0449999999999999</v>
      </c>
      <c r="F751" s="10">
        <f>IFERROR(SUMIFS('Base bordo CD'!M$2:M$875,'Base bordo CD'!D$2:D$875,A751,'Base bordo CD'!A$2:A$875,B751,'Base bordo CD'!L$2:L$875,"MANOBRA"),0)</f>
        <v>2.9416666666666664</v>
      </c>
      <c r="G751" s="10">
        <f>IFERROR(SUMIFS('Base bordo CD'!M$2:M$875,'Base bordo CD'!D$2:D$875,A751,'Base bordo CD'!A$2:A$875,B751,'Base bordo CD'!L$2:L$875,"DESLOCAMENTO"),0)</f>
        <v>0.29972222222222222</v>
      </c>
      <c r="H751" s="10">
        <f>IFERROR(SUMIFS('Base bordo CD'!M$2:M$875,'Base bordo CD'!D$2:D$875,A751,'Base bordo CD'!A$2:A$875,B751,'Base bordo CD'!L$2:L$875,"AGUARDANDO MANOBRA DE TRANSBORDO"),0)+IFERROR(SUMIFS('Base bordo CD'!M$2:M$875,'Base bordo CD'!D$2:D$875,A751,'Base bordo CD'!A$2:A$875,B751,'Base bordo CD'!L$2:L$875,"FALTA DE TRANSBORDO"),0)</f>
        <v>0</v>
      </c>
      <c r="I751" s="10">
        <f>IFERROR(SUMIFS('Base bordo CD'!M$2:M$875,'Base bordo CD'!D$2:D$875,A751,'Base bordo CD'!A$2:A$875,B751,'Base bordo CD'!L$2:L$875,"PARADA POR CONDICOES CLIMATICAS"),0)+IFERROR(SUMIFS('Base bordo CD'!M$2:M$875,'Base bordo CD'!D$2:D$875,A751,'Base bordo CD'!A$2:A$875,B751,'Base bordo CD'!L$2:L$875,"TEMPO INDETERMINADO"),0)</f>
        <v>5.3358333333333334</v>
      </c>
      <c r="J751" s="10">
        <f>IFERROR(SUMIFS('Base bordo CD'!M$2:M$875,'Base bordo CD'!D$2:D$875,A751,'Base bordo CD'!A$2:A$875,B751,'Base bordo CD'!L$2:L$875,"LIMITAÇÃO INDÚSTRIA"),0)</f>
        <v>4.8672222222222228</v>
      </c>
      <c r="K751" s="10">
        <f>IFERROR(SUMIFS('Base bordo CD'!M$2:M$875,'Base bordo CD'!D$2:D$875,A751,'Base bordo CD'!A$2:A$875,B751,'Base bordo CD'!L$2:L$875,"MAN CORRETIVA*"),0)+IFERROR(SUMIFS('Base bordo CD'!M$2:M$875,'Base bordo CD'!D$2:D$875,A751,'Base bordo CD'!A$2:A$875,B751,'Base bordo CD'!L$2:L$875,"AGUARDANDO MANUTENCAO*"),0)+IFERROR(SUMIFS('Base bordo CD'!M$2:M$875,'Base bordo CD'!D$2:D$875,A751,'Base bordo CD'!A$2:A$875,B751,'Base bordo CD'!L$2:L$875,"TROCA DE FAQUINHA"),0)+IFERROR(SUMIFS('Base bordo CD'!M$2:M$875,'Base bordo CD'!D$2:D$875,A751,'Base bordo CD'!A$2:A$875,B751,'Base bordo CD'!L$2:L$875,"LIMPEZA*"),0)</f>
        <v>0</v>
      </c>
      <c r="L751" s="10">
        <f>IFERROR(SUMIFS('Base bordo CD'!M$2:M$875,'Base bordo CD'!D$2:D$875,A751,'Base bordo CD'!A$2:A$875,B751,'Base bordo CD'!L$2:L$875,"PATIO - RESERVA"),0)</f>
        <v>3.0319444444444441</v>
      </c>
      <c r="M751" s="10">
        <f>IFERROR(SUMIFS('Base bordo CD'!M$2:M$875,'Base bordo CD'!D$2:D$875,A751,'Base bordo CD'!A$2:A$875,B751,'Base bordo CD'!L$2:L$875,"SEM APONTAMENTO"),0)</f>
        <v>2.4722222222222222E-2</v>
      </c>
      <c r="N751" s="10">
        <f>IFERROR(SUMIFS('Base bordo CD'!M$2:M$875,'Base bordo CD'!D$2:D$875,A751,'Base bordo CD'!A$2:A$875,B751,'Base bordo CD'!L$2:L$875,"FALTA DE CAMINHÃO"),0)+IFERROR(SUMIFS('Base bordo CD'!M$2:M$875,'Base bordo CD'!D$2:D$875,A751,'Base bordo CD'!A$2:A$875,B751,'Base bordo CD'!L$2:L$875,"FALTA DE COMBUSTIVEL"),0)+IFERROR(SUMIFS('Base bordo CD'!M$2:M$875,'Base bordo CD'!D$2:D$875,A751,'Base bordo CD'!A$2:A$875,B751,'Base bordo CD'!L$2:L$875,"FALTA DE MOTORIST*"),0)</f>
        <v>0</v>
      </c>
      <c r="O751" s="10">
        <f t="shared" si="60"/>
        <v>3.4538888888888799</v>
      </c>
      <c r="P751" s="10">
        <f>IFERROR(SUMIFS('Base bordo CD'!M$2:M$875,'Base bordo CD'!D$2:D$875,A751,'Base bordo CD'!A$2:A$875,B751),0)</f>
        <v>23.999999999999993</v>
      </c>
      <c r="Q751" s="10">
        <f>IFERROR(SUMIFS('Base bordo CD'!O$2:O$875,'Base bordo CD'!D$2:D$875,A751,'Base bordo CD'!A$2:A$875,B751,'Base bordo CD'!L$2:L$875,"CORTE DE CANA MECANIZADO"),0)</f>
        <v>64702.710000000006</v>
      </c>
      <c r="R751" s="10">
        <f>IFERROR(SUMIFS('Base bordo CD'!Q$2:Q$875,'Base bordo CD'!D$2:D$875,A751,'Base bordo CD'!A$2:A$875,B751,'Base bordo CD'!L$2:L$875,"CORTE DE CANA MECANIZADO"),0)</f>
        <v>14562</v>
      </c>
      <c r="S751" s="30">
        <f t="shared" si="61"/>
        <v>4.4432571075401732</v>
      </c>
      <c r="T751" s="9">
        <f t="shared" si="62"/>
        <v>0.1685416666666667</v>
      </c>
      <c r="U751" s="9">
        <f t="shared" si="63"/>
        <v>0.12256944444444447</v>
      </c>
      <c r="V751" s="9">
        <f t="shared" si="64"/>
        <v>0.81896990740740738</v>
      </c>
    </row>
    <row r="752" spans="1:22" hidden="1" x14ac:dyDescent="0.35">
      <c r="A752" s="52">
        <v>49589</v>
      </c>
      <c r="B752" s="31">
        <v>46118</v>
      </c>
      <c r="C752" s="7" t="s">
        <v>321</v>
      </c>
      <c r="D752" s="7">
        <v>351</v>
      </c>
      <c r="E752" s="10">
        <f>IFERROR(SUMIFS('Base bordo CD'!M$2:M$875,'Base bordo CD'!D$2:D$875,A752,'Base bordo CD'!A$2:A$875,B752,'Base bordo CD'!L$2:L$875,"CORTE DE CANA MECANIZADO"),0)</f>
        <v>4.0449999999999999</v>
      </c>
      <c r="F752" s="10">
        <f>IFERROR(SUMIFS('Base bordo CD'!M$2:M$875,'Base bordo CD'!D$2:D$875,A752,'Base bordo CD'!A$2:A$875,B752,'Base bordo CD'!L$2:L$875,"MANOBRA"),0)</f>
        <v>2.9416666666666664</v>
      </c>
      <c r="G752" s="10">
        <f>IFERROR(SUMIFS('Base bordo CD'!M$2:M$875,'Base bordo CD'!D$2:D$875,A752,'Base bordo CD'!A$2:A$875,B752,'Base bordo CD'!L$2:L$875,"DESLOCAMENTO"),0)</f>
        <v>0.29972222222222222</v>
      </c>
      <c r="H752" s="10">
        <f>IFERROR(SUMIFS('Base bordo CD'!M$2:M$875,'Base bordo CD'!D$2:D$875,A752,'Base bordo CD'!A$2:A$875,B752,'Base bordo CD'!L$2:L$875,"AGUARDANDO MANOBRA DE TRANSBORDO"),0)+IFERROR(SUMIFS('Base bordo CD'!M$2:M$875,'Base bordo CD'!D$2:D$875,A752,'Base bordo CD'!A$2:A$875,B752,'Base bordo CD'!L$2:L$875,"FALTA DE TRANSBORDO"),0)</f>
        <v>0</v>
      </c>
      <c r="I752" s="10">
        <f>IFERROR(SUMIFS('Base bordo CD'!M$2:M$875,'Base bordo CD'!D$2:D$875,A752,'Base bordo CD'!A$2:A$875,B752,'Base bordo CD'!L$2:L$875,"PARADA POR CONDICOES CLIMATICAS"),0)+IFERROR(SUMIFS('Base bordo CD'!M$2:M$875,'Base bordo CD'!D$2:D$875,A752,'Base bordo CD'!A$2:A$875,B752,'Base bordo CD'!L$2:L$875,"TEMPO INDETERMINADO"),0)</f>
        <v>5.3358333333333334</v>
      </c>
      <c r="J752" s="10">
        <f>IFERROR(SUMIFS('Base bordo CD'!M$2:M$875,'Base bordo CD'!D$2:D$875,A752,'Base bordo CD'!A$2:A$875,B752,'Base bordo CD'!L$2:L$875,"LIMITAÇÃO INDÚSTRIA"),0)</f>
        <v>4.8672222222222228</v>
      </c>
      <c r="K752" s="10">
        <f>IFERROR(SUMIFS('Base bordo CD'!M$2:M$875,'Base bordo CD'!D$2:D$875,A752,'Base bordo CD'!A$2:A$875,B752,'Base bordo CD'!L$2:L$875,"MAN CORRETIVA*"),0)+IFERROR(SUMIFS('Base bordo CD'!M$2:M$875,'Base bordo CD'!D$2:D$875,A752,'Base bordo CD'!A$2:A$875,B752,'Base bordo CD'!L$2:L$875,"AGUARDANDO MANUTENCAO*"),0)+IFERROR(SUMIFS('Base bordo CD'!M$2:M$875,'Base bordo CD'!D$2:D$875,A752,'Base bordo CD'!A$2:A$875,B752,'Base bordo CD'!L$2:L$875,"TROCA DE FAQUINHA"),0)+IFERROR(SUMIFS('Base bordo CD'!M$2:M$875,'Base bordo CD'!D$2:D$875,A752,'Base bordo CD'!A$2:A$875,B752,'Base bordo CD'!L$2:L$875,"LIMPEZA*"),0)</f>
        <v>0</v>
      </c>
      <c r="L752" s="10">
        <f>IFERROR(SUMIFS('Base bordo CD'!M$2:M$875,'Base bordo CD'!D$2:D$875,A752,'Base bordo CD'!A$2:A$875,B752,'Base bordo CD'!L$2:L$875,"PATIO - RESERVA"),0)</f>
        <v>3.0319444444444441</v>
      </c>
      <c r="M752" s="10">
        <f>IFERROR(SUMIFS('Base bordo CD'!M$2:M$875,'Base bordo CD'!D$2:D$875,A752,'Base bordo CD'!A$2:A$875,B752,'Base bordo CD'!L$2:L$875,"SEM APONTAMENTO"),0)</f>
        <v>2.4722222222222222E-2</v>
      </c>
      <c r="N752" s="10">
        <f>IFERROR(SUMIFS('Base bordo CD'!M$2:M$875,'Base bordo CD'!D$2:D$875,A752,'Base bordo CD'!A$2:A$875,B752,'Base bordo CD'!L$2:L$875,"FALTA DE CAMINHÃO"),0)+IFERROR(SUMIFS('Base bordo CD'!M$2:M$875,'Base bordo CD'!D$2:D$875,A752,'Base bordo CD'!A$2:A$875,B752,'Base bordo CD'!L$2:L$875,"FALTA DE COMBUSTIVEL"),0)+IFERROR(SUMIFS('Base bordo CD'!M$2:M$875,'Base bordo CD'!D$2:D$875,A752,'Base bordo CD'!A$2:A$875,B752,'Base bordo CD'!L$2:L$875,"FALTA DE MOTORIST*"),0)</f>
        <v>0</v>
      </c>
      <c r="O752" s="10">
        <f t="shared" si="60"/>
        <v>3.4538888888888799</v>
      </c>
      <c r="P752" s="10">
        <f>IFERROR(SUMIFS('Base bordo CD'!M$2:M$875,'Base bordo CD'!D$2:D$875,A752,'Base bordo CD'!A$2:A$875,B752),0)</f>
        <v>23.999999999999993</v>
      </c>
      <c r="Q752" s="10">
        <f>IFERROR(SUMIFS('Base bordo CD'!O$2:O$875,'Base bordo CD'!D$2:D$875,A752,'Base bordo CD'!A$2:A$875,B752,'Base bordo CD'!L$2:L$875,"CORTE DE CANA MECANIZADO"),0)</f>
        <v>64702.710000000006</v>
      </c>
      <c r="R752" s="10">
        <f>IFERROR(SUMIFS('Base bordo CD'!Q$2:Q$875,'Base bordo CD'!D$2:D$875,A752,'Base bordo CD'!A$2:A$875,B752,'Base bordo CD'!L$2:L$875,"CORTE DE CANA MECANIZADO"),0)</f>
        <v>14562</v>
      </c>
      <c r="S752" s="30">
        <f t="shared" si="61"/>
        <v>4.4432571075401732</v>
      </c>
      <c r="T752" s="9">
        <f t="shared" si="62"/>
        <v>0.1685416666666667</v>
      </c>
      <c r="U752" s="9">
        <f t="shared" si="63"/>
        <v>0.12256944444444447</v>
      </c>
      <c r="V752" s="9">
        <f t="shared" si="64"/>
        <v>0.81896990740740738</v>
      </c>
    </row>
    <row r="753" spans="1:22" hidden="1" x14ac:dyDescent="0.35">
      <c r="A753" s="52">
        <v>49589</v>
      </c>
      <c r="B753" s="31">
        <v>46118</v>
      </c>
      <c r="C753" s="7" t="s">
        <v>321</v>
      </c>
      <c r="D753" s="7">
        <v>351</v>
      </c>
      <c r="E753" s="10">
        <f>IFERROR(SUMIFS('Base bordo CD'!M$2:M$875,'Base bordo CD'!D$2:D$875,A753,'Base bordo CD'!A$2:A$875,B753,'Base bordo CD'!L$2:L$875,"CORTE DE CANA MECANIZADO"),0)</f>
        <v>4.0449999999999999</v>
      </c>
      <c r="F753" s="10">
        <f>IFERROR(SUMIFS('Base bordo CD'!M$2:M$875,'Base bordo CD'!D$2:D$875,A753,'Base bordo CD'!A$2:A$875,B753,'Base bordo CD'!L$2:L$875,"MANOBRA"),0)</f>
        <v>2.9416666666666664</v>
      </c>
      <c r="G753" s="10">
        <f>IFERROR(SUMIFS('Base bordo CD'!M$2:M$875,'Base bordo CD'!D$2:D$875,A753,'Base bordo CD'!A$2:A$875,B753,'Base bordo CD'!L$2:L$875,"DESLOCAMENTO"),0)</f>
        <v>0.29972222222222222</v>
      </c>
      <c r="H753" s="10">
        <f>IFERROR(SUMIFS('Base bordo CD'!M$2:M$875,'Base bordo CD'!D$2:D$875,A753,'Base bordo CD'!A$2:A$875,B753,'Base bordo CD'!L$2:L$875,"AGUARDANDO MANOBRA DE TRANSBORDO"),0)+IFERROR(SUMIFS('Base bordo CD'!M$2:M$875,'Base bordo CD'!D$2:D$875,A753,'Base bordo CD'!A$2:A$875,B753,'Base bordo CD'!L$2:L$875,"FALTA DE TRANSBORDO"),0)</f>
        <v>0</v>
      </c>
      <c r="I753" s="10">
        <f>IFERROR(SUMIFS('Base bordo CD'!M$2:M$875,'Base bordo CD'!D$2:D$875,A753,'Base bordo CD'!A$2:A$875,B753,'Base bordo CD'!L$2:L$875,"PARADA POR CONDICOES CLIMATICAS"),0)+IFERROR(SUMIFS('Base bordo CD'!M$2:M$875,'Base bordo CD'!D$2:D$875,A753,'Base bordo CD'!A$2:A$875,B753,'Base bordo CD'!L$2:L$875,"TEMPO INDETERMINADO"),0)</f>
        <v>5.3358333333333334</v>
      </c>
      <c r="J753" s="10">
        <f>IFERROR(SUMIFS('Base bordo CD'!M$2:M$875,'Base bordo CD'!D$2:D$875,A753,'Base bordo CD'!A$2:A$875,B753,'Base bordo CD'!L$2:L$875,"LIMITAÇÃO INDÚSTRIA"),0)</f>
        <v>4.8672222222222228</v>
      </c>
      <c r="K753" s="10">
        <f>IFERROR(SUMIFS('Base bordo CD'!M$2:M$875,'Base bordo CD'!D$2:D$875,A753,'Base bordo CD'!A$2:A$875,B753,'Base bordo CD'!L$2:L$875,"MAN CORRETIVA*"),0)+IFERROR(SUMIFS('Base bordo CD'!M$2:M$875,'Base bordo CD'!D$2:D$875,A753,'Base bordo CD'!A$2:A$875,B753,'Base bordo CD'!L$2:L$875,"AGUARDANDO MANUTENCAO*"),0)+IFERROR(SUMIFS('Base bordo CD'!M$2:M$875,'Base bordo CD'!D$2:D$875,A753,'Base bordo CD'!A$2:A$875,B753,'Base bordo CD'!L$2:L$875,"TROCA DE FAQUINHA"),0)+IFERROR(SUMIFS('Base bordo CD'!M$2:M$875,'Base bordo CD'!D$2:D$875,A753,'Base bordo CD'!A$2:A$875,B753,'Base bordo CD'!L$2:L$875,"LIMPEZA*"),0)</f>
        <v>0</v>
      </c>
      <c r="L753" s="10">
        <f>IFERROR(SUMIFS('Base bordo CD'!M$2:M$875,'Base bordo CD'!D$2:D$875,A753,'Base bordo CD'!A$2:A$875,B753,'Base bordo CD'!L$2:L$875,"PATIO - RESERVA"),0)</f>
        <v>3.0319444444444441</v>
      </c>
      <c r="M753" s="10">
        <f>IFERROR(SUMIFS('Base bordo CD'!M$2:M$875,'Base bordo CD'!D$2:D$875,A753,'Base bordo CD'!A$2:A$875,B753,'Base bordo CD'!L$2:L$875,"SEM APONTAMENTO"),0)</f>
        <v>2.4722222222222222E-2</v>
      </c>
      <c r="N753" s="10">
        <f>IFERROR(SUMIFS('Base bordo CD'!M$2:M$875,'Base bordo CD'!D$2:D$875,A753,'Base bordo CD'!A$2:A$875,B753,'Base bordo CD'!L$2:L$875,"FALTA DE CAMINHÃO"),0)+IFERROR(SUMIFS('Base bordo CD'!M$2:M$875,'Base bordo CD'!D$2:D$875,A753,'Base bordo CD'!A$2:A$875,B753,'Base bordo CD'!L$2:L$875,"FALTA DE COMBUSTIVEL"),0)+IFERROR(SUMIFS('Base bordo CD'!M$2:M$875,'Base bordo CD'!D$2:D$875,A753,'Base bordo CD'!A$2:A$875,B753,'Base bordo CD'!L$2:L$875,"FALTA DE MOTORIST*"),0)</f>
        <v>0</v>
      </c>
      <c r="O753" s="10">
        <f t="shared" si="60"/>
        <v>3.4538888888888799</v>
      </c>
      <c r="P753" s="10">
        <f>IFERROR(SUMIFS('Base bordo CD'!M$2:M$875,'Base bordo CD'!D$2:D$875,A753,'Base bordo CD'!A$2:A$875,B753),0)</f>
        <v>23.999999999999993</v>
      </c>
      <c r="Q753" s="10">
        <f>IFERROR(SUMIFS('Base bordo CD'!O$2:O$875,'Base bordo CD'!D$2:D$875,A753,'Base bordo CD'!A$2:A$875,B753,'Base bordo CD'!L$2:L$875,"CORTE DE CANA MECANIZADO"),0)</f>
        <v>64702.710000000006</v>
      </c>
      <c r="R753" s="10">
        <f>IFERROR(SUMIFS('Base bordo CD'!Q$2:Q$875,'Base bordo CD'!D$2:D$875,A753,'Base bordo CD'!A$2:A$875,B753,'Base bordo CD'!L$2:L$875,"CORTE DE CANA MECANIZADO"),0)</f>
        <v>14562</v>
      </c>
      <c r="S753" s="30">
        <f t="shared" si="61"/>
        <v>4.4432571075401732</v>
      </c>
      <c r="T753" s="9">
        <f t="shared" si="62"/>
        <v>0.1685416666666667</v>
      </c>
      <c r="U753" s="9">
        <f t="shared" si="63"/>
        <v>0.12256944444444447</v>
      </c>
      <c r="V753" s="9">
        <f t="shared" si="64"/>
        <v>0.81896990740740738</v>
      </c>
    </row>
    <row r="754" spans="1:22" hidden="1" x14ac:dyDescent="0.35">
      <c r="A754" s="52">
        <v>49589</v>
      </c>
      <c r="B754" s="31">
        <v>46118</v>
      </c>
      <c r="C754" s="7" t="s">
        <v>321</v>
      </c>
      <c r="D754" s="7">
        <v>351</v>
      </c>
      <c r="E754" s="10">
        <f>IFERROR(SUMIFS('Base bordo CD'!M$2:M$875,'Base bordo CD'!D$2:D$875,A754,'Base bordo CD'!A$2:A$875,B754,'Base bordo CD'!L$2:L$875,"CORTE DE CANA MECANIZADO"),0)</f>
        <v>4.0449999999999999</v>
      </c>
      <c r="F754" s="10">
        <f>IFERROR(SUMIFS('Base bordo CD'!M$2:M$875,'Base bordo CD'!D$2:D$875,A754,'Base bordo CD'!A$2:A$875,B754,'Base bordo CD'!L$2:L$875,"MANOBRA"),0)</f>
        <v>2.9416666666666664</v>
      </c>
      <c r="G754" s="10">
        <f>IFERROR(SUMIFS('Base bordo CD'!M$2:M$875,'Base bordo CD'!D$2:D$875,A754,'Base bordo CD'!A$2:A$875,B754,'Base bordo CD'!L$2:L$875,"DESLOCAMENTO"),0)</f>
        <v>0.29972222222222222</v>
      </c>
      <c r="H754" s="10">
        <f>IFERROR(SUMIFS('Base bordo CD'!M$2:M$875,'Base bordo CD'!D$2:D$875,A754,'Base bordo CD'!A$2:A$875,B754,'Base bordo CD'!L$2:L$875,"AGUARDANDO MANOBRA DE TRANSBORDO"),0)+IFERROR(SUMIFS('Base bordo CD'!M$2:M$875,'Base bordo CD'!D$2:D$875,A754,'Base bordo CD'!A$2:A$875,B754,'Base bordo CD'!L$2:L$875,"FALTA DE TRANSBORDO"),0)</f>
        <v>0</v>
      </c>
      <c r="I754" s="10">
        <f>IFERROR(SUMIFS('Base bordo CD'!M$2:M$875,'Base bordo CD'!D$2:D$875,A754,'Base bordo CD'!A$2:A$875,B754,'Base bordo CD'!L$2:L$875,"PARADA POR CONDICOES CLIMATICAS"),0)+IFERROR(SUMIFS('Base bordo CD'!M$2:M$875,'Base bordo CD'!D$2:D$875,A754,'Base bordo CD'!A$2:A$875,B754,'Base bordo CD'!L$2:L$875,"TEMPO INDETERMINADO"),0)</f>
        <v>5.3358333333333334</v>
      </c>
      <c r="J754" s="10">
        <f>IFERROR(SUMIFS('Base bordo CD'!M$2:M$875,'Base bordo CD'!D$2:D$875,A754,'Base bordo CD'!A$2:A$875,B754,'Base bordo CD'!L$2:L$875,"LIMITAÇÃO INDÚSTRIA"),0)</f>
        <v>4.8672222222222228</v>
      </c>
      <c r="K754" s="10">
        <f>IFERROR(SUMIFS('Base bordo CD'!M$2:M$875,'Base bordo CD'!D$2:D$875,A754,'Base bordo CD'!A$2:A$875,B754,'Base bordo CD'!L$2:L$875,"MAN CORRETIVA*"),0)+IFERROR(SUMIFS('Base bordo CD'!M$2:M$875,'Base bordo CD'!D$2:D$875,A754,'Base bordo CD'!A$2:A$875,B754,'Base bordo CD'!L$2:L$875,"AGUARDANDO MANUTENCAO*"),0)+IFERROR(SUMIFS('Base bordo CD'!M$2:M$875,'Base bordo CD'!D$2:D$875,A754,'Base bordo CD'!A$2:A$875,B754,'Base bordo CD'!L$2:L$875,"TROCA DE FAQUINHA"),0)+IFERROR(SUMIFS('Base bordo CD'!M$2:M$875,'Base bordo CD'!D$2:D$875,A754,'Base bordo CD'!A$2:A$875,B754,'Base bordo CD'!L$2:L$875,"LIMPEZA*"),0)</f>
        <v>0</v>
      </c>
      <c r="L754" s="10">
        <f>IFERROR(SUMIFS('Base bordo CD'!M$2:M$875,'Base bordo CD'!D$2:D$875,A754,'Base bordo CD'!A$2:A$875,B754,'Base bordo CD'!L$2:L$875,"PATIO - RESERVA"),0)</f>
        <v>3.0319444444444441</v>
      </c>
      <c r="M754" s="10">
        <f>IFERROR(SUMIFS('Base bordo CD'!M$2:M$875,'Base bordo CD'!D$2:D$875,A754,'Base bordo CD'!A$2:A$875,B754,'Base bordo CD'!L$2:L$875,"SEM APONTAMENTO"),0)</f>
        <v>2.4722222222222222E-2</v>
      </c>
      <c r="N754" s="10">
        <f>IFERROR(SUMIFS('Base bordo CD'!M$2:M$875,'Base bordo CD'!D$2:D$875,A754,'Base bordo CD'!A$2:A$875,B754,'Base bordo CD'!L$2:L$875,"FALTA DE CAMINHÃO"),0)+IFERROR(SUMIFS('Base bordo CD'!M$2:M$875,'Base bordo CD'!D$2:D$875,A754,'Base bordo CD'!A$2:A$875,B754,'Base bordo CD'!L$2:L$875,"FALTA DE COMBUSTIVEL"),0)+IFERROR(SUMIFS('Base bordo CD'!M$2:M$875,'Base bordo CD'!D$2:D$875,A754,'Base bordo CD'!A$2:A$875,B754,'Base bordo CD'!L$2:L$875,"FALTA DE MOTORIST*"),0)</f>
        <v>0</v>
      </c>
      <c r="O754" s="10">
        <f t="shared" si="60"/>
        <v>3.4538888888888799</v>
      </c>
      <c r="P754" s="10">
        <f>IFERROR(SUMIFS('Base bordo CD'!M$2:M$875,'Base bordo CD'!D$2:D$875,A754,'Base bordo CD'!A$2:A$875,B754),0)</f>
        <v>23.999999999999993</v>
      </c>
      <c r="Q754" s="10">
        <f>IFERROR(SUMIFS('Base bordo CD'!O$2:O$875,'Base bordo CD'!D$2:D$875,A754,'Base bordo CD'!A$2:A$875,B754,'Base bordo CD'!L$2:L$875,"CORTE DE CANA MECANIZADO"),0)</f>
        <v>64702.710000000006</v>
      </c>
      <c r="R754" s="10">
        <f>IFERROR(SUMIFS('Base bordo CD'!Q$2:Q$875,'Base bordo CD'!D$2:D$875,A754,'Base bordo CD'!A$2:A$875,B754,'Base bordo CD'!L$2:L$875,"CORTE DE CANA MECANIZADO"),0)</f>
        <v>14562</v>
      </c>
      <c r="S754" s="30">
        <f t="shared" si="61"/>
        <v>4.4432571075401732</v>
      </c>
      <c r="T754" s="9">
        <f t="shared" si="62"/>
        <v>0.1685416666666667</v>
      </c>
      <c r="U754" s="9">
        <f t="shared" si="63"/>
        <v>0.12256944444444447</v>
      </c>
      <c r="V754" s="9">
        <f t="shared" si="64"/>
        <v>0.81896990740740738</v>
      </c>
    </row>
    <row r="755" spans="1:22" hidden="1" x14ac:dyDescent="0.35">
      <c r="A755" s="52">
        <v>49590</v>
      </c>
      <c r="B755" s="31">
        <v>46118</v>
      </c>
      <c r="C755" s="7" t="s">
        <v>321</v>
      </c>
      <c r="D755" s="7">
        <v>351</v>
      </c>
      <c r="E755" s="10">
        <f>IFERROR(SUMIFS('Base bordo CD'!M$2:M$875,'Base bordo CD'!D$2:D$875,A755,'Base bordo CD'!A$2:A$875,B755,'Base bordo CD'!L$2:L$875,"CORTE DE CANA MECANIZADO"),0)</f>
        <v>6.003333333333333</v>
      </c>
      <c r="F755" s="10">
        <f>IFERROR(SUMIFS('Base bordo CD'!M$2:M$875,'Base bordo CD'!D$2:D$875,A755,'Base bordo CD'!A$2:A$875,B755,'Base bordo CD'!L$2:L$875,"MANOBRA"),0)</f>
        <v>1.921388888888889</v>
      </c>
      <c r="G755" s="10">
        <f>IFERROR(SUMIFS('Base bordo CD'!M$2:M$875,'Base bordo CD'!D$2:D$875,A755,'Base bordo CD'!A$2:A$875,B755,'Base bordo CD'!L$2:L$875,"DESLOCAMENTO"),0)</f>
        <v>0.60138888888888886</v>
      </c>
      <c r="H755" s="10">
        <f>IFERROR(SUMIFS('Base bordo CD'!M$2:M$875,'Base bordo CD'!D$2:D$875,A755,'Base bordo CD'!A$2:A$875,B755,'Base bordo CD'!L$2:L$875,"AGUARDANDO MANOBRA DE TRANSBORDO"),0)+IFERROR(SUMIFS('Base bordo CD'!M$2:M$875,'Base bordo CD'!D$2:D$875,A755,'Base bordo CD'!A$2:A$875,B755,'Base bordo CD'!L$2:L$875,"FALTA DE TRANSBORDO"),0)</f>
        <v>1.1805555555555556</v>
      </c>
      <c r="I755" s="10">
        <f>IFERROR(SUMIFS('Base bordo CD'!M$2:M$875,'Base bordo CD'!D$2:D$875,A755,'Base bordo CD'!A$2:A$875,B755,'Base bordo CD'!L$2:L$875,"PARADA POR CONDICOES CLIMATICAS"),0)+IFERROR(SUMIFS('Base bordo CD'!M$2:M$875,'Base bordo CD'!D$2:D$875,A755,'Base bordo CD'!A$2:A$875,B755,'Base bordo CD'!L$2:L$875,"TEMPO INDETERMINADO"),0)</f>
        <v>5.8274999999999997</v>
      </c>
      <c r="J755" s="10">
        <f>IFERROR(SUMIFS('Base bordo CD'!M$2:M$875,'Base bordo CD'!D$2:D$875,A755,'Base bordo CD'!A$2:A$875,B755,'Base bordo CD'!L$2:L$875,"LIMITAÇÃO INDÚSTRIA"),0)</f>
        <v>6.0438888888888886</v>
      </c>
      <c r="K755" s="10">
        <f>IFERROR(SUMIFS('Base bordo CD'!M$2:M$875,'Base bordo CD'!D$2:D$875,A755,'Base bordo CD'!A$2:A$875,B755,'Base bordo CD'!L$2:L$875,"MAN CORRETIVA*"),0)+IFERROR(SUMIFS('Base bordo CD'!M$2:M$875,'Base bordo CD'!D$2:D$875,A755,'Base bordo CD'!A$2:A$875,B755,'Base bordo CD'!L$2:L$875,"AGUARDANDO MANUTENCAO*"),0)+IFERROR(SUMIFS('Base bordo CD'!M$2:M$875,'Base bordo CD'!D$2:D$875,A755,'Base bordo CD'!A$2:A$875,B755,'Base bordo CD'!L$2:L$875,"TROCA DE FAQUINHA"),0)+IFERROR(SUMIFS('Base bordo CD'!M$2:M$875,'Base bordo CD'!D$2:D$875,A755,'Base bordo CD'!A$2:A$875,B755,'Base bordo CD'!L$2:L$875,"LIMPEZA*"),0)</f>
        <v>0.17416666666666666</v>
      </c>
      <c r="L755" s="10">
        <f>IFERROR(SUMIFS('Base bordo CD'!M$2:M$875,'Base bordo CD'!D$2:D$875,A755,'Base bordo CD'!A$2:A$875,B755,'Base bordo CD'!L$2:L$875,"PATIO - RESERVA"),0)</f>
        <v>0</v>
      </c>
      <c r="M755" s="10">
        <f>IFERROR(SUMIFS('Base bordo CD'!M$2:M$875,'Base bordo CD'!D$2:D$875,A755,'Base bordo CD'!A$2:A$875,B755,'Base bordo CD'!L$2:L$875,"SEM APONTAMENTO"),0)</f>
        <v>6.1111111111111116E-2</v>
      </c>
      <c r="N755" s="10">
        <f>IFERROR(SUMIFS('Base bordo CD'!M$2:M$875,'Base bordo CD'!D$2:D$875,A755,'Base bordo CD'!A$2:A$875,B755,'Base bordo CD'!L$2:L$875,"FALTA DE CAMINHÃO"),0)+IFERROR(SUMIFS('Base bordo CD'!M$2:M$875,'Base bordo CD'!D$2:D$875,A755,'Base bordo CD'!A$2:A$875,B755,'Base bordo CD'!L$2:L$875,"FALTA DE COMBUSTIVEL"),0)+IFERROR(SUMIFS('Base bordo CD'!M$2:M$875,'Base bordo CD'!D$2:D$875,A755,'Base bordo CD'!A$2:A$875,B755,'Base bordo CD'!L$2:L$875,"FALTA DE MOTORIST*"),0)</f>
        <v>0</v>
      </c>
      <c r="O755" s="10">
        <f t="shared" si="60"/>
        <v>2.1866666666666639</v>
      </c>
      <c r="P755" s="10">
        <f>IFERROR(SUMIFS('Base bordo CD'!M$2:M$875,'Base bordo CD'!D$2:D$875,A755,'Base bordo CD'!A$2:A$875,B755),0)</f>
        <v>24</v>
      </c>
      <c r="Q755" s="10">
        <f>IFERROR(SUMIFS('Base bordo CD'!O$2:O$875,'Base bordo CD'!D$2:D$875,A755,'Base bordo CD'!A$2:A$875,B755,'Base bordo CD'!L$2:L$875,"CORTE DE CANA MECANIZADO"),0)</f>
        <v>90232.6</v>
      </c>
      <c r="R755" s="10">
        <f>IFERROR(SUMIFS('Base bordo CD'!Q$2:Q$875,'Base bordo CD'!D$2:D$875,A755,'Base bordo CD'!A$2:A$875,B755,'Base bordo CD'!L$2:L$875,"CORTE DE CANA MECANIZADO"),0)</f>
        <v>21612</v>
      </c>
      <c r="S755" s="30">
        <f t="shared" si="61"/>
        <v>4.1751156764760324</v>
      </c>
      <c r="T755" s="9">
        <f t="shared" si="62"/>
        <v>0.25013888888888886</v>
      </c>
      <c r="U755" s="9">
        <f t="shared" si="63"/>
        <v>8.0057870370370376E-2</v>
      </c>
      <c r="V755" s="9">
        <f t="shared" si="64"/>
        <v>0.72480324074074076</v>
      </c>
    </row>
    <row r="756" spans="1:22" hidden="1" x14ac:dyDescent="0.35">
      <c r="A756" s="52">
        <v>49590</v>
      </c>
      <c r="B756" s="31">
        <v>46118</v>
      </c>
      <c r="C756" s="7" t="s">
        <v>321</v>
      </c>
      <c r="D756" s="7">
        <v>351</v>
      </c>
      <c r="E756" s="10">
        <f>IFERROR(SUMIFS('Base bordo CD'!M$2:M$875,'Base bordo CD'!D$2:D$875,A756,'Base bordo CD'!A$2:A$875,B756,'Base bordo CD'!L$2:L$875,"CORTE DE CANA MECANIZADO"),0)</f>
        <v>6.003333333333333</v>
      </c>
      <c r="F756" s="10">
        <f>IFERROR(SUMIFS('Base bordo CD'!M$2:M$875,'Base bordo CD'!D$2:D$875,A756,'Base bordo CD'!A$2:A$875,B756,'Base bordo CD'!L$2:L$875,"MANOBRA"),0)</f>
        <v>1.921388888888889</v>
      </c>
      <c r="G756" s="10">
        <f>IFERROR(SUMIFS('Base bordo CD'!M$2:M$875,'Base bordo CD'!D$2:D$875,A756,'Base bordo CD'!A$2:A$875,B756,'Base bordo CD'!L$2:L$875,"DESLOCAMENTO"),0)</f>
        <v>0.60138888888888886</v>
      </c>
      <c r="H756" s="10">
        <f>IFERROR(SUMIFS('Base bordo CD'!M$2:M$875,'Base bordo CD'!D$2:D$875,A756,'Base bordo CD'!A$2:A$875,B756,'Base bordo CD'!L$2:L$875,"AGUARDANDO MANOBRA DE TRANSBORDO"),0)+IFERROR(SUMIFS('Base bordo CD'!M$2:M$875,'Base bordo CD'!D$2:D$875,A756,'Base bordo CD'!A$2:A$875,B756,'Base bordo CD'!L$2:L$875,"FALTA DE TRANSBORDO"),0)</f>
        <v>1.1805555555555556</v>
      </c>
      <c r="I756" s="10">
        <f>IFERROR(SUMIFS('Base bordo CD'!M$2:M$875,'Base bordo CD'!D$2:D$875,A756,'Base bordo CD'!A$2:A$875,B756,'Base bordo CD'!L$2:L$875,"PARADA POR CONDICOES CLIMATICAS"),0)+IFERROR(SUMIFS('Base bordo CD'!M$2:M$875,'Base bordo CD'!D$2:D$875,A756,'Base bordo CD'!A$2:A$875,B756,'Base bordo CD'!L$2:L$875,"TEMPO INDETERMINADO"),0)</f>
        <v>5.8274999999999997</v>
      </c>
      <c r="J756" s="10">
        <f>IFERROR(SUMIFS('Base bordo CD'!M$2:M$875,'Base bordo CD'!D$2:D$875,A756,'Base bordo CD'!A$2:A$875,B756,'Base bordo CD'!L$2:L$875,"LIMITAÇÃO INDÚSTRIA"),0)</f>
        <v>6.0438888888888886</v>
      </c>
      <c r="K756" s="10">
        <f>IFERROR(SUMIFS('Base bordo CD'!M$2:M$875,'Base bordo CD'!D$2:D$875,A756,'Base bordo CD'!A$2:A$875,B756,'Base bordo CD'!L$2:L$875,"MAN CORRETIVA*"),0)+IFERROR(SUMIFS('Base bordo CD'!M$2:M$875,'Base bordo CD'!D$2:D$875,A756,'Base bordo CD'!A$2:A$875,B756,'Base bordo CD'!L$2:L$875,"AGUARDANDO MANUTENCAO*"),0)+IFERROR(SUMIFS('Base bordo CD'!M$2:M$875,'Base bordo CD'!D$2:D$875,A756,'Base bordo CD'!A$2:A$875,B756,'Base bordo CD'!L$2:L$875,"TROCA DE FAQUINHA"),0)+IFERROR(SUMIFS('Base bordo CD'!M$2:M$875,'Base bordo CD'!D$2:D$875,A756,'Base bordo CD'!A$2:A$875,B756,'Base bordo CD'!L$2:L$875,"LIMPEZA*"),0)</f>
        <v>0.17416666666666666</v>
      </c>
      <c r="L756" s="10">
        <f>IFERROR(SUMIFS('Base bordo CD'!M$2:M$875,'Base bordo CD'!D$2:D$875,A756,'Base bordo CD'!A$2:A$875,B756,'Base bordo CD'!L$2:L$875,"PATIO - RESERVA"),0)</f>
        <v>0</v>
      </c>
      <c r="M756" s="10">
        <f>IFERROR(SUMIFS('Base bordo CD'!M$2:M$875,'Base bordo CD'!D$2:D$875,A756,'Base bordo CD'!A$2:A$875,B756,'Base bordo CD'!L$2:L$875,"SEM APONTAMENTO"),0)</f>
        <v>6.1111111111111116E-2</v>
      </c>
      <c r="N756" s="10">
        <f>IFERROR(SUMIFS('Base bordo CD'!M$2:M$875,'Base bordo CD'!D$2:D$875,A756,'Base bordo CD'!A$2:A$875,B756,'Base bordo CD'!L$2:L$875,"FALTA DE CAMINHÃO"),0)+IFERROR(SUMIFS('Base bordo CD'!M$2:M$875,'Base bordo CD'!D$2:D$875,A756,'Base bordo CD'!A$2:A$875,B756,'Base bordo CD'!L$2:L$875,"FALTA DE COMBUSTIVEL"),0)+IFERROR(SUMIFS('Base bordo CD'!M$2:M$875,'Base bordo CD'!D$2:D$875,A756,'Base bordo CD'!A$2:A$875,B756,'Base bordo CD'!L$2:L$875,"FALTA DE MOTORIST*"),0)</f>
        <v>0</v>
      </c>
      <c r="O756" s="10">
        <f t="shared" si="60"/>
        <v>2.1866666666666639</v>
      </c>
      <c r="P756" s="10">
        <f>IFERROR(SUMIFS('Base bordo CD'!M$2:M$875,'Base bordo CD'!D$2:D$875,A756,'Base bordo CD'!A$2:A$875,B756),0)</f>
        <v>24</v>
      </c>
      <c r="Q756" s="10">
        <f>IFERROR(SUMIFS('Base bordo CD'!O$2:O$875,'Base bordo CD'!D$2:D$875,A756,'Base bordo CD'!A$2:A$875,B756,'Base bordo CD'!L$2:L$875,"CORTE DE CANA MECANIZADO"),0)</f>
        <v>90232.6</v>
      </c>
      <c r="R756" s="10">
        <f>IFERROR(SUMIFS('Base bordo CD'!Q$2:Q$875,'Base bordo CD'!D$2:D$875,A756,'Base bordo CD'!A$2:A$875,B756,'Base bordo CD'!L$2:L$875,"CORTE DE CANA MECANIZADO"),0)</f>
        <v>21612</v>
      </c>
      <c r="S756" s="30">
        <f t="shared" si="61"/>
        <v>4.1751156764760324</v>
      </c>
      <c r="T756" s="9">
        <f t="shared" si="62"/>
        <v>0.25013888888888886</v>
      </c>
      <c r="U756" s="9">
        <f t="shared" si="63"/>
        <v>8.0057870370370376E-2</v>
      </c>
      <c r="V756" s="9">
        <f t="shared" si="64"/>
        <v>0.72480324074074076</v>
      </c>
    </row>
    <row r="757" spans="1:22" hidden="1" x14ac:dyDescent="0.35">
      <c r="A757" s="52">
        <v>49590</v>
      </c>
      <c r="B757" s="31">
        <v>46118</v>
      </c>
      <c r="C757" s="7" t="s">
        <v>321</v>
      </c>
      <c r="D757" s="7">
        <v>351</v>
      </c>
      <c r="E757" s="10">
        <f>IFERROR(SUMIFS('Base bordo CD'!M$2:M$875,'Base bordo CD'!D$2:D$875,A757,'Base bordo CD'!A$2:A$875,B757,'Base bordo CD'!L$2:L$875,"CORTE DE CANA MECANIZADO"),0)</f>
        <v>6.003333333333333</v>
      </c>
      <c r="F757" s="10">
        <f>IFERROR(SUMIFS('Base bordo CD'!M$2:M$875,'Base bordo CD'!D$2:D$875,A757,'Base bordo CD'!A$2:A$875,B757,'Base bordo CD'!L$2:L$875,"MANOBRA"),0)</f>
        <v>1.921388888888889</v>
      </c>
      <c r="G757" s="10">
        <f>IFERROR(SUMIFS('Base bordo CD'!M$2:M$875,'Base bordo CD'!D$2:D$875,A757,'Base bordo CD'!A$2:A$875,B757,'Base bordo CD'!L$2:L$875,"DESLOCAMENTO"),0)</f>
        <v>0.60138888888888886</v>
      </c>
      <c r="H757" s="10">
        <f>IFERROR(SUMIFS('Base bordo CD'!M$2:M$875,'Base bordo CD'!D$2:D$875,A757,'Base bordo CD'!A$2:A$875,B757,'Base bordo CD'!L$2:L$875,"AGUARDANDO MANOBRA DE TRANSBORDO"),0)+IFERROR(SUMIFS('Base bordo CD'!M$2:M$875,'Base bordo CD'!D$2:D$875,A757,'Base bordo CD'!A$2:A$875,B757,'Base bordo CD'!L$2:L$875,"FALTA DE TRANSBORDO"),0)</f>
        <v>1.1805555555555556</v>
      </c>
      <c r="I757" s="10">
        <f>IFERROR(SUMIFS('Base bordo CD'!M$2:M$875,'Base bordo CD'!D$2:D$875,A757,'Base bordo CD'!A$2:A$875,B757,'Base bordo CD'!L$2:L$875,"PARADA POR CONDICOES CLIMATICAS"),0)+IFERROR(SUMIFS('Base bordo CD'!M$2:M$875,'Base bordo CD'!D$2:D$875,A757,'Base bordo CD'!A$2:A$875,B757,'Base bordo CD'!L$2:L$875,"TEMPO INDETERMINADO"),0)</f>
        <v>5.8274999999999997</v>
      </c>
      <c r="J757" s="10">
        <f>IFERROR(SUMIFS('Base bordo CD'!M$2:M$875,'Base bordo CD'!D$2:D$875,A757,'Base bordo CD'!A$2:A$875,B757,'Base bordo CD'!L$2:L$875,"LIMITAÇÃO INDÚSTRIA"),0)</f>
        <v>6.0438888888888886</v>
      </c>
      <c r="K757" s="10">
        <f>IFERROR(SUMIFS('Base bordo CD'!M$2:M$875,'Base bordo CD'!D$2:D$875,A757,'Base bordo CD'!A$2:A$875,B757,'Base bordo CD'!L$2:L$875,"MAN CORRETIVA*"),0)+IFERROR(SUMIFS('Base bordo CD'!M$2:M$875,'Base bordo CD'!D$2:D$875,A757,'Base bordo CD'!A$2:A$875,B757,'Base bordo CD'!L$2:L$875,"AGUARDANDO MANUTENCAO*"),0)+IFERROR(SUMIFS('Base bordo CD'!M$2:M$875,'Base bordo CD'!D$2:D$875,A757,'Base bordo CD'!A$2:A$875,B757,'Base bordo CD'!L$2:L$875,"TROCA DE FAQUINHA"),0)+IFERROR(SUMIFS('Base bordo CD'!M$2:M$875,'Base bordo CD'!D$2:D$875,A757,'Base bordo CD'!A$2:A$875,B757,'Base bordo CD'!L$2:L$875,"LIMPEZA*"),0)</f>
        <v>0.17416666666666666</v>
      </c>
      <c r="L757" s="10">
        <f>IFERROR(SUMIFS('Base bordo CD'!M$2:M$875,'Base bordo CD'!D$2:D$875,A757,'Base bordo CD'!A$2:A$875,B757,'Base bordo CD'!L$2:L$875,"PATIO - RESERVA"),0)</f>
        <v>0</v>
      </c>
      <c r="M757" s="10">
        <f>IFERROR(SUMIFS('Base bordo CD'!M$2:M$875,'Base bordo CD'!D$2:D$875,A757,'Base bordo CD'!A$2:A$875,B757,'Base bordo CD'!L$2:L$875,"SEM APONTAMENTO"),0)</f>
        <v>6.1111111111111116E-2</v>
      </c>
      <c r="N757" s="10">
        <f>IFERROR(SUMIFS('Base bordo CD'!M$2:M$875,'Base bordo CD'!D$2:D$875,A757,'Base bordo CD'!A$2:A$875,B757,'Base bordo CD'!L$2:L$875,"FALTA DE CAMINHÃO"),0)+IFERROR(SUMIFS('Base bordo CD'!M$2:M$875,'Base bordo CD'!D$2:D$875,A757,'Base bordo CD'!A$2:A$875,B757,'Base bordo CD'!L$2:L$875,"FALTA DE COMBUSTIVEL"),0)+IFERROR(SUMIFS('Base bordo CD'!M$2:M$875,'Base bordo CD'!D$2:D$875,A757,'Base bordo CD'!A$2:A$875,B757,'Base bordo CD'!L$2:L$875,"FALTA DE MOTORIST*"),0)</f>
        <v>0</v>
      </c>
      <c r="O757" s="10">
        <f t="shared" si="60"/>
        <v>2.1866666666666639</v>
      </c>
      <c r="P757" s="10">
        <f>IFERROR(SUMIFS('Base bordo CD'!M$2:M$875,'Base bordo CD'!D$2:D$875,A757,'Base bordo CD'!A$2:A$875,B757),0)</f>
        <v>24</v>
      </c>
      <c r="Q757" s="10">
        <f>IFERROR(SUMIFS('Base bordo CD'!O$2:O$875,'Base bordo CD'!D$2:D$875,A757,'Base bordo CD'!A$2:A$875,B757,'Base bordo CD'!L$2:L$875,"CORTE DE CANA MECANIZADO"),0)</f>
        <v>90232.6</v>
      </c>
      <c r="R757" s="10">
        <f>IFERROR(SUMIFS('Base bordo CD'!Q$2:Q$875,'Base bordo CD'!D$2:D$875,A757,'Base bordo CD'!A$2:A$875,B757,'Base bordo CD'!L$2:L$875,"CORTE DE CANA MECANIZADO"),0)</f>
        <v>21612</v>
      </c>
      <c r="S757" s="30">
        <f t="shared" si="61"/>
        <v>4.1751156764760324</v>
      </c>
      <c r="T757" s="9">
        <f t="shared" si="62"/>
        <v>0.25013888888888886</v>
      </c>
      <c r="U757" s="9">
        <f t="shared" si="63"/>
        <v>8.0057870370370376E-2</v>
      </c>
      <c r="V757" s="9">
        <f t="shared" si="64"/>
        <v>0.72480324074074076</v>
      </c>
    </row>
    <row r="758" spans="1:22" hidden="1" x14ac:dyDescent="0.35">
      <c r="A758" s="52">
        <v>49590</v>
      </c>
      <c r="B758" s="31">
        <v>46118</v>
      </c>
      <c r="C758" s="7" t="s">
        <v>321</v>
      </c>
      <c r="D758" s="7">
        <v>351</v>
      </c>
      <c r="E758" s="10">
        <f>IFERROR(SUMIFS('Base bordo CD'!M$2:M$875,'Base bordo CD'!D$2:D$875,A758,'Base bordo CD'!A$2:A$875,B758,'Base bordo CD'!L$2:L$875,"CORTE DE CANA MECANIZADO"),0)</f>
        <v>6.003333333333333</v>
      </c>
      <c r="F758" s="10">
        <f>IFERROR(SUMIFS('Base bordo CD'!M$2:M$875,'Base bordo CD'!D$2:D$875,A758,'Base bordo CD'!A$2:A$875,B758,'Base bordo CD'!L$2:L$875,"MANOBRA"),0)</f>
        <v>1.921388888888889</v>
      </c>
      <c r="G758" s="10">
        <f>IFERROR(SUMIFS('Base bordo CD'!M$2:M$875,'Base bordo CD'!D$2:D$875,A758,'Base bordo CD'!A$2:A$875,B758,'Base bordo CD'!L$2:L$875,"DESLOCAMENTO"),0)</f>
        <v>0.60138888888888886</v>
      </c>
      <c r="H758" s="10">
        <f>IFERROR(SUMIFS('Base bordo CD'!M$2:M$875,'Base bordo CD'!D$2:D$875,A758,'Base bordo CD'!A$2:A$875,B758,'Base bordo CD'!L$2:L$875,"AGUARDANDO MANOBRA DE TRANSBORDO"),0)+IFERROR(SUMIFS('Base bordo CD'!M$2:M$875,'Base bordo CD'!D$2:D$875,A758,'Base bordo CD'!A$2:A$875,B758,'Base bordo CD'!L$2:L$875,"FALTA DE TRANSBORDO"),0)</f>
        <v>1.1805555555555556</v>
      </c>
      <c r="I758" s="10">
        <f>IFERROR(SUMIFS('Base bordo CD'!M$2:M$875,'Base bordo CD'!D$2:D$875,A758,'Base bordo CD'!A$2:A$875,B758,'Base bordo CD'!L$2:L$875,"PARADA POR CONDICOES CLIMATICAS"),0)+IFERROR(SUMIFS('Base bordo CD'!M$2:M$875,'Base bordo CD'!D$2:D$875,A758,'Base bordo CD'!A$2:A$875,B758,'Base bordo CD'!L$2:L$875,"TEMPO INDETERMINADO"),0)</f>
        <v>5.8274999999999997</v>
      </c>
      <c r="J758" s="10">
        <f>IFERROR(SUMIFS('Base bordo CD'!M$2:M$875,'Base bordo CD'!D$2:D$875,A758,'Base bordo CD'!A$2:A$875,B758,'Base bordo CD'!L$2:L$875,"LIMITAÇÃO INDÚSTRIA"),0)</f>
        <v>6.0438888888888886</v>
      </c>
      <c r="K758" s="10">
        <f>IFERROR(SUMIFS('Base bordo CD'!M$2:M$875,'Base bordo CD'!D$2:D$875,A758,'Base bordo CD'!A$2:A$875,B758,'Base bordo CD'!L$2:L$875,"MAN CORRETIVA*"),0)+IFERROR(SUMIFS('Base bordo CD'!M$2:M$875,'Base bordo CD'!D$2:D$875,A758,'Base bordo CD'!A$2:A$875,B758,'Base bordo CD'!L$2:L$875,"AGUARDANDO MANUTENCAO*"),0)+IFERROR(SUMIFS('Base bordo CD'!M$2:M$875,'Base bordo CD'!D$2:D$875,A758,'Base bordo CD'!A$2:A$875,B758,'Base bordo CD'!L$2:L$875,"TROCA DE FAQUINHA"),0)+IFERROR(SUMIFS('Base bordo CD'!M$2:M$875,'Base bordo CD'!D$2:D$875,A758,'Base bordo CD'!A$2:A$875,B758,'Base bordo CD'!L$2:L$875,"LIMPEZA*"),0)</f>
        <v>0.17416666666666666</v>
      </c>
      <c r="L758" s="10">
        <f>IFERROR(SUMIFS('Base bordo CD'!M$2:M$875,'Base bordo CD'!D$2:D$875,A758,'Base bordo CD'!A$2:A$875,B758,'Base bordo CD'!L$2:L$875,"PATIO - RESERVA"),0)</f>
        <v>0</v>
      </c>
      <c r="M758" s="10">
        <f>IFERROR(SUMIFS('Base bordo CD'!M$2:M$875,'Base bordo CD'!D$2:D$875,A758,'Base bordo CD'!A$2:A$875,B758,'Base bordo CD'!L$2:L$875,"SEM APONTAMENTO"),0)</f>
        <v>6.1111111111111116E-2</v>
      </c>
      <c r="N758" s="10">
        <f>IFERROR(SUMIFS('Base bordo CD'!M$2:M$875,'Base bordo CD'!D$2:D$875,A758,'Base bordo CD'!A$2:A$875,B758,'Base bordo CD'!L$2:L$875,"FALTA DE CAMINHÃO"),0)+IFERROR(SUMIFS('Base bordo CD'!M$2:M$875,'Base bordo CD'!D$2:D$875,A758,'Base bordo CD'!A$2:A$875,B758,'Base bordo CD'!L$2:L$875,"FALTA DE COMBUSTIVEL"),0)+IFERROR(SUMIFS('Base bordo CD'!M$2:M$875,'Base bordo CD'!D$2:D$875,A758,'Base bordo CD'!A$2:A$875,B758,'Base bordo CD'!L$2:L$875,"FALTA DE MOTORIST*"),0)</f>
        <v>0</v>
      </c>
      <c r="O758" s="10">
        <f t="shared" si="60"/>
        <v>2.1866666666666639</v>
      </c>
      <c r="P758" s="10">
        <f>IFERROR(SUMIFS('Base bordo CD'!M$2:M$875,'Base bordo CD'!D$2:D$875,A758,'Base bordo CD'!A$2:A$875,B758),0)</f>
        <v>24</v>
      </c>
      <c r="Q758" s="10">
        <f>IFERROR(SUMIFS('Base bordo CD'!O$2:O$875,'Base bordo CD'!D$2:D$875,A758,'Base bordo CD'!A$2:A$875,B758,'Base bordo CD'!L$2:L$875,"CORTE DE CANA MECANIZADO"),0)</f>
        <v>90232.6</v>
      </c>
      <c r="R758" s="10">
        <f>IFERROR(SUMIFS('Base bordo CD'!Q$2:Q$875,'Base bordo CD'!D$2:D$875,A758,'Base bordo CD'!A$2:A$875,B758,'Base bordo CD'!L$2:L$875,"CORTE DE CANA MECANIZADO"),0)</f>
        <v>21612</v>
      </c>
      <c r="S758" s="30">
        <f t="shared" si="61"/>
        <v>4.1751156764760324</v>
      </c>
      <c r="T758" s="9">
        <f t="shared" si="62"/>
        <v>0.25013888888888886</v>
      </c>
      <c r="U758" s="9">
        <f t="shared" si="63"/>
        <v>8.0057870370370376E-2</v>
      </c>
      <c r="V758" s="9">
        <f t="shared" si="64"/>
        <v>0.72480324074074076</v>
      </c>
    </row>
    <row r="759" spans="1:22" hidden="1" x14ac:dyDescent="0.35">
      <c r="A759" s="52">
        <v>49590</v>
      </c>
      <c r="B759" s="31">
        <v>46118</v>
      </c>
      <c r="C759" s="7" t="s">
        <v>321</v>
      </c>
      <c r="D759" s="7">
        <v>351</v>
      </c>
      <c r="E759" s="10">
        <f>IFERROR(SUMIFS('Base bordo CD'!M$2:M$875,'Base bordo CD'!D$2:D$875,A759,'Base bordo CD'!A$2:A$875,B759,'Base bordo CD'!L$2:L$875,"CORTE DE CANA MECANIZADO"),0)</f>
        <v>6.003333333333333</v>
      </c>
      <c r="F759" s="10">
        <f>IFERROR(SUMIFS('Base bordo CD'!M$2:M$875,'Base bordo CD'!D$2:D$875,A759,'Base bordo CD'!A$2:A$875,B759,'Base bordo CD'!L$2:L$875,"MANOBRA"),0)</f>
        <v>1.921388888888889</v>
      </c>
      <c r="G759" s="10">
        <f>IFERROR(SUMIFS('Base bordo CD'!M$2:M$875,'Base bordo CD'!D$2:D$875,A759,'Base bordo CD'!A$2:A$875,B759,'Base bordo CD'!L$2:L$875,"DESLOCAMENTO"),0)</f>
        <v>0.60138888888888886</v>
      </c>
      <c r="H759" s="10">
        <f>IFERROR(SUMIFS('Base bordo CD'!M$2:M$875,'Base bordo CD'!D$2:D$875,A759,'Base bordo CD'!A$2:A$875,B759,'Base bordo CD'!L$2:L$875,"AGUARDANDO MANOBRA DE TRANSBORDO"),0)+IFERROR(SUMIFS('Base bordo CD'!M$2:M$875,'Base bordo CD'!D$2:D$875,A759,'Base bordo CD'!A$2:A$875,B759,'Base bordo CD'!L$2:L$875,"FALTA DE TRANSBORDO"),0)</f>
        <v>1.1805555555555556</v>
      </c>
      <c r="I759" s="10">
        <f>IFERROR(SUMIFS('Base bordo CD'!M$2:M$875,'Base bordo CD'!D$2:D$875,A759,'Base bordo CD'!A$2:A$875,B759,'Base bordo CD'!L$2:L$875,"PARADA POR CONDICOES CLIMATICAS"),0)+IFERROR(SUMIFS('Base bordo CD'!M$2:M$875,'Base bordo CD'!D$2:D$875,A759,'Base bordo CD'!A$2:A$875,B759,'Base bordo CD'!L$2:L$875,"TEMPO INDETERMINADO"),0)</f>
        <v>5.8274999999999997</v>
      </c>
      <c r="J759" s="10">
        <f>IFERROR(SUMIFS('Base bordo CD'!M$2:M$875,'Base bordo CD'!D$2:D$875,A759,'Base bordo CD'!A$2:A$875,B759,'Base bordo CD'!L$2:L$875,"LIMITAÇÃO INDÚSTRIA"),0)</f>
        <v>6.0438888888888886</v>
      </c>
      <c r="K759" s="10">
        <f>IFERROR(SUMIFS('Base bordo CD'!M$2:M$875,'Base bordo CD'!D$2:D$875,A759,'Base bordo CD'!A$2:A$875,B759,'Base bordo CD'!L$2:L$875,"MAN CORRETIVA*"),0)+IFERROR(SUMIFS('Base bordo CD'!M$2:M$875,'Base bordo CD'!D$2:D$875,A759,'Base bordo CD'!A$2:A$875,B759,'Base bordo CD'!L$2:L$875,"AGUARDANDO MANUTENCAO*"),0)+IFERROR(SUMIFS('Base bordo CD'!M$2:M$875,'Base bordo CD'!D$2:D$875,A759,'Base bordo CD'!A$2:A$875,B759,'Base bordo CD'!L$2:L$875,"TROCA DE FAQUINHA"),0)+IFERROR(SUMIFS('Base bordo CD'!M$2:M$875,'Base bordo CD'!D$2:D$875,A759,'Base bordo CD'!A$2:A$875,B759,'Base bordo CD'!L$2:L$875,"LIMPEZA*"),0)</f>
        <v>0.17416666666666666</v>
      </c>
      <c r="L759" s="10">
        <f>IFERROR(SUMIFS('Base bordo CD'!M$2:M$875,'Base bordo CD'!D$2:D$875,A759,'Base bordo CD'!A$2:A$875,B759,'Base bordo CD'!L$2:L$875,"PATIO - RESERVA"),0)</f>
        <v>0</v>
      </c>
      <c r="M759" s="10">
        <f>IFERROR(SUMIFS('Base bordo CD'!M$2:M$875,'Base bordo CD'!D$2:D$875,A759,'Base bordo CD'!A$2:A$875,B759,'Base bordo CD'!L$2:L$875,"SEM APONTAMENTO"),0)</f>
        <v>6.1111111111111116E-2</v>
      </c>
      <c r="N759" s="10">
        <f>IFERROR(SUMIFS('Base bordo CD'!M$2:M$875,'Base bordo CD'!D$2:D$875,A759,'Base bordo CD'!A$2:A$875,B759,'Base bordo CD'!L$2:L$875,"FALTA DE CAMINHÃO"),0)+IFERROR(SUMIFS('Base bordo CD'!M$2:M$875,'Base bordo CD'!D$2:D$875,A759,'Base bordo CD'!A$2:A$875,B759,'Base bordo CD'!L$2:L$875,"FALTA DE COMBUSTIVEL"),0)+IFERROR(SUMIFS('Base bordo CD'!M$2:M$875,'Base bordo CD'!D$2:D$875,A759,'Base bordo CD'!A$2:A$875,B759,'Base bordo CD'!L$2:L$875,"FALTA DE MOTORIST*"),0)</f>
        <v>0</v>
      </c>
      <c r="O759" s="10">
        <f t="shared" si="60"/>
        <v>2.1866666666666639</v>
      </c>
      <c r="P759" s="10">
        <f>IFERROR(SUMIFS('Base bordo CD'!M$2:M$875,'Base bordo CD'!D$2:D$875,A759,'Base bordo CD'!A$2:A$875,B759),0)</f>
        <v>24</v>
      </c>
      <c r="Q759" s="10">
        <f>IFERROR(SUMIFS('Base bordo CD'!O$2:O$875,'Base bordo CD'!D$2:D$875,A759,'Base bordo CD'!A$2:A$875,B759,'Base bordo CD'!L$2:L$875,"CORTE DE CANA MECANIZADO"),0)</f>
        <v>90232.6</v>
      </c>
      <c r="R759" s="10">
        <f>IFERROR(SUMIFS('Base bordo CD'!Q$2:Q$875,'Base bordo CD'!D$2:D$875,A759,'Base bordo CD'!A$2:A$875,B759,'Base bordo CD'!L$2:L$875,"CORTE DE CANA MECANIZADO"),0)</f>
        <v>21612</v>
      </c>
      <c r="S759" s="30">
        <f t="shared" si="61"/>
        <v>4.1751156764760324</v>
      </c>
      <c r="T759" s="9">
        <f t="shared" si="62"/>
        <v>0.25013888888888886</v>
      </c>
      <c r="U759" s="9">
        <f t="shared" si="63"/>
        <v>8.0057870370370376E-2</v>
      </c>
      <c r="V759" s="9">
        <f t="shared" si="64"/>
        <v>0.72480324074074076</v>
      </c>
    </row>
    <row r="760" spans="1:22" hidden="1" x14ac:dyDescent="0.35">
      <c r="A760" s="52">
        <v>49590</v>
      </c>
      <c r="B760" s="31">
        <v>46118</v>
      </c>
      <c r="C760" s="7" t="s">
        <v>321</v>
      </c>
      <c r="D760" s="7">
        <v>351</v>
      </c>
      <c r="E760" s="10">
        <f>IFERROR(SUMIFS('Base bordo CD'!M$2:M$875,'Base bordo CD'!D$2:D$875,A760,'Base bordo CD'!A$2:A$875,B760,'Base bordo CD'!L$2:L$875,"CORTE DE CANA MECANIZADO"),0)</f>
        <v>6.003333333333333</v>
      </c>
      <c r="F760" s="10">
        <f>IFERROR(SUMIFS('Base bordo CD'!M$2:M$875,'Base bordo CD'!D$2:D$875,A760,'Base bordo CD'!A$2:A$875,B760,'Base bordo CD'!L$2:L$875,"MANOBRA"),0)</f>
        <v>1.921388888888889</v>
      </c>
      <c r="G760" s="10">
        <f>IFERROR(SUMIFS('Base bordo CD'!M$2:M$875,'Base bordo CD'!D$2:D$875,A760,'Base bordo CD'!A$2:A$875,B760,'Base bordo CD'!L$2:L$875,"DESLOCAMENTO"),0)</f>
        <v>0.60138888888888886</v>
      </c>
      <c r="H760" s="10">
        <f>IFERROR(SUMIFS('Base bordo CD'!M$2:M$875,'Base bordo CD'!D$2:D$875,A760,'Base bordo CD'!A$2:A$875,B760,'Base bordo CD'!L$2:L$875,"AGUARDANDO MANOBRA DE TRANSBORDO"),0)+IFERROR(SUMIFS('Base bordo CD'!M$2:M$875,'Base bordo CD'!D$2:D$875,A760,'Base bordo CD'!A$2:A$875,B760,'Base bordo CD'!L$2:L$875,"FALTA DE TRANSBORDO"),0)</f>
        <v>1.1805555555555556</v>
      </c>
      <c r="I760" s="10">
        <f>IFERROR(SUMIFS('Base bordo CD'!M$2:M$875,'Base bordo CD'!D$2:D$875,A760,'Base bordo CD'!A$2:A$875,B760,'Base bordo CD'!L$2:L$875,"PARADA POR CONDICOES CLIMATICAS"),0)+IFERROR(SUMIFS('Base bordo CD'!M$2:M$875,'Base bordo CD'!D$2:D$875,A760,'Base bordo CD'!A$2:A$875,B760,'Base bordo CD'!L$2:L$875,"TEMPO INDETERMINADO"),0)</f>
        <v>5.8274999999999997</v>
      </c>
      <c r="J760" s="10">
        <f>IFERROR(SUMIFS('Base bordo CD'!M$2:M$875,'Base bordo CD'!D$2:D$875,A760,'Base bordo CD'!A$2:A$875,B760,'Base bordo CD'!L$2:L$875,"LIMITAÇÃO INDÚSTRIA"),0)</f>
        <v>6.0438888888888886</v>
      </c>
      <c r="K760" s="10">
        <f>IFERROR(SUMIFS('Base bordo CD'!M$2:M$875,'Base bordo CD'!D$2:D$875,A760,'Base bordo CD'!A$2:A$875,B760,'Base bordo CD'!L$2:L$875,"MAN CORRETIVA*"),0)+IFERROR(SUMIFS('Base bordo CD'!M$2:M$875,'Base bordo CD'!D$2:D$875,A760,'Base bordo CD'!A$2:A$875,B760,'Base bordo CD'!L$2:L$875,"AGUARDANDO MANUTENCAO*"),0)+IFERROR(SUMIFS('Base bordo CD'!M$2:M$875,'Base bordo CD'!D$2:D$875,A760,'Base bordo CD'!A$2:A$875,B760,'Base bordo CD'!L$2:L$875,"TROCA DE FAQUINHA"),0)+IFERROR(SUMIFS('Base bordo CD'!M$2:M$875,'Base bordo CD'!D$2:D$875,A760,'Base bordo CD'!A$2:A$875,B760,'Base bordo CD'!L$2:L$875,"LIMPEZA*"),0)</f>
        <v>0.17416666666666666</v>
      </c>
      <c r="L760" s="10">
        <f>IFERROR(SUMIFS('Base bordo CD'!M$2:M$875,'Base bordo CD'!D$2:D$875,A760,'Base bordo CD'!A$2:A$875,B760,'Base bordo CD'!L$2:L$875,"PATIO - RESERVA"),0)</f>
        <v>0</v>
      </c>
      <c r="M760" s="10">
        <f>IFERROR(SUMIFS('Base bordo CD'!M$2:M$875,'Base bordo CD'!D$2:D$875,A760,'Base bordo CD'!A$2:A$875,B760,'Base bordo CD'!L$2:L$875,"SEM APONTAMENTO"),0)</f>
        <v>6.1111111111111116E-2</v>
      </c>
      <c r="N760" s="10">
        <f>IFERROR(SUMIFS('Base bordo CD'!M$2:M$875,'Base bordo CD'!D$2:D$875,A760,'Base bordo CD'!A$2:A$875,B760,'Base bordo CD'!L$2:L$875,"FALTA DE CAMINHÃO"),0)+IFERROR(SUMIFS('Base bordo CD'!M$2:M$875,'Base bordo CD'!D$2:D$875,A760,'Base bordo CD'!A$2:A$875,B760,'Base bordo CD'!L$2:L$875,"FALTA DE COMBUSTIVEL"),0)+IFERROR(SUMIFS('Base bordo CD'!M$2:M$875,'Base bordo CD'!D$2:D$875,A760,'Base bordo CD'!A$2:A$875,B760,'Base bordo CD'!L$2:L$875,"FALTA DE MOTORIST*"),0)</f>
        <v>0</v>
      </c>
      <c r="O760" s="10">
        <f t="shared" si="60"/>
        <v>2.1866666666666639</v>
      </c>
      <c r="P760" s="10">
        <f>IFERROR(SUMIFS('Base bordo CD'!M$2:M$875,'Base bordo CD'!D$2:D$875,A760,'Base bordo CD'!A$2:A$875,B760),0)</f>
        <v>24</v>
      </c>
      <c r="Q760" s="10">
        <f>IFERROR(SUMIFS('Base bordo CD'!O$2:O$875,'Base bordo CD'!D$2:D$875,A760,'Base bordo CD'!A$2:A$875,B760,'Base bordo CD'!L$2:L$875,"CORTE DE CANA MECANIZADO"),0)</f>
        <v>90232.6</v>
      </c>
      <c r="R760" s="10">
        <f>IFERROR(SUMIFS('Base bordo CD'!Q$2:Q$875,'Base bordo CD'!D$2:D$875,A760,'Base bordo CD'!A$2:A$875,B760,'Base bordo CD'!L$2:L$875,"CORTE DE CANA MECANIZADO"),0)</f>
        <v>21612</v>
      </c>
      <c r="S760" s="30">
        <f t="shared" si="61"/>
        <v>4.1751156764760324</v>
      </c>
      <c r="T760" s="9">
        <f t="shared" si="62"/>
        <v>0.25013888888888886</v>
      </c>
      <c r="U760" s="9">
        <f t="shared" si="63"/>
        <v>8.0057870370370376E-2</v>
      </c>
      <c r="V760" s="9">
        <f t="shared" si="64"/>
        <v>0.72480324074074076</v>
      </c>
    </row>
    <row r="761" spans="1:22" hidden="1" x14ac:dyDescent="0.35">
      <c r="A761" s="52">
        <v>49590</v>
      </c>
      <c r="B761" s="31">
        <v>46118</v>
      </c>
      <c r="C761" s="7" t="s">
        <v>321</v>
      </c>
      <c r="D761" s="7">
        <v>351</v>
      </c>
      <c r="E761" s="10">
        <f>IFERROR(SUMIFS('Base bordo CD'!M$2:M$875,'Base bordo CD'!D$2:D$875,A761,'Base bordo CD'!A$2:A$875,B761,'Base bordo CD'!L$2:L$875,"CORTE DE CANA MECANIZADO"),0)</f>
        <v>6.003333333333333</v>
      </c>
      <c r="F761" s="10">
        <f>IFERROR(SUMIFS('Base bordo CD'!M$2:M$875,'Base bordo CD'!D$2:D$875,A761,'Base bordo CD'!A$2:A$875,B761,'Base bordo CD'!L$2:L$875,"MANOBRA"),0)</f>
        <v>1.921388888888889</v>
      </c>
      <c r="G761" s="10">
        <f>IFERROR(SUMIFS('Base bordo CD'!M$2:M$875,'Base bordo CD'!D$2:D$875,A761,'Base bordo CD'!A$2:A$875,B761,'Base bordo CD'!L$2:L$875,"DESLOCAMENTO"),0)</f>
        <v>0.60138888888888886</v>
      </c>
      <c r="H761" s="10">
        <f>IFERROR(SUMIFS('Base bordo CD'!M$2:M$875,'Base bordo CD'!D$2:D$875,A761,'Base bordo CD'!A$2:A$875,B761,'Base bordo CD'!L$2:L$875,"AGUARDANDO MANOBRA DE TRANSBORDO"),0)+IFERROR(SUMIFS('Base bordo CD'!M$2:M$875,'Base bordo CD'!D$2:D$875,A761,'Base bordo CD'!A$2:A$875,B761,'Base bordo CD'!L$2:L$875,"FALTA DE TRANSBORDO"),0)</f>
        <v>1.1805555555555556</v>
      </c>
      <c r="I761" s="10">
        <f>IFERROR(SUMIFS('Base bordo CD'!M$2:M$875,'Base bordo CD'!D$2:D$875,A761,'Base bordo CD'!A$2:A$875,B761,'Base bordo CD'!L$2:L$875,"PARADA POR CONDICOES CLIMATICAS"),0)+IFERROR(SUMIFS('Base bordo CD'!M$2:M$875,'Base bordo CD'!D$2:D$875,A761,'Base bordo CD'!A$2:A$875,B761,'Base bordo CD'!L$2:L$875,"TEMPO INDETERMINADO"),0)</f>
        <v>5.8274999999999997</v>
      </c>
      <c r="J761" s="10">
        <f>IFERROR(SUMIFS('Base bordo CD'!M$2:M$875,'Base bordo CD'!D$2:D$875,A761,'Base bordo CD'!A$2:A$875,B761,'Base bordo CD'!L$2:L$875,"LIMITAÇÃO INDÚSTRIA"),0)</f>
        <v>6.0438888888888886</v>
      </c>
      <c r="K761" s="10">
        <f>IFERROR(SUMIFS('Base bordo CD'!M$2:M$875,'Base bordo CD'!D$2:D$875,A761,'Base bordo CD'!A$2:A$875,B761,'Base bordo CD'!L$2:L$875,"MAN CORRETIVA*"),0)+IFERROR(SUMIFS('Base bordo CD'!M$2:M$875,'Base bordo CD'!D$2:D$875,A761,'Base bordo CD'!A$2:A$875,B761,'Base bordo CD'!L$2:L$875,"AGUARDANDO MANUTENCAO*"),0)+IFERROR(SUMIFS('Base bordo CD'!M$2:M$875,'Base bordo CD'!D$2:D$875,A761,'Base bordo CD'!A$2:A$875,B761,'Base bordo CD'!L$2:L$875,"TROCA DE FAQUINHA"),0)+IFERROR(SUMIFS('Base bordo CD'!M$2:M$875,'Base bordo CD'!D$2:D$875,A761,'Base bordo CD'!A$2:A$875,B761,'Base bordo CD'!L$2:L$875,"LIMPEZA*"),0)</f>
        <v>0.17416666666666666</v>
      </c>
      <c r="L761" s="10">
        <f>IFERROR(SUMIFS('Base bordo CD'!M$2:M$875,'Base bordo CD'!D$2:D$875,A761,'Base bordo CD'!A$2:A$875,B761,'Base bordo CD'!L$2:L$875,"PATIO - RESERVA"),0)</f>
        <v>0</v>
      </c>
      <c r="M761" s="10">
        <f>IFERROR(SUMIFS('Base bordo CD'!M$2:M$875,'Base bordo CD'!D$2:D$875,A761,'Base bordo CD'!A$2:A$875,B761,'Base bordo CD'!L$2:L$875,"SEM APONTAMENTO"),0)</f>
        <v>6.1111111111111116E-2</v>
      </c>
      <c r="N761" s="10">
        <f>IFERROR(SUMIFS('Base bordo CD'!M$2:M$875,'Base bordo CD'!D$2:D$875,A761,'Base bordo CD'!A$2:A$875,B761,'Base bordo CD'!L$2:L$875,"FALTA DE CAMINHÃO"),0)+IFERROR(SUMIFS('Base bordo CD'!M$2:M$875,'Base bordo CD'!D$2:D$875,A761,'Base bordo CD'!A$2:A$875,B761,'Base bordo CD'!L$2:L$875,"FALTA DE COMBUSTIVEL"),0)+IFERROR(SUMIFS('Base bordo CD'!M$2:M$875,'Base bordo CD'!D$2:D$875,A761,'Base bordo CD'!A$2:A$875,B761,'Base bordo CD'!L$2:L$875,"FALTA DE MOTORIST*"),0)</f>
        <v>0</v>
      </c>
      <c r="O761" s="10">
        <f t="shared" si="60"/>
        <v>2.1866666666666639</v>
      </c>
      <c r="P761" s="10">
        <f>IFERROR(SUMIFS('Base bordo CD'!M$2:M$875,'Base bordo CD'!D$2:D$875,A761,'Base bordo CD'!A$2:A$875,B761),0)</f>
        <v>24</v>
      </c>
      <c r="Q761" s="10">
        <f>IFERROR(SUMIFS('Base bordo CD'!O$2:O$875,'Base bordo CD'!D$2:D$875,A761,'Base bordo CD'!A$2:A$875,B761,'Base bordo CD'!L$2:L$875,"CORTE DE CANA MECANIZADO"),0)</f>
        <v>90232.6</v>
      </c>
      <c r="R761" s="10">
        <f>IFERROR(SUMIFS('Base bordo CD'!Q$2:Q$875,'Base bordo CD'!D$2:D$875,A761,'Base bordo CD'!A$2:A$875,B761,'Base bordo CD'!L$2:L$875,"CORTE DE CANA MECANIZADO"),0)</f>
        <v>21612</v>
      </c>
      <c r="S761" s="30">
        <f t="shared" si="61"/>
        <v>4.1751156764760324</v>
      </c>
      <c r="T761" s="9">
        <f t="shared" si="62"/>
        <v>0.25013888888888886</v>
      </c>
      <c r="U761" s="9">
        <f t="shared" si="63"/>
        <v>8.0057870370370376E-2</v>
      </c>
      <c r="V761" s="9">
        <f t="shared" si="64"/>
        <v>0.72480324074074076</v>
      </c>
    </row>
    <row r="762" spans="1:22" hidden="1" x14ac:dyDescent="0.35">
      <c r="A762" s="52">
        <v>49590</v>
      </c>
      <c r="B762" s="31">
        <v>46118</v>
      </c>
      <c r="C762" s="7" t="s">
        <v>321</v>
      </c>
      <c r="D762" s="7">
        <v>351</v>
      </c>
      <c r="E762" s="10">
        <f>IFERROR(SUMIFS('Base bordo CD'!M$2:M$875,'Base bordo CD'!D$2:D$875,A762,'Base bordo CD'!A$2:A$875,B762,'Base bordo CD'!L$2:L$875,"CORTE DE CANA MECANIZADO"),0)</f>
        <v>6.003333333333333</v>
      </c>
      <c r="F762" s="10">
        <f>IFERROR(SUMIFS('Base bordo CD'!M$2:M$875,'Base bordo CD'!D$2:D$875,A762,'Base bordo CD'!A$2:A$875,B762,'Base bordo CD'!L$2:L$875,"MANOBRA"),0)</f>
        <v>1.921388888888889</v>
      </c>
      <c r="G762" s="10">
        <f>IFERROR(SUMIFS('Base bordo CD'!M$2:M$875,'Base bordo CD'!D$2:D$875,A762,'Base bordo CD'!A$2:A$875,B762,'Base bordo CD'!L$2:L$875,"DESLOCAMENTO"),0)</f>
        <v>0.60138888888888886</v>
      </c>
      <c r="H762" s="10">
        <f>IFERROR(SUMIFS('Base bordo CD'!M$2:M$875,'Base bordo CD'!D$2:D$875,A762,'Base bordo CD'!A$2:A$875,B762,'Base bordo CD'!L$2:L$875,"AGUARDANDO MANOBRA DE TRANSBORDO"),0)+IFERROR(SUMIFS('Base bordo CD'!M$2:M$875,'Base bordo CD'!D$2:D$875,A762,'Base bordo CD'!A$2:A$875,B762,'Base bordo CD'!L$2:L$875,"FALTA DE TRANSBORDO"),0)</f>
        <v>1.1805555555555556</v>
      </c>
      <c r="I762" s="10">
        <f>IFERROR(SUMIFS('Base bordo CD'!M$2:M$875,'Base bordo CD'!D$2:D$875,A762,'Base bordo CD'!A$2:A$875,B762,'Base bordo CD'!L$2:L$875,"PARADA POR CONDICOES CLIMATICAS"),0)+IFERROR(SUMIFS('Base bordo CD'!M$2:M$875,'Base bordo CD'!D$2:D$875,A762,'Base bordo CD'!A$2:A$875,B762,'Base bordo CD'!L$2:L$875,"TEMPO INDETERMINADO"),0)</f>
        <v>5.8274999999999997</v>
      </c>
      <c r="J762" s="10">
        <f>IFERROR(SUMIFS('Base bordo CD'!M$2:M$875,'Base bordo CD'!D$2:D$875,A762,'Base bordo CD'!A$2:A$875,B762,'Base bordo CD'!L$2:L$875,"LIMITAÇÃO INDÚSTRIA"),0)</f>
        <v>6.0438888888888886</v>
      </c>
      <c r="K762" s="10">
        <f>IFERROR(SUMIFS('Base bordo CD'!M$2:M$875,'Base bordo CD'!D$2:D$875,A762,'Base bordo CD'!A$2:A$875,B762,'Base bordo CD'!L$2:L$875,"MAN CORRETIVA*"),0)+IFERROR(SUMIFS('Base bordo CD'!M$2:M$875,'Base bordo CD'!D$2:D$875,A762,'Base bordo CD'!A$2:A$875,B762,'Base bordo CD'!L$2:L$875,"AGUARDANDO MANUTENCAO*"),0)+IFERROR(SUMIFS('Base bordo CD'!M$2:M$875,'Base bordo CD'!D$2:D$875,A762,'Base bordo CD'!A$2:A$875,B762,'Base bordo CD'!L$2:L$875,"TROCA DE FAQUINHA"),0)+IFERROR(SUMIFS('Base bordo CD'!M$2:M$875,'Base bordo CD'!D$2:D$875,A762,'Base bordo CD'!A$2:A$875,B762,'Base bordo CD'!L$2:L$875,"LIMPEZA*"),0)</f>
        <v>0.17416666666666666</v>
      </c>
      <c r="L762" s="10">
        <f>IFERROR(SUMIFS('Base bordo CD'!M$2:M$875,'Base bordo CD'!D$2:D$875,A762,'Base bordo CD'!A$2:A$875,B762,'Base bordo CD'!L$2:L$875,"PATIO - RESERVA"),0)</f>
        <v>0</v>
      </c>
      <c r="M762" s="10">
        <f>IFERROR(SUMIFS('Base bordo CD'!M$2:M$875,'Base bordo CD'!D$2:D$875,A762,'Base bordo CD'!A$2:A$875,B762,'Base bordo CD'!L$2:L$875,"SEM APONTAMENTO"),0)</f>
        <v>6.1111111111111116E-2</v>
      </c>
      <c r="N762" s="10">
        <f>IFERROR(SUMIFS('Base bordo CD'!M$2:M$875,'Base bordo CD'!D$2:D$875,A762,'Base bordo CD'!A$2:A$875,B762,'Base bordo CD'!L$2:L$875,"FALTA DE CAMINHÃO"),0)+IFERROR(SUMIFS('Base bordo CD'!M$2:M$875,'Base bordo CD'!D$2:D$875,A762,'Base bordo CD'!A$2:A$875,B762,'Base bordo CD'!L$2:L$875,"FALTA DE COMBUSTIVEL"),0)+IFERROR(SUMIFS('Base bordo CD'!M$2:M$875,'Base bordo CD'!D$2:D$875,A762,'Base bordo CD'!A$2:A$875,B762,'Base bordo CD'!L$2:L$875,"FALTA DE MOTORIST*"),0)</f>
        <v>0</v>
      </c>
      <c r="O762" s="10">
        <f t="shared" si="60"/>
        <v>2.1866666666666639</v>
      </c>
      <c r="P762" s="10">
        <f>IFERROR(SUMIFS('Base bordo CD'!M$2:M$875,'Base bordo CD'!D$2:D$875,A762,'Base bordo CD'!A$2:A$875,B762),0)</f>
        <v>24</v>
      </c>
      <c r="Q762" s="10">
        <f>IFERROR(SUMIFS('Base bordo CD'!O$2:O$875,'Base bordo CD'!D$2:D$875,A762,'Base bordo CD'!A$2:A$875,B762,'Base bordo CD'!L$2:L$875,"CORTE DE CANA MECANIZADO"),0)</f>
        <v>90232.6</v>
      </c>
      <c r="R762" s="10">
        <f>IFERROR(SUMIFS('Base bordo CD'!Q$2:Q$875,'Base bordo CD'!D$2:D$875,A762,'Base bordo CD'!A$2:A$875,B762,'Base bordo CD'!L$2:L$875,"CORTE DE CANA MECANIZADO"),0)</f>
        <v>21612</v>
      </c>
      <c r="S762" s="30">
        <f t="shared" si="61"/>
        <v>4.1751156764760324</v>
      </c>
      <c r="T762" s="9">
        <f t="shared" si="62"/>
        <v>0.25013888888888886</v>
      </c>
      <c r="U762" s="9">
        <f t="shared" si="63"/>
        <v>8.0057870370370376E-2</v>
      </c>
      <c r="V762" s="9">
        <f t="shared" si="64"/>
        <v>0.72480324074074076</v>
      </c>
    </row>
    <row r="763" spans="1:22" hidden="1" x14ac:dyDescent="0.35">
      <c r="A763" s="52">
        <v>49590</v>
      </c>
      <c r="B763" s="31">
        <v>46118</v>
      </c>
      <c r="C763" s="7" t="s">
        <v>321</v>
      </c>
      <c r="D763" s="7">
        <v>351</v>
      </c>
      <c r="E763" s="10">
        <f>IFERROR(SUMIFS('Base bordo CD'!M$2:M$875,'Base bordo CD'!D$2:D$875,A763,'Base bordo CD'!A$2:A$875,B763,'Base bordo CD'!L$2:L$875,"CORTE DE CANA MECANIZADO"),0)</f>
        <v>6.003333333333333</v>
      </c>
      <c r="F763" s="10">
        <f>IFERROR(SUMIFS('Base bordo CD'!M$2:M$875,'Base bordo CD'!D$2:D$875,A763,'Base bordo CD'!A$2:A$875,B763,'Base bordo CD'!L$2:L$875,"MANOBRA"),0)</f>
        <v>1.921388888888889</v>
      </c>
      <c r="G763" s="10">
        <f>IFERROR(SUMIFS('Base bordo CD'!M$2:M$875,'Base bordo CD'!D$2:D$875,A763,'Base bordo CD'!A$2:A$875,B763,'Base bordo CD'!L$2:L$875,"DESLOCAMENTO"),0)</f>
        <v>0.60138888888888886</v>
      </c>
      <c r="H763" s="10">
        <f>IFERROR(SUMIFS('Base bordo CD'!M$2:M$875,'Base bordo CD'!D$2:D$875,A763,'Base bordo CD'!A$2:A$875,B763,'Base bordo CD'!L$2:L$875,"AGUARDANDO MANOBRA DE TRANSBORDO"),0)+IFERROR(SUMIFS('Base bordo CD'!M$2:M$875,'Base bordo CD'!D$2:D$875,A763,'Base bordo CD'!A$2:A$875,B763,'Base bordo CD'!L$2:L$875,"FALTA DE TRANSBORDO"),0)</f>
        <v>1.1805555555555556</v>
      </c>
      <c r="I763" s="10">
        <f>IFERROR(SUMIFS('Base bordo CD'!M$2:M$875,'Base bordo CD'!D$2:D$875,A763,'Base bordo CD'!A$2:A$875,B763,'Base bordo CD'!L$2:L$875,"PARADA POR CONDICOES CLIMATICAS"),0)+IFERROR(SUMIFS('Base bordo CD'!M$2:M$875,'Base bordo CD'!D$2:D$875,A763,'Base bordo CD'!A$2:A$875,B763,'Base bordo CD'!L$2:L$875,"TEMPO INDETERMINADO"),0)</f>
        <v>5.8274999999999997</v>
      </c>
      <c r="J763" s="10">
        <f>IFERROR(SUMIFS('Base bordo CD'!M$2:M$875,'Base bordo CD'!D$2:D$875,A763,'Base bordo CD'!A$2:A$875,B763,'Base bordo CD'!L$2:L$875,"LIMITAÇÃO INDÚSTRIA"),0)</f>
        <v>6.0438888888888886</v>
      </c>
      <c r="K763" s="10">
        <f>IFERROR(SUMIFS('Base bordo CD'!M$2:M$875,'Base bordo CD'!D$2:D$875,A763,'Base bordo CD'!A$2:A$875,B763,'Base bordo CD'!L$2:L$875,"MAN CORRETIVA*"),0)+IFERROR(SUMIFS('Base bordo CD'!M$2:M$875,'Base bordo CD'!D$2:D$875,A763,'Base bordo CD'!A$2:A$875,B763,'Base bordo CD'!L$2:L$875,"AGUARDANDO MANUTENCAO*"),0)+IFERROR(SUMIFS('Base bordo CD'!M$2:M$875,'Base bordo CD'!D$2:D$875,A763,'Base bordo CD'!A$2:A$875,B763,'Base bordo CD'!L$2:L$875,"TROCA DE FAQUINHA"),0)+IFERROR(SUMIFS('Base bordo CD'!M$2:M$875,'Base bordo CD'!D$2:D$875,A763,'Base bordo CD'!A$2:A$875,B763,'Base bordo CD'!L$2:L$875,"LIMPEZA*"),0)</f>
        <v>0.17416666666666666</v>
      </c>
      <c r="L763" s="10">
        <f>IFERROR(SUMIFS('Base bordo CD'!M$2:M$875,'Base bordo CD'!D$2:D$875,A763,'Base bordo CD'!A$2:A$875,B763,'Base bordo CD'!L$2:L$875,"PATIO - RESERVA"),0)</f>
        <v>0</v>
      </c>
      <c r="M763" s="10">
        <f>IFERROR(SUMIFS('Base bordo CD'!M$2:M$875,'Base bordo CD'!D$2:D$875,A763,'Base bordo CD'!A$2:A$875,B763,'Base bordo CD'!L$2:L$875,"SEM APONTAMENTO"),0)</f>
        <v>6.1111111111111116E-2</v>
      </c>
      <c r="N763" s="10">
        <f>IFERROR(SUMIFS('Base bordo CD'!M$2:M$875,'Base bordo CD'!D$2:D$875,A763,'Base bordo CD'!A$2:A$875,B763,'Base bordo CD'!L$2:L$875,"FALTA DE CAMINHÃO"),0)+IFERROR(SUMIFS('Base bordo CD'!M$2:M$875,'Base bordo CD'!D$2:D$875,A763,'Base bordo CD'!A$2:A$875,B763,'Base bordo CD'!L$2:L$875,"FALTA DE COMBUSTIVEL"),0)+IFERROR(SUMIFS('Base bordo CD'!M$2:M$875,'Base bordo CD'!D$2:D$875,A763,'Base bordo CD'!A$2:A$875,B763,'Base bordo CD'!L$2:L$875,"FALTA DE MOTORIST*"),0)</f>
        <v>0</v>
      </c>
      <c r="O763" s="10">
        <f t="shared" si="60"/>
        <v>2.1866666666666639</v>
      </c>
      <c r="P763" s="10">
        <f>IFERROR(SUMIFS('Base bordo CD'!M$2:M$875,'Base bordo CD'!D$2:D$875,A763,'Base bordo CD'!A$2:A$875,B763),0)</f>
        <v>24</v>
      </c>
      <c r="Q763" s="10">
        <f>IFERROR(SUMIFS('Base bordo CD'!O$2:O$875,'Base bordo CD'!D$2:D$875,A763,'Base bordo CD'!A$2:A$875,B763,'Base bordo CD'!L$2:L$875,"CORTE DE CANA MECANIZADO"),0)</f>
        <v>90232.6</v>
      </c>
      <c r="R763" s="10">
        <f>IFERROR(SUMIFS('Base bordo CD'!Q$2:Q$875,'Base bordo CD'!D$2:D$875,A763,'Base bordo CD'!A$2:A$875,B763,'Base bordo CD'!L$2:L$875,"CORTE DE CANA MECANIZADO"),0)</f>
        <v>21612</v>
      </c>
      <c r="S763" s="30">
        <f t="shared" si="61"/>
        <v>4.1751156764760324</v>
      </c>
      <c r="T763" s="9">
        <f t="shared" si="62"/>
        <v>0.25013888888888886</v>
      </c>
      <c r="U763" s="9">
        <f t="shared" si="63"/>
        <v>8.0057870370370376E-2</v>
      </c>
      <c r="V763" s="9">
        <f t="shared" si="64"/>
        <v>0.72480324074074076</v>
      </c>
    </row>
    <row r="764" spans="1:22" hidden="1" x14ac:dyDescent="0.35">
      <c r="A764" s="52">
        <v>49590</v>
      </c>
      <c r="B764" s="31">
        <v>46118</v>
      </c>
      <c r="C764" s="7" t="s">
        <v>321</v>
      </c>
      <c r="D764" s="7">
        <v>351</v>
      </c>
      <c r="E764" s="10">
        <f>IFERROR(SUMIFS('Base bordo CD'!M$2:M$875,'Base bordo CD'!D$2:D$875,A764,'Base bordo CD'!A$2:A$875,B764,'Base bordo CD'!L$2:L$875,"CORTE DE CANA MECANIZADO"),0)</f>
        <v>6.003333333333333</v>
      </c>
      <c r="F764" s="10">
        <f>IFERROR(SUMIFS('Base bordo CD'!M$2:M$875,'Base bordo CD'!D$2:D$875,A764,'Base bordo CD'!A$2:A$875,B764,'Base bordo CD'!L$2:L$875,"MANOBRA"),0)</f>
        <v>1.921388888888889</v>
      </c>
      <c r="G764" s="10">
        <f>IFERROR(SUMIFS('Base bordo CD'!M$2:M$875,'Base bordo CD'!D$2:D$875,A764,'Base bordo CD'!A$2:A$875,B764,'Base bordo CD'!L$2:L$875,"DESLOCAMENTO"),0)</f>
        <v>0.60138888888888886</v>
      </c>
      <c r="H764" s="10">
        <f>IFERROR(SUMIFS('Base bordo CD'!M$2:M$875,'Base bordo CD'!D$2:D$875,A764,'Base bordo CD'!A$2:A$875,B764,'Base bordo CD'!L$2:L$875,"AGUARDANDO MANOBRA DE TRANSBORDO"),0)+IFERROR(SUMIFS('Base bordo CD'!M$2:M$875,'Base bordo CD'!D$2:D$875,A764,'Base bordo CD'!A$2:A$875,B764,'Base bordo CD'!L$2:L$875,"FALTA DE TRANSBORDO"),0)</f>
        <v>1.1805555555555556</v>
      </c>
      <c r="I764" s="10">
        <f>IFERROR(SUMIFS('Base bordo CD'!M$2:M$875,'Base bordo CD'!D$2:D$875,A764,'Base bordo CD'!A$2:A$875,B764,'Base bordo CD'!L$2:L$875,"PARADA POR CONDICOES CLIMATICAS"),0)+IFERROR(SUMIFS('Base bordo CD'!M$2:M$875,'Base bordo CD'!D$2:D$875,A764,'Base bordo CD'!A$2:A$875,B764,'Base bordo CD'!L$2:L$875,"TEMPO INDETERMINADO"),0)</f>
        <v>5.8274999999999997</v>
      </c>
      <c r="J764" s="10">
        <f>IFERROR(SUMIFS('Base bordo CD'!M$2:M$875,'Base bordo CD'!D$2:D$875,A764,'Base bordo CD'!A$2:A$875,B764,'Base bordo CD'!L$2:L$875,"LIMITAÇÃO INDÚSTRIA"),0)</f>
        <v>6.0438888888888886</v>
      </c>
      <c r="K764" s="10">
        <f>IFERROR(SUMIFS('Base bordo CD'!M$2:M$875,'Base bordo CD'!D$2:D$875,A764,'Base bordo CD'!A$2:A$875,B764,'Base bordo CD'!L$2:L$875,"MAN CORRETIVA*"),0)+IFERROR(SUMIFS('Base bordo CD'!M$2:M$875,'Base bordo CD'!D$2:D$875,A764,'Base bordo CD'!A$2:A$875,B764,'Base bordo CD'!L$2:L$875,"AGUARDANDO MANUTENCAO*"),0)+IFERROR(SUMIFS('Base bordo CD'!M$2:M$875,'Base bordo CD'!D$2:D$875,A764,'Base bordo CD'!A$2:A$875,B764,'Base bordo CD'!L$2:L$875,"TROCA DE FAQUINHA"),0)+IFERROR(SUMIFS('Base bordo CD'!M$2:M$875,'Base bordo CD'!D$2:D$875,A764,'Base bordo CD'!A$2:A$875,B764,'Base bordo CD'!L$2:L$875,"LIMPEZA*"),0)</f>
        <v>0.17416666666666666</v>
      </c>
      <c r="L764" s="10">
        <f>IFERROR(SUMIFS('Base bordo CD'!M$2:M$875,'Base bordo CD'!D$2:D$875,A764,'Base bordo CD'!A$2:A$875,B764,'Base bordo CD'!L$2:L$875,"PATIO - RESERVA"),0)</f>
        <v>0</v>
      </c>
      <c r="M764" s="10">
        <f>IFERROR(SUMIFS('Base bordo CD'!M$2:M$875,'Base bordo CD'!D$2:D$875,A764,'Base bordo CD'!A$2:A$875,B764,'Base bordo CD'!L$2:L$875,"SEM APONTAMENTO"),0)</f>
        <v>6.1111111111111116E-2</v>
      </c>
      <c r="N764" s="10">
        <f>IFERROR(SUMIFS('Base bordo CD'!M$2:M$875,'Base bordo CD'!D$2:D$875,A764,'Base bordo CD'!A$2:A$875,B764,'Base bordo CD'!L$2:L$875,"FALTA DE CAMINHÃO"),0)+IFERROR(SUMIFS('Base bordo CD'!M$2:M$875,'Base bordo CD'!D$2:D$875,A764,'Base bordo CD'!A$2:A$875,B764,'Base bordo CD'!L$2:L$875,"FALTA DE COMBUSTIVEL"),0)+IFERROR(SUMIFS('Base bordo CD'!M$2:M$875,'Base bordo CD'!D$2:D$875,A764,'Base bordo CD'!A$2:A$875,B764,'Base bordo CD'!L$2:L$875,"FALTA DE MOTORIST*"),0)</f>
        <v>0</v>
      </c>
      <c r="O764" s="10">
        <f t="shared" si="60"/>
        <v>2.1866666666666639</v>
      </c>
      <c r="P764" s="10">
        <f>IFERROR(SUMIFS('Base bordo CD'!M$2:M$875,'Base bordo CD'!D$2:D$875,A764,'Base bordo CD'!A$2:A$875,B764),0)</f>
        <v>24</v>
      </c>
      <c r="Q764" s="10">
        <f>IFERROR(SUMIFS('Base bordo CD'!O$2:O$875,'Base bordo CD'!D$2:D$875,A764,'Base bordo CD'!A$2:A$875,B764,'Base bordo CD'!L$2:L$875,"CORTE DE CANA MECANIZADO"),0)</f>
        <v>90232.6</v>
      </c>
      <c r="R764" s="10">
        <f>IFERROR(SUMIFS('Base bordo CD'!Q$2:Q$875,'Base bordo CD'!D$2:D$875,A764,'Base bordo CD'!A$2:A$875,B764,'Base bordo CD'!L$2:L$875,"CORTE DE CANA MECANIZADO"),0)</f>
        <v>21612</v>
      </c>
      <c r="S764" s="30">
        <f t="shared" si="61"/>
        <v>4.1751156764760324</v>
      </c>
      <c r="T764" s="9">
        <f t="shared" si="62"/>
        <v>0.25013888888888886</v>
      </c>
      <c r="U764" s="9">
        <f t="shared" si="63"/>
        <v>8.0057870370370376E-2</v>
      </c>
      <c r="V764" s="9">
        <f t="shared" si="64"/>
        <v>0.72480324074074076</v>
      </c>
    </row>
    <row r="765" spans="1:22" hidden="1" x14ac:dyDescent="0.35">
      <c r="A765" s="52">
        <v>49590</v>
      </c>
      <c r="B765" s="31">
        <v>46118</v>
      </c>
      <c r="C765" s="7" t="s">
        <v>321</v>
      </c>
      <c r="D765" s="7">
        <v>351</v>
      </c>
      <c r="E765" s="10">
        <f>IFERROR(SUMIFS('Base bordo CD'!M$2:M$875,'Base bordo CD'!D$2:D$875,A765,'Base bordo CD'!A$2:A$875,B765,'Base bordo CD'!L$2:L$875,"CORTE DE CANA MECANIZADO"),0)</f>
        <v>6.003333333333333</v>
      </c>
      <c r="F765" s="10">
        <f>IFERROR(SUMIFS('Base bordo CD'!M$2:M$875,'Base bordo CD'!D$2:D$875,A765,'Base bordo CD'!A$2:A$875,B765,'Base bordo CD'!L$2:L$875,"MANOBRA"),0)</f>
        <v>1.921388888888889</v>
      </c>
      <c r="G765" s="10">
        <f>IFERROR(SUMIFS('Base bordo CD'!M$2:M$875,'Base bordo CD'!D$2:D$875,A765,'Base bordo CD'!A$2:A$875,B765,'Base bordo CD'!L$2:L$875,"DESLOCAMENTO"),0)</f>
        <v>0.60138888888888886</v>
      </c>
      <c r="H765" s="10">
        <f>IFERROR(SUMIFS('Base bordo CD'!M$2:M$875,'Base bordo CD'!D$2:D$875,A765,'Base bordo CD'!A$2:A$875,B765,'Base bordo CD'!L$2:L$875,"AGUARDANDO MANOBRA DE TRANSBORDO"),0)+IFERROR(SUMIFS('Base bordo CD'!M$2:M$875,'Base bordo CD'!D$2:D$875,A765,'Base bordo CD'!A$2:A$875,B765,'Base bordo CD'!L$2:L$875,"FALTA DE TRANSBORDO"),0)</f>
        <v>1.1805555555555556</v>
      </c>
      <c r="I765" s="10">
        <f>IFERROR(SUMIFS('Base bordo CD'!M$2:M$875,'Base bordo CD'!D$2:D$875,A765,'Base bordo CD'!A$2:A$875,B765,'Base bordo CD'!L$2:L$875,"PARADA POR CONDICOES CLIMATICAS"),0)+IFERROR(SUMIFS('Base bordo CD'!M$2:M$875,'Base bordo CD'!D$2:D$875,A765,'Base bordo CD'!A$2:A$875,B765,'Base bordo CD'!L$2:L$875,"TEMPO INDETERMINADO"),0)</f>
        <v>5.8274999999999997</v>
      </c>
      <c r="J765" s="10">
        <f>IFERROR(SUMIFS('Base bordo CD'!M$2:M$875,'Base bordo CD'!D$2:D$875,A765,'Base bordo CD'!A$2:A$875,B765,'Base bordo CD'!L$2:L$875,"LIMITAÇÃO INDÚSTRIA"),0)</f>
        <v>6.0438888888888886</v>
      </c>
      <c r="K765" s="10">
        <f>IFERROR(SUMIFS('Base bordo CD'!M$2:M$875,'Base bordo CD'!D$2:D$875,A765,'Base bordo CD'!A$2:A$875,B765,'Base bordo CD'!L$2:L$875,"MAN CORRETIVA*"),0)+IFERROR(SUMIFS('Base bordo CD'!M$2:M$875,'Base bordo CD'!D$2:D$875,A765,'Base bordo CD'!A$2:A$875,B765,'Base bordo CD'!L$2:L$875,"AGUARDANDO MANUTENCAO*"),0)+IFERROR(SUMIFS('Base bordo CD'!M$2:M$875,'Base bordo CD'!D$2:D$875,A765,'Base bordo CD'!A$2:A$875,B765,'Base bordo CD'!L$2:L$875,"TROCA DE FAQUINHA"),0)+IFERROR(SUMIFS('Base bordo CD'!M$2:M$875,'Base bordo CD'!D$2:D$875,A765,'Base bordo CD'!A$2:A$875,B765,'Base bordo CD'!L$2:L$875,"LIMPEZA*"),0)</f>
        <v>0.17416666666666666</v>
      </c>
      <c r="L765" s="10">
        <f>IFERROR(SUMIFS('Base bordo CD'!M$2:M$875,'Base bordo CD'!D$2:D$875,A765,'Base bordo CD'!A$2:A$875,B765,'Base bordo CD'!L$2:L$875,"PATIO - RESERVA"),0)</f>
        <v>0</v>
      </c>
      <c r="M765" s="10">
        <f>IFERROR(SUMIFS('Base bordo CD'!M$2:M$875,'Base bordo CD'!D$2:D$875,A765,'Base bordo CD'!A$2:A$875,B765,'Base bordo CD'!L$2:L$875,"SEM APONTAMENTO"),0)</f>
        <v>6.1111111111111116E-2</v>
      </c>
      <c r="N765" s="10">
        <f>IFERROR(SUMIFS('Base bordo CD'!M$2:M$875,'Base bordo CD'!D$2:D$875,A765,'Base bordo CD'!A$2:A$875,B765,'Base bordo CD'!L$2:L$875,"FALTA DE CAMINHÃO"),0)+IFERROR(SUMIFS('Base bordo CD'!M$2:M$875,'Base bordo CD'!D$2:D$875,A765,'Base bordo CD'!A$2:A$875,B765,'Base bordo CD'!L$2:L$875,"FALTA DE COMBUSTIVEL"),0)+IFERROR(SUMIFS('Base bordo CD'!M$2:M$875,'Base bordo CD'!D$2:D$875,A765,'Base bordo CD'!A$2:A$875,B765,'Base bordo CD'!L$2:L$875,"FALTA DE MOTORIST*"),0)</f>
        <v>0</v>
      </c>
      <c r="O765" s="10">
        <f t="shared" si="60"/>
        <v>2.1866666666666639</v>
      </c>
      <c r="P765" s="10">
        <f>IFERROR(SUMIFS('Base bordo CD'!M$2:M$875,'Base bordo CD'!D$2:D$875,A765,'Base bordo CD'!A$2:A$875,B765),0)</f>
        <v>24</v>
      </c>
      <c r="Q765" s="10">
        <f>IFERROR(SUMIFS('Base bordo CD'!O$2:O$875,'Base bordo CD'!D$2:D$875,A765,'Base bordo CD'!A$2:A$875,B765,'Base bordo CD'!L$2:L$875,"CORTE DE CANA MECANIZADO"),0)</f>
        <v>90232.6</v>
      </c>
      <c r="R765" s="10">
        <f>IFERROR(SUMIFS('Base bordo CD'!Q$2:Q$875,'Base bordo CD'!D$2:D$875,A765,'Base bordo CD'!A$2:A$875,B765,'Base bordo CD'!L$2:L$875,"CORTE DE CANA MECANIZADO"),0)</f>
        <v>21612</v>
      </c>
      <c r="S765" s="30">
        <f t="shared" si="61"/>
        <v>4.1751156764760324</v>
      </c>
      <c r="T765" s="9">
        <f t="shared" si="62"/>
        <v>0.25013888888888886</v>
      </c>
      <c r="U765" s="9">
        <f t="shared" si="63"/>
        <v>8.0057870370370376E-2</v>
      </c>
      <c r="V765" s="9">
        <f t="shared" si="64"/>
        <v>0.72480324074074076</v>
      </c>
    </row>
    <row r="766" spans="1:22" hidden="1" x14ac:dyDescent="0.35">
      <c r="A766" s="52">
        <v>49590</v>
      </c>
      <c r="B766" s="31">
        <v>46118</v>
      </c>
      <c r="C766" s="7" t="s">
        <v>321</v>
      </c>
      <c r="D766" s="7">
        <v>351</v>
      </c>
      <c r="E766" s="10">
        <f>IFERROR(SUMIFS('Base bordo CD'!M$2:M$875,'Base bordo CD'!D$2:D$875,A766,'Base bordo CD'!A$2:A$875,B766,'Base bordo CD'!L$2:L$875,"CORTE DE CANA MECANIZADO"),0)</f>
        <v>6.003333333333333</v>
      </c>
      <c r="F766" s="10">
        <f>IFERROR(SUMIFS('Base bordo CD'!M$2:M$875,'Base bordo CD'!D$2:D$875,A766,'Base bordo CD'!A$2:A$875,B766,'Base bordo CD'!L$2:L$875,"MANOBRA"),0)</f>
        <v>1.921388888888889</v>
      </c>
      <c r="G766" s="10">
        <f>IFERROR(SUMIFS('Base bordo CD'!M$2:M$875,'Base bordo CD'!D$2:D$875,A766,'Base bordo CD'!A$2:A$875,B766,'Base bordo CD'!L$2:L$875,"DESLOCAMENTO"),0)</f>
        <v>0.60138888888888886</v>
      </c>
      <c r="H766" s="10">
        <f>IFERROR(SUMIFS('Base bordo CD'!M$2:M$875,'Base bordo CD'!D$2:D$875,A766,'Base bordo CD'!A$2:A$875,B766,'Base bordo CD'!L$2:L$875,"AGUARDANDO MANOBRA DE TRANSBORDO"),0)+IFERROR(SUMIFS('Base bordo CD'!M$2:M$875,'Base bordo CD'!D$2:D$875,A766,'Base bordo CD'!A$2:A$875,B766,'Base bordo CD'!L$2:L$875,"FALTA DE TRANSBORDO"),0)</f>
        <v>1.1805555555555556</v>
      </c>
      <c r="I766" s="10">
        <f>IFERROR(SUMIFS('Base bordo CD'!M$2:M$875,'Base bordo CD'!D$2:D$875,A766,'Base bordo CD'!A$2:A$875,B766,'Base bordo CD'!L$2:L$875,"PARADA POR CONDICOES CLIMATICAS"),0)+IFERROR(SUMIFS('Base bordo CD'!M$2:M$875,'Base bordo CD'!D$2:D$875,A766,'Base bordo CD'!A$2:A$875,B766,'Base bordo CD'!L$2:L$875,"TEMPO INDETERMINADO"),0)</f>
        <v>5.8274999999999997</v>
      </c>
      <c r="J766" s="10">
        <f>IFERROR(SUMIFS('Base bordo CD'!M$2:M$875,'Base bordo CD'!D$2:D$875,A766,'Base bordo CD'!A$2:A$875,B766,'Base bordo CD'!L$2:L$875,"LIMITAÇÃO INDÚSTRIA"),0)</f>
        <v>6.0438888888888886</v>
      </c>
      <c r="K766" s="10">
        <f>IFERROR(SUMIFS('Base bordo CD'!M$2:M$875,'Base bordo CD'!D$2:D$875,A766,'Base bordo CD'!A$2:A$875,B766,'Base bordo CD'!L$2:L$875,"MAN CORRETIVA*"),0)+IFERROR(SUMIFS('Base bordo CD'!M$2:M$875,'Base bordo CD'!D$2:D$875,A766,'Base bordo CD'!A$2:A$875,B766,'Base bordo CD'!L$2:L$875,"AGUARDANDO MANUTENCAO*"),0)+IFERROR(SUMIFS('Base bordo CD'!M$2:M$875,'Base bordo CD'!D$2:D$875,A766,'Base bordo CD'!A$2:A$875,B766,'Base bordo CD'!L$2:L$875,"TROCA DE FAQUINHA"),0)+IFERROR(SUMIFS('Base bordo CD'!M$2:M$875,'Base bordo CD'!D$2:D$875,A766,'Base bordo CD'!A$2:A$875,B766,'Base bordo CD'!L$2:L$875,"LIMPEZA*"),0)</f>
        <v>0.17416666666666666</v>
      </c>
      <c r="L766" s="10">
        <f>IFERROR(SUMIFS('Base bordo CD'!M$2:M$875,'Base bordo CD'!D$2:D$875,A766,'Base bordo CD'!A$2:A$875,B766,'Base bordo CD'!L$2:L$875,"PATIO - RESERVA"),0)</f>
        <v>0</v>
      </c>
      <c r="M766" s="10">
        <f>IFERROR(SUMIFS('Base bordo CD'!M$2:M$875,'Base bordo CD'!D$2:D$875,A766,'Base bordo CD'!A$2:A$875,B766,'Base bordo CD'!L$2:L$875,"SEM APONTAMENTO"),0)</f>
        <v>6.1111111111111116E-2</v>
      </c>
      <c r="N766" s="10">
        <f>IFERROR(SUMIFS('Base bordo CD'!M$2:M$875,'Base bordo CD'!D$2:D$875,A766,'Base bordo CD'!A$2:A$875,B766,'Base bordo CD'!L$2:L$875,"FALTA DE CAMINHÃO"),0)+IFERROR(SUMIFS('Base bordo CD'!M$2:M$875,'Base bordo CD'!D$2:D$875,A766,'Base bordo CD'!A$2:A$875,B766,'Base bordo CD'!L$2:L$875,"FALTA DE COMBUSTIVEL"),0)+IFERROR(SUMIFS('Base bordo CD'!M$2:M$875,'Base bordo CD'!D$2:D$875,A766,'Base bordo CD'!A$2:A$875,B766,'Base bordo CD'!L$2:L$875,"FALTA DE MOTORIST*"),0)</f>
        <v>0</v>
      </c>
      <c r="O766" s="10">
        <f t="shared" ref="O766:O829" si="65">IFERROR(P766-SUM(E766:N766),0)</f>
        <v>2.1866666666666639</v>
      </c>
      <c r="P766" s="10">
        <f>IFERROR(SUMIFS('Base bordo CD'!M$2:M$875,'Base bordo CD'!D$2:D$875,A766,'Base bordo CD'!A$2:A$875,B766),0)</f>
        <v>24</v>
      </c>
      <c r="Q766" s="10">
        <f>IFERROR(SUMIFS('Base bordo CD'!O$2:O$875,'Base bordo CD'!D$2:D$875,A766,'Base bordo CD'!A$2:A$875,B766,'Base bordo CD'!L$2:L$875,"CORTE DE CANA MECANIZADO"),0)</f>
        <v>90232.6</v>
      </c>
      <c r="R766" s="10">
        <f>IFERROR(SUMIFS('Base bordo CD'!Q$2:Q$875,'Base bordo CD'!D$2:D$875,A766,'Base bordo CD'!A$2:A$875,B766,'Base bordo CD'!L$2:L$875,"CORTE DE CANA MECANIZADO"),0)</f>
        <v>21612</v>
      </c>
      <c r="S766" s="30">
        <f t="shared" ref="S766:S829" si="66">IFERROR(Q766/R766,"")</f>
        <v>4.1751156764760324</v>
      </c>
      <c r="T766" s="9">
        <f t="shared" ref="T766:T829" si="67">IFERROR(E766/P766,0)</f>
        <v>0.25013888888888886</v>
      </c>
      <c r="U766" s="9">
        <f t="shared" ref="U766:U829" si="68">IFERROR(F766/P766,0)</f>
        <v>8.0057870370370376E-2</v>
      </c>
      <c r="V766" s="9">
        <f t="shared" ref="V766:V829" si="69">IFERROR(1-(E766+G766)/P766,0)</f>
        <v>0.72480324074074076</v>
      </c>
    </row>
    <row r="767" spans="1:22" hidden="1" x14ac:dyDescent="0.35">
      <c r="A767" s="52">
        <v>49590</v>
      </c>
      <c r="B767" s="31">
        <v>46118</v>
      </c>
      <c r="C767" s="7" t="s">
        <v>321</v>
      </c>
      <c r="D767" s="7">
        <v>351</v>
      </c>
      <c r="E767" s="10">
        <f>IFERROR(SUMIFS('Base bordo CD'!M$2:M$875,'Base bordo CD'!D$2:D$875,A767,'Base bordo CD'!A$2:A$875,B767,'Base bordo CD'!L$2:L$875,"CORTE DE CANA MECANIZADO"),0)</f>
        <v>6.003333333333333</v>
      </c>
      <c r="F767" s="10">
        <f>IFERROR(SUMIFS('Base bordo CD'!M$2:M$875,'Base bordo CD'!D$2:D$875,A767,'Base bordo CD'!A$2:A$875,B767,'Base bordo CD'!L$2:L$875,"MANOBRA"),0)</f>
        <v>1.921388888888889</v>
      </c>
      <c r="G767" s="10">
        <f>IFERROR(SUMIFS('Base bordo CD'!M$2:M$875,'Base bordo CD'!D$2:D$875,A767,'Base bordo CD'!A$2:A$875,B767,'Base bordo CD'!L$2:L$875,"DESLOCAMENTO"),0)</f>
        <v>0.60138888888888886</v>
      </c>
      <c r="H767" s="10">
        <f>IFERROR(SUMIFS('Base bordo CD'!M$2:M$875,'Base bordo CD'!D$2:D$875,A767,'Base bordo CD'!A$2:A$875,B767,'Base bordo CD'!L$2:L$875,"AGUARDANDO MANOBRA DE TRANSBORDO"),0)+IFERROR(SUMIFS('Base bordo CD'!M$2:M$875,'Base bordo CD'!D$2:D$875,A767,'Base bordo CD'!A$2:A$875,B767,'Base bordo CD'!L$2:L$875,"FALTA DE TRANSBORDO"),0)</f>
        <v>1.1805555555555556</v>
      </c>
      <c r="I767" s="10">
        <f>IFERROR(SUMIFS('Base bordo CD'!M$2:M$875,'Base bordo CD'!D$2:D$875,A767,'Base bordo CD'!A$2:A$875,B767,'Base bordo CD'!L$2:L$875,"PARADA POR CONDICOES CLIMATICAS"),0)+IFERROR(SUMIFS('Base bordo CD'!M$2:M$875,'Base bordo CD'!D$2:D$875,A767,'Base bordo CD'!A$2:A$875,B767,'Base bordo CD'!L$2:L$875,"TEMPO INDETERMINADO"),0)</f>
        <v>5.8274999999999997</v>
      </c>
      <c r="J767" s="10">
        <f>IFERROR(SUMIFS('Base bordo CD'!M$2:M$875,'Base bordo CD'!D$2:D$875,A767,'Base bordo CD'!A$2:A$875,B767,'Base bordo CD'!L$2:L$875,"LIMITAÇÃO INDÚSTRIA"),0)</f>
        <v>6.0438888888888886</v>
      </c>
      <c r="K767" s="10">
        <f>IFERROR(SUMIFS('Base bordo CD'!M$2:M$875,'Base bordo CD'!D$2:D$875,A767,'Base bordo CD'!A$2:A$875,B767,'Base bordo CD'!L$2:L$875,"MAN CORRETIVA*"),0)+IFERROR(SUMIFS('Base bordo CD'!M$2:M$875,'Base bordo CD'!D$2:D$875,A767,'Base bordo CD'!A$2:A$875,B767,'Base bordo CD'!L$2:L$875,"AGUARDANDO MANUTENCAO*"),0)+IFERROR(SUMIFS('Base bordo CD'!M$2:M$875,'Base bordo CD'!D$2:D$875,A767,'Base bordo CD'!A$2:A$875,B767,'Base bordo CD'!L$2:L$875,"TROCA DE FAQUINHA"),0)+IFERROR(SUMIFS('Base bordo CD'!M$2:M$875,'Base bordo CD'!D$2:D$875,A767,'Base bordo CD'!A$2:A$875,B767,'Base bordo CD'!L$2:L$875,"LIMPEZA*"),0)</f>
        <v>0.17416666666666666</v>
      </c>
      <c r="L767" s="10">
        <f>IFERROR(SUMIFS('Base bordo CD'!M$2:M$875,'Base bordo CD'!D$2:D$875,A767,'Base bordo CD'!A$2:A$875,B767,'Base bordo CD'!L$2:L$875,"PATIO - RESERVA"),0)</f>
        <v>0</v>
      </c>
      <c r="M767" s="10">
        <f>IFERROR(SUMIFS('Base bordo CD'!M$2:M$875,'Base bordo CD'!D$2:D$875,A767,'Base bordo CD'!A$2:A$875,B767,'Base bordo CD'!L$2:L$875,"SEM APONTAMENTO"),0)</f>
        <v>6.1111111111111116E-2</v>
      </c>
      <c r="N767" s="10">
        <f>IFERROR(SUMIFS('Base bordo CD'!M$2:M$875,'Base bordo CD'!D$2:D$875,A767,'Base bordo CD'!A$2:A$875,B767,'Base bordo CD'!L$2:L$875,"FALTA DE CAMINHÃO"),0)+IFERROR(SUMIFS('Base bordo CD'!M$2:M$875,'Base bordo CD'!D$2:D$875,A767,'Base bordo CD'!A$2:A$875,B767,'Base bordo CD'!L$2:L$875,"FALTA DE COMBUSTIVEL"),0)+IFERROR(SUMIFS('Base bordo CD'!M$2:M$875,'Base bordo CD'!D$2:D$875,A767,'Base bordo CD'!A$2:A$875,B767,'Base bordo CD'!L$2:L$875,"FALTA DE MOTORIST*"),0)</f>
        <v>0</v>
      </c>
      <c r="O767" s="10">
        <f t="shared" si="65"/>
        <v>2.1866666666666639</v>
      </c>
      <c r="P767" s="10">
        <f>IFERROR(SUMIFS('Base bordo CD'!M$2:M$875,'Base bordo CD'!D$2:D$875,A767,'Base bordo CD'!A$2:A$875,B767),0)</f>
        <v>24</v>
      </c>
      <c r="Q767" s="10">
        <f>IFERROR(SUMIFS('Base bordo CD'!O$2:O$875,'Base bordo CD'!D$2:D$875,A767,'Base bordo CD'!A$2:A$875,B767,'Base bordo CD'!L$2:L$875,"CORTE DE CANA MECANIZADO"),0)</f>
        <v>90232.6</v>
      </c>
      <c r="R767" s="10">
        <f>IFERROR(SUMIFS('Base bordo CD'!Q$2:Q$875,'Base bordo CD'!D$2:D$875,A767,'Base bordo CD'!A$2:A$875,B767,'Base bordo CD'!L$2:L$875,"CORTE DE CANA MECANIZADO"),0)</f>
        <v>21612</v>
      </c>
      <c r="S767" s="30">
        <f t="shared" si="66"/>
        <v>4.1751156764760324</v>
      </c>
      <c r="T767" s="9">
        <f t="shared" si="67"/>
        <v>0.25013888888888886</v>
      </c>
      <c r="U767" s="9">
        <f t="shared" si="68"/>
        <v>8.0057870370370376E-2</v>
      </c>
      <c r="V767" s="9">
        <f t="shared" si="69"/>
        <v>0.72480324074074076</v>
      </c>
    </row>
    <row r="768" spans="1:22" hidden="1" x14ac:dyDescent="0.35">
      <c r="A768" s="52">
        <v>49590</v>
      </c>
      <c r="B768" s="31">
        <v>46118</v>
      </c>
      <c r="C768" s="7" t="s">
        <v>321</v>
      </c>
      <c r="D768" s="7">
        <v>351</v>
      </c>
      <c r="E768" s="10">
        <f>IFERROR(SUMIFS('Base bordo CD'!M$2:M$875,'Base bordo CD'!D$2:D$875,A768,'Base bordo CD'!A$2:A$875,B768,'Base bordo CD'!L$2:L$875,"CORTE DE CANA MECANIZADO"),0)</f>
        <v>6.003333333333333</v>
      </c>
      <c r="F768" s="10">
        <f>IFERROR(SUMIFS('Base bordo CD'!M$2:M$875,'Base bordo CD'!D$2:D$875,A768,'Base bordo CD'!A$2:A$875,B768,'Base bordo CD'!L$2:L$875,"MANOBRA"),0)</f>
        <v>1.921388888888889</v>
      </c>
      <c r="G768" s="10">
        <f>IFERROR(SUMIFS('Base bordo CD'!M$2:M$875,'Base bordo CD'!D$2:D$875,A768,'Base bordo CD'!A$2:A$875,B768,'Base bordo CD'!L$2:L$875,"DESLOCAMENTO"),0)</f>
        <v>0.60138888888888886</v>
      </c>
      <c r="H768" s="10">
        <f>IFERROR(SUMIFS('Base bordo CD'!M$2:M$875,'Base bordo CD'!D$2:D$875,A768,'Base bordo CD'!A$2:A$875,B768,'Base bordo CD'!L$2:L$875,"AGUARDANDO MANOBRA DE TRANSBORDO"),0)+IFERROR(SUMIFS('Base bordo CD'!M$2:M$875,'Base bordo CD'!D$2:D$875,A768,'Base bordo CD'!A$2:A$875,B768,'Base bordo CD'!L$2:L$875,"FALTA DE TRANSBORDO"),0)</f>
        <v>1.1805555555555556</v>
      </c>
      <c r="I768" s="10">
        <f>IFERROR(SUMIFS('Base bordo CD'!M$2:M$875,'Base bordo CD'!D$2:D$875,A768,'Base bordo CD'!A$2:A$875,B768,'Base bordo CD'!L$2:L$875,"PARADA POR CONDICOES CLIMATICAS"),0)+IFERROR(SUMIFS('Base bordo CD'!M$2:M$875,'Base bordo CD'!D$2:D$875,A768,'Base bordo CD'!A$2:A$875,B768,'Base bordo CD'!L$2:L$875,"TEMPO INDETERMINADO"),0)</f>
        <v>5.8274999999999997</v>
      </c>
      <c r="J768" s="10">
        <f>IFERROR(SUMIFS('Base bordo CD'!M$2:M$875,'Base bordo CD'!D$2:D$875,A768,'Base bordo CD'!A$2:A$875,B768,'Base bordo CD'!L$2:L$875,"LIMITAÇÃO INDÚSTRIA"),0)</f>
        <v>6.0438888888888886</v>
      </c>
      <c r="K768" s="10">
        <f>IFERROR(SUMIFS('Base bordo CD'!M$2:M$875,'Base bordo CD'!D$2:D$875,A768,'Base bordo CD'!A$2:A$875,B768,'Base bordo CD'!L$2:L$875,"MAN CORRETIVA*"),0)+IFERROR(SUMIFS('Base bordo CD'!M$2:M$875,'Base bordo CD'!D$2:D$875,A768,'Base bordo CD'!A$2:A$875,B768,'Base bordo CD'!L$2:L$875,"AGUARDANDO MANUTENCAO*"),0)+IFERROR(SUMIFS('Base bordo CD'!M$2:M$875,'Base bordo CD'!D$2:D$875,A768,'Base bordo CD'!A$2:A$875,B768,'Base bordo CD'!L$2:L$875,"TROCA DE FAQUINHA"),0)+IFERROR(SUMIFS('Base bordo CD'!M$2:M$875,'Base bordo CD'!D$2:D$875,A768,'Base bordo CD'!A$2:A$875,B768,'Base bordo CD'!L$2:L$875,"LIMPEZA*"),0)</f>
        <v>0.17416666666666666</v>
      </c>
      <c r="L768" s="10">
        <f>IFERROR(SUMIFS('Base bordo CD'!M$2:M$875,'Base bordo CD'!D$2:D$875,A768,'Base bordo CD'!A$2:A$875,B768,'Base bordo CD'!L$2:L$875,"PATIO - RESERVA"),0)</f>
        <v>0</v>
      </c>
      <c r="M768" s="10">
        <f>IFERROR(SUMIFS('Base bordo CD'!M$2:M$875,'Base bordo CD'!D$2:D$875,A768,'Base bordo CD'!A$2:A$875,B768,'Base bordo CD'!L$2:L$875,"SEM APONTAMENTO"),0)</f>
        <v>6.1111111111111116E-2</v>
      </c>
      <c r="N768" s="10">
        <f>IFERROR(SUMIFS('Base bordo CD'!M$2:M$875,'Base bordo CD'!D$2:D$875,A768,'Base bordo CD'!A$2:A$875,B768,'Base bordo CD'!L$2:L$875,"FALTA DE CAMINHÃO"),0)+IFERROR(SUMIFS('Base bordo CD'!M$2:M$875,'Base bordo CD'!D$2:D$875,A768,'Base bordo CD'!A$2:A$875,B768,'Base bordo CD'!L$2:L$875,"FALTA DE COMBUSTIVEL"),0)+IFERROR(SUMIFS('Base bordo CD'!M$2:M$875,'Base bordo CD'!D$2:D$875,A768,'Base bordo CD'!A$2:A$875,B768,'Base bordo CD'!L$2:L$875,"FALTA DE MOTORIST*"),0)</f>
        <v>0</v>
      </c>
      <c r="O768" s="10">
        <f t="shared" si="65"/>
        <v>2.1866666666666639</v>
      </c>
      <c r="P768" s="10">
        <f>IFERROR(SUMIFS('Base bordo CD'!M$2:M$875,'Base bordo CD'!D$2:D$875,A768,'Base bordo CD'!A$2:A$875,B768),0)</f>
        <v>24</v>
      </c>
      <c r="Q768" s="10">
        <f>IFERROR(SUMIFS('Base bordo CD'!O$2:O$875,'Base bordo CD'!D$2:D$875,A768,'Base bordo CD'!A$2:A$875,B768,'Base bordo CD'!L$2:L$875,"CORTE DE CANA MECANIZADO"),0)</f>
        <v>90232.6</v>
      </c>
      <c r="R768" s="10">
        <f>IFERROR(SUMIFS('Base bordo CD'!Q$2:Q$875,'Base bordo CD'!D$2:D$875,A768,'Base bordo CD'!A$2:A$875,B768,'Base bordo CD'!L$2:L$875,"CORTE DE CANA MECANIZADO"),0)</f>
        <v>21612</v>
      </c>
      <c r="S768" s="30">
        <f t="shared" si="66"/>
        <v>4.1751156764760324</v>
      </c>
      <c r="T768" s="9">
        <f t="shared" si="67"/>
        <v>0.25013888888888886</v>
      </c>
      <c r="U768" s="9">
        <f t="shared" si="68"/>
        <v>8.0057870370370376E-2</v>
      </c>
      <c r="V768" s="9">
        <f t="shared" si="69"/>
        <v>0.72480324074074076</v>
      </c>
    </row>
    <row r="769" spans="1:22" hidden="1" x14ac:dyDescent="0.35">
      <c r="A769" s="52">
        <v>49590</v>
      </c>
      <c r="B769" s="31">
        <v>46118</v>
      </c>
      <c r="C769" s="7" t="s">
        <v>321</v>
      </c>
      <c r="D769" s="7">
        <v>351</v>
      </c>
      <c r="E769" s="10">
        <f>IFERROR(SUMIFS('Base bordo CD'!M$2:M$875,'Base bordo CD'!D$2:D$875,A769,'Base bordo CD'!A$2:A$875,B769,'Base bordo CD'!L$2:L$875,"CORTE DE CANA MECANIZADO"),0)</f>
        <v>6.003333333333333</v>
      </c>
      <c r="F769" s="10">
        <f>IFERROR(SUMIFS('Base bordo CD'!M$2:M$875,'Base bordo CD'!D$2:D$875,A769,'Base bordo CD'!A$2:A$875,B769,'Base bordo CD'!L$2:L$875,"MANOBRA"),0)</f>
        <v>1.921388888888889</v>
      </c>
      <c r="G769" s="10">
        <f>IFERROR(SUMIFS('Base bordo CD'!M$2:M$875,'Base bordo CD'!D$2:D$875,A769,'Base bordo CD'!A$2:A$875,B769,'Base bordo CD'!L$2:L$875,"DESLOCAMENTO"),0)</f>
        <v>0.60138888888888886</v>
      </c>
      <c r="H769" s="10">
        <f>IFERROR(SUMIFS('Base bordo CD'!M$2:M$875,'Base bordo CD'!D$2:D$875,A769,'Base bordo CD'!A$2:A$875,B769,'Base bordo CD'!L$2:L$875,"AGUARDANDO MANOBRA DE TRANSBORDO"),0)+IFERROR(SUMIFS('Base bordo CD'!M$2:M$875,'Base bordo CD'!D$2:D$875,A769,'Base bordo CD'!A$2:A$875,B769,'Base bordo CD'!L$2:L$875,"FALTA DE TRANSBORDO"),0)</f>
        <v>1.1805555555555556</v>
      </c>
      <c r="I769" s="10">
        <f>IFERROR(SUMIFS('Base bordo CD'!M$2:M$875,'Base bordo CD'!D$2:D$875,A769,'Base bordo CD'!A$2:A$875,B769,'Base bordo CD'!L$2:L$875,"PARADA POR CONDICOES CLIMATICAS"),0)+IFERROR(SUMIFS('Base bordo CD'!M$2:M$875,'Base bordo CD'!D$2:D$875,A769,'Base bordo CD'!A$2:A$875,B769,'Base bordo CD'!L$2:L$875,"TEMPO INDETERMINADO"),0)</f>
        <v>5.8274999999999997</v>
      </c>
      <c r="J769" s="10">
        <f>IFERROR(SUMIFS('Base bordo CD'!M$2:M$875,'Base bordo CD'!D$2:D$875,A769,'Base bordo CD'!A$2:A$875,B769,'Base bordo CD'!L$2:L$875,"LIMITAÇÃO INDÚSTRIA"),0)</f>
        <v>6.0438888888888886</v>
      </c>
      <c r="K769" s="10">
        <f>IFERROR(SUMIFS('Base bordo CD'!M$2:M$875,'Base bordo CD'!D$2:D$875,A769,'Base bordo CD'!A$2:A$875,B769,'Base bordo CD'!L$2:L$875,"MAN CORRETIVA*"),0)+IFERROR(SUMIFS('Base bordo CD'!M$2:M$875,'Base bordo CD'!D$2:D$875,A769,'Base bordo CD'!A$2:A$875,B769,'Base bordo CD'!L$2:L$875,"AGUARDANDO MANUTENCAO*"),0)+IFERROR(SUMIFS('Base bordo CD'!M$2:M$875,'Base bordo CD'!D$2:D$875,A769,'Base bordo CD'!A$2:A$875,B769,'Base bordo CD'!L$2:L$875,"TROCA DE FAQUINHA"),0)+IFERROR(SUMIFS('Base bordo CD'!M$2:M$875,'Base bordo CD'!D$2:D$875,A769,'Base bordo CD'!A$2:A$875,B769,'Base bordo CD'!L$2:L$875,"LIMPEZA*"),0)</f>
        <v>0.17416666666666666</v>
      </c>
      <c r="L769" s="10">
        <f>IFERROR(SUMIFS('Base bordo CD'!M$2:M$875,'Base bordo CD'!D$2:D$875,A769,'Base bordo CD'!A$2:A$875,B769,'Base bordo CD'!L$2:L$875,"PATIO - RESERVA"),0)</f>
        <v>0</v>
      </c>
      <c r="M769" s="10">
        <f>IFERROR(SUMIFS('Base bordo CD'!M$2:M$875,'Base bordo CD'!D$2:D$875,A769,'Base bordo CD'!A$2:A$875,B769,'Base bordo CD'!L$2:L$875,"SEM APONTAMENTO"),0)</f>
        <v>6.1111111111111116E-2</v>
      </c>
      <c r="N769" s="10">
        <f>IFERROR(SUMIFS('Base bordo CD'!M$2:M$875,'Base bordo CD'!D$2:D$875,A769,'Base bordo CD'!A$2:A$875,B769,'Base bordo CD'!L$2:L$875,"FALTA DE CAMINHÃO"),0)+IFERROR(SUMIFS('Base bordo CD'!M$2:M$875,'Base bordo CD'!D$2:D$875,A769,'Base bordo CD'!A$2:A$875,B769,'Base bordo CD'!L$2:L$875,"FALTA DE COMBUSTIVEL"),0)+IFERROR(SUMIFS('Base bordo CD'!M$2:M$875,'Base bordo CD'!D$2:D$875,A769,'Base bordo CD'!A$2:A$875,B769,'Base bordo CD'!L$2:L$875,"FALTA DE MOTORIST*"),0)</f>
        <v>0</v>
      </c>
      <c r="O769" s="10">
        <f t="shared" si="65"/>
        <v>2.1866666666666639</v>
      </c>
      <c r="P769" s="10">
        <f>IFERROR(SUMIFS('Base bordo CD'!M$2:M$875,'Base bordo CD'!D$2:D$875,A769,'Base bordo CD'!A$2:A$875,B769),0)</f>
        <v>24</v>
      </c>
      <c r="Q769" s="10">
        <f>IFERROR(SUMIFS('Base bordo CD'!O$2:O$875,'Base bordo CD'!D$2:D$875,A769,'Base bordo CD'!A$2:A$875,B769,'Base bordo CD'!L$2:L$875,"CORTE DE CANA MECANIZADO"),0)</f>
        <v>90232.6</v>
      </c>
      <c r="R769" s="10">
        <f>IFERROR(SUMIFS('Base bordo CD'!Q$2:Q$875,'Base bordo CD'!D$2:D$875,A769,'Base bordo CD'!A$2:A$875,B769,'Base bordo CD'!L$2:L$875,"CORTE DE CANA MECANIZADO"),0)</f>
        <v>21612</v>
      </c>
      <c r="S769" s="30">
        <f t="shared" si="66"/>
        <v>4.1751156764760324</v>
      </c>
      <c r="T769" s="9">
        <f t="shared" si="67"/>
        <v>0.25013888888888886</v>
      </c>
      <c r="U769" s="9">
        <f t="shared" si="68"/>
        <v>8.0057870370370376E-2</v>
      </c>
      <c r="V769" s="9">
        <f t="shared" si="69"/>
        <v>0.72480324074074076</v>
      </c>
    </row>
    <row r="770" spans="1:22" hidden="1" x14ac:dyDescent="0.35">
      <c r="A770" s="52">
        <v>49590</v>
      </c>
      <c r="B770" s="31">
        <v>46118</v>
      </c>
      <c r="C770" s="7" t="s">
        <v>321</v>
      </c>
      <c r="D770" s="7">
        <v>351</v>
      </c>
      <c r="E770" s="10">
        <f>IFERROR(SUMIFS('Base bordo CD'!M$2:M$875,'Base bordo CD'!D$2:D$875,A770,'Base bordo CD'!A$2:A$875,B770,'Base bordo CD'!L$2:L$875,"CORTE DE CANA MECANIZADO"),0)</f>
        <v>6.003333333333333</v>
      </c>
      <c r="F770" s="10">
        <f>IFERROR(SUMIFS('Base bordo CD'!M$2:M$875,'Base bordo CD'!D$2:D$875,A770,'Base bordo CD'!A$2:A$875,B770,'Base bordo CD'!L$2:L$875,"MANOBRA"),0)</f>
        <v>1.921388888888889</v>
      </c>
      <c r="G770" s="10">
        <f>IFERROR(SUMIFS('Base bordo CD'!M$2:M$875,'Base bordo CD'!D$2:D$875,A770,'Base bordo CD'!A$2:A$875,B770,'Base bordo CD'!L$2:L$875,"DESLOCAMENTO"),0)</f>
        <v>0.60138888888888886</v>
      </c>
      <c r="H770" s="10">
        <f>IFERROR(SUMIFS('Base bordo CD'!M$2:M$875,'Base bordo CD'!D$2:D$875,A770,'Base bordo CD'!A$2:A$875,B770,'Base bordo CD'!L$2:L$875,"AGUARDANDO MANOBRA DE TRANSBORDO"),0)+IFERROR(SUMIFS('Base bordo CD'!M$2:M$875,'Base bordo CD'!D$2:D$875,A770,'Base bordo CD'!A$2:A$875,B770,'Base bordo CD'!L$2:L$875,"FALTA DE TRANSBORDO"),0)</f>
        <v>1.1805555555555556</v>
      </c>
      <c r="I770" s="10">
        <f>IFERROR(SUMIFS('Base bordo CD'!M$2:M$875,'Base bordo CD'!D$2:D$875,A770,'Base bordo CD'!A$2:A$875,B770,'Base bordo CD'!L$2:L$875,"PARADA POR CONDICOES CLIMATICAS"),0)+IFERROR(SUMIFS('Base bordo CD'!M$2:M$875,'Base bordo CD'!D$2:D$875,A770,'Base bordo CD'!A$2:A$875,B770,'Base bordo CD'!L$2:L$875,"TEMPO INDETERMINADO"),0)</f>
        <v>5.8274999999999997</v>
      </c>
      <c r="J770" s="10">
        <f>IFERROR(SUMIFS('Base bordo CD'!M$2:M$875,'Base bordo CD'!D$2:D$875,A770,'Base bordo CD'!A$2:A$875,B770,'Base bordo CD'!L$2:L$875,"LIMITAÇÃO INDÚSTRIA"),0)</f>
        <v>6.0438888888888886</v>
      </c>
      <c r="K770" s="10">
        <f>IFERROR(SUMIFS('Base bordo CD'!M$2:M$875,'Base bordo CD'!D$2:D$875,A770,'Base bordo CD'!A$2:A$875,B770,'Base bordo CD'!L$2:L$875,"MAN CORRETIVA*"),0)+IFERROR(SUMIFS('Base bordo CD'!M$2:M$875,'Base bordo CD'!D$2:D$875,A770,'Base bordo CD'!A$2:A$875,B770,'Base bordo CD'!L$2:L$875,"AGUARDANDO MANUTENCAO*"),0)+IFERROR(SUMIFS('Base bordo CD'!M$2:M$875,'Base bordo CD'!D$2:D$875,A770,'Base bordo CD'!A$2:A$875,B770,'Base bordo CD'!L$2:L$875,"TROCA DE FAQUINHA"),0)+IFERROR(SUMIFS('Base bordo CD'!M$2:M$875,'Base bordo CD'!D$2:D$875,A770,'Base bordo CD'!A$2:A$875,B770,'Base bordo CD'!L$2:L$875,"LIMPEZA*"),0)</f>
        <v>0.17416666666666666</v>
      </c>
      <c r="L770" s="10">
        <f>IFERROR(SUMIFS('Base bordo CD'!M$2:M$875,'Base bordo CD'!D$2:D$875,A770,'Base bordo CD'!A$2:A$875,B770,'Base bordo CD'!L$2:L$875,"PATIO - RESERVA"),0)</f>
        <v>0</v>
      </c>
      <c r="M770" s="10">
        <f>IFERROR(SUMIFS('Base bordo CD'!M$2:M$875,'Base bordo CD'!D$2:D$875,A770,'Base bordo CD'!A$2:A$875,B770,'Base bordo CD'!L$2:L$875,"SEM APONTAMENTO"),0)</f>
        <v>6.1111111111111116E-2</v>
      </c>
      <c r="N770" s="10">
        <f>IFERROR(SUMIFS('Base bordo CD'!M$2:M$875,'Base bordo CD'!D$2:D$875,A770,'Base bordo CD'!A$2:A$875,B770,'Base bordo CD'!L$2:L$875,"FALTA DE CAMINHÃO"),0)+IFERROR(SUMIFS('Base bordo CD'!M$2:M$875,'Base bordo CD'!D$2:D$875,A770,'Base bordo CD'!A$2:A$875,B770,'Base bordo CD'!L$2:L$875,"FALTA DE COMBUSTIVEL"),0)+IFERROR(SUMIFS('Base bordo CD'!M$2:M$875,'Base bordo CD'!D$2:D$875,A770,'Base bordo CD'!A$2:A$875,B770,'Base bordo CD'!L$2:L$875,"FALTA DE MOTORIST*"),0)</f>
        <v>0</v>
      </c>
      <c r="O770" s="10">
        <f t="shared" si="65"/>
        <v>2.1866666666666639</v>
      </c>
      <c r="P770" s="10">
        <f>IFERROR(SUMIFS('Base bordo CD'!M$2:M$875,'Base bordo CD'!D$2:D$875,A770,'Base bordo CD'!A$2:A$875,B770),0)</f>
        <v>24</v>
      </c>
      <c r="Q770" s="10">
        <f>IFERROR(SUMIFS('Base bordo CD'!O$2:O$875,'Base bordo CD'!D$2:D$875,A770,'Base bordo CD'!A$2:A$875,B770,'Base bordo CD'!L$2:L$875,"CORTE DE CANA MECANIZADO"),0)</f>
        <v>90232.6</v>
      </c>
      <c r="R770" s="10">
        <f>IFERROR(SUMIFS('Base bordo CD'!Q$2:Q$875,'Base bordo CD'!D$2:D$875,A770,'Base bordo CD'!A$2:A$875,B770,'Base bordo CD'!L$2:L$875,"CORTE DE CANA MECANIZADO"),0)</f>
        <v>21612</v>
      </c>
      <c r="S770" s="30">
        <f t="shared" si="66"/>
        <v>4.1751156764760324</v>
      </c>
      <c r="T770" s="9">
        <f t="shared" si="67"/>
        <v>0.25013888888888886</v>
      </c>
      <c r="U770" s="9">
        <f t="shared" si="68"/>
        <v>8.0057870370370376E-2</v>
      </c>
      <c r="V770" s="9">
        <f t="shared" si="69"/>
        <v>0.72480324074074076</v>
      </c>
    </row>
    <row r="771" spans="1:22" hidden="1" x14ac:dyDescent="0.35">
      <c r="A771" s="52">
        <v>49590</v>
      </c>
      <c r="B771" s="31">
        <v>46118</v>
      </c>
      <c r="C771" s="7" t="s">
        <v>321</v>
      </c>
      <c r="D771" s="7">
        <v>351</v>
      </c>
      <c r="E771" s="10">
        <f>IFERROR(SUMIFS('Base bordo CD'!M$2:M$875,'Base bordo CD'!D$2:D$875,A771,'Base bordo CD'!A$2:A$875,B771,'Base bordo CD'!L$2:L$875,"CORTE DE CANA MECANIZADO"),0)</f>
        <v>6.003333333333333</v>
      </c>
      <c r="F771" s="10">
        <f>IFERROR(SUMIFS('Base bordo CD'!M$2:M$875,'Base bordo CD'!D$2:D$875,A771,'Base bordo CD'!A$2:A$875,B771,'Base bordo CD'!L$2:L$875,"MANOBRA"),0)</f>
        <v>1.921388888888889</v>
      </c>
      <c r="G771" s="10">
        <f>IFERROR(SUMIFS('Base bordo CD'!M$2:M$875,'Base bordo CD'!D$2:D$875,A771,'Base bordo CD'!A$2:A$875,B771,'Base bordo CD'!L$2:L$875,"DESLOCAMENTO"),0)</f>
        <v>0.60138888888888886</v>
      </c>
      <c r="H771" s="10">
        <f>IFERROR(SUMIFS('Base bordo CD'!M$2:M$875,'Base bordo CD'!D$2:D$875,A771,'Base bordo CD'!A$2:A$875,B771,'Base bordo CD'!L$2:L$875,"AGUARDANDO MANOBRA DE TRANSBORDO"),0)+IFERROR(SUMIFS('Base bordo CD'!M$2:M$875,'Base bordo CD'!D$2:D$875,A771,'Base bordo CD'!A$2:A$875,B771,'Base bordo CD'!L$2:L$875,"FALTA DE TRANSBORDO"),0)</f>
        <v>1.1805555555555556</v>
      </c>
      <c r="I771" s="10">
        <f>IFERROR(SUMIFS('Base bordo CD'!M$2:M$875,'Base bordo CD'!D$2:D$875,A771,'Base bordo CD'!A$2:A$875,B771,'Base bordo CD'!L$2:L$875,"PARADA POR CONDICOES CLIMATICAS"),0)+IFERROR(SUMIFS('Base bordo CD'!M$2:M$875,'Base bordo CD'!D$2:D$875,A771,'Base bordo CD'!A$2:A$875,B771,'Base bordo CD'!L$2:L$875,"TEMPO INDETERMINADO"),0)</f>
        <v>5.8274999999999997</v>
      </c>
      <c r="J771" s="10">
        <f>IFERROR(SUMIFS('Base bordo CD'!M$2:M$875,'Base bordo CD'!D$2:D$875,A771,'Base bordo CD'!A$2:A$875,B771,'Base bordo CD'!L$2:L$875,"LIMITAÇÃO INDÚSTRIA"),0)</f>
        <v>6.0438888888888886</v>
      </c>
      <c r="K771" s="10">
        <f>IFERROR(SUMIFS('Base bordo CD'!M$2:M$875,'Base bordo CD'!D$2:D$875,A771,'Base bordo CD'!A$2:A$875,B771,'Base bordo CD'!L$2:L$875,"MAN CORRETIVA*"),0)+IFERROR(SUMIFS('Base bordo CD'!M$2:M$875,'Base bordo CD'!D$2:D$875,A771,'Base bordo CD'!A$2:A$875,B771,'Base bordo CD'!L$2:L$875,"AGUARDANDO MANUTENCAO*"),0)+IFERROR(SUMIFS('Base bordo CD'!M$2:M$875,'Base bordo CD'!D$2:D$875,A771,'Base bordo CD'!A$2:A$875,B771,'Base bordo CD'!L$2:L$875,"TROCA DE FAQUINHA"),0)+IFERROR(SUMIFS('Base bordo CD'!M$2:M$875,'Base bordo CD'!D$2:D$875,A771,'Base bordo CD'!A$2:A$875,B771,'Base bordo CD'!L$2:L$875,"LIMPEZA*"),0)</f>
        <v>0.17416666666666666</v>
      </c>
      <c r="L771" s="10">
        <f>IFERROR(SUMIFS('Base bordo CD'!M$2:M$875,'Base bordo CD'!D$2:D$875,A771,'Base bordo CD'!A$2:A$875,B771,'Base bordo CD'!L$2:L$875,"PATIO - RESERVA"),0)</f>
        <v>0</v>
      </c>
      <c r="M771" s="10">
        <f>IFERROR(SUMIFS('Base bordo CD'!M$2:M$875,'Base bordo CD'!D$2:D$875,A771,'Base bordo CD'!A$2:A$875,B771,'Base bordo CD'!L$2:L$875,"SEM APONTAMENTO"),0)</f>
        <v>6.1111111111111116E-2</v>
      </c>
      <c r="N771" s="10">
        <f>IFERROR(SUMIFS('Base bordo CD'!M$2:M$875,'Base bordo CD'!D$2:D$875,A771,'Base bordo CD'!A$2:A$875,B771,'Base bordo CD'!L$2:L$875,"FALTA DE CAMINHÃO"),0)+IFERROR(SUMIFS('Base bordo CD'!M$2:M$875,'Base bordo CD'!D$2:D$875,A771,'Base bordo CD'!A$2:A$875,B771,'Base bordo CD'!L$2:L$875,"FALTA DE COMBUSTIVEL"),0)+IFERROR(SUMIFS('Base bordo CD'!M$2:M$875,'Base bordo CD'!D$2:D$875,A771,'Base bordo CD'!A$2:A$875,B771,'Base bordo CD'!L$2:L$875,"FALTA DE MOTORIST*"),0)</f>
        <v>0</v>
      </c>
      <c r="O771" s="10">
        <f t="shared" si="65"/>
        <v>2.1866666666666639</v>
      </c>
      <c r="P771" s="10">
        <f>IFERROR(SUMIFS('Base bordo CD'!M$2:M$875,'Base bordo CD'!D$2:D$875,A771,'Base bordo CD'!A$2:A$875,B771),0)</f>
        <v>24</v>
      </c>
      <c r="Q771" s="10">
        <f>IFERROR(SUMIFS('Base bordo CD'!O$2:O$875,'Base bordo CD'!D$2:D$875,A771,'Base bordo CD'!A$2:A$875,B771,'Base bordo CD'!L$2:L$875,"CORTE DE CANA MECANIZADO"),0)</f>
        <v>90232.6</v>
      </c>
      <c r="R771" s="10">
        <f>IFERROR(SUMIFS('Base bordo CD'!Q$2:Q$875,'Base bordo CD'!D$2:D$875,A771,'Base bordo CD'!A$2:A$875,B771,'Base bordo CD'!L$2:L$875,"CORTE DE CANA MECANIZADO"),0)</f>
        <v>21612</v>
      </c>
      <c r="S771" s="30">
        <f t="shared" si="66"/>
        <v>4.1751156764760324</v>
      </c>
      <c r="T771" s="9">
        <f t="shared" si="67"/>
        <v>0.25013888888888886</v>
      </c>
      <c r="U771" s="9">
        <f t="shared" si="68"/>
        <v>8.0057870370370376E-2</v>
      </c>
      <c r="V771" s="9">
        <f t="shared" si="69"/>
        <v>0.72480324074074076</v>
      </c>
    </row>
    <row r="772" spans="1:22" hidden="1" x14ac:dyDescent="0.35">
      <c r="A772" s="52">
        <v>49590</v>
      </c>
      <c r="B772" s="31">
        <v>46118</v>
      </c>
      <c r="C772" s="7" t="s">
        <v>321</v>
      </c>
      <c r="D772" s="7">
        <v>351</v>
      </c>
      <c r="E772" s="10">
        <f>IFERROR(SUMIFS('Base bordo CD'!M$2:M$875,'Base bordo CD'!D$2:D$875,A772,'Base bordo CD'!A$2:A$875,B772,'Base bordo CD'!L$2:L$875,"CORTE DE CANA MECANIZADO"),0)</f>
        <v>6.003333333333333</v>
      </c>
      <c r="F772" s="10">
        <f>IFERROR(SUMIFS('Base bordo CD'!M$2:M$875,'Base bordo CD'!D$2:D$875,A772,'Base bordo CD'!A$2:A$875,B772,'Base bordo CD'!L$2:L$875,"MANOBRA"),0)</f>
        <v>1.921388888888889</v>
      </c>
      <c r="G772" s="10">
        <f>IFERROR(SUMIFS('Base bordo CD'!M$2:M$875,'Base bordo CD'!D$2:D$875,A772,'Base bordo CD'!A$2:A$875,B772,'Base bordo CD'!L$2:L$875,"DESLOCAMENTO"),0)</f>
        <v>0.60138888888888886</v>
      </c>
      <c r="H772" s="10">
        <f>IFERROR(SUMIFS('Base bordo CD'!M$2:M$875,'Base bordo CD'!D$2:D$875,A772,'Base bordo CD'!A$2:A$875,B772,'Base bordo CD'!L$2:L$875,"AGUARDANDO MANOBRA DE TRANSBORDO"),0)+IFERROR(SUMIFS('Base bordo CD'!M$2:M$875,'Base bordo CD'!D$2:D$875,A772,'Base bordo CD'!A$2:A$875,B772,'Base bordo CD'!L$2:L$875,"FALTA DE TRANSBORDO"),0)</f>
        <v>1.1805555555555556</v>
      </c>
      <c r="I772" s="10">
        <f>IFERROR(SUMIFS('Base bordo CD'!M$2:M$875,'Base bordo CD'!D$2:D$875,A772,'Base bordo CD'!A$2:A$875,B772,'Base bordo CD'!L$2:L$875,"PARADA POR CONDICOES CLIMATICAS"),0)+IFERROR(SUMIFS('Base bordo CD'!M$2:M$875,'Base bordo CD'!D$2:D$875,A772,'Base bordo CD'!A$2:A$875,B772,'Base bordo CD'!L$2:L$875,"TEMPO INDETERMINADO"),0)</f>
        <v>5.8274999999999997</v>
      </c>
      <c r="J772" s="10">
        <f>IFERROR(SUMIFS('Base bordo CD'!M$2:M$875,'Base bordo CD'!D$2:D$875,A772,'Base bordo CD'!A$2:A$875,B772,'Base bordo CD'!L$2:L$875,"LIMITAÇÃO INDÚSTRIA"),0)</f>
        <v>6.0438888888888886</v>
      </c>
      <c r="K772" s="10">
        <f>IFERROR(SUMIFS('Base bordo CD'!M$2:M$875,'Base bordo CD'!D$2:D$875,A772,'Base bordo CD'!A$2:A$875,B772,'Base bordo CD'!L$2:L$875,"MAN CORRETIVA*"),0)+IFERROR(SUMIFS('Base bordo CD'!M$2:M$875,'Base bordo CD'!D$2:D$875,A772,'Base bordo CD'!A$2:A$875,B772,'Base bordo CD'!L$2:L$875,"AGUARDANDO MANUTENCAO*"),0)+IFERROR(SUMIFS('Base bordo CD'!M$2:M$875,'Base bordo CD'!D$2:D$875,A772,'Base bordo CD'!A$2:A$875,B772,'Base bordo CD'!L$2:L$875,"TROCA DE FAQUINHA"),0)+IFERROR(SUMIFS('Base bordo CD'!M$2:M$875,'Base bordo CD'!D$2:D$875,A772,'Base bordo CD'!A$2:A$875,B772,'Base bordo CD'!L$2:L$875,"LIMPEZA*"),0)</f>
        <v>0.17416666666666666</v>
      </c>
      <c r="L772" s="10">
        <f>IFERROR(SUMIFS('Base bordo CD'!M$2:M$875,'Base bordo CD'!D$2:D$875,A772,'Base bordo CD'!A$2:A$875,B772,'Base bordo CD'!L$2:L$875,"PATIO - RESERVA"),0)</f>
        <v>0</v>
      </c>
      <c r="M772" s="10">
        <f>IFERROR(SUMIFS('Base bordo CD'!M$2:M$875,'Base bordo CD'!D$2:D$875,A772,'Base bordo CD'!A$2:A$875,B772,'Base bordo CD'!L$2:L$875,"SEM APONTAMENTO"),0)</f>
        <v>6.1111111111111116E-2</v>
      </c>
      <c r="N772" s="10">
        <f>IFERROR(SUMIFS('Base bordo CD'!M$2:M$875,'Base bordo CD'!D$2:D$875,A772,'Base bordo CD'!A$2:A$875,B772,'Base bordo CD'!L$2:L$875,"FALTA DE CAMINHÃO"),0)+IFERROR(SUMIFS('Base bordo CD'!M$2:M$875,'Base bordo CD'!D$2:D$875,A772,'Base bordo CD'!A$2:A$875,B772,'Base bordo CD'!L$2:L$875,"FALTA DE COMBUSTIVEL"),0)+IFERROR(SUMIFS('Base bordo CD'!M$2:M$875,'Base bordo CD'!D$2:D$875,A772,'Base bordo CD'!A$2:A$875,B772,'Base bordo CD'!L$2:L$875,"FALTA DE MOTORIST*"),0)</f>
        <v>0</v>
      </c>
      <c r="O772" s="10">
        <f t="shared" si="65"/>
        <v>2.1866666666666639</v>
      </c>
      <c r="P772" s="10">
        <f>IFERROR(SUMIFS('Base bordo CD'!M$2:M$875,'Base bordo CD'!D$2:D$875,A772,'Base bordo CD'!A$2:A$875,B772),0)</f>
        <v>24</v>
      </c>
      <c r="Q772" s="10">
        <f>IFERROR(SUMIFS('Base bordo CD'!O$2:O$875,'Base bordo CD'!D$2:D$875,A772,'Base bordo CD'!A$2:A$875,B772,'Base bordo CD'!L$2:L$875,"CORTE DE CANA MECANIZADO"),0)</f>
        <v>90232.6</v>
      </c>
      <c r="R772" s="10">
        <f>IFERROR(SUMIFS('Base bordo CD'!Q$2:Q$875,'Base bordo CD'!D$2:D$875,A772,'Base bordo CD'!A$2:A$875,B772,'Base bordo CD'!L$2:L$875,"CORTE DE CANA MECANIZADO"),0)</f>
        <v>21612</v>
      </c>
      <c r="S772" s="30">
        <f t="shared" si="66"/>
        <v>4.1751156764760324</v>
      </c>
      <c r="T772" s="9">
        <f t="shared" si="67"/>
        <v>0.25013888888888886</v>
      </c>
      <c r="U772" s="9">
        <f t="shared" si="68"/>
        <v>8.0057870370370376E-2</v>
      </c>
      <c r="V772" s="9">
        <f t="shared" si="69"/>
        <v>0.72480324074074076</v>
      </c>
    </row>
    <row r="773" spans="1:22" hidden="1" x14ac:dyDescent="0.35">
      <c r="A773" s="52">
        <v>49590</v>
      </c>
      <c r="B773" s="31">
        <v>46118</v>
      </c>
      <c r="C773" s="7" t="s">
        <v>321</v>
      </c>
      <c r="D773" s="7">
        <v>351</v>
      </c>
      <c r="E773" s="10">
        <f>IFERROR(SUMIFS('Base bordo CD'!M$2:M$875,'Base bordo CD'!D$2:D$875,A773,'Base bordo CD'!A$2:A$875,B773,'Base bordo CD'!L$2:L$875,"CORTE DE CANA MECANIZADO"),0)</f>
        <v>6.003333333333333</v>
      </c>
      <c r="F773" s="10">
        <f>IFERROR(SUMIFS('Base bordo CD'!M$2:M$875,'Base bordo CD'!D$2:D$875,A773,'Base bordo CD'!A$2:A$875,B773,'Base bordo CD'!L$2:L$875,"MANOBRA"),0)</f>
        <v>1.921388888888889</v>
      </c>
      <c r="G773" s="10">
        <f>IFERROR(SUMIFS('Base bordo CD'!M$2:M$875,'Base bordo CD'!D$2:D$875,A773,'Base bordo CD'!A$2:A$875,B773,'Base bordo CD'!L$2:L$875,"DESLOCAMENTO"),0)</f>
        <v>0.60138888888888886</v>
      </c>
      <c r="H773" s="10">
        <f>IFERROR(SUMIFS('Base bordo CD'!M$2:M$875,'Base bordo CD'!D$2:D$875,A773,'Base bordo CD'!A$2:A$875,B773,'Base bordo CD'!L$2:L$875,"AGUARDANDO MANOBRA DE TRANSBORDO"),0)+IFERROR(SUMIFS('Base bordo CD'!M$2:M$875,'Base bordo CD'!D$2:D$875,A773,'Base bordo CD'!A$2:A$875,B773,'Base bordo CD'!L$2:L$875,"FALTA DE TRANSBORDO"),0)</f>
        <v>1.1805555555555556</v>
      </c>
      <c r="I773" s="10">
        <f>IFERROR(SUMIFS('Base bordo CD'!M$2:M$875,'Base bordo CD'!D$2:D$875,A773,'Base bordo CD'!A$2:A$875,B773,'Base bordo CD'!L$2:L$875,"PARADA POR CONDICOES CLIMATICAS"),0)+IFERROR(SUMIFS('Base bordo CD'!M$2:M$875,'Base bordo CD'!D$2:D$875,A773,'Base bordo CD'!A$2:A$875,B773,'Base bordo CD'!L$2:L$875,"TEMPO INDETERMINADO"),0)</f>
        <v>5.8274999999999997</v>
      </c>
      <c r="J773" s="10">
        <f>IFERROR(SUMIFS('Base bordo CD'!M$2:M$875,'Base bordo CD'!D$2:D$875,A773,'Base bordo CD'!A$2:A$875,B773,'Base bordo CD'!L$2:L$875,"LIMITAÇÃO INDÚSTRIA"),0)</f>
        <v>6.0438888888888886</v>
      </c>
      <c r="K773" s="10">
        <f>IFERROR(SUMIFS('Base bordo CD'!M$2:M$875,'Base bordo CD'!D$2:D$875,A773,'Base bordo CD'!A$2:A$875,B773,'Base bordo CD'!L$2:L$875,"MAN CORRETIVA*"),0)+IFERROR(SUMIFS('Base bordo CD'!M$2:M$875,'Base bordo CD'!D$2:D$875,A773,'Base bordo CD'!A$2:A$875,B773,'Base bordo CD'!L$2:L$875,"AGUARDANDO MANUTENCAO*"),0)+IFERROR(SUMIFS('Base bordo CD'!M$2:M$875,'Base bordo CD'!D$2:D$875,A773,'Base bordo CD'!A$2:A$875,B773,'Base bordo CD'!L$2:L$875,"TROCA DE FAQUINHA"),0)+IFERROR(SUMIFS('Base bordo CD'!M$2:M$875,'Base bordo CD'!D$2:D$875,A773,'Base bordo CD'!A$2:A$875,B773,'Base bordo CD'!L$2:L$875,"LIMPEZA*"),0)</f>
        <v>0.17416666666666666</v>
      </c>
      <c r="L773" s="10">
        <f>IFERROR(SUMIFS('Base bordo CD'!M$2:M$875,'Base bordo CD'!D$2:D$875,A773,'Base bordo CD'!A$2:A$875,B773,'Base bordo CD'!L$2:L$875,"PATIO - RESERVA"),0)</f>
        <v>0</v>
      </c>
      <c r="M773" s="10">
        <f>IFERROR(SUMIFS('Base bordo CD'!M$2:M$875,'Base bordo CD'!D$2:D$875,A773,'Base bordo CD'!A$2:A$875,B773,'Base bordo CD'!L$2:L$875,"SEM APONTAMENTO"),0)</f>
        <v>6.1111111111111116E-2</v>
      </c>
      <c r="N773" s="10">
        <f>IFERROR(SUMIFS('Base bordo CD'!M$2:M$875,'Base bordo CD'!D$2:D$875,A773,'Base bordo CD'!A$2:A$875,B773,'Base bordo CD'!L$2:L$875,"FALTA DE CAMINHÃO"),0)+IFERROR(SUMIFS('Base bordo CD'!M$2:M$875,'Base bordo CD'!D$2:D$875,A773,'Base bordo CD'!A$2:A$875,B773,'Base bordo CD'!L$2:L$875,"FALTA DE COMBUSTIVEL"),0)+IFERROR(SUMIFS('Base bordo CD'!M$2:M$875,'Base bordo CD'!D$2:D$875,A773,'Base bordo CD'!A$2:A$875,B773,'Base bordo CD'!L$2:L$875,"FALTA DE MOTORIST*"),0)</f>
        <v>0</v>
      </c>
      <c r="O773" s="10">
        <f t="shared" si="65"/>
        <v>2.1866666666666639</v>
      </c>
      <c r="P773" s="10">
        <f>IFERROR(SUMIFS('Base bordo CD'!M$2:M$875,'Base bordo CD'!D$2:D$875,A773,'Base bordo CD'!A$2:A$875,B773),0)</f>
        <v>24</v>
      </c>
      <c r="Q773" s="10">
        <f>IFERROR(SUMIFS('Base bordo CD'!O$2:O$875,'Base bordo CD'!D$2:D$875,A773,'Base bordo CD'!A$2:A$875,B773,'Base bordo CD'!L$2:L$875,"CORTE DE CANA MECANIZADO"),0)</f>
        <v>90232.6</v>
      </c>
      <c r="R773" s="10">
        <f>IFERROR(SUMIFS('Base bordo CD'!Q$2:Q$875,'Base bordo CD'!D$2:D$875,A773,'Base bordo CD'!A$2:A$875,B773,'Base bordo CD'!L$2:L$875,"CORTE DE CANA MECANIZADO"),0)</f>
        <v>21612</v>
      </c>
      <c r="S773" s="30">
        <f t="shared" si="66"/>
        <v>4.1751156764760324</v>
      </c>
      <c r="T773" s="9">
        <f t="shared" si="67"/>
        <v>0.25013888888888886</v>
      </c>
      <c r="U773" s="9">
        <f t="shared" si="68"/>
        <v>8.0057870370370376E-2</v>
      </c>
      <c r="V773" s="9">
        <f t="shared" si="69"/>
        <v>0.72480324074074076</v>
      </c>
    </row>
    <row r="774" spans="1:22" hidden="1" x14ac:dyDescent="0.35">
      <c r="A774" s="52">
        <v>49590</v>
      </c>
      <c r="B774" s="31">
        <v>46118</v>
      </c>
      <c r="C774" s="7" t="s">
        <v>321</v>
      </c>
      <c r="D774" s="7">
        <v>351</v>
      </c>
      <c r="E774" s="10">
        <f>IFERROR(SUMIFS('Base bordo CD'!M$2:M$875,'Base bordo CD'!D$2:D$875,A774,'Base bordo CD'!A$2:A$875,B774,'Base bordo CD'!L$2:L$875,"CORTE DE CANA MECANIZADO"),0)</f>
        <v>6.003333333333333</v>
      </c>
      <c r="F774" s="10">
        <f>IFERROR(SUMIFS('Base bordo CD'!M$2:M$875,'Base bordo CD'!D$2:D$875,A774,'Base bordo CD'!A$2:A$875,B774,'Base bordo CD'!L$2:L$875,"MANOBRA"),0)</f>
        <v>1.921388888888889</v>
      </c>
      <c r="G774" s="10">
        <f>IFERROR(SUMIFS('Base bordo CD'!M$2:M$875,'Base bordo CD'!D$2:D$875,A774,'Base bordo CD'!A$2:A$875,B774,'Base bordo CD'!L$2:L$875,"DESLOCAMENTO"),0)</f>
        <v>0.60138888888888886</v>
      </c>
      <c r="H774" s="10">
        <f>IFERROR(SUMIFS('Base bordo CD'!M$2:M$875,'Base bordo CD'!D$2:D$875,A774,'Base bordo CD'!A$2:A$875,B774,'Base bordo CD'!L$2:L$875,"AGUARDANDO MANOBRA DE TRANSBORDO"),0)+IFERROR(SUMIFS('Base bordo CD'!M$2:M$875,'Base bordo CD'!D$2:D$875,A774,'Base bordo CD'!A$2:A$875,B774,'Base bordo CD'!L$2:L$875,"FALTA DE TRANSBORDO"),0)</f>
        <v>1.1805555555555556</v>
      </c>
      <c r="I774" s="10">
        <f>IFERROR(SUMIFS('Base bordo CD'!M$2:M$875,'Base bordo CD'!D$2:D$875,A774,'Base bordo CD'!A$2:A$875,B774,'Base bordo CD'!L$2:L$875,"PARADA POR CONDICOES CLIMATICAS"),0)+IFERROR(SUMIFS('Base bordo CD'!M$2:M$875,'Base bordo CD'!D$2:D$875,A774,'Base bordo CD'!A$2:A$875,B774,'Base bordo CD'!L$2:L$875,"TEMPO INDETERMINADO"),0)</f>
        <v>5.8274999999999997</v>
      </c>
      <c r="J774" s="10">
        <f>IFERROR(SUMIFS('Base bordo CD'!M$2:M$875,'Base bordo CD'!D$2:D$875,A774,'Base bordo CD'!A$2:A$875,B774,'Base bordo CD'!L$2:L$875,"LIMITAÇÃO INDÚSTRIA"),0)</f>
        <v>6.0438888888888886</v>
      </c>
      <c r="K774" s="10">
        <f>IFERROR(SUMIFS('Base bordo CD'!M$2:M$875,'Base bordo CD'!D$2:D$875,A774,'Base bordo CD'!A$2:A$875,B774,'Base bordo CD'!L$2:L$875,"MAN CORRETIVA*"),0)+IFERROR(SUMIFS('Base bordo CD'!M$2:M$875,'Base bordo CD'!D$2:D$875,A774,'Base bordo CD'!A$2:A$875,B774,'Base bordo CD'!L$2:L$875,"AGUARDANDO MANUTENCAO*"),0)+IFERROR(SUMIFS('Base bordo CD'!M$2:M$875,'Base bordo CD'!D$2:D$875,A774,'Base bordo CD'!A$2:A$875,B774,'Base bordo CD'!L$2:L$875,"TROCA DE FAQUINHA"),0)+IFERROR(SUMIFS('Base bordo CD'!M$2:M$875,'Base bordo CD'!D$2:D$875,A774,'Base bordo CD'!A$2:A$875,B774,'Base bordo CD'!L$2:L$875,"LIMPEZA*"),0)</f>
        <v>0.17416666666666666</v>
      </c>
      <c r="L774" s="10">
        <f>IFERROR(SUMIFS('Base bordo CD'!M$2:M$875,'Base bordo CD'!D$2:D$875,A774,'Base bordo CD'!A$2:A$875,B774,'Base bordo CD'!L$2:L$875,"PATIO - RESERVA"),0)</f>
        <v>0</v>
      </c>
      <c r="M774" s="10">
        <f>IFERROR(SUMIFS('Base bordo CD'!M$2:M$875,'Base bordo CD'!D$2:D$875,A774,'Base bordo CD'!A$2:A$875,B774,'Base bordo CD'!L$2:L$875,"SEM APONTAMENTO"),0)</f>
        <v>6.1111111111111116E-2</v>
      </c>
      <c r="N774" s="10">
        <f>IFERROR(SUMIFS('Base bordo CD'!M$2:M$875,'Base bordo CD'!D$2:D$875,A774,'Base bordo CD'!A$2:A$875,B774,'Base bordo CD'!L$2:L$875,"FALTA DE CAMINHÃO"),0)+IFERROR(SUMIFS('Base bordo CD'!M$2:M$875,'Base bordo CD'!D$2:D$875,A774,'Base bordo CD'!A$2:A$875,B774,'Base bordo CD'!L$2:L$875,"FALTA DE COMBUSTIVEL"),0)+IFERROR(SUMIFS('Base bordo CD'!M$2:M$875,'Base bordo CD'!D$2:D$875,A774,'Base bordo CD'!A$2:A$875,B774,'Base bordo CD'!L$2:L$875,"FALTA DE MOTORIST*"),0)</f>
        <v>0</v>
      </c>
      <c r="O774" s="10">
        <f t="shared" si="65"/>
        <v>2.1866666666666639</v>
      </c>
      <c r="P774" s="10">
        <f>IFERROR(SUMIFS('Base bordo CD'!M$2:M$875,'Base bordo CD'!D$2:D$875,A774,'Base bordo CD'!A$2:A$875,B774),0)</f>
        <v>24</v>
      </c>
      <c r="Q774" s="10">
        <f>IFERROR(SUMIFS('Base bordo CD'!O$2:O$875,'Base bordo CD'!D$2:D$875,A774,'Base bordo CD'!A$2:A$875,B774,'Base bordo CD'!L$2:L$875,"CORTE DE CANA MECANIZADO"),0)</f>
        <v>90232.6</v>
      </c>
      <c r="R774" s="10">
        <f>IFERROR(SUMIFS('Base bordo CD'!Q$2:Q$875,'Base bordo CD'!D$2:D$875,A774,'Base bordo CD'!A$2:A$875,B774,'Base bordo CD'!L$2:L$875,"CORTE DE CANA MECANIZADO"),0)</f>
        <v>21612</v>
      </c>
      <c r="S774" s="30">
        <f t="shared" si="66"/>
        <v>4.1751156764760324</v>
      </c>
      <c r="T774" s="9">
        <f t="shared" si="67"/>
        <v>0.25013888888888886</v>
      </c>
      <c r="U774" s="9">
        <f t="shared" si="68"/>
        <v>8.0057870370370376E-2</v>
      </c>
      <c r="V774" s="9">
        <f t="shared" si="69"/>
        <v>0.72480324074074076</v>
      </c>
    </row>
    <row r="775" spans="1:22" hidden="1" x14ac:dyDescent="0.35">
      <c r="A775" s="52">
        <v>49590</v>
      </c>
      <c r="B775" s="31">
        <v>46118</v>
      </c>
      <c r="C775" s="7" t="s">
        <v>321</v>
      </c>
      <c r="D775" s="7">
        <v>351</v>
      </c>
      <c r="E775" s="10">
        <f>IFERROR(SUMIFS('Base bordo CD'!M$2:M$875,'Base bordo CD'!D$2:D$875,A775,'Base bordo CD'!A$2:A$875,B775,'Base bordo CD'!L$2:L$875,"CORTE DE CANA MECANIZADO"),0)</f>
        <v>6.003333333333333</v>
      </c>
      <c r="F775" s="10">
        <f>IFERROR(SUMIFS('Base bordo CD'!M$2:M$875,'Base bordo CD'!D$2:D$875,A775,'Base bordo CD'!A$2:A$875,B775,'Base bordo CD'!L$2:L$875,"MANOBRA"),0)</f>
        <v>1.921388888888889</v>
      </c>
      <c r="G775" s="10">
        <f>IFERROR(SUMIFS('Base bordo CD'!M$2:M$875,'Base bordo CD'!D$2:D$875,A775,'Base bordo CD'!A$2:A$875,B775,'Base bordo CD'!L$2:L$875,"DESLOCAMENTO"),0)</f>
        <v>0.60138888888888886</v>
      </c>
      <c r="H775" s="10">
        <f>IFERROR(SUMIFS('Base bordo CD'!M$2:M$875,'Base bordo CD'!D$2:D$875,A775,'Base bordo CD'!A$2:A$875,B775,'Base bordo CD'!L$2:L$875,"AGUARDANDO MANOBRA DE TRANSBORDO"),0)+IFERROR(SUMIFS('Base bordo CD'!M$2:M$875,'Base bordo CD'!D$2:D$875,A775,'Base bordo CD'!A$2:A$875,B775,'Base bordo CD'!L$2:L$875,"FALTA DE TRANSBORDO"),0)</f>
        <v>1.1805555555555556</v>
      </c>
      <c r="I775" s="10">
        <f>IFERROR(SUMIFS('Base bordo CD'!M$2:M$875,'Base bordo CD'!D$2:D$875,A775,'Base bordo CD'!A$2:A$875,B775,'Base bordo CD'!L$2:L$875,"PARADA POR CONDICOES CLIMATICAS"),0)+IFERROR(SUMIFS('Base bordo CD'!M$2:M$875,'Base bordo CD'!D$2:D$875,A775,'Base bordo CD'!A$2:A$875,B775,'Base bordo CD'!L$2:L$875,"TEMPO INDETERMINADO"),0)</f>
        <v>5.8274999999999997</v>
      </c>
      <c r="J775" s="10">
        <f>IFERROR(SUMIFS('Base bordo CD'!M$2:M$875,'Base bordo CD'!D$2:D$875,A775,'Base bordo CD'!A$2:A$875,B775,'Base bordo CD'!L$2:L$875,"LIMITAÇÃO INDÚSTRIA"),0)</f>
        <v>6.0438888888888886</v>
      </c>
      <c r="K775" s="10">
        <f>IFERROR(SUMIFS('Base bordo CD'!M$2:M$875,'Base bordo CD'!D$2:D$875,A775,'Base bordo CD'!A$2:A$875,B775,'Base bordo CD'!L$2:L$875,"MAN CORRETIVA*"),0)+IFERROR(SUMIFS('Base bordo CD'!M$2:M$875,'Base bordo CD'!D$2:D$875,A775,'Base bordo CD'!A$2:A$875,B775,'Base bordo CD'!L$2:L$875,"AGUARDANDO MANUTENCAO*"),0)+IFERROR(SUMIFS('Base bordo CD'!M$2:M$875,'Base bordo CD'!D$2:D$875,A775,'Base bordo CD'!A$2:A$875,B775,'Base bordo CD'!L$2:L$875,"TROCA DE FAQUINHA"),0)+IFERROR(SUMIFS('Base bordo CD'!M$2:M$875,'Base bordo CD'!D$2:D$875,A775,'Base bordo CD'!A$2:A$875,B775,'Base bordo CD'!L$2:L$875,"LIMPEZA*"),0)</f>
        <v>0.17416666666666666</v>
      </c>
      <c r="L775" s="10">
        <f>IFERROR(SUMIFS('Base bordo CD'!M$2:M$875,'Base bordo CD'!D$2:D$875,A775,'Base bordo CD'!A$2:A$875,B775,'Base bordo CD'!L$2:L$875,"PATIO - RESERVA"),0)</f>
        <v>0</v>
      </c>
      <c r="M775" s="10">
        <f>IFERROR(SUMIFS('Base bordo CD'!M$2:M$875,'Base bordo CD'!D$2:D$875,A775,'Base bordo CD'!A$2:A$875,B775,'Base bordo CD'!L$2:L$875,"SEM APONTAMENTO"),0)</f>
        <v>6.1111111111111116E-2</v>
      </c>
      <c r="N775" s="10">
        <f>IFERROR(SUMIFS('Base bordo CD'!M$2:M$875,'Base bordo CD'!D$2:D$875,A775,'Base bordo CD'!A$2:A$875,B775,'Base bordo CD'!L$2:L$875,"FALTA DE CAMINHÃO"),0)+IFERROR(SUMIFS('Base bordo CD'!M$2:M$875,'Base bordo CD'!D$2:D$875,A775,'Base bordo CD'!A$2:A$875,B775,'Base bordo CD'!L$2:L$875,"FALTA DE COMBUSTIVEL"),0)+IFERROR(SUMIFS('Base bordo CD'!M$2:M$875,'Base bordo CD'!D$2:D$875,A775,'Base bordo CD'!A$2:A$875,B775,'Base bordo CD'!L$2:L$875,"FALTA DE MOTORIST*"),0)</f>
        <v>0</v>
      </c>
      <c r="O775" s="10">
        <f t="shared" si="65"/>
        <v>2.1866666666666639</v>
      </c>
      <c r="P775" s="10">
        <f>IFERROR(SUMIFS('Base bordo CD'!M$2:M$875,'Base bordo CD'!D$2:D$875,A775,'Base bordo CD'!A$2:A$875,B775),0)</f>
        <v>24</v>
      </c>
      <c r="Q775" s="10">
        <f>IFERROR(SUMIFS('Base bordo CD'!O$2:O$875,'Base bordo CD'!D$2:D$875,A775,'Base bordo CD'!A$2:A$875,B775,'Base bordo CD'!L$2:L$875,"CORTE DE CANA MECANIZADO"),0)</f>
        <v>90232.6</v>
      </c>
      <c r="R775" s="10">
        <f>IFERROR(SUMIFS('Base bordo CD'!Q$2:Q$875,'Base bordo CD'!D$2:D$875,A775,'Base bordo CD'!A$2:A$875,B775,'Base bordo CD'!L$2:L$875,"CORTE DE CANA MECANIZADO"),0)</f>
        <v>21612</v>
      </c>
      <c r="S775" s="30">
        <f t="shared" si="66"/>
        <v>4.1751156764760324</v>
      </c>
      <c r="T775" s="9">
        <f t="shared" si="67"/>
        <v>0.25013888888888886</v>
      </c>
      <c r="U775" s="9">
        <f t="shared" si="68"/>
        <v>8.0057870370370376E-2</v>
      </c>
      <c r="V775" s="9">
        <f t="shared" si="69"/>
        <v>0.72480324074074076</v>
      </c>
    </row>
    <row r="776" spans="1:22" hidden="1" x14ac:dyDescent="0.35">
      <c r="A776" s="52">
        <v>49590</v>
      </c>
      <c r="B776" s="31">
        <v>46118</v>
      </c>
      <c r="C776" s="7" t="s">
        <v>321</v>
      </c>
      <c r="D776" s="7">
        <v>351</v>
      </c>
      <c r="E776" s="10">
        <f>IFERROR(SUMIFS('Base bordo CD'!M$2:M$875,'Base bordo CD'!D$2:D$875,A776,'Base bordo CD'!A$2:A$875,B776,'Base bordo CD'!L$2:L$875,"CORTE DE CANA MECANIZADO"),0)</f>
        <v>6.003333333333333</v>
      </c>
      <c r="F776" s="10">
        <f>IFERROR(SUMIFS('Base bordo CD'!M$2:M$875,'Base bordo CD'!D$2:D$875,A776,'Base bordo CD'!A$2:A$875,B776,'Base bordo CD'!L$2:L$875,"MANOBRA"),0)</f>
        <v>1.921388888888889</v>
      </c>
      <c r="G776" s="10">
        <f>IFERROR(SUMIFS('Base bordo CD'!M$2:M$875,'Base bordo CD'!D$2:D$875,A776,'Base bordo CD'!A$2:A$875,B776,'Base bordo CD'!L$2:L$875,"DESLOCAMENTO"),0)</f>
        <v>0.60138888888888886</v>
      </c>
      <c r="H776" s="10">
        <f>IFERROR(SUMIFS('Base bordo CD'!M$2:M$875,'Base bordo CD'!D$2:D$875,A776,'Base bordo CD'!A$2:A$875,B776,'Base bordo CD'!L$2:L$875,"AGUARDANDO MANOBRA DE TRANSBORDO"),0)+IFERROR(SUMIFS('Base bordo CD'!M$2:M$875,'Base bordo CD'!D$2:D$875,A776,'Base bordo CD'!A$2:A$875,B776,'Base bordo CD'!L$2:L$875,"FALTA DE TRANSBORDO"),0)</f>
        <v>1.1805555555555556</v>
      </c>
      <c r="I776" s="10">
        <f>IFERROR(SUMIFS('Base bordo CD'!M$2:M$875,'Base bordo CD'!D$2:D$875,A776,'Base bordo CD'!A$2:A$875,B776,'Base bordo CD'!L$2:L$875,"PARADA POR CONDICOES CLIMATICAS"),0)+IFERROR(SUMIFS('Base bordo CD'!M$2:M$875,'Base bordo CD'!D$2:D$875,A776,'Base bordo CD'!A$2:A$875,B776,'Base bordo CD'!L$2:L$875,"TEMPO INDETERMINADO"),0)</f>
        <v>5.8274999999999997</v>
      </c>
      <c r="J776" s="10">
        <f>IFERROR(SUMIFS('Base bordo CD'!M$2:M$875,'Base bordo CD'!D$2:D$875,A776,'Base bordo CD'!A$2:A$875,B776,'Base bordo CD'!L$2:L$875,"LIMITAÇÃO INDÚSTRIA"),0)</f>
        <v>6.0438888888888886</v>
      </c>
      <c r="K776" s="10">
        <f>IFERROR(SUMIFS('Base bordo CD'!M$2:M$875,'Base bordo CD'!D$2:D$875,A776,'Base bordo CD'!A$2:A$875,B776,'Base bordo CD'!L$2:L$875,"MAN CORRETIVA*"),0)+IFERROR(SUMIFS('Base bordo CD'!M$2:M$875,'Base bordo CD'!D$2:D$875,A776,'Base bordo CD'!A$2:A$875,B776,'Base bordo CD'!L$2:L$875,"AGUARDANDO MANUTENCAO*"),0)+IFERROR(SUMIFS('Base bordo CD'!M$2:M$875,'Base bordo CD'!D$2:D$875,A776,'Base bordo CD'!A$2:A$875,B776,'Base bordo CD'!L$2:L$875,"TROCA DE FAQUINHA"),0)+IFERROR(SUMIFS('Base bordo CD'!M$2:M$875,'Base bordo CD'!D$2:D$875,A776,'Base bordo CD'!A$2:A$875,B776,'Base bordo CD'!L$2:L$875,"LIMPEZA*"),0)</f>
        <v>0.17416666666666666</v>
      </c>
      <c r="L776" s="10">
        <f>IFERROR(SUMIFS('Base bordo CD'!M$2:M$875,'Base bordo CD'!D$2:D$875,A776,'Base bordo CD'!A$2:A$875,B776,'Base bordo CD'!L$2:L$875,"PATIO - RESERVA"),0)</f>
        <v>0</v>
      </c>
      <c r="M776" s="10">
        <f>IFERROR(SUMIFS('Base bordo CD'!M$2:M$875,'Base bordo CD'!D$2:D$875,A776,'Base bordo CD'!A$2:A$875,B776,'Base bordo CD'!L$2:L$875,"SEM APONTAMENTO"),0)</f>
        <v>6.1111111111111116E-2</v>
      </c>
      <c r="N776" s="10">
        <f>IFERROR(SUMIFS('Base bordo CD'!M$2:M$875,'Base bordo CD'!D$2:D$875,A776,'Base bordo CD'!A$2:A$875,B776,'Base bordo CD'!L$2:L$875,"FALTA DE CAMINHÃO"),0)+IFERROR(SUMIFS('Base bordo CD'!M$2:M$875,'Base bordo CD'!D$2:D$875,A776,'Base bordo CD'!A$2:A$875,B776,'Base bordo CD'!L$2:L$875,"FALTA DE COMBUSTIVEL"),0)+IFERROR(SUMIFS('Base bordo CD'!M$2:M$875,'Base bordo CD'!D$2:D$875,A776,'Base bordo CD'!A$2:A$875,B776,'Base bordo CD'!L$2:L$875,"FALTA DE MOTORIST*"),0)</f>
        <v>0</v>
      </c>
      <c r="O776" s="10">
        <f t="shared" si="65"/>
        <v>2.1866666666666639</v>
      </c>
      <c r="P776" s="10">
        <f>IFERROR(SUMIFS('Base bordo CD'!M$2:M$875,'Base bordo CD'!D$2:D$875,A776,'Base bordo CD'!A$2:A$875,B776),0)</f>
        <v>24</v>
      </c>
      <c r="Q776" s="10">
        <f>IFERROR(SUMIFS('Base bordo CD'!O$2:O$875,'Base bordo CD'!D$2:D$875,A776,'Base bordo CD'!A$2:A$875,B776,'Base bordo CD'!L$2:L$875,"CORTE DE CANA MECANIZADO"),0)</f>
        <v>90232.6</v>
      </c>
      <c r="R776" s="10">
        <f>IFERROR(SUMIFS('Base bordo CD'!Q$2:Q$875,'Base bordo CD'!D$2:D$875,A776,'Base bordo CD'!A$2:A$875,B776,'Base bordo CD'!L$2:L$875,"CORTE DE CANA MECANIZADO"),0)</f>
        <v>21612</v>
      </c>
      <c r="S776" s="30">
        <f t="shared" si="66"/>
        <v>4.1751156764760324</v>
      </c>
      <c r="T776" s="9">
        <f t="shared" si="67"/>
        <v>0.25013888888888886</v>
      </c>
      <c r="U776" s="9">
        <f t="shared" si="68"/>
        <v>8.0057870370370376E-2</v>
      </c>
      <c r="V776" s="9">
        <f t="shared" si="69"/>
        <v>0.72480324074074076</v>
      </c>
    </row>
    <row r="777" spans="1:22" hidden="1" x14ac:dyDescent="0.35">
      <c r="A777" s="52">
        <v>49590</v>
      </c>
      <c r="B777" s="31">
        <v>46118</v>
      </c>
      <c r="C777" s="7" t="s">
        <v>321</v>
      </c>
      <c r="D777" s="7">
        <v>351</v>
      </c>
      <c r="E777" s="10">
        <f>IFERROR(SUMIFS('Base bordo CD'!M$2:M$875,'Base bordo CD'!D$2:D$875,A777,'Base bordo CD'!A$2:A$875,B777,'Base bordo CD'!L$2:L$875,"CORTE DE CANA MECANIZADO"),0)</f>
        <v>6.003333333333333</v>
      </c>
      <c r="F777" s="10">
        <f>IFERROR(SUMIFS('Base bordo CD'!M$2:M$875,'Base bordo CD'!D$2:D$875,A777,'Base bordo CD'!A$2:A$875,B777,'Base bordo CD'!L$2:L$875,"MANOBRA"),0)</f>
        <v>1.921388888888889</v>
      </c>
      <c r="G777" s="10">
        <f>IFERROR(SUMIFS('Base bordo CD'!M$2:M$875,'Base bordo CD'!D$2:D$875,A777,'Base bordo CD'!A$2:A$875,B777,'Base bordo CD'!L$2:L$875,"DESLOCAMENTO"),0)</f>
        <v>0.60138888888888886</v>
      </c>
      <c r="H777" s="10">
        <f>IFERROR(SUMIFS('Base bordo CD'!M$2:M$875,'Base bordo CD'!D$2:D$875,A777,'Base bordo CD'!A$2:A$875,B777,'Base bordo CD'!L$2:L$875,"AGUARDANDO MANOBRA DE TRANSBORDO"),0)+IFERROR(SUMIFS('Base bordo CD'!M$2:M$875,'Base bordo CD'!D$2:D$875,A777,'Base bordo CD'!A$2:A$875,B777,'Base bordo CD'!L$2:L$875,"FALTA DE TRANSBORDO"),0)</f>
        <v>1.1805555555555556</v>
      </c>
      <c r="I777" s="10">
        <f>IFERROR(SUMIFS('Base bordo CD'!M$2:M$875,'Base bordo CD'!D$2:D$875,A777,'Base bordo CD'!A$2:A$875,B777,'Base bordo CD'!L$2:L$875,"PARADA POR CONDICOES CLIMATICAS"),0)+IFERROR(SUMIFS('Base bordo CD'!M$2:M$875,'Base bordo CD'!D$2:D$875,A777,'Base bordo CD'!A$2:A$875,B777,'Base bordo CD'!L$2:L$875,"TEMPO INDETERMINADO"),0)</f>
        <v>5.8274999999999997</v>
      </c>
      <c r="J777" s="10">
        <f>IFERROR(SUMIFS('Base bordo CD'!M$2:M$875,'Base bordo CD'!D$2:D$875,A777,'Base bordo CD'!A$2:A$875,B777,'Base bordo CD'!L$2:L$875,"LIMITAÇÃO INDÚSTRIA"),0)</f>
        <v>6.0438888888888886</v>
      </c>
      <c r="K777" s="10">
        <f>IFERROR(SUMIFS('Base bordo CD'!M$2:M$875,'Base bordo CD'!D$2:D$875,A777,'Base bordo CD'!A$2:A$875,B777,'Base bordo CD'!L$2:L$875,"MAN CORRETIVA*"),0)+IFERROR(SUMIFS('Base bordo CD'!M$2:M$875,'Base bordo CD'!D$2:D$875,A777,'Base bordo CD'!A$2:A$875,B777,'Base bordo CD'!L$2:L$875,"AGUARDANDO MANUTENCAO*"),0)+IFERROR(SUMIFS('Base bordo CD'!M$2:M$875,'Base bordo CD'!D$2:D$875,A777,'Base bordo CD'!A$2:A$875,B777,'Base bordo CD'!L$2:L$875,"TROCA DE FAQUINHA"),0)+IFERROR(SUMIFS('Base bordo CD'!M$2:M$875,'Base bordo CD'!D$2:D$875,A777,'Base bordo CD'!A$2:A$875,B777,'Base bordo CD'!L$2:L$875,"LIMPEZA*"),0)</f>
        <v>0.17416666666666666</v>
      </c>
      <c r="L777" s="10">
        <f>IFERROR(SUMIFS('Base bordo CD'!M$2:M$875,'Base bordo CD'!D$2:D$875,A777,'Base bordo CD'!A$2:A$875,B777,'Base bordo CD'!L$2:L$875,"PATIO - RESERVA"),0)</f>
        <v>0</v>
      </c>
      <c r="M777" s="10">
        <f>IFERROR(SUMIFS('Base bordo CD'!M$2:M$875,'Base bordo CD'!D$2:D$875,A777,'Base bordo CD'!A$2:A$875,B777,'Base bordo CD'!L$2:L$875,"SEM APONTAMENTO"),0)</f>
        <v>6.1111111111111116E-2</v>
      </c>
      <c r="N777" s="10">
        <f>IFERROR(SUMIFS('Base bordo CD'!M$2:M$875,'Base bordo CD'!D$2:D$875,A777,'Base bordo CD'!A$2:A$875,B777,'Base bordo CD'!L$2:L$875,"FALTA DE CAMINHÃO"),0)+IFERROR(SUMIFS('Base bordo CD'!M$2:M$875,'Base bordo CD'!D$2:D$875,A777,'Base bordo CD'!A$2:A$875,B777,'Base bordo CD'!L$2:L$875,"FALTA DE COMBUSTIVEL"),0)+IFERROR(SUMIFS('Base bordo CD'!M$2:M$875,'Base bordo CD'!D$2:D$875,A777,'Base bordo CD'!A$2:A$875,B777,'Base bordo CD'!L$2:L$875,"FALTA DE MOTORIST*"),0)</f>
        <v>0</v>
      </c>
      <c r="O777" s="10">
        <f t="shared" si="65"/>
        <v>2.1866666666666639</v>
      </c>
      <c r="P777" s="10">
        <f>IFERROR(SUMIFS('Base bordo CD'!M$2:M$875,'Base bordo CD'!D$2:D$875,A777,'Base bordo CD'!A$2:A$875,B777),0)</f>
        <v>24</v>
      </c>
      <c r="Q777" s="10">
        <f>IFERROR(SUMIFS('Base bordo CD'!O$2:O$875,'Base bordo CD'!D$2:D$875,A777,'Base bordo CD'!A$2:A$875,B777,'Base bordo CD'!L$2:L$875,"CORTE DE CANA MECANIZADO"),0)</f>
        <v>90232.6</v>
      </c>
      <c r="R777" s="10">
        <f>IFERROR(SUMIFS('Base bordo CD'!Q$2:Q$875,'Base bordo CD'!D$2:D$875,A777,'Base bordo CD'!A$2:A$875,B777,'Base bordo CD'!L$2:L$875,"CORTE DE CANA MECANIZADO"),0)</f>
        <v>21612</v>
      </c>
      <c r="S777" s="30">
        <f t="shared" si="66"/>
        <v>4.1751156764760324</v>
      </c>
      <c r="T777" s="9">
        <f t="shared" si="67"/>
        <v>0.25013888888888886</v>
      </c>
      <c r="U777" s="9">
        <f t="shared" si="68"/>
        <v>8.0057870370370376E-2</v>
      </c>
      <c r="V777" s="9">
        <f t="shared" si="69"/>
        <v>0.72480324074074076</v>
      </c>
    </row>
    <row r="778" spans="1:22" hidden="1" x14ac:dyDescent="0.35">
      <c r="A778" s="52">
        <v>49590</v>
      </c>
      <c r="B778" s="31">
        <v>46118</v>
      </c>
      <c r="C778" s="7" t="s">
        <v>321</v>
      </c>
      <c r="D778" s="7">
        <v>351</v>
      </c>
      <c r="E778" s="10">
        <f>IFERROR(SUMIFS('Base bordo CD'!M$2:M$875,'Base bordo CD'!D$2:D$875,A778,'Base bordo CD'!A$2:A$875,B778,'Base bordo CD'!L$2:L$875,"CORTE DE CANA MECANIZADO"),0)</f>
        <v>6.003333333333333</v>
      </c>
      <c r="F778" s="10">
        <f>IFERROR(SUMIFS('Base bordo CD'!M$2:M$875,'Base bordo CD'!D$2:D$875,A778,'Base bordo CD'!A$2:A$875,B778,'Base bordo CD'!L$2:L$875,"MANOBRA"),0)</f>
        <v>1.921388888888889</v>
      </c>
      <c r="G778" s="10">
        <f>IFERROR(SUMIFS('Base bordo CD'!M$2:M$875,'Base bordo CD'!D$2:D$875,A778,'Base bordo CD'!A$2:A$875,B778,'Base bordo CD'!L$2:L$875,"DESLOCAMENTO"),0)</f>
        <v>0.60138888888888886</v>
      </c>
      <c r="H778" s="10">
        <f>IFERROR(SUMIFS('Base bordo CD'!M$2:M$875,'Base bordo CD'!D$2:D$875,A778,'Base bordo CD'!A$2:A$875,B778,'Base bordo CD'!L$2:L$875,"AGUARDANDO MANOBRA DE TRANSBORDO"),0)+IFERROR(SUMIFS('Base bordo CD'!M$2:M$875,'Base bordo CD'!D$2:D$875,A778,'Base bordo CD'!A$2:A$875,B778,'Base bordo CD'!L$2:L$875,"FALTA DE TRANSBORDO"),0)</f>
        <v>1.1805555555555556</v>
      </c>
      <c r="I778" s="10">
        <f>IFERROR(SUMIFS('Base bordo CD'!M$2:M$875,'Base bordo CD'!D$2:D$875,A778,'Base bordo CD'!A$2:A$875,B778,'Base bordo CD'!L$2:L$875,"PARADA POR CONDICOES CLIMATICAS"),0)+IFERROR(SUMIFS('Base bordo CD'!M$2:M$875,'Base bordo CD'!D$2:D$875,A778,'Base bordo CD'!A$2:A$875,B778,'Base bordo CD'!L$2:L$875,"TEMPO INDETERMINADO"),0)</f>
        <v>5.8274999999999997</v>
      </c>
      <c r="J778" s="10">
        <f>IFERROR(SUMIFS('Base bordo CD'!M$2:M$875,'Base bordo CD'!D$2:D$875,A778,'Base bordo CD'!A$2:A$875,B778,'Base bordo CD'!L$2:L$875,"LIMITAÇÃO INDÚSTRIA"),0)</f>
        <v>6.0438888888888886</v>
      </c>
      <c r="K778" s="10">
        <f>IFERROR(SUMIFS('Base bordo CD'!M$2:M$875,'Base bordo CD'!D$2:D$875,A778,'Base bordo CD'!A$2:A$875,B778,'Base bordo CD'!L$2:L$875,"MAN CORRETIVA*"),0)+IFERROR(SUMIFS('Base bordo CD'!M$2:M$875,'Base bordo CD'!D$2:D$875,A778,'Base bordo CD'!A$2:A$875,B778,'Base bordo CD'!L$2:L$875,"AGUARDANDO MANUTENCAO*"),0)+IFERROR(SUMIFS('Base bordo CD'!M$2:M$875,'Base bordo CD'!D$2:D$875,A778,'Base bordo CD'!A$2:A$875,B778,'Base bordo CD'!L$2:L$875,"TROCA DE FAQUINHA"),0)+IFERROR(SUMIFS('Base bordo CD'!M$2:M$875,'Base bordo CD'!D$2:D$875,A778,'Base bordo CD'!A$2:A$875,B778,'Base bordo CD'!L$2:L$875,"LIMPEZA*"),0)</f>
        <v>0.17416666666666666</v>
      </c>
      <c r="L778" s="10">
        <f>IFERROR(SUMIFS('Base bordo CD'!M$2:M$875,'Base bordo CD'!D$2:D$875,A778,'Base bordo CD'!A$2:A$875,B778,'Base bordo CD'!L$2:L$875,"PATIO - RESERVA"),0)</f>
        <v>0</v>
      </c>
      <c r="M778" s="10">
        <f>IFERROR(SUMIFS('Base bordo CD'!M$2:M$875,'Base bordo CD'!D$2:D$875,A778,'Base bordo CD'!A$2:A$875,B778,'Base bordo CD'!L$2:L$875,"SEM APONTAMENTO"),0)</f>
        <v>6.1111111111111116E-2</v>
      </c>
      <c r="N778" s="10">
        <f>IFERROR(SUMIFS('Base bordo CD'!M$2:M$875,'Base bordo CD'!D$2:D$875,A778,'Base bordo CD'!A$2:A$875,B778,'Base bordo CD'!L$2:L$875,"FALTA DE CAMINHÃO"),0)+IFERROR(SUMIFS('Base bordo CD'!M$2:M$875,'Base bordo CD'!D$2:D$875,A778,'Base bordo CD'!A$2:A$875,B778,'Base bordo CD'!L$2:L$875,"FALTA DE COMBUSTIVEL"),0)+IFERROR(SUMIFS('Base bordo CD'!M$2:M$875,'Base bordo CD'!D$2:D$875,A778,'Base bordo CD'!A$2:A$875,B778,'Base bordo CD'!L$2:L$875,"FALTA DE MOTORIST*"),0)</f>
        <v>0</v>
      </c>
      <c r="O778" s="10">
        <f t="shared" si="65"/>
        <v>2.1866666666666639</v>
      </c>
      <c r="P778" s="10">
        <f>IFERROR(SUMIFS('Base bordo CD'!M$2:M$875,'Base bordo CD'!D$2:D$875,A778,'Base bordo CD'!A$2:A$875,B778),0)</f>
        <v>24</v>
      </c>
      <c r="Q778" s="10">
        <f>IFERROR(SUMIFS('Base bordo CD'!O$2:O$875,'Base bordo CD'!D$2:D$875,A778,'Base bordo CD'!A$2:A$875,B778,'Base bordo CD'!L$2:L$875,"CORTE DE CANA MECANIZADO"),0)</f>
        <v>90232.6</v>
      </c>
      <c r="R778" s="10">
        <f>IFERROR(SUMIFS('Base bordo CD'!Q$2:Q$875,'Base bordo CD'!D$2:D$875,A778,'Base bordo CD'!A$2:A$875,B778,'Base bordo CD'!L$2:L$875,"CORTE DE CANA MECANIZADO"),0)</f>
        <v>21612</v>
      </c>
      <c r="S778" s="30">
        <f t="shared" si="66"/>
        <v>4.1751156764760324</v>
      </c>
      <c r="T778" s="9">
        <f t="shared" si="67"/>
        <v>0.25013888888888886</v>
      </c>
      <c r="U778" s="9">
        <f t="shared" si="68"/>
        <v>8.0057870370370376E-2</v>
      </c>
      <c r="V778" s="9">
        <f t="shared" si="69"/>
        <v>0.72480324074074076</v>
      </c>
    </row>
    <row r="779" spans="1:22" hidden="1" x14ac:dyDescent="0.35">
      <c r="A779" s="52">
        <v>49590</v>
      </c>
      <c r="B779" s="31">
        <v>46118</v>
      </c>
      <c r="C779" s="7" t="s">
        <v>321</v>
      </c>
      <c r="D779" s="7">
        <v>351</v>
      </c>
      <c r="E779" s="10">
        <f>IFERROR(SUMIFS('Base bordo CD'!M$2:M$875,'Base bordo CD'!D$2:D$875,A779,'Base bordo CD'!A$2:A$875,B779,'Base bordo CD'!L$2:L$875,"CORTE DE CANA MECANIZADO"),0)</f>
        <v>6.003333333333333</v>
      </c>
      <c r="F779" s="10">
        <f>IFERROR(SUMIFS('Base bordo CD'!M$2:M$875,'Base bordo CD'!D$2:D$875,A779,'Base bordo CD'!A$2:A$875,B779,'Base bordo CD'!L$2:L$875,"MANOBRA"),0)</f>
        <v>1.921388888888889</v>
      </c>
      <c r="G779" s="10">
        <f>IFERROR(SUMIFS('Base bordo CD'!M$2:M$875,'Base bordo CD'!D$2:D$875,A779,'Base bordo CD'!A$2:A$875,B779,'Base bordo CD'!L$2:L$875,"DESLOCAMENTO"),0)</f>
        <v>0.60138888888888886</v>
      </c>
      <c r="H779" s="10">
        <f>IFERROR(SUMIFS('Base bordo CD'!M$2:M$875,'Base bordo CD'!D$2:D$875,A779,'Base bordo CD'!A$2:A$875,B779,'Base bordo CD'!L$2:L$875,"AGUARDANDO MANOBRA DE TRANSBORDO"),0)+IFERROR(SUMIFS('Base bordo CD'!M$2:M$875,'Base bordo CD'!D$2:D$875,A779,'Base bordo CD'!A$2:A$875,B779,'Base bordo CD'!L$2:L$875,"FALTA DE TRANSBORDO"),0)</f>
        <v>1.1805555555555556</v>
      </c>
      <c r="I779" s="10">
        <f>IFERROR(SUMIFS('Base bordo CD'!M$2:M$875,'Base bordo CD'!D$2:D$875,A779,'Base bordo CD'!A$2:A$875,B779,'Base bordo CD'!L$2:L$875,"PARADA POR CONDICOES CLIMATICAS"),0)+IFERROR(SUMIFS('Base bordo CD'!M$2:M$875,'Base bordo CD'!D$2:D$875,A779,'Base bordo CD'!A$2:A$875,B779,'Base bordo CD'!L$2:L$875,"TEMPO INDETERMINADO"),0)</f>
        <v>5.8274999999999997</v>
      </c>
      <c r="J779" s="10">
        <f>IFERROR(SUMIFS('Base bordo CD'!M$2:M$875,'Base bordo CD'!D$2:D$875,A779,'Base bordo CD'!A$2:A$875,B779,'Base bordo CD'!L$2:L$875,"LIMITAÇÃO INDÚSTRIA"),0)</f>
        <v>6.0438888888888886</v>
      </c>
      <c r="K779" s="10">
        <f>IFERROR(SUMIFS('Base bordo CD'!M$2:M$875,'Base bordo CD'!D$2:D$875,A779,'Base bordo CD'!A$2:A$875,B779,'Base bordo CD'!L$2:L$875,"MAN CORRETIVA*"),0)+IFERROR(SUMIFS('Base bordo CD'!M$2:M$875,'Base bordo CD'!D$2:D$875,A779,'Base bordo CD'!A$2:A$875,B779,'Base bordo CD'!L$2:L$875,"AGUARDANDO MANUTENCAO*"),0)+IFERROR(SUMIFS('Base bordo CD'!M$2:M$875,'Base bordo CD'!D$2:D$875,A779,'Base bordo CD'!A$2:A$875,B779,'Base bordo CD'!L$2:L$875,"TROCA DE FAQUINHA"),0)+IFERROR(SUMIFS('Base bordo CD'!M$2:M$875,'Base bordo CD'!D$2:D$875,A779,'Base bordo CD'!A$2:A$875,B779,'Base bordo CD'!L$2:L$875,"LIMPEZA*"),0)</f>
        <v>0.17416666666666666</v>
      </c>
      <c r="L779" s="10">
        <f>IFERROR(SUMIFS('Base bordo CD'!M$2:M$875,'Base bordo CD'!D$2:D$875,A779,'Base bordo CD'!A$2:A$875,B779,'Base bordo CD'!L$2:L$875,"PATIO - RESERVA"),0)</f>
        <v>0</v>
      </c>
      <c r="M779" s="10">
        <f>IFERROR(SUMIFS('Base bordo CD'!M$2:M$875,'Base bordo CD'!D$2:D$875,A779,'Base bordo CD'!A$2:A$875,B779,'Base bordo CD'!L$2:L$875,"SEM APONTAMENTO"),0)</f>
        <v>6.1111111111111116E-2</v>
      </c>
      <c r="N779" s="10">
        <f>IFERROR(SUMIFS('Base bordo CD'!M$2:M$875,'Base bordo CD'!D$2:D$875,A779,'Base bordo CD'!A$2:A$875,B779,'Base bordo CD'!L$2:L$875,"FALTA DE CAMINHÃO"),0)+IFERROR(SUMIFS('Base bordo CD'!M$2:M$875,'Base bordo CD'!D$2:D$875,A779,'Base bordo CD'!A$2:A$875,B779,'Base bordo CD'!L$2:L$875,"FALTA DE COMBUSTIVEL"),0)+IFERROR(SUMIFS('Base bordo CD'!M$2:M$875,'Base bordo CD'!D$2:D$875,A779,'Base bordo CD'!A$2:A$875,B779,'Base bordo CD'!L$2:L$875,"FALTA DE MOTORIST*"),0)</f>
        <v>0</v>
      </c>
      <c r="O779" s="10">
        <f t="shared" si="65"/>
        <v>2.1866666666666639</v>
      </c>
      <c r="P779" s="10">
        <f>IFERROR(SUMIFS('Base bordo CD'!M$2:M$875,'Base bordo CD'!D$2:D$875,A779,'Base bordo CD'!A$2:A$875,B779),0)</f>
        <v>24</v>
      </c>
      <c r="Q779" s="10">
        <f>IFERROR(SUMIFS('Base bordo CD'!O$2:O$875,'Base bordo CD'!D$2:D$875,A779,'Base bordo CD'!A$2:A$875,B779,'Base bordo CD'!L$2:L$875,"CORTE DE CANA MECANIZADO"),0)</f>
        <v>90232.6</v>
      </c>
      <c r="R779" s="10">
        <f>IFERROR(SUMIFS('Base bordo CD'!Q$2:Q$875,'Base bordo CD'!D$2:D$875,A779,'Base bordo CD'!A$2:A$875,B779,'Base bordo CD'!L$2:L$875,"CORTE DE CANA MECANIZADO"),0)</f>
        <v>21612</v>
      </c>
      <c r="S779" s="30">
        <f t="shared" si="66"/>
        <v>4.1751156764760324</v>
      </c>
      <c r="T779" s="9">
        <f t="shared" si="67"/>
        <v>0.25013888888888886</v>
      </c>
      <c r="U779" s="9">
        <f t="shared" si="68"/>
        <v>8.0057870370370376E-2</v>
      </c>
      <c r="V779" s="9">
        <f t="shared" si="69"/>
        <v>0.72480324074074076</v>
      </c>
    </row>
    <row r="780" spans="1:22" hidden="1" x14ac:dyDescent="0.35">
      <c r="A780" s="52">
        <v>49590</v>
      </c>
      <c r="B780" s="31">
        <v>46118</v>
      </c>
      <c r="C780" s="7" t="s">
        <v>321</v>
      </c>
      <c r="D780" s="7">
        <v>351</v>
      </c>
      <c r="E780" s="10">
        <f>IFERROR(SUMIFS('Base bordo CD'!M$2:M$875,'Base bordo CD'!D$2:D$875,A780,'Base bordo CD'!A$2:A$875,B780,'Base bordo CD'!L$2:L$875,"CORTE DE CANA MECANIZADO"),0)</f>
        <v>6.003333333333333</v>
      </c>
      <c r="F780" s="10">
        <f>IFERROR(SUMIFS('Base bordo CD'!M$2:M$875,'Base bordo CD'!D$2:D$875,A780,'Base bordo CD'!A$2:A$875,B780,'Base bordo CD'!L$2:L$875,"MANOBRA"),0)</f>
        <v>1.921388888888889</v>
      </c>
      <c r="G780" s="10">
        <f>IFERROR(SUMIFS('Base bordo CD'!M$2:M$875,'Base bordo CD'!D$2:D$875,A780,'Base bordo CD'!A$2:A$875,B780,'Base bordo CD'!L$2:L$875,"DESLOCAMENTO"),0)</f>
        <v>0.60138888888888886</v>
      </c>
      <c r="H780" s="10">
        <f>IFERROR(SUMIFS('Base bordo CD'!M$2:M$875,'Base bordo CD'!D$2:D$875,A780,'Base bordo CD'!A$2:A$875,B780,'Base bordo CD'!L$2:L$875,"AGUARDANDO MANOBRA DE TRANSBORDO"),0)+IFERROR(SUMIFS('Base bordo CD'!M$2:M$875,'Base bordo CD'!D$2:D$875,A780,'Base bordo CD'!A$2:A$875,B780,'Base bordo CD'!L$2:L$875,"FALTA DE TRANSBORDO"),0)</f>
        <v>1.1805555555555556</v>
      </c>
      <c r="I780" s="10">
        <f>IFERROR(SUMIFS('Base bordo CD'!M$2:M$875,'Base bordo CD'!D$2:D$875,A780,'Base bordo CD'!A$2:A$875,B780,'Base bordo CD'!L$2:L$875,"PARADA POR CONDICOES CLIMATICAS"),0)+IFERROR(SUMIFS('Base bordo CD'!M$2:M$875,'Base bordo CD'!D$2:D$875,A780,'Base bordo CD'!A$2:A$875,B780,'Base bordo CD'!L$2:L$875,"TEMPO INDETERMINADO"),0)</f>
        <v>5.8274999999999997</v>
      </c>
      <c r="J780" s="10">
        <f>IFERROR(SUMIFS('Base bordo CD'!M$2:M$875,'Base bordo CD'!D$2:D$875,A780,'Base bordo CD'!A$2:A$875,B780,'Base bordo CD'!L$2:L$875,"LIMITAÇÃO INDÚSTRIA"),0)</f>
        <v>6.0438888888888886</v>
      </c>
      <c r="K780" s="10">
        <f>IFERROR(SUMIFS('Base bordo CD'!M$2:M$875,'Base bordo CD'!D$2:D$875,A780,'Base bordo CD'!A$2:A$875,B780,'Base bordo CD'!L$2:L$875,"MAN CORRETIVA*"),0)+IFERROR(SUMIFS('Base bordo CD'!M$2:M$875,'Base bordo CD'!D$2:D$875,A780,'Base bordo CD'!A$2:A$875,B780,'Base bordo CD'!L$2:L$875,"AGUARDANDO MANUTENCAO*"),0)+IFERROR(SUMIFS('Base bordo CD'!M$2:M$875,'Base bordo CD'!D$2:D$875,A780,'Base bordo CD'!A$2:A$875,B780,'Base bordo CD'!L$2:L$875,"TROCA DE FAQUINHA"),0)+IFERROR(SUMIFS('Base bordo CD'!M$2:M$875,'Base bordo CD'!D$2:D$875,A780,'Base bordo CD'!A$2:A$875,B780,'Base bordo CD'!L$2:L$875,"LIMPEZA*"),0)</f>
        <v>0.17416666666666666</v>
      </c>
      <c r="L780" s="10">
        <f>IFERROR(SUMIFS('Base bordo CD'!M$2:M$875,'Base bordo CD'!D$2:D$875,A780,'Base bordo CD'!A$2:A$875,B780,'Base bordo CD'!L$2:L$875,"PATIO - RESERVA"),0)</f>
        <v>0</v>
      </c>
      <c r="M780" s="10">
        <f>IFERROR(SUMIFS('Base bordo CD'!M$2:M$875,'Base bordo CD'!D$2:D$875,A780,'Base bordo CD'!A$2:A$875,B780,'Base bordo CD'!L$2:L$875,"SEM APONTAMENTO"),0)</f>
        <v>6.1111111111111116E-2</v>
      </c>
      <c r="N780" s="10">
        <f>IFERROR(SUMIFS('Base bordo CD'!M$2:M$875,'Base bordo CD'!D$2:D$875,A780,'Base bordo CD'!A$2:A$875,B780,'Base bordo CD'!L$2:L$875,"FALTA DE CAMINHÃO"),0)+IFERROR(SUMIFS('Base bordo CD'!M$2:M$875,'Base bordo CD'!D$2:D$875,A780,'Base bordo CD'!A$2:A$875,B780,'Base bordo CD'!L$2:L$875,"FALTA DE COMBUSTIVEL"),0)+IFERROR(SUMIFS('Base bordo CD'!M$2:M$875,'Base bordo CD'!D$2:D$875,A780,'Base bordo CD'!A$2:A$875,B780,'Base bordo CD'!L$2:L$875,"FALTA DE MOTORIST*"),0)</f>
        <v>0</v>
      </c>
      <c r="O780" s="10">
        <f t="shared" si="65"/>
        <v>2.1866666666666639</v>
      </c>
      <c r="P780" s="10">
        <f>IFERROR(SUMIFS('Base bordo CD'!M$2:M$875,'Base bordo CD'!D$2:D$875,A780,'Base bordo CD'!A$2:A$875,B780),0)</f>
        <v>24</v>
      </c>
      <c r="Q780" s="10">
        <f>IFERROR(SUMIFS('Base bordo CD'!O$2:O$875,'Base bordo CD'!D$2:D$875,A780,'Base bordo CD'!A$2:A$875,B780,'Base bordo CD'!L$2:L$875,"CORTE DE CANA MECANIZADO"),0)</f>
        <v>90232.6</v>
      </c>
      <c r="R780" s="10">
        <f>IFERROR(SUMIFS('Base bordo CD'!Q$2:Q$875,'Base bordo CD'!D$2:D$875,A780,'Base bordo CD'!A$2:A$875,B780,'Base bordo CD'!L$2:L$875,"CORTE DE CANA MECANIZADO"),0)</f>
        <v>21612</v>
      </c>
      <c r="S780" s="30">
        <f t="shared" si="66"/>
        <v>4.1751156764760324</v>
      </c>
      <c r="T780" s="9">
        <f t="shared" si="67"/>
        <v>0.25013888888888886</v>
      </c>
      <c r="U780" s="9">
        <f t="shared" si="68"/>
        <v>8.0057870370370376E-2</v>
      </c>
      <c r="V780" s="9">
        <f t="shared" si="69"/>
        <v>0.72480324074074076</v>
      </c>
    </row>
    <row r="781" spans="1:22" hidden="1" x14ac:dyDescent="0.35">
      <c r="A781" s="52">
        <v>49590</v>
      </c>
      <c r="B781" s="31">
        <v>46118</v>
      </c>
      <c r="C781" s="7" t="s">
        <v>321</v>
      </c>
      <c r="D781" s="7">
        <v>351</v>
      </c>
      <c r="E781" s="10">
        <f>IFERROR(SUMIFS('Base bordo CD'!M$2:M$875,'Base bordo CD'!D$2:D$875,A781,'Base bordo CD'!A$2:A$875,B781,'Base bordo CD'!L$2:L$875,"CORTE DE CANA MECANIZADO"),0)</f>
        <v>6.003333333333333</v>
      </c>
      <c r="F781" s="10">
        <f>IFERROR(SUMIFS('Base bordo CD'!M$2:M$875,'Base bordo CD'!D$2:D$875,A781,'Base bordo CD'!A$2:A$875,B781,'Base bordo CD'!L$2:L$875,"MANOBRA"),0)</f>
        <v>1.921388888888889</v>
      </c>
      <c r="G781" s="10">
        <f>IFERROR(SUMIFS('Base bordo CD'!M$2:M$875,'Base bordo CD'!D$2:D$875,A781,'Base bordo CD'!A$2:A$875,B781,'Base bordo CD'!L$2:L$875,"DESLOCAMENTO"),0)</f>
        <v>0.60138888888888886</v>
      </c>
      <c r="H781" s="10">
        <f>IFERROR(SUMIFS('Base bordo CD'!M$2:M$875,'Base bordo CD'!D$2:D$875,A781,'Base bordo CD'!A$2:A$875,B781,'Base bordo CD'!L$2:L$875,"AGUARDANDO MANOBRA DE TRANSBORDO"),0)+IFERROR(SUMIFS('Base bordo CD'!M$2:M$875,'Base bordo CD'!D$2:D$875,A781,'Base bordo CD'!A$2:A$875,B781,'Base bordo CD'!L$2:L$875,"FALTA DE TRANSBORDO"),0)</f>
        <v>1.1805555555555556</v>
      </c>
      <c r="I781" s="10">
        <f>IFERROR(SUMIFS('Base bordo CD'!M$2:M$875,'Base bordo CD'!D$2:D$875,A781,'Base bordo CD'!A$2:A$875,B781,'Base bordo CD'!L$2:L$875,"PARADA POR CONDICOES CLIMATICAS"),0)+IFERROR(SUMIFS('Base bordo CD'!M$2:M$875,'Base bordo CD'!D$2:D$875,A781,'Base bordo CD'!A$2:A$875,B781,'Base bordo CD'!L$2:L$875,"TEMPO INDETERMINADO"),0)</f>
        <v>5.8274999999999997</v>
      </c>
      <c r="J781" s="10">
        <f>IFERROR(SUMIFS('Base bordo CD'!M$2:M$875,'Base bordo CD'!D$2:D$875,A781,'Base bordo CD'!A$2:A$875,B781,'Base bordo CD'!L$2:L$875,"LIMITAÇÃO INDÚSTRIA"),0)</f>
        <v>6.0438888888888886</v>
      </c>
      <c r="K781" s="10">
        <f>IFERROR(SUMIFS('Base bordo CD'!M$2:M$875,'Base bordo CD'!D$2:D$875,A781,'Base bordo CD'!A$2:A$875,B781,'Base bordo CD'!L$2:L$875,"MAN CORRETIVA*"),0)+IFERROR(SUMIFS('Base bordo CD'!M$2:M$875,'Base bordo CD'!D$2:D$875,A781,'Base bordo CD'!A$2:A$875,B781,'Base bordo CD'!L$2:L$875,"AGUARDANDO MANUTENCAO*"),0)+IFERROR(SUMIFS('Base bordo CD'!M$2:M$875,'Base bordo CD'!D$2:D$875,A781,'Base bordo CD'!A$2:A$875,B781,'Base bordo CD'!L$2:L$875,"TROCA DE FAQUINHA"),0)+IFERROR(SUMIFS('Base bordo CD'!M$2:M$875,'Base bordo CD'!D$2:D$875,A781,'Base bordo CD'!A$2:A$875,B781,'Base bordo CD'!L$2:L$875,"LIMPEZA*"),0)</f>
        <v>0.17416666666666666</v>
      </c>
      <c r="L781" s="10">
        <f>IFERROR(SUMIFS('Base bordo CD'!M$2:M$875,'Base bordo CD'!D$2:D$875,A781,'Base bordo CD'!A$2:A$875,B781,'Base bordo CD'!L$2:L$875,"PATIO - RESERVA"),0)</f>
        <v>0</v>
      </c>
      <c r="M781" s="10">
        <f>IFERROR(SUMIFS('Base bordo CD'!M$2:M$875,'Base bordo CD'!D$2:D$875,A781,'Base bordo CD'!A$2:A$875,B781,'Base bordo CD'!L$2:L$875,"SEM APONTAMENTO"),0)</f>
        <v>6.1111111111111116E-2</v>
      </c>
      <c r="N781" s="10">
        <f>IFERROR(SUMIFS('Base bordo CD'!M$2:M$875,'Base bordo CD'!D$2:D$875,A781,'Base bordo CD'!A$2:A$875,B781,'Base bordo CD'!L$2:L$875,"FALTA DE CAMINHÃO"),0)+IFERROR(SUMIFS('Base bordo CD'!M$2:M$875,'Base bordo CD'!D$2:D$875,A781,'Base bordo CD'!A$2:A$875,B781,'Base bordo CD'!L$2:L$875,"FALTA DE COMBUSTIVEL"),0)+IFERROR(SUMIFS('Base bordo CD'!M$2:M$875,'Base bordo CD'!D$2:D$875,A781,'Base bordo CD'!A$2:A$875,B781,'Base bordo CD'!L$2:L$875,"FALTA DE MOTORIST*"),0)</f>
        <v>0</v>
      </c>
      <c r="O781" s="10">
        <f t="shared" si="65"/>
        <v>2.1866666666666639</v>
      </c>
      <c r="P781" s="10">
        <f>IFERROR(SUMIFS('Base bordo CD'!M$2:M$875,'Base bordo CD'!D$2:D$875,A781,'Base bordo CD'!A$2:A$875,B781),0)</f>
        <v>24</v>
      </c>
      <c r="Q781" s="10">
        <f>IFERROR(SUMIFS('Base bordo CD'!O$2:O$875,'Base bordo CD'!D$2:D$875,A781,'Base bordo CD'!A$2:A$875,B781,'Base bordo CD'!L$2:L$875,"CORTE DE CANA MECANIZADO"),0)</f>
        <v>90232.6</v>
      </c>
      <c r="R781" s="10">
        <f>IFERROR(SUMIFS('Base bordo CD'!Q$2:Q$875,'Base bordo CD'!D$2:D$875,A781,'Base bordo CD'!A$2:A$875,B781,'Base bordo CD'!L$2:L$875,"CORTE DE CANA MECANIZADO"),0)</f>
        <v>21612</v>
      </c>
      <c r="S781" s="30">
        <f t="shared" si="66"/>
        <v>4.1751156764760324</v>
      </c>
      <c r="T781" s="9">
        <f t="shared" si="67"/>
        <v>0.25013888888888886</v>
      </c>
      <c r="U781" s="9">
        <f t="shared" si="68"/>
        <v>8.0057870370370376E-2</v>
      </c>
      <c r="V781" s="9">
        <f t="shared" si="69"/>
        <v>0.72480324074074076</v>
      </c>
    </row>
    <row r="782" spans="1:22" hidden="1" x14ac:dyDescent="0.35">
      <c r="A782" s="52">
        <v>49590</v>
      </c>
      <c r="B782" s="31">
        <v>46118</v>
      </c>
      <c r="C782" s="7" t="s">
        <v>321</v>
      </c>
      <c r="D782" s="7">
        <v>351</v>
      </c>
      <c r="E782" s="10">
        <f>IFERROR(SUMIFS('Base bordo CD'!M$2:M$875,'Base bordo CD'!D$2:D$875,A782,'Base bordo CD'!A$2:A$875,B782,'Base bordo CD'!L$2:L$875,"CORTE DE CANA MECANIZADO"),0)</f>
        <v>6.003333333333333</v>
      </c>
      <c r="F782" s="10">
        <f>IFERROR(SUMIFS('Base bordo CD'!M$2:M$875,'Base bordo CD'!D$2:D$875,A782,'Base bordo CD'!A$2:A$875,B782,'Base bordo CD'!L$2:L$875,"MANOBRA"),0)</f>
        <v>1.921388888888889</v>
      </c>
      <c r="G782" s="10">
        <f>IFERROR(SUMIFS('Base bordo CD'!M$2:M$875,'Base bordo CD'!D$2:D$875,A782,'Base bordo CD'!A$2:A$875,B782,'Base bordo CD'!L$2:L$875,"DESLOCAMENTO"),0)</f>
        <v>0.60138888888888886</v>
      </c>
      <c r="H782" s="10">
        <f>IFERROR(SUMIFS('Base bordo CD'!M$2:M$875,'Base bordo CD'!D$2:D$875,A782,'Base bordo CD'!A$2:A$875,B782,'Base bordo CD'!L$2:L$875,"AGUARDANDO MANOBRA DE TRANSBORDO"),0)+IFERROR(SUMIFS('Base bordo CD'!M$2:M$875,'Base bordo CD'!D$2:D$875,A782,'Base bordo CD'!A$2:A$875,B782,'Base bordo CD'!L$2:L$875,"FALTA DE TRANSBORDO"),0)</f>
        <v>1.1805555555555556</v>
      </c>
      <c r="I782" s="10">
        <f>IFERROR(SUMIFS('Base bordo CD'!M$2:M$875,'Base bordo CD'!D$2:D$875,A782,'Base bordo CD'!A$2:A$875,B782,'Base bordo CD'!L$2:L$875,"PARADA POR CONDICOES CLIMATICAS"),0)+IFERROR(SUMIFS('Base bordo CD'!M$2:M$875,'Base bordo CD'!D$2:D$875,A782,'Base bordo CD'!A$2:A$875,B782,'Base bordo CD'!L$2:L$875,"TEMPO INDETERMINADO"),0)</f>
        <v>5.8274999999999997</v>
      </c>
      <c r="J782" s="10">
        <f>IFERROR(SUMIFS('Base bordo CD'!M$2:M$875,'Base bordo CD'!D$2:D$875,A782,'Base bordo CD'!A$2:A$875,B782,'Base bordo CD'!L$2:L$875,"LIMITAÇÃO INDÚSTRIA"),0)</f>
        <v>6.0438888888888886</v>
      </c>
      <c r="K782" s="10">
        <f>IFERROR(SUMIFS('Base bordo CD'!M$2:M$875,'Base bordo CD'!D$2:D$875,A782,'Base bordo CD'!A$2:A$875,B782,'Base bordo CD'!L$2:L$875,"MAN CORRETIVA*"),0)+IFERROR(SUMIFS('Base bordo CD'!M$2:M$875,'Base bordo CD'!D$2:D$875,A782,'Base bordo CD'!A$2:A$875,B782,'Base bordo CD'!L$2:L$875,"AGUARDANDO MANUTENCAO*"),0)+IFERROR(SUMIFS('Base bordo CD'!M$2:M$875,'Base bordo CD'!D$2:D$875,A782,'Base bordo CD'!A$2:A$875,B782,'Base bordo CD'!L$2:L$875,"TROCA DE FAQUINHA"),0)+IFERROR(SUMIFS('Base bordo CD'!M$2:M$875,'Base bordo CD'!D$2:D$875,A782,'Base bordo CD'!A$2:A$875,B782,'Base bordo CD'!L$2:L$875,"LIMPEZA*"),0)</f>
        <v>0.17416666666666666</v>
      </c>
      <c r="L782" s="10">
        <f>IFERROR(SUMIFS('Base bordo CD'!M$2:M$875,'Base bordo CD'!D$2:D$875,A782,'Base bordo CD'!A$2:A$875,B782,'Base bordo CD'!L$2:L$875,"PATIO - RESERVA"),0)</f>
        <v>0</v>
      </c>
      <c r="M782" s="10">
        <f>IFERROR(SUMIFS('Base bordo CD'!M$2:M$875,'Base bordo CD'!D$2:D$875,A782,'Base bordo CD'!A$2:A$875,B782,'Base bordo CD'!L$2:L$875,"SEM APONTAMENTO"),0)</f>
        <v>6.1111111111111116E-2</v>
      </c>
      <c r="N782" s="10">
        <f>IFERROR(SUMIFS('Base bordo CD'!M$2:M$875,'Base bordo CD'!D$2:D$875,A782,'Base bordo CD'!A$2:A$875,B782,'Base bordo CD'!L$2:L$875,"FALTA DE CAMINHÃO"),0)+IFERROR(SUMIFS('Base bordo CD'!M$2:M$875,'Base bordo CD'!D$2:D$875,A782,'Base bordo CD'!A$2:A$875,B782,'Base bordo CD'!L$2:L$875,"FALTA DE COMBUSTIVEL"),0)+IFERROR(SUMIFS('Base bordo CD'!M$2:M$875,'Base bordo CD'!D$2:D$875,A782,'Base bordo CD'!A$2:A$875,B782,'Base bordo CD'!L$2:L$875,"FALTA DE MOTORIST*"),0)</f>
        <v>0</v>
      </c>
      <c r="O782" s="10">
        <f t="shared" si="65"/>
        <v>2.1866666666666639</v>
      </c>
      <c r="P782" s="10">
        <f>IFERROR(SUMIFS('Base bordo CD'!M$2:M$875,'Base bordo CD'!D$2:D$875,A782,'Base bordo CD'!A$2:A$875,B782),0)</f>
        <v>24</v>
      </c>
      <c r="Q782" s="10">
        <f>IFERROR(SUMIFS('Base bordo CD'!O$2:O$875,'Base bordo CD'!D$2:D$875,A782,'Base bordo CD'!A$2:A$875,B782,'Base bordo CD'!L$2:L$875,"CORTE DE CANA MECANIZADO"),0)</f>
        <v>90232.6</v>
      </c>
      <c r="R782" s="10">
        <f>IFERROR(SUMIFS('Base bordo CD'!Q$2:Q$875,'Base bordo CD'!D$2:D$875,A782,'Base bordo CD'!A$2:A$875,B782,'Base bordo CD'!L$2:L$875,"CORTE DE CANA MECANIZADO"),0)</f>
        <v>21612</v>
      </c>
      <c r="S782" s="30">
        <f t="shared" si="66"/>
        <v>4.1751156764760324</v>
      </c>
      <c r="T782" s="9">
        <f t="shared" si="67"/>
        <v>0.25013888888888886</v>
      </c>
      <c r="U782" s="9">
        <f t="shared" si="68"/>
        <v>8.0057870370370376E-2</v>
      </c>
      <c r="V782" s="9">
        <f t="shared" si="69"/>
        <v>0.72480324074074076</v>
      </c>
    </row>
    <row r="783" spans="1:22" hidden="1" x14ac:dyDescent="0.35">
      <c r="A783" s="52">
        <v>49590</v>
      </c>
      <c r="B783" s="31">
        <v>46118</v>
      </c>
      <c r="C783" s="7" t="s">
        <v>321</v>
      </c>
      <c r="D783" s="7">
        <v>351</v>
      </c>
      <c r="E783" s="10">
        <f>IFERROR(SUMIFS('Base bordo CD'!M$2:M$875,'Base bordo CD'!D$2:D$875,A783,'Base bordo CD'!A$2:A$875,B783,'Base bordo CD'!L$2:L$875,"CORTE DE CANA MECANIZADO"),0)</f>
        <v>6.003333333333333</v>
      </c>
      <c r="F783" s="10">
        <f>IFERROR(SUMIFS('Base bordo CD'!M$2:M$875,'Base bordo CD'!D$2:D$875,A783,'Base bordo CD'!A$2:A$875,B783,'Base bordo CD'!L$2:L$875,"MANOBRA"),0)</f>
        <v>1.921388888888889</v>
      </c>
      <c r="G783" s="10">
        <f>IFERROR(SUMIFS('Base bordo CD'!M$2:M$875,'Base bordo CD'!D$2:D$875,A783,'Base bordo CD'!A$2:A$875,B783,'Base bordo CD'!L$2:L$875,"DESLOCAMENTO"),0)</f>
        <v>0.60138888888888886</v>
      </c>
      <c r="H783" s="10">
        <f>IFERROR(SUMIFS('Base bordo CD'!M$2:M$875,'Base bordo CD'!D$2:D$875,A783,'Base bordo CD'!A$2:A$875,B783,'Base bordo CD'!L$2:L$875,"AGUARDANDO MANOBRA DE TRANSBORDO"),0)+IFERROR(SUMIFS('Base bordo CD'!M$2:M$875,'Base bordo CD'!D$2:D$875,A783,'Base bordo CD'!A$2:A$875,B783,'Base bordo CD'!L$2:L$875,"FALTA DE TRANSBORDO"),0)</f>
        <v>1.1805555555555556</v>
      </c>
      <c r="I783" s="10">
        <f>IFERROR(SUMIFS('Base bordo CD'!M$2:M$875,'Base bordo CD'!D$2:D$875,A783,'Base bordo CD'!A$2:A$875,B783,'Base bordo CD'!L$2:L$875,"PARADA POR CONDICOES CLIMATICAS"),0)+IFERROR(SUMIFS('Base bordo CD'!M$2:M$875,'Base bordo CD'!D$2:D$875,A783,'Base bordo CD'!A$2:A$875,B783,'Base bordo CD'!L$2:L$875,"TEMPO INDETERMINADO"),0)</f>
        <v>5.8274999999999997</v>
      </c>
      <c r="J783" s="10">
        <f>IFERROR(SUMIFS('Base bordo CD'!M$2:M$875,'Base bordo CD'!D$2:D$875,A783,'Base bordo CD'!A$2:A$875,B783,'Base bordo CD'!L$2:L$875,"LIMITAÇÃO INDÚSTRIA"),0)</f>
        <v>6.0438888888888886</v>
      </c>
      <c r="K783" s="10">
        <f>IFERROR(SUMIFS('Base bordo CD'!M$2:M$875,'Base bordo CD'!D$2:D$875,A783,'Base bordo CD'!A$2:A$875,B783,'Base bordo CD'!L$2:L$875,"MAN CORRETIVA*"),0)+IFERROR(SUMIFS('Base bordo CD'!M$2:M$875,'Base bordo CD'!D$2:D$875,A783,'Base bordo CD'!A$2:A$875,B783,'Base bordo CD'!L$2:L$875,"AGUARDANDO MANUTENCAO*"),0)+IFERROR(SUMIFS('Base bordo CD'!M$2:M$875,'Base bordo CD'!D$2:D$875,A783,'Base bordo CD'!A$2:A$875,B783,'Base bordo CD'!L$2:L$875,"TROCA DE FAQUINHA"),0)+IFERROR(SUMIFS('Base bordo CD'!M$2:M$875,'Base bordo CD'!D$2:D$875,A783,'Base bordo CD'!A$2:A$875,B783,'Base bordo CD'!L$2:L$875,"LIMPEZA*"),0)</f>
        <v>0.17416666666666666</v>
      </c>
      <c r="L783" s="10">
        <f>IFERROR(SUMIFS('Base bordo CD'!M$2:M$875,'Base bordo CD'!D$2:D$875,A783,'Base bordo CD'!A$2:A$875,B783,'Base bordo CD'!L$2:L$875,"PATIO - RESERVA"),0)</f>
        <v>0</v>
      </c>
      <c r="M783" s="10">
        <f>IFERROR(SUMIFS('Base bordo CD'!M$2:M$875,'Base bordo CD'!D$2:D$875,A783,'Base bordo CD'!A$2:A$875,B783,'Base bordo CD'!L$2:L$875,"SEM APONTAMENTO"),0)</f>
        <v>6.1111111111111116E-2</v>
      </c>
      <c r="N783" s="10">
        <f>IFERROR(SUMIFS('Base bordo CD'!M$2:M$875,'Base bordo CD'!D$2:D$875,A783,'Base bordo CD'!A$2:A$875,B783,'Base bordo CD'!L$2:L$875,"FALTA DE CAMINHÃO"),0)+IFERROR(SUMIFS('Base bordo CD'!M$2:M$875,'Base bordo CD'!D$2:D$875,A783,'Base bordo CD'!A$2:A$875,B783,'Base bordo CD'!L$2:L$875,"FALTA DE COMBUSTIVEL"),0)+IFERROR(SUMIFS('Base bordo CD'!M$2:M$875,'Base bordo CD'!D$2:D$875,A783,'Base bordo CD'!A$2:A$875,B783,'Base bordo CD'!L$2:L$875,"FALTA DE MOTORIST*"),0)</f>
        <v>0</v>
      </c>
      <c r="O783" s="10">
        <f t="shared" si="65"/>
        <v>2.1866666666666639</v>
      </c>
      <c r="P783" s="10">
        <f>IFERROR(SUMIFS('Base bordo CD'!M$2:M$875,'Base bordo CD'!D$2:D$875,A783,'Base bordo CD'!A$2:A$875,B783),0)</f>
        <v>24</v>
      </c>
      <c r="Q783" s="10">
        <f>IFERROR(SUMIFS('Base bordo CD'!O$2:O$875,'Base bordo CD'!D$2:D$875,A783,'Base bordo CD'!A$2:A$875,B783,'Base bordo CD'!L$2:L$875,"CORTE DE CANA MECANIZADO"),0)</f>
        <v>90232.6</v>
      </c>
      <c r="R783" s="10">
        <f>IFERROR(SUMIFS('Base bordo CD'!Q$2:Q$875,'Base bordo CD'!D$2:D$875,A783,'Base bordo CD'!A$2:A$875,B783,'Base bordo CD'!L$2:L$875,"CORTE DE CANA MECANIZADO"),0)</f>
        <v>21612</v>
      </c>
      <c r="S783" s="30">
        <f t="shared" si="66"/>
        <v>4.1751156764760324</v>
      </c>
      <c r="T783" s="9">
        <f t="shared" si="67"/>
        <v>0.25013888888888886</v>
      </c>
      <c r="U783" s="9">
        <f t="shared" si="68"/>
        <v>8.0057870370370376E-2</v>
      </c>
      <c r="V783" s="9">
        <f t="shared" si="69"/>
        <v>0.72480324074074076</v>
      </c>
    </row>
    <row r="784" spans="1:22" hidden="1" x14ac:dyDescent="0.35">
      <c r="A784" s="52">
        <v>49590</v>
      </c>
      <c r="B784" s="31">
        <v>46118</v>
      </c>
      <c r="C784" s="7" t="s">
        <v>321</v>
      </c>
      <c r="D784" s="7">
        <v>351</v>
      </c>
      <c r="E784" s="10">
        <f>IFERROR(SUMIFS('Base bordo CD'!M$2:M$875,'Base bordo CD'!D$2:D$875,A784,'Base bordo CD'!A$2:A$875,B784,'Base bordo CD'!L$2:L$875,"CORTE DE CANA MECANIZADO"),0)</f>
        <v>6.003333333333333</v>
      </c>
      <c r="F784" s="10">
        <f>IFERROR(SUMIFS('Base bordo CD'!M$2:M$875,'Base bordo CD'!D$2:D$875,A784,'Base bordo CD'!A$2:A$875,B784,'Base bordo CD'!L$2:L$875,"MANOBRA"),0)</f>
        <v>1.921388888888889</v>
      </c>
      <c r="G784" s="10">
        <f>IFERROR(SUMIFS('Base bordo CD'!M$2:M$875,'Base bordo CD'!D$2:D$875,A784,'Base bordo CD'!A$2:A$875,B784,'Base bordo CD'!L$2:L$875,"DESLOCAMENTO"),0)</f>
        <v>0.60138888888888886</v>
      </c>
      <c r="H784" s="10">
        <f>IFERROR(SUMIFS('Base bordo CD'!M$2:M$875,'Base bordo CD'!D$2:D$875,A784,'Base bordo CD'!A$2:A$875,B784,'Base bordo CD'!L$2:L$875,"AGUARDANDO MANOBRA DE TRANSBORDO"),0)+IFERROR(SUMIFS('Base bordo CD'!M$2:M$875,'Base bordo CD'!D$2:D$875,A784,'Base bordo CD'!A$2:A$875,B784,'Base bordo CD'!L$2:L$875,"FALTA DE TRANSBORDO"),0)</f>
        <v>1.1805555555555556</v>
      </c>
      <c r="I784" s="10">
        <f>IFERROR(SUMIFS('Base bordo CD'!M$2:M$875,'Base bordo CD'!D$2:D$875,A784,'Base bordo CD'!A$2:A$875,B784,'Base bordo CD'!L$2:L$875,"PARADA POR CONDICOES CLIMATICAS"),0)+IFERROR(SUMIFS('Base bordo CD'!M$2:M$875,'Base bordo CD'!D$2:D$875,A784,'Base bordo CD'!A$2:A$875,B784,'Base bordo CD'!L$2:L$875,"TEMPO INDETERMINADO"),0)</f>
        <v>5.8274999999999997</v>
      </c>
      <c r="J784" s="10">
        <f>IFERROR(SUMIFS('Base bordo CD'!M$2:M$875,'Base bordo CD'!D$2:D$875,A784,'Base bordo CD'!A$2:A$875,B784,'Base bordo CD'!L$2:L$875,"LIMITAÇÃO INDÚSTRIA"),0)</f>
        <v>6.0438888888888886</v>
      </c>
      <c r="K784" s="10">
        <f>IFERROR(SUMIFS('Base bordo CD'!M$2:M$875,'Base bordo CD'!D$2:D$875,A784,'Base bordo CD'!A$2:A$875,B784,'Base bordo CD'!L$2:L$875,"MAN CORRETIVA*"),0)+IFERROR(SUMIFS('Base bordo CD'!M$2:M$875,'Base bordo CD'!D$2:D$875,A784,'Base bordo CD'!A$2:A$875,B784,'Base bordo CD'!L$2:L$875,"AGUARDANDO MANUTENCAO*"),0)+IFERROR(SUMIFS('Base bordo CD'!M$2:M$875,'Base bordo CD'!D$2:D$875,A784,'Base bordo CD'!A$2:A$875,B784,'Base bordo CD'!L$2:L$875,"TROCA DE FAQUINHA"),0)+IFERROR(SUMIFS('Base bordo CD'!M$2:M$875,'Base bordo CD'!D$2:D$875,A784,'Base bordo CD'!A$2:A$875,B784,'Base bordo CD'!L$2:L$875,"LIMPEZA*"),0)</f>
        <v>0.17416666666666666</v>
      </c>
      <c r="L784" s="10">
        <f>IFERROR(SUMIFS('Base bordo CD'!M$2:M$875,'Base bordo CD'!D$2:D$875,A784,'Base bordo CD'!A$2:A$875,B784,'Base bordo CD'!L$2:L$875,"PATIO - RESERVA"),0)</f>
        <v>0</v>
      </c>
      <c r="M784" s="10">
        <f>IFERROR(SUMIFS('Base bordo CD'!M$2:M$875,'Base bordo CD'!D$2:D$875,A784,'Base bordo CD'!A$2:A$875,B784,'Base bordo CD'!L$2:L$875,"SEM APONTAMENTO"),0)</f>
        <v>6.1111111111111116E-2</v>
      </c>
      <c r="N784" s="10">
        <f>IFERROR(SUMIFS('Base bordo CD'!M$2:M$875,'Base bordo CD'!D$2:D$875,A784,'Base bordo CD'!A$2:A$875,B784,'Base bordo CD'!L$2:L$875,"FALTA DE CAMINHÃO"),0)+IFERROR(SUMIFS('Base bordo CD'!M$2:M$875,'Base bordo CD'!D$2:D$875,A784,'Base bordo CD'!A$2:A$875,B784,'Base bordo CD'!L$2:L$875,"FALTA DE COMBUSTIVEL"),0)+IFERROR(SUMIFS('Base bordo CD'!M$2:M$875,'Base bordo CD'!D$2:D$875,A784,'Base bordo CD'!A$2:A$875,B784,'Base bordo CD'!L$2:L$875,"FALTA DE MOTORIST*"),0)</f>
        <v>0</v>
      </c>
      <c r="O784" s="10">
        <f t="shared" si="65"/>
        <v>2.1866666666666639</v>
      </c>
      <c r="P784" s="10">
        <f>IFERROR(SUMIFS('Base bordo CD'!M$2:M$875,'Base bordo CD'!D$2:D$875,A784,'Base bordo CD'!A$2:A$875,B784),0)</f>
        <v>24</v>
      </c>
      <c r="Q784" s="10">
        <f>IFERROR(SUMIFS('Base bordo CD'!O$2:O$875,'Base bordo CD'!D$2:D$875,A784,'Base bordo CD'!A$2:A$875,B784,'Base bordo CD'!L$2:L$875,"CORTE DE CANA MECANIZADO"),0)</f>
        <v>90232.6</v>
      </c>
      <c r="R784" s="10">
        <f>IFERROR(SUMIFS('Base bordo CD'!Q$2:Q$875,'Base bordo CD'!D$2:D$875,A784,'Base bordo CD'!A$2:A$875,B784,'Base bordo CD'!L$2:L$875,"CORTE DE CANA MECANIZADO"),0)</f>
        <v>21612</v>
      </c>
      <c r="S784" s="30">
        <f t="shared" si="66"/>
        <v>4.1751156764760324</v>
      </c>
      <c r="T784" s="9">
        <f t="shared" si="67"/>
        <v>0.25013888888888886</v>
      </c>
      <c r="U784" s="9">
        <f t="shared" si="68"/>
        <v>8.0057870370370376E-2</v>
      </c>
      <c r="V784" s="9">
        <f t="shared" si="69"/>
        <v>0.72480324074074076</v>
      </c>
    </row>
    <row r="785" spans="1:22" hidden="1" x14ac:dyDescent="0.35">
      <c r="A785" s="52">
        <v>49590</v>
      </c>
      <c r="B785" s="31">
        <v>46118</v>
      </c>
      <c r="C785" s="7" t="s">
        <v>321</v>
      </c>
      <c r="D785" s="7">
        <v>351</v>
      </c>
      <c r="E785" s="10">
        <f>IFERROR(SUMIFS('Base bordo CD'!M$2:M$875,'Base bordo CD'!D$2:D$875,A785,'Base bordo CD'!A$2:A$875,B785,'Base bordo CD'!L$2:L$875,"CORTE DE CANA MECANIZADO"),0)</f>
        <v>6.003333333333333</v>
      </c>
      <c r="F785" s="10">
        <f>IFERROR(SUMIFS('Base bordo CD'!M$2:M$875,'Base bordo CD'!D$2:D$875,A785,'Base bordo CD'!A$2:A$875,B785,'Base bordo CD'!L$2:L$875,"MANOBRA"),0)</f>
        <v>1.921388888888889</v>
      </c>
      <c r="G785" s="10">
        <f>IFERROR(SUMIFS('Base bordo CD'!M$2:M$875,'Base bordo CD'!D$2:D$875,A785,'Base bordo CD'!A$2:A$875,B785,'Base bordo CD'!L$2:L$875,"DESLOCAMENTO"),0)</f>
        <v>0.60138888888888886</v>
      </c>
      <c r="H785" s="10">
        <f>IFERROR(SUMIFS('Base bordo CD'!M$2:M$875,'Base bordo CD'!D$2:D$875,A785,'Base bordo CD'!A$2:A$875,B785,'Base bordo CD'!L$2:L$875,"AGUARDANDO MANOBRA DE TRANSBORDO"),0)+IFERROR(SUMIFS('Base bordo CD'!M$2:M$875,'Base bordo CD'!D$2:D$875,A785,'Base bordo CD'!A$2:A$875,B785,'Base bordo CD'!L$2:L$875,"FALTA DE TRANSBORDO"),0)</f>
        <v>1.1805555555555556</v>
      </c>
      <c r="I785" s="10">
        <f>IFERROR(SUMIFS('Base bordo CD'!M$2:M$875,'Base bordo CD'!D$2:D$875,A785,'Base bordo CD'!A$2:A$875,B785,'Base bordo CD'!L$2:L$875,"PARADA POR CONDICOES CLIMATICAS"),0)+IFERROR(SUMIFS('Base bordo CD'!M$2:M$875,'Base bordo CD'!D$2:D$875,A785,'Base bordo CD'!A$2:A$875,B785,'Base bordo CD'!L$2:L$875,"TEMPO INDETERMINADO"),0)</f>
        <v>5.8274999999999997</v>
      </c>
      <c r="J785" s="10">
        <f>IFERROR(SUMIFS('Base bordo CD'!M$2:M$875,'Base bordo CD'!D$2:D$875,A785,'Base bordo CD'!A$2:A$875,B785,'Base bordo CD'!L$2:L$875,"LIMITAÇÃO INDÚSTRIA"),0)</f>
        <v>6.0438888888888886</v>
      </c>
      <c r="K785" s="10">
        <f>IFERROR(SUMIFS('Base bordo CD'!M$2:M$875,'Base bordo CD'!D$2:D$875,A785,'Base bordo CD'!A$2:A$875,B785,'Base bordo CD'!L$2:L$875,"MAN CORRETIVA*"),0)+IFERROR(SUMIFS('Base bordo CD'!M$2:M$875,'Base bordo CD'!D$2:D$875,A785,'Base bordo CD'!A$2:A$875,B785,'Base bordo CD'!L$2:L$875,"AGUARDANDO MANUTENCAO*"),0)+IFERROR(SUMIFS('Base bordo CD'!M$2:M$875,'Base bordo CD'!D$2:D$875,A785,'Base bordo CD'!A$2:A$875,B785,'Base bordo CD'!L$2:L$875,"TROCA DE FAQUINHA"),0)+IFERROR(SUMIFS('Base bordo CD'!M$2:M$875,'Base bordo CD'!D$2:D$875,A785,'Base bordo CD'!A$2:A$875,B785,'Base bordo CD'!L$2:L$875,"LIMPEZA*"),0)</f>
        <v>0.17416666666666666</v>
      </c>
      <c r="L785" s="10">
        <f>IFERROR(SUMIFS('Base bordo CD'!M$2:M$875,'Base bordo CD'!D$2:D$875,A785,'Base bordo CD'!A$2:A$875,B785,'Base bordo CD'!L$2:L$875,"PATIO - RESERVA"),0)</f>
        <v>0</v>
      </c>
      <c r="M785" s="10">
        <f>IFERROR(SUMIFS('Base bordo CD'!M$2:M$875,'Base bordo CD'!D$2:D$875,A785,'Base bordo CD'!A$2:A$875,B785,'Base bordo CD'!L$2:L$875,"SEM APONTAMENTO"),0)</f>
        <v>6.1111111111111116E-2</v>
      </c>
      <c r="N785" s="10">
        <f>IFERROR(SUMIFS('Base bordo CD'!M$2:M$875,'Base bordo CD'!D$2:D$875,A785,'Base bordo CD'!A$2:A$875,B785,'Base bordo CD'!L$2:L$875,"FALTA DE CAMINHÃO"),0)+IFERROR(SUMIFS('Base bordo CD'!M$2:M$875,'Base bordo CD'!D$2:D$875,A785,'Base bordo CD'!A$2:A$875,B785,'Base bordo CD'!L$2:L$875,"FALTA DE COMBUSTIVEL"),0)+IFERROR(SUMIFS('Base bordo CD'!M$2:M$875,'Base bordo CD'!D$2:D$875,A785,'Base bordo CD'!A$2:A$875,B785,'Base bordo CD'!L$2:L$875,"FALTA DE MOTORIST*"),0)</f>
        <v>0</v>
      </c>
      <c r="O785" s="10">
        <f t="shared" si="65"/>
        <v>2.1866666666666639</v>
      </c>
      <c r="P785" s="10">
        <f>IFERROR(SUMIFS('Base bordo CD'!M$2:M$875,'Base bordo CD'!D$2:D$875,A785,'Base bordo CD'!A$2:A$875,B785),0)</f>
        <v>24</v>
      </c>
      <c r="Q785" s="10">
        <f>IFERROR(SUMIFS('Base bordo CD'!O$2:O$875,'Base bordo CD'!D$2:D$875,A785,'Base bordo CD'!A$2:A$875,B785,'Base bordo CD'!L$2:L$875,"CORTE DE CANA MECANIZADO"),0)</f>
        <v>90232.6</v>
      </c>
      <c r="R785" s="10">
        <f>IFERROR(SUMIFS('Base bordo CD'!Q$2:Q$875,'Base bordo CD'!D$2:D$875,A785,'Base bordo CD'!A$2:A$875,B785,'Base bordo CD'!L$2:L$875,"CORTE DE CANA MECANIZADO"),0)</f>
        <v>21612</v>
      </c>
      <c r="S785" s="30">
        <f t="shared" si="66"/>
        <v>4.1751156764760324</v>
      </c>
      <c r="T785" s="9">
        <f t="shared" si="67"/>
        <v>0.25013888888888886</v>
      </c>
      <c r="U785" s="9">
        <f t="shared" si="68"/>
        <v>8.0057870370370376E-2</v>
      </c>
      <c r="V785" s="9">
        <f t="shared" si="69"/>
        <v>0.72480324074074076</v>
      </c>
    </row>
    <row r="786" spans="1:22" hidden="1" x14ac:dyDescent="0.35">
      <c r="A786" s="52">
        <v>49590</v>
      </c>
      <c r="B786" s="31">
        <v>46118</v>
      </c>
      <c r="C786" s="7" t="s">
        <v>321</v>
      </c>
      <c r="D786" s="7">
        <v>351</v>
      </c>
      <c r="E786" s="10">
        <f>IFERROR(SUMIFS('Base bordo CD'!M$2:M$875,'Base bordo CD'!D$2:D$875,A786,'Base bordo CD'!A$2:A$875,B786,'Base bordo CD'!L$2:L$875,"CORTE DE CANA MECANIZADO"),0)</f>
        <v>6.003333333333333</v>
      </c>
      <c r="F786" s="10">
        <f>IFERROR(SUMIFS('Base bordo CD'!M$2:M$875,'Base bordo CD'!D$2:D$875,A786,'Base bordo CD'!A$2:A$875,B786,'Base bordo CD'!L$2:L$875,"MANOBRA"),0)</f>
        <v>1.921388888888889</v>
      </c>
      <c r="G786" s="10">
        <f>IFERROR(SUMIFS('Base bordo CD'!M$2:M$875,'Base bordo CD'!D$2:D$875,A786,'Base bordo CD'!A$2:A$875,B786,'Base bordo CD'!L$2:L$875,"DESLOCAMENTO"),0)</f>
        <v>0.60138888888888886</v>
      </c>
      <c r="H786" s="10">
        <f>IFERROR(SUMIFS('Base bordo CD'!M$2:M$875,'Base bordo CD'!D$2:D$875,A786,'Base bordo CD'!A$2:A$875,B786,'Base bordo CD'!L$2:L$875,"AGUARDANDO MANOBRA DE TRANSBORDO"),0)+IFERROR(SUMIFS('Base bordo CD'!M$2:M$875,'Base bordo CD'!D$2:D$875,A786,'Base bordo CD'!A$2:A$875,B786,'Base bordo CD'!L$2:L$875,"FALTA DE TRANSBORDO"),0)</f>
        <v>1.1805555555555556</v>
      </c>
      <c r="I786" s="10">
        <f>IFERROR(SUMIFS('Base bordo CD'!M$2:M$875,'Base bordo CD'!D$2:D$875,A786,'Base bordo CD'!A$2:A$875,B786,'Base bordo CD'!L$2:L$875,"PARADA POR CONDICOES CLIMATICAS"),0)+IFERROR(SUMIFS('Base bordo CD'!M$2:M$875,'Base bordo CD'!D$2:D$875,A786,'Base bordo CD'!A$2:A$875,B786,'Base bordo CD'!L$2:L$875,"TEMPO INDETERMINADO"),0)</f>
        <v>5.8274999999999997</v>
      </c>
      <c r="J786" s="10">
        <f>IFERROR(SUMIFS('Base bordo CD'!M$2:M$875,'Base bordo CD'!D$2:D$875,A786,'Base bordo CD'!A$2:A$875,B786,'Base bordo CD'!L$2:L$875,"LIMITAÇÃO INDÚSTRIA"),0)</f>
        <v>6.0438888888888886</v>
      </c>
      <c r="K786" s="10">
        <f>IFERROR(SUMIFS('Base bordo CD'!M$2:M$875,'Base bordo CD'!D$2:D$875,A786,'Base bordo CD'!A$2:A$875,B786,'Base bordo CD'!L$2:L$875,"MAN CORRETIVA*"),0)+IFERROR(SUMIFS('Base bordo CD'!M$2:M$875,'Base bordo CD'!D$2:D$875,A786,'Base bordo CD'!A$2:A$875,B786,'Base bordo CD'!L$2:L$875,"AGUARDANDO MANUTENCAO*"),0)+IFERROR(SUMIFS('Base bordo CD'!M$2:M$875,'Base bordo CD'!D$2:D$875,A786,'Base bordo CD'!A$2:A$875,B786,'Base bordo CD'!L$2:L$875,"TROCA DE FAQUINHA"),0)+IFERROR(SUMIFS('Base bordo CD'!M$2:M$875,'Base bordo CD'!D$2:D$875,A786,'Base bordo CD'!A$2:A$875,B786,'Base bordo CD'!L$2:L$875,"LIMPEZA*"),0)</f>
        <v>0.17416666666666666</v>
      </c>
      <c r="L786" s="10">
        <f>IFERROR(SUMIFS('Base bordo CD'!M$2:M$875,'Base bordo CD'!D$2:D$875,A786,'Base bordo CD'!A$2:A$875,B786,'Base bordo CD'!L$2:L$875,"PATIO - RESERVA"),0)</f>
        <v>0</v>
      </c>
      <c r="M786" s="10">
        <f>IFERROR(SUMIFS('Base bordo CD'!M$2:M$875,'Base bordo CD'!D$2:D$875,A786,'Base bordo CD'!A$2:A$875,B786,'Base bordo CD'!L$2:L$875,"SEM APONTAMENTO"),0)</f>
        <v>6.1111111111111116E-2</v>
      </c>
      <c r="N786" s="10">
        <f>IFERROR(SUMIFS('Base bordo CD'!M$2:M$875,'Base bordo CD'!D$2:D$875,A786,'Base bordo CD'!A$2:A$875,B786,'Base bordo CD'!L$2:L$875,"FALTA DE CAMINHÃO"),0)+IFERROR(SUMIFS('Base bordo CD'!M$2:M$875,'Base bordo CD'!D$2:D$875,A786,'Base bordo CD'!A$2:A$875,B786,'Base bordo CD'!L$2:L$875,"FALTA DE COMBUSTIVEL"),0)+IFERROR(SUMIFS('Base bordo CD'!M$2:M$875,'Base bordo CD'!D$2:D$875,A786,'Base bordo CD'!A$2:A$875,B786,'Base bordo CD'!L$2:L$875,"FALTA DE MOTORIST*"),0)</f>
        <v>0</v>
      </c>
      <c r="O786" s="10">
        <f t="shared" si="65"/>
        <v>2.1866666666666639</v>
      </c>
      <c r="P786" s="10">
        <f>IFERROR(SUMIFS('Base bordo CD'!M$2:M$875,'Base bordo CD'!D$2:D$875,A786,'Base bordo CD'!A$2:A$875,B786),0)</f>
        <v>24</v>
      </c>
      <c r="Q786" s="10">
        <f>IFERROR(SUMIFS('Base bordo CD'!O$2:O$875,'Base bordo CD'!D$2:D$875,A786,'Base bordo CD'!A$2:A$875,B786,'Base bordo CD'!L$2:L$875,"CORTE DE CANA MECANIZADO"),0)</f>
        <v>90232.6</v>
      </c>
      <c r="R786" s="10">
        <f>IFERROR(SUMIFS('Base bordo CD'!Q$2:Q$875,'Base bordo CD'!D$2:D$875,A786,'Base bordo CD'!A$2:A$875,B786,'Base bordo CD'!L$2:L$875,"CORTE DE CANA MECANIZADO"),0)</f>
        <v>21612</v>
      </c>
      <c r="S786" s="30">
        <f t="shared" si="66"/>
        <v>4.1751156764760324</v>
      </c>
      <c r="T786" s="9">
        <f t="shared" si="67"/>
        <v>0.25013888888888886</v>
      </c>
      <c r="U786" s="9">
        <f t="shared" si="68"/>
        <v>8.0057870370370376E-2</v>
      </c>
      <c r="V786" s="9">
        <f t="shared" si="69"/>
        <v>0.72480324074074076</v>
      </c>
    </row>
    <row r="787" spans="1:22" hidden="1" x14ac:dyDescent="0.35">
      <c r="A787" s="52">
        <v>49590</v>
      </c>
      <c r="B787" s="31">
        <v>46118</v>
      </c>
      <c r="C787" s="7" t="s">
        <v>321</v>
      </c>
      <c r="D787" s="7">
        <v>351</v>
      </c>
      <c r="E787" s="10">
        <f>IFERROR(SUMIFS('Base bordo CD'!M$2:M$875,'Base bordo CD'!D$2:D$875,A787,'Base bordo CD'!A$2:A$875,B787,'Base bordo CD'!L$2:L$875,"CORTE DE CANA MECANIZADO"),0)</f>
        <v>6.003333333333333</v>
      </c>
      <c r="F787" s="10">
        <f>IFERROR(SUMIFS('Base bordo CD'!M$2:M$875,'Base bordo CD'!D$2:D$875,A787,'Base bordo CD'!A$2:A$875,B787,'Base bordo CD'!L$2:L$875,"MANOBRA"),0)</f>
        <v>1.921388888888889</v>
      </c>
      <c r="G787" s="10">
        <f>IFERROR(SUMIFS('Base bordo CD'!M$2:M$875,'Base bordo CD'!D$2:D$875,A787,'Base bordo CD'!A$2:A$875,B787,'Base bordo CD'!L$2:L$875,"DESLOCAMENTO"),0)</f>
        <v>0.60138888888888886</v>
      </c>
      <c r="H787" s="10">
        <f>IFERROR(SUMIFS('Base bordo CD'!M$2:M$875,'Base bordo CD'!D$2:D$875,A787,'Base bordo CD'!A$2:A$875,B787,'Base bordo CD'!L$2:L$875,"AGUARDANDO MANOBRA DE TRANSBORDO"),0)+IFERROR(SUMIFS('Base bordo CD'!M$2:M$875,'Base bordo CD'!D$2:D$875,A787,'Base bordo CD'!A$2:A$875,B787,'Base bordo CD'!L$2:L$875,"FALTA DE TRANSBORDO"),0)</f>
        <v>1.1805555555555556</v>
      </c>
      <c r="I787" s="10">
        <f>IFERROR(SUMIFS('Base bordo CD'!M$2:M$875,'Base bordo CD'!D$2:D$875,A787,'Base bordo CD'!A$2:A$875,B787,'Base bordo CD'!L$2:L$875,"PARADA POR CONDICOES CLIMATICAS"),0)+IFERROR(SUMIFS('Base bordo CD'!M$2:M$875,'Base bordo CD'!D$2:D$875,A787,'Base bordo CD'!A$2:A$875,B787,'Base bordo CD'!L$2:L$875,"TEMPO INDETERMINADO"),0)</f>
        <v>5.8274999999999997</v>
      </c>
      <c r="J787" s="10">
        <f>IFERROR(SUMIFS('Base bordo CD'!M$2:M$875,'Base bordo CD'!D$2:D$875,A787,'Base bordo CD'!A$2:A$875,B787,'Base bordo CD'!L$2:L$875,"LIMITAÇÃO INDÚSTRIA"),0)</f>
        <v>6.0438888888888886</v>
      </c>
      <c r="K787" s="10">
        <f>IFERROR(SUMIFS('Base bordo CD'!M$2:M$875,'Base bordo CD'!D$2:D$875,A787,'Base bordo CD'!A$2:A$875,B787,'Base bordo CD'!L$2:L$875,"MAN CORRETIVA*"),0)+IFERROR(SUMIFS('Base bordo CD'!M$2:M$875,'Base bordo CD'!D$2:D$875,A787,'Base bordo CD'!A$2:A$875,B787,'Base bordo CD'!L$2:L$875,"AGUARDANDO MANUTENCAO*"),0)+IFERROR(SUMIFS('Base bordo CD'!M$2:M$875,'Base bordo CD'!D$2:D$875,A787,'Base bordo CD'!A$2:A$875,B787,'Base bordo CD'!L$2:L$875,"TROCA DE FAQUINHA"),0)+IFERROR(SUMIFS('Base bordo CD'!M$2:M$875,'Base bordo CD'!D$2:D$875,A787,'Base bordo CD'!A$2:A$875,B787,'Base bordo CD'!L$2:L$875,"LIMPEZA*"),0)</f>
        <v>0.17416666666666666</v>
      </c>
      <c r="L787" s="10">
        <f>IFERROR(SUMIFS('Base bordo CD'!M$2:M$875,'Base bordo CD'!D$2:D$875,A787,'Base bordo CD'!A$2:A$875,B787,'Base bordo CD'!L$2:L$875,"PATIO - RESERVA"),0)</f>
        <v>0</v>
      </c>
      <c r="M787" s="10">
        <f>IFERROR(SUMIFS('Base bordo CD'!M$2:M$875,'Base bordo CD'!D$2:D$875,A787,'Base bordo CD'!A$2:A$875,B787,'Base bordo CD'!L$2:L$875,"SEM APONTAMENTO"),0)</f>
        <v>6.1111111111111116E-2</v>
      </c>
      <c r="N787" s="10">
        <f>IFERROR(SUMIFS('Base bordo CD'!M$2:M$875,'Base bordo CD'!D$2:D$875,A787,'Base bordo CD'!A$2:A$875,B787,'Base bordo CD'!L$2:L$875,"FALTA DE CAMINHÃO"),0)+IFERROR(SUMIFS('Base bordo CD'!M$2:M$875,'Base bordo CD'!D$2:D$875,A787,'Base bordo CD'!A$2:A$875,B787,'Base bordo CD'!L$2:L$875,"FALTA DE COMBUSTIVEL"),0)+IFERROR(SUMIFS('Base bordo CD'!M$2:M$875,'Base bordo CD'!D$2:D$875,A787,'Base bordo CD'!A$2:A$875,B787,'Base bordo CD'!L$2:L$875,"FALTA DE MOTORIST*"),0)</f>
        <v>0</v>
      </c>
      <c r="O787" s="10">
        <f t="shared" si="65"/>
        <v>2.1866666666666639</v>
      </c>
      <c r="P787" s="10">
        <f>IFERROR(SUMIFS('Base bordo CD'!M$2:M$875,'Base bordo CD'!D$2:D$875,A787,'Base bordo CD'!A$2:A$875,B787),0)</f>
        <v>24</v>
      </c>
      <c r="Q787" s="10">
        <f>IFERROR(SUMIFS('Base bordo CD'!O$2:O$875,'Base bordo CD'!D$2:D$875,A787,'Base bordo CD'!A$2:A$875,B787,'Base bordo CD'!L$2:L$875,"CORTE DE CANA MECANIZADO"),0)</f>
        <v>90232.6</v>
      </c>
      <c r="R787" s="10">
        <f>IFERROR(SUMIFS('Base bordo CD'!Q$2:Q$875,'Base bordo CD'!D$2:D$875,A787,'Base bordo CD'!A$2:A$875,B787,'Base bordo CD'!L$2:L$875,"CORTE DE CANA MECANIZADO"),0)</f>
        <v>21612</v>
      </c>
      <c r="S787" s="30">
        <f t="shared" si="66"/>
        <v>4.1751156764760324</v>
      </c>
      <c r="T787" s="9">
        <f t="shared" si="67"/>
        <v>0.25013888888888886</v>
      </c>
      <c r="U787" s="9">
        <f t="shared" si="68"/>
        <v>8.0057870370370376E-2</v>
      </c>
      <c r="V787" s="9">
        <f t="shared" si="69"/>
        <v>0.72480324074074076</v>
      </c>
    </row>
    <row r="788" spans="1:22" hidden="1" x14ac:dyDescent="0.35">
      <c r="A788" s="52">
        <v>49590</v>
      </c>
      <c r="B788" s="31">
        <v>46118</v>
      </c>
      <c r="C788" s="7" t="s">
        <v>321</v>
      </c>
      <c r="D788" s="7">
        <v>351</v>
      </c>
      <c r="E788" s="10">
        <f>IFERROR(SUMIFS('Base bordo CD'!M$2:M$875,'Base bordo CD'!D$2:D$875,A788,'Base bordo CD'!A$2:A$875,B788,'Base bordo CD'!L$2:L$875,"CORTE DE CANA MECANIZADO"),0)</f>
        <v>6.003333333333333</v>
      </c>
      <c r="F788" s="10">
        <f>IFERROR(SUMIFS('Base bordo CD'!M$2:M$875,'Base bordo CD'!D$2:D$875,A788,'Base bordo CD'!A$2:A$875,B788,'Base bordo CD'!L$2:L$875,"MANOBRA"),0)</f>
        <v>1.921388888888889</v>
      </c>
      <c r="G788" s="10">
        <f>IFERROR(SUMIFS('Base bordo CD'!M$2:M$875,'Base bordo CD'!D$2:D$875,A788,'Base bordo CD'!A$2:A$875,B788,'Base bordo CD'!L$2:L$875,"DESLOCAMENTO"),0)</f>
        <v>0.60138888888888886</v>
      </c>
      <c r="H788" s="10">
        <f>IFERROR(SUMIFS('Base bordo CD'!M$2:M$875,'Base bordo CD'!D$2:D$875,A788,'Base bordo CD'!A$2:A$875,B788,'Base bordo CD'!L$2:L$875,"AGUARDANDO MANOBRA DE TRANSBORDO"),0)+IFERROR(SUMIFS('Base bordo CD'!M$2:M$875,'Base bordo CD'!D$2:D$875,A788,'Base bordo CD'!A$2:A$875,B788,'Base bordo CD'!L$2:L$875,"FALTA DE TRANSBORDO"),0)</f>
        <v>1.1805555555555556</v>
      </c>
      <c r="I788" s="10">
        <f>IFERROR(SUMIFS('Base bordo CD'!M$2:M$875,'Base bordo CD'!D$2:D$875,A788,'Base bordo CD'!A$2:A$875,B788,'Base bordo CD'!L$2:L$875,"PARADA POR CONDICOES CLIMATICAS"),0)+IFERROR(SUMIFS('Base bordo CD'!M$2:M$875,'Base bordo CD'!D$2:D$875,A788,'Base bordo CD'!A$2:A$875,B788,'Base bordo CD'!L$2:L$875,"TEMPO INDETERMINADO"),0)</f>
        <v>5.8274999999999997</v>
      </c>
      <c r="J788" s="10">
        <f>IFERROR(SUMIFS('Base bordo CD'!M$2:M$875,'Base bordo CD'!D$2:D$875,A788,'Base bordo CD'!A$2:A$875,B788,'Base bordo CD'!L$2:L$875,"LIMITAÇÃO INDÚSTRIA"),0)</f>
        <v>6.0438888888888886</v>
      </c>
      <c r="K788" s="10">
        <f>IFERROR(SUMIFS('Base bordo CD'!M$2:M$875,'Base bordo CD'!D$2:D$875,A788,'Base bordo CD'!A$2:A$875,B788,'Base bordo CD'!L$2:L$875,"MAN CORRETIVA*"),0)+IFERROR(SUMIFS('Base bordo CD'!M$2:M$875,'Base bordo CD'!D$2:D$875,A788,'Base bordo CD'!A$2:A$875,B788,'Base bordo CD'!L$2:L$875,"AGUARDANDO MANUTENCAO*"),0)+IFERROR(SUMIFS('Base bordo CD'!M$2:M$875,'Base bordo CD'!D$2:D$875,A788,'Base bordo CD'!A$2:A$875,B788,'Base bordo CD'!L$2:L$875,"TROCA DE FAQUINHA"),0)+IFERROR(SUMIFS('Base bordo CD'!M$2:M$875,'Base bordo CD'!D$2:D$875,A788,'Base bordo CD'!A$2:A$875,B788,'Base bordo CD'!L$2:L$875,"LIMPEZA*"),0)</f>
        <v>0.17416666666666666</v>
      </c>
      <c r="L788" s="10">
        <f>IFERROR(SUMIFS('Base bordo CD'!M$2:M$875,'Base bordo CD'!D$2:D$875,A788,'Base bordo CD'!A$2:A$875,B788,'Base bordo CD'!L$2:L$875,"PATIO - RESERVA"),0)</f>
        <v>0</v>
      </c>
      <c r="M788" s="10">
        <f>IFERROR(SUMIFS('Base bordo CD'!M$2:M$875,'Base bordo CD'!D$2:D$875,A788,'Base bordo CD'!A$2:A$875,B788,'Base bordo CD'!L$2:L$875,"SEM APONTAMENTO"),0)</f>
        <v>6.1111111111111116E-2</v>
      </c>
      <c r="N788" s="10">
        <f>IFERROR(SUMIFS('Base bordo CD'!M$2:M$875,'Base bordo CD'!D$2:D$875,A788,'Base bordo CD'!A$2:A$875,B788,'Base bordo CD'!L$2:L$875,"FALTA DE CAMINHÃO"),0)+IFERROR(SUMIFS('Base bordo CD'!M$2:M$875,'Base bordo CD'!D$2:D$875,A788,'Base bordo CD'!A$2:A$875,B788,'Base bordo CD'!L$2:L$875,"FALTA DE COMBUSTIVEL"),0)+IFERROR(SUMIFS('Base bordo CD'!M$2:M$875,'Base bordo CD'!D$2:D$875,A788,'Base bordo CD'!A$2:A$875,B788,'Base bordo CD'!L$2:L$875,"FALTA DE MOTORIST*"),0)</f>
        <v>0</v>
      </c>
      <c r="O788" s="10">
        <f t="shared" si="65"/>
        <v>2.1866666666666639</v>
      </c>
      <c r="P788" s="10">
        <f>IFERROR(SUMIFS('Base bordo CD'!M$2:M$875,'Base bordo CD'!D$2:D$875,A788,'Base bordo CD'!A$2:A$875,B788),0)</f>
        <v>24</v>
      </c>
      <c r="Q788" s="10">
        <f>IFERROR(SUMIFS('Base bordo CD'!O$2:O$875,'Base bordo CD'!D$2:D$875,A788,'Base bordo CD'!A$2:A$875,B788,'Base bordo CD'!L$2:L$875,"CORTE DE CANA MECANIZADO"),0)</f>
        <v>90232.6</v>
      </c>
      <c r="R788" s="10">
        <f>IFERROR(SUMIFS('Base bordo CD'!Q$2:Q$875,'Base bordo CD'!D$2:D$875,A788,'Base bordo CD'!A$2:A$875,B788,'Base bordo CD'!L$2:L$875,"CORTE DE CANA MECANIZADO"),0)</f>
        <v>21612</v>
      </c>
      <c r="S788" s="30">
        <f t="shared" si="66"/>
        <v>4.1751156764760324</v>
      </c>
      <c r="T788" s="9">
        <f t="shared" si="67"/>
        <v>0.25013888888888886</v>
      </c>
      <c r="U788" s="9">
        <f t="shared" si="68"/>
        <v>8.0057870370370376E-2</v>
      </c>
      <c r="V788" s="9">
        <f t="shared" si="69"/>
        <v>0.72480324074074076</v>
      </c>
    </row>
    <row r="789" spans="1:22" hidden="1" x14ac:dyDescent="0.35">
      <c r="A789" s="52">
        <v>49590</v>
      </c>
      <c r="B789" s="31">
        <v>46118</v>
      </c>
      <c r="C789" s="7" t="s">
        <v>321</v>
      </c>
      <c r="D789" s="7">
        <v>351</v>
      </c>
      <c r="E789" s="10">
        <f>IFERROR(SUMIFS('Base bordo CD'!M$2:M$875,'Base bordo CD'!D$2:D$875,A789,'Base bordo CD'!A$2:A$875,B789,'Base bordo CD'!L$2:L$875,"CORTE DE CANA MECANIZADO"),0)</f>
        <v>6.003333333333333</v>
      </c>
      <c r="F789" s="10">
        <f>IFERROR(SUMIFS('Base bordo CD'!M$2:M$875,'Base bordo CD'!D$2:D$875,A789,'Base bordo CD'!A$2:A$875,B789,'Base bordo CD'!L$2:L$875,"MANOBRA"),0)</f>
        <v>1.921388888888889</v>
      </c>
      <c r="G789" s="10">
        <f>IFERROR(SUMIFS('Base bordo CD'!M$2:M$875,'Base bordo CD'!D$2:D$875,A789,'Base bordo CD'!A$2:A$875,B789,'Base bordo CD'!L$2:L$875,"DESLOCAMENTO"),0)</f>
        <v>0.60138888888888886</v>
      </c>
      <c r="H789" s="10">
        <f>IFERROR(SUMIFS('Base bordo CD'!M$2:M$875,'Base bordo CD'!D$2:D$875,A789,'Base bordo CD'!A$2:A$875,B789,'Base bordo CD'!L$2:L$875,"AGUARDANDO MANOBRA DE TRANSBORDO"),0)+IFERROR(SUMIFS('Base bordo CD'!M$2:M$875,'Base bordo CD'!D$2:D$875,A789,'Base bordo CD'!A$2:A$875,B789,'Base bordo CD'!L$2:L$875,"FALTA DE TRANSBORDO"),0)</f>
        <v>1.1805555555555556</v>
      </c>
      <c r="I789" s="10">
        <f>IFERROR(SUMIFS('Base bordo CD'!M$2:M$875,'Base bordo CD'!D$2:D$875,A789,'Base bordo CD'!A$2:A$875,B789,'Base bordo CD'!L$2:L$875,"PARADA POR CONDICOES CLIMATICAS"),0)+IFERROR(SUMIFS('Base bordo CD'!M$2:M$875,'Base bordo CD'!D$2:D$875,A789,'Base bordo CD'!A$2:A$875,B789,'Base bordo CD'!L$2:L$875,"TEMPO INDETERMINADO"),0)</f>
        <v>5.8274999999999997</v>
      </c>
      <c r="J789" s="10">
        <f>IFERROR(SUMIFS('Base bordo CD'!M$2:M$875,'Base bordo CD'!D$2:D$875,A789,'Base bordo CD'!A$2:A$875,B789,'Base bordo CD'!L$2:L$875,"LIMITAÇÃO INDÚSTRIA"),0)</f>
        <v>6.0438888888888886</v>
      </c>
      <c r="K789" s="10">
        <f>IFERROR(SUMIFS('Base bordo CD'!M$2:M$875,'Base bordo CD'!D$2:D$875,A789,'Base bordo CD'!A$2:A$875,B789,'Base bordo CD'!L$2:L$875,"MAN CORRETIVA*"),0)+IFERROR(SUMIFS('Base bordo CD'!M$2:M$875,'Base bordo CD'!D$2:D$875,A789,'Base bordo CD'!A$2:A$875,B789,'Base bordo CD'!L$2:L$875,"AGUARDANDO MANUTENCAO*"),0)+IFERROR(SUMIFS('Base bordo CD'!M$2:M$875,'Base bordo CD'!D$2:D$875,A789,'Base bordo CD'!A$2:A$875,B789,'Base bordo CD'!L$2:L$875,"TROCA DE FAQUINHA"),0)+IFERROR(SUMIFS('Base bordo CD'!M$2:M$875,'Base bordo CD'!D$2:D$875,A789,'Base bordo CD'!A$2:A$875,B789,'Base bordo CD'!L$2:L$875,"LIMPEZA*"),0)</f>
        <v>0.17416666666666666</v>
      </c>
      <c r="L789" s="10">
        <f>IFERROR(SUMIFS('Base bordo CD'!M$2:M$875,'Base bordo CD'!D$2:D$875,A789,'Base bordo CD'!A$2:A$875,B789,'Base bordo CD'!L$2:L$875,"PATIO - RESERVA"),0)</f>
        <v>0</v>
      </c>
      <c r="M789" s="10">
        <f>IFERROR(SUMIFS('Base bordo CD'!M$2:M$875,'Base bordo CD'!D$2:D$875,A789,'Base bordo CD'!A$2:A$875,B789,'Base bordo CD'!L$2:L$875,"SEM APONTAMENTO"),0)</f>
        <v>6.1111111111111116E-2</v>
      </c>
      <c r="N789" s="10">
        <f>IFERROR(SUMIFS('Base bordo CD'!M$2:M$875,'Base bordo CD'!D$2:D$875,A789,'Base bordo CD'!A$2:A$875,B789,'Base bordo CD'!L$2:L$875,"FALTA DE CAMINHÃO"),0)+IFERROR(SUMIFS('Base bordo CD'!M$2:M$875,'Base bordo CD'!D$2:D$875,A789,'Base bordo CD'!A$2:A$875,B789,'Base bordo CD'!L$2:L$875,"FALTA DE COMBUSTIVEL"),0)+IFERROR(SUMIFS('Base bordo CD'!M$2:M$875,'Base bordo CD'!D$2:D$875,A789,'Base bordo CD'!A$2:A$875,B789,'Base bordo CD'!L$2:L$875,"FALTA DE MOTORIST*"),0)</f>
        <v>0</v>
      </c>
      <c r="O789" s="10">
        <f t="shared" si="65"/>
        <v>2.1866666666666639</v>
      </c>
      <c r="P789" s="10">
        <f>IFERROR(SUMIFS('Base bordo CD'!M$2:M$875,'Base bordo CD'!D$2:D$875,A789,'Base bordo CD'!A$2:A$875,B789),0)</f>
        <v>24</v>
      </c>
      <c r="Q789" s="10">
        <f>IFERROR(SUMIFS('Base bordo CD'!O$2:O$875,'Base bordo CD'!D$2:D$875,A789,'Base bordo CD'!A$2:A$875,B789,'Base bordo CD'!L$2:L$875,"CORTE DE CANA MECANIZADO"),0)</f>
        <v>90232.6</v>
      </c>
      <c r="R789" s="10">
        <f>IFERROR(SUMIFS('Base bordo CD'!Q$2:Q$875,'Base bordo CD'!D$2:D$875,A789,'Base bordo CD'!A$2:A$875,B789,'Base bordo CD'!L$2:L$875,"CORTE DE CANA MECANIZADO"),0)</f>
        <v>21612</v>
      </c>
      <c r="S789" s="30">
        <f t="shared" si="66"/>
        <v>4.1751156764760324</v>
      </c>
      <c r="T789" s="9">
        <f t="shared" si="67"/>
        <v>0.25013888888888886</v>
      </c>
      <c r="U789" s="9">
        <f t="shared" si="68"/>
        <v>8.0057870370370376E-2</v>
      </c>
      <c r="V789" s="9">
        <f t="shared" si="69"/>
        <v>0.72480324074074076</v>
      </c>
    </row>
    <row r="790" spans="1:22" hidden="1" x14ac:dyDescent="0.35">
      <c r="A790" s="52">
        <v>49590</v>
      </c>
      <c r="B790" s="31">
        <v>46118</v>
      </c>
      <c r="C790" s="7" t="s">
        <v>321</v>
      </c>
      <c r="D790" s="7">
        <v>351</v>
      </c>
      <c r="E790" s="10">
        <f>IFERROR(SUMIFS('Base bordo CD'!M$2:M$875,'Base bordo CD'!D$2:D$875,A790,'Base bordo CD'!A$2:A$875,B790,'Base bordo CD'!L$2:L$875,"CORTE DE CANA MECANIZADO"),0)</f>
        <v>6.003333333333333</v>
      </c>
      <c r="F790" s="10">
        <f>IFERROR(SUMIFS('Base bordo CD'!M$2:M$875,'Base bordo CD'!D$2:D$875,A790,'Base bordo CD'!A$2:A$875,B790,'Base bordo CD'!L$2:L$875,"MANOBRA"),0)</f>
        <v>1.921388888888889</v>
      </c>
      <c r="G790" s="10">
        <f>IFERROR(SUMIFS('Base bordo CD'!M$2:M$875,'Base bordo CD'!D$2:D$875,A790,'Base bordo CD'!A$2:A$875,B790,'Base bordo CD'!L$2:L$875,"DESLOCAMENTO"),0)</f>
        <v>0.60138888888888886</v>
      </c>
      <c r="H790" s="10">
        <f>IFERROR(SUMIFS('Base bordo CD'!M$2:M$875,'Base bordo CD'!D$2:D$875,A790,'Base bordo CD'!A$2:A$875,B790,'Base bordo CD'!L$2:L$875,"AGUARDANDO MANOBRA DE TRANSBORDO"),0)+IFERROR(SUMIFS('Base bordo CD'!M$2:M$875,'Base bordo CD'!D$2:D$875,A790,'Base bordo CD'!A$2:A$875,B790,'Base bordo CD'!L$2:L$875,"FALTA DE TRANSBORDO"),0)</f>
        <v>1.1805555555555556</v>
      </c>
      <c r="I790" s="10">
        <f>IFERROR(SUMIFS('Base bordo CD'!M$2:M$875,'Base bordo CD'!D$2:D$875,A790,'Base bordo CD'!A$2:A$875,B790,'Base bordo CD'!L$2:L$875,"PARADA POR CONDICOES CLIMATICAS"),0)+IFERROR(SUMIFS('Base bordo CD'!M$2:M$875,'Base bordo CD'!D$2:D$875,A790,'Base bordo CD'!A$2:A$875,B790,'Base bordo CD'!L$2:L$875,"TEMPO INDETERMINADO"),0)</f>
        <v>5.8274999999999997</v>
      </c>
      <c r="J790" s="10">
        <f>IFERROR(SUMIFS('Base bordo CD'!M$2:M$875,'Base bordo CD'!D$2:D$875,A790,'Base bordo CD'!A$2:A$875,B790,'Base bordo CD'!L$2:L$875,"LIMITAÇÃO INDÚSTRIA"),0)</f>
        <v>6.0438888888888886</v>
      </c>
      <c r="K790" s="10">
        <f>IFERROR(SUMIFS('Base bordo CD'!M$2:M$875,'Base bordo CD'!D$2:D$875,A790,'Base bordo CD'!A$2:A$875,B790,'Base bordo CD'!L$2:L$875,"MAN CORRETIVA*"),0)+IFERROR(SUMIFS('Base bordo CD'!M$2:M$875,'Base bordo CD'!D$2:D$875,A790,'Base bordo CD'!A$2:A$875,B790,'Base bordo CD'!L$2:L$875,"AGUARDANDO MANUTENCAO*"),0)+IFERROR(SUMIFS('Base bordo CD'!M$2:M$875,'Base bordo CD'!D$2:D$875,A790,'Base bordo CD'!A$2:A$875,B790,'Base bordo CD'!L$2:L$875,"TROCA DE FAQUINHA"),0)+IFERROR(SUMIFS('Base bordo CD'!M$2:M$875,'Base bordo CD'!D$2:D$875,A790,'Base bordo CD'!A$2:A$875,B790,'Base bordo CD'!L$2:L$875,"LIMPEZA*"),0)</f>
        <v>0.17416666666666666</v>
      </c>
      <c r="L790" s="10">
        <f>IFERROR(SUMIFS('Base bordo CD'!M$2:M$875,'Base bordo CD'!D$2:D$875,A790,'Base bordo CD'!A$2:A$875,B790,'Base bordo CD'!L$2:L$875,"PATIO - RESERVA"),0)</f>
        <v>0</v>
      </c>
      <c r="M790" s="10">
        <f>IFERROR(SUMIFS('Base bordo CD'!M$2:M$875,'Base bordo CD'!D$2:D$875,A790,'Base bordo CD'!A$2:A$875,B790,'Base bordo CD'!L$2:L$875,"SEM APONTAMENTO"),0)</f>
        <v>6.1111111111111116E-2</v>
      </c>
      <c r="N790" s="10">
        <f>IFERROR(SUMIFS('Base bordo CD'!M$2:M$875,'Base bordo CD'!D$2:D$875,A790,'Base bordo CD'!A$2:A$875,B790,'Base bordo CD'!L$2:L$875,"FALTA DE CAMINHÃO"),0)+IFERROR(SUMIFS('Base bordo CD'!M$2:M$875,'Base bordo CD'!D$2:D$875,A790,'Base bordo CD'!A$2:A$875,B790,'Base bordo CD'!L$2:L$875,"FALTA DE COMBUSTIVEL"),0)+IFERROR(SUMIFS('Base bordo CD'!M$2:M$875,'Base bordo CD'!D$2:D$875,A790,'Base bordo CD'!A$2:A$875,B790,'Base bordo CD'!L$2:L$875,"FALTA DE MOTORIST*"),0)</f>
        <v>0</v>
      </c>
      <c r="O790" s="10">
        <f t="shared" si="65"/>
        <v>2.1866666666666639</v>
      </c>
      <c r="P790" s="10">
        <f>IFERROR(SUMIFS('Base bordo CD'!M$2:M$875,'Base bordo CD'!D$2:D$875,A790,'Base bordo CD'!A$2:A$875,B790),0)</f>
        <v>24</v>
      </c>
      <c r="Q790" s="10">
        <f>IFERROR(SUMIFS('Base bordo CD'!O$2:O$875,'Base bordo CD'!D$2:D$875,A790,'Base bordo CD'!A$2:A$875,B790,'Base bordo CD'!L$2:L$875,"CORTE DE CANA MECANIZADO"),0)</f>
        <v>90232.6</v>
      </c>
      <c r="R790" s="10">
        <f>IFERROR(SUMIFS('Base bordo CD'!Q$2:Q$875,'Base bordo CD'!D$2:D$875,A790,'Base bordo CD'!A$2:A$875,B790,'Base bordo CD'!L$2:L$875,"CORTE DE CANA MECANIZADO"),0)</f>
        <v>21612</v>
      </c>
      <c r="S790" s="30">
        <f t="shared" si="66"/>
        <v>4.1751156764760324</v>
      </c>
      <c r="T790" s="9">
        <f t="shared" si="67"/>
        <v>0.25013888888888886</v>
      </c>
      <c r="U790" s="9">
        <f t="shared" si="68"/>
        <v>8.0057870370370376E-2</v>
      </c>
      <c r="V790" s="9">
        <f t="shared" si="69"/>
        <v>0.72480324074074076</v>
      </c>
    </row>
    <row r="791" spans="1:22" hidden="1" x14ac:dyDescent="0.35">
      <c r="A791" s="52">
        <v>49590</v>
      </c>
      <c r="B791" s="31">
        <v>46118</v>
      </c>
      <c r="C791" s="7" t="s">
        <v>321</v>
      </c>
      <c r="D791" s="7">
        <v>351</v>
      </c>
      <c r="E791" s="10">
        <f>IFERROR(SUMIFS('Base bordo CD'!M$2:M$875,'Base bordo CD'!D$2:D$875,A791,'Base bordo CD'!A$2:A$875,B791,'Base bordo CD'!L$2:L$875,"CORTE DE CANA MECANIZADO"),0)</f>
        <v>6.003333333333333</v>
      </c>
      <c r="F791" s="10">
        <f>IFERROR(SUMIFS('Base bordo CD'!M$2:M$875,'Base bordo CD'!D$2:D$875,A791,'Base bordo CD'!A$2:A$875,B791,'Base bordo CD'!L$2:L$875,"MANOBRA"),0)</f>
        <v>1.921388888888889</v>
      </c>
      <c r="G791" s="10">
        <f>IFERROR(SUMIFS('Base bordo CD'!M$2:M$875,'Base bordo CD'!D$2:D$875,A791,'Base bordo CD'!A$2:A$875,B791,'Base bordo CD'!L$2:L$875,"DESLOCAMENTO"),0)</f>
        <v>0.60138888888888886</v>
      </c>
      <c r="H791" s="10">
        <f>IFERROR(SUMIFS('Base bordo CD'!M$2:M$875,'Base bordo CD'!D$2:D$875,A791,'Base bordo CD'!A$2:A$875,B791,'Base bordo CD'!L$2:L$875,"AGUARDANDO MANOBRA DE TRANSBORDO"),0)+IFERROR(SUMIFS('Base bordo CD'!M$2:M$875,'Base bordo CD'!D$2:D$875,A791,'Base bordo CD'!A$2:A$875,B791,'Base bordo CD'!L$2:L$875,"FALTA DE TRANSBORDO"),0)</f>
        <v>1.1805555555555556</v>
      </c>
      <c r="I791" s="10">
        <f>IFERROR(SUMIFS('Base bordo CD'!M$2:M$875,'Base bordo CD'!D$2:D$875,A791,'Base bordo CD'!A$2:A$875,B791,'Base bordo CD'!L$2:L$875,"PARADA POR CONDICOES CLIMATICAS"),0)+IFERROR(SUMIFS('Base bordo CD'!M$2:M$875,'Base bordo CD'!D$2:D$875,A791,'Base bordo CD'!A$2:A$875,B791,'Base bordo CD'!L$2:L$875,"TEMPO INDETERMINADO"),0)</f>
        <v>5.8274999999999997</v>
      </c>
      <c r="J791" s="10">
        <f>IFERROR(SUMIFS('Base bordo CD'!M$2:M$875,'Base bordo CD'!D$2:D$875,A791,'Base bordo CD'!A$2:A$875,B791,'Base bordo CD'!L$2:L$875,"LIMITAÇÃO INDÚSTRIA"),0)</f>
        <v>6.0438888888888886</v>
      </c>
      <c r="K791" s="10">
        <f>IFERROR(SUMIFS('Base bordo CD'!M$2:M$875,'Base bordo CD'!D$2:D$875,A791,'Base bordo CD'!A$2:A$875,B791,'Base bordo CD'!L$2:L$875,"MAN CORRETIVA*"),0)+IFERROR(SUMIFS('Base bordo CD'!M$2:M$875,'Base bordo CD'!D$2:D$875,A791,'Base bordo CD'!A$2:A$875,B791,'Base bordo CD'!L$2:L$875,"AGUARDANDO MANUTENCAO*"),0)+IFERROR(SUMIFS('Base bordo CD'!M$2:M$875,'Base bordo CD'!D$2:D$875,A791,'Base bordo CD'!A$2:A$875,B791,'Base bordo CD'!L$2:L$875,"TROCA DE FAQUINHA"),0)+IFERROR(SUMIFS('Base bordo CD'!M$2:M$875,'Base bordo CD'!D$2:D$875,A791,'Base bordo CD'!A$2:A$875,B791,'Base bordo CD'!L$2:L$875,"LIMPEZA*"),0)</f>
        <v>0.17416666666666666</v>
      </c>
      <c r="L791" s="10">
        <f>IFERROR(SUMIFS('Base bordo CD'!M$2:M$875,'Base bordo CD'!D$2:D$875,A791,'Base bordo CD'!A$2:A$875,B791,'Base bordo CD'!L$2:L$875,"PATIO - RESERVA"),0)</f>
        <v>0</v>
      </c>
      <c r="M791" s="10">
        <f>IFERROR(SUMIFS('Base bordo CD'!M$2:M$875,'Base bordo CD'!D$2:D$875,A791,'Base bordo CD'!A$2:A$875,B791,'Base bordo CD'!L$2:L$875,"SEM APONTAMENTO"),0)</f>
        <v>6.1111111111111116E-2</v>
      </c>
      <c r="N791" s="10">
        <f>IFERROR(SUMIFS('Base bordo CD'!M$2:M$875,'Base bordo CD'!D$2:D$875,A791,'Base bordo CD'!A$2:A$875,B791,'Base bordo CD'!L$2:L$875,"FALTA DE CAMINHÃO"),0)+IFERROR(SUMIFS('Base bordo CD'!M$2:M$875,'Base bordo CD'!D$2:D$875,A791,'Base bordo CD'!A$2:A$875,B791,'Base bordo CD'!L$2:L$875,"FALTA DE COMBUSTIVEL"),0)+IFERROR(SUMIFS('Base bordo CD'!M$2:M$875,'Base bordo CD'!D$2:D$875,A791,'Base bordo CD'!A$2:A$875,B791,'Base bordo CD'!L$2:L$875,"FALTA DE MOTORIST*"),0)</f>
        <v>0</v>
      </c>
      <c r="O791" s="10">
        <f t="shared" si="65"/>
        <v>2.1866666666666639</v>
      </c>
      <c r="P791" s="10">
        <f>IFERROR(SUMIFS('Base bordo CD'!M$2:M$875,'Base bordo CD'!D$2:D$875,A791,'Base bordo CD'!A$2:A$875,B791),0)</f>
        <v>24</v>
      </c>
      <c r="Q791" s="10">
        <f>IFERROR(SUMIFS('Base bordo CD'!O$2:O$875,'Base bordo CD'!D$2:D$875,A791,'Base bordo CD'!A$2:A$875,B791,'Base bordo CD'!L$2:L$875,"CORTE DE CANA MECANIZADO"),0)</f>
        <v>90232.6</v>
      </c>
      <c r="R791" s="10">
        <f>IFERROR(SUMIFS('Base bordo CD'!Q$2:Q$875,'Base bordo CD'!D$2:D$875,A791,'Base bordo CD'!A$2:A$875,B791,'Base bordo CD'!L$2:L$875,"CORTE DE CANA MECANIZADO"),0)</f>
        <v>21612</v>
      </c>
      <c r="S791" s="30">
        <f t="shared" si="66"/>
        <v>4.1751156764760324</v>
      </c>
      <c r="T791" s="9">
        <f t="shared" si="67"/>
        <v>0.25013888888888886</v>
      </c>
      <c r="U791" s="9">
        <f t="shared" si="68"/>
        <v>8.0057870370370376E-2</v>
      </c>
      <c r="V791" s="9">
        <f t="shared" si="69"/>
        <v>0.72480324074074076</v>
      </c>
    </row>
    <row r="792" spans="1:22" hidden="1" x14ac:dyDescent="0.35">
      <c r="A792" s="52">
        <v>49590</v>
      </c>
      <c r="B792" s="31">
        <v>46118</v>
      </c>
      <c r="C792" s="7" t="s">
        <v>321</v>
      </c>
      <c r="D792" s="7">
        <v>351</v>
      </c>
      <c r="E792" s="10">
        <f>IFERROR(SUMIFS('Base bordo CD'!M$2:M$875,'Base bordo CD'!D$2:D$875,A792,'Base bordo CD'!A$2:A$875,B792,'Base bordo CD'!L$2:L$875,"CORTE DE CANA MECANIZADO"),0)</f>
        <v>6.003333333333333</v>
      </c>
      <c r="F792" s="10">
        <f>IFERROR(SUMIFS('Base bordo CD'!M$2:M$875,'Base bordo CD'!D$2:D$875,A792,'Base bordo CD'!A$2:A$875,B792,'Base bordo CD'!L$2:L$875,"MANOBRA"),0)</f>
        <v>1.921388888888889</v>
      </c>
      <c r="G792" s="10">
        <f>IFERROR(SUMIFS('Base bordo CD'!M$2:M$875,'Base bordo CD'!D$2:D$875,A792,'Base bordo CD'!A$2:A$875,B792,'Base bordo CD'!L$2:L$875,"DESLOCAMENTO"),0)</f>
        <v>0.60138888888888886</v>
      </c>
      <c r="H792" s="10">
        <f>IFERROR(SUMIFS('Base bordo CD'!M$2:M$875,'Base bordo CD'!D$2:D$875,A792,'Base bordo CD'!A$2:A$875,B792,'Base bordo CD'!L$2:L$875,"AGUARDANDO MANOBRA DE TRANSBORDO"),0)+IFERROR(SUMIFS('Base bordo CD'!M$2:M$875,'Base bordo CD'!D$2:D$875,A792,'Base bordo CD'!A$2:A$875,B792,'Base bordo CD'!L$2:L$875,"FALTA DE TRANSBORDO"),0)</f>
        <v>1.1805555555555556</v>
      </c>
      <c r="I792" s="10">
        <f>IFERROR(SUMIFS('Base bordo CD'!M$2:M$875,'Base bordo CD'!D$2:D$875,A792,'Base bordo CD'!A$2:A$875,B792,'Base bordo CD'!L$2:L$875,"PARADA POR CONDICOES CLIMATICAS"),0)+IFERROR(SUMIFS('Base bordo CD'!M$2:M$875,'Base bordo CD'!D$2:D$875,A792,'Base bordo CD'!A$2:A$875,B792,'Base bordo CD'!L$2:L$875,"TEMPO INDETERMINADO"),0)</f>
        <v>5.8274999999999997</v>
      </c>
      <c r="J792" s="10">
        <f>IFERROR(SUMIFS('Base bordo CD'!M$2:M$875,'Base bordo CD'!D$2:D$875,A792,'Base bordo CD'!A$2:A$875,B792,'Base bordo CD'!L$2:L$875,"LIMITAÇÃO INDÚSTRIA"),0)</f>
        <v>6.0438888888888886</v>
      </c>
      <c r="K792" s="10">
        <f>IFERROR(SUMIFS('Base bordo CD'!M$2:M$875,'Base bordo CD'!D$2:D$875,A792,'Base bordo CD'!A$2:A$875,B792,'Base bordo CD'!L$2:L$875,"MAN CORRETIVA*"),0)+IFERROR(SUMIFS('Base bordo CD'!M$2:M$875,'Base bordo CD'!D$2:D$875,A792,'Base bordo CD'!A$2:A$875,B792,'Base bordo CD'!L$2:L$875,"AGUARDANDO MANUTENCAO*"),0)+IFERROR(SUMIFS('Base bordo CD'!M$2:M$875,'Base bordo CD'!D$2:D$875,A792,'Base bordo CD'!A$2:A$875,B792,'Base bordo CD'!L$2:L$875,"TROCA DE FAQUINHA"),0)+IFERROR(SUMIFS('Base bordo CD'!M$2:M$875,'Base bordo CD'!D$2:D$875,A792,'Base bordo CD'!A$2:A$875,B792,'Base bordo CD'!L$2:L$875,"LIMPEZA*"),0)</f>
        <v>0.17416666666666666</v>
      </c>
      <c r="L792" s="10">
        <f>IFERROR(SUMIFS('Base bordo CD'!M$2:M$875,'Base bordo CD'!D$2:D$875,A792,'Base bordo CD'!A$2:A$875,B792,'Base bordo CD'!L$2:L$875,"PATIO - RESERVA"),0)</f>
        <v>0</v>
      </c>
      <c r="M792" s="10">
        <f>IFERROR(SUMIFS('Base bordo CD'!M$2:M$875,'Base bordo CD'!D$2:D$875,A792,'Base bordo CD'!A$2:A$875,B792,'Base bordo CD'!L$2:L$875,"SEM APONTAMENTO"),0)</f>
        <v>6.1111111111111116E-2</v>
      </c>
      <c r="N792" s="10">
        <f>IFERROR(SUMIFS('Base bordo CD'!M$2:M$875,'Base bordo CD'!D$2:D$875,A792,'Base bordo CD'!A$2:A$875,B792,'Base bordo CD'!L$2:L$875,"FALTA DE CAMINHÃO"),0)+IFERROR(SUMIFS('Base bordo CD'!M$2:M$875,'Base bordo CD'!D$2:D$875,A792,'Base bordo CD'!A$2:A$875,B792,'Base bordo CD'!L$2:L$875,"FALTA DE COMBUSTIVEL"),0)+IFERROR(SUMIFS('Base bordo CD'!M$2:M$875,'Base bordo CD'!D$2:D$875,A792,'Base bordo CD'!A$2:A$875,B792,'Base bordo CD'!L$2:L$875,"FALTA DE MOTORIST*"),0)</f>
        <v>0</v>
      </c>
      <c r="O792" s="10">
        <f t="shared" si="65"/>
        <v>2.1866666666666639</v>
      </c>
      <c r="P792" s="10">
        <f>IFERROR(SUMIFS('Base bordo CD'!M$2:M$875,'Base bordo CD'!D$2:D$875,A792,'Base bordo CD'!A$2:A$875,B792),0)</f>
        <v>24</v>
      </c>
      <c r="Q792" s="10">
        <f>IFERROR(SUMIFS('Base bordo CD'!O$2:O$875,'Base bordo CD'!D$2:D$875,A792,'Base bordo CD'!A$2:A$875,B792,'Base bordo CD'!L$2:L$875,"CORTE DE CANA MECANIZADO"),0)</f>
        <v>90232.6</v>
      </c>
      <c r="R792" s="10">
        <f>IFERROR(SUMIFS('Base bordo CD'!Q$2:Q$875,'Base bordo CD'!D$2:D$875,A792,'Base bordo CD'!A$2:A$875,B792,'Base bordo CD'!L$2:L$875,"CORTE DE CANA MECANIZADO"),0)</f>
        <v>21612</v>
      </c>
      <c r="S792" s="30">
        <f t="shared" si="66"/>
        <v>4.1751156764760324</v>
      </c>
      <c r="T792" s="9">
        <f t="shared" si="67"/>
        <v>0.25013888888888886</v>
      </c>
      <c r="U792" s="9">
        <f t="shared" si="68"/>
        <v>8.0057870370370376E-2</v>
      </c>
      <c r="V792" s="9">
        <f t="shared" si="69"/>
        <v>0.72480324074074076</v>
      </c>
    </row>
    <row r="793" spans="1:22" hidden="1" x14ac:dyDescent="0.35">
      <c r="A793" s="52">
        <v>49590</v>
      </c>
      <c r="B793" s="31">
        <v>46118</v>
      </c>
      <c r="C793" s="7" t="s">
        <v>321</v>
      </c>
      <c r="D793" s="7">
        <v>351</v>
      </c>
      <c r="E793" s="10">
        <f>IFERROR(SUMIFS('Base bordo CD'!M$2:M$875,'Base bordo CD'!D$2:D$875,A793,'Base bordo CD'!A$2:A$875,B793,'Base bordo CD'!L$2:L$875,"CORTE DE CANA MECANIZADO"),0)</f>
        <v>6.003333333333333</v>
      </c>
      <c r="F793" s="10">
        <f>IFERROR(SUMIFS('Base bordo CD'!M$2:M$875,'Base bordo CD'!D$2:D$875,A793,'Base bordo CD'!A$2:A$875,B793,'Base bordo CD'!L$2:L$875,"MANOBRA"),0)</f>
        <v>1.921388888888889</v>
      </c>
      <c r="G793" s="10">
        <f>IFERROR(SUMIFS('Base bordo CD'!M$2:M$875,'Base bordo CD'!D$2:D$875,A793,'Base bordo CD'!A$2:A$875,B793,'Base bordo CD'!L$2:L$875,"DESLOCAMENTO"),0)</f>
        <v>0.60138888888888886</v>
      </c>
      <c r="H793" s="10">
        <f>IFERROR(SUMIFS('Base bordo CD'!M$2:M$875,'Base bordo CD'!D$2:D$875,A793,'Base bordo CD'!A$2:A$875,B793,'Base bordo CD'!L$2:L$875,"AGUARDANDO MANOBRA DE TRANSBORDO"),0)+IFERROR(SUMIFS('Base bordo CD'!M$2:M$875,'Base bordo CD'!D$2:D$875,A793,'Base bordo CD'!A$2:A$875,B793,'Base bordo CD'!L$2:L$875,"FALTA DE TRANSBORDO"),0)</f>
        <v>1.1805555555555556</v>
      </c>
      <c r="I793" s="10">
        <f>IFERROR(SUMIFS('Base bordo CD'!M$2:M$875,'Base bordo CD'!D$2:D$875,A793,'Base bordo CD'!A$2:A$875,B793,'Base bordo CD'!L$2:L$875,"PARADA POR CONDICOES CLIMATICAS"),0)+IFERROR(SUMIFS('Base bordo CD'!M$2:M$875,'Base bordo CD'!D$2:D$875,A793,'Base bordo CD'!A$2:A$875,B793,'Base bordo CD'!L$2:L$875,"TEMPO INDETERMINADO"),0)</f>
        <v>5.8274999999999997</v>
      </c>
      <c r="J793" s="10">
        <f>IFERROR(SUMIFS('Base bordo CD'!M$2:M$875,'Base bordo CD'!D$2:D$875,A793,'Base bordo CD'!A$2:A$875,B793,'Base bordo CD'!L$2:L$875,"LIMITAÇÃO INDÚSTRIA"),0)</f>
        <v>6.0438888888888886</v>
      </c>
      <c r="K793" s="10">
        <f>IFERROR(SUMIFS('Base bordo CD'!M$2:M$875,'Base bordo CD'!D$2:D$875,A793,'Base bordo CD'!A$2:A$875,B793,'Base bordo CD'!L$2:L$875,"MAN CORRETIVA*"),0)+IFERROR(SUMIFS('Base bordo CD'!M$2:M$875,'Base bordo CD'!D$2:D$875,A793,'Base bordo CD'!A$2:A$875,B793,'Base bordo CD'!L$2:L$875,"AGUARDANDO MANUTENCAO*"),0)+IFERROR(SUMIFS('Base bordo CD'!M$2:M$875,'Base bordo CD'!D$2:D$875,A793,'Base bordo CD'!A$2:A$875,B793,'Base bordo CD'!L$2:L$875,"TROCA DE FAQUINHA"),0)+IFERROR(SUMIFS('Base bordo CD'!M$2:M$875,'Base bordo CD'!D$2:D$875,A793,'Base bordo CD'!A$2:A$875,B793,'Base bordo CD'!L$2:L$875,"LIMPEZA*"),0)</f>
        <v>0.17416666666666666</v>
      </c>
      <c r="L793" s="10">
        <f>IFERROR(SUMIFS('Base bordo CD'!M$2:M$875,'Base bordo CD'!D$2:D$875,A793,'Base bordo CD'!A$2:A$875,B793,'Base bordo CD'!L$2:L$875,"PATIO - RESERVA"),0)</f>
        <v>0</v>
      </c>
      <c r="M793" s="10">
        <f>IFERROR(SUMIFS('Base bordo CD'!M$2:M$875,'Base bordo CD'!D$2:D$875,A793,'Base bordo CD'!A$2:A$875,B793,'Base bordo CD'!L$2:L$875,"SEM APONTAMENTO"),0)</f>
        <v>6.1111111111111116E-2</v>
      </c>
      <c r="N793" s="10">
        <f>IFERROR(SUMIFS('Base bordo CD'!M$2:M$875,'Base bordo CD'!D$2:D$875,A793,'Base bordo CD'!A$2:A$875,B793,'Base bordo CD'!L$2:L$875,"FALTA DE CAMINHÃO"),0)+IFERROR(SUMIFS('Base bordo CD'!M$2:M$875,'Base bordo CD'!D$2:D$875,A793,'Base bordo CD'!A$2:A$875,B793,'Base bordo CD'!L$2:L$875,"FALTA DE COMBUSTIVEL"),0)+IFERROR(SUMIFS('Base bordo CD'!M$2:M$875,'Base bordo CD'!D$2:D$875,A793,'Base bordo CD'!A$2:A$875,B793,'Base bordo CD'!L$2:L$875,"FALTA DE MOTORIST*"),0)</f>
        <v>0</v>
      </c>
      <c r="O793" s="10">
        <f t="shared" si="65"/>
        <v>2.1866666666666639</v>
      </c>
      <c r="P793" s="10">
        <f>IFERROR(SUMIFS('Base bordo CD'!M$2:M$875,'Base bordo CD'!D$2:D$875,A793,'Base bordo CD'!A$2:A$875,B793),0)</f>
        <v>24</v>
      </c>
      <c r="Q793" s="10">
        <f>IFERROR(SUMIFS('Base bordo CD'!O$2:O$875,'Base bordo CD'!D$2:D$875,A793,'Base bordo CD'!A$2:A$875,B793,'Base bordo CD'!L$2:L$875,"CORTE DE CANA MECANIZADO"),0)</f>
        <v>90232.6</v>
      </c>
      <c r="R793" s="10">
        <f>IFERROR(SUMIFS('Base bordo CD'!Q$2:Q$875,'Base bordo CD'!D$2:D$875,A793,'Base bordo CD'!A$2:A$875,B793,'Base bordo CD'!L$2:L$875,"CORTE DE CANA MECANIZADO"),0)</f>
        <v>21612</v>
      </c>
      <c r="S793" s="30">
        <f t="shared" si="66"/>
        <v>4.1751156764760324</v>
      </c>
      <c r="T793" s="9">
        <f t="shared" si="67"/>
        <v>0.25013888888888886</v>
      </c>
      <c r="U793" s="9">
        <f t="shared" si="68"/>
        <v>8.0057870370370376E-2</v>
      </c>
      <c r="V793" s="9">
        <f t="shared" si="69"/>
        <v>0.72480324074074076</v>
      </c>
    </row>
    <row r="794" spans="1:22" hidden="1" x14ac:dyDescent="0.35">
      <c r="A794" s="52">
        <v>49590</v>
      </c>
      <c r="B794" s="31">
        <v>46118</v>
      </c>
      <c r="C794" s="7" t="s">
        <v>321</v>
      </c>
      <c r="D794" s="7">
        <v>351</v>
      </c>
      <c r="E794" s="10">
        <f>IFERROR(SUMIFS('Base bordo CD'!M$2:M$875,'Base bordo CD'!D$2:D$875,A794,'Base bordo CD'!A$2:A$875,B794,'Base bordo CD'!L$2:L$875,"CORTE DE CANA MECANIZADO"),0)</f>
        <v>6.003333333333333</v>
      </c>
      <c r="F794" s="10">
        <f>IFERROR(SUMIFS('Base bordo CD'!M$2:M$875,'Base bordo CD'!D$2:D$875,A794,'Base bordo CD'!A$2:A$875,B794,'Base bordo CD'!L$2:L$875,"MANOBRA"),0)</f>
        <v>1.921388888888889</v>
      </c>
      <c r="G794" s="10">
        <f>IFERROR(SUMIFS('Base bordo CD'!M$2:M$875,'Base bordo CD'!D$2:D$875,A794,'Base bordo CD'!A$2:A$875,B794,'Base bordo CD'!L$2:L$875,"DESLOCAMENTO"),0)</f>
        <v>0.60138888888888886</v>
      </c>
      <c r="H794" s="10">
        <f>IFERROR(SUMIFS('Base bordo CD'!M$2:M$875,'Base bordo CD'!D$2:D$875,A794,'Base bordo CD'!A$2:A$875,B794,'Base bordo CD'!L$2:L$875,"AGUARDANDO MANOBRA DE TRANSBORDO"),0)+IFERROR(SUMIFS('Base bordo CD'!M$2:M$875,'Base bordo CD'!D$2:D$875,A794,'Base bordo CD'!A$2:A$875,B794,'Base bordo CD'!L$2:L$875,"FALTA DE TRANSBORDO"),0)</f>
        <v>1.1805555555555556</v>
      </c>
      <c r="I794" s="10">
        <f>IFERROR(SUMIFS('Base bordo CD'!M$2:M$875,'Base bordo CD'!D$2:D$875,A794,'Base bordo CD'!A$2:A$875,B794,'Base bordo CD'!L$2:L$875,"PARADA POR CONDICOES CLIMATICAS"),0)+IFERROR(SUMIFS('Base bordo CD'!M$2:M$875,'Base bordo CD'!D$2:D$875,A794,'Base bordo CD'!A$2:A$875,B794,'Base bordo CD'!L$2:L$875,"TEMPO INDETERMINADO"),0)</f>
        <v>5.8274999999999997</v>
      </c>
      <c r="J794" s="10">
        <f>IFERROR(SUMIFS('Base bordo CD'!M$2:M$875,'Base bordo CD'!D$2:D$875,A794,'Base bordo CD'!A$2:A$875,B794,'Base bordo CD'!L$2:L$875,"LIMITAÇÃO INDÚSTRIA"),0)</f>
        <v>6.0438888888888886</v>
      </c>
      <c r="K794" s="10">
        <f>IFERROR(SUMIFS('Base bordo CD'!M$2:M$875,'Base bordo CD'!D$2:D$875,A794,'Base bordo CD'!A$2:A$875,B794,'Base bordo CD'!L$2:L$875,"MAN CORRETIVA*"),0)+IFERROR(SUMIFS('Base bordo CD'!M$2:M$875,'Base bordo CD'!D$2:D$875,A794,'Base bordo CD'!A$2:A$875,B794,'Base bordo CD'!L$2:L$875,"AGUARDANDO MANUTENCAO*"),0)+IFERROR(SUMIFS('Base bordo CD'!M$2:M$875,'Base bordo CD'!D$2:D$875,A794,'Base bordo CD'!A$2:A$875,B794,'Base bordo CD'!L$2:L$875,"TROCA DE FAQUINHA"),0)+IFERROR(SUMIFS('Base bordo CD'!M$2:M$875,'Base bordo CD'!D$2:D$875,A794,'Base bordo CD'!A$2:A$875,B794,'Base bordo CD'!L$2:L$875,"LIMPEZA*"),0)</f>
        <v>0.17416666666666666</v>
      </c>
      <c r="L794" s="10">
        <f>IFERROR(SUMIFS('Base bordo CD'!M$2:M$875,'Base bordo CD'!D$2:D$875,A794,'Base bordo CD'!A$2:A$875,B794,'Base bordo CD'!L$2:L$875,"PATIO - RESERVA"),0)</f>
        <v>0</v>
      </c>
      <c r="M794" s="10">
        <f>IFERROR(SUMIFS('Base bordo CD'!M$2:M$875,'Base bordo CD'!D$2:D$875,A794,'Base bordo CD'!A$2:A$875,B794,'Base bordo CD'!L$2:L$875,"SEM APONTAMENTO"),0)</f>
        <v>6.1111111111111116E-2</v>
      </c>
      <c r="N794" s="10">
        <f>IFERROR(SUMIFS('Base bordo CD'!M$2:M$875,'Base bordo CD'!D$2:D$875,A794,'Base bordo CD'!A$2:A$875,B794,'Base bordo CD'!L$2:L$875,"FALTA DE CAMINHÃO"),0)+IFERROR(SUMIFS('Base bordo CD'!M$2:M$875,'Base bordo CD'!D$2:D$875,A794,'Base bordo CD'!A$2:A$875,B794,'Base bordo CD'!L$2:L$875,"FALTA DE COMBUSTIVEL"),0)+IFERROR(SUMIFS('Base bordo CD'!M$2:M$875,'Base bordo CD'!D$2:D$875,A794,'Base bordo CD'!A$2:A$875,B794,'Base bordo CD'!L$2:L$875,"FALTA DE MOTORIST*"),0)</f>
        <v>0</v>
      </c>
      <c r="O794" s="10">
        <f t="shared" si="65"/>
        <v>2.1866666666666639</v>
      </c>
      <c r="P794" s="10">
        <f>IFERROR(SUMIFS('Base bordo CD'!M$2:M$875,'Base bordo CD'!D$2:D$875,A794,'Base bordo CD'!A$2:A$875,B794),0)</f>
        <v>24</v>
      </c>
      <c r="Q794" s="10">
        <f>IFERROR(SUMIFS('Base bordo CD'!O$2:O$875,'Base bordo CD'!D$2:D$875,A794,'Base bordo CD'!A$2:A$875,B794,'Base bordo CD'!L$2:L$875,"CORTE DE CANA MECANIZADO"),0)</f>
        <v>90232.6</v>
      </c>
      <c r="R794" s="10">
        <f>IFERROR(SUMIFS('Base bordo CD'!Q$2:Q$875,'Base bordo CD'!D$2:D$875,A794,'Base bordo CD'!A$2:A$875,B794,'Base bordo CD'!L$2:L$875,"CORTE DE CANA MECANIZADO"),0)</f>
        <v>21612</v>
      </c>
      <c r="S794" s="30">
        <f t="shared" si="66"/>
        <v>4.1751156764760324</v>
      </c>
      <c r="T794" s="9">
        <f t="shared" si="67"/>
        <v>0.25013888888888886</v>
      </c>
      <c r="U794" s="9">
        <f t="shared" si="68"/>
        <v>8.0057870370370376E-2</v>
      </c>
      <c r="V794" s="9">
        <f t="shared" si="69"/>
        <v>0.72480324074074076</v>
      </c>
    </row>
    <row r="795" spans="1:22" hidden="1" x14ac:dyDescent="0.35">
      <c r="A795" s="52">
        <v>49590</v>
      </c>
      <c r="B795" s="31">
        <v>46118</v>
      </c>
      <c r="C795" s="7" t="s">
        <v>321</v>
      </c>
      <c r="D795" s="7">
        <v>351</v>
      </c>
      <c r="E795" s="10">
        <f>IFERROR(SUMIFS('Base bordo CD'!M$2:M$875,'Base bordo CD'!D$2:D$875,A795,'Base bordo CD'!A$2:A$875,B795,'Base bordo CD'!L$2:L$875,"CORTE DE CANA MECANIZADO"),0)</f>
        <v>6.003333333333333</v>
      </c>
      <c r="F795" s="10">
        <f>IFERROR(SUMIFS('Base bordo CD'!M$2:M$875,'Base bordo CD'!D$2:D$875,A795,'Base bordo CD'!A$2:A$875,B795,'Base bordo CD'!L$2:L$875,"MANOBRA"),0)</f>
        <v>1.921388888888889</v>
      </c>
      <c r="G795" s="10">
        <f>IFERROR(SUMIFS('Base bordo CD'!M$2:M$875,'Base bordo CD'!D$2:D$875,A795,'Base bordo CD'!A$2:A$875,B795,'Base bordo CD'!L$2:L$875,"DESLOCAMENTO"),0)</f>
        <v>0.60138888888888886</v>
      </c>
      <c r="H795" s="10">
        <f>IFERROR(SUMIFS('Base bordo CD'!M$2:M$875,'Base bordo CD'!D$2:D$875,A795,'Base bordo CD'!A$2:A$875,B795,'Base bordo CD'!L$2:L$875,"AGUARDANDO MANOBRA DE TRANSBORDO"),0)+IFERROR(SUMIFS('Base bordo CD'!M$2:M$875,'Base bordo CD'!D$2:D$875,A795,'Base bordo CD'!A$2:A$875,B795,'Base bordo CD'!L$2:L$875,"FALTA DE TRANSBORDO"),0)</f>
        <v>1.1805555555555556</v>
      </c>
      <c r="I795" s="10">
        <f>IFERROR(SUMIFS('Base bordo CD'!M$2:M$875,'Base bordo CD'!D$2:D$875,A795,'Base bordo CD'!A$2:A$875,B795,'Base bordo CD'!L$2:L$875,"PARADA POR CONDICOES CLIMATICAS"),0)+IFERROR(SUMIFS('Base bordo CD'!M$2:M$875,'Base bordo CD'!D$2:D$875,A795,'Base bordo CD'!A$2:A$875,B795,'Base bordo CD'!L$2:L$875,"TEMPO INDETERMINADO"),0)</f>
        <v>5.8274999999999997</v>
      </c>
      <c r="J795" s="10">
        <f>IFERROR(SUMIFS('Base bordo CD'!M$2:M$875,'Base bordo CD'!D$2:D$875,A795,'Base bordo CD'!A$2:A$875,B795,'Base bordo CD'!L$2:L$875,"LIMITAÇÃO INDÚSTRIA"),0)</f>
        <v>6.0438888888888886</v>
      </c>
      <c r="K795" s="10">
        <f>IFERROR(SUMIFS('Base bordo CD'!M$2:M$875,'Base bordo CD'!D$2:D$875,A795,'Base bordo CD'!A$2:A$875,B795,'Base bordo CD'!L$2:L$875,"MAN CORRETIVA*"),0)+IFERROR(SUMIFS('Base bordo CD'!M$2:M$875,'Base bordo CD'!D$2:D$875,A795,'Base bordo CD'!A$2:A$875,B795,'Base bordo CD'!L$2:L$875,"AGUARDANDO MANUTENCAO*"),0)+IFERROR(SUMIFS('Base bordo CD'!M$2:M$875,'Base bordo CD'!D$2:D$875,A795,'Base bordo CD'!A$2:A$875,B795,'Base bordo CD'!L$2:L$875,"TROCA DE FAQUINHA"),0)+IFERROR(SUMIFS('Base bordo CD'!M$2:M$875,'Base bordo CD'!D$2:D$875,A795,'Base bordo CD'!A$2:A$875,B795,'Base bordo CD'!L$2:L$875,"LIMPEZA*"),0)</f>
        <v>0.17416666666666666</v>
      </c>
      <c r="L795" s="10">
        <f>IFERROR(SUMIFS('Base bordo CD'!M$2:M$875,'Base bordo CD'!D$2:D$875,A795,'Base bordo CD'!A$2:A$875,B795,'Base bordo CD'!L$2:L$875,"PATIO - RESERVA"),0)</f>
        <v>0</v>
      </c>
      <c r="M795" s="10">
        <f>IFERROR(SUMIFS('Base bordo CD'!M$2:M$875,'Base bordo CD'!D$2:D$875,A795,'Base bordo CD'!A$2:A$875,B795,'Base bordo CD'!L$2:L$875,"SEM APONTAMENTO"),0)</f>
        <v>6.1111111111111116E-2</v>
      </c>
      <c r="N795" s="10">
        <f>IFERROR(SUMIFS('Base bordo CD'!M$2:M$875,'Base bordo CD'!D$2:D$875,A795,'Base bordo CD'!A$2:A$875,B795,'Base bordo CD'!L$2:L$875,"FALTA DE CAMINHÃO"),0)+IFERROR(SUMIFS('Base bordo CD'!M$2:M$875,'Base bordo CD'!D$2:D$875,A795,'Base bordo CD'!A$2:A$875,B795,'Base bordo CD'!L$2:L$875,"FALTA DE COMBUSTIVEL"),0)+IFERROR(SUMIFS('Base bordo CD'!M$2:M$875,'Base bordo CD'!D$2:D$875,A795,'Base bordo CD'!A$2:A$875,B795,'Base bordo CD'!L$2:L$875,"FALTA DE MOTORIST*"),0)</f>
        <v>0</v>
      </c>
      <c r="O795" s="10">
        <f t="shared" si="65"/>
        <v>2.1866666666666639</v>
      </c>
      <c r="P795" s="10">
        <f>IFERROR(SUMIFS('Base bordo CD'!M$2:M$875,'Base bordo CD'!D$2:D$875,A795,'Base bordo CD'!A$2:A$875,B795),0)</f>
        <v>24</v>
      </c>
      <c r="Q795" s="10">
        <f>IFERROR(SUMIFS('Base bordo CD'!O$2:O$875,'Base bordo CD'!D$2:D$875,A795,'Base bordo CD'!A$2:A$875,B795,'Base bordo CD'!L$2:L$875,"CORTE DE CANA MECANIZADO"),0)</f>
        <v>90232.6</v>
      </c>
      <c r="R795" s="10">
        <f>IFERROR(SUMIFS('Base bordo CD'!Q$2:Q$875,'Base bordo CD'!D$2:D$875,A795,'Base bordo CD'!A$2:A$875,B795,'Base bordo CD'!L$2:L$875,"CORTE DE CANA MECANIZADO"),0)</f>
        <v>21612</v>
      </c>
      <c r="S795" s="30">
        <f t="shared" si="66"/>
        <v>4.1751156764760324</v>
      </c>
      <c r="T795" s="9">
        <f t="shared" si="67"/>
        <v>0.25013888888888886</v>
      </c>
      <c r="U795" s="9">
        <f t="shared" si="68"/>
        <v>8.0057870370370376E-2</v>
      </c>
      <c r="V795" s="9">
        <f t="shared" si="69"/>
        <v>0.72480324074074076</v>
      </c>
    </row>
    <row r="796" spans="1:22" hidden="1" x14ac:dyDescent="0.35">
      <c r="A796" s="52">
        <v>49590</v>
      </c>
      <c r="B796" s="31">
        <v>46118</v>
      </c>
      <c r="C796" s="7" t="s">
        <v>321</v>
      </c>
      <c r="D796" s="7">
        <v>351</v>
      </c>
      <c r="E796" s="10">
        <f>IFERROR(SUMIFS('Base bordo CD'!M$2:M$875,'Base bordo CD'!D$2:D$875,A796,'Base bordo CD'!A$2:A$875,B796,'Base bordo CD'!L$2:L$875,"CORTE DE CANA MECANIZADO"),0)</f>
        <v>6.003333333333333</v>
      </c>
      <c r="F796" s="10">
        <f>IFERROR(SUMIFS('Base bordo CD'!M$2:M$875,'Base bordo CD'!D$2:D$875,A796,'Base bordo CD'!A$2:A$875,B796,'Base bordo CD'!L$2:L$875,"MANOBRA"),0)</f>
        <v>1.921388888888889</v>
      </c>
      <c r="G796" s="10">
        <f>IFERROR(SUMIFS('Base bordo CD'!M$2:M$875,'Base bordo CD'!D$2:D$875,A796,'Base bordo CD'!A$2:A$875,B796,'Base bordo CD'!L$2:L$875,"DESLOCAMENTO"),0)</f>
        <v>0.60138888888888886</v>
      </c>
      <c r="H796" s="10">
        <f>IFERROR(SUMIFS('Base bordo CD'!M$2:M$875,'Base bordo CD'!D$2:D$875,A796,'Base bordo CD'!A$2:A$875,B796,'Base bordo CD'!L$2:L$875,"AGUARDANDO MANOBRA DE TRANSBORDO"),0)+IFERROR(SUMIFS('Base bordo CD'!M$2:M$875,'Base bordo CD'!D$2:D$875,A796,'Base bordo CD'!A$2:A$875,B796,'Base bordo CD'!L$2:L$875,"FALTA DE TRANSBORDO"),0)</f>
        <v>1.1805555555555556</v>
      </c>
      <c r="I796" s="10">
        <f>IFERROR(SUMIFS('Base bordo CD'!M$2:M$875,'Base bordo CD'!D$2:D$875,A796,'Base bordo CD'!A$2:A$875,B796,'Base bordo CD'!L$2:L$875,"PARADA POR CONDICOES CLIMATICAS"),0)+IFERROR(SUMIFS('Base bordo CD'!M$2:M$875,'Base bordo CD'!D$2:D$875,A796,'Base bordo CD'!A$2:A$875,B796,'Base bordo CD'!L$2:L$875,"TEMPO INDETERMINADO"),0)</f>
        <v>5.8274999999999997</v>
      </c>
      <c r="J796" s="10">
        <f>IFERROR(SUMIFS('Base bordo CD'!M$2:M$875,'Base bordo CD'!D$2:D$875,A796,'Base bordo CD'!A$2:A$875,B796,'Base bordo CD'!L$2:L$875,"LIMITAÇÃO INDÚSTRIA"),0)</f>
        <v>6.0438888888888886</v>
      </c>
      <c r="K796" s="10">
        <f>IFERROR(SUMIFS('Base bordo CD'!M$2:M$875,'Base bordo CD'!D$2:D$875,A796,'Base bordo CD'!A$2:A$875,B796,'Base bordo CD'!L$2:L$875,"MAN CORRETIVA*"),0)+IFERROR(SUMIFS('Base bordo CD'!M$2:M$875,'Base bordo CD'!D$2:D$875,A796,'Base bordo CD'!A$2:A$875,B796,'Base bordo CD'!L$2:L$875,"AGUARDANDO MANUTENCAO*"),0)+IFERROR(SUMIFS('Base bordo CD'!M$2:M$875,'Base bordo CD'!D$2:D$875,A796,'Base bordo CD'!A$2:A$875,B796,'Base bordo CD'!L$2:L$875,"TROCA DE FAQUINHA"),0)+IFERROR(SUMIFS('Base bordo CD'!M$2:M$875,'Base bordo CD'!D$2:D$875,A796,'Base bordo CD'!A$2:A$875,B796,'Base bordo CD'!L$2:L$875,"LIMPEZA*"),0)</f>
        <v>0.17416666666666666</v>
      </c>
      <c r="L796" s="10">
        <f>IFERROR(SUMIFS('Base bordo CD'!M$2:M$875,'Base bordo CD'!D$2:D$875,A796,'Base bordo CD'!A$2:A$875,B796,'Base bordo CD'!L$2:L$875,"PATIO - RESERVA"),0)</f>
        <v>0</v>
      </c>
      <c r="M796" s="10">
        <f>IFERROR(SUMIFS('Base bordo CD'!M$2:M$875,'Base bordo CD'!D$2:D$875,A796,'Base bordo CD'!A$2:A$875,B796,'Base bordo CD'!L$2:L$875,"SEM APONTAMENTO"),0)</f>
        <v>6.1111111111111116E-2</v>
      </c>
      <c r="N796" s="10">
        <f>IFERROR(SUMIFS('Base bordo CD'!M$2:M$875,'Base bordo CD'!D$2:D$875,A796,'Base bordo CD'!A$2:A$875,B796,'Base bordo CD'!L$2:L$875,"FALTA DE CAMINHÃO"),0)+IFERROR(SUMIFS('Base bordo CD'!M$2:M$875,'Base bordo CD'!D$2:D$875,A796,'Base bordo CD'!A$2:A$875,B796,'Base bordo CD'!L$2:L$875,"FALTA DE COMBUSTIVEL"),0)+IFERROR(SUMIFS('Base bordo CD'!M$2:M$875,'Base bordo CD'!D$2:D$875,A796,'Base bordo CD'!A$2:A$875,B796,'Base bordo CD'!L$2:L$875,"FALTA DE MOTORIST*"),0)</f>
        <v>0</v>
      </c>
      <c r="O796" s="10">
        <f t="shared" si="65"/>
        <v>2.1866666666666639</v>
      </c>
      <c r="P796" s="10">
        <f>IFERROR(SUMIFS('Base bordo CD'!M$2:M$875,'Base bordo CD'!D$2:D$875,A796,'Base bordo CD'!A$2:A$875,B796),0)</f>
        <v>24</v>
      </c>
      <c r="Q796" s="10">
        <f>IFERROR(SUMIFS('Base bordo CD'!O$2:O$875,'Base bordo CD'!D$2:D$875,A796,'Base bordo CD'!A$2:A$875,B796,'Base bordo CD'!L$2:L$875,"CORTE DE CANA MECANIZADO"),0)</f>
        <v>90232.6</v>
      </c>
      <c r="R796" s="10">
        <f>IFERROR(SUMIFS('Base bordo CD'!Q$2:Q$875,'Base bordo CD'!D$2:D$875,A796,'Base bordo CD'!A$2:A$875,B796,'Base bordo CD'!L$2:L$875,"CORTE DE CANA MECANIZADO"),0)</f>
        <v>21612</v>
      </c>
      <c r="S796" s="30">
        <f t="shared" si="66"/>
        <v>4.1751156764760324</v>
      </c>
      <c r="T796" s="9">
        <f t="shared" si="67"/>
        <v>0.25013888888888886</v>
      </c>
      <c r="U796" s="9">
        <f t="shared" si="68"/>
        <v>8.0057870370370376E-2</v>
      </c>
      <c r="V796" s="9">
        <f t="shared" si="69"/>
        <v>0.72480324074074076</v>
      </c>
    </row>
    <row r="797" spans="1:22" hidden="1" x14ac:dyDescent="0.35">
      <c r="A797" s="52">
        <v>49590</v>
      </c>
      <c r="B797" s="31">
        <v>46118</v>
      </c>
      <c r="C797" s="7" t="s">
        <v>321</v>
      </c>
      <c r="D797" s="7">
        <v>351</v>
      </c>
      <c r="E797" s="10">
        <f>IFERROR(SUMIFS('Base bordo CD'!M$2:M$875,'Base bordo CD'!D$2:D$875,A797,'Base bordo CD'!A$2:A$875,B797,'Base bordo CD'!L$2:L$875,"CORTE DE CANA MECANIZADO"),0)</f>
        <v>6.003333333333333</v>
      </c>
      <c r="F797" s="10">
        <f>IFERROR(SUMIFS('Base bordo CD'!M$2:M$875,'Base bordo CD'!D$2:D$875,A797,'Base bordo CD'!A$2:A$875,B797,'Base bordo CD'!L$2:L$875,"MANOBRA"),0)</f>
        <v>1.921388888888889</v>
      </c>
      <c r="G797" s="10">
        <f>IFERROR(SUMIFS('Base bordo CD'!M$2:M$875,'Base bordo CD'!D$2:D$875,A797,'Base bordo CD'!A$2:A$875,B797,'Base bordo CD'!L$2:L$875,"DESLOCAMENTO"),0)</f>
        <v>0.60138888888888886</v>
      </c>
      <c r="H797" s="10">
        <f>IFERROR(SUMIFS('Base bordo CD'!M$2:M$875,'Base bordo CD'!D$2:D$875,A797,'Base bordo CD'!A$2:A$875,B797,'Base bordo CD'!L$2:L$875,"AGUARDANDO MANOBRA DE TRANSBORDO"),0)+IFERROR(SUMIFS('Base bordo CD'!M$2:M$875,'Base bordo CD'!D$2:D$875,A797,'Base bordo CD'!A$2:A$875,B797,'Base bordo CD'!L$2:L$875,"FALTA DE TRANSBORDO"),0)</f>
        <v>1.1805555555555556</v>
      </c>
      <c r="I797" s="10">
        <f>IFERROR(SUMIFS('Base bordo CD'!M$2:M$875,'Base bordo CD'!D$2:D$875,A797,'Base bordo CD'!A$2:A$875,B797,'Base bordo CD'!L$2:L$875,"PARADA POR CONDICOES CLIMATICAS"),0)+IFERROR(SUMIFS('Base bordo CD'!M$2:M$875,'Base bordo CD'!D$2:D$875,A797,'Base bordo CD'!A$2:A$875,B797,'Base bordo CD'!L$2:L$875,"TEMPO INDETERMINADO"),0)</f>
        <v>5.8274999999999997</v>
      </c>
      <c r="J797" s="10">
        <f>IFERROR(SUMIFS('Base bordo CD'!M$2:M$875,'Base bordo CD'!D$2:D$875,A797,'Base bordo CD'!A$2:A$875,B797,'Base bordo CD'!L$2:L$875,"LIMITAÇÃO INDÚSTRIA"),0)</f>
        <v>6.0438888888888886</v>
      </c>
      <c r="K797" s="10">
        <f>IFERROR(SUMIFS('Base bordo CD'!M$2:M$875,'Base bordo CD'!D$2:D$875,A797,'Base bordo CD'!A$2:A$875,B797,'Base bordo CD'!L$2:L$875,"MAN CORRETIVA*"),0)+IFERROR(SUMIFS('Base bordo CD'!M$2:M$875,'Base bordo CD'!D$2:D$875,A797,'Base bordo CD'!A$2:A$875,B797,'Base bordo CD'!L$2:L$875,"AGUARDANDO MANUTENCAO*"),0)+IFERROR(SUMIFS('Base bordo CD'!M$2:M$875,'Base bordo CD'!D$2:D$875,A797,'Base bordo CD'!A$2:A$875,B797,'Base bordo CD'!L$2:L$875,"TROCA DE FAQUINHA"),0)+IFERROR(SUMIFS('Base bordo CD'!M$2:M$875,'Base bordo CD'!D$2:D$875,A797,'Base bordo CD'!A$2:A$875,B797,'Base bordo CD'!L$2:L$875,"LIMPEZA*"),0)</f>
        <v>0.17416666666666666</v>
      </c>
      <c r="L797" s="10">
        <f>IFERROR(SUMIFS('Base bordo CD'!M$2:M$875,'Base bordo CD'!D$2:D$875,A797,'Base bordo CD'!A$2:A$875,B797,'Base bordo CD'!L$2:L$875,"PATIO - RESERVA"),0)</f>
        <v>0</v>
      </c>
      <c r="M797" s="10">
        <f>IFERROR(SUMIFS('Base bordo CD'!M$2:M$875,'Base bordo CD'!D$2:D$875,A797,'Base bordo CD'!A$2:A$875,B797,'Base bordo CD'!L$2:L$875,"SEM APONTAMENTO"),0)</f>
        <v>6.1111111111111116E-2</v>
      </c>
      <c r="N797" s="10">
        <f>IFERROR(SUMIFS('Base bordo CD'!M$2:M$875,'Base bordo CD'!D$2:D$875,A797,'Base bordo CD'!A$2:A$875,B797,'Base bordo CD'!L$2:L$875,"FALTA DE CAMINHÃO"),0)+IFERROR(SUMIFS('Base bordo CD'!M$2:M$875,'Base bordo CD'!D$2:D$875,A797,'Base bordo CD'!A$2:A$875,B797,'Base bordo CD'!L$2:L$875,"FALTA DE COMBUSTIVEL"),0)+IFERROR(SUMIFS('Base bordo CD'!M$2:M$875,'Base bordo CD'!D$2:D$875,A797,'Base bordo CD'!A$2:A$875,B797,'Base bordo CD'!L$2:L$875,"FALTA DE MOTORIST*"),0)</f>
        <v>0</v>
      </c>
      <c r="O797" s="10">
        <f t="shared" si="65"/>
        <v>2.1866666666666639</v>
      </c>
      <c r="P797" s="10">
        <f>IFERROR(SUMIFS('Base bordo CD'!M$2:M$875,'Base bordo CD'!D$2:D$875,A797,'Base bordo CD'!A$2:A$875,B797),0)</f>
        <v>24</v>
      </c>
      <c r="Q797" s="10">
        <f>IFERROR(SUMIFS('Base bordo CD'!O$2:O$875,'Base bordo CD'!D$2:D$875,A797,'Base bordo CD'!A$2:A$875,B797,'Base bordo CD'!L$2:L$875,"CORTE DE CANA MECANIZADO"),0)</f>
        <v>90232.6</v>
      </c>
      <c r="R797" s="10">
        <f>IFERROR(SUMIFS('Base bordo CD'!Q$2:Q$875,'Base bordo CD'!D$2:D$875,A797,'Base bordo CD'!A$2:A$875,B797,'Base bordo CD'!L$2:L$875,"CORTE DE CANA MECANIZADO"),0)</f>
        <v>21612</v>
      </c>
      <c r="S797" s="30">
        <f t="shared" si="66"/>
        <v>4.1751156764760324</v>
      </c>
      <c r="T797" s="9">
        <f t="shared" si="67"/>
        <v>0.25013888888888886</v>
      </c>
      <c r="U797" s="9">
        <f t="shared" si="68"/>
        <v>8.0057870370370376E-2</v>
      </c>
      <c r="V797" s="9">
        <f t="shared" si="69"/>
        <v>0.72480324074074076</v>
      </c>
    </row>
    <row r="798" spans="1:22" hidden="1" x14ac:dyDescent="0.35">
      <c r="A798" s="52">
        <v>49590</v>
      </c>
      <c r="B798" s="31">
        <v>46118</v>
      </c>
      <c r="C798" s="7" t="s">
        <v>321</v>
      </c>
      <c r="D798" s="7">
        <v>351</v>
      </c>
      <c r="E798" s="10">
        <f>IFERROR(SUMIFS('Base bordo CD'!M$2:M$875,'Base bordo CD'!D$2:D$875,A798,'Base bordo CD'!A$2:A$875,B798,'Base bordo CD'!L$2:L$875,"CORTE DE CANA MECANIZADO"),0)</f>
        <v>6.003333333333333</v>
      </c>
      <c r="F798" s="10">
        <f>IFERROR(SUMIFS('Base bordo CD'!M$2:M$875,'Base bordo CD'!D$2:D$875,A798,'Base bordo CD'!A$2:A$875,B798,'Base bordo CD'!L$2:L$875,"MANOBRA"),0)</f>
        <v>1.921388888888889</v>
      </c>
      <c r="G798" s="10">
        <f>IFERROR(SUMIFS('Base bordo CD'!M$2:M$875,'Base bordo CD'!D$2:D$875,A798,'Base bordo CD'!A$2:A$875,B798,'Base bordo CD'!L$2:L$875,"DESLOCAMENTO"),0)</f>
        <v>0.60138888888888886</v>
      </c>
      <c r="H798" s="10">
        <f>IFERROR(SUMIFS('Base bordo CD'!M$2:M$875,'Base bordo CD'!D$2:D$875,A798,'Base bordo CD'!A$2:A$875,B798,'Base bordo CD'!L$2:L$875,"AGUARDANDO MANOBRA DE TRANSBORDO"),0)+IFERROR(SUMIFS('Base bordo CD'!M$2:M$875,'Base bordo CD'!D$2:D$875,A798,'Base bordo CD'!A$2:A$875,B798,'Base bordo CD'!L$2:L$875,"FALTA DE TRANSBORDO"),0)</f>
        <v>1.1805555555555556</v>
      </c>
      <c r="I798" s="10">
        <f>IFERROR(SUMIFS('Base bordo CD'!M$2:M$875,'Base bordo CD'!D$2:D$875,A798,'Base bordo CD'!A$2:A$875,B798,'Base bordo CD'!L$2:L$875,"PARADA POR CONDICOES CLIMATICAS"),0)+IFERROR(SUMIFS('Base bordo CD'!M$2:M$875,'Base bordo CD'!D$2:D$875,A798,'Base bordo CD'!A$2:A$875,B798,'Base bordo CD'!L$2:L$875,"TEMPO INDETERMINADO"),0)</f>
        <v>5.8274999999999997</v>
      </c>
      <c r="J798" s="10">
        <f>IFERROR(SUMIFS('Base bordo CD'!M$2:M$875,'Base bordo CD'!D$2:D$875,A798,'Base bordo CD'!A$2:A$875,B798,'Base bordo CD'!L$2:L$875,"LIMITAÇÃO INDÚSTRIA"),0)</f>
        <v>6.0438888888888886</v>
      </c>
      <c r="K798" s="10">
        <f>IFERROR(SUMIFS('Base bordo CD'!M$2:M$875,'Base bordo CD'!D$2:D$875,A798,'Base bordo CD'!A$2:A$875,B798,'Base bordo CD'!L$2:L$875,"MAN CORRETIVA*"),0)+IFERROR(SUMIFS('Base bordo CD'!M$2:M$875,'Base bordo CD'!D$2:D$875,A798,'Base bordo CD'!A$2:A$875,B798,'Base bordo CD'!L$2:L$875,"AGUARDANDO MANUTENCAO*"),0)+IFERROR(SUMIFS('Base bordo CD'!M$2:M$875,'Base bordo CD'!D$2:D$875,A798,'Base bordo CD'!A$2:A$875,B798,'Base bordo CD'!L$2:L$875,"TROCA DE FAQUINHA"),0)+IFERROR(SUMIFS('Base bordo CD'!M$2:M$875,'Base bordo CD'!D$2:D$875,A798,'Base bordo CD'!A$2:A$875,B798,'Base bordo CD'!L$2:L$875,"LIMPEZA*"),0)</f>
        <v>0.17416666666666666</v>
      </c>
      <c r="L798" s="10">
        <f>IFERROR(SUMIFS('Base bordo CD'!M$2:M$875,'Base bordo CD'!D$2:D$875,A798,'Base bordo CD'!A$2:A$875,B798,'Base bordo CD'!L$2:L$875,"PATIO - RESERVA"),0)</f>
        <v>0</v>
      </c>
      <c r="M798" s="10">
        <f>IFERROR(SUMIFS('Base bordo CD'!M$2:M$875,'Base bordo CD'!D$2:D$875,A798,'Base bordo CD'!A$2:A$875,B798,'Base bordo CD'!L$2:L$875,"SEM APONTAMENTO"),0)</f>
        <v>6.1111111111111116E-2</v>
      </c>
      <c r="N798" s="10">
        <f>IFERROR(SUMIFS('Base bordo CD'!M$2:M$875,'Base bordo CD'!D$2:D$875,A798,'Base bordo CD'!A$2:A$875,B798,'Base bordo CD'!L$2:L$875,"FALTA DE CAMINHÃO"),0)+IFERROR(SUMIFS('Base bordo CD'!M$2:M$875,'Base bordo CD'!D$2:D$875,A798,'Base bordo CD'!A$2:A$875,B798,'Base bordo CD'!L$2:L$875,"FALTA DE COMBUSTIVEL"),0)+IFERROR(SUMIFS('Base bordo CD'!M$2:M$875,'Base bordo CD'!D$2:D$875,A798,'Base bordo CD'!A$2:A$875,B798,'Base bordo CD'!L$2:L$875,"FALTA DE MOTORIST*"),0)</f>
        <v>0</v>
      </c>
      <c r="O798" s="10">
        <f t="shared" si="65"/>
        <v>2.1866666666666639</v>
      </c>
      <c r="P798" s="10">
        <f>IFERROR(SUMIFS('Base bordo CD'!M$2:M$875,'Base bordo CD'!D$2:D$875,A798,'Base bordo CD'!A$2:A$875,B798),0)</f>
        <v>24</v>
      </c>
      <c r="Q798" s="10">
        <f>IFERROR(SUMIFS('Base bordo CD'!O$2:O$875,'Base bordo CD'!D$2:D$875,A798,'Base bordo CD'!A$2:A$875,B798,'Base bordo CD'!L$2:L$875,"CORTE DE CANA MECANIZADO"),0)</f>
        <v>90232.6</v>
      </c>
      <c r="R798" s="10">
        <f>IFERROR(SUMIFS('Base bordo CD'!Q$2:Q$875,'Base bordo CD'!D$2:D$875,A798,'Base bordo CD'!A$2:A$875,B798,'Base bordo CD'!L$2:L$875,"CORTE DE CANA MECANIZADO"),0)</f>
        <v>21612</v>
      </c>
      <c r="S798" s="30">
        <f t="shared" si="66"/>
        <v>4.1751156764760324</v>
      </c>
      <c r="T798" s="9">
        <f t="shared" si="67"/>
        <v>0.25013888888888886</v>
      </c>
      <c r="U798" s="9">
        <f t="shared" si="68"/>
        <v>8.0057870370370376E-2</v>
      </c>
      <c r="V798" s="9">
        <f t="shared" si="69"/>
        <v>0.72480324074074076</v>
      </c>
    </row>
    <row r="799" spans="1:22" hidden="1" x14ac:dyDescent="0.35">
      <c r="A799" s="52">
        <v>49590</v>
      </c>
      <c r="B799" s="31">
        <v>46118</v>
      </c>
      <c r="C799" s="7" t="s">
        <v>321</v>
      </c>
      <c r="D799" s="7">
        <v>351</v>
      </c>
      <c r="E799" s="10">
        <f>IFERROR(SUMIFS('Base bordo CD'!M$2:M$875,'Base bordo CD'!D$2:D$875,A799,'Base bordo CD'!A$2:A$875,B799,'Base bordo CD'!L$2:L$875,"CORTE DE CANA MECANIZADO"),0)</f>
        <v>6.003333333333333</v>
      </c>
      <c r="F799" s="10">
        <f>IFERROR(SUMIFS('Base bordo CD'!M$2:M$875,'Base bordo CD'!D$2:D$875,A799,'Base bordo CD'!A$2:A$875,B799,'Base bordo CD'!L$2:L$875,"MANOBRA"),0)</f>
        <v>1.921388888888889</v>
      </c>
      <c r="G799" s="10">
        <f>IFERROR(SUMIFS('Base bordo CD'!M$2:M$875,'Base bordo CD'!D$2:D$875,A799,'Base bordo CD'!A$2:A$875,B799,'Base bordo CD'!L$2:L$875,"DESLOCAMENTO"),0)</f>
        <v>0.60138888888888886</v>
      </c>
      <c r="H799" s="10">
        <f>IFERROR(SUMIFS('Base bordo CD'!M$2:M$875,'Base bordo CD'!D$2:D$875,A799,'Base bordo CD'!A$2:A$875,B799,'Base bordo CD'!L$2:L$875,"AGUARDANDO MANOBRA DE TRANSBORDO"),0)+IFERROR(SUMIFS('Base bordo CD'!M$2:M$875,'Base bordo CD'!D$2:D$875,A799,'Base bordo CD'!A$2:A$875,B799,'Base bordo CD'!L$2:L$875,"FALTA DE TRANSBORDO"),0)</f>
        <v>1.1805555555555556</v>
      </c>
      <c r="I799" s="10">
        <f>IFERROR(SUMIFS('Base bordo CD'!M$2:M$875,'Base bordo CD'!D$2:D$875,A799,'Base bordo CD'!A$2:A$875,B799,'Base bordo CD'!L$2:L$875,"PARADA POR CONDICOES CLIMATICAS"),0)+IFERROR(SUMIFS('Base bordo CD'!M$2:M$875,'Base bordo CD'!D$2:D$875,A799,'Base bordo CD'!A$2:A$875,B799,'Base bordo CD'!L$2:L$875,"TEMPO INDETERMINADO"),0)</f>
        <v>5.8274999999999997</v>
      </c>
      <c r="J799" s="10">
        <f>IFERROR(SUMIFS('Base bordo CD'!M$2:M$875,'Base bordo CD'!D$2:D$875,A799,'Base bordo CD'!A$2:A$875,B799,'Base bordo CD'!L$2:L$875,"LIMITAÇÃO INDÚSTRIA"),0)</f>
        <v>6.0438888888888886</v>
      </c>
      <c r="K799" s="10">
        <f>IFERROR(SUMIFS('Base bordo CD'!M$2:M$875,'Base bordo CD'!D$2:D$875,A799,'Base bordo CD'!A$2:A$875,B799,'Base bordo CD'!L$2:L$875,"MAN CORRETIVA*"),0)+IFERROR(SUMIFS('Base bordo CD'!M$2:M$875,'Base bordo CD'!D$2:D$875,A799,'Base bordo CD'!A$2:A$875,B799,'Base bordo CD'!L$2:L$875,"AGUARDANDO MANUTENCAO*"),0)+IFERROR(SUMIFS('Base bordo CD'!M$2:M$875,'Base bordo CD'!D$2:D$875,A799,'Base bordo CD'!A$2:A$875,B799,'Base bordo CD'!L$2:L$875,"TROCA DE FAQUINHA"),0)+IFERROR(SUMIFS('Base bordo CD'!M$2:M$875,'Base bordo CD'!D$2:D$875,A799,'Base bordo CD'!A$2:A$875,B799,'Base bordo CD'!L$2:L$875,"LIMPEZA*"),0)</f>
        <v>0.17416666666666666</v>
      </c>
      <c r="L799" s="10">
        <f>IFERROR(SUMIFS('Base bordo CD'!M$2:M$875,'Base bordo CD'!D$2:D$875,A799,'Base bordo CD'!A$2:A$875,B799,'Base bordo CD'!L$2:L$875,"PATIO - RESERVA"),0)</f>
        <v>0</v>
      </c>
      <c r="M799" s="10">
        <f>IFERROR(SUMIFS('Base bordo CD'!M$2:M$875,'Base bordo CD'!D$2:D$875,A799,'Base bordo CD'!A$2:A$875,B799,'Base bordo CD'!L$2:L$875,"SEM APONTAMENTO"),0)</f>
        <v>6.1111111111111116E-2</v>
      </c>
      <c r="N799" s="10">
        <f>IFERROR(SUMIFS('Base bordo CD'!M$2:M$875,'Base bordo CD'!D$2:D$875,A799,'Base bordo CD'!A$2:A$875,B799,'Base bordo CD'!L$2:L$875,"FALTA DE CAMINHÃO"),0)+IFERROR(SUMIFS('Base bordo CD'!M$2:M$875,'Base bordo CD'!D$2:D$875,A799,'Base bordo CD'!A$2:A$875,B799,'Base bordo CD'!L$2:L$875,"FALTA DE COMBUSTIVEL"),0)+IFERROR(SUMIFS('Base bordo CD'!M$2:M$875,'Base bordo CD'!D$2:D$875,A799,'Base bordo CD'!A$2:A$875,B799,'Base bordo CD'!L$2:L$875,"FALTA DE MOTORIST*"),0)</f>
        <v>0</v>
      </c>
      <c r="O799" s="10">
        <f t="shared" si="65"/>
        <v>2.1866666666666639</v>
      </c>
      <c r="P799" s="10">
        <f>IFERROR(SUMIFS('Base bordo CD'!M$2:M$875,'Base bordo CD'!D$2:D$875,A799,'Base bordo CD'!A$2:A$875,B799),0)</f>
        <v>24</v>
      </c>
      <c r="Q799" s="10">
        <f>IFERROR(SUMIFS('Base bordo CD'!O$2:O$875,'Base bordo CD'!D$2:D$875,A799,'Base bordo CD'!A$2:A$875,B799,'Base bordo CD'!L$2:L$875,"CORTE DE CANA MECANIZADO"),0)</f>
        <v>90232.6</v>
      </c>
      <c r="R799" s="10">
        <f>IFERROR(SUMIFS('Base bordo CD'!Q$2:Q$875,'Base bordo CD'!D$2:D$875,A799,'Base bordo CD'!A$2:A$875,B799,'Base bordo CD'!L$2:L$875,"CORTE DE CANA MECANIZADO"),0)</f>
        <v>21612</v>
      </c>
      <c r="S799" s="30">
        <f t="shared" si="66"/>
        <v>4.1751156764760324</v>
      </c>
      <c r="T799" s="9">
        <f t="shared" si="67"/>
        <v>0.25013888888888886</v>
      </c>
      <c r="U799" s="9">
        <f t="shared" si="68"/>
        <v>8.0057870370370376E-2</v>
      </c>
      <c r="V799" s="9">
        <f t="shared" si="69"/>
        <v>0.72480324074074076</v>
      </c>
    </row>
    <row r="800" spans="1:22" hidden="1" x14ac:dyDescent="0.35">
      <c r="A800" s="52">
        <v>49590</v>
      </c>
      <c r="B800" s="31">
        <v>46118</v>
      </c>
      <c r="C800" s="7" t="s">
        <v>321</v>
      </c>
      <c r="D800" s="7">
        <v>351</v>
      </c>
      <c r="E800" s="10">
        <f>IFERROR(SUMIFS('Base bordo CD'!M$2:M$875,'Base bordo CD'!D$2:D$875,A800,'Base bordo CD'!A$2:A$875,B800,'Base bordo CD'!L$2:L$875,"CORTE DE CANA MECANIZADO"),0)</f>
        <v>6.003333333333333</v>
      </c>
      <c r="F800" s="10">
        <f>IFERROR(SUMIFS('Base bordo CD'!M$2:M$875,'Base bordo CD'!D$2:D$875,A800,'Base bordo CD'!A$2:A$875,B800,'Base bordo CD'!L$2:L$875,"MANOBRA"),0)</f>
        <v>1.921388888888889</v>
      </c>
      <c r="G800" s="10">
        <f>IFERROR(SUMIFS('Base bordo CD'!M$2:M$875,'Base bordo CD'!D$2:D$875,A800,'Base bordo CD'!A$2:A$875,B800,'Base bordo CD'!L$2:L$875,"DESLOCAMENTO"),0)</f>
        <v>0.60138888888888886</v>
      </c>
      <c r="H800" s="10">
        <f>IFERROR(SUMIFS('Base bordo CD'!M$2:M$875,'Base bordo CD'!D$2:D$875,A800,'Base bordo CD'!A$2:A$875,B800,'Base bordo CD'!L$2:L$875,"AGUARDANDO MANOBRA DE TRANSBORDO"),0)+IFERROR(SUMIFS('Base bordo CD'!M$2:M$875,'Base bordo CD'!D$2:D$875,A800,'Base bordo CD'!A$2:A$875,B800,'Base bordo CD'!L$2:L$875,"FALTA DE TRANSBORDO"),0)</f>
        <v>1.1805555555555556</v>
      </c>
      <c r="I800" s="10">
        <f>IFERROR(SUMIFS('Base bordo CD'!M$2:M$875,'Base bordo CD'!D$2:D$875,A800,'Base bordo CD'!A$2:A$875,B800,'Base bordo CD'!L$2:L$875,"PARADA POR CONDICOES CLIMATICAS"),0)+IFERROR(SUMIFS('Base bordo CD'!M$2:M$875,'Base bordo CD'!D$2:D$875,A800,'Base bordo CD'!A$2:A$875,B800,'Base bordo CD'!L$2:L$875,"TEMPO INDETERMINADO"),0)</f>
        <v>5.8274999999999997</v>
      </c>
      <c r="J800" s="10">
        <f>IFERROR(SUMIFS('Base bordo CD'!M$2:M$875,'Base bordo CD'!D$2:D$875,A800,'Base bordo CD'!A$2:A$875,B800,'Base bordo CD'!L$2:L$875,"LIMITAÇÃO INDÚSTRIA"),0)</f>
        <v>6.0438888888888886</v>
      </c>
      <c r="K800" s="10">
        <f>IFERROR(SUMIFS('Base bordo CD'!M$2:M$875,'Base bordo CD'!D$2:D$875,A800,'Base bordo CD'!A$2:A$875,B800,'Base bordo CD'!L$2:L$875,"MAN CORRETIVA*"),0)+IFERROR(SUMIFS('Base bordo CD'!M$2:M$875,'Base bordo CD'!D$2:D$875,A800,'Base bordo CD'!A$2:A$875,B800,'Base bordo CD'!L$2:L$875,"AGUARDANDO MANUTENCAO*"),0)+IFERROR(SUMIFS('Base bordo CD'!M$2:M$875,'Base bordo CD'!D$2:D$875,A800,'Base bordo CD'!A$2:A$875,B800,'Base bordo CD'!L$2:L$875,"TROCA DE FAQUINHA"),0)+IFERROR(SUMIFS('Base bordo CD'!M$2:M$875,'Base bordo CD'!D$2:D$875,A800,'Base bordo CD'!A$2:A$875,B800,'Base bordo CD'!L$2:L$875,"LIMPEZA*"),0)</f>
        <v>0.17416666666666666</v>
      </c>
      <c r="L800" s="10">
        <f>IFERROR(SUMIFS('Base bordo CD'!M$2:M$875,'Base bordo CD'!D$2:D$875,A800,'Base bordo CD'!A$2:A$875,B800,'Base bordo CD'!L$2:L$875,"PATIO - RESERVA"),0)</f>
        <v>0</v>
      </c>
      <c r="M800" s="10">
        <f>IFERROR(SUMIFS('Base bordo CD'!M$2:M$875,'Base bordo CD'!D$2:D$875,A800,'Base bordo CD'!A$2:A$875,B800,'Base bordo CD'!L$2:L$875,"SEM APONTAMENTO"),0)</f>
        <v>6.1111111111111116E-2</v>
      </c>
      <c r="N800" s="10">
        <f>IFERROR(SUMIFS('Base bordo CD'!M$2:M$875,'Base bordo CD'!D$2:D$875,A800,'Base bordo CD'!A$2:A$875,B800,'Base bordo CD'!L$2:L$875,"FALTA DE CAMINHÃO"),0)+IFERROR(SUMIFS('Base bordo CD'!M$2:M$875,'Base bordo CD'!D$2:D$875,A800,'Base bordo CD'!A$2:A$875,B800,'Base bordo CD'!L$2:L$875,"FALTA DE COMBUSTIVEL"),0)+IFERROR(SUMIFS('Base bordo CD'!M$2:M$875,'Base bordo CD'!D$2:D$875,A800,'Base bordo CD'!A$2:A$875,B800,'Base bordo CD'!L$2:L$875,"FALTA DE MOTORIST*"),0)</f>
        <v>0</v>
      </c>
      <c r="O800" s="10">
        <f t="shared" si="65"/>
        <v>2.1866666666666639</v>
      </c>
      <c r="P800" s="10">
        <f>IFERROR(SUMIFS('Base bordo CD'!M$2:M$875,'Base bordo CD'!D$2:D$875,A800,'Base bordo CD'!A$2:A$875,B800),0)</f>
        <v>24</v>
      </c>
      <c r="Q800" s="10">
        <f>IFERROR(SUMIFS('Base bordo CD'!O$2:O$875,'Base bordo CD'!D$2:D$875,A800,'Base bordo CD'!A$2:A$875,B800,'Base bordo CD'!L$2:L$875,"CORTE DE CANA MECANIZADO"),0)</f>
        <v>90232.6</v>
      </c>
      <c r="R800" s="10">
        <f>IFERROR(SUMIFS('Base bordo CD'!Q$2:Q$875,'Base bordo CD'!D$2:D$875,A800,'Base bordo CD'!A$2:A$875,B800,'Base bordo CD'!L$2:L$875,"CORTE DE CANA MECANIZADO"),0)</f>
        <v>21612</v>
      </c>
      <c r="S800" s="30">
        <f t="shared" si="66"/>
        <v>4.1751156764760324</v>
      </c>
      <c r="T800" s="9">
        <f t="shared" si="67"/>
        <v>0.25013888888888886</v>
      </c>
      <c r="U800" s="9">
        <f t="shared" si="68"/>
        <v>8.0057870370370376E-2</v>
      </c>
      <c r="V800" s="9">
        <f t="shared" si="69"/>
        <v>0.72480324074074076</v>
      </c>
    </row>
    <row r="801" spans="1:22" hidden="1" x14ac:dyDescent="0.35">
      <c r="A801" s="52">
        <v>49590</v>
      </c>
      <c r="B801" s="31">
        <v>46118</v>
      </c>
      <c r="C801" s="7" t="s">
        <v>321</v>
      </c>
      <c r="D801" s="7">
        <v>351</v>
      </c>
      <c r="E801" s="10">
        <f>IFERROR(SUMIFS('Base bordo CD'!M$2:M$875,'Base bordo CD'!D$2:D$875,A801,'Base bordo CD'!A$2:A$875,B801,'Base bordo CD'!L$2:L$875,"CORTE DE CANA MECANIZADO"),0)</f>
        <v>6.003333333333333</v>
      </c>
      <c r="F801" s="10">
        <f>IFERROR(SUMIFS('Base bordo CD'!M$2:M$875,'Base bordo CD'!D$2:D$875,A801,'Base bordo CD'!A$2:A$875,B801,'Base bordo CD'!L$2:L$875,"MANOBRA"),0)</f>
        <v>1.921388888888889</v>
      </c>
      <c r="G801" s="10">
        <f>IFERROR(SUMIFS('Base bordo CD'!M$2:M$875,'Base bordo CD'!D$2:D$875,A801,'Base bordo CD'!A$2:A$875,B801,'Base bordo CD'!L$2:L$875,"DESLOCAMENTO"),0)</f>
        <v>0.60138888888888886</v>
      </c>
      <c r="H801" s="10">
        <f>IFERROR(SUMIFS('Base bordo CD'!M$2:M$875,'Base bordo CD'!D$2:D$875,A801,'Base bordo CD'!A$2:A$875,B801,'Base bordo CD'!L$2:L$875,"AGUARDANDO MANOBRA DE TRANSBORDO"),0)+IFERROR(SUMIFS('Base bordo CD'!M$2:M$875,'Base bordo CD'!D$2:D$875,A801,'Base bordo CD'!A$2:A$875,B801,'Base bordo CD'!L$2:L$875,"FALTA DE TRANSBORDO"),0)</f>
        <v>1.1805555555555556</v>
      </c>
      <c r="I801" s="10">
        <f>IFERROR(SUMIFS('Base bordo CD'!M$2:M$875,'Base bordo CD'!D$2:D$875,A801,'Base bordo CD'!A$2:A$875,B801,'Base bordo CD'!L$2:L$875,"PARADA POR CONDICOES CLIMATICAS"),0)+IFERROR(SUMIFS('Base bordo CD'!M$2:M$875,'Base bordo CD'!D$2:D$875,A801,'Base bordo CD'!A$2:A$875,B801,'Base bordo CD'!L$2:L$875,"TEMPO INDETERMINADO"),0)</f>
        <v>5.8274999999999997</v>
      </c>
      <c r="J801" s="10">
        <f>IFERROR(SUMIFS('Base bordo CD'!M$2:M$875,'Base bordo CD'!D$2:D$875,A801,'Base bordo CD'!A$2:A$875,B801,'Base bordo CD'!L$2:L$875,"LIMITAÇÃO INDÚSTRIA"),0)</f>
        <v>6.0438888888888886</v>
      </c>
      <c r="K801" s="10">
        <f>IFERROR(SUMIFS('Base bordo CD'!M$2:M$875,'Base bordo CD'!D$2:D$875,A801,'Base bordo CD'!A$2:A$875,B801,'Base bordo CD'!L$2:L$875,"MAN CORRETIVA*"),0)+IFERROR(SUMIFS('Base bordo CD'!M$2:M$875,'Base bordo CD'!D$2:D$875,A801,'Base bordo CD'!A$2:A$875,B801,'Base bordo CD'!L$2:L$875,"AGUARDANDO MANUTENCAO*"),0)+IFERROR(SUMIFS('Base bordo CD'!M$2:M$875,'Base bordo CD'!D$2:D$875,A801,'Base bordo CD'!A$2:A$875,B801,'Base bordo CD'!L$2:L$875,"TROCA DE FAQUINHA"),0)+IFERROR(SUMIFS('Base bordo CD'!M$2:M$875,'Base bordo CD'!D$2:D$875,A801,'Base bordo CD'!A$2:A$875,B801,'Base bordo CD'!L$2:L$875,"LIMPEZA*"),0)</f>
        <v>0.17416666666666666</v>
      </c>
      <c r="L801" s="10">
        <f>IFERROR(SUMIFS('Base bordo CD'!M$2:M$875,'Base bordo CD'!D$2:D$875,A801,'Base bordo CD'!A$2:A$875,B801,'Base bordo CD'!L$2:L$875,"PATIO - RESERVA"),0)</f>
        <v>0</v>
      </c>
      <c r="M801" s="10">
        <f>IFERROR(SUMIFS('Base bordo CD'!M$2:M$875,'Base bordo CD'!D$2:D$875,A801,'Base bordo CD'!A$2:A$875,B801,'Base bordo CD'!L$2:L$875,"SEM APONTAMENTO"),0)</f>
        <v>6.1111111111111116E-2</v>
      </c>
      <c r="N801" s="10">
        <f>IFERROR(SUMIFS('Base bordo CD'!M$2:M$875,'Base bordo CD'!D$2:D$875,A801,'Base bordo CD'!A$2:A$875,B801,'Base bordo CD'!L$2:L$875,"FALTA DE CAMINHÃO"),0)+IFERROR(SUMIFS('Base bordo CD'!M$2:M$875,'Base bordo CD'!D$2:D$875,A801,'Base bordo CD'!A$2:A$875,B801,'Base bordo CD'!L$2:L$875,"FALTA DE COMBUSTIVEL"),0)+IFERROR(SUMIFS('Base bordo CD'!M$2:M$875,'Base bordo CD'!D$2:D$875,A801,'Base bordo CD'!A$2:A$875,B801,'Base bordo CD'!L$2:L$875,"FALTA DE MOTORIST*"),0)</f>
        <v>0</v>
      </c>
      <c r="O801" s="10">
        <f t="shared" si="65"/>
        <v>2.1866666666666639</v>
      </c>
      <c r="P801" s="10">
        <f>IFERROR(SUMIFS('Base bordo CD'!M$2:M$875,'Base bordo CD'!D$2:D$875,A801,'Base bordo CD'!A$2:A$875,B801),0)</f>
        <v>24</v>
      </c>
      <c r="Q801" s="10">
        <f>IFERROR(SUMIFS('Base bordo CD'!O$2:O$875,'Base bordo CD'!D$2:D$875,A801,'Base bordo CD'!A$2:A$875,B801,'Base bordo CD'!L$2:L$875,"CORTE DE CANA MECANIZADO"),0)</f>
        <v>90232.6</v>
      </c>
      <c r="R801" s="10">
        <f>IFERROR(SUMIFS('Base bordo CD'!Q$2:Q$875,'Base bordo CD'!D$2:D$875,A801,'Base bordo CD'!A$2:A$875,B801,'Base bordo CD'!L$2:L$875,"CORTE DE CANA MECANIZADO"),0)</f>
        <v>21612</v>
      </c>
      <c r="S801" s="30">
        <f t="shared" si="66"/>
        <v>4.1751156764760324</v>
      </c>
      <c r="T801" s="9">
        <f t="shared" si="67"/>
        <v>0.25013888888888886</v>
      </c>
      <c r="U801" s="9">
        <f t="shared" si="68"/>
        <v>8.0057870370370376E-2</v>
      </c>
      <c r="V801" s="9">
        <f t="shared" si="69"/>
        <v>0.72480324074074076</v>
      </c>
    </row>
    <row r="802" spans="1:22" hidden="1" x14ac:dyDescent="0.35">
      <c r="A802" s="52">
        <v>49591</v>
      </c>
      <c r="B802" s="31">
        <v>46118</v>
      </c>
      <c r="C802" s="7" t="s">
        <v>364</v>
      </c>
      <c r="D802" s="7">
        <v>352</v>
      </c>
      <c r="E802" s="10">
        <f>IFERROR(SUMIFS('Base bordo CD'!M$2:M$875,'Base bordo CD'!D$2:D$875,A802,'Base bordo CD'!A$2:A$875,B802,'Base bordo CD'!L$2:L$875,"CORTE DE CANA MECANIZADO"),0)</f>
        <v>0</v>
      </c>
      <c r="F802" s="10">
        <f>IFERROR(SUMIFS('Base bordo CD'!M$2:M$875,'Base bordo CD'!D$2:D$875,A802,'Base bordo CD'!A$2:A$875,B802,'Base bordo CD'!L$2:L$875,"MANOBRA"),0)</f>
        <v>0</v>
      </c>
      <c r="G802" s="10">
        <f>IFERROR(SUMIFS('Base bordo CD'!M$2:M$875,'Base bordo CD'!D$2:D$875,A802,'Base bordo CD'!A$2:A$875,B802,'Base bordo CD'!L$2:L$875,"DESLOCAMENTO"),0)</f>
        <v>9.8611111111111122E-2</v>
      </c>
      <c r="H802" s="10">
        <f>IFERROR(SUMIFS('Base bordo CD'!M$2:M$875,'Base bordo CD'!D$2:D$875,A802,'Base bordo CD'!A$2:A$875,B802,'Base bordo CD'!L$2:L$875,"AGUARDANDO MANOBRA DE TRANSBORDO"),0)+IFERROR(SUMIFS('Base bordo CD'!M$2:M$875,'Base bordo CD'!D$2:D$875,A802,'Base bordo CD'!A$2:A$875,B802,'Base bordo CD'!L$2:L$875,"FALTA DE TRANSBORDO"),0)</f>
        <v>0</v>
      </c>
      <c r="I802" s="10">
        <f>IFERROR(SUMIFS('Base bordo CD'!M$2:M$875,'Base bordo CD'!D$2:D$875,A802,'Base bordo CD'!A$2:A$875,B802,'Base bordo CD'!L$2:L$875,"PARADA POR CONDICOES CLIMATICAS"),0)+IFERROR(SUMIFS('Base bordo CD'!M$2:M$875,'Base bordo CD'!D$2:D$875,A802,'Base bordo CD'!A$2:A$875,B802,'Base bordo CD'!L$2:L$875,"TEMPO INDETERMINADO"),0)</f>
        <v>6.793333333333333</v>
      </c>
      <c r="J802" s="10">
        <f>IFERROR(SUMIFS('Base bordo CD'!M$2:M$875,'Base bordo CD'!D$2:D$875,A802,'Base bordo CD'!A$2:A$875,B802,'Base bordo CD'!L$2:L$875,"LIMITAÇÃO INDÚSTRIA"),0)</f>
        <v>0</v>
      </c>
      <c r="K802" s="10">
        <f>IFERROR(SUMIFS('Base bordo CD'!M$2:M$875,'Base bordo CD'!D$2:D$875,A802,'Base bordo CD'!A$2:A$875,B802,'Base bordo CD'!L$2:L$875,"MAN CORRETIVA*"),0)+IFERROR(SUMIFS('Base bordo CD'!M$2:M$875,'Base bordo CD'!D$2:D$875,A802,'Base bordo CD'!A$2:A$875,B802,'Base bordo CD'!L$2:L$875,"AGUARDANDO MANUTENCAO*"),0)+IFERROR(SUMIFS('Base bordo CD'!M$2:M$875,'Base bordo CD'!D$2:D$875,A802,'Base bordo CD'!A$2:A$875,B802,'Base bordo CD'!L$2:L$875,"TROCA DE FAQUINHA"),0)+IFERROR(SUMIFS('Base bordo CD'!M$2:M$875,'Base bordo CD'!D$2:D$875,A802,'Base bordo CD'!A$2:A$875,B802,'Base bordo CD'!L$2:L$875,"LIMPEZA*"),0)</f>
        <v>0</v>
      </c>
      <c r="L802" s="10">
        <f>IFERROR(SUMIFS('Base bordo CD'!M$2:M$875,'Base bordo CD'!D$2:D$875,A802,'Base bordo CD'!A$2:A$875,B802,'Base bordo CD'!L$2:L$875,"PATIO - RESERVA"),0)</f>
        <v>17.108055555555556</v>
      </c>
      <c r="M802" s="10">
        <f>IFERROR(SUMIFS('Base bordo CD'!M$2:M$875,'Base bordo CD'!D$2:D$875,A802,'Base bordo CD'!A$2:A$875,B802,'Base bordo CD'!L$2:L$875,"SEM APONTAMENTO"),0)</f>
        <v>0</v>
      </c>
      <c r="N802" s="10">
        <f>IFERROR(SUMIFS('Base bordo CD'!M$2:M$875,'Base bordo CD'!D$2:D$875,A802,'Base bordo CD'!A$2:A$875,B802,'Base bordo CD'!L$2:L$875,"FALTA DE CAMINHÃO"),0)+IFERROR(SUMIFS('Base bordo CD'!M$2:M$875,'Base bordo CD'!D$2:D$875,A802,'Base bordo CD'!A$2:A$875,B802,'Base bordo CD'!L$2:L$875,"FALTA DE COMBUSTIVEL"),0)+IFERROR(SUMIFS('Base bordo CD'!M$2:M$875,'Base bordo CD'!D$2:D$875,A802,'Base bordo CD'!A$2:A$875,B802,'Base bordo CD'!L$2:L$875,"FALTA DE MOTORIST*"),0)</f>
        <v>0</v>
      </c>
      <c r="O802" s="10">
        <f t="shared" si="65"/>
        <v>0</v>
      </c>
      <c r="P802" s="10">
        <f>IFERROR(SUMIFS('Base bordo CD'!M$2:M$875,'Base bordo CD'!D$2:D$875,A802,'Base bordo CD'!A$2:A$875,B802),0)</f>
        <v>24</v>
      </c>
      <c r="Q802" s="10">
        <f>IFERROR(SUMIFS('Base bordo CD'!O$2:O$875,'Base bordo CD'!D$2:D$875,A802,'Base bordo CD'!A$2:A$875,B802,'Base bordo CD'!L$2:L$875,"CORTE DE CANA MECANIZADO"),0)</f>
        <v>0</v>
      </c>
      <c r="R802" s="10">
        <f>IFERROR(SUMIFS('Base bordo CD'!Q$2:Q$875,'Base bordo CD'!D$2:D$875,A802,'Base bordo CD'!A$2:A$875,B802,'Base bordo CD'!L$2:L$875,"CORTE DE CANA MECANIZADO"),0)</f>
        <v>0</v>
      </c>
      <c r="S802" s="30" t="str">
        <f t="shared" si="66"/>
        <v/>
      </c>
      <c r="T802" s="9">
        <f t="shared" si="67"/>
        <v>0</v>
      </c>
      <c r="U802" s="9">
        <f t="shared" si="68"/>
        <v>0</v>
      </c>
      <c r="V802" s="9">
        <f t="shared" si="69"/>
        <v>0.99589120370370365</v>
      </c>
    </row>
    <row r="803" spans="1:22" hidden="1" x14ac:dyDescent="0.35">
      <c r="A803" s="52">
        <v>49591</v>
      </c>
      <c r="B803" s="31">
        <v>46118</v>
      </c>
      <c r="C803" s="7" t="s">
        <v>364</v>
      </c>
      <c r="D803" s="7">
        <v>352</v>
      </c>
      <c r="E803" s="10">
        <f>IFERROR(SUMIFS('Base bordo CD'!M$2:M$875,'Base bordo CD'!D$2:D$875,A803,'Base bordo CD'!A$2:A$875,B803,'Base bordo CD'!L$2:L$875,"CORTE DE CANA MECANIZADO"),0)</f>
        <v>0</v>
      </c>
      <c r="F803" s="10">
        <f>IFERROR(SUMIFS('Base bordo CD'!M$2:M$875,'Base bordo CD'!D$2:D$875,A803,'Base bordo CD'!A$2:A$875,B803,'Base bordo CD'!L$2:L$875,"MANOBRA"),0)</f>
        <v>0</v>
      </c>
      <c r="G803" s="10">
        <f>IFERROR(SUMIFS('Base bordo CD'!M$2:M$875,'Base bordo CD'!D$2:D$875,A803,'Base bordo CD'!A$2:A$875,B803,'Base bordo CD'!L$2:L$875,"DESLOCAMENTO"),0)</f>
        <v>9.8611111111111122E-2</v>
      </c>
      <c r="H803" s="10">
        <f>IFERROR(SUMIFS('Base bordo CD'!M$2:M$875,'Base bordo CD'!D$2:D$875,A803,'Base bordo CD'!A$2:A$875,B803,'Base bordo CD'!L$2:L$875,"AGUARDANDO MANOBRA DE TRANSBORDO"),0)+IFERROR(SUMIFS('Base bordo CD'!M$2:M$875,'Base bordo CD'!D$2:D$875,A803,'Base bordo CD'!A$2:A$875,B803,'Base bordo CD'!L$2:L$875,"FALTA DE TRANSBORDO"),0)</f>
        <v>0</v>
      </c>
      <c r="I803" s="10">
        <f>IFERROR(SUMIFS('Base bordo CD'!M$2:M$875,'Base bordo CD'!D$2:D$875,A803,'Base bordo CD'!A$2:A$875,B803,'Base bordo CD'!L$2:L$875,"PARADA POR CONDICOES CLIMATICAS"),0)+IFERROR(SUMIFS('Base bordo CD'!M$2:M$875,'Base bordo CD'!D$2:D$875,A803,'Base bordo CD'!A$2:A$875,B803,'Base bordo CD'!L$2:L$875,"TEMPO INDETERMINADO"),0)</f>
        <v>6.793333333333333</v>
      </c>
      <c r="J803" s="10">
        <f>IFERROR(SUMIFS('Base bordo CD'!M$2:M$875,'Base bordo CD'!D$2:D$875,A803,'Base bordo CD'!A$2:A$875,B803,'Base bordo CD'!L$2:L$875,"LIMITAÇÃO INDÚSTRIA"),0)</f>
        <v>0</v>
      </c>
      <c r="K803" s="10">
        <f>IFERROR(SUMIFS('Base bordo CD'!M$2:M$875,'Base bordo CD'!D$2:D$875,A803,'Base bordo CD'!A$2:A$875,B803,'Base bordo CD'!L$2:L$875,"MAN CORRETIVA*"),0)+IFERROR(SUMIFS('Base bordo CD'!M$2:M$875,'Base bordo CD'!D$2:D$875,A803,'Base bordo CD'!A$2:A$875,B803,'Base bordo CD'!L$2:L$875,"AGUARDANDO MANUTENCAO*"),0)+IFERROR(SUMIFS('Base bordo CD'!M$2:M$875,'Base bordo CD'!D$2:D$875,A803,'Base bordo CD'!A$2:A$875,B803,'Base bordo CD'!L$2:L$875,"TROCA DE FAQUINHA"),0)+IFERROR(SUMIFS('Base bordo CD'!M$2:M$875,'Base bordo CD'!D$2:D$875,A803,'Base bordo CD'!A$2:A$875,B803,'Base bordo CD'!L$2:L$875,"LIMPEZA*"),0)</f>
        <v>0</v>
      </c>
      <c r="L803" s="10">
        <f>IFERROR(SUMIFS('Base bordo CD'!M$2:M$875,'Base bordo CD'!D$2:D$875,A803,'Base bordo CD'!A$2:A$875,B803,'Base bordo CD'!L$2:L$875,"PATIO - RESERVA"),0)</f>
        <v>17.108055555555556</v>
      </c>
      <c r="M803" s="10">
        <f>IFERROR(SUMIFS('Base bordo CD'!M$2:M$875,'Base bordo CD'!D$2:D$875,A803,'Base bordo CD'!A$2:A$875,B803,'Base bordo CD'!L$2:L$875,"SEM APONTAMENTO"),0)</f>
        <v>0</v>
      </c>
      <c r="N803" s="10">
        <f>IFERROR(SUMIFS('Base bordo CD'!M$2:M$875,'Base bordo CD'!D$2:D$875,A803,'Base bordo CD'!A$2:A$875,B803,'Base bordo CD'!L$2:L$875,"FALTA DE CAMINHÃO"),0)+IFERROR(SUMIFS('Base bordo CD'!M$2:M$875,'Base bordo CD'!D$2:D$875,A803,'Base bordo CD'!A$2:A$875,B803,'Base bordo CD'!L$2:L$875,"FALTA DE COMBUSTIVEL"),0)+IFERROR(SUMIFS('Base bordo CD'!M$2:M$875,'Base bordo CD'!D$2:D$875,A803,'Base bordo CD'!A$2:A$875,B803,'Base bordo CD'!L$2:L$875,"FALTA DE MOTORIST*"),0)</f>
        <v>0</v>
      </c>
      <c r="O803" s="10">
        <f t="shared" si="65"/>
        <v>0</v>
      </c>
      <c r="P803" s="10">
        <f>IFERROR(SUMIFS('Base bordo CD'!M$2:M$875,'Base bordo CD'!D$2:D$875,A803,'Base bordo CD'!A$2:A$875,B803),0)</f>
        <v>24</v>
      </c>
      <c r="Q803" s="10">
        <f>IFERROR(SUMIFS('Base bordo CD'!O$2:O$875,'Base bordo CD'!D$2:D$875,A803,'Base bordo CD'!A$2:A$875,B803,'Base bordo CD'!L$2:L$875,"CORTE DE CANA MECANIZADO"),0)</f>
        <v>0</v>
      </c>
      <c r="R803" s="10">
        <f>IFERROR(SUMIFS('Base bordo CD'!Q$2:Q$875,'Base bordo CD'!D$2:D$875,A803,'Base bordo CD'!A$2:A$875,B803,'Base bordo CD'!L$2:L$875,"CORTE DE CANA MECANIZADO"),0)</f>
        <v>0</v>
      </c>
      <c r="S803" s="30" t="str">
        <f t="shared" si="66"/>
        <v/>
      </c>
      <c r="T803" s="9">
        <f t="shared" si="67"/>
        <v>0</v>
      </c>
      <c r="U803" s="9">
        <f t="shared" si="68"/>
        <v>0</v>
      </c>
      <c r="V803" s="9">
        <f t="shared" si="69"/>
        <v>0.99589120370370365</v>
      </c>
    </row>
    <row r="804" spans="1:22" hidden="1" x14ac:dyDescent="0.35">
      <c r="A804" s="52">
        <v>49591</v>
      </c>
      <c r="B804" s="31">
        <v>46118</v>
      </c>
      <c r="C804" s="7" t="s">
        <v>364</v>
      </c>
      <c r="D804" s="7">
        <v>352</v>
      </c>
      <c r="E804" s="10">
        <f>IFERROR(SUMIFS('Base bordo CD'!M$2:M$875,'Base bordo CD'!D$2:D$875,A804,'Base bordo CD'!A$2:A$875,B804,'Base bordo CD'!L$2:L$875,"CORTE DE CANA MECANIZADO"),0)</f>
        <v>0</v>
      </c>
      <c r="F804" s="10">
        <f>IFERROR(SUMIFS('Base bordo CD'!M$2:M$875,'Base bordo CD'!D$2:D$875,A804,'Base bordo CD'!A$2:A$875,B804,'Base bordo CD'!L$2:L$875,"MANOBRA"),0)</f>
        <v>0</v>
      </c>
      <c r="G804" s="10">
        <f>IFERROR(SUMIFS('Base bordo CD'!M$2:M$875,'Base bordo CD'!D$2:D$875,A804,'Base bordo CD'!A$2:A$875,B804,'Base bordo CD'!L$2:L$875,"DESLOCAMENTO"),0)</f>
        <v>9.8611111111111122E-2</v>
      </c>
      <c r="H804" s="10">
        <f>IFERROR(SUMIFS('Base bordo CD'!M$2:M$875,'Base bordo CD'!D$2:D$875,A804,'Base bordo CD'!A$2:A$875,B804,'Base bordo CD'!L$2:L$875,"AGUARDANDO MANOBRA DE TRANSBORDO"),0)+IFERROR(SUMIFS('Base bordo CD'!M$2:M$875,'Base bordo CD'!D$2:D$875,A804,'Base bordo CD'!A$2:A$875,B804,'Base bordo CD'!L$2:L$875,"FALTA DE TRANSBORDO"),0)</f>
        <v>0</v>
      </c>
      <c r="I804" s="10">
        <f>IFERROR(SUMIFS('Base bordo CD'!M$2:M$875,'Base bordo CD'!D$2:D$875,A804,'Base bordo CD'!A$2:A$875,B804,'Base bordo CD'!L$2:L$875,"PARADA POR CONDICOES CLIMATICAS"),0)+IFERROR(SUMIFS('Base bordo CD'!M$2:M$875,'Base bordo CD'!D$2:D$875,A804,'Base bordo CD'!A$2:A$875,B804,'Base bordo CD'!L$2:L$875,"TEMPO INDETERMINADO"),0)</f>
        <v>6.793333333333333</v>
      </c>
      <c r="J804" s="10">
        <f>IFERROR(SUMIFS('Base bordo CD'!M$2:M$875,'Base bordo CD'!D$2:D$875,A804,'Base bordo CD'!A$2:A$875,B804,'Base bordo CD'!L$2:L$875,"LIMITAÇÃO INDÚSTRIA"),0)</f>
        <v>0</v>
      </c>
      <c r="K804" s="10">
        <f>IFERROR(SUMIFS('Base bordo CD'!M$2:M$875,'Base bordo CD'!D$2:D$875,A804,'Base bordo CD'!A$2:A$875,B804,'Base bordo CD'!L$2:L$875,"MAN CORRETIVA*"),0)+IFERROR(SUMIFS('Base bordo CD'!M$2:M$875,'Base bordo CD'!D$2:D$875,A804,'Base bordo CD'!A$2:A$875,B804,'Base bordo CD'!L$2:L$875,"AGUARDANDO MANUTENCAO*"),0)+IFERROR(SUMIFS('Base bordo CD'!M$2:M$875,'Base bordo CD'!D$2:D$875,A804,'Base bordo CD'!A$2:A$875,B804,'Base bordo CD'!L$2:L$875,"TROCA DE FAQUINHA"),0)+IFERROR(SUMIFS('Base bordo CD'!M$2:M$875,'Base bordo CD'!D$2:D$875,A804,'Base bordo CD'!A$2:A$875,B804,'Base bordo CD'!L$2:L$875,"LIMPEZA*"),0)</f>
        <v>0</v>
      </c>
      <c r="L804" s="10">
        <f>IFERROR(SUMIFS('Base bordo CD'!M$2:M$875,'Base bordo CD'!D$2:D$875,A804,'Base bordo CD'!A$2:A$875,B804,'Base bordo CD'!L$2:L$875,"PATIO - RESERVA"),0)</f>
        <v>17.108055555555556</v>
      </c>
      <c r="M804" s="10">
        <f>IFERROR(SUMIFS('Base bordo CD'!M$2:M$875,'Base bordo CD'!D$2:D$875,A804,'Base bordo CD'!A$2:A$875,B804,'Base bordo CD'!L$2:L$875,"SEM APONTAMENTO"),0)</f>
        <v>0</v>
      </c>
      <c r="N804" s="10">
        <f>IFERROR(SUMIFS('Base bordo CD'!M$2:M$875,'Base bordo CD'!D$2:D$875,A804,'Base bordo CD'!A$2:A$875,B804,'Base bordo CD'!L$2:L$875,"FALTA DE CAMINHÃO"),0)+IFERROR(SUMIFS('Base bordo CD'!M$2:M$875,'Base bordo CD'!D$2:D$875,A804,'Base bordo CD'!A$2:A$875,B804,'Base bordo CD'!L$2:L$875,"FALTA DE COMBUSTIVEL"),0)+IFERROR(SUMIFS('Base bordo CD'!M$2:M$875,'Base bordo CD'!D$2:D$875,A804,'Base bordo CD'!A$2:A$875,B804,'Base bordo CD'!L$2:L$875,"FALTA DE MOTORIST*"),0)</f>
        <v>0</v>
      </c>
      <c r="O804" s="10">
        <f t="shared" si="65"/>
        <v>0</v>
      </c>
      <c r="P804" s="10">
        <f>IFERROR(SUMIFS('Base bordo CD'!M$2:M$875,'Base bordo CD'!D$2:D$875,A804,'Base bordo CD'!A$2:A$875,B804),0)</f>
        <v>24</v>
      </c>
      <c r="Q804" s="10">
        <f>IFERROR(SUMIFS('Base bordo CD'!O$2:O$875,'Base bordo CD'!D$2:D$875,A804,'Base bordo CD'!A$2:A$875,B804,'Base bordo CD'!L$2:L$875,"CORTE DE CANA MECANIZADO"),0)</f>
        <v>0</v>
      </c>
      <c r="R804" s="10">
        <f>IFERROR(SUMIFS('Base bordo CD'!Q$2:Q$875,'Base bordo CD'!D$2:D$875,A804,'Base bordo CD'!A$2:A$875,B804,'Base bordo CD'!L$2:L$875,"CORTE DE CANA MECANIZADO"),0)</f>
        <v>0</v>
      </c>
      <c r="S804" s="30" t="str">
        <f t="shared" si="66"/>
        <v/>
      </c>
      <c r="T804" s="9">
        <f t="shared" si="67"/>
        <v>0</v>
      </c>
      <c r="U804" s="9">
        <f t="shared" si="68"/>
        <v>0</v>
      </c>
      <c r="V804" s="9">
        <f t="shared" si="69"/>
        <v>0.99589120370370365</v>
      </c>
    </row>
    <row r="805" spans="1:22" hidden="1" x14ac:dyDescent="0.35">
      <c r="A805" s="52">
        <v>49591</v>
      </c>
      <c r="B805" s="31">
        <v>46118</v>
      </c>
      <c r="C805" s="7" t="s">
        <v>364</v>
      </c>
      <c r="D805" s="7">
        <v>352</v>
      </c>
      <c r="E805" s="10">
        <f>IFERROR(SUMIFS('Base bordo CD'!M$2:M$875,'Base bordo CD'!D$2:D$875,A805,'Base bordo CD'!A$2:A$875,B805,'Base bordo CD'!L$2:L$875,"CORTE DE CANA MECANIZADO"),0)</f>
        <v>0</v>
      </c>
      <c r="F805" s="10">
        <f>IFERROR(SUMIFS('Base bordo CD'!M$2:M$875,'Base bordo CD'!D$2:D$875,A805,'Base bordo CD'!A$2:A$875,B805,'Base bordo CD'!L$2:L$875,"MANOBRA"),0)</f>
        <v>0</v>
      </c>
      <c r="G805" s="10">
        <f>IFERROR(SUMIFS('Base bordo CD'!M$2:M$875,'Base bordo CD'!D$2:D$875,A805,'Base bordo CD'!A$2:A$875,B805,'Base bordo CD'!L$2:L$875,"DESLOCAMENTO"),0)</f>
        <v>9.8611111111111122E-2</v>
      </c>
      <c r="H805" s="10">
        <f>IFERROR(SUMIFS('Base bordo CD'!M$2:M$875,'Base bordo CD'!D$2:D$875,A805,'Base bordo CD'!A$2:A$875,B805,'Base bordo CD'!L$2:L$875,"AGUARDANDO MANOBRA DE TRANSBORDO"),0)+IFERROR(SUMIFS('Base bordo CD'!M$2:M$875,'Base bordo CD'!D$2:D$875,A805,'Base bordo CD'!A$2:A$875,B805,'Base bordo CD'!L$2:L$875,"FALTA DE TRANSBORDO"),0)</f>
        <v>0</v>
      </c>
      <c r="I805" s="10">
        <f>IFERROR(SUMIFS('Base bordo CD'!M$2:M$875,'Base bordo CD'!D$2:D$875,A805,'Base bordo CD'!A$2:A$875,B805,'Base bordo CD'!L$2:L$875,"PARADA POR CONDICOES CLIMATICAS"),0)+IFERROR(SUMIFS('Base bordo CD'!M$2:M$875,'Base bordo CD'!D$2:D$875,A805,'Base bordo CD'!A$2:A$875,B805,'Base bordo CD'!L$2:L$875,"TEMPO INDETERMINADO"),0)</f>
        <v>6.793333333333333</v>
      </c>
      <c r="J805" s="10">
        <f>IFERROR(SUMIFS('Base bordo CD'!M$2:M$875,'Base bordo CD'!D$2:D$875,A805,'Base bordo CD'!A$2:A$875,B805,'Base bordo CD'!L$2:L$875,"LIMITAÇÃO INDÚSTRIA"),0)</f>
        <v>0</v>
      </c>
      <c r="K805" s="10">
        <f>IFERROR(SUMIFS('Base bordo CD'!M$2:M$875,'Base bordo CD'!D$2:D$875,A805,'Base bordo CD'!A$2:A$875,B805,'Base bordo CD'!L$2:L$875,"MAN CORRETIVA*"),0)+IFERROR(SUMIFS('Base bordo CD'!M$2:M$875,'Base bordo CD'!D$2:D$875,A805,'Base bordo CD'!A$2:A$875,B805,'Base bordo CD'!L$2:L$875,"AGUARDANDO MANUTENCAO*"),0)+IFERROR(SUMIFS('Base bordo CD'!M$2:M$875,'Base bordo CD'!D$2:D$875,A805,'Base bordo CD'!A$2:A$875,B805,'Base bordo CD'!L$2:L$875,"TROCA DE FAQUINHA"),0)+IFERROR(SUMIFS('Base bordo CD'!M$2:M$875,'Base bordo CD'!D$2:D$875,A805,'Base bordo CD'!A$2:A$875,B805,'Base bordo CD'!L$2:L$875,"LIMPEZA*"),0)</f>
        <v>0</v>
      </c>
      <c r="L805" s="10">
        <f>IFERROR(SUMIFS('Base bordo CD'!M$2:M$875,'Base bordo CD'!D$2:D$875,A805,'Base bordo CD'!A$2:A$875,B805,'Base bordo CD'!L$2:L$875,"PATIO - RESERVA"),0)</f>
        <v>17.108055555555556</v>
      </c>
      <c r="M805" s="10">
        <f>IFERROR(SUMIFS('Base bordo CD'!M$2:M$875,'Base bordo CD'!D$2:D$875,A805,'Base bordo CD'!A$2:A$875,B805,'Base bordo CD'!L$2:L$875,"SEM APONTAMENTO"),0)</f>
        <v>0</v>
      </c>
      <c r="N805" s="10">
        <f>IFERROR(SUMIFS('Base bordo CD'!M$2:M$875,'Base bordo CD'!D$2:D$875,A805,'Base bordo CD'!A$2:A$875,B805,'Base bordo CD'!L$2:L$875,"FALTA DE CAMINHÃO"),0)+IFERROR(SUMIFS('Base bordo CD'!M$2:M$875,'Base bordo CD'!D$2:D$875,A805,'Base bordo CD'!A$2:A$875,B805,'Base bordo CD'!L$2:L$875,"FALTA DE COMBUSTIVEL"),0)+IFERROR(SUMIFS('Base bordo CD'!M$2:M$875,'Base bordo CD'!D$2:D$875,A805,'Base bordo CD'!A$2:A$875,B805,'Base bordo CD'!L$2:L$875,"FALTA DE MOTORIST*"),0)</f>
        <v>0</v>
      </c>
      <c r="O805" s="10">
        <f t="shared" si="65"/>
        <v>0</v>
      </c>
      <c r="P805" s="10">
        <f>IFERROR(SUMIFS('Base bordo CD'!M$2:M$875,'Base bordo CD'!D$2:D$875,A805,'Base bordo CD'!A$2:A$875,B805),0)</f>
        <v>24</v>
      </c>
      <c r="Q805" s="10">
        <f>IFERROR(SUMIFS('Base bordo CD'!O$2:O$875,'Base bordo CD'!D$2:D$875,A805,'Base bordo CD'!A$2:A$875,B805,'Base bordo CD'!L$2:L$875,"CORTE DE CANA MECANIZADO"),0)</f>
        <v>0</v>
      </c>
      <c r="R805" s="10">
        <f>IFERROR(SUMIFS('Base bordo CD'!Q$2:Q$875,'Base bordo CD'!D$2:D$875,A805,'Base bordo CD'!A$2:A$875,B805,'Base bordo CD'!L$2:L$875,"CORTE DE CANA MECANIZADO"),0)</f>
        <v>0</v>
      </c>
      <c r="S805" s="30" t="str">
        <f t="shared" si="66"/>
        <v/>
      </c>
      <c r="T805" s="9">
        <f t="shared" si="67"/>
        <v>0</v>
      </c>
      <c r="U805" s="9">
        <f t="shared" si="68"/>
        <v>0</v>
      </c>
      <c r="V805" s="9">
        <f t="shared" si="69"/>
        <v>0.99589120370370365</v>
      </c>
    </row>
    <row r="806" spans="1:22" hidden="1" x14ac:dyDescent="0.35">
      <c r="A806" s="52">
        <v>49591</v>
      </c>
      <c r="B806" s="31">
        <v>46118</v>
      </c>
      <c r="C806" s="7" t="s">
        <v>364</v>
      </c>
      <c r="D806" s="7">
        <v>352</v>
      </c>
      <c r="E806" s="10">
        <f>IFERROR(SUMIFS('Base bordo CD'!M$2:M$875,'Base bordo CD'!D$2:D$875,A806,'Base bordo CD'!A$2:A$875,B806,'Base bordo CD'!L$2:L$875,"CORTE DE CANA MECANIZADO"),0)</f>
        <v>0</v>
      </c>
      <c r="F806" s="10">
        <f>IFERROR(SUMIFS('Base bordo CD'!M$2:M$875,'Base bordo CD'!D$2:D$875,A806,'Base bordo CD'!A$2:A$875,B806,'Base bordo CD'!L$2:L$875,"MANOBRA"),0)</f>
        <v>0</v>
      </c>
      <c r="G806" s="10">
        <f>IFERROR(SUMIFS('Base bordo CD'!M$2:M$875,'Base bordo CD'!D$2:D$875,A806,'Base bordo CD'!A$2:A$875,B806,'Base bordo CD'!L$2:L$875,"DESLOCAMENTO"),0)</f>
        <v>9.8611111111111122E-2</v>
      </c>
      <c r="H806" s="10">
        <f>IFERROR(SUMIFS('Base bordo CD'!M$2:M$875,'Base bordo CD'!D$2:D$875,A806,'Base bordo CD'!A$2:A$875,B806,'Base bordo CD'!L$2:L$875,"AGUARDANDO MANOBRA DE TRANSBORDO"),0)+IFERROR(SUMIFS('Base bordo CD'!M$2:M$875,'Base bordo CD'!D$2:D$875,A806,'Base bordo CD'!A$2:A$875,B806,'Base bordo CD'!L$2:L$875,"FALTA DE TRANSBORDO"),0)</f>
        <v>0</v>
      </c>
      <c r="I806" s="10">
        <f>IFERROR(SUMIFS('Base bordo CD'!M$2:M$875,'Base bordo CD'!D$2:D$875,A806,'Base bordo CD'!A$2:A$875,B806,'Base bordo CD'!L$2:L$875,"PARADA POR CONDICOES CLIMATICAS"),0)+IFERROR(SUMIFS('Base bordo CD'!M$2:M$875,'Base bordo CD'!D$2:D$875,A806,'Base bordo CD'!A$2:A$875,B806,'Base bordo CD'!L$2:L$875,"TEMPO INDETERMINADO"),0)</f>
        <v>6.793333333333333</v>
      </c>
      <c r="J806" s="10">
        <f>IFERROR(SUMIFS('Base bordo CD'!M$2:M$875,'Base bordo CD'!D$2:D$875,A806,'Base bordo CD'!A$2:A$875,B806,'Base bordo CD'!L$2:L$875,"LIMITAÇÃO INDÚSTRIA"),0)</f>
        <v>0</v>
      </c>
      <c r="K806" s="10">
        <f>IFERROR(SUMIFS('Base bordo CD'!M$2:M$875,'Base bordo CD'!D$2:D$875,A806,'Base bordo CD'!A$2:A$875,B806,'Base bordo CD'!L$2:L$875,"MAN CORRETIVA*"),0)+IFERROR(SUMIFS('Base bordo CD'!M$2:M$875,'Base bordo CD'!D$2:D$875,A806,'Base bordo CD'!A$2:A$875,B806,'Base bordo CD'!L$2:L$875,"AGUARDANDO MANUTENCAO*"),0)+IFERROR(SUMIFS('Base bordo CD'!M$2:M$875,'Base bordo CD'!D$2:D$875,A806,'Base bordo CD'!A$2:A$875,B806,'Base bordo CD'!L$2:L$875,"TROCA DE FAQUINHA"),0)+IFERROR(SUMIFS('Base bordo CD'!M$2:M$875,'Base bordo CD'!D$2:D$875,A806,'Base bordo CD'!A$2:A$875,B806,'Base bordo CD'!L$2:L$875,"LIMPEZA*"),0)</f>
        <v>0</v>
      </c>
      <c r="L806" s="10">
        <f>IFERROR(SUMIFS('Base bordo CD'!M$2:M$875,'Base bordo CD'!D$2:D$875,A806,'Base bordo CD'!A$2:A$875,B806,'Base bordo CD'!L$2:L$875,"PATIO - RESERVA"),0)</f>
        <v>17.108055555555556</v>
      </c>
      <c r="M806" s="10">
        <f>IFERROR(SUMIFS('Base bordo CD'!M$2:M$875,'Base bordo CD'!D$2:D$875,A806,'Base bordo CD'!A$2:A$875,B806,'Base bordo CD'!L$2:L$875,"SEM APONTAMENTO"),0)</f>
        <v>0</v>
      </c>
      <c r="N806" s="10">
        <f>IFERROR(SUMIFS('Base bordo CD'!M$2:M$875,'Base bordo CD'!D$2:D$875,A806,'Base bordo CD'!A$2:A$875,B806,'Base bordo CD'!L$2:L$875,"FALTA DE CAMINHÃO"),0)+IFERROR(SUMIFS('Base bordo CD'!M$2:M$875,'Base bordo CD'!D$2:D$875,A806,'Base bordo CD'!A$2:A$875,B806,'Base bordo CD'!L$2:L$875,"FALTA DE COMBUSTIVEL"),0)+IFERROR(SUMIFS('Base bordo CD'!M$2:M$875,'Base bordo CD'!D$2:D$875,A806,'Base bordo CD'!A$2:A$875,B806,'Base bordo CD'!L$2:L$875,"FALTA DE MOTORIST*"),0)</f>
        <v>0</v>
      </c>
      <c r="O806" s="10">
        <f t="shared" si="65"/>
        <v>0</v>
      </c>
      <c r="P806" s="10">
        <f>IFERROR(SUMIFS('Base bordo CD'!M$2:M$875,'Base bordo CD'!D$2:D$875,A806,'Base bordo CD'!A$2:A$875,B806),0)</f>
        <v>24</v>
      </c>
      <c r="Q806" s="10">
        <f>IFERROR(SUMIFS('Base bordo CD'!O$2:O$875,'Base bordo CD'!D$2:D$875,A806,'Base bordo CD'!A$2:A$875,B806,'Base bordo CD'!L$2:L$875,"CORTE DE CANA MECANIZADO"),0)</f>
        <v>0</v>
      </c>
      <c r="R806" s="10">
        <f>IFERROR(SUMIFS('Base bordo CD'!Q$2:Q$875,'Base bordo CD'!D$2:D$875,A806,'Base bordo CD'!A$2:A$875,B806,'Base bordo CD'!L$2:L$875,"CORTE DE CANA MECANIZADO"),0)</f>
        <v>0</v>
      </c>
      <c r="S806" s="30" t="str">
        <f t="shared" si="66"/>
        <v/>
      </c>
      <c r="T806" s="9">
        <f t="shared" si="67"/>
        <v>0</v>
      </c>
      <c r="U806" s="9">
        <f t="shared" si="68"/>
        <v>0</v>
      </c>
      <c r="V806" s="9">
        <f t="shared" si="69"/>
        <v>0.99589120370370365</v>
      </c>
    </row>
    <row r="807" spans="1:22" hidden="1" x14ac:dyDescent="0.35">
      <c r="A807" s="52">
        <v>49591</v>
      </c>
      <c r="B807" s="31">
        <v>46118</v>
      </c>
      <c r="C807" s="7" t="s">
        <v>364</v>
      </c>
      <c r="D807" s="7">
        <v>352</v>
      </c>
      <c r="E807" s="10">
        <f>IFERROR(SUMIFS('Base bordo CD'!M$2:M$875,'Base bordo CD'!D$2:D$875,A807,'Base bordo CD'!A$2:A$875,B807,'Base bordo CD'!L$2:L$875,"CORTE DE CANA MECANIZADO"),0)</f>
        <v>0</v>
      </c>
      <c r="F807" s="10">
        <f>IFERROR(SUMIFS('Base bordo CD'!M$2:M$875,'Base bordo CD'!D$2:D$875,A807,'Base bordo CD'!A$2:A$875,B807,'Base bordo CD'!L$2:L$875,"MANOBRA"),0)</f>
        <v>0</v>
      </c>
      <c r="G807" s="10">
        <f>IFERROR(SUMIFS('Base bordo CD'!M$2:M$875,'Base bordo CD'!D$2:D$875,A807,'Base bordo CD'!A$2:A$875,B807,'Base bordo CD'!L$2:L$875,"DESLOCAMENTO"),0)</f>
        <v>9.8611111111111122E-2</v>
      </c>
      <c r="H807" s="10">
        <f>IFERROR(SUMIFS('Base bordo CD'!M$2:M$875,'Base bordo CD'!D$2:D$875,A807,'Base bordo CD'!A$2:A$875,B807,'Base bordo CD'!L$2:L$875,"AGUARDANDO MANOBRA DE TRANSBORDO"),0)+IFERROR(SUMIFS('Base bordo CD'!M$2:M$875,'Base bordo CD'!D$2:D$875,A807,'Base bordo CD'!A$2:A$875,B807,'Base bordo CD'!L$2:L$875,"FALTA DE TRANSBORDO"),0)</f>
        <v>0</v>
      </c>
      <c r="I807" s="10">
        <f>IFERROR(SUMIFS('Base bordo CD'!M$2:M$875,'Base bordo CD'!D$2:D$875,A807,'Base bordo CD'!A$2:A$875,B807,'Base bordo CD'!L$2:L$875,"PARADA POR CONDICOES CLIMATICAS"),0)+IFERROR(SUMIFS('Base bordo CD'!M$2:M$875,'Base bordo CD'!D$2:D$875,A807,'Base bordo CD'!A$2:A$875,B807,'Base bordo CD'!L$2:L$875,"TEMPO INDETERMINADO"),0)</f>
        <v>6.793333333333333</v>
      </c>
      <c r="J807" s="10">
        <f>IFERROR(SUMIFS('Base bordo CD'!M$2:M$875,'Base bordo CD'!D$2:D$875,A807,'Base bordo CD'!A$2:A$875,B807,'Base bordo CD'!L$2:L$875,"LIMITAÇÃO INDÚSTRIA"),0)</f>
        <v>0</v>
      </c>
      <c r="K807" s="10">
        <f>IFERROR(SUMIFS('Base bordo CD'!M$2:M$875,'Base bordo CD'!D$2:D$875,A807,'Base bordo CD'!A$2:A$875,B807,'Base bordo CD'!L$2:L$875,"MAN CORRETIVA*"),0)+IFERROR(SUMIFS('Base bordo CD'!M$2:M$875,'Base bordo CD'!D$2:D$875,A807,'Base bordo CD'!A$2:A$875,B807,'Base bordo CD'!L$2:L$875,"AGUARDANDO MANUTENCAO*"),0)+IFERROR(SUMIFS('Base bordo CD'!M$2:M$875,'Base bordo CD'!D$2:D$875,A807,'Base bordo CD'!A$2:A$875,B807,'Base bordo CD'!L$2:L$875,"TROCA DE FAQUINHA"),0)+IFERROR(SUMIFS('Base bordo CD'!M$2:M$875,'Base bordo CD'!D$2:D$875,A807,'Base bordo CD'!A$2:A$875,B807,'Base bordo CD'!L$2:L$875,"LIMPEZA*"),0)</f>
        <v>0</v>
      </c>
      <c r="L807" s="10">
        <f>IFERROR(SUMIFS('Base bordo CD'!M$2:M$875,'Base bordo CD'!D$2:D$875,A807,'Base bordo CD'!A$2:A$875,B807,'Base bordo CD'!L$2:L$875,"PATIO - RESERVA"),0)</f>
        <v>17.108055555555556</v>
      </c>
      <c r="M807" s="10">
        <f>IFERROR(SUMIFS('Base bordo CD'!M$2:M$875,'Base bordo CD'!D$2:D$875,A807,'Base bordo CD'!A$2:A$875,B807,'Base bordo CD'!L$2:L$875,"SEM APONTAMENTO"),0)</f>
        <v>0</v>
      </c>
      <c r="N807" s="10">
        <f>IFERROR(SUMIFS('Base bordo CD'!M$2:M$875,'Base bordo CD'!D$2:D$875,A807,'Base bordo CD'!A$2:A$875,B807,'Base bordo CD'!L$2:L$875,"FALTA DE CAMINHÃO"),0)+IFERROR(SUMIFS('Base bordo CD'!M$2:M$875,'Base bordo CD'!D$2:D$875,A807,'Base bordo CD'!A$2:A$875,B807,'Base bordo CD'!L$2:L$875,"FALTA DE COMBUSTIVEL"),0)+IFERROR(SUMIFS('Base bordo CD'!M$2:M$875,'Base bordo CD'!D$2:D$875,A807,'Base bordo CD'!A$2:A$875,B807,'Base bordo CD'!L$2:L$875,"FALTA DE MOTORIST*"),0)</f>
        <v>0</v>
      </c>
      <c r="O807" s="10">
        <f t="shared" si="65"/>
        <v>0</v>
      </c>
      <c r="P807" s="10">
        <f>IFERROR(SUMIFS('Base bordo CD'!M$2:M$875,'Base bordo CD'!D$2:D$875,A807,'Base bordo CD'!A$2:A$875,B807),0)</f>
        <v>24</v>
      </c>
      <c r="Q807" s="10">
        <f>IFERROR(SUMIFS('Base bordo CD'!O$2:O$875,'Base bordo CD'!D$2:D$875,A807,'Base bordo CD'!A$2:A$875,B807,'Base bordo CD'!L$2:L$875,"CORTE DE CANA MECANIZADO"),0)</f>
        <v>0</v>
      </c>
      <c r="R807" s="10">
        <f>IFERROR(SUMIFS('Base bordo CD'!Q$2:Q$875,'Base bordo CD'!D$2:D$875,A807,'Base bordo CD'!A$2:A$875,B807,'Base bordo CD'!L$2:L$875,"CORTE DE CANA MECANIZADO"),0)</f>
        <v>0</v>
      </c>
      <c r="S807" s="30" t="str">
        <f t="shared" si="66"/>
        <v/>
      </c>
      <c r="T807" s="9">
        <f t="shared" si="67"/>
        <v>0</v>
      </c>
      <c r="U807" s="9">
        <f t="shared" si="68"/>
        <v>0</v>
      </c>
      <c r="V807" s="9">
        <f t="shared" si="69"/>
        <v>0.99589120370370365</v>
      </c>
    </row>
    <row r="808" spans="1:22" hidden="1" x14ac:dyDescent="0.35">
      <c r="A808" s="52">
        <v>49592</v>
      </c>
      <c r="B808" s="31">
        <v>46118</v>
      </c>
      <c r="C808" s="7" t="s">
        <v>364</v>
      </c>
      <c r="D808" s="7">
        <v>352</v>
      </c>
      <c r="E808" s="10">
        <f>IFERROR(SUMIFS('Base bordo CD'!M$2:M$875,'Base bordo CD'!D$2:D$875,A808,'Base bordo CD'!A$2:A$875,B808,'Base bordo CD'!L$2:L$875,"CORTE DE CANA MECANIZADO"),0)</f>
        <v>7.0425000000000004</v>
      </c>
      <c r="F808" s="10">
        <f>IFERROR(SUMIFS('Base bordo CD'!M$2:M$875,'Base bordo CD'!D$2:D$875,A808,'Base bordo CD'!A$2:A$875,B808,'Base bordo CD'!L$2:L$875,"MANOBRA"),0)</f>
        <v>2.6930555555555555</v>
      </c>
      <c r="G808" s="10">
        <f>IFERROR(SUMIFS('Base bordo CD'!M$2:M$875,'Base bordo CD'!D$2:D$875,A808,'Base bordo CD'!A$2:A$875,B808,'Base bordo CD'!L$2:L$875,"DESLOCAMENTO"),0)</f>
        <v>0.34361111111111109</v>
      </c>
      <c r="H808" s="10">
        <f>IFERROR(SUMIFS('Base bordo CD'!M$2:M$875,'Base bordo CD'!D$2:D$875,A808,'Base bordo CD'!A$2:A$875,B808,'Base bordo CD'!L$2:L$875,"AGUARDANDO MANOBRA DE TRANSBORDO"),0)+IFERROR(SUMIFS('Base bordo CD'!M$2:M$875,'Base bordo CD'!D$2:D$875,A808,'Base bordo CD'!A$2:A$875,B808,'Base bordo CD'!L$2:L$875,"FALTA DE TRANSBORDO"),0)</f>
        <v>0.17194444444444446</v>
      </c>
      <c r="I808" s="10">
        <f>IFERROR(SUMIFS('Base bordo CD'!M$2:M$875,'Base bordo CD'!D$2:D$875,A808,'Base bordo CD'!A$2:A$875,B808,'Base bordo CD'!L$2:L$875,"PARADA POR CONDICOES CLIMATICAS"),0)+IFERROR(SUMIFS('Base bordo CD'!M$2:M$875,'Base bordo CD'!D$2:D$875,A808,'Base bordo CD'!A$2:A$875,B808,'Base bordo CD'!L$2:L$875,"TEMPO INDETERMINADO"),0)</f>
        <v>6.6961111111111107</v>
      </c>
      <c r="J808" s="10">
        <f>IFERROR(SUMIFS('Base bordo CD'!M$2:M$875,'Base bordo CD'!D$2:D$875,A808,'Base bordo CD'!A$2:A$875,B808,'Base bordo CD'!L$2:L$875,"LIMITAÇÃO INDÚSTRIA"),0)</f>
        <v>2.7225000000000001</v>
      </c>
      <c r="K808" s="10">
        <f>IFERROR(SUMIFS('Base bordo CD'!M$2:M$875,'Base bordo CD'!D$2:D$875,A808,'Base bordo CD'!A$2:A$875,B808,'Base bordo CD'!L$2:L$875,"MAN CORRETIVA*"),0)+IFERROR(SUMIFS('Base bordo CD'!M$2:M$875,'Base bordo CD'!D$2:D$875,A808,'Base bordo CD'!A$2:A$875,B808,'Base bordo CD'!L$2:L$875,"AGUARDANDO MANUTENCAO*"),0)+IFERROR(SUMIFS('Base bordo CD'!M$2:M$875,'Base bordo CD'!D$2:D$875,A808,'Base bordo CD'!A$2:A$875,B808,'Base bordo CD'!L$2:L$875,"TROCA DE FAQUINHA"),0)+IFERROR(SUMIFS('Base bordo CD'!M$2:M$875,'Base bordo CD'!D$2:D$875,A808,'Base bordo CD'!A$2:A$875,B808,'Base bordo CD'!L$2:L$875,"LIMPEZA*"),0)</f>
        <v>3.5013888888888891</v>
      </c>
      <c r="L808" s="10">
        <f>IFERROR(SUMIFS('Base bordo CD'!M$2:M$875,'Base bordo CD'!D$2:D$875,A808,'Base bordo CD'!A$2:A$875,B808,'Base bordo CD'!L$2:L$875,"PATIO - RESERVA"),0)</f>
        <v>0</v>
      </c>
      <c r="M808" s="10">
        <f>IFERROR(SUMIFS('Base bordo CD'!M$2:M$875,'Base bordo CD'!D$2:D$875,A808,'Base bordo CD'!A$2:A$875,B808,'Base bordo CD'!L$2:L$875,"SEM APONTAMENTO"),0)</f>
        <v>0.11166666666666666</v>
      </c>
      <c r="N808" s="10">
        <f>IFERROR(SUMIFS('Base bordo CD'!M$2:M$875,'Base bordo CD'!D$2:D$875,A808,'Base bordo CD'!A$2:A$875,B808,'Base bordo CD'!L$2:L$875,"FALTA DE CAMINHÃO"),0)+IFERROR(SUMIFS('Base bordo CD'!M$2:M$875,'Base bordo CD'!D$2:D$875,A808,'Base bordo CD'!A$2:A$875,B808,'Base bordo CD'!L$2:L$875,"FALTA DE COMBUSTIVEL"),0)+IFERROR(SUMIFS('Base bordo CD'!M$2:M$875,'Base bordo CD'!D$2:D$875,A808,'Base bordo CD'!A$2:A$875,B808,'Base bordo CD'!L$2:L$875,"FALTA DE MOTORIST*"),0)</f>
        <v>0.57388888888888889</v>
      </c>
      <c r="O808" s="10">
        <f t="shared" si="65"/>
        <v>0.14333333333333442</v>
      </c>
      <c r="P808" s="10">
        <f>IFERROR(SUMIFS('Base bordo CD'!M$2:M$875,'Base bordo CD'!D$2:D$875,A808,'Base bordo CD'!A$2:A$875,B808),0)</f>
        <v>24.000000000000004</v>
      </c>
      <c r="Q808" s="10">
        <f>IFERROR(SUMIFS('Base bordo CD'!O$2:O$875,'Base bordo CD'!D$2:D$875,A808,'Base bordo CD'!A$2:A$875,B808,'Base bordo CD'!L$2:L$875,"CORTE DE CANA MECANIZADO"),0)</f>
        <v>89359.05</v>
      </c>
      <c r="R808" s="10">
        <f>IFERROR(SUMIFS('Base bordo CD'!Q$2:Q$875,'Base bordo CD'!D$2:D$875,A808,'Base bordo CD'!A$2:A$875,B808,'Base bordo CD'!L$2:L$875,"CORTE DE CANA MECANIZADO"),0)</f>
        <v>25353</v>
      </c>
      <c r="S808" s="30">
        <f t="shared" si="66"/>
        <v>3.5245947225180454</v>
      </c>
      <c r="T808" s="9">
        <f t="shared" si="67"/>
        <v>0.29343749999999996</v>
      </c>
      <c r="U808" s="9">
        <f t="shared" si="68"/>
        <v>0.11221064814814813</v>
      </c>
      <c r="V808" s="9">
        <f t="shared" si="69"/>
        <v>0.69224537037037037</v>
      </c>
    </row>
    <row r="809" spans="1:22" hidden="1" x14ac:dyDescent="0.35">
      <c r="A809" s="52">
        <v>49592</v>
      </c>
      <c r="B809" s="31">
        <v>46118</v>
      </c>
      <c r="C809" s="7" t="s">
        <v>364</v>
      </c>
      <c r="D809" s="7">
        <v>352</v>
      </c>
      <c r="E809" s="10">
        <f>IFERROR(SUMIFS('Base bordo CD'!M$2:M$875,'Base bordo CD'!D$2:D$875,A809,'Base bordo CD'!A$2:A$875,B809,'Base bordo CD'!L$2:L$875,"CORTE DE CANA MECANIZADO"),0)</f>
        <v>7.0425000000000004</v>
      </c>
      <c r="F809" s="10">
        <f>IFERROR(SUMIFS('Base bordo CD'!M$2:M$875,'Base bordo CD'!D$2:D$875,A809,'Base bordo CD'!A$2:A$875,B809,'Base bordo CD'!L$2:L$875,"MANOBRA"),0)</f>
        <v>2.6930555555555555</v>
      </c>
      <c r="G809" s="10">
        <f>IFERROR(SUMIFS('Base bordo CD'!M$2:M$875,'Base bordo CD'!D$2:D$875,A809,'Base bordo CD'!A$2:A$875,B809,'Base bordo CD'!L$2:L$875,"DESLOCAMENTO"),0)</f>
        <v>0.34361111111111109</v>
      </c>
      <c r="H809" s="10">
        <f>IFERROR(SUMIFS('Base bordo CD'!M$2:M$875,'Base bordo CD'!D$2:D$875,A809,'Base bordo CD'!A$2:A$875,B809,'Base bordo CD'!L$2:L$875,"AGUARDANDO MANOBRA DE TRANSBORDO"),0)+IFERROR(SUMIFS('Base bordo CD'!M$2:M$875,'Base bordo CD'!D$2:D$875,A809,'Base bordo CD'!A$2:A$875,B809,'Base bordo CD'!L$2:L$875,"FALTA DE TRANSBORDO"),0)</f>
        <v>0.17194444444444446</v>
      </c>
      <c r="I809" s="10">
        <f>IFERROR(SUMIFS('Base bordo CD'!M$2:M$875,'Base bordo CD'!D$2:D$875,A809,'Base bordo CD'!A$2:A$875,B809,'Base bordo CD'!L$2:L$875,"PARADA POR CONDICOES CLIMATICAS"),0)+IFERROR(SUMIFS('Base bordo CD'!M$2:M$875,'Base bordo CD'!D$2:D$875,A809,'Base bordo CD'!A$2:A$875,B809,'Base bordo CD'!L$2:L$875,"TEMPO INDETERMINADO"),0)</f>
        <v>6.6961111111111107</v>
      </c>
      <c r="J809" s="10">
        <f>IFERROR(SUMIFS('Base bordo CD'!M$2:M$875,'Base bordo CD'!D$2:D$875,A809,'Base bordo CD'!A$2:A$875,B809,'Base bordo CD'!L$2:L$875,"LIMITAÇÃO INDÚSTRIA"),0)</f>
        <v>2.7225000000000001</v>
      </c>
      <c r="K809" s="10">
        <f>IFERROR(SUMIFS('Base bordo CD'!M$2:M$875,'Base bordo CD'!D$2:D$875,A809,'Base bordo CD'!A$2:A$875,B809,'Base bordo CD'!L$2:L$875,"MAN CORRETIVA*"),0)+IFERROR(SUMIFS('Base bordo CD'!M$2:M$875,'Base bordo CD'!D$2:D$875,A809,'Base bordo CD'!A$2:A$875,B809,'Base bordo CD'!L$2:L$875,"AGUARDANDO MANUTENCAO*"),0)+IFERROR(SUMIFS('Base bordo CD'!M$2:M$875,'Base bordo CD'!D$2:D$875,A809,'Base bordo CD'!A$2:A$875,B809,'Base bordo CD'!L$2:L$875,"TROCA DE FAQUINHA"),0)+IFERROR(SUMIFS('Base bordo CD'!M$2:M$875,'Base bordo CD'!D$2:D$875,A809,'Base bordo CD'!A$2:A$875,B809,'Base bordo CD'!L$2:L$875,"LIMPEZA*"),0)</f>
        <v>3.5013888888888891</v>
      </c>
      <c r="L809" s="10">
        <f>IFERROR(SUMIFS('Base bordo CD'!M$2:M$875,'Base bordo CD'!D$2:D$875,A809,'Base bordo CD'!A$2:A$875,B809,'Base bordo CD'!L$2:L$875,"PATIO - RESERVA"),0)</f>
        <v>0</v>
      </c>
      <c r="M809" s="10">
        <f>IFERROR(SUMIFS('Base bordo CD'!M$2:M$875,'Base bordo CD'!D$2:D$875,A809,'Base bordo CD'!A$2:A$875,B809,'Base bordo CD'!L$2:L$875,"SEM APONTAMENTO"),0)</f>
        <v>0.11166666666666666</v>
      </c>
      <c r="N809" s="10">
        <f>IFERROR(SUMIFS('Base bordo CD'!M$2:M$875,'Base bordo CD'!D$2:D$875,A809,'Base bordo CD'!A$2:A$875,B809,'Base bordo CD'!L$2:L$875,"FALTA DE CAMINHÃO"),0)+IFERROR(SUMIFS('Base bordo CD'!M$2:M$875,'Base bordo CD'!D$2:D$875,A809,'Base bordo CD'!A$2:A$875,B809,'Base bordo CD'!L$2:L$875,"FALTA DE COMBUSTIVEL"),0)+IFERROR(SUMIFS('Base bordo CD'!M$2:M$875,'Base bordo CD'!D$2:D$875,A809,'Base bordo CD'!A$2:A$875,B809,'Base bordo CD'!L$2:L$875,"FALTA DE MOTORIST*"),0)</f>
        <v>0.57388888888888889</v>
      </c>
      <c r="O809" s="10">
        <f t="shared" si="65"/>
        <v>0.14333333333333442</v>
      </c>
      <c r="P809" s="10">
        <f>IFERROR(SUMIFS('Base bordo CD'!M$2:M$875,'Base bordo CD'!D$2:D$875,A809,'Base bordo CD'!A$2:A$875,B809),0)</f>
        <v>24.000000000000004</v>
      </c>
      <c r="Q809" s="10">
        <f>IFERROR(SUMIFS('Base bordo CD'!O$2:O$875,'Base bordo CD'!D$2:D$875,A809,'Base bordo CD'!A$2:A$875,B809,'Base bordo CD'!L$2:L$875,"CORTE DE CANA MECANIZADO"),0)</f>
        <v>89359.05</v>
      </c>
      <c r="R809" s="10">
        <f>IFERROR(SUMIFS('Base bordo CD'!Q$2:Q$875,'Base bordo CD'!D$2:D$875,A809,'Base bordo CD'!A$2:A$875,B809,'Base bordo CD'!L$2:L$875,"CORTE DE CANA MECANIZADO"),0)</f>
        <v>25353</v>
      </c>
      <c r="S809" s="30">
        <f t="shared" si="66"/>
        <v>3.5245947225180454</v>
      </c>
      <c r="T809" s="9">
        <f t="shared" si="67"/>
        <v>0.29343749999999996</v>
      </c>
      <c r="U809" s="9">
        <f t="shared" si="68"/>
        <v>0.11221064814814813</v>
      </c>
      <c r="V809" s="9">
        <f t="shared" si="69"/>
        <v>0.69224537037037037</v>
      </c>
    </row>
    <row r="810" spans="1:22" hidden="1" x14ac:dyDescent="0.35">
      <c r="A810" s="52">
        <v>49592</v>
      </c>
      <c r="B810" s="31">
        <v>46118</v>
      </c>
      <c r="C810" s="7" t="s">
        <v>364</v>
      </c>
      <c r="D810" s="7">
        <v>352</v>
      </c>
      <c r="E810" s="10">
        <f>IFERROR(SUMIFS('Base bordo CD'!M$2:M$875,'Base bordo CD'!D$2:D$875,A810,'Base bordo CD'!A$2:A$875,B810,'Base bordo CD'!L$2:L$875,"CORTE DE CANA MECANIZADO"),0)</f>
        <v>7.0425000000000004</v>
      </c>
      <c r="F810" s="10">
        <f>IFERROR(SUMIFS('Base bordo CD'!M$2:M$875,'Base bordo CD'!D$2:D$875,A810,'Base bordo CD'!A$2:A$875,B810,'Base bordo CD'!L$2:L$875,"MANOBRA"),0)</f>
        <v>2.6930555555555555</v>
      </c>
      <c r="G810" s="10">
        <f>IFERROR(SUMIFS('Base bordo CD'!M$2:M$875,'Base bordo CD'!D$2:D$875,A810,'Base bordo CD'!A$2:A$875,B810,'Base bordo CD'!L$2:L$875,"DESLOCAMENTO"),0)</f>
        <v>0.34361111111111109</v>
      </c>
      <c r="H810" s="10">
        <f>IFERROR(SUMIFS('Base bordo CD'!M$2:M$875,'Base bordo CD'!D$2:D$875,A810,'Base bordo CD'!A$2:A$875,B810,'Base bordo CD'!L$2:L$875,"AGUARDANDO MANOBRA DE TRANSBORDO"),0)+IFERROR(SUMIFS('Base bordo CD'!M$2:M$875,'Base bordo CD'!D$2:D$875,A810,'Base bordo CD'!A$2:A$875,B810,'Base bordo CD'!L$2:L$875,"FALTA DE TRANSBORDO"),0)</f>
        <v>0.17194444444444446</v>
      </c>
      <c r="I810" s="10">
        <f>IFERROR(SUMIFS('Base bordo CD'!M$2:M$875,'Base bordo CD'!D$2:D$875,A810,'Base bordo CD'!A$2:A$875,B810,'Base bordo CD'!L$2:L$875,"PARADA POR CONDICOES CLIMATICAS"),0)+IFERROR(SUMIFS('Base bordo CD'!M$2:M$875,'Base bordo CD'!D$2:D$875,A810,'Base bordo CD'!A$2:A$875,B810,'Base bordo CD'!L$2:L$875,"TEMPO INDETERMINADO"),0)</f>
        <v>6.6961111111111107</v>
      </c>
      <c r="J810" s="10">
        <f>IFERROR(SUMIFS('Base bordo CD'!M$2:M$875,'Base bordo CD'!D$2:D$875,A810,'Base bordo CD'!A$2:A$875,B810,'Base bordo CD'!L$2:L$875,"LIMITAÇÃO INDÚSTRIA"),0)</f>
        <v>2.7225000000000001</v>
      </c>
      <c r="K810" s="10">
        <f>IFERROR(SUMIFS('Base bordo CD'!M$2:M$875,'Base bordo CD'!D$2:D$875,A810,'Base bordo CD'!A$2:A$875,B810,'Base bordo CD'!L$2:L$875,"MAN CORRETIVA*"),0)+IFERROR(SUMIFS('Base bordo CD'!M$2:M$875,'Base bordo CD'!D$2:D$875,A810,'Base bordo CD'!A$2:A$875,B810,'Base bordo CD'!L$2:L$875,"AGUARDANDO MANUTENCAO*"),0)+IFERROR(SUMIFS('Base bordo CD'!M$2:M$875,'Base bordo CD'!D$2:D$875,A810,'Base bordo CD'!A$2:A$875,B810,'Base bordo CD'!L$2:L$875,"TROCA DE FAQUINHA"),0)+IFERROR(SUMIFS('Base bordo CD'!M$2:M$875,'Base bordo CD'!D$2:D$875,A810,'Base bordo CD'!A$2:A$875,B810,'Base bordo CD'!L$2:L$875,"LIMPEZA*"),0)</f>
        <v>3.5013888888888891</v>
      </c>
      <c r="L810" s="10">
        <f>IFERROR(SUMIFS('Base bordo CD'!M$2:M$875,'Base bordo CD'!D$2:D$875,A810,'Base bordo CD'!A$2:A$875,B810,'Base bordo CD'!L$2:L$875,"PATIO - RESERVA"),0)</f>
        <v>0</v>
      </c>
      <c r="M810" s="10">
        <f>IFERROR(SUMIFS('Base bordo CD'!M$2:M$875,'Base bordo CD'!D$2:D$875,A810,'Base bordo CD'!A$2:A$875,B810,'Base bordo CD'!L$2:L$875,"SEM APONTAMENTO"),0)</f>
        <v>0.11166666666666666</v>
      </c>
      <c r="N810" s="10">
        <f>IFERROR(SUMIFS('Base bordo CD'!M$2:M$875,'Base bordo CD'!D$2:D$875,A810,'Base bordo CD'!A$2:A$875,B810,'Base bordo CD'!L$2:L$875,"FALTA DE CAMINHÃO"),0)+IFERROR(SUMIFS('Base bordo CD'!M$2:M$875,'Base bordo CD'!D$2:D$875,A810,'Base bordo CD'!A$2:A$875,B810,'Base bordo CD'!L$2:L$875,"FALTA DE COMBUSTIVEL"),0)+IFERROR(SUMIFS('Base bordo CD'!M$2:M$875,'Base bordo CD'!D$2:D$875,A810,'Base bordo CD'!A$2:A$875,B810,'Base bordo CD'!L$2:L$875,"FALTA DE MOTORIST*"),0)</f>
        <v>0.57388888888888889</v>
      </c>
      <c r="O810" s="10">
        <f t="shared" si="65"/>
        <v>0.14333333333333442</v>
      </c>
      <c r="P810" s="10">
        <f>IFERROR(SUMIFS('Base bordo CD'!M$2:M$875,'Base bordo CD'!D$2:D$875,A810,'Base bordo CD'!A$2:A$875,B810),0)</f>
        <v>24.000000000000004</v>
      </c>
      <c r="Q810" s="10">
        <f>IFERROR(SUMIFS('Base bordo CD'!O$2:O$875,'Base bordo CD'!D$2:D$875,A810,'Base bordo CD'!A$2:A$875,B810,'Base bordo CD'!L$2:L$875,"CORTE DE CANA MECANIZADO"),0)</f>
        <v>89359.05</v>
      </c>
      <c r="R810" s="10">
        <f>IFERROR(SUMIFS('Base bordo CD'!Q$2:Q$875,'Base bordo CD'!D$2:D$875,A810,'Base bordo CD'!A$2:A$875,B810,'Base bordo CD'!L$2:L$875,"CORTE DE CANA MECANIZADO"),0)</f>
        <v>25353</v>
      </c>
      <c r="S810" s="30">
        <f t="shared" si="66"/>
        <v>3.5245947225180454</v>
      </c>
      <c r="T810" s="9">
        <f t="shared" si="67"/>
        <v>0.29343749999999996</v>
      </c>
      <c r="U810" s="9">
        <f t="shared" si="68"/>
        <v>0.11221064814814813</v>
      </c>
      <c r="V810" s="9">
        <f t="shared" si="69"/>
        <v>0.69224537037037037</v>
      </c>
    </row>
    <row r="811" spans="1:22" hidden="1" x14ac:dyDescent="0.35">
      <c r="A811" s="52">
        <v>49592</v>
      </c>
      <c r="B811" s="31">
        <v>46118</v>
      </c>
      <c r="C811" s="7" t="s">
        <v>364</v>
      </c>
      <c r="D811" s="7">
        <v>352</v>
      </c>
      <c r="E811" s="10">
        <f>IFERROR(SUMIFS('Base bordo CD'!M$2:M$875,'Base bordo CD'!D$2:D$875,A811,'Base bordo CD'!A$2:A$875,B811,'Base bordo CD'!L$2:L$875,"CORTE DE CANA MECANIZADO"),0)</f>
        <v>7.0425000000000004</v>
      </c>
      <c r="F811" s="10">
        <f>IFERROR(SUMIFS('Base bordo CD'!M$2:M$875,'Base bordo CD'!D$2:D$875,A811,'Base bordo CD'!A$2:A$875,B811,'Base bordo CD'!L$2:L$875,"MANOBRA"),0)</f>
        <v>2.6930555555555555</v>
      </c>
      <c r="G811" s="10">
        <f>IFERROR(SUMIFS('Base bordo CD'!M$2:M$875,'Base bordo CD'!D$2:D$875,A811,'Base bordo CD'!A$2:A$875,B811,'Base bordo CD'!L$2:L$875,"DESLOCAMENTO"),0)</f>
        <v>0.34361111111111109</v>
      </c>
      <c r="H811" s="10">
        <f>IFERROR(SUMIFS('Base bordo CD'!M$2:M$875,'Base bordo CD'!D$2:D$875,A811,'Base bordo CD'!A$2:A$875,B811,'Base bordo CD'!L$2:L$875,"AGUARDANDO MANOBRA DE TRANSBORDO"),0)+IFERROR(SUMIFS('Base bordo CD'!M$2:M$875,'Base bordo CD'!D$2:D$875,A811,'Base bordo CD'!A$2:A$875,B811,'Base bordo CD'!L$2:L$875,"FALTA DE TRANSBORDO"),0)</f>
        <v>0.17194444444444446</v>
      </c>
      <c r="I811" s="10">
        <f>IFERROR(SUMIFS('Base bordo CD'!M$2:M$875,'Base bordo CD'!D$2:D$875,A811,'Base bordo CD'!A$2:A$875,B811,'Base bordo CD'!L$2:L$875,"PARADA POR CONDICOES CLIMATICAS"),0)+IFERROR(SUMIFS('Base bordo CD'!M$2:M$875,'Base bordo CD'!D$2:D$875,A811,'Base bordo CD'!A$2:A$875,B811,'Base bordo CD'!L$2:L$875,"TEMPO INDETERMINADO"),0)</f>
        <v>6.6961111111111107</v>
      </c>
      <c r="J811" s="10">
        <f>IFERROR(SUMIFS('Base bordo CD'!M$2:M$875,'Base bordo CD'!D$2:D$875,A811,'Base bordo CD'!A$2:A$875,B811,'Base bordo CD'!L$2:L$875,"LIMITAÇÃO INDÚSTRIA"),0)</f>
        <v>2.7225000000000001</v>
      </c>
      <c r="K811" s="10">
        <f>IFERROR(SUMIFS('Base bordo CD'!M$2:M$875,'Base bordo CD'!D$2:D$875,A811,'Base bordo CD'!A$2:A$875,B811,'Base bordo CD'!L$2:L$875,"MAN CORRETIVA*"),0)+IFERROR(SUMIFS('Base bordo CD'!M$2:M$875,'Base bordo CD'!D$2:D$875,A811,'Base bordo CD'!A$2:A$875,B811,'Base bordo CD'!L$2:L$875,"AGUARDANDO MANUTENCAO*"),0)+IFERROR(SUMIFS('Base bordo CD'!M$2:M$875,'Base bordo CD'!D$2:D$875,A811,'Base bordo CD'!A$2:A$875,B811,'Base bordo CD'!L$2:L$875,"TROCA DE FAQUINHA"),0)+IFERROR(SUMIFS('Base bordo CD'!M$2:M$875,'Base bordo CD'!D$2:D$875,A811,'Base bordo CD'!A$2:A$875,B811,'Base bordo CD'!L$2:L$875,"LIMPEZA*"),0)</f>
        <v>3.5013888888888891</v>
      </c>
      <c r="L811" s="10">
        <f>IFERROR(SUMIFS('Base bordo CD'!M$2:M$875,'Base bordo CD'!D$2:D$875,A811,'Base bordo CD'!A$2:A$875,B811,'Base bordo CD'!L$2:L$875,"PATIO - RESERVA"),0)</f>
        <v>0</v>
      </c>
      <c r="M811" s="10">
        <f>IFERROR(SUMIFS('Base bordo CD'!M$2:M$875,'Base bordo CD'!D$2:D$875,A811,'Base bordo CD'!A$2:A$875,B811,'Base bordo CD'!L$2:L$875,"SEM APONTAMENTO"),0)</f>
        <v>0.11166666666666666</v>
      </c>
      <c r="N811" s="10">
        <f>IFERROR(SUMIFS('Base bordo CD'!M$2:M$875,'Base bordo CD'!D$2:D$875,A811,'Base bordo CD'!A$2:A$875,B811,'Base bordo CD'!L$2:L$875,"FALTA DE CAMINHÃO"),0)+IFERROR(SUMIFS('Base bordo CD'!M$2:M$875,'Base bordo CD'!D$2:D$875,A811,'Base bordo CD'!A$2:A$875,B811,'Base bordo CD'!L$2:L$875,"FALTA DE COMBUSTIVEL"),0)+IFERROR(SUMIFS('Base bordo CD'!M$2:M$875,'Base bordo CD'!D$2:D$875,A811,'Base bordo CD'!A$2:A$875,B811,'Base bordo CD'!L$2:L$875,"FALTA DE MOTORIST*"),0)</f>
        <v>0.57388888888888889</v>
      </c>
      <c r="O811" s="10">
        <f t="shared" si="65"/>
        <v>0.14333333333333442</v>
      </c>
      <c r="P811" s="10">
        <f>IFERROR(SUMIFS('Base bordo CD'!M$2:M$875,'Base bordo CD'!D$2:D$875,A811,'Base bordo CD'!A$2:A$875,B811),0)</f>
        <v>24.000000000000004</v>
      </c>
      <c r="Q811" s="10">
        <f>IFERROR(SUMIFS('Base bordo CD'!O$2:O$875,'Base bordo CD'!D$2:D$875,A811,'Base bordo CD'!A$2:A$875,B811,'Base bordo CD'!L$2:L$875,"CORTE DE CANA MECANIZADO"),0)</f>
        <v>89359.05</v>
      </c>
      <c r="R811" s="10">
        <f>IFERROR(SUMIFS('Base bordo CD'!Q$2:Q$875,'Base bordo CD'!D$2:D$875,A811,'Base bordo CD'!A$2:A$875,B811,'Base bordo CD'!L$2:L$875,"CORTE DE CANA MECANIZADO"),0)</f>
        <v>25353</v>
      </c>
      <c r="S811" s="30">
        <f t="shared" si="66"/>
        <v>3.5245947225180454</v>
      </c>
      <c r="T811" s="9">
        <f t="shared" si="67"/>
        <v>0.29343749999999996</v>
      </c>
      <c r="U811" s="9">
        <f t="shared" si="68"/>
        <v>0.11221064814814813</v>
      </c>
      <c r="V811" s="9">
        <f t="shared" si="69"/>
        <v>0.69224537037037037</v>
      </c>
    </row>
    <row r="812" spans="1:22" hidden="1" x14ac:dyDescent="0.35">
      <c r="A812" s="52">
        <v>49592</v>
      </c>
      <c r="B812" s="31">
        <v>46118</v>
      </c>
      <c r="C812" s="7" t="s">
        <v>364</v>
      </c>
      <c r="D812" s="7">
        <v>352</v>
      </c>
      <c r="E812" s="10">
        <f>IFERROR(SUMIFS('Base bordo CD'!M$2:M$875,'Base bordo CD'!D$2:D$875,A812,'Base bordo CD'!A$2:A$875,B812,'Base bordo CD'!L$2:L$875,"CORTE DE CANA MECANIZADO"),0)</f>
        <v>7.0425000000000004</v>
      </c>
      <c r="F812" s="10">
        <f>IFERROR(SUMIFS('Base bordo CD'!M$2:M$875,'Base bordo CD'!D$2:D$875,A812,'Base bordo CD'!A$2:A$875,B812,'Base bordo CD'!L$2:L$875,"MANOBRA"),0)</f>
        <v>2.6930555555555555</v>
      </c>
      <c r="G812" s="10">
        <f>IFERROR(SUMIFS('Base bordo CD'!M$2:M$875,'Base bordo CD'!D$2:D$875,A812,'Base bordo CD'!A$2:A$875,B812,'Base bordo CD'!L$2:L$875,"DESLOCAMENTO"),0)</f>
        <v>0.34361111111111109</v>
      </c>
      <c r="H812" s="10">
        <f>IFERROR(SUMIFS('Base bordo CD'!M$2:M$875,'Base bordo CD'!D$2:D$875,A812,'Base bordo CD'!A$2:A$875,B812,'Base bordo CD'!L$2:L$875,"AGUARDANDO MANOBRA DE TRANSBORDO"),0)+IFERROR(SUMIFS('Base bordo CD'!M$2:M$875,'Base bordo CD'!D$2:D$875,A812,'Base bordo CD'!A$2:A$875,B812,'Base bordo CD'!L$2:L$875,"FALTA DE TRANSBORDO"),0)</f>
        <v>0.17194444444444446</v>
      </c>
      <c r="I812" s="10">
        <f>IFERROR(SUMIFS('Base bordo CD'!M$2:M$875,'Base bordo CD'!D$2:D$875,A812,'Base bordo CD'!A$2:A$875,B812,'Base bordo CD'!L$2:L$875,"PARADA POR CONDICOES CLIMATICAS"),0)+IFERROR(SUMIFS('Base bordo CD'!M$2:M$875,'Base bordo CD'!D$2:D$875,A812,'Base bordo CD'!A$2:A$875,B812,'Base bordo CD'!L$2:L$875,"TEMPO INDETERMINADO"),0)</f>
        <v>6.6961111111111107</v>
      </c>
      <c r="J812" s="10">
        <f>IFERROR(SUMIFS('Base bordo CD'!M$2:M$875,'Base bordo CD'!D$2:D$875,A812,'Base bordo CD'!A$2:A$875,B812,'Base bordo CD'!L$2:L$875,"LIMITAÇÃO INDÚSTRIA"),0)</f>
        <v>2.7225000000000001</v>
      </c>
      <c r="K812" s="10">
        <f>IFERROR(SUMIFS('Base bordo CD'!M$2:M$875,'Base bordo CD'!D$2:D$875,A812,'Base bordo CD'!A$2:A$875,B812,'Base bordo CD'!L$2:L$875,"MAN CORRETIVA*"),0)+IFERROR(SUMIFS('Base bordo CD'!M$2:M$875,'Base bordo CD'!D$2:D$875,A812,'Base bordo CD'!A$2:A$875,B812,'Base bordo CD'!L$2:L$875,"AGUARDANDO MANUTENCAO*"),0)+IFERROR(SUMIFS('Base bordo CD'!M$2:M$875,'Base bordo CD'!D$2:D$875,A812,'Base bordo CD'!A$2:A$875,B812,'Base bordo CD'!L$2:L$875,"TROCA DE FAQUINHA"),0)+IFERROR(SUMIFS('Base bordo CD'!M$2:M$875,'Base bordo CD'!D$2:D$875,A812,'Base bordo CD'!A$2:A$875,B812,'Base bordo CD'!L$2:L$875,"LIMPEZA*"),0)</f>
        <v>3.5013888888888891</v>
      </c>
      <c r="L812" s="10">
        <f>IFERROR(SUMIFS('Base bordo CD'!M$2:M$875,'Base bordo CD'!D$2:D$875,A812,'Base bordo CD'!A$2:A$875,B812,'Base bordo CD'!L$2:L$875,"PATIO - RESERVA"),0)</f>
        <v>0</v>
      </c>
      <c r="M812" s="10">
        <f>IFERROR(SUMIFS('Base bordo CD'!M$2:M$875,'Base bordo CD'!D$2:D$875,A812,'Base bordo CD'!A$2:A$875,B812,'Base bordo CD'!L$2:L$875,"SEM APONTAMENTO"),0)</f>
        <v>0.11166666666666666</v>
      </c>
      <c r="N812" s="10">
        <f>IFERROR(SUMIFS('Base bordo CD'!M$2:M$875,'Base bordo CD'!D$2:D$875,A812,'Base bordo CD'!A$2:A$875,B812,'Base bordo CD'!L$2:L$875,"FALTA DE CAMINHÃO"),0)+IFERROR(SUMIFS('Base bordo CD'!M$2:M$875,'Base bordo CD'!D$2:D$875,A812,'Base bordo CD'!A$2:A$875,B812,'Base bordo CD'!L$2:L$875,"FALTA DE COMBUSTIVEL"),0)+IFERROR(SUMIFS('Base bordo CD'!M$2:M$875,'Base bordo CD'!D$2:D$875,A812,'Base bordo CD'!A$2:A$875,B812,'Base bordo CD'!L$2:L$875,"FALTA DE MOTORIST*"),0)</f>
        <v>0.57388888888888889</v>
      </c>
      <c r="O812" s="10">
        <f t="shared" si="65"/>
        <v>0.14333333333333442</v>
      </c>
      <c r="P812" s="10">
        <f>IFERROR(SUMIFS('Base bordo CD'!M$2:M$875,'Base bordo CD'!D$2:D$875,A812,'Base bordo CD'!A$2:A$875,B812),0)</f>
        <v>24.000000000000004</v>
      </c>
      <c r="Q812" s="10">
        <f>IFERROR(SUMIFS('Base bordo CD'!O$2:O$875,'Base bordo CD'!D$2:D$875,A812,'Base bordo CD'!A$2:A$875,B812,'Base bordo CD'!L$2:L$875,"CORTE DE CANA MECANIZADO"),0)</f>
        <v>89359.05</v>
      </c>
      <c r="R812" s="10">
        <f>IFERROR(SUMIFS('Base bordo CD'!Q$2:Q$875,'Base bordo CD'!D$2:D$875,A812,'Base bordo CD'!A$2:A$875,B812,'Base bordo CD'!L$2:L$875,"CORTE DE CANA MECANIZADO"),0)</f>
        <v>25353</v>
      </c>
      <c r="S812" s="30">
        <f t="shared" si="66"/>
        <v>3.5245947225180454</v>
      </c>
      <c r="T812" s="9">
        <f t="shared" si="67"/>
        <v>0.29343749999999996</v>
      </c>
      <c r="U812" s="9">
        <f t="shared" si="68"/>
        <v>0.11221064814814813</v>
      </c>
      <c r="V812" s="9">
        <f t="shared" si="69"/>
        <v>0.69224537037037037</v>
      </c>
    </row>
    <row r="813" spans="1:22" hidden="1" x14ac:dyDescent="0.35">
      <c r="A813" s="52">
        <v>49592</v>
      </c>
      <c r="B813" s="31">
        <v>46118</v>
      </c>
      <c r="C813" s="7" t="s">
        <v>364</v>
      </c>
      <c r="D813" s="7">
        <v>352</v>
      </c>
      <c r="E813" s="10">
        <f>IFERROR(SUMIFS('Base bordo CD'!M$2:M$875,'Base bordo CD'!D$2:D$875,A813,'Base bordo CD'!A$2:A$875,B813,'Base bordo CD'!L$2:L$875,"CORTE DE CANA MECANIZADO"),0)</f>
        <v>7.0425000000000004</v>
      </c>
      <c r="F813" s="10">
        <f>IFERROR(SUMIFS('Base bordo CD'!M$2:M$875,'Base bordo CD'!D$2:D$875,A813,'Base bordo CD'!A$2:A$875,B813,'Base bordo CD'!L$2:L$875,"MANOBRA"),0)</f>
        <v>2.6930555555555555</v>
      </c>
      <c r="G813" s="10">
        <f>IFERROR(SUMIFS('Base bordo CD'!M$2:M$875,'Base bordo CD'!D$2:D$875,A813,'Base bordo CD'!A$2:A$875,B813,'Base bordo CD'!L$2:L$875,"DESLOCAMENTO"),0)</f>
        <v>0.34361111111111109</v>
      </c>
      <c r="H813" s="10">
        <f>IFERROR(SUMIFS('Base bordo CD'!M$2:M$875,'Base bordo CD'!D$2:D$875,A813,'Base bordo CD'!A$2:A$875,B813,'Base bordo CD'!L$2:L$875,"AGUARDANDO MANOBRA DE TRANSBORDO"),0)+IFERROR(SUMIFS('Base bordo CD'!M$2:M$875,'Base bordo CD'!D$2:D$875,A813,'Base bordo CD'!A$2:A$875,B813,'Base bordo CD'!L$2:L$875,"FALTA DE TRANSBORDO"),0)</f>
        <v>0.17194444444444446</v>
      </c>
      <c r="I813" s="10">
        <f>IFERROR(SUMIFS('Base bordo CD'!M$2:M$875,'Base bordo CD'!D$2:D$875,A813,'Base bordo CD'!A$2:A$875,B813,'Base bordo CD'!L$2:L$875,"PARADA POR CONDICOES CLIMATICAS"),0)+IFERROR(SUMIFS('Base bordo CD'!M$2:M$875,'Base bordo CD'!D$2:D$875,A813,'Base bordo CD'!A$2:A$875,B813,'Base bordo CD'!L$2:L$875,"TEMPO INDETERMINADO"),0)</f>
        <v>6.6961111111111107</v>
      </c>
      <c r="J813" s="10">
        <f>IFERROR(SUMIFS('Base bordo CD'!M$2:M$875,'Base bordo CD'!D$2:D$875,A813,'Base bordo CD'!A$2:A$875,B813,'Base bordo CD'!L$2:L$875,"LIMITAÇÃO INDÚSTRIA"),0)</f>
        <v>2.7225000000000001</v>
      </c>
      <c r="K813" s="10">
        <f>IFERROR(SUMIFS('Base bordo CD'!M$2:M$875,'Base bordo CD'!D$2:D$875,A813,'Base bordo CD'!A$2:A$875,B813,'Base bordo CD'!L$2:L$875,"MAN CORRETIVA*"),0)+IFERROR(SUMIFS('Base bordo CD'!M$2:M$875,'Base bordo CD'!D$2:D$875,A813,'Base bordo CD'!A$2:A$875,B813,'Base bordo CD'!L$2:L$875,"AGUARDANDO MANUTENCAO*"),0)+IFERROR(SUMIFS('Base bordo CD'!M$2:M$875,'Base bordo CD'!D$2:D$875,A813,'Base bordo CD'!A$2:A$875,B813,'Base bordo CD'!L$2:L$875,"TROCA DE FAQUINHA"),0)+IFERROR(SUMIFS('Base bordo CD'!M$2:M$875,'Base bordo CD'!D$2:D$875,A813,'Base bordo CD'!A$2:A$875,B813,'Base bordo CD'!L$2:L$875,"LIMPEZA*"),0)</f>
        <v>3.5013888888888891</v>
      </c>
      <c r="L813" s="10">
        <f>IFERROR(SUMIFS('Base bordo CD'!M$2:M$875,'Base bordo CD'!D$2:D$875,A813,'Base bordo CD'!A$2:A$875,B813,'Base bordo CD'!L$2:L$875,"PATIO - RESERVA"),0)</f>
        <v>0</v>
      </c>
      <c r="M813" s="10">
        <f>IFERROR(SUMIFS('Base bordo CD'!M$2:M$875,'Base bordo CD'!D$2:D$875,A813,'Base bordo CD'!A$2:A$875,B813,'Base bordo CD'!L$2:L$875,"SEM APONTAMENTO"),0)</f>
        <v>0.11166666666666666</v>
      </c>
      <c r="N813" s="10">
        <f>IFERROR(SUMIFS('Base bordo CD'!M$2:M$875,'Base bordo CD'!D$2:D$875,A813,'Base bordo CD'!A$2:A$875,B813,'Base bordo CD'!L$2:L$875,"FALTA DE CAMINHÃO"),0)+IFERROR(SUMIFS('Base bordo CD'!M$2:M$875,'Base bordo CD'!D$2:D$875,A813,'Base bordo CD'!A$2:A$875,B813,'Base bordo CD'!L$2:L$875,"FALTA DE COMBUSTIVEL"),0)+IFERROR(SUMIFS('Base bordo CD'!M$2:M$875,'Base bordo CD'!D$2:D$875,A813,'Base bordo CD'!A$2:A$875,B813,'Base bordo CD'!L$2:L$875,"FALTA DE MOTORIST*"),0)</f>
        <v>0.57388888888888889</v>
      </c>
      <c r="O813" s="10">
        <f t="shared" si="65"/>
        <v>0.14333333333333442</v>
      </c>
      <c r="P813" s="10">
        <f>IFERROR(SUMIFS('Base bordo CD'!M$2:M$875,'Base bordo CD'!D$2:D$875,A813,'Base bordo CD'!A$2:A$875,B813),0)</f>
        <v>24.000000000000004</v>
      </c>
      <c r="Q813" s="10">
        <f>IFERROR(SUMIFS('Base bordo CD'!O$2:O$875,'Base bordo CD'!D$2:D$875,A813,'Base bordo CD'!A$2:A$875,B813,'Base bordo CD'!L$2:L$875,"CORTE DE CANA MECANIZADO"),0)</f>
        <v>89359.05</v>
      </c>
      <c r="R813" s="10">
        <f>IFERROR(SUMIFS('Base bordo CD'!Q$2:Q$875,'Base bordo CD'!D$2:D$875,A813,'Base bordo CD'!A$2:A$875,B813,'Base bordo CD'!L$2:L$875,"CORTE DE CANA MECANIZADO"),0)</f>
        <v>25353</v>
      </c>
      <c r="S813" s="30">
        <f t="shared" si="66"/>
        <v>3.5245947225180454</v>
      </c>
      <c r="T813" s="9">
        <f t="shared" si="67"/>
        <v>0.29343749999999996</v>
      </c>
      <c r="U813" s="9">
        <f t="shared" si="68"/>
        <v>0.11221064814814813</v>
      </c>
      <c r="V813" s="9">
        <f t="shared" si="69"/>
        <v>0.69224537037037037</v>
      </c>
    </row>
    <row r="814" spans="1:22" hidden="1" x14ac:dyDescent="0.35">
      <c r="A814" s="52">
        <v>49592</v>
      </c>
      <c r="B814" s="31">
        <v>46118</v>
      </c>
      <c r="C814" s="7" t="s">
        <v>364</v>
      </c>
      <c r="D814" s="7">
        <v>352</v>
      </c>
      <c r="E814" s="10">
        <f>IFERROR(SUMIFS('Base bordo CD'!M$2:M$875,'Base bordo CD'!D$2:D$875,A814,'Base bordo CD'!A$2:A$875,B814,'Base bordo CD'!L$2:L$875,"CORTE DE CANA MECANIZADO"),0)</f>
        <v>7.0425000000000004</v>
      </c>
      <c r="F814" s="10">
        <f>IFERROR(SUMIFS('Base bordo CD'!M$2:M$875,'Base bordo CD'!D$2:D$875,A814,'Base bordo CD'!A$2:A$875,B814,'Base bordo CD'!L$2:L$875,"MANOBRA"),0)</f>
        <v>2.6930555555555555</v>
      </c>
      <c r="G814" s="10">
        <f>IFERROR(SUMIFS('Base bordo CD'!M$2:M$875,'Base bordo CD'!D$2:D$875,A814,'Base bordo CD'!A$2:A$875,B814,'Base bordo CD'!L$2:L$875,"DESLOCAMENTO"),0)</f>
        <v>0.34361111111111109</v>
      </c>
      <c r="H814" s="10">
        <f>IFERROR(SUMIFS('Base bordo CD'!M$2:M$875,'Base bordo CD'!D$2:D$875,A814,'Base bordo CD'!A$2:A$875,B814,'Base bordo CD'!L$2:L$875,"AGUARDANDO MANOBRA DE TRANSBORDO"),0)+IFERROR(SUMIFS('Base bordo CD'!M$2:M$875,'Base bordo CD'!D$2:D$875,A814,'Base bordo CD'!A$2:A$875,B814,'Base bordo CD'!L$2:L$875,"FALTA DE TRANSBORDO"),0)</f>
        <v>0.17194444444444446</v>
      </c>
      <c r="I814" s="10">
        <f>IFERROR(SUMIFS('Base bordo CD'!M$2:M$875,'Base bordo CD'!D$2:D$875,A814,'Base bordo CD'!A$2:A$875,B814,'Base bordo CD'!L$2:L$875,"PARADA POR CONDICOES CLIMATICAS"),0)+IFERROR(SUMIFS('Base bordo CD'!M$2:M$875,'Base bordo CD'!D$2:D$875,A814,'Base bordo CD'!A$2:A$875,B814,'Base bordo CD'!L$2:L$875,"TEMPO INDETERMINADO"),0)</f>
        <v>6.6961111111111107</v>
      </c>
      <c r="J814" s="10">
        <f>IFERROR(SUMIFS('Base bordo CD'!M$2:M$875,'Base bordo CD'!D$2:D$875,A814,'Base bordo CD'!A$2:A$875,B814,'Base bordo CD'!L$2:L$875,"LIMITAÇÃO INDÚSTRIA"),0)</f>
        <v>2.7225000000000001</v>
      </c>
      <c r="K814" s="10">
        <f>IFERROR(SUMIFS('Base bordo CD'!M$2:M$875,'Base bordo CD'!D$2:D$875,A814,'Base bordo CD'!A$2:A$875,B814,'Base bordo CD'!L$2:L$875,"MAN CORRETIVA*"),0)+IFERROR(SUMIFS('Base bordo CD'!M$2:M$875,'Base bordo CD'!D$2:D$875,A814,'Base bordo CD'!A$2:A$875,B814,'Base bordo CD'!L$2:L$875,"AGUARDANDO MANUTENCAO*"),0)+IFERROR(SUMIFS('Base bordo CD'!M$2:M$875,'Base bordo CD'!D$2:D$875,A814,'Base bordo CD'!A$2:A$875,B814,'Base bordo CD'!L$2:L$875,"TROCA DE FAQUINHA"),0)+IFERROR(SUMIFS('Base bordo CD'!M$2:M$875,'Base bordo CD'!D$2:D$875,A814,'Base bordo CD'!A$2:A$875,B814,'Base bordo CD'!L$2:L$875,"LIMPEZA*"),0)</f>
        <v>3.5013888888888891</v>
      </c>
      <c r="L814" s="10">
        <f>IFERROR(SUMIFS('Base bordo CD'!M$2:M$875,'Base bordo CD'!D$2:D$875,A814,'Base bordo CD'!A$2:A$875,B814,'Base bordo CD'!L$2:L$875,"PATIO - RESERVA"),0)</f>
        <v>0</v>
      </c>
      <c r="M814" s="10">
        <f>IFERROR(SUMIFS('Base bordo CD'!M$2:M$875,'Base bordo CD'!D$2:D$875,A814,'Base bordo CD'!A$2:A$875,B814,'Base bordo CD'!L$2:L$875,"SEM APONTAMENTO"),0)</f>
        <v>0.11166666666666666</v>
      </c>
      <c r="N814" s="10">
        <f>IFERROR(SUMIFS('Base bordo CD'!M$2:M$875,'Base bordo CD'!D$2:D$875,A814,'Base bordo CD'!A$2:A$875,B814,'Base bordo CD'!L$2:L$875,"FALTA DE CAMINHÃO"),0)+IFERROR(SUMIFS('Base bordo CD'!M$2:M$875,'Base bordo CD'!D$2:D$875,A814,'Base bordo CD'!A$2:A$875,B814,'Base bordo CD'!L$2:L$875,"FALTA DE COMBUSTIVEL"),0)+IFERROR(SUMIFS('Base bordo CD'!M$2:M$875,'Base bordo CD'!D$2:D$875,A814,'Base bordo CD'!A$2:A$875,B814,'Base bordo CD'!L$2:L$875,"FALTA DE MOTORIST*"),0)</f>
        <v>0.57388888888888889</v>
      </c>
      <c r="O814" s="10">
        <f t="shared" si="65"/>
        <v>0.14333333333333442</v>
      </c>
      <c r="P814" s="10">
        <f>IFERROR(SUMIFS('Base bordo CD'!M$2:M$875,'Base bordo CD'!D$2:D$875,A814,'Base bordo CD'!A$2:A$875,B814),0)</f>
        <v>24.000000000000004</v>
      </c>
      <c r="Q814" s="10">
        <f>IFERROR(SUMIFS('Base bordo CD'!O$2:O$875,'Base bordo CD'!D$2:D$875,A814,'Base bordo CD'!A$2:A$875,B814,'Base bordo CD'!L$2:L$875,"CORTE DE CANA MECANIZADO"),0)</f>
        <v>89359.05</v>
      </c>
      <c r="R814" s="10">
        <f>IFERROR(SUMIFS('Base bordo CD'!Q$2:Q$875,'Base bordo CD'!D$2:D$875,A814,'Base bordo CD'!A$2:A$875,B814,'Base bordo CD'!L$2:L$875,"CORTE DE CANA MECANIZADO"),0)</f>
        <v>25353</v>
      </c>
      <c r="S814" s="30">
        <f t="shared" si="66"/>
        <v>3.5245947225180454</v>
      </c>
      <c r="T814" s="9">
        <f t="shared" si="67"/>
        <v>0.29343749999999996</v>
      </c>
      <c r="U814" s="9">
        <f t="shared" si="68"/>
        <v>0.11221064814814813</v>
      </c>
      <c r="V814" s="9">
        <f t="shared" si="69"/>
        <v>0.69224537037037037</v>
      </c>
    </row>
    <row r="815" spans="1:22" hidden="1" x14ac:dyDescent="0.35">
      <c r="A815" s="52">
        <v>49592</v>
      </c>
      <c r="B815" s="31">
        <v>46118</v>
      </c>
      <c r="C815" s="7" t="s">
        <v>364</v>
      </c>
      <c r="D815" s="7">
        <v>352</v>
      </c>
      <c r="E815" s="10">
        <f>IFERROR(SUMIFS('Base bordo CD'!M$2:M$875,'Base bordo CD'!D$2:D$875,A815,'Base bordo CD'!A$2:A$875,B815,'Base bordo CD'!L$2:L$875,"CORTE DE CANA MECANIZADO"),0)</f>
        <v>7.0425000000000004</v>
      </c>
      <c r="F815" s="10">
        <f>IFERROR(SUMIFS('Base bordo CD'!M$2:M$875,'Base bordo CD'!D$2:D$875,A815,'Base bordo CD'!A$2:A$875,B815,'Base bordo CD'!L$2:L$875,"MANOBRA"),0)</f>
        <v>2.6930555555555555</v>
      </c>
      <c r="G815" s="10">
        <f>IFERROR(SUMIFS('Base bordo CD'!M$2:M$875,'Base bordo CD'!D$2:D$875,A815,'Base bordo CD'!A$2:A$875,B815,'Base bordo CD'!L$2:L$875,"DESLOCAMENTO"),0)</f>
        <v>0.34361111111111109</v>
      </c>
      <c r="H815" s="10">
        <f>IFERROR(SUMIFS('Base bordo CD'!M$2:M$875,'Base bordo CD'!D$2:D$875,A815,'Base bordo CD'!A$2:A$875,B815,'Base bordo CD'!L$2:L$875,"AGUARDANDO MANOBRA DE TRANSBORDO"),0)+IFERROR(SUMIFS('Base bordo CD'!M$2:M$875,'Base bordo CD'!D$2:D$875,A815,'Base bordo CD'!A$2:A$875,B815,'Base bordo CD'!L$2:L$875,"FALTA DE TRANSBORDO"),0)</f>
        <v>0.17194444444444446</v>
      </c>
      <c r="I815" s="10">
        <f>IFERROR(SUMIFS('Base bordo CD'!M$2:M$875,'Base bordo CD'!D$2:D$875,A815,'Base bordo CD'!A$2:A$875,B815,'Base bordo CD'!L$2:L$875,"PARADA POR CONDICOES CLIMATICAS"),0)+IFERROR(SUMIFS('Base bordo CD'!M$2:M$875,'Base bordo CD'!D$2:D$875,A815,'Base bordo CD'!A$2:A$875,B815,'Base bordo CD'!L$2:L$875,"TEMPO INDETERMINADO"),0)</f>
        <v>6.6961111111111107</v>
      </c>
      <c r="J815" s="10">
        <f>IFERROR(SUMIFS('Base bordo CD'!M$2:M$875,'Base bordo CD'!D$2:D$875,A815,'Base bordo CD'!A$2:A$875,B815,'Base bordo CD'!L$2:L$875,"LIMITAÇÃO INDÚSTRIA"),0)</f>
        <v>2.7225000000000001</v>
      </c>
      <c r="K815" s="10">
        <f>IFERROR(SUMIFS('Base bordo CD'!M$2:M$875,'Base bordo CD'!D$2:D$875,A815,'Base bordo CD'!A$2:A$875,B815,'Base bordo CD'!L$2:L$875,"MAN CORRETIVA*"),0)+IFERROR(SUMIFS('Base bordo CD'!M$2:M$875,'Base bordo CD'!D$2:D$875,A815,'Base bordo CD'!A$2:A$875,B815,'Base bordo CD'!L$2:L$875,"AGUARDANDO MANUTENCAO*"),0)+IFERROR(SUMIFS('Base bordo CD'!M$2:M$875,'Base bordo CD'!D$2:D$875,A815,'Base bordo CD'!A$2:A$875,B815,'Base bordo CD'!L$2:L$875,"TROCA DE FAQUINHA"),0)+IFERROR(SUMIFS('Base bordo CD'!M$2:M$875,'Base bordo CD'!D$2:D$875,A815,'Base bordo CD'!A$2:A$875,B815,'Base bordo CD'!L$2:L$875,"LIMPEZA*"),0)</f>
        <v>3.5013888888888891</v>
      </c>
      <c r="L815" s="10">
        <f>IFERROR(SUMIFS('Base bordo CD'!M$2:M$875,'Base bordo CD'!D$2:D$875,A815,'Base bordo CD'!A$2:A$875,B815,'Base bordo CD'!L$2:L$875,"PATIO - RESERVA"),0)</f>
        <v>0</v>
      </c>
      <c r="M815" s="10">
        <f>IFERROR(SUMIFS('Base bordo CD'!M$2:M$875,'Base bordo CD'!D$2:D$875,A815,'Base bordo CD'!A$2:A$875,B815,'Base bordo CD'!L$2:L$875,"SEM APONTAMENTO"),0)</f>
        <v>0.11166666666666666</v>
      </c>
      <c r="N815" s="10">
        <f>IFERROR(SUMIFS('Base bordo CD'!M$2:M$875,'Base bordo CD'!D$2:D$875,A815,'Base bordo CD'!A$2:A$875,B815,'Base bordo CD'!L$2:L$875,"FALTA DE CAMINHÃO"),0)+IFERROR(SUMIFS('Base bordo CD'!M$2:M$875,'Base bordo CD'!D$2:D$875,A815,'Base bordo CD'!A$2:A$875,B815,'Base bordo CD'!L$2:L$875,"FALTA DE COMBUSTIVEL"),0)+IFERROR(SUMIFS('Base bordo CD'!M$2:M$875,'Base bordo CD'!D$2:D$875,A815,'Base bordo CD'!A$2:A$875,B815,'Base bordo CD'!L$2:L$875,"FALTA DE MOTORIST*"),0)</f>
        <v>0.57388888888888889</v>
      </c>
      <c r="O815" s="10">
        <f t="shared" si="65"/>
        <v>0.14333333333333442</v>
      </c>
      <c r="P815" s="10">
        <f>IFERROR(SUMIFS('Base bordo CD'!M$2:M$875,'Base bordo CD'!D$2:D$875,A815,'Base bordo CD'!A$2:A$875,B815),0)</f>
        <v>24.000000000000004</v>
      </c>
      <c r="Q815" s="10">
        <f>IFERROR(SUMIFS('Base bordo CD'!O$2:O$875,'Base bordo CD'!D$2:D$875,A815,'Base bordo CD'!A$2:A$875,B815,'Base bordo CD'!L$2:L$875,"CORTE DE CANA MECANIZADO"),0)</f>
        <v>89359.05</v>
      </c>
      <c r="R815" s="10">
        <f>IFERROR(SUMIFS('Base bordo CD'!Q$2:Q$875,'Base bordo CD'!D$2:D$875,A815,'Base bordo CD'!A$2:A$875,B815,'Base bordo CD'!L$2:L$875,"CORTE DE CANA MECANIZADO"),0)</f>
        <v>25353</v>
      </c>
      <c r="S815" s="30">
        <f t="shared" si="66"/>
        <v>3.5245947225180454</v>
      </c>
      <c r="T815" s="9">
        <f t="shared" si="67"/>
        <v>0.29343749999999996</v>
      </c>
      <c r="U815" s="9">
        <f t="shared" si="68"/>
        <v>0.11221064814814813</v>
      </c>
      <c r="V815" s="9">
        <f t="shared" si="69"/>
        <v>0.69224537037037037</v>
      </c>
    </row>
    <row r="816" spans="1:22" hidden="1" x14ac:dyDescent="0.35">
      <c r="A816" s="52">
        <v>49592</v>
      </c>
      <c r="B816" s="31">
        <v>46118</v>
      </c>
      <c r="C816" s="7" t="s">
        <v>364</v>
      </c>
      <c r="D816" s="7">
        <v>352</v>
      </c>
      <c r="E816" s="10">
        <f>IFERROR(SUMIFS('Base bordo CD'!M$2:M$875,'Base bordo CD'!D$2:D$875,A816,'Base bordo CD'!A$2:A$875,B816,'Base bordo CD'!L$2:L$875,"CORTE DE CANA MECANIZADO"),0)</f>
        <v>7.0425000000000004</v>
      </c>
      <c r="F816" s="10">
        <f>IFERROR(SUMIFS('Base bordo CD'!M$2:M$875,'Base bordo CD'!D$2:D$875,A816,'Base bordo CD'!A$2:A$875,B816,'Base bordo CD'!L$2:L$875,"MANOBRA"),0)</f>
        <v>2.6930555555555555</v>
      </c>
      <c r="G816" s="10">
        <f>IFERROR(SUMIFS('Base bordo CD'!M$2:M$875,'Base bordo CD'!D$2:D$875,A816,'Base bordo CD'!A$2:A$875,B816,'Base bordo CD'!L$2:L$875,"DESLOCAMENTO"),0)</f>
        <v>0.34361111111111109</v>
      </c>
      <c r="H816" s="10">
        <f>IFERROR(SUMIFS('Base bordo CD'!M$2:M$875,'Base bordo CD'!D$2:D$875,A816,'Base bordo CD'!A$2:A$875,B816,'Base bordo CD'!L$2:L$875,"AGUARDANDO MANOBRA DE TRANSBORDO"),0)+IFERROR(SUMIFS('Base bordo CD'!M$2:M$875,'Base bordo CD'!D$2:D$875,A816,'Base bordo CD'!A$2:A$875,B816,'Base bordo CD'!L$2:L$875,"FALTA DE TRANSBORDO"),0)</f>
        <v>0.17194444444444446</v>
      </c>
      <c r="I816" s="10">
        <f>IFERROR(SUMIFS('Base bordo CD'!M$2:M$875,'Base bordo CD'!D$2:D$875,A816,'Base bordo CD'!A$2:A$875,B816,'Base bordo CD'!L$2:L$875,"PARADA POR CONDICOES CLIMATICAS"),0)+IFERROR(SUMIFS('Base bordo CD'!M$2:M$875,'Base bordo CD'!D$2:D$875,A816,'Base bordo CD'!A$2:A$875,B816,'Base bordo CD'!L$2:L$875,"TEMPO INDETERMINADO"),0)</f>
        <v>6.6961111111111107</v>
      </c>
      <c r="J816" s="10">
        <f>IFERROR(SUMIFS('Base bordo CD'!M$2:M$875,'Base bordo CD'!D$2:D$875,A816,'Base bordo CD'!A$2:A$875,B816,'Base bordo CD'!L$2:L$875,"LIMITAÇÃO INDÚSTRIA"),0)</f>
        <v>2.7225000000000001</v>
      </c>
      <c r="K816" s="10">
        <f>IFERROR(SUMIFS('Base bordo CD'!M$2:M$875,'Base bordo CD'!D$2:D$875,A816,'Base bordo CD'!A$2:A$875,B816,'Base bordo CD'!L$2:L$875,"MAN CORRETIVA*"),0)+IFERROR(SUMIFS('Base bordo CD'!M$2:M$875,'Base bordo CD'!D$2:D$875,A816,'Base bordo CD'!A$2:A$875,B816,'Base bordo CD'!L$2:L$875,"AGUARDANDO MANUTENCAO*"),0)+IFERROR(SUMIFS('Base bordo CD'!M$2:M$875,'Base bordo CD'!D$2:D$875,A816,'Base bordo CD'!A$2:A$875,B816,'Base bordo CD'!L$2:L$875,"TROCA DE FAQUINHA"),0)+IFERROR(SUMIFS('Base bordo CD'!M$2:M$875,'Base bordo CD'!D$2:D$875,A816,'Base bordo CD'!A$2:A$875,B816,'Base bordo CD'!L$2:L$875,"LIMPEZA*"),0)</f>
        <v>3.5013888888888891</v>
      </c>
      <c r="L816" s="10">
        <f>IFERROR(SUMIFS('Base bordo CD'!M$2:M$875,'Base bordo CD'!D$2:D$875,A816,'Base bordo CD'!A$2:A$875,B816,'Base bordo CD'!L$2:L$875,"PATIO - RESERVA"),0)</f>
        <v>0</v>
      </c>
      <c r="M816" s="10">
        <f>IFERROR(SUMIFS('Base bordo CD'!M$2:M$875,'Base bordo CD'!D$2:D$875,A816,'Base bordo CD'!A$2:A$875,B816,'Base bordo CD'!L$2:L$875,"SEM APONTAMENTO"),0)</f>
        <v>0.11166666666666666</v>
      </c>
      <c r="N816" s="10">
        <f>IFERROR(SUMIFS('Base bordo CD'!M$2:M$875,'Base bordo CD'!D$2:D$875,A816,'Base bordo CD'!A$2:A$875,B816,'Base bordo CD'!L$2:L$875,"FALTA DE CAMINHÃO"),0)+IFERROR(SUMIFS('Base bordo CD'!M$2:M$875,'Base bordo CD'!D$2:D$875,A816,'Base bordo CD'!A$2:A$875,B816,'Base bordo CD'!L$2:L$875,"FALTA DE COMBUSTIVEL"),0)+IFERROR(SUMIFS('Base bordo CD'!M$2:M$875,'Base bordo CD'!D$2:D$875,A816,'Base bordo CD'!A$2:A$875,B816,'Base bordo CD'!L$2:L$875,"FALTA DE MOTORIST*"),0)</f>
        <v>0.57388888888888889</v>
      </c>
      <c r="O816" s="10">
        <f t="shared" si="65"/>
        <v>0.14333333333333442</v>
      </c>
      <c r="P816" s="10">
        <f>IFERROR(SUMIFS('Base bordo CD'!M$2:M$875,'Base bordo CD'!D$2:D$875,A816,'Base bordo CD'!A$2:A$875,B816),0)</f>
        <v>24.000000000000004</v>
      </c>
      <c r="Q816" s="10">
        <f>IFERROR(SUMIFS('Base bordo CD'!O$2:O$875,'Base bordo CD'!D$2:D$875,A816,'Base bordo CD'!A$2:A$875,B816,'Base bordo CD'!L$2:L$875,"CORTE DE CANA MECANIZADO"),0)</f>
        <v>89359.05</v>
      </c>
      <c r="R816" s="10">
        <f>IFERROR(SUMIFS('Base bordo CD'!Q$2:Q$875,'Base bordo CD'!D$2:D$875,A816,'Base bordo CD'!A$2:A$875,B816,'Base bordo CD'!L$2:L$875,"CORTE DE CANA MECANIZADO"),0)</f>
        <v>25353</v>
      </c>
      <c r="S816" s="30">
        <f t="shared" si="66"/>
        <v>3.5245947225180454</v>
      </c>
      <c r="T816" s="9">
        <f t="shared" si="67"/>
        <v>0.29343749999999996</v>
      </c>
      <c r="U816" s="9">
        <f t="shared" si="68"/>
        <v>0.11221064814814813</v>
      </c>
      <c r="V816" s="9">
        <f t="shared" si="69"/>
        <v>0.69224537037037037</v>
      </c>
    </row>
    <row r="817" spans="1:22" hidden="1" x14ac:dyDescent="0.35">
      <c r="A817" s="52">
        <v>49592</v>
      </c>
      <c r="B817" s="31">
        <v>46118</v>
      </c>
      <c r="C817" s="7" t="s">
        <v>364</v>
      </c>
      <c r="D817" s="7">
        <v>352</v>
      </c>
      <c r="E817" s="10">
        <f>IFERROR(SUMIFS('Base bordo CD'!M$2:M$875,'Base bordo CD'!D$2:D$875,A817,'Base bordo CD'!A$2:A$875,B817,'Base bordo CD'!L$2:L$875,"CORTE DE CANA MECANIZADO"),0)</f>
        <v>7.0425000000000004</v>
      </c>
      <c r="F817" s="10">
        <f>IFERROR(SUMIFS('Base bordo CD'!M$2:M$875,'Base bordo CD'!D$2:D$875,A817,'Base bordo CD'!A$2:A$875,B817,'Base bordo CD'!L$2:L$875,"MANOBRA"),0)</f>
        <v>2.6930555555555555</v>
      </c>
      <c r="G817" s="10">
        <f>IFERROR(SUMIFS('Base bordo CD'!M$2:M$875,'Base bordo CD'!D$2:D$875,A817,'Base bordo CD'!A$2:A$875,B817,'Base bordo CD'!L$2:L$875,"DESLOCAMENTO"),0)</f>
        <v>0.34361111111111109</v>
      </c>
      <c r="H817" s="10">
        <f>IFERROR(SUMIFS('Base bordo CD'!M$2:M$875,'Base bordo CD'!D$2:D$875,A817,'Base bordo CD'!A$2:A$875,B817,'Base bordo CD'!L$2:L$875,"AGUARDANDO MANOBRA DE TRANSBORDO"),0)+IFERROR(SUMIFS('Base bordo CD'!M$2:M$875,'Base bordo CD'!D$2:D$875,A817,'Base bordo CD'!A$2:A$875,B817,'Base bordo CD'!L$2:L$875,"FALTA DE TRANSBORDO"),0)</f>
        <v>0.17194444444444446</v>
      </c>
      <c r="I817" s="10">
        <f>IFERROR(SUMIFS('Base bordo CD'!M$2:M$875,'Base bordo CD'!D$2:D$875,A817,'Base bordo CD'!A$2:A$875,B817,'Base bordo CD'!L$2:L$875,"PARADA POR CONDICOES CLIMATICAS"),0)+IFERROR(SUMIFS('Base bordo CD'!M$2:M$875,'Base bordo CD'!D$2:D$875,A817,'Base bordo CD'!A$2:A$875,B817,'Base bordo CD'!L$2:L$875,"TEMPO INDETERMINADO"),0)</f>
        <v>6.6961111111111107</v>
      </c>
      <c r="J817" s="10">
        <f>IFERROR(SUMIFS('Base bordo CD'!M$2:M$875,'Base bordo CD'!D$2:D$875,A817,'Base bordo CD'!A$2:A$875,B817,'Base bordo CD'!L$2:L$875,"LIMITAÇÃO INDÚSTRIA"),0)</f>
        <v>2.7225000000000001</v>
      </c>
      <c r="K817" s="10">
        <f>IFERROR(SUMIFS('Base bordo CD'!M$2:M$875,'Base bordo CD'!D$2:D$875,A817,'Base bordo CD'!A$2:A$875,B817,'Base bordo CD'!L$2:L$875,"MAN CORRETIVA*"),0)+IFERROR(SUMIFS('Base bordo CD'!M$2:M$875,'Base bordo CD'!D$2:D$875,A817,'Base bordo CD'!A$2:A$875,B817,'Base bordo CD'!L$2:L$875,"AGUARDANDO MANUTENCAO*"),0)+IFERROR(SUMIFS('Base bordo CD'!M$2:M$875,'Base bordo CD'!D$2:D$875,A817,'Base bordo CD'!A$2:A$875,B817,'Base bordo CD'!L$2:L$875,"TROCA DE FAQUINHA"),0)+IFERROR(SUMIFS('Base bordo CD'!M$2:M$875,'Base bordo CD'!D$2:D$875,A817,'Base bordo CD'!A$2:A$875,B817,'Base bordo CD'!L$2:L$875,"LIMPEZA*"),0)</f>
        <v>3.5013888888888891</v>
      </c>
      <c r="L817" s="10">
        <f>IFERROR(SUMIFS('Base bordo CD'!M$2:M$875,'Base bordo CD'!D$2:D$875,A817,'Base bordo CD'!A$2:A$875,B817,'Base bordo CD'!L$2:L$875,"PATIO - RESERVA"),0)</f>
        <v>0</v>
      </c>
      <c r="M817" s="10">
        <f>IFERROR(SUMIFS('Base bordo CD'!M$2:M$875,'Base bordo CD'!D$2:D$875,A817,'Base bordo CD'!A$2:A$875,B817,'Base bordo CD'!L$2:L$875,"SEM APONTAMENTO"),0)</f>
        <v>0.11166666666666666</v>
      </c>
      <c r="N817" s="10">
        <f>IFERROR(SUMIFS('Base bordo CD'!M$2:M$875,'Base bordo CD'!D$2:D$875,A817,'Base bordo CD'!A$2:A$875,B817,'Base bordo CD'!L$2:L$875,"FALTA DE CAMINHÃO"),0)+IFERROR(SUMIFS('Base bordo CD'!M$2:M$875,'Base bordo CD'!D$2:D$875,A817,'Base bordo CD'!A$2:A$875,B817,'Base bordo CD'!L$2:L$875,"FALTA DE COMBUSTIVEL"),0)+IFERROR(SUMIFS('Base bordo CD'!M$2:M$875,'Base bordo CD'!D$2:D$875,A817,'Base bordo CD'!A$2:A$875,B817,'Base bordo CD'!L$2:L$875,"FALTA DE MOTORIST*"),0)</f>
        <v>0.57388888888888889</v>
      </c>
      <c r="O817" s="10">
        <f t="shared" si="65"/>
        <v>0.14333333333333442</v>
      </c>
      <c r="P817" s="10">
        <f>IFERROR(SUMIFS('Base bordo CD'!M$2:M$875,'Base bordo CD'!D$2:D$875,A817,'Base bordo CD'!A$2:A$875,B817),0)</f>
        <v>24.000000000000004</v>
      </c>
      <c r="Q817" s="10">
        <f>IFERROR(SUMIFS('Base bordo CD'!O$2:O$875,'Base bordo CD'!D$2:D$875,A817,'Base bordo CD'!A$2:A$875,B817,'Base bordo CD'!L$2:L$875,"CORTE DE CANA MECANIZADO"),0)</f>
        <v>89359.05</v>
      </c>
      <c r="R817" s="10">
        <f>IFERROR(SUMIFS('Base bordo CD'!Q$2:Q$875,'Base bordo CD'!D$2:D$875,A817,'Base bordo CD'!A$2:A$875,B817,'Base bordo CD'!L$2:L$875,"CORTE DE CANA MECANIZADO"),0)</f>
        <v>25353</v>
      </c>
      <c r="S817" s="30">
        <f t="shared" si="66"/>
        <v>3.5245947225180454</v>
      </c>
      <c r="T817" s="9">
        <f t="shared" si="67"/>
        <v>0.29343749999999996</v>
      </c>
      <c r="U817" s="9">
        <f t="shared" si="68"/>
        <v>0.11221064814814813</v>
      </c>
      <c r="V817" s="9">
        <f t="shared" si="69"/>
        <v>0.69224537037037037</v>
      </c>
    </row>
    <row r="818" spans="1:22" hidden="1" x14ac:dyDescent="0.35">
      <c r="A818" s="52">
        <v>49592</v>
      </c>
      <c r="B818" s="31">
        <v>46118</v>
      </c>
      <c r="C818" s="7" t="s">
        <v>364</v>
      </c>
      <c r="D818" s="7">
        <v>352</v>
      </c>
      <c r="E818" s="10">
        <f>IFERROR(SUMIFS('Base bordo CD'!M$2:M$875,'Base bordo CD'!D$2:D$875,A818,'Base bordo CD'!A$2:A$875,B818,'Base bordo CD'!L$2:L$875,"CORTE DE CANA MECANIZADO"),0)</f>
        <v>7.0425000000000004</v>
      </c>
      <c r="F818" s="10">
        <f>IFERROR(SUMIFS('Base bordo CD'!M$2:M$875,'Base bordo CD'!D$2:D$875,A818,'Base bordo CD'!A$2:A$875,B818,'Base bordo CD'!L$2:L$875,"MANOBRA"),0)</f>
        <v>2.6930555555555555</v>
      </c>
      <c r="G818" s="10">
        <f>IFERROR(SUMIFS('Base bordo CD'!M$2:M$875,'Base bordo CD'!D$2:D$875,A818,'Base bordo CD'!A$2:A$875,B818,'Base bordo CD'!L$2:L$875,"DESLOCAMENTO"),0)</f>
        <v>0.34361111111111109</v>
      </c>
      <c r="H818" s="10">
        <f>IFERROR(SUMIFS('Base bordo CD'!M$2:M$875,'Base bordo CD'!D$2:D$875,A818,'Base bordo CD'!A$2:A$875,B818,'Base bordo CD'!L$2:L$875,"AGUARDANDO MANOBRA DE TRANSBORDO"),0)+IFERROR(SUMIFS('Base bordo CD'!M$2:M$875,'Base bordo CD'!D$2:D$875,A818,'Base bordo CD'!A$2:A$875,B818,'Base bordo CD'!L$2:L$875,"FALTA DE TRANSBORDO"),0)</f>
        <v>0.17194444444444446</v>
      </c>
      <c r="I818" s="10">
        <f>IFERROR(SUMIFS('Base bordo CD'!M$2:M$875,'Base bordo CD'!D$2:D$875,A818,'Base bordo CD'!A$2:A$875,B818,'Base bordo CD'!L$2:L$875,"PARADA POR CONDICOES CLIMATICAS"),0)+IFERROR(SUMIFS('Base bordo CD'!M$2:M$875,'Base bordo CD'!D$2:D$875,A818,'Base bordo CD'!A$2:A$875,B818,'Base bordo CD'!L$2:L$875,"TEMPO INDETERMINADO"),0)</f>
        <v>6.6961111111111107</v>
      </c>
      <c r="J818" s="10">
        <f>IFERROR(SUMIFS('Base bordo CD'!M$2:M$875,'Base bordo CD'!D$2:D$875,A818,'Base bordo CD'!A$2:A$875,B818,'Base bordo CD'!L$2:L$875,"LIMITAÇÃO INDÚSTRIA"),0)</f>
        <v>2.7225000000000001</v>
      </c>
      <c r="K818" s="10">
        <f>IFERROR(SUMIFS('Base bordo CD'!M$2:M$875,'Base bordo CD'!D$2:D$875,A818,'Base bordo CD'!A$2:A$875,B818,'Base bordo CD'!L$2:L$875,"MAN CORRETIVA*"),0)+IFERROR(SUMIFS('Base bordo CD'!M$2:M$875,'Base bordo CD'!D$2:D$875,A818,'Base bordo CD'!A$2:A$875,B818,'Base bordo CD'!L$2:L$875,"AGUARDANDO MANUTENCAO*"),0)+IFERROR(SUMIFS('Base bordo CD'!M$2:M$875,'Base bordo CD'!D$2:D$875,A818,'Base bordo CD'!A$2:A$875,B818,'Base bordo CD'!L$2:L$875,"TROCA DE FAQUINHA"),0)+IFERROR(SUMIFS('Base bordo CD'!M$2:M$875,'Base bordo CD'!D$2:D$875,A818,'Base bordo CD'!A$2:A$875,B818,'Base bordo CD'!L$2:L$875,"LIMPEZA*"),0)</f>
        <v>3.5013888888888891</v>
      </c>
      <c r="L818" s="10">
        <f>IFERROR(SUMIFS('Base bordo CD'!M$2:M$875,'Base bordo CD'!D$2:D$875,A818,'Base bordo CD'!A$2:A$875,B818,'Base bordo CD'!L$2:L$875,"PATIO - RESERVA"),0)</f>
        <v>0</v>
      </c>
      <c r="M818" s="10">
        <f>IFERROR(SUMIFS('Base bordo CD'!M$2:M$875,'Base bordo CD'!D$2:D$875,A818,'Base bordo CD'!A$2:A$875,B818,'Base bordo CD'!L$2:L$875,"SEM APONTAMENTO"),0)</f>
        <v>0.11166666666666666</v>
      </c>
      <c r="N818" s="10">
        <f>IFERROR(SUMIFS('Base bordo CD'!M$2:M$875,'Base bordo CD'!D$2:D$875,A818,'Base bordo CD'!A$2:A$875,B818,'Base bordo CD'!L$2:L$875,"FALTA DE CAMINHÃO"),0)+IFERROR(SUMIFS('Base bordo CD'!M$2:M$875,'Base bordo CD'!D$2:D$875,A818,'Base bordo CD'!A$2:A$875,B818,'Base bordo CD'!L$2:L$875,"FALTA DE COMBUSTIVEL"),0)+IFERROR(SUMIFS('Base bordo CD'!M$2:M$875,'Base bordo CD'!D$2:D$875,A818,'Base bordo CD'!A$2:A$875,B818,'Base bordo CD'!L$2:L$875,"FALTA DE MOTORIST*"),0)</f>
        <v>0.57388888888888889</v>
      </c>
      <c r="O818" s="10">
        <f t="shared" si="65"/>
        <v>0.14333333333333442</v>
      </c>
      <c r="P818" s="10">
        <f>IFERROR(SUMIFS('Base bordo CD'!M$2:M$875,'Base bordo CD'!D$2:D$875,A818,'Base bordo CD'!A$2:A$875,B818),0)</f>
        <v>24.000000000000004</v>
      </c>
      <c r="Q818" s="10">
        <f>IFERROR(SUMIFS('Base bordo CD'!O$2:O$875,'Base bordo CD'!D$2:D$875,A818,'Base bordo CD'!A$2:A$875,B818,'Base bordo CD'!L$2:L$875,"CORTE DE CANA MECANIZADO"),0)</f>
        <v>89359.05</v>
      </c>
      <c r="R818" s="10">
        <f>IFERROR(SUMIFS('Base bordo CD'!Q$2:Q$875,'Base bordo CD'!D$2:D$875,A818,'Base bordo CD'!A$2:A$875,B818,'Base bordo CD'!L$2:L$875,"CORTE DE CANA MECANIZADO"),0)</f>
        <v>25353</v>
      </c>
      <c r="S818" s="30">
        <f t="shared" si="66"/>
        <v>3.5245947225180454</v>
      </c>
      <c r="T818" s="9">
        <f t="shared" si="67"/>
        <v>0.29343749999999996</v>
      </c>
      <c r="U818" s="9">
        <f t="shared" si="68"/>
        <v>0.11221064814814813</v>
      </c>
      <c r="V818" s="9">
        <f t="shared" si="69"/>
        <v>0.69224537037037037</v>
      </c>
    </row>
    <row r="819" spans="1:22" hidden="1" x14ac:dyDescent="0.35">
      <c r="A819" s="52">
        <v>49592</v>
      </c>
      <c r="B819" s="31">
        <v>46118</v>
      </c>
      <c r="C819" s="7" t="s">
        <v>364</v>
      </c>
      <c r="D819" s="7">
        <v>352</v>
      </c>
      <c r="E819" s="10">
        <f>IFERROR(SUMIFS('Base bordo CD'!M$2:M$875,'Base bordo CD'!D$2:D$875,A819,'Base bordo CD'!A$2:A$875,B819,'Base bordo CD'!L$2:L$875,"CORTE DE CANA MECANIZADO"),0)</f>
        <v>7.0425000000000004</v>
      </c>
      <c r="F819" s="10">
        <f>IFERROR(SUMIFS('Base bordo CD'!M$2:M$875,'Base bordo CD'!D$2:D$875,A819,'Base bordo CD'!A$2:A$875,B819,'Base bordo CD'!L$2:L$875,"MANOBRA"),0)</f>
        <v>2.6930555555555555</v>
      </c>
      <c r="G819" s="10">
        <f>IFERROR(SUMIFS('Base bordo CD'!M$2:M$875,'Base bordo CD'!D$2:D$875,A819,'Base bordo CD'!A$2:A$875,B819,'Base bordo CD'!L$2:L$875,"DESLOCAMENTO"),0)</f>
        <v>0.34361111111111109</v>
      </c>
      <c r="H819" s="10">
        <f>IFERROR(SUMIFS('Base bordo CD'!M$2:M$875,'Base bordo CD'!D$2:D$875,A819,'Base bordo CD'!A$2:A$875,B819,'Base bordo CD'!L$2:L$875,"AGUARDANDO MANOBRA DE TRANSBORDO"),0)+IFERROR(SUMIFS('Base bordo CD'!M$2:M$875,'Base bordo CD'!D$2:D$875,A819,'Base bordo CD'!A$2:A$875,B819,'Base bordo CD'!L$2:L$875,"FALTA DE TRANSBORDO"),0)</f>
        <v>0.17194444444444446</v>
      </c>
      <c r="I819" s="10">
        <f>IFERROR(SUMIFS('Base bordo CD'!M$2:M$875,'Base bordo CD'!D$2:D$875,A819,'Base bordo CD'!A$2:A$875,B819,'Base bordo CD'!L$2:L$875,"PARADA POR CONDICOES CLIMATICAS"),0)+IFERROR(SUMIFS('Base bordo CD'!M$2:M$875,'Base bordo CD'!D$2:D$875,A819,'Base bordo CD'!A$2:A$875,B819,'Base bordo CD'!L$2:L$875,"TEMPO INDETERMINADO"),0)</f>
        <v>6.6961111111111107</v>
      </c>
      <c r="J819" s="10">
        <f>IFERROR(SUMIFS('Base bordo CD'!M$2:M$875,'Base bordo CD'!D$2:D$875,A819,'Base bordo CD'!A$2:A$875,B819,'Base bordo CD'!L$2:L$875,"LIMITAÇÃO INDÚSTRIA"),0)</f>
        <v>2.7225000000000001</v>
      </c>
      <c r="K819" s="10">
        <f>IFERROR(SUMIFS('Base bordo CD'!M$2:M$875,'Base bordo CD'!D$2:D$875,A819,'Base bordo CD'!A$2:A$875,B819,'Base bordo CD'!L$2:L$875,"MAN CORRETIVA*"),0)+IFERROR(SUMIFS('Base bordo CD'!M$2:M$875,'Base bordo CD'!D$2:D$875,A819,'Base bordo CD'!A$2:A$875,B819,'Base bordo CD'!L$2:L$875,"AGUARDANDO MANUTENCAO*"),0)+IFERROR(SUMIFS('Base bordo CD'!M$2:M$875,'Base bordo CD'!D$2:D$875,A819,'Base bordo CD'!A$2:A$875,B819,'Base bordo CD'!L$2:L$875,"TROCA DE FAQUINHA"),0)+IFERROR(SUMIFS('Base bordo CD'!M$2:M$875,'Base bordo CD'!D$2:D$875,A819,'Base bordo CD'!A$2:A$875,B819,'Base bordo CD'!L$2:L$875,"LIMPEZA*"),0)</f>
        <v>3.5013888888888891</v>
      </c>
      <c r="L819" s="10">
        <f>IFERROR(SUMIFS('Base bordo CD'!M$2:M$875,'Base bordo CD'!D$2:D$875,A819,'Base bordo CD'!A$2:A$875,B819,'Base bordo CD'!L$2:L$875,"PATIO - RESERVA"),0)</f>
        <v>0</v>
      </c>
      <c r="M819" s="10">
        <f>IFERROR(SUMIFS('Base bordo CD'!M$2:M$875,'Base bordo CD'!D$2:D$875,A819,'Base bordo CD'!A$2:A$875,B819,'Base bordo CD'!L$2:L$875,"SEM APONTAMENTO"),0)</f>
        <v>0.11166666666666666</v>
      </c>
      <c r="N819" s="10">
        <f>IFERROR(SUMIFS('Base bordo CD'!M$2:M$875,'Base bordo CD'!D$2:D$875,A819,'Base bordo CD'!A$2:A$875,B819,'Base bordo CD'!L$2:L$875,"FALTA DE CAMINHÃO"),0)+IFERROR(SUMIFS('Base bordo CD'!M$2:M$875,'Base bordo CD'!D$2:D$875,A819,'Base bordo CD'!A$2:A$875,B819,'Base bordo CD'!L$2:L$875,"FALTA DE COMBUSTIVEL"),0)+IFERROR(SUMIFS('Base bordo CD'!M$2:M$875,'Base bordo CD'!D$2:D$875,A819,'Base bordo CD'!A$2:A$875,B819,'Base bordo CD'!L$2:L$875,"FALTA DE MOTORIST*"),0)</f>
        <v>0.57388888888888889</v>
      </c>
      <c r="O819" s="10">
        <f t="shared" si="65"/>
        <v>0.14333333333333442</v>
      </c>
      <c r="P819" s="10">
        <f>IFERROR(SUMIFS('Base bordo CD'!M$2:M$875,'Base bordo CD'!D$2:D$875,A819,'Base bordo CD'!A$2:A$875,B819),0)</f>
        <v>24.000000000000004</v>
      </c>
      <c r="Q819" s="10">
        <f>IFERROR(SUMIFS('Base bordo CD'!O$2:O$875,'Base bordo CD'!D$2:D$875,A819,'Base bordo CD'!A$2:A$875,B819,'Base bordo CD'!L$2:L$875,"CORTE DE CANA MECANIZADO"),0)</f>
        <v>89359.05</v>
      </c>
      <c r="R819" s="10">
        <f>IFERROR(SUMIFS('Base bordo CD'!Q$2:Q$875,'Base bordo CD'!D$2:D$875,A819,'Base bordo CD'!A$2:A$875,B819,'Base bordo CD'!L$2:L$875,"CORTE DE CANA MECANIZADO"),0)</f>
        <v>25353</v>
      </c>
      <c r="S819" s="30">
        <f t="shared" si="66"/>
        <v>3.5245947225180454</v>
      </c>
      <c r="T819" s="9">
        <f t="shared" si="67"/>
        <v>0.29343749999999996</v>
      </c>
      <c r="U819" s="9">
        <f t="shared" si="68"/>
        <v>0.11221064814814813</v>
      </c>
      <c r="V819" s="9">
        <f t="shared" si="69"/>
        <v>0.69224537037037037</v>
      </c>
    </row>
    <row r="820" spans="1:22" hidden="1" x14ac:dyDescent="0.35">
      <c r="A820" s="52">
        <v>49592</v>
      </c>
      <c r="B820" s="31">
        <v>46118</v>
      </c>
      <c r="C820" s="7" t="s">
        <v>364</v>
      </c>
      <c r="D820" s="7">
        <v>352</v>
      </c>
      <c r="E820" s="10">
        <f>IFERROR(SUMIFS('Base bordo CD'!M$2:M$875,'Base bordo CD'!D$2:D$875,A820,'Base bordo CD'!A$2:A$875,B820,'Base bordo CD'!L$2:L$875,"CORTE DE CANA MECANIZADO"),0)</f>
        <v>7.0425000000000004</v>
      </c>
      <c r="F820" s="10">
        <f>IFERROR(SUMIFS('Base bordo CD'!M$2:M$875,'Base bordo CD'!D$2:D$875,A820,'Base bordo CD'!A$2:A$875,B820,'Base bordo CD'!L$2:L$875,"MANOBRA"),0)</f>
        <v>2.6930555555555555</v>
      </c>
      <c r="G820" s="10">
        <f>IFERROR(SUMIFS('Base bordo CD'!M$2:M$875,'Base bordo CD'!D$2:D$875,A820,'Base bordo CD'!A$2:A$875,B820,'Base bordo CD'!L$2:L$875,"DESLOCAMENTO"),0)</f>
        <v>0.34361111111111109</v>
      </c>
      <c r="H820" s="10">
        <f>IFERROR(SUMIFS('Base bordo CD'!M$2:M$875,'Base bordo CD'!D$2:D$875,A820,'Base bordo CD'!A$2:A$875,B820,'Base bordo CD'!L$2:L$875,"AGUARDANDO MANOBRA DE TRANSBORDO"),0)+IFERROR(SUMIFS('Base bordo CD'!M$2:M$875,'Base bordo CD'!D$2:D$875,A820,'Base bordo CD'!A$2:A$875,B820,'Base bordo CD'!L$2:L$875,"FALTA DE TRANSBORDO"),0)</f>
        <v>0.17194444444444446</v>
      </c>
      <c r="I820" s="10">
        <f>IFERROR(SUMIFS('Base bordo CD'!M$2:M$875,'Base bordo CD'!D$2:D$875,A820,'Base bordo CD'!A$2:A$875,B820,'Base bordo CD'!L$2:L$875,"PARADA POR CONDICOES CLIMATICAS"),0)+IFERROR(SUMIFS('Base bordo CD'!M$2:M$875,'Base bordo CD'!D$2:D$875,A820,'Base bordo CD'!A$2:A$875,B820,'Base bordo CD'!L$2:L$875,"TEMPO INDETERMINADO"),0)</f>
        <v>6.6961111111111107</v>
      </c>
      <c r="J820" s="10">
        <f>IFERROR(SUMIFS('Base bordo CD'!M$2:M$875,'Base bordo CD'!D$2:D$875,A820,'Base bordo CD'!A$2:A$875,B820,'Base bordo CD'!L$2:L$875,"LIMITAÇÃO INDÚSTRIA"),0)</f>
        <v>2.7225000000000001</v>
      </c>
      <c r="K820" s="10">
        <f>IFERROR(SUMIFS('Base bordo CD'!M$2:M$875,'Base bordo CD'!D$2:D$875,A820,'Base bordo CD'!A$2:A$875,B820,'Base bordo CD'!L$2:L$875,"MAN CORRETIVA*"),0)+IFERROR(SUMIFS('Base bordo CD'!M$2:M$875,'Base bordo CD'!D$2:D$875,A820,'Base bordo CD'!A$2:A$875,B820,'Base bordo CD'!L$2:L$875,"AGUARDANDO MANUTENCAO*"),0)+IFERROR(SUMIFS('Base bordo CD'!M$2:M$875,'Base bordo CD'!D$2:D$875,A820,'Base bordo CD'!A$2:A$875,B820,'Base bordo CD'!L$2:L$875,"TROCA DE FAQUINHA"),0)+IFERROR(SUMIFS('Base bordo CD'!M$2:M$875,'Base bordo CD'!D$2:D$875,A820,'Base bordo CD'!A$2:A$875,B820,'Base bordo CD'!L$2:L$875,"LIMPEZA*"),0)</f>
        <v>3.5013888888888891</v>
      </c>
      <c r="L820" s="10">
        <f>IFERROR(SUMIFS('Base bordo CD'!M$2:M$875,'Base bordo CD'!D$2:D$875,A820,'Base bordo CD'!A$2:A$875,B820,'Base bordo CD'!L$2:L$875,"PATIO - RESERVA"),0)</f>
        <v>0</v>
      </c>
      <c r="M820" s="10">
        <f>IFERROR(SUMIFS('Base bordo CD'!M$2:M$875,'Base bordo CD'!D$2:D$875,A820,'Base bordo CD'!A$2:A$875,B820,'Base bordo CD'!L$2:L$875,"SEM APONTAMENTO"),0)</f>
        <v>0.11166666666666666</v>
      </c>
      <c r="N820" s="10">
        <f>IFERROR(SUMIFS('Base bordo CD'!M$2:M$875,'Base bordo CD'!D$2:D$875,A820,'Base bordo CD'!A$2:A$875,B820,'Base bordo CD'!L$2:L$875,"FALTA DE CAMINHÃO"),0)+IFERROR(SUMIFS('Base bordo CD'!M$2:M$875,'Base bordo CD'!D$2:D$875,A820,'Base bordo CD'!A$2:A$875,B820,'Base bordo CD'!L$2:L$875,"FALTA DE COMBUSTIVEL"),0)+IFERROR(SUMIFS('Base bordo CD'!M$2:M$875,'Base bordo CD'!D$2:D$875,A820,'Base bordo CD'!A$2:A$875,B820,'Base bordo CD'!L$2:L$875,"FALTA DE MOTORIST*"),0)</f>
        <v>0.57388888888888889</v>
      </c>
      <c r="O820" s="10">
        <f t="shared" si="65"/>
        <v>0.14333333333333442</v>
      </c>
      <c r="P820" s="10">
        <f>IFERROR(SUMIFS('Base bordo CD'!M$2:M$875,'Base bordo CD'!D$2:D$875,A820,'Base bordo CD'!A$2:A$875,B820),0)</f>
        <v>24.000000000000004</v>
      </c>
      <c r="Q820" s="10">
        <f>IFERROR(SUMIFS('Base bordo CD'!O$2:O$875,'Base bordo CD'!D$2:D$875,A820,'Base bordo CD'!A$2:A$875,B820,'Base bordo CD'!L$2:L$875,"CORTE DE CANA MECANIZADO"),0)</f>
        <v>89359.05</v>
      </c>
      <c r="R820" s="10">
        <f>IFERROR(SUMIFS('Base bordo CD'!Q$2:Q$875,'Base bordo CD'!D$2:D$875,A820,'Base bordo CD'!A$2:A$875,B820,'Base bordo CD'!L$2:L$875,"CORTE DE CANA MECANIZADO"),0)</f>
        <v>25353</v>
      </c>
      <c r="S820" s="30">
        <f t="shared" si="66"/>
        <v>3.5245947225180454</v>
      </c>
      <c r="T820" s="9">
        <f t="shared" si="67"/>
        <v>0.29343749999999996</v>
      </c>
      <c r="U820" s="9">
        <f t="shared" si="68"/>
        <v>0.11221064814814813</v>
      </c>
      <c r="V820" s="9">
        <f t="shared" si="69"/>
        <v>0.69224537037037037</v>
      </c>
    </row>
    <row r="821" spans="1:22" hidden="1" x14ac:dyDescent="0.35">
      <c r="A821" s="52">
        <v>49592</v>
      </c>
      <c r="B821" s="31">
        <v>46118</v>
      </c>
      <c r="C821" s="7" t="s">
        <v>364</v>
      </c>
      <c r="D821" s="7">
        <v>352</v>
      </c>
      <c r="E821" s="10">
        <f>IFERROR(SUMIFS('Base bordo CD'!M$2:M$875,'Base bordo CD'!D$2:D$875,A821,'Base bordo CD'!A$2:A$875,B821,'Base bordo CD'!L$2:L$875,"CORTE DE CANA MECANIZADO"),0)</f>
        <v>7.0425000000000004</v>
      </c>
      <c r="F821" s="10">
        <f>IFERROR(SUMIFS('Base bordo CD'!M$2:M$875,'Base bordo CD'!D$2:D$875,A821,'Base bordo CD'!A$2:A$875,B821,'Base bordo CD'!L$2:L$875,"MANOBRA"),0)</f>
        <v>2.6930555555555555</v>
      </c>
      <c r="G821" s="10">
        <f>IFERROR(SUMIFS('Base bordo CD'!M$2:M$875,'Base bordo CD'!D$2:D$875,A821,'Base bordo CD'!A$2:A$875,B821,'Base bordo CD'!L$2:L$875,"DESLOCAMENTO"),0)</f>
        <v>0.34361111111111109</v>
      </c>
      <c r="H821" s="10">
        <f>IFERROR(SUMIFS('Base bordo CD'!M$2:M$875,'Base bordo CD'!D$2:D$875,A821,'Base bordo CD'!A$2:A$875,B821,'Base bordo CD'!L$2:L$875,"AGUARDANDO MANOBRA DE TRANSBORDO"),0)+IFERROR(SUMIFS('Base bordo CD'!M$2:M$875,'Base bordo CD'!D$2:D$875,A821,'Base bordo CD'!A$2:A$875,B821,'Base bordo CD'!L$2:L$875,"FALTA DE TRANSBORDO"),0)</f>
        <v>0.17194444444444446</v>
      </c>
      <c r="I821" s="10">
        <f>IFERROR(SUMIFS('Base bordo CD'!M$2:M$875,'Base bordo CD'!D$2:D$875,A821,'Base bordo CD'!A$2:A$875,B821,'Base bordo CD'!L$2:L$875,"PARADA POR CONDICOES CLIMATICAS"),0)+IFERROR(SUMIFS('Base bordo CD'!M$2:M$875,'Base bordo CD'!D$2:D$875,A821,'Base bordo CD'!A$2:A$875,B821,'Base bordo CD'!L$2:L$875,"TEMPO INDETERMINADO"),0)</f>
        <v>6.6961111111111107</v>
      </c>
      <c r="J821" s="10">
        <f>IFERROR(SUMIFS('Base bordo CD'!M$2:M$875,'Base bordo CD'!D$2:D$875,A821,'Base bordo CD'!A$2:A$875,B821,'Base bordo CD'!L$2:L$875,"LIMITAÇÃO INDÚSTRIA"),0)</f>
        <v>2.7225000000000001</v>
      </c>
      <c r="K821" s="10">
        <f>IFERROR(SUMIFS('Base bordo CD'!M$2:M$875,'Base bordo CD'!D$2:D$875,A821,'Base bordo CD'!A$2:A$875,B821,'Base bordo CD'!L$2:L$875,"MAN CORRETIVA*"),0)+IFERROR(SUMIFS('Base bordo CD'!M$2:M$875,'Base bordo CD'!D$2:D$875,A821,'Base bordo CD'!A$2:A$875,B821,'Base bordo CD'!L$2:L$875,"AGUARDANDO MANUTENCAO*"),0)+IFERROR(SUMIFS('Base bordo CD'!M$2:M$875,'Base bordo CD'!D$2:D$875,A821,'Base bordo CD'!A$2:A$875,B821,'Base bordo CD'!L$2:L$875,"TROCA DE FAQUINHA"),0)+IFERROR(SUMIFS('Base bordo CD'!M$2:M$875,'Base bordo CD'!D$2:D$875,A821,'Base bordo CD'!A$2:A$875,B821,'Base bordo CD'!L$2:L$875,"LIMPEZA*"),0)</f>
        <v>3.5013888888888891</v>
      </c>
      <c r="L821" s="10">
        <f>IFERROR(SUMIFS('Base bordo CD'!M$2:M$875,'Base bordo CD'!D$2:D$875,A821,'Base bordo CD'!A$2:A$875,B821,'Base bordo CD'!L$2:L$875,"PATIO - RESERVA"),0)</f>
        <v>0</v>
      </c>
      <c r="M821" s="10">
        <f>IFERROR(SUMIFS('Base bordo CD'!M$2:M$875,'Base bordo CD'!D$2:D$875,A821,'Base bordo CD'!A$2:A$875,B821,'Base bordo CD'!L$2:L$875,"SEM APONTAMENTO"),0)</f>
        <v>0.11166666666666666</v>
      </c>
      <c r="N821" s="10">
        <f>IFERROR(SUMIFS('Base bordo CD'!M$2:M$875,'Base bordo CD'!D$2:D$875,A821,'Base bordo CD'!A$2:A$875,B821,'Base bordo CD'!L$2:L$875,"FALTA DE CAMINHÃO"),0)+IFERROR(SUMIFS('Base bordo CD'!M$2:M$875,'Base bordo CD'!D$2:D$875,A821,'Base bordo CD'!A$2:A$875,B821,'Base bordo CD'!L$2:L$875,"FALTA DE COMBUSTIVEL"),0)+IFERROR(SUMIFS('Base bordo CD'!M$2:M$875,'Base bordo CD'!D$2:D$875,A821,'Base bordo CD'!A$2:A$875,B821,'Base bordo CD'!L$2:L$875,"FALTA DE MOTORIST*"),0)</f>
        <v>0.57388888888888889</v>
      </c>
      <c r="O821" s="10">
        <f t="shared" si="65"/>
        <v>0.14333333333333442</v>
      </c>
      <c r="P821" s="10">
        <f>IFERROR(SUMIFS('Base bordo CD'!M$2:M$875,'Base bordo CD'!D$2:D$875,A821,'Base bordo CD'!A$2:A$875,B821),0)</f>
        <v>24.000000000000004</v>
      </c>
      <c r="Q821" s="10">
        <f>IFERROR(SUMIFS('Base bordo CD'!O$2:O$875,'Base bordo CD'!D$2:D$875,A821,'Base bordo CD'!A$2:A$875,B821,'Base bordo CD'!L$2:L$875,"CORTE DE CANA MECANIZADO"),0)</f>
        <v>89359.05</v>
      </c>
      <c r="R821" s="10">
        <f>IFERROR(SUMIFS('Base bordo CD'!Q$2:Q$875,'Base bordo CD'!D$2:D$875,A821,'Base bordo CD'!A$2:A$875,B821,'Base bordo CD'!L$2:L$875,"CORTE DE CANA MECANIZADO"),0)</f>
        <v>25353</v>
      </c>
      <c r="S821" s="30">
        <f t="shared" si="66"/>
        <v>3.5245947225180454</v>
      </c>
      <c r="T821" s="9">
        <f t="shared" si="67"/>
        <v>0.29343749999999996</v>
      </c>
      <c r="U821" s="9">
        <f t="shared" si="68"/>
        <v>0.11221064814814813</v>
      </c>
      <c r="V821" s="9">
        <f t="shared" si="69"/>
        <v>0.69224537037037037</v>
      </c>
    </row>
    <row r="822" spans="1:22" hidden="1" x14ac:dyDescent="0.35">
      <c r="A822" s="52">
        <v>49592</v>
      </c>
      <c r="B822" s="31">
        <v>46118</v>
      </c>
      <c r="C822" s="7" t="s">
        <v>364</v>
      </c>
      <c r="D822" s="7">
        <v>352</v>
      </c>
      <c r="E822" s="10">
        <f>IFERROR(SUMIFS('Base bordo CD'!M$2:M$875,'Base bordo CD'!D$2:D$875,A822,'Base bordo CD'!A$2:A$875,B822,'Base bordo CD'!L$2:L$875,"CORTE DE CANA MECANIZADO"),0)</f>
        <v>7.0425000000000004</v>
      </c>
      <c r="F822" s="10">
        <f>IFERROR(SUMIFS('Base bordo CD'!M$2:M$875,'Base bordo CD'!D$2:D$875,A822,'Base bordo CD'!A$2:A$875,B822,'Base bordo CD'!L$2:L$875,"MANOBRA"),0)</f>
        <v>2.6930555555555555</v>
      </c>
      <c r="G822" s="10">
        <f>IFERROR(SUMIFS('Base bordo CD'!M$2:M$875,'Base bordo CD'!D$2:D$875,A822,'Base bordo CD'!A$2:A$875,B822,'Base bordo CD'!L$2:L$875,"DESLOCAMENTO"),0)</f>
        <v>0.34361111111111109</v>
      </c>
      <c r="H822" s="10">
        <f>IFERROR(SUMIFS('Base bordo CD'!M$2:M$875,'Base bordo CD'!D$2:D$875,A822,'Base bordo CD'!A$2:A$875,B822,'Base bordo CD'!L$2:L$875,"AGUARDANDO MANOBRA DE TRANSBORDO"),0)+IFERROR(SUMIFS('Base bordo CD'!M$2:M$875,'Base bordo CD'!D$2:D$875,A822,'Base bordo CD'!A$2:A$875,B822,'Base bordo CD'!L$2:L$875,"FALTA DE TRANSBORDO"),0)</f>
        <v>0.17194444444444446</v>
      </c>
      <c r="I822" s="10">
        <f>IFERROR(SUMIFS('Base bordo CD'!M$2:M$875,'Base bordo CD'!D$2:D$875,A822,'Base bordo CD'!A$2:A$875,B822,'Base bordo CD'!L$2:L$875,"PARADA POR CONDICOES CLIMATICAS"),0)+IFERROR(SUMIFS('Base bordo CD'!M$2:M$875,'Base bordo CD'!D$2:D$875,A822,'Base bordo CD'!A$2:A$875,B822,'Base bordo CD'!L$2:L$875,"TEMPO INDETERMINADO"),0)</f>
        <v>6.6961111111111107</v>
      </c>
      <c r="J822" s="10">
        <f>IFERROR(SUMIFS('Base bordo CD'!M$2:M$875,'Base bordo CD'!D$2:D$875,A822,'Base bordo CD'!A$2:A$875,B822,'Base bordo CD'!L$2:L$875,"LIMITAÇÃO INDÚSTRIA"),0)</f>
        <v>2.7225000000000001</v>
      </c>
      <c r="K822" s="10">
        <f>IFERROR(SUMIFS('Base bordo CD'!M$2:M$875,'Base bordo CD'!D$2:D$875,A822,'Base bordo CD'!A$2:A$875,B822,'Base bordo CD'!L$2:L$875,"MAN CORRETIVA*"),0)+IFERROR(SUMIFS('Base bordo CD'!M$2:M$875,'Base bordo CD'!D$2:D$875,A822,'Base bordo CD'!A$2:A$875,B822,'Base bordo CD'!L$2:L$875,"AGUARDANDO MANUTENCAO*"),0)+IFERROR(SUMIFS('Base bordo CD'!M$2:M$875,'Base bordo CD'!D$2:D$875,A822,'Base bordo CD'!A$2:A$875,B822,'Base bordo CD'!L$2:L$875,"TROCA DE FAQUINHA"),0)+IFERROR(SUMIFS('Base bordo CD'!M$2:M$875,'Base bordo CD'!D$2:D$875,A822,'Base bordo CD'!A$2:A$875,B822,'Base bordo CD'!L$2:L$875,"LIMPEZA*"),0)</f>
        <v>3.5013888888888891</v>
      </c>
      <c r="L822" s="10">
        <f>IFERROR(SUMIFS('Base bordo CD'!M$2:M$875,'Base bordo CD'!D$2:D$875,A822,'Base bordo CD'!A$2:A$875,B822,'Base bordo CD'!L$2:L$875,"PATIO - RESERVA"),0)</f>
        <v>0</v>
      </c>
      <c r="M822" s="10">
        <f>IFERROR(SUMIFS('Base bordo CD'!M$2:M$875,'Base bordo CD'!D$2:D$875,A822,'Base bordo CD'!A$2:A$875,B822,'Base bordo CD'!L$2:L$875,"SEM APONTAMENTO"),0)</f>
        <v>0.11166666666666666</v>
      </c>
      <c r="N822" s="10">
        <f>IFERROR(SUMIFS('Base bordo CD'!M$2:M$875,'Base bordo CD'!D$2:D$875,A822,'Base bordo CD'!A$2:A$875,B822,'Base bordo CD'!L$2:L$875,"FALTA DE CAMINHÃO"),0)+IFERROR(SUMIFS('Base bordo CD'!M$2:M$875,'Base bordo CD'!D$2:D$875,A822,'Base bordo CD'!A$2:A$875,B822,'Base bordo CD'!L$2:L$875,"FALTA DE COMBUSTIVEL"),0)+IFERROR(SUMIFS('Base bordo CD'!M$2:M$875,'Base bordo CD'!D$2:D$875,A822,'Base bordo CD'!A$2:A$875,B822,'Base bordo CD'!L$2:L$875,"FALTA DE MOTORIST*"),0)</f>
        <v>0.57388888888888889</v>
      </c>
      <c r="O822" s="10">
        <f t="shared" si="65"/>
        <v>0.14333333333333442</v>
      </c>
      <c r="P822" s="10">
        <f>IFERROR(SUMIFS('Base bordo CD'!M$2:M$875,'Base bordo CD'!D$2:D$875,A822,'Base bordo CD'!A$2:A$875,B822),0)</f>
        <v>24.000000000000004</v>
      </c>
      <c r="Q822" s="10">
        <f>IFERROR(SUMIFS('Base bordo CD'!O$2:O$875,'Base bordo CD'!D$2:D$875,A822,'Base bordo CD'!A$2:A$875,B822,'Base bordo CD'!L$2:L$875,"CORTE DE CANA MECANIZADO"),0)</f>
        <v>89359.05</v>
      </c>
      <c r="R822" s="10">
        <f>IFERROR(SUMIFS('Base bordo CD'!Q$2:Q$875,'Base bordo CD'!D$2:D$875,A822,'Base bordo CD'!A$2:A$875,B822,'Base bordo CD'!L$2:L$875,"CORTE DE CANA MECANIZADO"),0)</f>
        <v>25353</v>
      </c>
      <c r="S822" s="30">
        <f t="shared" si="66"/>
        <v>3.5245947225180454</v>
      </c>
      <c r="T822" s="9">
        <f t="shared" si="67"/>
        <v>0.29343749999999996</v>
      </c>
      <c r="U822" s="9">
        <f t="shared" si="68"/>
        <v>0.11221064814814813</v>
      </c>
      <c r="V822" s="9">
        <f t="shared" si="69"/>
        <v>0.69224537037037037</v>
      </c>
    </row>
    <row r="823" spans="1:22" hidden="1" x14ac:dyDescent="0.35">
      <c r="A823" s="52">
        <v>49592</v>
      </c>
      <c r="B823" s="31">
        <v>46118</v>
      </c>
      <c r="C823" s="7" t="s">
        <v>364</v>
      </c>
      <c r="D823" s="7">
        <v>352</v>
      </c>
      <c r="E823" s="10">
        <f>IFERROR(SUMIFS('Base bordo CD'!M$2:M$875,'Base bordo CD'!D$2:D$875,A823,'Base bordo CD'!A$2:A$875,B823,'Base bordo CD'!L$2:L$875,"CORTE DE CANA MECANIZADO"),0)</f>
        <v>7.0425000000000004</v>
      </c>
      <c r="F823" s="10">
        <f>IFERROR(SUMIFS('Base bordo CD'!M$2:M$875,'Base bordo CD'!D$2:D$875,A823,'Base bordo CD'!A$2:A$875,B823,'Base bordo CD'!L$2:L$875,"MANOBRA"),0)</f>
        <v>2.6930555555555555</v>
      </c>
      <c r="G823" s="10">
        <f>IFERROR(SUMIFS('Base bordo CD'!M$2:M$875,'Base bordo CD'!D$2:D$875,A823,'Base bordo CD'!A$2:A$875,B823,'Base bordo CD'!L$2:L$875,"DESLOCAMENTO"),0)</f>
        <v>0.34361111111111109</v>
      </c>
      <c r="H823" s="10">
        <f>IFERROR(SUMIFS('Base bordo CD'!M$2:M$875,'Base bordo CD'!D$2:D$875,A823,'Base bordo CD'!A$2:A$875,B823,'Base bordo CD'!L$2:L$875,"AGUARDANDO MANOBRA DE TRANSBORDO"),0)+IFERROR(SUMIFS('Base bordo CD'!M$2:M$875,'Base bordo CD'!D$2:D$875,A823,'Base bordo CD'!A$2:A$875,B823,'Base bordo CD'!L$2:L$875,"FALTA DE TRANSBORDO"),0)</f>
        <v>0.17194444444444446</v>
      </c>
      <c r="I823" s="10">
        <f>IFERROR(SUMIFS('Base bordo CD'!M$2:M$875,'Base bordo CD'!D$2:D$875,A823,'Base bordo CD'!A$2:A$875,B823,'Base bordo CD'!L$2:L$875,"PARADA POR CONDICOES CLIMATICAS"),0)+IFERROR(SUMIFS('Base bordo CD'!M$2:M$875,'Base bordo CD'!D$2:D$875,A823,'Base bordo CD'!A$2:A$875,B823,'Base bordo CD'!L$2:L$875,"TEMPO INDETERMINADO"),0)</f>
        <v>6.6961111111111107</v>
      </c>
      <c r="J823" s="10">
        <f>IFERROR(SUMIFS('Base bordo CD'!M$2:M$875,'Base bordo CD'!D$2:D$875,A823,'Base bordo CD'!A$2:A$875,B823,'Base bordo CD'!L$2:L$875,"LIMITAÇÃO INDÚSTRIA"),0)</f>
        <v>2.7225000000000001</v>
      </c>
      <c r="K823" s="10">
        <f>IFERROR(SUMIFS('Base bordo CD'!M$2:M$875,'Base bordo CD'!D$2:D$875,A823,'Base bordo CD'!A$2:A$875,B823,'Base bordo CD'!L$2:L$875,"MAN CORRETIVA*"),0)+IFERROR(SUMIFS('Base bordo CD'!M$2:M$875,'Base bordo CD'!D$2:D$875,A823,'Base bordo CD'!A$2:A$875,B823,'Base bordo CD'!L$2:L$875,"AGUARDANDO MANUTENCAO*"),0)+IFERROR(SUMIFS('Base bordo CD'!M$2:M$875,'Base bordo CD'!D$2:D$875,A823,'Base bordo CD'!A$2:A$875,B823,'Base bordo CD'!L$2:L$875,"TROCA DE FAQUINHA"),0)+IFERROR(SUMIFS('Base bordo CD'!M$2:M$875,'Base bordo CD'!D$2:D$875,A823,'Base bordo CD'!A$2:A$875,B823,'Base bordo CD'!L$2:L$875,"LIMPEZA*"),0)</f>
        <v>3.5013888888888891</v>
      </c>
      <c r="L823" s="10">
        <f>IFERROR(SUMIFS('Base bordo CD'!M$2:M$875,'Base bordo CD'!D$2:D$875,A823,'Base bordo CD'!A$2:A$875,B823,'Base bordo CD'!L$2:L$875,"PATIO - RESERVA"),0)</f>
        <v>0</v>
      </c>
      <c r="M823" s="10">
        <f>IFERROR(SUMIFS('Base bordo CD'!M$2:M$875,'Base bordo CD'!D$2:D$875,A823,'Base bordo CD'!A$2:A$875,B823,'Base bordo CD'!L$2:L$875,"SEM APONTAMENTO"),0)</f>
        <v>0.11166666666666666</v>
      </c>
      <c r="N823" s="10">
        <f>IFERROR(SUMIFS('Base bordo CD'!M$2:M$875,'Base bordo CD'!D$2:D$875,A823,'Base bordo CD'!A$2:A$875,B823,'Base bordo CD'!L$2:L$875,"FALTA DE CAMINHÃO"),0)+IFERROR(SUMIFS('Base bordo CD'!M$2:M$875,'Base bordo CD'!D$2:D$875,A823,'Base bordo CD'!A$2:A$875,B823,'Base bordo CD'!L$2:L$875,"FALTA DE COMBUSTIVEL"),0)+IFERROR(SUMIFS('Base bordo CD'!M$2:M$875,'Base bordo CD'!D$2:D$875,A823,'Base bordo CD'!A$2:A$875,B823,'Base bordo CD'!L$2:L$875,"FALTA DE MOTORIST*"),0)</f>
        <v>0.57388888888888889</v>
      </c>
      <c r="O823" s="10">
        <f t="shared" si="65"/>
        <v>0.14333333333333442</v>
      </c>
      <c r="P823" s="10">
        <f>IFERROR(SUMIFS('Base bordo CD'!M$2:M$875,'Base bordo CD'!D$2:D$875,A823,'Base bordo CD'!A$2:A$875,B823),0)</f>
        <v>24.000000000000004</v>
      </c>
      <c r="Q823" s="10">
        <f>IFERROR(SUMIFS('Base bordo CD'!O$2:O$875,'Base bordo CD'!D$2:D$875,A823,'Base bordo CD'!A$2:A$875,B823,'Base bordo CD'!L$2:L$875,"CORTE DE CANA MECANIZADO"),0)</f>
        <v>89359.05</v>
      </c>
      <c r="R823" s="10">
        <f>IFERROR(SUMIFS('Base bordo CD'!Q$2:Q$875,'Base bordo CD'!D$2:D$875,A823,'Base bordo CD'!A$2:A$875,B823,'Base bordo CD'!L$2:L$875,"CORTE DE CANA MECANIZADO"),0)</f>
        <v>25353</v>
      </c>
      <c r="S823" s="30">
        <f t="shared" si="66"/>
        <v>3.5245947225180454</v>
      </c>
      <c r="T823" s="9">
        <f t="shared" si="67"/>
        <v>0.29343749999999996</v>
      </c>
      <c r="U823" s="9">
        <f t="shared" si="68"/>
        <v>0.11221064814814813</v>
      </c>
      <c r="V823" s="9">
        <f t="shared" si="69"/>
        <v>0.69224537037037037</v>
      </c>
    </row>
    <row r="824" spans="1:22" hidden="1" x14ac:dyDescent="0.35">
      <c r="A824" s="52">
        <v>49592</v>
      </c>
      <c r="B824" s="31">
        <v>46118</v>
      </c>
      <c r="C824" s="7" t="s">
        <v>364</v>
      </c>
      <c r="D824" s="7">
        <v>352</v>
      </c>
      <c r="E824" s="10">
        <f>IFERROR(SUMIFS('Base bordo CD'!M$2:M$875,'Base bordo CD'!D$2:D$875,A824,'Base bordo CD'!A$2:A$875,B824,'Base bordo CD'!L$2:L$875,"CORTE DE CANA MECANIZADO"),0)</f>
        <v>7.0425000000000004</v>
      </c>
      <c r="F824" s="10">
        <f>IFERROR(SUMIFS('Base bordo CD'!M$2:M$875,'Base bordo CD'!D$2:D$875,A824,'Base bordo CD'!A$2:A$875,B824,'Base bordo CD'!L$2:L$875,"MANOBRA"),0)</f>
        <v>2.6930555555555555</v>
      </c>
      <c r="G824" s="10">
        <f>IFERROR(SUMIFS('Base bordo CD'!M$2:M$875,'Base bordo CD'!D$2:D$875,A824,'Base bordo CD'!A$2:A$875,B824,'Base bordo CD'!L$2:L$875,"DESLOCAMENTO"),0)</f>
        <v>0.34361111111111109</v>
      </c>
      <c r="H824" s="10">
        <f>IFERROR(SUMIFS('Base bordo CD'!M$2:M$875,'Base bordo CD'!D$2:D$875,A824,'Base bordo CD'!A$2:A$875,B824,'Base bordo CD'!L$2:L$875,"AGUARDANDO MANOBRA DE TRANSBORDO"),0)+IFERROR(SUMIFS('Base bordo CD'!M$2:M$875,'Base bordo CD'!D$2:D$875,A824,'Base bordo CD'!A$2:A$875,B824,'Base bordo CD'!L$2:L$875,"FALTA DE TRANSBORDO"),0)</f>
        <v>0.17194444444444446</v>
      </c>
      <c r="I824" s="10">
        <f>IFERROR(SUMIFS('Base bordo CD'!M$2:M$875,'Base bordo CD'!D$2:D$875,A824,'Base bordo CD'!A$2:A$875,B824,'Base bordo CD'!L$2:L$875,"PARADA POR CONDICOES CLIMATICAS"),0)+IFERROR(SUMIFS('Base bordo CD'!M$2:M$875,'Base bordo CD'!D$2:D$875,A824,'Base bordo CD'!A$2:A$875,B824,'Base bordo CD'!L$2:L$875,"TEMPO INDETERMINADO"),0)</f>
        <v>6.6961111111111107</v>
      </c>
      <c r="J824" s="10">
        <f>IFERROR(SUMIFS('Base bordo CD'!M$2:M$875,'Base bordo CD'!D$2:D$875,A824,'Base bordo CD'!A$2:A$875,B824,'Base bordo CD'!L$2:L$875,"LIMITAÇÃO INDÚSTRIA"),0)</f>
        <v>2.7225000000000001</v>
      </c>
      <c r="K824" s="10">
        <f>IFERROR(SUMIFS('Base bordo CD'!M$2:M$875,'Base bordo CD'!D$2:D$875,A824,'Base bordo CD'!A$2:A$875,B824,'Base bordo CD'!L$2:L$875,"MAN CORRETIVA*"),0)+IFERROR(SUMIFS('Base bordo CD'!M$2:M$875,'Base bordo CD'!D$2:D$875,A824,'Base bordo CD'!A$2:A$875,B824,'Base bordo CD'!L$2:L$875,"AGUARDANDO MANUTENCAO*"),0)+IFERROR(SUMIFS('Base bordo CD'!M$2:M$875,'Base bordo CD'!D$2:D$875,A824,'Base bordo CD'!A$2:A$875,B824,'Base bordo CD'!L$2:L$875,"TROCA DE FAQUINHA"),0)+IFERROR(SUMIFS('Base bordo CD'!M$2:M$875,'Base bordo CD'!D$2:D$875,A824,'Base bordo CD'!A$2:A$875,B824,'Base bordo CD'!L$2:L$875,"LIMPEZA*"),0)</f>
        <v>3.5013888888888891</v>
      </c>
      <c r="L824" s="10">
        <f>IFERROR(SUMIFS('Base bordo CD'!M$2:M$875,'Base bordo CD'!D$2:D$875,A824,'Base bordo CD'!A$2:A$875,B824,'Base bordo CD'!L$2:L$875,"PATIO - RESERVA"),0)</f>
        <v>0</v>
      </c>
      <c r="M824" s="10">
        <f>IFERROR(SUMIFS('Base bordo CD'!M$2:M$875,'Base bordo CD'!D$2:D$875,A824,'Base bordo CD'!A$2:A$875,B824,'Base bordo CD'!L$2:L$875,"SEM APONTAMENTO"),0)</f>
        <v>0.11166666666666666</v>
      </c>
      <c r="N824" s="10">
        <f>IFERROR(SUMIFS('Base bordo CD'!M$2:M$875,'Base bordo CD'!D$2:D$875,A824,'Base bordo CD'!A$2:A$875,B824,'Base bordo CD'!L$2:L$875,"FALTA DE CAMINHÃO"),0)+IFERROR(SUMIFS('Base bordo CD'!M$2:M$875,'Base bordo CD'!D$2:D$875,A824,'Base bordo CD'!A$2:A$875,B824,'Base bordo CD'!L$2:L$875,"FALTA DE COMBUSTIVEL"),0)+IFERROR(SUMIFS('Base bordo CD'!M$2:M$875,'Base bordo CD'!D$2:D$875,A824,'Base bordo CD'!A$2:A$875,B824,'Base bordo CD'!L$2:L$875,"FALTA DE MOTORIST*"),0)</f>
        <v>0.57388888888888889</v>
      </c>
      <c r="O824" s="10">
        <f t="shared" si="65"/>
        <v>0.14333333333333442</v>
      </c>
      <c r="P824" s="10">
        <f>IFERROR(SUMIFS('Base bordo CD'!M$2:M$875,'Base bordo CD'!D$2:D$875,A824,'Base bordo CD'!A$2:A$875,B824),0)</f>
        <v>24.000000000000004</v>
      </c>
      <c r="Q824" s="10">
        <f>IFERROR(SUMIFS('Base bordo CD'!O$2:O$875,'Base bordo CD'!D$2:D$875,A824,'Base bordo CD'!A$2:A$875,B824,'Base bordo CD'!L$2:L$875,"CORTE DE CANA MECANIZADO"),0)</f>
        <v>89359.05</v>
      </c>
      <c r="R824" s="10">
        <f>IFERROR(SUMIFS('Base bordo CD'!Q$2:Q$875,'Base bordo CD'!D$2:D$875,A824,'Base bordo CD'!A$2:A$875,B824,'Base bordo CD'!L$2:L$875,"CORTE DE CANA MECANIZADO"),0)</f>
        <v>25353</v>
      </c>
      <c r="S824" s="30">
        <f t="shared" si="66"/>
        <v>3.5245947225180454</v>
      </c>
      <c r="T824" s="9">
        <f t="shared" si="67"/>
        <v>0.29343749999999996</v>
      </c>
      <c r="U824" s="9">
        <f t="shared" si="68"/>
        <v>0.11221064814814813</v>
      </c>
      <c r="V824" s="9">
        <f t="shared" si="69"/>
        <v>0.69224537037037037</v>
      </c>
    </row>
    <row r="825" spans="1:22" hidden="1" x14ac:dyDescent="0.35">
      <c r="A825" s="52">
        <v>49592</v>
      </c>
      <c r="B825" s="31">
        <v>46118</v>
      </c>
      <c r="C825" s="7" t="s">
        <v>364</v>
      </c>
      <c r="D825" s="7">
        <v>352</v>
      </c>
      <c r="E825" s="10">
        <f>IFERROR(SUMIFS('Base bordo CD'!M$2:M$875,'Base bordo CD'!D$2:D$875,A825,'Base bordo CD'!A$2:A$875,B825,'Base bordo CD'!L$2:L$875,"CORTE DE CANA MECANIZADO"),0)</f>
        <v>7.0425000000000004</v>
      </c>
      <c r="F825" s="10">
        <f>IFERROR(SUMIFS('Base bordo CD'!M$2:M$875,'Base bordo CD'!D$2:D$875,A825,'Base bordo CD'!A$2:A$875,B825,'Base bordo CD'!L$2:L$875,"MANOBRA"),0)</f>
        <v>2.6930555555555555</v>
      </c>
      <c r="G825" s="10">
        <f>IFERROR(SUMIFS('Base bordo CD'!M$2:M$875,'Base bordo CD'!D$2:D$875,A825,'Base bordo CD'!A$2:A$875,B825,'Base bordo CD'!L$2:L$875,"DESLOCAMENTO"),0)</f>
        <v>0.34361111111111109</v>
      </c>
      <c r="H825" s="10">
        <f>IFERROR(SUMIFS('Base bordo CD'!M$2:M$875,'Base bordo CD'!D$2:D$875,A825,'Base bordo CD'!A$2:A$875,B825,'Base bordo CD'!L$2:L$875,"AGUARDANDO MANOBRA DE TRANSBORDO"),0)+IFERROR(SUMIFS('Base bordo CD'!M$2:M$875,'Base bordo CD'!D$2:D$875,A825,'Base bordo CD'!A$2:A$875,B825,'Base bordo CD'!L$2:L$875,"FALTA DE TRANSBORDO"),0)</f>
        <v>0.17194444444444446</v>
      </c>
      <c r="I825" s="10">
        <f>IFERROR(SUMIFS('Base bordo CD'!M$2:M$875,'Base bordo CD'!D$2:D$875,A825,'Base bordo CD'!A$2:A$875,B825,'Base bordo CD'!L$2:L$875,"PARADA POR CONDICOES CLIMATICAS"),0)+IFERROR(SUMIFS('Base bordo CD'!M$2:M$875,'Base bordo CD'!D$2:D$875,A825,'Base bordo CD'!A$2:A$875,B825,'Base bordo CD'!L$2:L$875,"TEMPO INDETERMINADO"),0)</f>
        <v>6.6961111111111107</v>
      </c>
      <c r="J825" s="10">
        <f>IFERROR(SUMIFS('Base bordo CD'!M$2:M$875,'Base bordo CD'!D$2:D$875,A825,'Base bordo CD'!A$2:A$875,B825,'Base bordo CD'!L$2:L$875,"LIMITAÇÃO INDÚSTRIA"),0)</f>
        <v>2.7225000000000001</v>
      </c>
      <c r="K825" s="10">
        <f>IFERROR(SUMIFS('Base bordo CD'!M$2:M$875,'Base bordo CD'!D$2:D$875,A825,'Base bordo CD'!A$2:A$875,B825,'Base bordo CD'!L$2:L$875,"MAN CORRETIVA*"),0)+IFERROR(SUMIFS('Base bordo CD'!M$2:M$875,'Base bordo CD'!D$2:D$875,A825,'Base bordo CD'!A$2:A$875,B825,'Base bordo CD'!L$2:L$875,"AGUARDANDO MANUTENCAO*"),0)+IFERROR(SUMIFS('Base bordo CD'!M$2:M$875,'Base bordo CD'!D$2:D$875,A825,'Base bordo CD'!A$2:A$875,B825,'Base bordo CD'!L$2:L$875,"TROCA DE FAQUINHA"),0)+IFERROR(SUMIFS('Base bordo CD'!M$2:M$875,'Base bordo CD'!D$2:D$875,A825,'Base bordo CD'!A$2:A$875,B825,'Base bordo CD'!L$2:L$875,"LIMPEZA*"),0)</f>
        <v>3.5013888888888891</v>
      </c>
      <c r="L825" s="10">
        <f>IFERROR(SUMIFS('Base bordo CD'!M$2:M$875,'Base bordo CD'!D$2:D$875,A825,'Base bordo CD'!A$2:A$875,B825,'Base bordo CD'!L$2:L$875,"PATIO - RESERVA"),0)</f>
        <v>0</v>
      </c>
      <c r="M825" s="10">
        <f>IFERROR(SUMIFS('Base bordo CD'!M$2:M$875,'Base bordo CD'!D$2:D$875,A825,'Base bordo CD'!A$2:A$875,B825,'Base bordo CD'!L$2:L$875,"SEM APONTAMENTO"),0)</f>
        <v>0.11166666666666666</v>
      </c>
      <c r="N825" s="10">
        <f>IFERROR(SUMIFS('Base bordo CD'!M$2:M$875,'Base bordo CD'!D$2:D$875,A825,'Base bordo CD'!A$2:A$875,B825,'Base bordo CD'!L$2:L$875,"FALTA DE CAMINHÃO"),0)+IFERROR(SUMIFS('Base bordo CD'!M$2:M$875,'Base bordo CD'!D$2:D$875,A825,'Base bordo CD'!A$2:A$875,B825,'Base bordo CD'!L$2:L$875,"FALTA DE COMBUSTIVEL"),0)+IFERROR(SUMIFS('Base bordo CD'!M$2:M$875,'Base bordo CD'!D$2:D$875,A825,'Base bordo CD'!A$2:A$875,B825,'Base bordo CD'!L$2:L$875,"FALTA DE MOTORIST*"),0)</f>
        <v>0.57388888888888889</v>
      </c>
      <c r="O825" s="10">
        <f t="shared" si="65"/>
        <v>0.14333333333333442</v>
      </c>
      <c r="P825" s="10">
        <f>IFERROR(SUMIFS('Base bordo CD'!M$2:M$875,'Base bordo CD'!D$2:D$875,A825,'Base bordo CD'!A$2:A$875,B825),0)</f>
        <v>24.000000000000004</v>
      </c>
      <c r="Q825" s="10">
        <f>IFERROR(SUMIFS('Base bordo CD'!O$2:O$875,'Base bordo CD'!D$2:D$875,A825,'Base bordo CD'!A$2:A$875,B825,'Base bordo CD'!L$2:L$875,"CORTE DE CANA MECANIZADO"),0)</f>
        <v>89359.05</v>
      </c>
      <c r="R825" s="10">
        <f>IFERROR(SUMIFS('Base bordo CD'!Q$2:Q$875,'Base bordo CD'!D$2:D$875,A825,'Base bordo CD'!A$2:A$875,B825,'Base bordo CD'!L$2:L$875,"CORTE DE CANA MECANIZADO"),0)</f>
        <v>25353</v>
      </c>
      <c r="S825" s="30">
        <f t="shared" si="66"/>
        <v>3.5245947225180454</v>
      </c>
      <c r="T825" s="9">
        <f t="shared" si="67"/>
        <v>0.29343749999999996</v>
      </c>
      <c r="U825" s="9">
        <f t="shared" si="68"/>
        <v>0.11221064814814813</v>
      </c>
      <c r="V825" s="9">
        <f t="shared" si="69"/>
        <v>0.69224537037037037</v>
      </c>
    </row>
    <row r="826" spans="1:22" hidden="1" x14ac:dyDescent="0.35">
      <c r="A826" s="52">
        <v>49592</v>
      </c>
      <c r="B826" s="31">
        <v>46118</v>
      </c>
      <c r="C826" s="7" t="s">
        <v>364</v>
      </c>
      <c r="D826" s="7">
        <v>352</v>
      </c>
      <c r="E826" s="10">
        <f>IFERROR(SUMIFS('Base bordo CD'!M$2:M$875,'Base bordo CD'!D$2:D$875,A826,'Base bordo CD'!A$2:A$875,B826,'Base bordo CD'!L$2:L$875,"CORTE DE CANA MECANIZADO"),0)</f>
        <v>7.0425000000000004</v>
      </c>
      <c r="F826" s="10">
        <f>IFERROR(SUMIFS('Base bordo CD'!M$2:M$875,'Base bordo CD'!D$2:D$875,A826,'Base bordo CD'!A$2:A$875,B826,'Base bordo CD'!L$2:L$875,"MANOBRA"),0)</f>
        <v>2.6930555555555555</v>
      </c>
      <c r="G826" s="10">
        <f>IFERROR(SUMIFS('Base bordo CD'!M$2:M$875,'Base bordo CD'!D$2:D$875,A826,'Base bordo CD'!A$2:A$875,B826,'Base bordo CD'!L$2:L$875,"DESLOCAMENTO"),0)</f>
        <v>0.34361111111111109</v>
      </c>
      <c r="H826" s="10">
        <f>IFERROR(SUMIFS('Base bordo CD'!M$2:M$875,'Base bordo CD'!D$2:D$875,A826,'Base bordo CD'!A$2:A$875,B826,'Base bordo CD'!L$2:L$875,"AGUARDANDO MANOBRA DE TRANSBORDO"),0)+IFERROR(SUMIFS('Base bordo CD'!M$2:M$875,'Base bordo CD'!D$2:D$875,A826,'Base bordo CD'!A$2:A$875,B826,'Base bordo CD'!L$2:L$875,"FALTA DE TRANSBORDO"),0)</f>
        <v>0.17194444444444446</v>
      </c>
      <c r="I826" s="10">
        <f>IFERROR(SUMIFS('Base bordo CD'!M$2:M$875,'Base bordo CD'!D$2:D$875,A826,'Base bordo CD'!A$2:A$875,B826,'Base bordo CD'!L$2:L$875,"PARADA POR CONDICOES CLIMATICAS"),0)+IFERROR(SUMIFS('Base bordo CD'!M$2:M$875,'Base bordo CD'!D$2:D$875,A826,'Base bordo CD'!A$2:A$875,B826,'Base bordo CD'!L$2:L$875,"TEMPO INDETERMINADO"),0)</f>
        <v>6.6961111111111107</v>
      </c>
      <c r="J826" s="10">
        <f>IFERROR(SUMIFS('Base bordo CD'!M$2:M$875,'Base bordo CD'!D$2:D$875,A826,'Base bordo CD'!A$2:A$875,B826,'Base bordo CD'!L$2:L$875,"LIMITAÇÃO INDÚSTRIA"),0)</f>
        <v>2.7225000000000001</v>
      </c>
      <c r="K826" s="10">
        <f>IFERROR(SUMIFS('Base bordo CD'!M$2:M$875,'Base bordo CD'!D$2:D$875,A826,'Base bordo CD'!A$2:A$875,B826,'Base bordo CD'!L$2:L$875,"MAN CORRETIVA*"),0)+IFERROR(SUMIFS('Base bordo CD'!M$2:M$875,'Base bordo CD'!D$2:D$875,A826,'Base bordo CD'!A$2:A$875,B826,'Base bordo CD'!L$2:L$875,"AGUARDANDO MANUTENCAO*"),0)+IFERROR(SUMIFS('Base bordo CD'!M$2:M$875,'Base bordo CD'!D$2:D$875,A826,'Base bordo CD'!A$2:A$875,B826,'Base bordo CD'!L$2:L$875,"TROCA DE FAQUINHA"),0)+IFERROR(SUMIFS('Base bordo CD'!M$2:M$875,'Base bordo CD'!D$2:D$875,A826,'Base bordo CD'!A$2:A$875,B826,'Base bordo CD'!L$2:L$875,"LIMPEZA*"),0)</f>
        <v>3.5013888888888891</v>
      </c>
      <c r="L826" s="10">
        <f>IFERROR(SUMIFS('Base bordo CD'!M$2:M$875,'Base bordo CD'!D$2:D$875,A826,'Base bordo CD'!A$2:A$875,B826,'Base bordo CD'!L$2:L$875,"PATIO - RESERVA"),0)</f>
        <v>0</v>
      </c>
      <c r="M826" s="10">
        <f>IFERROR(SUMIFS('Base bordo CD'!M$2:M$875,'Base bordo CD'!D$2:D$875,A826,'Base bordo CD'!A$2:A$875,B826,'Base bordo CD'!L$2:L$875,"SEM APONTAMENTO"),0)</f>
        <v>0.11166666666666666</v>
      </c>
      <c r="N826" s="10">
        <f>IFERROR(SUMIFS('Base bordo CD'!M$2:M$875,'Base bordo CD'!D$2:D$875,A826,'Base bordo CD'!A$2:A$875,B826,'Base bordo CD'!L$2:L$875,"FALTA DE CAMINHÃO"),0)+IFERROR(SUMIFS('Base bordo CD'!M$2:M$875,'Base bordo CD'!D$2:D$875,A826,'Base bordo CD'!A$2:A$875,B826,'Base bordo CD'!L$2:L$875,"FALTA DE COMBUSTIVEL"),0)+IFERROR(SUMIFS('Base bordo CD'!M$2:M$875,'Base bordo CD'!D$2:D$875,A826,'Base bordo CD'!A$2:A$875,B826,'Base bordo CD'!L$2:L$875,"FALTA DE MOTORIST*"),0)</f>
        <v>0.57388888888888889</v>
      </c>
      <c r="O826" s="10">
        <f t="shared" si="65"/>
        <v>0.14333333333333442</v>
      </c>
      <c r="P826" s="10">
        <f>IFERROR(SUMIFS('Base bordo CD'!M$2:M$875,'Base bordo CD'!D$2:D$875,A826,'Base bordo CD'!A$2:A$875,B826),0)</f>
        <v>24.000000000000004</v>
      </c>
      <c r="Q826" s="10">
        <f>IFERROR(SUMIFS('Base bordo CD'!O$2:O$875,'Base bordo CD'!D$2:D$875,A826,'Base bordo CD'!A$2:A$875,B826,'Base bordo CD'!L$2:L$875,"CORTE DE CANA MECANIZADO"),0)</f>
        <v>89359.05</v>
      </c>
      <c r="R826" s="10">
        <f>IFERROR(SUMIFS('Base bordo CD'!Q$2:Q$875,'Base bordo CD'!D$2:D$875,A826,'Base bordo CD'!A$2:A$875,B826,'Base bordo CD'!L$2:L$875,"CORTE DE CANA MECANIZADO"),0)</f>
        <v>25353</v>
      </c>
      <c r="S826" s="30">
        <f t="shared" si="66"/>
        <v>3.5245947225180454</v>
      </c>
      <c r="T826" s="9">
        <f t="shared" si="67"/>
        <v>0.29343749999999996</v>
      </c>
      <c r="U826" s="9">
        <f t="shared" si="68"/>
        <v>0.11221064814814813</v>
      </c>
      <c r="V826" s="9">
        <f t="shared" si="69"/>
        <v>0.69224537037037037</v>
      </c>
    </row>
    <row r="827" spans="1:22" hidden="1" x14ac:dyDescent="0.35">
      <c r="A827" s="52">
        <v>49592</v>
      </c>
      <c r="B827" s="31">
        <v>46118</v>
      </c>
      <c r="C827" s="7" t="s">
        <v>364</v>
      </c>
      <c r="D827" s="7">
        <v>352</v>
      </c>
      <c r="E827" s="10">
        <f>IFERROR(SUMIFS('Base bordo CD'!M$2:M$875,'Base bordo CD'!D$2:D$875,A827,'Base bordo CD'!A$2:A$875,B827,'Base bordo CD'!L$2:L$875,"CORTE DE CANA MECANIZADO"),0)</f>
        <v>7.0425000000000004</v>
      </c>
      <c r="F827" s="10">
        <f>IFERROR(SUMIFS('Base bordo CD'!M$2:M$875,'Base bordo CD'!D$2:D$875,A827,'Base bordo CD'!A$2:A$875,B827,'Base bordo CD'!L$2:L$875,"MANOBRA"),0)</f>
        <v>2.6930555555555555</v>
      </c>
      <c r="G827" s="10">
        <f>IFERROR(SUMIFS('Base bordo CD'!M$2:M$875,'Base bordo CD'!D$2:D$875,A827,'Base bordo CD'!A$2:A$875,B827,'Base bordo CD'!L$2:L$875,"DESLOCAMENTO"),0)</f>
        <v>0.34361111111111109</v>
      </c>
      <c r="H827" s="10">
        <f>IFERROR(SUMIFS('Base bordo CD'!M$2:M$875,'Base bordo CD'!D$2:D$875,A827,'Base bordo CD'!A$2:A$875,B827,'Base bordo CD'!L$2:L$875,"AGUARDANDO MANOBRA DE TRANSBORDO"),0)+IFERROR(SUMIFS('Base bordo CD'!M$2:M$875,'Base bordo CD'!D$2:D$875,A827,'Base bordo CD'!A$2:A$875,B827,'Base bordo CD'!L$2:L$875,"FALTA DE TRANSBORDO"),0)</f>
        <v>0.17194444444444446</v>
      </c>
      <c r="I827" s="10">
        <f>IFERROR(SUMIFS('Base bordo CD'!M$2:M$875,'Base bordo CD'!D$2:D$875,A827,'Base bordo CD'!A$2:A$875,B827,'Base bordo CD'!L$2:L$875,"PARADA POR CONDICOES CLIMATICAS"),0)+IFERROR(SUMIFS('Base bordo CD'!M$2:M$875,'Base bordo CD'!D$2:D$875,A827,'Base bordo CD'!A$2:A$875,B827,'Base bordo CD'!L$2:L$875,"TEMPO INDETERMINADO"),0)</f>
        <v>6.6961111111111107</v>
      </c>
      <c r="J827" s="10">
        <f>IFERROR(SUMIFS('Base bordo CD'!M$2:M$875,'Base bordo CD'!D$2:D$875,A827,'Base bordo CD'!A$2:A$875,B827,'Base bordo CD'!L$2:L$875,"LIMITAÇÃO INDÚSTRIA"),0)</f>
        <v>2.7225000000000001</v>
      </c>
      <c r="K827" s="10">
        <f>IFERROR(SUMIFS('Base bordo CD'!M$2:M$875,'Base bordo CD'!D$2:D$875,A827,'Base bordo CD'!A$2:A$875,B827,'Base bordo CD'!L$2:L$875,"MAN CORRETIVA*"),0)+IFERROR(SUMIFS('Base bordo CD'!M$2:M$875,'Base bordo CD'!D$2:D$875,A827,'Base bordo CD'!A$2:A$875,B827,'Base bordo CD'!L$2:L$875,"AGUARDANDO MANUTENCAO*"),0)+IFERROR(SUMIFS('Base bordo CD'!M$2:M$875,'Base bordo CD'!D$2:D$875,A827,'Base bordo CD'!A$2:A$875,B827,'Base bordo CD'!L$2:L$875,"TROCA DE FAQUINHA"),0)+IFERROR(SUMIFS('Base bordo CD'!M$2:M$875,'Base bordo CD'!D$2:D$875,A827,'Base bordo CD'!A$2:A$875,B827,'Base bordo CD'!L$2:L$875,"LIMPEZA*"),0)</f>
        <v>3.5013888888888891</v>
      </c>
      <c r="L827" s="10">
        <f>IFERROR(SUMIFS('Base bordo CD'!M$2:M$875,'Base bordo CD'!D$2:D$875,A827,'Base bordo CD'!A$2:A$875,B827,'Base bordo CD'!L$2:L$875,"PATIO - RESERVA"),0)</f>
        <v>0</v>
      </c>
      <c r="M827" s="10">
        <f>IFERROR(SUMIFS('Base bordo CD'!M$2:M$875,'Base bordo CD'!D$2:D$875,A827,'Base bordo CD'!A$2:A$875,B827,'Base bordo CD'!L$2:L$875,"SEM APONTAMENTO"),0)</f>
        <v>0.11166666666666666</v>
      </c>
      <c r="N827" s="10">
        <f>IFERROR(SUMIFS('Base bordo CD'!M$2:M$875,'Base bordo CD'!D$2:D$875,A827,'Base bordo CD'!A$2:A$875,B827,'Base bordo CD'!L$2:L$875,"FALTA DE CAMINHÃO"),0)+IFERROR(SUMIFS('Base bordo CD'!M$2:M$875,'Base bordo CD'!D$2:D$875,A827,'Base bordo CD'!A$2:A$875,B827,'Base bordo CD'!L$2:L$875,"FALTA DE COMBUSTIVEL"),0)+IFERROR(SUMIFS('Base bordo CD'!M$2:M$875,'Base bordo CD'!D$2:D$875,A827,'Base bordo CD'!A$2:A$875,B827,'Base bordo CD'!L$2:L$875,"FALTA DE MOTORIST*"),0)</f>
        <v>0.57388888888888889</v>
      </c>
      <c r="O827" s="10">
        <f t="shared" si="65"/>
        <v>0.14333333333333442</v>
      </c>
      <c r="P827" s="10">
        <f>IFERROR(SUMIFS('Base bordo CD'!M$2:M$875,'Base bordo CD'!D$2:D$875,A827,'Base bordo CD'!A$2:A$875,B827),0)</f>
        <v>24.000000000000004</v>
      </c>
      <c r="Q827" s="10">
        <f>IFERROR(SUMIFS('Base bordo CD'!O$2:O$875,'Base bordo CD'!D$2:D$875,A827,'Base bordo CD'!A$2:A$875,B827,'Base bordo CD'!L$2:L$875,"CORTE DE CANA MECANIZADO"),0)</f>
        <v>89359.05</v>
      </c>
      <c r="R827" s="10">
        <f>IFERROR(SUMIFS('Base bordo CD'!Q$2:Q$875,'Base bordo CD'!D$2:D$875,A827,'Base bordo CD'!A$2:A$875,B827,'Base bordo CD'!L$2:L$875,"CORTE DE CANA MECANIZADO"),0)</f>
        <v>25353</v>
      </c>
      <c r="S827" s="30">
        <f t="shared" si="66"/>
        <v>3.5245947225180454</v>
      </c>
      <c r="T827" s="9">
        <f t="shared" si="67"/>
        <v>0.29343749999999996</v>
      </c>
      <c r="U827" s="9">
        <f t="shared" si="68"/>
        <v>0.11221064814814813</v>
      </c>
      <c r="V827" s="9">
        <f t="shared" si="69"/>
        <v>0.69224537037037037</v>
      </c>
    </row>
    <row r="828" spans="1:22" hidden="1" x14ac:dyDescent="0.35">
      <c r="A828" s="52">
        <v>49592</v>
      </c>
      <c r="B828" s="31">
        <v>46118</v>
      </c>
      <c r="C828" s="7" t="s">
        <v>364</v>
      </c>
      <c r="D828" s="7">
        <v>352</v>
      </c>
      <c r="E828" s="10">
        <f>IFERROR(SUMIFS('Base bordo CD'!M$2:M$875,'Base bordo CD'!D$2:D$875,A828,'Base bordo CD'!A$2:A$875,B828,'Base bordo CD'!L$2:L$875,"CORTE DE CANA MECANIZADO"),0)</f>
        <v>7.0425000000000004</v>
      </c>
      <c r="F828" s="10">
        <f>IFERROR(SUMIFS('Base bordo CD'!M$2:M$875,'Base bordo CD'!D$2:D$875,A828,'Base bordo CD'!A$2:A$875,B828,'Base bordo CD'!L$2:L$875,"MANOBRA"),0)</f>
        <v>2.6930555555555555</v>
      </c>
      <c r="G828" s="10">
        <f>IFERROR(SUMIFS('Base bordo CD'!M$2:M$875,'Base bordo CD'!D$2:D$875,A828,'Base bordo CD'!A$2:A$875,B828,'Base bordo CD'!L$2:L$875,"DESLOCAMENTO"),0)</f>
        <v>0.34361111111111109</v>
      </c>
      <c r="H828" s="10">
        <f>IFERROR(SUMIFS('Base bordo CD'!M$2:M$875,'Base bordo CD'!D$2:D$875,A828,'Base bordo CD'!A$2:A$875,B828,'Base bordo CD'!L$2:L$875,"AGUARDANDO MANOBRA DE TRANSBORDO"),0)+IFERROR(SUMIFS('Base bordo CD'!M$2:M$875,'Base bordo CD'!D$2:D$875,A828,'Base bordo CD'!A$2:A$875,B828,'Base bordo CD'!L$2:L$875,"FALTA DE TRANSBORDO"),0)</f>
        <v>0.17194444444444446</v>
      </c>
      <c r="I828" s="10">
        <f>IFERROR(SUMIFS('Base bordo CD'!M$2:M$875,'Base bordo CD'!D$2:D$875,A828,'Base bordo CD'!A$2:A$875,B828,'Base bordo CD'!L$2:L$875,"PARADA POR CONDICOES CLIMATICAS"),0)+IFERROR(SUMIFS('Base bordo CD'!M$2:M$875,'Base bordo CD'!D$2:D$875,A828,'Base bordo CD'!A$2:A$875,B828,'Base bordo CD'!L$2:L$875,"TEMPO INDETERMINADO"),0)</f>
        <v>6.6961111111111107</v>
      </c>
      <c r="J828" s="10">
        <f>IFERROR(SUMIFS('Base bordo CD'!M$2:M$875,'Base bordo CD'!D$2:D$875,A828,'Base bordo CD'!A$2:A$875,B828,'Base bordo CD'!L$2:L$875,"LIMITAÇÃO INDÚSTRIA"),0)</f>
        <v>2.7225000000000001</v>
      </c>
      <c r="K828" s="10">
        <f>IFERROR(SUMIFS('Base bordo CD'!M$2:M$875,'Base bordo CD'!D$2:D$875,A828,'Base bordo CD'!A$2:A$875,B828,'Base bordo CD'!L$2:L$875,"MAN CORRETIVA*"),0)+IFERROR(SUMIFS('Base bordo CD'!M$2:M$875,'Base bordo CD'!D$2:D$875,A828,'Base bordo CD'!A$2:A$875,B828,'Base bordo CD'!L$2:L$875,"AGUARDANDO MANUTENCAO*"),0)+IFERROR(SUMIFS('Base bordo CD'!M$2:M$875,'Base bordo CD'!D$2:D$875,A828,'Base bordo CD'!A$2:A$875,B828,'Base bordo CD'!L$2:L$875,"TROCA DE FAQUINHA"),0)+IFERROR(SUMIFS('Base bordo CD'!M$2:M$875,'Base bordo CD'!D$2:D$875,A828,'Base bordo CD'!A$2:A$875,B828,'Base bordo CD'!L$2:L$875,"LIMPEZA*"),0)</f>
        <v>3.5013888888888891</v>
      </c>
      <c r="L828" s="10">
        <f>IFERROR(SUMIFS('Base bordo CD'!M$2:M$875,'Base bordo CD'!D$2:D$875,A828,'Base bordo CD'!A$2:A$875,B828,'Base bordo CD'!L$2:L$875,"PATIO - RESERVA"),0)</f>
        <v>0</v>
      </c>
      <c r="M828" s="10">
        <f>IFERROR(SUMIFS('Base bordo CD'!M$2:M$875,'Base bordo CD'!D$2:D$875,A828,'Base bordo CD'!A$2:A$875,B828,'Base bordo CD'!L$2:L$875,"SEM APONTAMENTO"),0)</f>
        <v>0.11166666666666666</v>
      </c>
      <c r="N828" s="10">
        <f>IFERROR(SUMIFS('Base bordo CD'!M$2:M$875,'Base bordo CD'!D$2:D$875,A828,'Base bordo CD'!A$2:A$875,B828,'Base bordo CD'!L$2:L$875,"FALTA DE CAMINHÃO"),0)+IFERROR(SUMIFS('Base bordo CD'!M$2:M$875,'Base bordo CD'!D$2:D$875,A828,'Base bordo CD'!A$2:A$875,B828,'Base bordo CD'!L$2:L$875,"FALTA DE COMBUSTIVEL"),0)+IFERROR(SUMIFS('Base bordo CD'!M$2:M$875,'Base bordo CD'!D$2:D$875,A828,'Base bordo CD'!A$2:A$875,B828,'Base bordo CD'!L$2:L$875,"FALTA DE MOTORIST*"),0)</f>
        <v>0.57388888888888889</v>
      </c>
      <c r="O828" s="10">
        <f t="shared" si="65"/>
        <v>0.14333333333333442</v>
      </c>
      <c r="P828" s="10">
        <f>IFERROR(SUMIFS('Base bordo CD'!M$2:M$875,'Base bordo CD'!D$2:D$875,A828,'Base bordo CD'!A$2:A$875,B828),0)</f>
        <v>24.000000000000004</v>
      </c>
      <c r="Q828" s="10">
        <f>IFERROR(SUMIFS('Base bordo CD'!O$2:O$875,'Base bordo CD'!D$2:D$875,A828,'Base bordo CD'!A$2:A$875,B828,'Base bordo CD'!L$2:L$875,"CORTE DE CANA MECANIZADO"),0)</f>
        <v>89359.05</v>
      </c>
      <c r="R828" s="10">
        <f>IFERROR(SUMIFS('Base bordo CD'!Q$2:Q$875,'Base bordo CD'!D$2:D$875,A828,'Base bordo CD'!A$2:A$875,B828,'Base bordo CD'!L$2:L$875,"CORTE DE CANA MECANIZADO"),0)</f>
        <v>25353</v>
      </c>
      <c r="S828" s="30">
        <f t="shared" si="66"/>
        <v>3.5245947225180454</v>
      </c>
      <c r="T828" s="9">
        <f t="shared" si="67"/>
        <v>0.29343749999999996</v>
      </c>
      <c r="U828" s="9">
        <f t="shared" si="68"/>
        <v>0.11221064814814813</v>
      </c>
      <c r="V828" s="9">
        <f t="shared" si="69"/>
        <v>0.69224537037037037</v>
      </c>
    </row>
    <row r="829" spans="1:22" hidden="1" x14ac:dyDescent="0.35">
      <c r="A829" s="52">
        <v>49592</v>
      </c>
      <c r="B829" s="31">
        <v>46118</v>
      </c>
      <c r="C829" s="7" t="s">
        <v>364</v>
      </c>
      <c r="D829" s="7">
        <v>352</v>
      </c>
      <c r="E829" s="10">
        <f>IFERROR(SUMIFS('Base bordo CD'!M$2:M$875,'Base bordo CD'!D$2:D$875,A829,'Base bordo CD'!A$2:A$875,B829,'Base bordo CD'!L$2:L$875,"CORTE DE CANA MECANIZADO"),0)</f>
        <v>7.0425000000000004</v>
      </c>
      <c r="F829" s="10">
        <f>IFERROR(SUMIFS('Base bordo CD'!M$2:M$875,'Base bordo CD'!D$2:D$875,A829,'Base bordo CD'!A$2:A$875,B829,'Base bordo CD'!L$2:L$875,"MANOBRA"),0)</f>
        <v>2.6930555555555555</v>
      </c>
      <c r="G829" s="10">
        <f>IFERROR(SUMIFS('Base bordo CD'!M$2:M$875,'Base bordo CD'!D$2:D$875,A829,'Base bordo CD'!A$2:A$875,B829,'Base bordo CD'!L$2:L$875,"DESLOCAMENTO"),0)</f>
        <v>0.34361111111111109</v>
      </c>
      <c r="H829" s="10">
        <f>IFERROR(SUMIFS('Base bordo CD'!M$2:M$875,'Base bordo CD'!D$2:D$875,A829,'Base bordo CD'!A$2:A$875,B829,'Base bordo CD'!L$2:L$875,"AGUARDANDO MANOBRA DE TRANSBORDO"),0)+IFERROR(SUMIFS('Base bordo CD'!M$2:M$875,'Base bordo CD'!D$2:D$875,A829,'Base bordo CD'!A$2:A$875,B829,'Base bordo CD'!L$2:L$875,"FALTA DE TRANSBORDO"),0)</f>
        <v>0.17194444444444446</v>
      </c>
      <c r="I829" s="10">
        <f>IFERROR(SUMIFS('Base bordo CD'!M$2:M$875,'Base bordo CD'!D$2:D$875,A829,'Base bordo CD'!A$2:A$875,B829,'Base bordo CD'!L$2:L$875,"PARADA POR CONDICOES CLIMATICAS"),0)+IFERROR(SUMIFS('Base bordo CD'!M$2:M$875,'Base bordo CD'!D$2:D$875,A829,'Base bordo CD'!A$2:A$875,B829,'Base bordo CD'!L$2:L$875,"TEMPO INDETERMINADO"),0)</f>
        <v>6.6961111111111107</v>
      </c>
      <c r="J829" s="10">
        <f>IFERROR(SUMIFS('Base bordo CD'!M$2:M$875,'Base bordo CD'!D$2:D$875,A829,'Base bordo CD'!A$2:A$875,B829,'Base bordo CD'!L$2:L$875,"LIMITAÇÃO INDÚSTRIA"),0)</f>
        <v>2.7225000000000001</v>
      </c>
      <c r="K829" s="10">
        <f>IFERROR(SUMIFS('Base bordo CD'!M$2:M$875,'Base bordo CD'!D$2:D$875,A829,'Base bordo CD'!A$2:A$875,B829,'Base bordo CD'!L$2:L$875,"MAN CORRETIVA*"),0)+IFERROR(SUMIFS('Base bordo CD'!M$2:M$875,'Base bordo CD'!D$2:D$875,A829,'Base bordo CD'!A$2:A$875,B829,'Base bordo CD'!L$2:L$875,"AGUARDANDO MANUTENCAO*"),0)+IFERROR(SUMIFS('Base bordo CD'!M$2:M$875,'Base bordo CD'!D$2:D$875,A829,'Base bordo CD'!A$2:A$875,B829,'Base bordo CD'!L$2:L$875,"TROCA DE FAQUINHA"),0)+IFERROR(SUMIFS('Base bordo CD'!M$2:M$875,'Base bordo CD'!D$2:D$875,A829,'Base bordo CD'!A$2:A$875,B829,'Base bordo CD'!L$2:L$875,"LIMPEZA*"),0)</f>
        <v>3.5013888888888891</v>
      </c>
      <c r="L829" s="10">
        <f>IFERROR(SUMIFS('Base bordo CD'!M$2:M$875,'Base bordo CD'!D$2:D$875,A829,'Base bordo CD'!A$2:A$875,B829,'Base bordo CD'!L$2:L$875,"PATIO - RESERVA"),0)</f>
        <v>0</v>
      </c>
      <c r="M829" s="10">
        <f>IFERROR(SUMIFS('Base bordo CD'!M$2:M$875,'Base bordo CD'!D$2:D$875,A829,'Base bordo CD'!A$2:A$875,B829,'Base bordo CD'!L$2:L$875,"SEM APONTAMENTO"),0)</f>
        <v>0.11166666666666666</v>
      </c>
      <c r="N829" s="10">
        <f>IFERROR(SUMIFS('Base bordo CD'!M$2:M$875,'Base bordo CD'!D$2:D$875,A829,'Base bordo CD'!A$2:A$875,B829,'Base bordo CD'!L$2:L$875,"FALTA DE CAMINHÃO"),0)+IFERROR(SUMIFS('Base bordo CD'!M$2:M$875,'Base bordo CD'!D$2:D$875,A829,'Base bordo CD'!A$2:A$875,B829,'Base bordo CD'!L$2:L$875,"FALTA DE COMBUSTIVEL"),0)+IFERROR(SUMIFS('Base bordo CD'!M$2:M$875,'Base bordo CD'!D$2:D$875,A829,'Base bordo CD'!A$2:A$875,B829,'Base bordo CD'!L$2:L$875,"FALTA DE MOTORIST*"),0)</f>
        <v>0.57388888888888889</v>
      </c>
      <c r="O829" s="10">
        <f t="shared" si="65"/>
        <v>0.14333333333333442</v>
      </c>
      <c r="P829" s="10">
        <f>IFERROR(SUMIFS('Base bordo CD'!M$2:M$875,'Base bordo CD'!D$2:D$875,A829,'Base bordo CD'!A$2:A$875,B829),0)</f>
        <v>24.000000000000004</v>
      </c>
      <c r="Q829" s="10">
        <f>IFERROR(SUMIFS('Base bordo CD'!O$2:O$875,'Base bordo CD'!D$2:D$875,A829,'Base bordo CD'!A$2:A$875,B829,'Base bordo CD'!L$2:L$875,"CORTE DE CANA MECANIZADO"),0)</f>
        <v>89359.05</v>
      </c>
      <c r="R829" s="10">
        <f>IFERROR(SUMIFS('Base bordo CD'!Q$2:Q$875,'Base bordo CD'!D$2:D$875,A829,'Base bordo CD'!A$2:A$875,B829,'Base bordo CD'!L$2:L$875,"CORTE DE CANA MECANIZADO"),0)</f>
        <v>25353</v>
      </c>
      <c r="S829" s="30">
        <f t="shared" si="66"/>
        <v>3.5245947225180454</v>
      </c>
      <c r="T829" s="9">
        <f t="shared" si="67"/>
        <v>0.29343749999999996</v>
      </c>
      <c r="U829" s="9">
        <f t="shared" si="68"/>
        <v>0.11221064814814813</v>
      </c>
      <c r="V829" s="9">
        <f t="shared" si="69"/>
        <v>0.69224537037037037</v>
      </c>
    </row>
    <row r="830" spans="1:22" hidden="1" x14ac:dyDescent="0.35">
      <c r="A830" s="52">
        <v>49593</v>
      </c>
      <c r="B830" s="31">
        <v>46118</v>
      </c>
      <c r="C830" s="7" t="s">
        <v>321</v>
      </c>
      <c r="D830" s="7">
        <v>351</v>
      </c>
      <c r="E830" s="10">
        <f>IFERROR(SUMIFS('Base bordo CD'!M$2:M$875,'Base bordo CD'!D$2:D$875,A830,'Base bordo CD'!A$2:A$875,B830,'Base bordo CD'!L$2:L$875,"CORTE DE CANA MECANIZADO"),0)</f>
        <v>0</v>
      </c>
      <c r="F830" s="10">
        <f>IFERROR(SUMIFS('Base bordo CD'!M$2:M$875,'Base bordo CD'!D$2:D$875,A830,'Base bordo CD'!A$2:A$875,B830,'Base bordo CD'!L$2:L$875,"MANOBRA"),0)</f>
        <v>0</v>
      </c>
      <c r="G830" s="10">
        <f>IFERROR(SUMIFS('Base bordo CD'!M$2:M$875,'Base bordo CD'!D$2:D$875,A830,'Base bordo CD'!A$2:A$875,B830,'Base bordo CD'!L$2:L$875,"DESLOCAMENTO"),0)</f>
        <v>0.25472222222222218</v>
      </c>
      <c r="H830" s="10">
        <f>IFERROR(SUMIFS('Base bordo CD'!M$2:M$875,'Base bordo CD'!D$2:D$875,A830,'Base bordo CD'!A$2:A$875,B830,'Base bordo CD'!L$2:L$875,"AGUARDANDO MANOBRA DE TRANSBORDO"),0)+IFERROR(SUMIFS('Base bordo CD'!M$2:M$875,'Base bordo CD'!D$2:D$875,A830,'Base bordo CD'!A$2:A$875,B830,'Base bordo CD'!L$2:L$875,"FALTA DE TRANSBORDO"),0)</f>
        <v>0</v>
      </c>
      <c r="I830" s="10">
        <f>IFERROR(SUMIFS('Base bordo CD'!M$2:M$875,'Base bordo CD'!D$2:D$875,A830,'Base bordo CD'!A$2:A$875,B830,'Base bordo CD'!L$2:L$875,"PARADA POR CONDICOES CLIMATICAS"),0)+IFERROR(SUMIFS('Base bordo CD'!M$2:M$875,'Base bordo CD'!D$2:D$875,A830,'Base bordo CD'!A$2:A$875,B830,'Base bordo CD'!L$2:L$875,"TEMPO INDETERMINADO"),0)</f>
        <v>5.8472222222222223</v>
      </c>
      <c r="J830" s="10">
        <f>IFERROR(SUMIFS('Base bordo CD'!M$2:M$875,'Base bordo CD'!D$2:D$875,A830,'Base bordo CD'!A$2:A$875,B830,'Base bordo CD'!L$2:L$875,"LIMITAÇÃO INDÚSTRIA"),0)</f>
        <v>13.184999999999999</v>
      </c>
      <c r="K830" s="10">
        <f>IFERROR(SUMIFS('Base bordo CD'!M$2:M$875,'Base bordo CD'!D$2:D$875,A830,'Base bordo CD'!A$2:A$875,B830,'Base bordo CD'!L$2:L$875,"MAN CORRETIVA*"),0)+IFERROR(SUMIFS('Base bordo CD'!M$2:M$875,'Base bordo CD'!D$2:D$875,A830,'Base bordo CD'!A$2:A$875,B830,'Base bordo CD'!L$2:L$875,"AGUARDANDO MANUTENCAO*"),0)+IFERROR(SUMIFS('Base bordo CD'!M$2:M$875,'Base bordo CD'!D$2:D$875,A830,'Base bordo CD'!A$2:A$875,B830,'Base bordo CD'!L$2:L$875,"TROCA DE FAQUINHA"),0)+IFERROR(SUMIFS('Base bordo CD'!M$2:M$875,'Base bordo CD'!D$2:D$875,A830,'Base bordo CD'!A$2:A$875,B830,'Base bordo CD'!L$2:L$875,"LIMPEZA*"),0)</f>
        <v>0</v>
      </c>
      <c r="L830" s="10">
        <f>IFERROR(SUMIFS('Base bordo CD'!M$2:M$875,'Base bordo CD'!D$2:D$875,A830,'Base bordo CD'!A$2:A$875,B830,'Base bordo CD'!L$2:L$875,"PATIO - RESERVA"),0)</f>
        <v>2.0261111111111112</v>
      </c>
      <c r="M830" s="10">
        <f>IFERROR(SUMIFS('Base bordo CD'!M$2:M$875,'Base bordo CD'!D$2:D$875,A830,'Base bordo CD'!A$2:A$875,B830,'Base bordo CD'!L$2:L$875,"SEM APONTAMENTO"),0)</f>
        <v>0</v>
      </c>
      <c r="N830" s="10">
        <f>IFERROR(SUMIFS('Base bordo CD'!M$2:M$875,'Base bordo CD'!D$2:D$875,A830,'Base bordo CD'!A$2:A$875,B830,'Base bordo CD'!L$2:L$875,"FALTA DE CAMINHÃO"),0)+IFERROR(SUMIFS('Base bordo CD'!M$2:M$875,'Base bordo CD'!D$2:D$875,A830,'Base bordo CD'!A$2:A$875,B830,'Base bordo CD'!L$2:L$875,"FALTA DE COMBUSTIVEL"),0)+IFERROR(SUMIFS('Base bordo CD'!M$2:M$875,'Base bordo CD'!D$2:D$875,A830,'Base bordo CD'!A$2:A$875,B830,'Base bordo CD'!L$2:L$875,"FALTA DE MOTORIST*"),0)</f>
        <v>0</v>
      </c>
      <c r="O830" s="10">
        <f t="shared" ref="O830:O893" si="70">IFERROR(P830-SUM(E830:N830),0)</f>
        <v>2.6869444444444426</v>
      </c>
      <c r="P830" s="10">
        <f>IFERROR(SUMIFS('Base bordo CD'!M$2:M$875,'Base bordo CD'!D$2:D$875,A830,'Base bordo CD'!A$2:A$875,B830),0)</f>
        <v>23.999999999999996</v>
      </c>
      <c r="Q830" s="10">
        <f>IFERROR(SUMIFS('Base bordo CD'!O$2:O$875,'Base bordo CD'!D$2:D$875,A830,'Base bordo CD'!A$2:A$875,B830,'Base bordo CD'!L$2:L$875,"CORTE DE CANA MECANIZADO"),0)</f>
        <v>0</v>
      </c>
      <c r="R830" s="10">
        <f>IFERROR(SUMIFS('Base bordo CD'!Q$2:Q$875,'Base bordo CD'!D$2:D$875,A830,'Base bordo CD'!A$2:A$875,B830,'Base bordo CD'!L$2:L$875,"CORTE DE CANA MECANIZADO"),0)</f>
        <v>0</v>
      </c>
      <c r="S830" s="30" t="str">
        <f t="shared" ref="S830:S893" si="71">IFERROR(Q830/R830,"")</f>
        <v/>
      </c>
      <c r="T830" s="9">
        <f t="shared" ref="T830:T893" si="72">IFERROR(E830/P830,0)</f>
        <v>0</v>
      </c>
      <c r="U830" s="9">
        <f t="shared" ref="U830:U893" si="73">IFERROR(F830/P830,0)</f>
        <v>0</v>
      </c>
      <c r="V830" s="9">
        <f t="shared" ref="V830:V893" si="74">IFERROR(1-(E830+G830)/P830,0)</f>
        <v>0.98938657407407404</v>
      </c>
    </row>
    <row r="831" spans="1:22" hidden="1" x14ac:dyDescent="0.35">
      <c r="A831" s="52">
        <v>49593</v>
      </c>
      <c r="B831" s="31">
        <v>46118</v>
      </c>
      <c r="C831" s="7" t="s">
        <v>321</v>
      </c>
      <c r="D831" s="7">
        <v>351</v>
      </c>
      <c r="E831" s="10">
        <f>IFERROR(SUMIFS('Base bordo CD'!M$2:M$875,'Base bordo CD'!D$2:D$875,A831,'Base bordo CD'!A$2:A$875,B831,'Base bordo CD'!L$2:L$875,"CORTE DE CANA MECANIZADO"),0)</f>
        <v>0</v>
      </c>
      <c r="F831" s="10">
        <f>IFERROR(SUMIFS('Base bordo CD'!M$2:M$875,'Base bordo CD'!D$2:D$875,A831,'Base bordo CD'!A$2:A$875,B831,'Base bordo CD'!L$2:L$875,"MANOBRA"),0)</f>
        <v>0</v>
      </c>
      <c r="G831" s="10">
        <f>IFERROR(SUMIFS('Base bordo CD'!M$2:M$875,'Base bordo CD'!D$2:D$875,A831,'Base bordo CD'!A$2:A$875,B831,'Base bordo CD'!L$2:L$875,"DESLOCAMENTO"),0)</f>
        <v>0.25472222222222218</v>
      </c>
      <c r="H831" s="10">
        <f>IFERROR(SUMIFS('Base bordo CD'!M$2:M$875,'Base bordo CD'!D$2:D$875,A831,'Base bordo CD'!A$2:A$875,B831,'Base bordo CD'!L$2:L$875,"AGUARDANDO MANOBRA DE TRANSBORDO"),0)+IFERROR(SUMIFS('Base bordo CD'!M$2:M$875,'Base bordo CD'!D$2:D$875,A831,'Base bordo CD'!A$2:A$875,B831,'Base bordo CD'!L$2:L$875,"FALTA DE TRANSBORDO"),0)</f>
        <v>0</v>
      </c>
      <c r="I831" s="10">
        <f>IFERROR(SUMIFS('Base bordo CD'!M$2:M$875,'Base bordo CD'!D$2:D$875,A831,'Base bordo CD'!A$2:A$875,B831,'Base bordo CD'!L$2:L$875,"PARADA POR CONDICOES CLIMATICAS"),0)+IFERROR(SUMIFS('Base bordo CD'!M$2:M$875,'Base bordo CD'!D$2:D$875,A831,'Base bordo CD'!A$2:A$875,B831,'Base bordo CD'!L$2:L$875,"TEMPO INDETERMINADO"),0)</f>
        <v>5.8472222222222223</v>
      </c>
      <c r="J831" s="10">
        <f>IFERROR(SUMIFS('Base bordo CD'!M$2:M$875,'Base bordo CD'!D$2:D$875,A831,'Base bordo CD'!A$2:A$875,B831,'Base bordo CD'!L$2:L$875,"LIMITAÇÃO INDÚSTRIA"),0)</f>
        <v>13.184999999999999</v>
      </c>
      <c r="K831" s="10">
        <f>IFERROR(SUMIFS('Base bordo CD'!M$2:M$875,'Base bordo CD'!D$2:D$875,A831,'Base bordo CD'!A$2:A$875,B831,'Base bordo CD'!L$2:L$875,"MAN CORRETIVA*"),0)+IFERROR(SUMIFS('Base bordo CD'!M$2:M$875,'Base bordo CD'!D$2:D$875,A831,'Base bordo CD'!A$2:A$875,B831,'Base bordo CD'!L$2:L$875,"AGUARDANDO MANUTENCAO*"),0)+IFERROR(SUMIFS('Base bordo CD'!M$2:M$875,'Base bordo CD'!D$2:D$875,A831,'Base bordo CD'!A$2:A$875,B831,'Base bordo CD'!L$2:L$875,"TROCA DE FAQUINHA"),0)+IFERROR(SUMIFS('Base bordo CD'!M$2:M$875,'Base bordo CD'!D$2:D$875,A831,'Base bordo CD'!A$2:A$875,B831,'Base bordo CD'!L$2:L$875,"LIMPEZA*"),0)</f>
        <v>0</v>
      </c>
      <c r="L831" s="10">
        <f>IFERROR(SUMIFS('Base bordo CD'!M$2:M$875,'Base bordo CD'!D$2:D$875,A831,'Base bordo CD'!A$2:A$875,B831,'Base bordo CD'!L$2:L$875,"PATIO - RESERVA"),0)</f>
        <v>2.0261111111111112</v>
      </c>
      <c r="M831" s="10">
        <f>IFERROR(SUMIFS('Base bordo CD'!M$2:M$875,'Base bordo CD'!D$2:D$875,A831,'Base bordo CD'!A$2:A$875,B831,'Base bordo CD'!L$2:L$875,"SEM APONTAMENTO"),0)</f>
        <v>0</v>
      </c>
      <c r="N831" s="10">
        <f>IFERROR(SUMIFS('Base bordo CD'!M$2:M$875,'Base bordo CD'!D$2:D$875,A831,'Base bordo CD'!A$2:A$875,B831,'Base bordo CD'!L$2:L$875,"FALTA DE CAMINHÃO"),0)+IFERROR(SUMIFS('Base bordo CD'!M$2:M$875,'Base bordo CD'!D$2:D$875,A831,'Base bordo CD'!A$2:A$875,B831,'Base bordo CD'!L$2:L$875,"FALTA DE COMBUSTIVEL"),0)+IFERROR(SUMIFS('Base bordo CD'!M$2:M$875,'Base bordo CD'!D$2:D$875,A831,'Base bordo CD'!A$2:A$875,B831,'Base bordo CD'!L$2:L$875,"FALTA DE MOTORIST*"),0)</f>
        <v>0</v>
      </c>
      <c r="O831" s="10">
        <f t="shared" si="70"/>
        <v>2.6869444444444426</v>
      </c>
      <c r="P831" s="10">
        <f>IFERROR(SUMIFS('Base bordo CD'!M$2:M$875,'Base bordo CD'!D$2:D$875,A831,'Base bordo CD'!A$2:A$875,B831),0)</f>
        <v>23.999999999999996</v>
      </c>
      <c r="Q831" s="10">
        <f>IFERROR(SUMIFS('Base bordo CD'!O$2:O$875,'Base bordo CD'!D$2:D$875,A831,'Base bordo CD'!A$2:A$875,B831,'Base bordo CD'!L$2:L$875,"CORTE DE CANA MECANIZADO"),0)</f>
        <v>0</v>
      </c>
      <c r="R831" s="10">
        <f>IFERROR(SUMIFS('Base bordo CD'!Q$2:Q$875,'Base bordo CD'!D$2:D$875,A831,'Base bordo CD'!A$2:A$875,B831,'Base bordo CD'!L$2:L$875,"CORTE DE CANA MECANIZADO"),0)</f>
        <v>0</v>
      </c>
      <c r="S831" s="30" t="str">
        <f t="shared" si="71"/>
        <v/>
      </c>
      <c r="T831" s="9">
        <f t="shared" si="72"/>
        <v>0</v>
      </c>
      <c r="U831" s="9">
        <f t="shared" si="73"/>
        <v>0</v>
      </c>
      <c r="V831" s="9">
        <f t="shared" si="74"/>
        <v>0.98938657407407404</v>
      </c>
    </row>
    <row r="832" spans="1:22" hidden="1" x14ac:dyDescent="0.35">
      <c r="A832" s="52">
        <v>49593</v>
      </c>
      <c r="B832" s="31">
        <v>46118</v>
      </c>
      <c r="C832" s="7" t="s">
        <v>321</v>
      </c>
      <c r="D832" s="7">
        <v>351</v>
      </c>
      <c r="E832" s="10">
        <f>IFERROR(SUMIFS('Base bordo CD'!M$2:M$875,'Base bordo CD'!D$2:D$875,A832,'Base bordo CD'!A$2:A$875,B832,'Base bordo CD'!L$2:L$875,"CORTE DE CANA MECANIZADO"),0)</f>
        <v>0</v>
      </c>
      <c r="F832" s="10">
        <f>IFERROR(SUMIFS('Base bordo CD'!M$2:M$875,'Base bordo CD'!D$2:D$875,A832,'Base bordo CD'!A$2:A$875,B832,'Base bordo CD'!L$2:L$875,"MANOBRA"),0)</f>
        <v>0</v>
      </c>
      <c r="G832" s="10">
        <f>IFERROR(SUMIFS('Base bordo CD'!M$2:M$875,'Base bordo CD'!D$2:D$875,A832,'Base bordo CD'!A$2:A$875,B832,'Base bordo CD'!L$2:L$875,"DESLOCAMENTO"),0)</f>
        <v>0.25472222222222218</v>
      </c>
      <c r="H832" s="10">
        <f>IFERROR(SUMIFS('Base bordo CD'!M$2:M$875,'Base bordo CD'!D$2:D$875,A832,'Base bordo CD'!A$2:A$875,B832,'Base bordo CD'!L$2:L$875,"AGUARDANDO MANOBRA DE TRANSBORDO"),0)+IFERROR(SUMIFS('Base bordo CD'!M$2:M$875,'Base bordo CD'!D$2:D$875,A832,'Base bordo CD'!A$2:A$875,B832,'Base bordo CD'!L$2:L$875,"FALTA DE TRANSBORDO"),0)</f>
        <v>0</v>
      </c>
      <c r="I832" s="10">
        <f>IFERROR(SUMIFS('Base bordo CD'!M$2:M$875,'Base bordo CD'!D$2:D$875,A832,'Base bordo CD'!A$2:A$875,B832,'Base bordo CD'!L$2:L$875,"PARADA POR CONDICOES CLIMATICAS"),0)+IFERROR(SUMIFS('Base bordo CD'!M$2:M$875,'Base bordo CD'!D$2:D$875,A832,'Base bordo CD'!A$2:A$875,B832,'Base bordo CD'!L$2:L$875,"TEMPO INDETERMINADO"),0)</f>
        <v>5.8472222222222223</v>
      </c>
      <c r="J832" s="10">
        <f>IFERROR(SUMIFS('Base bordo CD'!M$2:M$875,'Base bordo CD'!D$2:D$875,A832,'Base bordo CD'!A$2:A$875,B832,'Base bordo CD'!L$2:L$875,"LIMITAÇÃO INDÚSTRIA"),0)</f>
        <v>13.184999999999999</v>
      </c>
      <c r="K832" s="10">
        <f>IFERROR(SUMIFS('Base bordo CD'!M$2:M$875,'Base bordo CD'!D$2:D$875,A832,'Base bordo CD'!A$2:A$875,B832,'Base bordo CD'!L$2:L$875,"MAN CORRETIVA*"),0)+IFERROR(SUMIFS('Base bordo CD'!M$2:M$875,'Base bordo CD'!D$2:D$875,A832,'Base bordo CD'!A$2:A$875,B832,'Base bordo CD'!L$2:L$875,"AGUARDANDO MANUTENCAO*"),0)+IFERROR(SUMIFS('Base bordo CD'!M$2:M$875,'Base bordo CD'!D$2:D$875,A832,'Base bordo CD'!A$2:A$875,B832,'Base bordo CD'!L$2:L$875,"TROCA DE FAQUINHA"),0)+IFERROR(SUMIFS('Base bordo CD'!M$2:M$875,'Base bordo CD'!D$2:D$875,A832,'Base bordo CD'!A$2:A$875,B832,'Base bordo CD'!L$2:L$875,"LIMPEZA*"),0)</f>
        <v>0</v>
      </c>
      <c r="L832" s="10">
        <f>IFERROR(SUMIFS('Base bordo CD'!M$2:M$875,'Base bordo CD'!D$2:D$875,A832,'Base bordo CD'!A$2:A$875,B832,'Base bordo CD'!L$2:L$875,"PATIO - RESERVA"),0)</f>
        <v>2.0261111111111112</v>
      </c>
      <c r="M832" s="10">
        <f>IFERROR(SUMIFS('Base bordo CD'!M$2:M$875,'Base bordo CD'!D$2:D$875,A832,'Base bordo CD'!A$2:A$875,B832,'Base bordo CD'!L$2:L$875,"SEM APONTAMENTO"),0)</f>
        <v>0</v>
      </c>
      <c r="N832" s="10">
        <f>IFERROR(SUMIFS('Base bordo CD'!M$2:M$875,'Base bordo CD'!D$2:D$875,A832,'Base bordo CD'!A$2:A$875,B832,'Base bordo CD'!L$2:L$875,"FALTA DE CAMINHÃO"),0)+IFERROR(SUMIFS('Base bordo CD'!M$2:M$875,'Base bordo CD'!D$2:D$875,A832,'Base bordo CD'!A$2:A$875,B832,'Base bordo CD'!L$2:L$875,"FALTA DE COMBUSTIVEL"),0)+IFERROR(SUMIFS('Base bordo CD'!M$2:M$875,'Base bordo CD'!D$2:D$875,A832,'Base bordo CD'!A$2:A$875,B832,'Base bordo CD'!L$2:L$875,"FALTA DE MOTORIST*"),0)</f>
        <v>0</v>
      </c>
      <c r="O832" s="10">
        <f t="shared" si="70"/>
        <v>2.6869444444444426</v>
      </c>
      <c r="P832" s="10">
        <f>IFERROR(SUMIFS('Base bordo CD'!M$2:M$875,'Base bordo CD'!D$2:D$875,A832,'Base bordo CD'!A$2:A$875,B832),0)</f>
        <v>23.999999999999996</v>
      </c>
      <c r="Q832" s="10">
        <f>IFERROR(SUMIFS('Base bordo CD'!O$2:O$875,'Base bordo CD'!D$2:D$875,A832,'Base bordo CD'!A$2:A$875,B832,'Base bordo CD'!L$2:L$875,"CORTE DE CANA MECANIZADO"),0)</f>
        <v>0</v>
      </c>
      <c r="R832" s="10">
        <f>IFERROR(SUMIFS('Base bordo CD'!Q$2:Q$875,'Base bordo CD'!D$2:D$875,A832,'Base bordo CD'!A$2:A$875,B832,'Base bordo CD'!L$2:L$875,"CORTE DE CANA MECANIZADO"),0)</f>
        <v>0</v>
      </c>
      <c r="S832" s="30" t="str">
        <f t="shared" si="71"/>
        <v/>
      </c>
      <c r="T832" s="9">
        <f t="shared" si="72"/>
        <v>0</v>
      </c>
      <c r="U832" s="9">
        <f t="shared" si="73"/>
        <v>0</v>
      </c>
      <c r="V832" s="9">
        <f t="shared" si="74"/>
        <v>0.98938657407407404</v>
      </c>
    </row>
    <row r="833" spans="1:22" hidden="1" x14ac:dyDescent="0.35">
      <c r="A833" s="52">
        <v>49593</v>
      </c>
      <c r="B833" s="31">
        <v>46118</v>
      </c>
      <c r="C833" s="7" t="s">
        <v>321</v>
      </c>
      <c r="D833" s="7">
        <v>351</v>
      </c>
      <c r="E833" s="10">
        <f>IFERROR(SUMIFS('Base bordo CD'!M$2:M$875,'Base bordo CD'!D$2:D$875,A833,'Base bordo CD'!A$2:A$875,B833,'Base bordo CD'!L$2:L$875,"CORTE DE CANA MECANIZADO"),0)</f>
        <v>0</v>
      </c>
      <c r="F833" s="10">
        <f>IFERROR(SUMIFS('Base bordo CD'!M$2:M$875,'Base bordo CD'!D$2:D$875,A833,'Base bordo CD'!A$2:A$875,B833,'Base bordo CD'!L$2:L$875,"MANOBRA"),0)</f>
        <v>0</v>
      </c>
      <c r="G833" s="10">
        <f>IFERROR(SUMIFS('Base bordo CD'!M$2:M$875,'Base bordo CD'!D$2:D$875,A833,'Base bordo CD'!A$2:A$875,B833,'Base bordo CD'!L$2:L$875,"DESLOCAMENTO"),0)</f>
        <v>0.25472222222222218</v>
      </c>
      <c r="H833" s="10">
        <f>IFERROR(SUMIFS('Base bordo CD'!M$2:M$875,'Base bordo CD'!D$2:D$875,A833,'Base bordo CD'!A$2:A$875,B833,'Base bordo CD'!L$2:L$875,"AGUARDANDO MANOBRA DE TRANSBORDO"),0)+IFERROR(SUMIFS('Base bordo CD'!M$2:M$875,'Base bordo CD'!D$2:D$875,A833,'Base bordo CD'!A$2:A$875,B833,'Base bordo CD'!L$2:L$875,"FALTA DE TRANSBORDO"),0)</f>
        <v>0</v>
      </c>
      <c r="I833" s="10">
        <f>IFERROR(SUMIFS('Base bordo CD'!M$2:M$875,'Base bordo CD'!D$2:D$875,A833,'Base bordo CD'!A$2:A$875,B833,'Base bordo CD'!L$2:L$875,"PARADA POR CONDICOES CLIMATICAS"),0)+IFERROR(SUMIFS('Base bordo CD'!M$2:M$875,'Base bordo CD'!D$2:D$875,A833,'Base bordo CD'!A$2:A$875,B833,'Base bordo CD'!L$2:L$875,"TEMPO INDETERMINADO"),0)</f>
        <v>5.8472222222222223</v>
      </c>
      <c r="J833" s="10">
        <f>IFERROR(SUMIFS('Base bordo CD'!M$2:M$875,'Base bordo CD'!D$2:D$875,A833,'Base bordo CD'!A$2:A$875,B833,'Base bordo CD'!L$2:L$875,"LIMITAÇÃO INDÚSTRIA"),0)</f>
        <v>13.184999999999999</v>
      </c>
      <c r="K833" s="10">
        <f>IFERROR(SUMIFS('Base bordo CD'!M$2:M$875,'Base bordo CD'!D$2:D$875,A833,'Base bordo CD'!A$2:A$875,B833,'Base bordo CD'!L$2:L$875,"MAN CORRETIVA*"),0)+IFERROR(SUMIFS('Base bordo CD'!M$2:M$875,'Base bordo CD'!D$2:D$875,A833,'Base bordo CD'!A$2:A$875,B833,'Base bordo CD'!L$2:L$875,"AGUARDANDO MANUTENCAO*"),0)+IFERROR(SUMIFS('Base bordo CD'!M$2:M$875,'Base bordo CD'!D$2:D$875,A833,'Base bordo CD'!A$2:A$875,B833,'Base bordo CD'!L$2:L$875,"TROCA DE FAQUINHA"),0)+IFERROR(SUMIFS('Base bordo CD'!M$2:M$875,'Base bordo CD'!D$2:D$875,A833,'Base bordo CD'!A$2:A$875,B833,'Base bordo CD'!L$2:L$875,"LIMPEZA*"),0)</f>
        <v>0</v>
      </c>
      <c r="L833" s="10">
        <f>IFERROR(SUMIFS('Base bordo CD'!M$2:M$875,'Base bordo CD'!D$2:D$875,A833,'Base bordo CD'!A$2:A$875,B833,'Base bordo CD'!L$2:L$875,"PATIO - RESERVA"),0)</f>
        <v>2.0261111111111112</v>
      </c>
      <c r="M833" s="10">
        <f>IFERROR(SUMIFS('Base bordo CD'!M$2:M$875,'Base bordo CD'!D$2:D$875,A833,'Base bordo CD'!A$2:A$875,B833,'Base bordo CD'!L$2:L$875,"SEM APONTAMENTO"),0)</f>
        <v>0</v>
      </c>
      <c r="N833" s="10">
        <f>IFERROR(SUMIFS('Base bordo CD'!M$2:M$875,'Base bordo CD'!D$2:D$875,A833,'Base bordo CD'!A$2:A$875,B833,'Base bordo CD'!L$2:L$875,"FALTA DE CAMINHÃO"),0)+IFERROR(SUMIFS('Base bordo CD'!M$2:M$875,'Base bordo CD'!D$2:D$875,A833,'Base bordo CD'!A$2:A$875,B833,'Base bordo CD'!L$2:L$875,"FALTA DE COMBUSTIVEL"),0)+IFERROR(SUMIFS('Base bordo CD'!M$2:M$875,'Base bordo CD'!D$2:D$875,A833,'Base bordo CD'!A$2:A$875,B833,'Base bordo CD'!L$2:L$875,"FALTA DE MOTORIST*"),0)</f>
        <v>0</v>
      </c>
      <c r="O833" s="10">
        <f t="shared" si="70"/>
        <v>2.6869444444444426</v>
      </c>
      <c r="P833" s="10">
        <f>IFERROR(SUMIFS('Base bordo CD'!M$2:M$875,'Base bordo CD'!D$2:D$875,A833,'Base bordo CD'!A$2:A$875,B833),0)</f>
        <v>23.999999999999996</v>
      </c>
      <c r="Q833" s="10">
        <f>IFERROR(SUMIFS('Base bordo CD'!O$2:O$875,'Base bordo CD'!D$2:D$875,A833,'Base bordo CD'!A$2:A$875,B833,'Base bordo CD'!L$2:L$875,"CORTE DE CANA MECANIZADO"),0)</f>
        <v>0</v>
      </c>
      <c r="R833" s="10">
        <f>IFERROR(SUMIFS('Base bordo CD'!Q$2:Q$875,'Base bordo CD'!D$2:D$875,A833,'Base bordo CD'!A$2:A$875,B833,'Base bordo CD'!L$2:L$875,"CORTE DE CANA MECANIZADO"),0)</f>
        <v>0</v>
      </c>
      <c r="S833" s="30" t="str">
        <f t="shared" si="71"/>
        <v/>
      </c>
      <c r="T833" s="9">
        <f t="shared" si="72"/>
        <v>0</v>
      </c>
      <c r="U833" s="9">
        <f t="shared" si="73"/>
        <v>0</v>
      </c>
      <c r="V833" s="9">
        <f t="shared" si="74"/>
        <v>0.98938657407407404</v>
      </c>
    </row>
    <row r="834" spans="1:22" hidden="1" x14ac:dyDescent="0.35">
      <c r="A834" s="52">
        <v>49593</v>
      </c>
      <c r="B834" s="31">
        <v>46118</v>
      </c>
      <c r="C834" s="7" t="s">
        <v>321</v>
      </c>
      <c r="D834" s="7">
        <v>351</v>
      </c>
      <c r="E834" s="10">
        <f>IFERROR(SUMIFS('Base bordo CD'!M$2:M$875,'Base bordo CD'!D$2:D$875,A834,'Base bordo CD'!A$2:A$875,B834,'Base bordo CD'!L$2:L$875,"CORTE DE CANA MECANIZADO"),0)</f>
        <v>0</v>
      </c>
      <c r="F834" s="10">
        <f>IFERROR(SUMIFS('Base bordo CD'!M$2:M$875,'Base bordo CD'!D$2:D$875,A834,'Base bordo CD'!A$2:A$875,B834,'Base bordo CD'!L$2:L$875,"MANOBRA"),0)</f>
        <v>0</v>
      </c>
      <c r="G834" s="10">
        <f>IFERROR(SUMIFS('Base bordo CD'!M$2:M$875,'Base bordo CD'!D$2:D$875,A834,'Base bordo CD'!A$2:A$875,B834,'Base bordo CD'!L$2:L$875,"DESLOCAMENTO"),0)</f>
        <v>0.25472222222222218</v>
      </c>
      <c r="H834" s="10">
        <f>IFERROR(SUMIFS('Base bordo CD'!M$2:M$875,'Base bordo CD'!D$2:D$875,A834,'Base bordo CD'!A$2:A$875,B834,'Base bordo CD'!L$2:L$875,"AGUARDANDO MANOBRA DE TRANSBORDO"),0)+IFERROR(SUMIFS('Base bordo CD'!M$2:M$875,'Base bordo CD'!D$2:D$875,A834,'Base bordo CD'!A$2:A$875,B834,'Base bordo CD'!L$2:L$875,"FALTA DE TRANSBORDO"),0)</f>
        <v>0</v>
      </c>
      <c r="I834" s="10">
        <f>IFERROR(SUMIFS('Base bordo CD'!M$2:M$875,'Base bordo CD'!D$2:D$875,A834,'Base bordo CD'!A$2:A$875,B834,'Base bordo CD'!L$2:L$875,"PARADA POR CONDICOES CLIMATICAS"),0)+IFERROR(SUMIFS('Base bordo CD'!M$2:M$875,'Base bordo CD'!D$2:D$875,A834,'Base bordo CD'!A$2:A$875,B834,'Base bordo CD'!L$2:L$875,"TEMPO INDETERMINADO"),0)</f>
        <v>5.8472222222222223</v>
      </c>
      <c r="J834" s="10">
        <f>IFERROR(SUMIFS('Base bordo CD'!M$2:M$875,'Base bordo CD'!D$2:D$875,A834,'Base bordo CD'!A$2:A$875,B834,'Base bordo CD'!L$2:L$875,"LIMITAÇÃO INDÚSTRIA"),0)</f>
        <v>13.184999999999999</v>
      </c>
      <c r="K834" s="10">
        <f>IFERROR(SUMIFS('Base bordo CD'!M$2:M$875,'Base bordo CD'!D$2:D$875,A834,'Base bordo CD'!A$2:A$875,B834,'Base bordo CD'!L$2:L$875,"MAN CORRETIVA*"),0)+IFERROR(SUMIFS('Base bordo CD'!M$2:M$875,'Base bordo CD'!D$2:D$875,A834,'Base bordo CD'!A$2:A$875,B834,'Base bordo CD'!L$2:L$875,"AGUARDANDO MANUTENCAO*"),0)+IFERROR(SUMIFS('Base bordo CD'!M$2:M$875,'Base bordo CD'!D$2:D$875,A834,'Base bordo CD'!A$2:A$875,B834,'Base bordo CD'!L$2:L$875,"TROCA DE FAQUINHA"),0)+IFERROR(SUMIFS('Base bordo CD'!M$2:M$875,'Base bordo CD'!D$2:D$875,A834,'Base bordo CD'!A$2:A$875,B834,'Base bordo CD'!L$2:L$875,"LIMPEZA*"),0)</f>
        <v>0</v>
      </c>
      <c r="L834" s="10">
        <f>IFERROR(SUMIFS('Base bordo CD'!M$2:M$875,'Base bordo CD'!D$2:D$875,A834,'Base bordo CD'!A$2:A$875,B834,'Base bordo CD'!L$2:L$875,"PATIO - RESERVA"),0)</f>
        <v>2.0261111111111112</v>
      </c>
      <c r="M834" s="10">
        <f>IFERROR(SUMIFS('Base bordo CD'!M$2:M$875,'Base bordo CD'!D$2:D$875,A834,'Base bordo CD'!A$2:A$875,B834,'Base bordo CD'!L$2:L$875,"SEM APONTAMENTO"),0)</f>
        <v>0</v>
      </c>
      <c r="N834" s="10">
        <f>IFERROR(SUMIFS('Base bordo CD'!M$2:M$875,'Base bordo CD'!D$2:D$875,A834,'Base bordo CD'!A$2:A$875,B834,'Base bordo CD'!L$2:L$875,"FALTA DE CAMINHÃO"),0)+IFERROR(SUMIFS('Base bordo CD'!M$2:M$875,'Base bordo CD'!D$2:D$875,A834,'Base bordo CD'!A$2:A$875,B834,'Base bordo CD'!L$2:L$875,"FALTA DE COMBUSTIVEL"),0)+IFERROR(SUMIFS('Base bordo CD'!M$2:M$875,'Base bordo CD'!D$2:D$875,A834,'Base bordo CD'!A$2:A$875,B834,'Base bordo CD'!L$2:L$875,"FALTA DE MOTORIST*"),0)</f>
        <v>0</v>
      </c>
      <c r="O834" s="10">
        <f t="shared" si="70"/>
        <v>2.6869444444444426</v>
      </c>
      <c r="P834" s="10">
        <f>IFERROR(SUMIFS('Base bordo CD'!M$2:M$875,'Base bordo CD'!D$2:D$875,A834,'Base bordo CD'!A$2:A$875,B834),0)</f>
        <v>23.999999999999996</v>
      </c>
      <c r="Q834" s="10">
        <f>IFERROR(SUMIFS('Base bordo CD'!O$2:O$875,'Base bordo CD'!D$2:D$875,A834,'Base bordo CD'!A$2:A$875,B834,'Base bordo CD'!L$2:L$875,"CORTE DE CANA MECANIZADO"),0)</f>
        <v>0</v>
      </c>
      <c r="R834" s="10">
        <f>IFERROR(SUMIFS('Base bordo CD'!Q$2:Q$875,'Base bordo CD'!D$2:D$875,A834,'Base bordo CD'!A$2:A$875,B834,'Base bordo CD'!L$2:L$875,"CORTE DE CANA MECANIZADO"),0)</f>
        <v>0</v>
      </c>
      <c r="S834" s="30" t="str">
        <f t="shared" si="71"/>
        <v/>
      </c>
      <c r="T834" s="9">
        <f t="shared" si="72"/>
        <v>0</v>
      </c>
      <c r="U834" s="9">
        <f t="shared" si="73"/>
        <v>0</v>
      </c>
      <c r="V834" s="9">
        <f t="shared" si="74"/>
        <v>0.98938657407407404</v>
      </c>
    </row>
    <row r="835" spans="1:22" hidden="1" x14ac:dyDescent="0.35">
      <c r="A835" s="52">
        <v>49593</v>
      </c>
      <c r="B835" s="31">
        <v>46118</v>
      </c>
      <c r="C835" s="7" t="s">
        <v>321</v>
      </c>
      <c r="D835" s="7">
        <v>351</v>
      </c>
      <c r="E835" s="10">
        <f>IFERROR(SUMIFS('Base bordo CD'!M$2:M$875,'Base bordo CD'!D$2:D$875,A835,'Base bordo CD'!A$2:A$875,B835,'Base bordo CD'!L$2:L$875,"CORTE DE CANA MECANIZADO"),0)</f>
        <v>0</v>
      </c>
      <c r="F835" s="10">
        <f>IFERROR(SUMIFS('Base bordo CD'!M$2:M$875,'Base bordo CD'!D$2:D$875,A835,'Base bordo CD'!A$2:A$875,B835,'Base bordo CD'!L$2:L$875,"MANOBRA"),0)</f>
        <v>0</v>
      </c>
      <c r="G835" s="10">
        <f>IFERROR(SUMIFS('Base bordo CD'!M$2:M$875,'Base bordo CD'!D$2:D$875,A835,'Base bordo CD'!A$2:A$875,B835,'Base bordo CD'!L$2:L$875,"DESLOCAMENTO"),0)</f>
        <v>0.25472222222222218</v>
      </c>
      <c r="H835" s="10">
        <f>IFERROR(SUMIFS('Base bordo CD'!M$2:M$875,'Base bordo CD'!D$2:D$875,A835,'Base bordo CD'!A$2:A$875,B835,'Base bordo CD'!L$2:L$875,"AGUARDANDO MANOBRA DE TRANSBORDO"),0)+IFERROR(SUMIFS('Base bordo CD'!M$2:M$875,'Base bordo CD'!D$2:D$875,A835,'Base bordo CD'!A$2:A$875,B835,'Base bordo CD'!L$2:L$875,"FALTA DE TRANSBORDO"),0)</f>
        <v>0</v>
      </c>
      <c r="I835" s="10">
        <f>IFERROR(SUMIFS('Base bordo CD'!M$2:M$875,'Base bordo CD'!D$2:D$875,A835,'Base bordo CD'!A$2:A$875,B835,'Base bordo CD'!L$2:L$875,"PARADA POR CONDICOES CLIMATICAS"),0)+IFERROR(SUMIFS('Base bordo CD'!M$2:M$875,'Base bordo CD'!D$2:D$875,A835,'Base bordo CD'!A$2:A$875,B835,'Base bordo CD'!L$2:L$875,"TEMPO INDETERMINADO"),0)</f>
        <v>5.8472222222222223</v>
      </c>
      <c r="J835" s="10">
        <f>IFERROR(SUMIFS('Base bordo CD'!M$2:M$875,'Base bordo CD'!D$2:D$875,A835,'Base bordo CD'!A$2:A$875,B835,'Base bordo CD'!L$2:L$875,"LIMITAÇÃO INDÚSTRIA"),0)</f>
        <v>13.184999999999999</v>
      </c>
      <c r="K835" s="10">
        <f>IFERROR(SUMIFS('Base bordo CD'!M$2:M$875,'Base bordo CD'!D$2:D$875,A835,'Base bordo CD'!A$2:A$875,B835,'Base bordo CD'!L$2:L$875,"MAN CORRETIVA*"),0)+IFERROR(SUMIFS('Base bordo CD'!M$2:M$875,'Base bordo CD'!D$2:D$875,A835,'Base bordo CD'!A$2:A$875,B835,'Base bordo CD'!L$2:L$875,"AGUARDANDO MANUTENCAO*"),0)+IFERROR(SUMIFS('Base bordo CD'!M$2:M$875,'Base bordo CD'!D$2:D$875,A835,'Base bordo CD'!A$2:A$875,B835,'Base bordo CD'!L$2:L$875,"TROCA DE FAQUINHA"),0)+IFERROR(SUMIFS('Base bordo CD'!M$2:M$875,'Base bordo CD'!D$2:D$875,A835,'Base bordo CD'!A$2:A$875,B835,'Base bordo CD'!L$2:L$875,"LIMPEZA*"),0)</f>
        <v>0</v>
      </c>
      <c r="L835" s="10">
        <f>IFERROR(SUMIFS('Base bordo CD'!M$2:M$875,'Base bordo CD'!D$2:D$875,A835,'Base bordo CD'!A$2:A$875,B835,'Base bordo CD'!L$2:L$875,"PATIO - RESERVA"),0)</f>
        <v>2.0261111111111112</v>
      </c>
      <c r="M835" s="10">
        <f>IFERROR(SUMIFS('Base bordo CD'!M$2:M$875,'Base bordo CD'!D$2:D$875,A835,'Base bordo CD'!A$2:A$875,B835,'Base bordo CD'!L$2:L$875,"SEM APONTAMENTO"),0)</f>
        <v>0</v>
      </c>
      <c r="N835" s="10">
        <f>IFERROR(SUMIFS('Base bordo CD'!M$2:M$875,'Base bordo CD'!D$2:D$875,A835,'Base bordo CD'!A$2:A$875,B835,'Base bordo CD'!L$2:L$875,"FALTA DE CAMINHÃO"),0)+IFERROR(SUMIFS('Base bordo CD'!M$2:M$875,'Base bordo CD'!D$2:D$875,A835,'Base bordo CD'!A$2:A$875,B835,'Base bordo CD'!L$2:L$875,"FALTA DE COMBUSTIVEL"),0)+IFERROR(SUMIFS('Base bordo CD'!M$2:M$875,'Base bordo CD'!D$2:D$875,A835,'Base bordo CD'!A$2:A$875,B835,'Base bordo CD'!L$2:L$875,"FALTA DE MOTORIST*"),0)</f>
        <v>0</v>
      </c>
      <c r="O835" s="10">
        <f t="shared" si="70"/>
        <v>2.6869444444444426</v>
      </c>
      <c r="P835" s="10">
        <f>IFERROR(SUMIFS('Base bordo CD'!M$2:M$875,'Base bordo CD'!D$2:D$875,A835,'Base bordo CD'!A$2:A$875,B835),0)</f>
        <v>23.999999999999996</v>
      </c>
      <c r="Q835" s="10">
        <f>IFERROR(SUMIFS('Base bordo CD'!O$2:O$875,'Base bordo CD'!D$2:D$875,A835,'Base bordo CD'!A$2:A$875,B835,'Base bordo CD'!L$2:L$875,"CORTE DE CANA MECANIZADO"),0)</f>
        <v>0</v>
      </c>
      <c r="R835" s="10">
        <f>IFERROR(SUMIFS('Base bordo CD'!Q$2:Q$875,'Base bordo CD'!D$2:D$875,A835,'Base bordo CD'!A$2:A$875,B835,'Base bordo CD'!L$2:L$875,"CORTE DE CANA MECANIZADO"),0)</f>
        <v>0</v>
      </c>
      <c r="S835" s="30" t="str">
        <f t="shared" si="71"/>
        <v/>
      </c>
      <c r="T835" s="9">
        <f t="shared" si="72"/>
        <v>0</v>
      </c>
      <c r="U835" s="9">
        <f t="shared" si="73"/>
        <v>0</v>
      </c>
      <c r="V835" s="9">
        <f t="shared" si="74"/>
        <v>0.98938657407407404</v>
      </c>
    </row>
    <row r="836" spans="1:22" hidden="1" x14ac:dyDescent="0.35">
      <c r="A836" s="52">
        <v>49593</v>
      </c>
      <c r="B836" s="31">
        <v>46118</v>
      </c>
      <c r="C836" s="7" t="s">
        <v>321</v>
      </c>
      <c r="D836" s="7">
        <v>351</v>
      </c>
      <c r="E836" s="10">
        <f>IFERROR(SUMIFS('Base bordo CD'!M$2:M$875,'Base bordo CD'!D$2:D$875,A836,'Base bordo CD'!A$2:A$875,B836,'Base bordo CD'!L$2:L$875,"CORTE DE CANA MECANIZADO"),0)</f>
        <v>0</v>
      </c>
      <c r="F836" s="10">
        <f>IFERROR(SUMIFS('Base bordo CD'!M$2:M$875,'Base bordo CD'!D$2:D$875,A836,'Base bordo CD'!A$2:A$875,B836,'Base bordo CD'!L$2:L$875,"MANOBRA"),0)</f>
        <v>0</v>
      </c>
      <c r="G836" s="10">
        <f>IFERROR(SUMIFS('Base bordo CD'!M$2:M$875,'Base bordo CD'!D$2:D$875,A836,'Base bordo CD'!A$2:A$875,B836,'Base bordo CD'!L$2:L$875,"DESLOCAMENTO"),0)</f>
        <v>0.25472222222222218</v>
      </c>
      <c r="H836" s="10">
        <f>IFERROR(SUMIFS('Base bordo CD'!M$2:M$875,'Base bordo CD'!D$2:D$875,A836,'Base bordo CD'!A$2:A$875,B836,'Base bordo CD'!L$2:L$875,"AGUARDANDO MANOBRA DE TRANSBORDO"),0)+IFERROR(SUMIFS('Base bordo CD'!M$2:M$875,'Base bordo CD'!D$2:D$875,A836,'Base bordo CD'!A$2:A$875,B836,'Base bordo CD'!L$2:L$875,"FALTA DE TRANSBORDO"),0)</f>
        <v>0</v>
      </c>
      <c r="I836" s="10">
        <f>IFERROR(SUMIFS('Base bordo CD'!M$2:M$875,'Base bordo CD'!D$2:D$875,A836,'Base bordo CD'!A$2:A$875,B836,'Base bordo CD'!L$2:L$875,"PARADA POR CONDICOES CLIMATICAS"),0)+IFERROR(SUMIFS('Base bordo CD'!M$2:M$875,'Base bordo CD'!D$2:D$875,A836,'Base bordo CD'!A$2:A$875,B836,'Base bordo CD'!L$2:L$875,"TEMPO INDETERMINADO"),0)</f>
        <v>5.8472222222222223</v>
      </c>
      <c r="J836" s="10">
        <f>IFERROR(SUMIFS('Base bordo CD'!M$2:M$875,'Base bordo CD'!D$2:D$875,A836,'Base bordo CD'!A$2:A$875,B836,'Base bordo CD'!L$2:L$875,"LIMITAÇÃO INDÚSTRIA"),0)</f>
        <v>13.184999999999999</v>
      </c>
      <c r="K836" s="10">
        <f>IFERROR(SUMIFS('Base bordo CD'!M$2:M$875,'Base bordo CD'!D$2:D$875,A836,'Base bordo CD'!A$2:A$875,B836,'Base bordo CD'!L$2:L$875,"MAN CORRETIVA*"),0)+IFERROR(SUMIFS('Base bordo CD'!M$2:M$875,'Base bordo CD'!D$2:D$875,A836,'Base bordo CD'!A$2:A$875,B836,'Base bordo CD'!L$2:L$875,"AGUARDANDO MANUTENCAO*"),0)+IFERROR(SUMIFS('Base bordo CD'!M$2:M$875,'Base bordo CD'!D$2:D$875,A836,'Base bordo CD'!A$2:A$875,B836,'Base bordo CD'!L$2:L$875,"TROCA DE FAQUINHA"),0)+IFERROR(SUMIFS('Base bordo CD'!M$2:M$875,'Base bordo CD'!D$2:D$875,A836,'Base bordo CD'!A$2:A$875,B836,'Base bordo CD'!L$2:L$875,"LIMPEZA*"),0)</f>
        <v>0</v>
      </c>
      <c r="L836" s="10">
        <f>IFERROR(SUMIFS('Base bordo CD'!M$2:M$875,'Base bordo CD'!D$2:D$875,A836,'Base bordo CD'!A$2:A$875,B836,'Base bordo CD'!L$2:L$875,"PATIO - RESERVA"),0)</f>
        <v>2.0261111111111112</v>
      </c>
      <c r="M836" s="10">
        <f>IFERROR(SUMIFS('Base bordo CD'!M$2:M$875,'Base bordo CD'!D$2:D$875,A836,'Base bordo CD'!A$2:A$875,B836,'Base bordo CD'!L$2:L$875,"SEM APONTAMENTO"),0)</f>
        <v>0</v>
      </c>
      <c r="N836" s="10">
        <f>IFERROR(SUMIFS('Base bordo CD'!M$2:M$875,'Base bordo CD'!D$2:D$875,A836,'Base bordo CD'!A$2:A$875,B836,'Base bordo CD'!L$2:L$875,"FALTA DE CAMINHÃO"),0)+IFERROR(SUMIFS('Base bordo CD'!M$2:M$875,'Base bordo CD'!D$2:D$875,A836,'Base bordo CD'!A$2:A$875,B836,'Base bordo CD'!L$2:L$875,"FALTA DE COMBUSTIVEL"),0)+IFERROR(SUMIFS('Base bordo CD'!M$2:M$875,'Base bordo CD'!D$2:D$875,A836,'Base bordo CD'!A$2:A$875,B836,'Base bordo CD'!L$2:L$875,"FALTA DE MOTORIST*"),0)</f>
        <v>0</v>
      </c>
      <c r="O836" s="10">
        <f t="shared" si="70"/>
        <v>2.6869444444444426</v>
      </c>
      <c r="P836" s="10">
        <f>IFERROR(SUMIFS('Base bordo CD'!M$2:M$875,'Base bordo CD'!D$2:D$875,A836,'Base bordo CD'!A$2:A$875,B836),0)</f>
        <v>23.999999999999996</v>
      </c>
      <c r="Q836" s="10">
        <f>IFERROR(SUMIFS('Base bordo CD'!O$2:O$875,'Base bordo CD'!D$2:D$875,A836,'Base bordo CD'!A$2:A$875,B836,'Base bordo CD'!L$2:L$875,"CORTE DE CANA MECANIZADO"),0)</f>
        <v>0</v>
      </c>
      <c r="R836" s="10">
        <f>IFERROR(SUMIFS('Base bordo CD'!Q$2:Q$875,'Base bordo CD'!D$2:D$875,A836,'Base bordo CD'!A$2:A$875,B836,'Base bordo CD'!L$2:L$875,"CORTE DE CANA MECANIZADO"),0)</f>
        <v>0</v>
      </c>
      <c r="S836" s="30" t="str">
        <f t="shared" si="71"/>
        <v/>
      </c>
      <c r="T836" s="9">
        <f t="shared" si="72"/>
        <v>0</v>
      </c>
      <c r="U836" s="9">
        <f t="shared" si="73"/>
        <v>0</v>
      </c>
      <c r="V836" s="9">
        <f t="shared" si="74"/>
        <v>0.98938657407407404</v>
      </c>
    </row>
    <row r="837" spans="1:22" hidden="1" x14ac:dyDescent="0.35">
      <c r="A837" s="52">
        <v>49593</v>
      </c>
      <c r="B837" s="31">
        <v>46118</v>
      </c>
      <c r="C837" s="7" t="s">
        <v>321</v>
      </c>
      <c r="D837" s="7">
        <v>351</v>
      </c>
      <c r="E837" s="10">
        <f>IFERROR(SUMIFS('Base bordo CD'!M$2:M$875,'Base bordo CD'!D$2:D$875,A837,'Base bordo CD'!A$2:A$875,B837,'Base bordo CD'!L$2:L$875,"CORTE DE CANA MECANIZADO"),0)</f>
        <v>0</v>
      </c>
      <c r="F837" s="10">
        <f>IFERROR(SUMIFS('Base bordo CD'!M$2:M$875,'Base bordo CD'!D$2:D$875,A837,'Base bordo CD'!A$2:A$875,B837,'Base bordo CD'!L$2:L$875,"MANOBRA"),0)</f>
        <v>0</v>
      </c>
      <c r="G837" s="10">
        <f>IFERROR(SUMIFS('Base bordo CD'!M$2:M$875,'Base bordo CD'!D$2:D$875,A837,'Base bordo CD'!A$2:A$875,B837,'Base bordo CD'!L$2:L$875,"DESLOCAMENTO"),0)</f>
        <v>0.25472222222222218</v>
      </c>
      <c r="H837" s="10">
        <f>IFERROR(SUMIFS('Base bordo CD'!M$2:M$875,'Base bordo CD'!D$2:D$875,A837,'Base bordo CD'!A$2:A$875,B837,'Base bordo CD'!L$2:L$875,"AGUARDANDO MANOBRA DE TRANSBORDO"),0)+IFERROR(SUMIFS('Base bordo CD'!M$2:M$875,'Base bordo CD'!D$2:D$875,A837,'Base bordo CD'!A$2:A$875,B837,'Base bordo CD'!L$2:L$875,"FALTA DE TRANSBORDO"),0)</f>
        <v>0</v>
      </c>
      <c r="I837" s="10">
        <f>IFERROR(SUMIFS('Base bordo CD'!M$2:M$875,'Base bordo CD'!D$2:D$875,A837,'Base bordo CD'!A$2:A$875,B837,'Base bordo CD'!L$2:L$875,"PARADA POR CONDICOES CLIMATICAS"),0)+IFERROR(SUMIFS('Base bordo CD'!M$2:M$875,'Base bordo CD'!D$2:D$875,A837,'Base bordo CD'!A$2:A$875,B837,'Base bordo CD'!L$2:L$875,"TEMPO INDETERMINADO"),0)</f>
        <v>5.8472222222222223</v>
      </c>
      <c r="J837" s="10">
        <f>IFERROR(SUMIFS('Base bordo CD'!M$2:M$875,'Base bordo CD'!D$2:D$875,A837,'Base bordo CD'!A$2:A$875,B837,'Base bordo CD'!L$2:L$875,"LIMITAÇÃO INDÚSTRIA"),0)</f>
        <v>13.184999999999999</v>
      </c>
      <c r="K837" s="10">
        <f>IFERROR(SUMIFS('Base bordo CD'!M$2:M$875,'Base bordo CD'!D$2:D$875,A837,'Base bordo CD'!A$2:A$875,B837,'Base bordo CD'!L$2:L$875,"MAN CORRETIVA*"),0)+IFERROR(SUMIFS('Base bordo CD'!M$2:M$875,'Base bordo CD'!D$2:D$875,A837,'Base bordo CD'!A$2:A$875,B837,'Base bordo CD'!L$2:L$875,"AGUARDANDO MANUTENCAO*"),0)+IFERROR(SUMIFS('Base bordo CD'!M$2:M$875,'Base bordo CD'!D$2:D$875,A837,'Base bordo CD'!A$2:A$875,B837,'Base bordo CD'!L$2:L$875,"TROCA DE FAQUINHA"),0)+IFERROR(SUMIFS('Base bordo CD'!M$2:M$875,'Base bordo CD'!D$2:D$875,A837,'Base bordo CD'!A$2:A$875,B837,'Base bordo CD'!L$2:L$875,"LIMPEZA*"),0)</f>
        <v>0</v>
      </c>
      <c r="L837" s="10">
        <f>IFERROR(SUMIFS('Base bordo CD'!M$2:M$875,'Base bordo CD'!D$2:D$875,A837,'Base bordo CD'!A$2:A$875,B837,'Base bordo CD'!L$2:L$875,"PATIO - RESERVA"),0)</f>
        <v>2.0261111111111112</v>
      </c>
      <c r="M837" s="10">
        <f>IFERROR(SUMIFS('Base bordo CD'!M$2:M$875,'Base bordo CD'!D$2:D$875,A837,'Base bordo CD'!A$2:A$875,B837,'Base bordo CD'!L$2:L$875,"SEM APONTAMENTO"),0)</f>
        <v>0</v>
      </c>
      <c r="N837" s="10">
        <f>IFERROR(SUMIFS('Base bordo CD'!M$2:M$875,'Base bordo CD'!D$2:D$875,A837,'Base bordo CD'!A$2:A$875,B837,'Base bordo CD'!L$2:L$875,"FALTA DE CAMINHÃO"),0)+IFERROR(SUMIFS('Base bordo CD'!M$2:M$875,'Base bordo CD'!D$2:D$875,A837,'Base bordo CD'!A$2:A$875,B837,'Base bordo CD'!L$2:L$875,"FALTA DE COMBUSTIVEL"),0)+IFERROR(SUMIFS('Base bordo CD'!M$2:M$875,'Base bordo CD'!D$2:D$875,A837,'Base bordo CD'!A$2:A$875,B837,'Base bordo CD'!L$2:L$875,"FALTA DE MOTORIST*"),0)</f>
        <v>0</v>
      </c>
      <c r="O837" s="10">
        <f t="shared" si="70"/>
        <v>2.6869444444444426</v>
      </c>
      <c r="P837" s="10">
        <f>IFERROR(SUMIFS('Base bordo CD'!M$2:M$875,'Base bordo CD'!D$2:D$875,A837,'Base bordo CD'!A$2:A$875,B837),0)</f>
        <v>23.999999999999996</v>
      </c>
      <c r="Q837" s="10">
        <f>IFERROR(SUMIFS('Base bordo CD'!O$2:O$875,'Base bordo CD'!D$2:D$875,A837,'Base bordo CD'!A$2:A$875,B837,'Base bordo CD'!L$2:L$875,"CORTE DE CANA MECANIZADO"),0)</f>
        <v>0</v>
      </c>
      <c r="R837" s="10">
        <f>IFERROR(SUMIFS('Base bordo CD'!Q$2:Q$875,'Base bordo CD'!D$2:D$875,A837,'Base bordo CD'!A$2:A$875,B837,'Base bordo CD'!L$2:L$875,"CORTE DE CANA MECANIZADO"),0)</f>
        <v>0</v>
      </c>
      <c r="S837" s="30" t="str">
        <f t="shared" si="71"/>
        <v/>
      </c>
      <c r="T837" s="9">
        <f t="shared" si="72"/>
        <v>0</v>
      </c>
      <c r="U837" s="9">
        <f t="shared" si="73"/>
        <v>0</v>
      </c>
      <c r="V837" s="9">
        <f t="shared" si="74"/>
        <v>0.98938657407407404</v>
      </c>
    </row>
    <row r="838" spans="1:22" hidden="1" x14ac:dyDescent="0.35">
      <c r="A838" s="52">
        <v>49593</v>
      </c>
      <c r="B838" s="31">
        <v>46118</v>
      </c>
      <c r="C838" s="7" t="s">
        <v>321</v>
      </c>
      <c r="D838" s="7">
        <v>351</v>
      </c>
      <c r="E838" s="10">
        <f>IFERROR(SUMIFS('Base bordo CD'!M$2:M$875,'Base bordo CD'!D$2:D$875,A838,'Base bordo CD'!A$2:A$875,B838,'Base bordo CD'!L$2:L$875,"CORTE DE CANA MECANIZADO"),0)</f>
        <v>0</v>
      </c>
      <c r="F838" s="10">
        <f>IFERROR(SUMIFS('Base bordo CD'!M$2:M$875,'Base bordo CD'!D$2:D$875,A838,'Base bordo CD'!A$2:A$875,B838,'Base bordo CD'!L$2:L$875,"MANOBRA"),0)</f>
        <v>0</v>
      </c>
      <c r="G838" s="10">
        <f>IFERROR(SUMIFS('Base bordo CD'!M$2:M$875,'Base bordo CD'!D$2:D$875,A838,'Base bordo CD'!A$2:A$875,B838,'Base bordo CD'!L$2:L$875,"DESLOCAMENTO"),0)</f>
        <v>0.25472222222222218</v>
      </c>
      <c r="H838" s="10">
        <f>IFERROR(SUMIFS('Base bordo CD'!M$2:M$875,'Base bordo CD'!D$2:D$875,A838,'Base bordo CD'!A$2:A$875,B838,'Base bordo CD'!L$2:L$875,"AGUARDANDO MANOBRA DE TRANSBORDO"),0)+IFERROR(SUMIFS('Base bordo CD'!M$2:M$875,'Base bordo CD'!D$2:D$875,A838,'Base bordo CD'!A$2:A$875,B838,'Base bordo CD'!L$2:L$875,"FALTA DE TRANSBORDO"),0)</f>
        <v>0</v>
      </c>
      <c r="I838" s="10">
        <f>IFERROR(SUMIFS('Base bordo CD'!M$2:M$875,'Base bordo CD'!D$2:D$875,A838,'Base bordo CD'!A$2:A$875,B838,'Base bordo CD'!L$2:L$875,"PARADA POR CONDICOES CLIMATICAS"),0)+IFERROR(SUMIFS('Base bordo CD'!M$2:M$875,'Base bordo CD'!D$2:D$875,A838,'Base bordo CD'!A$2:A$875,B838,'Base bordo CD'!L$2:L$875,"TEMPO INDETERMINADO"),0)</f>
        <v>5.8472222222222223</v>
      </c>
      <c r="J838" s="10">
        <f>IFERROR(SUMIFS('Base bordo CD'!M$2:M$875,'Base bordo CD'!D$2:D$875,A838,'Base bordo CD'!A$2:A$875,B838,'Base bordo CD'!L$2:L$875,"LIMITAÇÃO INDÚSTRIA"),0)</f>
        <v>13.184999999999999</v>
      </c>
      <c r="K838" s="10">
        <f>IFERROR(SUMIFS('Base bordo CD'!M$2:M$875,'Base bordo CD'!D$2:D$875,A838,'Base bordo CD'!A$2:A$875,B838,'Base bordo CD'!L$2:L$875,"MAN CORRETIVA*"),0)+IFERROR(SUMIFS('Base bordo CD'!M$2:M$875,'Base bordo CD'!D$2:D$875,A838,'Base bordo CD'!A$2:A$875,B838,'Base bordo CD'!L$2:L$875,"AGUARDANDO MANUTENCAO*"),0)+IFERROR(SUMIFS('Base bordo CD'!M$2:M$875,'Base bordo CD'!D$2:D$875,A838,'Base bordo CD'!A$2:A$875,B838,'Base bordo CD'!L$2:L$875,"TROCA DE FAQUINHA"),0)+IFERROR(SUMIFS('Base bordo CD'!M$2:M$875,'Base bordo CD'!D$2:D$875,A838,'Base bordo CD'!A$2:A$875,B838,'Base bordo CD'!L$2:L$875,"LIMPEZA*"),0)</f>
        <v>0</v>
      </c>
      <c r="L838" s="10">
        <f>IFERROR(SUMIFS('Base bordo CD'!M$2:M$875,'Base bordo CD'!D$2:D$875,A838,'Base bordo CD'!A$2:A$875,B838,'Base bordo CD'!L$2:L$875,"PATIO - RESERVA"),0)</f>
        <v>2.0261111111111112</v>
      </c>
      <c r="M838" s="10">
        <f>IFERROR(SUMIFS('Base bordo CD'!M$2:M$875,'Base bordo CD'!D$2:D$875,A838,'Base bordo CD'!A$2:A$875,B838,'Base bordo CD'!L$2:L$875,"SEM APONTAMENTO"),0)</f>
        <v>0</v>
      </c>
      <c r="N838" s="10">
        <f>IFERROR(SUMIFS('Base bordo CD'!M$2:M$875,'Base bordo CD'!D$2:D$875,A838,'Base bordo CD'!A$2:A$875,B838,'Base bordo CD'!L$2:L$875,"FALTA DE CAMINHÃO"),0)+IFERROR(SUMIFS('Base bordo CD'!M$2:M$875,'Base bordo CD'!D$2:D$875,A838,'Base bordo CD'!A$2:A$875,B838,'Base bordo CD'!L$2:L$875,"FALTA DE COMBUSTIVEL"),0)+IFERROR(SUMIFS('Base bordo CD'!M$2:M$875,'Base bordo CD'!D$2:D$875,A838,'Base bordo CD'!A$2:A$875,B838,'Base bordo CD'!L$2:L$875,"FALTA DE MOTORIST*"),0)</f>
        <v>0</v>
      </c>
      <c r="O838" s="10">
        <f t="shared" si="70"/>
        <v>2.6869444444444426</v>
      </c>
      <c r="P838" s="10">
        <f>IFERROR(SUMIFS('Base bordo CD'!M$2:M$875,'Base bordo CD'!D$2:D$875,A838,'Base bordo CD'!A$2:A$875,B838),0)</f>
        <v>23.999999999999996</v>
      </c>
      <c r="Q838" s="10">
        <f>IFERROR(SUMIFS('Base bordo CD'!O$2:O$875,'Base bordo CD'!D$2:D$875,A838,'Base bordo CD'!A$2:A$875,B838,'Base bordo CD'!L$2:L$875,"CORTE DE CANA MECANIZADO"),0)</f>
        <v>0</v>
      </c>
      <c r="R838" s="10">
        <f>IFERROR(SUMIFS('Base bordo CD'!Q$2:Q$875,'Base bordo CD'!D$2:D$875,A838,'Base bordo CD'!A$2:A$875,B838,'Base bordo CD'!L$2:L$875,"CORTE DE CANA MECANIZADO"),0)</f>
        <v>0</v>
      </c>
      <c r="S838" s="30" t="str">
        <f t="shared" si="71"/>
        <v/>
      </c>
      <c r="T838" s="9">
        <f t="shared" si="72"/>
        <v>0</v>
      </c>
      <c r="U838" s="9">
        <f t="shared" si="73"/>
        <v>0</v>
      </c>
      <c r="V838" s="9">
        <f t="shared" si="74"/>
        <v>0.98938657407407404</v>
      </c>
    </row>
    <row r="839" spans="1:22" x14ac:dyDescent="0.35">
      <c r="A839" s="52">
        <v>49595</v>
      </c>
      <c r="B839" s="31">
        <v>46118</v>
      </c>
      <c r="C839" s="7" t="s">
        <v>337</v>
      </c>
      <c r="D839" s="7">
        <v>353</v>
      </c>
      <c r="E839" s="10">
        <f>IFERROR(SUMIFS('Base bordo CD'!M$2:M$875,'Base bordo CD'!D$2:D$875,A839,'Base bordo CD'!A$2:A$875,B839,'Base bordo CD'!L$2:L$875,"CORTE DE CANA MECANIZADO"),0)</f>
        <v>6.3025000000000002</v>
      </c>
      <c r="F839" s="10">
        <f>IFERROR(SUMIFS('Base bordo CD'!M$2:M$875,'Base bordo CD'!D$2:D$875,A839,'Base bordo CD'!A$2:A$875,B839,'Base bordo CD'!L$2:L$875,"MANOBRA"),0)</f>
        <v>1.0702777777777777</v>
      </c>
      <c r="G839" s="10">
        <f>IFERROR(SUMIFS('Base bordo CD'!M$2:M$875,'Base bordo CD'!D$2:D$875,A839,'Base bordo CD'!A$2:A$875,B839,'Base bordo CD'!L$2:L$875,"DESLOCAMENTO"),0)</f>
        <v>0.64555555555555555</v>
      </c>
      <c r="H839" s="10">
        <f>IFERROR(SUMIFS('Base bordo CD'!M$2:M$875,'Base bordo CD'!D$2:D$875,A839,'Base bordo CD'!A$2:A$875,B839,'Base bordo CD'!L$2:L$875,"AGUARDANDO MANOBRA DE TRANSBORDO"),0)+IFERROR(SUMIFS('Base bordo CD'!M$2:M$875,'Base bordo CD'!D$2:D$875,A839,'Base bordo CD'!A$2:A$875,B839,'Base bordo CD'!L$2:L$875,"FALTA DE TRANSBORDO"),0)</f>
        <v>0.84305555555555556</v>
      </c>
      <c r="I839" s="10">
        <f>IFERROR(SUMIFS('Base bordo CD'!M$2:M$875,'Base bordo CD'!D$2:D$875,A839,'Base bordo CD'!A$2:A$875,B839,'Base bordo CD'!L$2:L$875,"PARADA POR CONDICOES CLIMATICAS"),0)+IFERROR(SUMIFS('Base bordo CD'!M$2:M$875,'Base bordo CD'!D$2:D$875,A839,'Base bordo CD'!A$2:A$875,B839,'Base bordo CD'!L$2:L$875,"TEMPO INDETERMINADO"),0)</f>
        <v>0</v>
      </c>
      <c r="J839" s="10">
        <f>IFERROR(SUMIFS('Base bordo CD'!M$2:M$875,'Base bordo CD'!D$2:D$875,A839,'Base bordo CD'!A$2:A$875,B839,'Base bordo CD'!L$2:L$875,"LIMITAÇÃO INDÚSTRIA"),0)</f>
        <v>9.8199999999999985</v>
      </c>
      <c r="K839" s="10">
        <f>IFERROR(SUMIFS('Base bordo CD'!M$2:M$875,'Base bordo CD'!D$2:D$875,A839,'Base bordo CD'!A$2:A$875,B839,'Base bordo CD'!L$2:L$875,"MAN CORRETIVA*"),0)+IFERROR(SUMIFS('Base bordo CD'!M$2:M$875,'Base bordo CD'!D$2:D$875,A839,'Base bordo CD'!A$2:A$875,B839,'Base bordo CD'!L$2:L$875,"AGUARDANDO MANUTENCAO*"),0)+IFERROR(SUMIFS('Base bordo CD'!M$2:M$875,'Base bordo CD'!D$2:D$875,A839,'Base bordo CD'!A$2:A$875,B839,'Base bordo CD'!L$2:L$875,"TROCA DE FAQUINHA"),0)+IFERROR(SUMIFS('Base bordo CD'!M$2:M$875,'Base bordo CD'!D$2:D$875,A839,'Base bordo CD'!A$2:A$875,B839,'Base bordo CD'!L$2:L$875,"LIMPEZA*"),0)</f>
        <v>0.9738888888888888</v>
      </c>
      <c r="L839" s="10">
        <f>IFERROR(SUMIFS('Base bordo CD'!M$2:M$875,'Base bordo CD'!D$2:D$875,A839,'Base bordo CD'!A$2:A$875,B839,'Base bordo CD'!L$2:L$875,"PATIO - RESERVA"),0)</f>
        <v>0</v>
      </c>
      <c r="M839" s="10">
        <f>IFERROR(SUMIFS('Base bordo CD'!M$2:M$875,'Base bordo CD'!D$2:D$875,A839,'Base bordo CD'!A$2:A$875,B839,'Base bordo CD'!L$2:L$875,"SEM APONTAMENTO"),0)</f>
        <v>0</v>
      </c>
      <c r="N839" s="10">
        <f>IFERROR(SUMIFS('Base bordo CD'!M$2:M$875,'Base bordo CD'!D$2:D$875,A839,'Base bordo CD'!A$2:A$875,B839,'Base bordo CD'!L$2:L$875,"FALTA DE CAMINHÃO"),0)+IFERROR(SUMIFS('Base bordo CD'!M$2:M$875,'Base bordo CD'!D$2:D$875,A839,'Base bordo CD'!A$2:A$875,B839,'Base bordo CD'!L$2:L$875,"FALTA DE COMBUSTIVEL"),0)+IFERROR(SUMIFS('Base bordo CD'!M$2:M$875,'Base bordo CD'!D$2:D$875,A839,'Base bordo CD'!A$2:A$875,B839,'Base bordo CD'!L$2:L$875,"FALTA DE MOTORIST*"),0)</f>
        <v>0</v>
      </c>
      <c r="O839" s="10">
        <f t="shared" si="70"/>
        <v>0.5736111111111093</v>
      </c>
      <c r="P839" s="10">
        <f>IFERROR(SUMIFS('Base bordo CD'!M$2:M$875,'Base bordo CD'!D$2:D$875,A839,'Base bordo CD'!A$2:A$875,B839),0)</f>
        <v>20.228888888888886</v>
      </c>
      <c r="Q839" s="10">
        <f>IFERROR(SUMIFS('Base bordo CD'!O$2:O$875,'Base bordo CD'!D$2:D$875,A839,'Base bordo CD'!A$2:A$875,B839,'Base bordo CD'!L$2:L$875,"CORTE DE CANA MECANIZADO"),0)</f>
        <v>64463.79</v>
      </c>
      <c r="R839" s="10">
        <f>IFERROR(SUMIFS('Base bordo CD'!Q$2:Q$875,'Base bordo CD'!D$2:D$875,A839,'Base bordo CD'!A$2:A$875,B839,'Base bordo CD'!L$2:L$875,"CORTE DE CANA MECANIZADO"),0)</f>
        <v>22689</v>
      </c>
      <c r="S839" s="30">
        <f t="shared" si="71"/>
        <v>2.8411913261933095</v>
      </c>
      <c r="T839" s="9">
        <f t="shared" si="72"/>
        <v>0.31155937602988032</v>
      </c>
      <c r="U839" s="9">
        <f t="shared" si="73"/>
        <v>5.2908381852136664E-2</v>
      </c>
      <c r="V839" s="9">
        <f t="shared" si="74"/>
        <v>0.65652806766999883</v>
      </c>
    </row>
    <row r="840" spans="1:22" x14ac:dyDescent="0.35">
      <c r="A840" s="52">
        <v>49595</v>
      </c>
      <c r="B840" s="31">
        <v>46118</v>
      </c>
      <c r="C840" s="7" t="s">
        <v>337</v>
      </c>
      <c r="D840" s="7">
        <v>353</v>
      </c>
      <c r="E840" s="10">
        <f>IFERROR(SUMIFS('Base bordo CD'!M$2:M$875,'Base bordo CD'!D$2:D$875,A840,'Base bordo CD'!A$2:A$875,B840,'Base bordo CD'!L$2:L$875,"CORTE DE CANA MECANIZADO"),0)</f>
        <v>6.3025000000000002</v>
      </c>
      <c r="F840" s="10">
        <f>IFERROR(SUMIFS('Base bordo CD'!M$2:M$875,'Base bordo CD'!D$2:D$875,A840,'Base bordo CD'!A$2:A$875,B840,'Base bordo CD'!L$2:L$875,"MANOBRA"),0)</f>
        <v>1.0702777777777777</v>
      </c>
      <c r="G840" s="10">
        <f>IFERROR(SUMIFS('Base bordo CD'!M$2:M$875,'Base bordo CD'!D$2:D$875,A840,'Base bordo CD'!A$2:A$875,B840,'Base bordo CD'!L$2:L$875,"DESLOCAMENTO"),0)</f>
        <v>0.64555555555555555</v>
      </c>
      <c r="H840" s="10">
        <f>IFERROR(SUMIFS('Base bordo CD'!M$2:M$875,'Base bordo CD'!D$2:D$875,A840,'Base bordo CD'!A$2:A$875,B840,'Base bordo CD'!L$2:L$875,"AGUARDANDO MANOBRA DE TRANSBORDO"),0)+IFERROR(SUMIFS('Base bordo CD'!M$2:M$875,'Base bordo CD'!D$2:D$875,A840,'Base bordo CD'!A$2:A$875,B840,'Base bordo CD'!L$2:L$875,"FALTA DE TRANSBORDO"),0)</f>
        <v>0.84305555555555556</v>
      </c>
      <c r="I840" s="10">
        <f>IFERROR(SUMIFS('Base bordo CD'!M$2:M$875,'Base bordo CD'!D$2:D$875,A840,'Base bordo CD'!A$2:A$875,B840,'Base bordo CD'!L$2:L$875,"PARADA POR CONDICOES CLIMATICAS"),0)+IFERROR(SUMIFS('Base bordo CD'!M$2:M$875,'Base bordo CD'!D$2:D$875,A840,'Base bordo CD'!A$2:A$875,B840,'Base bordo CD'!L$2:L$875,"TEMPO INDETERMINADO"),0)</f>
        <v>0</v>
      </c>
      <c r="J840" s="10">
        <f>IFERROR(SUMIFS('Base bordo CD'!M$2:M$875,'Base bordo CD'!D$2:D$875,A840,'Base bordo CD'!A$2:A$875,B840,'Base bordo CD'!L$2:L$875,"LIMITAÇÃO INDÚSTRIA"),0)</f>
        <v>9.8199999999999985</v>
      </c>
      <c r="K840" s="10">
        <f>IFERROR(SUMIFS('Base bordo CD'!M$2:M$875,'Base bordo CD'!D$2:D$875,A840,'Base bordo CD'!A$2:A$875,B840,'Base bordo CD'!L$2:L$875,"MAN CORRETIVA*"),0)+IFERROR(SUMIFS('Base bordo CD'!M$2:M$875,'Base bordo CD'!D$2:D$875,A840,'Base bordo CD'!A$2:A$875,B840,'Base bordo CD'!L$2:L$875,"AGUARDANDO MANUTENCAO*"),0)+IFERROR(SUMIFS('Base bordo CD'!M$2:M$875,'Base bordo CD'!D$2:D$875,A840,'Base bordo CD'!A$2:A$875,B840,'Base bordo CD'!L$2:L$875,"TROCA DE FAQUINHA"),0)+IFERROR(SUMIFS('Base bordo CD'!M$2:M$875,'Base bordo CD'!D$2:D$875,A840,'Base bordo CD'!A$2:A$875,B840,'Base bordo CD'!L$2:L$875,"LIMPEZA*"),0)</f>
        <v>0.9738888888888888</v>
      </c>
      <c r="L840" s="10">
        <f>IFERROR(SUMIFS('Base bordo CD'!M$2:M$875,'Base bordo CD'!D$2:D$875,A840,'Base bordo CD'!A$2:A$875,B840,'Base bordo CD'!L$2:L$875,"PATIO - RESERVA"),0)</f>
        <v>0</v>
      </c>
      <c r="M840" s="10">
        <f>IFERROR(SUMIFS('Base bordo CD'!M$2:M$875,'Base bordo CD'!D$2:D$875,A840,'Base bordo CD'!A$2:A$875,B840,'Base bordo CD'!L$2:L$875,"SEM APONTAMENTO"),0)</f>
        <v>0</v>
      </c>
      <c r="N840" s="10">
        <f>IFERROR(SUMIFS('Base bordo CD'!M$2:M$875,'Base bordo CD'!D$2:D$875,A840,'Base bordo CD'!A$2:A$875,B840,'Base bordo CD'!L$2:L$875,"FALTA DE CAMINHÃO"),0)+IFERROR(SUMIFS('Base bordo CD'!M$2:M$875,'Base bordo CD'!D$2:D$875,A840,'Base bordo CD'!A$2:A$875,B840,'Base bordo CD'!L$2:L$875,"FALTA DE COMBUSTIVEL"),0)+IFERROR(SUMIFS('Base bordo CD'!M$2:M$875,'Base bordo CD'!D$2:D$875,A840,'Base bordo CD'!A$2:A$875,B840,'Base bordo CD'!L$2:L$875,"FALTA DE MOTORIST*"),0)</f>
        <v>0</v>
      </c>
      <c r="O840" s="10">
        <f t="shared" si="70"/>
        <v>0.5736111111111093</v>
      </c>
      <c r="P840" s="10">
        <f>IFERROR(SUMIFS('Base bordo CD'!M$2:M$875,'Base bordo CD'!D$2:D$875,A840,'Base bordo CD'!A$2:A$875,B840),0)</f>
        <v>20.228888888888886</v>
      </c>
      <c r="Q840" s="10">
        <f>IFERROR(SUMIFS('Base bordo CD'!O$2:O$875,'Base bordo CD'!D$2:D$875,A840,'Base bordo CD'!A$2:A$875,B840,'Base bordo CD'!L$2:L$875,"CORTE DE CANA MECANIZADO"),0)</f>
        <v>64463.79</v>
      </c>
      <c r="R840" s="10">
        <f>IFERROR(SUMIFS('Base bordo CD'!Q$2:Q$875,'Base bordo CD'!D$2:D$875,A840,'Base bordo CD'!A$2:A$875,B840,'Base bordo CD'!L$2:L$875,"CORTE DE CANA MECANIZADO"),0)</f>
        <v>22689</v>
      </c>
      <c r="S840" s="30">
        <f t="shared" si="71"/>
        <v>2.8411913261933095</v>
      </c>
      <c r="T840" s="9">
        <f t="shared" si="72"/>
        <v>0.31155937602988032</v>
      </c>
      <c r="U840" s="9">
        <f t="shared" si="73"/>
        <v>5.2908381852136664E-2</v>
      </c>
      <c r="V840" s="9">
        <f t="shared" si="74"/>
        <v>0.65652806766999883</v>
      </c>
    </row>
    <row r="841" spans="1:22" x14ac:dyDescent="0.35">
      <c r="A841" s="52">
        <v>49595</v>
      </c>
      <c r="B841" s="31">
        <v>46118</v>
      </c>
      <c r="C841" s="7" t="s">
        <v>337</v>
      </c>
      <c r="D841" s="7">
        <v>353</v>
      </c>
      <c r="E841" s="10">
        <f>IFERROR(SUMIFS('Base bordo CD'!M$2:M$875,'Base bordo CD'!D$2:D$875,A841,'Base bordo CD'!A$2:A$875,B841,'Base bordo CD'!L$2:L$875,"CORTE DE CANA MECANIZADO"),0)</f>
        <v>6.3025000000000002</v>
      </c>
      <c r="F841" s="10">
        <f>IFERROR(SUMIFS('Base bordo CD'!M$2:M$875,'Base bordo CD'!D$2:D$875,A841,'Base bordo CD'!A$2:A$875,B841,'Base bordo CD'!L$2:L$875,"MANOBRA"),0)</f>
        <v>1.0702777777777777</v>
      </c>
      <c r="G841" s="10">
        <f>IFERROR(SUMIFS('Base bordo CD'!M$2:M$875,'Base bordo CD'!D$2:D$875,A841,'Base bordo CD'!A$2:A$875,B841,'Base bordo CD'!L$2:L$875,"DESLOCAMENTO"),0)</f>
        <v>0.64555555555555555</v>
      </c>
      <c r="H841" s="10">
        <f>IFERROR(SUMIFS('Base bordo CD'!M$2:M$875,'Base bordo CD'!D$2:D$875,A841,'Base bordo CD'!A$2:A$875,B841,'Base bordo CD'!L$2:L$875,"AGUARDANDO MANOBRA DE TRANSBORDO"),0)+IFERROR(SUMIFS('Base bordo CD'!M$2:M$875,'Base bordo CD'!D$2:D$875,A841,'Base bordo CD'!A$2:A$875,B841,'Base bordo CD'!L$2:L$875,"FALTA DE TRANSBORDO"),0)</f>
        <v>0.84305555555555556</v>
      </c>
      <c r="I841" s="10">
        <f>IFERROR(SUMIFS('Base bordo CD'!M$2:M$875,'Base bordo CD'!D$2:D$875,A841,'Base bordo CD'!A$2:A$875,B841,'Base bordo CD'!L$2:L$875,"PARADA POR CONDICOES CLIMATICAS"),0)+IFERROR(SUMIFS('Base bordo CD'!M$2:M$875,'Base bordo CD'!D$2:D$875,A841,'Base bordo CD'!A$2:A$875,B841,'Base bordo CD'!L$2:L$875,"TEMPO INDETERMINADO"),0)</f>
        <v>0</v>
      </c>
      <c r="J841" s="10">
        <f>IFERROR(SUMIFS('Base bordo CD'!M$2:M$875,'Base bordo CD'!D$2:D$875,A841,'Base bordo CD'!A$2:A$875,B841,'Base bordo CD'!L$2:L$875,"LIMITAÇÃO INDÚSTRIA"),0)</f>
        <v>9.8199999999999985</v>
      </c>
      <c r="K841" s="10">
        <f>IFERROR(SUMIFS('Base bordo CD'!M$2:M$875,'Base bordo CD'!D$2:D$875,A841,'Base bordo CD'!A$2:A$875,B841,'Base bordo CD'!L$2:L$875,"MAN CORRETIVA*"),0)+IFERROR(SUMIFS('Base bordo CD'!M$2:M$875,'Base bordo CD'!D$2:D$875,A841,'Base bordo CD'!A$2:A$875,B841,'Base bordo CD'!L$2:L$875,"AGUARDANDO MANUTENCAO*"),0)+IFERROR(SUMIFS('Base bordo CD'!M$2:M$875,'Base bordo CD'!D$2:D$875,A841,'Base bordo CD'!A$2:A$875,B841,'Base bordo CD'!L$2:L$875,"TROCA DE FAQUINHA"),0)+IFERROR(SUMIFS('Base bordo CD'!M$2:M$875,'Base bordo CD'!D$2:D$875,A841,'Base bordo CD'!A$2:A$875,B841,'Base bordo CD'!L$2:L$875,"LIMPEZA*"),0)</f>
        <v>0.9738888888888888</v>
      </c>
      <c r="L841" s="10">
        <f>IFERROR(SUMIFS('Base bordo CD'!M$2:M$875,'Base bordo CD'!D$2:D$875,A841,'Base bordo CD'!A$2:A$875,B841,'Base bordo CD'!L$2:L$875,"PATIO - RESERVA"),0)</f>
        <v>0</v>
      </c>
      <c r="M841" s="10">
        <f>IFERROR(SUMIFS('Base bordo CD'!M$2:M$875,'Base bordo CD'!D$2:D$875,A841,'Base bordo CD'!A$2:A$875,B841,'Base bordo CD'!L$2:L$875,"SEM APONTAMENTO"),0)</f>
        <v>0</v>
      </c>
      <c r="N841" s="10">
        <f>IFERROR(SUMIFS('Base bordo CD'!M$2:M$875,'Base bordo CD'!D$2:D$875,A841,'Base bordo CD'!A$2:A$875,B841,'Base bordo CD'!L$2:L$875,"FALTA DE CAMINHÃO"),0)+IFERROR(SUMIFS('Base bordo CD'!M$2:M$875,'Base bordo CD'!D$2:D$875,A841,'Base bordo CD'!A$2:A$875,B841,'Base bordo CD'!L$2:L$875,"FALTA DE COMBUSTIVEL"),0)+IFERROR(SUMIFS('Base bordo CD'!M$2:M$875,'Base bordo CD'!D$2:D$875,A841,'Base bordo CD'!A$2:A$875,B841,'Base bordo CD'!L$2:L$875,"FALTA DE MOTORIST*"),0)</f>
        <v>0</v>
      </c>
      <c r="O841" s="10">
        <f t="shared" si="70"/>
        <v>0.5736111111111093</v>
      </c>
      <c r="P841" s="10">
        <f>IFERROR(SUMIFS('Base bordo CD'!M$2:M$875,'Base bordo CD'!D$2:D$875,A841,'Base bordo CD'!A$2:A$875,B841),0)</f>
        <v>20.228888888888886</v>
      </c>
      <c r="Q841" s="10">
        <f>IFERROR(SUMIFS('Base bordo CD'!O$2:O$875,'Base bordo CD'!D$2:D$875,A841,'Base bordo CD'!A$2:A$875,B841,'Base bordo CD'!L$2:L$875,"CORTE DE CANA MECANIZADO"),0)</f>
        <v>64463.79</v>
      </c>
      <c r="R841" s="10">
        <f>IFERROR(SUMIFS('Base bordo CD'!Q$2:Q$875,'Base bordo CD'!D$2:D$875,A841,'Base bordo CD'!A$2:A$875,B841,'Base bordo CD'!L$2:L$875,"CORTE DE CANA MECANIZADO"),0)</f>
        <v>22689</v>
      </c>
      <c r="S841" s="30">
        <f t="shared" si="71"/>
        <v>2.8411913261933095</v>
      </c>
      <c r="T841" s="9">
        <f t="shared" si="72"/>
        <v>0.31155937602988032</v>
      </c>
      <c r="U841" s="9">
        <f t="shared" si="73"/>
        <v>5.2908381852136664E-2</v>
      </c>
      <c r="V841" s="9">
        <f t="shared" si="74"/>
        <v>0.65652806766999883</v>
      </c>
    </row>
    <row r="842" spans="1:22" x14ac:dyDescent="0.35">
      <c r="A842" s="52">
        <v>49595</v>
      </c>
      <c r="B842" s="31">
        <v>46118</v>
      </c>
      <c r="C842" s="7" t="s">
        <v>337</v>
      </c>
      <c r="D842" s="7">
        <v>353</v>
      </c>
      <c r="E842" s="10">
        <f>IFERROR(SUMIFS('Base bordo CD'!M$2:M$875,'Base bordo CD'!D$2:D$875,A842,'Base bordo CD'!A$2:A$875,B842,'Base bordo CD'!L$2:L$875,"CORTE DE CANA MECANIZADO"),0)</f>
        <v>6.3025000000000002</v>
      </c>
      <c r="F842" s="10">
        <f>IFERROR(SUMIFS('Base bordo CD'!M$2:M$875,'Base bordo CD'!D$2:D$875,A842,'Base bordo CD'!A$2:A$875,B842,'Base bordo CD'!L$2:L$875,"MANOBRA"),0)</f>
        <v>1.0702777777777777</v>
      </c>
      <c r="G842" s="10">
        <f>IFERROR(SUMIFS('Base bordo CD'!M$2:M$875,'Base bordo CD'!D$2:D$875,A842,'Base bordo CD'!A$2:A$875,B842,'Base bordo CD'!L$2:L$875,"DESLOCAMENTO"),0)</f>
        <v>0.64555555555555555</v>
      </c>
      <c r="H842" s="10">
        <f>IFERROR(SUMIFS('Base bordo CD'!M$2:M$875,'Base bordo CD'!D$2:D$875,A842,'Base bordo CD'!A$2:A$875,B842,'Base bordo CD'!L$2:L$875,"AGUARDANDO MANOBRA DE TRANSBORDO"),0)+IFERROR(SUMIFS('Base bordo CD'!M$2:M$875,'Base bordo CD'!D$2:D$875,A842,'Base bordo CD'!A$2:A$875,B842,'Base bordo CD'!L$2:L$875,"FALTA DE TRANSBORDO"),0)</f>
        <v>0.84305555555555556</v>
      </c>
      <c r="I842" s="10">
        <f>IFERROR(SUMIFS('Base bordo CD'!M$2:M$875,'Base bordo CD'!D$2:D$875,A842,'Base bordo CD'!A$2:A$875,B842,'Base bordo CD'!L$2:L$875,"PARADA POR CONDICOES CLIMATICAS"),0)+IFERROR(SUMIFS('Base bordo CD'!M$2:M$875,'Base bordo CD'!D$2:D$875,A842,'Base bordo CD'!A$2:A$875,B842,'Base bordo CD'!L$2:L$875,"TEMPO INDETERMINADO"),0)</f>
        <v>0</v>
      </c>
      <c r="J842" s="10">
        <f>IFERROR(SUMIFS('Base bordo CD'!M$2:M$875,'Base bordo CD'!D$2:D$875,A842,'Base bordo CD'!A$2:A$875,B842,'Base bordo CD'!L$2:L$875,"LIMITAÇÃO INDÚSTRIA"),0)</f>
        <v>9.8199999999999985</v>
      </c>
      <c r="K842" s="10">
        <f>IFERROR(SUMIFS('Base bordo CD'!M$2:M$875,'Base bordo CD'!D$2:D$875,A842,'Base bordo CD'!A$2:A$875,B842,'Base bordo CD'!L$2:L$875,"MAN CORRETIVA*"),0)+IFERROR(SUMIFS('Base bordo CD'!M$2:M$875,'Base bordo CD'!D$2:D$875,A842,'Base bordo CD'!A$2:A$875,B842,'Base bordo CD'!L$2:L$875,"AGUARDANDO MANUTENCAO*"),0)+IFERROR(SUMIFS('Base bordo CD'!M$2:M$875,'Base bordo CD'!D$2:D$875,A842,'Base bordo CD'!A$2:A$875,B842,'Base bordo CD'!L$2:L$875,"TROCA DE FAQUINHA"),0)+IFERROR(SUMIFS('Base bordo CD'!M$2:M$875,'Base bordo CD'!D$2:D$875,A842,'Base bordo CD'!A$2:A$875,B842,'Base bordo CD'!L$2:L$875,"LIMPEZA*"),0)</f>
        <v>0.9738888888888888</v>
      </c>
      <c r="L842" s="10">
        <f>IFERROR(SUMIFS('Base bordo CD'!M$2:M$875,'Base bordo CD'!D$2:D$875,A842,'Base bordo CD'!A$2:A$875,B842,'Base bordo CD'!L$2:L$875,"PATIO - RESERVA"),0)</f>
        <v>0</v>
      </c>
      <c r="M842" s="10">
        <f>IFERROR(SUMIFS('Base bordo CD'!M$2:M$875,'Base bordo CD'!D$2:D$875,A842,'Base bordo CD'!A$2:A$875,B842,'Base bordo CD'!L$2:L$875,"SEM APONTAMENTO"),0)</f>
        <v>0</v>
      </c>
      <c r="N842" s="10">
        <f>IFERROR(SUMIFS('Base bordo CD'!M$2:M$875,'Base bordo CD'!D$2:D$875,A842,'Base bordo CD'!A$2:A$875,B842,'Base bordo CD'!L$2:L$875,"FALTA DE CAMINHÃO"),0)+IFERROR(SUMIFS('Base bordo CD'!M$2:M$875,'Base bordo CD'!D$2:D$875,A842,'Base bordo CD'!A$2:A$875,B842,'Base bordo CD'!L$2:L$875,"FALTA DE COMBUSTIVEL"),0)+IFERROR(SUMIFS('Base bordo CD'!M$2:M$875,'Base bordo CD'!D$2:D$875,A842,'Base bordo CD'!A$2:A$875,B842,'Base bordo CD'!L$2:L$875,"FALTA DE MOTORIST*"),0)</f>
        <v>0</v>
      </c>
      <c r="O842" s="10">
        <f t="shared" si="70"/>
        <v>0.5736111111111093</v>
      </c>
      <c r="P842" s="10">
        <f>IFERROR(SUMIFS('Base bordo CD'!M$2:M$875,'Base bordo CD'!D$2:D$875,A842,'Base bordo CD'!A$2:A$875,B842),0)</f>
        <v>20.228888888888886</v>
      </c>
      <c r="Q842" s="10">
        <f>IFERROR(SUMIFS('Base bordo CD'!O$2:O$875,'Base bordo CD'!D$2:D$875,A842,'Base bordo CD'!A$2:A$875,B842,'Base bordo CD'!L$2:L$875,"CORTE DE CANA MECANIZADO"),0)</f>
        <v>64463.79</v>
      </c>
      <c r="R842" s="10">
        <f>IFERROR(SUMIFS('Base bordo CD'!Q$2:Q$875,'Base bordo CD'!D$2:D$875,A842,'Base bordo CD'!A$2:A$875,B842,'Base bordo CD'!L$2:L$875,"CORTE DE CANA MECANIZADO"),0)</f>
        <v>22689</v>
      </c>
      <c r="S842" s="30">
        <f t="shared" si="71"/>
        <v>2.8411913261933095</v>
      </c>
      <c r="T842" s="9">
        <f t="shared" si="72"/>
        <v>0.31155937602988032</v>
      </c>
      <c r="U842" s="9">
        <f t="shared" si="73"/>
        <v>5.2908381852136664E-2</v>
      </c>
      <c r="V842" s="9">
        <f t="shared" si="74"/>
        <v>0.65652806766999883</v>
      </c>
    </row>
    <row r="843" spans="1:22" x14ac:dyDescent="0.35">
      <c r="A843" s="52">
        <v>49595</v>
      </c>
      <c r="B843" s="31">
        <v>46118</v>
      </c>
      <c r="C843" s="7" t="s">
        <v>337</v>
      </c>
      <c r="D843" s="7">
        <v>353</v>
      </c>
      <c r="E843" s="10">
        <f>IFERROR(SUMIFS('Base bordo CD'!M$2:M$875,'Base bordo CD'!D$2:D$875,A843,'Base bordo CD'!A$2:A$875,B843,'Base bordo CD'!L$2:L$875,"CORTE DE CANA MECANIZADO"),0)</f>
        <v>6.3025000000000002</v>
      </c>
      <c r="F843" s="10">
        <f>IFERROR(SUMIFS('Base bordo CD'!M$2:M$875,'Base bordo CD'!D$2:D$875,A843,'Base bordo CD'!A$2:A$875,B843,'Base bordo CD'!L$2:L$875,"MANOBRA"),0)</f>
        <v>1.0702777777777777</v>
      </c>
      <c r="G843" s="10">
        <f>IFERROR(SUMIFS('Base bordo CD'!M$2:M$875,'Base bordo CD'!D$2:D$875,A843,'Base bordo CD'!A$2:A$875,B843,'Base bordo CD'!L$2:L$875,"DESLOCAMENTO"),0)</f>
        <v>0.64555555555555555</v>
      </c>
      <c r="H843" s="10">
        <f>IFERROR(SUMIFS('Base bordo CD'!M$2:M$875,'Base bordo CD'!D$2:D$875,A843,'Base bordo CD'!A$2:A$875,B843,'Base bordo CD'!L$2:L$875,"AGUARDANDO MANOBRA DE TRANSBORDO"),0)+IFERROR(SUMIFS('Base bordo CD'!M$2:M$875,'Base bordo CD'!D$2:D$875,A843,'Base bordo CD'!A$2:A$875,B843,'Base bordo CD'!L$2:L$875,"FALTA DE TRANSBORDO"),0)</f>
        <v>0.84305555555555556</v>
      </c>
      <c r="I843" s="10">
        <f>IFERROR(SUMIFS('Base bordo CD'!M$2:M$875,'Base bordo CD'!D$2:D$875,A843,'Base bordo CD'!A$2:A$875,B843,'Base bordo CD'!L$2:L$875,"PARADA POR CONDICOES CLIMATICAS"),0)+IFERROR(SUMIFS('Base bordo CD'!M$2:M$875,'Base bordo CD'!D$2:D$875,A843,'Base bordo CD'!A$2:A$875,B843,'Base bordo CD'!L$2:L$875,"TEMPO INDETERMINADO"),0)</f>
        <v>0</v>
      </c>
      <c r="J843" s="10">
        <f>IFERROR(SUMIFS('Base bordo CD'!M$2:M$875,'Base bordo CD'!D$2:D$875,A843,'Base bordo CD'!A$2:A$875,B843,'Base bordo CD'!L$2:L$875,"LIMITAÇÃO INDÚSTRIA"),0)</f>
        <v>9.8199999999999985</v>
      </c>
      <c r="K843" s="10">
        <f>IFERROR(SUMIFS('Base bordo CD'!M$2:M$875,'Base bordo CD'!D$2:D$875,A843,'Base bordo CD'!A$2:A$875,B843,'Base bordo CD'!L$2:L$875,"MAN CORRETIVA*"),0)+IFERROR(SUMIFS('Base bordo CD'!M$2:M$875,'Base bordo CD'!D$2:D$875,A843,'Base bordo CD'!A$2:A$875,B843,'Base bordo CD'!L$2:L$875,"AGUARDANDO MANUTENCAO*"),0)+IFERROR(SUMIFS('Base bordo CD'!M$2:M$875,'Base bordo CD'!D$2:D$875,A843,'Base bordo CD'!A$2:A$875,B843,'Base bordo CD'!L$2:L$875,"TROCA DE FAQUINHA"),0)+IFERROR(SUMIFS('Base bordo CD'!M$2:M$875,'Base bordo CD'!D$2:D$875,A843,'Base bordo CD'!A$2:A$875,B843,'Base bordo CD'!L$2:L$875,"LIMPEZA*"),0)</f>
        <v>0.9738888888888888</v>
      </c>
      <c r="L843" s="10">
        <f>IFERROR(SUMIFS('Base bordo CD'!M$2:M$875,'Base bordo CD'!D$2:D$875,A843,'Base bordo CD'!A$2:A$875,B843,'Base bordo CD'!L$2:L$875,"PATIO - RESERVA"),0)</f>
        <v>0</v>
      </c>
      <c r="M843" s="10">
        <f>IFERROR(SUMIFS('Base bordo CD'!M$2:M$875,'Base bordo CD'!D$2:D$875,A843,'Base bordo CD'!A$2:A$875,B843,'Base bordo CD'!L$2:L$875,"SEM APONTAMENTO"),0)</f>
        <v>0</v>
      </c>
      <c r="N843" s="10">
        <f>IFERROR(SUMIFS('Base bordo CD'!M$2:M$875,'Base bordo CD'!D$2:D$875,A843,'Base bordo CD'!A$2:A$875,B843,'Base bordo CD'!L$2:L$875,"FALTA DE CAMINHÃO"),0)+IFERROR(SUMIFS('Base bordo CD'!M$2:M$875,'Base bordo CD'!D$2:D$875,A843,'Base bordo CD'!A$2:A$875,B843,'Base bordo CD'!L$2:L$875,"FALTA DE COMBUSTIVEL"),0)+IFERROR(SUMIFS('Base bordo CD'!M$2:M$875,'Base bordo CD'!D$2:D$875,A843,'Base bordo CD'!A$2:A$875,B843,'Base bordo CD'!L$2:L$875,"FALTA DE MOTORIST*"),0)</f>
        <v>0</v>
      </c>
      <c r="O843" s="10">
        <f t="shared" si="70"/>
        <v>0.5736111111111093</v>
      </c>
      <c r="P843" s="10">
        <f>IFERROR(SUMIFS('Base bordo CD'!M$2:M$875,'Base bordo CD'!D$2:D$875,A843,'Base bordo CD'!A$2:A$875,B843),0)</f>
        <v>20.228888888888886</v>
      </c>
      <c r="Q843" s="10">
        <f>IFERROR(SUMIFS('Base bordo CD'!O$2:O$875,'Base bordo CD'!D$2:D$875,A843,'Base bordo CD'!A$2:A$875,B843,'Base bordo CD'!L$2:L$875,"CORTE DE CANA MECANIZADO"),0)</f>
        <v>64463.79</v>
      </c>
      <c r="R843" s="10">
        <f>IFERROR(SUMIFS('Base bordo CD'!Q$2:Q$875,'Base bordo CD'!D$2:D$875,A843,'Base bordo CD'!A$2:A$875,B843,'Base bordo CD'!L$2:L$875,"CORTE DE CANA MECANIZADO"),0)</f>
        <v>22689</v>
      </c>
      <c r="S843" s="30">
        <f t="shared" si="71"/>
        <v>2.8411913261933095</v>
      </c>
      <c r="T843" s="9">
        <f t="shared" si="72"/>
        <v>0.31155937602988032</v>
      </c>
      <c r="U843" s="9">
        <f t="shared" si="73"/>
        <v>5.2908381852136664E-2</v>
      </c>
      <c r="V843" s="9">
        <f t="shared" si="74"/>
        <v>0.65652806766999883</v>
      </c>
    </row>
    <row r="844" spans="1:22" x14ac:dyDescent="0.35">
      <c r="A844" s="52">
        <v>49595</v>
      </c>
      <c r="B844" s="31">
        <v>46118</v>
      </c>
      <c r="C844" s="7" t="s">
        <v>337</v>
      </c>
      <c r="D844" s="7">
        <v>353</v>
      </c>
      <c r="E844" s="10">
        <f>IFERROR(SUMIFS('Base bordo CD'!M$2:M$875,'Base bordo CD'!D$2:D$875,A844,'Base bordo CD'!A$2:A$875,B844,'Base bordo CD'!L$2:L$875,"CORTE DE CANA MECANIZADO"),0)</f>
        <v>6.3025000000000002</v>
      </c>
      <c r="F844" s="10">
        <f>IFERROR(SUMIFS('Base bordo CD'!M$2:M$875,'Base bordo CD'!D$2:D$875,A844,'Base bordo CD'!A$2:A$875,B844,'Base bordo CD'!L$2:L$875,"MANOBRA"),0)</f>
        <v>1.0702777777777777</v>
      </c>
      <c r="G844" s="10">
        <f>IFERROR(SUMIFS('Base bordo CD'!M$2:M$875,'Base bordo CD'!D$2:D$875,A844,'Base bordo CD'!A$2:A$875,B844,'Base bordo CD'!L$2:L$875,"DESLOCAMENTO"),0)</f>
        <v>0.64555555555555555</v>
      </c>
      <c r="H844" s="10">
        <f>IFERROR(SUMIFS('Base bordo CD'!M$2:M$875,'Base bordo CD'!D$2:D$875,A844,'Base bordo CD'!A$2:A$875,B844,'Base bordo CD'!L$2:L$875,"AGUARDANDO MANOBRA DE TRANSBORDO"),0)+IFERROR(SUMIFS('Base bordo CD'!M$2:M$875,'Base bordo CD'!D$2:D$875,A844,'Base bordo CD'!A$2:A$875,B844,'Base bordo CD'!L$2:L$875,"FALTA DE TRANSBORDO"),0)</f>
        <v>0.84305555555555556</v>
      </c>
      <c r="I844" s="10">
        <f>IFERROR(SUMIFS('Base bordo CD'!M$2:M$875,'Base bordo CD'!D$2:D$875,A844,'Base bordo CD'!A$2:A$875,B844,'Base bordo CD'!L$2:L$875,"PARADA POR CONDICOES CLIMATICAS"),0)+IFERROR(SUMIFS('Base bordo CD'!M$2:M$875,'Base bordo CD'!D$2:D$875,A844,'Base bordo CD'!A$2:A$875,B844,'Base bordo CD'!L$2:L$875,"TEMPO INDETERMINADO"),0)</f>
        <v>0</v>
      </c>
      <c r="J844" s="10">
        <f>IFERROR(SUMIFS('Base bordo CD'!M$2:M$875,'Base bordo CD'!D$2:D$875,A844,'Base bordo CD'!A$2:A$875,B844,'Base bordo CD'!L$2:L$875,"LIMITAÇÃO INDÚSTRIA"),0)</f>
        <v>9.8199999999999985</v>
      </c>
      <c r="K844" s="10">
        <f>IFERROR(SUMIFS('Base bordo CD'!M$2:M$875,'Base bordo CD'!D$2:D$875,A844,'Base bordo CD'!A$2:A$875,B844,'Base bordo CD'!L$2:L$875,"MAN CORRETIVA*"),0)+IFERROR(SUMIFS('Base bordo CD'!M$2:M$875,'Base bordo CD'!D$2:D$875,A844,'Base bordo CD'!A$2:A$875,B844,'Base bordo CD'!L$2:L$875,"AGUARDANDO MANUTENCAO*"),0)+IFERROR(SUMIFS('Base bordo CD'!M$2:M$875,'Base bordo CD'!D$2:D$875,A844,'Base bordo CD'!A$2:A$875,B844,'Base bordo CD'!L$2:L$875,"TROCA DE FAQUINHA"),0)+IFERROR(SUMIFS('Base bordo CD'!M$2:M$875,'Base bordo CD'!D$2:D$875,A844,'Base bordo CD'!A$2:A$875,B844,'Base bordo CD'!L$2:L$875,"LIMPEZA*"),0)</f>
        <v>0.9738888888888888</v>
      </c>
      <c r="L844" s="10">
        <f>IFERROR(SUMIFS('Base bordo CD'!M$2:M$875,'Base bordo CD'!D$2:D$875,A844,'Base bordo CD'!A$2:A$875,B844,'Base bordo CD'!L$2:L$875,"PATIO - RESERVA"),0)</f>
        <v>0</v>
      </c>
      <c r="M844" s="10">
        <f>IFERROR(SUMIFS('Base bordo CD'!M$2:M$875,'Base bordo CD'!D$2:D$875,A844,'Base bordo CD'!A$2:A$875,B844,'Base bordo CD'!L$2:L$875,"SEM APONTAMENTO"),0)</f>
        <v>0</v>
      </c>
      <c r="N844" s="10">
        <f>IFERROR(SUMIFS('Base bordo CD'!M$2:M$875,'Base bordo CD'!D$2:D$875,A844,'Base bordo CD'!A$2:A$875,B844,'Base bordo CD'!L$2:L$875,"FALTA DE CAMINHÃO"),0)+IFERROR(SUMIFS('Base bordo CD'!M$2:M$875,'Base bordo CD'!D$2:D$875,A844,'Base bordo CD'!A$2:A$875,B844,'Base bordo CD'!L$2:L$875,"FALTA DE COMBUSTIVEL"),0)+IFERROR(SUMIFS('Base bordo CD'!M$2:M$875,'Base bordo CD'!D$2:D$875,A844,'Base bordo CD'!A$2:A$875,B844,'Base bordo CD'!L$2:L$875,"FALTA DE MOTORIST*"),0)</f>
        <v>0</v>
      </c>
      <c r="O844" s="10">
        <f t="shared" si="70"/>
        <v>0.5736111111111093</v>
      </c>
      <c r="P844" s="10">
        <f>IFERROR(SUMIFS('Base bordo CD'!M$2:M$875,'Base bordo CD'!D$2:D$875,A844,'Base bordo CD'!A$2:A$875,B844),0)</f>
        <v>20.228888888888886</v>
      </c>
      <c r="Q844" s="10">
        <f>IFERROR(SUMIFS('Base bordo CD'!O$2:O$875,'Base bordo CD'!D$2:D$875,A844,'Base bordo CD'!A$2:A$875,B844,'Base bordo CD'!L$2:L$875,"CORTE DE CANA MECANIZADO"),0)</f>
        <v>64463.79</v>
      </c>
      <c r="R844" s="10">
        <f>IFERROR(SUMIFS('Base bordo CD'!Q$2:Q$875,'Base bordo CD'!D$2:D$875,A844,'Base bordo CD'!A$2:A$875,B844,'Base bordo CD'!L$2:L$875,"CORTE DE CANA MECANIZADO"),0)</f>
        <v>22689</v>
      </c>
      <c r="S844" s="30">
        <f t="shared" si="71"/>
        <v>2.8411913261933095</v>
      </c>
      <c r="T844" s="9">
        <f t="shared" si="72"/>
        <v>0.31155937602988032</v>
      </c>
      <c r="U844" s="9">
        <f t="shared" si="73"/>
        <v>5.2908381852136664E-2</v>
      </c>
      <c r="V844" s="9">
        <f t="shared" si="74"/>
        <v>0.65652806766999883</v>
      </c>
    </row>
    <row r="845" spans="1:22" x14ac:dyDescent="0.35">
      <c r="A845" s="52">
        <v>49595</v>
      </c>
      <c r="B845" s="31">
        <v>46118</v>
      </c>
      <c r="C845" s="7" t="s">
        <v>337</v>
      </c>
      <c r="D845" s="7">
        <v>353</v>
      </c>
      <c r="E845" s="10">
        <f>IFERROR(SUMIFS('Base bordo CD'!M$2:M$875,'Base bordo CD'!D$2:D$875,A845,'Base bordo CD'!A$2:A$875,B845,'Base bordo CD'!L$2:L$875,"CORTE DE CANA MECANIZADO"),0)</f>
        <v>6.3025000000000002</v>
      </c>
      <c r="F845" s="10">
        <f>IFERROR(SUMIFS('Base bordo CD'!M$2:M$875,'Base bordo CD'!D$2:D$875,A845,'Base bordo CD'!A$2:A$875,B845,'Base bordo CD'!L$2:L$875,"MANOBRA"),0)</f>
        <v>1.0702777777777777</v>
      </c>
      <c r="G845" s="10">
        <f>IFERROR(SUMIFS('Base bordo CD'!M$2:M$875,'Base bordo CD'!D$2:D$875,A845,'Base bordo CD'!A$2:A$875,B845,'Base bordo CD'!L$2:L$875,"DESLOCAMENTO"),0)</f>
        <v>0.64555555555555555</v>
      </c>
      <c r="H845" s="10">
        <f>IFERROR(SUMIFS('Base bordo CD'!M$2:M$875,'Base bordo CD'!D$2:D$875,A845,'Base bordo CD'!A$2:A$875,B845,'Base bordo CD'!L$2:L$875,"AGUARDANDO MANOBRA DE TRANSBORDO"),0)+IFERROR(SUMIFS('Base bordo CD'!M$2:M$875,'Base bordo CD'!D$2:D$875,A845,'Base bordo CD'!A$2:A$875,B845,'Base bordo CD'!L$2:L$875,"FALTA DE TRANSBORDO"),0)</f>
        <v>0.84305555555555556</v>
      </c>
      <c r="I845" s="10">
        <f>IFERROR(SUMIFS('Base bordo CD'!M$2:M$875,'Base bordo CD'!D$2:D$875,A845,'Base bordo CD'!A$2:A$875,B845,'Base bordo CD'!L$2:L$875,"PARADA POR CONDICOES CLIMATICAS"),0)+IFERROR(SUMIFS('Base bordo CD'!M$2:M$875,'Base bordo CD'!D$2:D$875,A845,'Base bordo CD'!A$2:A$875,B845,'Base bordo CD'!L$2:L$875,"TEMPO INDETERMINADO"),0)</f>
        <v>0</v>
      </c>
      <c r="J845" s="10">
        <f>IFERROR(SUMIFS('Base bordo CD'!M$2:M$875,'Base bordo CD'!D$2:D$875,A845,'Base bordo CD'!A$2:A$875,B845,'Base bordo CD'!L$2:L$875,"LIMITAÇÃO INDÚSTRIA"),0)</f>
        <v>9.8199999999999985</v>
      </c>
      <c r="K845" s="10">
        <f>IFERROR(SUMIFS('Base bordo CD'!M$2:M$875,'Base bordo CD'!D$2:D$875,A845,'Base bordo CD'!A$2:A$875,B845,'Base bordo CD'!L$2:L$875,"MAN CORRETIVA*"),0)+IFERROR(SUMIFS('Base bordo CD'!M$2:M$875,'Base bordo CD'!D$2:D$875,A845,'Base bordo CD'!A$2:A$875,B845,'Base bordo CD'!L$2:L$875,"AGUARDANDO MANUTENCAO*"),0)+IFERROR(SUMIFS('Base bordo CD'!M$2:M$875,'Base bordo CD'!D$2:D$875,A845,'Base bordo CD'!A$2:A$875,B845,'Base bordo CD'!L$2:L$875,"TROCA DE FAQUINHA"),0)+IFERROR(SUMIFS('Base bordo CD'!M$2:M$875,'Base bordo CD'!D$2:D$875,A845,'Base bordo CD'!A$2:A$875,B845,'Base bordo CD'!L$2:L$875,"LIMPEZA*"),0)</f>
        <v>0.9738888888888888</v>
      </c>
      <c r="L845" s="10">
        <f>IFERROR(SUMIFS('Base bordo CD'!M$2:M$875,'Base bordo CD'!D$2:D$875,A845,'Base bordo CD'!A$2:A$875,B845,'Base bordo CD'!L$2:L$875,"PATIO - RESERVA"),0)</f>
        <v>0</v>
      </c>
      <c r="M845" s="10">
        <f>IFERROR(SUMIFS('Base bordo CD'!M$2:M$875,'Base bordo CD'!D$2:D$875,A845,'Base bordo CD'!A$2:A$875,B845,'Base bordo CD'!L$2:L$875,"SEM APONTAMENTO"),0)</f>
        <v>0</v>
      </c>
      <c r="N845" s="10">
        <f>IFERROR(SUMIFS('Base bordo CD'!M$2:M$875,'Base bordo CD'!D$2:D$875,A845,'Base bordo CD'!A$2:A$875,B845,'Base bordo CD'!L$2:L$875,"FALTA DE CAMINHÃO"),0)+IFERROR(SUMIFS('Base bordo CD'!M$2:M$875,'Base bordo CD'!D$2:D$875,A845,'Base bordo CD'!A$2:A$875,B845,'Base bordo CD'!L$2:L$875,"FALTA DE COMBUSTIVEL"),0)+IFERROR(SUMIFS('Base bordo CD'!M$2:M$875,'Base bordo CD'!D$2:D$875,A845,'Base bordo CD'!A$2:A$875,B845,'Base bordo CD'!L$2:L$875,"FALTA DE MOTORIST*"),0)</f>
        <v>0</v>
      </c>
      <c r="O845" s="10">
        <f t="shared" si="70"/>
        <v>0.5736111111111093</v>
      </c>
      <c r="P845" s="10">
        <f>IFERROR(SUMIFS('Base bordo CD'!M$2:M$875,'Base bordo CD'!D$2:D$875,A845,'Base bordo CD'!A$2:A$875,B845),0)</f>
        <v>20.228888888888886</v>
      </c>
      <c r="Q845" s="10">
        <f>IFERROR(SUMIFS('Base bordo CD'!O$2:O$875,'Base bordo CD'!D$2:D$875,A845,'Base bordo CD'!A$2:A$875,B845,'Base bordo CD'!L$2:L$875,"CORTE DE CANA MECANIZADO"),0)</f>
        <v>64463.79</v>
      </c>
      <c r="R845" s="10">
        <f>IFERROR(SUMIFS('Base bordo CD'!Q$2:Q$875,'Base bordo CD'!D$2:D$875,A845,'Base bordo CD'!A$2:A$875,B845,'Base bordo CD'!L$2:L$875,"CORTE DE CANA MECANIZADO"),0)</f>
        <v>22689</v>
      </c>
      <c r="S845" s="30">
        <f t="shared" si="71"/>
        <v>2.8411913261933095</v>
      </c>
      <c r="T845" s="9">
        <f t="shared" si="72"/>
        <v>0.31155937602988032</v>
      </c>
      <c r="U845" s="9">
        <f t="shared" si="73"/>
        <v>5.2908381852136664E-2</v>
      </c>
      <c r="V845" s="9">
        <f t="shared" si="74"/>
        <v>0.65652806766999883</v>
      </c>
    </row>
    <row r="846" spans="1:22" x14ac:dyDescent="0.35">
      <c r="A846" s="52">
        <v>49595</v>
      </c>
      <c r="B846" s="31">
        <v>46118</v>
      </c>
      <c r="C846" s="7" t="s">
        <v>337</v>
      </c>
      <c r="D846" s="7">
        <v>353</v>
      </c>
      <c r="E846" s="10">
        <f>IFERROR(SUMIFS('Base bordo CD'!M$2:M$875,'Base bordo CD'!D$2:D$875,A846,'Base bordo CD'!A$2:A$875,B846,'Base bordo CD'!L$2:L$875,"CORTE DE CANA MECANIZADO"),0)</f>
        <v>6.3025000000000002</v>
      </c>
      <c r="F846" s="10">
        <f>IFERROR(SUMIFS('Base bordo CD'!M$2:M$875,'Base bordo CD'!D$2:D$875,A846,'Base bordo CD'!A$2:A$875,B846,'Base bordo CD'!L$2:L$875,"MANOBRA"),0)</f>
        <v>1.0702777777777777</v>
      </c>
      <c r="G846" s="10">
        <f>IFERROR(SUMIFS('Base bordo CD'!M$2:M$875,'Base bordo CD'!D$2:D$875,A846,'Base bordo CD'!A$2:A$875,B846,'Base bordo CD'!L$2:L$875,"DESLOCAMENTO"),0)</f>
        <v>0.64555555555555555</v>
      </c>
      <c r="H846" s="10">
        <f>IFERROR(SUMIFS('Base bordo CD'!M$2:M$875,'Base bordo CD'!D$2:D$875,A846,'Base bordo CD'!A$2:A$875,B846,'Base bordo CD'!L$2:L$875,"AGUARDANDO MANOBRA DE TRANSBORDO"),0)+IFERROR(SUMIFS('Base bordo CD'!M$2:M$875,'Base bordo CD'!D$2:D$875,A846,'Base bordo CD'!A$2:A$875,B846,'Base bordo CD'!L$2:L$875,"FALTA DE TRANSBORDO"),0)</f>
        <v>0.84305555555555556</v>
      </c>
      <c r="I846" s="10">
        <f>IFERROR(SUMIFS('Base bordo CD'!M$2:M$875,'Base bordo CD'!D$2:D$875,A846,'Base bordo CD'!A$2:A$875,B846,'Base bordo CD'!L$2:L$875,"PARADA POR CONDICOES CLIMATICAS"),0)+IFERROR(SUMIFS('Base bordo CD'!M$2:M$875,'Base bordo CD'!D$2:D$875,A846,'Base bordo CD'!A$2:A$875,B846,'Base bordo CD'!L$2:L$875,"TEMPO INDETERMINADO"),0)</f>
        <v>0</v>
      </c>
      <c r="J846" s="10">
        <f>IFERROR(SUMIFS('Base bordo CD'!M$2:M$875,'Base bordo CD'!D$2:D$875,A846,'Base bordo CD'!A$2:A$875,B846,'Base bordo CD'!L$2:L$875,"LIMITAÇÃO INDÚSTRIA"),0)</f>
        <v>9.8199999999999985</v>
      </c>
      <c r="K846" s="10">
        <f>IFERROR(SUMIFS('Base bordo CD'!M$2:M$875,'Base bordo CD'!D$2:D$875,A846,'Base bordo CD'!A$2:A$875,B846,'Base bordo CD'!L$2:L$875,"MAN CORRETIVA*"),0)+IFERROR(SUMIFS('Base bordo CD'!M$2:M$875,'Base bordo CD'!D$2:D$875,A846,'Base bordo CD'!A$2:A$875,B846,'Base bordo CD'!L$2:L$875,"AGUARDANDO MANUTENCAO*"),0)+IFERROR(SUMIFS('Base bordo CD'!M$2:M$875,'Base bordo CD'!D$2:D$875,A846,'Base bordo CD'!A$2:A$875,B846,'Base bordo CD'!L$2:L$875,"TROCA DE FAQUINHA"),0)+IFERROR(SUMIFS('Base bordo CD'!M$2:M$875,'Base bordo CD'!D$2:D$875,A846,'Base bordo CD'!A$2:A$875,B846,'Base bordo CD'!L$2:L$875,"LIMPEZA*"),0)</f>
        <v>0.9738888888888888</v>
      </c>
      <c r="L846" s="10">
        <f>IFERROR(SUMIFS('Base bordo CD'!M$2:M$875,'Base bordo CD'!D$2:D$875,A846,'Base bordo CD'!A$2:A$875,B846,'Base bordo CD'!L$2:L$875,"PATIO - RESERVA"),0)</f>
        <v>0</v>
      </c>
      <c r="M846" s="10">
        <f>IFERROR(SUMIFS('Base bordo CD'!M$2:M$875,'Base bordo CD'!D$2:D$875,A846,'Base bordo CD'!A$2:A$875,B846,'Base bordo CD'!L$2:L$875,"SEM APONTAMENTO"),0)</f>
        <v>0</v>
      </c>
      <c r="N846" s="10">
        <f>IFERROR(SUMIFS('Base bordo CD'!M$2:M$875,'Base bordo CD'!D$2:D$875,A846,'Base bordo CD'!A$2:A$875,B846,'Base bordo CD'!L$2:L$875,"FALTA DE CAMINHÃO"),0)+IFERROR(SUMIFS('Base bordo CD'!M$2:M$875,'Base bordo CD'!D$2:D$875,A846,'Base bordo CD'!A$2:A$875,B846,'Base bordo CD'!L$2:L$875,"FALTA DE COMBUSTIVEL"),0)+IFERROR(SUMIFS('Base bordo CD'!M$2:M$875,'Base bordo CD'!D$2:D$875,A846,'Base bordo CD'!A$2:A$875,B846,'Base bordo CD'!L$2:L$875,"FALTA DE MOTORIST*"),0)</f>
        <v>0</v>
      </c>
      <c r="O846" s="10">
        <f t="shared" si="70"/>
        <v>0.5736111111111093</v>
      </c>
      <c r="P846" s="10">
        <f>IFERROR(SUMIFS('Base bordo CD'!M$2:M$875,'Base bordo CD'!D$2:D$875,A846,'Base bordo CD'!A$2:A$875,B846),0)</f>
        <v>20.228888888888886</v>
      </c>
      <c r="Q846" s="10">
        <f>IFERROR(SUMIFS('Base bordo CD'!O$2:O$875,'Base bordo CD'!D$2:D$875,A846,'Base bordo CD'!A$2:A$875,B846,'Base bordo CD'!L$2:L$875,"CORTE DE CANA MECANIZADO"),0)</f>
        <v>64463.79</v>
      </c>
      <c r="R846" s="10">
        <f>IFERROR(SUMIFS('Base bordo CD'!Q$2:Q$875,'Base bordo CD'!D$2:D$875,A846,'Base bordo CD'!A$2:A$875,B846,'Base bordo CD'!L$2:L$875,"CORTE DE CANA MECANIZADO"),0)</f>
        <v>22689</v>
      </c>
      <c r="S846" s="30">
        <f t="shared" si="71"/>
        <v>2.8411913261933095</v>
      </c>
      <c r="T846" s="9">
        <f t="shared" si="72"/>
        <v>0.31155937602988032</v>
      </c>
      <c r="U846" s="9">
        <f t="shared" si="73"/>
        <v>5.2908381852136664E-2</v>
      </c>
      <c r="V846" s="9">
        <f t="shared" si="74"/>
        <v>0.65652806766999883</v>
      </c>
    </row>
    <row r="847" spans="1:22" x14ac:dyDescent="0.35">
      <c r="A847" s="52">
        <v>49595</v>
      </c>
      <c r="B847" s="31">
        <v>46118</v>
      </c>
      <c r="C847" s="7" t="s">
        <v>337</v>
      </c>
      <c r="D847" s="7">
        <v>353</v>
      </c>
      <c r="E847" s="10">
        <f>IFERROR(SUMIFS('Base bordo CD'!M$2:M$875,'Base bordo CD'!D$2:D$875,A847,'Base bordo CD'!A$2:A$875,B847,'Base bordo CD'!L$2:L$875,"CORTE DE CANA MECANIZADO"),0)</f>
        <v>6.3025000000000002</v>
      </c>
      <c r="F847" s="10">
        <f>IFERROR(SUMIFS('Base bordo CD'!M$2:M$875,'Base bordo CD'!D$2:D$875,A847,'Base bordo CD'!A$2:A$875,B847,'Base bordo CD'!L$2:L$875,"MANOBRA"),0)</f>
        <v>1.0702777777777777</v>
      </c>
      <c r="G847" s="10">
        <f>IFERROR(SUMIFS('Base bordo CD'!M$2:M$875,'Base bordo CD'!D$2:D$875,A847,'Base bordo CD'!A$2:A$875,B847,'Base bordo CD'!L$2:L$875,"DESLOCAMENTO"),0)</f>
        <v>0.64555555555555555</v>
      </c>
      <c r="H847" s="10">
        <f>IFERROR(SUMIFS('Base bordo CD'!M$2:M$875,'Base bordo CD'!D$2:D$875,A847,'Base bordo CD'!A$2:A$875,B847,'Base bordo CD'!L$2:L$875,"AGUARDANDO MANOBRA DE TRANSBORDO"),0)+IFERROR(SUMIFS('Base bordo CD'!M$2:M$875,'Base bordo CD'!D$2:D$875,A847,'Base bordo CD'!A$2:A$875,B847,'Base bordo CD'!L$2:L$875,"FALTA DE TRANSBORDO"),0)</f>
        <v>0.84305555555555556</v>
      </c>
      <c r="I847" s="10">
        <f>IFERROR(SUMIFS('Base bordo CD'!M$2:M$875,'Base bordo CD'!D$2:D$875,A847,'Base bordo CD'!A$2:A$875,B847,'Base bordo CD'!L$2:L$875,"PARADA POR CONDICOES CLIMATICAS"),0)+IFERROR(SUMIFS('Base bordo CD'!M$2:M$875,'Base bordo CD'!D$2:D$875,A847,'Base bordo CD'!A$2:A$875,B847,'Base bordo CD'!L$2:L$875,"TEMPO INDETERMINADO"),0)</f>
        <v>0</v>
      </c>
      <c r="J847" s="10">
        <f>IFERROR(SUMIFS('Base bordo CD'!M$2:M$875,'Base bordo CD'!D$2:D$875,A847,'Base bordo CD'!A$2:A$875,B847,'Base bordo CD'!L$2:L$875,"LIMITAÇÃO INDÚSTRIA"),0)</f>
        <v>9.8199999999999985</v>
      </c>
      <c r="K847" s="10">
        <f>IFERROR(SUMIFS('Base bordo CD'!M$2:M$875,'Base bordo CD'!D$2:D$875,A847,'Base bordo CD'!A$2:A$875,B847,'Base bordo CD'!L$2:L$875,"MAN CORRETIVA*"),0)+IFERROR(SUMIFS('Base bordo CD'!M$2:M$875,'Base bordo CD'!D$2:D$875,A847,'Base bordo CD'!A$2:A$875,B847,'Base bordo CD'!L$2:L$875,"AGUARDANDO MANUTENCAO*"),0)+IFERROR(SUMIFS('Base bordo CD'!M$2:M$875,'Base bordo CD'!D$2:D$875,A847,'Base bordo CD'!A$2:A$875,B847,'Base bordo CD'!L$2:L$875,"TROCA DE FAQUINHA"),0)+IFERROR(SUMIFS('Base bordo CD'!M$2:M$875,'Base bordo CD'!D$2:D$875,A847,'Base bordo CD'!A$2:A$875,B847,'Base bordo CD'!L$2:L$875,"LIMPEZA*"),0)</f>
        <v>0.9738888888888888</v>
      </c>
      <c r="L847" s="10">
        <f>IFERROR(SUMIFS('Base bordo CD'!M$2:M$875,'Base bordo CD'!D$2:D$875,A847,'Base bordo CD'!A$2:A$875,B847,'Base bordo CD'!L$2:L$875,"PATIO - RESERVA"),0)</f>
        <v>0</v>
      </c>
      <c r="M847" s="10">
        <f>IFERROR(SUMIFS('Base bordo CD'!M$2:M$875,'Base bordo CD'!D$2:D$875,A847,'Base bordo CD'!A$2:A$875,B847,'Base bordo CD'!L$2:L$875,"SEM APONTAMENTO"),0)</f>
        <v>0</v>
      </c>
      <c r="N847" s="10">
        <f>IFERROR(SUMIFS('Base bordo CD'!M$2:M$875,'Base bordo CD'!D$2:D$875,A847,'Base bordo CD'!A$2:A$875,B847,'Base bordo CD'!L$2:L$875,"FALTA DE CAMINHÃO"),0)+IFERROR(SUMIFS('Base bordo CD'!M$2:M$875,'Base bordo CD'!D$2:D$875,A847,'Base bordo CD'!A$2:A$875,B847,'Base bordo CD'!L$2:L$875,"FALTA DE COMBUSTIVEL"),0)+IFERROR(SUMIFS('Base bordo CD'!M$2:M$875,'Base bordo CD'!D$2:D$875,A847,'Base bordo CD'!A$2:A$875,B847,'Base bordo CD'!L$2:L$875,"FALTA DE MOTORIST*"),0)</f>
        <v>0</v>
      </c>
      <c r="O847" s="10">
        <f t="shared" si="70"/>
        <v>0.5736111111111093</v>
      </c>
      <c r="P847" s="10">
        <f>IFERROR(SUMIFS('Base bordo CD'!M$2:M$875,'Base bordo CD'!D$2:D$875,A847,'Base bordo CD'!A$2:A$875,B847),0)</f>
        <v>20.228888888888886</v>
      </c>
      <c r="Q847" s="10">
        <f>IFERROR(SUMIFS('Base bordo CD'!O$2:O$875,'Base bordo CD'!D$2:D$875,A847,'Base bordo CD'!A$2:A$875,B847,'Base bordo CD'!L$2:L$875,"CORTE DE CANA MECANIZADO"),0)</f>
        <v>64463.79</v>
      </c>
      <c r="R847" s="10">
        <f>IFERROR(SUMIFS('Base bordo CD'!Q$2:Q$875,'Base bordo CD'!D$2:D$875,A847,'Base bordo CD'!A$2:A$875,B847,'Base bordo CD'!L$2:L$875,"CORTE DE CANA MECANIZADO"),0)</f>
        <v>22689</v>
      </c>
      <c r="S847" s="30">
        <f t="shared" si="71"/>
        <v>2.8411913261933095</v>
      </c>
      <c r="T847" s="9">
        <f t="shared" si="72"/>
        <v>0.31155937602988032</v>
      </c>
      <c r="U847" s="9">
        <f t="shared" si="73"/>
        <v>5.2908381852136664E-2</v>
      </c>
      <c r="V847" s="9">
        <f t="shared" si="74"/>
        <v>0.65652806766999883</v>
      </c>
    </row>
    <row r="848" spans="1:22" x14ac:dyDescent="0.35">
      <c r="A848" s="52">
        <v>49595</v>
      </c>
      <c r="B848" s="31">
        <v>46118</v>
      </c>
      <c r="C848" s="7" t="s">
        <v>337</v>
      </c>
      <c r="D848" s="7">
        <v>353</v>
      </c>
      <c r="E848" s="10">
        <f>IFERROR(SUMIFS('Base bordo CD'!M$2:M$875,'Base bordo CD'!D$2:D$875,A848,'Base bordo CD'!A$2:A$875,B848,'Base bordo CD'!L$2:L$875,"CORTE DE CANA MECANIZADO"),0)</f>
        <v>6.3025000000000002</v>
      </c>
      <c r="F848" s="10">
        <f>IFERROR(SUMIFS('Base bordo CD'!M$2:M$875,'Base bordo CD'!D$2:D$875,A848,'Base bordo CD'!A$2:A$875,B848,'Base bordo CD'!L$2:L$875,"MANOBRA"),0)</f>
        <v>1.0702777777777777</v>
      </c>
      <c r="G848" s="10">
        <f>IFERROR(SUMIFS('Base bordo CD'!M$2:M$875,'Base bordo CD'!D$2:D$875,A848,'Base bordo CD'!A$2:A$875,B848,'Base bordo CD'!L$2:L$875,"DESLOCAMENTO"),0)</f>
        <v>0.64555555555555555</v>
      </c>
      <c r="H848" s="10">
        <f>IFERROR(SUMIFS('Base bordo CD'!M$2:M$875,'Base bordo CD'!D$2:D$875,A848,'Base bordo CD'!A$2:A$875,B848,'Base bordo CD'!L$2:L$875,"AGUARDANDO MANOBRA DE TRANSBORDO"),0)+IFERROR(SUMIFS('Base bordo CD'!M$2:M$875,'Base bordo CD'!D$2:D$875,A848,'Base bordo CD'!A$2:A$875,B848,'Base bordo CD'!L$2:L$875,"FALTA DE TRANSBORDO"),0)</f>
        <v>0.84305555555555556</v>
      </c>
      <c r="I848" s="10">
        <f>IFERROR(SUMIFS('Base bordo CD'!M$2:M$875,'Base bordo CD'!D$2:D$875,A848,'Base bordo CD'!A$2:A$875,B848,'Base bordo CD'!L$2:L$875,"PARADA POR CONDICOES CLIMATICAS"),0)+IFERROR(SUMIFS('Base bordo CD'!M$2:M$875,'Base bordo CD'!D$2:D$875,A848,'Base bordo CD'!A$2:A$875,B848,'Base bordo CD'!L$2:L$875,"TEMPO INDETERMINADO"),0)</f>
        <v>0</v>
      </c>
      <c r="J848" s="10">
        <f>IFERROR(SUMIFS('Base bordo CD'!M$2:M$875,'Base bordo CD'!D$2:D$875,A848,'Base bordo CD'!A$2:A$875,B848,'Base bordo CD'!L$2:L$875,"LIMITAÇÃO INDÚSTRIA"),0)</f>
        <v>9.8199999999999985</v>
      </c>
      <c r="K848" s="10">
        <f>IFERROR(SUMIFS('Base bordo CD'!M$2:M$875,'Base bordo CD'!D$2:D$875,A848,'Base bordo CD'!A$2:A$875,B848,'Base bordo CD'!L$2:L$875,"MAN CORRETIVA*"),0)+IFERROR(SUMIFS('Base bordo CD'!M$2:M$875,'Base bordo CD'!D$2:D$875,A848,'Base bordo CD'!A$2:A$875,B848,'Base bordo CD'!L$2:L$875,"AGUARDANDO MANUTENCAO*"),0)+IFERROR(SUMIFS('Base bordo CD'!M$2:M$875,'Base bordo CD'!D$2:D$875,A848,'Base bordo CD'!A$2:A$875,B848,'Base bordo CD'!L$2:L$875,"TROCA DE FAQUINHA"),0)+IFERROR(SUMIFS('Base bordo CD'!M$2:M$875,'Base bordo CD'!D$2:D$875,A848,'Base bordo CD'!A$2:A$875,B848,'Base bordo CD'!L$2:L$875,"LIMPEZA*"),0)</f>
        <v>0.9738888888888888</v>
      </c>
      <c r="L848" s="10">
        <f>IFERROR(SUMIFS('Base bordo CD'!M$2:M$875,'Base bordo CD'!D$2:D$875,A848,'Base bordo CD'!A$2:A$875,B848,'Base bordo CD'!L$2:L$875,"PATIO - RESERVA"),0)</f>
        <v>0</v>
      </c>
      <c r="M848" s="10">
        <f>IFERROR(SUMIFS('Base bordo CD'!M$2:M$875,'Base bordo CD'!D$2:D$875,A848,'Base bordo CD'!A$2:A$875,B848,'Base bordo CD'!L$2:L$875,"SEM APONTAMENTO"),0)</f>
        <v>0</v>
      </c>
      <c r="N848" s="10">
        <f>IFERROR(SUMIFS('Base bordo CD'!M$2:M$875,'Base bordo CD'!D$2:D$875,A848,'Base bordo CD'!A$2:A$875,B848,'Base bordo CD'!L$2:L$875,"FALTA DE CAMINHÃO"),0)+IFERROR(SUMIFS('Base bordo CD'!M$2:M$875,'Base bordo CD'!D$2:D$875,A848,'Base bordo CD'!A$2:A$875,B848,'Base bordo CD'!L$2:L$875,"FALTA DE COMBUSTIVEL"),0)+IFERROR(SUMIFS('Base bordo CD'!M$2:M$875,'Base bordo CD'!D$2:D$875,A848,'Base bordo CD'!A$2:A$875,B848,'Base bordo CD'!L$2:L$875,"FALTA DE MOTORIST*"),0)</f>
        <v>0</v>
      </c>
      <c r="O848" s="10">
        <f t="shared" si="70"/>
        <v>0.5736111111111093</v>
      </c>
      <c r="P848" s="10">
        <f>IFERROR(SUMIFS('Base bordo CD'!M$2:M$875,'Base bordo CD'!D$2:D$875,A848,'Base bordo CD'!A$2:A$875,B848),0)</f>
        <v>20.228888888888886</v>
      </c>
      <c r="Q848" s="10">
        <f>IFERROR(SUMIFS('Base bordo CD'!O$2:O$875,'Base bordo CD'!D$2:D$875,A848,'Base bordo CD'!A$2:A$875,B848,'Base bordo CD'!L$2:L$875,"CORTE DE CANA MECANIZADO"),0)</f>
        <v>64463.79</v>
      </c>
      <c r="R848" s="10">
        <f>IFERROR(SUMIFS('Base bordo CD'!Q$2:Q$875,'Base bordo CD'!D$2:D$875,A848,'Base bordo CD'!A$2:A$875,B848,'Base bordo CD'!L$2:L$875,"CORTE DE CANA MECANIZADO"),0)</f>
        <v>22689</v>
      </c>
      <c r="S848" s="30">
        <f t="shared" si="71"/>
        <v>2.8411913261933095</v>
      </c>
      <c r="T848" s="9">
        <f t="shared" si="72"/>
        <v>0.31155937602988032</v>
      </c>
      <c r="U848" s="9">
        <f t="shared" si="73"/>
        <v>5.2908381852136664E-2</v>
      </c>
      <c r="V848" s="9">
        <f t="shared" si="74"/>
        <v>0.65652806766999883</v>
      </c>
    </row>
    <row r="849" spans="1:22" x14ac:dyDescent="0.35">
      <c r="A849" s="52">
        <v>49595</v>
      </c>
      <c r="B849" s="31">
        <v>46118</v>
      </c>
      <c r="C849" s="7" t="s">
        <v>337</v>
      </c>
      <c r="D849" s="7">
        <v>353</v>
      </c>
      <c r="E849" s="10">
        <f>IFERROR(SUMIFS('Base bordo CD'!M$2:M$875,'Base bordo CD'!D$2:D$875,A849,'Base bordo CD'!A$2:A$875,B849,'Base bordo CD'!L$2:L$875,"CORTE DE CANA MECANIZADO"),0)</f>
        <v>6.3025000000000002</v>
      </c>
      <c r="F849" s="10">
        <f>IFERROR(SUMIFS('Base bordo CD'!M$2:M$875,'Base bordo CD'!D$2:D$875,A849,'Base bordo CD'!A$2:A$875,B849,'Base bordo CD'!L$2:L$875,"MANOBRA"),0)</f>
        <v>1.0702777777777777</v>
      </c>
      <c r="G849" s="10">
        <f>IFERROR(SUMIFS('Base bordo CD'!M$2:M$875,'Base bordo CD'!D$2:D$875,A849,'Base bordo CD'!A$2:A$875,B849,'Base bordo CD'!L$2:L$875,"DESLOCAMENTO"),0)</f>
        <v>0.64555555555555555</v>
      </c>
      <c r="H849" s="10">
        <f>IFERROR(SUMIFS('Base bordo CD'!M$2:M$875,'Base bordo CD'!D$2:D$875,A849,'Base bordo CD'!A$2:A$875,B849,'Base bordo CD'!L$2:L$875,"AGUARDANDO MANOBRA DE TRANSBORDO"),0)+IFERROR(SUMIFS('Base bordo CD'!M$2:M$875,'Base bordo CD'!D$2:D$875,A849,'Base bordo CD'!A$2:A$875,B849,'Base bordo CD'!L$2:L$875,"FALTA DE TRANSBORDO"),0)</f>
        <v>0.84305555555555556</v>
      </c>
      <c r="I849" s="10">
        <f>IFERROR(SUMIFS('Base bordo CD'!M$2:M$875,'Base bordo CD'!D$2:D$875,A849,'Base bordo CD'!A$2:A$875,B849,'Base bordo CD'!L$2:L$875,"PARADA POR CONDICOES CLIMATICAS"),0)+IFERROR(SUMIFS('Base bordo CD'!M$2:M$875,'Base bordo CD'!D$2:D$875,A849,'Base bordo CD'!A$2:A$875,B849,'Base bordo CD'!L$2:L$875,"TEMPO INDETERMINADO"),0)</f>
        <v>0</v>
      </c>
      <c r="J849" s="10">
        <f>IFERROR(SUMIFS('Base bordo CD'!M$2:M$875,'Base bordo CD'!D$2:D$875,A849,'Base bordo CD'!A$2:A$875,B849,'Base bordo CD'!L$2:L$875,"LIMITAÇÃO INDÚSTRIA"),0)</f>
        <v>9.8199999999999985</v>
      </c>
      <c r="K849" s="10">
        <f>IFERROR(SUMIFS('Base bordo CD'!M$2:M$875,'Base bordo CD'!D$2:D$875,A849,'Base bordo CD'!A$2:A$875,B849,'Base bordo CD'!L$2:L$875,"MAN CORRETIVA*"),0)+IFERROR(SUMIFS('Base bordo CD'!M$2:M$875,'Base bordo CD'!D$2:D$875,A849,'Base bordo CD'!A$2:A$875,B849,'Base bordo CD'!L$2:L$875,"AGUARDANDO MANUTENCAO*"),0)+IFERROR(SUMIFS('Base bordo CD'!M$2:M$875,'Base bordo CD'!D$2:D$875,A849,'Base bordo CD'!A$2:A$875,B849,'Base bordo CD'!L$2:L$875,"TROCA DE FAQUINHA"),0)+IFERROR(SUMIFS('Base bordo CD'!M$2:M$875,'Base bordo CD'!D$2:D$875,A849,'Base bordo CD'!A$2:A$875,B849,'Base bordo CD'!L$2:L$875,"LIMPEZA*"),0)</f>
        <v>0.9738888888888888</v>
      </c>
      <c r="L849" s="10">
        <f>IFERROR(SUMIFS('Base bordo CD'!M$2:M$875,'Base bordo CD'!D$2:D$875,A849,'Base bordo CD'!A$2:A$875,B849,'Base bordo CD'!L$2:L$875,"PATIO - RESERVA"),0)</f>
        <v>0</v>
      </c>
      <c r="M849" s="10">
        <f>IFERROR(SUMIFS('Base bordo CD'!M$2:M$875,'Base bordo CD'!D$2:D$875,A849,'Base bordo CD'!A$2:A$875,B849,'Base bordo CD'!L$2:L$875,"SEM APONTAMENTO"),0)</f>
        <v>0</v>
      </c>
      <c r="N849" s="10">
        <f>IFERROR(SUMIFS('Base bordo CD'!M$2:M$875,'Base bordo CD'!D$2:D$875,A849,'Base bordo CD'!A$2:A$875,B849,'Base bordo CD'!L$2:L$875,"FALTA DE CAMINHÃO"),0)+IFERROR(SUMIFS('Base bordo CD'!M$2:M$875,'Base bordo CD'!D$2:D$875,A849,'Base bordo CD'!A$2:A$875,B849,'Base bordo CD'!L$2:L$875,"FALTA DE COMBUSTIVEL"),0)+IFERROR(SUMIFS('Base bordo CD'!M$2:M$875,'Base bordo CD'!D$2:D$875,A849,'Base bordo CD'!A$2:A$875,B849,'Base bordo CD'!L$2:L$875,"FALTA DE MOTORIST*"),0)</f>
        <v>0</v>
      </c>
      <c r="O849" s="10">
        <f t="shared" si="70"/>
        <v>0.5736111111111093</v>
      </c>
      <c r="P849" s="10">
        <f>IFERROR(SUMIFS('Base bordo CD'!M$2:M$875,'Base bordo CD'!D$2:D$875,A849,'Base bordo CD'!A$2:A$875,B849),0)</f>
        <v>20.228888888888886</v>
      </c>
      <c r="Q849" s="10">
        <f>IFERROR(SUMIFS('Base bordo CD'!O$2:O$875,'Base bordo CD'!D$2:D$875,A849,'Base bordo CD'!A$2:A$875,B849,'Base bordo CD'!L$2:L$875,"CORTE DE CANA MECANIZADO"),0)</f>
        <v>64463.79</v>
      </c>
      <c r="R849" s="10">
        <f>IFERROR(SUMIFS('Base bordo CD'!Q$2:Q$875,'Base bordo CD'!D$2:D$875,A849,'Base bordo CD'!A$2:A$875,B849,'Base bordo CD'!L$2:L$875,"CORTE DE CANA MECANIZADO"),0)</f>
        <v>22689</v>
      </c>
      <c r="S849" s="30">
        <f t="shared" si="71"/>
        <v>2.8411913261933095</v>
      </c>
      <c r="T849" s="9">
        <f t="shared" si="72"/>
        <v>0.31155937602988032</v>
      </c>
      <c r="U849" s="9">
        <f t="shared" si="73"/>
        <v>5.2908381852136664E-2</v>
      </c>
      <c r="V849" s="9">
        <f t="shared" si="74"/>
        <v>0.65652806766999883</v>
      </c>
    </row>
    <row r="850" spans="1:22" x14ac:dyDescent="0.35">
      <c r="A850" s="52">
        <v>49595</v>
      </c>
      <c r="B850" s="31">
        <v>46118</v>
      </c>
      <c r="C850" s="7" t="s">
        <v>337</v>
      </c>
      <c r="D850" s="7">
        <v>353</v>
      </c>
      <c r="E850" s="10">
        <f>IFERROR(SUMIFS('Base bordo CD'!M$2:M$875,'Base bordo CD'!D$2:D$875,A850,'Base bordo CD'!A$2:A$875,B850,'Base bordo CD'!L$2:L$875,"CORTE DE CANA MECANIZADO"),0)</f>
        <v>6.3025000000000002</v>
      </c>
      <c r="F850" s="10">
        <f>IFERROR(SUMIFS('Base bordo CD'!M$2:M$875,'Base bordo CD'!D$2:D$875,A850,'Base bordo CD'!A$2:A$875,B850,'Base bordo CD'!L$2:L$875,"MANOBRA"),0)</f>
        <v>1.0702777777777777</v>
      </c>
      <c r="G850" s="10">
        <f>IFERROR(SUMIFS('Base bordo CD'!M$2:M$875,'Base bordo CD'!D$2:D$875,A850,'Base bordo CD'!A$2:A$875,B850,'Base bordo CD'!L$2:L$875,"DESLOCAMENTO"),0)</f>
        <v>0.64555555555555555</v>
      </c>
      <c r="H850" s="10">
        <f>IFERROR(SUMIFS('Base bordo CD'!M$2:M$875,'Base bordo CD'!D$2:D$875,A850,'Base bordo CD'!A$2:A$875,B850,'Base bordo CD'!L$2:L$875,"AGUARDANDO MANOBRA DE TRANSBORDO"),0)+IFERROR(SUMIFS('Base bordo CD'!M$2:M$875,'Base bordo CD'!D$2:D$875,A850,'Base bordo CD'!A$2:A$875,B850,'Base bordo CD'!L$2:L$875,"FALTA DE TRANSBORDO"),0)</f>
        <v>0.84305555555555556</v>
      </c>
      <c r="I850" s="10">
        <f>IFERROR(SUMIFS('Base bordo CD'!M$2:M$875,'Base bordo CD'!D$2:D$875,A850,'Base bordo CD'!A$2:A$875,B850,'Base bordo CD'!L$2:L$875,"PARADA POR CONDICOES CLIMATICAS"),0)+IFERROR(SUMIFS('Base bordo CD'!M$2:M$875,'Base bordo CD'!D$2:D$875,A850,'Base bordo CD'!A$2:A$875,B850,'Base bordo CD'!L$2:L$875,"TEMPO INDETERMINADO"),0)</f>
        <v>0</v>
      </c>
      <c r="J850" s="10">
        <f>IFERROR(SUMIFS('Base bordo CD'!M$2:M$875,'Base bordo CD'!D$2:D$875,A850,'Base bordo CD'!A$2:A$875,B850,'Base bordo CD'!L$2:L$875,"LIMITAÇÃO INDÚSTRIA"),0)</f>
        <v>9.8199999999999985</v>
      </c>
      <c r="K850" s="10">
        <f>IFERROR(SUMIFS('Base bordo CD'!M$2:M$875,'Base bordo CD'!D$2:D$875,A850,'Base bordo CD'!A$2:A$875,B850,'Base bordo CD'!L$2:L$875,"MAN CORRETIVA*"),0)+IFERROR(SUMIFS('Base bordo CD'!M$2:M$875,'Base bordo CD'!D$2:D$875,A850,'Base bordo CD'!A$2:A$875,B850,'Base bordo CD'!L$2:L$875,"AGUARDANDO MANUTENCAO*"),0)+IFERROR(SUMIFS('Base bordo CD'!M$2:M$875,'Base bordo CD'!D$2:D$875,A850,'Base bordo CD'!A$2:A$875,B850,'Base bordo CD'!L$2:L$875,"TROCA DE FAQUINHA"),0)+IFERROR(SUMIFS('Base bordo CD'!M$2:M$875,'Base bordo CD'!D$2:D$875,A850,'Base bordo CD'!A$2:A$875,B850,'Base bordo CD'!L$2:L$875,"LIMPEZA*"),0)</f>
        <v>0.9738888888888888</v>
      </c>
      <c r="L850" s="10">
        <f>IFERROR(SUMIFS('Base bordo CD'!M$2:M$875,'Base bordo CD'!D$2:D$875,A850,'Base bordo CD'!A$2:A$875,B850,'Base bordo CD'!L$2:L$875,"PATIO - RESERVA"),0)</f>
        <v>0</v>
      </c>
      <c r="M850" s="10">
        <f>IFERROR(SUMIFS('Base bordo CD'!M$2:M$875,'Base bordo CD'!D$2:D$875,A850,'Base bordo CD'!A$2:A$875,B850,'Base bordo CD'!L$2:L$875,"SEM APONTAMENTO"),0)</f>
        <v>0</v>
      </c>
      <c r="N850" s="10">
        <f>IFERROR(SUMIFS('Base bordo CD'!M$2:M$875,'Base bordo CD'!D$2:D$875,A850,'Base bordo CD'!A$2:A$875,B850,'Base bordo CD'!L$2:L$875,"FALTA DE CAMINHÃO"),0)+IFERROR(SUMIFS('Base bordo CD'!M$2:M$875,'Base bordo CD'!D$2:D$875,A850,'Base bordo CD'!A$2:A$875,B850,'Base bordo CD'!L$2:L$875,"FALTA DE COMBUSTIVEL"),0)+IFERROR(SUMIFS('Base bordo CD'!M$2:M$875,'Base bordo CD'!D$2:D$875,A850,'Base bordo CD'!A$2:A$875,B850,'Base bordo CD'!L$2:L$875,"FALTA DE MOTORIST*"),0)</f>
        <v>0</v>
      </c>
      <c r="O850" s="10">
        <f t="shared" si="70"/>
        <v>0.5736111111111093</v>
      </c>
      <c r="P850" s="10">
        <f>IFERROR(SUMIFS('Base bordo CD'!M$2:M$875,'Base bordo CD'!D$2:D$875,A850,'Base bordo CD'!A$2:A$875,B850),0)</f>
        <v>20.228888888888886</v>
      </c>
      <c r="Q850" s="10">
        <f>IFERROR(SUMIFS('Base bordo CD'!O$2:O$875,'Base bordo CD'!D$2:D$875,A850,'Base bordo CD'!A$2:A$875,B850,'Base bordo CD'!L$2:L$875,"CORTE DE CANA MECANIZADO"),0)</f>
        <v>64463.79</v>
      </c>
      <c r="R850" s="10">
        <f>IFERROR(SUMIFS('Base bordo CD'!Q$2:Q$875,'Base bordo CD'!D$2:D$875,A850,'Base bordo CD'!A$2:A$875,B850,'Base bordo CD'!L$2:L$875,"CORTE DE CANA MECANIZADO"),0)</f>
        <v>22689</v>
      </c>
      <c r="S850" s="30">
        <f t="shared" si="71"/>
        <v>2.8411913261933095</v>
      </c>
      <c r="T850" s="9">
        <f t="shared" si="72"/>
        <v>0.31155937602988032</v>
      </c>
      <c r="U850" s="9">
        <f t="shared" si="73"/>
        <v>5.2908381852136664E-2</v>
      </c>
      <c r="V850" s="9">
        <f t="shared" si="74"/>
        <v>0.65652806766999883</v>
      </c>
    </row>
    <row r="851" spans="1:22" x14ac:dyDescent="0.35">
      <c r="A851" s="52">
        <v>49595</v>
      </c>
      <c r="B851" s="31">
        <v>46118</v>
      </c>
      <c r="C851" s="7" t="s">
        <v>337</v>
      </c>
      <c r="D851" s="7">
        <v>353</v>
      </c>
      <c r="E851" s="10">
        <f>IFERROR(SUMIFS('Base bordo CD'!M$2:M$875,'Base bordo CD'!D$2:D$875,A851,'Base bordo CD'!A$2:A$875,B851,'Base bordo CD'!L$2:L$875,"CORTE DE CANA MECANIZADO"),0)</f>
        <v>6.3025000000000002</v>
      </c>
      <c r="F851" s="10">
        <f>IFERROR(SUMIFS('Base bordo CD'!M$2:M$875,'Base bordo CD'!D$2:D$875,A851,'Base bordo CD'!A$2:A$875,B851,'Base bordo CD'!L$2:L$875,"MANOBRA"),0)</f>
        <v>1.0702777777777777</v>
      </c>
      <c r="G851" s="10">
        <f>IFERROR(SUMIFS('Base bordo CD'!M$2:M$875,'Base bordo CD'!D$2:D$875,A851,'Base bordo CD'!A$2:A$875,B851,'Base bordo CD'!L$2:L$875,"DESLOCAMENTO"),0)</f>
        <v>0.64555555555555555</v>
      </c>
      <c r="H851" s="10">
        <f>IFERROR(SUMIFS('Base bordo CD'!M$2:M$875,'Base bordo CD'!D$2:D$875,A851,'Base bordo CD'!A$2:A$875,B851,'Base bordo CD'!L$2:L$875,"AGUARDANDO MANOBRA DE TRANSBORDO"),0)+IFERROR(SUMIFS('Base bordo CD'!M$2:M$875,'Base bordo CD'!D$2:D$875,A851,'Base bordo CD'!A$2:A$875,B851,'Base bordo CD'!L$2:L$875,"FALTA DE TRANSBORDO"),0)</f>
        <v>0.84305555555555556</v>
      </c>
      <c r="I851" s="10">
        <f>IFERROR(SUMIFS('Base bordo CD'!M$2:M$875,'Base bordo CD'!D$2:D$875,A851,'Base bordo CD'!A$2:A$875,B851,'Base bordo CD'!L$2:L$875,"PARADA POR CONDICOES CLIMATICAS"),0)+IFERROR(SUMIFS('Base bordo CD'!M$2:M$875,'Base bordo CD'!D$2:D$875,A851,'Base bordo CD'!A$2:A$875,B851,'Base bordo CD'!L$2:L$875,"TEMPO INDETERMINADO"),0)</f>
        <v>0</v>
      </c>
      <c r="J851" s="10">
        <f>IFERROR(SUMIFS('Base bordo CD'!M$2:M$875,'Base bordo CD'!D$2:D$875,A851,'Base bordo CD'!A$2:A$875,B851,'Base bordo CD'!L$2:L$875,"LIMITAÇÃO INDÚSTRIA"),0)</f>
        <v>9.8199999999999985</v>
      </c>
      <c r="K851" s="10">
        <f>IFERROR(SUMIFS('Base bordo CD'!M$2:M$875,'Base bordo CD'!D$2:D$875,A851,'Base bordo CD'!A$2:A$875,B851,'Base bordo CD'!L$2:L$875,"MAN CORRETIVA*"),0)+IFERROR(SUMIFS('Base bordo CD'!M$2:M$875,'Base bordo CD'!D$2:D$875,A851,'Base bordo CD'!A$2:A$875,B851,'Base bordo CD'!L$2:L$875,"AGUARDANDO MANUTENCAO*"),0)+IFERROR(SUMIFS('Base bordo CD'!M$2:M$875,'Base bordo CD'!D$2:D$875,A851,'Base bordo CD'!A$2:A$875,B851,'Base bordo CD'!L$2:L$875,"TROCA DE FAQUINHA"),0)+IFERROR(SUMIFS('Base bordo CD'!M$2:M$875,'Base bordo CD'!D$2:D$875,A851,'Base bordo CD'!A$2:A$875,B851,'Base bordo CD'!L$2:L$875,"LIMPEZA*"),0)</f>
        <v>0.9738888888888888</v>
      </c>
      <c r="L851" s="10">
        <f>IFERROR(SUMIFS('Base bordo CD'!M$2:M$875,'Base bordo CD'!D$2:D$875,A851,'Base bordo CD'!A$2:A$875,B851,'Base bordo CD'!L$2:L$875,"PATIO - RESERVA"),0)</f>
        <v>0</v>
      </c>
      <c r="M851" s="10">
        <f>IFERROR(SUMIFS('Base bordo CD'!M$2:M$875,'Base bordo CD'!D$2:D$875,A851,'Base bordo CD'!A$2:A$875,B851,'Base bordo CD'!L$2:L$875,"SEM APONTAMENTO"),0)</f>
        <v>0</v>
      </c>
      <c r="N851" s="10">
        <f>IFERROR(SUMIFS('Base bordo CD'!M$2:M$875,'Base bordo CD'!D$2:D$875,A851,'Base bordo CD'!A$2:A$875,B851,'Base bordo CD'!L$2:L$875,"FALTA DE CAMINHÃO"),0)+IFERROR(SUMIFS('Base bordo CD'!M$2:M$875,'Base bordo CD'!D$2:D$875,A851,'Base bordo CD'!A$2:A$875,B851,'Base bordo CD'!L$2:L$875,"FALTA DE COMBUSTIVEL"),0)+IFERROR(SUMIFS('Base bordo CD'!M$2:M$875,'Base bordo CD'!D$2:D$875,A851,'Base bordo CD'!A$2:A$875,B851,'Base bordo CD'!L$2:L$875,"FALTA DE MOTORIST*"),0)</f>
        <v>0</v>
      </c>
      <c r="O851" s="10">
        <f t="shared" si="70"/>
        <v>0.5736111111111093</v>
      </c>
      <c r="P851" s="10">
        <f>IFERROR(SUMIFS('Base bordo CD'!M$2:M$875,'Base bordo CD'!D$2:D$875,A851,'Base bordo CD'!A$2:A$875,B851),0)</f>
        <v>20.228888888888886</v>
      </c>
      <c r="Q851" s="10">
        <f>IFERROR(SUMIFS('Base bordo CD'!O$2:O$875,'Base bordo CD'!D$2:D$875,A851,'Base bordo CD'!A$2:A$875,B851,'Base bordo CD'!L$2:L$875,"CORTE DE CANA MECANIZADO"),0)</f>
        <v>64463.79</v>
      </c>
      <c r="R851" s="10">
        <f>IFERROR(SUMIFS('Base bordo CD'!Q$2:Q$875,'Base bordo CD'!D$2:D$875,A851,'Base bordo CD'!A$2:A$875,B851,'Base bordo CD'!L$2:L$875,"CORTE DE CANA MECANIZADO"),0)</f>
        <v>22689</v>
      </c>
      <c r="S851" s="30">
        <f t="shared" si="71"/>
        <v>2.8411913261933095</v>
      </c>
      <c r="T851" s="9">
        <f t="shared" si="72"/>
        <v>0.31155937602988032</v>
      </c>
      <c r="U851" s="9">
        <f t="shared" si="73"/>
        <v>5.2908381852136664E-2</v>
      </c>
      <c r="V851" s="9">
        <f t="shared" si="74"/>
        <v>0.65652806766999883</v>
      </c>
    </row>
    <row r="852" spans="1:22" x14ac:dyDescent="0.35">
      <c r="A852" s="52">
        <v>49595</v>
      </c>
      <c r="B852" s="31">
        <v>46118</v>
      </c>
      <c r="C852" s="7" t="s">
        <v>337</v>
      </c>
      <c r="D852" s="7">
        <v>353</v>
      </c>
      <c r="E852" s="10">
        <f>IFERROR(SUMIFS('Base bordo CD'!M$2:M$875,'Base bordo CD'!D$2:D$875,A852,'Base bordo CD'!A$2:A$875,B852,'Base bordo CD'!L$2:L$875,"CORTE DE CANA MECANIZADO"),0)</f>
        <v>6.3025000000000002</v>
      </c>
      <c r="F852" s="10">
        <f>IFERROR(SUMIFS('Base bordo CD'!M$2:M$875,'Base bordo CD'!D$2:D$875,A852,'Base bordo CD'!A$2:A$875,B852,'Base bordo CD'!L$2:L$875,"MANOBRA"),0)</f>
        <v>1.0702777777777777</v>
      </c>
      <c r="G852" s="10">
        <f>IFERROR(SUMIFS('Base bordo CD'!M$2:M$875,'Base bordo CD'!D$2:D$875,A852,'Base bordo CD'!A$2:A$875,B852,'Base bordo CD'!L$2:L$875,"DESLOCAMENTO"),0)</f>
        <v>0.64555555555555555</v>
      </c>
      <c r="H852" s="10">
        <f>IFERROR(SUMIFS('Base bordo CD'!M$2:M$875,'Base bordo CD'!D$2:D$875,A852,'Base bordo CD'!A$2:A$875,B852,'Base bordo CD'!L$2:L$875,"AGUARDANDO MANOBRA DE TRANSBORDO"),0)+IFERROR(SUMIFS('Base bordo CD'!M$2:M$875,'Base bordo CD'!D$2:D$875,A852,'Base bordo CD'!A$2:A$875,B852,'Base bordo CD'!L$2:L$875,"FALTA DE TRANSBORDO"),0)</f>
        <v>0.84305555555555556</v>
      </c>
      <c r="I852" s="10">
        <f>IFERROR(SUMIFS('Base bordo CD'!M$2:M$875,'Base bordo CD'!D$2:D$875,A852,'Base bordo CD'!A$2:A$875,B852,'Base bordo CD'!L$2:L$875,"PARADA POR CONDICOES CLIMATICAS"),0)+IFERROR(SUMIFS('Base bordo CD'!M$2:M$875,'Base bordo CD'!D$2:D$875,A852,'Base bordo CD'!A$2:A$875,B852,'Base bordo CD'!L$2:L$875,"TEMPO INDETERMINADO"),0)</f>
        <v>0</v>
      </c>
      <c r="J852" s="10">
        <f>IFERROR(SUMIFS('Base bordo CD'!M$2:M$875,'Base bordo CD'!D$2:D$875,A852,'Base bordo CD'!A$2:A$875,B852,'Base bordo CD'!L$2:L$875,"LIMITAÇÃO INDÚSTRIA"),0)</f>
        <v>9.8199999999999985</v>
      </c>
      <c r="K852" s="10">
        <f>IFERROR(SUMIFS('Base bordo CD'!M$2:M$875,'Base bordo CD'!D$2:D$875,A852,'Base bordo CD'!A$2:A$875,B852,'Base bordo CD'!L$2:L$875,"MAN CORRETIVA*"),0)+IFERROR(SUMIFS('Base bordo CD'!M$2:M$875,'Base bordo CD'!D$2:D$875,A852,'Base bordo CD'!A$2:A$875,B852,'Base bordo CD'!L$2:L$875,"AGUARDANDO MANUTENCAO*"),0)+IFERROR(SUMIFS('Base bordo CD'!M$2:M$875,'Base bordo CD'!D$2:D$875,A852,'Base bordo CD'!A$2:A$875,B852,'Base bordo CD'!L$2:L$875,"TROCA DE FAQUINHA"),0)+IFERROR(SUMIFS('Base bordo CD'!M$2:M$875,'Base bordo CD'!D$2:D$875,A852,'Base bordo CD'!A$2:A$875,B852,'Base bordo CD'!L$2:L$875,"LIMPEZA*"),0)</f>
        <v>0.9738888888888888</v>
      </c>
      <c r="L852" s="10">
        <f>IFERROR(SUMIFS('Base bordo CD'!M$2:M$875,'Base bordo CD'!D$2:D$875,A852,'Base bordo CD'!A$2:A$875,B852,'Base bordo CD'!L$2:L$875,"PATIO - RESERVA"),0)</f>
        <v>0</v>
      </c>
      <c r="M852" s="10">
        <f>IFERROR(SUMIFS('Base bordo CD'!M$2:M$875,'Base bordo CD'!D$2:D$875,A852,'Base bordo CD'!A$2:A$875,B852,'Base bordo CD'!L$2:L$875,"SEM APONTAMENTO"),0)</f>
        <v>0</v>
      </c>
      <c r="N852" s="10">
        <f>IFERROR(SUMIFS('Base bordo CD'!M$2:M$875,'Base bordo CD'!D$2:D$875,A852,'Base bordo CD'!A$2:A$875,B852,'Base bordo CD'!L$2:L$875,"FALTA DE CAMINHÃO"),0)+IFERROR(SUMIFS('Base bordo CD'!M$2:M$875,'Base bordo CD'!D$2:D$875,A852,'Base bordo CD'!A$2:A$875,B852,'Base bordo CD'!L$2:L$875,"FALTA DE COMBUSTIVEL"),0)+IFERROR(SUMIFS('Base bordo CD'!M$2:M$875,'Base bordo CD'!D$2:D$875,A852,'Base bordo CD'!A$2:A$875,B852,'Base bordo CD'!L$2:L$875,"FALTA DE MOTORIST*"),0)</f>
        <v>0</v>
      </c>
      <c r="O852" s="10">
        <f t="shared" si="70"/>
        <v>0.5736111111111093</v>
      </c>
      <c r="P852" s="10">
        <f>IFERROR(SUMIFS('Base bordo CD'!M$2:M$875,'Base bordo CD'!D$2:D$875,A852,'Base bordo CD'!A$2:A$875,B852),0)</f>
        <v>20.228888888888886</v>
      </c>
      <c r="Q852" s="10">
        <f>IFERROR(SUMIFS('Base bordo CD'!O$2:O$875,'Base bordo CD'!D$2:D$875,A852,'Base bordo CD'!A$2:A$875,B852,'Base bordo CD'!L$2:L$875,"CORTE DE CANA MECANIZADO"),0)</f>
        <v>64463.79</v>
      </c>
      <c r="R852" s="10">
        <f>IFERROR(SUMIFS('Base bordo CD'!Q$2:Q$875,'Base bordo CD'!D$2:D$875,A852,'Base bordo CD'!A$2:A$875,B852,'Base bordo CD'!L$2:L$875,"CORTE DE CANA MECANIZADO"),0)</f>
        <v>22689</v>
      </c>
      <c r="S852" s="30">
        <f t="shared" si="71"/>
        <v>2.8411913261933095</v>
      </c>
      <c r="T852" s="9">
        <f t="shared" si="72"/>
        <v>0.31155937602988032</v>
      </c>
      <c r="U852" s="9">
        <f t="shared" si="73"/>
        <v>5.2908381852136664E-2</v>
      </c>
      <c r="V852" s="9">
        <f t="shared" si="74"/>
        <v>0.65652806766999883</v>
      </c>
    </row>
    <row r="853" spans="1:22" x14ac:dyDescent="0.35">
      <c r="A853" s="52">
        <v>49595</v>
      </c>
      <c r="B853" s="31">
        <v>46118</v>
      </c>
      <c r="C853" s="7" t="s">
        <v>337</v>
      </c>
      <c r="D853" s="7">
        <v>353</v>
      </c>
      <c r="E853" s="10">
        <f>IFERROR(SUMIFS('Base bordo CD'!M$2:M$875,'Base bordo CD'!D$2:D$875,A853,'Base bordo CD'!A$2:A$875,B853,'Base bordo CD'!L$2:L$875,"CORTE DE CANA MECANIZADO"),0)</f>
        <v>6.3025000000000002</v>
      </c>
      <c r="F853" s="10">
        <f>IFERROR(SUMIFS('Base bordo CD'!M$2:M$875,'Base bordo CD'!D$2:D$875,A853,'Base bordo CD'!A$2:A$875,B853,'Base bordo CD'!L$2:L$875,"MANOBRA"),0)</f>
        <v>1.0702777777777777</v>
      </c>
      <c r="G853" s="10">
        <f>IFERROR(SUMIFS('Base bordo CD'!M$2:M$875,'Base bordo CD'!D$2:D$875,A853,'Base bordo CD'!A$2:A$875,B853,'Base bordo CD'!L$2:L$875,"DESLOCAMENTO"),0)</f>
        <v>0.64555555555555555</v>
      </c>
      <c r="H853" s="10">
        <f>IFERROR(SUMIFS('Base bordo CD'!M$2:M$875,'Base bordo CD'!D$2:D$875,A853,'Base bordo CD'!A$2:A$875,B853,'Base bordo CD'!L$2:L$875,"AGUARDANDO MANOBRA DE TRANSBORDO"),0)+IFERROR(SUMIFS('Base bordo CD'!M$2:M$875,'Base bordo CD'!D$2:D$875,A853,'Base bordo CD'!A$2:A$875,B853,'Base bordo CD'!L$2:L$875,"FALTA DE TRANSBORDO"),0)</f>
        <v>0.84305555555555556</v>
      </c>
      <c r="I853" s="10">
        <f>IFERROR(SUMIFS('Base bordo CD'!M$2:M$875,'Base bordo CD'!D$2:D$875,A853,'Base bordo CD'!A$2:A$875,B853,'Base bordo CD'!L$2:L$875,"PARADA POR CONDICOES CLIMATICAS"),0)+IFERROR(SUMIFS('Base bordo CD'!M$2:M$875,'Base bordo CD'!D$2:D$875,A853,'Base bordo CD'!A$2:A$875,B853,'Base bordo CD'!L$2:L$875,"TEMPO INDETERMINADO"),0)</f>
        <v>0</v>
      </c>
      <c r="J853" s="10">
        <f>IFERROR(SUMIFS('Base bordo CD'!M$2:M$875,'Base bordo CD'!D$2:D$875,A853,'Base bordo CD'!A$2:A$875,B853,'Base bordo CD'!L$2:L$875,"LIMITAÇÃO INDÚSTRIA"),0)</f>
        <v>9.8199999999999985</v>
      </c>
      <c r="K853" s="10">
        <f>IFERROR(SUMIFS('Base bordo CD'!M$2:M$875,'Base bordo CD'!D$2:D$875,A853,'Base bordo CD'!A$2:A$875,B853,'Base bordo CD'!L$2:L$875,"MAN CORRETIVA*"),0)+IFERROR(SUMIFS('Base bordo CD'!M$2:M$875,'Base bordo CD'!D$2:D$875,A853,'Base bordo CD'!A$2:A$875,B853,'Base bordo CD'!L$2:L$875,"AGUARDANDO MANUTENCAO*"),0)+IFERROR(SUMIFS('Base bordo CD'!M$2:M$875,'Base bordo CD'!D$2:D$875,A853,'Base bordo CD'!A$2:A$875,B853,'Base bordo CD'!L$2:L$875,"TROCA DE FAQUINHA"),0)+IFERROR(SUMIFS('Base bordo CD'!M$2:M$875,'Base bordo CD'!D$2:D$875,A853,'Base bordo CD'!A$2:A$875,B853,'Base bordo CD'!L$2:L$875,"LIMPEZA*"),0)</f>
        <v>0.9738888888888888</v>
      </c>
      <c r="L853" s="10">
        <f>IFERROR(SUMIFS('Base bordo CD'!M$2:M$875,'Base bordo CD'!D$2:D$875,A853,'Base bordo CD'!A$2:A$875,B853,'Base bordo CD'!L$2:L$875,"PATIO - RESERVA"),0)</f>
        <v>0</v>
      </c>
      <c r="M853" s="10">
        <f>IFERROR(SUMIFS('Base bordo CD'!M$2:M$875,'Base bordo CD'!D$2:D$875,A853,'Base bordo CD'!A$2:A$875,B853,'Base bordo CD'!L$2:L$875,"SEM APONTAMENTO"),0)</f>
        <v>0</v>
      </c>
      <c r="N853" s="10">
        <f>IFERROR(SUMIFS('Base bordo CD'!M$2:M$875,'Base bordo CD'!D$2:D$875,A853,'Base bordo CD'!A$2:A$875,B853,'Base bordo CD'!L$2:L$875,"FALTA DE CAMINHÃO"),0)+IFERROR(SUMIFS('Base bordo CD'!M$2:M$875,'Base bordo CD'!D$2:D$875,A853,'Base bordo CD'!A$2:A$875,B853,'Base bordo CD'!L$2:L$875,"FALTA DE COMBUSTIVEL"),0)+IFERROR(SUMIFS('Base bordo CD'!M$2:M$875,'Base bordo CD'!D$2:D$875,A853,'Base bordo CD'!A$2:A$875,B853,'Base bordo CD'!L$2:L$875,"FALTA DE MOTORIST*"),0)</f>
        <v>0</v>
      </c>
      <c r="O853" s="10">
        <f t="shared" si="70"/>
        <v>0.5736111111111093</v>
      </c>
      <c r="P853" s="10">
        <f>IFERROR(SUMIFS('Base bordo CD'!M$2:M$875,'Base bordo CD'!D$2:D$875,A853,'Base bordo CD'!A$2:A$875,B853),0)</f>
        <v>20.228888888888886</v>
      </c>
      <c r="Q853" s="10">
        <f>IFERROR(SUMIFS('Base bordo CD'!O$2:O$875,'Base bordo CD'!D$2:D$875,A853,'Base bordo CD'!A$2:A$875,B853,'Base bordo CD'!L$2:L$875,"CORTE DE CANA MECANIZADO"),0)</f>
        <v>64463.79</v>
      </c>
      <c r="R853" s="10">
        <f>IFERROR(SUMIFS('Base bordo CD'!Q$2:Q$875,'Base bordo CD'!D$2:D$875,A853,'Base bordo CD'!A$2:A$875,B853,'Base bordo CD'!L$2:L$875,"CORTE DE CANA MECANIZADO"),0)</f>
        <v>22689</v>
      </c>
      <c r="S853" s="30">
        <f t="shared" si="71"/>
        <v>2.8411913261933095</v>
      </c>
      <c r="T853" s="9">
        <f t="shared" si="72"/>
        <v>0.31155937602988032</v>
      </c>
      <c r="U853" s="9">
        <f t="shared" si="73"/>
        <v>5.2908381852136664E-2</v>
      </c>
      <c r="V853" s="9">
        <f t="shared" si="74"/>
        <v>0.65652806766999883</v>
      </c>
    </row>
    <row r="854" spans="1:22" x14ac:dyDescent="0.35">
      <c r="A854" s="52">
        <v>49595</v>
      </c>
      <c r="B854" s="31">
        <v>46118</v>
      </c>
      <c r="C854" s="7" t="s">
        <v>337</v>
      </c>
      <c r="D854" s="7">
        <v>353</v>
      </c>
      <c r="E854" s="10">
        <f>IFERROR(SUMIFS('Base bordo CD'!M$2:M$875,'Base bordo CD'!D$2:D$875,A854,'Base bordo CD'!A$2:A$875,B854,'Base bordo CD'!L$2:L$875,"CORTE DE CANA MECANIZADO"),0)</f>
        <v>6.3025000000000002</v>
      </c>
      <c r="F854" s="10">
        <f>IFERROR(SUMIFS('Base bordo CD'!M$2:M$875,'Base bordo CD'!D$2:D$875,A854,'Base bordo CD'!A$2:A$875,B854,'Base bordo CD'!L$2:L$875,"MANOBRA"),0)</f>
        <v>1.0702777777777777</v>
      </c>
      <c r="G854" s="10">
        <f>IFERROR(SUMIFS('Base bordo CD'!M$2:M$875,'Base bordo CD'!D$2:D$875,A854,'Base bordo CD'!A$2:A$875,B854,'Base bordo CD'!L$2:L$875,"DESLOCAMENTO"),0)</f>
        <v>0.64555555555555555</v>
      </c>
      <c r="H854" s="10">
        <f>IFERROR(SUMIFS('Base bordo CD'!M$2:M$875,'Base bordo CD'!D$2:D$875,A854,'Base bordo CD'!A$2:A$875,B854,'Base bordo CD'!L$2:L$875,"AGUARDANDO MANOBRA DE TRANSBORDO"),0)+IFERROR(SUMIFS('Base bordo CD'!M$2:M$875,'Base bordo CD'!D$2:D$875,A854,'Base bordo CD'!A$2:A$875,B854,'Base bordo CD'!L$2:L$875,"FALTA DE TRANSBORDO"),0)</f>
        <v>0.84305555555555556</v>
      </c>
      <c r="I854" s="10">
        <f>IFERROR(SUMIFS('Base bordo CD'!M$2:M$875,'Base bordo CD'!D$2:D$875,A854,'Base bordo CD'!A$2:A$875,B854,'Base bordo CD'!L$2:L$875,"PARADA POR CONDICOES CLIMATICAS"),0)+IFERROR(SUMIFS('Base bordo CD'!M$2:M$875,'Base bordo CD'!D$2:D$875,A854,'Base bordo CD'!A$2:A$875,B854,'Base bordo CD'!L$2:L$875,"TEMPO INDETERMINADO"),0)</f>
        <v>0</v>
      </c>
      <c r="J854" s="10">
        <f>IFERROR(SUMIFS('Base bordo CD'!M$2:M$875,'Base bordo CD'!D$2:D$875,A854,'Base bordo CD'!A$2:A$875,B854,'Base bordo CD'!L$2:L$875,"LIMITAÇÃO INDÚSTRIA"),0)</f>
        <v>9.8199999999999985</v>
      </c>
      <c r="K854" s="10">
        <f>IFERROR(SUMIFS('Base bordo CD'!M$2:M$875,'Base bordo CD'!D$2:D$875,A854,'Base bordo CD'!A$2:A$875,B854,'Base bordo CD'!L$2:L$875,"MAN CORRETIVA*"),0)+IFERROR(SUMIFS('Base bordo CD'!M$2:M$875,'Base bordo CD'!D$2:D$875,A854,'Base bordo CD'!A$2:A$875,B854,'Base bordo CD'!L$2:L$875,"AGUARDANDO MANUTENCAO*"),0)+IFERROR(SUMIFS('Base bordo CD'!M$2:M$875,'Base bordo CD'!D$2:D$875,A854,'Base bordo CD'!A$2:A$875,B854,'Base bordo CD'!L$2:L$875,"TROCA DE FAQUINHA"),0)+IFERROR(SUMIFS('Base bordo CD'!M$2:M$875,'Base bordo CD'!D$2:D$875,A854,'Base bordo CD'!A$2:A$875,B854,'Base bordo CD'!L$2:L$875,"LIMPEZA*"),0)</f>
        <v>0.9738888888888888</v>
      </c>
      <c r="L854" s="10">
        <f>IFERROR(SUMIFS('Base bordo CD'!M$2:M$875,'Base bordo CD'!D$2:D$875,A854,'Base bordo CD'!A$2:A$875,B854,'Base bordo CD'!L$2:L$875,"PATIO - RESERVA"),0)</f>
        <v>0</v>
      </c>
      <c r="M854" s="10">
        <f>IFERROR(SUMIFS('Base bordo CD'!M$2:M$875,'Base bordo CD'!D$2:D$875,A854,'Base bordo CD'!A$2:A$875,B854,'Base bordo CD'!L$2:L$875,"SEM APONTAMENTO"),0)</f>
        <v>0</v>
      </c>
      <c r="N854" s="10">
        <f>IFERROR(SUMIFS('Base bordo CD'!M$2:M$875,'Base bordo CD'!D$2:D$875,A854,'Base bordo CD'!A$2:A$875,B854,'Base bordo CD'!L$2:L$875,"FALTA DE CAMINHÃO"),0)+IFERROR(SUMIFS('Base bordo CD'!M$2:M$875,'Base bordo CD'!D$2:D$875,A854,'Base bordo CD'!A$2:A$875,B854,'Base bordo CD'!L$2:L$875,"FALTA DE COMBUSTIVEL"),0)+IFERROR(SUMIFS('Base bordo CD'!M$2:M$875,'Base bordo CD'!D$2:D$875,A854,'Base bordo CD'!A$2:A$875,B854,'Base bordo CD'!L$2:L$875,"FALTA DE MOTORIST*"),0)</f>
        <v>0</v>
      </c>
      <c r="O854" s="10">
        <f t="shared" si="70"/>
        <v>0.5736111111111093</v>
      </c>
      <c r="P854" s="10">
        <f>IFERROR(SUMIFS('Base bordo CD'!M$2:M$875,'Base bordo CD'!D$2:D$875,A854,'Base bordo CD'!A$2:A$875,B854),0)</f>
        <v>20.228888888888886</v>
      </c>
      <c r="Q854" s="10">
        <f>IFERROR(SUMIFS('Base bordo CD'!O$2:O$875,'Base bordo CD'!D$2:D$875,A854,'Base bordo CD'!A$2:A$875,B854,'Base bordo CD'!L$2:L$875,"CORTE DE CANA MECANIZADO"),0)</f>
        <v>64463.79</v>
      </c>
      <c r="R854" s="10">
        <f>IFERROR(SUMIFS('Base bordo CD'!Q$2:Q$875,'Base bordo CD'!D$2:D$875,A854,'Base bordo CD'!A$2:A$875,B854,'Base bordo CD'!L$2:L$875,"CORTE DE CANA MECANIZADO"),0)</f>
        <v>22689</v>
      </c>
      <c r="S854" s="30">
        <f t="shared" si="71"/>
        <v>2.8411913261933095</v>
      </c>
      <c r="T854" s="9">
        <f t="shared" si="72"/>
        <v>0.31155937602988032</v>
      </c>
      <c r="U854" s="9">
        <f t="shared" si="73"/>
        <v>5.2908381852136664E-2</v>
      </c>
      <c r="V854" s="9">
        <f t="shared" si="74"/>
        <v>0.65652806766999883</v>
      </c>
    </row>
    <row r="855" spans="1:22" x14ac:dyDescent="0.35">
      <c r="A855" s="52">
        <v>49595</v>
      </c>
      <c r="B855" s="31">
        <v>46118</v>
      </c>
      <c r="C855" s="7" t="s">
        <v>337</v>
      </c>
      <c r="D855" s="7">
        <v>353</v>
      </c>
      <c r="E855" s="10">
        <f>IFERROR(SUMIFS('Base bordo CD'!M$2:M$875,'Base bordo CD'!D$2:D$875,A855,'Base bordo CD'!A$2:A$875,B855,'Base bordo CD'!L$2:L$875,"CORTE DE CANA MECANIZADO"),0)</f>
        <v>6.3025000000000002</v>
      </c>
      <c r="F855" s="10">
        <f>IFERROR(SUMIFS('Base bordo CD'!M$2:M$875,'Base bordo CD'!D$2:D$875,A855,'Base bordo CD'!A$2:A$875,B855,'Base bordo CD'!L$2:L$875,"MANOBRA"),0)</f>
        <v>1.0702777777777777</v>
      </c>
      <c r="G855" s="10">
        <f>IFERROR(SUMIFS('Base bordo CD'!M$2:M$875,'Base bordo CD'!D$2:D$875,A855,'Base bordo CD'!A$2:A$875,B855,'Base bordo CD'!L$2:L$875,"DESLOCAMENTO"),0)</f>
        <v>0.64555555555555555</v>
      </c>
      <c r="H855" s="10">
        <f>IFERROR(SUMIFS('Base bordo CD'!M$2:M$875,'Base bordo CD'!D$2:D$875,A855,'Base bordo CD'!A$2:A$875,B855,'Base bordo CD'!L$2:L$875,"AGUARDANDO MANOBRA DE TRANSBORDO"),0)+IFERROR(SUMIFS('Base bordo CD'!M$2:M$875,'Base bordo CD'!D$2:D$875,A855,'Base bordo CD'!A$2:A$875,B855,'Base bordo CD'!L$2:L$875,"FALTA DE TRANSBORDO"),0)</f>
        <v>0.84305555555555556</v>
      </c>
      <c r="I855" s="10">
        <f>IFERROR(SUMIFS('Base bordo CD'!M$2:M$875,'Base bordo CD'!D$2:D$875,A855,'Base bordo CD'!A$2:A$875,B855,'Base bordo CD'!L$2:L$875,"PARADA POR CONDICOES CLIMATICAS"),0)+IFERROR(SUMIFS('Base bordo CD'!M$2:M$875,'Base bordo CD'!D$2:D$875,A855,'Base bordo CD'!A$2:A$875,B855,'Base bordo CD'!L$2:L$875,"TEMPO INDETERMINADO"),0)</f>
        <v>0</v>
      </c>
      <c r="J855" s="10">
        <f>IFERROR(SUMIFS('Base bordo CD'!M$2:M$875,'Base bordo CD'!D$2:D$875,A855,'Base bordo CD'!A$2:A$875,B855,'Base bordo CD'!L$2:L$875,"LIMITAÇÃO INDÚSTRIA"),0)</f>
        <v>9.8199999999999985</v>
      </c>
      <c r="K855" s="10">
        <f>IFERROR(SUMIFS('Base bordo CD'!M$2:M$875,'Base bordo CD'!D$2:D$875,A855,'Base bordo CD'!A$2:A$875,B855,'Base bordo CD'!L$2:L$875,"MAN CORRETIVA*"),0)+IFERROR(SUMIFS('Base bordo CD'!M$2:M$875,'Base bordo CD'!D$2:D$875,A855,'Base bordo CD'!A$2:A$875,B855,'Base bordo CD'!L$2:L$875,"AGUARDANDO MANUTENCAO*"),0)+IFERROR(SUMIFS('Base bordo CD'!M$2:M$875,'Base bordo CD'!D$2:D$875,A855,'Base bordo CD'!A$2:A$875,B855,'Base bordo CD'!L$2:L$875,"TROCA DE FAQUINHA"),0)+IFERROR(SUMIFS('Base bordo CD'!M$2:M$875,'Base bordo CD'!D$2:D$875,A855,'Base bordo CD'!A$2:A$875,B855,'Base bordo CD'!L$2:L$875,"LIMPEZA*"),0)</f>
        <v>0.9738888888888888</v>
      </c>
      <c r="L855" s="10">
        <f>IFERROR(SUMIFS('Base bordo CD'!M$2:M$875,'Base bordo CD'!D$2:D$875,A855,'Base bordo CD'!A$2:A$875,B855,'Base bordo CD'!L$2:L$875,"PATIO - RESERVA"),0)</f>
        <v>0</v>
      </c>
      <c r="M855" s="10">
        <f>IFERROR(SUMIFS('Base bordo CD'!M$2:M$875,'Base bordo CD'!D$2:D$875,A855,'Base bordo CD'!A$2:A$875,B855,'Base bordo CD'!L$2:L$875,"SEM APONTAMENTO"),0)</f>
        <v>0</v>
      </c>
      <c r="N855" s="10">
        <f>IFERROR(SUMIFS('Base bordo CD'!M$2:M$875,'Base bordo CD'!D$2:D$875,A855,'Base bordo CD'!A$2:A$875,B855,'Base bordo CD'!L$2:L$875,"FALTA DE CAMINHÃO"),0)+IFERROR(SUMIFS('Base bordo CD'!M$2:M$875,'Base bordo CD'!D$2:D$875,A855,'Base bordo CD'!A$2:A$875,B855,'Base bordo CD'!L$2:L$875,"FALTA DE COMBUSTIVEL"),0)+IFERROR(SUMIFS('Base bordo CD'!M$2:M$875,'Base bordo CD'!D$2:D$875,A855,'Base bordo CD'!A$2:A$875,B855,'Base bordo CD'!L$2:L$875,"FALTA DE MOTORIST*"),0)</f>
        <v>0</v>
      </c>
      <c r="O855" s="10">
        <f t="shared" si="70"/>
        <v>0.5736111111111093</v>
      </c>
      <c r="P855" s="10">
        <f>IFERROR(SUMIFS('Base bordo CD'!M$2:M$875,'Base bordo CD'!D$2:D$875,A855,'Base bordo CD'!A$2:A$875,B855),0)</f>
        <v>20.228888888888886</v>
      </c>
      <c r="Q855" s="10">
        <f>IFERROR(SUMIFS('Base bordo CD'!O$2:O$875,'Base bordo CD'!D$2:D$875,A855,'Base bordo CD'!A$2:A$875,B855,'Base bordo CD'!L$2:L$875,"CORTE DE CANA MECANIZADO"),0)</f>
        <v>64463.79</v>
      </c>
      <c r="R855" s="10">
        <f>IFERROR(SUMIFS('Base bordo CD'!Q$2:Q$875,'Base bordo CD'!D$2:D$875,A855,'Base bordo CD'!A$2:A$875,B855,'Base bordo CD'!L$2:L$875,"CORTE DE CANA MECANIZADO"),0)</f>
        <v>22689</v>
      </c>
      <c r="S855" s="30">
        <f t="shared" si="71"/>
        <v>2.8411913261933095</v>
      </c>
      <c r="T855" s="9">
        <f t="shared" si="72"/>
        <v>0.31155937602988032</v>
      </c>
      <c r="U855" s="9">
        <f t="shared" si="73"/>
        <v>5.2908381852136664E-2</v>
      </c>
      <c r="V855" s="9">
        <f t="shared" si="74"/>
        <v>0.65652806766999883</v>
      </c>
    </row>
    <row r="856" spans="1:22" x14ac:dyDescent="0.35">
      <c r="A856" s="52">
        <v>49595</v>
      </c>
      <c r="B856" s="31">
        <v>46118</v>
      </c>
      <c r="C856" s="7" t="s">
        <v>337</v>
      </c>
      <c r="D856" s="7">
        <v>353</v>
      </c>
      <c r="E856" s="10">
        <f>IFERROR(SUMIFS('Base bordo CD'!M$2:M$875,'Base bordo CD'!D$2:D$875,A856,'Base bordo CD'!A$2:A$875,B856,'Base bordo CD'!L$2:L$875,"CORTE DE CANA MECANIZADO"),0)</f>
        <v>6.3025000000000002</v>
      </c>
      <c r="F856" s="10">
        <f>IFERROR(SUMIFS('Base bordo CD'!M$2:M$875,'Base bordo CD'!D$2:D$875,A856,'Base bordo CD'!A$2:A$875,B856,'Base bordo CD'!L$2:L$875,"MANOBRA"),0)</f>
        <v>1.0702777777777777</v>
      </c>
      <c r="G856" s="10">
        <f>IFERROR(SUMIFS('Base bordo CD'!M$2:M$875,'Base bordo CD'!D$2:D$875,A856,'Base bordo CD'!A$2:A$875,B856,'Base bordo CD'!L$2:L$875,"DESLOCAMENTO"),0)</f>
        <v>0.64555555555555555</v>
      </c>
      <c r="H856" s="10">
        <f>IFERROR(SUMIFS('Base bordo CD'!M$2:M$875,'Base bordo CD'!D$2:D$875,A856,'Base bordo CD'!A$2:A$875,B856,'Base bordo CD'!L$2:L$875,"AGUARDANDO MANOBRA DE TRANSBORDO"),0)+IFERROR(SUMIFS('Base bordo CD'!M$2:M$875,'Base bordo CD'!D$2:D$875,A856,'Base bordo CD'!A$2:A$875,B856,'Base bordo CD'!L$2:L$875,"FALTA DE TRANSBORDO"),0)</f>
        <v>0.84305555555555556</v>
      </c>
      <c r="I856" s="10">
        <f>IFERROR(SUMIFS('Base bordo CD'!M$2:M$875,'Base bordo CD'!D$2:D$875,A856,'Base bordo CD'!A$2:A$875,B856,'Base bordo CD'!L$2:L$875,"PARADA POR CONDICOES CLIMATICAS"),0)+IFERROR(SUMIFS('Base bordo CD'!M$2:M$875,'Base bordo CD'!D$2:D$875,A856,'Base bordo CD'!A$2:A$875,B856,'Base bordo CD'!L$2:L$875,"TEMPO INDETERMINADO"),0)</f>
        <v>0</v>
      </c>
      <c r="J856" s="10">
        <f>IFERROR(SUMIFS('Base bordo CD'!M$2:M$875,'Base bordo CD'!D$2:D$875,A856,'Base bordo CD'!A$2:A$875,B856,'Base bordo CD'!L$2:L$875,"LIMITAÇÃO INDÚSTRIA"),0)</f>
        <v>9.8199999999999985</v>
      </c>
      <c r="K856" s="10">
        <f>IFERROR(SUMIFS('Base bordo CD'!M$2:M$875,'Base bordo CD'!D$2:D$875,A856,'Base bordo CD'!A$2:A$875,B856,'Base bordo CD'!L$2:L$875,"MAN CORRETIVA*"),0)+IFERROR(SUMIFS('Base bordo CD'!M$2:M$875,'Base bordo CD'!D$2:D$875,A856,'Base bordo CD'!A$2:A$875,B856,'Base bordo CD'!L$2:L$875,"AGUARDANDO MANUTENCAO*"),0)+IFERROR(SUMIFS('Base bordo CD'!M$2:M$875,'Base bordo CD'!D$2:D$875,A856,'Base bordo CD'!A$2:A$875,B856,'Base bordo CD'!L$2:L$875,"TROCA DE FAQUINHA"),0)+IFERROR(SUMIFS('Base bordo CD'!M$2:M$875,'Base bordo CD'!D$2:D$875,A856,'Base bordo CD'!A$2:A$875,B856,'Base bordo CD'!L$2:L$875,"LIMPEZA*"),0)</f>
        <v>0.9738888888888888</v>
      </c>
      <c r="L856" s="10">
        <f>IFERROR(SUMIFS('Base bordo CD'!M$2:M$875,'Base bordo CD'!D$2:D$875,A856,'Base bordo CD'!A$2:A$875,B856,'Base bordo CD'!L$2:L$875,"PATIO - RESERVA"),0)</f>
        <v>0</v>
      </c>
      <c r="M856" s="10">
        <f>IFERROR(SUMIFS('Base bordo CD'!M$2:M$875,'Base bordo CD'!D$2:D$875,A856,'Base bordo CD'!A$2:A$875,B856,'Base bordo CD'!L$2:L$875,"SEM APONTAMENTO"),0)</f>
        <v>0</v>
      </c>
      <c r="N856" s="10">
        <f>IFERROR(SUMIFS('Base bordo CD'!M$2:M$875,'Base bordo CD'!D$2:D$875,A856,'Base bordo CD'!A$2:A$875,B856,'Base bordo CD'!L$2:L$875,"FALTA DE CAMINHÃO"),0)+IFERROR(SUMIFS('Base bordo CD'!M$2:M$875,'Base bordo CD'!D$2:D$875,A856,'Base bordo CD'!A$2:A$875,B856,'Base bordo CD'!L$2:L$875,"FALTA DE COMBUSTIVEL"),0)+IFERROR(SUMIFS('Base bordo CD'!M$2:M$875,'Base bordo CD'!D$2:D$875,A856,'Base bordo CD'!A$2:A$875,B856,'Base bordo CD'!L$2:L$875,"FALTA DE MOTORIST*"),0)</f>
        <v>0</v>
      </c>
      <c r="O856" s="10">
        <f t="shared" si="70"/>
        <v>0.5736111111111093</v>
      </c>
      <c r="P856" s="10">
        <f>IFERROR(SUMIFS('Base bordo CD'!M$2:M$875,'Base bordo CD'!D$2:D$875,A856,'Base bordo CD'!A$2:A$875,B856),0)</f>
        <v>20.228888888888886</v>
      </c>
      <c r="Q856" s="10">
        <f>IFERROR(SUMIFS('Base bordo CD'!O$2:O$875,'Base bordo CD'!D$2:D$875,A856,'Base bordo CD'!A$2:A$875,B856,'Base bordo CD'!L$2:L$875,"CORTE DE CANA MECANIZADO"),0)</f>
        <v>64463.79</v>
      </c>
      <c r="R856" s="10">
        <f>IFERROR(SUMIFS('Base bordo CD'!Q$2:Q$875,'Base bordo CD'!D$2:D$875,A856,'Base bordo CD'!A$2:A$875,B856,'Base bordo CD'!L$2:L$875,"CORTE DE CANA MECANIZADO"),0)</f>
        <v>22689</v>
      </c>
      <c r="S856" s="30">
        <f t="shared" si="71"/>
        <v>2.8411913261933095</v>
      </c>
      <c r="T856" s="9">
        <f t="shared" si="72"/>
        <v>0.31155937602988032</v>
      </c>
      <c r="U856" s="9">
        <f t="shared" si="73"/>
        <v>5.2908381852136664E-2</v>
      </c>
      <c r="V856" s="9">
        <f t="shared" si="74"/>
        <v>0.65652806766999883</v>
      </c>
    </row>
    <row r="857" spans="1:22" x14ac:dyDescent="0.35">
      <c r="A857" s="52">
        <v>49595</v>
      </c>
      <c r="B857" s="31">
        <v>46118</v>
      </c>
      <c r="C857" s="7" t="s">
        <v>337</v>
      </c>
      <c r="D857" s="7">
        <v>353</v>
      </c>
      <c r="E857" s="10">
        <f>IFERROR(SUMIFS('Base bordo CD'!M$2:M$875,'Base bordo CD'!D$2:D$875,A857,'Base bordo CD'!A$2:A$875,B857,'Base bordo CD'!L$2:L$875,"CORTE DE CANA MECANIZADO"),0)</f>
        <v>6.3025000000000002</v>
      </c>
      <c r="F857" s="10">
        <f>IFERROR(SUMIFS('Base bordo CD'!M$2:M$875,'Base bordo CD'!D$2:D$875,A857,'Base bordo CD'!A$2:A$875,B857,'Base bordo CD'!L$2:L$875,"MANOBRA"),0)</f>
        <v>1.0702777777777777</v>
      </c>
      <c r="G857" s="10">
        <f>IFERROR(SUMIFS('Base bordo CD'!M$2:M$875,'Base bordo CD'!D$2:D$875,A857,'Base bordo CD'!A$2:A$875,B857,'Base bordo CD'!L$2:L$875,"DESLOCAMENTO"),0)</f>
        <v>0.64555555555555555</v>
      </c>
      <c r="H857" s="10">
        <f>IFERROR(SUMIFS('Base bordo CD'!M$2:M$875,'Base bordo CD'!D$2:D$875,A857,'Base bordo CD'!A$2:A$875,B857,'Base bordo CD'!L$2:L$875,"AGUARDANDO MANOBRA DE TRANSBORDO"),0)+IFERROR(SUMIFS('Base bordo CD'!M$2:M$875,'Base bordo CD'!D$2:D$875,A857,'Base bordo CD'!A$2:A$875,B857,'Base bordo CD'!L$2:L$875,"FALTA DE TRANSBORDO"),0)</f>
        <v>0.84305555555555556</v>
      </c>
      <c r="I857" s="10">
        <f>IFERROR(SUMIFS('Base bordo CD'!M$2:M$875,'Base bordo CD'!D$2:D$875,A857,'Base bordo CD'!A$2:A$875,B857,'Base bordo CD'!L$2:L$875,"PARADA POR CONDICOES CLIMATICAS"),0)+IFERROR(SUMIFS('Base bordo CD'!M$2:M$875,'Base bordo CD'!D$2:D$875,A857,'Base bordo CD'!A$2:A$875,B857,'Base bordo CD'!L$2:L$875,"TEMPO INDETERMINADO"),0)</f>
        <v>0</v>
      </c>
      <c r="J857" s="10">
        <f>IFERROR(SUMIFS('Base bordo CD'!M$2:M$875,'Base bordo CD'!D$2:D$875,A857,'Base bordo CD'!A$2:A$875,B857,'Base bordo CD'!L$2:L$875,"LIMITAÇÃO INDÚSTRIA"),0)</f>
        <v>9.8199999999999985</v>
      </c>
      <c r="K857" s="10">
        <f>IFERROR(SUMIFS('Base bordo CD'!M$2:M$875,'Base bordo CD'!D$2:D$875,A857,'Base bordo CD'!A$2:A$875,B857,'Base bordo CD'!L$2:L$875,"MAN CORRETIVA*"),0)+IFERROR(SUMIFS('Base bordo CD'!M$2:M$875,'Base bordo CD'!D$2:D$875,A857,'Base bordo CD'!A$2:A$875,B857,'Base bordo CD'!L$2:L$875,"AGUARDANDO MANUTENCAO*"),0)+IFERROR(SUMIFS('Base bordo CD'!M$2:M$875,'Base bordo CD'!D$2:D$875,A857,'Base bordo CD'!A$2:A$875,B857,'Base bordo CD'!L$2:L$875,"TROCA DE FAQUINHA"),0)+IFERROR(SUMIFS('Base bordo CD'!M$2:M$875,'Base bordo CD'!D$2:D$875,A857,'Base bordo CD'!A$2:A$875,B857,'Base bordo CD'!L$2:L$875,"LIMPEZA*"),0)</f>
        <v>0.9738888888888888</v>
      </c>
      <c r="L857" s="10">
        <f>IFERROR(SUMIFS('Base bordo CD'!M$2:M$875,'Base bordo CD'!D$2:D$875,A857,'Base bordo CD'!A$2:A$875,B857,'Base bordo CD'!L$2:L$875,"PATIO - RESERVA"),0)</f>
        <v>0</v>
      </c>
      <c r="M857" s="10">
        <f>IFERROR(SUMIFS('Base bordo CD'!M$2:M$875,'Base bordo CD'!D$2:D$875,A857,'Base bordo CD'!A$2:A$875,B857,'Base bordo CD'!L$2:L$875,"SEM APONTAMENTO"),0)</f>
        <v>0</v>
      </c>
      <c r="N857" s="10">
        <f>IFERROR(SUMIFS('Base bordo CD'!M$2:M$875,'Base bordo CD'!D$2:D$875,A857,'Base bordo CD'!A$2:A$875,B857,'Base bordo CD'!L$2:L$875,"FALTA DE CAMINHÃO"),0)+IFERROR(SUMIFS('Base bordo CD'!M$2:M$875,'Base bordo CD'!D$2:D$875,A857,'Base bordo CD'!A$2:A$875,B857,'Base bordo CD'!L$2:L$875,"FALTA DE COMBUSTIVEL"),0)+IFERROR(SUMIFS('Base bordo CD'!M$2:M$875,'Base bordo CD'!D$2:D$875,A857,'Base bordo CD'!A$2:A$875,B857,'Base bordo CD'!L$2:L$875,"FALTA DE MOTORIST*"),0)</f>
        <v>0</v>
      </c>
      <c r="O857" s="10">
        <f t="shared" si="70"/>
        <v>0.5736111111111093</v>
      </c>
      <c r="P857" s="10">
        <f>IFERROR(SUMIFS('Base bordo CD'!M$2:M$875,'Base bordo CD'!D$2:D$875,A857,'Base bordo CD'!A$2:A$875,B857),0)</f>
        <v>20.228888888888886</v>
      </c>
      <c r="Q857" s="10">
        <f>IFERROR(SUMIFS('Base bordo CD'!O$2:O$875,'Base bordo CD'!D$2:D$875,A857,'Base bordo CD'!A$2:A$875,B857,'Base bordo CD'!L$2:L$875,"CORTE DE CANA MECANIZADO"),0)</f>
        <v>64463.79</v>
      </c>
      <c r="R857" s="10">
        <f>IFERROR(SUMIFS('Base bordo CD'!Q$2:Q$875,'Base bordo CD'!D$2:D$875,A857,'Base bordo CD'!A$2:A$875,B857,'Base bordo CD'!L$2:L$875,"CORTE DE CANA MECANIZADO"),0)</f>
        <v>22689</v>
      </c>
      <c r="S857" s="30">
        <f t="shared" si="71"/>
        <v>2.8411913261933095</v>
      </c>
      <c r="T857" s="9">
        <f t="shared" si="72"/>
        <v>0.31155937602988032</v>
      </c>
      <c r="U857" s="9">
        <f t="shared" si="73"/>
        <v>5.2908381852136664E-2</v>
      </c>
      <c r="V857" s="9">
        <f t="shared" si="74"/>
        <v>0.65652806766999883</v>
      </c>
    </row>
    <row r="858" spans="1:22" x14ac:dyDescent="0.35">
      <c r="A858" s="52">
        <v>49595</v>
      </c>
      <c r="B858" s="31">
        <v>46118</v>
      </c>
      <c r="C858" s="7" t="s">
        <v>337</v>
      </c>
      <c r="D858" s="7">
        <v>353</v>
      </c>
      <c r="E858" s="10">
        <f>IFERROR(SUMIFS('Base bordo CD'!M$2:M$875,'Base bordo CD'!D$2:D$875,A858,'Base bordo CD'!A$2:A$875,B858,'Base bordo CD'!L$2:L$875,"CORTE DE CANA MECANIZADO"),0)</f>
        <v>6.3025000000000002</v>
      </c>
      <c r="F858" s="10">
        <f>IFERROR(SUMIFS('Base bordo CD'!M$2:M$875,'Base bordo CD'!D$2:D$875,A858,'Base bordo CD'!A$2:A$875,B858,'Base bordo CD'!L$2:L$875,"MANOBRA"),0)</f>
        <v>1.0702777777777777</v>
      </c>
      <c r="G858" s="10">
        <f>IFERROR(SUMIFS('Base bordo CD'!M$2:M$875,'Base bordo CD'!D$2:D$875,A858,'Base bordo CD'!A$2:A$875,B858,'Base bordo CD'!L$2:L$875,"DESLOCAMENTO"),0)</f>
        <v>0.64555555555555555</v>
      </c>
      <c r="H858" s="10">
        <f>IFERROR(SUMIFS('Base bordo CD'!M$2:M$875,'Base bordo CD'!D$2:D$875,A858,'Base bordo CD'!A$2:A$875,B858,'Base bordo CD'!L$2:L$875,"AGUARDANDO MANOBRA DE TRANSBORDO"),0)+IFERROR(SUMIFS('Base bordo CD'!M$2:M$875,'Base bordo CD'!D$2:D$875,A858,'Base bordo CD'!A$2:A$875,B858,'Base bordo CD'!L$2:L$875,"FALTA DE TRANSBORDO"),0)</f>
        <v>0.84305555555555556</v>
      </c>
      <c r="I858" s="10">
        <f>IFERROR(SUMIFS('Base bordo CD'!M$2:M$875,'Base bordo CD'!D$2:D$875,A858,'Base bordo CD'!A$2:A$875,B858,'Base bordo CD'!L$2:L$875,"PARADA POR CONDICOES CLIMATICAS"),0)+IFERROR(SUMIFS('Base bordo CD'!M$2:M$875,'Base bordo CD'!D$2:D$875,A858,'Base bordo CD'!A$2:A$875,B858,'Base bordo CD'!L$2:L$875,"TEMPO INDETERMINADO"),0)</f>
        <v>0</v>
      </c>
      <c r="J858" s="10">
        <f>IFERROR(SUMIFS('Base bordo CD'!M$2:M$875,'Base bordo CD'!D$2:D$875,A858,'Base bordo CD'!A$2:A$875,B858,'Base bordo CD'!L$2:L$875,"LIMITAÇÃO INDÚSTRIA"),0)</f>
        <v>9.8199999999999985</v>
      </c>
      <c r="K858" s="10">
        <f>IFERROR(SUMIFS('Base bordo CD'!M$2:M$875,'Base bordo CD'!D$2:D$875,A858,'Base bordo CD'!A$2:A$875,B858,'Base bordo CD'!L$2:L$875,"MAN CORRETIVA*"),0)+IFERROR(SUMIFS('Base bordo CD'!M$2:M$875,'Base bordo CD'!D$2:D$875,A858,'Base bordo CD'!A$2:A$875,B858,'Base bordo CD'!L$2:L$875,"AGUARDANDO MANUTENCAO*"),0)+IFERROR(SUMIFS('Base bordo CD'!M$2:M$875,'Base bordo CD'!D$2:D$875,A858,'Base bordo CD'!A$2:A$875,B858,'Base bordo CD'!L$2:L$875,"TROCA DE FAQUINHA"),0)+IFERROR(SUMIFS('Base bordo CD'!M$2:M$875,'Base bordo CD'!D$2:D$875,A858,'Base bordo CD'!A$2:A$875,B858,'Base bordo CD'!L$2:L$875,"LIMPEZA*"),0)</f>
        <v>0.9738888888888888</v>
      </c>
      <c r="L858" s="10">
        <f>IFERROR(SUMIFS('Base bordo CD'!M$2:M$875,'Base bordo CD'!D$2:D$875,A858,'Base bordo CD'!A$2:A$875,B858,'Base bordo CD'!L$2:L$875,"PATIO - RESERVA"),0)</f>
        <v>0</v>
      </c>
      <c r="M858" s="10">
        <f>IFERROR(SUMIFS('Base bordo CD'!M$2:M$875,'Base bordo CD'!D$2:D$875,A858,'Base bordo CD'!A$2:A$875,B858,'Base bordo CD'!L$2:L$875,"SEM APONTAMENTO"),0)</f>
        <v>0</v>
      </c>
      <c r="N858" s="10">
        <f>IFERROR(SUMIFS('Base bordo CD'!M$2:M$875,'Base bordo CD'!D$2:D$875,A858,'Base bordo CD'!A$2:A$875,B858,'Base bordo CD'!L$2:L$875,"FALTA DE CAMINHÃO"),0)+IFERROR(SUMIFS('Base bordo CD'!M$2:M$875,'Base bordo CD'!D$2:D$875,A858,'Base bordo CD'!A$2:A$875,B858,'Base bordo CD'!L$2:L$875,"FALTA DE COMBUSTIVEL"),0)+IFERROR(SUMIFS('Base bordo CD'!M$2:M$875,'Base bordo CD'!D$2:D$875,A858,'Base bordo CD'!A$2:A$875,B858,'Base bordo CD'!L$2:L$875,"FALTA DE MOTORIST*"),0)</f>
        <v>0</v>
      </c>
      <c r="O858" s="10">
        <f t="shared" si="70"/>
        <v>0.5736111111111093</v>
      </c>
      <c r="P858" s="10">
        <f>IFERROR(SUMIFS('Base bordo CD'!M$2:M$875,'Base bordo CD'!D$2:D$875,A858,'Base bordo CD'!A$2:A$875,B858),0)</f>
        <v>20.228888888888886</v>
      </c>
      <c r="Q858" s="10">
        <f>IFERROR(SUMIFS('Base bordo CD'!O$2:O$875,'Base bordo CD'!D$2:D$875,A858,'Base bordo CD'!A$2:A$875,B858,'Base bordo CD'!L$2:L$875,"CORTE DE CANA MECANIZADO"),0)</f>
        <v>64463.79</v>
      </c>
      <c r="R858" s="10">
        <f>IFERROR(SUMIFS('Base bordo CD'!Q$2:Q$875,'Base bordo CD'!D$2:D$875,A858,'Base bordo CD'!A$2:A$875,B858,'Base bordo CD'!L$2:L$875,"CORTE DE CANA MECANIZADO"),0)</f>
        <v>22689</v>
      </c>
      <c r="S858" s="30">
        <f t="shared" si="71"/>
        <v>2.8411913261933095</v>
      </c>
      <c r="T858" s="9">
        <f t="shared" si="72"/>
        <v>0.31155937602988032</v>
      </c>
      <c r="U858" s="9">
        <f t="shared" si="73"/>
        <v>5.2908381852136664E-2</v>
      </c>
      <c r="V858" s="9">
        <f t="shared" si="74"/>
        <v>0.65652806766999883</v>
      </c>
    </row>
    <row r="859" spans="1:22" x14ac:dyDescent="0.35">
      <c r="A859" s="52">
        <v>49595</v>
      </c>
      <c r="B859" s="31">
        <v>46118</v>
      </c>
      <c r="C859" s="7" t="s">
        <v>337</v>
      </c>
      <c r="D859" s="7">
        <v>353</v>
      </c>
      <c r="E859" s="10">
        <f>IFERROR(SUMIFS('Base bordo CD'!M$2:M$875,'Base bordo CD'!D$2:D$875,A859,'Base bordo CD'!A$2:A$875,B859,'Base bordo CD'!L$2:L$875,"CORTE DE CANA MECANIZADO"),0)</f>
        <v>6.3025000000000002</v>
      </c>
      <c r="F859" s="10">
        <f>IFERROR(SUMIFS('Base bordo CD'!M$2:M$875,'Base bordo CD'!D$2:D$875,A859,'Base bordo CD'!A$2:A$875,B859,'Base bordo CD'!L$2:L$875,"MANOBRA"),0)</f>
        <v>1.0702777777777777</v>
      </c>
      <c r="G859" s="10">
        <f>IFERROR(SUMIFS('Base bordo CD'!M$2:M$875,'Base bordo CD'!D$2:D$875,A859,'Base bordo CD'!A$2:A$875,B859,'Base bordo CD'!L$2:L$875,"DESLOCAMENTO"),0)</f>
        <v>0.64555555555555555</v>
      </c>
      <c r="H859" s="10">
        <f>IFERROR(SUMIFS('Base bordo CD'!M$2:M$875,'Base bordo CD'!D$2:D$875,A859,'Base bordo CD'!A$2:A$875,B859,'Base bordo CD'!L$2:L$875,"AGUARDANDO MANOBRA DE TRANSBORDO"),0)+IFERROR(SUMIFS('Base bordo CD'!M$2:M$875,'Base bordo CD'!D$2:D$875,A859,'Base bordo CD'!A$2:A$875,B859,'Base bordo CD'!L$2:L$875,"FALTA DE TRANSBORDO"),0)</f>
        <v>0.84305555555555556</v>
      </c>
      <c r="I859" s="10">
        <f>IFERROR(SUMIFS('Base bordo CD'!M$2:M$875,'Base bordo CD'!D$2:D$875,A859,'Base bordo CD'!A$2:A$875,B859,'Base bordo CD'!L$2:L$875,"PARADA POR CONDICOES CLIMATICAS"),0)+IFERROR(SUMIFS('Base bordo CD'!M$2:M$875,'Base bordo CD'!D$2:D$875,A859,'Base bordo CD'!A$2:A$875,B859,'Base bordo CD'!L$2:L$875,"TEMPO INDETERMINADO"),0)</f>
        <v>0</v>
      </c>
      <c r="J859" s="10">
        <f>IFERROR(SUMIFS('Base bordo CD'!M$2:M$875,'Base bordo CD'!D$2:D$875,A859,'Base bordo CD'!A$2:A$875,B859,'Base bordo CD'!L$2:L$875,"LIMITAÇÃO INDÚSTRIA"),0)</f>
        <v>9.8199999999999985</v>
      </c>
      <c r="K859" s="10">
        <f>IFERROR(SUMIFS('Base bordo CD'!M$2:M$875,'Base bordo CD'!D$2:D$875,A859,'Base bordo CD'!A$2:A$875,B859,'Base bordo CD'!L$2:L$875,"MAN CORRETIVA*"),0)+IFERROR(SUMIFS('Base bordo CD'!M$2:M$875,'Base bordo CD'!D$2:D$875,A859,'Base bordo CD'!A$2:A$875,B859,'Base bordo CD'!L$2:L$875,"AGUARDANDO MANUTENCAO*"),0)+IFERROR(SUMIFS('Base bordo CD'!M$2:M$875,'Base bordo CD'!D$2:D$875,A859,'Base bordo CD'!A$2:A$875,B859,'Base bordo CD'!L$2:L$875,"TROCA DE FAQUINHA"),0)+IFERROR(SUMIFS('Base bordo CD'!M$2:M$875,'Base bordo CD'!D$2:D$875,A859,'Base bordo CD'!A$2:A$875,B859,'Base bordo CD'!L$2:L$875,"LIMPEZA*"),0)</f>
        <v>0.9738888888888888</v>
      </c>
      <c r="L859" s="10">
        <f>IFERROR(SUMIFS('Base bordo CD'!M$2:M$875,'Base bordo CD'!D$2:D$875,A859,'Base bordo CD'!A$2:A$875,B859,'Base bordo CD'!L$2:L$875,"PATIO - RESERVA"),0)</f>
        <v>0</v>
      </c>
      <c r="M859" s="10">
        <f>IFERROR(SUMIFS('Base bordo CD'!M$2:M$875,'Base bordo CD'!D$2:D$875,A859,'Base bordo CD'!A$2:A$875,B859,'Base bordo CD'!L$2:L$875,"SEM APONTAMENTO"),0)</f>
        <v>0</v>
      </c>
      <c r="N859" s="10">
        <f>IFERROR(SUMIFS('Base bordo CD'!M$2:M$875,'Base bordo CD'!D$2:D$875,A859,'Base bordo CD'!A$2:A$875,B859,'Base bordo CD'!L$2:L$875,"FALTA DE CAMINHÃO"),0)+IFERROR(SUMIFS('Base bordo CD'!M$2:M$875,'Base bordo CD'!D$2:D$875,A859,'Base bordo CD'!A$2:A$875,B859,'Base bordo CD'!L$2:L$875,"FALTA DE COMBUSTIVEL"),0)+IFERROR(SUMIFS('Base bordo CD'!M$2:M$875,'Base bordo CD'!D$2:D$875,A859,'Base bordo CD'!A$2:A$875,B859,'Base bordo CD'!L$2:L$875,"FALTA DE MOTORIST*"),0)</f>
        <v>0</v>
      </c>
      <c r="O859" s="10">
        <f t="shared" si="70"/>
        <v>0.5736111111111093</v>
      </c>
      <c r="P859" s="10">
        <f>IFERROR(SUMIFS('Base bordo CD'!M$2:M$875,'Base bordo CD'!D$2:D$875,A859,'Base bordo CD'!A$2:A$875,B859),0)</f>
        <v>20.228888888888886</v>
      </c>
      <c r="Q859" s="10">
        <f>IFERROR(SUMIFS('Base bordo CD'!O$2:O$875,'Base bordo CD'!D$2:D$875,A859,'Base bordo CD'!A$2:A$875,B859,'Base bordo CD'!L$2:L$875,"CORTE DE CANA MECANIZADO"),0)</f>
        <v>64463.79</v>
      </c>
      <c r="R859" s="10">
        <f>IFERROR(SUMIFS('Base bordo CD'!Q$2:Q$875,'Base bordo CD'!D$2:D$875,A859,'Base bordo CD'!A$2:A$875,B859,'Base bordo CD'!L$2:L$875,"CORTE DE CANA MECANIZADO"),0)</f>
        <v>22689</v>
      </c>
      <c r="S859" s="30">
        <f t="shared" si="71"/>
        <v>2.8411913261933095</v>
      </c>
      <c r="T859" s="9">
        <f t="shared" si="72"/>
        <v>0.31155937602988032</v>
      </c>
      <c r="U859" s="9">
        <f t="shared" si="73"/>
        <v>5.2908381852136664E-2</v>
      </c>
      <c r="V859" s="9">
        <f t="shared" si="74"/>
        <v>0.65652806766999883</v>
      </c>
    </row>
    <row r="860" spans="1:22" x14ac:dyDescent="0.35">
      <c r="A860" s="52">
        <v>49595</v>
      </c>
      <c r="B860" s="31">
        <v>46118</v>
      </c>
      <c r="C860" s="7" t="s">
        <v>337</v>
      </c>
      <c r="D860" s="7">
        <v>353</v>
      </c>
      <c r="E860" s="10">
        <f>IFERROR(SUMIFS('Base bordo CD'!M$2:M$875,'Base bordo CD'!D$2:D$875,A860,'Base bordo CD'!A$2:A$875,B860,'Base bordo CD'!L$2:L$875,"CORTE DE CANA MECANIZADO"),0)</f>
        <v>6.3025000000000002</v>
      </c>
      <c r="F860" s="10">
        <f>IFERROR(SUMIFS('Base bordo CD'!M$2:M$875,'Base bordo CD'!D$2:D$875,A860,'Base bordo CD'!A$2:A$875,B860,'Base bordo CD'!L$2:L$875,"MANOBRA"),0)</f>
        <v>1.0702777777777777</v>
      </c>
      <c r="G860" s="10">
        <f>IFERROR(SUMIFS('Base bordo CD'!M$2:M$875,'Base bordo CD'!D$2:D$875,A860,'Base bordo CD'!A$2:A$875,B860,'Base bordo CD'!L$2:L$875,"DESLOCAMENTO"),0)</f>
        <v>0.64555555555555555</v>
      </c>
      <c r="H860" s="10">
        <f>IFERROR(SUMIFS('Base bordo CD'!M$2:M$875,'Base bordo CD'!D$2:D$875,A860,'Base bordo CD'!A$2:A$875,B860,'Base bordo CD'!L$2:L$875,"AGUARDANDO MANOBRA DE TRANSBORDO"),0)+IFERROR(SUMIFS('Base bordo CD'!M$2:M$875,'Base bordo CD'!D$2:D$875,A860,'Base bordo CD'!A$2:A$875,B860,'Base bordo CD'!L$2:L$875,"FALTA DE TRANSBORDO"),0)</f>
        <v>0.84305555555555556</v>
      </c>
      <c r="I860" s="10">
        <f>IFERROR(SUMIFS('Base bordo CD'!M$2:M$875,'Base bordo CD'!D$2:D$875,A860,'Base bordo CD'!A$2:A$875,B860,'Base bordo CD'!L$2:L$875,"PARADA POR CONDICOES CLIMATICAS"),0)+IFERROR(SUMIFS('Base bordo CD'!M$2:M$875,'Base bordo CD'!D$2:D$875,A860,'Base bordo CD'!A$2:A$875,B860,'Base bordo CD'!L$2:L$875,"TEMPO INDETERMINADO"),0)</f>
        <v>0</v>
      </c>
      <c r="J860" s="10">
        <f>IFERROR(SUMIFS('Base bordo CD'!M$2:M$875,'Base bordo CD'!D$2:D$875,A860,'Base bordo CD'!A$2:A$875,B860,'Base bordo CD'!L$2:L$875,"LIMITAÇÃO INDÚSTRIA"),0)</f>
        <v>9.8199999999999985</v>
      </c>
      <c r="K860" s="10">
        <f>IFERROR(SUMIFS('Base bordo CD'!M$2:M$875,'Base bordo CD'!D$2:D$875,A860,'Base bordo CD'!A$2:A$875,B860,'Base bordo CD'!L$2:L$875,"MAN CORRETIVA*"),0)+IFERROR(SUMIFS('Base bordo CD'!M$2:M$875,'Base bordo CD'!D$2:D$875,A860,'Base bordo CD'!A$2:A$875,B860,'Base bordo CD'!L$2:L$875,"AGUARDANDO MANUTENCAO*"),0)+IFERROR(SUMIFS('Base bordo CD'!M$2:M$875,'Base bordo CD'!D$2:D$875,A860,'Base bordo CD'!A$2:A$875,B860,'Base bordo CD'!L$2:L$875,"TROCA DE FAQUINHA"),0)+IFERROR(SUMIFS('Base bordo CD'!M$2:M$875,'Base bordo CD'!D$2:D$875,A860,'Base bordo CD'!A$2:A$875,B860,'Base bordo CD'!L$2:L$875,"LIMPEZA*"),0)</f>
        <v>0.9738888888888888</v>
      </c>
      <c r="L860" s="10">
        <f>IFERROR(SUMIFS('Base bordo CD'!M$2:M$875,'Base bordo CD'!D$2:D$875,A860,'Base bordo CD'!A$2:A$875,B860,'Base bordo CD'!L$2:L$875,"PATIO - RESERVA"),0)</f>
        <v>0</v>
      </c>
      <c r="M860" s="10">
        <f>IFERROR(SUMIFS('Base bordo CD'!M$2:M$875,'Base bordo CD'!D$2:D$875,A860,'Base bordo CD'!A$2:A$875,B860,'Base bordo CD'!L$2:L$875,"SEM APONTAMENTO"),0)</f>
        <v>0</v>
      </c>
      <c r="N860" s="10">
        <f>IFERROR(SUMIFS('Base bordo CD'!M$2:M$875,'Base bordo CD'!D$2:D$875,A860,'Base bordo CD'!A$2:A$875,B860,'Base bordo CD'!L$2:L$875,"FALTA DE CAMINHÃO"),0)+IFERROR(SUMIFS('Base bordo CD'!M$2:M$875,'Base bordo CD'!D$2:D$875,A860,'Base bordo CD'!A$2:A$875,B860,'Base bordo CD'!L$2:L$875,"FALTA DE COMBUSTIVEL"),0)+IFERROR(SUMIFS('Base bordo CD'!M$2:M$875,'Base bordo CD'!D$2:D$875,A860,'Base bordo CD'!A$2:A$875,B860,'Base bordo CD'!L$2:L$875,"FALTA DE MOTORIST*"),0)</f>
        <v>0</v>
      </c>
      <c r="O860" s="10">
        <f t="shared" si="70"/>
        <v>0.5736111111111093</v>
      </c>
      <c r="P860" s="10">
        <f>IFERROR(SUMIFS('Base bordo CD'!M$2:M$875,'Base bordo CD'!D$2:D$875,A860,'Base bordo CD'!A$2:A$875,B860),0)</f>
        <v>20.228888888888886</v>
      </c>
      <c r="Q860" s="10">
        <f>IFERROR(SUMIFS('Base bordo CD'!O$2:O$875,'Base bordo CD'!D$2:D$875,A860,'Base bordo CD'!A$2:A$875,B860,'Base bordo CD'!L$2:L$875,"CORTE DE CANA MECANIZADO"),0)</f>
        <v>64463.79</v>
      </c>
      <c r="R860" s="10">
        <f>IFERROR(SUMIFS('Base bordo CD'!Q$2:Q$875,'Base bordo CD'!D$2:D$875,A860,'Base bordo CD'!A$2:A$875,B860,'Base bordo CD'!L$2:L$875,"CORTE DE CANA MECANIZADO"),0)</f>
        <v>22689</v>
      </c>
      <c r="S860" s="30">
        <f t="shared" si="71"/>
        <v>2.8411913261933095</v>
      </c>
      <c r="T860" s="9">
        <f t="shared" si="72"/>
        <v>0.31155937602988032</v>
      </c>
      <c r="U860" s="9">
        <f t="shared" si="73"/>
        <v>5.2908381852136664E-2</v>
      </c>
      <c r="V860" s="9">
        <f t="shared" si="74"/>
        <v>0.65652806766999883</v>
      </c>
    </row>
    <row r="861" spans="1:22" x14ac:dyDescent="0.35">
      <c r="A861" s="52">
        <v>49595</v>
      </c>
      <c r="B861" s="31">
        <v>46118</v>
      </c>
      <c r="C861" s="7" t="s">
        <v>337</v>
      </c>
      <c r="D861" s="7">
        <v>353</v>
      </c>
      <c r="E861" s="10">
        <f>IFERROR(SUMIFS('Base bordo CD'!M$2:M$875,'Base bordo CD'!D$2:D$875,A861,'Base bordo CD'!A$2:A$875,B861,'Base bordo CD'!L$2:L$875,"CORTE DE CANA MECANIZADO"),0)</f>
        <v>6.3025000000000002</v>
      </c>
      <c r="F861" s="10">
        <f>IFERROR(SUMIFS('Base bordo CD'!M$2:M$875,'Base bordo CD'!D$2:D$875,A861,'Base bordo CD'!A$2:A$875,B861,'Base bordo CD'!L$2:L$875,"MANOBRA"),0)</f>
        <v>1.0702777777777777</v>
      </c>
      <c r="G861" s="10">
        <f>IFERROR(SUMIFS('Base bordo CD'!M$2:M$875,'Base bordo CD'!D$2:D$875,A861,'Base bordo CD'!A$2:A$875,B861,'Base bordo CD'!L$2:L$875,"DESLOCAMENTO"),0)</f>
        <v>0.64555555555555555</v>
      </c>
      <c r="H861" s="10">
        <f>IFERROR(SUMIFS('Base bordo CD'!M$2:M$875,'Base bordo CD'!D$2:D$875,A861,'Base bordo CD'!A$2:A$875,B861,'Base bordo CD'!L$2:L$875,"AGUARDANDO MANOBRA DE TRANSBORDO"),0)+IFERROR(SUMIFS('Base bordo CD'!M$2:M$875,'Base bordo CD'!D$2:D$875,A861,'Base bordo CD'!A$2:A$875,B861,'Base bordo CD'!L$2:L$875,"FALTA DE TRANSBORDO"),0)</f>
        <v>0.84305555555555556</v>
      </c>
      <c r="I861" s="10">
        <f>IFERROR(SUMIFS('Base bordo CD'!M$2:M$875,'Base bordo CD'!D$2:D$875,A861,'Base bordo CD'!A$2:A$875,B861,'Base bordo CD'!L$2:L$875,"PARADA POR CONDICOES CLIMATICAS"),0)+IFERROR(SUMIFS('Base bordo CD'!M$2:M$875,'Base bordo CD'!D$2:D$875,A861,'Base bordo CD'!A$2:A$875,B861,'Base bordo CD'!L$2:L$875,"TEMPO INDETERMINADO"),0)</f>
        <v>0</v>
      </c>
      <c r="J861" s="10">
        <f>IFERROR(SUMIFS('Base bordo CD'!M$2:M$875,'Base bordo CD'!D$2:D$875,A861,'Base bordo CD'!A$2:A$875,B861,'Base bordo CD'!L$2:L$875,"LIMITAÇÃO INDÚSTRIA"),0)</f>
        <v>9.8199999999999985</v>
      </c>
      <c r="K861" s="10">
        <f>IFERROR(SUMIFS('Base bordo CD'!M$2:M$875,'Base bordo CD'!D$2:D$875,A861,'Base bordo CD'!A$2:A$875,B861,'Base bordo CD'!L$2:L$875,"MAN CORRETIVA*"),0)+IFERROR(SUMIFS('Base bordo CD'!M$2:M$875,'Base bordo CD'!D$2:D$875,A861,'Base bordo CD'!A$2:A$875,B861,'Base bordo CD'!L$2:L$875,"AGUARDANDO MANUTENCAO*"),0)+IFERROR(SUMIFS('Base bordo CD'!M$2:M$875,'Base bordo CD'!D$2:D$875,A861,'Base bordo CD'!A$2:A$875,B861,'Base bordo CD'!L$2:L$875,"TROCA DE FAQUINHA"),0)+IFERROR(SUMIFS('Base bordo CD'!M$2:M$875,'Base bordo CD'!D$2:D$875,A861,'Base bordo CD'!A$2:A$875,B861,'Base bordo CD'!L$2:L$875,"LIMPEZA*"),0)</f>
        <v>0.9738888888888888</v>
      </c>
      <c r="L861" s="10">
        <f>IFERROR(SUMIFS('Base bordo CD'!M$2:M$875,'Base bordo CD'!D$2:D$875,A861,'Base bordo CD'!A$2:A$875,B861,'Base bordo CD'!L$2:L$875,"PATIO - RESERVA"),0)</f>
        <v>0</v>
      </c>
      <c r="M861" s="10">
        <f>IFERROR(SUMIFS('Base bordo CD'!M$2:M$875,'Base bordo CD'!D$2:D$875,A861,'Base bordo CD'!A$2:A$875,B861,'Base bordo CD'!L$2:L$875,"SEM APONTAMENTO"),0)</f>
        <v>0</v>
      </c>
      <c r="N861" s="10">
        <f>IFERROR(SUMIFS('Base bordo CD'!M$2:M$875,'Base bordo CD'!D$2:D$875,A861,'Base bordo CD'!A$2:A$875,B861,'Base bordo CD'!L$2:L$875,"FALTA DE CAMINHÃO"),0)+IFERROR(SUMIFS('Base bordo CD'!M$2:M$875,'Base bordo CD'!D$2:D$875,A861,'Base bordo CD'!A$2:A$875,B861,'Base bordo CD'!L$2:L$875,"FALTA DE COMBUSTIVEL"),0)+IFERROR(SUMIFS('Base bordo CD'!M$2:M$875,'Base bordo CD'!D$2:D$875,A861,'Base bordo CD'!A$2:A$875,B861,'Base bordo CD'!L$2:L$875,"FALTA DE MOTORIST*"),0)</f>
        <v>0</v>
      </c>
      <c r="O861" s="10">
        <f t="shared" si="70"/>
        <v>0.5736111111111093</v>
      </c>
      <c r="P861" s="10">
        <f>IFERROR(SUMIFS('Base bordo CD'!M$2:M$875,'Base bordo CD'!D$2:D$875,A861,'Base bordo CD'!A$2:A$875,B861),0)</f>
        <v>20.228888888888886</v>
      </c>
      <c r="Q861" s="10">
        <f>IFERROR(SUMIFS('Base bordo CD'!O$2:O$875,'Base bordo CD'!D$2:D$875,A861,'Base bordo CD'!A$2:A$875,B861,'Base bordo CD'!L$2:L$875,"CORTE DE CANA MECANIZADO"),0)</f>
        <v>64463.79</v>
      </c>
      <c r="R861" s="10">
        <f>IFERROR(SUMIFS('Base bordo CD'!Q$2:Q$875,'Base bordo CD'!D$2:D$875,A861,'Base bordo CD'!A$2:A$875,B861,'Base bordo CD'!L$2:L$875,"CORTE DE CANA MECANIZADO"),0)</f>
        <v>22689</v>
      </c>
      <c r="S861" s="30">
        <f t="shared" si="71"/>
        <v>2.8411913261933095</v>
      </c>
      <c r="T861" s="9">
        <f t="shared" si="72"/>
        <v>0.31155937602988032</v>
      </c>
      <c r="U861" s="9">
        <f t="shared" si="73"/>
        <v>5.2908381852136664E-2</v>
      </c>
      <c r="V861" s="9">
        <f t="shared" si="74"/>
        <v>0.65652806766999883</v>
      </c>
    </row>
    <row r="862" spans="1:22" x14ac:dyDescent="0.35">
      <c r="A862" s="52">
        <v>49595</v>
      </c>
      <c r="B862" s="31">
        <v>46118</v>
      </c>
      <c r="C862" s="7" t="s">
        <v>337</v>
      </c>
      <c r="D862" s="7">
        <v>353</v>
      </c>
      <c r="E862" s="10">
        <f>IFERROR(SUMIFS('Base bordo CD'!M$2:M$875,'Base bordo CD'!D$2:D$875,A862,'Base bordo CD'!A$2:A$875,B862,'Base bordo CD'!L$2:L$875,"CORTE DE CANA MECANIZADO"),0)</f>
        <v>6.3025000000000002</v>
      </c>
      <c r="F862" s="10">
        <f>IFERROR(SUMIFS('Base bordo CD'!M$2:M$875,'Base bordo CD'!D$2:D$875,A862,'Base bordo CD'!A$2:A$875,B862,'Base bordo CD'!L$2:L$875,"MANOBRA"),0)</f>
        <v>1.0702777777777777</v>
      </c>
      <c r="G862" s="10">
        <f>IFERROR(SUMIFS('Base bordo CD'!M$2:M$875,'Base bordo CD'!D$2:D$875,A862,'Base bordo CD'!A$2:A$875,B862,'Base bordo CD'!L$2:L$875,"DESLOCAMENTO"),0)</f>
        <v>0.64555555555555555</v>
      </c>
      <c r="H862" s="10">
        <f>IFERROR(SUMIFS('Base bordo CD'!M$2:M$875,'Base bordo CD'!D$2:D$875,A862,'Base bordo CD'!A$2:A$875,B862,'Base bordo CD'!L$2:L$875,"AGUARDANDO MANOBRA DE TRANSBORDO"),0)+IFERROR(SUMIFS('Base bordo CD'!M$2:M$875,'Base bordo CD'!D$2:D$875,A862,'Base bordo CD'!A$2:A$875,B862,'Base bordo CD'!L$2:L$875,"FALTA DE TRANSBORDO"),0)</f>
        <v>0.84305555555555556</v>
      </c>
      <c r="I862" s="10">
        <f>IFERROR(SUMIFS('Base bordo CD'!M$2:M$875,'Base bordo CD'!D$2:D$875,A862,'Base bordo CD'!A$2:A$875,B862,'Base bordo CD'!L$2:L$875,"PARADA POR CONDICOES CLIMATICAS"),0)+IFERROR(SUMIFS('Base bordo CD'!M$2:M$875,'Base bordo CD'!D$2:D$875,A862,'Base bordo CD'!A$2:A$875,B862,'Base bordo CD'!L$2:L$875,"TEMPO INDETERMINADO"),0)</f>
        <v>0</v>
      </c>
      <c r="J862" s="10">
        <f>IFERROR(SUMIFS('Base bordo CD'!M$2:M$875,'Base bordo CD'!D$2:D$875,A862,'Base bordo CD'!A$2:A$875,B862,'Base bordo CD'!L$2:L$875,"LIMITAÇÃO INDÚSTRIA"),0)</f>
        <v>9.8199999999999985</v>
      </c>
      <c r="K862" s="10">
        <f>IFERROR(SUMIFS('Base bordo CD'!M$2:M$875,'Base bordo CD'!D$2:D$875,A862,'Base bordo CD'!A$2:A$875,B862,'Base bordo CD'!L$2:L$875,"MAN CORRETIVA*"),0)+IFERROR(SUMIFS('Base bordo CD'!M$2:M$875,'Base bordo CD'!D$2:D$875,A862,'Base bordo CD'!A$2:A$875,B862,'Base bordo CD'!L$2:L$875,"AGUARDANDO MANUTENCAO*"),0)+IFERROR(SUMIFS('Base bordo CD'!M$2:M$875,'Base bordo CD'!D$2:D$875,A862,'Base bordo CD'!A$2:A$875,B862,'Base bordo CD'!L$2:L$875,"TROCA DE FAQUINHA"),0)+IFERROR(SUMIFS('Base bordo CD'!M$2:M$875,'Base bordo CD'!D$2:D$875,A862,'Base bordo CD'!A$2:A$875,B862,'Base bordo CD'!L$2:L$875,"LIMPEZA*"),0)</f>
        <v>0.9738888888888888</v>
      </c>
      <c r="L862" s="10">
        <f>IFERROR(SUMIFS('Base bordo CD'!M$2:M$875,'Base bordo CD'!D$2:D$875,A862,'Base bordo CD'!A$2:A$875,B862,'Base bordo CD'!L$2:L$875,"PATIO - RESERVA"),0)</f>
        <v>0</v>
      </c>
      <c r="M862" s="10">
        <f>IFERROR(SUMIFS('Base bordo CD'!M$2:M$875,'Base bordo CD'!D$2:D$875,A862,'Base bordo CD'!A$2:A$875,B862,'Base bordo CD'!L$2:L$875,"SEM APONTAMENTO"),0)</f>
        <v>0</v>
      </c>
      <c r="N862" s="10">
        <f>IFERROR(SUMIFS('Base bordo CD'!M$2:M$875,'Base bordo CD'!D$2:D$875,A862,'Base bordo CD'!A$2:A$875,B862,'Base bordo CD'!L$2:L$875,"FALTA DE CAMINHÃO"),0)+IFERROR(SUMIFS('Base bordo CD'!M$2:M$875,'Base bordo CD'!D$2:D$875,A862,'Base bordo CD'!A$2:A$875,B862,'Base bordo CD'!L$2:L$875,"FALTA DE COMBUSTIVEL"),0)+IFERROR(SUMIFS('Base bordo CD'!M$2:M$875,'Base bordo CD'!D$2:D$875,A862,'Base bordo CD'!A$2:A$875,B862,'Base bordo CD'!L$2:L$875,"FALTA DE MOTORIST*"),0)</f>
        <v>0</v>
      </c>
      <c r="O862" s="10">
        <f t="shared" si="70"/>
        <v>0.5736111111111093</v>
      </c>
      <c r="P862" s="10">
        <f>IFERROR(SUMIFS('Base bordo CD'!M$2:M$875,'Base bordo CD'!D$2:D$875,A862,'Base bordo CD'!A$2:A$875,B862),0)</f>
        <v>20.228888888888886</v>
      </c>
      <c r="Q862" s="10">
        <f>IFERROR(SUMIFS('Base bordo CD'!O$2:O$875,'Base bordo CD'!D$2:D$875,A862,'Base bordo CD'!A$2:A$875,B862,'Base bordo CD'!L$2:L$875,"CORTE DE CANA MECANIZADO"),0)</f>
        <v>64463.79</v>
      </c>
      <c r="R862" s="10">
        <f>IFERROR(SUMIFS('Base bordo CD'!Q$2:Q$875,'Base bordo CD'!D$2:D$875,A862,'Base bordo CD'!A$2:A$875,B862,'Base bordo CD'!L$2:L$875,"CORTE DE CANA MECANIZADO"),0)</f>
        <v>22689</v>
      </c>
      <c r="S862" s="30">
        <f t="shared" si="71"/>
        <v>2.8411913261933095</v>
      </c>
      <c r="T862" s="9">
        <f t="shared" si="72"/>
        <v>0.31155937602988032</v>
      </c>
      <c r="U862" s="9">
        <f t="shared" si="73"/>
        <v>5.2908381852136664E-2</v>
      </c>
      <c r="V862" s="9">
        <f t="shared" si="74"/>
        <v>0.65652806766999883</v>
      </c>
    </row>
    <row r="863" spans="1:22" x14ac:dyDescent="0.35">
      <c r="A863" s="52">
        <v>49595</v>
      </c>
      <c r="B863" s="31">
        <v>46118</v>
      </c>
      <c r="C863" s="7" t="s">
        <v>337</v>
      </c>
      <c r="D863" s="7">
        <v>353</v>
      </c>
      <c r="E863" s="10">
        <f>IFERROR(SUMIFS('Base bordo CD'!M$2:M$875,'Base bordo CD'!D$2:D$875,A863,'Base bordo CD'!A$2:A$875,B863,'Base bordo CD'!L$2:L$875,"CORTE DE CANA MECANIZADO"),0)</f>
        <v>6.3025000000000002</v>
      </c>
      <c r="F863" s="10">
        <f>IFERROR(SUMIFS('Base bordo CD'!M$2:M$875,'Base bordo CD'!D$2:D$875,A863,'Base bordo CD'!A$2:A$875,B863,'Base bordo CD'!L$2:L$875,"MANOBRA"),0)</f>
        <v>1.0702777777777777</v>
      </c>
      <c r="G863" s="10">
        <f>IFERROR(SUMIFS('Base bordo CD'!M$2:M$875,'Base bordo CD'!D$2:D$875,A863,'Base bordo CD'!A$2:A$875,B863,'Base bordo CD'!L$2:L$875,"DESLOCAMENTO"),0)</f>
        <v>0.64555555555555555</v>
      </c>
      <c r="H863" s="10">
        <f>IFERROR(SUMIFS('Base bordo CD'!M$2:M$875,'Base bordo CD'!D$2:D$875,A863,'Base bordo CD'!A$2:A$875,B863,'Base bordo CD'!L$2:L$875,"AGUARDANDO MANOBRA DE TRANSBORDO"),0)+IFERROR(SUMIFS('Base bordo CD'!M$2:M$875,'Base bordo CD'!D$2:D$875,A863,'Base bordo CD'!A$2:A$875,B863,'Base bordo CD'!L$2:L$875,"FALTA DE TRANSBORDO"),0)</f>
        <v>0.84305555555555556</v>
      </c>
      <c r="I863" s="10">
        <f>IFERROR(SUMIFS('Base bordo CD'!M$2:M$875,'Base bordo CD'!D$2:D$875,A863,'Base bordo CD'!A$2:A$875,B863,'Base bordo CD'!L$2:L$875,"PARADA POR CONDICOES CLIMATICAS"),0)+IFERROR(SUMIFS('Base bordo CD'!M$2:M$875,'Base bordo CD'!D$2:D$875,A863,'Base bordo CD'!A$2:A$875,B863,'Base bordo CD'!L$2:L$875,"TEMPO INDETERMINADO"),0)</f>
        <v>0</v>
      </c>
      <c r="J863" s="10">
        <f>IFERROR(SUMIFS('Base bordo CD'!M$2:M$875,'Base bordo CD'!D$2:D$875,A863,'Base bordo CD'!A$2:A$875,B863,'Base bordo CD'!L$2:L$875,"LIMITAÇÃO INDÚSTRIA"),0)</f>
        <v>9.8199999999999985</v>
      </c>
      <c r="K863" s="10">
        <f>IFERROR(SUMIFS('Base bordo CD'!M$2:M$875,'Base bordo CD'!D$2:D$875,A863,'Base bordo CD'!A$2:A$875,B863,'Base bordo CD'!L$2:L$875,"MAN CORRETIVA*"),0)+IFERROR(SUMIFS('Base bordo CD'!M$2:M$875,'Base bordo CD'!D$2:D$875,A863,'Base bordo CD'!A$2:A$875,B863,'Base bordo CD'!L$2:L$875,"AGUARDANDO MANUTENCAO*"),0)+IFERROR(SUMIFS('Base bordo CD'!M$2:M$875,'Base bordo CD'!D$2:D$875,A863,'Base bordo CD'!A$2:A$875,B863,'Base bordo CD'!L$2:L$875,"TROCA DE FAQUINHA"),0)+IFERROR(SUMIFS('Base bordo CD'!M$2:M$875,'Base bordo CD'!D$2:D$875,A863,'Base bordo CD'!A$2:A$875,B863,'Base bordo CD'!L$2:L$875,"LIMPEZA*"),0)</f>
        <v>0.9738888888888888</v>
      </c>
      <c r="L863" s="10">
        <f>IFERROR(SUMIFS('Base bordo CD'!M$2:M$875,'Base bordo CD'!D$2:D$875,A863,'Base bordo CD'!A$2:A$875,B863,'Base bordo CD'!L$2:L$875,"PATIO - RESERVA"),0)</f>
        <v>0</v>
      </c>
      <c r="M863" s="10">
        <f>IFERROR(SUMIFS('Base bordo CD'!M$2:M$875,'Base bordo CD'!D$2:D$875,A863,'Base bordo CD'!A$2:A$875,B863,'Base bordo CD'!L$2:L$875,"SEM APONTAMENTO"),0)</f>
        <v>0</v>
      </c>
      <c r="N863" s="10">
        <f>IFERROR(SUMIFS('Base bordo CD'!M$2:M$875,'Base bordo CD'!D$2:D$875,A863,'Base bordo CD'!A$2:A$875,B863,'Base bordo CD'!L$2:L$875,"FALTA DE CAMINHÃO"),0)+IFERROR(SUMIFS('Base bordo CD'!M$2:M$875,'Base bordo CD'!D$2:D$875,A863,'Base bordo CD'!A$2:A$875,B863,'Base bordo CD'!L$2:L$875,"FALTA DE COMBUSTIVEL"),0)+IFERROR(SUMIFS('Base bordo CD'!M$2:M$875,'Base bordo CD'!D$2:D$875,A863,'Base bordo CD'!A$2:A$875,B863,'Base bordo CD'!L$2:L$875,"FALTA DE MOTORIST*"),0)</f>
        <v>0</v>
      </c>
      <c r="O863" s="10">
        <f t="shared" si="70"/>
        <v>0.5736111111111093</v>
      </c>
      <c r="P863" s="10">
        <f>IFERROR(SUMIFS('Base bordo CD'!M$2:M$875,'Base bordo CD'!D$2:D$875,A863,'Base bordo CD'!A$2:A$875,B863),0)</f>
        <v>20.228888888888886</v>
      </c>
      <c r="Q863" s="10">
        <f>IFERROR(SUMIFS('Base bordo CD'!O$2:O$875,'Base bordo CD'!D$2:D$875,A863,'Base bordo CD'!A$2:A$875,B863,'Base bordo CD'!L$2:L$875,"CORTE DE CANA MECANIZADO"),0)</f>
        <v>64463.79</v>
      </c>
      <c r="R863" s="10">
        <f>IFERROR(SUMIFS('Base bordo CD'!Q$2:Q$875,'Base bordo CD'!D$2:D$875,A863,'Base bordo CD'!A$2:A$875,B863,'Base bordo CD'!L$2:L$875,"CORTE DE CANA MECANIZADO"),0)</f>
        <v>22689</v>
      </c>
      <c r="S863" s="30">
        <f t="shared" si="71"/>
        <v>2.8411913261933095</v>
      </c>
      <c r="T863" s="9">
        <f t="shared" si="72"/>
        <v>0.31155937602988032</v>
      </c>
      <c r="U863" s="9">
        <f t="shared" si="73"/>
        <v>5.2908381852136664E-2</v>
      </c>
      <c r="V863" s="9">
        <f t="shared" si="74"/>
        <v>0.65652806766999883</v>
      </c>
    </row>
    <row r="864" spans="1:22" x14ac:dyDescent="0.35">
      <c r="A864" s="52">
        <v>49595</v>
      </c>
      <c r="B864" s="31">
        <v>46118</v>
      </c>
      <c r="C864" s="7" t="s">
        <v>337</v>
      </c>
      <c r="D864" s="7">
        <v>353</v>
      </c>
      <c r="E864" s="10">
        <f>IFERROR(SUMIFS('Base bordo CD'!M$2:M$875,'Base bordo CD'!D$2:D$875,A864,'Base bordo CD'!A$2:A$875,B864,'Base bordo CD'!L$2:L$875,"CORTE DE CANA MECANIZADO"),0)</f>
        <v>6.3025000000000002</v>
      </c>
      <c r="F864" s="10">
        <f>IFERROR(SUMIFS('Base bordo CD'!M$2:M$875,'Base bordo CD'!D$2:D$875,A864,'Base bordo CD'!A$2:A$875,B864,'Base bordo CD'!L$2:L$875,"MANOBRA"),0)</f>
        <v>1.0702777777777777</v>
      </c>
      <c r="G864" s="10">
        <f>IFERROR(SUMIFS('Base bordo CD'!M$2:M$875,'Base bordo CD'!D$2:D$875,A864,'Base bordo CD'!A$2:A$875,B864,'Base bordo CD'!L$2:L$875,"DESLOCAMENTO"),0)</f>
        <v>0.64555555555555555</v>
      </c>
      <c r="H864" s="10">
        <f>IFERROR(SUMIFS('Base bordo CD'!M$2:M$875,'Base bordo CD'!D$2:D$875,A864,'Base bordo CD'!A$2:A$875,B864,'Base bordo CD'!L$2:L$875,"AGUARDANDO MANOBRA DE TRANSBORDO"),0)+IFERROR(SUMIFS('Base bordo CD'!M$2:M$875,'Base bordo CD'!D$2:D$875,A864,'Base bordo CD'!A$2:A$875,B864,'Base bordo CD'!L$2:L$875,"FALTA DE TRANSBORDO"),0)</f>
        <v>0.84305555555555556</v>
      </c>
      <c r="I864" s="10">
        <f>IFERROR(SUMIFS('Base bordo CD'!M$2:M$875,'Base bordo CD'!D$2:D$875,A864,'Base bordo CD'!A$2:A$875,B864,'Base bordo CD'!L$2:L$875,"PARADA POR CONDICOES CLIMATICAS"),0)+IFERROR(SUMIFS('Base bordo CD'!M$2:M$875,'Base bordo CD'!D$2:D$875,A864,'Base bordo CD'!A$2:A$875,B864,'Base bordo CD'!L$2:L$875,"TEMPO INDETERMINADO"),0)</f>
        <v>0</v>
      </c>
      <c r="J864" s="10">
        <f>IFERROR(SUMIFS('Base bordo CD'!M$2:M$875,'Base bordo CD'!D$2:D$875,A864,'Base bordo CD'!A$2:A$875,B864,'Base bordo CD'!L$2:L$875,"LIMITAÇÃO INDÚSTRIA"),0)</f>
        <v>9.8199999999999985</v>
      </c>
      <c r="K864" s="10">
        <f>IFERROR(SUMIFS('Base bordo CD'!M$2:M$875,'Base bordo CD'!D$2:D$875,A864,'Base bordo CD'!A$2:A$875,B864,'Base bordo CD'!L$2:L$875,"MAN CORRETIVA*"),0)+IFERROR(SUMIFS('Base bordo CD'!M$2:M$875,'Base bordo CD'!D$2:D$875,A864,'Base bordo CD'!A$2:A$875,B864,'Base bordo CD'!L$2:L$875,"AGUARDANDO MANUTENCAO*"),0)+IFERROR(SUMIFS('Base bordo CD'!M$2:M$875,'Base bordo CD'!D$2:D$875,A864,'Base bordo CD'!A$2:A$875,B864,'Base bordo CD'!L$2:L$875,"TROCA DE FAQUINHA"),0)+IFERROR(SUMIFS('Base bordo CD'!M$2:M$875,'Base bordo CD'!D$2:D$875,A864,'Base bordo CD'!A$2:A$875,B864,'Base bordo CD'!L$2:L$875,"LIMPEZA*"),0)</f>
        <v>0.9738888888888888</v>
      </c>
      <c r="L864" s="10">
        <f>IFERROR(SUMIFS('Base bordo CD'!M$2:M$875,'Base bordo CD'!D$2:D$875,A864,'Base bordo CD'!A$2:A$875,B864,'Base bordo CD'!L$2:L$875,"PATIO - RESERVA"),0)</f>
        <v>0</v>
      </c>
      <c r="M864" s="10">
        <f>IFERROR(SUMIFS('Base bordo CD'!M$2:M$875,'Base bordo CD'!D$2:D$875,A864,'Base bordo CD'!A$2:A$875,B864,'Base bordo CD'!L$2:L$875,"SEM APONTAMENTO"),0)</f>
        <v>0</v>
      </c>
      <c r="N864" s="10">
        <f>IFERROR(SUMIFS('Base bordo CD'!M$2:M$875,'Base bordo CD'!D$2:D$875,A864,'Base bordo CD'!A$2:A$875,B864,'Base bordo CD'!L$2:L$875,"FALTA DE CAMINHÃO"),0)+IFERROR(SUMIFS('Base bordo CD'!M$2:M$875,'Base bordo CD'!D$2:D$875,A864,'Base bordo CD'!A$2:A$875,B864,'Base bordo CD'!L$2:L$875,"FALTA DE COMBUSTIVEL"),0)+IFERROR(SUMIFS('Base bordo CD'!M$2:M$875,'Base bordo CD'!D$2:D$875,A864,'Base bordo CD'!A$2:A$875,B864,'Base bordo CD'!L$2:L$875,"FALTA DE MOTORIST*"),0)</f>
        <v>0</v>
      </c>
      <c r="O864" s="10">
        <f t="shared" si="70"/>
        <v>0.5736111111111093</v>
      </c>
      <c r="P864" s="10">
        <f>IFERROR(SUMIFS('Base bordo CD'!M$2:M$875,'Base bordo CD'!D$2:D$875,A864,'Base bordo CD'!A$2:A$875,B864),0)</f>
        <v>20.228888888888886</v>
      </c>
      <c r="Q864" s="10">
        <f>IFERROR(SUMIFS('Base bordo CD'!O$2:O$875,'Base bordo CD'!D$2:D$875,A864,'Base bordo CD'!A$2:A$875,B864,'Base bordo CD'!L$2:L$875,"CORTE DE CANA MECANIZADO"),0)</f>
        <v>64463.79</v>
      </c>
      <c r="R864" s="10">
        <f>IFERROR(SUMIFS('Base bordo CD'!Q$2:Q$875,'Base bordo CD'!D$2:D$875,A864,'Base bordo CD'!A$2:A$875,B864,'Base bordo CD'!L$2:L$875,"CORTE DE CANA MECANIZADO"),0)</f>
        <v>22689</v>
      </c>
      <c r="S864" s="30">
        <f t="shared" si="71"/>
        <v>2.8411913261933095</v>
      </c>
      <c r="T864" s="9">
        <f t="shared" si="72"/>
        <v>0.31155937602988032</v>
      </c>
      <c r="U864" s="9">
        <f t="shared" si="73"/>
        <v>5.2908381852136664E-2</v>
      </c>
      <c r="V864" s="9">
        <f t="shared" si="74"/>
        <v>0.65652806766999883</v>
      </c>
    </row>
    <row r="865" spans="1:22" x14ac:dyDescent="0.35">
      <c r="A865" s="52">
        <v>49595</v>
      </c>
      <c r="B865" s="31">
        <v>46118</v>
      </c>
      <c r="C865" s="7" t="s">
        <v>337</v>
      </c>
      <c r="D865" s="7">
        <v>353</v>
      </c>
      <c r="E865" s="10">
        <f>IFERROR(SUMIFS('Base bordo CD'!M$2:M$875,'Base bordo CD'!D$2:D$875,A865,'Base bordo CD'!A$2:A$875,B865,'Base bordo CD'!L$2:L$875,"CORTE DE CANA MECANIZADO"),0)</f>
        <v>6.3025000000000002</v>
      </c>
      <c r="F865" s="10">
        <f>IFERROR(SUMIFS('Base bordo CD'!M$2:M$875,'Base bordo CD'!D$2:D$875,A865,'Base bordo CD'!A$2:A$875,B865,'Base bordo CD'!L$2:L$875,"MANOBRA"),0)</f>
        <v>1.0702777777777777</v>
      </c>
      <c r="G865" s="10">
        <f>IFERROR(SUMIFS('Base bordo CD'!M$2:M$875,'Base bordo CD'!D$2:D$875,A865,'Base bordo CD'!A$2:A$875,B865,'Base bordo CD'!L$2:L$875,"DESLOCAMENTO"),0)</f>
        <v>0.64555555555555555</v>
      </c>
      <c r="H865" s="10">
        <f>IFERROR(SUMIFS('Base bordo CD'!M$2:M$875,'Base bordo CD'!D$2:D$875,A865,'Base bordo CD'!A$2:A$875,B865,'Base bordo CD'!L$2:L$875,"AGUARDANDO MANOBRA DE TRANSBORDO"),0)+IFERROR(SUMIFS('Base bordo CD'!M$2:M$875,'Base bordo CD'!D$2:D$875,A865,'Base bordo CD'!A$2:A$875,B865,'Base bordo CD'!L$2:L$875,"FALTA DE TRANSBORDO"),0)</f>
        <v>0.84305555555555556</v>
      </c>
      <c r="I865" s="10">
        <f>IFERROR(SUMIFS('Base bordo CD'!M$2:M$875,'Base bordo CD'!D$2:D$875,A865,'Base bordo CD'!A$2:A$875,B865,'Base bordo CD'!L$2:L$875,"PARADA POR CONDICOES CLIMATICAS"),0)+IFERROR(SUMIFS('Base bordo CD'!M$2:M$875,'Base bordo CD'!D$2:D$875,A865,'Base bordo CD'!A$2:A$875,B865,'Base bordo CD'!L$2:L$875,"TEMPO INDETERMINADO"),0)</f>
        <v>0</v>
      </c>
      <c r="J865" s="10">
        <f>IFERROR(SUMIFS('Base bordo CD'!M$2:M$875,'Base bordo CD'!D$2:D$875,A865,'Base bordo CD'!A$2:A$875,B865,'Base bordo CD'!L$2:L$875,"LIMITAÇÃO INDÚSTRIA"),0)</f>
        <v>9.8199999999999985</v>
      </c>
      <c r="K865" s="10">
        <f>IFERROR(SUMIFS('Base bordo CD'!M$2:M$875,'Base bordo CD'!D$2:D$875,A865,'Base bordo CD'!A$2:A$875,B865,'Base bordo CD'!L$2:L$875,"MAN CORRETIVA*"),0)+IFERROR(SUMIFS('Base bordo CD'!M$2:M$875,'Base bordo CD'!D$2:D$875,A865,'Base bordo CD'!A$2:A$875,B865,'Base bordo CD'!L$2:L$875,"AGUARDANDO MANUTENCAO*"),0)+IFERROR(SUMIFS('Base bordo CD'!M$2:M$875,'Base bordo CD'!D$2:D$875,A865,'Base bordo CD'!A$2:A$875,B865,'Base bordo CD'!L$2:L$875,"TROCA DE FAQUINHA"),0)+IFERROR(SUMIFS('Base bordo CD'!M$2:M$875,'Base bordo CD'!D$2:D$875,A865,'Base bordo CD'!A$2:A$875,B865,'Base bordo CD'!L$2:L$875,"LIMPEZA*"),0)</f>
        <v>0.9738888888888888</v>
      </c>
      <c r="L865" s="10">
        <f>IFERROR(SUMIFS('Base bordo CD'!M$2:M$875,'Base bordo CD'!D$2:D$875,A865,'Base bordo CD'!A$2:A$875,B865,'Base bordo CD'!L$2:L$875,"PATIO - RESERVA"),0)</f>
        <v>0</v>
      </c>
      <c r="M865" s="10">
        <f>IFERROR(SUMIFS('Base bordo CD'!M$2:M$875,'Base bordo CD'!D$2:D$875,A865,'Base bordo CD'!A$2:A$875,B865,'Base bordo CD'!L$2:L$875,"SEM APONTAMENTO"),0)</f>
        <v>0</v>
      </c>
      <c r="N865" s="10">
        <f>IFERROR(SUMIFS('Base bordo CD'!M$2:M$875,'Base bordo CD'!D$2:D$875,A865,'Base bordo CD'!A$2:A$875,B865,'Base bordo CD'!L$2:L$875,"FALTA DE CAMINHÃO"),0)+IFERROR(SUMIFS('Base bordo CD'!M$2:M$875,'Base bordo CD'!D$2:D$875,A865,'Base bordo CD'!A$2:A$875,B865,'Base bordo CD'!L$2:L$875,"FALTA DE COMBUSTIVEL"),0)+IFERROR(SUMIFS('Base bordo CD'!M$2:M$875,'Base bordo CD'!D$2:D$875,A865,'Base bordo CD'!A$2:A$875,B865,'Base bordo CD'!L$2:L$875,"FALTA DE MOTORIST*"),0)</f>
        <v>0</v>
      </c>
      <c r="O865" s="10">
        <f t="shared" si="70"/>
        <v>0.5736111111111093</v>
      </c>
      <c r="P865" s="10">
        <f>IFERROR(SUMIFS('Base bordo CD'!M$2:M$875,'Base bordo CD'!D$2:D$875,A865,'Base bordo CD'!A$2:A$875,B865),0)</f>
        <v>20.228888888888886</v>
      </c>
      <c r="Q865" s="10">
        <f>IFERROR(SUMIFS('Base bordo CD'!O$2:O$875,'Base bordo CD'!D$2:D$875,A865,'Base bordo CD'!A$2:A$875,B865,'Base bordo CD'!L$2:L$875,"CORTE DE CANA MECANIZADO"),0)</f>
        <v>64463.79</v>
      </c>
      <c r="R865" s="10">
        <f>IFERROR(SUMIFS('Base bordo CD'!Q$2:Q$875,'Base bordo CD'!D$2:D$875,A865,'Base bordo CD'!A$2:A$875,B865,'Base bordo CD'!L$2:L$875,"CORTE DE CANA MECANIZADO"),0)</f>
        <v>22689</v>
      </c>
      <c r="S865" s="30">
        <f t="shared" si="71"/>
        <v>2.8411913261933095</v>
      </c>
      <c r="T865" s="9">
        <f t="shared" si="72"/>
        <v>0.31155937602988032</v>
      </c>
      <c r="U865" s="9">
        <f t="shared" si="73"/>
        <v>5.2908381852136664E-2</v>
      </c>
      <c r="V865" s="9">
        <f t="shared" si="74"/>
        <v>0.65652806766999883</v>
      </c>
    </row>
    <row r="866" spans="1:22" x14ac:dyDescent="0.35">
      <c r="A866" s="52">
        <v>49595</v>
      </c>
      <c r="B866" s="31">
        <v>46118</v>
      </c>
      <c r="C866" s="7" t="s">
        <v>337</v>
      </c>
      <c r="D866" s="7">
        <v>353</v>
      </c>
      <c r="E866" s="10">
        <f>IFERROR(SUMIFS('Base bordo CD'!M$2:M$875,'Base bordo CD'!D$2:D$875,A866,'Base bordo CD'!A$2:A$875,B866,'Base bordo CD'!L$2:L$875,"CORTE DE CANA MECANIZADO"),0)</f>
        <v>6.3025000000000002</v>
      </c>
      <c r="F866" s="10">
        <f>IFERROR(SUMIFS('Base bordo CD'!M$2:M$875,'Base bordo CD'!D$2:D$875,A866,'Base bordo CD'!A$2:A$875,B866,'Base bordo CD'!L$2:L$875,"MANOBRA"),0)</f>
        <v>1.0702777777777777</v>
      </c>
      <c r="G866" s="10">
        <f>IFERROR(SUMIFS('Base bordo CD'!M$2:M$875,'Base bordo CD'!D$2:D$875,A866,'Base bordo CD'!A$2:A$875,B866,'Base bordo CD'!L$2:L$875,"DESLOCAMENTO"),0)</f>
        <v>0.64555555555555555</v>
      </c>
      <c r="H866" s="10">
        <f>IFERROR(SUMIFS('Base bordo CD'!M$2:M$875,'Base bordo CD'!D$2:D$875,A866,'Base bordo CD'!A$2:A$875,B866,'Base bordo CD'!L$2:L$875,"AGUARDANDO MANOBRA DE TRANSBORDO"),0)+IFERROR(SUMIFS('Base bordo CD'!M$2:M$875,'Base bordo CD'!D$2:D$875,A866,'Base bordo CD'!A$2:A$875,B866,'Base bordo CD'!L$2:L$875,"FALTA DE TRANSBORDO"),0)</f>
        <v>0.84305555555555556</v>
      </c>
      <c r="I866" s="10">
        <f>IFERROR(SUMIFS('Base bordo CD'!M$2:M$875,'Base bordo CD'!D$2:D$875,A866,'Base bordo CD'!A$2:A$875,B866,'Base bordo CD'!L$2:L$875,"PARADA POR CONDICOES CLIMATICAS"),0)+IFERROR(SUMIFS('Base bordo CD'!M$2:M$875,'Base bordo CD'!D$2:D$875,A866,'Base bordo CD'!A$2:A$875,B866,'Base bordo CD'!L$2:L$875,"TEMPO INDETERMINADO"),0)</f>
        <v>0</v>
      </c>
      <c r="J866" s="10">
        <f>IFERROR(SUMIFS('Base bordo CD'!M$2:M$875,'Base bordo CD'!D$2:D$875,A866,'Base bordo CD'!A$2:A$875,B866,'Base bordo CD'!L$2:L$875,"LIMITAÇÃO INDÚSTRIA"),0)</f>
        <v>9.8199999999999985</v>
      </c>
      <c r="K866" s="10">
        <f>IFERROR(SUMIFS('Base bordo CD'!M$2:M$875,'Base bordo CD'!D$2:D$875,A866,'Base bordo CD'!A$2:A$875,B866,'Base bordo CD'!L$2:L$875,"MAN CORRETIVA*"),0)+IFERROR(SUMIFS('Base bordo CD'!M$2:M$875,'Base bordo CD'!D$2:D$875,A866,'Base bordo CD'!A$2:A$875,B866,'Base bordo CD'!L$2:L$875,"AGUARDANDO MANUTENCAO*"),0)+IFERROR(SUMIFS('Base bordo CD'!M$2:M$875,'Base bordo CD'!D$2:D$875,A866,'Base bordo CD'!A$2:A$875,B866,'Base bordo CD'!L$2:L$875,"TROCA DE FAQUINHA"),0)+IFERROR(SUMIFS('Base bordo CD'!M$2:M$875,'Base bordo CD'!D$2:D$875,A866,'Base bordo CD'!A$2:A$875,B866,'Base bordo CD'!L$2:L$875,"LIMPEZA*"),0)</f>
        <v>0.9738888888888888</v>
      </c>
      <c r="L866" s="10">
        <f>IFERROR(SUMIFS('Base bordo CD'!M$2:M$875,'Base bordo CD'!D$2:D$875,A866,'Base bordo CD'!A$2:A$875,B866,'Base bordo CD'!L$2:L$875,"PATIO - RESERVA"),0)</f>
        <v>0</v>
      </c>
      <c r="M866" s="10">
        <f>IFERROR(SUMIFS('Base bordo CD'!M$2:M$875,'Base bordo CD'!D$2:D$875,A866,'Base bordo CD'!A$2:A$875,B866,'Base bordo CD'!L$2:L$875,"SEM APONTAMENTO"),0)</f>
        <v>0</v>
      </c>
      <c r="N866" s="10">
        <f>IFERROR(SUMIFS('Base bordo CD'!M$2:M$875,'Base bordo CD'!D$2:D$875,A866,'Base bordo CD'!A$2:A$875,B866,'Base bordo CD'!L$2:L$875,"FALTA DE CAMINHÃO"),0)+IFERROR(SUMIFS('Base bordo CD'!M$2:M$875,'Base bordo CD'!D$2:D$875,A866,'Base bordo CD'!A$2:A$875,B866,'Base bordo CD'!L$2:L$875,"FALTA DE COMBUSTIVEL"),0)+IFERROR(SUMIFS('Base bordo CD'!M$2:M$875,'Base bordo CD'!D$2:D$875,A866,'Base bordo CD'!A$2:A$875,B866,'Base bordo CD'!L$2:L$875,"FALTA DE MOTORIST*"),0)</f>
        <v>0</v>
      </c>
      <c r="O866" s="10">
        <f t="shared" si="70"/>
        <v>0.5736111111111093</v>
      </c>
      <c r="P866" s="10">
        <f>IFERROR(SUMIFS('Base bordo CD'!M$2:M$875,'Base bordo CD'!D$2:D$875,A866,'Base bordo CD'!A$2:A$875,B866),0)</f>
        <v>20.228888888888886</v>
      </c>
      <c r="Q866" s="10">
        <f>IFERROR(SUMIFS('Base bordo CD'!O$2:O$875,'Base bordo CD'!D$2:D$875,A866,'Base bordo CD'!A$2:A$875,B866,'Base bordo CD'!L$2:L$875,"CORTE DE CANA MECANIZADO"),0)</f>
        <v>64463.79</v>
      </c>
      <c r="R866" s="10">
        <f>IFERROR(SUMIFS('Base bordo CD'!Q$2:Q$875,'Base bordo CD'!D$2:D$875,A866,'Base bordo CD'!A$2:A$875,B866,'Base bordo CD'!L$2:L$875,"CORTE DE CANA MECANIZADO"),0)</f>
        <v>22689</v>
      </c>
      <c r="S866" s="30">
        <f t="shared" si="71"/>
        <v>2.8411913261933095</v>
      </c>
      <c r="T866" s="9">
        <f t="shared" si="72"/>
        <v>0.31155937602988032</v>
      </c>
      <c r="U866" s="9">
        <f t="shared" si="73"/>
        <v>5.2908381852136664E-2</v>
      </c>
      <c r="V866" s="9">
        <f t="shared" si="74"/>
        <v>0.65652806766999883</v>
      </c>
    </row>
    <row r="867" spans="1:22" x14ac:dyDescent="0.35">
      <c r="A867" s="52">
        <v>49595</v>
      </c>
      <c r="B867" s="31">
        <v>46118</v>
      </c>
      <c r="C867" s="7" t="s">
        <v>337</v>
      </c>
      <c r="D867" s="7">
        <v>353</v>
      </c>
      <c r="E867" s="10">
        <f>IFERROR(SUMIFS('Base bordo CD'!M$2:M$875,'Base bordo CD'!D$2:D$875,A867,'Base bordo CD'!A$2:A$875,B867,'Base bordo CD'!L$2:L$875,"CORTE DE CANA MECANIZADO"),0)</f>
        <v>6.3025000000000002</v>
      </c>
      <c r="F867" s="10">
        <f>IFERROR(SUMIFS('Base bordo CD'!M$2:M$875,'Base bordo CD'!D$2:D$875,A867,'Base bordo CD'!A$2:A$875,B867,'Base bordo CD'!L$2:L$875,"MANOBRA"),0)</f>
        <v>1.0702777777777777</v>
      </c>
      <c r="G867" s="10">
        <f>IFERROR(SUMIFS('Base bordo CD'!M$2:M$875,'Base bordo CD'!D$2:D$875,A867,'Base bordo CD'!A$2:A$875,B867,'Base bordo CD'!L$2:L$875,"DESLOCAMENTO"),0)</f>
        <v>0.64555555555555555</v>
      </c>
      <c r="H867" s="10">
        <f>IFERROR(SUMIFS('Base bordo CD'!M$2:M$875,'Base bordo CD'!D$2:D$875,A867,'Base bordo CD'!A$2:A$875,B867,'Base bordo CD'!L$2:L$875,"AGUARDANDO MANOBRA DE TRANSBORDO"),0)+IFERROR(SUMIFS('Base bordo CD'!M$2:M$875,'Base bordo CD'!D$2:D$875,A867,'Base bordo CD'!A$2:A$875,B867,'Base bordo CD'!L$2:L$875,"FALTA DE TRANSBORDO"),0)</f>
        <v>0.84305555555555556</v>
      </c>
      <c r="I867" s="10">
        <f>IFERROR(SUMIFS('Base bordo CD'!M$2:M$875,'Base bordo CD'!D$2:D$875,A867,'Base bordo CD'!A$2:A$875,B867,'Base bordo CD'!L$2:L$875,"PARADA POR CONDICOES CLIMATICAS"),0)+IFERROR(SUMIFS('Base bordo CD'!M$2:M$875,'Base bordo CD'!D$2:D$875,A867,'Base bordo CD'!A$2:A$875,B867,'Base bordo CD'!L$2:L$875,"TEMPO INDETERMINADO"),0)</f>
        <v>0</v>
      </c>
      <c r="J867" s="10">
        <f>IFERROR(SUMIFS('Base bordo CD'!M$2:M$875,'Base bordo CD'!D$2:D$875,A867,'Base bordo CD'!A$2:A$875,B867,'Base bordo CD'!L$2:L$875,"LIMITAÇÃO INDÚSTRIA"),0)</f>
        <v>9.8199999999999985</v>
      </c>
      <c r="K867" s="10">
        <f>IFERROR(SUMIFS('Base bordo CD'!M$2:M$875,'Base bordo CD'!D$2:D$875,A867,'Base bordo CD'!A$2:A$875,B867,'Base bordo CD'!L$2:L$875,"MAN CORRETIVA*"),0)+IFERROR(SUMIFS('Base bordo CD'!M$2:M$875,'Base bordo CD'!D$2:D$875,A867,'Base bordo CD'!A$2:A$875,B867,'Base bordo CD'!L$2:L$875,"AGUARDANDO MANUTENCAO*"),0)+IFERROR(SUMIFS('Base bordo CD'!M$2:M$875,'Base bordo CD'!D$2:D$875,A867,'Base bordo CD'!A$2:A$875,B867,'Base bordo CD'!L$2:L$875,"TROCA DE FAQUINHA"),0)+IFERROR(SUMIFS('Base bordo CD'!M$2:M$875,'Base bordo CD'!D$2:D$875,A867,'Base bordo CD'!A$2:A$875,B867,'Base bordo CD'!L$2:L$875,"LIMPEZA*"),0)</f>
        <v>0.9738888888888888</v>
      </c>
      <c r="L867" s="10">
        <f>IFERROR(SUMIFS('Base bordo CD'!M$2:M$875,'Base bordo CD'!D$2:D$875,A867,'Base bordo CD'!A$2:A$875,B867,'Base bordo CD'!L$2:L$875,"PATIO - RESERVA"),0)</f>
        <v>0</v>
      </c>
      <c r="M867" s="10">
        <f>IFERROR(SUMIFS('Base bordo CD'!M$2:M$875,'Base bordo CD'!D$2:D$875,A867,'Base bordo CD'!A$2:A$875,B867,'Base bordo CD'!L$2:L$875,"SEM APONTAMENTO"),0)</f>
        <v>0</v>
      </c>
      <c r="N867" s="10">
        <f>IFERROR(SUMIFS('Base bordo CD'!M$2:M$875,'Base bordo CD'!D$2:D$875,A867,'Base bordo CD'!A$2:A$875,B867,'Base bordo CD'!L$2:L$875,"FALTA DE CAMINHÃO"),0)+IFERROR(SUMIFS('Base bordo CD'!M$2:M$875,'Base bordo CD'!D$2:D$875,A867,'Base bordo CD'!A$2:A$875,B867,'Base bordo CD'!L$2:L$875,"FALTA DE COMBUSTIVEL"),0)+IFERROR(SUMIFS('Base bordo CD'!M$2:M$875,'Base bordo CD'!D$2:D$875,A867,'Base bordo CD'!A$2:A$875,B867,'Base bordo CD'!L$2:L$875,"FALTA DE MOTORIST*"),0)</f>
        <v>0</v>
      </c>
      <c r="O867" s="10">
        <f t="shared" si="70"/>
        <v>0.5736111111111093</v>
      </c>
      <c r="P867" s="10">
        <f>IFERROR(SUMIFS('Base bordo CD'!M$2:M$875,'Base bordo CD'!D$2:D$875,A867,'Base bordo CD'!A$2:A$875,B867),0)</f>
        <v>20.228888888888886</v>
      </c>
      <c r="Q867" s="10">
        <f>IFERROR(SUMIFS('Base bordo CD'!O$2:O$875,'Base bordo CD'!D$2:D$875,A867,'Base bordo CD'!A$2:A$875,B867,'Base bordo CD'!L$2:L$875,"CORTE DE CANA MECANIZADO"),0)</f>
        <v>64463.79</v>
      </c>
      <c r="R867" s="10">
        <f>IFERROR(SUMIFS('Base bordo CD'!Q$2:Q$875,'Base bordo CD'!D$2:D$875,A867,'Base bordo CD'!A$2:A$875,B867,'Base bordo CD'!L$2:L$875,"CORTE DE CANA MECANIZADO"),0)</f>
        <v>22689</v>
      </c>
      <c r="S867" s="30">
        <f t="shared" si="71"/>
        <v>2.8411913261933095</v>
      </c>
      <c r="T867" s="9">
        <f t="shared" si="72"/>
        <v>0.31155937602988032</v>
      </c>
      <c r="U867" s="9">
        <f t="shared" si="73"/>
        <v>5.2908381852136664E-2</v>
      </c>
      <c r="V867" s="9">
        <f t="shared" si="74"/>
        <v>0.65652806766999883</v>
      </c>
    </row>
    <row r="868" spans="1:22" x14ac:dyDescent="0.35">
      <c r="A868" s="52">
        <v>49595</v>
      </c>
      <c r="B868" s="31">
        <v>46118</v>
      </c>
      <c r="C868" s="7" t="s">
        <v>337</v>
      </c>
      <c r="D868" s="7">
        <v>353</v>
      </c>
      <c r="E868" s="10">
        <f>IFERROR(SUMIFS('Base bordo CD'!M$2:M$875,'Base bordo CD'!D$2:D$875,A868,'Base bordo CD'!A$2:A$875,B868,'Base bordo CD'!L$2:L$875,"CORTE DE CANA MECANIZADO"),0)</f>
        <v>6.3025000000000002</v>
      </c>
      <c r="F868" s="10">
        <f>IFERROR(SUMIFS('Base bordo CD'!M$2:M$875,'Base bordo CD'!D$2:D$875,A868,'Base bordo CD'!A$2:A$875,B868,'Base bordo CD'!L$2:L$875,"MANOBRA"),0)</f>
        <v>1.0702777777777777</v>
      </c>
      <c r="G868" s="10">
        <f>IFERROR(SUMIFS('Base bordo CD'!M$2:M$875,'Base bordo CD'!D$2:D$875,A868,'Base bordo CD'!A$2:A$875,B868,'Base bordo CD'!L$2:L$875,"DESLOCAMENTO"),0)</f>
        <v>0.64555555555555555</v>
      </c>
      <c r="H868" s="10">
        <f>IFERROR(SUMIFS('Base bordo CD'!M$2:M$875,'Base bordo CD'!D$2:D$875,A868,'Base bordo CD'!A$2:A$875,B868,'Base bordo CD'!L$2:L$875,"AGUARDANDO MANOBRA DE TRANSBORDO"),0)+IFERROR(SUMIFS('Base bordo CD'!M$2:M$875,'Base bordo CD'!D$2:D$875,A868,'Base bordo CD'!A$2:A$875,B868,'Base bordo CD'!L$2:L$875,"FALTA DE TRANSBORDO"),0)</f>
        <v>0.84305555555555556</v>
      </c>
      <c r="I868" s="10">
        <f>IFERROR(SUMIFS('Base bordo CD'!M$2:M$875,'Base bordo CD'!D$2:D$875,A868,'Base bordo CD'!A$2:A$875,B868,'Base bordo CD'!L$2:L$875,"PARADA POR CONDICOES CLIMATICAS"),0)+IFERROR(SUMIFS('Base bordo CD'!M$2:M$875,'Base bordo CD'!D$2:D$875,A868,'Base bordo CD'!A$2:A$875,B868,'Base bordo CD'!L$2:L$875,"TEMPO INDETERMINADO"),0)</f>
        <v>0</v>
      </c>
      <c r="J868" s="10">
        <f>IFERROR(SUMIFS('Base bordo CD'!M$2:M$875,'Base bordo CD'!D$2:D$875,A868,'Base bordo CD'!A$2:A$875,B868,'Base bordo CD'!L$2:L$875,"LIMITAÇÃO INDÚSTRIA"),0)</f>
        <v>9.8199999999999985</v>
      </c>
      <c r="K868" s="10">
        <f>IFERROR(SUMIFS('Base bordo CD'!M$2:M$875,'Base bordo CD'!D$2:D$875,A868,'Base bordo CD'!A$2:A$875,B868,'Base bordo CD'!L$2:L$875,"MAN CORRETIVA*"),0)+IFERROR(SUMIFS('Base bordo CD'!M$2:M$875,'Base bordo CD'!D$2:D$875,A868,'Base bordo CD'!A$2:A$875,B868,'Base bordo CD'!L$2:L$875,"AGUARDANDO MANUTENCAO*"),0)+IFERROR(SUMIFS('Base bordo CD'!M$2:M$875,'Base bordo CD'!D$2:D$875,A868,'Base bordo CD'!A$2:A$875,B868,'Base bordo CD'!L$2:L$875,"TROCA DE FAQUINHA"),0)+IFERROR(SUMIFS('Base bordo CD'!M$2:M$875,'Base bordo CD'!D$2:D$875,A868,'Base bordo CD'!A$2:A$875,B868,'Base bordo CD'!L$2:L$875,"LIMPEZA*"),0)</f>
        <v>0.9738888888888888</v>
      </c>
      <c r="L868" s="10">
        <f>IFERROR(SUMIFS('Base bordo CD'!M$2:M$875,'Base bordo CD'!D$2:D$875,A868,'Base bordo CD'!A$2:A$875,B868,'Base bordo CD'!L$2:L$875,"PATIO - RESERVA"),0)</f>
        <v>0</v>
      </c>
      <c r="M868" s="10">
        <f>IFERROR(SUMIFS('Base bordo CD'!M$2:M$875,'Base bordo CD'!D$2:D$875,A868,'Base bordo CD'!A$2:A$875,B868,'Base bordo CD'!L$2:L$875,"SEM APONTAMENTO"),0)</f>
        <v>0</v>
      </c>
      <c r="N868" s="10">
        <f>IFERROR(SUMIFS('Base bordo CD'!M$2:M$875,'Base bordo CD'!D$2:D$875,A868,'Base bordo CD'!A$2:A$875,B868,'Base bordo CD'!L$2:L$875,"FALTA DE CAMINHÃO"),0)+IFERROR(SUMIFS('Base bordo CD'!M$2:M$875,'Base bordo CD'!D$2:D$875,A868,'Base bordo CD'!A$2:A$875,B868,'Base bordo CD'!L$2:L$875,"FALTA DE COMBUSTIVEL"),0)+IFERROR(SUMIFS('Base bordo CD'!M$2:M$875,'Base bordo CD'!D$2:D$875,A868,'Base bordo CD'!A$2:A$875,B868,'Base bordo CD'!L$2:L$875,"FALTA DE MOTORIST*"),0)</f>
        <v>0</v>
      </c>
      <c r="O868" s="10">
        <f t="shared" si="70"/>
        <v>0.5736111111111093</v>
      </c>
      <c r="P868" s="10">
        <f>IFERROR(SUMIFS('Base bordo CD'!M$2:M$875,'Base bordo CD'!D$2:D$875,A868,'Base bordo CD'!A$2:A$875,B868),0)</f>
        <v>20.228888888888886</v>
      </c>
      <c r="Q868" s="10">
        <f>IFERROR(SUMIFS('Base bordo CD'!O$2:O$875,'Base bordo CD'!D$2:D$875,A868,'Base bordo CD'!A$2:A$875,B868,'Base bordo CD'!L$2:L$875,"CORTE DE CANA MECANIZADO"),0)</f>
        <v>64463.79</v>
      </c>
      <c r="R868" s="10">
        <f>IFERROR(SUMIFS('Base bordo CD'!Q$2:Q$875,'Base bordo CD'!D$2:D$875,A868,'Base bordo CD'!A$2:A$875,B868,'Base bordo CD'!L$2:L$875,"CORTE DE CANA MECANIZADO"),0)</f>
        <v>22689</v>
      </c>
      <c r="S868" s="30">
        <f t="shared" si="71"/>
        <v>2.8411913261933095</v>
      </c>
      <c r="T868" s="9">
        <f t="shared" si="72"/>
        <v>0.31155937602988032</v>
      </c>
      <c r="U868" s="9">
        <f t="shared" si="73"/>
        <v>5.2908381852136664E-2</v>
      </c>
      <c r="V868" s="9">
        <f t="shared" si="74"/>
        <v>0.65652806766999883</v>
      </c>
    </row>
    <row r="869" spans="1:22" x14ac:dyDescent="0.35">
      <c r="A869" s="52">
        <v>49595</v>
      </c>
      <c r="B869" s="31">
        <v>46118</v>
      </c>
      <c r="C869" s="7" t="s">
        <v>337</v>
      </c>
      <c r="D869" s="7">
        <v>353</v>
      </c>
      <c r="E869" s="10">
        <f>IFERROR(SUMIFS('Base bordo CD'!M$2:M$875,'Base bordo CD'!D$2:D$875,A869,'Base bordo CD'!A$2:A$875,B869,'Base bordo CD'!L$2:L$875,"CORTE DE CANA MECANIZADO"),0)</f>
        <v>6.3025000000000002</v>
      </c>
      <c r="F869" s="10">
        <f>IFERROR(SUMIFS('Base bordo CD'!M$2:M$875,'Base bordo CD'!D$2:D$875,A869,'Base bordo CD'!A$2:A$875,B869,'Base bordo CD'!L$2:L$875,"MANOBRA"),0)</f>
        <v>1.0702777777777777</v>
      </c>
      <c r="G869" s="10">
        <f>IFERROR(SUMIFS('Base bordo CD'!M$2:M$875,'Base bordo CD'!D$2:D$875,A869,'Base bordo CD'!A$2:A$875,B869,'Base bordo CD'!L$2:L$875,"DESLOCAMENTO"),0)</f>
        <v>0.64555555555555555</v>
      </c>
      <c r="H869" s="10">
        <f>IFERROR(SUMIFS('Base bordo CD'!M$2:M$875,'Base bordo CD'!D$2:D$875,A869,'Base bordo CD'!A$2:A$875,B869,'Base bordo CD'!L$2:L$875,"AGUARDANDO MANOBRA DE TRANSBORDO"),0)+IFERROR(SUMIFS('Base bordo CD'!M$2:M$875,'Base bordo CD'!D$2:D$875,A869,'Base bordo CD'!A$2:A$875,B869,'Base bordo CD'!L$2:L$875,"FALTA DE TRANSBORDO"),0)</f>
        <v>0.84305555555555556</v>
      </c>
      <c r="I869" s="10">
        <f>IFERROR(SUMIFS('Base bordo CD'!M$2:M$875,'Base bordo CD'!D$2:D$875,A869,'Base bordo CD'!A$2:A$875,B869,'Base bordo CD'!L$2:L$875,"PARADA POR CONDICOES CLIMATICAS"),0)+IFERROR(SUMIFS('Base bordo CD'!M$2:M$875,'Base bordo CD'!D$2:D$875,A869,'Base bordo CD'!A$2:A$875,B869,'Base bordo CD'!L$2:L$875,"TEMPO INDETERMINADO"),0)</f>
        <v>0</v>
      </c>
      <c r="J869" s="10">
        <f>IFERROR(SUMIFS('Base bordo CD'!M$2:M$875,'Base bordo CD'!D$2:D$875,A869,'Base bordo CD'!A$2:A$875,B869,'Base bordo CD'!L$2:L$875,"LIMITAÇÃO INDÚSTRIA"),0)</f>
        <v>9.8199999999999985</v>
      </c>
      <c r="K869" s="10">
        <f>IFERROR(SUMIFS('Base bordo CD'!M$2:M$875,'Base bordo CD'!D$2:D$875,A869,'Base bordo CD'!A$2:A$875,B869,'Base bordo CD'!L$2:L$875,"MAN CORRETIVA*"),0)+IFERROR(SUMIFS('Base bordo CD'!M$2:M$875,'Base bordo CD'!D$2:D$875,A869,'Base bordo CD'!A$2:A$875,B869,'Base bordo CD'!L$2:L$875,"AGUARDANDO MANUTENCAO*"),0)+IFERROR(SUMIFS('Base bordo CD'!M$2:M$875,'Base bordo CD'!D$2:D$875,A869,'Base bordo CD'!A$2:A$875,B869,'Base bordo CD'!L$2:L$875,"TROCA DE FAQUINHA"),0)+IFERROR(SUMIFS('Base bordo CD'!M$2:M$875,'Base bordo CD'!D$2:D$875,A869,'Base bordo CD'!A$2:A$875,B869,'Base bordo CD'!L$2:L$875,"LIMPEZA*"),0)</f>
        <v>0.9738888888888888</v>
      </c>
      <c r="L869" s="10">
        <f>IFERROR(SUMIFS('Base bordo CD'!M$2:M$875,'Base bordo CD'!D$2:D$875,A869,'Base bordo CD'!A$2:A$875,B869,'Base bordo CD'!L$2:L$875,"PATIO - RESERVA"),0)</f>
        <v>0</v>
      </c>
      <c r="M869" s="10">
        <f>IFERROR(SUMIFS('Base bordo CD'!M$2:M$875,'Base bordo CD'!D$2:D$875,A869,'Base bordo CD'!A$2:A$875,B869,'Base bordo CD'!L$2:L$875,"SEM APONTAMENTO"),0)</f>
        <v>0</v>
      </c>
      <c r="N869" s="10">
        <f>IFERROR(SUMIFS('Base bordo CD'!M$2:M$875,'Base bordo CD'!D$2:D$875,A869,'Base bordo CD'!A$2:A$875,B869,'Base bordo CD'!L$2:L$875,"FALTA DE CAMINHÃO"),0)+IFERROR(SUMIFS('Base bordo CD'!M$2:M$875,'Base bordo CD'!D$2:D$875,A869,'Base bordo CD'!A$2:A$875,B869,'Base bordo CD'!L$2:L$875,"FALTA DE COMBUSTIVEL"),0)+IFERROR(SUMIFS('Base bordo CD'!M$2:M$875,'Base bordo CD'!D$2:D$875,A869,'Base bordo CD'!A$2:A$875,B869,'Base bordo CD'!L$2:L$875,"FALTA DE MOTORIST*"),0)</f>
        <v>0</v>
      </c>
      <c r="O869" s="10">
        <f t="shared" si="70"/>
        <v>0.5736111111111093</v>
      </c>
      <c r="P869" s="10">
        <f>IFERROR(SUMIFS('Base bordo CD'!M$2:M$875,'Base bordo CD'!D$2:D$875,A869,'Base bordo CD'!A$2:A$875,B869),0)</f>
        <v>20.228888888888886</v>
      </c>
      <c r="Q869" s="10">
        <f>IFERROR(SUMIFS('Base bordo CD'!O$2:O$875,'Base bordo CD'!D$2:D$875,A869,'Base bordo CD'!A$2:A$875,B869,'Base bordo CD'!L$2:L$875,"CORTE DE CANA MECANIZADO"),0)</f>
        <v>64463.79</v>
      </c>
      <c r="R869" s="10">
        <f>IFERROR(SUMIFS('Base bordo CD'!Q$2:Q$875,'Base bordo CD'!D$2:D$875,A869,'Base bordo CD'!A$2:A$875,B869,'Base bordo CD'!L$2:L$875,"CORTE DE CANA MECANIZADO"),0)</f>
        <v>22689</v>
      </c>
      <c r="S869" s="30">
        <f t="shared" si="71"/>
        <v>2.8411913261933095</v>
      </c>
      <c r="T869" s="9">
        <f t="shared" si="72"/>
        <v>0.31155937602988032</v>
      </c>
      <c r="U869" s="9">
        <f t="shared" si="73"/>
        <v>5.2908381852136664E-2</v>
      </c>
      <c r="V869" s="9">
        <f t="shared" si="74"/>
        <v>0.65652806766999883</v>
      </c>
    </row>
    <row r="870" spans="1:22" x14ac:dyDescent="0.35">
      <c r="A870" s="52">
        <v>49595</v>
      </c>
      <c r="B870" s="31">
        <v>46118</v>
      </c>
      <c r="C870" s="7" t="s">
        <v>337</v>
      </c>
      <c r="D870" s="7">
        <v>353</v>
      </c>
      <c r="E870" s="10">
        <f>IFERROR(SUMIFS('Base bordo CD'!M$2:M$875,'Base bordo CD'!D$2:D$875,A870,'Base bordo CD'!A$2:A$875,B870,'Base bordo CD'!L$2:L$875,"CORTE DE CANA MECANIZADO"),0)</f>
        <v>6.3025000000000002</v>
      </c>
      <c r="F870" s="10">
        <f>IFERROR(SUMIFS('Base bordo CD'!M$2:M$875,'Base bordo CD'!D$2:D$875,A870,'Base bordo CD'!A$2:A$875,B870,'Base bordo CD'!L$2:L$875,"MANOBRA"),0)</f>
        <v>1.0702777777777777</v>
      </c>
      <c r="G870" s="10">
        <f>IFERROR(SUMIFS('Base bordo CD'!M$2:M$875,'Base bordo CD'!D$2:D$875,A870,'Base bordo CD'!A$2:A$875,B870,'Base bordo CD'!L$2:L$875,"DESLOCAMENTO"),0)</f>
        <v>0.64555555555555555</v>
      </c>
      <c r="H870" s="10">
        <f>IFERROR(SUMIFS('Base bordo CD'!M$2:M$875,'Base bordo CD'!D$2:D$875,A870,'Base bordo CD'!A$2:A$875,B870,'Base bordo CD'!L$2:L$875,"AGUARDANDO MANOBRA DE TRANSBORDO"),0)+IFERROR(SUMIFS('Base bordo CD'!M$2:M$875,'Base bordo CD'!D$2:D$875,A870,'Base bordo CD'!A$2:A$875,B870,'Base bordo CD'!L$2:L$875,"FALTA DE TRANSBORDO"),0)</f>
        <v>0.84305555555555556</v>
      </c>
      <c r="I870" s="10">
        <f>IFERROR(SUMIFS('Base bordo CD'!M$2:M$875,'Base bordo CD'!D$2:D$875,A870,'Base bordo CD'!A$2:A$875,B870,'Base bordo CD'!L$2:L$875,"PARADA POR CONDICOES CLIMATICAS"),0)+IFERROR(SUMIFS('Base bordo CD'!M$2:M$875,'Base bordo CD'!D$2:D$875,A870,'Base bordo CD'!A$2:A$875,B870,'Base bordo CD'!L$2:L$875,"TEMPO INDETERMINADO"),0)</f>
        <v>0</v>
      </c>
      <c r="J870" s="10">
        <f>IFERROR(SUMIFS('Base bordo CD'!M$2:M$875,'Base bordo CD'!D$2:D$875,A870,'Base bordo CD'!A$2:A$875,B870,'Base bordo CD'!L$2:L$875,"LIMITAÇÃO INDÚSTRIA"),0)</f>
        <v>9.8199999999999985</v>
      </c>
      <c r="K870" s="10">
        <f>IFERROR(SUMIFS('Base bordo CD'!M$2:M$875,'Base bordo CD'!D$2:D$875,A870,'Base bordo CD'!A$2:A$875,B870,'Base bordo CD'!L$2:L$875,"MAN CORRETIVA*"),0)+IFERROR(SUMIFS('Base bordo CD'!M$2:M$875,'Base bordo CD'!D$2:D$875,A870,'Base bordo CD'!A$2:A$875,B870,'Base bordo CD'!L$2:L$875,"AGUARDANDO MANUTENCAO*"),0)+IFERROR(SUMIFS('Base bordo CD'!M$2:M$875,'Base bordo CD'!D$2:D$875,A870,'Base bordo CD'!A$2:A$875,B870,'Base bordo CD'!L$2:L$875,"TROCA DE FAQUINHA"),0)+IFERROR(SUMIFS('Base bordo CD'!M$2:M$875,'Base bordo CD'!D$2:D$875,A870,'Base bordo CD'!A$2:A$875,B870,'Base bordo CD'!L$2:L$875,"LIMPEZA*"),0)</f>
        <v>0.9738888888888888</v>
      </c>
      <c r="L870" s="10">
        <f>IFERROR(SUMIFS('Base bordo CD'!M$2:M$875,'Base bordo CD'!D$2:D$875,A870,'Base bordo CD'!A$2:A$875,B870,'Base bordo CD'!L$2:L$875,"PATIO - RESERVA"),0)</f>
        <v>0</v>
      </c>
      <c r="M870" s="10">
        <f>IFERROR(SUMIFS('Base bordo CD'!M$2:M$875,'Base bordo CD'!D$2:D$875,A870,'Base bordo CD'!A$2:A$875,B870,'Base bordo CD'!L$2:L$875,"SEM APONTAMENTO"),0)</f>
        <v>0</v>
      </c>
      <c r="N870" s="10">
        <f>IFERROR(SUMIFS('Base bordo CD'!M$2:M$875,'Base bordo CD'!D$2:D$875,A870,'Base bordo CD'!A$2:A$875,B870,'Base bordo CD'!L$2:L$875,"FALTA DE CAMINHÃO"),0)+IFERROR(SUMIFS('Base bordo CD'!M$2:M$875,'Base bordo CD'!D$2:D$875,A870,'Base bordo CD'!A$2:A$875,B870,'Base bordo CD'!L$2:L$875,"FALTA DE COMBUSTIVEL"),0)+IFERROR(SUMIFS('Base bordo CD'!M$2:M$875,'Base bordo CD'!D$2:D$875,A870,'Base bordo CD'!A$2:A$875,B870,'Base bordo CD'!L$2:L$875,"FALTA DE MOTORIST*"),0)</f>
        <v>0</v>
      </c>
      <c r="O870" s="10">
        <f t="shared" si="70"/>
        <v>0.5736111111111093</v>
      </c>
      <c r="P870" s="10">
        <f>IFERROR(SUMIFS('Base bordo CD'!M$2:M$875,'Base bordo CD'!D$2:D$875,A870,'Base bordo CD'!A$2:A$875,B870),0)</f>
        <v>20.228888888888886</v>
      </c>
      <c r="Q870" s="10">
        <f>IFERROR(SUMIFS('Base bordo CD'!O$2:O$875,'Base bordo CD'!D$2:D$875,A870,'Base bordo CD'!A$2:A$875,B870,'Base bordo CD'!L$2:L$875,"CORTE DE CANA MECANIZADO"),0)</f>
        <v>64463.79</v>
      </c>
      <c r="R870" s="10">
        <f>IFERROR(SUMIFS('Base bordo CD'!Q$2:Q$875,'Base bordo CD'!D$2:D$875,A870,'Base bordo CD'!A$2:A$875,B870,'Base bordo CD'!L$2:L$875,"CORTE DE CANA MECANIZADO"),0)</f>
        <v>22689</v>
      </c>
      <c r="S870" s="30">
        <f t="shared" si="71"/>
        <v>2.8411913261933095</v>
      </c>
      <c r="T870" s="9">
        <f t="shared" si="72"/>
        <v>0.31155937602988032</v>
      </c>
      <c r="U870" s="9">
        <f t="shared" si="73"/>
        <v>5.2908381852136664E-2</v>
      </c>
      <c r="V870" s="9">
        <f t="shared" si="74"/>
        <v>0.65652806766999883</v>
      </c>
    </row>
    <row r="871" spans="1:22" x14ac:dyDescent="0.35">
      <c r="A871" s="52">
        <v>49595</v>
      </c>
      <c r="B871" s="31">
        <v>46118</v>
      </c>
      <c r="C871" s="7" t="s">
        <v>337</v>
      </c>
      <c r="D871" s="7">
        <v>353</v>
      </c>
      <c r="E871" s="10">
        <f>IFERROR(SUMIFS('Base bordo CD'!M$2:M$875,'Base bordo CD'!D$2:D$875,A871,'Base bordo CD'!A$2:A$875,B871,'Base bordo CD'!L$2:L$875,"CORTE DE CANA MECANIZADO"),0)</f>
        <v>6.3025000000000002</v>
      </c>
      <c r="F871" s="10">
        <f>IFERROR(SUMIFS('Base bordo CD'!M$2:M$875,'Base bordo CD'!D$2:D$875,A871,'Base bordo CD'!A$2:A$875,B871,'Base bordo CD'!L$2:L$875,"MANOBRA"),0)</f>
        <v>1.0702777777777777</v>
      </c>
      <c r="G871" s="10">
        <f>IFERROR(SUMIFS('Base bordo CD'!M$2:M$875,'Base bordo CD'!D$2:D$875,A871,'Base bordo CD'!A$2:A$875,B871,'Base bordo CD'!L$2:L$875,"DESLOCAMENTO"),0)</f>
        <v>0.64555555555555555</v>
      </c>
      <c r="H871" s="10">
        <f>IFERROR(SUMIFS('Base bordo CD'!M$2:M$875,'Base bordo CD'!D$2:D$875,A871,'Base bordo CD'!A$2:A$875,B871,'Base bordo CD'!L$2:L$875,"AGUARDANDO MANOBRA DE TRANSBORDO"),0)+IFERROR(SUMIFS('Base bordo CD'!M$2:M$875,'Base bordo CD'!D$2:D$875,A871,'Base bordo CD'!A$2:A$875,B871,'Base bordo CD'!L$2:L$875,"FALTA DE TRANSBORDO"),0)</f>
        <v>0.84305555555555556</v>
      </c>
      <c r="I871" s="10">
        <f>IFERROR(SUMIFS('Base bordo CD'!M$2:M$875,'Base bordo CD'!D$2:D$875,A871,'Base bordo CD'!A$2:A$875,B871,'Base bordo CD'!L$2:L$875,"PARADA POR CONDICOES CLIMATICAS"),0)+IFERROR(SUMIFS('Base bordo CD'!M$2:M$875,'Base bordo CD'!D$2:D$875,A871,'Base bordo CD'!A$2:A$875,B871,'Base bordo CD'!L$2:L$875,"TEMPO INDETERMINADO"),0)</f>
        <v>0</v>
      </c>
      <c r="J871" s="10">
        <f>IFERROR(SUMIFS('Base bordo CD'!M$2:M$875,'Base bordo CD'!D$2:D$875,A871,'Base bordo CD'!A$2:A$875,B871,'Base bordo CD'!L$2:L$875,"LIMITAÇÃO INDÚSTRIA"),0)</f>
        <v>9.8199999999999985</v>
      </c>
      <c r="K871" s="10">
        <f>IFERROR(SUMIFS('Base bordo CD'!M$2:M$875,'Base bordo CD'!D$2:D$875,A871,'Base bordo CD'!A$2:A$875,B871,'Base bordo CD'!L$2:L$875,"MAN CORRETIVA*"),0)+IFERROR(SUMIFS('Base bordo CD'!M$2:M$875,'Base bordo CD'!D$2:D$875,A871,'Base bordo CD'!A$2:A$875,B871,'Base bordo CD'!L$2:L$875,"AGUARDANDO MANUTENCAO*"),0)+IFERROR(SUMIFS('Base bordo CD'!M$2:M$875,'Base bordo CD'!D$2:D$875,A871,'Base bordo CD'!A$2:A$875,B871,'Base bordo CD'!L$2:L$875,"TROCA DE FAQUINHA"),0)+IFERROR(SUMIFS('Base bordo CD'!M$2:M$875,'Base bordo CD'!D$2:D$875,A871,'Base bordo CD'!A$2:A$875,B871,'Base bordo CD'!L$2:L$875,"LIMPEZA*"),0)</f>
        <v>0.9738888888888888</v>
      </c>
      <c r="L871" s="10">
        <f>IFERROR(SUMIFS('Base bordo CD'!M$2:M$875,'Base bordo CD'!D$2:D$875,A871,'Base bordo CD'!A$2:A$875,B871,'Base bordo CD'!L$2:L$875,"PATIO - RESERVA"),0)</f>
        <v>0</v>
      </c>
      <c r="M871" s="10">
        <f>IFERROR(SUMIFS('Base bordo CD'!M$2:M$875,'Base bordo CD'!D$2:D$875,A871,'Base bordo CD'!A$2:A$875,B871,'Base bordo CD'!L$2:L$875,"SEM APONTAMENTO"),0)</f>
        <v>0</v>
      </c>
      <c r="N871" s="10">
        <f>IFERROR(SUMIFS('Base bordo CD'!M$2:M$875,'Base bordo CD'!D$2:D$875,A871,'Base bordo CD'!A$2:A$875,B871,'Base bordo CD'!L$2:L$875,"FALTA DE CAMINHÃO"),0)+IFERROR(SUMIFS('Base bordo CD'!M$2:M$875,'Base bordo CD'!D$2:D$875,A871,'Base bordo CD'!A$2:A$875,B871,'Base bordo CD'!L$2:L$875,"FALTA DE COMBUSTIVEL"),0)+IFERROR(SUMIFS('Base bordo CD'!M$2:M$875,'Base bordo CD'!D$2:D$875,A871,'Base bordo CD'!A$2:A$875,B871,'Base bordo CD'!L$2:L$875,"FALTA DE MOTORIST*"),0)</f>
        <v>0</v>
      </c>
      <c r="O871" s="10">
        <f t="shared" si="70"/>
        <v>0.5736111111111093</v>
      </c>
      <c r="P871" s="10">
        <f>IFERROR(SUMIFS('Base bordo CD'!M$2:M$875,'Base bordo CD'!D$2:D$875,A871,'Base bordo CD'!A$2:A$875,B871),0)</f>
        <v>20.228888888888886</v>
      </c>
      <c r="Q871" s="10">
        <f>IFERROR(SUMIFS('Base bordo CD'!O$2:O$875,'Base bordo CD'!D$2:D$875,A871,'Base bordo CD'!A$2:A$875,B871,'Base bordo CD'!L$2:L$875,"CORTE DE CANA MECANIZADO"),0)</f>
        <v>64463.79</v>
      </c>
      <c r="R871" s="10">
        <f>IFERROR(SUMIFS('Base bordo CD'!Q$2:Q$875,'Base bordo CD'!D$2:D$875,A871,'Base bordo CD'!A$2:A$875,B871,'Base bordo CD'!L$2:L$875,"CORTE DE CANA MECANIZADO"),0)</f>
        <v>22689</v>
      </c>
      <c r="S871" s="30">
        <f t="shared" si="71"/>
        <v>2.8411913261933095</v>
      </c>
      <c r="T871" s="9">
        <f t="shared" si="72"/>
        <v>0.31155937602988032</v>
      </c>
      <c r="U871" s="9">
        <f t="shared" si="73"/>
        <v>5.2908381852136664E-2</v>
      </c>
      <c r="V871" s="9">
        <f t="shared" si="74"/>
        <v>0.65652806766999883</v>
      </c>
    </row>
    <row r="872" spans="1:22" x14ac:dyDescent="0.35">
      <c r="A872" s="52">
        <v>49595</v>
      </c>
      <c r="B872" s="31">
        <v>46118</v>
      </c>
      <c r="C872" s="7" t="s">
        <v>337</v>
      </c>
      <c r="D872" s="7">
        <v>353</v>
      </c>
      <c r="E872" s="10">
        <f>IFERROR(SUMIFS('Base bordo CD'!M$2:M$875,'Base bordo CD'!D$2:D$875,A872,'Base bordo CD'!A$2:A$875,B872,'Base bordo CD'!L$2:L$875,"CORTE DE CANA MECANIZADO"),0)</f>
        <v>6.3025000000000002</v>
      </c>
      <c r="F872" s="10">
        <f>IFERROR(SUMIFS('Base bordo CD'!M$2:M$875,'Base bordo CD'!D$2:D$875,A872,'Base bordo CD'!A$2:A$875,B872,'Base bordo CD'!L$2:L$875,"MANOBRA"),0)</f>
        <v>1.0702777777777777</v>
      </c>
      <c r="G872" s="10">
        <f>IFERROR(SUMIFS('Base bordo CD'!M$2:M$875,'Base bordo CD'!D$2:D$875,A872,'Base bordo CD'!A$2:A$875,B872,'Base bordo CD'!L$2:L$875,"DESLOCAMENTO"),0)</f>
        <v>0.64555555555555555</v>
      </c>
      <c r="H872" s="10">
        <f>IFERROR(SUMIFS('Base bordo CD'!M$2:M$875,'Base bordo CD'!D$2:D$875,A872,'Base bordo CD'!A$2:A$875,B872,'Base bordo CD'!L$2:L$875,"AGUARDANDO MANOBRA DE TRANSBORDO"),0)+IFERROR(SUMIFS('Base bordo CD'!M$2:M$875,'Base bordo CD'!D$2:D$875,A872,'Base bordo CD'!A$2:A$875,B872,'Base bordo CD'!L$2:L$875,"FALTA DE TRANSBORDO"),0)</f>
        <v>0.84305555555555556</v>
      </c>
      <c r="I872" s="10">
        <f>IFERROR(SUMIFS('Base bordo CD'!M$2:M$875,'Base bordo CD'!D$2:D$875,A872,'Base bordo CD'!A$2:A$875,B872,'Base bordo CD'!L$2:L$875,"PARADA POR CONDICOES CLIMATICAS"),0)+IFERROR(SUMIFS('Base bordo CD'!M$2:M$875,'Base bordo CD'!D$2:D$875,A872,'Base bordo CD'!A$2:A$875,B872,'Base bordo CD'!L$2:L$875,"TEMPO INDETERMINADO"),0)</f>
        <v>0</v>
      </c>
      <c r="J872" s="10">
        <f>IFERROR(SUMIFS('Base bordo CD'!M$2:M$875,'Base bordo CD'!D$2:D$875,A872,'Base bordo CD'!A$2:A$875,B872,'Base bordo CD'!L$2:L$875,"LIMITAÇÃO INDÚSTRIA"),0)</f>
        <v>9.8199999999999985</v>
      </c>
      <c r="K872" s="10">
        <f>IFERROR(SUMIFS('Base bordo CD'!M$2:M$875,'Base bordo CD'!D$2:D$875,A872,'Base bordo CD'!A$2:A$875,B872,'Base bordo CD'!L$2:L$875,"MAN CORRETIVA*"),0)+IFERROR(SUMIFS('Base bordo CD'!M$2:M$875,'Base bordo CD'!D$2:D$875,A872,'Base bordo CD'!A$2:A$875,B872,'Base bordo CD'!L$2:L$875,"AGUARDANDO MANUTENCAO*"),0)+IFERROR(SUMIFS('Base bordo CD'!M$2:M$875,'Base bordo CD'!D$2:D$875,A872,'Base bordo CD'!A$2:A$875,B872,'Base bordo CD'!L$2:L$875,"TROCA DE FAQUINHA"),0)+IFERROR(SUMIFS('Base bordo CD'!M$2:M$875,'Base bordo CD'!D$2:D$875,A872,'Base bordo CD'!A$2:A$875,B872,'Base bordo CD'!L$2:L$875,"LIMPEZA*"),0)</f>
        <v>0.9738888888888888</v>
      </c>
      <c r="L872" s="10">
        <f>IFERROR(SUMIFS('Base bordo CD'!M$2:M$875,'Base bordo CD'!D$2:D$875,A872,'Base bordo CD'!A$2:A$875,B872,'Base bordo CD'!L$2:L$875,"PATIO - RESERVA"),0)</f>
        <v>0</v>
      </c>
      <c r="M872" s="10">
        <f>IFERROR(SUMIFS('Base bordo CD'!M$2:M$875,'Base bordo CD'!D$2:D$875,A872,'Base bordo CD'!A$2:A$875,B872,'Base bordo CD'!L$2:L$875,"SEM APONTAMENTO"),0)</f>
        <v>0</v>
      </c>
      <c r="N872" s="10">
        <f>IFERROR(SUMIFS('Base bordo CD'!M$2:M$875,'Base bordo CD'!D$2:D$875,A872,'Base bordo CD'!A$2:A$875,B872,'Base bordo CD'!L$2:L$875,"FALTA DE CAMINHÃO"),0)+IFERROR(SUMIFS('Base bordo CD'!M$2:M$875,'Base bordo CD'!D$2:D$875,A872,'Base bordo CD'!A$2:A$875,B872,'Base bordo CD'!L$2:L$875,"FALTA DE COMBUSTIVEL"),0)+IFERROR(SUMIFS('Base bordo CD'!M$2:M$875,'Base bordo CD'!D$2:D$875,A872,'Base bordo CD'!A$2:A$875,B872,'Base bordo CD'!L$2:L$875,"FALTA DE MOTORIST*"),0)</f>
        <v>0</v>
      </c>
      <c r="O872" s="10">
        <f t="shared" si="70"/>
        <v>0.5736111111111093</v>
      </c>
      <c r="P872" s="10">
        <f>IFERROR(SUMIFS('Base bordo CD'!M$2:M$875,'Base bordo CD'!D$2:D$875,A872,'Base bordo CD'!A$2:A$875,B872),0)</f>
        <v>20.228888888888886</v>
      </c>
      <c r="Q872" s="10">
        <f>IFERROR(SUMIFS('Base bordo CD'!O$2:O$875,'Base bordo CD'!D$2:D$875,A872,'Base bordo CD'!A$2:A$875,B872,'Base bordo CD'!L$2:L$875,"CORTE DE CANA MECANIZADO"),0)</f>
        <v>64463.79</v>
      </c>
      <c r="R872" s="10">
        <f>IFERROR(SUMIFS('Base bordo CD'!Q$2:Q$875,'Base bordo CD'!D$2:D$875,A872,'Base bordo CD'!A$2:A$875,B872,'Base bordo CD'!L$2:L$875,"CORTE DE CANA MECANIZADO"),0)</f>
        <v>22689</v>
      </c>
      <c r="S872" s="30">
        <f t="shared" si="71"/>
        <v>2.8411913261933095</v>
      </c>
      <c r="T872" s="9">
        <f t="shared" si="72"/>
        <v>0.31155937602988032</v>
      </c>
      <c r="U872" s="9">
        <f t="shared" si="73"/>
        <v>5.2908381852136664E-2</v>
      </c>
      <c r="V872" s="9">
        <f t="shared" si="74"/>
        <v>0.65652806766999883</v>
      </c>
    </row>
    <row r="873" spans="1:22" x14ac:dyDescent="0.35">
      <c r="A873" s="52">
        <v>49595</v>
      </c>
      <c r="B873" s="31">
        <v>46118</v>
      </c>
      <c r="C873" s="7" t="s">
        <v>337</v>
      </c>
      <c r="D873" s="7">
        <v>353</v>
      </c>
      <c r="E873" s="10">
        <f>IFERROR(SUMIFS('Base bordo CD'!M$2:M$875,'Base bordo CD'!D$2:D$875,A873,'Base bordo CD'!A$2:A$875,B873,'Base bordo CD'!L$2:L$875,"CORTE DE CANA MECANIZADO"),0)</f>
        <v>6.3025000000000002</v>
      </c>
      <c r="F873" s="10">
        <f>IFERROR(SUMIFS('Base bordo CD'!M$2:M$875,'Base bordo CD'!D$2:D$875,A873,'Base bordo CD'!A$2:A$875,B873,'Base bordo CD'!L$2:L$875,"MANOBRA"),0)</f>
        <v>1.0702777777777777</v>
      </c>
      <c r="G873" s="10">
        <f>IFERROR(SUMIFS('Base bordo CD'!M$2:M$875,'Base bordo CD'!D$2:D$875,A873,'Base bordo CD'!A$2:A$875,B873,'Base bordo CD'!L$2:L$875,"DESLOCAMENTO"),0)</f>
        <v>0.64555555555555555</v>
      </c>
      <c r="H873" s="10">
        <f>IFERROR(SUMIFS('Base bordo CD'!M$2:M$875,'Base bordo CD'!D$2:D$875,A873,'Base bordo CD'!A$2:A$875,B873,'Base bordo CD'!L$2:L$875,"AGUARDANDO MANOBRA DE TRANSBORDO"),0)+IFERROR(SUMIFS('Base bordo CD'!M$2:M$875,'Base bordo CD'!D$2:D$875,A873,'Base bordo CD'!A$2:A$875,B873,'Base bordo CD'!L$2:L$875,"FALTA DE TRANSBORDO"),0)</f>
        <v>0.84305555555555556</v>
      </c>
      <c r="I873" s="10">
        <f>IFERROR(SUMIFS('Base bordo CD'!M$2:M$875,'Base bordo CD'!D$2:D$875,A873,'Base bordo CD'!A$2:A$875,B873,'Base bordo CD'!L$2:L$875,"PARADA POR CONDICOES CLIMATICAS"),0)+IFERROR(SUMIFS('Base bordo CD'!M$2:M$875,'Base bordo CD'!D$2:D$875,A873,'Base bordo CD'!A$2:A$875,B873,'Base bordo CD'!L$2:L$875,"TEMPO INDETERMINADO"),0)</f>
        <v>0</v>
      </c>
      <c r="J873" s="10">
        <f>IFERROR(SUMIFS('Base bordo CD'!M$2:M$875,'Base bordo CD'!D$2:D$875,A873,'Base bordo CD'!A$2:A$875,B873,'Base bordo CD'!L$2:L$875,"LIMITAÇÃO INDÚSTRIA"),0)</f>
        <v>9.8199999999999985</v>
      </c>
      <c r="K873" s="10">
        <f>IFERROR(SUMIFS('Base bordo CD'!M$2:M$875,'Base bordo CD'!D$2:D$875,A873,'Base bordo CD'!A$2:A$875,B873,'Base bordo CD'!L$2:L$875,"MAN CORRETIVA*"),0)+IFERROR(SUMIFS('Base bordo CD'!M$2:M$875,'Base bordo CD'!D$2:D$875,A873,'Base bordo CD'!A$2:A$875,B873,'Base bordo CD'!L$2:L$875,"AGUARDANDO MANUTENCAO*"),0)+IFERROR(SUMIFS('Base bordo CD'!M$2:M$875,'Base bordo CD'!D$2:D$875,A873,'Base bordo CD'!A$2:A$875,B873,'Base bordo CD'!L$2:L$875,"TROCA DE FAQUINHA"),0)+IFERROR(SUMIFS('Base bordo CD'!M$2:M$875,'Base bordo CD'!D$2:D$875,A873,'Base bordo CD'!A$2:A$875,B873,'Base bordo CD'!L$2:L$875,"LIMPEZA*"),0)</f>
        <v>0.9738888888888888</v>
      </c>
      <c r="L873" s="10">
        <f>IFERROR(SUMIFS('Base bordo CD'!M$2:M$875,'Base bordo CD'!D$2:D$875,A873,'Base bordo CD'!A$2:A$875,B873,'Base bordo CD'!L$2:L$875,"PATIO - RESERVA"),0)</f>
        <v>0</v>
      </c>
      <c r="M873" s="10">
        <f>IFERROR(SUMIFS('Base bordo CD'!M$2:M$875,'Base bordo CD'!D$2:D$875,A873,'Base bordo CD'!A$2:A$875,B873,'Base bordo CD'!L$2:L$875,"SEM APONTAMENTO"),0)</f>
        <v>0</v>
      </c>
      <c r="N873" s="10">
        <f>IFERROR(SUMIFS('Base bordo CD'!M$2:M$875,'Base bordo CD'!D$2:D$875,A873,'Base bordo CD'!A$2:A$875,B873,'Base bordo CD'!L$2:L$875,"FALTA DE CAMINHÃO"),0)+IFERROR(SUMIFS('Base bordo CD'!M$2:M$875,'Base bordo CD'!D$2:D$875,A873,'Base bordo CD'!A$2:A$875,B873,'Base bordo CD'!L$2:L$875,"FALTA DE COMBUSTIVEL"),0)+IFERROR(SUMIFS('Base bordo CD'!M$2:M$875,'Base bordo CD'!D$2:D$875,A873,'Base bordo CD'!A$2:A$875,B873,'Base bordo CD'!L$2:L$875,"FALTA DE MOTORIST*"),0)</f>
        <v>0</v>
      </c>
      <c r="O873" s="10">
        <f t="shared" si="70"/>
        <v>0.5736111111111093</v>
      </c>
      <c r="P873" s="10">
        <f>IFERROR(SUMIFS('Base bordo CD'!M$2:M$875,'Base bordo CD'!D$2:D$875,A873,'Base bordo CD'!A$2:A$875,B873),0)</f>
        <v>20.228888888888886</v>
      </c>
      <c r="Q873" s="10">
        <f>IFERROR(SUMIFS('Base bordo CD'!O$2:O$875,'Base bordo CD'!D$2:D$875,A873,'Base bordo CD'!A$2:A$875,B873,'Base bordo CD'!L$2:L$875,"CORTE DE CANA MECANIZADO"),0)</f>
        <v>64463.79</v>
      </c>
      <c r="R873" s="10">
        <f>IFERROR(SUMIFS('Base bordo CD'!Q$2:Q$875,'Base bordo CD'!D$2:D$875,A873,'Base bordo CD'!A$2:A$875,B873,'Base bordo CD'!L$2:L$875,"CORTE DE CANA MECANIZADO"),0)</f>
        <v>22689</v>
      </c>
      <c r="S873" s="30">
        <f t="shared" si="71"/>
        <v>2.8411913261933095</v>
      </c>
      <c r="T873" s="9">
        <f t="shared" si="72"/>
        <v>0.31155937602988032</v>
      </c>
      <c r="U873" s="9">
        <f t="shared" si="73"/>
        <v>5.2908381852136664E-2</v>
      </c>
      <c r="V873" s="9">
        <f t="shared" si="74"/>
        <v>0.65652806766999883</v>
      </c>
    </row>
    <row r="874" spans="1:22" x14ac:dyDescent="0.35">
      <c r="A874" s="52">
        <v>49595</v>
      </c>
      <c r="B874" s="31">
        <v>46118</v>
      </c>
      <c r="C874" s="7" t="s">
        <v>337</v>
      </c>
      <c r="D874" s="7">
        <v>353</v>
      </c>
      <c r="E874" s="10">
        <f>IFERROR(SUMIFS('Base bordo CD'!M$2:M$875,'Base bordo CD'!D$2:D$875,A874,'Base bordo CD'!A$2:A$875,B874,'Base bordo CD'!L$2:L$875,"CORTE DE CANA MECANIZADO"),0)</f>
        <v>6.3025000000000002</v>
      </c>
      <c r="F874" s="10">
        <f>IFERROR(SUMIFS('Base bordo CD'!M$2:M$875,'Base bordo CD'!D$2:D$875,A874,'Base bordo CD'!A$2:A$875,B874,'Base bordo CD'!L$2:L$875,"MANOBRA"),0)</f>
        <v>1.0702777777777777</v>
      </c>
      <c r="G874" s="10">
        <f>IFERROR(SUMIFS('Base bordo CD'!M$2:M$875,'Base bordo CD'!D$2:D$875,A874,'Base bordo CD'!A$2:A$875,B874,'Base bordo CD'!L$2:L$875,"DESLOCAMENTO"),0)</f>
        <v>0.64555555555555555</v>
      </c>
      <c r="H874" s="10">
        <f>IFERROR(SUMIFS('Base bordo CD'!M$2:M$875,'Base bordo CD'!D$2:D$875,A874,'Base bordo CD'!A$2:A$875,B874,'Base bordo CD'!L$2:L$875,"AGUARDANDO MANOBRA DE TRANSBORDO"),0)+IFERROR(SUMIFS('Base bordo CD'!M$2:M$875,'Base bordo CD'!D$2:D$875,A874,'Base bordo CD'!A$2:A$875,B874,'Base bordo CD'!L$2:L$875,"FALTA DE TRANSBORDO"),0)</f>
        <v>0.84305555555555556</v>
      </c>
      <c r="I874" s="10">
        <f>IFERROR(SUMIFS('Base bordo CD'!M$2:M$875,'Base bordo CD'!D$2:D$875,A874,'Base bordo CD'!A$2:A$875,B874,'Base bordo CD'!L$2:L$875,"PARADA POR CONDICOES CLIMATICAS"),0)+IFERROR(SUMIFS('Base bordo CD'!M$2:M$875,'Base bordo CD'!D$2:D$875,A874,'Base bordo CD'!A$2:A$875,B874,'Base bordo CD'!L$2:L$875,"TEMPO INDETERMINADO"),0)</f>
        <v>0</v>
      </c>
      <c r="J874" s="10">
        <f>IFERROR(SUMIFS('Base bordo CD'!M$2:M$875,'Base bordo CD'!D$2:D$875,A874,'Base bordo CD'!A$2:A$875,B874,'Base bordo CD'!L$2:L$875,"LIMITAÇÃO INDÚSTRIA"),0)</f>
        <v>9.8199999999999985</v>
      </c>
      <c r="K874" s="10">
        <f>IFERROR(SUMIFS('Base bordo CD'!M$2:M$875,'Base bordo CD'!D$2:D$875,A874,'Base bordo CD'!A$2:A$875,B874,'Base bordo CD'!L$2:L$875,"MAN CORRETIVA*"),0)+IFERROR(SUMIFS('Base bordo CD'!M$2:M$875,'Base bordo CD'!D$2:D$875,A874,'Base bordo CD'!A$2:A$875,B874,'Base bordo CD'!L$2:L$875,"AGUARDANDO MANUTENCAO*"),0)+IFERROR(SUMIFS('Base bordo CD'!M$2:M$875,'Base bordo CD'!D$2:D$875,A874,'Base bordo CD'!A$2:A$875,B874,'Base bordo CD'!L$2:L$875,"TROCA DE FAQUINHA"),0)+IFERROR(SUMIFS('Base bordo CD'!M$2:M$875,'Base bordo CD'!D$2:D$875,A874,'Base bordo CD'!A$2:A$875,B874,'Base bordo CD'!L$2:L$875,"LIMPEZA*"),0)</f>
        <v>0.9738888888888888</v>
      </c>
      <c r="L874" s="10">
        <f>IFERROR(SUMIFS('Base bordo CD'!M$2:M$875,'Base bordo CD'!D$2:D$875,A874,'Base bordo CD'!A$2:A$875,B874,'Base bordo CD'!L$2:L$875,"PATIO - RESERVA"),0)</f>
        <v>0</v>
      </c>
      <c r="M874" s="10">
        <f>IFERROR(SUMIFS('Base bordo CD'!M$2:M$875,'Base bordo CD'!D$2:D$875,A874,'Base bordo CD'!A$2:A$875,B874,'Base bordo CD'!L$2:L$875,"SEM APONTAMENTO"),0)</f>
        <v>0</v>
      </c>
      <c r="N874" s="10">
        <f>IFERROR(SUMIFS('Base bordo CD'!M$2:M$875,'Base bordo CD'!D$2:D$875,A874,'Base bordo CD'!A$2:A$875,B874,'Base bordo CD'!L$2:L$875,"FALTA DE CAMINHÃO"),0)+IFERROR(SUMIFS('Base bordo CD'!M$2:M$875,'Base bordo CD'!D$2:D$875,A874,'Base bordo CD'!A$2:A$875,B874,'Base bordo CD'!L$2:L$875,"FALTA DE COMBUSTIVEL"),0)+IFERROR(SUMIFS('Base bordo CD'!M$2:M$875,'Base bordo CD'!D$2:D$875,A874,'Base bordo CD'!A$2:A$875,B874,'Base bordo CD'!L$2:L$875,"FALTA DE MOTORIST*"),0)</f>
        <v>0</v>
      </c>
      <c r="O874" s="10">
        <f t="shared" si="70"/>
        <v>0.5736111111111093</v>
      </c>
      <c r="P874" s="10">
        <f>IFERROR(SUMIFS('Base bordo CD'!M$2:M$875,'Base bordo CD'!D$2:D$875,A874,'Base bordo CD'!A$2:A$875,B874),0)</f>
        <v>20.228888888888886</v>
      </c>
      <c r="Q874" s="10">
        <f>IFERROR(SUMIFS('Base bordo CD'!O$2:O$875,'Base bordo CD'!D$2:D$875,A874,'Base bordo CD'!A$2:A$875,B874,'Base bordo CD'!L$2:L$875,"CORTE DE CANA MECANIZADO"),0)</f>
        <v>64463.79</v>
      </c>
      <c r="R874" s="10">
        <f>IFERROR(SUMIFS('Base bordo CD'!Q$2:Q$875,'Base bordo CD'!D$2:D$875,A874,'Base bordo CD'!A$2:A$875,B874,'Base bordo CD'!L$2:L$875,"CORTE DE CANA MECANIZADO"),0)</f>
        <v>22689</v>
      </c>
      <c r="S874" s="30">
        <f t="shared" si="71"/>
        <v>2.8411913261933095</v>
      </c>
      <c r="T874" s="9">
        <f t="shared" si="72"/>
        <v>0.31155937602988032</v>
      </c>
      <c r="U874" s="9">
        <f t="shared" si="73"/>
        <v>5.2908381852136664E-2</v>
      </c>
      <c r="V874" s="9">
        <f t="shared" si="74"/>
        <v>0.65652806766999883</v>
      </c>
    </row>
    <row r="875" spans="1:22" x14ac:dyDescent="0.35">
      <c r="A875" s="52">
        <v>49595</v>
      </c>
      <c r="B875" s="31">
        <v>46118</v>
      </c>
      <c r="C875" s="7" t="s">
        <v>337</v>
      </c>
      <c r="D875" s="7">
        <v>353</v>
      </c>
      <c r="E875" s="10">
        <f>IFERROR(SUMIFS('Base bordo CD'!M$2:M$875,'Base bordo CD'!D$2:D$875,A875,'Base bordo CD'!A$2:A$875,B875,'Base bordo CD'!L$2:L$875,"CORTE DE CANA MECANIZADO"),0)</f>
        <v>6.3025000000000002</v>
      </c>
      <c r="F875" s="10">
        <f>IFERROR(SUMIFS('Base bordo CD'!M$2:M$875,'Base bordo CD'!D$2:D$875,A875,'Base bordo CD'!A$2:A$875,B875,'Base bordo CD'!L$2:L$875,"MANOBRA"),0)</f>
        <v>1.0702777777777777</v>
      </c>
      <c r="G875" s="10">
        <f>IFERROR(SUMIFS('Base bordo CD'!M$2:M$875,'Base bordo CD'!D$2:D$875,A875,'Base bordo CD'!A$2:A$875,B875,'Base bordo CD'!L$2:L$875,"DESLOCAMENTO"),0)</f>
        <v>0.64555555555555555</v>
      </c>
      <c r="H875" s="10">
        <f>IFERROR(SUMIFS('Base bordo CD'!M$2:M$875,'Base bordo CD'!D$2:D$875,A875,'Base bordo CD'!A$2:A$875,B875,'Base bordo CD'!L$2:L$875,"AGUARDANDO MANOBRA DE TRANSBORDO"),0)+IFERROR(SUMIFS('Base bordo CD'!M$2:M$875,'Base bordo CD'!D$2:D$875,A875,'Base bordo CD'!A$2:A$875,B875,'Base bordo CD'!L$2:L$875,"FALTA DE TRANSBORDO"),0)</f>
        <v>0.84305555555555556</v>
      </c>
      <c r="I875" s="10">
        <f>IFERROR(SUMIFS('Base bordo CD'!M$2:M$875,'Base bordo CD'!D$2:D$875,A875,'Base bordo CD'!A$2:A$875,B875,'Base bordo CD'!L$2:L$875,"PARADA POR CONDICOES CLIMATICAS"),0)+IFERROR(SUMIFS('Base bordo CD'!M$2:M$875,'Base bordo CD'!D$2:D$875,A875,'Base bordo CD'!A$2:A$875,B875,'Base bordo CD'!L$2:L$875,"TEMPO INDETERMINADO"),0)</f>
        <v>0</v>
      </c>
      <c r="J875" s="10">
        <f>IFERROR(SUMIFS('Base bordo CD'!M$2:M$875,'Base bordo CD'!D$2:D$875,A875,'Base bordo CD'!A$2:A$875,B875,'Base bordo CD'!L$2:L$875,"LIMITAÇÃO INDÚSTRIA"),0)</f>
        <v>9.8199999999999985</v>
      </c>
      <c r="K875" s="10">
        <f>IFERROR(SUMIFS('Base bordo CD'!M$2:M$875,'Base bordo CD'!D$2:D$875,A875,'Base bordo CD'!A$2:A$875,B875,'Base bordo CD'!L$2:L$875,"MAN CORRETIVA*"),0)+IFERROR(SUMIFS('Base bordo CD'!M$2:M$875,'Base bordo CD'!D$2:D$875,A875,'Base bordo CD'!A$2:A$875,B875,'Base bordo CD'!L$2:L$875,"AGUARDANDO MANUTENCAO*"),0)+IFERROR(SUMIFS('Base bordo CD'!M$2:M$875,'Base bordo CD'!D$2:D$875,A875,'Base bordo CD'!A$2:A$875,B875,'Base bordo CD'!L$2:L$875,"TROCA DE FAQUINHA"),0)+IFERROR(SUMIFS('Base bordo CD'!M$2:M$875,'Base bordo CD'!D$2:D$875,A875,'Base bordo CD'!A$2:A$875,B875,'Base bordo CD'!L$2:L$875,"LIMPEZA*"),0)</f>
        <v>0.9738888888888888</v>
      </c>
      <c r="L875" s="10">
        <f>IFERROR(SUMIFS('Base bordo CD'!M$2:M$875,'Base bordo CD'!D$2:D$875,A875,'Base bordo CD'!A$2:A$875,B875,'Base bordo CD'!L$2:L$875,"PATIO - RESERVA"),0)</f>
        <v>0</v>
      </c>
      <c r="M875" s="10">
        <f>IFERROR(SUMIFS('Base bordo CD'!M$2:M$875,'Base bordo CD'!D$2:D$875,A875,'Base bordo CD'!A$2:A$875,B875,'Base bordo CD'!L$2:L$875,"SEM APONTAMENTO"),0)</f>
        <v>0</v>
      </c>
      <c r="N875" s="10">
        <f>IFERROR(SUMIFS('Base bordo CD'!M$2:M$875,'Base bordo CD'!D$2:D$875,A875,'Base bordo CD'!A$2:A$875,B875,'Base bordo CD'!L$2:L$875,"FALTA DE CAMINHÃO"),0)+IFERROR(SUMIFS('Base bordo CD'!M$2:M$875,'Base bordo CD'!D$2:D$875,A875,'Base bordo CD'!A$2:A$875,B875,'Base bordo CD'!L$2:L$875,"FALTA DE COMBUSTIVEL"),0)+IFERROR(SUMIFS('Base bordo CD'!M$2:M$875,'Base bordo CD'!D$2:D$875,A875,'Base bordo CD'!A$2:A$875,B875,'Base bordo CD'!L$2:L$875,"FALTA DE MOTORIST*"),0)</f>
        <v>0</v>
      </c>
      <c r="O875" s="10">
        <f t="shared" si="70"/>
        <v>0.5736111111111093</v>
      </c>
      <c r="P875" s="10">
        <f>IFERROR(SUMIFS('Base bordo CD'!M$2:M$875,'Base bordo CD'!D$2:D$875,A875,'Base bordo CD'!A$2:A$875,B875),0)</f>
        <v>20.228888888888886</v>
      </c>
      <c r="Q875" s="10">
        <f>IFERROR(SUMIFS('Base bordo CD'!O$2:O$875,'Base bordo CD'!D$2:D$875,A875,'Base bordo CD'!A$2:A$875,B875,'Base bordo CD'!L$2:L$875,"CORTE DE CANA MECANIZADO"),0)</f>
        <v>64463.79</v>
      </c>
      <c r="R875" s="10">
        <f>IFERROR(SUMIFS('Base bordo CD'!Q$2:Q$875,'Base bordo CD'!D$2:D$875,A875,'Base bordo CD'!A$2:A$875,B875,'Base bordo CD'!L$2:L$875,"CORTE DE CANA MECANIZADO"),0)</f>
        <v>22689</v>
      </c>
      <c r="S875" s="30">
        <f t="shared" si="71"/>
        <v>2.8411913261933095</v>
      </c>
      <c r="T875" s="9">
        <f t="shared" si="72"/>
        <v>0.31155937602988032</v>
      </c>
      <c r="U875" s="9">
        <f t="shared" si="73"/>
        <v>5.2908381852136664E-2</v>
      </c>
      <c r="V875" s="9">
        <f t="shared" si="74"/>
        <v>0.65652806766999883</v>
      </c>
    </row>
    <row r="876" spans="1:22" x14ac:dyDescent="0.35">
      <c r="A876" s="52">
        <v>49595</v>
      </c>
      <c r="B876" s="31">
        <v>46118</v>
      </c>
      <c r="C876" s="7" t="s">
        <v>337</v>
      </c>
      <c r="D876" s="7">
        <v>353</v>
      </c>
      <c r="E876" s="10">
        <f>IFERROR(SUMIFS('Base bordo CD'!M$2:M$875,'Base bordo CD'!D$2:D$875,A876,'Base bordo CD'!A$2:A$875,B876,'Base bordo CD'!L$2:L$875,"CORTE DE CANA MECANIZADO"),0)</f>
        <v>6.3025000000000002</v>
      </c>
      <c r="F876" s="10">
        <f>IFERROR(SUMIFS('Base bordo CD'!M$2:M$875,'Base bordo CD'!D$2:D$875,A876,'Base bordo CD'!A$2:A$875,B876,'Base bordo CD'!L$2:L$875,"MANOBRA"),0)</f>
        <v>1.0702777777777777</v>
      </c>
      <c r="G876" s="10">
        <f>IFERROR(SUMIFS('Base bordo CD'!M$2:M$875,'Base bordo CD'!D$2:D$875,A876,'Base bordo CD'!A$2:A$875,B876,'Base bordo CD'!L$2:L$875,"DESLOCAMENTO"),0)</f>
        <v>0.64555555555555555</v>
      </c>
      <c r="H876" s="10">
        <f>IFERROR(SUMIFS('Base bordo CD'!M$2:M$875,'Base bordo CD'!D$2:D$875,A876,'Base bordo CD'!A$2:A$875,B876,'Base bordo CD'!L$2:L$875,"AGUARDANDO MANOBRA DE TRANSBORDO"),0)+IFERROR(SUMIFS('Base bordo CD'!M$2:M$875,'Base bordo CD'!D$2:D$875,A876,'Base bordo CD'!A$2:A$875,B876,'Base bordo CD'!L$2:L$875,"FALTA DE TRANSBORDO"),0)</f>
        <v>0.84305555555555556</v>
      </c>
      <c r="I876" s="10">
        <f>IFERROR(SUMIFS('Base bordo CD'!M$2:M$875,'Base bordo CD'!D$2:D$875,A876,'Base bordo CD'!A$2:A$875,B876,'Base bordo CD'!L$2:L$875,"PARADA POR CONDICOES CLIMATICAS"),0)+IFERROR(SUMIFS('Base bordo CD'!M$2:M$875,'Base bordo CD'!D$2:D$875,A876,'Base bordo CD'!A$2:A$875,B876,'Base bordo CD'!L$2:L$875,"TEMPO INDETERMINADO"),0)</f>
        <v>0</v>
      </c>
      <c r="J876" s="10">
        <f>IFERROR(SUMIFS('Base bordo CD'!M$2:M$875,'Base bordo CD'!D$2:D$875,A876,'Base bordo CD'!A$2:A$875,B876,'Base bordo CD'!L$2:L$875,"LIMITAÇÃO INDÚSTRIA"),0)</f>
        <v>9.8199999999999985</v>
      </c>
      <c r="K876" s="10">
        <f>IFERROR(SUMIFS('Base bordo CD'!M$2:M$875,'Base bordo CD'!D$2:D$875,A876,'Base bordo CD'!A$2:A$875,B876,'Base bordo CD'!L$2:L$875,"MAN CORRETIVA*"),0)+IFERROR(SUMIFS('Base bordo CD'!M$2:M$875,'Base bordo CD'!D$2:D$875,A876,'Base bordo CD'!A$2:A$875,B876,'Base bordo CD'!L$2:L$875,"AGUARDANDO MANUTENCAO*"),0)+IFERROR(SUMIFS('Base bordo CD'!M$2:M$875,'Base bordo CD'!D$2:D$875,A876,'Base bordo CD'!A$2:A$875,B876,'Base bordo CD'!L$2:L$875,"TROCA DE FAQUINHA"),0)+IFERROR(SUMIFS('Base bordo CD'!M$2:M$875,'Base bordo CD'!D$2:D$875,A876,'Base bordo CD'!A$2:A$875,B876,'Base bordo CD'!L$2:L$875,"LIMPEZA*"),0)</f>
        <v>0.9738888888888888</v>
      </c>
      <c r="L876" s="10">
        <f>IFERROR(SUMIFS('Base bordo CD'!M$2:M$875,'Base bordo CD'!D$2:D$875,A876,'Base bordo CD'!A$2:A$875,B876,'Base bordo CD'!L$2:L$875,"PATIO - RESERVA"),0)</f>
        <v>0</v>
      </c>
      <c r="M876" s="10">
        <f>IFERROR(SUMIFS('Base bordo CD'!M$2:M$875,'Base bordo CD'!D$2:D$875,A876,'Base bordo CD'!A$2:A$875,B876,'Base bordo CD'!L$2:L$875,"SEM APONTAMENTO"),0)</f>
        <v>0</v>
      </c>
      <c r="N876" s="10">
        <f>IFERROR(SUMIFS('Base bordo CD'!M$2:M$875,'Base bordo CD'!D$2:D$875,A876,'Base bordo CD'!A$2:A$875,B876,'Base bordo CD'!L$2:L$875,"FALTA DE CAMINHÃO"),0)+IFERROR(SUMIFS('Base bordo CD'!M$2:M$875,'Base bordo CD'!D$2:D$875,A876,'Base bordo CD'!A$2:A$875,B876,'Base bordo CD'!L$2:L$875,"FALTA DE COMBUSTIVEL"),0)+IFERROR(SUMIFS('Base bordo CD'!M$2:M$875,'Base bordo CD'!D$2:D$875,A876,'Base bordo CD'!A$2:A$875,B876,'Base bordo CD'!L$2:L$875,"FALTA DE MOTORIST*"),0)</f>
        <v>0</v>
      </c>
      <c r="O876" s="10">
        <f t="shared" si="70"/>
        <v>0.5736111111111093</v>
      </c>
      <c r="P876" s="10">
        <f>IFERROR(SUMIFS('Base bordo CD'!M$2:M$875,'Base bordo CD'!D$2:D$875,A876,'Base bordo CD'!A$2:A$875,B876),0)</f>
        <v>20.228888888888886</v>
      </c>
      <c r="Q876" s="10">
        <f>IFERROR(SUMIFS('Base bordo CD'!O$2:O$875,'Base bordo CD'!D$2:D$875,A876,'Base bordo CD'!A$2:A$875,B876,'Base bordo CD'!L$2:L$875,"CORTE DE CANA MECANIZADO"),0)</f>
        <v>64463.79</v>
      </c>
      <c r="R876" s="10">
        <f>IFERROR(SUMIFS('Base bordo CD'!Q$2:Q$875,'Base bordo CD'!D$2:D$875,A876,'Base bordo CD'!A$2:A$875,B876,'Base bordo CD'!L$2:L$875,"CORTE DE CANA MECANIZADO"),0)</f>
        <v>22689</v>
      </c>
      <c r="S876" s="30">
        <f t="shared" si="71"/>
        <v>2.8411913261933095</v>
      </c>
      <c r="T876" s="9">
        <f t="shared" si="72"/>
        <v>0.31155937602988032</v>
      </c>
      <c r="U876" s="9">
        <f t="shared" si="73"/>
        <v>5.2908381852136664E-2</v>
      </c>
      <c r="V876" s="9">
        <f t="shared" si="74"/>
        <v>0.65652806766999883</v>
      </c>
    </row>
    <row r="877" spans="1:22" x14ac:dyDescent="0.35">
      <c r="A877" s="52">
        <v>49595</v>
      </c>
      <c r="B877" s="31">
        <v>46118</v>
      </c>
      <c r="C877" s="7" t="s">
        <v>337</v>
      </c>
      <c r="D877" s="7">
        <v>353</v>
      </c>
      <c r="E877" s="10">
        <f>IFERROR(SUMIFS('Base bordo CD'!M$2:M$875,'Base bordo CD'!D$2:D$875,A877,'Base bordo CD'!A$2:A$875,B877,'Base bordo CD'!L$2:L$875,"CORTE DE CANA MECANIZADO"),0)</f>
        <v>6.3025000000000002</v>
      </c>
      <c r="F877" s="10">
        <f>IFERROR(SUMIFS('Base bordo CD'!M$2:M$875,'Base bordo CD'!D$2:D$875,A877,'Base bordo CD'!A$2:A$875,B877,'Base bordo CD'!L$2:L$875,"MANOBRA"),0)</f>
        <v>1.0702777777777777</v>
      </c>
      <c r="G877" s="10">
        <f>IFERROR(SUMIFS('Base bordo CD'!M$2:M$875,'Base bordo CD'!D$2:D$875,A877,'Base bordo CD'!A$2:A$875,B877,'Base bordo CD'!L$2:L$875,"DESLOCAMENTO"),0)</f>
        <v>0.64555555555555555</v>
      </c>
      <c r="H877" s="10">
        <f>IFERROR(SUMIFS('Base bordo CD'!M$2:M$875,'Base bordo CD'!D$2:D$875,A877,'Base bordo CD'!A$2:A$875,B877,'Base bordo CD'!L$2:L$875,"AGUARDANDO MANOBRA DE TRANSBORDO"),0)+IFERROR(SUMIFS('Base bordo CD'!M$2:M$875,'Base bordo CD'!D$2:D$875,A877,'Base bordo CD'!A$2:A$875,B877,'Base bordo CD'!L$2:L$875,"FALTA DE TRANSBORDO"),0)</f>
        <v>0.84305555555555556</v>
      </c>
      <c r="I877" s="10">
        <f>IFERROR(SUMIFS('Base bordo CD'!M$2:M$875,'Base bordo CD'!D$2:D$875,A877,'Base bordo CD'!A$2:A$875,B877,'Base bordo CD'!L$2:L$875,"PARADA POR CONDICOES CLIMATICAS"),0)+IFERROR(SUMIFS('Base bordo CD'!M$2:M$875,'Base bordo CD'!D$2:D$875,A877,'Base bordo CD'!A$2:A$875,B877,'Base bordo CD'!L$2:L$875,"TEMPO INDETERMINADO"),0)</f>
        <v>0</v>
      </c>
      <c r="J877" s="10">
        <f>IFERROR(SUMIFS('Base bordo CD'!M$2:M$875,'Base bordo CD'!D$2:D$875,A877,'Base bordo CD'!A$2:A$875,B877,'Base bordo CD'!L$2:L$875,"LIMITAÇÃO INDÚSTRIA"),0)</f>
        <v>9.8199999999999985</v>
      </c>
      <c r="K877" s="10">
        <f>IFERROR(SUMIFS('Base bordo CD'!M$2:M$875,'Base bordo CD'!D$2:D$875,A877,'Base bordo CD'!A$2:A$875,B877,'Base bordo CD'!L$2:L$875,"MAN CORRETIVA*"),0)+IFERROR(SUMIFS('Base bordo CD'!M$2:M$875,'Base bordo CD'!D$2:D$875,A877,'Base bordo CD'!A$2:A$875,B877,'Base bordo CD'!L$2:L$875,"AGUARDANDO MANUTENCAO*"),0)+IFERROR(SUMIFS('Base bordo CD'!M$2:M$875,'Base bordo CD'!D$2:D$875,A877,'Base bordo CD'!A$2:A$875,B877,'Base bordo CD'!L$2:L$875,"TROCA DE FAQUINHA"),0)+IFERROR(SUMIFS('Base bordo CD'!M$2:M$875,'Base bordo CD'!D$2:D$875,A877,'Base bordo CD'!A$2:A$875,B877,'Base bordo CD'!L$2:L$875,"LIMPEZA*"),0)</f>
        <v>0.9738888888888888</v>
      </c>
      <c r="L877" s="10">
        <f>IFERROR(SUMIFS('Base bordo CD'!M$2:M$875,'Base bordo CD'!D$2:D$875,A877,'Base bordo CD'!A$2:A$875,B877,'Base bordo CD'!L$2:L$875,"PATIO - RESERVA"),0)</f>
        <v>0</v>
      </c>
      <c r="M877" s="10">
        <f>IFERROR(SUMIFS('Base bordo CD'!M$2:M$875,'Base bordo CD'!D$2:D$875,A877,'Base bordo CD'!A$2:A$875,B877,'Base bordo CD'!L$2:L$875,"SEM APONTAMENTO"),0)</f>
        <v>0</v>
      </c>
      <c r="N877" s="10">
        <f>IFERROR(SUMIFS('Base bordo CD'!M$2:M$875,'Base bordo CD'!D$2:D$875,A877,'Base bordo CD'!A$2:A$875,B877,'Base bordo CD'!L$2:L$875,"FALTA DE CAMINHÃO"),0)+IFERROR(SUMIFS('Base bordo CD'!M$2:M$875,'Base bordo CD'!D$2:D$875,A877,'Base bordo CD'!A$2:A$875,B877,'Base bordo CD'!L$2:L$875,"FALTA DE COMBUSTIVEL"),0)+IFERROR(SUMIFS('Base bordo CD'!M$2:M$875,'Base bordo CD'!D$2:D$875,A877,'Base bordo CD'!A$2:A$875,B877,'Base bordo CD'!L$2:L$875,"FALTA DE MOTORIST*"),0)</f>
        <v>0</v>
      </c>
      <c r="O877" s="10">
        <f t="shared" si="70"/>
        <v>0.5736111111111093</v>
      </c>
      <c r="P877" s="10">
        <f>IFERROR(SUMIFS('Base bordo CD'!M$2:M$875,'Base bordo CD'!D$2:D$875,A877,'Base bordo CD'!A$2:A$875,B877),0)</f>
        <v>20.228888888888886</v>
      </c>
      <c r="Q877" s="10">
        <f>IFERROR(SUMIFS('Base bordo CD'!O$2:O$875,'Base bordo CD'!D$2:D$875,A877,'Base bordo CD'!A$2:A$875,B877,'Base bordo CD'!L$2:L$875,"CORTE DE CANA MECANIZADO"),0)</f>
        <v>64463.79</v>
      </c>
      <c r="R877" s="10">
        <f>IFERROR(SUMIFS('Base bordo CD'!Q$2:Q$875,'Base bordo CD'!D$2:D$875,A877,'Base bordo CD'!A$2:A$875,B877,'Base bordo CD'!L$2:L$875,"CORTE DE CANA MECANIZADO"),0)</f>
        <v>22689</v>
      </c>
      <c r="S877" s="30">
        <f t="shared" si="71"/>
        <v>2.8411913261933095</v>
      </c>
      <c r="T877" s="9">
        <f t="shared" si="72"/>
        <v>0.31155937602988032</v>
      </c>
      <c r="U877" s="9">
        <f t="shared" si="73"/>
        <v>5.2908381852136664E-2</v>
      </c>
      <c r="V877" s="9">
        <f t="shared" si="74"/>
        <v>0.65652806766999883</v>
      </c>
    </row>
    <row r="878" spans="1:22" x14ac:dyDescent="0.35">
      <c r="A878" s="52">
        <v>49595</v>
      </c>
      <c r="B878" s="31">
        <v>46118</v>
      </c>
      <c r="C878" s="7" t="s">
        <v>337</v>
      </c>
      <c r="D878" s="7">
        <v>353</v>
      </c>
      <c r="E878" s="10">
        <f>IFERROR(SUMIFS('Base bordo CD'!M$2:M$875,'Base bordo CD'!D$2:D$875,A878,'Base bordo CD'!A$2:A$875,B878,'Base bordo CD'!L$2:L$875,"CORTE DE CANA MECANIZADO"),0)</f>
        <v>6.3025000000000002</v>
      </c>
      <c r="F878" s="10">
        <f>IFERROR(SUMIFS('Base bordo CD'!M$2:M$875,'Base bordo CD'!D$2:D$875,A878,'Base bordo CD'!A$2:A$875,B878,'Base bordo CD'!L$2:L$875,"MANOBRA"),0)</f>
        <v>1.0702777777777777</v>
      </c>
      <c r="G878" s="10">
        <f>IFERROR(SUMIFS('Base bordo CD'!M$2:M$875,'Base bordo CD'!D$2:D$875,A878,'Base bordo CD'!A$2:A$875,B878,'Base bordo CD'!L$2:L$875,"DESLOCAMENTO"),0)</f>
        <v>0.64555555555555555</v>
      </c>
      <c r="H878" s="10">
        <f>IFERROR(SUMIFS('Base bordo CD'!M$2:M$875,'Base bordo CD'!D$2:D$875,A878,'Base bordo CD'!A$2:A$875,B878,'Base bordo CD'!L$2:L$875,"AGUARDANDO MANOBRA DE TRANSBORDO"),0)+IFERROR(SUMIFS('Base bordo CD'!M$2:M$875,'Base bordo CD'!D$2:D$875,A878,'Base bordo CD'!A$2:A$875,B878,'Base bordo CD'!L$2:L$875,"FALTA DE TRANSBORDO"),0)</f>
        <v>0.84305555555555556</v>
      </c>
      <c r="I878" s="10">
        <f>IFERROR(SUMIFS('Base bordo CD'!M$2:M$875,'Base bordo CD'!D$2:D$875,A878,'Base bordo CD'!A$2:A$875,B878,'Base bordo CD'!L$2:L$875,"PARADA POR CONDICOES CLIMATICAS"),0)+IFERROR(SUMIFS('Base bordo CD'!M$2:M$875,'Base bordo CD'!D$2:D$875,A878,'Base bordo CD'!A$2:A$875,B878,'Base bordo CD'!L$2:L$875,"TEMPO INDETERMINADO"),0)</f>
        <v>0</v>
      </c>
      <c r="J878" s="10">
        <f>IFERROR(SUMIFS('Base bordo CD'!M$2:M$875,'Base bordo CD'!D$2:D$875,A878,'Base bordo CD'!A$2:A$875,B878,'Base bordo CD'!L$2:L$875,"LIMITAÇÃO INDÚSTRIA"),0)</f>
        <v>9.8199999999999985</v>
      </c>
      <c r="K878" s="10">
        <f>IFERROR(SUMIFS('Base bordo CD'!M$2:M$875,'Base bordo CD'!D$2:D$875,A878,'Base bordo CD'!A$2:A$875,B878,'Base bordo CD'!L$2:L$875,"MAN CORRETIVA*"),0)+IFERROR(SUMIFS('Base bordo CD'!M$2:M$875,'Base bordo CD'!D$2:D$875,A878,'Base bordo CD'!A$2:A$875,B878,'Base bordo CD'!L$2:L$875,"AGUARDANDO MANUTENCAO*"),0)+IFERROR(SUMIFS('Base bordo CD'!M$2:M$875,'Base bordo CD'!D$2:D$875,A878,'Base bordo CD'!A$2:A$875,B878,'Base bordo CD'!L$2:L$875,"TROCA DE FAQUINHA"),0)+IFERROR(SUMIFS('Base bordo CD'!M$2:M$875,'Base bordo CD'!D$2:D$875,A878,'Base bordo CD'!A$2:A$875,B878,'Base bordo CD'!L$2:L$875,"LIMPEZA*"),0)</f>
        <v>0.9738888888888888</v>
      </c>
      <c r="L878" s="10">
        <f>IFERROR(SUMIFS('Base bordo CD'!M$2:M$875,'Base bordo CD'!D$2:D$875,A878,'Base bordo CD'!A$2:A$875,B878,'Base bordo CD'!L$2:L$875,"PATIO - RESERVA"),0)</f>
        <v>0</v>
      </c>
      <c r="M878" s="10">
        <f>IFERROR(SUMIFS('Base bordo CD'!M$2:M$875,'Base bordo CD'!D$2:D$875,A878,'Base bordo CD'!A$2:A$875,B878,'Base bordo CD'!L$2:L$875,"SEM APONTAMENTO"),0)</f>
        <v>0</v>
      </c>
      <c r="N878" s="10">
        <f>IFERROR(SUMIFS('Base bordo CD'!M$2:M$875,'Base bordo CD'!D$2:D$875,A878,'Base bordo CD'!A$2:A$875,B878,'Base bordo CD'!L$2:L$875,"FALTA DE CAMINHÃO"),0)+IFERROR(SUMIFS('Base bordo CD'!M$2:M$875,'Base bordo CD'!D$2:D$875,A878,'Base bordo CD'!A$2:A$875,B878,'Base bordo CD'!L$2:L$875,"FALTA DE COMBUSTIVEL"),0)+IFERROR(SUMIFS('Base bordo CD'!M$2:M$875,'Base bordo CD'!D$2:D$875,A878,'Base bordo CD'!A$2:A$875,B878,'Base bordo CD'!L$2:L$875,"FALTA DE MOTORIST*"),0)</f>
        <v>0</v>
      </c>
      <c r="O878" s="10">
        <f t="shared" si="70"/>
        <v>0.5736111111111093</v>
      </c>
      <c r="P878" s="10">
        <f>IFERROR(SUMIFS('Base bordo CD'!M$2:M$875,'Base bordo CD'!D$2:D$875,A878,'Base bordo CD'!A$2:A$875,B878),0)</f>
        <v>20.228888888888886</v>
      </c>
      <c r="Q878" s="10">
        <f>IFERROR(SUMIFS('Base bordo CD'!O$2:O$875,'Base bordo CD'!D$2:D$875,A878,'Base bordo CD'!A$2:A$875,B878,'Base bordo CD'!L$2:L$875,"CORTE DE CANA MECANIZADO"),0)</f>
        <v>64463.79</v>
      </c>
      <c r="R878" s="10">
        <f>IFERROR(SUMIFS('Base bordo CD'!Q$2:Q$875,'Base bordo CD'!D$2:D$875,A878,'Base bordo CD'!A$2:A$875,B878,'Base bordo CD'!L$2:L$875,"CORTE DE CANA MECANIZADO"),0)</f>
        <v>22689</v>
      </c>
      <c r="S878" s="30">
        <f t="shared" si="71"/>
        <v>2.8411913261933095</v>
      </c>
      <c r="T878" s="9">
        <f t="shared" si="72"/>
        <v>0.31155937602988032</v>
      </c>
      <c r="U878" s="9">
        <f t="shared" si="73"/>
        <v>5.2908381852136664E-2</v>
      </c>
      <c r="V878" s="9">
        <f t="shared" si="74"/>
        <v>0.65652806766999883</v>
      </c>
    </row>
    <row r="879" spans="1:22" x14ac:dyDescent="0.35">
      <c r="A879" s="52">
        <v>49595</v>
      </c>
      <c r="B879" s="31">
        <v>46118</v>
      </c>
      <c r="C879" s="7" t="s">
        <v>337</v>
      </c>
      <c r="D879" s="7">
        <v>353</v>
      </c>
      <c r="E879" s="10">
        <f>IFERROR(SUMIFS('Base bordo CD'!M$2:M$875,'Base bordo CD'!D$2:D$875,A879,'Base bordo CD'!A$2:A$875,B879,'Base bordo CD'!L$2:L$875,"CORTE DE CANA MECANIZADO"),0)</f>
        <v>6.3025000000000002</v>
      </c>
      <c r="F879" s="10">
        <f>IFERROR(SUMIFS('Base bordo CD'!M$2:M$875,'Base bordo CD'!D$2:D$875,A879,'Base bordo CD'!A$2:A$875,B879,'Base bordo CD'!L$2:L$875,"MANOBRA"),0)</f>
        <v>1.0702777777777777</v>
      </c>
      <c r="G879" s="10">
        <f>IFERROR(SUMIFS('Base bordo CD'!M$2:M$875,'Base bordo CD'!D$2:D$875,A879,'Base bordo CD'!A$2:A$875,B879,'Base bordo CD'!L$2:L$875,"DESLOCAMENTO"),0)</f>
        <v>0.64555555555555555</v>
      </c>
      <c r="H879" s="10">
        <f>IFERROR(SUMIFS('Base bordo CD'!M$2:M$875,'Base bordo CD'!D$2:D$875,A879,'Base bordo CD'!A$2:A$875,B879,'Base bordo CD'!L$2:L$875,"AGUARDANDO MANOBRA DE TRANSBORDO"),0)+IFERROR(SUMIFS('Base bordo CD'!M$2:M$875,'Base bordo CD'!D$2:D$875,A879,'Base bordo CD'!A$2:A$875,B879,'Base bordo CD'!L$2:L$875,"FALTA DE TRANSBORDO"),0)</f>
        <v>0.84305555555555556</v>
      </c>
      <c r="I879" s="10">
        <f>IFERROR(SUMIFS('Base bordo CD'!M$2:M$875,'Base bordo CD'!D$2:D$875,A879,'Base bordo CD'!A$2:A$875,B879,'Base bordo CD'!L$2:L$875,"PARADA POR CONDICOES CLIMATICAS"),0)+IFERROR(SUMIFS('Base bordo CD'!M$2:M$875,'Base bordo CD'!D$2:D$875,A879,'Base bordo CD'!A$2:A$875,B879,'Base bordo CD'!L$2:L$875,"TEMPO INDETERMINADO"),0)</f>
        <v>0</v>
      </c>
      <c r="J879" s="10">
        <f>IFERROR(SUMIFS('Base bordo CD'!M$2:M$875,'Base bordo CD'!D$2:D$875,A879,'Base bordo CD'!A$2:A$875,B879,'Base bordo CD'!L$2:L$875,"LIMITAÇÃO INDÚSTRIA"),0)</f>
        <v>9.8199999999999985</v>
      </c>
      <c r="K879" s="10">
        <f>IFERROR(SUMIFS('Base bordo CD'!M$2:M$875,'Base bordo CD'!D$2:D$875,A879,'Base bordo CD'!A$2:A$875,B879,'Base bordo CD'!L$2:L$875,"MAN CORRETIVA*"),0)+IFERROR(SUMIFS('Base bordo CD'!M$2:M$875,'Base bordo CD'!D$2:D$875,A879,'Base bordo CD'!A$2:A$875,B879,'Base bordo CD'!L$2:L$875,"AGUARDANDO MANUTENCAO*"),0)+IFERROR(SUMIFS('Base bordo CD'!M$2:M$875,'Base bordo CD'!D$2:D$875,A879,'Base bordo CD'!A$2:A$875,B879,'Base bordo CD'!L$2:L$875,"TROCA DE FAQUINHA"),0)+IFERROR(SUMIFS('Base bordo CD'!M$2:M$875,'Base bordo CD'!D$2:D$875,A879,'Base bordo CD'!A$2:A$875,B879,'Base bordo CD'!L$2:L$875,"LIMPEZA*"),0)</f>
        <v>0.9738888888888888</v>
      </c>
      <c r="L879" s="10">
        <f>IFERROR(SUMIFS('Base bordo CD'!M$2:M$875,'Base bordo CD'!D$2:D$875,A879,'Base bordo CD'!A$2:A$875,B879,'Base bordo CD'!L$2:L$875,"PATIO - RESERVA"),0)</f>
        <v>0</v>
      </c>
      <c r="M879" s="10">
        <f>IFERROR(SUMIFS('Base bordo CD'!M$2:M$875,'Base bordo CD'!D$2:D$875,A879,'Base bordo CD'!A$2:A$875,B879,'Base bordo CD'!L$2:L$875,"SEM APONTAMENTO"),0)</f>
        <v>0</v>
      </c>
      <c r="N879" s="10">
        <f>IFERROR(SUMIFS('Base bordo CD'!M$2:M$875,'Base bordo CD'!D$2:D$875,A879,'Base bordo CD'!A$2:A$875,B879,'Base bordo CD'!L$2:L$875,"FALTA DE CAMINHÃO"),0)+IFERROR(SUMIFS('Base bordo CD'!M$2:M$875,'Base bordo CD'!D$2:D$875,A879,'Base bordo CD'!A$2:A$875,B879,'Base bordo CD'!L$2:L$875,"FALTA DE COMBUSTIVEL"),0)+IFERROR(SUMIFS('Base bordo CD'!M$2:M$875,'Base bordo CD'!D$2:D$875,A879,'Base bordo CD'!A$2:A$875,B879,'Base bordo CD'!L$2:L$875,"FALTA DE MOTORIST*"),0)</f>
        <v>0</v>
      </c>
      <c r="O879" s="10">
        <f t="shared" si="70"/>
        <v>0.5736111111111093</v>
      </c>
      <c r="P879" s="10">
        <f>IFERROR(SUMIFS('Base bordo CD'!M$2:M$875,'Base bordo CD'!D$2:D$875,A879,'Base bordo CD'!A$2:A$875,B879),0)</f>
        <v>20.228888888888886</v>
      </c>
      <c r="Q879" s="10">
        <f>IFERROR(SUMIFS('Base bordo CD'!O$2:O$875,'Base bordo CD'!D$2:D$875,A879,'Base bordo CD'!A$2:A$875,B879,'Base bordo CD'!L$2:L$875,"CORTE DE CANA MECANIZADO"),0)</f>
        <v>64463.79</v>
      </c>
      <c r="R879" s="10">
        <f>IFERROR(SUMIFS('Base bordo CD'!Q$2:Q$875,'Base bordo CD'!D$2:D$875,A879,'Base bordo CD'!A$2:A$875,B879,'Base bordo CD'!L$2:L$875,"CORTE DE CANA MECANIZADO"),0)</f>
        <v>22689</v>
      </c>
      <c r="S879" s="30">
        <f t="shared" si="71"/>
        <v>2.8411913261933095</v>
      </c>
      <c r="T879" s="9">
        <f t="shared" si="72"/>
        <v>0.31155937602988032</v>
      </c>
      <c r="U879" s="9">
        <f t="shared" si="73"/>
        <v>5.2908381852136664E-2</v>
      </c>
      <c r="V879" s="9">
        <f t="shared" si="74"/>
        <v>0.65652806766999883</v>
      </c>
    </row>
    <row r="880" spans="1:22" x14ac:dyDescent="0.35">
      <c r="A880" s="52">
        <v>49595</v>
      </c>
      <c r="B880" s="31">
        <v>46118</v>
      </c>
      <c r="C880" s="7" t="s">
        <v>337</v>
      </c>
      <c r="D880" s="7">
        <v>353</v>
      </c>
      <c r="E880" s="10">
        <f>IFERROR(SUMIFS('Base bordo CD'!M$2:M$875,'Base bordo CD'!D$2:D$875,A880,'Base bordo CD'!A$2:A$875,B880,'Base bordo CD'!L$2:L$875,"CORTE DE CANA MECANIZADO"),0)</f>
        <v>6.3025000000000002</v>
      </c>
      <c r="F880" s="10">
        <f>IFERROR(SUMIFS('Base bordo CD'!M$2:M$875,'Base bordo CD'!D$2:D$875,A880,'Base bordo CD'!A$2:A$875,B880,'Base bordo CD'!L$2:L$875,"MANOBRA"),0)</f>
        <v>1.0702777777777777</v>
      </c>
      <c r="G880" s="10">
        <f>IFERROR(SUMIFS('Base bordo CD'!M$2:M$875,'Base bordo CD'!D$2:D$875,A880,'Base bordo CD'!A$2:A$875,B880,'Base bordo CD'!L$2:L$875,"DESLOCAMENTO"),0)</f>
        <v>0.64555555555555555</v>
      </c>
      <c r="H880" s="10">
        <f>IFERROR(SUMIFS('Base bordo CD'!M$2:M$875,'Base bordo CD'!D$2:D$875,A880,'Base bordo CD'!A$2:A$875,B880,'Base bordo CD'!L$2:L$875,"AGUARDANDO MANOBRA DE TRANSBORDO"),0)+IFERROR(SUMIFS('Base bordo CD'!M$2:M$875,'Base bordo CD'!D$2:D$875,A880,'Base bordo CD'!A$2:A$875,B880,'Base bordo CD'!L$2:L$875,"FALTA DE TRANSBORDO"),0)</f>
        <v>0.84305555555555556</v>
      </c>
      <c r="I880" s="10">
        <f>IFERROR(SUMIFS('Base bordo CD'!M$2:M$875,'Base bordo CD'!D$2:D$875,A880,'Base bordo CD'!A$2:A$875,B880,'Base bordo CD'!L$2:L$875,"PARADA POR CONDICOES CLIMATICAS"),0)+IFERROR(SUMIFS('Base bordo CD'!M$2:M$875,'Base bordo CD'!D$2:D$875,A880,'Base bordo CD'!A$2:A$875,B880,'Base bordo CD'!L$2:L$875,"TEMPO INDETERMINADO"),0)</f>
        <v>0</v>
      </c>
      <c r="J880" s="10">
        <f>IFERROR(SUMIFS('Base bordo CD'!M$2:M$875,'Base bordo CD'!D$2:D$875,A880,'Base bordo CD'!A$2:A$875,B880,'Base bordo CD'!L$2:L$875,"LIMITAÇÃO INDÚSTRIA"),0)</f>
        <v>9.8199999999999985</v>
      </c>
      <c r="K880" s="10">
        <f>IFERROR(SUMIFS('Base bordo CD'!M$2:M$875,'Base bordo CD'!D$2:D$875,A880,'Base bordo CD'!A$2:A$875,B880,'Base bordo CD'!L$2:L$875,"MAN CORRETIVA*"),0)+IFERROR(SUMIFS('Base bordo CD'!M$2:M$875,'Base bordo CD'!D$2:D$875,A880,'Base bordo CD'!A$2:A$875,B880,'Base bordo CD'!L$2:L$875,"AGUARDANDO MANUTENCAO*"),0)+IFERROR(SUMIFS('Base bordo CD'!M$2:M$875,'Base bordo CD'!D$2:D$875,A880,'Base bordo CD'!A$2:A$875,B880,'Base bordo CD'!L$2:L$875,"TROCA DE FAQUINHA"),0)+IFERROR(SUMIFS('Base bordo CD'!M$2:M$875,'Base bordo CD'!D$2:D$875,A880,'Base bordo CD'!A$2:A$875,B880,'Base bordo CD'!L$2:L$875,"LIMPEZA*"),0)</f>
        <v>0.9738888888888888</v>
      </c>
      <c r="L880" s="10">
        <f>IFERROR(SUMIFS('Base bordo CD'!M$2:M$875,'Base bordo CD'!D$2:D$875,A880,'Base bordo CD'!A$2:A$875,B880,'Base bordo CD'!L$2:L$875,"PATIO - RESERVA"),0)</f>
        <v>0</v>
      </c>
      <c r="M880" s="10">
        <f>IFERROR(SUMIFS('Base bordo CD'!M$2:M$875,'Base bordo CD'!D$2:D$875,A880,'Base bordo CD'!A$2:A$875,B880,'Base bordo CD'!L$2:L$875,"SEM APONTAMENTO"),0)</f>
        <v>0</v>
      </c>
      <c r="N880" s="10">
        <f>IFERROR(SUMIFS('Base bordo CD'!M$2:M$875,'Base bordo CD'!D$2:D$875,A880,'Base bordo CD'!A$2:A$875,B880,'Base bordo CD'!L$2:L$875,"FALTA DE CAMINHÃO"),0)+IFERROR(SUMIFS('Base bordo CD'!M$2:M$875,'Base bordo CD'!D$2:D$875,A880,'Base bordo CD'!A$2:A$875,B880,'Base bordo CD'!L$2:L$875,"FALTA DE COMBUSTIVEL"),0)+IFERROR(SUMIFS('Base bordo CD'!M$2:M$875,'Base bordo CD'!D$2:D$875,A880,'Base bordo CD'!A$2:A$875,B880,'Base bordo CD'!L$2:L$875,"FALTA DE MOTORIST*"),0)</f>
        <v>0</v>
      </c>
      <c r="O880" s="10">
        <f t="shared" si="70"/>
        <v>0.5736111111111093</v>
      </c>
      <c r="P880" s="10">
        <f>IFERROR(SUMIFS('Base bordo CD'!M$2:M$875,'Base bordo CD'!D$2:D$875,A880,'Base bordo CD'!A$2:A$875,B880),0)</f>
        <v>20.228888888888886</v>
      </c>
      <c r="Q880" s="10">
        <f>IFERROR(SUMIFS('Base bordo CD'!O$2:O$875,'Base bordo CD'!D$2:D$875,A880,'Base bordo CD'!A$2:A$875,B880,'Base bordo CD'!L$2:L$875,"CORTE DE CANA MECANIZADO"),0)</f>
        <v>64463.79</v>
      </c>
      <c r="R880" s="10">
        <f>IFERROR(SUMIFS('Base bordo CD'!Q$2:Q$875,'Base bordo CD'!D$2:D$875,A880,'Base bordo CD'!A$2:A$875,B880,'Base bordo CD'!L$2:L$875,"CORTE DE CANA MECANIZADO"),0)</f>
        <v>22689</v>
      </c>
      <c r="S880" s="30">
        <f t="shared" si="71"/>
        <v>2.8411913261933095</v>
      </c>
      <c r="T880" s="9">
        <f t="shared" si="72"/>
        <v>0.31155937602988032</v>
      </c>
      <c r="U880" s="9">
        <f t="shared" si="73"/>
        <v>5.2908381852136664E-2</v>
      </c>
      <c r="V880" s="9">
        <f t="shared" si="74"/>
        <v>0.65652806766999883</v>
      </c>
    </row>
    <row r="881" spans="1:22" x14ac:dyDescent="0.35">
      <c r="A881" s="52">
        <v>49595</v>
      </c>
      <c r="B881" s="31">
        <v>46118</v>
      </c>
      <c r="C881" s="7" t="s">
        <v>337</v>
      </c>
      <c r="D881" s="7">
        <v>353</v>
      </c>
      <c r="E881" s="10">
        <f>IFERROR(SUMIFS('Base bordo CD'!M$2:M$875,'Base bordo CD'!D$2:D$875,A881,'Base bordo CD'!A$2:A$875,B881,'Base bordo CD'!L$2:L$875,"CORTE DE CANA MECANIZADO"),0)</f>
        <v>6.3025000000000002</v>
      </c>
      <c r="F881" s="10">
        <f>IFERROR(SUMIFS('Base bordo CD'!M$2:M$875,'Base bordo CD'!D$2:D$875,A881,'Base bordo CD'!A$2:A$875,B881,'Base bordo CD'!L$2:L$875,"MANOBRA"),0)</f>
        <v>1.0702777777777777</v>
      </c>
      <c r="G881" s="10">
        <f>IFERROR(SUMIFS('Base bordo CD'!M$2:M$875,'Base bordo CD'!D$2:D$875,A881,'Base bordo CD'!A$2:A$875,B881,'Base bordo CD'!L$2:L$875,"DESLOCAMENTO"),0)</f>
        <v>0.64555555555555555</v>
      </c>
      <c r="H881" s="10">
        <f>IFERROR(SUMIFS('Base bordo CD'!M$2:M$875,'Base bordo CD'!D$2:D$875,A881,'Base bordo CD'!A$2:A$875,B881,'Base bordo CD'!L$2:L$875,"AGUARDANDO MANOBRA DE TRANSBORDO"),0)+IFERROR(SUMIFS('Base bordo CD'!M$2:M$875,'Base bordo CD'!D$2:D$875,A881,'Base bordo CD'!A$2:A$875,B881,'Base bordo CD'!L$2:L$875,"FALTA DE TRANSBORDO"),0)</f>
        <v>0.84305555555555556</v>
      </c>
      <c r="I881" s="10">
        <f>IFERROR(SUMIFS('Base bordo CD'!M$2:M$875,'Base bordo CD'!D$2:D$875,A881,'Base bordo CD'!A$2:A$875,B881,'Base bordo CD'!L$2:L$875,"PARADA POR CONDICOES CLIMATICAS"),0)+IFERROR(SUMIFS('Base bordo CD'!M$2:M$875,'Base bordo CD'!D$2:D$875,A881,'Base bordo CD'!A$2:A$875,B881,'Base bordo CD'!L$2:L$875,"TEMPO INDETERMINADO"),0)</f>
        <v>0</v>
      </c>
      <c r="J881" s="10">
        <f>IFERROR(SUMIFS('Base bordo CD'!M$2:M$875,'Base bordo CD'!D$2:D$875,A881,'Base bordo CD'!A$2:A$875,B881,'Base bordo CD'!L$2:L$875,"LIMITAÇÃO INDÚSTRIA"),0)</f>
        <v>9.8199999999999985</v>
      </c>
      <c r="K881" s="10">
        <f>IFERROR(SUMIFS('Base bordo CD'!M$2:M$875,'Base bordo CD'!D$2:D$875,A881,'Base bordo CD'!A$2:A$875,B881,'Base bordo CD'!L$2:L$875,"MAN CORRETIVA*"),0)+IFERROR(SUMIFS('Base bordo CD'!M$2:M$875,'Base bordo CD'!D$2:D$875,A881,'Base bordo CD'!A$2:A$875,B881,'Base bordo CD'!L$2:L$875,"AGUARDANDO MANUTENCAO*"),0)+IFERROR(SUMIFS('Base bordo CD'!M$2:M$875,'Base bordo CD'!D$2:D$875,A881,'Base bordo CD'!A$2:A$875,B881,'Base bordo CD'!L$2:L$875,"TROCA DE FAQUINHA"),0)+IFERROR(SUMIFS('Base bordo CD'!M$2:M$875,'Base bordo CD'!D$2:D$875,A881,'Base bordo CD'!A$2:A$875,B881,'Base bordo CD'!L$2:L$875,"LIMPEZA*"),0)</f>
        <v>0.9738888888888888</v>
      </c>
      <c r="L881" s="10">
        <f>IFERROR(SUMIFS('Base bordo CD'!M$2:M$875,'Base bordo CD'!D$2:D$875,A881,'Base bordo CD'!A$2:A$875,B881,'Base bordo CD'!L$2:L$875,"PATIO - RESERVA"),0)</f>
        <v>0</v>
      </c>
      <c r="M881" s="10">
        <f>IFERROR(SUMIFS('Base bordo CD'!M$2:M$875,'Base bordo CD'!D$2:D$875,A881,'Base bordo CD'!A$2:A$875,B881,'Base bordo CD'!L$2:L$875,"SEM APONTAMENTO"),0)</f>
        <v>0</v>
      </c>
      <c r="N881" s="10">
        <f>IFERROR(SUMIFS('Base bordo CD'!M$2:M$875,'Base bordo CD'!D$2:D$875,A881,'Base bordo CD'!A$2:A$875,B881,'Base bordo CD'!L$2:L$875,"FALTA DE CAMINHÃO"),0)+IFERROR(SUMIFS('Base bordo CD'!M$2:M$875,'Base bordo CD'!D$2:D$875,A881,'Base bordo CD'!A$2:A$875,B881,'Base bordo CD'!L$2:L$875,"FALTA DE COMBUSTIVEL"),0)+IFERROR(SUMIFS('Base bordo CD'!M$2:M$875,'Base bordo CD'!D$2:D$875,A881,'Base bordo CD'!A$2:A$875,B881,'Base bordo CD'!L$2:L$875,"FALTA DE MOTORIST*"),0)</f>
        <v>0</v>
      </c>
      <c r="O881" s="10">
        <f t="shared" si="70"/>
        <v>0.5736111111111093</v>
      </c>
      <c r="P881" s="10">
        <f>IFERROR(SUMIFS('Base bordo CD'!M$2:M$875,'Base bordo CD'!D$2:D$875,A881,'Base bordo CD'!A$2:A$875,B881),0)</f>
        <v>20.228888888888886</v>
      </c>
      <c r="Q881" s="10">
        <f>IFERROR(SUMIFS('Base bordo CD'!O$2:O$875,'Base bordo CD'!D$2:D$875,A881,'Base bordo CD'!A$2:A$875,B881,'Base bordo CD'!L$2:L$875,"CORTE DE CANA MECANIZADO"),0)</f>
        <v>64463.79</v>
      </c>
      <c r="R881" s="10">
        <f>IFERROR(SUMIFS('Base bordo CD'!Q$2:Q$875,'Base bordo CD'!D$2:D$875,A881,'Base bordo CD'!A$2:A$875,B881,'Base bordo CD'!L$2:L$875,"CORTE DE CANA MECANIZADO"),0)</f>
        <v>22689</v>
      </c>
      <c r="S881" s="30">
        <f t="shared" si="71"/>
        <v>2.8411913261933095</v>
      </c>
      <c r="T881" s="9">
        <f t="shared" si="72"/>
        <v>0.31155937602988032</v>
      </c>
      <c r="U881" s="9">
        <f t="shared" si="73"/>
        <v>5.2908381852136664E-2</v>
      </c>
      <c r="V881" s="9">
        <f t="shared" si="74"/>
        <v>0.65652806766999883</v>
      </c>
    </row>
    <row r="882" spans="1:22" x14ac:dyDescent="0.35">
      <c r="A882" s="52">
        <v>49595</v>
      </c>
      <c r="B882" s="31">
        <v>46118</v>
      </c>
      <c r="C882" s="7" t="s">
        <v>337</v>
      </c>
      <c r="D882" s="7">
        <v>353</v>
      </c>
      <c r="E882" s="10">
        <f>IFERROR(SUMIFS('Base bordo CD'!M$2:M$875,'Base bordo CD'!D$2:D$875,A882,'Base bordo CD'!A$2:A$875,B882,'Base bordo CD'!L$2:L$875,"CORTE DE CANA MECANIZADO"),0)</f>
        <v>6.3025000000000002</v>
      </c>
      <c r="F882" s="10">
        <f>IFERROR(SUMIFS('Base bordo CD'!M$2:M$875,'Base bordo CD'!D$2:D$875,A882,'Base bordo CD'!A$2:A$875,B882,'Base bordo CD'!L$2:L$875,"MANOBRA"),0)</f>
        <v>1.0702777777777777</v>
      </c>
      <c r="G882" s="10">
        <f>IFERROR(SUMIFS('Base bordo CD'!M$2:M$875,'Base bordo CD'!D$2:D$875,A882,'Base bordo CD'!A$2:A$875,B882,'Base bordo CD'!L$2:L$875,"DESLOCAMENTO"),0)</f>
        <v>0.64555555555555555</v>
      </c>
      <c r="H882" s="10">
        <f>IFERROR(SUMIFS('Base bordo CD'!M$2:M$875,'Base bordo CD'!D$2:D$875,A882,'Base bordo CD'!A$2:A$875,B882,'Base bordo CD'!L$2:L$875,"AGUARDANDO MANOBRA DE TRANSBORDO"),0)+IFERROR(SUMIFS('Base bordo CD'!M$2:M$875,'Base bordo CD'!D$2:D$875,A882,'Base bordo CD'!A$2:A$875,B882,'Base bordo CD'!L$2:L$875,"FALTA DE TRANSBORDO"),0)</f>
        <v>0.84305555555555556</v>
      </c>
      <c r="I882" s="10">
        <f>IFERROR(SUMIFS('Base bordo CD'!M$2:M$875,'Base bordo CD'!D$2:D$875,A882,'Base bordo CD'!A$2:A$875,B882,'Base bordo CD'!L$2:L$875,"PARADA POR CONDICOES CLIMATICAS"),0)+IFERROR(SUMIFS('Base bordo CD'!M$2:M$875,'Base bordo CD'!D$2:D$875,A882,'Base bordo CD'!A$2:A$875,B882,'Base bordo CD'!L$2:L$875,"TEMPO INDETERMINADO"),0)</f>
        <v>0</v>
      </c>
      <c r="J882" s="10">
        <f>IFERROR(SUMIFS('Base bordo CD'!M$2:M$875,'Base bordo CD'!D$2:D$875,A882,'Base bordo CD'!A$2:A$875,B882,'Base bordo CD'!L$2:L$875,"LIMITAÇÃO INDÚSTRIA"),0)</f>
        <v>9.8199999999999985</v>
      </c>
      <c r="K882" s="10">
        <f>IFERROR(SUMIFS('Base bordo CD'!M$2:M$875,'Base bordo CD'!D$2:D$875,A882,'Base bordo CD'!A$2:A$875,B882,'Base bordo CD'!L$2:L$875,"MAN CORRETIVA*"),0)+IFERROR(SUMIFS('Base bordo CD'!M$2:M$875,'Base bordo CD'!D$2:D$875,A882,'Base bordo CD'!A$2:A$875,B882,'Base bordo CD'!L$2:L$875,"AGUARDANDO MANUTENCAO*"),0)+IFERROR(SUMIFS('Base bordo CD'!M$2:M$875,'Base bordo CD'!D$2:D$875,A882,'Base bordo CD'!A$2:A$875,B882,'Base bordo CD'!L$2:L$875,"TROCA DE FAQUINHA"),0)+IFERROR(SUMIFS('Base bordo CD'!M$2:M$875,'Base bordo CD'!D$2:D$875,A882,'Base bordo CD'!A$2:A$875,B882,'Base bordo CD'!L$2:L$875,"LIMPEZA*"),0)</f>
        <v>0.9738888888888888</v>
      </c>
      <c r="L882" s="10">
        <f>IFERROR(SUMIFS('Base bordo CD'!M$2:M$875,'Base bordo CD'!D$2:D$875,A882,'Base bordo CD'!A$2:A$875,B882,'Base bordo CD'!L$2:L$875,"PATIO - RESERVA"),0)</f>
        <v>0</v>
      </c>
      <c r="M882" s="10">
        <f>IFERROR(SUMIFS('Base bordo CD'!M$2:M$875,'Base bordo CD'!D$2:D$875,A882,'Base bordo CD'!A$2:A$875,B882,'Base bordo CD'!L$2:L$875,"SEM APONTAMENTO"),0)</f>
        <v>0</v>
      </c>
      <c r="N882" s="10">
        <f>IFERROR(SUMIFS('Base bordo CD'!M$2:M$875,'Base bordo CD'!D$2:D$875,A882,'Base bordo CD'!A$2:A$875,B882,'Base bordo CD'!L$2:L$875,"FALTA DE CAMINHÃO"),0)+IFERROR(SUMIFS('Base bordo CD'!M$2:M$875,'Base bordo CD'!D$2:D$875,A882,'Base bordo CD'!A$2:A$875,B882,'Base bordo CD'!L$2:L$875,"FALTA DE COMBUSTIVEL"),0)+IFERROR(SUMIFS('Base bordo CD'!M$2:M$875,'Base bordo CD'!D$2:D$875,A882,'Base bordo CD'!A$2:A$875,B882,'Base bordo CD'!L$2:L$875,"FALTA DE MOTORIST*"),0)</f>
        <v>0</v>
      </c>
      <c r="O882" s="10">
        <f t="shared" si="70"/>
        <v>0.5736111111111093</v>
      </c>
      <c r="P882" s="10">
        <f>IFERROR(SUMIFS('Base bordo CD'!M$2:M$875,'Base bordo CD'!D$2:D$875,A882,'Base bordo CD'!A$2:A$875,B882),0)</f>
        <v>20.228888888888886</v>
      </c>
      <c r="Q882" s="10">
        <f>IFERROR(SUMIFS('Base bordo CD'!O$2:O$875,'Base bordo CD'!D$2:D$875,A882,'Base bordo CD'!A$2:A$875,B882,'Base bordo CD'!L$2:L$875,"CORTE DE CANA MECANIZADO"),0)</f>
        <v>64463.79</v>
      </c>
      <c r="R882" s="10">
        <f>IFERROR(SUMIFS('Base bordo CD'!Q$2:Q$875,'Base bordo CD'!D$2:D$875,A882,'Base bordo CD'!A$2:A$875,B882,'Base bordo CD'!L$2:L$875,"CORTE DE CANA MECANIZADO"),0)</f>
        <v>22689</v>
      </c>
      <c r="S882" s="30">
        <f t="shared" si="71"/>
        <v>2.8411913261933095</v>
      </c>
      <c r="T882" s="9">
        <f t="shared" si="72"/>
        <v>0.31155937602988032</v>
      </c>
      <c r="U882" s="9">
        <f t="shared" si="73"/>
        <v>5.2908381852136664E-2</v>
      </c>
      <c r="V882" s="9">
        <f t="shared" si="74"/>
        <v>0.65652806766999883</v>
      </c>
    </row>
    <row r="883" spans="1:22" x14ac:dyDescent="0.35">
      <c r="A883" s="52">
        <v>49596</v>
      </c>
      <c r="B883" s="31">
        <v>46118</v>
      </c>
      <c r="C883" s="7" t="s">
        <v>337</v>
      </c>
      <c r="D883" s="7">
        <v>353</v>
      </c>
      <c r="E883" s="10">
        <f>IFERROR(SUMIFS('Base bordo CD'!M$2:M$875,'Base bordo CD'!D$2:D$875,A883,'Base bordo CD'!A$2:A$875,B883,'Base bordo CD'!L$2:L$875,"CORTE DE CANA MECANIZADO"),0)</f>
        <v>0</v>
      </c>
      <c r="F883" s="10">
        <f>IFERROR(SUMIFS('Base bordo CD'!M$2:M$875,'Base bordo CD'!D$2:D$875,A883,'Base bordo CD'!A$2:A$875,B883,'Base bordo CD'!L$2:L$875,"MANOBRA"),0)</f>
        <v>0</v>
      </c>
      <c r="G883" s="10">
        <f>IFERROR(SUMIFS('Base bordo CD'!M$2:M$875,'Base bordo CD'!D$2:D$875,A883,'Base bordo CD'!A$2:A$875,B883,'Base bordo CD'!L$2:L$875,"DESLOCAMENTO"),0)</f>
        <v>0</v>
      </c>
      <c r="H883" s="10">
        <f>IFERROR(SUMIFS('Base bordo CD'!M$2:M$875,'Base bordo CD'!D$2:D$875,A883,'Base bordo CD'!A$2:A$875,B883,'Base bordo CD'!L$2:L$875,"AGUARDANDO MANOBRA DE TRANSBORDO"),0)+IFERROR(SUMIFS('Base bordo CD'!M$2:M$875,'Base bordo CD'!D$2:D$875,A883,'Base bordo CD'!A$2:A$875,B883,'Base bordo CD'!L$2:L$875,"FALTA DE TRANSBORDO"),0)</f>
        <v>0</v>
      </c>
      <c r="I883" s="10">
        <f>IFERROR(SUMIFS('Base bordo CD'!M$2:M$875,'Base bordo CD'!D$2:D$875,A883,'Base bordo CD'!A$2:A$875,B883,'Base bordo CD'!L$2:L$875,"PARADA POR CONDICOES CLIMATICAS"),0)+IFERROR(SUMIFS('Base bordo CD'!M$2:M$875,'Base bordo CD'!D$2:D$875,A883,'Base bordo CD'!A$2:A$875,B883,'Base bordo CD'!L$2:L$875,"TEMPO INDETERMINADO"),0)</f>
        <v>0</v>
      </c>
      <c r="J883" s="10">
        <f>IFERROR(SUMIFS('Base bordo CD'!M$2:M$875,'Base bordo CD'!D$2:D$875,A883,'Base bordo CD'!A$2:A$875,B883,'Base bordo CD'!L$2:L$875,"LIMITAÇÃO INDÚSTRIA"),0)</f>
        <v>0</v>
      </c>
      <c r="K883" s="10">
        <f>IFERROR(SUMIFS('Base bordo CD'!M$2:M$875,'Base bordo CD'!D$2:D$875,A883,'Base bordo CD'!A$2:A$875,B883,'Base bordo CD'!L$2:L$875,"MAN CORRETIVA*"),0)+IFERROR(SUMIFS('Base bordo CD'!M$2:M$875,'Base bordo CD'!D$2:D$875,A883,'Base bordo CD'!A$2:A$875,B883,'Base bordo CD'!L$2:L$875,"AGUARDANDO MANUTENCAO*"),0)+IFERROR(SUMIFS('Base bordo CD'!M$2:M$875,'Base bordo CD'!D$2:D$875,A883,'Base bordo CD'!A$2:A$875,B883,'Base bordo CD'!L$2:L$875,"TROCA DE FAQUINHA"),0)+IFERROR(SUMIFS('Base bordo CD'!M$2:M$875,'Base bordo CD'!D$2:D$875,A883,'Base bordo CD'!A$2:A$875,B883,'Base bordo CD'!L$2:L$875,"LIMPEZA*"),0)</f>
        <v>0</v>
      </c>
      <c r="L883" s="10">
        <f>IFERROR(SUMIFS('Base bordo CD'!M$2:M$875,'Base bordo CD'!D$2:D$875,A883,'Base bordo CD'!A$2:A$875,B883,'Base bordo CD'!L$2:L$875,"PATIO - RESERVA"),0)</f>
        <v>0</v>
      </c>
      <c r="M883" s="10">
        <f>IFERROR(SUMIFS('Base bordo CD'!M$2:M$875,'Base bordo CD'!D$2:D$875,A883,'Base bordo CD'!A$2:A$875,B883,'Base bordo CD'!L$2:L$875,"SEM APONTAMENTO"),0)</f>
        <v>0</v>
      </c>
      <c r="N883" s="10">
        <f>IFERROR(SUMIFS('Base bordo CD'!M$2:M$875,'Base bordo CD'!D$2:D$875,A883,'Base bordo CD'!A$2:A$875,B883,'Base bordo CD'!L$2:L$875,"FALTA DE CAMINHÃO"),0)+IFERROR(SUMIFS('Base bordo CD'!M$2:M$875,'Base bordo CD'!D$2:D$875,A883,'Base bordo CD'!A$2:A$875,B883,'Base bordo CD'!L$2:L$875,"FALTA DE COMBUSTIVEL"),0)+IFERROR(SUMIFS('Base bordo CD'!M$2:M$875,'Base bordo CD'!D$2:D$875,A883,'Base bordo CD'!A$2:A$875,B883,'Base bordo CD'!L$2:L$875,"FALTA DE MOTORIST*"),0)</f>
        <v>0</v>
      </c>
      <c r="O883" s="10">
        <f t="shared" si="70"/>
        <v>0</v>
      </c>
      <c r="P883" s="10">
        <f>IFERROR(SUMIFS('Base bordo CD'!M$2:M$875,'Base bordo CD'!D$2:D$875,A883,'Base bordo CD'!A$2:A$875,B883),0)</f>
        <v>0</v>
      </c>
      <c r="Q883" s="10">
        <f>IFERROR(SUMIFS('Base bordo CD'!O$2:O$875,'Base bordo CD'!D$2:D$875,A883,'Base bordo CD'!A$2:A$875,B883,'Base bordo CD'!L$2:L$875,"CORTE DE CANA MECANIZADO"),0)</f>
        <v>0</v>
      </c>
      <c r="R883" s="10">
        <f>IFERROR(SUMIFS('Base bordo CD'!Q$2:Q$875,'Base bordo CD'!D$2:D$875,A883,'Base bordo CD'!A$2:A$875,B883,'Base bordo CD'!L$2:L$875,"CORTE DE CANA MECANIZADO"),0)</f>
        <v>0</v>
      </c>
      <c r="S883" s="30" t="str">
        <f t="shared" si="71"/>
        <v/>
      </c>
      <c r="T883" s="9">
        <f t="shared" si="72"/>
        <v>0</v>
      </c>
      <c r="U883" s="9">
        <f t="shared" si="73"/>
        <v>0</v>
      </c>
      <c r="V883" s="9">
        <f t="shared" si="74"/>
        <v>0</v>
      </c>
    </row>
    <row r="884" spans="1:22" x14ac:dyDescent="0.35">
      <c r="A884" s="52">
        <v>49596</v>
      </c>
      <c r="B884" s="31">
        <v>46118</v>
      </c>
      <c r="C884" s="7" t="s">
        <v>337</v>
      </c>
      <c r="D884" s="7">
        <v>353</v>
      </c>
      <c r="E884" s="10">
        <f>IFERROR(SUMIFS('Base bordo CD'!M$2:M$875,'Base bordo CD'!D$2:D$875,A884,'Base bordo CD'!A$2:A$875,B884,'Base bordo CD'!L$2:L$875,"CORTE DE CANA MECANIZADO"),0)</f>
        <v>0</v>
      </c>
      <c r="F884" s="10">
        <f>IFERROR(SUMIFS('Base bordo CD'!M$2:M$875,'Base bordo CD'!D$2:D$875,A884,'Base bordo CD'!A$2:A$875,B884,'Base bordo CD'!L$2:L$875,"MANOBRA"),0)</f>
        <v>0</v>
      </c>
      <c r="G884" s="10">
        <f>IFERROR(SUMIFS('Base bordo CD'!M$2:M$875,'Base bordo CD'!D$2:D$875,A884,'Base bordo CD'!A$2:A$875,B884,'Base bordo CD'!L$2:L$875,"DESLOCAMENTO"),0)</f>
        <v>0</v>
      </c>
      <c r="H884" s="10">
        <f>IFERROR(SUMIFS('Base bordo CD'!M$2:M$875,'Base bordo CD'!D$2:D$875,A884,'Base bordo CD'!A$2:A$875,B884,'Base bordo CD'!L$2:L$875,"AGUARDANDO MANOBRA DE TRANSBORDO"),0)+IFERROR(SUMIFS('Base bordo CD'!M$2:M$875,'Base bordo CD'!D$2:D$875,A884,'Base bordo CD'!A$2:A$875,B884,'Base bordo CD'!L$2:L$875,"FALTA DE TRANSBORDO"),0)</f>
        <v>0</v>
      </c>
      <c r="I884" s="10">
        <f>IFERROR(SUMIFS('Base bordo CD'!M$2:M$875,'Base bordo CD'!D$2:D$875,A884,'Base bordo CD'!A$2:A$875,B884,'Base bordo CD'!L$2:L$875,"PARADA POR CONDICOES CLIMATICAS"),0)+IFERROR(SUMIFS('Base bordo CD'!M$2:M$875,'Base bordo CD'!D$2:D$875,A884,'Base bordo CD'!A$2:A$875,B884,'Base bordo CD'!L$2:L$875,"TEMPO INDETERMINADO"),0)</f>
        <v>0</v>
      </c>
      <c r="J884" s="10">
        <f>IFERROR(SUMIFS('Base bordo CD'!M$2:M$875,'Base bordo CD'!D$2:D$875,A884,'Base bordo CD'!A$2:A$875,B884,'Base bordo CD'!L$2:L$875,"LIMITAÇÃO INDÚSTRIA"),0)</f>
        <v>0</v>
      </c>
      <c r="K884" s="10">
        <f>IFERROR(SUMIFS('Base bordo CD'!M$2:M$875,'Base bordo CD'!D$2:D$875,A884,'Base bordo CD'!A$2:A$875,B884,'Base bordo CD'!L$2:L$875,"MAN CORRETIVA*"),0)+IFERROR(SUMIFS('Base bordo CD'!M$2:M$875,'Base bordo CD'!D$2:D$875,A884,'Base bordo CD'!A$2:A$875,B884,'Base bordo CD'!L$2:L$875,"AGUARDANDO MANUTENCAO*"),0)+IFERROR(SUMIFS('Base bordo CD'!M$2:M$875,'Base bordo CD'!D$2:D$875,A884,'Base bordo CD'!A$2:A$875,B884,'Base bordo CD'!L$2:L$875,"TROCA DE FAQUINHA"),0)+IFERROR(SUMIFS('Base bordo CD'!M$2:M$875,'Base bordo CD'!D$2:D$875,A884,'Base bordo CD'!A$2:A$875,B884,'Base bordo CD'!L$2:L$875,"LIMPEZA*"),0)</f>
        <v>0</v>
      </c>
      <c r="L884" s="10">
        <f>IFERROR(SUMIFS('Base bordo CD'!M$2:M$875,'Base bordo CD'!D$2:D$875,A884,'Base bordo CD'!A$2:A$875,B884,'Base bordo CD'!L$2:L$875,"PATIO - RESERVA"),0)</f>
        <v>0</v>
      </c>
      <c r="M884" s="10">
        <f>IFERROR(SUMIFS('Base bordo CD'!M$2:M$875,'Base bordo CD'!D$2:D$875,A884,'Base bordo CD'!A$2:A$875,B884,'Base bordo CD'!L$2:L$875,"SEM APONTAMENTO"),0)</f>
        <v>0</v>
      </c>
      <c r="N884" s="10">
        <f>IFERROR(SUMIFS('Base bordo CD'!M$2:M$875,'Base bordo CD'!D$2:D$875,A884,'Base bordo CD'!A$2:A$875,B884,'Base bordo CD'!L$2:L$875,"FALTA DE CAMINHÃO"),0)+IFERROR(SUMIFS('Base bordo CD'!M$2:M$875,'Base bordo CD'!D$2:D$875,A884,'Base bordo CD'!A$2:A$875,B884,'Base bordo CD'!L$2:L$875,"FALTA DE COMBUSTIVEL"),0)+IFERROR(SUMIFS('Base bordo CD'!M$2:M$875,'Base bordo CD'!D$2:D$875,A884,'Base bordo CD'!A$2:A$875,B884,'Base bordo CD'!L$2:L$875,"FALTA DE MOTORIST*"),0)</f>
        <v>0</v>
      </c>
      <c r="O884" s="10">
        <f t="shared" si="70"/>
        <v>0</v>
      </c>
      <c r="P884" s="10">
        <f>IFERROR(SUMIFS('Base bordo CD'!M$2:M$875,'Base bordo CD'!D$2:D$875,A884,'Base bordo CD'!A$2:A$875,B884),0)</f>
        <v>0</v>
      </c>
      <c r="Q884" s="10">
        <f>IFERROR(SUMIFS('Base bordo CD'!O$2:O$875,'Base bordo CD'!D$2:D$875,A884,'Base bordo CD'!A$2:A$875,B884,'Base bordo CD'!L$2:L$875,"CORTE DE CANA MECANIZADO"),0)</f>
        <v>0</v>
      </c>
      <c r="R884" s="10">
        <f>IFERROR(SUMIFS('Base bordo CD'!Q$2:Q$875,'Base bordo CD'!D$2:D$875,A884,'Base bordo CD'!A$2:A$875,B884,'Base bordo CD'!L$2:L$875,"CORTE DE CANA MECANIZADO"),0)</f>
        <v>0</v>
      </c>
      <c r="S884" s="30" t="str">
        <f t="shared" si="71"/>
        <v/>
      </c>
      <c r="T884" s="9">
        <f t="shared" si="72"/>
        <v>0</v>
      </c>
      <c r="U884" s="9">
        <f t="shared" si="73"/>
        <v>0</v>
      </c>
      <c r="V884" s="9">
        <f t="shared" si="74"/>
        <v>0</v>
      </c>
    </row>
    <row r="885" spans="1:22" x14ac:dyDescent="0.35">
      <c r="A885" s="52">
        <v>49596</v>
      </c>
      <c r="B885" s="31">
        <v>46118</v>
      </c>
      <c r="C885" s="7" t="s">
        <v>337</v>
      </c>
      <c r="D885" s="7">
        <v>353</v>
      </c>
      <c r="E885" s="10">
        <f>IFERROR(SUMIFS('Base bordo CD'!M$2:M$875,'Base bordo CD'!D$2:D$875,A885,'Base bordo CD'!A$2:A$875,B885,'Base bordo CD'!L$2:L$875,"CORTE DE CANA MECANIZADO"),0)</f>
        <v>0</v>
      </c>
      <c r="F885" s="10">
        <f>IFERROR(SUMIFS('Base bordo CD'!M$2:M$875,'Base bordo CD'!D$2:D$875,A885,'Base bordo CD'!A$2:A$875,B885,'Base bordo CD'!L$2:L$875,"MANOBRA"),0)</f>
        <v>0</v>
      </c>
      <c r="G885" s="10">
        <f>IFERROR(SUMIFS('Base bordo CD'!M$2:M$875,'Base bordo CD'!D$2:D$875,A885,'Base bordo CD'!A$2:A$875,B885,'Base bordo CD'!L$2:L$875,"DESLOCAMENTO"),0)</f>
        <v>0</v>
      </c>
      <c r="H885" s="10">
        <f>IFERROR(SUMIFS('Base bordo CD'!M$2:M$875,'Base bordo CD'!D$2:D$875,A885,'Base bordo CD'!A$2:A$875,B885,'Base bordo CD'!L$2:L$875,"AGUARDANDO MANOBRA DE TRANSBORDO"),0)+IFERROR(SUMIFS('Base bordo CD'!M$2:M$875,'Base bordo CD'!D$2:D$875,A885,'Base bordo CD'!A$2:A$875,B885,'Base bordo CD'!L$2:L$875,"FALTA DE TRANSBORDO"),0)</f>
        <v>0</v>
      </c>
      <c r="I885" s="10">
        <f>IFERROR(SUMIFS('Base bordo CD'!M$2:M$875,'Base bordo CD'!D$2:D$875,A885,'Base bordo CD'!A$2:A$875,B885,'Base bordo CD'!L$2:L$875,"PARADA POR CONDICOES CLIMATICAS"),0)+IFERROR(SUMIFS('Base bordo CD'!M$2:M$875,'Base bordo CD'!D$2:D$875,A885,'Base bordo CD'!A$2:A$875,B885,'Base bordo CD'!L$2:L$875,"TEMPO INDETERMINADO"),0)</f>
        <v>0</v>
      </c>
      <c r="J885" s="10">
        <f>IFERROR(SUMIFS('Base bordo CD'!M$2:M$875,'Base bordo CD'!D$2:D$875,A885,'Base bordo CD'!A$2:A$875,B885,'Base bordo CD'!L$2:L$875,"LIMITAÇÃO INDÚSTRIA"),0)</f>
        <v>0</v>
      </c>
      <c r="K885" s="10">
        <f>IFERROR(SUMIFS('Base bordo CD'!M$2:M$875,'Base bordo CD'!D$2:D$875,A885,'Base bordo CD'!A$2:A$875,B885,'Base bordo CD'!L$2:L$875,"MAN CORRETIVA*"),0)+IFERROR(SUMIFS('Base bordo CD'!M$2:M$875,'Base bordo CD'!D$2:D$875,A885,'Base bordo CD'!A$2:A$875,B885,'Base bordo CD'!L$2:L$875,"AGUARDANDO MANUTENCAO*"),0)+IFERROR(SUMIFS('Base bordo CD'!M$2:M$875,'Base bordo CD'!D$2:D$875,A885,'Base bordo CD'!A$2:A$875,B885,'Base bordo CD'!L$2:L$875,"TROCA DE FAQUINHA"),0)+IFERROR(SUMIFS('Base bordo CD'!M$2:M$875,'Base bordo CD'!D$2:D$875,A885,'Base bordo CD'!A$2:A$875,B885,'Base bordo CD'!L$2:L$875,"LIMPEZA*"),0)</f>
        <v>0</v>
      </c>
      <c r="L885" s="10">
        <f>IFERROR(SUMIFS('Base bordo CD'!M$2:M$875,'Base bordo CD'!D$2:D$875,A885,'Base bordo CD'!A$2:A$875,B885,'Base bordo CD'!L$2:L$875,"PATIO - RESERVA"),0)</f>
        <v>0</v>
      </c>
      <c r="M885" s="10">
        <f>IFERROR(SUMIFS('Base bordo CD'!M$2:M$875,'Base bordo CD'!D$2:D$875,A885,'Base bordo CD'!A$2:A$875,B885,'Base bordo CD'!L$2:L$875,"SEM APONTAMENTO"),0)</f>
        <v>0</v>
      </c>
      <c r="N885" s="10">
        <f>IFERROR(SUMIFS('Base bordo CD'!M$2:M$875,'Base bordo CD'!D$2:D$875,A885,'Base bordo CD'!A$2:A$875,B885,'Base bordo CD'!L$2:L$875,"FALTA DE CAMINHÃO"),0)+IFERROR(SUMIFS('Base bordo CD'!M$2:M$875,'Base bordo CD'!D$2:D$875,A885,'Base bordo CD'!A$2:A$875,B885,'Base bordo CD'!L$2:L$875,"FALTA DE COMBUSTIVEL"),0)+IFERROR(SUMIFS('Base bordo CD'!M$2:M$875,'Base bordo CD'!D$2:D$875,A885,'Base bordo CD'!A$2:A$875,B885,'Base bordo CD'!L$2:L$875,"FALTA DE MOTORIST*"),0)</f>
        <v>0</v>
      </c>
      <c r="O885" s="10">
        <f t="shared" si="70"/>
        <v>0</v>
      </c>
      <c r="P885" s="10">
        <f>IFERROR(SUMIFS('Base bordo CD'!M$2:M$875,'Base bordo CD'!D$2:D$875,A885,'Base bordo CD'!A$2:A$875,B885),0)</f>
        <v>0</v>
      </c>
      <c r="Q885" s="10">
        <f>IFERROR(SUMIFS('Base bordo CD'!O$2:O$875,'Base bordo CD'!D$2:D$875,A885,'Base bordo CD'!A$2:A$875,B885,'Base bordo CD'!L$2:L$875,"CORTE DE CANA MECANIZADO"),0)</f>
        <v>0</v>
      </c>
      <c r="R885" s="10">
        <f>IFERROR(SUMIFS('Base bordo CD'!Q$2:Q$875,'Base bordo CD'!D$2:D$875,A885,'Base bordo CD'!A$2:A$875,B885,'Base bordo CD'!L$2:L$875,"CORTE DE CANA MECANIZADO"),0)</f>
        <v>0</v>
      </c>
      <c r="S885" s="30" t="str">
        <f t="shared" si="71"/>
        <v/>
      </c>
      <c r="T885" s="9">
        <f t="shared" si="72"/>
        <v>0</v>
      </c>
      <c r="U885" s="9">
        <f t="shared" si="73"/>
        <v>0</v>
      </c>
      <c r="V885" s="9">
        <f t="shared" si="74"/>
        <v>0</v>
      </c>
    </row>
    <row r="886" spans="1:22" x14ac:dyDescent="0.35">
      <c r="A886" s="52">
        <v>49596</v>
      </c>
      <c r="B886" s="31">
        <v>46118</v>
      </c>
      <c r="C886" s="7" t="s">
        <v>337</v>
      </c>
      <c r="D886" s="7">
        <v>353</v>
      </c>
      <c r="E886" s="10">
        <f>IFERROR(SUMIFS('Base bordo CD'!M$2:M$875,'Base bordo CD'!D$2:D$875,A886,'Base bordo CD'!A$2:A$875,B886,'Base bordo CD'!L$2:L$875,"CORTE DE CANA MECANIZADO"),0)</f>
        <v>0</v>
      </c>
      <c r="F886" s="10">
        <f>IFERROR(SUMIFS('Base bordo CD'!M$2:M$875,'Base bordo CD'!D$2:D$875,A886,'Base bordo CD'!A$2:A$875,B886,'Base bordo CD'!L$2:L$875,"MANOBRA"),0)</f>
        <v>0</v>
      </c>
      <c r="G886" s="10">
        <f>IFERROR(SUMIFS('Base bordo CD'!M$2:M$875,'Base bordo CD'!D$2:D$875,A886,'Base bordo CD'!A$2:A$875,B886,'Base bordo CD'!L$2:L$875,"DESLOCAMENTO"),0)</f>
        <v>0</v>
      </c>
      <c r="H886" s="10">
        <f>IFERROR(SUMIFS('Base bordo CD'!M$2:M$875,'Base bordo CD'!D$2:D$875,A886,'Base bordo CD'!A$2:A$875,B886,'Base bordo CD'!L$2:L$875,"AGUARDANDO MANOBRA DE TRANSBORDO"),0)+IFERROR(SUMIFS('Base bordo CD'!M$2:M$875,'Base bordo CD'!D$2:D$875,A886,'Base bordo CD'!A$2:A$875,B886,'Base bordo CD'!L$2:L$875,"FALTA DE TRANSBORDO"),0)</f>
        <v>0</v>
      </c>
      <c r="I886" s="10">
        <f>IFERROR(SUMIFS('Base bordo CD'!M$2:M$875,'Base bordo CD'!D$2:D$875,A886,'Base bordo CD'!A$2:A$875,B886,'Base bordo CD'!L$2:L$875,"PARADA POR CONDICOES CLIMATICAS"),0)+IFERROR(SUMIFS('Base bordo CD'!M$2:M$875,'Base bordo CD'!D$2:D$875,A886,'Base bordo CD'!A$2:A$875,B886,'Base bordo CD'!L$2:L$875,"TEMPO INDETERMINADO"),0)</f>
        <v>0</v>
      </c>
      <c r="J886" s="10">
        <f>IFERROR(SUMIFS('Base bordo CD'!M$2:M$875,'Base bordo CD'!D$2:D$875,A886,'Base bordo CD'!A$2:A$875,B886,'Base bordo CD'!L$2:L$875,"LIMITAÇÃO INDÚSTRIA"),0)</f>
        <v>0</v>
      </c>
      <c r="K886" s="10">
        <f>IFERROR(SUMIFS('Base bordo CD'!M$2:M$875,'Base bordo CD'!D$2:D$875,A886,'Base bordo CD'!A$2:A$875,B886,'Base bordo CD'!L$2:L$875,"MAN CORRETIVA*"),0)+IFERROR(SUMIFS('Base bordo CD'!M$2:M$875,'Base bordo CD'!D$2:D$875,A886,'Base bordo CD'!A$2:A$875,B886,'Base bordo CD'!L$2:L$875,"AGUARDANDO MANUTENCAO*"),0)+IFERROR(SUMIFS('Base bordo CD'!M$2:M$875,'Base bordo CD'!D$2:D$875,A886,'Base bordo CD'!A$2:A$875,B886,'Base bordo CD'!L$2:L$875,"TROCA DE FAQUINHA"),0)+IFERROR(SUMIFS('Base bordo CD'!M$2:M$875,'Base bordo CD'!D$2:D$875,A886,'Base bordo CD'!A$2:A$875,B886,'Base bordo CD'!L$2:L$875,"LIMPEZA*"),0)</f>
        <v>0</v>
      </c>
      <c r="L886" s="10">
        <f>IFERROR(SUMIFS('Base bordo CD'!M$2:M$875,'Base bordo CD'!D$2:D$875,A886,'Base bordo CD'!A$2:A$875,B886,'Base bordo CD'!L$2:L$875,"PATIO - RESERVA"),0)</f>
        <v>0</v>
      </c>
      <c r="M886" s="10">
        <f>IFERROR(SUMIFS('Base bordo CD'!M$2:M$875,'Base bordo CD'!D$2:D$875,A886,'Base bordo CD'!A$2:A$875,B886,'Base bordo CD'!L$2:L$875,"SEM APONTAMENTO"),0)</f>
        <v>0</v>
      </c>
      <c r="N886" s="10">
        <f>IFERROR(SUMIFS('Base bordo CD'!M$2:M$875,'Base bordo CD'!D$2:D$875,A886,'Base bordo CD'!A$2:A$875,B886,'Base bordo CD'!L$2:L$875,"FALTA DE CAMINHÃO"),0)+IFERROR(SUMIFS('Base bordo CD'!M$2:M$875,'Base bordo CD'!D$2:D$875,A886,'Base bordo CD'!A$2:A$875,B886,'Base bordo CD'!L$2:L$875,"FALTA DE COMBUSTIVEL"),0)+IFERROR(SUMIFS('Base bordo CD'!M$2:M$875,'Base bordo CD'!D$2:D$875,A886,'Base bordo CD'!A$2:A$875,B886,'Base bordo CD'!L$2:L$875,"FALTA DE MOTORIST*"),0)</f>
        <v>0</v>
      </c>
      <c r="O886" s="10">
        <f t="shared" si="70"/>
        <v>0</v>
      </c>
      <c r="P886" s="10">
        <f>IFERROR(SUMIFS('Base bordo CD'!M$2:M$875,'Base bordo CD'!D$2:D$875,A886,'Base bordo CD'!A$2:A$875,B886),0)</f>
        <v>0</v>
      </c>
      <c r="Q886" s="10">
        <f>IFERROR(SUMIFS('Base bordo CD'!O$2:O$875,'Base bordo CD'!D$2:D$875,A886,'Base bordo CD'!A$2:A$875,B886,'Base bordo CD'!L$2:L$875,"CORTE DE CANA MECANIZADO"),0)</f>
        <v>0</v>
      </c>
      <c r="R886" s="10">
        <f>IFERROR(SUMIFS('Base bordo CD'!Q$2:Q$875,'Base bordo CD'!D$2:D$875,A886,'Base bordo CD'!A$2:A$875,B886,'Base bordo CD'!L$2:L$875,"CORTE DE CANA MECANIZADO"),0)</f>
        <v>0</v>
      </c>
      <c r="S886" s="30" t="str">
        <f t="shared" si="71"/>
        <v/>
      </c>
      <c r="T886" s="9">
        <f t="shared" si="72"/>
        <v>0</v>
      </c>
      <c r="U886" s="9">
        <f t="shared" si="73"/>
        <v>0</v>
      </c>
      <c r="V886" s="9">
        <f t="shared" si="74"/>
        <v>0</v>
      </c>
    </row>
    <row r="887" spans="1:22" x14ac:dyDescent="0.35">
      <c r="A887" s="52">
        <v>49596</v>
      </c>
      <c r="B887" s="31">
        <v>46118</v>
      </c>
      <c r="C887" s="7" t="s">
        <v>337</v>
      </c>
      <c r="D887" s="7">
        <v>353</v>
      </c>
      <c r="E887" s="10">
        <f>IFERROR(SUMIFS('Base bordo CD'!M$2:M$875,'Base bordo CD'!D$2:D$875,A887,'Base bordo CD'!A$2:A$875,B887,'Base bordo CD'!L$2:L$875,"CORTE DE CANA MECANIZADO"),0)</f>
        <v>0</v>
      </c>
      <c r="F887" s="10">
        <f>IFERROR(SUMIFS('Base bordo CD'!M$2:M$875,'Base bordo CD'!D$2:D$875,A887,'Base bordo CD'!A$2:A$875,B887,'Base bordo CD'!L$2:L$875,"MANOBRA"),0)</f>
        <v>0</v>
      </c>
      <c r="G887" s="10">
        <f>IFERROR(SUMIFS('Base bordo CD'!M$2:M$875,'Base bordo CD'!D$2:D$875,A887,'Base bordo CD'!A$2:A$875,B887,'Base bordo CD'!L$2:L$875,"DESLOCAMENTO"),0)</f>
        <v>0</v>
      </c>
      <c r="H887" s="10">
        <f>IFERROR(SUMIFS('Base bordo CD'!M$2:M$875,'Base bordo CD'!D$2:D$875,A887,'Base bordo CD'!A$2:A$875,B887,'Base bordo CD'!L$2:L$875,"AGUARDANDO MANOBRA DE TRANSBORDO"),0)+IFERROR(SUMIFS('Base bordo CD'!M$2:M$875,'Base bordo CD'!D$2:D$875,A887,'Base bordo CD'!A$2:A$875,B887,'Base bordo CD'!L$2:L$875,"FALTA DE TRANSBORDO"),0)</f>
        <v>0</v>
      </c>
      <c r="I887" s="10">
        <f>IFERROR(SUMIFS('Base bordo CD'!M$2:M$875,'Base bordo CD'!D$2:D$875,A887,'Base bordo CD'!A$2:A$875,B887,'Base bordo CD'!L$2:L$875,"PARADA POR CONDICOES CLIMATICAS"),0)+IFERROR(SUMIFS('Base bordo CD'!M$2:M$875,'Base bordo CD'!D$2:D$875,A887,'Base bordo CD'!A$2:A$875,B887,'Base bordo CD'!L$2:L$875,"TEMPO INDETERMINADO"),0)</f>
        <v>0</v>
      </c>
      <c r="J887" s="10">
        <f>IFERROR(SUMIFS('Base bordo CD'!M$2:M$875,'Base bordo CD'!D$2:D$875,A887,'Base bordo CD'!A$2:A$875,B887,'Base bordo CD'!L$2:L$875,"LIMITAÇÃO INDÚSTRIA"),0)</f>
        <v>0</v>
      </c>
      <c r="K887" s="10">
        <f>IFERROR(SUMIFS('Base bordo CD'!M$2:M$875,'Base bordo CD'!D$2:D$875,A887,'Base bordo CD'!A$2:A$875,B887,'Base bordo CD'!L$2:L$875,"MAN CORRETIVA*"),0)+IFERROR(SUMIFS('Base bordo CD'!M$2:M$875,'Base bordo CD'!D$2:D$875,A887,'Base bordo CD'!A$2:A$875,B887,'Base bordo CD'!L$2:L$875,"AGUARDANDO MANUTENCAO*"),0)+IFERROR(SUMIFS('Base bordo CD'!M$2:M$875,'Base bordo CD'!D$2:D$875,A887,'Base bordo CD'!A$2:A$875,B887,'Base bordo CD'!L$2:L$875,"TROCA DE FAQUINHA"),0)+IFERROR(SUMIFS('Base bordo CD'!M$2:M$875,'Base bordo CD'!D$2:D$875,A887,'Base bordo CD'!A$2:A$875,B887,'Base bordo CD'!L$2:L$875,"LIMPEZA*"),0)</f>
        <v>0</v>
      </c>
      <c r="L887" s="10">
        <f>IFERROR(SUMIFS('Base bordo CD'!M$2:M$875,'Base bordo CD'!D$2:D$875,A887,'Base bordo CD'!A$2:A$875,B887,'Base bordo CD'!L$2:L$875,"PATIO - RESERVA"),0)</f>
        <v>0</v>
      </c>
      <c r="M887" s="10">
        <f>IFERROR(SUMIFS('Base bordo CD'!M$2:M$875,'Base bordo CD'!D$2:D$875,A887,'Base bordo CD'!A$2:A$875,B887,'Base bordo CD'!L$2:L$875,"SEM APONTAMENTO"),0)</f>
        <v>0</v>
      </c>
      <c r="N887" s="10">
        <f>IFERROR(SUMIFS('Base bordo CD'!M$2:M$875,'Base bordo CD'!D$2:D$875,A887,'Base bordo CD'!A$2:A$875,B887,'Base bordo CD'!L$2:L$875,"FALTA DE CAMINHÃO"),0)+IFERROR(SUMIFS('Base bordo CD'!M$2:M$875,'Base bordo CD'!D$2:D$875,A887,'Base bordo CD'!A$2:A$875,B887,'Base bordo CD'!L$2:L$875,"FALTA DE COMBUSTIVEL"),0)+IFERROR(SUMIFS('Base bordo CD'!M$2:M$875,'Base bordo CD'!D$2:D$875,A887,'Base bordo CD'!A$2:A$875,B887,'Base bordo CD'!L$2:L$875,"FALTA DE MOTORIST*"),0)</f>
        <v>0</v>
      </c>
      <c r="O887" s="10">
        <f t="shared" si="70"/>
        <v>0</v>
      </c>
      <c r="P887" s="10">
        <f>IFERROR(SUMIFS('Base bordo CD'!M$2:M$875,'Base bordo CD'!D$2:D$875,A887,'Base bordo CD'!A$2:A$875,B887),0)</f>
        <v>0</v>
      </c>
      <c r="Q887" s="10">
        <f>IFERROR(SUMIFS('Base bordo CD'!O$2:O$875,'Base bordo CD'!D$2:D$875,A887,'Base bordo CD'!A$2:A$875,B887,'Base bordo CD'!L$2:L$875,"CORTE DE CANA MECANIZADO"),0)</f>
        <v>0</v>
      </c>
      <c r="R887" s="10">
        <f>IFERROR(SUMIFS('Base bordo CD'!Q$2:Q$875,'Base bordo CD'!D$2:D$875,A887,'Base bordo CD'!A$2:A$875,B887,'Base bordo CD'!L$2:L$875,"CORTE DE CANA MECANIZADO"),0)</f>
        <v>0</v>
      </c>
      <c r="S887" s="30" t="str">
        <f t="shared" si="71"/>
        <v/>
      </c>
      <c r="T887" s="9">
        <f t="shared" si="72"/>
        <v>0</v>
      </c>
      <c r="U887" s="9">
        <f t="shared" si="73"/>
        <v>0</v>
      </c>
      <c r="V887" s="9">
        <f t="shared" si="74"/>
        <v>0</v>
      </c>
    </row>
    <row r="888" spans="1:22" x14ac:dyDescent="0.35">
      <c r="A888" s="52">
        <v>49596</v>
      </c>
      <c r="B888" s="31">
        <v>46118</v>
      </c>
      <c r="C888" s="7" t="s">
        <v>337</v>
      </c>
      <c r="D888" s="7">
        <v>353</v>
      </c>
      <c r="E888" s="10">
        <f>IFERROR(SUMIFS('Base bordo CD'!M$2:M$875,'Base bordo CD'!D$2:D$875,A888,'Base bordo CD'!A$2:A$875,B888,'Base bordo CD'!L$2:L$875,"CORTE DE CANA MECANIZADO"),0)</f>
        <v>0</v>
      </c>
      <c r="F888" s="10">
        <f>IFERROR(SUMIFS('Base bordo CD'!M$2:M$875,'Base bordo CD'!D$2:D$875,A888,'Base bordo CD'!A$2:A$875,B888,'Base bordo CD'!L$2:L$875,"MANOBRA"),0)</f>
        <v>0</v>
      </c>
      <c r="G888" s="10">
        <f>IFERROR(SUMIFS('Base bordo CD'!M$2:M$875,'Base bordo CD'!D$2:D$875,A888,'Base bordo CD'!A$2:A$875,B888,'Base bordo CD'!L$2:L$875,"DESLOCAMENTO"),0)</f>
        <v>0</v>
      </c>
      <c r="H888" s="10">
        <f>IFERROR(SUMIFS('Base bordo CD'!M$2:M$875,'Base bordo CD'!D$2:D$875,A888,'Base bordo CD'!A$2:A$875,B888,'Base bordo CD'!L$2:L$875,"AGUARDANDO MANOBRA DE TRANSBORDO"),0)+IFERROR(SUMIFS('Base bordo CD'!M$2:M$875,'Base bordo CD'!D$2:D$875,A888,'Base bordo CD'!A$2:A$875,B888,'Base bordo CD'!L$2:L$875,"FALTA DE TRANSBORDO"),0)</f>
        <v>0</v>
      </c>
      <c r="I888" s="10">
        <f>IFERROR(SUMIFS('Base bordo CD'!M$2:M$875,'Base bordo CD'!D$2:D$875,A888,'Base bordo CD'!A$2:A$875,B888,'Base bordo CD'!L$2:L$875,"PARADA POR CONDICOES CLIMATICAS"),0)+IFERROR(SUMIFS('Base bordo CD'!M$2:M$875,'Base bordo CD'!D$2:D$875,A888,'Base bordo CD'!A$2:A$875,B888,'Base bordo CD'!L$2:L$875,"TEMPO INDETERMINADO"),0)</f>
        <v>0</v>
      </c>
      <c r="J888" s="10">
        <f>IFERROR(SUMIFS('Base bordo CD'!M$2:M$875,'Base bordo CD'!D$2:D$875,A888,'Base bordo CD'!A$2:A$875,B888,'Base bordo CD'!L$2:L$875,"LIMITAÇÃO INDÚSTRIA"),0)</f>
        <v>0</v>
      </c>
      <c r="K888" s="10">
        <f>IFERROR(SUMIFS('Base bordo CD'!M$2:M$875,'Base bordo CD'!D$2:D$875,A888,'Base bordo CD'!A$2:A$875,B888,'Base bordo CD'!L$2:L$875,"MAN CORRETIVA*"),0)+IFERROR(SUMIFS('Base bordo CD'!M$2:M$875,'Base bordo CD'!D$2:D$875,A888,'Base bordo CD'!A$2:A$875,B888,'Base bordo CD'!L$2:L$875,"AGUARDANDO MANUTENCAO*"),0)+IFERROR(SUMIFS('Base bordo CD'!M$2:M$875,'Base bordo CD'!D$2:D$875,A888,'Base bordo CD'!A$2:A$875,B888,'Base bordo CD'!L$2:L$875,"TROCA DE FAQUINHA"),0)+IFERROR(SUMIFS('Base bordo CD'!M$2:M$875,'Base bordo CD'!D$2:D$875,A888,'Base bordo CD'!A$2:A$875,B888,'Base bordo CD'!L$2:L$875,"LIMPEZA*"),0)</f>
        <v>0</v>
      </c>
      <c r="L888" s="10">
        <f>IFERROR(SUMIFS('Base bordo CD'!M$2:M$875,'Base bordo CD'!D$2:D$875,A888,'Base bordo CD'!A$2:A$875,B888,'Base bordo CD'!L$2:L$875,"PATIO - RESERVA"),0)</f>
        <v>0</v>
      </c>
      <c r="M888" s="10">
        <f>IFERROR(SUMIFS('Base bordo CD'!M$2:M$875,'Base bordo CD'!D$2:D$875,A888,'Base bordo CD'!A$2:A$875,B888,'Base bordo CD'!L$2:L$875,"SEM APONTAMENTO"),0)</f>
        <v>0</v>
      </c>
      <c r="N888" s="10">
        <f>IFERROR(SUMIFS('Base bordo CD'!M$2:M$875,'Base bordo CD'!D$2:D$875,A888,'Base bordo CD'!A$2:A$875,B888,'Base bordo CD'!L$2:L$875,"FALTA DE CAMINHÃO"),0)+IFERROR(SUMIFS('Base bordo CD'!M$2:M$875,'Base bordo CD'!D$2:D$875,A888,'Base bordo CD'!A$2:A$875,B888,'Base bordo CD'!L$2:L$875,"FALTA DE COMBUSTIVEL"),0)+IFERROR(SUMIFS('Base bordo CD'!M$2:M$875,'Base bordo CD'!D$2:D$875,A888,'Base bordo CD'!A$2:A$875,B888,'Base bordo CD'!L$2:L$875,"FALTA DE MOTORIST*"),0)</f>
        <v>0</v>
      </c>
      <c r="O888" s="10">
        <f t="shared" si="70"/>
        <v>0</v>
      </c>
      <c r="P888" s="10">
        <f>IFERROR(SUMIFS('Base bordo CD'!M$2:M$875,'Base bordo CD'!D$2:D$875,A888,'Base bordo CD'!A$2:A$875,B888),0)</f>
        <v>0</v>
      </c>
      <c r="Q888" s="10">
        <f>IFERROR(SUMIFS('Base bordo CD'!O$2:O$875,'Base bordo CD'!D$2:D$875,A888,'Base bordo CD'!A$2:A$875,B888,'Base bordo CD'!L$2:L$875,"CORTE DE CANA MECANIZADO"),0)</f>
        <v>0</v>
      </c>
      <c r="R888" s="10">
        <f>IFERROR(SUMIFS('Base bordo CD'!Q$2:Q$875,'Base bordo CD'!D$2:D$875,A888,'Base bordo CD'!A$2:A$875,B888,'Base bordo CD'!L$2:L$875,"CORTE DE CANA MECANIZADO"),0)</f>
        <v>0</v>
      </c>
      <c r="S888" s="30" t="str">
        <f t="shared" si="71"/>
        <v/>
      </c>
      <c r="T888" s="9">
        <f t="shared" si="72"/>
        <v>0</v>
      </c>
      <c r="U888" s="9">
        <f t="shared" si="73"/>
        <v>0</v>
      </c>
      <c r="V888" s="9">
        <f t="shared" si="74"/>
        <v>0</v>
      </c>
    </row>
    <row r="889" spans="1:22" x14ac:dyDescent="0.35">
      <c r="A889" s="52">
        <v>49596</v>
      </c>
      <c r="B889" s="31">
        <v>46118</v>
      </c>
      <c r="C889" s="7" t="s">
        <v>337</v>
      </c>
      <c r="D889" s="7">
        <v>353</v>
      </c>
      <c r="E889" s="10">
        <f>IFERROR(SUMIFS('Base bordo CD'!M$2:M$875,'Base bordo CD'!D$2:D$875,A889,'Base bordo CD'!A$2:A$875,B889,'Base bordo CD'!L$2:L$875,"CORTE DE CANA MECANIZADO"),0)</f>
        <v>0</v>
      </c>
      <c r="F889" s="10">
        <f>IFERROR(SUMIFS('Base bordo CD'!M$2:M$875,'Base bordo CD'!D$2:D$875,A889,'Base bordo CD'!A$2:A$875,B889,'Base bordo CD'!L$2:L$875,"MANOBRA"),0)</f>
        <v>0</v>
      </c>
      <c r="G889" s="10">
        <f>IFERROR(SUMIFS('Base bordo CD'!M$2:M$875,'Base bordo CD'!D$2:D$875,A889,'Base bordo CD'!A$2:A$875,B889,'Base bordo CD'!L$2:L$875,"DESLOCAMENTO"),0)</f>
        <v>0</v>
      </c>
      <c r="H889" s="10">
        <f>IFERROR(SUMIFS('Base bordo CD'!M$2:M$875,'Base bordo CD'!D$2:D$875,A889,'Base bordo CD'!A$2:A$875,B889,'Base bordo CD'!L$2:L$875,"AGUARDANDO MANOBRA DE TRANSBORDO"),0)+IFERROR(SUMIFS('Base bordo CD'!M$2:M$875,'Base bordo CD'!D$2:D$875,A889,'Base bordo CD'!A$2:A$875,B889,'Base bordo CD'!L$2:L$875,"FALTA DE TRANSBORDO"),0)</f>
        <v>0</v>
      </c>
      <c r="I889" s="10">
        <f>IFERROR(SUMIFS('Base bordo CD'!M$2:M$875,'Base bordo CD'!D$2:D$875,A889,'Base bordo CD'!A$2:A$875,B889,'Base bordo CD'!L$2:L$875,"PARADA POR CONDICOES CLIMATICAS"),0)+IFERROR(SUMIFS('Base bordo CD'!M$2:M$875,'Base bordo CD'!D$2:D$875,A889,'Base bordo CD'!A$2:A$875,B889,'Base bordo CD'!L$2:L$875,"TEMPO INDETERMINADO"),0)</f>
        <v>0</v>
      </c>
      <c r="J889" s="10">
        <f>IFERROR(SUMIFS('Base bordo CD'!M$2:M$875,'Base bordo CD'!D$2:D$875,A889,'Base bordo CD'!A$2:A$875,B889,'Base bordo CD'!L$2:L$875,"LIMITAÇÃO INDÚSTRIA"),0)</f>
        <v>0</v>
      </c>
      <c r="K889" s="10">
        <f>IFERROR(SUMIFS('Base bordo CD'!M$2:M$875,'Base bordo CD'!D$2:D$875,A889,'Base bordo CD'!A$2:A$875,B889,'Base bordo CD'!L$2:L$875,"MAN CORRETIVA*"),0)+IFERROR(SUMIFS('Base bordo CD'!M$2:M$875,'Base bordo CD'!D$2:D$875,A889,'Base bordo CD'!A$2:A$875,B889,'Base bordo CD'!L$2:L$875,"AGUARDANDO MANUTENCAO*"),0)+IFERROR(SUMIFS('Base bordo CD'!M$2:M$875,'Base bordo CD'!D$2:D$875,A889,'Base bordo CD'!A$2:A$875,B889,'Base bordo CD'!L$2:L$875,"TROCA DE FAQUINHA"),0)+IFERROR(SUMIFS('Base bordo CD'!M$2:M$875,'Base bordo CD'!D$2:D$875,A889,'Base bordo CD'!A$2:A$875,B889,'Base bordo CD'!L$2:L$875,"LIMPEZA*"),0)</f>
        <v>0</v>
      </c>
      <c r="L889" s="10">
        <f>IFERROR(SUMIFS('Base bordo CD'!M$2:M$875,'Base bordo CD'!D$2:D$875,A889,'Base bordo CD'!A$2:A$875,B889,'Base bordo CD'!L$2:L$875,"PATIO - RESERVA"),0)</f>
        <v>0</v>
      </c>
      <c r="M889" s="10">
        <f>IFERROR(SUMIFS('Base bordo CD'!M$2:M$875,'Base bordo CD'!D$2:D$875,A889,'Base bordo CD'!A$2:A$875,B889,'Base bordo CD'!L$2:L$875,"SEM APONTAMENTO"),0)</f>
        <v>0</v>
      </c>
      <c r="N889" s="10">
        <f>IFERROR(SUMIFS('Base bordo CD'!M$2:M$875,'Base bordo CD'!D$2:D$875,A889,'Base bordo CD'!A$2:A$875,B889,'Base bordo CD'!L$2:L$875,"FALTA DE CAMINHÃO"),0)+IFERROR(SUMIFS('Base bordo CD'!M$2:M$875,'Base bordo CD'!D$2:D$875,A889,'Base bordo CD'!A$2:A$875,B889,'Base bordo CD'!L$2:L$875,"FALTA DE COMBUSTIVEL"),0)+IFERROR(SUMIFS('Base bordo CD'!M$2:M$875,'Base bordo CD'!D$2:D$875,A889,'Base bordo CD'!A$2:A$875,B889,'Base bordo CD'!L$2:L$875,"FALTA DE MOTORIST*"),0)</f>
        <v>0</v>
      </c>
      <c r="O889" s="10">
        <f t="shared" si="70"/>
        <v>0</v>
      </c>
      <c r="P889" s="10">
        <f>IFERROR(SUMIFS('Base bordo CD'!M$2:M$875,'Base bordo CD'!D$2:D$875,A889,'Base bordo CD'!A$2:A$875,B889),0)</f>
        <v>0</v>
      </c>
      <c r="Q889" s="10">
        <f>IFERROR(SUMIFS('Base bordo CD'!O$2:O$875,'Base bordo CD'!D$2:D$875,A889,'Base bordo CD'!A$2:A$875,B889,'Base bordo CD'!L$2:L$875,"CORTE DE CANA MECANIZADO"),0)</f>
        <v>0</v>
      </c>
      <c r="R889" s="10">
        <f>IFERROR(SUMIFS('Base bordo CD'!Q$2:Q$875,'Base bordo CD'!D$2:D$875,A889,'Base bordo CD'!A$2:A$875,B889,'Base bordo CD'!L$2:L$875,"CORTE DE CANA MECANIZADO"),0)</f>
        <v>0</v>
      </c>
      <c r="S889" s="30" t="str">
        <f t="shared" si="71"/>
        <v/>
      </c>
      <c r="T889" s="9">
        <f t="shared" si="72"/>
        <v>0</v>
      </c>
      <c r="U889" s="9">
        <f t="shared" si="73"/>
        <v>0</v>
      </c>
      <c r="V889" s="9">
        <f t="shared" si="74"/>
        <v>0</v>
      </c>
    </row>
    <row r="890" spans="1:22" x14ac:dyDescent="0.35">
      <c r="A890" s="52">
        <v>49596</v>
      </c>
      <c r="B890" s="31">
        <v>46118</v>
      </c>
      <c r="C890" s="7" t="s">
        <v>337</v>
      </c>
      <c r="D890" s="7">
        <v>353</v>
      </c>
      <c r="E890" s="10">
        <f>IFERROR(SUMIFS('Base bordo CD'!M$2:M$875,'Base bordo CD'!D$2:D$875,A890,'Base bordo CD'!A$2:A$875,B890,'Base bordo CD'!L$2:L$875,"CORTE DE CANA MECANIZADO"),0)</f>
        <v>0</v>
      </c>
      <c r="F890" s="10">
        <f>IFERROR(SUMIFS('Base bordo CD'!M$2:M$875,'Base bordo CD'!D$2:D$875,A890,'Base bordo CD'!A$2:A$875,B890,'Base bordo CD'!L$2:L$875,"MANOBRA"),0)</f>
        <v>0</v>
      </c>
      <c r="G890" s="10">
        <f>IFERROR(SUMIFS('Base bordo CD'!M$2:M$875,'Base bordo CD'!D$2:D$875,A890,'Base bordo CD'!A$2:A$875,B890,'Base bordo CD'!L$2:L$875,"DESLOCAMENTO"),0)</f>
        <v>0</v>
      </c>
      <c r="H890" s="10">
        <f>IFERROR(SUMIFS('Base bordo CD'!M$2:M$875,'Base bordo CD'!D$2:D$875,A890,'Base bordo CD'!A$2:A$875,B890,'Base bordo CD'!L$2:L$875,"AGUARDANDO MANOBRA DE TRANSBORDO"),0)+IFERROR(SUMIFS('Base bordo CD'!M$2:M$875,'Base bordo CD'!D$2:D$875,A890,'Base bordo CD'!A$2:A$875,B890,'Base bordo CD'!L$2:L$875,"FALTA DE TRANSBORDO"),0)</f>
        <v>0</v>
      </c>
      <c r="I890" s="10">
        <f>IFERROR(SUMIFS('Base bordo CD'!M$2:M$875,'Base bordo CD'!D$2:D$875,A890,'Base bordo CD'!A$2:A$875,B890,'Base bordo CD'!L$2:L$875,"PARADA POR CONDICOES CLIMATICAS"),0)+IFERROR(SUMIFS('Base bordo CD'!M$2:M$875,'Base bordo CD'!D$2:D$875,A890,'Base bordo CD'!A$2:A$875,B890,'Base bordo CD'!L$2:L$875,"TEMPO INDETERMINADO"),0)</f>
        <v>0</v>
      </c>
      <c r="J890" s="10">
        <f>IFERROR(SUMIFS('Base bordo CD'!M$2:M$875,'Base bordo CD'!D$2:D$875,A890,'Base bordo CD'!A$2:A$875,B890,'Base bordo CD'!L$2:L$875,"LIMITAÇÃO INDÚSTRIA"),0)</f>
        <v>0</v>
      </c>
      <c r="K890" s="10">
        <f>IFERROR(SUMIFS('Base bordo CD'!M$2:M$875,'Base bordo CD'!D$2:D$875,A890,'Base bordo CD'!A$2:A$875,B890,'Base bordo CD'!L$2:L$875,"MAN CORRETIVA*"),0)+IFERROR(SUMIFS('Base bordo CD'!M$2:M$875,'Base bordo CD'!D$2:D$875,A890,'Base bordo CD'!A$2:A$875,B890,'Base bordo CD'!L$2:L$875,"AGUARDANDO MANUTENCAO*"),0)+IFERROR(SUMIFS('Base bordo CD'!M$2:M$875,'Base bordo CD'!D$2:D$875,A890,'Base bordo CD'!A$2:A$875,B890,'Base bordo CD'!L$2:L$875,"TROCA DE FAQUINHA"),0)+IFERROR(SUMIFS('Base bordo CD'!M$2:M$875,'Base bordo CD'!D$2:D$875,A890,'Base bordo CD'!A$2:A$875,B890,'Base bordo CD'!L$2:L$875,"LIMPEZA*"),0)</f>
        <v>0</v>
      </c>
      <c r="L890" s="10">
        <f>IFERROR(SUMIFS('Base bordo CD'!M$2:M$875,'Base bordo CD'!D$2:D$875,A890,'Base bordo CD'!A$2:A$875,B890,'Base bordo CD'!L$2:L$875,"PATIO - RESERVA"),0)</f>
        <v>0</v>
      </c>
      <c r="M890" s="10">
        <f>IFERROR(SUMIFS('Base bordo CD'!M$2:M$875,'Base bordo CD'!D$2:D$875,A890,'Base bordo CD'!A$2:A$875,B890,'Base bordo CD'!L$2:L$875,"SEM APONTAMENTO"),0)</f>
        <v>0</v>
      </c>
      <c r="N890" s="10">
        <f>IFERROR(SUMIFS('Base bordo CD'!M$2:M$875,'Base bordo CD'!D$2:D$875,A890,'Base bordo CD'!A$2:A$875,B890,'Base bordo CD'!L$2:L$875,"FALTA DE CAMINHÃO"),0)+IFERROR(SUMIFS('Base bordo CD'!M$2:M$875,'Base bordo CD'!D$2:D$875,A890,'Base bordo CD'!A$2:A$875,B890,'Base bordo CD'!L$2:L$875,"FALTA DE COMBUSTIVEL"),0)+IFERROR(SUMIFS('Base bordo CD'!M$2:M$875,'Base bordo CD'!D$2:D$875,A890,'Base bordo CD'!A$2:A$875,B890,'Base bordo CD'!L$2:L$875,"FALTA DE MOTORIST*"),0)</f>
        <v>0</v>
      </c>
      <c r="O890" s="10">
        <f t="shared" si="70"/>
        <v>0</v>
      </c>
      <c r="P890" s="10">
        <f>IFERROR(SUMIFS('Base bordo CD'!M$2:M$875,'Base bordo CD'!D$2:D$875,A890,'Base bordo CD'!A$2:A$875,B890),0)</f>
        <v>0</v>
      </c>
      <c r="Q890" s="10">
        <f>IFERROR(SUMIFS('Base bordo CD'!O$2:O$875,'Base bordo CD'!D$2:D$875,A890,'Base bordo CD'!A$2:A$875,B890,'Base bordo CD'!L$2:L$875,"CORTE DE CANA MECANIZADO"),0)</f>
        <v>0</v>
      </c>
      <c r="R890" s="10">
        <f>IFERROR(SUMIFS('Base bordo CD'!Q$2:Q$875,'Base bordo CD'!D$2:D$875,A890,'Base bordo CD'!A$2:A$875,B890,'Base bordo CD'!L$2:L$875,"CORTE DE CANA MECANIZADO"),0)</f>
        <v>0</v>
      </c>
      <c r="S890" s="30" t="str">
        <f t="shared" si="71"/>
        <v/>
      </c>
      <c r="T890" s="9">
        <f t="shared" si="72"/>
        <v>0</v>
      </c>
      <c r="U890" s="9">
        <f t="shared" si="73"/>
        <v>0</v>
      </c>
      <c r="V890" s="9">
        <f t="shared" si="74"/>
        <v>0</v>
      </c>
    </row>
    <row r="891" spans="1:22" x14ac:dyDescent="0.35">
      <c r="A891" s="52">
        <v>49596</v>
      </c>
      <c r="B891" s="31">
        <v>46118</v>
      </c>
      <c r="C891" s="7" t="s">
        <v>337</v>
      </c>
      <c r="D891" s="7">
        <v>353</v>
      </c>
      <c r="E891" s="10">
        <f>IFERROR(SUMIFS('Base bordo CD'!M$2:M$875,'Base bordo CD'!D$2:D$875,A891,'Base bordo CD'!A$2:A$875,B891,'Base bordo CD'!L$2:L$875,"CORTE DE CANA MECANIZADO"),0)</f>
        <v>0</v>
      </c>
      <c r="F891" s="10">
        <f>IFERROR(SUMIFS('Base bordo CD'!M$2:M$875,'Base bordo CD'!D$2:D$875,A891,'Base bordo CD'!A$2:A$875,B891,'Base bordo CD'!L$2:L$875,"MANOBRA"),0)</f>
        <v>0</v>
      </c>
      <c r="G891" s="10">
        <f>IFERROR(SUMIFS('Base bordo CD'!M$2:M$875,'Base bordo CD'!D$2:D$875,A891,'Base bordo CD'!A$2:A$875,B891,'Base bordo CD'!L$2:L$875,"DESLOCAMENTO"),0)</f>
        <v>0</v>
      </c>
      <c r="H891" s="10">
        <f>IFERROR(SUMIFS('Base bordo CD'!M$2:M$875,'Base bordo CD'!D$2:D$875,A891,'Base bordo CD'!A$2:A$875,B891,'Base bordo CD'!L$2:L$875,"AGUARDANDO MANOBRA DE TRANSBORDO"),0)+IFERROR(SUMIFS('Base bordo CD'!M$2:M$875,'Base bordo CD'!D$2:D$875,A891,'Base bordo CD'!A$2:A$875,B891,'Base bordo CD'!L$2:L$875,"FALTA DE TRANSBORDO"),0)</f>
        <v>0</v>
      </c>
      <c r="I891" s="10">
        <f>IFERROR(SUMIFS('Base bordo CD'!M$2:M$875,'Base bordo CD'!D$2:D$875,A891,'Base bordo CD'!A$2:A$875,B891,'Base bordo CD'!L$2:L$875,"PARADA POR CONDICOES CLIMATICAS"),0)+IFERROR(SUMIFS('Base bordo CD'!M$2:M$875,'Base bordo CD'!D$2:D$875,A891,'Base bordo CD'!A$2:A$875,B891,'Base bordo CD'!L$2:L$875,"TEMPO INDETERMINADO"),0)</f>
        <v>0</v>
      </c>
      <c r="J891" s="10">
        <f>IFERROR(SUMIFS('Base bordo CD'!M$2:M$875,'Base bordo CD'!D$2:D$875,A891,'Base bordo CD'!A$2:A$875,B891,'Base bordo CD'!L$2:L$875,"LIMITAÇÃO INDÚSTRIA"),0)</f>
        <v>0</v>
      </c>
      <c r="K891" s="10">
        <f>IFERROR(SUMIFS('Base bordo CD'!M$2:M$875,'Base bordo CD'!D$2:D$875,A891,'Base bordo CD'!A$2:A$875,B891,'Base bordo CD'!L$2:L$875,"MAN CORRETIVA*"),0)+IFERROR(SUMIFS('Base bordo CD'!M$2:M$875,'Base bordo CD'!D$2:D$875,A891,'Base bordo CD'!A$2:A$875,B891,'Base bordo CD'!L$2:L$875,"AGUARDANDO MANUTENCAO*"),0)+IFERROR(SUMIFS('Base bordo CD'!M$2:M$875,'Base bordo CD'!D$2:D$875,A891,'Base bordo CD'!A$2:A$875,B891,'Base bordo CD'!L$2:L$875,"TROCA DE FAQUINHA"),0)+IFERROR(SUMIFS('Base bordo CD'!M$2:M$875,'Base bordo CD'!D$2:D$875,A891,'Base bordo CD'!A$2:A$875,B891,'Base bordo CD'!L$2:L$875,"LIMPEZA*"),0)</f>
        <v>0</v>
      </c>
      <c r="L891" s="10">
        <f>IFERROR(SUMIFS('Base bordo CD'!M$2:M$875,'Base bordo CD'!D$2:D$875,A891,'Base bordo CD'!A$2:A$875,B891,'Base bordo CD'!L$2:L$875,"PATIO - RESERVA"),0)</f>
        <v>0</v>
      </c>
      <c r="M891" s="10">
        <f>IFERROR(SUMIFS('Base bordo CD'!M$2:M$875,'Base bordo CD'!D$2:D$875,A891,'Base bordo CD'!A$2:A$875,B891,'Base bordo CD'!L$2:L$875,"SEM APONTAMENTO"),0)</f>
        <v>0</v>
      </c>
      <c r="N891" s="10">
        <f>IFERROR(SUMIFS('Base bordo CD'!M$2:M$875,'Base bordo CD'!D$2:D$875,A891,'Base bordo CD'!A$2:A$875,B891,'Base bordo CD'!L$2:L$875,"FALTA DE CAMINHÃO"),0)+IFERROR(SUMIFS('Base bordo CD'!M$2:M$875,'Base bordo CD'!D$2:D$875,A891,'Base bordo CD'!A$2:A$875,B891,'Base bordo CD'!L$2:L$875,"FALTA DE COMBUSTIVEL"),0)+IFERROR(SUMIFS('Base bordo CD'!M$2:M$875,'Base bordo CD'!D$2:D$875,A891,'Base bordo CD'!A$2:A$875,B891,'Base bordo CD'!L$2:L$875,"FALTA DE MOTORIST*"),0)</f>
        <v>0</v>
      </c>
      <c r="O891" s="10">
        <f t="shared" si="70"/>
        <v>0</v>
      </c>
      <c r="P891" s="10">
        <f>IFERROR(SUMIFS('Base bordo CD'!M$2:M$875,'Base bordo CD'!D$2:D$875,A891,'Base bordo CD'!A$2:A$875,B891),0)</f>
        <v>0</v>
      </c>
      <c r="Q891" s="10">
        <f>IFERROR(SUMIFS('Base bordo CD'!O$2:O$875,'Base bordo CD'!D$2:D$875,A891,'Base bordo CD'!A$2:A$875,B891,'Base bordo CD'!L$2:L$875,"CORTE DE CANA MECANIZADO"),0)</f>
        <v>0</v>
      </c>
      <c r="R891" s="10">
        <f>IFERROR(SUMIFS('Base bordo CD'!Q$2:Q$875,'Base bordo CD'!D$2:D$875,A891,'Base bordo CD'!A$2:A$875,B891,'Base bordo CD'!L$2:L$875,"CORTE DE CANA MECANIZADO"),0)</f>
        <v>0</v>
      </c>
      <c r="S891" s="30" t="str">
        <f t="shared" si="71"/>
        <v/>
      </c>
      <c r="T891" s="9">
        <f t="shared" si="72"/>
        <v>0</v>
      </c>
      <c r="U891" s="9">
        <f t="shared" si="73"/>
        <v>0</v>
      </c>
      <c r="V891" s="9">
        <f t="shared" si="74"/>
        <v>0</v>
      </c>
    </row>
    <row r="892" spans="1:22" x14ac:dyDescent="0.35">
      <c r="A892" s="52">
        <v>49596</v>
      </c>
      <c r="B892" s="31">
        <v>46118</v>
      </c>
      <c r="C892" s="7" t="s">
        <v>337</v>
      </c>
      <c r="D892" s="7">
        <v>353</v>
      </c>
      <c r="E892" s="10">
        <f>IFERROR(SUMIFS('Base bordo CD'!M$2:M$875,'Base bordo CD'!D$2:D$875,A892,'Base bordo CD'!A$2:A$875,B892,'Base bordo CD'!L$2:L$875,"CORTE DE CANA MECANIZADO"),0)</f>
        <v>0</v>
      </c>
      <c r="F892" s="10">
        <f>IFERROR(SUMIFS('Base bordo CD'!M$2:M$875,'Base bordo CD'!D$2:D$875,A892,'Base bordo CD'!A$2:A$875,B892,'Base bordo CD'!L$2:L$875,"MANOBRA"),0)</f>
        <v>0</v>
      </c>
      <c r="G892" s="10">
        <f>IFERROR(SUMIFS('Base bordo CD'!M$2:M$875,'Base bordo CD'!D$2:D$875,A892,'Base bordo CD'!A$2:A$875,B892,'Base bordo CD'!L$2:L$875,"DESLOCAMENTO"),0)</f>
        <v>0</v>
      </c>
      <c r="H892" s="10">
        <f>IFERROR(SUMIFS('Base bordo CD'!M$2:M$875,'Base bordo CD'!D$2:D$875,A892,'Base bordo CD'!A$2:A$875,B892,'Base bordo CD'!L$2:L$875,"AGUARDANDO MANOBRA DE TRANSBORDO"),0)+IFERROR(SUMIFS('Base bordo CD'!M$2:M$875,'Base bordo CD'!D$2:D$875,A892,'Base bordo CD'!A$2:A$875,B892,'Base bordo CD'!L$2:L$875,"FALTA DE TRANSBORDO"),0)</f>
        <v>0</v>
      </c>
      <c r="I892" s="10">
        <f>IFERROR(SUMIFS('Base bordo CD'!M$2:M$875,'Base bordo CD'!D$2:D$875,A892,'Base bordo CD'!A$2:A$875,B892,'Base bordo CD'!L$2:L$875,"PARADA POR CONDICOES CLIMATICAS"),0)+IFERROR(SUMIFS('Base bordo CD'!M$2:M$875,'Base bordo CD'!D$2:D$875,A892,'Base bordo CD'!A$2:A$875,B892,'Base bordo CD'!L$2:L$875,"TEMPO INDETERMINADO"),0)</f>
        <v>0</v>
      </c>
      <c r="J892" s="10">
        <f>IFERROR(SUMIFS('Base bordo CD'!M$2:M$875,'Base bordo CD'!D$2:D$875,A892,'Base bordo CD'!A$2:A$875,B892,'Base bordo CD'!L$2:L$875,"LIMITAÇÃO INDÚSTRIA"),0)</f>
        <v>0</v>
      </c>
      <c r="K892" s="10">
        <f>IFERROR(SUMIFS('Base bordo CD'!M$2:M$875,'Base bordo CD'!D$2:D$875,A892,'Base bordo CD'!A$2:A$875,B892,'Base bordo CD'!L$2:L$875,"MAN CORRETIVA*"),0)+IFERROR(SUMIFS('Base bordo CD'!M$2:M$875,'Base bordo CD'!D$2:D$875,A892,'Base bordo CD'!A$2:A$875,B892,'Base bordo CD'!L$2:L$875,"AGUARDANDO MANUTENCAO*"),0)+IFERROR(SUMIFS('Base bordo CD'!M$2:M$875,'Base bordo CD'!D$2:D$875,A892,'Base bordo CD'!A$2:A$875,B892,'Base bordo CD'!L$2:L$875,"TROCA DE FAQUINHA"),0)+IFERROR(SUMIFS('Base bordo CD'!M$2:M$875,'Base bordo CD'!D$2:D$875,A892,'Base bordo CD'!A$2:A$875,B892,'Base bordo CD'!L$2:L$875,"LIMPEZA*"),0)</f>
        <v>0</v>
      </c>
      <c r="L892" s="10">
        <f>IFERROR(SUMIFS('Base bordo CD'!M$2:M$875,'Base bordo CD'!D$2:D$875,A892,'Base bordo CD'!A$2:A$875,B892,'Base bordo CD'!L$2:L$875,"PATIO - RESERVA"),0)</f>
        <v>0</v>
      </c>
      <c r="M892" s="10">
        <f>IFERROR(SUMIFS('Base bordo CD'!M$2:M$875,'Base bordo CD'!D$2:D$875,A892,'Base bordo CD'!A$2:A$875,B892,'Base bordo CD'!L$2:L$875,"SEM APONTAMENTO"),0)</f>
        <v>0</v>
      </c>
      <c r="N892" s="10">
        <f>IFERROR(SUMIFS('Base bordo CD'!M$2:M$875,'Base bordo CD'!D$2:D$875,A892,'Base bordo CD'!A$2:A$875,B892,'Base bordo CD'!L$2:L$875,"FALTA DE CAMINHÃO"),0)+IFERROR(SUMIFS('Base bordo CD'!M$2:M$875,'Base bordo CD'!D$2:D$875,A892,'Base bordo CD'!A$2:A$875,B892,'Base bordo CD'!L$2:L$875,"FALTA DE COMBUSTIVEL"),0)+IFERROR(SUMIFS('Base bordo CD'!M$2:M$875,'Base bordo CD'!D$2:D$875,A892,'Base bordo CD'!A$2:A$875,B892,'Base bordo CD'!L$2:L$875,"FALTA DE MOTORIST*"),0)</f>
        <v>0</v>
      </c>
      <c r="O892" s="10">
        <f t="shared" si="70"/>
        <v>0</v>
      </c>
      <c r="P892" s="10">
        <f>IFERROR(SUMIFS('Base bordo CD'!M$2:M$875,'Base bordo CD'!D$2:D$875,A892,'Base bordo CD'!A$2:A$875,B892),0)</f>
        <v>0</v>
      </c>
      <c r="Q892" s="10">
        <f>IFERROR(SUMIFS('Base bordo CD'!O$2:O$875,'Base bordo CD'!D$2:D$875,A892,'Base bordo CD'!A$2:A$875,B892,'Base bordo CD'!L$2:L$875,"CORTE DE CANA MECANIZADO"),0)</f>
        <v>0</v>
      </c>
      <c r="R892" s="10">
        <f>IFERROR(SUMIFS('Base bordo CD'!Q$2:Q$875,'Base bordo CD'!D$2:D$875,A892,'Base bordo CD'!A$2:A$875,B892,'Base bordo CD'!L$2:L$875,"CORTE DE CANA MECANIZADO"),0)</f>
        <v>0</v>
      </c>
      <c r="S892" s="30" t="str">
        <f t="shared" si="71"/>
        <v/>
      </c>
      <c r="T892" s="9">
        <f t="shared" si="72"/>
        <v>0</v>
      </c>
      <c r="U892" s="9">
        <f t="shared" si="73"/>
        <v>0</v>
      </c>
      <c r="V892" s="9">
        <f t="shared" si="74"/>
        <v>0</v>
      </c>
    </row>
    <row r="893" spans="1:22" x14ac:dyDescent="0.35">
      <c r="A893" s="52">
        <v>49596</v>
      </c>
      <c r="B893" s="31">
        <v>46118</v>
      </c>
      <c r="C893" s="7" t="s">
        <v>337</v>
      </c>
      <c r="D893" s="7">
        <v>353</v>
      </c>
      <c r="E893" s="10">
        <f>IFERROR(SUMIFS('Base bordo CD'!M$2:M$875,'Base bordo CD'!D$2:D$875,A893,'Base bordo CD'!A$2:A$875,B893,'Base bordo CD'!L$2:L$875,"CORTE DE CANA MECANIZADO"),0)</f>
        <v>0</v>
      </c>
      <c r="F893" s="10">
        <f>IFERROR(SUMIFS('Base bordo CD'!M$2:M$875,'Base bordo CD'!D$2:D$875,A893,'Base bordo CD'!A$2:A$875,B893,'Base bordo CD'!L$2:L$875,"MANOBRA"),0)</f>
        <v>0</v>
      </c>
      <c r="G893" s="10">
        <f>IFERROR(SUMIFS('Base bordo CD'!M$2:M$875,'Base bordo CD'!D$2:D$875,A893,'Base bordo CD'!A$2:A$875,B893,'Base bordo CD'!L$2:L$875,"DESLOCAMENTO"),0)</f>
        <v>0</v>
      </c>
      <c r="H893" s="10">
        <f>IFERROR(SUMIFS('Base bordo CD'!M$2:M$875,'Base bordo CD'!D$2:D$875,A893,'Base bordo CD'!A$2:A$875,B893,'Base bordo CD'!L$2:L$875,"AGUARDANDO MANOBRA DE TRANSBORDO"),0)+IFERROR(SUMIFS('Base bordo CD'!M$2:M$875,'Base bordo CD'!D$2:D$875,A893,'Base bordo CD'!A$2:A$875,B893,'Base bordo CD'!L$2:L$875,"FALTA DE TRANSBORDO"),0)</f>
        <v>0</v>
      </c>
      <c r="I893" s="10">
        <f>IFERROR(SUMIFS('Base bordo CD'!M$2:M$875,'Base bordo CD'!D$2:D$875,A893,'Base bordo CD'!A$2:A$875,B893,'Base bordo CD'!L$2:L$875,"PARADA POR CONDICOES CLIMATICAS"),0)+IFERROR(SUMIFS('Base bordo CD'!M$2:M$875,'Base bordo CD'!D$2:D$875,A893,'Base bordo CD'!A$2:A$875,B893,'Base bordo CD'!L$2:L$875,"TEMPO INDETERMINADO"),0)</f>
        <v>0</v>
      </c>
      <c r="J893" s="10">
        <f>IFERROR(SUMIFS('Base bordo CD'!M$2:M$875,'Base bordo CD'!D$2:D$875,A893,'Base bordo CD'!A$2:A$875,B893,'Base bordo CD'!L$2:L$875,"LIMITAÇÃO INDÚSTRIA"),0)</f>
        <v>0</v>
      </c>
      <c r="K893" s="10">
        <f>IFERROR(SUMIFS('Base bordo CD'!M$2:M$875,'Base bordo CD'!D$2:D$875,A893,'Base bordo CD'!A$2:A$875,B893,'Base bordo CD'!L$2:L$875,"MAN CORRETIVA*"),0)+IFERROR(SUMIFS('Base bordo CD'!M$2:M$875,'Base bordo CD'!D$2:D$875,A893,'Base bordo CD'!A$2:A$875,B893,'Base bordo CD'!L$2:L$875,"AGUARDANDO MANUTENCAO*"),0)+IFERROR(SUMIFS('Base bordo CD'!M$2:M$875,'Base bordo CD'!D$2:D$875,A893,'Base bordo CD'!A$2:A$875,B893,'Base bordo CD'!L$2:L$875,"TROCA DE FAQUINHA"),0)+IFERROR(SUMIFS('Base bordo CD'!M$2:M$875,'Base bordo CD'!D$2:D$875,A893,'Base bordo CD'!A$2:A$875,B893,'Base bordo CD'!L$2:L$875,"LIMPEZA*"),0)</f>
        <v>0</v>
      </c>
      <c r="L893" s="10">
        <f>IFERROR(SUMIFS('Base bordo CD'!M$2:M$875,'Base bordo CD'!D$2:D$875,A893,'Base bordo CD'!A$2:A$875,B893,'Base bordo CD'!L$2:L$875,"PATIO - RESERVA"),0)</f>
        <v>0</v>
      </c>
      <c r="M893" s="10">
        <f>IFERROR(SUMIFS('Base bordo CD'!M$2:M$875,'Base bordo CD'!D$2:D$875,A893,'Base bordo CD'!A$2:A$875,B893,'Base bordo CD'!L$2:L$875,"SEM APONTAMENTO"),0)</f>
        <v>0</v>
      </c>
      <c r="N893" s="10">
        <f>IFERROR(SUMIFS('Base bordo CD'!M$2:M$875,'Base bordo CD'!D$2:D$875,A893,'Base bordo CD'!A$2:A$875,B893,'Base bordo CD'!L$2:L$875,"FALTA DE CAMINHÃO"),0)+IFERROR(SUMIFS('Base bordo CD'!M$2:M$875,'Base bordo CD'!D$2:D$875,A893,'Base bordo CD'!A$2:A$875,B893,'Base bordo CD'!L$2:L$875,"FALTA DE COMBUSTIVEL"),0)+IFERROR(SUMIFS('Base bordo CD'!M$2:M$875,'Base bordo CD'!D$2:D$875,A893,'Base bordo CD'!A$2:A$875,B893,'Base bordo CD'!L$2:L$875,"FALTA DE MOTORIST*"),0)</f>
        <v>0</v>
      </c>
      <c r="O893" s="10">
        <f t="shared" si="70"/>
        <v>0</v>
      </c>
      <c r="P893" s="10">
        <f>IFERROR(SUMIFS('Base bordo CD'!M$2:M$875,'Base bordo CD'!D$2:D$875,A893,'Base bordo CD'!A$2:A$875,B893),0)</f>
        <v>0</v>
      </c>
      <c r="Q893" s="10">
        <f>IFERROR(SUMIFS('Base bordo CD'!O$2:O$875,'Base bordo CD'!D$2:D$875,A893,'Base bordo CD'!A$2:A$875,B893,'Base bordo CD'!L$2:L$875,"CORTE DE CANA MECANIZADO"),0)</f>
        <v>0</v>
      </c>
      <c r="R893" s="10">
        <f>IFERROR(SUMIFS('Base bordo CD'!Q$2:Q$875,'Base bordo CD'!D$2:D$875,A893,'Base bordo CD'!A$2:A$875,B893,'Base bordo CD'!L$2:L$875,"CORTE DE CANA MECANIZADO"),0)</f>
        <v>0</v>
      </c>
      <c r="S893" s="30" t="str">
        <f t="shared" si="71"/>
        <v/>
      </c>
      <c r="T893" s="9">
        <f t="shared" si="72"/>
        <v>0</v>
      </c>
      <c r="U893" s="9">
        <f t="shared" si="73"/>
        <v>0</v>
      </c>
      <c r="V893" s="9">
        <f t="shared" si="74"/>
        <v>0</v>
      </c>
    </row>
    <row r="894" spans="1:22" x14ac:dyDescent="0.35">
      <c r="A894" s="52">
        <v>49596</v>
      </c>
      <c r="B894" s="31">
        <v>46118</v>
      </c>
      <c r="C894" s="7" t="s">
        <v>337</v>
      </c>
      <c r="D894" s="7">
        <v>353</v>
      </c>
      <c r="E894" s="10">
        <f>IFERROR(SUMIFS('Base bordo CD'!M$2:M$875,'Base bordo CD'!D$2:D$875,A894,'Base bordo CD'!A$2:A$875,B894,'Base bordo CD'!L$2:L$875,"CORTE DE CANA MECANIZADO"),0)</f>
        <v>0</v>
      </c>
      <c r="F894" s="10">
        <f>IFERROR(SUMIFS('Base bordo CD'!M$2:M$875,'Base bordo CD'!D$2:D$875,A894,'Base bordo CD'!A$2:A$875,B894,'Base bordo CD'!L$2:L$875,"MANOBRA"),0)</f>
        <v>0</v>
      </c>
      <c r="G894" s="10">
        <f>IFERROR(SUMIFS('Base bordo CD'!M$2:M$875,'Base bordo CD'!D$2:D$875,A894,'Base bordo CD'!A$2:A$875,B894,'Base bordo CD'!L$2:L$875,"DESLOCAMENTO"),0)</f>
        <v>0</v>
      </c>
      <c r="H894" s="10">
        <f>IFERROR(SUMIFS('Base bordo CD'!M$2:M$875,'Base bordo CD'!D$2:D$875,A894,'Base bordo CD'!A$2:A$875,B894,'Base bordo CD'!L$2:L$875,"AGUARDANDO MANOBRA DE TRANSBORDO"),0)+IFERROR(SUMIFS('Base bordo CD'!M$2:M$875,'Base bordo CD'!D$2:D$875,A894,'Base bordo CD'!A$2:A$875,B894,'Base bordo CD'!L$2:L$875,"FALTA DE TRANSBORDO"),0)</f>
        <v>0</v>
      </c>
      <c r="I894" s="10">
        <f>IFERROR(SUMIFS('Base bordo CD'!M$2:M$875,'Base bordo CD'!D$2:D$875,A894,'Base bordo CD'!A$2:A$875,B894,'Base bordo CD'!L$2:L$875,"PARADA POR CONDICOES CLIMATICAS"),0)+IFERROR(SUMIFS('Base bordo CD'!M$2:M$875,'Base bordo CD'!D$2:D$875,A894,'Base bordo CD'!A$2:A$875,B894,'Base bordo CD'!L$2:L$875,"TEMPO INDETERMINADO"),0)</f>
        <v>0</v>
      </c>
      <c r="J894" s="10">
        <f>IFERROR(SUMIFS('Base bordo CD'!M$2:M$875,'Base bordo CD'!D$2:D$875,A894,'Base bordo CD'!A$2:A$875,B894,'Base bordo CD'!L$2:L$875,"LIMITAÇÃO INDÚSTRIA"),0)</f>
        <v>0</v>
      </c>
      <c r="K894" s="10">
        <f>IFERROR(SUMIFS('Base bordo CD'!M$2:M$875,'Base bordo CD'!D$2:D$875,A894,'Base bordo CD'!A$2:A$875,B894,'Base bordo CD'!L$2:L$875,"MAN CORRETIVA*"),0)+IFERROR(SUMIFS('Base bordo CD'!M$2:M$875,'Base bordo CD'!D$2:D$875,A894,'Base bordo CD'!A$2:A$875,B894,'Base bordo CD'!L$2:L$875,"AGUARDANDO MANUTENCAO*"),0)+IFERROR(SUMIFS('Base bordo CD'!M$2:M$875,'Base bordo CD'!D$2:D$875,A894,'Base bordo CD'!A$2:A$875,B894,'Base bordo CD'!L$2:L$875,"TROCA DE FAQUINHA"),0)+IFERROR(SUMIFS('Base bordo CD'!M$2:M$875,'Base bordo CD'!D$2:D$875,A894,'Base bordo CD'!A$2:A$875,B894,'Base bordo CD'!L$2:L$875,"LIMPEZA*"),0)</f>
        <v>0</v>
      </c>
      <c r="L894" s="10">
        <f>IFERROR(SUMIFS('Base bordo CD'!M$2:M$875,'Base bordo CD'!D$2:D$875,A894,'Base bordo CD'!A$2:A$875,B894,'Base bordo CD'!L$2:L$875,"PATIO - RESERVA"),0)</f>
        <v>0</v>
      </c>
      <c r="M894" s="10">
        <f>IFERROR(SUMIFS('Base bordo CD'!M$2:M$875,'Base bordo CD'!D$2:D$875,A894,'Base bordo CD'!A$2:A$875,B894,'Base bordo CD'!L$2:L$875,"SEM APONTAMENTO"),0)</f>
        <v>0</v>
      </c>
      <c r="N894" s="10">
        <f>IFERROR(SUMIFS('Base bordo CD'!M$2:M$875,'Base bordo CD'!D$2:D$875,A894,'Base bordo CD'!A$2:A$875,B894,'Base bordo CD'!L$2:L$875,"FALTA DE CAMINHÃO"),0)+IFERROR(SUMIFS('Base bordo CD'!M$2:M$875,'Base bordo CD'!D$2:D$875,A894,'Base bordo CD'!A$2:A$875,B894,'Base bordo CD'!L$2:L$875,"FALTA DE COMBUSTIVEL"),0)+IFERROR(SUMIFS('Base bordo CD'!M$2:M$875,'Base bordo CD'!D$2:D$875,A894,'Base bordo CD'!A$2:A$875,B894,'Base bordo CD'!L$2:L$875,"FALTA DE MOTORIST*"),0)</f>
        <v>0</v>
      </c>
      <c r="O894" s="10">
        <f t="shared" ref="O894:O957" si="75">IFERROR(P894-SUM(E894:N894),0)</f>
        <v>0</v>
      </c>
      <c r="P894" s="10">
        <f>IFERROR(SUMIFS('Base bordo CD'!M$2:M$875,'Base bordo CD'!D$2:D$875,A894,'Base bordo CD'!A$2:A$875,B894),0)</f>
        <v>0</v>
      </c>
      <c r="Q894" s="10">
        <f>IFERROR(SUMIFS('Base bordo CD'!O$2:O$875,'Base bordo CD'!D$2:D$875,A894,'Base bordo CD'!A$2:A$875,B894,'Base bordo CD'!L$2:L$875,"CORTE DE CANA MECANIZADO"),0)</f>
        <v>0</v>
      </c>
      <c r="R894" s="10">
        <f>IFERROR(SUMIFS('Base bordo CD'!Q$2:Q$875,'Base bordo CD'!D$2:D$875,A894,'Base bordo CD'!A$2:A$875,B894,'Base bordo CD'!L$2:L$875,"CORTE DE CANA MECANIZADO"),0)</f>
        <v>0</v>
      </c>
      <c r="S894" s="30" t="str">
        <f t="shared" ref="S894:S957" si="76">IFERROR(Q894/R894,"")</f>
        <v/>
      </c>
      <c r="T894" s="9">
        <f t="shared" ref="T894:T957" si="77">IFERROR(E894/P894,0)</f>
        <v>0</v>
      </c>
      <c r="U894" s="9">
        <f t="shared" ref="U894:U957" si="78">IFERROR(F894/P894,0)</f>
        <v>0</v>
      </c>
      <c r="V894" s="9">
        <f t="shared" ref="V894:V957" si="79">IFERROR(1-(E894+G894)/P894,0)</f>
        <v>0</v>
      </c>
    </row>
    <row r="895" spans="1:22" x14ac:dyDescent="0.35">
      <c r="A895" s="52">
        <v>49596</v>
      </c>
      <c r="B895" s="31">
        <v>46118</v>
      </c>
      <c r="C895" s="7" t="s">
        <v>337</v>
      </c>
      <c r="D895" s="7">
        <v>353</v>
      </c>
      <c r="E895" s="10">
        <f>IFERROR(SUMIFS('Base bordo CD'!M$2:M$875,'Base bordo CD'!D$2:D$875,A895,'Base bordo CD'!A$2:A$875,B895,'Base bordo CD'!L$2:L$875,"CORTE DE CANA MECANIZADO"),0)</f>
        <v>0</v>
      </c>
      <c r="F895" s="10">
        <f>IFERROR(SUMIFS('Base bordo CD'!M$2:M$875,'Base bordo CD'!D$2:D$875,A895,'Base bordo CD'!A$2:A$875,B895,'Base bordo CD'!L$2:L$875,"MANOBRA"),0)</f>
        <v>0</v>
      </c>
      <c r="G895" s="10">
        <f>IFERROR(SUMIFS('Base bordo CD'!M$2:M$875,'Base bordo CD'!D$2:D$875,A895,'Base bordo CD'!A$2:A$875,B895,'Base bordo CD'!L$2:L$875,"DESLOCAMENTO"),0)</f>
        <v>0</v>
      </c>
      <c r="H895" s="10">
        <f>IFERROR(SUMIFS('Base bordo CD'!M$2:M$875,'Base bordo CD'!D$2:D$875,A895,'Base bordo CD'!A$2:A$875,B895,'Base bordo CD'!L$2:L$875,"AGUARDANDO MANOBRA DE TRANSBORDO"),0)+IFERROR(SUMIFS('Base bordo CD'!M$2:M$875,'Base bordo CD'!D$2:D$875,A895,'Base bordo CD'!A$2:A$875,B895,'Base bordo CD'!L$2:L$875,"FALTA DE TRANSBORDO"),0)</f>
        <v>0</v>
      </c>
      <c r="I895" s="10">
        <f>IFERROR(SUMIFS('Base bordo CD'!M$2:M$875,'Base bordo CD'!D$2:D$875,A895,'Base bordo CD'!A$2:A$875,B895,'Base bordo CD'!L$2:L$875,"PARADA POR CONDICOES CLIMATICAS"),0)+IFERROR(SUMIFS('Base bordo CD'!M$2:M$875,'Base bordo CD'!D$2:D$875,A895,'Base bordo CD'!A$2:A$875,B895,'Base bordo CD'!L$2:L$875,"TEMPO INDETERMINADO"),0)</f>
        <v>0</v>
      </c>
      <c r="J895" s="10">
        <f>IFERROR(SUMIFS('Base bordo CD'!M$2:M$875,'Base bordo CD'!D$2:D$875,A895,'Base bordo CD'!A$2:A$875,B895,'Base bordo CD'!L$2:L$875,"LIMITAÇÃO INDÚSTRIA"),0)</f>
        <v>0</v>
      </c>
      <c r="K895" s="10">
        <f>IFERROR(SUMIFS('Base bordo CD'!M$2:M$875,'Base bordo CD'!D$2:D$875,A895,'Base bordo CD'!A$2:A$875,B895,'Base bordo CD'!L$2:L$875,"MAN CORRETIVA*"),0)+IFERROR(SUMIFS('Base bordo CD'!M$2:M$875,'Base bordo CD'!D$2:D$875,A895,'Base bordo CD'!A$2:A$875,B895,'Base bordo CD'!L$2:L$875,"AGUARDANDO MANUTENCAO*"),0)+IFERROR(SUMIFS('Base bordo CD'!M$2:M$875,'Base bordo CD'!D$2:D$875,A895,'Base bordo CD'!A$2:A$875,B895,'Base bordo CD'!L$2:L$875,"TROCA DE FAQUINHA"),0)+IFERROR(SUMIFS('Base bordo CD'!M$2:M$875,'Base bordo CD'!D$2:D$875,A895,'Base bordo CD'!A$2:A$875,B895,'Base bordo CD'!L$2:L$875,"LIMPEZA*"),0)</f>
        <v>0</v>
      </c>
      <c r="L895" s="10">
        <f>IFERROR(SUMIFS('Base bordo CD'!M$2:M$875,'Base bordo CD'!D$2:D$875,A895,'Base bordo CD'!A$2:A$875,B895,'Base bordo CD'!L$2:L$875,"PATIO - RESERVA"),0)</f>
        <v>0</v>
      </c>
      <c r="M895" s="10">
        <f>IFERROR(SUMIFS('Base bordo CD'!M$2:M$875,'Base bordo CD'!D$2:D$875,A895,'Base bordo CD'!A$2:A$875,B895,'Base bordo CD'!L$2:L$875,"SEM APONTAMENTO"),0)</f>
        <v>0</v>
      </c>
      <c r="N895" s="10">
        <f>IFERROR(SUMIFS('Base bordo CD'!M$2:M$875,'Base bordo CD'!D$2:D$875,A895,'Base bordo CD'!A$2:A$875,B895,'Base bordo CD'!L$2:L$875,"FALTA DE CAMINHÃO"),0)+IFERROR(SUMIFS('Base bordo CD'!M$2:M$875,'Base bordo CD'!D$2:D$875,A895,'Base bordo CD'!A$2:A$875,B895,'Base bordo CD'!L$2:L$875,"FALTA DE COMBUSTIVEL"),0)+IFERROR(SUMIFS('Base bordo CD'!M$2:M$875,'Base bordo CD'!D$2:D$875,A895,'Base bordo CD'!A$2:A$875,B895,'Base bordo CD'!L$2:L$875,"FALTA DE MOTORIST*"),0)</f>
        <v>0</v>
      </c>
      <c r="O895" s="10">
        <f t="shared" si="75"/>
        <v>0</v>
      </c>
      <c r="P895" s="10">
        <f>IFERROR(SUMIFS('Base bordo CD'!M$2:M$875,'Base bordo CD'!D$2:D$875,A895,'Base bordo CD'!A$2:A$875,B895),0)</f>
        <v>0</v>
      </c>
      <c r="Q895" s="10">
        <f>IFERROR(SUMIFS('Base bordo CD'!O$2:O$875,'Base bordo CD'!D$2:D$875,A895,'Base bordo CD'!A$2:A$875,B895,'Base bordo CD'!L$2:L$875,"CORTE DE CANA MECANIZADO"),0)</f>
        <v>0</v>
      </c>
      <c r="R895" s="10">
        <f>IFERROR(SUMIFS('Base bordo CD'!Q$2:Q$875,'Base bordo CD'!D$2:D$875,A895,'Base bordo CD'!A$2:A$875,B895,'Base bordo CD'!L$2:L$875,"CORTE DE CANA MECANIZADO"),0)</f>
        <v>0</v>
      </c>
      <c r="S895" s="30" t="str">
        <f t="shared" si="76"/>
        <v/>
      </c>
      <c r="T895" s="9">
        <f t="shared" si="77"/>
        <v>0</v>
      </c>
      <c r="U895" s="9">
        <f t="shared" si="78"/>
        <v>0</v>
      </c>
      <c r="V895" s="9">
        <f t="shared" si="79"/>
        <v>0</v>
      </c>
    </row>
    <row r="896" spans="1:22" x14ac:dyDescent="0.35">
      <c r="A896" s="52">
        <v>49596</v>
      </c>
      <c r="B896" s="31">
        <v>46118</v>
      </c>
      <c r="C896" s="7" t="s">
        <v>337</v>
      </c>
      <c r="D896" s="7">
        <v>353</v>
      </c>
      <c r="E896" s="10">
        <f>IFERROR(SUMIFS('Base bordo CD'!M$2:M$875,'Base bordo CD'!D$2:D$875,A896,'Base bordo CD'!A$2:A$875,B896,'Base bordo CD'!L$2:L$875,"CORTE DE CANA MECANIZADO"),0)</f>
        <v>0</v>
      </c>
      <c r="F896" s="10">
        <f>IFERROR(SUMIFS('Base bordo CD'!M$2:M$875,'Base bordo CD'!D$2:D$875,A896,'Base bordo CD'!A$2:A$875,B896,'Base bordo CD'!L$2:L$875,"MANOBRA"),0)</f>
        <v>0</v>
      </c>
      <c r="G896" s="10">
        <f>IFERROR(SUMIFS('Base bordo CD'!M$2:M$875,'Base bordo CD'!D$2:D$875,A896,'Base bordo CD'!A$2:A$875,B896,'Base bordo CD'!L$2:L$875,"DESLOCAMENTO"),0)</f>
        <v>0</v>
      </c>
      <c r="H896" s="10">
        <f>IFERROR(SUMIFS('Base bordo CD'!M$2:M$875,'Base bordo CD'!D$2:D$875,A896,'Base bordo CD'!A$2:A$875,B896,'Base bordo CD'!L$2:L$875,"AGUARDANDO MANOBRA DE TRANSBORDO"),0)+IFERROR(SUMIFS('Base bordo CD'!M$2:M$875,'Base bordo CD'!D$2:D$875,A896,'Base bordo CD'!A$2:A$875,B896,'Base bordo CD'!L$2:L$875,"FALTA DE TRANSBORDO"),0)</f>
        <v>0</v>
      </c>
      <c r="I896" s="10">
        <f>IFERROR(SUMIFS('Base bordo CD'!M$2:M$875,'Base bordo CD'!D$2:D$875,A896,'Base bordo CD'!A$2:A$875,B896,'Base bordo CD'!L$2:L$875,"PARADA POR CONDICOES CLIMATICAS"),0)+IFERROR(SUMIFS('Base bordo CD'!M$2:M$875,'Base bordo CD'!D$2:D$875,A896,'Base bordo CD'!A$2:A$875,B896,'Base bordo CD'!L$2:L$875,"TEMPO INDETERMINADO"),0)</f>
        <v>0</v>
      </c>
      <c r="J896" s="10">
        <f>IFERROR(SUMIFS('Base bordo CD'!M$2:M$875,'Base bordo CD'!D$2:D$875,A896,'Base bordo CD'!A$2:A$875,B896,'Base bordo CD'!L$2:L$875,"LIMITAÇÃO INDÚSTRIA"),0)</f>
        <v>0</v>
      </c>
      <c r="K896" s="10">
        <f>IFERROR(SUMIFS('Base bordo CD'!M$2:M$875,'Base bordo CD'!D$2:D$875,A896,'Base bordo CD'!A$2:A$875,B896,'Base bordo CD'!L$2:L$875,"MAN CORRETIVA*"),0)+IFERROR(SUMIFS('Base bordo CD'!M$2:M$875,'Base bordo CD'!D$2:D$875,A896,'Base bordo CD'!A$2:A$875,B896,'Base bordo CD'!L$2:L$875,"AGUARDANDO MANUTENCAO*"),0)+IFERROR(SUMIFS('Base bordo CD'!M$2:M$875,'Base bordo CD'!D$2:D$875,A896,'Base bordo CD'!A$2:A$875,B896,'Base bordo CD'!L$2:L$875,"TROCA DE FAQUINHA"),0)+IFERROR(SUMIFS('Base bordo CD'!M$2:M$875,'Base bordo CD'!D$2:D$875,A896,'Base bordo CD'!A$2:A$875,B896,'Base bordo CD'!L$2:L$875,"LIMPEZA*"),0)</f>
        <v>0</v>
      </c>
      <c r="L896" s="10">
        <f>IFERROR(SUMIFS('Base bordo CD'!M$2:M$875,'Base bordo CD'!D$2:D$875,A896,'Base bordo CD'!A$2:A$875,B896,'Base bordo CD'!L$2:L$875,"PATIO - RESERVA"),0)</f>
        <v>0</v>
      </c>
      <c r="M896" s="10">
        <f>IFERROR(SUMIFS('Base bordo CD'!M$2:M$875,'Base bordo CD'!D$2:D$875,A896,'Base bordo CD'!A$2:A$875,B896,'Base bordo CD'!L$2:L$875,"SEM APONTAMENTO"),0)</f>
        <v>0</v>
      </c>
      <c r="N896" s="10">
        <f>IFERROR(SUMIFS('Base bordo CD'!M$2:M$875,'Base bordo CD'!D$2:D$875,A896,'Base bordo CD'!A$2:A$875,B896,'Base bordo CD'!L$2:L$875,"FALTA DE CAMINHÃO"),0)+IFERROR(SUMIFS('Base bordo CD'!M$2:M$875,'Base bordo CD'!D$2:D$875,A896,'Base bordo CD'!A$2:A$875,B896,'Base bordo CD'!L$2:L$875,"FALTA DE COMBUSTIVEL"),0)+IFERROR(SUMIFS('Base bordo CD'!M$2:M$875,'Base bordo CD'!D$2:D$875,A896,'Base bordo CD'!A$2:A$875,B896,'Base bordo CD'!L$2:L$875,"FALTA DE MOTORIST*"),0)</f>
        <v>0</v>
      </c>
      <c r="O896" s="10">
        <f t="shared" si="75"/>
        <v>0</v>
      </c>
      <c r="P896" s="10">
        <f>IFERROR(SUMIFS('Base bordo CD'!M$2:M$875,'Base bordo CD'!D$2:D$875,A896,'Base bordo CD'!A$2:A$875,B896),0)</f>
        <v>0</v>
      </c>
      <c r="Q896" s="10">
        <f>IFERROR(SUMIFS('Base bordo CD'!O$2:O$875,'Base bordo CD'!D$2:D$875,A896,'Base bordo CD'!A$2:A$875,B896,'Base bordo CD'!L$2:L$875,"CORTE DE CANA MECANIZADO"),0)</f>
        <v>0</v>
      </c>
      <c r="R896" s="10">
        <f>IFERROR(SUMIFS('Base bordo CD'!Q$2:Q$875,'Base bordo CD'!D$2:D$875,A896,'Base bordo CD'!A$2:A$875,B896,'Base bordo CD'!L$2:L$875,"CORTE DE CANA MECANIZADO"),0)</f>
        <v>0</v>
      </c>
      <c r="S896" s="30" t="str">
        <f t="shared" si="76"/>
        <v/>
      </c>
      <c r="T896" s="9">
        <f t="shared" si="77"/>
        <v>0</v>
      </c>
      <c r="U896" s="9">
        <f t="shared" si="78"/>
        <v>0</v>
      </c>
      <c r="V896" s="9">
        <f t="shared" si="79"/>
        <v>0</v>
      </c>
    </row>
    <row r="897" spans="1:22" x14ac:dyDescent="0.35">
      <c r="A897" s="52">
        <v>49596</v>
      </c>
      <c r="B897" s="31">
        <v>46118</v>
      </c>
      <c r="C897" s="7" t="s">
        <v>337</v>
      </c>
      <c r="D897" s="7">
        <v>353</v>
      </c>
      <c r="E897" s="10">
        <f>IFERROR(SUMIFS('Base bordo CD'!M$2:M$875,'Base bordo CD'!D$2:D$875,A897,'Base bordo CD'!A$2:A$875,B897,'Base bordo CD'!L$2:L$875,"CORTE DE CANA MECANIZADO"),0)</f>
        <v>0</v>
      </c>
      <c r="F897" s="10">
        <f>IFERROR(SUMIFS('Base bordo CD'!M$2:M$875,'Base bordo CD'!D$2:D$875,A897,'Base bordo CD'!A$2:A$875,B897,'Base bordo CD'!L$2:L$875,"MANOBRA"),0)</f>
        <v>0</v>
      </c>
      <c r="G897" s="10">
        <f>IFERROR(SUMIFS('Base bordo CD'!M$2:M$875,'Base bordo CD'!D$2:D$875,A897,'Base bordo CD'!A$2:A$875,B897,'Base bordo CD'!L$2:L$875,"DESLOCAMENTO"),0)</f>
        <v>0</v>
      </c>
      <c r="H897" s="10">
        <f>IFERROR(SUMIFS('Base bordo CD'!M$2:M$875,'Base bordo CD'!D$2:D$875,A897,'Base bordo CD'!A$2:A$875,B897,'Base bordo CD'!L$2:L$875,"AGUARDANDO MANOBRA DE TRANSBORDO"),0)+IFERROR(SUMIFS('Base bordo CD'!M$2:M$875,'Base bordo CD'!D$2:D$875,A897,'Base bordo CD'!A$2:A$875,B897,'Base bordo CD'!L$2:L$875,"FALTA DE TRANSBORDO"),0)</f>
        <v>0</v>
      </c>
      <c r="I897" s="10">
        <f>IFERROR(SUMIFS('Base bordo CD'!M$2:M$875,'Base bordo CD'!D$2:D$875,A897,'Base bordo CD'!A$2:A$875,B897,'Base bordo CD'!L$2:L$875,"PARADA POR CONDICOES CLIMATICAS"),0)+IFERROR(SUMIFS('Base bordo CD'!M$2:M$875,'Base bordo CD'!D$2:D$875,A897,'Base bordo CD'!A$2:A$875,B897,'Base bordo CD'!L$2:L$875,"TEMPO INDETERMINADO"),0)</f>
        <v>0</v>
      </c>
      <c r="J897" s="10">
        <f>IFERROR(SUMIFS('Base bordo CD'!M$2:M$875,'Base bordo CD'!D$2:D$875,A897,'Base bordo CD'!A$2:A$875,B897,'Base bordo CD'!L$2:L$875,"LIMITAÇÃO INDÚSTRIA"),0)</f>
        <v>0</v>
      </c>
      <c r="K897" s="10">
        <f>IFERROR(SUMIFS('Base bordo CD'!M$2:M$875,'Base bordo CD'!D$2:D$875,A897,'Base bordo CD'!A$2:A$875,B897,'Base bordo CD'!L$2:L$875,"MAN CORRETIVA*"),0)+IFERROR(SUMIFS('Base bordo CD'!M$2:M$875,'Base bordo CD'!D$2:D$875,A897,'Base bordo CD'!A$2:A$875,B897,'Base bordo CD'!L$2:L$875,"AGUARDANDO MANUTENCAO*"),0)+IFERROR(SUMIFS('Base bordo CD'!M$2:M$875,'Base bordo CD'!D$2:D$875,A897,'Base bordo CD'!A$2:A$875,B897,'Base bordo CD'!L$2:L$875,"TROCA DE FAQUINHA"),0)+IFERROR(SUMIFS('Base bordo CD'!M$2:M$875,'Base bordo CD'!D$2:D$875,A897,'Base bordo CD'!A$2:A$875,B897,'Base bordo CD'!L$2:L$875,"LIMPEZA*"),0)</f>
        <v>0</v>
      </c>
      <c r="L897" s="10">
        <f>IFERROR(SUMIFS('Base bordo CD'!M$2:M$875,'Base bordo CD'!D$2:D$875,A897,'Base bordo CD'!A$2:A$875,B897,'Base bordo CD'!L$2:L$875,"PATIO - RESERVA"),0)</f>
        <v>0</v>
      </c>
      <c r="M897" s="10">
        <f>IFERROR(SUMIFS('Base bordo CD'!M$2:M$875,'Base bordo CD'!D$2:D$875,A897,'Base bordo CD'!A$2:A$875,B897,'Base bordo CD'!L$2:L$875,"SEM APONTAMENTO"),0)</f>
        <v>0</v>
      </c>
      <c r="N897" s="10">
        <f>IFERROR(SUMIFS('Base bordo CD'!M$2:M$875,'Base bordo CD'!D$2:D$875,A897,'Base bordo CD'!A$2:A$875,B897,'Base bordo CD'!L$2:L$875,"FALTA DE CAMINHÃO"),0)+IFERROR(SUMIFS('Base bordo CD'!M$2:M$875,'Base bordo CD'!D$2:D$875,A897,'Base bordo CD'!A$2:A$875,B897,'Base bordo CD'!L$2:L$875,"FALTA DE COMBUSTIVEL"),0)+IFERROR(SUMIFS('Base bordo CD'!M$2:M$875,'Base bordo CD'!D$2:D$875,A897,'Base bordo CD'!A$2:A$875,B897,'Base bordo CD'!L$2:L$875,"FALTA DE MOTORIST*"),0)</f>
        <v>0</v>
      </c>
      <c r="O897" s="10">
        <f t="shared" si="75"/>
        <v>0</v>
      </c>
      <c r="P897" s="10">
        <f>IFERROR(SUMIFS('Base bordo CD'!M$2:M$875,'Base bordo CD'!D$2:D$875,A897,'Base bordo CD'!A$2:A$875,B897),0)</f>
        <v>0</v>
      </c>
      <c r="Q897" s="10">
        <f>IFERROR(SUMIFS('Base bordo CD'!O$2:O$875,'Base bordo CD'!D$2:D$875,A897,'Base bordo CD'!A$2:A$875,B897,'Base bordo CD'!L$2:L$875,"CORTE DE CANA MECANIZADO"),0)</f>
        <v>0</v>
      </c>
      <c r="R897" s="10">
        <f>IFERROR(SUMIFS('Base bordo CD'!Q$2:Q$875,'Base bordo CD'!D$2:D$875,A897,'Base bordo CD'!A$2:A$875,B897,'Base bordo CD'!L$2:L$875,"CORTE DE CANA MECANIZADO"),0)</f>
        <v>0</v>
      </c>
      <c r="S897" s="30" t="str">
        <f t="shared" si="76"/>
        <v/>
      </c>
      <c r="T897" s="9">
        <f t="shared" si="77"/>
        <v>0</v>
      </c>
      <c r="U897" s="9">
        <f t="shared" si="78"/>
        <v>0</v>
      </c>
      <c r="V897" s="9">
        <f t="shared" si="79"/>
        <v>0</v>
      </c>
    </row>
    <row r="898" spans="1:22" x14ac:dyDescent="0.35">
      <c r="A898" s="52">
        <v>49596</v>
      </c>
      <c r="B898" s="31">
        <v>46118</v>
      </c>
      <c r="C898" s="7" t="s">
        <v>337</v>
      </c>
      <c r="D898" s="7">
        <v>353</v>
      </c>
      <c r="E898" s="10">
        <f>IFERROR(SUMIFS('Base bordo CD'!M$2:M$875,'Base bordo CD'!D$2:D$875,A898,'Base bordo CD'!A$2:A$875,B898,'Base bordo CD'!L$2:L$875,"CORTE DE CANA MECANIZADO"),0)</f>
        <v>0</v>
      </c>
      <c r="F898" s="10">
        <f>IFERROR(SUMIFS('Base bordo CD'!M$2:M$875,'Base bordo CD'!D$2:D$875,A898,'Base bordo CD'!A$2:A$875,B898,'Base bordo CD'!L$2:L$875,"MANOBRA"),0)</f>
        <v>0</v>
      </c>
      <c r="G898" s="10">
        <f>IFERROR(SUMIFS('Base bordo CD'!M$2:M$875,'Base bordo CD'!D$2:D$875,A898,'Base bordo CD'!A$2:A$875,B898,'Base bordo CD'!L$2:L$875,"DESLOCAMENTO"),0)</f>
        <v>0</v>
      </c>
      <c r="H898" s="10">
        <f>IFERROR(SUMIFS('Base bordo CD'!M$2:M$875,'Base bordo CD'!D$2:D$875,A898,'Base bordo CD'!A$2:A$875,B898,'Base bordo CD'!L$2:L$875,"AGUARDANDO MANOBRA DE TRANSBORDO"),0)+IFERROR(SUMIFS('Base bordo CD'!M$2:M$875,'Base bordo CD'!D$2:D$875,A898,'Base bordo CD'!A$2:A$875,B898,'Base bordo CD'!L$2:L$875,"FALTA DE TRANSBORDO"),0)</f>
        <v>0</v>
      </c>
      <c r="I898" s="10">
        <f>IFERROR(SUMIFS('Base bordo CD'!M$2:M$875,'Base bordo CD'!D$2:D$875,A898,'Base bordo CD'!A$2:A$875,B898,'Base bordo CD'!L$2:L$875,"PARADA POR CONDICOES CLIMATICAS"),0)+IFERROR(SUMIFS('Base bordo CD'!M$2:M$875,'Base bordo CD'!D$2:D$875,A898,'Base bordo CD'!A$2:A$875,B898,'Base bordo CD'!L$2:L$875,"TEMPO INDETERMINADO"),0)</f>
        <v>0</v>
      </c>
      <c r="J898" s="10">
        <f>IFERROR(SUMIFS('Base bordo CD'!M$2:M$875,'Base bordo CD'!D$2:D$875,A898,'Base bordo CD'!A$2:A$875,B898,'Base bordo CD'!L$2:L$875,"LIMITAÇÃO INDÚSTRIA"),0)</f>
        <v>0</v>
      </c>
      <c r="K898" s="10">
        <f>IFERROR(SUMIFS('Base bordo CD'!M$2:M$875,'Base bordo CD'!D$2:D$875,A898,'Base bordo CD'!A$2:A$875,B898,'Base bordo CD'!L$2:L$875,"MAN CORRETIVA*"),0)+IFERROR(SUMIFS('Base bordo CD'!M$2:M$875,'Base bordo CD'!D$2:D$875,A898,'Base bordo CD'!A$2:A$875,B898,'Base bordo CD'!L$2:L$875,"AGUARDANDO MANUTENCAO*"),0)+IFERROR(SUMIFS('Base bordo CD'!M$2:M$875,'Base bordo CD'!D$2:D$875,A898,'Base bordo CD'!A$2:A$875,B898,'Base bordo CD'!L$2:L$875,"TROCA DE FAQUINHA"),0)+IFERROR(SUMIFS('Base bordo CD'!M$2:M$875,'Base bordo CD'!D$2:D$875,A898,'Base bordo CD'!A$2:A$875,B898,'Base bordo CD'!L$2:L$875,"LIMPEZA*"),0)</f>
        <v>0</v>
      </c>
      <c r="L898" s="10">
        <f>IFERROR(SUMIFS('Base bordo CD'!M$2:M$875,'Base bordo CD'!D$2:D$875,A898,'Base bordo CD'!A$2:A$875,B898,'Base bordo CD'!L$2:L$875,"PATIO - RESERVA"),0)</f>
        <v>0</v>
      </c>
      <c r="M898" s="10">
        <f>IFERROR(SUMIFS('Base bordo CD'!M$2:M$875,'Base bordo CD'!D$2:D$875,A898,'Base bordo CD'!A$2:A$875,B898,'Base bordo CD'!L$2:L$875,"SEM APONTAMENTO"),0)</f>
        <v>0</v>
      </c>
      <c r="N898" s="10">
        <f>IFERROR(SUMIFS('Base bordo CD'!M$2:M$875,'Base bordo CD'!D$2:D$875,A898,'Base bordo CD'!A$2:A$875,B898,'Base bordo CD'!L$2:L$875,"FALTA DE CAMINHÃO"),0)+IFERROR(SUMIFS('Base bordo CD'!M$2:M$875,'Base bordo CD'!D$2:D$875,A898,'Base bordo CD'!A$2:A$875,B898,'Base bordo CD'!L$2:L$875,"FALTA DE COMBUSTIVEL"),0)+IFERROR(SUMIFS('Base bordo CD'!M$2:M$875,'Base bordo CD'!D$2:D$875,A898,'Base bordo CD'!A$2:A$875,B898,'Base bordo CD'!L$2:L$875,"FALTA DE MOTORIST*"),0)</f>
        <v>0</v>
      </c>
      <c r="O898" s="10">
        <f t="shared" si="75"/>
        <v>0</v>
      </c>
      <c r="P898" s="10">
        <f>IFERROR(SUMIFS('Base bordo CD'!M$2:M$875,'Base bordo CD'!D$2:D$875,A898,'Base bordo CD'!A$2:A$875,B898),0)</f>
        <v>0</v>
      </c>
      <c r="Q898" s="10">
        <f>IFERROR(SUMIFS('Base bordo CD'!O$2:O$875,'Base bordo CD'!D$2:D$875,A898,'Base bordo CD'!A$2:A$875,B898,'Base bordo CD'!L$2:L$875,"CORTE DE CANA MECANIZADO"),0)</f>
        <v>0</v>
      </c>
      <c r="R898" s="10">
        <f>IFERROR(SUMIFS('Base bordo CD'!Q$2:Q$875,'Base bordo CD'!D$2:D$875,A898,'Base bordo CD'!A$2:A$875,B898,'Base bordo CD'!L$2:L$875,"CORTE DE CANA MECANIZADO"),0)</f>
        <v>0</v>
      </c>
      <c r="S898" s="30" t="str">
        <f t="shared" si="76"/>
        <v/>
      </c>
      <c r="T898" s="9">
        <f t="shared" si="77"/>
        <v>0</v>
      </c>
      <c r="U898" s="9">
        <f t="shared" si="78"/>
        <v>0</v>
      </c>
      <c r="V898" s="9">
        <f t="shared" si="79"/>
        <v>0</v>
      </c>
    </row>
    <row r="899" spans="1:22" x14ac:dyDescent="0.35">
      <c r="A899" s="52">
        <v>49596</v>
      </c>
      <c r="B899" s="31">
        <v>46118</v>
      </c>
      <c r="C899" s="7" t="s">
        <v>337</v>
      </c>
      <c r="D899" s="7">
        <v>353</v>
      </c>
      <c r="E899" s="10">
        <f>IFERROR(SUMIFS('Base bordo CD'!M$2:M$875,'Base bordo CD'!D$2:D$875,A899,'Base bordo CD'!A$2:A$875,B899,'Base bordo CD'!L$2:L$875,"CORTE DE CANA MECANIZADO"),0)</f>
        <v>0</v>
      </c>
      <c r="F899" s="10">
        <f>IFERROR(SUMIFS('Base bordo CD'!M$2:M$875,'Base bordo CD'!D$2:D$875,A899,'Base bordo CD'!A$2:A$875,B899,'Base bordo CD'!L$2:L$875,"MANOBRA"),0)</f>
        <v>0</v>
      </c>
      <c r="G899" s="10">
        <f>IFERROR(SUMIFS('Base bordo CD'!M$2:M$875,'Base bordo CD'!D$2:D$875,A899,'Base bordo CD'!A$2:A$875,B899,'Base bordo CD'!L$2:L$875,"DESLOCAMENTO"),0)</f>
        <v>0</v>
      </c>
      <c r="H899" s="10">
        <f>IFERROR(SUMIFS('Base bordo CD'!M$2:M$875,'Base bordo CD'!D$2:D$875,A899,'Base bordo CD'!A$2:A$875,B899,'Base bordo CD'!L$2:L$875,"AGUARDANDO MANOBRA DE TRANSBORDO"),0)+IFERROR(SUMIFS('Base bordo CD'!M$2:M$875,'Base bordo CD'!D$2:D$875,A899,'Base bordo CD'!A$2:A$875,B899,'Base bordo CD'!L$2:L$875,"FALTA DE TRANSBORDO"),0)</f>
        <v>0</v>
      </c>
      <c r="I899" s="10">
        <f>IFERROR(SUMIFS('Base bordo CD'!M$2:M$875,'Base bordo CD'!D$2:D$875,A899,'Base bordo CD'!A$2:A$875,B899,'Base bordo CD'!L$2:L$875,"PARADA POR CONDICOES CLIMATICAS"),0)+IFERROR(SUMIFS('Base bordo CD'!M$2:M$875,'Base bordo CD'!D$2:D$875,A899,'Base bordo CD'!A$2:A$875,B899,'Base bordo CD'!L$2:L$875,"TEMPO INDETERMINADO"),0)</f>
        <v>0</v>
      </c>
      <c r="J899" s="10">
        <f>IFERROR(SUMIFS('Base bordo CD'!M$2:M$875,'Base bordo CD'!D$2:D$875,A899,'Base bordo CD'!A$2:A$875,B899,'Base bordo CD'!L$2:L$875,"LIMITAÇÃO INDÚSTRIA"),0)</f>
        <v>0</v>
      </c>
      <c r="K899" s="10">
        <f>IFERROR(SUMIFS('Base bordo CD'!M$2:M$875,'Base bordo CD'!D$2:D$875,A899,'Base bordo CD'!A$2:A$875,B899,'Base bordo CD'!L$2:L$875,"MAN CORRETIVA*"),0)+IFERROR(SUMIFS('Base bordo CD'!M$2:M$875,'Base bordo CD'!D$2:D$875,A899,'Base bordo CD'!A$2:A$875,B899,'Base bordo CD'!L$2:L$875,"AGUARDANDO MANUTENCAO*"),0)+IFERROR(SUMIFS('Base bordo CD'!M$2:M$875,'Base bordo CD'!D$2:D$875,A899,'Base bordo CD'!A$2:A$875,B899,'Base bordo CD'!L$2:L$875,"TROCA DE FAQUINHA"),0)+IFERROR(SUMIFS('Base bordo CD'!M$2:M$875,'Base bordo CD'!D$2:D$875,A899,'Base bordo CD'!A$2:A$875,B899,'Base bordo CD'!L$2:L$875,"LIMPEZA*"),0)</f>
        <v>0</v>
      </c>
      <c r="L899" s="10">
        <f>IFERROR(SUMIFS('Base bordo CD'!M$2:M$875,'Base bordo CD'!D$2:D$875,A899,'Base bordo CD'!A$2:A$875,B899,'Base bordo CD'!L$2:L$875,"PATIO - RESERVA"),0)</f>
        <v>0</v>
      </c>
      <c r="M899" s="10">
        <f>IFERROR(SUMIFS('Base bordo CD'!M$2:M$875,'Base bordo CD'!D$2:D$875,A899,'Base bordo CD'!A$2:A$875,B899,'Base bordo CD'!L$2:L$875,"SEM APONTAMENTO"),0)</f>
        <v>0</v>
      </c>
      <c r="N899" s="10">
        <f>IFERROR(SUMIFS('Base bordo CD'!M$2:M$875,'Base bordo CD'!D$2:D$875,A899,'Base bordo CD'!A$2:A$875,B899,'Base bordo CD'!L$2:L$875,"FALTA DE CAMINHÃO"),0)+IFERROR(SUMIFS('Base bordo CD'!M$2:M$875,'Base bordo CD'!D$2:D$875,A899,'Base bordo CD'!A$2:A$875,B899,'Base bordo CD'!L$2:L$875,"FALTA DE COMBUSTIVEL"),0)+IFERROR(SUMIFS('Base bordo CD'!M$2:M$875,'Base bordo CD'!D$2:D$875,A899,'Base bordo CD'!A$2:A$875,B899,'Base bordo CD'!L$2:L$875,"FALTA DE MOTORIST*"),0)</f>
        <v>0</v>
      </c>
      <c r="O899" s="10">
        <f t="shared" si="75"/>
        <v>0</v>
      </c>
      <c r="P899" s="10">
        <f>IFERROR(SUMIFS('Base bordo CD'!M$2:M$875,'Base bordo CD'!D$2:D$875,A899,'Base bordo CD'!A$2:A$875,B899),0)</f>
        <v>0</v>
      </c>
      <c r="Q899" s="10">
        <f>IFERROR(SUMIFS('Base bordo CD'!O$2:O$875,'Base bordo CD'!D$2:D$875,A899,'Base bordo CD'!A$2:A$875,B899,'Base bordo CD'!L$2:L$875,"CORTE DE CANA MECANIZADO"),0)</f>
        <v>0</v>
      </c>
      <c r="R899" s="10">
        <f>IFERROR(SUMIFS('Base bordo CD'!Q$2:Q$875,'Base bordo CD'!D$2:D$875,A899,'Base bordo CD'!A$2:A$875,B899,'Base bordo CD'!L$2:L$875,"CORTE DE CANA MECANIZADO"),0)</f>
        <v>0</v>
      </c>
      <c r="S899" s="30" t="str">
        <f t="shared" si="76"/>
        <v/>
      </c>
      <c r="T899" s="9">
        <f t="shared" si="77"/>
        <v>0</v>
      </c>
      <c r="U899" s="9">
        <f t="shared" si="78"/>
        <v>0</v>
      </c>
      <c r="V899" s="9">
        <f t="shared" si="79"/>
        <v>0</v>
      </c>
    </row>
    <row r="900" spans="1:22" x14ac:dyDescent="0.35">
      <c r="A900" s="52">
        <v>49596</v>
      </c>
      <c r="B900" s="31">
        <v>46118</v>
      </c>
      <c r="C900" s="7" t="s">
        <v>337</v>
      </c>
      <c r="D900" s="7">
        <v>353</v>
      </c>
      <c r="E900" s="10">
        <f>IFERROR(SUMIFS('Base bordo CD'!M$2:M$875,'Base bordo CD'!D$2:D$875,A900,'Base bordo CD'!A$2:A$875,B900,'Base bordo CD'!L$2:L$875,"CORTE DE CANA MECANIZADO"),0)</f>
        <v>0</v>
      </c>
      <c r="F900" s="10">
        <f>IFERROR(SUMIFS('Base bordo CD'!M$2:M$875,'Base bordo CD'!D$2:D$875,A900,'Base bordo CD'!A$2:A$875,B900,'Base bordo CD'!L$2:L$875,"MANOBRA"),0)</f>
        <v>0</v>
      </c>
      <c r="G900" s="10">
        <f>IFERROR(SUMIFS('Base bordo CD'!M$2:M$875,'Base bordo CD'!D$2:D$875,A900,'Base bordo CD'!A$2:A$875,B900,'Base bordo CD'!L$2:L$875,"DESLOCAMENTO"),0)</f>
        <v>0</v>
      </c>
      <c r="H900" s="10">
        <f>IFERROR(SUMIFS('Base bordo CD'!M$2:M$875,'Base bordo CD'!D$2:D$875,A900,'Base bordo CD'!A$2:A$875,B900,'Base bordo CD'!L$2:L$875,"AGUARDANDO MANOBRA DE TRANSBORDO"),0)+IFERROR(SUMIFS('Base bordo CD'!M$2:M$875,'Base bordo CD'!D$2:D$875,A900,'Base bordo CD'!A$2:A$875,B900,'Base bordo CD'!L$2:L$875,"FALTA DE TRANSBORDO"),0)</f>
        <v>0</v>
      </c>
      <c r="I900" s="10">
        <f>IFERROR(SUMIFS('Base bordo CD'!M$2:M$875,'Base bordo CD'!D$2:D$875,A900,'Base bordo CD'!A$2:A$875,B900,'Base bordo CD'!L$2:L$875,"PARADA POR CONDICOES CLIMATICAS"),0)+IFERROR(SUMIFS('Base bordo CD'!M$2:M$875,'Base bordo CD'!D$2:D$875,A900,'Base bordo CD'!A$2:A$875,B900,'Base bordo CD'!L$2:L$875,"TEMPO INDETERMINADO"),0)</f>
        <v>0</v>
      </c>
      <c r="J900" s="10">
        <f>IFERROR(SUMIFS('Base bordo CD'!M$2:M$875,'Base bordo CD'!D$2:D$875,A900,'Base bordo CD'!A$2:A$875,B900,'Base bordo CD'!L$2:L$875,"LIMITAÇÃO INDÚSTRIA"),0)</f>
        <v>0</v>
      </c>
      <c r="K900" s="10">
        <f>IFERROR(SUMIFS('Base bordo CD'!M$2:M$875,'Base bordo CD'!D$2:D$875,A900,'Base bordo CD'!A$2:A$875,B900,'Base bordo CD'!L$2:L$875,"MAN CORRETIVA*"),0)+IFERROR(SUMIFS('Base bordo CD'!M$2:M$875,'Base bordo CD'!D$2:D$875,A900,'Base bordo CD'!A$2:A$875,B900,'Base bordo CD'!L$2:L$875,"AGUARDANDO MANUTENCAO*"),0)+IFERROR(SUMIFS('Base bordo CD'!M$2:M$875,'Base bordo CD'!D$2:D$875,A900,'Base bordo CD'!A$2:A$875,B900,'Base bordo CD'!L$2:L$875,"TROCA DE FAQUINHA"),0)+IFERROR(SUMIFS('Base bordo CD'!M$2:M$875,'Base bordo CD'!D$2:D$875,A900,'Base bordo CD'!A$2:A$875,B900,'Base bordo CD'!L$2:L$875,"LIMPEZA*"),0)</f>
        <v>0</v>
      </c>
      <c r="L900" s="10">
        <f>IFERROR(SUMIFS('Base bordo CD'!M$2:M$875,'Base bordo CD'!D$2:D$875,A900,'Base bordo CD'!A$2:A$875,B900,'Base bordo CD'!L$2:L$875,"PATIO - RESERVA"),0)</f>
        <v>0</v>
      </c>
      <c r="M900" s="10">
        <f>IFERROR(SUMIFS('Base bordo CD'!M$2:M$875,'Base bordo CD'!D$2:D$875,A900,'Base bordo CD'!A$2:A$875,B900,'Base bordo CD'!L$2:L$875,"SEM APONTAMENTO"),0)</f>
        <v>0</v>
      </c>
      <c r="N900" s="10">
        <f>IFERROR(SUMIFS('Base bordo CD'!M$2:M$875,'Base bordo CD'!D$2:D$875,A900,'Base bordo CD'!A$2:A$875,B900,'Base bordo CD'!L$2:L$875,"FALTA DE CAMINHÃO"),0)+IFERROR(SUMIFS('Base bordo CD'!M$2:M$875,'Base bordo CD'!D$2:D$875,A900,'Base bordo CD'!A$2:A$875,B900,'Base bordo CD'!L$2:L$875,"FALTA DE COMBUSTIVEL"),0)+IFERROR(SUMIFS('Base bordo CD'!M$2:M$875,'Base bordo CD'!D$2:D$875,A900,'Base bordo CD'!A$2:A$875,B900,'Base bordo CD'!L$2:L$875,"FALTA DE MOTORIST*"),0)</f>
        <v>0</v>
      </c>
      <c r="O900" s="10">
        <f t="shared" si="75"/>
        <v>0</v>
      </c>
      <c r="P900" s="10">
        <f>IFERROR(SUMIFS('Base bordo CD'!M$2:M$875,'Base bordo CD'!D$2:D$875,A900,'Base bordo CD'!A$2:A$875,B900),0)</f>
        <v>0</v>
      </c>
      <c r="Q900" s="10">
        <f>IFERROR(SUMIFS('Base bordo CD'!O$2:O$875,'Base bordo CD'!D$2:D$875,A900,'Base bordo CD'!A$2:A$875,B900,'Base bordo CD'!L$2:L$875,"CORTE DE CANA MECANIZADO"),0)</f>
        <v>0</v>
      </c>
      <c r="R900" s="10">
        <f>IFERROR(SUMIFS('Base bordo CD'!Q$2:Q$875,'Base bordo CD'!D$2:D$875,A900,'Base bordo CD'!A$2:A$875,B900,'Base bordo CD'!L$2:L$875,"CORTE DE CANA MECANIZADO"),0)</f>
        <v>0</v>
      </c>
      <c r="S900" s="30" t="str">
        <f t="shared" si="76"/>
        <v/>
      </c>
      <c r="T900" s="9">
        <f t="shared" si="77"/>
        <v>0</v>
      </c>
      <c r="U900" s="9">
        <f t="shared" si="78"/>
        <v>0</v>
      </c>
      <c r="V900" s="9">
        <f t="shared" si="79"/>
        <v>0</v>
      </c>
    </row>
    <row r="901" spans="1:22" x14ac:dyDescent="0.35">
      <c r="A901" s="52">
        <v>49596</v>
      </c>
      <c r="B901" s="31">
        <v>46118</v>
      </c>
      <c r="C901" s="7" t="s">
        <v>337</v>
      </c>
      <c r="D901" s="7">
        <v>353</v>
      </c>
      <c r="E901" s="10">
        <f>IFERROR(SUMIFS('Base bordo CD'!M$2:M$875,'Base bordo CD'!D$2:D$875,A901,'Base bordo CD'!A$2:A$875,B901,'Base bordo CD'!L$2:L$875,"CORTE DE CANA MECANIZADO"),0)</f>
        <v>0</v>
      </c>
      <c r="F901" s="10">
        <f>IFERROR(SUMIFS('Base bordo CD'!M$2:M$875,'Base bordo CD'!D$2:D$875,A901,'Base bordo CD'!A$2:A$875,B901,'Base bordo CD'!L$2:L$875,"MANOBRA"),0)</f>
        <v>0</v>
      </c>
      <c r="G901" s="10">
        <f>IFERROR(SUMIFS('Base bordo CD'!M$2:M$875,'Base bordo CD'!D$2:D$875,A901,'Base bordo CD'!A$2:A$875,B901,'Base bordo CD'!L$2:L$875,"DESLOCAMENTO"),0)</f>
        <v>0</v>
      </c>
      <c r="H901" s="10">
        <f>IFERROR(SUMIFS('Base bordo CD'!M$2:M$875,'Base bordo CD'!D$2:D$875,A901,'Base bordo CD'!A$2:A$875,B901,'Base bordo CD'!L$2:L$875,"AGUARDANDO MANOBRA DE TRANSBORDO"),0)+IFERROR(SUMIFS('Base bordo CD'!M$2:M$875,'Base bordo CD'!D$2:D$875,A901,'Base bordo CD'!A$2:A$875,B901,'Base bordo CD'!L$2:L$875,"FALTA DE TRANSBORDO"),0)</f>
        <v>0</v>
      </c>
      <c r="I901" s="10">
        <f>IFERROR(SUMIFS('Base bordo CD'!M$2:M$875,'Base bordo CD'!D$2:D$875,A901,'Base bordo CD'!A$2:A$875,B901,'Base bordo CD'!L$2:L$875,"PARADA POR CONDICOES CLIMATICAS"),0)+IFERROR(SUMIFS('Base bordo CD'!M$2:M$875,'Base bordo CD'!D$2:D$875,A901,'Base bordo CD'!A$2:A$875,B901,'Base bordo CD'!L$2:L$875,"TEMPO INDETERMINADO"),0)</f>
        <v>0</v>
      </c>
      <c r="J901" s="10">
        <f>IFERROR(SUMIFS('Base bordo CD'!M$2:M$875,'Base bordo CD'!D$2:D$875,A901,'Base bordo CD'!A$2:A$875,B901,'Base bordo CD'!L$2:L$875,"LIMITAÇÃO INDÚSTRIA"),0)</f>
        <v>0</v>
      </c>
      <c r="K901" s="10">
        <f>IFERROR(SUMIFS('Base bordo CD'!M$2:M$875,'Base bordo CD'!D$2:D$875,A901,'Base bordo CD'!A$2:A$875,B901,'Base bordo CD'!L$2:L$875,"MAN CORRETIVA*"),0)+IFERROR(SUMIFS('Base bordo CD'!M$2:M$875,'Base bordo CD'!D$2:D$875,A901,'Base bordo CD'!A$2:A$875,B901,'Base bordo CD'!L$2:L$875,"AGUARDANDO MANUTENCAO*"),0)+IFERROR(SUMIFS('Base bordo CD'!M$2:M$875,'Base bordo CD'!D$2:D$875,A901,'Base bordo CD'!A$2:A$875,B901,'Base bordo CD'!L$2:L$875,"TROCA DE FAQUINHA"),0)+IFERROR(SUMIFS('Base bordo CD'!M$2:M$875,'Base bordo CD'!D$2:D$875,A901,'Base bordo CD'!A$2:A$875,B901,'Base bordo CD'!L$2:L$875,"LIMPEZA*"),0)</f>
        <v>0</v>
      </c>
      <c r="L901" s="10">
        <f>IFERROR(SUMIFS('Base bordo CD'!M$2:M$875,'Base bordo CD'!D$2:D$875,A901,'Base bordo CD'!A$2:A$875,B901,'Base bordo CD'!L$2:L$875,"PATIO - RESERVA"),0)</f>
        <v>0</v>
      </c>
      <c r="M901" s="10">
        <f>IFERROR(SUMIFS('Base bordo CD'!M$2:M$875,'Base bordo CD'!D$2:D$875,A901,'Base bordo CD'!A$2:A$875,B901,'Base bordo CD'!L$2:L$875,"SEM APONTAMENTO"),0)</f>
        <v>0</v>
      </c>
      <c r="N901" s="10">
        <f>IFERROR(SUMIFS('Base bordo CD'!M$2:M$875,'Base bordo CD'!D$2:D$875,A901,'Base bordo CD'!A$2:A$875,B901,'Base bordo CD'!L$2:L$875,"FALTA DE CAMINHÃO"),0)+IFERROR(SUMIFS('Base bordo CD'!M$2:M$875,'Base bordo CD'!D$2:D$875,A901,'Base bordo CD'!A$2:A$875,B901,'Base bordo CD'!L$2:L$875,"FALTA DE COMBUSTIVEL"),0)+IFERROR(SUMIFS('Base bordo CD'!M$2:M$875,'Base bordo CD'!D$2:D$875,A901,'Base bordo CD'!A$2:A$875,B901,'Base bordo CD'!L$2:L$875,"FALTA DE MOTORIST*"),0)</f>
        <v>0</v>
      </c>
      <c r="O901" s="10">
        <f t="shared" si="75"/>
        <v>0</v>
      </c>
      <c r="P901" s="10">
        <f>IFERROR(SUMIFS('Base bordo CD'!M$2:M$875,'Base bordo CD'!D$2:D$875,A901,'Base bordo CD'!A$2:A$875,B901),0)</f>
        <v>0</v>
      </c>
      <c r="Q901" s="10">
        <f>IFERROR(SUMIFS('Base bordo CD'!O$2:O$875,'Base bordo CD'!D$2:D$875,A901,'Base bordo CD'!A$2:A$875,B901,'Base bordo CD'!L$2:L$875,"CORTE DE CANA MECANIZADO"),0)</f>
        <v>0</v>
      </c>
      <c r="R901" s="10">
        <f>IFERROR(SUMIFS('Base bordo CD'!Q$2:Q$875,'Base bordo CD'!D$2:D$875,A901,'Base bordo CD'!A$2:A$875,B901,'Base bordo CD'!L$2:L$875,"CORTE DE CANA MECANIZADO"),0)</f>
        <v>0</v>
      </c>
      <c r="S901" s="30" t="str">
        <f t="shared" si="76"/>
        <v/>
      </c>
      <c r="T901" s="9">
        <f t="shared" si="77"/>
        <v>0</v>
      </c>
      <c r="U901" s="9">
        <f t="shared" si="78"/>
        <v>0</v>
      </c>
      <c r="V901" s="9">
        <f t="shared" si="79"/>
        <v>0</v>
      </c>
    </row>
    <row r="902" spans="1:22" x14ac:dyDescent="0.35">
      <c r="A902" s="52">
        <v>49596</v>
      </c>
      <c r="B902" s="31">
        <v>46118</v>
      </c>
      <c r="C902" s="7" t="s">
        <v>337</v>
      </c>
      <c r="D902" s="7">
        <v>353</v>
      </c>
      <c r="E902" s="10">
        <f>IFERROR(SUMIFS('Base bordo CD'!M$2:M$875,'Base bordo CD'!D$2:D$875,A902,'Base bordo CD'!A$2:A$875,B902,'Base bordo CD'!L$2:L$875,"CORTE DE CANA MECANIZADO"),0)</f>
        <v>0</v>
      </c>
      <c r="F902" s="10">
        <f>IFERROR(SUMIFS('Base bordo CD'!M$2:M$875,'Base bordo CD'!D$2:D$875,A902,'Base bordo CD'!A$2:A$875,B902,'Base bordo CD'!L$2:L$875,"MANOBRA"),0)</f>
        <v>0</v>
      </c>
      <c r="G902" s="10">
        <f>IFERROR(SUMIFS('Base bordo CD'!M$2:M$875,'Base bordo CD'!D$2:D$875,A902,'Base bordo CD'!A$2:A$875,B902,'Base bordo CD'!L$2:L$875,"DESLOCAMENTO"),0)</f>
        <v>0</v>
      </c>
      <c r="H902" s="10">
        <f>IFERROR(SUMIFS('Base bordo CD'!M$2:M$875,'Base bordo CD'!D$2:D$875,A902,'Base bordo CD'!A$2:A$875,B902,'Base bordo CD'!L$2:L$875,"AGUARDANDO MANOBRA DE TRANSBORDO"),0)+IFERROR(SUMIFS('Base bordo CD'!M$2:M$875,'Base bordo CD'!D$2:D$875,A902,'Base bordo CD'!A$2:A$875,B902,'Base bordo CD'!L$2:L$875,"FALTA DE TRANSBORDO"),0)</f>
        <v>0</v>
      </c>
      <c r="I902" s="10">
        <f>IFERROR(SUMIFS('Base bordo CD'!M$2:M$875,'Base bordo CD'!D$2:D$875,A902,'Base bordo CD'!A$2:A$875,B902,'Base bordo CD'!L$2:L$875,"PARADA POR CONDICOES CLIMATICAS"),0)+IFERROR(SUMIFS('Base bordo CD'!M$2:M$875,'Base bordo CD'!D$2:D$875,A902,'Base bordo CD'!A$2:A$875,B902,'Base bordo CD'!L$2:L$875,"TEMPO INDETERMINADO"),0)</f>
        <v>0</v>
      </c>
      <c r="J902" s="10">
        <f>IFERROR(SUMIFS('Base bordo CD'!M$2:M$875,'Base bordo CD'!D$2:D$875,A902,'Base bordo CD'!A$2:A$875,B902,'Base bordo CD'!L$2:L$875,"LIMITAÇÃO INDÚSTRIA"),0)</f>
        <v>0</v>
      </c>
      <c r="K902" s="10">
        <f>IFERROR(SUMIFS('Base bordo CD'!M$2:M$875,'Base bordo CD'!D$2:D$875,A902,'Base bordo CD'!A$2:A$875,B902,'Base bordo CD'!L$2:L$875,"MAN CORRETIVA*"),0)+IFERROR(SUMIFS('Base bordo CD'!M$2:M$875,'Base bordo CD'!D$2:D$875,A902,'Base bordo CD'!A$2:A$875,B902,'Base bordo CD'!L$2:L$875,"AGUARDANDO MANUTENCAO*"),0)+IFERROR(SUMIFS('Base bordo CD'!M$2:M$875,'Base bordo CD'!D$2:D$875,A902,'Base bordo CD'!A$2:A$875,B902,'Base bordo CD'!L$2:L$875,"TROCA DE FAQUINHA"),0)+IFERROR(SUMIFS('Base bordo CD'!M$2:M$875,'Base bordo CD'!D$2:D$875,A902,'Base bordo CD'!A$2:A$875,B902,'Base bordo CD'!L$2:L$875,"LIMPEZA*"),0)</f>
        <v>0</v>
      </c>
      <c r="L902" s="10">
        <f>IFERROR(SUMIFS('Base bordo CD'!M$2:M$875,'Base bordo CD'!D$2:D$875,A902,'Base bordo CD'!A$2:A$875,B902,'Base bordo CD'!L$2:L$875,"PATIO - RESERVA"),0)</f>
        <v>0</v>
      </c>
      <c r="M902" s="10">
        <f>IFERROR(SUMIFS('Base bordo CD'!M$2:M$875,'Base bordo CD'!D$2:D$875,A902,'Base bordo CD'!A$2:A$875,B902,'Base bordo CD'!L$2:L$875,"SEM APONTAMENTO"),0)</f>
        <v>0</v>
      </c>
      <c r="N902" s="10">
        <f>IFERROR(SUMIFS('Base bordo CD'!M$2:M$875,'Base bordo CD'!D$2:D$875,A902,'Base bordo CD'!A$2:A$875,B902,'Base bordo CD'!L$2:L$875,"FALTA DE CAMINHÃO"),0)+IFERROR(SUMIFS('Base bordo CD'!M$2:M$875,'Base bordo CD'!D$2:D$875,A902,'Base bordo CD'!A$2:A$875,B902,'Base bordo CD'!L$2:L$875,"FALTA DE COMBUSTIVEL"),0)+IFERROR(SUMIFS('Base bordo CD'!M$2:M$875,'Base bordo CD'!D$2:D$875,A902,'Base bordo CD'!A$2:A$875,B902,'Base bordo CD'!L$2:L$875,"FALTA DE MOTORIST*"),0)</f>
        <v>0</v>
      </c>
      <c r="O902" s="10">
        <f t="shared" si="75"/>
        <v>0</v>
      </c>
      <c r="P902" s="10">
        <f>IFERROR(SUMIFS('Base bordo CD'!M$2:M$875,'Base bordo CD'!D$2:D$875,A902,'Base bordo CD'!A$2:A$875,B902),0)</f>
        <v>0</v>
      </c>
      <c r="Q902" s="10">
        <f>IFERROR(SUMIFS('Base bordo CD'!O$2:O$875,'Base bordo CD'!D$2:D$875,A902,'Base bordo CD'!A$2:A$875,B902,'Base bordo CD'!L$2:L$875,"CORTE DE CANA MECANIZADO"),0)</f>
        <v>0</v>
      </c>
      <c r="R902" s="10">
        <f>IFERROR(SUMIFS('Base bordo CD'!Q$2:Q$875,'Base bordo CD'!D$2:D$875,A902,'Base bordo CD'!A$2:A$875,B902,'Base bordo CD'!L$2:L$875,"CORTE DE CANA MECANIZADO"),0)</f>
        <v>0</v>
      </c>
      <c r="S902" s="30" t="str">
        <f t="shared" si="76"/>
        <v/>
      </c>
      <c r="T902" s="9">
        <f t="shared" si="77"/>
        <v>0</v>
      </c>
      <c r="U902" s="9">
        <f t="shared" si="78"/>
        <v>0</v>
      </c>
      <c r="V902" s="9">
        <f t="shared" si="79"/>
        <v>0</v>
      </c>
    </row>
    <row r="903" spans="1:22" x14ac:dyDescent="0.35">
      <c r="A903" s="52">
        <v>49596</v>
      </c>
      <c r="B903" s="31">
        <v>46118</v>
      </c>
      <c r="C903" s="7" t="s">
        <v>337</v>
      </c>
      <c r="D903" s="7">
        <v>353</v>
      </c>
      <c r="E903" s="10">
        <f>IFERROR(SUMIFS('Base bordo CD'!M$2:M$875,'Base bordo CD'!D$2:D$875,A903,'Base bordo CD'!A$2:A$875,B903,'Base bordo CD'!L$2:L$875,"CORTE DE CANA MECANIZADO"),0)</f>
        <v>0</v>
      </c>
      <c r="F903" s="10">
        <f>IFERROR(SUMIFS('Base bordo CD'!M$2:M$875,'Base bordo CD'!D$2:D$875,A903,'Base bordo CD'!A$2:A$875,B903,'Base bordo CD'!L$2:L$875,"MANOBRA"),0)</f>
        <v>0</v>
      </c>
      <c r="G903" s="10">
        <f>IFERROR(SUMIFS('Base bordo CD'!M$2:M$875,'Base bordo CD'!D$2:D$875,A903,'Base bordo CD'!A$2:A$875,B903,'Base bordo CD'!L$2:L$875,"DESLOCAMENTO"),0)</f>
        <v>0</v>
      </c>
      <c r="H903" s="10">
        <f>IFERROR(SUMIFS('Base bordo CD'!M$2:M$875,'Base bordo CD'!D$2:D$875,A903,'Base bordo CD'!A$2:A$875,B903,'Base bordo CD'!L$2:L$875,"AGUARDANDO MANOBRA DE TRANSBORDO"),0)+IFERROR(SUMIFS('Base bordo CD'!M$2:M$875,'Base bordo CD'!D$2:D$875,A903,'Base bordo CD'!A$2:A$875,B903,'Base bordo CD'!L$2:L$875,"FALTA DE TRANSBORDO"),0)</f>
        <v>0</v>
      </c>
      <c r="I903" s="10">
        <f>IFERROR(SUMIFS('Base bordo CD'!M$2:M$875,'Base bordo CD'!D$2:D$875,A903,'Base bordo CD'!A$2:A$875,B903,'Base bordo CD'!L$2:L$875,"PARADA POR CONDICOES CLIMATICAS"),0)+IFERROR(SUMIFS('Base bordo CD'!M$2:M$875,'Base bordo CD'!D$2:D$875,A903,'Base bordo CD'!A$2:A$875,B903,'Base bordo CD'!L$2:L$875,"TEMPO INDETERMINADO"),0)</f>
        <v>0</v>
      </c>
      <c r="J903" s="10">
        <f>IFERROR(SUMIFS('Base bordo CD'!M$2:M$875,'Base bordo CD'!D$2:D$875,A903,'Base bordo CD'!A$2:A$875,B903,'Base bordo CD'!L$2:L$875,"LIMITAÇÃO INDÚSTRIA"),0)</f>
        <v>0</v>
      </c>
      <c r="K903" s="10">
        <f>IFERROR(SUMIFS('Base bordo CD'!M$2:M$875,'Base bordo CD'!D$2:D$875,A903,'Base bordo CD'!A$2:A$875,B903,'Base bordo CD'!L$2:L$875,"MAN CORRETIVA*"),0)+IFERROR(SUMIFS('Base bordo CD'!M$2:M$875,'Base bordo CD'!D$2:D$875,A903,'Base bordo CD'!A$2:A$875,B903,'Base bordo CD'!L$2:L$875,"AGUARDANDO MANUTENCAO*"),0)+IFERROR(SUMIFS('Base bordo CD'!M$2:M$875,'Base bordo CD'!D$2:D$875,A903,'Base bordo CD'!A$2:A$875,B903,'Base bordo CD'!L$2:L$875,"TROCA DE FAQUINHA"),0)+IFERROR(SUMIFS('Base bordo CD'!M$2:M$875,'Base bordo CD'!D$2:D$875,A903,'Base bordo CD'!A$2:A$875,B903,'Base bordo CD'!L$2:L$875,"LIMPEZA*"),0)</f>
        <v>0</v>
      </c>
      <c r="L903" s="10">
        <f>IFERROR(SUMIFS('Base bordo CD'!M$2:M$875,'Base bordo CD'!D$2:D$875,A903,'Base bordo CD'!A$2:A$875,B903,'Base bordo CD'!L$2:L$875,"PATIO - RESERVA"),0)</f>
        <v>0</v>
      </c>
      <c r="M903" s="10">
        <f>IFERROR(SUMIFS('Base bordo CD'!M$2:M$875,'Base bordo CD'!D$2:D$875,A903,'Base bordo CD'!A$2:A$875,B903,'Base bordo CD'!L$2:L$875,"SEM APONTAMENTO"),0)</f>
        <v>0</v>
      </c>
      <c r="N903" s="10">
        <f>IFERROR(SUMIFS('Base bordo CD'!M$2:M$875,'Base bordo CD'!D$2:D$875,A903,'Base bordo CD'!A$2:A$875,B903,'Base bordo CD'!L$2:L$875,"FALTA DE CAMINHÃO"),0)+IFERROR(SUMIFS('Base bordo CD'!M$2:M$875,'Base bordo CD'!D$2:D$875,A903,'Base bordo CD'!A$2:A$875,B903,'Base bordo CD'!L$2:L$875,"FALTA DE COMBUSTIVEL"),0)+IFERROR(SUMIFS('Base bordo CD'!M$2:M$875,'Base bordo CD'!D$2:D$875,A903,'Base bordo CD'!A$2:A$875,B903,'Base bordo CD'!L$2:L$875,"FALTA DE MOTORIST*"),0)</f>
        <v>0</v>
      </c>
      <c r="O903" s="10">
        <f t="shared" si="75"/>
        <v>0</v>
      </c>
      <c r="P903" s="10">
        <f>IFERROR(SUMIFS('Base bordo CD'!M$2:M$875,'Base bordo CD'!D$2:D$875,A903,'Base bordo CD'!A$2:A$875,B903),0)</f>
        <v>0</v>
      </c>
      <c r="Q903" s="10">
        <f>IFERROR(SUMIFS('Base bordo CD'!O$2:O$875,'Base bordo CD'!D$2:D$875,A903,'Base bordo CD'!A$2:A$875,B903,'Base bordo CD'!L$2:L$875,"CORTE DE CANA MECANIZADO"),0)</f>
        <v>0</v>
      </c>
      <c r="R903" s="10">
        <f>IFERROR(SUMIFS('Base bordo CD'!Q$2:Q$875,'Base bordo CD'!D$2:D$875,A903,'Base bordo CD'!A$2:A$875,B903,'Base bordo CD'!L$2:L$875,"CORTE DE CANA MECANIZADO"),0)</f>
        <v>0</v>
      </c>
      <c r="S903" s="30" t="str">
        <f t="shared" si="76"/>
        <v/>
      </c>
      <c r="T903" s="9">
        <f t="shared" si="77"/>
        <v>0</v>
      </c>
      <c r="U903" s="9">
        <f t="shared" si="78"/>
        <v>0</v>
      </c>
      <c r="V903" s="9">
        <f t="shared" si="79"/>
        <v>0</v>
      </c>
    </row>
    <row r="904" spans="1:22" x14ac:dyDescent="0.35">
      <c r="A904" s="52">
        <v>49596</v>
      </c>
      <c r="B904" s="31">
        <v>46118</v>
      </c>
      <c r="C904" s="7" t="s">
        <v>337</v>
      </c>
      <c r="D904" s="7">
        <v>353</v>
      </c>
      <c r="E904" s="10">
        <f>IFERROR(SUMIFS('Base bordo CD'!M$2:M$875,'Base bordo CD'!D$2:D$875,A904,'Base bordo CD'!A$2:A$875,B904,'Base bordo CD'!L$2:L$875,"CORTE DE CANA MECANIZADO"),0)</f>
        <v>0</v>
      </c>
      <c r="F904" s="10">
        <f>IFERROR(SUMIFS('Base bordo CD'!M$2:M$875,'Base bordo CD'!D$2:D$875,A904,'Base bordo CD'!A$2:A$875,B904,'Base bordo CD'!L$2:L$875,"MANOBRA"),0)</f>
        <v>0</v>
      </c>
      <c r="G904" s="10">
        <f>IFERROR(SUMIFS('Base bordo CD'!M$2:M$875,'Base bordo CD'!D$2:D$875,A904,'Base bordo CD'!A$2:A$875,B904,'Base bordo CD'!L$2:L$875,"DESLOCAMENTO"),0)</f>
        <v>0</v>
      </c>
      <c r="H904" s="10">
        <f>IFERROR(SUMIFS('Base bordo CD'!M$2:M$875,'Base bordo CD'!D$2:D$875,A904,'Base bordo CD'!A$2:A$875,B904,'Base bordo CD'!L$2:L$875,"AGUARDANDO MANOBRA DE TRANSBORDO"),0)+IFERROR(SUMIFS('Base bordo CD'!M$2:M$875,'Base bordo CD'!D$2:D$875,A904,'Base bordo CD'!A$2:A$875,B904,'Base bordo CD'!L$2:L$875,"FALTA DE TRANSBORDO"),0)</f>
        <v>0</v>
      </c>
      <c r="I904" s="10">
        <f>IFERROR(SUMIFS('Base bordo CD'!M$2:M$875,'Base bordo CD'!D$2:D$875,A904,'Base bordo CD'!A$2:A$875,B904,'Base bordo CD'!L$2:L$875,"PARADA POR CONDICOES CLIMATICAS"),0)+IFERROR(SUMIFS('Base bordo CD'!M$2:M$875,'Base bordo CD'!D$2:D$875,A904,'Base bordo CD'!A$2:A$875,B904,'Base bordo CD'!L$2:L$875,"TEMPO INDETERMINADO"),0)</f>
        <v>0</v>
      </c>
      <c r="J904" s="10">
        <f>IFERROR(SUMIFS('Base bordo CD'!M$2:M$875,'Base bordo CD'!D$2:D$875,A904,'Base bordo CD'!A$2:A$875,B904,'Base bordo CD'!L$2:L$875,"LIMITAÇÃO INDÚSTRIA"),0)</f>
        <v>0</v>
      </c>
      <c r="K904" s="10">
        <f>IFERROR(SUMIFS('Base bordo CD'!M$2:M$875,'Base bordo CD'!D$2:D$875,A904,'Base bordo CD'!A$2:A$875,B904,'Base bordo CD'!L$2:L$875,"MAN CORRETIVA*"),0)+IFERROR(SUMIFS('Base bordo CD'!M$2:M$875,'Base bordo CD'!D$2:D$875,A904,'Base bordo CD'!A$2:A$875,B904,'Base bordo CD'!L$2:L$875,"AGUARDANDO MANUTENCAO*"),0)+IFERROR(SUMIFS('Base bordo CD'!M$2:M$875,'Base bordo CD'!D$2:D$875,A904,'Base bordo CD'!A$2:A$875,B904,'Base bordo CD'!L$2:L$875,"TROCA DE FAQUINHA"),0)+IFERROR(SUMIFS('Base bordo CD'!M$2:M$875,'Base bordo CD'!D$2:D$875,A904,'Base bordo CD'!A$2:A$875,B904,'Base bordo CD'!L$2:L$875,"LIMPEZA*"),0)</f>
        <v>0</v>
      </c>
      <c r="L904" s="10">
        <f>IFERROR(SUMIFS('Base bordo CD'!M$2:M$875,'Base bordo CD'!D$2:D$875,A904,'Base bordo CD'!A$2:A$875,B904,'Base bordo CD'!L$2:L$875,"PATIO - RESERVA"),0)</f>
        <v>0</v>
      </c>
      <c r="M904" s="10">
        <f>IFERROR(SUMIFS('Base bordo CD'!M$2:M$875,'Base bordo CD'!D$2:D$875,A904,'Base bordo CD'!A$2:A$875,B904,'Base bordo CD'!L$2:L$875,"SEM APONTAMENTO"),0)</f>
        <v>0</v>
      </c>
      <c r="N904" s="10">
        <f>IFERROR(SUMIFS('Base bordo CD'!M$2:M$875,'Base bordo CD'!D$2:D$875,A904,'Base bordo CD'!A$2:A$875,B904,'Base bordo CD'!L$2:L$875,"FALTA DE CAMINHÃO"),0)+IFERROR(SUMIFS('Base bordo CD'!M$2:M$875,'Base bordo CD'!D$2:D$875,A904,'Base bordo CD'!A$2:A$875,B904,'Base bordo CD'!L$2:L$875,"FALTA DE COMBUSTIVEL"),0)+IFERROR(SUMIFS('Base bordo CD'!M$2:M$875,'Base bordo CD'!D$2:D$875,A904,'Base bordo CD'!A$2:A$875,B904,'Base bordo CD'!L$2:L$875,"FALTA DE MOTORIST*"),0)</f>
        <v>0</v>
      </c>
      <c r="O904" s="10">
        <f t="shared" si="75"/>
        <v>0</v>
      </c>
      <c r="P904" s="10">
        <f>IFERROR(SUMIFS('Base bordo CD'!M$2:M$875,'Base bordo CD'!D$2:D$875,A904,'Base bordo CD'!A$2:A$875,B904),0)</f>
        <v>0</v>
      </c>
      <c r="Q904" s="10">
        <f>IFERROR(SUMIFS('Base bordo CD'!O$2:O$875,'Base bordo CD'!D$2:D$875,A904,'Base bordo CD'!A$2:A$875,B904,'Base bordo CD'!L$2:L$875,"CORTE DE CANA MECANIZADO"),0)</f>
        <v>0</v>
      </c>
      <c r="R904" s="10">
        <f>IFERROR(SUMIFS('Base bordo CD'!Q$2:Q$875,'Base bordo CD'!D$2:D$875,A904,'Base bordo CD'!A$2:A$875,B904,'Base bordo CD'!L$2:L$875,"CORTE DE CANA MECANIZADO"),0)</f>
        <v>0</v>
      </c>
      <c r="S904" s="30" t="str">
        <f t="shared" si="76"/>
        <v/>
      </c>
      <c r="T904" s="9">
        <f t="shared" si="77"/>
        <v>0</v>
      </c>
      <c r="U904" s="9">
        <f t="shared" si="78"/>
        <v>0</v>
      </c>
      <c r="V904" s="9">
        <f t="shared" si="79"/>
        <v>0</v>
      </c>
    </row>
    <row r="905" spans="1:22" x14ac:dyDescent="0.35">
      <c r="A905" s="52">
        <v>49596</v>
      </c>
      <c r="B905" s="31">
        <v>46118</v>
      </c>
      <c r="C905" s="7" t="s">
        <v>337</v>
      </c>
      <c r="D905" s="7">
        <v>353</v>
      </c>
      <c r="E905" s="10">
        <f>IFERROR(SUMIFS('Base bordo CD'!M$2:M$875,'Base bordo CD'!D$2:D$875,A905,'Base bordo CD'!A$2:A$875,B905,'Base bordo CD'!L$2:L$875,"CORTE DE CANA MECANIZADO"),0)</f>
        <v>0</v>
      </c>
      <c r="F905" s="10">
        <f>IFERROR(SUMIFS('Base bordo CD'!M$2:M$875,'Base bordo CD'!D$2:D$875,A905,'Base bordo CD'!A$2:A$875,B905,'Base bordo CD'!L$2:L$875,"MANOBRA"),0)</f>
        <v>0</v>
      </c>
      <c r="G905" s="10">
        <f>IFERROR(SUMIFS('Base bordo CD'!M$2:M$875,'Base bordo CD'!D$2:D$875,A905,'Base bordo CD'!A$2:A$875,B905,'Base bordo CD'!L$2:L$875,"DESLOCAMENTO"),0)</f>
        <v>0</v>
      </c>
      <c r="H905" s="10">
        <f>IFERROR(SUMIFS('Base bordo CD'!M$2:M$875,'Base bordo CD'!D$2:D$875,A905,'Base bordo CD'!A$2:A$875,B905,'Base bordo CD'!L$2:L$875,"AGUARDANDO MANOBRA DE TRANSBORDO"),0)+IFERROR(SUMIFS('Base bordo CD'!M$2:M$875,'Base bordo CD'!D$2:D$875,A905,'Base bordo CD'!A$2:A$875,B905,'Base bordo CD'!L$2:L$875,"FALTA DE TRANSBORDO"),0)</f>
        <v>0</v>
      </c>
      <c r="I905" s="10">
        <f>IFERROR(SUMIFS('Base bordo CD'!M$2:M$875,'Base bordo CD'!D$2:D$875,A905,'Base bordo CD'!A$2:A$875,B905,'Base bordo CD'!L$2:L$875,"PARADA POR CONDICOES CLIMATICAS"),0)+IFERROR(SUMIFS('Base bordo CD'!M$2:M$875,'Base bordo CD'!D$2:D$875,A905,'Base bordo CD'!A$2:A$875,B905,'Base bordo CD'!L$2:L$875,"TEMPO INDETERMINADO"),0)</f>
        <v>0</v>
      </c>
      <c r="J905" s="10">
        <f>IFERROR(SUMIFS('Base bordo CD'!M$2:M$875,'Base bordo CD'!D$2:D$875,A905,'Base bordo CD'!A$2:A$875,B905,'Base bordo CD'!L$2:L$875,"LIMITAÇÃO INDÚSTRIA"),0)</f>
        <v>0</v>
      </c>
      <c r="K905" s="10">
        <f>IFERROR(SUMIFS('Base bordo CD'!M$2:M$875,'Base bordo CD'!D$2:D$875,A905,'Base bordo CD'!A$2:A$875,B905,'Base bordo CD'!L$2:L$875,"MAN CORRETIVA*"),0)+IFERROR(SUMIFS('Base bordo CD'!M$2:M$875,'Base bordo CD'!D$2:D$875,A905,'Base bordo CD'!A$2:A$875,B905,'Base bordo CD'!L$2:L$875,"AGUARDANDO MANUTENCAO*"),0)+IFERROR(SUMIFS('Base bordo CD'!M$2:M$875,'Base bordo CD'!D$2:D$875,A905,'Base bordo CD'!A$2:A$875,B905,'Base bordo CD'!L$2:L$875,"TROCA DE FAQUINHA"),0)+IFERROR(SUMIFS('Base bordo CD'!M$2:M$875,'Base bordo CD'!D$2:D$875,A905,'Base bordo CD'!A$2:A$875,B905,'Base bordo CD'!L$2:L$875,"LIMPEZA*"),0)</f>
        <v>0</v>
      </c>
      <c r="L905" s="10">
        <f>IFERROR(SUMIFS('Base bordo CD'!M$2:M$875,'Base bordo CD'!D$2:D$875,A905,'Base bordo CD'!A$2:A$875,B905,'Base bordo CD'!L$2:L$875,"PATIO - RESERVA"),0)</f>
        <v>0</v>
      </c>
      <c r="M905" s="10">
        <f>IFERROR(SUMIFS('Base bordo CD'!M$2:M$875,'Base bordo CD'!D$2:D$875,A905,'Base bordo CD'!A$2:A$875,B905,'Base bordo CD'!L$2:L$875,"SEM APONTAMENTO"),0)</f>
        <v>0</v>
      </c>
      <c r="N905" s="10">
        <f>IFERROR(SUMIFS('Base bordo CD'!M$2:M$875,'Base bordo CD'!D$2:D$875,A905,'Base bordo CD'!A$2:A$875,B905,'Base bordo CD'!L$2:L$875,"FALTA DE CAMINHÃO"),0)+IFERROR(SUMIFS('Base bordo CD'!M$2:M$875,'Base bordo CD'!D$2:D$875,A905,'Base bordo CD'!A$2:A$875,B905,'Base bordo CD'!L$2:L$875,"FALTA DE COMBUSTIVEL"),0)+IFERROR(SUMIFS('Base bordo CD'!M$2:M$875,'Base bordo CD'!D$2:D$875,A905,'Base bordo CD'!A$2:A$875,B905,'Base bordo CD'!L$2:L$875,"FALTA DE MOTORIST*"),0)</f>
        <v>0</v>
      </c>
      <c r="O905" s="10">
        <f t="shared" si="75"/>
        <v>0</v>
      </c>
      <c r="P905" s="10">
        <f>IFERROR(SUMIFS('Base bordo CD'!M$2:M$875,'Base bordo CD'!D$2:D$875,A905,'Base bordo CD'!A$2:A$875,B905),0)</f>
        <v>0</v>
      </c>
      <c r="Q905" s="10">
        <f>IFERROR(SUMIFS('Base bordo CD'!O$2:O$875,'Base bordo CD'!D$2:D$875,A905,'Base bordo CD'!A$2:A$875,B905,'Base bordo CD'!L$2:L$875,"CORTE DE CANA MECANIZADO"),0)</f>
        <v>0</v>
      </c>
      <c r="R905" s="10">
        <f>IFERROR(SUMIFS('Base bordo CD'!Q$2:Q$875,'Base bordo CD'!D$2:D$875,A905,'Base bordo CD'!A$2:A$875,B905,'Base bordo CD'!L$2:L$875,"CORTE DE CANA MECANIZADO"),0)</f>
        <v>0</v>
      </c>
      <c r="S905" s="30" t="str">
        <f t="shared" si="76"/>
        <v/>
      </c>
      <c r="T905" s="9">
        <f t="shared" si="77"/>
        <v>0</v>
      </c>
      <c r="U905" s="9">
        <f t="shared" si="78"/>
        <v>0</v>
      </c>
      <c r="V905" s="9">
        <f t="shared" si="79"/>
        <v>0</v>
      </c>
    </row>
    <row r="906" spans="1:22" x14ac:dyDescent="0.35">
      <c r="A906" s="52">
        <v>49596</v>
      </c>
      <c r="B906" s="31">
        <v>46118</v>
      </c>
      <c r="C906" s="7" t="s">
        <v>337</v>
      </c>
      <c r="D906" s="7">
        <v>353</v>
      </c>
      <c r="E906" s="10">
        <f>IFERROR(SUMIFS('Base bordo CD'!M$2:M$875,'Base bordo CD'!D$2:D$875,A906,'Base bordo CD'!A$2:A$875,B906,'Base bordo CD'!L$2:L$875,"CORTE DE CANA MECANIZADO"),0)</f>
        <v>0</v>
      </c>
      <c r="F906" s="10">
        <f>IFERROR(SUMIFS('Base bordo CD'!M$2:M$875,'Base bordo CD'!D$2:D$875,A906,'Base bordo CD'!A$2:A$875,B906,'Base bordo CD'!L$2:L$875,"MANOBRA"),0)</f>
        <v>0</v>
      </c>
      <c r="G906" s="10">
        <f>IFERROR(SUMIFS('Base bordo CD'!M$2:M$875,'Base bordo CD'!D$2:D$875,A906,'Base bordo CD'!A$2:A$875,B906,'Base bordo CD'!L$2:L$875,"DESLOCAMENTO"),0)</f>
        <v>0</v>
      </c>
      <c r="H906" s="10">
        <f>IFERROR(SUMIFS('Base bordo CD'!M$2:M$875,'Base bordo CD'!D$2:D$875,A906,'Base bordo CD'!A$2:A$875,B906,'Base bordo CD'!L$2:L$875,"AGUARDANDO MANOBRA DE TRANSBORDO"),0)+IFERROR(SUMIFS('Base bordo CD'!M$2:M$875,'Base bordo CD'!D$2:D$875,A906,'Base bordo CD'!A$2:A$875,B906,'Base bordo CD'!L$2:L$875,"FALTA DE TRANSBORDO"),0)</f>
        <v>0</v>
      </c>
      <c r="I906" s="10">
        <f>IFERROR(SUMIFS('Base bordo CD'!M$2:M$875,'Base bordo CD'!D$2:D$875,A906,'Base bordo CD'!A$2:A$875,B906,'Base bordo CD'!L$2:L$875,"PARADA POR CONDICOES CLIMATICAS"),0)+IFERROR(SUMIFS('Base bordo CD'!M$2:M$875,'Base bordo CD'!D$2:D$875,A906,'Base bordo CD'!A$2:A$875,B906,'Base bordo CD'!L$2:L$875,"TEMPO INDETERMINADO"),0)</f>
        <v>0</v>
      </c>
      <c r="J906" s="10">
        <f>IFERROR(SUMIFS('Base bordo CD'!M$2:M$875,'Base bordo CD'!D$2:D$875,A906,'Base bordo CD'!A$2:A$875,B906,'Base bordo CD'!L$2:L$875,"LIMITAÇÃO INDÚSTRIA"),0)</f>
        <v>0</v>
      </c>
      <c r="K906" s="10">
        <f>IFERROR(SUMIFS('Base bordo CD'!M$2:M$875,'Base bordo CD'!D$2:D$875,A906,'Base bordo CD'!A$2:A$875,B906,'Base bordo CD'!L$2:L$875,"MAN CORRETIVA*"),0)+IFERROR(SUMIFS('Base bordo CD'!M$2:M$875,'Base bordo CD'!D$2:D$875,A906,'Base bordo CD'!A$2:A$875,B906,'Base bordo CD'!L$2:L$875,"AGUARDANDO MANUTENCAO*"),0)+IFERROR(SUMIFS('Base bordo CD'!M$2:M$875,'Base bordo CD'!D$2:D$875,A906,'Base bordo CD'!A$2:A$875,B906,'Base bordo CD'!L$2:L$875,"TROCA DE FAQUINHA"),0)+IFERROR(SUMIFS('Base bordo CD'!M$2:M$875,'Base bordo CD'!D$2:D$875,A906,'Base bordo CD'!A$2:A$875,B906,'Base bordo CD'!L$2:L$875,"LIMPEZA*"),0)</f>
        <v>0</v>
      </c>
      <c r="L906" s="10">
        <f>IFERROR(SUMIFS('Base bordo CD'!M$2:M$875,'Base bordo CD'!D$2:D$875,A906,'Base bordo CD'!A$2:A$875,B906,'Base bordo CD'!L$2:L$875,"PATIO - RESERVA"),0)</f>
        <v>0</v>
      </c>
      <c r="M906" s="10">
        <f>IFERROR(SUMIFS('Base bordo CD'!M$2:M$875,'Base bordo CD'!D$2:D$875,A906,'Base bordo CD'!A$2:A$875,B906,'Base bordo CD'!L$2:L$875,"SEM APONTAMENTO"),0)</f>
        <v>0</v>
      </c>
      <c r="N906" s="10">
        <f>IFERROR(SUMIFS('Base bordo CD'!M$2:M$875,'Base bordo CD'!D$2:D$875,A906,'Base bordo CD'!A$2:A$875,B906,'Base bordo CD'!L$2:L$875,"FALTA DE CAMINHÃO"),0)+IFERROR(SUMIFS('Base bordo CD'!M$2:M$875,'Base bordo CD'!D$2:D$875,A906,'Base bordo CD'!A$2:A$875,B906,'Base bordo CD'!L$2:L$875,"FALTA DE COMBUSTIVEL"),0)+IFERROR(SUMIFS('Base bordo CD'!M$2:M$875,'Base bordo CD'!D$2:D$875,A906,'Base bordo CD'!A$2:A$875,B906,'Base bordo CD'!L$2:L$875,"FALTA DE MOTORIST*"),0)</f>
        <v>0</v>
      </c>
      <c r="O906" s="10">
        <f t="shared" si="75"/>
        <v>0</v>
      </c>
      <c r="P906" s="10">
        <f>IFERROR(SUMIFS('Base bordo CD'!M$2:M$875,'Base bordo CD'!D$2:D$875,A906,'Base bordo CD'!A$2:A$875,B906),0)</f>
        <v>0</v>
      </c>
      <c r="Q906" s="10">
        <f>IFERROR(SUMIFS('Base bordo CD'!O$2:O$875,'Base bordo CD'!D$2:D$875,A906,'Base bordo CD'!A$2:A$875,B906,'Base bordo CD'!L$2:L$875,"CORTE DE CANA MECANIZADO"),0)</f>
        <v>0</v>
      </c>
      <c r="R906" s="10">
        <f>IFERROR(SUMIFS('Base bordo CD'!Q$2:Q$875,'Base bordo CD'!D$2:D$875,A906,'Base bordo CD'!A$2:A$875,B906,'Base bordo CD'!L$2:L$875,"CORTE DE CANA MECANIZADO"),0)</f>
        <v>0</v>
      </c>
      <c r="S906" s="30" t="str">
        <f t="shared" si="76"/>
        <v/>
      </c>
      <c r="T906" s="9">
        <f t="shared" si="77"/>
        <v>0</v>
      </c>
      <c r="U906" s="9">
        <f t="shared" si="78"/>
        <v>0</v>
      </c>
      <c r="V906" s="9">
        <f t="shared" si="79"/>
        <v>0</v>
      </c>
    </row>
    <row r="907" spans="1:22" x14ac:dyDescent="0.35">
      <c r="A907" s="52">
        <v>49596</v>
      </c>
      <c r="B907" s="31">
        <v>46118</v>
      </c>
      <c r="C907" s="7" t="s">
        <v>337</v>
      </c>
      <c r="D907" s="7">
        <v>353</v>
      </c>
      <c r="E907" s="10">
        <f>IFERROR(SUMIFS('Base bordo CD'!M$2:M$875,'Base bordo CD'!D$2:D$875,A907,'Base bordo CD'!A$2:A$875,B907,'Base bordo CD'!L$2:L$875,"CORTE DE CANA MECANIZADO"),0)</f>
        <v>0</v>
      </c>
      <c r="F907" s="10">
        <f>IFERROR(SUMIFS('Base bordo CD'!M$2:M$875,'Base bordo CD'!D$2:D$875,A907,'Base bordo CD'!A$2:A$875,B907,'Base bordo CD'!L$2:L$875,"MANOBRA"),0)</f>
        <v>0</v>
      </c>
      <c r="G907" s="10">
        <f>IFERROR(SUMIFS('Base bordo CD'!M$2:M$875,'Base bordo CD'!D$2:D$875,A907,'Base bordo CD'!A$2:A$875,B907,'Base bordo CD'!L$2:L$875,"DESLOCAMENTO"),0)</f>
        <v>0</v>
      </c>
      <c r="H907" s="10">
        <f>IFERROR(SUMIFS('Base bordo CD'!M$2:M$875,'Base bordo CD'!D$2:D$875,A907,'Base bordo CD'!A$2:A$875,B907,'Base bordo CD'!L$2:L$875,"AGUARDANDO MANOBRA DE TRANSBORDO"),0)+IFERROR(SUMIFS('Base bordo CD'!M$2:M$875,'Base bordo CD'!D$2:D$875,A907,'Base bordo CD'!A$2:A$875,B907,'Base bordo CD'!L$2:L$875,"FALTA DE TRANSBORDO"),0)</f>
        <v>0</v>
      </c>
      <c r="I907" s="10">
        <f>IFERROR(SUMIFS('Base bordo CD'!M$2:M$875,'Base bordo CD'!D$2:D$875,A907,'Base bordo CD'!A$2:A$875,B907,'Base bordo CD'!L$2:L$875,"PARADA POR CONDICOES CLIMATICAS"),0)+IFERROR(SUMIFS('Base bordo CD'!M$2:M$875,'Base bordo CD'!D$2:D$875,A907,'Base bordo CD'!A$2:A$875,B907,'Base bordo CD'!L$2:L$875,"TEMPO INDETERMINADO"),0)</f>
        <v>0</v>
      </c>
      <c r="J907" s="10">
        <f>IFERROR(SUMIFS('Base bordo CD'!M$2:M$875,'Base bordo CD'!D$2:D$875,A907,'Base bordo CD'!A$2:A$875,B907,'Base bordo CD'!L$2:L$875,"LIMITAÇÃO INDÚSTRIA"),0)</f>
        <v>0</v>
      </c>
      <c r="K907" s="10">
        <f>IFERROR(SUMIFS('Base bordo CD'!M$2:M$875,'Base bordo CD'!D$2:D$875,A907,'Base bordo CD'!A$2:A$875,B907,'Base bordo CD'!L$2:L$875,"MAN CORRETIVA*"),0)+IFERROR(SUMIFS('Base bordo CD'!M$2:M$875,'Base bordo CD'!D$2:D$875,A907,'Base bordo CD'!A$2:A$875,B907,'Base bordo CD'!L$2:L$875,"AGUARDANDO MANUTENCAO*"),0)+IFERROR(SUMIFS('Base bordo CD'!M$2:M$875,'Base bordo CD'!D$2:D$875,A907,'Base bordo CD'!A$2:A$875,B907,'Base bordo CD'!L$2:L$875,"TROCA DE FAQUINHA"),0)+IFERROR(SUMIFS('Base bordo CD'!M$2:M$875,'Base bordo CD'!D$2:D$875,A907,'Base bordo CD'!A$2:A$875,B907,'Base bordo CD'!L$2:L$875,"LIMPEZA*"),0)</f>
        <v>0</v>
      </c>
      <c r="L907" s="10">
        <f>IFERROR(SUMIFS('Base bordo CD'!M$2:M$875,'Base bordo CD'!D$2:D$875,A907,'Base bordo CD'!A$2:A$875,B907,'Base bordo CD'!L$2:L$875,"PATIO - RESERVA"),0)</f>
        <v>0</v>
      </c>
      <c r="M907" s="10">
        <f>IFERROR(SUMIFS('Base bordo CD'!M$2:M$875,'Base bordo CD'!D$2:D$875,A907,'Base bordo CD'!A$2:A$875,B907,'Base bordo CD'!L$2:L$875,"SEM APONTAMENTO"),0)</f>
        <v>0</v>
      </c>
      <c r="N907" s="10">
        <f>IFERROR(SUMIFS('Base bordo CD'!M$2:M$875,'Base bordo CD'!D$2:D$875,A907,'Base bordo CD'!A$2:A$875,B907,'Base bordo CD'!L$2:L$875,"FALTA DE CAMINHÃO"),0)+IFERROR(SUMIFS('Base bordo CD'!M$2:M$875,'Base bordo CD'!D$2:D$875,A907,'Base bordo CD'!A$2:A$875,B907,'Base bordo CD'!L$2:L$875,"FALTA DE COMBUSTIVEL"),0)+IFERROR(SUMIFS('Base bordo CD'!M$2:M$875,'Base bordo CD'!D$2:D$875,A907,'Base bordo CD'!A$2:A$875,B907,'Base bordo CD'!L$2:L$875,"FALTA DE MOTORIST*"),0)</f>
        <v>0</v>
      </c>
      <c r="O907" s="10">
        <f t="shared" si="75"/>
        <v>0</v>
      </c>
      <c r="P907" s="10">
        <f>IFERROR(SUMIFS('Base bordo CD'!M$2:M$875,'Base bordo CD'!D$2:D$875,A907,'Base bordo CD'!A$2:A$875,B907),0)</f>
        <v>0</v>
      </c>
      <c r="Q907" s="10">
        <f>IFERROR(SUMIFS('Base bordo CD'!O$2:O$875,'Base bordo CD'!D$2:D$875,A907,'Base bordo CD'!A$2:A$875,B907,'Base bordo CD'!L$2:L$875,"CORTE DE CANA MECANIZADO"),0)</f>
        <v>0</v>
      </c>
      <c r="R907" s="10">
        <f>IFERROR(SUMIFS('Base bordo CD'!Q$2:Q$875,'Base bordo CD'!D$2:D$875,A907,'Base bordo CD'!A$2:A$875,B907,'Base bordo CD'!L$2:L$875,"CORTE DE CANA MECANIZADO"),0)</f>
        <v>0</v>
      </c>
      <c r="S907" s="30" t="str">
        <f t="shared" si="76"/>
        <v/>
      </c>
      <c r="T907" s="9">
        <f t="shared" si="77"/>
        <v>0</v>
      </c>
      <c r="U907" s="9">
        <f t="shared" si="78"/>
        <v>0</v>
      </c>
      <c r="V907" s="9">
        <f t="shared" si="79"/>
        <v>0</v>
      </c>
    </row>
    <row r="908" spans="1:22" x14ac:dyDescent="0.35">
      <c r="A908" s="52">
        <v>49596</v>
      </c>
      <c r="B908" s="31">
        <v>46118</v>
      </c>
      <c r="C908" s="7" t="s">
        <v>337</v>
      </c>
      <c r="D908" s="7">
        <v>353</v>
      </c>
      <c r="E908" s="10">
        <f>IFERROR(SUMIFS('Base bordo CD'!M$2:M$875,'Base bordo CD'!D$2:D$875,A908,'Base bordo CD'!A$2:A$875,B908,'Base bordo CD'!L$2:L$875,"CORTE DE CANA MECANIZADO"),0)</f>
        <v>0</v>
      </c>
      <c r="F908" s="10">
        <f>IFERROR(SUMIFS('Base bordo CD'!M$2:M$875,'Base bordo CD'!D$2:D$875,A908,'Base bordo CD'!A$2:A$875,B908,'Base bordo CD'!L$2:L$875,"MANOBRA"),0)</f>
        <v>0</v>
      </c>
      <c r="G908" s="10">
        <f>IFERROR(SUMIFS('Base bordo CD'!M$2:M$875,'Base bordo CD'!D$2:D$875,A908,'Base bordo CD'!A$2:A$875,B908,'Base bordo CD'!L$2:L$875,"DESLOCAMENTO"),0)</f>
        <v>0</v>
      </c>
      <c r="H908" s="10">
        <f>IFERROR(SUMIFS('Base bordo CD'!M$2:M$875,'Base bordo CD'!D$2:D$875,A908,'Base bordo CD'!A$2:A$875,B908,'Base bordo CD'!L$2:L$875,"AGUARDANDO MANOBRA DE TRANSBORDO"),0)+IFERROR(SUMIFS('Base bordo CD'!M$2:M$875,'Base bordo CD'!D$2:D$875,A908,'Base bordo CD'!A$2:A$875,B908,'Base bordo CD'!L$2:L$875,"FALTA DE TRANSBORDO"),0)</f>
        <v>0</v>
      </c>
      <c r="I908" s="10">
        <f>IFERROR(SUMIFS('Base bordo CD'!M$2:M$875,'Base bordo CD'!D$2:D$875,A908,'Base bordo CD'!A$2:A$875,B908,'Base bordo CD'!L$2:L$875,"PARADA POR CONDICOES CLIMATICAS"),0)+IFERROR(SUMIFS('Base bordo CD'!M$2:M$875,'Base bordo CD'!D$2:D$875,A908,'Base bordo CD'!A$2:A$875,B908,'Base bordo CD'!L$2:L$875,"TEMPO INDETERMINADO"),0)</f>
        <v>0</v>
      </c>
      <c r="J908" s="10">
        <f>IFERROR(SUMIFS('Base bordo CD'!M$2:M$875,'Base bordo CD'!D$2:D$875,A908,'Base bordo CD'!A$2:A$875,B908,'Base bordo CD'!L$2:L$875,"LIMITAÇÃO INDÚSTRIA"),0)</f>
        <v>0</v>
      </c>
      <c r="K908" s="10">
        <f>IFERROR(SUMIFS('Base bordo CD'!M$2:M$875,'Base bordo CD'!D$2:D$875,A908,'Base bordo CD'!A$2:A$875,B908,'Base bordo CD'!L$2:L$875,"MAN CORRETIVA*"),0)+IFERROR(SUMIFS('Base bordo CD'!M$2:M$875,'Base bordo CD'!D$2:D$875,A908,'Base bordo CD'!A$2:A$875,B908,'Base bordo CD'!L$2:L$875,"AGUARDANDO MANUTENCAO*"),0)+IFERROR(SUMIFS('Base bordo CD'!M$2:M$875,'Base bordo CD'!D$2:D$875,A908,'Base bordo CD'!A$2:A$875,B908,'Base bordo CD'!L$2:L$875,"TROCA DE FAQUINHA"),0)+IFERROR(SUMIFS('Base bordo CD'!M$2:M$875,'Base bordo CD'!D$2:D$875,A908,'Base bordo CD'!A$2:A$875,B908,'Base bordo CD'!L$2:L$875,"LIMPEZA*"),0)</f>
        <v>0</v>
      </c>
      <c r="L908" s="10">
        <f>IFERROR(SUMIFS('Base bordo CD'!M$2:M$875,'Base bordo CD'!D$2:D$875,A908,'Base bordo CD'!A$2:A$875,B908,'Base bordo CD'!L$2:L$875,"PATIO - RESERVA"),0)</f>
        <v>0</v>
      </c>
      <c r="M908" s="10">
        <f>IFERROR(SUMIFS('Base bordo CD'!M$2:M$875,'Base bordo CD'!D$2:D$875,A908,'Base bordo CD'!A$2:A$875,B908,'Base bordo CD'!L$2:L$875,"SEM APONTAMENTO"),0)</f>
        <v>0</v>
      </c>
      <c r="N908" s="10">
        <f>IFERROR(SUMIFS('Base bordo CD'!M$2:M$875,'Base bordo CD'!D$2:D$875,A908,'Base bordo CD'!A$2:A$875,B908,'Base bordo CD'!L$2:L$875,"FALTA DE CAMINHÃO"),0)+IFERROR(SUMIFS('Base bordo CD'!M$2:M$875,'Base bordo CD'!D$2:D$875,A908,'Base bordo CD'!A$2:A$875,B908,'Base bordo CD'!L$2:L$875,"FALTA DE COMBUSTIVEL"),0)+IFERROR(SUMIFS('Base bordo CD'!M$2:M$875,'Base bordo CD'!D$2:D$875,A908,'Base bordo CD'!A$2:A$875,B908,'Base bordo CD'!L$2:L$875,"FALTA DE MOTORIST*"),0)</f>
        <v>0</v>
      </c>
      <c r="O908" s="10">
        <f t="shared" si="75"/>
        <v>0</v>
      </c>
      <c r="P908" s="10">
        <f>IFERROR(SUMIFS('Base bordo CD'!M$2:M$875,'Base bordo CD'!D$2:D$875,A908,'Base bordo CD'!A$2:A$875,B908),0)</f>
        <v>0</v>
      </c>
      <c r="Q908" s="10">
        <f>IFERROR(SUMIFS('Base bordo CD'!O$2:O$875,'Base bordo CD'!D$2:D$875,A908,'Base bordo CD'!A$2:A$875,B908,'Base bordo CD'!L$2:L$875,"CORTE DE CANA MECANIZADO"),0)</f>
        <v>0</v>
      </c>
      <c r="R908" s="10">
        <f>IFERROR(SUMIFS('Base bordo CD'!Q$2:Q$875,'Base bordo CD'!D$2:D$875,A908,'Base bordo CD'!A$2:A$875,B908,'Base bordo CD'!L$2:L$875,"CORTE DE CANA MECANIZADO"),0)</f>
        <v>0</v>
      </c>
      <c r="S908" s="30" t="str">
        <f t="shared" si="76"/>
        <v/>
      </c>
      <c r="T908" s="9">
        <f t="shared" si="77"/>
        <v>0</v>
      </c>
      <c r="U908" s="9">
        <f t="shared" si="78"/>
        <v>0</v>
      </c>
      <c r="V908" s="9">
        <f t="shared" si="79"/>
        <v>0</v>
      </c>
    </row>
    <row r="909" spans="1:22" x14ac:dyDescent="0.35">
      <c r="A909" s="52">
        <v>49596</v>
      </c>
      <c r="B909" s="31">
        <v>46118</v>
      </c>
      <c r="C909" s="7" t="s">
        <v>337</v>
      </c>
      <c r="D909" s="7">
        <v>353</v>
      </c>
      <c r="E909" s="10">
        <f>IFERROR(SUMIFS('Base bordo CD'!M$2:M$875,'Base bordo CD'!D$2:D$875,A909,'Base bordo CD'!A$2:A$875,B909,'Base bordo CD'!L$2:L$875,"CORTE DE CANA MECANIZADO"),0)</f>
        <v>0</v>
      </c>
      <c r="F909" s="10">
        <f>IFERROR(SUMIFS('Base bordo CD'!M$2:M$875,'Base bordo CD'!D$2:D$875,A909,'Base bordo CD'!A$2:A$875,B909,'Base bordo CD'!L$2:L$875,"MANOBRA"),0)</f>
        <v>0</v>
      </c>
      <c r="G909" s="10">
        <f>IFERROR(SUMIFS('Base bordo CD'!M$2:M$875,'Base bordo CD'!D$2:D$875,A909,'Base bordo CD'!A$2:A$875,B909,'Base bordo CD'!L$2:L$875,"DESLOCAMENTO"),0)</f>
        <v>0</v>
      </c>
      <c r="H909" s="10">
        <f>IFERROR(SUMIFS('Base bordo CD'!M$2:M$875,'Base bordo CD'!D$2:D$875,A909,'Base bordo CD'!A$2:A$875,B909,'Base bordo CD'!L$2:L$875,"AGUARDANDO MANOBRA DE TRANSBORDO"),0)+IFERROR(SUMIFS('Base bordo CD'!M$2:M$875,'Base bordo CD'!D$2:D$875,A909,'Base bordo CD'!A$2:A$875,B909,'Base bordo CD'!L$2:L$875,"FALTA DE TRANSBORDO"),0)</f>
        <v>0</v>
      </c>
      <c r="I909" s="10">
        <f>IFERROR(SUMIFS('Base bordo CD'!M$2:M$875,'Base bordo CD'!D$2:D$875,A909,'Base bordo CD'!A$2:A$875,B909,'Base bordo CD'!L$2:L$875,"PARADA POR CONDICOES CLIMATICAS"),0)+IFERROR(SUMIFS('Base bordo CD'!M$2:M$875,'Base bordo CD'!D$2:D$875,A909,'Base bordo CD'!A$2:A$875,B909,'Base bordo CD'!L$2:L$875,"TEMPO INDETERMINADO"),0)</f>
        <v>0</v>
      </c>
      <c r="J909" s="10">
        <f>IFERROR(SUMIFS('Base bordo CD'!M$2:M$875,'Base bordo CD'!D$2:D$875,A909,'Base bordo CD'!A$2:A$875,B909,'Base bordo CD'!L$2:L$875,"LIMITAÇÃO INDÚSTRIA"),0)</f>
        <v>0</v>
      </c>
      <c r="K909" s="10">
        <f>IFERROR(SUMIFS('Base bordo CD'!M$2:M$875,'Base bordo CD'!D$2:D$875,A909,'Base bordo CD'!A$2:A$875,B909,'Base bordo CD'!L$2:L$875,"MAN CORRETIVA*"),0)+IFERROR(SUMIFS('Base bordo CD'!M$2:M$875,'Base bordo CD'!D$2:D$875,A909,'Base bordo CD'!A$2:A$875,B909,'Base bordo CD'!L$2:L$875,"AGUARDANDO MANUTENCAO*"),0)+IFERROR(SUMIFS('Base bordo CD'!M$2:M$875,'Base bordo CD'!D$2:D$875,A909,'Base bordo CD'!A$2:A$875,B909,'Base bordo CD'!L$2:L$875,"TROCA DE FAQUINHA"),0)+IFERROR(SUMIFS('Base bordo CD'!M$2:M$875,'Base bordo CD'!D$2:D$875,A909,'Base bordo CD'!A$2:A$875,B909,'Base bordo CD'!L$2:L$875,"LIMPEZA*"),0)</f>
        <v>0</v>
      </c>
      <c r="L909" s="10">
        <f>IFERROR(SUMIFS('Base bordo CD'!M$2:M$875,'Base bordo CD'!D$2:D$875,A909,'Base bordo CD'!A$2:A$875,B909,'Base bordo CD'!L$2:L$875,"PATIO - RESERVA"),0)</f>
        <v>0</v>
      </c>
      <c r="M909" s="10">
        <f>IFERROR(SUMIFS('Base bordo CD'!M$2:M$875,'Base bordo CD'!D$2:D$875,A909,'Base bordo CD'!A$2:A$875,B909,'Base bordo CD'!L$2:L$875,"SEM APONTAMENTO"),0)</f>
        <v>0</v>
      </c>
      <c r="N909" s="10">
        <f>IFERROR(SUMIFS('Base bordo CD'!M$2:M$875,'Base bordo CD'!D$2:D$875,A909,'Base bordo CD'!A$2:A$875,B909,'Base bordo CD'!L$2:L$875,"FALTA DE CAMINHÃO"),0)+IFERROR(SUMIFS('Base bordo CD'!M$2:M$875,'Base bordo CD'!D$2:D$875,A909,'Base bordo CD'!A$2:A$875,B909,'Base bordo CD'!L$2:L$875,"FALTA DE COMBUSTIVEL"),0)+IFERROR(SUMIFS('Base bordo CD'!M$2:M$875,'Base bordo CD'!D$2:D$875,A909,'Base bordo CD'!A$2:A$875,B909,'Base bordo CD'!L$2:L$875,"FALTA DE MOTORIST*"),0)</f>
        <v>0</v>
      </c>
      <c r="O909" s="10">
        <f t="shared" si="75"/>
        <v>0</v>
      </c>
      <c r="P909" s="10">
        <f>IFERROR(SUMIFS('Base bordo CD'!M$2:M$875,'Base bordo CD'!D$2:D$875,A909,'Base bordo CD'!A$2:A$875,B909),0)</f>
        <v>0</v>
      </c>
      <c r="Q909" s="10">
        <f>IFERROR(SUMIFS('Base bordo CD'!O$2:O$875,'Base bordo CD'!D$2:D$875,A909,'Base bordo CD'!A$2:A$875,B909,'Base bordo CD'!L$2:L$875,"CORTE DE CANA MECANIZADO"),0)</f>
        <v>0</v>
      </c>
      <c r="R909" s="10">
        <f>IFERROR(SUMIFS('Base bordo CD'!Q$2:Q$875,'Base bordo CD'!D$2:D$875,A909,'Base bordo CD'!A$2:A$875,B909,'Base bordo CD'!L$2:L$875,"CORTE DE CANA MECANIZADO"),0)</f>
        <v>0</v>
      </c>
      <c r="S909" s="30" t="str">
        <f t="shared" si="76"/>
        <v/>
      </c>
      <c r="T909" s="9">
        <f t="shared" si="77"/>
        <v>0</v>
      </c>
      <c r="U909" s="9">
        <f t="shared" si="78"/>
        <v>0</v>
      </c>
      <c r="V909" s="9">
        <f t="shared" si="79"/>
        <v>0</v>
      </c>
    </row>
    <row r="910" spans="1:22" x14ac:dyDescent="0.35">
      <c r="A910" s="52">
        <v>49596</v>
      </c>
      <c r="B910" s="31">
        <v>46118</v>
      </c>
      <c r="C910" s="7" t="s">
        <v>337</v>
      </c>
      <c r="D910" s="7">
        <v>353</v>
      </c>
      <c r="E910" s="10">
        <f>IFERROR(SUMIFS('Base bordo CD'!M$2:M$875,'Base bordo CD'!D$2:D$875,A910,'Base bordo CD'!A$2:A$875,B910,'Base bordo CD'!L$2:L$875,"CORTE DE CANA MECANIZADO"),0)</f>
        <v>0</v>
      </c>
      <c r="F910" s="10">
        <f>IFERROR(SUMIFS('Base bordo CD'!M$2:M$875,'Base bordo CD'!D$2:D$875,A910,'Base bordo CD'!A$2:A$875,B910,'Base bordo CD'!L$2:L$875,"MANOBRA"),0)</f>
        <v>0</v>
      </c>
      <c r="G910" s="10">
        <f>IFERROR(SUMIFS('Base bordo CD'!M$2:M$875,'Base bordo CD'!D$2:D$875,A910,'Base bordo CD'!A$2:A$875,B910,'Base bordo CD'!L$2:L$875,"DESLOCAMENTO"),0)</f>
        <v>0</v>
      </c>
      <c r="H910" s="10">
        <f>IFERROR(SUMIFS('Base bordo CD'!M$2:M$875,'Base bordo CD'!D$2:D$875,A910,'Base bordo CD'!A$2:A$875,B910,'Base bordo CD'!L$2:L$875,"AGUARDANDO MANOBRA DE TRANSBORDO"),0)+IFERROR(SUMIFS('Base bordo CD'!M$2:M$875,'Base bordo CD'!D$2:D$875,A910,'Base bordo CD'!A$2:A$875,B910,'Base bordo CD'!L$2:L$875,"FALTA DE TRANSBORDO"),0)</f>
        <v>0</v>
      </c>
      <c r="I910" s="10">
        <f>IFERROR(SUMIFS('Base bordo CD'!M$2:M$875,'Base bordo CD'!D$2:D$875,A910,'Base bordo CD'!A$2:A$875,B910,'Base bordo CD'!L$2:L$875,"PARADA POR CONDICOES CLIMATICAS"),0)+IFERROR(SUMIFS('Base bordo CD'!M$2:M$875,'Base bordo CD'!D$2:D$875,A910,'Base bordo CD'!A$2:A$875,B910,'Base bordo CD'!L$2:L$875,"TEMPO INDETERMINADO"),0)</f>
        <v>0</v>
      </c>
      <c r="J910" s="10">
        <f>IFERROR(SUMIFS('Base bordo CD'!M$2:M$875,'Base bordo CD'!D$2:D$875,A910,'Base bordo CD'!A$2:A$875,B910,'Base bordo CD'!L$2:L$875,"LIMITAÇÃO INDÚSTRIA"),0)</f>
        <v>0</v>
      </c>
      <c r="K910" s="10">
        <f>IFERROR(SUMIFS('Base bordo CD'!M$2:M$875,'Base bordo CD'!D$2:D$875,A910,'Base bordo CD'!A$2:A$875,B910,'Base bordo CD'!L$2:L$875,"MAN CORRETIVA*"),0)+IFERROR(SUMIFS('Base bordo CD'!M$2:M$875,'Base bordo CD'!D$2:D$875,A910,'Base bordo CD'!A$2:A$875,B910,'Base bordo CD'!L$2:L$875,"AGUARDANDO MANUTENCAO*"),0)+IFERROR(SUMIFS('Base bordo CD'!M$2:M$875,'Base bordo CD'!D$2:D$875,A910,'Base bordo CD'!A$2:A$875,B910,'Base bordo CD'!L$2:L$875,"TROCA DE FAQUINHA"),0)+IFERROR(SUMIFS('Base bordo CD'!M$2:M$875,'Base bordo CD'!D$2:D$875,A910,'Base bordo CD'!A$2:A$875,B910,'Base bordo CD'!L$2:L$875,"LIMPEZA*"),0)</f>
        <v>0</v>
      </c>
      <c r="L910" s="10">
        <f>IFERROR(SUMIFS('Base bordo CD'!M$2:M$875,'Base bordo CD'!D$2:D$875,A910,'Base bordo CD'!A$2:A$875,B910,'Base bordo CD'!L$2:L$875,"PATIO - RESERVA"),0)</f>
        <v>0</v>
      </c>
      <c r="M910" s="10">
        <f>IFERROR(SUMIFS('Base bordo CD'!M$2:M$875,'Base bordo CD'!D$2:D$875,A910,'Base bordo CD'!A$2:A$875,B910,'Base bordo CD'!L$2:L$875,"SEM APONTAMENTO"),0)</f>
        <v>0</v>
      </c>
      <c r="N910" s="10">
        <f>IFERROR(SUMIFS('Base bordo CD'!M$2:M$875,'Base bordo CD'!D$2:D$875,A910,'Base bordo CD'!A$2:A$875,B910,'Base bordo CD'!L$2:L$875,"FALTA DE CAMINHÃO"),0)+IFERROR(SUMIFS('Base bordo CD'!M$2:M$875,'Base bordo CD'!D$2:D$875,A910,'Base bordo CD'!A$2:A$875,B910,'Base bordo CD'!L$2:L$875,"FALTA DE COMBUSTIVEL"),0)+IFERROR(SUMIFS('Base bordo CD'!M$2:M$875,'Base bordo CD'!D$2:D$875,A910,'Base bordo CD'!A$2:A$875,B910,'Base bordo CD'!L$2:L$875,"FALTA DE MOTORIST*"),0)</f>
        <v>0</v>
      </c>
      <c r="O910" s="10">
        <f t="shared" si="75"/>
        <v>0</v>
      </c>
      <c r="P910" s="10">
        <f>IFERROR(SUMIFS('Base bordo CD'!M$2:M$875,'Base bordo CD'!D$2:D$875,A910,'Base bordo CD'!A$2:A$875,B910),0)</f>
        <v>0</v>
      </c>
      <c r="Q910" s="10">
        <f>IFERROR(SUMIFS('Base bordo CD'!O$2:O$875,'Base bordo CD'!D$2:D$875,A910,'Base bordo CD'!A$2:A$875,B910,'Base bordo CD'!L$2:L$875,"CORTE DE CANA MECANIZADO"),0)</f>
        <v>0</v>
      </c>
      <c r="R910" s="10">
        <f>IFERROR(SUMIFS('Base bordo CD'!Q$2:Q$875,'Base bordo CD'!D$2:D$875,A910,'Base bordo CD'!A$2:A$875,B910,'Base bordo CD'!L$2:L$875,"CORTE DE CANA MECANIZADO"),0)</f>
        <v>0</v>
      </c>
      <c r="S910" s="30" t="str">
        <f t="shared" si="76"/>
        <v/>
      </c>
      <c r="T910" s="9">
        <f t="shared" si="77"/>
        <v>0</v>
      </c>
      <c r="U910" s="9">
        <f t="shared" si="78"/>
        <v>0</v>
      </c>
      <c r="V910" s="9">
        <f t="shared" si="79"/>
        <v>0</v>
      </c>
    </row>
    <row r="911" spans="1:22" x14ac:dyDescent="0.35">
      <c r="A911" s="52">
        <v>49596</v>
      </c>
      <c r="B911" s="31">
        <v>46118</v>
      </c>
      <c r="C911" s="7" t="s">
        <v>337</v>
      </c>
      <c r="D911" s="7">
        <v>353</v>
      </c>
      <c r="E911" s="10">
        <f>IFERROR(SUMIFS('Base bordo CD'!M$2:M$875,'Base bordo CD'!D$2:D$875,A911,'Base bordo CD'!A$2:A$875,B911,'Base bordo CD'!L$2:L$875,"CORTE DE CANA MECANIZADO"),0)</f>
        <v>0</v>
      </c>
      <c r="F911" s="10">
        <f>IFERROR(SUMIFS('Base bordo CD'!M$2:M$875,'Base bordo CD'!D$2:D$875,A911,'Base bordo CD'!A$2:A$875,B911,'Base bordo CD'!L$2:L$875,"MANOBRA"),0)</f>
        <v>0</v>
      </c>
      <c r="G911" s="10">
        <f>IFERROR(SUMIFS('Base bordo CD'!M$2:M$875,'Base bordo CD'!D$2:D$875,A911,'Base bordo CD'!A$2:A$875,B911,'Base bordo CD'!L$2:L$875,"DESLOCAMENTO"),0)</f>
        <v>0</v>
      </c>
      <c r="H911" s="10">
        <f>IFERROR(SUMIFS('Base bordo CD'!M$2:M$875,'Base bordo CD'!D$2:D$875,A911,'Base bordo CD'!A$2:A$875,B911,'Base bordo CD'!L$2:L$875,"AGUARDANDO MANOBRA DE TRANSBORDO"),0)+IFERROR(SUMIFS('Base bordo CD'!M$2:M$875,'Base bordo CD'!D$2:D$875,A911,'Base bordo CD'!A$2:A$875,B911,'Base bordo CD'!L$2:L$875,"FALTA DE TRANSBORDO"),0)</f>
        <v>0</v>
      </c>
      <c r="I911" s="10">
        <f>IFERROR(SUMIFS('Base bordo CD'!M$2:M$875,'Base bordo CD'!D$2:D$875,A911,'Base bordo CD'!A$2:A$875,B911,'Base bordo CD'!L$2:L$875,"PARADA POR CONDICOES CLIMATICAS"),0)+IFERROR(SUMIFS('Base bordo CD'!M$2:M$875,'Base bordo CD'!D$2:D$875,A911,'Base bordo CD'!A$2:A$875,B911,'Base bordo CD'!L$2:L$875,"TEMPO INDETERMINADO"),0)</f>
        <v>0</v>
      </c>
      <c r="J911" s="10">
        <f>IFERROR(SUMIFS('Base bordo CD'!M$2:M$875,'Base bordo CD'!D$2:D$875,A911,'Base bordo CD'!A$2:A$875,B911,'Base bordo CD'!L$2:L$875,"LIMITAÇÃO INDÚSTRIA"),0)</f>
        <v>0</v>
      </c>
      <c r="K911" s="10">
        <f>IFERROR(SUMIFS('Base bordo CD'!M$2:M$875,'Base bordo CD'!D$2:D$875,A911,'Base bordo CD'!A$2:A$875,B911,'Base bordo CD'!L$2:L$875,"MAN CORRETIVA*"),0)+IFERROR(SUMIFS('Base bordo CD'!M$2:M$875,'Base bordo CD'!D$2:D$875,A911,'Base bordo CD'!A$2:A$875,B911,'Base bordo CD'!L$2:L$875,"AGUARDANDO MANUTENCAO*"),0)+IFERROR(SUMIFS('Base bordo CD'!M$2:M$875,'Base bordo CD'!D$2:D$875,A911,'Base bordo CD'!A$2:A$875,B911,'Base bordo CD'!L$2:L$875,"TROCA DE FAQUINHA"),0)+IFERROR(SUMIFS('Base bordo CD'!M$2:M$875,'Base bordo CD'!D$2:D$875,A911,'Base bordo CD'!A$2:A$875,B911,'Base bordo CD'!L$2:L$875,"LIMPEZA*"),0)</f>
        <v>0</v>
      </c>
      <c r="L911" s="10">
        <f>IFERROR(SUMIFS('Base bordo CD'!M$2:M$875,'Base bordo CD'!D$2:D$875,A911,'Base bordo CD'!A$2:A$875,B911,'Base bordo CD'!L$2:L$875,"PATIO - RESERVA"),0)</f>
        <v>0</v>
      </c>
      <c r="M911" s="10">
        <f>IFERROR(SUMIFS('Base bordo CD'!M$2:M$875,'Base bordo CD'!D$2:D$875,A911,'Base bordo CD'!A$2:A$875,B911,'Base bordo CD'!L$2:L$875,"SEM APONTAMENTO"),0)</f>
        <v>0</v>
      </c>
      <c r="N911" s="10">
        <f>IFERROR(SUMIFS('Base bordo CD'!M$2:M$875,'Base bordo CD'!D$2:D$875,A911,'Base bordo CD'!A$2:A$875,B911,'Base bordo CD'!L$2:L$875,"FALTA DE CAMINHÃO"),0)+IFERROR(SUMIFS('Base bordo CD'!M$2:M$875,'Base bordo CD'!D$2:D$875,A911,'Base bordo CD'!A$2:A$875,B911,'Base bordo CD'!L$2:L$875,"FALTA DE COMBUSTIVEL"),0)+IFERROR(SUMIFS('Base bordo CD'!M$2:M$875,'Base bordo CD'!D$2:D$875,A911,'Base bordo CD'!A$2:A$875,B911,'Base bordo CD'!L$2:L$875,"FALTA DE MOTORIST*"),0)</f>
        <v>0</v>
      </c>
      <c r="O911" s="10">
        <f t="shared" si="75"/>
        <v>0</v>
      </c>
      <c r="P911" s="10">
        <f>IFERROR(SUMIFS('Base bordo CD'!M$2:M$875,'Base bordo CD'!D$2:D$875,A911,'Base bordo CD'!A$2:A$875,B911),0)</f>
        <v>0</v>
      </c>
      <c r="Q911" s="10">
        <f>IFERROR(SUMIFS('Base bordo CD'!O$2:O$875,'Base bordo CD'!D$2:D$875,A911,'Base bordo CD'!A$2:A$875,B911,'Base bordo CD'!L$2:L$875,"CORTE DE CANA MECANIZADO"),0)</f>
        <v>0</v>
      </c>
      <c r="R911" s="10">
        <f>IFERROR(SUMIFS('Base bordo CD'!Q$2:Q$875,'Base bordo CD'!D$2:D$875,A911,'Base bordo CD'!A$2:A$875,B911,'Base bordo CD'!L$2:L$875,"CORTE DE CANA MECANIZADO"),0)</f>
        <v>0</v>
      </c>
      <c r="S911" s="30" t="str">
        <f t="shared" si="76"/>
        <v/>
      </c>
      <c r="T911" s="9">
        <f t="shared" si="77"/>
        <v>0</v>
      </c>
      <c r="U911" s="9">
        <f t="shared" si="78"/>
        <v>0</v>
      </c>
      <c r="V911" s="9">
        <f t="shared" si="79"/>
        <v>0</v>
      </c>
    </row>
    <row r="912" spans="1:22" x14ac:dyDescent="0.35">
      <c r="A912" s="52">
        <v>49596</v>
      </c>
      <c r="B912" s="31">
        <v>46118</v>
      </c>
      <c r="C912" s="7" t="s">
        <v>337</v>
      </c>
      <c r="D912" s="7">
        <v>353</v>
      </c>
      <c r="E912" s="10">
        <f>IFERROR(SUMIFS('Base bordo CD'!M$2:M$875,'Base bordo CD'!D$2:D$875,A912,'Base bordo CD'!A$2:A$875,B912,'Base bordo CD'!L$2:L$875,"CORTE DE CANA MECANIZADO"),0)</f>
        <v>0</v>
      </c>
      <c r="F912" s="10">
        <f>IFERROR(SUMIFS('Base bordo CD'!M$2:M$875,'Base bordo CD'!D$2:D$875,A912,'Base bordo CD'!A$2:A$875,B912,'Base bordo CD'!L$2:L$875,"MANOBRA"),0)</f>
        <v>0</v>
      </c>
      <c r="G912" s="10">
        <f>IFERROR(SUMIFS('Base bordo CD'!M$2:M$875,'Base bordo CD'!D$2:D$875,A912,'Base bordo CD'!A$2:A$875,B912,'Base bordo CD'!L$2:L$875,"DESLOCAMENTO"),0)</f>
        <v>0</v>
      </c>
      <c r="H912" s="10">
        <f>IFERROR(SUMIFS('Base bordo CD'!M$2:M$875,'Base bordo CD'!D$2:D$875,A912,'Base bordo CD'!A$2:A$875,B912,'Base bordo CD'!L$2:L$875,"AGUARDANDO MANOBRA DE TRANSBORDO"),0)+IFERROR(SUMIFS('Base bordo CD'!M$2:M$875,'Base bordo CD'!D$2:D$875,A912,'Base bordo CD'!A$2:A$875,B912,'Base bordo CD'!L$2:L$875,"FALTA DE TRANSBORDO"),0)</f>
        <v>0</v>
      </c>
      <c r="I912" s="10">
        <f>IFERROR(SUMIFS('Base bordo CD'!M$2:M$875,'Base bordo CD'!D$2:D$875,A912,'Base bordo CD'!A$2:A$875,B912,'Base bordo CD'!L$2:L$875,"PARADA POR CONDICOES CLIMATICAS"),0)+IFERROR(SUMIFS('Base bordo CD'!M$2:M$875,'Base bordo CD'!D$2:D$875,A912,'Base bordo CD'!A$2:A$875,B912,'Base bordo CD'!L$2:L$875,"TEMPO INDETERMINADO"),0)</f>
        <v>0</v>
      </c>
      <c r="J912" s="10">
        <f>IFERROR(SUMIFS('Base bordo CD'!M$2:M$875,'Base bordo CD'!D$2:D$875,A912,'Base bordo CD'!A$2:A$875,B912,'Base bordo CD'!L$2:L$875,"LIMITAÇÃO INDÚSTRIA"),0)</f>
        <v>0</v>
      </c>
      <c r="K912" s="10">
        <f>IFERROR(SUMIFS('Base bordo CD'!M$2:M$875,'Base bordo CD'!D$2:D$875,A912,'Base bordo CD'!A$2:A$875,B912,'Base bordo CD'!L$2:L$875,"MAN CORRETIVA*"),0)+IFERROR(SUMIFS('Base bordo CD'!M$2:M$875,'Base bordo CD'!D$2:D$875,A912,'Base bordo CD'!A$2:A$875,B912,'Base bordo CD'!L$2:L$875,"AGUARDANDO MANUTENCAO*"),0)+IFERROR(SUMIFS('Base bordo CD'!M$2:M$875,'Base bordo CD'!D$2:D$875,A912,'Base bordo CD'!A$2:A$875,B912,'Base bordo CD'!L$2:L$875,"TROCA DE FAQUINHA"),0)+IFERROR(SUMIFS('Base bordo CD'!M$2:M$875,'Base bordo CD'!D$2:D$875,A912,'Base bordo CD'!A$2:A$875,B912,'Base bordo CD'!L$2:L$875,"LIMPEZA*"),0)</f>
        <v>0</v>
      </c>
      <c r="L912" s="10">
        <f>IFERROR(SUMIFS('Base bordo CD'!M$2:M$875,'Base bordo CD'!D$2:D$875,A912,'Base bordo CD'!A$2:A$875,B912,'Base bordo CD'!L$2:L$875,"PATIO - RESERVA"),0)</f>
        <v>0</v>
      </c>
      <c r="M912" s="10">
        <f>IFERROR(SUMIFS('Base bordo CD'!M$2:M$875,'Base bordo CD'!D$2:D$875,A912,'Base bordo CD'!A$2:A$875,B912,'Base bordo CD'!L$2:L$875,"SEM APONTAMENTO"),0)</f>
        <v>0</v>
      </c>
      <c r="N912" s="10">
        <f>IFERROR(SUMIFS('Base bordo CD'!M$2:M$875,'Base bordo CD'!D$2:D$875,A912,'Base bordo CD'!A$2:A$875,B912,'Base bordo CD'!L$2:L$875,"FALTA DE CAMINHÃO"),0)+IFERROR(SUMIFS('Base bordo CD'!M$2:M$875,'Base bordo CD'!D$2:D$875,A912,'Base bordo CD'!A$2:A$875,B912,'Base bordo CD'!L$2:L$875,"FALTA DE COMBUSTIVEL"),0)+IFERROR(SUMIFS('Base bordo CD'!M$2:M$875,'Base bordo CD'!D$2:D$875,A912,'Base bordo CD'!A$2:A$875,B912,'Base bordo CD'!L$2:L$875,"FALTA DE MOTORIST*"),0)</f>
        <v>0</v>
      </c>
      <c r="O912" s="10">
        <f t="shared" si="75"/>
        <v>0</v>
      </c>
      <c r="P912" s="10">
        <f>IFERROR(SUMIFS('Base bordo CD'!M$2:M$875,'Base bordo CD'!D$2:D$875,A912,'Base bordo CD'!A$2:A$875,B912),0)</f>
        <v>0</v>
      </c>
      <c r="Q912" s="10">
        <f>IFERROR(SUMIFS('Base bordo CD'!O$2:O$875,'Base bordo CD'!D$2:D$875,A912,'Base bordo CD'!A$2:A$875,B912,'Base bordo CD'!L$2:L$875,"CORTE DE CANA MECANIZADO"),0)</f>
        <v>0</v>
      </c>
      <c r="R912" s="10">
        <f>IFERROR(SUMIFS('Base bordo CD'!Q$2:Q$875,'Base bordo CD'!D$2:D$875,A912,'Base bordo CD'!A$2:A$875,B912,'Base bordo CD'!L$2:L$875,"CORTE DE CANA MECANIZADO"),0)</f>
        <v>0</v>
      </c>
      <c r="S912" s="30" t="str">
        <f t="shared" si="76"/>
        <v/>
      </c>
      <c r="T912" s="9">
        <f t="shared" si="77"/>
        <v>0</v>
      </c>
      <c r="U912" s="9">
        <f t="shared" si="78"/>
        <v>0</v>
      </c>
      <c r="V912" s="9">
        <f t="shared" si="79"/>
        <v>0</v>
      </c>
    </row>
    <row r="913" spans="1:22" x14ac:dyDescent="0.35">
      <c r="A913" s="52">
        <v>49596</v>
      </c>
      <c r="B913" s="31">
        <v>46118</v>
      </c>
      <c r="C913" s="7" t="s">
        <v>337</v>
      </c>
      <c r="D913" s="7">
        <v>353</v>
      </c>
      <c r="E913" s="10">
        <f>IFERROR(SUMIFS('Base bordo CD'!M$2:M$875,'Base bordo CD'!D$2:D$875,A913,'Base bordo CD'!A$2:A$875,B913,'Base bordo CD'!L$2:L$875,"CORTE DE CANA MECANIZADO"),0)</f>
        <v>0</v>
      </c>
      <c r="F913" s="10">
        <f>IFERROR(SUMIFS('Base bordo CD'!M$2:M$875,'Base bordo CD'!D$2:D$875,A913,'Base bordo CD'!A$2:A$875,B913,'Base bordo CD'!L$2:L$875,"MANOBRA"),0)</f>
        <v>0</v>
      </c>
      <c r="G913" s="10">
        <f>IFERROR(SUMIFS('Base bordo CD'!M$2:M$875,'Base bordo CD'!D$2:D$875,A913,'Base bordo CD'!A$2:A$875,B913,'Base bordo CD'!L$2:L$875,"DESLOCAMENTO"),0)</f>
        <v>0</v>
      </c>
      <c r="H913" s="10">
        <f>IFERROR(SUMIFS('Base bordo CD'!M$2:M$875,'Base bordo CD'!D$2:D$875,A913,'Base bordo CD'!A$2:A$875,B913,'Base bordo CD'!L$2:L$875,"AGUARDANDO MANOBRA DE TRANSBORDO"),0)+IFERROR(SUMIFS('Base bordo CD'!M$2:M$875,'Base bordo CD'!D$2:D$875,A913,'Base bordo CD'!A$2:A$875,B913,'Base bordo CD'!L$2:L$875,"FALTA DE TRANSBORDO"),0)</f>
        <v>0</v>
      </c>
      <c r="I913" s="10">
        <f>IFERROR(SUMIFS('Base bordo CD'!M$2:M$875,'Base bordo CD'!D$2:D$875,A913,'Base bordo CD'!A$2:A$875,B913,'Base bordo CD'!L$2:L$875,"PARADA POR CONDICOES CLIMATICAS"),0)+IFERROR(SUMIFS('Base bordo CD'!M$2:M$875,'Base bordo CD'!D$2:D$875,A913,'Base bordo CD'!A$2:A$875,B913,'Base bordo CD'!L$2:L$875,"TEMPO INDETERMINADO"),0)</f>
        <v>0</v>
      </c>
      <c r="J913" s="10">
        <f>IFERROR(SUMIFS('Base bordo CD'!M$2:M$875,'Base bordo CD'!D$2:D$875,A913,'Base bordo CD'!A$2:A$875,B913,'Base bordo CD'!L$2:L$875,"LIMITAÇÃO INDÚSTRIA"),0)</f>
        <v>0</v>
      </c>
      <c r="K913" s="10">
        <f>IFERROR(SUMIFS('Base bordo CD'!M$2:M$875,'Base bordo CD'!D$2:D$875,A913,'Base bordo CD'!A$2:A$875,B913,'Base bordo CD'!L$2:L$875,"MAN CORRETIVA*"),0)+IFERROR(SUMIFS('Base bordo CD'!M$2:M$875,'Base bordo CD'!D$2:D$875,A913,'Base bordo CD'!A$2:A$875,B913,'Base bordo CD'!L$2:L$875,"AGUARDANDO MANUTENCAO*"),0)+IFERROR(SUMIFS('Base bordo CD'!M$2:M$875,'Base bordo CD'!D$2:D$875,A913,'Base bordo CD'!A$2:A$875,B913,'Base bordo CD'!L$2:L$875,"TROCA DE FAQUINHA"),0)+IFERROR(SUMIFS('Base bordo CD'!M$2:M$875,'Base bordo CD'!D$2:D$875,A913,'Base bordo CD'!A$2:A$875,B913,'Base bordo CD'!L$2:L$875,"LIMPEZA*"),0)</f>
        <v>0</v>
      </c>
      <c r="L913" s="10">
        <f>IFERROR(SUMIFS('Base bordo CD'!M$2:M$875,'Base bordo CD'!D$2:D$875,A913,'Base bordo CD'!A$2:A$875,B913,'Base bordo CD'!L$2:L$875,"PATIO - RESERVA"),0)</f>
        <v>0</v>
      </c>
      <c r="M913" s="10">
        <f>IFERROR(SUMIFS('Base bordo CD'!M$2:M$875,'Base bordo CD'!D$2:D$875,A913,'Base bordo CD'!A$2:A$875,B913,'Base bordo CD'!L$2:L$875,"SEM APONTAMENTO"),0)</f>
        <v>0</v>
      </c>
      <c r="N913" s="10">
        <f>IFERROR(SUMIFS('Base bordo CD'!M$2:M$875,'Base bordo CD'!D$2:D$875,A913,'Base bordo CD'!A$2:A$875,B913,'Base bordo CD'!L$2:L$875,"FALTA DE CAMINHÃO"),0)+IFERROR(SUMIFS('Base bordo CD'!M$2:M$875,'Base bordo CD'!D$2:D$875,A913,'Base bordo CD'!A$2:A$875,B913,'Base bordo CD'!L$2:L$875,"FALTA DE COMBUSTIVEL"),0)+IFERROR(SUMIFS('Base bordo CD'!M$2:M$875,'Base bordo CD'!D$2:D$875,A913,'Base bordo CD'!A$2:A$875,B913,'Base bordo CD'!L$2:L$875,"FALTA DE MOTORIST*"),0)</f>
        <v>0</v>
      </c>
      <c r="O913" s="10">
        <f t="shared" si="75"/>
        <v>0</v>
      </c>
      <c r="P913" s="10">
        <f>IFERROR(SUMIFS('Base bordo CD'!M$2:M$875,'Base bordo CD'!D$2:D$875,A913,'Base bordo CD'!A$2:A$875,B913),0)</f>
        <v>0</v>
      </c>
      <c r="Q913" s="10">
        <f>IFERROR(SUMIFS('Base bordo CD'!O$2:O$875,'Base bordo CD'!D$2:D$875,A913,'Base bordo CD'!A$2:A$875,B913,'Base bordo CD'!L$2:L$875,"CORTE DE CANA MECANIZADO"),0)</f>
        <v>0</v>
      </c>
      <c r="R913" s="10">
        <f>IFERROR(SUMIFS('Base bordo CD'!Q$2:Q$875,'Base bordo CD'!D$2:D$875,A913,'Base bordo CD'!A$2:A$875,B913,'Base bordo CD'!L$2:L$875,"CORTE DE CANA MECANIZADO"),0)</f>
        <v>0</v>
      </c>
      <c r="S913" s="30" t="str">
        <f t="shared" si="76"/>
        <v/>
      </c>
      <c r="T913" s="9">
        <f t="shared" si="77"/>
        <v>0</v>
      </c>
      <c r="U913" s="9">
        <f t="shared" si="78"/>
        <v>0</v>
      </c>
      <c r="V913" s="9">
        <f t="shared" si="79"/>
        <v>0</v>
      </c>
    </row>
    <row r="914" spans="1:22" x14ac:dyDescent="0.35">
      <c r="A914" s="52">
        <v>49596</v>
      </c>
      <c r="B914" s="31">
        <v>46118</v>
      </c>
      <c r="C914" s="7" t="s">
        <v>337</v>
      </c>
      <c r="D914" s="7">
        <v>353</v>
      </c>
      <c r="E914" s="10">
        <f>IFERROR(SUMIFS('Base bordo CD'!M$2:M$875,'Base bordo CD'!D$2:D$875,A914,'Base bordo CD'!A$2:A$875,B914,'Base bordo CD'!L$2:L$875,"CORTE DE CANA MECANIZADO"),0)</f>
        <v>0</v>
      </c>
      <c r="F914" s="10">
        <f>IFERROR(SUMIFS('Base bordo CD'!M$2:M$875,'Base bordo CD'!D$2:D$875,A914,'Base bordo CD'!A$2:A$875,B914,'Base bordo CD'!L$2:L$875,"MANOBRA"),0)</f>
        <v>0</v>
      </c>
      <c r="G914" s="10">
        <f>IFERROR(SUMIFS('Base bordo CD'!M$2:M$875,'Base bordo CD'!D$2:D$875,A914,'Base bordo CD'!A$2:A$875,B914,'Base bordo CD'!L$2:L$875,"DESLOCAMENTO"),0)</f>
        <v>0</v>
      </c>
      <c r="H914" s="10">
        <f>IFERROR(SUMIFS('Base bordo CD'!M$2:M$875,'Base bordo CD'!D$2:D$875,A914,'Base bordo CD'!A$2:A$875,B914,'Base bordo CD'!L$2:L$875,"AGUARDANDO MANOBRA DE TRANSBORDO"),0)+IFERROR(SUMIFS('Base bordo CD'!M$2:M$875,'Base bordo CD'!D$2:D$875,A914,'Base bordo CD'!A$2:A$875,B914,'Base bordo CD'!L$2:L$875,"FALTA DE TRANSBORDO"),0)</f>
        <v>0</v>
      </c>
      <c r="I914" s="10">
        <f>IFERROR(SUMIFS('Base bordo CD'!M$2:M$875,'Base bordo CD'!D$2:D$875,A914,'Base bordo CD'!A$2:A$875,B914,'Base bordo CD'!L$2:L$875,"PARADA POR CONDICOES CLIMATICAS"),0)+IFERROR(SUMIFS('Base bordo CD'!M$2:M$875,'Base bordo CD'!D$2:D$875,A914,'Base bordo CD'!A$2:A$875,B914,'Base bordo CD'!L$2:L$875,"TEMPO INDETERMINADO"),0)</f>
        <v>0</v>
      </c>
      <c r="J914" s="10">
        <f>IFERROR(SUMIFS('Base bordo CD'!M$2:M$875,'Base bordo CD'!D$2:D$875,A914,'Base bordo CD'!A$2:A$875,B914,'Base bordo CD'!L$2:L$875,"LIMITAÇÃO INDÚSTRIA"),0)</f>
        <v>0</v>
      </c>
      <c r="K914" s="10">
        <f>IFERROR(SUMIFS('Base bordo CD'!M$2:M$875,'Base bordo CD'!D$2:D$875,A914,'Base bordo CD'!A$2:A$875,B914,'Base bordo CD'!L$2:L$875,"MAN CORRETIVA*"),0)+IFERROR(SUMIFS('Base bordo CD'!M$2:M$875,'Base bordo CD'!D$2:D$875,A914,'Base bordo CD'!A$2:A$875,B914,'Base bordo CD'!L$2:L$875,"AGUARDANDO MANUTENCAO*"),0)+IFERROR(SUMIFS('Base bordo CD'!M$2:M$875,'Base bordo CD'!D$2:D$875,A914,'Base bordo CD'!A$2:A$875,B914,'Base bordo CD'!L$2:L$875,"TROCA DE FAQUINHA"),0)+IFERROR(SUMIFS('Base bordo CD'!M$2:M$875,'Base bordo CD'!D$2:D$875,A914,'Base bordo CD'!A$2:A$875,B914,'Base bordo CD'!L$2:L$875,"LIMPEZA*"),0)</f>
        <v>0</v>
      </c>
      <c r="L914" s="10">
        <f>IFERROR(SUMIFS('Base bordo CD'!M$2:M$875,'Base bordo CD'!D$2:D$875,A914,'Base bordo CD'!A$2:A$875,B914,'Base bordo CD'!L$2:L$875,"PATIO - RESERVA"),0)</f>
        <v>0</v>
      </c>
      <c r="M914" s="10">
        <f>IFERROR(SUMIFS('Base bordo CD'!M$2:M$875,'Base bordo CD'!D$2:D$875,A914,'Base bordo CD'!A$2:A$875,B914,'Base bordo CD'!L$2:L$875,"SEM APONTAMENTO"),0)</f>
        <v>0</v>
      </c>
      <c r="N914" s="10">
        <f>IFERROR(SUMIFS('Base bordo CD'!M$2:M$875,'Base bordo CD'!D$2:D$875,A914,'Base bordo CD'!A$2:A$875,B914,'Base bordo CD'!L$2:L$875,"FALTA DE CAMINHÃO"),0)+IFERROR(SUMIFS('Base bordo CD'!M$2:M$875,'Base bordo CD'!D$2:D$875,A914,'Base bordo CD'!A$2:A$875,B914,'Base bordo CD'!L$2:L$875,"FALTA DE COMBUSTIVEL"),0)+IFERROR(SUMIFS('Base bordo CD'!M$2:M$875,'Base bordo CD'!D$2:D$875,A914,'Base bordo CD'!A$2:A$875,B914,'Base bordo CD'!L$2:L$875,"FALTA DE MOTORIST*"),0)</f>
        <v>0</v>
      </c>
      <c r="O914" s="10">
        <f t="shared" si="75"/>
        <v>0</v>
      </c>
      <c r="P914" s="10">
        <f>IFERROR(SUMIFS('Base bordo CD'!M$2:M$875,'Base bordo CD'!D$2:D$875,A914,'Base bordo CD'!A$2:A$875,B914),0)</f>
        <v>0</v>
      </c>
      <c r="Q914" s="10">
        <f>IFERROR(SUMIFS('Base bordo CD'!O$2:O$875,'Base bordo CD'!D$2:D$875,A914,'Base bordo CD'!A$2:A$875,B914,'Base bordo CD'!L$2:L$875,"CORTE DE CANA MECANIZADO"),0)</f>
        <v>0</v>
      </c>
      <c r="R914" s="10">
        <f>IFERROR(SUMIFS('Base bordo CD'!Q$2:Q$875,'Base bordo CD'!D$2:D$875,A914,'Base bordo CD'!A$2:A$875,B914,'Base bordo CD'!L$2:L$875,"CORTE DE CANA MECANIZADO"),0)</f>
        <v>0</v>
      </c>
      <c r="S914" s="30" t="str">
        <f t="shared" si="76"/>
        <v/>
      </c>
      <c r="T914" s="9">
        <f t="shared" si="77"/>
        <v>0</v>
      </c>
      <c r="U914" s="9">
        <f t="shared" si="78"/>
        <v>0</v>
      </c>
      <c r="V914" s="9">
        <f t="shared" si="79"/>
        <v>0</v>
      </c>
    </row>
    <row r="915" spans="1:22" x14ac:dyDescent="0.35">
      <c r="A915" s="52">
        <v>49596</v>
      </c>
      <c r="B915" s="31">
        <v>46118</v>
      </c>
      <c r="C915" s="7" t="s">
        <v>337</v>
      </c>
      <c r="D915" s="7">
        <v>353</v>
      </c>
      <c r="E915" s="10">
        <f>IFERROR(SUMIFS('Base bordo CD'!M$2:M$875,'Base bordo CD'!D$2:D$875,A915,'Base bordo CD'!A$2:A$875,B915,'Base bordo CD'!L$2:L$875,"CORTE DE CANA MECANIZADO"),0)</f>
        <v>0</v>
      </c>
      <c r="F915" s="10">
        <f>IFERROR(SUMIFS('Base bordo CD'!M$2:M$875,'Base bordo CD'!D$2:D$875,A915,'Base bordo CD'!A$2:A$875,B915,'Base bordo CD'!L$2:L$875,"MANOBRA"),0)</f>
        <v>0</v>
      </c>
      <c r="G915" s="10">
        <f>IFERROR(SUMIFS('Base bordo CD'!M$2:M$875,'Base bordo CD'!D$2:D$875,A915,'Base bordo CD'!A$2:A$875,B915,'Base bordo CD'!L$2:L$875,"DESLOCAMENTO"),0)</f>
        <v>0</v>
      </c>
      <c r="H915" s="10">
        <f>IFERROR(SUMIFS('Base bordo CD'!M$2:M$875,'Base bordo CD'!D$2:D$875,A915,'Base bordo CD'!A$2:A$875,B915,'Base bordo CD'!L$2:L$875,"AGUARDANDO MANOBRA DE TRANSBORDO"),0)+IFERROR(SUMIFS('Base bordo CD'!M$2:M$875,'Base bordo CD'!D$2:D$875,A915,'Base bordo CD'!A$2:A$875,B915,'Base bordo CD'!L$2:L$875,"FALTA DE TRANSBORDO"),0)</f>
        <v>0</v>
      </c>
      <c r="I915" s="10">
        <f>IFERROR(SUMIFS('Base bordo CD'!M$2:M$875,'Base bordo CD'!D$2:D$875,A915,'Base bordo CD'!A$2:A$875,B915,'Base bordo CD'!L$2:L$875,"PARADA POR CONDICOES CLIMATICAS"),0)+IFERROR(SUMIFS('Base bordo CD'!M$2:M$875,'Base bordo CD'!D$2:D$875,A915,'Base bordo CD'!A$2:A$875,B915,'Base bordo CD'!L$2:L$875,"TEMPO INDETERMINADO"),0)</f>
        <v>0</v>
      </c>
      <c r="J915" s="10">
        <f>IFERROR(SUMIFS('Base bordo CD'!M$2:M$875,'Base bordo CD'!D$2:D$875,A915,'Base bordo CD'!A$2:A$875,B915,'Base bordo CD'!L$2:L$875,"LIMITAÇÃO INDÚSTRIA"),0)</f>
        <v>0</v>
      </c>
      <c r="K915" s="10">
        <f>IFERROR(SUMIFS('Base bordo CD'!M$2:M$875,'Base bordo CD'!D$2:D$875,A915,'Base bordo CD'!A$2:A$875,B915,'Base bordo CD'!L$2:L$875,"MAN CORRETIVA*"),0)+IFERROR(SUMIFS('Base bordo CD'!M$2:M$875,'Base bordo CD'!D$2:D$875,A915,'Base bordo CD'!A$2:A$875,B915,'Base bordo CD'!L$2:L$875,"AGUARDANDO MANUTENCAO*"),0)+IFERROR(SUMIFS('Base bordo CD'!M$2:M$875,'Base bordo CD'!D$2:D$875,A915,'Base bordo CD'!A$2:A$875,B915,'Base bordo CD'!L$2:L$875,"TROCA DE FAQUINHA"),0)+IFERROR(SUMIFS('Base bordo CD'!M$2:M$875,'Base bordo CD'!D$2:D$875,A915,'Base bordo CD'!A$2:A$875,B915,'Base bordo CD'!L$2:L$875,"LIMPEZA*"),0)</f>
        <v>0</v>
      </c>
      <c r="L915" s="10">
        <f>IFERROR(SUMIFS('Base bordo CD'!M$2:M$875,'Base bordo CD'!D$2:D$875,A915,'Base bordo CD'!A$2:A$875,B915,'Base bordo CD'!L$2:L$875,"PATIO - RESERVA"),0)</f>
        <v>0</v>
      </c>
      <c r="M915" s="10">
        <f>IFERROR(SUMIFS('Base bordo CD'!M$2:M$875,'Base bordo CD'!D$2:D$875,A915,'Base bordo CD'!A$2:A$875,B915,'Base bordo CD'!L$2:L$875,"SEM APONTAMENTO"),0)</f>
        <v>0</v>
      </c>
      <c r="N915" s="10">
        <f>IFERROR(SUMIFS('Base bordo CD'!M$2:M$875,'Base bordo CD'!D$2:D$875,A915,'Base bordo CD'!A$2:A$875,B915,'Base bordo CD'!L$2:L$875,"FALTA DE CAMINHÃO"),0)+IFERROR(SUMIFS('Base bordo CD'!M$2:M$875,'Base bordo CD'!D$2:D$875,A915,'Base bordo CD'!A$2:A$875,B915,'Base bordo CD'!L$2:L$875,"FALTA DE COMBUSTIVEL"),0)+IFERROR(SUMIFS('Base bordo CD'!M$2:M$875,'Base bordo CD'!D$2:D$875,A915,'Base bordo CD'!A$2:A$875,B915,'Base bordo CD'!L$2:L$875,"FALTA DE MOTORIST*"),0)</f>
        <v>0</v>
      </c>
      <c r="O915" s="10">
        <f t="shared" si="75"/>
        <v>0</v>
      </c>
      <c r="P915" s="10">
        <f>IFERROR(SUMIFS('Base bordo CD'!M$2:M$875,'Base bordo CD'!D$2:D$875,A915,'Base bordo CD'!A$2:A$875,B915),0)</f>
        <v>0</v>
      </c>
      <c r="Q915" s="10">
        <f>IFERROR(SUMIFS('Base bordo CD'!O$2:O$875,'Base bordo CD'!D$2:D$875,A915,'Base bordo CD'!A$2:A$875,B915,'Base bordo CD'!L$2:L$875,"CORTE DE CANA MECANIZADO"),0)</f>
        <v>0</v>
      </c>
      <c r="R915" s="10">
        <f>IFERROR(SUMIFS('Base bordo CD'!Q$2:Q$875,'Base bordo CD'!D$2:D$875,A915,'Base bordo CD'!A$2:A$875,B915,'Base bordo CD'!L$2:L$875,"CORTE DE CANA MECANIZADO"),0)</f>
        <v>0</v>
      </c>
      <c r="S915" s="30" t="str">
        <f t="shared" si="76"/>
        <v/>
      </c>
      <c r="T915" s="9">
        <f t="shared" si="77"/>
        <v>0</v>
      </c>
      <c r="U915" s="9">
        <f t="shared" si="78"/>
        <v>0</v>
      </c>
      <c r="V915" s="9">
        <f t="shared" si="79"/>
        <v>0</v>
      </c>
    </row>
    <row r="916" spans="1:22" x14ac:dyDescent="0.35">
      <c r="A916" s="52">
        <v>49596</v>
      </c>
      <c r="B916" s="31">
        <v>46118</v>
      </c>
      <c r="C916" s="7" t="s">
        <v>337</v>
      </c>
      <c r="D916" s="7">
        <v>353</v>
      </c>
      <c r="E916" s="10">
        <f>IFERROR(SUMIFS('Base bordo CD'!M$2:M$875,'Base bordo CD'!D$2:D$875,A916,'Base bordo CD'!A$2:A$875,B916,'Base bordo CD'!L$2:L$875,"CORTE DE CANA MECANIZADO"),0)</f>
        <v>0</v>
      </c>
      <c r="F916" s="10">
        <f>IFERROR(SUMIFS('Base bordo CD'!M$2:M$875,'Base bordo CD'!D$2:D$875,A916,'Base bordo CD'!A$2:A$875,B916,'Base bordo CD'!L$2:L$875,"MANOBRA"),0)</f>
        <v>0</v>
      </c>
      <c r="G916" s="10">
        <f>IFERROR(SUMIFS('Base bordo CD'!M$2:M$875,'Base bordo CD'!D$2:D$875,A916,'Base bordo CD'!A$2:A$875,B916,'Base bordo CD'!L$2:L$875,"DESLOCAMENTO"),0)</f>
        <v>0</v>
      </c>
      <c r="H916" s="10">
        <f>IFERROR(SUMIFS('Base bordo CD'!M$2:M$875,'Base bordo CD'!D$2:D$875,A916,'Base bordo CD'!A$2:A$875,B916,'Base bordo CD'!L$2:L$875,"AGUARDANDO MANOBRA DE TRANSBORDO"),0)+IFERROR(SUMIFS('Base bordo CD'!M$2:M$875,'Base bordo CD'!D$2:D$875,A916,'Base bordo CD'!A$2:A$875,B916,'Base bordo CD'!L$2:L$875,"FALTA DE TRANSBORDO"),0)</f>
        <v>0</v>
      </c>
      <c r="I916" s="10">
        <f>IFERROR(SUMIFS('Base bordo CD'!M$2:M$875,'Base bordo CD'!D$2:D$875,A916,'Base bordo CD'!A$2:A$875,B916,'Base bordo CD'!L$2:L$875,"PARADA POR CONDICOES CLIMATICAS"),0)+IFERROR(SUMIFS('Base bordo CD'!M$2:M$875,'Base bordo CD'!D$2:D$875,A916,'Base bordo CD'!A$2:A$875,B916,'Base bordo CD'!L$2:L$875,"TEMPO INDETERMINADO"),0)</f>
        <v>0</v>
      </c>
      <c r="J916" s="10">
        <f>IFERROR(SUMIFS('Base bordo CD'!M$2:M$875,'Base bordo CD'!D$2:D$875,A916,'Base bordo CD'!A$2:A$875,B916,'Base bordo CD'!L$2:L$875,"LIMITAÇÃO INDÚSTRIA"),0)</f>
        <v>0</v>
      </c>
      <c r="K916" s="10">
        <f>IFERROR(SUMIFS('Base bordo CD'!M$2:M$875,'Base bordo CD'!D$2:D$875,A916,'Base bordo CD'!A$2:A$875,B916,'Base bordo CD'!L$2:L$875,"MAN CORRETIVA*"),0)+IFERROR(SUMIFS('Base bordo CD'!M$2:M$875,'Base bordo CD'!D$2:D$875,A916,'Base bordo CD'!A$2:A$875,B916,'Base bordo CD'!L$2:L$875,"AGUARDANDO MANUTENCAO*"),0)+IFERROR(SUMIFS('Base bordo CD'!M$2:M$875,'Base bordo CD'!D$2:D$875,A916,'Base bordo CD'!A$2:A$875,B916,'Base bordo CD'!L$2:L$875,"TROCA DE FAQUINHA"),0)+IFERROR(SUMIFS('Base bordo CD'!M$2:M$875,'Base bordo CD'!D$2:D$875,A916,'Base bordo CD'!A$2:A$875,B916,'Base bordo CD'!L$2:L$875,"LIMPEZA*"),0)</f>
        <v>0</v>
      </c>
      <c r="L916" s="10">
        <f>IFERROR(SUMIFS('Base bordo CD'!M$2:M$875,'Base bordo CD'!D$2:D$875,A916,'Base bordo CD'!A$2:A$875,B916,'Base bordo CD'!L$2:L$875,"PATIO - RESERVA"),0)</f>
        <v>0</v>
      </c>
      <c r="M916" s="10">
        <f>IFERROR(SUMIFS('Base bordo CD'!M$2:M$875,'Base bordo CD'!D$2:D$875,A916,'Base bordo CD'!A$2:A$875,B916,'Base bordo CD'!L$2:L$875,"SEM APONTAMENTO"),0)</f>
        <v>0</v>
      </c>
      <c r="N916" s="10">
        <f>IFERROR(SUMIFS('Base bordo CD'!M$2:M$875,'Base bordo CD'!D$2:D$875,A916,'Base bordo CD'!A$2:A$875,B916,'Base bordo CD'!L$2:L$875,"FALTA DE CAMINHÃO"),0)+IFERROR(SUMIFS('Base bordo CD'!M$2:M$875,'Base bordo CD'!D$2:D$875,A916,'Base bordo CD'!A$2:A$875,B916,'Base bordo CD'!L$2:L$875,"FALTA DE COMBUSTIVEL"),0)+IFERROR(SUMIFS('Base bordo CD'!M$2:M$875,'Base bordo CD'!D$2:D$875,A916,'Base bordo CD'!A$2:A$875,B916,'Base bordo CD'!L$2:L$875,"FALTA DE MOTORIST*"),0)</f>
        <v>0</v>
      </c>
      <c r="O916" s="10">
        <f t="shared" si="75"/>
        <v>0</v>
      </c>
      <c r="P916" s="10">
        <f>IFERROR(SUMIFS('Base bordo CD'!M$2:M$875,'Base bordo CD'!D$2:D$875,A916,'Base bordo CD'!A$2:A$875,B916),0)</f>
        <v>0</v>
      </c>
      <c r="Q916" s="10">
        <f>IFERROR(SUMIFS('Base bordo CD'!O$2:O$875,'Base bordo CD'!D$2:D$875,A916,'Base bordo CD'!A$2:A$875,B916,'Base bordo CD'!L$2:L$875,"CORTE DE CANA MECANIZADO"),0)</f>
        <v>0</v>
      </c>
      <c r="R916" s="10">
        <f>IFERROR(SUMIFS('Base bordo CD'!Q$2:Q$875,'Base bordo CD'!D$2:D$875,A916,'Base bordo CD'!A$2:A$875,B916,'Base bordo CD'!L$2:L$875,"CORTE DE CANA MECANIZADO"),0)</f>
        <v>0</v>
      </c>
      <c r="S916" s="30" t="str">
        <f t="shared" si="76"/>
        <v/>
      </c>
      <c r="T916" s="9">
        <f t="shared" si="77"/>
        <v>0</v>
      </c>
      <c r="U916" s="9">
        <f t="shared" si="78"/>
        <v>0</v>
      </c>
      <c r="V916" s="9">
        <f t="shared" si="79"/>
        <v>0</v>
      </c>
    </row>
    <row r="917" spans="1:22" x14ac:dyDescent="0.35">
      <c r="A917" s="52">
        <v>49596</v>
      </c>
      <c r="B917" s="31">
        <v>46118</v>
      </c>
      <c r="C917" s="7" t="s">
        <v>337</v>
      </c>
      <c r="D917" s="7">
        <v>353</v>
      </c>
      <c r="E917" s="10">
        <f>IFERROR(SUMIFS('Base bordo CD'!M$2:M$875,'Base bordo CD'!D$2:D$875,A917,'Base bordo CD'!A$2:A$875,B917,'Base bordo CD'!L$2:L$875,"CORTE DE CANA MECANIZADO"),0)</f>
        <v>0</v>
      </c>
      <c r="F917" s="10">
        <f>IFERROR(SUMIFS('Base bordo CD'!M$2:M$875,'Base bordo CD'!D$2:D$875,A917,'Base bordo CD'!A$2:A$875,B917,'Base bordo CD'!L$2:L$875,"MANOBRA"),0)</f>
        <v>0</v>
      </c>
      <c r="G917" s="10">
        <f>IFERROR(SUMIFS('Base bordo CD'!M$2:M$875,'Base bordo CD'!D$2:D$875,A917,'Base bordo CD'!A$2:A$875,B917,'Base bordo CD'!L$2:L$875,"DESLOCAMENTO"),0)</f>
        <v>0</v>
      </c>
      <c r="H917" s="10">
        <f>IFERROR(SUMIFS('Base bordo CD'!M$2:M$875,'Base bordo CD'!D$2:D$875,A917,'Base bordo CD'!A$2:A$875,B917,'Base bordo CD'!L$2:L$875,"AGUARDANDO MANOBRA DE TRANSBORDO"),0)+IFERROR(SUMIFS('Base bordo CD'!M$2:M$875,'Base bordo CD'!D$2:D$875,A917,'Base bordo CD'!A$2:A$875,B917,'Base bordo CD'!L$2:L$875,"FALTA DE TRANSBORDO"),0)</f>
        <v>0</v>
      </c>
      <c r="I917" s="10">
        <f>IFERROR(SUMIFS('Base bordo CD'!M$2:M$875,'Base bordo CD'!D$2:D$875,A917,'Base bordo CD'!A$2:A$875,B917,'Base bordo CD'!L$2:L$875,"PARADA POR CONDICOES CLIMATICAS"),0)+IFERROR(SUMIFS('Base bordo CD'!M$2:M$875,'Base bordo CD'!D$2:D$875,A917,'Base bordo CD'!A$2:A$875,B917,'Base bordo CD'!L$2:L$875,"TEMPO INDETERMINADO"),0)</f>
        <v>0</v>
      </c>
      <c r="J917" s="10">
        <f>IFERROR(SUMIFS('Base bordo CD'!M$2:M$875,'Base bordo CD'!D$2:D$875,A917,'Base bordo CD'!A$2:A$875,B917,'Base bordo CD'!L$2:L$875,"LIMITAÇÃO INDÚSTRIA"),0)</f>
        <v>0</v>
      </c>
      <c r="K917" s="10">
        <f>IFERROR(SUMIFS('Base bordo CD'!M$2:M$875,'Base bordo CD'!D$2:D$875,A917,'Base bordo CD'!A$2:A$875,B917,'Base bordo CD'!L$2:L$875,"MAN CORRETIVA*"),0)+IFERROR(SUMIFS('Base bordo CD'!M$2:M$875,'Base bordo CD'!D$2:D$875,A917,'Base bordo CD'!A$2:A$875,B917,'Base bordo CD'!L$2:L$875,"AGUARDANDO MANUTENCAO*"),0)+IFERROR(SUMIFS('Base bordo CD'!M$2:M$875,'Base bordo CD'!D$2:D$875,A917,'Base bordo CD'!A$2:A$875,B917,'Base bordo CD'!L$2:L$875,"TROCA DE FAQUINHA"),0)+IFERROR(SUMIFS('Base bordo CD'!M$2:M$875,'Base bordo CD'!D$2:D$875,A917,'Base bordo CD'!A$2:A$875,B917,'Base bordo CD'!L$2:L$875,"LIMPEZA*"),0)</f>
        <v>0</v>
      </c>
      <c r="L917" s="10">
        <f>IFERROR(SUMIFS('Base bordo CD'!M$2:M$875,'Base bordo CD'!D$2:D$875,A917,'Base bordo CD'!A$2:A$875,B917,'Base bordo CD'!L$2:L$875,"PATIO - RESERVA"),0)</f>
        <v>0</v>
      </c>
      <c r="M917" s="10">
        <f>IFERROR(SUMIFS('Base bordo CD'!M$2:M$875,'Base bordo CD'!D$2:D$875,A917,'Base bordo CD'!A$2:A$875,B917,'Base bordo CD'!L$2:L$875,"SEM APONTAMENTO"),0)</f>
        <v>0</v>
      </c>
      <c r="N917" s="10">
        <f>IFERROR(SUMIFS('Base bordo CD'!M$2:M$875,'Base bordo CD'!D$2:D$875,A917,'Base bordo CD'!A$2:A$875,B917,'Base bordo CD'!L$2:L$875,"FALTA DE CAMINHÃO"),0)+IFERROR(SUMIFS('Base bordo CD'!M$2:M$875,'Base bordo CD'!D$2:D$875,A917,'Base bordo CD'!A$2:A$875,B917,'Base bordo CD'!L$2:L$875,"FALTA DE COMBUSTIVEL"),0)+IFERROR(SUMIFS('Base bordo CD'!M$2:M$875,'Base bordo CD'!D$2:D$875,A917,'Base bordo CD'!A$2:A$875,B917,'Base bordo CD'!L$2:L$875,"FALTA DE MOTORIST*"),0)</f>
        <v>0</v>
      </c>
      <c r="O917" s="10">
        <f t="shared" si="75"/>
        <v>0</v>
      </c>
      <c r="P917" s="10">
        <f>IFERROR(SUMIFS('Base bordo CD'!M$2:M$875,'Base bordo CD'!D$2:D$875,A917,'Base bordo CD'!A$2:A$875,B917),0)</f>
        <v>0</v>
      </c>
      <c r="Q917" s="10">
        <f>IFERROR(SUMIFS('Base bordo CD'!O$2:O$875,'Base bordo CD'!D$2:D$875,A917,'Base bordo CD'!A$2:A$875,B917,'Base bordo CD'!L$2:L$875,"CORTE DE CANA MECANIZADO"),0)</f>
        <v>0</v>
      </c>
      <c r="R917" s="10">
        <f>IFERROR(SUMIFS('Base bordo CD'!Q$2:Q$875,'Base bordo CD'!D$2:D$875,A917,'Base bordo CD'!A$2:A$875,B917,'Base bordo CD'!L$2:L$875,"CORTE DE CANA MECANIZADO"),0)</f>
        <v>0</v>
      </c>
      <c r="S917" s="30" t="str">
        <f t="shared" si="76"/>
        <v/>
      </c>
      <c r="T917" s="9">
        <f t="shared" si="77"/>
        <v>0</v>
      </c>
      <c r="U917" s="9">
        <f t="shared" si="78"/>
        <v>0</v>
      </c>
      <c r="V917" s="9">
        <f t="shared" si="79"/>
        <v>0</v>
      </c>
    </row>
    <row r="918" spans="1:22" x14ac:dyDescent="0.35">
      <c r="A918" s="52">
        <v>49596</v>
      </c>
      <c r="B918" s="31">
        <v>46118</v>
      </c>
      <c r="C918" s="7" t="s">
        <v>337</v>
      </c>
      <c r="D918" s="7">
        <v>353</v>
      </c>
      <c r="E918" s="10">
        <f>IFERROR(SUMIFS('Base bordo CD'!M$2:M$875,'Base bordo CD'!D$2:D$875,A918,'Base bordo CD'!A$2:A$875,B918,'Base bordo CD'!L$2:L$875,"CORTE DE CANA MECANIZADO"),0)</f>
        <v>0</v>
      </c>
      <c r="F918" s="10">
        <f>IFERROR(SUMIFS('Base bordo CD'!M$2:M$875,'Base bordo CD'!D$2:D$875,A918,'Base bordo CD'!A$2:A$875,B918,'Base bordo CD'!L$2:L$875,"MANOBRA"),0)</f>
        <v>0</v>
      </c>
      <c r="G918" s="10">
        <f>IFERROR(SUMIFS('Base bordo CD'!M$2:M$875,'Base bordo CD'!D$2:D$875,A918,'Base bordo CD'!A$2:A$875,B918,'Base bordo CD'!L$2:L$875,"DESLOCAMENTO"),0)</f>
        <v>0</v>
      </c>
      <c r="H918" s="10">
        <f>IFERROR(SUMIFS('Base bordo CD'!M$2:M$875,'Base bordo CD'!D$2:D$875,A918,'Base bordo CD'!A$2:A$875,B918,'Base bordo CD'!L$2:L$875,"AGUARDANDO MANOBRA DE TRANSBORDO"),0)+IFERROR(SUMIFS('Base bordo CD'!M$2:M$875,'Base bordo CD'!D$2:D$875,A918,'Base bordo CD'!A$2:A$875,B918,'Base bordo CD'!L$2:L$875,"FALTA DE TRANSBORDO"),0)</f>
        <v>0</v>
      </c>
      <c r="I918" s="10">
        <f>IFERROR(SUMIFS('Base bordo CD'!M$2:M$875,'Base bordo CD'!D$2:D$875,A918,'Base bordo CD'!A$2:A$875,B918,'Base bordo CD'!L$2:L$875,"PARADA POR CONDICOES CLIMATICAS"),0)+IFERROR(SUMIFS('Base bordo CD'!M$2:M$875,'Base bordo CD'!D$2:D$875,A918,'Base bordo CD'!A$2:A$875,B918,'Base bordo CD'!L$2:L$875,"TEMPO INDETERMINADO"),0)</f>
        <v>0</v>
      </c>
      <c r="J918" s="10">
        <f>IFERROR(SUMIFS('Base bordo CD'!M$2:M$875,'Base bordo CD'!D$2:D$875,A918,'Base bordo CD'!A$2:A$875,B918,'Base bordo CD'!L$2:L$875,"LIMITAÇÃO INDÚSTRIA"),0)</f>
        <v>0</v>
      </c>
      <c r="K918" s="10">
        <f>IFERROR(SUMIFS('Base bordo CD'!M$2:M$875,'Base bordo CD'!D$2:D$875,A918,'Base bordo CD'!A$2:A$875,B918,'Base bordo CD'!L$2:L$875,"MAN CORRETIVA*"),0)+IFERROR(SUMIFS('Base bordo CD'!M$2:M$875,'Base bordo CD'!D$2:D$875,A918,'Base bordo CD'!A$2:A$875,B918,'Base bordo CD'!L$2:L$875,"AGUARDANDO MANUTENCAO*"),0)+IFERROR(SUMIFS('Base bordo CD'!M$2:M$875,'Base bordo CD'!D$2:D$875,A918,'Base bordo CD'!A$2:A$875,B918,'Base bordo CD'!L$2:L$875,"TROCA DE FAQUINHA"),0)+IFERROR(SUMIFS('Base bordo CD'!M$2:M$875,'Base bordo CD'!D$2:D$875,A918,'Base bordo CD'!A$2:A$875,B918,'Base bordo CD'!L$2:L$875,"LIMPEZA*"),0)</f>
        <v>0</v>
      </c>
      <c r="L918" s="10">
        <f>IFERROR(SUMIFS('Base bordo CD'!M$2:M$875,'Base bordo CD'!D$2:D$875,A918,'Base bordo CD'!A$2:A$875,B918,'Base bordo CD'!L$2:L$875,"PATIO - RESERVA"),0)</f>
        <v>0</v>
      </c>
      <c r="M918" s="10">
        <f>IFERROR(SUMIFS('Base bordo CD'!M$2:M$875,'Base bordo CD'!D$2:D$875,A918,'Base bordo CD'!A$2:A$875,B918,'Base bordo CD'!L$2:L$875,"SEM APONTAMENTO"),0)</f>
        <v>0</v>
      </c>
      <c r="N918" s="10">
        <f>IFERROR(SUMIFS('Base bordo CD'!M$2:M$875,'Base bordo CD'!D$2:D$875,A918,'Base bordo CD'!A$2:A$875,B918,'Base bordo CD'!L$2:L$875,"FALTA DE CAMINHÃO"),0)+IFERROR(SUMIFS('Base bordo CD'!M$2:M$875,'Base bordo CD'!D$2:D$875,A918,'Base bordo CD'!A$2:A$875,B918,'Base bordo CD'!L$2:L$875,"FALTA DE COMBUSTIVEL"),0)+IFERROR(SUMIFS('Base bordo CD'!M$2:M$875,'Base bordo CD'!D$2:D$875,A918,'Base bordo CD'!A$2:A$875,B918,'Base bordo CD'!L$2:L$875,"FALTA DE MOTORIST*"),0)</f>
        <v>0</v>
      </c>
      <c r="O918" s="10">
        <f t="shared" si="75"/>
        <v>0</v>
      </c>
      <c r="P918" s="10">
        <f>IFERROR(SUMIFS('Base bordo CD'!M$2:M$875,'Base bordo CD'!D$2:D$875,A918,'Base bordo CD'!A$2:A$875,B918),0)</f>
        <v>0</v>
      </c>
      <c r="Q918" s="10">
        <f>IFERROR(SUMIFS('Base bordo CD'!O$2:O$875,'Base bordo CD'!D$2:D$875,A918,'Base bordo CD'!A$2:A$875,B918,'Base bordo CD'!L$2:L$875,"CORTE DE CANA MECANIZADO"),0)</f>
        <v>0</v>
      </c>
      <c r="R918" s="10">
        <f>IFERROR(SUMIFS('Base bordo CD'!Q$2:Q$875,'Base bordo CD'!D$2:D$875,A918,'Base bordo CD'!A$2:A$875,B918,'Base bordo CD'!L$2:L$875,"CORTE DE CANA MECANIZADO"),0)</f>
        <v>0</v>
      </c>
      <c r="S918" s="30" t="str">
        <f t="shared" si="76"/>
        <v/>
      </c>
      <c r="T918" s="9">
        <f t="shared" si="77"/>
        <v>0</v>
      </c>
      <c r="U918" s="9">
        <f t="shared" si="78"/>
        <v>0</v>
      </c>
      <c r="V918" s="9">
        <f t="shared" si="79"/>
        <v>0</v>
      </c>
    </row>
    <row r="919" spans="1:22" x14ac:dyDescent="0.35">
      <c r="A919" s="52">
        <v>49596</v>
      </c>
      <c r="B919" s="31">
        <v>46118</v>
      </c>
      <c r="C919" s="7" t="s">
        <v>337</v>
      </c>
      <c r="D919" s="7">
        <v>353</v>
      </c>
      <c r="E919" s="10">
        <f>IFERROR(SUMIFS('Base bordo CD'!M$2:M$875,'Base bordo CD'!D$2:D$875,A919,'Base bordo CD'!A$2:A$875,B919,'Base bordo CD'!L$2:L$875,"CORTE DE CANA MECANIZADO"),0)</f>
        <v>0</v>
      </c>
      <c r="F919" s="10">
        <f>IFERROR(SUMIFS('Base bordo CD'!M$2:M$875,'Base bordo CD'!D$2:D$875,A919,'Base bordo CD'!A$2:A$875,B919,'Base bordo CD'!L$2:L$875,"MANOBRA"),0)</f>
        <v>0</v>
      </c>
      <c r="G919" s="10">
        <f>IFERROR(SUMIFS('Base bordo CD'!M$2:M$875,'Base bordo CD'!D$2:D$875,A919,'Base bordo CD'!A$2:A$875,B919,'Base bordo CD'!L$2:L$875,"DESLOCAMENTO"),0)</f>
        <v>0</v>
      </c>
      <c r="H919" s="10">
        <f>IFERROR(SUMIFS('Base bordo CD'!M$2:M$875,'Base bordo CD'!D$2:D$875,A919,'Base bordo CD'!A$2:A$875,B919,'Base bordo CD'!L$2:L$875,"AGUARDANDO MANOBRA DE TRANSBORDO"),0)+IFERROR(SUMIFS('Base bordo CD'!M$2:M$875,'Base bordo CD'!D$2:D$875,A919,'Base bordo CD'!A$2:A$875,B919,'Base bordo CD'!L$2:L$875,"FALTA DE TRANSBORDO"),0)</f>
        <v>0</v>
      </c>
      <c r="I919" s="10">
        <f>IFERROR(SUMIFS('Base bordo CD'!M$2:M$875,'Base bordo CD'!D$2:D$875,A919,'Base bordo CD'!A$2:A$875,B919,'Base bordo CD'!L$2:L$875,"PARADA POR CONDICOES CLIMATICAS"),0)+IFERROR(SUMIFS('Base bordo CD'!M$2:M$875,'Base bordo CD'!D$2:D$875,A919,'Base bordo CD'!A$2:A$875,B919,'Base bordo CD'!L$2:L$875,"TEMPO INDETERMINADO"),0)</f>
        <v>0</v>
      </c>
      <c r="J919" s="10">
        <f>IFERROR(SUMIFS('Base bordo CD'!M$2:M$875,'Base bordo CD'!D$2:D$875,A919,'Base bordo CD'!A$2:A$875,B919,'Base bordo CD'!L$2:L$875,"LIMITAÇÃO INDÚSTRIA"),0)</f>
        <v>0</v>
      </c>
      <c r="K919" s="10">
        <f>IFERROR(SUMIFS('Base bordo CD'!M$2:M$875,'Base bordo CD'!D$2:D$875,A919,'Base bordo CD'!A$2:A$875,B919,'Base bordo CD'!L$2:L$875,"MAN CORRETIVA*"),0)+IFERROR(SUMIFS('Base bordo CD'!M$2:M$875,'Base bordo CD'!D$2:D$875,A919,'Base bordo CD'!A$2:A$875,B919,'Base bordo CD'!L$2:L$875,"AGUARDANDO MANUTENCAO*"),0)+IFERROR(SUMIFS('Base bordo CD'!M$2:M$875,'Base bordo CD'!D$2:D$875,A919,'Base bordo CD'!A$2:A$875,B919,'Base bordo CD'!L$2:L$875,"TROCA DE FAQUINHA"),0)+IFERROR(SUMIFS('Base bordo CD'!M$2:M$875,'Base bordo CD'!D$2:D$875,A919,'Base bordo CD'!A$2:A$875,B919,'Base bordo CD'!L$2:L$875,"LIMPEZA*"),0)</f>
        <v>0</v>
      </c>
      <c r="L919" s="10">
        <f>IFERROR(SUMIFS('Base bordo CD'!M$2:M$875,'Base bordo CD'!D$2:D$875,A919,'Base bordo CD'!A$2:A$875,B919,'Base bordo CD'!L$2:L$875,"PATIO - RESERVA"),0)</f>
        <v>0</v>
      </c>
      <c r="M919" s="10">
        <f>IFERROR(SUMIFS('Base bordo CD'!M$2:M$875,'Base bordo CD'!D$2:D$875,A919,'Base bordo CD'!A$2:A$875,B919,'Base bordo CD'!L$2:L$875,"SEM APONTAMENTO"),0)</f>
        <v>0</v>
      </c>
      <c r="N919" s="10">
        <f>IFERROR(SUMIFS('Base bordo CD'!M$2:M$875,'Base bordo CD'!D$2:D$875,A919,'Base bordo CD'!A$2:A$875,B919,'Base bordo CD'!L$2:L$875,"FALTA DE CAMINHÃO"),0)+IFERROR(SUMIFS('Base bordo CD'!M$2:M$875,'Base bordo CD'!D$2:D$875,A919,'Base bordo CD'!A$2:A$875,B919,'Base bordo CD'!L$2:L$875,"FALTA DE COMBUSTIVEL"),0)+IFERROR(SUMIFS('Base bordo CD'!M$2:M$875,'Base bordo CD'!D$2:D$875,A919,'Base bordo CD'!A$2:A$875,B919,'Base bordo CD'!L$2:L$875,"FALTA DE MOTORIST*"),0)</f>
        <v>0</v>
      </c>
      <c r="O919" s="10">
        <f t="shared" si="75"/>
        <v>0</v>
      </c>
      <c r="P919" s="10">
        <f>IFERROR(SUMIFS('Base bordo CD'!M$2:M$875,'Base bordo CD'!D$2:D$875,A919,'Base bordo CD'!A$2:A$875,B919),0)</f>
        <v>0</v>
      </c>
      <c r="Q919" s="10">
        <f>IFERROR(SUMIFS('Base bordo CD'!O$2:O$875,'Base bordo CD'!D$2:D$875,A919,'Base bordo CD'!A$2:A$875,B919,'Base bordo CD'!L$2:L$875,"CORTE DE CANA MECANIZADO"),0)</f>
        <v>0</v>
      </c>
      <c r="R919" s="10">
        <f>IFERROR(SUMIFS('Base bordo CD'!Q$2:Q$875,'Base bordo CD'!D$2:D$875,A919,'Base bordo CD'!A$2:A$875,B919,'Base bordo CD'!L$2:L$875,"CORTE DE CANA MECANIZADO"),0)</f>
        <v>0</v>
      </c>
      <c r="S919" s="30" t="str">
        <f t="shared" si="76"/>
        <v/>
      </c>
      <c r="T919" s="9">
        <f t="shared" si="77"/>
        <v>0</v>
      </c>
      <c r="U919" s="9">
        <f t="shared" si="78"/>
        <v>0</v>
      </c>
      <c r="V919" s="9">
        <f t="shared" si="79"/>
        <v>0</v>
      </c>
    </row>
    <row r="920" spans="1:22" x14ac:dyDescent="0.35">
      <c r="A920" s="52">
        <v>49596</v>
      </c>
      <c r="B920" s="31">
        <v>46118</v>
      </c>
      <c r="C920" s="7" t="s">
        <v>337</v>
      </c>
      <c r="D920" s="7">
        <v>353</v>
      </c>
      <c r="E920" s="10">
        <f>IFERROR(SUMIFS('Base bordo CD'!M$2:M$875,'Base bordo CD'!D$2:D$875,A920,'Base bordo CD'!A$2:A$875,B920,'Base bordo CD'!L$2:L$875,"CORTE DE CANA MECANIZADO"),0)</f>
        <v>0</v>
      </c>
      <c r="F920" s="10">
        <f>IFERROR(SUMIFS('Base bordo CD'!M$2:M$875,'Base bordo CD'!D$2:D$875,A920,'Base bordo CD'!A$2:A$875,B920,'Base bordo CD'!L$2:L$875,"MANOBRA"),0)</f>
        <v>0</v>
      </c>
      <c r="G920" s="10">
        <f>IFERROR(SUMIFS('Base bordo CD'!M$2:M$875,'Base bordo CD'!D$2:D$875,A920,'Base bordo CD'!A$2:A$875,B920,'Base bordo CD'!L$2:L$875,"DESLOCAMENTO"),0)</f>
        <v>0</v>
      </c>
      <c r="H920" s="10">
        <f>IFERROR(SUMIFS('Base bordo CD'!M$2:M$875,'Base bordo CD'!D$2:D$875,A920,'Base bordo CD'!A$2:A$875,B920,'Base bordo CD'!L$2:L$875,"AGUARDANDO MANOBRA DE TRANSBORDO"),0)+IFERROR(SUMIFS('Base bordo CD'!M$2:M$875,'Base bordo CD'!D$2:D$875,A920,'Base bordo CD'!A$2:A$875,B920,'Base bordo CD'!L$2:L$875,"FALTA DE TRANSBORDO"),0)</f>
        <v>0</v>
      </c>
      <c r="I920" s="10">
        <f>IFERROR(SUMIFS('Base bordo CD'!M$2:M$875,'Base bordo CD'!D$2:D$875,A920,'Base bordo CD'!A$2:A$875,B920,'Base bordo CD'!L$2:L$875,"PARADA POR CONDICOES CLIMATICAS"),0)+IFERROR(SUMIFS('Base bordo CD'!M$2:M$875,'Base bordo CD'!D$2:D$875,A920,'Base bordo CD'!A$2:A$875,B920,'Base bordo CD'!L$2:L$875,"TEMPO INDETERMINADO"),0)</f>
        <v>0</v>
      </c>
      <c r="J920" s="10">
        <f>IFERROR(SUMIFS('Base bordo CD'!M$2:M$875,'Base bordo CD'!D$2:D$875,A920,'Base bordo CD'!A$2:A$875,B920,'Base bordo CD'!L$2:L$875,"LIMITAÇÃO INDÚSTRIA"),0)</f>
        <v>0</v>
      </c>
      <c r="K920" s="10">
        <f>IFERROR(SUMIFS('Base bordo CD'!M$2:M$875,'Base bordo CD'!D$2:D$875,A920,'Base bordo CD'!A$2:A$875,B920,'Base bordo CD'!L$2:L$875,"MAN CORRETIVA*"),0)+IFERROR(SUMIFS('Base bordo CD'!M$2:M$875,'Base bordo CD'!D$2:D$875,A920,'Base bordo CD'!A$2:A$875,B920,'Base bordo CD'!L$2:L$875,"AGUARDANDO MANUTENCAO*"),0)+IFERROR(SUMIFS('Base bordo CD'!M$2:M$875,'Base bordo CD'!D$2:D$875,A920,'Base bordo CD'!A$2:A$875,B920,'Base bordo CD'!L$2:L$875,"TROCA DE FAQUINHA"),0)+IFERROR(SUMIFS('Base bordo CD'!M$2:M$875,'Base bordo CD'!D$2:D$875,A920,'Base bordo CD'!A$2:A$875,B920,'Base bordo CD'!L$2:L$875,"LIMPEZA*"),0)</f>
        <v>0</v>
      </c>
      <c r="L920" s="10">
        <f>IFERROR(SUMIFS('Base bordo CD'!M$2:M$875,'Base bordo CD'!D$2:D$875,A920,'Base bordo CD'!A$2:A$875,B920,'Base bordo CD'!L$2:L$875,"PATIO - RESERVA"),0)</f>
        <v>0</v>
      </c>
      <c r="M920" s="10">
        <f>IFERROR(SUMIFS('Base bordo CD'!M$2:M$875,'Base bordo CD'!D$2:D$875,A920,'Base bordo CD'!A$2:A$875,B920,'Base bordo CD'!L$2:L$875,"SEM APONTAMENTO"),0)</f>
        <v>0</v>
      </c>
      <c r="N920" s="10">
        <f>IFERROR(SUMIFS('Base bordo CD'!M$2:M$875,'Base bordo CD'!D$2:D$875,A920,'Base bordo CD'!A$2:A$875,B920,'Base bordo CD'!L$2:L$875,"FALTA DE CAMINHÃO"),0)+IFERROR(SUMIFS('Base bordo CD'!M$2:M$875,'Base bordo CD'!D$2:D$875,A920,'Base bordo CD'!A$2:A$875,B920,'Base bordo CD'!L$2:L$875,"FALTA DE COMBUSTIVEL"),0)+IFERROR(SUMIFS('Base bordo CD'!M$2:M$875,'Base bordo CD'!D$2:D$875,A920,'Base bordo CD'!A$2:A$875,B920,'Base bordo CD'!L$2:L$875,"FALTA DE MOTORIST*"),0)</f>
        <v>0</v>
      </c>
      <c r="O920" s="10">
        <f t="shared" si="75"/>
        <v>0</v>
      </c>
      <c r="P920" s="10">
        <f>IFERROR(SUMIFS('Base bordo CD'!M$2:M$875,'Base bordo CD'!D$2:D$875,A920,'Base bordo CD'!A$2:A$875,B920),0)</f>
        <v>0</v>
      </c>
      <c r="Q920" s="10">
        <f>IFERROR(SUMIFS('Base bordo CD'!O$2:O$875,'Base bordo CD'!D$2:D$875,A920,'Base bordo CD'!A$2:A$875,B920,'Base bordo CD'!L$2:L$875,"CORTE DE CANA MECANIZADO"),0)</f>
        <v>0</v>
      </c>
      <c r="R920" s="10">
        <f>IFERROR(SUMIFS('Base bordo CD'!Q$2:Q$875,'Base bordo CD'!D$2:D$875,A920,'Base bordo CD'!A$2:A$875,B920,'Base bordo CD'!L$2:L$875,"CORTE DE CANA MECANIZADO"),0)</f>
        <v>0</v>
      </c>
      <c r="S920" s="30" t="str">
        <f t="shared" si="76"/>
        <v/>
      </c>
      <c r="T920" s="9">
        <f t="shared" si="77"/>
        <v>0</v>
      </c>
      <c r="U920" s="9">
        <f t="shared" si="78"/>
        <v>0</v>
      </c>
      <c r="V920" s="9">
        <f t="shared" si="79"/>
        <v>0</v>
      </c>
    </row>
    <row r="921" spans="1:22" x14ac:dyDescent="0.35">
      <c r="A921" s="52">
        <v>49596</v>
      </c>
      <c r="B921" s="31">
        <v>46118</v>
      </c>
      <c r="C921" s="7" t="s">
        <v>337</v>
      </c>
      <c r="D921" s="7">
        <v>353</v>
      </c>
      <c r="E921" s="10">
        <f>IFERROR(SUMIFS('Base bordo CD'!M$2:M$875,'Base bordo CD'!D$2:D$875,A921,'Base bordo CD'!A$2:A$875,B921,'Base bordo CD'!L$2:L$875,"CORTE DE CANA MECANIZADO"),0)</f>
        <v>0</v>
      </c>
      <c r="F921" s="10">
        <f>IFERROR(SUMIFS('Base bordo CD'!M$2:M$875,'Base bordo CD'!D$2:D$875,A921,'Base bordo CD'!A$2:A$875,B921,'Base bordo CD'!L$2:L$875,"MANOBRA"),0)</f>
        <v>0</v>
      </c>
      <c r="G921" s="10">
        <f>IFERROR(SUMIFS('Base bordo CD'!M$2:M$875,'Base bordo CD'!D$2:D$875,A921,'Base bordo CD'!A$2:A$875,B921,'Base bordo CD'!L$2:L$875,"DESLOCAMENTO"),0)</f>
        <v>0</v>
      </c>
      <c r="H921" s="10">
        <f>IFERROR(SUMIFS('Base bordo CD'!M$2:M$875,'Base bordo CD'!D$2:D$875,A921,'Base bordo CD'!A$2:A$875,B921,'Base bordo CD'!L$2:L$875,"AGUARDANDO MANOBRA DE TRANSBORDO"),0)+IFERROR(SUMIFS('Base bordo CD'!M$2:M$875,'Base bordo CD'!D$2:D$875,A921,'Base bordo CD'!A$2:A$875,B921,'Base bordo CD'!L$2:L$875,"FALTA DE TRANSBORDO"),0)</f>
        <v>0</v>
      </c>
      <c r="I921" s="10">
        <f>IFERROR(SUMIFS('Base bordo CD'!M$2:M$875,'Base bordo CD'!D$2:D$875,A921,'Base bordo CD'!A$2:A$875,B921,'Base bordo CD'!L$2:L$875,"PARADA POR CONDICOES CLIMATICAS"),0)+IFERROR(SUMIFS('Base bordo CD'!M$2:M$875,'Base bordo CD'!D$2:D$875,A921,'Base bordo CD'!A$2:A$875,B921,'Base bordo CD'!L$2:L$875,"TEMPO INDETERMINADO"),0)</f>
        <v>0</v>
      </c>
      <c r="J921" s="10">
        <f>IFERROR(SUMIFS('Base bordo CD'!M$2:M$875,'Base bordo CD'!D$2:D$875,A921,'Base bordo CD'!A$2:A$875,B921,'Base bordo CD'!L$2:L$875,"LIMITAÇÃO INDÚSTRIA"),0)</f>
        <v>0</v>
      </c>
      <c r="K921" s="10">
        <f>IFERROR(SUMIFS('Base bordo CD'!M$2:M$875,'Base bordo CD'!D$2:D$875,A921,'Base bordo CD'!A$2:A$875,B921,'Base bordo CD'!L$2:L$875,"MAN CORRETIVA*"),0)+IFERROR(SUMIFS('Base bordo CD'!M$2:M$875,'Base bordo CD'!D$2:D$875,A921,'Base bordo CD'!A$2:A$875,B921,'Base bordo CD'!L$2:L$875,"AGUARDANDO MANUTENCAO*"),0)+IFERROR(SUMIFS('Base bordo CD'!M$2:M$875,'Base bordo CD'!D$2:D$875,A921,'Base bordo CD'!A$2:A$875,B921,'Base bordo CD'!L$2:L$875,"TROCA DE FAQUINHA"),0)+IFERROR(SUMIFS('Base bordo CD'!M$2:M$875,'Base bordo CD'!D$2:D$875,A921,'Base bordo CD'!A$2:A$875,B921,'Base bordo CD'!L$2:L$875,"LIMPEZA*"),0)</f>
        <v>0</v>
      </c>
      <c r="L921" s="10">
        <f>IFERROR(SUMIFS('Base bordo CD'!M$2:M$875,'Base bordo CD'!D$2:D$875,A921,'Base bordo CD'!A$2:A$875,B921,'Base bordo CD'!L$2:L$875,"PATIO - RESERVA"),0)</f>
        <v>0</v>
      </c>
      <c r="M921" s="10">
        <f>IFERROR(SUMIFS('Base bordo CD'!M$2:M$875,'Base bordo CD'!D$2:D$875,A921,'Base bordo CD'!A$2:A$875,B921,'Base bordo CD'!L$2:L$875,"SEM APONTAMENTO"),0)</f>
        <v>0</v>
      </c>
      <c r="N921" s="10">
        <f>IFERROR(SUMIFS('Base bordo CD'!M$2:M$875,'Base bordo CD'!D$2:D$875,A921,'Base bordo CD'!A$2:A$875,B921,'Base bordo CD'!L$2:L$875,"FALTA DE CAMINHÃO"),0)+IFERROR(SUMIFS('Base bordo CD'!M$2:M$875,'Base bordo CD'!D$2:D$875,A921,'Base bordo CD'!A$2:A$875,B921,'Base bordo CD'!L$2:L$875,"FALTA DE COMBUSTIVEL"),0)+IFERROR(SUMIFS('Base bordo CD'!M$2:M$875,'Base bordo CD'!D$2:D$875,A921,'Base bordo CD'!A$2:A$875,B921,'Base bordo CD'!L$2:L$875,"FALTA DE MOTORIST*"),0)</f>
        <v>0</v>
      </c>
      <c r="O921" s="10">
        <f t="shared" si="75"/>
        <v>0</v>
      </c>
      <c r="P921" s="10">
        <f>IFERROR(SUMIFS('Base bordo CD'!M$2:M$875,'Base bordo CD'!D$2:D$875,A921,'Base bordo CD'!A$2:A$875,B921),0)</f>
        <v>0</v>
      </c>
      <c r="Q921" s="10">
        <f>IFERROR(SUMIFS('Base bordo CD'!O$2:O$875,'Base bordo CD'!D$2:D$875,A921,'Base bordo CD'!A$2:A$875,B921,'Base bordo CD'!L$2:L$875,"CORTE DE CANA MECANIZADO"),0)</f>
        <v>0</v>
      </c>
      <c r="R921" s="10">
        <f>IFERROR(SUMIFS('Base bordo CD'!Q$2:Q$875,'Base bordo CD'!D$2:D$875,A921,'Base bordo CD'!A$2:A$875,B921,'Base bordo CD'!L$2:L$875,"CORTE DE CANA MECANIZADO"),0)</f>
        <v>0</v>
      </c>
      <c r="S921" s="30" t="str">
        <f t="shared" si="76"/>
        <v/>
      </c>
      <c r="T921" s="9">
        <f t="shared" si="77"/>
        <v>0</v>
      </c>
      <c r="U921" s="9">
        <f t="shared" si="78"/>
        <v>0</v>
      </c>
      <c r="V921" s="9">
        <f t="shared" si="79"/>
        <v>0</v>
      </c>
    </row>
    <row r="922" spans="1:22" x14ac:dyDescent="0.35">
      <c r="A922" s="52">
        <v>49596</v>
      </c>
      <c r="B922" s="31">
        <v>46118</v>
      </c>
      <c r="C922" s="7" t="s">
        <v>337</v>
      </c>
      <c r="D922" s="7">
        <v>353</v>
      </c>
      <c r="E922" s="10">
        <f>IFERROR(SUMIFS('Base bordo CD'!M$2:M$875,'Base bordo CD'!D$2:D$875,A922,'Base bordo CD'!A$2:A$875,B922,'Base bordo CD'!L$2:L$875,"CORTE DE CANA MECANIZADO"),0)</f>
        <v>0</v>
      </c>
      <c r="F922" s="10">
        <f>IFERROR(SUMIFS('Base bordo CD'!M$2:M$875,'Base bordo CD'!D$2:D$875,A922,'Base bordo CD'!A$2:A$875,B922,'Base bordo CD'!L$2:L$875,"MANOBRA"),0)</f>
        <v>0</v>
      </c>
      <c r="G922" s="10">
        <f>IFERROR(SUMIFS('Base bordo CD'!M$2:M$875,'Base bordo CD'!D$2:D$875,A922,'Base bordo CD'!A$2:A$875,B922,'Base bordo CD'!L$2:L$875,"DESLOCAMENTO"),0)</f>
        <v>0</v>
      </c>
      <c r="H922" s="10">
        <f>IFERROR(SUMIFS('Base bordo CD'!M$2:M$875,'Base bordo CD'!D$2:D$875,A922,'Base bordo CD'!A$2:A$875,B922,'Base bordo CD'!L$2:L$875,"AGUARDANDO MANOBRA DE TRANSBORDO"),0)+IFERROR(SUMIFS('Base bordo CD'!M$2:M$875,'Base bordo CD'!D$2:D$875,A922,'Base bordo CD'!A$2:A$875,B922,'Base bordo CD'!L$2:L$875,"FALTA DE TRANSBORDO"),0)</f>
        <v>0</v>
      </c>
      <c r="I922" s="10">
        <f>IFERROR(SUMIFS('Base bordo CD'!M$2:M$875,'Base bordo CD'!D$2:D$875,A922,'Base bordo CD'!A$2:A$875,B922,'Base bordo CD'!L$2:L$875,"PARADA POR CONDICOES CLIMATICAS"),0)+IFERROR(SUMIFS('Base bordo CD'!M$2:M$875,'Base bordo CD'!D$2:D$875,A922,'Base bordo CD'!A$2:A$875,B922,'Base bordo CD'!L$2:L$875,"TEMPO INDETERMINADO"),0)</f>
        <v>0</v>
      </c>
      <c r="J922" s="10">
        <f>IFERROR(SUMIFS('Base bordo CD'!M$2:M$875,'Base bordo CD'!D$2:D$875,A922,'Base bordo CD'!A$2:A$875,B922,'Base bordo CD'!L$2:L$875,"LIMITAÇÃO INDÚSTRIA"),0)</f>
        <v>0</v>
      </c>
      <c r="K922" s="10">
        <f>IFERROR(SUMIFS('Base bordo CD'!M$2:M$875,'Base bordo CD'!D$2:D$875,A922,'Base bordo CD'!A$2:A$875,B922,'Base bordo CD'!L$2:L$875,"MAN CORRETIVA*"),0)+IFERROR(SUMIFS('Base bordo CD'!M$2:M$875,'Base bordo CD'!D$2:D$875,A922,'Base bordo CD'!A$2:A$875,B922,'Base bordo CD'!L$2:L$875,"AGUARDANDO MANUTENCAO*"),0)+IFERROR(SUMIFS('Base bordo CD'!M$2:M$875,'Base bordo CD'!D$2:D$875,A922,'Base bordo CD'!A$2:A$875,B922,'Base bordo CD'!L$2:L$875,"TROCA DE FAQUINHA"),0)+IFERROR(SUMIFS('Base bordo CD'!M$2:M$875,'Base bordo CD'!D$2:D$875,A922,'Base bordo CD'!A$2:A$875,B922,'Base bordo CD'!L$2:L$875,"LIMPEZA*"),0)</f>
        <v>0</v>
      </c>
      <c r="L922" s="10">
        <f>IFERROR(SUMIFS('Base bordo CD'!M$2:M$875,'Base bordo CD'!D$2:D$875,A922,'Base bordo CD'!A$2:A$875,B922,'Base bordo CD'!L$2:L$875,"PATIO - RESERVA"),0)</f>
        <v>0</v>
      </c>
      <c r="M922" s="10">
        <f>IFERROR(SUMIFS('Base bordo CD'!M$2:M$875,'Base bordo CD'!D$2:D$875,A922,'Base bordo CD'!A$2:A$875,B922,'Base bordo CD'!L$2:L$875,"SEM APONTAMENTO"),0)</f>
        <v>0</v>
      </c>
      <c r="N922" s="10">
        <f>IFERROR(SUMIFS('Base bordo CD'!M$2:M$875,'Base bordo CD'!D$2:D$875,A922,'Base bordo CD'!A$2:A$875,B922,'Base bordo CD'!L$2:L$875,"FALTA DE CAMINHÃO"),0)+IFERROR(SUMIFS('Base bordo CD'!M$2:M$875,'Base bordo CD'!D$2:D$875,A922,'Base bordo CD'!A$2:A$875,B922,'Base bordo CD'!L$2:L$875,"FALTA DE COMBUSTIVEL"),0)+IFERROR(SUMIFS('Base bordo CD'!M$2:M$875,'Base bordo CD'!D$2:D$875,A922,'Base bordo CD'!A$2:A$875,B922,'Base bordo CD'!L$2:L$875,"FALTA DE MOTORIST*"),0)</f>
        <v>0</v>
      </c>
      <c r="O922" s="10">
        <f t="shared" si="75"/>
        <v>0</v>
      </c>
      <c r="P922" s="10">
        <f>IFERROR(SUMIFS('Base bordo CD'!M$2:M$875,'Base bordo CD'!D$2:D$875,A922,'Base bordo CD'!A$2:A$875,B922),0)</f>
        <v>0</v>
      </c>
      <c r="Q922" s="10">
        <f>IFERROR(SUMIFS('Base bordo CD'!O$2:O$875,'Base bordo CD'!D$2:D$875,A922,'Base bordo CD'!A$2:A$875,B922,'Base bordo CD'!L$2:L$875,"CORTE DE CANA MECANIZADO"),0)</f>
        <v>0</v>
      </c>
      <c r="R922" s="10">
        <f>IFERROR(SUMIFS('Base bordo CD'!Q$2:Q$875,'Base bordo CD'!D$2:D$875,A922,'Base bordo CD'!A$2:A$875,B922,'Base bordo CD'!L$2:L$875,"CORTE DE CANA MECANIZADO"),0)</f>
        <v>0</v>
      </c>
      <c r="S922" s="30" t="str">
        <f t="shared" si="76"/>
        <v/>
      </c>
      <c r="T922" s="9">
        <f t="shared" si="77"/>
        <v>0</v>
      </c>
      <c r="U922" s="9">
        <f t="shared" si="78"/>
        <v>0</v>
      </c>
      <c r="V922" s="9">
        <f t="shared" si="79"/>
        <v>0</v>
      </c>
    </row>
    <row r="923" spans="1:22" x14ac:dyDescent="0.35">
      <c r="A923" s="52">
        <v>49596</v>
      </c>
      <c r="B923" s="31">
        <v>46118</v>
      </c>
      <c r="C923" s="7" t="s">
        <v>337</v>
      </c>
      <c r="D923" s="7">
        <v>353</v>
      </c>
      <c r="E923" s="10">
        <f>IFERROR(SUMIFS('Base bordo CD'!M$2:M$875,'Base bordo CD'!D$2:D$875,A923,'Base bordo CD'!A$2:A$875,B923,'Base bordo CD'!L$2:L$875,"CORTE DE CANA MECANIZADO"),0)</f>
        <v>0</v>
      </c>
      <c r="F923" s="10">
        <f>IFERROR(SUMIFS('Base bordo CD'!M$2:M$875,'Base bordo CD'!D$2:D$875,A923,'Base bordo CD'!A$2:A$875,B923,'Base bordo CD'!L$2:L$875,"MANOBRA"),0)</f>
        <v>0</v>
      </c>
      <c r="G923" s="10">
        <f>IFERROR(SUMIFS('Base bordo CD'!M$2:M$875,'Base bordo CD'!D$2:D$875,A923,'Base bordo CD'!A$2:A$875,B923,'Base bordo CD'!L$2:L$875,"DESLOCAMENTO"),0)</f>
        <v>0</v>
      </c>
      <c r="H923" s="10">
        <f>IFERROR(SUMIFS('Base bordo CD'!M$2:M$875,'Base bordo CD'!D$2:D$875,A923,'Base bordo CD'!A$2:A$875,B923,'Base bordo CD'!L$2:L$875,"AGUARDANDO MANOBRA DE TRANSBORDO"),0)+IFERROR(SUMIFS('Base bordo CD'!M$2:M$875,'Base bordo CD'!D$2:D$875,A923,'Base bordo CD'!A$2:A$875,B923,'Base bordo CD'!L$2:L$875,"FALTA DE TRANSBORDO"),0)</f>
        <v>0</v>
      </c>
      <c r="I923" s="10">
        <f>IFERROR(SUMIFS('Base bordo CD'!M$2:M$875,'Base bordo CD'!D$2:D$875,A923,'Base bordo CD'!A$2:A$875,B923,'Base bordo CD'!L$2:L$875,"PARADA POR CONDICOES CLIMATICAS"),0)+IFERROR(SUMIFS('Base bordo CD'!M$2:M$875,'Base bordo CD'!D$2:D$875,A923,'Base bordo CD'!A$2:A$875,B923,'Base bordo CD'!L$2:L$875,"TEMPO INDETERMINADO"),0)</f>
        <v>0</v>
      </c>
      <c r="J923" s="10">
        <f>IFERROR(SUMIFS('Base bordo CD'!M$2:M$875,'Base bordo CD'!D$2:D$875,A923,'Base bordo CD'!A$2:A$875,B923,'Base bordo CD'!L$2:L$875,"LIMITAÇÃO INDÚSTRIA"),0)</f>
        <v>0</v>
      </c>
      <c r="K923" s="10">
        <f>IFERROR(SUMIFS('Base bordo CD'!M$2:M$875,'Base bordo CD'!D$2:D$875,A923,'Base bordo CD'!A$2:A$875,B923,'Base bordo CD'!L$2:L$875,"MAN CORRETIVA*"),0)+IFERROR(SUMIFS('Base bordo CD'!M$2:M$875,'Base bordo CD'!D$2:D$875,A923,'Base bordo CD'!A$2:A$875,B923,'Base bordo CD'!L$2:L$875,"AGUARDANDO MANUTENCAO*"),0)+IFERROR(SUMIFS('Base bordo CD'!M$2:M$875,'Base bordo CD'!D$2:D$875,A923,'Base bordo CD'!A$2:A$875,B923,'Base bordo CD'!L$2:L$875,"TROCA DE FAQUINHA"),0)+IFERROR(SUMIFS('Base bordo CD'!M$2:M$875,'Base bordo CD'!D$2:D$875,A923,'Base bordo CD'!A$2:A$875,B923,'Base bordo CD'!L$2:L$875,"LIMPEZA*"),0)</f>
        <v>0</v>
      </c>
      <c r="L923" s="10">
        <f>IFERROR(SUMIFS('Base bordo CD'!M$2:M$875,'Base bordo CD'!D$2:D$875,A923,'Base bordo CD'!A$2:A$875,B923,'Base bordo CD'!L$2:L$875,"PATIO - RESERVA"),0)</f>
        <v>0</v>
      </c>
      <c r="M923" s="10">
        <f>IFERROR(SUMIFS('Base bordo CD'!M$2:M$875,'Base bordo CD'!D$2:D$875,A923,'Base bordo CD'!A$2:A$875,B923,'Base bordo CD'!L$2:L$875,"SEM APONTAMENTO"),0)</f>
        <v>0</v>
      </c>
      <c r="N923" s="10">
        <f>IFERROR(SUMIFS('Base bordo CD'!M$2:M$875,'Base bordo CD'!D$2:D$875,A923,'Base bordo CD'!A$2:A$875,B923,'Base bordo CD'!L$2:L$875,"FALTA DE CAMINHÃO"),0)+IFERROR(SUMIFS('Base bordo CD'!M$2:M$875,'Base bordo CD'!D$2:D$875,A923,'Base bordo CD'!A$2:A$875,B923,'Base bordo CD'!L$2:L$875,"FALTA DE COMBUSTIVEL"),0)+IFERROR(SUMIFS('Base bordo CD'!M$2:M$875,'Base bordo CD'!D$2:D$875,A923,'Base bordo CD'!A$2:A$875,B923,'Base bordo CD'!L$2:L$875,"FALTA DE MOTORIST*"),0)</f>
        <v>0</v>
      </c>
      <c r="O923" s="10">
        <f t="shared" si="75"/>
        <v>0</v>
      </c>
      <c r="P923" s="10">
        <f>IFERROR(SUMIFS('Base bordo CD'!M$2:M$875,'Base bordo CD'!D$2:D$875,A923,'Base bordo CD'!A$2:A$875,B923),0)</f>
        <v>0</v>
      </c>
      <c r="Q923" s="10">
        <f>IFERROR(SUMIFS('Base bordo CD'!O$2:O$875,'Base bordo CD'!D$2:D$875,A923,'Base bordo CD'!A$2:A$875,B923,'Base bordo CD'!L$2:L$875,"CORTE DE CANA MECANIZADO"),0)</f>
        <v>0</v>
      </c>
      <c r="R923" s="10">
        <f>IFERROR(SUMIFS('Base bordo CD'!Q$2:Q$875,'Base bordo CD'!D$2:D$875,A923,'Base bordo CD'!A$2:A$875,B923,'Base bordo CD'!L$2:L$875,"CORTE DE CANA MECANIZADO"),0)</f>
        <v>0</v>
      </c>
      <c r="S923" s="30" t="str">
        <f t="shared" si="76"/>
        <v/>
      </c>
      <c r="T923" s="9">
        <f t="shared" si="77"/>
        <v>0</v>
      </c>
      <c r="U923" s="9">
        <f t="shared" si="78"/>
        <v>0</v>
      </c>
      <c r="V923" s="9">
        <f t="shared" si="79"/>
        <v>0</v>
      </c>
    </row>
    <row r="924" spans="1:22" x14ac:dyDescent="0.35">
      <c r="A924" s="52">
        <v>49596</v>
      </c>
      <c r="B924" s="31">
        <v>46118</v>
      </c>
      <c r="C924" s="7" t="s">
        <v>337</v>
      </c>
      <c r="D924" s="7">
        <v>353</v>
      </c>
      <c r="E924" s="10">
        <f>IFERROR(SUMIFS('Base bordo CD'!M$2:M$875,'Base bordo CD'!D$2:D$875,A924,'Base bordo CD'!A$2:A$875,B924,'Base bordo CD'!L$2:L$875,"CORTE DE CANA MECANIZADO"),0)</f>
        <v>0</v>
      </c>
      <c r="F924" s="10">
        <f>IFERROR(SUMIFS('Base bordo CD'!M$2:M$875,'Base bordo CD'!D$2:D$875,A924,'Base bordo CD'!A$2:A$875,B924,'Base bordo CD'!L$2:L$875,"MANOBRA"),0)</f>
        <v>0</v>
      </c>
      <c r="G924" s="10">
        <f>IFERROR(SUMIFS('Base bordo CD'!M$2:M$875,'Base bordo CD'!D$2:D$875,A924,'Base bordo CD'!A$2:A$875,B924,'Base bordo CD'!L$2:L$875,"DESLOCAMENTO"),0)</f>
        <v>0</v>
      </c>
      <c r="H924" s="10">
        <f>IFERROR(SUMIFS('Base bordo CD'!M$2:M$875,'Base bordo CD'!D$2:D$875,A924,'Base bordo CD'!A$2:A$875,B924,'Base bordo CD'!L$2:L$875,"AGUARDANDO MANOBRA DE TRANSBORDO"),0)+IFERROR(SUMIFS('Base bordo CD'!M$2:M$875,'Base bordo CD'!D$2:D$875,A924,'Base bordo CD'!A$2:A$875,B924,'Base bordo CD'!L$2:L$875,"FALTA DE TRANSBORDO"),0)</f>
        <v>0</v>
      </c>
      <c r="I924" s="10">
        <f>IFERROR(SUMIFS('Base bordo CD'!M$2:M$875,'Base bordo CD'!D$2:D$875,A924,'Base bordo CD'!A$2:A$875,B924,'Base bordo CD'!L$2:L$875,"PARADA POR CONDICOES CLIMATICAS"),0)+IFERROR(SUMIFS('Base bordo CD'!M$2:M$875,'Base bordo CD'!D$2:D$875,A924,'Base bordo CD'!A$2:A$875,B924,'Base bordo CD'!L$2:L$875,"TEMPO INDETERMINADO"),0)</f>
        <v>0</v>
      </c>
      <c r="J924" s="10">
        <f>IFERROR(SUMIFS('Base bordo CD'!M$2:M$875,'Base bordo CD'!D$2:D$875,A924,'Base bordo CD'!A$2:A$875,B924,'Base bordo CD'!L$2:L$875,"LIMITAÇÃO INDÚSTRIA"),0)</f>
        <v>0</v>
      </c>
      <c r="K924" s="10">
        <f>IFERROR(SUMIFS('Base bordo CD'!M$2:M$875,'Base bordo CD'!D$2:D$875,A924,'Base bordo CD'!A$2:A$875,B924,'Base bordo CD'!L$2:L$875,"MAN CORRETIVA*"),0)+IFERROR(SUMIFS('Base bordo CD'!M$2:M$875,'Base bordo CD'!D$2:D$875,A924,'Base bordo CD'!A$2:A$875,B924,'Base bordo CD'!L$2:L$875,"AGUARDANDO MANUTENCAO*"),0)+IFERROR(SUMIFS('Base bordo CD'!M$2:M$875,'Base bordo CD'!D$2:D$875,A924,'Base bordo CD'!A$2:A$875,B924,'Base bordo CD'!L$2:L$875,"TROCA DE FAQUINHA"),0)+IFERROR(SUMIFS('Base bordo CD'!M$2:M$875,'Base bordo CD'!D$2:D$875,A924,'Base bordo CD'!A$2:A$875,B924,'Base bordo CD'!L$2:L$875,"LIMPEZA*"),0)</f>
        <v>0</v>
      </c>
      <c r="L924" s="10">
        <f>IFERROR(SUMIFS('Base bordo CD'!M$2:M$875,'Base bordo CD'!D$2:D$875,A924,'Base bordo CD'!A$2:A$875,B924,'Base bordo CD'!L$2:L$875,"PATIO - RESERVA"),0)</f>
        <v>0</v>
      </c>
      <c r="M924" s="10">
        <f>IFERROR(SUMIFS('Base bordo CD'!M$2:M$875,'Base bordo CD'!D$2:D$875,A924,'Base bordo CD'!A$2:A$875,B924,'Base bordo CD'!L$2:L$875,"SEM APONTAMENTO"),0)</f>
        <v>0</v>
      </c>
      <c r="N924" s="10">
        <f>IFERROR(SUMIFS('Base bordo CD'!M$2:M$875,'Base bordo CD'!D$2:D$875,A924,'Base bordo CD'!A$2:A$875,B924,'Base bordo CD'!L$2:L$875,"FALTA DE CAMINHÃO"),0)+IFERROR(SUMIFS('Base bordo CD'!M$2:M$875,'Base bordo CD'!D$2:D$875,A924,'Base bordo CD'!A$2:A$875,B924,'Base bordo CD'!L$2:L$875,"FALTA DE COMBUSTIVEL"),0)+IFERROR(SUMIFS('Base bordo CD'!M$2:M$875,'Base bordo CD'!D$2:D$875,A924,'Base bordo CD'!A$2:A$875,B924,'Base bordo CD'!L$2:L$875,"FALTA DE MOTORIST*"),0)</f>
        <v>0</v>
      </c>
      <c r="O924" s="10">
        <f t="shared" si="75"/>
        <v>0</v>
      </c>
      <c r="P924" s="10">
        <f>IFERROR(SUMIFS('Base bordo CD'!M$2:M$875,'Base bordo CD'!D$2:D$875,A924,'Base bordo CD'!A$2:A$875,B924),0)</f>
        <v>0</v>
      </c>
      <c r="Q924" s="10">
        <f>IFERROR(SUMIFS('Base bordo CD'!O$2:O$875,'Base bordo CD'!D$2:D$875,A924,'Base bordo CD'!A$2:A$875,B924,'Base bordo CD'!L$2:L$875,"CORTE DE CANA MECANIZADO"),0)</f>
        <v>0</v>
      </c>
      <c r="R924" s="10">
        <f>IFERROR(SUMIFS('Base bordo CD'!Q$2:Q$875,'Base bordo CD'!D$2:D$875,A924,'Base bordo CD'!A$2:A$875,B924,'Base bordo CD'!L$2:L$875,"CORTE DE CANA MECANIZADO"),0)</f>
        <v>0</v>
      </c>
      <c r="S924" s="30" t="str">
        <f t="shared" si="76"/>
        <v/>
      </c>
      <c r="T924" s="9">
        <f t="shared" si="77"/>
        <v>0</v>
      </c>
      <c r="U924" s="9">
        <f t="shared" si="78"/>
        <v>0</v>
      </c>
      <c r="V924" s="9">
        <f t="shared" si="79"/>
        <v>0</v>
      </c>
    </row>
    <row r="925" spans="1:22" x14ac:dyDescent="0.35">
      <c r="A925" s="52">
        <v>49596</v>
      </c>
      <c r="B925" s="31">
        <v>46118</v>
      </c>
      <c r="C925" s="7" t="s">
        <v>337</v>
      </c>
      <c r="D925" s="7">
        <v>353</v>
      </c>
      <c r="E925" s="10">
        <f>IFERROR(SUMIFS('Base bordo CD'!M$2:M$875,'Base bordo CD'!D$2:D$875,A925,'Base bordo CD'!A$2:A$875,B925,'Base bordo CD'!L$2:L$875,"CORTE DE CANA MECANIZADO"),0)</f>
        <v>0</v>
      </c>
      <c r="F925" s="10">
        <f>IFERROR(SUMIFS('Base bordo CD'!M$2:M$875,'Base bordo CD'!D$2:D$875,A925,'Base bordo CD'!A$2:A$875,B925,'Base bordo CD'!L$2:L$875,"MANOBRA"),0)</f>
        <v>0</v>
      </c>
      <c r="G925" s="10">
        <f>IFERROR(SUMIFS('Base bordo CD'!M$2:M$875,'Base bordo CD'!D$2:D$875,A925,'Base bordo CD'!A$2:A$875,B925,'Base bordo CD'!L$2:L$875,"DESLOCAMENTO"),0)</f>
        <v>0</v>
      </c>
      <c r="H925" s="10">
        <f>IFERROR(SUMIFS('Base bordo CD'!M$2:M$875,'Base bordo CD'!D$2:D$875,A925,'Base bordo CD'!A$2:A$875,B925,'Base bordo CD'!L$2:L$875,"AGUARDANDO MANOBRA DE TRANSBORDO"),0)+IFERROR(SUMIFS('Base bordo CD'!M$2:M$875,'Base bordo CD'!D$2:D$875,A925,'Base bordo CD'!A$2:A$875,B925,'Base bordo CD'!L$2:L$875,"FALTA DE TRANSBORDO"),0)</f>
        <v>0</v>
      </c>
      <c r="I925" s="10">
        <f>IFERROR(SUMIFS('Base bordo CD'!M$2:M$875,'Base bordo CD'!D$2:D$875,A925,'Base bordo CD'!A$2:A$875,B925,'Base bordo CD'!L$2:L$875,"PARADA POR CONDICOES CLIMATICAS"),0)+IFERROR(SUMIFS('Base bordo CD'!M$2:M$875,'Base bordo CD'!D$2:D$875,A925,'Base bordo CD'!A$2:A$875,B925,'Base bordo CD'!L$2:L$875,"TEMPO INDETERMINADO"),0)</f>
        <v>0</v>
      </c>
      <c r="J925" s="10">
        <f>IFERROR(SUMIFS('Base bordo CD'!M$2:M$875,'Base bordo CD'!D$2:D$875,A925,'Base bordo CD'!A$2:A$875,B925,'Base bordo CD'!L$2:L$875,"LIMITAÇÃO INDÚSTRIA"),0)</f>
        <v>0</v>
      </c>
      <c r="K925" s="10">
        <f>IFERROR(SUMIFS('Base bordo CD'!M$2:M$875,'Base bordo CD'!D$2:D$875,A925,'Base bordo CD'!A$2:A$875,B925,'Base bordo CD'!L$2:L$875,"MAN CORRETIVA*"),0)+IFERROR(SUMIFS('Base bordo CD'!M$2:M$875,'Base bordo CD'!D$2:D$875,A925,'Base bordo CD'!A$2:A$875,B925,'Base bordo CD'!L$2:L$875,"AGUARDANDO MANUTENCAO*"),0)+IFERROR(SUMIFS('Base bordo CD'!M$2:M$875,'Base bordo CD'!D$2:D$875,A925,'Base bordo CD'!A$2:A$875,B925,'Base bordo CD'!L$2:L$875,"TROCA DE FAQUINHA"),0)+IFERROR(SUMIFS('Base bordo CD'!M$2:M$875,'Base bordo CD'!D$2:D$875,A925,'Base bordo CD'!A$2:A$875,B925,'Base bordo CD'!L$2:L$875,"LIMPEZA*"),0)</f>
        <v>0</v>
      </c>
      <c r="L925" s="10">
        <f>IFERROR(SUMIFS('Base bordo CD'!M$2:M$875,'Base bordo CD'!D$2:D$875,A925,'Base bordo CD'!A$2:A$875,B925,'Base bordo CD'!L$2:L$875,"PATIO - RESERVA"),0)</f>
        <v>0</v>
      </c>
      <c r="M925" s="10">
        <f>IFERROR(SUMIFS('Base bordo CD'!M$2:M$875,'Base bordo CD'!D$2:D$875,A925,'Base bordo CD'!A$2:A$875,B925,'Base bordo CD'!L$2:L$875,"SEM APONTAMENTO"),0)</f>
        <v>0</v>
      </c>
      <c r="N925" s="10">
        <f>IFERROR(SUMIFS('Base bordo CD'!M$2:M$875,'Base bordo CD'!D$2:D$875,A925,'Base bordo CD'!A$2:A$875,B925,'Base bordo CD'!L$2:L$875,"FALTA DE CAMINHÃO"),0)+IFERROR(SUMIFS('Base bordo CD'!M$2:M$875,'Base bordo CD'!D$2:D$875,A925,'Base bordo CD'!A$2:A$875,B925,'Base bordo CD'!L$2:L$875,"FALTA DE COMBUSTIVEL"),0)+IFERROR(SUMIFS('Base bordo CD'!M$2:M$875,'Base bordo CD'!D$2:D$875,A925,'Base bordo CD'!A$2:A$875,B925,'Base bordo CD'!L$2:L$875,"FALTA DE MOTORIST*"),0)</f>
        <v>0</v>
      </c>
      <c r="O925" s="10">
        <f t="shared" si="75"/>
        <v>0</v>
      </c>
      <c r="P925" s="10">
        <f>IFERROR(SUMIFS('Base bordo CD'!M$2:M$875,'Base bordo CD'!D$2:D$875,A925,'Base bordo CD'!A$2:A$875,B925),0)</f>
        <v>0</v>
      </c>
      <c r="Q925" s="10">
        <f>IFERROR(SUMIFS('Base bordo CD'!O$2:O$875,'Base bordo CD'!D$2:D$875,A925,'Base bordo CD'!A$2:A$875,B925,'Base bordo CD'!L$2:L$875,"CORTE DE CANA MECANIZADO"),0)</f>
        <v>0</v>
      </c>
      <c r="R925" s="10">
        <f>IFERROR(SUMIFS('Base bordo CD'!Q$2:Q$875,'Base bordo CD'!D$2:D$875,A925,'Base bordo CD'!A$2:A$875,B925,'Base bordo CD'!L$2:L$875,"CORTE DE CANA MECANIZADO"),0)</f>
        <v>0</v>
      </c>
      <c r="S925" s="30" t="str">
        <f t="shared" si="76"/>
        <v/>
      </c>
      <c r="T925" s="9">
        <f t="shared" si="77"/>
        <v>0</v>
      </c>
      <c r="U925" s="9">
        <f t="shared" si="78"/>
        <v>0</v>
      </c>
      <c r="V925" s="9">
        <f t="shared" si="79"/>
        <v>0</v>
      </c>
    </row>
    <row r="926" spans="1:22" x14ac:dyDescent="0.35">
      <c r="A926" s="52">
        <v>49596</v>
      </c>
      <c r="B926" s="31">
        <v>46118</v>
      </c>
      <c r="C926" s="7" t="s">
        <v>337</v>
      </c>
      <c r="D926" s="7">
        <v>353</v>
      </c>
      <c r="E926" s="10">
        <f>IFERROR(SUMIFS('Base bordo CD'!M$2:M$875,'Base bordo CD'!D$2:D$875,A926,'Base bordo CD'!A$2:A$875,B926,'Base bordo CD'!L$2:L$875,"CORTE DE CANA MECANIZADO"),0)</f>
        <v>0</v>
      </c>
      <c r="F926" s="10">
        <f>IFERROR(SUMIFS('Base bordo CD'!M$2:M$875,'Base bordo CD'!D$2:D$875,A926,'Base bordo CD'!A$2:A$875,B926,'Base bordo CD'!L$2:L$875,"MANOBRA"),0)</f>
        <v>0</v>
      </c>
      <c r="G926" s="10">
        <f>IFERROR(SUMIFS('Base bordo CD'!M$2:M$875,'Base bordo CD'!D$2:D$875,A926,'Base bordo CD'!A$2:A$875,B926,'Base bordo CD'!L$2:L$875,"DESLOCAMENTO"),0)</f>
        <v>0</v>
      </c>
      <c r="H926" s="10">
        <f>IFERROR(SUMIFS('Base bordo CD'!M$2:M$875,'Base bordo CD'!D$2:D$875,A926,'Base bordo CD'!A$2:A$875,B926,'Base bordo CD'!L$2:L$875,"AGUARDANDO MANOBRA DE TRANSBORDO"),0)+IFERROR(SUMIFS('Base bordo CD'!M$2:M$875,'Base bordo CD'!D$2:D$875,A926,'Base bordo CD'!A$2:A$875,B926,'Base bordo CD'!L$2:L$875,"FALTA DE TRANSBORDO"),0)</f>
        <v>0</v>
      </c>
      <c r="I926" s="10">
        <f>IFERROR(SUMIFS('Base bordo CD'!M$2:M$875,'Base bordo CD'!D$2:D$875,A926,'Base bordo CD'!A$2:A$875,B926,'Base bordo CD'!L$2:L$875,"PARADA POR CONDICOES CLIMATICAS"),0)+IFERROR(SUMIFS('Base bordo CD'!M$2:M$875,'Base bordo CD'!D$2:D$875,A926,'Base bordo CD'!A$2:A$875,B926,'Base bordo CD'!L$2:L$875,"TEMPO INDETERMINADO"),0)</f>
        <v>0</v>
      </c>
      <c r="J926" s="10">
        <f>IFERROR(SUMIFS('Base bordo CD'!M$2:M$875,'Base bordo CD'!D$2:D$875,A926,'Base bordo CD'!A$2:A$875,B926,'Base bordo CD'!L$2:L$875,"LIMITAÇÃO INDÚSTRIA"),0)</f>
        <v>0</v>
      </c>
      <c r="K926" s="10">
        <f>IFERROR(SUMIFS('Base bordo CD'!M$2:M$875,'Base bordo CD'!D$2:D$875,A926,'Base bordo CD'!A$2:A$875,B926,'Base bordo CD'!L$2:L$875,"MAN CORRETIVA*"),0)+IFERROR(SUMIFS('Base bordo CD'!M$2:M$875,'Base bordo CD'!D$2:D$875,A926,'Base bordo CD'!A$2:A$875,B926,'Base bordo CD'!L$2:L$875,"AGUARDANDO MANUTENCAO*"),0)+IFERROR(SUMIFS('Base bordo CD'!M$2:M$875,'Base bordo CD'!D$2:D$875,A926,'Base bordo CD'!A$2:A$875,B926,'Base bordo CD'!L$2:L$875,"TROCA DE FAQUINHA"),0)+IFERROR(SUMIFS('Base bordo CD'!M$2:M$875,'Base bordo CD'!D$2:D$875,A926,'Base bordo CD'!A$2:A$875,B926,'Base bordo CD'!L$2:L$875,"LIMPEZA*"),0)</f>
        <v>0</v>
      </c>
      <c r="L926" s="10">
        <f>IFERROR(SUMIFS('Base bordo CD'!M$2:M$875,'Base bordo CD'!D$2:D$875,A926,'Base bordo CD'!A$2:A$875,B926,'Base bordo CD'!L$2:L$875,"PATIO - RESERVA"),0)</f>
        <v>0</v>
      </c>
      <c r="M926" s="10">
        <f>IFERROR(SUMIFS('Base bordo CD'!M$2:M$875,'Base bordo CD'!D$2:D$875,A926,'Base bordo CD'!A$2:A$875,B926,'Base bordo CD'!L$2:L$875,"SEM APONTAMENTO"),0)</f>
        <v>0</v>
      </c>
      <c r="N926" s="10">
        <f>IFERROR(SUMIFS('Base bordo CD'!M$2:M$875,'Base bordo CD'!D$2:D$875,A926,'Base bordo CD'!A$2:A$875,B926,'Base bordo CD'!L$2:L$875,"FALTA DE CAMINHÃO"),0)+IFERROR(SUMIFS('Base bordo CD'!M$2:M$875,'Base bordo CD'!D$2:D$875,A926,'Base bordo CD'!A$2:A$875,B926,'Base bordo CD'!L$2:L$875,"FALTA DE COMBUSTIVEL"),0)+IFERROR(SUMIFS('Base bordo CD'!M$2:M$875,'Base bordo CD'!D$2:D$875,A926,'Base bordo CD'!A$2:A$875,B926,'Base bordo CD'!L$2:L$875,"FALTA DE MOTORIST*"),0)</f>
        <v>0</v>
      </c>
      <c r="O926" s="10">
        <f t="shared" si="75"/>
        <v>0</v>
      </c>
      <c r="P926" s="10">
        <f>IFERROR(SUMIFS('Base bordo CD'!M$2:M$875,'Base bordo CD'!D$2:D$875,A926,'Base bordo CD'!A$2:A$875,B926),0)</f>
        <v>0</v>
      </c>
      <c r="Q926" s="10">
        <f>IFERROR(SUMIFS('Base bordo CD'!O$2:O$875,'Base bordo CD'!D$2:D$875,A926,'Base bordo CD'!A$2:A$875,B926,'Base bordo CD'!L$2:L$875,"CORTE DE CANA MECANIZADO"),0)</f>
        <v>0</v>
      </c>
      <c r="R926" s="10">
        <f>IFERROR(SUMIFS('Base bordo CD'!Q$2:Q$875,'Base bordo CD'!D$2:D$875,A926,'Base bordo CD'!A$2:A$875,B926,'Base bordo CD'!L$2:L$875,"CORTE DE CANA MECANIZADO"),0)</f>
        <v>0</v>
      </c>
      <c r="S926" s="30" t="str">
        <f t="shared" si="76"/>
        <v/>
      </c>
      <c r="T926" s="9">
        <f t="shared" si="77"/>
        <v>0</v>
      </c>
      <c r="U926" s="9">
        <f t="shared" si="78"/>
        <v>0</v>
      </c>
      <c r="V926" s="9">
        <f t="shared" si="79"/>
        <v>0</v>
      </c>
    </row>
    <row r="927" spans="1:22" x14ac:dyDescent="0.35">
      <c r="A927" s="52">
        <v>49596</v>
      </c>
      <c r="B927" s="31">
        <v>46118</v>
      </c>
      <c r="C927" s="7" t="s">
        <v>337</v>
      </c>
      <c r="D927" s="7">
        <v>353</v>
      </c>
      <c r="E927" s="10">
        <f>IFERROR(SUMIFS('Base bordo CD'!M$2:M$875,'Base bordo CD'!D$2:D$875,A927,'Base bordo CD'!A$2:A$875,B927,'Base bordo CD'!L$2:L$875,"CORTE DE CANA MECANIZADO"),0)</f>
        <v>0</v>
      </c>
      <c r="F927" s="10">
        <f>IFERROR(SUMIFS('Base bordo CD'!M$2:M$875,'Base bordo CD'!D$2:D$875,A927,'Base bordo CD'!A$2:A$875,B927,'Base bordo CD'!L$2:L$875,"MANOBRA"),0)</f>
        <v>0</v>
      </c>
      <c r="G927" s="10">
        <f>IFERROR(SUMIFS('Base bordo CD'!M$2:M$875,'Base bordo CD'!D$2:D$875,A927,'Base bordo CD'!A$2:A$875,B927,'Base bordo CD'!L$2:L$875,"DESLOCAMENTO"),0)</f>
        <v>0</v>
      </c>
      <c r="H927" s="10">
        <f>IFERROR(SUMIFS('Base bordo CD'!M$2:M$875,'Base bordo CD'!D$2:D$875,A927,'Base bordo CD'!A$2:A$875,B927,'Base bordo CD'!L$2:L$875,"AGUARDANDO MANOBRA DE TRANSBORDO"),0)+IFERROR(SUMIFS('Base bordo CD'!M$2:M$875,'Base bordo CD'!D$2:D$875,A927,'Base bordo CD'!A$2:A$875,B927,'Base bordo CD'!L$2:L$875,"FALTA DE TRANSBORDO"),0)</f>
        <v>0</v>
      </c>
      <c r="I927" s="10">
        <f>IFERROR(SUMIFS('Base bordo CD'!M$2:M$875,'Base bordo CD'!D$2:D$875,A927,'Base bordo CD'!A$2:A$875,B927,'Base bordo CD'!L$2:L$875,"PARADA POR CONDICOES CLIMATICAS"),0)+IFERROR(SUMIFS('Base bordo CD'!M$2:M$875,'Base bordo CD'!D$2:D$875,A927,'Base bordo CD'!A$2:A$875,B927,'Base bordo CD'!L$2:L$875,"TEMPO INDETERMINADO"),0)</f>
        <v>0</v>
      </c>
      <c r="J927" s="10">
        <f>IFERROR(SUMIFS('Base bordo CD'!M$2:M$875,'Base bordo CD'!D$2:D$875,A927,'Base bordo CD'!A$2:A$875,B927,'Base bordo CD'!L$2:L$875,"LIMITAÇÃO INDÚSTRIA"),0)</f>
        <v>0</v>
      </c>
      <c r="K927" s="10">
        <f>IFERROR(SUMIFS('Base bordo CD'!M$2:M$875,'Base bordo CD'!D$2:D$875,A927,'Base bordo CD'!A$2:A$875,B927,'Base bordo CD'!L$2:L$875,"MAN CORRETIVA*"),0)+IFERROR(SUMIFS('Base bordo CD'!M$2:M$875,'Base bordo CD'!D$2:D$875,A927,'Base bordo CD'!A$2:A$875,B927,'Base bordo CD'!L$2:L$875,"AGUARDANDO MANUTENCAO*"),0)+IFERROR(SUMIFS('Base bordo CD'!M$2:M$875,'Base bordo CD'!D$2:D$875,A927,'Base bordo CD'!A$2:A$875,B927,'Base bordo CD'!L$2:L$875,"TROCA DE FAQUINHA"),0)+IFERROR(SUMIFS('Base bordo CD'!M$2:M$875,'Base bordo CD'!D$2:D$875,A927,'Base bordo CD'!A$2:A$875,B927,'Base bordo CD'!L$2:L$875,"LIMPEZA*"),0)</f>
        <v>0</v>
      </c>
      <c r="L927" s="10">
        <f>IFERROR(SUMIFS('Base bordo CD'!M$2:M$875,'Base bordo CD'!D$2:D$875,A927,'Base bordo CD'!A$2:A$875,B927,'Base bordo CD'!L$2:L$875,"PATIO - RESERVA"),0)</f>
        <v>0</v>
      </c>
      <c r="M927" s="10">
        <f>IFERROR(SUMIFS('Base bordo CD'!M$2:M$875,'Base bordo CD'!D$2:D$875,A927,'Base bordo CD'!A$2:A$875,B927,'Base bordo CD'!L$2:L$875,"SEM APONTAMENTO"),0)</f>
        <v>0</v>
      </c>
      <c r="N927" s="10">
        <f>IFERROR(SUMIFS('Base bordo CD'!M$2:M$875,'Base bordo CD'!D$2:D$875,A927,'Base bordo CD'!A$2:A$875,B927,'Base bordo CD'!L$2:L$875,"FALTA DE CAMINHÃO"),0)+IFERROR(SUMIFS('Base bordo CD'!M$2:M$875,'Base bordo CD'!D$2:D$875,A927,'Base bordo CD'!A$2:A$875,B927,'Base bordo CD'!L$2:L$875,"FALTA DE COMBUSTIVEL"),0)+IFERROR(SUMIFS('Base bordo CD'!M$2:M$875,'Base bordo CD'!D$2:D$875,A927,'Base bordo CD'!A$2:A$875,B927,'Base bordo CD'!L$2:L$875,"FALTA DE MOTORIST*"),0)</f>
        <v>0</v>
      </c>
      <c r="O927" s="10">
        <f t="shared" si="75"/>
        <v>0</v>
      </c>
      <c r="P927" s="10">
        <f>IFERROR(SUMIFS('Base bordo CD'!M$2:M$875,'Base bordo CD'!D$2:D$875,A927,'Base bordo CD'!A$2:A$875,B927),0)</f>
        <v>0</v>
      </c>
      <c r="Q927" s="10">
        <f>IFERROR(SUMIFS('Base bordo CD'!O$2:O$875,'Base bordo CD'!D$2:D$875,A927,'Base bordo CD'!A$2:A$875,B927,'Base bordo CD'!L$2:L$875,"CORTE DE CANA MECANIZADO"),0)</f>
        <v>0</v>
      </c>
      <c r="R927" s="10">
        <f>IFERROR(SUMIFS('Base bordo CD'!Q$2:Q$875,'Base bordo CD'!D$2:D$875,A927,'Base bordo CD'!A$2:A$875,B927,'Base bordo CD'!L$2:L$875,"CORTE DE CANA MECANIZADO"),0)</f>
        <v>0</v>
      </c>
      <c r="S927" s="30" t="str">
        <f t="shared" si="76"/>
        <v/>
      </c>
      <c r="T927" s="9">
        <f t="shared" si="77"/>
        <v>0</v>
      </c>
      <c r="U927" s="9">
        <f t="shared" si="78"/>
        <v>0</v>
      </c>
      <c r="V927" s="9">
        <f t="shared" si="79"/>
        <v>0</v>
      </c>
    </row>
    <row r="928" spans="1:22" x14ac:dyDescent="0.35">
      <c r="A928" s="52">
        <v>49596</v>
      </c>
      <c r="B928" s="31">
        <v>46118</v>
      </c>
      <c r="C928" s="7" t="s">
        <v>337</v>
      </c>
      <c r="D928" s="7">
        <v>353</v>
      </c>
      <c r="E928" s="10">
        <f>IFERROR(SUMIFS('Base bordo CD'!M$2:M$875,'Base bordo CD'!D$2:D$875,A928,'Base bordo CD'!A$2:A$875,B928,'Base bordo CD'!L$2:L$875,"CORTE DE CANA MECANIZADO"),0)</f>
        <v>0</v>
      </c>
      <c r="F928" s="10">
        <f>IFERROR(SUMIFS('Base bordo CD'!M$2:M$875,'Base bordo CD'!D$2:D$875,A928,'Base bordo CD'!A$2:A$875,B928,'Base bordo CD'!L$2:L$875,"MANOBRA"),0)</f>
        <v>0</v>
      </c>
      <c r="G928" s="10">
        <f>IFERROR(SUMIFS('Base bordo CD'!M$2:M$875,'Base bordo CD'!D$2:D$875,A928,'Base bordo CD'!A$2:A$875,B928,'Base bordo CD'!L$2:L$875,"DESLOCAMENTO"),0)</f>
        <v>0</v>
      </c>
      <c r="H928" s="10">
        <f>IFERROR(SUMIFS('Base bordo CD'!M$2:M$875,'Base bordo CD'!D$2:D$875,A928,'Base bordo CD'!A$2:A$875,B928,'Base bordo CD'!L$2:L$875,"AGUARDANDO MANOBRA DE TRANSBORDO"),0)+IFERROR(SUMIFS('Base bordo CD'!M$2:M$875,'Base bordo CD'!D$2:D$875,A928,'Base bordo CD'!A$2:A$875,B928,'Base bordo CD'!L$2:L$875,"FALTA DE TRANSBORDO"),0)</f>
        <v>0</v>
      </c>
      <c r="I928" s="10">
        <f>IFERROR(SUMIFS('Base bordo CD'!M$2:M$875,'Base bordo CD'!D$2:D$875,A928,'Base bordo CD'!A$2:A$875,B928,'Base bordo CD'!L$2:L$875,"PARADA POR CONDICOES CLIMATICAS"),0)+IFERROR(SUMIFS('Base bordo CD'!M$2:M$875,'Base bordo CD'!D$2:D$875,A928,'Base bordo CD'!A$2:A$875,B928,'Base bordo CD'!L$2:L$875,"TEMPO INDETERMINADO"),0)</f>
        <v>0</v>
      </c>
      <c r="J928" s="10">
        <f>IFERROR(SUMIFS('Base bordo CD'!M$2:M$875,'Base bordo CD'!D$2:D$875,A928,'Base bordo CD'!A$2:A$875,B928,'Base bordo CD'!L$2:L$875,"LIMITAÇÃO INDÚSTRIA"),0)</f>
        <v>0</v>
      </c>
      <c r="K928" s="10">
        <f>IFERROR(SUMIFS('Base bordo CD'!M$2:M$875,'Base bordo CD'!D$2:D$875,A928,'Base bordo CD'!A$2:A$875,B928,'Base bordo CD'!L$2:L$875,"MAN CORRETIVA*"),0)+IFERROR(SUMIFS('Base bordo CD'!M$2:M$875,'Base bordo CD'!D$2:D$875,A928,'Base bordo CD'!A$2:A$875,B928,'Base bordo CD'!L$2:L$875,"AGUARDANDO MANUTENCAO*"),0)+IFERROR(SUMIFS('Base bordo CD'!M$2:M$875,'Base bordo CD'!D$2:D$875,A928,'Base bordo CD'!A$2:A$875,B928,'Base bordo CD'!L$2:L$875,"TROCA DE FAQUINHA"),0)+IFERROR(SUMIFS('Base bordo CD'!M$2:M$875,'Base bordo CD'!D$2:D$875,A928,'Base bordo CD'!A$2:A$875,B928,'Base bordo CD'!L$2:L$875,"LIMPEZA*"),0)</f>
        <v>0</v>
      </c>
      <c r="L928" s="10">
        <f>IFERROR(SUMIFS('Base bordo CD'!M$2:M$875,'Base bordo CD'!D$2:D$875,A928,'Base bordo CD'!A$2:A$875,B928,'Base bordo CD'!L$2:L$875,"PATIO - RESERVA"),0)</f>
        <v>0</v>
      </c>
      <c r="M928" s="10">
        <f>IFERROR(SUMIFS('Base bordo CD'!M$2:M$875,'Base bordo CD'!D$2:D$875,A928,'Base bordo CD'!A$2:A$875,B928,'Base bordo CD'!L$2:L$875,"SEM APONTAMENTO"),0)</f>
        <v>0</v>
      </c>
      <c r="N928" s="10">
        <f>IFERROR(SUMIFS('Base bordo CD'!M$2:M$875,'Base bordo CD'!D$2:D$875,A928,'Base bordo CD'!A$2:A$875,B928,'Base bordo CD'!L$2:L$875,"FALTA DE CAMINHÃO"),0)+IFERROR(SUMIFS('Base bordo CD'!M$2:M$875,'Base bordo CD'!D$2:D$875,A928,'Base bordo CD'!A$2:A$875,B928,'Base bordo CD'!L$2:L$875,"FALTA DE COMBUSTIVEL"),0)+IFERROR(SUMIFS('Base bordo CD'!M$2:M$875,'Base bordo CD'!D$2:D$875,A928,'Base bordo CD'!A$2:A$875,B928,'Base bordo CD'!L$2:L$875,"FALTA DE MOTORIST*"),0)</f>
        <v>0</v>
      </c>
      <c r="O928" s="10">
        <f t="shared" si="75"/>
        <v>0</v>
      </c>
      <c r="P928" s="10">
        <f>IFERROR(SUMIFS('Base bordo CD'!M$2:M$875,'Base bordo CD'!D$2:D$875,A928,'Base bordo CD'!A$2:A$875,B928),0)</f>
        <v>0</v>
      </c>
      <c r="Q928" s="10">
        <f>IFERROR(SUMIFS('Base bordo CD'!O$2:O$875,'Base bordo CD'!D$2:D$875,A928,'Base bordo CD'!A$2:A$875,B928,'Base bordo CD'!L$2:L$875,"CORTE DE CANA MECANIZADO"),0)</f>
        <v>0</v>
      </c>
      <c r="R928" s="10">
        <f>IFERROR(SUMIFS('Base bordo CD'!Q$2:Q$875,'Base bordo CD'!D$2:D$875,A928,'Base bordo CD'!A$2:A$875,B928,'Base bordo CD'!L$2:L$875,"CORTE DE CANA MECANIZADO"),0)</f>
        <v>0</v>
      </c>
      <c r="S928" s="30" t="str">
        <f t="shared" si="76"/>
        <v/>
      </c>
      <c r="T928" s="9">
        <f t="shared" si="77"/>
        <v>0</v>
      </c>
      <c r="U928" s="9">
        <f t="shared" si="78"/>
        <v>0</v>
      </c>
      <c r="V928" s="9">
        <f t="shared" si="79"/>
        <v>0</v>
      </c>
    </row>
    <row r="929" spans="1:22" x14ac:dyDescent="0.35">
      <c r="A929" s="52">
        <v>49596</v>
      </c>
      <c r="B929" s="31">
        <v>46118</v>
      </c>
      <c r="C929" s="7" t="s">
        <v>337</v>
      </c>
      <c r="D929" s="7">
        <v>353</v>
      </c>
      <c r="E929" s="10">
        <f>IFERROR(SUMIFS('Base bordo CD'!M$2:M$875,'Base bordo CD'!D$2:D$875,A929,'Base bordo CD'!A$2:A$875,B929,'Base bordo CD'!L$2:L$875,"CORTE DE CANA MECANIZADO"),0)</f>
        <v>0</v>
      </c>
      <c r="F929" s="10">
        <f>IFERROR(SUMIFS('Base bordo CD'!M$2:M$875,'Base bordo CD'!D$2:D$875,A929,'Base bordo CD'!A$2:A$875,B929,'Base bordo CD'!L$2:L$875,"MANOBRA"),0)</f>
        <v>0</v>
      </c>
      <c r="G929" s="10">
        <f>IFERROR(SUMIFS('Base bordo CD'!M$2:M$875,'Base bordo CD'!D$2:D$875,A929,'Base bordo CD'!A$2:A$875,B929,'Base bordo CD'!L$2:L$875,"DESLOCAMENTO"),0)</f>
        <v>0</v>
      </c>
      <c r="H929" s="10">
        <f>IFERROR(SUMIFS('Base bordo CD'!M$2:M$875,'Base bordo CD'!D$2:D$875,A929,'Base bordo CD'!A$2:A$875,B929,'Base bordo CD'!L$2:L$875,"AGUARDANDO MANOBRA DE TRANSBORDO"),0)+IFERROR(SUMIFS('Base bordo CD'!M$2:M$875,'Base bordo CD'!D$2:D$875,A929,'Base bordo CD'!A$2:A$875,B929,'Base bordo CD'!L$2:L$875,"FALTA DE TRANSBORDO"),0)</f>
        <v>0</v>
      </c>
      <c r="I929" s="10">
        <f>IFERROR(SUMIFS('Base bordo CD'!M$2:M$875,'Base bordo CD'!D$2:D$875,A929,'Base bordo CD'!A$2:A$875,B929,'Base bordo CD'!L$2:L$875,"PARADA POR CONDICOES CLIMATICAS"),0)+IFERROR(SUMIFS('Base bordo CD'!M$2:M$875,'Base bordo CD'!D$2:D$875,A929,'Base bordo CD'!A$2:A$875,B929,'Base bordo CD'!L$2:L$875,"TEMPO INDETERMINADO"),0)</f>
        <v>0</v>
      </c>
      <c r="J929" s="10">
        <f>IFERROR(SUMIFS('Base bordo CD'!M$2:M$875,'Base bordo CD'!D$2:D$875,A929,'Base bordo CD'!A$2:A$875,B929,'Base bordo CD'!L$2:L$875,"LIMITAÇÃO INDÚSTRIA"),0)</f>
        <v>0</v>
      </c>
      <c r="K929" s="10">
        <f>IFERROR(SUMIFS('Base bordo CD'!M$2:M$875,'Base bordo CD'!D$2:D$875,A929,'Base bordo CD'!A$2:A$875,B929,'Base bordo CD'!L$2:L$875,"MAN CORRETIVA*"),0)+IFERROR(SUMIFS('Base bordo CD'!M$2:M$875,'Base bordo CD'!D$2:D$875,A929,'Base bordo CD'!A$2:A$875,B929,'Base bordo CD'!L$2:L$875,"AGUARDANDO MANUTENCAO*"),0)+IFERROR(SUMIFS('Base bordo CD'!M$2:M$875,'Base bordo CD'!D$2:D$875,A929,'Base bordo CD'!A$2:A$875,B929,'Base bordo CD'!L$2:L$875,"TROCA DE FAQUINHA"),0)+IFERROR(SUMIFS('Base bordo CD'!M$2:M$875,'Base bordo CD'!D$2:D$875,A929,'Base bordo CD'!A$2:A$875,B929,'Base bordo CD'!L$2:L$875,"LIMPEZA*"),0)</f>
        <v>0</v>
      </c>
      <c r="L929" s="10">
        <f>IFERROR(SUMIFS('Base bordo CD'!M$2:M$875,'Base bordo CD'!D$2:D$875,A929,'Base bordo CD'!A$2:A$875,B929,'Base bordo CD'!L$2:L$875,"PATIO - RESERVA"),0)</f>
        <v>0</v>
      </c>
      <c r="M929" s="10">
        <f>IFERROR(SUMIFS('Base bordo CD'!M$2:M$875,'Base bordo CD'!D$2:D$875,A929,'Base bordo CD'!A$2:A$875,B929,'Base bordo CD'!L$2:L$875,"SEM APONTAMENTO"),0)</f>
        <v>0</v>
      </c>
      <c r="N929" s="10">
        <f>IFERROR(SUMIFS('Base bordo CD'!M$2:M$875,'Base bordo CD'!D$2:D$875,A929,'Base bordo CD'!A$2:A$875,B929,'Base bordo CD'!L$2:L$875,"FALTA DE CAMINHÃO"),0)+IFERROR(SUMIFS('Base bordo CD'!M$2:M$875,'Base bordo CD'!D$2:D$875,A929,'Base bordo CD'!A$2:A$875,B929,'Base bordo CD'!L$2:L$875,"FALTA DE COMBUSTIVEL"),0)+IFERROR(SUMIFS('Base bordo CD'!M$2:M$875,'Base bordo CD'!D$2:D$875,A929,'Base bordo CD'!A$2:A$875,B929,'Base bordo CD'!L$2:L$875,"FALTA DE MOTORIST*"),0)</f>
        <v>0</v>
      </c>
      <c r="O929" s="10">
        <f t="shared" si="75"/>
        <v>0</v>
      </c>
      <c r="P929" s="10">
        <f>IFERROR(SUMIFS('Base bordo CD'!M$2:M$875,'Base bordo CD'!D$2:D$875,A929,'Base bordo CD'!A$2:A$875,B929),0)</f>
        <v>0</v>
      </c>
      <c r="Q929" s="10">
        <f>IFERROR(SUMIFS('Base bordo CD'!O$2:O$875,'Base bordo CD'!D$2:D$875,A929,'Base bordo CD'!A$2:A$875,B929,'Base bordo CD'!L$2:L$875,"CORTE DE CANA MECANIZADO"),0)</f>
        <v>0</v>
      </c>
      <c r="R929" s="10">
        <f>IFERROR(SUMIFS('Base bordo CD'!Q$2:Q$875,'Base bordo CD'!D$2:D$875,A929,'Base bordo CD'!A$2:A$875,B929,'Base bordo CD'!L$2:L$875,"CORTE DE CANA MECANIZADO"),0)</f>
        <v>0</v>
      </c>
      <c r="S929" s="30" t="str">
        <f t="shared" si="76"/>
        <v/>
      </c>
      <c r="T929" s="9">
        <f t="shared" si="77"/>
        <v>0</v>
      </c>
      <c r="U929" s="9">
        <f t="shared" si="78"/>
        <v>0</v>
      </c>
      <c r="V929" s="9">
        <f t="shared" si="79"/>
        <v>0</v>
      </c>
    </row>
    <row r="930" spans="1:22" x14ac:dyDescent="0.35">
      <c r="A930" s="52">
        <v>49596</v>
      </c>
      <c r="B930" s="31">
        <v>46118</v>
      </c>
      <c r="C930" s="7" t="s">
        <v>337</v>
      </c>
      <c r="D930" s="7">
        <v>353</v>
      </c>
      <c r="E930" s="10">
        <f>IFERROR(SUMIFS('Base bordo CD'!M$2:M$875,'Base bordo CD'!D$2:D$875,A930,'Base bordo CD'!A$2:A$875,B930,'Base bordo CD'!L$2:L$875,"CORTE DE CANA MECANIZADO"),0)</f>
        <v>0</v>
      </c>
      <c r="F930" s="10">
        <f>IFERROR(SUMIFS('Base bordo CD'!M$2:M$875,'Base bordo CD'!D$2:D$875,A930,'Base bordo CD'!A$2:A$875,B930,'Base bordo CD'!L$2:L$875,"MANOBRA"),0)</f>
        <v>0</v>
      </c>
      <c r="G930" s="10">
        <f>IFERROR(SUMIFS('Base bordo CD'!M$2:M$875,'Base bordo CD'!D$2:D$875,A930,'Base bordo CD'!A$2:A$875,B930,'Base bordo CD'!L$2:L$875,"DESLOCAMENTO"),0)</f>
        <v>0</v>
      </c>
      <c r="H930" s="10">
        <f>IFERROR(SUMIFS('Base bordo CD'!M$2:M$875,'Base bordo CD'!D$2:D$875,A930,'Base bordo CD'!A$2:A$875,B930,'Base bordo CD'!L$2:L$875,"AGUARDANDO MANOBRA DE TRANSBORDO"),0)+IFERROR(SUMIFS('Base bordo CD'!M$2:M$875,'Base bordo CD'!D$2:D$875,A930,'Base bordo CD'!A$2:A$875,B930,'Base bordo CD'!L$2:L$875,"FALTA DE TRANSBORDO"),0)</f>
        <v>0</v>
      </c>
      <c r="I930" s="10">
        <f>IFERROR(SUMIFS('Base bordo CD'!M$2:M$875,'Base bordo CD'!D$2:D$875,A930,'Base bordo CD'!A$2:A$875,B930,'Base bordo CD'!L$2:L$875,"PARADA POR CONDICOES CLIMATICAS"),0)+IFERROR(SUMIFS('Base bordo CD'!M$2:M$875,'Base bordo CD'!D$2:D$875,A930,'Base bordo CD'!A$2:A$875,B930,'Base bordo CD'!L$2:L$875,"TEMPO INDETERMINADO"),0)</f>
        <v>0</v>
      </c>
      <c r="J930" s="10">
        <f>IFERROR(SUMIFS('Base bordo CD'!M$2:M$875,'Base bordo CD'!D$2:D$875,A930,'Base bordo CD'!A$2:A$875,B930,'Base bordo CD'!L$2:L$875,"LIMITAÇÃO INDÚSTRIA"),0)</f>
        <v>0</v>
      </c>
      <c r="K930" s="10">
        <f>IFERROR(SUMIFS('Base bordo CD'!M$2:M$875,'Base bordo CD'!D$2:D$875,A930,'Base bordo CD'!A$2:A$875,B930,'Base bordo CD'!L$2:L$875,"MAN CORRETIVA*"),0)+IFERROR(SUMIFS('Base bordo CD'!M$2:M$875,'Base bordo CD'!D$2:D$875,A930,'Base bordo CD'!A$2:A$875,B930,'Base bordo CD'!L$2:L$875,"AGUARDANDO MANUTENCAO*"),0)+IFERROR(SUMIFS('Base bordo CD'!M$2:M$875,'Base bordo CD'!D$2:D$875,A930,'Base bordo CD'!A$2:A$875,B930,'Base bordo CD'!L$2:L$875,"TROCA DE FAQUINHA"),0)+IFERROR(SUMIFS('Base bordo CD'!M$2:M$875,'Base bordo CD'!D$2:D$875,A930,'Base bordo CD'!A$2:A$875,B930,'Base bordo CD'!L$2:L$875,"LIMPEZA*"),0)</f>
        <v>0</v>
      </c>
      <c r="L930" s="10">
        <f>IFERROR(SUMIFS('Base bordo CD'!M$2:M$875,'Base bordo CD'!D$2:D$875,A930,'Base bordo CD'!A$2:A$875,B930,'Base bordo CD'!L$2:L$875,"PATIO - RESERVA"),0)</f>
        <v>0</v>
      </c>
      <c r="M930" s="10">
        <f>IFERROR(SUMIFS('Base bordo CD'!M$2:M$875,'Base bordo CD'!D$2:D$875,A930,'Base bordo CD'!A$2:A$875,B930,'Base bordo CD'!L$2:L$875,"SEM APONTAMENTO"),0)</f>
        <v>0</v>
      </c>
      <c r="N930" s="10">
        <f>IFERROR(SUMIFS('Base bordo CD'!M$2:M$875,'Base bordo CD'!D$2:D$875,A930,'Base bordo CD'!A$2:A$875,B930,'Base bordo CD'!L$2:L$875,"FALTA DE CAMINHÃO"),0)+IFERROR(SUMIFS('Base bordo CD'!M$2:M$875,'Base bordo CD'!D$2:D$875,A930,'Base bordo CD'!A$2:A$875,B930,'Base bordo CD'!L$2:L$875,"FALTA DE COMBUSTIVEL"),0)+IFERROR(SUMIFS('Base bordo CD'!M$2:M$875,'Base bordo CD'!D$2:D$875,A930,'Base bordo CD'!A$2:A$875,B930,'Base bordo CD'!L$2:L$875,"FALTA DE MOTORIST*"),0)</f>
        <v>0</v>
      </c>
      <c r="O930" s="10">
        <f t="shared" si="75"/>
        <v>0</v>
      </c>
      <c r="P930" s="10">
        <f>IFERROR(SUMIFS('Base bordo CD'!M$2:M$875,'Base bordo CD'!D$2:D$875,A930,'Base bordo CD'!A$2:A$875,B930),0)</f>
        <v>0</v>
      </c>
      <c r="Q930" s="10">
        <f>IFERROR(SUMIFS('Base bordo CD'!O$2:O$875,'Base bordo CD'!D$2:D$875,A930,'Base bordo CD'!A$2:A$875,B930,'Base bordo CD'!L$2:L$875,"CORTE DE CANA MECANIZADO"),0)</f>
        <v>0</v>
      </c>
      <c r="R930" s="10">
        <f>IFERROR(SUMIFS('Base bordo CD'!Q$2:Q$875,'Base bordo CD'!D$2:D$875,A930,'Base bordo CD'!A$2:A$875,B930,'Base bordo CD'!L$2:L$875,"CORTE DE CANA MECANIZADO"),0)</f>
        <v>0</v>
      </c>
      <c r="S930" s="30" t="str">
        <f t="shared" si="76"/>
        <v/>
      </c>
      <c r="T930" s="9">
        <f t="shared" si="77"/>
        <v>0</v>
      </c>
      <c r="U930" s="9">
        <f t="shared" si="78"/>
        <v>0</v>
      </c>
      <c r="V930" s="9">
        <f t="shared" si="79"/>
        <v>0</v>
      </c>
    </row>
    <row r="931" spans="1:22" x14ac:dyDescent="0.35">
      <c r="A931" s="52">
        <v>49596</v>
      </c>
      <c r="B931" s="31">
        <v>46118</v>
      </c>
      <c r="C931" s="7" t="s">
        <v>337</v>
      </c>
      <c r="D931" s="7">
        <v>353</v>
      </c>
      <c r="E931" s="10">
        <f>IFERROR(SUMIFS('Base bordo CD'!M$2:M$875,'Base bordo CD'!D$2:D$875,A931,'Base bordo CD'!A$2:A$875,B931,'Base bordo CD'!L$2:L$875,"CORTE DE CANA MECANIZADO"),0)</f>
        <v>0</v>
      </c>
      <c r="F931" s="10">
        <f>IFERROR(SUMIFS('Base bordo CD'!M$2:M$875,'Base bordo CD'!D$2:D$875,A931,'Base bordo CD'!A$2:A$875,B931,'Base bordo CD'!L$2:L$875,"MANOBRA"),0)</f>
        <v>0</v>
      </c>
      <c r="G931" s="10">
        <f>IFERROR(SUMIFS('Base bordo CD'!M$2:M$875,'Base bordo CD'!D$2:D$875,A931,'Base bordo CD'!A$2:A$875,B931,'Base bordo CD'!L$2:L$875,"DESLOCAMENTO"),0)</f>
        <v>0</v>
      </c>
      <c r="H931" s="10">
        <f>IFERROR(SUMIFS('Base bordo CD'!M$2:M$875,'Base bordo CD'!D$2:D$875,A931,'Base bordo CD'!A$2:A$875,B931,'Base bordo CD'!L$2:L$875,"AGUARDANDO MANOBRA DE TRANSBORDO"),0)+IFERROR(SUMIFS('Base bordo CD'!M$2:M$875,'Base bordo CD'!D$2:D$875,A931,'Base bordo CD'!A$2:A$875,B931,'Base bordo CD'!L$2:L$875,"FALTA DE TRANSBORDO"),0)</f>
        <v>0</v>
      </c>
      <c r="I931" s="10">
        <f>IFERROR(SUMIFS('Base bordo CD'!M$2:M$875,'Base bordo CD'!D$2:D$875,A931,'Base bordo CD'!A$2:A$875,B931,'Base bordo CD'!L$2:L$875,"PARADA POR CONDICOES CLIMATICAS"),0)+IFERROR(SUMIFS('Base bordo CD'!M$2:M$875,'Base bordo CD'!D$2:D$875,A931,'Base bordo CD'!A$2:A$875,B931,'Base bordo CD'!L$2:L$875,"TEMPO INDETERMINADO"),0)</f>
        <v>0</v>
      </c>
      <c r="J931" s="10">
        <f>IFERROR(SUMIFS('Base bordo CD'!M$2:M$875,'Base bordo CD'!D$2:D$875,A931,'Base bordo CD'!A$2:A$875,B931,'Base bordo CD'!L$2:L$875,"LIMITAÇÃO INDÚSTRIA"),0)</f>
        <v>0</v>
      </c>
      <c r="K931" s="10">
        <f>IFERROR(SUMIFS('Base bordo CD'!M$2:M$875,'Base bordo CD'!D$2:D$875,A931,'Base bordo CD'!A$2:A$875,B931,'Base bordo CD'!L$2:L$875,"MAN CORRETIVA*"),0)+IFERROR(SUMIFS('Base bordo CD'!M$2:M$875,'Base bordo CD'!D$2:D$875,A931,'Base bordo CD'!A$2:A$875,B931,'Base bordo CD'!L$2:L$875,"AGUARDANDO MANUTENCAO*"),0)+IFERROR(SUMIFS('Base bordo CD'!M$2:M$875,'Base bordo CD'!D$2:D$875,A931,'Base bordo CD'!A$2:A$875,B931,'Base bordo CD'!L$2:L$875,"TROCA DE FAQUINHA"),0)+IFERROR(SUMIFS('Base bordo CD'!M$2:M$875,'Base bordo CD'!D$2:D$875,A931,'Base bordo CD'!A$2:A$875,B931,'Base bordo CD'!L$2:L$875,"LIMPEZA*"),0)</f>
        <v>0</v>
      </c>
      <c r="L931" s="10">
        <f>IFERROR(SUMIFS('Base bordo CD'!M$2:M$875,'Base bordo CD'!D$2:D$875,A931,'Base bordo CD'!A$2:A$875,B931,'Base bordo CD'!L$2:L$875,"PATIO - RESERVA"),0)</f>
        <v>0</v>
      </c>
      <c r="M931" s="10">
        <f>IFERROR(SUMIFS('Base bordo CD'!M$2:M$875,'Base bordo CD'!D$2:D$875,A931,'Base bordo CD'!A$2:A$875,B931,'Base bordo CD'!L$2:L$875,"SEM APONTAMENTO"),0)</f>
        <v>0</v>
      </c>
      <c r="N931" s="10">
        <f>IFERROR(SUMIFS('Base bordo CD'!M$2:M$875,'Base bordo CD'!D$2:D$875,A931,'Base bordo CD'!A$2:A$875,B931,'Base bordo CD'!L$2:L$875,"FALTA DE CAMINHÃO"),0)+IFERROR(SUMIFS('Base bordo CD'!M$2:M$875,'Base bordo CD'!D$2:D$875,A931,'Base bordo CD'!A$2:A$875,B931,'Base bordo CD'!L$2:L$875,"FALTA DE COMBUSTIVEL"),0)+IFERROR(SUMIFS('Base bordo CD'!M$2:M$875,'Base bordo CD'!D$2:D$875,A931,'Base bordo CD'!A$2:A$875,B931,'Base bordo CD'!L$2:L$875,"FALTA DE MOTORIST*"),0)</f>
        <v>0</v>
      </c>
      <c r="O931" s="10">
        <f t="shared" si="75"/>
        <v>0</v>
      </c>
      <c r="P931" s="10">
        <f>IFERROR(SUMIFS('Base bordo CD'!M$2:M$875,'Base bordo CD'!D$2:D$875,A931,'Base bordo CD'!A$2:A$875,B931),0)</f>
        <v>0</v>
      </c>
      <c r="Q931" s="10">
        <f>IFERROR(SUMIFS('Base bordo CD'!O$2:O$875,'Base bordo CD'!D$2:D$875,A931,'Base bordo CD'!A$2:A$875,B931,'Base bordo CD'!L$2:L$875,"CORTE DE CANA MECANIZADO"),0)</f>
        <v>0</v>
      </c>
      <c r="R931" s="10">
        <f>IFERROR(SUMIFS('Base bordo CD'!Q$2:Q$875,'Base bordo CD'!D$2:D$875,A931,'Base bordo CD'!A$2:A$875,B931,'Base bordo CD'!L$2:L$875,"CORTE DE CANA MECANIZADO"),0)</f>
        <v>0</v>
      </c>
      <c r="S931" s="30" t="str">
        <f t="shared" si="76"/>
        <v/>
      </c>
      <c r="T931" s="9">
        <f t="shared" si="77"/>
        <v>0</v>
      </c>
      <c r="U931" s="9">
        <f t="shared" si="78"/>
        <v>0</v>
      </c>
      <c r="V931" s="9">
        <f t="shared" si="79"/>
        <v>0</v>
      </c>
    </row>
    <row r="932" spans="1:22" x14ac:dyDescent="0.35">
      <c r="A932" s="52">
        <v>49596</v>
      </c>
      <c r="B932" s="31">
        <v>46118</v>
      </c>
      <c r="C932" s="7" t="s">
        <v>337</v>
      </c>
      <c r="D932" s="7">
        <v>353</v>
      </c>
      <c r="E932" s="10">
        <f>IFERROR(SUMIFS('Base bordo CD'!M$2:M$875,'Base bordo CD'!D$2:D$875,A932,'Base bordo CD'!A$2:A$875,B932,'Base bordo CD'!L$2:L$875,"CORTE DE CANA MECANIZADO"),0)</f>
        <v>0</v>
      </c>
      <c r="F932" s="10">
        <f>IFERROR(SUMIFS('Base bordo CD'!M$2:M$875,'Base bordo CD'!D$2:D$875,A932,'Base bordo CD'!A$2:A$875,B932,'Base bordo CD'!L$2:L$875,"MANOBRA"),0)</f>
        <v>0</v>
      </c>
      <c r="G932" s="10">
        <f>IFERROR(SUMIFS('Base bordo CD'!M$2:M$875,'Base bordo CD'!D$2:D$875,A932,'Base bordo CD'!A$2:A$875,B932,'Base bordo CD'!L$2:L$875,"DESLOCAMENTO"),0)</f>
        <v>0</v>
      </c>
      <c r="H932" s="10">
        <f>IFERROR(SUMIFS('Base bordo CD'!M$2:M$875,'Base bordo CD'!D$2:D$875,A932,'Base bordo CD'!A$2:A$875,B932,'Base bordo CD'!L$2:L$875,"AGUARDANDO MANOBRA DE TRANSBORDO"),0)+IFERROR(SUMIFS('Base bordo CD'!M$2:M$875,'Base bordo CD'!D$2:D$875,A932,'Base bordo CD'!A$2:A$875,B932,'Base bordo CD'!L$2:L$875,"FALTA DE TRANSBORDO"),0)</f>
        <v>0</v>
      </c>
      <c r="I932" s="10">
        <f>IFERROR(SUMIFS('Base bordo CD'!M$2:M$875,'Base bordo CD'!D$2:D$875,A932,'Base bordo CD'!A$2:A$875,B932,'Base bordo CD'!L$2:L$875,"PARADA POR CONDICOES CLIMATICAS"),0)+IFERROR(SUMIFS('Base bordo CD'!M$2:M$875,'Base bordo CD'!D$2:D$875,A932,'Base bordo CD'!A$2:A$875,B932,'Base bordo CD'!L$2:L$875,"TEMPO INDETERMINADO"),0)</f>
        <v>0</v>
      </c>
      <c r="J932" s="10">
        <f>IFERROR(SUMIFS('Base bordo CD'!M$2:M$875,'Base bordo CD'!D$2:D$875,A932,'Base bordo CD'!A$2:A$875,B932,'Base bordo CD'!L$2:L$875,"LIMITAÇÃO INDÚSTRIA"),0)</f>
        <v>0</v>
      </c>
      <c r="K932" s="10">
        <f>IFERROR(SUMIFS('Base bordo CD'!M$2:M$875,'Base bordo CD'!D$2:D$875,A932,'Base bordo CD'!A$2:A$875,B932,'Base bordo CD'!L$2:L$875,"MAN CORRETIVA*"),0)+IFERROR(SUMIFS('Base bordo CD'!M$2:M$875,'Base bordo CD'!D$2:D$875,A932,'Base bordo CD'!A$2:A$875,B932,'Base bordo CD'!L$2:L$875,"AGUARDANDO MANUTENCAO*"),0)+IFERROR(SUMIFS('Base bordo CD'!M$2:M$875,'Base bordo CD'!D$2:D$875,A932,'Base bordo CD'!A$2:A$875,B932,'Base bordo CD'!L$2:L$875,"TROCA DE FAQUINHA"),0)+IFERROR(SUMIFS('Base bordo CD'!M$2:M$875,'Base bordo CD'!D$2:D$875,A932,'Base bordo CD'!A$2:A$875,B932,'Base bordo CD'!L$2:L$875,"LIMPEZA*"),0)</f>
        <v>0</v>
      </c>
      <c r="L932" s="10">
        <f>IFERROR(SUMIFS('Base bordo CD'!M$2:M$875,'Base bordo CD'!D$2:D$875,A932,'Base bordo CD'!A$2:A$875,B932,'Base bordo CD'!L$2:L$875,"PATIO - RESERVA"),0)</f>
        <v>0</v>
      </c>
      <c r="M932" s="10">
        <f>IFERROR(SUMIFS('Base bordo CD'!M$2:M$875,'Base bordo CD'!D$2:D$875,A932,'Base bordo CD'!A$2:A$875,B932,'Base bordo CD'!L$2:L$875,"SEM APONTAMENTO"),0)</f>
        <v>0</v>
      </c>
      <c r="N932" s="10">
        <f>IFERROR(SUMIFS('Base bordo CD'!M$2:M$875,'Base bordo CD'!D$2:D$875,A932,'Base bordo CD'!A$2:A$875,B932,'Base bordo CD'!L$2:L$875,"FALTA DE CAMINHÃO"),0)+IFERROR(SUMIFS('Base bordo CD'!M$2:M$875,'Base bordo CD'!D$2:D$875,A932,'Base bordo CD'!A$2:A$875,B932,'Base bordo CD'!L$2:L$875,"FALTA DE COMBUSTIVEL"),0)+IFERROR(SUMIFS('Base bordo CD'!M$2:M$875,'Base bordo CD'!D$2:D$875,A932,'Base bordo CD'!A$2:A$875,B932,'Base bordo CD'!L$2:L$875,"FALTA DE MOTORIST*"),0)</f>
        <v>0</v>
      </c>
      <c r="O932" s="10">
        <f t="shared" si="75"/>
        <v>0</v>
      </c>
      <c r="P932" s="10">
        <f>IFERROR(SUMIFS('Base bordo CD'!M$2:M$875,'Base bordo CD'!D$2:D$875,A932,'Base bordo CD'!A$2:A$875,B932),0)</f>
        <v>0</v>
      </c>
      <c r="Q932" s="10">
        <f>IFERROR(SUMIFS('Base bordo CD'!O$2:O$875,'Base bordo CD'!D$2:D$875,A932,'Base bordo CD'!A$2:A$875,B932,'Base bordo CD'!L$2:L$875,"CORTE DE CANA MECANIZADO"),0)</f>
        <v>0</v>
      </c>
      <c r="R932" s="10">
        <f>IFERROR(SUMIFS('Base bordo CD'!Q$2:Q$875,'Base bordo CD'!D$2:D$875,A932,'Base bordo CD'!A$2:A$875,B932,'Base bordo CD'!L$2:L$875,"CORTE DE CANA MECANIZADO"),0)</f>
        <v>0</v>
      </c>
      <c r="S932" s="30" t="str">
        <f t="shared" si="76"/>
        <v/>
      </c>
      <c r="T932" s="9">
        <f t="shared" si="77"/>
        <v>0</v>
      </c>
      <c r="U932" s="9">
        <f t="shared" si="78"/>
        <v>0</v>
      </c>
      <c r="V932" s="9">
        <f t="shared" si="79"/>
        <v>0</v>
      </c>
    </row>
    <row r="933" spans="1:22" x14ac:dyDescent="0.35">
      <c r="A933" s="52">
        <v>49596</v>
      </c>
      <c r="B933" s="31">
        <v>46118</v>
      </c>
      <c r="C933" s="7" t="s">
        <v>337</v>
      </c>
      <c r="D933" s="7">
        <v>353</v>
      </c>
      <c r="E933" s="10">
        <f>IFERROR(SUMIFS('Base bordo CD'!M$2:M$875,'Base bordo CD'!D$2:D$875,A933,'Base bordo CD'!A$2:A$875,B933,'Base bordo CD'!L$2:L$875,"CORTE DE CANA MECANIZADO"),0)</f>
        <v>0</v>
      </c>
      <c r="F933" s="10">
        <f>IFERROR(SUMIFS('Base bordo CD'!M$2:M$875,'Base bordo CD'!D$2:D$875,A933,'Base bordo CD'!A$2:A$875,B933,'Base bordo CD'!L$2:L$875,"MANOBRA"),0)</f>
        <v>0</v>
      </c>
      <c r="G933" s="10">
        <f>IFERROR(SUMIFS('Base bordo CD'!M$2:M$875,'Base bordo CD'!D$2:D$875,A933,'Base bordo CD'!A$2:A$875,B933,'Base bordo CD'!L$2:L$875,"DESLOCAMENTO"),0)</f>
        <v>0</v>
      </c>
      <c r="H933" s="10">
        <f>IFERROR(SUMIFS('Base bordo CD'!M$2:M$875,'Base bordo CD'!D$2:D$875,A933,'Base bordo CD'!A$2:A$875,B933,'Base bordo CD'!L$2:L$875,"AGUARDANDO MANOBRA DE TRANSBORDO"),0)+IFERROR(SUMIFS('Base bordo CD'!M$2:M$875,'Base bordo CD'!D$2:D$875,A933,'Base bordo CD'!A$2:A$875,B933,'Base bordo CD'!L$2:L$875,"FALTA DE TRANSBORDO"),0)</f>
        <v>0</v>
      </c>
      <c r="I933" s="10">
        <f>IFERROR(SUMIFS('Base bordo CD'!M$2:M$875,'Base bordo CD'!D$2:D$875,A933,'Base bordo CD'!A$2:A$875,B933,'Base bordo CD'!L$2:L$875,"PARADA POR CONDICOES CLIMATICAS"),0)+IFERROR(SUMIFS('Base bordo CD'!M$2:M$875,'Base bordo CD'!D$2:D$875,A933,'Base bordo CD'!A$2:A$875,B933,'Base bordo CD'!L$2:L$875,"TEMPO INDETERMINADO"),0)</f>
        <v>0</v>
      </c>
      <c r="J933" s="10">
        <f>IFERROR(SUMIFS('Base bordo CD'!M$2:M$875,'Base bordo CD'!D$2:D$875,A933,'Base bordo CD'!A$2:A$875,B933,'Base bordo CD'!L$2:L$875,"LIMITAÇÃO INDÚSTRIA"),0)</f>
        <v>0</v>
      </c>
      <c r="K933" s="10">
        <f>IFERROR(SUMIFS('Base bordo CD'!M$2:M$875,'Base bordo CD'!D$2:D$875,A933,'Base bordo CD'!A$2:A$875,B933,'Base bordo CD'!L$2:L$875,"MAN CORRETIVA*"),0)+IFERROR(SUMIFS('Base bordo CD'!M$2:M$875,'Base bordo CD'!D$2:D$875,A933,'Base bordo CD'!A$2:A$875,B933,'Base bordo CD'!L$2:L$875,"AGUARDANDO MANUTENCAO*"),0)+IFERROR(SUMIFS('Base bordo CD'!M$2:M$875,'Base bordo CD'!D$2:D$875,A933,'Base bordo CD'!A$2:A$875,B933,'Base bordo CD'!L$2:L$875,"TROCA DE FAQUINHA"),0)+IFERROR(SUMIFS('Base bordo CD'!M$2:M$875,'Base bordo CD'!D$2:D$875,A933,'Base bordo CD'!A$2:A$875,B933,'Base bordo CD'!L$2:L$875,"LIMPEZA*"),0)</f>
        <v>0</v>
      </c>
      <c r="L933" s="10">
        <f>IFERROR(SUMIFS('Base bordo CD'!M$2:M$875,'Base bordo CD'!D$2:D$875,A933,'Base bordo CD'!A$2:A$875,B933,'Base bordo CD'!L$2:L$875,"PATIO - RESERVA"),0)</f>
        <v>0</v>
      </c>
      <c r="M933" s="10">
        <f>IFERROR(SUMIFS('Base bordo CD'!M$2:M$875,'Base bordo CD'!D$2:D$875,A933,'Base bordo CD'!A$2:A$875,B933,'Base bordo CD'!L$2:L$875,"SEM APONTAMENTO"),0)</f>
        <v>0</v>
      </c>
      <c r="N933" s="10">
        <f>IFERROR(SUMIFS('Base bordo CD'!M$2:M$875,'Base bordo CD'!D$2:D$875,A933,'Base bordo CD'!A$2:A$875,B933,'Base bordo CD'!L$2:L$875,"FALTA DE CAMINHÃO"),0)+IFERROR(SUMIFS('Base bordo CD'!M$2:M$875,'Base bordo CD'!D$2:D$875,A933,'Base bordo CD'!A$2:A$875,B933,'Base bordo CD'!L$2:L$875,"FALTA DE COMBUSTIVEL"),0)+IFERROR(SUMIFS('Base bordo CD'!M$2:M$875,'Base bordo CD'!D$2:D$875,A933,'Base bordo CD'!A$2:A$875,B933,'Base bordo CD'!L$2:L$875,"FALTA DE MOTORIST*"),0)</f>
        <v>0</v>
      </c>
      <c r="O933" s="10">
        <f t="shared" si="75"/>
        <v>0</v>
      </c>
      <c r="P933" s="10">
        <f>IFERROR(SUMIFS('Base bordo CD'!M$2:M$875,'Base bordo CD'!D$2:D$875,A933,'Base bordo CD'!A$2:A$875,B933),0)</f>
        <v>0</v>
      </c>
      <c r="Q933" s="10">
        <f>IFERROR(SUMIFS('Base bordo CD'!O$2:O$875,'Base bordo CD'!D$2:D$875,A933,'Base bordo CD'!A$2:A$875,B933,'Base bordo CD'!L$2:L$875,"CORTE DE CANA MECANIZADO"),0)</f>
        <v>0</v>
      </c>
      <c r="R933" s="10">
        <f>IFERROR(SUMIFS('Base bordo CD'!Q$2:Q$875,'Base bordo CD'!D$2:D$875,A933,'Base bordo CD'!A$2:A$875,B933,'Base bordo CD'!L$2:L$875,"CORTE DE CANA MECANIZADO"),0)</f>
        <v>0</v>
      </c>
      <c r="S933" s="30" t="str">
        <f t="shared" si="76"/>
        <v/>
      </c>
      <c r="T933" s="9">
        <f t="shared" si="77"/>
        <v>0</v>
      </c>
      <c r="U933" s="9">
        <f t="shared" si="78"/>
        <v>0</v>
      </c>
      <c r="V933" s="9">
        <f t="shared" si="79"/>
        <v>0</v>
      </c>
    </row>
    <row r="934" spans="1:22" x14ac:dyDescent="0.35">
      <c r="A934" s="52">
        <v>49596</v>
      </c>
      <c r="B934" s="31">
        <v>46118</v>
      </c>
      <c r="C934" s="7" t="s">
        <v>337</v>
      </c>
      <c r="D934" s="7">
        <v>353</v>
      </c>
      <c r="E934" s="10">
        <f>IFERROR(SUMIFS('Base bordo CD'!M$2:M$875,'Base bordo CD'!D$2:D$875,A934,'Base bordo CD'!A$2:A$875,B934,'Base bordo CD'!L$2:L$875,"CORTE DE CANA MECANIZADO"),0)</f>
        <v>0</v>
      </c>
      <c r="F934" s="10">
        <f>IFERROR(SUMIFS('Base bordo CD'!M$2:M$875,'Base bordo CD'!D$2:D$875,A934,'Base bordo CD'!A$2:A$875,B934,'Base bordo CD'!L$2:L$875,"MANOBRA"),0)</f>
        <v>0</v>
      </c>
      <c r="G934" s="10">
        <f>IFERROR(SUMIFS('Base bordo CD'!M$2:M$875,'Base bordo CD'!D$2:D$875,A934,'Base bordo CD'!A$2:A$875,B934,'Base bordo CD'!L$2:L$875,"DESLOCAMENTO"),0)</f>
        <v>0</v>
      </c>
      <c r="H934" s="10">
        <f>IFERROR(SUMIFS('Base bordo CD'!M$2:M$875,'Base bordo CD'!D$2:D$875,A934,'Base bordo CD'!A$2:A$875,B934,'Base bordo CD'!L$2:L$875,"AGUARDANDO MANOBRA DE TRANSBORDO"),0)+IFERROR(SUMIFS('Base bordo CD'!M$2:M$875,'Base bordo CD'!D$2:D$875,A934,'Base bordo CD'!A$2:A$875,B934,'Base bordo CD'!L$2:L$875,"FALTA DE TRANSBORDO"),0)</f>
        <v>0</v>
      </c>
      <c r="I934" s="10">
        <f>IFERROR(SUMIFS('Base bordo CD'!M$2:M$875,'Base bordo CD'!D$2:D$875,A934,'Base bordo CD'!A$2:A$875,B934,'Base bordo CD'!L$2:L$875,"PARADA POR CONDICOES CLIMATICAS"),0)+IFERROR(SUMIFS('Base bordo CD'!M$2:M$875,'Base bordo CD'!D$2:D$875,A934,'Base bordo CD'!A$2:A$875,B934,'Base bordo CD'!L$2:L$875,"TEMPO INDETERMINADO"),0)</f>
        <v>0</v>
      </c>
      <c r="J934" s="10">
        <f>IFERROR(SUMIFS('Base bordo CD'!M$2:M$875,'Base bordo CD'!D$2:D$875,A934,'Base bordo CD'!A$2:A$875,B934,'Base bordo CD'!L$2:L$875,"LIMITAÇÃO INDÚSTRIA"),0)</f>
        <v>0</v>
      </c>
      <c r="K934" s="10">
        <f>IFERROR(SUMIFS('Base bordo CD'!M$2:M$875,'Base bordo CD'!D$2:D$875,A934,'Base bordo CD'!A$2:A$875,B934,'Base bordo CD'!L$2:L$875,"MAN CORRETIVA*"),0)+IFERROR(SUMIFS('Base bordo CD'!M$2:M$875,'Base bordo CD'!D$2:D$875,A934,'Base bordo CD'!A$2:A$875,B934,'Base bordo CD'!L$2:L$875,"AGUARDANDO MANUTENCAO*"),0)+IFERROR(SUMIFS('Base bordo CD'!M$2:M$875,'Base bordo CD'!D$2:D$875,A934,'Base bordo CD'!A$2:A$875,B934,'Base bordo CD'!L$2:L$875,"TROCA DE FAQUINHA"),0)+IFERROR(SUMIFS('Base bordo CD'!M$2:M$875,'Base bordo CD'!D$2:D$875,A934,'Base bordo CD'!A$2:A$875,B934,'Base bordo CD'!L$2:L$875,"LIMPEZA*"),0)</f>
        <v>0</v>
      </c>
      <c r="L934" s="10">
        <f>IFERROR(SUMIFS('Base bordo CD'!M$2:M$875,'Base bordo CD'!D$2:D$875,A934,'Base bordo CD'!A$2:A$875,B934,'Base bordo CD'!L$2:L$875,"PATIO - RESERVA"),0)</f>
        <v>0</v>
      </c>
      <c r="M934" s="10">
        <f>IFERROR(SUMIFS('Base bordo CD'!M$2:M$875,'Base bordo CD'!D$2:D$875,A934,'Base bordo CD'!A$2:A$875,B934,'Base bordo CD'!L$2:L$875,"SEM APONTAMENTO"),0)</f>
        <v>0</v>
      </c>
      <c r="N934" s="10">
        <f>IFERROR(SUMIFS('Base bordo CD'!M$2:M$875,'Base bordo CD'!D$2:D$875,A934,'Base bordo CD'!A$2:A$875,B934,'Base bordo CD'!L$2:L$875,"FALTA DE CAMINHÃO"),0)+IFERROR(SUMIFS('Base bordo CD'!M$2:M$875,'Base bordo CD'!D$2:D$875,A934,'Base bordo CD'!A$2:A$875,B934,'Base bordo CD'!L$2:L$875,"FALTA DE COMBUSTIVEL"),0)+IFERROR(SUMIFS('Base bordo CD'!M$2:M$875,'Base bordo CD'!D$2:D$875,A934,'Base bordo CD'!A$2:A$875,B934,'Base bordo CD'!L$2:L$875,"FALTA DE MOTORIST*"),0)</f>
        <v>0</v>
      </c>
      <c r="O934" s="10">
        <f t="shared" si="75"/>
        <v>0</v>
      </c>
      <c r="P934" s="10">
        <f>IFERROR(SUMIFS('Base bordo CD'!M$2:M$875,'Base bordo CD'!D$2:D$875,A934,'Base bordo CD'!A$2:A$875,B934),0)</f>
        <v>0</v>
      </c>
      <c r="Q934" s="10">
        <f>IFERROR(SUMIFS('Base bordo CD'!O$2:O$875,'Base bordo CD'!D$2:D$875,A934,'Base bordo CD'!A$2:A$875,B934,'Base bordo CD'!L$2:L$875,"CORTE DE CANA MECANIZADO"),0)</f>
        <v>0</v>
      </c>
      <c r="R934" s="10">
        <f>IFERROR(SUMIFS('Base bordo CD'!Q$2:Q$875,'Base bordo CD'!D$2:D$875,A934,'Base bordo CD'!A$2:A$875,B934,'Base bordo CD'!L$2:L$875,"CORTE DE CANA MECANIZADO"),0)</f>
        <v>0</v>
      </c>
      <c r="S934" s="30" t="str">
        <f t="shared" si="76"/>
        <v/>
      </c>
      <c r="T934" s="9">
        <f t="shared" si="77"/>
        <v>0</v>
      </c>
      <c r="U934" s="9">
        <f t="shared" si="78"/>
        <v>0</v>
      </c>
      <c r="V934" s="9">
        <f t="shared" si="79"/>
        <v>0</v>
      </c>
    </row>
    <row r="935" spans="1:22" x14ac:dyDescent="0.35">
      <c r="A935" s="52">
        <v>49596</v>
      </c>
      <c r="B935" s="31">
        <v>46118</v>
      </c>
      <c r="C935" s="7" t="s">
        <v>337</v>
      </c>
      <c r="D935" s="7">
        <v>353</v>
      </c>
      <c r="E935" s="10">
        <f>IFERROR(SUMIFS('Base bordo CD'!M$2:M$875,'Base bordo CD'!D$2:D$875,A935,'Base bordo CD'!A$2:A$875,B935,'Base bordo CD'!L$2:L$875,"CORTE DE CANA MECANIZADO"),0)</f>
        <v>0</v>
      </c>
      <c r="F935" s="10">
        <f>IFERROR(SUMIFS('Base bordo CD'!M$2:M$875,'Base bordo CD'!D$2:D$875,A935,'Base bordo CD'!A$2:A$875,B935,'Base bordo CD'!L$2:L$875,"MANOBRA"),0)</f>
        <v>0</v>
      </c>
      <c r="G935" s="10">
        <f>IFERROR(SUMIFS('Base bordo CD'!M$2:M$875,'Base bordo CD'!D$2:D$875,A935,'Base bordo CD'!A$2:A$875,B935,'Base bordo CD'!L$2:L$875,"DESLOCAMENTO"),0)</f>
        <v>0</v>
      </c>
      <c r="H935" s="10">
        <f>IFERROR(SUMIFS('Base bordo CD'!M$2:M$875,'Base bordo CD'!D$2:D$875,A935,'Base bordo CD'!A$2:A$875,B935,'Base bordo CD'!L$2:L$875,"AGUARDANDO MANOBRA DE TRANSBORDO"),0)+IFERROR(SUMIFS('Base bordo CD'!M$2:M$875,'Base bordo CD'!D$2:D$875,A935,'Base bordo CD'!A$2:A$875,B935,'Base bordo CD'!L$2:L$875,"FALTA DE TRANSBORDO"),0)</f>
        <v>0</v>
      </c>
      <c r="I935" s="10">
        <f>IFERROR(SUMIFS('Base bordo CD'!M$2:M$875,'Base bordo CD'!D$2:D$875,A935,'Base bordo CD'!A$2:A$875,B935,'Base bordo CD'!L$2:L$875,"PARADA POR CONDICOES CLIMATICAS"),0)+IFERROR(SUMIFS('Base bordo CD'!M$2:M$875,'Base bordo CD'!D$2:D$875,A935,'Base bordo CD'!A$2:A$875,B935,'Base bordo CD'!L$2:L$875,"TEMPO INDETERMINADO"),0)</f>
        <v>0</v>
      </c>
      <c r="J935" s="10">
        <f>IFERROR(SUMIFS('Base bordo CD'!M$2:M$875,'Base bordo CD'!D$2:D$875,A935,'Base bordo CD'!A$2:A$875,B935,'Base bordo CD'!L$2:L$875,"LIMITAÇÃO INDÚSTRIA"),0)</f>
        <v>0</v>
      </c>
      <c r="K935" s="10">
        <f>IFERROR(SUMIFS('Base bordo CD'!M$2:M$875,'Base bordo CD'!D$2:D$875,A935,'Base bordo CD'!A$2:A$875,B935,'Base bordo CD'!L$2:L$875,"MAN CORRETIVA*"),0)+IFERROR(SUMIFS('Base bordo CD'!M$2:M$875,'Base bordo CD'!D$2:D$875,A935,'Base bordo CD'!A$2:A$875,B935,'Base bordo CD'!L$2:L$875,"AGUARDANDO MANUTENCAO*"),0)+IFERROR(SUMIFS('Base bordo CD'!M$2:M$875,'Base bordo CD'!D$2:D$875,A935,'Base bordo CD'!A$2:A$875,B935,'Base bordo CD'!L$2:L$875,"TROCA DE FAQUINHA"),0)+IFERROR(SUMIFS('Base bordo CD'!M$2:M$875,'Base bordo CD'!D$2:D$875,A935,'Base bordo CD'!A$2:A$875,B935,'Base bordo CD'!L$2:L$875,"LIMPEZA*"),0)</f>
        <v>0</v>
      </c>
      <c r="L935" s="10">
        <f>IFERROR(SUMIFS('Base bordo CD'!M$2:M$875,'Base bordo CD'!D$2:D$875,A935,'Base bordo CD'!A$2:A$875,B935,'Base bordo CD'!L$2:L$875,"PATIO - RESERVA"),0)</f>
        <v>0</v>
      </c>
      <c r="M935" s="10">
        <f>IFERROR(SUMIFS('Base bordo CD'!M$2:M$875,'Base bordo CD'!D$2:D$875,A935,'Base bordo CD'!A$2:A$875,B935,'Base bordo CD'!L$2:L$875,"SEM APONTAMENTO"),0)</f>
        <v>0</v>
      </c>
      <c r="N935" s="10">
        <f>IFERROR(SUMIFS('Base bordo CD'!M$2:M$875,'Base bordo CD'!D$2:D$875,A935,'Base bordo CD'!A$2:A$875,B935,'Base bordo CD'!L$2:L$875,"FALTA DE CAMINHÃO"),0)+IFERROR(SUMIFS('Base bordo CD'!M$2:M$875,'Base bordo CD'!D$2:D$875,A935,'Base bordo CD'!A$2:A$875,B935,'Base bordo CD'!L$2:L$875,"FALTA DE COMBUSTIVEL"),0)+IFERROR(SUMIFS('Base bordo CD'!M$2:M$875,'Base bordo CD'!D$2:D$875,A935,'Base bordo CD'!A$2:A$875,B935,'Base bordo CD'!L$2:L$875,"FALTA DE MOTORIST*"),0)</f>
        <v>0</v>
      </c>
      <c r="O935" s="10">
        <f t="shared" si="75"/>
        <v>0</v>
      </c>
      <c r="P935" s="10">
        <f>IFERROR(SUMIFS('Base bordo CD'!M$2:M$875,'Base bordo CD'!D$2:D$875,A935,'Base bordo CD'!A$2:A$875,B935),0)</f>
        <v>0</v>
      </c>
      <c r="Q935" s="10">
        <f>IFERROR(SUMIFS('Base bordo CD'!O$2:O$875,'Base bordo CD'!D$2:D$875,A935,'Base bordo CD'!A$2:A$875,B935,'Base bordo CD'!L$2:L$875,"CORTE DE CANA MECANIZADO"),0)</f>
        <v>0</v>
      </c>
      <c r="R935" s="10">
        <f>IFERROR(SUMIFS('Base bordo CD'!Q$2:Q$875,'Base bordo CD'!D$2:D$875,A935,'Base bordo CD'!A$2:A$875,B935,'Base bordo CD'!L$2:L$875,"CORTE DE CANA MECANIZADO"),0)</f>
        <v>0</v>
      </c>
      <c r="S935" s="30" t="str">
        <f t="shared" si="76"/>
        <v/>
      </c>
      <c r="T935" s="9">
        <f t="shared" si="77"/>
        <v>0</v>
      </c>
      <c r="U935" s="9">
        <f t="shared" si="78"/>
        <v>0</v>
      </c>
      <c r="V935" s="9">
        <f t="shared" si="79"/>
        <v>0</v>
      </c>
    </row>
    <row r="936" spans="1:22" x14ac:dyDescent="0.35">
      <c r="A936" s="52">
        <v>49596</v>
      </c>
      <c r="B936" s="31">
        <v>46118</v>
      </c>
      <c r="C936" s="7" t="s">
        <v>337</v>
      </c>
      <c r="D936" s="7">
        <v>353</v>
      </c>
      <c r="E936" s="10">
        <f>IFERROR(SUMIFS('Base bordo CD'!M$2:M$875,'Base bordo CD'!D$2:D$875,A936,'Base bordo CD'!A$2:A$875,B936,'Base bordo CD'!L$2:L$875,"CORTE DE CANA MECANIZADO"),0)</f>
        <v>0</v>
      </c>
      <c r="F936" s="10">
        <f>IFERROR(SUMIFS('Base bordo CD'!M$2:M$875,'Base bordo CD'!D$2:D$875,A936,'Base bordo CD'!A$2:A$875,B936,'Base bordo CD'!L$2:L$875,"MANOBRA"),0)</f>
        <v>0</v>
      </c>
      <c r="G936" s="10">
        <f>IFERROR(SUMIFS('Base bordo CD'!M$2:M$875,'Base bordo CD'!D$2:D$875,A936,'Base bordo CD'!A$2:A$875,B936,'Base bordo CD'!L$2:L$875,"DESLOCAMENTO"),0)</f>
        <v>0</v>
      </c>
      <c r="H936" s="10">
        <f>IFERROR(SUMIFS('Base bordo CD'!M$2:M$875,'Base bordo CD'!D$2:D$875,A936,'Base bordo CD'!A$2:A$875,B936,'Base bordo CD'!L$2:L$875,"AGUARDANDO MANOBRA DE TRANSBORDO"),0)+IFERROR(SUMIFS('Base bordo CD'!M$2:M$875,'Base bordo CD'!D$2:D$875,A936,'Base bordo CD'!A$2:A$875,B936,'Base bordo CD'!L$2:L$875,"FALTA DE TRANSBORDO"),0)</f>
        <v>0</v>
      </c>
      <c r="I936" s="10">
        <f>IFERROR(SUMIFS('Base bordo CD'!M$2:M$875,'Base bordo CD'!D$2:D$875,A936,'Base bordo CD'!A$2:A$875,B936,'Base bordo CD'!L$2:L$875,"PARADA POR CONDICOES CLIMATICAS"),0)+IFERROR(SUMIFS('Base bordo CD'!M$2:M$875,'Base bordo CD'!D$2:D$875,A936,'Base bordo CD'!A$2:A$875,B936,'Base bordo CD'!L$2:L$875,"TEMPO INDETERMINADO"),0)</f>
        <v>0</v>
      </c>
      <c r="J936" s="10">
        <f>IFERROR(SUMIFS('Base bordo CD'!M$2:M$875,'Base bordo CD'!D$2:D$875,A936,'Base bordo CD'!A$2:A$875,B936,'Base bordo CD'!L$2:L$875,"LIMITAÇÃO INDÚSTRIA"),0)</f>
        <v>0</v>
      </c>
      <c r="K936" s="10">
        <f>IFERROR(SUMIFS('Base bordo CD'!M$2:M$875,'Base bordo CD'!D$2:D$875,A936,'Base bordo CD'!A$2:A$875,B936,'Base bordo CD'!L$2:L$875,"MAN CORRETIVA*"),0)+IFERROR(SUMIFS('Base bordo CD'!M$2:M$875,'Base bordo CD'!D$2:D$875,A936,'Base bordo CD'!A$2:A$875,B936,'Base bordo CD'!L$2:L$875,"AGUARDANDO MANUTENCAO*"),0)+IFERROR(SUMIFS('Base bordo CD'!M$2:M$875,'Base bordo CD'!D$2:D$875,A936,'Base bordo CD'!A$2:A$875,B936,'Base bordo CD'!L$2:L$875,"TROCA DE FAQUINHA"),0)+IFERROR(SUMIFS('Base bordo CD'!M$2:M$875,'Base bordo CD'!D$2:D$875,A936,'Base bordo CD'!A$2:A$875,B936,'Base bordo CD'!L$2:L$875,"LIMPEZA*"),0)</f>
        <v>0</v>
      </c>
      <c r="L936" s="10">
        <f>IFERROR(SUMIFS('Base bordo CD'!M$2:M$875,'Base bordo CD'!D$2:D$875,A936,'Base bordo CD'!A$2:A$875,B936,'Base bordo CD'!L$2:L$875,"PATIO - RESERVA"),0)</f>
        <v>0</v>
      </c>
      <c r="M936" s="10">
        <f>IFERROR(SUMIFS('Base bordo CD'!M$2:M$875,'Base bordo CD'!D$2:D$875,A936,'Base bordo CD'!A$2:A$875,B936,'Base bordo CD'!L$2:L$875,"SEM APONTAMENTO"),0)</f>
        <v>0</v>
      </c>
      <c r="N936" s="10">
        <f>IFERROR(SUMIFS('Base bordo CD'!M$2:M$875,'Base bordo CD'!D$2:D$875,A936,'Base bordo CD'!A$2:A$875,B936,'Base bordo CD'!L$2:L$875,"FALTA DE CAMINHÃO"),0)+IFERROR(SUMIFS('Base bordo CD'!M$2:M$875,'Base bordo CD'!D$2:D$875,A936,'Base bordo CD'!A$2:A$875,B936,'Base bordo CD'!L$2:L$875,"FALTA DE COMBUSTIVEL"),0)+IFERROR(SUMIFS('Base bordo CD'!M$2:M$875,'Base bordo CD'!D$2:D$875,A936,'Base bordo CD'!A$2:A$875,B936,'Base bordo CD'!L$2:L$875,"FALTA DE MOTORIST*"),0)</f>
        <v>0</v>
      </c>
      <c r="O936" s="10">
        <f t="shared" si="75"/>
        <v>0</v>
      </c>
      <c r="P936" s="10">
        <f>IFERROR(SUMIFS('Base bordo CD'!M$2:M$875,'Base bordo CD'!D$2:D$875,A936,'Base bordo CD'!A$2:A$875,B936),0)</f>
        <v>0</v>
      </c>
      <c r="Q936" s="10">
        <f>IFERROR(SUMIFS('Base bordo CD'!O$2:O$875,'Base bordo CD'!D$2:D$875,A936,'Base bordo CD'!A$2:A$875,B936,'Base bordo CD'!L$2:L$875,"CORTE DE CANA MECANIZADO"),0)</f>
        <v>0</v>
      </c>
      <c r="R936" s="10">
        <f>IFERROR(SUMIFS('Base bordo CD'!Q$2:Q$875,'Base bordo CD'!D$2:D$875,A936,'Base bordo CD'!A$2:A$875,B936,'Base bordo CD'!L$2:L$875,"CORTE DE CANA MECANIZADO"),0)</f>
        <v>0</v>
      </c>
      <c r="S936" s="30" t="str">
        <f t="shared" si="76"/>
        <v/>
      </c>
      <c r="T936" s="9">
        <f t="shared" si="77"/>
        <v>0</v>
      </c>
      <c r="U936" s="9">
        <f t="shared" si="78"/>
        <v>0</v>
      </c>
      <c r="V936" s="9">
        <f t="shared" si="79"/>
        <v>0</v>
      </c>
    </row>
    <row r="937" spans="1:22" x14ac:dyDescent="0.35">
      <c r="A937" s="52">
        <v>49596</v>
      </c>
      <c r="B937" s="31">
        <v>46118</v>
      </c>
      <c r="C937" s="7" t="s">
        <v>337</v>
      </c>
      <c r="D937" s="7">
        <v>353</v>
      </c>
      <c r="E937" s="10">
        <f>IFERROR(SUMIFS('Base bordo CD'!M$2:M$875,'Base bordo CD'!D$2:D$875,A937,'Base bordo CD'!A$2:A$875,B937,'Base bordo CD'!L$2:L$875,"CORTE DE CANA MECANIZADO"),0)</f>
        <v>0</v>
      </c>
      <c r="F937" s="10">
        <f>IFERROR(SUMIFS('Base bordo CD'!M$2:M$875,'Base bordo CD'!D$2:D$875,A937,'Base bordo CD'!A$2:A$875,B937,'Base bordo CD'!L$2:L$875,"MANOBRA"),0)</f>
        <v>0</v>
      </c>
      <c r="G937" s="10">
        <f>IFERROR(SUMIFS('Base bordo CD'!M$2:M$875,'Base bordo CD'!D$2:D$875,A937,'Base bordo CD'!A$2:A$875,B937,'Base bordo CD'!L$2:L$875,"DESLOCAMENTO"),0)</f>
        <v>0</v>
      </c>
      <c r="H937" s="10">
        <f>IFERROR(SUMIFS('Base bordo CD'!M$2:M$875,'Base bordo CD'!D$2:D$875,A937,'Base bordo CD'!A$2:A$875,B937,'Base bordo CD'!L$2:L$875,"AGUARDANDO MANOBRA DE TRANSBORDO"),0)+IFERROR(SUMIFS('Base bordo CD'!M$2:M$875,'Base bordo CD'!D$2:D$875,A937,'Base bordo CD'!A$2:A$875,B937,'Base bordo CD'!L$2:L$875,"FALTA DE TRANSBORDO"),0)</f>
        <v>0</v>
      </c>
      <c r="I937" s="10">
        <f>IFERROR(SUMIFS('Base bordo CD'!M$2:M$875,'Base bordo CD'!D$2:D$875,A937,'Base bordo CD'!A$2:A$875,B937,'Base bordo CD'!L$2:L$875,"PARADA POR CONDICOES CLIMATICAS"),0)+IFERROR(SUMIFS('Base bordo CD'!M$2:M$875,'Base bordo CD'!D$2:D$875,A937,'Base bordo CD'!A$2:A$875,B937,'Base bordo CD'!L$2:L$875,"TEMPO INDETERMINADO"),0)</f>
        <v>0</v>
      </c>
      <c r="J937" s="10">
        <f>IFERROR(SUMIFS('Base bordo CD'!M$2:M$875,'Base bordo CD'!D$2:D$875,A937,'Base bordo CD'!A$2:A$875,B937,'Base bordo CD'!L$2:L$875,"LIMITAÇÃO INDÚSTRIA"),0)</f>
        <v>0</v>
      </c>
      <c r="K937" s="10">
        <f>IFERROR(SUMIFS('Base bordo CD'!M$2:M$875,'Base bordo CD'!D$2:D$875,A937,'Base bordo CD'!A$2:A$875,B937,'Base bordo CD'!L$2:L$875,"MAN CORRETIVA*"),0)+IFERROR(SUMIFS('Base bordo CD'!M$2:M$875,'Base bordo CD'!D$2:D$875,A937,'Base bordo CD'!A$2:A$875,B937,'Base bordo CD'!L$2:L$875,"AGUARDANDO MANUTENCAO*"),0)+IFERROR(SUMIFS('Base bordo CD'!M$2:M$875,'Base bordo CD'!D$2:D$875,A937,'Base bordo CD'!A$2:A$875,B937,'Base bordo CD'!L$2:L$875,"TROCA DE FAQUINHA"),0)+IFERROR(SUMIFS('Base bordo CD'!M$2:M$875,'Base bordo CD'!D$2:D$875,A937,'Base bordo CD'!A$2:A$875,B937,'Base bordo CD'!L$2:L$875,"LIMPEZA*"),0)</f>
        <v>0</v>
      </c>
      <c r="L937" s="10">
        <f>IFERROR(SUMIFS('Base bordo CD'!M$2:M$875,'Base bordo CD'!D$2:D$875,A937,'Base bordo CD'!A$2:A$875,B937,'Base bordo CD'!L$2:L$875,"PATIO - RESERVA"),0)</f>
        <v>0</v>
      </c>
      <c r="M937" s="10">
        <f>IFERROR(SUMIFS('Base bordo CD'!M$2:M$875,'Base bordo CD'!D$2:D$875,A937,'Base bordo CD'!A$2:A$875,B937,'Base bordo CD'!L$2:L$875,"SEM APONTAMENTO"),0)</f>
        <v>0</v>
      </c>
      <c r="N937" s="10">
        <f>IFERROR(SUMIFS('Base bordo CD'!M$2:M$875,'Base bordo CD'!D$2:D$875,A937,'Base bordo CD'!A$2:A$875,B937,'Base bordo CD'!L$2:L$875,"FALTA DE CAMINHÃO"),0)+IFERROR(SUMIFS('Base bordo CD'!M$2:M$875,'Base bordo CD'!D$2:D$875,A937,'Base bordo CD'!A$2:A$875,B937,'Base bordo CD'!L$2:L$875,"FALTA DE COMBUSTIVEL"),0)+IFERROR(SUMIFS('Base bordo CD'!M$2:M$875,'Base bordo CD'!D$2:D$875,A937,'Base bordo CD'!A$2:A$875,B937,'Base bordo CD'!L$2:L$875,"FALTA DE MOTORIST*"),0)</f>
        <v>0</v>
      </c>
      <c r="O937" s="10">
        <f t="shared" si="75"/>
        <v>0</v>
      </c>
      <c r="P937" s="10">
        <f>IFERROR(SUMIFS('Base bordo CD'!M$2:M$875,'Base bordo CD'!D$2:D$875,A937,'Base bordo CD'!A$2:A$875,B937),0)</f>
        <v>0</v>
      </c>
      <c r="Q937" s="10">
        <f>IFERROR(SUMIFS('Base bordo CD'!O$2:O$875,'Base bordo CD'!D$2:D$875,A937,'Base bordo CD'!A$2:A$875,B937,'Base bordo CD'!L$2:L$875,"CORTE DE CANA MECANIZADO"),0)</f>
        <v>0</v>
      </c>
      <c r="R937" s="10">
        <f>IFERROR(SUMIFS('Base bordo CD'!Q$2:Q$875,'Base bordo CD'!D$2:D$875,A937,'Base bordo CD'!A$2:A$875,B937,'Base bordo CD'!L$2:L$875,"CORTE DE CANA MECANIZADO"),0)</f>
        <v>0</v>
      </c>
      <c r="S937" s="30" t="str">
        <f t="shared" si="76"/>
        <v/>
      </c>
      <c r="T937" s="9">
        <f t="shared" si="77"/>
        <v>0</v>
      </c>
      <c r="U937" s="9">
        <f t="shared" si="78"/>
        <v>0</v>
      </c>
      <c r="V937" s="9">
        <f t="shared" si="79"/>
        <v>0</v>
      </c>
    </row>
    <row r="938" spans="1:22" x14ac:dyDescent="0.35">
      <c r="A938" s="52">
        <v>49596</v>
      </c>
      <c r="B938" s="31">
        <v>46118</v>
      </c>
      <c r="C938" s="7" t="s">
        <v>337</v>
      </c>
      <c r="D938" s="7">
        <v>353</v>
      </c>
      <c r="E938" s="10">
        <f>IFERROR(SUMIFS('Base bordo CD'!M$2:M$875,'Base bordo CD'!D$2:D$875,A938,'Base bordo CD'!A$2:A$875,B938,'Base bordo CD'!L$2:L$875,"CORTE DE CANA MECANIZADO"),0)</f>
        <v>0</v>
      </c>
      <c r="F938" s="10">
        <f>IFERROR(SUMIFS('Base bordo CD'!M$2:M$875,'Base bordo CD'!D$2:D$875,A938,'Base bordo CD'!A$2:A$875,B938,'Base bordo CD'!L$2:L$875,"MANOBRA"),0)</f>
        <v>0</v>
      </c>
      <c r="G938" s="10">
        <f>IFERROR(SUMIFS('Base bordo CD'!M$2:M$875,'Base bordo CD'!D$2:D$875,A938,'Base bordo CD'!A$2:A$875,B938,'Base bordo CD'!L$2:L$875,"DESLOCAMENTO"),0)</f>
        <v>0</v>
      </c>
      <c r="H938" s="10">
        <f>IFERROR(SUMIFS('Base bordo CD'!M$2:M$875,'Base bordo CD'!D$2:D$875,A938,'Base bordo CD'!A$2:A$875,B938,'Base bordo CD'!L$2:L$875,"AGUARDANDO MANOBRA DE TRANSBORDO"),0)+IFERROR(SUMIFS('Base bordo CD'!M$2:M$875,'Base bordo CD'!D$2:D$875,A938,'Base bordo CD'!A$2:A$875,B938,'Base bordo CD'!L$2:L$875,"FALTA DE TRANSBORDO"),0)</f>
        <v>0</v>
      </c>
      <c r="I938" s="10">
        <f>IFERROR(SUMIFS('Base bordo CD'!M$2:M$875,'Base bordo CD'!D$2:D$875,A938,'Base bordo CD'!A$2:A$875,B938,'Base bordo CD'!L$2:L$875,"PARADA POR CONDICOES CLIMATICAS"),0)+IFERROR(SUMIFS('Base bordo CD'!M$2:M$875,'Base bordo CD'!D$2:D$875,A938,'Base bordo CD'!A$2:A$875,B938,'Base bordo CD'!L$2:L$875,"TEMPO INDETERMINADO"),0)</f>
        <v>0</v>
      </c>
      <c r="J938" s="10">
        <f>IFERROR(SUMIFS('Base bordo CD'!M$2:M$875,'Base bordo CD'!D$2:D$875,A938,'Base bordo CD'!A$2:A$875,B938,'Base bordo CD'!L$2:L$875,"LIMITAÇÃO INDÚSTRIA"),0)</f>
        <v>0</v>
      </c>
      <c r="K938" s="10">
        <f>IFERROR(SUMIFS('Base bordo CD'!M$2:M$875,'Base bordo CD'!D$2:D$875,A938,'Base bordo CD'!A$2:A$875,B938,'Base bordo CD'!L$2:L$875,"MAN CORRETIVA*"),0)+IFERROR(SUMIFS('Base bordo CD'!M$2:M$875,'Base bordo CD'!D$2:D$875,A938,'Base bordo CD'!A$2:A$875,B938,'Base bordo CD'!L$2:L$875,"AGUARDANDO MANUTENCAO*"),0)+IFERROR(SUMIFS('Base bordo CD'!M$2:M$875,'Base bordo CD'!D$2:D$875,A938,'Base bordo CD'!A$2:A$875,B938,'Base bordo CD'!L$2:L$875,"TROCA DE FAQUINHA"),0)+IFERROR(SUMIFS('Base bordo CD'!M$2:M$875,'Base bordo CD'!D$2:D$875,A938,'Base bordo CD'!A$2:A$875,B938,'Base bordo CD'!L$2:L$875,"LIMPEZA*"),0)</f>
        <v>0</v>
      </c>
      <c r="L938" s="10">
        <f>IFERROR(SUMIFS('Base bordo CD'!M$2:M$875,'Base bordo CD'!D$2:D$875,A938,'Base bordo CD'!A$2:A$875,B938,'Base bordo CD'!L$2:L$875,"PATIO - RESERVA"),0)</f>
        <v>0</v>
      </c>
      <c r="M938" s="10">
        <f>IFERROR(SUMIFS('Base bordo CD'!M$2:M$875,'Base bordo CD'!D$2:D$875,A938,'Base bordo CD'!A$2:A$875,B938,'Base bordo CD'!L$2:L$875,"SEM APONTAMENTO"),0)</f>
        <v>0</v>
      </c>
      <c r="N938" s="10">
        <f>IFERROR(SUMIFS('Base bordo CD'!M$2:M$875,'Base bordo CD'!D$2:D$875,A938,'Base bordo CD'!A$2:A$875,B938,'Base bordo CD'!L$2:L$875,"FALTA DE CAMINHÃO"),0)+IFERROR(SUMIFS('Base bordo CD'!M$2:M$875,'Base bordo CD'!D$2:D$875,A938,'Base bordo CD'!A$2:A$875,B938,'Base bordo CD'!L$2:L$875,"FALTA DE COMBUSTIVEL"),0)+IFERROR(SUMIFS('Base bordo CD'!M$2:M$875,'Base bordo CD'!D$2:D$875,A938,'Base bordo CD'!A$2:A$875,B938,'Base bordo CD'!L$2:L$875,"FALTA DE MOTORIST*"),0)</f>
        <v>0</v>
      </c>
      <c r="O938" s="10">
        <f t="shared" si="75"/>
        <v>0</v>
      </c>
      <c r="P938" s="10">
        <f>IFERROR(SUMIFS('Base bordo CD'!M$2:M$875,'Base bordo CD'!D$2:D$875,A938,'Base bordo CD'!A$2:A$875,B938),0)</f>
        <v>0</v>
      </c>
      <c r="Q938" s="10">
        <f>IFERROR(SUMIFS('Base bordo CD'!O$2:O$875,'Base bordo CD'!D$2:D$875,A938,'Base bordo CD'!A$2:A$875,B938,'Base bordo CD'!L$2:L$875,"CORTE DE CANA MECANIZADO"),0)</f>
        <v>0</v>
      </c>
      <c r="R938" s="10">
        <f>IFERROR(SUMIFS('Base bordo CD'!Q$2:Q$875,'Base bordo CD'!D$2:D$875,A938,'Base bordo CD'!A$2:A$875,B938,'Base bordo CD'!L$2:L$875,"CORTE DE CANA MECANIZADO"),0)</f>
        <v>0</v>
      </c>
      <c r="S938" s="30" t="str">
        <f t="shared" si="76"/>
        <v/>
      </c>
      <c r="T938" s="9">
        <f t="shared" si="77"/>
        <v>0</v>
      </c>
      <c r="U938" s="9">
        <f t="shared" si="78"/>
        <v>0</v>
      </c>
      <c r="V938" s="9">
        <f t="shared" si="79"/>
        <v>0</v>
      </c>
    </row>
    <row r="939" spans="1:22" hidden="1" x14ac:dyDescent="0.35">
      <c r="A939" s="52">
        <v>49584</v>
      </c>
      <c r="B939" s="31">
        <v>46117</v>
      </c>
      <c r="C939" s="7" t="s">
        <v>321</v>
      </c>
      <c r="D939" s="7">
        <v>351</v>
      </c>
      <c r="E939" s="10">
        <f>IFERROR(SUMIFS('Base bordo CD'!M$2:M$875,'Base bordo CD'!D$2:D$875,A939,'Base bordo CD'!A$2:A$875,B939,'Base bordo CD'!L$2:L$875,"CORTE DE CANA MECANIZADO"),0)</f>
        <v>0</v>
      </c>
      <c r="F939" s="10">
        <f>IFERROR(SUMIFS('Base bordo CD'!M$2:M$875,'Base bordo CD'!D$2:D$875,A939,'Base bordo CD'!A$2:A$875,B939,'Base bordo CD'!L$2:L$875,"MANOBRA"),0)</f>
        <v>0</v>
      </c>
      <c r="G939" s="10">
        <f>IFERROR(SUMIFS('Base bordo CD'!M$2:M$875,'Base bordo CD'!D$2:D$875,A939,'Base bordo CD'!A$2:A$875,B939,'Base bordo CD'!L$2:L$875,"DESLOCAMENTO"),0)</f>
        <v>0</v>
      </c>
      <c r="H939" s="10">
        <f>IFERROR(SUMIFS('Base bordo CD'!M$2:M$875,'Base bordo CD'!D$2:D$875,A939,'Base bordo CD'!A$2:A$875,B939,'Base bordo CD'!L$2:L$875,"AGUARDANDO MANOBRA DE TRANSBORDO"),0)+IFERROR(SUMIFS('Base bordo CD'!M$2:M$875,'Base bordo CD'!D$2:D$875,A939,'Base bordo CD'!A$2:A$875,B939,'Base bordo CD'!L$2:L$875,"FALTA DE TRANSBORDO"),0)</f>
        <v>0</v>
      </c>
      <c r="I939" s="10">
        <f>IFERROR(SUMIFS('Base bordo CD'!M$2:M$875,'Base bordo CD'!D$2:D$875,A939,'Base bordo CD'!A$2:A$875,B939,'Base bordo CD'!L$2:L$875,"PARADA POR CONDICOES CLIMATICAS"),0)+IFERROR(SUMIFS('Base bordo CD'!M$2:M$875,'Base bordo CD'!D$2:D$875,A939,'Base bordo CD'!A$2:A$875,B939,'Base bordo CD'!L$2:L$875,"TEMPO INDETERMINADO"),0)</f>
        <v>0</v>
      </c>
      <c r="J939" s="10">
        <f>IFERROR(SUMIFS('Base bordo CD'!M$2:M$875,'Base bordo CD'!D$2:D$875,A939,'Base bordo CD'!A$2:A$875,B939,'Base bordo CD'!L$2:L$875,"LIMITAÇÃO INDÚSTRIA"),0)</f>
        <v>0</v>
      </c>
      <c r="K939" s="10">
        <f>IFERROR(SUMIFS('Base bordo CD'!M$2:M$875,'Base bordo CD'!D$2:D$875,A939,'Base bordo CD'!A$2:A$875,B939,'Base bordo CD'!L$2:L$875,"MAN CORRETIVA*"),0)+IFERROR(SUMIFS('Base bordo CD'!M$2:M$875,'Base bordo CD'!D$2:D$875,A939,'Base bordo CD'!A$2:A$875,B939,'Base bordo CD'!L$2:L$875,"AGUARDANDO MANUTENCAO*"),0)+IFERROR(SUMIFS('Base bordo CD'!M$2:M$875,'Base bordo CD'!D$2:D$875,A939,'Base bordo CD'!A$2:A$875,B939,'Base bordo CD'!L$2:L$875,"TROCA DE FAQUINHA"),0)+IFERROR(SUMIFS('Base bordo CD'!M$2:M$875,'Base bordo CD'!D$2:D$875,A939,'Base bordo CD'!A$2:A$875,B939,'Base bordo CD'!L$2:L$875,"LIMPEZA*"),0)</f>
        <v>0</v>
      </c>
      <c r="L939" s="10">
        <f>IFERROR(SUMIFS('Base bordo CD'!M$2:M$875,'Base bordo CD'!D$2:D$875,A939,'Base bordo CD'!A$2:A$875,B939,'Base bordo CD'!L$2:L$875,"PATIO - RESERVA"),0)</f>
        <v>0</v>
      </c>
      <c r="M939" s="10">
        <f>IFERROR(SUMIFS('Base bordo CD'!M$2:M$875,'Base bordo CD'!D$2:D$875,A939,'Base bordo CD'!A$2:A$875,B939,'Base bordo CD'!L$2:L$875,"SEM APONTAMENTO"),0)</f>
        <v>0</v>
      </c>
      <c r="N939" s="10">
        <f>IFERROR(SUMIFS('Base bordo CD'!M$2:M$875,'Base bordo CD'!D$2:D$875,A939,'Base bordo CD'!A$2:A$875,B939,'Base bordo CD'!L$2:L$875,"FALTA DE CAMINHÃO"),0)+IFERROR(SUMIFS('Base bordo CD'!M$2:M$875,'Base bordo CD'!D$2:D$875,A939,'Base bordo CD'!A$2:A$875,B939,'Base bordo CD'!L$2:L$875,"FALTA DE COMBUSTIVEL"),0)+IFERROR(SUMIFS('Base bordo CD'!M$2:M$875,'Base bordo CD'!D$2:D$875,A939,'Base bordo CD'!A$2:A$875,B939,'Base bordo CD'!L$2:L$875,"FALTA DE MOTORIST*"),0)</f>
        <v>0</v>
      </c>
      <c r="O939" s="10">
        <f t="shared" si="75"/>
        <v>0</v>
      </c>
      <c r="P939" s="10">
        <f>IFERROR(SUMIFS('Base bordo CD'!M$2:M$875,'Base bordo CD'!D$2:D$875,A939,'Base bordo CD'!A$2:A$875,B939),0)</f>
        <v>0</v>
      </c>
      <c r="Q939" s="10">
        <f>IFERROR(SUMIFS('Base bordo CD'!O$2:O$875,'Base bordo CD'!D$2:D$875,A939,'Base bordo CD'!A$2:A$875,B939,'Base bordo CD'!L$2:L$875,"CORTE DE CANA MECANIZADO"),0)</f>
        <v>0</v>
      </c>
      <c r="R939" s="10">
        <f>IFERROR(SUMIFS('Base bordo CD'!Q$2:Q$875,'Base bordo CD'!D$2:D$875,A939,'Base bordo CD'!A$2:A$875,B939,'Base bordo CD'!L$2:L$875,"CORTE DE CANA MECANIZADO"),0)</f>
        <v>0</v>
      </c>
      <c r="S939" s="30" t="str">
        <f t="shared" si="76"/>
        <v/>
      </c>
      <c r="T939" s="9">
        <f t="shared" si="77"/>
        <v>0</v>
      </c>
      <c r="U939" s="9">
        <f t="shared" si="78"/>
        <v>0</v>
      </c>
      <c r="V939" s="9">
        <f t="shared" si="79"/>
        <v>0</v>
      </c>
    </row>
    <row r="940" spans="1:22" hidden="1" x14ac:dyDescent="0.35">
      <c r="A940" s="52">
        <v>49584</v>
      </c>
      <c r="B940" s="31">
        <v>46117</v>
      </c>
      <c r="C940" s="7" t="s">
        <v>321</v>
      </c>
      <c r="D940" s="7">
        <v>351</v>
      </c>
      <c r="E940" s="10">
        <f>IFERROR(SUMIFS('Base bordo CD'!M$2:M$875,'Base bordo CD'!D$2:D$875,A940,'Base bordo CD'!A$2:A$875,B940,'Base bordo CD'!L$2:L$875,"CORTE DE CANA MECANIZADO"),0)</f>
        <v>0</v>
      </c>
      <c r="F940" s="10">
        <f>IFERROR(SUMIFS('Base bordo CD'!M$2:M$875,'Base bordo CD'!D$2:D$875,A940,'Base bordo CD'!A$2:A$875,B940,'Base bordo CD'!L$2:L$875,"MANOBRA"),0)</f>
        <v>0</v>
      </c>
      <c r="G940" s="10">
        <f>IFERROR(SUMIFS('Base bordo CD'!M$2:M$875,'Base bordo CD'!D$2:D$875,A940,'Base bordo CD'!A$2:A$875,B940,'Base bordo CD'!L$2:L$875,"DESLOCAMENTO"),0)</f>
        <v>0</v>
      </c>
      <c r="H940" s="10">
        <f>IFERROR(SUMIFS('Base bordo CD'!M$2:M$875,'Base bordo CD'!D$2:D$875,A940,'Base bordo CD'!A$2:A$875,B940,'Base bordo CD'!L$2:L$875,"AGUARDANDO MANOBRA DE TRANSBORDO"),0)+IFERROR(SUMIFS('Base bordo CD'!M$2:M$875,'Base bordo CD'!D$2:D$875,A940,'Base bordo CD'!A$2:A$875,B940,'Base bordo CD'!L$2:L$875,"FALTA DE TRANSBORDO"),0)</f>
        <v>0</v>
      </c>
      <c r="I940" s="10">
        <f>IFERROR(SUMIFS('Base bordo CD'!M$2:M$875,'Base bordo CD'!D$2:D$875,A940,'Base bordo CD'!A$2:A$875,B940,'Base bordo CD'!L$2:L$875,"PARADA POR CONDICOES CLIMATICAS"),0)+IFERROR(SUMIFS('Base bordo CD'!M$2:M$875,'Base bordo CD'!D$2:D$875,A940,'Base bordo CD'!A$2:A$875,B940,'Base bordo CD'!L$2:L$875,"TEMPO INDETERMINADO"),0)</f>
        <v>0</v>
      </c>
      <c r="J940" s="10">
        <f>IFERROR(SUMIFS('Base bordo CD'!M$2:M$875,'Base bordo CD'!D$2:D$875,A940,'Base bordo CD'!A$2:A$875,B940,'Base bordo CD'!L$2:L$875,"LIMITAÇÃO INDÚSTRIA"),0)</f>
        <v>0</v>
      </c>
      <c r="K940" s="10">
        <f>IFERROR(SUMIFS('Base bordo CD'!M$2:M$875,'Base bordo CD'!D$2:D$875,A940,'Base bordo CD'!A$2:A$875,B940,'Base bordo CD'!L$2:L$875,"MAN CORRETIVA*"),0)+IFERROR(SUMIFS('Base bordo CD'!M$2:M$875,'Base bordo CD'!D$2:D$875,A940,'Base bordo CD'!A$2:A$875,B940,'Base bordo CD'!L$2:L$875,"AGUARDANDO MANUTENCAO*"),0)+IFERROR(SUMIFS('Base bordo CD'!M$2:M$875,'Base bordo CD'!D$2:D$875,A940,'Base bordo CD'!A$2:A$875,B940,'Base bordo CD'!L$2:L$875,"TROCA DE FAQUINHA"),0)+IFERROR(SUMIFS('Base bordo CD'!M$2:M$875,'Base bordo CD'!D$2:D$875,A940,'Base bordo CD'!A$2:A$875,B940,'Base bordo CD'!L$2:L$875,"LIMPEZA*"),0)</f>
        <v>0</v>
      </c>
      <c r="L940" s="10">
        <f>IFERROR(SUMIFS('Base bordo CD'!M$2:M$875,'Base bordo CD'!D$2:D$875,A940,'Base bordo CD'!A$2:A$875,B940,'Base bordo CD'!L$2:L$875,"PATIO - RESERVA"),0)</f>
        <v>0</v>
      </c>
      <c r="M940" s="10">
        <f>IFERROR(SUMIFS('Base bordo CD'!M$2:M$875,'Base bordo CD'!D$2:D$875,A940,'Base bordo CD'!A$2:A$875,B940,'Base bordo CD'!L$2:L$875,"SEM APONTAMENTO"),0)</f>
        <v>0</v>
      </c>
      <c r="N940" s="10">
        <f>IFERROR(SUMIFS('Base bordo CD'!M$2:M$875,'Base bordo CD'!D$2:D$875,A940,'Base bordo CD'!A$2:A$875,B940,'Base bordo CD'!L$2:L$875,"FALTA DE CAMINHÃO"),0)+IFERROR(SUMIFS('Base bordo CD'!M$2:M$875,'Base bordo CD'!D$2:D$875,A940,'Base bordo CD'!A$2:A$875,B940,'Base bordo CD'!L$2:L$875,"FALTA DE COMBUSTIVEL"),0)+IFERROR(SUMIFS('Base bordo CD'!M$2:M$875,'Base bordo CD'!D$2:D$875,A940,'Base bordo CD'!A$2:A$875,B940,'Base bordo CD'!L$2:L$875,"FALTA DE MOTORIST*"),0)</f>
        <v>0</v>
      </c>
      <c r="O940" s="10">
        <f t="shared" si="75"/>
        <v>0</v>
      </c>
      <c r="P940" s="10">
        <f>IFERROR(SUMIFS('Base bordo CD'!M$2:M$875,'Base bordo CD'!D$2:D$875,A940,'Base bordo CD'!A$2:A$875,B940),0)</f>
        <v>0</v>
      </c>
      <c r="Q940" s="10">
        <f>IFERROR(SUMIFS('Base bordo CD'!O$2:O$875,'Base bordo CD'!D$2:D$875,A940,'Base bordo CD'!A$2:A$875,B940,'Base bordo CD'!L$2:L$875,"CORTE DE CANA MECANIZADO"),0)</f>
        <v>0</v>
      </c>
      <c r="R940" s="10">
        <f>IFERROR(SUMIFS('Base bordo CD'!Q$2:Q$875,'Base bordo CD'!D$2:D$875,A940,'Base bordo CD'!A$2:A$875,B940,'Base bordo CD'!L$2:L$875,"CORTE DE CANA MECANIZADO"),0)</f>
        <v>0</v>
      </c>
      <c r="S940" s="30" t="str">
        <f t="shared" si="76"/>
        <v/>
      </c>
      <c r="T940" s="9">
        <f t="shared" si="77"/>
        <v>0</v>
      </c>
      <c r="U940" s="9">
        <f t="shared" si="78"/>
        <v>0</v>
      </c>
      <c r="V940" s="9">
        <f t="shared" si="79"/>
        <v>0</v>
      </c>
    </row>
    <row r="941" spans="1:22" hidden="1" x14ac:dyDescent="0.35">
      <c r="A941" s="52">
        <v>49584</v>
      </c>
      <c r="B941" s="31">
        <v>46117</v>
      </c>
      <c r="C941" s="7" t="s">
        <v>321</v>
      </c>
      <c r="D941" s="7">
        <v>351</v>
      </c>
      <c r="E941" s="10">
        <f>IFERROR(SUMIFS('Base bordo CD'!M$2:M$875,'Base bordo CD'!D$2:D$875,A941,'Base bordo CD'!A$2:A$875,B941,'Base bordo CD'!L$2:L$875,"CORTE DE CANA MECANIZADO"),0)</f>
        <v>0</v>
      </c>
      <c r="F941" s="10">
        <f>IFERROR(SUMIFS('Base bordo CD'!M$2:M$875,'Base bordo CD'!D$2:D$875,A941,'Base bordo CD'!A$2:A$875,B941,'Base bordo CD'!L$2:L$875,"MANOBRA"),0)</f>
        <v>0</v>
      </c>
      <c r="G941" s="10">
        <f>IFERROR(SUMIFS('Base bordo CD'!M$2:M$875,'Base bordo CD'!D$2:D$875,A941,'Base bordo CD'!A$2:A$875,B941,'Base bordo CD'!L$2:L$875,"DESLOCAMENTO"),0)</f>
        <v>0</v>
      </c>
      <c r="H941" s="10">
        <f>IFERROR(SUMIFS('Base bordo CD'!M$2:M$875,'Base bordo CD'!D$2:D$875,A941,'Base bordo CD'!A$2:A$875,B941,'Base bordo CD'!L$2:L$875,"AGUARDANDO MANOBRA DE TRANSBORDO"),0)+IFERROR(SUMIFS('Base bordo CD'!M$2:M$875,'Base bordo CD'!D$2:D$875,A941,'Base bordo CD'!A$2:A$875,B941,'Base bordo CD'!L$2:L$875,"FALTA DE TRANSBORDO"),0)</f>
        <v>0</v>
      </c>
      <c r="I941" s="10">
        <f>IFERROR(SUMIFS('Base bordo CD'!M$2:M$875,'Base bordo CD'!D$2:D$875,A941,'Base bordo CD'!A$2:A$875,B941,'Base bordo CD'!L$2:L$875,"PARADA POR CONDICOES CLIMATICAS"),0)+IFERROR(SUMIFS('Base bordo CD'!M$2:M$875,'Base bordo CD'!D$2:D$875,A941,'Base bordo CD'!A$2:A$875,B941,'Base bordo CD'!L$2:L$875,"TEMPO INDETERMINADO"),0)</f>
        <v>0</v>
      </c>
      <c r="J941" s="10">
        <f>IFERROR(SUMIFS('Base bordo CD'!M$2:M$875,'Base bordo CD'!D$2:D$875,A941,'Base bordo CD'!A$2:A$875,B941,'Base bordo CD'!L$2:L$875,"LIMITAÇÃO INDÚSTRIA"),0)</f>
        <v>0</v>
      </c>
      <c r="K941" s="10">
        <f>IFERROR(SUMIFS('Base bordo CD'!M$2:M$875,'Base bordo CD'!D$2:D$875,A941,'Base bordo CD'!A$2:A$875,B941,'Base bordo CD'!L$2:L$875,"MAN CORRETIVA*"),0)+IFERROR(SUMIFS('Base bordo CD'!M$2:M$875,'Base bordo CD'!D$2:D$875,A941,'Base bordo CD'!A$2:A$875,B941,'Base bordo CD'!L$2:L$875,"AGUARDANDO MANUTENCAO*"),0)+IFERROR(SUMIFS('Base bordo CD'!M$2:M$875,'Base bordo CD'!D$2:D$875,A941,'Base bordo CD'!A$2:A$875,B941,'Base bordo CD'!L$2:L$875,"TROCA DE FAQUINHA"),0)+IFERROR(SUMIFS('Base bordo CD'!M$2:M$875,'Base bordo CD'!D$2:D$875,A941,'Base bordo CD'!A$2:A$875,B941,'Base bordo CD'!L$2:L$875,"LIMPEZA*"),0)</f>
        <v>0</v>
      </c>
      <c r="L941" s="10">
        <f>IFERROR(SUMIFS('Base bordo CD'!M$2:M$875,'Base bordo CD'!D$2:D$875,A941,'Base bordo CD'!A$2:A$875,B941,'Base bordo CD'!L$2:L$875,"PATIO - RESERVA"),0)</f>
        <v>0</v>
      </c>
      <c r="M941" s="10">
        <f>IFERROR(SUMIFS('Base bordo CD'!M$2:M$875,'Base bordo CD'!D$2:D$875,A941,'Base bordo CD'!A$2:A$875,B941,'Base bordo CD'!L$2:L$875,"SEM APONTAMENTO"),0)</f>
        <v>0</v>
      </c>
      <c r="N941" s="10">
        <f>IFERROR(SUMIFS('Base bordo CD'!M$2:M$875,'Base bordo CD'!D$2:D$875,A941,'Base bordo CD'!A$2:A$875,B941,'Base bordo CD'!L$2:L$875,"FALTA DE CAMINHÃO"),0)+IFERROR(SUMIFS('Base bordo CD'!M$2:M$875,'Base bordo CD'!D$2:D$875,A941,'Base bordo CD'!A$2:A$875,B941,'Base bordo CD'!L$2:L$875,"FALTA DE COMBUSTIVEL"),0)+IFERROR(SUMIFS('Base bordo CD'!M$2:M$875,'Base bordo CD'!D$2:D$875,A941,'Base bordo CD'!A$2:A$875,B941,'Base bordo CD'!L$2:L$875,"FALTA DE MOTORIST*"),0)</f>
        <v>0</v>
      </c>
      <c r="O941" s="10">
        <f t="shared" si="75"/>
        <v>0</v>
      </c>
      <c r="P941" s="10">
        <f>IFERROR(SUMIFS('Base bordo CD'!M$2:M$875,'Base bordo CD'!D$2:D$875,A941,'Base bordo CD'!A$2:A$875,B941),0)</f>
        <v>0</v>
      </c>
      <c r="Q941" s="10">
        <f>IFERROR(SUMIFS('Base bordo CD'!O$2:O$875,'Base bordo CD'!D$2:D$875,A941,'Base bordo CD'!A$2:A$875,B941,'Base bordo CD'!L$2:L$875,"CORTE DE CANA MECANIZADO"),0)</f>
        <v>0</v>
      </c>
      <c r="R941" s="10">
        <f>IFERROR(SUMIFS('Base bordo CD'!Q$2:Q$875,'Base bordo CD'!D$2:D$875,A941,'Base bordo CD'!A$2:A$875,B941,'Base bordo CD'!L$2:L$875,"CORTE DE CANA MECANIZADO"),0)</f>
        <v>0</v>
      </c>
      <c r="S941" s="30" t="str">
        <f t="shared" si="76"/>
        <v/>
      </c>
      <c r="T941" s="9">
        <f t="shared" si="77"/>
        <v>0</v>
      </c>
      <c r="U941" s="9">
        <f t="shared" si="78"/>
        <v>0</v>
      </c>
      <c r="V941" s="9">
        <f t="shared" si="79"/>
        <v>0</v>
      </c>
    </row>
    <row r="942" spans="1:22" hidden="1" x14ac:dyDescent="0.35">
      <c r="A942" s="52">
        <v>49584</v>
      </c>
      <c r="B942" s="31">
        <v>46117</v>
      </c>
      <c r="C942" s="7" t="s">
        <v>321</v>
      </c>
      <c r="D942" s="7">
        <v>351</v>
      </c>
      <c r="E942" s="10">
        <f>IFERROR(SUMIFS('Base bordo CD'!M$2:M$875,'Base bordo CD'!D$2:D$875,A942,'Base bordo CD'!A$2:A$875,B942,'Base bordo CD'!L$2:L$875,"CORTE DE CANA MECANIZADO"),0)</f>
        <v>0</v>
      </c>
      <c r="F942" s="10">
        <f>IFERROR(SUMIFS('Base bordo CD'!M$2:M$875,'Base bordo CD'!D$2:D$875,A942,'Base bordo CD'!A$2:A$875,B942,'Base bordo CD'!L$2:L$875,"MANOBRA"),0)</f>
        <v>0</v>
      </c>
      <c r="G942" s="10">
        <f>IFERROR(SUMIFS('Base bordo CD'!M$2:M$875,'Base bordo CD'!D$2:D$875,A942,'Base bordo CD'!A$2:A$875,B942,'Base bordo CD'!L$2:L$875,"DESLOCAMENTO"),0)</f>
        <v>0</v>
      </c>
      <c r="H942" s="10">
        <f>IFERROR(SUMIFS('Base bordo CD'!M$2:M$875,'Base bordo CD'!D$2:D$875,A942,'Base bordo CD'!A$2:A$875,B942,'Base bordo CD'!L$2:L$875,"AGUARDANDO MANOBRA DE TRANSBORDO"),0)+IFERROR(SUMIFS('Base bordo CD'!M$2:M$875,'Base bordo CD'!D$2:D$875,A942,'Base bordo CD'!A$2:A$875,B942,'Base bordo CD'!L$2:L$875,"FALTA DE TRANSBORDO"),0)</f>
        <v>0</v>
      </c>
      <c r="I942" s="10">
        <f>IFERROR(SUMIFS('Base bordo CD'!M$2:M$875,'Base bordo CD'!D$2:D$875,A942,'Base bordo CD'!A$2:A$875,B942,'Base bordo CD'!L$2:L$875,"PARADA POR CONDICOES CLIMATICAS"),0)+IFERROR(SUMIFS('Base bordo CD'!M$2:M$875,'Base bordo CD'!D$2:D$875,A942,'Base bordo CD'!A$2:A$875,B942,'Base bordo CD'!L$2:L$875,"TEMPO INDETERMINADO"),0)</f>
        <v>0</v>
      </c>
      <c r="J942" s="10">
        <f>IFERROR(SUMIFS('Base bordo CD'!M$2:M$875,'Base bordo CD'!D$2:D$875,A942,'Base bordo CD'!A$2:A$875,B942,'Base bordo CD'!L$2:L$875,"LIMITAÇÃO INDÚSTRIA"),0)</f>
        <v>0</v>
      </c>
      <c r="K942" s="10">
        <f>IFERROR(SUMIFS('Base bordo CD'!M$2:M$875,'Base bordo CD'!D$2:D$875,A942,'Base bordo CD'!A$2:A$875,B942,'Base bordo CD'!L$2:L$875,"MAN CORRETIVA*"),0)+IFERROR(SUMIFS('Base bordo CD'!M$2:M$875,'Base bordo CD'!D$2:D$875,A942,'Base bordo CD'!A$2:A$875,B942,'Base bordo CD'!L$2:L$875,"AGUARDANDO MANUTENCAO*"),0)+IFERROR(SUMIFS('Base bordo CD'!M$2:M$875,'Base bordo CD'!D$2:D$875,A942,'Base bordo CD'!A$2:A$875,B942,'Base bordo CD'!L$2:L$875,"TROCA DE FAQUINHA"),0)+IFERROR(SUMIFS('Base bordo CD'!M$2:M$875,'Base bordo CD'!D$2:D$875,A942,'Base bordo CD'!A$2:A$875,B942,'Base bordo CD'!L$2:L$875,"LIMPEZA*"),0)</f>
        <v>0</v>
      </c>
      <c r="L942" s="10">
        <f>IFERROR(SUMIFS('Base bordo CD'!M$2:M$875,'Base bordo CD'!D$2:D$875,A942,'Base bordo CD'!A$2:A$875,B942,'Base bordo CD'!L$2:L$875,"PATIO - RESERVA"),0)</f>
        <v>0</v>
      </c>
      <c r="M942" s="10">
        <f>IFERROR(SUMIFS('Base bordo CD'!M$2:M$875,'Base bordo CD'!D$2:D$875,A942,'Base bordo CD'!A$2:A$875,B942,'Base bordo CD'!L$2:L$875,"SEM APONTAMENTO"),0)</f>
        <v>0</v>
      </c>
      <c r="N942" s="10">
        <f>IFERROR(SUMIFS('Base bordo CD'!M$2:M$875,'Base bordo CD'!D$2:D$875,A942,'Base bordo CD'!A$2:A$875,B942,'Base bordo CD'!L$2:L$875,"FALTA DE CAMINHÃO"),0)+IFERROR(SUMIFS('Base bordo CD'!M$2:M$875,'Base bordo CD'!D$2:D$875,A942,'Base bordo CD'!A$2:A$875,B942,'Base bordo CD'!L$2:L$875,"FALTA DE COMBUSTIVEL"),0)+IFERROR(SUMIFS('Base bordo CD'!M$2:M$875,'Base bordo CD'!D$2:D$875,A942,'Base bordo CD'!A$2:A$875,B942,'Base bordo CD'!L$2:L$875,"FALTA DE MOTORIST*"),0)</f>
        <v>0</v>
      </c>
      <c r="O942" s="10">
        <f t="shared" si="75"/>
        <v>0</v>
      </c>
      <c r="P942" s="10">
        <f>IFERROR(SUMIFS('Base bordo CD'!M$2:M$875,'Base bordo CD'!D$2:D$875,A942,'Base bordo CD'!A$2:A$875,B942),0)</f>
        <v>0</v>
      </c>
      <c r="Q942" s="10">
        <f>IFERROR(SUMIFS('Base bordo CD'!O$2:O$875,'Base bordo CD'!D$2:D$875,A942,'Base bordo CD'!A$2:A$875,B942,'Base bordo CD'!L$2:L$875,"CORTE DE CANA MECANIZADO"),0)</f>
        <v>0</v>
      </c>
      <c r="R942" s="10">
        <f>IFERROR(SUMIFS('Base bordo CD'!Q$2:Q$875,'Base bordo CD'!D$2:D$875,A942,'Base bordo CD'!A$2:A$875,B942,'Base bordo CD'!L$2:L$875,"CORTE DE CANA MECANIZADO"),0)</f>
        <v>0</v>
      </c>
      <c r="S942" s="30" t="str">
        <f t="shared" si="76"/>
        <v/>
      </c>
      <c r="T942" s="9">
        <f t="shared" si="77"/>
        <v>0</v>
      </c>
      <c r="U942" s="9">
        <f t="shared" si="78"/>
        <v>0</v>
      </c>
      <c r="V942" s="9">
        <f t="shared" si="79"/>
        <v>0</v>
      </c>
    </row>
    <row r="943" spans="1:22" hidden="1" x14ac:dyDescent="0.35">
      <c r="A943" s="52">
        <v>49584</v>
      </c>
      <c r="B943" s="31">
        <v>46117</v>
      </c>
      <c r="C943" s="7" t="s">
        <v>321</v>
      </c>
      <c r="D943" s="7">
        <v>351</v>
      </c>
      <c r="E943" s="10">
        <f>IFERROR(SUMIFS('Base bordo CD'!M$2:M$875,'Base bordo CD'!D$2:D$875,A943,'Base bordo CD'!A$2:A$875,B943,'Base bordo CD'!L$2:L$875,"CORTE DE CANA MECANIZADO"),0)</f>
        <v>0</v>
      </c>
      <c r="F943" s="10">
        <f>IFERROR(SUMIFS('Base bordo CD'!M$2:M$875,'Base bordo CD'!D$2:D$875,A943,'Base bordo CD'!A$2:A$875,B943,'Base bordo CD'!L$2:L$875,"MANOBRA"),0)</f>
        <v>0</v>
      </c>
      <c r="G943" s="10">
        <f>IFERROR(SUMIFS('Base bordo CD'!M$2:M$875,'Base bordo CD'!D$2:D$875,A943,'Base bordo CD'!A$2:A$875,B943,'Base bordo CD'!L$2:L$875,"DESLOCAMENTO"),0)</f>
        <v>0</v>
      </c>
      <c r="H943" s="10">
        <f>IFERROR(SUMIFS('Base bordo CD'!M$2:M$875,'Base bordo CD'!D$2:D$875,A943,'Base bordo CD'!A$2:A$875,B943,'Base bordo CD'!L$2:L$875,"AGUARDANDO MANOBRA DE TRANSBORDO"),0)+IFERROR(SUMIFS('Base bordo CD'!M$2:M$875,'Base bordo CD'!D$2:D$875,A943,'Base bordo CD'!A$2:A$875,B943,'Base bordo CD'!L$2:L$875,"FALTA DE TRANSBORDO"),0)</f>
        <v>0</v>
      </c>
      <c r="I943" s="10">
        <f>IFERROR(SUMIFS('Base bordo CD'!M$2:M$875,'Base bordo CD'!D$2:D$875,A943,'Base bordo CD'!A$2:A$875,B943,'Base bordo CD'!L$2:L$875,"PARADA POR CONDICOES CLIMATICAS"),0)+IFERROR(SUMIFS('Base bordo CD'!M$2:M$875,'Base bordo CD'!D$2:D$875,A943,'Base bordo CD'!A$2:A$875,B943,'Base bordo CD'!L$2:L$875,"TEMPO INDETERMINADO"),0)</f>
        <v>0</v>
      </c>
      <c r="J943" s="10">
        <f>IFERROR(SUMIFS('Base bordo CD'!M$2:M$875,'Base bordo CD'!D$2:D$875,A943,'Base bordo CD'!A$2:A$875,B943,'Base bordo CD'!L$2:L$875,"LIMITAÇÃO INDÚSTRIA"),0)</f>
        <v>0</v>
      </c>
      <c r="K943" s="10">
        <f>IFERROR(SUMIFS('Base bordo CD'!M$2:M$875,'Base bordo CD'!D$2:D$875,A943,'Base bordo CD'!A$2:A$875,B943,'Base bordo CD'!L$2:L$875,"MAN CORRETIVA*"),0)+IFERROR(SUMIFS('Base bordo CD'!M$2:M$875,'Base bordo CD'!D$2:D$875,A943,'Base bordo CD'!A$2:A$875,B943,'Base bordo CD'!L$2:L$875,"AGUARDANDO MANUTENCAO*"),0)+IFERROR(SUMIFS('Base bordo CD'!M$2:M$875,'Base bordo CD'!D$2:D$875,A943,'Base bordo CD'!A$2:A$875,B943,'Base bordo CD'!L$2:L$875,"TROCA DE FAQUINHA"),0)+IFERROR(SUMIFS('Base bordo CD'!M$2:M$875,'Base bordo CD'!D$2:D$875,A943,'Base bordo CD'!A$2:A$875,B943,'Base bordo CD'!L$2:L$875,"LIMPEZA*"),0)</f>
        <v>0</v>
      </c>
      <c r="L943" s="10">
        <f>IFERROR(SUMIFS('Base bordo CD'!M$2:M$875,'Base bordo CD'!D$2:D$875,A943,'Base bordo CD'!A$2:A$875,B943,'Base bordo CD'!L$2:L$875,"PATIO - RESERVA"),0)</f>
        <v>0</v>
      </c>
      <c r="M943" s="10">
        <f>IFERROR(SUMIFS('Base bordo CD'!M$2:M$875,'Base bordo CD'!D$2:D$875,A943,'Base bordo CD'!A$2:A$875,B943,'Base bordo CD'!L$2:L$875,"SEM APONTAMENTO"),0)</f>
        <v>0</v>
      </c>
      <c r="N943" s="10">
        <f>IFERROR(SUMIFS('Base bordo CD'!M$2:M$875,'Base bordo CD'!D$2:D$875,A943,'Base bordo CD'!A$2:A$875,B943,'Base bordo CD'!L$2:L$875,"FALTA DE CAMINHÃO"),0)+IFERROR(SUMIFS('Base bordo CD'!M$2:M$875,'Base bordo CD'!D$2:D$875,A943,'Base bordo CD'!A$2:A$875,B943,'Base bordo CD'!L$2:L$875,"FALTA DE COMBUSTIVEL"),0)+IFERROR(SUMIFS('Base bordo CD'!M$2:M$875,'Base bordo CD'!D$2:D$875,A943,'Base bordo CD'!A$2:A$875,B943,'Base bordo CD'!L$2:L$875,"FALTA DE MOTORIST*"),0)</f>
        <v>0</v>
      </c>
      <c r="O943" s="10">
        <f t="shared" si="75"/>
        <v>0</v>
      </c>
      <c r="P943" s="10">
        <f>IFERROR(SUMIFS('Base bordo CD'!M$2:M$875,'Base bordo CD'!D$2:D$875,A943,'Base bordo CD'!A$2:A$875,B943),0)</f>
        <v>0</v>
      </c>
      <c r="Q943" s="10">
        <f>IFERROR(SUMIFS('Base bordo CD'!O$2:O$875,'Base bordo CD'!D$2:D$875,A943,'Base bordo CD'!A$2:A$875,B943,'Base bordo CD'!L$2:L$875,"CORTE DE CANA MECANIZADO"),0)</f>
        <v>0</v>
      </c>
      <c r="R943" s="10">
        <f>IFERROR(SUMIFS('Base bordo CD'!Q$2:Q$875,'Base bordo CD'!D$2:D$875,A943,'Base bordo CD'!A$2:A$875,B943,'Base bordo CD'!L$2:L$875,"CORTE DE CANA MECANIZADO"),0)</f>
        <v>0</v>
      </c>
      <c r="S943" s="30" t="str">
        <f t="shared" si="76"/>
        <v/>
      </c>
      <c r="T943" s="9">
        <f t="shared" si="77"/>
        <v>0</v>
      </c>
      <c r="U943" s="9">
        <f t="shared" si="78"/>
        <v>0</v>
      </c>
      <c r="V943" s="9">
        <f t="shared" si="79"/>
        <v>0</v>
      </c>
    </row>
    <row r="944" spans="1:22" hidden="1" x14ac:dyDescent="0.35">
      <c r="A944" s="52">
        <v>49584</v>
      </c>
      <c r="B944" s="31">
        <v>46117</v>
      </c>
      <c r="C944" s="7" t="s">
        <v>321</v>
      </c>
      <c r="D944" s="7">
        <v>351</v>
      </c>
      <c r="E944" s="10">
        <f>IFERROR(SUMIFS('Base bordo CD'!M$2:M$875,'Base bordo CD'!D$2:D$875,A944,'Base bordo CD'!A$2:A$875,B944,'Base bordo CD'!L$2:L$875,"CORTE DE CANA MECANIZADO"),0)</f>
        <v>0</v>
      </c>
      <c r="F944" s="10">
        <f>IFERROR(SUMIFS('Base bordo CD'!M$2:M$875,'Base bordo CD'!D$2:D$875,A944,'Base bordo CD'!A$2:A$875,B944,'Base bordo CD'!L$2:L$875,"MANOBRA"),0)</f>
        <v>0</v>
      </c>
      <c r="G944" s="10">
        <f>IFERROR(SUMIFS('Base bordo CD'!M$2:M$875,'Base bordo CD'!D$2:D$875,A944,'Base bordo CD'!A$2:A$875,B944,'Base bordo CD'!L$2:L$875,"DESLOCAMENTO"),0)</f>
        <v>0</v>
      </c>
      <c r="H944" s="10">
        <f>IFERROR(SUMIFS('Base bordo CD'!M$2:M$875,'Base bordo CD'!D$2:D$875,A944,'Base bordo CD'!A$2:A$875,B944,'Base bordo CD'!L$2:L$875,"AGUARDANDO MANOBRA DE TRANSBORDO"),0)+IFERROR(SUMIFS('Base bordo CD'!M$2:M$875,'Base bordo CD'!D$2:D$875,A944,'Base bordo CD'!A$2:A$875,B944,'Base bordo CD'!L$2:L$875,"FALTA DE TRANSBORDO"),0)</f>
        <v>0</v>
      </c>
      <c r="I944" s="10">
        <f>IFERROR(SUMIFS('Base bordo CD'!M$2:M$875,'Base bordo CD'!D$2:D$875,A944,'Base bordo CD'!A$2:A$875,B944,'Base bordo CD'!L$2:L$875,"PARADA POR CONDICOES CLIMATICAS"),0)+IFERROR(SUMIFS('Base bordo CD'!M$2:M$875,'Base bordo CD'!D$2:D$875,A944,'Base bordo CD'!A$2:A$875,B944,'Base bordo CD'!L$2:L$875,"TEMPO INDETERMINADO"),0)</f>
        <v>0</v>
      </c>
      <c r="J944" s="10">
        <f>IFERROR(SUMIFS('Base bordo CD'!M$2:M$875,'Base bordo CD'!D$2:D$875,A944,'Base bordo CD'!A$2:A$875,B944,'Base bordo CD'!L$2:L$875,"LIMITAÇÃO INDÚSTRIA"),0)</f>
        <v>0</v>
      </c>
      <c r="K944" s="10">
        <f>IFERROR(SUMIFS('Base bordo CD'!M$2:M$875,'Base bordo CD'!D$2:D$875,A944,'Base bordo CD'!A$2:A$875,B944,'Base bordo CD'!L$2:L$875,"MAN CORRETIVA*"),0)+IFERROR(SUMIFS('Base bordo CD'!M$2:M$875,'Base bordo CD'!D$2:D$875,A944,'Base bordo CD'!A$2:A$875,B944,'Base bordo CD'!L$2:L$875,"AGUARDANDO MANUTENCAO*"),0)+IFERROR(SUMIFS('Base bordo CD'!M$2:M$875,'Base bordo CD'!D$2:D$875,A944,'Base bordo CD'!A$2:A$875,B944,'Base bordo CD'!L$2:L$875,"TROCA DE FAQUINHA"),0)+IFERROR(SUMIFS('Base bordo CD'!M$2:M$875,'Base bordo CD'!D$2:D$875,A944,'Base bordo CD'!A$2:A$875,B944,'Base bordo CD'!L$2:L$875,"LIMPEZA*"),0)</f>
        <v>0</v>
      </c>
      <c r="L944" s="10">
        <f>IFERROR(SUMIFS('Base bordo CD'!M$2:M$875,'Base bordo CD'!D$2:D$875,A944,'Base bordo CD'!A$2:A$875,B944,'Base bordo CD'!L$2:L$875,"PATIO - RESERVA"),0)</f>
        <v>0</v>
      </c>
      <c r="M944" s="10">
        <f>IFERROR(SUMIFS('Base bordo CD'!M$2:M$875,'Base bordo CD'!D$2:D$875,A944,'Base bordo CD'!A$2:A$875,B944,'Base bordo CD'!L$2:L$875,"SEM APONTAMENTO"),0)</f>
        <v>0</v>
      </c>
      <c r="N944" s="10">
        <f>IFERROR(SUMIFS('Base bordo CD'!M$2:M$875,'Base bordo CD'!D$2:D$875,A944,'Base bordo CD'!A$2:A$875,B944,'Base bordo CD'!L$2:L$875,"FALTA DE CAMINHÃO"),0)+IFERROR(SUMIFS('Base bordo CD'!M$2:M$875,'Base bordo CD'!D$2:D$875,A944,'Base bordo CD'!A$2:A$875,B944,'Base bordo CD'!L$2:L$875,"FALTA DE COMBUSTIVEL"),0)+IFERROR(SUMIFS('Base bordo CD'!M$2:M$875,'Base bordo CD'!D$2:D$875,A944,'Base bordo CD'!A$2:A$875,B944,'Base bordo CD'!L$2:L$875,"FALTA DE MOTORIST*"),0)</f>
        <v>0</v>
      </c>
      <c r="O944" s="10">
        <f t="shared" si="75"/>
        <v>0</v>
      </c>
      <c r="P944" s="10">
        <f>IFERROR(SUMIFS('Base bordo CD'!M$2:M$875,'Base bordo CD'!D$2:D$875,A944,'Base bordo CD'!A$2:A$875,B944),0)</f>
        <v>0</v>
      </c>
      <c r="Q944" s="10">
        <f>IFERROR(SUMIFS('Base bordo CD'!O$2:O$875,'Base bordo CD'!D$2:D$875,A944,'Base bordo CD'!A$2:A$875,B944,'Base bordo CD'!L$2:L$875,"CORTE DE CANA MECANIZADO"),0)</f>
        <v>0</v>
      </c>
      <c r="R944" s="10">
        <f>IFERROR(SUMIFS('Base bordo CD'!Q$2:Q$875,'Base bordo CD'!D$2:D$875,A944,'Base bordo CD'!A$2:A$875,B944,'Base bordo CD'!L$2:L$875,"CORTE DE CANA MECANIZADO"),0)</f>
        <v>0</v>
      </c>
      <c r="S944" s="30" t="str">
        <f t="shared" si="76"/>
        <v/>
      </c>
      <c r="T944" s="9">
        <f t="shared" si="77"/>
        <v>0</v>
      </c>
      <c r="U944" s="9">
        <f t="shared" si="78"/>
        <v>0</v>
      </c>
      <c r="V944" s="9">
        <f t="shared" si="79"/>
        <v>0</v>
      </c>
    </row>
    <row r="945" spans="1:22" x14ac:dyDescent="0.35">
      <c r="A945" s="52">
        <v>49587</v>
      </c>
      <c r="B945" s="31">
        <v>46117</v>
      </c>
      <c r="C945" s="7" t="s">
        <v>337</v>
      </c>
      <c r="D945" s="7">
        <v>353</v>
      </c>
      <c r="E945" s="10">
        <f>IFERROR(SUMIFS('Base bordo CD'!M$2:M$875,'Base bordo CD'!D$2:D$875,A945,'Base bordo CD'!A$2:A$875,B945,'Base bordo CD'!L$2:L$875,"CORTE DE CANA MECANIZADO"),0)</f>
        <v>0</v>
      </c>
      <c r="F945" s="10">
        <f>IFERROR(SUMIFS('Base bordo CD'!M$2:M$875,'Base bordo CD'!D$2:D$875,A945,'Base bordo CD'!A$2:A$875,B945,'Base bordo CD'!L$2:L$875,"MANOBRA"),0)</f>
        <v>0</v>
      </c>
      <c r="G945" s="10">
        <f>IFERROR(SUMIFS('Base bordo CD'!M$2:M$875,'Base bordo CD'!D$2:D$875,A945,'Base bordo CD'!A$2:A$875,B945,'Base bordo CD'!L$2:L$875,"DESLOCAMENTO"),0)</f>
        <v>0</v>
      </c>
      <c r="H945" s="10">
        <f>IFERROR(SUMIFS('Base bordo CD'!M$2:M$875,'Base bordo CD'!D$2:D$875,A945,'Base bordo CD'!A$2:A$875,B945,'Base bordo CD'!L$2:L$875,"AGUARDANDO MANOBRA DE TRANSBORDO"),0)+IFERROR(SUMIFS('Base bordo CD'!M$2:M$875,'Base bordo CD'!D$2:D$875,A945,'Base bordo CD'!A$2:A$875,B945,'Base bordo CD'!L$2:L$875,"FALTA DE TRANSBORDO"),0)</f>
        <v>0</v>
      </c>
      <c r="I945" s="10">
        <f>IFERROR(SUMIFS('Base bordo CD'!M$2:M$875,'Base bordo CD'!D$2:D$875,A945,'Base bordo CD'!A$2:A$875,B945,'Base bordo CD'!L$2:L$875,"PARADA POR CONDICOES CLIMATICAS"),0)+IFERROR(SUMIFS('Base bordo CD'!M$2:M$875,'Base bordo CD'!D$2:D$875,A945,'Base bordo CD'!A$2:A$875,B945,'Base bordo CD'!L$2:L$875,"TEMPO INDETERMINADO"),0)</f>
        <v>0</v>
      </c>
      <c r="J945" s="10">
        <f>IFERROR(SUMIFS('Base bordo CD'!M$2:M$875,'Base bordo CD'!D$2:D$875,A945,'Base bordo CD'!A$2:A$875,B945,'Base bordo CD'!L$2:L$875,"LIMITAÇÃO INDÚSTRIA"),0)</f>
        <v>0</v>
      </c>
      <c r="K945" s="10">
        <f>IFERROR(SUMIFS('Base bordo CD'!M$2:M$875,'Base bordo CD'!D$2:D$875,A945,'Base bordo CD'!A$2:A$875,B945,'Base bordo CD'!L$2:L$875,"MAN CORRETIVA*"),0)+IFERROR(SUMIFS('Base bordo CD'!M$2:M$875,'Base bordo CD'!D$2:D$875,A945,'Base bordo CD'!A$2:A$875,B945,'Base bordo CD'!L$2:L$875,"AGUARDANDO MANUTENCAO*"),0)+IFERROR(SUMIFS('Base bordo CD'!M$2:M$875,'Base bordo CD'!D$2:D$875,A945,'Base bordo CD'!A$2:A$875,B945,'Base bordo CD'!L$2:L$875,"TROCA DE FAQUINHA"),0)+IFERROR(SUMIFS('Base bordo CD'!M$2:M$875,'Base bordo CD'!D$2:D$875,A945,'Base bordo CD'!A$2:A$875,B945,'Base bordo CD'!L$2:L$875,"LIMPEZA*"),0)</f>
        <v>0</v>
      </c>
      <c r="L945" s="10">
        <f>IFERROR(SUMIFS('Base bordo CD'!M$2:M$875,'Base bordo CD'!D$2:D$875,A945,'Base bordo CD'!A$2:A$875,B945,'Base bordo CD'!L$2:L$875,"PATIO - RESERVA"),0)</f>
        <v>0</v>
      </c>
      <c r="M945" s="10">
        <f>IFERROR(SUMIFS('Base bordo CD'!M$2:M$875,'Base bordo CD'!D$2:D$875,A945,'Base bordo CD'!A$2:A$875,B945,'Base bordo CD'!L$2:L$875,"SEM APONTAMENTO"),0)</f>
        <v>0</v>
      </c>
      <c r="N945" s="10">
        <f>IFERROR(SUMIFS('Base bordo CD'!M$2:M$875,'Base bordo CD'!D$2:D$875,A945,'Base bordo CD'!A$2:A$875,B945,'Base bordo CD'!L$2:L$875,"FALTA DE CAMINHÃO"),0)+IFERROR(SUMIFS('Base bordo CD'!M$2:M$875,'Base bordo CD'!D$2:D$875,A945,'Base bordo CD'!A$2:A$875,B945,'Base bordo CD'!L$2:L$875,"FALTA DE COMBUSTIVEL"),0)+IFERROR(SUMIFS('Base bordo CD'!M$2:M$875,'Base bordo CD'!D$2:D$875,A945,'Base bordo CD'!A$2:A$875,B945,'Base bordo CD'!L$2:L$875,"FALTA DE MOTORIST*"),0)</f>
        <v>0</v>
      </c>
      <c r="O945" s="10">
        <f t="shared" si="75"/>
        <v>0</v>
      </c>
      <c r="P945" s="10">
        <f>IFERROR(SUMIFS('Base bordo CD'!M$2:M$875,'Base bordo CD'!D$2:D$875,A945,'Base bordo CD'!A$2:A$875,B945),0)</f>
        <v>0</v>
      </c>
      <c r="Q945" s="10">
        <f>IFERROR(SUMIFS('Base bordo CD'!O$2:O$875,'Base bordo CD'!D$2:D$875,A945,'Base bordo CD'!A$2:A$875,B945,'Base bordo CD'!L$2:L$875,"CORTE DE CANA MECANIZADO"),0)</f>
        <v>0</v>
      </c>
      <c r="R945" s="10">
        <f>IFERROR(SUMIFS('Base bordo CD'!Q$2:Q$875,'Base bordo CD'!D$2:D$875,A945,'Base bordo CD'!A$2:A$875,B945,'Base bordo CD'!L$2:L$875,"CORTE DE CANA MECANIZADO"),0)</f>
        <v>0</v>
      </c>
      <c r="S945" s="30" t="str">
        <f t="shared" si="76"/>
        <v/>
      </c>
      <c r="T945" s="9">
        <f t="shared" si="77"/>
        <v>0</v>
      </c>
      <c r="U945" s="9">
        <f t="shared" si="78"/>
        <v>0</v>
      </c>
      <c r="V945" s="9">
        <f t="shared" si="79"/>
        <v>0</v>
      </c>
    </row>
    <row r="946" spans="1:22" x14ac:dyDescent="0.35">
      <c r="A946" s="52">
        <v>49587</v>
      </c>
      <c r="B946" s="31">
        <v>46117</v>
      </c>
      <c r="C946" s="7" t="s">
        <v>337</v>
      </c>
      <c r="D946" s="7">
        <v>353</v>
      </c>
      <c r="E946" s="10">
        <f>IFERROR(SUMIFS('Base bordo CD'!M$2:M$875,'Base bordo CD'!D$2:D$875,A946,'Base bordo CD'!A$2:A$875,B946,'Base bordo CD'!L$2:L$875,"CORTE DE CANA MECANIZADO"),0)</f>
        <v>0</v>
      </c>
      <c r="F946" s="10">
        <f>IFERROR(SUMIFS('Base bordo CD'!M$2:M$875,'Base bordo CD'!D$2:D$875,A946,'Base bordo CD'!A$2:A$875,B946,'Base bordo CD'!L$2:L$875,"MANOBRA"),0)</f>
        <v>0</v>
      </c>
      <c r="G946" s="10">
        <f>IFERROR(SUMIFS('Base bordo CD'!M$2:M$875,'Base bordo CD'!D$2:D$875,A946,'Base bordo CD'!A$2:A$875,B946,'Base bordo CD'!L$2:L$875,"DESLOCAMENTO"),0)</f>
        <v>0</v>
      </c>
      <c r="H946" s="10">
        <f>IFERROR(SUMIFS('Base bordo CD'!M$2:M$875,'Base bordo CD'!D$2:D$875,A946,'Base bordo CD'!A$2:A$875,B946,'Base bordo CD'!L$2:L$875,"AGUARDANDO MANOBRA DE TRANSBORDO"),0)+IFERROR(SUMIFS('Base bordo CD'!M$2:M$875,'Base bordo CD'!D$2:D$875,A946,'Base bordo CD'!A$2:A$875,B946,'Base bordo CD'!L$2:L$875,"FALTA DE TRANSBORDO"),0)</f>
        <v>0</v>
      </c>
      <c r="I946" s="10">
        <f>IFERROR(SUMIFS('Base bordo CD'!M$2:M$875,'Base bordo CD'!D$2:D$875,A946,'Base bordo CD'!A$2:A$875,B946,'Base bordo CD'!L$2:L$875,"PARADA POR CONDICOES CLIMATICAS"),0)+IFERROR(SUMIFS('Base bordo CD'!M$2:M$875,'Base bordo CD'!D$2:D$875,A946,'Base bordo CD'!A$2:A$875,B946,'Base bordo CD'!L$2:L$875,"TEMPO INDETERMINADO"),0)</f>
        <v>0</v>
      </c>
      <c r="J946" s="10">
        <f>IFERROR(SUMIFS('Base bordo CD'!M$2:M$875,'Base bordo CD'!D$2:D$875,A946,'Base bordo CD'!A$2:A$875,B946,'Base bordo CD'!L$2:L$875,"LIMITAÇÃO INDÚSTRIA"),0)</f>
        <v>0</v>
      </c>
      <c r="K946" s="10">
        <f>IFERROR(SUMIFS('Base bordo CD'!M$2:M$875,'Base bordo CD'!D$2:D$875,A946,'Base bordo CD'!A$2:A$875,B946,'Base bordo CD'!L$2:L$875,"MAN CORRETIVA*"),0)+IFERROR(SUMIFS('Base bordo CD'!M$2:M$875,'Base bordo CD'!D$2:D$875,A946,'Base bordo CD'!A$2:A$875,B946,'Base bordo CD'!L$2:L$875,"AGUARDANDO MANUTENCAO*"),0)+IFERROR(SUMIFS('Base bordo CD'!M$2:M$875,'Base bordo CD'!D$2:D$875,A946,'Base bordo CD'!A$2:A$875,B946,'Base bordo CD'!L$2:L$875,"TROCA DE FAQUINHA"),0)+IFERROR(SUMIFS('Base bordo CD'!M$2:M$875,'Base bordo CD'!D$2:D$875,A946,'Base bordo CD'!A$2:A$875,B946,'Base bordo CD'!L$2:L$875,"LIMPEZA*"),0)</f>
        <v>0</v>
      </c>
      <c r="L946" s="10">
        <f>IFERROR(SUMIFS('Base bordo CD'!M$2:M$875,'Base bordo CD'!D$2:D$875,A946,'Base bordo CD'!A$2:A$875,B946,'Base bordo CD'!L$2:L$875,"PATIO - RESERVA"),0)</f>
        <v>0</v>
      </c>
      <c r="M946" s="10">
        <f>IFERROR(SUMIFS('Base bordo CD'!M$2:M$875,'Base bordo CD'!D$2:D$875,A946,'Base bordo CD'!A$2:A$875,B946,'Base bordo CD'!L$2:L$875,"SEM APONTAMENTO"),0)</f>
        <v>0</v>
      </c>
      <c r="N946" s="10">
        <f>IFERROR(SUMIFS('Base bordo CD'!M$2:M$875,'Base bordo CD'!D$2:D$875,A946,'Base bordo CD'!A$2:A$875,B946,'Base bordo CD'!L$2:L$875,"FALTA DE CAMINHÃO"),0)+IFERROR(SUMIFS('Base bordo CD'!M$2:M$875,'Base bordo CD'!D$2:D$875,A946,'Base bordo CD'!A$2:A$875,B946,'Base bordo CD'!L$2:L$875,"FALTA DE COMBUSTIVEL"),0)+IFERROR(SUMIFS('Base bordo CD'!M$2:M$875,'Base bordo CD'!D$2:D$875,A946,'Base bordo CD'!A$2:A$875,B946,'Base bordo CD'!L$2:L$875,"FALTA DE MOTORIST*"),0)</f>
        <v>0</v>
      </c>
      <c r="O946" s="10">
        <f t="shared" si="75"/>
        <v>0</v>
      </c>
      <c r="P946" s="10">
        <f>IFERROR(SUMIFS('Base bordo CD'!M$2:M$875,'Base bordo CD'!D$2:D$875,A946,'Base bordo CD'!A$2:A$875,B946),0)</f>
        <v>0</v>
      </c>
      <c r="Q946" s="10">
        <f>IFERROR(SUMIFS('Base bordo CD'!O$2:O$875,'Base bordo CD'!D$2:D$875,A946,'Base bordo CD'!A$2:A$875,B946,'Base bordo CD'!L$2:L$875,"CORTE DE CANA MECANIZADO"),0)</f>
        <v>0</v>
      </c>
      <c r="R946" s="10">
        <f>IFERROR(SUMIFS('Base bordo CD'!Q$2:Q$875,'Base bordo CD'!D$2:D$875,A946,'Base bordo CD'!A$2:A$875,B946,'Base bordo CD'!L$2:L$875,"CORTE DE CANA MECANIZADO"),0)</f>
        <v>0</v>
      </c>
      <c r="S946" s="30" t="str">
        <f t="shared" si="76"/>
        <v/>
      </c>
      <c r="T946" s="9">
        <f t="shared" si="77"/>
        <v>0</v>
      </c>
      <c r="U946" s="9">
        <f t="shared" si="78"/>
        <v>0</v>
      </c>
      <c r="V946" s="9">
        <f t="shared" si="79"/>
        <v>0</v>
      </c>
    </row>
    <row r="947" spans="1:22" x14ac:dyDescent="0.35">
      <c r="A947" s="52">
        <v>49587</v>
      </c>
      <c r="B947" s="31">
        <v>46117</v>
      </c>
      <c r="C947" s="7" t="s">
        <v>337</v>
      </c>
      <c r="D947" s="7">
        <v>353</v>
      </c>
      <c r="E947" s="10">
        <f>IFERROR(SUMIFS('Base bordo CD'!M$2:M$875,'Base bordo CD'!D$2:D$875,A947,'Base bordo CD'!A$2:A$875,B947,'Base bordo CD'!L$2:L$875,"CORTE DE CANA MECANIZADO"),0)</f>
        <v>0</v>
      </c>
      <c r="F947" s="10">
        <f>IFERROR(SUMIFS('Base bordo CD'!M$2:M$875,'Base bordo CD'!D$2:D$875,A947,'Base bordo CD'!A$2:A$875,B947,'Base bordo CD'!L$2:L$875,"MANOBRA"),0)</f>
        <v>0</v>
      </c>
      <c r="G947" s="10">
        <f>IFERROR(SUMIFS('Base bordo CD'!M$2:M$875,'Base bordo CD'!D$2:D$875,A947,'Base bordo CD'!A$2:A$875,B947,'Base bordo CD'!L$2:L$875,"DESLOCAMENTO"),0)</f>
        <v>0</v>
      </c>
      <c r="H947" s="10">
        <f>IFERROR(SUMIFS('Base bordo CD'!M$2:M$875,'Base bordo CD'!D$2:D$875,A947,'Base bordo CD'!A$2:A$875,B947,'Base bordo CD'!L$2:L$875,"AGUARDANDO MANOBRA DE TRANSBORDO"),0)+IFERROR(SUMIFS('Base bordo CD'!M$2:M$875,'Base bordo CD'!D$2:D$875,A947,'Base bordo CD'!A$2:A$875,B947,'Base bordo CD'!L$2:L$875,"FALTA DE TRANSBORDO"),0)</f>
        <v>0</v>
      </c>
      <c r="I947" s="10">
        <f>IFERROR(SUMIFS('Base bordo CD'!M$2:M$875,'Base bordo CD'!D$2:D$875,A947,'Base bordo CD'!A$2:A$875,B947,'Base bordo CD'!L$2:L$875,"PARADA POR CONDICOES CLIMATICAS"),0)+IFERROR(SUMIFS('Base bordo CD'!M$2:M$875,'Base bordo CD'!D$2:D$875,A947,'Base bordo CD'!A$2:A$875,B947,'Base bordo CD'!L$2:L$875,"TEMPO INDETERMINADO"),0)</f>
        <v>0</v>
      </c>
      <c r="J947" s="10">
        <f>IFERROR(SUMIFS('Base bordo CD'!M$2:M$875,'Base bordo CD'!D$2:D$875,A947,'Base bordo CD'!A$2:A$875,B947,'Base bordo CD'!L$2:L$875,"LIMITAÇÃO INDÚSTRIA"),0)</f>
        <v>0</v>
      </c>
      <c r="K947" s="10">
        <f>IFERROR(SUMIFS('Base bordo CD'!M$2:M$875,'Base bordo CD'!D$2:D$875,A947,'Base bordo CD'!A$2:A$875,B947,'Base bordo CD'!L$2:L$875,"MAN CORRETIVA*"),0)+IFERROR(SUMIFS('Base bordo CD'!M$2:M$875,'Base bordo CD'!D$2:D$875,A947,'Base bordo CD'!A$2:A$875,B947,'Base bordo CD'!L$2:L$875,"AGUARDANDO MANUTENCAO*"),0)+IFERROR(SUMIFS('Base bordo CD'!M$2:M$875,'Base bordo CD'!D$2:D$875,A947,'Base bordo CD'!A$2:A$875,B947,'Base bordo CD'!L$2:L$875,"TROCA DE FAQUINHA"),0)+IFERROR(SUMIFS('Base bordo CD'!M$2:M$875,'Base bordo CD'!D$2:D$875,A947,'Base bordo CD'!A$2:A$875,B947,'Base bordo CD'!L$2:L$875,"LIMPEZA*"),0)</f>
        <v>0</v>
      </c>
      <c r="L947" s="10">
        <f>IFERROR(SUMIFS('Base bordo CD'!M$2:M$875,'Base bordo CD'!D$2:D$875,A947,'Base bordo CD'!A$2:A$875,B947,'Base bordo CD'!L$2:L$875,"PATIO - RESERVA"),0)</f>
        <v>0</v>
      </c>
      <c r="M947" s="10">
        <f>IFERROR(SUMIFS('Base bordo CD'!M$2:M$875,'Base bordo CD'!D$2:D$875,A947,'Base bordo CD'!A$2:A$875,B947,'Base bordo CD'!L$2:L$875,"SEM APONTAMENTO"),0)</f>
        <v>0</v>
      </c>
      <c r="N947" s="10">
        <f>IFERROR(SUMIFS('Base bordo CD'!M$2:M$875,'Base bordo CD'!D$2:D$875,A947,'Base bordo CD'!A$2:A$875,B947,'Base bordo CD'!L$2:L$875,"FALTA DE CAMINHÃO"),0)+IFERROR(SUMIFS('Base bordo CD'!M$2:M$875,'Base bordo CD'!D$2:D$875,A947,'Base bordo CD'!A$2:A$875,B947,'Base bordo CD'!L$2:L$875,"FALTA DE COMBUSTIVEL"),0)+IFERROR(SUMIFS('Base bordo CD'!M$2:M$875,'Base bordo CD'!D$2:D$875,A947,'Base bordo CD'!A$2:A$875,B947,'Base bordo CD'!L$2:L$875,"FALTA DE MOTORIST*"),0)</f>
        <v>0</v>
      </c>
      <c r="O947" s="10">
        <f t="shared" si="75"/>
        <v>0</v>
      </c>
      <c r="P947" s="10">
        <f>IFERROR(SUMIFS('Base bordo CD'!M$2:M$875,'Base bordo CD'!D$2:D$875,A947,'Base bordo CD'!A$2:A$875,B947),0)</f>
        <v>0</v>
      </c>
      <c r="Q947" s="10">
        <f>IFERROR(SUMIFS('Base bordo CD'!O$2:O$875,'Base bordo CD'!D$2:D$875,A947,'Base bordo CD'!A$2:A$875,B947,'Base bordo CD'!L$2:L$875,"CORTE DE CANA MECANIZADO"),0)</f>
        <v>0</v>
      </c>
      <c r="R947" s="10">
        <f>IFERROR(SUMIFS('Base bordo CD'!Q$2:Q$875,'Base bordo CD'!D$2:D$875,A947,'Base bordo CD'!A$2:A$875,B947,'Base bordo CD'!L$2:L$875,"CORTE DE CANA MECANIZADO"),0)</f>
        <v>0</v>
      </c>
      <c r="S947" s="30" t="str">
        <f t="shared" si="76"/>
        <v/>
      </c>
      <c r="T947" s="9">
        <f t="shared" si="77"/>
        <v>0</v>
      </c>
      <c r="U947" s="9">
        <f t="shared" si="78"/>
        <v>0</v>
      </c>
      <c r="V947" s="9">
        <f t="shared" si="79"/>
        <v>0</v>
      </c>
    </row>
    <row r="948" spans="1:22" x14ac:dyDescent="0.35">
      <c r="A948" s="52">
        <v>49587</v>
      </c>
      <c r="B948" s="31">
        <v>46117</v>
      </c>
      <c r="C948" s="7" t="s">
        <v>337</v>
      </c>
      <c r="D948" s="7">
        <v>353</v>
      </c>
      <c r="E948" s="10">
        <f>IFERROR(SUMIFS('Base bordo CD'!M$2:M$875,'Base bordo CD'!D$2:D$875,A948,'Base bordo CD'!A$2:A$875,B948,'Base bordo CD'!L$2:L$875,"CORTE DE CANA MECANIZADO"),0)</f>
        <v>0</v>
      </c>
      <c r="F948" s="10">
        <f>IFERROR(SUMIFS('Base bordo CD'!M$2:M$875,'Base bordo CD'!D$2:D$875,A948,'Base bordo CD'!A$2:A$875,B948,'Base bordo CD'!L$2:L$875,"MANOBRA"),0)</f>
        <v>0</v>
      </c>
      <c r="G948" s="10">
        <f>IFERROR(SUMIFS('Base bordo CD'!M$2:M$875,'Base bordo CD'!D$2:D$875,A948,'Base bordo CD'!A$2:A$875,B948,'Base bordo CD'!L$2:L$875,"DESLOCAMENTO"),0)</f>
        <v>0</v>
      </c>
      <c r="H948" s="10">
        <f>IFERROR(SUMIFS('Base bordo CD'!M$2:M$875,'Base bordo CD'!D$2:D$875,A948,'Base bordo CD'!A$2:A$875,B948,'Base bordo CD'!L$2:L$875,"AGUARDANDO MANOBRA DE TRANSBORDO"),0)+IFERROR(SUMIFS('Base bordo CD'!M$2:M$875,'Base bordo CD'!D$2:D$875,A948,'Base bordo CD'!A$2:A$875,B948,'Base bordo CD'!L$2:L$875,"FALTA DE TRANSBORDO"),0)</f>
        <v>0</v>
      </c>
      <c r="I948" s="10">
        <f>IFERROR(SUMIFS('Base bordo CD'!M$2:M$875,'Base bordo CD'!D$2:D$875,A948,'Base bordo CD'!A$2:A$875,B948,'Base bordo CD'!L$2:L$875,"PARADA POR CONDICOES CLIMATICAS"),0)+IFERROR(SUMIFS('Base bordo CD'!M$2:M$875,'Base bordo CD'!D$2:D$875,A948,'Base bordo CD'!A$2:A$875,B948,'Base bordo CD'!L$2:L$875,"TEMPO INDETERMINADO"),0)</f>
        <v>0</v>
      </c>
      <c r="J948" s="10">
        <f>IFERROR(SUMIFS('Base bordo CD'!M$2:M$875,'Base bordo CD'!D$2:D$875,A948,'Base bordo CD'!A$2:A$875,B948,'Base bordo CD'!L$2:L$875,"LIMITAÇÃO INDÚSTRIA"),0)</f>
        <v>0</v>
      </c>
      <c r="K948" s="10">
        <f>IFERROR(SUMIFS('Base bordo CD'!M$2:M$875,'Base bordo CD'!D$2:D$875,A948,'Base bordo CD'!A$2:A$875,B948,'Base bordo CD'!L$2:L$875,"MAN CORRETIVA*"),0)+IFERROR(SUMIFS('Base bordo CD'!M$2:M$875,'Base bordo CD'!D$2:D$875,A948,'Base bordo CD'!A$2:A$875,B948,'Base bordo CD'!L$2:L$875,"AGUARDANDO MANUTENCAO*"),0)+IFERROR(SUMIFS('Base bordo CD'!M$2:M$875,'Base bordo CD'!D$2:D$875,A948,'Base bordo CD'!A$2:A$875,B948,'Base bordo CD'!L$2:L$875,"TROCA DE FAQUINHA"),0)+IFERROR(SUMIFS('Base bordo CD'!M$2:M$875,'Base bordo CD'!D$2:D$875,A948,'Base bordo CD'!A$2:A$875,B948,'Base bordo CD'!L$2:L$875,"LIMPEZA*"),0)</f>
        <v>0</v>
      </c>
      <c r="L948" s="10">
        <f>IFERROR(SUMIFS('Base bordo CD'!M$2:M$875,'Base bordo CD'!D$2:D$875,A948,'Base bordo CD'!A$2:A$875,B948,'Base bordo CD'!L$2:L$875,"PATIO - RESERVA"),0)</f>
        <v>0</v>
      </c>
      <c r="M948" s="10">
        <f>IFERROR(SUMIFS('Base bordo CD'!M$2:M$875,'Base bordo CD'!D$2:D$875,A948,'Base bordo CD'!A$2:A$875,B948,'Base bordo CD'!L$2:L$875,"SEM APONTAMENTO"),0)</f>
        <v>0</v>
      </c>
      <c r="N948" s="10">
        <f>IFERROR(SUMIFS('Base bordo CD'!M$2:M$875,'Base bordo CD'!D$2:D$875,A948,'Base bordo CD'!A$2:A$875,B948,'Base bordo CD'!L$2:L$875,"FALTA DE CAMINHÃO"),0)+IFERROR(SUMIFS('Base bordo CD'!M$2:M$875,'Base bordo CD'!D$2:D$875,A948,'Base bordo CD'!A$2:A$875,B948,'Base bordo CD'!L$2:L$875,"FALTA DE COMBUSTIVEL"),0)+IFERROR(SUMIFS('Base bordo CD'!M$2:M$875,'Base bordo CD'!D$2:D$875,A948,'Base bordo CD'!A$2:A$875,B948,'Base bordo CD'!L$2:L$875,"FALTA DE MOTORIST*"),0)</f>
        <v>0</v>
      </c>
      <c r="O948" s="10">
        <f t="shared" si="75"/>
        <v>0</v>
      </c>
      <c r="P948" s="10">
        <f>IFERROR(SUMIFS('Base bordo CD'!M$2:M$875,'Base bordo CD'!D$2:D$875,A948,'Base bordo CD'!A$2:A$875,B948),0)</f>
        <v>0</v>
      </c>
      <c r="Q948" s="10">
        <f>IFERROR(SUMIFS('Base bordo CD'!O$2:O$875,'Base bordo CD'!D$2:D$875,A948,'Base bordo CD'!A$2:A$875,B948,'Base bordo CD'!L$2:L$875,"CORTE DE CANA MECANIZADO"),0)</f>
        <v>0</v>
      </c>
      <c r="R948" s="10">
        <f>IFERROR(SUMIFS('Base bordo CD'!Q$2:Q$875,'Base bordo CD'!D$2:D$875,A948,'Base bordo CD'!A$2:A$875,B948,'Base bordo CD'!L$2:L$875,"CORTE DE CANA MECANIZADO"),0)</f>
        <v>0</v>
      </c>
      <c r="S948" s="30" t="str">
        <f t="shared" si="76"/>
        <v/>
      </c>
      <c r="T948" s="9">
        <f t="shared" si="77"/>
        <v>0</v>
      </c>
      <c r="U948" s="9">
        <f t="shared" si="78"/>
        <v>0</v>
      </c>
      <c r="V948" s="9">
        <f t="shared" si="79"/>
        <v>0</v>
      </c>
    </row>
    <row r="949" spans="1:22" x14ac:dyDescent="0.35">
      <c r="A949" s="52">
        <v>49587</v>
      </c>
      <c r="B949" s="31">
        <v>46117</v>
      </c>
      <c r="C949" s="7" t="s">
        <v>337</v>
      </c>
      <c r="D949" s="7">
        <v>353</v>
      </c>
      <c r="E949" s="10">
        <f>IFERROR(SUMIFS('Base bordo CD'!M$2:M$875,'Base bordo CD'!D$2:D$875,A949,'Base bordo CD'!A$2:A$875,B949,'Base bordo CD'!L$2:L$875,"CORTE DE CANA MECANIZADO"),0)</f>
        <v>0</v>
      </c>
      <c r="F949" s="10">
        <f>IFERROR(SUMIFS('Base bordo CD'!M$2:M$875,'Base bordo CD'!D$2:D$875,A949,'Base bordo CD'!A$2:A$875,B949,'Base bordo CD'!L$2:L$875,"MANOBRA"),0)</f>
        <v>0</v>
      </c>
      <c r="G949" s="10">
        <f>IFERROR(SUMIFS('Base bordo CD'!M$2:M$875,'Base bordo CD'!D$2:D$875,A949,'Base bordo CD'!A$2:A$875,B949,'Base bordo CD'!L$2:L$875,"DESLOCAMENTO"),0)</f>
        <v>0</v>
      </c>
      <c r="H949" s="10">
        <f>IFERROR(SUMIFS('Base bordo CD'!M$2:M$875,'Base bordo CD'!D$2:D$875,A949,'Base bordo CD'!A$2:A$875,B949,'Base bordo CD'!L$2:L$875,"AGUARDANDO MANOBRA DE TRANSBORDO"),0)+IFERROR(SUMIFS('Base bordo CD'!M$2:M$875,'Base bordo CD'!D$2:D$875,A949,'Base bordo CD'!A$2:A$875,B949,'Base bordo CD'!L$2:L$875,"FALTA DE TRANSBORDO"),0)</f>
        <v>0</v>
      </c>
      <c r="I949" s="10">
        <f>IFERROR(SUMIFS('Base bordo CD'!M$2:M$875,'Base bordo CD'!D$2:D$875,A949,'Base bordo CD'!A$2:A$875,B949,'Base bordo CD'!L$2:L$875,"PARADA POR CONDICOES CLIMATICAS"),0)+IFERROR(SUMIFS('Base bordo CD'!M$2:M$875,'Base bordo CD'!D$2:D$875,A949,'Base bordo CD'!A$2:A$875,B949,'Base bordo CD'!L$2:L$875,"TEMPO INDETERMINADO"),0)</f>
        <v>0</v>
      </c>
      <c r="J949" s="10">
        <f>IFERROR(SUMIFS('Base bordo CD'!M$2:M$875,'Base bordo CD'!D$2:D$875,A949,'Base bordo CD'!A$2:A$875,B949,'Base bordo CD'!L$2:L$875,"LIMITAÇÃO INDÚSTRIA"),0)</f>
        <v>0</v>
      </c>
      <c r="K949" s="10">
        <f>IFERROR(SUMIFS('Base bordo CD'!M$2:M$875,'Base bordo CD'!D$2:D$875,A949,'Base bordo CD'!A$2:A$875,B949,'Base bordo CD'!L$2:L$875,"MAN CORRETIVA*"),0)+IFERROR(SUMIFS('Base bordo CD'!M$2:M$875,'Base bordo CD'!D$2:D$875,A949,'Base bordo CD'!A$2:A$875,B949,'Base bordo CD'!L$2:L$875,"AGUARDANDO MANUTENCAO*"),0)+IFERROR(SUMIFS('Base bordo CD'!M$2:M$875,'Base bordo CD'!D$2:D$875,A949,'Base bordo CD'!A$2:A$875,B949,'Base bordo CD'!L$2:L$875,"TROCA DE FAQUINHA"),0)+IFERROR(SUMIFS('Base bordo CD'!M$2:M$875,'Base bordo CD'!D$2:D$875,A949,'Base bordo CD'!A$2:A$875,B949,'Base bordo CD'!L$2:L$875,"LIMPEZA*"),0)</f>
        <v>0</v>
      </c>
      <c r="L949" s="10">
        <f>IFERROR(SUMIFS('Base bordo CD'!M$2:M$875,'Base bordo CD'!D$2:D$875,A949,'Base bordo CD'!A$2:A$875,B949,'Base bordo CD'!L$2:L$875,"PATIO - RESERVA"),0)</f>
        <v>0</v>
      </c>
      <c r="M949" s="10">
        <f>IFERROR(SUMIFS('Base bordo CD'!M$2:M$875,'Base bordo CD'!D$2:D$875,A949,'Base bordo CD'!A$2:A$875,B949,'Base bordo CD'!L$2:L$875,"SEM APONTAMENTO"),0)</f>
        <v>0</v>
      </c>
      <c r="N949" s="10">
        <f>IFERROR(SUMIFS('Base bordo CD'!M$2:M$875,'Base bordo CD'!D$2:D$875,A949,'Base bordo CD'!A$2:A$875,B949,'Base bordo CD'!L$2:L$875,"FALTA DE CAMINHÃO"),0)+IFERROR(SUMIFS('Base bordo CD'!M$2:M$875,'Base bordo CD'!D$2:D$875,A949,'Base bordo CD'!A$2:A$875,B949,'Base bordo CD'!L$2:L$875,"FALTA DE COMBUSTIVEL"),0)+IFERROR(SUMIFS('Base bordo CD'!M$2:M$875,'Base bordo CD'!D$2:D$875,A949,'Base bordo CD'!A$2:A$875,B949,'Base bordo CD'!L$2:L$875,"FALTA DE MOTORIST*"),0)</f>
        <v>0</v>
      </c>
      <c r="O949" s="10">
        <f t="shared" si="75"/>
        <v>0</v>
      </c>
      <c r="P949" s="10">
        <f>IFERROR(SUMIFS('Base bordo CD'!M$2:M$875,'Base bordo CD'!D$2:D$875,A949,'Base bordo CD'!A$2:A$875,B949),0)</f>
        <v>0</v>
      </c>
      <c r="Q949" s="10">
        <f>IFERROR(SUMIFS('Base bordo CD'!O$2:O$875,'Base bordo CD'!D$2:D$875,A949,'Base bordo CD'!A$2:A$875,B949,'Base bordo CD'!L$2:L$875,"CORTE DE CANA MECANIZADO"),0)</f>
        <v>0</v>
      </c>
      <c r="R949" s="10">
        <f>IFERROR(SUMIFS('Base bordo CD'!Q$2:Q$875,'Base bordo CD'!D$2:D$875,A949,'Base bordo CD'!A$2:A$875,B949,'Base bordo CD'!L$2:L$875,"CORTE DE CANA MECANIZADO"),0)</f>
        <v>0</v>
      </c>
      <c r="S949" s="30" t="str">
        <f t="shared" si="76"/>
        <v/>
      </c>
      <c r="T949" s="9">
        <f t="shared" si="77"/>
        <v>0</v>
      </c>
      <c r="U949" s="9">
        <f t="shared" si="78"/>
        <v>0</v>
      </c>
      <c r="V949" s="9">
        <f t="shared" si="79"/>
        <v>0</v>
      </c>
    </row>
    <row r="950" spans="1:22" x14ac:dyDescent="0.35">
      <c r="A950" s="52">
        <v>49587</v>
      </c>
      <c r="B950" s="31">
        <v>46117</v>
      </c>
      <c r="C950" s="7" t="s">
        <v>337</v>
      </c>
      <c r="D950" s="7">
        <v>353</v>
      </c>
      <c r="E950" s="10">
        <f>IFERROR(SUMIFS('Base bordo CD'!M$2:M$875,'Base bordo CD'!D$2:D$875,A950,'Base bordo CD'!A$2:A$875,B950,'Base bordo CD'!L$2:L$875,"CORTE DE CANA MECANIZADO"),0)</f>
        <v>0</v>
      </c>
      <c r="F950" s="10">
        <f>IFERROR(SUMIFS('Base bordo CD'!M$2:M$875,'Base bordo CD'!D$2:D$875,A950,'Base bordo CD'!A$2:A$875,B950,'Base bordo CD'!L$2:L$875,"MANOBRA"),0)</f>
        <v>0</v>
      </c>
      <c r="G950" s="10">
        <f>IFERROR(SUMIFS('Base bordo CD'!M$2:M$875,'Base bordo CD'!D$2:D$875,A950,'Base bordo CD'!A$2:A$875,B950,'Base bordo CD'!L$2:L$875,"DESLOCAMENTO"),0)</f>
        <v>0</v>
      </c>
      <c r="H950" s="10">
        <f>IFERROR(SUMIFS('Base bordo CD'!M$2:M$875,'Base bordo CD'!D$2:D$875,A950,'Base bordo CD'!A$2:A$875,B950,'Base bordo CD'!L$2:L$875,"AGUARDANDO MANOBRA DE TRANSBORDO"),0)+IFERROR(SUMIFS('Base bordo CD'!M$2:M$875,'Base bordo CD'!D$2:D$875,A950,'Base bordo CD'!A$2:A$875,B950,'Base bordo CD'!L$2:L$875,"FALTA DE TRANSBORDO"),0)</f>
        <v>0</v>
      </c>
      <c r="I950" s="10">
        <f>IFERROR(SUMIFS('Base bordo CD'!M$2:M$875,'Base bordo CD'!D$2:D$875,A950,'Base bordo CD'!A$2:A$875,B950,'Base bordo CD'!L$2:L$875,"PARADA POR CONDICOES CLIMATICAS"),0)+IFERROR(SUMIFS('Base bordo CD'!M$2:M$875,'Base bordo CD'!D$2:D$875,A950,'Base bordo CD'!A$2:A$875,B950,'Base bordo CD'!L$2:L$875,"TEMPO INDETERMINADO"),0)</f>
        <v>0</v>
      </c>
      <c r="J950" s="10">
        <f>IFERROR(SUMIFS('Base bordo CD'!M$2:M$875,'Base bordo CD'!D$2:D$875,A950,'Base bordo CD'!A$2:A$875,B950,'Base bordo CD'!L$2:L$875,"LIMITAÇÃO INDÚSTRIA"),0)</f>
        <v>0</v>
      </c>
      <c r="K950" s="10">
        <f>IFERROR(SUMIFS('Base bordo CD'!M$2:M$875,'Base bordo CD'!D$2:D$875,A950,'Base bordo CD'!A$2:A$875,B950,'Base bordo CD'!L$2:L$875,"MAN CORRETIVA*"),0)+IFERROR(SUMIFS('Base bordo CD'!M$2:M$875,'Base bordo CD'!D$2:D$875,A950,'Base bordo CD'!A$2:A$875,B950,'Base bordo CD'!L$2:L$875,"AGUARDANDO MANUTENCAO*"),0)+IFERROR(SUMIFS('Base bordo CD'!M$2:M$875,'Base bordo CD'!D$2:D$875,A950,'Base bordo CD'!A$2:A$875,B950,'Base bordo CD'!L$2:L$875,"TROCA DE FAQUINHA"),0)+IFERROR(SUMIFS('Base bordo CD'!M$2:M$875,'Base bordo CD'!D$2:D$875,A950,'Base bordo CD'!A$2:A$875,B950,'Base bordo CD'!L$2:L$875,"LIMPEZA*"),0)</f>
        <v>0</v>
      </c>
      <c r="L950" s="10">
        <f>IFERROR(SUMIFS('Base bordo CD'!M$2:M$875,'Base bordo CD'!D$2:D$875,A950,'Base bordo CD'!A$2:A$875,B950,'Base bordo CD'!L$2:L$875,"PATIO - RESERVA"),0)</f>
        <v>0</v>
      </c>
      <c r="M950" s="10">
        <f>IFERROR(SUMIFS('Base bordo CD'!M$2:M$875,'Base bordo CD'!D$2:D$875,A950,'Base bordo CD'!A$2:A$875,B950,'Base bordo CD'!L$2:L$875,"SEM APONTAMENTO"),0)</f>
        <v>0</v>
      </c>
      <c r="N950" s="10">
        <f>IFERROR(SUMIFS('Base bordo CD'!M$2:M$875,'Base bordo CD'!D$2:D$875,A950,'Base bordo CD'!A$2:A$875,B950,'Base bordo CD'!L$2:L$875,"FALTA DE CAMINHÃO"),0)+IFERROR(SUMIFS('Base bordo CD'!M$2:M$875,'Base bordo CD'!D$2:D$875,A950,'Base bordo CD'!A$2:A$875,B950,'Base bordo CD'!L$2:L$875,"FALTA DE COMBUSTIVEL"),0)+IFERROR(SUMIFS('Base bordo CD'!M$2:M$875,'Base bordo CD'!D$2:D$875,A950,'Base bordo CD'!A$2:A$875,B950,'Base bordo CD'!L$2:L$875,"FALTA DE MOTORIST*"),0)</f>
        <v>0</v>
      </c>
      <c r="O950" s="10">
        <f t="shared" si="75"/>
        <v>0</v>
      </c>
      <c r="P950" s="10">
        <f>IFERROR(SUMIFS('Base bordo CD'!M$2:M$875,'Base bordo CD'!D$2:D$875,A950,'Base bordo CD'!A$2:A$875,B950),0)</f>
        <v>0</v>
      </c>
      <c r="Q950" s="10">
        <f>IFERROR(SUMIFS('Base bordo CD'!O$2:O$875,'Base bordo CD'!D$2:D$875,A950,'Base bordo CD'!A$2:A$875,B950,'Base bordo CD'!L$2:L$875,"CORTE DE CANA MECANIZADO"),0)</f>
        <v>0</v>
      </c>
      <c r="R950" s="10">
        <f>IFERROR(SUMIFS('Base bordo CD'!Q$2:Q$875,'Base bordo CD'!D$2:D$875,A950,'Base bordo CD'!A$2:A$875,B950,'Base bordo CD'!L$2:L$875,"CORTE DE CANA MECANIZADO"),0)</f>
        <v>0</v>
      </c>
      <c r="S950" s="30" t="str">
        <f t="shared" si="76"/>
        <v/>
      </c>
      <c r="T950" s="9">
        <f t="shared" si="77"/>
        <v>0</v>
      </c>
      <c r="U950" s="9">
        <f t="shared" si="78"/>
        <v>0</v>
      </c>
      <c r="V950" s="9">
        <f t="shared" si="79"/>
        <v>0</v>
      </c>
    </row>
    <row r="951" spans="1:22" x14ac:dyDescent="0.35">
      <c r="A951" s="52">
        <v>49587</v>
      </c>
      <c r="B951" s="31">
        <v>46117</v>
      </c>
      <c r="C951" s="7" t="s">
        <v>337</v>
      </c>
      <c r="D951" s="7">
        <v>353</v>
      </c>
      <c r="E951" s="10">
        <f>IFERROR(SUMIFS('Base bordo CD'!M$2:M$875,'Base bordo CD'!D$2:D$875,A951,'Base bordo CD'!A$2:A$875,B951,'Base bordo CD'!L$2:L$875,"CORTE DE CANA MECANIZADO"),0)</f>
        <v>0</v>
      </c>
      <c r="F951" s="10">
        <f>IFERROR(SUMIFS('Base bordo CD'!M$2:M$875,'Base bordo CD'!D$2:D$875,A951,'Base bordo CD'!A$2:A$875,B951,'Base bordo CD'!L$2:L$875,"MANOBRA"),0)</f>
        <v>0</v>
      </c>
      <c r="G951" s="10">
        <f>IFERROR(SUMIFS('Base bordo CD'!M$2:M$875,'Base bordo CD'!D$2:D$875,A951,'Base bordo CD'!A$2:A$875,B951,'Base bordo CD'!L$2:L$875,"DESLOCAMENTO"),0)</f>
        <v>0</v>
      </c>
      <c r="H951" s="10">
        <f>IFERROR(SUMIFS('Base bordo CD'!M$2:M$875,'Base bordo CD'!D$2:D$875,A951,'Base bordo CD'!A$2:A$875,B951,'Base bordo CD'!L$2:L$875,"AGUARDANDO MANOBRA DE TRANSBORDO"),0)+IFERROR(SUMIFS('Base bordo CD'!M$2:M$875,'Base bordo CD'!D$2:D$875,A951,'Base bordo CD'!A$2:A$875,B951,'Base bordo CD'!L$2:L$875,"FALTA DE TRANSBORDO"),0)</f>
        <v>0</v>
      </c>
      <c r="I951" s="10">
        <f>IFERROR(SUMIFS('Base bordo CD'!M$2:M$875,'Base bordo CD'!D$2:D$875,A951,'Base bordo CD'!A$2:A$875,B951,'Base bordo CD'!L$2:L$875,"PARADA POR CONDICOES CLIMATICAS"),0)+IFERROR(SUMIFS('Base bordo CD'!M$2:M$875,'Base bordo CD'!D$2:D$875,A951,'Base bordo CD'!A$2:A$875,B951,'Base bordo CD'!L$2:L$875,"TEMPO INDETERMINADO"),0)</f>
        <v>0</v>
      </c>
      <c r="J951" s="10">
        <f>IFERROR(SUMIFS('Base bordo CD'!M$2:M$875,'Base bordo CD'!D$2:D$875,A951,'Base bordo CD'!A$2:A$875,B951,'Base bordo CD'!L$2:L$875,"LIMITAÇÃO INDÚSTRIA"),0)</f>
        <v>0</v>
      </c>
      <c r="K951" s="10">
        <f>IFERROR(SUMIFS('Base bordo CD'!M$2:M$875,'Base bordo CD'!D$2:D$875,A951,'Base bordo CD'!A$2:A$875,B951,'Base bordo CD'!L$2:L$875,"MAN CORRETIVA*"),0)+IFERROR(SUMIFS('Base bordo CD'!M$2:M$875,'Base bordo CD'!D$2:D$875,A951,'Base bordo CD'!A$2:A$875,B951,'Base bordo CD'!L$2:L$875,"AGUARDANDO MANUTENCAO*"),0)+IFERROR(SUMIFS('Base bordo CD'!M$2:M$875,'Base bordo CD'!D$2:D$875,A951,'Base bordo CD'!A$2:A$875,B951,'Base bordo CD'!L$2:L$875,"TROCA DE FAQUINHA"),0)+IFERROR(SUMIFS('Base bordo CD'!M$2:M$875,'Base bordo CD'!D$2:D$875,A951,'Base bordo CD'!A$2:A$875,B951,'Base bordo CD'!L$2:L$875,"LIMPEZA*"),0)</f>
        <v>0</v>
      </c>
      <c r="L951" s="10">
        <f>IFERROR(SUMIFS('Base bordo CD'!M$2:M$875,'Base bordo CD'!D$2:D$875,A951,'Base bordo CD'!A$2:A$875,B951,'Base bordo CD'!L$2:L$875,"PATIO - RESERVA"),0)</f>
        <v>0</v>
      </c>
      <c r="M951" s="10">
        <f>IFERROR(SUMIFS('Base bordo CD'!M$2:M$875,'Base bordo CD'!D$2:D$875,A951,'Base bordo CD'!A$2:A$875,B951,'Base bordo CD'!L$2:L$875,"SEM APONTAMENTO"),0)</f>
        <v>0</v>
      </c>
      <c r="N951" s="10">
        <f>IFERROR(SUMIFS('Base bordo CD'!M$2:M$875,'Base bordo CD'!D$2:D$875,A951,'Base bordo CD'!A$2:A$875,B951,'Base bordo CD'!L$2:L$875,"FALTA DE CAMINHÃO"),0)+IFERROR(SUMIFS('Base bordo CD'!M$2:M$875,'Base bordo CD'!D$2:D$875,A951,'Base bordo CD'!A$2:A$875,B951,'Base bordo CD'!L$2:L$875,"FALTA DE COMBUSTIVEL"),0)+IFERROR(SUMIFS('Base bordo CD'!M$2:M$875,'Base bordo CD'!D$2:D$875,A951,'Base bordo CD'!A$2:A$875,B951,'Base bordo CD'!L$2:L$875,"FALTA DE MOTORIST*"),0)</f>
        <v>0</v>
      </c>
      <c r="O951" s="10">
        <f t="shared" si="75"/>
        <v>0</v>
      </c>
      <c r="P951" s="10">
        <f>IFERROR(SUMIFS('Base bordo CD'!M$2:M$875,'Base bordo CD'!D$2:D$875,A951,'Base bordo CD'!A$2:A$875,B951),0)</f>
        <v>0</v>
      </c>
      <c r="Q951" s="10">
        <f>IFERROR(SUMIFS('Base bordo CD'!O$2:O$875,'Base bordo CD'!D$2:D$875,A951,'Base bordo CD'!A$2:A$875,B951,'Base bordo CD'!L$2:L$875,"CORTE DE CANA MECANIZADO"),0)</f>
        <v>0</v>
      </c>
      <c r="R951" s="10">
        <f>IFERROR(SUMIFS('Base bordo CD'!Q$2:Q$875,'Base bordo CD'!D$2:D$875,A951,'Base bordo CD'!A$2:A$875,B951,'Base bordo CD'!L$2:L$875,"CORTE DE CANA MECANIZADO"),0)</f>
        <v>0</v>
      </c>
      <c r="S951" s="30" t="str">
        <f t="shared" si="76"/>
        <v/>
      </c>
      <c r="T951" s="9">
        <f t="shared" si="77"/>
        <v>0</v>
      </c>
      <c r="U951" s="9">
        <f t="shared" si="78"/>
        <v>0</v>
      </c>
      <c r="V951" s="9">
        <f t="shared" si="79"/>
        <v>0</v>
      </c>
    </row>
    <row r="952" spans="1:22" x14ac:dyDescent="0.35">
      <c r="A952" s="52">
        <v>49587</v>
      </c>
      <c r="B952" s="31">
        <v>46117</v>
      </c>
      <c r="C952" s="7" t="s">
        <v>337</v>
      </c>
      <c r="D952" s="7">
        <v>353</v>
      </c>
      <c r="E952" s="10">
        <f>IFERROR(SUMIFS('Base bordo CD'!M$2:M$875,'Base bordo CD'!D$2:D$875,A952,'Base bordo CD'!A$2:A$875,B952,'Base bordo CD'!L$2:L$875,"CORTE DE CANA MECANIZADO"),0)</f>
        <v>0</v>
      </c>
      <c r="F952" s="10">
        <f>IFERROR(SUMIFS('Base bordo CD'!M$2:M$875,'Base bordo CD'!D$2:D$875,A952,'Base bordo CD'!A$2:A$875,B952,'Base bordo CD'!L$2:L$875,"MANOBRA"),0)</f>
        <v>0</v>
      </c>
      <c r="G952" s="10">
        <f>IFERROR(SUMIFS('Base bordo CD'!M$2:M$875,'Base bordo CD'!D$2:D$875,A952,'Base bordo CD'!A$2:A$875,B952,'Base bordo CD'!L$2:L$875,"DESLOCAMENTO"),0)</f>
        <v>0</v>
      </c>
      <c r="H952" s="10">
        <f>IFERROR(SUMIFS('Base bordo CD'!M$2:M$875,'Base bordo CD'!D$2:D$875,A952,'Base bordo CD'!A$2:A$875,B952,'Base bordo CD'!L$2:L$875,"AGUARDANDO MANOBRA DE TRANSBORDO"),0)+IFERROR(SUMIFS('Base bordo CD'!M$2:M$875,'Base bordo CD'!D$2:D$875,A952,'Base bordo CD'!A$2:A$875,B952,'Base bordo CD'!L$2:L$875,"FALTA DE TRANSBORDO"),0)</f>
        <v>0</v>
      </c>
      <c r="I952" s="10">
        <f>IFERROR(SUMIFS('Base bordo CD'!M$2:M$875,'Base bordo CD'!D$2:D$875,A952,'Base bordo CD'!A$2:A$875,B952,'Base bordo CD'!L$2:L$875,"PARADA POR CONDICOES CLIMATICAS"),0)+IFERROR(SUMIFS('Base bordo CD'!M$2:M$875,'Base bordo CD'!D$2:D$875,A952,'Base bordo CD'!A$2:A$875,B952,'Base bordo CD'!L$2:L$875,"TEMPO INDETERMINADO"),0)</f>
        <v>0</v>
      </c>
      <c r="J952" s="10">
        <f>IFERROR(SUMIFS('Base bordo CD'!M$2:M$875,'Base bordo CD'!D$2:D$875,A952,'Base bordo CD'!A$2:A$875,B952,'Base bordo CD'!L$2:L$875,"LIMITAÇÃO INDÚSTRIA"),0)</f>
        <v>0</v>
      </c>
      <c r="K952" s="10">
        <f>IFERROR(SUMIFS('Base bordo CD'!M$2:M$875,'Base bordo CD'!D$2:D$875,A952,'Base bordo CD'!A$2:A$875,B952,'Base bordo CD'!L$2:L$875,"MAN CORRETIVA*"),0)+IFERROR(SUMIFS('Base bordo CD'!M$2:M$875,'Base bordo CD'!D$2:D$875,A952,'Base bordo CD'!A$2:A$875,B952,'Base bordo CD'!L$2:L$875,"AGUARDANDO MANUTENCAO*"),0)+IFERROR(SUMIFS('Base bordo CD'!M$2:M$875,'Base bordo CD'!D$2:D$875,A952,'Base bordo CD'!A$2:A$875,B952,'Base bordo CD'!L$2:L$875,"TROCA DE FAQUINHA"),0)+IFERROR(SUMIFS('Base bordo CD'!M$2:M$875,'Base bordo CD'!D$2:D$875,A952,'Base bordo CD'!A$2:A$875,B952,'Base bordo CD'!L$2:L$875,"LIMPEZA*"),0)</f>
        <v>0</v>
      </c>
      <c r="L952" s="10">
        <f>IFERROR(SUMIFS('Base bordo CD'!M$2:M$875,'Base bordo CD'!D$2:D$875,A952,'Base bordo CD'!A$2:A$875,B952,'Base bordo CD'!L$2:L$875,"PATIO - RESERVA"),0)</f>
        <v>0</v>
      </c>
      <c r="M952" s="10">
        <f>IFERROR(SUMIFS('Base bordo CD'!M$2:M$875,'Base bordo CD'!D$2:D$875,A952,'Base bordo CD'!A$2:A$875,B952,'Base bordo CD'!L$2:L$875,"SEM APONTAMENTO"),0)</f>
        <v>0</v>
      </c>
      <c r="N952" s="10">
        <f>IFERROR(SUMIFS('Base bordo CD'!M$2:M$875,'Base bordo CD'!D$2:D$875,A952,'Base bordo CD'!A$2:A$875,B952,'Base bordo CD'!L$2:L$875,"FALTA DE CAMINHÃO"),0)+IFERROR(SUMIFS('Base bordo CD'!M$2:M$875,'Base bordo CD'!D$2:D$875,A952,'Base bordo CD'!A$2:A$875,B952,'Base bordo CD'!L$2:L$875,"FALTA DE COMBUSTIVEL"),0)+IFERROR(SUMIFS('Base bordo CD'!M$2:M$875,'Base bordo CD'!D$2:D$875,A952,'Base bordo CD'!A$2:A$875,B952,'Base bordo CD'!L$2:L$875,"FALTA DE MOTORIST*"),0)</f>
        <v>0</v>
      </c>
      <c r="O952" s="10">
        <f t="shared" si="75"/>
        <v>0</v>
      </c>
      <c r="P952" s="10">
        <f>IFERROR(SUMIFS('Base bordo CD'!M$2:M$875,'Base bordo CD'!D$2:D$875,A952,'Base bordo CD'!A$2:A$875,B952),0)</f>
        <v>0</v>
      </c>
      <c r="Q952" s="10">
        <f>IFERROR(SUMIFS('Base bordo CD'!O$2:O$875,'Base bordo CD'!D$2:D$875,A952,'Base bordo CD'!A$2:A$875,B952,'Base bordo CD'!L$2:L$875,"CORTE DE CANA MECANIZADO"),0)</f>
        <v>0</v>
      </c>
      <c r="R952" s="10">
        <f>IFERROR(SUMIFS('Base bordo CD'!Q$2:Q$875,'Base bordo CD'!D$2:D$875,A952,'Base bordo CD'!A$2:A$875,B952,'Base bordo CD'!L$2:L$875,"CORTE DE CANA MECANIZADO"),0)</f>
        <v>0</v>
      </c>
      <c r="S952" s="30" t="str">
        <f t="shared" si="76"/>
        <v/>
      </c>
      <c r="T952" s="9">
        <f t="shared" si="77"/>
        <v>0</v>
      </c>
      <c r="U952" s="9">
        <f t="shared" si="78"/>
        <v>0</v>
      </c>
      <c r="V952" s="9">
        <f t="shared" si="79"/>
        <v>0</v>
      </c>
    </row>
    <row r="953" spans="1:22" x14ac:dyDescent="0.35">
      <c r="A953" s="52">
        <v>49587</v>
      </c>
      <c r="B953" s="31">
        <v>46117</v>
      </c>
      <c r="C953" s="7" t="s">
        <v>337</v>
      </c>
      <c r="D953" s="7">
        <v>353</v>
      </c>
      <c r="E953" s="10">
        <f>IFERROR(SUMIFS('Base bordo CD'!M$2:M$875,'Base bordo CD'!D$2:D$875,A953,'Base bordo CD'!A$2:A$875,B953,'Base bordo CD'!L$2:L$875,"CORTE DE CANA MECANIZADO"),0)</f>
        <v>0</v>
      </c>
      <c r="F953" s="10">
        <f>IFERROR(SUMIFS('Base bordo CD'!M$2:M$875,'Base bordo CD'!D$2:D$875,A953,'Base bordo CD'!A$2:A$875,B953,'Base bordo CD'!L$2:L$875,"MANOBRA"),0)</f>
        <v>0</v>
      </c>
      <c r="G953" s="10">
        <f>IFERROR(SUMIFS('Base bordo CD'!M$2:M$875,'Base bordo CD'!D$2:D$875,A953,'Base bordo CD'!A$2:A$875,B953,'Base bordo CD'!L$2:L$875,"DESLOCAMENTO"),0)</f>
        <v>0</v>
      </c>
      <c r="H953" s="10">
        <f>IFERROR(SUMIFS('Base bordo CD'!M$2:M$875,'Base bordo CD'!D$2:D$875,A953,'Base bordo CD'!A$2:A$875,B953,'Base bordo CD'!L$2:L$875,"AGUARDANDO MANOBRA DE TRANSBORDO"),0)+IFERROR(SUMIFS('Base bordo CD'!M$2:M$875,'Base bordo CD'!D$2:D$875,A953,'Base bordo CD'!A$2:A$875,B953,'Base bordo CD'!L$2:L$875,"FALTA DE TRANSBORDO"),0)</f>
        <v>0</v>
      </c>
      <c r="I953" s="10">
        <f>IFERROR(SUMIFS('Base bordo CD'!M$2:M$875,'Base bordo CD'!D$2:D$875,A953,'Base bordo CD'!A$2:A$875,B953,'Base bordo CD'!L$2:L$875,"PARADA POR CONDICOES CLIMATICAS"),0)+IFERROR(SUMIFS('Base bordo CD'!M$2:M$875,'Base bordo CD'!D$2:D$875,A953,'Base bordo CD'!A$2:A$875,B953,'Base bordo CD'!L$2:L$875,"TEMPO INDETERMINADO"),0)</f>
        <v>0</v>
      </c>
      <c r="J953" s="10">
        <f>IFERROR(SUMIFS('Base bordo CD'!M$2:M$875,'Base bordo CD'!D$2:D$875,A953,'Base bordo CD'!A$2:A$875,B953,'Base bordo CD'!L$2:L$875,"LIMITAÇÃO INDÚSTRIA"),0)</f>
        <v>0</v>
      </c>
      <c r="K953" s="10">
        <f>IFERROR(SUMIFS('Base bordo CD'!M$2:M$875,'Base bordo CD'!D$2:D$875,A953,'Base bordo CD'!A$2:A$875,B953,'Base bordo CD'!L$2:L$875,"MAN CORRETIVA*"),0)+IFERROR(SUMIFS('Base bordo CD'!M$2:M$875,'Base bordo CD'!D$2:D$875,A953,'Base bordo CD'!A$2:A$875,B953,'Base bordo CD'!L$2:L$875,"AGUARDANDO MANUTENCAO*"),0)+IFERROR(SUMIFS('Base bordo CD'!M$2:M$875,'Base bordo CD'!D$2:D$875,A953,'Base bordo CD'!A$2:A$875,B953,'Base bordo CD'!L$2:L$875,"TROCA DE FAQUINHA"),0)+IFERROR(SUMIFS('Base bordo CD'!M$2:M$875,'Base bordo CD'!D$2:D$875,A953,'Base bordo CD'!A$2:A$875,B953,'Base bordo CD'!L$2:L$875,"LIMPEZA*"),0)</f>
        <v>0</v>
      </c>
      <c r="L953" s="10">
        <f>IFERROR(SUMIFS('Base bordo CD'!M$2:M$875,'Base bordo CD'!D$2:D$875,A953,'Base bordo CD'!A$2:A$875,B953,'Base bordo CD'!L$2:L$875,"PATIO - RESERVA"),0)</f>
        <v>0</v>
      </c>
      <c r="M953" s="10">
        <f>IFERROR(SUMIFS('Base bordo CD'!M$2:M$875,'Base bordo CD'!D$2:D$875,A953,'Base bordo CD'!A$2:A$875,B953,'Base bordo CD'!L$2:L$875,"SEM APONTAMENTO"),0)</f>
        <v>0</v>
      </c>
      <c r="N953" s="10">
        <f>IFERROR(SUMIFS('Base bordo CD'!M$2:M$875,'Base bordo CD'!D$2:D$875,A953,'Base bordo CD'!A$2:A$875,B953,'Base bordo CD'!L$2:L$875,"FALTA DE CAMINHÃO"),0)+IFERROR(SUMIFS('Base bordo CD'!M$2:M$875,'Base bordo CD'!D$2:D$875,A953,'Base bordo CD'!A$2:A$875,B953,'Base bordo CD'!L$2:L$875,"FALTA DE COMBUSTIVEL"),0)+IFERROR(SUMIFS('Base bordo CD'!M$2:M$875,'Base bordo CD'!D$2:D$875,A953,'Base bordo CD'!A$2:A$875,B953,'Base bordo CD'!L$2:L$875,"FALTA DE MOTORIST*"),0)</f>
        <v>0</v>
      </c>
      <c r="O953" s="10">
        <f t="shared" si="75"/>
        <v>0</v>
      </c>
      <c r="P953" s="10">
        <f>IFERROR(SUMIFS('Base bordo CD'!M$2:M$875,'Base bordo CD'!D$2:D$875,A953,'Base bordo CD'!A$2:A$875,B953),0)</f>
        <v>0</v>
      </c>
      <c r="Q953" s="10">
        <f>IFERROR(SUMIFS('Base bordo CD'!O$2:O$875,'Base bordo CD'!D$2:D$875,A953,'Base bordo CD'!A$2:A$875,B953,'Base bordo CD'!L$2:L$875,"CORTE DE CANA MECANIZADO"),0)</f>
        <v>0</v>
      </c>
      <c r="R953" s="10">
        <f>IFERROR(SUMIFS('Base bordo CD'!Q$2:Q$875,'Base bordo CD'!D$2:D$875,A953,'Base bordo CD'!A$2:A$875,B953,'Base bordo CD'!L$2:L$875,"CORTE DE CANA MECANIZADO"),0)</f>
        <v>0</v>
      </c>
      <c r="S953" s="30" t="str">
        <f t="shared" si="76"/>
        <v/>
      </c>
      <c r="T953" s="9">
        <f t="shared" si="77"/>
        <v>0</v>
      </c>
      <c r="U953" s="9">
        <f t="shared" si="78"/>
        <v>0</v>
      </c>
      <c r="V953" s="9">
        <f t="shared" si="79"/>
        <v>0</v>
      </c>
    </row>
    <row r="954" spans="1:22" x14ac:dyDescent="0.35">
      <c r="A954" s="52">
        <v>49587</v>
      </c>
      <c r="B954" s="31">
        <v>46117</v>
      </c>
      <c r="C954" s="7" t="s">
        <v>337</v>
      </c>
      <c r="D954" s="7">
        <v>353</v>
      </c>
      <c r="E954" s="10">
        <f>IFERROR(SUMIFS('Base bordo CD'!M$2:M$875,'Base bordo CD'!D$2:D$875,A954,'Base bordo CD'!A$2:A$875,B954,'Base bordo CD'!L$2:L$875,"CORTE DE CANA MECANIZADO"),0)</f>
        <v>0</v>
      </c>
      <c r="F954" s="10">
        <f>IFERROR(SUMIFS('Base bordo CD'!M$2:M$875,'Base bordo CD'!D$2:D$875,A954,'Base bordo CD'!A$2:A$875,B954,'Base bordo CD'!L$2:L$875,"MANOBRA"),0)</f>
        <v>0</v>
      </c>
      <c r="G954" s="10">
        <f>IFERROR(SUMIFS('Base bordo CD'!M$2:M$875,'Base bordo CD'!D$2:D$875,A954,'Base bordo CD'!A$2:A$875,B954,'Base bordo CD'!L$2:L$875,"DESLOCAMENTO"),0)</f>
        <v>0</v>
      </c>
      <c r="H954" s="10">
        <f>IFERROR(SUMIFS('Base bordo CD'!M$2:M$875,'Base bordo CD'!D$2:D$875,A954,'Base bordo CD'!A$2:A$875,B954,'Base bordo CD'!L$2:L$875,"AGUARDANDO MANOBRA DE TRANSBORDO"),0)+IFERROR(SUMIFS('Base bordo CD'!M$2:M$875,'Base bordo CD'!D$2:D$875,A954,'Base bordo CD'!A$2:A$875,B954,'Base bordo CD'!L$2:L$875,"FALTA DE TRANSBORDO"),0)</f>
        <v>0</v>
      </c>
      <c r="I954" s="10">
        <f>IFERROR(SUMIFS('Base bordo CD'!M$2:M$875,'Base bordo CD'!D$2:D$875,A954,'Base bordo CD'!A$2:A$875,B954,'Base bordo CD'!L$2:L$875,"PARADA POR CONDICOES CLIMATICAS"),0)+IFERROR(SUMIFS('Base bordo CD'!M$2:M$875,'Base bordo CD'!D$2:D$875,A954,'Base bordo CD'!A$2:A$875,B954,'Base bordo CD'!L$2:L$875,"TEMPO INDETERMINADO"),0)</f>
        <v>0</v>
      </c>
      <c r="J954" s="10">
        <f>IFERROR(SUMIFS('Base bordo CD'!M$2:M$875,'Base bordo CD'!D$2:D$875,A954,'Base bordo CD'!A$2:A$875,B954,'Base bordo CD'!L$2:L$875,"LIMITAÇÃO INDÚSTRIA"),0)</f>
        <v>0</v>
      </c>
      <c r="K954" s="10">
        <f>IFERROR(SUMIFS('Base bordo CD'!M$2:M$875,'Base bordo CD'!D$2:D$875,A954,'Base bordo CD'!A$2:A$875,B954,'Base bordo CD'!L$2:L$875,"MAN CORRETIVA*"),0)+IFERROR(SUMIFS('Base bordo CD'!M$2:M$875,'Base bordo CD'!D$2:D$875,A954,'Base bordo CD'!A$2:A$875,B954,'Base bordo CD'!L$2:L$875,"AGUARDANDO MANUTENCAO*"),0)+IFERROR(SUMIFS('Base bordo CD'!M$2:M$875,'Base bordo CD'!D$2:D$875,A954,'Base bordo CD'!A$2:A$875,B954,'Base bordo CD'!L$2:L$875,"TROCA DE FAQUINHA"),0)+IFERROR(SUMIFS('Base bordo CD'!M$2:M$875,'Base bordo CD'!D$2:D$875,A954,'Base bordo CD'!A$2:A$875,B954,'Base bordo CD'!L$2:L$875,"LIMPEZA*"),0)</f>
        <v>0</v>
      </c>
      <c r="L954" s="10">
        <f>IFERROR(SUMIFS('Base bordo CD'!M$2:M$875,'Base bordo CD'!D$2:D$875,A954,'Base bordo CD'!A$2:A$875,B954,'Base bordo CD'!L$2:L$875,"PATIO - RESERVA"),0)</f>
        <v>0</v>
      </c>
      <c r="M954" s="10">
        <f>IFERROR(SUMIFS('Base bordo CD'!M$2:M$875,'Base bordo CD'!D$2:D$875,A954,'Base bordo CD'!A$2:A$875,B954,'Base bordo CD'!L$2:L$875,"SEM APONTAMENTO"),0)</f>
        <v>0</v>
      </c>
      <c r="N954" s="10">
        <f>IFERROR(SUMIFS('Base bordo CD'!M$2:M$875,'Base bordo CD'!D$2:D$875,A954,'Base bordo CD'!A$2:A$875,B954,'Base bordo CD'!L$2:L$875,"FALTA DE CAMINHÃO"),0)+IFERROR(SUMIFS('Base bordo CD'!M$2:M$875,'Base bordo CD'!D$2:D$875,A954,'Base bordo CD'!A$2:A$875,B954,'Base bordo CD'!L$2:L$875,"FALTA DE COMBUSTIVEL"),0)+IFERROR(SUMIFS('Base bordo CD'!M$2:M$875,'Base bordo CD'!D$2:D$875,A954,'Base bordo CD'!A$2:A$875,B954,'Base bordo CD'!L$2:L$875,"FALTA DE MOTORIST*"),0)</f>
        <v>0</v>
      </c>
      <c r="O954" s="10">
        <f t="shared" si="75"/>
        <v>0</v>
      </c>
      <c r="P954" s="10">
        <f>IFERROR(SUMIFS('Base bordo CD'!M$2:M$875,'Base bordo CD'!D$2:D$875,A954,'Base bordo CD'!A$2:A$875,B954),0)</f>
        <v>0</v>
      </c>
      <c r="Q954" s="10">
        <f>IFERROR(SUMIFS('Base bordo CD'!O$2:O$875,'Base bordo CD'!D$2:D$875,A954,'Base bordo CD'!A$2:A$875,B954,'Base bordo CD'!L$2:L$875,"CORTE DE CANA MECANIZADO"),0)</f>
        <v>0</v>
      </c>
      <c r="R954" s="10">
        <f>IFERROR(SUMIFS('Base bordo CD'!Q$2:Q$875,'Base bordo CD'!D$2:D$875,A954,'Base bordo CD'!A$2:A$875,B954,'Base bordo CD'!L$2:L$875,"CORTE DE CANA MECANIZADO"),0)</f>
        <v>0</v>
      </c>
      <c r="S954" s="30" t="str">
        <f t="shared" si="76"/>
        <v/>
      </c>
      <c r="T954" s="9">
        <f t="shared" si="77"/>
        <v>0</v>
      </c>
      <c r="U954" s="9">
        <f t="shared" si="78"/>
        <v>0</v>
      </c>
      <c r="V954" s="9">
        <f t="shared" si="79"/>
        <v>0</v>
      </c>
    </row>
    <row r="955" spans="1:22" x14ac:dyDescent="0.35">
      <c r="A955" s="52">
        <v>49587</v>
      </c>
      <c r="B955" s="31">
        <v>46117</v>
      </c>
      <c r="C955" s="7" t="s">
        <v>337</v>
      </c>
      <c r="D955" s="7">
        <v>353</v>
      </c>
      <c r="E955" s="10">
        <f>IFERROR(SUMIFS('Base bordo CD'!M$2:M$875,'Base bordo CD'!D$2:D$875,A955,'Base bordo CD'!A$2:A$875,B955,'Base bordo CD'!L$2:L$875,"CORTE DE CANA MECANIZADO"),0)</f>
        <v>0</v>
      </c>
      <c r="F955" s="10">
        <f>IFERROR(SUMIFS('Base bordo CD'!M$2:M$875,'Base bordo CD'!D$2:D$875,A955,'Base bordo CD'!A$2:A$875,B955,'Base bordo CD'!L$2:L$875,"MANOBRA"),0)</f>
        <v>0</v>
      </c>
      <c r="G955" s="10">
        <f>IFERROR(SUMIFS('Base bordo CD'!M$2:M$875,'Base bordo CD'!D$2:D$875,A955,'Base bordo CD'!A$2:A$875,B955,'Base bordo CD'!L$2:L$875,"DESLOCAMENTO"),0)</f>
        <v>0</v>
      </c>
      <c r="H955" s="10">
        <f>IFERROR(SUMIFS('Base bordo CD'!M$2:M$875,'Base bordo CD'!D$2:D$875,A955,'Base bordo CD'!A$2:A$875,B955,'Base bordo CD'!L$2:L$875,"AGUARDANDO MANOBRA DE TRANSBORDO"),0)+IFERROR(SUMIFS('Base bordo CD'!M$2:M$875,'Base bordo CD'!D$2:D$875,A955,'Base bordo CD'!A$2:A$875,B955,'Base bordo CD'!L$2:L$875,"FALTA DE TRANSBORDO"),0)</f>
        <v>0</v>
      </c>
      <c r="I955" s="10">
        <f>IFERROR(SUMIFS('Base bordo CD'!M$2:M$875,'Base bordo CD'!D$2:D$875,A955,'Base bordo CD'!A$2:A$875,B955,'Base bordo CD'!L$2:L$875,"PARADA POR CONDICOES CLIMATICAS"),0)+IFERROR(SUMIFS('Base bordo CD'!M$2:M$875,'Base bordo CD'!D$2:D$875,A955,'Base bordo CD'!A$2:A$875,B955,'Base bordo CD'!L$2:L$875,"TEMPO INDETERMINADO"),0)</f>
        <v>0</v>
      </c>
      <c r="J955" s="10">
        <f>IFERROR(SUMIFS('Base bordo CD'!M$2:M$875,'Base bordo CD'!D$2:D$875,A955,'Base bordo CD'!A$2:A$875,B955,'Base bordo CD'!L$2:L$875,"LIMITAÇÃO INDÚSTRIA"),0)</f>
        <v>0</v>
      </c>
      <c r="K955" s="10">
        <f>IFERROR(SUMIFS('Base bordo CD'!M$2:M$875,'Base bordo CD'!D$2:D$875,A955,'Base bordo CD'!A$2:A$875,B955,'Base bordo CD'!L$2:L$875,"MAN CORRETIVA*"),0)+IFERROR(SUMIFS('Base bordo CD'!M$2:M$875,'Base bordo CD'!D$2:D$875,A955,'Base bordo CD'!A$2:A$875,B955,'Base bordo CD'!L$2:L$875,"AGUARDANDO MANUTENCAO*"),0)+IFERROR(SUMIFS('Base bordo CD'!M$2:M$875,'Base bordo CD'!D$2:D$875,A955,'Base bordo CD'!A$2:A$875,B955,'Base bordo CD'!L$2:L$875,"TROCA DE FAQUINHA"),0)+IFERROR(SUMIFS('Base bordo CD'!M$2:M$875,'Base bordo CD'!D$2:D$875,A955,'Base bordo CD'!A$2:A$875,B955,'Base bordo CD'!L$2:L$875,"LIMPEZA*"),0)</f>
        <v>0</v>
      </c>
      <c r="L955" s="10">
        <f>IFERROR(SUMIFS('Base bordo CD'!M$2:M$875,'Base bordo CD'!D$2:D$875,A955,'Base bordo CD'!A$2:A$875,B955,'Base bordo CD'!L$2:L$875,"PATIO - RESERVA"),0)</f>
        <v>0</v>
      </c>
      <c r="M955" s="10">
        <f>IFERROR(SUMIFS('Base bordo CD'!M$2:M$875,'Base bordo CD'!D$2:D$875,A955,'Base bordo CD'!A$2:A$875,B955,'Base bordo CD'!L$2:L$875,"SEM APONTAMENTO"),0)</f>
        <v>0</v>
      </c>
      <c r="N955" s="10">
        <f>IFERROR(SUMIFS('Base bordo CD'!M$2:M$875,'Base bordo CD'!D$2:D$875,A955,'Base bordo CD'!A$2:A$875,B955,'Base bordo CD'!L$2:L$875,"FALTA DE CAMINHÃO"),0)+IFERROR(SUMIFS('Base bordo CD'!M$2:M$875,'Base bordo CD'!D$2:D$875,A955,'Base bordo CD'!A$2:A$875,B955,'Base bordo CD'!L$2:L$875,"FALTA DE COMBUSTIVEL"),0)+IFERROR(SUMIFS('Base bordo CD'!M$2:M$875,'Base bordo CD'!D$2:D$875,A955,'Base bordo CD'!A$2:A$875,B955,'Base bordo CD'!L$2:L$875,"FALTA DE MOTORIST*"),0)</f>
        <v>0</v>
      </c>
      <c r="O955" s="10">
        <f t="shared" si="75"/>
        <v>0</v>
      </c>
      <c r="P955" s="10">
        <f>IFERROR(SUMIFS('Base bordo CD'!M$2:M$875,'Base bordo CD'!D$2:D$875,A955,'Base bordo CD'!A$2:A$875,B955),0)</f>
        <v>0</v>
      </c>
      <c r="Q955" s="10">
        <f>IFERROR(SUMIFS('Base bordo CD'!O$2:O$875,'Base bordo CD'!D$2:D$875,A955,'Base bordo CD'!A$2:A$875,B955,'Base bordo CD'!L$2:L$875,"CORTE DE CANA MECANIZADO"),0)</f>
        <v>0</v>
      </c>
      <c r="R955" s="10">
        <f>IFERROR(SUMIFS('Base bordo CD'!Q$2:Q$875,'Base bordo CD'!D$2:D$875,A955,'Base bordo CD'!A$2:A$875,B955,'Base bordo CD'!L$2:L$875,"CORTE DE CANA MECANIZADO"),0)</f>
        <v>0</v>
      </c>
      <c r="S955" s="30" t="str">
        <f t="shared" si="76"/>
        <v/>
      </c>
      <c r="T955" s="9">
        <f t="shared" si="77"/>
        <v>0</v>
      </c>
      <c r="U955" s="9">
        <f t="shared" si="78"/>
        <v>0</v>
      </c>
      <c r="V955" s="9">
        <f t="shared" si="79"/>
        <v>0</v>
      </c>
    </row>
    <row r="956" spans="1:22" x14ac:dyDescent="0.35">
      <c r="A956" s="52">
        <v>49587</v>
      </c>
      <c r="B956" s="31">
        <v>46117</v>
      </c>
      <c r="C956" s="7" t="s">
        <v>337</v>
      </c>
      <c r="D956" s="7">
        <v>353</v>
      </c>
      <c r="E956" s="10">
        <f>IFERROR(SUMIFS('Base bordo CD'!M$2:M$875,'Base bordo CD'!D$2:D$875,A956,'Base bordo CD'!A$2:A$875,B956,'Base bordo CD'!L$2:L$875,"CORTE DE CANA MECANIZADO"),0)</f>
        <v>0</v>
      </c>
      <c r="F956" s="10">
        <f>IFERROR(SUMIFS('Base bordo CD'!M$2:M$875,'Base bordo CD'!D$2:D$875,A956,'Base bordo CD'!A$2:A$875,B956,'Base bordo CD'!L$2:L$875,"MANOBRA"),0)</f>
        <v>0</v>
      </c>
      <c r="G956" s="10">
        <f>IFERROR(SUMIFS('Base bordo CD'!M$2:M$875,'Base bordo CD'!D$2:D$875,A956,'Base bordo CD'!A$2:A$875,B956,'Base bordo CD'!L$2:L$875,"DESLOCAMENTO"),0)</f>
        <v>0</v>
      </c>
      <c r="H956" s="10">
        <f>IFERROR(SUMIFS('Base bordo CD'!M$2:M$875,'Base bordo CD'!D$2:D$875,A956,'Base bordo CD'!A$2:A$875,B956,'Base bordo CD'!L$2:L$875,"AGUARDANDO MANOBRA DE TRANSBORDO"),0)+IFERROR(SUMIFS('Base bordo CD'!M$2:M$875,'Base bordo CD'!D$2:D$875,A956,'Base bordo CD'!A$2:A$875,B956,'Base bordo CD'!L$2:L$875,"FALTA DE TRANSBORDO"),0)</f>
        <v>0</v>
      </c>
      <c r="I956" s="10">
        <f>IFERROR(SUMIFS('Base bordo CD'!M$2:M$875,'Base bordo CD'!D$2:D$875,A956,'Base bordo CD'!A$2:A$875,B956,'Base bordo CD'!L$2:L$875,"PARADA POR CONDICOES CLIMATICAS"),0)+IFERROR(SUMIFS('Base bordo CD'!M$2:M$875,'Base bordo CD'!D$2:D$875,A956,'Base bordo CD'!A$2:A$875,B956,'Base bordo CD'!L$2:L$875,"TEMPO INDETERMINADO"),0)</f>
        <v>0</v>
      </c>
      <c r="J956" s="10">
        <f>IFERROR(SUMIFS('Base bordo CD'!M$2:M$875,'Base bordo CD'!D$2:D$875,A956,'Base bordo CD'!A$2:A$875,B956,'Base bordo CD'!L$2:L$875,"LIMITAÇÃO INDÚSTRIA"),0)</f>
        <v>0</v>
      </c>
      <c r="K956" s="10">
        <f>IFERROR(SUMIFS('Base bordo CD'!M$2:M$875,'Base bordo CD'!D$2:D$875,A956,'Base bordo CD'!A$2:A$875,B956,'Base bordo CD'!L$2:L$875,"MAN CORRETIVA*"),0)+IFERROR(SUMIFS('Base bordo CD'!M$2:M$875,'Base bordo CD'!D$2:D$875,A956,'Base bordo CD'!A$2:A$875,B956,'Base bordo CD'!L$2:L$875,"AGUARDANDO MANUTENCAO*"),0)+IFERROR(SUMIFS('Base bordo CD'!M$2:M$875,'Base bordo CD'!D$2:D$875,A956,'Base bordo CD'!A$2:A$875,B956,'Base bordo CD'!L$2:L$875,"TROCA DE FAQUINHA"),0)+IFERROR(SUMIFS('Base bordo CD'!M$2:M$875,'Base bordo CD'!D$2:D$875,A956,'Base bordo CD'!A$2:A$875,B956,'Base bordo CD'!L$2:L$875,"LIMPEZA*"),0)</f>
        <v>0</v>
      </c>
      <c r="L956" s="10">
        <f>IFERROR(SUMIFS('Base bordo CD'!M$2:M$875,'Base bordo CD'!D$2:D$875,A956,'Base bordo CD'!A$2:A$875,B956,'Base bordo CD'!L$2:L$875,"PATIO - RESERVA"),0)</f>
        <v>0</v>
      </c>
      <c r="M956" s="10">
        <f>IFERROR(SUMIFS('Base bordo CD'!M$2:M$875,'Base bordo CD'!D$2:D$875,A956,'Base bordo CD'!A$2:A$875,B956,'Base bordo CD'!L$2:L$875,"SEM APONTAMENTO"),0)</f>
        <v>0</v>
      </c>
      <c r="N956" s="10">
        <f>IFERROR(SUMIFS('Base bordo CD'!M$2:M$875,'Base bordo CD'!D$2:D$875,A956,'Base bordo CD'!A$2:A$875,B956,'Base bordo CD'!L$2:L$875,"FALTA DE CAMINHÃO"),0)+IFERROR(SUMIFS('Base bordo CD'!M$2:M$875,'Base bordo CD'!D$2:D$875,A956,'Base bordo CD'!A$2:A$875,B956,'Base bordo CD'!L$2:L$875,"FALTA DE COMBUSTIVEL"),0)+IFERROR(SUMIFS('Base bordo CD'!M$2:M$875,'Base bordo CD'!D$2:D$875,A956,'Base bordo CD'!A$2:A$875,B956,'Base bordo CD'!L$2:L$875,"FALTA DE MOTORIST*"),0)</f>
        <v>0</v>
      </c>
      <c r="O956" s="10">
        <f t="shared" si="75"/>
        <v>0</v>
      </c>
      <c r="P956" s="10">
        <f>IFERROR(SUMIFS('Base bordo CD'!M$2:M$875,'Base bordo CD'!D$2:D$875,A956,'Base bordo CD'!A$2:A$875,B956),0)</f>
        <v>0</v>
      </c>
      <c r="Q956" s="10">
        <f>IFERROR(SUMIFS('Base bordo CD'!O$2:O$875,'Base bordo CD'!D$2:D$875,A956,'Base bordo CD'!A$2:A$875,B956,'Base bordo CD'!L$2:L$875,"CORTE DE CANA MECANIZADO"),0)</f>
        <v>0</v>
      </c>
      <c r="R956" s="10">
        <f>IFERROR(SUMIFS('Base bordo CD'!Q$2:Q$875,'Base bordo CD'!D$2:D$875,A956,'Base bordo CD'!A$2:A$875,B956,'Base bordo CD'!L$2:L$875,"CORTE DE CANA MECANIZADO"),0)</f>
        <v>0</v>
      </c>
      <c r="S956" s="30" t="str">
        <f t="shared" si="76"/>
        <v/>
      </c>
      <c r="T956" s="9">
        <f t="shared" si="77"/>
        <v>0</v>
      </c>
      <c r="U956" s="9">
        <f t="shared" si="78"/>
        <v>0</v>
      </c>
      <c r="V956" s="9">
        <f t="shared" si="79"/>
        <v>0</v>
      </c>
    </row>
    <row r="957" spans="1:22" x14ac:dyDescent="0.35">
      <c r="A957" s="52">
        <v>49587</v>
      </c>
      <c r="B957" s="31">
        <v>46117</v>
      </c>
      <c r="C957" s="7" t="s">
        <v>337</v>
      </c>
      <c r="D957" s="7">
        <v>353</v>
      </c>
      <c r="E957" s="10">
        <f>IFERROR(SUMIFS('Base bordo CD'!M$2:M$875,'Base bordo CD'!D$2:D$875,A957,'Base bordo CD'!A$2:A$875,B957,'Base bordo CD'!L$2:L$875,"CORTE DE CANA MECANIZADO"),0)</f>
        <v>0</v>
      </c>
      <c r="F957" s="10">
        <f>IFERROR(SUMIFS('Base bordo CD'!M$2:M$875,'Base bordo CD'!D$2:D$875,A957,'Base bordo CD'!A$2:A$875,B957,'Base bordo CD'!L$2:L$875,"MANOBRA"),0)</f>
        <v>0</v>
      </c>
      <c r="G957" s="10">
        <f>IFERROR(SUMIFS('Base bordo CD'!M$2:M$875,'Base bordo CD'!D$2:D$875,A957,'Base bordo CD'!A$2:A$875,B957,'Base bordo CD'!L$2:L$875,"DESLOCAMENTO"),0)</f>
        <v>0</v>
      </c>
      <c r="H957" s="10">
        <f>IFERROR(SUMIFS('Base bordo CD'!M$2:M$875,'Base bordo CD'!D$2:D$875,A957,'Base bordo CD'!A$2:A$875,B957,'Base bordo CD'!L$2:L$875,"AGUARDANDO MANOBRA DE TRANSBORDO"),0)+IFERROR(SUMIFS('Base bordo CD'!M$2:M$875,'Base bordo CD'!D$2:D$875,A957,'Base bordo CD'!A$2:A$875,B957,'Base bordo CD'!L$2:L$875,"FALTA DE TRANSBORDO"),0)</f>
        <v>0</v>
      </c>
      <c r="I957" s="10">
        <f>IFERROR(SUMIFS('Base bordo CD'!M$2:M$875,'Base bordo CD'!D$2:D$875,A957,'Base bordo CD'!A$2:A$875,B957,'Base bordo CD'!L$2:L$875,"PARADA POR CONDICOES CLIMATICAS"),0)+IFERROR(SUMIFS('Base bordo CD'!M$2:M$875,'Base bordo CD'!D$2:D$875,A957,'Base bordo CD'!A$2:A$875,B957,'Base bordo CD'!L$2:L$875,"TEMPO INDETERMINADO"),0)</f>
        <v>0</v>
      </c>
      <c r="J957" s="10">
        <f>IFERROR(SUMIFS('Base bordo CD'!M$2:M$875,'Base bordo CD'!D$2:D$875,A957,'Base bordo CD'!A$2:A$875,B957,'Base bordo CD'!L$2:L$875,"LIMITAÇÃO INDÚSTRIA"),0)</f>
        <v>0</v>
      </c>
      <c r="K957" s="10">
        <f>IFERROR(SUMIFS('Base bordo CD'!M$2:M$875,'Base bordo CD'!D$2:D$875,A957,'Base bordo CD'!A$2:A$875,B957,'Base bordo CD'!L$2:L$875,"MAN CORRETIVA*"),0)+IFERROR(SUMIFS('Base bordo CD'!M$2:M$875,'Base bordo CD'!D$2:D$875,A957,'Base bordo CD'!A$2:A$875,B957,'Base bordo CD'!L$2:L$875,"AGUARDANDO MANUTENCAO*"),0)+IFERROR(SUMIFS('Base bordo CD'!M$2:M$875,'Base bordo CD'!D$2:D$875,A957,'Base bordo CD'!A$2:A$875,B957,'Base bordo CD'!L$2:L$875,"TROCA DE FAQUINHA"),0)+IFERROR(SUMIFS('Base bordo CD'!M$2:M$875,'Base bordo CD'!D$2:D$875,A957,'Base bordo CD'!A$2:A$875,B957,'Base bordo CD'!L$2:L$875,"LIMPEZA*"),0)</f>
        <v>0</v>
      </c>
      <c r="L957" s="10">
        <f>IFERROR(SUMIFS('Base bordo CD'!M$2:M$875,'Base bordo CD'!D$2:D$875,A957,'Base bordo CD'!A$2:A$875,B957,'Base bordo CD'!L$2:L$875,"PATIO - RESERVA"),0)</f>
        <v>0</v>
      </c>
      <c r="M957" s="10">
        <f>IFERROR(SUMIFS('Base bordo CD'!M$2:M$875,'Base bordo CD'!D$2:D$875,A957,'Base bordo CD'!A$2:A$875,B957,'Base bordo CD'!L$2:L$875,"SEM APONTAMENTO"),0)</f>
        <v>0</v>
      </c>
      <c r="N957" s="10">
        <f>IFERROR(SUMIFS('Base bordo CD'!M$2:M$875,'Base bordo CD'!D$2:D$875,A957,'Base bordo CD'!A$2:A$875,B957,'Base bordo CD'!L$2:L$875,"FALTA DE CAMINHÃO"),0)+IFERROR(SUMIFS('Base bordo CD'!M$2:M$875,'Base bordo CD'!D$2:D$875,A957,'Base bordo CD'!A$2:A$875,B957,'Base bordo CD'!L$2:L$875,"FALTA DE COMBUSTIVEL"),0)+IFERROR(SUMIFS('Base bordo CD'!M$2:M$875,'Base bordo CD'!D$2:D$875,A957,'Base bordo CD'!A$2:A$875,B957,'Base bordo CD'!L$2:L$875,"FALTA DE MOTORIST*"),0)</f>
        <v>0</v>
      </c>
      <c r="O957" s="10">
        <f t="shared" si="75"/>
        <v>0</v>
      </c>
      <c r="P957" s="10">
        <f>IFERROR(SUMIFS('Base bordo CD'!M$2:M$875,'Base bordo CD'!D$2:D$875,A957,'Base bordo CD'!A$2:A$875,B957),0)</f>
        <v>0</v>
      </c>
      <c r="Q957" s="10">
        <f>IFERROR(SUMIFS('Base bordo CD'!O$2:O$875,'Base bordo CD'!D$2:D$875,A957,'Base bordo CD'!A$2:A$875,B957,'Base bordo CD'!L$2:L$875,"CORTE DE CANA MECANIZADO"),0)</f>
        <v>0</v>
      </c>
      <c r="R957" s="10">
        <f>IFERROR(SUMIFS('Base bordo CD'!Q$2:Q$875,'Base bordo CD'!D$2:D$875,A957,'Base bordo CD'!A$2:A$875,B957,'Base bordo CD'!L$2:L$875,"CORTE DE CANA MECANIZADO"),0)</f>
        <v>0</v>
      </c>
      <c r="S957" s="30" t="str">
        <f t="shared" si="76"/>
        <v/>
      </c>
      <c r="T957" s="9">
        <f t="shared" si="77"/>
        <v>0</v>
      </c>
      <c r="U957" s="9">
        <f t="shared" si="78"/>
        <v>0</v>
      </c>
      <c r="V957" s="9">
        <f t="shared" si="79"/>
        <v>0</v>
      </c>
    </row>
    <row r="958" spans="1:22" x14ac:dyDescent="0.35">
      <c r="A958" s="52">
        <v>49587</v>
      </c>
      <c r="B958" s="31">
        <v>46117</v>
      </c>
      <c r="C958" s="7" t="s">
        <v>337</v>
      </c>
      <c r="D958" s="7">
        <v>353</v>
      </c>
      <c r="E958" s="10">
        <f>IFERROR(SUMIFS('Base bordo CD'!M$2:M$875,'Base bordo CD'!D$2:D$875,A958,'Base bordo CD'!A$2:A$875,B958,'Base bordo CD'!L$2:L$875,"CORTE DE CANA MECANIZADO"),0)</f>
        <v>0</v>
      </c>
      <c r="F958" s="10">
        <f>IFERROR(SUMIFS('Base bordo CD'!M$2:M$875,'Base bordo CD'!D$2:D$875,A958,'Base bordo CD'!A$2:A$875,B958,'Base bordo CD'!L$2:L$875,"MANOBRA"),0)</f>
        <v>0</v>
      </c>
      <c r="G958" s="10">
        <f>IFERROR(SUMIFS('Base bordo CD'!M$2:M$875,'Base bordo CD'!D$2:D$875,A958,'Base bordo CD'!A$2:A$875,B958,'Base bordo CD'!L$2:L$875,"DESLOCAMENTO"),0)</f>
        <v>0</v>
      </c>
      <c r="H958" s="10">
        <f>IFERROR(SUMIFS('Base bordo CD'!M$2:M$875,'Base bordo CD'!D$2:D$875,A958,'Base bordo CD'!A$2:A$875,B958,'Base bordo CD'!L$2:L$875,"AGUARDANDO MANOBRA DE TRANSBORDO"),0)+IFERROR(SUMIFS('Base bordo CD'!M$2:M$875,'Base bordo CD'!D$2:D$875,A958,'Base bordo CD'!A$2:A$875,B958,'Base bordo CD'!L$2:L$875,"FALTA DE TRANSBORDO"),0)</f>
        <v>0</v>
      </c>
      <c r="I958" s="10">
        <f>IFERROR(SUMIFS('Base bordo CD'!M$2:M$875,'Base bordo CD'!D$2:D$875,A958,'Base bordo CD'!A$2:A$875,B958,'Base bordo CD'!L$2:L$875,"PARADA POR CONDICOES CLIMATICAS"),0)+IFERROR(SUMIFS('Base bordo CD'!M$2:M$875,'Base bordo CD'!D$2:D$875,A958,'Base bordo CD'!A$2:A$875,B958,'Base bordo CD'!L$2:L$875,"TEMPO INDETERMINADO"),0)</f>
        <v>0</v>
      </c>
      <c r="J958" s="10">
        <f>IFERROR(SUMIFS('Base bordo CD'!M$2:M$875,'Base bordo CD'!D$2:D$875,A958,'Base bordo CD'!A$2:A$875,B958,'Base bordo CD'!L$2:L$875,"LIMITAÇÃO INDÚSTRIA"),0)</f>
        <v>0</v>
      </c>
      <c r="K958" s="10">
        <f>IFERROR(SUMIFS('Base bordo CD'!M$2:M$875,'Base bordo CD'!D$2:D$875,A958,'Base bordo CD'!A$2:A$875,B958,'Base bordo CD'!L$2:L$875,"MAN CORRETIVA*"),0)+IFERROR(SUMIFS('Base bordo CD'!M$2:M$875,'Base bordo CD'!D$2:D$875,A958,'Base bordo CD'!A$2:A$875,B958,'Base bordo CD'!L$2:L$875,"AGUARDANDO MANUTENCAO*"),0)+IFERROR(SUMIFS('Base bordo CD'!M$2:M$875,'Base bordo CD'!D$2:D$875,A958,'Base bordo CD'!A$2:A$875,B958,'Base bordo CD'!L$2:L$875,"TROCA DE FAQUINHA"),0)+IFERROR(SUMIFS('Base bordo CD'!M$2:M$875,'Base bordo CD'!D$2:D$875,A958,'Base bordo CD'!A$2:A$875,B958,'Base bordo CD'!L$2:L$875,"LIMPEZA*"),0)</f>
        <v>0</v>
      </c>
      <c r="L958" s="10">
        <f>IFERROR(SUMIFS('Base bordo CD'!M$2:M$875,'Base bordo CD'!D$2:D$875,A958,'Base bordo CD'!A$2:A$875,B958,'Base bordo CD'!L$2:L$875,"PATIO - RESERVA"),0)</f>
        <v>0</v>
      </c>
      <c r="M958" s="10">
        <f>IFERROR(SUMIFS('Base bordo CD'!M$2:M$875,'Base bordo CD'!D$2:D$875,A958,'Base bordo CD'!A$2:A$875,B958,'Base bordo CD'!L$2:L$875,"SEM APONTAMENTO"),0)</f>
        <v>0</v>
      </c>
      <c r="N958" s="10">
        <f>IFERROR(SUMIFS('Base bordo CD'!M$2:M$875,'Base bordo CD'!D$2:D$875,A958,'Base bordo CD'!A$2:A$875,B958,'Base bordo CD'!L$2:L$875,"FALTA DE CAMINHÃO"),0)+IFERROR(SUMIFS('Base bordo CD'!M$2:M$875,'Base bordo CD'!D$2:D$875,A958,'Base bordo CD'!A$2:A$875,B958,'Base bordo CD'!L$2:L$875,"FALTA DE COMBUSTIVEL"),0)+IFERROR(SUMIFS('Base bordo CD'!M$2:M$875,'Base bordo CD'!D$2:D$875,A958,'Base bordo CD'!A$2:A$875,B958,'Base bordo CD'!L$2:L$875,"FALTA DE MOTORIST*"),0)</f>
        <v>0</v>
      </c>
      <c r="O958" s="10">
        <f t="shared" ref="O958:O1021" si="80">IFERROR(P958-SUM(E958:N958),0)</f>
        <v>0</v>
      </c>
      <c r="P958" s="10">
        <f>IFERROR(SUMIFS('Base bordo CD'!M$2:M$875,'Base bordo CD'!D$2:D$875,A958,'Base bordo CD'!A$2:A$875,B958),0)</f>
        <v>0</v>
      </c>
      <c r="Q958" s="10">
        <f>IFERROR(SUMIFS('Base bordo CD'!O$2:O$875,'Base bordo CD'!D$2:D$875,A958,'Base bordo CD'!A$2:A$875,B958,'Base bordo CD'!L$2:L$875,"CORTE DE CANA MECANIZADO"),0)</f>
        <v>0</v>
      </c>
      <c r="R958" s="10">
        <f>IFERROR(SUMIFS('Base bordo CD'!Q$2:Q$875,'Base bordo CD'!D$2:D$875,A958,'Base bordo CD'!A$2:A$875,B958,'Base bordo CD'!L$2:L$875,"CORTE DE CANA MECANIZADO"),0)</f>
        <v>0</v>
      </c>
      <c r="S958" s="30" t="str">
        <f t="shared" ref="S958:S1021" si="81">IFERROR(Q958/R958,"")</f>
        <v/>
      </c>
      <c r="T958" s="9">
        <f t="shared" ref="T958:T1021" si="82">IFERROR(E958/P958,0)</f>
        <v>0</v>
      </c>
      <c r="U958" s="9">
        <f t="shared" ref="U958:U1021" si="83">IFERROR(F958/P958,0)</f>
        <v>0</v>
      </c>
      <c r="V958" s="9">
        <f t="shared" ref="V958:V1021" si="84">IFERROR(1-(E958+G958)/P958,0)</f>
        <v>0</v>
      </c>
    </row>
    <row r="959" spans="1:22" x14ac:dyDescent="0.35">
      <c r="A959" s="52">
        <v>49587</v>
      </c>
      <c r="B959" s="31">
        <v>46117</v>
      </c>
      <c r="C959" s="7" t="s">
        <v>337</v>
      </c>
      <c r="D959" s="7">
        <v>353</v>
      </c>
      <c r="E959" s="10">
        <f>IFERROR(SUMIFS('Base bordo CD'!M$2:M$875,'Base bordo CD'!D$2:D$875,A959,'Base bordo CD'!A$2:A$875,B959,'Base bordo CD'!L$2:L$875,"CORTE DE CANA MECANIZADO"),0)</f>
        <v>0</v>
      </c>
      <c r="F959" s="10">
        <f>IFERROR(SUMIFS('Base bordo CD'!M$2:M$875,'Base bordo CD'!D$2:D$875,A959,'Base bordo CD'!A$2:A$875,B959,'Base bordo CD'!L$2:L$875,"MANOBRA"),0)</f>
        <v>0</v>
      </c>
      <c r="G959" s="10">
        <f>IFERROR(SUMIFS('Base bordo CD'!M$2:M$875,'Base bordo CD'!D$2:D$875,A959,'Base bordo CD'!A$2:A$875,B959,'Base bordo CD'!L$2:L$875,"DESLOCAMENTO"),0)</f>
        <v>0</v>
      </c>
      <c r="H959" s="10">
        <f>IFERROR(SUMIFS('Base bordo CD'!M$2:M$875,'Base bordo CD'!D$2:D$875,A959,'Base bordo CD'!A$2:A$875,B959,'Base bordo CD'!L$2:L$875,"AGUARDANDO MANOBRA DE TRANSBORDO"),0)+IFERROR(SUMIFS('Base bordo CD'!M$2:M$875,'Base bordo CD'!D$2:D$875,A959,'Base bordo CD'!A$2:A$875,B959,'Base bordo CD'!L$2:L$875,"FALTA DE TRANSBORDO"),0)</f>
        <v>0</v>
      </c>
      <c r="I959" s="10">
        <f>IFERROR(SUMIFS('Base bordo CD'!M$2:M$875,'Base bordo CD'!D$2:D$875,A959,'Base bordo CD'!A$2:A$875,B959,'Base bordo CD'!L$2:L$875,"PARADA POR CONDICOES CLIMATICAS"),0)+IFERROR(SUMIFS('Base bordo CD'!M$2:M$875,'Base bordo CD'!D$2:D$875,A959,'Base bordo CD'!A$2:A$875,B959,'Base bordo CD'!L$2:L$875,"TEMPO INDETERMINADO"),0)</f>
        <v>0</v>
      </c>
      <c r="J959" s="10">
        <f>IFERROR(SUMIFS('Base bordo CD'!M$2:M$875,'Base bordo CD'!D$2:D$875,A959,'Base bordo CD'!A$2:A$875,B959,'Base bordo CD'!L$2:L$875,"LIMITAÇÃO INDÚSTRIA"),0)</f>
        <v>0</v>
      </c>
      <c r="K959" s="10">
        <f>IFERROR(SUMIFS('Base bordo CD'!M$2:M$875,'Base bordo CD'!D$2:D$875,A959,'Base bordo CD'!A$2:A$875,B959,'Base bordo CD'!L$2:L$875,"MAN CORRETIVA*"),0)+IFERROR(SUMIFS('Base bordo CD'!M$2:M$875,'Base bordo CD'!D$2:D$875,A959,'Base bordo CD'!A$2:A$875,B959,'Base bordo CD'!L$2:L$875,"AGUARDANDO MANUTENCAO*"),0)+IFERROR(SUMIFS('Base bordo CD'!M$2:M$875,'Base bordo CD'!D$2:D$875,A959,'Base bordo CD'!A$2:A$875,B959,'Base bordo CD'!L$2:L$875,"TROCA DE FAQUINHA"),0)+IFERROR(SUMIFS('Base bordo CD'!M$2:M$875,'Base bordo CD'!D$2:D$875,A959,'Base bordo CD'!A$2:A$875,B959,'Base bordo CD'!L$2:L$875,"LIMPEZA*"),0)</f>
        <v>0</v>
      </c>
      <c r="L959" s="10">
        <f>IFERROR(SUMIFS('Base bordo CD'!M$2:M$875,'Base bordo CD'!D$2:D$875,A959,'Base bordo CD'!A$2:A$875,B959,'Base bordo CD'!L$2:L$875,"PATIO - RESERVA"),0)</f>
        <v>0</v>
      </c>
      <c r="M959" s="10">
        <f>IFERROR(SUMIFS('Base bordo CD'!M$2:M$875,'Base bordo CD'!D$2:D$875,A959,'Base bordo CD'!A$2:A$875,B959,'Base bordo CD'!L$2:L$875,"SEM APONTAMENTO"),0)</f>
        <v>0</v>
      </c>
      <c r="N959" s="10">
        <f>IFERROR(SUMIFS('Base bordo CD'!M$2:M$875,'Base bordo CD'!D$2:D$875,A959,'Base bordo CD'!A$2:A$875,B959,'Base bordo CD'!L$2:L$875,"FALTA DE CAMINHÃO"),0)+IFERROR(SUMIFS('Base bordo CD'!M$2:M$875,'Base bordo CD'!D$2:D$875,A959,'Base bordo CD'!A$2:A$875,B959,'Base bordo CD'!L$2:L$875,"FALTA DE COMBUSTIVEL"),0)+IFERROR(SUMIFS('Base bordo CD'!M$2:M$875,'Base bordo CD'!D$2:D$875,A959,'Base bordo CD'!A$2:A$875,B959,'Base bordo CD'!L$2:L$875,"FALTA DE MOTORIST*"),0)</f>
        <v>0</v>
      </c>
      <c r="O959" s="10">
        <f t="shared" si="80"/>
        <v>0</v>
      </c>
      <c r="P959" s="10">
        <f>IFERROR(SUMIFS('Base bordo CD'!M$2:M$875,'Base bordo CD'!D$2:D$875,A959,'Base bordo CD'!A$2:A$875,B959),0)</f>
        <v>0</v>
      </c>
      <c r="Q959" s="10">
        <f>IFERROR(SUMIFS('Base bordo CD'!O$2:O$875,'Base bordo CD'!D$2:D$875,A959,'Base bordo CD'!A$2:A$875,B959,'Base bordo CD'!L$2:L$875,"CORTE DE CANA MECANIZADO"),0)</f>
        <v>0</v>
      </c>
      <c r="R959" s="10">
        <f>IFERROR(SUMIFS('Base bordo CD'!Q$2:Q$875,'Base bordo CD'!D$2:D$875,A959,'Base bordo CD'!A$2:A$875,B959,'Base bordo CD'!L$2:L$875,"CORTE DE CANA MECANIZADO"),0)</f>
        <v>0</v>
      </c>
      <c r="S959" s="30" t="str">
        <f t="shared" si="81"/>
        <v/>
      </c>
      <c r="T959" s="9">
        <f t="shared" si="82"/>
        <v>0</v>
      </c>
      <c r="U959" s="9">
        <f t="shared" si="83"/>
        <v>0</v>
      </c>
      <c r="V959" s="9">
        <f t="shared" si="84"/>
        <v>0</v>
      </c>
    </row>
    <row r="960" spans="1:22" x14ac:dyDescent="0.35">
      <c r="A960" s="52">
        <v>49587</v>
      </c>
      <c r="B960" s="31">
        <v>46117</v>
      </c>
      <c r="C960" s="7" t="s">
        <v>337</v>
      </c>
      <c r="D960" s="7">
        <v>353</v>
      </c>
      <c r="E960" s="10">
        <f>IFERROR(SUMIFS('Base bordo CD'!M$2:M$875,'Base bordo CD'!D$2:D$875,A960,'Base bordo CD'!A$2:A$875,B960,'Base bordo CD'!L$2:L$875,"CORTE DE CANA MECANIZADO"),0)</f>
        <v>0</v>
      </c>
      <c r="F960" s="10">
        <f>IFERROR(SUMIFS('Base bordo CD'!M$2:M$875,'Base bordo CD'!D$2:D$875,A960,'Base bordo CD'!A$2:A$875,B960,'Base bordo CD'!L$2:L$875,"MANOBRA"),0)</f>
        <v>0</v>
      </c>
      <c r="G960" s="10">
        <f>IFERROR(SUMIFS('Base bordo CD'!M$2:M$875,'Base bordo CD'!D$2:D$875,A960,'Base bordo CD'!A$2:A$875,B960,'Base bordo CD'!L$2:L$875,"DESLOCAMENTO"),0)</f>
        <v>0</v>
      </c>
      <c r="H960" s="10">
        <f>IFERROR(SUMIFS('Base bordo CD'!M$2:M$875,'Base bordo CD'!D$2:D$875,A960,'Base bordo CD'!A$2:A$875,B960,'Base bordo CD'!L$2:L$875,"AGUARDANDO MANOBRA DE TRANSBORDO"),0)+IFERROR(SUMIFS('Base bordo CD'!M$2:M$875,'Base bordo CD'!D$2:D$875,A960,'Base bordo CD'!A$2:A$875,B960,'Base bordo CD'!L$2:L$875,"FALTA DE TRANSBORDO"),0)</f>
        <v>0</v>
      </c>
      <c r="I960" s="10">
        <f>IFERROR(SUMIFS('Base bordo CD'!M$2:M$875,'Base bordo CD'!D$2:D$875,A960,'Base bordo CD'!A$2:A$875,B960,'Base bordo CD'!L$2:L$875,"PARADA POR CONDICOES CLIMATICAS"),0)+IFERROR(SUMIFS('Base bordo CD'!M$2:M$875,'Base bordo CD'!D$2:D$875,A960,'Base bordo CD'!A$2:A$875,B960,'Base bordo CD'!L$2:L$875,"TEMPO INDETERMINADO"),0)</f>
        <v>0</v>
      </c>
      <c r="J960" s="10">
        <f>IFERROR(SUMIFS('Base bordo CD'!M$2:M$875,'Base bordo CD'!D$2:D$875,A960,'Base bordo CD'!A$2:A$875,B960,'Base bordo CD'!L$2:L$875,"LIMITAÇÃO INDÚSTRIA"),0)</f>
        <v>0</v>
      </c>
      <c r="K960" s="10">
        <f>IFERROR(SUMIFS('Base bordo CD'!M$2:M$875,'Base bordo CD'!D$2:D$875,A960,'Base bordo CD'!A$2:A$875,B960,'Base bordo CD'!L$2:L$875,"MAN CORRETIVA*"),0)+IFERROR(SUMIFS('Base bordo CD'!M$2:M$875,'Base bordo CD'!D$2:D$875,A960,'Base bordo CD'!A$2:A$875,B960,'Base bordo CD'!L$2:L$875,"AGUARDANDO MANUTENCAO*"),0)+IFERROR(SUMIFS('Base bordo CD'!M$2:M$875,'Base bordo CD'!D$2:D$875,A960,'Base bordo CD'!A$2:A$875,B960,'Base bordo CD'!L$2:L$875,"TROCA DE FAQUINHA"),0)+IFERROR(SUMIFS('Base bordo CD'!M$2:M$875,'Base bordo CD'!D$2:D$875,A960,'Base bordo CD'!A$2:A$875,B960,'Base bordo CD'!L$2:L$875,"LIMPEZA*"),0)</f>
        <v>0</v>
      </c>
      <c r="L960" s="10">
        <f>IFERROR(SUMIFS('Base bordo CD'!M$2:M$875,'Base bordo CD'!D$2:D$875,A960,'Base bordo CD'!A$2:A$875,B960,'Base bordo CD'!L$2:L$875,"PATIO - RESERVA"),0)</f>
        <v>0</v>
      </c>
      <c r="M960" s="10">
        <f>IFERROR(SUMIFS('Base bordo CD'!M$2:M$875,'Base bordo CD'!D$2:D$875,A960,'Base bordo CD'!A$2:A$875,B960,'Base bordo CD'!L$2:L$875,"SEM APONTAMENTO"),0)</f>
        <v>0</v>
      </c>
      <c r="N960" s="10">
        <f>IFERROR(SUMIFS('Base bordo CD'!M$2:M$875,'Base bordo CD'!D$2:D$875,A960,'Base bordo CD'!A$2:A$875,B960,'Base bordo CD'!L$2:L$875,"FALTA DE CAMINHÃO"),0)+IFERROR(SUMIFS('Base bordo CD'!M$2:M$875,'Base bordo CD'!D$2:D$875,A960,'Base bordo CD'!A$2:A$875,B960,'Base bordo CD'!L$2:L$875,"FALTA DE COMBUSTIVEL"),0)+IFERROR(SUMIFS('Base bordo CD'!M$2:M$875,'Base bordo CD'!D$2:D$875,A960,'Base bordo CD'!A$2:A$875,B960,'Base bordo CD'!L$2:L$875,"FALTA DE MOTORIST*"),0)</f>
        <v>0</v>
      </c>
      <c r="O960" s="10">
        <f t="shared" si="80"/>
        <v>0</v>
      </c>
      <c r="P960" s="10">
        <f>IFERROR(SUMIFS('Base bordo CD'!M$2:M$875,'Base bordo CD'!D$2:D$875,A960,'Base bordo CD'!A$2:A$875,B960),0)</f>
        <v>0</v>
      </c>
      <c r="Q960" s="10">
        <f>IFERROR(SUMIFS('Base bordo CD'!O$2:O$875,'Base bordo CD'!D$2:D$875,A960,'Base bordo CD'!A$2:A$875,B960,'Base bordo CD'!L$2:L$875,"CORTE DE CANA MECANIZADO"),0)</f>
        <v>0</v>
      </c>
      <c r="R960" s="10">
        <f>IFERROR(SUMIFS('Base bordo CD'!Q$2:Q$875,'Base bordo CD'!D$2:D$875,A960,'Base bordo CD'!A$2:A$875,B960,'Base bordo CD'!L$2:L$875,"CORTE DE CANA MECANIZADO"),0)</f>
        <v>0</v>
      </c>
      <c r="S960" s="30" t="str">
        <f t="shared" si="81"/>
        <v/>
      </c>
      <c r="T960" s="9">
        <f t="shared" si="82"/>
        <v>0</v>
      </c>
      <c r="U960" s="9">
        <f t="shared" si="83"/>
        <v>0</v>
      </c>
      <c r="V960" s="9">
        <f t="shared" si="84"/>
        <v>0</v>
      </c>
    </row>
    <row r="961" spans="1:22" x14ac:dyDescent="0.35">
      <c r="A961" s="52">
        <v>49587</v>
      </c>
      <c r="B961" s="31">
        <v>46117</v>
      </c>
      <c r="C961" s="7" t="s">
        <v>337</v>
      </c>
      <c r="D961" s="7">
        <v>353</v>
      </c>
      <c r="E961" s="10">
        <f>IFERROR(SUMIFS('Base bordo CD'!M$2:M$875,'Base bordo CD'!D$2:D$875,A961,'Base bordo CD'!A$2:A$875,B961,'Base bordo CD'!L$2:L$875,"CORTE DE CANA MECANIZADO"),0)</f>
        <v>0</v>
      </c>
      <c r="F961" s="10">
        <f>IFERROR(SUMIFS('Base bordo CD'!M$2:M$875,'Base bordo CD'!D$2:D$875,A961,'Base bordo CD'!A$2:A$875,B961,'Base bordo CD'!L$2:L$875,"MANOBRA"),0)</f>
        <v>0</v>
      </c>
      <c r="G961" s="10">
        <f>IFERROR(SUMIFS('Base bordo CD'!M$2:M$875,'Base bordo CD'!D$2:D$875,A961,'Base bordo CD'!A$2:A$875,B961,'Base bordo CD'!L$2:L$875,"DESLOCAMENTO"),0)</f>
        <v>0</v>
      </c>
      <c r="H961" s="10">
        <f>IFERROR(SUMIFS('Base bordo CD'!M$2:M$875,'Base bordo CD'!D$2:D$875,A961,'Base bordo CD'!A$2:A$875,B961,'Base bordo CD'!L$2:L$875,"AGUARDANDO MANOBRA DE TRANSBORDO"),0)+IFERROR(SUMIFS('Base bordo CD'!M$2:M$875,'Base bordo CD'!D$2:D$875,A961,'Base bordo CD'!A$2:A$875,B961,'Base bordo CD'!L$2:L$875,"FALTA DE TRANSBORDO"),0)</f>
        <v>0</v>
      </c>
      <c r="I961" s="10">
        <f>IFERROR(SUMIFS('Base bordo CD'!M$2:M$875,'Base bordo CD'!D$2:D$875,A961,'Base bordo CD'!A$2:A$875,B961,'Base bordo CD'!L$2:L$875,"PARADA POR CONDICOES CLIMATICAS"),0)+IFERROR(SUMIFS('Base bordo CD'!M$2:M$875,'Base bordo CD'!D$2:D$875,A961,'Base bordo CD'!A$2:A$875,B961,'Base bordo CD'!L$2:L$875,"TEMPO INDETERMINADO"),0)</f>
        <v>0</v>
      </c>
      <c r="J961" s="10">
        <f>IFERROR(SUMIFS('Base bordo CD'!M$2:M$875,'Base bordo CD'!D$2:D$875,A961,'Base bordo CD'!A$2:A$875,B961,'Base bordo CD'!L$2:L$875,"LIMITAÇÃO INDÚSTRIA"),0)</f>
        <v>0</v>
      </c>
      <c r="K961" s="10">
        <f>IFERROR(SUMIFS('Base bordo CD'!M$2:M$875,'Base bordo CD'!D$2:D$875,A961,'Base bordo CD'!A$2:A$875,B961,'Base bordo CD'!L$2:L$875,"MAN CORRETIVA*"),0)+IFERROR(SUMIFS('Base bordo CD'!M$2:M$875,'Base bordo CD'!D$2:D$875,A961,'Base bordo CD'!A$2:A$875,B961,'Base bordo CD'!L$2:L$875,"AGUARDANDO MANUTENCAO*"),0)+IFERROR(SUMIFS('Base bordo CD'!M$2:M$875,'Base bordo CD'!D$2:D$875,A961,'Base bordo CD'!A$2:A$875,B961,'Base bordo CD'!L$2:L$875,"TROCA DE FAQUINHA"),0)+IFERROR(SUMIFS('Base bordo CD'!M$2:M$875,'Base bordo CD'!D$2:D$875,A961,'Base bordo CD'!A$2:A$875,B961,'Base bordo CD'!L$2:L$875,"LIMPEZA*"),0)</f>
        <v>0</v>
      </c>
      <c r="L961" s="10">
        <f>IFERROR(SUMIFS('Base bordo CD'!M$2:M$875,'Base bordo CD'!D$2:D$875,A961,'Base bordo CD'!A$2:A$875,B961,'Base bordo CD'!L$2:L$875,"PATIO - RESERVA"),0)</f>
        <v>0</v>
      </c>
      <c r="M961" s="10">
        <f>IFERROR(SUMIFS('Base bordo CD'!M$2:M$875,'Base bordo CD'!D$2:D$875,A961,'Base bordo CD'!A$2:A$875,B961,'Base bordo CD'!L$2:L$875,"SEM APONTAMENTO"),0)</f>
        <v>0</v>
      </c>
      <c r="N961" s="10">
        <f>IFERROR(SUMIFS('Base bordo CD'!M$2:M$875,'Base bordo CD'!D$2:D$875,A961,'Base bordo CD'!A$2:A$875,B961,'Base bordo CD'!L$2:L$875,"FALTA DE CAMINHÃO"),0)+IFERROR(SUMIFS('Base bordo CD'!M$2:M$875,'Base bordo CD'!D$2:D$875,A961,'Base bordo CD'!A$2:A$875,B961,'Base bordo CD'!L$2:L$875,"FALTA DE COMBUSTIVEL"),0)+IFERROR(SUMIFS('Base bordo CD'!M$2:M$875,'Base bordo CD'!D$2:D$875,A961,'Base bordo CD'!A$2:A$875,B961,'Base bordo CD'!L$2:L$875,"FALTA DE MOTORIST*"),0)</f>
        <v>0</v>
      </c>
      <c r="O961" s="10">
        <f t="shared" si="80"/>
        <v>0</v>
      </c>
      <c r="P961" s="10">
        <f>IFERROR(SUMIFS('Base bordo CD'!M$2:M$875,'Base bordo CD'!D$2:D$875,A961,'Base bordo CD'!A$2:A$875,B961),0)</f>
        <v>0</v>
      </c>
      <c r="Q961" s="10">
        <f>IFERROR(SUMIFS('Base bordo CD'!O$2:O$875,'Base bordo CD'!D$2:D$875,A961,'Base bordo CD'!A$2:A$875,B961,'Base bordo CD'!L$2:L$875,"CORTE DE CANA MECANIZADO"),0)</f>
        <v>0</v>
      </c>
      <c r="R961" s="10">
        <f>IFERROR(SUMIFS('Base bordo CD'!Q$2:Q$875,'Base bordo CD'!D$2:D$875,A961,'Base bordo CD'!A$2:A$875,B961,'Base bordo CD'!L$2:L$875,"CORTE DE CANA MECANIZADO"),0)</f>
        <v>0</v>
      </c>
      <c r="S961" s="30" t="str">
        <f t="shared" si="81"/>
        <v/>
      </c>
      <c r="T961" s="9">
        <f t="shared" si="82"/>
        <v>0</v>
      </c>
      <c r="U961" s="9">
        <f t="shared" si="83"/>
        <v>0</v>
      </c>
      <c r="V961" s="9">
        <f t="shared" si="84"/>
        <v>0</v>
      </c>
    </row>
    <row r="962" spans="1:22" x14ac:dyDescent="0.35">
      <c r="A962" s="52">
        <v>49587</v>
      </c>
      <c r="B962" s="31">
        <v>46117</v>
      </c>
      <c r="C962" s="7" t="s">
        <v>337</v>
      </c>
      <c r="D962" s="7">
        <v>353</v>
      </c>
      <c r="E962" s="10">
        <f>IFERROR(SUMIFS('Base bordo CD'!M$2:M$875,'Base bordo CD'!D$2:D$875,A962,'Base bordo CD'!A$2:A$875,B962,'Base bordo CD'!L$2:L$875,"CORTE DE CANA MECANIZADO"),0)</f>
        <v>0</v>
      </c>
      <c r="F962" s="10">
        <f>IFERROR(SUMIFS('Base bordo CD'!M$2:M$875,'Base bordo CD'!D$2:D$875,A962,'Base bordo CD'!A$2:A$875,B962,'Base bordo CD'!L$2:L$875,"MANOBRA"),0)</f>
        <v>0</v>
      </c>
      <c r="G962" s="10">
        <f>IFERROR(SUMIFS('Base bordo CD'!M$2:M$875,'Base bordo CD'!D$2:D$875,A962,'Base bordo CD'!A$2:A$875,B962,'Base bordo CD'!L$2:L$875,"DESLOCAMENTO"),0)</f>
        <v>0</v>
      </c>
      <c r="H962" s="10">
        <f>IFERROR(SUMIFS('Base bordo CD'!M$2:M$875,'Base bordo CD'!D$2:D$875,A962,'Base bordo CD'!A$2:A$875,B962,'Base bordo CD'!L$2:L$875,"AGUARDANDO MANOBRA DE TRANSBORDO"),0)+IFERROR(SUMIFS('Base bordo CD'!M$2:M$875,'Base bordo CD'!D$2:D$875,A962,'Base bordo CD'!A$2:A$875,B962,'Base bordo CD'!L$2:L$875,"FALTA DE TRANSBORDO"),0)</f>
        <v>0</v>
      </c>
      <c r="I962" s="10">
        <f>IFERROR(SUMIFS('Base bordo CD'!M$2:M$875,'Base bordo CD'!D$2:D$875,A962,'Base bordo CD'!A$2:A$875,B962,'Base bordo CD'!L$2:L$875,"PARADA POR CONDICOES CLIMATICAS"),0)+IFERROR(SUMIFS('Base bordo CD'!M$2:M$875,'Base bordo CD'!D$2:D$875,A962,'Base bordo CD'!A$2:A$875,B962,'Base bordo CD'!L$2:L$875,"TEMPO INDETERMINADO"),0)</f>
        <v>0</v>
      </c>
      <c r="J962" s="10">
        <f>IFERROR(SUMIFS('Base bordo CD'!M$2:M$875,'Base bordo CD'!D$2:D$875,A962,'Base bordo CD'!A$2:A$875,B962,'Base bordo CD'!L$2:L$875,"LIMITAÇÃO INDÚSTRIA"),0)</f>
        <v>0</v>
      </c>
      <c r="K962" s="10">
        <f>IFERROR(SUMIFS('Base bordo CD'!M$2:M$875,'Base bordo CD'!D$2:D$875,A962,'Base bordo CD'!A$2:A$875,B962,'Base bordo CD'!L$2:L$875,"MAN CORRETIVA*"),0)+IFERROR(SUMIFS('Base bordo CD'!M$2:M$875,'Base bordo CD'!D$2:D$875,A962,'Base bordo CD'!A$2:A$875,B962,'Base bordo CD'!L$2:L$875,"AGUARDANDO MANUTENCAO*"),0)+IFERROR(SUMIFS('Base bordo CD'!M$2:M$875,'Base bordo CD'!D$2:D$875,A962,'Base bordo CD'!A$2:A$875,B962,'Base bordo CD'!L$2:L$875,"TROCA DE FAQUINHA"),0)+IFERROR(SUMIFS('Base bordo CD'!M$2:M$875,'Base bordo CD'!D$2:D$875,A962,'Base bordo CD'!A$2:A$875,B962,'Base bordo CD'!L$2:L$875,"LIMPEZA*"),0)</f>
        <v>0</v>
      </c>
      <c r="L962" s="10">
        <f>IFERROR(SUMIFS('Base bordo CD'!M$2:M$875,'Base bordo CD'!D$2:D$875,A962,'Base bordo CD'!A$2:A$875,B962,'Base bordo CD'!L$2:L$875,"PATIO - RESERVA"),0)</f>
        <v>0</v>
      </c>
      <c r="M962" s="10">
        <f>IFERROR(SUMIFS('Base bordo CD'!M$2:M$875,'Base bordo CD'!D$2:D$875,A962,'Base bordo CD'!A$2:A$875,B962,'Base bordo CD'!L$2:L$875,"SEM APONTAMENTO"),0)</f>
        <v>0</v>
      </c>
      <c r="N962" s="10">
        <f>IFERROR(SUMIFS('Base bordo CD'!M$2:M$875,'Base bordo CD'!D$2:D$875,A962,'Base bordo CD'!A$2:A$875,B962,'Base bordo CD'!L$2:L$875,"FALTA DE CAMINHÃO"),0)+IFERROR(SUMIFS('Base bordo CD'!M$2:M$875,'Base bordo CD'!D$2:D$875,A962,'Base bordo CD'!A$2:A$875,B962,'Base bordo CD'!L$2:L$875,"FALTA DE COMBUSTIVEL"),0)+IFERROR(SUMIFS('Base bordo CD'!M$2:M$875,'Base bordo CD'!D$2:D$875,A962,'Base bordo CD'!A$2:A$875,B962,'Base bordo CD'!L$2:L$875,"FALTA DE MOTORIST*"),0)</f>
        <v>0</v>
      </c>
      <c r="O962" s="10">
        <f t="shared" si="80"/>
        <v>0</v>
      </c>
      <c r="P962" s="10">
        <f>IFERROR(SUMIFS('Base bordo CD'!M$2:M$875,'Base bordo CD'!D$2:D$875,A962,'Base bordo CD'!A$2:A$875,B962),0)</f>
        <v>0</v>
      </c>
      <c r="Q962" s="10">
        <f>IFERROR(SUMIFS('Base bordo CD'!O$2:O$875,'Base bordo CD'!D$2:D$875,A962,'Base bordo CD'!A$2:A$875,B962,'Base bordo CD'!L$2:L$875,"CORTE DE CANA MECANIZADO"),0)</f>
        <v>0</v>
      </c>
      <c r="R962" s="10">
        <f>IFERROR(SUMIFS('Base bordo CD'!Q$2:Q$875,'Base bordo CD'!D$2:D$875,A962,'Base bordo CD'!A$2:A$875,B962,'Base bordo CD'!L$2:L$875,"CORTE DE CANA MECANIZADO"),0)</f>
        <v>0</v>
      </c>
      <c r="S962" s="30" t="str">
        <f t="shared" si="81"/>
        <v/>
      </c>
      <c r="T962" s="9">
        <f t="shared" si="82"/>
        <v>0</v>
      </c>
      <c r="U962" s="9">
        <f t="shared" si="83"/>
        <v>0</v>
      </c>
      <c r="V962" s="9">
        <f t="shared" si="84"/>
        <v>0</v>
      </c>
    </row>
    <row r="963" spans="1:22" x14ac:dyDescent="0.35">
      <c r="A963" s="52">
        <v>49587</v>
      </c>
      <c r="B963" s="31">
        <v>46117</v>
      </c>
      <c r="C963" s="7" t="s">
        <v>337</v>
      </c>
      <c r="D963" s="7">
        <v>353</v>
      </c>
      <c r="E963" s="10">
        <f>IFERROR(SUMIFS('Base bordo CD'!M$2:M$875,'Base bordo CD'!D$2:D$875,A963,'Base bordo CD'!A$2:A$875,B963,'Base bordo CD'!L$2:L$875,"CORTE DE CANA MECANIZADO"),0)</f>
        <v>0</v>
      </c>
      <c r="F963" s="10">
        <f>IFERROR(SUMIFS('Base bordo CD'!M$2:M$875,'Base bordo CD'!D$2:D$875,A963,'Base bordo CD'!A$2:A$875,B963,'Base bordo CD'!L$2:L$875,"MANOBRA"),0)</f>
        <v>0</v>
      </c>
      <c r="G963" s="10">
        <f>IFERROR(SUMIFS('Base bordo CD'!M$2:M$875,'Base bordo CD'!D$2:D$875,A963,'Base bordo CD'!A$2:A$875,B963,'Base bordo CD'!L$2:L$875,"DESLOCAMENTO"),0)</f>
        <v>0</v>
      </c>
      <c r="H963" s="10">
        <f>IFERROR(SUMIFS('Base bordo CD'!M$2:M$875,'Base bordo CD'!D$2:D$875,A963,'Base bordo CD'!A$2:A$875,B963,'Base bordo CD'!L$2:L$875,"AGUARDANDO MANOBRA DE TRANSBORDO"),0)+IFERROR(SUMIFS('Base bordo CD'!M$2:M$875,'Base bordo CD'!D$2:D$875,A963,'Base bordo CD'!A$2:A$875,B963,'Base bordo CD'!L$2:L$875,"FALTA DE TRANSBORDO"),0)</f>
        <v>0</v>
      </c>
      <c r="I963" s="10">
        <f>IFERROR(SUMIFS('Base bordo CD'!M$2:M$875,'Base bordo CD'!D$2:D$875,A963,'Base bordo CD'!A$2:A$875,B963,'Base bordo CD'!L$2:L$875,"PARADA POR CONDICOES CLIMATICAS"),0)+IFERROR(SUMIFS('Base bordo CD'!M$2:M$875,'Base bordo CD'!D$2:D$875,A963,'Base bordo CD'!A$2:A$875,B963,'Base bordo CD'!L$2:L$875,"TEMPO INDETERMINADO"),0)</f>
        <v>0</v>
      </c>
      <c r="J963" s="10">
        <f>IFERROR(SUMIFS('Base bordo CD'!M$2:M$875,'Base bordo CD'!D$2:D$875,A963,'Base bordo CD'!A$2:A$875,B963,'Base bordo CD'!L$2:L$875,"LIMITAÇÃO INDÚSTRIA"),0)</f>
        <v>0</v>
      </c>
      <c r="K963" s="10">
        <f>IFERROR(SUMIFS('Base bordo CD'!M$2:M$875,'Base bordo CD'!D$2:D$875,A963,'Base bordo CD'!A$2:A$875,B963,'Base bordo CD'!L$2:L$875,"MAN CORRETIVA*"),0)+IFERROR(SUMIFS('Base bordo CD'!M$2:M$875,'Base bordo CD'!D$2:D$875,A963,'Base bordo CD'!A$2:A$875,B963,'Base bordo CD'!L$2:L$875,"AGUARDANDO MANUTENCAO*"),0)+IFERROR(SUMIFS('Base bordo CD'!M$2:M$875,'Base bordo CD'!D$2:D$875,A963,'Base bordo CD'!A$2:A$875,B963,'Base bordo CD'!L$2:L$875,"TROCA DE FAQUINHA"),0)+IFERROR(SUMIFS('Base bordo CD'!M$2:M$875,'Base bordo CD'!D$2:D$875,A963,'Base bordo CD'!A$2:A$875,B963,'Base bordo CD'!L$2:L$875,"LIMPEZA*"),0)</f>
        <v>0</v>
      </c>
      <c r="L963" s="10">
        <f>IFERROR(SUMIFS('Base bordo CD'!M$2:M$875,'Base bordo CD'!D$2:D$875,A963,'Base bordo CD'!A$2:A$875,B963,'Base bordo CD'!L$2:L$875,"PATIO - RESERVA"),0)</f>
        <v>0</v>
      </c>
      <c r="M963" s="10">
        <f>IFERROR(SUMIFS('Base bordo CD'!M$2:M$875,'Base bordo CD'!D$2:D$875,A963,'Base bordo CD'!A$2:A$875,B963,'Base bordo CD'!L$2:L$875,"SEM APONTAMENTO"),0)</f>
        <v>0</v>
      </c>
      <c r="N963" s="10">
        <f>IFERROR(SUMIFS('Base bordo CD'!M$2:M$875,'Base bordo CD'!D$2:D$875,A963,'Base bordo CD'!A$2:A$875,B963,'Base bordo CD'!L$2:L$875,"FALTA DE CAMINHÃO"),0)+IFERROR(SUMIFS('Base bordo CD'!M$2:M$875,'Base bordo CD'!D$2:D$875,A963,'Base bordo CD'!A$2:A$875,B963,'Base bordo CD'!L$2:L$875,"FALTA DE COMBUSTIVEL"),0)+IFERROR(SUMIFS('Base bordo CD'!M$2:M$875,'Base bordo CD'!D$2:D$875,A963,'Base bordo CD'!A$2:A$875,B963,'Base bordo CD'!L$2:L$875,"FALTA DE MOTORIST*"),0)</f>
        <v>0</v>
      </c>
      <c r="O963" s="10">
        <f t="shared" si="80"/>
        <v>0</v>
      </c>
      <c r="P963" s="10">
        <f>IFERROR(SUMIFS('Base bordo CD'!M$2:M$875,'Base bordo CD'!D$2:D$875,A963,'Base bordo CD'!A$2:A$875,B963),0)</f>
        <v>0</v>
      </c>
      <c r="Q963" s="10">
        <f>IFERROR(SUMIFS('Base bordo CD'!O$2:O$875,'Base bordo CD'!D$2:D$875,A963,'Base bordo CD'!A$2:A$875,B963,'Base bordo CD'!L$2:L$875,"CORTE DE CANA MECANIZADO"),0)</f>
        <v>0</v>
      </c>
      <c r="R963" s="10">
        <f>IFERROR(SUMIFS('Base bordo CD'!Q$2:Q$875,'Base bordo CD'!D$2:D$875,A963,'Base bordo CD'!A$2:A$875,B963,'Base bordo CD'!L$2:L$875,"CORTE DE CANA MECANIZADO"),0)</f>
        <v>0</v>
      </c>
      <c r="S963" s="30" t="str">
        <f t="shared" si="81"/>
        <v/>
      </c>
      <c r="T963" s="9">
        <f t="shared" si="82"/>
        <v>0</v>
      </c>
      <c r="U963" s="9">
        <f t="shared" si="83"/>
        <v>0</v>
      </c>
      <c r="V963" s="9">
        <f t="shared" si="84"/>
        <v>0</v>
      </c>
    </row>
    <row r="964" spans="1:22" x14ac:dyDescent="0.35">
      <c r="A964" s="52">
        <v>49587</v>
      </c>
      <c r="B964" s="31">
        <v>46117</v>
      </c>
      <c r="C964" s="7" t="s">
        <v>337</v>
      </c>
      <c r="D964" s="7">
        <v>353</v>
      </c>
      <c r="E964" s="10">
        <f>IFERROR(SUMIFS('Base bordo CD'!M$2:M$875,'Base bordo CD'!D$2:D$875,A964,'Base bordo CD'!A$2:A$875,B964,'Base bordo CD'!L$2:L$875,"CORTE DE CANA MECANIZADO"),0)</f>
        <v>0</v>
      </c>
      <c r="F964" s="10">
        <f>IFERROR(SUMIFS('Base bordo CD'!M$2:M$875,'Base bordo CD'!D$2:D$875,A964,'Base bordo CD'!A$2:A$875,B964,'Base bordo CD'!L$2:L$875,"MANOBRA"),0)</f>
        <v>0</v>
      </c>
      <c r="G964" s="10">
        <f>IFERROR(SUMIFS('Base bordo CD'!M$2:M$875,'Base bordo CD'!D$2:D$875,A964,'Base bordo CD'!A$2:A$875,B964,'Base bordo CD'!L$2:L$875,"DESLOCAMENTO"),0)</f>
        <v>0</v>
      </c>
      <c r="H964" s="10">
        <f>IFERROR(SUMIFS('Base bordo CD'!M$2:M$875,'Base bordo CD'!D$2:D$875,A964,'Base bordo CD'!A$2:A$875,B964,'Base bordo CD'!L$2:L$875,"AGUARDANDO MANOBRA DE TRANSBORDO"),0)+IFERROR(SUMIFS('Base bordo CD'!M$2:M$875,'Base bordo CD'!D$2:D$875,A964,'Base bordo CD'!A$2:A$875,B964,'Base bordo CD'!L$2:L$875,"FALTA DE TRANSBORDO"),0)</f>
        <v>0</v>
      </c>
      <c r="I964" s="10">
        <f>IFERROR(SUMIFS('Base bordo CD'!M$2:M$875,'Base bordo CD'!D$2:D$875,A964,'Base bordo CD'!A$2:A$875,B964,'Base bordo CD'!L$2:L$875,"PARADA POR CONDICOES CLIMATICAS"),0)+IFERROR(SUMIFS('Base bordo CD'!M$2:M$875,'Base bordo CD'!D$2:D$875,A964,'Base bordo CD'!A$2:A$875,B964,'Base bordo CD'!L$2:L$875,"TEMPO INDETERMINADO"),0)</f>
        <v>0</v>
      </c>
      <c r="J964" s="10">
        <f>IFERROR(SUMIFS('Base bordo CD'!M$2:M$875,'Base bordo CD'!D$2:D$875,A964,'Base bordo CD'!A$2:A$875,B964,'Base bordo CD'!L$2:L$875,"LIMITAÇÃO INDÚSTRIA"),0)</f>
        <v>0</v>
      </c>
      <c r="K964" s="10">
        <f>IFERROR(SUMIFS('Base bordo CD'!M$2:M$875,'Base bordo CD'!D$2:D$875,A964,'Base bordo CD'!A$2:A$875,B964,'Base bordo CD'!L$2:L$875,"MAN CORRETIVA*"),0)+IFERROR(SUMIFS('Base bordo CD'!M$2:M$875,'Base bordo CD'!D$2:D$875,A964,'Base bordo CD'!A$2:A$875,B964,'Base bordo CD'!L$2:L$875,"AGUARDANDO MANUTENCAO*"),0)+IFERROR(SUMIFS('Base bordo CD'!M$2:M$875,'Base bordo CD'!D$2:D$875,A964,'Base bordo CD'!A$2:A$875,B964,'Base bordo CD'!L$2:L$875,"TROCA DE FAQUINHA"),0)+IFERROR(SUMIFS('Base bordo CD'!M$2:M$875,'Base bordo CD'!D$2:D$875,A964,'Base bordo CD'!A$2:A$875,B964,'Base bordo CD'!L$2:L$875,"LIMPEZA*"),0)</f>
        <v>0</v>
      </c>
      <c r="L964" s="10">
        <f>IFERROR(SUMIFS('Base bordo CD'!M$2:M$875,'Base bordo CD'!D$2:D$875,A964,'Base bordo CD'!A$2:A$875,B964,'Base bordo CD'!L$2:L$875,"PATIO - RESERVA"),0)</f>
        <v>0</v>
      </c>
      <c r="M964" s="10">
        <f>IFERROR(SUMIFS('Base bordo CD'!M$2:M$875,'Base bordo CD'!D$2:D$875,A964,'Base bordo CD'!A$2:A$875,B964,'Base bordo CD'!L$2:L$875,"SEM APONTAMENTO"),0)</f>
        <v>0</v>
      </c>
      <c r="N964" s="10">
        <f>IFERROR(SUMIFS('Base bordo CD'!M$2:M$875,'Base bordo CD'!D$2:D$875,A964,'Base bordo CD'!A$2:A$875,B964,'Base bordo CD'!L$2:L$875,"FALTA DE CAMINHÃO"),0)+IFERROR(SUMIFS('Base bordo CD'!M$2:M$875,'Base bordo CD'!D$2:D$875,A964,'Base bordo CD'!A$2:A$875,B964,'Base bordo CD'!L$2:L$875,"FALTA DE COMBUSTIVEL"),0)+IFERROR(SUMIFS('Base bordo CD'!M$2:M$875,'Base bordo CD'!D$2:D$875,A964,'Base bordo CD'!A$2:A$875,B964,'Base bordo CD'!L$2:L$875,"FALTA DE MOTORIST*"),0)</f>
        <v>0</v>
      </c>
      <c r="O964" s="10">
        <f t="shared" si="80"/>
        <v>0</v>
      </c>
      <c r="P964" s="10">
        <f>IFERROR(SUMIFS('Base bordo CD'!M$2:M$875,'Base bordo CD'!D$2:D$875,A964,'Base bordo CD'!A$2:A$875,B964),0)</f>
        <v>0</v>
      </c>
      <c r="Q964" s="10">
        <f>IFERROR(SUMIFS('Base bordo CD'!O$2:O$875,'Base bordo CD'!D$2:D$875,A964,'Base bordo CD'!A$2:A$875,B964,'Base bordo CD'!L$2:L$875,"CORTE DE CANA MECANIZADO"),0)</f>
        <v>0</v>
      </c>
      <c r="R964" s="10">
        <f>IFERROR(SUMIFS('Base bordo CD'!Q$2:Q$875,'Base bordo CD'!D$2:D$875,A964,'Base bordo CD'!A$2:A$875,B964,'Base bordo CD'!L$2:L$875,"CORTE DE CANA MECANIZADO"),0)</f>
        <v>0</v>
      </c>
      <c r="S964" s="30" t="str">
        <f t="shared" si="81"/>
        <v/>
      </c>
      <c r="T964" s="9">
        <f t="shared" si="82"/>
        <v>0</v>
      </c>
      <c r="U964" s="9">
        <f t="shared" si="83"/>
        <v>0</v>
      </c>
      <c r="V964" s="9">
        <f t="shared" si="84"/>
        <v>0</v>
      </c>
    </row>
    <row r="965" spans="1:22" x14ac:dyDescent="0.35">
      <c r="A965" s="52">
        <v>49587</v>
      </c>
      <c r="B965" s="31">
        <v>46117</v>
      </c>
      <c r="C965" s="7" t="s">
        <v>337</v>
      </c>
      <c r="D965" s="7">
        <v>353</v>
      </c>
      <c r="E965" s="10">
        <f>IFERROR(SUMIFS('Base bordo CD'!M$2:M$875,'Base bordo CD'!D$2:D$875,A965,'Base bordo CD'!A$2:A$875,B965,'Base bordo CD'!L$2:L$875,"CORTE DE CANA MECANIZADO"),0)</f>
        <v>0</v>
      </c>
      <c r="F965" s="10">
        <f>IFERROR(SUMIFS('Base bordo CD'!M$2:M$875,'Base bordo CD'!D$2:D$875,A965,'Base bordo CD'!A$2:A$875,B965,'Base bordo CD'!L$2:L$875,"MANOBRA"),0)</f>
        <v>0</v>
      </c>
      <c r="G965" s="10">
        <f>IFERROR(SUMIFS('Base bordo CD'!M$2:M$875,'Base bordo CD'!D$2:D$875,A965,'Base bordo CD'!A$2:A$875,B965,'Base bordo CD'!L$2:L$875,"DESLOCAMENTO"),0)</f>
        <v>0</v>
      </c>
      <c r="H965" s="10">
        <f>IFERROR(SUMIFS('Base bordo CD'!M$2:M$875,'Base bordo CD'!D$2:D$875,A965,'Base bordo CD'!A$2:A$875,B965,'Base bordo CD'!L$2:L$875,"AGUARDANDO MANOBRA DE TRANSBORDO"),0)+IFERROR(SUMIFS('Base bordo CD'!M$2:M$875,'Base bordo CD'!D$2:D$875,A965,'Base bordo CD'!A$2:A$875,B965,'Base bordo CD'!L$2:L$875,"FALTA DE TRANSBORDO"),0)</f>
        <v>0</v>
      </c>
      <c r="I965" s="10">
        <f>IFERROR(SUMIFS('Base bordo CD'!M$2:M$875,'Base bordo CD'!D$2:D$875,A965,'Base bordo CD'!A$2:A$875,B965,'Base bordo CD'!L$2:L$875,"PARADA POR CONDICOES CLIMATICAS"),0)+IFERROR(SUMIFS('Base bordo CD'!M$2:M$875,'Base bordo CD'!D$2:D$875,A965,'Base bordo CD'!A$2:A$875,B965,'Base bordo CD'!L$2:L$875,"TEMPO INDETERMINADO"),0)</f>
        <v>0</v>
      </c>
      <c r="J965" s="10">
        <f>IFERROR(SUMIFS('Base bordo CD'!M$2:M$875,'Base bordo CD'!D$2:D$875,A965,'Base bordo CD'!A$2:A$875,B965,'Base bordo CD'!L$2:L$875,"LIMITAÇÃO INDÚSTRIA"),0)</f>
        <v>0</v>
      </c>
      <c r="K965" s="10">
        <f>IFERROR(SUMIFS('Base bordo CD'!M$2:M$875,'Base bordo CD'!D$2:D$875,A965,'Base bordo CD'!A$2:A$875,B965,'Base bordo CD'!L$2:L$875,"MAN CORRETIVA*"),0)+IFERROR(SUMIFS('Base bordo CD'!M$2:M$875,'Base bordo CD'!D$2:D$875,A965,'Base bordo CD'!A$2:A$875,B965,'Base bordo CD'!L$2:L$875,"AGUARDANDO MANUTENCAO*"),0)+IFERROR(SUMIFS('Base bordo CD'!M$2:M$875,'Base bordo CD'!D$2:D$875,A965,'Base bordo CD'!A$2:A$875,B965,'Base bordo CD'!L$2:L$875,"TROCA DE FAQUINHA"),0)+IFERROR(SUMIFS('Base bordo CD'!M$2:M$875,'Base bordo CD'!D$2:D$875,A965,'Base bordo CD'!A$2:A$875,B965,'Base bordo CD'!L$2:L$875,"LIMPEZA*"),0)</f>
        <v>0</v>
      </c>
      <c r="L965" s="10">
        <f>IFERROR(SUMIFS('Base bordo CD'!M$2:M$875,'Base bordo CD'!D$2:D$875,A965,'Base bordo CD'!A$2:A$875,B965,'Base bordo CD'!L$2:L$875,"PATIO - RESERVA"),0)</f>
        <v>0</v>
      </c>
      <c r="M965" s="10">
        <f>IFERROR(SUMIFS('Base bordo CD'!M$2:M$875,'Base bordo CD'!D$2:D$875,A965,'Base bordo CD'!A$2:A$875,B965,'Base bordo CD'!L$2:L$875,"SEM APONTAMENTO"),0)</f>
        <v>0</v>
      </c>
      <c r="N965" s="10">
        <f>IFERROR(SUMIFS('Base bordo CD'!M$2:M$875,'Base bordo CD'!D$2:D$875,A965,'Base bordo CD'!A$2:A$875,B965,'Base bordo CD'!L$2:L$875,"FALTA DE CAMINHÃO"),0)+IFERROR(SUMIFS('Base bordo CD'!M$2:M$875,'Base bordo CD'!D$2:D$875,A965,'Base bordo CD'!A$2:A$875,B965,'Base bordo CD'!L$2:L$875,"FALTA DE COMBUSTIVEL"),0)+IFERROR(SUMIFS('Base bordo CD'!M$2:M$875,'Base bordo CD'!D$2:D$875,A965,'Base bordo CD'!A$2:A$875,B965,'Base bordo CD'!L$2:L$875,"FALTA DE MOTORIST*"),0)</f>
        <v>0</v>
      </c>
      <c r="O965" s="10">
        <f t="shared" si="80"/>
        <v>0</v>
      </c>
      <c r="P965" s="10">
        <f>IFERROR(SUMIFS('Base bordo CD'!M$2:M$875,'Base bordo CD'!D$2:D$875,A965,'Base bordo CD'!A$2:A$875,B965),0)</f>
        <v>0</v>
      </c>
      <c r="Q965" s="10">
        <f>IFERROR(SUMIFS('Base bordo CD'!O$2:O$875,'Base bordo CD'!D$2:D$875,A965,'Base bordo CD'!A$2:A$875,B965,'Base bordo CD'!L$2:L$875,"CORTE DE CANA MECANIZADO"),0)</f>
        <v>0</v>
      </c>
      <c r="R965" s="10">
        <f>IFERROR(SUMIFS('Base bordo CD'!Q$2:Q$875,'Base bordo CD'!D$2:D$875,A965,'Base bordo CD'!A$2:A$875,B965,'Base bordo CD'!L$2:L$875,"CORTE DE CANA MECANIZADO"),0)</f>
        <v>0</v>
      </c>
      <c r="S965" s="30" t="str">
        <f t="shared" si="81"/>
        <v/>
      </c>
      <c r="T965" s="9">
        <f t="shared" si="82"/>
        <v>0</v>
      </c>
      <c r="U965" s="9">
        <f t="shared" si="83"/>
        <v>0</v>
      </c>
      <c r="V965" s="9">
        <f t="shared" si="84"/>
        <v>0</v>
      </c>
    </row>
    <row r="966" spans="1:22" x14ac:dyDescent="0.35">
      <c r="A966" s="52">
        <v>49587</v>
      </c>
      <c r="B966" s="31">
        <v>46117</v>
      </c>
      <c r="C966" s="7" t="s">
        <v>337</v>
      </c>
      <c r="D966" s="7">
        <v>353</v>
      </c>
      <c r="E966" s="10">
        <f>IFERROR(SUMIFS('Base bordo CD'!M$2:M$875,'Base bordo CD'!D$2:D$875,A966,'Base bordo CD'!A$2:A$875,B966,'Base bordo CD'!L$2:L$875,"CORTE DE CANA MECANIZADO"),0)</f>
        <v>0</v>
      </c>
      <c r="F966" s="10">
        <f>IFERROR(SUMIFS('Base bordo CD'!M$2:M$875,'Base bordo CD'!D$2:D$875,A966,'Base bordo CD'!A$2:A$875,B966,'Base bordo CD'!L$2:L$875,"MANOBRA"),0)</f>
        <v>0</v>
      </c>
      <c r="G966" s="10">
        <f>IFERROR(SUMIFS('Base bordo CD'!M$2:M$875,'Base bordo CD'!D$2:D$875,A966,'Base bordo CD'!A$2:A$875,B966,'Base bordo CD'!L$2:L$875,"DESLOCAMENTO"),0)</f>
        <v>0</v>
      </c>
      <c r="H966" s="10">
        <f>IFERROR(SUMIFS('Base bordo CD'!M$2:M$875,'Base bordo CD'!D$2:D$875,A966,'Base bordo CD'!A$2:A$875,B966,'Base bordo CD'!L$2:L$875,"AGUARDANDO MANOBRA DE TRANSBORDO"),0)+IFERROR(SUMIFS('Base bordo CD'!M$2:M$875,'Base bordo CD'!D$2:D$875,A966,'Base bordo CD'!A$2:A$875,B966,'Base bordo CD'!L$2:L$875,"FALTA DE TRANSBORDO"),0)</f>
        <v>0</v>
      </c>
      <c r="I966" s="10">
        <f>IFERROR(SUMIFS('Base bordo CD'!M$2:M$875,'Base bordo CD'!D$2:D$875,A966,'Base bordo CD'!A$2:A$875,B966,'Base bordo CD'!L$2:L$875,"PARADA POR CONDICOES CLIMATICAS"),0)+IFERROR(SUMIFS('Base bordo CD'!M$2:M$875,'Base bordo CD'!D$2:D$875,A966,'Base bordo CD'!A$2:A$875,B966,'Base bordo CD'!L$2:L$875,"TEMPO INDETERMINADO"),0)</f>
        <v>0</v>
      </c>
      <c r="J966" s="10">
        <f>IFERROR(SUMIFS('Base bordo CD'!M$2:M$875,'Base bordo CD'!D$2:D$875,A966,'Base bordo CD'!A$2:A$875,B966,'Base bordo CD'!L$2:L$875,"LIMITAÇÃO INDÚSTRIA"),0)</f>
        <v>0</v>
      </c>
      <c r="K966" s="10">
        <f>IFERROR(SUMIFS('Base bordo CD'!M$2:M$875,'Base bordo CD'!D$2:D$875,A966,'Base bordo CD'!A$2:A$875,B966,'Base bordo CD'!L$2:L$875,"MAN CORRETIVA*"),0)+IFERROR(SUMIFS('Base bordo CD'!M$2:M$875,'Base bordo CD'!D$2:D$875,A966,'Base bordo CD'!A$2:A$875,B966,'Base bordo CD'!L$2:L$875,"AGUARDANDO MANUTENCAO*"),0)+IFERROR(SUMIFS('Base bordo CD'!M$2:M$875,'Base bordo CD'!D$2:D$875,A966,'Base bordo CD'!A$2:A$875,B966,'Base bordo CD'!L$2:L$875,"TROCA DE FAQUINHA"),0)+IFERROR(SUMIFS('Base bordo CD'!M$2:M$875,'Base bordo CD'!D$2:D$875,A966,'Base bordo CD'!A$2:A$875,B966,'Base bordo CD'!L$2:L$875,"LIMPEZA*"),0)</f>
        <v>0</v>
      </c>
      <c r="L966" s="10">
        <f>IFERROR(SUMIFS('Base bordo CD'!M$2:M$875,'Base bordo CD'!D$2:D$875,A966,'Base bordo CD'!A$2:A$875,B966,'Base bordo CD'!L$2:L$875,"PATIO - RESERVA"),0)</f>
        <v>0</v>
      </c>
      <c r="M966" s="10">
        <f>IFERROR(SUMIFS('Base bordo CD'!M$2:M$875,'Base bordo CD'!D$2:D$875,A966,'Base bordo CD'!A$2:A$875,B966,'Base bordo CD'!L$2:L$875,"SEM APONTAMENTO"),0)</f>
        <v>0</v>
      </c>
      <c r="N966" s="10">
        <f>IFERROR(SUMIFS('Base bordo CD'!M$2:M$875,'Base bordo CD'!D$2:D$875,A966,'Base bordo CD'!A$2:A$875,B966,'Base bordo CD'!L$2:L$875,"FALTA DE CAMINHÃO"),0)+IFERROR(SUMIFS('Base bordo CD'!M$2:M$875,'Base bordo CD'!D$2:D$875,A966,'Base bordo CD'!A$2:A$875,B966,'Base bordo CD'!L$2:L$875,"FALTA DE COMBUSTIVEL"),0)+IFERROR(SUMIFS('Base bordo CD'!M$2:M$875,'Base bordo CD'!D$2:D$875,A966,'Base bordo CD'!A$2:A$875,B966,'Base bordo CD'!L$2:L$875,"FALTA DE MOTORIST*"),0)</f>
        <v>0</v>
      </c>
      <c r="O966" s="10">
        <f t="shared" si="80"/>
        <v>0</v>
      </c>
      <c r="P966" s="10">
        <f>IFERROR(SUMIFS('Base bordo CD'!M$2:M$875,'Base bordo CD'!D$2:D$875,A966,'Base bordo CD'!A$2:A$875,B966),0)</f>
        <v>0</v>
      </c>
      <c r="Q966" s="10">
        <f>IFERROR(SUMIFS('Base bordo CD'!O$2:O$875,'Base bordo CD'!D$2:D$875,A966,'Base bordo CD'!A$2:A$875,B966,'Base bordo CD'!L$2:L$875,"CORTE DE CANA MECANIZADO"),0)</f>
        <v>0</v>
      </c>
      <c r="R966" s="10">
        <f>IFERROR(SUMIFS('Base bordo CD'!Q$2:Q$875,'Base bordo CD'!D$2:D$875,A966,'Base bordo CD'!A$2:A$875,B966,'Base bordo CD'!L$2:L$875,"CORTE DE CANA MECANIZADO"),0)</f>
        <v>0</v>
      </c>
      <c r="S966" s="30" t="str">
        <f t="shared" si="81"/>
        <v/>
      </c>
      <c r="T966" s="9">
        <f t="shared" si="82"/>
        <v>0</v>
      </c>
      <c r="U966" s="9">
        <f t="shared" si="83"/>
        <v>0</v>
      </c>
      <c r="V966" s="9">
        <f t="shared" si="84"/>
        <v>0</v>
      </c>
    </row>
    <row r="967" spans="1:22" x14ac:dyDescent="0.35">
      <c r="A967" s="52">
        <v>49587</v>
      </c>
      <c r="B967" s="31">
        <v>46117</v>
      </c>
      <c r="C967" s="7" t="s">
        <v>337</v>
      </c>
      <c r="D967" s="7">
        <v>353</v>
      </c>
      <c r="E967" s="10">
        <f>IFERROR(SUMIFS('Base bordo CD'!M$2:M$875,'Base bordo CD'!D$2:D$875,A967,'Base bordo CD'!A$2:A$875,B967,'Base bordo CD'!L$2:L$875,"CORTE DE CANA MECANIZADO"),0)</f>
        <v>0</v>
      </c>
      <c r="F967" s="10">
        <f>IFERROR(SUMIFS('Base bordo CD'!M$2:M$875,'Base bordo CD'!D$2:D$875,A967,'Base bordo CD'!A$2:A$875,B967,'Base bordo CD'!L$2:L$875,"MANOBRA"),0)</f>
        <v>0</v>
      </c>
      <c r="G967" s="10">
        <f>IFERROR(SUMIFS('Base bordo CD'!M$2:M$875,'Base bordo CD'!D$2:D$875,A967,'Base bordo CD'!A$2:A$875,B967,'Base bordo CD'!L$2:L$875,"DESLOCAMENTO"),0)</f>
        <v>0</v>
      </c>
      <c r="H967" s="10">
        <f>IFERROR(SUMIFS('Base bordo CD'!M$2:M$875,'Base bordo CD'!D$2:D$875,A967,'Base bordo CD'!A$2:A$875,B967,'Base bordo CD'!L$2:L$875,"AGUARDANDO MANOBRA DE TRANSBORDO"),0)+IFERROR(SUMIFS('Base bordo CD'!M$2:M$875,'Base bordo CD'!D$2:D$875,A967,'Base bordo CD'!A$2:A$875,B967,'Base bordo CD'!L$2:L$875,"FALTA DE TRANSBORDO"),0)</f>
        <v>0</v>
      </c>
      <c r="I967" s="10">
        <f>IFERROR(SUMIFS('Base bordo CD'!M$2:M$875,'Base bordo CD'!D$2:D$875,A967,'Base bordo CD'!A$2:A$875,B967,'Base bordo CD'!L$2:L$875,"PARADA POR CONDICOES CLIMATICAS"),0)+IFERROR(SUMIFS('Base bordo CD'!M$2:M$875,'Base bordo CD'!D$2:D$875,A967,'Base bordo CD'!A$2:A$875,B967,'Base bordo CD'!L$2:L$875,"TEMPO INDETERMINADO"),0)</f>
        <v>0</v>
      </c>
      <c r="J967" s="10">
        <f>IFERROR(SUMIFS('Base bordo CD'!M$2:M$875,'Base bordo CD'!D$2:D$875,A967,'Base bordo CD'!A$2:A$875,B967,'Base bordo CD'!L$2:L$875,"LIMITAÇÃO INDÚSTRIA"),0)</f>
        <v>0</v>
      </c>
      <c r="K967" s="10">
        <f>IFERROR(SUMIFS('Base bordo CD'!M$2:M$875,'Base bordo CD'!D$2:D$875,A967,'Base bordo CD'!A$2:A$875,B967,'Base bordo CD'!L$2:L$875,"MAN CORRETIVA*"),0)+IFERROR(SUMIFS('Base bordo CD'!M$2:M$875,'Base bordo CD'!D$2:D$875,A967,'Base bordo CD'!A$2:A$875,B967,'Base bordo CD'!L$2:L$875,"AGUARDANDO MANUTENCAO*"),0)+IFERROR(SUMIFS('Base bordo CD'!M$2:M$875,'Base bordo CD'!D$2:D$875,A967,'Base bordo CD'!A$2:A$875,B967,'Base bordo CD'!L$2:L$875,"TROCA DE FAQUINHA"),0)+IFERROR(SUMIFS('Base bordo CD'!M$2:M$875,'Base bordo CD'!D$2:D$875,A967,'Base bordo CD'!A$2:A$875,B967,'Base bordo CD'!L$2:L$875,"LIMPEZA*"),0)</f>
        <v>0</v>
      </c>
      <c r="L967" s="10">
        <f>IFERROR(SUMIFS('Base bordo CD'!M$2:M$875,'Base bordo CD'!D$2:D$875,A967,'Base bordo CD'!A$2:A$875,B967,'Base bordo CD'!L$2:L$875,"PATIO - RESERVA"),0)</f>
        <v>0</v>
      </c>
      <c r="M967" s="10">
        <f>IFERROR(SUMIFS('Base bordo CD'!M$2:M$875,'Base bordo CD'!D$2:D$875,A967,'Base bordo CD'!A$2:A$875,B967,'Base bordo CD'!L$2:L$875,"SEM APONTAMENTO"),0)</f>
        <v>0</v>
      </c>
      <c r="N967" s="10">
        <f>IFERROR(SUMIFS('Base bordo CD'!M$2:M$875,'Base bordo CD'!D$2:D$875,A967,'Base bordo CD'!A$2:A$875,B967,'Base bordo CD'!L$2:L$875,"FALTA DE CAMINHÃO"),0)+IFERROR(SUMIFS('Base bordo CD'!M$2:M$875,'Base bordo CD'!D$2:D$875,A967,'Base bordo CD'!A$2:A$875,B967,'Base bordo CD'!L$2:L$875,"FALTA DE COMBUSTIVEL"),0)+IFERROR(SUMIFS('Base bordo CD'!M$2:M$875,'Base bordo CD'!D$2:D$875,A967,'Base bordo CD'!A$2:A$875,B967,'Base bordo CD'!L$2:L$875,"FALTA DE MOTORIST*"),0)</f>
        <v>0</v>
      </c>
      <c r="O967" s="10">
        <f t="shared" si="80"/>
        <v>0</v>
      </c>
      <c r="P967" s="10">
        <f>IFERROR(SUMIFS('Base bordo CD'!M$2:M$875,'Base bordo CD'!D$2:D$875,A967,'Base bordo CD'!A$2:A$875,B967),0)</f>
        <v>0</v>
      </c>
      <c r="Q967" s="10">
        <f>IFERROR(SUMIFS('Base bordo CD'!O$2:O$875,'Base bordo CD'!D$2:D$875,A967,'Base bordo CD'!A$2:A$875,B967,'Base bordo CD'!L$2:L$875,"CORTE DE CANA MECANIZADO"),0)</f>
        <v>0</v>
      </c>
      <c r="R967" s="10">
        <f>IFERROR(SUMIFS('Base bordo CD'!Q$2:Q$875,'Base bordo CD'!D$2:D$875,A967,'Base bordo CD'!A$2:A$875,B967,'Base bordo CD'!L$2:L$875,"CORTE DE CANA MECANIZADO"),0)</f>
        <v>0</v>
      </c>
      <c r="S967" s="30" t="str">
        <f t="shared" si="81"/>
        <v/>
      </c>
      <c r="T967" s="9">
        <f t="shared" si="82"/>
        <v>0</v>
      </c>
      <c r="U967" s="9">
        <f t="shared" si="83"/>
        <v>0</v>
      </c>
      <c r="V967" s="9">
        <f t="shared" si="84"/>
        <v>0</v>
      </c>
    </row>
    <row r="968" spans="1:22" x14ac:dyDescent="0.35">
      <c r="A968" s="52">
        <v>49587</v>
      </c>
      <c r="B968" s="31">
        <v>46117</v>
      </c>
      <c r="C968" s="7" t="s">
        <v>337</v>
      </c>
      <c r="D968" s="7">
        <v>353</v>
      </c>
      <c r="E968" s="10">
        <f>IFERROR(SUMIFS('Base bordo CD'!M$2:M$875,'Base bordo CD'!D$2:D$875,A968,'Base bordo CD'!A$2:A$875,B968,'Base bordo CD'!L$2:L$875,"CORTE DE CANA MECANIZADO"),0)</f>
        <v>0</v>
      </c>
      <c r="F968" s="10">
        <f>IFERROR(SUMIFS('Base bordo CD'!M$2:M$875,'Base bordo CD'!D$2:D$875,A968,'Base bordo CD'!A$2:A$875,B968,'Base bordo CD'!L$2:L$875,"MANOBRA"),0)</f>
        <v>0</v>
      </c>
      <c r="G968" s="10">
        <f>IFERROR(SUMIFS('Base bordo CD'!M$2:M$875,'Base bordo CD'!D$2:D$875,A968,'Base bordo CD'!A$2:A$875,B968,'Base bordo CD'!L$2:L$875,"DESLOCAMENTO"),0)</f>
        <v>0</v>
      </c>
      <c r="H968" s="10">
        <f>IFERROR(SUMIFS('Base bordo CD'!M$2:M$875,'Base bordo CD'!D$2:D$875,A968,'Base bordo CD'!A$2:A$875,B968,'Base bordo CD'!L$2:L$875,"AGUARDANDO MANOBRA DE TRANSBORDO"),0)+IFERROR(SUMIFS('Base bordo CD'!M$2:M$875,'Base bordo CD'!D$2:D$875,A968,'Base bordo CD'!A$2:A$875,B968,'Base bordo CD'!L$2:L$875,"FALTA DE TRANSBORDO"),0)</f>
        <v>0</v>
      </c>
      <c r="I968" s="10">
        <f>IFERROR(SUMIFS('Base bordo CD'!M$2:M$875,'Base bordo CD'!D$2:D$875,A968,'Base bordo CD'!A$2:A$875,B968,'Base bordo CD'!L$2:L$875,"PARADA POR CONDICOES CLIMATICAS"),0)+IFERROR(SUMIFS('Base bordo CD'!M$2:M$875,'Base bordo CD'!D$2:D$875,A968,'Base bordo CD'!A$2:A$875,B968,'Base bordo CD'!L$2:L$875,"TEMPO INDETERMINADO"),0)</f>
        <v>0</v>
      </c>
      <c r="J968" s="10">
        <f>IFERROR(SUMIFS('Base bordo CD'!M$2:M$875,'Base bordo CD'!D$2:D$875,A968,'Base bordo CD'!A$2:A$875,B968,'Base bordo CD'!L$2:L$875,"LIMITAÇÃO INDÚSTRIA"),0)</f>
        <v>0</v>
      </c>
      <c r="K968" s="10">
        <f>IFERROR(SUMIFS('Base bordo CD'!M$2:M$875,'Base bordo CD'!D$2:D$875,A968,'Base bordo CD'!A$2:A$875,B968,'Base bordo CD'!L$2:L$875,"MAN CORRETIVA*"),0)+IFERROR(SUMIFS('Base bordo CD'!M$2:M$875,'Base bordo CD'!D$2:D$875,A968,'Base bordo CD'!A$2:A$875,B968,'Base bordo CD'!L$2:L$875,"AGUARDANDO MANUTENCAO*"),0)+IFERROR(SUMIFS('Base bordo CD'!M$2:M$875,'Base bordo CD'!D$2:D$875,A968,'Base bordo CD'!A$2:A$875,B968,'Base bordo CD'!L$2:L$875,"TROCA DE FAQUINHA"),0)+IFERROR(SUMIFS('Base bordo CD'!M$2:M$875,'Base bordo CD'!D$2:D$875,A968,'Base bordo CD'!A$2:A$875,B968,'Base bordo CD'!L$2:L$875,"LIMPEZA*"),0)</f>
        <v>0</v>
      </c>
      <c r="L968" s="10">
        <f>IFERROR(SUMIFS('Base bordo CD'!M$2:M$875,'Base bordo CD'!D$2:D$875,A968,'Base bordo CD'!A$2:A$875,B968,'Base bordo CD'!L$2:L$875,"PATIO - RESERVA"),0)</f>
        <v>0</v>
      </c>
      <c r="M968" s="10">
        <f>IFERROR(SUMIFS('Base bordo CD'!M$2:M$875,'Base bordo CD'!D$2:D$875,A968,'Base bordo CD'!A$2:A$875,B968,'Base bordo CD'!L$2:L$875,"SEM APONTAMENTO"),0)</f>
        <v>0</v>
      </c>
      <c r="N968" s="10">
        <f>IFERROR(SUMIFS('Base bordo CD'!M$2:M$875,'Base bordo CD'!D$2:D$875,A968,'Base bordo CD'!A$2:A$875,B968,'Base bordo CD'!L$2:L$875,"FALTA DE CAMINHÃO"),0)+IFERROR(SUMIFS('Base bordo CD'!M$2:M$875,'Base bordo CD'!D$2:D$875,A968,'Base bordo CD'!A$2:A$875,B968,'Base bordo CD'!L$2:L$875,"FALTA DE COMBUSTIVEL"),0)+IFERROR(SUMIFS('Base bordo CD'!M$2:M$875,'Base bordo CD'!D$2:D$875,A968,'Base bordo CD'!A$2:A$875,B968,'Base bordo CD'!L$2:L$875,"FALTA DE MOTORIST*"),0)</f>
        <v>0</v>
      </c>
      <c r="O968" s="10">
        <f t="shared" si="80"/>
        <v>0</v>
      </c>
      <c r="P968" s="10">
        <f>IFERROR(SUMIFS('Base bordo CD'!M$2:M$875,'Base bordo CD'!D$2:D$875,A968,'Base bordo CD'!A$2:A$875,B968),0)</f>
        <v>0</v>
      </c>
      <c r="Q968" s="10">
        <f>IFERROR(SUMIFS('Base bordo CD'!O$2:O$875,'Base bordo CD'!D$2:D$875,A968,'Base bordo CD'!A$2:A$875,B968,'Base bordo CD'!L$2:L$875,"CORTE DE CANA MECANIZADO"),0)</f>
        <v>0</v>
      </c>
      <c r="R968" s="10">
        <f>IFERROR(SUMIFS('Base bordo CD'!Q$2:Q$875,'Base bordo CD'!D$2:D$875,A968,'Base bordo CD'!A$2:A$875,B968,'Base bordo CD'!L$2:L$875,"CORTE DE CANA MECANIZADO"),0)</f>
        <v>0</v>
      </c>
      <c r="S968" s="30" t="str">
        <f t="shared" si="81"/>
        <v/>
      </c>
      <c r="T968" s="9">
        <f t="shared" si="82"/>
        <v>0</v>
      </c>
      <c r="U968" s="9">
        <f t="shared" si="83"/>
        <v>0</v>
      </c>
      <c r="V968" s="9">
        <f t="shared" si="84"/>
        <v>0</v>
      </c>
    </row>
    <row r="969" spans="1:22" x14ac:dyDescent="0.35">
      <c r="A969" s="52">
        <v>49587</v>
      </c>
      <c r="B969" s="31">
        <v>46117</v>
      </c>
      <c r="C969" s="7" t="s">
        <v>337</v>
      </c>
      <c r="D969" s="7">
        <v>353</v>
      </c>
      <c r="E969" s="10">
        <f>IFERROR(SUMIFS('Base bordo CD'!M$2:M$875,'Base bordo CD'!D$2:D$875,A969,'Base bordo CD'!A$2:A$875,B969,'Base bordo CD'!L$2:L$875,"CORTE DE CANA MECANIZADO"),0)</f>
        <v>0</v>
      </c>
      <c r="F969" s="10">
        <f>IFERROR(SUMIFS('Base bordo CD'!M$2:M$875,'Base bordo CD'!D$2:D$875,A969,'Base bordo CD'!A$2:A$875,B969,'Base bordo CD'!L$2:L$875,"MANOBRA"),0)</f>
        <v>0</v>
      </c>
      <c r="G969" s="10">
        <f>IFERROR(SUMIFS('Base bordo CD'!M$2:M$875,'Base bordo CD'!D$2:D$875,A969,'Base bordo CD'!A$2:A$875,B969,'Base bordo CD'!L$2:L$875,"DESLOCAMENTO"),0)</f>
        <v>0</v>
      </c>
      <c r="H969" s="10">
        <f>IFERROR(SUMIFS('Base bordo CD'!M$2:M$875,'Base bordo CD'!D$2:D$875,A969,'Base bordo CD'!A$2:A$875,B969,'Base bordo CD'!L$2:L$875,"AGUARDANDO MANOBRA DE TRANSBORDO"),0)+IFERROR(SUMIFS('Base bordo CD'!M$2:M$875,'Base bordo CD'!D$2:D$875,A969,'Base bordo CD'!A$2:A$875,B969,'Base bordo CD'!L$2:L$875,"FALTA DE TRANSBORDO"),0)</f>
        <v>0</v>
      </c>
      <c r="I969" s="10">
        <f>IFERROR(SUMIFS('Base bordo CD'!M$2:M$875,'Base bordo CD'!D$2:D$875,A969,'Base bordo CD'!A$2:A$875,B969,'Base bordo CD'!L$2:L$875,"PARADA POR CONDICOES CLIMATICAS"),0)+IFERROR(SUMIFS('Base bordo CD'!M$2:M$875,'Base bordo CD'!D$2:D$875,A969,'Base bordo CD'!A$2:A$875,B969,'Base bordo CD'!L$2:L$875,"TEMPO INDETERMINADO"),0)</f>
        <v>0</v>
      </c>
      <c r="J969" s="10">
        <f>IFERROR(SUMIFS('Base bordo CD'!M$2:M$875,'Base bordo CD'!D$2:D$875,A969,'Base bordo CD'!A$2:A$875,B969,'Base bordo CD'!L$2:L$875,"LIMITAÇÃO INDÚSTRIA"),0)</f>
        <v>0</v>
      </c>
      <c r="K969" s="10">
        <f>IFERROR(SUMIFS('Base bordo CD'!M$2:M$875,'Base bordo CD'!D$2:D$875,A969,'Base bordo CD'!A$2:A$875,B969,'Base bordo CD'!L$2:L$875,"MAN CORRETIVA*"),0)+IFERROR(SUMIFS('Base bordo CD'!M$2:M$875,'Base bordo CD'!D$2:D$875,A969,'Base bordo CD'!A$2:A$875,B969,'Base bordo CD'!L$2:L$875,"AGUARDANDO MANUTENCAO*"),0)+IFERROR(SUMIFS('Base bordo CD'!M$2:M$875,'Base bordo CD'!D$2:D$875,A969,'Base bordo CD'!A$2:A$875,B969,'Base bordo CD'!L$2:L$875,"TROCA DE FAQUINHA"),0)+IFERROR(SUMIFS('Base bordo CD'!M$2:M$875,'Base bordo CD'!D$2:D$875,A969,'Base bordo CD'!A$2:A$875,B969,'Base bordo CD'!L$2:L$875,"LIMPEZA*"),0)</f>
        <v>0</v>
      </c>
      <c r="L969" s="10">
        <f>IFERROR(SUMIFS('Base bordo CD'!M$2:M$875,'Base bordo CD'!D$2:D$875,A969,'Base bordo CD'!A$2:A$875,B969,'Base bordo CD'!L$2:L$875,"PATIO - RESERVA"),0)</f>
        <v>0</v>
      </c>
      <c r="M969" s="10">
        <f>IFERROR(SUMIFS('Base bordo CD'!M$2:M$875,'Base bordo CD'!D$2:D$875,A969,'Base bordo CD'!A$2:A$875,B969,'Base bordo CD'!L$2:L$875,"SEM APONTAMENTO"),0)</f>
        <v>0</v>
      </c>
      <c r="N969" s="10">
        <f>IFERROR(SUMIFS('Base bordo CD'!M$2:M$875,'Base bordo CD'!D$2:D$875,A969,'Base bordo CD'!A$2:A$875,B969,'Base bordo CD'!L$2:L$875,"FALTA DE CAMINHÃO"),0)+IFERROR(SUMIFS('Base bordo CD'!M$2:M$875,'Base bordo CD'!D$2:D$875,A969,'Base bordo CD'!A$2:A$875,B969,'Base bordo CD'!L$2:L$875,"FALTA DE COMBUSTIVEL"),0)+IFERROR(SUMIFS('Base bordo CD'!M$2:M$875,'Base bordo CD'!D$2:D$875,A969,'Base bordo CD'!A$2:A$875,B969,'Base bordo CD'!L$2:L$875,"FALTA DE MOTORIST*"),0)</f>
        <v>0</v>
      </c>
      <c r="O969" s="10">
        <f t="shared" si="80"/>
        <v>0</v>
      </c>
      <c r="P969" s="10">
        <f>IFERROR(SUMIFS('Base bordo CD'!M$2:M$875,'Base bordo CD'!D$2:D$875,A969,'Base bordo CD'!A$2:A$875,B969),0)</f>
        <v>0</v>
      </c>
      <c r="Q969" s="10">
        <f>IFERROR(SUMIFS('Base bordo CD'!O$2:O$875,'Base bordo CD'!D$2:D$875,A969,'Base bordo CD'!A$2:A$875,B969,'Base bordo CD'!L$2:L$875,"CORTE DE CANA MECANIZADO"),0)</f>
        <v>0</v>
      </c>
      <c r="R969" s="10">
        <f>IFERROR(SUMIFS('Base bordo CD'!Q$2:Q$875,'Base bordo CD'!D$2:D$875,A969,'Base bordo CD'!A$2:A$875,B969,'Base bordo CD'!L$2:L$875,"CORTE DE CANA MECANIZADO"),0)</f>
        <v>0</v>
      </c>
      <c r="S969" s="30" t="str">
        <f t="shared" si="81"/>
        <v/>
      </c>
      <c r="T969" s="9">
        <f t="shared" si="82"/>
        <v>0</v>
      </c>
      <c r="U969" s="9">
        <f t="shared" si="83"/>
        <v>0</v>
      </c>
      <c r="V969" s="9">
        <f t="shared" si="84"/>
        <v>0</v>
      </c>
    </row>
    <row r="970" spans="1:22" x14ac:dyDescent="0.35">
      <c r="A970" s="52">
        <v>49587</v>
      </c>
      <c r="B970" s="31">
        <v>46117</v>
      </c>
      <c r="C970" s="7" t="s">
        <v>337</v>
      </c>
      <c r="D970" s="7">
        <v>353</v>
      </c>
      <c r="E970" s="10">
        <f>IFERROR(SUMIFS('Base bordo CD'!M$2:M$875,'Base bordo CD'!D$2:D$875,A970,'Base bordo CD'!A$2:A$875,B970,'Base bordo CD'!L$2:L$875,"CORTE DE CANA MECANIZADO"),0)</f>
        <v>0</v>
      </c>
      <c r="F970" s="10">
        <f>IFERROR(SUMIFS('Base bordo CD'!M$2:M$875,'Base bordo CD'!D$2:D$875,A970,'Base bordo CD'!A$2:A$875,B970,'Base bordo CD'!L$2:L$875,"MANOBRA"),0)</f>
        <v>0</v>
      </c>
      <c r="G970" s="10">
        <f>IFERROR(SUMIFS('Base bordo CD'!M$2:M$875,'Base bordo CD'!D$2:D$875,A970,'Base bordo CD'!A$2:A$875,B970,'Base bordo CD'!L$2:L$875,"DESLOCAMENTO"),0)</f>
        <v>0</v>
      </c>
      <c r="H970" s="10">
        <f>IFERROR(SUMIFS('Base bordo CD'!M$2:M$875,'Base bordo CD'!D$2:D$875,A970,'Base bordo CD'!A$2:A$875,B970,'Base bordo CD'!L$2:L$875,"AGUARDANDO MANOBRA DE TRANSBORDO"),0)+IFERROR(SUMIFS('Base bordo CD'!M$2:M$875,'Base bordo CD'!D$2:D$875,A970,'Base bordo CD'!A$2:A$875,B970,'Base bordo CD'!L$2:L$875,"FALTA DE TRANSBORDO"),0)</f>
        <v>0</v>
      </c>
      <c r="I970" s="10">
        <f>IFERROR(SUMIFS('Base bordo CD'!M$2:M$875,'Base bordo CD'!D$2:D$875,A970,'Base bordo CD'!A$2:A$875,B970,'Base bordo CD'!L$2:L$875,"PARADA POR CONDICOES CLIMATICAS"),0)+IFERROR(SUMIFS('Base bordo CD'!M$2:M$875,'Base bordo CD'!D$2:D$875,A970,'Base bordo CD'!A$2:A$875,B970,'Base bordo CD'!L$2:L$875,"TEMPO INDETERMINADO"),0)</f>
        <v>0</v>
      </c>
      <c r="J970" s="10">
        <f>IFERROR(SUMIFS('Base bordo CD'!M$2:M$875,'Base bordo CD'!D$2:D$875,A970,'Base bordo CD'!A$2:A$875,B970,'Base bordo CD'!L$2:L$875,"LIMITAÇÃO INDÚSTRIA"),0)</f>
        <v>0</v>
      </c>
      <c r="K970" s="10">
        <f>IFERROR(SUMIFS('Base bordo CD'!M$2:M$875,'Base bordo CD'!D$2:D$875,A970,'Base bordo CD'!A$2:A$875,B970,'Base bordo CD'!L$2:L$875,"MAN CORRETIVA*"),0)+IFERROR(SUMIFS('Base bordo CD'!M$2:M$875,'Base bordo CD'!D$2:D$875,A970,'Base bordo CD'!A$2:A$875,B970,'Base bordo CD'!L$2:L$875,"AGUARDANDO MANUTENCAO*"),0)+IFERROR(SUMIFS('Base bordo CD'!M$2:M$875,'Base bordo CD'!D$2:D$875,A970,'Base bordo CD'!A$2:A$875,B970,'Base bordo CD'!L$2:L$875,"TROCA DE FAQUINHA"),0)+IFERROR(SUMIFS('Base bordo CD'!M$2:M$875,'Base bordo CD'!D$2:D$875,A970,'Base bordo CD'!A$2:A$875,B970,'Base bordo CD'!L$2:L$875,"LIMPEZA*"),0)</f>
        <v>0</v>
      </c>
      <c r="L970" s="10">
        <f>IFERROR(SUMIFS('Base bordo CD'!M$2:M$875,'Base bordo CD'!D$2:D$875,A970,'Base bordo CD'!A$2:A$875,B970,'Base bordo CD'!L$2:L$875,"PATIO - RESERVA"),0)</f>
        <v>0</v>
      </c>
      <c r="M970" s="10">
        <f>IFERROR(SUMIFS('Base bordo CD'!M$2:M$875,'Base bordo CD'!D$2:D$875,A970,'Base bordo CD'!A$2:A$875,B970,'Base bordo CD'!L$2:L$875,"SEM APONTAMENTO"),0)</f>
        <v>0</v>
      </c>
      <c r="N970" s="10">
        <f>IFERROR(SUMIFS('Base bordo CD'!M$2:M$875,'Base bordo CD'!D$2:D$875,A970,'Base bordo CD'!A$2:A$875,B970,'Base bordo CD'!L$2:L$875,"FALTA DE CAMINHÃO"),0)+IFERROR(SUMIFS('Base bordo CD'!M$2:M$875,'Base bordo CD'!D$2:D$875,A970,'Base bordo CD'!A$2:A$875,B970,'Base bordo CD'!L$2:L$875,"FALTA DE COMBUSTIVEL"),0)+IFERROR(SUMIFS('Base bordo CD'!M$2:M$875,'Base bordo CD'!D$2:D$875,A970,'Base bordo CD'!A$2:A$875,B970,'Base bordo CD'!L$2:L$875,"FALTA DE MOTORIST*"),0)</f>
        <v>0</v>
      </c>
      <c r="O970" s="10">
        <f t="shared" si="80"/>
        <v>0</v>
      </c>
      <c r="P970" s="10">
        <f>IFERROR(SUMIFS('Base bordo CD'!M$2:M$875,'Base bordo CD'!D$2:D$875,A970,'Base bordo CD'!A$2:A$875,B970),0)</f>
        <v>0</v>
      </c>
      <c r="Q970" s="10">
        <f>IFERROR(SUMIFS('Base bordo CD'!O$2:O$875,'Base bordo CD'!D$2:D$875,A970,'Base bordo CD'!A$2:A$875,B970,'Base bordo CD'!L$2:L$875,"CORTE DE CANA MECANIZADO"),0)</f>
        <v>0</v>
      </c>
      <c r="R970" s="10">
        <f>IFERROR(SUMIFS('Base bordo CD'!Q$2:Q$875,'Base bordo CD'!D$2:D$875,A970,'Base bordo CD'!A$2:A$875,B970,'Base bordo CD'!L$2:L$875,"CORTE DE CANA MECANIZADO"),0)</f>
        <v>0</v>
      </c>
      <c r="S970" s="30" t="str">
        <f t="shared" si="81"/>
        <v/>
      </c>
      <c r="T970" s="9">
        <f t="shared" si="82"/>
        <v>0</v>
      </c>
      <c r="U970" s="9">
        <f t="shared" si="83"/>
        <v>0</v>
      </c>
      <c r="V970" s="9">
        <f t="shared" si="84"/>
        <v>0</v>
      </c>
    </row>
    <row r="971" spans="1:22" x14ac:dyDescent="0.35">
      <c r="A971" s="52">
        <v>49587</v>
      </c>
      <c r="B971" s="31">
        <v>46117</v>
      </c>
      <c r="C971" s="7" t="s">
        <v>337</v>
      </c>
      <c r="D971" s="7">
        <v>353</v>
      </c>
      <c r="E971" s="10">
        <f>IFERROR(SUMIFS('Base bordo CD'!M$2:M$875,'Base bordo CD'!D$2:D$875,A971,'Base bordo CD'!A$2:A$875,B971,'Base bordo CD'!L$2:L$875,"CORTE DE CANA MECANIZADO"),0)</f>
        <v>0</v>
      </c>
      <c r="F971" s="10">
        <f>IFERROR(SUMIFS('Base bordo CD'!M$2:M$875,'Base bordo CD'!D$2:D$875,A971,'Base bordo CD'!A$2:A$875,B971,'Base bordo CD'!L$2:L$875,"MANOBRA"),0)</f>
        <v>0</v>
      </c>
      <c r="G971" s="10">
        <f>IFERROR(SUMIFS('Base bordo CD'!M$2:M$875,'Base bordo CD'!D$2:D$875,A971,'Base bordo CD'!A$2:A$875,B971,'Base bordo CD'!L$2:L$875,"DESLOCAMENTO"),0)</f>
        <v>0</v>
      </c>
      <c r="H971" s="10">
        <f>IFERROR(SUMIFS('Base bordo CD'!M$2:M$875,'Base bordo CD'!D$2:D$875,A971,'Base bordo CD'!A$2:A$875,B971,'Base bordo CD'!L$2:L$875,"AGUARDANDO MANOBRA DE TRANSBORDO"),0)+IFERROR(SUMIFS('Base bordo CD'!M$2:M$875,'Base bordo CD'!D$2:D$875,A971,'Base bordo CD'!A$2:A$875,B971,'Base bordo CD'!L$2:L$875,"FALTA DE TRANSBORDO"),0)</f>
        <v>0</v>
      </c>
      <c r="I971" s="10">
        <f>IFERROR(SUMIFS('Base bordo CD'!M$2:M$875,'Base bordo CD'!D$2:D$875,A971,'Base bordo CD'!A$2:A$875,B971,'Base bordo CD'!L$2:L$875,"PARADA POR CONDICOES CLIMATICAS"),0)+IFERROR(SUMIFS('Base bordo CD'!M$2:M$875,'Base bordo CD'!D$2:D$875,A971,'Base bordo CD'!A$2:A$875,B971,'Base bordo CD'!L$2:L$875,"TEMPO INDETERMINADO"),0)</f>
        <v>0</v>
      </c>
      <c r="J971" s="10">
        <f>IFERROR(SUMIFS('Base bordo CD'!M$2:M$875,'Base bordo CD'!D$2:D$875,A971,'Base bordo CD'!A$2:A$875,B971,'Base bordo CD'!L$2:L$875,"LIMITAÇÃO INDÚSTRIA"),0)</f>
        <v>0</v>
      </c>
      <c r="K971" s="10">
        <f>IFERROR(SUMIFS('Base bordo CD'!M$2:M$875,'Base bordo CD'!D$2:D$875,A971,'Base bordo CD'!A$2:A$875,B971,'Base bordo CD'!L$2:L$875,"MAN CORRETIVA*"),0)+IFERROR(SUMIFS('Base bordo CD'!M$2:M$875,'Base bordo CD'!D$2:D$875,A971,'Base bordo CD'!A$2:A$875,B971,'Base bordo CD'!L$2:L$875,"AGUARDANDO MANUTENCAO*"),0)+IFERROR(SUMIFS('Base bordo CD'!M$2:M$875,'Base bordo CD'!D$2:D$875,A971,'Base bordo CD'!A$2:A$875,B971,'Base bordo CD'!L$2:L$875,"TROCA DE FAQUINHA"),0)+IFERROR(SUMIFS('Base bordo CD'!M$2:M$875,'Base bordo CD'!D$2:D$875,A971,'Base bordo CD'!A$2:A$875,B971,'Base bordo CD'!L$2:L$875,"LIMPEZA*"),0)</f>
        <v>0</v>
      </c>
      <c r="L971" s="10">
        <f>IFERROR(SUMIFS('Base bordo CD'!M$2:M$875,'Base bordo CD'!D$2:D$875,A971,'Base bordo CD'!A$2:A$875,B971,'Base bordo CD'!L$2:L$875,"PATIO - RESERVA"),0)</f>
        <v>0</v>
      </c>
      <c r="M971" s="10">
        <f>IFERROR(SUMIFS('Base bordo CD'!M$2:M$875,'Base bordo CD'!D$2:D$875,A971,'Base bordo CD'!A$2:A$875,B971,'Base bordo CD'!L$2:L$875,"SEM APONTAMENTO"),0)</f>
        <v>0</v>
      </c>
      <c r="N971" s="10">
        <f>IFERROR(SUMIFS('Base bordo CD'!M$2:M$875,'Base bordo CD'!D$2:D$875,A971,'Base bordo CD'!A$2:A$875,B971,'Base bordo CD'!L$2:L$875,"FALTA DE CAMINHÃO"),0)+IFERROR(SUMIFS('Base bordo CD'!M$2:M$875,'Base bordo CD'!D$2:D$875,A971,'Base bordo CD'!A$2:A$875,B971,'Base bordo CD'!L$2:L$875,"FALTA DE COMBUSTIVEL"),0)+IFERROR(SUMIFS('Base bordo CD'!M$2:M$875,'Base bordo CD'!D$2:D$875,A971,'Base bordo CD'!A$2:A$875,B971,'Base bordo CD'!L$2:L$875,"FALTA DE MOTORIST*"),0)</f>
        <v>0</v>
      </c>
      <c r="O971" s="10">
        <f t="shared" si="80"/>
        <v>0</v>
      </c>
      <c r="P971" s="10">
        <f>IFERROR(SUMIFS('Base bordo CD'!M$2:M$875,'Base bordo CD'!D$2:D$875,A971,'Base bordo CD'!A$2:A$875,B971),0)</f>
        <v>0</v>
      </c>
      <c r="Q971" s="10">
        <f>IFERROR(SUMIFS('Base bordo CD'!O$2:O$875,'Base bordo CD'!D$2:D$875,A971,'Base bordo CD'!A$2:A$875,B971,'Base bordo CD'!L$2:L$875,"CORTE DE CANA MECANIZADO"),0)</f>
        <v>0</v>
      </c>
      <c r="R971" s="10">
        <f>IFERROR(SUMIFS('Base bordo CD'!Q$2:Q$875,'Base bordo CD'!D$2:D$875,A971,'Base bordo CD'!A$2:A$875,B971,'Base bordo CD'!L$2:L$875,"CORTE DE CANA MECANIZADO"),0)</f>
        <v>0</v>
      </c>
      <c r="S971" s="30" t="str">
        <f t="shared" si="81"/>
        <v/>
      </c>
      <c r="T971" s="9">
        <f t="shared" si="82"/>
        <v>0</v>
      </c>
      <c r="U971" s="9">
        <f t="shared" si="83"/>
        <v>0</v>
      </c>
      <c r="V971" s="9">
        <f t="shared" si="84"/>
        <v>0</v>
      </c>
    </row>
    <row r="972" spans="1:22" x14ac:dyDescent="0.35">
      <c r="A972" s="52">
        <v>49587</v>
      </c>
      <c r="B972" s="31">
        <v>46117</v>
      </c>
      <c r="C972" s="7" t="s">
        <v>337</v>
      </c>
      <c r="D972" s="7">
        <v>353</v>
      </c>
      <c r="E972" s="10">
        <f>IFERROR(SUMIFS('Base bordo CD'!M$2:M$875,'Base bordo CD'!D$2:D$875,A972,'Base bordo CD'!A$2:A$875,B972,'Base bordo CD'!L$2:L$875,"CORTE DE CANA MECANIZADO"),0)</f>
        <v>0</v>
      </c>
      <c r="F972" s="10">
        <f>IFERROR(SUMIFS('Base bordo CD'!M$2:M$875,'Base bordo CD'!D$2:D$875,A972,'Base bordo CD'!A$2:A$875,B972,'Base bordo CD'!L$2:L$875,"MANOBRA"),0)</f>
        <v>0</v>
      </c>
      <c r="G972" s="10">
        <f>IFERROR(SUMIFS('Base bordo CD'!M$2:M$875,'Base bordo CD'!D$2:D$875,A972,'Base bordo CD'!A$2:A$875,B972,'Base bordo CD'!L$2:L$875,"DESLOCAMENTO"),0)</f>
        <v>0</v>
      </c>
      <c r="H972" s="10">
        <f>IFERROR(SUMIFS('Base bordo CD'!M$2:M$875,'Base bordo CD'!D$2:D$875,A972,'Base bordo CD'!A$2:A$875,B972,'Base bordo CD'!L$2:L$875,"AGUARDANDO MANOBRA DE TRANSBORDO"),0)+IFERROR(SUMIFS('Base bordo CD'!M$2:M$875,'Base bordo CD'!D$2:D$875,A972,'Base bordo CD'!A$2:A$875,B972,'Base bordo CD'!L$2:L$875,"FALTA DE TRANSBORDO"),0)</f>
        <v>0</v>
      </c>
      <c r="I972" s="10">
        <f>IFERROR(SUMIFS('Base bordo CD'!M$2:M$875,'Base bordo CD'!D$2:D$875,A972,'Base bordo CD'!A$2:A$875,B972,'Base bordo CD'!L$2:L$875,"PARADA POR CONDICOES CLIMATICAS"),0)+IFERROR(SUMIFS('Base bordo CD'!M$2:M$875,'Base bordo CD'!D$2:D$875,A972,'Base bordo CD'!A$2:A$875,B972,'Base bordo CD'!L$2:L$875,"TEMPO INDETERMINADO"),0)</f>
        <v>0</v>
      </c>
      <c r="J972" s="10">
        <f>IFERROR(SUMIFS('Base bordo CD'!M$2:M$875,'Base bordo CD'!D$2:D$875,A972,'Base bordo CD'!A$2:A$875,B972,'Base bordo CD'!L$2:L$875,"LIMITAÇÃO INDÚSTRIA"),0)</f>
        <v>0</v>
      </c>
      <c r="K972" s="10">
        <f>IFERROR(SUMIFS('Base bordo CD'!M$2:M$875,'Base bordo CD'!D$2:D$875,A972,'Base bordo CD'!A$2:A$875,B972,'Base bordo CD'!L$2:L$875,"MAN CORRETIVA*"),0)+IFERROR(SUMIFS('Base bordo CD'!M$2:M$875,'Base bordo CD'!D$2:D$875,A972,'Base bordo CD'!A$2:A$875,B972,'Base bordo CD'!L$2:L$875,"AGUARDANDO MANUTENCAO*"),0)+IFERROR(SUMIFS('Base bordo CD'!M$2:M$875,'Base bordo CD'!D$2:D$875,A972,'Base bordo CD'!A$2:A$875,B972,'Base bordo CD'!L$2:L$875,"TROCA DE FAQUINHA"),0)+IFERROR(SUMIFS('Base bordo CD'!M$2:M$875,'Base bordo CD'!D$2:D$875,A972,'Base bordo CD'!A$2:A$875,B972,'Base bordo CD'!L$2:L$875,"LIMPEZA*"),0)</f>
        <v>0</v>
      </c>
      <c r="L972" s="10">
        <f>IFERROR(SUMIFS('Base bordo CD'!M$2:M$875,'Base bordo CD'!D$2:D$875,A972,'Base bordo CD'!A$2:A$875,B972,'Base bordo CD'!L$2:L$875,"PATIO - RESERVA"),0)</f>
        <v>0</v>
      </c>
      <c r="M972" s="10">
        <f>IFERROR(SUMIFS('Base bordo CD'!M$2:M$875,'Base bordo CD'!D$2:D$875,A972,'Base bordo CD'!A$2:A$875,B972,'Base bordo CD'!L$2:L$875,"SEM APONTAMENTO"),0)</f>
        <v>0</v>
      </c>
      <c r="N972" s="10">
        <f>IFERROR(SUMIFS('Base bordo CD'!M$2:M$875,'Base bordo CD'!D$2:D$875,A972,'Base bordo CD'!A$2:A$875,B972,'Base bordo CD'!L$2:L$875,"FALTA DE CAMINHÃO"),0)+IFERROR(SUMIFS('Base bordo CD'!M$2:M$875,'Base bordo CD'!D$2:D$875,A972,'Base bordo CD'!A$2:A$875,B972,'Base bordo CD'!L$2:L$875,"FALTA DE COMBUSTIVEL"),0)+IFERROR(SUMIFS('Base bordo CD'!M$2:M$875,'Base bordo CD'!D$2:D$875,A972,'Base bordo CD'!A$2:A$875,B972,'Base bordo CD'!L$2:L$875,"FALTA DE MOTORIST*"),0)</f>
        <v>0</v>
      </c>
      <c r="O972" s="10">
        <f t="shared" si="80"/>
        <v>0</v>
      </c>
      <c r="P972" s="10">
        <f>IFERROR(SUMIFS('Base bordo CD'!M$2:M$875,'Base bordo CD'!D$2:D$875,A972,'Base bordo CD'!A$2:A$875,B972),0)</f>
        <v>0</v>
      </c>
      <c r="Q972" s="10">
        <f>IFERROR(SUMIFS('Base bordo CD'!O$2:O$875,'Base bordo CD'!D$2:D$875,A972,'Base bordo CD'!A$2:A$875,B972,'Base bordo CD'!L$2:L$875,"CORTE DE CANA MECANIZADO"),0)</f>
        <v>0</v>
      </c>
      <c r="R972" s="10">
        <f>IFERROR(SUMIFS('Base bordo CD'!Q$2:Q$875,'Base bordo CD'!D$2:D$875,A972,'Base bordo CD'!A$2:A$875,B972,'Base bordo CD'!L$2:L$875,"CORTE DE CANA MECANIZADO"),0)</f>
        <v>0</v>
      </c>
      <c r="S972" s="30" t="str">
        <f t="shared" si="81"/>
        <v/>
      </c>
      <c r="T972" s="9">
        <f t="shared" si="82"/>
        <v>0</v>
      </c>
      <c r="U972" s="9">
        <f t="shared" si="83"/>
        <v>0</v>
      </c>
      <c r="V972" s="9">
        <f t="shared" si="84"/>
        <v>0</v>
      </c>
    </row>
    <row r="973" spans="1:22" x14ac:dyDescent="0.35">
      <c r="A973" s="52">
        <v>49587</v>
      </c>
      <c r="B973" s="31">
        <v>46117</v>
      </c>
      <c r="C973" s="7" t="s">
        <v>337</v>
      </c>
      <c r="D973" s="7">
        <v>353</v>
      </c>
      <c r="E973" s="10">
        <f>IFERROR(SUMIFS('Base bordo CD'!M$2:M$875,'Base bordo CD'!D$2:D$875,A973,'Base bordo CD'!A$2:A$875,B973,'Base bordo CD'!L$2:L$875,"CORTE DE CANA MECANIZADO"),0)</f>
        <v>0</v>
      </c>
      <c r="F973" s="10">
        <f>IFERROR(SUMIFS('Base bordo CD'!M$2:M$875,'Base bordo CD'!D$2:D$875,A973,'Base bordo CD'!A$2:A$875,B973,'Base bordo CD'!L$2:L$875,"MANOBRA"),0)</f>
        <v>0</v>
      </c>
      <c r="G973" s="10">
        <f>IFERROR(SUMIFS('Base bordo CD'!M$2:M$875,'Base bordo CD'!D$2:D$875,A973,'Base bordo CD'!A$2:A$875,B973,'Base bordo CD'!L$2:L$875,"DESLOCAMENTO"),0)</f>
        <v>0</v>
      </c>
      <c r="H973" s="10">
        <f>IFERROR(SUMIFS('Base bordo CD'!M$2:M$875,'Base bordo CD'!D$2:D$875,A973,'Base bordo CD'!A$2:A$875,B973,'Base bordo CD'!L$2:L$875,"AGUARDANDO MANOBRA DE TRANSBORDO"),0)+IFERROR(SUMIFS('Base bordo CD'!M$2:M$875,'Base bordo CD'!D$2:D$875,A973,'Base bordo CD'!A$2:A$875,B973,'Base bordo CD'!L$2:L$875,"FALTA DE TRANSBORDO"),0)</f>
        <v>0</v>
      </c>
      <c r="I973" s="10">
        <f>IFERROR(SUMIFS('Base bordo CD'!M$2:M$875,'Base bordo CD'!D$2:D$875,A973,'Base bordo CD'!A$2:A$875,B973,'Base bordo CD'!L$2:L$875,"PARADA POR CONDICOES CLIMATICAS"),0)+IFERROR(SUMIFS('Base bordo CD'!M$2:M$875,'Base bordo CD'!D$2:D$875,A973,'Base bordo CD'!A$2:A$875,B973,'Base bordo CD'!L$2:L$875,"TEMPO INDETERMINADO"),0)</f>
        <v>0</v>
      </c>
      <c r="J973" s="10">
        <f>IFERROR(SUMIFS('Base bordo CD'!M$2:M$875,'Base bordo CD'!D$2:D$875,A973,'Base bordo CD'!A$2:A$875,B973,'Base bordo CD'!L$2:L$875,"LIMITAÇÃO INDÚSTRIA"),0)</f>
        <v>0</v>
      </c>
      <c r="K973" s="10">
        <f>IFERROR(SUMIFS('Base bordo CD'!M$2:M$875,'Base bordo CD'!D$2:D$875,A973,'Base bordo CD'!A$2:A$875,B973,'Base bordo CD'!L$2:L$875,"MAN CORRETIVA*"),0)+IFERROR(SUMIFS('Base bordo CD'!M$2:M$875,'Base bordo CD'!D$2:D$875,A973,'Base bordo CD'!A$2:A$875,B973,'Base bordo CD'!L$2:L$875,"AGUARDANDO MANUTENCAO*"),0)+IFERROR(SUMIFS('Base bordo CD'!M$2:M$875,'Base bordo CD'!D$2:D$875,A973,'Base bordo CD'!A$2:A$875,B973,'Base bordo CD'!L$2:L$875,"TROCA DE FAQUINHA"),0)+IFERROR(SUMIFS('Base bordo CD'!M$2:M$875,'Base bordo CD'!D$2:D$875,A973,'Base bordo CD'!A$2:A$875,B973,'Base bordo CD'!L$2:L$875,"LIMPEZA*"),0)</f>
        <v>0</v>
      </c>
      <c r="L973" s="10">
        <f>IFERROR(SUMIFS('Base bordo CD'!M$2:M$875,'Base bordo CD'!D$2:D$875,A973,'Base bordo CD'!A$2:A$875,B973,'Base bordo CD'!L$2:L$875,"PATIO - RESERVA"),0)</f>
        <v>0</v>
      </c>
      <c r="M973" s="10">
        <f>IFERROR(SUMIFS('Base bordo CD'!M$2:M$875,'Base bordo CD'!D$2:D$875,A973,'Base bordo CD'!A$2:A$875,B973,'Base bordo CD'!L$2:L$875,"SEM APONTAMENTO"),0)</f>
        <v>0</v>
      </c>
      <c r="N973" s="10">
        <f>IFERROR(SUMIFS('Base bordo CD'!M$2:M$875,'Base bordo CD'!D$2:D$875,A973,'Base bordo CD'!A$2:A$875,B973,'Base bordo CD'!L$2:L$875,"FALTA DE CAMINHÃO"),0)+IFERROR(SUMIFS('Base bordo CD'!M$2:M$875,'Base bordo CD'!D$2:D$875,A973,'Base bordo CD'!A$2:A$875,B973,'Base bordo CD'!L$2:L$875,"FALTA DE COMBUSTIVEL"),0)+IFERROR(SUMIFS('Base bordo CD'!M$2:M$875,'Base bordo CD'!D$2:D$875,A973,'Base bordo CD'!A$2:A$875,B973,'Base bordo CD'!L$2:L$875,"FALTA DE MOTORIST*"),0)</f>
        <v>0</v>
      </c>
      <c r="O973" s="10">
        <f t="shared" si="80"/>
        <v>0</v>
      </c>
      <c r="P973" s="10">
        <f>IFERROR(SUMIFS('Base bordo CD'!M$2:M$875,'Base bordo CD'!D$2:D$875,A973,'Base bordo CD'!A$2:A$875,B973),0)</f>
        <v>0</v>
      </c>
      <c r="Q973" s="10">
        <f>IFERROR(SUMIFS('Base bordo CD'!O$2:O$875,'Base bordo CD'!D$2:D$875,A973,'Base bordo CD'!A$2:A$875,B973,'Base bordo CD'!L$2:L$875,"CORTE DE CANA MECANIZADO"),0)</f>
        <v>0</v>
      </c>
      <c r="R973" s="10">
        <f>IFERROR(SUMIFS('Base bordo CD'!Q$2:Q$875,'Base bordo CD'!D$2:D$875,A973,'Base bordo CD'!A$2:A$875,B973,'Base bordo CD'!L$2:L$875,"CORTE DE CANA MECANIZADO"),0)</f>
        <v>0</v>
      </c>
      <c r="S973" s="30" t="str">
        <f t="shared" si="81"/>
        <v/>
      </c>
      <c r="T973" s="9">
        <f t="shared" si="82"/>
        <v>0</v>
      </c>
      <c r="U973" s="9">
        <f t="shared" si="83"/>
        <v>0</v>
      </c>
      <c r="V973" s="9">
        <f t="shared" si="84"/>
        <v>0</v>
      </c>
    </row>
    <row r="974" spans="1:22" x14ac:dyDescent="0.35">
      <c r="A974" s="52">
        <v>49587</v>
      </c>
      <c r="B974" s="31">
        <v>46117</v>
      </c>
      <c r="C974" s="7" t="s">
        <v>337</v>
      </c>
      <c r="D974" s="7">
        <v>353</v>
      </c>
      <c r="E974" s="10">
        <f>IFERROR(SUMIFS('Base bordo CD'!M$2:M$875,'Base bordo CD'!D$2:D$875,A974,'Base bordo CD'!A$2:A$875,B974,'Base bordo CD'!L$2:L$875,"CORTE DE CANA MECANIZADO"),0)</f>
        <v>0</v>
      </c>
      <c r="F974" s="10">
        <f>IFERROR(SUMIFS('Base bordo CD'!M$2:M$875,'Base bordo CD'!D$2:D$875,A974,'Base bordo CD'!A$2:A$875,B974,'Base bordo CD'!L$2:L$875,"MANOBRA"),0)</f>
        <v>0</v>
      </c>
      <c r="G974" s="10">
        <f>IFERROR(SUMIFS('Base bordo CD'!M$2:M$875,'Base bordo CD'!D$2:D$875,A974,'Base bordo CD'!A$2:A$875,B974,'Base bordo CD'!L$2:L$875,"DESLOCAMENTO"),0)</f>
        <v>0</v>
      </c>
      <c r="H974" s="10">
        <f>IFERROR(SUMIFS('Base bordo CD'!M$2:M$875,'Base bordo CD'!D$2:D$875,A974,'Base bordo CD'!A$2:A$875,B974,'Base bordo CD'!L$2:L$875,"AGUARDANDO MANOBRA DE TRANSBORDO"),0)+IFERROR(SUMIFS('Base bordo CD'!M$2:M$875,'Base bordo CD'!D$2:D$875,A974,'Base bordo CD'!A$2:A$875,B974,'Base bordo CD'!L$2:L$875,"FALTA DE TRANSBORDO"),0)</f>
        <v>0</v>
      </c>
      <c r="I974" s="10">
        <f>IFERROR(SUMIFS('Base bordo CD'!M$2:M$875,'Base bordo CD'!D$2:D$875,A974,'Base bordo CD'!A$2:A$875,B974,'Base bordo CD'!L$2:L$875,"PARADA POR CONDICOES CLIMATICAS"),0)+IFERROR(SUMIFS('Base bordo CD'!M$2:M$875,'Base bordo CD'!D$2:D$875,A974,'Base bordo CD'!A$2:A$875,B974,'Base bordo CD'!L$2:L$875,"TEMPO INDETERMINADO"),0)</f>
        <v>0</v>
      </c>
      <c r="J974" s="10">
        <f>IFERROR(SUMIFS('Base bordo CD'!M$2:M$875,'Base bordo CD'!D$2:D$875,A974,'Base bordo CD'!A$2:A$875,B974,'Base bordo CD'!L$2:L$875,"LIMITAÇÃO INDÚSTRIA"),0)</f>
        <v>0</v>
      </c>
      <c r="K974" s="10">
        <f>IFERROR(SUMIFS('Base bordo CD'!M$2:M$875,'Base bordo CD'!D$2:D$875,A974,'Base bordo CD'!A$2:A$875,B974,'Base bordo CD'!L$2:L$875,"MAN CORRETIVA*"),0)+IFERROR(SUMIFS('Base bordo CD'!M$2:M$875,'Base bordo CD'!D$2:D$875,A974,'Base bordo CD'!A$2:A$875,B974,'Base bordo CD'!L$2:L$875,"AGUARDANDO MANUTENCAO*"),0)+IFERROR(SUMIFS('Base bordo CD'!M$2:M$875,'Base bordo CD'!D$2:D$875,A974,'Base bordo CD'!A$2:A$875,B974,'Base bordo CD'!L$2:L$875,"TROCA DE FAQUINHA"),0)+IFERROR(SUMIFS('Base bordo CD'!M$2:M$875,'Base bordo CD'!D$2:D$875,A974,'Base bordo CD'!A$2:A$875,B974,'Base bordo CD'!L$2:L$875,"LIMPEZA*"),0)</f>
        <v>0</v>
      </c>
      <c r="L974" s="10">
        <f>IFERROR(SUMIFS('Base bordo CD'!M$2:M$875,'Base bordo CD'!D$2:D$875,A974,'Base bordo CD'!A$2:A$875,B974,'Base bordo CD'!L$2:L$875,"PATIO - RESERVA"),0)</f>
        <v>0</v>
      </c>
      <c r="M974" s="10">
        <f>IFERROR(SUMIFS('Base bordo CD'!M$2:M$875,'Base bordo CD'!D$2:D$875,A974,'Base bordo CD'!A$2:A$875,B974,'Base bordo CD'!L$2:L$875,"SEM APONTAMENTO"),0)</f>
        <v>0</v>
      </c>
      <c r="N974" s="10">
        <f>IFERROR(SUMIFS('Base bordo CD'!M$2:M$875,'Base bordo CD'!D$2:D$875,A974,'Base bordo CD'!A$2:A$875,B974,'Base bordo CD'!L$2:L$875,"FALTA DE CAMINHÃO"),0)+IFERROR(SUMIFS('Base bordo CD'!M$2:M$875,'Base bordo CD'!D$2:D$875,A974,'Base bordo CD'!A$2:A$875,B974,'Base bordo CD'!L$2:L$875,"FALTA DE COMBUSTIVEL"),0)+IFERROR(SUMIFS('Base bordo CD'!M$2:M$875,'Base bordo CD'!D$2:D$875,A974,'Base bordo CD'!A$2:A$875,B974,'Base bordo CD'!L$2:L$875,"FALTA DE MOTORIST*"),0)</f>
        <v>0</v>
      </c>
      <c r="O974" s="10">
        <f t="shared" si="80"/>
        <v>0</v>
      </c>
      <c r="P974" s="10">
        <f>IFERROR(SUMIFS('Base bordo CD'!M$2:M$875,'Base bordo CD'!D$2:D$875,A974,'Base bordo CD'!A$2:A$875,B974),0)</f>
        <v>0</v>
      </c>
      <c r="Q974" s="10">
        <f>IFERROR(SUMIFS('Base bordo CD'!O$2:O$875,'Base bordo CD'!D$2:D$875,A974,'Base bordo CD'!A$2:A$875,B974,'Base bordo CD'!L$2:L$875,"CORTE DE CANA MECANIZADO"),0)</f>
        <v>0</v>
      </c>
      <c r="R974" s="10">
        <f>IFERROR(SUMIFS('Base bordo CD'!Q$2:Q$875,'Base bordo CD'!D$2:D$875,A974,'Base bordo CD'!A$2:A$875,B974,'Base bordo CD'!L$2:L$875,"CORTE DE CANA MECANIZADO"),0)</f>
        <v>0</v>
      </c>
      <c r="S974" s="30" t="str">
        <f t="shared" si="81"/>
        <v/>
      </c>
      <c r="T974" s="9">
        <f t="shared" si="82"/>
        <v>0</v>
      </c>
      <c r="U974" s="9">
        <f t="shared" si="83"/>
        <v>0</v>
      </c>
      <c r="V974" s="9">
        <f t="shared" si="84"/>
        <v>0</v>
      </c>
    </row>
    <row r="975" spans="1:22" x14ac:dyDescent="0.35">
      <c r="A975" s="52">
        <v>49587</v>
      </c>
      <c r="B975" s="31">
        <v>46117</v>
      </c>
      <c r="C975" s="7" t="s">
        <v>337</v>
      </c>
      <c r="D975" s="7">
        <v>353</v>
      </c>
      <c r="E975" s="10">
        <f>IFERROR(SUMIFS('Base bordo CD'!M$2:M$875,'Base bordo CD'!D$2:D$875,A975,'Base bordo CD'!A$2:A$875,B975,'Base bordo CD'!L$2:L$875,"CORTE DE CANA MECANIZADO"),0)</f>
        <v>0</v>
      </c>
      <c r="F975" s="10">
        <f>IFERROR(SUMIFS('Base bordo CD'!M$2:M$875,'Base bordo CD'!D$2:D$875,A975,'Base bordo CD'!A$2:A$875,B975,'Base bordo CD'!L$2:L$875,"MANOBRA"),0)</f>
        <v>0</v>
      </c>
      <c r="G975" s="10">
        <f>IFERROR(SUMIFS('Base bordo CD'!M$2:M$875,'Base bordo CD'!D$2:D$875,A975,'Base bordo CD'!A$2:A$875,B975,'Base bordo CD'!L$2:L$875,"DESLOCAMENTO"),0)</f>
        <v>0</v>
      </c>
      <c r="H975" s="10">
        <f>IFERROR(SUMIFS('Base bordo CD'!M$2:M$875,'Base bordo CD'!D$2:D$875,A975,'Base bordo CD'!A$2:A$875,B975,'Base bordo CD'!L$2:L$875,"AGUARDANDO MANOBRA DE TRANSBORDO"),0)+IFERROR(SUMIFS('Base bordo CD'!M$2:M$875,'Base bordo CD'!D$2:D$875,A975,'Base bordo CD'!A$2:A$875,B975,'Base bordo CD'!L$2:L$875,"FALTA DE TRANSBORDO"),0)</f>
        <v>0</v>
      </c>
      <c r="I975" s="10">
        <f>IFERROR(SUMIFS('Base bordo CD'!M$2:M$875,'Base bordo CD'!D$2:D$875,A975,'Base bordo CD'!A$2:A$875,B975,'Base bordo CD'!L$2:L$875,"PARADA POR CONDICOES CLIMATICAS"),0)+IFERROR(SUMIFS('Base bordo CD'!M$2:M$875,'Base bordo CD'!D$2:D$875,A975,'Base bordo CD'!A$2:A$875,B975,'Base bordo CD'!L$2:L$875,"TEMPO INDETERMINADO"),0)</f>
        <v>0</v>
      </c>
      <c r="J975" s="10">
        <f>IFERROR(SUMIFS('Base bordo CD'!M$2:M$875,'Base bordo CD'!D$2:D$875,A975,'Base bordo CD'!A$2:A$875,B975,'Base bordo CD'!L$2:L$875,"LIMITAÇÃO INDÚSTRIA"),0)</f>
        <v>0</v>
      </c>
      <c r="K975" s="10">
        <f>IFERROR(SUMIFS('Base bordo CD'!M$2:M$875,'Base bordo CD'!D$2:D$875,A975,'Base bordo CD'!A$2:A$875,B975,'Base bordo CD'!L$2:L$875,"MAN CORRETIVA*"),0)+IFERROR(SUMIFS('Base bordo CD'!M$2:M$875,'Base bordo CD'!D$2:D$875,A975,'Base bordo CD'!A$2:A$875,B975,'Base bordo CD'!L$2:L$875,"AGUARDANDO MANUTENCAO*"),0)+IFERROR(SUMIFS('Base bordo CD'!M$2:M$875,'Base bordo CD'!D$2:D$875,A975,'Base bordo CD'!A$2:A$875,B975,'Base bordo CD'!L$2:L$875,"TROCA DE FAQUINHA"),0)+IFERROR(SUMIFS('Base bordo CD'!M$2:M$875,'Base bordo CD'!D$2:D$875,A975,'Base bordo CD'!A$2:A$875,B975,'Base bordo CD'!L$2:L$875,"LIMPEZA*"),0)</f>
        <v>0</v>
      </c>
      <c r="L975" s="10">
        <f>IFERROR(SUMIFS('Base bordo CD'!M$2:M$875,'Base bordo CD'!D$2:D$875,A975,'Base bordo CD'!A$2:A$875,B975,'Base bordo CD'!L$2:L$875,"PATIO - RESERVA"),0)</f>
        <v>0</v>
      </c>
      <c r="M975" s="10">
        <f>IFERROR(SUMIFS('Base bordo CD'!M$2:M$875,'Base bordo CD'!D$2:D$875,A975,'Base bordo CD'!A$2:A$875,B975,'Base bordo CD'!L$2:L$875,"SEM APONTAMENTO"),0)</f>
        <v>0</v>
      </c>
      <c r="N975" s="10">
        <f>IFERROR(SUMIFS('Base bordo CD'!M$2:M$875,'Base bordo CD'!D$2:D$875,A975,'Base bordo CD'!A$2:A$875,B975,'Base bordo CD'!L$2:L$875,"FALTA DE CAMINHÃO"),0)+IFERROR(SUMIFS('Base bordo CD'!M$2:M$875,'Base bordo CD'!D$2:D$875,A975,'Base bordo CD'!A$2:A$875,B975,'Base bordo CD'!L$2:L$875,"FALTA DE COMBUSTIVEL"),0)+IFERROR(SUMIFS('Base bordo CD'!M$2:M$875,'Base bordo CD'!D$2:D$875,A975,'Base bordo CD'!A$2:A$875,B975,'Base bordo CD'!L$2:L$875,"FALTA DE MOTORIST*"),0)</f>
        <v>0</v>
      </c>
      <c r="O975" s="10">
        <f t="shared" si="80"/>
        <v>0</v>
      </c>
      <c r="P975" s="10">
        <f>IFERROR(SUMIFS('Base bordo CD'!M$2:M$875,'Base bordo CD'!D$2:D$875,A975,'Base bordo CD'!A$2:A$875,B975),0)</f>
        <v>0</v>
      </c>
      <c r="Q975" s="10">
        <f>IFERROR(SUMIFS('Base bordo CD'!O$2:O$875,'Base bordo CD'!D$2:D$875,A975,'Base bordo CD'!A$2:A$875,B975,'Base bordo CD'!L$2:L$875,"CORTE DE CANA MECANIZADO"),0)</f>
        <v>0</v>
      </c>
      <c r="R975" s="10">
        <f>IFERROR(SUMIFS('Base bordo CD'!Q$2:Q$875,'Base bordo CD'!D$2:D$875,A975,'Base bordo CD'!A$2:A$875,B975,'Base bordo CD'!L$2:L$875,"CORTE DE CANA MECANIZADO"),0)</f>
        <v>0</v>
      </c>
      <c r="S975" s="30" t="str">
        <f t="shared" si="81"/>
        <v/>
      </c>
      <c r="T975" s="9">
        <f t="shared" si="82"/>
        <v>0</v>
      </c>
      <c r="U975" s="9">
        <f t="shared" si="83"/>
        <v>0</v>
      </c>
      <c r="V975" s="9">
        <f t="shared" si="84"/>
        <v>0</v>
      </c>
    </row>
    <row r="976" spans="1:22" x14ac:dyDescent="0.35">
      <c r="A976" s="52">
        <v>49587</v>
      </c>
      <c r="B976" s="31">
        <v>46117</v>
      </c>
      <c r="C976" s="7" t="s">
        <v>337</v>
      </c>
      <c r="D976" s="7">
        <v>353</v>
      </c>
      <c r="E976" s="10">
        <f>IFERROR(SUMIFS('Base bordo CD'!M$2:M$875,'Base bordo CD'!D$2:D$875,A976,'Base bordo CD'!A$2:A$875,B976,'Base bordo CD'!L$2:L$875,"CORTE DE CANA MECANIZADO"),0)</f>
        <v>0</v>
      </c>
      <c r="F976" s="10">
        <f>IFERROR(SUMIFS('Base bordo CD'!M$2:M$875,'Base bordo CD'!D$2:D$875,A976,'Base bordo CD'!A$2:A$875,B976,'Base bordo CD'!L$2:L$875,"MANOBRA"),0)</f>
        <v>0</v>
      </c>
      <c r="G976" s="10">
        <f>IFERROR(SUMIFS('Base bordo CD'!M$2:M$875,'Base bordo CD'!D$2:D$875,A976,'Base bordo CD'!A$2:A$875,B976,'Base bordo CD'!L$2:L$875,"DESLOCAMENTO"),0)</f>
        <v>0</v>
      </c>
      <c r="H976" s="10">
        <f>IFERROR(SUMIFS('Base bordo CD'!M$2:M$875,'Base bordo CD'!D$2:D$875,A976,'Base bordo CD'!A$2:A$875,B976,'Base bordo CD'!L$2:L$875,"AGUARDANDO MANOBRA DE TRANSBORDO"),0)+IFERROR(SUMIFS('Base bordo CD'!M$2:M$875,'Base bordo CD'!D$2:D$875,A976,'Base bordo CD'!A$2:A$875,B976,'Base bordo CD'!L$2:L$875,"FALTA DE TRANSBORDO"),0)</f>
        <v>0</v>
      </c>
      <c r="I976" s="10">
        <f>IFERROR(SUMIFS('Base bordo CD'!M$2:M$875,'Base bordo CD'!D$2:D$875,A976,'Base bordo CD'!A$2:A$875,B976,'Base bordo CD'!L$2:L$875,"PARADA POR CONDICOES CLIMATICAS"),0)+IFERROR(SUMIFS('Base bordo CD'!M$2:M$875,'Base bordo CD'!D$2:D$875,A976,'Base bordo CD'!A$2:A$875,B976,'Base bordo CD'!L$2:L$875,"TEMPO INDETERMINADO"),0)</f>
        <v>0</v>
      </c>
      <c r="J976" s="10">
        <f>IFERROR(SUMIFS('Base bordo CD'!M$2:M$875,'Base bordo CD'!D$2:D$875,A976,'Base bordo CD'!A$2:A$875,B976,'Base bordo CD'!L$2:L$875,"LIMITAÇÃO INDÚSTRIA"),0)</f>
        <v>0</v>
      </c>
      <c r="K976" s="10">
        <f>IFERROR(SUMIFS('Base bordo CD'!M$2:M$875,'Base bordo CD'!D$2:D$875,A976,'Base bordo CD'!A$2:A$875,B976,'Base bordo CD'!L$2:L$875,"MAN CORRETIVA*"),0)+IFERROR(SUMIFS('Base bordo CD'!M$2:M$875,'Base bordo CD'!D$2:D$875,A976,'Base bordo CD'!A$2:A$875,B976,'Base bordo CD'!L$2:L$875,"AGUARDANDO MANUTENCAO*"),0)+IFERROR(SUMIFS('Base bordo CD'!M$2:M$875,'Base bordo CD'!D$2:D$875,A976,'Base bordo CD'!A$2:A$875,B976,'Base bordo CD'!L$2:L$875,"TROCA DE FAQUINHA"),0)+IFERROR(SUMIFS('Base bordo CD'!M$2:M$875,'Base bordo CD'!D$2:D$875,A976,'Base bordo CD'!A$2:A$875,B976,'Base bordo CD'!L$2:L$875,"LIMPEZA*"),0)</f>
        <v>0</v>
      </c>
      <c r="L976" s="10">
        <f>IFERROR(SUMIFS('Base bordo CD'!M$2:M$875,'Base bordo CD'!D$2:D$875,A976,'Base bordo CD'!A$2:A$875,B976,'Base bordo CD'!L$2:L$875,"PATIO - RESERVA"),0)</f>
        <v>0</v>
      </c>
      <c r="M976" s="10">
        <f>IFERROR(SUMIFS('Base bordo CD'!M$2:M$875,'Base bordo CD'!D$2:D$875,A976,'Base bordo CD'!A$2:A$875,B976,'Base bordo CD'!L$2:L$875,"SEM APONTAMENTO"),0)</f>
        <v>0</v>
      </c>
      <c r="N976" s="10">
        <f>IFERROR(SUMIFS('Base bordo CD'!M$2:M$875,'Base bordo CD'!D$2:D$875,A976,'Base bordo CD'!A$2:A$875,B976,'Base bordo CD'!L$2:L$875,"FALTA DE CAMINHÃO"),0)+IFERROR(SUMIFS('Base bordo CD'!M$2:M$875,'Base bordo CD'!D$2:D$875,A976,'Base bordo CD'!A$2:A$875,B976,'Base bordo CD'!L$2:L$875,"FALTA DE COMBUSTIVEL"),0)+IFERROR(SUMIFS('Base bordo CD'!M$2:M$875,'Base bordo CD'!D$2:D$875,A976,'Base bordo CD'!A$2:A$875,B976,'Base bordo CD'!L$2:L$875,"FALTA DE MOTORIST*"),0)</f>
        <v>0</v>
      </c>
      <c r="O976" s="10">
        <f t="shared" si="80"/>
        <v>0</v>
      </c>
      <c r="P976" s="10">
        <f>IFERROR(SUMIFS('Base bordo CD'!M$2:M$875,'Base bordo CD'!D$2:D$875,A976,'Base bordo CD'!A$2:A$875,B976),0)</f>
        <v>0</v>
      </c>
      <c r="Q976" s="10">
        <f>IFERROR(SUMIFS('Base bordo CD'!O$2:O$875,'Base bordo CD'!D$2:D$875,A976,'Base bordo CD'!A$2:A$875,B976,'Base bordo CD'!L$2:L$875,"CORTE DE CANA MECANIZADO"),0)</f>
        <v>0</v>
      </c>
      <c r="R976" s="10">
        <f>IFERROR(SUMIFS('Base bordo CD'!Q$2:Q$875,'Base bordo CD'!D$2:D$875,A976,'Base bordo CD'!A$2:A$875,B976,'Base bordo CD'!L$2:L$875,"CORTE DE CANA MECANIZADO"),0)</f>
        <v>0</v>
      </c>
      <c r="S976" s="30" t="str">
        <f t="shared" si="81"/>
        <v/>
      </c>
      <c r="T976" s="9">
        <f t="shared" si="82"/>
        <v>0</v>
      </c>
      <c r="U976" s="9">
        <f t="shared" si="83"/>
        <v>0</v>
      </c>
      <c r="V976" s="9">
        <f t="shared" si="84"/>
        <v>0</v>
      </c>
    </row>
    <row r="977" spans="1:22" x14ac:dyDescent="0.35">
      <c r="A977" s="52">
        <v>49587</v>
      </c>
      <c r="B977" s="31">
        <v>46117</v>
      </c>
      <c r="C977" s="7" t="s">
        <v>337</v>
      </c>
      <c r="D977" s="7">
        <v>353</v>
      </c>
      <c r="E977" s="10">
        <f>IFERROR(SUMIFS('Base bordo CD'!M$2:M$875,'Base bordo CD'!D$2:D$875,A977,'Base bordo CD'!A$2:A$875,B977,'Base bordo CD'!L$2:L$875,"CORTE DE CANA MECANIZADO"),0)</f>
        <v>0</v>
      </c>
      <c r="F977" s="10">
        <f>IFERROR(SUMIFS('Base bordo CD'!M$2:M$875,'Base bordo CD'!D$2:D$875,A977,'Base bordo CD'!A$2:A$875,B977,'Base bordo CD'!L$2:L$875,"MANOBRA"),0)</f>
        <v>0</v>
      </c>
      <c r="G977" s="10">
        <f>IFERROR(SUMIFS('Base bordo CD'!M$2:M$875,'Base bordo CD'!D$2:D$875,A977,'Base bordo CD'!A$2:A$875,B977,'Base bordo CD'!L$2:L$875,"DESLOCAMENTO"),0)</f>
        <v>0</v>
      </c>
      <c r="H977" s="10">
        <f>IFERROR(SUMIFS('Base bordo CD'!M$2:M$875,'Base bordo CD'!D$2:D$875,A977,'Base bordo CD'!A$2:A$875,B977,'Base bordo CD'!L$2:L$875,"AGUARDANDO MANOBRA DE TRANSBORDO"),0)+IFERROR(SUMIFS('Base bordo CD'!M$2:M$875,'Base bordo CD'!D$2:D$875,A977,'Base bordo CD'!A$2:A$875,B977,'Base bordo CD'!L$2:L$875,"FALTA DE TRANSBORDO"),0)</f>
        <v>0</v>
      </c>
      <c r="I977" s="10">
        <f>IFERROR(SUMIFS('Base bordo CD'!M$2:M$875,'Base bordo CD'!D$2:D$875,A977,'Base bordo CD'!A$2:A$875,B977,'Base bordo CD'!L$2:L$875,"PARADA POR CONDICOES CLIMATICAS"),0)+IFERROR(SUMIFS('Base bordo CD'!M$2:M$875,'Base bordo CD'!D$2:D$875,A977,'Base bordo CD'!A$2:A$875,B977,'Base bordo CD'!L$2:L$875,"TEMPO INDETERMINADO"),0)</f>
        <v>0</v>
      </c>
      <c r="J977" s="10">
        <f>IFERROR(SUMIFS('Base bordo CD'!M$2:M$875,'Base bordo CD'!D$2:D$875,A977,'Base bordo CD'!A$2:A$875,B977,'Base bordo CD'!L$2:L$875,"LIMITAÇÃO INDÚSTRIA"),0)</f>
        <v>0</v>
      </c>
      <c r="K977" s="10">
        <f>IFERROR(SUMIFS('Base bordo CD'!M$2:M$875,'Base bordo CD'!D$2:D$875,A977,'Base bordo CD'!A$2:A$875,B977,'Base bordo CD'!L$2:L$875,"MAN CORRETIVA*"),0)+IFERROR(SUMIFS('Base bordo CD'!M$2:M$875,'Base bordo CD'!D$2:D$875,A977,'Base bordo CD'!A$2:A$875,B977,'Base bordo CD'!L$2:L$875,"AGUARDANDO MANUTENCAO*"),0)+IFERROR(SUMIFS('Base bordo CD'!M$2:M$875,'Base bordo CD'!D$2:D$875,A977,'Base bordo CD'!A$2:A$875,B977,'Base bordo CD'!L$2:L$875,"TROCA DE FAQUINHA"),0)+IFERROR(SUMIFS('Base bordo CD'!M$2:M$875,'Base bordo CD'!D$2:D$875,A977,'Base bordo CD'!A$2:A$875,B977,'Base bordo CD'!L$2:L$875,"LIMPEZA*"),0)</f>
        <v>0</v>
      </c>
      <c r="L977" s="10">
        <f>IFERROR(SUMIFS('Base bordo CD'!M$2:M$875,'Base bordo CD'!D$2:D$875,A977,'Base bordo CD'!A$2:A$875,B977,'Base bordo CD'!L$2:L$875,"PATIO - RESERVA"),0)</f>
        <v>0</v>
      </c>
      <c r="M977" s="10">
        <f>IFERROR(SUMIFS('Base bordo CD'!M$2:M$875,'Base bordo CD'!D$2:D$875,A977,'Base bordo CD'!A$2:A$875,B977,'Base bordo CD'!L$2:L$875,"SEM APONTAMENTO"),0)</f>
        <v>0</v>
      </c>
      <c r="N977" s="10">
        <f>IFERROR(SUMIFS('Base bordo CD'!M$2:M$875,'Base bordo CD'!D$2:D$875,A977,'Base bordo CD'!A$2:A$875,B977,'Base bordo CD'!L$2:L$875,"FALTA DE CAMINHÃO"),0)+IFERROR(SUMIFS('Base bordo CD'!M$2:M$875,'Base bordo CD'!D$2:D$875,A977,'Base bordo CD'!A$2:A$875,B977,'Base bordo CD'!L$2:L$875,"FALTA DE COMBUSTIVEL"),0)+IFERROR(SUMIFS('Base bordo CD'!M$2:M$875,'Base bordo CD'!D$2:D$875,A977,'Base bordo CD'!A$2:A$875,B977,'Base bordo CD'!L$2:L$875,"FALTA DE MOTORIST*"),0)</f>
        <v>0</v>
      </c>
      <c r="O977" s="10">
        <f t="shared" si="80"/>
        <v>0</v>
      </c>
      <c r="P977" s="10">
        <f>IFERROR(SUMIFS('Base bordo CD'!M$2:M$875,'Base bordo CD'!D$2:D$875,A977,'Base bordo CD'!A$2:A$875,B977),0)</f>
        <v>0</v>
      </c>
      <c r="Q977" s="10">
        <f>IFERROR(SUMIFS('Base bordo CD'!O$2:O$875,'Base bordo CD'!D$2:D$875,A977,'Base bordo CD'!A$2:A$875,B977,'Base bordo CD'!L$2:L$875,"CORTE DE CANA MECANIZADO"),0)</f>
        <v>0</v>
      </c>
      <c r="R977" s="10">
        <f>IFERROR(SUMIFS('Base bordo CD'!Q$2:Q$875,'Base bordo CD'!D$2:D$875,A977,'Base bordo CD'!A$2:A$875,B977,'Base bordo CD'!L$2:L$875,"CORTE DE CANA MECANIZADO"),0)</f>
        <v>0</v>
      </c>
      <c r="S977" s="30" t="str">
        <f t="shared" si="81"/>
        <v/>
      </c>
      <c r="T977" s="9">
        <f t="shared" si="82"/>
        <v>0</v>
      </c>
      <c r="U977" s="9">
        <f t="shared" si="83"/>
        <v>0</v>
      </c>
      <c r="V977" s="9">
        <f t="shared" si="84"/>
        <v>0</v>
      </c>
    </row>
    <row r="978" spans="1:22" x14ac:dyDescent="0.35">
      <c r="A978" s="52">
        <v>49587</v>
      </c>
      <c r="B978" s="31">
        <v>46117</v>
      </c>
      <c r="C978" s="7" t="s">
        <v>337</v>
      </c>
      <c r="D978" s="7">
        <v>353</v>
      </c>
      <c r="E978" s="10">
        <f>IFERROR(SUMIFS('Base bordo CD'!M$2:M$875,'Base bordo CD'!D$2:D$875,A978,'Base bordo CD'!A$2:A$875,B978,'Base bordo CD'!L$2:L$875,"CORTE DE CANA MECANIZADO"),0)</f>
        <v>0</v>
      </c>
      <c r="F978" s="10">
        <f>IFERROR(SUMIFS('Base bordo CD'!M$2:M$875,'Base bordo CD'!D$2:D$875,A978,'Base bordo CD'!A$2:A$875,B978,'Base bordo CD'!L$2:L$875,"MANOBRA"),0)</f>
        <v>0</v>
      </c>
      <c r="G978" s="10">
        <f>IFERROR(SUMIFS('Base bordo CD'!M$2:M$875,'Base bordo CD'!D$2:D$875,A978,'Base bordo CD'!A$2:A$875,B978,'Base bordo CD'!L$2:L$875,"DESLOCAMENTO"),0)</f>
        <v>0</v>
      </c>
      <c r="H978" s="10">
        <f>IFERROR(SUMIFS('Base bordo CD'!M$2:M$875,'Base bordo CD'!D$2:D$875,A978,'Base bordo CD'!A$2:A$875,B978,'Base bordo CD'!L$2:L$875,"AGUARDANDO MANOBRA DE TRANSBORDO"),0)+IFERROR(SUMIFS('Base bordo CD'!M$2:M$875,'Base bordo CD'!D$2:D$875,A978,'Base bordo CD'!A$2:A$875,B978,'Base bordo CD'!L$2:L$875,"FALTA DE TRANSBORDO"),0)</f>
        <v>0</v>
      </c>
      <c r="I978" s="10">
        <f>IFERROR(SUMIFS('Base bordo CD'!M$2:M$875,'Base bordo CD'!D$2:D$875,A978,'Base bordo CD'!A$2:A$875,B978,'Base bordo CD'!L$2:L$875,"PARADA POR CONDICOES CLIMATICAS"),0)+IFERROR(SUMIFS('Base bordo CD'!M$2:M$875,'Base bordo CD'!D$2:D$875,A978,'Base bordo CD'!A$2:A$875,B978,'Base bordo CD'!L$2:L$875,"TEMPO INDETERMINADO"),0)</f>
        <v>0</v>
      </c>
      <c r="J978" s="10">
        <f>IFERROR(SUMIFS('Base bordo CD'!M$2:M$875,'Base bordo CD'!D$2:D$875,A978,'Base bordo CD'!A$2:A$875,B978,'Base bordo CD'!L$2:L$875,"LIMITAÇÃO INDÚSTRIA"),0)</f>
        <v>0</v>
      </c>
      <c r="K978" s="10">
        <f>IFERROR(SUMIFS('Base bordo CD'!M$2:M$875,'Base bordo CD'!D$2:D$875,A978,'Base bordo CD'!A$2:A$875,B978,'Base bordo CD'!L$2:L$875,"MAN CORRETIVA*"),0)+IFERROR(SUMIFS('Base bordo CD'!M$2:M$875,'Base bordo CD'!D$2:D$875,A978,'Base bordo CD'!A$2:A$875,B978,'Base bordo CD'!L$2:L$875,"AGUARDANDO MANUTENCAO*"),0)+IFERROR(SUMIFS('Base bordo CD'!M$2:M$875,'Base bordo CD'!D$2:D$875,A978,'Base bordo CD'!A$2:A$875,B978,'Base bordo CD'!L$2:L$875,"TROCA DE FAQUINHA"),0)+IFERROR(SUMIFS('Base bordo CD'!M$2:M$875,'Base bordo CD'!D$2:D$875,A978,'Base bordo CD'!A$2:A$875,B978,'Base bordo CD'!L$2:L$875,"LIMPEZA*"),0)</f>
        <v>0</v>
      </c>
      <c r="L978" s="10">
        <f>IFERROR(SUMIFS('Base bordo CD'!M$2:M$875,'Base bordo CD'!D$2:D$875,A978,'Base bordo CD'!A$2:A$875,B978,'Base bordo CD'!L$2:L$875,"PATIO - RESERVA"),0)</f>
        <v>0</v>
      </c>
      <c r="M978" s="10">
        <f>IFERROR(SUMIFS('Base bordo CD'!M$2:M$875,'Base bordo CD'!D$2:D$875,A978,'Base bordo CD'!A$2:A$875,B978,'Base bordo CD'!L$2:L$875,"SEM APONTAMENTO"),0)</f>
        <v>0</v>
      </c>
      <c r="N978" s="10">
        <f>IFERROR(SUMIFS('Base bordo CD'!M$2:M$875,'Base bordo CD'!D$2:D$875,A978,'Base bordo CD'!A$2:A$875,B978,'Base bordo CD'!L$2:L$875,"FALTA DE CAMINHÃO"),0)+IFERROR(SUMIFS('Base bordo CD'!M$2:M$875,'Base bordo CD'!D$2:D$875,A978,'Base bordo CD'!A$2:A$875,B978,'Base bordo CD'!L$2:L$875,"FALTA DE COMBUSTIVEL"),0)+IFERROR(SUMIFS('Base bordo CD'!M$2:M$875,'Base bordo CD'!D$2:D$875,A978,'Base bordo CD'!A$2:A$875,B978,'Base bordo CD'!L$2:L$875,"FALTA DE MOTORIST*"),0)</f>
        <v>0</v>
      </c>
      <c r="O978" s="10">
        <f t="shared" si="80"/>
        <v>0</v>
      </c>
      <c r="P978" s="10">
        <f>IFERROR(SUMIFS('Base bordo CD'!M$2:M$875,'Base bordo CD'!D$2:D$875,A978,'Base bordo CD'!A$2:A$875,B978),0)</f>
        <v>0</v>
      </c>
      <c r="Q978" s="10">
        <f>IFERROR(SUMIFS('Base bordo CD'!O$2:O$875,'Base bordo CD'!D$2:D$875,A978,'Base bordo CD'!A$2:A$875,B978,'Base bordo CD'!L$2:L$875,"CORTE DE CANA MECANIZADO"),0)</f>
        <v>0</v>
      </c>
      <c r="R978" s="10">
        <f>IFERROR(SUMIFS('Base bordo CD'!Q$2:Q$875,'Base bordo CD'!D$2:D$875,A978,'Base bordo CD'!A$2:A$875,B978,'Base bordo CD'!L$2:L$875,"CORTE DE CANA MECANIZADO"),0)</f>
        <v>0</v>
      </c>
      <c r="S978" s="30" t="str">
        <f t="shared" si="81"/>
        <v/>
      </c>
      <c r="T978" s="9">
        <f t="shared" si="82"/>
        <v>0</v>
      </c>
      <c r="U978" s="9">
        <f t="shared" si="83"/>
        <v>0</v>
      </c>
      <c r="V978" s="9">
        <f t="shared" si="84"/>
        <v>0</v>
      </c>
    </row>
    <row r="979" spans="1:22" x14ac:dyDescent="0.35">
      <c r="A979" s="52">
        <v>49587</v>
      </c>
      <c r="B979" s="31">
        <v>46117</v>
      </c>
      <c r="C979" s="7" t="s">
        <v>337</v>
      </c>
      <c r="D979" s="7">
        <v>353</v>
      </c>
      <c r="E979" s="10">
        <f>IFERROR(SUMIFS('Base bordo CD'!M$2:M$875,'Base bordo CD'!D$2:D$875,A979,'Base bordo CD'!A$2:A$875,B979,'Base bordo CD'!L$2:L$875,"CORTE DE CANA MECANIZADO"),0)</f>
        <v>0</v>
      </c>
      <c r="F979" s="10">
        <f>IFERROR(SUMIFS('Base bordo CD'!M$2:M$875,'Base bordo CD'!D$2:D$875,A979,'Base bordo CD'!A$2:A$875,B979,'Base bordo CD'!L$2:L$875,"MANOBRA"),0)</f>
        <v>0</v>
      </c>
      <c r="G979" s="10">
        <f>IFERROR(SUMIFS('Base bordo CD'!M$2:M$875,'Base bordo CD'!D$2:D$875,A979,'Base bordo CD'!A$2:A$875,B979,'Base bordo CD'!L$2:L$875,"DESLOCAMENTO"),0)</f>
        <v>0</v>
      </c>
      <c r="H979" s="10">
        <f>IFERROR(SUMIFS('Base bordo CD'!M$2:M$875,'Base bordo CD'!D$2:D$875,A979,'Base bordo CD'!A$2:A$875,B979,'Base bordo CD'!L$2:L$875,"AGUARDANDO MANOBRA DE TRANSBORDO"),0)+IFERROR(SUMIFS('Base bordo CD'!M$2:M$875,'Base bordo CD'!D$2:D$875,A979,'Base bordo CD'!A$2:A$875,B979,'Base bordo CD'!L$2:L$875,"FALTA DE TRANSBORDO"),0)</f>
        <v>0</v>
      </c>
      <c r="I979" s="10">
        <f>IFERROR(SUMIFS('Base bordo CD'!M$2:M$875,'Base bordo CD'!D$2:D$875,A979,'Base bordo CD'!A$2:A$875,B979,'Base bordo CD'!L$2:L$875,"PARADA POR CONDICOES CLIMATICAS"),0)+IFERROR(SUMIFS('Base bordo CD'!M$2:M$875,'Base bordo CD'!D$2:D$875,A979,'Base bordo CD'!A$2:A$875,B979,'Base bordo CD'!L$2:L$875,"TEMPO INDETERMINADO"),0)</f>
        <v>0</v>
      </c>
      <c r="J979" s="10">
        <f>IFERROR(SUMIFS('Base bordo CD'!M$2:M$875,'Base bordo CD'!D$2:D$875,A979,'Base bordo CD'!A$2:A$875,B979,'Base bordo CD'!L$2:L$875,"LIMITAÇÃO INDÚSTRIA"),0)</f>
        <v>0</v>
      </c>
      <c r="K979" s="10">
        <f>IFERROR(SUMIFS('Base bordo CD'!M$2:M$875,'Base bordo CD'!D$2:D$875,A979,'Base bordo CD'!A$2:A$875,B979,'Base bordo CD'!L$2:L$875,"MAN CORRETIVA*"),0)+IFERROR(SUMIFS('Base bordo CD'!M$2:M$875,'Base bordo CD'!D$2:D$875,A979,'Base bordo CD'!A$2:A$875,B979,'Base bordo CD'!L$2:L$875,"AGUARDANDO MANUTENCAO*"),0)+IFERROR(SUMIFS('Base bordo CD'!M$2:M$875,'Base bordo CD'!D$2:D$875,A979,'Base bordo CD'!A$2:A$875,B979,'Base bordo CD'!L$2:L$875,"TROCA DE FAQUINHA"),0)+IFERROR(SUMIFS('Base bordo CD'!M$2:M$875,'Base bordo CD'!D$2:D$875,A979,'Base bordo CD'!A$2:A$875,B979,'Base bordo CD'!L$2:L$875,"LIMPEZA*"),0)</f>
        <v>0</v>
      </c>
      <c r="L979" s="10">
        <f>IFERROR(SUMIFS('Base bordo CD'!M$2:M$875,'Base bordo CD'!D$2:D$875,A979,'Base bordo CD'!A$2:A$875,B979,'Base bordo CD'!L$2:L$875,"PATIO - RESERVA"),0)</f>
        <v>0</v>
      </c>
      <c r="M979" s="10">
        <f>IFERROR(SUMIFS('Base bordo CD'!M$2:M$875,'Base bordo CD'!D$2:D$875,A979,'Base bordo CD'!A$2:A$875,B979,'Base bordo CD'!L$2:L$875,"SEM APONTAMENTO"),0)</f>
        <v>0</v>
      </c>
      <c r="N979" s="10">
        <f>IFERROR(SUMIFS('Base bordo CD'!M$2:M$875,'Base bordo CD'!D$2:D$875,A979,'Base bordo CD'!A$2:A$875,B979,'Base bordo CD'!L$2:L$875,"FALTA DE CAMINHÃO"),0)+IFERROR(SUMIFS('Base bordo CD'!M$2:M$875,'Base bordo CD'!D$2:D$875,A979,'Base bordo CD'!A$2:A$875,B979,'Base bordo CD'!L$2:L$875,"FALTA DE COMBUSTIVEL"),0)+IFERROR(SUMIFS('Base bordo CD'!M$2:M$875,'Base bordo CD'!D$2:D$875,A979,'Base bordo CD'!A$2:A$875,B979,'Base bordo CD'!L$2:L$875,"FALTA DE MOTORIST*"),0)</f>
        <v>0</v>
      </c>
      <c r="O979" s="10">
        <f t="shared" si="80"/>
        <v>0</v>
      </c>
      <c r="P979" s="10">
        <f>IFERROR(SUMIFS('Base bordo CD'!M$2:M$875,'Base bordo CD'!D$2:D$875,A979,'Base bordo CD'!A$2:A$875,B979),0)</f>
        <v>0</v>
      </c>
      <c r="Q979" s="10">
        <f>IFERROR(SUMIFS('Base bordo CD'!O$2:O$875,'Base bordo CD'!D$2:D$875,A979,'Base bordo CD'!A$2:A$875,B979,'Base bordo CD'!L$2:L$875,"CORTE DE CANA MECANIZADO"),0)</f>
        <v>0</v>
      </c>
      <c r="R979" s="10">
        <f>IFERROR(SUMIFS('Base bordo CD'!Q$2:Q$875,'Base bordo CD'!D$2:D$875,A979,'Base bordo CD'!A$2:A$875,B979,'Base bordo CD'!L$2:L$875,"CORTE DE CANA MECANIZADO"),0)</f>
        <v>0</v>
      </c>
      <c r="S979" s="30" t="str">
        <f t="shared" si="81"/>
        <v/>
      </c>
      <c r="T979" s="9">
        <f t="shared" si="82"/>
        <v>0</v>
      </c>
      <c r="U979" s="9">
        <f t="shared" si="83"/>
        <v>0</v>
      </c>
      <c r="V979" s="9">
        <f t="shared" si="84"/>
        <v>0</v>
      </c>
    </row>
    <row r="980" spans="1:22" x14ac:dyDescent="0.35">
      <c r="A980" s="52">
        <v>49587</v>
      </c>
      <c r="B980" s="31">
        <v>46117</v>
      </c>
      <c r="C980" s="7" t="s">
        <v>337</v>
      </c>
      <c r="D980" s="7">
        <v>353</v>
      </c>
      <c r="E980" s="10">
        <f>IFERROR(SUMIFS('Base bordo CD'!M$2:M$875,'Base bordo CD'!D$2:D$875,A980,'Base bordo CD'!A$2:A$875,B980,'Base bordo CD'!L$2:L$875,"CORTE DE CANA MECANIZADO"),0)</f>
        <v>0</v>
      </c>
      <c r="F980" s="10">
        <f>IFERROR(SUMIFS('Base bordo CD'!M$2:M$875,'Base bordo CD'!D$2:D$875,A980,'Base bordo CD'!A$2:A$875,B980,'Base bordo CD'!L$2:L$875,"MANOBRA"),0)</f>
        <v>0</v>
      </c>
      <c r="G980" s="10">
        <f>IFERROR(SUMIFS('Base bordo CD'!M$2:M$875,'Base bordo CD'!D$2:D$875,A980,'Base bordo CD'!A$2:A$875,B980,'Base bordo CD'!L$2:L$875,"DESLOCAMENTO"),0)</f>
        <v>0</v>
      </c>
      <c r="H980" s="10">
        <f>IFERROR(SUMIFS('Base bordo CD'!M$2:M$875,'Base bordo CD'!D$2:D$875,A980,'Base bordo CD'!A$2:A$875,B980,'Base bordo CD'!L$2:L$875,"AGUARDANDO MANOBRA DE TRANSBORDO"),0)+IFERROR(SUMIFS('Base bordo CD'!M$2:M$875,'Base bordo CD'!D$2:D$875,A980,'Base bordo CD'!A$2:A$875,B980,'Base bordo CD'!L$2:L$875,"FALTA DE TRANSBORDO"),0)</f>
        <v>0</v>
      </c>
      <c r="I980" s="10">
        <f>IFERROR(SUMIFS('Base bordo CD'!M$2:M$875,'Base bordo CD'!D$2:D$875,A980,'Base bordo CD'!A$2:A$875,B980,'Base bordo CD'!L$2:L$875,"PARADA POR CONDICOES CLIMATICAS"),0)+IFERROR(SUMIFS('Base bordo CD'!M$2:M$875,'Base bordo CD'!D$2:D$875,A980,'Base bordo CD'!A$2:A$875,B980,'Base bordo CD'!L$2:L$875,"TEMPO INDETERMINADO"),0)</f>
        <v>0</v>
      </c>
      <c r="J980" s="10">
        <f>IFERROR(SUMIFS('Base bordo CD'!M$2:M$875,'Base bordo CD'!D$2:D$875,A980,'Base bordo CD'!A$2:A$875,B980,'Base bordo CD'!L$2:L$875,"LIMITAÇÃO INDÚSTRIA"),0)</f>
        <v>0</v>
      </c>
      <c r="K980" s="10">
        <f>IFERROR(SUMIFS('Base bordo CD'!M$2:M$875,'Base bordo CD'!D$2:D$875,A980,'Base bordo CD'!A$2:A$875,B980,'Base bordo CD'!L$2:L$875,"MAN CORRETIVA*"),0)+IFERROR(SUMIFS('Base bordo CD'!M$2:M$875,'Base bordo CD'!D$2:D$875,A980,'Base bordo CD'!A$2:A$875,B980,'Base bordo CD'!L$2:L$875,"AGUARDANDO MANUTENCAO*"),0)+IFERROR(SUMIFS('Base bordo CD'!M$2:M$875,'Base bordo CD'!D$2:D$875,A980,'Base bordo CD'!A$2:A$875,B980,'Base bordo CD'!L$2:L$875,"TROCA DE FAQUINHA"),0)+IFERROR(SUMIFS('Base bordo CD'!M$2:M$875,'Base bordo CD'!D$2:D$875,A980,'Base bordo CD'!A$2:A$875,B980,'Base bordo CD'!L$2:L$875,"LIMPEZA*"),0)</f>
        <v>0</v>
      </c>
      <c r="L980" s="10">
        <f>IFERROR(SUMIFS('Base bordo CD'!M$2:M$875,'Base bordo CD'!D$2:D$875,A980,'Base bordo CD'!A$2:A$875,B980,'Base bordo CD'!L$2:L$875,"PATIO - RESERVA"),0)</f>
        <v>0</v>
      </c>
      <c r="M980" s="10">
        <f>IFERROR(SUMIFS('Base bordo CD'!M$2:M$875,'Base bordo CD'!D$2:D$875,A980,'Base bordo CD'!A$2:A$875,B980,'Base bordo CD'!L$2:L$875,"SEM APONTAMENTO"),0)</f>
        <v>0</v>
      </c>
      <c r="N980" s="10">
        <f>IFERROR(SUMIFS('Base bordo CD'!M$2:M$875,'Base bordo CD'!D$2:D$875,A980,'Base bordo CD'!A$2:A$875,B980,'Base bordo CD'!L$2:L$875,"FALTA DE CAMINHÃO"),0)+IFERROR(SUMIFS('Base bordo CD'!M$2:M$875,'Base bordo CD'!D$2:D$875,A980,'Base bordo CD'!A$2:A$875,B980,'Base bordo CD'!L$2:L$875,"FALTA DE COMBUSTIVEL"),0)+IFERROR(SUMIFS('Base bordo CD'!M$2:M$875,'Base bordo CD'!D$2:D$875,A980,'Base bordo CD'!A$2:A$875,B980,'Base bordo CD'!L$2:L$875,"FALTA DE MOTORIST*"),0)</f>
        <v>0</v>
      </c>
      <c r="O980" s="10">
        <f t="shared" si="80"/>
        <v>0</v>
      </c>
      <c r="P980" s="10">
        <f>IFERROR(SUMIFS('Base bordo CD'!M$2:M$875,'Base bordo CD'!D$2:D$875,A980,'Base bordo CD'!A$2:A$875,B980),0)</f>
        <v>0</v>
      </c>
      <c r="Q980" s="10">
        <f>IFERROR(SUMIFS('Base bordo CD'!O$2:O$875,'Base bordo CD'!D$2:D$875,A980,'Base bordo CD'!A$2:A$875,B980,'Base bordo CD'!L$2:L$875,"CORTE DE CANA MECANIZADO"),0)</f>
        <v>0</v>
      </c>
      <c r="R980" s="10">
        <f>IFERROR(SUMIFS('Base bordo CD'!Q$2:Q$875,'Base bordo CD'!D$2:D$875,A980,'Base bordo CD'!A$2:A$875,B980,'Base bordo CD'!L$2:L$875,"CORTE DE CANA MECANIZADO"),0)</f>
        <v>0</v>
      </c>
      <c r="S980" s="30" t="str">
        <f t="shared" si="81"/>
        <v/>
      </c>
      <c r="T980" s="9">
        <f t="shared" si="82"/>
        <v>0</v>
      </c>
      <c r="U980" s="9">
        <f t="shared" si="83"/>
        <v>0</v>
      </c>
      <c r="V980" s="9">
        <f t="shared" si="84"/>
        <v>0</v>
      </c>
    </row>
    <row r="981" spans="1:22" x14ac:dyDescent="0.35">
      <c r="A981" s="52">
        <v>49587</v>
      </c>
      <c r="B981" s="31">
        <v>46117</v>
      </c>
      <c r="C981" s="7" t="s">
        <v>337</v>
      </c>
      <c r="D981" s="7">
        <v>353</v>
      </c>
      <c r="E981" s="10">
        <f>IFERROR(SUMIFS('Base bordo CD'!M$2:M$875,'Base bordo CD'!D$2:D$875,A981,'Base bordo CD'!A$2:A$875,B981,'Base bordo CD'!L$2:L$875,"CORTE DE CANA MECANIZADO"),0)</f>
        <v>0</v>
      </c>
      <c r="F981" s="10">
        <f>IFERROR(SUMIFS('Base bordo CD'!M$2:M$875,'Base bordo CD'!D$2:D$875,A981,'Base bordo CD'!A$2:A$875,B981,'Base bordo CD'!L$2:L$875,"MANOBRA"),0)</f>
        <v>0</v>
      </c>
      <c r="G981" s="10">
        <f>IFERROR(SUMIFS('Base bordo CD'!M$2:M$875,'Base bordo CD'!D$2:D$875,A981,'Base bordo CD'!A$2:A$875,B981,'Base bordo CD'!L$2:L$875,"DESLOCAMENTO"),0)</f>
        <v>0</v>
      </c>
      <c r="H981" s="10">
        <f>IFERROR(SUMIFS('Base bordo CD'!M$2:M$875,'Base bordo CD'!D$2:D$875,A981,'Base bordo CD'!A$2:A$875,B981,'Base bordo CD'!L$2:L$875,"AGUARDANDO MANOBRA DE TRANSBORDO"),0)+IFERROR(SUMIFS('Base bordo CD'!M$2:M$875,'Base bordo CD'!D$2:D$875,A981,'Base bordo CD'!A$2:A$875,B981,'Base bordo CD'!L$2:L$875,"FALTA DE TRANSBORDO"),0)</f>
        <v>0</v>
      </c>
      <c r="I981" s="10">
        <f>IFERROR(SUMIFS('Base bordo CD'!M$2:M$875,'Base bordo CD'!D$2:D$875,A981,'Base bordo CD'!A$2:A$875,B981,'Base bordo CD'!L$2:L$875,"PARADA POR CONDICOES CLIMATICAS"),0)+IFERROR(SUMIFS('Base bordo CD'!M$2:M$875,'Base bordo CD'!D$2:D$875,A981,'Base bordo CD'!A$2:A$875,B981,'Base bordo CD'!L$2:L$875,"TEMPO INDETERMINADO"),0)</f>
        <v>0</v>
      </c>
      <c r="J981" s="10">
        <f>IFERROR(SUMIFS('Base bordo CD'!M$2:M$875,'Base bordo CD'!D$2:D$875,A981,'Base bordo CD'!A$2:A$875,B981,'Base bordo CD'!L$2:L$875,"LIMITAÇÃO INDÚSTRIA"),0)</f>
        <v>0</v>
      </c>
      <c r="K981" s="10">
        <f>IFERROR(SUMIFS('Base bordo CD'!M$2:M$875,'Base bordo CD'!D$2:D$875,A981,'Base bordo CD'!A$2:A$875,B981,'Base bordo CD'!L$2:L$875,"MAN CORRETIVA*"),0)+IFERROR(SUMIFS('Base bordo CD'!M$2:M$875,'Base bordo CD'!D$2:D$875,A981,'Base bordo CD'!A$2:A$875,B981,'Base bordo CD'!L$2:L$875,"AGUARDANDO MANUTENCAO*"),0)+IFERROR(SUMIFS('Base bordo CD'!M$2:M$875,'Base bordo CD'!D$2:D$875,A981,'Base bordo CD'!A$2:A$875,B981,'Base bordo CD'!L$2:L$875,"TROCA DE FAQUINHA"),0)+IFERROR(SUMIFS('Base bordo CD'!M$2:M$875,'Base bordo CD'!D$2:D$875,A981,'Base bordo CD'!A$2:A$875,B981,'Base bordo CD'!L$2:L$875,"LIMPEZA*"),0)</f>
        <v>0</v>
      </c>
      <c r="L981" s="10">
        <f>IFERROR(SUMIFS('Base bordo CD'!M$2:M$875,'Base bordo CD'!D$2:D$875,A981,'Base bordo CD'!A$2:A$875,B981,'Base bordo CD'!L$2:L$875,"PATIO - RESERVA"),0)</f>
        <v>0</v>
      </c>
      <c r="M981" s="10">
        <f>IFERROR(SUMIFS('Base bordo CD'!M$2:M$875,'Base bordo CD'!D$2:D$875,A981,'Base bordo CD'!A$2:A$875,B981,'Base bordo CD'!L$2:L$875,"SEM APONTAMENTO"),0)</f>
        <v>0</v>
      </c>
      <c r="N981" s="10">
        <f>IFERROR(SUMIFS('Base bordo CD'!M$2:M$875,'Base bordo CD'!D$2:D$875,A981,'Base bordo CD'!A$2:A$875,B981,'Base bordo CD'!L$2:L$875,"FALTA DE CAMINHÃO"),0)+IFERROR(SUMIFS('Base bordo CD'!M$2:M$875,'Base bordo CD'!D$2:D$875,A981,'Base bordo CD'!A$2:A$875,B981,'Base bordo CD'!L$2:L$875,"FALTA DE COMBUSTIVEL"),0)+IFERROR(SUMIFS('Base bordo CD'!M$2:M$875,'Base bordo CD'!D$2:D$875,A981,'Base bordo CD'!A$2:A$875,B981,'Base bordo CD'!L$2:L$875,"FALTA DE MOTORIST*"),0)</f>
        <v>0</v>
      </c>
      <c r="O981" s="10">
        <f t="shared" si="80"/>
        <v>0</v>
      </c>
      <c r="P981" s="10">
        <f>IFERROR(SUMIFS('Base bordo CD'!M$2:M$875,'Base bordo CD'!D$2:D$875,A981,'Base bordo CD'!A$2:A$875,B981),0)</f>
        <v>0</v>
      </c>
      <c r="Q981" s="10">
        <f>IFERROR(SUMIFS('Base bordo CD'!O$2:O$875,'Base bordo CD'!D$2:D$875,A981,'Base bordo CD'!A$2:A$875,B981,'Base bordo CD'!L$2:L$875,"CORTE DE CANA MECANIZADO"),0)</f>
        <v>0</v>
      </c>
      <c r="R981" s="10">
        <f>IFERROR(SUMIFS('Base bordo CD'!Q$2:Q$875,'Base bordo CD'!D$2:D$875,A981,'Base bordo CD'!A$2:A$875,B981,'Base bordo CD'!L$2:L$875,"CORTE DE CANA MECANIZADO"),0)</f>
        <v>0</v>
      </c>
      <c r="S981" s="30" t="str">
        <f t="shared" si="81"/>
        <v/>
      </c>
      <c r="T981" s="9">
        <f t="shared" si="82"/>
        <v>0</v>
      </c>
      <c r="U981" s="9">
        <f t="shared" si="83"/>
        <v>0</v>
      </c>
      <c r="V981" s="9">
        <f t="shared" si="84"/>
        <v>0</v>
      </c>
    </row>
    <row r="982" spans="1:22" x14ac:dyDescent="0.35">
      <c r="A982" s="52">
        <v>49587</v>
      </c>
      <c r="B982" s="31">
        <v>46117</v>
      </c>
      <c r="C982" s="7" t="s">
        <v>337</v>
      </c>
      <c r="D982" s="7">
        <v>353</v>
      </c>
      <c r="E982" s="10">
        <f>IFERROR(SUMIFS('Base bordo CD'!M$2:M$875,'Base bordo CD'!D$2:D$875,A982,'Base bordo CD'!A$2:A$875,B982,'Base bordo CD'!L$2:L$875,"CORTE DE CANA MECANIZADO"),0)</f>
        <v>0</v>
      </c>
      <c r="F982" s="10">
        <f>IFERROR(SUMIFS('Base bordo CD'!M$2:M$875,'Base bordo CD'!D$2:D$875,A982,'Base bordo CD'!A$2:A$875,B982,'Base bordo CD'!L$2:L$875,"MANOBRA"),0)</f>
        <v>0</v>
      </c>
      <c r="G982" s="10">
        <f>IFERROR(SUMIFS('Base bordo CD'!M$2:M$875,'Base bordo CD'!D$2:D$875,A982,'Base bordo CD'!A$2:A$875,B982,'Base bordo CD'!L$2:L$875,"DESLOCAMENTO"),0)</f>
        <v>0</v>
      </c>
      <c r="H982" s="10">
        <f>IFERROR(SUMIFS('Base bordo CD'!M$2:M$875,'Base bordo CD'!D$2:D$875,A982,'Base bordo CD'!A$2:A$875,B982,'Base bordo CD'!L$2:L$875,"AGUARDANDO MANOBRA DE TRANSBORDO"),0)+IFERROR(SUMIFS('Base bordo CD'!M$2:M$875,'Base bordo CD'!D$2:D$875,A982,'Base bordo CD'!A$2:A$875,B982,'Base bordo CD'!L$2:L$875,"FALTA DE TRANSBORDO"),0)</f>
        <v>0</v>
      </c>
      <c r="I982" s="10">
        <f>IFERROR(SUMIFS('Base bordo CD'!M$2:M$875,'Base bordo CD'!D$2:D$875,A982,'Base bordo CD'!A$2:A$875,B982,'Base bordo CD'!L$2:L$875,"PARADA POR CONDICOES CLIMATICAS"),0)+IFERROR(SUMIFS('Base bordo CD'!M$2:M$875,'Base bordo CD'!D$2:D$875,A982,'Base bordo CD'!A$2:A$875,B982,'Base bordo CD'!L$2:L$875,"TEMPO INDETERMINADO"),0)</f>
        <v>0</v>
      </c>
      <c r="J982" s="10">
        <f>IFERROR(SUMIFS('Base bordo CD'!M$2:M$875,'Base bordo CD'!D$2:D$875,A982,'Base bordo CD'!A$2:A$875,B982,'Base bordo CD'!L$2:L$875,"LIMITAÇÃO INDÚSTRIA"),0)</f>
        <v>0</v>
      </c>
      <c r="K982" s="10">
        <f>IFERROR(SUMIFS('Base bordo CD'!M$2:M$875,'Base bordo CD'!D$2:D$875,A982,'Base bordo CD'!A$2:A$875,B982,'Base bordo CD'!L$2:L$875,"MAN CORRETIVA*"),0)+IFERROR(SUMIFS('Base bordo CD'!M$2:M$875,'Base bordo CD'!D$2:D$875,A982,'Base bordo CD'!A$2:A$875,B982,'Base bordo CD'!L$2:L$875,"AGUARDANDO MANUTENCAO*"),0)+IFERROR(SUMIFS('Base bordo CD'!M$2:M$875,'Base bordo CD'!D$2:D$875,A982,'Base bordo CD'!A$2:A$875,B982,'Base bordo CD'!L$2:L$875,"TROCA DE FAQUINHA"),0)+IFERROR(SUMIFS('Base bordo CD'!M$2:M$875,'Base bordo CD'!D$2:D$875,A982,'Base bordo CD'!A$2:A$875,B982,'Base bordo CD'!L$2:L$875,"LIMPEZA*"),0)</f>
        <v>0</v>
      </c>
      <c r="L982" s="10">
        <f>IFERROR(SUMIFS('Base bordo CD'!M$2:M$875,'Base bordo CD'!D$2:D$875,A982,'Base bordo CD'!A$2:A$875,B982,'Base bordo CD'!L$2:L$875,"PATIO - RESERVA"),0)</f>
        <v>0</v>
      </c>
      <c r="M982" s="10">
        <f>IFERROR(SUMIFS('Base bordo CD'!M$2:M$875,'Base bordo CD'!D$2:D$875,A982,'Base bordo CD'!A$2:A$875,B982,'Base bordo CD'!L$2:L$875,"SEM APONTAMENTO"),0)</f>
        <v>0</v>
      </c>
      <c r="N982" s="10">
        <f>IFERROR(SUMIFS('Base bordo CD'!M$2:M$875,'Base bordo CD'!D$2:D$875,A982,'Base bordo CD'!A$2:A$875,B982,'Base bordo CD'!L$2:L$875,"FALTA DE CAMINHÃO"),0)+IFERROR(SUMIFS('Base bordo CD'!M$2:M$875,'Base bordo CD'!D$2:D$875,A982,'Base bordo CD'!A$2:A$875,B982,'Base bordo CD'!L$2:L$875,"FALTA DE COMBUSTIVEL"),0)+IFERROR(SUMIFS('Base bordo CD'!M$2:M$875,'Base bordo CD'!D$2:D$875,A982,'Base bordo CD'!A$2:A$875,B982,'Base bordo CD'!L$2:L$875,"FALTA DE MOTORIST*"),0)</f>
        <v>0</v>
      </c>
      <c r="O982" s="10">
        <f t="shared" si="80"/>
        <v>0</v>
      </c>
      <c r="P982" s="10">
        <f>IFERROR(SUMIFS('Base bordo CD'!M$2:M$875,'Base bordo CD'!D$2:D$875,A982,'Base bordo CD'!A$2:A$875,B982),0)</f>
        <v>0</v>
      </c>
      <c r="Q982" s="10">
        <f>IFERROR(SUMIFS('Base bordo CD'!O$2:O$875,'Base bordo CD'!D$2:D$875,A982,'Base bordo CD'!A$2:A$875,B982,'Base bordo CD'!L$2:L$875,"CORTE DE CANA MECANIZADO"),0)</f>
        <v>0</v>
      </c>
      <c r="R982" s="10">
        <f>IFERROR(SUMIFS('Base bordo CD'!Q$2:Q$875,'Base bordo CD'!D$2:D$875,A982,'Base bordo CD'!A$2:A$875,B982,'Base bordo CD'!L$2:L$875,"CORTE DE CANA MECANIZADO"),0)</f>
        <v>0</v>
      </c>
      <c r="S982" s="30" t="str">
        <f t="shared" si="81"/>
        <v/>
      </c>
      <c r="T982" s="9">
        <f t="shared" si="82"/>
        <v>0</v>
      </c>
      <c r="U982" s="9">
        <f t="shared" si="83"/>
        <v>0</v>
      </c>
      <c r="V982" s="9">
        <f t="shared" si="84"/>
        <v>0</v>
      </c>
    </row>
    <row r="983" spans="1:22" hidden="1" x14ac:dyDescent="0.35">
      <c r="A983" s="52">
        <v>49588</v>
      </c>
      <c r="B983" s="31">
        <v>46117</v>
      </c>
      <c r="C983" s="7" t="s">
        <v>364</v>
      </c>
      <c r="D983" s="7">
        <v>352</v>
      </c>
      <c r="E983" s="10">
        <f>IFERROR(SUMIFS('Base bordo CD'!M$2:M$875,'Base bordo CD'!D$2:D$875,A983,'Base bordo CD'!A$2:A$875,B983,'Base bordo CD'!L$2:L$875,"CORTE DE CANA MECANIZADO"),0)</f>
        <v>0</v>
      </c>
      <c r="F983" s="10">
        <f>IFERROR(SUMIFS('Base bordo CD'!M$2:M$875,'Base bordo CD'!D$2:D$875,A983,'Base bordo CD'!A$2:A$875,B983,'Base bordo CD'!L$2:L$875,"MANOBRA"),0)</f>
        <v>0</v>
      </c>
      <c r="G983" s="10">
        <f>IFERROR(SUMIFS('Base bordo CD'!M$2:M$875,'Base bordo CD'!D$2:D$875,A983,'Base bordo CD'!A$2:A$875,B983,'Base bordo CD'!L$2:L$875,"DESLOCAMENTO"),0)</f>
        <v>0</v>
      </c>
      <c r="H983" s="10">
        <f>IFERROR(SUMIFS('Base bordo CD'!M$2:M$875,'Base bordo CD'!D$2:D$875,A983,'Base bordo CD'!A$2:A$875,B983,'Base bordo CD'!L$2:L$875,"AGUARDANDO MANOBRA DE TRANSBORDO"),0)+IFERROR(SUMIFS('Base bordo CD'!M$2:M$875,'Base bordo CD'!D$2:D$875,A983,'Base bordo CD'!A$2:A$875,B983,'Base bordo CD'!L$2:L$875,"FALTA DE TRANSBORDO"),0)</f>
        <v>0</v>
      </c>
      <c r="I983" s="10">
        <f>IFERROR(SUMIFS('Base bordo CD'!M$2:M$875,'Base bordo CD'!D$2:D$875,A983,'Base bordo CD'!A$2:A$875,B983,'Base bordo CD'!L$2:L$875,"PARADA POR CONDICOES CLIMATICAS"),0)+IFERROR(SUMIFS('Base bordo CD'!M$2:M$875,'Base bordo CD'!D$2:D$875,A983,'Base bordo CD'!A$2:A$875,B983,'Base bordo CD'!L$2:L$875,"TEMPO INDETERMINADO"),0)</f>
        <v>0</v>
      </c>
      <c r="J983" s="10">
        <f>IFERROR(SUMIFS('Base bordo CD'!M$2:M$875,'Base bordo CD'!D$2:D$875,A983,'Base bordo CD'!A$2:A$875,B983,'Base bordo CD'!L$2:L$875,"LIMITAÇÃO INDÚSTRIA"),0)</f>
        <v>0</v>
      </c>
      <c r="K983" s="10">
        <f>IFERROR(SUMIFS('Base bordo CD'!M$2:M$875,'Base bordo CD'!D$2:D$875,A983,'Base bordo CD'!A$2:A$875,B983,'Base bordo CD'!L$2:L$875,"MAN CORRETIVA*"),0)+IFERROR(SUMIFS('Base bordo CD'!M$2:M$875,'Base bordo CD'!D$2:D$875,A983,'Base bordo CD'!A$2:A$875,B983,'Base bordo CD'!L$2:L$875,"AGUARDANDO MANUTENCAO*"),0)+IFERROR(SUMIFS('Base bordo CD'!M$2:M$875,'Base bordo CD'!D$2:D$875,A983,'Base bordo CD'!A$2:A$875,B983,'Base bordo CD'!L$2:L$875,"TROCA DE FAQUINHA"),0)+IFERROR(SUMIFS('Base bordo CD'!M$2:M$875,'Base bordo CD'!D$2:D$875,A983,'Base bordo CD'!A$2:A$875,B983,'Base bordo CD'!L$2:L$875,"LIMPEZA*"),0)</f>
        <v>0</v>
      </c>
      <c r="L983" s="10">
        <f>IFERROR(SUMIFS('Base bordo CD'!M$2:M$875,'Base bordo CD'!D$2:D$875,A983,'Base bordo CD'!A$2:A$875,B983,'Base bordo CD'!L$2:L$875,"PATIO - RESERVA"),0)</f>
        <v>0</v>
      </c>
      <c r="M983" s="10">
        <f>IFERROR(SUMIFS('Base bordo CD'!M$2:M$875,'Base bordo CD'!D$2:D$875,A983,'Base bordo CD'!A$2:A$875,B983,'Base bordo CD'!L$2:L$875,"SEM APONTAMENTO"),0)</f>
        <v>0</v>
      </c>
      <c r="N983" s="10">
        <f>IFERROR(SUMIFS('Base bordo CD'!M$2:M$875,'Base bordo CD'!D$2:D$875,A983,'Base bordo CD'!A$2:A$875,B983,'Base bordo CD'!L$2:L$875,"FALTA DE CAMINHÃO"),0)+IFERROR(SUMIFS('Base bordo CD'!M$2:M$875,'Base bordo CD'!D$2:D$875,A983,'Base bordo CD'!A$2:A$875,B983,'Base bordo CD'!L$2:L$875,"FALTA DE COMBUSTIVEL"),0)+IFERROR(SUMIFS('Base bordo CD'!M$2:M$875,'Base bordo CD'!D$2:D$875,A983,'Base bordo CD'!A$2:A$875,B983,'Base bordo CD'!L$2:L$875,"FALTA DE MOTORIST*"),0)</f>
        <v>0</v>
      </c>
      <c r="O983" s="10">
        <f t="shared" si="80"/>
        <v>0</v>
      </c>
      <c r="P983" s="10">
        <f>IFERROR(SUMIFS('Base bordo CD'!M$2:M$875,'Base bordo CD'!D$2:D$875,A983,'Base bordo CD'!A$2:A$875,B983),0)</f>
        <v>0</v>
      </c>
      <c r="Q983" s="10">
        <f>IFERROR(SUMIFS('Base bordo CD'!O$2:O$875,'Base bordo CD'!D$2:D$875,A983,'Base bordo CD'!A$2:A$875,B983,'Base bordo CD'!L$2:L$875,"CORTE DE CANA MECANIZADO"),0)</f>
        <v>0</v>
      </c>
      <c r="R983" s="10">
        <f>IFERROR(SUMIFS('Base bordo CD'!Q$2:Q$875,'Base bordo CD'!D$2:D$875,A983,'Base bordo CD'!A$2:A$875,B983,'Base bordo CD'!L$2:L$875,"CORTE DE CANA MECANIZADO"),0)</f>
        <v>0</v>
      </c>
      <c r="S983" s="30" t="str">
        <f t="shared" si="81"/>
        <v/>
      </c>
      <c r="T983" s="9">
        <f t="shared" si="82"/>
        <v>0</v>
      </c>
      <c r="U983" s="9">
        <f t="shared" si="83"/>
        <v>0</v>
      </c>
      <c r="V983" s="9">
        <f t="shared" si="84"/>
        <v>0</v>
      </c>
    </row>
    <row r="984" spans="1:22" hidden="1" x14ac:dyDescent="0.35">
      <c r="A984" s="52">
        <v>49588</v>
      </c>
      <c r="B984" s="31">
        <v>46117</v>
      </c>
      <c r="C984" s="7" t="s">
        <v>364</v>
      </c>
      <c r="D984" s="7">
        <v>352</v>
      </c>
      <c r="E984" s="10">
        <f>IFERROR(SUMIFS('Base bordo CD'!M$2:M$875,'Base bordo CD'!D$2:D$875,A984,'Base bordo CD'!A$2:A$875,B984,'Base bordo CD'!L$2:L$875,"CORTE DE CANA MECANIZADO"),0)</f>
        <v>0</v>
      </c>
      <c r="F984" s="10">
        <f>IFERROR(SUMIFS('Base bordo CD'!M$2:M$875,'Base bordo CD'!D$2:D$875,A984,'Base bordo CD'!A$2:A$875,B984,'Base bordo CD'!L$2:L$875,"MANOBRA"),0)</f>
        <v>0</v>
      </c>
      <c r="G984" s="10">
        <f>IFERROR(SUMIFS('Base bordo CD'!M$2:M$875,'Base bordo CD'!D$2:D$875,A984,'Base bordo CD'!A$2:A$875,B984,'Base bordo CD'!L$2:L$875,"DESLOCAMENTO"),0)</f>
        <v>0</v>
      </c>
      <c r="H984" s="10">
        <f>IFERROR(SUMIFS('Base bordo CD'!M$2:M$875,'Base bordo CD'!D$2:D$875,A984,'Base bordo CD'!A$2:A$875,B984,'Base bordo CD'!L$2:L$875,"AGUARDANDO MANOBRA DE TRANSBORDO"),0)+IFERROR(SUMIFS('Base bordo CD'!M$2:M$875,'Base bordo CD'!D$2:D$875,A984,'Base bordo CD'!A$2:A$875,B984,'Base bordo CD'!L$2:L$875,"FALTA DE TRANSBORDO"),0)</f>
        <v>0</v>
      </c>
      <c r="I984" s="10">
        <f>IFERROR(SUMIFS('Base bordo CD'!M$2:M$875,'Base bordo CD'!D$2:D$875,A984,'Base bordo CD'!A$2:A$875,B984,'Base bordo CD'!L$2:L$875,"PARADA POR CONDICOES CLIMATICAS"),0)+IFERROR(SUMIFS('Base bordo CD'!M$2:M$875,'Base bordo CD'!D$2:D$875,A984,'Base bordo CD'!A$2:A$875,B984,'Base bordo CD'!L$2:L$875,"TEMPO INDETERMINADO"),0)</f>
        <v>0</v>
      </c>
      <c r="J984" s="10">
        <f>IFERROR(SUMIFS('Base bordo CD'!M$2:M$875,'Base bordo CD'!D$2:D$875,A984,'Base bordo CD'!A$2:A$875,B984,'Base bordo CD'!L$2:L$875,"LIMITAÇÃO INDÚSTRIA"),0)</f>
        <v>0</v>
      </c>
      <c r="K984" s="10">
        <f>IFERROR(SUMIFS('Base bordo CD'!M$2:M$875,'Base bordo CD'!D$2:D$875,A984,'Base bordo CD'!A$2:A$875,B984,'Base bordo CD'!L$2:L$875,"MAN CORRETIVA*"),0)+IFERROR(SUMIFS('Base bordo CD'!M$2:M$875,'Base bordo CD'!D$2:D$875,A984,'Base bordo CD'!A$2:A$875,B984,'Base bordo CD'!L$2:L$875,"AGUARDANDO MANUTENCAO*"),0)+IFERROR(SUMIFS('Base bordo CD'!M$2:M$875,'Base bordo CD'!D$2:D$875,A984,'Base bordo CD'!A$2:A$875,B984,'Base bordo CD'!L$2:L$875,"TROCA DE FAQUINHA"),0)+IFERROR(SUMIFS('Base bordo CD'!M$2:M$875,'Base bordo CD'!D$2:D$875,A984,'Base bordo CD'!A$2:A$875,B984,'Base bordo CD'!L$2:L$875,"LIMPEZA*"),0)</f>
        <v>0</v>
      </c>
      <c r="L984" s="10">
        <f>IFERROR(SUMIFS('Base bordo CD'!M$2:M$875,'Base bordo CD'!D$2:D$875,A984,'Base bordo CD'!A$2:A$875,B984,'Base bordo CD'!L$2:L$875,"PATIO - RESERVA"),0)</f>
        <v>0</v>
      </c>
      <c r="M984" s="10">
        <f>IFERROR(SUMIFS('Base bordo CD'!M$2:M$875,'Base bordo CD'!D$2:D$875,A984,'Base bordo CD'!A$2:A$875,B984,'Base bordo CD'!L$2:L$875,"SEM APONTAMENTO"),0)</f>
        <v>0</v>
      </c>
      <c r="N984" s="10">
        <f>IFERROR(SUMIFS('Base bordo CD'!M$2:M$875,'Base bordo CD'!D$2:D$875,A984,'Base bordo CD'!A$2:A$875,B984,'Base bordo CD'!L$2:L$875,"FALTA DE CAMINHÃO"),0)+IFERROR(SUMIFS('Base bordo CD'!M$2:M$875,'Base bordo CD'!D$2:D$875,A984,'Base bordo CD'!A$2:A$875,B984,'Base bordo CD'!L$2:L$875,"FALTA DE COMBUSTIVEL"),0)+IFERROR(SUMIFS('Base bordo CD'!M$2:M$875,'Base bordo CD'!D$2:D$875,A984,'Base bordo CD'!A$2:A$875,B984,'Base bordo CD'!L$2:L$875,"FALTA DE MOTORIST*"),0)</f>
        <v>0</v>
      </c>
      <c r="O984" s="10">
        <f t="shared" si="80"/>
        <v>0</v>
      </c>
      <c r="P984" s="10">
        <f>IFERROR(SUMIFS('Base bordo CD'!M$2:M$875,'Base bordo CD'!D$2:D$875,A984,'Base bordo CD'!A$2:A$875,B984),0)</f>
        <v>0</v>
      </c>
      <c r="Q984" s="10">
        <f>IFERROR(SUMIFS('Base bordo CD'!O$2:O$875,'Base bordo CD'!D$2:D$875,A984,'Base bordo CD'!A$2:A$875,B984,'Base bordo CD'!L$2:L$875,"CORTE DE CANA MECANIZADO"),0)</f>
        <v>0</v>
      </c>
      <c r="R984" s="10">
        <f>IFERROR(SUMIFS('Base bordo CD'!Q$2:Q$875,'Base bordo CD'!D$2:D$875,A984,'Base bordo CD'!A$2:A$875,B984,'Base bordo CD'!L$2:L$875,"CORTE DE CANA MECANIZADO"),0)</f>
        <v>0</v>
      </c>
      <c r="S984" s="30" t="str">
        <f t="shared" si="81"/>
        <v/>
      </c>
      <c r="T984" s="9">
        <f t="shared" si="82"/>
        <v>0</v>
      </c>
      <c r="U984" s="9">
        <f t="shared" si="83"/>
        <v>0</v>
      </c>
      <c r="V984" s="9">
        <f t="shared" si="84"/>
        <v>0</v>
      </c>
    </row>
    <row r="985" spans="1:22" hidden="1" x14ac:dyDescent="0.35">
      <c r="A985" s="52">
        <v>49588</v>
      </c>
      <c r="B985" s="31">
        <v>46117</v>
      </c>
      <c r="C985" s="7" t="s">
        <v>364</v>
      </c>
      <c r="D985" s="7">
        <v>352</v>
      </c>
      <c r="E985" s="10">
        <f>IFERROR(SUMIFS('Base bordo CD'!M$2:M$875,'Base bordo CD'!D$2:D$875,A985,'Base bordo CD'!A$2:A$875,B985,'Base bordo CD'!L$2:L$875,"CORTE DE CANA MECANIZADO"),0)</f>
        <v>0</v>
      </c>
      <c r="F985" s="10">
        <f>IFERROR(SUMIFS('Base bordo CD'!M$2:M$875,'Base bordo CD'!D$2:D$875,A985,'Base bordo CD'!A$2:A$875,B985,'Base bordo CD'!L$2:L$875,"MANOBRA"),0)</f>
        <v>0</v>
      </c>
      <c r="G985" s="10">
        <f>IFERROR(SUMIFS('Base bordo CD'!M$2:M$875,'Base bordo CD'!D$2:D$875,A985,'Base bordo CD'!A$2:A$875,B985,'Base bordo CD'!L$2:L$875,"DESLOCAMENTO"),0)</f>
        <v>0</v>
      </c>
      <c r="H985" s="10">
        <f>IFERROR(SUMIFS('Base bordo CD'!M$2:M$875,'Base bordo CD'!D$2:D$875,A985,'Base bordo CD'!A$2:A$875,B985,'Base bordo CD'!L$2:L$875,"AGUARDANDO MANOBRA DE TRANSBORDO"),0)+IFERROR(SUMIFS('Base bordo CD'!M$2:M$875,'Base bordo CD'!D$2:D$875,A985,'Base bordo CD'!A$2:A$875,B985,'Base bordo CD'!L$2:L$875,"FALTA DE TRANSBORDO"),0)</f>
        <v>0</v>
      </c>
      <c r="I985" s="10">
        <f>IFERROR(SUMIFS('Base bordo CD'!M$2:M$875,'Base bordo CD'!D$2:D$875,A985,'Base bordo CD'!A$2:A$875,B985,'Base bordo CD'!L$2:L$875,"PARADA POR CONDICOES CLIMATICAS"),0)+IFERROR(SUMIFS('Base bordo CD'!M$2:M$875,'Base bordo CD'!D$2:D$875,A985,'Base bordo CD'!A$2:A$875,B985,'Base bordo CD'!L$2:L$875,"TEMPO INDETERMINADO"),0)</f>
        <v>0</v>
      </c>
      <c r="J985" s="10">
        <f>IFERROR(SUMIFS('Base bordo CD'!M$2:M$875,'Base bordo CD'!D$2:D$875,A985,'Base bordo CD'!A$2:A$875,B985,'Base bordo CD'!L$2:L$875,"LIMITAÇÃO INDÚSTRIA"),0)</f>
        <v>0</v>
      </c>
      <c r="K985" s="10">
        <f>IFERROR(SUMIFS('Base bordo CD'!M$2:M$875,'Base bordo CD'!D$2:D$875,A985,'Base bordo CD'!A$2:A$875,B985,'Base bordo CD'!L$2:L$875,"MAN CORRETIVA*"),0)+IFERROR(SUMIFS('Base bordo CD'!M$2:M$875,'Base bordo CD'!D$2:D$875,A985,'Base bordo CD'!A$2:A$875,B985,'Base bordo CD'!L$2:L$875,"AGUARDANDO MANUTENCAO*"),0)+IFERROR(SUMIFS('Base bordo CD'!M$2:M$875,'Base bordo CD'!D$2:D$875,A985,'Base bordo CD'!A$2:A$875,B985,'Base bordo CD'!L$2:L$875,"TROCA DE FAQUINHA"),0)+IFERROR(SUMIFS('Base bordo CD'!M$2:M$875,'Base bordo CD'!D$2:D$875,A985,'Base bordo CD'!A$2:A$875,B985,'Base bordo CD'!L$2:L$875,"LIMPEZA*"),0)</f>
        <v>0</v>
      </c>
      <c r="L985" s="10">
        <f>IFERROR(SUMIFS('Base bordo CD'!M$2:M$875,'Base bordo CD'!D$2:D$875,A985,'Base bordo CD'!A$2:A$875,B985,'Base bordo CD'!L$2:L$875,"PATIO - RESERVA"),0)</f>
        <v>0</v>
      </c>
      <c r="M985" s="10">
        <f>IFERROR(SUMIFS('Base bordo CD'!M$2:M$875,'Base bordo CD'!D$2:D$875,A985,'Base bordo CD'!A$2:A$875,B985,'Base bordo CD'!L$2:L$875,"SEM APONTAMENTO"),0)</f>
        <v>0</v>
      </c>
      <c r="N985" s="10">
        <f>IFERROR(SUMIFS('Base bordo CD'!M$2:M$875,'Base bordo CD'!D$2:D$875,A985,'Base bordo CD'!A$2:A$875,B985,'Base bordo CD'!L$2:L$875,"FALTA DE CAMINHÃO"),0)+IFERROR(SUMIFS('Base bordo CD'!M$2:M$875,'Base bordo CD'!D$2:D$875,A985,'Base bordo CD'!A$2:A$875,B985,'Base bordo CD'!L$2:L$875,"FALTA DE COMBUSTIVEL"),0)+IFERROR(SUMIFS('Base bordo CD'!M$2:M$875,'Base bordo CD'!D$2:D$875,A985,'Base bordo CD'!A$2:A$875,B985,'Base bordo CD'!L$2:L$875,"FALTA DE MOTORIST*"),0)</f>
        <v>0</v>
      </c>
      <c r="O985" s="10">
        <f t="shared" si="80"/>
        <v>0</v>
      </c>
      <c r="P985" s="10">
        <f>IFERROR(SUMIFS('Base bordo CD'!M$2:M$875,'Base bordo CD'!D$2:D$875,A985,'Base bordo CD'!A$2:A$875,B985),0)</f>
        <v>0</v>
      </c>
      <c r="Q985" s="10">
        <f>IFERROR(SUMIFS('Base bordo CD'!O$2:O$875,'Base bordo CD'!D$2:D$875,A985,'Base bordo CD'!A$2:A$875,B985,'Base bordo CD'!L$2:L$875,"CORTE DE CANA MECANIZADO"),0)</f>
        <v>0</v>
      </c>
      <c r="R985" s="10">
        <f>IFERROR(SUMIFS('Base bordo CD'!Q$2:Q$875,'Base bordo CD'!D$2:D$875,A985,'Base bordo CD'!A$2:A$875,B985,'Base bordo CD'!L$2:L$875,"CORTE DE CANA MECANIZADO"),0)</f>
        <v>0</v>
      </c>
      <c r="S985" s="30" t="str">
        <f t="shared" si="81"/>
        <v/>
      </c>
      <c r="T985" s="9">
        <f t="shared" si="82"/>
        <v>0</v>
      </c>
      <c r="U985" s="9">
        <f t="shared" si="83"/>
        <v>0</v>
      </c>
      <c r="V985" s="9">
        <f t="shared" si="84"/>
        <v>0</v>
      </c>
    </row>
    <row r="986" spans="1:22" hidden="1" x14ac:dyDescent="0.35">
      <c r="A986" s="52">
        <v>49588</v>
      </c>
      <c r="B986" s="31">
        <v>46117</v>
      </c>
      <c r="C986" s="7" t="s">
        <v>364</v>
      </c>
      <c r="D986" s="7">
        <v>352</v>
      </c>
      <c r="E986" s="10">
        <f>IFERROR(SUMIFS('Base bordo CD'!M$2:M$875,'Base bordo CD'!D$2:D$875,A986,'Base bordo CD'!A$2:A$875,B986,'Base bordo CD'!L$2:L$875,"CORTE DE CANA MECANIZADO"),0)</f>
        <v>0</v>
      </c>
      <c r="F986" s="10">
        <f>IFERROR(SUMIFS('Base bordo CD'!M$2:M$875,'Base bordo CD'!D$2:D$875,A986,'Base bordo CD'!A$2:A$875,B986,'Base bordo CD'!L$2:L$875,"MANOBRA"),0)</f>
        <v>0</v>
      </c>
      <c r="G986" s="10">
        <f>IFERROR(SUMIFS('Base bordo CD'!M$2:M$875,'Base bordo CD'!D$2:D$875,A986,'Base bordo CD'!A$2:A$875,B986,'Base bordo CD'!L$2:L$875,"DESLOCAMENTO"),0)</f>
        <v>0</v>
      </c>
      <c r="H986" s="10">
        <f>IFERROR(SUMIFS('Base bordo CD'!M$2:M$875,'Base bordo CD'!D$2:D$875,A986,'Base bordo CD'!A$2:A$875,B986,'Base bordo CD'!L$2:L$875,"AGUARDANDO MANOBRA DE TRANSBORDO"),0)+IFERROR(SUMIFS('Base bordo CD'!M$2:M$875,'Base bordo CD'!D$2:D$875,A986,'Base bordo CD'!A$2:A$875,B986,'Base bordo CD'!L$2:L$875,"FALTA DE TRANSBORDO"),0)</f>
        <v>0</v>
      </c>
      <c r="I986" s="10">
        <f>IFERROR(SUMIFS('Base bordo CD'!M$2:M$875,'Base bordo CD'!D$2:D$875,A986,'Base bordo CD'!A$2:A$875,B986,'Base bordo CD'!L$2:L$875,"PARADA POR CONDICOES CLIMATICAS"),0)+IFERROR(SUMIFS('Base bordo CD'!M$2:M$875,'Base bordo CD'!D$2:D$875,A986,'Base bordo CD'!A$2:A$875,B986,'Base bordo CD'!L$2:L$875,"TEMPO INDETERMINADO"),0)</f>
        <v>0</v>
      </c>
      <c r="J986" s="10">
        <f>IFERROR(SUMIFS('Base bordo CD'!M$2:M$875,'Base bordo CD'!D$2:D$875,A986,'Base bordo CD'!A$2:A$875,B986,'Base bordo CD'!L$2:L$875,"LIMITAÇÃO INDÚSTRIA"),0)</f>
        <v>0</v>
      </c>
      <c r="K986" s="10">
        <f>IFERROR(SUMIFS('Base bordo CD'!M$2:M$875,'Base bordo CD'!D$2:D$875,A986,'Base bordo CD'!A$2:A$875,B986,'Base bordo CD'!L$2:L$875,"MAN CORRETIVA*"),0)+IFERROR(SUMIFS('Base bordo CD'!M$2:M$875,'Base bordo CD'!D$2:D$875,A986,'Base bordo CD'!A$2:A$875,B986,'Base bordo CD'!L$2:L$875,"AGUARDANDO MANUTENCAO*"),0)+IFERROR(SUMIFS('Base bordo CD'!M$2:M$875,'Base bordo CD'!D$2:D$875,A986,'Base bordo CD'!A$2:A$875,B986,'Base bordo CD'!L$2:L$875,"TROCA DE FAQUINHA"),0)+IFERROR(SUMIFS('Base bordo CD'!M$2:M$875,'Base bordo CD'!D$2:D$875,A986,'Base bordo CD'!A$2:A$875,B986,'Base bordo CD'!L$2:L$875,"LIMPEZA*"),0)</f>
        <v>0</v>
      </c>
      <c r="L986" s="10">
        <f>IFERROR(SUMIFS('Base bordo CD'!M$2:M$875,'Base bordo CD'!D$2:D$875,A986,'Base bordo CD'!A$2:A$875,B986,'Base bordo CD'!L$2:L$875,"PATIO - RESERVA"),0)</f>
        <v>0</v>
      </c>
      <c r="M986" s="10">
        <f>IFERROR(SUMIFS('Base bordo CD'!M$2:M$875,'Base bordo CD'!D$2:D$875,A986,'Base bordo CD'!A$2:A$875,B986,'Base bordo CD'!L$2:L$875,"SEM APONTAMENTO"),0)</f>
        <v>0</v>
      </c>
      <c r="N986" s="10">
        <f>IFERROR(SUMIFS('Base bordo CD'!M$2:M$875,'Base bordo CD'!D$2:D$875,A986,'Base bordo CD'!A$2:A$875,B986,'Base bordo CD'!L$2:L$875,"FALTA DE CAMINHÃO"),0)+IFERROR(SUMIFS('Base bordo CD'!M$2:M$875,'Base bordo CD'!D$2:D$875,A986,'Base bordo CD'!A$2:A$875,B986,'Base bordo CD'!L$2:L$875,"FALTA DE COMBUSTIVEL"),0)+IFERROR(SUMIFS('Base bordo CD'!M$2:M$875,'Base bordo CD'!D$2:D$875,A986,'Base bordo CD'!A$2:A$875,B986,'Base bordo CD'!L$2:L$875,"FALTA DE MOTORIST*"),0)</f>
        <v>0</v>
      </c>
      <c r="O986" s="10">
        <f t="shared" si="80"/>
        <v>0</v>
      </c>
      <c r="P986" s="10">
        <f>IFERROR(SUMIFS('Base bordo CD'!M$2:M$875,'Base bordo CD'!D$2:D$875,A986,'Base bordo CD'!A$2:A$875,B986),0)</f>
        <v>0</v>
      </c>
      <c r="Q986" s="10">
        <f>IFERROR(SUMIFS('Base bordo CD'!O$2:O$875,'Base bordo CD'!D$2:D$875,A986,'Base bordo CD'!A$2:A$875,B986,'Base bordo CD'!L$2:L$875,"CORTE DE CANA MECANIZADO"),0)</f>
        <v>0</v>
      </c>
      <c r="R986" s="10">
        <f>IFERROR(SUMIFS('Base bordo CD'!Q$2:Q$875,'Base bordo CD'!D$2:D$875,A986,'Base bordo CD'!A$2:A$875,B986,'Base bordo CD'!L$2:L$875,"CORTE DE CANA MECANIZADO"),0)</f>
        <v>0</v>
      </c>
      <c r="S986" s="30" t="str">
        <f t="shared" si="81"/>
        <v/>
      </c>
      <c r="T986" s="9">
        <f t="shared" si="82"/>
        <v>0</v>
      </c>
      <c r="U986" s="9">
        <f t="shared" si="83"/>
        <v>0</v>
      </c>
      <c r="V986" s="9">
        <f t="shared" si="84"/>
        <v>0</v>
      </c>
    </row>
    <row r="987" spans="1:22" hidden="1" x14ac:dyDescent="0.35">
      <c r="A987" s="52">
        <v>49588</v>
      </c>
      <c r="B987" s="31">
        <v>46117</v>
      </c>
      <c r="C987" s="7" t="s">
        <v>364</v>
      </c>
      <c r="D987" s="7">
        <v>352</v>
      </c>
      <c r="E987" s="10">
        <f>IFERROR(SUMIFS('Base bordo CD'!M$2:M$875,'Base bordo CD'!D$2:D$875,A987,'Base bordo CD'!A$2:A$875,B987,'Base bordo CD'!L$2:L$875,"CORTE DE CANA MECANIZADO"),0)</f>
        <v>0</v>
      </c>
      <c r="F987" s="10">
        <f>IFERROR(SUMIFS('Base bordo CD'!M$2:M$875,'Base bordo CD'!D$2:D$875,A987,'Base bordo CD'!A$2:A$875,B987,'Base bordo CD'!L$2:L$875,"MANOBRA"),0)</f>
        <v>0</v>
      </c>
      <c r="G987" s="10">
        <f>IFERROR(SUMIFS('Base bordo CD'!M$2:M$875,'Base bordo CD'!D$2:D$875,A987,'Base bordo CD'!A$2:A$875,B987,'Base bordo CD'!L$2:L$875,"DESLOCAMENTO"),0)</f>
        <v>0</v>
      </c>
      <c r="H987" s="10">
        <f>IFERROR(SUMIFS('Base bordo CD'!M$2:M$875,'Base bordo CD'!D$2:D$875,A987,'Base bordo CD'!A$2:A$875,B987,'Base bordo CD'!L$2:L$875,"AGUARDANDO MANOBRA DE TRANSBORDO"),0)+IFERROR(SUMIFS('Base bordo CD'!M$2:M$875,'Base bordo CD'!D$2:D$875,A987,'Base bordo CD'!A$2:A$875,B987,'Base bordo CD'!L$2:L$875,"FALTA DE TRANSBORDO"),0)</f>
        <v>0</v>
      </c>
      <c r="I987" s="10">
        <f>IFERROR(SUMIFS('Base bordo CD'!M$2:M$875,'Base bordo CD'!D$2:D$875,A987,'Base bordo CD'!A$2:A$875,B987,'Base bordo CD'!L$2:L$875,"PARADA POR CONDICOES CLIMATICAS"),0)+IFERROR(SUMIFS('Base bordo CD'!M$2:M$875,'Base bordo CD'!D$2:D$875,A987,'Base bordo CD'!A$2:A$875,B987,'Base bordo CD'!L$2:L$875,"TEMPO INDETERMINADO"),0)</f>
        <v>0</v>
      </c>
      <c r="J987" s="10">
        <f>IFERROR(SUMIFS('Base bordo CD'!M$2:M$875,'Base bordo CD'!D$2:D$875,A987,'Base bordo CD'!A$2:A$875,B987,'Base bordo CD'!L$2:L$875,"LIMITAÇÃO INDÚSTRIA"),0)</f>
        <v>0</v>
      </c>
      <c r="K987" s="10">
        <f>IFERROR(SUMIFS('Base bordo CD'!M$2:M$875,'Base bordo CD'!D$2:D$875,A987,'Base bordo CD'!A$2:A$875,B987,'Base bordo CD'!L$2:L$875,"MAN CORRETIVA*"),0)+IFERROR(SUMIFS('Base bordo CD'!M$2:M$875,'Base bordo CD'!D$2:D$875,A987,'Base bordo CD'!A$2:A$875,B987,'Base bordo CD'!L$2:L$875,"AGUARDANDO MANUTENCAO*"),0)+IFERROR(SUMIFS('Base bordo CD'!M$2:M$875,'Base bordo CD'!D$2:D$875,A987,'Base bordo CD'!A$2:A$875,B987,'Base bordo CD'!L$2:L$875,"TROCA DE FAQUINHA"),0)+IFERROR(SUMIFS('Base bordo CD'!M$2:M$875,'Base bordo CD'!D$2:D$875,A987,'Base bordo CD'!A$2:A$875,B987,'Base bordo CD'!L$2:L$875,"LIMPEZA*"),0)</f>
        <v>0</v>
      </c>
      <c r="L987" s="10">
        <f>IFERROR(SUMIFS('Base bordo CD'!M$2:M$875,'Base bordo CD'!D$2:D$875,A987,'Base bordo CD'!A$2:A$875,B987,'Base bordo CD'!L$2:L$875,"PATIO - RESERVA"),0)</f>
        <v>0</v>
      </c>
      <c r="M987" s="10">
        <f>IFERROR(SUMIFS('Base bordo CD'!M$2:M$875,'Base bordo CD'!D$2:D$875,A987,'Base bordo CD'!A$2:A$875,B987,'Base bordo CD'!L$2:L$875,"SEM APONTAMENTO"),0)</f>
        <v>0</v>
      </c>
      <c r="N987" s="10">
        <f>IFERROR(SUMIFS('Base bordo CD'!M$2:M$875,'Base bordo CD'!D$2:D$875,A987,'Base bordo CD'!A$2:A$875,B987,'Base bordo CD'!L$2:L$875,"FALTA DE CAMINHÃO"),0)+IFERROR(SUMIFS('Base bordo CD'!M$2:M$875,'Base bordo CD'!D$2:D$875,A987,'Base bordo CD'!A$2:A$875,B987,'Base bordo CD'!L$2:L$875,"FALTA DE COMBUSTIVEL"),0)+IFERROR(SUMIFS('Base bordo CD'!M$2:M$875,'Base bordo CD'!D$2:D$875,A987,'Base bordo CD'!A$2:A$875,B987,'Base bordo CD'!L$2:L$875,"FALTA DE MOTORIST*"),0)</f>
        <v>0</v>
      </c>
      <c r="O987" s="10">
        <f t="shared" si="80"/>
        <v>0</v>
      </c>
      <c r="P987" s="10">
        <f>IFERROR(SUMIFS('Base bordo CD'!M$2:M$875,'Base bordo CD'!D$2:D$875,A987,'Base bordo CD'!A$2:A$875,B987),0)</f>
        <v>0</v>
      </c>
      <c r="Q987" s="10">
        <f>IFERROR(SUMIFS('Base bordo CD'!O$2:O$875,'Base bordo CD'!D$2:D$875,A987,'Base bordo CD'!A$2:A$875,B987,'Base bordo CD'!L$2:L$875,"CORTE DE CANA MECANIZADO"),0)</f>
        <v>0</v>
      </c>
      <c r="R987" s="10">
        <f>IFERROR(SUMIFS('Base bordo CD'!Q$2:Q$875,'Base bordo CD'!D$2:D$875,A987,'Base bordo CD'!A$2:A$875,B987,'Base bordo CD'!L$2:L$875,"CORTE DE CANA MECANIZADO"),0)</f>
        <v>0</v>
      </c>
      <c r="S987" s="30" t="str">
        <f t="shared" si="81"/>
        <v/>
      </c>
      <c r="T987" s="9">
        <f t="shared" si="82"/>
        <v>0</v>
      </c>
      <c r="U987" s="9">
        <f t="shared" si="83"/>
        <v>0</v>
      </c>
      <c r="V987" s="9">
        <f t="shared" si="84"/>
        <v>0</v>
      </c>
    </row>
    <row r="988" spans="1:22" hidden="1" x14ac:dyDescent="0.35">
      <c r="A988" s="52">
        <v>49588</v>
      </c>
      <c r="B988" s="31">
        <v>46117</v>
      </c>
      <c r="C988" s="7" t="s">
        <v>364</v>
      </c>
      <c r="D988" s="7">
        <v>352</v>
      </c>
      <c r="E988" s="10">
        <f>IFERROR(SUMIFS('Base bordo CD'!M$2:M$875,'Base bordo CD'!D$2:D$875,A988,'Base bordo CD'!A$2:A$875,B988,'Base bordo CD'!L$2:L$875,"CORTE DE CANA MECANIZADO"),0)</f>
        <v>0</v>
      </c>
      <c r="F988" s="10">
        <f>IFERROR(SUMIFS('Base bordo CD'!M$2:M$875,'Base bordo CD'!D$2:D$875,A988,'Base bordo CD'!A$2:A$875,B988,'Base bordo CD'!L$2:L$875,"MANOBRA"),0)</f>
        <v>0</v>
      </c>
      <c r="G988" s="10">
        <f>IFERROR(SUMIFS('Base bordo CD'!M$2:M$875,'Base bordo CD'!D$2:D$875,A988,'Base bordo CD'!A$2:A$875,B988,'Base bordo CD'!L$2:L$875,"DESLOCAMENTO"),0)</f>
        <v>0</v>
      </c>
      <c r="H988" s="10">
        <f>IFERROR(SUMIFS('Base bordo CD'!M$2:M$875,'Base bordo CD'!D$2:D$875,A988,'Base bordo CD'!A$2:A$875,B988,'Base bordo CD'!L$2:L$875,"AGUARDANDO MANOBRA DE TRANSBORDO"),0)+IFERROR(SUMIFS('Base bordo CD'!M$2:M$875,'Base bordo CD'!D$2:D$875,A988,'Base bordo CD'!A$2:A$875,B988,'Base bordo CD'!L$2:L$875,"FALTA DE TRANSBORDO"),0)</f>
        <v>0</v>
      </c>
      <c r="I988" s="10">
        <f>IFERROR(SUMIFS('Base bordo CD'!M$2:M$875,'Base bordo CD'!D$2:D$875,A988,'Base bordo CD'!A$2:A$875,B988,'Base bordo CD'!L$2:L$875,"PARADA POR CONDICOES CLIMATICAS"),0)+IFERROR(SUMIFS('Base bordo CD'!M$2:M$875,'Base bordo CD'!D$2:D$875,A988,'Base bordo CD'!A$2:A$875,B988,'Base bordo CD'!L$2:L$875,"TEMPO INDETERMINADO"),0)</f>
        <v>0</v>
      </c>
      <c r="J988" s="10">
        <f>IFERROR(SUMIFS('Base bordo CD'!M$2:M$875,'Base bordo CD'!D$2:D$875,A988,'Base bordo CD'!A$2:A$875,B988,'Base bordo CD'!L$2:L$875,"LIMITAÇÃO INDÚSTRIA"),0)</f>
        <v>0</v>
      </c>
      <c r="K988" s="10">
        <f>IFERROR(SUMIFS('Base bordo CD'!M$2:M$875,'Base bordo CD'!D$2:D$875,A988,'Base bordo CD'!A$2:A$875,B988,'Base bordo CD'!L$2:L$875,"MAN CORRETIVA*"),0)+IFERROR(SUMIFS('Base bordo CD'!M$2:M$875,'Base bordo CD'!D$2:D$875,A988,'Base bordo CD'!A$2:A$875,B988,'Base bordo CD'!L$2:L$875,"AGUARDANDO MANUTENCAO*"),0)+IFERROR(SUMIFS('Base bordo CD'!M$2:M$875,'Base bordo CD'!D$2:D$875,A988,'Base bordo CD'!A$2:A$875,B988,'Base bordo CD'!L$2:L$875,"TROCA DE FAQUINHA"),0)+IFERROR(SUMIFS('Base bordo CD'!M$2:M$875,'Base bordo CD'!D$2:D$875,A988,'Base bordo CD'!A$2:A$875,B988,'Base bordo CD'!L$2:L$875,"LIMPEZA*"),0)</f>
        <v>0</v>
      </c>
      <c r="L988" s="10">
        <f>IFERROR(SUMIFS('Base bordo CD'!M$2:M$875,'Base bordo CD'!D$2:D$875,A988,'Base bordo CD'!A$2:A$875,B988,'Base bordo CD'!L$2:L$875,"PATIO - RESERVA"),0)</f>
        <v>0</v>
      </c>
      <c r="M988" s="10">
        <f>IFERROR(SUMIFS('Base bordo CD'!M$2:M$875,'Base bordo CD'!D$2:D$875,A988,'Base bordo CD'!A$2:A$875,B988,'Base bordo CD'!L$2:L$875,"SEM APONTAMENTO"),0)</f>
        <v>0</v>
      </c>
      <c r="N988" s="10">
        <f>IFERROR(SUMIFS('Base bordo CD'!M$2:M$875,'Base bordo CD'!D$2:D$875,A988,'Base bordo CD'!A$2:A$875,B988,'Base bordo CD'!L$2:L$875,"FALTA DE CAMINHÃO"),0)+IFERROR(SUMIFS('Base bordo CD'!M$2:M$875,'Base bordo CD'!D$2:D$875,A988,'Base bordo CD'!A$2:A$875,B988,'Base bordo CD'!L$2:L$875,"FALTA DE COMBUSTIVEL"),0)+IFERROR(SUMIFS('Base bordo CD'!M$2:M$875,'Base bordo CD'!D$2:D$875,A988,'Base bordo CD'!A$2:A$875,B988,'Base bordo CD'!L$2:L$875,"FALTA DE MOTORIST*"),0)</f>
        <v>0</v>
      </c>
      <c r="O988" s="10">
        <f t="shared" si="80"/>
        <v>0</v>
      </c>
      <c r="P988" s="10">
        <f>IFERROR(SUMIFS('Base bordo CD'!M$2:M$875,'Base bordo CD'!D$2:D$875,A988,'Base bordo CD'!A$2:A$875,B988),0)</f>
        <v>0</v>
      </c>
      <c r="Q988" s="10">
        <f>IFERROR(SUMIFS('Base bordo CD'!O$2:O$875,'Base bordo CD'!D$2:D$875,A988,'Base bordo CD'!A$2:A$875,B988,'Base bordo CD'!L$2:L$875,"CORTE DE CANA MECANIZADO"),0)</f>
        <v>0</v>
      </c>
      <c r="R988" s="10">
        <f>IFERROR(SUMIFS('Base bordo CD'!Q$2:Q$875,'Base bordo CD'!D$2:D$875,A988,'Base bordo CD'!A$2:A$875,B988,'Base bordo CD'!L$2:L$875,"CORTE DE CANA MECANIZADO"),0)</f>
        <v>0</v>
      </c>
      <c r="S988" s="30" t="str">
        <f t="shared" si="81"/>
        <v/>
      </c>
      <c r="T988" s="9">
        <f t="shared" si="82"/>
        <v>0</v>
      </c>
      <c r="U988" s="9">
        <f t="shared" si="83"/>
        <v>0</v>
      </c>
      <c r="V988" s="9">
        <f t="shared" si="84"/>
        <v>0</v>
      </c>
    </row>
    <row r="989" spans="1:22" hidden="1" x14ac:dyDescent="0.35">
      <c r="A989" s="52">
        <v>49588</v>
      </c>
      <c r="B989" s="31">
        <v>46117</v>
      </c>
      <c r="C989" s="7" t="s">
        <v>364</v>
      </c>
      <c r="D989" s="7">
        <v>352</v>
      </c>
      <c r="E989" s="10">
        <f>IFERROR(SUMIFS('Base bordo CD'!M$2:M$875,'Base bordo CD'!D$2:D$875,A989,'Base bordo CD'!A$2:A$875,B989,'Base bordo CD'!L$2:L$875,"CORTE DE CANA MECANIZADO"),0)</f>
        <v>0</v>
      </c>
      <c r="F989" s="10">
        <f>IFERROR(SUMIFS('Base bordo CD'!M$2:M$875,'Base bordo CD'!D$2:D$875,A989,'Base bordo CD'!A$2:A$875,B989,'Base bordo CD'!L$2:L$875,"MANOBRA"),0)</f>
        <v>0</v>
      </c>
      <c r="G989" s="10">
        <f>IFERROR(SUMIFS('Base bordo CD'!M$2:M$875,'Base bordo CD'!D$2:D$875,A989,'Base bordo CD'!A$2:A$875,B989,'Base bordo CD'!L$2:L$875,"DESLOCAMENTO"),0)</f>
        <v>0</v>
      </c>
      <c r="H989" s="10">
        <f>IFERROR(SUMIFS('Base bordo CD'!M$2:M$875,'Base bordo CD'!D$2:D$875,A989,'Base bordo CD'!A$2:A$875,B989,'Base bordo CD'!L$2:L$875,"AGUARDANDO MANOBRA DE TRANSBORDO"),0)+IFERROR(SUMIFS('Base bordo CD'!M$2:M$875,'Base bordo CD'!D$2:D$875,A989,'Base bordo CD'!A$2:A$875,B989,'Base bordo CD'!L$2:L$875,"FALTA DE TRANSBORDO"),0)</f>
        <v>0</v>
      </c>
      <c r="I989" s="10">
        <f>IFERROR(SUMIFS('Base bordo CD'!M$2:M$875,'Base bordo CD'!D$2:D$875,A989,'Base bordo CD'!A$2:A$875,B989,'Base bordo CD'!L$2:L$875,"PARADA POR CONDICOES CLIMATICAS"),0)+IFERROR(SUMIFS('Base bordo CD'!M$2:M$875,'Base bordo CD'!D$2:D$875,A989,'Base bordo CD'!A$2:A$875,B989,'Base bordo CD'!L$2:L$875,"TEMPO INDETERMINADO"),0)</f>
        <v>0</v>
      </c>
      <c r="J989" s="10">
        <f>IFERROR(SUMIFS('Base bordo CD'!M$2:M$875,'Base bordo CD'!D$2:D$875,A989,'Base bordo CD'!A$2:A$875,B989,'Base bordo CD'!L$2:L$875,"LIMITAÇÃO INDÚSTRIA"),0)</f>
        <v>0</v>
      </c>
      <c r="K989" s="10">
        <f>IFERROR(SUMIFS('Base bordo CD'!M$2:M$875,'Base bordo CD'!D$2:D$875,A989,'Base bordo CD'!A$2:A$875,B989,'Base bordo CD'!L$2:L$875,"MAN CORRETIVA*"),0)+IFERROR(SUMIFS('Base bordo CD'!M$2:M$875,'Base bordo CD'!D$2:D$875,A989,'Base bordo CD'!A$2:A$875,B989,'Base bordo CD'!L$2:L$875,"AGUARDANDO MANUTENCAO*"),0)+IFERROR(SUMIFS('Base bordo CD'!M$2:M$875,'Base bordo CD'!D$2:D$875,A989,'Base bordo CD'!A$2:A$875,B989,'Base bordo CD'!L$2:L$875,"TROCA DE FAQUINHA"),0)+IFERROR(SUMIFS('Base bordo CD'!M$2:M$875,'Base bordo CD'!D$2:D$875,A989,'Base bordo CD'!A$2:A$875,B989,'Base bordo CD'!L$2:L$875,"LIMPEZA*"),0)</f>
        <v>0</v>
      </c>
      <c r="L989" s="10">
        <f>IFERROR(SUMIFS('Base bordo CD'!M$2:M$875,'Base bordo CD'!D$2:D$875,A989,'Base bordo CD'!A$2:A$875,B989,'Base bordo CD'!L$2:L$875,"PATIO - RESERVA"),0)</f>
        <v>0</v>
      </c>
      <c r="M989" s="10">
        <f>IFERROR(SUMIFS('Base bordo CD'!M$2:M$875,'Base bordo CD'!D$2:D$875,A989,'Base bordo CD'!A$2:A$875,B989,'Base bordo CD'!L$2:L$875,"SEM APONTAMENTO"),0)</f>
        <v>0</v>
      </c>
      <c r="N989" s="10">
        <f>IFERROR(SUMIFS('Base bordo CD'!M$2:M$875,'Base bordo CD'!D$2:D$875,A989,'Base bordo CD'!A$2:A$875,B989,'Base bordo CD'!L$2:L$875,"FALTA DE CAMINHÃO"),0)+IFERROR(SUMIFS('Base bordo CD'!M$2:M$875,'Base bordo CD'!D$2:D$875,A989,'Base bordo CD'!A$2:A$875,B989,'Base bordo CD'!L$2:L$875,"FALTA DE COMBUSTIVEL"),0)+IFERROR(SUMIFS('Base bordo CD'!M$2:M$875,'Base bordo CD'!D$2:D$875,A989,'Base bordo CD'!A$2:A$875,B989,'Base bordo CD'!L$2:L$875,"FALTA DE MOTORIST*"),0)</f>
        <v>0</v>
      </c>
      <c r="O989" s="10">
        <f t="shared" si="80"/>
        <v>0</v>
      </c>
      <c r="P989" s="10">
        <f>IFERROR(SUMIFS('Base bordo CD'!M$2:M$875,'Base bordo CD'!D$2:D$875,A989,'Base bordo CD'!A$2:A$875,B989),0)</f>
        <v>0</v>
      </c>
      <c r="Q989" s="10">
        <f>IFERROR(SUMIFS('Base bordo CD'!O$2:O$875,'Base bordo CD'!D$2:D$875,A989,'Base bordo CD'!A$2:A$875,B989,'Base bordo CD'!L$2:L$875,"CORTE DE CANA MECANIZADO"),0)</f>
        <v>0</v>
      </c>
      <c r="R989" s="10">
        <f>IFERROR(SUMIFS('Base bordo CD'!Q$2:Q$875,'Base bordo CD'!D$2:D$875,A989,'Base bordo CD'!A$2:A$875,B989,'Base bordo CD'!L$2:L$875,"CORTE DE CANA MECANIZADO"),0)</f>
        <v>0</v>
      </c>
      <c r="S989" s="30" t="str">
        <f t="shared" si="81"/>
        <v/>
      </c>
      <c r="T989" s="9">
        <f t="shared" si="82"/>
        <v>0</v>
      </c>
      <c r="U989" s="9">
        <f t="shared" si="83"/>
        <v>0</v>
      </c>
      <c r="V989" s="9">
        <f t="shared" si="84"/>
        <v>0</v>
      </c>
    </row>
    <row r="990" spans="1:22" hidden="1" x14ac:dyDescent="0.35">
      <c r="A990" s="52">
        <v>49588</v>
      </c>
      <c r="B990" s="31">
        <v>46117</v>
      </c>
      <c r="C990" s="7" t="s">
        <v>364</v>
      </c>
      <c r="D990" s="7">
        <v>352</v>
      </c>
      <c r="E990" s="10">
        <f>IFERROR(SUMIFS('Base bordo CD'!M$2:M$875,'Base bordo CD'!D$2:D$875,A990,'Base bordo CD'!A$2:A$875,B990,'Base bordo CD'!L$2:L$875,"CORTE DE CANA MECANIZADO"),0)</f>
        <v>0</v>
      </c>
      <c r="F990" s="10">
        <f>IFERROR(SUMIFS('Base bordo CD'!M$2:M$875,'Base bordo CD'!D$2:D$875,A990,'Base bordo CD'!A$2:A$875,B990,'Base bordo CD'!L$2:L$875,"MANOBRA"),0)</f>
        <v>0</v>
      </c>
      <c r="G990" s="10">
        <f>IFERROR(SUMIFS('Base bordo CD'!M$2:M$875,'Base bordo CD'!D$2:D$875,A990,'Base bordo CD'!A$2:A$875,B990,'Base bordo CD'!L$2:L$875,"DESLOCAMENTO"),0)</f>
        <v>0</v>
      </c>
      <c r="H990" s="10">
        <f>IFERROR(SUMIFS('Base bordo CD'!M$2:M$875,'Base bordo CD'!D$2:D$875,A990,'Base bordo CD'!A$2:A$875,B990,'Base bordo CD'!L$2:L$875,"AGUARDANDO MANOBRA DE TRANSBORDO"),0)+IFERROR(SUMIFS('Base bordo CD'!M$2:M$875,'Base bordo CD'!D$2:D$875,A990,'Base bordo CD'!A$2:A$875,B990,'Base bordo CD'!L$2:L$875,"FALTA DE TRANSBORDO"),0)</f>
        <v>0</v>
      </c>
      <c r="I990" s="10">
        <f>IFERROR(SUMIFS('Base bordo CD'!M$2:M$875,'Base bordo CD'!D$2:D$875,A990,'Base bordo CD'!A$2:A$875,B990,'Base bordo CD'!L$2:L$875,"PARADA POR CONDICOES CLIMATICAS"),0)+IFERROR(SUMIFS('Base bordo CD'!M$2:M$875,'Base bordo CD'!D$2:D$875,A990,'Base bordo CD'!A$2:A$875,B990,'Base bordo CD'!L$2:L$875,"TEMPO INDETERMINADO"),0)</f>
        <v>0</v>
      </c>
      <c r="J990" s="10">
        <f>IFERROR(SUMIFS('Base bordo CD'!M$2:M$875,'Base bordo CD'!D$2:D$875,A990,'Base bordo CD'!A$2:A$875,B990,'Base bordo CD'!L$2:L$875,"LIMITAÇÃO INDÚSTRIA"),0)</f>
        <v>0</v>
      </c>
      <c r="K990" s="10">
        <f>IFERROR(SUMIFS('Base bordo CD'!M$2:M$875,'Base bordo CD'!D$2:D$875,A990,'Base bordo CD'!A$2:A$875,B990,'Base bordo CD'!L$2:L$875,"MAN CORRETIVA*"),0)+IFERROR(SUMIFS('Base bordo CD'!M$2:M$875,'Base bordo CD'!D$2:D$875,A990,'Base bordo CD'!A$2:A$875,B990,'Base bordo CD'!L$2:L$875,"AGUARDANDO MANUTENCAO*"),0)+IFERROR(SUMIFS('Base bordo CD'!M$2:M$875,'Base bordo CD'!D$2:D$875,A990,'Base bordo CD'!A$2:A$875,B990,'Base bordo CD'!L$2:L$875,"TROCA DE FAQUINHA"),0)+IFERROR(SUMIFS('Base bordo CD'!M$2:M$875,'Base bordo CD'!D$2:D$875,A990,'Base bordo CD'!A$2:A$875,B990,'Base bordo CD'!L$2:L$875,"LIMPEZA*"),0)</f>
        <v>0</v>
      </c>
      <c r="L990" s="10">
        <f>IFERROR(SUMIFS('Base bordo CD'!M$2:M$875,'Base bordo CD'!D$2:D$875,A990,'Base bordo CD'!A$2:A$875,B990,'Base bordo CD'!L$2:L$875,"PATIO - RESERVA"),0)</f>
        <v>0</v>
      </c>
      <c r="M990" s="10">
        <f>IFERROR(SUMIFS('Base bordo CD'!M$2:M$875,'Base bordo CD'!D$2:D$875,A990,'Base bordo CD'!A$2:A$875,B990,'Base bordo CD'!L$2:L$875,"SEM APONTAMENTO"),0)</f>
        <v>0</v>
      </c>
      <c r="N990" s="10">
        <f>IFERROR(SUMIFS('Base bordo CD'!M$2:M$875,'Base bordo CD'!D$2:D$875,A990,'Base bordo CD'!A$2:A$875,B990,'Base bordo CD'!L$2:L$875,"FALTA DE CAMINHÃO"),0)+IFERROR(SUMIFS('Base bordo CD'!M$2:M$875,'Base bordo CD'!D$2:D$875,A990,'Base bordo CD'!A$2:A$875,B990,'Base bordo CD'!L$2:L$875,"FALTA DE COMBUSTIVEL"),0)+IFERROR(SUMIFS('Base bordo CD'!M$2:M$875,'Base bordo CD'!D$2:D$875,A990,'Base bordo CD'!A$2:A$875,B990,'Base bordo CD'!L$2:L$875,"FALTA DE MOTORIST*"),0)</f>
        <v>0</v>
      </c>
      <c r="O990" s="10">
        <f t="shared" si="80"/>
        <v>0</v>
      </c>
      <c r="P990" s="10">
        <f>IFERROR(SUMIFS('Base bordo CD'!M$2:M$875,'Base bordo CD'!D$2:D$875,A990,'Base bordo CD'!A$2:A$875,B990),0)</f>
        <v>0</v>
      </c>
      <c r="Q990" s="10">
        <f>IFERROR(SUMIFS('Base bordo CD'!O$2:O$875,'Base bordo CD'!D$2:D$875,A990,'Base bordo CD'!A$2:A$875,B990,'Base bordo CD'!L$2:L$875,"CORTE DE CANA MECANIZADO"),0)</f>
        <v>0</v>
      </c>
      <c r="R990" s="10">
        <f>IFERROR(SUMIFS('Base bordo CD'!Q$2:Q$875,'Base bordo CD'!D$2:D$875,A990,'Base bordo CD'!A$2:A$875,B990,'Base bordo CD'!L$2:L$875,"CORTE DE CANA MECANIZADO"),0)</f>
        <v>0</v>
      </c>
      <c r="S990" s="30" t="str">
        <f t="shared" si="81"/>
        <v/>
      </c>
      <c r="T990" s="9">
        <f t="shared" si="82"/>
        <v>0</v>
      </c>
      <c r="U990" s="9">
        <f t="shared" si="83"/>
        <v>0</v>
      </c>
      <c r="V990" s="9">
        <f t="shared" si="84"/>
        <v>0</v>
      </c>
    </row>
    <row r="991" spans="1:22" hidden="1" x14ac:dyDescent="0.35">
      <c r="A991" s="52">
        <v>49588</v>
      </c>
      <c r="B991" s="31">
        <v>46117</v>
      </c>
      <c r="C991" s="7" t="s">
        <v>364</v>
      </c>
      <c r="D991" s="7">
        <v>352</v>
      </c>
      <c r="E991" s="10">
        <f>IFERROR(SUMIFS('Base bordo CD'!M$2:M$875,'Base bordo CD'!D$2:D$875,A991,'Base bordo CD'!A$2:A$875,B991,'Base bordo CD'!L$2:L$875,"CORTE DE CANA MECANIZADO"),0)</f>
        <v>0</v>
      </c>
      <c r="F991" s="10">
        <f>IFERROR(SUMIFS('Base bordo CD'!M$2:M$875,'Base bordo CD'!D$2:D$875,A991,'Base bordo CD'!A$2:A$875,B991,'Base bordo CD'!L$2:L$875,"MANOBRA"),0)</f>
        <v>0</v>
      </c>
      <c r="G991" s="10">
        <f>IFERROR(SUMIFS('Base bordo CD'!M$2:M$875,'Base bordo CD'!D$2:D$875,A991,'Base bordo CD'!A$2:A$875,B991,'Base bordo CD'!L$2:L$875,"DESLOCAMENTO"),0)</f>
        <v>0</v>
      </c>
      <c r="H991" s="10">
        <f>IFERROR(SUMIFS('Base bordo CD'!M$2:M$875,'Base bordo CD'!D$2:D$875,A991,'Base bordo CD'!A$2:A$875,B991,'Base bordo CD'!L$2:L$875,"AGUARDANDO MANOBRA DE TRANSBORDO"),0)+IFERROR(SUMIFS('Base bordo CD'!M$2:M$875,'Base bordo CD'!D$2:D$875,A991,'Base bordo CD'!A$2:A$875,B991,'Base bordo CD'!L$2:L$875,"FALTA DE TRANSBORDO"),0)</f>
        <v>0</v>
      </c>
      <c r="I991" s="10">
        <f>IFERROR(SUMIFS('Base bordo CD'!M$2:M$875,'Base bordo CD'!D$2:D$875,A991,'Base bordo CD'!A$2:A$875,B991,'Base bordo CD'!L$2:L$875,"PARADA POR CONDICOES CLIMATICAS"),0)+IFERROR(SUMIFS('Base bordo CD'!M$2:M$875,'Base bordo CD'!D$2:D$875,A991,'Base bordo CD'!A$2:A$875,B991,'Base bordo CD'!L$2:L$875,"TEMPO INDETERMINADO"),0)</f>
        <v>0</v>
      </c>
      <c r="J991" s="10">
        <f>IFERROR(SUMIFS('Base bordo CD'!M$2:M$875,'Base bordo CD'!D$2:D$875,A991,'Base bordo CD'!A$2:A$875,B991,'Base bordo CD'!L$2:L$875,"LIMITAÇÃO INDÚSTRIA"),0)</f>
        <v>0</v>
      </c>
      <c r="K991" s="10">
        <f>IFERROR(SUMIFS('Base bordo CD'!M$2:M$875,'Base bordo CD'!D$2:D$875,A991,'Base bordo CD'!A$2:A$875,B991,'Base bordo CD'!L$2:L$875,"MAN CORRETIVA*"),0)+IFERROR(SUMIFS('Base bordo CD'!M$2:M$875,'Base bordo CD'!D$2:D$875,A991,'Base bordo CD'!A$2:A$875,B991,'Base bordo CD'!L$2:L$875,"AGUARDANDO MANUTENCAO*"),0)+IFERROR(SUMIFS('Base bordo CD'!M$2:M$875,'Base bordo CD'!D$2:D$875,A991,'Base bordo CD'!A$2:A$875,B991,'Base bordo CD'!L$2:L$875,"TROCA DE FAQUINHA"),0)+IFERROR(SUMIFS('Base bordo CD'!M$2:M$875,'Base bordo CD'!D$2:D$875,A991,'Base bordo CD'!A$2:A$875,B991,'Base bordo CD'!L$2:L$875,"LIMPEZA*"),0)</f>
        <v>0</v>
      </c>
      <c r="L991" s="10">
        <f>IFERROR(SUMIFS('Base bordo CD'!M$2:M$875,'Base bordo CD'!D$2:D$875,A991,'Base bordo CD'!A$2:A$875,B991,'Base bordo CD'!L$2:L$875,"PATIO - RESERVA"),0)</f>
        <v>0</v>
      </c>
      <c r="M991" s="10">
        <f>IFERROR(SUMIFS('Base bordo CD'!M$2:M$875,'Base bordo CD'!D$2:D$875,A991,'Base bordo CD'!A$2:A$875,B991,'Base bordo CD'!L$2:L$875,"SEM APONTAMENTO"),0)</f>
        <v>0</v>
      </c>
      <c r="N991" s="10">
        <f>IFERROR(SUMIFS('Base bordo CD'!M$2:M$875,'Base bordo CD'!D$2:D$875,A991,'Base bordo CD'!A$2:A$875,B991,'Base bordo CD'!L$2:L$875,"FALTA DE CAMINHÃO"),0)+IFERROR(SUMIFS('Base bordo CD'!M$2:M$875,'Base bordo CD'!D$2:D$875,A991,'Base bordo CD'!A$2:A$875,B991,'Base bordo CD'!L$2:L$875,"FALTA DE COMBUSTIVEL"),0)+IFERROR(SUMIFS('Base bordo CD'!M$2:M$875,'Base bordo CD'!D$2:D$875,A991,'Base bordo CD'!A$2:A$875,B991,'Base bordo CD'!L$2:L$875,"FALTA DE MOTORIST*"),0)</f>
        <v>0</v>
      </c>
      <c r="O991" s="10">
        <f t="shared" si="80"/>
        <v>0</v>
      </c>
      <c r="P991" s="10">
        <f>IFERROR(SUMIFS('Base bordo CD'!M$2:M$875,'Base bordo CD'!D$2:D$875,A991,'Base bordo CD'!A$2:A$875,B991),0)</f>
        <v>0</v>
      </c>
      <c r="Q991" s="10">
        <f>IFERROR(SUMIFS('Base bordo CD'!O$2:O$875,'Base bordo CD'!D$2:D$875,A991,'Base bordo CD'!A$2:A$875,B991,'Base bordo CD'!L$2:L$875,"CORTE DE CANA MECANIZADO"),0)</f>
        <v>0</v>
      </c>
      <c r="R991" s="10">
        <f>IFERROR(SUMIFS('Base bordo CD'!Q$2:Q$875,'Base bordo CD'!D$2:D$875,A991,'Base bordo CD'!A$2:A$875,B991,'Base bordo CD'!L$2:L$875,"CORTE DE CANA MECANIZADO"),0)</f>
        <v>0</v>
      </c>
      <c r="S991" s="30" t="str">
        <f t="shared" si="81"/>
        <v/>
      </c>
      <c r="T991" s="9">
        <f t="shared" si="82"/>
        <v>0</v>
      </c>
      <c r="U991" s="9">
        <f t="shared" si="83"/>
        <v>0</v>
      </c>
      <c r="V991" s="9">
        <f t="shared" si="84"/>
        <v>0</v>
      </c>
    </row>
    <row r="992" spans="1:22" hidden="1" x14ac:dyDescent="0.35">
      <c r="A992" s="52">
        <v>49588</v>
      </c>
      <c r="B992" s="31">
        <v>46117</v>
      </c>
      <c r="C992" s="7" t="s">
        <v>364</v>
      </c>
      <c r="D992" s="7">
        <v>352</v>
      </c>
      <c r="E992" s="10">
        <f>IFERROR(SUMIFS('Base bordo CD'!M$2:M$875,'Base bordo CD'!D$2:D$875,A992,'Base bordo CD'!A$2:A$875,B992,'Base bordo CD'!L$2:L$875,"CORTE DE CANA MECANIZADO"),0)</f>
        <v>0</v>
      </c>
      <c r="F992" s="10">
        <f>IFERROR(SUMIFS('Base bordo CD'!M$2:M$875,'Base bordo CD'!D$2:D$875,A992,'Base bordo CD'!A$2:A$875,B992,'Base bordo CD'!L$2:L$875,"MANOBRA"),0)</f>
        <v>0</v>
      </c>
      <c r="G992" s="10">
        <f>IFERROR(SUMIFS('Base bordo CD'!M$2:M$875,'Base bordo CD'!D$2:D$875,A992,'Base bordo CD'!A$2:A$875,B992,'Base bordo CD'!L$2:L$875,"DESLOCAMENTO"),0)</f>
        <v>0</v>
      </c>
      <c r="H992" s="10">
        <f>IFERROR(SUMIFS('Base bordo CD'!M$2:M$875,'Base bordo CD'!D$2:D$875,A992,'Base bordo CD'!A$2:A$875,B992,'Base bordo CD'!L$2:L$875,"AGUARDANDO MANOBRA DE TRANSBORDO"),0)+IFERROR(SUMIFS('Base bordo CD'!M$2:M$875,'Base bordo CD'!D$2:D$875,A992,'Base bordo CD'!A$2:A$875,B992,'Base bordo CD'!L$2:L$875,"FALTA DE TRANSBORDO"),0)</f>
        <v>0</v>
      </c>
      <c r="I992" s="10">
        <f>IFERROR(SUMIFS('Base bordo CD'!M$2:M$875,'Base bordo CD'!D$2:D$875,A992,'Base bordo CD'!A$2:A$875,B992,'Base bordo CD'!L$2:L$875,"PARADA POR CONDICOES CLIMATICAS"),0)+IFERROR(SUMIFS('Base bordo CD'!M$2:M$875,'Base bordo CD'!D$2:D$875,A992,'Base bordo CD'!A$2:A$875,B992,'Base bordo CD'!L$2:L$875,"TEMPO INDETERMINADO"),0)</f>
        <v>0</v>
      </c>
      <c r="J992" s="10">
        <f>IFERROR(SUMIFS('Base bordo CD'!M$2:M$875,'Base bordo CD'!D$2:D$875,A992,'Base bordo CD'!A$2:A$875,B992,'Base bordo CD'!L$2:L$875,"LIMITAÇÃO INDÚSTRIA"),0)</f>
        <v>0</v>
      </c>
      <c r="K992" s="10">
        <f>IFERROR(SUMIFS('Base bordo CD'!M$2:M$875,'Base bordo CD'!D$2:D$875,A992,'Base bordo CD'!A$2:A$875,B992,'Base bordo CD'!L$2:L$875,"MAN CORRETIVA*"),0)+IFERROR(SUMIFS('Base bordo CD'!M$2:M$875,'Base bordo CD'!D$2:D$875,A992,'Base bordo CD'!A$2:A$875,B992,'Base bordo CD'!L$2:L$875,"AGUARDANDO MANUTENCAO*"),0)+IFERROR(SUMIFS('Base bordo CD'!M$2:M$875,'Base bordo CD'!D$2:D$875,A992,'Base bordo CD'!A$2:A$875,B992,'Base bordo CD'!L$2:L$875,"TROCA DE FAQUINHA"),0)+IFERROR(SUMIFS('Base bordo CD'!M$2:M$875,'Base bordo CD'!D$2:D$875,A992,'Base bordo CD'!A$2:A$875,B992,'Base bordo CD'!L$2:L$875,"LIMPEZA*"),0)</f>
        <v>0</v>
      </c>
      <c r="L992" s="10">
        <f>IFERROR(SUMIFS('Base bordo CD'!M$2:M$875,'Base bordo CD'!D$2:D$875,A992,'Base bordo CD'!A$2:A$875,B992,'Base bordo CD'!L$2:L$875,"PATIO - RESERVA"),0)</f>
        <v>0</v>
      </c>
      <c r="M992" s="10">
        <f>IFERROR(SUMIFS('Base bordo CD'!M$2:M$875,'Base bordo CD'!D$2:D$875,A992,'Base bordo CD'!A$2:A$875,B992,'Base bordo CD'!L$2:L$875,"SEM APONTAMENTO"),0)</f>
        <v>0</v>
      </c>
      <c r="N992" s="10">
        <f>IFERROR(SUMIFS('Base bordo CD'!M$2:M$875,'Base bordo CD'!D$2:D$875,A992,'Base bordo CD'!A$2:A$875,B992,'Base bordo CD'!L$2:L$875,"FALTA DE CAMINHÃO"),0)+IFERROR(SUMIFS('Base bordo CD'!M$2:M$875,'Base bordo CD'!D$2:D$875,A992,'Base bordo CD'!A$2:A$875,B992,'Base bordo CD'!L$2:L$875,"FALTA DE COMBUSTIVEL"),0)+IFERROR(SUMIFS('Base bordo CD'!M$2:M$875,'Base bordo CD'!D$2:D$875,A992,'Base bordo CD'!A$2:A$875,B992,'Base bordo CD'!L$2:L$875,"FALTA DE MOTORIST*"),0)</f>
        <v>0</v>
      </c>
      <c r="O992" s="10">
        <f t="shared" si="80"/>
        <v>0</v>
      </c>
      <c r="P992" s="10">
        <f>IFERROR(SUMIFS('Base bordo CD'!M$2:M$875,'Base bordo CD'!D$2:D$875,A992,'Base bordo CD'!A$2:A$875,B992),0)</f>
        <v>0</v>
      </c>
      <c r="Q992" s="10">
        <f>IFERROR(SUMIFS('Base bordo CD'!O$2:O$875,'Base bordo CD'!D$2:D$875,A992,'Base bordo CD'!A$2:A$875,B992,'Base bordo CD'!L$2:L$875,"CORTE DE CANA MECANIZADO"),0)</f>
        <v>0</v>
      </c>
      <c r="R992" s="10">
        <f>IFERROR(SUMIFS('Base bordo CD'!Q$2:Q$875,'Base bordo CD'!D$2:D$875,A992,'Base bordo CD'!A$2:A$875,B992,'Base bordo CD'!L$2:L$875,"CORTE DE CANA MECANIZADO"),0)</f>
        <v>0</v>
      </c>
      <c r="S992" s="30" t="str">
        <f t="shared" si="81"/>
        <v/>
      </c>
      <c r="T992" s="9">
        <f t="shared" si="82"/>
        <v>0</v>
      </c>
      <c r="U992" s="9">
        <f t="shared" si="83"/>
        <v>0</v>
      </c>
      <c r="V992" s="9">
        <f t="shared" si="84"/>
        <v>0</v>
      </c>
    </row>
    <row r="993" spans="1:22" hidden="1" x14ac:dyDescent="0.35">
      <c r="A993" s="52">
        <v>49588</v>
      </c>
      <c r="B993" s="31">
        <v>46117</v>
      </c>
      <c r="C993" s="7" t="s">
        <v>364</v>
      </c>
      <c r="D993" s="7">
        <v>352</v>
      </c>
      <c r="E993" s="10">
        <f>IFERROR(SUMIFS('Base bordo CD'!M$2:M$875,'Base bordo CD'!D$2:D$875,A993,'Base bordo CD'!A$2:A$875,B993,'Base bordo CD'!L$2:L$875,"CORTE DE CANA MECANIZADO"),0)</f>
        <v>0</v>
      </c>
      <c r="F993" s="10">
        <f>IFERROR(SUMIFS('Base bordo CD'!M$2:M$875,'Base bordo CD'!D$2:D$875,A993,'Base bordo CD'!A$2:A$875,B993,'Base bordo CD'!L$2:L$875,"MANOBRA"),0)</f>
        <v>0</v>
      </c>
      <c r="G993" s="10">
        <f>IFERROR(SUMIFS('Base bordo CD'!M$2:M$875,'Base bordo CD'!D$2:D$875,A993,'Base bordo CD'!A$2:A$875,B993,'Base bordo CD'!L$2:L$875,"DESLOCAMENTO"),0)</f>
        <v>0</v>
      </c>
      <c r="H993" s="10">
        <f>IFERROR(SUMIFS('Base bordo CD'!M$2:M$875,'Base bordo CD'!D$2:D$875,A993,'Base bordo CD'!A$2:A$875,B993,'Base bordo CD'!L$2:L$875,"AGUARDANDO MANOBRA DE TRANSBORDO"),0)+IFERROR(SUMIFS('Base bordo CD'!M$2:M$875,'Base bordo CD'!D$2:D$875,A993,'Base bordo CD'!A$2:A$875,B993,'Base bordo CD'!L$2:L$875,"FALTA DE TRANSBORDO"),0)</f>
        <v>0</v>
      </c>
      <c r="I993" s="10">
        <f>IFERROR(SUMIFS('Base bordo CD'!M$2:M$875,'Base bordo CD'!D$2:D$875,A993,'Base bordo CD'!A$2:A$875,B993,'Base bordo CD'!L$2:L$875,"PARADA POR CONDICOES CLIMATICAS"),0)+IFERROR(SUMIFS('Base bordo CD'!M$2:M$875,'Base bordo CD'!D$2:D$875,A993,'Base bordo CD'!A$2:A$875,B993,'Base bordo CD'!L$2:L$875,"TEMPO INDETERMINADO"),0)</f>
        <v>0</v>
      </c>
      <c r="J993" s="10">
        <f>IFERROR(SUMIFS('Base bordo CD'!M$2:M$875,'Base bordo CD'!D$2:D$875,A993,'Base bordo CD'!A$2:A$875,B993,'Base bordo CD'!L$2:L$875,"LIMITAÇÃO INDÚSTRIA"),0)</f>
        <v>0</v>
      </c>
      <c r="K993" s="10">
        <f>IFERROR(SUMIFS('Base bordo CD'!M$2:M$875,'Base bordo CD'!D$2:D$875,A993,'Base bordo CD'!A$2:A$875,B993,'Base bordo CD'!L$2:L$875,"MAN CORRETIVA*"),0)+IFERROR(SUMIFS('Base bordo CD'!M$2:M$875,'Base bordo CD'!D$2:D$875,A993,'Base bordo CD'!A$2:A$875,B993,'Base bordo CD'!L$2:L$875,"AGUARDANDO MANUTENCAO*"),0)+IFERROR(SUMIFS('Base bordo CD'!M$2:M$875,'Base bordo CD'!D$2:D$875,A993,'Base bordo CD'!A$2:A$875,B993,'Base bordo CD'!L$2:L$875,"TROCA DE FAQUINHA"),0)+IFERROR(SUMIFS('Base bordo CD'!M$2:M$875,'Base bordo CD'!D$2:D$875,A993,'Base bordo CD'!A$2:A$875,B993,'Base bordo CD'!L$2:L$875,"LIMPEZA*"),0)</f>
        <v>0</v>
      </c>
      <c r="L993" s="10">
        <f>IFERROR(SUMIFS('Base bordo CD'!M$2:M$875,'Base bordo CD'!D$2:D$875,A993,'Base bordo CD'!A$2:A$875,B993,'Base bordo CD'!L$2:L$875,"PATIO - RESERVA"),0)</f>
        <v>0</v>
      </c>
      <c r="M993" s="10">
        <f>IFERROR(SUMIFS('Base bordo CD'!M$2:M$875,'Base bordo CD'!D$2:D$875,A993,'Base bordo CD'!A$2:A$875,B993,'Base bordo CD'!L$2:L$875,"SEM APONTAMENTO"),0)</f>
        <v>0</v>
      </c>
      <c r="N993" s="10">
        <f>IFERROR(SUMIFS('Base bordo CD'!M$2:M$875,'Base bordo CD'!D$2:D$875,A993,'Base bordo CD'!A$2:A$875,B993,'Base bordo CD'!L$2:L$875,"FALTA DE CAMINHÃO"),0)+IFERROR(SUMIFS('Base bordo CD'!M$2:M$875,'Base bordo CD'!D$2:D$875,A993,'Base bordo CD'!A$2:A$875,B993,'Base bordo CD'!L$2:L$875,"FALTA DE COMBUSTIVEL"),0)+IFERROR(SUMIFS('Base bordo CD'!M$2:M$875,'Base bordo CD'!D$2:D$875,A993,'Base bordo CD'!A$2:A$875,B993,'Base bordo CD'!L$2:L$875,"FALTA DE MOTORIST*"),0)</f>
        <v>0</v>
      </c>
      <c r="O993" s="10">
        <f t="shared" si="80"/>
        <v>0</v>
      </c>
      <c r="P993" s="10">
        <f>IFERROR(SUMIFS('Base bordo CD'!M$2:M$875,'Base bordo CD'!D$2:D$875,A993,'Base bordo CD'!A$2:A$875,B993),0)</f>
        <v>0</v>
      </c>
      <c r="Q993" s="10">
        <f>IFERROR(SUMIFS('Base bordo CD'!O$2:O$875,'Base bordo CD'!D$2:D$875,A993,'Base bordo CD'!A$2:A$875,B993,'Base bordo CD'!L$2:L$875,"CORTE DE CANA MECANIZADO"),0)</f>
        <v>0</v>
      </c>
      <c r="R993" s="10">
        <f>IFERROR(SUMIFS('Base bordo CD'!Q$2:Q$875,'Base bordo CD'!D$2:D$875,A993,'Base bordo CD'!A$2:A$875,B993,'Base bordo CD'!L$2:L$875,"CORTE DE CANA MECANIZADO"),0)</f>
        <v>0</v>
      </c>
      <c r="S993" s="30" t="str">
        <f t="shared" si="81"/>
        <v/>
      </c>
      <c r="T993" s="9">
        <f t="shared" si="82"/>
        <v>0</v>
      </c>
      <c r="U993" s="9">
        <f t="shared" si="83"/>
        <v>0</v>
      </c>
      <c r="V993" s="9">
        <f t="shared" si="84"/>
        <v>0</v>
      </c>
    </row>
    <row r="994" spans="1:22" hidden="1" x14ac:dyDescent="0.35">
      <c r="A994" s="52">
        <v>49588</v>
      </c>
      <c r="B994" s="31">
        <v>46117</v>
      </c>
      <c r="C994" s="7" t="s">
        <v>364</v>
      </c>
      <c r="D994" s="7">
        <v>352</v>
      </c>
      <c r="E994" s="10">
        <f>IFERROR(SUMIFS('Base bordo CD'!M$2:M$875,'Base bordo CD'!D$2:D$875,A994,'Base bordo CD'!A$2:A$875,B994,'Base bordo CD'!L$2:L$875,"CORTE DE CANA MECANIZADO"),0)</f>
        <v>0</v>
      </c>
      <c r="F994" s="10">
        <f>IFERROR(SUMIFS('Base bordo CD'!M$2:M$875,'Base bordo CD'!D$2:D$875,A994,'Base bordo CD'!A$2:A$875,B994,'Base bordo CD'!L$2:L$875,"MANOBRA"),0)</f>
        <v>0</v>
      </c>
      <c r="G994" s="10">
        <f>IFERROR(SUMIFS('Base bordo CD'!M$2:M$875,'Base bordo CD'!D$2:D$875,A994,'Base bordo CD'!A$2:A$875,B994,'Base bordo CD'!L$2:L$875,"DESLOCAMENTO"),0)</f>
        <v>0</v>
      </c>
      <c r="H994" s="10">
        <f>IFERROR(SUMIFS('Base bordo CD'!M$2:M$875,'Base bordo CD'!D$2:D$875,A994,'Base bordo CD'!A$2:A$875,B994,'Base bordo CD'!L$2:L$875,"AGUARDANDO MANOBRA DE TRANSBORDO"),0)+IFERROR(SUMIFS('Base bordo CD'!M$2:M$875,'Base bordo CD'!D$2:D$875,A994,'Base bordo CD'!A$2:A$875,B994,'Base bordo CD'!L$2:L$875,"FALTA DE TRANSBORDO"),0)</f>
        <v>0</v>
      </c>
      <c r="I994" s="10">
        <f>IFERROR(SUMIFS('Base bordo CD'!M$2:M$875,'Base bordo CD'!D$2:D$875,A994,'Base bordo CD'!A$2:A$875,B994,'Base bordo CD'!L$2:L$875,"PARADA POR CONDICOES CLIMATICAS"),0)+IFERROR(SUMIFS('Base bordo CD'!M$2:M$875,'Base bordo CD'!D$2:D$875,A994,'Base bordo CD'!A$2:A$875,B994,'Base bordo CD'!L$2:L$875,"TEMPO INDETERMINADO"),0)</f>
        <v>0</v>
      </c>
      <c r="J994" s="10">
        <f>IFERROR(SUMIFS('Base bordo CD'!M$2:M$875,'Base bordo CD'!D$2:D$875,A994,'Base bordo CD'!A$2:A$875,B994,'Base bordo CD'!L$2:L$875,"LIMITAÇÃO INDÚSTRIA"),0)</f>
        <v>0</v>
      </c>
      <c r="K994" s="10">
        <f>IFERROR(SUMIFS('Base bordo CD'!M$2:M$875,'Base bordo CD'!D$2:D$875,A994,'Base bordo CD'!A$2:A$875,B994,'Base bordo CD'!L$2:L$875,"MAN CORRETIVA*"),0)+IFERROR(SUMIFS('Base bordo CD'!M$2:M$875,'Base bordo CD'!D$2:D$875,A994,'Base bordo CD'!A$2:A$875,B994,'Base bordo CD'!L$2:L$875,"AGUARDANDO MANUTENCAO*"),0)+IFERROR(SUMIFS('Base bordo CD'!M$2:M$875,'Base bordo CD'!D$2:D$875,A994,'Base bordo CD'!A$2:A$875,B994,'Base bordo CD'!L$2:L$875,"TROCA DE FAQUINHA"),0)+IFERROR(SUMIFS('Base bordo CD'!M$2:M$875,'Base bordo CD'!D$2:D$875,A994,'Base bordo CD'!A$2:A$875,B994,'Base bordo CD'!L$2:L$875,"LIMPEZA*"),0)</f>
        <v>0</v>
      </c>
      <c r="L994" s="10">
        <f>IFERROR(SUMIFS('Base bordo CD'!M$2:M$875,'Base bordo CD'!D$2:D$875,A994,'Base bordo CD'!A$2:A$875,B994,'Base bordo CD'!L$2:L$875,"PATIO - RESERVA"),0)</f>
        <v>0</v>
      </c>
      <c r="M994" s="10">
        <f>IFERROR(SUMIFS('Base bordo CD'!M$2:M$875,'Base bordo CD'!D$2:D$875,A994,'Base bordo CD'!A$2:A$875,B994,'Base bordo CD'!L$2:L$875,"SEM APONTAMENTO"),0)</f>
        <v>0</v>
      </c>
      <c r="N994" s="10">
        <f>IFERROR(SUMIFS('Base bordo CD'!M$2:M$875,'Base bordo CD'!D$2:D$875,A994,'Base bordo CD'!A$2:A$875,B994,'Base bordo CD'!L$2:L$875,"FALTA DE CAMINHÃO"),0)+IFERROR(SUMIFS('Base bordo CD'!M$2:M$875,'Base bordo CD'!D$2:D$875,A994,'Base bordo CD'!A$2:A$875,B994,'Base bordo CD'!L$2:L$875,"FALTA DE COMBUSTIVEL"),0)+IFERROR(SUMIFS('Base bordo CD'!M$2:M$875,'Base bordo CD'!D$2:D$875,A994,'Base bordo CD'!A$2:A$875,B994,'Base bordo CD'!L$2:L$875,"FALTA DE MOTORIST*"),0)</f>
        <v>0</v>
      </c>
      <c r="O994" s="10">
        <f t="shared" si="80"/>
        <v>0</v>
      </c>
      <c r="P994" s="10">
        <f>IFERROR(SUMIFS('Base bordo CD'!M$2:M$875,'Base bordo CD'!D$2:D$875,A994,'Base bordo CD'!A$2:A$875,B994),0)</f>
        <v>0</v>
      </c>
      <c r="Q994" s="10">
        <f>IFERROR(SUMIFS('Base bordo CD'!O$2:O$875,'Base bordo CD'!D$2:D$875,A994,'Base bordo CD'!A$2:A$875,B994,'Base bordo CD'!L$2:L$875,"CORTE DE CANA MECANIZADO"),0)</f>
        <v>0</v>
      </c>
      <c r="R994" s="10">
        <f>IFERROR(SUMIFS('Base bordo CD'!Q$2:Q$875,'Base bordo CD'!D$2:D$875,A994,'Base bordo CD'!A$2:A$875,B994,'Base bordo CD'!L$2:L$875,"CORTE DE CANA MECANIZADO"),0)</f>
        <v>0</v>
      </c>
      <c r="S994" s="30" t="str">
        <f t="shared" si="81"/>
        <v/>
      </c>
      <c r="T994" s="9">
        <f t="shared" si="82"/>
        <v>0</v>
      </c>
      <c r="U994" s="9">
        <f t="shared" si="83"/>
        <v>0</v>
      </c>
      <c r="V994" s="9">
        <f t="shared" si="84"/>
        <v>0</v>
      </c>
    </row>
    <row r="995" spans="1:22" hidden="1" x14ac:dyDescent="0.35">
      <c r="A995" s="52">
        <v>49588</v>
      </c>
      <c r="B995" s="31">
        <v>46117</v>
      </c>
      <c r="C995" s="7" t="s">
        <v>364</v>
      </c>
      <c r="D995" s="7">
        <v>352</v>
      </c>
      <c r="E995" s="10">
        <f>IFERROR(SUMIFS('Base bordo CD'!M$2:M$875,'Base bordo CD'!D$2:D$875,A995,'Base bordo CD'!A$2:A$875,B995,'Base bordo CD'!L$2:L$875,"CORTE DE CANA MECANIZADO"),0)</f>
        <v>0</v>
      </c>
      <c r="F995" s="10">
        <f>IFERROR(SUMIFS('Base bordo CD'!M$2:M$875,'Base bordo CD'!D$2:D$875,A995,'Base bordo CD'!A$2:A$875,B995,'Base bordo CD'!L$2:L$875,"MANOBRA"),0)</f>
        <v>0</v>
      </c>
      <c r="G995" s="10">
        <f>IFERROR(SUMIFS('Base bordo CD'!M$2:M$875,'Base bordo CD'!D$2:D$875,A995,'Base bordo CD'!A$2:A$875,B995,'Base bordo CD'!L$2:L$875,"DESLOCAMENTO"),0)</f>
        <v>0</v>
      </c>
      <c r="H995" s="10">
        <f>IFERROR(SUMIFS('Base bordo CD'!M$2:M$875,'Base bordo CD'!D$2:D$875,A995,'Base bordo CD'!A$2:A$875,B995,'Base bordo CD'!L$2:L$875,"AGUARDANDO MANOBRA DE TRANSBORDO"),0)+IFERROR(SUMIFS('Base bordo CD'!M$2:M$875,'Base bordo CD'!D$2:D$875,A995,'Base bordo CD'!A$2:A$875,B995,'Base bordo CD'!L$2:L$875,"FALTA DE TRANSBORDO"),0)</f>
        <v>0</v>
      </c>
      <c r="I995" s="10">
        <f>IFERROR(SUMIFS('Base bordo CD'!M$2:M$875,'Base bordo CD'!D$2:D$875,A995,'Base bordo CD'!A$2:A$875,B995,'Base bordo CD'!L$2:L$875,"PARADA POR CONDICOES CLIMATICAS"),0)+IFERROR(SUMIFS('Base bordo CD'!M$2:M$875,'Base bordo CD'!D$2:D$875,A995,'Base bordo CD'!A$2:A$875,B995,'Base bordo CD'!L$2:L$875,"TEMPO INDETERMINADO"),0)</f>
        <v>0</v>
      </c>
      <c r="J995" s="10">
        <f>IFERROR(SUMIFS('Base bordo CD'!M$2:M$875,'Base bordo CD'!D$2:D$875,A995,'Base bordo CD'!A$2:A$875,B995,'Base bordo CD'!L$2:L$875,"LIMITAÇÃO INDÚSTRIA"),0)</f>
        <v>0</v>
      </c>
      <c r="K995" s="10">
        <f>IFERROR(SUMIFS('Base bordo CD'!M$2:M$875,'Base bordo CD'!D$2:D$875,A995,'Base bordo CD'!A$2:A$875,B995,'Base bordo CD'!L$2:L$875,"MAN CORRETIVA*"),0)+IFERROR(SUMIFS('Base bordo CD'!M$2:M$875,'Base bordo CD'!D$2:D$875,A995,'Base bordo CD'!A$2:A$875,B995,'Base bordo CD'!L$2:L$875,"AGUARDANDO MANUTENCAO*"),0)+IFERROR(SUMIFS('Base bordo CD'!M$2:M$875,'Base bordo CD'!D$2:D$875,A995,'Base bordo CD'!A$2:A$875,B995,'Base bordo CD'!L$2:L$875,"TROCA DE FAQUINHA"),0)+IFERROR(SUMIFS('Base bordo CD'!M$2:M$875,'Base bordo CD'!D$2:D$875,A995,'Base bordo CD'!A$2:A$875,B995,'Base bordo CD'!L$2:L$875,"LIMPEZA*"),0)</f>
        <v>0</v>
      </c>
      <c r="L995" s="10">
        <f>IFERROR(SUMIFS('Base bordo CD'!M$2:M$875,'Base bordo CD'!D$2:D$875,A995,'Base bordo CD'!A$2:A$875,B995,'Base bordo CD'!L$2:L$875,"PATIO - RESERVA"),0)</f>
        <v>0</v>
      </c>
      <c r="M995" s="10">
        <f>IFERROR(SUMIFS('Base bordo CD'!M$2:M$875,'Base bordo CD'!D$2:D$875,A995,'Base bordo CD'!A$2:A$875,B995,'Base bordo CD'!L$2:L$875,"SEM APONTAMENTO"),0)</f>
        <v>0</v>
      </c>
      <c r="N995" s="10">
        <f>IFERROR(SUMIFS('Base bordo CD'!M$2:M$875,'Base bordo CD'!D$2:D$875,A995,'Base bordo CD'!A$2:A$875,B995,'Base bordo CD'!L$2:L$875,"FALTA DE CAMINHÃO"),0)+IFERROR(SUMIFS('Base bordo CD'!M$2:M$875,'Base bordo CD'!D$2:D$875,A995,'Base bordo CD'!A$2:A$875,B995,'Base bordo CD'!L$2:L$875,"FALTA DE COMBUSTIVEL"),0)+IFERROR(SUMIFS('Base bordo CD'!M$2:M$875,'Base bordo CD'!D$2:D$875,A995,'Base bordo CD'!A$2:A$875,B995,'Base bordo CD'!L$2:L$875,"FALTA DE MOTORIST*"),0)</f>
        <v>0</v>
      </c>
      <c r="O995" s="10">
        <f t="shared" si="80"/>
        <v>0</v>
      </c>
      <c r="P995" s="10">
        <f>IFERROR(SUMIFS('Base bordo CD'!M$2:M$875,'Base bordo CD'!D$2:D$875,A995,'Base bordo CD'!A$2:A$875,B995),0)</f>
        <v>0</v>
      </c>
      <c r="Q995" s="10">
        <f>IFERROR(SUMIFS('Base bordo CD'!O$2:O$875,'Base bordo CD'!D$2:D$875,A995,'Base bordo CD'!A$2:A$875,B995,'Base bordo CD'!L$2:L$875,"CORTE DE CANA MECANIZADO"),0)</f>
        <v>0</v>
      </c>
      <c r="R995" s="10">
        <f>IFERROR(SUMIFS('Base bordo CD'!Q$2:Q$875,'Base bordo CD'!D$2:D$875,A995,'Base bordo CD'!A$2:A$875,B995,'Base bordo CD'!L$2:L$875,"CORTE DE CANA MECANIZADO"),0)</f>
        <v>0</v>
      </c>
      <c r="S995" s="30" t="str">
        <f t="shared" si="81"/>
        <v/>
      </c>
      <c r="T995" s="9">
        <f t="shared" si="82"/>
        <v>0</v>
      </c>
      <c r="U995" s="9">
        <f t="shared" si="83"/>
        <v>0</v>
      </c>
      <c r="V995" s="9">
        <f t="shared" si="84"/>
        <v>0</v>
      </c>
    </row>
    <row r="996" spans="1:22" hidden="1" x14ac:dyDescent="0.35">
      <c r="A996" s="52">
        <v>49588</v>
      </c>
      <c r="B996" s="31">
        <v>46117</v>
      </c>
      <c r="C996" s="7" t="s">
        <v>364</v>
      </c>
      <c r="D996" s="7">
        <v>352</v>
      </c>
      <c r="E996" s="10">
        <f>IFERROR(SUMIFS('Base bordo CD'!M$2:M$875,'Base bordo CD'!D$2:D$875,A996,'Base bordo CD'!A$2:A$875,B996,'Base bordo CD'!L$2:L$875,"CORTE DE CANA MECANIZADO"),0)</f>
        <v>0</v>
      </c>
      <c r="F996" s="10">
        <f>IFERROR(SUMIFS('Base bordo CD'!M$2:M$875,'Base bordo CD'!D$2:D$875,A996,'Base bordo CD'!A$2:A$875,B996,'Base bordo CD'!L$2:L$875,"MANOBRA"),0)</f>
        <v>0</v>
      </c>
      <c r="G996" s="10">
        <f>IFERROR(SUMIFS('Base bordo CD'!M$2:M$875,'Base bordo CD'!D$2:D$875,A996,'Base bordo CD'!A$2:A$875,B996,'Base bordo CD'!L$2:L$875,"DESLOCAMENTO"),0)</f>
        <v>0</v>
      </c>
      <c r="H996" s="10">
        <f>IFERROR(SUMIFS('Base bordo CD'!M$2:M$875,'Base bordo CD'!D$2:D$875,A996,'Base bordo CD'!A$2:A$875,B996,'Base bordo CD'!L$2:L$875,"AGUARDANDO MANOBRA DE TRANSBORDO"),0)+IFERROR(SUMIFS('Base bordo CD'!M$2:M$875,'Base bordo CD'!D$2:D$875,A996,'Base bordo CD'!A$2:A$875,B996,'Base bordo CD'!L$2:L$875,"FALTA DE TRANSBORDO"),0)</f>
        <v>0</v>
      </c>
      <c r="I996" s="10">
        <f>IFERROR(SUMIFS('Base bordo CD'!M$2:M$875,'Base bordo CD'!D$2:D$875,A996,'Base bordo CD'!A$2:A$875,B996,'Base bordo CD'!L$2:L$875,"PARADA POR CONDICOES CLIMATICAS"),0)+IFERROR(SUMIFS('Base bordo CD'!M$2:M$875,'Base bordo CD'!D$2:D$875,A996,'Base bordo CD'!A$2:A$875,B996,'Base bordo CD'!L$2:L$875,"TEMPO INDETERMINADO"),0)</f>
        <v>0</v>
      </c>
      <c r="J996" s="10">
        <f>IFERROR(SUMIFS('Base bordo CD'!M$2:M$875,'Base bordo CD'!D$2:D$875,A996,'Base bordo CD'!A$2:A$875,B996,'Base bordo CD'!L$2:L$875,"LIMITAÇÃO INDÚSTRIA"),0)</f>
        <v>0</v>
      </c>
      <c r="K996" s="10">
        <f>IFERROR(SUMIFS('Base bordo CD'!M$2:M$875,'Base bordo CD'!D$2:D$875,A996,'Base bordo CD'!A$2:A$875,B996,'Base bordo CD'!L$2:L$875,"MAN CORRETIVA*"),0)+IFERROR(SUMIFS('Base bordo CD'!M$2:M$875,'Base bordo CD'!D$2:D$875,A996,'Base bordo CD'!A$2:A$875,B996,'Base bordo CD'!L$2:L$875,"AGUARDANDO MANUTENCAO*"),0)+IFERROR(SUMIFS('Base bordo CD'!M$2:M$875,'Base bordo CD'!D$2:D$875,A996,'Base bordo CD'!A$2:A$875,B996,'Base bordo CD'!L$2:L$875,"TROCA DE FAQUINHA"),0)+IFERROR(SUMIFS('Base bordo CD'!M$2:M$875,'Base bordo CD'!D$2:D$875,A996,'Base bordo CD'!A$2:A$875,B996,'Base bordo CD'!L$2:L$875,"LIMPEZA*"),0)</f>
        <v>0</v>
      </c>
      <c r="L996" s="10">
        <f>IFERROR(SUMIFS('Base bordo CD'!M$2:M$875,'Base bordo CD'!D$2:D$875,A996,'Base bordo CD'!A$2:A$875,B996,'Base bordo CD'!L$2:L$875,"PATIO - RESERVA"),0)</f>
        <v>0</v>
      </c>
      <c r="M996" s="10">
        <f>IFERROR(SUMIFS('Base bordo CD'!M$2:M$875,'Base bordo CD'!D$2:D$875,A996,'Base bordo CD'!A$2:A$875,B996,'Base bordo CD'!L$2:L$875,"SEM APONTAMENTO"),0)</f>
        <v>0</v>
      </c>
      <c r="N996" s="10">
        <f>IFERROR(SUMIFS('Base bordo CD'!M$2:M$875,'Base bordo CD'!D$2:D$875,A996,'Base bordo CD'!A$2:A$875,B996,'Base bordo CD'!L$2:L$875,"FALTA DE CAMINHÃO"),0)+IFERROR(SUMIFS('Base bordo CD'!M$2:M$875,'Base bordo CD'!D$2:D$875,A996,'Base bordo CD'!A$2:A$875,B996,'Base bordo CD'!L$2:L$875,"FALTA DE COMBUSTIVEL"),0)+IFERROR(SUMIFS('Base bordo CD'!M$2:M$875,'Base bordo CD'!D$2:D$875,A996,'Base bordo CD'!A$2:A$875,B996,'Base bordo CD'!L$2:L$875,"FALTA DE MOTORIST*"),0)</f>
        <v>0</v>
      </c>
      <c r="O996" s="10">
        <f t="shared" si="80"/>
        <v>0</v>
      </c>
      <c r="P996" s="10">
        <f>IFERROR(SUMIFS('Base bordo CD'!M$2:M$875,'Base bordo CD'!D$2:D$875,A996,'Base bordo CD'!A$2:A$875,B996),0)</f>
        <v>0</v>
      </c>
      <c r="Q996" s="10">
        <f>IFERROR(SUMIFS('Base bordo CD'!O$2:O$875,'Base bordo CD'!D$2:D$875,A996,'Base bordo CD'!A$2:A$875,B996,'Base bordo CD'!L$2:L$875,"CORTE DE CANA MECANIZADO"),0)</f>
        <v>0</v>
      </c>
      <c r="R996" s="10">
        <f>IFERROR(SUMIFS('Base bordo CD'!Q$2:Q$875,'Base bordo CD'!D$2:D$875,A996,'Base bordo CD'!A$2:A$875,B996,'Base bordo CD'!L$2:L$875,"CORTE DE CANA MECANIZADO"),0)</f>
        <v>0</v>
      </c>
      <c r="S996" s="30" t="str">
        <f t="shared" si="81"/>
        <v/>
      </c>
      <c r="T996" s="9">
        <f t="shared" si="82"/>
        <v>0</v>
      </c>
      <c r="U996" s="9">
        <f t="shared" si="83"/>
        <v>0</v>
      </c>
      <c r="V996" s="9">
        <f t="shared" si="84"/>
        <v>0</v>
      </c>
    </row>
    <row r="997" spans="1:22" hidden="1" x14ac:dyDescent="0.35">
      <c r="A997" s="52">
        <v>49588</v>
      </c>
      <c r="B997" s="31">
        <v>46117</v>
      </c>
      <c r="C997" s="7" t="s">
        <v>364</v>
      </c>
      <c r="D997" s="7">
        <v>352</v>
      </c>
      <c r="E997" s="10">
        <f>IFERROR(SUMIFS('Base bordo CD'!M$2:M$875,'Base bordo CD'!D$2:D$875,A997,'Base bordo CD'!A$2:A$875,B997,'Base bordo CD'!L$2:L$875,"CORTE DE CANA MECANIZADO"),0)</f>
        <v>0</v>
      </c>
      <c r="F997" s="10">
        <f>IFERROR(SUMIFS('Base bordo CD'!M$2:M$875,'Base bordo CD'!D$2:D$875,A997,'Base bordo CD'!A$2:A$875,B997,'Base bordo CD'!L$2:L$875,"MANOBRA"),0)</f>
        <v>0</v>
      </c>
      <c r="G997" s="10">
        <f>IFERROR(SUMIFS('Base bordo CD'!M$2:M$875,'Base bordo CD'!D$2:D$875,A997,'Base bordo CD'!A$2:A$875,B997,'Base bordo CD'!L$2:L$875,"DESLOCAMENTO"),0)</f>
        <v>0</v>
      </c>
      <c r="H997" s="10">
        <f>IFERROR(SUMIFS('Base bordo CD'!M$2:M$875,'Base bordo CD'!D$2:D$875,A997,'Base bordo CD'!A$2:A$875,B997,'Base bordo CD'!L$2:L$875,"AGUARDANDO MANOBRA DE TRANSBORDO"),0)+IFERROR(SUMIFS('Base bordo CD'!M$2:M$875,'Base bordo CD'!D$2:D$875,A997,'Base bordo CD'!A$2:A$875,B997,'Base bordo CD'!L$2:L$875,"FALTA DE TRANSBORDO"),0)</f>
        <v>0</v>
      </c>
      <c r="I997" s="10">
        <f>IFERROR(SUMIFS('Base bordo CD'!M$2:M$875,'Base bordo CD'!D$2:D$875,A997,'Base bordo CD'!A$2:A$875,B997,'Base bordo CD'!L$2:L$875,"PARADA POR CONDICOES CLIMATICAS"),0)+IFERROR(SUMIFS('Base bordo CD'!M$2:M$875,'Base bordo CD'!D$2:D$875,A997,'Base bordo CD'!A$2:A$875,B997,'Base bordo CD'!L$2:L$875,"TEMPO INDETERMINADO"),0)</f>
        <v>0</v>
      </c>
      <c r="J997" s="10">
        <f>IFERROR(SUMIFS('Base bordo CD'!M$2:M$875,'Base bordo CD'!D$2:D$875,A997,'Base bordo CD'!A$2:A$875,B997,'Base bordo CD'!L$2:L$875,"LIMITAÇÃO INDÚSTRIA"),0)</f>
        <v>0</v>
      </c>
      <c r="K997" s="10">
        <f>IFERROR(SUMIFS('Base bordo CD'!M$2:M$875,'Base bordo CD'!D$2:D$875,A997,'Base bordo CD'!A$2:A$875,B997,'Base bordo CD'!L$2:L$875,"MAN CORRETIVA*"),0)+IFERROR(SUMIFS('Base bordo CD'!M$2:M$875,'Base bordo CD'!D$2:D$875,A997,'Base bordo CD'!A$2:A$875,B997,'Base bordo CD'!L$2:L$875,"AGUARDANDO MANUTENCAO*"),0)+IFERROR(SUMIFS('Base bordo CD'!M$2:M$875,'Base bordo CD'!D$2:D$875,A997,'Base bordo CD'!A$2:A$875,B997,'Base bordo CD'!L$2:L$875,"TROCA DE FAQUINHA"),0)+IFERROR(SUMIFS('Base bordo CD'!M$2:M$875,'Base bordo CD'!D$2:D$875,A997,'Base bordo CD'!A$2:A$875,B997,'Base bordo CD'!L$2:L$875,"LIMPEZA*"),0)</f>
        <v>0</v>
      </c>
      <c r="L997" s="10">
        <f>IFERROR(SUMIFS('Base bordo CD'!M$2:M$875,'Base bordo CD'!D$2:D$875,A997,'Base bordo CD'!A$2:A$875,B997,'Base bordo CD'!L$2:L$875,"PATIO - RESERVA"),0)</f>
        <v>0</v>
      </c>
      <c r="M997" s="10">
        <f>IFERROR(SUMIFS('Base bordo CD'!M$2:M$875,'Base bordo CD'!D$2:D$875,A997,'Base bordo CD'!A$2:A$875,B997,'Base bordo CD'!L$2:L$875,"SEM APONTAMENTO"),0)</f>
        <v>0</v>
      </c>
      <c r="N997" s="10">
        <f>IFERROR(SUMIFS('Base bordo CD'!M$2:M$875,'Base bordo CD'!D$2:D$875,A997,'Base bordo CD'!A$2:A$875,B997,'Base bordo CD'!L$2:L$875,"FALTA DE CAMINHÃO"),0)+IFERROR(SUMIFS('Base bordo CD'!M$2:M$875,'Base bordo CD'!D$2:D$875,A997,'Base bordo CD'!A$2:A$875,B997,'Base bordo CD'!L$2:L$875,"FALTA DE COMBUSTIVEL"),0)+IFERROR(SUMIFS('Base bordo CD'!M$2:M$875,'Base bordo CD'!D$2:D$875,A997,'Base bordo CD'!A$2:A$875,B997,'Base bordo CD'!L$2:L$875,"FALTA DE MOTORIST*"),0)</f>
        <v>0</v>
      </c>
      <c r="O997" s="10">
        <f t="shared" si="80"/>
        <v>0</v>
      </c>
      <c r="P997" s="10">
        <f>IFERROR(SUMIFS('Base bordo CD'!M$2:M$875,'Base bordo CD'!D$2:D$875,A997,'Base bordo CD'!A$2:A$875,B997),0)</f>
        <v>0</v>
      </c>
      <c r="Q997" s="10">
        <f>IFERROR(SUMIFS('Base bordo CD'!O$2:O$875,'Base bordo CD'!D$2:D$875,A997,'Base bordo CD'!A$2:A$875,B997,'Base bordo CD'!L$2:L$875,"CORTE DE CANA MECANIZADO"),0)</f>
        <v>0</v>
      </c>
      <c r="R997" s="10">
        <f>IFERROR(SUMIFS('Base bordo CD'!Q$2:Q$875,'Base bordo CD'!D$2:D$875,A997,'Base bordo CD'!A$2:A$875,B997,'Base bordo CD'!L$2:L$875,"CORTE DE CANA MECANIZADO"),0)</f>
        <v>0</v>
      </c>
      <c r="S997" s="30" t="str">
        <f t="shared" si="81"/>
        <v/>
      </c>
      <c r="T997" s="9">
        <f t="shared" si="82"/>
        <v>0</v>
      </c>
      <c r="U997" s="9">
        <f t="shared" si="83"/>
        <v>0</v>
      </c>
      <c r="V997" s="9">
        <f t="shared" si="84"/>
        <v>0</v>
      </c>
    </row>
    <row r="998" spans="1:22" hidden="1" x14ac:dyDescent="0.35">
      <c r="A998" s="52">
        <v>49588</v>
      </c>
      <c r="B998" s="31">
        <v>46117</v>
      </c>
      <c r="C998" s="7" t="s">
        <v>364</v>
      </c>
      <c r="D998" s="7">
        <v>352</v>
      </c>
      <c r="E998" s="10">
        <f>IFERROR(SUMIFS('Base bordo CD'!M$2:M$875,'Base bordo CD'!D$2:D$875,A998,'Base bordo CD'!A$2:A$875,B998,'Base bordo CD'!L$2:L$875,"CORTE DE CANA MECANIZADO"),0)</f>
        <v>0</v>
      </c>
      <c r="F998" s="10">
        <f>IFERROR(SUMIFS('Base bordo CD'!M$2:M$875,'Base bordo CD'!D$2:D$875,A998,'Base bordo CD'!A$2:A$875,B998,'Base bordo CD'!L$2:L$875,"MANOBRA"),0)</f>
        <v>0</v>
      </c>
      <c r="G998" s="10">
        <f>IFERROR(SUMIFS('Base bordo CD'!M$2:M$875,'Base bordo CD'!D$2:D$875,A998,'Base bordo CD'!A$2:A$875,B998,'Base bordo CD'!L$2:L$875,"DESLOCAMENTO"),0)</f>
        <v>0</v>
      </c>
      <c r="H998" s="10">
        <f>IFERROR(SUMIFS('Base bordo CD'!M$2:M$875,'Base bordo CD'!D$2:D$875,A998,'Base bordo CD'!A$2:A$875,B998,'Base bordo CD'!L$2:L$875,"AGUARDANDO MANOBRA DE TRANSBORDO"),0)+IFERROR(SUMIFS('Base bordo CD'!M$2:M$875,'Base bordo CD'!D$2:D$875,A998,'Base bordo CD'!A$2:A$875,B998,'Base bordo CD'!L$2:L$875,"FALTA DE TRANSBORDO"),0)</f>
        <v>0</v>
      </c>
      <c r="I998" s="10">
        <f>IFERROR(SUMIFS('Base bordo CD'!M$2:M$875,'Base bordo CD'!D$2:D$875,A998,'Base bordo CD'!A$2:A$875,B998,'Base bordo CD'!L$2:L$875,"PARADA POR CONDICOES CLIMATICAS"),0)+IFERROR(SUMIFS('Base bordo CD'!M$2:M$875,'Base bordo CD'!D$2:D$875,A998,'Base bordo CD'!A$2:A$875,B998,'Base bordo CD'!L$2:L$875,"TEMPO INDETERMINADO"),0)</f>
        <v>0</v>
      </c>
      <c r="J998" s="10">
        <f>IFERROR(SUMIFS('Base bordo CD'!M$2:M$875,'Base bordo CD'!D$2:D$875,A998,'Base bordo CD'!A$2:A$875,B998,'Base bordo CD'!L$2:L$875,"LIMITAÇÃO INDÚSTRIA"),0)</f>
        <v>0</v>
      </c>
      <c r="K998" s="10">
        <f>IFERROR(SUMIFS('Base bordo CD'!M$2:M$875,'Base bordo CD'!D$2:D$875,A998,'Base bordo CD'!A$2:A$875,B998,'Base bordo CD'!L$2:L$875,"MAN CORRETIVA*"),0)+IFERROR(SUMIFS('Base bordo CD'!M$2:M$875,'Base bordo CD'!D$2:D$875,A998,'Base bordo CD'!A$2:A$875,B998,'Base bordo CD'!L$2:L$875,"AGUARDANDO MANUTENCAO*"),0)+IFERROR(SUMIFS('Base bordo CD'!M$2:M$875,'Base bordo CD'!D$2:D$875,A998,'Base bordo CD'!A$2:A$875,B998,'Base bordo CD'!L$2:L$875,"TROCA DE FAQUINHA"),0)+IFERROR(SUMIFS('Base bordo CD'!M$2:M$875,'Base bordo CD'!D$2:D$875,A998,'Base bordo CD'!A$2:A$875,B998,'Base bordo CD'!L$2:L$875,"LIMPEZA*"),0)</f>
        <v>0</v>
      </c>
      <c r="L998" s="10">
        <f>IFERROR(SUMIFS('Base bordo CD'!M$2:M$875,'Base bordo CD'!D$2:D$875,A998,'Base bordo CD'!A$2:A$875,B998,'Base bordo CD'!L$2:L$875,"PATIO - RESERVA"),0)</f>
        <v>0</v>
      </c>
      <c r="M998" s="10">
        <f>IFERROR(SUMIFS('Base bordo CD'!M$2:M$875,'Base bordo CD'!D$2:D$875,A998,'Base bordo CD'!A$2:A$875,B998,'Base bordo CD'!L$2:L$875,"SEM APONTAMENTO"),0)</f>
        <v>0</v>
      </c>
      <c r="N998" s="10">
        <f>IFERROR(SUMIFS('Base bordo CD'!M$2:M$875,'Base bordo CD'!D$2:D$875,A998,'Base bordo CD'!A$2:A$875,B998,'Base bordo CD'!L$2:L$875,"FALTA DE CAMINHÃO"),0)+IFERROR(SUMIFS('Base bordo CD'!M$2:M$875,'Base bordo CD'!D$2:D$875,A998,'Base bordo CD'!A$2:A$875,B998,'Base bordo CD'!L$2:L$875,"FALTA DE COMBUSTIVEL"),0)+IFERROR(SUMIFS('Base bordo CD'!M$2:M$875,'Base bordo CD'!D$2:D$875,A998,'Base bordo CD'!A$2:A$875,B998,'Base bordo CD'!L$2:L$875,"FALTA DE MOTORIST*"),0)</f>
        <v>0</v>
      </c>
      <c r="O998" s="10">
        <f t="shared" si="80"/>
        <v>0</v>
      </c>
      <c r="P998" s="10">
        <f>IFERROR(SUMIFS('Base bordo CD'!M$2:M$875,'Base bordo CD'!D$2:D$875,A998,'Base bordo CD'!A$2:A$875,B998),0)</f>
        <v>0</v>
      </c>
      <c r="Q998" s="10">
        <f>IFERROR(SUMIFS('Base bordo CD'!O$2:O$875,'Base bordo CD'!D$2:D$875,A998,'Base bordo CD'!A$2:A$875,B998,'Base bordo CD'!L$2:L$875,"CORTE DE CANA MECANIZADO"),0)</f>
        <v>0</v>
      </c>
      <c r="R998" s="10">
        <f>IFERROR(SUMIFS('Base bordo CD'!Q$2:Q$875,'Base bordo CD'!D$2:D$875,A998,'Base bordo CD'!A$2:A$875,B998,'Base bordo CD'!L$2:L$875,"CORTE DE CANA MECANIZADO"),0)</f>
        <v>0</v>
      </c>
      <c r="S998" s="30" t="str">
        <f t="shared" si="81"/>
        <v/>
      </c>
      <c r="T998" s="9">
        <f t="shared" si="82"/>
        <v>0</v>
      </c>
      <c r="U998" s="9">
        <f t="shared" si="83"/>
        <v>0</v>
      </c>
      <c r="V998" s="9">
        <f t="shared" si="84"/>
        <v>0</v>
      </c>
    </row>
    <row r="999" spans="1:22" hidden="1" x14ac:dyDescent="0.35">
      <c r="A999" s="52">
        <v>49588</v>
      </c>
      <c r="B999" s="31">
        <v>46117</v>
      </c>
      <c r="C999" s="7" t="s">
        <v>364</v>
      </c>
      <c r="D999" s="7">
        <v>352</v>
      </c>
      <c r="E999" s="10">
        <f>IFERROR(SUMIFS('Base bordo CD'!M$2:M$875,'Base bordo CD'!D$2:D$875,A999,'Base bordo CD'!A$2:A$875,B999,'Base bordo CD'!L$2:L$875,"CORTE DE CANA MECANIZADO"),0)</f>
        <v>0</v>
      </c>
      <c r="F999" s="10">
        <f>IFERROR(SUMIFS('Base bordo CD'!M$2:M$875,'Base bordo CD'!D$2:D$875,A999,'Base bordo CD'!A$2:A$875,B999,'Base bordo CD'!L$2:L$875,"MANOBRA"),0)</f>
        <v>0</v>
      </c>
      <c r="G999" s="10">
        <f>IFERROR(SUMIFS('Base bordo CD'!M$2:M$875,'Base bordo CD'!D$2:D$875,A999,'Base bordo CD'!A$2:A$875,B999,'Base bordo CD'!L$2:L$875,"DESLOCAMENTO"),0)</f>
        <v>0</v>
      </c>
      <c r="H999" s="10">
        <f>IFERROR(SUMIFS('Base bordo CD'!M$2:M$875,'Base bordo CD'!D$2:D$875,A999,'Base bordo CD'!A$2:A$875,B999,'Base bordo CD'!L$2:L$875,"AGUARDANDO MANOBRA DE TRANSBORDO"),0)+IFERROR(SUMIFS('Base bordo CD'!M$2:M$875,'Base bordo CD'!D$2:D$875,A999,'Base bordo CD'!A$2:A$875,B999,'Base bordo CD'!L$2:L$875,"FALTA DE TRANSBORDO"),0)</f>
        <v>0</v>
      </c>
      <c r="I999" s="10">
        <f>IFERROR(SUMIFS('Base bordo CD'!M$2:M$875,'Base bordo CD'!D$2:D$875,A999,'Base bordo CD'!A$2:A$875,B999,'Base bordo CD'!L$2:L$875,"PARADA POR CONDICOES CLIMATICAS"),0)+IFERROR(SUMIFS('Base bordo CD'!M$2:M$875,'Base bordo CD'!D$2:D$875,A999,'Base bordo CD'!A$2:A$875,B999,'Base bordo CD'!L$2:L$875,"TEMPO INDETERMINADO"),0)</f>
        <v>0</v>
      </c>
      <c r="J999" s="10">
        <f>IFERROR(SUMIFS('Base bordo CD'!M$2:M$875,'Base bordo CD'!D$2:D$875,A999,'Base bordo CD'!A$2:A$875,B999,'Base bordo CD'!L$2:L$875,"LIMITAÇÃO INDÚSTRIA"),0)</f>
        <v>0</v>
      </c>
      <c r="K999" s="10">
        <f>IFERROR(SUMIFS('Base bordo CD'!M$2:M$875,'Base bordo CD'!D$2:D$875,A999,'Base bordo CD'!A$2:A$875,B999,'Base bordo CD'!L$2:L$875,"MAN CORRETIVA*"),0)+IFERROR(SUMIFS('Base bordo CD'!M$2:M$875,'Base bordo CD'!D$2:D$875,A999,'Base bordo CD'!A$2:A$875,B999,'Base bordo CD'!L$2:L$875,"AGUARDANDO MANUTENCAO*"),0)+IFERROR(SUMIFS('Base bordo CD'!M$2:M$875,'Base bordo CD'!D$2:D$875,A999,'Base bordo CD'!A$2:A$875,B999,'Base bordo CD'!L$2:L$875,"TROCA DE FAQUINHA"),0)+IFERROR(SUMIFS('Base bordo CD'!M$2:M$875,'Base bordo CD'!D$2:D$875,A999,'Base bordo CD'!A$2:A$875,B999,'Base bordo CD'!L$2:L$875,"LIMPEZA*"),0)</f>
        <v>0</v>
      </c>
      <c r="L999" s="10">
        <f>IFERROR(SUMIFS('Base bordo CD'!M$2:M$875,'Base bordo CD'!D$2:D$875,A999,'Base bordo CD'!A$2:A$875,B999,'Base bordo CD'!L$2:L$875,"PATIO - RESERVA"),0)</f>
        <v>0</v>
      </c>
      <c r="M999" s="10">
        <f>IFERROR(SUMIFS('Base bordo CD'!M$2:M$875,'Base bordo CD'!D$2:D$875,A999,'Base bordo CD'!A$2:A$875,B999,'Base bordo CD'!L$2:L$875,"SEM APONTAMENTO"),0)</f>
        <v>0</v>
      </c>
      <c r="N999" s="10">
        <f>IFERROR(SUMIFS('Base bordo CD'!M$2:M$875,'Base bordo CD'!D$2:D$875,A999,'Base bordo CD'!A$2:A$875,B999,'Base bordo CD'!L$2:L$875,"FALTA DE CAMINHÃO"),0)+IFERROR(SUMIFS('Base bordo CD'!M$2:M$875,'Base bordo CD'!D$2:D$875,A999,'Base bordo CD'!A$2:A$875,B999,'Base bordo CD'!L$2:L$875,"FALTA DE COMBUSTIVEL"),0)+IFERROR(SUMIFS('Base bordo CD'!M$2:M$875,'Base bordo CD'!D$2:D$875,A999,'Base bordo CD'!A$2:A$875,B999,'Base bordo CD'!L$2:L$875,"FALTA DE MOTORIST*"),0)</f>
        <v>0</v>
      </c>
      <c r="O999" s="10">
        <f t="shared" si="80"/>
        <v>0</v>
      </c>
      <c r="P999" s="10">
        <f>IFERROR(SUMIFS('Base bordo CD'!M$2:M$875,'Base bordo CD'!D$2:D$875,A999,'Base bordo CD'!A$2:A$875,B999),0)</f>
        <v>0</v>
      </c>
      <c r="Q999" s="10">
        <f>IFERROR(SUMIFS('Base bordo CD'!O$2:O$875,'Base bordo CD'!D$2:D$875,A999,'Base bordo CD'!A$2:A$875,B999,'Base bordo CD'!L$2:L$875,"CORTE DE CANA MECANIZADO"),0)</f>
        <v>0</v>
      </c>
      <c r="R999" s="10">
        <f>IFERROR(SUMIFS('Base bordo CD'!Q$2:Q$875,'Base bordo CD'!D$2:D$875,A999,'Base bordo CD'!A$2:A$875,B999,'Base bordo CD'!L$2:L$875,"CORTE DE CANA MECANIZADO"),0)</f>
        <v>0</v>
      </c>
      <c r="S999" s="30" t="str">
        <f t="shared" si="81"/>
        <v/>
      </c>
      <c r="T999" s="9">
        <f t="shared" si="82"/>
        <v>0</v>
      </c>
      <c r="U999" s="9">
        <f t="shared" si="83"/>
        <v>0</v>
      </c>
      <c r="V999" s="9">
        <f t="shared" si="84"/>
        <v>0</v>
      </c>
    </row>
    <row r="1000" spans="1:22" hidden="1" x14ac:dyDescent="0.35">
      <c r="A1000" s="52">
        <v>49588</v>
      </c>
      <c r="B1000" s="31">
        <v>46117</v>
      </c>
      <c r="C1000" s="7" t="s">
        <v>364</v>
      </c>
      <c r="D1000" s="7">
        <v>352</v>
      </c>
      <c r="E1000" s="10">
        <f>IFERROR(SUMIFS('Base bordo CD'!M$2:M$875,'Base bordo CD'!D$2:D$875,A1000,'Base bordo CD'!A$2:A$875,B1000,'Base bordo CD'!L$2:L$875,"CORTE DE CANA MECANIZADO"),0)</f>
        <v>0</v>
      </c>
      <c r="F1000" s="10">
        <f>IFERROR(SUMIFS('Base bordo CD'!M$2:M$875,'Base bordo CD'!D$2:D$875,A1000,'Base bordo CD'!A$2:A$875,B1000,'Base bordo CD'!L$2:L$875,"MANOBRA"),0)</f>
        <v>0</v>
      </c>
      <c r="G1000" s="10">
        <f>IFERROR(SUMIFS('Base bordo CD'!M$2:M$875,'Base bordo CD'!D$2:D$875,A1000,'Base bordo CD'!A$2:A$875,B1000,'Base bordo CD'!L$2:L$875,"DESLOCAMENTO"),0)</f>
        <v>0</v>
      </c>
      <c r="H1000" s="10">
        <f>IFERROR(SUMIFS('Base bordo CD'!M$2:M$875,'Base bordo CD'!D$2:D$875,A1000,'Base bordo CD'!A$2:A$875,B1000,'Base bordo CD'!L$2:L$875,"AGUARDANDO MANOBRA DE TRANSBORDO"),0)+IFERROR(SUMIFS('Base bordo CD'!M$2:M$875,'Base bordo CD'!D$2:D$875,A1000,'Base bordo CD'!A$2:A$875,B1000,'Base bordo CD'!L$2:L$875,"FALTA DE TRANSBORDO"),0)</f>
        <v>0</v>
      </c>
      <c r="I1000" s="10">
        <f>IFERROR(SUMIFS('Base bordo CD'!M$2:M$875,'Base bordo CD'!D$2:D$875,A1000,'Base bordo CD'!A$2:A$875,B1000,'Base bordo CD'!L$2:L$875,"PARADA POR CONDICOES CLIMATICAS"),0)+IFERROR(SUMIFS('Base bordo CD'!M$2:M$875,'Base bordo CD'!D$2:D$875,A1000,'Base bordo CD'!A$2:A$875,B1000,'Base bordo CD'!L$2:L$875,"TEMPO INDETERMINADO"),0)</f>
        <v>0</v>
      </c>
      <c r="J1000" s="10">
        <f>IFERROR(SUMIFS('Base bordo CD'!M$2:M$875,'Base bordo CD'!D$2:D$875,A1000,'Base bordo CD'!A$2:A$875,B1000,'Base bordo CD'!L$2:L$875,"LIMITAÇÃO INDÚSTRIA"),0)</f>
        <v>0</v>
      </c>
      <c r="K1000" s="10">
        <f>IFERROR(SUMIFS('Base bordo CD'!M$2:M$875,'Base bordo CD'!D$2:D$875,A1000,'Base bordo CD'!A$2:A$875,B1000,'Base bordo CD'!L$2:L$875,"MAN CORRETIVA*"),0)+IFERROR(SUMIFS('Base bordo CD'!M$2:M$875,'Base bordo CD'!D$2:D$875,A1000,'Base bordo CD'!A$2:A$875,B1000,'Base bordo CD'!L$2:L$875,"AGUARDANDO MANUTENCAO*"),0)+IFERROR(SUMIFS('Base bordo CD'!M$2:M$875,'Base bordo CD'!D$2:D$875,A1000,'Base bordo CD'!A$2:A$875,B1000,'Base bordo CD'!L$2:L$875,"TROCA DE FAQUINHA"),0)+IFERROR(SUMIFS('Base bordo CD'!M$2:M$875,'Base bordo CD'!D$2:D$875,A1000,'Base bordo CD'!A$2:A$875,B1000,'Base bordo CD'!L$2:L$875,"LIMPEZA*"),0)</f>
        <v>0</v>
      </c>
      <c r="L1000" s="10">
        <f>IFERROR(SUMIFS('Base bordo CD'!M$2:M$875,'Base bordo CD'!D$2:D$875,A1000,'Base bordo CD'!A$2:A$875,B1000,'Base bordo CD'!L$2:L$875,"PATIO - RESERVA"),0)</f>
        <v>0</v>
      </c>
      <c r="M1000" s="10">
        <f>IFERROR(SUMIFS('Base bordo CD'!M$2:M$875,'Base bordo CD'!D$2:D$875,A1000,'Base bordo CD'!A$2:A$875,B1000,'Base bordo CD'!L$2:L$875,"SEM APONTAMENTO"),0)</f>
        <v>0</v>
      </c>
      <c r="N1000" s="10">
        <f>IFERROR(SUMIFS('Base bordo CD'!M$2:M$875,'Base bordo CD'!D$2:D$875,A1000,'Base bordo CD'!A$2:A$875,B1000,'Base bordo CD'!L$2:L$875,"FALTA DE CAMINHÃO"),0)+IFERROR(SUMIFS('Base bordo CD'!M$2:M$875,'Base bordo CD'!D$2:D$875,A1000,'Base bordo CD'!A$2:A$875,B1000,'Base bordo CD'!L$2:L$875,"FALTA DE COMBUSTIVEL"),0)+IFERROR(SUMIFS('Base bordo CD'!M$2:M$875,'Base bordo CD'!D$2:D$875,A1000,'Base bordo CD'!A$2:A$875,B1000,'Base bordo CD'!L$2:L$875,"FALTA DE MOTORIST*"),0)</f>
        <v>0</v>
      </c>
      <c r="O1000" s="10">
        <f t="shared" si="80"/>
        <v>0</v>
      </c>
      <c r="P1000" s="10">
        <f>IFERROR(SUMIFS('Base bordo CD'!M$2:M$875,'Base bordo CD'!D$2:D$875,A1000,'Base bordo CD'!A$2:A$875,B1000),0)</f>
        <v>0</v>
      </c>
      <c r="Q1000" s="10">
        <f>IFERROR(SUMIFS('Base bordo CD'!O$2:O$875,'Base bordo CD'!D$2:D$875,A1000,'Base bordo CD'!A$2:A$875,B1000,'Base bordo CD'!L$2:L$875,"CORTE DE CANA MECANIZADO"),0)</f>
        <v>0</v>
      </c>
      <c r="R1000" s="10">
        <f>IFERROR(SUMIFS('Base bordo CD'!Q$2:Q$875,'Base bordo CD'!D$2:D$875,A1000,'Base bordo CD'!A$2:A$875,B1000,'Base bordo CD'!L$2:L$875,"CORTE DE CANA MECANIZADO"),0)</f>
        <v>0</v>
      </c>
      <c r="S1000" s="30" t="str">
        <f t="shared" si="81"/>
        <v/>
      </c>
      <c r="T1000" s="9">
        <f t="shared" si="82"/>
        <v>0</v>
      </c>
      <c r="U1000" s="9">
        <f t="shared" si="83"/>
        <v>0</v>
      </c>
      <c r="V1000" s="9">
        <f t="shared" si="84"/>
        <v>0</v>
      </c>
    </row>
    <row r="1001" spans="1:22" hidden="1" x14ac:dyDescent="0.35">
      <c r="A1001" s="52">
        <v>49588</v>
      </c>
      <c r="B1001" s="31">
        <v>46117</v>
      </c>
      <c r="C1001" s="7" t="s">
        <v>364</v>
      </c>
      <c r="D1001" s="7">
        <v>352</v>
      </c>
      <c r="E1001" s="10">
        <f>IFERROR(SUMIFS('Base bordo CD'!M$2:M$875,'Base bordo CD'!D$2:D$875,A1001,'Base bordo CD'!A$2:A$875,B1001,'Base bordo CD'!L$2:L$875,"CORTE DE CANA MECANIZADO"),0)</f>
        <v>0</v>
      </c>
      <c r="F1001" s="10">
        <f>IFERROR(SUMIFS('Base bordo CD'!M$2:M$875,'Base bordo CD'!D$2:D$875,A1001,'Base bordo CD'!A$2:A$875,B1001,'Base bordo CD'!L$2:L$875,"MANOBRA"),0)</f>
        <v>0</v>
      </c>
      <c r="G1001" s="10">
        <f>IFERROR(SUMIFS('Base bordo CD'!M$2:M$875,'Base bordo CD'!D$2:D$875,A1001,'Base bordo CD'!A$2:A$875,B1001,'Base bordo CD'!L$2:L$875,"DESLOCAMENTO"),0)</f>
        <v>0</v>
      </c>
      <c r="H1001" s="10">
        <f>IFERROR(SUMIFS('Base bordo CD'!M$2:M$875,'Base bordo CD'!D$2:D$875,A1001,'Base bordo CD'!A$2:A$875,B1001,'Base bordo CD'!L$2:L$875,"AGUARDANDO MANOBRA DE TRANSBORDO"),0)+IFERROR(SUMIFS('Base bordo CD'!M$2:M$875,'Base bordo CD'!D$2:D$875,A1001,'Base bordo CD'!A$2:A$875,B1001,'Base bordo CD'!L$2:L$875,"FALTA DE TRANSBORDO"),0)</f>
        <v>0</v>
      </c>
      <c r="I1001" s="10">
        <f>IFERROR(SUMIFS('Base bordo CD'!M$2:M$875,'Base bordo CD'!D$2:D$875,A1001,'Base bordo CD'!A$2:A$875,B1001,'Base bordo CD'!L$2:L$875,"PARADA POR CONDICOES CLIMATICAS"),0)+IFERROR(SUMIFS('Base bordo CD'!M$2:M$875,'Base bordo CD'!D$2:D$875,A1001,'Base bordo CD'!A$2:A$875,B1001,'Base bordo CD'!L$2:L$875,"TEMPO INDETERMINADO"),0)</f>
        <v>0</v>
      </c>
      <c r="J1001" s="10">
        <f>IFERROR(SUMIFS('Base bordo CD'!M$2:M$875,'Base bordo CD'!D$2:D$875,A1001,'Base bordo CD'!A$2:A$875,B1001,'Base bordo CD'!L$2:L$875,"LIMITAÇÃO INDÚSTRIA"),0)</f>
        <v>0</v>
      </c>
      <c r="K1001" s="10">
        <f>IFERROR(SUMIFS('Base bordo CD'!M$2:M$875,'Base bordo CD'!D$2:D$875,A1001,'Base bordo CD'!A$2:A$875,B1001,'Base bordo CD'!L$2:L$875,"MAN CORRETIVA*"),0)+IFERROR(SUMIFS('Base bordo CD'!M$2:M$875,'Base bordo CD'!D$2:D$875,A1001,'Base bordo CD'!A$2:A$875,B1001,'Base bordo CD'!L$2:L$875,"AGUARDANDO MANUTENCAO*"),0)+IFERROR(SUMIFS('Base bordo CD'!M$2:M$875,'Base bordo CD'!D$2:D$875,A1001,'Base bordo CD'!A$2:A$875,B1001,'Base bordo CD'!L$2:L$875,"TROCA DE FAQUINHA"),0)+IFERROR(SUMIFS('Base bordo CD'!M$2:M$875,'Base bordo CD'!D$2:D$875,A1001,'Base bordo CD'!A$2:A$875,B1001,'Base bordo CD'!L$2:L$875,"LIMPEZA*"),0)</f>
        <v>0</v>
      </c>
      <c r="L1001" s="10">
        <f>IFERROR(SUMIFS('Base bordo CD'!M$2:M$875,'Base bordo CD'!D$2:D$875,A1001,'Base bordo CD'!A$2:A$875,B1001,'Base bordo CD'!L$2:L$875,"PATIO - RESERVA"),0)</f>
        <v>0</v>
      </c>
      <c r="M1001" s="10">
        <f>IFERROR(SUMIFS('Base bordo CD'!M$2:M$875,'Base bordo CD'!D$2:D$875,A1001,'Base bordo CD'!A$2:A$875,B1001,'Base bordo CD'!L$2:L$875,"SEM APONTAMENTO"),0)</f>
        <v>0</v>
      </c>
      <c r="N1001" s="10">
        <f>IFERROR(SUMIFS('Base bordo CD'!M$2:M$875,'Base bordo CD'!D$2:D$875,A1001,'Base bordo CD'!A$2:A$875,B1001,'Base bordo CD'!L$2:L$875,"FALTA DE CAMINHÃO"),0)+IFERROR(SUMIFS('Base bordo CD'!M$2:M$875,'Base bordo CD'!D$2:D$875,A1001,'Base bordo CD'!A$2:A$875,B1001,'Base bordo CD'!L$2:L$875,"FALTA DE COMBUSTIVEL"),0)+IFERROR(SUMIFS('Base bordo CD'!M$2:M$875,'Base bordo CD'!D$2:D$875,A1001,'Base bordo CD'!A$2:A$875,B1001,'Base bordo CD'!L$2:L$875,"FALTA DE MOTORIST*"),0)</f>
        <v>0</v>
      </c>
      <c r="O1001" s="10">
        <f t="shared" si="80"/>
        <v>0</v>
      </c>
      <c r="P1001" s="10">
        <f>IFERROR(SUMIFS('Base bordo CD'!M$2:M$875,'Base bordo CD'!D$2:D$875,A1001,'Base bordo CD'!A$2:A$875,B1001),0)</f>
        <v>0</v>
      </c>
      <c r="Q1001" s="10">
        <f>IFERROR(SUMIFS('Base bordo CD'!O$2:O$875,'Base bordo CD'!D$2:D$875,A1001,'Base bordo CD'!A$2:A$875,B1001,'Base bordo CD'!L$2:L$875,"CORTE DE CANA MECANIZADO"),0)</f>
        <v>0</v>
      </c>
      <c r="R1001" s="10">
        <f>IFERROR(SUMIFS('Base bordo CD'!Q$2:Q$875,'Base bordo CD'!D$2:D$875,A1001,'Base bordo CD'!A$2:A$875,B1001,'Base bordo CD'!L$2:L$875,"CORTE DE CANA MECANIZADO"),0)</f>
        <v>0</v>
      </c>
      <c r="S1001" s="30" t="str">
        <f t="shared" si="81"/>
        <v/>
      </c>
      <c r="T1001" s="9">
        <f t="shared" si="82"/>
        <v>0</v>
      </c>
      <c r="U1001" s="9">
        <f t="shared" si="83"/>
        <v>0</v>
      </c>
      <c r="V1001" s="9">
        <f t="shared" si="84"/>
        <v>0</v>
      </c>
    </row>
    <row r="1002" spans="1:22" hidden="1" x14ac:dyDescent="0.35">
      <c r="A1002" s="52">
        <v>49588</v>
      </c>
      <c r="B1002" s="31">
        <v>46117</v>
      </c>
      <c r="C1002" s="7" t="s">
        <v>364</v>
      </c>
      <c r="D1002" s="7">
        <v>352</v>
      </c>
      <c r="E1002" s="10">
        <f>IFERROR(SUMIFS('Base bordo CD'!M$2:M$875,'Base bordo CD'!D$2:D$875,A1002,'Base bordo CD'!A$2:A$875,B1002,'Base bordo CD'!L$2:L$875,"CORTE DE CANA MECANIZADO"),0)</f>
        <v>0</v>
      </c>
      <c r="F1002" s="10">
        <f>IFERROR(SUMIFS('Base bordo CD'!M$2:M$875,'Base bordo CD'!D$2:D$875,A1002,'Base bordo CD'!A$2:A$875,B1002,'Base bordo CD'!L$2:L$875,"MANOBRA"),0)</f>
        <v>0</v>
      </c>
      <c r="G1002" s="10">
        <f>IFERROR(SUMIFS('Base bordo CD'!M$2:M$875,'Base bordo CD'!D$2:D$875,A1002,'Base bordo CD'!A$2:A$875,B1002,'Base bordo CD'!L$2:L$875,"DESLOCAMENTO"),0)</f>
        <v>0</v>
      </c>
      <c r="H1002" s="10">
        <f>IFERROR(SUMIFS('Base bordo CD'!M$2:M$875,'Base bordo CD'!D$2:D$875,A1002,'Base bordo CD'!A$2:A$875,B1002,'Base bordo CD'!L$2:L$875,"AGUARDANDO MANOBRA DE TRANSBORDO"),0)+IFERROR(SUMIFS('Base bordo CD'!M$2:M$875,'Base bordo CD'!D$2:D$875,A1002,'Base bordo CD'!A$2:A$875,B1002,'Base bordo CD'!L$2:L$875,"FALTA DE TRANSBORDO"),0)</f>
        <v>0</v>
      </c>
      <c r="I1002" s="10">
        <f>IFERROR(SUMIFS('Base bordo CD'!M$2:M$875,'Base bordo CD'!D$2:D$875,A1002,'Base bordo CD'!A$2:A$875,B1002,'Base bordo CD'!L$2:L$875,"PARADA POR CONDICOES CLIMATICAS"),0)+IFERROR(SUMIFS('Base bordo CD'!M$2:M$875,'Base bordo CD'!D$2:D$875,A1002,'Base bordo CD'!A$2:A$875,B1002,'Base bordo CD'!L$2:L$875,"TEMPO INDETERMINADO"),0)</f>
        <v>0</v>
      </c>
      <c r="J1002" s="10">
        <f>IFERROR(SUMIFS('Base bordo CD'!M$2:M$875,'Base bordo CD'!D$2:D$875,A1002,'Base bordo CD'!A$2:A$875,B1002,'Base bordo CD'!L$2:L$875,"LIMITAÇÃO INDÚSTRIA"),0)</f>
        <v>0</v>
      </c>
      <c r="K1002" s="10">
        <f>IFERROR(SUMIFS('Base bordo CD'!M$2:M$875,'Base bordo CD'!D$2:D$875,A1002,'Base bordo CD'!A$2:A$875,B1002,'Base bordo CD'!L$2:L$875,"MAN CORRETIVA*"),0)+IFERROR(SUMIFS('Base bordo CD'!M$2:M$875,'Base bordo CD'!D$2:D$875,A1002,'Base bordo CD'!A$2:A$875,B1002,'Base bordo CD'!L$2:L$875,"AGUARDANDO MANUTENCAO*"),0)+IFERROR(SUMIFS('Base bordo CD'!M$2:M$875,'Base bordo CD'!D$2:D$875,A1002,'Base bordo CD'!A$2:A$875,B1002,'Base bordo CD'!L$2:L$875,"TROCA DE FAQUINHA"),0)+IFERROR(SUMIFS('Base bordo CD'!M$2:M$875,'Base bordo CD'!D$2:D$875,A1002,'Base bordo CD'!A$2:A$875,B1002,'Base bordo CD'!L$2:L$875,"LIMPEZA*"),0)</f>
        <v>0</v>
      </c>
      <c r="L1002" s="10">
        <f>IFERROR(SUMIFS('Base bordo CD'!M$2:M$875,'Base bordo CD'!D$2:D$875,A1002,'Base bordo CD'!A$2:A$875,B1002,'Base bordo CD'!L$2:L$875,"PATIO - RESERVA"),0)</f>
        <v>0</v>
      </c>
      <c r="M1002" s="10">
        <f>IFERROR(SUMIFS('Base bordo CD'!M$2:M$875,'Base bordo CD'!D$2:D$875,A1002,'Base bordo CD'!A$2:A$875,B1002,'Base bordo CD'!L$2:L$875,"SEM APONTAMENTO"),0)</f>
        <v>0</v>
      </c>
      <c r="N1002" s="10">
        <f>IFERROR(SUMIFS('Base bordo CD'!M$2:M$875,'Base bordo CD'!D$2:D$875,A1002,'Base bordo CD'!A$2:A$875,B1002,'Base bordo CD'!L$2:L$875,"FALTA DE CAMINHÃO"),0)+IFERROR(SUMIFS('Base bordo CD'!M$2:M$875,'Base bordo CD'!D$2:D$875,A1002,'Base bordo CD'!A$2:A$875,B1002,'Base bordo CD'!L$2:L$875,"FALTA DE COMBUSTIVEL"),0)+IFERROR(SUMIFS('Base bordo CD'!M$2:M$875,'Base bordo CD'!D$2:D$875,A1002,'Base bordo CD'!A$2:A$875,B1002,'Base bordo CD'!L$2:L$875,"FALTA DE MOTORIST*"),0)</f>
        <v>0</v>
      </c>
      <c r="O1002" s="10">
        <f t="shared" si="80"/>
        <v>0</v>
      </c>
      <c r="P1002" s="10">
        <f>IFERROR(SUMIFS('Base bordo CD'!M$2:M$875,'Base bordo CD'!D$2:D$875,A1002,'Base bordo CD'!A$2:A$875,B1002),0)</f>
        <v>0</v>
      </c>
      <c r="Q1002" s="10">
        <f>IFERROR(SUMIFS('Base bordo CD'!O$2:O$875,'Base bordo CD'!D$2:D$875,A1002,'Base bordo CD'!A$2:A$875,B1002,'Base bordo CD'!L$2:L$875,"CORTE DE CANA MECANIZADO"),0)</f>
        <v>0</v>
      </c>
      <c r="R1002" s="10">
        <f>IFERROR(SUMIFS('Base bordo CD'!Q$2:Q$875,'Base bordo CD'!D$2:D$875,A1002,'Base bordo CD'!A$2:A$875,B1002,'Base bordo CD'!L$2:L$875,"CORTE DE CANA MECANIZADO"),0)</f>
        <v>0</v>
      </c>
      <c r="S1002" s="30" t="str">
        <f t="shared" si="81"/>
        <v/>
      </c>
      <c r="T1002" s="9">
        <f t="shared" si="82"/>
        <v>0</v>
      </c>
      <c r="U1002" s="9">
        <f t="shared" si="83"/>
        <v>0</v>
      </c>
      <c r="V1002" s="9">
        <f t="shared" si="84"/>
        <v>0</v>
      </c>
    </row>
    <row r="1003" spans="1:22" hidden="1" x14ac:dyDescent="0.35">
      <c r="A1003" s="52">
        <v>49588</v>
      </c>
      <c r="B1003" s="31">
        <v>46117</v>
      </c>
      <c r="C1003" s="7" t="s">
        <v>364</v>
      </c>
      <c r="D1003" s="7">
        <v>352</v>
      </c>
      <c r="E1003" s="10">
        <f>IFERROR(SUMIFS('Base bordo CD'!M$2:M$875,'Base bordo CD'!D$2:D$875,A1003,'Base bordo CD'!A$2:A$875,B1003,'Base bordo CD'!L$2:L$875,"CORTE DE CANA MECANIZADO"),0)</f>
        <v>0</v>
      </c>
      <c r="F1003" s="10">
        <f>IFERROR(SUMIFS('Base bordo CD'!M$2:M$875,'Base bordo CD'!D$2:D$875,A1003,'Base bordo CD'!A$2:A$875,B1003,'Base bordo CD'!L$2:L$875,"MANOBRA"),0)</f>
        <v>0</v>
      </c>
      <c r="G1003" s="10">
        <f>IFERROR(SUMIFS('Base bordo CD'!M$2:M$875,'Base bordo CD'!D$2:D$875,A1003,'Base bordo CD'!A$2:A$875,B1003,'Base bordo CD'!L$2:L$875,"DESLOCAMENTO"),0)</f>
        <v>0</v>
      </c>
      <c r="H1003" s="10">
        <f>IFERROR(SUMIFS('Base bordo CD'!M$2:M$875,'Base bordo CD'!D$2:D$875,A1003,'Base bordo CD'!A$2:A$875,B1003,'Base bordo CD'!L$2:L$875,"AGUARDANDO MANOBRA DE TRANSBORDO"),0)+IFERROR(SUMIFS('Base bordo CD'!M$2:M$875,'Base bordo CD'!D$2:D$875,A1003,'Base bordo CD'!A$2:A$875,B1003,'Base bordo CD'!L$2:L$875,"FALTA DE TRANSBORDO"),0)</f>
        <v>0</v>
      </c>
      <c r="I1003" s="10">
        <f>IFERROR(SUMIFS('Base bordo CD'!M$2:M$875,'Base bordo CD'!D$2:D$875,A1003,'Base bordo CD'!A$2:A$875,B1003,'Base bordo CD'!L$2:L$875,"PARADA POR CONDICOES CLIMATICAS"),0)+IFERROR(SUMIFS('Base bordo CD'!M$2:M$875,'Base bordo CD'!D$2:D$875,A1003,'Base bordo CD'!A$2:A$875,B1003,'Base bordo CD'!L$2:L$875,"TEMPO INDETERMINADO"),0)</f>
        <v>0</v>
      </c>
      <c r="J1003" s="10">
        <f>IFERROR(SUMIFS('Base bordo CD'!M$2:M$875,'Base bordo CD'!D$2:D$875,A1003,'Base bordo CD'!A$2:A$875,B1003,'Base bordo CD'!L$2:L$875,"LIMITAÇÃO INDÚSTRIA"),0)</f>
        <v>0</v>
      </c>
      <c r="K1003" s="10">
        <f>IFERROR(SUMIFS('Base bordo CD'!M$2:M$875,'Base bordo CD'!D$2:D$875,A1003,'Base bordo CD'!A$2:A$875,B1003,'Base bordo CD'!L$2:L$875,"MAN CORRETIVA*"),0)+IFERROR(SUMIFS('Base bordo CD'!M$2:M$875,'Base bordo CD'!D$2:D$875,A1003,'Base bordo CD'!A$2:A$875,B1003,'Base bordo CD'!L$2:L$875,"AGUARDANDO MANUTENCAO*"),0)+IFERROR(SUMIFS('Base bordo CD'!M$2:M$875,'Base bordo CD'!D$2:D$875,A1003,'Base bordo CD'!A$2:A$875,B1003,'Base bordo CD'!L$2:L$875,"TROCA DE FAQUINHA"),0)+IFERROR(SUMIFS('Base bordo CD'!M$2:M$875,'Base bordo CD'!D$2:D$875,A1003,'Base bordo CD'!A$2:A$875,B1003,'Base bordo CD'!L$2:L$875,"LIMPEZA*"),0)</f>
        <v>0</v>
      </c>
      <c r="L1003" s="10">
        <f>IFERROR(SUMIFS('Base bordo CD'!M$2:M$875,'Base bordo CD'!D$2:D$875,A1003,'Base bordo CD'!A$2:A$875,B1003,'Base bordo CD'!L$2:L$875,"PATIO - RESERVA"),0)</f>
        <v>0</v>
      </c>
      <c r="M1003" s="10">
        <f>IFERROR(SUMIFS('Base bordo CD'!M$2:M$875,'Base bordo CD'!D$2:D$875,A1003,'Base bordo CD'!A$2:A$875,B1003,'Base bordo CD'!L$2:L$875,"SEM APONTAMENTO"),0)</f>
        <v>0</v>
      </c>
      <c r="N1003" s="10">
        <f>IFERROR(SUMIFS('Base bordo CD'!M$2:M$875,'Base bordo CD'!D$2:D$875,A1003,'Base bordo CD'!A$2:A$875,B1003,'Base bordo CD'!L$2:L$875,"FALTA DE CAMINHÃO"),0)+IFERROR(SUMIFS('Base bordo CD'!M$2:M$875,'Base bordo CD'!D$2:D$875,A1003,'Base bordo CD'!A$2:A$875,B1003,'Base bordo CD'!L$2:L$875,"FALTA DE COMBUSTIVEL"),0)+IFERROR(SUMIFS('Base bordo CD'!M$2:M$875,'Base bordo CD'!D$2:D$875,A1003,'Base bordo CD'!A$2:A$875,B1003,'Base bordo CD'!L$2:L$875,"FALTA DE MOTORIST*"),0)</f>
        <v>0</v>
      </c>
      <c r="O1003" s="10">
        <f t="shared" si="80"/>
        <v>0</v>
      </c>
      <c r="P1003" s="10">
        <f>IFERROR(SUMIFS('Base bordo CD'!M$2:M$875,'Base bordo CD'!D$2:D$875,A1003,'Base bordo CD'!A$2:A$875,B1003),0)</f>
        <v>0</v>
      </c>
      <c r="Q1003" s="10">
        <f>IFERROR(SUMIFS('Base bordo CD'!O$2:O$875,'Base bordo CD'!D$2:D$875,A1003,'Base bordo CD'!A$2:A$875,B1003,'Base bordo CD'!L$2:L$875,"CORTE DE CANA MECANIZADO"),0)</f>
        <v>0</v>
      </c>
      <c r="R1003" s="10">
        <f>IFERROR(SUMIFS('Base bordo CD'!Q$2:Q$875,'Base bordo CD'!D$2:D$875,A1003,'Base bordo CD'!A$2:A$875,B1003,'Base bordo CD'!L$2:L$875,"CORTE DE CANA MECANIZADO"),0)</f>
        <v>0</v>
      </c>
      <c r="S1003" s="30" t="str">
        <f t="shared" si="81"/>
        <v/>
      </c>
      <c r="T1003" s="9">
        <f t="shared" si="82"/>
        <v>0</v>
      </c>
      <c r="U1003" s="9">
        <f t="shared" si="83"/>
        <v>0</v>
      </c>
      <c r="V1003" s="9">
        <f t="shared" si="84"/>
        <v>0</v>
      </c>
    </row>
    <row r="1004" spans="1:22" hidden="1" x14ac:dyDescent="0.35">
      <c r="A1004" s="52">
        <v>49588</v>
      </c>
      <c r="B1004" s="31">
        <v>46117</v>
      </c>
      <c r="C1004" s="7" t="s">
        <v>364</v>
      </c>
      <c r="D1004" s="7">
        <v>352</v>
      </c>
      <c r="E1004" s="10">
        <f>IFERROR(SUMIFS('Base bordo CD'!M$2:M$875,'Base bordo CD'!D$2:D$875,A1004,'Base bordo CD'!A$2:A$875,B1004,'Base bordo CD'!L$2:L$875,"CORTE DE CANA MECANIZADO"),0)</f>
        <v>0</v>
      </c>
      <c r="F1004" s="10">
        <f>IFERROR(SUMIFS('Base bordo CD'!M$2:M$875,'Base bordo CD'!D$2:D$875,A1004,'Base bordo CD'!A$2:A$875,B1004,'Base bordo CD'!L$2:L$875,"MANOBRA"),0)</f>
        <v>0</v>
      </c>
      <c r="G1004" s="10">
        <f>IFERROR(SUMIFS('Base bordo CD'!M$2:M$875,'Base bordo CD'!D$2:D$875,A1004,'Base bordo CD'!A$2:A$875,B1004,'Base bordo CD'!L$2:L$875,"DESLOCAMENTO"),0)</f>
        <v>0</v>
      </c>
      <c r="H1004" s="10">
        <f>IFERROR(SUMIFS('Base bordo CD'!M$2:M$875,'Base bordo CD'!D$2:D$875,A1004,'Base bordo CD'!A$2:A$875,B1004,'Base bordo CD'!L$2:L$875,"AGUARDANDO MANOBRA DE TRANSBORDO"),0)+IFERROR(SUMIFS('Base bordo CD'!M$2:M$875,'Base bordo CD'!D$2:D$875,A1004,'Base bordo CD'!A$2:A$875,B1004,'Base bordo CD'!L$2:L$875,"FALTA DE TRANSBORDO"),0)</f>
        <v>0</v>
      </c>
      <c r="I1004" s="10">
        <f>IFERROR(SUMIFS('Base bordo CD'!M$2:M$875,'Base bordo CD'!D$2:D$875,A1004,'Base bordo CD'!A$2:A$875,B1004,'Base bordo CD'!L$2:L$875,"PARADA POR CONDICOES CLIMATICAS"),0)+IFERROR(SUMIFS('Base bordo CD'!M$2:M$875,'Base bordo CD'!D$2:D$875,A1004,'Base bordo CD'!A$2:A$875,B1004,'Base bordo CD'!L$2:L$875,"TEMPO INDETERMINADO"),0)</f>
        <v>0</v>
      </c>
      <c r="J1004" s="10">
        <f>IFERROR(SUMIFS('Base bordo CD'!M$2:M$875,'Base bordo CD'!D$2:D$875,A1004,'Base bordo CD'!A$2:A$875,B1004,'Base bordo CD'!L$2:L$875,"LIMITAÇÃO INDÚSTRIA"),0)</f>
        <v>0</v>
      </c>
      <c r="K1004" s="10">
        <f>IFERROR(SUMIFS('Base bordo CD'!M$2:M$875,'Base bordo CD'!D$2:D$875,A1004,'Base bordo CD'!A$2:A$875,B1004,'Base bordo CD'!L$2:L$875,"MAN CORRETIVA*"),0)+IFERROR(SUMIFS('Base bordo CD'!M$2:M$875,'Base bordo CD'!D$2:D$875,A1004,'Base bordo CD'!A$2:A$875,B1004,'Base bordo CD'!L$2:L$875,"AGUARDANDO MANUTENCAO*"),0)+IFERROR(SUMIFS('Base bordo CD'!M$2:M$875,'Base bordo CD'!D$2:D$875,A1004,'Base bordo CD'!A$2:A$875,B1004,'Base bordo CD'!L$2:L$875,"TROCA DE FAQUINHA"),0)+IFERROR(SUMIFS('Base bordo CD'!M$2:M$875,'Base bordo CD'!D$2:D$875,A1004,'Base bordo CD'!A$2:A$875,B1004,'Base bordo CD'!L$2:L$875,"LIMPEZA*"),0)</f>
        <v>0</v>
      </c>
      <c r="L1004" s="10">
        <f>IFERROR(SUMIFS('Base bordo CD'!M$2:M$875,'Base bordo CD'!D$2:D$875,A1004,'Base bordo CD'!A$2:A$875,B1004,'Base bordo CD'!L$2:L$875,"PATIO - RESERVA"),0)</f>
        <v>0</v>
      </c>
      <c r="M1004" s="10">
        <f>IFERROR(SUMIFS('Base bordo CD'!M$2:M$875,'Base bordo CD'!D$2:D$875,A1004,'Base bordo CD'!A$2:A$875,B1004,'Base bordo CD'!L$2:L$875,"SEM APONTAMENTO"),0)</f>
        <v>0</v>
      </c>
      <c r="N1004" s="10">
        <f>IFERROR(SUMIFS('Base bordo CD'!M$2:M$875,'Base bordo CD'!D$2:D$875,A1004,'Base bordo CD'!A$2:A$875,B1004,'Base bordo CD'!L$2:L$875,"FALTA DE CAMINHÃO"),0)+IFERROR(SUMIFS('Base bordo CD'!M$2:M$875,'Base bordo CD'!D$2:D$875,A1004,'Base bordo CD'!A$2:A$875,B1004,'Base bordo CD'!L$2:L$875,"FALTA DE COMBUSTIVEL"),0)+IFERROR(SUMIFS('Base bordo CD'!M$2:M$875,'Base bordo CD'!D$2:D$875,A1004,'Base bordo CD'!A$2:A$875,B1004,'Base bordo CD'!L$2:L$875,"FALTA DE MOTORIST*"),0)</f>
        <v>0</v>
      </c>
      <c r="O1004" s="10">
        <f t="shared" si="80"/>
        <v>0</v>
      </c>
      <c r="P1004" s="10">
        <f>IFERROR(SUMIFS('Base bordo CD'!M$2:M$875,'Base bordo CD'!D$2:D$875,A1004,'Base bordo CD'!A$2:A$875,B1004),0)</f>
        <v>0</v>
      </c>
      <c r="Q1004" s="10">
        <f>IFERROR(SUMIFS('Base bordo CD'!O$2:O$875,'Base bordo CD'!D$2:D$875,A1004,'Base bordo CD'!A$2:A$875,B1004,'Base bordo CD'!L$2:L$875,"CORTE DE CANA MECANIZADO"),0)</f>
        <v>0</v>
      </c>
      <c r="R1004" s="10">
        <f>IFERROR(SUMIFS('Base bordo CD'!Q$2:Q$875,'Base bordo CD'!D$2:D$875,A1004,'Base bordo CD'!A$2:A$875,B1004,'Base bordo CD'!L$2:L$875,"CORTE DE CANA MECANIZADO"),0)</f>
        <v>0</v>
      </c>
      <c r="S1004" s="30" t="str">
        <f t="shared" si="81"/>
        <v/>
      </c>
      <c r="T1004" s="9">
        <f t="shared" si="82"/>
        <v>0</v>
      </c>
      <c r="U1004" s="9">
        <f t="shared" si="83"/>
        <v>0</v>
      </c>
      <c r="V1004" s="9">
        <f t="shared" si="84"/>
        <v>0</v>
      </c>
    </row>
    <row r="1005" spans="1:22" hidden="1" x14ac:dyDescent="0.35">
      <c r="A1005" s="52">
        <v>49588</v>
      </c>
      <c r="B1005" s="31">
        <v>46117</v>
      </c>
      <c r="C1005" s="7" t="s">
        <v>364</v>
      </c>
      <c r="D1005" s="7">
        <v>352</v>
      </c>
      <c r="E1005" s="10">
        <f>IFERROR(SUMIFS('Base bordo CD'!M$2:M$875,'Base bordo CD'!D$2:D$875,A1005,'Base bordo CD'!A$2:A$875,B1005,'Base bordo CD'!L$2:L$875,"CORTE DE CANA MECANIZADO"),0)</f>
        <v>0</v>
      </c>
      <c r="F1005" s="10">
        <f>IFERROR(SUMIFS('Base bordo CD'!M$2:M$875,'Base bordo CD'!D$2:D$875,A1005,'Base bordo CD'!A$2:A$875,B1005,'Base bordo CD'!L$2:L$875,"MANOBRA"),0)</f>
        <v>0</v>
      </c>
      <c r="G1005" s="10">
        <f>IFERROR(SUMIFS('Base bordo CD'!M$2:M$875,'Base bordo CD'!D$2:D$875,A1005,'Base bordo CD'!A$2:A$875,B1005,'Base bordo CD'!L$2:L$875,"DESLOCAMENTO"),0)</f>
        <v>0</v>
      </c>
      <c r="H1005" s="10">
        <f>IFERROR(SUMIFS('Base bordo CD'!M$2:M$875,'Base bordo CD'!D$2:D$875,A1005,'Base bordo CD'!A$2:A$875,B1005,'Base bordo CD'!L$2:L$875,"AGUARDANDO MANOBRA DE TRANSBORDO"),0)+IFERROR(SUMIFS('Base bordo CD'!M$2:M$875,'Base bordo CD'!D$2:D$875,A1005,'Base bordo CD'!A$2:A$875,B1005,'Base bordo CD'!L$2:L$875,"FALTA DE TRANSBORDO"),0)</f>
        <v>0</v>
      </c>
      <c r="I1005" s="10">
        <f>IFERROR(SUMIFS('Base bordo CD'!M$2:M$875,'Base bordo CD'!D$2:D$875,A1005,'Base bordo CD'!A$2:A$875,B1005,'Base bordo CD'!L$2:L$875,"PARADA POR CONDICOES CLIMATICAS"),0)+IFERROR(SUMIFS('Base bordo CD'!M$2:M$875,'Base bordo CD'!D$2:D$875,A1005,'Base bordo CD'!A$2:A$875,B1005,'Base bordo CD'!L$2:L$875,"TEMPO INDETERMINADO"),0)</f>
        <v>0</v>
      </c>
      <c r="J1005" s="10">
        <f>IFERROR(SUMIFS('Base bordo CD'!M$2:M$875,'Base bordo CD'!D$2:D$875,A1005,'Base bordo CD'!A$2:A$875,B1005,'Base bordo CD'!L$2:L$875,"LIMITAÇÃO INDÚSTRIA"),0)</f>
        <v>0</v>
      </c>
      <c r="K1005" s="10">
        <f>IFERROR(SUMIFS('Base bordo CD'!M$2:M$875,'Base bordo CD'!D$2:D$875,A1005,'Base bordo CD'!A$2:A$875,B1005,'Base bordo CD'!L$2:L$875,"MAN CORRETIVA*"),0)+IFERROR(SUMIFS('Base bordo CD'!M$2:M$875,'Base bordo CD'!D$2:D$875,A1005,'Base bordo CD'!A$2:A$875,B1005,'Base bordo CD'!L$2:L$875,"AGUARDANDO MANUTENCAO*"),0)+IFERROR(SUMIFS('Base bordo CD'!M$2:M$875,'Base bordo CD'!D$2:D$875,A1005,'Base bordo CD'!A$2:A$875,B1005,'Base bordo CD'!L$2:L$875,"TROCA DE FAQUINHA"),0)+IFERROR(SUMIFS('Base bordo CD'!M$2:M$875,'Base bordo CD'!D$2:D$875,A1005,'Base bordo CD'!A$2:A$875,B1005,'Base bordo CD'!L$2:L$875,"LIMPEZA*"),0)</f>
        <v>0</v>
      </c>
      <c r="L1005" s="10">
        <f>IFERROR(SUMIFS('Base bordo CD'!M$2:M$875,'Base bordo CD'!D$2:D$875,A1005,'Base bordo CD'!A$2:A$875,B1005,'Base bordo CD'!L$2:L$875,"PATIO - RESERVA"),0)</f>
        <v>0</v>
      </c>
      <c r="M1005" s="10">
        <f>IFERROR(SUMIFS('Base bordo CD'!M$2:M$875,'Base bordo CD'!D$2:D$875,A1005,'Base bordo CD'!A$2:A$875,B1005,'Base bordo CD'!L$2:L$875,"SEM APONTAMENTO"),0)</f>
        <v>0</v>
      </c>
      <c r="N1005" s="10">
        <f>IFERROR(SUMIFS('Base bordo CD'!M$2:M$875,'Base bordo CD'!D$2:D$875,A1005,'Base bordo CD'!A$2:A$875,B1005,'Base bordo CD'!L$2:L$875,"FALTA DE CAMINHÃO"),0)+IFERROR(SUMIFS('Base bordo CD'!M$2:M$875,'Base bordo CD'!D$2:D$875,A1005,'Base bordo CD'!A$2:A$875,B1005,'Base bordo CD'!L$2:L$875,"FALTA DE COMBUSTIVEL"),0)+IFERROR(SUMIFS('Base bordo CD'!M$2:M$875,'Base bordo CD'!D$2:D$875,A1005,'Base bordo CD'!A$2:A$875,B1005,'Base bordo CD'!L$2:L$875,"FALTA DE MOTORIST*"),0)</f>
        <v>0</v>
      </c>
      <c r="O1005" s="10">
        <f t="shared" si="80"/>
        <v>0</v>
      </c>
      <c r="P1005" s="10">
        <f>IFERROR(SUMIFS('Base bordo CD'!M$2:M$875,'Base bordo CD'!D$2:D$875,A1005,'Base bordo CD'!A$2:A$875,B1005),0)</f>
        <v>0</v>
      </c>
      <c r="Q1005" s="10">
        <f>IFERROR(SUMIFS('Base bordo CD'!O$2:O$875,'Base bordo CD'!D$2:D$875,A1005,'Base bordo CD'!A$2:A$875,B1005,'Base bordo CD'!L$2:L$875,"CORTE DE CANA MECANIZADO"),0)</f>
        <v>0</v>
      </c>
      <c r="R1005" s="10">
        <f>IFERROR(SUMIFS('Base bordo CD'!Q$2:Q$875,'Base bordo CD'!D$2:D$875,A1005,'Base bordo CD'!A$2:A$875,B1005,'Base bordo CD'!L$2:L$875,"CORTE DE CANA MECANIZADO"),0)</f>
        <v>0</v>
      </c>
      <c r="S1005" s="30" t="str">
        <f t="shared" si="81"/>
        <v/>
      </c>
      <c r="T1005" s="9">
        <f t="shared" si="82"/>
        <v>0</v>
      </c>
      <c r="U1005" s="9">
        <f t="shared" si="83"/>
        <v>0</v>
      </c>
      <c r="V1005" s="9">
        <f t="shared" si="84"/>
        <v>0</v>
      </c>
    </row>
    <row r="1006" spans="1:22" hidden="1" x14ac:dyDescent="0.35">
      <c r="A1006" s="52">
        <v>49588</v>
      </c>
      <c r="B1006" s="31">
        <v>46117</v>
      </c>
      <c r="C1006" s="7" t="s">
        <v>364</v>
      </c>
      <c r="D1006" s="7">
        <v>352</v>
      </c>
      <c r="E1006" s="10">
        <f>IFERROR(SUMIFS('Base bordo CD'!M$2:M$875,'Base bordo CD'!D$2:D$875,A1006,'Base bordo CD'!A$2:A$875,B1006,'Base bordo CD'!L$2:L$875,"CORTE DE CANA MECANIZADO"),0)</f>
        <v>0</v>
      </c>
      <c r="F1006" s="10">
        <f>IFERROR(SUMIFS('Base bordo CD'!M$2:M$875,'Base bordo CD'!D$2:D$875,A1006,'Base bordo CD'!A$2:A$875,B1006,'Base bordo CD'!L$2:L$875,"MANOBRA"),0)</f>
        <v>0</v>
      </c>
      <c r="G1006" s="10">
        <f>IFERROR(SUMIFS('Base bordo CD'!M$2:M$875,'Base bordo CD'!D$2:D$875,A1006,'Base bordo CD'!A$2:A$875,B1006,'Base bordo CD'!L$2:L$875,"DESLOCAMENTO"),0)</f>
        <v>0</v>
      </c>
      <c r="H1006" s="10">
        <f>IFERROR(SUMIFS('Base bordo CD'!M$2:M$875,'Base bordo CD'!D$2:D$875,A1006,'Base bordo CD'!A$2:A$875,B1006,'Base bordo CD'!L$2:L$875,"AGUARDANDO MANOBRA DE TRANSBORDO"),0)+IFERROR(SUMIFS('Base bordo CD'!M$2:M$875,'Base bordo CD'!D$2:D$875,A1006,'Base bordo CD'!A$2:A$875,B1006,'Base bordo CD'!L$2:L$875,"FALTA DE TRANSBORDO"),0)</f>
        <v>0</v>
      </c>
      <c r="I1006" s="10">
        <f>IFERROR(SUMIFS('Base bordo CD'!M$2:M$875,'Base bordo CD'!D$2:D$875,A1006,'Base bordo CD'!A$2:A$875,B1006,'Base bordo CD'!L$2:L$875,"PARADA POR CONDICOES CLIMATICAS"),0)+IFERROR(SUMIFS('Base bordo CD'!M$2:M$875,'Base bordo CD'!D$2:D$875,A1006,'Base bordo CD'!A$2:A$875,B1006,'Base bordo CD'!L$2:L$875,"TEMPO INDETERMINADO"),0)</f>
        <v>0</v>
      </c>
      <c r="J1006" s="10">
        <f>IFERROR(SUMIFS('Base bordo CD'!M$2:M$875,'Base bordo CD'!D$2:D$875,A1006,'Base bordo CD'!A$2:A$875,B1006,'Base bordo CD'!L$2:L$875,"LIMITAÇÃO INDÚSTRIA"),0)</f>
        <v>0</v>
      </c>
      <c r="K1006" s="10">
        <f>IFERROR(SUMIFS('Base bordo CD'!M$2:M$875,'Base bordo CD'!D$2:D$875,A1006,'Base bordo CD'!A$2:A$875,B1006,'Base bordo CD'!L$2:L$875,"MAN CORRETIVA*"),0)+IFERROR(SUMIFS('Base bordo CD'!M$2:M$875,'Base bordo CD'!D$2:D$875,A1006,'Base bordo CD'!A$2:A$875,B1006,'Base bordo CD'!L$2:L$875,"AGUARDANDO MANUTENCAO*"),0)+IFERROR(SUMIFS('Base bordo CD'!M$2:M$875,'Base bordo CD'!D$2:D$875,A1006,'Base bordo CD'!A$2:A$875,B1006,'Base bordo CD'!L$2:L$875,"TROCA DE FAQUINHA"),0)+IFERROR(SUMIFS('Base bordo CD'!M$2:M$875,'Base bordo CD'!D$2:D$875,A1006,'Base bordo CD'!A$2:A$875,B1006,'Base bordo CD'!L$2:L$875,"LIMPEZA*"),0)</f>
        <v>0</v>
      </c>
      <c r="L1006" s="10">
        <f>IFERROR(SUMIFS('Base bordo CD'!M$2:M$875,'Base bordo CD'!D$2:D$875,A1006,'Base bordo CD'!A$2:A$875,B1006,'Base bordo CD'!L$2:L$875,"PATIO - RESERVA"),0)</f>
        <v>0</v>
      </c>
      <c r="M1006" s="10">
        <f>IFERROR(SUMIFS('Base bordo CD'!M$2:M$875,'Base bordo CD'!D$2:D$875,A1006,'Base bordo CD'!A$2:A$875,B1006,'Base bordo CD'!L$2:L$875,"SEM APONTAMENTO"),0)</f>
        <v>0</v>
      </c>
      <c r="N1006" s="10">
        <f>IFERROR(SUMIFS('Base bordo CD'!M$2:M$875,'Base bordo CD'!D$2:D$875,A1006,'Base bordo CD'!A$2:A$875,B1006,'Base bordo CD'!L$2:L$875,"FALTA DE CAMINHÃO"),0)+IFERROR(SUMIFS('Base bordo CD'!M$2:M$875,'Base bordo CD'!D$2:D$875,A1006,'Base bordo CD'!A$2:A$875,B1006,'Base bordo CD'!L$2:L$875,"FALTA DE COMBUSTIVEL"),0)+IFERROR(SUMIFS('Base bordo CD'!M$2:M$875,'Base bordo CD'!D$2:D$875,A1006,'Base bordo CD'!A$2:A$875,B1006,'Base bordo CD'!L$2:L$875,"FALTA DE MOTORIST*"),0)</f>
        <v>0</v>
      </c>
      <c r="O1006" s="10">
        <f t="shared" si="80"/>
        <v>0</v>
      </c>
      <c r="P1006" s="10">
        <f>IFERROR(SUMIFS('Base bordo CD'!M$2:M$875,'Base bordo CD'!D$2:D$875,A1006,'Base bordo CD'!A$2:A$875,B1006),0)</f>
        <v>0</v>
      </c>
      <c r="Q1006" s="10">
        <f>IFERROR(SUMIFS('Base bordo CD'!O$2:O$875,'Base bordo CD'!D$2:D$875,A1006,'Base bordo CD'!A$2:A$875,B1006,'Base bordo CD'!L$2:L$875,"CORTE DE CANA MECANIZADO"),0)</f>
        <v>0</v>
      </c>
      <c r="R1006" s="10">
        <f>IFERROR(SUMIFS('Base bordo CD'!Q$2:Q$875,'Base bordo CD'!D$2:D$875,A1006,'Base bordo CD'!A$2:A$875,B1006,'Base bordo CD'!L$2:L$875,"CORTE DE CANA MECANIZADO"),0)</f>
        <v>0</v>
      </c>
      <c r="S1006" s="30" t="str">
        <f t="shared" si="81"/>
        <v/>
      </c>
      <c r="T1006" s="9">
        <f t="shared" si="82"/>
        <v>0</v>
      </c>
      <c r="U1006" s="9">
        <f t="shared" si="83"/>
        <v>0</v>
      </c>
      <c r="V1006" s="9">
        <f t="shared" si="84"/>
        <v>0</v>
      </c>
    </row>
    <row r="1007" spans="1:22" hidden="1" x14ac:dyDescent="0.35">
      <c r="A1007" s="52">
        <v>49588</v>
      </c>
      <c r="B1007" s="31">
        <v>46117</v>
      </c>
      <c r="C1007" s="7" t="s">
        <v>364</v>
      </c>
      <c r="D1007" s="7">
        <v>352</v>
      </c>
      <c r="E1007" s="10">
        <f>IFERROR(SUMIFS('Base bordo CD'!M$2:M$875,'Base bordo CD'!D$2:D$875,A1007,'Base bordo CD'!A$2:A$875,B1007,'Base bordo CD'!L$2:L$875,"CORTE DE CANA MECANIZADO"),0)</f>
        <v>0</v>
      </c>
      <c r="F1007" s="10">
        <f>IFERROR(SUMIFS('Base bordo CD'!M$2:M$875,'Base bordo CD'!D$2:D$875,A1007,'Base bordo CD'!A$2:A$875,B1007,'Base bordo CD'!L$2:L$875,"MANOBRA"),0)</f>
        <v>0</v>
      </c>
      <c r="G1007" s="10">
        <f>IFERROR(SUMIFS('Base bordo CD'!M$2:M$875,'Base bordo CD'!D$2:D$875,A1007,'Base bordo CD'!A$2:A$875,B1007,'Base bordo CD'!L$2:L$875,"DESLOCAMENTO"),0)</f>
        <v>0</v>
      </c>
      <c r="H1007" s="10">
        <f>IFERROR(SUMIFS('Base bordo CD'!M$2:M$875,'Base bordo CD'!D$2:D$875,A1007,'Base bordo CD'!A$2:A$875,B1007,'Base bordo CD'!L$2:L$875,"AGUARDANDO MANOBRA DE TRANSBORDO"),0)+IFERROR(SUMIFS('Base bordo CD'!M$2:M$875,'Base bordo CD'!D$2:D$875,A1007,'Base bordo CD'!A$2:A$875,B1007,'Base bordo CD'!L$2:L$875,"FALTA DE TRANSBORDO"),0)</f>
        <v>0</v>
      </c>
      <c r="I1007" s="10">
        <f>IFERROR(SUMIFS('Base bordo CD'!M$2:M$875,'Base bordo CD'!D$2:D$875,A1007,'Base bordo CD'!A$2:A$875,B1007,'Base bordo CD'!L$2:L$875,"PARADA POR CONDICOES CLIMATICAS"),0)+IFERROR(SUMIFS('Base bordo CD'!M$2:M$875,'Base bordo CD'!D$2:D$875,A1007,'Base bordo CD'!A$2:A$875,B1007,'Base bordo CD'!L$2:L$875,"TEMPO INDETERMINADO"),0)</f>
        <v>0</v>
      </c>
      <c r="J1007" s="10">
        <f>IFERROR(SUMIFS('Base bordo CD'!M$2:M$875,'Base bordo CD'!D$2:D$875,A1007,'Base bordo CD'!A$2:A$875,B1007,'Base bordo CD'!L$2:L$875,"LIMITAÇÃO INDÚSTRIA"),0)</f>
        <v>0</v>
      </c>
      <c r="K1007" s="10">
        <f>IFERROR(SUMIFS('Base bordo CD'!M$2:M$875,'Base bordo CD'!D$2:D$875,A1007,'Base bordo CD'!A$2:A$875,B1007,'Base bordo CD'!L$2:L$875,"MAN CORRETIVA*"),0)+IFERROR(SUMIFS('Base bordo CD'!M$2:M$875,'Base bordo CD'!D$2:D$875,A1007,'Base bordo CD'!A$2:A$875,B1007,'Base bordo CD'!L$2:L$875,"AGUARDANDO MANUTENCAO*"),0)+IFERROR(SUMIFS('Base bordo CD'!M$2:M$875,'Base bordo CD'!D$2:D$875,A1007,'Base bordo CD'!A$2:A$875,B1007,'Base bordo CD'!L$2:L$875,"TROCA DE FAQUINHA"),0)+IFERROR(SUMIFS('Base bordo CD'!M$2:M$875,'Base bordo CD'!D$2:D$875,A1007,'Base bordo CD'!A$2:A$875,B1007,'Base bordo CD'!L$2:L$875,"LIMPEZA*"),0)</f>
        <v>0</v>
      </c>
      <c r="L1007" s="10">
        <f>IFERROR(SUMIFS('Base bordo CD'!M$2:M$875,'Base bordo CD'!D$2:D$875,A1007,'Base bordo CD'!A$2:A$875,B1007,'Base bordo CD'!L$2:L$875,"PATIO - RESERVA"),0)</f>
        <v>0</v>
      </c>
      <c r="M1007" s="10">
        <f>IFERROR(SUMIFS('Base bordo CD'!M$2:M$875,'Base bordo CD'!D$2:D$875,A1007,'Base bordo CD'!A$2:A$875,B1007,'Base bordo CD'!L$2:L$875,"SEM APONTAMENTO"),0)</f>
        <v>0</v>
      </c>
      <c r="N1007" s="10">
        <f>IFERROR(SUMIFS('Base bordo CD'!M$2:M$875,'Base bordo CD'!D$2:D$875,A1007,'Base bordo CD'!A$2:A$875,B1007,'Base bordo CD'!L$2:L$875,"FALTA DE CAMINHÃO"),0)+IFERROR(SUMIFS('Base bordo CD'!M$2:M$875,'Base bordo CD'!D$2:D$875,A1007,'Base bordo CD'!A$2:A$875,B1007,'Base bordo CD'!L$2:L$875,"FALTA DE COMBUSTIVEL"),0)+IFERROR(SUMIFS('Base bordo CD'!M$2:M$875,'Base bordo CD'!D$2:D$875,A1007,'Base bordo CD'!A$2:A$875,B1007,'Base bordo CD'!L$2:L$875,"FALTA DE MOTORIST*"),0)</f>
        <v>0</v>
      </c>
      <c r="O1007" s="10">
        <f t="shared" si="80"/>
        <v>0</v>
      </c>
      <c r="P1007" s="10">
        <f>IFERROR(SUMIFS('Base bordo CD'!M$2:M$875,'Base bordo CD'!D$2:D$875,A1007,'Base bordo CD'!A$2:A$875,B1007),0)</f>
        <v>0</v>
      </c>
      <c r="Q1007" s="10">
        <f>IFERROR(SUMIFS('Base bordo CD'!O$2:O$875,'Base bordo CD'!D$2:D$875,A1007,'Base bordo CD'!A$2:A$875,B1007,'Base bordo CD'!L$2:L$875,"CORTE DE CANA MECANIZADO"),0)</f>
        <v>0</v>
      </c>
      <c r="R1007" s="10">
        <f>IFERROR(SUMIFS('Base bordo CD'!Q$2:Q$875,'Base bordo CD'!D$2:D$875,A1007,'Base bordo CD'!A$2:A$875,B1007,'Base bordo CD'!L$2:L$875,"CORTE DE CANA MECANIZADO"),0)</f>
        <v>0</v>
      </c>
      <c r="S1007" s="30" t="str">
        <f t="shared" si="81"/>
        <v/>
      </c>
      <c r="T1007" s="9">
        <f t="shared" si="82"/>
        <v>0</v>
      </c>
      <c r="U1007" s="9">
        <f t="shared" si="83"/>
        <v>0</v>
      </c>
      <c r="V1007" s="9">
        <f t="shared" si="84"/>
        <v>0</v>
      </c>
    </row>
    <row r="1008" spans="1:22" hidden="1" x14ac:dyDescent="0.35">
      <c r="A1008" s="52">
        <v>49588</v>
      </c>
      <c r="B1008" s="31">
        <v>46117</v>
      </c>
      <c r="C1008" s="7" t="s">
        <v>364</v>
      </c>
      <c r="D1008" s="7">
        <v>352</v>
      </c>
      <c r="E1008" s="10">
        <f>IFERROR(SUMIFS('Base bordo CD'!M$2:M$875,'Base bordo CD'!D$2:D$875,A1008,'Base bordo CD'!A$2:A$875,B1008,'Base bordo CD'!L$2:L$875,"CORTE DE CANA MECANIZADO"),0)</f>
        <v>0</v>
      </c>
      <c r="F1008" s="10">
        <f>IFERROR(SUMIFS('Base bordo CD'!M$2:M$875,'Base bordo CD'!D$2:D$875,A1008,'Base bordo CD'!A$2:A$875,B1008,'Base bordo CD'!L$2:L$875,"MANOBRA"),0)</f>
        <v>0</v>
      </c>
      <c r="G1008" s="10">
        <f>IFERROR(SUMIFS('Base bordo CD'!M$2:M$875,'Base bordo CD'!D$2:D$875,A1008,'Base bordo CD'!A$2:A$875,B1008,'Base bordo CD'!L$2:L$875,"DESLOCAMENTO"),0)</f>
        <v>0</v>
      </c>
      <c r="H1008" s="10">
        <f>IFERROR(SUMIFS('Base bordo CD'!M$2:M$875,'Base bordo CD'!D$2:D$875,A1008,'Base bordo CD'!A$2:A$875,B1008,'Base bordo CD'!L$2:L$875,"AGUARDANDO MANOBRA DE TRANSBORDO"),0)+IFERROR(SUMIFS('Base bordo CD'!M$2:M$875,'Base bordo CD'!D$2:D$875,A1008,'Base bordo CD'!A$2:A$875,B1008,'Base bordo CD'!L$2:L$875,"FALTA DE TRANSBORDO"),0)</f>
        <v>0</v>
      </c>
      <c r="I1008" s="10">
        <f>IFERROR(SUMIFS('Base bordo CD'!M$2:M$875,'Base bordo CD'!D$2:D$875,A1008,'Base bordo CD'!A$2:A$875,B1008,'Base bordo CD'!L$2:L$875,"PARADA POR CONDICOES CLIMATICAS"),0)+IFERROR(SUMIFS('Base bordo CD'!M$2:M$875,'Base bordo CD'!D$2:D$875,A1008,'Base bordo CD'!A$2:A$875,B1008,'Base bordo CD'!L$2:L$875,"TEMPO INDETERMINADO"),0)</f>
        <v>0</v>
      </c>
      <c r="J1008" s="10">
        <f>IFERROR(SUMIFS('Base bordo CD'!M$2:M$875,'Base bordo CD'!D$2:D$875,A1008,'Base bordo CD'!A$2:A$875,B1008,'Base bordo CD'!L$2:L$875,"LIMITAÇÃO INDÚSTRIA"),0)</f>
        <v>0</v>
      </c>
      <c r="K1008" s="10">
        <f>IFERROR(SUMIFS('Base bordo CD'!M$2:M$875,'Base bordo CD'!D$2:D$875,A1008,'Base bordo CD'!A$2:A$875,B1008,'Base bordo CD'!L$2:L$875,"MAN CORRETIVA*"),0)+IFERROR(SUMIFS('Base bordo CD'!M$2:M$875,'Base bordo CD'!D$2:D$875,A1008,'Base bordo CD'!A$2:A$875,B1008,'Base bordo CD'!L$2:L$875,"AGUARDANDO MANUTENCAO*"),0)+IFERROR(SUMIFS('Base bordo CD'!M$2:M$875,'Base bordo CD'!D$2:D$875,A1008,'Base bordo CD'!A$2:A$875,B1008,'Base bordo CD'!L$2:L$875,"TROCA DE FAQUINHA"),0)+IFERROR(SUMIFS('Base bordo CD'!M$2:M$875,'Base bordo CD'!D$2:D$875,A1008,'Base bordo CD'!A$2:A$875,B1008,'Base bordo CD'!L$2:L$875,"LIMPEZA*"),0)</f>
        <v>0</v>
      </c>
      <c r="L1008" s="10">
        <f>IFERROR(SUMIFS('Base bordo CD'!M$2:M$875,'Base bordo CD'!D$2:D$875,A1008,'Base bordo CD'!A$2:A$875,B1008,'Base bordo CD'!L$2:L$875,"PATIO - RESERVA"),0)</f>
        <v>0</v>
      </c>
      <c r="M1008" s="10">
        <f>IFERROR(SUMIFS('Base bordo CD'!M$2:M$875,'Base bordo CD'!D$2:D$875,A1008,'Base bordo CD'!A$2:A$875,B1008,'Base bordo CD'!L$2:L$875,"SEM APONTAMENTO"),0)</f>
        <v>0</v>
      </c>
      <c r="N1008" s="10">
        <f>IFERROR(SUMIFS('Base bordo CD'!M$2:M$875,'Base bordo CD'!D$2:D$875,A1008,'Base bordo CD'!A$2:A$875,B1008,'Base bordo CD'!L$2:L$875,"FALTA DE CAMINHÃO"),0)+IFERROR(SUMIFS('Base bordo CD'!M$2:M$875,'Base bordo CD'!D$2:D$875,A1008,'Base bordo CD'!A$2:A$875,B1008,'Base bordo CD'!L$2:L$875,"FALTA DE COMBUSTIVEL"),0)+IFERROR(SUMIFS('Base bordo CD'!M$2:M$875,'Base bordo CD'!D$2:D$875,A1008,'Base bordo CD'!A$2:A$875,B1008,'Base bordo CD'!L$2:L$875,"FALTA DE MOTORIST*"),0)</f>
        <v>0</v>
      </c>
      <c r="O1008" s="10">
        <f t="shared" si="80"/>
        <v>0</v>
      </c>
      <c r="P1008" s="10">
        <f>IFERROR(SUMIFS('Base bordo CD'!M$2:M$875,'Base bordo CD'!D$2:D$875,A1008,'Base bordo CD'!A$2:A$875,B1008),0)</f>
        <v>0</v>
      </c>
      <c r="Q1008" s="10">
        <f>IFERROR(SUMIFS('Base bordo CD'!O$2:O$875,'Base bordo CD'!D$2:D$875,A1008,'Base bordo CD'!A$2:A$875,B1008,'Base bordo CD'!L$2:L$875,"CORTE DE CANA MECANIZADO"),0)</f>
        <v>0</v>
      </c>
      <c r="R1008" s="10">
        <f>IFERROR(SUMIFS('Base bordo CD'!Q$2:Q$875,'Base bordo CD'!D$2:D$875,A1008,'Base bordo CD'!A$2:A$875,B1008,'Base bordo CD'!L$2:L$875,"CORTE DE CANA MECANIZADO"),0)</f>
        <v>0</v>
      </c>
      <c r="S1008" s="30" t="str">
        <f t="shared" si="81"/>
        <v/>
      </c>
      <c r="T1008" s="9">
        <f t="shared" si="82"/>
        <v>0</v>
      </c>
      <c r="U1008" s="9">
        <f t="shared" si="83"/>
        <v>0</v>
      </c>
      <c r="V1008" s="9">
        <f t="shared" si="84"/>
        <v>0</v>
      </c>
    </row>
    <row r="1009" spans="1:22" hidden="1" x14ac:dyDescent="0.35">
      <c r="A1009" s="52">
        <v>49588</v>
      </c>
      <c r="B1009" s="31">
        <v>46117</v>
      </c>
      <c r="C1009" s="7" t="s">
        <v>364</v>
      </c>
      <c r="D1009" s="7">
        <v>352</v>
      </c>
      <c r="E1009" s="10">
        <f>IFERROR(SUMIFS('Base bordo CD'!M$2:M$875,'Base bordo CD'!D$2:D$875,A1009,'Base bordo CD'!A$2:A$875,B1009,'Base bordo CD'!L$2:L$875,"CORTE DE CANA MECANIZADO"),0)</f>
        <v>0</v>
      </c>
      <c r="F1009" s="10">
        <f>IFERROR(SUMIFS('Base bordo CD'!M$2:M$875,'Base bordo CD'!D$2:D$875,A1009,'Base bordo CD'!A$2:A$875,B1009,'Base bordo CD'!L$2:L$875,"MANOBRA"),0)</f>
        <v>0</v>
      </c>
      <c r="G1009" s="10">
        <f>IFERROR(SUMIFS('Base bordo CD'!M$2:M$875,'Base bordo CD'!D$2:D$875,A1009,'Base bordo CD'!A$2:A$875,B1009,'Base bordo CD'!L$2:L$875,"DESLOCAMENTO"),0)</f>
        <v>0</v>
      </c>
      <c r="H1009" s="10">
        <f>IFERROR(SUMIFS('Base bordo CD'!M$2:M$875,'Base bordo CD'!D$2:D$875,A1009,'Base bordo CD'!A$2:A$875,B1009,'Base bordo CD'!L$2:L$875,"AGUARDANDO MANOBRA DE TRANSBORDO"),0)+IFERROR(SUMIFS('Base bordo CD'!M$2:M$875,'Base bordo CD'!D$2:D$875,A1009,'Base bordo CD'!A$2:A$875,B1009,'Base bordo CD'!L$2:L$875,"FALTA DE TRANSBORDO"),0)</f>
        <v>0</v>
      </c>
      <c r="I1009" s="10">
        <f>IFERROR(SUMIFS('Base bordo CD'!M$2:M$875,'Base bordo CD'!D$2:D$875,A1009,'Base bordo CD'!A$2:A$875,B1009,'Base bordo CD'!L$2:L$875,"PARADA POR CONDICOES CLIMATICAS"),0)+IFERROR(SUMIFS('Base bordo CD'!M$2:M$875,'Base bordo CD'!D$2:D$875,A1009,'Base bordo CD'!A$2:A$875,B1009,'Base bordo CD'!L$2:L$875,"TEMPO INDETERMINADO"),0)</f>
        <v>0</v>
      </c>
      <c r="J1009" s="10">
        <f>IFERROR(SUMIFS('Base bordo CD'!M$2:M$875,'Base bordo CD'!D$2:D$875,A1009,'Base bordo CD'!A$2:A$875,B1009,'Base bordo CD'!L$2:L$875,"LIMITAÇÃO INDÚSTRIA"),0)</f>
        <v>0</v>
      </c>
      <c r="K1009" s="10">
        <f>IFERROR(SUMIFS('Base bordo CD'!M$2:M$875,'Base bordo CD'!D$2:D$875,A1009,'Base bordo CD'!A$2:A$875,B1009,'Base bordo CD'!L$2:L$875,"MAN CORRETIVA*"),0)+IFERROR(SUMIFS('Base bordo CD'!M$2:M$875,'Base bordo CD'!D$2:D$875,A1009,'Base bordo CD'!A$2:A$875,B1009,'Base bordo CD'!L$2:L$875,"AGUARDANDO MANUTENCAO*"),0)+IFERROR(SUMIFS('Base bordo CD'!M$2:M$875,'Base bordo CD'!D$2:D$875,A1009,'Base bordo CD'!A$2:A$875,B1009,'Base bordo CD'!L$2:L$875,"TROCA DE FAQUINHA"),0)+IFERROR(SUMIFS('Base bordo CD'!M$2:M$875,'Base bordo CD'!D$2:D$875,A1009,'Base bordo CD'!A$2:A$875,B1009,'Base bordo CD'!L$2:L$875,"LIMPEZA*"),0)</f>
        <v>0</v>
      </c>
      <c r="L1009" s="10">
        <f>IFERROR(SUMIFS('Base bordo CD'!M$2:M$875,'Base bordo CD'!D$2:D$875,A1009,'Base bordo CD'!A$2:A$875,B1009,'Base bordo CD'!L$2:L$875,"PATIO - RESERVA"),0)</f>
        <v>0</v>
      </c>
      <c r="M1009" s="10">
        <f>IFERROR(SUMIFS('Base bordo CD'!M$2:M$875,'Base bordo CD'!D$2:D$875,A1009,'Base bordo CD'!A$2:A$875,B1009,'Base bordo CD'!L$2:L$875,"SEM APONTAMENTO"),0)</f>
        <v>0</v>
      </c>
      <c r="N1009" s="10">
        <f>IFERROR(SUMIFS('Base bordo CD'!M$2:M$875,'Base bordo CD'!D$2:D$875,A1009,'Base bordo CD'!A$2:A$875,B1009,'Base bordo CD'!L$2:L$875,"FALTA DE CAMINHÃO"),0)+IFERROR(SUMIFS('Base bordo CD'!M$2:M$875,'Base bordo CD'!D$2:D$875,A1009,'Base bordo CD'!A$2:A$875,B1009,'Base bordo CD'!L$2:L$875,"FALTA DE COMBUSTIVEL"),0)+IFERROR(SUMIFS('Base bordo CD'!M$2:M$875,'Base bordo CD'!D$2:D$875,A1009,'Base bordo CD'!A$2:A$875,B1009,'Base bordo CD'!L$2:L$875,"FALTA DE MOTORIST*"),0)</f>
        <v>0</v>
      </c>
      <c r="O1009" s="10">
        <f t="shared" si="80"/>
        <v>0</v>
      </c>
      <c r="P1009" s="10">
        <f>IFERROR(SUMIFS('Base bordo CD'!M$2:M$875,'Base bordo CD'!D$2:D$875,A1009,'Base bordo CD'!A$2:A$875,B1009),0)</f>
        <v>0</v>
      </c>
      <c r="Q1009" s="10">
        <f>IFERROR(SUMIFS('Base bordo CD'!O$2:O$875,'Base bordo CD'!D$2:D$875,A1009,'Base bordo CD'!A$2:A$875,B1009,'Base bordo CD'!L$2:L$875,"CORTE DE CANA MECANIZADO"),0)</f>
        <v>0</v>
      </c>
      <c r="R1009" s="10">
        <f>IFERROR(SUMIFS('Base bordo CD'!Q$2:Q$875,'Base bordo CD'!D$2:D$875,A1009,'Base bordo CD'!A$2:A$875,B1009,'Base bordo CD'!L$2:L$875,"CORTE DE CANA MECANIZADO"),0)</f>
        <v>0</v>
      </c>
      <c r="S1009" s="30" t="str">
        <f t="shared" si="81"/>
        <v/>
      </c>
      <c r="T1009" s="9">
        <f t="shared" si="82"/>
        <v>0</v>
      </c>
      <c r="U1009" s="9">
        <f t="shared" si="83"/>
        <v>0</v>
      </c>
      <c r="V1009" s="9">
        <f t="shared" si="84"/>
        <v>0</v>
      </c>
    </row>
    <row r="1010" spans="1:22" hidden="1" x14ac:dyDescent="0.35">
      <c r="A1010" s="52">
        <v>49588</v>
      </c>
      <c r="B1010" s="31">
        <v>46117</v>
      </c>
      <c r="C1010" s="7" t="s">
        <v>364</v>
      </c>
      <c r="D1010" s="7">
        <v>352</v>
      </c>
      <c r="E1010" s="10">
        <f>IFERROR(SUMIFS('Base bordo CD'!M$2:M$875,'Base bordo CD'!D$2:D$875,A1010,'Base bordo CD'!A$2:A$875,B1010,'Base bordo CD'!L$2:L$875,"CORTE DE CANA MECANIZADO"),0)</f>
        <v>0</v>
      </c>
      <c r="F1010" s="10">
        <f>IFERROR(SUMIFS('Base bordo CD'!M$2:M$875,'Base bordo CD'!D$2:D$875,A1010,'Base bordo CD'!A$2:A$875,B1010,'Base bordo CD'!L$2:L$875,"MANOBRA"),0)</f>
        <v>0</v>
      </c>
      <c r="G1010" s="10">
        <f>IFERROR(SUMIFS('Base bordo CD'!M$2:M$875,'Base bordo CD'!D$2:D$875,A1010,'Base bordo CD'!A$2:A$875,B1010,'Base bordo CD'!L$2:L$875,"DESLOCAMENTO"),0)</f>
        <v>0</v>
      </c>
      <c r="H1010" s="10">
        <f>IFERROR(SUMIFS('Base bordo CD'!M$2:M$875,'Base bordo CD'!D$2:D$875,A1010,'Base bordo CD'!A$2:A$875,B1010,'Base bordo CD'!L$2:L$875,"AGUARDANDO MANOBRA DE TRANSBORDO"),0)+IFERROR(SUMIFS('Base bordo CD'!M$2:M$875,'Base bordo CD'!D$2:D$875,A1010,'Base bordo CD'!A$2:A$875,B1010,'Base bordo CD'!L$2:L$875,"FALTA DE TRANSBORDO"),0)</f>
        <v>0</v>
      </c>
      <c r="I1010" s="10">
        <f>IFERROR(SUMIFS('Base bordo CD'!M$2:M$875,'Base bordo CD'!D$2:D$875,A1010,'Base bordo CD'!A$2:A$875,B1010,'Base bordo CD'!L$2:L$875,"PARADA POR CONDICOES CLIMATICAS"),0)+IFERROR(SUMIFS('Base bordo CD'!M$2:M$875,'Base bordo CD'!D$2:D$875,A1010,'Base bordo CD'!A$2:A$875,B1010,'Base bordo CD'!L$2:L$875,"TEMPO INDETERMINADO"),0)</f>
        <v>0</v>
      </c>
      <c r="J1010" s="10">
        <f>IFERROR(SUMIFS('Base bordo CD'!M$2:M$875,'Base bordo CD'!D$2:D$875,A1010,'Base bordo CD'!A$2:A$875,B1010,'Base bordo CD'!L$2:L$875,"LIMITAÇÃO INDÚSTRIA"),0)</f>
        <v>0</v>
      </c>
      <c r="K1010" s="10">
        <f>IFERROR(SUMIFS('Base bordo CD'!M$2:M$875,'Base bordo CD'!D$2:D$875,A1010,'Base bordo CD'!A$2:A$875,B1010,'Base bordo CD'!L$2:L$875,"MAN CORRETIVA*"),0)+IFERROR(SUMIFS('Base bordo CD'!M$2:M$875,'Base bordo CD'!D$2:D$875,A1010,'Base bordo CD'!A$2:A$875,B1010,'Base bordo CD'!L$2:L$875,"AGUARDANDO MANUTENCAO*"),0)+IFERROR(SUMIFS('Base bordo CD'!M$2:M$875,'Base bordo CD'!D$2:D$875,A1010,'Base bordo CD'!A$2:A$875,B1010,'Base bordo CD'!L$2:L$875,"TROCA DE FAQUINHA"),0)+IFERROR(SUMIFS('Base bordo CD'!M$2:M$875,'Base bordo CD'!D$2:D$875,A1010,'Base bordo CD'!A$2:A$875,B1010,'Base bordo CD'!L$2:L$875,"LIMPEZA*"),0)</f>
        <v>0</v>
      </c>
      <c r="L1010" s="10">
        <f>IFERROR(SUMIFS('Base bordo CD'!M$2:M$875,'Base bordo CD'!D$2:D$875,A1010,'Base bordo CD'!A$2:A$875,B1010,'Base bordo CD'!L$2:L$875,"PATIO - RESERVA"),0)</f>
        <v>0</v>
      </c>
      <c r="M1010" s="10">
        <f>IFERROR(SUMIFS('Base bordo CD'!M$2:M$875,'Base bordo CD'!D$2:D$875,A1010,'Base bordo CD'!A$2:A$875,B1010,'Base bordo CD'!L$2:L$875,"SEM APONTAMENTO"),0)</f>
        <v>0</v>
      </c>
      <c r="N1010" s="10">
        <f>IFERROR(SUMIFS('Base bordo CD'!M$2:M$875,'Base bordo CD'!D$2:D$875,A1010,'Base bordo CD'!A$2:A$875,B1010,'Base bordo CD'!L$2:L$875,"FALTA DE CAMINHÃO"),0)+IFERROR(SUMIFS('Base bordo CD'!M$2:M$875,'Base bordo CD'!D$2:D$875,A1010,'Base bordo CD'!A$2:A$875,B1010,'Base bordo CD'!L$2:L$875,"FALTA DE COMBUSTIVEL"),0)+IFERROR(SUMIFS('Base bordo CD'!M$2:M$875,'Base bordo CD'!D$2:D$875,A1010,'Base bordo CD'!A$2:A$875,B1010,'Base bordo CD'!L$2:L$875,"FALTA DE MOTORIST*"),0)</f>
        <v>0</v>
      </c>
      <c r="O1010" s="10">
        <f t="shared" si="80"/>
        <v>0</v>
      </c>
      <c r="P1010" s="10">
        <f>IFERROR(SUMIFS('Base bordo CD'!M$2:M$875,'Base bordo CD'!D$2:D$875,A1010,'Base bordo CD'!A$2:A$875,B1010),0)</f>
        <v>0</v>
      </c>
      <c r="Q1010" s="10">
        <f>IFERROR(SUMIFS('Base bordo CD'!O$2:O$875,'Base bordo CD'!D$2:D$875,A1010,'Base bordo CD'!A$2:A$875,B1010,'Base bordo CD'!L$2:L$875,"CORTE DE CANA MECANIZADO"),0)</f>
        <v>0</v>
      </c>
      <c r="R1010" s="10">
        <f>IFERROR(SUMIFS('Base bordo CD'!Q$2:Q$875,'Base bordo CD'!D$2:D$875,A1010,'Base bordo CD'!A$2:A$875,B1010,'Base bordo CD'!L$2:L$875,"CORTE DE CANA MECANIZADO"),0)</f>
        <v>0</v>
      </c>
      <c r="S1010" s="30" t="str">
        <f t="shared" si="81"/>
        <v/>
      </c>
      <c r="T1010" s="9">
        <f t="shared" si="82"/>
        <v>0</v>
      </c>
      <c r="U1010" s="9">
        <f t="shared" si="83"/>
        <v>0</v>
      </c>
      <c r="V1010" s="9">
        <f t="shared" si="84"/>
        <v>0</v>
      </c>
    </row>
    <row r="1011" spans="1:22" hidden="1" x14ac:dyDescent="0.35">
      <c r="A1011" s="52">
        <v>49588</v>
      </c>
      <c r="B1011" s="31">
        <v>46117</v>
      </c>
      <c r="C1011" s="7" t="s">
        <v>364</v>
      </c>
      <c r="D1011" s="7">
        <v>352</v>
      </c>
      <c r="E1011" s="10">
        <f>IFERROR(SUMIFS('Base bordo CD'!M$2:M$875,'Base bordo CD'!D$2:D$875,A1011,'Base bordo CD'!A$2:A$875,B1011,'Base bordo CD'!L$2:L$875,"CORTE DE CANA MECANIZADO"),0)</f>
        <v>0</v>
      </c>
      <c r="F1011" s="10">
        <f>IFERROR(SUMIFS('Base bordo CD'!M$2:M$875,'Base bordo CD'!D$2:D$875,A1011,'Base bordo CD'!A$2:A$875,B1011,'Base bordo CD'!L$2:L$875,"MANOBRA"),0)</f>
        <v>0</v>
      </c>
      <c r="G1011" s="10">
        <f>IFERROR(SUMIFS('Base bordo CD'!M$2:M$875,'Base bordo CD'!D$2:D$875,A1011,'Base bordo CD'!A$2:A$875,B1011,'Base bordo CD'!L$2:L$875,"DESLOCAMENTO"),0)</f>
        <v>0</v>
      </c>
      <c r="H1011" s="10">
        <f>IFERROR(SUMIFS('Base bordo CD'!M$2:M$875,'Base bordo CD'!D$2:D$875,A1011,'Base bordo CD'!A$2:A$875,B1011,'Base bordo CD'!L$2:L$875,"AGUARDANDO MANOBRA DE TRANSBORDO"),0)+IFERROR(SUMIFS('Base bordo CD'!M$2:M$875,'Base bordo CD'!D$2:D$875,A1011,'Base bordo CD'!A$2:A$875,B1011,'Base bordo CD'!L$2:L$875,"FALTA DE TRANSBORDO"),0)</f>
        <v>0</v>
      </c>
      <c r="I1011" s="10">
        <f>IFERROR(SUMIFS('Base bordo CD'!M$2:M$875,'Base bordo CD'!D$2:D$875,A1011,'Base bordo CD'!A$2:A$875,B1011,'Base bordo CD'!L$2:L$875,"PARADA POR CONDICOES CLIMATICAS"),0)+IFERROR(SUMIFS('Base bordo CD'!M$2:M$875,'Base bordo CD'!D$2:D$875,A1011,'Base bordo CD'!A$2:A$875,B1011,'Base bordo CD'!L$2:L$875,"TEMPO INDETERMINADO"),0)</f>
        <v>0</v>
      </c>
      <c r="J1011" s="10">
        <f>IFERROR(SUMIFS('Base bordo CD'!M$2:M$875,'Base bordo CD'!D$2:D$875,A1011,'Base bordo CD'!A$2:A$875,B1011,'Base bordo CD'!L$2:L$875,"LIMITAÇÃO INDÚSTRIA"),0)</f>
        <v>0</v>
      </c>
      <c r="K1011" s="10">
        <f>IFERROR(SUMIFS('Base bordo CD'!M$2:M$875,'Base bordo CD'!D$2:D$875,A1011,'Base bordo CD'!A$2:A$875,B1011,'Base bordo CD'!L$2:L$875,"MAN CORRETIVA*"),0)+IFERROR(SUMIFS('Base bordo CD'!M$2:M$875,'Base bordo CD'!D$2:D$875,A1011,'Base bordo CD'!A$2:A$875,B1011,'Base bordo CD'!L$2:L$875,"AGUARDANDO MANUTENCAO*"),0)+IFERROR(SUMIFS('Base bordo CD'!M$2:M$875,'Base bordo CD'!D$2:D$875,A1011,'Base bordo CD'!A$2:A$875,B1011,'Base bordo CD'!L$2:L$875,"TROCA DE FAQUINHA"),0)+IFERROR(SUMIFS('Base bordo CD'!M$2:M$875,'Base bordo CD'!D$2:D$875,A1011,'Base bordo CD'!A$2:A$875,B1011,'Base bordo CD'!L$2:L$875,"LIMPEZA*"),0)</f>
        <v>0</v>
      </c>
      <c r="L1011" s="10">
        <f>IFERROR(SUMIFS('Base bordo CD'!M$2:M$875,'Base bordo CD'!D$2:D$875,A1011,'Base bordo CD'!A$2:A$875,B1011,'Base bordo CD'!L$2:L$875,"PATIO - RESERVA"),0)</f>
        <v>0</v>
      </c>
      <c r="M1011" s="10">
        <f>IFERROR(SUMIFS('Base bordo CD'!M$2:M$875,'Base bordo CD'!D$2:D$875,A1011,'Base bordo CD'!A$2:A$875,B1011,'Base bordo CD'!L$2:L$875,"SEM APONTAMENTO"),0)</f>
        <v>0</v>
      </c>
      <c r="N1011" s="10">
        <f>IFERROR(SUMIFS('Base bordo CD'!M$2:M$875,'Base bordo CD'!D$2:D$875,A1011,'Base bordo CD'!A$2:A$875,B1011,'Base bordo CD'!L$2:L$875,"FALTA DE CAMINHÃO"),0)+IFERROR(SUMIFS('Base bordo CD'!M$2:M$875,'Base bordo CD'!D$2:D$875,A1011,'Base bordo CD'!A$2:A$875,B1011,'Base bordo CD'!L$2:L$875,"FALTA DE COMBUSTIVEL"),0)+IFERROR(SUMIFS('Base bordo CD'!M$2:M$875,'Base bordo CD'!D$2:D$875,A1011,'Base bordo CD'!A$2:A$875,B1011,'Base bordo CD'!L$2:L$875,"FALTA DE MOTORIST*"),0)</f>
        <v>0</v>
      </c>
      <c r="O1011" s="10">
        <f t="shared" si="80"/>
        <v>0</v>
      </c>
      <c r="P1011" s="10">
        <f>IFERROR(SUMIFS('Base bordo CD'!M$2:M$875,'Base bordo CD'!D$2:D$875,A1011,'Base bordo CD'!A$2:A$875,B1011),0)</f>
        <v>0</v>
      </c>
      <c r="Q1011" s="10">
        <f>IFERROR(SUMIFS('Base bordo CD'!O$2:O$875,'Base bordo CD'!D$2:D$875,A1011,'Base bordo CD'!A$2:A$875,B1011,'Base bordo CD'!L$2:L$875,"CORTE DE CANA MECANIZADO"),0)</f>
        <v>0</v>
      </c>
      <c r="R1011" s="10">
        <f>IFERROR(SUMIFS('Base bordo CD'!Q$2:Q$875,'Base bordo CD'!D$2:D$875,A1011,'Base bordo CD'!A$2:A$875,B1011,'Base bordo CD'!L$2:L$875,"CORTE DE CANA MECANIZADO"),0)</f>
        <v>0</v>
      </c>
      <c r="S1011" s="30" t="str">
        <f t="shared" si="81"/>
        <v/>
      </c>
      <c r="T1011" s="9">
        <f t="shared" si="82"/>
        <v>0</v>
      </c>
      <c r="U1011" s="9">
        <f t="shared" si="83"/>
        <v>0</v>
      </c>
      <c r="V1011" s="9">
        <f t="shared" si="84"/>
        <v>0</v>
      </c>
    </row>
    <row r="1012" spans="1:22" hidden="1" x14ac:dyDescent="0.35">
      <c r="A1012" s="52">
        <v>49588</v>
      </c>
      <c r="B1012" s="31">
        <v>46117</v>
      </c>
      <c r="C1012" s="7" t="s">
        <v>364</v>
      </c>
      <c r="D1012" s="7">
        <v>352</v>
      </c>
      <c r="E1012" s="10">
        <f>IFERROR(SUMIFS('Base bordo CD'!M$2:M$875,'Base bordo CD'!D$2:D$875,A1012,'Base bordo CD'!A$2:A$875,B1012,'Base bordo CD'!L$2:L$875,"CORTE DE CANA MECANIZADO"),0)</f>
        <v>0</v>
      </c>
      <c r="F1012" s="10">
        <f>IFERROR(SUMIFS('Base bordo CD'!M$2:M$875,'Base bordo CD'!D$2:D$875,A1012,'Base bordo CD'!A$2:A$875,B1012,'Base bordo CD'!L$2:L$875,"MANOBRA"),0)</f>
        <v>0</v>
      </c>
      <c r="G1012" s="10">
        <f>IFERROR(SUMIFS('Base bordo CD'!M$2:M$875,'Base bordo CD'!D$2:D$875,A1012,'Base bordo CD'!A$2:A$875,B1012,'Base bordo CD'!L$2:L$875,"DESLOCAMENTO"),0)</f>
        <v>0</v>
      </c>
      <c r="H1012" s="10">
        <f>IFERROR(SUMIFS('Base bordo CD'!M$2:M$875,'Base bordo CD'!D$2:D$875,A1012,'Base bordo CD'!A$2:A$875,B1012,'Base bordo CD'!L$2:L$875,"AGUARDANDO MANOBRA DE TRANSBORDO"),0)+IFERROR(SUMIFS('Base bordo CD'!M$2:M$875,'Base bordo CD'!D$2:D$875,A1012,'Base bordo CD'!A$2:A$875,B1012,'Base bordo CD'!L$2:L$875,"FALTA DE TRANSBORDO"),0)</f>
        <v>0</v>
      </c>
      <c r="I1012" s="10">
        <f>IFERROR(SUMIFS('Base bordo CD'!M$2:M$875,'Base bordo CD'!D$2:D$875,A1012,'Base bordo CD'!A$2:A$875,B1012,'Base bordo CD'!L$2:L$875,"PARADA POR CONDICOES CLIMATICAS"),0)+IFERROR(SUMIFS('Base bordo CD'!M$2:M$875,'Base bordo CD'!D$2:D$875,A1012,'Base bordo CD'!A$2:A$875,B1012,'Base bordo CD'!L$2:L$875,"TEMPO INDETERMINADO"),0)</f>
        <v>0</v>
      </c>
      <c r="J1012" s="10">
        <f>IFERROR(SUMIFS('Base bordo CD'!M$2:M$875,'Base bordo CD'!D$2:D$875,A1012,'Base bordo CD'!A$2:A$875,B1012,'Base bordo CD'!L$2:L$875,"LIMITAÇÃO INDÚSTRIA"),0)</f>
        <v>0</v>
      </c>
      <c r="K1012" s="10">
        <f>IFERROR(SUMIFS('Base bordo CD'!M$2:M$875,'Base bordo CD'!D$2:D$875,A1012,'Base bordo CD'!A$2:A$875,B1012,'Base bordo CD'!L$2:L$875,"MAN CORRETIVA*"),0)+IFERROR(SUMIFS('Base bordo CD'!M$2:M$875,'Base bordo CD'!D$2:D$875,A1012,'Base bordo CD'!A$2:A$875,B1012,'Base bordo CD'!L$2:L$875,"AGUARDANDO MANUTENCAO*"),0)+IFERROR(SUMIFS('Base bordo CD'!M$2:M$875,'Base bordo CD'!D$2:D$875,A1012,'Base bordo CD'!A$2:A$875,B1012,'Base bordo CD'!L$2:L$875,"TROCA DE FAQUINHA"),0)+IFERROR(SUMIFS('Base bordo CD'!M$2:M$875,'Base bordo CD'!D$2:D$875,A1012,'Base bordo CD'!A$2:A$875,B1012,'Base bordo CD'!L$2:L$875,"LIMPEZA*"),0)</f>
        <v>0</v>
      </c>
      <c r="L1012" s="10">
        <f>IFERROR(SUMIFS('Base bordo CD'!M$2:M$875,'Base bordo CD'!D$2:D$875,A1012,'Base bordo CD'!A$2:A$875,B1012,'Base bordo CD'!L$2:L$875,"PATIO - RESERVA"),0)</f>
        <v>0</v>
      </c>
      <c r="M1012" s="10">
        <f>IFERROR(SUMIFS('Base bordo CD'!M$2:M$875,'Base bordo CD'!D$2:D$875,A1012,'Base bordo CD'!A$2:A$875,B1012,'Base bordo CD'!L$2:L$875,"SEM APONTAMENTO"),0)</f>
        <v>0</v>
      </c>
      <c r="N1012" s="10">
        <f>IFERROR(SUMIFS('Base bordo CD'!M$2:M$875,'Base bordo CD'!D$2:D$875,A1012,'Base bordo CD'!A$2:A$875,B1012,'Base bordo CD'!L$2:L$875,"FALTA DE CAMINHÃO"),0)+IFERROR(SUMIFS('Base bordo CD'!M$2:M$875,'Base bordo CD'!D$2:D$875,A1012,'Base bordo CD'!A$2:A$875,B1012,'Base bordo CD'!L$2:L$875,"FALTA DE COMBUSTIVEL"),0)+IFERROR(SUMIFS('Base bordo CD'!M$2:M$875,'Base bordo CD'!D$2:D$875,A1012,'Base bordo CD'!A$2:A$875,B1012,'Base bordo CD'!L$2:L$875,"FALTA DE MOTORIST*"),0)</f>
        <v>0</v>
      </c>
      <c r="O1012" s="10">
        <f t="shared" si="80"/>
        <v>0</v>
      </c>
      <c r="P1012" s="10">
        <f>IFERROR(SUMIFS('Base bordo CD'!M$2:M$875,'Base bordo CD'!D$2:D$875,A1012,'Base bordo CD'!A$2:A$875,B1012),0)</f>
        <v>0</v>
      </c>
      <c r="Q1012" s="10">
        <f>IFERROR(SUMIFS('Base bordo CD'!O$2:O$875,'Base bordo CD'!D$2:D$875,A1012,'Base bordo CD'!A$2:A$875,B1012,'Base bordo CD'!L$2:L$875,"CORTE DE CANA MECANIZADO"),0)</f>
        <v>0</v>
      </c>
      <c r="R1012" s="10">
        <f>IFERROR(SUMIFS('Base bordo CD'!Q$2:Q$875,'Base bordo CD'!D$2:D$875,A1012,'Base bordo CD'!A$2:A$875,B1012,'Base bordo CD'!L$2:L$875,"CORTE DE CANA MECANIZADO"),0)</f>
        <v>0</v>
      </c>
      <c r="S1012" s="30" t="str">
        <f t="shared" si="81"/>
        <v/>
      </c>
      <c r="T1012" s="9">
        <f t="shared" si="82"/>
        <v>0</v>
      </c>
      <c r="U1012" s="9">
        <f t="shared" si="83"/>
        <v>0</v>
      </c>
      <c r="V1012" s="9">
        <f t="shared" si="84"/>
        <v>0</v>
      </c>
    </row>
    <row r="1013" spans="1:22" hidden="1" x14ac:dyDescent="0.35">
      <c r="A1013" s="52">
        <v>49588</v>
      </c>
      <c r="B1013" s="31">
        <v>46117</v>
      </c>
      <c r="C1013" s="7" t="s">
        <v>364</v>
      </c>
      <c r="D1013" s="7">
        <v>352</v>
      </c>
      <c r="E1013" s="10">
        <f>IFERROR(SUMIFS('Base bordo CD'!M$2:M$875,'Base bordo CD'!D$2:D$875,A1013,'Base bordo CD'!A$2:A$875,B1013,'Base bordo CD'!L$2:L$875,"CORTE DE CANA MECANIZADO"),0)</f>
        <v>0</v>
      </c>
      <c r="F1013" s="10">
        <f>IFERROR(SUMIFS('Base bordo CD'!M$2:M$875,'Base bordo CD'!D$2:D$875,A1013,'Base bordo CD'!A$2:A$875,B1013,'Base bordo CD'!L$2:L$875,"MANOBRA"),0)</f>
        <v>0</v>
      </c>
      <c r="G1013" s="10">
        <f>IFERROR(SUMIFS('Base bordo CD'!M$2:M$875,'Base bordo CD'!D$2:D$875,A1013,'Base bordo CD'!A$2:A$875,B1013,'Base bordo CD'!L$2:L$875,"DESLOCAMENTO"),0)</f>
        <v>0</v>
      </c>
      <c r="H1013" s="10">
        <f>IFERROR(SUMIFS('Base bordo CD'!M$2:M$875,'Base bordo CD'!D$2:D$875,A1013,'Base bordo CD'!A$2:A$875,B1013,'Base bordo CD'!L$2:L$875,"AGUARDANDO MANOBRA DE TRANSBORDO"),0)+IFERROR(SUMIFS('Base bordo CD'!M$2:M$875,'Base bordo CD'!D$2:D$875,A1013,'Base bordo CD'!A$2:A$875,B1013,'Base bordo CD'!L$2:L$875,"FALTA DE TRANSBORDO"),0)</f>
        <v>0</v>
      </c>
      <c r="I1013" s="10">
        <f>IFERROR(SUMIFS('Base bordo CD'!M$2:M$875,'Base bordo CD'!D$2:D$875,A1013,'Base bordo CD'!A$2:A$875,B1013,'Base bordo CD'!L$2:L$875,"PARADA POR CONDICOES CLIMATICAS"),0)+IFERROR(SUMIFS('Base bordo CD'!M$2:M$875,'Base bordo CD'!D$2:D$875,A1013,'Base bordo CD'!A$2:A$875,B1013,'Base bordo CD'!L$2:L$875,"TEMPO INDETERMINADO"),0)</f>
        <v>0</v>
      </c>
      <c r="J1013" s="10">
        <f>IFERROR(SUMIFS('Base bordo CD'!M$2:M$875,'Base bordo CD'!D$2:D$875,A1013,'Base bordo CD'!A$2:A$875,B1013,'Base bordo CD'!L$2:L$875,"LIMITAÇÃO INDÚSTRIA"),0)</f>
        <v>0</v>
      </c>
      <c r="K1013" s="10">
        <f>IFERROR(SUMIFS('Base bordo CD'!M$2:M$875,'Base bordo CD'!D$2:D$875,A1013,'Base bordo CD'!A$2:A$875,B1013,'Base bordo CD'!L$2:L$875,"MAN CORRETIVA*"),0)+IFERROR(SUMIFS('Base bordo CD'!M$2:M$875,'Base bordo CD'!D$2:D$875,A1013,'Base bordo CD'!A$2:A$875,B1013,'Base bordo CD'!L$2:L$875,"AGUARDANDO MANUTENCAO*"),0)+IFERROR(SUMIFS('Base bordo CD'!M$2:M$875,'Base bordo CD'!D$2:D$875,A1013,'Base bordo CD'!A$2:A$875,B1013,'Base bordo CD'!L$2:L$875,"TROCA DE FAQUINHA"),0)+IFERROR(SUMIFS('Base bordo CD'!M$2:M$875,'Base bordo CD'!D$2:D$875,A1013,'Base bordo CD'!A$2:A$875,B1013,'Base bordo CD'!L$2:L$875,"LIMPEZA*"),0)</f>
        <v>0</v>
      </c>
      <c r="L1013" s="10">
        <f>IFERROR(SUMIFS('Base bordo CD'!M$2:M$875,'Base bordo CD'!D$2:D$875,A1013,'Base bordo CD'!A$2:A$875,B1013,'Base bordo CD'!L$2:L$875,"PATIO - RESERVA"),0)</f>
        <v>0</v>
      </c>
      <c r="M1013" s="10">
        <f>IFERROR(SUMIFS('Base bordo CD'!M$2:M$875,'Base bordo CD'!D$2:D$875,A1013,'Base bordo CD'!A$2:A$875,B1013,'Base bordo CD'!L$2:L$875,"SEM APONTAMENTO"),0)</f>
        <v>0</v>
      </c>
      <c r="N1013" s="10">
        <f>IFERROR(SUMIFS('Base bordo CD'!M$2:M$875,'Base bordo CD'!D$2:D$875,A1013,'Base bordo CD'!A$2:A$875,B1013,'Base bordo CD'!L$2:L$875,"FALTA DE CAMINHÃO"),0)+IFERROR(SUMIFS('Base bordo CD'!M$2:M$875,'Base bordo CD'!D$2:D$875,A1013,'Base bordo CD'!A$2:A$875,B1013,'Base bordo CD'!L$2:L$875,"FALTA DE COMBUSTIVEL"),0)+IFERROR(SUMIFS('Base bordo CD'!M$2:M$875,'Base bordo CD'!D$2:D$875,A1013,'Base bordo CD'!A$2:A$875,B1013,'Base bordo CD'!L$2:L$875,"FALTA DE MOTORIST*"),0)</f>
        <v>0</v>
      </c>
      <c r="O1013" s="10">
        <f t="shared" si="80"/>
        <v>0</v>
      </c>
      <c r="P1013" s="10">
        <f>IFERROR(SUMIFS('Base bordo CD'!M$2:M$875,'Base bordo CD'!D$2:D$875,A1013,'Base bordo CD'!A$2:A$875,B1013),0)</f>
        <v>0</v>
      </c>
      <c r="Q1013" s="10">
        <f>IFERROR(SUMIFS('Base bordo CD'!O$2:O$875,'Base bordo CD'!D$2:D$875,A1013,'Base bordo CD'!A$2:A$875,B1013,'Base bordo CD'!L$2:L$875,"CORTE DE CANA MECANIZADO"),0)</f>
        <v>0</v>
      </c>
      <c r="R1013" s="10">
        <f>IFERROR(SUMIFS('Base bordo CD'!Q$2:Q$875,'Base bordo CD'!D$2:D$875,A1013,'Base bordo CD'!A$2:A$875,B1013,'Base bordo CD'!L$2:L$875,"CORTE DE CANA MECANIZADO"),0)</f>
        <v>0</v>
      </c>
      <c r="S1013" s="30" t="str">
        <f t="shared" si="81"/>
        <v/>
      </c>
      <c r="T1013" s="9">
        <f t="shared" si="82"/>
        <v>0</v>
      </c>
      <c r="U1013" s="9">
        <f t="shared" si="83"/>
        <v>0</v>
      </c>
      <c r="V1013" s="9">
        <f t="shared" si="84"/>
        <v>0</v>
      </c>
    </row>
    <row r="1014" spans="1:22" hidden="1" x14ac:dyDescent="0.35">
      <c r="A1014" s="52">
        <v>49588</v>
      </c>
      <c r="B1014" s="31">
        <v>46117</v>
      </c>
      <c r="C1014" s="7" t="s">
        <v>364</v>
      </c>
      <c r="D1014" s="7">
        <v>352</v>
      </c>
      <c r="E1014" s="10">
        <f>IFERROR(SUMIFS('Base bordo CD'!M$2:M$875,'Base bordo CD'!D$2:D$875,A1014,'Base bordo CD'!A$2:A$875,B1014,'Base bordo CD'!L$2:L$875,"CORTE DE CANA MECANIZADO"),0)</f>
        <v>0</v>
      </c>
      <c r="F1014" s="10">
        <f>IFERROR(SUMIFS('Base bordo CD'!M$2:M$875,'Base bordo CD'!D$2:D$875,A1014,'Base bordo CD'!A$2:A$875,B1014,'Base bordo CD'!L$2:L$875,"MANOBRA"),0)</f>
        <v>0</v>
      </c>
      <c r="G1014" s="10">
        <f>IFERROR(SUMIFS('Base bordo CD'!M$2:M$875,'Base bordo CD'!D$2:D$875,A1014,'Base bordo CD'!A$2:A$875,B1014,'Base bordo CD'!L$2:L$875,"DESLOCAMENTO"),0)</f>
        <v>0</v>
      </c>
      <c r="H1014" s="10">
        <f>IFERROR(SUMIFS('Base bordo CD'!M$2:M$875,'Base bordo CD'!D$2:D$875,A1014,'Base bordo CD'!A$2:A$875,B1014,'Base bordo CD'!L$2:L$875,"AGUARDANDO MANOBRA DE TRANSBORDO"),0)+IFERROR(SUMIFS('Base bordo CD'!M$2:M$875,'Base bordo CD'!D$2:D$875,A1014,'Base bordo CD'!A$2:A$875,B1014,'Base bordo CD'!L$2:L$875,"FALTA DE TRANSBORDO"),0)</f>
        <v>0</v>
      </c>
      <c r="I1014" s="10">
        <f>IFERROR(SUMIFS('Base bordo CD'!M$2:M$875,'Base bordo CD'!D$2:D$875,A1014,'Base bordo CD'!A$2:A$875,B1014,'Base bordo CD'!L$2:L$875,"PARADA POR CONDICOES CLIMATICAS"),0)+IFERROR(SUMIFS('Base bordo CD'!M$2:M$875,'Base bordo CD'!D$2:D$875,A1014,'Base bordo CD'!A$2:A$875,B1014,'Base bordo CD'!L$2:L$875,"TEMPO INDETERMINADO"),0)</f>
        <v>0</v>
      </c>
      <c r="J1014" s="10">
        <f>IFERROR(SUMIFS('Base bordo CD'!M$2:M$875,'Base bordo CD'!D$2:D$875,A1014,'Base bordo CD'!A$2:A$875,B1014,'Base bordo CD'!L$2:L$875,"LIMITAÇÃO INDÚSTRIA"),0)</f>
        <v>0</v>
      </c>
      <c r="K1014" s="10">
        <f>IFERROR(SUMIFS('Base bordo CD'!M$2:M$875,'Base bordo CD'!D$2:D$875,A1014,'Base bordo CD'!A$2:A$875,B1014,'Base bordo CD'!L$2:L$875,"MAN CORRETIVA*"),0)+IFERROR(SUMIFS('Base bordo CD'!M$2:M$875,'Base bordo CD'!D$2:D$875,A1014,'Base bordo CD'!A$2:A$875,B1014,'Base bordo CD'!L$2:L$875,"AGUARDANDO MANUTENCAO*"),0)+IFERROR(SUMIFS('Base bordo CD'!M$2:M$875,'Base bordo CD'!D$2:D$875,A1014,'Base bordo CD'!A$2:A$875,B1014,'Base bordo CD'!L$2:L$875,"TROCA DE FAQUINHA"),0)+IFERROR(SUMIFS('Base bordo CD'!M$2:M$875,'Base bordo CD'!D$2:D$875,A1014,'Base bordo CD'!A$2:A$875,B1014,'Base bordo CD'!L$2:L$875,"LIMPEZA*"),0)</f>
        <v>0</v>
      </c>
      <c r="L1014" s="10">
        <f>IFERROR(SUMIFS('Base bordo CD'!M$2:M$875,'Base bordo CD'!D$2:D$875,A1014,'Base bordo CD'!A$2:A$875,B1014,'Base bordo CD'!L$2:L$875,"PATIO - RESERVA"),0)</f>
        <v>0</v>
      </c>
      <c r="M1014" s="10">
        <f>IFERROR(SUMIFS('Base bordo CD'!M$2:M$875,'Base bordo CD'!D$2:D$875,A1014,'Base bordo CD'!A$2:A$875,B1014,'Base bordo CD'!L$2:L$875,"SEM APONTAMENTO"),0)</f>
        <v>0</v>
      </c>
      <c r="N1014" s="10">
        <f>IFERROR(SUMIFS('Base bordo CD'!M$2:M$875,'Base bordo CD'!D$2:D$875,A1014,'Base bordo CD'!A$2:A$875,B1014,'Base bordo CD'!L$2:L$875,"FALTA DE CAMINHÃO"),0)+IFERROR(SUMIFS('Base bordo CD'!M$2:M$875,'Base bordo CD'!D$2:D$875,A1014,'Base bordo CD'!A$2:A$875,B1014,'Base bordo CD'!L$2:L$875,"FALTA DE COMBUSTIVEL"),0)+IFERROR(SUMIFS('Base bordo CD'!M$2:M$875,'Base bordo CD'!D$2:D$875,A1014,'Base bordo CD'!A$2:A$875,B1014,'Base bordo CD'!L$2:L$875,"FALTA DE MOTORIST*"),0)</f>
        <v>0</v>
      </c>
      <c r="O1014" s="10">
        <f t="shared" si="80"/>
        <v>0</v>
      </c>
      <c r="P1014" s="10">
        <f>IFERROR(SUMIFS('Base bordo CD'!M$2:M$875,'Base bordo CD'!D$2:D$875,A1014,'Base bordo CD'!A$2:A$875,B1014),0)</f>
        <v>0</v>
      </c>
      <c r="Q1014" s="10">
        <f>IFERROR(SUMIFS('Base bordo CD'!O$2:O$875,'Base bordo CD'!D$2:D$875,A1014,'Base bordo CD'!A$2:A$875,B1014,'Base bordo CD'!L$2:L$875,"CORTE DE CANA MECANIZADO"),0)</f>
        <v>0</v>
      </c>
      <c r="R1014" s="10">
        <f>IFERROR(SUMIFS('Base bordo CD'!Q$2:Q$875,'Base bordo CD'!D$2:D$875,A1014,'Base bordo CD'!A$2:A$875,B1014,'Base bordo CD'!L$2:L$875,"CORTE DE CANA MECANIZADO"),0)</f>
        <v>0</v>
      </c>
      <c r="S1014" s="30" t="str">
        <f t="shared" si="81"/>
        <v/>
      </c>
      <c r="T1014" s="9">
        <f t="shared" si="82"/>
        <v>0</v>
      </c>
      <c r="U1014" s="9">
        <f t="shared" si="83"/>
        <v>0</v>
      </c>
      <c r="V1014" s="9">
        <f t="shared" si="84"/>
        <v>0</v>
      </c>
    </row>
    <row r="1015" spans="1:22" hidden="1" x14ac:dyDescent="0.35">
      <c r="A1015" s="52">
        <v>49588</v>
      </c>
      <c r="B1015" s="31">
        <v>46117</v>
      </c>
      <c r="C1015" s="7" t="s">
        <v>364</v>
      </c>
      <c r="D1015" s="7">
        <v>352</v>
      </c>
      <c r="E1015" s="10">
        <f>IFERROR(SUMIFS('Base bordo CD'!M$2:M$875,'Base bordo CD'!D$2:D$875,A1015,'Base bordo CD'!A$2:A$875,B1015,'Base bordo CD'!L$2:L$875,"CORTE DE CANA MECANIZADO"),0)</f>
        <v>0</v>
      </c>
      <c r="F1015" s="10">
        <f>IFERROR(SUMIFS('Base bordo CD'!M$2:M$875,'Base bordo CD'!D$2:D$875,A1015,'Base bordo CD'!A$2:A$875,B1015,'Base bordo CD'!L$2:L$875,"MANOBRA"),0)</f>
        <v>0</v>
      </c>
      <c r="G1015" s="10">
        <f>IFERROR(SUMIFS('Base bordo CD'!M$2:M$875,'Base bordo CD'!D$2:D$875,A1015,'Base bordo CD'!A$2:A$875,B1015,'Base bordo CD'!L$2:L$875,"DESLOCAMENTO"),0)</f>
        <v>0</v>
      </c>
      <c r="H1015" s="10">
        <f>IFERROR(SUMIFS('Base bordo CD'!M$2:M$875,'Base bordo CD'!D$2:D$875,A1015,'Base bordo CD'!A$2:A$875,B1015,'Base bordo CD'!L$2:L$875,"AGUARDANDO MANOBRA DE TRANSBORDO"),0)+IFERROR(SUMIFS('Base bordo CD'!M$2:M$875,'Base bordo CD'!D$2:D$875,A1015,'Base bordo CD'!A$2:A$875,B1015,'Base bordo CD'!L$2:L$875,"FALTA DE TRANSBORDO"),0)</f>
        <v>0</v>
      </c>
      <c r="I1015" s="10">
        <f>IFERROR(SUMIFS('Base bordo CD'!M$2:M$875,'Base bordo CD'!D$2:D$875,A1015,'Base bordo CD'!A$2:A$875,B1015,'Base bordo CD'!L$2:L$875,"PARADA POR CONDICOES CLIMATICAS"),0)+IFERROR(SUMIFS('Base bordo CD'!M$2:M$875,'Base bordo CD'!D$2:D$875,A1015,'Base bordo CD'!A$2:A$875,B1015,'Base bordo CD'!L$2:L$875,"TEMPO INDETERMINADO"),0)</f>
        <v>0</v>
      </c>
      <c r="J1015" s="10">
        <f>IFERROR(SUMIFS('Base bordo CD'!M$2:M$875,'Base bordo CD'!D$2:D$875,A1015,'Base bordo CD'!A$2:A$875,B1015,'Base bordo CD'!L$2:L$875,"LIMITAÇÃO INDÚSTRIA"),0)</f>
        <v>0</v>
      </c>
      <c r="K1015" s="10">
        <f>IFERROR(SUMIFS('Base bordo CD'!M$2:M$875,'Base bordo CD'!D$2:D$875,A1015,'Base bordo CD'!A$2:A$875,B1015,'Base bordo CD'!L$2:L$875,"MAN CORRETIVA*"),0)+IFERROR(SUMIFS('Base bordo CD'!M$2:M$875,'Base bordo CD'!D$2:D$875,A1015,'Base bordo CD'!A$2:A$875,B1015,'Base bordo CD'!L$2:L$875,"AGUARDANDO MANUTENCAO*"),0)+IFERROR(SUMIFS('Base bordo CD'!M$2:M$875,'Base bordo CD'!D$2:D$875,A1015,'Base bordo CD'!A$2:A$875,B1015,'Base bordo CD'!L$2:L$875,"TROCA DE FAQUINHA"),0)+IFERROR(SUMIFS('Base bordo CD'!M$2:M$875,'Base bordo CD'!D$2:D$875,A1015,'Base bordo CD'!A$2:A$875,B1015,'Base bordo CD'!L$2:L$875,"LIMPEZA*"),0)</f>
        <v>0</v>
      </c>
      <c r="L1015" s="10">
        <f>IFERROR(SUMIFS('Base bordo CD'!M$2:M$875,'Base bordo CD'!D$2:D$875,A1015,'Base bordo CD'!A$2:A$875,B1015,'Base bordo CD'!L$2:L$875,"PATIO - RESERVA"),0)</f>
        <v>0</v>
      </c>
      <c r="M1015" s="10">
        <f>IFERROR(SUMIFS('Base bordo CD'!M$2:M$875,'Base bordo CD'!D$2:D$875,A1015,'Base bordo CD'!A$2:A$875,B1015,'Base bordo CD'!L$2:L$875,"SEM APONTAMENTO"),0)</f>
        <v>0</v>
      </c>
      <c r="N1015" s="10">
        <f>IFERROR(SUMIFS('Base bordo CD'!M$2:M$875,'Base bordo CD'!D$2:D$875,A1015,'Base bordo CD'!A$2:A$875,B1015,'Base bordo CD'!L$2:L$875,"FALTA DE CAMINHÃO"),0)+IFERROR(SUMIFS('Base bordo CD'!M$2:M$875,'Base bordo CD'!D$2:D$875,A1015,'Base bordo CD'!A$2:A$875,B1015,'Base bordo CD'!L$2:L$875,"FALTA DE COMBUSTIVEL"),0)+IFERROR(SUMIFS('Base bordo CD'!M$2:M$875,'Base bordo CD'!D$2:D$875,A1015,'Base bordo CD'!A$2:A$875,B1015,'Base bordo CD'!L$2:L$875,"FALTA DE MOTORIST*"),0)</f>
        <v>0</v>
      </c>
      <c r="O1015" s="10">
        <f t="shared" si="80"/>
        <v>0</v>
      </c>
      <c r="P1015" s="10">
        <f>IFERROR(SUMIFS('Base bordo CD'!M$2:M$875,'Base bordo CD'!D$2:D$875,A1015,'Base bordo CD'!A$2:A$875,B1015),0)</f>
        <v>0</v>
      </c>
      <c r="Q1015" s="10">
        <f>IFERROR(SUMIFS('Base bordo CD'!O$2:O$875,'Base bordo CD'!D$2:D$875,A1015,'Base bordo CD'!A$2:A$875,B1015,'Base bordo CD'!L$2:L$875,"CORTE DE CANA MECANIZADO"),0)</f>
        <v>0</v>
      </c>
      <c r="R1015" s="10">
        <f>IFERROR(SUMIFS('Base bordo CD'!Q$2:Q$875,'Base bordo CD'!D$2:D$875,A1015,'Base bordo CD'!A$2:A$875,B1015,'Base bordo CD'!L$2:L$875,"CORTE DE CANA MECANIZADO"),0)</f>
        <v>0</v>
      </c>
      <c r="S1015" s="30" t="str">
        <f t="shared" si="81"/>
        <v/>
      </c>
      <c r="T1015" s="9">
        <f t="shared" si="82"/>
        <v>0</v>
      </c>
      <c r="U1015" s="9">
        <f t="shared" si="83"/>
        <v>0</v>
      </c>
      <c r="V1015" s="9">
        <f t="shared" si="84"/>
        <v>0</v>
      </c>
    </row>
    <row r="1016" spans="1:22" hidden="1" x14ac:dyDescent="0.35">
      <c r="A1016" s="52">
        <v>49588</v>
      </c>
      <c r="B1016" s="31">
        <v>46117</v>
      </c>
      <c r="C1016" s="7" t="s">
        <v>364</v>
      </c>
      <c r="D1016" s="7">
        <v>352</v>
      </c>
      <c r="E1016" s="10">
        <f>IFERROR(SUMIFS('Base bordo CD'!M$2:M$875,'Base bordo CD'!D$2:D$875,A1016,'Base bordo CD'!A$2:A$875,B1016,'Base bordo CD'!L$2:L$875,"CORTE DE CANA MECANIZADO"),0)</f>
        <v>0</v>
      </c>
      <c r="F1016" s="10">
        <f>IFERROR(SUMIFS('Base bordo CD'!M$2:M$875,'Base bordo CD'!D$2:D$875,A1016,'Base bordo CD'!A$2:A$875,B1016,'Base bordo CD'!L$2:L$875,"MANOBRA"),0)</f>
        <v>0</v>
      </c>
      <c r="G1016" s="10">
        <f>IFERROR(SUMIFS('Base bordo CD'!M$2:M$875,'Base bordo CD'!D$2:D$875,A1016,'Base bordo CD'!A$2:A$875,B1016,'Base bordo CD'!L$2:L$875,"DESLOCAMENTO"),0)</f>
        <v>0</v>
      </c>
      <c r="H1016" s="10">
        <f>IFERROR(SUMIFS('Base bordo CD'!M$2:M$875,'Base bordo CD'!D$2:D$875,A1016,'Base bordo CD'!A$2:A$875,B1016,'Base bordo CD'!L$2:L$875,"AGUARDANDO MANOBRA DE TRANSBORDO"),0)+IFERROR(SUMIFS('Base bordo CD'!M$2:M$875,'Base bordo CD'!D$2:D$875,A1016,'Base bordo CD'!A$2:A$875,B1016,'Base bordo CD'!L$2:L$875,"FALTA DE TRANSBORDO"),0)</f>
        <v>0</v>
      </c>
      <c r="I1016" s="10">
        <f>IFERROR(SUMIFS('Base bordo CD'!M$2:M$875,'Base bordo CD'!D$2:D$875,A1016,'Base bordo CD'!A$2:A$875,B1016,'Base bordo CD'!L$2:L$875,"PARADA POR CONDICOES CLIMATICAS"),0)+IFERROR(SUMIFS('Base bordo CD'!M$2:M$875,'Base bordo CD'!D$2:D$875,A1016,'Base bordo CD'!A$2:A$875,B1016,'Base bordo CD'!L$2:L$875,"TEMPO INDETERMINADO"),0)</f>
        <v>0</v>
      </c>
      <c r="J1016" s="10">
        <f>IFERROR(SUMIFS('Base bordo CD'!M$2:M$875,'Base bordo CD'!D$2:D$875,A1016,'Base bordo CD'!A$2:A$875,B1016,'Base bordo CD'!L$2:L$875,"LIMITAÇÃO INDÚSTRIA"),0)</f>
        <v>0</v>
      </c>
      <c r="K1016" s="10">
        <f>IFERROR(SUMIFS('Base bordo CD'!M$2:M$875,'Base bordo CD'!D$2:D$875,A1016,'Base bordo CD'!A$2:A$875,B1016,'Base bordo CD'!L$2:L$875,"MAN CORRETIVA*"),0)+IFERROR(SUMIFS('Base bordo CD'!M$2:M$875,'Base bordo CD'!D$2:D$875,A1016,'Base bordo CD'!A$2:A$875,B1016,'Base bordo CD'!L$2:L$875,"AGUARDANDO MANUTENCAO*"),0)+IFERROR(SUMIFS('Base bordo CD'!M$2:M$875,'Base bordo CD'!D$2:D$875,A1016,'Base bordo CD'!A$2:A$875,B1016,'Base bordo CD'!L$2:L$875,"TROCA DE FAQUINHA"),0)+IFERROR(SUMIFS('Base bordo CD'!M$2:M$875,'Base bordo CD'!D$2:D$875,A1016,'Base bordo CD'!A$2:A$875,B1016,'Base bordo CD'!L$2:L$875,"LIMPEZA*"),0)</f>
        <v>0</v>
      </c>
      <c r="L1016" s="10">
        <f>IFERROR(SUMIFS('Base bordo CD'!M$2:M$875,'Base bordo CD'!D$2:D$875,A1016,'Base bordo CD'!A$2:A$875,B1016,'Base bordo CD'!L$2:L$875,"PATIO - RESERVA"),0)</f>
        <v>0</v>
      </c>
      <c r="M1016" s="10">
        <f>IFERROR(SUMIFS('Base bordo CD'!M$2:M$875,'Base bordo CD'!D$2:D$875,A1016,'Base bordo CD'!A$2:A$875,B1016,'Base bordo CD'!L$2:L$875,"SEM APONTAMENTO"),0)</f>
        <v>0</v>
      </c>
      <c r="N1016" s="10">
        <f>IFERROR(SUMIFS('Base bordo CD'!M$2:M$875,'Base bordo CD'!D$2:D$875,A1016,'Base bordo CD'!A$2:A$875,B1016,'Base bordo CD'!L$2:L$875,"FALTA DE CAMINHÃO"),0)+IFERROR(SUMIFS('Base bordo CD'!M$2:M$875,'Base bordo CD'!D$2:D$875,A1016,'Base bordo CD'!A$2:A$875,B1016,'Base bordo CD'!L$2:L$875,"FALTA DE COMBUSTIVEL"),0)+IFERROR(SUMIFS('Base bordo CD'!M$2:M$875,'Base bordo CD'!D$2:D$875,A1016,'Base bordo CD'!A$2:A$875,B1016,'Base bordo CD'!L$2:L$875,"FALTA DE MOTORIST*"),0)</f>
        <v>0</v>
      </c>
      <c r="O1016" s="10">
        <f t="shared" si="80"/>
        <v>0</v>
      </c>
      <c r="P1016" s="10">
        <f>IFERROR(SUMIFS('Base bordo CD'!M$2:M$875,'Base bordo CD'!D$2:D$875,A1016,'Base bordo CD'!A$2:A$875,B1016),0)</f>
        <v>0</v>
      </c>
      <c r="Q1016" s="10">
        <f>IFERROR(SUMIFS('Base bordo CD'!O$2:O$875,'Base bordo CD'!D$2:D$875,A1016,'Base bordo CD'!A$2:A$875,B1016,'Base bordo CD'!L$2:L$875,"CORTE DE CANA MECANIZADO"),0)</f>
        <v>0</v>
      </c>
      <c r="R1016" s="10">
        <f>IFERROR(SUMIFS('Base bordo CD'!Q$2:Q$875,'Base bordo CD'!D$2:D$875,A1016,'Base bordo CD'!A$2:A$875,B1016,'Base bordo CD'!L$2:L$875,"CORTE DE CANA MECANIZADO"),0)</f>
        <v>0</v>
      </c>
      <c r="S1016" s="30" t="str">
        <f t="shared" si="81"/>
        <v/>
      </c>
      <c r="T1016" s="9">
        <f t="shared" si="82"/>
        <v>0</v>
      </c>
      <c r="U1016" s="9">
        <f t="shared" si="83"/>
        <v>0</v>
      </c>
      <c r="V1016" s="9">
        <f t="shared" si="84"/>
        <v>0</v>
      </c>
    </row>
    <row r="1017" spans="1:22" hidden="1" x14ac:dyDescent="0.35">
      <c r="A1017" s="52">
        <v>49588</v>
      </c>
      <c r="B1017" s="31">
        <v>46117</v>
      </c>
      <c r="C1017" s="7" t="s">
        <v>364</v>
      </c>
      <c r="D1017" s="7">
        <v>352</v>
      </c>
      <c r="E1017" s="10">
        <f>IFERROR(SUMIFS('Base bordo CD'!M$2:M$875,'Base bordo CD'!D$2:D$875,A1017,'Base bordo CD'!A$2:A$875,B1017,'Base bordo CD'!L$2:L$875,"CORTE DE CANA MECANIZADO"),0)</f>
        <v>0</v>
      </c>
      <c r="F1017" s="10">
        <f>IFERROR(SUMIFS('Base bordo CD'!M$2:M$875,'Base bordo CD'!D$2:D$875,A1017,'Base bordo CD'!A$2:A$875,B1017,'Base bordo CD'!L$2:L$875,"MANOBRA"),0)</f>
        <v>0</v>
      </c>
      <c r="G1017" s="10">
        <f>IFERROR(SUMIFS('Base bordo CD'!M$2:M$875,'Base bordo CD'!D$2:D$875,A1017,'Base bordo CD'!A$2:A$875,B1017,'Base bordo CD'!L$2:L$875,"DESLOCAMENTO"),0)</f>
        <v>0</v>
      </c>
      <c r="H1017" s="10">
        <f>IFERROR(SUMIFS('Base bordo CD'!M$2:M$875,'Base bordo CD'!D$2:D$875,A1017,'Base bordo CD'!A$2:A$875,B1017,'Base bordo CD'!L$2:L$875,"AGUARDANDO MANOBRA DE TRANSBORDO"),0)+IFERROR(SUMIFS('Base bordo CD'!M$2:M$875,'Base bordo CD'!D$2:D$875,A1017,'Base bordo CD'!A$2:A$875,B1017,'Base bordo CD'!L$2:L$875,"FALTA DE TRANSBORDO"),0)</f>
        <v>0</v>
      </c>
      <c r="I1017" s="10">
        <f>IFERROR(SUMIFS('Base bordo CD'!M$2:M$875,'Base bordo CD'!D$2:D$875,A1017,'Base bordo CD'!A$2:A$875,B1017,'Base bordo CD'!L$2:L$875,"PARADA POR CONDICOES CLIMATICAS"),0)+IFERROR(SUMIFS('Base bordo CD'!M$2:M$875,'Base bordo CD'!D$2:D$875,A1017,'Base bordo CD'!A$2:A$875,B1017,'Base bordo CD'!L$2:L$875,"TEMPO INDETERMINADO"),0)</f>
        <v>0</v>
      </c>
      <c r="J1017" s="10">
        <f>IFERROR(SUMIFS('Base bordo CD'!M$2:M$875,'Base bordo CD'!D$2:D$875,A1017,'Base bordo CD'!A$2:A$875,B1017,'Base bordo CD'!L$2:L$875,"LIMITAÇÃO INDÚSTRIA"),0)</f>
        <v>0</v>
      </c>
      <c r="K1017" s="10">
        <f>IFERROR(SUMIFS('Base bordo CD'!M$2:M$875,'Base bordo CD'!D$2:D$875,A1017,'Base bordo CD'!A$2:A$875,B1017,'Base bordo CD'!L$2:L$875,"MAN CORRETIVA*"),0)+IFERROR(SUMIFS('Base bordo CD'!M$2:M$875,'Base bordo CD'!D$2:D$875,A1017,'Base bordo CD'!A$2:A$875,B1017,'Base bordo CD'!L$2:L$875,"AGUARDANDO MANUTENCAO*"),0)+IFERROR(SUMIFS('Base bordo CD'!M$2:M$875,'Base bordo CD'!D$2:D$875,A1017,'Base bordo CD'!A$2:A$875,B1017,'Base bordo CD'!L$2:L$875,"TROCA DE FAQUINHA"),0)+IFERROR(SUMIFS('Base bordo CD'!M$2:M$875,'Base bordo CD'!D$2:D$875,A1017,'Base bordo CD'!A$2:A$875,B1017,'Base bordo CD'!L$2:L$875,"LIMPEZA*"),0)</f>
        <v>0</v>
      </c>
      <c r="L1017" s="10">
        <f>IFERROR(SUMIFS('Base bordo CD'!M$2:M$875,'Base bordo CD'!D$2:D$875,A1017,'Base bordo CD'!A$2:A$875,B1017,'Base bordo CD'!L$2:L$875,"PATIO - RESERVA"),0)</f>
        <v>0</v>
      </c>
      <c r="M1017" s="10">
        <f>IFERROR(SUMIFS('Base bordo CD'!M$2:M$875,'Base bordo CD'!D$2:D$875,A1017,'Base bordo CD'!A$2:A$875,B1017,'Base bordo CD'!L$2:L$875,"SEM APONTAMENTO"),0)</f>
        <v>0</v>
      </c>
      <c r="N1017" s="10">
        <f>IFERROR(SUMIFS('Base bordo CD'!M$2:M$875,'Base bordo CD'!D$2:D$875,A1017,'Base bordo CD'!A$2:A$875,B1017,'Base bordo CD'!L$2:L$875,"FALTA DE CAMINHÃO"),0)+IFERROR(SUMIFS('Base bordo CD'!M$2:M$875,'Base bordo CD'!D$2:D$875,A1017,'Base bordo CD'!A$2:A$875,B1017,'Base bordo CD'!L$2:L$875,"FALTA DE COMBUSTIVEL"),0)+IFERROR(SUMIFS('Base bordo CD'!M$2:M$875,'Base bordo CD'!D$2:D$875,A1017,'Base bordo CD'!A$2:A$875,B1017,'Base bordo CD'!L$2:L$875,"FALTA DE MOTORIST*"),0)</f>
        <v>0</v>
      </c>
      <c r="O1017" s="10">
        <f t="shared" si="80"/>
        <v>0</v>
      </c>
      <c r="P1017" s="10">
        <f>IFERROR(SUMIFS('Base bordo CD'!M$2:M$875,'Base bordo CD'!D$2:D$875,A1017,'Base bordo CD'!A$2:A$875,B1017),0)</f>
        <v>0</v>
      </c>
      <c r="Q1017" s="10">
        <f>IFERROR(SUMIFS('Base bordo CD'!O$2:O$875,'Base bordo CD'!D$2:D$875,A1017,'Base bordo CD'!A$2:A$875,B1017,'Base bordo CD'!L$2:L$875,"CORTE DE CANA MECANIZADO"),0)</f>
        <v>0</v>
      </c>
      <c r="R1017" s="10">
        <f>IFERROR(SUMIFS('Base bordo CD'!Q$2:Q$875,'Base bordo CD'!D$2:D$875,A1017,'Base bordo CD'!A$2:A$875,B1017,'Base bordo CD'!L$2:L$875,"CORTE DE CANA MECANIZADO"),0)</f>
        <v>0</v>
      </c>
      <c r="S1017" s="30" t="str">
        <f t="shared" si="81"/>
        <v/>
      </c>
      <c r="T1017" s="9">
        <f t="shared" si="82"/>
        <v>0</v>
      </c>
      <c r="U1017" s="9">
        <f t="shared" si="83"/>
        <v>0</v>
      </c>
      <c r="V1017" s="9">
        <f t="shared" si="84"/>
        <v>0</v>
      </c>
    </row>
    <row r="1018" spans="1:22" hidden="1" x14ac:dyDescent="0.35">
      <c r="A1018" s="52">
        <v>49588</v>
      </c>
      <c r="B1018" s="31">
        <v>46117</v>
      </c>
      <c r="C1018" s="7" t="s">
        <v>364</v>
      </c>
      <c r="D1018" s="7">
        <v>352</v>
      </c>
      <c r="E1018" s="10">
        <f>IFERROR(SUMIFS('Base bordo CD'!M$2:M$875,'Base bordo CD'!D$2:D$875,A1018,'Base bordo CD'!A$2:A$875,B1018,'Base bordo CD'!L$2:L$875,"CORTE DE CANA MECANIZADO"),0)</f>
        <v>0</v>
      </c>
      <c r="F1018" s="10">
        <f>IFERROR(SUMIFS('Base bordo CD'!M$2:M$875,'Base bordo CD'!D$2:D$875,A1018,'Base bordo CD'!A$2:A$875,B1018,'Base bordo CD'!L$2:L$875,"MANOBRA"),0)</f>
        <v>0</v>
      </c>
      <c r="G1018" s="10">
        <f>IFERROR(SUMIFS('Base bordo CD'!M$2:M$875,'Base bordo CD'!D$2:D$875,A1018,'Base bordo CD'!A$2:A$875,B1018,'Base bordo CD'!L$2:L$875,"DESLOCAMENTO"),0)</f>
        <v>0</v>
      </c>
      <c r="H1018" s="10">
        <f>IFERROR(SUMIFS('Base bordo CD'!M$2:M$875,'Base bordo CD'!D$2:D$875,A1018,'Base bordo CD'!A$2:A$875,B1018,'Base bordo CD'!L$2:L$875,"AGUARDANDO MANOBRA DE TRANSBORDO"),0)+IFERROR(SUMIFS('Base bordo CD'!M$2:M$875,'Base bordo CD'!D$2:D$875,A1018,'Base bordo CD'!A$2:A$875,B1018,'Base bordo CD'!L$2:L$875,"FALTA DE TRANSBORDO"),0)</f>
        <v>0</v>
      </c>
      <c r="I1018" s="10">
        <f>IFERROR(SUMIFS('Base bordo CD'!M$2:M$875,'Base bordo CD'!D$2:D$875,A1018,'Base bordo CD'!A$2:A$875,B1018,'Base bordo CD'!L$2:L$875,"PARADA POR CONDICOES CLIMATICAS"),0)+IFERROR(SUMIFS('Base bordo CD'!M$2:M$875,'Base bordo CD'!D$2:D$875,A1018,'Base bordo CD'!A$2:A$875,B1018,'Base bordo CD'!L$2:L$875,"TEMPO INDETERMINADO"),0)</f>
        <v>0</v>
      </c>
      <c r="J1018" s="10">
        <f>IFERROR(SUMIFS('Base bordo CD'!M$2:M$875,'Base bordo CD'!D$2:D$875,A1018,'Base bordo CD'!A$2:A$875,B1018,'Base bordo CD'!L$2:L$875,"LIMITAÇÃO INDÚSTRIA"),0)</f>
        <v>0</v>
      </c>
      <c r="K1018" s="10">
        <f>IFERROR(SUMIFS('Base bordo CD'!M$2:M$875,'Base bordo CD'!D$2:D$875,A1018,'Base bordo CD'!A$2:A$875,B1018,'Base bordo CD'!L$2:L$875,"MAN CORRETIVA*"),0)+IFERROR(SUMIFS('Base bordo CD'!M$2:M$875,'Base bordo CD'!D$2:D$875,A1018,'Base bordo CD'!A$2:A$875,B1018,'Base bordo CD'!L$2:L$875,"AGUARDANDO MANUTENCAO*"),0)+IFERROR(SUMIFS('Base bordo CD'!M$2:M$875,'Base bordo CD'!D$2:D$875,A1018,'Base bordo CD'!A$2:A$875,B1018,'Base bordo CD'!L$2:L$875,"TROCA DE FAQUINHA"),0)+IFERROR(SUMIFS('Base bordo CD'!M$2:M$875,'Base bordo CD'!D$2:D$875,A1018,'Base bordo CD'!A$2:A$875,B1018,'Base bordo CD'!L$2:L$875,"LIMPEZA*"),0)</f>
        <v>0</v>
      </c>
      <c r="L1018" s="10">
        <f>IFERROR(SUMIFS('Base bordo CD'!M$2:M$875,'Base bordo CD'!D$2:D$875,A1018,'Base bordo CD'!A$2:A$875,B1018,'Base bordo CD'!L$2:L$875,"PATIO - RESERVA"),0)</f>
        <v>0</v>
      </c>
      <c r="M1018" s="10">
        <f>IFERROR(SUMIFS('Base bordo CD'!M$2:M$875,'Base bordo CD'!D$2:D$875,A1018,'Base bordo CD'!A$2:A$875,B1018,'Base bordo CD'!L$2:L$875,"SEM APONTAMENTO"),0)</f>
        <v>0</v>
      </c>
      <c r="N1018" s="10">
        <f>IFERROR(SUMIFS('Base bordo CD'!M$2:M$875,'Base bordo CD'!D$2:D$875,A1018,'Base bordo CD'!A$2:A$875,B1018,'Base bordo CD'!L$2:L$875,"FALTA DE CAMINHÃO"),0)+IFERROR(SUMIFS('Base bordo CD'!M$2:M$875,'Base bordo CD'!D$2:D$875,A1018,'Base bordo CD'!A$2:A$875,B1018,'Base bordo CD'!L$2:L$875,"FALTA DE COMBUSTIVEL"),0)+IFERROR(SUMIFS('Base bordo CD'!M$2:M$875,'Base bordo CD'!D$2:D$875,A1018,'Base bordo CD'!A$2:A$875,B1018,'Base bordo CD'!L$2:L$875,"FALTA DE MOTORIST*"),0)</f>
        <v>0</v>
      </c>
      <c r="O1018" s="10">
        <f t="shared" si="80"/>
        <v>0</v>
      </c>
      <c r="P1018" s="10">
        <f>IFERROR(SUMIFS('Base bordo CD'!M$2:M$875,'Base bordo CD'!D$2:D$875,A1018,'Base bordo CD'!A$2:A$875,B1018),0)</f>
        <v>0</v>
      </c>
      <c r="Q1018" s="10">
        <f>IFERROR(SUMIFS('Base bordo CD'!O$2:O$875,'Base bordo CD'!D$2:D$875,A1018,'Base bordo CD'!A$2:A$875,B1018,'Base bordo CD'!L$2:L$875,"CORTE DE CANA MECANIZADO"),0)</f>
        <v>0</v>
      </c>
      <c r="R1018" s="10">
        <f>IFERROR(SUMIFS('Base bordo CD'!Q$2:Q$875,'Base bordo CD'!D$2:D$875,A1018,'Base bordo CD'!A$2:A$875,B1018,'Base bordo CD'!L$2:L$875,"CORTE DE CANA MECANIZADO"),0)</f>
        <v>0</v>
      </c>
      <c r="S1018" s="30" t="str">
        <f t="shared" si="81"/>
        <v/>
      </c>
      <c r="T1018" s="9">
        <f t="shared" si="82"/>
        <v>0</v>
      </c>
      <c r="U1018" s="9">
        <f t="shared" si="83"/>
        <v>0</v>
      </c>
      <c r="V1018" s="9">
        <f t="shared" si="84"/>
        <v>0</v>
      </c>
    </row>
    <row r="1019" spans="1:22" hidden="1" x14ac:dyDescent="0.35">
      <c r="A1019" s="52">
        <v>49588</v>
      </c>
      <c r="B1019" s="31">
        <v>46117</v>
      </c>
      <c r="C1019" s="7" t="s">
        <v>364</v>
      </c>
      <c r="D1019" s="7">
        <v>352</v>
      </c>
      <c r="E1019" s="10">
        <f>IFERROR(SUMIFS('Base bordo CD'!M$2:M$875,'Base bordo CD'!D$2:D$875,A1019,'Base bordo CD'!A$2:A$875,B1019,'Base bordo CD'!L$2:L$875,"CORTE DE CANA MECANIZADO"),0)</f>
        <v>0</v>
      </c>
      <c r="F1019" s="10">
        <f>IFERROR(SUMIFS('Base bordo CD'!M$2:M$875,'Base bordo CD'!D$2:D$875,A1019,'Base bordo CD'!A$2:A$875,B1019,'Base bordo CD'!L$2:L$875,"MANOBRA"),0)</f>
        <v>0</v>
      </c>
      <c r="G1019" s="10">
        <f>IFERROR(SUMIFS('Base bordo CD'!M$2:M$875,'Base bordo CD'!D$2:D$875,A1019,'Base bordo CD'!A$2:A$875,B1019,'Base bordo CD'!L$2:L$875,"DESLOCAMENTO"),0)</f>
        <v>0</v>
      </c>
      <c r="H1019" s="10">
        <f>IFERROR(SUMIFS('Base bordo CD'!M$2:M$875,'Base bordo CD'!D$2:D$875,A1019,'Base bordo CD'!A$2:A$875,B1019,'Base bordo CD'!L$2:L$875,"AGUARDANDO MANOBRA DE TRANSBORDO"),0)+IFERROR(SUMIFS('Base bordo CD'!M$2:M$875,'Base bordo CD'!D$2:D$875,A1019,'Base bordo CD'!A$2:A$875,B1019,'Base bordo CD'!L$2:L$875,"FALTA DE TRANSBORDO"),0)</f>
        <v>0</v>
      </c>
      <c r="I1019" s="10">
        <f>IFERROR(SUMIFS('Base bordo CD'!M$2:M$875,'Base bordo CD'!D$2:D$875,A1019,'Base bordo CD'!A$2:A$875,B1019,'Base bordo CD'!L$2:L$875,"PARADA POR CONDICOES CLIMATICAS"),0)+IFERROR(SUMIFS('Base bordo CD'!M$2:M$875,'Base bordo CD'!D$2:D$875,A1019,'Base bordo CD'!A$2:A$875,B1019,'Base bordo CD'!L$2:L$875,"TEMPO INDETERMINADO"),0)</f>
        <v>0</v>
      </c>
      <c r="J1019" s="10">
        <f>IFERROR(SUMIFS('Base bordo CD'!M$2:M$875,'Base bordo CD'!D$2:D$875,A1019,'Base bordo CD'!A$2:A$875,B1019,'Base bordo CD'!L$2:L$875,"LIMITAÇÃO INDÚSTRIA"),0)</f>
        <v>0</v>
      </c>
      <c r="K1019" s="10">
        <f>IFERROR(SUMIFS('Base bordo CD'!M$2:M$875,'Base bordo CD'!D$2:D$875,A1019,'Base bordo CD'!A$2:A$875,B1019,'Base bordo CD'!L$2:L$875,"MAN CORRETIVA*"),0)+IFERROR(SUMIFS('Base bordo CD'!M$2:M$875,'Base bordo CD'!D$2:D$875,A1019,'Base bordo CD'!A$2:A$875,B1019,'Base bordo CD'!L$2:L$875,"AGUARDANDO MANUTENCAO*"),0)+IFERROR(SUMIFS('Base bordo CD'!M$2:M$875,'Base bordo CD'!D$2:D$875,A1019,'Base bordo CD'!A$2:A$875,B1019,'Base bordo CD'!L$2:L$875,"TROCA DE FAQUINHA"),0)+IFERROR(SUMIFS('Base bordo CD'!M$2:M$875,'Base bordo CD'!D$2:D$875,A1019,'Base bordo CD'!A$2:A$875,B1019,'Base bordo CD'!L$2:L$875,"LIMPEZA*"),0)</f>
        <v>0</v>
      </c>
      <c r="L1019" s="10">
        <f>IFERROR(SUMIFS('Base bordo CD'!M$2:M$875,'Base bordo CD'!D$2:D$875,A1019,'Base bordo CD'!A$2:A$875,B1019,'Base bordo CD'!L$2:L$875,"PATIO - RESERVA"),0)</f>
        <v>0</v>
      </c>
      <c r="M1019" s="10">
        <f>IFERROR(SUMIFS('Base bordo CD'!M$2:M$875,'Base bordo CD'!D$2:D$875,A1019,'Base bordo CD'!A$2:A$875,B1019,'Base bordo CD'!L$2:L$875,"SEM APONTAMENTO"),0)</f>
        <v>0</v>
      </c>
      <c r="N1019" s="10">
        <f>IFERROR(SUMIFS('Base bordo CD'!M$2:M$875,'Base bordo CD'!D$2:D$875,A1019,'Base bordo CD'!A$2:A$875,B1019,'Base bordo CD'!L$2:L$875,"FALTA DE CAMINHÃO"),0)+IFERROR(SUMIFS('Base bordo CD'!M$2:M$875,'Base bordo CD'!D$2:D$875,A1019,'Base bordo CD'!A$2:A$875,B1019,'Base bordo CD'!L$2:L$875,"FALTA DE COMBUSTIVEL"),0)+IFERROR(SUMIFS('Base bordo CD'!M$2:M$875,'Base bordo CD'!D$2:D$875,A1019,'Base bordo CD'!A$2:A$875,B1019,'Base bordo CD'!L$2:L$875,"FALTA DE MOTORIST*"),0)</f>
        <v>0</v>
      </c>
      <c r="O1019" s="10">
        <f t="shared" si="80"/>
        <v>0</v>
      </c>
      <c r="P1019" s="10">
        <f>IFERROR(SUMIFS('Base bordo CD'!M$2:M$875,'Base bordo CD'!D$2:D$875,A1019,'Base bordo CD'!A$2:A$875,B1019),0)</f>
        <v>0</v>
      </c>
      <c r="Q1019" s="10">
        <f>IFERROR(SUMIFS('Base bordo CD'!O$2:O$875,'Base bordo CD'!D$2:D$875,A1019,'Base bordo CD'!A$2:A$875,B1019,'Base bordo CD'!L$2:L$875,"CORTE DE CANA MECANIZADO"),0)</f>
        <v>0</v>
      </c>
      <c r="R1019" s="10">
        <f>IFERROR(SUMIFS('Base bordo CD'!Q$2:Q$875,'Base bordo CD'!D$2:D$875,A1019,'Base bordo CD'!A$2:A$875,B1019,'Base bordo CD'!L$2:L$875,"CORTE DE CANA MECANIZADO"),0)</f>
        <v>0</v>
      </c>
      <c r="S1019" s="30" t="str">
        <f t="shared" si="81"/>
        <v/>
      </c>
      <c r="T1019" s="9">
        <f t="shared" si="82"/>
        <v>0</v>
      </c>
      <c r="U1019" s="9">
        <f t="shared" si="83"/>
        <v>0</v>
      </c>
      <c r="V1019" s="9">
        <f t="shared" si="84"/>
        <v>0</v>
      </c>
    </row>
    <row r="1020" spans="1:22" hidden="1" x14ac:dyDescent="0.35">
      <c r="A1020" s="52">
        <v>49588</v>
      </c>
      <c r="B1020" s="31">
        <v>46117</v>
      </c>
      <c r="C1020" s="7" t="s">
        <v>364</v>
      </c>
      <c r="D1020" s="7">
        <v>352</v>
      </c>
      <c r="E1020" s="10">
        <f>IFERROR(SUMIFS('Base bordo CD'!M$2:M$875,'Base bordo CD'!D$2:D$875,A1020,'Base bordo CD'!A$2:A$875,B1020,'Base bordo CD'!L$2:L$875,"CORTE DE CANA MECANIZADO"),0)</f>
        <v>0</v>
      </c>
      <c r="F1020" s="10">
        <f>IFERROR(SUMIFS('Base bordo CD'!M$2:M$875,'Base bordo CD'!D$2:D$875,A1020,'Base bordo CD'!A$2:A$875,B1020,'Base bordo CD'!L$2:L$875,"MANOBRA"),0)</f>
        <v>0</v>
      </c>
      <c r="G1020" s="10">
        <f>IFERROR(SUMIFS('Base bordo CD'!M$2:M$875,'Base bordo CD'!D$2:D$875,A1020,'Base bordo CD'!A$2:A$875,B1020,'Base bordo CD'!L$2:L$875,"DESLOCAMENTO"),0)</f>
        <v>0</v>
      </c>
      <c r="H1020" s="10">
        <f>IFERROR(SUMIFS('Base bordo CD'!M$2:M$875,'Base bordo CD'!D$2:D$875,A1020,'Base bordo CD'!A$2:A$875,B1020,'Base bordo CD'!L$2:L$875,"AGUARDANDO MANOBRA DE TRANSBORDO"),0)+IFERROR(SUMIFS('Base bordo CD'!M$2:M$875,'Base bordo CD'!D$2:D$875,A1020,'Base bordo CD'!A$2:A$875,B1020,'Base bordo CD'!L$2:L$875,"FALTA DE TRANSBORDO"),0)</f>
        <v>0</v>
      </c>
      <c r="I1020" s="10">
        <f>IFERROR(SUMIFS('Base bordo CD'!M$2:M$875,'Base bordo CD'!D$2:D$875,A1020,'Base bordo CD'!A$2:A$875,B1020,'Base bordo CD'!L$2:L$875,"PARADA POR CONDICOES CLIMATICAS"),0)+IFERROR(SUMIFS('Base bordo CD'!M$2:M$875,'Base bordo CD'!D$2:D$875,A1020,'Base bordo CD'!A$2:A$875,B1020,'Base bordo CD'!L$2:L$875,"TEMPO INDETERMINADO"),0)</f>
        <v>0</v>
      </c>
      <c r="J1020" s="10">
        <f>IFERROR(SUMIFS('Base bordo CD'!M$2:M$875,'Base bordo CD'!D$2:D$875,A1020,'Base bordo CD'!A$2:A$875,B1020,'Base bordo CD'!L$2:L$875,"LIMITAÇÃO INDÚSTRIA"),0)</f>
        <v>0</v>
      </c>
      <c r="K1020" s="10">
        <f>IFERROR(SUMIFS('Base bordo CD'!M$2:M$875,'Base bordo CD'!D$2:D$875,A1020,'Base bordo CD'!A$2:A$875,B1020,'Base bordo CD'!L$2:L$875,"MAN CORRETIVA*"),0)+IFERROR(SUMIFS('Base bordo CD'!M$2:M$875,'Base bordo CD'!D$2:D$875,A1020,'Base bordo CD'!A$2:A$875,B1020,'Base bordo CD'!L$2:L$875,"AGUARDANDO MANUTENCAO*"),0)+IFERROR(SUMIFS('Base bordo CD'!M$2:M$875,'Base bordo CD'!D$2:D$875,A1020,'Base bordo CD'!A$2:A$875,B1020,'Base bordo CD'!L$2:L$875,"TROCA DE FAQUINHA"),0)+IFERROR(SUMIFS('Base bordo CD'!M$2:M$875,'Base bordo CD'!D$2:D$875,A1020,'Base bordo CD'!A$2:A$875,B1020,'Base bordo CD'!L$2:L$875,"LIMPEZA*"),0)</f>
        <v>0</v>
      </c>
      <c r="L1020" s="10">
        <f>IFERROR(SUMIFS('Base bordo CD'!M$2:M$875,'Base bordo CD'!D$2:D$875,A1020,'Base bordo CD'!A$2:A$875,B1020,'Base bordo CD'!L$2:L$875,"PATIO - RESERVA"),0)</f>
        <v>0</v>
      </c>
      <c r="M1020" s="10">
        <f>IFERROR(SUMIFS('Base bordo CD'!M$2:M$875,'Base bordo CD'!D$2:D$875,A1020,'Base bordo CD'!A$2:A$875,B1020,'Base bordo CD'!L$2:L$875,"SEM APONTAMENTO"),0)</f>
        <v>0</v>
      </c>
      <c r="N1020" s="10">
        <f>IFERROR(SUMIFS('Base bordo CD'!M$2:M$875,'Base bordo CD'!D$2:D$875,A1020,'Base bordo CD'!A$2:A$875,B1020,'Base bordo CD'!L$2:L$875,"FALTA DE CAMINHÃO"),0)+IFERROR(SUMIFS('Base bordo CD'!M$2:M$875,'Base bordo CD'!D$2:D$875,A1020,'Base bordo CD'!A$2:A$875,B1020,'Base bordo CD'!L$2:L$875,"FALTA DE COMBUSTIVEL"),0)+IFERROR(SUMIFS('Base bordo CD'!M$2:M$875,'Base bordo CD'!D$2:D$875,A1020,'Base bordo CD'!A$2:A$875,B1020,'Base bordo CD'!L$2:L$875,"FALTA DE MOTORIST*"),0)</f>
        <v>0</v>
      </c>
      <c r="O1020" s="10">
        <f t="shared" si="80"/>
        <v>0</v>
      </c>
      <c r="P1020" s="10">
        <f>IFERROR(SUMIFS('Base bordo CD'!M$2:M$875,'Base bordo CD'!D$2:D$875,A1020,'Base bordo CD'!A$2:A$875,B1020),0)</f>
        <v>0</v>
      </c>
      <c r="Q1020" s="10">
        <f>IFERROR(SUMIFS('Base bordo CD'!O$2:O$875,'Base bordo CD'!D$2:D$875,A1020,'Base bordo CD'!A$2:A$875,B1020,'Base bordo CD'!L$2:L$875,"CORTE DE CANA MECANIZADO"),0)</f>
        <v>0</v>
      </c>
      <c r="R1020" s="10">
        <f>IFERROR(SUMIFS('Base bordo CD'!Q$2:Q$875,'Base bordo CD'!D$2:D$875,A1020,'Base bordo CD'!A$2:A$875,B1020,'Base bordo CD'!L$2:L$875,"CORTE DE CANA MECANIZADO"),0)</f>
        <v>0</v>
      </c>
      <c r="S1020" s="30" t="str">
        <f t="shared" si="81"/>
        <v/>
      </c>
      <c r="T1020" s="9">
        <f t="shared" si="82"/>
        <v>0</v>
      </c>
      <c r="U1020" s="9">
        <f t="shared" si="83"/>
        <v>0</v>
      </c>
      <c r="V1020" s="9">
        <f t="shared" si="84"/>
        <v>0</v>
      </c>
    </row>
    <row r="1021" spans="1:22" hidden="1" x14ac:dyDescent="0.35">
      <c r="A1021" s="52">
        <v>49588</v>
      </c>
      <c r="B1021" s="31">
        <v>46117</v>
      </c>
      <c r="C1021" s="7" t="s">
        <v>364</v>
      </c>
      <c r="D1021" s="7">
        <v>352</v>
      </c>
      <c r="E1021" s="10">
        <f>IFERROR(SUMIFS('Base bordo CD'!M$2:M$875,'Base bordo CD'!D$2:D$875,A1021,'Base bordo CD'!A$2:A$875,B1021,'Base bordo CD'!L$2:L$875,"CORTE DE CANA MECANIZADO"),0)</f>
        <v>0</v>
      </c>
      <c r="F1021" s="10">
        <f>IFERROR(SUMIFS('Base bordo CD'!M$2:M$875,'Base bordo CD'!D$2:D$875,A1021,'Base bordo CD'!A$2:A$875,B1021,'Base bordo CD'!L$2:L$875,"MANOBRA"),0)</f>
        <v>0</v>
      </c>
      <c r="G1021" s="10">
        <f>IFERROR(SUMIFS('Base bordo CD'!M$2:M$875,'Base bordo CD'!D$2:D$875,A1021,'Base bordo CD'!A$2:A$875,B1021,'Base bordo CD'!L$2:L$875,"DESLOCAMENTO"),0)</f>
        <v>0</v>
      </c>
      <c r="H1021" s="10">
        <f>IFERROR(SUMIFS('Base bordo CD'!M$2:M$875,'Base bordo CD'!D$2:D$875,A1021,'Base bordo CD'!A$2:A$875,B1021,'Base bordo CD'!L$2:L$875,"AGUARDANDO MANOBRA DE TRANSBORDO"),0)+IFERROR(SUMIFS('Base bordo CD'!M$2:M$875,'Base bordo CD'!D$2:D$875,A1021,'Base bordo CD'!A$2:A$875,B1021,'Base bordo CD'!L$2:L$875,"FALTA DE TRANSBORDO"),0)</f>
        <v>0</v>
      </c>
      <c r="I1021" s="10">
        <f>IFERROR(SUMIFS('Base bordo CD'!M$2:M$875,'Base bordo CD'!D$2:D$875,A1021,'Base bordo CD'!A$2:A$875,B1021,'Base bordo CD'!L$2:L$875,"PARADA POR CONDICOES CLIMATICAS"),0)+IFERROR(SUMIFS('Base bordo CD'!M$2:M$875,'Base bordo CD'!D$2:D$875,A1021,'Base bordo CD'!A$2:A$875,B1021,'Base bordo CD'!L$2:L$875,"TEMPO INDETERMINADO"),0)</f>
        <v>0</v>
      </c>
      <c r="J1021" s="10">
        <f>IFERROR(SUMIFS('Base bordo CD'!M$2:M$875,'Base bordo CD'!D$2:D$875,A1021,'Base bordo CD'!A$2:A$875,B1021,'Base bordo CD'!L$2:L$875,"LIMITAÇÃO INDÚSTRIA"),0)</f>
        <v>0</v>
      </c>
      <c r="K1021" s="10">
        <f>IFERROR(SUMIFS('Base bordo CD'!M$2:M$875,'Base bordo CD'!D$2:D$875,A1021,'Base bordo CD'!A$2:A$875,B1021,'Base bordo CD'!L$2:L$875,"MAN CORRETIVA*"),0)+IFERROR(SUMIFS('Base bordo CD'!M$2:M$875,'Base bordo CD'!D$2:D$875,A1021,'Base bordo CD'!A$2:A$875,B1021,'Base bordo CD'!L$2:L$875,"AGUARDANDO MANUTENCAO*"),0)+IFERROR(SUMIFS('Base bordo CD'!M$2:M$875,'Base bordo CD'!D$2:D$875,A1021,'Base bordo CD'!A$2:A$875,B1021,'Base bordo CD'!L$2:L$875,"TROCA DE FAQUINHA"),0)+IFERROR(SUMIFS('Base bordo CD'!M$2:M$875,'Base bordo CD'!D$2:D$875,A1021,'Base bordo CD'!A$2:A$875,B1021,'Base bordo CD'!L$2:L$875,"LIMPEZA*"),0)</f>
        <v>0</v>
      </c>
      <c r="L1021" s="10">
        <f>IFERROR(SUMIFS('Base bordo CD'!M$2:M$875,'Base bordo CD'!D$2:D$875,A1021,'Base bordo CD'!A$2:A$875,B1021,'Base bordo CD'!L$2:L$875,"PATIO - RESERVA"),0)</f>
        <v>0</v>
      </c>
      <c r="M1021" s="10">
        <f>IFERROR(SUMIFS('Base bordo CD'!M$2:M$875,'Base bordo CD'!D$2:D$875,A1021,'Base bordo CD'!A$2:A$875,B1021,'Base bordo CD'!L$2:L$875,"SEM APONTAMENTO"),0)</f>
        <v>0</v>
      </c>
      <c r="N1021" s="10">
        <f>IFERROR(SUMIFS('Base bordo CD'!M$2:M$875,'Base bordo CD'!D$2:D$875,A1021,'Base bordo CD'!A$2:A$875,B1021,'Base bordo CD'!L$2:L$875,"FALTA DE CAMINHÃO"),0)+IFERROR(SUMIFS('Base bordo CD'!M$2:M$875,'Base bordo CD'!D$2:D$875,A1021,'Base bordo CD'!A$2:A$875,B1021,'Base bordo CD'!L$2:L$875,"FALTA DE COMBUSTIVEL"),0)+IFERROR(SUMIFS('Base bordo CD'!M$2:M$875,'Base bordo CD'!D$2:D$875,A1021,'Base bordo CD'!A$2:A$875,B1021,'Base bordo CD'!L$2:L$875,"FALTA DE MOTORIST*"),0)</f>
        <v>0</v>
      </c>
      <c r="O1021" s="10">
        <f t="shared" si="80"/>
        <v>0</v>
      </c>
      <c r="P1021" s="10">
        <f>IFERROR(SUMIFS('Base bordo CD'!M$2:M$875,'Base bordo CD'!D$2:D$875,A1021,'Base bordo CD'!A$2:A$875,B1021),0)</f>
        <v>0</v>
      </c>
      <c r="Q1021" s="10">
        <f>IFERROR(SUMIFS('Base bordo CD'!O$2:O$875,'Base bordo CD'!D$2:D$875,A1021,'Base bordo CD'!A$2:A$875,B1021,'Base bordo CD'!L$2:L$875,"CORTE DE CANA MECANIZADO"),0)</f>
        <v>0</v>
      </c>
      <c r="R1021" s="10">
        <f>IFERROR(SUMIFS('Base bordo CD'!Q$2:Q$875,'Base bordo CD'!D$2:D$875,A1021,'Base bordo CD'!A$2:A$875,B1021,'Base bordo CD'!L$2:L$875,"CORTE DE CANA MECANIZADO"),0)</f>
        <v>0</v>
      </c>
      <c r="S1021" s="30" t="str">
        <f t="shared" si="81"/>
        <v/>
      </c>
      <c r="T1021" s="9">
        <f t="shared" si="82"/>
        <v>0</v>
      </c>
      <c r="U1021" s="9">
        <f t="shared" si="83"/>
        <v>0</v>
      </c>
      <c r="V1021" s="9">
        <f t="shared" si="84"/>
        <v>0</v>
      </c>
    </row>
    <row r="1022" spans="1:22" hidden="1" x14ac:dyDescent="0.35">
      <c r="A1022" s="52">
        <v>49588</v>
      </c>
      <c r="B1022" s="31">
        <v>46117</v>
      </c>
      <c r="C1022" s="7" t="s">
        <v>364</v>
      </c>
      <c r="D1022" s="7">
        <v>352</v>
      </c>
      <c r="E1022" s="10">
        <f>IFERROR(SUMIFS('Base bordo CD'!M$2:M$875,'Base bordo CD'!D$2:D$875,A1022,'Base bordo CD'!A$2:A$875,B1022,'Base bordo CD'!L$2:L$875,"CORTE DE CANA MECANIZADO"),0)</f>
        <v>0</v>
      </c>
      <c r="F1022" s="10">
        <f>IFERROR(SUMIFS('Base bordo CD'!M$2:M$875,'Base bordo CD'!D$2:D$875,A1022,'Base bordo CD'!A$2:A$875,B1022,'Base bordo CD'!L$2:L$875,"MANOBRA"),0)</f>
        <v>0</v>
      </c>
      <c r="G1022" s="10">
        <f>IFERROR(SUMIFS('Base bordo CD'!M$2:M$875,'Base bordo CD'!D$2:D$875,A1022,'Base bordo CD'!A$2:A$875,B1022,'Base bordo CD'!L$2:L$875,"DESLOCAMENTO"),0)</f>
        <v>0</v>
      </c>
      <c r="H1022" s="10">
        <f>IFERROR(SUMIFS('Base bordo CD'!M$2:M$875,'Base bordo CD'!D$2:D$875,A1022,'Base bordo CD'!A$2:A$875,B1022,'Base bordo CD'!L$2:L$875,"AGUARDANDO MANOBRA DE TRANSBORDO"),0)+IFERROR(SUMIFS('Base bordo CD'!M$2:M$875,'Base bordo CD'!D$2:D$875,A1022,'Base bordo CD'!A$2:A$875,B1022,'Base bordo CD'!L$2:L$875,"FALTA DE TRANSBORDO"),0)</f>
        <v>0</v>
      </c>
      <c r="I1022" s="10">
        <f>IFERROR(SUMIFS('Base bordo CD'!M$2:M$875,'Base bordo CD'!D$2:D$875,A1022,'Base bordo CD'!A$2:A$875,B1022,'Base bordo CD'!L$2:L$875,"PARADA POR CONDICOES CLIMATICAS"),0)+IFERROR(SUMIFS('Base bordo CD'!M$2:M$875,'Base bordo CD'!D$2:D$875,A1022,'Base bordo CD'!A$2:A$875,B1022,'Base bordo CD'!L$2:L$875,"TEMPO INDETERMINADO"),0)</f>
        <v>0</v>
      </c>
      <c r="J1022" s="10">
        <f>IFERROR(SUMIFS('Base bordo CD'!M$2:M$875,'Base bordo CD'!D$2:D$875,A1022,'Base bordo CD'!A$2:A$875,B1022,'Base bordo CD'!L$2:L$875,"LIMITAÇÃO INDÚSTRIA"),0)</f>
        <v>0</v>
      </c>
      <c r="K1022" s="10">
        <f>IFERROR(SUMIFS('Base bordo CD'!M$2:M$875,'Base bordo CD'!D$2:D$875,A1022,'Base bordo CD'!A$2:A$875,B1022,'Base bordo CD'!L$2:L$875,"MAN CORRETIVA*"),0)+IFERROR(SUMIFS('Base bordo CD'!M$2:M$875,'Base bordo CD'!D$2:D$875,A1022,'Base bordo CD'!A$2:A$875,B1022,'Base bordo CD'!L$2:L$875,"AGUARDANDO MANUTENCAO*"),0)+IFERROR(SUMIFS('Base bordo CD'!M$2:M$875,'Base bordo CD'!D$2:D$875,A1022,'Base bordo CD'!A$2:A$875,B1022,'Base bordo CD'!L$2:L$875,"TROCA DE FAQUINHA"),0)+IFERROR(SUMIFS('Base bordo CD'!M$2:M$875,'Base bordo CD'!D$2:D$875,A1022,'Base bordo CD'!A$2:A$875,B1022,'Base bordo CD'!L$2:L$875,"LIMPEZA*"),0)</f>
        <v>0</v>
      </c>
      <c r="L1022" s="10">
        <f>IFERROR(SUMIFS('Base bordo CD'!M$2:M$875,'Base bordo CD'!D$2:D$875,A1022,'Base bordo CD'!A$2:A$875,B1022,'Base bordo CD'!L$2:L$875,"PATIO - RESERVA"),0)</f>
        <v>0</v>
      </c>
      <c r="M1022" s="10">
        <f>IFERROR(SUMIFS('Base bordo CD'!M$2:M$875,'Base bordo CD'!D$2:D$875,A1022,'Base bordo CD'!A$2:A$875,B1022,'Base bordo CD'!L$2:L$875,"SEM APONTAMENTO"),0)</f>
        <v>0</v>
      </c>
      <c r="N1022" s="10">
        <f>IFERROR(SUMIFS('Base bordo CD'!M$2:M$875,'Base bordo CD'!D$2:D$875,A1022,'Base bordo CD'!A$2:A$875,B1022,'Base bordo CD'!L$2:L$875,"FALTA DE CAMINHÃO"),0)+IFERROR(SUMIFS('Base bordo CD'!M$2:M$875,'Base bordo CD'!D$2:D$875,A1022,'Base bordo CD'!A$2:A$875,B1022,'Base bordo CD'!L$2:L$875,"FALTA DE COMBUSTIVEL"),0)+IFERROR(SUMIFS('Base bordo CD'!M$2:M$875,'Base bordo CD'!D$2:D$875,A1022,'Base bordo CD'!A$2:A$875,B1022,'Base bordo CD'!L$2:L$875,"FALTA DE MOTORIST*"),0)</f>
        <v>0</v>
      </c>
      <c r="O1022" s="10">
        <f t="shared" ref="O1022:O1085" si="85">IFERROR(P1022-SUM(E1022:N1022),0)</f>
        <v>0</v>
      </c>
      <c r="P1022" s="10">
        <f>IFERROR(SUMIFS('Base bordo CD'!M$2:M$875,'Base bordo CD'!D$2:D$875,A1022,'Base bordo CD'!A$2:A$875,B1022),0)</f>
        <v>0</v>
      </c>
      <c r="Q1022" s="10">
        <f>IFERROR(SUMIFS('Base bordo CD'!O$2:O$875,'Base bordo CD'!D$2:D$875,A1022,'Base bordo CD'!A$2:A$875,B1022,'Base bordo CD'!L$2:L$875,"CORTE DE CANA MECANIZADO"),0)</f>
        <v>0</v>
      </c>
      <c r="R1022" s="10">
        <f>IFERROR(SUMIFS('Base bordo CD'!Q$2:Q$875,'Base bordo CD'!D$2:D$875,A1022,'Base bordo CD'!A$2:A$875,B1022,'Base bordo CD'!L$2:L$875,"CORTE DE CANA MECANIZADO"),0)</f>
        <v>0</v>
      </c>
      <c r="S1022" s="30" t="str">
        <f t="shared" ref="S1022:S1085" si="86">IFERROR(Q1022/R1022,"")</f>
        <v/>
      </c>
      <c r="T1022" s="9">
        <f t="shared" ref="T1022:T1085" si="87">IFERROR(E1022/P1022,0)</f>
        <v>0</v>
      </c>
      <c r="U1022" s="9">
        <f t="shared" ref="U1022:U1085" si="88">IFERROR(F1022/P1022,0)</f>
        <v>0</v>
      </c>
      <c r="V1022" s="9">
        <f t="shared" ref="V1022:V1085" si="89">IFERROR(1-(E1022+G1022)/P1022,0)</f>
        <v>0</v>
      </c>
    </row>
    <row r="1023" spans="1:22" hidden="1" x14ac:dyDescent="0.35">
      <c r="A1023" s="52">
        <v>49588</v>
      </c>
      <c r="B1023" s="31">
        <v>46117</v>
      </c>
      <c r="C1023" s="7" t="s">
        <v>364</v>
      </c>
      <c r="D1023" s="7">
        <v>352</v>
      </c>
      <c r="E1023" s="10">
        <f>IFERROR(SUMIFS('Base bordo CD'!M$2:M$875,'Base bordo CD'!D$2:D$875,A1023,'Base bordo CD'!A$2:A$875,B1023,'Base bordo CD'!L$2:L$875,"CORTE DE CANA MECANIZADO"),0)</f>
        <v>0</v>
      </c>
      <c r="F1023" s="10">
        <f>IFERROR(SUMIFS('Base bordo CD'!M$2:M$875,'Base bordo CD'!D$2:D$875,A1023,'Base bordo CD'!A$2:A$875,B1023,'Base bordo CD'!L$2:L$875,"MANOBRA"),0)</f>
        <v>0</v>
      </c>
      <c r="G1023" s="10">
        <f>IFERROR(SUMIFS('Base bordo CD'!M$2:M$875,'Base bordo CD'!D$2:D$875,A1023,'Base bordo CD'!A$2:A$875,B1023,'Base bordo CD'!L$2:L$875,"DESLOCAMENTO"),0)</f>
        <v>0</v>
      </c>
      <c r="H1023" s="10">
        <f>IFERROR(SUMIFS('Base bordo CD'!M$2:M$875,'Base bordo CD'!D$2:D$875,A1023,'Base bordo CD'!A$2:A$875,B1023,'Base bordo CD'!L$2:L$875,"AGUARDANDO MANOBRA DE TRANSBORDO"),0)+IFERROR(SUMIFS('Base bordo CD'!M$2:M$875,'Base bordo CD'!D$2:D$875,A1023,'Base bordo CD'!A$2:A$875,B1023,'Base bordo CD'!L$2:L$875,"FALTA DE TRANSBORDO"),0)</f>
        <v>0</v>
      </c>
      <c r="I1023" s="10">
        <f>IFERROR(SUMIFS('Base bordo CD'!M$2:M$875,'Base bordo CD'!D$2:D$875,A1023,'Base bordo CD'!A$2:A$875,B1023,'Base bordo CD'!L$2:L$875,"PARADA POR CONDICOES CLIMATICAS"),0)+IFERROR(SUMIFS('Base bordo CD'!M$2:M$875,'Base bordo CD'!D$2:D$875,A1023,'Base bordo CD'!A$2:A$875,B1023,'Base bordo CD'!L$2:L$875,"TEMPO INDETERMINADO"),0)</f>
        <v>0</v>
      </c>
      <c r="J1023" s="10">
        <f>IFERROR(SUMIFS('Base bordo CD'!M$2:M$875,'Base bordo CD'!D$2:D$875,A1023,'Base bordo CD'!A$2:A$875,B1023,'Base bordo CD'!L$2:L$875,"LIMITAÇÃO INDÚSTRIA"),0)</f>
        <v>0</v>
      </c>
      <c r="K1023" s="10">
        <f>IFERROR(SUMIFS('Base bordo CD'!M$2:M$875,'Base bordo CD'!D$2:D$875,A1023,'Base bordo CD'!A$2:A$875,B1023,'Base bordo CD'!L$2:L$875,"MAN CORRETIVA*"),0)+IFERROR(SUMIFS('Base bordo CD'!M$2:M$875,'Base bordo CD'!D$2:D$875,A1023,'Base bordo CD'!A$2:A$875,B1023,'Base bordo CD'!L$2:L$875,"AGUARDANDO MANUTENCAO*"),0)+IFERROR(SUMIFS('Base bordo CD'!M$2:M$875,'Base bordo CD'!D$2:D$875,A1023,'Base bordo CD'!A$2:A$875,B1023,'Base bordo CD'!L$2:L$875,"TROCA DE FAQUINHA"),0)+IFERROR(SUMIFS('Base bordo CD'!M$2:M$875,'Base bordo CD'!D$2:D$875,A1023,'Base bordo CD'!A$2:A$875,B1023,'Base bordo CD'!L$2:L$875,"LIMPEZA*"),0)</f>
        <v>0</v>
      </c>
      <c r="L1023" s="10">
        <f>IFERROR(SUMIFS('Base bordo CD'!M$2:M$875,'Base bordo CD'!D$2:D$875,A1023,'Base bordo CD'!A$2:A$875,B1023,'Base bordo CD'!L$2:L$875,"PATIO - RESERVA"),0)</f>
        <v>0</v>
      </c>
      <c r="M1023" s="10">
        <f>IFERROR(SUMIFS('Base bordo CD'!M$2:M$875,'Base bordo CD'!D$2:D$875,A1023,'Base bordo CD'!A$2:A$875,B1023,'Base bordo CD'!L$2:L$875,"SEM APONTAMENTO"),0)</f>
        <v>0</v>
      </c>
      <c r="N1023" s="10">
        <f>IFERROR(SUMIFS('Base bordo CD'!M$2:M$875,'Base bordo CD'!D$2:D$875,A1023,'Base bordo CD'!A$2:A$875,B1023,'Base bordo CD'!L$2:L$875,"FALTA DE CAMINHÃO"),0)+IFERROR(SUMIFS('Base bordo CD'!M$2:M$875,'Base bordo CD'!D$2:D$875,A1023,'Base bordo CD'!A$2:A$875,B1023,'Base bordo CD'!L$2:L$875,"FALTA DE COMBUSTIVEL"),0)+IFERROR(SUMIFS('Base bordo CD'!M$2:M$875,'Base bordo CD'!D$2:D$875,A1023,'Base bordo CD'!A$2:A$875,B1023,'Base bordo CD'!L$2:L$875,"FALTA DE MOTORIST*"),0)</f>
        <v>0</v>
      </c>
      <c r="O1023" s="10">
        <f t="shared" si="85"/>
        <v>0</v>
      </c>
      <c r="P1023" s="10">
        <f>IFERROR(SUMIFS('Base bordo CD'!M$2:M$875,'Base bordo CD'!D$2:D$875,A1023,'Base bordo CD'!A$2:A$875,B1023),0)</f>
        <v>0</v>
      </c>
      <c r="Q1023" s="10">
        <f>IFERROR(SUMIFS('Base bordo CD'!O$2:O$875,'Base bordo CD'!D$2:D$875,A1023,'Base bordo CD'!A$2:A$875,B1023,'Base bordo CD'!L$2:L$875,"CORTE DE CANA MECANIZADO"),0)</f>
        <v>0</v>
      </c>
      <c r="R1023" s="10">
        <f>IFERROR(SUMIFS('Base bordo CD'!Q$2:Q$875,'Base bordo CD'!D$2:D$875,A1023,'Base bordo CD'!A$2:A$875,B1023,'Base bordo CD'!L$2:L$875,"CORTE DE CANA MECANIZADO"),0)</f>
        <v>0</v>
      </c>
      <c r="S1023" s="30" t="str">
        <f t="shared" si="86"/>
        <v/>
      </c>
      <c r="T1023" s="9">
        <f t="shared" si="87"/>
        <v>0</v>
      </c>
      <c r="U1023" s="9">
        <f t="shared" si="88"/>
        <v>0</v>
      </c>
      <c r="V1023" s="9">
        <f t="shared" si="89"/>
        <v>0</v>
      </c>
    </row>
    <row r="1024" spans="1:22" hidden="1" x14ac:dyDescent="0.35">
      <c r="A1024" s="52">
        <v>49588</v>
      </c>
      <c r="B1024" s="31">
        <v>46117</v>
      </c>
      <c r="C1024" s="7" t="s">
        <v>364</v>
      </c>
      <c r="D1024" s="7">
        <v>352</v>
      </c>
      <c r="E1024" s="10">
        <f>IFERROR(SUMIFS('Base bordo CD'!M$2:M$875,'Base bordo CD'!D$2:D$875,A1024,'Base bordo CD'!A$2:A$875,B1024,'Base bordo CD'!L$2:L$875,"CORTE DE CANA MECANIZADO"),0)</f>
        <v>0</v>
      </c>
      <c r="F1024" s="10">
        <f>IFERROR(SUMIFS('Base bordo CD'!M$2:M$875,'Base bordo CD'!D$2:D$875,A1024,'Base bordo CD'!A$2:A$875,B1024,'Base bordo CD'!L$2:L$875,"MANOBRA"),0)</f>
        <v>0</v>
      </c>
      <c r="G1024" s="10">
        <f>IFERROR(SUMIFS('Base bordo CD'!M$2:M$875,'Base bordo CD'!D$2:D$875,A1024,'Base bordo CD'!A$2:A$875,B1024,'Base bordo CD'!L$2:L$875,"DESLOCAMENTO"),0)</f>
        <v>0</v>
      </c>
      <c r="H1024" s="10">
        <f>IFERROR(SUMIFS('Base bordo CD'!M$2:M$875,'Base bordo CD'!D$2:D$875,A1024,'Base bordo CD'!A$2:A$875,B1024,'Base bordo CD'!L$2:L$875,"AGUARDANDO MANOBRA DE TRANSBORDO"),0)+IFERROR(SUMIFS('Base bordo CD'!M$2:M$875,'Base bordo CD'!D$2:D$875,A1024,'Base bordo CD'!A$2:A$875,B1024,'Base bordo CD'!L$2:L$875,"FALTA DE TRANSBORDO"),0)</f>
        <v>0</v>
      </c>
      <c r="I1024" s="10">
        <f>IFERROR(SUMIFS('Base bordo CD'!M$2:M$875,'Base bordo CD'!D$2:D$875,A1024,'Base bordo CD'!A$2:A$875,B1024,'Base bordo CD'!L$2:L$875,"PARADA POR CONDICOES CLIMATICAS"),0)+IFERROR(SUMIFS('Base bordo CD'!M$2:M$875,'Base bordo CD'!D$2:D$875,A1024,'Base bordo CD'!A$2:A$875,B1024,'Base bordo CD'!L$2:L$875,"TEMPO INDETERMINADO"),0)</f>
        <v>0</v>
      </c>
      <c r="J1024" s="10">
        <f>IFERROR(SUMIFS('Base bordo CD'!M$2:M$875,'Base bordo CD'!D$2:D$875,A1024,'Base bordo CD'!A$2:A$875,B1024,'Base bordo CD'!L$2:L$875,"LIMITAÇÃO INDÚSTRIA"),0)</f>
        <v>0</v>
      </c>
      <c r="K1024" s="10">
        <f>IFERROR(SUMIFS('Base bordo CD'!M$2:M$875,'Base bordo CD'!D$2:D$875,A1024,'Base bordo CD'!A$2:A$875,B1024,'Base bordo CD'!L$2:L$875,"MAN CORRETIVA*"),0)+IFERROR(SUMIFS('Base bordo CD'!M$2:M$875,'Base bordo CD'!D$2:D$875,A1024,'Base bordo CD'!A$2:A$875,B1024,'Base bordo CD'!L$2:L$875,"AGUARDANDO MANUTENCAO*"),0)+IFERROR(SUMIFS('Base bordo CD'!M$2:M$875,'Base bordo CD'!D$2:D$875,A1024,'Base bordo CD'!A$2:A$875,B1024,'Base bordo CD'!L$2:L$875,"TROCA DE FAQUINHA"),0)+IFERROR(SUMIFS('Base bordo CD'!M$2:M$875,'Base bordo CD'!D$2:D$875,A1024,'Base bordo CD'!A$2:A$875,B1024,'Base bordo CD'!L$2:L$875,"LIMPEZA*"),0)</f>
        <v>0</v>
      </c>
      <c r="L1024" s="10">
        <f>IFERROR(SUMIFS('Base bordo CD'!M$2:M$875,'Base bordo CD'!D$2:D$875,A1024,'Base bordo CD'!A$2:A$875,B1024,'Base bordo CD'!L$2:L$875,"PATIO - RESERVA"),0)</f>
        <v>0</v>
      </c>
      <c r="M1024" s="10">
        <f>IFERROR(SUMIFS('Base bordo CD'!M$2:M$875,'Base bordo CD'!D$2:D$875,A1024,'Base bordo CD'!A$2:A$875,B1024,'Base bordo CD'!L$2:L$875,"SEM APONTAMENTO"),0)</f>
        <v>0</v>
      </c>
      <c r="N1024" s="10">
        <f>IFERROR(SUMIFS('Base bordo CD'!M$2:M$875,'Base bordo CD'!D$2:D$875,A1024,'Base bordo CD'!A$2:A$875,B1024,'Base bordo CD'!L$2:L$875,"FALTA DE CAMINHÃO"),0)+IFERROR(SUMIFS('Base bordo CD'!M$2:M$875,'Base bordo CD'!D$2:D$875,A1024,'Base bordo CD'!A$2:A$875,B1024,'Base bordo CD'!L$2:L$875,"FALTA DE COMBUSTIVEL"),0)+IFERROR(SUMIFS('Base bordo CD'!M$2:M$875,'Base bordo CD'!D$2:D$875,A1024,'Base bordo CD'!A$2:A$875,B1024,'Base bordo CD'!L$2:L$875,"FALTA DE MOTORIST*"),0)</f>
        <v>0</v>
      </c>
      <c r="O1024" s="10">
        <f t="shared" si="85"/>
        <v>0</v>
      </c>
      <c r="P1024" s="10">
        <f>IFERROR(SUMIFS('Base bordo CD'!M$2:M$875,'Base bordo CD'!D$2:D$875,A1024,'Base bordo CD'!A$2:A$875,B1024),0)</f>
        <v>0</v>
      </c>
      <c r="Q1024" s="10">
        <f>IFERROR(SUMIFS('Base bordo CD'!O$2:O$875,'Base bordo CD'!D$2:D$875,A1024,'Base bordo CD'!A$2:A$875,B1024,'Base bordo CD'!L$2:L$875,"CORTE DE CANA MECANIZADO"),0)</f>
        <v>0</v>
      </c>
      <c r="R1024" s="10">
        <f>IFERROR(SUMIFS('Base bordo CD'!Q$2:Q$875,'Base bordo CD'!D$2:D$875,A1024,'Base bordo CD'!A$2:A$875,B1024,'Base bordo CD'!L$2:L$875,"CORTE DE CANA MECANIZADO"),0)</f>
        <v>0</v>
      </c>
      <c r="S1024" s="30" t="str">
        <f t="shared" si="86"/>
        <v/>
      </c>
      <c r="T1024" s="9">
        <f t="shared" si="87"/>
        <v>0</v>
      </c>
      <c r="U1024" s="9">
        <f t="shared" si="88"/>
        <v>0</v>
      </c>
      <c r="V1024" s="9">
        <f t="shared" si="89"/>
        <v>0</v>
      </c>
    </row>
    <row r="1025" spans="1:22" hidden="1" x14ac:dyDescent="0.35">
      <c r="A1025" s="52">
        <v>49588</v>
      </c>
      <c r="B1025" s="31">
        <v>46117</v>
      </c>
      <c r="C1025" s="7" t="s">
        <v>364</v>
      </c>
      <c r="D1025" s="7">
        <v>352</v>
      </c>
      <c r="E1025" s="10">
        <f>IFERROR(SUMIFS('Base bordo CD'!M$2:M$875,'Base bordo CD'!D$2:D$875,A1025,'Base bordo CD'!A$2:A$875,B1025,'Base bordo CD'!L$2:L$875,"CORTE DE CANA MECANIZADO"),0)</f>
        <v>0</v>
      </c>
      <c r="F1025" s="10">
        <f>IFERROR(SUMIFS('Base bordo CD'!M$2:M$875,'Base bordo CD'!D$2:D$875,A1025,'Base bordo CD'!A$2:A$875,B1025,'Base bordo CD'!L$2:L$875,"MANOBRA"),0)</f>
        <v>0</v>
      </c>
      <c r="G1025" s="10">
        <f>IFERROR(SUMIFS('Base bordo CD'!M$2:M$875,'Base bordo CD'!D$2:D$875,A1025,'Base bordo CD'!A$2:A$875,B1025,'Base bordo CD'!L$2:L$875,"DESLOCAMENTO"),0)</f>
        <v>0</v>
      </c>
      <c r="H1025" s="10">
        <f>IFERROR(SUMIFS('Base bordo CD'!M$2:M$875,'Base bordo CD'!D$2:D$875,A1025,'Base bordo CD'!A$2:A$875,B1025,'Base bordo CD'!L$2:L$875,"AGUARDANDO MANOBRA DE TRANSBORDO"),0)+IFERROR(SUMIFS('Base bordo CD'!M$2:M$875,'Base bordo CD'!D$2:D$875,A1025,'Base bordo CD'!A$2:A$875,B1025,'Base bordo CD'!L$2:L$875,"FALTA DE TRANSBORDO"),0)</f>
        <v>0</v>
      </c>
      <c r="I1025" s="10">
        <f>IFERROR(SUMIFS('Base bordo CD'!M$2:M$875,'Base bordo CD'!D$2:D$875,A1025,'Base bordo CD'!A$2:A$875,B1025,'Base bordo CD'!L$2:L$875,"PARADA POR CONDICOES CLIMATICAS"),0)+IFERROR(SUMIFS('Base bordo CD'!M$2:M$875,'Base bordo CD'!D$2:D$875,A1025,'Base bordo CD'!A$2:A$875,B1025,'Base bordo CD'!L$2:L$875,"TEMPO INDETERMINADO"),0)</f>
        <v>0</v>
      </c>
      <c r="J1025" s="10">
        <f>IFERROR(SUMIFS('Base bordo CD'!M$2:M$875,'Base bordo CD'!D$2:D$875,A1025,'Base bordo CD'!A$2:A$875,B1025,'Base bordo CD'!L$2:L$875,"LIMITAÇÃO INDÚSTRIA"),0)</f>
        <v>0</v>
      </c>
      <c r="K1025" s="10">
        <f>IFERROR(SUMIFS('Base bordo CD'!M$2:M$875,'Base bordo CD'!D$2:D$875,A1025,'Base bordo CD'!A$2:A$875,B1025,'Base bordo CD'!L$2:L$875,"MAN CORRETIVA*"),0)+IFERROR(SUMIFS('Base bordo CD'!M$2:M$875,'Base bordo CD'!D$2:D$875,A1025,'Base bordo CD'!A$2:A$875,B1025,'Base bordo CD'!L$2:L$875,"AGUARDANDO MANUTENCAO*"),0)+IFERROR(SUMIFS('Base bordo CD'!M$2:M$875,'Base bordo CD'!D$2:D$875,A1025,'Base bordo CD'!A$2:A$875,B1025,'Base bordo CD'!L$2:L$875,"TROCA DE FAQUINHA"),0)+IFERROR(SUMIFS('Base bordo CD'!M$2:M$875,'Base bordo CD'!D$2:D$875,A1025,'Base bordo CD'!A$2:A$875,B1025,'Base bordo CD'!L$2:L$875,"LIMPEZA*"),0)</f>
        <v>0</v>
      </c>
      <c r="L1025" s="10">
        <f>IFERROR(SUMIFS('Base bordo CD'!M$2:M$875,'Base bordo CD'!D$2:D$875,A1025,'Base bordo CD'!A$2:A$875,B1025,'Base bordo CD'!L$2:L$875,"PATIO - RESERVA"),0)</f>
        <v>0</v>
      </c>
      <c r="M1025" s="10">
        <f>IFERROR(SUMIFS('Base bordo CD'!M$2:M$875,'Base bordo CD'!D$2:D$875,A1025,'Base bordo CD'!A$2:A$875,B1025,'Base bordo CD'!L$2:L$875,"SEM APONTAMENTO"),0)</f>
        <v>0</v>
      </c>
      <c r="N1025" s="10">
        <f>IFERROR(SUMIFS('Base bordo CD'!M$2:M$875,'Base bordo CD'!D$2:D$875,A1025,'Base bordo CD'!A$2:A$875,B1025,'Base bordo CD'!L$2:L$875,"FALTA DE CAMINHÃO"),0)+IFERROR(SUMIFS('Base bordo CD'!M$2:M$875,'Base bordo CD'!D$2:D$875,A1025,'Base bordo CD'!A$2:A$875,B1025,'Base bordo CD'!L$2:L$875,"FALTA DE COMBUSTIVEL"),0)+IFERROR(SUMIFS('Base bordo CD'!M$2:M$875,'Base bordo CD'!D$2:D$875,A1025,'Base bordo CD'!A$2:A$875,B1025,'Base bordo CD'!L$2:L$875,"FALTA DE MOTORIST*"),0)</f>
        <v>0</v>
      </c>
      <c r="O1025" s="10">
        <f t="shared" si="85"/>
        <v>0</v>
      </c>
      <c r="P1025" s="10">
        <f>IFERROR(SUMIFS('Base bordo CD'!M$2:M$875,'Base bordo CD'!D$2:D$875,A1025,'Base bordo CD'!A$2:A$875,B1025),0)</f>
        <v>0</v>
      </c>
      <c r="Q1025" s="10">
        <f>IFERROR(SUMIFS('Base bordo CD'!O$2:O$875,'Base bordo CD'!D$2:D$875,A1025,'Base bordo CD'!A$2:A$875,B1025,'Base bordo CD'!L$2:L$875,"CORTE DE CANA MECANIZADO"),0)</f>
        <v>0</v>
      </c>
      <c r="R1025" s="10">
        <f>IFERROR(SUMIFS('Base bordo CD'!Q$2:Q$875,'Base bordo CD'!D$2:D$875,A1025,'Base bordo CD'!A$2:A$875,B1025,'Base bordo CD'!L$2:L$875,"CORTE DE CANA MECANIZADO"),0)</f>
        <v>0</v>
      </c>
      <c r="S1025" s="30" t="str">
        <f t="shared" si="86"/>
        <v/>
      </c>
      <c r="T1025" s="9">
        <f t="shared" si="87"/>
        <v>0</v>
      </c>
      <c r="U1025" s="9">
        <f t="shared" si="88"/>
        <v>0</v>
      </c>
      <c r="V1025" s="9">
        <f t="shared" si="89"/>
        <v>0</v>
      </c>
    </row>
    <row r="1026" spans="1:22" hidden="1" x14ac:dyDescent="0.35">
      <c r="A1026" s="52">
        <v>49588</v>
      </c>
      <c r="B1026" s="31">
        <v>46117</v>
      </c>
      <c r="C1026" s="7" t="s">
        <v>364</v>
      </c>
      <c r="D1026" s="7">
        <v>352</v>
      </c>
      <c r="E1026" s="10">
        <f>IFERROR(SUMIFS('Base bordo CD'!M$2:M$875,'Base bordo CD'!D$2:D$875,A1026,'Base bordo CD'!A$2:A$875,B1026,'Base bordo CD'!L$2:L$875,"CORTE DE CANA MECANIZADO"),0)</f>
        <v>0</v>
      </c>
      <c r="F1026" s="10">
        <f>IFERROR(SUMIFS('Base bordo CD'!M$2:M$875,'Base bordo CD'!D$2:D$875,A1026,'Base bordo CD'!A$2:A$875,B1026,'Base bordo CD'!L$2:L$875,"MANOBRA"),0)</f>
        <v>0</v>
      </c>
      <c r="G1026" s="10">
        <f>IFERROR(SUMIFS('Base bordo CD'!M$2:M$875,'Base bordo CD'!D$2:D$875,A1026,'Base bordo CD'!A$2:A$875,B1026,'Base bordo CD'!L$2:L$875,"DESLOCAMENTO"),0)</f>
        <v>0</v>
      </c>
      <c r="H1026" s="10">
        <f>IFERROR(SUMIFS('Base bordo CD'!M$2:M$875,'Base bordo CD'!D$2:D$875,A1026,'Base bordo CD'!A$2:A$875,B1026,'Base bordo CD'!L$2:L$875,"AGUARDANDO MANOBRA DE TRANSBORDO"),0)+IFERROR(SUMIFS('Base bordo CD'!M$2:M$875,'Base bordo CD'!D$2:D$875,A1026,'Base bordo CD'!A$2:A$875,B1026,'Base bordo CD'!L$2:L$875,"FALTA DE TRANSBORDO"),0)</f>
        <v>0</v>
      </c>
      <c r="I1026" s="10">
        <f>IFERROR(SUMIFS('Base bordo CD'!M$2:M$875,'Base bordo CD'!D$2:D$875,A1026,'Base bordo CD'!A$2:A$875,B1026,'Base bordo CD'!L$2:L$875,"PARADA POR CONDICOES CLIMATICAS"),0)+IFERROR(SUMIFS('Base bordo CD'!M$2:M$875,'Base bordo CD'!D$2:D$875,A1026,'Base bordo CD'!A$2:A$875,B1026,'Base bordo CD'!L$2:L$875,"TEMPO INDETERMINADO"),0)</f>
        <v>0</v>
      </c>
      <c r="J1026" s="10">
        <f>IFERROR(SUMIFS('Base bordo CD'!M$2:M$875,'Base bordo CD'!D$2:D$875,A1026,'Base bordo CD'!A$2:A$875,B1026,'Base bordo CD'!L$2:L$875,"LIMITAÇÃO INDÚSTRIA"),0)</f>
        <v>0</v>
      </c>
      <c r="K1026" s="10">
        <f>IFERROR(SUMIFS('Base bordo CD'!M$2:M$875,'Base bordo CD'!D$2:D$875,A1026,'Base bordo CD'!A$2:A$875,B1026,'Base bordo CD'!L$2:L$875,"MAN CORRETIVA*"),0)+IFERROR(SUMIFS('Base bordo CD'!M$2:M$875,'Base bordo CD'!D$2:D$875,A1026,'Base bordo CD'!A$2:A$875,B1026,'Base bordo CD'!L$2:L$875,"AGUARDANDO MANUTENCAO*"),0)+IFERROR(SUMIFS('Base bordo CD'!M$2:M$875,'Base bordo CD'!D$2:D$875,A1026,'Base bordo CD'!A$2:A$875,B1026,'Base bordo CD'!L$2:L$875,"TROCA DE FAQUINHA"),0)+IFERROR(SUMIFS('Base bordo CD'!M$2:M$875,'Base bordo CD'!D$2:D$875,A1026,'Base bordo CD'!A$2:A$875,B1026,'Base bordo CD'!L$2:L$875,"LIMPEZA*"),0)</f>
        <v>0</v>
      </c>
      <c r="L1026" s="10">
        <f>IFERROR(SUMIFS('Base bordo CD'!M$2:M$875,'Base bordo CD'!D$2:D$875,A1026,'Base bordo CD'!A$2:A$875,B1026,'Base bordo CD'!L$2:L$875,"PATIO - RESERVA"),0)</f>
        <v>0</v>
      </c>
      <c r="M1026" s="10">
        <f>IFERROR(SUMIFS('Base bordo CD'!M$2:M$875,'Base bordo CD'!D$2:D$875,A1026,'Base bordo CD'!A$2:A$875,B1026,'Base bordo CD'!L$2:L$875,"SEM APONTAMENTO"),0)</f>
        <v>0</v>
      </c>
      <c r="N1026" s="10">
        <f>IFERROR(SUMIFS('Base bordo CD'!M$2:M$875,'Base bordo CD'!D$2:D$875,A1026,'Base bordo CD'!A$2:A$875,B1026,'Base bordo CD'!L$2:L$875,"FALTA DE CAMINHÃO"),0)+IFERROR(SUMIFS('Base bordo CD'!M$2:M$875,'Base bordo CD'!D$2:D$875,A1026,'Base bordo CD'!A$2:A$875,B1026,'Base bordo CD'!L$2:L$875,"FALTA DE COMBUSTIVEL"),0)+IFERROR(SUMIFS('Base bordo CD'!M$2:M$875,'Base bordo CD'!D$2:D$875,A1026,'Base bordo CD'!A$2:A$875,B1026,'Base bordo CD'!L$2:L$875,"FALTA DE MOTORIST*"),0)</f>
        <v>0</v>
      </c>
      <c r="O1026" s="10">
        <f t="shared" si="85"/>
        <v>0</v>
      </c>
      <c r="P1026" s="10">
        <f>IFERROR(SUMIFS('Base bordo CD'!M$2:M$875,'Base bordo CD'!D$2:D$875,A1026,'Base bordo CD'!A$2:A$875,B1026),0)</f>
        <v>0</v>
      </c>
      <c r="Q1026" s="10">
        <f>IFERROR(SUMIFS('Base bordo CD'!O$2:O$875,'Base bordo CD'!D$2:D$875,A1026,'Base bordo CD'!A$2:A$875,B1026,'Base bordo CD'!L$2:L$875,"CORTE DE CANA MECANIZADO"),0)</f>
        <v>0</v>
      </c>
      <c r="R1026" s="10">
        <f>IFERROR(SUMIFS('Base bordo CD'!Q$2:Q$875,'Base bordo CD'!D$2:D$875,A1026,'Base bordo CD'!A$2:A$875,B1026,'Base bordo CD'!L$2:L$875,"CORTE DE CANA MECANIZADO"),0)</f>
        <v>0</v>
      </c>
      <c r="S1026" s="30" t="str">
        <f t="shared" si="86"/>
        <v/>
      </c>
      <c r="T1026" s="9">
        <f t="shared" si="87"/>
        <v>0</v>
      </c>
      <c r="U1026" s="9">
        <f t="shared" si="88"/>
        <v>0</v>
      </c>
      <c r="V1026" s="9">
        <f t="shared" si="89"/>
        <v>0</v>
      </c>
    </row>
    <row r="1027" spans="1:22" hidden="1" x14ac:dyDescent="0.35">
      <c r="A1027" s="52">
        <v>49588</v>
      </c>
      <c r="B1027" s="31">
        <v>46117</v>
      </c>
      <c r="C1027" s="7" t="s">
        <v>364</v>
      </c>
      <c r="D1027" s="7">
        <v>352</v>
      </c>
      <c r="E1027" s="10">
        <f>IFERROR(SUMIFS('Base bordo CD'!M$2:M$875,'Base bordo CD'!D$2:D$875,A1027,'Base bordo CD'!A$2:A$875,B1027,'Base bordo CD'!L$2:L$875,"CORTE DE CANA MECANIZADO"),0)</f>
        <v>0</v>
      </c>
      <c r="F1027" s="10">
        <f>IFERROR(SUMIFS('Base bordo CD'!M$2:M$875,'Base bordo CD'!D$2:D$875,A1027,'Base bordo CD'!A$2:A$875,B1027,'Base bordo CD'!L$2:L$875,"MANOBRA"),0)</f>
        <v>0</v>
      </c>
      <c r="G1027" s="10">
        <f>IFERROR(SUMIFS('Base bordo CD'!M$2:M$875,'Base bordo CD'!D$2:D$875,A1027,'Base bordo CD'!A$2:A$875,B1027,'Base bordo CD'!L$2:L$875,"DESLOCAMENTO"),0)</f>
        <v>0</v>
      </c>
      <c r="H1027" s="10">
        <f>IFERROR(SUMIFS('Base bordo CD'!M$2:M$875,'Base bordo CD'!D$2:D$875,A1027,'Base bordo CD'!A$2:A$875,B1027,'Base bordo CD'!L$2:L$875,"AGUARDANDO MANOBRA DE TRANSBORDO"),0)+IFERROR(SUMIFS('Base bordo CD'!M$2:M$875,'Base bordo CD'!D$2:D$875,A1027,'Base bordo CD'!A$2:A$875,B1027,'Base bordo CD'!L$2:L$875,"FALTA DE TRANSBORDO"),0)</f>
        <v>0</v>
      </c>
      <c r="I1027" s="10">
        <f>IFERROR(SUMIFS('Base bordo CD'!M$2:M$875,'Base bordo CD'!D$2:D$875,A1027,'Base bordo CD'!A$2:A$875,B1027,'Base bordo CD'!L$2:L$875,"PARADA POR CONDICOES CLIMATICAS"),0)+IFERROR(SUMIFS('Base bordo CD'!M$2:M$875,'Base bordo CD'!D$2:D$875,A1027,'Base bordo CD'!A$2:A$875,B1027,'Base bordo CD'!L$2:L$875,"TEMPO INDETERMINADO"),0)</f>
        <v>0</v>
      </c>
      <c r="J1027" s="10">
        <f>IFERROR(SUMIFS('Base bordo CD'!M$2:M$875,'Base bordo CD'!D$2:D$875,A1027,'Base bordo CD'!A$2:A$875,B1027,'Base bordo CD'!L$2:L$875,"LIMITAÇÃO INDÚSTRIA"),0)</f>
        <v>0</v>
      </c>
      <c r="K1027" s="10">
        <f>IFERROR(SUMIFS('Base bordo CD'!M$2:M$875,'Base bordo CD'!D$2:D$875,A1027,'Base bordo CD'!A$2:A$875,B1027,'Base bordo CD'!L$2:L$875,"MAN CORRETIVA*"),0)+IFERROR(SUMIFS('Base bordo CD'!M$2:M$875,'Base bordo CD'!D$2:D$875,A1027,'Base bordo CD'!A$2:A$875,B1027,'Base bordo CD'!L$2:L$875,"AGUARDANDO MANUTENCAO*"),0)+IFERROR(SUMIFS('Base bordo CD'!M$2:M$875,'Base bordo CD'!D$2:D$875,A1027,'Base bordo CD'!A$2:A$875,B1027,'Base bordo CD'!L$2:L$875,"TROCA DE FAQUINHA"),0)+IFERROR(SUMIFS('Base bordo CD'!M$2:M$875,'Base bordo CD'!D$2:D$875,A1027,'Base bordo CD'!A$2:A$875,B1027,'Base bordo CD'!L$2:L$875,"LIMPEZA*"),0)</f>
        <v>0</v>
      </c>
      <c r="L1027" s="10">
        <f>IFERROR(SUMIFS('Base bordo CD'!M$2:M$875,'Base bordo CD'!D$2:D$875,A1027,'Base bordo CD'!A$2:A$875,B1027,'Base bordo CD'!L$2:L$875,"PATIO - RESERVA"),0)</f>
        <v>0</v>
      </c>
      <c r="M1027" s="10">
        <f>IFERROR(SUMIFS('Base bordo CD'!M$2:M$875,'Base bordo CD'!D$2:D$875,A1027,'Base bordo CD'!A$2:A$875,B1027,'Base bordo CD'!L$2:L$875,"SEM APONTAMENTO"),0)</f>
        <v>0</v>
      </c>
      <c r="N1027" s="10">
        <f>IFERROR(SUMIFS('Base bordo CD'!M$2:M$875,'Base bordo CD'!D$2:D$875,A1027,'Base bordo CD'!A$2:A$875,B1027,'Base bordo CD'!L$2:L$875,"FALTA DE CAMINHÃO"),0)+IFERROR(SUMIFS('Base bordo CD'!M$2:M$875,'Base bordo CD'!D$2:D$875,A1027,'Base bordo CD'!A$2:A$875,B1027,'Base bordo CD'!L$2:L$875,"FALTA DE COMBUSTIVEL"),0)+IFERROR(SUMIFS('Base bordo CD'!M$2:M$875,'Base bordo CD'!D$2:D$875,A1027,'Base bordo CD'!A$2:A$875,B1027,'Base bordo CD'!L$2:L$875,"FALTA DE MOTORIST*"),0)</f>
        <v>0</v>
      </c>
      <c r="O1027" s="10">
        <f t="shared" si="85"/>
        <v>0</v>
      </c>
      <c r="P1027" s="10">
        <f>IFERROR(SUMIFS('Base bordo CD'!M$2:M$875,'Base bordo CD'!D$2:D$875,A1027,'Base bordo CD'!A$2:A$875,B1027),0)</f>
        <v>0</v>
      </c>
      <c r="Q1027" s="10">
        <f>IFERROR(SUMIFS('Base bordo CD'!O$2:O$875,'Base bordo CD'!D$2:D$875,A1027,'Base bordo CD'!A$2:A$875,B1027,'Base bordo CD'!L$2:L$875,"CORTE DE CANA MECANIZADO"),0)</f>
        <v>0</v>
      </c>
      <c r="R1027" s="10">
        <f>IFERROR(SUMIFS('Base bordo CD'!Q$2:Q$875,'Base bordo CD'!D$2:D$875,A1027,'Base bordo CD'!A$2:A$875,B1027,'Base bordo CD'!L$2:L$875,"CORTE DE CANA MECANIZADO"),0)</f>
        <v>0</v>
      </c>
      <c r="S1027" s="30" t="str">
        <f t="shared" si="86"/>
        <v/>
      </c>
      <c r="T1027" s="9">
        <f t="shared" si="87"/>
        <v>0</v>
      </c>
      <c r="U1027" s="9">
        <f t="shared" si="88"/>
        <v>0</v>
      </c>
      <c r="V1027" s="9">
        <f t="shared" si="89"/>
        <v>0</v>
      </c>
    </row>
    <row r="1028" spans="1:22" hidden="1" x14ac:dyDescent="0.35">
      <c r="A1028" s="52">
        <v>49588</v>
      </c>
      <c r="B1028" s="31">
        <v>46117</v>
      </c>
      <c r="C1028" s="7" t="s">
        <v>364</v>
      </c>
      <c r="D1028" s="7">
        <v>352</v>
      </c>
      <c r="E1028" s="10">
        <f>IFERROR(SUMIFS('Base bordo CD'!M$2:M$875,'Base bordo CD'!D$2:D$875,A1028,'Base bordo CD'!A$2:A$875,B1028,'Base bordo CD'!L$2:L$875,"CORTE DE CANA MECANIZADO"),0)</f>
        <v>0</v>
      </c>
      <c r="F1028" s="10">
        <f>IFERROR(SUMIFS('Base bordo CD'!M$2:M$875,'Base bordo CD'!D$2:D$875,A1028,'Base bordo CD'!A$2:A$875,B1028,'Base bordo CD'!L$2:L$875,"MANOBRA"),0)</f>
        <v>0</v>
      </c>
      <c r="G1028" s="10">
        <f>IFERROR(SUMIFS('Base bordo CD'!M$2:M$875,'Base bordo CD'!D$2:D$875,A1028,'Base bordo CD'!A$2:A$875,B1028,'Base bordo CD'!L$2:L$875,"DESLOCAMENTO"),0)</f>
        <v>0</v>
      </c>
      <c r="H1028" s="10">
        <f>IFERROR(SUMIFS('Base bordo CD'!M$2:M$875,'Base bordo CD'!D$2:D$875,A1028,'Base bordo CD'!A$2:A$875,B1028,'Base bordo CD'!L$2:L$875,"AGUARDANDO MANOBRA DE TRANSBORDO"),0)+IFERROR(SUMIFS('Base bordo CD'!M$2:M$875,'Base bordo CD'!D$2:D$875,A1028,'Base bordo CD'!A$2:A$875,B1028,'Base bordo CD'!L$2:L$875,"FALTA DE TRANSBORDO"),0)</f>
        <v>0</v>
      </c>
      <c r="I1028" s="10">
        <f>IFERROR(SUMIFS('Base bordo CD'!M$2:M$875,'Base bordo CD'!D$2:D$875,A1028,'Base bordo CD'!A$2:A$875,B1028,'Base bordo CD'!L$2:L$875,"PARADA POR CONDICOES CLIMATICAS"),0)+IFERROR(SUMIFS('Base bordo CD'!M$2:M$875,'Base bordo CD'!D$2:D$875,A1028,'Base bordo CD'!A$2:A$875,B1028,'Base bordo CD'!L$2:L$875,"TEMPO INDETERMINADO"),0)</f>
        <v>0</v>
      </c>
      <c r="J1028" s="10">
        <f>IFERROR(SUMIFS('Base bordo CD'!M$2:M$875,'Base bordo CD'!D$2:D$875,A1028,'Base bordo CD'!A$2:A$875,B1028,'Base bordo CD'!L$2:L$875,"LIMITAÇÃO INDÚSTRIA"),0)</f>
        <v>0</v>
      </c>
      <c r="K1028" s="10">
        <f>IFERROR(SUMIFS('Base bordo CD'!M$2:M$875,'Base bordo CD'!D$2:D$875,A1028,'Base bordo CD'!A$2:A$875,B1028,'Base bordo CD'!L$2:L$875,"MAN CORRETIVA*"),0)+IFERROR(SUMIFS('Base bordo CD'!M$2:M$875,'Base bordo CD'!D$2:D$875,A1028,'Base bordo CD'!A$2:A$875,B1028,'Base bordo CD'!L$2:L$875,"AGUARDANDO MANUTENCAO*"),0)+IFERROR(SUMIFS('Base bordo CD'!M$2:M$875,'Base bordo CD'!D$2:D$875,A1028,'Base bordo CD'!A$2:A$875,B1028,'Base bordo CD'!L$2:L$875,"TROCA DE FAQUINHA"),0)+IFERROR(SUMIFS('Base bordo CD'!M$2:M$875,'Base bordo CD'!D$2:D$875,A1028,'Base bordo CD'!A$2:A$875,B1028,'Base bordo CD'!L$2:L$875,"LIMPEZA*"),0)</f>
        <v>0</v>
      </c>
      <c r="L1028" s="10">
        <f>IFERROR(SUMIFS('Base bordo CD'!M$2:M$875,'Base bordo CD'!D$2:D$875,A1028,'Base bordo CD'!A$2:A$875,B1028,'Base bordo CD'!L$2:L$875,"PATIO - RESERVA"),0)</f>
        <v>0</v>
      </c>
      <c r="M1028" s="10">
        <f>IFERROR(SUMIFS('Base bordo CD'!M$2:M$875,'Base bordo CD'!D$2:D$875,A1028,'Base bordo CD'!A$2:A$875,B1028,'Base bordo CD'!L$2:L$875,"SEM APONTAMENTO"),0)</f>
        <v>0</v>
      </c>
      <c r="N1028" s="10">
        <f>IFERROR(SUMIFS('Base bordo CD'!M$2:M$875,'Base bordo CD'!D$2:D$875,A1028,'Base bordo CD'!A$2:A$875,B1028,'Base bordo CD'!L$2:L$875,"FALTA DE CAMINHÃO"),0)+IFERROR(SUMIFS('Base bordo CD'!M$2:M$875,'Base bordo CD'!D$2:D$875,A1028,'Base bordo CD'!A$2:A$875,B1028,'Base bordo CD'!L$2:L$875,"FALTA DE COMBUSTIVEL"),0)+IFERROR(SUMIFS('Base bordo CD'!M$2:M$875,'Base bordo CD'!D$2:D$875,A1028,'Base bordo CD'!A$2:A$875,B1028,'Base bordo CD'!L$2:L$875,"FALTA DE MOTORIST*"),0)</f>
        <v>0</v>
      </c>
      <c r="O1028" s="10">
        <f t="shared" si="85"/>
        <v>0</v>
      </c>
      <c r="P1028" s="10">
        <f>IFERROR(SUMIFS('Base bordo CD'!M$2:M$875,'Base bordo CD'!D$2:D$875,A1028,'Base bordo CD'!A$2:A$875,B1028),0)</f>
        <v>0</v>
      </c>
      <c r="Q1028" s="10">
        <f>IFERROR(SUMIFS('Base bordo CD'!O$2:O$875,'Base bordo CD'!D$2:D$875,A1028,'Base bordo CD'!A$2:A$875,B1028,'Base bordo CD'!L$2:L$875,"CORTE DE CANA MECANIZADO"),0)</f>
        <v>0</v>
      </c>
      <c r="R1028" s="10">
        <f>IFERROR(SUMIFS('Base bordo CD'!Q$2:Q$875,'Base bordo CD'!D$2:D$875,A1028,'Base bordo CD'!A$2:A$875,B1028,'Base bordo CD'!L$2:L$875,"CORTE DE CANA MECANIZADO"),0)</f>
        <v>0</v>
      </c>
      <c r="S1028" s="30" t="str">
        <f t="shared" si="86"/>
        <v/>
      </c>
      <c r="T1028" s="9">
        <f t="shared" si="87"/>
        <v>0</v>
      </c>
      <c r="U1028" s="9">
        <f t="shared" si="88"/>
        <v>0</v>
      </c>
      <c r="V1028" s="9">
        <f t="shared" si="89"/>
        <v>0</v>
      </c>
    </row>
    <row r="1029" spans="1:22" hidden="1" x14ac:dyDescent="0.35">
      <c r="A1029" s="52">
        <v>49588</v>
      </c>
      <c r="B1029" s="31">
        <v>46117</v>
      </c>
      <c r="C1029" s="7" t="s">
        <v>364</v>
      </c>
      <c r="D1029" s="7">
        <v>352</v>
      </c>
      <c r="E1029" s="10">
        <f>IFERROR(SUMIFS('Base bordo CD'!M$2:M$875,'Base bordo CD'!D$2:D$875,A1029,'Base bordo CD'!A$2:A$875,B1029,'Base bordo CD'!L$2:L$875,"CORTE DE CANA MECANIZADO"),0)</f>
        <v>0</v>
      </c>
      <c r="F1029" s="10">
        <f>IFERROR(SUMIFS('Base bordo CD'!M$2:M$875,'Base bordo CD'!D$2:D$875,A1029,'Base bordo CD'!A$2:A$875,B1029,'Base bordo CD'!L$2:L$875,"MANOBRA"),0)</f>
        <v>0</v>
      </c>
      <c r="G1029" s="10">
        <f>IFERROR(SUMIFS('Base bordo CD'!M$2:M$875,'Base bordo CD'!D$2:D$875,A1029,'Base bordo CD'!A$2:A$875,B1029,'Base bordo CD'!L$2:L$875,"DESLOCAMENTO"),0)</f>
        <v>0</v>
      </c>
      <c r="H1029" s="10">
        <f>IFERROR(SUMIFS('Base bordo CD'!M$2:M$875,'Base bordo CD'!D$2:D$875,A1029,'Base bordo CD'!A$2:A$875,B1029,'Base bordo CD'!L$2:L$875,"AGUARDANDO MANOBRA DE TRANSBORDO"),0)+IFERROR(SUMIFS('Base bordo CD'!M$2:M$875,'Base bordo CD'!D$2:D$875,A1029,'Base bordo CD'!A$2:A$875,B1029,'Base bordo CD'!L$2:L$875,"FALTA DE TRANSBORDO"),0)</f>
        <v>0</v>
      </c>
      <c r="I1029" s="10">
        <f>IFERROR(SUMIFS('Base bordo CD'!M$2:M$875,'Base bordo CD'!D$2:D$875,A1029,'Base bordo CD'!A$2:A$875,B1029,'Base bordo CD'!L$2:L$875,"PARADA POR CONDICOES CLIMATICAS"),0)+IFERROR(SUMIFS('Base bordo CD'!M$2:M$875,'Base bordo CD'!D$2:D$875,A1029,'Base bordo CD'!A$2:A$875,B1029,'Base bordo CD'!L$2:L$875,"TEMPO INDETERMINADO"),0)</f>
        <v>0</v>
      </c>
      <c r="J1029" s="10">
        <f>IFERROR(SUMIFS('Base bordo CD'!M$2:M$875,'Base bordo CD'!D$2:D$875,A1029,'Base bordo CD'!A$2:A$875,B1029,'Base bordo CD'!L$2:L$875,"LIMITAÇÃO INDÚSTRIA"),0)</f>
        <v>0</v>
      </c>
      <c r="K1029" s="10">
        <f>IFERROR(SUMIFS('Base bordo CD'!M$2:M$875,'Base bordo CD'!D$2:D$875,A1029,'Base bordo CD'!A$2:A$875,B1029,'Base bordo CD'!L$2:L$875,"MAN CORRETIVA*"),0)+IFERROR(SUMIFS('Base bordo CD'!M$2:M$875,'Base bordo CD'!D$2:D$875,A1029,'Base bordo CD'!A$2:A$875,B1029,'Base bordo CD'!L$2:L$875,"AGUARDANDO MANUTENCAO*"),0)+IFERROR(SUMIFS('Base bordo CD'!M$2:M$875,'Base bordo CD'!D$2:D$875,A1029,'Base bordo CD'!A$2:A$875,B1029,'Base bordo CD'!L$2:L$875,"TROCA DE FAQUINHA"),0)+IFERROR(SUMIFS('Base bordo CD'!M$2:M$875,'Base bordo CD'!D$2:D$875,A1029,'Base bordo CD'!A$2:A$875,B1029,'Base bordo CD'!L$2:L$875,"LIMPEZA*"),0)</f>
        <v>0</v>
      </c>
      <c r="L1029" s="10">
        <f>IFERROR(SUMIFS('Base bordo CD'!M$2:M$875,'Base bordo CD'!D$2:D$875,A1029,'Base bordo CD'!A$2:A$875,B1029,'Base bordo CD'!L$2:L$875,"PATIO - RESERVA"),0)</f>
        <v>0</v>
      </c>
      <c r="M1029" s="10">
        <f>IFERROR(SUMIFS('Base bordo CD'!M$2:M$875,'Base bordo CD'!D$2:D$875,A1029,'Base bordo CD'!A$2:A$875,B1029,'Base bordo CD'!L$2:L$875,"SEM APONTAMENTO"),0)</f>
        <v>0</v>
      </c>
      <c r="N1029" s="10">
        <f>IFERROR(SUMIFS('Base bordo CD'!M$2:M$875,'Base bordo CD'!D$2:D$875,A1029,'Base bordo CD'!A$2:A$875,B1029,'Base bordo CD'!L$2:L$875,"FALTA DE CAMINHÃO"),0)+IFERROR(SUMIFS('Base bordo CD'!M$2:M$875,'Base bordo CD'!D$2:D$875,A1029,'Base bordo CD'!A$2:A$875,B1029,'Base bordo CD'!L$2:L$875,"FALTA DE COMBUSTIVEL"),0)+IFERROR(SUMIFS('Base bordo CD'!M$2:M$875,'Base bordo CD'!D$2:D$875,A1029,'Base bordo CD'!A$2:A$875,B1029,'Base bordo CD'!L$2:L$875,"FALTA DE MOTORIST*"),0)</f>
        <v>0</v>
      </c>
      <c r="O1029" s="10">
        <f t="shared" si="85"/>
        <v>0</v>
      </c>
      <c r="P1029" s="10">
        <f>IFERROR(SUMIFS('Base bordo CD'!M$2:M$875,'Base bordo CD'!D$2:D$875,A1029,'Base bordo CD'!A$2:A$875,B1029),0)</f>
        <v>0</v>
      </c>
      <c r="Q1029" s="10">
        <f>IFERROR(SUMIFS('Base bordo CD'!O$2:O$875,'Base bordo CD'!D$2:D$875,A1029,'Base bordo CD'!A$2:A$875,B1029,'Base bordo CD'!L$2:L$875,"CORTE DE CANA MECANIZADO"),0)</f>
        <v>0</v>
      </c>
      <c r="R1029" s="10">
        <f>IFERROR(SUMIFS('Base bordo CD'!Q$2:Q$875,'Base bordo CD'!D$2:D$875,A1029,'Base bordo CD'!A$2:A$875,B1029,'Base bordo CD'!L$2:L$875,"CORTE DE CANA MECANIZADO"),0)</f>
        <v>0</v>
      </c>
      <c r="S1029" s="30" t="str">
        <f t="shared" si="86"/>
        <v/>
      </c>
      <c r="T1029" s="9">
        <f t="shared" si="87"/>
        <v>0</v>
      </c>
      <c r="U1029" s="9">
        <f t="shared" si="88"/>
        <v>0</v>
      </c>
      <c r="V1029" s="9">
        <f t="shared" si="89"/>
        <v>0</v>
      </c>
    </row>
    <row r="1030" spans="1:22" hidden="1" x14ac:dyDescent="0.35">
      <c r="A1030" s="52">
        <v>49588</v>
      </c>
      <c r="B1030" s="31">
        <v>46117</v>
      </c>
      <c r="C1030" s="7" t="s">
        <v>364</v>
      </c>
      <c r="D1030" s="7">
        <v>352</v>
      </c>
      <c r="E1030" s="10">
        <f>IFERROR(SUMIFS('Base bordo CD'!M$2:M$875,'Base bordo CD'!D$2:D$875,A1030,'Base bordo CD'!A$2:A$875,B1030,'Base bordo CD'!L$2:L$875,"CORTE DE CANA MECANIZADO"),0)</f>
        <v>0</v>
      </c>
      <c r="F1030" s="10">
        <f>IFERROR(SUMIFS('Base bordo CD'!M$2:M$875,'Base bordo CD'!D$2:D$875,A1030,'Base bordo CD'!A$2:A$875,B1030,'Base bordo CD'!L$2:L$875,"MANOBRA"),0)</f>
        <v>0</v>
      </c>
      <c r="G1030" s="10">
        <f>IFERROR(SUMIFS('Base bordo CD'!M$2:M$875,'Base bordo CD'!D$2:D$875,A1030,'Base bordo CD'!A$2:A$875,B1030,'Base bordo CD'!L$2:L$875,"DESLOCAMENTO"),0)</f>
        <v>0</v>
      </c>
      <c r="H1030" s="10">
        <f>IFERROR(SUMIFS('Base bordo CD'!M$2:M$875,'Base bordo CD'!D$2:D$875,A1030,'Base bordo CD'!A$2:A$875,B1030,'Base bordo CD'!L$2:L$875,"AGUARDANDO MANOBRA DE TRANSBORDO"),0)+IFERROR(SUMIFS('Base bordo CD'!M$2:M$875,'Base bordo CD'!D$2:D$875,A1030,'Base bordo CD'!A$2:A$875,B1030,'Base bordo CD'!L$2:L$875,"FALTA DE TRANSBORDO"),0)</f>
        <v>0</v>
      </c>
      <c r="I1030" s="10">
        <f>IFERROR(SUMIFS('Base bordo CD'!M$2:M$875,'Base bordo CD'!D$2:D$875,A1030,'Base bordo CD'!A$2:A$875,B1030,'Base bordo CD'!L$2:L$875,"PARADA POR CONDICOES CLIMATICAS"),0)+IFERROR(SUMIFS('Base bordo CD'!M$2:M$875,'Base bordo CD'!D$2:D$875,A1030,'Base bordo CD'!A$2:A$875,B1030,'Base bordo CD'!L$2:L$875,"TEMPO INDETERMINADO"),0)</f>
        <v>0</v>
      </c>
      <c r="J1030" s="10">
        <f>IFERROR(SUMIFS('Base bordo CD'!M$2:M$875,'Base bordo CD'!D$2:D$875,A1030,'Base bordo CD'!A$2:A$875,B1030,'Base bordo CD'!L$2:L$875,"LIMITAÇÃO INDÚSTRIA"),0)</f>
        <v>0</v>
      </c>
      <c r="K1030" s="10">
        <f>IFERROR(SUMIFS('Base bordo CD'!M$2:M$875,'Base bordo CD'!D$2:D$875,A1030,'Base bordo CD'!A$2:A$875,B1030,'Base bordo CD'!L$2:L$875,"MAN CORRETIVA*"),0)+IFERROR(SUMIFS('Base bordo CD'!M$2:M$875,'Base bordo CD'!D$2:D$875,A1030,'Base bordo CD'!A$2:A$875,B1030,'Base bordo CD'!L$2:L$875,"AGUARDANDO MANUTENCAO*"),0)+IFERROR(SUMIFS('Base bordo CD'!M$2:M$875,'Base bordo CD'!D$2:D$875,A1030,'Base bordo CD'!A$2:A$875,B1030,'Base bordo CD'!L$2:L$875,"TROCA DE FAQUINHA"),0)+IFERROR(SUMIFS('Base bordo CD'!M$2:M$875,'Base bordo CD'!D$2:D$875,A1030,'Base bordo CD'!A$2:A$875,B1030,'Base bordo CD'!L$2:L$875,"LIMPEZA*"),0)</f>
        <v>0</v>
      </c>
      <c r="L1030" s="10">
        <f>IFERROR(SUMIFS('Base bordo CD'!M$2:M$875,'Base bordo CD'!D$2:D$875,A1030,'Base bordo CD'!A$2:A$875,B1030,'Base bordo CD'!L$2:L$875,"PATIO - RESERVA"),0)</f>
        <v>0</v>
      </c>
      <c r="M1030" s="10">
        <f>IFERROR(SUMIFS('Base bordo CD'!M$2:M$875,'Base bordo CD'!D$2:D$875,A1030,'Base bordo CD'!A$2:A$875,B1030,'Base bordo CD'!L$2:L$875,"SEM APONTAMENTO"),0)</f>
        <v>0</v>
      </c>
      <c r="N1030" s="10">
        <f>IFERROR(SUMIFS('Base bordo CD'!M$2:M$875,'Base bordo CD'!D$2:D$875,A1030,'Base bordo CD'!A$2:A$875,B1030,'Base bordo CD'!L$2:L$875,"FALTA DE CAMINHÃO"),0)+IFERROR(SUMIFS('Base bordo CD'!M$2:M$875,'Base bordo CD'!D$2:D$875,A1030,'Base bordo CD'!A$2:A$875,B1030,'Base bordo CD'!L$2:L$875,"FALTA DE COMBUSTIVEL"),0)+IFERROR(SUMIFS('Base bordo CD'!M$2:M$875,'Base bordo CD'!D$2:D$875,A1030,'Base bordo CD'!A$2:A$875,B1030,'Base bordo CD'!L$2:L$875,"FALTA DE MOTORIST*"),0)</f>
        <v>0</v>
      </c>
      <c r="O1030" s="10">
        <f t="shared" si="85"/>
        <v>0</v>
      </c>
      <c r="P1030" s="10">
        <f>IFERROR(SUMIFS('Base bordo CD'!M$2:M$875,'Base bordo CD'!D$2:D$875,A1030,'Base bordo CD'!A$2:A$875,B1030),0)</f>
        <v>0</v>
      </c>
      <c r="Q1030" s="10">
        <f>IFERROR(SUMIFS('Base bordo CD'!O$2:O$875,'Base bordo CD'!D$2:D$875,A1030,'Base bordo CD'!A$2:A$875,B1030,'Base bordo CD'!L$2:L$875,"CORTE DE CANA MECANIZADO"),0)</f>
        <v>0</v>
      </c>
      <c r="R1030" s="10">
        <f>IFERROR(SUMIFS('Base bordo CD'!Q$2:Q$875,'Base bordo CD'!D$2:D$875,A1030,'Base bordo CD'!A$2:A$875,B1030,'Base bordo CD'!L$2:L$875,"CORTE DE CANA MECANIZADO"),0)</f>
        <v>0</v>
      </c>
      <c r="S1030" s="30" t="str">
        <f t="shared" si="86"/>
        <v/>
      </c>
      <c r="T1030" s="9">
        <f t="shared" si="87"/>
        <v>0</v>
      </c>
      <c r="U1030" s="9">
        <f t="shared" si="88"/>
        <v>0</v>
      </c>
      <c r="V1030" s="9">
        <f t="shared" si="89"/>
        <v>0</v>
      </c>
    </row>
    <row r="1031" spans="1:22" hidden="1" x14ac:dyDescent="0.35">
      <c r="A1031" s="52">
        <v>49588</v>
      </c>
      <c r="B1031" s="31">
        <v>46117</v>
      </c>
      <c r="C1031" s="7" t="s">
        <v>364</v>
      </c>
      <c r="D1031" s="7">
        <v>352</v>
      </c>
      <c r="E1031" s="10">
        <f>IFERROR(SUMIFS('Base bordo CD'!M$2:M$875,'Base bordo CD'!D$2:D$875,A1031,'Base bordo CD'!A$2:A$875,B1031,'Base bordo CD'!L$2:L$875,"CORTE DE CANA MECANIZADO"),0)</f>
        <v>0</v>
      </c>
      <c r="F1031" s="10">
        <f>IFERROR(SUMIFS('Base bordo CD'!M$2:M$875,'Base bordo CD'!D$2:D$875,A1031,'Base bordo CD'!A$2:A$875,B1031,'Base bordo CD'!L$2:L$875,"MANOBRA"),0)</f>
        <v>0</v>
      </c>
      <c r="G1031" s="10">
        <f>IFERROR(SUMIFS('Base bordo CD'!M$2:M$875,'Base bordo CD'!D$2:D$875,A1031,'Base bordo CD'!A$2:A$875,B1031,'Base bordo CD'!L$2:L$875,"DESLOCAMENTO"),0)</f>
        <v>0</v>
      </c>
      <c r="H1031" s="10">
        <f>IFERROR(SUMIFS('Base bordo CD'!M$2:M$875,'Base bordo CD'!D$2:D$875,A1031,'Base bordo CD'!A$2:A$875,B1031,'Base bordo CD'!L$2:L$875,"AGUARDANDO MANOBRA DE TRANSBORDO"),0)+IFERROR(SUMIFS('Base bordo CD'!M$2:M$875,'Base bordo CD'!D$2:D$875,A1031,'Base bordo CD'!A$2:A$875,B1031,'Base bordo CD'!L$2:L$875,"FALTA DE TRANSBORDO"),0)</f>
        <v>0</v>
      </c>
      <c r="I1031" s="10">
        <f>IFERROR(SUMIFS('Base bordo CD'!M$2:M$875,'Base bordo CD'!D$2:D$875,A1031,'Base bordo CD'!A$2:A$875,B1031,'Base bordo CD'!L$2:L$875,"PARADA POR CONDICOES CLIMATICAS"),0)+IFERROR(SUMIFS('Base bordo CD'!M$2:M$875,'Base bordo CD'!D$2:D$875,A1031,'Base bordo CD'!A$2:A$875,B1031,'Base bordo CD'!L$2:L$875,"TEMPO INDETERMINADO"),0)</f>
        <v>0</v>
      </c>
      <c r="J1031" s="10">
        <f>IFERROR(SUMIFS('Base bordo CD'!M$2:M$875,'Base bordo CD'!D$2:D$875,A1031,'Base bordo CD'!A$2:A$875,B1031,'Base bordo CD'!L$2:L$875,"LIMITAÇÃO INDÚSTRIA"),0)</f>
        <v>0</v>
      </c>
      <c r="K1031" s="10">
        <f>IFERROR(SUMIFS('Base bordo CD'!M$2:M$875,'Base bordo CD'!D$2:D$875,A1031,'Base bordo CD'!A$2:A$875,B1031,'Base bordo CD'!L$2:L$875,"MAN CORRETIVA*"),0)+IFERROR(SUMIFS('Base bordo CD'!M$2:M$875,'Base bordo CD'!D$2:D$875,A1031,'Base bordo CD'!A$2:A$875,B1031,'Base bordo CD'!L$2:L$875,"AGUARDANDO MANUTENCAO*"),0)+IFERROR(SUMIFS('Base bordo CD'!M$2:M$875,'Base bordo CD'!D$2:D$875,A1031,'Base bordo CD'!A$2:A$875,B1031,'Base bordo CD'!L$2:L$875,"TROCA DE FAQUINHA"),0)+IFERROR(SUMIFS('Base bordo CD'!M$2:M$875,'Base bordo CD'!D$2:D$875,A1031,'Base bordo CD'!A$2:A$875,B1031,'Base bordo CD'!L$2:L$875,"LIMPEZA*"),0)</f>
        <v>0</v>
      </c>
      <c r="L1031" s="10">
        <f>IFERROR(SUMIFS('Base bordo CD'!M$2:M$875,'Base bordo CD'!D$2:D$875,A1031,'Base bordo CD'!A$2:A$875,B1031,'Base bordo CD'!L$2:L$875,"PATIO - RESERVA"),0)</f>
        <v>0</v>
      </c>
      <c r="M1031" s="10">
        <f>IFERROR(SUMIFS('Base bordo CD'!M$2:M$875,'Base bordo CD'!D$2:D$875,A1031,'Base bordo CD'!A$2:A$875,B1031,'Base bordo CD'!L$2:L$875,"SEM APONTAMENTO"),0)</f>
        <v>0</v>
      </c>
      <c r="N1031" s="10">
        <f>IFERROR(SUMIFS('Base bordo CD'!M$2:M$875,'Base bordo CD'!D$2:D$875,A1031,'Base bordo CD'!A$2:A$875,B1031,'Base bordo CD'!L$2:L$875,"FALTA DE CAMINHÃO"),0)+IFERROR(SUMIFS('Base bordo CD'!M$2:M$875,'Base bordo CD'!D$2:D$875,A1031,'Base bordo CD'!A$2:A$875,B1031,'Base bordo CD'!L$2:L$875,"FALTA DE COMBUSTIVEL"),0)+IFERROR(SUMIFS('Base bordo CD'!M$2:M$875,'Base bordo CD'!D$2:D$875,A1031,'Base bordo CD'!A$2:A$875,B1031,'Base bordo CD'!L$2:L$875,"FALTA DE MOTORIST*"),0)</f>
        <v>0</v>
      </c>
      <c r="O1031" s="10">
        <f t="shared" si="85"/>
        <v>0</v>
      </c>
      <c r="P1031" s="10">
        <f>IFERROR(SUMIFS('Base bordo CD'!M$2:M$875,'Base bordo CD'!D$2:D$875,A1031,'Base bordo CD'!A$2:A$875,B1031),0)</f>
        <v>0</v>
      </c>
      <c r="Q1031" s="10">
        <f>IFERROR(SUMIFS('Base bordo CD'!O$2:O$875,'Base bordo CD'!D$2:D$875,A1031,'Base bordo CD'!A$2:A$875,B1031,'Base bordo CD'!L$2:L$875,"CORTE DE CANA MECANIZADO"),0)</f>
        <v>0</v>
      </c>
      <c r="R1031" s="10">
        <f>IFERROR(SUMIFS('Base bordo CD'!Q$2:Q$875,'Base bordo CD'!D$2:D$875,A1031,'Base bordo CD'!A$2:A$875,B1031,'Base bordo CD'!L$2:L$875,"CORTE DE CANA MECANIZADO"),0)</f>
        <v>0</v>
      </c>
      <c r="S1031" s="30" t="str">
        <f t="shared" si="86"/>
        <v/>
      </c>
      <c r="T1031" s="9">
        <f t="shared" si="87"/>
        <v>0</v>
      </c>
      <c r="U1031" s="9">
        <f t="shared" si="88"/>
        <v>0</v>
      </c>
      <c r="V1031" s="9">
        <f t="shared" si="89"/>
        <v>0</v>
      </c>
    </row>
    <row r="1032" spans="1:22" hidden="1" x14ac:dyDescent="0.35">
      <c r="A1032" s="52">
        <v>49588</v>
      </c>
      <c r="B1032" s="31">
        <v>46117</v>
      </c>
      <c r="C1032" s="7" t="s">
        <v>364</v>
      </c>
      <c r="D1032" s="7">
        <v>352</v>
      </c>
      <c r="E1032" s="10">
        <f>IFERROR(SUMIFS('Base bordo CD'!M$2:M$875,'Base bordo CD'!D$2:D$875,A1032,'Base bordo CD'!A$2:A$875,B1032,'Base bordo CD'!L$2:L$875,"CORTE DE CANA MECANIZADO"),0)</f>
        <v>0</v>
      </c>
      <c r="F1032" s="10">
        <f>IFERROR(SUMIFS('Base bordo CD'!M$2:M$875,'Base bordo CD'!D$2:D$875,A1032,'Base bordo CD'!A$2:A$875,B1032,'Base bordo CD'!L$2:L$875,"MANOBRA"),0)</f>
        <v>0</v>
      </c>
      <c r="G1032" s="10">
        <f>IFERROR(SUMIFS('Base bordo CD'!M$2:M$875,'Base bordo CD'!D$2:D$875,A1032,'Base bordo CD'!A$2:A$875,B1032,'Base bordo CD'!L$2:L$875,"DESLOCAMENTO"),0)</f>
        <v>0</v>
      </c>
      <c r="H1032" s="10">
        <f>IFERROR(SUMIFS('Base bordo CD'!M$2:M$875,'Base bordo CD'!D$2:D$875,A1032,'Base bordo CD'!A$2:A$875,B1032,'Base bordo CD'!L$2:L$875,"AGUARDANDO MANOBRA DE TRANSBORDO"),0)+IFERROR(SUMIFS('Base bordo CD'!M$2:M$875,'Base bordo CD'!D$2:D$875,A1032,'Base bordo CD'!A$2:A$875,B1032,'Base bordo CD'!L$2:L$875,"FALTA DE TRANSBORDO"),0)</f>
        <v>0</v>
      </c>
      <c r="I1032" s="10">
        <f>IFERROR(SUMIFS('Base bordo CD'!M$2:M$875,'Base bordo CD'!D$2:D$875,A1032,'Base bordo CD'!A$2:A$875,B1032,'Base bordo CD'!L$2:L$875,"PARADA POR CONDICOES CLIMATICAS"),0)+IFERROR(SUMIFS('Base bordo CD'!M$2:M$875,'Base bordo CD'!D$2:D$875,A1032,'Base bordo CD'!A$2:A$875,B1032,'Base bordo CD'!L$2:L$875,"TEMPO INDETERMINADO"),0)</f>
        <v>0</v>
      </c>
      <c r="J1032" s="10">
        <f>IFERROR(SUMIFS('Base bordo CD'!M$2:M$875,'Base bordo CD'!D$2:D$875,A1032,'Base bordo CD'!A$2:A$875,B1032,'Base bordo CD'!L$2:L$875,"LIMITAÇÃO INDÚSTRIA"),0)</f>
        <v>0</v>
      </c>
      <c r="K1032" s="10">
        <f>IFERROR(SUMIFS('Base bordo CD'!M$2:M$875,'Base bordo CD'!D$2:D$875,A1032,'Base bordo CD'!A$2:A$875,B1032,'Base bordo CD'!L$2:L$875,"MAN CORRETIVA*"),0)+IFERROR(SUMIFS('Base bordo CD'!M$2:M$875,'Base bordo CD'!D$2:D$875,A1032,'Base bordo CD'!A$2:A$875,B1032,'Base bordo CD'!L$2:L$875,"AGUARDANDO MANUTENCAO*"),0)+IFERROR(SUMIFS('Base bordo CD'!M$2:M$875,'Base bordo CD'!D$2:D$875,A1032,'Base bordo CD'!A$2:A$875,B1032,'Base bordo CD'!L$2:L$875,"TROCA DE FAQUINHA"),0)+IFERROR(SUMIFS('Base bordo CD'!M$2:M$875,'Base bordo CD'!D$2:D$875,A1032,'Base bordo CD'!A$2:A$875,B1032,'Base bordo CD'!L$2:L$875,"LIMPEZA*"),0)</f>
        <v>0</v>
      </c>
      <c r="L1032" s="10">
        <f>IFERROR(SUMIFS('Base bordo CD'!M$2:M$875,'Base bordo CD'!D$2:D$875,A1032,'Base bordo CD'!A$2:A$875,B1032,'Base bordo CD'!L$2:L$875,"PATIO - RESERVA"),0)</f>
        <v>0</v>
      </c>
      <c r="M1032" s="10">
        <f>IFERROR(SUMIFS('Base bordo CD'!M$2:M$875,'Base bordo CD'!D$2:D$875,A1032,'Base bordo CD'!A$2:A$875,B1032,'Base bordo CD'!L$2:L$875,"SEM APONTAMENTO"),0)</f>
        <v>0</v>
      </c>
      <c r="N1032" s="10">
        <f>IFERROR(SUMIFS('Base bordo CD'!M$2:M$875,'Base bordo CD'!D$2:D$875,A1032,'Base bordo CD'!A$2:A$875,B1032,'Base bordo CD'!L$2:L$875,"FALTA DE CAMINHÃO"),0)+IFERROR(SUMIFS('Base bordo CD'!M$2:M$875,'Base bordo CD'!D$2:D$875,A1032,'Base bordo CD'!A$2:A$875,B1032,'Base bordo CD'!L$2:L$875,"FALTA DE COMBUSTIVEL"),0)+IFERROR(SUMIFS('Base bordo CD'!M$2:M$875,'Base bordo CD'!D$2:D$875,A1032,'Base bordo CD'!A$2:A$875,B1032,'Base bordo CD'!L$2:L$875,"FALTA DE MOTORIST*"),0)</f>
        <v>0</v>
      </c>
      <c r="O1032" s="10">
        <f t="shared" si="85"/>
        <v>0</v>
      </c>
      <c r="P1032" s="10">
        <f>IFERROR(SUMIFS('Base bordo CD'!M$2:M$875,'Base bordo CD'!D$2:D$875,A1032,'Base bordo CD'!A$2:A$875,B1032),0)</f>
        <v>0</v>
      </c>
      <c r="Q1032" s="10">
        <f>IFERROR(SUMIFS('Base bordo CD'!O$2:O$875,'Base bordo CD'!D$2:D$875,A1032,'Base bordo CD'!A$2:A$875,B1032,'Base bordo CD'!L$2:L$875,"CORTE DE CANA MECANIZADO"),0)</f>
        <v>0</v>
      </c>
      <c r="R1032" s="10">
        <f>IFERROR(SUMIFS('Base bordo CD'!Q$2:Q$875,'Base bordo CD'!D$2:D$875,A1032,'Base bordo CD'!A$2:A$875,B1032,'Base bordo CD'!L$2:L$875,"CORTE DE CANA MECANIZADO"),0)</f>
        <v>0</v>
      </c>
      <c r="S1032" s="30" t="str">
        <f t="shared" si="86"/>
        <v/>
      </c>
      <c r="T1032" s="9">
        <f t="shared" si="87"/>
        <v>0</v>
      </c>
      <c r="U1032" s="9">
        <f t="shared" si="88"/>
        <v>0</v>
      </c>
      <c r="V1032" s="9">
        <f t="shared" si="89"/>
        <v>0</v>
      </c>
    </row>
    <row r="1033" spans="1:22" hidden="1" x14ac:dyDescent="0.35">
      <c r="A1033" s="52">
        <v>49588</v>
      </c>
      <c r="B1033" s="31">
        <v>46117</v>
      </c>
      <c r="C1033" s="7" t="s">
        <v>364</v>
      </c>
      <c r="D1033" s="7">
        <v>352</v>
      </c>
      <c r="E1033" s="10">
        <f>IFERROR(SUMIFS('Base bordo CD'!M$2:M$875,'Base bordo CD'!D$2:D$875,A1033,'Base bordo CD'!A$2:A$875,B1033,'Base bordo CD'!L$2:L$875,"CORTE DE CANA MECANIZADO"),0)</f>
        <v>0</v>
      </c>
      <c r="F1033" s="10">
        <f>IFERROR(SUMIFS('Base bordo CD'!M$2:M$875,'Base bordo CD'!D$2:D$875,A1033,'Base bordo CD'!A$2:A$875,B1033,'Base bordo CD'!L$2:L$875,"MANOBRA"),0)</f>
        <v>0</v>
      </c>
      <c r="G1033" s="10">
        <f>IFERROR(SUMIFS('Base bordo CD'!M$2:M$875,'Base bordo CD'!D$2:D$875,A1033,'Base bordo CD'!A$2:A$875,B1033,'Base bordo CD'!L$2:L$875,"DESLOCAMENTO"),0)</f>
        <v>0</v>
      </c>
      <c r="H1033" s="10">
        <f>IFERROR(SUMIFS('Base bordo CD'!M$2:M$875,'Base bordo CD'!D$2:D$875,A1033,'Base bordo CD'!A$2:A$875,B1033,'Base bordo CD'!L$2:L$875,"AGUARDANDO MANOBRA DE TRANSBORDO"),0)+IFERROR(SUMIFS('Base bordo CD'!M$2:M$875,'Base bordo CD'!D$2:D$875,A1033,'Base bordo CD'!A$2:A$875,B1033,'Base bordo CD'!L$2:L$875,"FALTA DE TRANSBORDO"),0)</f>
        <v>0</v>
      </c>
      <c r="I1033" s="10">
        <f>IFERROR(SUMIFS('Base bordo CD'!M$2:M$875,'Base bordo CD'!D$2:D$875,A1033,'Base bordo CD'!A$2:A$875,B1033,'Base bordo CD'!L$2:L$875,"PARADA POR CONDICOES CLIMATICAS"),0)+IFERROR(SUMIFS('Base bordo CD'!M$2:M$875,'Base bordo CD'!D$2:D$875,A1033,'Base bordo CD'!A$2:A$875,B1033,'Base bordo CD'!L$2:L$875,"TEMPO INDETERMINADO"),0)</f>
        <v>0</v>
      </c>
      <c r="J1033" s="10">
        <f>IFERROR(SUMIFS('Base bordo CD'!M$2:M$875,'Base bordo CD'!D$2:D$875,A1033,'Base bordo CD'!A$2:A$875,B1033,'Base bordo CD'!L$2:L$875,"LIMITAÇÃO INDÚSTRIA"),0)</f>
        <v>0</v>
      </c>
      <c r="K1033" s="10">
        <f>IFERROR(SUMIFS('Base bordo CD'!M$2:M$875,'Base bordo CD'!D$2:D$875,A1033,'Base bordo CD'!A$2:A$875,B1033,'Base bordo CD'!L$2:L$875,"MAN CORRETIVA*"),0)+IFERROR(SUMIFS('Base bordo CD'!M$2:M$875,'Base bordo CD'!D$2:D$875,A1033,'Base bordo CD'!A$2:A$875,B1033,'Base bordo CD'!L$2:L$875,"AGUARDANDO MANUTENCAO*"),0)+IFERROR(SUMIFS('Base bordo CD'!M$2:M$875,'Base bordo CD'!D$2:D$875,A1033,'Base bordo CD'!A$2:A$875,B1033,'Base bordo CD'!L$2:L$875,"TROCA DE FAQUINHA"),0)+IFERROR(SUMIFS('Base bordo CD'!M$2:M$875,'Base bordo CD'!D$2:D$875,A1033,'Base bordo CD'!A$2:A$875,B1033,'Base bordo CD'!L$2:L$875,"LIMPEZA*"),0)</f>
        <v>0</v>
      </c>
      <c r="L1033" s="10">
        <f>IFERROR(SUMIFS('Base bordo CD'!M$2:M$875,'Base bordo CD'!D$2:D$875,A1033,'Base bordo CD'!A$2:A$875,B1033,'Base bordo CD'!L$2:L$875,"PATIO - RESERVA"),0)</f>
        <v>0</v>
      </c>
      <c r="M1033" s="10">
        <f>IFERROR(SUMIFS('Base bordo CD'!M$2:M$875,'Base bordo CD'!D$2:D$875,A1033,'Base bordo CD'!A$2:A$875,B1033,'Base bordo CD'!L$2:L$875,"SEM APONTAMENTO"),0)</f>
        <v>0</v>
      </c>
      <c r="N1033" s="10">
        <f>IFERROR(SUMIFS('Base bordo CD'!M$2:M$875,'Base bordo CD'!D$2:D$875,A1033,'Base bordo CD'!A$2:A$875,B1033,'Base bordo CD'!L$2:L$875,"FALTA DE CAMINHÃO"),0)+IFERROR(SUMIFS('Base bordo CD'!M$2:M$875,'Base bordo CD'!D$2:D$875,A1033,'Base bordo CD'!A$2:A$875,B1033,'Base bordo CD'!L$2:L$875,"FALTA DE COMBUSTIVEL"),0)+IFERROR(SUMIFS('Base bordo CD'!M$2:M$875,'Base bordo CD'!D$2:D$875,A1033,'Base bordo CD'!A$2:A$875,B1033,'Base bordo CD'!L$2:L$875,"FALTA DE MOTORIST*"),0)</f>
        <v>0</v>
      </c>
      <c r="O1033" s="10">
        <f t="shared" si="85"/>
        <v>0</v>
      </c>
      <c r="P1033" s="10">
        <f>IFERROR(SUMIFS('Base bordo CD'!M$2:M$875,'Base bordo CD'!D$2:D$875,A1033,'Base bordo CD'!A$2:A$875,B1033),0)</f>
        <v>0</v>
      </c>
      <c r="Q1033" s="10">
        <f>IFERROR(SUMIFS('Base bordo CD'!O$2:O$875,'Base bordo CD'!D$2:D$875,A1033,'Base bordo CD'!A$2:A$875,B1033,'Base bordo CD'!L$2:L$875,"CORTE DE CANA MECANIZADO"),0)</f>
        <v>0</v>
      </c>
      <c r="R1033" s="10">
        <f>IFERROR(SUMIFS('Base bordo CD'!Q$2:Q$875,'Base bordo CD'!D$2:D$875,A1033,'Base bordo CD'!A$2:A$875,B1033,'Base bordo CD'!L$2:L$875,"CORTE DE CANA MECANIZADO"),0)</f>
        <v>0</v>
      </c>
      <c r="S1033" s="30" t="str">
        <f t="shared" si="86"/>
        <v/>
      </c>
      <c r="T1033" s="9">
        <f t="shared" si="87"/>
        <v>0</v>
      </c>
      <c r="U1033" s="9">
        <f t="shared" si="88"/>
        <v>0</v>
      </c>
      <c r="V1033" s="9">
        <f t="shared" si="89"/>
        <v>0</v>
      </c>
    </row>
    <row r="1034" spans="1:22" hidden="1" x14ac:dyDescent="0.35">
      <c r="A1034" s="52">
        <v>49588</v>
      </c>
      <c r="B1034" s="31">
        <v>46117</v>
      </c>
      <c r="C1034" s="7" t="s">
        <v>364</v>
      </c>
      <c r="D1034" s="7">
        <v>352</v>
      </c>
      <c r="E1034" s="10">
        <f>IFERROR(SUMIFS('Base bordo CD'!M$2:M$875,'Base bordo CD'!D$2:D$875,A1034,'Base bordo CD'!A$2:A$875,B1034,'Base bordo CD'!L$2:L$875,"CORTE DE CANA MECANIZADO"),0)</f>
        <v>0</v>
      </c>
      <c r="F1034" s="10">
        <f>IFERROR(SUMIFS('Base bordo CD'!M$2:M$875,'Base bordo CD'!D$2:D$875,A1034,'Base bordo CD'!A$2:A$875,B1034,'Base bordo CD'!L$2:L$875,"MANOBRA"),0)</f>
        <v>0</v>
      </c>
      <c r="G1034" s="10">
        <f>IFERROR(SUMIFS('Base bordo CD'!M$2:M$875,'Base bordo CD'!D$2:D$875,A1034,'Base bordo CD'!A$2:A$875,B1034,'Base bordo CD'!L$2:L$875,"DESLOCAMENTO"),0)</f>
        <v>0</v>
      </c>
      <c r="H1034" s="10">
        <f>IFERROR(SUMIFS('Base bordo CD'!M$2:M$875,'Base bordo CD'!D$2:D$875,A1034,'Base bordo CD'!A$2:A$875,B1034,'Base bordo CD'!L$2:L$875,"AGUARDANDO MANOBRA DE TRANSBORDO"),0)+IFERROR(SUMIFS('Base bordo CD'!M$2:M$875,'Base bordo CD'!D$2:D$875,A1034,'Base bordo CD'!A$2:A$875,B1034,'Base bordo CD'!L$2:L$875,"FALTA DE TRANSBORDO"),0)</f>
        <v>0</v>
      </c>
      <c r="I1034" s="10">
        <f>IFERROR(SUMIFS('Base bordo CD'!M$2:M$875,'Base bordo CD'!D$2:D$875,A1034,'Base bordo CD'!A$2:A$875,B1034,'Base bordo CD'!L$2:L$875,"PARADA POR CONDICOES CLIMATICAS"),0)+IFERROR(SUMIFS('Base bordo CD'!M$2:M$875,'Base bordo CD'!D$2:D$875,A1034,'Base bordo CD'!A$2:A$875,B1034,'Base bordo CD'!L$2:L$875,"TEMPO INDETERMINADO"),0)</f>
        <v>0</v>
      </c>
      <c r="J1034" s="10">
        <f>IFERROR(SUMIFS('Base bordo CD'!M$2:M$875,'Base bordo CD'!D$2:D$875,A1034,'Base bordo CD'!A$2:A$875,B1034,'Base bordo CD'!L$2:L$875,"LIMITAÇÃO INDÚSTRIA"),0)</f>
        <v>0</v>
      </c>
      <c r="K1034" s="10">
        <f>IFERROR(SUMIFS('Base bordo CD'!M$2:M$875,'Base bordo CD'!D$2:D$875,A1034,'Base bordo CD'!A$2:A$875,B1034,'Base bordo CD'!L$2:L$875,"MAN CORRETIVA*"),0)+IFERROR(SUMIFS('Base bordo CD'!M$2:M$875,'Base bordo CD'!D$2:D$875,A1034,'Base bordo CD'!A$2:A$875,B1034,'Base bordo CD'!L$2:L$875,"AGUARDANDO MANUTENCAO*"),0)+IFERROR(SUMIFS('Base bordo CD'!M$2:M$875,'Base bordo CD'!D$2:D$875,A1034,'Base bordo CD'!A$2:A$875,B1034,'Base bordo CD'!L$2:L$875,"TROCA DE FAQUINHA"),0)+IFERROR(SUMIFS('Base bordo CD'!M$2:M$875,'Base bordo CD'!D$2:D$875,A1034,'Base bordo CD'!A$2:A$875,B1034,'Base bordo CD'!L$2:L$875,"LIMPEZA*"),0)</f>
        <v>0</v>
      </c>
      <c r="L1034" s="10">
        <f>IFERROR(SUMIFS('Base bordo CD'!M$2:M$875,'Base bordo CD'!D$2:D$875,A1034,'Base bordo CD'!A$2:A$875,B1034,'Base bordo CD'!L$2:L$875,"PATIO - RESERVA"),0)</f>
        <v>0</v>
      </c>
      <c r="M1034" s="10">
        <f>IFERROR(SUMIFS('Base bordo CD'!M$2:M$875,'Base bordo CD'!D$2:D$875,A1034,'Base bordo CD'!A$2:A$875,B1034,'Base bordo CD'!L$2:L$875,"SEM APONTAMENTO"),0)</f>
        <v>0</v>
      </c>
      <c r="N1034" s="10">
        <f>IFERROR(SUMIFS('Base bordo CD'!M$2:M$875,'Base bordo CD'!D$2:D$875,A1034,'Base bordo CD'!A$2:A$875,B1034,'Base bordo CD'!L$2:L$875,"FALTA DE CAMINHÃO"),0)+IFERROR(SUMIFS('Base bordo CD'!M$2:M$875,'Base bordo CD'!D$2:D$875,A1034,'Base bordo CD'!A$2:A$875,B1034,'Base bordo CD'!L$2:L$875,"FALTA DE COMBUSTIVEL"),0)+IFERROR(SUMIFS('Base bordo CD'!M$2:M$875,'Base bordo CD'!D$2:D$875,A1034,'Base bordo CD'!A$2:A$875,B1034,'Base bordo CD'!L$2:L$875,"FALTA DE MOTORIST*"),0)</f>
        <v>0</v>
      </c>
      <c r="O1034" s="10">
        <f t="shared" si="85"/>
        <v>0</v>
      </c>
      <c r="P1034" s="10">
        <f>IFERROR(SUMIFS('Base bordo CD'!M$2:M$875,'Base bordo CD'!D$2:D$875,A1034,'Base bordo CD'!A$2:A$875,B1034),0)</f>
        <v>0</v>
      </c>
      <c r="Q1034" s="10">
        <f>IFERROR(SUMIFS('Base bordo CD'!O$2:O$875,'Base bordo CD'!D$2:D$875,A1034,'Base bordo CD'!A$2:A$875,B1034,'Base bordo CD'!L$2:L$875,"CORTE DE CANA MECANIZADO"),0)</f>
        <v>0</v>
      </c>
      <c r="R1034" s="10">
        <f>IFERROR(SUMIFS('Base bordo CD'!Q$2:Q$875,'Base bordo CD'!D$2:D$875,A1034,'Base bordo CD'!A$2:A$875,B1034,'Base bordo CD'!L$2:L$875,"CORTE DE CANA MECANIZADO"),0)</f>
        <v>0</v>
      </c>
      <c r="S1034" s="30" t="str">
        <f t="shared" si="86"/>
        <v/>
      </c>
      <c r="T1034" s="9">
        <f t="shared" si="87"/>
        <v>0</v>
      </c>
      <c r="U1034" s="9">
        <f t="shared" si="88"/>
        <v>0</v>
      </c>
      <c r="V1034" s="9">
        <f t="shared" si="89"/>
        <v>0</v>
      </c>
    </row>
    <row r="1035" spans="1:22" hidden="1" x14ac:dyDescent="0.35">
      <c r="A1035" s="52">
        <v>49588</v>
      </c>
      <c r="B1035" s="31">
        <v>46117</v>
      </c>
      <c r="C1035" s="7" t="s">
        <v>364</v>
      </c>
      <c r="D1035" s="7">
        <v>352</v>
      </c>
      <c r="E1035" s="10">
        <f>IFERROR(SUMIFS('Base bordo CD'!M$2:M$875,'Base bordo CD'!D$2:D$875,A1035,'Base bordo CD'!A$2:A$875,B1035,'Base bordo CD'!L$2:L$875,"CORTE DE CANA MECANIZADO"),0)</f>
        <v>0</v>
      </c>
      <c r="F1035" s="10">
        <f>IFERROR(SUMIFS('Base bordo CD'!M$2:M$875,'Base bordo CD'!D$2:D$875,A1035,'Base bordo CD'!A$2:A$875,B1035,'Base bordo CD'!L$2:L$875,"MANOBRA"),0)</f>
        <v>0</v>
      </c>
      <c r="G1035" s="10">
        <f>IFERROR(SUMIFS('Base bordo CD'!M$2:M$875,'Base bordo CD'!D$2:D$875,A1035,'Base bordo CD'!A$2:A$875,B1035,'Base bordo CD'!L$2:L$875,"DESLOCAMENTO"),0)</f>
        <v>0</v>
      </c>
      <c r="H1035" s="10">
        <f>IFERROR(SUMIFS('Base bordo CD'!M$2:M$875,'Base bordo CD'!D$2:D$875,A1035,'Base bordo CD'!A$2:A$875,B1035,'Base bordo CD'!L$2:L$875,"AGUARDANDO MANOBRA DE TRANSBORDO"),0)+IFERROR(SUMIFS('Base bordo CD'!M$2:M$875,'Base bordo CD'!D$2:D$875,A1035,'Base bordo CD'!A$2:A$875,B1035,'Base bordo CD'!L$2:L$875,"FALTA DE TRANSBORDO"),0)</f>
        <v>0</v>
      </c>
      <c r="I1035" s="10">
        <f>IFERROR(SUMIFS('Base bordo CD'!M$2:M$875,'Base bordo CD'!D$2:D$875,A1035,'Base bordo CD'!A$2:A$875,B1035,'Base bordo CD'!L$2:L$875,"PARADA POR CONDICOES CLIMATICAS"),0)+IFERROR(SUMIFS('Base bordo CD'!M$2:M$875,'Base bordo CD'!D$2:D$875,A1035,'Base bordo CD'!A$2:A$875,B1035,'Base bordo CD'!L$2:L$875,"TEMPO INDETERMINADO"),0)</f>
        <v>0</v>
      </c>
      <c r="J1035" s="10">
        <f>IFERROR(SUMIFS('Base bordo CD'!M$2:M$875,'Base bordo CD'!D$2:D$875,A1035,'Base bordo CD'!A$2:A$875,B1035,'Base bordo CD'!L$2:L$875,"LIMITAÇÃO INDÚSTRIA"),0)</f>
        <v>0</v>
      </c>
      <c r="K1035" s="10">
        <f>IFERROR(SUMIFS('Base bordo CD'!M$2:M$875,'Base bordo CD'!D$2:D$875,A1035,'Base bordo CD'!A$2:A$875,B1035,'Base bordo CD'!L$2:L$875,"MAN CORRETIVA*"),0)+IFERROR(SUMIFS('Base bordo CD'!M$2:M$875,'Base bordo CD'!D$2:D$875,A1035,'Base bordo CD'!A$2:A$875,B1035,'Base bordo CD'!L$2:L$875,"AGUARDANDO MANUTENCAO*"),0)+IFERROR(SUMIFS('Base bordo CD'!M$2:M$875,'Base bordo CD'!D$2:D$875,A1035,'Base bordo CD'!A$2:A$875,B1035,'Base bordo CD'!L$2:L$875,"TROCA DE FAQUINHA"),0)+IFERROR(SUMIFS('Base bordo CD'!M$2:M$875,'Base bordo CD'!D$2:D$875,A1035,'Base bordo CD'!A$2:A$875,B1035,'Base bordo CD'!L$2:L$875,"LIMPEZA*"),0)</f>
        <v>0</v>
      </c>
      <c r="L1035" s="10">
        <f>IFERROR(SUMIFS('Base bordo CD'!M$2:M$875,'Base bordo CD'!D$2:D$875,A1035,'Base bordo CD'!A$2:A$875,B1035,'Base bordo CD'!L$2:L$875,"PATIO - RESERVA"),0)</f>
        <v>0</v>
      </c>
      <c r="M1035" s="10">
        <f>IFERROR(SUMIFS('Base bordo CD'!M$2:M$875,'Base bordo CD'!D$2:D$875,A1035,'Base bordo CD'!A$2:A$875,B1035,'Base bordo CD'!L$2:L$875,"SEM APONTAMENTO"),0)</f>
        <v>0</v>
      </c>
      <c r="N1035" s="10">
        <f>IFERROR(SUMIFS('Base bordo CD'!M$2:M$875,'Base bordo CD'!D$2:D$875,A1035,'Base bordo CD'!A$2:A$875,B1035,'Base bordo CD'!L$2:L$875,"FALTA DE CAMINHÃO"),0)+IFERROR(SUMIFS('Base bordo CD'!M$2:M$875,'Base bordo CD'!D$2:D$875,A1035,'Base bordo CD'!A$2:A$875,B1035,'Base bordo CD'!L$2:L$875,"FALTA DE COMBUSTIVEL"),0)+IFERROR(SUMIFS('Base bordo CD'!M$2:M$875,'Base bordo CD'!D$2:D$875,A1035,'Base bordo CD'!A$2:A$875,B1035,'Base bordo CD'!L$2:L$875,"FALTA DE MOTORIST*"),0)</f>
        <v>0</v>
      </c>
      <c r="O1035" s="10">
        <f t="shared" si="85"/>
        <v>0</v>
      </c>
      <c r="P1035" s="10">
        <f>IFERROR(SUMIFS('Base bordo CD'!M$2:M$875,'Base bordo CD'!D$2:D$875,A1035,'Base bordo CD'!A$2:A$875,B1035),0)</f>
        <v>0</v>
      </c>
      <c r="Q1035" s="10">
        <f>IFERROR(SUMIFS('Base bordo CD'!O$2:O$875,'Base bordo CD'!D$2:D$875,A1035,'Base bordo CD'!A$2:A$875,B1035,'Base bordo CD'!L$2:L$875,"CORTE DE CANA MECANIZADO"),0)</f>
        <v>0</v>
      </c>
      <c r="R1035" s="10">
        <f>IFERROR(SUMIFS('Base bordo CD'!Q$2:Q$875,'Base bordo CD'!D$2:D$875,A1035,'Base bordo CD'!A$2:A$875,B1035,'Base bordo CD'!L$2:L$875,"CORTE DE CANA MECANIZADO"),0)</f>
        <v>0</v>
      </c>
      <c r="S1035" s="30" t="str">
        <f t="shared" si="86"/>
        <v/>
      </c>
      <c r="T1035" s="9">
        <f t="shared" si="87"/>
        <v>0</v>
      </c>
      <c r="U1035" s="9">
        <f t="shared" si="88"/>
        <v>0</v>
      </c>
      <c r="V1035" s="9">
        <f t="shared" si="89"/>
        <v>0</v>
      </c>
    </row>
    <row r="1036" spans="1:22" hidden="1" x14ac:dyDescent="0.35">
      <c r="A1036" s="52">
        <v>49588</v>
      </c>
      <c r="B1036" s="31">
        <v>46117</v>
      </c>
      <c r="C1036" s="7" t="s">
        <v>364</v>
      </c>
      <c r="D1036" s="7">
        <v>352</v>
      </c>
      <c r="E1036" s="10">
        <f>IFERROR(SUMIFS('Base bordo CD'!M$2:M$875,'Base bordo CD'!D$2:D$875,A1036,'Base bordo CD'!A$2:A$875,B1036,'Base bordo CD'!L$2:L$875,"CORTE DE CANA MECANIZADO"),0)</f>
        <v>0</v>
      </c>
      <c r="F1036" s="10">
        <f>IFERROR(SUMIFS('Base bordo CD'!M$2:M$875,'Base bordo CD'!D$2:D$875,A1036,'Base bordo CD'!A$2:A$875,B1036,'Base bordo CD'!L$2:L$875,"MANOBRA"),0)</f>
        <v>0</v>
      </c>
      <c r="G1036" s="10">
        <f>IFERROR(SUMIFS('Base bordo CD'!M$2:M$875,'Base bordo CD'!D$2:D$875,A1036,'Base bordo CD'!A$2:A$875,B1036,'Base bordo CD'!L$2:L$875,"DESLOCAMENTO"),0)</f>
        <v>0</v>
      </c>
      <c r="H1036" s="10">
        <f>IFERROR(SUMIFS('Base bordo CD'!M$2:M$875,'Base bordo CD'!D$2:D$875,A1036,'Base bordo CD'!A$2:A$875,B1036,'Base bordo CD'!L$2:L$875,"AGUARDANDO MANOBRA DE TRANSBORDO"),0)+IFERROR(SUMIFS('Base bordo CD'!M$2:M$875,'Base bordo CD'!D$2:D$875,A1036,'Base bordo CD'!A$2:A$875,B1036,'Base bordo CD'!L$2:L$875,"FALTA DE TRANSBORDO"),0)</f>
        <v>0</v>
      </c>
      <c r="I1036" s="10">
        <f>IFERROR(SUMIFS('Base bordo CD'!M$2:M$875,'Base bordo CD'!D$2:D$875,A1036,'Base bordo CD'!A$2:A$875,B1036,'Base bordo CD'!L$2:L$875,"PARADA POR CONDICOES CLIMATICAS"),0)+IFERROR(SUMIFS('Base bordo CD'!M$2:M$875,'Base bordo CD'!D$2:D$875,A1036,'Base bordo CD'!A$2:A$875,B1036,'Base bordo CD'!L$2:L$875,"TEMPO INDETERMINADO"),0)</f>
        <v>0</v>
      </c>
      <c r="J1036" s="10">
        <f>IFERROR(SUMIFS('Base bordo CD'!M$2:M$875,'Base bordo CD'!D$2:D$875,A1036,'Base bordo CD'!A$2:A$875,B1036,'Base bordo CD'!L$2:L$875,"LIMITAÇÃO INDÚSTRIA"),0)</f>
        <v>0</v>
      </c>
      <c r="K1036" s="10">
        <f>IFERROR(SUMIFS('Base bordo CD'!M$2:M$875,'Base bordo CD'!D$2:D$875,A1036,'Base bordo CD'!A$2:A$875,B1036,'Base bordo CD'!L$2:L$875,"MAN CORRETIVA*"),0)+IFERROR(SUMIFS('Base bordo CD'!M$2:M$875,'Base bordo CD'!D$2:D$875,A1036,'Base bordo CD'!A$2:A$875,B1036,'Base bordo CD'!L$2:L$875,"AGUARDANDO MANUTENCAO*"),0)+IFERROR(SUMIFS('Base bordo CD'!M$2:M$875,'Base bordo CD'!D$2:D$875,A1036,'Base bordo CD'!A$2:A$875,B1036,'Base bordo CD'!L$2:L$875,"TROCA DE FAQUINHA"),0)+IFERROR(SUMIFS('Base bordo CD'!M$2:M$875,'Base bordo CD'!D$2:D$875,A1036,'Base bordo CD'!A$2:A$875,B1036,'Base bordo CD'!L$2:L$875,"LIMPEZA*"),0)</f>
        <v>0</v>
      </c>
      <c r="L1036" s="10">
        <f>IFERROR(SUMIFS('Base bordo CD'!M$2:M$875,'Base bordo CD'!D$2:D$875,A1036,'Base bordo CD'!A$2:A$875,B1036,'Base bordo CD'!L$2:L$875,"PATIO - RESERVA"),0)</f>
        <v>0</v>
      </c>
      <c r="M1036" s="10">
        <f>IFERROR(SUMIFS('Base bordo CD'!M$2:M$875,'Base bordo CD'!D$2:D$875,A1036,'Base bordo CD'!A$2:A$875,B1036,'Base bordo CD'!L$2:L$875,"SEM APONTAMENTO"),0)</f>
        <v>0</v>
      </c>
      <c r="N1036" s="10">
        <f>IFERROR(SUMIFS('Base bordo CD'!M$2:M$875,'Base bordo CD'!D$2:D$875,A1036,'Base bordo CD'!A$2:A$875,B1036,'Base bordo CD'!L$2:L$875,"FALTA DE CAMINHÃO"),0)+IFERROR(SUMIFS('Base bordo CD'!M$2:M$875,'Base bordo CD'!D$2:D$875,A1036,'Base bordo CD'!A$2:A$875,B1036,'Base bordo CD'!L$2:L$875,"FALTA DE COMBUSTIVEL"),0)+IFERROR(SUMIFS('Base bordo CD'!M$2:M$875,'Base bordo CD'!D$2:D$875,A1036,'Base bordo CD'!A$2:A$875,B1036,'Base bordo CD'!L$2:L$875,"FALTA DE MOTORIST*"),0)</f>
        <v>0</v>
      </c>
      <c r="O1036" s="10">
        <f t="shared" si="85"/>
        <v>0</v>
      </c>
      <c r="P1036" s="10">
        <f>IFERROR(SUMIFS('Base bordo CD'!M$2:M$875,'Base bordo CD'!D$2:D$875,A1036,'Base bordo CD'!A$2:A$875,B1036),0)</f>
        <v>0</v>
      </c>
      <c r="Q1036" s="10">
        <f>IFERROR(SUMIFS('Base bordo CD'!O$2:O$875,'Base bordo CD'!D$2:D$875,A1036,'Base bordo CD'!A$2:A$875,B1036,'Base bordo CD'!L$2:L$875,"CORTE DE CANA MECANIZADO"),0)</f>
        <v>0</v>
      </c>
      <c r="R1036" s="10">
        <f>IFERROR(SUMIFS('Base bordo CD'!Q$2:Q$875,'Base bordo CD'!D$2:D$875,A1036,'Base bordo CD'!A$2:A$875,B1036,'Base bordo CD'!L$2:L$875,"CORTE DE CANA MECANIZADO"),0)</f>
        <v>0</v>
      </c>
      <c r="S1036" s="30" t="str">
        <f t="shared" si="86"/>
        <v/>
      </c>
      <c r="T1036" s="9">
        <f t="shared" si="87"/>
        <v>0</v>
      </c>
      <c r="U1036" s="9">
        <f t="shared" si="88"/>
        <v>0</v>
      </c>
      <c r="V1036" s="9">
        <f t="shared" si="89"/>
        <v>0</v>
      </c>
    </row>
    <row r="1037" spans="1:22" hidden="1" x14ac:dyDescent="0.35">
      <c r="A1037" s="52">
        <v>49588</v>
      </c>
      <c r="B1037" s="31">
        <v>46117</v>
      </c>
      <c r="C1037" s="7" t="s">
        <v>364</v>
      </c>
      <c r="D1037" s="7">
        <v>352</v>
      </c>
      <c r="E1037" s="10">
        <f>IFERROR(SUMIFS('Base bordo CD'!M$2:M$875,'Base bordo CD'!D$2:D$875,A1037,'Base bordo CD'!A$2:A$875,B1037,'Base bordo CD'!L$2:L$875,"CORTE DE CANA MECANIZADO"),0)</f>
        <v>0</v>
      </c>
      <c r="F1037" s="10">
        <f>IFERROR(SUMIFS('Base bordo CD'!M$2:M$875,'Base bordo CD'!D$2:D$875,A1037,'Base bordo CD'!A$2:A$875,B1037,'Base bordo CD'!L$2:L$875,"MANOBRA"),0)</f>
        <v>0</v>
      </c>
      <c r="G1037" s="10">
        <f>IFERROR(SUMIFS('Base bordo CD'!M$2:M$875,'Base bordo CD'!D$2:D$875,A1037,'Base bordo CD'!A$2:A$875,B1037,'Base bordo CD'!L$2:L$875,"DESLOCAMENTO"),0)</f>
        <v>0</v>
      </c>
      <c r="H1037" s="10">
        <f>IFERROR(SUMIFS('Base bordo CD'!M$2:M$875,'Base bordo CD'!D$2:D$875,A1037,'Base bordo CD'!A$2:A$875,B1037,'Base bordo CD'!L$2:L$875,"AGUARDANDO MANOBRA DE TRANSBORDO"),0)+IFERROR(SUMIFS('Base bordo CD'!M$2:M$875,'Base bordo CD'!D$2:D$875,A1037,'Base bordo CD'!A$2:A$875,B1037,'Base bordo CD'!L$2:L$875,"FALTA DE TRANSBORDO"),0)</f>
        <v>0</v>
      </c>
      <c r="I1037" s="10">
        <f>IFERROR(SUMIFS('Base bordo CD'!M$2:M$875,'Base bordo CD'!D$2:D$875,A1037,'Base bordo CD'!A$2:A$875,B1037,'Base bordo CD'!L$2:L$875,"PARADA POR CONDICOES CLIMATICAS"),0)+IFERROR(SUMIFS('Base bordo CD'!M$2:M$875,'Base bordo CD'!D$2:D$875,A1037,'Base bordo CD'!A$2:A$875,B1037,'Base bordo CD'!L$2:L$875,"TEMPO INDETERMINADO"),0)</f>
        <v>0</v>
      </c>
      <c r="J1037" s="10">
        <f>IFERROR(SUMIFS('Base bordo CD'!M$2:M$875,'Base bordo CD'!D$2:D$875,A1037,'Base bordo CD'!A$2:A$875,B1037,'Base bordo CD'!L$2:L$875,"LIMITAÇÃO INDÚSTRIA"),0)</f>
        <v>0</v>
      </c>
      <c r="K1037" s="10">
        <f>IFERROR(SUMIFS('Base bordo CD'!M$2:M$875,'Base bordo CD'!D$2:D$875,A1037,'Base bordo CD'!A$2:A$875,B1037,'Base bordo CD'!L$2:L$875,"MAN CORRETIVA*"),0)+IFERROR(SUMIFS('Base bordo CD'!M$2:M$875,'Base bordo CD'!D$2:D$875,A1037,'Base bordo CD'!A$2:A$875,B1037,'Base bordo CD'!L$2:L$875,"AGUARDANDO MANUTENCAO*"),0)+IFERROR(SUMIFS('Base bordo CD'!M$2:M$875,'Base bordo CD'!D$2:D$875,A1037,'Base bordo CD'!A$2:A$875,B1037,'Base bordo CD'!L$2:L$875,"TROCA DE FAQUINHA"),0)+IFERROR(SUMIFS('Base bordo CD'!M$2:M$875,'Base bordo CD'!D$2:D$875,A1037,'Base bordo CD'!A$2:A$875,B1037,'Base bordo CD'!L$2:L$875,"LIMPEZA*"),0)</f>
        <v>0</v>
      </c>
      <c r="L1037" s="10">
        <f>IFERROR(SUMIFS('Base bordo CD'!M$2:M$875,'Base bordo CD'!D$2:D$875,A1037,'Base bordo CD'!A$2:A$875,B1037,'Base bordo CD'!L$2:L$875,"PATIO - RESERVA"),0)</f>
        <v>0</v>
      </c>
      <c r="M1037" s="10">
        <f>IFERROR(SUMIFS('Base bordo CD'!M$2:M$875,'Base bordo CD'!D$2:D$875,A1037,'Base bordo CD'!A$2:A$875,B1037,'Base bordo CD'!L$2:L$875,"SEM APONTAMENTO"),0)</f>
        <v>0</v>
      </c>
      <c r="N1037" s="10">
        <f>IFERROR(SUMIFS('Base bordo CD'!M$2:M$875,'Base bordo CD'!D$2:D$875,A1037,'Base bordo CD'!A$2:A$875,B1037,'Base bordo CD'!L$2:L$875,"FALTA DE CAMINHÃO"),0)+IFERROR(SUMIFS('Base bordo CD'!M$2:M$875,'Base bordo CD'!D$2:D$875,A1037,'Base bordo CD'!A$2:A$875,B1037,'Base bordo CD'!L$2:L$875,"FALTA DE COMBUSTIVEL"),0)+IFERROR(SUMIFS('Base bordo CD'!M$2:M$875,'Base bordo CD'!D$2:D$875,A1037,'Base bordo CD'!A$2:A$875,B1037,'Base bordo CD'!L$2:L$875,"FALTA DE MOTORIST*"),0)</f>
        <v>0</v>
      </c>
      <c r="O1037" s="10">
        <f t="shared" si="85"/>
        <v>0</v>
      </c>
      <c r="P1037" s="10">
        <f>IFERROR(SUMIFS('Base bordo CD'!M$2:M$875,'Base bordo CD'!D$2:D$875,A1037,'Base bordo CD'!A$2:A$875,B1037),0)</f>
        <v>0</v>
      </c>
      <c r="Q1037" s="10">
        <f>IFERROR(SUMIFS('Base bordo CD'!O$2:O$875,'Base bordo CD'!D$2:D$875,A1037,'Base bordo CD'!A$2:A$875,B1037,'Base bordo CD'!L$2:L$875,"CORTE DE CANA MECANIZADO"),0)</f>
        <v>0</v>
      </c>
      <c r="R1037" s="10">
        <f>IFERROR(SUMIFS('Base bordo CD'!Q$2:Q$875,'Base bordo CD'!D$2:D$875,A1037,'Base bordo CD'!A$2:A$875,B1037,'Base bordo CD'!L$2:L$875,"CORTE DE CANA MECANIZADO"),0)</f>
        <v>0</v>
      </c>
      <c r="S1037" s="30" t="str">
        <f t="shared" si="86"/>
        <v/>
      </c>
      <c r="T1037" s="9">
        <f t="shared" si="87"/>
        <v>0</v>
      </c>
      <c r="U1037" s="9">
        <f t="shared" si="88"/>
        <v>0</v>
      </c>
      <c r="V1037" s="9">
        <f t="shared" si="89"/>
        <v>0</v>
      </c>
    </row>
    <row r="1038" spans="1:22" hidden="1" x14ac:dyDescent="0.35">
      <c r="A1038" s="52">
        <v>49588</v>
      </c>
      <c r="B1038" s="31">
        <v>46117</v>
      </c>
      <c r="C1038" s="7" t="s">
        <v>364</v>
      </c>
      <c r="D1038" s="7">
        <v>352</v>
      </c>
      <c r="E1038" s="10">
        <f>IFERROR(SUMIFS('Base bordo CD'!M$2:M$875,'Base bordo CD'!D$2:D$875,A1038,'Base bordo CD'!A$2:A$875,B1038,'Base bordo CD'!L$2:L$875,"CORTE DE CANA MECANIZADO"),0)</f>
        <v>0</v>
      </c>
      <c r="F1038" s="10">
        <f>IFERROR(SUMIFS('Base bordo CD'!M$2:M$875,'Base bordo CD'!D$2:D$875,A1038,'Base bordo CD'!A$2:A$875,B1038,'Base bordo CD'!L$2:L$875,"MANOBRA"),0)</f>
        <v>0</v>
      </c>
      <c r="G1038" s="10">
        <f>IFERROR(SUMIFS('Base bordo CD'!M$2:M$875,'Base bordo CD'!D$2:D$875,A1038,'Base bordo CD'!A$2:A$875,B1038,'Base bordo CD'!L$2:L$875,"DESLOCAMENTO"),0)</f>
        <v>0</v>
      </c>
      <c r="H1038" s="10">
        <f>IFERROR(SUMIFS('Base bordo CD'!M$2:M$875,'Base bordo CD'!D$2:D$875,A1038,'Base bordo CD'!A$2:A$875,B1038,'Base bordo CD'!L$2:L$875,"AGUARDANDO MANOBRA DE TRANSBORDO"),0)+IFERROR(SUMIFS('Base bordo CD'!M$2:M$875,'Base bordo CD'!D$2:D$875,A1038,'Base bordo CD'!A$2:A$875,B1038,'Base bordo CD'!L$2:L$875,"FALTA DE TRANSBORDO"),0)</f>
        <v>0</v>
      </c>
      <c r="I1038" s="10">
        <f>IFERROR(SUMIFS('Base bordo CD'!M$2:M$875,'Base bordo CD'!D$2:D$875,A1038,'Base bordo CD'!A$2:A$875,B1038,'Base bordo CD'!L$2:L$875,"PARADA POR CONDICOES CLIMATICAS"),0)+IFERROR(SUMIFS('Base bordo CD'!M$2:M$875,'Base bordo CD'!D$2:D$875,A1038,'Base bordo CD'!A$2:A$875,B1038,'Base bordo CD'!L$2:L$875,"TEMPO INDETERMINADO"),0)</f>
        <v>0</v>
      </c>
      <c r="J1038" s="10">
        <f>IFERROR(SUMIFS('Base bordo CD'!M$2:M$875,'Base bordo CD'!D$2:D$875,A1038,'Base bordo CD'!A$2:A$875,B1038,'Base bordo CD'!L$2:L$875,"LIMITAÇÃO INDÚSTRIA"),0)</f>
        <v>0</v>
      </c>
      <c r="K1038" s="10">
        <f>IFERROR(SUMIFS('Base bordo CD'!M$2:M$875,'Base bordo CD'!D$2:D$875,A1038,'Base bordo CD'!A$2:A$875,B1038,'Base bordo CD'!L$2:L$875,"MAN CORRETIVA*"),0)+IFERROR(SUMIFS('Base bordo CD'!M$2:M$875,'Base bordo CD'!D$2:D$875,A1038,'Base bordo CD'!A$2:A$875,B1038,'Base bordo CD'!L$2:L$875,"AGUARDANDO MANUTENCAO*"),0)+IFERROR(SUMIFS('Base bordo CD'!M$2:M$875,'Base bordo CD'!D$2:D$875,A1038,'Base bordo CD'!A$2:A$875,B1038,'Base bordo CD'!L$2:L$875,"TROCA DE FAQUINHA"),0)+IFERROR(SUMIFS('Base bordo CD'!M$2:M$875,'Base bordo CD'!D$2:D$875,A1038,'Base bordo CD'!A$2:A$875,B1038,'Base bordo CD'!L$2:L$875,"LIMPEZA*"),0)</f>
        <v>0</v>
      </c>
      <c r="L1038" s="10">
        <f>IFERROR(SUMIFS('Base bordo CD'!M$2:M$875,'Base bordo CD'!D$2:D$875,A1038,'Base bordo CD'!A$2:A$875,B1038,'Base bordo CD'!L$2:L$875,"PATIO - RESERVA"),0)</f>
        <v>0</v>
      </c>
      <c r="M1038" s="10">
        <f>IFERROR(SUMIFS('Base bordo CD'!M$2:M$875,'Base bordo CD'!D$2:D$875,A1038,'Base bordo CD'!A$2:A$875,B1038,'Base bordo CD'!L$2:L$875,"SEM APONTAMENTO"),0)</f>
        <v>0</v>
      </c>
      <c r="N1038" s="10">
        <f>IFERROR(SUMIFS('Base bordo CD'!M$2:M$875,'Base bordo CD'!D$2:D$875,A1038,'Base bordo CD'!A$2:A$875,B1038,'Base bordo CD'!L$2:L$875,"FALTA DE CAMINHÃO"),0)+IFERROR(SUMIFS('Base bordo CD'!M$2:M$875,'Base bordo CD'!D$2:D$875,A1038,'Base bordo CD'!A$2:A$875,B1038,'Base bordo CD'!L$2:L$875,"FALTA DE COMBUSTIVEL"),0)+IFERROR(SUMIFS('Base bordo CD'!M$2:M$875,'Base bordo CD'!D$2:D$875,A1038,'Base bordo CD'!A$2:A$875,B1038,'Base bordo CD'!L$2:L$875,"FALTA DE MOTORIST*"),0)</f>
        <v>0</v>
      </c>
      <c r="O1038" s="10">
        <f t="shared" si="85"/>
        <v>0</v>
      </c>
      <c r="P1038" s="10">
        <f>IFERROR(SUMIFS('Base bordo CD'!M$2:M$875,'Base bordo CD'!D$2:D$875,A1038,'Base bordo CD'!A$2:A$875,B1038),0)</f>
        <v>0</v>
      </c>
      <c r="Q1038" s="10">
        <f>IFERROR(SUMIFS('Base bordo CD'!O$2:O$875,'Base bordo CD'!D$2:D$875,A1038,'Base bordo CD'!A$2:A$875,B1038,'Base bordo CD'!L$2:L$875,"CORTE DE CANA MECANIZADO"),0)</f>
        <v>0</v>
      </c>
      <c r="R1038" s="10">
        <f>IFERROR(SUMIFS('Base bordo CD'!Q$2:Q$875,'Base bordo CD'!D$2:D$875,A1038,'Base bordo CD'!A$2:A$875,B1038,'Base bordo CD'!L$2:L$875,"CORTE DE CANA MECANIZADO"),0)</f>
        <v>0</v>
      </c>
      <c r="S1038" s="30" t="str">
        <f t="shared" si="86"/>
        <v/>
      </c>
      <c r="T1038" s="9">
        <f t="shared" si="87"/>
        <v>0</v>
      </c>
      <c r="U1038" s="9">
        <f t="shared" si="88"/>
        <v>0</v>
      </c>
      <c r="V1038" s="9">
        <f t="shared" si="89"/>
        <v>0</v>
      </c>
    </row>
    <row r="1039" spans="1:22" hidden="1" x14ac:dyDescent="0.35">
      <c r="A1039" s="52">
        <v>49588</v>
      </c>
      <c r="B1039" s="31">
        <v>46117</v>
      </c>
      <c r="C1039" s="7" t="s">
        <v>364</v>
      </c>
      <c r="D1039" s="7">
        <v>352</v>
      </c>
      <c r="E1039" s="10">
        <f>IFERROR(SUMIFS('Base bordo CD'!M$2:M$875,'Base bordo CD'!D$2:D$875,A1039,'Base bordo CD'!A$2:A$875,B1039,'Base bordo CD'!L$2:L$875,"CORTE DE CANA MECANIZADO"),0)</f>
        <v>0</v>
      </c>
      <c r="F1039" s="10">
        <f>IFERROR(SUMIFS('Base bordo CD'!M$2:M$875,'Base bordo CD'!D$2:D$875,A1039,'Base bordo CD'!A$2:A$875,B1039,'Base bordo CD'!L$2:L$875,"MANOBRA"),0)</f>
        <v>0</v>
      </c>
      <c r="G1039" s="10">
        <f>IFERROR(SUMIFS('Base bordo CD'!M$2:M$875,'Base bordo CD'!D$2:D$875,A1039,'Base bordo CD'!A$2:A$875,B1039,'Base bordo CD'!L$2:L$875,"DESLOCAMENTO"),0)</f>
        <v>0</v>
      </c>
      <c r="H1039" s="10">
        <f>IFERROR(SUMIFS('Base bordo CD'!M$2:M$875,'Base bordo CD'!D$2:D$875,A1039,'Base bordo CD'!A$2:A$875,B1039,'Base bordo CD'!L$2:L$875,"AGUARDANDO MANOBRA DE TRANSBORDO"),0)+IFERROR(SUMIFS('Base bordo CD'!M$2:M$875,'Base bordo CD'!D$2:D$875,A1039,'Base bordo CD'!A$2:A$875,B1039,'Base bordo CD'!L$2:L$875,"FALTA DE TRANSBORDO"),0)</f>
        <v>0</v>
      </c>
      <c r="I1039" s="10">
        <f>IFERROR(SUMIFS('Base bordo CD'!M$2:M$875,'Base bordo CD'!D$2:D$875,A1039,'Base bordo CD'!A$2:A$875,B1039,'Base bordo CD'!L$2:L$875,"PARADA POR CONDICOES CLIMATICAS"),0)+IFERROR(SUMIFS('Base bordo CD'!M$2:M$875,'Base bordo CD'!D$2:D$875,A1039,'Base bordo CD'!A$2:A$875,B1039,'Base bordo CD'!L$2:L$875,"TEMPO INDETERMINADO"),0)</f>
        <v>0</v>
      </c>
      <c r="J1039" s="10">
        <f>IFERROR(SUMIFS('Base bordo CD'!M$2:M$875,'Base bordo CD'!D$2:D$875,A1039,'Base bordo CD'!A$2:A$875,B1039,'Base bordo CD'!L$2:L$875,"LIMITAÇÃO INDÚSTRIA"),0)</f>
        <v>0</v>
      </c>
      <c r="K1039" s="10">
        <f>IFERROR(SUMIFS('Base bordo CD'!M$2:M$875,'Base bordo CD'!D$2:D$875,A1039,'Base bordo CD'!A$2:A$875,B1039,'Base bordo CD'!L$2:L$875,"MAN CORRETIVA*"),0)+IFERROR(SUMIFS('Base bordo CD'!M$2:M$875,'Base bordo CD'!D$2:D$875,A1039,'Base bordo CD'!A$2:A$875,B1039,'Base bordo CD'!L$2:L$875,"AGUARDANDO MANUTENCAO*"),0)+IFERROR(SUMIFS('Base bordo CD'!M$2:M$875,'Base bordo CD'!D$2:D$875,A1039,'Base bordo CD'!A$2:A$875,B1039,'Base bordo CD'!L$2:L$875,"TROCA DE FAQUINHA"),0)+IFERROR(SUMIFS('Base bordo CD'!M$2:M$875,'Base bordo CD'!D$2:D$875,A1039,'Base bordo CD'!A$2:A$875,B1039,'Base bordo CD'!L$2:L$875,"LIMPEZA*"),0)</f>
        <v>0</v>
      </c>
      <c r="L1039" s="10">
        <f>IFERROR(SUMIFS('Base bordo CD'!M$2:M$875,'Base bordo CD'!D$2:D$875,A1039,'Base bordo CD'!A$2:A$875,B1039,'Base bordo CD'!L$2:L$875,"PATIO - RESERVA"),0)</f>
        <v>0</v>
      </c>
      <c r="M1039" s="10">
        <f>IFERROR(SUMIFS('Base bordo CD'!M$2:M$875,'Base bordo CD'!D$2:D$875,A1039,'Base bordo CD'!A$2:A$875,B1039,'Base bordo CD'!L$2:L$875,"SEM APONTAMENTO"),0)</f>
        <v>0</v>
      </c>
      <c r="N1039" s="10">
        <f>IFERROR(SUMIFS('Base bordo CD'!M$2:M$875,'Base bordo CD'!D$2:D$875,A1039,'Base bordo CD'!A$2:A$875,B1039,'Base bordo CD'!L$2:L$875,"FALTA DE CAMINHÃO"),0)+IFERROR(SUMIFS('Base bordo CD'!M$2:M$875,'Base bordo CD'!D$2:D$875,A1039,'Base bordo CD'!A$2:A$875,B1039,'Base bordo CD'!L$2:L$875,"FALTA DE COMBUSTIVEL"),0)+IFERROR(SUMIFS('Base bordo CD'!M$2:M$875,'Base bordo CD'!D$2:D$875,A1039,'Base bordo CD'!A$2:A$875,B1039,'Base bordo CD'!L$2:L$875,"FALTA DE MOTORIST*"),0)</f>
        <v>0</v>
      </c>
      <c r="O1039" s="10">
        <f t="shared" si="85"/>
        <v>0</v>
      </c>
      <c r="P1039" s="10">
        <f>IFERROR(SUMIFS('Base bordo CD'!M$2:M$875,'Base bordo CD'!D$2:D$875,A1039,'Base bordo CD'!A$2:A$875,B1039),0)</f>
        <v>0</v>
      </c>
      <c r="Q1039" s="10">
        <f>IFERROR(SUMIFS('Base bordo CD'!O$2:O$875,'Base bordo CD'!D$2:D$875,A1039,'Base bordo CD'!A$2:A$875,B1039,'Base bordo CD'!L$2:L$875,"CORTE DE CANA MECANIZADO"),0)</f>
        <v>0</v>
      </c>
      <c r="R1039" s="10">
        <f>IFERROR(SUMIFS('Base bordo CD'!Q$2:Q$875,'Base bordo CD'!D$2:D$875,A1039,'Base bordo CD'!A$2:A$875,B1039,'Base bordo CD'!L$2:L$875,"CORTE DE CANA MECANIZADO"),0)</f>
        <v>0</v>
      </c>
      <c r="S1039" s="30" t="str">
        <f t="shared" si="86"/>
        <v/>
      </c>
      <c r="T1039" s="9">
        <f t="shared" si="87"/>
        <v>0</v>
      </c>
      <c r="U1039" s="9">
        <f t="shared" si="88"/>
        <v>0</v>
      </c>
      <c r="V1039" s="9">
        <f t="shared" si="89"/>
        <v>0</v>
      </c>
    </row>
    <row r="1040" spans="1:22" hidden="1" x14ac:dyDescent="0.35">
      <c r="A1040" s="52">
        <v>49588</v>
      </c>
      <c r="B1040" s="31">
        <v>46117</v>
      </c>
      <c r="C1040" s="7" t="s">
        <v>364</v>
      </c>
      <c r="D1040" s="7">
        <v>352</v>
      </c>
      <c r="E1040" s="10">
        <f>IFERROR(SUMIFS('Base bordo CD'!M$2:M$875,'Base bordo CD'!D$2:D$875,A1040,'Base bordo CD'!A$2:A$875,B1040,'Base bordo CD'!L$2:L$875,"CORTE DE CANA MECANIZADO"),0)</f>
        <v>0</v>
      </c>
      <c r="F1040" s="10">
        <f>IFERROR(SUMIFS('Base bordo CD'!M$2:M$875,'Base bordo CD'!D$2:D$875,A1040,'Base bordo CD'!A$2:A$875,B1040,'Base bordo CD'!L$2:L$875,"MANOBRA"),0)</f>
        <v>0</v>
      </c>
      <c r="G1040" s="10">
        <f>IFERROR(SUMIFS('Base bordo CD'!M$2:M$875,'Base bordo CD'!D$2:D$875,A1040,'Base bordo CD'!A$2:A$875,B1040,'Base bordo CD'!L$2:L$875,"DESLOCAMENTO"),0)</f>
        <v>0</v>
      </c>
      <c r="H1040" s="10">
        <f>IFERROR(SUMIFS('Base bordo CD'!M$2:M$875,'Base bordo CD'!D$2:D$875,A1040,'Base bordo CD'!A$2:A$875,B1040,'Base bordo CD'!L$2:L$875,"AGUARDANDO MANOBRA DE TRANSBORDO"),0)+IFERROR(SUMIFS('Base bordo CD'!M$2:M$875,'Base bordo CD'!D$2:D$875,A1040,'Base bordo CD'!A$2:A$875,B1040,'Base bordo CD'!L$2:L$875,"FALTA DE TRANSBORDO"),0)</f>
        <v>0</v>
      </c>
      <c r="I1040" s="10">
        <f>IFERROR(SUMIFS('Base bordo CD'!M$2:M$875,'Base bordo CD'!D$2:D$875,A1040,'Base bordo CD'!A$2:A$875,B1040,'Base bordo CD'!L$2:L$875,"PARADA POR CONDICOES CLIMATICAS"),0)+IFERROR(SUMIFS('Base bordo CD'!M$2:M$875,'Base bordo CD'!D$2:D$875,A1040,'Base bordo CD'!A$2:A$875,B1040,'Base bordo CD'!L$2:L$875,"TEMPO INDETERMINADO"),0)</f>
        <v>0</v>
      </c>
      <c r="J1040" s="10">
        <f>IFERROR(SUMIFS('Base bordo CD'!M$2:M$875,'Base bordo CD'!D$2:D$875,A1040,'Base bordo CD'!A$2:A$875,B1040,'Base bordo CD'!L$2:L$875,"LIMITAÇÃO INDÚSTRIA"),0)</f>
        <v>0</v>
      </c>
      <c r="K1040" s="10">
        <f>IFERROR(SUMIFS('Base bordo CD'!M$2:M$875,'Base bordo CD'!D$2:D$875,A1040,'Base bordo CD'!A$2:A$875,B1040,'Base bordo CD'!L$2:L$875,"MAN CORRETIVA*"),0)+IFERROR(SUMIFS('Base bordo CD'!M$2:M$875,'Base bordo CD'!D$2:D$875,A1040,'Base bordo CD'!A$2:A$875,B1040,'Base bordo CD'!L$2:L$875,"AGUARDANDO MANUTENCAO*"),0)+IFERROR(SUMIFS('Base bordo CD'!M$2:M$875,'Base bordo CD'!D$2:D$875,A1040,'Base bordo CD'!A$2:A$875,B1040,'Base bordo CD'!L$2:L$875,"TROCA DE FAQUINHA"),0)+IFERROR(SUMIFS('Base bordo CD'!M$2:M$875,'Base bordo CD'!D$2:D$875,A1040,'Base bordo CD'!A$2:A$875,B1040,'Base bordo CD'!L$2:L$875,"LIMPEZA*"),0)</f>
        <v>0</v>
      </c>
      <c r="L1040" s="10">
        <f>IFERROR(SUMIFS('Base bordo CD'!M$2:M$875,'Base bordo CD'!D$2:D$875,A1040,'Base bordo CD'!A$2:A$875,B1040,'Base bordo CD'!L$2:L$875,"PATIO - RESERVA"),0)</f>
        <v>0</v>
      </c>
      <c r="M1040" s="10">
        <f>IFERROR(SUMIFS('Base bordo CD'!M$2:M$875,'Base bordo CD'!D$2:D$875,A1040,'Base bordo CD'!A$2:A$875,B1040,'Base bordo CD'!L$2:L$875,"SEM APONTAMENTO"),0)</f>
        <v>0</v>
      </c>
      <c r="N1040" s="10">
        <f>IFERROR(SUMIFS('Base bordo CD'!M$2:M$875,'Base bordo CD'!D$2:D$875,A1040,'Base bordo CD'!A$2:A$875,B1040,'Base bordo CD'!L$2:L$875,"FALTA DE CAMINHÃO"),0)+IFERROR(SUMIFS('Base bordo CD'!M$2:M$875,'Base bordo CD'!D$2:D$875,A1040,'Base bordo CD'!A$2:A$875,B1040,'Base bordo CD'!L$2:L$875,"FALTA DE COMBUSTIVEL"),0)+IFERROR(SUMIFS('Base bordo CD'!M$2:M$875,'Base bordo CD'!D$2:D$875,A1040,'Base bordo CD'!A$2:A$875,B1040,'Base bordo CD'!L$2:L$875,"FALTA DE MOTORIST*"),0)</f>
        <v>0</v>
      </c>
      <c r="O1040" s="10">
        <f t="shared" si="85"/>
        <v>0</v>
      </c>
      <c r="P1040" s="10">
        <f>IFERROR(SUMIFS('Base bordo CD'!M$2:M$875,'Base bordo CD'!D$2:D$875,A1040,'Base bordo CD'!A$2:A$875,B1040),0)</f>
        <v>0</v>
      </c>
      <c r="Q1040" s="10">
        <f>IFERROR(SUMIFS('Base bordo CD'!O$2:O$875,'Base bordo CD'!D$2:D$875,A1040,'Base bordo CD'!A$2:A$875,B1040,'Base bordo CD'!L$2:L$875,"CORTE DE CANA MECANIZADO"),0)</f>
        <v>0</v>
      </c>
      <c r="R1040" s="10">
        <f>IFERROR(SUMIFS('Base bordo CD'!Q$2:Q$875,'Base bordo CD'!D$2:D$875,A1040,'Base bordo CD'!A$2:A$875,B1040,'Base bordo CD'!L$2:L$875,"CORTE DE CANA MECANIZADO"),0)</f>
        <v>0</v>
      </c>
      <c r="S1040" s="30" t="str">
        <f t="shared" si="86"/>
        <v/>
      </c>
      <c r="T1040" s="9">
        <f t="shared" si="87"/>
        <v>0</v>
      </c>
      <c r="U1040" s="9">
        <f t="shared" si="88"/>
        <v>0</v>
      </c>
      <c r="V1040" s="9">
        <f t="shared" si="89"/>
        <v>0</v>
      </c>
    </row>
    <row r="1041" spans="1:22" hidden="1" x14ac:dyDescent="0.35">
      <c r="A1041" s="52">
        <v>49589</v>
      </c>
      <c r="B1041" s="31">
        <v>46117</v>
      </c>
      <c r="C1041" s="7" t="s">
        <v>321</v>
      </c>
      <c r="D1041" s="7">
        <v>351</v>
      </c>
      <c r="E1041" s="10">
        <f>IFERROR(SUMIFS('Base bordo CD'!M$2:M$875,'Base bordo CD'!D$2:D$875,A1041,'Base bordo CD'!A$2:A$875,B1041,'Base bordo CD'!L$2:L$875,"CORTE DE CANA MECANIZADO"),0)</f>
        <v>0</v>
      </c>
      <c r="F1041" s="10">
        <f>IFERROR(SUMIFS('Base bordo CD'!M$2:M$875,'Base bordo CD'!D$2:D$875,A1041,'Base bordo CD'!A$2:A$875,B1041,'Base bordo CD'!L$2:L$875,"MANOBRA"),0)</f>
        <v>0</v>
      </c>
      <c r="G1041" s="10">
        <f>IFERROR(SUMIFS('Base bordo CD'!M$2:M$875,'Base bordo CD'!D$2:D$875,A1041,'Base bordo CD'!A$2:A$875,B1041,'Base bordo CD'!L$2:L$875,"DESLOCAMENTO"),0)</f>
        <v>0</v>
      </c>
      <c r="H1041" s="10">
        <f>IFERROR(SUMIFS('Base bordo CD'!M$2:M$875,'Base bordo CD'!D$2:D$875,A1041,'Base bordo CD'!A$2:A$875,B1041,'Base bordo CD'!L$2:L$875,"AGUARDANDO MANOBRA DE TRANSBORDO"),0)+IFERROR(SUMIFS('Base bordo CD'!M$2:M$875,'Base bordo CD'!D$2:D$875,A1041,'Base bordo CD'!A$2:A$875,B1041,'Base bordo CD'!L$2:L$875,"FALTA DE TRANSBORDO"),0)</f>
        <v>0</v>
      </c>
      <c r="I1041" s="10">
        <f>IFERROR(SUMIFS('Base bordo CD'!M$2:M$875,'Base bordo CD'!D$2:D$875,A1041,'Base bordo CD'!A$2:A$875,B1041,'Base bordo CD'!L$2:L$875,"PARADA POR CONDICOES CLIMATICAS"),0)+IFERROR(SUMIFS('Base bordo CD'!M$2:M$875,'Base bordo CD'!D$2:D$875,A1041,'Base bordo CD'!A$2:A$875,B1041,'Base bordo CD'!L$2:L$875,"TEMPO INDETERMINADO"),0)</f>
        <v>0</v>
      </c>
      <c r="J1041" s="10">
        <f>IFERROR(SUMIFS('Base bordo CD'!M$2:M$875,'Base bordo CD'!D$2:D$875,A1041,'Base bordo CD'!A$2:A$875,B1041,'Base bordo CD'!L$2:L$875,"LIMITAÇÃO INDÚSTRIA"),0)</f>
        <v>0</v>
      </c>
      <c r="K1041" s="10">
        <f>IFERROR(SUMIFS('Base bordo CD'!M$2:M$875,'Base bordo CD'!D$2:D$875,A1041,'Base bordo CD'!A$2:A$875,B1041,'Base bordo CD'!L$2:L$875,"MAN CORRETIVA*"),0)+IFERROR(SUMIFS('Base bordo CD'!M$2:M$875,'Base bordo CD'!D$2:D$875,A1041,'Base bordo CD'!A$2:A$875,B1041,'Base bordo CD'!L$2:L$875,"AGUARDANDO MANUTENCAO*"),0)+IFERROR(SUMIFS('Base bordo CD'!M$2:M$875,'Base bordo CD'!D$2:D$875,A1041,'Base bordo CD'!A$2:A$875,B1041,'Base bordo CD'!L$2:L$875,"TROCA DE FAQUINHA"),0)+IFERROR(SUMIFS('Base bordo CD'!M$2:M$875,'Base bordo CD'!D$2:D$875,A1041,'Base bordo CD'!A$2:A$875,B1041,'Base bordo CD'!L$2:L$875,"LIMPEZA*"),0)</f>
        <v>0</v>
      </c>
      <c r="L1041" s="10">
        <f>IFERROR(SUMIFS('Base bordo CD'!M$2:M$875,'Base bordo CD'!D$2:D$875,A1041,'Base bordo CD'!A$2:A$875,B1041,'Base bordo CD'!L$2:L$875,"PATIO - RESERVA"),0)</f>
        <v>0</v>
      </c>
      <c r="M1041" s="10">
        <f>IFERROR(SUMIFS('Base bordo CD'!M$2:M$875,'Base bordo CD'!D$2:D$875,A1041,'Base bordo CD'!A$2:A$875,B1041,'Base bordo CD'!L$2:L$875,"SEM APONTAMENTO"),0)</f>
        <v>0</v>
      </c>
      <c r="N1041" s="10">
        <f>IFERROR(SUMIFS('Base bordo CD'!M$2:M$875,'Base bordo CD'!D$2:D$875,A1041,'Base bordo CD'!A$2:A$875,B1041,'Base bordo CD'!L$2:L$875,"FALTA DE CAMINHÃO"),0)+IFERROR(SUMIFS('Base bordo CD'!M$2:M$875,'Base bordo CD'!D$2:D$875,A1041,'Base bordo CD'!A$2:A$875,B1041,'Base bordo CD'!L$2:L$875,"FALTA DE COMBUSTIVEL"),0)+IFERROR(SUMIFS('Base bordo CD'!M$2:M$875,'Base bordo CD'!D$2:D$875,A1041,'Base bordo CD'!A$2:A$875,B1041,'Base bordo CD'!L$2:L$875,"FALTA DE MOTORIST*"),0)</f>
        <v>0</v>
      </c>
      <c r="O1041" s="10">
        <f t="shared" si="85"/>
        <v>0</v>
      </c>
      <c r="P1041" s="10">
        <f>IFERROR(SUMIFS('Base bordo CD'!M$2:M$875,'Base bordo CD'!D$2:D$875,A1041,'Base bordo CD'!A$2:A$875,B1041),0)</f>
        <v>0</v>
      </c>
      <c r="Q1041" s="10">
        <f>IFERROR(SUMIFS('Base bordo CD'!O$2:O$875,'Base bordo CD'!D$2:D$875,A1041,'Base bordo CD'!A$2:A$875,B1041,'Base bordo CD'!L$2:L$875,"CORTE DE CANA MECANIZADO"),0)</f>
        <v>0</v>
      </c>
      <c r="R1041" s="10">
        <f>IFERROR(SUMIFS('Base bordo CD'!Q$2:Q$875,'Base bordo CD'!D$2:D$875,A1041,'Base bordo CD'!A$2:A$875,B1041,'Base bordo CD'!L$2:L$875,"CORTE DE CANA MECANIZADO"),0)</f>
        <v>0</v>
      </c>
      <c r="S1041" s="30" t="str">
        <f t="shared" si="86"/>
        <v/>
      </c>
      <c r="T1041" s="9">
        <f t="shared" si="87"/>
        <v>0</v>
      </c>
      <c r="U1041" s="9">
        <f t="shared" si="88"/>
        <v>0</v>
      </c>
      <c r="V1041" s="9">
        <f t="shared" si="89"/>
        <v>0</v>
      </c>
    </row>
    <row r="1042" spans="1:22" hidden="1" x14ac:dyDescent="0.35">
      <c r="A1042" s="52">
        <v>49589</v>
      </c>
      <c r="B1042" s="31">
        <v>46117</v>
      </c>
      <c r="C1042" s="7" t="s">
        <v>321</v>
      </c>
      <c r="D1042" s="7">
        <v>351</v>
      </c>
      <c r="E1042" s="10">
        <f>IFERROR(SUMIFS('Base bordo CD'!M$2:M$875,'Base bordo CD'!D$2:D$875,A1042,'Base bordo CD'!A$2:A$875,B1042,'Base bordo CD'!L$2:L$875,"CORTE DE CANA MECANIZADO"),0)</f>
        <v>0</v>
      </c>
      <c r="F1042" s="10">
        <f>IFERROR(SUMIFS('Base bordo CD'!M$2:M$875,'Base bordo CD'!D$2:D$875,A1042,'Base bordo CD'!A$2:A$875,B1042,'Base bordo CD'!L$2:L$875,"MANOBRA"),0)</f>
        <v>0</v>
      </c>
      <c r="G1042" s="10">
        <f>IFERROR(SUMIFS('Base bordo CD'!M$2:M$875,'Base bordo CD'!D$2:D$875,A1042,'Base bordo CD'!A$2:A$875,B1042,'Base bordo CD'!L$2:L$875,"DESLOCAMENTO"),0)</f>
        <v>0</v>
      </c>
      <c r="H1042" s="10">
        <f>IFERROR(SUMIFS('Base bordo CD'!M$2:M$875,'Base bordo CD'!D$2:D$875,A1042,'Base bordo CD'!A$2:A$875,B1042,'Base bordo CD'!L$2:L$875,"AGUARDANDO MANOBRA DE TRANSBORDO"),0)+IFERROR(SUMIFS('Base bordo CD'!M$2:M$875,'Base bordo CD'!D$2:D$875,A1042,'Base bordo CD'!A$2:A$875,B1042,'Base bordo CD'!L$2:L$875,"FALTA DE TRANSBORDO"),0)</f>
        <v>0</v>
      </c>
      <c r="I1042" s="10">
        <f>IFERROR(SUMIFS('Base bordo CD'!M$2:M$875,'Base bordo CD'!D$2:D$875,A1042,'Base bordo CD'!A$2:A$875,B1042,'Base bordo CD'!L$2:L$875,"PARADA POR CONDICOES CLIMATICAS"),0)+IFERROR(SUMIFS('Base bordo CD'!M$2:M$875,'Base bordo CD'!D$2:D$875,A1042,'Base bordo CD'!A$2:A$875,B1042,'Base bordo CD'!L$2:L$875,"TEMPO INDETERMINADO"),0)</f>
        <v>0</v>
      </c>
      <c r="J1042" s="10">
        <f>IFERROR(SUMIFS('Base bordo CD'!M$2:M$875,'Base bordo CD'!D$2:D$875,A1042,'Base bordo CD'!A$2:A$875,B1042,'Base bordo CD'!L$2:L$875,"LIMITAÇÃO INDÚSTRIA"),0)</f>
        <v>0</v>
      </c>
      <c r="K1042" s="10">
        <f>IFERROR(SUMIFS('Base bordo CD'!M$2:M$875,'Base bordo CD'!D$2:D$875,A1042,'Base bordo CD'!A$2:A$875,B1042,'Base bordo CD'!L$2:L$875,"MAN CORRETIVA*"),0)+IFERROR(SUMIFS('Base bordo CD'!M$2:M$875,'Base bordo CD'!D$2:D$875,A1042,'Base bordo CD'!A$2:A$875,B1042,'Base bordo CD'!L$2:L$875,"AGUARDANDO MANUTENCAO*"),0)+IFERROR(SUMIFS('Base bordo CD'!M$2:M$875,'Base bordo CD'!D$2:D$875,A1042,'Base bordo CD'!A$2:A$875,B1042,'Base bordo CD'!L$2:L$875,"TROCA DE FAQUINHA"),0)+IFERROR(SUMIFS('Base bordo CD'!M$2:M$875,'Base bordo CD'!D$2:D$875,A1042,'Base bordo CD'!A$2:A$875,B1042,'Base bordo CD'!L$2:L$875,"LIMPEZA*"),0)</f>
        <v>0</v>
      </c>
      <c r="L1042" s="10">
        <f>IFERROR(SUMIFS('Base bordo CD'!M$2:M$875,'Base bordo CD'!D$2:D$875,A1042,'Base bordo CD'!A$2:A$875,B1042,'Base bordo CD'!L$2:L$875,"PATIO - RESERVA"),0)</f>
        <v>0</v>
      </c>
      <c r="M1042" s="10">
        <f>IFERROR(SUMIFS('Base bordo CD'!M$2:M$875,'Base bordo CD'!D$2:D$875,A1042,'Base bordo CD'!A$2:A$875,B1042,'Base bordo CD'!L$2:L$875,"SEM APONTAMENTO"),0)</f>
        <v>0</v>
      </c>
      <c r="N1042" s="10">
        <f>IFERROR(SUMIFS('Base bordo CD'!M$2:M$875,'Base bordo CD'!D$2:D$875,A1042,'Base bordo CD'!A$2:A$875,B1042,'Base bordo CD'!L$2:L$875,"FALTA DE CAMINHÃO"),0)+IFERROR(SUMIFS('Base bordo CD'!M$2:M$875,'Base bordo CD'!D$2:D$875,A1042,'Base bordo CD'!A$2:A$875,B1042,'Base bordo CD'!L$2:L$875,"FALTA DE COMBUSTIVEL"),0)+IFERROR(SUMIFS('Base bordo CD'!M$2:M$875,'Base bordo CD'!D$2:D$875,A1042,'Base bordo CD'!A$2:A$875,B1042,'Base bordo CD'!L$2:L$875,"FALTA DE MOTORIST*"),0)</f>
        <v>0</v>
      </c>
      <c r="O1042" s="10">
        <f t="shared" si="85"/>
        <v>0</v>
      </c>
      <c r="P1042" s="10">
        <f>IFERROR(SUMIFS('Base bordo CD'!M$2:M$875,'Base bordo CD'!D$2:D$875,A1042,'Base bordo CD'!A$2:A$875,B1042),0)</f>
        <v>0</v>
      </c>
      <c r="Q1042" s="10">
        <f>IFERROR(SUMIFS('Base bordo CD'!O$2:O$875,'Base bordo CD'!D$2:D$875,A1042,'Base bordo CD'!A$2:A$875,B1042,'Base bordo CD'!L$2:L$875,"CORTE DE CANA MECANIZADO"),0)</f>
        <v>0</v>
      </c>
      <c r="R1042" s="10">
        <f>IFERROR(SUMIFS('Base bordo CD'!Q$2:Q$875,'Base bordo CD'!D$2:D$875,A1042,'Base bordo CD'!A$2:A$875,B1042,'Base bordo CD'!L$2:L$875,"CORTE DE CANA MECANIZADO"),0)</f>
        <v>0</v>
      </c>
      <c r="S1042" s="30" t="str">
        <f t="shared" si="86"/>
        <v/>
      </c>
      <c r="T1042" s="9">
        <f t="shared" si="87"/>
        <v>0</v>
      </c>
      <c r="U1042" s="9">
        <f t="shared" si="88"/>
        <v>0</v>
      </c>
      <c r="V1042" s="9">
        <f t="shared" si="89"/>
        <v>0</v>
      </c>
    </row>
    <row r="1043" spans="1:22" hidden="1" x14ac:dyDescent="0.35">
      <c r="A1043" s="52">
        <v>49589</v>
      </c>
      <c r="B1043" s="31">
        <v>46117</v>
      </c>
      <c r="C1043" s="7" t="s">
        <v>321</v>
      </c>
      <c r="D1043" s="7">
        <v>351</v>
      </c>
      <c r="E1043" s="10">
        <f>IFERROR(SUMIFS('Base bordo CD'!M$2:M$875,'Base bordo CD'!D$2:D$875,A1043,'Base bordo CD'!A$2:A$875,B1043,'Base bordo CD'!L$2:L$875,"CORTE DE CANA MECANIZADO"),0)</f>
        <v>0</v>
      </c>
      <c r="F1043" s="10">
        <f>IFERROR(SUMIFS('Base bordo CD'!M$2:M$875,'Base bordo CD'!D$2:D$875,A1043,'Base bordo CD'!A$2:A$875,B1043,'Base bordo CD'!L$2:L$875,"MANOBRA"),0)</f>
        <v>0</v>
      </c>
      <c r="G1043" s="10">
        <f>IFERROR(SUMIFS('Base bordo CD'!M$2:M$875,'Base bordo CD'!D$2:D$875,A1043,'Base bordo CD'!A$2:A$875,B1043,'Base bordo CD'!L$2:L$875,"DESLOCAMENTO"),0)</f>
        <v>0</v>
      </c>
      <c r="H1043" s="10">
        <f>IFERROR(SUMIFS('Base bordo CD'!M$2:M$875,'Base bordo CD'!D$2:D$875,A1043,'Base bordo CD'!A$2:A$875,B1043,'Base bordo CD'!L$2:L$875,"AGUARDANDO MANOBRA DE TRANSBORDO"),0)+IFERROR(SUMIFS('Base bordo CD'!M$2:M$875,'Base bordo CD'!D$2:D$875,A1043,'Base bordo CD'!A$2:A$875,B1043,'Base bordo CD'!L$2:L$875,"FALTA DE TRANSBORDO"),0)</f>
        <v>0</v>
      </c>
      <c r="I1043" s="10">
        <f>IFERROR(SUMIFS('Base bordo CD'!M$2:M$875,'Base bordo CD'!D$2:D$875,A1043,'Base bordo CD'!A$2:A$875,B1043,'Base bordo CD'!L$2:L$875,"PARADA POR CONDICOES CLIMATICAS"),0)+IFERROR(SUMIFS('Base bordo CD'!M$2:M$875,'Base bordo CD'!D$2:D$875,A1043,'Base bordo CD'!A$2:A$875,B1043,'Base bordo CD'!L$2:L$875,"TEMPO INDETERMINADO"),0)</f>
        <v>0</v>
      </c>
      <c r="J1043" s="10">
        <f>IFERROR(SUMIFS('Base bordo CD'!M$2:M$875,'Base bordo CD'!D$2:D$875,A1043,'Base bordo CD'!A$2:A$875,B1043,'Base bordo CD'!L$2:L$875,"LIMITAÇÃO INDÚSTRIA"),0)</f>
        <v>0</v>
      </c>
      <c r="K1043" s="10">
        <f>IFERROR(SUMIFS('Base bordo CD'!M$2:M$875,'Base bordo CD'!D$2:D$875,A1043,'Base bordo CD'!A$2:A$875,B1043,'Base bordo CD'!L$2:L$875,"MAN CORRETIVA*"),0)+IFERROR(SUMIFS('Base bordo CD'!M$2:M$875,'Base bordo CD'!D$2:D$875,A1043,'Base bordo CD'!A$2:A$875,B1043,'Base bordo CD'!L$2:L$875,"AGUARDANDO MANUTENCAO*"),0)+IFERROR(SUMIFS('Base bordo CD'!M$2:M$875,'Base bordo CD'!D$2:D$875,A1043,'Base bordo CD'!A$2:A$875,B1043,'Base bordo CD'!L$2:L$875,"TROCA DE FAQUINHA"),0)+IFERROR(SUMIFS('Base bordo CD'!M$2:M$875,'Base bordo CD'!D$2:D$875,A1043,'Base bordo CD'!A$2:A$875,B1043,'Base bordo CD'!L$2:L$875,"LIMPEZA*"),0)</f>
        <v>0</v>
      </c>
      <c r="L1043" s="10">
        <f>IFERROR(SUMIFS('Base bordo CD'!M$2:M$875,'Base bordo CD'!D$2:D$875,A1043,'Base bordo CD'!A$2:A$875,B1043,'Base bordo CD'!L$2:L$875,"PATIO - RESERVA"),0)</f>
        <v>0</v>
      </c>
      <c r="M1043" s="10">
        <f>IFERROR(SUMIFS('Base bordo CD'!M$2:M$875,'Base bordo CD'!D$2:D$875,A1043,'Base bordo CD'!A$2:A$875,B1043,'Base bordo CD'!L$2:L$875,"SEM APONTAMENTO"),0)</f>
        <v>0</v>
      </c>
      <c r="N1043" s="10">
        <f>IFERROR(SUMIFS('Base bordo CD'!M$2:M$875,'Base bordo CD'!D$2:D$875,A1043,'Base bordo CD'!A$2:A$875,B1043,'Base bordo CD'!L$2:L$875,"FALTA DE CAMINHÃO"),0)+IFERROR(SUMIFS('Base bordo CD'!M$2:M$875,'Base bordo CD'!D$2:D$875,A1043,'Base bordo CD'!A$2:A$875,B1043,'Base bordo CD'!L$2:L$875,"FALTA DE COMBUSTIVEL"),0)+IFERROR(SUMIFS('Base bordo CD'!M$2:M$875,'Base bordo CD'!D$2:D$875,A1043,'Base bordo CD'!A$2:A$875,B1043,'Base bordo CD'!L$2:L$875,"FALTA DE MOTORIST*"),0)</f>
        <v>0</v>
      </c>
      <c r="O1043" s="10">
        <f t="shared" si="85"/>
        <v>0</v>
      </c>
      <c r="P1043" s="10">
        <f>IFERROR(SUMIFS('Base bordo CD'!M$2:M$875,'Base bordo CD'!D$2:D$875,A1043,'Base bordo CD'!A$2:A$875,B1043),0)</f>
        <v>0</v>
      </c>
      <c r="Q1043" s="10">
        <f>IFERROR(SUMIFS('Base bordo CD'!O$2:O$875,'Base bordo CD'!D$2:D$875,A1043,'Base bordo CD'!A$2:A$875,B1043,'Base bordo CD'!L$2:L$875,"CORTE DE CANA MECANIZADO"),0)</f>
        <v>0</v>
      </c>
      <c r="R1043" s="10">
        <f>IFERROR(SUMIFS('Base bordo CD'!Q$2:Q$875,'Base bordo CD'!D$2:D$875,A1043,'Base bordo CD'!A$2:A$875,B1043,'Base bordo CD'!L$2:L$875,"CORTE DE CANA MECANIZADO"),0)</f>
        <v>0</v>
      </c>
      <c r="S1043" s="30" t="str">
        <f t="shared" si="86"/>
        <v/>
      </c>
      <c r="T1043" s="9">
        <f t="shared" si="87"/>
        <v>0</v>
      </c>
      <c r="U1043" s="9">
        <f t="shared" si="88"/>
        <v>0</v>
      </c>
      <c r="V1043" s="9">
        <f t="shared" si="89"/>
        <v>0</v>
      </c>
    </row>
    <row r="1044" spans="1:22" hidden="1" x14ac:dyDescent="0.35">
      <c r="A1044" s="52">
        <v>49589</v>
      </c>
      <c r="B1044" s="31">
        <v>46117</v>
      </c>
      <c r="C1044" s="7" t="s">
        <v>321</v>
      </c>
      <c r="D1044" s="7">
        <v>351</v>
      </c>
      <c r="E1044" s="10">
        <f>IFERROR(SUMIFS('Base bordo CD'!M$2:M$875,'Base bordo CD'!D$2:D$875,A1044,'Base bordo CD'!A$2:A$875,B1044,'Base bordo CD'!L$2:L$875,"CORTE DE CANA MECANIZADO"),0)</f>
        <v>0</v>
      </c>
      <c r="F1044" s="10">
        <f>IFERROR(SUMIFS('Base bordo CD'!M$2:M$875,'Base bordo CD'!D$2:D$875,A1044,'Base bordo CD'!A$2:A$875,B1044,'Base bordo CD'!L$2:L$875,"MANOBRA"),0)</f>
        <v>0</v>
      </c>
      <c r="G1044" s="10">
        <f>IFERROR(SUMIFS('Base bordo CD'!M$2:M$875,'Base bordo CD'!D$2:D$875,A1044,'Base bordo CD'!A$2:A$875,B1044,'Base bordo CD'!L$2:L$875,"DESLOCAMENTO"),0)</f>
        <v>0</v>
      </c>
      <c r="H1044" s="10">
        <f>IFERROR(SUMIFS('Base bordo CD'!M$2:M$875,'Base bordo CD'!D$2:D$875,A1044,'Base bordo CD'!A$2:A$875,B1044,'Base bordo CD'!L$2:L$875,"AGUARDANDO MANOBRA DE TRANSBORDO"),0)+IFERROR(SUMIFS('Base bordo CD'!M$2:M$875,'Base bordo CD'!D$2:D$875,A1044,'Base bordo CD'!A$2:A$875,B1044,'Base bordo CD'!L$2:L$875,"FALTA DE TRANSBORDO"),0)</f>
        <v>0</v>
      </c>
      <c r="I1044" s="10">
        <f>IFERROR(SUMIFS('Base bordo CD'!M$2:M$875,'Base bordo CD'!D$2:D$875,A1044,'Base bordo CD'!A$2:A$875,B1044,'Base bordo CD'!L$2:L$875,"PARADA POR CONDICOES CLIMATICAS"),0)+IFERROR(SUMIFS('Base bordo CD'!M$2:M$875,'Base bordo CD'!D$2:D$875,A1044,'Base bordo CD'!A$2:A$875,B1044,'Base bordo CD'!L$2:L$875,"TEMPO INDETERMINADO"),0)</f>
        <v>0</v>
      </c>
      <c r="J1044" s="10">
        <f>IFERROR(SUMIFS('Base bordo CD'!M$2:M$875,'Base bordo CD'!D$2:D$875,A1044,'Base bordo CD'!A$2:A$875,B1044,'Base bordo CD'!L$2:L$875,"LIMITAÇÃO INDÚSTRIA"),0)</f>
        <v>0</v>
      </c>
      <c r="K1044" s="10">
        <f>IFERROR(SUMIFS('Base bordo CD'!M$2:M$875,'Base bordo CD'!D$2:D$875,A1044,'Base bordo CD'!A$2:A$875,B1044,'Base bordo CD'!L$2:L$875,"MAN CORRETIVA*"),0)+IFERROR(SUMIFS('Base bordo CD'!M$2:M$875,'Base bordo CD'!D$2:D$875,A1044,'Base bordo CD'!A$2:A$875,B1044,'Base bordo CD'!L$2:L$875,"AGUARDANDO MANUTENCAO*"),0)+IFERROR(SUMIFS('Base bordo CD'!M$2:M$875,'Base bordo CD'!D$2:D$875,A1044,'Base bordo CD'!A$2:A$875,B1044,'Base bordo CD'!L$2:L$875,"TROCA DE FAQUINHA"),0)+IFERROR(SUMIFS('Base bordo CD'!M$2:M$875,'Base bordo CD'!D$2:D$875,A1044,'Base bordo CD'!A$2:A$875,B1044,'Base bordo CD'!L$2:L$875,"LIMPEZA*"),0)</f>
        <v>0</v>
      </c>
      <c r="L1044" s="10">
        <f>IFERROR(SUMIFS('Base bordo CD'!M$2:M$875,'Base bordo CD'!D$2:D$875,A1044,'Base bordo CD'!A$2:A$875,B1044,'Base bordo CD'!L$2:L$875,"PATIO - RESERVA"),0)</f>
        <v>0</v>
      </c>
      <c r="M1044" s="10">
        <f>IFERROR(SUMIFS('Base bordo CD'!M$2:M$875,'Base bordo CD'!D$2:D$875,A1044,'Base bordo CD'!A$2:A$875,B1044,'Base bordo CD'!L$2:L$875,"SEM APONTAMENTO"),0)</f>
        <v>0</v>
      </c>
      <c r="N1044" s="10">
        <f>IFERROR(SUMIFS('Base bordo CD'!M$2:M$875,'Base bordo CD'!D$2:D$875,A1044,'Base bordo CD'!A$2:A$875,B1044,'Base bordo CD'!L$2:L$875,"FALTA DE CAMINHÃO"),0)+IFERROR(SUMIFS('Base bordo CD'!M$2:M$875,'Base bordo CD'!D$2:D$875,A1044,'Base bordo CD'!A$2:A$875,B1044,'Base bordo CD'!L$2:L$875,"FALTA DE COMBUSTIVEL"),0)+IFERROR(SUMIFS('Base bordo CD'!M$2:M$875,'Base bordo CD'!D$2:D$875,A1044,'Base bordo CD'!A$2:A$875,B1044,'Base bordo CD'!L$2:L$875,"FALTA DE MOTORIST*"),0)</f>
        <v>0</v>
      </c>
      <c r="O1044" s="10">
        <f t="shared" si="85"/>
        <v>0</v>
      </c>
      <c r="P1044" s="10">
        <f>IFERROR(SUMIFS('Base bordo CD'!M$2:M$875,'Base bordo CD'!D$2:D$875,A1044,'Base bordo CD'!A$2:A$875,B1044),0)</f>
        <v>0</v>
      </c>
      <c r="Q1044" s="10">
        <f>IFERROR(SUMIFS('Base bordo CD'!O$2:O$875,'Base bordo CD'!D$2:D$875,A1044,'Base bordo CD'!A$2:A$875,B1044,'Base bordo CD'!L$2:L$875,"CORTE DE CANA MECANIZADO"),0)</f>
        <v>0</v>
      </c>
      <c r="R1044" s="10">
        <f>IFERROR(SUMIFS('Base bordo CD'!Q$2:Q$875,'Base bordo CD'!D$2:D$875,A1044,'Base bordo CD'!A$2:A$875,B1044,'Base bordo CD'!L$2:L$875,"CORTE DE CANA MECANIZADO"),0)</f>
        <v>0</v>
      </c>
      <c r="S1044" s="30" t="str">
        <f t="shared" si="86"/>
        <v/>
      </c>
      <c r="T1044" s="9">
        <f t="shared" si="87"/>
        <v>0</v>
      </c>
      <c r="U1044" s="9">
        <f t="shared" si="88"/>
        <v>0</v>
      </c>
      <c r="V1044" s="9">
        <f t="shared" si="89"/>
        <v>0</v>
      </c>
    </row>
    <row r="1045" spans="1:22" hidden="1" x14ac:dyDescent="0.35">
      <c r="A1045" s="52">
        <v>49589</v>
      </c>
      <c r="B1045" s="31">
        <v>46117</v>
      </c>
      <c r="C1045" s="7" t="s">
        <v>321</v>
      </c>
      <c r="D1045" s="7">
        <v>351</v>
      </c>
      <c r="E1045" s="10">
        <f>IFERROR(SUMIFS('Base bordo CD'!M$2:M$875,'Base bordo CD'!D$2:D$875,A1045,'Base bordo CD'!A$2:A$875,B1045,'Base bordo CD'!L$2:L$875,"CORTE DE CANA MECANIZADO"),0)</f>
        <v>0</v>
      </c>
      <c r="F1045" s="10">
        <f>IFERROR(SUMIFS('Base bordo CD'!M$2:M$875,'Base bordo CD'!D$2:D$875,A1045,'Base bordo CD'!A$2:A$875,B1045,'Base bordo CD'!L$2:L$875,"MANOBRA"),0)</f>
        <v>0</v>
      </c>
      <c r="G1045" s="10">
        <f>IFERROR(SUMIFS('Base bordo CD'!M$2:M$875,'Base bordo CD'!D$2:D$875,A1045,'Base bordo CD'!A$2:A$875,B1045,'Base bordo CD'!L$2:L$875,"DESLOCAMENTO"),0)</f>
        <v>0</v>
      </c>
      <c r="H1045" s="10">
        <f>IFERROR(SUMIFS('Base bordo CD'!M$2:M$875,'Base bordo CD'!D$2:D$875,A1045,'Base bordo CD'!A$2:A$875,B1045,'Base bordo CD'!L$2:L$875,"AGUARDANDO MANOBRA DE TRANSBORDO"),0)+IFERROR(SUMIFS('Base bordo CD'!M$2:M$875,'Base bordo CD'!D$2:D$875,A1045,'Base bordo CD'!A$2:A$875,B1045,'Base bordo CD'!L$2:L$875,"FALTA DE TRANSBORDO"),0)</f>
        <v>0</v>
      </c>
      <c r="I1045" s="10">
        <f>IFERROR(SUMIFS('Base bordo CD'!M$2:M$875,'Base bordo CD'!D$2:D$875,A1045,'Base bordo CD'!A$2:A$875,B1045,'Base bordo CD'!L$2:L$875,"PARADA POR CONDICOES CLIMATICAS"),0)+IFERROR(SUMIFS('Base bordo CD'!M$2:M$875,'Base bordo CD'!D$2:D$875,A1045,'Base bordo CD'!A$2:A$875,B1045,'Base bordo CD'!L$2:L$875,"TEMPO INDETERMINADO"),0)</f>
        <v>0</v>
      </c>
      <c r="J1045" s="10">
        <f>IFERROR(SUMIFS('Base bordo CD'!M$2:M$875,'Base bordo CD'!D$2:D$875,A1045,'Base bordo CD'!A$2:A$875,B1045,'Base bordo CD'!L$2:L$875,"LIMITAÇÃO INDÚSTRIA"),0)</f>
        <v>0</v>
      </c>
      <c r="K1045" s="10">
        <f>IFERROR(SUMIFS('Base bordo CD'!M$2:M$875,'Base bordo CD'!D$2:D$875,A1045,'Base bordo CD'!A$2:A$875,B1045,'Base bordo CD'!L$2:L$875,"MAN CORRETIVA*"),0)+IFERROR(SUMIFS('Base bordo CD'!M$2:M$875,'Base bordo CD'!D$2:D$875,A1045,'Base bordo CD'!A$2:A$875,B1045,'Base bordo CD'!L$2:L$875,"AGUARDANDO MANUTENCAO*"),0)+IFERROR(SUMIFS('Base bordo CD'!M$2:M$875,'Base bordo CD'!D$2:D$875,A1045,'Base bordo CD'!A$2:A$875,B1045,'Base bordo CD'!L$2:L$875,"TROCA DE FAQUINHA"),0)+IFERROR(SUMIFS('Base bordo CD'!M$2:M$875,'Base bordo CD'!D$2:D$875,A1045,'Base bordo CD'!A$2:A$875,B1045,'Base bordo CD'!L$2:L$875,"LIMPEZA*"),0)</f>
        <v>0</v>
      </c>
      <c r="L1045" s="10">
        <f>IFERROR(SUMIFS('Base bordo CD'!M$2:M$875,'Base bordo CD'!D$2:D$875,A1045,'Base bordo CD'!A$2:A$875,B1045,'Base bordo CD'!L$2:L$875,"PATIO - RESERVA"),0)</f>
        <v>0</v>
      </c>
      <c r="M1045" s="10">
        <f>IFERROR(SUMIFS('Base bordo CD'!M$2:M$875,'Base bordo CD'!D$2:D$875,A1045,'Base bordo CD'!A$2:A$875,B1045,'Base bordo CD'!L$2:L$875,"SEM APONTAMENTO"),0)</f>
        <v>0</v>
      </c>
      <c r="N1045" s="10">
        <f>IFERROR(SUMIFS('Base bordo CD'!M$2:M$875,'Base bordo CD'!D$2:D$875,A1045,'Base bordo CD'!A$2:A$875,B1045,'Base bordo CD'!L$2:L$875,"FALTA DE CAMINHÃO"),0)+IFERROR(SUMIFS('Base bordo CD'!M$2:M$875,'Base bordo CD'!D$2:D$875,A1045,'Base bordo CD'!A$2:A$875,B1045,'Base bordo CD'!L$2:L$875,"FALTA DE COMBUSTIVEL"),0)+IFERROR(SUMIFS('Base bordo CD'!M$2:M$875,'Base bordo CD'!D$2:D$875,A1045,'Base bordo CD'!A$2:A$875,B1045,'Base bordo CD'!L$2:L$875,"FALTA DE MOTORIST*"),0)</f>
        <v>0</v>
      </c>
      <c r="O1045" s="10">
        <f t="shared" si="85"/>
        <v>0</v>
      </c>
      <c r="P1045" s="10">
        <f>IFERROR(SUMIFS('Base bordo CD'!M$2:M$875,'Base bordo CD'!D$2:D$875,A1045,'Base bordo CD'!A$2:A$875,B1045),0)</f>
        <v>0</v>
      </c>
      <c r="Q1045" s="10">
        <f>IFERROR(SUMIFS('Base bordo CD'!O$2:O$875,'Base bordo CD'!D$2:D$875,A1045,'Base bordo CD'!A$2:A$875,B1045,'Base bordo CD'!L$2:L$875,"CORTE DE CANA MECANIZADO"),0)</f>
        <v>0</v>
      </c>
      <c r="R1045" s="10">
        <f>IFERROR(SUMIFS('Base bordo CD'!Q$2:Q$875,'Base bordo CD'!D$2:D$875,A1045,'Base bordo CD'!A$2:A$875,B1045,'Base bordo CD'!L$2:L$875,"CORTE DE CANA MECANIZADO"),0)</f>
        <v>0</v>
      </c>
      <c r="S1045" s="30" t="str">
        <f t="shared" si="86"/>
        <v/>
      </c>
      <c r="T1045" s="9">
        <f t="shared" si="87"/>
        <v>0</v>
      </c>
      <c r="U1045" s="9">
        <f t="shared" si="88"/>
        <v>0</v>
      </c>
      <c r="V1045" s="9">
        <f t="shared" si="89"/>
        <v>0</v>
      </c>
    </row>
    <row r="1046" spans="1:22" hidden="1" x14ac:dyDescent="0.35">
      <c r="A1046" s="52">
        <v>49589</v>
      </c>
      <c r="B1046" s="31">
        <v>46117</v>
      </c>
      <c r="C1046" s="7" t="s">
        <v>321</v>
      </c>
      <c r="D1046" s="7">
        <v>351</v>
      </c>
      <c r="E1046" s="10">
        <f>IFERROR(SUMIFS('Base bordo CD'!M$2:M$875,'Base bordo CD'!D$2:D$875,A1046,'Base bordo CD'!A$2:A$875,B1046,'Base bordo CD'!L$2:L$875,"CORTE DE CANA MECANIZADO"),0)</f>
        <v>0</v>
      </c>
      <c r="F1046" s="10">
        <f>IFERROR(SUMIFS('Base bordo CD'!M$2:M$875,'Base bordo CD'!D$2:D$875,A1046,'Base bordo CD'!A$2:A$875,B1046,'Base bordo CD'!L$2:L$875,"MANOBRA"),0)</f>
        <v>0</v>
      </c>
      <c r="G1046" s="10">
        <f>IFERROR(SUMIFS('Base bordo CD'!M$2:M$875,'Base bordo CD'!D$2:D$875,A1046,'Base bordo CD'!A$2:A$875,B1046,'Base bordo CD'!L$2:L$875,"DESLOCAMENTO"),0)</f>
        <v>0</v>
      </c>
      <c r="H1046" s="10">
        <f>IFERROR(SUMIFS('Base bordo CD'!M$2:M$875,'Base bordo CD'!D$2:D$875,A1046,'Base bordo CD'!A$2:A$875,B1046,'Base bordo CD'!L$2:L$875,"AGUARDANDO MANOBRA DE TRANSBORDO"),0)+IFERROR(SUMIFS('Base bordo CD'!M$2:M$875,'Base bordo CD'!D$2:D$875,A1046,'Base bordo CD'!A$2:A$875,B1046,'Base bordo CD'!L$2:L$875,"FALTA DE TRANSBORDO"),0)</f>
        <v>0</v>
      </c>
      <c r="I1046" s="10">
        <f>IFERROR(SUMIFS('Base bordo CD'!M$2:M$875,'Base bordo CD'!D$2:D$875,A1046,'Base bordo CD'!A$2:A$875,B1046,'Base bordo CD'!L$2:L$875,"PARADA POR CONDICOES CLIMATICAS"),0)+IFERROR(SUMIFS('Base bordo CD'!M$2:M$875,'Base bordo CD'!D$2:D$875,A1046,'Base bordo CD'!A$2:A$875,B1046,'Base bordo CD'!L$2:L$875,"TEMPO INDETERMINADO"),0)</f>
        <v>0</v>
      </c>
      <c r="J1046" s="10">
        <f>IFERROR(SUMIFS('Base bordo CD'!M$2:M$875,'Base bordo CD'!D$2:D$875,A1046,'Base bordo CD'!A$2:A$875,B1046,'Base bordo CD'!L$2:L$875,"LIMITAÇÃO INDÚSTRIA"),0)</f>
        <v>0</v>
      </c>
      <c r="K1046" s="10">
        <f>IFERROR(SUMIFS('Base bordo CD'!M$2:M$875,'Base bordo CD'!D$2:D$875,A1046,'Base bordo CD'!A$2:A$875,B1046,'Base bordo CD'!L$2:L$875,"MAN CORRETIVA*"),0)+IFERROR(SUMIFS('Base bordo CD'!M$2:M$875,'Base bordo CD'!D$2:D$875,A1046,'Base bordo CD'!A$2:A$875,B1046,'Base bordo CD'!L$2:L$875,"AGUARDANDO MANUTENCAO*"),0)+IFERROR(SUMIFS('Base bordo CD'!M$2:M$875,'Base bordo CD'!D$2:D$875,A1046,'Base bordo CD'!A$2:A$875,B1046,'Base bordo CD'!L$2:L$875,"TROCA DE FAQUINHA"),0)+IFERROR(SUMIFS('Base bordo CD'!M$2:M$875,'Base bordo CD'!D$2:D$875,A1046,'Base bordo CD'!A$2:A$875,B1046,'Base bordo CD'!L$2:L$875,"LIMPEZA*"),0)</f>
        <v>0</v>
      </c>
      <c r="L1046" s="10">
        <f>IFERROR(SUMIFS('Base bordo CD'!M$2:M$875,'Base bordo CD'!D$2:D$875,A1046,'Base bordo CD'!A$2:A$875,B1046,'Base bordo CD'!L$2:L$875,"PATIO - RESERVA"),0)</f>
        <v>0</v>
      </c>
      <c r="M1046" s="10">
        <f>IFERROR(SUMIFS('Base bordo CD'!M$2:M$875,'Base bordo CD'!D$2:D$875,A1046,'Base bordo CD'!A$2:A$875,B1046,'Base bordo CD'!L$2:L$875,"SEM APONTAMENTO"),0)</f>
        <v>0</v>
      </c>
      <c r="N1046" s="10">
        <f>IFERROR(SUMIFS('Base bordo CD'!M$2:M$875,'Base bordo CD'!D$2:D$875,A1046,'Base bordo CD'!A$2:A$875,B1046,'Base bordo CD'!L$2:L$875,"FALTA DE CAMINHÃO"),0)+IFERROR(SUMIFS('Base bordo CD'!M$2:M$875,'Base bordo CD'!D$2:D$875,A1046,'Base bordo CD'!A$2:A$875,B1046,'Base bordo CD'!L$2:L$875,"FALTA DE COMBUSTIVEL"),0)+IFERROR(SUMIFS('Base bordo CD'!M$2:M$875,'Base bordo CD'!D$2:D$875,A1046,'Base bordo CD'!A$2:A$875,B1046,'Base bordo CD'!L$2:L$875,"FALTA DE MOTORIST*"),0)</f>
        <v>0</v>
      </c>
      <c r="O1046" s="10">
        <f t="shared" si="85"/>
        <v>0</v>
      </c>
      <c r="P1046" s="10">
        <f>IFERROR(SUMIFS('Base bordo CD'!M$2:M$875,'Base bordo CD'!D$2:D$875,A1046,'Base bordo CD'!A$2:A$875,B1046),0)</f>
        <v>0</v>
      </c>
      <c r="Q1046" s="10">
        <f>IFERROR(SUMIFS('Base bordo CD'!O$2:O$875,'Base bordo CD'!D$2:D$875,A1046,'Base bordo CD'!A$2:A$875,B1046,'Base bordo CD'!L$2:L$875,"CORTE DE CANA MECANIZADO"),0)</f>
        <v>0</v>
      </c>
      <c r="R1046" s="10">
        <f>IFERROR(SUMIFS('Base bordo CD'!Q$2:Q$875,'Base bordo CD'!D$2:D$875,A1046,'Base bordo CD'!A$2:A$875,B1046,'Base bordo CD'!L$2:L$875,"CORTE DE CANA MECANIZADO"),0)</f>
        <v>0</v>
      </c>
      <c r="S1046" s="30" t="str">
        <f t="shared" si="86"/>
        <v/>
      </c>
      <c r="T1046" s="9">
        <f t="shared" si="87"/>
        <v>0</v>
      </c>
      <c r="U1046" s="9">
        <f t="shared" si="88"/>
        <v>0</v>
      </c>
      <c r="V1046" s="9">
        <f t="shared" si="89"/>
        <v>0</v>
      </c>
    </row>
    <row r="1047" spans="1:22" hidden="1" x14ac:dyDescent="0.35">
      <c r="A1047" s="52">
        <v>49589</v>
      </c>
      <c r="B1047" s="31">
        <v>46117</v>
      </c>
      <c r="C1047" s="7" t="s">
        <v>321</v>
      </c>
      <c r="D1047" s="7">
        <v>351</v>
      </c>
      <c r="E1047" s="10">
        <f>IFERROR(SUMIFS('Base bordo CD'!M$2:M$875,'Base bordo CD'!D$2:D$875,A1047,'Base bordo CD'!A$2:A$875,B1047,'Base bordo CD'!L$2:L$875,"CORTE DE CANA MECANIZADO"),0)</f>
        <v>0</v>
      </c>
      <c r="F1047" s="10">
        <f>IFERROR(SUMIFS('Base bordo CD'!M$2:M$875,'Base bordo CD'!D$2:D$875,A1047,'Base bordo CD'!A$2:A$875,B1047,'Base bordo CD'!L$2:L$875,"MANOBRA"),0)</f>
        <v>0</v>
      </c>
      <c r="G1047" s="10">
        <f>IFERROR(SUMIFS('Base bordo CD'!M$2:M$875,'Base bordo CD'!D$2:D$875,A1047,'Base bordo CD'!A$2:A$875,B1047,'Base bordo CD'!L$2:L$875,"DESLOCAMENTO"),0)</f>
        <v>0</v>
      </c>
      <c r="H1047" s="10">
        <f>IFERROR(SUMIFS('Base bordo CD'!M$2:M$875,'Base bordo CD'!D$2:D$875,A1047,'Base bordo CD'!A$2:A$875,B1047,'Base bordo CD'!L$2:L$875,"AGUARDANDO MANOBRA DE TRANSBORDO"),0)+IFERROR(SUMIFS('Base bordo CD'!M$2:M$875,'Base bordo CD'!D$2:D$875,A1047,'Base bordo CD'!A$2:A$875,B1047,'Base bordo CD'!L$2:L$875,"FALTA DE TRANSBORDO"),0)</f>
        <v>0</v>
      </c>
      <c r="I1047" s="10">
        <f>IFERROR(SUMIFS('Base bordo CD'!M$2:M$875,'Base bordo CD'!D$2:D$875,A1047,'Base bordo CD'!A$2:A$875,B1047,'Base bordo CD'!L$2:L$875,"PARADA POR CONDICOES CLIMATICAS"),0)+IFERROR(SUMIFS('Base bordo CD'!M$2:M$875,'Base bordo CD'!D$2:D$875,A1047,'Base bordo CD'!A$2:A$875,B1047,'Base bordo CD'!L$2:L$875,"TEMPO INDETERMINADO"),0)</f>
        <v>0</v>
      </c>
      <c r="J1047" s="10">
        <f>IFERROR(SUMIFS('Base bordo CD'!M$2:M$875,'Base bordo CD'!D$2:D$875,A1047,'Base bordo CD'!A$2:A$875,B1047,'Base bordo CD'!L$2:L$875,"LIMITAÇÃO INDÚSTRIA"),0)</f>
        <v>0</v>
      </c>
      <c r="K1047" s="10">
        <f>IFERROR(SUMIFS('Base bordo CD'!M$2:M$875,'Base bordo CD'!D$2:D$875,A1047,'Base bordo CD'!A$2:A$875,B1047,'Base bordo CD'!L$2:L$875,"MAN CORRETIVA*"),0)+IFERROR(SUMIFS('Base bordo CD'!M$2:M$875,'Base bordo CD'!D$2:D$875,A1047,'Base bordo CD'!A$2:A$875,B1047,'Base bordo CD'!L$2:L$875,"AGUARDANDO MANUTENCAO*"),0)+IFERROR(SUMIFS('Base bordo CD'!M$2:M$875,'Base bordo CD'!D$2:D$875,A1047,'Base bordo CD'!A$2:A$875,B1047,'Base bordo CD'!L$2:L$875,"TROCA DE FAQUINHA"),0)+IFERROR(SUMIFS('Base bordo CD'!M$2:M$875,'Base bordo CD'!D$2:D$875,A1047,'Base bordo CD'!A$2:A$875,B1047,'Base bordo CD'!L$2:L$875,"LIMPEZA*"),0)</f>
        <v>0</v>
      </c>
      <c r="L1047" s="10">
        <f>IFERROR(SUMIFS('Base bordo CD'!M$2:M$875,'Base bordo CD'!D$2:D$875,A1047,'Base bordo CD'!A$2:A$875,B1047,'Base bordo CD'!L$2:L$875,"PATIO - RESERVA"),0)</f>
        <v>0</v>
      </c>
      <c r="M1047" s="10">
        <f>IFERROR(SUMIFS('Base bordo CD'!M$2:M$875,'Base bordo CD'!D$2:D$875,A1047,'Base bordo CD'!A$2:A$875,B1047,'Base bordo CD'!L$2:L$875,"SEM APONTAMENTO"),0)</f>
        <v>0</v>
      </c>
      <c r="N1047" s="10">
        <f>IFERROR(SUMIFS('Base bordo CD'!M$2:M$875,'Base bordo CD'!D$2:D$875,A1047,'Base bordo CD'!A$2:A$875,B1047,'Base bordo CD'!L$2:L$875,"FALTA DE CAMINHÃO"),0)+IFERROR(SUMIFS('Base bordo CD'!M$2:M$875,'Base bordo CD'!D$2:D$875,A1047,'Base bordo CD'!A$2:A$875,B1047,'Base bordo CD'!L$2:L$875,"FALTA DE COMBUSTIVEL"),0)+IFERROR(SUMIFS('Base bordo CD'!M$2:M$875,'Base bordo CD'!D$2:D$875,A1047,'Base bordo CD'!A$2:A$875,B1047,'Base bordo CD'!L$2:L$875,"FALTA DE MOTORIST*"),0)</f>
        <v>0</v>
      </c>
      <c r="O1047" s="10">
        <f t="shared" si="85"/>
        <v>0</v>
      </c>
      <c r="P1047" s="10">
        <f>IFERROR(SUMIFS('Base bordo CD'!M$2:M$875,'Base bordo CD'!D$2:D$875,A1047,'Base bordo CD'!A$2:A$875,B1047),0)</f>
        <v>0</v>
      </c>
      <c r="Q1047" s="10">
        <f>IFERROR(SUMIFS('Base bordo CD'!O$2:O$875,'Base bordo CD'!D$2:D$875,A1047,'Base bordo CD'!A$2:A$875,B1047,'Base bordo CD'!L$2:L$875,"CORTE DE CANA MECANIZADO"),0)</f>
        <v>0</v>
      </c>
      <c r="R1047" s="10">
        <f>IFERROR(SUMIFS('Base bordo CD'!Q$2:Q$875,'Base bordo CD'!D$2:D$875,A1047,'Base bordo CD'!A$2:A$875,B1047,'Base bordo CD'!L$2:L$875,"CORTE DE CANA MECANIZADO"),0)</f>
        <v>0</v>
      </c>
      <c r="S1047" s="30" t="str">
        <f t="shared" si="86"/>
        <v/>
      </c>
      <c r="T1047" s="9">
        <f t="shared" si="87"/>
        <v>0</v>
      </c>
      <c r="U1047" s="9">
        <f t="shared" si="88"/>
        <v>0</v>
      </c>
      <c r="V1047" s="9">
        <f t="shared" si="89"/>
        <v>0</v>
      </c>
    </row>
    <row r="1048" spans="1:22" hidden="1" x14ac:dyDescent="0.35">
      <c r="A1048" s="52">
        <v>49589</v>
      </c>
      <c r="B1048" s="31">
        <v>46117</v>
      </c>
      <c r="C1048" s="7" t="s">
        <v>321</v>
      </c>
      <c r="D1048" s="7">
        <v>351</v>
      </c>
      <c r="E1048" s="10">
        <f>IFERROR(SUMIFS('Base bordo CD'!M$2:M$875,'Base bordo CD'!D$2:D$875,A1048,'Base bordo CD'!A$2:A$875,B1048,'Base bordo CD'!L$2:L$875,"CORTE DE CANA MECANIZADO"),0)</f>
        <v>0</v>
      </c>
      <c r="F1048" s="10">
        <f>IFERROR(SUMIFS('Base bordo CD'!M$2:M$875,'Base bordo CD'!D$2:D$875,A1048,'Base bordo CD'!A$2:A$875,B1048,'Base bordo CD'!L$2:L$875,"MANOBRA"),0)</f>
        <v>0</v>
      </c>
      <c r="G1048" s="10">
        <f>IFERROR(SUMIFS('Base bordo CD'!M$2:M$875,'Base bordo CD'!D$2:D$875,A1048,'Base bordo CD'!A$2:A$875,B1048,'Base bordo CD'!L$2:L$875,"DESLOCAMENTO"),0)</f>
        <v>0</v>
      </c>
      <c r="H1048" s="10">
        <f>IFERROR(SUMIFS('Base bordo CD'!M$2:M$875,'Base bordo CD'!D$2:D$875,A1048,'Base bordo CD'!A$2:A$875,B1048,'Base bordo CD'!L$2:L$875,"AGUARDANDO MANOBRA DE TRANSBORDO"),0)+IFERROR(SUMIFS('Base bordo CD'!M$2:M$875,'Base bordo CD'!D$2:D$875,A1048,'Base bordo CD'!A$2:A$875,B1048,'Base bordo CD'!L$2:L$875,"FALTA DE TRANSBORDO"),0)</f>
        <v>0</v>
      </c>
      <c r="I1048" s="10">
        <f>IFERROR(SUMIFS('Base bordo CD'!M$2:M$875,'Base bordo CD'!D$2:D$875,A1048,'Base bordo CD'!A$2:A$875,B1048,'Base bordo CD'!L$2:L$875,"PARADA POR CONDICOES CLIMATICAS"),0)+IFERROR(SUMIFS('Base bordo CD'!M$2:M$875,'Base bordo CD'!D$2:D$875,A1048,'Base bordo CD'!A$2:A$875,B1048,'Base bordo CD'!L$2:L$875,"TEMPO INDETERMINADO"),0)</f>
        <v>0</v>
      </c>
      <c r="J1048" s="10">
        <f>IFERROR(SUMIFS('Base bordo CD'!M$2:M$875,'Base bordo CD'!D$2:D$875,A1048,'Base bordo CD'!A$2:A$875,B1048,'Base bordo CD'!L$2:L$875,"LIMITAÇÃO INDÚSTRIA"),0)</f>
        <v>0</v>
      </c>
      <c r="K1048" s="10">
        <f>IFERROR(SUMIFS('Base bordo CD'!M$2:M$875,'Base bordo CD'!D$2:D$875,A1048,'Base bordo CD'!A$2:A$875,B1048,'Base bordo CD'!L$2:L$875,"MAN CORRETIVA*"),0)+IFERROR(SUMIFS('Base bordo CD'!M$2:M$875,'Base bordo CD'!D$2:D$875,A1048,'Base bordo CD'!A$2:A$875,B1048,'Base bordo CD'!L$2:L$875,"AGUARDANDO MANUTENCAO*"),0)+IFERROR(SUMIFS('Base bordo CD'!M$2:M$875,'Base bordo CD'!D$2:D$875,A1048,'Base bordo CD'!A$2:A$875,B1048,'Base bordo CD'!L$2:L$875,"TROCA DE FAQUINHA"),0)+IFERROR(SUMIFS('Base bordo CD'!M$2:M$875,'Base bordo CD'!D$2:D$875,A1048,'Base bordo CD'!A$2:A$875,B1048,'Base bordo CD'!L$2:L$875,"LIMPEZA*"),0)</f>
        <v>0</v>
      </c>
      <c r="L1048" s="10">
        <f>IFERROR(SUMIFS('Base bordo CD'!M$2:M$875,'Base bordo CD'!D$2:D$875,A1048,'Base bordo CD'!A$2:A$875,B1048,'Base bordo CD'!L$2:L$875,"PATIO - RESERVA"),0)</f>
        <v>0</v>
      </c>
      <c r="M1048" s="10">
        <f>IFERROR(SUMIFS('Base bordo CD'!M$2:M$875,'Base bordo CD'!D$2:D$875,A1048,'Base bordo CD'!A$2:A$875,B1048,'Base bordo CD'!L$2:L$875,"SEM APONTAMENTO"),0)</f>
        <v>0</v>
      </c>
      <c r="N1048" s="10">
        <f>IFERROR(SUMIFS('Base bordo CD'!M$2:M$875,'Base bordo CD'!D$2:D$875,A1048,'Base bordo CD'!A$2:A$875,B1048,'Base bordo CD'!L$2:L$875,"FALTA DE CAMINHÃO"),0)+IFERROR(SUMIFS('Base bordo CD'!M$2:M$875,'Base bordo CD'!D$2:D$875,A1048,'Base bordo CD'!A$2:A$875,B1048,'Base bordo CD'!L$2:L$875,"FALTA DE COMBUSTIVEL"),0)+IFERROR(SUMIFS('Base bordo CD'!M$2:M$875,'Base bordo CD'!D$2:D$875,A1048,'Base bordo CD'!A$2:A$875,B1048,'Base bordo CD'!L$2:L$875,"FALTA DE MOTORIST*"),0)</f>
        <v>0</v>
      </c>
      <c r="O1048" s="10">
        <f t="shared" si="85"/>
        <v>0</v>
      </c>
      <c r="P1048" s="10">
        <f>IFERROR(SUMIFS('Base bordo CD'!M$2:M$875,'Base bordo CD'!D$2:D$875,A1048,'Base bordo CD'!A$2:A$875,B1048),0)</f>
        <v>0</v>
      </c>
      <c r="Q1048" s="10">
        <f>IFERROR(SUMIFS('Base bordo CD'!O$2:O$875,'Base bordo CD'!D$2:D$875,A1048,'Base bordo CD'!A$2:A$875,B1048,'Base bordo CD'!L$2:L$875,"CORTE DE CANA MECANIZADO"),0)</f>
        <v>0</v>
      </c>
      <c r="R1048" s="10">
        <f>IFERROR(SUMIFS('Base bordo CD'!Q$2:Q$875,'Base bordo CD'!D$2:D$875,A1048,'Base bordo CD'!A$2:A$875,B1048,'Base bordo CD'!L$2:L$875,"CORTE DE CANA MECANIZADO"),0)</f>
        <v>0</v>
      </c>
      <c r="S1048" s="30" t="str">
        <f t="shared" si="86"/>
        <v/>
      </c>
      <c r="T1048" s="9">
        <f t="shared" si="87"/>
        <v>0</v>
      </c>
      <c r="U1048" s="9">
        <f t="shared" si="88"/>
        <v>0</v>
      </c>
      <c r="V1048" s="9">
        <f t="shared" si="89"/>
        <v>0</v>
      </c>
    </row>
    <row r="1049" spans="1:22" hidden="1" x14ac:dyDescent="0.35">
      <c r="A1049" s="52">
        <v>49589</v>
      </c>
      <c r="B1049" s="31">
        <v>46117</v>
      </c>
      <c r="C1049" s="7" t="s">
        <v>321</v>
      </c>
      <c r="D1049" s="7">
        <v>351</v>
      </c>
      <c r="E1049" s="10">
        <f>IFERROR(SUMIFS('Base bordo CD'!M$2:M$875,'Base bordo CD'!D$2:D$875,A1049,'Base bordo CD'!A$2:A$875,B1049,'Base bordo CD'!L$2:L$875,"CORTE DE CANA MECANIZADO"),0)</f>
        <v>0</v>
      </c>
      <c r="F1049" s="10">
        <f>IFERROR(SUMIFS('Base bordo CD'!M$2:M$875,'Base bordo CD'!D$2:D$875,A1049,'Base bordo CD'!A$2:A$875,B1049,'Base bordo CD'!L$2:L$875,"MANOBRA"),0)</f>
        <v>0</v>
      </c>
      <c r="G1049" s="10">
        <f>IFERROR(SUMIFS('Base bordo CD'!M$2:M$875,'Base bordo CD'!D$2:D$875,A1049,'Base bordo CD'!A$2:A$875,B1049,'Base bordo CD'!L$2:L$875,"DESLOCAMENTO"),0)</f>
        <v>0</v>
      </c>
      <c r="H1049" s="10">
        <f>IFERROR(SUMIFS('Base bordo CD'!M$2:M$875,'Base bordo CD'!D$2:D$875,A1049,'Base bordo CD'!A$2:A$875,B1049,'Base bordo CD'!L$2:L$875,"AGUARDANDO MANOBRA DE TRANSBORDO"),0)+IFERROR(SUMIFS('Base bordo CD'!M$2:M$875,'Base bordo CD'!D$2:D$875,A1049,'Base bordo CD'!A$2:A$875,B1049,'Base bordo CD'!L$2:L$875,"FALTA DE TRANSBORDO"),0)</f>
        <v>0</v>
      </c>
      <c r="I1049" s="10">
        <f>IFERROR(SUMIFS('Base bordo CD'!M$2:M$875,'Base bordo CD'!D$2:D$875,A1049,'Base bordo CD'!A$2:A$875,B1049,'Base bordo CD'!L$2:L$875,"PARADA POR CONDICOES CLIMATICAS"),0)+IFERROR(SUMIFS('Base bordo CD'!M$2:M$875,'Base bordo CD'!D$2:D$875,A1049,'Base bordo CD'!A$2:A$875,B1049,'Base bordo CD'!L$2:L$875,"TEMPO INDETERMINADO"),0)</f>
        <v>0</v>
      </c>
      <c r="J1049" s="10">
        <f>IFERROR(SUMIFS('Base bordo CD'!M$2:M$875,'Base bordo CD'!D$2:D$875,A1049,'Base bordo CD'!A$2:A$875,B1049,'Base bordo CD'!L$2:L$875,"LIMITAÇÃO INDÚSTRIA"),0)</f>
        <v>0</v>
      </c>
      <c r="K1049" s="10">
        <f>IFERROR(SUMIFS('Base bordo CD'!M$2:M$875,'Base bordo CD'!D$2:D$875,A1049,'Base bordo CD'!A$2:A$875,B1049,'Base bordo CD'!L$2:L$875,"MAN CORRETIVA*"),0)+IFERROR(SUMIFS('Base bordo CD'!M$2:M$875,'Base bordo CD'!D$2:D$875,A1049,'Base bordo CD'!A$2:A$875,B1049,'Base bordo CD'!L$2:L$875,"AGUARDANDO MANUTENCAO*"),0)+IFERROR(SUMIFS('Base bordo CD'!M$2:M$875,'Base bordo CD'!D$2:D$875,A1049,'Base bordo CD'!A$2:A$875,B1049,'Base bordo CD'!L$2:L$875,"TROCA DE FAQUINHA"),0)+IFERROR(SUMIFS('Base bordo CD'!M$2:M$875,'Base bordo CD'!D$2:D$875,A1049,'Base bordo CD'!A$2:A$875,B1049,'Base bordo CD'!L$2:L$875,"LIMPEZA*"),0)</f>
        <v>0</v>
      </c>
      <c r="L1049" s="10">
        <f>IFERROR(SUMIFS('Base bordo CD'!M$2:M$875,'Base bordo CD'!D$2:D$875,A1049,'Base bordo CD'!A$2:A$875,B1049,'Base bordo CD'!L$2:L$875,"PATIO - RESERVA"),0)</f>
        <v>0</v>
      </c>
      <c r="M1049" s="10">
        <f>IFERROR(SUMIFS('Base bordo CD'!M$2:M$875,'Base bordo CD'!D$2:D$875,A1049,'Base bordo CD'!A$2:A$875,B1049,'Base bordo CD'!L$2:L$875,"SEM APONTAMENTO"),0)</f>
        <v>0</v>
      </c>
      <c r="N1049" s="10">
        <f>IFERROR(SUMIFS('Base bordo CD'!M$2:M$875,'Base bordo CD'!D$2:D$875,A1049,'Base bordo CD'!A$2:A$875,B1049,'Base bordo CD'!L$2:L$875,"FALTA DE CAMINHÃO"),0)+IFERROR(SUMIFS('Base bordo CD'!M$2:M$875,'Base bordo CD'!D$2:D$875,A1049,'Base bordo CD'!A$2:A$875,B1049,'Base bordo CD'!L$2:L$875,"FALTA DE COMBUSTIVEL"),0)+IFERROR(SUMIFS('Base bordo CD'!M$2:M$875,'Base bordo CD'!D$2:D$875,A1049,'Base bordo CD'!A$2:A$875,B1049,'Base bordo CD'!L$2:L$875,"FALTA DE MOTORIST*"),0)</f>
        <v>0</v>
      </c>
      <c r="O1049" s="10">
        <f t="shared" si="85"/>
        <v>0</v>
      </c>
      <c r="P1049" s="10">
        <f>IFERROR(SUMIFS('Base bordo CD'!M$2:M$875,'Base bordo CD'!D$2:D$875,A1049,'Base bordo CD'!A$2:A$875,B1049),0)</f>
        <v>0</v>
      </c>
      <c r="Q1049" s="10">
        <f>IFERROR(SUMIFS('Base bordo CD'!O$2:O$875,'Base bordo CD'!D$2:D$875,A1049,'Base bordo CD'!A$2:A$875,B1049,'Base bordo CD'!L$2:L$875,"CORTE DE CANA MECANIZADO"),0)</f>
        <v>0</v>
      </c>
      <c r="R1049" s="10">
        <f>IFERROR(SUMIFS('Base bordo CD'!Q$2:Q$875,'Base bordo CD'!D$2:D$875,A1049,'Base bordo CD'!A$2:A$875,B1049,'Base bordo CD'!L$2:L$875,"CORTE DE CANA MECANIZADO"),0)</f>
        <v>0</v>
      </c>
      <c r="S1049" s="30" t="str">
        <f t="shared" si="86"/>
        <v/>
      </c>
      <c r="T1049" s="9">
        <f t="shared" si="87"/>
        <v>0</v>
      </c>
      <c r="U1049" s="9">
        <f t="shared" si="88"/>
        <v>0</v>
      </c>
      <c r="V1049" s="9">
        <f t="shared" si="89"/>
        <v>0</v>
      </c>
    </row>
    <row r="1050" spans="1:22" hidden="1" x14ac:dyDescent="0.35">
      <c r="A1050" s="52">
        <v>49589</v>
      </c>
      <c r="B1050" s="31">
        <v>46117</v>
      </c>
      <c r="C1050" s="7" t="s">
        <v>321</v>
      </c>
      <c r="D1050" s="7">
        <v>351</v>
      </c>
      <c r="E1050" s="10">
        <f>IFERROR(SUMIFS('Base bordo CD'!M$2:M$875,'Base bordo CD'!D$2:D$875,A1050,'Base bordo CD'!A$2:A$875,B1050,'Base bordo CD'!L$2:L$875,"CORTE DE CANA MECANIZADO"),0)</f>
        <v>0</v>
      </c>
      <c r="F1050" s="10">
        <f>IFERROR(SUMIFS('Base bordo CD'!M$2:M$875,'Base bordo CD'!D$2:D$875,A1050,'Base bordo CD'!A$2:A$875,B1050,'Base bordo CD'!L$2:L$875,"MANOBRA"),0)</f>
        <v>0</v>
      </c>
      <c r="G1050" s="10">
        <f>IFERROR(SUMIFS('Base bordo CD'!M$2:M$875,'Base bordo CD'!D$2:D$875,A1050,'Base bordo CD'!A$2:A$875,B1050,'Base bordo CD'!L$2:L$875,"DESLOCAMENTO"),0)</f>
        <v>0</v>
      </c>
      <c r="H1050" s="10">
        <f>IFERROR(SUMIFS('Base bordo CD'!M$2:M$875,'Base bordo CD'!D$2:D$875,A1050,'Base bordo CD'!A$2:A$875,B1050,'Base bordo CD'!L$2:L$875,"AGUARDANDO MANOBRA DE TRANSBORDO"),0)+IFERROR(SUMIFS('Base bordo CD'!M$2:M$875,'Base bordo CD'!D$2:D$875,A1050,'Base bordo CD'!A$2:A$875,B1050,'Base bordo CD'!L$2:L$875,"FALTA DE TRANSBORDO"),0)</f>
        <v>0</v>
      </c>
      <c r="I1050" s="10">
        <f>IFERROR(SUMIFS('Base bordo CD'!M$2:M$875,'Base bordo CD'!D$2:D$875,A1050,'Base bordo CD'!A$2:A$875,B1050,'Base bordo CD'!L$2:L$875,"PARADA POR CONDICOES CLIMATICAS"),0)+IFERROR(SUMIFS('Base bordo CD'!M$2:M$875,'Base bordo CD'!D$2:D$875,A1050,'Base bordo CD'!A$2:A$875,B1050,'Base bordo CD'!L$2:L$875,"TEMPO INDETERMINADO"),0)</f>
        <v>0</v>
      </c>
      <c r="J1050" s="10">
        <f>IFERROR(SUMIFS('Base bordo CD'!M$2:M$875,'Base bordo CD'!D$2:D$875,A1050,'Base bordo CD'!A$2:A$875,B1050,'Base bordo CD'!L$2:L$875,"LIMITAÇÃO INDÚSTRIA"),0)</f>
        <v>0</v>
      </c>
      <c r="K1050" s="10">
        <f>IFERROR(SUMIFS('Base bordo CD'!M$2:M$875,'Base bordo CD'!D$2:D$875,A1050,'Base bordo CD'!A$2:A$875,B1050,'Base bordo CD'!L$2:L$875,"MAN CORRETIVA*"),0)+IFERROR(SUMIFS('Base bordo CD'!M$2:M$875,'Base bordo CD'!D$2:D$875,A1050,'Base bordo CD'!A$2:A$875,B1050,'Base bordo CD'!L$2:L$875,"AGUARDANDO MANUTENCAO*"),0)+IFERROR(SUMIFS('Base bordo CD'!M$2:M$875,'Base bordo CD'!D$2:D$875,A1050,'Base bordo CD'!A$2:A$875,B1050,'Base bordo CD'!L$2:L$875,"TROCA DE FAQUINHA"),0)+IFERROR(SUMIFS('Base bordo CD'!M$2:M$875,'Base bordo CD'!D$2:D$875,A1050,'Base bordo CD'!A$2:A$875,B1050,'Base bordo CD'!L$2:L$875,"LIMPEZA*"),0)</f>
        <v>0</v>
      </c>
      <c r="L1050" s="10">
        <f>IFERROR(SUMIFS('Base bordo CD'!M$2:M$875,'Base bordo CD'!D$2:D$875,A1050,'Base bordo CD'!A$2:A$875,B1050,'Base bordo CD'!L$2:L$875,"PATIO - RESERVA"),0)</f>
        <v>0</v>
      </c>
      <c r="M1050" s="10">
        <f>IFERROR(SUMIFS('Base bordo CD'!M$2:M$875,'Base bordo CD'!D$2:D$875,A1050,'Base bordo CD'!A$2:A$875,B1050,'Base bordo CD'!L$2:L$875,"SEM APONTAMENTO"),0)</f>
        <v>0</v>
      </c>
      <c r="N1050" s="10">
        <f>IFERROR(SUMIFS('Base bordo CD'!M$2:M$875,'Base bordo CD'!D$2:D$875,A1050,'Base bordo CD'!A$2:A$875,B1050,'Base bordo CD'!L$2:L$875,"FALTA DE CAMINHÃO"),0)+IFERROR(SUMIFS('Base bordo CD'!M$2:M$875,'Base bordo CD'!D$2:D$875,A1050,'Base bordo CD'!A$2:A$875,B1050,'Base bordo CD'!L$2:L$875,"FALTA DE COMBUSTIVEL"),0)+IFERROR(SUMIFS('Base bordo CD'!M$2:M$875,'Base bordo CD'!D$2:D$875,A1050,'Base bordo CD'!A$2:A$875,B1050,'Base bordo CD'!L$2:L$875,"FALTA DE MOTORIST*"),0)</f>
        <v>0</v>
      </c>
      <c r="O1050" s="10">
        <f t="shared" si="85"/>
        <v>0</v>
      </c>
      <c r="P1050" s="10">
        <f>IFERROR(SUMIFS('Base bordo CD'!M$2:M$875,'Base bordo CD'!D$2:D$875,A1050,'Base bordo CD'!A$2:A$875,B1050),0)</f>
        <v>0</v>
      </c>
      <c r="Q1050" s="10">
        <f>IFERROR(SUMIFS('Base bordo CD'!O$2:O$875,'Base bordo CD'!D$2:D$875,A1050,'Base bordo CD'!A$2:A$875,B1050,'Base bordo CD'!L$2:L$875,"CORTE DE CANA MECANIZADO"),0)</f>
        <v>0</v>
      </c>
      <c r="R1050" s="10">
        <f>IFERROR(SUMIFS('Base bordo CD'!Q$2:Q$875,'Base bordo CD'!D$2:D$875,A1050,'Base bordo CD'!A$2:A$875,B1050,'Base bordo CD'!L$2:L$875,"CORTE DE CANA MECANIZADO"),0)</f>
        <v>0</v>
      </c>
      <c r="S1050" s="30" t="str">
        <f t="shared" si="86"/>
        <v/>
      </c>
      <c r="T1050" s="9">
        <f t="shared" si="87"/>
        <v>0</v>
      </c>
      <c r="U1050" s="9">
        <f t="shared" si="88"/>
        <v>0</v>
      </c>
      <c r="V1050" s="9">
        <f t="shared" si="89"/>
        <v>0</v>
      </c>
    </row>
    <row r="1051" spans="1:22" hidden="1" x14ac:dyDescent="0.35">
      <c r="A1051" s="52">
        <v>49589</v>
      </c>
      <c r="B1051" s="31">
        <v>46117</v>
      </c>
      <c r="C1051" s="7" t="s">
        <v>321</v>
      </c>
      <c r="D1051" s="7">
        <v>351</v>
      </c>
      <c r="E1051" s="10">
        <f>IFERROR(SUMIFS('Base bordo CD'!M$2:M$875,'Base bordo CD'!D$2:D$875,A1051,'Base bordo CD'!A$2:A$875,B1051,'Base bordo CD'!L$2:L$875,"CORTE DE CANA MECANIZADO"),0)</f>
        <v>0</v>
      </c>
      <c r="F1051" s="10">
        <f>IFERROR(SUMIFS('Base bordo CD'!M$2:M$875,'Base bordo CD'!D$2:D$875,A1051,'Base bordo CD'!A$2:A$875,B1051,'Base bordo CD'!L$2:L$875,"MANOBRA"),0)</f>
        <v>0</v>
      </c>
      <c r="G1051" s="10">
        <f>IFERROR(SUMIFS('Base bordo CD'!M$2:M$875,'Base bordo CD'!D$2:D$875,A1051,'Base bordo CD'!A$2:A$875,B1051,'Base bordo CD'!L$2:L$875,"DESLOCAMENTO"),0)</f>
        <v>0</v>
      </c>
      <c r="H1051" s="10">
        <f>IFERROR(SUMIFS('Base bordo CD'!M$2:M$875,'Base bordo CD'!D$2:D$875,A1051,'Base bordo CD'!A$2:A$875,B1051,'Base bordo CD'!L$2:L$875,"AGUARDANDO MANOBRA DE TRANSBORDO"),0)+IFERROR(SUMIFS('Base bordo CD'!M$2:M$875,'Base bordo CD'!D$2:D$875,A1051,'Base bordo CD'!A$2:A$875,B1051,'Base bordo CD'!L$2:L$875,"FALTA DE TRANSBORDO"),0)</f>
        <v>0</v>
      </c>
      <c r="I1051" s="10">
        <f>IFERROR(SUMIFS('Base bordo CD'!M$2:M$875,'Base bordo CD'!D$2:D$875,A1051,'Base bordo CD'!A$2:A$875,B1051,'Base bordo CD'!L$2:L$875,"PARADA POR CONDICOES CLIMATICAS"),0)+IFERROR(SUMIFS('Base bordo CD'!M$2:M$875,'Base bordo CD'!D$2:D$875,A1051,'Base bordo CD'!A$2:A$875,B1051,'Base bordo CD'!L$2:L$875,"TEMPO INDETERMINADO"),0)</f>
        <v>0</v>
      </c>
      <c r="J1051" s="10">
        <f>IFERROR(SUMIFS('Base bordo CD'!M$2:M$875,'Base bordo CD'!D$2:D$875,A1051,'Base bordo CD'!A$2:A$875,B1051,'Base bordo CD'!L$2:L$875,"LIMITAÇÃO INDÚSTRIA"),0)</f>
        <v>0</v>
      </c>
      <c r="K1051" s="10">
        <f>IFERROR(SUMIFS('Base bordo CD'!M$2:M$875,'Base bordo CD'!D$2:D$875,A1051,'Base bordo CD'!A$2:A$875,B1051,'Base bordo CD'!L$2:L$875,"MAN CORRETIVA*"),0)+IFERROR(SUMIFS('Base bordo CD'!M$2:M$875,'Base bordo CD'!D$2:D$875,A1051,'Base bordo CD'!A$2:A$875,B1051,'Base bordo CD'!L$2:L$875,"AGUARDANDO MANUTENCAO*"),0)+IFERROR(SUMIFS('Base bordo CD'!M$2:M$875,'Base bordo CD'!D$2:D$875,A1051,'Base bordo CD'!A$2:A$875,B1051,'Base bordo CD'!L$2:L$875,"TROCA DE FAQUINHA"),0)+IFERROR(SUMIFS('Base bordo CD'!M$2:M$875,'Base bordo CD'!D$2:D$875,A1051,'Base bordo CD'!A$2:A$875,B1051,'Base bordo CD'!L$2:L$875,"LIMPEZA*"),0)</f>
        <v>0</v>
      </c>
      <c r="L1051" s="10">
        <f>IFERROR(SUMIFS('Base bordo CD'!M$2:M$875,'Base bordo CD'!D$2:D$875,A1051,'Base bordo CD'!A$2:A$875,B1051,'Base bordo CD'!L$2:L$875,"PATIO - RESERVA"),0)</f>
        <v>0</v>
      </c>
      <c r="M1051" s="10">
        <f>IFERROR(SUMIFS('Base bordo CD'!M$2:M$875,'Base bordo CD'!D$2:D$875,A1051,'Base bordo CD'!A$2:A$875,B1051,'Base bordo CD'!L$2:L$875,"SEM APONTAMENTO"),0)</f>
        <v>0</v>
      </c>
      <c r="N1051" s="10">
        <f>IFERROR(SUMIFS('Base bordo CD'!M$2:M$875,'Base bordo CD'!D$2:D$875,A1051,'Base bordo CD'!A$2:A$875,B1051,'Base bordo CD'!L$2:L$875,"FALTA DE CAMINHÃO"),0)+IFERROR(SUMIFS('Base bordo CD'!M$2:M$875,'Base bordo CD'!D$2:D$875,A1051,'Base bordo CD'!A$2:A$875,B1051,'Base bordo CD'!L$2:L$875,"FALTA DE COMBUSTIVEL"),0)+IFERROR(SUMIFS('Base bordo CD'!M$2:M$875,'Base bordo CD'!D$2:D$875,A1051,'Base bordo CD'!A$2:A$875,B1051,'Base bordo CD'!L$2:L$875,"FALTA DE MOTORIST*"),0)</f>
        <v>0</v>
      </c>
      <c r="O1051" s="10">
        <f t="shared" si="85"/>
        <v>0</v>
      </c>
      <c r="P1051" s="10">
        <f>IFERROR(SUMIFS('Base bordo CD'!M$2:M$875,'Base bordo CD'!D$2:D$875,A1051,'Base bordo CD'!A$2:A$875,B1051),0)</f>
        <v>0</v>
      </c>
      <c r="Q1051" s="10">
        <f>IFERROR(SUMIFS('Base bordo CD'!O$2:O$875,'Base bordo CD'!D$2:D$875,A1051,'Base bordo CD'!A$2:A$875,B1051,'Base bordo CD'!L$2:L$875,"CORTE DE CANA MECANIZADO"),0)</f>
        <v>0</v>
      </c>
      <c r="R1051" s="10">
        <f>IFERROR(SUMIFS('Base bordo CD'!Q$2:Q$875,'Base bordo CD'!D$2:D$875,A1051,'Base bordo CD'!A$2:A$875,B1051,'Base bordo CD'!L$2:L$875,"CORTE DE CANA MECANIZADO"),0)</f>
        <v>0</v>
      </c>
      <c r="S1051" s="30" t="str">
        <f t="shared" si="86"/>
        <v/>
      </c>
      <c r="T1051" s="9">
        <f t="shared" si="87"/>
        <v>0</v>
      </c>
      <c r="U1051" s="9">
        <f t="shared" si="88"/>
        <v>0</v>
      </c>
      <c r="V1051" s="9">
        <f t="shared" si="89"/>
        <v>0</v>
      </c>
    </row>
    <row r="1052" spans="1:22" hidden="1" x14ac:dyDescent="0.35">
      <c r="A1052" s="52">
        <v>49589</v>
      </c>
      <c r="B1052" s="31">
        <v>46117</v>
      </c>
      <c r="C1052" s="7" t="s">
        <v>321</v>
      </c>
      <c r="D1052" s="7">
        <v>351</v>
      </c>
      <c r="E1052" s="10">
        <f>IFERROR(SUMIFS('Base bordo CD'!M$2:M$875,'Base bordo CD'!D$2:D$875,A1052,'Base bordo CD'!A$2:A$875,B1052,'Base bordo CD'!L$2:L$875,"CORTE DE CANA MECANIZADO"),0)</f>
        <v>0</v>
      </c>
      <c r="F1052" s="10">
        <f>IFERROR(SUMIFS('Base bordo CD'!M$2:M$875,'Base bordo CD'!D$2:D$875,A1052,'Base bordo CD'!A$2:A$875,B1052,'Base bordo CD'!L$2:L$875,"MANOBRA"),0)</f>
        <v>0</v>
      </c>
      <c r="G1052" s="10">
        <f>IFERROR(SUMIFS('Base bordo CD'!M$2:M$875,'Base bordo CD'!D$2:D$875,A1052,'Base bordo CD'!A$2:A$875,B1052,'Base bordo CD'!L$2:L$875,"DESLOCAMENTO"),0)</f>
        <v>0</v>
      </c>
      <c r="H1052" s="10">
        <f>IFERROR(SUMIFS('Base bordo CD'!M$2:M$875,'Base bordo CD'!D$2:D$875,A1052,'Base bordo CD'!A$2:A$875,B1052,'Base bordo CD'!L$2:L$875,"AGUARDANDO MANOBRA DE TRANSBORDO"),0)+IFERROR(SUMIFS('Base bordo CD'!M$2:M$875,'Base bordo CD'!D$2:D$875,A1052,'Base bordo CD'!A$2:A$875,B1052,'Base bordo CD'!L$2:L$875,"FALTA DE TRANSBORDO"),0)</f>
        <v>0</v>
      </c>
      <c r="I1052" s="10">
        <f>IFERROR(SUMIFS('Base bordo CD'!M$2:M$875,'Base bordo CD'!D$2:D$875,A1052,'Base bordo CD'!A$2:A$875,B1052,'Base bordo CD'!L$2:L$875,"PARADA POR CONDICOES CLIMATICAS"),0)+IFERROR(SUMIFS('Base bordo CD'!M$2:M$875,'Base bordo CD'!D$2:D$875,A1052,'Base bordo CD'!A$2:A$875,B1052,'Base bordo CD'!L$2:L$875,"TEMPO INDETERMINADO"),0)</f>
        <v>0</v>
      </c>
      <c r="J1052" s="10">
        <f>IFERROR(SUMIFS('Base bordo CD'!M$2:M$875,'Base bordo CD'!D$2:D$875,A1052,'Base bordo CD'!A$2:A$875,B1052,'Base bordo CD'!L$2:L$875,"LIMITAÇÃO INDÚSTRIA"),0)</f>
        <v>0</v>
      </c>
      <c r="K1052" s="10">
        <f>IFERROR(SUMIFS('Base bordo CD'!M$2:M$875,'Base bordo CD'!D$2:D$875,A1052,'Base bordo CD'!A$2:A$875,B1052,'Base bordo CD'!L$2:L$875,"MAN CORRETIVA*"),0)+IFERROR(SUMIFS('Base bordo CD'!M$2:M$875,'Base bordo CD'!D$2:D$875,A1052,'Base bordo CD'!A$2:A$875,B1052,'Base bordo CD'!L$2:L$875,"AGUARDANDO MANUTENCAO*"),0)+IFERROR(SUMIFS('Base bordo CD'!M$2:M$875,'Base bordo CD'!D$2:D$875,A1052,'Base bordo CD'!A$2:A$875,B1052,'Base bordo CD'!L$2:L$875,"TROCA DE FAQUINHA"),0)+IFERROR(SUMIFS('Base bordo CD'!M$2:M$875,'Base bordo CD'!D$2:D$875,A1052,'Base bordo CD'!A$2:A$875,B1052,'Base bordo CD'!L$2:L$875,"LIMPEZA*"),0)</f>
        <v>0</v>
      </c>
      <c r="L1052" s="10">
        <f>IFERROR(SUMIFS('Base bordo CD'!M$2:M$875,'Base bordo CD'!D$2:D$875,A1052,'Base bordo CD'!A$2:A$875,B1052,'Base bordo CD'!L$2:L$875,"PATIO - RESERVA"),0)</f>
        <v>0</v>
      </c>
      <c r="M1052" s="10">
        <f>IFERROR(SUMIFS('Base bordo CD'!M$2:M$875,'Base bordo CD'!D$2:D$875,A1052,'Base bordo CD'!A$2:A$875,B1052,'Base bordo CD'!L$2:L$875,"SEM APONTAMENTO"),0)</f>
        <v>0</v>
      </c>
      <c r="N1052" s="10">
        <f>IFERROR(SUMIFS('Base bordo CD'!M$2:M$875,'Base bordo CD'!D$2:D$875,A1052,'Base bordo CD'!A$2:A$875,B1052,'Base bordo CD'!L$2:L$875,"FALTA DE CAMINHÃO"),0)+IFERROR(SUMIFS('Base bordo CD'!M$2:M$875,'Base bordo CD'!D$2:D$875,A1052,'Base bordo CD'!A$2:A$875,B1052,'Base bordo CD'!L$2:L$875,"FALTA DE COMBUSTIVEL"),0)+IFERROR(SUMIFS('Base bordo CD'!M$2:M$875,'Base bordo CD'!D$2:D$875,A1052,'Base bordo CD'!A$2:A$875,B1052,'Base bordo CD'!L$2:L$875,"FALTA DE MOTORIST*"),0)</f>
        <v>0</v>
      </c>
      <c r="O1052" s="10">
        <f t="shared" si="85"/>
        <v>0</v>
      </c>
      <c r="P1052" s="10">
        <f>IFERROR(SUMIFS('Base bordo CD'!M$2:M$875,'Base bordo CD'!D$2:D$875,A1052,'Base bordo CD'!A$2:A$875,B1052),0)</f>
        <v>0</v>
      </c>
      <c r="Q1052" s="10">
        <f>IFERROR(SUMIFS('Base bordo CD'!O$2:O$875,'Base bordo CD'!D$2:D$875,A1052,'Base bordo CD'!A$2:A$875,B1052,'Base bordo CD'!L$2:L$875,"CORTE DE CANA MECANIZADO"),0)</f>
        <v>0</v>
      </c>
      <c r="R1052" s="10">
        <f>IFERROR(SUMIFS('Base bordo CD'!Q$2:Q$875,'Base bordo CD'!D$2:D$875,A1052,'Base bordo CD'!A$2:A$875,B1052,'Base bordo CD'!L$2:L$875,"CORTE DE CANA MECANIZADO"),0)</f>
        <v>0</v>
      </c>
      <c r="S1052" s="30" t="str">
        <f t="shared" si="86"/>
        <v/>
      </c>
      <c r="T1052" s="9">
        <f t="shared" si="87"/>
        <v>0</v>
      </c>
      <c r="U1052" s="9">
        <f t="shared" si="88"/>
        <v>0</v>
      </c>
      <c r="V1052" s="9">
        <f t="shared" si="89"/>
        <v>0</v>
      </c>
    </row>
    <row r="1053" spans="1:22" hidden="1" x14ac:dyDescent="0.35">
      <c r="A1053" s="52">
        <v>49589</v>
      </c>
      <c r="B1053" s="31">
        <v>46117</v>
      </c>
      <c r="C1053" s="7" t="s">
        <v>321</v>
      </c>
      <c r="D1053" s="7">
        <v>351</v>
      </c>
      <c r="E1053" s="10">
        <f>IFERROR(SUMIFS('Base bordo CD'!M$2:M$875,'Base bordo CD'!D$2:D$875,A1053,'Base bordo CD'!A$2:A$875,B1053,'Base bordo CD'!L$2:L$875,"CORTE DE CANA MECANIZADO"),0)</f>
        <v>0</v>
      </c>
      <c r="F1053" s="10">
        <f>IFERROR(SUMIFS('Base bordo CD'!M$2:M$875,'Base bordo CD'!D$2:D$875,A1053,'Base bordo CD'!A$2:A$875,B1053,'Base bordo CD'!L$2:L$875,"MANOBRA"),0)</f>
        <v>0</v>
      </c>
      <c r="G1053" s="10">
        <f>IFERROR(SUMIFS('Base bordo CD'!M$2:M$875,'Base bordo CD'!D$2:D$875,A1053,'Base bordo CD'!A$2:A$875,B1053,'Base bordo CD'!L$2:L$875,"DESLOCAMENTO"),0)</f>
        <v>0</v>
      </c>
      <c r="H1053" s="10">
        <f>IFERROR(SUMIFS('Base bordo CD'!M$2:M$875,'Base bordo CD'!D$2:D$875,A1053,'Base bordo CD'!A$2:A$875,B1053,'Base bordo CD'!L$2:L$875,"AGUARDANDO MANOBRA DE TRANSBORDO"),0)+IFERROR(SUMIFS('Base bordo CD'!M$2:M$875,'Base bordo CD'!D$2:D$875,A1053,'Base bordo CD'!A$2:A$875,B1053,'Base bordo CD'!L$2:L$875,"FALTA DE TRANSBORDO"),0)</f>
        <v>0</v>
      </c>
      <c r="I1053" s="10">
        <f>IFERROR(SUMIFS('Base bordo CD'!M$2:M$875,'Base bordo CD'!D$2:D$875,A1053,'Base bordo CD'!A$2:A$875,B1053,'Base bordo CD'!L$2:L$875,"PARADA POR CONDICOES CLIMATICAS"),0)+IFERROR(SUMIFS('Base bordo CD'!M$2:M$875,'Base bordo CD'!D$2:D$875,A1053,'Base bordo CD'!A$2:A$875,B1053,'Base bordo CD'!L$2:L$875,"TEMPO INDETERMINADO"),0)</f>
        <v>0</v>
      </c>
      <c r="J1053" s="10">
        <f>IFERROR(SUMIFS('Base bordo CD'!M$2:M$875,'Base bordo CD'!D$2:D$875,A1053,'Base bordo CD'!A$2:A$875,B1053,'Base bordo CD'!L$2:L$875,"LIMITAÇÃO INDÚSTRIA"),0)</f>
        <v>0</v>
      </c>
      <c r="K1053" s="10">
        <f>IFERROR(SUMIFS('Base bordo CD'!M$2:M$875,'Base bordo CD'!D$2:D$875,A1053,'Base bordo CD'!A$2:A$875,B1053,'Base bordo CD'!L$2:L$875,"MAN CORRETIVA*"),0)+IFERROR(SUMIFS('Base bordo CD'!M$2:M$875,'Base bordo CD'!D$2:D$875,A1053,'Base bordo CD'!A$2:A$875,B1053,'Base bordo CD'!L$2:L$875,"AGUARDANDO MANUTENCAO*"),0)+IFERROR(SUMIFS('Base bordo CD'!M$2:M$875,'Base bordo CD'!D$2:D$875,A1053,'Base bordo CD'!A$2:A$875,B1053,'Base bordo CD'!L$2:L$875,"TROCA DE FAQUINHA"),0)+IFERROR(SUMIFS('Base bordo CD'!M$2:M$875,'Base bordo CD'!D$2:D$875,A1053,'Base bordo CD'!A$2:A$875,B1053,'Base bordo CD'!L$2:L$875,"LIMPEZA*"),0)</f>
        <v>0</v>
      </c>
      <c r="L1053" s="10">
        <f>IFERROR(SUMIFS('Base bordo CD'!M$2:M$875,'Base bordo CD'!D$2:D$875,A1053,'Base bordo CD'!A$2:A$875,B1053,'Base bordo CD'!L$2:L$875,"PATIO - RESERVA"),0)</f>
        <v>0</v>
      </c>
      <c r="M1053" s="10">
        <f>IFERROR(SUMIFS('Base bordo CD'!M$2:M$875,'Base bordo CD'!D$2:D$875,A1053,'Base bordo CD'!A$2:A$875,B1053,'Base bordo CD'!L$2:L$875,"SEM APONTAMENTO"),0)</f>
        <v>0</v>
      </c>
      <c r="N1053" s="10">
        <f>IFERROR(SUMIFS('Base bordo CD'!M$2:M$875,'Base bordo CD'!D$2:D$875,A1053,'Base bordo CD'!A$2:A$875,B1053,'Base bordo CD'!L$2:L$875,"FALTA DE CAMINHÃO"),0)+IFERROR(SUMIFS('Base bordo CD'!M$2:M$875,'Base bordo CD'!D$2:D$875,A1053,'Base bordo CD'!A$2:A$875,B1053,'Base bordo CD'!L$2:L$875,"FALTA DE COMBUSTIVEL"),0)+IFERROR(SUMIFS('Base bordo CD'!M$2:M$875,'Base bordo CD'!D$2:D$875,A1053,'Base bordo CD'!A$2:A$875,B1053,'Base bordo CD'!L$2:L$875,"FALTA DE MOTORIST*"),0)</f>
        <v>0</v>
      </c>
      <c r="O1053" s="10">
        <f t="shared" si="85"/>
        <v>0</v>
      </c>
      <c r="P1053" s="10">
        <f>IFERROR(SUMIFS('Base bordo CD'!M$2:M$875,'Base bordo CD'!D$2:D$875,A1053,'Base bordo CD'!A$2:A$875,B1053),0)</f>
        <v>0</v>
      </c>
      <c r="Q1053" s="10">
        <f>IFERROR(SUMIFS('Base bordo CD'!O$2:O$875,'Base bordo CD'!D$2:D$875,A1053,'Base bordo CD'!A$2:A$875,B1053,'Base bordo CD'!L$2:L$875,"CORTE DE CANA MECANIZADO"),0)</f>
        <v>0</v>
      </c>
      <c r="R1053" s="10">
        <f>IFERROR(SUMIFS('Base bordo CD'!Q$2:Q$875,'Base bordo CD'!D$2:D$875,A1053,'Base bordo CD'!A$2:A$875,B1053,'Base bordo CD'!L$2:L$875,"CORTE DE CANA MECANIZADO"),0)</f>
        <v>0</v>
      </c>
      <c r="S1053" s="30" t="str">
        <f t="shared" si="86"/>
        <v/>
      </c>
      <c r="T1053" s="9">
        <f t="shared" si="87"/>
        <v>0</v>
      </c>
      <c r="U1053" s="9">
        <f t="shared" si="88"/>
        <v>0</v>
      </c>
      <c r="V1053" s="9">
        <f t="shared" si="89"/>
        <v>0</v>
      </c>
    </row>
    <row r="1054" spans="1:22" hidden="1" x14ac:dyDescent="0.35">
      <c r="A1054" s="52">
        <v>49589</v>
      </c>
      <c r="B1054" s="31">
        <v>46117</v>
      </c>
      <c r="C1054" s="7" t="s">
        <v>321</v>
      </c>
      <c r="D1054" s="7">
        <v>351</v>
      </c>
      <c r="E1054" s="10">
        <f>IFERROR(SUMIFS('Base bordo CD'!M$2:M$875,'Base bordo CD'!D$2:D$875,A1054,'Base bordo CD'!A$2:A$875,B1054,'Base bordo CD'!L$2:L$875,"CORTE DE CANA MECANIZADO"),0)</f>
        <v>0</v>
      </c>
      <c r="F1054" s="10">
        <f>IFERROR(SUMIFS('Base bordo CD'!M$2:M$875,'Base bordo CD'!D$2:D$875,A1054,'Base bordo CD'!A$2:A$875,B1054,'Base bordo CD'!L$2:L$875,"MANOBRA"),0)</f>
        <v>0</v>
      </c>
      <c r="G1054" s="10">
        <f>IFERROR(SUMIFS('Base bordo CD'!M$2:M$875,'Base bordo CD'!D$2:D$875,A1054,'Base bordo CD'!A$2:A$875,B1054,'Base bordo CD'!L$2:L$875,"DESLOCAMENTO"),0)</f>
        <v>0</v>
      </c>
      <c r="H1054" s="10">
        <f>IFERROR(SUMIFS('Base bordo CD'!M$2:M$875,'Base bordo CD'!D$2:D$875,A1054,'Base bordo CD'!A$2:A$875,B1054,'Base bordo CD'!L$2:L$875,"AGUARDANDO MANOBRA DE TRANSBORDO"),0)+IFERROR(SUMIFS('Base bordo CD'!M$2:M$875,'Base bordo CD'!D$2:D$875,A1054,'Base bordo CD'!A$2:A$875,B1054,'Base bordo CD'!L$2:L$875,"FALTA DE TRANSBORDO"),0)</f>
        <v>0</v>
      </c>
      <c r="I1054" s="10">
        <f>IFERROR(SUMIFS('Base bordo CD'!M$2:M$875,'Base bordo CD'!D$2:D$875,A1054,'Base bordo CD'!A$2:A$875,B1054,'Base bordo CD'!L$2:L$875,"PARADA POR CONDICOES CLIMATICAS"),0)+IFERROR(SUMIFS('Base bordo CD'!M$2:M$875,'Base bordo CD'!D$2:D$875,A1054,'Base bordo CD'!A$2:A$875,B1054,'Base bordo CD'!L$2:L$875,"TEMPO INDETERMINADO"),0)</f>
        <v>0</v>
      </c>
      <c r="J1054" s="10">
        <f>IFERROR(SUMIFS('Base bordo CD'!M$2:M$875,'Base bordo CD'!D$2:D$875,A1054,'Base bordo CD'!A$2:A$875,B1054,'Base bordo CD'!L$2:L$875,"LIMITAÇÃO INDÚSTRIA"),0)</f>
        <v>0</v>
      </c>
      <c r="K1054" s="10">
        <f>IFERROR(SUMIFS('Base bordo CD'!M$2:M$875,'Base bordo CD'!D$2:D$875,A1054,'Base bordo CD'!A$2:A$875,B1054,'Base bordo CD'!L$2:L$875,"MAN CORRETIVA*"),0)+IFERROR(SUMIFS('Base bordo CD'!M$2:M$875,'Base bordo CD'!D$2:D$875,A1054,'Base bordo CD'!A$2:A$875,B1054,'Base bordo CD'!L$2:L$875,"AGUARDANDO MANUTENCAO*"),0)+IFERROR(SUMIFS('Base bordo CD'!M$2:M$875,'Base bordo CD'!D$2:D$875,A1054,'Base bordo CD'!A$2:A$875,B1054,'Base bordo CD'!L$2:L$875,"TROCA DE FAQUINHA"),0)+IFERROR(SUMIFS('Base bordo CD'!M$2:M$875,'Base bordo CD'!D$2:D$875,A1054,'Base bordo CD'!A$2:A$875,B1054,'Base bordo CD'!L$2:L$875,"LIMPEZA*"),0)</f>
        <v>0</v>
      </c>
      <c r="L1054" s="10">
        <f>IFERROR(SUMIFS('Base bordo CD'!M$2:M$875,'Base bordo CD'!D$2:D$875,A1054,'Base bordo CD'!A$2:A$875,B1054,'Base bordo CD'!L$2:L$875,"PATIO - RESERVA"),0)</f>
        <v>0</v>
      </c>
      <c r="M1054" s="10">
        <f>IFERROR(SUMIFS('Base bordo CD'!M$2:M$875,'Base bordo CD'!D$2:D$875,A1054,'Base bordo CD'!A$2:A$875,B1054,'Base bordo CD'!L$2:L$875,"SEM APONTAMENTO"),0)</f>
        <v>0</v>
      </c>
      <c r="N1054" s="10">
        <f>IFERROR(SUMIFS('Base bordo CD'!M$2:M$875,'Base bordo CD'!D$2:D$875,A1054,'Base bordo CD'!A$2:A$875,B1054,'Base bordo CD'!L$2:L$875,"FALTA DE CAMINHÃO"),0)+IFERROR(SUMIFS('Base bordo CD'!M$2:M$875,'Base bordo CD'!D$2:D$875,A1054,'Base bordo CD'!A$2:A$875,B1054,'Base bordo CD'!L$2:L$875,"FALTA DE COMBUSTIVEL"),0)+IFERROR(SUMIFS('Base bordo CD'!M$2:M$875,'Base bordo CD'!D$2:D$875,A1054,'Base bordo CD'!A$2:A$875,B1054,'Base bordo CD'!L$2:L$875,"FALTA DE MOTORIST*"),0)</f>
        <v>0</v>
      </c>
      <c r="O1054" s="10">
        <f t="shared" si="85"/>
        <v>0</v>
      </c>
      <c r="P1054" s="10">
        <f>IFERROR(SUMIFS('Base bordo CD'!M$2:M$875,'Base bordo CD'!D$2:D$875,A1054,'Base bordo CD'!A$2:A$875,B1054),0)</f>
        <v>0</v>
      </c>
      <c r="Q1054" s="10">
        <f>IFERROR(SUMIFS('Base bordo CD'!O$2:O$875,'Base bordo CD'!D$2:D$875,A1054,'Base bordo CD'!A$2:A$875,B1054,'Base bordo CD'!L$2:L$875,"CORTE DE CANA MECANIZADO"),0)</f>
        <v>0</v>
      </c>
      <c r="R1054" s="10">
        <f>IFERROR(SUMIFS('Base bordo CD'!Q$2:Q$875,'Base bordo CD'!D$2:D$875,A1054,'Base bordo CD'!A$2:A$875,B1054,'Base bordo CD'!L$2:L$875,"CORTE DE CANA MECANIZADO"),0)</f>
        <v>0</v>
      </c>
      <c r="S1054" s="30" t="str">
        <f t="shared" si="86"/>
        <v/>
      </c>
      <c r="T1054" s="9">
        <f t="shared" si="87"/>
        <v>0</v>
      </c>
      <c r="U1054" s="9">
        <f t="shared" si="88"/>
        <v>0</v>
      </c>
      <c r="V1054" s="9">
        <f t="shared" si="89"/>
        <v>0</v>
      </c>
    </row>
    <row r="1055" spans="1:22" hidden="1" x14ac:dyDescent="0.35">
      <c r="A1055" s="52">
        <v>49589</v>
      </c>
      <c r="B1055" s="31">
        <v>46117</v>
      </c>
      <c r="C1055" s="7" t="s">
        <v>321</v>
      </c>
      <c r="D1055" s="7">
        <v>351</v>
      </c>
      <c r="E1055" s="10">
        <f>IFERROR(SUMIFS('Base bordo CD'!M$2:M$875,'Base bordo CD'!D$2:D$875,A1055,'Base bordo CD'!A$2:A$875,B1055,'Base bordo CD'!L$2:L$875,"CORTE DE CANA MECANIZADO"),0)</f>
        <v>0</v>
      </c>
      <c r="F1055" s="10">
        <f>IFERROR(SUMIFS('Base bordo CD'!M$2:M$875,'Base bordo CD'!D$2:D$875,A1055,'Base bordo CD'!A$2:A$875,B1055,'Base bordo CD'!L$2:L$875,"MANOBRA"),0)</f>
        <v>0</v>
      </c>
      <c r="G1055" s="10">
        <f>IFERROR(SUMIFS('Base bordo CD'!M$2:M$875,'Base bordo CD'!D$2:D$875,A1055,'Base bordo CD'!A$2:A$875,B1055,'Base bordo CD'!L$2:L$875,"DESLOCAMENTO"),0)</f>
        <v>0</v>
      </c>
      <c r="H1055" s="10">
        <f>IFERROR(SUMIFS('Base bordo CD'!M$2:M$875,'Base bordo CD'!D$2:D$875,A1055,'Base bordo CD'!A$2:A$875,B1055,'Base bordo CD'!L$2:L$875,"AGUARDANDO MANOBRA DE TRANSBORDO"),0)+IFERROR(SUMIFS('Base bordo CD'!M$2:M$875,'Base bordo CD'!D$2:D$875,A1055,'Base bordo CD'!A$2:A$875,B1055,'Base bordo CD'!L$2:L$875,"FALTA DE TRANSBORDO"),0)</f>
        <v>0</v>
      </c>
      <c r="I1055" s="10">
        <f>IFERROR(SUMIFS('Base bordo CD'!M$2:M$875,'Base bordo CD'!D$2:D$875,A1055,'Base bordo CD'!A$2:A$875,B1055,'Base bordo CD'!L$2:L$875,"PARADA POR CONDICOES CLIMATICAS"),0)+IFERROR(SUMIFS('Base bordo CD'!M$2:M$875,'Base bordo CD'!D$2:D$875,A1055,'Base bordo CD'!A$2:A$875,B1055,'Base bordo CD'!L$2:L$875,"TEMPO INDETERMINADO"),0)</f>
        <v>0</v>
      </c>
      <c r="J1055" s="10">
        <f>IFERROR(SUMIFS('Base bordo CD'!M$2:M$875,'Base bordo CD'!D$2:D$875,A1055,'Base bordo CD'!A$2:A$875,B1055,'Base bordo CD'!L$2:L$875,"LIMITAÇÃO INDÚSTRIA"),0)</f>
        <v>0</v>
      </c>
      <c r="K1055" s="10">
        <f>IFERROR(SUMIFS('Base bordo CD'!M$2:M$875,'Base bordo CD'!D$2:D$875,A1055,'Base bordo CD'!A$2:A$875,B1055,'Base bordo CD'!L$2:L$875,"MAN CORRETIVA*"),0)+IFERROR(SUMIFS('Base bordo CD'!M$2:M$875,'Base bordo CD'!D$2:D$875,A1055,'Base bordo CD'!A$2:A$875,B1055,'Base bordo CD'!L$2:L$875,"AGUARDANDO MANUTENCAO*"),0)+IFERROR(SUMIFS('Base bordo CD'!M$2:M$875,'Base bordo CD'!D$2:D$875,A1055,'Base bordo CD'!A$2:A$875,B1055,'Base bordo CD'!L$2:L$875,"TROCA DE FAQUINHA"),0)+IFERROR(SUMIFS('Base bordo CD'!M$2:M$875,'Base bordo CD'!D$2:D$875,A1055,'Base bordo CD'!A$2:A$875,B1055,'Base bordo CD'!L$2:L$875,"LIMPEZA*"),0)</f>
        <v>0</v>
      </c>
      <c r="L1055" s="10">
        <f>IFERROR(SUMIFS('Base bordo CD'!M$2:M$875,'Base bordo CD'!D$2:D$875,A1055,'Base bordo CD'!A$2:A$875,B1055,'Base bordo CD'!L$2:L$875,"PATIO - RESERVA"),0)</f>
        <v>0</v>
      </c>
      <c r="M1055" s="10">
        <f>IFERROR(SUMIFS('Base bordo CD'!M$2:M$875,'Base bordo CD'!D$2:D$875,A1055,'Base bordo CD'!A$2:A$875,B1055,'Base bordo CD'!L$2:L$875,"SEM APONTAMENTO"),0)</f>
        <v>0</v>
      </c>
      <c r="N1055" s="10">
        <f>IFERROR(SUMIFS('Base bordo CD'!M$2:M$875,'Base bordo CD'!D$2:D$875,A1055,'Base bordo CD'!A$2:A$875,B1055,'Base bordo CD'!L$2:L$875,"FALTA DE CAMINHÃO"),0)+IFERROR(SUMIFS('Base bordo CD'!M$2:M$875,'Base bordo CD'!D$2:D$875,A1055,'Base bordo CD'!A$2:A$875,B1055,'Base bordo CD'!L$2:L$875,"FALTA DE COMBUSTIVEL"),0)+IFERROR(SUMIFS('Base bordo CD'!M$2:M$875,'Base bordo CD'!D$2:D$875,A1055,'Base bordo CD'!A$2:A$875,B1055,'Base bordo CD'!L$2:L$875,"FALTA DE MOTORIST*"),0)</f>
        <v>0</v>
      </c>
      <c r="O1055" s="10">
        <f t="shared" si="85"/>
        <v>0</v>
      </c>
      <c r="P1055" s="10">
        <f>IFERROR(SUMIFS('Base bordo CD'!M$2:M$875,'Base bordo CD'!D$2:D$875,A1055,'Base bordo CD'!A$2:A$875,B1055),0)</f>
        <v>0</v>
      </c>
      <c r="Q1055" s="10">
        <f>IFERROR(SUMIFS('Base bordo CD'!O$2:O$875,'Base bordo CD'!D$2:D$875,A1055,'Base bordo CD'!A$2:A$875,B1055,'Base bordo CD'!L$2:L$875,"CORTE DE CANA MECANIZADO"),0)</f>
        <v>0</v>
      </c>
      <c r="R1055" s="10">
        <f>IFERROR(SUMIFS('Base bordo CD'!Q$2:Q$875,'Base bordo CD'!D$2:D$875,A1055,'Base bordo CD'!A$2:A$875,B1055,'Base bordo CD'!L$2:L$875,"CORTE DE CANA MECANIZADO"),0)</f>
        <v>0</v>
      </c>
      <c r="S1055" s="30" t="str">
        <f t="shared" si="86"/>
        <v/>
      </c>
      <c r="T1055" s="9">
        <f t="shared" si="87"/>
        <v>0</v>
      </c>
      <c r="U1055" s="9">
        <f t="shared" si="88"/>
        <v>0</v>
      </c>
      <c r="V1055" s="9">
        <f t="shared" si="89"/>
        <v>0</v>
      </c>
    </row>
    <row r="1056" spans="1:22" hidden="1" x14ac:dyDescent="0.35">
      <c r="A1056" s="52">
        <v>49589</v>
      </c>
      <c r="B1056" s="31">
        <v>46117</v>
      </c>
      <c r="C1056" s="7" t="s">
        <v>321</v>
      </c>
      <c r="D1056" s="7">
        <v>351</v>
      </c>
      <c r="E1056" s="10">
        <f>IFERROR(SUMIFS('Base bordo CD'!M$2:M$875,'Base bordo CD'!D$2:D$875,A1056,'Base bordo CD'!A$2:A$875,B1056,'Base bordo CD'!L$2:L$875,"CORTE DE CANA MECANIZADO"),0)</f>
        <v>0</v>
      </c>
      <c r="F1056" s="10">
        <f>IFERROR(SUMIFS('Base bordo CD'!M$2:M$875,'Base bordo CD'!D$2:D$875,A1056,'Base bordo CD'!A$2:A$875,B1056,'Base bordo CD'!L$2:L$875,"MANOBRA"),0)</f>
        <v>0</v>
      </c>
      <c r="G1056" s="10">
        <f>IFERROR(SUMIFS('Base bordo CD'!M$2:M$875,'Base bordo CD'!D$2:D$875,A1056,'Base bordo CD'!A$2:A$875,B1056,'Base bordo CD'!L$2:L$875,"DESLOCAMENTO"),0)</f>
        <v>0</v>
      </c>
      <c r="H1056" s="10">
        <f>IFERROR(SUMIFS('Base bordo CD'!M$2:M$875,'Base bordo CD'!D$2:D$875,A1056,'Base bordo CD'!A$2:A$875,B1056,'Base bordo CD'!L$2:L$875,"AGUARDANDO MANOBRA DE TRANSBORDO"),0)+IFERROR(SUMIFS('Base bordo CD'!M$2:M$875,'Base bordo CD'!D$2:D$875,A1056,'Base bordo CD'!A$2:A$875,B1056,'Base bordo CD'!L$2:L$875,"FALTA DE TRANSBORDO"),0)</f>
        <v>0</v>
      </c>
      <c r="I1056" s="10">
        <f>IFERROR(SUMIFS('Base bordo CD'!M$2:M$875,'Base bordo CD'!D$2:D$875,A1056,'Base bordo CD'!A$2:A$875,B1056,'Base bordo CD'!L$2:L$875,"PARADA POR CONDICOES CLIMATICAS"),0)+IFERROR(SUMIFS('Base bordo CD'!M$2:M$875,'Base bordo CD'!D$2:D$875,A1056,'Base bordo CD'!A$2:A$875,B1056,'Base bordo CD'!L$2:L$875,"TEMPO INDETERMINADO"),0)</f>
        <v>0</v>
      </c>
      <c r="J1056" s="10">
        <f>IFERROR(SUMIFS('Base bordo CD'!M$2:M$875,'Base bordo CD'!D$2:D$875,A1056,'Base bordo CD'!A$2:A$875,B1056,'Base bordo CD'!L$2:L$875,"LIMITAÇÃO INDÚSTRIA"),0)</f>
        <v>0</v>
      </c>
      <c r="K1056" s="10">
        <f>IFERROR(SUMIFS('Base bordo CD'!M$2:M$875,'Base bordo CD'!D$2:D$875,A1056,'Base bordo CD'!A$2:A$875,B1056,'Base bordo CD'!L$2:L$875,"MAN CORRETIVA*"),0)+IFERROR(SUMIFS('Base bordo CD'!M$2:M$875,'Base bordo CD'!D$2:D$875,A1056,'Base bordo CD'!A$2:A$875,B1056,'Base bordo CD'!L$2:L$875,"AGUARDANDO MANUTENCAO*"),0)+IFERROR(SUMIFS('Base bordo CD'!M$2:M$875,'Base bordo CD'!D$2:D$875,A1056,'Base bordo CD'!A$2:A$875,B1056,'Base bordo CD'!L$2:L$875,"TROCA DE FAQUINHA"),0)+IFERROR(SUMIFS('Base bordo CD'!M$2:M$875,'Base bordo CD'!D$2:D$875,A1056,'Base bordo CD'!A$2:A$875,B1056,'Base bordo CD'!L$2:L$875,"LIMPEZA*"),0)</f>
        <v>0</v>
      </c>
      <c r="L1056" s="10">
        <f>IFERROR(SUMIFS('Base bordo CD'!M$2:M$875,'Base bordo CD'!D$2:D$875,A1056,'Base bordo CD'!A$2:A$875,B1056,'Base bordo CD'!L$2:L$875,"PATIO - RESERVA"),0)</f>
        <v>0</v>
      </c>
      <c r="M1056" s="10">
        <f>IFERROR(SUMIFS('Base bordo CD'!M$2:M$875,'Base bordo CD'!D$2:D$875,A1056,'Base bordo CD'!A$2:A$875,B1056,'Base bordo CD'!L$2:L$875,"SEM APONTAMENTO"),0)</f>
        <v>0</v>
      </c>
      <c r="N1056" s="10">
        <f>IFERROR(SUMIFS('Base bordo CD'!M$2:M$875,'Base bordo CD'!D$2:D$875,A1056,'Base bordo CD'!A$2:A$875,B1056,'Base bordo CD'!L$2:L$875,"FALTA DE CAMINHÃO"),0)+IFERROR(SUMIFS('Base bordo CD'!M$2:M$875,'Base bordo CD'!D$2:D$875,A1056,'Base bordo CD'!A$2:A$875,B1056,'Base bordo CD'!L$2:L$875,"FALTA DE COMBUSTIVEL"),0)+IFERROR(SUMIFS('Base bordo CD'!M$2:M$875,'Base bordo CD'!D$2:D$875,A1056,'Base bordo CD'!A$2:A$875,B1056,'Base bordo CD'!L$2:L$875,"FALTA DE MOTORIST*"),0)</f>
        <v>0</v>
      </c>
      <c r="O1056" s="10">
        <f t="shared" si="85"/>
        <v>0</v>
      </c>
      <c r="P1056" s="10">
        <f>IFERROR(SUMIFS('Base bordo CD'!M$2:M$875,'Base bordo CD'!D$2:D$875,A1056,'Base bordo CD'!A$2:A$875,B1056),0)</f>
        <v>0</v>
      </c>
      <c r="Q1056" s="10">
        <f>IFERROR(SUMIFS('Base bordo CD'!O$2:O$875,'Base bordo CD'!D$2:D$875,A1056,'Base bordo CD'!A$2:A$875,B1056,'Base bordo CD'!L$2:L$875,"CORTE DE CANA MECANIZADO"),0)</f>
        <v>0</v>
      </c>
      <c r="R1056" s="10">
        <f>IFERROR(SUMIFS('Base bordo CD'!Q$2:Q$875,'Base bordo CD'!D$2:D$875,A1056,'Base bordo CD'!A$2:A$875,B1056,'Base bordo CD'!L$2:L$875,"CORTE DE CANA MECANIZADO"),0)</f>
        <v>0</v>
      </c>
      <c r="S1056" s="30" t="str">
        <f t="shared" si="86"/>
        <v/>
      </c>
      <c r="T1056" s="9">
        <f t="shared" si="87"/>
        <v>0</v>
      </c>
      <c r="U1056" s="9">
        <f t="shared" si="88"/>
        <v>0</v>
      </c>
      <c r="V1056" s="9">
        <f t="shared" si="89"/>
        <v>0</v>
      </c>
    </row>
    <row r="1057" spans="1:22" hidden="1" x14ac:dyDescent="0.35">
      <c r="A1057" s="52">
        <v>49589</v>
      </c>
      <c r="B1057" s="31">
        <v>46117</v>
      </c>
      <c r="C1057" s="7" t="s">
        <v>321</v>
      </c>
      <c r="D1057" s="7">
        <v>351</v>
      </c>
      <c r="E1057" s="10">
        <f>IFERROR(SUMIFS('Base bordo CD'!M$2:M$875,'Base bordo CD'!D$2:D$875,A1057,'Base bordo CD'!A$2:A$875,B1057,'Base bordo CD'!L$2:L$875,"CORTE DE CANA MECANIZADO"),0)</f>
        <v>0</v>
      </c>
      <c r="F1057" s="10">
        <f>IFERROR(SUMIFS('Base bordo CD'!M$2:M$875,'Base bordo CD'!D$2:D$875,A1057,'Base bordo CD'!A$2:A$875,B1057,'Base bordo CD'!L$2:L$875,"MANOBRA"),0)</f>
        <v>0</v>
      </c>
      <c r="G1057" s="10">
        <f>IFERROR(SUMIFS('Base bordo CD'!M$2:M$875,'Base bordo CD'!D$2:D$875,A1057,'Base bordo CD'!A$2:A$875,B1057,'Base bordo CD'!L$2:L$875,"DESLOCAMENTO"),0)</f>
        <v>0</v>
      </c>
      <c r="H1057" s="10">
        <f>IFERROR(SUMIFS('Base bordo CD'!M$2:M$875,'Base bordo CD'!D$2:D$875,A1057,'Base bordo CD'!A$2:A$875,B1057,'Base bordo CD'!L$2:L$875,"AGUARDANDO MANOBRA DE TRANSBORDO"),0)+IFERROR(SUMIFS('Base bordo CD'!M$2:M$875,'Base bordo CD'!D$2:D$875,A1057,'Base bordo CD'!A$2:A$875,B1057,'Base bordo CD'!L$2:L$875,"FALTA DE TRANSBORDO"),0)</f>
        <v>0</v>
      </c>
      <c r="I1057" s="10">
        <f>IFERROR(SUMIFS('Base bordo CD'!M$2:M$875,'Base bordo CD'!D$2:D$875,A1057,'Base bordo CD'!A$2:A$875,B1057,'Base bordo CD'!L$2:L$875,"PARADA POR CONDICOES CLIMATICAS"),0)+IFERROR(SUMIFS('Base bordo CD'!M$2:M$875,'Base bordo CD'!D$2:D$875,A1057,'Base bordo CD'!A$2:A$875,B1057,'Base bordo CD'!L$2:L$875,"TEMPO INDETERMINADO"),0)</f>
        <v>0</v>
      </c>
      <c r="J1057" s="10">
        <f>IFERROR(SUMIFS('Base bordo CD'!M$2:M$875,'Base bordo CD'!D$2:D$875,A1057,'Base bordo CD'!A$2:A$875,B1057,'Base bordo CD'!L$2:L$875,"LIMITAÇÃO INDÚSTRIA"),0)</f>
        <v>0</v>
      </c>
      <c r="K1057" s="10">
        <f>IFERROR(SUMIFS('Base bordo CD'!M$2:M$875,'Base bordo CD'!D$2:D$875,A1057,'Base bordo CD'!A$2:A$875,B1057,'Base bordo CD'!L$2:L$875,"MAN CORRETIVA*"),0)+IFERROR(SUMIFS('Base bordo CD'!M$2:M$875,'Base bordo CD'!D$2:D$875,A1057,'Base bordo CD'!A$2:A$875,B1057,'Base bordo CD'!L$2:L$875,"AGUARDANDO MANUTENCAO*"),0)+IFERROR(SUMIFS('Base bordo CD'!M$2:M$875,'Base bordo CD'!D$2:D$875,A1057,'Base bordo CD'!A$2:A$875,B1057,'Base bordo CD'!L$2:L$875,"TROCA DE FAQUINHA"),0)+IFERROR(SUMIFS('Base bordo CD'!M$2:M$875,'Base bordo CD'!D$2:D$875,A1057,'Base bordo CD'!A$2:A$875,B1057,'Base bordo CD'!L$2:L$875,"LIMPEZA*"),0)</f>
        <v>0</v>
      </c>
      <c r="L1057" s="10">
        <f>IFERROR(SUMIFS('Base bordo CD'!M$2:M$875,'Base bordo CD'!D$2:D$875,A1057,'Base bordo CD'!A$2:A$875,B1057,'Base bordo CD'!L$2:L$875,"PATIO - RESERVA"),0)</f>
        <v>0</v>
      </c>
      <c r="M1057" s="10">
        <f>IFERROR(SUMIFS('Base bordo CD'!M$2:M$875,'Base bordo CD'!D$2:D$875,A1057,'Base bordo CD'!A$2:A$875,B1057,'Base bordo CD'!L$2:L$875,"SEM APONTAMENTO"),0)</f>
        <v>0</v>
      </c>
      <c r="N1057" s="10">
        <f>IFERROR(SUMIFS('Base bordo CD'!M$2:M$875,'Base bordo CD'!D$2:D$875,A1057,'Base bordo CD'!A$2:A$875,B1057,'Base bordo CD'!L$2:L$875,"FALTA DE CAMINHÃO"),0)+IFERROR(SUMIFS('Base bordo CD'!M$2:M$875,'Base bordo CD'!D$2:D$875,A1057,'Base bordo CD'!A$2:A$875,B1057,'Base bordo CD'!L$2:L$875,"FALTA DE COMBUSTIVEL"),0)+IFERROR(SUMIFS('Base bordo CD'!M$2:M$875,'Base bordo CD'!D$2:D$875,A1057,'Base bordo CD'!A$2:A$875,B1057,'Base bordo CD'!L$2:L$875,"FALTA DE MOTORIST*"),0)</f>
        <v>0</v>
      </c>
      <c r="O1057" s="10">
        <f t="shared" si="85"/>
        <v>0</v>
      </c>
      <c r="P1057" s="10">
        <f>IFERROR(SUMIFS('Base bordo CD'!M$2:M$875,'Base bordo CD'!D$2:D$875,A1057,'Base bordo CD'!A$2:A$875,B1057),0)</f>
        <v>0</v>
      </c>
      <c r="Q1057" s="10">
        <f>IFERROR(SUMIFS('Base bordo CD'!O$2:O$875,'Base bordo CD'!D$2:D$875,A1057,'Base bordo CD'!A$2:A$875,B1057,'Base bordo CD'!L$2:L$875,"CORTE DE CANA MECANIZADO"),0)</f>
        <v>0</v>
      </c>
      <c r="R1057" s="10">
        <f>IFERROR(SUMIFS('Base bordo CD'!Q$2:Q$875,'Base bordo CD'!D$2:D$875,A1057,'Base bordo CD'!A$2:A$875,B1057,'Base bordo CD'!L$2:L$875,"CORTE DE CANA MECANIZADO"),0)</f>
        <v>0</v>
      </c>
      <c r="S1057" s="30" t="str">
        <f t="shared" si="86"/>
        <v/>
      </c>
      <c r="T1057" s="9">
        <f t="shared" si="87"/>
        <v>0</v>
      </c>
      <c r="U1057" s="9">
        <f t="shared" si="88"/>
        <v>0</v>
      </c>
      <c r="V1057" s="9">
        <f t="shared" si="89"/>
        <v>0</v>
      </c>
    </row>
    <row r="1058" spans="1:22" hidden="1" x14ac:dyDescent="0.35">
      <c r="A1058" s="52">
        <v>49589</v>
      </c>
      <c r="B1058" s="31">
        <v>46117</v>
      </c>
      <c r="C1058" s="7" t="s">
        <v>321</v>
      </c>
      <c r="D1058" s="7">
        <v>351</v>
      </c>
      <c r="E1058" s="10">
        <f>IFERROR(SUMIFS('Base bordo CD'!M$2:M$875,'Base bordo CD'!D$2:D$875,A1058,'Base bordo CD'!A$2:A$875,B1058,'Base bordo CD'!L$2:L$875,"CORTE DE CANA MECANIZADO"),0)</f>
        <v>0</v>
      </c>
      <c r="F1058" s="10">
        <f>IFERROR(SUMIFS('Base bordo CD'!M$2:M$875,'Base bordo CD'!D$2:D$875,A1058,'Base bordo CD'!A$2:A$875,B1058,'Base bordo CD'!L$2:L$875,"MANOBRA"),0)</f>
        <v>0</v>
      </c>
      <c r="G1058" s="10">
        <f>IFERROR(SUMIFS('Base bordo CD'!M$2:M$875,'Base bordo CD'!D$2:D$875,A1058,'Base bordo CD'!A$2:A$875,B1058,'Base bordo CD'!L$2:L$875,"DESLOCAMENTO"),0)</f>
        <v>0</v>
      </c>
      <c r="H1058" s="10">
        <f>IFERROR(SUMIFS('Base bordo CD'!M$2:M$875,'Base bordo CD'!D$2:D$875,A1058,'Base bordo CD'!A$2:A$875,B1058,'Base bordo CD'!L$2:L$875,"AGUARDANDO MANOBRA DE TRANSBORDO"),0)+IFERROR(SUMIFS('Base bordo CD'!M$2:M$875,'Base bordo CD'!D$2:D$875,A1058,'Base bordo CD'!A$2:A$875,B1058,'Base bordo CD'!L$2:L$875,"FALTA DE TRANSBORDO"),0)</f>
        <v>0</v>
      </c>
      <c r="I1058" s="10">
        <f>IFERROR(SUMIFS('Base bordo CD'!M$2:M$875,'Base bordo CD'!D$2:D$875,A1058,'Base bordo CD'!A$2:A$875,B1058,'Base bordo CD'!L$2:L$875,"PARADA POR CONDICOES CLIMATICAS"),0)+IFERROR(SUMIFS('Base bordo CD'!M$2:M$875,'Base bordo CD'!D$2:D$875,A1058,'Base bordo CD'!A$2:A$875,B1058,'Base bordo CD'!L$2:L$875,"TEMPO INDETERMINADO"),0)</f>
        <v>0</v>
      </c>
      <c r="J1058" s="10">
        <f>IFERROR(SUMIFS('Base bordo CD'!M$2:M$875,'Base bordo CD'!D$2:D$875,A1058,'Base bordo CD'!A$2:A$875,B1058,'Base bordo CD'!L$2:L$875,"LIMITAÇÃO INDÚSTRIA"),0)</f>
        <v>0</v>
      </c>
      <c r="K1058" s="10">
        <f>IFERROR(SUMIFS('Base bordo CD'!M$2:M$875,'Base bordo CD'!D$2:D$875,A1058,'Base bordo CD'!A$2:A$875,B1058,'Base bordo CD'!L$2:L$875,"MAN CORRETIVA*"),0)+IFERROR(SUMIFS('Base bordo CD'!M$2:M$875,'Base bordo CD'!D$2:D$875,A1058,'Base bordo CD'!A$2:A$875,B1058,'Base bordo CD'!L$2:L$875,"AGUARDANDO MANUTENCAO*"),0)+IFERROR(SUMIFS('Base bordo CD'!M$2:M$875,'Base bordo CD'!D$2:D$875,A1058,'Base bordo CD'!A$2:A$875,B1058,'Base bordo CD'!L$2:L$875,"TROCA DE FAQUINHA"),0)+IFERROR(SUMIFS('Base bordo CD'!M$2:M$875,'Base bordo CD'!D$2:D$875,A1058,'Base bordo CD'!A$2:A$875,B1058,'Base bordo CD'!L$2:L$875,"LIMPEZA*"),0)</f>
        <v>0</v>
      </c>
      <c r="L1058" s="10">
        <f>IFERROR(SUMIFS('Base bordo CD'!M$2:M$875,'Base bordo CD'!D$2:D$875,A1058,'Base bordo CD'!A$2:A$875,B1058,'Base bordo CD'!L$2:L$875,"PATIO - RESERVA"),0)</f>
        <v>0</v>
      </c>
      <c r="M1058" s="10">
        <f>IFERROR(SUMIFS('Base bordo CD'!M$2:M$875,'Base bordo CD'!D$2:D$875,A1058,'Base bordo CD'!A$2:A$875,B1058,'Base bordo CD'!L$2:L$875,"SEM APONTAMENTO"),0)</f>
        <v>0</v>
      </c>
      <c r="N1058" s="10">
        <f>IFERROR(SUMIFS('Base bordo CD'!M$2:M$875,'Base bordo CD'!D$2:D$875,A1058,'Base bordo CD'!A$2:A$875,B1058,'Base bordo CD'!L$2:L$875,"FALTA DE CAMINHÃO"),0)+IFERROR(SUMIFS('Base bordo CD'!M$2:M$875,'Base bordo CD'!D$2:D$875,A1058,'Base bordo CD'!A$2:A$875,B1058,'Base bordo CD'!L$2:L$875,"FALTA DE COMBUSTIVEL"),0)+IFERROR(SUMIFS('Base bordo CD'!M$2:M$875,'Base bordo CD'!D$2:D$875,A1058,'Base bordo CD'!A$2:A$875,B1058,'Base bordo CD'!L$2:L$875,"FALTA DE MOTORIST*"),0)</f>
        <v>0</v>
      </c>
      <c r="O1058" s="10">
        <f t="shared" si="85"/>
        <v>0</v>
      </c>
      <c r="P1058" s="10">
        <f>IFERROR(SUMIFS('Base bordo CD'!M$2:M$875,'Base bordo CD'!D$2:D$875,A1058,'Base bordo CD'!A$2:A$875,B1058),0)</f>
        <v>0</v>
      </c>
      <c r="Q1058" s="10">
        <f>IFERROR(SUMIFS('Base bordo CD'!O$2:O$875,'Base bordo CD'!D$2:D$875,A1058,'Base bordo CD'!A$2:A$875,B1058,'Base bordo CD'!L$2:L$875,"CORTE DE CANA MECANIZADO"),0)</f>
        <v>0</v>
      </c>
      <c r="R1058" s="10">
        <f>IFERROR(SUMIFS('Base bordo CD'!Q$2:Q$875,'Base bordo CD'!D$2:D$875,A1058,'Base bordo CD'!A$2:A$875,B1058,'Base bordo CD'!L$2:L$875,"CORTE DE CANA MECANIZADO"),0)</f>
        <v>0</v>
      </c>
      <c r="S1058" s="30" t="str">
        <f t="shared" si="86"/>
        <v/>
      </c>
      <c r="T1058" s="9">
        <f t="shared" si="87"/>
        <v>0</v>
      </c>
      <c r="U1058" s="9">
        <f t="shared" si="88"/>
        <v>0</v>
      </c>
      <c r="V1058" s="9">
        <f t="shared" si="89"/>
        <v>0</v>
      </c>
    </row>
    <row r="1059" spans="1:22" hidden="1" x14ac:dyDescent="0.35">
      <c r="A1059" s="52">
        <v>49589</v>
      </c>
      <c r="B1059" s="31">
        <v>46117</v>
      </c>
      <c r="C1059" s="7" t="s">
        <v>321</v>
      </c>
      <c r="D1059" s="7">
        <v>351</v>
      </c>
      <c r="E1059" s="10">
        <f>IFERROR(SUMIFS('Base bordo CD'!M$2:M$875,'Base bordo CD'!D$2:D$875,A1059,'Base bordo CD'!A$2:A$875,B1059,'Base bordo CD'!L$2:L$875,"CORTE DE CANA MECANIZADO"),0)</f>
        <v>0</v>
      </c>
      <c r="F1059" s="10">
        <f>IFERROR(SUMIFS('Base bordo CD'!M$2:M$875,'Base bordo CD'!D$2:D$875,A1059,'Base bordo CD'!A$2:A$875,B1059,'Base bordo CD'!L$2:L$875,"MANOBRA"),0)</f>
        <v>0</v>
      </c>
      <c r="G1059" s="10">
        <f>IFERROR(SUMIFS('Base bordo CD'!M$2:M$875,'Base bordo CD'!D$2:D$875,A1059,'Base bordo CD'!A$2:A$875,B1059,'Base bordo CD'!L$2:L$875,"DESLOCAMENTO"),0)</f>
        <v>0</v>
      </c>
      <c r="H1059" s="10">
        <f>IFERROR(SUMIFS('Base bordo CD'!M$2:M$875,'Base bordo CD'!D$2:D$875,A1059,'Base bordo CD'!A$2:A$875,B1059,'Base bordo CD'!L$2:L$875,"AGUARDANDO MANOBRA DE TRANSBORDO"),0)+IFERROR(SUMIFS('Base bordo CD'!M$2:M$875,'Base bordo CD'!D$2:D$875,A1059,'Base bordo CD'!A$2:A$875,B1059,'Base bordo CD'!L$2:L$875,"FALTA DE TRANSBORDO"),0)</f>
        <v>0</v>
      </c>
      <c r="I1059" s="10">
        <f>IFERROR(SUMIFS('Base bordo CD'!M$2:M$875,'Base bordo CD'!D$2:D$875,A1059,'Base bordo CD'!A$2:A$875,B1059,'Base bordo CD'!L$2:L$875,"PARADA POR CONDICOES CLIMATICAS"),0)+IFERROR(SUMIFS('Base bordo CD'!M$2:M$875,'Base bordo CD'!D$2:D$875,A1059,'Base bordo CD'!A$2:A$875,B1059,'Base bordo CD'!L$2:L$875,"TEMPO INDETERMINADO"),0)</f>
        <v>0</v>
      </c>
      <c r="J1059" s="10">
        <f>IFERROR(SUMIFS('Base bordo CD'!M$2:M$875,'Base bordo CD'!D$2:D$875,A1059,'Base bordo CD'!A$2:A$875,B1059,'Base bordo CD'!L$2:L$875,"LIMITAÇÃO INDÚSTRIA"),0)</f>
        <v>0</v>
      </c>
      <c r="K1059" s="10">
        <f>IFERROR(SUMIFS('Base bordo CD'!M$2:M$875,'Base bordo CD'!D$2:D$875,A1059,'Base bordo CD'!A$2:A$875,B1059,'Base bordo CD'!L$2:L$875,"MAN CORRETIVA*"),0)+IFERROR(SUMIFS('Base bordo CD'!M$2:M$875,'Base bordo CD'!D$2:D$875,A1059,'Base bordo CD'!A$2:A$875,B1059,'Base bordo CD'!L$2:L$875,"AGUARDANDO MANUTENCAO*"),0)+IFERROR(SUMIFS('Base bordo CD'!M$2:M$875,'Base bordo CD'!D$2:D$875,A1059,'Base bordo CD'!A$2:A$875,B1059,'Base bordo CD'!L$2:L$875,"TROCA DE FAQUINHA"),0)+IFERROR(SUMIFS('Base bordo CD'!M$2:M$875,'Base bordo CD'!D$2:D$875,A1059,'Base bordo CD'!A$2:A$875,B1059,'Base bordo CD'!L$2:L$875,"LIMPEZA*"),0)</f>
        <v>0</v>
      </c>
      <c r="L1059" s="10">
        <f>IFERROR(SUMIFS('Base bordo CD'!M$2:M$875,'Base bordo CD'!D$2:D$875,A1059,'Base bordo CD'!A$2:A$875,B1059,'Base bordo CD'!L$2:L$875,"PATIO - RESERVA"),0)</f>
        <v>0</v>
      </c>
      <c r="M1059" s="10">
        <f>IFERROR(SUMIFS('Base bordo CD'!M$2:M$875,'Base bordo CD'!D$2:D$875,A1059,'Base bordo CD'!A$2:A$875,B1059,'Base bordo CD'!L$2:L$875,"SEM APONTAMENTO"),0)</f>
        <v>0</v>
      </c>
      <c r="N1059" s="10">
        <f>IFERROR(SUMIFS('Base bordo CD'!M$2:M$875,'Base bordo CD'!D$2:D$875,A1059,'Base bordo CD'!A$2:A$875,B1059,'Base bordo CD'!L$2:L$875,"FALTA DE CAMINHÃO"),0)+IFERROR(SUMIFS('Base bordo CD'!M$2:M$875,'Base bordo CD'!D$2:D$875,A1059,'Base bordo CD'!A$2:A$875,B1059,'Base bordo CD'!L$2:L$875,"FALTA DE COMBUSTIVEL"),0)+IFERROR(SUMIFS('Base bordo CD'!M$2:M$875,'Base bordo CD'!D$2:D$875,A1059,'Base bordo CD'!A$2:A$875,B1059,'Base bordo CD'!L$2:L$875,"FALTA DE MOTORIST*"),0)</f>
        <v>0</v>
      </c>
      <c r="O1059" s="10">
        <f t="shared" si="85"/>
        <v>0</v>
      </c>
      <c r="P1059" s="10">
        <f>IFERROR(SUMIFS('Base bordo CD'!M$2:M$875,'Base bordo CD'!D$2:D$875,A1059,'Base bordo CD'!A$2:A$875,B1059),0)</f>
        <v>0</v>
      </c>
      <c r="Q1059" s="10">
        <f>IFERROR(SUMIFS('Base bordo CD'!O$2:O$875,'Base bordo CD'!D$2:D$875,A1059,'Base bordo CD'!A$2:A$875,B1059,'Base bordo CD'!L$2:L$875,"CORTE DE CANA MECANIZADO"),0)</f>
        <v>0</v>
      </c>
      <c r="R1059" s="10">
        <f>IFERROR(SUMIFS('Base bordo CD'!Q$2:Q$875,'Base bordo CD'!D$2:D$875,A1059,'Base bordo CD'!A$2:A$875,B1059,'Base bordo CD'!L$2:L$875,"CORTE DE CANA MECANIZADO"),0)</f>
        <v>0</v>
      </c>
      <c r="S1059" s="30" t="str">
        <f t="shared" si="86"/>
        <v/>
      </c>
      <c r="T1059" s="9">
        <f t="shared" si="87"/>
        <v>0</v>
      </c>
      <c r="U1059" s="9">
        <f t="shared" si="88"/>
        <v>0</v>
      </c>
      <c r="V1059" s="9">
        <f t="shared" si="89"/>
        <v>0</v>
      </c>
    </row>
    <row r="1060" spans="1:22" hidden="1" x14ac:dyDescent="0.35">
      <c r="A1060" s="52">
        <v>49590</v>
      </c>
      <c r="B1060" s="31">
        <v>46117</v>
      </c>
      <c r="C1060" s="7" t="s">
        <v>321</v>
      </c>
      <c r="D1060" s="7">
        <v>351</v>
      </c>
      <c r="E1060" s="10">
        <f>IFERROR(SUMIFS('Base bordo CD'!M$2:M$875,'Base bordo CD'!D$2:D$875,A1060,'Base bordo CD'!A$2:A$875,B1060,'Base bordo CD'!L$2:L$875,"CORTE DE CANA MECANIZADO"),0)</f>
        <v>0</v>
      </c>
      <c r="F1060" s="10">
        <f>IFERROR(SUMIFS('Base bordo CD'!M$2:M$875,'Base bordo CD'!D$2:D$875,A1060,'Base bordo CD'!A$2:A$875,B1060,'Base bordo CD'!L$2:L$875,"MANOBRA"),0)</f>
        <v>0</v>
      </c>
      <c r="G1060" s="10">
        <f>IFERROR(SUMIFS('Base bordo CD'!M$2:M$875,'Base bordo CD'!D$2:D$875,A1060,'Base bordo CD'!A$2:A$875,B1060,'Base bordo CD'!L$2:L$875,"DESLOCAMENTO"),0)</f>
        <v>0</v>
      </c>
      <c r="H1060" s="10">
        <f>IFERROR(SUMIFS('Base bordo CD'!M$2:M$875,'Base bordo CD'!D$2:D$875,A1060,'Base bordo CD'!A$2:A$875,B1060,'Base bordo CD'!L$2:L$875,"AGUARDANDO MANOBRA DE TRANSBORDO"),0)+IFERROR(SUMIFS('Base bordo CD'!M$2:M$875,'Base bordo CD'!D$2:D$875,A1060,'Base bordo CD'!A$2:A$875,B1060,'Base bordo CD'!L$2:L$875,"FALTA DE TRANSBORDO"),0)</f>
        <v>0</v>
      </c>
      <c r="I1060" s="10">
        <f>IFERROR(SUMIFS('Base bordo CD'!M$2:M$875,'Base bordo CD'!D$2:D$875,A1060,'Base bordo CD'!A$2:A$875,B1060,'Base bordo CD'!L$2:L$875,"PARADA POR CONDICOES CLIMATICAS"),0)+IFERROR(SUMIFS('Base bordo CD'!M$2:M$875,'Base bordo CD'!D$2:D$875,A1060,'Base bordo CD'!A$2:A$875,B1060,'Base bordo CD'!L$2:L$875,"TEMPO INDETERMINADO"),0)</f>
        <v>0</v>
      </c>
      <c r="J1060" s="10">
        <f>IFERROR(SUMIFS('Base bordo CD'!M$2:M$875,'Base bordo CD'!D$2:D$875,A1060,'Base bordo CD'!A$2:A$875,B1060,'Base bordo CD'!L$2:L$875,"LIMITAÇÃO INDÚSTRIA"),0)</f>
        <v>0</v>
      </c>
      <c r="K1060" s="10">
        <f>IFERROR(SUMIFS('Base bordo CD'!M$2:M$875,'Base bordo CD'!D$2:D$875,A1060,'Base bordo CD'!A$2:A$875,B1060,'Base bordo CD'!L$2:L$875,"MAN CORRETIVA*"),0)+IFERROR(SUMIFS('Base bordo CD'!M$2:M$875,'Base bordo CD'!D$2:D$875,A1060,'Base bordo CD'!A$2:A$875,B1060,'Base bordo CD'!L$2:L$875,"AGUARDANDO MANUTENCAO*"),0)+IFERROR(SUMIFS('Base bordo CD'!M$2:M$875,'Base bordo CD'!D$2:D$875,A1060,'Base bordo CD'!A$2:A$875,B1060,'Base bordo CD'!L$2:L$875,"TROCA DE FAQUINHA"),0)+IFERROR(SUMIFS('Base bordo CD'!M$2:M$875,'Base bordo CD'!D$2:D$875,A1060,'Base bordo CD'!A$2:A$875,B1060,'Base bordo CD'!L$2:L$875,"LIMPEZA*"),0)</f>
        <v>0</v>
      </c>
      <c r="L1060" s="10">
        <f>IFERROR(SUMIFS('Base bordo CD'!M$2:M$875,'Base bordo CD'!D$2:D$875,A1060,'Base bordo CD'!A$2:A$875,B1060,'Base bordo CD'!L$2:L$875,"PATIO - RESERVA"),0)</f>
        <v>0</v>
      </c>
      <c r="M1060" s="10">
        <f>IFERROR(SUMIFS('Base bordo CD'!M$2:M$875,'Base bordo CD'!D$2:D$875,A1060,'Base bordo CD'!A$2:A$875,B1060,'Base bordo CD'!L$2:L$875,"SEM APONTAMENTO"),0)</f>
        <v>0</v>
      </c>
      <c r="N1060" s="10">
        <f>IFERROR(SUMIFS('Base bordo CD'!M$2:M$875,'Base bordo CD'!D$2:D$875,A1060,'Base bordo CD'!A$2:A$875,B1060,'Base bordo CD'!L$2:L$875,"FALTA DE CAMINHÃO"),0)+IFERROR(SUMIFS('Base bordo CD'!M$2:M$875,'Base bordo CD'!D$2:D$875,A1060,'Base bordo CD'!A$2:A$875,B1060,'Base bordo CD'!L$2:L$875,"FALTA DE COMBUSTIVEL"),0)+IFERROR(SUMIFS('Base bordo CD'!M$2:M$875,'Base bordo CD'!D$2:D$875,A1060,'Base bordo CD'!A$2:A$875,B1060,'Base bordo CD'!L$2:L$875,"FALTA DE MOTORIST*"),0)</f>
        <v>0</v>
      </c>
      <c r="O1060" s="10">
        <f t="shared" si="85"/>
        <v>0</v>
      </c>
      <c r="P1060" s="10">
        <f>IFERROR(SUMIFS('Base bordo CD'!M$2:M$875,'Base bordo CD'!D$2:D$875,A1060,'Base bordo CD'!A$2:A$875,B1060),0)</f>
        <v>0</v>
      </c>
      <c r="Q1060" s="10">
        <f>IFERROR(SUMIFS('Base bordo CD'!O$2:O$875,'Base bordo CD'!D$2:D$875,A1060,'Base bordo CD'!A$2:A$875,B1060,'Base bordo CD'!L$2:L$875,"CORTE DE CANA MECANIZADO"),0)</f>
        <v>0</v>
      </c>
      <c r="R1060" s="10">
        <f>IFERROR(SUMIFS('Base bordo CD'!Q$2:Q$875,'Base bordo CD'!D$2:D$875,A1060,'Base bordo CD'!A$2:A$875,B1060,'Base bordo CD'!L$2:L$875,"CORTE DE CANA MECANIZADO"),0)</f>
        <v>0</v>
      </c>
      <c r="S1060" s="30" t="str">
        <f t="shared" si="86"/>
        <v/>
      </c>
      <c r="T1060" s="9">
        <f t="shared" si="87"/>
        <v>0</v>
      </c>
      <c r="U1060" s="9">
        <f t="shared" si="88"/>
        <v>0</v>
      </c>
      <c r="V1060" s="9">
        <f t="shared" si="89"/>
        <v>0</v>
      </c>
    </row>
    <row r="1061" spans="1:22" hidden="1" x14ac:dyDescent="0.35">
      <c r="A1061" s="52">
        <v>49590</v>
      </c>
      <c r="B1061" s="31">
        <v>46117</v>
      </c>
      <c r="C1061" s="7" t="s">
        <v>321</v>
      </c>
      <c r="D1061" s="7">
        <v>351</v>
      </c>
      <c r="E1061" s="10">
        <f>IFERROR(SUMIFS('Base bordo CD'!M$2:M$875,'Base bordo CD'!D$2:D$875,A1061,'Base bordo CD'!A$2:A$875,B1061,'Base bordo CD'!L$2:L$875,"CORTE DE CANA MECANIZADO"),0)</f>
        <v>0</v>
      </c>
      <c r="F1061" s="10">
        <f>IFERROR(SUMIFS('Base bordo CD'!M$2:M$875,'Base bordo CD'!D$2:D$875,A1061,'Base bordo CD'!A$2:A$875,B1061,'Base bordo CD'!L$2:L$875,"MANOBRA"),0)</f>
        <v>0</v>
      </c>
      <c r="G1061" s="10">
        <f>IFERROR(SUMIFS('Base bordo CD'!M$2:M$875,'Base bordo CD'!D$2:D$875,A1061,'Base bordo CD'!A$2:A$875,B1061,'Base bordo CD'!L$2:L$875,"DESLOCAMENTO"),0)</f>
        <v>0</v>
      </c>
      <c r="H1061" s="10">
        <f>IFERROR(SUMIFS('Base bordo CD'!M$2:M$875,'Base bordo CD'!D$2:D$875,A1061,'Base bordo CD'!A$2:A$875,B1061,'Base bordo CD'!L$2:L$875,"AGUARDANDO MANOBRA DE TRANSBORDO"),0)+IFERROR(SUMIFS('Base bordo CD'!M$2:M$875,'Base bordo CD'!D$2:D$875,A1061,'Base bordo CD'!A$2:A$875,B1061,'Base bordo CD'!L$2:L$875,"FALTA DE TRANSBORDO"),0)</f>
        <v>0</v>
      </c>
      <c r="I1061" s="10">
        <f>IFERROR(SUMIFS('Base bordo CD'!M$2:M$875,'Base bordo CD'!D$2:D$875,A1061,'Base bordo CD'!A$2:A$875,B1061,'Base bordo CD'!L$2:L$875,"PARADA POR CONDICOES CLIMATICAS"),0)+IFERROR(SUMIFS('Base bordo CD'!M$2:M$875,'Base bordo CD'!D$2:D$875,A1061,'Base bordo CD'!A$2:A$875,B1061,'Base bordo CD'!L$2:L$875,"TEMPO INDETERMINADO"),0)</f>
        <v>0</v>
      </c>
      <c r="J1061" s="10">
        <f>IFERROR(SUMIFS('Base bordo CD'!M$2:M$875,'Base bordo CD'!D$2:D$875,A1061,'Base bordo CD'!A$2:A$875,B1061,'Base bordo CD'!L$2:L$875,"LIMITAÇÃO INDÚSTRIA"),0)</f>
        <v>0</v>
      </c>
      <c r="K1061" s="10">
        <f>IFERROR(SUMIFS('Base bordo CD'!M$2:M$875,'Base bordo CD'!D$2:D$875,A1061,'Base bordo CD'!A$2:A$875,B1061,'Base bordo CD'!L$2:L$875,"MAN CORRETIVA*"),0)+IFERROR(SUMIFS('Base bordo CD'!M$2:M$875,'Base bordo CD'!D$2:D$875,A1061,'Base bordo CD'!A$2:A$875,B1061,'Base bordo CD'!L$2:L$875,"AGUARDANDO MANUTENCAO*"),0)+IFERROR(SUMIFS('Base bordo CD'!M$2:M$875,'Base bordo CD'!D$2:D$875,A1061,'Base bordo CD'!A$2:A$875,B1061,'Base bordo CD'!L$2:L$875,"TROCA DE FAQUINHA"),0)+IFERROR(SUMIFS('Base bordo CD'!M$2:M$875,'Base bordo CD'!D$2:D$875,A1061,'Base bordo CD'!A$2:A$875,B1061,'Base bordo CD'!L$2:L$875,"LIMPEZA*"),0)</f>
        <v>0</v>
      </c>
      <c r="L1061" s="10">
        <f>IFERROR(SUMIFS('Base bordo CD'!M$2:M$875,'Base bordo CD'!D$2:D$875,A1061,'Base bordo CD'!A$2:A$875,B1061,'Base bordo CD'!L$2:L$875,"PATIO - RESERVA"),0)</f>
        <v>0</v>
      </c>
      <c r="M1061" s="10">
        <f>IFERROR(SUMIFS('Base bordo CD'!M$2:M$875,'Base bordo CD'!D$2:D$875,A1061,'Base bordo CD'!A$2:A$875,B1061,'Base bordo CD'!L$2:L$875,"SEM APONTAMENTO"),0)</f>
        <v>0</v>
      </c>
      <c r="N1061" s="10">
        <f>IFERROR(SUMIFS('Base bordo CD'!M$2:M$875,'Base bordo CD'!D$2:D$875,A1061,'Base bordo CD'!A$2:A$875,B1061,'Base bordo CD'!L$2:L$875,"FALTA DE CAMINHÃO"),0)+IFERROR(SUMIFS('Base bordo CD'!M$2:M$875,'Base bordo CD'!D$2:D$875,A1061,'Base bordo CD'!A$2:A$875,B1061,'Base bordo CD'!L$2:L$875,"FALTA DE COMBUSTIVEL"),0)+IFERROR(SUMIFS('Base bordo CD'!M$2:M$875,'Base bordo CD'!D$2:D$875,A1061,'Base bordo CD'!A$2:A$875,B1061,'Base bordo CD'!L$2:L$875,"FALTA DE MOTORIST*"),0)</f>
        <v>0</v>
      </c>
      <c r="O1061" s="10">
        <f t="shared" si="85"/>
        <v>0</v>
      </c>
      <c r="P1061" s="10">
        <f>IFERROR(SUMIFS('Base bordo CD'!M$2:M$875,'Base bordo CD'!D$2:D$875,A1061,'Base bordo CD'!A$2:A$875,B1061),0)</f>
        <v>0</v>
      </c>
      <c r="Q1061" s="10">
        <f>IFERROR(SUMIFS('Base bordo CD'!O$2:O$875,'Base bordo CD'!D$2:D$875,A1061,'Base bordo CD'!A$2:A$875,B1061,'Base bordo CD'!L$2:L$875,"CORTE DE CANA MECANIZADO"),0)</f>
        <v>0</v>
      </c>
      <c r="R1061" s="10">
        <f>IFERROR(SUMIFS('Base bordo CD'!Q$2:Q$875,'Base bordo CD'!D$2:D$875,A1061,'Base bordo CD'!A$2:A$875,B1061,'Base bordo CD'!L$2:L$875,"CORTE DE CANA MECANIZADO"),0)</f>
        <v>0</v>
      </c>
      <c r="S1061" s="30" t="str">
        <f t="shared" si="86"/>
        <v/>
      </c>
      <c r="T1061" s="9">
        <f t="shared" si="87"/>
        <v>0</v>
      </c>
      <c r="U1061" s="9">
        <f t="shared" si="88"/>
        <v>0</v>
      </c>
      <c r="V1061" s="9">
        <f t="shared" si="89"/>
        <v>0</v>
      </c>
    </row>
    <row r="1062" spans="1:22" hidden="1" x14ac:dyDescent="0.35">
      <c r="A1062" s="52">
        <v>49590</v>
      </c>
      <c r="B1062" s="31">
        <v>46117</v>
      </c>
      <c r="C1062" s="7" t="s">
        <v>321</v>
      </c>
      <c r="D1062" s="7">
        <v>351</v>
      </c>
      <c r="E1062" s="10">
        <f>IFERROR(SUMIFS('Base bordo CD'!M$2:M$875,'Base bordo CD'!D$2:D$875,A1062,'Base bordo CD'!A$2:A$875,B1062,'Base bordo CD'!L$2:L$875,"CORTE DE CANA MECANIZADO"),0)</f>
        <v>0</v>
      </c>
      <c r="F1062" s="10">
        <f>IFERROR(SUMIFS('Base bordo CD'!M$2:M$875,'Base bordo CD'!D$2:D$875,A1062,'Base bordo CD'!A$2:A$875,B1062,'Base bordo CD'!L$2:L$875,"MANOBRA"),0)</f>
        <v>0</v>
      </c>
      <c r="G1062" s="10">
        <f>IFERROR(SUMIFS('Base bordo CD'!M$2:M$875,'Base bordo CD'!D$2:D$875,A1062,'Base bordo CD'!A$2:A$875,B1062,'Base bordo CD'!L$2:L$875,"DESLOCAMENTO"),0)</f>
        <v>0</v>
      </c>
      <c r="H1062" s="10">
        <f>IFERROR(SUMIFS('Base bordo CD'!M$2:M$875,'Base bordo CD'!D$2:D$875,A1062,'Base bordo CD'!A$2:A$875,B1062,'Base bordo CD'!L$2:L$875,"AGUARDANDO MANOBRA DE TRANSBORDO"),0)+IFERROR(SUMIFS('Base bordo CD'!M$2:M$875,'Base bordo CD'!D$2:D$875,A1062,'Base bordo CD'!A$2:A$875,B1062,'Base bordo CD'!L$2:L$875,"FALTA DE TRANSBORDO"),0)</f>
        <v>0</v>
      </c>
      <c r="I1062" s="10">
        <f>IFERROR(SUMIFS('Base bordo CD'!M$2:M$875,'Base bordo CD'!D$2:D$875,A1062,'Base bordo CD'!A$2:A$875,B1062,'Base bordo CD'!L$2:L$875,"PARADA POR CONDICOES CLIMATICAS"),0)+IFERROR(SUMIFS('Base bordo CD'!M$2:M$875,'Base bordo CD'!D$2:D$875,A1062,'Base bordo CD'!A$2:A$875,B1062,'Base bordo CD'!L$2:L$875,"TEMPO INDETERMINADO"),0)</f>
        <v>0</v>
      </c>
      <c r="J1062" s="10">
        <f>IFERROR(SUMIFS('Base bordo CD'!M$2:M$875,'Base bordo CD'!D$2:D$875,A1062,'Base bordo CD'!A$2:A$875,B1062,'Base bordo CD'!L$2:L$875,"LIMITAÇÃO INDÚSTRIA"),0)</f>
        <v>0</v>
      </c>
      <c r="K1062" s="10">
        <f>IFERROR(SUMIFS('Base bordo CD'!M$2:M$875,'Base bordo CD'!D$2:D$875,A1062,'Base bordo CD'!A$2:A$875,B1062,'Base bordo CD'!L$2:L$875,"MAN CORRETIVA*"),0)+IFERROR(SUMIFS('Base bordo CD'!M$2:M$875,'Base bordo CD'!D$2:D$875,A1062,'Base bordo CD'!A$2:A$875,B1062,'Base bordo CD'!L$2:L$875,"AGUARDANDO MANUTENCAO*"),0)+IFERROR(SUMIFS('Base bordo CD'!M$2:M$875,'Base bordo CD'!D$2:D$875,A1062,'Base bordo CD'!A$2:A$875,B1062,'Base bordo CD'!L$2:L$875,"TROCA DE FAQUINHA"),0)+IFERROR(SUMIFS('Base bordo CD'!M$2:M$875,'Base bordo CD'!D$2:D$875,A1062,'Base bordo CD'!A$2:A$875,B1062,'Base bordo CD'!L$2:L$875,"LIMPEZA*"),0)</f>
        <v>0</v>
      </c>
      <c r="L1062" s="10">
        <f>IFERROR(SUMIFS('Base bordo CD'!M$2:M$875,'Base bordo CD'!D$2:D$875,A1062,'Base bordo CD'!A$2:A$875,B1062,'Base bordo CD'!L$2:L$875,"PATIO - RESERVA"),0)</f>
        <v>0</v>
      </c>
      <c r="M1062" s="10">
        <f>IFERROR(SUMIFS('Base bordo CD'!M$2:M$875,'Base bordo CD'!D$2:D$875,A1062,'Base bordo CD'!A$2:A$875,B1062,'Base bordo CD'!L$2:L$875,"SEM APONTAMENTO"),0)</f>
        <v>0</v>
      </c>
      <c r="N1062" s="10">
        <f>IFERROR(SUMIFS('Base bordo CD'!M$2:M$875,'Base bordo CD'!D$2:D$875,A1062,'Base bordo CD'!A$2:A$875,B1062,'Base bordo CD'!L$2:L$875,"FALTA DE CAMINHÃO"),0)+IFERROR(SUMIFS('Base bordo CD'!M$2:M$875,'Base bordo CD'!D$2:D$875,A1062,'Base bordo CD'!A$2:A$875,B1062,'Base bordo CD'!L$2:L$875,"FALTA DE COMBUSTIVEL"),0)+IFERROR(SUMIFS('Base bordo CD'!M$2:M$875,'Base bordo CD'!D$2:D$875,A1062,'Base bordo CD'!A$2:A$875,B1062,'Base bordo CD'!L$2:L$875,"FALTA DE MOTORIST*"),0)</f>
        <v>0</v>
      </c>
      <c r="O1062" s="10">
        <f t="shared" si="85"/>
        <v>0</v>
      </c>
      <c r="P1062" s="10">
        <f>IFERROR(SUMIFS('Base bordo CD'!M$2:M$875,'Base bordo CD'!D$2:D$875,A1062,'Base bordo CD'!A$2:A$875,B1062),0)</f>
        <v>0</v>
      </c>
      <c r="Q1062" s="10">
        <f>IFERROR(SUMIFS('Base bordo CD'!O$2:O$875,'Base bordo CD'!D$2:D$875,A1062,'Base bordo CD'!A$2:A$875,B1062,'Base bordo CD'!L$2:L$875,"CORTE DE CANA MECANIZADO"),0)</f>
        <v>0</v>
      </c>
      <c r="R1062" s="10">
        <f>IFERROR(SUMIFS('Base bordo CD'!Q$2:Q$875,'Base bordo CD'!D$2:D$875,A1062,'Base bordo CD'!A$2:A$875,B1062,'Base bordo CD'!L$2:L$875,"CORTE DE CANA MECANIZADO"),0)</f>
        <v>0</v>
      </c>
      <c r="S1062" s="30" t="str">
        <f t="shared" si="86"/>
        <v/>
      </c>
      <c r="T1062" s="9">
        <f t="shared" si="87"/>
        <v>0</v>
      </c>
      <c r="U1062" s="9">
        <f t="shared" si="88"/>
        <v>0</v>
      </c>
      <c r="V1062" s="9">
        <f t="shared" si="89"/>
        <v>0</v>
      </c>
    </row>
    <row r="1063" spans="1:22" hidden="1" x14ac:dyDescent="0.35">
      <c r="A1063" s="52">
        <v>49590</v>
      </c>
      <c r="B1063" s="31">
        <v>46117</v>
      </c>
      <c r="C1063" s="7" t="s">
        <v>321</v>
      </c>
      <c r="D1063" s="7">
        <v>351</v>
      </c>
      <c r="E1063" s="10">
        <f>IFERROR(SUMIFS('Base bordo CD'!M$2:M$875,'Base bordo CD'!D$2:D$875,A1063,'Base bordo CD'!A$2:A$875,B1063,'Base bordo CD'!L$2:L$875,"CORTE DE CANA MECANIZADO"),0)</f>
        <v>0</v>
      </c>
      <c r="F1063" s="10">
        <f>IFERROR(SUMIFS('Base bordo CD'!M$2:M$875,'Base bordo CD'!D$2:D$875,A1063,'Base bordo CD'!A$2:A$875,B1063,'Base bordo CD'!L$2:L$875,"MANOBRA"),0)</f>
        <v>0</v>
      </c>
      <c r="G1063" s="10">
        <f>IFERROR(SUMIFS('Base bordo CD'!M$2:M$875,'Base bordo CD'!D$2:D$875,A1063,'Base bordo CD'!A$2:A$875,B1063,'Base bordo CD'!L$2:L$875,"DESLOCAMENTO"),0)</f>
        <v>0</v>
      </c>
      <c r="H1063" s="10">
        <f>IFERROR(SUMIFS('Base bordo CD'!M$2:M$875,'Base bordo CD'!D$2:D$875,A1063,'Base bordo CD'!A$2:A$875,B1063,'Base bordo CD'!L$2:L$875,"AGUARDANDO MANOBRA DE TRANSBORDO"),0)+IFERROR(SUMIFS('Base bordo CD'!M$2:M$875,'Base bordo CD'!D$2:D$875,A1063,'Base bordo CD'!A$2:A$875,B1063,'Base bordo CD'!L$2:L$875,"FALTA DE TRANSBORDO"),0)</f>
        <v>0</v>
      </c>
      <c r="I1063" s="10">
        <f>IFERROR(SUMIFS('Base bordo CD'!M$2:M$875,'Base bordo CD'!D$2:D$875,A1063,'Base bordo CD'!A$2:A$875,B1063,'Base bordo CD'!L$2:L$875,"PARADA POR CONDICOES CLIMATICAS"),0)+IFERROR(SUMIFS('Base bordo CD'!M$2:M$875,'Base bordo CD'!D$2:D$875,A1063,'Base bordo CD'!A$2:A$875,B1063,'Base bordo CD'!L$2:L$875,"TEMPO INDETERMINADO"),0)</f>
        <v>0</v>
      </c>
      <c r="J1063" s="10">
        <f>IFERROR(SUMIFS('Base bordo CD'!M$2:M$875,'Base bordo CD'!D$2:D$875,A1063,'Base bordo CD'!A$2:A$875,B1063,'Base bordo CD'!L$2:L$875,"LIMITAÇÃO INDÚSTRIA"),0)</f>
        <v>0</v>
      </c>
      <c r="K1063" s="10">
        <f>IFERROR(SUMIFS('Base bordo CD'!M$2:M$875,'Base bordo CD'!D$2:D$875,A1063,'Base bordo CD'!A$2:A$875,B1063,'Base bordo CD'!L$2:L$875,"MAN CORRETIVA*"),0)+IFERROR(SUMIFS('Base bordo CD'!M$2:M$875,'Base bordo CD'!D$2:D$875,A1063,'Base bordo CD'!A$2:A$875,B1063,'Base bordo CD'!L$2:L$875,"AGUARDANDO MANUTENCAO*"),0)+IFERROR(SUMIFS('Base bordo CD'!M$2:M$875,'Base bordo CD'!D$2:D$875,A1063,'Base bordo CD'!A$2:A$875,B1063,'Base bordo CD'!L$2:L$875,"TROCA DE FAQUINHA"),0)+IFERROR(SUMIFS('Base bordo CD'!M$2:M$875,'Base bordo CD'!D$2:D$875,A1063,'Base bordo CD'!A$2:A$875,B1063,'Base bordo CD'!L$2:L$875,"LIMPEZA*"),0)</f>
        <v>0</v>
      </c>
      <c r="L1063" s="10">
        <f>IFERROR(SUMIFS('Base bordo CD'!M$2:M$875,'Base bordo CD'!D$2:D$875,A1063,'Base bordo CD'!A$2:A$875,B1063,'Base bordo CD'!L$2:L$875,"PATIO - RESERVA"),0)</f>
        <v>0</v>
      </c>
      <c r="M1063" s="10">
        <f>IFERROR(SUMIFS('Base bordo CD'!M$2:M$875,'Base bordo CD'!D$2:D$875,A1063,'Base bordo CD'!A$2:A$875,B1063,'Base bordo CD'!L$2:L$875,"SEM APONTAMENTO"),0)</f>
        <v>0</v>
      </c>
      <c r="N1063" s="10">
        <f>IFERROR(SUMIFS('Base bordo CD'!M$2:M$875,'Base bordo CD'!D$2:D$875,A1063,'Base bordo CD'!A$2:A$875,B1063,'Base bordo CD'!L$2:L$875,"FALTA DE CAMINHÃO"),0)+IFERROR(SUMIFS('Base bordo CD'!M$2:M$875,'Base bordo CD'!D$2:D$875,A1063,'Base bordo CD'!A$2:A$875,B1063,'Base bordo CD'!L$2:L$875,"FALTA DE COMBUSTIVEL"),0)+IFERROR(SUMIFS('Base bordo CD'!M$2:M$875,'Base bordo CD'!D$2:D$875,A1063,'Base bordo CD'!A$2:A$875,B1063,'Base bordo CD'!L$2:L$875,"FALTA DE MOTORIST*"),0)</f>
        <v>0</v>
      </c>
      <c r="O1063" s="10">
        <f t="shared" si="85"/>
        <v>0</v>
      </c>
      <c r="P1063" s="10">
        <f>IFERROR(SUMIFS('Base bordo CD'!M$2:M$875,'Base bordo CD'!D$2:D$875,A1063,'Base bordo CD'!A$2:A$875,B1063),0)</f>
        <v>0</v>
      </c>
      <c r="Q1063" s="10">
        <f>IFERROR(SUMIFS('Base bordo CD'!O$2:O$875,'Base bordo CD'!D$2:D$875,A1063,'Base bordo CD'!A$2:A$875,B1063,'Base bordo CD'!L$2:L$875,"CORTE DE CANA MECANIZADO"),0)</f>
        <v>0</v>
      </c>
      <c r="R1063" s="10">
        <f>IFERROR(SUMIFS('Base bordo CD'!Q$2:Q$875,'Base bordo CD'!D$2:D$875,A1063,'Base bordo CD'!A$2:A$875,B1063,'Base bordo CD'!L$2:L$875,"CORTE DE CANA MECANIZADO"),0)</f>
        <v>0</v>
      </c>
      <c r="S1063" s="30" t="str">
        <f t="shared" si="86"/>
        <v/>
      </c>
      <c r="T1063" s="9">
        <f t="shared" si="87"/>
        <v>0</v>
      </c>
      <c r="U1063" s="9">
        <f t="shared" si="88"/>
        <v>0</v>
      </c>
      <c r="V1063" s="9">
        <f t="shared" si="89"/>
        <v>0</v>
      </c>
    </row>
    <row r="1064" spans="1:22" hidden="1" x14ac:dyDescent="0.35">
      <c r="A1064" s="52">
        <v>49590</v>
      </c>
      <c r="B1064" s="31">
        <v>46117</v>
      </c>
      <c r="C1064" s="7" t="s">
        <v>321</v>
      </c>
      <c r="D1064" s="7">
        <v>351</v>
      </c>
      <c r="E1064" s="10">
        <f>IFERROR(SUMIFS('Base bordo CD'!M$2:M$875,'Base bordo CD'!D$2:D$875,A1064,'Base bordo CD'!A$2:A$875,B1064,'Base bordo CD'!L$2:L$875,"CORTE DE CANA MECANIZADO"),0)</f>
        <v>0</v>
      </c>
      <c r="F1064" s="10">
        <f>IFERROR(SUMIFS('Base bordo CD'!M$2:M$875,'Base bordo CD'!D$2:D$875,A1064,'Base bordo CD'!A$2:A$875,B1064,'Base bordo CD'!L$2:L$875,"MANOBRA"),0)</f>
        <v>0</v>
      </c>
      <c r="G1064" s="10">
        <f>IFERROR(SUMIFS('Base bordo CD'!M$2:M$875,'Base bordo CD'!D$2:D$875,A1064,'Base bordo CD'!A$2:A$875,B1064,'Base bordo CD'!L$2:L$875,"DESLOCAMENTO"),0)</f>
        <v>0</v>
      </c>
      <c r="H1064" s="10">
        <f>IFERROR(SUMIFS('Base bordo CD'!M$2:M$875,'Base bordo CD'!D$2:D$875,A1064,'Base bordo CD'!A$2:A$875,B1064,'Base bordo CD'!L$2:L$875,"AGUARDANDO MANOBRA DE TRANSBORDO"),0)+IFERROR(SUMIFS('Base bordo CD'!M$2:M$875,'Base bordo CD'!D$2:D$875,A1064,'Base bordo CD'!A$2:A$875,B1064,'Base bordo CD'!L$2:L$875,"FALTA DE TRANSBORDO"),0)</f>
        <v>0</v>
      </c>
      <c r="I1064" s="10">
        <f>IFERROR(SUMIFS('Base bordo CD'!M$2:M$875,'Base bordo CD'!D$2:D$875,A1064,'Base bordo CD'!A$2:A$875,B1064,'Base bordo CD'!L$2:L$875,"PARADA POR CONDICOES CLIMATICAS"),0)+IFERROR(SUMIFS('Base bordo CD'!M$2:M$875,'Base bordo CD'!D$2:D$875,A1064,'Base bordo CD'!A$2:A$875,B1064,'Base bordo CD'!L$2:L$875,"TEMPO INDETERMINADO"),0)</f>
        <v>0</v>
      </c>
      <c r="J1064" s="10">
        <f>IFERROR(SUMIFS('Base bordo CD'!M$2:M$875,'Base bordo CD'!D$2:D$875,A1064,'Base bordo CD'!A$2:A$875,B1064,'Base bordo CD'!L$2:L$875,"LIMITAÇÃO INDÚSTRIA"),0)</f>
        <v>0</v>
      </c>
      <c r="K1064" s="10">
        <f>IFERROR(SUMIFS('Base bordo CD'!M$2:M$875,'Base bordo CD'!D$2:D$875,A1064,'Base bordo CD'!A$2:A$875,B1064,'Base bordo CD'!L$2:L$875,"MAN CORRETIVA*"),0)+IFERROR(SUMIFS('Base bordo CD'!M$2:M$875,'Base bordo CD'!D$2:D$875,A1064,'Base bordo CD'!A$2:A$875,B1064,'Base bordo CD'!L$2:L$875,"AGUARDANDO MANUTENCAO*"),0)+IFERROR(SUMIFS('Base bordo CD'!M$2:M$875,'Base bordo CD'!D$2:D$875,A1064,'Base bordo CD'!A$2:A$875,B1064,'Base bordo CD'!L$2:L$875,"TROCA DE FAQUINHA"),0)+IFERROR(SUMIFS('Base bordo CD'!M$2:M$875,'Base bordo CD'!D$2:D$875,A1064,'Base bordo CD'!A$2:A$875,B1064,'Base bordo CD'!L$2:L$875,"LIMPEZA*"),0)</f>
        <v>0</v>
      </c>
      <c r="L1064" s="10">
        <f>IFERROR(SUMIFS('Base bordo CD'!M$2:M$875,'Base bordo CD'!D$2:D$875,A1064,'Base bordo CD'!A$2:A$875,B1064,'Base bordo CD'!L$2:L$875,"PATIO - RESERVA"),0)</f>
        <v>0</v>
      </c>
      <c r="M1064" s="10">
        <f>IFERROR(SUMIFS('Base bordo CD'!M$2:M$875,'Base bordo CD'!D$2:D$875,A1064,'Base bordo CD'!A$2:A$875,B1064,'Base bordo CD'!L$2:L$875,"SEM APONTAMENTO"),0)</f>
        <v>0</v>
      </c>
      <c r="N1064" s="10">
        <f>IFERROR(SUMIFS('Base bordo CD'!M$2:M$875,'Base bordo CD'!D$2:D$875,A1064,'Base bordo CD'!A$2:A$875,B1064,'Base bordo CD'!L$2:L$875,"FALTA DE CAMINHÃO"),0)+IFERROR(SUMIFS('Base bordo CD'!M$2:M$875,'Base bordo CD'!D$2:D$875,A1064,'Base bordo CD'!A$2:A$875,B1064,'Base bordo CD'!L$2:L$875,"FALTA DE COMBUSTIVEL"),0)+IFERROR(SUMIFS('Base bordo CD'!M$2:M$875,'Base bordo CD'!D$2:D$875,A1064,'Base bordo CD'!A$2:A$875,B1064,'Base bordo CD'!L$2:L$875,"FALTA DE MOTORIST*"),0)</f>
        <v>0</v>
      </c>
      <c r="O1064" s="10">
        <f t="shared" si="85"/>
        <v>0</v>
      </c>
      <c r="P1064" s="10">
        <f>IFERROR(SUMIFS('Base bordo CD'!M$2:M$875,'Base bordo CD'!D$2:D$875,A1064,'Base bordo CD'!A$2:A$875,B1064),0)</f>
        <v>0</v>
      </c>
      <c r="Q1064" s="10">
        <f>IFERROR(SUMIFS('Base bordo CD'!O$2:O$875,'Base bordo CD'!D$2:D$875,A1064,'Base bordo CD'!A$2:A$875,B1064,'Base bordo CD'!L$2:L$875,"CORTE DE CANA MECANIZADO"),0)</f>
        <v>0</v>
      </c>
      <c r="R1064" s="10">
        <f>IFERROR(SUMIFS('Base bordo CD'!Q$2:Q$875,'Base bordo CD'!D$2:D$875,A1064,'Base bordo CD'!A$2:A$875,B1064,'Base bordo CD'!L$2:L$875,"CORTE DE CANA MECANIZADO"),0)</f>
        <v>0</v>
      </c>
      <c r="S1064" s="30" t="str">
        <f t="shared" si="86"/>
        <v/>
      </c>
      <c r="T1064" s="9">
        <f t="shared" si="87"/>
        <v>0</v>
      </c>
      <c r="U1064" s="9">
        <f t="shared" si="88"/>
        <v>0</v>
      </c>
      <c r="V1064" s="9">
        <f t="shared" si="89"/>
        <v>0</v>
      </c>
    </row>
    <row r="1065" spans="1:22" hidden="1" x14ac:dyDescent="0.35">
      <c r="A1065" s="52">
        <v>49590</v>
      </c>
      <c r="B1065" s="31">
        <v>46117</v>
      </c>
      <c r="C1065" s="7" t="s">
        <v>321</v>
      </c>
      <c r="D1065" s="7">
        <v>351</v>
      </c>
      <c r="E1065" s="10">
        <f>IFERROR(SUMIFS('Base bordo CD'!M$2:M$875,'Base bordo CD'!D$2:D$875,A1065,'Base bordo CD'!A$2:A$875,B1065,'Base bordo CD'!L$2:L$875,"CORTE DE CANA MECANIZADO"),0)</f>
        <v>0</v>
      </c>
      <c r="F1065" s="10">
        <f>IFERROR(SUMIFS('Base bordo CD'!M$2:M$875,'Base bordo CD'!D$2:D$875,A1065,'Base bordo CD'!A$2:A$875,B1065,'Base bordo CD'!L$2:L$875,"MANOBRA"),0)</f>
        <v>0</v>
      </c>
      <c r="G1065" s="10">
        <f>IFERROR(SUMIFS('Base bordo CD'!M$2:M$875,'Base bordo CD'!D$2:D$875,A1065,'Base bordo CD'!A$2:A$875,B1065,'Base bordo CD'!L$2:L$875,"DESLOCAMENTO"),0)</f>
        <v>0</v>
      </c>
      <c r="H1065" s="10">
        <f>IFERROR(SUMIFS('Base bordo CD'!M$2:M$875,'Base bordo CD'!D$2:D$875,A1065,'Base bordo CD'!A$2:A$875,B1065,'Base bordo CD'!L$2:L$875,"AGUARDANDO MANOBRA DE TRANSBORDO"),0)+IFERROR(SUMIFS('Base bordo CD'!M$2:M$875,'Base bordo CD'!D$2:D$875,A1065,'Base bordo CD'!A$2:A$875,B1065,'Base bordo CD'!L$2:L$875,"FALTA DE TRANSBORDO"),0)</f>
        <v>0</v>
      </c>
      <c r="I1065" s="10">
        <f>IFERROR(SUMIFS('Base bordo CD'!M$2:M$875,'Base bordo CD'!D$2:D$875,A1065,'Base bordo CD'!A$2:A$875,B1065,'Base bordo CD'!L$2:L$875,"PARADA POR CONDICOES CLIMATICAS"),0)+IFERROR(SUMIFS('Base bordo CD'!M$2:M$875,'Base bordo CD'!D$2:D$875,A1065,'Base bordo CD'!A$2:A$875,B1065,'Base bordo CD'!L$2:L$875,"TEMPO INDETERMINADO"),0)</f>
        <v>0</v>
      </c>
      <c r="J1065" s="10">
        <f>IFERROR(SUMIFS('Base bordo CD'!M$2:M$875,'Base bordo CD'!D$2:D$875,A1065,'Base bordo CD'!A$2:A$875,B1065,'Base bordo CD'!L$2:L$875,"LIMITAÇÃO INDÚSTRIA"),0)</f>
        <v>0</v>
      </c>
      <c r="K1065" s="10">
        <f>IFERROR(SUMIFS('Base bordo CD'!M$2:M$875,'Base bordo CD'!D$2:D$875,A1065,'Base bordo CD'!A$2:A$875,B1065,'Base bordo CD'!L$2:L$875,"MAN CORRETIVA*"),0)+IFERROR(SUMIFS('Base bordo CD'!M$2:M$875,'Base bordo CD'!D$2:D$875,A1065,'Base bordo CD'!A$2:A$875,B1065,'Base bordo CD'!L$2:L$875,"AGUARDANDO MANUTENCAO*"),0)+IFERROR(SUMIFS('Base bordo CD'!M$2:M$875,'Base bordo CD'!D$2:D$875,A1065,'Base bordo CD'!A$2:A$875,B1065,'Base bordo CD'!L$2:L$875,"TROCA DE FAQUINHA"),0)+IFERROR(SUMIFS('Base bordo CD'!M$2:M$875,'Base bordo CD'!D$2:D$875,A1065,'Base bordo CD'!A$2:A$875,B1065,'Base bordo CD'!L$2:L$875,"LIMPEZA*"),0)</f>
        <v>0</v>
      </c>
      <c r="L1065" s="10">
        <f>IFERROR(SUMIFS('Base bordo CD'!M$2:M$875,'Base bordo CD'!D$2:D$875,A1065,'Base bordo CD'!A$2:A$875,B1065,'Base bordo CD'!L$2:L$875,"PATIO - RESERVA"),0)</f>
        <v>0</v>
      </c>
      <c r="M1065" s="10">
        <f>IFERROR(SUMIFS('Base bordo CD'!M$2:M$875,'Base bordo CD'!D$2:D$875,A1065,'Base bordo CD'!A$2:A$875,B1065,'Base bordo CD'!L$2:L$875,"SEM APONTAMENTO"),0)</f>
        <v>0</v>
      </c>
      <c r="N1065" s="10">
        <f>IFERROR(SUMIFS('Base bordo CD'!M$2:M$875,'Base bordo CD'!D$2:D$875,A1065,'Base bordo CD'!A$2:A$875,B1065,'Base bordo CD'!L$2:L$875,"FALTA DE CAMINHÃO"),0)+IFERROR(SUMIFS('Base bordo CD'!M$2:M$875,'Base bordo CD'!D$2:D$875,A1065,'Base bordo CD'!A$2:A$875,B1065,'Base bordo CD'!L$2:L$875,"FALTA DE COMBUSTIVEL"),0)+IFERROR(SUMIFS('Base bordo CD'!M$2:M$875,'Base bordo CD'!D$2:D$875,A1065,'Base bordo CD'!A$2:A$875,B1065,'Base bordo CD'!L$2:L$875,"FALTA DE MOTORIST*"),0)</f>
        <v>0</v>
      </c>
      <c r="O1065" s="10">
        <f t="shared" si="85"/>
        <v>0</v>
      </c>
      <c r="P1065" s="10">
        <f>IFERROR(SUMIFS('Base bordo CD'!M$2:M$875,'Base bordo CD'!D$2:D$875,A1065,'Base bordo CD'!A$2:A$875,B1065),0)</f>
        <v>0</v>
      </c>
      <c r="Q1065" s="10">
        <f>IFERROR(SUMIFS('Base bordo CD'!O$2:O$875,'Base bordo CD'!D$2:D$875,A1065,'Base bordo CD'!A$2:A$875,B1065,'Base bordo CD'!L$2:L$875,"CORTE DE CANA MECANIZADO"),0)</f>
        <v>0</v>
      </c>
      <c r="R1065" s="10">
        <f>IFERROR(SUMIFS('Base bordo CD'!Q$2:Q$875,'Base bordo CD'!D$2:D$875,A1065,'Base bordo CD'!A$2:A$875,B1065,'Base bordo CD'!L$2:L$875,"CORTE DE CANA MECANIZADO"),0)</f>
        <v>0</v>
      </c>
      <c r="S1065" s="30" t="str">
        <f t="shared" si="86"/>
        <v/>
      </c>
      <c r="T1065" s="9">
        <f t="shared" si="87"/>
        <v>0</v>
      </c>
      <c r="U1065" s="9">
        <f t="shared" si="88"/>
        <v>0</v>
      </c>
      <c r="V1065" s="9">
        <f t="shared" si="89"/>
        <v>0</v>
      </c>
    </row>
    <row r="1066" spans="1:22" hidden="1" x14ac:dyDescent="0.35">
      <c r="A1066" s="52">
        <v>49590</v>
      </c>
      <c r="B1066" s="31">
        <v>46117</v>
      </c>
      <c r="C1066" s="7" t="s">
        <v>321</v>
      </c>
      <c r="D1066" s="7">
        <v>351</v>
      </c>
      <c r="E1066" s="10">
        <f>IFERROR(SUMIFS('Base bordo CD'!M$2:M$875,'Base bordo CD'!D$2:D$875,A1066,'Base bordo CD'!A$2:A$875,B1066,'Base bordo CD'!L$2:L$875,"CORTE DE CANA MECANIZADO"),0)</f>
        <v>0</v>
      </c>
      <c r="F1066" s="10">
        <f>IFERROR(SUMIFS('Base bordo CD'!M$2:M$875,'Base bordo CD'!D$2:D$875,A1066,'Base bordo CD'!A$2:A$875,B1066,'Base bordo CD'!L$2:L$875,"MANOBRA"),0)</f>
        <v>0</v>
      </c>
      <c r="G1066" s="10">
        <f>IFERROR(SUMIFS('Base bordo CD'!M$2:M$875,'Base bordo CD'!D$2:D$875,A1066,'Base bordo CD'!A$2:A$875,B1066,'Base bordo CD'!L$2:L$875,"DESLOCAMENTO"),0)</f>
        <v>0</v>
      </c>
      <c r="H1066" s="10">
        <f>IFERROR(SUMIFS('Base bordo CD'!M$2:M$875,'Base bordo CD'!D$2:D$875,A1066,'Base bordo CD'!A$2:A$875,B1066,'Base bordo CD'!L$2:L$875,"AGUARDANDO MANOBRA DE TRANSBORDO"),0)+IFERROR(SUMIFS('Base bordo CD'!M$2:M$875,'Base bordo CD'!D$2:D$875,A1066,'Base bordo CD'!A$2:A$875,B1066,'Base bordo CD'!L$2:L$875,"FALTA DE TRANSBORDO"),0)</f>
        <v>0</v>
      </c>
      <c r="I1066" s="10">
        <f>IFERROR(SUMIFS('Base bordo CD'!M$2:M$875,'Base bordo CD'!D$2:D$875,A1066,'Base bordo CD'!A$2:A$875,B1066,'Base bordo CD'!L$2:L$875,"PARADA POR CONDICOES CLIMATICAS"),0)+IFERROR(SUMIFS('Base bordo CD'!M$2:M$875,'Base bordo CD'!D$2:D$875,A1066,'Base bordo CD'!A$2:A$875,B1066,'Base bordo CD'!L$2:L$875,"TEMPO INDETERMINADO"),0)</f>
        <v>0</v>
      </c>
      <c r="J1066" s="10">
        <f>IFERROR(SUMIFS('Base bordo CD'!M$2:M$875,'Base bordo CD'!D$2:D$875,A1066,'Base bordo CD'!A$2:A$875,B1066,'Base bordo CD'!L$2:L$875,"LIMITAÇÃO INDÚSTRIA"),0)</f>
        <v>0</v>
      </c>
      <c r="K1066" s="10">
        <f>IFERROR(SUMIFS('Base bordo CD'!M$2:M$875,'Base bordo CD'!D$2:D$875,A1066,'Base bordo CD'!A$2:A$875,B1066,'Base bordo CD'!L$2:L$875,"MAN CORRETIVA*"),0)+IFERROR(SUMIFS('Base bordo CD'!M$2:M$875,'Base bordo CD'!D$2:D$875,A1066,'Base bordo CD'!A$2:A$875,B1066,'Base bordo CD'!L$2:L$875,"AGUARDANDO MANUTENCAO*"),0)+IFERROR(SUMIFS('Base bordo CD'!M$2:M$875,'Base bordo CD'!D$2:D$875,A1066,'Base bordo CD'!A$2:A$875,B1066,'Base bordo CD'!L$2:L$875,"TROCA DE FAQUINHA"),0)+IFERROR(SUMIFS('Base bordo CD'!M$2:M$875,'Base bordo CD'!D$2:D$875,A1066,'Base bordo CD'!A$2:A$875,B1066,'Base bordo CD'!L$2:L$875,"LIMPEZA*"),0)</f>
        <v>0</v>
      </c>
      <c r="L1066" s="10">
        <f>IFERROR(SUMIFS('Base bordo CD'!M$2:M$875,'Base bordo CD'!D$2:D$875,A1066,'Base bordo CD'!A$2:A$875,B1066,'Base bordo CD'!L$2:L$875,"PATIO - RESERVA"),0)</f>
        <v>0</v>
      </c>
      <c r="M1066" s="10">
        <f>IFERROR(SUMIFS('Base bordo CD'!M$2:M$875,'Base bordo CD'!D$2:D$875,A1066,'Base bordo CD'!A$2:A$875,B1066,'Base bordo CD'!L$2:L$875,"SEM APONTAMENTO"),0)</f>
        <v>0</v>
      </c>
      <c r="N1066" s="10">
        <f>IFERROR(SUMIFS('Base bordo CD'!M$2:M$875,'Base bordo CD'!D$2:D$875,A1066,'Base bordo CD'!A$2:A$875,B1066,'Base bordo CD'!L$2:L$875,"FALTA DE CAMINHÃO"),0)+IFERROR(SUMIFS('Base bordo CD'!M$2:M$875,'Base bordo CD'!D$2:D$875,A1066,'Base bordo CD'!A$2:A$875,B1066,'Base bordo CD'!L$2:L$875,"FALTA DE COMBUSTIVEL"),0)+IFERROR(SUMIFS('Base bordo CD'!M$2:M$875,'Base bordo CD'!D$2:D$875,A1066,'Base bordo CD'!A$2:A$875,B1066,'Base bordo CD'!L$2:L$875,"FALTA DE MOTORIST*"),0)</f>
        <v>0</v>
      </c>
      <c r="O1066" s="10">
        <f t="shared" si="85"/>
        <v>0</v>
      </c>
      <c r="P1066" s="10">
        <f>IFERROR(SUMIFS('Base bordo CD'!M$2:M$875,'Base bordo CD'!D$2:D$875,A1066,'Base bordo CD'!A$2:A$875,B1066),0)</f>
        <v>0</v>
      </c>
      <c r="Q1066" s="10">
        <f>IFERROR(SUMIFS('Base bordo CD'!O$2:O$875,'Base bordo CD'!D$2:D$875,A1066,'Base bordo CD'!A$2:A$875,B1066,'Base bordo CD'!L$2:L$875,"CORTE DE CANA MECANIZADO"),0)</f>
        <v>0</v>
      </c>
      <c r="R1066" s="10">
        <f>IFERROR(SUMIFS('Base bordo CD'!Q$2:Q$875,'Base bordo CD'!D$2:D$875,A1066,'Base bordo CD'!A$2:A$875,B1066,'Base bordo CD'!L$2:L$875,"CORTE DE CANA MECANIZADO"),0)</f>
        <v>0</v>
      </c>
      <c r="S1066" s="30" t="str">
        <f t="shared" si="86"/>
        <v/>
      </c>
      <c r="T1066" s="9">
        <f t="shared" si="87"/>
        <v>0</v>
      </c>
      <c r="U1066" s="9">
        <f t="shared" si="88"/>
        <v>0</v>
      </c>
      <c r="V1066" s="9">
        <f t="shared" si="89"/>
        <v>0</v>
      </c>
    </row>
    <row r="1067" spans="1:22" hidden="1" x14ac:dyDescent="0.35">
      <c r="A1067" s="52">
        <v>49590</v>
      </c>
      <c r="B1067" s="31">
        <v>46117</v>
      </c>
      <c r="C1067" s="7" t="s">
        <v>321</v>
      </c>
      <c r="D1067" s="7">
        <v>351</v>
      </c>
      <c r="E1067" s="10">
        <f>IFERROR(SUMIFS('Base bordo CD'!M$2:M$875,'Base bordo CD'!D$2:D$875,A1067,'Base bordo CD'!A$2:A$875,B1067,'Base bordo CD'!L$2:L$875,"CORTE DE CANA MECANIZADO"),0)</f>
        <v>0</v>
      </c>
      <c r="F1067" s="10">
        <f>IFERROR(SUMIFS('Base bordo CD'!M$2:M$875,'Base bordo CD'!D$2:D$875,A1067,'Base bordo CD'!A$2:A$875,B1067,'Base bordo CD'!L$2:L$875,"MANOBRA"),0)</f>
        <v>0</v>
      </c>
      <c r="G1067" s="10">
        <f>IFERROR(SUMIFS('Base bordo CD'!M$2:M$875,'Base bordo CD'!D$2:D$875,A1067,'Base bordo CD'!A$2:A$875,B1067,'Base bordo CD'!L$2:L$875,"DESLOCAMENTO"),0)</f>
        <v>0</v>
      </c>
      <c r="H1067" s="10">
        <f>IFERROR(SUMIFS('Base bordo CD'!M$2:M$875,'Base bordo CD'!D$2:D$875,A1067,'Base bordo CD'!A$2:A$875,B1067,'Base bordo CD'!L$2:L$875,"AGUARDANDO MANOBRA DE TRANSBORDO"),0)+IFERROR(SUMIFS('Base bordo CD'!M$2:M$875,'Base bordo CD'!D$2:D$875,A1067,'Base bordo CD'!A$2:A$875,B1067,'Base bordo CD'!L$2:L$875,"FALTA DE TRANSBORDO"),0)</f>
        <v>0</v>
      </c>
      <c r="I1067" s="10">
        <f>IFERROR(SUMIFS('Base bordo CD'!M$2:M$875,'Base bordo CD'!D$2:D$875,A1067,'Base bordo CD'!A$2:A$875,B1067,'Base bordo CD'!L$2:L$875,"PARADA POR CONDICOES CLIMATICAS"),0)+IFERROR(SUMIFS('Base bordo CD'!M$2:M$875,'Base bordo CD'!D$2:D$875,A1067,'Base bordo CD'!A$2:A$875,B1067,'Base bordo CD'!L$2:L$875,"TEMPO INDETERMINADO"),0)</f>
        <v>0</v>
      </c>
      <c r="J1067" s="10">
        <f>IFERROR(SUMIFS('Base bordo CD'!M$2:M$875,'Base bordo CD'!D$2:D$875,A1067,'Base bordo CD'!A$2:A$875,B1067,'Base bordo CD'!L$2:L$875,"LIMITAÇÃO INDÚSTRIA"),0)</f>
        <v>0</v>
      </c>
      <c r="K1067" s="10">
        <f>IFERROR(SUMIFS('Base bordo CD'!M$2:M$875,'Base bordo CD'!D$2:D$875,A1067,'Base bordo CD'!A$2:A$875,B1067,'Base bordo CD'!L$2:L$875,"MAN CORRETIVA*"),0)+IFERROR(SUMIFS('Base bordo CD'!M$2:M$875,'Base bordo CD'!D$2:D$875,A1067,'Base bordo CD'!A$2:A$875,B1067,'Base bordo CD'!L$2:L$875,"AGUARDANDO MANUTENCAO*"),0)+IFERROR(SUMIFS('Base bordo CD'!M$2:M$875,'Base bordo CD'!D$2:D$875,A1067,'Base bordo CD'!A$2:A$875,B1067,'Base bordo CD'!L$2:L$875,"TROCA DE FAQUINHA"),0)+IFERROR(SUMIFS('Base bordo CD'!M$2:M$875,'Base bordo CD'!D$2:D$875,A1067,'Base bordo CD'!A$2:A$875,B1067,'Base bordo CD'!L$2:L$875,"LIMPEZA*"),0)</f>
        <v>0</v>
      </c>
      <c r="L1067" s="10">
        <f>IFERROR(SUMIFS('Base bordo CD'!M$2:M$875,'Base bordo CD'!D$2:D$875,A1067,'Base bordo CD'!A$2:A$875,B1067,'Base bordo CD'!L$2:L$875,"PATIO - RESERVA"),0)</f>
        <v>0</v>
      </c>
      <c r="M1067" s="10">
        <f>IFERROR(SUMIFS('Base bordo CD'!M$2:M$875,'Base bordo CD'!D$2:D$875,A1067,'Base bordo CD'!A$2:A$875,B1067,'Base bordo CD'!L$2:L$875,"SEM APONTAMENTO"),0)</f>
        <v>0</v>
      </c>
      <c r="N1067" s="10">
        <f>IFERROR(SUMIFS('Base bordo CD'!M$2:M$875,'Base bordo CD'!D$2:D$875,A1067,'Base bordo CD'!A$2:A$875,B1067,'Base bordo CD'!L$2:L$875,"FALTA DE CAMINHÃO"),0)+IFERROR(SUMIFS('Base bordo CD'!M$2:M$875,'Base bordo CD'!D$2:D$875,A1067,'Base bordo CD'!A$2:A$875,B1067,'Base bordo CD'!L$2:L$875,"FALTA DE COMBUSTIVEL"),0)+IFERROR(SUMIFS('Base bordo CD'!M$2:M$875,'Base bordo CD'!D$2:D$875,A1067,'Base bordo CD'!A$2:A$875,B1067,'Base bordo CD'!L$2:L$875,"FALTA DE MOTORIST*"),0)</f>
        <v>0</v>
      </c>
      <c r="O1067" s="10">
        <f t="shared" si="85"/>
        <v>0</v>
      </c>
      <c r="P1067" s="10">
        <f>IFERROR(SUMIFS('Base bordo CD'!M$2:M$875,'Base bordo CD'!D$2:D$875,A1067,'Base bordo CD'!A$2:A$875,B1067),0)</f>
        <v>0</v>
      </c>
      <c r="Q1067" s="10">
        <f>IFERROR(SUMIFS('Base bordo CD'!O$2:O$875,'Base bordo CD'!D$2:D$875,A1067,'Base bordo CD'!A$2:A$875,B1067,'Base bordo CD'!L$2:L$875,"CORTE DE CANA MECANIZADO"),0)</f>
        <v>0</v>
      </c>
      <c r="R1067" s="10">
        <f>IFERROR(SUMIFS('Base bordo CD'!Q$2:Q$875,'Base bordo CD'!D$2:D$875,A1067,'Base bordo CD'!A$2:A$875,B1067,'Base bordo CD'!L$2:L$875,"CORTE DE CANA MECANIZADO"),0)</f>
        <v>0</v>
      </c>
      <c r="S1067" s="30" t="str">
        <f t="shared" si="86"/>
        <v/>
      </c>
      <c r="T1067" s="9">
        <f t="shared" si="87"/>
        <v>0</v>
      </c>
      <c r="U1067" s="9">
        <f t="shared" si="88"/>
        <v>0</v>
      </c>
      <c r="V1067" s="9">
        <f t="shared" si="89"/>
        <v>0</v>
      </c>
    </row>
    <row r="1068" spans="1:22" hidden="1" x14ac:dyDescent="0.35">
      <c r="A1068" s="52">
        <v>49590</v>
      </c>
      <c r="B1068" s="31">
        <v>46117</v>
      </c>
      <c r="C1068" s="7" t="s">
        <v>321</v>
      </c>
      <c r="D1068" s="7">
        <v>351</v>
      </c>
      <c r="E1068" s="10">
        <f>IFERROR(SUMIFS('Base bordo CD'!M$2:M$875,'Base bordo CD'!D$2:D$875,A1068,'Base bordo CD'!A$2:A$875,B1068,'Base bordo CD'!L$2:L$875,"CORTE DE CANA MECANIZADO"),0)</f>
        <v>0</v>
      </c>
      <c r="F1068" s="10">
        <f>IFERROR(SUMIFS('Base bordo CD'!M$2:M$875,'Base bordo CD'!D$2:D$875,A1068,'Base bordo CD'!A$2:A$875,B1068,'Base bordo CD'!L$2:L$875,"MANOBRA"),0)</f>
        <v>0</v>
      </c>
      <c r="G1068" s="10">
        <f>IFERROR(SUMIFS('Base bordo CD'!M$2:M$875,'Base bordo CD'!D$2:D$875,A1068,'Base bordo CD'!A$2:A$875,B1068,'Base bordo CD'!L$2:L$875,"DESLOCAMENTO"),0)</f>
        <v>0</v>
      </c>
      <c r="H1068" s="10">
        <f>IFERROR(SUMIFS('Base bordo CD'!M$2:M$875,'Base bordo CD'!D$2:D$875,A1068,'Base bordo CD'!A$2:A$875,B1068,'Base bordo CD'!L$2:L$875,"AGUARDANDO MANOBRA DE TRANSBORDO"),0)+IFERROR(SUMIFS('Base bordo CD'!M$2:M$875,'Base bordo CD'!D$2:D$875,A1068,'Base bordo CD'!A$2:A$875,B1068,'Base bordo CD'!L$2:L$875,"FALTA DE TRANSBORDO"),0)</f>
        <v>0</v>
      </c>
      <c r="I1068" s="10">
        <f>IFERROR(SUMIFS('Base bordo CD'!M$2:M$875,'Base bordo CD'!D$2:D$875,A1068,'Base bordo CD'!A$2:A$875,B1068,'Base bordo CD'!L$2:L$875,"PARADA POR CONDICOES CLIMATICAS"),0)+IFERROR(SUMIFS('Base bordo CD'!M$2:M$875,'Base bordo CD'!D$2:D$875,A1068,'Base bordo CD'!A$2:A$875,B1068,'Base bordo CD'!L$2:L$875,"TEMPO INDETERMINADO"),0)</f>
        <v>0</v>
      </c>
      <c r="J1068" s="10">
        <f>IFERROR(SUMIFS('Base bordo CD'!M$2:M$875,'Base bordo CD'!D$2:D$875,A1068,'Base bordo CD'!A$2:A$875,B1068,'Base bordo CD'!L$2:L$875,"LIMITAÇÃO INDÚSTRIA"),0)</f>
        <v>0</v>
      </c>
      <c r="K1068" s="10">
        <f>IFERROR(SUMIFS('Base bordo CD'!M$2:M$875,'Base bordo CD'!D$2:D$875,A1068,'Base bordo CD'!A$2:A$875,B1068,'Base bordo CD'!L$2:L$875,"MAN CORRETIVA*"),0)+IFERROR(SUMIFS('Base bordo CD'!M$2:M$875,'Base bordo CD'!D$2:D$875,A1068,'Base bordo CD'!A$2:A$875,B1068,'Base bordo CD'!L$2:L$875,"AGUARDANDO MANUTENCAO*"),0)+IFERROR(SUMIFS('Base bordo CD'!M$2:M$875,'Base bordo CD'!D$2:D$875,A1068,'Base bordo CD'!A$2:A$875,B1068,'Base bordo CD'!L$2:L$875,"TROCA DE FAQUINHA"),0)+IFERROR(SUMIFS('Base bordo CD'!M$2:M$875,'Base bordo CD'!D$2:D$875,A1068,'Base bordo CD'!A$2:A$875,B1068,'Base bordo CD'!L$2:L$875,"LIMPEZA*"),0)</f>
        <v>0</v>
      </c>
      <c r="L1068" s="10">
        <f>IFERROR(SUMIFS('Base bordo CD'!M$2:M$875,'Base bordo CD'!D$2:D$875,A1068,'Base bordo CD'!A$2:A$875,B1068,'Base bordo CD'!L$2:L$875,"PATIO - RESERVA"),0)</f>
        <v>0</v>
      </c>
      <c r="M1068" s="10">
        <f>IFERROR(SUMIFS('Base bordo CD'!M$2:M$875,'Base bordo CD'!D$2:D$875,A1068,'Base bordo CD'!A$2:A$875,B1068,'Base bordo CD'!L$2:L$875,"SEM APONTAMENTO"),0)</f>
        <v>0</v>
      </c>
      <c r="N1068" s="10">
        <f>IFERROR(SUMIFS('Base bordo CD'!M$2:M$875,'Base bordo CD'!D$2:D$875,A1068,'Base bordo CD'!A$2:A$875,B1068,'Base bordo CD'!L$2:L$875,"FALTA DE CAMINHÃO"),0)+IFERROR(SUMIFS('Base bordo CD'!M$2:M$875,'Base bordo CD'!D$2:D$875,A1068,'Base bordo CD'!A$2:A$875,B1068,'Base bordo CD'!L$2:L$875,"FALTA DE COMBUSTIVEL"),0)+IFERROR(SUMIFS('Base bordo CD'!M$2:M$875,'Base bordo CD'!D$2:D$875,A1068,'Base bordo CD'!A$2:A$875,B1068,'Base bordo CD'!L$2:L$875,"FALTA DE MOTORIST*"),0)</f>
        <v>0</v>
      </c>
      <c r="O1068" s="10">
        <f t="shared" si="85"/>
        <v>0</v>
      </c>
      <c r="P1068" s="10">
        <f>IFERROR(SUMIFS('Base bordo CD'!M$2:M$875,'Base bordo CD'!D$2:D$875,A1068,'Base bordo CD'!A$2:A$875,B1068),0)</f>
        <v>0</v>
      </c>
      <c r="Q1068" s="10">
        <f>IFERROR(SUMIFS('Base bordo CD'!O$2:O$875,'Base bordo CD'!D$2:D$875,A1068,'Base bordo CD'!A$2:A$875,B1068,'Base bordo CD'!L$2:L$875,"CORTE DE CANA MECANIZADO"),0)</f>
        <v>0</v>
      </c>
      <c r="R1068" s="10">
        <f>IFERROR(SUMIFS('Base bordo CD'!Q$2:Q$875,'Base bordo CD'!D$2:D$875,A1068,'Base bordo CD'!A$2:A$875,B1068,'Base bordo CD'!L$2:L$875,"CORTE DE CANA MECANIZADO"),0)</f>
        <v>0</v>
      </c>
      <c r="S1068" s="30" t="str">
        <f t="shared" si="86"/>
        <v/>
      </c>
      <c r="T1068" s="9">
        <f t="shared" si="87"/>
        <v>0</v>
      </c>
      <c r="U1068" s="9">
        <f t="shared" si="88"/>
        <v>0</v>
      </c>
      <c r="V1068" s="9">
        <f t="shared" si="89"/>
        <v>0</v>
      </c>
    </row>
    <row r="1069" spans="1:22" hidden="1" x14ac:dyDescent="0.35">
      <c r="A1069" s="52">
        <v>49590</v>
      </c>
      <c r="B1069" s="31">
        <v>46117</v>
      </c>
      <c r="C1069" s="7" t="s">
        <v>321</v>
      </c>
      <c r="D1069" s="7">
        <v>351</v>
      </c>
      <c r="E1069" s="10">
        <f>IFERROR(SUMIFS('Base bordo CD'!M$2:M$875,'Base bordo CD'!D$2:D$875,A1069,'Base bordo CD'!A$2:A$875,B1069,'Base bordo CD'!L$2:L$875,"CORTE DE CANA MECANIZADO"),0)</f>
        <v>0</v>
      </c>
      <c r="F1069" s="10">
        <f>IFERROR(SUMIFS('Base bordo CD'!M$2:M$875,'Base bordo CD'!D$2:D$875,A1069,'Base bordo CD'!A$2:A$875,B1069,'Base bordo CD'!L$2:L$875,"MANOBRA"),0)</f>
        <v>0</v>
      </c>
      <c r="G1069" s="10">
        <f>IFERROR(SUMIFS('Base bordo CD'!M$2:M$875,'Base bordo CD'!D$2:D$875,A1069,'Base bordo CD'!A$2:A$875,B1069,'Base bordo CD'!L$2:L$875,"DESLOCAMENTO"),0)</f>
        <v>0</v>
      </c>
      <c r="H1069" s="10">
        <f>IFERROR(SUMIFS('Base bordo CD'!M$2:M$875,'Base bordo CD'!D$2:D$875,A1069,'Base bordo CD'!A$2:A$875,B1069,'Base bordo CD'!L$2:L$875,"AGUARDANDO MANOBRA DE TRANSBORDO"),0)+IFERROR(SUMIFS('Base bordo CD'!M$2:M$875,'Base bordo CD'!D$2:D$875,A1069,'Base bordo CD'!A$2:A$875,B1069,'Base bordo CD'!L$2:L$875,"FALTA DE TRANSBORDO"),0)</f>
        <v>0</v>
      </c>
      <c r="I1069" s="10">
        <f>IFERROR(SUMIFS('Base bordo CD'!M$2:M$875,'Base bordo CD'!D$2:D$875,A1069,'Base bordo CD'!A$2:A$875,B1069,'Base bordo CD'!L$2:L$875,"PARADA POR CONDICOES CLIMATICAS"),0)+IFERROR(SUMIFS('Base bordo CD'!M$2:M$875,'Base bordo CD'!D$2:D$875,A1069,'Base bordo CD'!A$2:A$875,B1069,'Base bordo CD'!L$2:L$875,"TEMPO INDETERMINADO"),0)</f>
        <v>0</v>
      </c>
      <c r="J1069" s="10">
        <f>IFERROR(SUMIFS('Base bordo CD'!M$2:M$875,'Base bordo CD'!D$2:D$875,A1069,'Base bordo CD'!A$2:A$875,B1069,'Base bordo CD'!L$2:L$875,"LIMITAÇÃO INDÚSTRIA"),0)</f>
        <v>0</v>
      </c>
      <c r="K1069" s="10">
        <f>IFERROR(SUMIFS('Base bordo CD'!M$2:M$875,'Base bordo CD'!D$2:D$875,A1069,'Base bordo CD'!A$2:A$875,B1069,'Base bordo CD'!L$2:L$875,"MAN CORRETIVA*"),0)+IFERROR(SUMIFS('Base bordo CD'!M$2:M$875,'Base bordo CD'!D$2:D$875,A1069,'Base bordo CD'!A$2:A$875,B1069,'Base bordo CD'!L$2:L$875,"AGUARDANDO MANUTENCAO*"),0)+IFERROR(SUMIFS('Base bordo CD'!M$2:M$875,'Base bordo CD'!D$2:D$875,A1069,'Base bordo CD'!A$2:A$875,B1069,'Base bordo CD'!L$2:L$875,"TROCA DE FAQUINHA"),0)+IFERROR(SUMIFS('Base bordo CD'!M$2:M$875,'Base bordo CD'!D$2:D$875,A1069,'Base bordo CD'!A$2:A$875,B1069,'Base bordo CD'!L$2:L$875,"LIMPEZA*"),0)</f>
        <v>0</v>
      </c>
      <c r="L1069" s="10">
        <f>IFERROR(SUMIFS('Base bordo CD'!M$2:M$875,'Base bordo CD'!D$2:D$875,A1069,'Base bordo CD'!A$2:A$875,B1069,'Base bordo CD'!L$2:L$875,"PATIO - RESERVA"),0)</f>
        <v>0</v>
      </c>
      <c r="M1069" s="10">
        <f>IFERROR(SUMIFS('Base bordo CD'!M$2:M$875,'Base bordo CD'!D$2:D$875,A1069,'Base bordo CD'!A$2:A$875,B1069,'Base bordo CD'!L$2:L$875,"SEM APONTAMENTO"),0)</f>
        <v>0</v>
      </c>
      <c r="N1069" s="10">
        <f>IFERROR(SUMIFS('Base bordo CD'!M$2:M$875,'Base bordo CD'!D$2:D$875,A1069,'Base bordo CD'!A$2:A$875,B1069,'Base bordo CD'!L$2:L$875,"FALTA DE CAMINHÃO"),0)+IFERROR(SUMIFS('Base bordo CD'!M$2:M$875,'Base bordo CD'!D$2:D$875,A1069,'Base bordo CD'!A$2:A$875,B1069,'Base bordo CD'!L$2:L$875,"FALTA DE COMBUSTIVEL"),0)+IFERROR(SUMIFS('Base bordo CD'!M$2:M$875,'Base bordo CD'!D$2:D$875,A1069,'Base bordo CD'!A$2:A$875,B1069,'Base bordo CD'!L$2:L$875,"FALTA DE MOTORIST*"),0)</f>
        <v>0</v>
      </c>
      <c r="O1069" s="10">
        <f t="shared" si="85"/>
        <v>0</v>
      </c>
      <c r="P1069" s="10">
        <f>IFERROR(SUMIFS('Base bordo CD'!M$2:M$875,'Base bordo CD'!D$2:D$875,A1069,'Base bordo CD'!A$2:A$875,B1069),0)</f>
        <v>0</v>
      </c>
      <c r="Q1069" s="10">
        <f>IFERROR(SUMIFS('Base bordo CD'!O$2:O$875,'Base bordo CD'!D$2:D$875,A1069,'Base bordo CD'!A$2:A$875,B1069,'Base bordo CD'!L$2:L$875,"CORTE DE CANA MECANIZADO"),0)</f>
        <v>0</v>
      </c>
      <c r="R1069" s="10">
        <f>IFERROR(SUMIFS('Base bordo CD'!Q$2:Q$875,'Base bordo CD'!D$2:D$875,A1069,'Base bordo CD'!A$2:A$875,B1069,'Base bordo CD'!L$2:L$875,"CORTE DE CANA MECANIZADO"),0)</f>
        <v>0</v>
      </c>
      <c r="S1069" s="30" t="str">
        <f t="shared" si="86"/>
        <v/>
      </c>
      <c r="T1069" s="9">
        <f t="shared" si="87"/>
        <v>0</v>
      </c>
      <c r="U1069" s="9">
        <f t="shared" si="88"/>
        <v>0</v>
      </c>
      <c r="V1069" s="9">
        <f t="shared" si="89"/>
        <v>0</v>
      </c>
    </row>
    <row r="1070" spans="1:22" hidden="1" x14ac:dyDescent="0.35">
      <c r="A1070" s="52">
        <v>49590</v>
      </c>
      <c r="B1070" s="31">
        <v>46117</v>
      </c>
      <c r="C1070" s="7" t="s">
        <v>321</v>
      </c>
      <c r="D1070" s="7">
        <v>351</v>
      </c>
      <c r="E1070" s="10">
        <f>IFERROR(SUMIFS('Base bordo CD'!M$2:M$875,'Base bordo CD'!D$2:D$875,A1070,'Base bordo CD'!A$2:A$875,B1070,'Base bordo CD'!L$2:L$875,"CORTE DE CANA MECANIZADO"),0)</f>
        <v>0</v>
      </c>
      <c r="F1070" s="10">
        <f>IFERROR(SUMIFS('Base bordo CD'!M$2:M$875,'Base bordo CD'!D$2:D$875,A1070,'Base bordo CD'!A$2:A$875,B1070,'Base bordo CD'!L$2:L$875,"MANOBRA"),0)</f>
        <v>0</v>
      </c>
      <c r="G1070" s="10">
        <f>IFERROR(SUMIFS('Base bordo CD'!M$2:M$875,'Base bordo CD'!D$2:D$875,A1070,'Base bordo CD'!A$2:A$875,B1070,'Base bordo CD'!L$2:L$875,"DESLOCAMENTO"),0)</f>
        <v>0</v>
      </c>
      <c r="H1070" s="10">
        <f>IFERROR(SUMIFS('Base bordo CD'!M$2:M$875,'Base bordo CD'!D$2:D$875,A1070,'Base bordo CD'!A$2:A$875,B1070,'Base bordo CD'!L$2:L$875,"AGUARDANDO MANOBRA DE TRANSBORDO"),0)+IFERROR(SUMIFS('Base bordo CD'!M$2:M$875,'Base bordo CD'!D$2:D$875,A1070,'Base bordo CD'!A$2:A$875,B1070,'Base bordo CD'!L$2:L$875,"FALTA DE TRANSBORDO"),0)</f>
        <v>0</v>
      </c>
      <c r="I1070" s="10">
        <f>IFERROR(SUMIFS('Base bordo CD'!M$2:M$875,'Base bordo CD'!D$2:D$875,A1070,'Base bordo CD'!A$2:A$875,B1070,'Base bordo CD'!L$2:L$875,"PARADA POR CONDICOES CLIMATICAS"),0)+IFERROR(SUMIFS('Base bordo CD'!M$2:M$875,'Base bordo CD'!D$2:D$875,A1070,'Base bordo CD'!A$2:A$875,B1070,'Base bordo CD'!L$2:L$875,"TEMPO INDETERMINADO"),0)</f>
        <v>0</v>
      </c>
      <c r="J1070" s="10">
        <f>IFERROR(SUMIFS('Base bordo CD'!M$2:M$875,'Base bordo CD'!D$2:D$875,A1070,'Base bordo CD'!A$2:A$875,B1070,'Base bordo CD'!L$2:L$875,"LIMITAÇÃO INDÚSTRIA"),0)</f>
        <v>0</v>
      </c>
      <c r="K1070" s="10">
        <f>IFERROR(SUMIFS('Base bordo CD'!M$2:M$875,'Base bordo CD'!D$2:D$875,A1070,'Base bordo CD'!A$2:A$875,B1070,'Base bordo CD'!L$2:L$875,"MAN CORRETIVA*"),0)+IFERROR(SUMIFS('Base bordo CD'!M$2:M$875,'Base bordo CD'!D$2:D$875,A1070,'Base bordo CD'!A$2:A$875,B1070,'Base bordo CD'!L$2:L$875,"AGUARDANDO MANUTENCAO*"),0)+IFERROR(SUMIFS('Base bordo CD'!M$2:M$875,'Base bordo CD'!D$2:D$875,A1070,'Base bordo CD'!A$2:A$875,B1070,'Base bordo CD'!L$2:L$875,"TROCA DE FAQUINHA"),0)+IFERROR(SUMIFS('Base bordo CD'!M$2:M$875,'Base bordo CD'!D$2:D$875,A1070,'Base bordo CD'!A$2:A$875,B1070,'Base bordo CD'!L$2:L$875,"LIMPEZA*"),0)</f>
        <v>0</v>
      </c>
      <c r="L1070" s="10">
        <f>IFERROR(SUMIFS('Base bordo CD'!M$2:M$875,'Base bordo CD'!D$2:D$875,A1070,'Base bordo CD'!A$2:A$875,B1070,'Base bordo CD'!L$2:L$875,"PATIO - RESERVA"),0)</f>
        <v>0</v>
      </c>
      <c r="M1070" s="10">
        <f>IFERROR(SUMIFS('Base bordo CD'!M$2:M$875,'Base bordo CD'!D$2:D$875,A1070,'Base bordo CD'!A$2:A$875,B1070,'Base bordo CD'!L$2:L$875,"SEM APONTAMENTO"),0)</f>
        <v>0</v>
      </c>
      <c r="N1070" s="10">
        <f>IFERROR(SUMIFS('Base bordo CD'!M$2:M$875,'Base bordo CD'!D$2:D$875,A1070,'Base bordo CD'!A$2:A$875,B1070,'Base bordo CD'!L$2:L$875,"FALTA DE CAMINHÃO"),0)+IFERROR(SUMIFS('Base bordo CD'!M$2:M$875,'Base bordo CD'!D$2:D$875,A1070,'Base bordo CD'!A$2:A$875,B1070,'Base bordo CD'!L$2:L$875,"FALTA DE COMBUSTIVEL"),0)+IFERROR(SUMIFS('Base bordo CD'!M$2:M$875,'Base bordo CD'!D$2:D$875,A1070,'Base bordo CD'!A$2:A$875,B1070,'Base bordo CD'!L$2:L$875,"FALTA DE MOTORIST*"),0)</f>
        <v>0</v>
      </c>
      <c r="O1070" s="10">
        <f t="shared" si="85"/>
        <v>0</v>
      </c>
      <c r="P1070" s="10">
        <f>IFERROR(SUMIFS('Base bordo CD'!M$2:M$875,'Base bordo CD'!D$2:D$875,A1070,'Base bordo CD'!A$2:A$875,B1070),0)</f>
        <v>0</v>
      </c>
      <c r="Q1070" s="10">
        <f>IFERROR(SUMIFS('Base bordo CD'!O$2:O$875,'Base bordo CD'!D$2:D$875,A1070,'Base bordo CD'!A$2:A$875,B1070,'Base bordo CD'!L$2:L$875,"CORTE DE CANA MECANIZADO"),0)</f>
        <v>0</v>
      </c>
      <c r="R1070" s="10">
        <f>IFERROR(SUMIFS('Base bordo CD'!Q$2:Q$875,'Base bordo CD'!D$2:D$875,A1070,'Base bordo CD'!A$2:A$875,B1070,'Base bordo CD'!L$2:L$875,"CORTE DE CANA MECANIZADO"),0)</f>
        <v>0</v>
      </c>
      <c r="S1070" s="30" t="str">
        <f t="shared" si="86"/>
        <v/>
      </c>
      <c r="T1070" s="9">
        <f t="shared" si="87"/>
        <v>0</v>
      </c>
      <c r="U1070" s="9">
        <f t="shared" si="88"/>
        <v>0</v>
      </c>
      <c r="V1070" s="9">
        <f t="shared" si="89"/>
        <v>0</v>
      </c>
    </row>
    <row r="1071" spans="1:22" hidden="1" x14ac:dyDescent="0.35">
      <c r="A1071" s="52">
        <v>49590</v>
      </c>
      <c r="B1071" s="31">
        <v>46117</v>
      </c>
      <c r="C1071" s="7" t="s">
        <v>321</v>
      </c>
      <c r="D1071" s="7">
        <v>351</v>
      </c>
      <c r="E1071" s="10">
        <f>IFERROR(SUMIFS('Base bordo CD'!M$2:M$875,'Base bordo CD'!D$2:D$875,A1071,'Base bordo CD'!A$2:A$875,B1071,'Base bordo CD'!L$2:L$875,"CORTE DE CANA MECANIZADO"),0)</f>
        <v>0</v>
      </c>
      <c r="F1071" s="10">
        <f>IFERROR(SUMIFS('Base bordo CD'!M$2:M$875,'Base bordo CD'!D$2:D$875,A1071,'Base bordo CD'!A$2:A$875,B1071,'Base bordo CD'!L$2:L$875,"MANOBRA"),0)</f>
        <v>0</v>
      </c>
      <c r="G1071" s="10">
        <f>IFERROR(SUMIFS('Base bordo CD'!M$2:M$875,'Base bordo CD'!D$2:D$875,A1071,'Base bordo CD'!A$2:A$875,B1071,'Base bordo CD'!L$2:L$875,"DESLOCAMENTO"),0)</f>
        <v>0</v>
      </c>
      <c r="H1071" s="10">
        <f>IFERROR(SUMIFS('Base bordo CD'!M$2:M$875,'Base bordo CD'!D$2:D$875,A1071,'Base bordo CD'!A$2:A$875,B1071,'Base bordo CD'!L$2:L$875,"AGUARDANDO MANOBRA DE TRANSBORDO"),0)+IFERROR(SUMIFS('Base bordo CD'!M$2:M$875,'Base bordo CD'!D$2:D$875,A1071,'Base bordo CD'!A$2:A$875,B1071,'Base bordo CD'!L$2:L$875,"FALTA DE TRANSBORDO"),0)</f>
        <v>0</v>
      </c>
      <c r="I1071" s="10">
        <f>IFERROR(SUMIFS('Base bordo CD'!M$2:M$875,'Base bordo CD'!D$2:D$875,A1071,'Base bordo CD'!A$2:A$875,B1071,'Base bordo CD'!L$2:L$875,"PARADA POR CONDICOES CLIMATICAS"),0)+IFERROR(SUMIFS('Base bordo CD'!M$2:M$875,'Base bordo CD'!D$2:D$875,A1071,'Base bordo CD'!A$2:A$875,B1071,'Base bordo CD'!L$2:L$875,"TEMPO INDETERMINADO"),0)</f>
        <v>0</v>
      </c>
      <c r="J1071" s="10">
        <f>IFERROR(SUMIFS('Base bordo CD'!M$2:M$875,'Base bordo CD'!D$2:D$875,A1071,'Base bordo CD'!A$2:A$875,B1071,'Base bordo CD'!L$2:L$875,"LIMITAÇÃO INDÚSTRIA"),0)</f>
        <v>0</v>
      </c>
      <c r="K1071" s="10">
        <f>IFERROR(SUMIFS('Base bordo CD'!M$2:M$875,'Base bordo CD'!D$2:D$875,A1071,'Base bordo CD'!A$2:A$875,B1071,'Base bordo CD'!L$2:L$875,"MAN CORRETIVA*"),0)+IFERROR(SUMIFS('Base bordo CD'!M$2:M$875,'Base bordo CD'!D$2:D$875,A1071,'Base bordo CD'!A$2:A$875,B1071,'Base bordo CD'!L$2:L$875,"AGUARDANDO MANUTENCAO*"),0)+IFERROR(SUMIFS('Base bordo CD'!M$2:M$875,'Base bordo CD'!D$2:D$875,A1071,'Base bordo CD'!A$2:A$875,B1071,'Base bordo CD'!L$2:L$875,"TROCA DE FAQUINHA"),0)+IFERROR(SUMIFS('Base bordo CD'!M$2:M$875,'Base bordo CD'!D$2:D$875,A1071,'Base bordo CD'!A$2:A$875,B1071,'Base bordo CD'!L$2:L$875,"LIMPEZA*"),0)</f>
        <v>0</v>
      </c>
      <c r="L1071" s="10">
        <f>IFERROR(SUMIFS('Base bordo CD'!M$2:M$875,'Base bordo CD'!D$2:D$875,A1071,'Base bordo CD'!A$2:A$875,B1071,'Base bordo CD'!L$2:L$875,"PATIO - RESERVA"),0)</f>
        <v>0</v>
      </c>
      <c r="M1071" s="10">
        <f>IFERROR(SUMIFS('Base bordo CD'!M$2:M$875,'Base bordo CD'!D$2:D$875,A1071,'Base bordo CD'!A$2:A$875,B1071,'Base bordo CD'!L$2:L$875,"SEM APONTAMENTO"),0)</f>
        <v>0</v>
      </c>
      <c r="N1071" s="10">
        <f>IFERROR(SUMIFS('Base bordo CD'!M$2:M$875,'Base bordo CD'!D$2:D$875,A1071,'Base bordo CD'!A$2:A$875,B1071,'Base bordo CD'!L$2:L$875,"FALTA DE CAMINHÃO"),0)+IFERROR(SUMIFS('Base bordo CD'!M$2:M$875,'Base bordo CD'!D$2:D$875,A1071,'Base bordo CD'!A$2:A$875,B1071,'Base bordo CD'!L$2:L$875,"FALTA DE COMBUSTIVEL"),0)+IFERROR(SUMIFS('Base bordo CD'!M$2:M$875,'Base bordo CD'!D$2:D$875,A1071,'Base bordo CD'!A$2:A$875,B1071,'Base bordo CD'!L$2:L$875,"FALTA DE MOTORIST*"),0)</f>
        <v>0</v>
      </c>
      <c r="O1071" s="10">
        <f t="shared" si="85"/>
        <v>0</v>
      </c>
      <c r="P1071" s="10">
        <f>IFERROR(SUMIFS('Base bordo CD'!M$2:M$875,'Base bordo CD'!D$2:D$875,A1071,'Base bordo CD'!A$2:A$875,B1071),0)</f>
        <v>0</v>
      </c>
      <c r="Q1071" s="10">
        <f>IFERROR(SUMIFS('Base bordo CD'!O$2:O$875,'Base bordo CD'!D$2:D$875,A1071,'Base bordo CD'!A$2:A$875,B1071,'Base bordo CD'!L$2:L$875,"CORTE DE CANA MECANIZADO"),0)</f>
        <v>0</v>
      </c>
      <c r="R1071" s="10">
        <f>IFERROR(SUMIFS('Base bordo CD'!Q$2:Q$875,'Base bordo CD'!D$2:D$875,A1071,'Base bordo CD'!A$2:A$875,B1071,'Base bordo CD'!L$2:L$875,"CORTE DE CANA MECANIZADO"),0)</f>
        <v>0</v>
      </c>
      <c r="S1071" s="30" t="str">
        <f t="shared" si="86"/>
        <v/>
      </c>
      <c r="T1071" s="9">
        <f t="shared" si="87"/>
        <v>0</v>
      </c>
      <c r="U1071" s="9">
        <f t="shared" si="88"/>
        <v>0</v>
      </c>
      <c r="V1071" s="9">
        <f t="shared" si="89"/>
        <v>0</v>
      </c>
    </row>
    <row r="1072" spans="1:22" hidden="1" x14ac:dyDescent="0.35">
      <c r="A1072" s="52">
        <v>49590</v>
      </c>
      <c r="B1072" s="31">
        <v>46117</v>
      </c>
      <c r="C1072" s="7" t="s">
        <v>321</v>
      </c>
      <c r="D1072" s="7">
        <v>351</v>
      </c>
      <c r="E1072" s="10">
        <f>IFERROR(SUMIFS('Base bordo CD'!M$2:M$875,'Base bordo CD'!D$2:D$875,A1072,'Base bordo CD'!A$2:A$875,B1072,'Base bordo CD'!L$2:L$875,"CORTE DE CANA MECANIZADO"),0)</f>
        <v>0</v>
      </c>
      <c r="F1072" s="10">
        <f>IFERROR(SUMIFS('Base bordo CD'!M$2:M$875,'Base bordo CD'!D$2:D$875,A1072,'Base bordo CD'!A$2:A$875,B1072,'Base bordo CD'!L$2:L$875,"MANOBRA"),0)</f>
        <v>0</v>
      </c>
      <c r="G1072" s="10">
        <f>IFERROR(SUMIFS('Base bordo CD'!M$2:M$875,'Base bordo CD'!D$2:D$875,A1072,'Base bordo CD'!A$2:A$875,B1072,'Base bordo CD'!L$2:L$875,"DESLOCAMENTO"),0)</f>
        <v>0</v>
      </c>
      <c r="H1072" s="10">
        <f>IFERROR(SUMIFS('Base bordo CD'!M$2:M$875,'Base bordo CD'!D$2:D$875,A1072,'Base bordo CD'!A$2:A$875,B1072,'Base bordo CD'!L$2:L$875,"AGUARDANDO MANOBRA DE TRANSBORDO"),0)+IFERROR(SUMIFS('Base bordo CD'!M$2:M$875,'Base bordo CD'!D$2:D$875,A1072,'Base bordo CD'!A$2:A$875,B1072,'Base bordo CD'!L$2:L$875,"FALTA DE TRANSBORDO"),0)</f>
        <v>0</v>
      </c>
      <c r="I1072" s="10">
        <f>IFERROR(SUMIFS('Base bordo CD'!M$2:M$875,'Base bordo CD'!D$2:D$875,A1072,'Base bordo CD'!A$2:A$875,B1072,'Base bordo CD'!L$2:L$875,"PARADA POR CONDICOES CLIMATICAS"),0)+IFERROR(SUMIFS('Base bordo CD'!M$2:M$875,'Base bordo CD'!D$2:D$875,A1072,'Base bordo CD'!A$2:A$875,B1072,'Base bordo CD'!L$2:L$875,"TEMPO INDETERMINADO"),0)</f>
        <v>0</v>
      </c>
      <c r="J1072" s="10">
        <f>IFERROR(SUMIFS('Base bordo CD'!M$2:M$875,'Base bordo CD'!D$2:D$875,A1072,'Base bordo CD'!A$2:A$875,B1072,'Base bordo CD'!L$2:L$875,"LIMITAÇÃO INDÚSTRIA"),0)</f>
        <v>0</v>
      </c>
      <c r="K1072" s="10">
        <f>IFERROR(SUMIFS('Base bordo CD'!M$2:M$875,'Base bordo CD'!D$2:D$875,A1072,'Base bordo CD'!A$2:A$875,B1072,'Base bordo CD'!L$2:L$875,"MAN CORRETIVA*"),0)+IFERROR(SUMIFS('Base bordo CD'!M$2:M$875,'Base bordo CD'!D$2:D$875,A1072,'Base bordo CD'!A$2:A$875,B1072,'Base bordo CD'!L$2:L$875,"AGUARDANDO MANUTENCAO*"),0)+IFERROR(SUMIFS('Base bordo CD'!M$2:M$875,'Base bordo CD'!D$2:D$875,A1072,'Base bordo CD'!A$2:A$875,B1072,'Base bordo CD'!L$2:L$875,"TROCA DE FAQUINHA"),0)+IFERROR(SUMIFS('Base bordo CD'!M$2:M$875,'Base bordo CD'!D$2:D$875,A1072,'Base bordo CD'!A$2:A$875,B1072,'Base bordo CD'!L$2:L$875,"LIMPEZA*"),0)</f>
        <v>0</v>
      </c>
      <c r="L1072" s="10">
        <f>IFERROR(SUMIFS('Base bordo CD'!M$2:M$875,'Base bordo CD'!D$2:D$875,A1072,'Base bordo CD'!A$2:A$875,B1072,'Base bordo CD'!L$2:L$875,"PATIO - RESERVA"),0)</f>
        <v>0</v>
      </c>
      <c r="M1072" s="10">
        <f>IFERROR(SUMIFS('Base bordo CD'!M$2:M$875,'Base bordo CD'!D$2:D$875,A1072,'Base bordo CD'!A$2:A$875,B1072,'Base bordo CD'!L$2:L$875,"SEM APONTAMENTO"),0)</f>
        <v>0</v>
      </c>
      <c r="N1072" s="10">
        <f>IFERROR(SUMIFS('Base bordo CD'!M$2:M$875,'Base bordo CD'!D$2:D$875,A1072,'Base bordo CD'!A$2:A$875,B1072,'Base bordo CD'!L$2:L$875,"FALTA DE CAMINHÃO"),0)+IFERROR(SUMIFS('Base bordo CD'!M$2:M$875,'Base bordo CD'!D$2:D$875,A1072,'Base bordo CD'!A$2:A$875,B1072,'Base bordo CD'!L$2:L$875,"FALTA DE COMBUSTIVEL"),0)+IFERROR(SUMIFS('Base bordo CD'!M$2:M$875,'Base bordo CD'!D$2:D$875,A1072,'Base bordo CD'!A$2:A$875,B1072,'Base bordo CD'!L$2:L$875,"FALTA DE MOTORIST*"),0)</f>
        <v>0</v>
      </c>
      <c r="O1072" s="10">
        <f t="shared" si="85"/>
        <v>0</v>
      </c>
      <c r="P1072" s="10">
        <f>IFERROR(SUMIFS('Base bordo CD'!M$2:M$875,'Base bordo CD'!D$2:D$875,A1072,'Base bordo CD'!A$2:A$875,B1072),0)</f>
        <v>0</v>
      </c>
      <c r="Q1072" s="10">
        <f>IFERROR(SUMIFS('Base bordo CD'!O$2:O$875,'Base bordo CD'!D$2:D$875,A1072,'Base bordo CD'!A$2:A$875,B1072,'Base bordo CD'!L$2:L$875,"CORTE DE CANA MECANIZADO"),0)</f>
        <v>0</v>
      </c>
      <c r="R1072" s="10">
        <f>IFERROR(SUMIFS('Base bordo CD'!Q$2:Q$875,'Base bordo CD'!D$2:D$875,A1072,'Base bordo CD'!A$2:A$875,B1072,'Base bordo CD'!L$2:L$875,"CORTE DE CANA MECANIZADO"),0)</f>
        <v>0</v>
      </c>
      <c r="S1072" s="30" t="str">
        <f t="shared" si="86"/>
        <v/>
      </c>
      <c r="T1072" s="9">
        <f t="shared" si="87"/>
        <v>0</v>
      </c>
      <c r="U1072" s="9">
        <f t="shared" si="88"/>
        <v>0</v>
      </c>
      <c r="V1072" s="9">
        <f t="shared" si="89"/>
        <v>0</v>
      </c>
    </row>
    <row r="1073" spans="1:22" hidden="1" x14ac:dyDescent="0.35">
      <c r="A1073" s="52">
        <v>49590</v>
      </c>
      <c r="B1073" s="31">
        <v>46117</v>
      </c>
      <c r="C1073" s="7" t="s">
        <v>321</v>
      </c>
      <c r="D1073" s="7">
        <v>351</v>
      </c>
      <c r="E1073" s="10">
        <f>IFERROR(SUMIFS('Base bordo CD'!M$2:M$875,'Base bordo CD'!D$2:D$875,A1073,'Base bordo CD'!A$2:A$875,B1073,'Base bordo CD'!L$2:L$875,"CORTE DE CANA MECANIZADO"),0)</f>
        <v>0</v>
      </c>
      <c r="F1073" s="10">
        <f>IFERROR(SUMIFS('Base bordo CD'!M$2:M$875,'Base bordo CD'!D$2:D$875,A1073,'Base bordo CD'!A$2:A$875,B1073,'Base bordo CD'!L$2:L$875,"MANOBRA"),0)</f>
        <v>0</v>
      </c>
      <c r="G1073" s="10">
        <f>IFERROR(SUMIFS('Base bordo CD'!M$2:M$875,'Base bordo CD'!D$2:D$875,A1073,'Base bordo CD'!A$2:A$875,B1073,'Base bordo CD'!L$2:L$875,"DESLOCAMENTO"),0)</f>
        <v>0</v>
      </c>
      <c r="H1073" s="10">
        <f>IFERROR(SUMIFS('Base bordo CD'!M$2:M$875,'Base bordo CD'!D$2:D$875,A1073,'Base bordo CD'!A$2:A$875,B1073,'Base bordo CD'!L$2:L$875,"AGUARDANDO MANOBRA DE TRANSBORDO"),0)+IFERROR(SUMIFS('Base bordo CD'!M$2:M$875,'Base bordo CD'!D$2:D$875,A1073,'Base bordo CD'!A$2:A$875,B1073,'Base bordo CD'!L$2:L$875,"FALTA DE TRANSBORDO"),0)</f>
        <v>0</v>
      </c>
      <c r="I1073" s="10">
        <f>IFERROR(SUMIFS('Base bordo CD'!M$2:M$875,'Base bordo CD'!D$2:D$875,A1073,'Base bordo CD'!A$2:A$875,B1073,'Base bordo CD'!L$2:L$875,"PARADA POR CONDICOES CLIMATICAS"),0)+IFERROR(SUMIFS('Base bordo CD'!M$2:M$875,'Base bordo CD'!D$2:D$875,A1073,'Base bordo CD'!A$2:A$875,B1073,'Base bordo CD'!L$2:L$875,"TEMPO INDETERMINADO"),0)</f>
        <v>0</v>
      </c>
      <c r="J1073" s="10">
        <f>IFERROR(SUMIFS('Base bordo CD'!M$2:M$875,'Base bordo CD'!D$2:D$875,A1073,'Base bordo CD'!A$2:A$875,B1073,'Base bordo CD'!L$2:L$875,"LIMITAÇÃO INDÚSTRIA"),0)</f>
        <v>0</v>
      </c>
      <c r="K1073" s="10">
        <f>IFERROR(SUMIFS('Base bordo CD'!M$2:M$875,'Base bordo CD'!D$2:D$875,A1073,'Base bordo CD'!A$2:A$875,B1073,'Base bordo CD'!L$2:L$875,"MAN CORRETIVA*"),0)+IFERROR(SUMIFS('Base bordo CD'!M$2:M$875,'Base bordo CD'!D$2:D$875,A1073,'Base bordo CD'!A$2:A$875,B1073,'Base bordo CD'!L$2:L$875,"AGUARDANDO MANUTENCAO*"),0)+IFERROR(SUMIFS('Base bordo CD'!M$2:M$875,'Base bordo CD'!D$2:D$875,A1073,'Base bordo CD'!A$2:A$875,B1073,'Base bordo CD'!L$2:L$875,"TROCA DE FAQUINHA"),0)+IFERROR(SUMIFS('Base bordo CD'!M$2:M$875,'Base bordo CD'!D$2:D$875,A1073,'Base bordo CD'!A$2:A$875,B1073,'Base bordo CD'!L$2:L$875,"LIMPEZA*"),0)</f>
        <v>0</v>
      </c>
      <c r="L1073" s="10">
        <f>IFERROR(SUMIFS('Base bordo CD'!M$2:M$875,'Base bordo CD'!D$2:D$875,A1073,'Base bordo CD'!A$2:A$875,B1073,'Base bordo CD'!L$2:L$875,"PATIO - RESERVA"),0)</f>
        <v>0</v>
      </c>
      <c r="M1073" s="10">
        <f>IFERROR(SUMIFS('Base bordo CD'!M$2:M$875,'Base bordo CD'!D$2:D$875,A1073,'Base bordo CD'!A$2:A$875,B1073,'Base bordo CD'!L$2:L$875,"SEM APONTAMENTO"),0)</f>
        <v>0</v>
      </c>
      <c r="N1073" s="10">
        <f>IFERROR(SUMIFS('Base bordo CD'!M$2:M$875,'Base bordo CD'!D$2:D$875,A1073,'Base bordo CD'!A$2:A$875,B1073,'Base bordo CD'!L$2:L$875,"FALTA DE CAMINHÃO"),0)+IFERROR(SUMIFS('Base bordo CD'!M$2:M$875,'Base bordo CD'!D$2:D$875,A1073,'Base bordo CD'!A$2:A$875,B1073,'Base bordo CD'!L$2:L$875,"FALTA DE COMBUSTIVEL"),0)+IFERROR(SUMIFS('Base bordo CD'!M$2:M$875,'Base bordo CD'!D$2:D$875,A1073,'Base bordo CD'!A$2:A$875,B1073,'Base bordo CD'!L$2:L$875,"FALTA DE MOTORIST*"),0)</f>
        <v>0</v>
      </c>
      <c r="O1073" s="10">
        <f t="shared" si="85"/>
        <v>0</v>
      </c>
      <c r="P1073" s="10">
        <f>IFERROR(SUMIFS('Base bordo CD'!M$2:M$875,'Base bordo CD'!D$2:D$875,A1073,'Base bordo CD'!A$2:A$875,B1073),0)</f>
        <v>0</v>
      </c>
      <c r="Q1073" s="10">
        <f>IFERROR(SUMIFS('Base bordo CD'!O$2:O$875,'Base bordo CD'!D$2:D$875,A1073,'Base bordo CD'!A$2:A$875,B1073,'Base bordo CD'!L$2:L$875,"CORTE DE CANA MECANIZADO"),0)</f>
        <v>0</v>
      </c>
      <c r="R1073" s="10">
        <f>IFERROR(SUMIFS('Base bordo CD'!Q$2:Q$875,'Base bordo CD'!D$2:D$875,A1073,'Base bordo CD'!A$2:A$875,B1073,'Base bordo CD'!L$2:L$875,"CORTE DE CANA MECANIZADO"),0)</f>
        <v>0</v>
      </c>
      <c r="S1073" s="30" t="str">
        <f t="shared" si="86"/>
        <v/>
      </c>
      <c r="T1073" s="9">
        <f t="shared" si="87"/>
        <v>0</v>
      </c>
      <c r="U1073" s="9">
        <f t="shared" si="88"/>
        <v>0</v>
      </c>
      <c r="V1073" s="9">
        <f t="shared" si="89"/>
        <v>0</v>
      </c>
    </row>
    <row r="1074" spans="1:22" hidden="1" x14ac:dyDescent="0.35">
      <c r="A1074" s="52">
        <v>49590</v>
      </c>
      <c r="B1074" s="31">
        <v>46117</v>
      </c>
      <c r="C1074" s="7" t="s">
        <v>321</v>
      </c>
      <c r="D1074" s="7">
        <v>351</v>
      </c>
      <c r="E1074" s="10">
        <f>IFERROR(SUMIFS('Base bordo CD'!M$2:M$875,'Base bordo CD'!D$2:D$875,A1074,'Base bordo CD'!A$2:A$875,B1074,'Base bordo CD'!L$2:L$875,"CORTE DE CANA MECANIZADO"),0)</f>
        <v>0</v>
      </c>
      <c r="F1074" s="10">
        <f>IFERROR(SUMIFS('Base bordo CD'!M$2:M$875,'Base bordo CD'!D$2:D$875,A1074,'Base bordo CD'!A$2:A$875,B1074,'Base bordo CD'!L$2:L$875,"MANOBRA"),0)</f>
        <v>0</v>
      </c>
      <c r="G1074" s="10">
        <f>IFERROR(SUMIFS('Base bordo CD'!M$2:M$875,'Base bordo CD'!D$2:D$875,A1074,'Base bordo CD'!A$2:A$875,B1074,'Base bordo CD'!L$2:L$875,"DESLOCAMENTO"),0)</f>
        <v>0</v>
      </c>
      <c r="H1074" s="10">
        <f>IFERROR(SUMIFS('Base bordo CD'!M$2:M$875,'Base bordo CD'!D$2:D$875,A1074,'Base bordo CD'!A$2:A$875,B1074,'Base bordo CD'!L$2:L$875,"AGUARDANDO MANOBRA DE TRANSBORDO"),0)+IFERROR(SUMIFS('Base bordo CD'!M$2:M$875,'Base bordo CD'!D$2:D$875,A1074,'Base bordo CD'!A$2:A$875,B1074,'Base bordo CD'!L$2:L$875,"FALTA DE TRANSBORDO"),0)</f>
        <v>0</v>
      </c>
      <c r="I1074" s="10">
        <f>IFERROR(SUMIFS('Base bordo CD'!M$2:M$875,'Base bordo CD'!D$2:D$875,A1074,'Base bordo CD'!A$2:A$875,B1074,'Base bordo CD'!L$2:L$875,"PARADA POR CONDICOES CLIMATICAS"),0)+IFERROR(SUMIFS('Base bordo CD'!M$2:M$875,'Base bordo CD'!D$2:D$875,A1074,'Base bordo CD'!A$2:A$875,B1074,'Base bordo CD'!L$2:L$875,"TEMPO INDETERMINADO"),0)</f>
        <v>0</v>
      </c>
      <c r="J1074" s="10">
        <f>IFERROR(SUMIFS('Base bordo CD'!M$2:M$875,'Base bordo CD'!D$2:D$875,A1074,'Base bordo CD'!A$2:A$875,B1074,'Base bordo CD'!L$2:L$875,"LIMITAÇÃO INDÚSTRIA"),0)</f>
        <v>0</v>
      </c>
      <c r="K1074" s="10">
        <f>IFERROR(SUMIFS('Base bordo CD'!M$2:M$875,'Base bordo CD'!D$2:D$875,A1074,'Base bordo CD'!A$2:A$875,B1074,'Base bordo CD'!L$2:L$875,"MAN CORRETIVA*"),0)+IFERROR(SUMIFS('Base bordo CD'!M$2:M$875,'Base bordo CD'!D$2:D$875,A1074,'Base bordo CD'!A$2:A$875,B1074,'Base bordo CD'!L$2:L$875,"AGUARDANDO MANUTENCAO*"),0)+IFERROR(SUMIFS('Base bordo CD'!M$2:M$875,'Base bordo CD'!D$2:D$875,A1074,'Base bordo CD'!A$2:A$875,B1074,'Base bordo CD'!L$2:L$875,"TROCA DE FAQUINHA"),0)+IFERROR(SUMIFS('Base bordo CD'!M$2:M$875,'Base bordo CD'!D$2:D$875,A1074,'Base bordo CD'!A$2:A$875,B1074,'Base bordo CD'!L$2:L$875,"LIMPEZA*"),0)</f>
        <v>0</v>
      </c>
      <c r="L1074" s="10">
        <f>IFERROR(SUMIFS('Base bordo CD'!M$2:M$875,'Base bordo CD'!D$2:D$875,A1074,'Base bordo CD'!A$2:A$875,B1074,'Base bordo CD'!L$2:L$875,"PATIO - RESERVA"),0)</f>
        <v>0</v>
      </c>
      <c r="M1074" s="10">
        <f>IFERROR(SUMIFS('Base bordo CD'!M$2:M$875,'Base bordo CD'!D$2:D$875,A1074,'Base bordo CD'!A$2:A$875,B1074,'Base bordo CD'!L$2:L$875,"SEM APONTAMENTO"),0)</f>
        <v>0</v>
      </c>
      <c r="N1074" s="10">
        <f>IFERROR(SUMIFS('Base bordo CD'!M$2:M$875,'Base bordo CD'!D$2:D$875,A1074,'Base bordo CD'!A$2:A$875,B1074,'Base bordo CD'!L$2:L$875,"FALTA DE CAMINHÃO"),0)+IFERROR(SUMIFS('Base bordo CD'!M$2:M$875,'Base bordo CD'!D$2:D$875,A1074,'Base bordo CD'!A$2:A$875,B1074,'Base bordo CD'!L$2:L$875,"FALTA DE COMBUSTIVEL"),0)+IFERROR(SUMIFS('Base bordo CD'!M$2:M$875,'Base bordo CD'!D$2:D$875,A1074,'Base bordo CD'!A$2:A$875,B1074,'Base bordo CD'!L$2:L$875,"FALTA DE MOTORIST*"),0)</f>
        <v>0</v>
      </c>
      <c r="O1074" s="10">
        <f t="shared" si="85"/>
        <v>0</v>
      </c>
      <c r="P1074" s="10">
        <f>IFERROR(SUMIFS('Base bordo CD'!M$2:M$875,'Base bordo CD'!D$2:D$875,A1074,'Base bordo CD'!A$2:A$875,B1074),0)</f>
        <v>0</v>
      </c>
      <c r="Q1074" s="10">
        <f>IFERROR(SUMIFS('Base bordo CD'!O$2:O$875,'Base bordo CD'!D$2:D$875,A1074,'Base bordo CD'!A$2:A$875,B1074,'Base bordo CD'!L$2:L$875,"CORTE DE CANA MECANIZADO"),0)</f>
        <v>0</v>
      </c>
      <c r="R1074" s="10">
        <f>IFERROR(SUMIFS('Base bordo CD'!Q$2:Q$875,'Base bordo CD'!D$2:D$875,A1074,'Base bordo CD'!A$2:A$875,B1074,'Base bordo CD'!L$2:L$875,"CORTE DE CANA MECANIZADO"),0)</f>
        <v>0</v>
      </c>
      <c r="S1074" s="30" t="str">
        <f t="shared" si="86"/>
        <v/>
      </c>
      <c r="T1074" s="9">
        <f t="shared" si="87"/>
        <v>0</v>
      </c>
      <c r="U1074" s="9">
        <f t="shared" si="88"/>
        <v>0</v>
      </c>
      <c r="V1074" s="9">
        <f t="shared" si="89"/>
        <v>0</v>
      </c>
    </row>
    <row r="1075" spans="1:22" hidden="1" x14ac:dyDescent="0.35">
      <c r="A1075" s="52">
        <v>49590</v>
      </c>
      <c r="B1075" s="31">
        <v>46117</v>
      </c>
      <c r="C1075" s="7" t="s">
        <v>321</v>
      </c>
      <c r="D1075" s="7">
        <v>351</v>
      </c>
      <c r="E1075" s="10">
        <f>IFERROR(SUMIFS('Base bordo CD'!M$2:M$875,'Base bordo CD'!D$2:D$875,A1075,'Base bordo CD'!A$2:A$875,B1075,'Base bordo CD'!L$2:L$875,"CORTE DE CANA MECANIZADO"),0)</f>
        <v>0</v>
      </c>
      <c r="F1075" s="10">
        <f>IFERROR(SUMIFS('Base bordo CD'!M$2:M$875,'Base bordo CD'!D$2:D$875,A1075,'Base bordo CD'!A$2:A$875,B1075,'Base bordo CD'!L$2:L$875,"MANOBRA"),0)</f>
        <v>0</v>
      </c>
      <c r="G1075" s="10">
        <f>IFERROR(SUMIFS('Base bordo CD'!M$2:M$875,'Base bordo CD'!D$2:D$875,A1075,'Base bordo CD'!A$2:A$875,B1075,'Base bordo CD'!L$2:L$875,"DESLOCAMENTO"),0)</f>
        <v>0</v>
      </c>
      <c r="H1075" s="10">
        <f>IFERROR(SUMIFS('Base bordo CD'!M$2:M$875,'Base bordo CD'!D$2:D$875,A1075,'Base bordo CD'!A$2:A$875,B1075,'Base bordo CD'!L$2:L$875,"AGUARDANDO MANOBRA DE TRANSBORDO"),0)+IFERROR(SUMIFS('Base bordo CD'!M$2:M$875,'Base bordo CD'!D$2:D$875,A1075,'Base bordo CD'!A$2:A$875,B1075,'Base bordo CD'!L$2:L$875,"FALTA DE TRANSBORDO"),0)</f>
        <v>0</v>
      </c>
      <c r="I1075" s="10">
        <f>IFERROR(SUMIFS('Base bordo CD'!M$2:M$875,'Base bordo CD'!D$2:D$875,A1075,'Base bordo CD'!A$2:A$875,B1075,'Base bordo CD'!L$2:L$875,"PARADA POR CONDICOES CLIMATICAS"),0)+IFERROR(SUMIFS('Base bordo CD'!M$2:M$875,'Base bordo CD'!D$2:D$875,A1075,'Base bordo CD'!A$2:A$875,B1075,'Base bordo CD'!L$2:L$875,"TEMPO INDETERMINADO"),0)</f>
        <v>0</v>
      </c>
      <c r="J1075" s="10">
        <f>IFERROR(SUMIFS('Base bordo CD'!M$2:M$875,'Base bordo CD'!D$2:D$875,A1075,'Base bordo CD'!A$2:A$875,B1075,'Base bordo CD'!L$2:L$875,"LIMITAÇÃO INDÚSTRIA"),0)</f>
        <v>0</v>
      </c>
      <c r="K1075" s="10">
        <f>IFERROR(SUMIFS('Base bordo CD'!M$2:M$875,'Base bordo CD'!D$2:D$875,A1075,'Base bordo CD'!A$2:A$875,B1075,'Base bordo CD'!L$2:L$875,"MAN CORRETIVA*"),0)+IFERROR(SUMIFS('Base bordo CD'!M$2:M$875,'Base bordo CD'!D$2:D$875,A1075,'Base bordo CD'!A$2:A$875,B1075,'Base bordo CD'!L$2:L$875,"AGUARDANDO MANUTENCAO*"),0)+IFERROR(SUMIFS('Base bordo CD'!M$2:M$875,'Base bordo CD'!D$2:D$875,A1075,'Base bordo CD'!A$2:A$875,B1075,'Base bordo CD'!L$2:L$875,"TROCA DE FAQUINHA"),0)+IFERROR(SUMIFS('Base bordo CD'!M$2:M$875,'Base bordo CD'!D$2:D$875,A1075,'Base bordo CD'!A$2:A$875,B1075,'Base bordo CD'!L$2:L$875,"LIMPEZA*"),0)</f>
        <v>0</v>
      </c>
      <c r="L1075" s="10">
        <f>IFERROR(SUMIFS('Base bordo CD'!M$2:M$875,'Base bordo CD'!D$2:D$875,A1075,'Base bordo CD'!A$2:A$875,B1075,'Base bordo CD'!L$2:L$875,"PATIO - RESERVA"),0)</f>
        <v>0</v>
      </c>
      <c r="M1075" s="10">
        <f>IFERROR(SUMIFS('Base bordo CD'!M$2:M$875,'Base bordo CD'!D$2:D$875,A1075,'Base bordo CD'!A$2:A$875,B1075,'Base bordo CD'!L$2:L$875,"SEM APONTAMENTO"),0)</f>
        <v>0</v>
      </c>
      <c r="N1075" s="10">
        <f>IFERROR(SUMIFS('Base bordo CD'!M$2:M$875,'Base bordo CD'!D$2:D$875,A1075,'Base bordo CD'!A$2:A$875,B1075,'Base bordo CD'!L$2:L$875,"FALTA DE CAMINHÃO"),0)+IFERROR(SUMIFS('Base bordo CD'!M$2:M$875,'Base bordo CD'!D$2:D$875,A1075,'Base bordo CD'!A$2:A$875,B1075,'Base bordo CD'!L$2:L$875,"FALTA DE COMBUSTIVEL"),0)+IFERROR(SUMIFS('Base bordo CD'!M$2:M$875,'Base bordo CD'!D$2:D$875,A1075,'Base bordo CD'!A$2:A$875,B1075,'Base bordo CD'!L$2:L$875,"FALTA DE MOTORIST*"),0)</f>
        <v>0</v>
      </c>
      <c r="O1075" s="10">
        <f t="shared" si="85"/>
        <v>0</v>
      </c>
      <c r="P1075" s="10">
        <f>IFERROR(SUMIFS('Base bordo CD'!M$2:M$875,'Base bordo CD'!D$2:D$875,A1075,'Base bordo CD'!A$2:A$875,B1075),0)</f>
        <v>0</v>
      </c>
      <c r="Q1075" s="10">
        <f>IFERROR(SUMIFS('Base bordo CD'!O$2:O$875,'Base bordo CD'!D$2:D$875,A1075,'Base bordo CD'!A$2:A$875,B1075,'Base bordo CD'!L$2:L$875,"CORTE DE CANA MECANIZADO"),0)</f>
        <v>0</v>
      </c>
      <c r="R1075" s="10">
        <f>IFERROR(SUMIFS('Base bordo CD'!Q$2:Q$875,'Base bordo CD'!D$2:D$875,A1075,'Base bordo CD'!A$2:A$875,B1075,'Base bordo CD'!L$2:L$875,"CORTE DE CANA MECANIZADO"),0)</f>
        <v>0</v>
      </c>
      <c r="S1075" s="30" t="str">
        <f t="shared" si="86"/>
        <v/>
      </c>
      <c r="T1075" s="9">
        <f t="shared" si="87"/>
        <v>0</v>
      </c>
      <c r="U1075" s="9">
        <f t="shared" si="88"/>
        <v>0</v>
      </c>
      <c r="V1075" s="9">
        <f t="shared" si="89"/>
        <v>0</v>
      </c>
    </row>
    <row r="1076" spans="1:22" hidden="1" x14ac:dyDescent="0.35">
      <c r="A1076" s="52">
        <v>49590</v>
      </c>
      <c r="B1076" s="31">
        <v>46117</v>
      </c>
      <c r="C1076" s="7" t="s">
        <v>321</v>
      </c>
      <c r="D1076" s="7">
        <v>351</v>
      </c>
      <c r="E1076" s="10">
        <f>IFERROR(SUMIFS('Base bordo CD'!M$2:M$875,'Base bordo CD'!D$2:D$875,A1076,'Base bordo CD'!A$2:A$875,B1076,'Base bordo CD'!L$2:L$875,"CORTE DE CANA MECANIZADO"),0)</f>
        <v>0</v>
      </c>
      <c r="F1076" s="10">
        <f>IFERROR(SUMIFS('Base bordo CD'!M$2:M$875,'Base bordo CD'!D$2:D$875,A1076,'Base bordo CD'!A$2:A$875,B1076,'Base bordo CD'!L$2:L$875,"MANOBRA"),0)</f>
        <v>0</v>
      </c>
      <c r="G1076" s="10">
        <f>IFERROR(SUMIFS('Base bordo CD'!M$2:M$875,'Base bordo CD'!D$2:D$875,A1076,'Base bordo CD'!A$2:A$875,B1076,'Base bordo CD'!L$2:L$875,"DESLOCAMENTO"),0)</f>
        <v>0</v>
      </c>
      <c r="H1076" s="10">
        <f>IFERROR(SUMIFS('Base bordo CD'!M$2:M$875,'Base bordo CD'!D$2:D$875,A1076,'Base bordo CD'!A$2:A$875,B1076,'Base bordo CD'!L$2:L$875,"AGUARDANDO MANOBRA DE TRANSBORDO"),0)+IFERROR(SUMIFS('Base bordo CD'!M$2:M$875,'Base bordo CD'!D$2:D$875,A1076,'Base bordo CD'!A$2:A$875,B1076,'Base bordo CD'!L$2:L$875,"FALTA DE TRANSBORDO"),0)</f>
        <v>0</v>
      </c>
      <c r="I1076" s="10">
        <f>IFERROR(SUMIFS('Base bordo CD'!M$2:M$875,'Base bordo CD'!D$2:D$875,A1076,'Base bordo CD'!A$2:A$875,B1076,'Base bordo CD'!L$2:L$875,"PARADA POR CONDICOES CLIMATICAS"),0)+IFERROR(SUMIFS('Base bordo CD'!M$2:M$875,'Base bordo CD'!D$2:D$875,A1076,'Base bordo CD'!A$2:A$875,B1076,'Base bordo CD'!L$2:L$875,"TEMPO INDETERMINADO"),0)</f>
        <v>0</v>
      </c>
      <c r="J1076" s="10">
        <f>IFERROR(SUMIFS('Base bordo CD'!M$2:M$875,'Base bordo CD'!D$2:D$875,A1076,'Base bordo CD'!A$2:A$875,B1076,'Base bordo CD'!L$2:L$875,"LIMITAÇÃO INDÚSTRIA"),0)</f>
        <v>0</v>
      </c>
      <c r="K1076" s="10">
        <f>IFERROR(SUMIFS('Base bordo CD'!M$2:M$875,'Base bordo CD'!D$2:D$875,A1076,'Base bordo CD'!A$2:A$875,B1076,'Base bordo CD'!L$2:L$875,"MAN CORRETIVA*"),0)+IFERROR(SUMIFS('Base bordo CD'!M$2:M$875,'Base bordo CD'!D$2:D$875,A1076,'Base bordo CD'!A$2:A$875,B1076,'Base bordo CD'!L$2:L$875,"AGUARDANDO MANUTENCAO*"),0)+IFERROR(SUMIFS('Base bordo CD'!M$2:M$875,'Base bordo CD'!D$2:D$875,A1076,'Base bordo CD'!A$2:A$875,B1076,'Base bordo CD'!L$2:L$875,"TROCA DE FAQUINHA"),0)+IFERROR(SUMIFS('Base bordo CD'!M$2:M$875,'Base bordo CD'!D$2:D$875,A1076,'Base bordo CD'!A$2:A$875,B1076,'Base bordo CD'!L$2:L$875,"LIMPEZA*"),0)</f>
        <v>0</v>
      </c>
      <c r="L1076" s="10">
        <f>IFERROR(SUMIFS('Base bordo CD'!M$2:M$875,'Base bordo CD'!D$2:D$875,A1076,'Base bordo CD'!A$2:A$875,B1076,'Base bordo CD'!L$2:L$875,"PATIO - RESERVA"),0)</f>
        <v>0</v>
      </c>
      <c r="M1076" s="10">
        <f>IFERROR(SUMIFS('Base bordo CD'!M$2:M$875,'Base bordo CD'!D$2:D$875,A1076,'Base bordo CD'!A$2:A$875,B1076,'Base bordo CD'!L$2:L$875,"SEM APONTAMENTO"),0)</f>
        <v>0</v>
      </c>
      <c r="N1076" s="10">
        <f>IFERROR(SUMIFS('Base bordo CD'!M$2:M$875,'Base bordo CD'!D$2:D$875,A1076,'Base bordo CD'!A$2:A$875,B1076,'Base bordo CD'!L$2:L$875,"FALTA DE CAMINHÃO"),0)+IFERROR(SUMIFS('Base bordo CD'!M$2:M$875,'Base bordo CD'!D$2:D$875,A1076,'Base bordo CD'!A$2:A$875,B1076,'Base bordo CD'!L$2:L$875,"FALTA DE COMBUSTIVEL"),0)+IFERROR(SUMIFS('Base bordo CD'!M$2:M$875,'Base bordo CD'!D$2:D$875,A1076,'Base bordo CD'!A$2:A$875,B1076,'Base bordo CD'!L$2:L$875,"FALTA DE MOTORIST*"),0)</f>
        <v>0</v>
      </c>
      <c r="O1076" s="10">
        <f t="shared" si="85"/>
        <v>0</v>
      </c>
      <c r="P1076" s="10">
        <f>IFERROR(SUMIFS('Base bordo CD'!M$2:M$875,'Base bordo CD'!D$2:D$875,A1076,'Base bordo CD'!A$2:A$875,B1076),0)</f>
        <v>0</v>
      </c>
      <c r="Q1076" s="10">
        <f>IFERROR(SUMIFS('Base bordo CD'!O$2:O$875,'Base bordo CD'!D$2:D$875,A1076,'Base bordo CD'!A$2:A$875,B1076,'Base bordo CD'!L$2:L$875,"CORTE DE CANA MECANIZADO"),0)</f>
        <v>0</v>
      </c>
      <c r="R1076" s="10">
        <f>IFERROR(SUMIFS('Base bordo CD'!Q$2:Q$875,'Base bordo CD'!D$2:D$875,A1076,'Base bordo CD'!A$2:A$875,B1076,'Base bordo CD'!L$2:L$875,"CORTE DE CANA MECANIZADO"),0)</f>
        <v>0</v>
      </c>
      <c r="S1076" s="30" t="str">
        <f t="shared" si="86"/>
        <v/>
      </c>
      <c r="T1076" s="9">
        <f t="shared" si="87"/>
        <v>0</v>
      </c>
      <c r="U1076" s="9">
        <f t="shared" si="88"/>
        <v>0</v>
      </c>
      <c r="V1076" s="9">
        <f t="shared" si="89"/>
        <v>0</v>
      </c>
    </row>
    <row r="1077" spans="1:22" hidden="1" x14ac:dyDescent="0.35">
      <c r="A1077" s="52">
        <v>49590</v>
      </c>
      <c r="B1077" s="31">
        <v>46117</v>
      </c>
      <c r="C1077" s="7" t="s">
        <v>321</v>
      </c>
      <c r="D1077" s="7">
        <v>351</v>
      </c>
      <c r="E1077" s="10">
        <f>IFERROR(SUMIFS('Base bordo CD'!M$2:M$875,'Base bordo CD'!D$2:D$875,A1077,'Base bordo CD'!A$2:A$875,B1077,'Base bordo CD'!L$2:L$875,"CORTE DE CANA MECANIZADO"),0)</f>
        <v>0</v>
      </c>
      <c r="F1077" s="10">
        <f>IFERROR(SUMIFS('Base bordo CD'!M$2:M$875,'Base bordo CD'!D$2:D$875,A1077,'Base bordo CD'!A$2:A$875,B1077,'Base bordo CD'!L$2:L$875,"MANOBRA"),0)</f>
        <v>0</v>
      </c>
      <c r="G1077" s="10">
        <f>IFERROR(SUMIFS('Base bordo CD'!M$2:M$875,'Base bordo CD'!D$2:D$875,A1077,'Base bordo CD'!A$2:A$875,B1077,'Base bordo CD'!L$2:L$875,"DESLOCAMENTO"),0)</f>
        <v>0</v>
      </c>
      <c r="H1077" s="10">
        <f>IFERROR(SUMIFS('Base bordo CD'!M$2:M$875,'Base bordo CD'!D$2:D$875,A1077,'Base bordo CD'!A$2:A$875,B1077,'Base bordo CD'!L$2:L$875,"AGUARDANDO MANOBRA DE TRANSBORDO"),0)+IFERROR(SUMIFS('Base bordo CD'!M$2:M$875,'Base bordo CD'!D$2:D$875,A1077,'Base bordo CD'!A$2:A$875,B1077,'Base bordo CD'!L$2:L$875,"FALTA DE TRANSBORDO"),0)</f>
        <v>0</v>
      </c>
      <c r="I1077" s="10">
        <f>IFERROR(SUMIFS('Base bordo CD'!M$2:M$875,'Base bordo CD'!D$2:D$875,A1077,'Base bordo CD'!A$2:A$875,B1077,'Base bordo CD'!L$2:L$875,"PARADA POR CONDICOES CLIMATICAS"),0)+IFERROR(SUMIFS('Base bordo CD'!M$2:M$875,'Base bordo CD'!D$2:D$875,A1077,'Base bordo CD'!A$2:A$875,B1077,'Base bordo CD'!L$2:L$875,"TEMPO INDETERMINADO"),0)</f>
        <v>0</v>
      </c>
      <c r="J1077" s="10">
        <f>IFERROR(SUMIFS('Base bordo CD'!M$2:M$875,'Base bordo CD'!D$2:D$875,A1077,'Base bordo CD'!A$2:A$875,B1077,'Base bordo CD'!L$2:L$875,"LIMITAÇÃO INDÚSTRIA"),0)</f>
        <v>0</v>
      </c>
      <c r="K1077" s="10">
        <f>IFERROR(SUMIFS('Base bordo CD'!M$2:M$875,'Base bordo CD'!D$2:D$875,A1077,'Base bordo CD'!A$2:A$875,B1077,'Base bordo CD'!L$2:L$875,"MAN CORRETIVA*"),0)+IFERROR(SUMIFS('Base bordo CD'!M$2:M$875,'Base bordo CD'!D$2:D$875,A1077,'Base bordo CD'!A$2:A$875,B1077,'Base bordo CD'!L$2:L$875,"AGUARDANDO MANUTENCAO*"),0)+IFERROR(SUMIFS('Base bordo CD'!M$2:M$875,'Base bordo CD'!D$2:D$875,A1077,'Base bordo CD'!A$2:A$875,B1077,'Base bordo CD'!L$2:L$875,"TROCA DE FAQUINHA"),0)+IFERROR(SUMIFS('Base bordo CD'!M$2:M$875,'Base bordo CD'!D$2:D$875,A1077,'Base bordo CD'!A$2:A$875,B1077,'Base bordo CD'!L$2:L$875,"LIMPEZA*"),0)</f>
        <v>0</v>
      </c>
      <c r="L1077" s="10">
        <f>IFERROR(SUMIFS('Base bordo CD'!M$2:M$875,'Base bordo CD'!D$2:D$875,A1077,'Base bordo CD'!A$2:A$875,B1077,'Base bordo CD'!L$2:L$875,"PATIO - RESERVA"),0)</f>
        <v>0</v>
      </c>
      <c r="M1077" s="10">
        <f>IFERROR(SUMIFS('Base bordo CD'!M$2:M$875,'Base bordo CD'!D$2:D$875,A1077,'Base bordo CD'!A$2:A$875,B1077,'Base bordo CD'!L$2:L$875,"SEM APONTAMENTO"),0)</f>
        <v>0</v>
      </c>
      <c r="N1077" s="10">
        <f>IFERROR(SUMIFS('Base bordo CD'!M$2:M$875,'Base bordo CD'!D$2:D$875,A1077,'Base bordo CD'!A$2:A$875,B1077,'Base bordo CD'!L$2:L$875,"FALTA DE CAMINHÃO"),0)+IFERROR(SUMIFS('Base bordo CD'!M$2:M$875,'Base bordo CD'!D$2:D$875,A1077,'Base bordo CD'!A$2:A$875,B1077,'Base bordo CD'!L$2:L$875,"FALTA DE COMBUSTIVEL"),0)+IFERROR(SUMIFS('Base bordo CD'!M$2:M$875,'Base bordo CD'!D$2:D$875,A1077,'Base bordo CD'!A$2:A$875,B1077,'Base bordo CD'!L$2:L$875,"FALTA DE MOTORIST*"),0)</f>
        <v>0</v>
      </c>
      <c r="O1077" s="10">
        <f t="shared" si="85"/>
        <v>0</v>
      </c>
      <c r="P1077" s="10">
        <f>IFERROR(SUMIFS('Base bordo CD'!M$2:M$875,'Base bordo CD'!D$2:D$875,A1077,'Base bordo CD'!A$2:A$875,B1077),0)</f>
        <v>0</v>
      </c>
      <c r="Q1077" s="10">
        <f>IFERROR(SUMIFS('Base bordo CD'!O$2:O$875,'Base bordo CD'!D$2:D$875,A1077,'Base bordo CD'!A$2:A$875,B1077,'Base bordo CD'!L$2:L$875,"CORTE DE CANA MECANIZADO"),0)</f>
        <v>0</v>
      </c>
      <c r="R1077" s="10">
        <f>IFERROR(SUMIFS('Base bordo CD'!Q$2:Q$875,'Base bordo CD'!D$2:D$875,A1077,'Base bordo CD'!A$2:A$875,B1077,'Base bordo CD'!L$2:L$875,"CORTE DE CANA MECANIZADO"),0)</f>
        <v>0</v>
      </c>
      <c r="S1077" s="30" t="str">
        <f t="shared" si="86"/>
        <v/>
      </c>
      <c r="T1077" s="9">
        <f t="shared" si="87"/>
        <v>0</v>
      </c>
      <c r="U1077" s="9">
        <f t="shared" si="88"/>
        <v>0</v>
      </c>
      <c r="V1077" s="9">
        <f t="shared" si="89"/>
        <v>0</v>
      </c>
    </row>
    <row r="1078" spans="1:22" hidden="1" x14ac:dyDescent="0.35">
      <c r="A1078" s="52">
        <v>49590</v>
      </c>
      <c r="B1078" s="31">
        <v>46117</v>
      </c>
      <c r="C1078" s="7" t="s">
        <v>321</v>
      </c>
      <c r="D1078" s="7">
        <v>351</v>
      </c>
      <c r="E1078" s="10">
        <f>IFERROR(SUMIFS('Base bordo CD'!M$2:M$875,'Base bordo CD'!D$2:D$875,A1078,'Base bordo CD'!A$2:A$875,B1078,'Base bordo CD'!L$2:L$875,"CORTE DE CANA MECANIZADO"),0)</f>
        <v>0</v>
      </c>
      <c r="F1078" s="10">
        <f>IFERROR(SUMIFS('Base bordo CD'!M$2:M$875,'Base bordo CD'!D$2:D$875,A1078,'Base bordo CD'!A$2:A$875,B1078,'Base bordo CD'!L$2:L$875,"MANOBRA"),0)</f>
        <v>0</v>
      </c>
      <c r="G1078" s="10">
        <f>IFERROR(SUMIFS('Base bordo CD'!M$2:M$875,'Base bordo CD'!D$2:D$875,A1078,'Base bordo CD'!A$2:A$875,B1078,'Base bordo CD'!L$2:L$875,"DESLOCAMENTO"),0)</f>
        <v>0</v>
      </c>
      <c r="H1078" s="10">
        <f>IFERROR(SUMIFS('Base bordo CD'!M$2:M$875,'Base bordo CD'!D$2:D$875,A1078,'Base bordo CD'!A$2:A$875,B1078,'Base bordo CD'!L$2:L$875,"AGUARDANDO MANOBRA DE TRANSBORDO"),0)+IFERROR(SUMIFS('Base bordo CD'!M$2:M$875,'Base bordo CD'!D$2:D$875,A1078,'Base bordo CD'!A$2:A$875,B1078,'Base bordo CD'!L$2:L$875,"FALTA DE TRANSBORDO"),0)</f>
        <v>0</v>
      </c>
      <c r="I1078" s="10">
        <f>IFERROR(SUMIFS('Base bordo CD'!M$2:M$875,'Base bordo CD'!D$2:D$875,A1078,'Base bordo CD'!A$2:A$875,B1078,'Base bordo CD'!L$2:L$875,"PARADA POR CONDICOES CLIMATICAS"),0)+IFERROR(SUMIFS('Base bordo CD'!M$2:M$875,'Base bordo CD'!D$2:D$875,A1078,'Base bordo CD'!A$2:A$875,B1078,'Base bordo CD'!L$2:L$875,"TEMPO INDETERMINADO"),0)</f>
        <v>0</v>
      </c>
      <c r="J1078" s="10">
        <f>IFERROR(SUMIFS('Base bordo CD'!M$2:M$875,'Base bordo CD'!D$2:D$875,A1078,'Base bordo CD'!A$2:A$875,B1078,'Base bordo CD'!L$2:L$875,"LIMITAÇÃO INDÚSTRIA"),0)</f>
        <v>0</v>
      </c>
      <c r="K1078" s="10">
        <f>IFERROR(SUMIFS('Base bordo CD'!M$2:M$875,'Base bordo CD'!D$2:D$875,A1078,'Base bordo CD'!A$2:A$875,B1078,'Base bordo CD'!L$2:L$875,"MAN CORRETIVA*"),0)+IFERROR(SUMIFS('Base bordo CD'!M$2:M$875,'Base bordo CD'!D$2:D$875,A1078,'Base bordo CD'!A$2:A$875,B1078,'Base bordo CD'!L$2:L$875,"AGUARDANDO MANUTENCAO*"),0)+IFERROR(SUMIFS('Base bordo CD'!M$2:M$875,'Base bordo CD'!D$2:D$875,A1078,'Base bordo CD'!A$2:A$875,B1078,'Base bordo CD'!L$2:L$875,"TROCA DE FAQUINHA"),0)+IFERROR(SUMIFS('Base bordo CD'!M$2:M$875,'Base bordo CD'!D$2:D$875,A1078,'Base bordo CD'!A$2:A$875,B1078,'Base bordo CD'!L$2:L$875,"LIMPEZA*"),0)</f>
        <v>0</v>
      </c>
      <c r="L1078" s="10">
        <f>IFERROR(SUMIFS('Base bordo CD'!M$2:M$875,'Base bordo CD'!D$2:D$875,A1078,'Base bordo CD'!A$2:A$875,B1078,'Base bordo CD'!L$2:L$875,"PATIO - RESERVA"),0)</f>
        <v>0</v>
      </c>
      <c r="M1078" s="10">
        <f>IFERROR(SUMIFS('Base bordo CD'!M$2:M$875,'Base bordo CD'!D$2:D$875,A1078,'Base bordo CD'!A$2:A$875,B1078,'Base bordo CD'!L$2:L$875,"SEM APONTAMENTO"),0)</f>
        <v>0</v>
      </c>
      <c r="N1078" s="10">
        <f>IFERROR(SUMIFS('Base bordo CD'!M$2:M$875,'Base bordo CD'!D$2:D$875,A1078,'Base bordo CD'!A$2:A$875,B1078,'Base bordo CD'!L$2:L$875,"FALTA DE CAMINHÃO"),0)+IFERROR(SUMIFS('Base bordo CD'!M$2:M$875,'Base bordo CD'!D$2:D$875,A1078,'Base bordo CD'!A$2:A$875,B1078,'Base bordo CD'!L$2:L$875,"FALTA DE COMBUSTIVEL"),0)+IFERROR(SUMIFS('Base bordo CD'!M$2:M$875,'Base bordo CD'!D$2:D$875,A1078,'Base bordo CD'!A$2:A$875,B1078,'Base bordo CD'!L$2:L$875,"FALTA DE MOTORIST*"),0)</f>
        <v>0</v>
      </c>
      <c r="O1078" s="10">
        <f t="shared" si="85"/>
        <v>0</v>
      </c>
      <c r="P1078" s="10">
        <f>IFERROR(SUMIFS('Base bordo CD'!M$2:M$875,'Base bordo CD'!D$2:D$875,A1078,'Base bordo CD'!A$2:A$875,B1078),0)</f>
        <v>0</v>
      </c>
      <c r="Q1078" s="10">
        <f>IFERROR(SUMIFS('Base bordo CD'!O$2:O$875,'Base bordo CD'!D$2:D$875,A1078,'Base bordo CD'!A$2:A$875,B1078,'Base bordo CD'!L$2:L$875,"CORTE DE CANA MECANIZADO"),0)</f>
        <v>0</v>
      </c>
      <c r="R1078" s="10">
        <f>IFERROR(SUMIFS('Base bordo CD'!Q$2:Q$875,'Base bordo CD'!D$2:D$875,A1078,'Base bordo CD'!A$2:A$875,B1078,'Base bordo CD'!L$2:L$875,"CORTE DE CANA MECANIZADO"),0)</f>
        <v>0</v>
      </c>
      <c r="S1078" s="30" t="str">
        <f t="shared" si="86"/>
        <v/>
      </c>
      <c r="T1078" s="9">
        <f t="shared" si="87"/>
        <v>0</v>
      </c>
      <c r="U1078" s="9">
        <f t="shared" si="88"/>
        <v>0</v>
      </c>
      <c r="V1078" s="9">
        <f t="shared" si="89"/>
        <v>0</v>
      </c>
    </row>
    <row r="1079" spans="1:22" hidden="1" x14ac:dyDescent="0.35">
      <c r="A1079" s="52">
        <v>49590</v>
      </c>
      <c r="B1079" s="31">
        <v>46117</v>
      </c>
      <c r="C1079" s="7" t="s">
        <v>321</v>
      </c>
      <c r="D1079" s="7">
        <v>351</v>
      </c>
      <c r="E1079" s="10">
        <f>IFERROR(SUMIFS('Base bordo CD'!M$2:M$875,'Base bordo CD'!D$2:D$875,A1079,'Base bordo CD'!A$2:A$875,B1079,'Base bordo CD'!L$2:L$875,"CORTE DE CANA MECANIZADO"),0)</f>
        <v>0</v>
      </c>
      <c r="F1079" s="10">
        <f>IFERROR(SUMIFS('Base bordo CD'!M$2:M$875,'Base bordo CD'!D$2:D$875,A1079,'Base bordo CD'!A$2:A$875,B1079,'Base bordo CD'!L$2:L$875,"MANOBRA"),0)</f>
        <v>0</v>
      </c>
      <c r="G1079" s="10">
        <f>IFERROR(SUMIFS('Base bordo CD'!M$2:M$875,'Base bordo CD'!D$2:D$875,A1079,'Base bordo CD'!A$2:A$875,B1079,'Base bordo CD'!L$2:L$875,"DESLOCAMENTO"),0)</f>
        <v>0</v>
      </c>
      <c r="H1079" s="10">
        <f>IFERROR(SUMIFS('Base bordo CD'!M$2:M$875,'Base bordo CD'!D$2:D$875,A1079,'Base bordo CD'!A$2:A$875,B1079,'Base bordo CD'!L$2:L$875,"AGUARDANDO MANOBRA DE TRANSBORDO"),0)+IFERROR(SUMIFS('Base bordo CD'!M$2:M$875,'Base bordo CD'!D$2:D$875,A1079,'Base bordo CD'!A$2:A$875,B1079,'Base bordo CD'!L$2:L$875,"FALTA DE TRANSBORDO"),0)</f>
        <v>0</v>
      </c>
      <c r="I1079" s="10">
        <f>IFERROR(SUMIFS('Base bordo CD'!M$2:M$875,'Base bordo CD'!D$2:D$875,A1079,'Base bordo CD'!A$2:A$875,B1079,'Base bordo CD'!L$2:L$875,"PARADA POR CONDICOES CLIMATICAS"),0)+IFERROR(SUMIFS('Base bordo CD'!M$2:M$875,'Base bordo CD'!D$2:D$875,A1079,'Base bordo CD'!A$2:A$875,B1079,'Base bordo CD'!L$2:L$875,"TEMPO INDETERMINADO"),0)</f>
        <v>0</v>
      </c>
      <c r="J1079" s="10">
        <f>IFERROR(SUMIFS('Base bordo CD'!M$2:M$875,'Base bordo CD'!D$2:D$875,A1079,'Base bordo CD'!A$2:A$875,B1079,'Base bordo CD'!L$2:L$875,"LIMITAÇÃO INDÚSTRIA"),0)</f>
        <v>0</v>
      </c>
      <c r="K1079" s="10">
        <f>IFERROR(SUMIFS('Base bordo CD'!M$2:M$875,'Base bordo CD'!D$2:D$875,A1079,'Base bordo CD'!A$2:A$875,B1079,'Base bordo CD'!L$2:L$875,"MAN CORRETIVA*"),0)+IFERROR(SUMIFS('Base bordo CD'!M$2:M$875,'Base bordo CD'!D$2:D$875,A1079,'Base bordo CD'!A$2:A$875,B1079,'Base bordo CD'!L$2:L$875,"AGUARDANDO MANUTENCAO*"),0)+IFERROR(SUMIFS('Base bordo CD'!M$2:M$875,'Base bordo CD'!D$2:D$875,A1079,'Base bordo CD'!A$2:A$875,B1079,'Base bordo CD'!L$2:L$875,"TROCA DE FAQUINHA"),0)+IFERROR(SUMIFS('Base bordo CD'!M$2:M$875,'Base bordo CD'!D$2:D$875,A1079,'Base bordo CD'!A$2:A$875,B1079,'Base bordo CD'!L$2:L$875,"LIMPEZA*"),0)</f>
        <v>0</v>
      </c>
      <c r="L1079" s="10">
        <f>IFERROR(SUMIFS('Base bordo CD'!M$2:M$875,'Base bordo CD'!D$2:D$875,A1079,'Base bordo CD'!A$2:A$875,B1079,'Base bordo CD'!L$2:L$875,"PATIO - RESERVA"),0)</f>
        <v>0</v>
      </c>
      <c r="M1079" s="10">
        <f>IFERROR(SUMIFS('Base bordo CD'!M$2:M$875,'Base bordo CD'!D$2:D$875,A1079,'Base bordo CD'!A$2:A$875,B1079,'Base bordo CD'!L$2:L$875,"SEM APONTAMENTO"),0)</f>
        <v>0</v>
      </c>
      <c r="N1079" s="10">
        <f>IFERROR(SUMIFS('Base bordo CD'!M$2:M$875,'Base bordo CD'!D$2:D$875,A1079,'Base bordo CD'!A$2:A$875,B1079,'Base bordo CD'!L$2:L$875,"FALTA DE CAMINHÃO"),0)+IFERROR(SUMIFS('Base bordo CD'!M$2:M$875,'Base bordo CD'!D$2:D$875,A1079,'Base bordo CD'!A$2:A$875,B1079,'Base bordo CD'!L$2:L$875,"FALTA DE COMBUSTIVEL"),0)+IFERROR(SUMIFS('Base bordo CD'!M$2:M$875,'Base bordo CD'!D$2:D$875,A1079,'Base bordo CD'!A$2:A$875,B1079,'Base bordo CD'!L$2:L$875,"FALTA DE MOTORIST*"),0)</f>
        <v>0</v>
      </c>
      <c r="O1079" s="10">
        <f t="shared" si="85"/>
        <v>0</v>
      </c>
      <c r="P1079" s="10">
        <f>IFERROR(SUMIFS('Base bordo CD'!M$2:M$875,'Base bordo CD'!D$2:D$875,A1079,'Base bordo CD'!A$2:A$875,B1079),0)</f>
        <v>0</v>
      </c>
      <c r="Q1079" s="10">
        <f>IFERROR(SUMIFS('Base bordo CD'!O$2:O$875,'Base bordo CD'!D$2:D$875,A1079,'Base bordo CD'!A$2:A$875,B1079,'Base bordo CD'!L$2:L$875,"CORTE DE CANA MECANIZADO"),0)</f>
        <v>0</v>
      </c>
      <c r="R1079" s="10">
        <f>IFERROR(SUMIFS('Base bordo CD'!Q$2:Q$875,'Base bordo CD'!D$2:D$875,A1079,'Base bordo CD'!A$2:A$875,B1079,'Base bordo CD'!L$2:L$875,"CORTE DE CANA MECANIZADO"),0)</f>
        <v>0</v>
      </c>
      <c r="S1079" s="30" t="str">
        <f t="shared" si="86"/>
        <v/>
      </c>
      <c r="T1079" s="9">
        <f t="shared" si="87"/>
        <v>0</v>
      </c>
      <c r="U1079" s="9">
        <f t="shared" si="88"/>
        <v>0</v>
      </c>
      <c r="V1079" s="9">
        <f t="shared" si="89"/>
        <v>0</v>
      </c>
    </row>
    <row r="1080" spans="1:22" hidden="1" x14ac:dyDescent="0.35">
      <c r="A1080" s="52">
        <v>49590</v>
      </c>
      <c r="B1080" s="31">
        <v>46117</v>
      </c>
      <c r="C1080" s="7" t="s">
        <v>321</v>
      </c>
      <c r="D1080" s="7">
        <v>351</v>
      </c>
      <c r="E1080" s="10">
        <f>IFERROR(SUMIFS('Base bordo CD'!M$2:M$875,'Base bordo CD'!D$2:D$875,A1080,'Base bordo CD'!A$2:A$875,B1080,'Base bordo CD'!L$2:L$875,"CORTE DE CANA MECANIZADO"),0)</f>
        <v>0</v>
      </c>
      <c r="F1080" s="10">
        <f>IFERROR(SUMIFS('Base bordo CD'!M$2:M$875,'Base bordo CD'!D$2:D$875,A1080,'Base bordo CD'!A$2:A$875,B1080,'Base bordo CD'!L$2:L$875,"MANOBRA"),0)</f>
        <v>0</v>
      </c>
      <c r="G1080" s="10">
        <f>IFERROR(SUMIFS('Base bordo CD'!M$2:M$875,'Base bordo CD'!D$2:D$875,A1080,'Base bordo CD'!A$2:A$875,B1080,'Base bordo CD'!L$2:L$875,"DESLOCAMENTO"),0)</f>
        <v>0</v>
      </c>
      <c r="H1080" s="10">
        <f>IFERROR(SUMIFS('Base bordo CD'!M$2:M$875,'Base bordo CD'!D$2:D$875,A1080,'Base bordo CD'!A$2:A$875,B1080,'Base bordo CD'!L$2:L$875,"AGUARDANDO MANOBRA DE TRANSBORDO"),0)+IFERROR(SUMIFS('Base bordo CD'!M$2:M$875,'Base bordo CD'!D$2:D$875,A1080,'Base bordo CD'!A$2:A$875,B1080,'Base bordo CD'!L$2:L$875,"FALTA DE TRANSBORDO"),0)</f>
        <v>0</v>
      </c>
      <c r="I1080" s="10">
        <f>IFERROR(SUMIFS('Base bordo CD'!M$2:M$875,'Base bordo CD'!D$2:D$875,A1080,'Base bordo CD'!A$2:A$875,B1080,'Base bordo CD'!L$2:L$875,"PARADA POR CONDICOES CLIMATICAS"),0)+IFERROR(SUMIFS('Base bordo CD'!M$2:M$875,'Base bordo CD'!D$2:D$875,A1080,'Base bordo CD'!A$2:A$875,B1080,'Base bordo CD'!L$2:L$875,"TEMPO INDETERMINADO"),0)</f>
        <v>0</v>
      </c>
      <c r="J1080" s="10">
        <f>IFERROR(SUMIFS('Base bordo CD'!M$2:M$875,'Base bordo CD'!D$2:D$875,A1080,'Base bordo CD'!A$2:A$875,B1080,'Base bordo CD'!L$2:L$875,"LIMITAÇÃO INDÚSTRIA"),0)</f>
        <v>0</v>
      </c>
      <c r="K1080" s="10">
        <f>IFERROR(SUMIFS('Base bordo CD'!M$2:M$875,'Base bordo CD'!D$2:D$875,A1080,'Base bordo CD'!A$2:A$875,B1080,'Base bordo CD'!L$2:L$875,"MAN CORRETIVA*"),0)+IFERROR(SUMIFS('Base bordo CD'!M$2:M$875,'Base bordo CD'!D$2:D$875,A1080,'Base bordo CD'!A$2:A$875,B1080,'Base bordo CD'!L$2:L$875,"AGUARDANDO MANUTENCAO*"),0)+IFERROR(SUMIFS('Base bordo CD'!M$2:M$875,'Base bordo CD'!D$2:D$875,A1080,'Base bordo CD'!A$2:A$875,B1080,'Base bordo CD'!L$2:L$875,"TROCA DE FAQUINHA"),0)+IFERROR(SUMIFS('Base bordo CD'!M$2:M$875,'Base bordo CD'!D$2:D$875,A1080,'Base bordo CD'!A$2:A$875,B1080,'Base bordo CD'!L$2:L$875,"LIMPEZA*"),0)</f>
        <v>0</v>
      </c>
      <c r="L1080" s="10">
        <f>IFERROR(SUMIFS('Base bordo CD'!M$2:M$875,'Base bordo CD'!D$2:D$875,A1080,'Base bordo CD'!A$2:A$875,B1080,'Base bordo CD'!L$2:L$875,"PATIO - RESERVA"),0)</f>
        <v>0</v>
      </c>
      <c r="M1080" s="10">
        <f>IFERROR(SUMIFS('Base bordo CD'!M$2:M$875,'Base bordo CD'!D$2:D$875,A1080,'Base bordo CD'!A$2:A$875,B1080,'Base bordo CD'!L$2:L$875,"SEM APONTAMENTO"),0)</f>
        <v>0</v>
      </c>
      <c r="N1080" s="10">
        <f>IFERROR(SUMIFS('Base bordo CD'!M$2:M$875,'Base bordo CD'!D$2:D$875,A1080,'Base bordo CD'!A$2:A$875,B1080,'Base bordo CD'!L$2:L$875,"FALTA DE CAMINHÃO"),0)+IFERROR(SUMIFS('Base bordo CD'!M$2:M$875,'Base bordo CD'!D$2:D$875,A1080,'Base bordo CD'!A$2:A$875,B1080,'Base bordo CD'!L$2:L$875,"FALTA DE COMBUSTIVEL"),0)+IFERROR(SUMIFS('Base bordo CD'!M$2:M$875,'Base bordo CD'!D$2:D$875,A1080,'Base bordo CD'!A$2:A$875,B1080,'Base bordo CD'!L$2:L$875,"FALTA DE MOTORIST*"),0)</f>
        <v>0</v>
      </c>
      <c r="O1080" s="10">
        <f t="shared" si="85"/>
        <v>0</v>
      </c>
      <c r="P1080" s="10">
        <f>IFERROR(SUMIFS('Base bordo CD'!M$2:M$875,'Base bordo CD'!D$2:D$875,A1080,'Base bordo CD'!A$2:A$875,B1080),0)</f>
        <v>0</v>
      </c>
      <c r="Q1080" s="10">
        <f>IFERROR(SUMIFS('Base bordo CD'!O$2:O$875,'Base bordo CD'!D$2:D$875,A1080,'Base bordo CD'!A$2:A$875,B1080,'Base bordo CD'!L$2:L$875,"CORTE DE CANA MECANIZADO"),0)</f>
        <v>0</v>
      </c>
      <c r="R1080" s="10">
        <f>IFERROR(SUMIFS('Base bordo CD'!Q$2:Q$875,'Base bordo CD'!D$2:D$875,A1080,'Base bordo CD'!A$2:A$875,B1080,'Base bordo CD'!L$2:L$875,"CORTE DE CANA MECANIZADO"),0)</f>
        <v>0</v>
      </c>
      <c r="S1080" s="30" t="str">
        <f t="shared" si="86"/>
        <v/>
      </c>
      <c r="T1080" s="9">
        <f t="shared" si="87"/>
        <v>0</v>
      </c>
      <c r="U1080" s="9">
        <f t="shared" si="88"/>
        <v>0</v>
      </c>
      <c r="V1080" s="9">
        <f t="shared" si="89"/>
        <v>0</v>
      </c>
    </row>
    <row r="1081" spans="1:22" hidden="1" x14ac:dyDescent="0.35">
      <c r="A1081" s="52">
        <v>49590</v>
      </c>
      <c r="B1081" s="31">
        <v>46117</v>
      </c>
      <c r="C1081" s="7" t="s">
        <v>321</v>
      </c>
      <c r="D1081" s="7">
        <v>351</v>
      </c>
      <c r="E1081" s="10">
        <f>IFERROR(SUMIFS('Base bordo CD'!M$2:M$875,'Base bordo CD'!D$2:D$875,A1081,'Base bordo CD'!A$2:A$875,B1081,'Base bordo CD'!L$2:L$875,"CORTE DE CANA MECANIZADO"),0)</f>
        <v>0</v>
      </c>
      <c r="F1081" s="10">
        <f>IFERROR(SUMIFS('Base bordo CD'!M$2:M$875,'Base bordo CD'!D$2:D$875,A1081,'Base bordo CD'!A$2:A$875,B1081,'Base bordo CD'!L$2:L$875,"MANOBRA"),0)</f>
        <v>0</v>
      </c>
      <c r="G1081" s="10">
        <f>IFERROR(SUMIFS('Base bordo CD'!M$2:M$875,'Base bordo CD'!D$2:D$875,A1081,'Base bordo CD'!A$2:A$875,B1081,'Base bordo CD'!L$2:L$875,"DESLOCAMENTO"),0)</f>
        <v>0</v>
      </c>
      <c r="H1081" s="10">
        <f>IFERROR(SUMIFS('Base bordo CD'!M$2:M$875,'Base bordo CD'!D$2:D$875,A1081,'Base bordo CD'!A$2:A$875,B1081,'Base bordo CD'!L$2:L$875,"AGUARDANDO MANOBRA DE TRANSBORDO"),0)+IFERROR(SUMIFS('Base bordo CD'!M$2:M$875,'Base bordo CD'!D$2:D$875,A1081,'Base bordo CD'!A$2:A$875,B1081,'Base bordo CD'!L$2:L$875,"FALTA DE TRANSBORDO"),0)</f>
        <v>0</v>
      </c>
      <c r="I1081" s="10">
        <f>IFERROR(SUMIFS('Base bordo CD'!M$2:M$875,'Base bordo CD'!D$2:D$875,A1081,'Base bordo CD'!A$2:A$875,B1081,'Base bordo CD'!L$2:L$875,"PARADA POR CONDICOES CLIMATICAS"),0)+IFERROR(SUMIFS('Base bordo CD'!M$2:M$875,'Base bordo CD'!D$2:D$875,A1081,'Base bordo CD'!A$2:A$875,B1081,'Base bordo CD'!L$2:L$875,"TEMPO INDETERMINADO"),0)</f>
        <v>0</v>
      </c>
      <c r="J1081" s="10">
        <f>IFERROR(SUMIFS('Base bordo CD'!M$2:M$875,'Base bordo CD'!D$2:D$875,A1081,'Base bordo CD'!A$2:A$875,B1081,'Base bordo CD'!L$2:L$875,"LIMITAÇÃO INDÚSTRIA"),0)</f>
        <v>0</v>
      </c>
      <c r="K1081" s="10">
        <f>IFERROR(SUMIFS('Base bordo CD'!M$2:M$875,'Base bordo CD'!D$2:D$875,A1081,'Base bordo CD'!A$2:A$875,B1081,'Base bordo CD'!L$2:L$875,"MAN CORRETIVA*"),0)+IFERROR(SUMIFS('Base bordo CD'!M$2:M$875,'Base bordo CD'!D$2:D$875,A1081,'Base bordo CD'!A$2:A$875,B1081,'Base bordo CD'!L$2:L$875,"AGUARDANDO MANUTENCAO*"),0)+IFERROR(SUMIFS('Base bordo CD'!M$2:M$875,'Base bordo CD'!D$2:D$875,A1081,'Base bordo CD'!A$2:A$875,B1081,'Base bordo CD'!L$2:L$875,"TROCA DE FAQUINHA"),0)+IFERROR(SUMIFS('Base bordo CD'!M$2:M$875,'Base bordo CD'!D$2:D$875,A1081,'Base bordo CD'!A$2:A$875,B1081,'Base bordo CD'!L$2:L$875,"LIMPEZA*"),0)</f>
        <v>0</v>
      </c>
      <c r="L1081" s="10">
        <f>IFERROR(SUMIFS('Base bordo CD'!M$2:M$875,'Base bordo CD'!D$2:D$875,A1081,'Base bordo CD'!A$2:A$875,B1081,'Base bordo CD'!L$2:L$875,"PATIO - RESERVA"),0)</f>
        <v>0</v>
      </c>
      <c r="M1081" s="10">
        <f>IFERROR(SUMIFS('Base bordo CD'!M$2:M$875,'Base bordo CD'!D$2:D$875,A1081,'Base bordo CD'!A$2:A$875,B1081,'Base bordo CD'!L$2:L$875,"SEM APONTAMENTO"),0)</f>
        <v>0</v>
      </c>
      <c r="N1081" s="10">
        <f>IFERROR(SUMIFS('Base bordo CD'!M$2:M$875,'Base bordo CD'!D$2:D$875,A1081,'Base bordo CD'!A$2:A$875,B1081,'Base bordo CD'!L$2:L$875,"FALTA DE CAMINHÃO"),0)+IFERROR(SUMIFS('Base bordo CD'!M$2:M$875,'Base bordo CD'!D$2:D$875,A1081,'Base bordo CD'!A$2:A$875,B1081,'Base bordo CD'!L$2:L$875,"FALTA DE COMBUSTIVEL"),0)+IFERROR(SUMIFS('Base bordo CD'!M$2:M$875,'Base bordo CD'!D$2:D$875,A1081,'Base bordo CD'!A$2:A$875,B1081,'Base bordo CD'!L$2:L$875,"FALTA DE MOTORIST*"),0)</f>
        <v>0</v>
      </c>
      <c r="O1081" s="10">
        <f t="shared" si="85"/>
        <v>0</v>
      </c>
      <c r="P1081" s="10">
        <f>IFERROR(SUMIFS('Base bordo CD'!M$2:M$875,'Base bordo CD'!D$2:D$875,A1081,'Base bordo CD'!A$2:A$875,B1081),0)</f>
        <v>0</v>
      </c>
      <c r="Q1081" s="10">
        <f>IFERROR(SUMIFS('Base bordo CD'!O$2:O$875,'Base bordo CD'!D$2:D$875,A1081,'Base bordo CD'!A$2:A$875,B1081,'Base bordo CD'!L$2:L$875,"CORTE DE CANA MECANIZADO"),0)</f>
        <v>0</v>
      </c>
      <c r="R1081" s="10">
        <f>IFERROR(SUMIFS('Base bordo CD'!Q$2:Q$875,'Base bordo CD'!D$2:D$875,A1081,'Base bordo CD'!A$2:A$875,B1081,'Base bordo CD'!L$2:L$875,"CORTE DE CANA MECANIZADO"),0)</f>
        <v>0</v>
      </c>
      <c r="S1081" s="30" t="str">
        <f t="shared" si="86"/>
        <v/>
      </c>
      <c r="T1081" s="9">
        <f t="shared" si="87"/>
        <v>0</v>
      </c>
      <c r="U1081" s="9">
        <f t="shared" si="88"/>
        <v>0</v>
      </c>
      <c r="V1081" s="9">
        <f t="shared" si="89"/>
        <v>0</v>
      </c>
    </row>
    <row r="1082" spans="1:22" hidden="1" x14ac:dyDescent="0.35">
      <c r="A1082" s="52">
        <v>49590</v>
      </c>
      <c r="B1082" s="31">
        <v>46117</v>
      </c>
      <c r="C1082" s="7" t="s">
        <v>321</v>
      </c>
      <c r="D1082" s="7">
        <v>351</v>
      </c>
      <c r="E1082" s="10">
        <f>IFERROR(SUMIFS('Base bordo CD'!M$2:M$875,'Base bordo CD'!D$2:D$875,A1082,'Base bordo CD'!A$2:A$875,B1082,'Base bordo CD'!L$2:L$875,"CORTE DE CANA MECANIZADO"),0)</f>
        <v>0</v>
      </c>
      <c r="F1082" s="10">
        <f>IFERROR(SUMIFS('Base bordo CD'!M$2:M$875,'Base bordo CD'!D$2:D$875,A1082,'Base bordo CD'!A$2:A$875,B1082,'Base bordo CD'!L$2:L$875,"MANOBRA"),0)</f>
        <v>0</v>
      </c>
      <c r="G1082" s="10">
        <f>IFERROR(SUMIFS('Base bordo CD'!M$2:M$875,'Base bordo CD'!D$2:D$875,A1082,'Base bordo CD'!A$2:A$875,B1082,'Base bordo CD'!L$2:L$875,"DESLOCAMENTO"),0)</f>
        <v>0</v>
      </c>
      <c r="H1082" s="10">
        <f>IFERROR(SUMIFS('Base bordo CD'!M$2:M$875,'Base bordo CD'!D$2:D$875,A1082,'Base bordo CD'!A$2:A$875,B1082,'Base bordo CD'!L$2:L$875,"AGUARDANDO MANOBRA DE TRANSBORDO"),0)+IFERROR(SUMIFS('Base bordo CD'!M$2:M$875,'Base bordo CD'!D$2:D$875,A1082,'Base bordo CD'!A$2:A$875,B1082,'Base bordo CD'!L$2:L$875,"FALTA DE TRANSBORDO"),0)</f>
        <v>0</v>
      </c>
      <c r="I1082" s="10">
        <f>IFERROR(SUMIFS('Base bordo CD'!M$2:M$875,'Base bordo CD'!D$2:D$875,A1082,'Base bordo CD'!A$2:A$875,B1082,'Base bordo CD'!L$2:L$875,"PARADA POR CONDICOES CLIMATICAS"),0)+IFERROR(SUMIFS('Base bordo CD'!M$2:M$875,'Base bordo CD'!D$2:D$875,A1082,'Base bordo CD'!A$2:A$875,B1082,'Base bordo CD'!L$2:L$875,"TEMPO INDETERMINADO"),0)</f>
        <v>0</v>
      </c>
      <c r="J1082" s="10">
        <f>IFERROR(SUMIFS('Base bordo CD'!M$2:M$875,'Base bordo CD'!D$2:D$875,A1082,'Base bordo CD'!A$2:A$875,B1082,'Base bordo CD'!L$2:L$875,"LIMITAÇÃO INDÚSTRIA"),0)</f>
        <v>0</v>
      </c>
      <c r="K1082" s="10">
        <f>IFERROR(SUMIFS('Base bordo CD'!M$2:M$875,'Base bordo CD'!D$2:D$875,A1082,'Base bordo CD'!A$2:A$875,B1082,'Base bordo CD'!L$2:L$875,"MAN CORRETIVA*"),0)+IFERROR(SUMIFS('Base bordo CD'!M$2:M$875,'Base bordo CD'!D$2:D$875,A1082,'Base bordo CD'!A$2:A$875,B1082,'Base bordo CD'!L$2:L$875,"AGUARDANDO MANUTENCAO*"),0)+IFERROR(SUMIFS('Base bordo CD'!M$2:M$875,'Base bordo CD'!D$2:D$875,A1082,'Base bordo CD'!A$2:A$875,B1082,'Base bordo CD'!L$2:L$875,"TROCA DE FAQUINHA"),0)+IFERROR(SUMIFS('Base bordo CD'!M$2:M$875,'Base bordo CD'!D$2:D$875,A1082,'Base bordo CD'!A$2:A$875,B1082,'Base bordo CD'!L$2:L$875,"LIMPEZA*"),0)</f>
        <v>0</v>
      </c>
      <c r="L1082" s="10">
        <f>IFERROR(SUMIFS('Base bordo CD'!M$2:M$875,'Base bordo CD'!D$2:D$875,A1082,'Base bordo CD'!A$2:A$875,B1082,'Base bordo CD'!L$2:L$875,"PATIO - RESERVA"),0)</f>
        <v>0</v>
      </c>
      <c r="M1082" s="10">
        <f>IFERROR(SUMIFS('Base bordo CD'!M$2:M$875,'Base bordo CD'!D$2:D$875,A1082,'Base bordo CD'!A$2:A$875,B1082,'Base bordo CD'!L$2:L$875,"SEM APONTAMENTO"),0)</f>
        <v>0</v>
      </c>
      <c r="N1082" s="10">
        <f>IFERROR(SUMIFS('Base bordo CD'!M$2:M$875,'Base bordo CD'!D$2:D$875,A1082,'Base bordo CD'!A$2:A$875,B1082,'Base bordo CD'!L$2:L$875,"FALTA DE CAMINHÃO"),0)+IFERROR(SUMIFS('Base bordo CD'!M$2:M$875,'Base bordo CD'!D$2:D$875,A1082,'Base bordo CD'!A$2:A$875,B1082,'Base bordo CD'!L$2:L$875,"FALTA DE COMBUSTIVEL"),0)+IFERROR(SUMIFS('Base bordo CD'!M$2:M$875,'Base bordo CD'!D$2:D$875,A1082,'Base bordo CD'!A$2:A$875,B1082,'Base bordo CD'!L$2:L$875,"FALTA DE MOTORIST*"),0)</f>
        <v>0</v>
      </c>
      <c r="O1082" s="10">
        <f t="shared" si="85"/>
        <v>0</v>
      </c>
      <c r="P1082" s="10">
        <f>IFERROR(SUMIFS('Base bordo CD'!M$2:M$875,'Base bordo CD'!D$2:D$875,A1082,'Base bordo CD'!A$2:A$875,B1082),0)</f>
        <v>0</v>
      </c>
      <c r="Q1082" s="10">
        <f>IFERROR(SUMIFS('Base bordo CD'!O$2:O$875,'Base bordo CD'!D$2:D$875,A1082,'Base bordo CD'!A$2:A$875,B1082,'Base bordo CD'!L$2:L$875,"CORTE DE CANA MECANIZADO"),0)</f>
        <v>0</v>
      </c>
      <c r="R1082" s="10">
        <f>IFERROR(SUMIFS('Base bordo CD'!Q$2:Q$875,'Base bordo CD'!D$2:D$875,A1082,'Base bordo CD'!A$2:A$875,B1082,'Base bordo CD'!L$2:L$875,"CORTE DE CANA MECANIZADO"),0)</f>
        <v>0</v>
      </c>
      <c r="S1082" s="30" t="str">
        <f t="shared" si="86"/>
        <v/>
      </c>
      <c r="T1082" s="9">
        <f t="shared" si="87"/>
        <v>0</v>
      </c>
      <c r="U1082" s="9">
        <f t="shared" si="88"/>
        <v>0</v>
      </c>
      <c r="V1082" s="9">
        <f t="shared" si="89"/>
        <v>0</v>
      </c>
    </row>
    <row r="1083" spans="1:22" hidden="1" x14ac:dyDescent="0.35">
      <c r="A1083" s="52">
        <v>49590</v>
      </c>
      <c r="B1083" s="31">
        <v>46117</v>
      </c>
      <c r="C1083" s="7" t="s">
        <v>321</v>
      </c>
      <c r="D1083" s="7">
        <v>351</v>
      </c>
      <c r="E1083" s="10">
        <f>IFERROR(SUMIFS('Base bordo CD'!M$2:M$875,'Base bordo CD'!D$2:D$875,A1083,'Base bordo CD'!A$2:A$875,B1083,'Base bordo CD'!L$2:L$875,"CORTE DE CANA MECANIZADO"),0)</f>
        <v>0</v>
      </c>
      <c r="F1083" s="10">
        <f>IFERROR(SUMIFS('Base bordo CD'!M$2:M$875,'Base bordo CD'!D$2:D$875,A1083,'Base bordo CD'!A$2:A$875,B1083,'Base bordo CD'!L$2:L$875,"MANOBRA"),0)</f>
        <v>0</v>
      </c>
      <c r="G1083" s="10">
        <f>IFERROR(SUMIFS('Base bordo CD'!M$2:M$875,'Base bordo CD'!D$2:D$875,A1083,'Base bordo CD'!A$2:A$875,B1083,'Base bordo CD'!L$2:L$875,"DESLOCAMENTO"),0)</f>
        <v>0</v>
      </c>
      <c r="H1083" s="10">
        <f>IFERROR(SUMIFS('Base bordo CD'!M$2:M$875,'Base bordo CD'!D$2:D$875,A1083,'Base bordo CD'!A$2:A$875,B1083,'Base bordo CD'!L$2:L$875,"AGUARDANDO MANOBRA DE TRANSBORDO"),0)+IFERROR(SUMIFS('Base bordo CD'!M$2:M$875,'Base bordo CD'!D$2:D$875,A1083,'Base bordo CD'!A$2:A$875,B1083,'Base bordo CD'!L$2:L$875,"FALTA DE TRANSBORDO"),0)</f>
        <v>0</v>
      </c>
      <c r="I1083" s="10">
        <f>IFERROR(SUMIFS('Base bordo CD'!M$2:M$875,'Base bordo CD'!D$2:D$875,A1083,'Base bordo CD'!A$2:A$875,B1083,'Base bordo CD'!L$2:L$875,"PARADA POR CONDICOES CLIMATICAS"),0)+IFERROR(SUMIFS('Base bordo CD'!M$2:M$875,'Base bordo CD'!D$2:D$875,A1083,'Base bordo CD'!A$2:A$875,B1083,'Base bordo CD'!L$2:L$875,"TEMPO INDETERMINADO"),0)</f>
        <v>0</v>
      </c>
      <c r="J1083" s="10">
        <f>IFERROR(SUMIFS('Base bordo CD'!M$2:M$875,'Base bordo CD'!D$2:D$875,A1083,'Base bordo CD'!A$2:A$875,B1083,'Base bordo CD'!L$2:L$875,"LIMITAÇÃO INDÚSTRIA"),0)</f>
        <v>0</v>
      </c>
      <c r="K1083" s="10">
        <f>IFERROR(SUMIFS('Base bordo CD'!M$2:M$875,'Base bordo CD'!D$2:D$875,A1083,'Base bordo CD'!A$2:A$875,B1083,'Base bordo CD'!L$2:L$875,"MAN CORRETIVA*"),0)+IFERROR(SUMIFS('Base bordo CD'!M$2:M$875,'Base bordo CD'!D$2:D$875,A1083,'Base bordo CD'!A$2:A$875,B1083,'Base bordo CD'!L$2:L$875,"AGUARDANDO MANUTENCAO*"),0)+IFERROR(SUMIFS('Base bordo CD'!M$2:M$875,'Base bordo CD'!D$2:D$875,A1083,'Base bordo CD'!A$2:A$875,B1083,'Base bordo CD'!L$2:L$875,"TROCA DE FAQUINHA"),0)+IFERROR(SUMIFS('Base bordo CD'!M$2:M$875,'Base bordo CD'!D$2:D$875,A1083,'Base bordo CD'!A$2:A$875,B1083,'Base bordo CD'!L$2:L$875,"LIMPEZA*"),0)</f>
        <v>0</v>
      </c>
      <c r="L1083" s="10">
        <f>IFERROR(SUMIFS('Base bordo CD'!M$2:M$875,'Base bordo CD'!D$2:D$875,A1083,'Base bordo CD'!A$2:A$875,B1083,'Base bordo CD'!L$2:L$875,"PATIO - RESERVA"),0)</f>
        <v>0</v>
      </c>
      <c r="M1083" s="10">
        <f>IFERROR(SUMIFS('Base bordo CD'!M$2:M$875,'Base bordo CD'!D$2:D$875,A1083,'Base bordo CD'!A$2:A$875,B1083,'Base bordo CD'!L$2:L$875,"SEM APONTAMENTO"),0)</f>
        <v>0</v>
      </c>
      <c r="N1083" s="10">
        <f>IFERROR(SUMIFS('Base bordo CD'!M$2:M$875,'Base bordo CD'!D$2:D$875,A1083,'Base bordo CD'!A$2:A$875,B1083,'Base bordo CD'!L$2:L$875,"FALTA DE CAMINHÃO"),0)+IFERROR(SUMIFS('Base bordo CD'!M$2:M$875,'Base bordo CD'!D$2:D$875,A1083,'Base bordo CD'!A$2:A$875,B1083,'Base bordo CD'!L$2:L$875,"FALTA DE COMBUSTIVEL"),0)+IFERROR(SUMIFS('Base bordo CD'!M$2:M$875,'Base bordo CD'!D$2:D$875,A1083,'Base bordo CD'!A$2:A$875,B1083,'Base bordo CD'!L$2:L$875,"FALTA DE MOTORIST*"),0)</f>
        <v>0</v>
      </c>
      <c r="O1083" s="10">
        <f t="shared" si="85"/>
        <v>0</v>
      </c>
      <c r="P1083" s="10">
        <f>IFERROR(SUMIFS('Base bordo CD'!M$2:M$875,'Base bordo CD'!D$2:D$875,A1083,'Base bordo CD'!A$2:A$875,B1083),0)</f>
        <v>0</v>
      </c>
      <c r="Q1083" s="10">
        <f>IFERROR(SUMIFS('Base bordo CD'!O$2:O$875,'Base bordo CD'!D$2:D$875,A1083,'Base bordo CD'!A$2:A$875,B1083,'Base bordo CD'!L$2:L$875,"CORTE DE CANA MECANIZADO"),0)</f>
        <v>0</v>
      </c>
      <c r="R1083" s="10">
        <f>IFERROR(SUMIFS('Base bordo CD'!Q$2:Q$875,'Base bordo CD'!D$2:D$875,A1083,'Base bordo CD'!A$2:A$875,B1083,'Base bordo CD'!L$2:L$875,"CORTE DE CANA MECANIZADO"),0)</f>
        <v>0</v>
      </c>
      <c r="S1083" s="30" t="str">
        <f t="shared" si="86"/>
        <v/>
      </c>
      <c r="T1083" s="9">
        <f t="shared" si="87"/>
        <v>0</v>
      </c>
      <c r="U1083" s="9">
        <f t="shared" si="88"/>
        <v>0</v>
      </c>
      <c r="V1083" s="9">
        <f t="shared" si="89"/>
        <v>0</v>
      </c>
    </row>
    <row r="1084" spans="1:22" hidden="1" x14ac:dyDescent="0.35">
      <c r="A1084" s="52">
        <v>49590</v>
      </c>
      <c r="B1084" s="31">
        <v>46117</v>
      </c>
      <c r="C1084" s="7" t="s">
        <v>321</v>
      </c>
      <c r="D1084" s="7">
        <v>351</v>
      </c>
      <c r="E1084" s="10">
        <f>IFERROR(SUMIFS('Base bordo CD'!M$2:M$875,'Base bordo CD'!D$2:D$875,A1084,'Base bordo CD'!A$2:A$875,B1084,'Base bordo CD'!L$2:L$875,"CORTE DE CANA MECANIZADO"),0)</f>
        <v>0</v>
      </c>
      <c r="F1084" s="10">
        <f>IFERROR(SUMIFS('Base bordo CD'!M$2:M$875,'Base bordo CD'!D$2:D$875,A1084,'Base bordo CD'!A$2:A$875,B1084,'Base bordo CD'!L$2:L$875,"MANOBRA"),0)</f>
        <v>0</v>
      </c>
      <c r="G1084" s="10">
        <f>IFERROR(SUMIFS('Base bordo CD'!M$2:M$875,'Base bordo CD'!D$2:D$875,A1084,'Base bordo CD'!A$2:A$875,B1084,'Base bordo CD'!L$2:L$875,"DESLOCAMENTO"),0)</f>
        <v>0</v>
      </c>
      <c r="H1084" s="10">
        <f>IFERROR(SUMIFS('Base bordo CD'!M$2:M$875,'Base bordo CD'!D$2:D$875,A1084,'Base bordo CD'!A$2:A$875,B1084,'Base bordo CD'!L$2:L$875,"AGUARDANDO MANOBRA DE TRANSBORDO"),0)+IFERROR(SUMIFS('Base bordo CD'!M$2:M$875,'Base bordo CD'!D$2:D$875,A1084,'Base bordo CD'!A$2:A$875,B1084,'Base bordo CD'!L$2:L$875,"FALTA DE TRANSBORDO"),0)</f>
        <v>0</v>
      </c>
      <c r="I1084" s="10">
        <f>IFERROR(SUMIFS('Base bordo CD'!M$2:M$875,'Base bordo CD'!D$2:D$875,A1084,'Base bordo CD'!A$2:A$875,B1084,'Base bordo CD'!L$2:L$875,"PARADA POR CONDICOES CLIMATICAS"),0)+IFERROR(SUMIFS('Base bordo CD'!M$2:M$875,'Base bordo CD'!D$2:D$875,A1084,'Base bordo CD'!A$2:A$875,B1084,'Base bordo CD'!L$2:L$875,"TEMPO INDETERMINADO"),0)</f>
        <v>0</v>
      </c>
      <c r="J1084" s="10">
        <f>IFERROR(SUMIFS('Base bordo CD'!M$2:M$875,'Base bordo CD'!D$2:D$875,A1084,'Base bordo CD'!A$2:A$875,B1084,'Base bordo CD'!L$2:L$875,"LIMITAÇÃO INDÚSTRIA"),0)</f>
        <v>0</v>
      </c>
      <c r="K1084" s="10">
        <f>IFERROR(SUMIFS('Base bordo CD'!M$2:M$875,'Base bordo CD'!D$2:D$875,A1084,'Base bordo CD'!A$2:A$875,B1084,'Base bordo CD'!L$2:L$875,"MAN CORRETIVA*"),0)+IFERROR(SUMIFS('Base bordo CD'!M$2:M$875,'Base bordo CD'!D$2:D$875,A1084,'Base bordo CD'!A$2:A$875,B1084,'Base bordo CD'!L$2:L$875,"AGUARDANDO MANUTENCAO*"),0)+IFERROR(SUMIFS('Base bordo CD'!M$2:M$875,'Base bordo CD'!D$2:D$875,A1084,'Base bordo CD'!A$2:A$875,B1084,'Base bordo CD'!L$2:L$875,"TROCA DE FAQUINHA"),0)+IFERROR(SUMIFS('Base bordo CD'!M$2:M$875,'Base bordo CD'!D$2:D$875,A1084,'Base bordo CD'!A$2:A$875,B1084,'Base bordo CD'!L$2:L$875,"LIMPEZA*"),0)</f>
        <v>0</v>
      </c>
      <c r="L1084" s="10">
        <f>IFERROR(SUMIFS('Base bordo CD'!M$2:M$875,'Base bordo CD'!D$2:D$875,A1084,'Base bordo CD'!A$2:A$875,B1084,'Base bordo CD'!L$2:L$875,"PATIO - RESERVA"),0)</f>
        <v>0</v>
      </c>
      <c r="M1084" s="10">
        <f>IFERROR(SUMIFS('Base bordo CD'!M$2:M$875,'Base bordo CD'!D$2:D$875,A1084,'Base bordo CD'!A$2:A$875,B1084,'Base bordo CD'!L$2:L$875,"SEM APONTAMENTO"),0)</f>
        <v>0</v>
      </c>
      <c r="N1084" s="10">
        <f>IFERROR(SUMIFS('Base bordo CD'!M$2:M$875,'Base bordo CD'!D$2:D$875,A1084,'Base bordo CD'!A$2:A$875,B1084,'Base bordo CD'!L$2:L$875,"FALTA DE CAMINHÃO"),0)+IFERROR(SUMIFS('Base bordo CD'!M$2:M$875,'Base bordo CD'!D$2:D$875,A1084,'Base bordo CD'!A$2:A$875,B1084,'Base bordo CD'!L$2:L$875,"FALTA DE COMBUSTIVEL"),0)+IFERROR(SUMIFS('Base bordo CD'!M$2:M$875,'Base bordo CD'!D$2:D$875,A1084,'Base bordo CD'!A$2:A$875,B1084,'Base bordo CD'!L$2:L$875,"FALTA DE MOTORIST*"),0)</f>
        <v>0</v>
      </c>
      <c r="O1084" s="10">
        <f t="shared" si="85"/>
        <v>0</v>
      </c>
      <c r="P1084" s="10">
        <f>IFERROR(SUMIFS('Base bordo CD'!M$2:M$875,'Base bordo CD'!D$2:D$875,A1084,'Base bordo CD'!A$2:A$875,B1084),0)</f>
        <v>0</v>
      </c>
      <c r="Q1084" s="10">
        <f>IFERROR(SUMIFS('Base bordo CD'!O$2:O$875,'Base bordo CD'!D$2:D$875,A1084,'Base bordo CD'!A$2:A$875,B1084,'Base bordo CD'!L$2:L$875,"CORTE DE CANA MECANIZADO"),0)</f>
        <v>0</v>
      </c>
      <c r="R1084" s="10">
        <f>IFERROR(SUMIFS('Base bordo CD'!Q$2:Q$875,'Base bordo CD'!D$2:D$875,A1084,'Base bordo CD'!A$2:A$875,B1084,'Base bordo CD'!L$2:L$875,"CORTE DE CANA MECANIZADO"),0)</f>
        <v>0</v>
      </c>
      <c r="S1084" s="30" t="str">
        <f t="shared" si="86"/>
        <v/>
      </c>
      <c r="T1084" s="9">
        <f t="shared" si="87"/>
        <v>0</v>
      </c>
      <c r="U1084" s="9">
        <f t="shared" si="88"/>
        <v>0</v>
      </c>
      <c r="V1084" s="9">
        <f t="shared" si="89"/>
        <v>0</v>
      </c>
    </row>
    <row r="1085" spans="1:22" hidden="1" x14ac:dyDescent="0.35">
      <c r="A1085" s="52">
        <v>49590</v>
      </c>
      <c r="B1085" s="31">
        <v>46117</v>
      </c>
      <c r="C1085" s="7" t="s">
        <v>321</v>
      </c>
      <c r="D1085" s="7">
        <v>351</v>
      </c>
      <c r="E1085" s="10">
        <f>IFERROR(SUMIFS('Base bordo CD'!M$2:M$875,'Base bordo CD'!D$2:D$875,A1085,'Base bordo CD'!A$2:A$875,B1085,'Base bordo CD'!L$2:L$875,"CORTE DE CANA MECANIZADO"),0)</f>
        <v>0</v>
      </c>
      <c r="F1085" s="10">
        <f>IFERROR(SUMIFS('Base bordo CD'!M$2:M$875,'Base bordo CD'!D$2:D$875,A1085,'Base bordo CD'!A$2:A$875,B1085,'Base bordo CD'!L$2:L$875,"MANOBRA"),0)</f>
        <v>0</v>
      </c>
      <c r="G1085" s="10">
        <f>IFERROR(SUMIFS('Base bordo CD'!M$2:M$875,'Base bordo CD'!D$2:D$875,A1085,'Base bordo CD'!A$2:A$875,B1085,'Base bordo CD'!L$2:L$875,"DESLOCAMENTO"),0)</f>
        <v>0</v>
      </c>
      <c r="H1085" s="10">
        <f>IFERROR(SUMIFS('Base bordo CD'!M$2:M$875,'Base bordo CD'!D$2:D$875,A1085,'Base bordo CD'!A$2:A$875,B1085,'Base bordo CD'!L$2:L$875,"AGUARDANDO MANOBRA DE TRANSBORDO"),0)+IFERROR(SUMIFS('Base bordo CD'!M$2:M$875,'Base bordo CD'!D$2:D$875,A1085,'Base bordo CD'!A$2:A$875,B1085,'Base bordo CD'!L$2:L$875,"FALTA DE TRANSBORDO"),0)</f>
        <v>0</v>
      </c>
      <c r="I1085" s="10">
        <f>IFERROR(SUMIFS('Base bordo CD'!M$2:M$875,'Base bordo CD'!D$2:D$875,A1085,'Base bordo CD'!A$2:A$875,B1085,'Base bordo CD'!L$2:L$875,"PARADA POR CONDICOES CLIMATICAS"),0)+IFERROR(SUMIFS('Base bordo CD'!M$2:M$875,'Base bordo CD'!D$2:D$875,A1085,'Base bordo CD'!A$2:A$875,B1085,'Base bordo CD'!L$2:L$875,"TEMPO INDETERMINADO"),0)</f>
        <v>0</v>
      </c>
      <c r="J1085" s="10">
        <f>IFERROR(SUMIFS('Base bordo CD'!M$2:M$875,'Base bordo CD'!D$2:D$875,A1085,'Base bordo CD'!A$2:A$875,B1085,'Base bordo CD'!L$2:L$875,"LIMITAÇÃO INDÚSTRIA"),0)</f>
        <v>0</v>
      </c>
      <c r="K1085" s="10">
        <f>IFERROR(SUMIFS('Base bordo CD'!M$2:M$875,'Base bordo CD'!D$2:D$875,A1085,'Base bordo CD'!A$2:A$875,B1085,'Base bordo CD'!L$2:L$875,"MAN CORRETIVA*"),0)+IFERROR(SUMIFS('Base bordo CD'!M$2:M$875,'Base bordo CD'!D$2:D$875,A1085,'Base bordo CD'!A$2:A$875,B1085,'Base bordo CD'!L$2:L$875,"AGUARDANDO MANUTENCAO*"),0)+IFERROR(SUMIFS('Base bordo CD'!M$2:M$875,'Base bordo CD'!D$2:D$875,A1085,'Base bordo CD'!A$2:A$875,B1085,'Base bordo CD'!L$2:L$875,"TROCA DE FAQUINHA"),0)+IFERROR(SUMIFS('Base bordo CD'!M$2:M$875,'Base bordo CD'!D$2:D$875,A1085,'Base bordo CD'!A$2:A$875,B1085,'Base bordo CD'!L$2:L$875,"LIMPEZA*"),0)</f>
        <v>0</v>
      </c>
      <c r="L1085" s="10">
        <f>IFERROR(SUMIFS('Base bordo CD'!M$2:M$875,'Base bordo CD'!D$2:D$875,A1085,'Base bordo CD'!A$2:A$875,B1085,'Base bordo CD'!L$2:L$875,"PATIO - RESERVA"),0)</f>
        <v>0</v>
      </c>
      <c r="M1085" s="10">
        <f>IFERROR(SUMIFS('Base bordo CD'!M$2:M$875,'Base bordo CD'!D$2:D$875,A1085,'Base bordo CD'!A$2:A$875,B1085,'Base bordo CD'!L$2:L$875,"SEM APONTAMENTO"),0)</f>
        <v>0</v>
      </c>
      <c r="N1085" s="10">
        <f>IFERROR(SUMIFS('Base bordo CD'!M$2:M$875,'Base bordo CD'!D$2:D$875,A1085,'Base bordo CD'!A$2:A$875,B1085,'Base bordo CD'!L$2:L$875,"FALTA DE CAMINHÃO"),0)+IFERROR(SUMIFS('Base bordo CD'!M$2:M$875,'Base bordo CD'!D$2:D$875,A1085,'Base bordo CD'!A$2:A$875,B1085,'Base bordo CD'!L$2:L$875,"FALTA DE COMBUSTIVEL"),0)+IFERROR(SUMIFS('Base bordo CD'!M$2:M$875,'Base bordo CD'!D$2:D$875,A1085,'Base bordo CD'!A$2:A$875,B1085,'Base bordo CD'!L$2:L$875,"FALTA DE MOTORIST*"),0)</f>
        <v>0</v>
      </c>
      <c r="O1085" s="10">
        <f t="shared" si="85"/>
        <v>0</v>
      </c>
      <c r="P1085" s="10">
        <f>IFERROR(SUMIFS('Base bordo CD'!M$2:M$875,'Base bordo CD'!D$2:D$875,A1085,'Base bordo CD'!A$2:A$875,B1085),0)</f>
        <v>0</v>
      </c>
      <c r="Q1085" s="10">
        <f>IFERROR(SUMIFS('Base bordo CD'!O$2:O$875,'Base bordo CD'!D$2:D$875,A1085,'Base bordo CD'!A$2:A$875,B1085,'Base bordo CD'!L$2:L$875,"CORTE DE CANA MECANIZADO"),0)</f>
        <v>0</v>
      </c>
      <c r="R1085" s="10">
        <f>IFERROR(SUMIFS('Base bordo CD'!Q$2:Q$875,'Base bordo CD'!D$2:D$875,A1085,'Base bordo CD'!A$2:A$875,B1085,'Base bordo CD'!L$2:L$875,"CORTE DE CANA MECANIZADO"),0)</f>
        <v>0</v>
      </c>
      <c r="S1085" s="30" t="str">
        <f t="shared" si="86"/>
        <v/>
      </c>
      <c r="T1085" s="9">
        <f t="shared" si="87"/>
        <v>0</v>
      </c>
      <c r="U1085" s="9">
        <f t="shared" si="88"/>
        <v>0</v>
      </c>
      <c r="V1085" s="9">
        <f t="shared" si="89"/>
        <v>0</v>
      </c>
    </row>
    <row r="1086" spans="1:22" hidden="1" x14ac:dyDescent="0.35">
      <c r="A1086" s="52">
        <v>49590</v>
      </c>
      <c r="B1086" s="31">
        <v>46117</v>
      </c>
      <c r="C1086" s="7" t="s">
        <v>321</v>
      </c>
      <c r="D1086" s="7">
        <v>351</v>
      </c>
      <c r="E1086" s="10">
        <f>IFERROR(SUMIFS('Base bordo CD'!M$2:M$875,'Base bordo CD'!D$2:D$875,A1086,'Base bordo CD'!A$2:A$875,B1086,'Base bordo CD'!L$2:L$875,"CORTE DE CANA MECANIZADO"),0)</f>
        <v>0</v>
      </c>
      <c r="F1086" s="10">
        <f>IFERROR(SUMIFS('Base bordo CD'!M$2:M$875,'Base bordo CD'!D$2:D$875,A1086,'Base bordo CD'!A$2:A$875,B1086,'Base bordo CD'!L$2:L$875,"MANOBRA"),0)</f>
        <v>0</v>
      </c>
      <c r="G1086" s="10">
        <f>IFERROR(SUMIFS('Base bordo CD'!M$2:M$875,'Base bordo CD'!D$2:D$875,A1086,'Base bordo CD'!A$2:A$875,B1086,'Base bordo CD'!L$2:L$875,"DESLOCAMENTO"),0)</f>
        <v>0</v>
      </c>
      <c r="H1086" s="10">
        <f>IFERROR(SUMIFS('Base bordo CD'!M$2:M$875,'Base bordo CD'!D$2:D$875,A1086,'Base bordo CD'!A$2:A$875,B1086,'Base bordo CD'!L$2:L$875,"AGUARDANDO MANOBRA DE TRANSBORDO"),0)+IFERROR(SUMIFS('Base bordo CD'!M$2:M$875,'Base bordo CD'!D$2:D$875,A1086,'Base bordo CD'!A$2:A$875,B1086,'Base bordo CD'!L$2:L$875,"FALTA DE TRANSBORDO"),0)</f>
        <v>0</v>
      </c>
      <c r="I1086" s="10">
        <f>IFERROR(SUMIFS('Base bordo CD'!M$2:M$875,'Base bordo CD'!D$2:D$875,A1086,'Base bordo CD'!A$2:A$875,B1086,'Base bordo CD'!L$2:L$875,"PARADA POR CONDICOES CLIMATICAS"),0)+IFERROR(SUMIFS('Base bordo CD'!M$2:M$875,'Base bordo CD'!D$2:D$875,A1086,'Base bordo CD'!A$2:A$875,B1086,'Base bordo CD'!L$2:L$875,"TEMPO INDETERMINADO"),0)</f>
        <v>0</v>
      </c>
      <c r="J1086" s="10">
        <f>IFERROR(SUMIFS('Base bordo CD'!M$2:M$875,'Base bordo CD'!D$2:D$875,A1086,'Base bordo CD'!A$2:A$875,B1086,'Base bordo CD'!L$2:L$875,"LIMITAÇÃO INDÚSTRIA"),0)</f>
        <v>0</v>
      </c>
      <c r="K1086" s="10">
        <f>IFERROR(SUMIFS('Base bordo CD'!M$2:M$875,'Base bordo CD'!D$2:D$875,A1086,'Base bordo CD'!A$2:A$875,B1086,'Base bordo CD'!L$2:L$875,"MAN CORRETIVA*"),0)+IFERROR(SUMIFS('Base bordo CD'!M$2:M$875,'Base bordo CD'!D$2:D$875,A1086,'Base bordo CD'!A$2:A$875,B1086,'Base bordo CD'!L$2:L$875,"AGUARDANDO MANUTENCAO*"),0)+IFERROR(SUMIFS('Base bordo CD'!M$2:M$875,'Base bordo CD'!D$2:D$875,A1086,'Base bordo CD'!A$2:A$875,B1086,'Base bordo CD'!L$2:L$875,"TROCA DE FAQUINHA"),0)+IFERROR(SUMIFS('Base bordo CD'!M$2:M$875,'Base bordo CD'!D$2:D$875,A1086,'Base bordo CD'!A$2:A$875,B1086,'Base bordo CD'!L$2:L$875,"LIMPEZA*"),0)</f>
        <v>0</v>
      </c>
      <c r="L1086" s="10">
        <f>IFERROR(SUMIFS('Base bordo CD'!M$2:M$875,'Base bordo CD'!D$2:D$875,A1086,'Base bordo CD'!A$2:A$875,B1086,'Base bordo CD'!L$2:L$875,"PATIO - RESERVA"),0)</f>
        <v>0</v>
      </c>
      <c r="M1086" s="10">
        <f>IFERROR(SUMIFS('Base bordo CD'!M$2:M$875,'Base bordo CD'!D$2:D$875,A1086,'Base bordo CD'!A$2:A$875,B1086,'Base bordo CD'!L$2:L$875,"SEM APONTAMENTO"),0)</f>
        <v>0</v>
      </c>
      <c r="N1086" s="10">
        <f>IFERROR(SUMIFS('Base bordo CD'!M$2:M$875,'Base bordo CD'!D$2:D$875,A1086,'Base bordo CD'!A$2:A$875,B1086,'Base bordo CD'!L$2:L$875,"FALTA DE CAMINHÃO"),0)+IFERROR(SUMIFS('Base bordo CD'!M$2:M$875,'Base bordo CD'!D$2:D$875,A1086,'Base bordo CD'!A$2:A$875,B1086,'Base bordo CD'!L$2:L$875,"FALTA DE COMBUSTIVEL"),0)+IFERROR(SUMIFS('Base bordo CD'!M$2:M$875,'Base bordo CD'!D$2:D$875,A1086,'Base bordo CD'!A$2:A$875,B1086,'Base bordo CD'!L$2:L$875,"FALTA DE MOTORIST*"),0)</f>
        <v>0</v>
      </c>
      <c r="O1086" s="10">
        <f t="shared" ref="O1086:O1149" si="90">IFERROR(P1086-SUM(E1086:N1086),0)</f>
        <v>0</v>
      </c>
      <c r="P1086" s="10">
        <f>IFERROR(SUMIFS('Base bordo CD'!M$2:M$875,'Base bordo CD'!D$2:D$875,A1086,'Base bordo CD'!A$2:A$875,B1086),0)</f>
        <v>0</v>
      </c>
      <c r="Q1086" s="10">
        <f>IFERROR(SUMIFS('Base bordo CD'!O$2:O$875,'Base bordo CD'!D$2:D$875,A1086,'Base bordo CD'!A$2:A$875,B1086,'Base bordo CD'!L$2:L$875,"CORTE DE CANA MECANIZADO"),0)</f>
        <v>0</v>
      </c>
      <c r="R1086" s="10">
        <f>IFERROR(SUMIFS('Base bordo CD'!Q$2:Q$875,'Base bordo CD'!D$2:D$875,A1086,'Base bordo CD'!A$2:A$875,B1086,'Base bordo CD'!L$2:L$875,"CORTE DE CANA MECANIZADO"),0)</f>
        <v>0</v>
      </c>
      <c r="S1086" s="30" t="str">
        <f t="shared" ref="S1086:S1149" si="91">IFERROR(Q1086/R1086,"")</f>
        <v/>
      </c>
      <c r="T1086" s="9">
        <f t="shared" ref="T1086:T1149" si="92">IFERROR(E1086/P1086,0)</f>
        <v>0</v>
      </c>
      <c r="U1086" s="9">
        <f t="shared" ref="U1086:U1149" si="93">IFERROR(F1086/P1086,0)</f>
        <v>0</v>
      </c>
      <c r="V1086" s="9">
        <f t="shared" ref="V1086:V1149" si="94">IFERROR(1-(E1086+G1086)/P1086,0)</f>
        <v>0</v>
      </c>
    </row>
    <row r="1087" spans="1:22" hidden="1" x14ac:dyDescent="0.35">
      <c r="A1087" s="52">
        <v>49590</v>
      </c>
      <c r="B1087" s="31">
        <v>46117</v>
      </c>
      <c r="C1087" s="7" t="s">
        <v>321</v>
      </c>
      <c r="D1087" s="7">
        <v>351</v>
      </c>
      <c r="E1087" s="10">
        <f>IFERROR(SUMIFS('Base bordo CD'!M$2:M$875,'Base bordo CD'!D$2:D$875,A1087,'Base bordo CD'!A$2:A$875,B1087,'Base bordo CD'!L$2:L$875,"CORTE DE CANA MECANIZADO"),0)</f>
        <v>0</v>
      </c>
      <c r="F1087" s="10">
        <f>IFERROR(SUMIFS('Base bordo CD'!M$2:M$875,'Base bordo CD'!D$2:D$875,A1087,'Base bordo CD'!A$2:A$875,B1087,'Base bordo CD'!L$2:L$875,"MANOBRA"),0)</f>
        <v>0</v>
      </c>
      <c r="G1087" s="10">
        <f>IFERROR(SUMIFS('Base bordo CD'!M$2:M$875,'Base bordo CD'!D$2:D$875,A1087,'Base bordo CD'!A$2:A$875,B1087,'Base bordo CD'!L$2:L$875,"DESLOCAMENTO"),0)</f>
        <v>0</v>
      </c>
      <c r="H1087" s="10">
        <f>IFERROR(SUMIFS('Base bordo CD'!M$2:M$875,'Base bordo CD'!D$2:D$875,A1087,'Base bordo CD'!A$2:A$875,B1087,'Base bordo CD'!L$2:L$875,"AGUARDANDO MANOBRA DE TRANSBORDO"),0)+IFERROR(SUMIFS('Base bordo CD'!M$2:M$875,'Base bordo CD'!D$2:D$875,A1087,'Base bordo CD'!A$2:A$875,B1087,'Base bordo CD'!L$2:L$875,"FALTA DE TRANSBORDO"),0)</f>
        <v>0</v>
      </c>
      <c r="I1087" s="10">
        <f>IFERROR(SUMIFS('Base bordo CD'!M$2:M$875,'Base bordo CD'!D$2:D$875,A1087,'Base bordo CD'!A$2:A$875,B1087,'Base bordo CD'!L$2:L$875,"PARADA POR CONDICOES CLIMATICAS"),0)+IFERROR(SUMIFS('Base bordo CD'!M$2:M$875,'Base bordo CD'!D$2:D$875,A1087,'Base bordo CD'!A$2:A$875,B1087,'Base bordo CD'!L$2:L$875,"TEMPO INDETERMINADO"),0)</f>
        <v>0</v>
      </c>
      <c r="J1087" s="10">
        <f>IFERROR(SUMIFS('Base bordo CD'!M$2:M$875,'Base bordo CD'!D$2:D$875,A1087,'Base bordo CD'!A$2:A$875,B1087,'Base bordo CD'!L$2:L$875,"LIMITAÇÃO INDÚSTRIA"),0)</f>
        <v>0</v>
      </c>
      <c r="K1087" s="10">
        <f>IFERROR(SUMIFS('Base bordo CD'!M$2:M$875,'Base bordo CD'!D$2:D$875,A1087,'Base bordo CD'!A$2:A$875,B1087,'Base bordo CD'!L$2:L$875,"MAN CORRETIVA*"),0)+IFERROR(SUMIFS('Base bordo CD'!M$2:M$875,'Base bordo CD'!D$2:D$875,A1087,'Base bordo CD'!A$2:A$875,B1087,'Base bordo CD'!L$2:L$875,"AGUARDANDO MANUTENCAO*"),0)+IFERROR(SUMIFS('Base bordo CD'!M$2:M$875,'Base bordo CD'!D$2:D$875,A1087,'Base bordo CD'!A$2:A$875,B1087,'Base bordo CD'!L$2:L$875,"TROCA DE FAQUINHA"),0)+IFERROR(SUMIFS('Base bordo CD'!M$2:M$875,'Base bordo CD'!D$2:D$875,A1087,'Base bordo CD'!A$2:A$875,B1087,'Base bordo CD'!L$2:L$875,"LIMPEZA*"),0)</f>
        <v>0</v>
      </c>
      <c r="L1087" s="10">
        <f>IFERROR(SUMIFS('Base bordo CD'!M$2:M$875,'Base bordo CD'!D$2:D$875,A1087,'Base bordo CD'!A$2:A$875,B1087,'Base bordo CD'!L$2:L$875,"PATIO - RESERVA"),0)</f>
        <v>0</v>
      </c>
      <c r="M1087" s="10">
        <f>IFERROR(SUMIFS('Base bordo CD'!M$2:M$875,'Base bordo CD'!D$2:D$875,A1087,'Base bordo CD'!A$2:A$875,B1087,'Base bordo CD'!L$2:L$875,"SEM APONTAMENTO"),0)</f>
        <v>0</v>
      </c>
      <c r="N1087" s="10">
        <f>IFERROR(SUMIFS('Base bordo CD'!M$2:M$875,'Base bordo CD'!D$2:D$875,A1087,'Base bordo CD'!A$2:A$875,B1087,'Base bordo CD'!L$2:L$875,"FALTA DE CAMINHÃO"),0)+IFERROR(SUMIFS('Base bordo CD'!M$2:M$875,'Base bordo CD'!D$2:D$875,A1087,'Base bordo CD'!A$2:A$875,B1087,'Base bordo CD'!L$2:L$875,"FALTA DE COMBUSTIVEL"),0)+IFERROR(SUMIFS('Base bordo CD'!M$2:M$875,'Base bordo CD'!D$2:D$875,A1087,'Base bordo CD'!A$2:A$875,B1087,'Base bordo CD'!L$2:L$875,"FALTA DE MOTORIST*"),0)</f>
        <v>0</v>
      </c>
      <c r="O1087" s="10">
        <f t="shared" si="90"/>
        <v>0</v>
      </c>
      <c r="P1087" s="10">
        <f>IFERROR(SUMIFS('Base bordo CD'!M$2:M$875,'Base bordo CD'!D$2:D$875,A1087,'Base bordo CD'!A$2:A$875,B1087),0)</f>
        <v>0</v>
      </c>
      <c r="Q1087" s="10">
        <f>IFERROR(SUMIFS('Base bordo CD'!O$2:O$875,'Base bordo CD'!D$2:D$875,A1087,'Base bordo CD'!A$2:A$875,B1087,'Base bordo CD'!L$2:L$875,"CORTE DE CANA MECANIZADO"),0)</f>
        <v>0</v>
      </c>
      <c r="R1087" s="10">
        <f>IFERROR(SUMIFS('Base bordo CD'!Q$2:Q$875,'Base bordo CD'!D$2:D$875,A1087,'Base bordo CD'!A$2:A$875,B1087,'Base bordo CD'!L$2:L$875,"CORTE DE CANA MECANIZADO"),0)</f>
        <v>0</v>
      </c>
      <c r="S1087" s="30" t="str">
        <f t="shared" si="91"/>
        <v/>
      </c>
      <c r="T1087" s="9">
        <f t="shared" si="92"/>
        <v>0</v>
      </c>
      <c r="U1087" s="9">
        <f t="shared" si="93"/>
        <v>0</v>
      </c>
      <c r="V1087" s="9">
        <f t="shared" si="94"/>
        <v>0</v>
      </c>
    </row>
    <row r="1088" spans="1:22" hidden="1" x14ac:dyDescent="0.35">
      <c r="A1088" s="52">
        <v>49590</v>
      </c>
      <c r="B1088" s="31">
        <v>46117</v>
      </c>
      <c r="C1088" s="7" t="s">
        <v>321</v>
      </c>
      <c r="D1088" s="7">
        <v>351</v>
      </c>
      <c r="E1088" s="10">
        <f>IFERROR(SUMIFS('Base bordo CD'!M$2:M$875,'Base bordo CD'!D$2:D$875,A1088,'Base bordo CD'!A$2:A$875,B1088,'Base bordo CD'!L$2:L$875,"CORTE DE CANA MECANIZADO"),0)</f>
        <v>0</v>
      </c>
      <c r="F1088" s="10">
        <f>IFERROR(SUMIFS('Base bordo CD'!M$2:M$875,'Base bordo CD'!D$2:D$875,A1088,'Base bordo CD'!A$2:A$875,B1088,'Base bordo CD'!L$2:L$875,"MANOBRA"),0)</f>
        <v>0</v>
      </c>
      <c r="G1088" s="10">
        <f>IFERROR(SUMIFS('Base bordo CD'!M$2:M$875,'Base bordo CD'!D$2:D$875,A1088,'Base bordo CD'!A$2:A$875,B1088,'Base bordo CD'!L$2:L$875,"DESLOCAMENTO"),0)</f>
        <v>0</v>
      </c>
      <c r="H1088" s="10">
        <f>IFERROR(SUMIFS('Base bordo CD'!M$2:M$875,'Base bordo CD'!D$2:D$875,A1088,'Base bordo CD'!A$2:A$875,B1088,'Base bordo CD'!L$2:L$875,"AGUARDANDO MANOBRA DE TRANSBORDO"),0)+IFERROR(SUMIFS('Base bordo CD'!M$2:M$875,'Base bordo CD'!D$2:D$875,A1088,'Base bordo CD'!A$2:A$875,B1088,'Base bordo CD'!L$2:L$875,"FALTA DE TRANSBORDO"),0)</f>
        <v>0</v>
      </c>
      <c r="I1088" s="10">
        <f>IFERROR(SUMIFS('Base bordo CD'!M$2:M$875,'Base bordo CD'!D$2:D$875,A1088,'Base bordo CD'!A$2:A$875,B1088,'Base bordo CD'!L$2:L$875,"PARADA POR CONDICOES CLIMATICAS"),0)+IFERROR(SUMIFS('Base bordo CD'!M$2:M$875,'Base bordo CD'!D$2:D$875,A1088,'Base bordo CD'!A$2:A$875,B1088,'Base bordo CD'!L$2:L$875,"TEMPO INDETERMINADO"),0)</f>
        <v>0</v>
      </c>
      <c r="J1088" s="10">
        <f>IFERROR(SUMIFS('Base bordo CD'!M$2:M$875,'Base bordo CD'!D$2:D$875,A1088,'Base bordo CD'!A$2:A$875,B1088,'Base bordo CD'!L$2:L$875,"LIMITAÇÃO INDÚSTRIA"),0)</f>
        <v>0</v>
      </c>
      <c r="K1088" s="10">
        <f>IFERROR(SUMIFS('Base bordo CD'!M$2:M$875,'Base bordo CD'!D$2:D$875,A1088,'Base bordo CD'!A$2:A$875,B1088,'Base bordo CD'!L$2:L$875,"MAN CORRETIVA*"),0)+IFERROR(SUMIFS('Base bordo CD'!M$2:M$875,'Base bordo CD'!D$2:D$875,A1088,'Base bordo CD'!A$2:A$875,B1088,'Base bordo CD'!L$2:L$875,"AGUARDANDO MANUTENCAO*"),0)+IFERROR(SUMIFS('Base bordo CD'!M$2:M$875,'Base bordo CD'!D$2:D$875,A1088,'Base bordo CD'!A$2:A$875,B1088,'Base bordo CD'!L$2:L$875,"TROCA DE FAQUINHA"),0)+IFERROR(SUMIFS('Base bordo CD'!M$2:M$875,'Base bordo CD'!D$2:D$875,A1088,'Base bordo CD'!A$2:A$875,B1088,'Base bordo CD'!L$2:L$875,"LIMPEZA*"),0)</f>
        <v>0</v>
      </c>
      <c r="L1088" s="10">
        <f>IFERROR(SUMIFS('Base bordo CD'!M$2:M$875,'Base bordo CD'!D$2:D$875,A1088,'Base bordo CD'!A$2:A$875,B1088,'Base bordo CD'!L$2:L$875,"PATIO - RESERVA"),0)</f>
        <v>0</v>
      </c>
      <c r="M1088" s="10">
        <f>IFERROR(SUMIFS('Base bordo CD'!M$2:M$875,'Base bordo CD'!D$2:D$875,A1088,'Base bordo CD'!A$2:A$875,B1088,'Base bordo CD'!L$2:L$875,"SEM APONTAMENTO"),0)</f>
        <v>0</v>
      </c>
      <c r="N1088" s="10">
        <f>IFERROR(SUMIFS('Base bordo CD'!M$2:M$875,'Base bordo CD'!D$2:D$875,A1088,'Base bordo CD'!A$2:A$875,B1088,'Base bordo CD'!L$2:L$875,"FALTA DE CAMINHÃO"),0)+IFERROR(SUMIFS('Base bordo CD'!M$2:M$875,'Base bordo CD'!D$2:D$875,A1088,'Base bordo CD'!A$2:A$875,B1088,'Base bordo CD'!L$2:L$875,"FALTA DE COMBUSTIVEL"),0)+IFERROR(SUMIFS('Base bordo CD'!M$2:M$875,'Base bordo CD'!D$2:D$875,A1088,'Base bordo CD'!A$2:A$875,B1088,'Base bordo CD'!L$2:L$875,"FALTA DE MOTORIST*"),0)</f>
        <v>0</v>
      </c>
      <c r="O1088" s="10">
        <f t="shared" si="90"/>
        <v>0</v>
      </c>
      <c r="P1088" s="10">
        <f>IFERROR(SUMIFS('Base bordo CD'!M$2:M$875,'Base bordo CD'!D$2:D$875,A1088,'Base bordo CD'!A$2:A$875,B1088),0)</f>
        <v>0</v>
      </c>
      <c r="Q1088" s="10">
        <f>IFERROR(SUMIFS('Base bordo CD'!O$2:O$875,'Base bordo CD'!D$2:D$875,A1088,'Base bordo CD'!A$2:A$875,B1088,'Base bordo CD'!L$2:L$875,"CORTE DE CANA MECANIZADO"),0)</f>
        <v>0</v>
      </c>
      <c r="R1088" s="10">
        <f>IFERROR(SUMIFS('Base bordo CD'!Q$2:Q$875,'Base bordo CD'!D$2:D$875,A1088,'Base bordo CD'!A$2:A$875,B1088,'Base bordo CD'!L$2:L$875,"CORTE DE CANA MECANIZADO"),0)</f>
        <v>0</v>
      </c>
      <c r="S1088" s="30" t="str">
        <f t="shared" si="91"/>
        <v/>
      </c>
      <c r="T1088" s="9">
        <f t="shared" si="92"/>
        <v>0</v>
      </c>
      <c r="U1088" s="9">
        <f t="shared" si="93"/>
        <v>0</v>
      </c>
      <c r="V1088" s="9">
        <f t="shared" si="94"/>
        <v>0</v>
      </c>
    </row>
    <row r="1089" spans="1:22" hidden="1" x14ac:dyDescent="0.35">
      <c r="A1089" s="52">
        <v>49590</v>
      </c>
      <c r="B1089" s="31">
        <v>46117</v>
      </c>
      <c r="C1089" s="7" t="s">
        <v>321</v>
      </c>
      <c r="D1089" s="7">
        <v>351</v>
      </c>
      <c r="E1089" s="10">
        <f>IFERROR(SUMIFS('Base bordo CD'!M$2:M$875,'Base bordo CD'!D$2:D$875,A1089,'Base bordo CD'!A$2:A$875,B1089,'Base bordo CD'!L$2:L$875,"CORTE DE CANA MECANIZADO"),0)</f>
        <v>0</v>
      </c>
      <c r="F1089" s="10">
        <f>IFERROR(SUMIFS('Base bordo CD'!M$2:M$875,'Base bordo CD'!D$2:D$875,A1089,'Base bordo CD'!A$2:A$875,B1089,'Base bordo CD'!L$2:L$875,"MANOBRA"),0)</f>
        <v>0</v>
      </c>
      <c r="G1089" s="10">
        <f>IFERROR(SUMIFS('Base bordo CD'!M$2:M$875,'Base bordo CD'!D$2:D$875,A1089,'Base bordo CD'!A$2:A$875,B1089,'Base bordo CD'!L$2:L$875,"DESLOCAMENTO"),0)</f>
        <v>0</v>
      </c>
      <c r="H1089" s="10">
        <f>IFERROR(SUMIFS('Base bordo CD'!M$2:M$875,'Base bordo CD'!D$2:D$875,A1089,'Base bordo CD'!A$2:A$875,B1089,'Base bordo CD'!L$2:L$875,"AGUARDANDO MANOBRA DE TRANSBORDO"),0)+IFERROR(SUMIFS('Base bordo CD'!M$2:M$875,'Base bordo CD'!D$2:D$875,A1089,'Base bordo CD'!A$2:A$875,B1089,'Base bordo CD'!L$2:L$875,"FALTA DE TRANSBORDO"),0)</f>
        <v>0</v>
      </c>
      <c r="I1089" s="10">
        <f>IFERROR(SUMIFS('Base bordo CD'!M$2:M$875,'Base bordo CD'!D$2:D$875,A1089,'Base bordo CD'!A$2:A$875,B1089,'Base bordo CD'!L$2:L$875,"PARADA POR CONDICOES CLIMATICAS"),0)+IFERROR(SUMIFS('Base bordo CD'!M$2:M$875,'Base bordo CD'!D$2:D$875,A1089,'Base bordo CD'!A$2:A$875,B1089,'Base bordo CD'!L$2:L$875,"TEMPO INDETERMINADO"),0)</f>
        <v>0</v>
      </c>
      <c r="J1089" s="10">
        <f>IFERROR(SUMIFS('Base bordo CD'!M$2:M$875,'Base bordo CD'!D$2:D$875,A1089,'Base bordo CD'!A$2:A$875,B1089,'Base bordo CD'!L$2:L$875,"LIMITAÇÃO INDÚSTRIA"),0)</f>
        <v>0</v>
      </c>
      <c r="K1089" s="10">
        <f>IFERROR(SUMIFS('Base bordo CD'!M$2:M$875,'Base bordo CD'!D$2:D$875,A1089,'Base bordo CD'!A$2:A$875,B1089,'Base bordo CD'!L$2:L$875,"MAN CORRETIVA*"),0)+IFERROR(SUMIFS('Base bordo CD'!M$2:M$875,'Base bordo CD'!D$2:D$875,A1089,'Base bordo CD'!A$2:A$875,B1089,'Base bordo CD'!L$2:L$875,"AGUARDANDO MANUTENCAO*"),0)+IFERROR(SUMIFS('Base bordo CD'!M$2:M$875,'Base bordo CD'!D$2:D$875,A1089,'Base bordo CD'!A$2:A$875,B1089,'Base bordo CD'!L$2:L$875,"TROCA DE FAQUINHA"),0)+IFERROR(SUMIFS('Base bordo CD'!M$2:M$875,'Base bordo CD'!D$2:D$875,A1089,'Base bordo CD'!A$2:A$875,B1089,'Base bordo CD'!L$2:L$875,"LIMPEZA*"),0)</f>
        <v>0</v>
      </c>
      <c r="L1089" s="10">
        <f>IFERROR(SUMIFS('Base bordo CD'!M$2:M$875,'Base bordo CD'!D$2:D$875,A1089,'Base bordo CD'!A$2:A$875,B1089,'Base bordo CD'!L$2:L$875,"PATIO - RESERVA"),0)</f>
        <v>0</v>
      </c>
      <c r="M1089" s="10">
        <f>IFERROR(SUMIFS('Base bordo CD'!M$2:M$875,'Base bordo CD'!D$2:D$875,A1089,'Base bordo CD'!A$2:A$875,B1089,'Base bordo CD'!L$2:L$875,"SEM APONTAMENTO"),0)</f>
        <v>0</v>
      </c>
      <c r="N1089" s="10">
        <f>IFERROR(SUMIFS('Base bordo CD'!M$2:M$875,'Base bordo CD'!D$2:D$875,A1089,'Base bordo CD'!A$2:A$875,B1089,'Base bordo CD'!L$2:L$875,"FALTA DE CAMINHÃO"),0)+IFERROR(SUMIFS('Base bordo CD'!M$2:M$875,'Base bordo CD'!D$2:D$875,A1089,'Base bordo CD'!A$2:A$875,B1089,'Base bordo CD'!L$2:L$875,"FALTA DE COMBUSTIVEL"),0)+IFERROR(SUMIFS('Base bordo CD'!M$2:M$875,'Base bordo CD'!D$2:D$875,A1089,'Base bordo CD'!A$2:A$875,B1089,'Base bordo CD'!L$2:L$875,"FALTA DE MOTORIST*"),0)</f>
        <v>0</v>
      </c>
      <c r="O1089" s="10">
        <f t="shared" si="90"/>
        <v>0</v>
      </c>
      <c r="P1089" s="10">
        <f>IFERROR(SUMIFS('Base bordo CD'!M$2:M$875,'Base bordo CD'!D$2:D$875,A1089,'Base bordo CD'!A$2:A$875,B1089),0)</f>
        <v>0</v>
      </c>
      <c r="Q1089" s="10">
        <f>IFERROR(SUMIFS('Base bordo CD'!O$2:O$875,'Base bordo CD'!D$2:D$875,A1089,'Base bordo CD'!A$2:A$875,B1089,'Base bordo CD'!L$2:L$875,"CORTE DE CANA MECANIZADO"),0)</f>
        <v>0</v>
      </c>
      <c r="R1089" s="10">
        <f>IFERROR(SUMIFS('Base bordo CD'!Q$2:Q$875,'Base bordo CD'!D$2:D$875,A1089,'Base bordo CD'!A$2:A$875,B1089,'Base bordo CD'!L$2:L$875,"CORTE DE CANA MECANIZADO"),0)</f>
        <v>0</v>
      </c>
      <c r="S1089" s="30" t="str">
        <f t="shared" si="91"/>
        <v/>
      </c>
      <c r="T1089" s="9">
        <f t="shared" si="92"/>
        <v>0</v>
      </c>
      <c r="U1089" s="9">
        <f t="shared" si="93"/>
        <v>0</v>
      </c>
      <c r="V1089" s="9">
        <f t="shared" si="94"/>
        <v>0</v>
      </c>
    </row>
    <row r="1090" spans="1:22" hidden="1" x14ac:dyDescent="0.35">
      <c r="A1090" s="52">
        <v>49590</v>
      </c>
      <c r="B1090" s="31">
        <v>46117</v>
      </c>
      <c r="C1090" s="7" t="s">
        <v>321</v>
      </c>
      <c r="D1090" s="7">
        <v>351</v>
      </c>
      <c r="E1090" s="10">
        <f>IFERROR(SUMIFS('Base bordo CD'!M$2:M$875,'Base bordo CD'!D$2:D$875,A1090,'Base bordo CD'!A$2:A$875,B1090,'Base bordo CD'!L$2:L$875,"CORTE DE CANA MECANIZADO"),0)</f>
        <v>0</v>
      </c>
      <c r="F1090" s="10">
        <f>IFERROR(SUMIFS('Base bordo CD'!M$2:M$875,'Base bordo CD'!D$2:D$875,A1090,'Base bordo CD'!A$2:A$875,B1090,'Base bordo CD'!L$2:L$875,"MANOBRA"),0)</f>
        <v>0</v>
      </c>
      <c r="G1090" s="10">
        <f>IFERROR(SUMIFS('Base bordo CD'!M$2:M$875,'Base bordo CD'!D$2:D$875,A1090,'Base bordo CD'!A$2:A$875,B1090,'Base bordo CD'!L$2:L$875,"DESLOCAMENTO"),0)</f>
        <v>0</v>
      </c>
      <c r="H1090" s="10">
        <f>IFERROR(SUMIFS('Base bordo CD'!M$2:M$875,'Base bordo CD'!D$2:D$875,A1090,'Base bordo CD'!A$2:A$875,B1090,'Base bordo CD'!L$2:L$875,"AGUARDANDO MANOBRA DE TRANSBORDO"),0)+IFERROR(SUMIFS('Base bordo CD'!M$2:M$875,'Base bordo CD'!D$2:D$875,A1090,'Base bordo CD'!A$2:A$875,B1090,'Base bordo CD'!L$2:L$875,"FALTA DE TRANSBORDO"),0)</f>
        <v>0</v>
      </c>
      <c r="I1090" s="10">
        <f>IFERROR(SUMIFS('Base bordo CD'!M$2:M$875,'Base bordo CD'!D$2:D$875,A1090,'Base bordo CD'!A$2:A$875,B1090,'Base bordo CD'!L$2:L$875,"PARADA POR CONDICOES CLIMATICAS"),0)+IFERROR(SUMIFS('Base bordo CD'!M$2:M$875,'Base bordo CD'!D$2:D$875,A1090,'Base bordo CD'!A$2:A$875,B1090,'Base bordo CD'!L$2:L$875,"TEMPO INDETERMINADO"),0)</f>
        <v>0</v>
      </c>
      <c r="J1090" s="10">
        <f>IFERROR(SUMIFS('Base bordo CD'!M$2:M$875,'Base bordo CD'!D$2:D$875,A1090,'Base bordo CD'!A$2:A$875,B1090,'Base bordo CD'!L$2:L$875,"LIMITAÇÃO INDÚSTRIA"),0)</f>
        <v>0</v>
      </c>
      <c r="K1090" s="10">
        <f>IFERROR(SUMIFS('Base bordo CD'!M$2:M$875,'Base bordo CD'!D$2:D$875,A1090,'Base bordo CD'!A$2:A$875,B1090,'Base bordo CD'!L$2:L$875,"MAN CORRETIVA*"),0)+IFERROR(SUMIFS('Base bordo CD'!M$2:M$875,'Base bordo CD'!D$2:D$875,A1090,'Base bordo CD'!A$2:A$875,B1090,'Base bordo CD'!L$2:L$875,"AGUARDANDO MANUTENCAO*"),0)+IFERROR(SUMIFS('Base bordo CD'!M$2:M$875,'Base bordo CD'!D$2:D$875,A1090,'Base bordo CD'!A$2:A$875,B1090,'Base bordo CD'!L$2:L$875,"TROCA DE FAQUINHA"),0)+IFERROR(SUMIFS('Base bordo CD'!M$2:M$875,'Base bordo CD'!D$2:D$875,A1090,'Base bordo CD'!A$2:A$875,B1090,'Base bordo CD'!L$2:L$875,"LIMPEZA*"),0)</f>
        <v>0</v>
      </c>
      <c r="L1090" s="10">
        <f>IFERROR(SUMIFS('Base bordo CD'!M$2:M$875,'Base bordo CD'!D$2:D$875,A1090,'Base bordo CD'!A$2:A$875,B1090,'Base bordo CD'!L$2:L$875,"PATIO - RESERVA"),0)</f>
        <v>0</v>
      </c>
      <c r="M1090" s="10">
        <f>IFERROR(SUMIFS('Base bordo CD'!M$2:M$875,'Base bordo CD'!D$2:D$875,A1090,'Base bordo CD'!A$2:A$875,B1090,'Base bordo CD'!L$2:L$875,"SEM APONTAMENTO"),0)</f>
        <v>0</v>
      </c>
      <c r="N1090" s="10">
        <f>IFERROR(SUMIFS('Base bordo CD'!M$2:M$875,'Base bordo CD'!D$2:D$875,A1090,'Base bordo CD'!A$2:A$875,B1090,'Base bordo CD'!L$2:L$875,"FALTA DE CAMINHÃO"),0)+IFERROR(SUMIFS('Base bordo CD'!M$2:M$875,'Base bordo CD'!D$2:D$875,A1090,'Base bordo CD'!A$2:A$875,B1090,'Base bordo CD'!L$2:L$875,"FALTA DE COMBUSTIVEL"),0)+IFERROR(SUMIFS('Base bordo CD'!M$2:M$875,'Base bordo CD'!D$2:D$875,A1090,'Base bordo CD'!A$2:A$875,B1090,'Base bordo CD'!L$2:L$875,"FALTA DE MOTORIST*"),0)</f>
        <v>0</v>
      </c>
      <c r="O1090" s="10">
        <f t="shared" si="90"/>
        <v>0</v>
      </c>
      <c r="P1090" s="10">
        <f>IFERROR(SUMIFS('Base bordo CD'!M$2:M$875,'Base bordo CD'!D$2:D$875,A1090,'Base bordo CD'!A$2:A$875,B1090),0)</f>
        <v>0</v>
      </c>
      <c r="Q1090" s="10">
        <f>IFERROR(SUMIFS('Base bordo CD'!O$2:O$875,'Base bordo CD'!D$2:D$875,A1090,'Base bordo CD'!A$2:A$875,B1090,'Base bordo CD'!L$2:L$875,"CORTE DE CANA MECANIZADO"),0)</f>
        <v>0</v>
      </c>
      <c r="R1090" s="10">
        <f>IFERROR(SUMIFS('Base bordo CD'!Q$2:Q$875,'Base bordo CD'!D$2:D$875,A1090,'Base bordo CD'!A$2:A$875,B1090,'Base bordo CD'!L$2:L$875,"CORTE DE CANA MECANIZADO"),0)</f>
        <v>0</v>
      </c>
      <c r="S1090" s="30" t="str">
        <f t="shared" si="91"/>
        <v/>
      </c>
      <c r="T1090" s="9">
        <f t="shared" si="92"/>
        <v>0</v>
      </c>
      <c r="U1090" s="9">
        <f t="shared" si="93"/>
        <v>0</v>
      </c>
      <c r="V1090" s="9">
        <f t="shared" si="94"/>
        <v>0</v>
      </c>
    </row>
    <row r="1091" spans="1:22" hidden="1" x14ac:dyDescent="0.35">
      <c r="A1091" s="52">
        <v>49590</v>
      </c>
      <c r="B1091" s="31">
        <v>46117</v>
      </c>
      <c r="C1091" s="7" t="s">
        <v>321</v>
      </c>
      <c r="D1091" s="7">
        <v>351</v>
      </c>
      <c r="E1091" s="10">
        <f>IFERROR(SUMIFS('Base bordo CD'!M$2:M$875,'Base bordo CD'!D$2:D$875,A1091,'Base bordo CD'!A$2:A$875,B1091,'Base bordo CD'!L$2:L$875,"CORTE DE CANA MECANIZADO"),0)</f>
        <v>0</v>
      </c>
      <c r="F1091" s="10">
        <f>IFERROR(SUMIFS('Base bordo CD'!M$2:M$875,'Base bordo CD'!D$2:D$875,A1091,'Base bordo CD'!A$2:A$875,B1091,'Base bordo CD'!L$2:L$875,"MANOBRA"),0)</f>
        <v>0</v>
      </c>
      <c r="G1091" s="10">
        <f>IFERROR(SUMIFS('Base bordo CD'!M$2:M$875,'Base bordo CD'!D$2:D$875,A1091,'Base bordo CD'!A$2:A$875,B1091,'Base bordo CD'!L$2:L$875,"DESLOCAMENTO"),0)</f>
        <v>0</v>
      </c>
      <c r="H1091" s="10">
        <f>IFERROR(SUMIFS('Base bordo CD'!M$2:M$875,'Base bordo CD'!D$2:D$875,A1091,'Base bordo CD'!A$2:A$875,B1091,'Base bordo CD'!L$2:L$875,"AGUARDANDO MANOBRA DE TRANSBORDO"),0)+IFERROR(SUMIFS('Base bordo CD'!M$2:M$875,'Base bordo CD'!D$2:D$875,A1091,'Base bordo CD'!A$2:A$875,B1091,'Base bordo CD'!L$2:L$875,"FALTA DE TRANSBORDO"),0)</f>
        <v>0</v>
      </c>
      <c r="I1091" s="10">
        <f>IFERROR(SUMIFS('Base bordo CD'!M$2:M$875,'Base bordo CD'!D$2:D$875,A1091,'Base bordo CD'!A$2:A$875,B1091,'Base bordo CD'!L$2:L$875,"PARADA POR CONDICOES CLIMATICAS"),0)+IFERROR(SUMIFS('Base bordo CD'!M$2:M$875,'Base bordo CD'!D$2:D$875,A1091,'Base bordo CD'!A$2:A$875,B1091,'Base bordo CD'!L$2:L$875,"TEMPO INDETERMINADO"),0)</f>
        <v>0</v>
      </c>
      <c r="J1091" s="10">
        <f>IFERROR(SUMIFS('Base bordo CD'!M$2:M$875,'Base bordo CD'!D$2:D$875,A1091,'Base bordo CD'!A$2:A$875,B1091,'Base bordo CD'!L$2:L$875,"LIMITAÇÃO INDÚSTRIA"),0)</f>
        <v>0</v>
      </c>
      <c r="K1091" s="10">
        <f>IFERROR(SUMIFS('Base bordo CD'!M$2:M$875,'Base bordo CD'!D$2:D$875,A1091,'Base bordo CD'!A$2:A$875,B1091,'Base bordo CD'!L$2:L$875,"MAN CORRETIVA*"),0)+IFERROR(SUMIFS('Base bordo CD'!M$2:M$875,'Base bordo CD'!D$2:D$875,A1091,'Base bordo CD'!A$2:A$875,B1091,'Base bordo CD'!L$2:L$875,"AGUARDANDO MANUTENCAO*"),0)+IFERROR(SUMIFS('Base bordo CD'!M$2:M$875,'Base bordo CD'!D$2:D$875,A1091,'Base bordo CD'!A$2:A$875,B1091,'Base bordo CD'!L$2:L$875,"TROCA DE FAQUINHA"),0)+IFERROR(SUMIFS('Base bordo CD'!M$2:M$875,'Base bordo CD'!D$2:D$875,A1091,'Base bordo CD'!A$2:A$875,B1091,'Base bordo CD'!L$2:L$875,"LIMPEZA*"),0)</f>
        <v>0</v>
      </c>
      <c r="L1091" s="10">
        <f>IFERROR(SUMIFS('Base bordo CD'!M$2:M$875,'Base bordo CD'!D$2:D$875,A1091,'Base bordo CD'!A$2:A$875,B1091,'Base bordo CD'!L$2:L$875,"PATIO - RESERVA"),0)</f>
        <v>0</v>
      </c>
      <c r="M1091" s="10">
        <f>IFERROR(SUMIFS('Base bordo CD'!M$2:M$875,'Base bordo CD'!D$2:D$875,A1091,'Base bordo CD'!A$2:A$875,B1091,'Base bordo CD'!L$2:L$875,"SEM APONTAMENTO"),0)</f>
        <v>0</v>
      </c>
      <c r="N1091" s="10">
        <f>IFERROR(SUMIFS('Base bordo CD'!M$2:M$875,'Base bordo CD'!D$2:D$875,A1091,'Base bordo CD'!A$2:A$875,B1091,'Base bordo CD'!L$2:L$875,"FALTA DE CAMINHÃO"),0)+IFERROR(SUMIFS('Base bordo CD'!M$2:M$875,'Base bordo CD'!D$2:D$875,A1091,'Base bordo CD'!A$2:A$875,B1091,'Base bordo CD'!L$2:L$875,"FALTA DE COMBUSTIVEL"),0)+IFERROR(SUMIFS('Base bordo CD'!M$2:M$875,'Base bordo CD'!D$2:D$875,A1091,'Base bordo CD'!A$2:A$875,B1091,'Base bordo CD'!L$2:L$875,"FALTA DE MOTORIST*"),0)</f>
        <v>0</v>
      </c>
      <c r="O1091" s="10">
        <f t="shared" si="90"/>
        <v>0</v>
      </c>
      <c r="P1091" s="10">
        <f>IFERROR(SUMIFS('Base bordo CD'!M$2:M$875,'Base bordo CD'!D$2:D$875,A1091,'Base bordo CD'!A$2:A$875,B1091),0)</f>
        <v>0</v>
      </c>
      <c r="Q1091" s="10">
        <f>IFERROR(SUMIFS('Base bordo CD'!O$2:O$875,'Base bordo CD'!D$2:D$875,A1091,'Base bordo CD'!A$2:A$875,B1091,'Base bordo CD'!L$2:L$875,"CORTE DE CANA MECANIZADO"),0)</f>
        <v>0</v>
      </c>
      <c r="R1091" s="10">
        <f>IFERROR(SUMIFS('Base bordo CD'!Q$2:Q$875,'Base bordo CD'!D$2:D$875,A1091,'Base bordo CD'!A$2:A$875,B1091,'Base bordo CD'!L$2:L$875,"CORTE DE CANA MECANIZADO"),0)</f>
        <v>0</v>
      </c>
      <c r="S1091" s="30" t="str">
        <f t="shared" si="91"/>
        <v/>
      </c>
      <c r="T1091" s="9">
        <f t="shared" si="92"/>
        <v>0</v>
      </c>
      <c r="U1091" s="9">
        <f t="shared" si="93"/>
        <v>0</v>
      </c>
      <c r="V1091" s="9">
        <f t="shared" si="94"/>
        <v>0</v>
      </c>
    </row>
    <row r="1092" spans="1:22" hidden="1" x14ac:dyDescent="0.35">
      <c r="A1092" s="52">
        <v>49590</v>
      </c>
      <c r="B1092" s="31">
        <v>46117</v>
      </c>
      <c r="C1092" s="7" t="s">
        <v>321</v>
      </c>
      <c r="D1092" s="7">
        <v>351</v>
      </c>
      <c r="E1092" s="10">
        <f>IFERROR(SUMIFS('Base bordo CD'!M$2:M$875,'Base bordo CD'!D$2:D$875,A1092,'Base bordo CD'!A$2:A$875,B1092,'Base bordo CD'!L$2:L$875,"CORTE DE CANA MECANIZADO"),0)</f>
        <v>0</v>
      </c>
      <c r="F1092" s="10">
        <f>IFERROR(SUMIFS('Base bordo CD'!M$2:M$875,'Base bordo CD'!D$2:D$875,A1092,'Base bordo CD'!A$2:A$875,B1092,'Base bordo CD'!L$2:L$875,"MANOBRA"),0)</f>
        <v>0</v>
      </c>
      <c r="G1092" s="10">
        <f>IFERROR(SUMIFS('Base bordo CD'!M$2:M$875,'Base bordo CD'!D$2:D$875,A1092,'Base bordo CD'!A$2:A$875,B1092,'Base bordo CD'!L$2:L$875,"DESLOCAMENTO"),0)</f>
        <v>0</v>
      </c>
      <c r="H1092" s="10">
        <f>IFERROR(SUMIFS('Base bordo CD'!M$2:M$875,'Base bordo CD'!D$2:D$875,A1092,'Base bordo CD'!A$2:A$875,B1092,'Base bordo CD'!L$2:L$875,"AGUARDANDO MANOBRA DE TRANSBORDO"),0)+IFERROR(SUMIFS('Base bordo CD'!M$2:M$875,'Base bordo CD'!D$2:D$875,A1092,'Base bordo CD'!A$2:A$875,B1092,'Base bordo CD'!L$2:L$875,"FALTA DE TRANSBORDO"),0)</f>
        <v>0</v>
      </c>
      <c r="I1092" s="10">
        <f>IFERROR(SUMIFS('Base bordo CD'!M$2:M$875,'Base bordo CD'!D$2:D$875,A1092,'Base bordo CD'!A$2:A$875,B1092,'Base bordo CD'!L$2:L$875,"PARADA POR CONDICOES CLIMATICAS"),0)+IFERROR(SUMIFS('Base bordo CD'!M$2:M$875,'Base bordo CD'!D$2:D$875,A1092,'Base bordo CD'!A$2:A$875,B1092,'Base bordo CD'!L$2:L$875,"TEMPO INDETERMINADO"),0)</f>
        <v>0</v>
      </c>
      <c r="J1092" s="10">
        <f>IFERROR(SUMIFS('Base bordo CD'!M$2:M$875,'Base bordo CD'!D$2:D$875,A1092,'Base bordo CD'!A$2:A$875,B1092,'Base bordo CD'!L$2:L$875,"LIMITAÇÃO INDÚSTRIA"),0)</f>
        <v>0</v>
      </c>
      <c r="K1092" s="10">
        <f>IFERROR(SUMIFS('Base bordo CD'!M$2:M$875,'Base bordo CD'!D$2:D$875,A1092,'Base bordo CD'!A$2:A$875,B1092,'Base bordo CD'!L$2:L$875,"MAN CORRETIVA*"),0)+IFERROR(SUMIFS('Base bordo CD'!M$2:M$875,'Base bordo CD'!D$2:D$875,A1092,'Base bordo CD'!A$2:A$875,B1092,'Base bordo CD'!L$2:L$875,"AGUARDANDO MANUTENCAO*"),0)+IFERROR(SUMIFS('Base bordo CD'!M$2:M$875,'Base bordo CD'!D$2:D$875,A1092,'Base bordo CD'!A$2:A$875,B1092,'Base bordo CD'!L$2:L$875,"TROCA DE FAQUINHA"),0)+IFERROR(SUMIFS('Base bordo CD'!M$2:M$875,'Base bordo CD'!D$2:D$875,A1092,'Base bordo CD'!A$2:A$875,B1092,'Base bordo CD'!L$2:L$875,"LIMPEZA*"),0)</f>
        <v>0</v>
      </c>
      <c r="L1092" s="10">
        <f>IFERROR(SUMIFS('Base bordo CD'!M$2:M$875,'Base bordo CD'!D$2:D$875,A1092,'Base bordo CD'!A$2:A$875,B1092,'Base bordo CD'!L$2:L$875,"PATIO - RESERVA"),0)</f>
        <v>0</v>
      </c>
      <c r="M1092" s="10">
        <f>IFERROR(SUMIFS('Base bordo CD'!M$2:M$875,'Base bordo CD'!D$2:D$875,A1092,'Base bordo CD'!A$2:A$875,B1092,'Base bordo CD'!L$2:L$875,"SEM APONTAMENTO"),0)</f>
        <v>0</v>
      </c>
      <c r="N1092" s="10">
        <f>IFERROR(SUMIFS('Base bordo CD'!M$2:M$875,'Base bordo CD'!D$2:D$875,A1092,'Base bordo CD'!A$2:A$875,B1092,'Base bordo CD'!L$2:L$875,"FALTA DE CAMINHÃO"),0)+IFERROR(SUMIFS('Base bordo CD'!M$2:M$875,'Base bordo CD'!D$2:D$875,A1092,'Base bordo CD'!A$2:A$875,B1092,'Base bordo CD'!L$2:L$875,"FALTA DE COMBUSTIVEL"),0)+IFERROR(SUMIFS('Base bordo CD'!M$2:M$875,'Base bordo CD'!D$2:D$875,A1092,'Base bordo CD'!A$2:A$875,B1092,'Base bordo CD'!L$2:L$875,"FALTA DE MOTORIST*"),0)</f>
        <v>0</v>
      </c>
      <c r="O1092" s="10">
        <f t="shared" si="90"/>
        <v>0</v>
      </c>
      <c r="P1092" s="10">
        <f>IFERROR(SUMIFS('Base bordo CD'!M$2:M$875,'Base bordo CD'!D$2:D$875,A1092,'Base bordo CD'!A$2:A$875,B1092),0)</f>
        <v>0</v>
      </c>
      <c r="Q1092" s="10">
        <f>IFERROR(SUMIFS('Base bordo CD'!O$2:O$875,'Base bordo CD'!D$2:D$875,A1092,'Base bordo CD'!A$2:A$875,B1092,'Base bordo CD'!L$2:L$875,"CORTE DE CANA MECANIZADO"),0)</f>
        <v>0</v>
      </c>
      <c r="R1092" s="10">
        <f>IFERROR(SUMIFS('Base bordo CD'!Q$2:Q$875,'Base bordo CD'!D$2:D$875,A1092,'Base bordo CD'!A$2:A$875,B1092,'Base bordo CD'!L$2:L$875,"CORTE DE CANA MECANIZADO"),0)</f>
        <v>0</v>
      </c>
      <c r="S1092" s="30" t="str">
        <f t="shared" si="91"/>
        <v/>
      </c>
      <c r="T1092" s="9">
        <f t="shared" si="92"/>
        <v>0</v>
      </c>
      <c r="U1092" s="9">
        <f t="shared" si="93"/>
        <v>0</v>
      </c>
      <c r="V1092" s="9">
        <f t="shared" si="94"/>
        <v>0</v>
      </c>
    </row>
    <row r="1093" spans="1:22" hidden="1" x14ac:dyDescent="0.35">
      <c r="A1093" s="52">
        <v>49590</v>
      </c>
      <c r="B1093" s="31">
        <v>46117</v>
      </c>
      <c r="C1093" s="7" t="s">
        <v>321</v>
      </c>
      <c r="D1093" s="7">
        <v>351</v>
      </c>
      <c r="E1093" s="10">
        <f>IFERROR(SUMIFS('Base bordo CD'!M$2:M$875,'Base bordo CD'!D$2:D$875,A1093,'Base bordo CD'!A$2:A$875,B1093,'Base bordo CD'!L$2:L$875,"CORTE DE CANA MECANIZADO"),0)</f>
        <v>0</v>
      </c>
      <c r="F1093" s="10">
        <f>IFERROR(SUMIFS('Base bordo CD'!M$2:M$875,'Base bordo CD'!D$2:D$875,A1093,'Base bordo CD'!A$2:A$875,B1093,'Base bordo CD'!L$2:L$875,"MANOBRA"),0)</f>
        <v>0</v>
      </c>
      <c r="G1093" s="10">
        <f>IFERROR(SUMIFS('Base bordo CD'!M$2:M$875,'Base bordo CD'!D$2:D$875,A1093,'Base bordo CD'!A$2:A$875,B1093,'Base bordo CD'!L$2:L$875,"DESLOCAMENTO"),0)</f>
        <v>0</v>
      </c>
      <c r="H1093" s="10">
        <f>IFERROR(SUMIFS('Base bordo CD'!M$2:M$875,'Base bordo CD'!D$2:D$875,A1093,'Base bordo CD'!A$2:A$875,B1093,'Base bordo CD'!L$2:L$875,"AGUARDANDO MANOBRA DE TRANSBORDO"),0)+IFERROR(SUMIFS('Base bordo CD'!M$2:M$875,'Base bordo CD'!D$2:D$875,A1093,'Base bordo CD'!A$2:A$875,B1093,'Base bordo CD'!L$2:L$875,"FALTA DE TRANSBORDO"),0)</f>
        <v>0</v>
      </c>
      <c r="I1093" s="10">
        <f>IFERROR(SUMIFS('Base bordo CD'!M$2:M$875,'Base bordo CD'!D$2:D$875,A1093,'Base bordo CD'!A$2:A$875,B1093,'Base bordo CD'!L$2:L$875,"PARADA POR CONDICOES CLIMATICAS"),0)+IFERROR(SUMIFS('Base bordo CD'!M$2:M$875,'Base bordo CD'!D$2:D$875,A1093,'Base bordo CD'!A$2:A$875,B1093,'Base bordo CD'!L$2:L$875,"TEMPO INDETERMINADO"),0)</f>
        <v>0</v>
      </c>
      <c r="J1093" s="10">
        <f>IFERROR(SUMIFS('Base bordo CD'!M$2:M$875,'Base bordo CD'!D$2:D$875,A1093,'Base bordo CD'!A$2:A$875,B1093,'Base bordo CD'!L$2:L$875,"LIMITAÇÃO INDÚSTRIA"),0)</f>
        <v>0</v>
      </c>
      <c r="K1093" s="10">
        <f>IFERROR(SUMIFS('Base bordo CD'!M$2:M$875,'Base bordo CD'!D$2:D$875,A1093,'Base bordo CD'!A$2:A$875,B1093,'Base bordo CD'!L$2:L$875,"MAN CORRETIVA*"),0)+IFERROR(SUMIFS('Base bordo CD'!M$2:M$875,'Base bordo CD'!D$2:D$875,A1093,'Base bordo CD'!A$2:A$875,B1093,'Base bordo CD'!L$2:L$875,"AGUARDANDO MANUTENCAO*"),0)+IFERROR(SUMIFS('Base bordo CD'!M$2:M$875,'Base bordo CD'!D$2:D$875,A1093,'Base bordo CD'!A$2:A$875,B1093,'Base bordo CD'!L$2:L$875,"TROCA DE FAQUINHA"),0)+IFERROR(SUMIFS('Base bordo CD'!M$2:M$875,'Base bordo CD'!D$2:D$875,A1093,'Base bordo CD'!A$2:A$875,B1093,'Base bordo CD'!L$2:L$875,"LIMPEZA*"),0)</f>
        <v>0</v>
      </c>
      <c r="L1093" s="10">
        <f>IFERROR(SUMIFS('Base bordo CD'!M$2:M$875,'Base bordo CD'!D$2:D$875,A1093,'Base bordo CD'!A$2:A$875,B1093,'Base bordo CD'!L$2:L$875,"PATIO - RESERVA"),0)</f>
        <v>0</v>
      </c>
      <c r="M1093" s="10">
        <f>IFERROR(SUMIFS('Base bordo CD'!M$2:M$875,'Base bordo CD'!D$2:D$875,A1093,'Base bordo CD'!A$2:A$875,B1093,'Base bordo CD'!L$2:L$875,"SEM APONTAMENTO"),0)</f>
        <v>0</v>
      </c>
      <c r="N1093" s="10">
        <f>IFERROR(SUMIFS('Base bordo CD'!M$2:M$875,'Base bordo CD'!D$2:D$875,A1093,'Base bordo CD'!A$2:A$875,B1093,'Base bordo CD'!L$2:L$875,"FALTA DE CAMINHÃO"),0)+IFERROR(SUMIFS('Base bordo CD'!M$2:M$875,'Base bordo CD'!D$2:D$875,A1093,'Base bordo CD'!A$2:A$875,B1093,'Base bordo CD'!L$2:L$875,"FALTA DE COMBUSTIVEL"),0)+IFERROR(SUMIFS('Base bordo CD'!M$2:M$875,'Base bordo CD'!D$2:D$875,A1093,'Base bordo CD'!A$2:A$875,B1093,'Base bordo CD'!L$2:L$875,"FALTA DE MOTORIST*"),0)</f>
        <v>0</v>
      </c>
      <c r="O1093" s="10">
        <f t="shared" si="90"/>
        <v>0</v>
      </c>
      <c r="P1093" s="10">
        <f>IFERROR(SUMIFS('Base bordo CD'!M$2:M$875,'Base bordo CD'!D$2:D$875,A1093,'Base bordo CD'!A$2:A$875,B1093),0)</f>
        <v>0</v>
      </c>
      <c r="Q1093" s="10">
        <f>IFERROR(SUMIFS('Base bordo CD'!O$2:O$875,'Base bordo CD'!D$2:D$875,A1093,'Base bordo CD'!A$2:A$875,B1093,'Base bordo CD'!L$2:L$875,"CORTE DE CANA MECANIZADO"),0)</f>
        <v>0</v>
      </c>
      <c r="R1093" s="10">
        <f>IFERROR(SUMIFS('Base bordo CD'!Q$2:Q$875,'Base bordo CD'!D$2:D$875,A1093,'Base bordo CD'!A$2:A$875,B1093,'Base bordo CD'!L$2:L$875,"CORTE DE CANA MECANIZADO"),0)</f>
        <v>0</v>
      </c>
      <c r="S1093" s="30" t="str">
        <f t="shared" si="91"/>
        <v/>
      </c>
      <c r="T1093" s="9">
        <f t="shared" si="92"/>
        <v>0</v>
      </c>
      <c r="U1093" s="9">
        <f t="shared" si="93"/>
        <v>0</v>
      </c>
      <c r="V1093" s="9">
        <f t="shared" si="94"/>
        <v>0</v>
      </c>
    </row>
    <row r="1094" spans="1:22" hidden="1" x14ac:dyDescent="0.35">
      <c r="A1094" s="52">
        <v>49590</v>
      </c>
      <c r="B1094" s="31">
        <v>46117</v>
      </c>
      <c r="C1094" s="7" t="s">
        <v>321</v>
      </c>
      <c r="D1094" s="7">
        <v>351</v>
      </c>
      <c r="E1094" s="10">
        <f>IFERROR(SUMIFS('Base bordo CD'!M$2:M$875,'Base bordo CD'!D$2:D$875,A1094,'Base bordo CD'!A$2:A$875,B1094,'Base bordo CD'!L$2:L$875,"CORTE DE CANA MECANIZADO"),0)</f>
        <v>0</v>
      </c>
      <c r="F1094" s="10">
        <f>IFERROR(SUMIFS('Base bordo CD'!M$2:M$875,'Base bordo CD'!D$2:D$875,A1094,'Base bordo CD'!A$2:A$875,B1094,'Base bordo CD'!L$2:L$875,"MANOBRA"),0)</f>
        <v>0</v>
      </c>
      <c r="G1094" s="10">
        <f>IFERROR(SUMIFS('Base bordo CD'!M$2:M$875,'Base bordo CD'!D$2:D$875,A1094,'Base bordo CD'!A$2:A$875,B1094,'Base bordo CD'!L$2:L$875,"DESLOCAMENTO"),0)</f>
        <v>0</v>
      </c>
      <c r="H1094" s="10">
        <f>IFERROR(SUMIFS('Base bordo CD'!M$2:M$875,'Base bordo CD'!D$2:D$875,A1094,'Base bordo CD'!A$2:A$875,B1094,'Base bordo CD'!L$2:L$875,"AGUARDANDO MANOBRA DE TRANSBORDO"),0)+IFERROR(SUMIFS('Base bordo CD'!M$2:M$875,'Base bordo CD'!D$2:D$875,A1094,'Base bordo CD'!A$2:A$875,B1094,'Base bordo CD'!L$2:L$875,"FALTA DE TRANSBORDO"),0)</f>
        <v>0</v>
      </c>
      <c r="I1094" s="10">
        <f>IFERROR(SUMIFS('Base bordo CD'!M$2:M$875,'Base bordo CD'!D$2:D$875,A1094,'Base bordo CD'!A$2:A$875,B1094,'Base bordo CD'!L$2:L$875,"PARADA POR CONDICOES CLIMATICAS"),0)+IFERROR(SUMIFS('Base bordo CD'!M$2:M$875,'Base bordo CD'!D$2:D$875,A1094,'Base bordo CD'!A$2:A$875,B1094,'Base bordo CD'!L$2:L$875,"TEMPO INDETERMINADO"),0)</f>
        <v>0</v>
      </c>
      <c r="J1094" s="10">
        <f>IFERROR(SUMIFS('Base bordo CD'!M$2:M$875,'Base bordo CD'!D$2:D$875,A1094,'Base bordo CD'!A$2:A$875,B1094,'Base bordo CD'!L$2:L$875,"LIMITAÇÃO INDÚSTRIA"),0)</f>
        <v>0</v>
      </c>
      <c r="K1094" s="10">
        <f>IFERROR(SUMIFS('Base bordo CD'!M$2:M$875,'Base bordo CD'!D$2:D$875,A1094,'Base bordo CD'!A$2:A$875,B1094,'Base bordo CD'!L$2:L$875,"MAN CORRETIVA*"),0)+IFERROR(SUMIFS('Base bordo CD'!M$2:M$875,'Base bordo CD'!D$2:D$875,A1094,'Base bordo CD'!A$2:A$875,B1094,'Base bordo CD'!L$2:L$875,"AGUARDANDO MANUTENCAO*"),0)+IFERROR(SUMIFS('Base bordo CD'!M$2:M$875,'Base bordo CD'!D$2:D$875,A1094,'Base bordo CD'!A$2:A$875,B1094,'Base bordo CD'!L$2:L$875,"TROCA DE FAQUINHA"),0)+IFERROR(SUMIFS('Base bordo CD'!M$2:M$875,'Base bordo CD'!D$2:D$875,A1094,'Base bordo CD'!A$2:A$875,B1094,'Base bordo CD'!L$2:L$875,"LIMPEZA*"),0)</f>
        <v>0</v>
      </c>
      <c r="L1094" s="10">
        <f>IFERROR(SUMIFS('Base bordo CD'!M$2:M$875,'Base bordo CD'!D$2:D$875,A1094,'Base bordo CD'!A$2:A$875,B1094,'Base bordo CD'!L$2:L$875,"PATIO - RESERVA"),0)</f>
        <v>0</v>
      </c>
      <c r="M1094" s="10">
        <f>IFERROR(SUMIFS('Base bordo CD'!M$2:M$875,'Base bordo CD'!D$2:D$875,A1094,'Base bordo CD'!A$2:A$875,B1094,'Base bordo CD'!L$2:L$875,"SEM APONTAMENTO"),0)</f>
        <v>0</v>
      </c>
      <c r="N1094" s="10">
        <f>IFERROR(SUMIFS('Base bordo CD'!M$2:M$875,'Base bordo CD'!D$2:D$875,A1094,'Base bordo CD'!A$2:A$875,B1094,'Base bordo CD'!L$2:L$875,"FALTA DE CAMINHÃO"),0)+IFERROR(SUMIFS('Base bordo CD'!M$2:M$875,'Base bordo CD'!D$2:D$875,A1094,'Base bordo CD'!A$2:A$875,B1094,'Base bordo CD'!L$2:L$875,"FALTA DE COMBUSTIVEL"),0)+IFERROR(SUMIFS('Base bordo CD'!M$2:M$875,'Base bordo CD'!D$2:D$875,A1094,'Base bordo CD'!A$2:A$875,B1094,'Base bordo CD'!L$2:L$875,"FALTA DE MOTORIST*"),0)</f>
        <v>0</v>
      </c>
      <c r="O1094" s="10">
        <f t="shared" si="90"/>
        <v>0</v>
      </c>
      <c r="P1094" s="10">
        <f>IFERROR(SUMIFS('Base bordo CD'!M$2:M$875,'Base bordo CD'!D$2:D$875,A1094,'Base bordo CD'!A$2:A$875,B1094),0)</f>
        <v>0</v>
      </c>
      <c r="Q1094" s="10">
        <f>IFERROR(SUMIFS('Base bordo CD'!O$2:O$875,'Base bordo CD'!D$2:D$875,A1094,'Base bordo CD'!A$2:A$875,B1094,'Base bordo CD'!L$2:L$875,"CORTE DE CANA MECANIZADO"),0)</f>
        <v>0</v>
      </c>
      <c r="R1094" s="10">
        <f>IFERROR(SUMIFS('Base bordo CD'!Q$2:Q$875,'Base bordo CD'!D$2:D$875,A1094,'Base bordo CD'!A$2:A$875,B1094,'Base bordo CD'!L$2:L$875,"CORTE DE CANA MECANIZADO"),0)</f>
        <v>0</v>
      </c>
      <c r="S1094" s="30" t="str">
        <f t="shared" si="91"/>
        <v/>
      </c>
      <c r="T1094" s="9">
        <f t="shared" si="92"/>
        <v>0</v>
      </c>
      <c r="U1094" s="9">
        <f t="shared" si="93"/>
        <v>0</v>
      </c>
      <c r="V1094" s="9">
        <f t="shared" si="94"/>
        <v>0</v>
      </c>
    </row>
    <row r="1095" spans="1:22" hidden="1" x14ac:dyDescent="0.35">
      <c r="A1095" s="52">
        <v>49590</v>
      </c>
      <c r="B1095" s="31">
        <v>46117</v>
      </c>
      <c r="C1095" s="7" t="s">
        <v>321</v>
      </c>
      <c r="D1095" s="7">
        <v>351</v>
      </c>
      <c r="E1095" s="10">
        <f>IFERROR(SUMIFS('Base bordo CD'!M$2:M$875,'Base bordo CD'!D$2:D$875,A1095,'Base bordo CD'!A$2:A$875,B1095,'Base bordo CD'!L$2:L$875,"CORTE DE CANA MECANIZADO"),0)</f>
        <v>0</v>
      </c>
      <c r="F1095" s="10">
        <f>IFERROR(SUMIFS('Base bordo CD'!M$2:M$875,'Base bordo CD'!D$2:D$875,A1095,'Base bordo CD'!A$2:A$875,B1095,'Base bordo CD'!L$2:L$875,"MANOBRA"),0)</f>
        <v>0</v>
      </c>
      <c r="G1095" s="10">
        <f>IFERROR(SUMIFS('Base bordo CD'!M$2:M$875,'Base bordo CD'!D$2:D$875,A1095,'Base bordo CD'!A$2:A$875,B1095,'Base bordo CD'!L$2:L$875,"DESLOCAMENTO"),0)</f>
        <v>0</v>
      </c>
      <c r="H1095" s="10">
        <f>IFERROR(SUMIFS('Base bordo CD'!M$2:M$875,'Base bordo CD'!D$2:D$875,A1095,'Base bordo CD'!A$2:A$875,B1095,'Base bordo CD'!L$2:L$875,"AGUARDANDO MANOBRA DE TRANSBORDO"),0)+IFERROR(SUMIFS('Base bordo CD'!M$2:M$875,'Base bordo CD'!D$2:D$875,A1095,'Base bordo CD'!A$2:A$875,B1095,'Base bordo CD'!L$2:L$875,"FALTA DE TRANSBORDO"),0)</f>
        <v>0</v>
      </c>
      <c r="I1095" s="10">
        <f>IFERROR(SUMIFS('Base bordo CD'!M$2:M$875,'Base bordo CD'!D$2:D$875,A1095,'Base bordo CD'!A$2:A$875,B1095,'Base bordo CD'!L$2:L$875,"PARADA POR CONDICOES CLIMATICAS"),0)+IFERROR(SUMIFS('Base bordo CD'!M$2:M$875,'Base bordo CD'!D$2:D$875,A1095,'Base bordo CD'!A$2:A$875,B1095,'Base bordo CD'!L$2:L$875,"TEMPO INDETERMINADO"),0)</f>
        <v>0</v>
      </c>
      <c r="J1095" s="10">
        <f>IFERROR(SUMIFS('Base bordo CD'!M$2:M$875,'Base bordo CD'!D$2:D$875,A1095,'Base bordo CD'!A$2:A$875,B1095,'Base bordo CD'!L$2:L$875,"LIMITAÇÃO INDÚSTRIA"),0)</f>
        <v>0</v>
      </c>
      <c r="K1095" s="10">
        <f>IFERROR(SUMIFS('Base bordo CD'!M$2:M$875,'Base bordo CD'!D$2:D$875,A1095,'Base bordo CD'!A$2:A$875,B1095,'Base bordo CD'!L$2:L$875,"MAN CORRETIVA*"),0)+IFERROR(SUMIFS('Base bordo CD'!M$2:M$875,'Base bordo CD'!D$2:D$875,A1095,'Base bordo CD'!A$2:A$875,B1095,'Base bordo CD'!L$2:L$875,"AGUARDANDO MANUTENCAO*"),0)+IFERROR(SUMIFS('Base bordo CD'!M$2:M$875,'Base bordo CD'!D$2:D$875,A1095,'Base bordo CD'!A$2:A$875,B1095,'Base bordo CD'!L$2:L$875,"TROCA DE FAQUINHA"),0)+IFERROR(SUMIFS('Base bordo CD'!M$2:M$875,'Base bordo CD'!D$2:D$875,A1095,'Base bordo CD'!A$2:A$875,B1095,'Base bordo CD'!L$2:L$875,"LIMPEZA*"),0)</f>
        <v>0</v>
      </c>
      <c r="L1095" s="10">
        <f>IFERROR(SUMIFS('Base bordo CD'!M$2:M$875,'Base bordo CD'!D$2:D$875,A1095,'Base bordo CD'!A$2:A$875,B1095,'Base bordo CD'!L$2:L$875,"PATIO - RESERVA"),0)</f>
        <v>0</v>
      </c>
      <c r="M1095" s="10">
        <f>IFERROR(SUMIFS('Base bordo CD'!M$2:M$875,'Base bordo CD'!D$2:D$875,A1095,'Base bordo CD'!A$2:A$875,B1095,'Base bordo CD'!L$2:L$875,"SEM APONTAMENTO"),0)</f>
        <v>0</v>
      </c>
      <c r="N1095" s="10">
        <f>IFERROR(SUMIFS('Base bordo CD'!M$2:M$875,'Base bordo CD'!D$2:D$875,A1095,'Base bordo CD'!A$2:A$875,B1095,'Base bordo CD'!L$2:L$875,"FALTA DE CAMINHÃO"),0)+IFERROR(SUMIFS('Base bordo CD'!M$2:M$875,'Base bordo CD'!D$2:D$875,A1095,'Base bordo CD'!A$2:A$875,B1095,'Base bordo CD'!L$2:L$875,"FALTA DE COMBUSTIVEL"),0)+IFERROR(SUMIFS('Base bordo CD'!M$2:M$875,'Base bordo CD'!D$2:D$875,A1095,'Base bordo CD'!A$2:A$875,B1095,'Base bordo CD'!L$2:L$875,"FALTA DE MOTORIST*"),0)</f>
        <v>0</v>
      </c>
      <c r="O1095" s="10">
        <f t="shared" si="90"/>
        <v>0</v>
      </c>
      <c r="P1095" s="10">
        <f>IFERROR(SUMIFS('Base bordo CD'!M$2:M$875,'Base bordo CD'!D$2:D$875,A1095,'Base bordo CD'!A$2:A$875,B1095),0)</f>
        <v>0</v>
      </c>
      <c r="Q1095" s="10">
        <f>IFERROR(SUMIFS('Base bordo CD'!O$2:O$875,'Base bordo CD'!D$2:D$875,A1095,'Base bordo CD'!A$2:A$875,B1095,'Base bordo CD'!L$2:L$875,"CORTE DE CANA MECANIZADO"),0)</f>
        <v>0</v>
      </c>
      <c r="R1095" s="10">
        <f>IFERROR(SUMIFS('Base bordo CD'!Q$2:Q$875,'Base bordo CD'!D$2:D$875,A1095,'Base bordo CD'!A$2:A$875,B1095,'Base bordo CD'!L$2:L$875,"CORTE DE CANA MECANIZADO"),0)</f>
        <v>0</v>
      </c>
      <c r="S1095" s="30" t="str">
        <f t="shared" si="91"/>
        <v/>
      </c>
      <c r="T1095" s="9">
        <f t="shared" si="92"/>
        <v>0</v>
      </c>
      <c r="U1095" s="9">
        <f t="shared" si="93"/>
        <v>0</v>
      </c>
      <c r="V1095" s="9">
        <f t="shared" si="94"/>
        <v>0</v>
      </c>
    </row>
    <row r="1096" spans="1:22" hidden="1" x14ac:dyDescent="0.35">
      <c r="A1096" s="52">
        <v>49590</v>
      </c>
      <c r="B1096" s="31">
        <v>46117</v>
      </c>
      <c r="C1096" s="7" t="s">
        <v>321</v>
      </c>
      <c r="D1096" s="7">
        <v>351</v>
      </c>
      <c r="E1096" s="10">
        <f>IFERROR(SUMIFS('Base bordo CD'!M$2:M$875,'Base bordo CD'!D$2:D$875,A1096,'Base bordo CD'!A$2:A$875,B1096,'Base bordo CD'!L$2:L$875,"CORTE DE CANA MECANIZADO"),0)</f>
        <v>0</v>
      </c>
      <c r="F1096" s="10">
        <f>IFERROR(SUMIFS('Base bordo CD'!M$2:M$875,'Base bordo CD'!D$2:D$875,A1096,'Base bordo CD'!A$2:A$875,B1096,'Base bordo CD'!L$2:L$875,"MANOBRA"),0)</f>
        <v>0</v>
      </c>
      <c r="G1096" s="10">
        <f>IFERROR(SUMIFS('Base bordo CD'!M$2:M$875,'Base bordo CD'!D$2:D$875,A1096,'Base bordo CD'!A$2:A$875,B1096,'Base bordo CD'!L$2:L$875,"DESLOCAMENTO"),0)</f>
        <v>0</v>
      </c>
      <c r="H1096" s="10">
        <f>IFERROR(SUMIFS('Base bordo CD'!M$2:M$875,'Base bordo CD'!D$2:D$875,A1096,'Base bordo CD'!A$2:A$875,B1096,'Base bordo CD'!L$2:L$875,"AGUARDANDO MANOBRA DE TRANSBORDO"),0)+IFERROR(SUMIFS('Base bordo CD'!M$2:M$875,'Base bordo CD'!D$2:D$875,A1096,'Base bordo CD'!A$2:A$875,B1096,'Base bordo CD'!L$2:L$875,"FALTA DE TRANSBORDO"),0)</f>
        <v>0</v>
      </c>
      <c r="I1096" s="10">
        <f>IFERROR(SUMIFS('Base bordo CD'!M$2:M$875,'Base bordo CD'!D$2:D$875,A1096,'Base bordo CD'!A$2:A$875,B1096,'Base bordo CD'!L$2:L$875,"PARADA POR CONDICOES CLIMATICAS"),0)+IFERROR(SUMIFS('Base bordo CD'!M$2:M$875,'Base bordo CD'!D$2:D$875,A1096,'Base bordo CD'!A$2:A$875,B1096,'Base bordo CD'!L$2:L$875,"TEMPO INDETERMINADO"),0)</f>
        <v>0</v>
      </c>
      <c r="J1096" s="10">
        <f>IFERROR(SUMIFS('Base bordo CD'!M$2:M$875,'Base bordo CD'!D$2:D$875,A1096,'Base bordo CD'!A$2:A$875,B1096,'Base bordo CD'!L$2:L$875,"LIMITAÇÃO INDÚSTRIA"),0)</f>
        <v>0</v>
      </c>
      <c r="K1096" s="10">
        <f>IFERROR(SUMIFS('Base bordo CD'!M$2:M$875,'Base bordo CD'!D$2:D$875,A1096,'Base bordo CD'!A$2:A$875,B1096,'Base bordo CD'!L$2:L$875,"MAN CORRETIVA*"),0)+IFERROR(SUMIFS('Base bordo CD'!M$2:M$875,'Base bordo CD'!D$2:D$875,A1096,'Base bordo CD'!A$2:A$875,B1096,'Base bordo CD'!L$2:L$875,"AGUARDANDO MANUTENCAO*"),0)+IFERROR(SUMIFS('Base bordo CD'!M$2:M$875,'Base bordo CD'!D$2:D$875,A1096,'Base bordo CD'!A$2:A$875,B1096,'Base bordo CD'!L$2:L$875,"TROCA DE FAQUINHA"),0)+IFERROR(SUMIFS('Base bordo CD'!M$2:M$875,'Base bordo CD'!D$2:D$875,A1096,'Base bordo CD'!A$2:A$875,B1096,'Base bordo CD'!L$2:L$875,"LIMPEZA*"),0)</f>
        <v>0</v>
      </c>
      <c r="L1096" s="10">
        <f>IFERROR(SUMIFS('Base bordo CD'!M$2:M$875,'Base bordo CD'!D$2:D$875,A1096,'Base bordo CD'!A$2:A$875,B1096,'Base bordo CD'!L$2:L$875,"PATIO - RESERVA"),0)</f>
        <v>0</v>
      </c>
      <c r="M1096" s="10">
        <f>IFERROR(SUMIFS('Base bordo CD'!M$2:M$875,'Base bordo CD'!D$2:D$875,A1096,'Base bordo CD'!A$2:A$875,B1096,'Base bordo CD'!L$2:L$875,"SEM APONTAMENTO"),0)</f>
        <v>0</v>
      </c>
      <c r="N1096" s="10">
        <f>IFERROR(SUMIFS('Base bordo CD'!M$2:M$875,'Base bordo CD'!D$2:D$875,A1096,'Base bordo CD'!A$2:A$875,B1096,'Base bordo CD'!L$2:L$875,"FALTA DE CAMINHÃO"),0)+IFERROR(SUMIFS('Base bordo CD'!M$2:M$875,'Base bordo CD'!D$2:D$875,A1096,'Base bordo CD'!A$2:A$875,B1096,'Base bordo CD'!L$2:L$875,"FALTA DE COMBUSTIVEL"),0)+IFERROR(SUMIFS('Base bordo CD'!M$2:M$875,'Base bordo CD'!D$2:D$875,A1096,'Base bordo CD'!A$2:A$875,B1096,'Base bordo CD'!L$2:L$875,"FALTA DE MOTORIST*"),0)</f>
        <v>0</v>
      </c>
      <c r="O1096" s="10">
        <f t="shared" si="90"/>
        <v>0</v>
      </c>
      <c r="P1096" s="10">
        <f>IFERROR(SUMIFS('Base bordo CD'!M$2:M$875,'Base bordo CD'!D$2:D$875,A1096,'Base bordo CD'!A$2:A$875,B1096),0)</f>
        <v>0</v>
      </c>
      <c r="Q1096" s="10">
        <f>IFERROR(SUMIFS('Base bordo CD'!O$2:O$875,'Base bordo CD'!D$2:D$875,A1096,'Base bordo CD'!A$2:A$875,B1096,'Base bordo CD'!L$2:L$875,"CORTE DE CANA MECANIZADO"),0)</f>
        <v>0</v>
      </c>
      <c r="R1096" s="10">
        <f>IFERROR(SUMIFS('Base bordo CD'!Q$2:Q$875,'Base bordo CD'!D$2:D$875,A1096,'Base bordo CD'!A$2:A$875,B1096,'Base bordo CD'!L$2:L$875,"CORTE DE CANA MECANIZADO"),0)</f>
        <v>0</v>
      </c>
      <c r="S1096" s="30" t="str">
        <f t="shared" si="91"/>
        <v/>
      </c>
      <c r="T1096" s="9">
        <f t="shared" si="92"/>
        <v>0</v>
      </c>
      <c r="U1096" s="9">
        <f t="shared" si="93"/>
        <v>0</v>
      </c>
      <c r="V1096" s="9">
        <f t="shared" si="94"/>
        <v>0</v>
      </c>
    </row>
    <row r="1097" spans="1:22" hidden="1" x14ac:dyDescent="0.35">
      <c r="A1097" s="52">
        <v>49590</v>
      </c>
      <c r="B1097" s="31">
        <v>46117</v>
      </c>
      <c r="C1097" s="7" t="s">
        <v>321</v>
      </c>
      <c r="D1097" s="7">
        <v>351</v>
      </c>
      <c r="E1097" s="10">
        <f>IFERROR(SUMIFS('Base bordo CD'!M$2:M$875,'Base bordo CD'!D$2:D$875,A1097,'Base bordo CD'!A$2:A$875,B1097,'Base bordo CD'!L$2:L$875,"CORTE DE CANA MECANIZADO"),0)</f>
        <v>0</v>
      </c>
      <c r="F1097" s="10">
        <f>IFERROR(SUMIFS('Base bordo CD'!M$2:M$875,'Base bordo CD'!D$2:D$875,A1097,'Base bordo CD'!A$2:A$875,B1097,'Base bordo CD'!L$2:L$875,"MANOBRA"),0)</f>
        <v>0</v>
      </c>
      <c r="G1097" s="10">
        <f>IFERROR(SUMIFS('Base bordo CD'!M$2:M$875,'Base bordo CD'!D$2:D$875,A1097,'Base bordo CD'!A$2:A$875,B1097,'Base bordo CD'!L$2:L$875,"DESLOCAMENTO"),0)</f>
        <v>0</v>
      </c>
      <c r="H1097" s="10">
        <f>IFERROR(SUMIFS('Base bordo CD'!M$2:M$875,'Base bordo CD'!D$2:D$875,A1097,'Base bordo CD'!A$2:A$875,B1097,'Base bordo CD'!L$2:L$875,"AGUARDANDO MANOBRA DE TRANSBORDO"),0)+IFERROR(SUMIFS('Base bordo CD'!M$2:M$875,'Base bordo CD'!D$2:D$875,A1097,'Base bordo CD'!A$2:A$875,B1097,'Base bordo CD'!L$2:L$875,"FALTA DE TRANSBORDO"),0)</f>
        <v>0</v>
      </c>
      <c r="I1097" s="10">
        <f>IFERROR(SUMIFS('Base bordo CD'!M$2:M$875,'Base bordo CD'!D$2:D$875,A1097,'Base bordo CD'!A$2:A$875,B1097,'Base bordo CD'!L$2:L$875,"PARADA POR CONDICOES CLIMATICAS"),0)+IFERROR(SUMIFS('Base bordo CD'!M$2:M$875,'Base bordo CD'!D$2:D$875,A1097,'Base bordo CD'!A$2:A$875,B1097,'Base bordo CD'!L$2:L$875,"TEMPO INDETERMINADO"),0)</f>
        <v>0</v>
      </c>
      <c r="J1097" s="10">
        <f>IFERROR(SUMIFS('Base bordo CD'!M$2:M$875,'Base bordo CD'!D$2:D$875,A1097,'Base bordo CD'!A$2:A$875,B1097,'Base bordo CD'!L$2:L$875,"LIMITAÇÃO INDÚSTRIA"),0)</f>
        <v>0</v>
      </c>
      <c r="K1097" s="10">
        <f>IFERROR(SUMIFS('Base bordo CD'!M$2:M$875,'Base bordo CD'!D$2:D$875,A1097,'Base bordo CD'!A$2:A$875,B1097,'Base bordo CD'!L$2:L$875,"MAN CORRETIVA*"),0)+IFERROR(SUMIFS('Base bordo CD'!M$2:M$875,'Base bordo CD'!D$2:D$875,A1097,'Base bordo CD'!A$2:A$875,B1097,'Base bordo CD'!L$2:L$875,"AGUARDANDO MANUTENCAO*"),0)+IFERROR(SUMIFS('Base bordo CD'!M$2:M$875,'Base bordo CD'!D$2:D$875,A1097,'Base bordo CD'!A$2:A$875,B1097,'Base bordo CD'!L$2:L$875,"TROCA DE FAQUINHA"),0)+IFERROR(SUMIFS('Base bordo CD'!M$2:M$875,'Base bordo CD'!D$2:D$875,A1097,'Base bordo CD'!A$2:A$875,B1097,'Base bordo CD'!L$2:L$875,"LIMPEZA*"),0)</f>
        <v>0</v>
      </c>
      <c r="L1097" s="10">
        <f>IFERROR(SUMIFS('Base bordo CD'!M$2:M$875,'Base bordo CD'!D$2:D$875,A1097,'Base bordo CD'!A$2:A$875,B1097,'Base bordo CD'!L$2:L$875,"PATIO - RESERVA"),0)</f>
        <v>0</v>
      </c>
      <c r="M1097" s="10">
        <f>IFERROR(SUMIFS('Base bordo CD'!M$2:M$875,'Base bordo CD'!D$2:D$875,A1097,'Base bordo CD'!A$2:A$875,B1097,'Base bordo CD'!L$2:L$875,"SEM APONTAMENTO"),0)</f>
        <v>0</v>
      </c>
      <c r="N1097" s="10">
        <f>IFERROR(SUMIFS('Base bordo CD'!M$2:M$875,'Base bordo CD'!D$2:D$875,A1097,'Base bordo CD'!A$2:A$875,B1097,'Base bordo CD'!L$2:L$875,"FALTA DE CAMINHÃO"),0)+IFERROR(SUMIFS('Base bordo CD'!M$2:M$875,'Base bordo CD'!D$2:D$875,A1097,'Base bordo CD'!A$2:A$875,B1097,'Base bordo CD'!L$2:L$875,"FALTA DE COMBUSTIVEL"),0)+IFERROR(SUMIFS('Base bordo CD'!M$2:M$875,'Base bordo CD'!D$2:D$875,A1097,'Base bordo CD'!A$2:A$875,B1097,'Base bordo CD'!L$2:L$875,"FALTA DE MOTORIST*"),0)</f>
        <v>0</v>
      </c>
      <c r="O1097" s="10">
        <f t="shared" si="90"/>
        <v>0</v>
      </c>
      <c r="P1097" s="10">
        <f>IFERROR(SUMIFS('Base bordo CD'!M$2:M$875,'Base bordo CD'!D$2:D$875,A1097,'Base bordo CD'!A$2:A$875,B1097),0)</f>
        <v>0</v>
      </c>
      <c r="Q1097" s="10">
        <f>IFERROR(SUMIFS('Base bordo CD'!O$2:O$875,'Base bordo CD'!D$2:D$875,A1097,'Base bordo CD'!A$2:A$875,B1097,'Base bordo CD'!L$2:L$875,"CORTE DE CANA MECANIZADO"),0)</f>
        <v>0</v>
      </c>
      <c r="R1097" s="10">
        <f>IFERROR(SUMIFS('Base bordo CD'!Q$2:Q$875,'Base bordo CD'!D$2:D$875,A1097,'Base bordo CD'!A$2:A$875,B1097,'Base bordo CD'!L$2:L$875,"CORTE DE CANA MECANIZADO"),0)</f>
        <v>0</v>
      </c>
      <c r="S1097" s="30" t="str">
        <f t="shared" si="91"/>
        <v/>
      </c>
      <c r="T1097" s="9">
        <f t="shared" si="92"/>
        <v>0</v>
      </c>
      <c r="U1097" s="9">
        <f t="shared" si="93"/>
        <v>0</v>
      </c>
      <c r="V1097" s="9">
        <f t="shared" si="94"/>
        <v>0</v>
      </c>
    </row>
    <row r="1098" spans="1:22" hidden="1" x14ac:dyDescent="0.35">
      <c r="A1098" s="52">
        <v>49590</v>
      </c>
      <c r="B1098" s="31">
        <v>46117</v>
      </c>
      <c r="C1098" s="7" t="s">
        <v>321</v>
      </c>
      <c r="D1098" s="7">
        <v>351</v>
      </c>
      <c r="E1098" s="10">
        <f>IFERROR(SUMIFS('Base bordo CD'!M$2:M$875,'Base bordo CD'!D$2:D$875,A1098,'Base bordo CD'!A$2:A$875,B1098,'Base bordo CD'!L$2:L$875,"CORTE DE CANA MECANIZADO"),0)</f>
        <v>0</v>
      </c>
      <c r="F1098" s="10">
        <f>IFERROR(SUMIFS('Base bordo CD'!M$2:M$875,'Base bordo CD'!D$2:D$875,A1098,'Base bordo CD'!A$2:A$875,B1098,'Base bordo CD'!L$2:L$875,"MANOBRA"),0)</f>
        <v>0</v>
      </c>
      <c r="G1098" s="10">
        <f>IFERROR(SUMIFS('Base bordo CD'!M$2:M$875,'Base bordo CD'!D$2:D$875,A1098,'Base bordo CD'!A$2:A$875,B1098,'Base bordo CD'!L$2:L$875,"DESLOCAMENTO"),0)</f>
        <v>0</v>
      </c>
      <c r="H1098" s="10">
        <f>IFERROR(SUMIFS('Base bordo CD'!M$2:M$875,'Base bordo CD'!D$2:D$875,A1098,'Base bordo CD'!A$2:A$875,B1098,'Base bordo CD'!L$2:L$875,"AGUARDANDO MANOBRA DE TRANSBORDO"),0)+IFERROR(SUMIFS('Base bordo CD'!M$2:M$875,'Base bordo CD'!D$2:D$875,A1098,'Base bordo CD'!A$2:A$875,B1098,'Base bordo CD'!L$2:L$875,"FALTA DE TRANSBORDO"),0)</f>
        <v>0</v>
      </c>
      <c r="I1098" s="10">
        <f>IFERROR(SUMIFS('Base bordo CD'!M$2:M$875,'Base bordo CD'!D$2:D$875,A1098,'Base bordo CD'!A$2:A$875,B1098,'Base bordo CD'!L$2:L$875,"PARADA POR CONDICOES CLIMATICAS"),0)+IFERROR(SUMIFS('Base bordo CD'!M$2:M$875,'Base bordo CD'!D$2:D$875,A1098,'Base bordo CD'!A$2:A$875,B1098,'Base bordo CD'!L$2:L$875,"TEMPO INDETERMINADO"),0)</f>
        <v>0</v>
      </c>
      <c r="J1098" s="10">
        <f>IFERROR(SUMIFS('Base bordo CD'!M$2:M$875,'Base bordo CD'!D$2:D$875,A1098,'Base bordo CD'!A$2:A$875,B1098,'Base bordo CD'!L$2:L$875,"LIMITAÇÃO INDÚSTRIA"),0)</f>
        <v>0</v>
      </c>
      <c r="K1098" s="10">
        <f>IFERROR(SUMIFS('Base bordo CD'!M$2:M$875,'Base bordo CD'!D$2:D$875,A1098,'Base bordo CD'!A$2:A$875,B1098,'Base bordo CD'!L$2:L$875,"MAN CORRETIVA*"),0)+IFERROR(SUMIFS('Base bordo CD'!M$2:M$875,'Base bordo CD'!D$2:D$875,A1098,'Base bordo CD'!A$2:A$875,B1098,'Base bordo CD'!L$2:L$875,"AGUARDANDO MANUTENCAO*"),0)+IFERROR(SUMIFS('Base bordo CD'!M$2:M$875,'Base bordo CD'!D$2:D$875,A1098,'Base bordo CD'!A$2:A$875,B1098,'Base bordo CD'!L$2:L$875,"TROCA DE FAQUINHA"),0)+IFERROR(SUMIFS('Base bordo CD'!M$2:M$875,'Base bordo CD'!D$2:D$875,A1098,'Base bordo CD'!A$2:A$875,B1098,'Base bordo CD'!L$2:L$875,"LIMPEZA*"),0)</f>
        <v>0</v>
      </c>
      <c r="L1098" s="10">
        <f>IFERROR(SUMIFS('Base bordo CD'!M$2:M$875,'Base bordo CD'!D$2:D$875,A1098,'Base bordo CD'!A$2:A$875,B1098,'Base bordo CD'!L$2:L$875,"PATIO - RESERVA"),0)</f>
        <v>0</v>
      </c>
      <c r="M1098" s="10">
        <f>IFERROR(SUMIFS('Base bordo CD'!M$2:M$875,'Base bordo CD'!D$2:D$875,A1098,'Base bordo CD'!A$2:A$875,B1098,'Base bordo CD'!L$2:L$875,"SEM APONTAMENTO"),0)</f>
        <v>0</v>
      </c>
      <c r="N1098" s="10">
        <f>IFERROR(SUMIFS('Base bordo CD'!M$2:M$875,'Base bordo CD'!D$2:D$875,A1098,'Base bordo CD'!A$2:A$875,B1098,'Base bordo CD'!L$2:L$875,"FALTA DE CAMINHÃO"),0)+IFERROR(SUMIFS('Base bordo CD'!M$2:M$875,'Base bordo CD'!D$2:D$875,A1098,'Base bordo CD'!A$2:A$875,B1098,'Base bordo CD'!L$2:L$875,"FALTA DE COMBUSTIVEL"),0)+IFERROR(SUMIFS('Base bordo CD'!M$2:M$875,'Base bordo CD'!D$2:D$875,A1098,'Base bordo CD'!A$2:A$875,B1098,'Base bordo CD'!L$2:L$875,"FALTA DE MOTORIST*"),0)</f>
        <v>0</v>
      </c>
      <c r="O1098" s="10">
        <f t="shared" si="90"/>
        <v>0</v>
      </c>
      <c r="P1098" s="10">
        <f>IFERROR(SUMIFS('Base bordo CD'!M$2:M$875,'Base bordo CD'!D$2:D$875,A1098,'Base bordo CD'!A$2:A$875,B1098),0)</f>
        <v>0</v>
      </c>
      <c r="Q1098" s="10">
        <f>IFERROR(SUMIFS('Base bordo CD'!O$2:O$875,'Base bordo CD'!D$2:D$875,A1098,'Base bordo CD'!A$2:A$875,B1098,'Base bordo CD'!L$2:L$875,"CORTE DE CANA MECANIZADO"),0)</f>
        <v>0</v>
      </c>
      <c r="R1098" s="10">
        <f>IFERROR(SUMIFS('Base bordo CD'!Q$2:Q$875,'Base bordo CD'!D$2:D$875,A1098,'Base bordo CD'!A$2:A$875,B1098,'Base bordo CD'!L$2:L$875,"CORTE DE CANA MECANIZADO"),0)</f>
        <v>0</v>
      </c>
      <c r="S1098" s="30" t="str">
        <f t="shared" si="91"/>
        <v/>
      </c>
      <c r="T1098" s="9">
        <f t="shared" si="92"/>
        <v>0</v>
      </c>
      <c r="U1098" s="9">
        <f t="shared" si="93"/>
        <v>0</v>
      </c>
      <c r="V1098" s="9">
        <f t="shared" si="94"/>
        <v>0</v>
      </c>
    </row>
    <row r="1099" spans="1:22" hidden="1" x14ac:dyDescent="0.35">
      <c r="A1099" s="52">
        <v>49590</v>
      </c>
      <c r="B1099" s="31">
        <v>46117</v>
      </c>
      <c r="C1099" s="7" t="s">
        <v>321</v>
      </c>
      <c r="D1099" s="7">
        <v>351</v>
      </c>
      <c r="E1099" s="10">
        <f>IFERROR(SUMIFS('Base bordo CD'!M$2:M$875,'Base bordo CD'!D$2:D$875,A1099,'Base bordo CD'!A$2:A$875,B1099,'Base bordo CD'!L$2:L$875,"CORTE DE CANA MECANIZADO"),0)</f>
        <v>0</v>
      </c>
      <c r="F1099" s="10">
        <f>IFERROR(SUMIFS('Base bordo CD'!M$2:M$875,'Base bordo CD'!D$2:D$875,A1099,'Base bordo CD'!A$2:A$875,B1099,'Base bordo CD'!L$2:L$875,"MANOBRA"),0)</f>
        <v>0</v>
      </c>
      <c r="G1099" s="10">
        <f>IFERROR(SUMIFS('Base bordo CD'!M$2:M$875,'Base bordo CD'!D$2:D$875,A1099,'Base bordo CD'!A$2:A$875,B1099,'Base bordo CD'!L$2:L$875,"DESLOCAMENTO"),0)</f>
        <v>0</v>
      </c>
      <c r="H1099" s="10">
        <f>IFERROR(SUMIFS('Base bordo CD'!M$2:M$875,'Base bordo CD'!D$2:D$875,A1099,'Base bordo CD'!A$2:A$875,B1099,'Base bordo CD'!L$2:L$875,"AGUARDANDO MANOBRA DE TRANSBORDO"),0)+IFERROR(SUMIFS('Base bordo CD'!M$2:M$875,'Base bordo CD'!D$2:D$875,A1099,'Base bordo CD'!A$2:A$875,B1099,'Base bordo CD'!L$2:L$875,"FALTA DE TRANSBORDO"),0)</f>
        <v>0</v>
      </c>
      <c r="I1099" s="10">
        <f>IFERROR(SUMIFS('Base bordo CD'!M$2:M$875,'Base bordo CD'!D$2:D$875,A1099,'Base bordo CD'!A$2:A$875,B1099,'Base bordo CD'!L$2:L$875,"PARADA POR CONDICOES CLIMATICAS"),0)+IFERROR(SUMIFS('Base bordo CD'!M$2:M$875,'Base bordo CD'!D$2:D$875,A1099,'Base bordo CD'!A$2:A$875,B1099,'Base bordo CD'!L$2:L$875,"TEMPO INDETERMINADO"),0)</f>
        <v>0</v>
      </c>
      <c r="J1099" s="10">
        <f>IFERROR(SUMIFS('Base bordo CD'!M$2:M$875,'Base bordo CD'!D$2:D$875,A1099,'Base bordo CD'!A$2:A$875,B1099,'Base bordo CD'!L$2:L$875,"LIMITAÇÃO INDÚSTRIA"),0)</f>
        <v>0</v>
      </c>
      <c r="K1099" s="10">
        <f>IFERROR(SUMIFS('Base bordo CD'!M$2:M$875,'Base bordo CD'!D$2:D$875,A1099,'Base bordo CD'!A$2:A$875,B1099,'Base bordo CD'!L$2:L$875,"MAN CORRETIVA*"),0)+IFERROR(SUMIFS('Base bordo CD'!M$2:M$875,'Base bordo CD'!D$2:D$875,A1099,'Base bordo CD'!A$2:A$875,B1099,'Base bordo CD'!L$2:L$875,"AGUARDANDO MANUTENCAO*"),0)+IFERROR(SUMIFS('Base bordo CD'!M$2:M$875,'Base bordo CD'!D$2:D$875,A1099,'Base bordo CD'!A$2:A$875,B1099,'Base bordo CD'!L$2:L$875,"TROCA DE FAQUINHA"),0)+IFERROR(SUMIFS('Base bordo CD'!M$2:M$875,'Base bordo CD'!D$2:D$875,A1099,'Base bordo CD'!A$2:A$875,B1099,'Base bordo CD'!L$2:L$875,"LIMPEZA*"),0)</f>
        <v>0</v>
      </c>
      <c r="L1099" s="10">
        <f>IFERROR(SUMIFS('Base bordo CD'!M$2:M$875,'Base bordo CD'!D$2:D$875,A1099,'Base bordo CD'!A$2:A$875,B1099,'Base bordo CD'!L$2:L$875,"PATIO - RESERVA"),0)</f>
        <v>0</v>
      </c>
      <c r="M1099" s="10">
        <f>IFERROR(SUMIFS('Base bordo CD'!M$2:M$875,'Base bordo CD'!D$2:D$875,A1099,'Base bordo CD'!A$2:A$875,B1099,'Base bordo CD'!L$2:L$875,"SEM APONTAMENTO"),0)</f>
        <v>0</v>
      </c>
      <c r="N1099" s="10">
        <f>IFERROR(SUMIFS('Base bordo CD'!M$2:M$875,'Base bordo CD'!D$2:D$875,A1099,'Base bordo CD'!A$2:A$875,B1099,'Base bordo CD'!L$2:L$875,"FALTA DE CAMINHÃO"),0)+IFERROR(SUMIFS('Base bordo CD'!M$2:M$875,'Base bordo CD'!D$2:D$875,A1099,'Base bordo CD'!A$2:A$875,B1099,'Base bordo CD'!L$2:L$875,"FALTA DE COMBUSTIVEL"),0)+IFERROR(SUMIFS('Base bordo CD'!M$2:M$875,'Base bordo CD'!D$2:D$875,A1099,'Base bordo CD'!A$2:A$875,B1099,'Base bordo CD'!L$2:L$875,"FALTA DE MOTORIST*"),0)</f>
        <v>0</v>
      </c>
      <c r="O1099" s="10">
        <f t="shared" si="90"/>
        <v>0</v>
      </c>
      <c r="P1099" s="10">
        <f>IFERROR(SUMIFS('Base bordo CD'!M$2:M$875,'Base bordo CD'!D$2:D$875,A1099,'Base bordo CD'!A$2:A$875,B1099),0)</f>
        <v>0</v>
      </c>
      <c r="Q1099" s="10">
        <f>IFERROR(SUMIFS('Base bordo CD'!O$2:O$875,'Base bordo CD'!D$2:D$875,A1099,'Base bordo CD'!A$2:A$875,B1099,'Base bordo CD'!L$2:L$875,"CORTE DE CANA MECANIZADO"),0)</f>
        <v>0</v>
      </c>
      <c r="R1099" s="10">
        <f>IFERROR(SUMIFS('Base bordo CD'!Q$2:Q$875,'Base bordo CD'!D$2:D$875,A1099,'Base bordo CD'!A$2:A$875,B1099,'Base bordo CD'!L$2:L$875,"CORTE DE CANA MECANIZADO"),0)</f>
        <v>0</v>
      </c>
      <c r="S1099" s="30" t="str">
        <f t="shared" si="91"/>
        <v/>
      </c>
      <c r="T1099" s="9">
        <f t="shared" si="92"/>
        <v>0</v>
      </c>
      <c r="U1099" s="9">
        <f t="shared" si="93"/>
        <v>0</v>
      </c>
      <c r="V1099" s="9">
        <f t="shared" si="94"/>
        <v>0</v>
      </c>
    </row>
    <row r="1100" spans="1:22" hidden="1" x14ac:dyDescent="0.35">
      <c r="A1100" s="52">
        <v>49590</v>
      </c>
      <c r="B1100" s="31">
        <v>46117</v>
      </c>
      <c r="C1100" s="7" t="s">
        <v>321</v>
      </c>
      <c r="D1100" s="7">
        <v>351</v>
      </c>
      <c r="E1100" s="10">
        <f>IFERROR(SUMIFS('Base bordo CD'!M$2:M$875,'Base bordo CD'!D$2:D$875,A1100,'Base bordo CD'!A$2:A$875,B1100,'Base bordo CD'!L$2:L$875,"CORTE DE CANA MECANIZADO"),0)</f>
        <v>0</v>
      </c>
      <c r="F1100" s="10">
        <f>IFERROR(SUMIFS('Base bordo CD'!M$2:M$875,'Base bordo CD'!D$2:D$875,A1100,'Base bordo CD'!A$2:A$875,B1100,'Base bordo CD'!L$2:L$875,"MANOBRA"),0)</f>
        <v>0</v>
      </c>
      <c r="G1100" s="10">
        <f>IFERROR(SUMIFS('Base bordo CD'!M$2:M$875,'Base bordo CD'!D$2:D$875,A1100,'Base bordo CD'!A$2:A$875,B1100,'Base bordo CD'!L$2:L$875,"DESLOCAMENTO"),0)</f>
        <v>0</v>
      </c>
      <c r="H1100" s="10">
        <f>IFERROR(SUMIFS('Base bordo CD'!M$2:M$875,'Base bordo CD'!D$2:D$875,A1100,'Base bordo CD'!A$2:A$875,B1100,'Base bordo CD'!L$2:L$875,"AGUARDANDO MANOBRA DE TRANSBORDO"),0)+IFERROR(SUMIFS('Base bordo CD'!M$2:M$875,'Base bordo CD'!D$2:D$875,A1100,'Base bordo CD'!A$2:A$875,B1100,'Base bordo CD'!L$2:L$875,"FALTA DE TRANSBORDO"),0)</f>
        <v>0</v>
      </c>
      <c r="I1100" s="10">
        <f>IFERROR(SUMIFS('Base bordo CD'!M$2:M$875,'Base bordo CD'!D$2:D$875,A1100,'Base bordo CD'!A$2:A$875,B1100,'Base bordo CD'!L$2:L$875,"PARADA POR CONDICOES CLIMATICAS"),0)+IFERROR(SUMIFS('Base bordo CD'!M$2:M$875,'Base bordo CD'!D$2:D$875,A1100,'Base bordo CD'!A$2:A$875,B1100,'Base bordo CD'!L$2:L$875,"TEMPO INDETERMINADO"),0)</f>
        <v>0</v>
      </c>
      <c r="J1100" s="10">
        <f>IFERROR(SUMIFS('Base bordo CD'!M$2:M$875,'Base bordo CD'!D$2:D$875,A1100,'Base bordo CD'!A$2:A$875,B1100,'Base bordo CD'!L$2:L$875,"LIMITAÇÃO INDÚSTRIA"),0)</f>
        <v>0</v>
      </c>
      <c r="K1100" s="10">
        <f>IFERROR(SUMIFS('Base bordo CD'!M$2:M$875,'Base bordo CD'!D$2:D$875,A1100,'Base bordo CD'!A$2:A$875,B1100,'Base bordo CD'!L$2:L$875,"MAN CORRETIVA*"),0)+IFERROR(SUMIFS('Base bordo CD'!M$2:M$875,'Base bordo CD'!D$2:D$875,A1100,'Base bordo CD'!A$2:A$875,B1100,'Base bordo CD'!L$2:L$875,"AGUARDANDO MANUTENCAO*"),0)+IFERROR(SUMIFS('Base bordo CD'!M$2:M$875,'Base bordo CD'!D$2:D$875,A1100,'Base bordo CD'!A$2:A$875,B1100,'Base bordo CD'!L$2:L$875,"TROCA DE FAQUINHA"),0)+IFERROR(SUMIFS('Base bordo CD'!M$2:M$875,'Base bordo CD'!D$2:D$875,A1100,'Base bordo CD'!A$2:A$875,B1100,'Base bordo CD'!L$2:L$875,"LIMPEZA*"),0)</f>
        <v>0</v>
      </c>
      <c r="L1100" s="10">
        <f>IFERROR(SUMIFS('Base bordo CD'!M$2:M$875,'Base bordo CD'!D$2:D$875,A1100,'Base bordo CD'!A$2:A$875,B1100,'Base bordo CD'!L$2:L$875,"PATIO - RESERVA"),0)</f>
        <v>0</v>
      </c>
      <c r="M1100" s="10">
        <f>IFERROR(SUMIFS('Base bordo CD'!M$2:M$875,'Base bordo CD'!D$2:D$875,A1100,'Base bordo CD'!A$2:A$875,B1100,'Base bordo CD'!L$2:L$875,"SEM APONTAMENTO"),0)</f>
        <v>0</v>
      </c>
      <c r="N1100" s="10">
        <f>IFERROR(SUMIFS('Base bordo CD'!M$2:M$875,'Base bordo CD'!D$2:D$875,A1100,'Base bordo CD'!A$2:A$875,B1100,'Base bordo CD'!L$2:L$875,"FALTA DE CAMINHÃO"),0)+IFERROR(SUMIFS('Base bordo CD'!M$2:M$875,'Base bordo CD'!D$2:D$875,A1100,'Base bordo CD'!A$2:A$875,B1100,'Base bordo CD'!L$2:L$875,"FALTA DE COMBUSTIVEL"),0)+IFERROR(SUMIFS('Base bordo CD'!M$2:M$875,'Base bordo CD'!D$2:D$875,A1100,'Base bordo CD'!A$2:A$875,B1100,'Base bordo CD'!L$2:L$875,"FALTA DE MOTORIST*"),0)</f>
        <v>0</v>
      </c>
      <c r="O1100" s="10">
        <f t="shared" si="90"/>
        <v>0</v>
      </c>
      <c r="P1100" s="10">
        <f>IFERROR(SUMIFS('Base bordo CD'!M$2:M$875,'Base bordo CD'!D$2:D$875,A1100,'Base bordo CD'!A$2:A$875,B1100),0)</f>
        <v>0</v>
      </c>
      <c r="Q1100" s="10">
        <f>IFERROR(SUMIFS('Base bordo CD'!O$2:O$875,'Base bordo CD'!D$2:D$875,A1100,'Base bordo CD'!A$2:A$875,B1100,'Base bordo CD'!L$2:L$875,"CORTE DE CANA MECANIZADO"),0)</f>
        <v>0</v>
      </c>
      <c r="R1100" s="10">
        <f>IFERROR(SUMIFS('Base bordo CD'!Q$2:Q$875,'Base bordo CD'!D$2:D$875,A1100,'Base bordo CD'!A$2:A$875,B1100,'Base bordo CD'!L$2:L$875,"CORTE DE CANA MECANIZADO"),0)</f>
        <v>0</v>
      </c>
      <c r="S1100" s="30" t="str">
        <f t="shared" si="91"/>
        <v/>
      </c>
      <c r="T1100" s="9">
        <f t="shared" si="92"/>
        <v>0</v>
      </c>
      <c r="U1100" s="9">
        <f t="shared" si="93"/>
        <v>0</v>
      </c>
      <c r="V1100" s="9">
        <f t="shared" si="94"/>
        <v>0</v>
      </c>
    </row>
    <row r="1101" spans="1:22" hidden="1" x14ac:dyDescent="0.35">
      <c r="A1101" s="52">
        <v>49590</v>
      </c>
      <c r="B1101" s="31">
        <v>46117</v>
      </c>
      <c r="C1101" s="7" t="s">
        <v>321</v>
      </c>
      <c r="D1101" s="7">
        <v>351</v>
      </c>
      <c r="E1101" s="10">
        <f>IFERROR(SUMIFS('Base bordo CD'!M$2:M$875,'Base bordo CD'!D$2:D$875,A1101,'Base bordo CD'!A$2:A$875,B1101,'Base bordo CD'!L$2:L$875,"CORTE DE CANA MECANIZADO"),0)</f>
        <v>0</v>
      </c>
      <c r="F1101" s="10">
        <f>IFERROR(SUMIFS('Base bordo CD'!M$2:M$875,'Base bordo CD'!D$2:D$875,A1101,'Base bordo CD'!A$2:A$875,B1101,'Base bordo CD'!L$2:L$875,"MANOBRA"),0)</f>
        <v>0</v>
      </c>
      <c r="G1101" s="10">
        <f>IFERROR(SUMIFS('Base bordo CD'!M$2:M$875,'Base bordo CD'!D$2:D$875,A1101,'Base bordo CD'!A$2:A$875,B1101,'Base bordo CD'!L$2:L$875,"DESLOCAMENTO"),0)</f>
        <v>0</v>
      </c>
      <c r="H1101" s="10">
        <f>IFERROR(SUMIFS('Base bordo CD'!M$2:M$875,'Base bordo CD'!D$2:D$875,A1101,'Base bordo CD'!A$2:A$875,B1101,'Base bordo CD'!L$2:L$875,"AGUARDANDO MANOBRA DE TRANSBORDO"),0)+IFERROR(SUMIFS('Base bordo CD'!M$2:M$875,'Base bordo CD'!D$2:D$875,A1101,'Base bordo CD'!A$2:A$875,B1101,'Base bordo CD'!L$2:L$875,"FALTA DE TRANSBORDO"),0)</f>
        <v>0</v>
      </c>
      <c r="I1101" s="10">
        <f>IFERROR(SUMIFS('Base bordo CD'!M$2:M$875,'Base bordo CD'!D$2:D$875,A1101,'Base bordo CD'!A$2:A$875,B1101,'Base bordo CD'!L$2:L$875,"PARADA POR CONDICOES CLIMATICAS"),0)+IFERROR(SUMIFS('Base bordo CD'!M$2:M$875,'Base bordo CD'!D$2:D$875,A1101,'Base bordo CD'!A$2:A$875,B1101,'Base bordo CD'!L$2:L$875,"TEMPO INDETERMINADO"),0)</f>
        <v>0</v>
      </c>
      <c r="J1101" s="10">
        <f>IFERROR(SUMIFS('Base bordo CD'!M$2:M$875,'Base bordo CD'!D$2:D$875,A1101,'Base bordo CD'!A$2:A$875,B1101,'Base bordo CD'!L$2:L$875,"LIMITAÇÃO INDÚSTRIA"),0)</f>
        <v>0</v>
      </c>
      <c r="K1101" s="10">
        <f>IFERROR(SUMIFS('Base bordo CD'!M$2:M$875,'Base bordo CD'!D$2:D$875,A1101,'Base bordo CD'!A$2:A$875,B1101,'Base bordo CD'!L$2:L$875,"MAN CORRETIVA*"),0)+IFERROR(SUMIFS('Base bordo CD'!M$2:M$875,'Base bordo CD'!D$2:D$875,A1101,'Base bordo CD'!A$2:A$875,B1101,'Base bordo CD'!L$2:L$875,"AGUARDANDO MANUTENCAO*"),0)+IFERROR(SUMIFS('Base bordo CD'!M$2:M$875,'Base bordo CD'!D$2:D$875,A1101,'Base bordo CD'!A$2:A$875,B1101,'Base bordo CD'!L$2:L$875,"TROCA DE FAQUINHA"),0)+IFERROR(SUMIFS('Base bordo CD'!M$2:M$875,'Base bordo CD'!D$2:D$875,A1101,'Base bordo CD'!A$2:A$875,B1101,'Base bordo CD'!L$2:L$875,"LIMPEZA*"),0)</f>
        <v>0</v>
      </c>
      <c r="L1101" s="10">
        <f>IFERROR(SUMIFS('Base bordo CD'!M$2:M$875,'Base bordo CD'!D$2:D$875,A1101,'Base bordo CD'!A$2:A$875,B1101,'Base bordo CD'!L$2:L$875,"PATIO - RESERVA"),0)</f>
        <v>0</v>
      </c>
      <c r="M1101" s="10">
        <f>IFERROR(SUMIFS('Base bordo CD'!M$2:M$875,'Base bordo CD'!D$2:D$875,A1101,'Base bordo CD'!A$2:A$875,B1101,'Base bordo CD'!L$2:L$875,"SEM APONTAMENTO"),0)</f>
        <v>0</v>
      </c>
      <c r="N1101" s="10">
        <f>IFERROR(SUMIFS('Base bordo CD'!M$2:M$875,'Base bordo CD'!D$2:D$875,A1101,'Base bordo CD'!A$2:A$875,B1101,'Base bordo CD'!L$2:L$875,"FALTA DE CAMINHÃO"),0)+IFERROR(SUMIFS('Base bordo CD'!M$2:M$875,'Base bordo CD'!D$2:D$875,A1101,'Base bordo CD'!A$2:A$875,B1101,'Base bordo CD'!L$2:L$875,"FALTA DE COMBUSTIVEL"),0)+IFERROR(SUMIFS('Base bordo CD'!M$2:M$875,'Base bordo CD'!D$2:D$875,A1101,'Base bordo CD'!A$2:A$875,B1101,'Base bordo CD'!L$2:L$875,"FALTA DE MOTORIST*"),0)</f>
        <v>0</v>
      </c>
      <c r="O1101" s="10">
        <f t="shared" si="90"/>
        <v>0</v>
      </c>
      <c r="P1101" s="10">
        <f>IFERROR(SUMIFS('Base bordo CD'!M$2:M$875,'Base bordo CD'!D$2:D$875,A1101,'Base bordo CD'!A$2:A$875,B1101),0)</f>
        <v>0</v>
      </c>
      <c r="Q1101" s="10">
        <f>IFERROR(SUMIFS('Base bordo CD'!O$2:O$875,'Base bordo CD'!D$2:D$875,A1101,'Base bordo CD'!A$2:A$875,B1101,'Base bordo CD'!L$2:L$875,"CORTE DE CANA MECANIZADO"),0)</f>
        <v>0</v>
      </c>
      <c r="R1101" s="10">
        <f>IFERROR(SUMIFS('Base bordo CD'!Q$2:Q$875,'Base bordo CD'!D$2:D$875,A1101,'Base bordo CD'!A$2:A$875,B1101,'Base bordo CD'!L$2:L$875,"CORTE DE CANA MECANIZADO"),0)</f>
        <v>0</v>
      </c>
      <c r="S1101" s="30" t="str">
        <f t="shared" si="91"/>
        <v/>
      </c>
      <c r="T1101" s="9">
        <f t="shared" si="92"/>
        <v>0</v>
      </c>
      <c r="U1101" s="9">
        <f t="shared" si="93"/>
        <v>0</v>
      </c>
      <c r="V1101" s="9">
        <f t="shared" si="94"/>
        <v>0</v>
      </c>
    </row>
    <row r="1102" spans="1:22" hidden="1" x14ac:dyDescent="0.35">
      <c r="A1102" s="52">
        <v>49590</v>
      </c>
      <c r="B1102" s="31">
        <v>46117</v>
      </c>
      <c r="C1102" s="7" t="s">
        <v>321</v>
      </c>
      <c r="D1102" s="7">
        <v>351</v>
      </c>
      <c r="E1102" s="10">
        <f>IFERROR(SUMIFS('Base bordo CD'!M$2:M$875,'Base bordo CD'!D$2:D$875,A1102,'Base bordo CD'!A$2:A$875,B1102,'Base bordo CD'!L$2:L$875,"CORTE DE CANA MECANIZADO"),0)</f>
        <v>0</v>
      </c>
      <c r="F1102" s="10">
        <f>IFERROR(SUMIFS('Base bordo CD'!M$2:M$875,'Base bordo CD'!D$2:D$875,A1102,'Base bordo CD'!A$2:A$875,B1102,'Base bordo CD'!L$2:L$875,"MANOBRA"),0)</f>
        <v>0</v>
      </c>
      <c r="G1102" s="10">
        <f>IFERROR(SUMIFS('Base bordo CD'!M$2:M$875,'Base bordo CD'!D$2:D$875,A1102,'Base bordo CD'!A$2:A$875,B1102,'Base bordo CD'!L$2:L$875,"DESLOCAMENTO"),0)</f>
        <v>0</v>
      </c>
      <c r="H1102" s="10">
        <f>IFERROR(SUMIFS('Base bordo CD'!M$2:M$875,'Base bordo CD'!D$2:D$875,A1102,'Base bordo CD'!A$2:A$875,B1102,'Base bordo CD'!L$2:L$875,"AGUARDANDO MANOBRA DE TRANSBORDO"),0)+IFERROR(SUMIFS('Base bordo CD'!M$2:M$875,'Base bordo CD'!D$2:D$875,A1102,'Base bordo CD'!A$2:A$875,B1102,'Base bordo CD'!L$2:L$875,"FALTA DE TRANSBORDO"),0)</f>
        <v>0</v>
      </c>
      <c r="I1102" s="10">
        <f>IFERROR(SUMIFS('Base bordo CD'!M$2:M$875,'Base bordo CD'!D$2:D$875,A1102,'Base bordo CD'!A$2:A$875,B1102,'Base bordo CD'!L$2:L$875,"PARADA POR CONDICOES CLIMATICAS"),0)+IFERROR(SUMIFS('Base bordo CD'!M$2:M$875,'Base bordo CD'!D$2:D$875,A1102,'Base bordo CD'!A$2:A$875,B1102,'Base bordo CD'!L$2:L$875,"TEMPO INDETERMINADO"),0)</f>
        <v>0</v>
      </c>
      <c r="J1102" s="10">
        <f>IFERROR(SUMIFS('Base bordo CD'!M$2:M$875,'Base bordo CD'!D$2:D$875,A1102,'Base bordo CD'!A$2:A$875,B1102,'Base bordo CD'!L$2:L$875,"LIMITAÇÃO INDÚSTRIA"),0)</f>
        <v>0</v>
      </c>
      <c r="K1102" s="10">
        <f>IFERROR(SUMIFS('Base bordo CD'!M$2:M$875,'Base bordo CD'!D$2:D$875,A1102,'Base bordo CD'!A$2:A$875,B1102,'Base bordo CD'!L$2:L$875,"MAN CORRETIVA*"),0)+IFERROR(SUMIFS('Base bordo CD'!M$2:M$875,'Base bordo CD'!D$2:D$875,A1102,'Base bordo CD'!A$2:A$875,B1102,'Base bordo CD'!L$2:L$875,"AGUARDANDO MANUTENCAO*"),0)+IFERROR(SUMIFS('Base bordo CD'!M$2:M$875,'Base bordo CD'!D$2:D$875,A1102,'Base bordo CD'!A$2:A$875,B1102,'Base bordo CD'!L$2:L$875,"TROCA DE FAQUINHA"),0)+IFERROR(SUMIFS('Base bordo CD'!M$2:M$875,'Base bordo CD'!D$2:D$875,A1102,'Base bordo CD'!A$2:A$875,B1102,'Base bordo CD'!L$2:L$875,"LIMPEZA*"),0)</f>
        <v>0</v>
      </c>
      <c r="L1102" s="10">
        <f>IFERROR(SUMIFS('Base bordo CD'!M$2:M$875,'Base bordo CD'!D$2:D$875,A1102,'Base bordo CD'!A$2:A$875,B1102,'Base bordo CD'!L$2:L$875,"PATIO - RESERVA"),0)</f>
        <v>0</v>
      </c>
      <c r="M1102" s="10">
        <f>IFERROR(SUMIFS('Base bordo CD'!M$2:M$875,'Base bordo CD'!D$2:D$875,A1102,'Base bordo CD'!A$2:A$875,B1102,'Base bordo CD'!L$2:L$875,"SEM APONTAMENTO"),0)</f>
        <v>0</v>
      </c>
      <c r="N1102" s="10">
        <f>IFERROR(SUMIFS('Base bordo CD'!M$2:M$875,'Base bordo CD'!D$2:D$875,A1102,'Base bordo CD'!A$2:A$875,B1102,'Base bordo CD'!L$2:L$875,"FALTA DE CAMINHÃO"),0)+IFERROR(SUMIFS('Base bordo CD'!M$2:M$875,'Base bordo CD'!D$2:D$875,A1102,'Base bordo CD'!A$2:A$875,B1102,'Base bordo CD'!L$2:L$875,"FALTA DE COMBUSTIVEL"),0)+IFERROR(SUMIFS('Base bordo CD'!M$2:M$875,'Base bordo CD'!D$2:D$875,A1102,'Base bordo CD'!A$2:A$875,B1102,'Base bordo CD'!L$2:L$875,"FALTA DE MOTORIST*"),0)</f>
        <v>0</v>
      </c>
      <c r="O1102" s="10">
        <f t="shared" si="90"/>
        <v>0</v>
      </c>
      <c r="P1102" s="10">
        <f>IFERROR(SUMIFS('Base bordo CD'!M$2:M$875,'Base bordo CD'!D$2:D$875,A1102,'Base bordo CD'!A$2:A$875,B1102),0)</f>
        <v>0</v>
      </c>
      <c r="Q1102" s="10">
        <f>IFERROR(SUMIFS('Base bordo CD'!O$2:O$875,'Base bordo CD'!D$2:D$875,A1102,'Base bordo CD'!A$2:A$875,B1102,'Base bordo CD'!L$2:L$875,"CORTE DE CANA MECANIZADO"),0)</f>
        <v>0</v>
      </c>
      <c r="R1102" s="10">
        <f>IFERROR(SUMIFS('Base bordo CD'!Q$2:Q$875,'Base bordo CD'!D$2:D$875,A1102,'Base bordo CD'!A$2:A$875,B1102,'Base bordo CD'!L$2:L$875,"CORTE DE CANA MECANIZADO"),0)</f>
        <v>0</v>
      </c>
      <c r="S1102" s="30" t="str">
        <f t="shared" si="91"/>
        <v/>
      </c>
      <c r="T1102" s="9">
        <f t="shared" si="92"/>
        <v>0</v>
      </c>
      <c r="U1102" s="9">
        <f t="shared" si="93"/>
        <v>0</v>
      </c>
      <c r="V1102" s="9">
        <f t="shared" si="94"/>
        <v>0</v>
      </c>
    </row>
    <row r="1103" spans="1:22" hidden="1" x14ac:dyDescent="0.35">
      <c r="A1103" s="52">
        <v>49590</v>
      </c>
      <c r="B1103" s="31">
        <v>46117</v>
      </c>
      <c r="C1103" s="7" t="s">
        <v>321</v>
      </c>
      <c r="D1103" s="7">
        <v>351</v>
      </c>
      <c r="E1103" s="10">
        <f>IFERROR(SUMIFS('Base bordo CD'!M$2:M$875,'Base bordo CD'!D$2:D$875,A1103,'Base bordo CD'!A$2:A$875,B1103,'Base bordo CD'!L$2:L$875,"CORTE DE CANA MECANIZADO"),0)</f>
        <v>0</v>
      </c>
      <c r="F1103" s="10">
        <f>IFERROR(SUMIFS('Base bordo CD'!M$2:M$875,'Base bordo CD'!D$2:D$875,A1103,'Base bordo CD'!A$2:A$875,B1103,'Base bordo CD'!L$2:L$875,"MANOBRA"),0)</f>
        <v>0</v>
      </c>
      <c r="G1103" s="10">
        <f>IFERROR(SUMIFS('Base bordo CD'!M$2:M$875,'Base bordo CD'!D$2:D$875,A1103,'Base bordo CD'!A$2:A$875,B1103,'Base bordo CD'!L$2:L$875,"DESLOCAMENTO"),0)</f>
        <v>0</v>
      </c>
      <c r="H1103" s="10">
        <f>IFERROR(SUMIFS('Base bordo CD'!M$2:M$875,'Base bordo CD'!D$2:D$875,A1103,'Base bordo CD'!A$2:A$875,B1103,'Base bordo CD'!L$2:L$875,"AGUARDANDO MANOBRA DE TRANSBORDO"),0)+IFERROR(SUMIFS('Base bordo CD'!M$2:M$875,'Base bordo CD'!D$2:D$875,A1103,'Base bordo CD'!A$2:A$875,B1103,'Base bordo CD'!L$2:L$875,"FALTA DE TRANSBORDO"),0)</f>
        <v>0</v>
      </c>
      <c r="I1103" s="10">
        <f>IFERROR(SUMIFS('Base bordo CD'!M$2:M$875,'Base bordo CD'!D$2:D$875,A1103,'Base bordo CD'!A$2:A$875,B1103,'Base bordo CD'!L$2:L$875,"PARADA POR CONDICOES CLIMATICAS"),0)+IFERROR(SUMIFS('Base bordo CD'!M$2:M$875,'Base bordo CD'!D$2:D$875,A1103,'Base bordo CD'!A$2:A$875,B1103,'Base bordo CD'!L$2:L$875,"TEMPO INDETERMINADO"),0)</f>
        <v>0</v>
      </c>
      <c r="J1103" s="10">
        <f>IFERROR(SUMIFS('Base bordo CD'!M$2:M$875,'Base bordo CD'!D$2:D$875,A1103,'Base bordo CD'!A$2:A$875,B1103,'Base bordo CD'!L$2:L$875,"LIMITAÇÃO INDÚSTRIA"),0)</f>
        <v>0</v>
      </c>
      <c r="K1103" s="10">
        <f>IFERROR(SUMIFS('Base bordo CD'!M$2:M$875,'Base bordo CD'!D$2:D$875,A1103,'Base bordo CD'!A$2:A$875,B1103,'Base bordo CD'!L$2:L$875,"MAN CORRETIVA*"),0)+IFERROR(SUMIFS('Base bordo CD'!M$2:M$875,'Base bordo CD'!D$2:D$875,A1103,'Base bordo CD'!A$2:A$875,B1103,'Base bordo CD'!L$2:L$875,"AGUARDANDO MANUTENCAO*"),0)+IFERROR(SUMIFS('Base bordo CD'!M$2:M$875,'Base bordo CD'!D$2:D$875,A1103,'Base bordo CD'!A$2:A$875,B1103,'Base bordo CD'!L$2:L$875,"TROCA DE FAQUINHA"),0)+IFERROR(SUMIFS('Base bordo CD'!M$2:M$875,'Base bordo CD'!D$2:D$875,A1103,'Base bordo CD'!A$2:A$875,B1103,'Base bordo CD'!L$2:L$875,"LIMPEZA*"),0)</f>
        <v>0</v>
      </c>
      <c r="L1103" s="10">
        <f>IFERROR(SUMIFS('Base bordo CD'!M$2:M$875,'Base bordo CD'!D$2:D$875,A1103,'Base bordo CD'!A$2:A$875,B1103,'Base bordo CD'!L$2:L$875,"PATIO - RESERVA"),0)</f>
        <v>0</v>
      </c>
      <c r="M1103" s="10">
        <f>IFERROR(SUMIFS('Base bordo CD'!M$2:M$875,'Base bordo CD'!D$2:D$875,A1103,'Base bordo CD'!A$2:A$875,B1103,'Base bordo CD'!L$2:L$875,"SEM APONTAMENTO"),0)</f>
        <v>0</v>
      </c>
      <c r="N1103" s="10">
        <f>IFERROR(SUMIFS('Base bordo CD'!M$2:M$875,'Base bordo CD'!D$2:D$875,A1103,'Base bordo CD'!A$2:A$875,B1103,'Base bordo CD'!L$2:L$875,"FALTA DE CAMINHÃO"),0)+IFERROR(SUMIFS('Base bordo CD'!M$2:M$875,'Base bordo CD'!D$2:D$875,A1103,'Base bordo CD'!A$2:A$875,B1103,'Base bordo CD'!L$2:L$875,"FALTA DE COMBUSTIVEL"),0)+IFERROR(SUMIFS('Base bordo CD'!M$2:M$875,'Base bordo CD'!D$2:D$875,A1103,'Base bordo CD'!A$2:A$875,B1103,'Base bordo CD'!L$2:L$875,"FALTA DE MOTORIST*"),0)</f>
        <v>0</v>
      </c>
      <c r="O1103" s="10">
        <f t="shared" si="90"/>
        <v>0</v>
      </c>
      <c r="P1103" s="10">
        <f>IFERROR(SUMIFS('Base bordo CD'!M$2:M$875,'Base bordo CD'!D$2:D$875,A1103,'Base bordo CD'!A$2:A$875,B1103),0)</f>
        <v>0</v>
      </c>
      <c r="Q1103" s="10">
        <f>IFERROR(SUMIFS('Base bordo CD'!O$2:O$875,'Base bordo CD'!D$2:D$875,A1103,'Base bordo CD'!A$2:A$875,B1103,'Base bordo CD'!L$2:L$875,"CORTE DE CANA MECANIZADO"),0)</f>
        <v>0</v>
      </c>
      <c r="R1103" s="10">
        <f>IFERROR(SUMIFS('Base bordo CD'!Q$2:Q$875,'Base bordo CD'!D$2:D$875,A1103,'Base bordo CD'!A$2:A$875,B1103,'Base bordo CD'!L$2:L$875,"CORTE DE CANA MECANIZADO"),0)</f>
        <v>0</v>
      </c>
      <c r="S1103" s="30" t="str">
        <f t="shared" si="91"/>
        <v/>
      </c>
      <c r="T1103" s="9">
        <f t="shared" si="92"/>
        <v>0</v>
      </c>
      <c r="U1103" s="9">
        <f t="shared" si="93"/>
        <v>0</v>
      </c>
      <c r="V1103" s="9">
        <f t="shared" si="94"/>
        <v>0</v>
      </c>
    </row>
    <row r="1104" spans="1:22" hidden="1" x14ac:dyDescent="0.35">
      <c r="A1104" s="52">
        <v>49590</v>
      </c>
      <c r="B1104" s="31">
        <v>46117</v>
      </c>
      <c r="C1104" s="7" t="s">
        <v>321</v>
      </c>
      <c r="D1104" s="7">
        <v>351</v>
      </c>
      <c r="E1104" s="10">
        <f>IFERROR(SUMIFS('Base bordo CD'!M$2:M$875,'Base bordo CD'!D$2:D$875,A1104,'Base bordo CD'!A$2:A$875,B1104,'Base bordo CD'!L$2:L$875,"CORTE DE CANA MECANIZADO"),0)</f>
        <v>0</v>
      </c>
      <c r="F1104" s="10">
        <f>IFERROR(SUMIFS('Base bordo CD'!M$2:M$875,'Base bordo CD'!D$2:D$875,A1104,'Base bordo CD'!A$2:A$875,B1104,'Base bordo CD'!L$2:L$875,"MANOBRA"),0)</f>
        <v>0</v>
      </c>
      <c r="G1104" s="10">
        <f>IFERROR(SUMIFS('Base bordo CD'!M$2:M$875,'Base bordo CD'!D$2:D$875,A1104,'Base bordo CD'!A$2:A$875,B1104,'Base bordo CD'!L$2:L$875,"DESLOCAMENTO"),0)</f>
        <v>0</v>
      </c>
      <c r="H1104" s="10">
        <f>IFERROR(SUMIFS('Base bordo CD'!M$2:M$875,'Base bordo CD'!D$2:D$875,A1104,'Base bordo CD'!A$2:A$875,B1104,'Base bordo CD'!L$2:L$875,"AGUARDANDO MANOBRA DE TRANSBORDO"),0)+IFERROR(SUMIFS('Base bordo CD'!M$2:M$875,'Base bordo CD'!D$2:D$875,A1104,'Base bordo CD'!A$2:A$875,B1104,'Base bordo CD'!L$2:L$875,"FALTA DE TRANSBORDO"),0)</f>
        <v>0</v>
      </c>
      <c r="I1104" s="10">
        <f>IFERROR(SUMIFS('Base bordo CD'!M$2:M$875,'Base bordo CD'!D$2:D$875,A1104,'Base bordo CD'!A$2:A$875,B1104,'Base bordo CD'!L$2:L$875,"PARADA POR CONDICOES CLIMATICAS"),0)+IFERROR(SUMIFS('Base bordo CD'!M$2:M$875,'Base bordo CD'!D$2:D$875,A1104,'Base bordo CD'!A$2:A$875,B1104,'Base bordo CD'!L$2:L$875,"TEMPO INDETERMINADO"),0)</f>
        <v>0</v>
      </c>
      <c r="J1104" s="10">
        <f>IFERROR(SUMIFS('Base bordo CD'!M$2:M$875,'Base bordo CD'!D$2:D$875,A1104,'Base bordo CD'!A$2:A$875,B1104,'Base bordo CD'!L$2:L$875,"LIMITAÇÃO INDÚSTRIA"),0)</f>
        <v>0</v>
      </c>
      <c r="K1104" s="10">
        <f>IFERROR(SUMIFS('Base bordo CD'!M$2:M$875,'Base bordo CD'!D$2:D$875,A1104,'Base bordo CD'!A$2:A$875,B1104,'Base bordo CD'!L$2:L$875,"MAN CORRETIVA*"),0)+IFERROR(SUMIFS('Base bordo CD'!M$2:M$875,'Base bordo CD'!D$2:D$875,A1104,'Base bordo CD'!A$2:A$875,B1104,'Base bordo CD'!L$2:L$875,"AGUARDANDO MANUTENCAO*"),0)+IFERROR(SUMIFS('Base bordo CD'!M$2:M$875,'Base bordo CD'!D$2:D$875,A1104,'Base bordo CD'!A$2:A$875,B1104,'Base bordo CD'!L$2:L$875,"TROCA DE FAQUINHA"),0)+IFERROR(SUMIFS('Base bordo CD'!M$2:M$875,'Base bordo CD'!D$2:D$875,A1104,'Base bordo CD'!A$2:A$875,B1104,'Base bordo CD'!L$2:L$875,"LIMPEZA*"),0)</f>
        <v>0</v>
      </c>
      <c r="L1104" s="10">
        <f>IFERROR(SUMIFS('Base bordo CD'!M$2:M$875,'Base bordo CD'!D$2:D$875,A1104,'Base bordo CD'!A$2:A$875,B1104,'Base bordo CD'!L$2:L$875,"PATIO - RESERVA"),0)</f>
        <v>0</v>
      </c>
      <c r="M1104" s="10">
        <f>IFERROR(SUMIFS('Base bordo CD'!M$2:M$875,'Base bordo CD'!D$2:D$875,A1104,'Base bordo CD'!A$2:A$875,B1104,'Base bordo CD'!L$2:L$875,"SEM APONTAMENTO"),0)</f>
        <v>0</v>
      </c>
      <c r="N1104" s="10">
        <f>IFERROR(SUMIFS('Base bordo CD'!M$2:M$875,'Base bordo CD'!D$2:D$875,A1104,'Base bordo CD'!A$2:A$875,B1104,'Base bordo CD'!L$2:L$875,"FALTA DE CAMINHÃO"),0)+IFERROR(SUMIFS('Base bordo CD'!M$2:M$875,'Base bordo CD'!D$2:D$875,A1104,'Base bordo CD'!A$2:A$875,B1104,'Base bordo CD'!L$2:L$875,"FALTA DE COMBUSTIVEL"),0)+IFERROR(SUMIFS('Base bordo CD'!M$2:M$875,'Base bordo CD'!D$2:D$875,A1104,'Base bordo CD'!A$2:A$875,B1104,'Base bordo CD'!L$2:L$875,"FALTA DE MOTORIST*"),0)</f>
        <v>0</v>
      </c>
      <c r="O1104" s="10">
        <f t="shared" si="90"/>
        <v>0</v>
      </c>
      <c r="P1104" s="10">
        <f>IFERROR(SUMIFS('Base bordo CD'!M$2:M$875,'Base bordo CD'!D$2:D$875,A1104,'Base bordo CD'!A$2:A$875,B1104),0)</f>
        <v>0</v>
      </c>
      <c r="Q1104" s="10">
        <f>IFERROR(SUMIFS('Base bordo CD'!O$2:O$875,'Base bordo CD'!D$2:D$875,A1104,'Base bordo CD'!A$2:A$875,B1104,'Base bordo CD'!L$2:L$875,"CORTE DE CANA MECANIZADO"),0)</f>
        <v>0</v>
      </c>
      <c r="R1104" s="10">
        <f>IFERROR(SUMIFS('Base bordo CD'!Q$2:Q$875,'Base bordo CD'!D$2:D$875,A1104,'Base bordo CD'!A$2:A$875,B1104,'Base bordo CD'!L$2:L$875,"CORTE DE CANA MECANIZADO"),0)</f>
        <v>0</v>
      </c>
      <c r="S1104" s="30" t="str">
        <f t="shared" si="91"/>
        <v/>
      </c>
      <c r="T1104" s="9">
        <f t="shared" si="92"/>
        <v>0</v>
      </c>
      <c r="U1104" s="9">
        <f t="shared" si="93"/>
        <v>0</v>
      </c>
      <c r="V1104" s="9">
        <f t="shared" si="94"/>
        <v>0</v>
      </c>
    </row>
    <row r="1105" spans="1:22" hidden="1" x14ac:dyDescent="0.35">
      <c r="A1105" s="52">
        <v>49590</v>
      </c>
      <c r="B1105" s="31">
        <v>46117</v>
      </c>
      <c r="C1105" s="7" t="s">
        <v>321</v>
      </c>
      <c r="D1105" s="7">
        <v>351</v>
      </c>
      <c r="E1105" s="10">
        <f>IFERROR(SUMIFS('Base bordo CD'!M$2:M$875,'Base bordo CD'!D$2:D$875,A1105,'Base bordo CD'!A$2:A$875,B1105,'Base bordo CD'!L$2:L$875,"CORTE DE CANA MECANIZADO"),0)</f>
        <v>0</v>
      </c>
      <c r="F1105" s="10">
        <f>IFERROR(SUMIFS('Base bordo CD'!M$2:M$875,'Base bordo CD'!D$2:D$875,A1105,'Base bordo CD'!A$2:A$875,B1105,'Base bordo CD'!L$2:L$875,"MANOBRA"),0)</f>
        <v>0</v>
      </c>
      <c r="G1105" s="10">
        <f>IFERROR(SUMIFS('Base bordo CD'!M$2:M$875,'Base bordo CD'!D$2:D$875,A1105,'Base bordo CD'!A$2:A$875,B1105,'Base bordo CD'!L$2:L$875,"DESLOCAMENTO"),0)</f>
        <v>0</v>
      </c>
      <c r="H1105" s="10">
        <f>IFERROR(SUMIFS('Base bordo CD'!M$2:M$875,'Base bordo CD'!D$2:D$875,A1105,'Base bordo CD'!A$2:A$875,B1105,'Base bordo CD'!L$2:L$875,"AGUARDANDO MANOBRA DE TRANSBORDO"),0)+IFERROR(SUMIFS('Base bordo CD'!M$2:M$875,'Base bordo CD'!D$2:D$875,A1105,'Base bordo CD'!A$2:A$875,B1105,'Base bordo CD'!L$2:L$875,"FALTA DE TRANSBORDO"),0)</f>
        <v>0</v>
      </c>
      <c r="I1105" s="10">
        <f>IFERROR(SUMIFS('Base bordo CD'!M$2:M$875,'Base bordo CD'!D$2:D$875,A1105,'Base bordo CD'!A$2:A$875,B1105,'Base bordo CD'!L$2:L$875,"PARADA POR CONDICOES CLIMATICAS"),0)+IFERROR(SUMIFS('Base bordo CD'!M$2:M$875,'Base bordo CD'!D$2:D$875,A1105,'Base bordo CD'!A$2:A$875,B1105,'Base bordo CD'!L$2:L$875,"TEMPO INDETERMINADO"),0)</f>
        <v>0</v>
      </c>
      <c r="J1105" s="10">
        <f>IFERROR(SUMIFS('Base bordo CD'!M$2:M$875,'Base bordo CD'!D$2:D$875,A1105,'Base bordo CD'!A$2:A$875,B1105,'Base bordo CD'!L$2:L$875,"LIMITAÇÃO INDÚSTRIA"),0)</f>
        <v>0</v>
      </c>
      <c r="K1105" s="10">
        <f>IFERROR(SUMIFS('Base bordo CD'!M$2:M$875,'Base bordo CD'!D$2:D$875,A1105,'Base bordo CD'!A$2:A$875,B1105,'Base bordo CD'!L$2:L$875,"MAN CORRETIVA*"),0)+IFERROR(SUMIFS('Base bordo CD'!M$2:M$875,'Base bordo CD'!D$2:D$875,A1105,'Base bordo CD'!A$2:A$875,B1105,'Base bordo CD'!L$2:L$875,"AGUARDANDO MANUTENCAO*"),0)+IFERROR(SUMIFS('Base bordo CD'!M$2:M$875,'Base bordo CD'!D$2:D$875,A1105,'Base bordo CD'!A$2:A$875,B1105,'Base bordo CD'!L$2:L$875,"TROCA DE FAQUINHA"),0)+IFERROR(SUMIFS('Base bordo CD'!M$2:M$875,'Base bordo CD'!D$2:D$875,A1105,'Base bordo CD'!A$2:A$875,B1105,'Base bordo CD'!L$2:L$875,"LIMPEZA*"),0)</f>
        <v>0</v>
      </c>
      <c r="L1105" s="10">
        <f>IFERROR(SUMIFS('Base bordo CD'!M$2:M$875,'Base bordo CD'!D$2:D$875,A1105,'Base bordo CD'!A$2:A$875,B1105,'Base bordo CD'!L$2:L$875,"PATIO - RESERVA"),0)</f>
        <v>0</v>
      </c>
      <c r="M1105" s="10">
        <f>IFERROR(SUMIFS('Base bordo CD'!M$2:M$875,'Base bordo CD'!D$2:D$875,A1105,'Base bordo CD'!A$2:A$875,B1105,'Base bordo CD'!L$2:L$875,"SEM APONTAMENTO"),0)</f>
        <v>0</v>
      </c>
      <c r="N1105" s="10">
        <f>IFERROR(SUMIFS('Base bordo CD'!M$2:M$875,'Base bordo CD'!D$2:D$875,A1105,'Base bordo CD'!A$2:A$875,B1105,'Base bordo CD'!L$2:L$875,"FALTA DE CAMINHÃO"),0)+IFERROR(SUMIFS('Base bordo CD'!M$2:M$875,'Base bordo CD'!D$2:D$875,A1105,'Base bordo CD'!A$2:A$875,B1105,'Base bordo CD'!L$2:L$875,"FALTA DE COMBUSTIVEL"),0)+IFERROR(SUMIFS('Base bordo CD'!M$2:M$875,'Base bordo CD'!D$2:D$875,A1105,'Base bordo CD'!A$2:A$875,B1105,'Base bordo CD'!L$2:L$875,"FALTA DE MOTORIST*"),0)</f>
        <v>0</v>
      </c>
      <c r="O1105" s="10">
        <f t="shared" si="90"/>
        <v>0</v>
      </c>
      <c r="P1105" s="10">
        <f>IFERROR(SUMIFS('Base bordo CD'!M$2:M$875,'Base bordo CD'!D$2:D$875,A1105,'Base bordo CD'!A$2:A$875,B1105),0)</f>
        <v>0</v>
      </c>
      <c r="Q1105" s="10">
        <f>IFERROR(SUMIFS('Base bordo CD'!O$2:O$875,'Base bordo CD'!D$2:D$875,A1105,'Base bordo CD'!A$2:A$875,B1105,'Base bordo CD'!L$2:L$875,"CORTE DE CANA MECANIZADO"),0)</f>
        <v>0</v>
      </c>
      <c r="R1105" s="10">
        <f>IFERROR(SUMIFS('Base bordo CD'!Q$2:Q$875,'Base bordo CD'!D$2:D$875,A1105,'Base bordo CD'!A$2:A$875,B1105,'Base bordo CD'!L$2:L$875,"CORTE DE CANA MECANIZADO"),0)</f>
        <v>0</v>
      </c>
      <c r="S1105" s="30" t="str">
        <f t="shared" si="91"/>
        <v/>
      </c>
      <c r="T1105" s="9">
        <f t="shared" si="92"/>
        <v>0</v>
      </c>
      <c r="U1105" s="9">
        <f t="shared" si="93"/>
        <v>0</v>
      </c>
      <c r="V1105" s="9">
        <f t="shared" si="94"/>
        <v>0</v>
      </c>
    </row>
    <row r="1106" spans="1:22" hidden="1" x14ac:dyDescent="0.35">
      <c r="A1106" s="52">
        <v>49590</v>
      </c>
      <c r="B1106" s="31">
        <v>46117</v>
      </c>
      <c r="C1106" s="7" t="s">
        <v>321</v>
      </c>
      <c r="D1106" s="7">
        <v>351</v>
      </c>
      <c r="E1106" s="10">
        <f>IFERROR(SUMIFS('Base bordo CD'!M$2:M$875,'Base bordo CD'!D$2:D$875,A1106,'Base bordo CD'!A$2:A$875,B1106,'Base bordo CD'!L$2:L$875,"CORTE DE CANA MECANIZADO"),0)</f>
        <v>0</v>
      </c>
      <c r="F1106" s="10">
        <f>IFERROR(SUMIFS('Base bordo CD'!M$2:M$875,'Base bordo CD'!D$2:D$875,A1106,'Base bordo CD'!A$2:A$875,B1106,'Base bordo CD'!L$2:L$875,"MANOBRA"),0)</f>
        <v>0</v>
      </c>
      <c r="G1106" s="10">
        <f>IFERROR(SUMIFS('Base bordo CD'!M$2:M$875,'Base bordo CD'!D$2:D$875,A1106,'Base bordo CD'!A$2:A$875,B1106,'Base bordo CD'!L$2:L$875,"DESLOCAMENTO"),0)</f>
        <v>0</v>
      </c>
      <c r="H1106" s="10">
        <f>IFERROR(SUMIFS('Base bordo CD'!M$2:M$875,'Base bordo CD'!D$2:D$875,A1106,'Base bordo CD'!A$2:A$875,B1106,'Base bordo CD'!L$2:L$875,"AGUARDANDO MANOBRA DE TRANSBORDO"),0)+IFERROR(SUMIFS('Base bordo CD'!M$2:M$875,'Base bordo CD'!D$2:D$875,A1106,'Base bordo CD'!A$2:A$875,B1106,'Base bordo CD'!L$2:L$875,"FALTA DE TRANSBORDO"),0)</f>
        <v>0</v>
      </c>
      <c r="I1106" s="10">
        <f>IFERROR(SUMIFS('Base bordo CD'!M$2:M$875,'Base bordo CD'!D$2:D$875,A1106,'Base bordo CD'!A$2:A$875,B1106,'Base bordo CD'!L$2:L$875,"PARADA POR CONDICOES CLIMATICAS"),0)+IFERROR(SUMIFS('Base bordo CD'!M$2:M$875,'Base bordo CD'!D$2:D$875,A1106,'Base bordo CD'!A$2:A$875,B1106,'Base bordo CD'!L$2:L$875,"TEMPO INDETERMINADO"),0)</f>
        <v>0</v>
      </c>
      <c r="J1106" s="10">
        <f>IFERROR(SUMIFS('Base bordo CD'!M$2:M$875,'Base bordo CD'!D$2:D$875,A1106,'Base bordo CD'!A$2:A$875,B1106,'Base bordo CD'!L$2:L$875,"LIMITAÇÃO INDÚSTRIA"),0)</f>
        <v>0</v>
      </c>
      <c r="K1106" s="10">
        <f>IFERROR(SUMIFS('Base bordo CD'!M$2:M$875,'Base bordo CD'!D$2:D$875,A1106,'Base bordo CD'!A$2:A$875,B1106,'Base bordo CD'!L$2:L$875,"MAN CORRETIVA*"),0)+IFERROR(SUMIFS('Base bordo CD'!M$2:M$875,'Base bordo CD'!D$2:D$875,A1106,'Base bordo CD'!A$2:A$875,B1106,'Base bordo CD'!L$2:L$875,"AGUARDANDO MANUTENCAO*"),0)+IFERROR(SUMIFS('Base bordo CD'!M$2:M$875,'Base bordo CD'!D$2:D$875,A1106,'Base bordo CD'!A$2:A$875,B1106,'Base bordo CD'!L$2:L$875,"TROCA DE FAQUINHA"),0)+IFERROR(SUMIFS('Base bordo CD'!M$2:M$875,'Base bordo CD'!D$2:D$875,A1106,'Base bordo CD'!A$2:A$875,B1106,'Base bordo CD'!L$2:L$875,"LIMPEZA*"),0)</f>
        <v>0</v>
      </c>
      <c r="L1106" s="10">
        <f>IFERROR(SUMIFS('Base bordo CD'!M$2:M$875,'Base bordo CD'!D$2:D$875,A1106,'Base bordo CD'!A$2:A$875,B1106,'Base bordo CD'!L$2:L$875,"PATIO - RESERVA"),0)</f>
        <v>0</v>
      </c>
      <c r="M1106" s="10">
        <f>IFERROR(SUMIFS('Base bordo CD'!M$2:M$875,'Base bordo CD'!D$2:D$875,A1106,'Base bordo CD'!A$2:A$875,B1106,'Base bordo CD'!L$2:L$875,"SEM APONTAMENTO"),0)</f>
        <v>0</v>
      </c>
      <c r="N1106" s="10">
        <f>IFERROR(SUMIFS('Base bordo CD'!M$2:M$875,'Base bordo CD'!D$2:D$875,A1106,'Base bordo CD'!A$2:A$875,B1106,'Base bordo CD'!L$2:L$875,"FALTA DE CAMINHÃO"),0)+IFERROR(SUMIFS('Base bordo CD'!M$2:M$875,'Base bordo CD'!D$2:D$875,A1106,'Base bordo CD'!A$2:A$875,B1106,'Base bordo CD'!L$2:L$875,"FALTA DE COMBUSTIVEL"),0)+IFERROR(SUMIFS('Base bordo CD'!M$2:M$875,'Base bordo CD'!D$2:D$875,A1106,'Base bordo CD'!A$2:A$875,B1106,'Base bordo CD'!L$2:L$875,"FALTA DE MOTORIST*"),0)</f>
        <v>0</v>
      </c>
      <c r="O1106" s="10">
        <f t="shared" si="90"/>
        <v>0</v>
      </c>
      <c r="P1106" s="10">
        <f>IFERROR(SUMIFS('Base bordo CD'!M$2:M$875,'Base bordo CD'!D$2:D$875,A1106,'Base bordo CD'!A$2:A$875,B1106),0)</f>
        <v>0</v>
      </c>
      <c r="Q1106" s="10">
        <f>IFERROR(SUMIFS('Base bordo CD'!O$2:O$875,'Base bordo CD'!D$2:D$875,A1106,'Base bordo CD'!A$2:A$875,B1106,'Base bordo CD'!L$2:L$875,"CORTE DE CANA MECANIZADO"),0)</f>
        <v>0</v>
      </c>
      <c r="R1106" s="10">
        <f>IFERROR(SUMIFS('Base bordo CD'!Q$2:Q$875,'Base bordo CD'!D$2:D$875,A1106,'Base bordo CD'!A$2:A$875,B1106,'Base bordo CD'!L$2:L$875,"CORTE DE CANA MECANIZADO"),0)</f>
        <v>0</v>
      </c>
      <c r="S1106" s="30" t="str">
        <f t="shared" si="91"/>
        <v/>
      </c>
      <c r="T1106" s="9">
        <f t="shared" si="92"/>
        <v>0</v>
      </c>
      <c r="U1106" s="9">
        <f t="shared" si="93"/>
        <v>0</v>
      </c>
      <c r="V1106" s="9">
        <f t="shared" si="94"/>
        <v>0</v>
      </c>
    </row>
    <row r="1107" spans="1:22" hidden="1" x14ac:dyDescent="0.35">
      <c r="A1107" s="52">
        <v>49590</v>
      </c>
      <c r="B1107" s="31">
        <v>46117</v>
      </c>
      <c r="C1107" s="7" t="s">
        <v>321</v>
      </c>
      <c r="D1107" s="7">
        <v>351</v>
      </c>
      <c r="E1107" s="10">
        <f>IFERROR(SUMIFS('Base bordo CD'!M$2:M$875,'Base bordo CD'!D$2:D$875,A1107,'Base bordo CD'!A$2:A$875,B1107,'Base bordo CD'!L$2:L$875,"CORTE DE CANA MECANIZADO"),0)</f>
        <v>0</v>
      </c>
      <c r="F1107" s="10">
        <f>IFERROR(SUMIFS('Base bordo CD'!M$2:M$875,'Base bordo CD'!D$2:D$875,A1107,'Base bordo CD'!A$2:A$875,B1107,'Base bordo CD'!L$2:L$875,"MANOBRA"),0)</f>
        <v>0</v>
      </c>
      <c r="G1107" s="10">
        <f>IFERROR(SUMIFS('Base bordo CD'!M$2:M$875,'Base bordo CD'!D$2:D$875,A1107,'Base bordo CD'!A$2:A$875,B1107,'Base bordo CD'!L$2:L$875,"DESLOCAMENTO"),0)</f>
        <v>0</v>
      </c>
      <c r="H1107" s="10">
        <f>IFERROR(SUMIFS('Base bordo CD'!M$2:M$875,'Base bordo CD'!D$2:D$875,A1107,'Base bordo CD'!A$2:A$875,B1107,'Base bordo CD'!L$2:L$875,"AGUARDANDO MANOBRA DE TRANSBORDO"),0)+IFERROR(SUMIFS('Base bordo CD'!M$2:M$875,'Base bordo CD'!D$2:D$875,A1107,'Base bordo CD'!A$2:A$875,B1107,'Base bordo CD'!L$2:L$875,"FALTA DE TRANSBORDO"),0)</f>
        <v>0</v>
      </c>
      <c r="I1107" s="10">
        <f>IFERROR(SUMIFS('Base bordo CD'!M$2:M$875,'Base bordo CD'!D$2:D$875,A1107,'Base bordo CD'!A$2:A$875,B1107,'Base bordo CD'!L$2:L$875,"PARADA POR CONDICOES CLIMATICAS"),0)+IFERROR(SUMIFS('Base bordo CD'!M$2:M$875,'Base bordo CD'!D$2:D$875,A1107,'Base bordo CD'!A$2:A$875,B1107,'Base bordo CD'!L$2:L$875,"TEMPO INDETERMINADO"),0)</f>
        <v>0</v>
      </c>
      <c r="J1107" s="10">
        <f>IFERROR(SUMIFS('Base bordo CD'!M$2:M$875,'Base bordo CD'!D$2:D$875,A1107,'Base bordo CD'!A$2:A$875,B1107,'Base bordo CD'!L$2:L$875,"LIMITAÇÃO INDÚSTRIA"),0)</f>
        <v>0</v>
      </c>
      <c r="K1107" s="10">
        <f>IFERROR(SUMIFS('Base bordo CD'!M$2:M$875,'Base bordo CD'!D$2:D$875,A1107,'Base bordo CD'!A$2:A$875,B1107,'Base bordo CD'!L$2:L$875,"MAN CORRETIVA*"),0)+IFERROR(SUMIFS('Base bordo CD'!M$2:M$875,'Base bordo CD'!D$2:D$875,A1107,'Base bordo CD'!A$2:A$875,B1107,'Base bordo CD'!L$2:L$875,"AGUARDANDO MANUTENCAO*"),0)+IFERROR(SUMIFS('Base bordo CD'!M$2:M$875,'Base bordo CD'!D$2:D$875,A1107,'Base bordo CD'!A$2:A$875,B1107,'Base bordo CD'!L$2:L$875,"TROCA DE FAQUINHA"),0)+IFERROR(SUMIFS('Base bordo CD'!M$2:M$875,'Base bordo CD'!D$2:D$875,A1107,'Base bordo CD'!A$2:A$875,B1107,'Base bordo CD'!L$2:L$875,"LIMPEZA*"),0)</f>
        <v>0</v>
      </c>
      <c r="L1107" s="10">
        <f>IFERROR(SUMIFS('Base bordo CD'!M$2:M$875,'Base bordo CD'!D$2:D$875,A1107,'Base bordo CD'!A$2:A$875,B1107,'Base bordo CD'!L$2:L$875,"PATIO - RESERVA"),0)</f>
        <v>0</v>
      </c>
      <c r="M1107" s="10">
        <f>IFERROR(SUMIFS('Base bordo CD'!M$2:M$875,'Base bordo CD'!D$2:D$875,A1107,'Base bordo CD'!A$2:A$875,B1107,'Base bordo CD'!L$2:L$875,"SEM APONTAMENTO"),0)</f>
        <v>0</v>
      </c>
      <c r="N1107" s="10">
        <f>IFERROR(SUMIFS('Base bordo CD'!M$2:M$875,'Base bordo CD'!D$2:D$875,A1107,'Base bordo CD'!A$2:A$875,B1107,'Base bordo CD'!L$2:L$875,"FALTA DE CAMINHÃO"),0)+IFERROR(SUMIFS('Base bordo CD'!M$2:M$875,'Base bordo CD'!D$2:D$875,A1107,'Base bordo CD'!A$2:A$875,B1107,'Base bordo CD'!L$2:L$875,"FALTA DE COMBUSTIVEL"),0)+IFERROR(SUMIFS('Base bordo CD'!M$2:M$875,'Base bordo CD'!D$2:D$875,A1107,'Base bordo CD'!A$2:A$875,B1107,'Base bordo CD'!L$2:L$875,"FALTA DE MOTORIST*"),0)</f>
        <v>0</v>
      </c>
      <c r="O1107" s="10">
        <f t="shared" si="90"/>
        <v>0</v>
      </c>
      <c r="P1107" s="10">
        <f>IFERROR(SUMIFS('Base bordo CD'!M$2:M$875,'Base bordo CD'!D$2:D$875,A1107,'Base bordo CD'!A$2:A$875,B1107),0)</f>
        <v>0</v>
      </c>
      <c r="Q1107" s="10">
        <f>IFERROR(SUMIFS('Base bordo CD'!O$2:O$875,'Base bordo CD'!D$2:D$875,A1107,'Base bordo CD'!A$2:A$875,B1107,'Base bordo CD'!L$2:L$875,"CORTE DE CANA MECANIZADO"),0)</f>
        <v>0</v>
      </c>
      <c r="R1107" s="10">
        <f>IFERROR(SUMIFS('Base bordo CD'!Q$2:Q$875,'Base bordo CD'!D$2:D$875,A1107,'Base bordo CD'!A$2:A$875,B1107,'Base bordo CD'!L$2:L$875,"CORTE DE CANA MECANIZADO"),0)</f>
        <v>0</v>
      </c>
      <c r="S1107" s="30" t="str">
        <f t="shared" si="91"/>
        <v/>
      </c>
      <c r="T1107" s="9">
        <f t="shared" si="92"/>
        <v>0</v>
      </c>
      <c r="U1107" s="9">
        <f t="shared" si="93"/>
        <v>0</v>
      </c>
      <c r="V1107" s="9">
        <f t="shared" si="94"/>
        <v>0</v>
      </c>
    </row>
    <row r="1108" spans="1:22" hidden="1" x14ac:dyDescent="0.35">
      <c r="A1108" s="52">
        <v>49591</v>
      </c>
      <c r="B1108" s="31">
        <v>46117</v>
      </c>
      <c r="C1108" s="7" t="s">
        <v>364</v>
      </c>
      <c r="D1108" s="7">
        <v>352</v>
      </c>
      <c r="E1108" s="10">
        <f>IFERROR(SUMIFS('Base bordo CD'!M$2:M$875,'Base bordo CD'!D$2:D$875,A1108,'Base bordo CD'!A$2:A$875,B1108,'Base bordo CD'!L$2:L$875,"CORTE DE CANA MECANIZADO"),0)</f>
        <v>0</v>
      </c>
      <c r="F1108" s="10">
        <f>IFERROR(SUMIFS('Base bordo CD'!M$2:M$875,'Base bordo CD'!D$2:D$875,A1108,'Base bordo CD'!A$2:A$875,B1108,'Base bordo CD'!L$2:L$875,"MANOBRA"),0)</f>
        <v>0</v>
      </c>
      <c r="G1108" s="10">
        <f>IFERROR(SUMIFS('Base bordo CD'!M$2:M$875,'Base bordo CD'!D$2:D$875,A1108,'Base bordo CD'!A$2:A$875,B1108,'Base bordo CD'!L$2:L$875,"DESLOCAMENTO"),0)</f>
        <v>0</v>
      </c>
      <c r="H1108" s="10">
        <f>IFERROR(SUMIFS('Base bordo CD'!M$2:M$875,'Base bordo CD'!D$2:D$875,A1108,'Base bordo CD'!A$2:A$875,B1108,'Base bordo CD'!L$2:L$875,"AGUARDANDO MANOBRA DE TRANSBORDO"),0)+IFERROR(SUMIFS('Base bordo CD'!M$2:M$875,'Base bordo CD'!D$2:D$875,A1108,'Base bordo CD'!A$2:A$875,B1108,'Base bordo CD'!L$2:L$875,"FALTA DE TRANSBORDO"),0)</f>
        <v>0</v>
      </c>
      <c r="I1108" s="10">
        <f>IFERROR(SUMIFS('Base bordo CD'!M$2:M$875,'Base bordo CD'!D$2:D$875,A1108,'Base bordo CD'!A$2:A$875,B1108,'Base bordo CD'!L$2:L$875,"PARADA POR CONDICOES CLIMATICAS"),0)+IFERROR(SUMIFS('Base bordo CD'!M$2:M$875,'Base bordo CD'!D$2:D$875,A1108,'Base bordo CD'!A$2:A$875,B1108,'Base bordo CD'!L$2:L$875,"TEMPO INDETERMINADO"),0)</f>
        <v>0</v>
      </c>
      <c r="J1108" s="10">
        <f>IFERROR(SUMIFS('Base bordo CD'!M$2:M$875,'Base bordo CD'!D$2:D$875,A1108,'Base bordo CD'!A$2:A$875,B1108,'Base bordo CD'!L$2:L$875,"LIMITAÇÃO INDÚSTRIA"),0)</f>
        <v>0</v>
      </c>
      <c r="K1108" s="10">
        <f>IFERROR(SUMIFS('Base bordo CD'!M$2:M$875,'Base bordo CD'!D$2:D$875,A1108,'Base bordo CD'!A$2:A$875,B1108,'Base bordo CD'!L$2:L$875,"MAN CORRETIVA*"),0)+IFERROR(SUMIFS('Base bordo CD'!M$2:M$875,'Base bordo CD'!D$2:D$875,A1108,'Base bordo CD'!A$2:A$875,B1108,'Base bordo CD'!L$2:L$875,"AGUARDANDO MANUTENCAO*"),0)+IFERROR(SUMIFS('Base bordo CD'!M$2:M$875,'Base bordo CD'!D$2:D$875,A1108,'Base bordo CD'!A$2:A$875,B1108,'Base bordo CD'!L$2:L$875,"TROCA DE FAQUINHA"),0)+IFERROR(SUMIFS('Base bordo CD'!M$2:M$875,'Base bordo CD'!D$2:D$875,A1108,'Base bordo CD'!A$2:A$875,B1108,'Base bordo CD'!L$2:L$875,"LIMPEZA*"),0)</f>
        <v>0</v>
      </c>
      <c r="L1108" s="10">
        <f>IFERROR(SUMIFS('Base bordo CD'!M$2:M$875,'Base bordo CD'!D$2:D$875,A1108,'Base bordo CD'!A$2:A$875,B1108,'Base bordo CD'!L$2:L$875,"PATIO - RESERVA"),0)</f>
        <v>0</v>
      </c>
      <c r="M1108" s="10">
        <f>IFERROR(SUMIFS('Base bordo CD'!M$2:M$875,'Base bordo CD'!D$2:D$875,A1108,'Base bordo CD'!A$2:A$875,B1108,'Base bordo CD'!L$2:L$875,"SEM APONTAMENTO"),0)</f>
        <v>0</v>
      </c>
      <c r="N1108" s="10">
        <f>IFERROR(SUMIFS('Base bordo CD'!M$2:M$875,'Base bordo CD'!D$2:D$875,A1108,'Base bordo CD'!A$2:A$875,B1108,'Base bordo CD'!L$2:L$875,"FALTA DE CAMINHÃO"),0)+IFERROR(SUMIFS('Base bordo CD'!M$2:M$875,'Base bordo CD'!D$2:D$875,A1108,'Base bordo CD'!A$2:A$875,B1108,'Base bordo CD'!L$2:L$875,"FALTA DE COMBUSTIVEL"),0)+IFERROR(SUMIFS('Base bordo CD'!M$2:M$875,'Base bordo CD'!D$2:D$875,A1108,'Base bordo CD'!A$2:A$875,B1108,'Base bordo CD'!L$2:L$875,"FALTA DE MOTORIST*"),0)</f>
        <v>0</v>
      </c>
      <c r="O1108" s="10">
        <f t="shared" si="90"/>
        <v>0</v>
      </c>
      <c r="P1108" s="10">
        <f>IFERROR(SUMIFS('Base bordo CD'!M$2:M$875,'Base bordo CD'!D$2:D$875,A1108,'Base bordo CD'!A$2:A$875,B1108),0)</f>
        <v>0</v>
      </c>
      <c r="Q1108" s="10">
        <f>IFERROR(SUMIFS('Base bordo CD'!O$2:O$875,'Base bordo CD'!D$2:D$875,A1108,'Base bordo CD'!A$2:A$875,B1108,'Base bordo CD'!L$2:L$875,"CORTE DE CANA MECANIZADO"),0)</f>
        <v>0</v>
      </c>
      <c r="R1108" s="10">
        <f>IFERROR(SUMIFS('Base bordo CD'!Q$2:Q$875,'Base bordo CD'!D$2:D$875,A1108,'Base bordo CD'!A$2:A$875,B1108,'Base bordo CD'!L$2:L$875,"CORTE DE CANA MECANIZADO"),0)</f>
        <v>0</v>
      </c>
      <c r="S1108" s="30" t="str">
        <f t="shared" si="91"/>
        <v/>
      </c>
      <c r="T1108" s="9">
        <f t="shared" si="92"/>
        <v>0</v>
      </c>
      <c r="U1108" s="9">
        <f t="shared" si="93"/>
        <v>0</v>
      </c>
      <c r="V1108" s="9">
        <f t="shared" si="94"/>
        <v>0</v>
      </c>
    </row>
    <row r="1109" spans="1:22" hidden="1" x14ac:dyDescent="0.35">
      <c r="A1109" s="52">
        <v>49591</v>
      </c>
      <c r="B1109" s="31">
        <v>46117</v>
      </c>
      <c r="C1109" s="7" t="s">
        <v>364</v>
      </c>
      <c r="D1109" s="7">
        <v>352</v>
      </c>
      <c r="E1109" s="10">
        <f>IFERROR(SUMIFS('Base bordo CD'!M$2:M$875,'Base bordo CD'!D$2:D$875,A1109,'Base bordo CD'!A$2:A$875,B1109,'Base bordo CD'!L$2:L$875,"CORTE DE CANA MECANIZADO"),0)</f>
        <v>0</v>
      </c>
      <c r="F1109" s="10">
        <f>IFERROR(SUMIFS('Base bordo CD'!M$2:M$875,'Base bordo CD'!D$2:D$875,A1109,'Base bordo CD'!A$2:A$875,B1109,'Base bordo CD'!L$2:L$875,"MANOBRA"),0)</f>
        <v>0</v>
      </c>
      <c r="G1109" s="10">
        <f>IFERROR(SUMIFS('Base bordo CD'!M$2:M$875,'Base bordo CD'!D$2:D$875,A1109,'Base bordo CD'!A$2:A$875,B1109,'Base bordo CD'!L$2:L$875,"DESLOCAMENTO"),0)</f>
        <v>0</v>
      </c>
      <c r="H1109" s="10">
        <f>IFERROR(SUMIFS('Base bordo CD'!M$2:M$875,'Base bordo CD'!D$2:D$875,A1109,'Base bordo CD'!A$2:A$875,B1109,'Base bordo CD'!L$2:L$875,"AGUARDANDO MANOBRA DE TRANSBORDO"),0)+IFERROR(SUMIFS('Base bordo CD'!M$2:M$875,'Base bordo CD'!D$2:D$875,A1109,'Base bordo CD'!A$2:A$875,B1109,'Base bordo CD'!L$2:L$875,"FALTA DE TRANSBORDO"),0)</f>
        <v>0</v>
      </c>
      <c r="I1109" s="10">
        <f>IFERROR(SUMIFS('Base bordo CD'!M$2:M$875,'Base bordo CD'!D$2:D$875,A1109,'Base bordo CD'!A$2:A$875,B1109,'Base bordo CD'!L$2:L$875,"PARADA POR CONDICOES CLIMATICAS"),0)+IFERROR(SUMIFS('Base bordo CD'!M$2:M$875,'Base bordo CD'!D$2:D$875,A1109,'Base bordo CD'!A$2:A$875,B1109,'Base bordo CD'!L$2:L$875,"TEMPO INDETERMINADO"),0)</f>
        <v>0</v>
      </c>
      <c r="J1109" s="10">
        <f>IFERROR(SUMIFS('Base bordo CD'!M$2:M$875,'Base bordo CD'!D$2:D$875,A1109,'Base bordo CD'!A$2:A$875,B1109,'Base bordo CD'!L$2:L$875,"LIMITAÇÃO INDÚSTRIA"),0)</f>
        <v>0</v>
      </c>
      <c r="K1109" s="10">
        <f>IFERROR(SUMIFS('Base bordo CD'!M$2:M$875,'Base bordo CD'!D$2:D$875,A1109,'Base bordo CD'!A$2:A$875,B1109,'Base bordo CD'!L$2:L$875,"MAN CORRETIVA*"),0)+IFERROR(SUMIFS('Base bordo CD'!M$2:M$875,'Base bordo CD'!D$2:D$875,A1109,'Base bordo CD'!A$2:A$875,B1109,'Base bordo CD'!L$2:L$875,"AGUARDANDO MANUTENCAO*"),0)+IFERROR(SUMIFS('Base bordo CD'!M$2:M$875,'Base bordo CD'!D$2:D$875,A1109,'Base bordo CD'!A$2:A$875,B1109,'Base bordo CD'!L$2:L$875,"TROCA DE FAQUINHA"),0)+IFERROR(SUMIFS('Base bordo CD'!M$2:M$875,'Base bordo CD'!D$2:D$875,A1109,'Base bordo CD'!A$2:A$875,B1109,'Base bordo CD'!L$2:L$875,"LIMPEZA*"),0)</f>
        <v>0</v>
      </c>
      <c r="L1109" s="10">
        <f>IFERROR(SUMIFS('Base bordo CD'!M$2:M$875,'Base bordo CD'!D$2:D$875,A1109,'Base bordo CD'!A$2:A$875,B1109,'Base bordo CD'!L$2:L$875,"PATIO - RESERVA"),0)</f>
        <v>0</v>
      </c>
      <c r="M1109" s="10">
        <f>IFERROR(SUMIFS('Base bordo CD'!M$2:M$875,'Base bordo CD'!D$2:D$875,A1109,'Base bordo CD'!A$2:A$875,B1109,'Base bordo CD'!L$2:L$875,"SEM APONTAMENTO"),0)</f>
        <v>0</v>
      </c>
      <c r="N1109" s="10">
        <f>IFERROR(SUMIFS('Base bordo CD'!M$2:M$875,'Base bordo CD'!D$2:D$875,A1109,'Base bordo CD'!A$2:A$875,B1109,'Base bordo CD'!L$2:L$875,"FALTA DE CAMINHÃO"),0)+IFERROR(SUMIFS('Base bordo CD'!M$2:M$875,'Base bordo CD'!D$2:D$875,A1109,'Base bordo CD'!A$2:A$875,B1109,'Base bordo CD'!L$2:L$875,"FALTA DE COMBUSTIVEL"),0)+IFERROR(SUMIFS('Base bordo CD'!M$2:M$875,'Base bordo CD'!D$2:D$875,A1109,'Base bordo CD'!A$2:A$875,B1109,'Base bordo CD'!L$2:L$875,"FALTA DE MOTORIST*"),0)</f>
        <v>0</v>
      </c>
      <c r="O1109" s="10">
        <f t="shared" si="90"/>
        <v>0</v>
      </c>
      <c r="P1109" s="10">
        <f>IFERROR(SUMIFS('Base bordo CD'!M$2:M$875,'Base bordo CD'!D$2:D$875,A1109,'Base bordo CD'!A$2:A$875,B1109),0)</f>
        <v>0</v>
      </c>
      <c r="Q1109" s="10">
        <f>IFERROR(SUMIFS('Base bordo CD'!O$2:O$875,'Base bordo CD'!D$2:D$875,A1109,'Base bordo CD'!A$2:A$875,B1109,'Base bordo CD'!L$2:L$875,"CORTE DE CANA MECANIZADO"),0)</f>
        <v>0</v>
      </c>
      <c r="R1109" s="10">
        <f>IFERROR(SUMIFS('Base bordo CD'!Q$2:Q$875,'Base bordo CD'!D$2:D$875,A1109,'Base bordo CD'!A$2:A$875,B1109,'Base bordo CD'!L$2:L$875,"CORTE DE CANA MECANIZADO"),0)</f>
        <v>0</v>
      </c>
      <c r="S1109" s="30" t="str">
        <f t="shared" si="91"/>
        <v/>
      </c>
      <c r="T1109" s="9">
        <f t="shared" si="92"/>
        <v>0</v>
      </c>
      <c r="U1109" s="9">
        <f t="shared" si="93"/>
        <v>0</v>
      </c>
      <c r="V1109" s="9">
        <f t="shared" si="94"/>
        <v>0</v>
      </c>
    </row>
    <row r="1110" spans="1:22" hidden="1" x14ac:dyDescent="0.35">
      <c r="A1110" s="52">
        <v>49591</v>
      </c>
      <c r="B1110" s="31">
        <v>46117</v>
      </c>
      <c r="C1110" s="7" t="s">
        <v>364</v>
      </c>
      <c r="D1110" s="7">
        <v>352</v>
      </c>
      <c r="E1110" s="10">
        <f>IFERROR(SUMIFS('Base bordo CD'!M$2:M$875,'Base bordo CD'!D$2:D$875,A1110,'Base bordo CD'!A$2:A$875,B1110,'Base bordo CD'!L$2:L$875,"CORTE DE CANA MECANIZADO"),0)</f>
        <v>0</v>
      </c>
      <c r="F1110" s="10">
        <f>IFERROR(SUMIFS('Base bordo CD'!M$2:M$875,'Base bordo CD'!D$2:D$875,A1110,'Base bordo CD'!A$2:A$875,B1110,'Base bordo CD'!L$2:L$875,"MANOBRA"),0)</f>
        <v>0</v>
      </c>
      <c r="G1110" s="10">
        <f>IFERROR(SUMIFS('Base bordo CD'!M$2:M$875,'Base bordo CD'!D$2:D$875,A1110,'Base bordo CD'!A$2:A$875,B1110,'Base bordo CD'!L$2:L$875,"DESLOCAMENTO"),0)</f>
        <v>0</v>
      </c>
      <c r="H1110" s="10">
        <f>IFERROR(SUMIFS('Base bordo CD'!M$2:M$875,'Base bordo CD'!D$2:D$875,A1110,'Base bordo CD'!A$2:A$875,B1110,'Base bordo CD'!L$2:L$875,"AGUARDANDO MANOBRA DE TRANSBORDO"),0)+IFERROR(SUMIFS('Base bordo CD'!M$2:M$875,'Base bordo CD'!D$2:D$875,A1110,'Base bordo CD'!A$2:A$875,B1110,'Base bordo CD'!L$2:L$875,"FALTA DE TRANSBORDO"),0)</f>
        <v>0</v>
      </c>
      <c r="I1110" s="10">
        <f>IFERROR(SUMIFS('Base bordo CD'!M$2:M$875,'Base bordo CD'!D$2:D$875,A1110,'Base bordo CD'!A$2:A$875,B1110,'Base bordo CD'!L$2:L$875,"PARADA POR CONDICOES CLIMATICAS"),0)+IFERROR(SUMIFS('Base bordo CD'!M$2:M$875,'Base bordo CD'!D$2:D$875,A1110,'Base bordo CD'!A$2:A$875,B1110,'Base bordo CD'!L$2:L$875,"TEMPO INDETERMINADO"),0)</f>
        <v>0</v>
      </c>
      <c r="J1110" s="10">
        <f>IFERROR(SUMIFS('Base bordo CD'!M$2:M$875,'Base bordo CD'!D$2:D$875,A1110,'Base bordo CD'!A$2:A$875,B1110,'Base bordo CD'!L$2:L$875,"LIMITAÇÃO INDÚSTRIA"),0)</f>
        <v>0</v>
      </c>
      <c r="K1110" s="10">
        <f>IFERROR(SUMIFS('Base bordo CD'!M$2:M$875,'Base bordo CD'!D$2:D$875,A1110,'Base bordo CD'!A$2:A$875,B1110,'Base bordo CD'!L$2:L$875,"MAN CORRETIVA*"),0)+IFERROR(SUMIFS('Base bordo CD'!M$2:M$875,'Base bordo CD'!D$2:D$875,A1110,'Base bordo CD'!A$2:A$875,B1110,'Base bordo CD'!L$2:L$875,"AGUARDANDO MANUTENCAO*"),0)+IFERROR(SUMIFS('Base bordo CD'!M$2:M$875,'Base bordo CD'!D$2:D$875,A1110,'Base bordo CD'!A$2:A$875,B1110,'Base bordo CD'!L$2:L$875,"TROCA DE FAQUINHA"),0)+IFERROR(SUMIFS('Base bordo CD'!M$2:M$875,'Base bordo CD'!D$2:D$875,A1110,'Base bordo CD'!A$2:A$875,B1110,'Base bordo CD'!L$2:L$875,"LIMPEZA*"),0)</f>
        <v>0</v>
      </c>
      <c r="L1110" s="10">
        <f>IFERROR(SUMIFS('Base bordo CD'!M$2:M$875,'Base bordo CD'!D$2:D$875,A1110,'Base bordo CD'!A$2:A$875,B1110,'Base bordo CD'!L$2:L$875,"PATIO - RESERVA"),0)</f>
        <v>0</v>
      </c>
      <c r="M1110" s="10">
        <f>IFERROR(SUMIFS('Base bordo CD'!M$2:M$875,'Base bordo CD'!D$2:D$875,A1110,'Base bordo CD'!A$2:A$875,B1110,'Base bordo CD'!L$2:L$875,"SEM APONTAMENTO"),0)</f>
        <v>0</v>
      </c>
      <c r="N1110" s="10">
        <f>IFERROR(SUMIFS('Base bordo CD'!M$2:M$875,'Base bordo CD'!D$2:D$875,A1110,'Base bordo CD'!A$2:A$875,B1110,'Base bordo CD'!L$2:L$875,"FALTA DE CAMINHÃO"),0)+IFERROR(SUMIFS('Base bordo CD'!M$2:M$875,'Base bordo CD'!D$2:D$875,A1110,'Base bordo CD'!A$2:A$875,B1110,'Base bordo CD'!L$2:L$875,"FALTA DE COMBUSTIVEL"),0)+IFERROR(SUMIFS('Base bordo CD'!M$2:M$875,'Base bordo CD'!D$2:D$875,A1110,'Base bordo CD'!A$2:A$875,B1110,'Base bordo CD'!L$2:L$875,"FALTA DE MOTORIST*"),0)</f>
        <v>0</v>
      </c>
      <c r="O1110" s="10">
        <f t="shared" si="90"/>
        <v>0</v>
      </c>
      <c r="P1110" s="10">
        <f>IFERROR(SUMIFS('Base bordo CD'!M$2:M$875,'Base bordo CD'!D$2:D$875,A1110,'Base bordo CD'!A$2:A$875,B1110),0)</f>
        <v>0</v>
      </c>
      <c r="Q1110" s="10">
        <f>IFERROR(SUMIFS('Base bordo CD'!O$2:O$875,'Base bordo CD'!D$2:D$875,A1110,'Base bordo CD'!A$2:A$875,B1110,'Base bordo CD'!L$2:L$875,"CORTE DE CANA MECANIZADO"),0)</f>
        <v>0</v>
      </c>
      <c r="R1110" s="10">
        <f>IFERROR(SUMIFS('Base bordo CD'!Q$2:Q$875,'Base bordo CD'!D$2:D$875,A1110,'Base bordo CD'!A$2:A$875,B1110,'Base bordo CD'!L$2:L$875,"CORTE DE CANA MECANIZADO"),0)</f>
        <v>0</v>
      </c>
      <c r="S1110" s="30" t="str">
        <f t="shared" si="91"/>
        <v/>
      </c>
      <c r="T1110" s="9">
        <f t="shared" si="92"/>
        <v>0</v>
      </c>
      <c r="U1110" s="9">
        <f t="shared" si="93"/>
        <v>0</v>
      </c>
      <c r="V1110" s="9">
        <f t="shared" si="94"/>
        <v>0</v>
      </c>
    </row>
    <row r="1111" spans="1:22" hidden="1" x14ac:dyDescent="0.35">
      <c r="A1111" s="52">
        <v>49591</v>
      </c>
      <c r="B1111" s="31">
        <v>46117</v>
      </c>
      <c r="C1111" s="7" t="s">
        <v>364</v>
      </c>
      <c r="D1111" s="7">
        <v>352</v>
      </c>
      <c r="E1111" s="10">
        <f>IFERROR(SUMIFS('Base bordo CD'!M$2:M$875,'Base bordo CD'!D$2:D$875,A1111,'Base bordo CD'!A$2:A$875,B1111,'Base bordo CD'!L$2:L$875,"CORTE DE CANA MECANIZADO"),0)</f>
        <v>0</v>
      </c>
      <c r="F1111" s="10">
        <f>IFERROR(SUMIFS('Base bordo CD'!M$2:M$875,'Base bordo CD'!D$2:D$875,A1111,'Base bordo CD'!A$2:A$875,B1111,'Base bordo CD'!L$2:L$875,"MANOBRA"),0)</f>
        <v>0</v>
      </c>
      <c r="G1111" s="10">
        <f>IFERROR(SUMIFS('Base bordo CD'!M$2:M$875,'Base bordo CD'!D$2:D$875,A1111,'Base bordo CD'!A$2:A$875,B1111,'Base bordo CD'!L$2:L$875,"DESLOCAMENTO"),0)</f>
        <v>0</v>
      </c>
      <c r="H1111" s="10">
        <f>IFERROR(SUMIFS('Base bordo CD'!M$2:M$875,'Base bordo CD'!D$2:D$875,A1111,'Base bordo CD'!A$2:A$875,B1111,'Base bordo CD'!L$2:L$875,"AGUARDANDO MANOBRA DE TRANSBORDO"),0)+IFERROR(SUMIFS('Base bordo CD'!M$2:M$875,'Base bordo CD'!D$2:D$875,A1111,'Base bordo CD'!A$2:A$875,B1111,'Base bordo CD'!L$2:L$875,"FALTA DE TRANSBORDO"),0)</f>
        <v>0</v>
      </c>
      <c r="I1111" s="10">
        <f>IFERROR(SUMIFS('Base bordo CD'!M$2:M$875,'Base bordo CD'!D$2:D$875,A1111,'Base bordo CD'!A$2:A$875,B1111,'Base bordo CD'!L$2:L$875,"PARADA POR CONDICOES CLIMATICAS"),0)+IFERROR(SUMIFS('Base bordo CD'!M$2:M$875,'Base bordo CD'!D$2:D$875,A1111,'Base bordo CD'!A$2:A$875,B1111,'Base bordo CD'!L$2:L$875,"TEMPO INDETERMINADO"),0)</f>
        <v>0</v>
      </c>
      <c r="J1111" s="10">
        <f>IFERROR(SUMIFS('Base bordo CD'!M$2:M$875,'Base bordo CD'!D$2:D$875,A1111,'Base bordo CD'!A$2:A$875,B1111,'Base bordo CD'!L$2:L$875,"LIMITAÇÃO INDÚSTRIA"),0)</f>
        <v>0</v>
      </c>
      <c r="K1111" s="10">
        <f>IFERROR(SUMIFS('Base bordo CD'!M$2:M$875,'Base bordo CD'!D$2:D$875,A1111,'Base bordo CD'!A$2:A$875,B1111,'Base bordo CD'!L$2:L$875,"MAN CORRETIVA*"),0)+IFERROR(SUMIFS('Base bordo CD'!M$2:M$875,'Base bordo CD'!D$2:D$875,A1111,'Base bordo CD'!A$2:A$875,B1111,'Base bordo CD'!L$2:L$875,"AGUARDANDO MANUTENCAO*"),0)+IFERROR(SUMIFS('Base bordo CD'!M$2:M$875,'Base bordo CD'!D$2:D$875,A1111,'Base bordo CD'!A$2:A$875,B1111,'Base bordo CD'!L$2:L$875,"TROCA DE FAQUINHA"),0)+IFERROR(SUMIFS('Base bordo CD'!M$2:M$875,'Base bordo CD'!D$2:D$875,A1111,'Base bordo CD'!A$2:A$875,B1111,'Base bordo CD'!L$2:L$875,"LIMPEZA*"),0)</f>
        <v>0</v>
      </c>
      <c r="L1111" s="10">
        <f>IFERROR(SUMIFS('Base bordo CD'!M$2:M$875,'Base bordo CD'!D$2:D$875,A1111,'Base bordo CD'!A$2:A$875,B1111,'Base bordo CD'!L$2:L$875,"PATIO - RESERVA"),0)</f>
        <v>0</v>
      </c>
      <c r="M1111" s="10">
        <f>IFERROR(SUMIFS('Base bordo CD'!M$2:M$875,'Base bordo CD'!D$2:D$875,A1111,'Base bordo CD'!A$2:A$875,B1111,'Base bordo CD'!L$2:L$875,"SEM APONTAMENTO"),0)</f>
        <v>0</v>
      </c>
      <c r="N1111" s="10">
        <f>IFERROR(SUMIFS('Base bordo CD'!M$2:M$875,'Base bordo CD'!D$2:D$875,A1111,'Base bordo CD'!A$2:A$875,B1111,'Base bordo CD'!L$2:L$875,"FALTA DE CAMINHÃO"),0)+IFERROR(SUMIFS('Base bordo CD'!M$2:M$875,'Base bordo CD'!D$2:D$875,A1111,'Base bordo CD'!A$2:A$875,B1111,'Base bordo CD'!L$2:L$875,"FALTA DE COMBUSTIVEL"),0)+IFERROR(SUMIFS('Base bordo CD'!M$2:M$875,'Base bordo CD'!D$2:D$875,A1111,'Base bordo CD'!A$2:A$875,B1111,'Base bordo CD'!L$2:L$875,"FALTA DE MOTORIST*"),0)</f>
        <v>0</v>
      </c>
      <c r="O1111" s="10">
        <f t="shared" si="90"/>
        <v>0</v>
      </c>
      <c r="P1111" s="10">
        <f>IFERROR(SUMIFS('Base bordo CD'!M$2:M$875,'Base bordo CD'!D$2:D$875,A1111,'Base bordo CD'!A$2:A$875,B1111),0)</f>
        <v>0</v>
      </c>
      <c r="Q1111" s="10">
        <f>IFERROR(SUMIFS('Base bordo CD'!O$2:O$875,'Base bordo CD'!D$2:D$875,A1111,'Base bordo CD'!A$2:A$875,B1111,'Base bordo CD'!L$2:L$875,"CORTE DE CANA MECANIZADO"),0)</f>
        <v>0</v>
      </c>
      <c r="R1111" s="10">
        <f>IFERROR(SUMIFS('Base bordo CD'!Q$2:Q$875,'Base bordo CD'!D$2:D$875,A1111,'Base bordo CD'!A$2:A$875,B1111,'Base bordo CD'!L$2:L$875,"CORTE DE CANA MECANIZADO"),0)</f>
        <v>0</v>
      </c>
      <c r="S1111" s="30" t="str">
        <f t="shared" si="91"/>
        <v/>
      </c>
      <c r="T1111" s="9">
        <f t="shared" si="92"/>
        <v>0</v>
      </c>
      <c r="U1111" s="9">
        <f t="shared" si="93"/>
        <v>0</v>
      </c>
      <c r="V1111" s="9">
        <f t="shared" si="94"/>
        <v>0</v>
      </c>
    </row>
    <row r="1112" spans="1:22" hidden="1" x14ac:dyDescent="0.35">
      <c r="A1112" s="52">
        <v>49591</v>
      </c>
      <c r="B1112" s="31">
        <v>46117</v>
      </c>
      <c r="C1112" s="7" t="s">
        <v>364</v>
      </c>
      <c r="D1112" s="7">
        <v>352</v>
      </c>
      <c r="E1112" s="10">
        <f>IFERROR(SUMIFS('Base bordo CD'!M$2:M$875,'Base bordo CD'!D$2:D$875,A1112,'Base bordo CD'!A$2:A$875,B1112,'Base bordo CD'!L$2:L$875,"CORTE DE CANA MECANIZADO"),0)</f>
        <v>0</v>
      </c>
      <c r="F1112" s="10">
        <f>IFERROR(SUMIFS('Base bordo CD'!M$2:M$875,'Base bordo CD'!D$2:D$875,A1112,'Base bordo CD'!A$2:A$875,B1112,'Base bordo CD'!L$2:L$875,"MANOBRA"),0)</f>
        <v>0</v>
      </c>
      <c r="G1112" s="10">
        <f>IFERROR(SUMIFS('Base bordo CD'!M$2:M$875,'Base bordo CD'!D$2:D$875,A1112,'Base bordo CD'!A$2:A$875,B1112,'Base bordo CD'!L$2:L$875,"DESLOCAMENTO"),0)</f>
        <v>0</v>
      </c>
      <c r="H1112" s="10">
        <f>IFERROR(SUMIFS('Base bordo CD'!M$2:M$875,'Base bordo CD'!D$2:D$875,A1112,'Base bordo CD'!A$2:A$875,B1112,'Base bordo CD'!L$2:L$875,"AGUARDANDO MANOBRA DE TRANSBORDO"),0)+IFERROR(SUMIFS('Base bordo CD'!M$2:M$875,'Base bordo CD'!D$2:D$875,A1112,'Base bordo CD'!A$2:A$875,B1112,'Base bordo CD'!L$2:L$875,"FALTA DE TRANSBORDO"),0)</f>
        <v>0</v>
      </c>
      <c r="I1112" s="10">
        <f>IFERROR(SUMIFS('Base bordo CD'!M$2:M$875,'Base bordo CD'!D$2:D$875,A1112,'Base bordo CD'!A$2:A$875,B1112,'Base bordo CD'!L$2:L$875,"PARADA POR CONDICOES CLIMATICAS"),0)+IFERROR(SUMIFS('Base bordo CD'!M$2:M$875,'Base bordo CD'!D$2:D$875,A1112,'Base bordo CD'!A$2:A$875,B1112,'Base bordo CD'!L$2:L$875,"TEMPO INDETERMINADO"),0)</f>
        <v>0</v>
      </c>
      <c r="J1112" s="10">
        <f>IFERROR(SUMIFS('Base bordo CD'!M$2:M$875,'Base bordo CD'!D$2:D$875,A1112,'Base bordo CD'!A$2:A$875,B1112,'Base bordo CD'!L$2:L$875,"LIMITAÇÃO INDÚSTRIA"),0)</f>
        <v>0</v>
      </c>
      <c r="K1112" s="10">
        <f>IFERROR(SUMIFS('Base bordo CD'!M$2:M$875,'Base bordo CD'!D$2:D$875,A1112,'Base bordo CD'!A$2:A$875,B1112,'Base bordo CD'!L$2:L$875,"MAN CORRETIVA*"),0)+IFERROR(SUMIFS('Base bordo CD'!M$2:M$875,'Base bordo CD'!D$2:D$875,A1112,'Base bordo CD'!A$2:A$875,B1112,'Base bordo CD'!L$2:L$875,"AGUARDANDO MANUTENCAO*"),0)+IFERROR(SUMIFS('Base bordo CD'!M$2:M$875,'Base bordo CD'!D$2:D$875,A1112,'Base bordo CD'!A$2:A$875,B1112,'Base bordo CD'!L$2:L$875,"TROCA DE FAQUINHA"),0)+IFERROR(SUMIFS('Base bordo CD'!M$2:M$875,'Base bordo CD'!D$2:D$875,A1112,'Base bordo CD'!A$2:A$875,B1112,'Base bordo CD'!L$2:L$875,"LIMPEZA*"),0)</f>
        <v>0</v>
      </c>
      <c r="L1112" s="10">
        <f>IFERROR(SUMIFS('Base bordo CD'!M$2:M$875,'Base bordo CD'!D$2:D$875,A1112,'Base bordo CD'!A$2:A$875,B1112,'Base bordo CD'!L$2:L$875,"PATIO - RESERVA"),0)</f>
        <v>0</v>
      </c>
      <c r="M1112" s="10">
        <f>IFERROR(SUMIFS('Base bordo CD'!M$2:M$875,'Base bordo CD'!D$2:D$875,A1112,'Base bordo CD'!A$2:A$875,B1112,'Base bordo CD'!L$2:L$875,"SEM APONTAMENTO"),0)</f>
        <v>0</v>
      </c>
      <c r="N1112" s="10">
        <f>IFERROR(SUMIFS('Base bordo CD'!M$2:M$875,'Base bordo CD'!D$2:D$875,A1112,'Base bordo CD'!A$2:A$875,B1112,'Base bordo CD'!L$2:L$875,"FALTA DE CAMINHÃO"),0)+IFERROR(SUMIFS('Base bordo CD'!M$2:M$875,'Base bordo CD'!D$2:D$875,A1112,'Base bordo CD'!A$2:A$875,B1112,'Base bordo CD'!L$2:L$875,"FALTA DE COMBUSTIVEL"),0)+IFERROR(SUMIFS('Base bordo CD'!M$2:M$875,'Base bordo CD'!D$2:D$875,A1112,'Base bordo CD'!A$2:A$875,B1112,'Base bordo CD'!L$2:L$875,"FALTA DE MOTORIST*"),0)</f>
        <v>0</v>
      </c>
      <c r="O1112" s="10">
        <f t="shared" si="90"/>
        <v>0</v>
      </c>
      <c r="P1112" s="10">
        <f>IFERROR(SUMIFS('Base bordo CD'!M$2:M$875,'Base bordo CD'!D$2:D$875,A1112,'Base bordo CD'!A$2:A$875,B1112),0)</f>
        <v>0</v>
      </c>
      <c r="Q1112" s="10">
        <f>IFERROR(SUMIFS('Base bordo CD'!O$2:O$875,'Base bordo CD'!D$2:D$875,A1112,'Base bordo CD'!A$2:A$875,B1112,'Base bordo CD'!L$2:L$875,"CORTE DE CANA MECANIZADO"),0)</f>
        <v>0</v>
      </c>
      <c r="R1112" s="10">
        <f>IFERROR(SUMIFS('Base bordo CD'!Q$2:Q$875,'Base bordo CD'!D$2:D$875,A1112,'Base bordo CD'!A$2:A$875,B1112,'Base bordo CD'!L$2:L$875,"CORTE DE CANA MECANIZADO"),0)</f>
        <v>0</v>
      </c>
      <c r="S1112" s="30" t="str">
        <f t="shared" si="91"/>
        <v/>
      </c>
      <c r="T1112" s="9">
        <f t="shared" si="92"/>
        <v>0</v>
      </c>
      <c r="U1112" s="9">
        <f t="shared" si="93"/>
        <v>0</v>
      </c>
      <c r="V1112" s="9">
        <f t="shared" si="94"/>
        <v>0</v>
      </c>
    </row>
    <row r="1113" spans="1:22" hidden="1" x14ac:dyDescent="0.35">
      <c r="A1113" s="52">
        <v>49591</v>
      </c>
      <c r="B1113" s="31">
        <v>46117</v>
      </c>
      <c r="C1113" s="7" t="s">
        <v>364</v>
      </c>
      <c r="D1113" s="7">
        <v>352</v>
      </c>
      <c r="E1113" s="10">
        <f>IFERROR(SUMIFS('Base bordo CD'!M$2:M$875,'Base bordo CD'!D$2:D$875,A1113,'Base bordo CD'!A$2:A$875,B1113,'Base bordo CD'!L$2:L$875,"CORTE DE CANA MECANIZADO"),0)</f>
        <v>0</v>
      </c>
      <c r="F1113" s="10">
        <f>IFERROR(SUMIFS('Base bordo CD'!M$2:M$875,'Base bordo CD'!D$2:D$875,A1113,'Base bordo CD'!A$2:A$875,B1113,'Base bordo CD'!L$2:L$875,"MANOBRA"),0)</f>
        <v>0</v>
      </c>
      <c r="G1113" s="10">
        <f>IFERROR(SUMIFS('Base bordo CD'!M$2:M$875,'Base bordo CD'!D$2:D$875,A1113,'Base bordo CD'!A$2:A$875,B1113,'Base bordo CD'!L$2:L$875,"DESLOCAMENTO"),0)</f>
        <v>0</v>
      </c>
      <c r="H1113" s="10">
        <f>IFERROR(SUMIFS('Base bordo CD'!M$2:M$875,'Base bordo CD'!D$2:D$875,A1113,'Base bordo CD'!A$2:A$875,B1113,'Base bordo CD'!L$2:L$875,"AGUARDANDO MANOBRA DE TRANSBORDO"),0)+IFERROR(SUMIFS('Base bordo CD'!M$2:M$875,'Base bordo CD'!D$2:D$875,A1113,'Base bordo CD'!A$2:A$875,B1113,'Base bordo CD'!L$2:L$875,"FALTA DE TRANSBORDO"),0)</f>
        <v>0</v>
      </c>
      <c r="I1113" s="10">
        <f>IFERROR(SUMIFS('Base bordo CD'!M$2:M$875,'Base bordo CD'!D$2:D$875,A1113,'Base bordo CD'!A$2:A$875,B1113,'Base bordo CD'!L$2:L$875,"PARADA POR CONDICOES CLIMATICAS"),0)+IFERROR(SUMIFS('Base bordo CD'!M$2:M$875,'Base bordo CD'!D$2:D$875,A1113,'Base bordo CD'!A$2:A$875,B1113,'Base bordo CD'!L$2:L$875,"TEMPO INDETERMINADO"),0)</f>
        <v>0</v>
      </c>
      <c r="J1113" s="10">
        <f>IFERROR(SUMIFS('Base bordo CD'!M$2:M$875,'Base bordo CD'!D$2:D$875,A1113,'Base bordo CD'!A$2:A$875,B1113,'Base bordo CD'!L$2:L$875,"LIMITAÇÃO INDÚSTRIA"),0)</f>
        <v>0</v>
      </c>
      <c r="K1113" s="10">
        <f>IFERROR(SUMIFS('Base bordo CD'!M$2:M$875,'Base bordo CD'!D$2:D$875,A1113,'Base bordo CD'!A$2:A$875,B1113,'Base bordo CD'!L$2:L$875,"MAN CORRETIVA*"),0)+IFERROR(SUMIFS('Base bordo CD'!M$2:M$875,'Base bordo CD'!D$2:D$875,A1113,'Base bordo CD'!A$2:A$875,B1113,'Base bordo CD'!L$2:L$875,"AGUARDANDO MANUTENCAO*"),0)+IFERROR(SUMIFS('Base bordo CD'!M$2:M$875,'Base bordo CD'!D$2:D$875,A1113,'Base bordo CD'!A$2:A$875,B1113,'Base bordo CD'!L$2:L$875,"TROCA DE FAQUINHA"),0)+IFERROR(SUMIFS('Base bordo CD'!M$2:M$875,'Base bordo CD'!D$2:D$875,A1113,'Base bordo CD'!A$2:A$875,B1113,'Base bordo CD'!L$2:L$875,"LIMPEZA*"),0)</f>
        <v>0</v>
      </c>
      <c r="L1113" s="10">
        <f>IFERROR(SUMIFS('Base bordo CD'!M$2:M$875,'Base bordo CD'!D$2:D$875,A1113,'Base bordo CD'!A$2:A$875,B1113,'Base bordo CD'!L$2:L$875,"PATIO - RESERVA"),0)</f>
        <v>0</v>
      </c>
      <c r="M1113" s="10">
        <f>IFERROR(SUMIFS('Base bordo CD'!M$2:M$875,'Base bordo CD'!D$2:D$875,A1113,'Base bordo CD'!A$2:A$875,B1113,'Base bordo CD'!L$2:L$875,"SEM APONTAMENTO"),0)</f>
        <v>0</v>
      </c>
      <c r="N1113" s="10">
        <f>IFERROR(SUMIFS('Base bordo CD'!M$2:M$875,'Base bordo CD'!D$2:D$875,A1113,'Base bordo CD'!A$2:A$875,B1113,'Base bordo CD'!L$2:L$875,"FALTA DE CAMINHÃO"),0)+IFERROR(SUMIFS('Base bordo CD'!M$2:M$875,'Base bordo CD'!D$2:D$875,A1113,'Base bordo CD'!A$2:A$875,B1113,'Base bordo CD'!L$2:L$875,"FALTA DE COMBUSTIVEL"),0)+IFERROR(SUMIFS('Base bordo CD'!M$2:M$875,'Base bordo CD'!D$2:D$875,A1113,'Base bordo CD'!A$2:A$875,B1113,'Base bordo CD'!L$2:L$875,"FALTA DE MOTORIST*"),0)</f>
        <v>0</v>
      </c>
      <c r="O1113" s="10">
        <f t="shared" si="90"/>
        <v>0</v>
      </c>
      <c r="P1113" s="10">
        <f>IFERROR(SUMIFS('Base bordo CD'!M$2:M$875,'Base bordo CD'!D$2:D$875,A1113,'Base bordo CD'!A$2:A$875,B1113),0)</f>
        <v>0</v>
      </c>
      <c r="Q1113" s="10">
        <f>IFERROR(SUMIFS('Base bordo CD'!O$2:O$875,'Base bordo CD'!D$2:D$875,A1113,'Base bordo CD'!A$2:A$875,B1113,'Base bordo CD'!L$2:L$875,"CORTE DE CANA MECANIZADO"),0)</f>
        <v>0</v>
      </c>
      <c r="R1113" s="10">
        <f>IFERROR(SUMIFS('Base bordo CD'!Q$2:Q$875,'Base bordo CD'!D$2:D$875,A1113,'Base bordo CD'!A$2:A$875,B1113,'Base bordo CD'!L$2:L$875,"CORTE DE CANA MECANIZADO"),0)</f>
        <v>0</v>
      </c>
      <c r="S1113" s="30" t="str">
        <f t="shared" si="91"/>
        <v/>
      </c>
      <c r="T1113" s="9">
        <f t="shared" si="92"/>
        <v>0</v>
      </c>
      <c r="U1113" s="9">
        <f t="shared" si="93"/>
        <v>0</v>
      </c>
      <c r="V1113" s="9">
        <f t="shared" si="94"/>
        <v>0</v>
      </c>
    </row>
    <row r="1114" spans="1:22" hidden="1" x14ac:dyDescent="0.35">
      <c r="A1114" s="52">
        <v>49591</v>
      </c>
      <c r="B1114" s="31">
        <v>46117</v>
      </c>
      <c r="C1114" s="7" t="s">
        <v>364</v>
      </c>
      <c r="D1114" s="7">
        <v>352</v>
      </c>
      <c r="E1114" s="10">
        <f>IFERROR(SUMIFS('Base bordo CD'!M$2:M$875,'Base bordo CD'!D$2:D$875,A1114,'Base bordo CD'!A$2:A$875,B1114,'Base bordo CD'!L$2:L$875,"CORTE DE CANA MECANIZADO"),0)</f>
        <v>0</v>
      </c>
      <c r="F1114" s="10">
        <f>IFERROR(SUMIFS('Base bordo CD'!M$2:M$875,'Base bordo CD'!D$2:D$875,A1114,'Base bordo CD'!A$2:A$875,B1114,'Base bordo CD'!L$2:L$875,"MANOBRA"),0)</f>
        <v>0</v>
      </c>
      <c r="G1114" s="10">
        <f>IFERROR(SUMIFS('Base bordo CD'!M$2:M$875,'Base bordo CD'!D$2:D$875,A1114,'Base bordo CD'!A$2:A$875,B1114,'Base bordo CD'!L$2:L$875,"DESLOCAMENTO"),0)</f>
        <v>0</v>
      </c>
      <c r="H1114" s="10">
        <f>IFERROR(SUMIFS('Base bordo CD'!M$2:M$875,'Base bordo CD'!D$2:D$875,A1114,'Base bordo CD'!A$2:A$875,B1114,'Base bordo CD'!L$2:L$875,"AGUARDANDO MANOBRA DE TRANSBORDO"),0)+IFERROR(SUMIFS('Base bordo CD'!M$2:M$875,'Base bordo CD'!D$2:D$875,A1114,'Base bordo CD'!A$2:A$875,B1114,'Base bordo CD'!L$2:L$875,"FALTA DE TRANSBORDO"),0)</f>
        <v>0</v>
      </c>
      <c r="I1114" s="10">
        <f>IFERROR(SUMIFS('Base bordo CD'!M$2:M$875,'Base bordo CD'!D$2:D$875,A1114,'Base bordo CD'!A$2:A$875,B1114,'Base bordo CD'!L$2:L$875,"PARADA POR CONDICOES CLIMATICAS"),0)+IFERROR(SUMIFS('Base bordo CD'!M$2:M$875,'Base bordo CD'!D$2:D$875,A1114,'Base bordo CD'!A$2:A$875,B1114,'Base bordo CD'!L$2:L$875,"TEMPO INDETERMINADO"),0)</f>
        <v>0</v>
      </c>
      <c r="J1114" s="10">
        <f>IFERROR(SUMIFS('Base bordo CD'!M$2:M$875,'Base bordo CD'!D$2:D$875,A1114,'Base bordo CD'!A$2:A$875,B1114,'Base bordo CD'!L$2:L$875,"LIMITAÇÃO INDÚSTRIA"),0)</f>
        <v>0</v>
      </c>
      <c r="K1114" s="10">
        <f>IFERROR(SUMIFS('Base bordo CD'!M$2:M$875,'Base bordo CD'!D$2:D$875,A1114,'Base bordo CD'!A$2:A$875,B1114,'Base bordo CD'!L$2:L$875,"MAN CORRETIVA*"),0)+IFERROR(SUMIFS('Base bordo CD'!M$2:M$875,'Base bordo CD'!D$2:D$875,A1114,'Base bordo CD'!A$2:A$875,B1114,'Base bordo CD'!L$2:L$875,"AGUARDANDO MANUTENCAO*"),0)+IFERROR(SUMIFS('Base bordo CD'!M$2:M$875,'Base bordo CD'!D$2:D$875,A1114,'Base bordo CD'!A$2:A$875,B1114,'Base bordo CD'!L$2:L$875,"TROCA DE FAQUINHA"),0)+IFERROR(SUMIFS('Base bordo CD'!M$2:M$875,'Base bordo CD'!D$2:D$875,A1114,'Base bordo CD'!A$2:A$875,B1114,'Base bordo CD'!L$2:L$875,"LIMPEZA*"),0)</f>
        <v>0</v>
      </c>
      <c r="L1114" s="10">
        <f>IFERROR(SUMIFS('Base bordo CD'!M$2:M$875,'Base bordo CD'!D$2:D$875,A1114,'Base bordo CD'!A$2:A$875,B1114,'Base bordo CD'!L$2:L$875,"PATIO - RESERVA"),0)</f>
        <v>0</v>
      </c>
      <c r="M1114" s="10">
        <f>IFERROR(SUMIFS('Base bordo CD'!M$2:M$875,'Base bordo CD'!D$2:D$875,A1114,'Base bordo CD'!A$2:A$875,B1114,'Base bordo CD'!L$2:L$875,"SEM APONTAMENTO"),0)</f>
        <v>0</v>
      </c>
      <c r="N1114" s="10">
        <f>IFERROR(SUMIFS('Base bordo CD'!M$2:M$875,'Base bordo CD'!D$2:D$875,A1114,'Base bordo CD'!A$2:A$875,B1114,'Base bordo CD'!L$2:L$875,"FALTA DE CAMINHÃO"),0)+IFERROR(SUMIFS('Base bordo CD'!M$2:M$875,'Base bordo CD'!D$2:D$875,A1114,'Base bordo CD'!A$2:A$875,B1114,'Base bordo CD'!L$2:L$875,"FALTA DE COMBUSTIVEL"),0)+IFERROR(SUMIFS('Base bordo CD'!M$2:M$875,'Base bordo CD'!D$2:D$875,A1114,'Base bordo CD'!A$2:A$875,B1114,'Base bordo CD'!L$2:L$875,"FALTA DE MOTORIST*"),0)</f>
        <v>0</v>
      </c>
      <c r="O1114" s="10">
        <f t="shared" si="90"/>
        <v>0</v>
      </c>
      <c r="P1114" s="10">
        <f>IFERROR(SUMIFS('Base bordo CD'!M$2:M$875,'Base bordo CD'!D$2:D$875,A1114,'Base bordo CD'!A$2:A$875,B1114),0)</f>
        <v>0</v>
      </c>
      <c r="Q1114" s="10">
        <f>IFERROR(SUMIFS('Base bordo CD'!O$2:O$875,'Base bordo CD'!D$2:D$875,A1114,'Base bordo CD'!A$2:A$875,B1114,'Base bordo CD'!L$2:L$875,"CORTE DE CANA MECANIZADO"),0)</f>
        <v>0</v>
      </c>
      <c r="R1114" s="10">
        <f>IFERROR(SUMIFS('Base bordo CD'!Q$2:Q$875,'Base bordo CD'!D$2:D$875,A1114,'Base bordo CD'!A$2:A$875,B1114,'Base bordo CD'!L$2:L$875,"CORTE DE CANA MECANIZADO"),0)</f>
        <v>0</v>
      </c>
      <c r="S1114" s="30" t="str">
        <f t="shared" si="91"/>
        <v/>
      </c>
      <c r="T1114" s="9">
        <f t="shared" si="92"/>
        <v>0</v>
      </c>
      <c r="U1114" s="9">
        <f t="shared" si="93"/>
        <v>0</v>
      </c>
      <c r="V1114" s="9">
        <f t="shared" si="94"/>
        <v>0</v>
      </c>
    </row>
    <row r="1115" spans="1:22" hidden="1" x14ac:dyDescent="0.35">
      <c r="A1115" s="52">
        <v>49591</v>
      </c>
      <c r="B1115" s="31">
        <v>46117</v>
      </c>
      <c r="C1115" s="7" t="s">
        <v>364</v>
      </c>
      <c r="D1115" s="7">
        <v>352</v>
      </c>
      <c r="E1115" s="10">
        <f>IFERROR(SUMIFS('Base bordo CD'!M$2:M$875,'Base bordo CD'!D$2:D$875,A1115,'Base bordo CD'!A$2:A$875,B1115,'Base bordo CD'!L$2:L$875,"CORTE DE CANA MECANIZADO"),0)</f>
        <v>0</v>
      </c>
      <c r="F1115" s="10">
        <f>IFERROR(SUMIFS('Base bordo CD'!M$2:M$875,'Base bordo CD'!D$2:D$875,A1115,'Base bordo CD'!A$2:A$875,B1115,'Base bordo CD'!L$2:L$875,"MANOBRA"),0)</f>
        <v>0</v>
      </c>
      <c r="G1115" s="10">
        <f>IFERROR(SUMIFS('Base bordo CD'!M$2:M$875,'Base bordo CD'!D$2:D$875,A1115,'Base bordo CD'!A$2:A$875,B1115,'Base bordo CD'!L$2:L$875,"DESLOCAMENTO"),0)</f>
        <v>0</v>
      </c>
      <c r="H1115" s="10">
        <f>IFERROR(SUMIFS('Base bordo CD'!M$2:M$875,'Base bordo CD'!D$2:D$875,A1115,'Base bordo CD'!A$2:A$875,B1115,'Base bordo CD'!L$2:L$875,"AGUARDANDO MANOBRA DE TRANSBORDO"),0)+IFERROR(SUMIFS('Base bordo CD'!M$2:M$875,'Base bordo CD'!D$2:D$875,A1115,'Base bordo CD'!A$2:A$875,B1115,'Base bordo CD'!L$2:L$875,"FALTA DE TRANSBORDO"),0)</f>
        <v>0</v>
      </c>
      <c r="I1115" s="10">
        <f>IFERROR(SUMIFS('Base bordo CD'!M$2:M$875,'Base bordo CD'!D$2:D$875,A1115,'Base bordo CD'!A$2:A$875,B1115,'Base bordo CD'!L$2:L$875,"PARADA POR CONDICOES CLIMATICAS"),0)+IFERROR(SUMIFS('Base bordo CD'!M$2:M$875,'Base bordo CD'!D$2:D$875,A1115,'Base bordo CD'!A$2:A$875,B1115,'Base bordo CD'!L$2:L$875,"TEMPO INDETERMINADO"),0)</f>
        <v>0</v>
      </c>
      <c r="J1115" s="10">
        <f>IFERROR(SUMIFS('Base bordo CD'!M$2:M$875,'Base bordo CD'!D$2:D$875,A1115,'Base bordo CD'!A$2:A$875,B1115,'Base bordo CD'!L$2:L$875,"LIMITAÇÃO INDÚSTRIA"),0)</f>
        <v>0</v>
      </c>
      <c r="K1115" s="10">
        <f>IFERROR(SUMIFS('Base bordo CD'!M$2:M$875,'Base bordo CD'!D$2:D$875,A1115,'Base bordo CD'!A$2:A$875,B1115,'Base bordo CD'!L$2:L$875,"MAN CORRETIVA*"),0)+IFERROR(SUMIFS('Base bordo CD'!M$2:M$875,'Base bordo CD'!D$2:D$875,A1115,'Base bordo CD'!A$2:A$875,B1115,'Base bordo CD'!L$2:L$875,"AGUARDANDO MANUTENCAO*"),0)+IFERROR(SUMIFS('Base bordo CD'!M$2:M$875,'Base bordo CD'!D$2:D$875,A1115,'Base bordo CD'!A$2:A$875,B1115,'Base bordo CD'!L$2:L$875,"TROCA DE FAQUINHA"),0)+IFERROR(SUMIFS('Base bordo CD'!M$2:M$875,'Base bordo CD'!D$2:D$875,A1115,'Base bordo CD'!A$2:A$875,B1115,'Base bordo CD'!L$2:L$875,"LIMPEZA*"),0)</f>
        <v>0</v>
      </c>
      <c r="L1115" s="10">
        <f>IFERROR(SUMIFS('Base bordo CD'!M$2:M$875,'Base bordo CD'!D$2:D$875,A1115,'Base bordo CD'!A$2:A$875,B1115,'Base bordo CD'!L$2:L$875,"PATIO - RESERVA"),0)</f>
        <v>0</v>
      </c>
      <c r="M1115" s="10">
        <f>IFERROR(SUMIFS('Base bordo CD'!M$2:M$875,'Base bordo CD'!D$2:D$875,A1115,'Base bordo CD'!A$2:A$875,B1115,'Base bordo CD'!L$2:L$875,"SEM APONTAMENTO"),0)</f>
        <v>0</v>
      </c>
      <c r="N1115" s="10">
        <f>IFERROR(SUMIFS('Base bordo CD'!M$2:M$875,'Base bordo CD'!D$2:D$875,A1115,'Base bordo CD'!A$2:A$875,B1115,'Base bordo CD'!L$2:L$875,"FALTA DE CAMINHÃO"),0)+IFERROR(SUMIFS('Base bordo CD'!M$2:M$875,'Base bordo CD'!D$2:D$875,A1115,'Base bordo CD'!A$2:A$875,B1115,'Base bordo CD'!L$2:L$875,"FALTA DE COMBUSTIVEL"),0)+IFERROR(SUMIFS('Base bordo CD'!M$2:M$875,'Base bordo CD'!D$2:D$875,A1115,'Base bordo CD'!A$2:A$875,B1115,'Base bordo CD'!L$2:L$875,"FALTA DE MOTORIST*"),0)</f>
        <v>0</v>
      </c>
      <c r="O1115" s="10">
        <f t="shared" si="90"/>
        <v>0</v>
      </c>
      <c r="P1115" s="10">
        <f>IFERROR(SUMIFS('Base bordo CD'!M$2:M$875,'Base bordo CD'!D$2:D$875,A1115,'Base bordo CD'!A$2:A$875,B1115),0)</f>
        <v>0</v>
      </c>
      <c r="Q1115" s="10">
        <f>IFERROR(SUMIFS('Base bordo CD'!O$2:O$875,'Base bordo CD'!D$2:D$875,A1115,'Base bordo CD'!A$2:A$875,B1115,'Base bordo CD'!L$2:L$875,"CORTE DE CANA MECANIZADO"),0)</f>
        <v>0</v>
      </c>
      <c r="R1115" s="10">
        <f>IFERROR(SUMIFS('Base bordo CD'!Q$2:Q$875,'Base bordo CD'!D$2:D$875,A1115,'Base bordo CD'!A$2:A$875,B1115,'Base bordo CD'!L$2:L$875,"CORTE DE CANA MECANIZADO"),0)</f>
        <v>0</v>
      </c>
      <c r="S1115" s="30" t="str">
        <f t="shared" si="91"/>
        <v/>
      </c>
      <c r="T1115" s="9">
        <f t="shared" si="92"/>
        <v>0</v>
      </c>
      <c r="U1115" s="9">
        <f t="shared" si="93"/>
        <v>0</v>
      </c>
      <c r="V1115" s="9">
        <f t="shared" si="94"/>
        <v>0</v>
      </c>
    </row>
    <row r="1116" spans="1:22" hidden="1" x14ac:dyDescent="0.35">
      <c r="A1116" s="52">
        <v>49591</v>
      </c>
      <c r="B1116" s="31">
        <v>46117</v>
      </c>
      <c r="C1116" s="7" t="s">
        <v>364</v>
      </c>
      <c r="D1116" s="7">
        <v>352</v>
      </c>
      <c r="E1116" s="10">
        <f>IFERROR(SUMIFS('Base bordo CD'!M$2:M$875,'Base bordo CD'!D$2:D$875,A1116,'Base bordo CD'!A$2:A$875,B1116,'Base bordo CD'!L$2:L$875,"CORTE DE CANA MECANIZADO"),0)</f>
        <v>0</v>
      </c>
      <c r="F1116" s="10">
        <f>IFERROR(SUMIFS('Base bordo CD'!M$2:M$875,'Base bordo CD'!D$2:D$875,A1116,'Base bordo CD'!A$2:A$875,B1116,'Base bordo CD'!L$2:L$875,"MANOBRA"),0)</f>
        <v>0</v>
      </c>
      <c r="G1116" s="10">
        <f>IFERROR(SUMIFS('Base bordo CD'!M$2:M$875,'Base bordo CD'!D$2:D$875,A1116,'Base bordo CD'!A$2:A$875,B1116,'Base bordo CD'!L$2:L$875,"DESLOCAMENTO"),0)</f>
        <v>0</v>
      </c>
      <c r="H1116" s="10">
        <f>IFERROR(SUMIFS('Base bordo CD'!M$2:M$875,'Base bordo CD'!D$2:D$875,A1116,'Base bordo CD'!A$2:A$875,B1116,'Base bordo CD'!L$2:L$875,"AGUARDANDO MANOBRA DE TRANSBORDO"),0)+IFERROR(SUMIFS('Base bordo CD'!M$2:M$875,'Base bordo CD'!D$2:D$875,A1116,'Base bordo CD'!A$2:A$875,B1116,'Base bordo CD'!L$2:L$875,"FALTA DE TRANSBORDO"),0)</f>
        <v>0</v>
      </c>
      <c r="I1116" s="10">
        <f>IFERROR(SUMIFS('Base bordo CD'!M$2:M$875,'Base bordo CD'!D$2:D$875,A1116,'Base bordo CD'!A$2:A$875,B1116,'Base bordo CD'!L$2:L$875,"PARADA POR CONDICOES CLIMATICAS"),0)+IFERROR(SUMIFS('Base bordo CD'!M$2:M$875,'Base bordo CD'!D$2:D$875,A1116,'Base bordo CD'!A$2:A$875,B1116,'Base bordo CD'!L$2:L$875,"TEMPO INDETERMINADO"),0)</f>
        <v>0</v>
      </c>
      <c r="J1116" s="10">
        <f>IFERROR(SUMIFS('Base bordo CD'!M$2:M$875,'Base bordo CD'!D$2:D$875,A1116,'Base bordo CD'!A$2:A$875,B1116,'Base bordo CD'!L$2:L$875,"LIMITAÇÃO INDÚSTRIA"),0)</f>
        <v>0</v>
      </c>
      <c r="K1116" s="10">
        <f>IFERROR(SUMIFS('Base bordo CD'!M$2:M$875,'Base bordo CD'!D$2:D$875,A1116,'Base bordo CD'!A$2:A$875,B1116,'Base bordo CD'!L$2:L$875,"MAN CORRETIVA*"),0)+IFERROR(SUMIFS('Base bordo CD'!M$2:M$875,'Base bordo CD'!D$2:D$875,A1116,'Base bordo CD'!A$2:A$875,B1116,'Base bordo CD'!L$2:L$875,"AGUARDANDO MANUTENCAO*"),0)+IFERROR(SUMIFS('Base bordo CD'!M$2:M$875,'Base bordo CD'!D$2:D$875,A1116,'Base bordo CD'!A$2:A$875,B1116,'Base bordo CD'!L$2:L$875,"TROCA DE FAQUINHA"),0)+IFERROR(SUMIFS('Base bordo CD'!M$2:M$875,'Base bordo CD'!D$2:D$875,A1116,'Base bordo CD'!A$2:A$875,B1116,'Base bordo CD'!L$2:L$875,"LIMPEZA*"),0)</f>
        <v>0</v>
      </c>
      <c r="L1116" s="10">
        <f>IFERROR(SUMIFS('Base bordo CD'!M$2:M$875,'Base bordo CD'!D$2:D$875,A1116,'Base bordo CD'!A$2:A$875,B1116,'Base bordo CD'!L$2:L$875,"PATIO - RESERVA"),0)</f>
        <v>0</v>
      </c>
      <c r="M1116" s="10">
        <f>IFERROR(SUMIFS('Base bordo CD'!M$2:M$875,'Base bordo CD'!D$2:D$875,A1116,'Base bordo CD'!A$2:A$875,B1116,'Base bordo CD'!L$2:L$875,"SEM APONTAMENTO"),0)</f>
        <v>0</v>
      </c>
      <c r="N1116" s="10">
        <f>IFERROR(SUMIFS('Base bordo CD'!M$2:M$875,'Base bordo CD'!D$2:D$875,A1116,'Base bordo CD'!A$2:A$875,B1116,'Base bordo CD'!L$2:L$875,"FALTA DE CAMINHÃO"),0)+IFERROR(SUMIFS('Base bordo CD'!M$2:M$875,'Base bordo CD'!D$2:D$875,A1116,'Base bordo CD'!A$2:A$875,B1116,'Base bordo CD'!L$2:L$875,"FALTA DE COMBUSTIVEL"),0)+IFERROR(SUMIFS('Base bordo CD'!M$2:M$875,'Base bordo CD'!D$2:D$875,A1116,'Base bordo CD'!A$2:A$875,B1116,'Base bordo CD'!L$2:L$875,"FALTA DE MOTORIST*"),0)</f>
        <v>0</v>
      </c>
      <c r="O1116" s="10">
        <f t="shared" si="90"/>
        <v>0</v>
      </c>
      <c r="P1116" s="10">
        <f>IFERROR(SUMIFS('Base bordo CD'!M$2:M$875,'Base bordo CD'!D$2:D$875,A1116,'Base bordo CD'!A$2:A$875,B1116),0)</f>
        <v>0</v>
      </c>
      <c r="Q1116" s="10">
        <f>IFERROR(SUMIFS('Base bordo CD'!O$2:O$875,'Base bordo CD'!D$2:D$875,A1116,'Base bordo CD'!A$2:A$875,B1116,'Base bordo CD'!L$2:L$875,"CORTE DE CANA MECANIZADO"),0)</f>
        <v>0</v>
      </c>
      <c r="R1116" s="10">
        <f>IFERROR(SUMIFS('Base bordo CD'!Q$2:Q$875,'Base bordo CD'!D$2:D$875,A1116,'Base bordo CD'!A$2:A$875,B1116,'Base bordo CD'!L$2:L$875,"CORTE DE CANA MECANIZADO"),0)</f>
        <v>0</v>
      </c>
      <c r="S1116" s="30" t="str">
        <f t="shared" si="91"/>
        <v/>
      </c>
      <c r="T1116" s="9">
        <f t="shared" si="92"/>
        <v>0</v>
      </c>
      <c r="U1116" s="9">
        <f t="shared" si="93"/>
        <v>0</v>
      </c>
      <c r="V1116" s="9">
        <f t="shared" si="94"/>
        <v>0</v>
      </c>
    </row>
    <row r="1117" spans="1:22" hidden="1" x14ac:dyDescent="0.35">
      <c r="A1117" s="52">
        <v>49591</v>
      </c>
      <c r="B1117" s="31">
        <v>46117</v>
      </c>
      <c r="C1117" s="7" t="s">
        <v>364</v>
      </c>
      <c r="D1117" s="7">
        <v>352</v>
      </c>
      <c r="E1117" s="10">
        <f>IFERROR(SUMIFS('Base bordo CD'!M$2:M$875,'Base bordo CD'!D$2:D$875,A1117,'Base bordo CD'!A$2:A$875,B1117,'Base bordo CD'!L$2:L$875,"CORTE DE CANA MECANIZADO"),0)</f>
        <v>0</v>
      </c>
      <c r="F1117" s="10">
        <f>IFERROR(SUMIFS('Base bordo CD'!M$2:M$875,'Base bordo CD'!D$2:D$875,A1117,'Base bordo CD'!A$2:A$875,B1117,'Base bordo CD'!L$2:L$875,"MANOBRA"),0)</f>
        <v>0</v>
      </c>
      <c r="G1117" s="10">
        <f>IFERROR(SUMIFS('Base bordo CD'!M$2:M$875,'Base bordo CD'!D$2:D$875,A1117,'Base bordo CD'!A$2:A$875,B1117,'Base bordo CD'!L$2:L$875,"DESLOCAMENTO"),0)</f>
        <v>0</v>
      </c>
      <c r="H1117" s="10">
        <f>IFERROR(SUMIFS('Base bordo CD'!M$2:M$875,'Base bordo CD'!D$2:D$875,A1117,'Base bordo CD'!A$2:A$875,B1117,'Base bordo CD'!L$2:L$875,"AGUARDANDO MANOBRA DE TRANSBORDO"),0)+IFERROR(SUMIFS('Base bordo CD'!M$2:M$875,'Base bordo CD'!D$2:D$875,A1117,'Base bordo CD'!A$2:A$875,B1117,'Base bordo CD'!L$2:L$875,"FALTA DE TRANSBORDO"),0)</f>
        <v>0</v>
      </c>
      <c r="I1117" s="10">
        <f>IFERROR(SUMIFS('Base bordo CD'!M$2:M$875,'Base bordo CD'!D$2:D$875,A1117,'Base bordo CD'!A$2:A$875,B1117,'Base bordo CD'!L$2:L$875,"PARADA POR CONDICOES CLIMATICAS"),0)+IFERROR(SUMIFS('Base bordo CD'!M$2:M$875,'Base bordo CD'!D$2:D$875,A1117,'Base bordo CD'!A$2:A$875,B1117,'Base bordo CD'!L$2:L$875,"TEMPO INDETERMINADO"),0)</f>
        <v>0</v>
      </c>
      <c r="J1117" s="10">
        <f>IFERROR(SUMIFS('Base bordo CD'!M$2:M$875,'Base bordo CD'!D$2:D$875,A1117,'Base bordo CD'!A$2:A$875,B1117,'Base bordo CD'!L$2:L$875,"LIMITAÇÃO INDÚSTRIA"),0)</f>
        <v>0</v>
      </c>
      <c r="K1117" s="10">
        <f>IFERROR(SUMIFS('Base bordo CD'!M$2:M$875,'Base bordo CD'!D$2:D$875,A1117,'Base bordo CD'!A$2:A$875,B1117,'Base bordo CD'!L$2:L$875,"MAN CORRETIVA*"),0)+IFERROR(SUMIFS('Base bordo CD'!M$2:M$875,'Base bordo CD'!D$2:D$875,A1117,'Base bordo CD'!A$2:A$875,B1117,'Base bordo CD'!L$2:L$875,"AGUARDANDO MANUTENCAO*"),0)+IFERROR(SUMIFS('Base bordo CD'!M$2:M$875,'Base bordo CD'!D$2:D$875,A1117,'Base bordo CD'!A$2:A$875,B1117,'Base bordo CD'!L$2:L$875,"TROCA DE FAQUINHA"),0)+IFERROR(SUMIFS('Base bordo CD'!M$2:M$875,'Base bordo CD'!D$2:D$875,A1117,'Base bordo CD'!A$2:A$875,B1117,'Base bordo CD'!L$2:L$875,"LIMPEZA*"),0)</f>
        <v>0</v>
      </c>
      <c r="L1117" s="10">
        <f>IFERROR(SUMIFS('Base bordo CD'!M$2:M$875,'Base bordo CD'!D$2:D$875,A1117,'Base bordo CD'!A$2:A$875,B1117,'Base bordo CD'!L$2:L$875,"PATIO - RESERVA"),0)</f>
        <v>0</v>
      </c>
      <c r="M1117" s="10">
        <f>IFERROR(SUMIFS('Base bordo CD'!M$2:M$875,'Base bordo CD'!D$2:D$875,A1117,'Base bordo CD'!A$2:A$875,B1117,'Base bordo CD'!L$2:L$875,"SEM APONTAMENTO"),0)</f>
        <v>0</v>
      </c>
      <c r="N1117" s="10">
        <f>IFERROR(SUMIFS('Base bordo CD'!M$2:M$875,'Base bordo CD'!D$2:D$875,A1117,'Base bordo CD'!A$2:A$875,B1117,'Base bordo CD'!L$2:L$875,"FALTA DE CAMINHÃO"),0)+IFERROR(SUMIFS('Base bordo CD'!M$2:M$875,'Base bordo CD'!D$2:D$875,A1117,'Base bordo CD'!A$2:A$875,B1117,'Base bordo CD'!L$2:L$875,"FALTA DE COMBUSTIVEL"),0)+IFERROR(SUMIFS('Base bordo CD'!M$2:M$875,'Base bordo CD'!D$2:D$875,A1117,'Base bordo CD'!A$2:A$875,B1117,'Base bordo CD'!L$2:L$875,"FALTA DE MOTORIST*"),0)</f>
        <v>0</v>
      </c>
      <c r="O1117" s="10">
        <f t="shared" si="90"/>
        <v>0</v>
      </c>
      <c r="P1117" s="10">
        <f>IFERROR(SUMIFS('Base bordo CD'!M$2:M$875,'Base bordo CD'!D$2:D$875,A1117,'Base bordo CD'!A$2:A$875,B1117),0)</f>
        <v>0</v>
      </c>
      <c r="Q1117" s="10">
        <f>IFERROR(SUMIFS('Base bordo CD'!O$2:O$875,'Base bordo CD'!D$2:D$875,A1117,'Base bordo CD'!A$2:A$875,B1117,'Base bordo CD'!L$2:L$875,"CORTE DE CANA MECANIZADO"),0)</f>
        <v>0</v>
      </c>
      <c r="R1117" s="10">
        <f>IFERROR(SUMIFS('Base bordo CD'!Q$2:Q$875,'Base bordo CD'!D$2:D$875,A1117,'Base bordo CD'!A$2:A$875,B1117,'Base bordo CD'!L$2:L$875,"CORTE DE CANA MECANIZADO"),0)</f>
        <v>0</v>
      </c>
      <c r="S1117" s="30" t="str">
        <f t="shared" si="91"/>
        <v/>
      </c>
      <c r="T1117" s="9">
        <f t="shared" si="92"/>
        <v>0</v>
      </c>
      <c r="U1117" s="9">
        <f t="shared" si="93"/>
        <v>0</v>
      </c>
      <c r="V1117" s="9">
        <f t="shared" si="94"/>
        <v>0</v>
      </c>
    </row>
    <row r="1118" spans="1:22" hidden="1" x14ac:dyDescent="0.35">
      <c r="A1118" s="52">
        <v>49592</v>
      </c>
      <c r="B1118" s="31">
        <v>46117</v>
      </c>
      <c r="C1118" s="7" t="s">
        <v>364</v>
      </c>
      <c r="D1118" s="7">
        <v>352</v>
      </c>
      <c r="E1118" s="10">
        <f>IFERROR(SUMIFS('Base bordo CD'!M$2:M$875,'Base bordo CD'!D$2:D$875,A1118,'Base bordo CD'!A$2:A$875,B1118,'Base bordo CD'!L$2:L$875,"CORTE DE CANA MECANIZADO"),0)</f>
        <v>0</v>
      </c>
      <c r="F1118" s="10">
        <f>IFERROR(SUMIFS('Base bordo CD'!M$2:M$875,'Base bordo CD'!D$2:D$875,A1118,'Base bordo CD'!A$2:A$875,B1118,'Base bordo CD'!L$2:L$875,"MANOBRA"),0)</f>
        <v>0</v>
      </c>
      <c r="G1118" s="10">
        <f>IFERROR(SUMIFS('Base bordo CD'!M$2:M$875,'Base bordo CD'!D$2:D$875,A1118,'Base bordo CD'!A$2:A$875,B1118,'Base bordo CD'!L$2:L$875,"DESLOCAMENTO"),0)</f>
        <v>0</v>
      </c>
      <c r="H1118" s="10">
        <f>IFERROR(SUMIFS('Base bordo CD'!M$2:M$875,'Base bordo CD'!D$2:D$875,A1118,'Base bordo CD'!A$2:A$875,B1118,'Base bordo CD'!L$2:L$875,"AGUARDANDO MANOBRA DE TRANSBORDO"),0)+IFERROR(SUMIFS('Base bordo CD'!M$2:M$875,'Base bordo CD'!D$2:D$875,A1118,'Base bordo CD'!A$2:A$875,B1118,'Base bordo CD'!L$2:L$875,"FALTA DE TRANSBORDO"),0)</f>
        <v>0</v>
      </c>
      <c r="I1118" s="10">
        <f>IFERROR(SUMIFS('Base bordo CD'!M$2:M$875,'Base bordo CD'!D$2:D$875,A1118,'Base bordo CD'!A$2:A$875,B1118,'Base bordo CD'!L$2:L$875,"PARADA POR CONDICOES CLIMATICAS"),0)+IFERROR(SUMIFS('Base bordo CD'!M$2:M$875,'Base bordo CD'!D$2:D$875,A1118,'Base bordo CD'!A$2:A$875,B1118,'Base bordo CD'!L$2:L$875,"TEMPO INDETERMINADO"),0)</f>
        <v>0</v>
      </c>
      <c r="J1118" s="10">
        <f>IFERROR(SUMIFS('Base bordo CD'!M$2:M$875,'Base bordo CD'!D$2:D$875,A1118,'Base bordo CD'!A$2:A$875,B1118,'Base bordo CD'!L$2:L$875,"LIMITAÇÃO INDÚSTRIA"),0)</f>
        <v>0</v>
      </c>
      <c r="K1118" s="10">
        <f>IFERROR(SUMIFS('Base bordo CD'!M$2:M$875,'Base bordo CD'!D$2:D$875,A1118,'Base bordo CD'!A$2:A$875,B1118,'Base bordo CD'!L$2:L$875,"MAN CORRETIVA*"),0)+IFERROR(SUMIFS('Base bordo CD'!M$2:M$875,'Base bordo CD'!D$2:D$875,A1118,'Base bordo CD'!A$2:A$875,B1118,'Base bordo CD'!L$2:L$875,"AGUARDANDO MANUTENCAO*"),0)+IFERROR(SUMIFS('Base bordo CD'!M$2:M$875,'Base bordo CD'!D$2:D$875,A1118,'Base bordo CD'!A$2:A$875,B1118,'Base bordo CD'!L$2:L$875,"TROCA DE FAQUINHA"),0)+IFERROR(SUMIFS('Base bordo CD'!M$2:M$875,'Base bordo CD'!D$2:D$875,A1118,'Base bordo CD'!A$2:A$875,B1118,'Base bordo CD'!L$2:L$875,"LIMPEZA*"),0)</f>
        <v>0</v>
      </c>
      <c r="L1118" s="10">
        <f>IFERROR(SUMIFS('Base bordo CD'!M$2:M$875,'Base bordo CD'!D$2:D$875,A1118,'Base bordo CD'!A$2:A$875,B1118,'Base bordo CD'!L$2:L$875,"PATIO - RESERVA"),0)</f>
        <v>0</v>
      </c>
      <c r="M1118" s="10">
        <f>IFERROR(SUMIFS('Base bordo CD'!M$2:M$875,'Base bordo CD'!D$2:D$875,A1118,'Base bordo CD'!A$2:A$875,B1118,'Base bordo CD'!L$2:L$875,"SEM APONTAMENTO"),0)</f>
        <v>0</v>
      </c>
      <c r="N1118" s="10">
        <f>IFERROR(SUMIFS('Base bordo CD'!M$2:M$875,'Base bordo CD'!D$2:D$875,A1118,'Base bordo CD'!A$2:A$875,B1118,'Base bordo CD'!L$2:L$875,"FALTA DE CAMINHÃO"),0)+IFERROR(SUMIFS('Base bordo CD'!M$2:M$875,'Base bordo CD'!D$2:D$875,A1118,'Base bordo CD'!A$2:A$875,B1118,'Base bordo CD'!L$2:L$875,"FALTA DE COMBUSTIVEL"),0)+IFERROR(SUMIFS('Base bordo CD'!M$2:M$875,'Base bordo CD'!D$2:D$875,A1118,'Base bordo CD'!A$2:A$875,B1118,'Base bordo CD'!L$2:L$875,"FALTA DE MOTORIST*"),0)</f>
        <v>0</v>
      </c>
      <c r="O1118" s="10">
        <f t="shared" si="90"/>
        <v>0</v>
      </c>
      <c r="P1118" s="10">
        <f>IFERROR(SUMIFS('Base bordo CD'!M$2:M$875,'Base bordo CD'!D$2:D$875,A1118,'Base bordo CD'!A$2:A$875,B1118),0)</f>
        <v>0</v>
      </c>
      <c r="Q1118" s="10">
        <f>IFERROR(SUMIFS('Base bordo CD'!O$2:O$875,'Base bordo CD'!D$2:D$875,A1118,'Base bordo CD'!A$2:A$875,B1118,'Base bordo CD'!L$2:L$875,"CORTE DE CANA MECANIZADO"),0)</f>
        <v>0</v>
      </c>
      <c r="R1118" s="10">
        <f>IFERROR(SUMIFS('Base bordo CD'!Q$2:Q$875,'Base bordo CD'!D$2:D$875,A1118,'Base bordo CD'!A$2:A$875,B1118,'Base bordo CD'!L$2:L$875,"CORTE DE CANA MECANIZADO"),0)</f>
        <v>0</v>
      </c>
      <c r="S1118" s="30" t="str">
        <f t="shared" si="91"/>
        <v/>
      </c>
      <c r="T1118" s="9">
        <f t="shared" si="92"/>
        <v>0</v>
      </c>
      <c r="U1118" s="9">
        <f t="shared" si="93"/>
        <v>0</v>
      </c>
      <c r="V1118" s="9">
        <f t="shared" si="94"/>
        <v>0</v>
      </c>
    </row>
    <row r="1119" spans="1:22" hidden="1" x14ac:dyDescent="0.35">
      <c r="A1119" s="52">
        <v>49592</v>
      </c>
      <c r="B1119" s="31">
        <v>46117</v>
      </c>
      <c r="C1119" s="7" t="s">
        <v>364</v>
      </c>
      <c r="D1119" s="7">
        <v>352</v>
      </c>
      <c r="E1119" s="10">
        <f>IFERROR(SUMIFS('Base bordo CD'!M$2:M$875,'Base bordo CD'!D$2:D$875,A1119,'Base bordo CD'!A$2:A$875,B1119,'Base bordo CD'!L$2:L$875,"CORTE DE CANA MECANIZADO"),0)</f>
        <v>0</v>
      </c>
      <c r="F1119" s="10">
        <f>IFERROR(SUMIFS('Base bordo CD'!M$2:M$875,'Base bordo CD'!D$2:D$875,A1119,'Base bordo CD'!A$2:A$875,B1119,'Base bordo CD'!L$2:L$875,"MANOBRA"),0)</f>
        <v>0</v>
      </c>
      <c r="G1119" s="10">
        <f>IFERROR(SUMIFS('Base bordo CD'!M$2:M$875,'Base bordo CD'!D$2:D$875,A1119,'Base bordo CD'!A$2:A$875,B1119,'Base bordo CD'!L$2:L$875,"DESLOCAMENTO"),0)</f>
        <v>0</v>
      </c>
      <c r="H1119" s="10">
        <f>IFERROR(SUMIFS('Base bordo CD'!M$2:M$875,'Base bordo CD'!D$2:D$875,A1119,'Base bordo CD'!A$2:A$875,B1119,'Base bordo CD'!L$2:L$875,"AGUARDANDO MANOBRA DE TRANSBORDO"),0)+IFERROR(SUMIFS('Base bordo CD'!M$2:M$875,'Base bordo CD'!D$2:D$875,A1119,'Base bordo CD'!A$2:A$875,B1119,'Base bordo CD'!L$2:L$875,"FALTA DE TRANSBORDO"),0)</f>
        <v>0</v>
      </c>
      <c r="I1119" s="10">
        <f>IFERROR(SUMIFS('Base bordo CD'!M$2:M$875,'Base bordo CD'!D$2:D$875,A1119,'Base bordo CD'!A$2:A$875,B1119,'Base bordo CD'!L$2:L$875,"PARADA POR CONDICOES CLIMATICAS"),0)+IFERROR(SUMIFS('Base bordo CD'!M$2:M$875,'Base bordo CD'!D$2:D$875,A1119,'Base bordo CD'!A$2:A$875,B1119,'Base bordo CD'!L$2:L$875,"TEMPO INDETERMINADO"),0)</f>
        <v>0</v>
      </c>
      <c r="J1119" s="10">
        <f>IFERROR(SUMIFS('Base bordo CD'!M$2:M$875,'Base bordo CD'!D$2:D$875,A1119,'Base bordo CD'!A$2:A$875,B1119,'Base bordo CD'!L$2:L$875,"LIMITAÇÃO INDÚSTRIA"),0)</f>
        <v>0</v>
      </c>
      <c r="K1119" s="10">
        <f>IFERROR(SUMIFS('Base bordo CD'!M$2:M$875,'Base bordo CD'!D$2:D$875,A1119,'Base bordo CD'!A$2:A$875,B1119,'Base bordo CD'!L$2:L$875,"MAN CORRETIVA*"),0)+IFERROR(SUMIFS('Base bordo CD'!M$2:M$875,'Base bordo CD'!D$2:D$875,A1119,'Base bordo CD'!A$2:A$875,B1119,'Base bordo CD'!L$2:L$875,"AGUARDANDO MANUTENCAO*"),0)+IFERROR(SUMIFS('Base bordo CD'!M$2:M$875,'Base bordo CD'!D$2:D$875,A1119,'Base bordo CD'!A$2:A$875,B1119,'Base bordo CD'!L$2:L$875,"TROCA DE FAQUINHA"),0)+IFERROR(SUMIFS('Base bordo CD'!M$2:M$875,'Base bordo CD'!D$2:D$875,A1119,'Base bordo CD'!A$2:A$875,B1119,'Base bordo CD'!L$2:L$875,"LIMPEZA*"),0)</f>
        <v>0</v>
      </c>
      <c r="L1119" s="10">
        <f>IFERROR(SUMIFS('Base bordo CD'!M$2:M$875,'Base bordo CD'!D$2:D$875,A1119,'Base bordo CD'!A$2:A$875,B1119,'Base bordo CD'!L$2:L$875,"PATIO - RESERVA"),0)</f>
        <v>0</v>
      </c>
      <c r="M1119" s="10">
        <f>IFERROR(SUMIFS('Base bordo CD'!M$2:M$875,'Base bordo CD'!D$2:D$875,A1119,'Base bordo CD'!A$2:A$875,B1119,'Base bordo CD'!L$2:L$875,"SEM APONTAMENTO"),0)</f>
        <v>0</v>
      </c>
      <c r="N1119" s="10">
        <f>IFERROR(SUMIFS('Base bordo CD'!M$2:M$875,'Base bordo CD'!D$2:D$875,A1119,'Base bordo CD'!A$2:A$875,B1119,'Base bordo CD'!L$2:L$875,"FALTA DE CAMINHÃO"),0)+IFERROR(SUMIFS('Base bordo CD'!M$2:M$875,'Base bordo CD'!D$2:D$875,A1119,'Base bordo CD'!A$2:A$875,B1119,'Base bordo CD'!L$2:L$875,"FALTA DE COMBUSTIVEL"),0)+IFERROR(SUMIFS('Base bordo CD'!M$2:M$875,'Base bordo CD'!D$2:D$875,A1119,'Base bordo CD'!A$2:A$875,B1119,'Base bordo CD'!L$2:L$875,"FALTA DE MOTORIST*"),0)</f>
        <v>0</v>
      </c>
      <c r="O1119" s="10">
        <f t="shared" si="90"/>
        <v>0</v>
      </c>
      <c r="P1119" s="10">
        <f>IFERROR(SUMIFS('Base bordo CD'!M$2:M$875,'Base bordo CD'!D$2:D$875,A1119,'Base bordo CD'!A$2:A$875,B1119),0)</f>
        <v>0</v>
      </c>
      <c r="Q1119" s="10">
        <f>IFERROR(SUMIFS('Base bordo CD'!O$2:O$875,'Base bordo CD'!D$2:D$875,A1119,'Base bordo CD'!A$2:A$875,B1119,'Base bordo CD'!L$2:L$875,"CORTE DE CANA MECANIZADO"),0)</f>
        <v>0</v>
      </c>
      <c r="R1119" s="10">
        <f>IFERROR(SUMIFS('Base bordo CD'!Q$2:Q$875,'Base bordo CD'!D$2:D$875,A1119,'Base bordo CD'!A$2:A$875,B1119,'Base bordo CD'!L$2:L$875,"CORTE DE CANA MECANIZADO"),0)</f>
        <v>0</v>
      </c>
      <c r="S1119" s="30" t="str">
        <f t="shared" si="91"/>
        <v/>
      </c>
      <c r="T1119" s="9">
        <f t="shared" si="92"/>
        <v>0</v>
      </c>
      <c r="U1119" s="9">
        <f t="shared" si="93"/>
        <v>0</v>
      </c>
      <c r="V1119" s="9">
        <f t="shared" si="94"/>
        <v>0</v>
      </c>
    </row>
    <row r="1120" spans="1:22" hidden="1" x14ac:dyDescent="0.35">
      <c r="A1120" s="52">
        <v>49592</v>
      </c>
      <c r="B1120" s="31">
        <v>46117</v>
      </c>
      <c r="C1120" s="7" t="s">
        <v>364</v>
      </c>
      <c r="D1120" s="7">
        <v>352</v>
      </c>
      <c r="E1120" s="10">
        <f>IFERROR(SUMIFS('Base bordo CD'!M$2:M$875,'Base bordo CD'!D$2:D$875,A1120,'Base bordo CD'!A$2:A$875,B1120,'Base bordo CD'!L$2:L$875,"CORTE DE CANA MECANIZADO"),0)</f>
        <v>0</v>
      </c>
      <c r="F1120" s="10">
        <f>IFERROR(SUMIFS('Base bordo CD'!M$2:M$875,'Base bordo CD'!D$2:D$875,A1120,'Base bordo CD'!A$2:A$875,B1120,'Base bordo CD'!L$2:L$875,"MANOBRA"),0)</f>
        <v>0</v>
      </c>
      <c r="G1120" s="10">
        <f>IFERROR(SUMIFS('Base bordo CD'!M$2:M$875,'Base bordo CD'!D$2:D$875,A1120,'Base bordo CD'!A$2:A$875,B1120,'Base bordo CD'!L$2:L$875,"DESLOCAMENTO"),0)</f>
        <v>0</v>
      </c>
      <c r="H1120" s="10">
        <f>IFERROR(SUMIFS('Base bordo CD'!M$2:M$875,'Base bordo CD'!D$2:D$875,A1120,'Base bordo CD'!A$2:A$875,B1120,'Base bordo CD'!L$2:L$875,"AGUARDANDO MANOBRA DE TRANSBORDO"),0)+IFERROR(SUMIFS('Base bordo CD'!M$2:M$875,'Base bordo CD'!D$2:D$875,A1120,'Base bordo CD'!A$2:A$875,B1120,'Base bordo CD'!L$2:L$875,"FALTA DE TRANSBORDO"),0)</f>
        <v>0</v>
      </c>
      <c r="I1120" s="10">
        <f>IFERROR(SUMIFS('Base bordo CD'!M$2:M$875,'Base bordo CD'!D$2:D$875,A1120,'Base bordo CD'!A$2:A$875,B1120,'Base bordo CD'!L$2:L$875,"PARADA POR CONDICOES CLIMATICAS"),0)+IFERROR(SUMIFS('Base bordo CD'!M$2:M$875,'Base bordo CD'!D$2:D$875,A1120,'Base bordo CD'!A$2:A$875,B1120,'Base bordo CD'!L$2:L$875,"TEMPO INDETERMINADO"),0)</f>
        <v>0</v>
      </c>
      <c r="J1120" s="10">
        <f>IFERROR(SUMIFS('Base bordo CD'!M$2:M$875,'Base bordo CD'!D$2:D$875,A1120,'Base bordo CD'!A$2:A$875,B1120,'Base bordo CD'!L$2:L$875,"LIMITAÇÃO INDÚSTRIA"),0)</f>
        <v>0</v>
      </c>
      <c r="K1120" s="10">
        <f>IFERROR(SUMIFS('Base bordo CD'!M$2:M$875,'Base bordo CD'!D$2:D$875,A1120,'Base bordo CD'!A$2:A$875,B1120,'Base bordo CD'!L$2:L$875,"MAN CORRETIVA*"),0)+IFERROR(SUMIFS('Base bordo CD'!M$2:M$875,'Base bordo CD'!D$2:D$875,A1120,'Base bordo CD'!A$2:A$875,B1120,'Base bordo CD'!L$2:L$875,"AGUARDANDO MANUTENCAO*"),0)+IFERROR(SUMIFS('Base bordo CD'!M$2:M$875,'Base bordo CD'!D$2:D$875,A1120,'Base bordo CD'!A$2:A$875,B1120,'Base bordo CD'!L$2:L$875,"TROCA DE FAQUINHA"),0)+IFERROR(SUMIFS('Base bordo CD'!M$2:M$875,'Base bordo CD'!D$2:D$875,A1120,'Base bordo CD'!A$2:A$875,B1120,'Base bordo CD'!L$2:L$875,"LIMPEZA*"),0)</f>
        <v>0</v>
      </c>
      <c r="L1120" s="10">
        <f>IFERROR(SUMIFS('Base bordo CD'!M$2:M$875,'Base bordo CD'!D$2:D$875,A1120,'Base bordo CD'!A$2:A$875,B1120,'Base bordo CD'!L$2:L$875,"PATIO - RESERVA"),0)</f>
        <v>0</v>
      </c>
      <c r="M1120" s="10">
        <f>IFERROR(SUMIFS('Base bordo CD'!M$2:M$875,'Base bordo CD'!D$2:D$875,A1120,'Base bordo CD'!A$2:A$875,B1120,'Base bordo CD'!L$2:L$875,"SEM APONTAMENTO"),0)</f>
        <v>0</v>
      </c>
      <c r="N1120" s="10">
        <f>IFERROR(SUMIFS('Base bordo CD'!M$2:M$875,'Base bordo CD'!D$2:D$875,A1120,'Base bordo CD'!A$2:A$875,B1120,'Base bordo CD'!L$2:L$875,"FALTA DE CAMINHÃO"),0)+IFERROR(SUMIFS('Base bordo CD'!M$2:M$875,'Base bordo CD'!D$2:D$875,A1120,'Base bordo CD'!A$2:A$875,B1120,'Base bordo CD'!L$2:L$875,"FALTA DE COMBUSTIVEL"),0)+IFERROR(SUMIFS('Base bordo CD'!M$2:M$875,'Base bordo CD'!D$2:D$875,A1120,'Base bordo CD'!A$2:A$875,B1120,'Base bordo CD'!L$2:L$875,"FALTA DE MOTORIST*"),0)</f>
        <v>0</v>
      </c>
      <c r="O1120" s="10">
        <f t="shared" si="90"/>
        <v>0</v>
      </c>
      <c r="P1120" s="10">
        <f>IFERROR(SUMIFS('Base bordo CD'!M$2:M$875,'Base bordo CD'!D$2:D$875,A1120,'Base bordo CD'!A$2:A$875,B1120),0)</f>
        <v>0</v>
      </c>
      <c r="Q1120" s="10">
        <f>IFERROR(SUMIFS('Base bordo CD'!O$2:O$875,'Base bordo CD'!D$2:D$875,A1120,'Base bordo CD'!A$2:A$875,B1120,'Base bordo CD'!L$2:L$875,"CORTE DE CANA MECANIZADO"),0)</f>
        <v>0</v>
      </c>
      <c r="R1120" s="10">
        <f>IFERROR(SUMIFS('Base bordo CD'!Q$2:Q$875,'Base bordo CD'!D$2:D$875,A1120,'Base bordo CD'!A$2:A$875,B1120,'Base bordo CD'!L$2:L$875,"CORTE DE CANA MECANIZADO"),0)</f>
        <v>0</v>
      </c>
      <c r="S1120" s="30" t="str">
        <f t="shared" si="91"/>
        <v/>
      </c>
      <c r="T1120" s="9">
        <f t="shared" si="92"/>
        <v>0</v>
      </c>
      <c r="U1120" s="9">
        <f t="shared" si="93"/>
        <v>0</v>
      </c>
      <c r="V1120" s="9">
        <f t="shared" si="94"/>
        <v>0</v>
      </c>
    </row>
    <row r="1121" spans="1:22" hidden="1" x14ac:dyDescent="0.35">
      <c r="A1121" s="52">
        <v>49592</v>
      </c>
      <c r="B1121" s="31">
        <v>46117</v>
      </c>
      <c r="C1121" s="7" t="s">
        <v>364</v>
      </c>
      <c r="D1121" s="7">
        <v>352</v>
      </c>
      <c r="E1121" s="10">
        <f>IFERROR(SUMIFS('Base bordo CD'!M$2:M$875,'Base bordo CD'!D$2:D$875,A1121,'Base bordo CD'!A$2:A$875,B1121,'Base bordo CD'!L$2:L$875,"CORTE DE CANA MECANIZADO"),0)</f>
        <v>0</v>
      </c>
      <c r="F1121" s="10">
        <f>IFERROR(SUMIFS('Base bordo CD'!M$2:M$875,'Base bordo CD'!D$2:D$875,A1121,'Base bordo CD'!A$2:A$875,B1121,'Base bordo CD'!L$2:L$875,"MANOBRA"),0)</f>
        <v>0</v>
      </c>
      <c r="G1121" s="10">
        <f>IFERROR(SUMIFS('Base bordo CD'!M$2:M$875,'Base bordo CD'!D$2:D$875,A1121,'Base bordo CD'!A$2:A$875,B1121,'Base bordo CD'!L$2:L$875,"DESLOCAMENTO"),0)</f>
        <v>0</v>
      </c>
      <c r="H1121" s="10">
        <f>IFERROR(SUMIFS('Base bordo CD'!M$2:M$875,'Base bordo CD'!D$2:D$875,A1121,'Base bordo CD'!A$2:A$875,B1121,'Base bordo CD'!L$2:L$875,"AGUARDANDO MANOBRA DE TRANSBORDO"),0)+IFERROR(SUMIFS('Base bordo CD'!M$2:M$875,'Base bordo CD'!D$2:D$875,A1121,'Base bordo CD'!A$2:A$875,B1121,'Base bordo CD'!L$2:L$875,"FALTA DE TRANSBORDO"),0)</f>
        <v>0</v>
      </c>
      <c r="I1121" s="10">
        <f>IFERROR(SUMIFS('Base bordo CD'!M$2:M$875,'Base bordo CD'!D$2:D$875,A1121,'Base bordo CD'!A$2:A$875,B1121,'Base bordo CD'!L$2:L$875,"PARADA POR CONDICOES CLIMATICAS"),0)+IFERROR(SUMIFS('Base bordo CD'!M$2:M$875,'Base bordo CD'!D$2:D$875,A1121,'Base bordo CD'!A$2:A$875,B1121,'Base bordo CD'!L$2:L$875,"TEMPO INDETERMINADO"),0)</f>
        <v>0</v>
      </c>
      <c r="J1121" s="10">
        <f>IFERROR(SUMIFS('Base bordo CD'!M$2:M$875,'Base bordo CD'!D$2:D$875,A1121,'Base bordo CD'!A$2:A$875,B1121,'Base bordo CD'!L$2:L$875,"LIMITAÇÃO INDÚSTRIA"),0)</f>
        <v>0</v>
      </c>
      <c r="K1121" s="10">
        <f>IFERROR(SUMIFS('Base bordo CD'!M$2:M$875,'Base bordo CD'!D$2:D$875,A1121,'Base bordo CD'!A$2:A$875,B1121,'Base bordo CD'!L$2:L$875,"MAN CORRETIVA*"),0)+IFERROR(SUMIFS('Base bordo CD'!M$2:M$875,'Base bordo CD'!D$2:D$875,A1121,'Base bordo CD'!A$2:A$875,B1121,'Base bordo CD'!L$2:L$875,"AGUARDANDO MANUTENCAO*"),0)+IFERROR(SUMIFS('Base bordo CD'!M$2:M$875,'Base bordo CD'!D$2:D$875,A1121,'Base bordo CD'!A$2:A$875,B1121,'Base bordo CD'!L$2:L$875,"TROCA DE FAQUINHA"),0)+IFERROR(SUMIFS('Base bordo CD'!M$2:M$875,'Base bordo CD'!D$2:D$875,A1121,'Base bordo CD'!A$2:A$875,B1121,'Base bordo CD'!L$2:L$875,"LIMPEZA*"),0)</f>
        <v>0</v>
      </c>
      <c r="L1121" s="10">
        <f>IFERROR(SUMIFS('Base bordo CD'!M$2:M$875,'Base bordo CD'!D$2:D$875,A1121,'Base bordo CD'!A$2:A$875,B1121,'Base bordo CD'!L$2:L$875,"PATIO - RESERVA"),0)</f>
        <v>0</v>
      </c>
      <c r="M1121" s="10">
        <f>IFERROR(SUMIFS('Base bordo CD'!M$2:M$875,'Base bordo CD'!D$2:D$875,A1121,'Base bordo CD'!A$2:A$875,B1121,'Base bordo CD'!L$2:L$875,"SEM APONTAMENTO"),0)</f>
        <v>0</v>
      </c>
      <c r="N1121" s="10">
        <f>IFERROR(SUMIFS('Base bordo CD'!M$2:M$875,'Base bordo CD'!D$2:D$875,A1121,'Base bordo CD'!A$2:A$875,B1121,'Base bordo CD'!L$2:L$875,"FALTA DE CAMINHÃO"),0)+IFERROR(SUMIFS('Base bordo CD'!M$2:M$875,'Base bordo CD'!D$2:D$875,A1121,'Base bordo CD'!A$2:A$875,B1121,'Base bordo CD'!L$2:L$875,"FALTA DE COMBUSTIVEL"),0)+IFERROR(SUMIFS('Base bordo CD'!M$2:M$875,'Base bordo CD'!D$2:D$875,A1121,'Base bordo CD'!A$2:A$875,B1121,'Base bordo CD'!L$2:L$875,"FALTA DE MOTORIST*"),0)</f>
        <v>0</v>
      </c>
      <c r="O1121" s="10">
        <f t="shared" si="90"/>
        <v>0</v>
      </c>
      <c r="P1121" s="10">
        <f>IFERROR(SUMIFS('Base bordo CD'!M$2:M$875,'Base bordo CD'!D$2:D$875,A1121,'Base bordo CD'!A$2:A$875,B1121),0)</f>
        <v>0</v>
      </c>
      <c r="Q1121" s="10">
        <f>IFERROR(SUMIFS('Base bordo CD'!O$2:O$875,'Base bordo CD'!D$2:D$875,A1121,'Base bordo CD'!A$2:A$875,B1121,'Base bordo CD'!L$2:L$875,"CORTE DE CANA MECANIZADO"),0)</f>
        <v>0</v>
      </c>
      <c r="R1121" s="10">
        <f>IFERROR(SUMIFS('Base bordo CD'!Q$2:Q$875,'Base bordo CD'!D$2:D$875,A1121,'Base bordo CD'!A$2:A$875,B1121,'Base bordo CD'!L$2:L$875,"CORTE DE CANA MECANIZADO"),0)</f>
        <v>0</v>
      </c>
      <c r="S1121" s="30" t="str">
        <f t="shared" si="91"/>
        <v/>
      </c>
      <c r="T1121" s="9">
        <f t="shared" si="92"/>
        <v>0</v>
      </c>
      <c r="U1121" s="9">
        <f t="shared" si="93"/>
        <v>0</v>
      </c>
      <c r="V1121" s="9">
        <f t="shared" si="94"/>
        <v>0</v>
      </c>
    </row>
    <row r="1122" spans="1:22" hidden="1" x14ac:dyDescent="0.35">
      <c r="A1122" s="52">
        <v>49592</v>
      </c>
      <c r="B1122" s="31">
        <v>46117</v>
      </c>
      <c r="C1122" s="7" t="s">
        <v>364</v>
      </c>
      <c r="D1122" s="7">
        <v>352</v>
      </c>
      <c r="E1122" s="10">
        <f>IFERROR(SUMIFS('Base bordo CD'!M$2:M$875,'Base bordo CD'!D$2:D$875,A1122,'Base bordo CD'!A$2:A$875,B1122,'Base bordo CD'!L$2:L$875,"CORTE DE CANA MECANIZADO"),0)</f>
        <v>0</v>
      </c>
      <c r="F1122" s="10">
        <f>IFERROR(SUMIFS('Base bordo CD'!M$2:M$875,'Base bordo CD'!D$2:D$875,A1122,'Base bordo CD'!A$2:A$875,B1122,'Base bordo CD'!L$2:L$875,"MANOBRA"),0)</f>
        <v>0</v>
      </c>
      <c r="G1122" s="10">
        <f>IFERROR(SUMIFS('Base bordo CD'!M$2:M$875,'Base bordo CD'!D$2:D$875,A1122,'Base bordo CD'!A$2:A$875,B1122,'Base bordo CD'!L$2:L$875,"DESLOCAMENTO"),0)</f>
        <v>0</v>
      </c>
      <c r="H1122" s="10">
        <f>IFERROR(SUMIFS('Base bordo CD'!M$2:M$875,'Base bordo CD'!D$2:D$875,A1122,'Base bordo CD'!A$2:A$875,B1122,'Base bordo CD'!L$2:L$875,"AGUARDANDO MANOBRA DE TRANSBORDO"),0)+IFERROR(SUMIFS('Base bordo CD'!M$2:M$875,'Base bordo CD'!D$2:D$875,A1122,'Base bordo CD'!A$2:A$875,B1122,'Base bordo CD'!L$2:L$875,"FALTA DE TRANSBORDO"),0)</f>
        <v>0</v>
      </c>
      <c r="I1122" s="10">
        <f>IFERROR(SUMIFS('Base bordo CD'!M$2:M$875,'Base bordo CD'!D$2:D$875,A1122,'Base bordo CD'!A$2:A$875,B1122,'Base bordo CD'!L$2:L$875,"PARADA POR CONDICOES CLIMATICAS"),0)+IFERROR(SUMIFS('Base bordo CD'!M$2:M$875,'Base bordo CD'!D$2:D$875,A1122,'Base bordo CD'!A$2:A$875,B1122,'Base bordo CD'!L$2:L$875,"TEMPO INDETERMINADO"),0)</f>
        <v>0</v>
      </c>
      <c r="J1122" s="10">
        <f>IFERROR(SUMIFS('Base bordo CD'!M$2:M$875,'Base bordo CD'!D$2:D$875,A1122,'Base bordo CD'!A$2:A$875,B1122,'Base bordo CD'!L$2:L$875,"LIMITAÇÃO INDÚSTRIA"),0)</f>
        <v>0</v>
      </c>
      <c r="K1122" s="10">
        <f>IFERROR(SUMIFS('Base bordo CD'!M$2:M$875,'Base bordo CD'!D$2:D$875,A1122,'Base bordo CD'!A$2:A$875,B1122,'Base bordo CD'!L$2:L$875,"MAN CORRETIVA*"),0)+IFERROR(SUMIFS('Base bordo CD'!M$2:M$875,'Base bordo CD'!D$2:D$875,A1122,'Base bordo CD'!A$2:A$875,B1122,'Base bordo CD'!L$2:L$875,"AGUARDANDO MANUTENCAO*"),0)+IFERROR(SUMIFS('Base bordo CD'!M$2:M$875,'Base bordo CD'!D$2:D$875,A1122,'Base bordo CD'!A$2:A$875,B1122,'Base bordo CD'!L$2:L$875,"TROCA DE FAQUINHA"),0)+IFERROR(SUMIFS('Base bordo CD'!M$2:M$875,'Base bordo CD'!D$2:D$875,A1122,'Base bordo CD'!A$2:A$875,B1122,'Base bordo CD'!L$2:L$875,"LIMPEZA*"),0)</f>
        <v>0</v>
      </c>
      <c r="L1122" s="10">
        <f>IFERROR(SUMIFS('Base bordo CD'!M$2:M$875,'Base bordo CD'!D$2:D$875,A1122,'Base bordo CD'!A$2:A$875,B1122,'Base bordo CD'!L$2:L$875,"PATIO - RESERVA"),0)</f>
        <v>0</v>
      </c>
      <c r="M1122" s="10">
        <f>IFERROR(SUMIFS('Base bordo CD'!M$2:M$875,'Base bordo CD'!D$2:D$875,A1122,'Base bordo CD'!A$2:A$875,B1122,'Base bordo CD'!L$2:L$875,"SEM APONTAMENTO"),0)</f>
        <v>0</v>
      </c>
      <c r="N1122" s="10">
        <f>IFERROR(SUMIFS('Base bordo CD'!M$2:M$875,'Base bordo CD'!D$2:D$875,A1122,'Base bordo CD'!A$2:A$875,B1122,'Base bordo CD'!L$2:L$875,"FALTA DE CAMINHÃO"),0)+IFERROR(SUMIFS('Base bordo CD'!M$2:M$875,'Base bordo CD'!D$2:D$875,A1122,'Base bordo CD'!A$2:A$875,B1122,'Base bordo CD'!L$2:L$875,"FALTA DE COMBUSTIVEL"),0)+IFERROR(SUMIFS('Base bordo CD'!M$2:M$875,'Base bordo CD'!D$2:D$875,A1122,'Base bordo CD'!A$2:A$875,B1122,'Base bordo CD'!L$2:L$875,"FALTA DE MOTORIST*"),0)</f>
        <v>0</v>
      </c>
      <c r="O1122" s="10">
        <f t="shared" si="90"/>
        <v>0</v>
      </c>
      <c r="P1122" s="10">
        <f>IFERROR(SUMIFS('Base bordo CD'!M$2:M$875,'Base bordo CD'!D$2:D$875,A1122,'Base bordo CD'!A$2:A$875,B1122),0)</f>
        <v>0</v>
      </c>
      <c r="Q1122" s="10">
        <f>IFERROR(SUMIFS('Base bordo CD'!O$2:O$875,'Base bordo CD'!D$2:D$875,A1122,'Base bordo CD'!A$2:A$875,B1122,'Base bordo CD'!L$2:L$875,"CORTE DE CANA MECANIZADO"),0)</f>
        <v>0</v>
      </c>
      <c r="R1122" s="10">
        <f>IFERROR(SUMIFS('Base bordo CD'!Q$2:Q$875,'Base bordo CD'!D$2:D$875,A1122,'Base bordo CD'!A$2:A$875,B1122,'Base bordo CD'!L$2:L$875,"CORTE DE CANA MECANIZADO"),0)</f>
        <v>0</v>
      </c>
      <c r="S1122" s="30" t="str">
        <f t="shared" si="91"/>
        <v/>
      </c>
      <c r="T1122" s="9">
        <f t="shared" si="92"/>
        <v>0</v>
      </c>
      <c r="U1122" s="9">
        <f t="shared" si="93"/>
        <v>0</v>
      </c>
      <c r="V1122" s="9">
        <f t="shared" si="94"/>
        <v>0</v>
      </c>
    </row>
    <row r="1123" spans="1:22" hidden="1" x14ac:dyDescent="0.35">
      <c r="A1123" s="52">
        <v>49592</v>
      </c>
      <c r="B1123" s="31">
        <v>46117</v>
      </c>
      <c r="C1123" s="7" t="s">
        <v>364</v>
      </c>
      <c r="D1123" s="7">
        <v>352</v>
      </c>
      <c r="E1123" s="10">
        <f>IFERROR(SUMIFS('Base bordo CD'!M$2:M$875,'Base bordo CD'!D$2:D$875,A1123,'Base bordo CD'!A$2:A$875,B1123,'Base bordo CD'!L$2:L$875,"CORTE DE CANA MECANIZADO"),0)</f>
        <v>0</v>
      </c>
      <c r="F1123" s="10">
        <f>IFERROR(SUMIFS('Base bordo CD'!M$2:M$875,'Base bordo CD'!D$2:D$875,A1123,'Base bordo CD'!A$2:A$875,B1123,'Base bordo CD'!L$2:L$875,"MANOBRA"),0)</f>
        <v>0</v>
      </c>
      <c r="G1123" s="10">
        <f>IFERROR(SUMIFS('Base bordo CD'!M$2:M$875,'Base bordo CD'!D$2:D$875,A1123,'Base bordo CD'!A$2:A$875,B1123,'Base bordo CD'!L$2:L$875,"DESLOCAMENTO"),0)</f>
        <v>0</v>
      </c>
      <c r="H1123" s="10">
        <f>IFERROR(SUMIFS('Base bordo CD'!M$2:M$875,'Base bordo CD'!D$2:D$875,A1123,'Base bordo CD'!A$2:A$875,B1123,'Base bordo CD'!L$2:L$875,"AGUARDANDO MANOBRA DE TRANSBORDO"),0)+IFERROR(SUMIFS('Base bordo CD'!M$2:M$875,'Base bordo CD'!D$2:D$875,A1123,'Base bordo CD'!A$2:A$875,B1123,'Base bordo CD'!L$2:L$875,"FALTA DE TRANSBORDO"),0)</f>
        <v>0</v>
      </c>
      <c r="I1123" s="10">
        <f>IFERROR(SUMIFS('Base bordo CD'!M$2:M$875,'Base bordo CD'!D$2:D$875,A1123,'Base bordo CD'!A$2:A$875,B1123,'Base bordo CD'!L$2:L$875,"PARADA POR CONDICOES CLIMATICAS"),0)+IFERROR(SUMIFS('Base bordo CD'!M$2:M$875,'Base bordo CD'!D$2:D$875,A1123,'Base bordo CD'!A$2:A$875,B1123,'Base bordo CD'!L$2:L$875,"TEMPO INDETERMINADO"),0)</f>
        <v>0</v>
      </c>
      <c r="J1123" s="10">
        <f>IFERROR(SUMIFS('Base bordo CD'!M$2:M$875,'Base bordo CD'!D$2:D$875,A1123,'Base bordo CD'!A$2:A$875,B1123,'Base bordo CD'!L$2:L$875,"LIMITAÇÃO INDÚSTRIA"),0)</f>
        <v>0</v>
      </c>
      <c r="K1123" s="10">
        <f>IFERROR(SUMIFS('Base bordo CD'!M$2:M$875,'Base bordo CD'!D$2:D$875,A1123,'Base bordo CD'!A$2:A$875,B1123,'Base bordo CD'!L$2:L$875,"MAN CORRETIVA*"),0)+IFERROR(SUMIFS('Base bordo CD'!M$2:M$875,'Base bordo CD'!D$2:D$875,A1123,'Base bordo CD'!A$2:A$875,B1123,'Base bordo CD'!L$2:L$875,"AGUARDANDO MANUTENCAO*"),0)+IFERROR(SUMIFS('Base bordo CD'!M$2:M$875,'Base bordo CD'!D$2:D$875,A1123,'Base bordo CD'!A$2:A$875,B1123,'Base bordo CD'!L$2:L$875,"TROCA DE FAQUINHA"),0)+IFERROR(SUMIFS('Base bordo CD'!M$2:M$875,'Base bordo CD'!D$2:D$875,A1123,'Base bordo CD'!A$2:A$875,B1123,'Base bordo CD'!L$2:L$875,"LIMPEZA*"),0)</f>
        <v>0</v>
      </c>
      <c r="L1123" s="10">
        <f>IFERROR(SUMIFS('Base bordo CD'!M$2:M$875,'Base bordo CD'!D$2:D$875,A1123,'Base bordo CD'!A$2:A$875,B1123,'Base bordo CD'!L$2:L$875,"PATIO - RESERVA"),0)</f>
        <v>0</v>
      </c>
      <c r="M1123" s="10">
        <f>IFERROR(SUMIFS('Base bordo CD'!M$2:M$875,'Base bordo CD'!D$2:D$875,A1123,'Base bordo CD'!A$2:A$875,B1123,'Base bordo CD'!L$2:L$875,"SEM APONTAMENTO"),0)</f>
        <v>0</v>
      </c>
      <c r="N1123" s="10">
        <f>IFERROR(SUMIFS('Base bordo CD'!M$2:M$875,'Base bordo CD'!D$2:D$875,A1123,'Base bordo CD'!A$2:A$875,B1123,'Base bordo CD'!L$2:L$875,"FALTA DE CAMINHÃO"),0)+IFERROR(SUMIFS('Base bordo CD'!M$2:M$875,'Base bordo CD'!D$2:D$875,A1123,'Base bordo CD'!A$2:A$875,B1123,'Base bordo CD'!L$2:L$875,"FALTA DE COMBUSTIVEL"),0)+IFERROR(SUMIFS('Base bordo CD'!M$2:M$875,'Base bordo CD'!D$2:D$875,A1123,'Base bordo CD'!A$2:A$875,B1123,'Base bordo CD'!L$2:L$875,"FALTA DE MOTORIST*"),0)</f>
        <v>0</v>
      </c>
      <c r="O1123" s="10">
        <f t="shared" si="90"/>
        <v>0</v>
      </c>
      <c r="P1123" s="10">
        <f>IFERROR(SUMIFS('Base bordo CD'!M$2:M$875,'Base bordo CD'!D$2:D$875,A1123,'Base bordo CD'!A$2:A$875,B1123),0)</f>
        <v>0</v>
      </c>
      <c r="Q1123" s="10">
        <f>IFERROR(SUMIFS('Base bordo CD'!O$2:O$875,'Base bordo CD'!D$2:D$875,A1123,'Base bordo CD'!A$2:A$875,B1123,'Base bordo CD'!L$2:L$875,"CORTE DE CANA MECANIZADO"),0)</f>
        <v>0</v>
      </c>
      <c r="R1123" s="10">
        <f>IFERROR(SUMIFS('Base bordo CD'!Q$2:Q$875,'Base bordo CD'!D$2:D$875,A1123,'Base bordo CD'!A$2:A$875,B1123,'Base bordo CD'!L$2:L$875,"CORTE DE CANA MECANIZADO"),0)</f>
        <v>0</v>
      </c>
      <c r="S1123" s="30" t="str">
        <f t="shared" si="91"/>
        <v/>
      </c>
      <c r="T1123" s="9">
        <f t="shared" si="92"/>
        <v>0</v>
      </c>
      <c r="U1123" s="9">
        <f t="shared" si="93"/>
        <v>0</v>
      </c>
      <c r="V1123" s="9">
        <f t="shared" si="94"/>
        <v>0</v>
      </c>
    </row>
    <row r="1124" spans="1:22" hidden="1" x14ac:dyDescent="0.35">
      <c r="A1124" s="52">
        <v>49592</v>
      </c>
      <c r="B1124" s="31">
        <v>46117</v>
      </c>
      <c r="C1124" s="7" t="s">
        <v>364</v>
      </c>
      <c r="D1124" s="7">
        <v>352</v>
      </c>
      <c r="E1124" s="10">
        <f>IFERROR(SUMIFS('Base bordo CD'!M$2:M$875,'Base bordo CD'!D$2:D$875,A1124,'Base bordo CD'!A$2:A$875,B1124,'Base bordo CD'!L$2:L$875,"CORTE DE CANA MECANIZADO"),0)</f>
        <v>0</v>
      </c>
      <c r="F1124" s="10">
        <f>IFERROR(SUMIFS('Base bordo CD'!M$2:M$875,'Base bordo CD'!D$2:D$875,A1124,'Base bordo CD'!A$2:A$875,B1124,'Base bordo CD'!L$2:L$875,"MANOBRA"),0)</f>
        <v>0</v>
      </c>
      <c r="G1124" s="10">
        <f>IFERROR(SUMIFS('Base bordo CD'!M$2:M$875,'Base bordo CD'!D$2:D$875,A1124,'Base bordo CD'!A$2:A$875,B1124,'Base bordo CD'!L$2:L$875,"DESLOCAMENTO"),0)</f>
        <v>0</v>
      </c>
      <c r="H1124" s="10">
        <f>IFERROR(SUMIFS('Base bordo CD'!M$2:M$875,'Base bordo CD'!D$2:D$875,A1124,'Base bordo CD'!A$2:A$875,B1124,'Base bordo CD'!L$2:L$875,"AGUARDANDO MANOBRA DE TRANSBORDO"),0)+IFERROR(SUMIFS('Base bordo CD'!M$2:M$875,'Base bordo CD'!D$2:D$875,A1124,'Base bordo CD'!A$2:A$875,B1124,'Base bordo CD'!L$2:L$875,"FALTA DE TRANSBORDO"),0)</f>
        <v>0</v>
      </c>
      <c r="I1124" s="10">
        <f>IFERROR(SUMIFS('Base bordo CD'!M$2:M$875,'Base bordo CD'!D$2:D$875,A1124,'Base bordo CD'!A$2:A$875,B1124,'Base bordo CD'!L$2:L$875,"PARADA POR CONDICOES CLIMATICAS"),0)+IFERROR(SUMIFS('Base bordo CD'!M$2:M$875,'Base bordo CD'!D$2:D$875,A1124,'Base bordo CD'!A$2:A$875,B1124,'Base bordo CD'!L$2:L$875,"TEMPO INDETERMINADO"),0)</f>
        <v>0</v>
      </c>
      <c r="J1124" s="10">
        <f>IFERROR(SUMIFS('Base bordo CD'!M$2:M$875,'Base bordo CD'!D$2:D$875,A1124,'Base bordo CD'!A$2:A$875,B1124,'Base bordo CD'!L$2:L$875,"LIMITAÇÃO INDÚSTRIA"),0)</f>
        <v>0</v>
      </c>
      <c r="K1124" s="10">
        <f>IFERROR(SUMIFS('Base bordo CD'!M$2:M$875,'Base bordo CD'!D$2:D$875,A1124,'Base bordo CD'!A$2:A$875,B1124,'Base bordo CD'!L$2:L$875,"MAN CORRETIVA*"),0)+IFERROR(SUMIFS('Base bordo CD'!M$2:M$875,'Base bordo CD'!D$2:D$875,A1124,'Base bordo CD'!A$2:A$875,B1124,'Base bordo CD'!L$2:L$875,"AGUARDANDO MANUTENCAO*"),0)+IFERROR(SUMIFS('Base bordo CD'!M$2:M$875,'Base bordo CD'!D$2:D$875,A1124,'Base bordo CD'!A$2:A$875,B1124,'Base bordo CD'!L$2:L$875,"TROCA DE FAQUINHA"),0)+IFERROR(SUMIFS('Base bordo CD'!M$2:M$875,'Base bordo CD'!D$2:D$875,A1124,'Base bordo CD'!A$2:A$875,B1124,'Base bordo CD'!L$2:L$875,"LIMPEZA*"),0)</f>
        <v>0</v>
      </c>
      <c r="L1124" s="10">
        <f>IFERROR(SUMIFS('Base bordo CD'!M$2:M$875,'Base bordo CD'!D$2:D$875,A1124,'Base bordo CD'!A$2:A$875,B1124,'Base bordo CD'!L$2:L$875,"PATIO - RESERVA"),0)</f>
        <v>0</v>
      </c>
      <c r="M1124" s="10">
        <f>IFERROR(SUMIFS('Base bordo CD'!M$2:M$875,'Base bordo CD'!D$2:D$875,A1124,'Base bordo CD'!A$2:A$875,B1124,'Base bordo CD'!L$2:L$875,"SEM APONTAMENTO"),0)</f>
        <v>0</v>
      </c>
      <c r="N1124" s="10">
        <f>IFERROR(SUMIFS('Base bordo CD'!M$2:M$875,'Base bordo CD'!D$2:D$875,A1124,'Base bordo CD'!A$2:A$875,B1124,'Base bordo CD'!L$2:L$875,"FALTA DE CAMINHÃO"),0)+IFERROR(SUMIFS('Base bordo CD'!M$2:M$875,'Base bordo CD'!D$2:D$875,A1124,'Base bordo CD'!A$2:A$875,B1124,'Base bordo CD'!L$2:L$875,"FALTA DE COMBUSTIVEL"),0)+IFERROR(SUMIFS('Base bordo CD'!M$2:M$875,'Base bordo CD'!D$2:D$875,A1124,'Base bordo CD'!A$2:A$875,B1124,'Base bordo CD'!L$2:L$875,"FALTA DE MOTORIST*"),0)</f>
        <v>0</v>
      </c>
      <c r="O1124" s="10">
        <f t="shared" si="90"/>
        <v>0</v>
      </c>
      <c r="P1124" s="10">
        <f>IFERROR(SUMIFS('Base bordo CD'!M$2:M$875,'Base bordo CD'!D$2:D$875,A1124,'Base bordo CD'!A$2:A$875,B1124),0)</f>
        <v>0</v>
      </c>
      <c r="Q1124" s="10">
        <f>IFERROR(SUMIFS('Base bordo CD'!O$2:O$875,'Base bordo CD'!D$2:D$875,A1124,'Base bordo CD'!A$2:A$875,B1124,'Base bordo CD'!L$2:L$875,"CORTE DE CANA MECANIZADO"),0)</f>
        <v>0</v>
      </c>
      <c r="R1124" s="10">
        <f>IFERROR(SUMIFS('Base bordo CD'!Q$2:Q$875,'Base bordo CD'!D$2:D$875,A1124,'Base bordo CD'!A$2:A$875,B1124,'Base bordo CD'!L$2:L$875,"CORTE DE CANA MECANIZADO"),0)</f>
        <v>0</v>
      </c>
      <c r="S1124" s="30" t="str">
        <f t="shared" si="91"/>
        <v/>
      </c>
      <c r="T1124" s="9">
        <f t="shared" si="92"/>
        <v>0</v>
      </c>
      <c r="U1124" s="9">
        <f t="shared" si="93"/>
        <v>0</v>
      </c>
      <c r="V1124" s="9">
        <f t="shared" si="94"/>
        <v>0</v>
      </c>
    </row>
    <row r="1125" spans="1:22" hidden="1" x14ac:dyDescent="0.35">
      <c r="A1125" s="52">
        <v>49592</v>
      </c>
      <c r="B1125" s="31">
        <v>46117</v>
      </c>
      <c r="C1125" s="7" t="s">
        <v>364</v>
      </c>
      <c r="D1125" s="7">
        <v>352</v>
      </c>
      <c r="E1125" s="10">
        <f>IFERROR(SUMIFS('Base bordo CD'!M$2:M$875,'Base bordo CD'!D$2:D$875,A1125,'Base bordo CD'!A$2:A$875,B1125,'Base bordo CD'!L$2:L$875,"CORTE DE CANA MECANIZADO"),0)</f>
        <v>0</v>
      </c>
      <c r="F1125" s="10">
        <f>IFERROR(SUMIFS('Base bordo CD'!M$2:M$875,'Base bordo CD'!D$2:D$875,A1125,'Base bordo CD'!A$2:A$875,B1125,'Base bordo CD'!L$2:L$875,"MANOBRA"),0)</f>
        <v>0</v>
      </c>
      <c r="G1125" s="10">
        <f>IFERROR(SUMIFS('Base bordo CD'!M$2:M$875,'Base bordo CD'!D$2:D$875,A1125,'Base bordo CD'!A$2:A$875,B1125,'Base bordo CD'!L$2:L$875,"DESLOCAMENTO"),0)</f>
        <v>0</v>
      </c>
      <c r="H1125" s="10">
        <f>IFERROR(SUMIFS('Base bordo CD'!M$2:M$875,'Base bordo CD'!D$2:D$875,A1125,'Base bordo CD'!A$2:A$875,B1125,'Base bordo CD'!L$2:L$875,"AGUARDANDO MANOBRA DE TRANSBORDO"),0)+IFERROR(SUMIFS('Base bordo CD'!M$2:M$875,'Base bordo CD'!D$2:D$875,A1125,'Base bordo CD'!A$2:A$875,B1125,'Base bordo CD'!L$2:L$875,"FALTA DE TRANSBORDO"),0)</f>
        <v>0</v>
      </c>
      <c r="I1125" s="10">
        <f>IFERROR(SUMIFS('Base bordo CD'!M$2:M$875,'Base bordo CD'!D$2:D$875,A1125,'Base bordo CD'!A$2:A$875,B1125,'Base bordo CD'!L$2:L$875,"PARADA POR CONDICOES CLIMATICAS"),0)+IFERROR(SUMIFS('Base bordo CD'!M$2:M$875,'Base bordo CD'!D$2:D$875,A1125,'Base bordo CD'!A$2:A$875,B1125,'Base bordo CD'!L$2:L$875,"TEMPO INDETERMINADO"),0)</f>
        <v>0</v>
      </c>
      <c r="J1125" s="10">
        <f>IFERROR(SUMIFS('Base bordo CD'!M$2:M$875,'Base bordo CD'!D$2:D$875,A1125,'Base bordo CD'!A$2:A$875,B1125,'Base bordo CD'!L$2:L$875,"LIMITAÇÃO INDÚSTRIA"),0)</f>
        <v>0</v>
      </c>
      <c r="K1125" s="10">
        <f>IFERROR(SUMIFS('Base bordo CD'!M$2:M$875,'Base bordo CD'!D$2:D$875,A1125,'Base bordo CD'!A$2:A$875,B1125,'Base bordo CD'!L$2:L$875,"MAN CORRETIVA*"),0)+IFERROR(SUMIFS('Base bordo CD'!M$2:M$875,'Base bordo CD'!D$2:D$875,A1125,'Base bordo CD'!A$2:A$875,B1125,'Base bordo CD'!L$2:L$875,"AGUARDANDO MANUTENCAO*"),0)+IFERROR(SUMIFS('Base bordo CD'!M$2:M$875,'Base bordo CD'!D$2:D$875,A1125,'Base bordo CD'!A$2:A$875,B1125,'Base bordo CD'!L$2:L$875,"TROCA DE FAQUINHA"),0)+IFERROR(SUMIFS('Base bordo CD'!M$2:M$875,'Base bordo CD'!D$2:D$875,A1125,'Base bordo CD'!A$2:A$875,B1125,'Base bordo CD'!L$2:L$875,"LIMPEZA*"),0)</f>
        <v>0</v>
      </c>
      <c r="L1125" s="10">
        <f>IFERROR(SUMIFS('Base bordo CD'!M$2:M$875,'Base bordo CD'!D$2:D$875,A1125,'Base bordo CD'!A$2:A$875,B1125,'Base bordo CD'!L$2:L$875,"PATIO - RESERVA"),0)</f>
        <v>0</v>
      </c>
      <c r="M1125" s="10">
        <f>IFERROR(SUMIFS('Base bordo CD'!M$2:M$875,'Base bordo CD'!D$2:D$875,A1125,'Base bordo CD'!A$2:A$875,B1125,'Base bordo CD'!L$2:L$875,"SEM APONTAMENTO"),0)</f>
        <v>0</v>
      </c>
      <c r="N1125" s="10">
        <f>IFERROR(SUMIFS('Base bordo CD'!M$2:M$875,'Base bordo CD'!D$2:D$875,A1125,'Base bordo CD'!A$2:A$875,B1125,'Base bordo CD'!L$2:L$875,"FALTA DE CAMINHÃO"),0)+IFERROR(SUMIFS('Base bordo CD'!M$2:M$875,'Base bordo CD'!D$2:D$875,A1125,'Base bordo CD'!A$2:A$875,B1125,'Base bordo CD'!L$2:L$875,"FALTA DE COMBUSTIVEL"),0)+IFERROR(SUMIFS('Base bordo CD'!M$2:M$875,'Base bordo CD'!D$2:D$875,A1125,'Base bordo CD'!A$2:A$875,B1125,'Base bordo CD'!L$2:L$875,"FALTA DE MOTORIST*"),0)</f>
        <v>0</v>
      </c>
      <c r="O1125" s="10">
        <f t="shared" si="90"/>
        <v>0</v>
      </c>
      <c r="P1125" s="10">
        <f>IFERROR(SUMIFS('Base bordo CD'!M$2:M$875,'Base bordo CD'!D$2:D$875,A1125,'Base bordo CD'!A$2:A$875,B1125),0)</f>
        <v>0</v>
      </c>
      <c r="Q1125" s="10">
        <f>IFERROR(SUMIFS('Base bordo CD'!O$2:O$875,'Base bordo CD'!D$2:D$875,A1125,'Base bordo CD'!A$2:A$875,B1125,'Base bordo CD'!L$2:L$875,"CORTE DE CANA MECANIZADO"),0)</f>
        <v>0</v>
      </c>
      <c r="R1125" s="10">
        <f>IFERROR(SUMIFS('Base bordo CD'!Q$2:Q$875,'Base bordo CD'!D$2:D$875,A1125,'Base bordo CD'!A$2:A$875,B1125,'Base bordo CD'!L$2:L$875,"CORTE DE CANA MECANIZADO"),0)</f>
        <v>0</v>
      </c>
      <c r="S1125" s="30" t="str">
        <f t="shared" si="91"/>
        <v/>
      </c>
      <c r="T1125" s="9">
        <f t="shared" si="92"/>
        <v>0</v>
      </c>
      <c r="U1125" s="9">
        <f t="shared" si="93"/>
        <v>0</v>
      </c>
      <c r="V1125" s="9">
        <f t="shared" si="94"/>
        <v>0</v>
      </c>
    </row>
    <row r="1126" spans="1:22" hidden="1" x14ac:dyDescent="0.35">
      <c r="A1126" s="52">
        <v>49592</v>
      </c>
      <c r="B1126" s="31">
        <v>46117</v>
      </c>
      <c r="C1126" s="7" t="s">
        <v>364</v>
      </c>
      <c r="D1126" s="7">
        <v>352</v>
      </c>
      <c r="E1126" s="10">
        <f>IFERROR(SUMIFS('Base bordo CD'!M$2:M$875,'Base bordo CD'!D$2:D$875,A1126,'Base bordo CD'!A$2:A$875,B1126,'Base bordo CD'!L$2:L$875,"CORTE DE CANA MECANIZADO"),0)</f>
        <v>0</v>
      </c>
      <c r="F1126" s="10">
        <f>IFERROR(SUMIFS('Base bordo CD'!M$2:M$875,'Base bordo CD'!D$2:D$875,A1126,'Base bordo CD'!A$2:A$875,B1126,'Base bordo CD'!L$2:L$875,"MANOBRA"),0)</f>
        <v>0</v>
      </c>
      <c r="G1126" s="10">
        <f>IFERROR(SUMIFS('Base bordo CD'!M$2:M$875,'Base bordo CD'!D$2:D$875,A1126,'Base bordo CD'!A$2:A$875,B1126,'Base bordo CD'!L$2:L$875,"DESLOCAMENTO"),0)</f>
        <v>0</v>
      </c>
      <c r="H1126" s="10">
        <f>IFERROR(SUMIFS('Base bordo CD'!M$2:M$875,'Base bordo CD'!D$2:D$875,A1126,'Base bordo CD'!A$2:A$875,B1126,'Base bordo CD'!L$2:L$875,"AGUARDANDO MANOBRA DE TRANSBORDO"),0)+IFERROR(SUMIFS('Base bordo CD'!M$2:M$875,'Base bordo CD'!D$2:D$875,A1126,'Base bordo CD'!A$2:A$875,B1126,'Base bordo CD'!L$2:L$875,"FALTA DE TRANSBORDO"),0)</f>
        <v>0</v>
      </c>
      <c r="I1126" s="10">
        <f>IFERROR(SUMIFS('Base bordo CD'!M$2:M$875,'Base bordo CD'!D$2:D$875,A1126,'Base bordo CD'!A$2:A$875,B1126,'Base bordo CD'!L$2:L$875,"PARADA POR CONDICOES CLIMATICAS"),0)+IFERROR(SUMIFS('Base bordo CD'!M$2:M$875,'Base bordo CD'!D$2:D$875,A1126,'Base bordo CD'!A$2:A$875,B1126,'Base bordo CD'!L$2:L$875,"TEMPO INDETERMINADO"),0)</f>
        <v>0</v>
      </c>
      <c r="J1126" s="10">
        <f>IFERROR(SUMIFS('Base bordo CD'!M$2:M$875,'Base bordo CD'!D$2:D$875,A1126,'Base bordo CD'!A$2:A$875,B1126,'Base bordo CD'!L$2:L$875,"LIMITAÇÃO INDÚSTRIA"),0)</f>
        <v>0</v>
      </c>
      <c r="K1126" s="10">
        <f>IFERROR(SUMIFS('Base bordo CD'!M$2:M$875,'Base bordo CD'!D$2:D$875,A1126,'Base bordo CD'!A$2:A$875,B1126,'Base bordo CD'!L$2:L$875,"MAN CORRETIVA*"),0)+IFERROR(SUMIFS('Base bordo CD'!M$2:M$875,'Base bordo CD'!D$2:D$875,A1126,'Base bordo CD'!A$2:A$875,B1126,'Base bordo CD'!L$2:L$875,"AGUARDANDO MANUTENCAO*"),0)+IFERROR(SUMIFS('Base bordo CD'!M$2:M$875,'Base bordo CD'!D$2:D$875,A1126,'Base bordo CD'!A$2:A$875,B1126,'Base bordo CD'!L$2:L$875,"TROCA DE FAQUINHA"),0)+IFERROR(SUMIFS('Base bordo CD'!M$2:M$875,'Base bordo CD'!D$2:D$875,A1126,'Base bordo CD'!A$2:A$875,B1126,'Base bordo CD'!L$2:L$875,"LIMPEZA*"),0)</f>
        <v>0</v>
      </c>
      <c r="L1126" s="10">
        <f>IFERROR(SUMIFS('Base bordo CD'!M$2:M$875,'Base bordo CD'!D$2:D$875,A1126,'Base bordo CD'!A$2:A$875,B1126,'Base bordo CD'!L$2:L$875,"PATIO - RESERVA"),0)</f>
        <v>0</v>
      </c>
      <c r="M1126" s="10">
        <f>IFERROR(SUMIFS('Base bordo CD'!M$2:M$875,'Base bordo CD'!D$2:D$875,A1126,'Base bordo CD'!A$2:A$875,B1126,'Base bordo CD'!L$2:L$875,"SEM APONTAMENTO"),0)</f>
        <v>0</v>
      </c>
      <c r="N1126" s="10">
        <f>IFERROR(SUMIFS('Base bordo CD'!M$2:M$875,'Base bordo CD'!D$2:D$875,A1126,'Base bordo CD'!A$2:A$875,B1126,'Base bordo CD'!L$2:L$875,"FALTA DE CAMINHÃO"),0)+IFERROR(SUMIFS('Base bordo CD'!M$2:M$875,'Base bordo CD'!D$2:D$875,A1126,'Base bordo CD'!A$2:A$875,B1126,'Base bordo CD'!L$2:L$875,"FALTA DE COMBUSTIVEL"),0)+IFERROR(SUMIFS('Base bordo CD'!M$2:M$875,'Base bordo CD'!D$2:D$875,A1126,'Base bordo CD'!A$2:A$875,B1126,'Base bordo CD'!L$2:L$875,"FALTA DE MOTORIST*"),0)</f>
        <v>0</v>
      </c>
      <c r="O1126" s="10">
        <f t="shared" si="90"/>
        <v>0</v>
      </c>
      <c r="P1126" s="10">
        <f>IFERROR(SUMIFS('Base bordo CD'!M$2:M$875,'Base bordo CD'!D$2:D$875,A1126,'Base bordo CD'!A$2:A$875,B1126),0)</f>
        <v>0</v>
      </c>
      <c r="Q1126" s="10">
        <f>IFERROR(SUMIFS('Base bordo CD'!O$2:O$875,'Base bordo CD'!D$2:D$875,A1126,'Base bordo CD'!A$2:A$875,B1126,'Base bordo CD'!L$2:L$875,"CORTE DE CANA MECANIZADO"),0)</f>
        <v>0</v>
      </c>
      <c r="R1126" s="10">
        <f>IFERROR(SUMIFS('Base bordo CD'!Q$2:Q$875,'Base bordo CD'!D$2:D$875,A1126,'Base bordo CD'!A$2:A$875,B1126,'Base bordo CD'!L$2:L$875,"CORTE DE CANA MECANIZADO"),0)</f>
        <v>0</v>
      </c>
      <c r="S1126" s="30" t="str">
        <f t="shared" si="91"/>
        <v/>
      </c>
      <c r="T1126" s="9">
        <f t="shared" si="92"/>
        <v>0</v>
      </c>
      <c r="U1126" s="9">
        <f t="shared" si="93"/>
        <v>0</v>
      </c>
      <c r="V1126" s="9">
        <f t="shared" si="94"/>
        <v>0</v>
      </c>
    </row>
    <row r="1127" spans="1:22" hidden="1" x14ac:dyDescent="0.35">
      <c r="A1127" s="52">
        <v>49592</v>
      </c>
      <c r="B1127" s="31">
        <v>46117</v>
      </c>
      <c r="C1127" s="7" t="s">
        <v>364</v>
      </c>
      <c r="D1127" s="7">
        <v>352</v>
      </c>
      <c r="E1127" s="10">
        <f>IFERROR(SUMIFS('Base bordo CD'!M$2:M$875,'Base bordo CD'!D$2:D$875,A1127,'Base bordo CD'!A$2:A$875,B1127,'Base bordo CD'!L$2:L$875,"CORTE DE CANA MECANIZADO"),0)</f>
        <v>0</v>
      </c>
      <c r="F1127" s="10">
        <f>IFERROR(SUMIFS('Base bordo CD'!M$2:M$875,'Base bordo CD'!D$2:D$875,A1127,'Base bordo CD'!A$2:A$875,B1127,'Base bordo CD'!L$2:L$875,"MANOBRA"),0)</f>
        <v>0</v>
      </c>
      <c r="G1127" s="10">
        <f>IFERROR(SUMIFS('Base bordo CD'!M$2:M$875,'Base bordo CD'!D$2:D$875,A1127,'Base bordo CD'!A$2:A$875,B1127,'Base bordo CD'!L$2:L$875,"DESLOCAMENTO"),0)</f>
        <v>0</v>
      </c>
      <c r="H1127" s="10">
        <f>IFERROR(SUMIFS('Base bordo CD'!M$2:M$875,'Base bordo CD'!D$2:D$875,A1127,'Base bordo CD'!A$2:A$875,B1127,'Base bordo CD'!L$2:L$875,"AGUARDANDO MANOBRA DE TRANSBORDO"),0)+IFERROR(SUMIFS('Base bordo CD'!M$2:M$875,'Base bordo CD'!D$2:D$875,A1127,'Base bordo CD'!A$2:A$875,B1127,'Base bordo CD'!L$2:L$875,"FALTA DE TRANSBORDO"),0)</f>
        <v>0</v>
      </c>
      <c r="I1127" s="10">
        <f>IFERROR(SUMIFS('Base bordo CD'!M$2:M$875,'Base bordo CD'!D$2:D$875,A1127,'Base bordo CD'!A$2:A$875,B1127,'Base bordo CD'!L$2:L$875,"PARADA POR CONDICOES CLIMATICAS"),0)+IFERROR(SUMIFS('Base bordo CD'!M$2:M$875,'Base bordo CD'!D$2:D$875,A1127,'Base bordo CD'!A$2:A$875,B1127,'Base bordo CD'!L$2:L$875,"TEMPO INDETERMINADO"),0)</f>
        <v>0</v>
      </c>
      <c r="J1127" s="10">
        <f>IFERROR(SUMIFS('Base bordo CD'!M$2:M$875,'Base bordo CD'!D$2:D$875,A1127,'Base bordo CD'!A$2:A$875,B1127,'Base bordo CD'!L$2:L$875,"LIMITAÇÃO INDÚSTRIA"),0)</f>
        <v>0</v>
      </c>
      <c r="K1127" s="10">
        <f>IFERROR(SUMIFS('Base bordo CD'!M$2:M$875,'Base bordo CD'!D$2:D$875,A1127,'Base bordo CD'!A$2:A$875,B1127,'Base bordo CD'!L$2:L$875,"MAN CORRETIVA*"),0)+IFERROR(SUMIFS('Base bordo CD'!M$2:M$875,'Base bordo CD'!D$2:D$875,A1127,'Base bordo CD'!A$2:A$875,B1127,'Base bordo CD'!L$2:L$875,"AGUARDANDO MANUTENCAO*"),0)+IFERROR(SUMIFS('Base bordo CD'!M$2:M$875,'Base bordo CD'!D$2:D$875,A1127,'Base bordo CD'!A$2:A$875,B1127,'Base bordo CD'!L$2:L$875,"TROCA DE FAQUINHA"),0)+IFERROR(SUMIFS('Base bordo CD'!M$2:M$875,'Base bordo CD'!D$2:D$875,A1127,'Base bordo CD'!A$2:A$875,B1127,'Base bordo CD'!L$2:L$875,"LIMPEZA*"),0)</f>
        <v>0</v>
      </c>
      <c r="L1127" s="10">
        <f>IFERROR(SUMIFS('Base bordo CD'!M$2:M$875,'Base bordo CD'!D$2:D$875,A1127,'Base bordo CD'!A$2:A$875,B1127,'Base bordo CD'!L$2:L$875,"PATIO - RESERVA"),0)</f>
        <v>0</v>
      </c>
      <c r="M1127" s="10">
        <f>IFERROR(SUMIFS('Base bordo CD'!M$2:M$875,'Base bordo CD'!D$2:D$875,A1127,'Base bordo CD'!A$2:A$875,B1127,'Base bordo CD'!L$2:L$875,"SEM APONTAMENTO"),0)</f>
        <v>0</v>
      </c>
      <c r="N1127" s="10">
        <f>IFERROR(SUMIFS('Base bordo CD'!M$2:M$875,'Base bordo CD'!D$2:D$875,A1127,'Base bordo CD'!A$2:A$875,B1127,'Base bordo CD'!L$2:L$875,"FALTA DE CAMINHÃO"),0)+IFERROR(SUMIFS('Base bordo CD'!M$2:M$875,'Base bordo CD'!D$2:D$875,A1127,'Base bordo CD'!A$2:A$875,B1127,'Base bordo CD'!L$2:L$875,"FALTA DE COMBUSTIVEL"),0)+IFERROR(SUMIFS('Base bordo CD'!M$2:M$875,'Base bordo CD'!D$2:D$875,A1127,'Base bordo CD'!A$2:A$875,B1127,'Base bordo CD'!L$2:L$875,"FALTA DE MOTORIST*"),0)</f>
        <v>0</v>
      </c>
      <c r="O1127" s="10">
        <f t="shared" si="90"/>
        <v>0</v>
      </c>
      <c r="P1127" s="10">
        <f>IFERROR(SUMIFS('Base bordo CD'!M$2:M$875,'Base bordo CD'!D$2:D$875,A1127,'Base bordo CD'!A$2:A$875,B1127),0)</f>
        <v>0</v>
      </c>
      <c r="Q1127" s="10">
        <f>IFERROR(SUMIFS('Base bordo CD'!O$2:O$875,'Base bordo CD'!D$2:D$875,A1127,'Base bordo CD'!A$2:A$875,B1127,'Base bordo CD'!L$2:L$875,"CORTE DE CANA MECANIZADO"),0)</f>
        <v>0</v>
      </c>
      <c r="R1127" s="10">
        <f>IFERROR(SUMIFS('Base bordo CD'!Q$2:Q$875,'Base bordo CD'!D$2:D$875,A1127,'Base bordo CD'!A$2:A$875,B1127,'Base bordo CD'!L$2:L$875,"CORTE DE CANA MECANIZADO"),0)</f>
        <v>0</v>
      </c>
      <c r="S1127" s="30" t="str">
        <f t="shared" si="91"/>
        <v/>
      </c>
      <c r="T1127" s="9">
        <f t="shared" si="92"/>
        <v>0</v>
      </c>
      <c r="U1127" s="9">
        <f t="shared" si="93"/>
        <v>0</v>
      </c>
      <c r="V1127" s="9">
        <f t="shared" si="94"/>
        <v>0</v>
      </c>
    </row>
    <row r="1128" spans="1:22" hidden="1" x14ac:dyDescent="0.35">
      <c r="A1128" s="52">
        <v>49592</v>
      </c>
      <c r="B1128" s="31">
        <v>46117</v>
      </c>
      <c r="C1128" s="7" t="s">
        <v>364</v>
      </c>
      <c r="D1128" s="7">
        <v>352</v>
      </c>
      <c r="E1128" s="10">
        <f>IFERROR(SUMIFS('Base bordo CD'!M$2:M$875,'Base bordo CD'!D$2:D$875,A1128,'Base bordo CD'!A$2:A$875,B1128,'Base bordo CD'!L$2:L$875,"CORTE DE CANA MECANIZADO"),0)</f>
        <v>0</v>
      </c>
      <c r="F1128" s="10">
        <f>IFERROR(SUMIFS('Base bordo CD'!M$2:M$875,'Base bordo CD'!D$2:D$875,A1128,'Base bordo CD'!A$2:A$875,B1128,'Base bordo CD'!L$2:L$875,"MANOBRA"),0)</f>
        <v>0</v>
      </c>
      <c r="G1128" s="10">
        <f>IFERROR(SUMIFS('Base bordo CD'!M$2:M$875,'Base bordo CD'!D$2:D$875,A1128,'Base bordo CD'!A$2:A$875,B1128,'Base bordo CD'!L$2:L$875,"DESLOCAMENTO"),0)</f>
        <v>0</v>
      </c>
      <c r="H1128" s="10">
        <f>IFERROR(SUMIFS('Base bordo CD'!M$2:M$875,'Base bordo CD'!D$2:D$875,A1128,'Base bordo CD'!A$2:A$875,B1128,'Base bordo CD'!L$2:L$875,"AGUARDANDO MANOBRA DE TRANSBORDO"),0)+IFERROR(SUMIFS('Base bordo CD'!M$2:M$875,'Base bordo CD'!D$2:D$875,A1128,'Base bordo CD'!A$2:A$875,B1128,'Base bordo CD'!L$2:L$875,"FALTA DE TRANSBORDO"),0)</f>
        <v>0</v>
      </c>
      <c r="I1128" s="10">
        <f>IFERROR(SUMIFS('Base bordo CD'!M$2:M$875,'Base bordo CD'!D$2:D$875,A1128,'Base bordo CD'!A$2:A$875,B1128,'Base bordo CD'!L$2:L$875,"PARADA POR CONDICOES CLIMATICAS"),0)+IFERROR(SUMIFS('Base bordo CD'!M$2:M$875,'Base bordo CD'!D$2:D$875,A1128,'Base bordo CD'!A$2:A$875,B1128,'Base bordo CD'!L$2:L$875,"TEMPO INDETERMINADO"),0)</f>
        <v>0</v>
      </c>
      <c r="J1128" s="10">
        <f>IFERROR(SUMIFS('Base bordo CD'!M$2:M$875,'Base bordo CD'!D$2:D$875,A1128,'Base bordo CD'!A$2:A$875,B1128,'Base bordo CD'!L$2:L$875,"LIMITAÇÃO INDÚSTRIA"),0)</f>
        <v>0</v>
      </c>
      <c r="K1128" s="10">
        <f>IFERROR(SUMIFS('Base bordo CD'!M$2:M$875,'Base bordo CD'!D$2:D$875,A1128,'Base bordo CD'!A$2:A$875,B1128,'Base bordo CD'!L$2:L$875,"MAN CORRETIVA*"),0)+IFERROR(SUMIFS('Base bordo CD'!M$2:M$875,'Base bordo CD'!D$2:D$875,A1128,'Base bordo CD'!A$2:A$875,B1128,'Base bordo CD'!L$2:L$875,"AGUARDANDO MANUTENCAO*"),0)+IFERROR(SUMIFS('Base bordo CD'!M$2:M$875,'Base bordo CD'!D$2:D$875,A1128,'Base bordo CD'!A$2:A$875,B1128,'Base bordo CD'!L$2:L$875,"TROCA DE FAQUINHA"),0)+IFERROR(SUMIFS('Base bordo CD'!M$2:M$875,'Base bordo CD'!D$2:D$875,A1128,'Base bordo CD'!A$2:A$875,B1128,'Base bordo CD'!L$2:L$875,"LIMPEZA*"),0)</f>
        <v>0</v>
      </c>
      <c r="L1128" s="10">
        <f>IFERROR(SUMIFS('Base bordo CD'!M$2:M$875,'Base bordo CD'!D$2:D$875,A1128,'Base bordo CD'!A$2:A$875,B1128,'Base bordo CD'!L$2:L$875,"PATIO - RESERVA"),0)</f>
        <v>0</v>
      </c>
      <c r="M1128" s="10">
        <f>IFERROR(SUMIFS('Base bordo CD'!M$2:M$875,'Base bordo CD'!D$2:D$875,A1128,'Base bordo CD'!A$2:A$875,B1128,'Base bordo CD'!L$2:L$875,"SEM APONTAMENTO"),0)</f>
        <v>0</v>
      </c>
      <c r="N1128" s="10">
        <f>IFERROR(SUMIFS('Base bordo CD'!M$2:M$875,'Base bordo CD'!D$2:D$875,A1128,'Base bordo CD'!A$2:A$875,B1128,'Base bordo CD'!L$2:L$875,"FALTA DE CAMINHÃO"),0)+IFERROR(SUMIFS('Base bordo CD'!M$2:M$875,'Base bordo CD'!D$2:D$875,A1128,'Base bordo CD'!A$2:A$875,B1128,'Base bordo CD'!L$2:L$875,"FALTA DE COMBUSTIVEL"),0)+IFERROR(SUMIFS('Base bordo CD'!M$2:M$875,'Base bordo CD'!D$2:D$875,A1128,'Base bordo CD'!A$2:A$875,B1128,'Base bordo CD'!L$2:L$875,"FALTA DE MOTORIST*"),0)</f>
        <v>0</v>
      </c>
      <c r="O1128" s="10">
        <f t="shared" si="90"/>
        <v>0</v>
      </c>
      <c r="P1128" s="10">
        <f>IFERROR(SUMIFS('Base bordo CD'!M$2:M$875,'Base bordo CD'!D$2:D$875,A1128,'Base bordo CD'!A$2:A$875,B1128),0)</f>
        <v>0</v>
      </c>
      <c r="Q1128" s="10">
        <f>IFERROR(SUMIFS('Base bordo CD'!O$2:O$875,'Base bordo CD'!D$2:D$875,A1128,'Base bordo CD'!A$2:A$875,B1128,'Base bordo CD'!L$2:L$875,"CORTE DE CANA MECANIZADO"),0)</f>
        <v>0</v>
      </c>
      <c r="R1128" s="10">
        <f>IFERROR(SUMIFS('Base bordo CD'!Q$2:Q$875,'Base bordo CD'!D$2:D$875,A1128,'Base bordo CD'!A$2:A$875,B1128,'Base bordo CD'!L$2:L$875,"CORTE DE CANA MECANIZADO"),0)</f>
        <v>0</v>
      </c>
      <c r="S1128" s="30" t="str">
        <f t="shared" si="91"/>
        <v/>
      </c>
      <c r="T1128" s="9">
        <f t="shared" si="92"/>
        <v>0</v>
      </c>
      <c r="U1128" s="9">
        <f t="shared" si="93"/>
        <v>0</v>
      </c>
      <c r="V1128" s="9">
        <f t="shared" si="94"/>
        <v>0</v>
      </c>
    </row>
    <row r="1129" spans="1:22" hidden="1" x14ac:dyDescent="0.35">
      <c r="A1129" s="52">
        <v>49592</v>
      </c>
      <c r="B1129" s="31">
        <v>46117</v>
      </c>
      <c r="C1129" s="7" t="s">
        <v>364</v>
      </c>
      <c r="D1129" s="7">
        <v>352</v>
      </c>
      <c r="E1129" s="10">
        <f>IFERROR(SUMIFS('Base bordo CD'!M$2:M$875,'Base bordo CD'!D$2:D$875,A1129,'Base bordo CD'!A$2:A$875,B1129,'Base bordo CD'!L$2:L$875,"CORTE DE CANA MECANIZADO"),0)</f>
        <v>0</v>
      </c>
      <c r="F1129" s="10">
        <f>IFERROR(SUMIFS('Base bordo CD'!M$2:M$875,'Base bordo CD'!D$2:D$875,A1129,'Base bordo CD'!A$2:A$875,B1129,'Base bordo CD'!L$2:L$875,"MANOBRA"),0)</f>
        <v>0</v>
      </c>
      <c r="G1129" s="10">
        <f>IFERROR(SUMIFS('Base bordo CD'!M$2:M$875,'Base bordo CD'!D$2:D$875,A1129,'Base bordo CD'!A$2:A$875,B1129,'Base bordo CD'!L$2:L$875,"DESLOCAMENTO"),0)</f>
        <v>0</v>
      </c>
      <c r="H1129" s="10">
        <f>IFERROR(SUMIFS('Base bordo CD'!M$2:M$875,'Base bordo CD'!D$2:D$875,A1129,'Base bordo CD'!A$2:A$875,B1129,'Base bordo CD'!L$2:L$875,"AGUARDANDO MANOBRA DE TRANSBORDO"),0)+IFERROR(SUMIFS('Base bordo CD'!M$2:M$875,'Base bordo CD'!D$2:D$875,A1129,'Base bordo CD'!A$2:A$875,B1129,'Base bordo CD'!L$2:L$875,"FALTA DE TRANSBORDO"),0)</f>
        <v>0</v>
      </c>
      <c r="I1129" s="10">
        <f>IFERROR(SUMIFS('Base bordo CD'!M$2:M$875,'Base bordo CD'!D$2:D$875,A1129,'Base bordo CD'!A$2:A$875,B1129,'Base bordo CD'!L$2:L$875,"PARADA POR CONDICOES CLIMATICAS"),0)+IFERROR(SUMIFS('Base bordo CD'!M$2:M$875,'Base bordo CD'!D$2:D$875,A1129,'Base bordo CD'!A$2:A$875,B1129,'Base bordo CD'!L$2:L$875,"TEMPO INDETERMINADO"),0)</f>
        <v>0</v>
      </c>
      <c r="J1129" s="10">
        <f>IFERROR(SUMIFS('Base bordo CD'!M$2:M$875,'Base bordo CD'!D$2:D$875,A1129,'Base bordo CD'!A$2:A$875,B1129,'Base bordo CD'!L$2:L$875,"LIMITAÇÃO INDÚSTRIA"),0)</f>
        <v>0</v>
      </c>
      <c r="K1129" s="10">
        <f>IFERROR(SUMIFS('Base bordo CD'!M$2:M$875,'Base bordo CD'!D$2:D$875,A1129,'Base bordo CD'!A$2:A$875,B1129,'Base bordo CD'!L$2:L$875,"MAN CORRETIVA*"),0)+IFERROR(SUMIFS('Base bordo CD'!M$2:M$875,'Base bordo CD'!D$2:D$875,A1129,'Base bordo CD'!A$2:A$875,B1129,'Base bordo CD'!L$2:L$875,"AGUARDANDO MANUTENCAO*"),0)+IFERROR(SUMIFS('Base bordo CD'!M$2:M$875,'Base bordo CD'!D$2:D$875,A1129,'Base bordo CD'!A$2:A$875,B1129,'Base bordo CD'!L$2:L$875,"TROCA DE FAQUINHA"),0)+IFERROR(SUMIFS('Base bordo CD'!M$2:M$875,'Base bordo CD'!D$2:D$875,A1129,'Base bordo CD'!A$2:A$875,B1129,'Base bordo CD'!L$2:L$875,"LIMPEZA*"),0)</f>
        <v>0</v>
      </c>
      <c r="L1129" s="10">
        <f>IFERROR(SUMIFS('Base bordo CD'!M$2:M$875,'Base bordo CD'!D$2:D$875,A1129,'Base bordo CD'!A$2:A$875,B1129,'Base bordo CD'!L$2:L$875,"PATIO - RESERVA"),0)</f>
        <v>0</v>
      </c>
      <c r="M1129" s="10">
        <f>IFERROR(SUMIFS('Base bordo CD'!M$2:M$875,'Base bordo CD'!D$2:D$875,A1129,'Base bordo CD'!A$2:A$875,B1129,'Base bordo CD'!L$2:L$875,"SEM APONTAMENTO"),0)</f>
        <v>0</v>
      </c>
      <c r="N1129" s="10">
        <f>IFERROR(SUMIFS('Base bordo CD'!M$2:M$875,'Base bordo CD'!D$2:D$875,A1129,'Base bordo CD'!A$2:A$875,B1129,'Base bordo CD'!L$2:L$875,"FALTA DE CAMINHÃO"),0)+IFERROR(SUMIFS('Base bordo CD'!M$2:M$875,'Base bordo CD'!D$2:D$875,A1129,'Base bordo CD'!A$2:A$875,B1129,'Base bordo CD'!L$2:L$875,"FALTA DE COMBUSTIVEL"),0)+IFERROR(SUMIFS('Base bordo CD'!M$2:M$875,'Base bordo CD'!D$2:D$875,A1129,'Base bordo CD'!A$2:A$875,B1129,'Base bordo CD'!L$2:L$875,"FALTA DE MOTORIST*"),0)</f>
        <v>0</v>
      </c>
      <c r="O1129" s="10">
        <f t="shared" si="90"/>
        <v>0</v>
      </c>
      <c r="P1129" s="10">
        <f>IFERROR(SUMIFS('Base bordo CD'!M$2:M$875,'Base bordo CD'!D$2:D$875,A1129,'Base bordo CD'!A$2:A$875,B1129),0)</f>
        <v>0</v>
      </c>
      <c r="Q1129" s="10">
        <f>IFERROR(SUMIFS('Base bordo CD'!O$2:O$875,'Base bordo CD'!D$2:D$875,A1129,'Base bordo CD'!A$2:A$875,B1129,'Base bordo CD'!L$2:L$875,"CORTE DE CANA MECANIZADO"),0)</f>
        <v>0</v>
      </c>
      <c r="R1129" s="10">
        <f>IFERROR(SUMIFS('Base bordo CD'!Q$2:Q$875,'Base bordo CD'!D$2:D$875,A1129,'Base bordo CD'!A$2:A$875,B1129,'Base bordo CD'!L$2:L$875,"CORTE DE CANA MECANIZADO"),0)</f>
        <v>0</v>
      </c>
      <c r="S1129" s="30" t="str">
        <f t="shared" si="91"/>
        <v/>
      </c>
      <c r="T1129" s="9">
        <f t="shared" si="92"/>
        <v>0</v>
      </c>
      <c r="U1129" s="9">
        <f t="shared" si="93"/>
        <v>0</v>
      </c>
      <c r="V1129" s="9">
        <f t="shared" si="94"/>
        <v>0</v>
      </c>
    </row>
    <row r="1130" spans="1:22" hidden="1" x14ac:dyDescent="0.35">
      <c r="A1130" s="52">
        <v>49592</v>
      </c>
      <c r="B1130" s="31">
        <v>46117</v>
      </c>
      <c r="C1130" s="7" t="s">
        <v>364</v>
      </c>
      <c r="D1130" s="7">
        <v>352</v>
      </c>
      <c r="E1130" s="10">
        <f>IFERROR(SUMIFS('Base bordo CD'!M$2:M$875,'Base bordo CD'!D$2:D$875,A1130,'Base bordo CD'!A$2:A$875,B1130,'Base bordo CD'!L$2:L$875,"CORTE DE CANA MECANIZADO"),0)</f>
        <v>0</v>
      </c>
      <c r="F1130" s="10">
        <f>IFERROR(SUMIFS('Base bordo CD'!M$2:M$875,'Base bordo CD'!D$2:D$875,A1130,'Base bordo CD'!A$2:A$875,B1130,'Base bordo CD'!L$2:L$875,"MANOBRA"),0)</f>
        <v>0</v>
      </c>
      <c r="G1130" s="10">
        <f>IFERROR(SUMIFS('Base bordo CD'!M$2:M$875,'Base bordo CD'!D$2:D$875,A1130,'Base bordo CD'!A$2:A$875,B1130,'Base bordo CD'!L$2:L$875,"DESLOCAMENTO"),0)</f>
        <v>0</v>
      </c>
      <c r="H1130" s="10">
        <f>IFERROR(SUMIFS('Base bordo CD'!M$2:M$875,'Base bordo CD'!D$2:D$875,A1130,'Base bordo CD'!A$2:A$875,B1130,'Base bordo CD'!L$2:L$875,"AGUARDANDO MANOBRA DE TRANSBORDO"),0)+IFERROR(SUMIFS('Base bordo CD'!M$2:M$875,'Base bordo CD'!D$2:D$875,A1130,'Base bordo CD'!A$2:A$875,B1130,'Base bordo CD'!L$2:L$875,"FALTA DE TRANSBORDO"),0)</f>
        <v>0</v>
      </c>
      <c r="I1130" s="10">
        <f>IFERROR(SUMIFS('Base bordo CD'!M$2:M$875,'Base bordo CD'!D$2:D$875,A1130,'Base bordo CD'!A$2:A$875,B1130,'Base bordo CD'!L$2:L$875,"PARADA POR CONDICOES CLIMATICAS"),0)+IFERROR(SUMIFS('Base bordo CD'!M$2:M$875,'Base bordo CD'!D$2:D$875,A1130,'Base bordo CD'!A$2:A$875,B1130,'Base bordo CD'!L$2:L$875,"TEMPO INDETERMINADO"),0)</f>
        <v>0</v>
      </c>
      <c r="J1130" s="10">
        <f>IFERROR(SUMIFS('Base bordo CD'!M$2:M$875,'Base bordo CD'!D$2:D$875,A1130,'Base bordo CD'!A$2:A$875,B1130,'Base bordo CD'!L$2:L$875,"LIMITAÇÃO INDÚSTRIA"),0)</f>
        <v>0</v>
      </c>
      <c r="K1130" s="10">
        <f>IFERROR(SUMIFS('Base bordo CD'!M$2:M$875,'Base bordo CD'!D$2:D$875,A1130,'Base bordo CD'!A$2:A$875,B1130,'Base bordo CD'!L$2:L$875,"MAN CORRETIVA*"),0)+IFERROR(SUMIFS('Base bordo CD'!M$2:M$875,'Base bordo CD'!D$2:D$875,A1130,'Base bordo CD'!A$2:A$875,B1130,'Base bordo CD'!L$2:L$875,"AGUARDANDO MANUTENCAO*"),0)+IFERROR(SUMIFS('Base bordo CD'!M$2:M$875,'Base bordo CD'!D$2:D$875,A1130,'Base bordo CD'!A$2:A$875,B1130,'Base bordo CD'!L$2:L$875,"TROCA DE FAQUINHA"),0)+IFERROR(SUMIFS('Base bordo CD'!M$2:M$875,'Base bordo CD'!D$2:D$875,A1130,'Base bordo CD'!A$2:A$875,B1130,'Base bordo CD'!L$2:L$875,"LIMPEZA*"),0)</f>
        <v>0</v>
      </c>
      <c r="L1130" s="10">
        <f>IFERROR(SUMIFS('Base bordo CD'!M$2:M$875,'Base bordo CD'!D$2:D$875,A1130,'Base bordo CD'!A$2:A$875,B1130,'Base bordo CD'!L$2:L$875,"PATIO - RESERVA"),0)</f>
        <v>0</v>
      </c>
      <c r="M1130" s="10">
        <f>IFERROR(SUMIFS('Base bordo CD'!M$2:M$875,'Base bordo CD'!D$2:D$875,A1130,'Base bordo CD'!A$2:A$875,B1130,'Base bordo CD'!L$2:L$875,"SEM APONTAMENTO"),0)</f>
        <v>0</v>
      </c>
      <c r="N1130" s="10">
        <f>IFERROR(SUMIFS('Base bordo CD'!M$2:M$875,'Base bordo CD'!D$2:D$875,A1130,'Base bordo CD'!A$2:A$875,B1130,'Base bordo CD'!L$2:L$875,"FALTA DE CAMINHÃO"),0)+IFERROR(SUMIFS('Base bordo CD'!M$2:M$875,'Base bordo CD'!D$2:D$875,A1130,'Base bordo CD'!A$2:A$875,B1130,'Base bordo CD'!L$2:L$875,"FALTA DE COMBUSTIVEL"),0)+IFERROR(SUMIFS('Base bordo CD'!M$2:M$875,'Base bordo CD'!D$2:D$875,A1130,'Base bordo CD'!A$2:A$875,B1130,'Base bordo CD'!L$2:L$875,"FALTA DE MOTORIST*"),0)</f>
        <v>0</v>
      </c>
      <c r="O1130" s="10">
        <f t="shared" si="90"/>
        <v>0</v>
      </c>
      <c r="P1130" s="10">
        <f>IFERROR(SUMIFS('Base bordo CD'!M$2:M$875,'Base bordo CD'!D$2:D$875,A1130,'Base bordo CD'!A$2:A$875,B1130),0)</f>
        <v>0</v>
      </c>
      <c r="Q1130" s="10">
        <f>IFERROR(SUMIFS('Base bordo CD'!O$2:O$875,'Base bordo CD'!D$2:D$875,A1130,'Base bordo CD'!A$2:A$875,B1130,'Base bordo CD'!L$2:L$875,"CORTE DE CANA MECANIZADO"),0)</f>
        <v>0</v>
      </c>
      <c r="R1130" s="10">
        <f>IFERROR(SUMIFS('Base bordo CD'!Q$2:Q$875,'Base bordo CD'!D$2:D$875,A1130,'Base bordo CD'!A$2:A$875,B1130,'Base bordo CD'!L$2:L$875,"CORTE DE CANA MECANIZADO"),0)</f>
        <v>0</v>
      </c>
      <c r="S1130" s="30" t="str">
        <f t="shared" si="91"/>
        <v/>
      </c>
      <c r="T1130" s="9">
        <f t="shared" si="92"/>
        <v>0</v>
      </c>
      <c r="U1130" s="9">
        <f t="shared" si="93"/>
        <v>0</v>
      </c>
      <c r="V1130" s="9">
        <f t="shared" si="94"/>
        <v>0</v>
      </c>
    </row>
    <row r="1131" spans="1:22" hidden="1" x14ac:dyDescent="0.35">
      <c r="A1131" s="52">
        <v>49592</v>
      </c>
      <c r="B1131" s="31">
        <v>46117</v>
      </c>
      <c r="C1131" s="7" t="s">
        <v>364</v>
      </c>
      <c r="D1131" s="7">
        <v>352</v>
      </c>
      <c r="E1131" s="10">
        <f>IFERROR(SUMIFS('Base bordo CD'!M$2:M$875,'Base bordo CD'!D$2:D$875,A1131,'Base bordo CD'!A$2:A$875,B1131,'Base bordo CD'!L$2:L$875,"CORTE DE CANA MECANIZADO"),0)</f>
        <v>0</v>
      </c>
      <c r="F1131" s="10">
        <f>IFERROR(SUMIFS('Base bordo CD'!M$2:M$875,'Base bordo CD'!D$2:D$875,A1131,'Base bordo CD'!A$2:A$875,B1131,'Base bordo CD'!L$2:L$875,"MANOBRA"),0)</f>
        <v>0</v>
      </c>
      <c r="G1131" s="10">
        <f>IFERROR(SUMIFS('Base bordo CD'!M$2:M$875,'Base bordo CD'!D$2:D$875,A1131,'Base bordo CD'!A$2:A$875,B1131,'Base bordo CD'!L$2:L$875,"DESLOCAMENTO"),0)</f>
        <v>0</v>
      </c>
      <c r="H1131" s="10">
        <f>IFERROR(SUMIFS('Base bordo CD'!M$2:M$875,'Base bordo CD'!D$2:D$875,A1131,'Base bordo CD'!A$2:A$875,B1131,'Base bordo CD'!L$2:L$875,"AGUARDANDO MANOBRA DE TRANSBORDO"),0)+IFERROR(SUMIFS('Base bordo CD'!M$2:M$875,'Base bordo CD'!D$2:D$875,A1131,'Base bordo CD'!A$2:A$875,B1131,'Base bordo CD'!L$2:L$875,"FALTA DE TRANSBORDO"),0)</f>
        <v>0</v>
      </c>
      <c r="I1131" s="10">
        <f>IFERROR(SUMIFS('Base bordo CD'!M$2:M$875,'Base bordo CD'!D$2:D$875,A1131,'Base bordo CD'!A$2:A$875,B1131,'Base bordo CD'!L$2:L$875,"PARADA POR CONDICOES CLIMATICAS"),0)+IFERROR(SUMIFS('Base bordo CD'!M$2:M$875,'Base bordo CD'!D$2:D$875,A1131,'Base bordo CD'!A$2:A$875,B1131,'Base bordo CD'!L$2:L$875,"TEMPO INDETERMINADO"),0)</f>
        <v>0</v>
      </c>
      <c r="J1131" s="10">
        <f>IFERROR(SUMIFS('Base bordo CD'!M$2:M$875,'Base bordo CD'!D$2:D$875,A1131,'Base bordo CD'!A$2:A$875,B1131,'Base bordo CD'!L$2:L$875,"LIMITAÇÃO INDÚSTRIA"),0)</f>
        <v>0</v>
      </c>
      <c r="K1131" s="10">
        <f>IFERROR(SUMIFS('Base bordo CD'!M$2:M$875,'Base bordo CD'!D$2:D$875,A1131,'Base bordo CD'!A$2:A$875,B1131,'Base bordo CD'!L$2:L$875,"MAN CORRETIVA*"),0)+IFERROR(SUMIFS('Base bordo CD'!M$2:M$875,'Base bordo CD'!D$2:D$875,A1131,'Base bordo CD'!A$2:A$875,B1131,'Base bordo CD'!L$2:L$875,"AGUARDANDO MANUTENCAO*"),0)+IFERROR(SUMIFS('Base bordo CD'!M$2:M$875,'Base bordo CD'!D$2:D$875,A1131,'Base bordo CD'!A$2:A$875,B1131,'Base bordo CD'!L$2:L$875,"TROCA DE FAQUINHA"),0)+IFERROR(SUMIFS('Base bordo CD'!M$2:M$875,'Base bordo CD'!D$2:D$875,A1131,'Base bordo CD'!A$2:A$875,B1131,'Base bordo CD'!L$2:L$875,"LIMPEZA*"),0)</f>
        <v>0</v>
      </c>
      <c r="L1131" s="10">
        <f>IFERROR(SUMIFS('Base bordo CD'!M$2:M$875,'Base bordo CD'!D$2:D$875,A1131,'Base bordo CD'!A$2:A$875,B1131,'Base bordo CD'!L$2:L$875,"PATIO - RESERVA"),0)</f>
        <v>0</v>
      </c>
      <c r="M1131" s="10">
        <f>IFERROR(SUMIFS('Base bordo CD'!M$2:M$875,'Base bordo CD'!D$2:D$875,A1131,'Base bordo CD'!A$2:A$875,B1131,'Base bordo CD'!L$2:L$875,"SEM APONTAMENTO"),0)</f>
        <v>0</v>
      </c>
      <c r="N1131" s="10">
        <f>IFERROR(SUMIFS('Base bordo CD'!M$2:M$875,'Base bordo CD'!D$2:D$875,A1131,'Base bordo CD'!A$2:A$875,B1131,'Base bordo CD'!L$2:L$875,"FALTA DE CAMINHÃO"),0)+IFERROR(SUMIFS('Base bordo CD'!M$2:M$875,'Base bordo CD'!D$2:D$875,A1131,'Base bordo CD'!A$2:A$875,B1131,'Base bordo CD'!L$2:L$875,"FALTA DE COMBUSTIVEL"),0)+IFERROR(SUMIFS('Base bordo CD'!M$2:M$875,'Base bordo CD'!D$2:D$875,A1131,'Base bordo CD'!A$2:A$875,B1131,'Base bordo CD'!L$2:L$875,"FALTA DE MOTORIST*"),0)</f>
        <v>0</v>
      </c>
      <c r="O1131" s="10">
        <f t="shared" si="90"/>
        <v>0</v>
      </c>
      <c r="P1131" s="10">
        <f>IFERROR(SUMIFS('Base bordo CD'!M$2:M$875,'Base bordo CD'!D$2:D$875,A1131,'Base bordo CD'!A$2:A$875,B1131),0)</f>
        <v>0</v>
      </c>
      <c r="Q1131" s="10">
        <f>IFERROR(SUMIFS('Base bordo CD'!O$2:O$875,'Base bordo CD'!D$2:D$875,A1131,'Base bordo CD'!A$2:A$875,B1131,'Base bordo CD'!L$2:L$875,"CORTE DE CANA MECANIZADO"),0)</f>
        <v>0</v>
      </c>
      <c r="R1131" s="10">
        <f>IFERROR(SUMIFS('Base bordo CD'!Q$2:Q$875,'Base bordo CD'!D$2:D$875,A1131,'Base bordo CD'!A$2:A$875,B1131,'Base bordo CD'!L$2:L$875,"CORTE DE CANA MECANIZADO"),0)</f>
        <v>0</v>
      </c>
      <c r="S1131" s="30" t="str">
        <f t="shared" si="91"/>
        <v/>
      </c>
      <c r="T1131" s="9">
        <f t="shared" si="92"/>
        <v>0</v>
      </c>
      <c r="U1131" s="9">
        <f t="shared" si="93"/>
        <v>0</v>
      </c>
      <c r="V1131" s="9">
        <f t="shared" si="94"/>
        <v>0</v>
      </c>
    </row>
    <row r="1132" spans="1:22" hidden="1" x14ac:dyDescent="0.35">
      <c r="A1132" s="52">
        <v>49592</v>
      </c>
      <c r="B1132" s="31">
        <v>46117</v>
      </c>
      <c r="C1132" s="7" t="s">
        <v>364</v>
      </c>
      <c r="D1132" s="7">
        <v>352</v>
      </c>
      <c r="E1132" s="10">
        <f>IFERROR(SUMIFS('Base bordo CD'!M$2:M$875,'Base bordo CD'!D$2:D$875,A1132,'Base bordo CD'!A$2:A$875,B1132,'Base bordo CD'!L$2:L$875,"CORTE DE CANA MECANIZADO"),0)</f>
        <v>0</v>
      </c>
      <c r="F1132" s="10">
        <f>IFERROR(SUMIFS('Base bordo CD'!M$2:M$875,'Base bordo CD'!D$2:D$875,A1132,'Base bordo CD'!A$2:A$875,B1132,'Base bordo CD'!L$2:L$875,"MANOBRA"),0)</f>
        <v>0</v>
      </c>
      <c r="G1132" s="10">
        <f>IFERROR(SUMIFS('Base bordo CD'!M$2:M$875,'Base bordo CD'!D$2:D$875,A1132,'Base bordo CD'!A$2:A$875,B1132,'Base bordo CD'!L$2:L$875,"DESLOCAMENTO"),0)</f>
        <v>0</v>
      </c>
      <c r="H1132" s="10">
        <f>IFERROR(SUMIFS('Base bordo CD'!M$2:M$875,'Base bordo CD'!D$2:D$875,A1132,'Base bordo CD'!A$2:A$875,B1132,'Base bordo CD'!L$2:L$875,"AGUARDANDO MANOBRA DE TRANSBORDO"),0)+IFERROR(SUMIFS('Base bordo CD'!M$2:M$875,'Base bordo CD'!D$2:D$875,A1132,'Base bordo CD'!A$2:A$875,B1132,'Base bordo CD'!L$2:L$875,"FALTA DE TRANSBORDO"),0)</f>
        <v>0</v>
      </c>
      <c r="I1132" s="10">
        <f>IFERROR(SUMIFS('Base bordo CD'!M$2:M$875,'Base bordo CD'!D$2:D$875,A1132,'Base bordo CD'!A$2:A$875,B1132,'Base bordo CD'!L$2:L$875,"PARADA POR CONDICOES CLIMATICAS"),0)+IFERROR(SUMIFS('Base bordo CD'!M$2:M$875,'Base bordo CD'!D$2:D$875,A1132,'Base bordo CD'!A$2:A$875,B1132,'Base bordo CD'!L$2:L$875,"TEMPO INDETERMINADO"),0)</f>
        <v>0</v>
      </c>
      <c r="J1132" s="10">
        <f>IFERROR(SUMIFS('Base bordo CD'!M$2:M$875,'Base bordo CD'!D$2:D$875,A1132,'Base bordo CD'!A$2:A$875,B1132,'Base bordo CD'!L$2:L$875,"LIMITAÇÃO INDÚSTRIA"),0)</f>
        <v>0</v>
      </c>
      <c r="K1132" s="10">
        <f>IFERROR(SUMIFS('Base bordo CD'!M$2:M$875,'Base bordo CD'!D$2:D$875,A1132,'Base bordo CD'!A$2:A$875,B1132,'Base bordo CD'!L$2:L$875,"MAN CORRETIVA*"),0)+IFERROR(SUMIFS('Base bordo CD'!M$2:M$875,'Base bordo CD'!D$2:D$875,A1132,'Base bordo CD'!A$2:A$875,B1132,'Base bordo CD'!L$2:L$875,"AGUARDANDO MANUTENCAO*"),0)+IFERROR(SUMIFS('Base bordo CD'!M$2:M$875,'Base bordo CD'!D$2:D$875,A1132,'Base bordo CD'!A$2:A$875,B1132,'Base bordo CD'!L$2:L$875,"TROCA DE FAQUINHA"),0)+IFERROR(SUMIFS('Base bordo CD'!M$2:M$875,'Base bordo CD'!D$2:D$875,A1132,'Base bordo CD'!A$2:A$875,B1132,'Base bordo CD'!L$2:L$875,"LIMPEZA*"),0)</f>
        <v>0</v>
      </c>
      <c r="L1132" s="10">
        <f>IFERROR(SUMIFS('Base bordo CD'!M$2:M$875,'Base bordo CD'!D$2:D$875,A1132,'Base bordo CD'!A$2:A$875,B1132,'Base bordo CD'!L$2:L$875,"PATIO - RESERVA"),0)</f>
        <v>0</v>
      </c>
      <c r="M1132" s="10">
        <f>IFERROR(SUMIFS('Base bordo CD'!M$2:M$875,'Base bordo CD'!D$2:D$875,A1132,'Base bordo CD'!A$2:A$875,B1132,'Base bordo CD'!L$2:L$875,"SEM APONTAMENTO"),0)</f>
        <v>0</v>
      </c>
      <c r="N1132" s="10">
        <f>IFERROR(SUMIFS('Base bordo CD'!M$2:M$875,'Base bordo CD'!D$2:D$875,A1132,'Base bordo CD'!A$2:A$875,B1132,'Base bordo CD'!L$2:L$875,"FALTA DE CAMINHÃO"),0)+IFERROR(SUMIFS('Base bordo CD'!M$2:M$875,'Base bordo CD'!D$2:D$875,A1132,'Base bordo CD'!A$2:A$875,B1132,'Base bordo CD'!L$2:L$875,"FALTA DE COMBUSTIVEL"),0)+IFERROR(SUMIFS('Base bordo CD'!M$2:M$875,'Base bordo CD'!D$2:D$875,A1132,'Base bordo CD'!A$2:A$875,B1132,'Base bordo CD'!L$2:L$875,"FALTA DE MOTORIST*"),0)</f>
        <v>0</v>
      </c>
      <c r="O1132" s="10">
        <f t="shared" si="90"/>
        <v>0</v>
      </c>
      <c r="P1132" s="10">
        <f>IFERROR(SUMIFS('Base bordo CD'!M$2:M$875,'Base bordo CD'!D$2:D$875,A1132,'Base bordo CD'!A$2:A$875,B1132),0)</f>
        <v>0</v>
      </c>
      <c r="Q1132" s="10">
        <f>IFERROR(SUMIFS('Base bordo CD'!O$2:O$875,'Base bordo CD'!D$2:D$875,A1132,'Base bordo CD'!A$2:A$875,B1132,'Base bordo CD'!L$2:L$875,"CORTE DE CANA MECANIZADO"),0)</f>
        <v>0</v>
      </c>
      <c r="R1132" s="10">
        <f>IFERROR(SUMIFS('Base bordo CD'!Q$2:Q$875,'Base bordo CD'!D$2:D$875,A1132,'Base bordo CD'!A$2:A$875,B1132,'Base bordo CD'!L$2:L$875,"CORTE DE CANA MECANIZADO"),0)</f>
        <v>0</v>
      </c>
      <c r="S1132" s="30" t="str">
        <f t="shared" si="91"/>
        <v/>
      </c>
      <c r="T1132" s="9">
        <f t="shared" si="92"/>
        <v>0</v>
      </c>
      <c r="U1132" s="9">
        <f t="shared" si="93"/>
        <v>0</v>
      </c>
      <c r="V1132" s="9">
        <f t="shared" si="94"/>
        <v>0</v>
      </c>
    </row>
    <row r="1133" spans="1:22" hidden="1" x14ac:dyDescent="0.35">
      <c r="A1133" s="52">
        <v>49592</v>
      </c>
      <c r="B1133" s="31">
        <v>46117</v>
      </c>
      <c r="C1133" s="7" t="s">
        <v>364</v>
      </c>
      <c r="D1133" s="7">
        <v>352</v>
      </c>
      <c r="E1133" s="10">
        <f>IFERROR(SUMIFS('Base bordo CD'!M$2:M$875,'Base bordo CD'!D$2:D$875,A1133,'Base bordo CD'!A$2:A$875,B1133,'Base bordo CD'!L$2:L$875,"CORTE DE CANA MECANIZADO"),0)</f>
        <v>0</v>
      </c>
      <c r="F1133" s="10">
        <f>IFERROR(SUMIFS('Base bordo CD'!M$2:M$875,'Base bordo CD'!D$2:D$875,A1133,'Base bordo CD'!A$2:A$875,B1133,'Base bordo CD'!L$2:L$875,"MANOBRA"),0)</f>
        <v>0</v>
      </c>
      <c r="G1133" s="10">
        <f>IFERROR(SUMIFS('Base bordo CD'!M$2:M$875,'Base bordo CD'!D$2:D$875,A1133,'Base bordo CD'!A$2:A$875,B1133,'Base bordo CD'!L$2:L$875,"DESLOCAMENTO"),0)</f>
        <v>0</v>
      </c>
      <c r="H1133" s="10">
        <f>IFERROR(SUMIFS('Base bordo CD'!M$2:M$875,'Base bordo CD'!D$2:D$875,A1133,'Base bordo CD'!A$2:A$875,B1133,'Base bordo CD'!L$2:L$875,"AGUARDANDO MANOBRA DE TRANSBORDO"),0)+IFERROR(SUMIFS('Base bordo CD'!M$2:M$875,'Base bordo CD'!D$2:D$875,A1133,'Base bordo CD'!A$2:A$875,B1133,'Base bordo CD'!L$2:L$875,"FALTA DE TRANSBORDO"),0)</f>
        <v>0</v>
      </c>
      <c r="I1133" s="10">
        <f>IFERROR(SUMIFS('Base bordo CD'!M$2:M$875,'Base bordo CD'!D$2:D$875,A1133,'Base bordo CD'!A$2:A$875,B1133,'Base bordo CD'!L$2:L$875,"PARADA POR CONDICOES CLIMATICAS"),0)+IFERROR(SUMIFS('Base bordo CD'!M$2:M$875,'Base bordo CD'!D$2:D$875,A1133,'Base bordo CD'!A$2:A$875,B1133,'Base bordo CD'!L$2:L$875,"TEMPO INDETERMINADO"),0)</f>
        <v>0</v>
      </c>
      <c r="J1133" s="10">
        <f>IFERROR(SUMIFS('Base bordo CD'!M$2:M$875,'Base bordo CD'!D$2:D$875,A1133,'Base bordo CD'!A$2:A$875,B1133,'Base bordo CD'!L$2:L$875,"LIMITAÇÃO INDÚSTRIA"),0)</f>
        <v>0</v>
      </c>
      <c r="K1133" s="10">
        <f>IFERROR(SUMIFS('Base bordo CD'!M$2:M$875,'Base bordo CD'!D$2:D$875,A1133,'Base bordo CD'!A$2:A$875,B1133,'Base bordo CD'!L$2:L$875,"MAN CORRETIVA*"),0)+IFERROR(SUMIFS('Base bordo CD'!M$2:M$875,'Base bordo CD'!D$2:D$875,A1133,'Base bordo CD'!A$2:A$875,B1133,'Base bordo CD'!L$2:L$875,"AGUARDANDO MANUTENCAO*"),0)+IFERROR(SUMIFS('Base bordo CD'!M$2:M$875,'Base bordo CD'!D$2:D$875,A1133,'Base bordo CD'!A$2:A$875,B1133,'Base bordo CD'!L$2:L$875,"TROCA DE FAQUINHA"),0)+IFERROR(SUMIFS('Base bordo CD'!M$2:M$875,'Base bordo CD'!D$2:D$875,A1133,'Base bordo CD'!A$2:A$875,B1133,'Base bordo CD'!L$2:L$875,"LIMPEZA*"),0)</f>
        <v>0</v>
      </c>
      <c r="L1133" s="10">
        <f>IFERROR(SUMIFS('Base bordo CD'!M$2:M$875,'Base bordo CD'!D$2:D$875,A1133,'Base bordo CD'!A$2:A$875,B1133,'Base bordo CD'!L$2:L$875,"PATIO - RESERVA"),0)</f>
        <v>0</v>
      </c>
      <c r="M1133" s="10">
        <f>IFERROR(SUMIFS('Base bordo CD'!M$2:M$875,'Base bordo CD'!D$2:D$875,A1133,'Base bordo CD'!A$2:A$875,B1133,'Base bordo CD'!L$2:L$875,"SEM APONTAMENTO"),0)</f>
        <v>0</v>
      </c>
      <c r="N1133" s="10">
        <f>IFERROR(SUMIFS('Base bordo CD'!M$2:M$875,'Base bordo CD'!D$2:D$875,A1133,'Base bordo CD'!A$2:A$875,B1133,'Base bordo CD'!L$2:L$875,"FALTA DE CAMINHÃO"),0)+IFERROR(SUMIFS('Base bordo CD'!M$2:M$875,'Base bordo CD'!D$2:D$875,A1133,'Base bordo CD'!A$2:A$875,B1133,'Base bordo CD'!L$2:L$875,"FALTA DE COMBUSTIVEL"),0)+IFERROR(SUMIFS('Base bordo CD'!M$2:M$875,'Base bordo CD'!D$2:D$875,A1133,'Base bordo CD'!A$2:A$875,B1133,'Base bordo CD'!L$2:L$875,"FALTA DE MOTORIST*"),0)</f>
        <v>0</v>
      </c>
      <c r="O1133" s="10">
        <f t="shared" si="90"/>
        <v>0</v>
      </c>
      <c r="P1133" s="10">
        <f>IFERROR(SUMIFS('Base bordo CD'!M$2:M$875,'Base bordo CD'!D$2:D$875,A1133,'Base bordo CD'!A$2:A$875,B1133),0)</f>
        <v>0</v>
      </c>
      <c r="Q1133" s="10">
        <f>IFERROR(SUMIFS('Base bordo CD'!O$2:O$875,'Base bordo CD'!D$2:D$875,A1133,'Base bordo CD'!A$2:A$875,B1133,'Base bordo CD'!L$2:L$875,"CORTE DE CANA MECANIZADO"),0)</f>
        <v>0</v>
      </c>
      <c r="R1133" s="10">
        <f>IFERROR(SUMIFS('Base bordo CD'!Q$2:Q$875,'Base bordo CD'!D$2:D$875,A1133,'Base bordo CD'!A$2:A$875,B1133,'Base bordo CD'!L$2:L$875,"CORTE DE CANA MECANIZADO"),0)</f>
        <v>0</v>
      </c>
      <c r="S1133" s="30" t="str">
        <f t="shared" si="91"/>
        <v/>
      </c>
      <c r="T1133" s="9">
        <f t="shared" si="92"/>
        <v>0</v>
      </c>
      <c r="U1133" s="9">
        <f t="shared" si="93"/>
        <v>0</v>
      </c>
      <c r="V1133" s="9">
        <f t="shared" si="94"/>
        <v>0</v>
      </c>
    </row>
    <row r="1134" spans="1:22" hidden="1" x14ac:dyDescent="0.35">
      <c r="A1134" s="52">
        <v>49592</v>
      </c>
      <c r="B1134" s="31">
        <v>46117</v>
      </c>
      <c r="C1134" s="7" t="s">
        <v>364</v>
      </c>
      <c r="D1134" s="7">
        <v>352</v>
      </c>
      <c r="E1134" s="10">
        <f>IFERROR(SUMIFS('Base bordo CD'!M$2:M$875,'Base bordo CD'!D$2:D$875,A1134,'Base bordo CD'!A$2:A$875,B1134,'Base bordo CD'!L$2:L$875,"CORTE DE CANA MECANIZADO"),0)</f>
        <v>0</v>
      </c>
      <c r="F1134" s="10">
        <f>IFERROR(SUMIFS('Base bordo CD'!M$2:M$875,'Base bordo CD'!D$2:D$875,A1134,'Base bordo CD'!A$2:A$875,B1134,'Base bordo CD'!L$2:L$875,"MANOBRA"),0)</f>
        <v>0</v>
      </c>
      <c r="G1134" s="10">
        <f>IFERROR(SUMIFS('Base bordo CD'!M$2:M$875,'Base bordo CD'!D$2:D$875,A1134,'Base bordo CD'!A$2:A$875,B1134,'Base bordo CD'!L$2:L$875,"DESLOCAMENTO"),0)</f>
        <v>0</v>
      </c>
      <c r="H1134" s="10">
        <f>IFERROR(SUMIFS('Base bordo CD'!M$2:M$875,'Base bordo CD'!D$2:D$875,A1134,'Base bordo CD'!A$2:A$875,B1134,'Base bordo CD'!L$2:L$875,"AGUARDANDO MANOBRA DE TRANSBORDO"),0)+IFERROR(SUMIFS('Base bordo CD'!M$2:M$875,'Base bordo CD'!D$2:D$875,A1134,'Base bordo CD'!A$2:A$875,B1134,'Base bordo CD'!L$2:L$875,"FALTA DE TRANSBORDO"),0)</f>
        <v>0</v>
      </c>
      <c r="I1134" s="10">
        <f>IFERROR(SUMIFS('Base bordo CD'!M$2:M$875,'Base bordo CD'!D$2:D$875,A1134,'Base bordo CD'!A$2:A$875,B1134,'Base bordo CD'!L$2:L$875,"PARADA POR CONDICOES CLIMATICAS"),0)+IFERROR(SUMIFS('Base bordo CD'!M$2:M$875,'Base bordo CD'!D$2:D$875,A1134,'Base bordo CD'!A$2:A$875,B1134,'Base bordo CD'!L$2:L$875,"TEMPO INDETERMINADO"),0)</f>
        <v>0</v>
      </c>
      <c r="J1134" s="10">
        <f>IFERROR(SUMIFS('Base bordo CD'!M$2:M$875,'Base bordo CD'!D$2:D$875,A1134,'Base bordo CD'!A$2:A$875,B1134,'Base bordo CD'!L$2:L$875,"LIMITAÇÃO INDÚSTRIA"),0)</f>
        <v>0</v>
      </c>
      <c r="K1134" s="10">
        <f>IFERROR(SUMIFS('Base bordo CD'!M$2:M$875,'Base bordo CD'!D$2:D$875,A1134,'Base bordo CD'!A$2:A$875,B1134,'Base bordo CD'!L$2:L$875,"MAN CORRETIVA*"),0)+IFERROR(SUMIFS('Base bordo CD'!M$2:M$875,'Base bordo CD'!D$2:D$875,A1134,'Base bordo CD'!A$2:A$875,B1134,'Base bordo CD'!L$2:L$875,"AGUARDANDO MANUTENCAO*"),0)+IFERROR(SUMIFS('Base bordo CD'!M$2:M$875,'Base bordo CD'!D$2:D$875,A1134,'Base bordo CD'!A$2:A$875,B1134,'Base bordo CD'!L$2:L$875,"TROCA DE FAQUINHA"),0)+IFERROR(SUMIFS('Base bordo CD'!M$2:M$875,'Base bordo CD'!D$2:D$875,A1134,'Base bordo CD'!A$2:A$875,B1134,'Base bordo CD'!L$2:L$875,"LIMPEZA*"),0)</f>
        <v>0</v>
      </c>
      <c r="L1134" s="10">
        <f>IFERROR(SUMIFS('Base bordo CD'!M$2:M$875,'Base bordo CD'!D$2:D$875,A1134,'Base bordo CD'!A$2:A$875,B1134,'Base bordo CD'!L$2:L$875,"PATIO - RESERVA"),0)</f>
        <v>0</v>
      </c>
      <c r="M1134" s="10">
        <f>IFERROR(SUMIFS('Base bordo CD'!M$2:M$875,'Base bordo CD'!D$2:D$875,A1134,'Base bordo CD'!A$2:A$875,B1134,'Base bordo CD'!L$2:L$875,"SEM APONTAMENTO"),0)</f>
        <v>0</v>
      </c>
      <c r="N1134" s="10">
        <f>IFERROR(SUMIFS('Base bordo CD'!M$2:M$875,'Base bordo CD'!D$2:D$875,A1134,'Base bordo CD'!A$2:A$875,B1134,'Base bordo CD'!L$2:L$875,"FALTA DE CAMINHÃO"),0)+IFERROR(SUMIFS('Base bordo CD'!M$2:M$875,'Base bordo CD'!D$2:D$875,A1134,'Base bordo CD'!A$2:A$875,B1134,'Base bordo CD'!L$2:L$875,"FALTA DE COMBUSTIVEL"),0)+IFERROR(SUMIFS('Base bordo CD'!M$2:M$875,'Base bordo CD'!D$2:D$875,A1134,'Base bordo CD'!A$2:A$875,B1134,'Base bordo CD'!L$2:L$875,"FALTA DE MOTORIST*"),0)</f>
        <v>0</v>
      </c>
      <c r="O1134" s="10">
        <f t="shared" si="90"/>
        <v>0</v>
      </c>
      <c r="P1134" s="10">
        <f>IFERROR(SUMIFS('Base bordo CD'!M$2:M$875,'Base bordo CD'!D$2:D$875,A1134,'Base bordo CD'!A$2:A$875,B1134),0)</f>
        <v>0</v>
      </c>
      <c r="Q1134" s="10">
        <f>IFERROR(SUMIFS('Base bordo CD'!O$2:O$875,'Base bordo CD'!D$2:D$875,A1134,'Base bordo CD'!A$2:A$875,B1134,'Base bordo CD'!L$2:L$875,"CORTE DE CANA MECANIZADO"),0)</f>
        <v>0</v>
      </c>
      <c r="R1134" s="10">
        <f>IFERROR(SUMIFS('Base bordo CD'!Q$2:Q$875,'Base bordo CD'!D$2:D$875,A1134,'Base bordo CD'!A$2:A$875,B1134,'Base bordo CD'!L$2:L$875,"CORTE DE CANA MECANIZADO"),0)</f>
        <v>0</v>
      </c>
      <c r="S1134" s="30" t="str">
        <f t="shared" si="91"/>
        <v/>
      </c>
      <c r="T1134" s="9">
        <f t="shared" si="92"/>
        <v>0</v>
      </c>
      <c r="U1134" s="9">
        <f t="shared" si="93"/>
        <v>0</v>
      </c>
      <c r="V1134" s="9">
        <f t="shared" si="94"/>
        <v>0</v>
      </c>
    </row>
    <row r="1135" spans="1:22" hidden="1" x14ac:dyDescent="0.35">
      <c r="A1135" s="52">
        <v>49592</v>
      </c>
      <c r="B1135" s="31">
        <v>46117</v>
      </c>
      <c r="C1135" s="7" t="s">
        <v>364</v>
      </c>
      <c r="D1135" s="7">
        <v>352</v>
      </c>
      <c r="E1135" s="10">
        <f>IFERROR(SUMIFS('Base bordo CD'!M$2:M$875,'Base bordo CD'!D$2:D$875,A1135,'Base bordo CD'!A$2:A$875,B1135,'Base bordo CD'!L$2:L$875,"CORTE DE CANA MECANIZADO"),0)</f>
        <v>0</v>
      </c>
      <c r="F1135" s="10">
        <f>IFERROR(SUMIFS('Base bordo CD'!M$2:M$875,'Base bordo CD'!D$2:D$875,A1135,'Base bordo CD'!A$2:A$875,B1135,'Base bordo CD'!L$2:L$875,"MANOBRA"),0)</f>
        <v>0</v>
      </c>
      <c r="G1135" s="10">
        <f>IFERROR(SUMIFS('Base bordo CD'!M$2:M$875,'Base bordo CD'!D$2:D$875,A1135,'Base bordo CD'!A$2:A$875,B1135,'Base bordo CD'!L$2:L$875,"DESLOCAMENTO"),0)</f>
        <v>0</v>
      </c>
      <c r="H1135" s="10">
        <f>IFERROR(SUMIFS('Base bordo CD'!M$2:M$875,'Base bordo CD'!D$2:D$875,A1135,'Base bordo CD'!A$2:A$875,B1135,'Base bordo CD'!L$2:L$875,"AGUARDANDO MANOBRA DE TRANSBORDO"),0)+IFERROR(SUMIFS('Base bordo CD'!M$2:M$875,'Base bordo CD'!D$2:D$875,A1135,'Base bordo CD'!A$2:A$875,B1135,'Base bordo CD'!L$2:L$875,"FALTA DE TRANSBORDO"),0)</f>
        <v>0</v>
      </c>
      <c r="I1135" s="10">
        <f>IFERROR(SUMIFS('Base bordo CD'!M$2:M$875,'Base bordo CD'!D$2:D$875,A1135,'Base bordo CD'!A$2:A$875,B1135,'Base bordo CD'!L$2:L$875,"PARADA POR CONDICOES CLIMATICAS"),0)+IFERROR(SUMIFS('Base bordo CD'!M$2:M$875,'Base bordo CD'!D$2:D$875,A1135,'Base bordo CD'!A$2:A$875,B1135,'Base bordo CD'!L$2:L$875,"TEMPO INDETERMINADO"),0)</f>
        <v>0</v>
      </c>
      <c r="J1135" s="10">
        <f>IFERROR(SUMIFS('Base bordo CD'!M$2:M$875,'Base bordo CD'!D$2:D$875,A1135,'Base bordo CD'!A$2:A$875,B1135,'Base bordo CD'!L$2:L$875,"LIMITAÇÃO INDÚSTRIA"),0)</f>
        <v>0</v>
      </c>
      <c r="K1135" s="10">
        <f>IFERROR(SUMIFS('Base bordo CD'!M$2:M$875,'Base bordo CD'!D$2:D$875,A1135,'Base bordo CD'!A$2:A$875,B1135,'Base bordo CD'!L$2:L$875,"MAN CORRETIVA*"),0)+IFERROR(SUMIFS('Base bordo CD'!M$2:M$875,'Base bordo CD'!D$2:D$875,A1135,'Base bordo CD'!A$2:A$875,B1135,'Base bordo CD'!L$2:L$875,"AGUARDANDO MANUTENCAO*"),0)+IFERROR(SUMIFS('Base bordo CD'!M$2:M$875,'Base bordo CD'!D$2:D$875,A1135,'Base bordo CD'!A$2:A$875,B1135,'Base bordo CD'!L$2:L$875,"TROCA DE FAQUINHA"),0)+IFERROR(SUMIFS('Base bordo CD'!M$2:M$875,'Base bordo CD'!D$2:D$875,A1135,'Base bordo CD'!A$2:A$875,B1135,'Base bordo CD'!L$2:L$875,"LIMPEZA*"),0)</f>
        <v>0</v>
      </c>
      <c r="L1135" s="10">
        <f>IFERROR(SUMIFS('Base bordo CD'!M$2:M$875,'Base bordo CD'!D$2:D$875,A1135,'Base bordo CD'!A$2:A$875,B1135,'Base bordo CD'!L$2:L$875,"PATIO - RESERVA"),0)</f>
        <v>0</v>
      </c>
      <c r="M1135" s="10">
        <f>IFERROR(SUMIFS('Base bordo CD'!M$2:M$875,'Base bordo CD'!D$2:D$875,A1135,'Base bordo CD'!A$2:A$875,B1135,'Base bordo CD'!L$2:L$875,"SEM APONTAMENTO"),0)</f>
        <v>0</v>
      </c>
      <c r="N1135" s="10">
        <f>IFERROR(SUMIFS('Base bordo CD'!M$2:M$875,'Base bordo CD'!D$2:D$875,A1135,'Base bordo CD'!A$2:A$875,B1135,'Base bordo CD'!L$2:L$875,"FALTA DE CAMINHÃO"),0)+IFERROR(SUMIFS('Base bordo CD'!M$2:M$875,'Base bordo CD'!D$2:D$875,A1135,'Base bordo CD'!A$2:A$875,B1135,'Base bordo CD'!L$2:L$875,"FALTA DE COMBUSTIVEL"),0)+IFERROR(SUMIFS('Base bordo CD'!M$2:M$875,'Base bordo CD'!D$2:D$875,A1135,'Base bordo CD'!A$2:A$875,B1135,'Base bordo CD'!L$2:L$875,"FALTA DE MOTORIST*"),0)</f>
        <v>0</v>
      </c>
      <c r="O1135" s="10">
        <f t="shared" si="90"/>
        <v>0</v>
      </c>
      <c r="P1135" s="10">
        <f>IFERROR(SUMIFS('Base bordo CD'!M$2:M$875,'Base bordo CD'!D$2:D$875,A1135,'Base bordo CD'!A$2:A$875,B1135),0)</f>
        <v>0</v>
      </c>
      <c r="Q1135" s="10">
        <f>IFERROR(SUMIFS('Base bordo CD'!O$2:O$875,'Base bordo CD'!D$2:D$875,A1135,'Base bordo CD'!A$2:A$875,B1135,'Base bordo CD'!L$2:L$875,"CORTE DE CANA MECANIZADO"),0)</f>
        <v>0</v>
      </c>
      <c r="R1135" s="10">
        <f>IFERROR(SUMIFS('Base bordo CD'!Q$2:Q$875,'Base bordo CD'!D$2:D$875,A1135,'Base bordo CD'!A$2:A$875,B1135,'Base bordo CD'!L$2:L$875,"CORTE DE CANA MECANIZADO"),0)</f>
        <v>0</v>
      </c>
      <c r="S1135" s="30" t="str">
        <f t="shared" si="91"/>
        <v/>
      </c>
      <c r="T1135" s="9">
        <f t="shared" si="92"/>
        <v>0</v>
      </c>
      <c r="U1135" s="9">
        <f t="shared" si="93"/>
        <v>0</v>
      </c>
      <c r="V1135" s="9">
        <f t="shared" si="94"/>
        <v>0</v>
      </c>
    </row>
    <row r="1136" spans="1:22" hidden="1" x14ac:dyDescent="0.35">
      <c r="A1136" s="52">
        <v>49592</v>
      </c>
      <c r="B1136" s="31">
        <v>46117</v>
      </c>
      <c r="C1136" s="7" t="s">
        <v>364</v>
      </c>
      <c r="D1136" s="7">
        <v>352</v>
      </c>
      <c r="E1136" s="10">
        <f>IFERROR(SUMIFS('Base bordo CD'!M$2:M$875,'Base bordo CD'!D$2:D$875,A1136,'Base bordo CD'!A$2:A$875,B1136,'Base bordo CD'!L$2:L$875,"CORTE DE CANA MECANIZADO"),0)</f>
        <v>0</v>
      </c>
      <c r="F1136" s="10">
        <f>IFERROR(SUMIFS('Base bordo CD'!M$2:M$875,'Base bordo CD'!D$2:D$875,A1136,'Base bordo CD'!A$2:A$875,B1136,'Base bordo CD'!L$2:L$875,"MANOBRA"),0)</f>
        <v>0</v>
      </c>
      <c r="G1136" s="10">
        <f>IFERROR(SUMIFS('Base bordo CD'!M$2:M$875,'Base bordo CD'!D$2:D$875,A1136,'Base bordo CD'!A$2:A$875,B1136,'Base bordo CD'!L$2:L$875,"DESLOCAMENTO"),0)</f>
        <v>0</v>
      </c>
      <c r="H1136" s="10">
        <f>IFERROR(SUMIFS('Base bordo CD'!M$2:M$875,'Base bordo CD'!D$2:D$875,A1136,'Base bordo CD'!A$2:A$875,B1136,'Base bordo CD'!L$2:L$875,"AGUARDANDO MANOBRA DE TRANSBORDO"),0)+IFERROR(SUMIFS('Base bordo CD'!M$2:M$875,'Base bordo CD'!D$2:D$875,A1136,'Base bordo CD'!A$2:A$875,B1136,'Base bordo CD'!L$2:L$875,"FALTA DE TRANSBORDO"),0)</f>
        <v>0</v>
      </c>
      <c r="I1136" s="10">
        <f>IFERROR(SUMIFS('Base bordo CD'!M$2:M$875,'Base bordo CD'!D$2:D$875,A1136,'Base bordo CD'!A$2:A$875,B1136,'Base bordo CD'!L$2:L$875,"PARADA POR CONDICOES CLIMATICAS"),0)+IFERROR(SUMIFS('Base bordo CD'!M$2:M$875,'Base bordo CD'!D$2:D$875,A1136,'Base bordo CD'!A$2:A$875,B1136,'Base bordo CD'!L$2:L$875,"TEMPO INDETERMINADO"),0)</f>
        <v>0</v>
      </c>
      <c r="J1136" s="10">
        <f>IFERROR(SUMIFS('Base bordo CD'!M$2:M$875,'Base bordo CD'!D$2:D$875,A1136,'Base bordo CD'!A$2:A$875,B1136,'Base bordo CD'!L$2:L$875,"LIMITAÇÃO INDÚSTRIA"),0)</f>
        <v>0</v>
      </c>
      <c r="K1136" s="10">
        <f>IFERROR(SUMIFS('Base bordo CD'!M$2:M$875,'Base bordo CD'!D$2:D$875,A1136,'Base bordo CD'!A$2:A$875,B1136,'Base bordo CD'!L$2:L$875,"MAN CORRETIVA*"),0)+IFERROR(SUMIFS('Base bordo CD'!M$2:M$875,'Base bordo CD'!D$2:D$875,A1136,'Base bordo CD'!A$2:A$875,B1136,'Base bordo CD'!L$2:L$875,"AGUARDANDO MANUTENCAO*"),0)+IFERROR(SUMIFS('Base bordo CD'!M$2:M$875,'Base bordo CD'!D$2:D$875,A1136,'Base bordo CD'!A$2:A$875,B1136,'Base bordo CD'!L$2:L$875,"TROCA DE FAQUINHA"),0)+IFERROR(SUMIFS('Base bordo CD'!M$2:M$875,'Base bordo CD'!D$2:D$875,A1136,'Base bordo CD'!A$2:A$875,B1136,'Base bordo CD'!L$2:L$875,"LIMPEZA*"),0)</f>
        <v>0</v>
      </c>
      <c r="L1136" s="10">
        <f>IFERROR(SUMIFS('Base bordo CD'!M$2:M$875,'Base bordo CD'!D$2:D$875,A1136,'Base bordo CD'!A$2:A$875,B1136,'Base bordo CD'!L$2:L$875,"PATIO - RESERVA"),0)</f>
        <v>0</v>
      </c>
      <c r="M1136" s="10">
        <f>IFERROR(SUMIFS('Base bordo CD'!M$2:M$875,'Base bordo CD'!D$2:D$875,A1136,'Base bordo CD'!A$2:A$875,B1136,'Base bordo CD'!L$2:L$875,"SEM APONTAMENTO"),0)</f>
        <v>0</v>
      </c>
      <c r="N1136" s="10">
        <f>IFERROR(SUMIFS('Base bordo CD'!M$2:M$875,'Base bordo CD'!D$2:D$875,A1136,'Base bordo CD'!A$2:A$875,B1136,'Base bordo CD'!L$2:L$875,"FALTA DE CAMINHÃO"),0)+IFERROR(SUMIFS('Base bordo CD'!M$2:M$875,'Base bordo CD'!D$2:D$875,A1136,'Base bordo CD'!A$2:A$875,B1136,'Base bordo CD'!L$2:L$875,"FALTA DE COMBUSTIVEL"),0)+IFERROR(SUMIFS('Base bordo CD'!M$2:M$875,'Base bordo CD'!D$2:D$875,A1136,'Base bordo CD'!A$2:A$875,B1136,'Base bordo CD'!L$2:L$875,"FALTA DE MOTORIST*"),0)</f>
        <v>0</v>
      </c>
      <c r="O1136" s="10">
        <f t="shared" si="90"/>
        <v>0</v>
      </c>
      <c r="P1136" s="10">
        <f>IFERROR(SUMIFS('Base bordo CD'!M$2:M$875,'Base bordo CD'!D$2:D$875,A1136,'Base bordo CD'!A$2:A$875,B1136),0)</f>
        <v>0</v>
      </c>
      <c r="Q1136" s="10">
        <f>IFERROR(SUMIFS('Base bordo CD'!O$2:O$875,'Base bordo CD'!D$2:D$875,A1136,'Base bordo CD'!A$2:A$875,B1136,'Base bordo CD'!L$2:L$875,"CORTE DE CANA MECANIZADO"),0)</f>
        <v>0</v>
      </c>
      <c r="R1136" s="10">
        <f>IFERROR(SUMIFS('Base bordo CD'!Q$2:Q$875,'Base bordo CD'!D$2:D$875,A1136,'Base bordo CD'!A$2:A$875,B1136,'Base bordo CD'!L$2:L$875,"CORTE DE CANA MECANIZADO"),0)</f>
        <v>0</v>
      </c>
      <c r="S1136" s="30" t="str">
        <f t="shared" si="91"/>
        <v/>
      </c>
      <c r="T1136" s="9">
        <f t="shared" si="92"/>
        <v>0</v>
      </c>
      <c r="U1136" s="9">
        <f t="shared" si="93"/>
        <v>0</v>
      </c>
      <c r="V1136" s="9">
        <f t="shared" si="94"/>
        <v>0</v>
      </c>
    </row>
    <row r="1137" spans="1:22" hidden="1" x14ac:dyDescent="0.35">
      <c r="A1137" s="52">
        <v>49592</v>
      </c>
      <c r="B1137" s="31">
        <v>46117</v>
      </c>
      <c r="C1137" s="7" t="s">
        <v>364</v>
      </c>
      <c r="D1137" s="7">
        <v>352</v>
      </c>
      <c r="E1137" s="10">
        <f>IFERROR(SUMIFS('Base bordo CD'!M$2:M$875,'Base bordo CD'!D$2:D$875,A1137,'Base bordo CD'!A$2:A$875,B1137,'Base bordo CD'!L$2:L$875,"CORTE DE CANA MECANIZADO"),0)</f>
        <v>0</v>
      </c>
      <c r="F1137" s="10">
        <f>IFERROR(SUMIFS('Base bordo CD'!M$2:M$875,'Base bordo CD'!D$2:D$875,A1137,'Base bordo CD'!A$2:A$875,B1137,'Base bordo CD'!L$2:L$875,"MANOBRA"),0)</f>
        <v>0</v>
      </c>
      <c r="G1137" s="10">
        <f>IFERROR(SUMIFS('Base bordo CD'!M$2:M$875,'Base bordo CD'!D$2:D$875,A1137,'Base bordo CD'!A$2:A$875,B1137,'Base bordo CD'!L$2:L$875,"DESLOCAMENTO"),0)</f>
        <v>0</v>
      </c>
      <c r="H1137" s="10">
        <f>IFERROR(SUMIFS('Base bordo CD'!M$2:M$875,'Base bordo CD'!D$2:D$875,A1137,'Base bordo CD'!A$2:A$875,B1137,'Base bordo CD'!L$2:L$875,"AGUARDANDO MANOBRA DE TRANSBORDO"),0)+IFERROR(SUMIFS('Base bordo CD'!M$2:M$875,'Base bordo CD'!D$2:D$875,A1137,'Base bordo CD'!A$2:A$875,B1137,'Base bordo CD'!L$2:L$875,"FALTA DE TRANSBORDO"),0)</f>
        <v>0</v>
      </c>
      <c r="I1137" s="10">
        <f>IFERROR(SUMIFS('Base bordo CD'!M$2:M$875,'Base bordo CD'!D$2:D$875,A1137,'Base bordo CD'!A$2:A$875,B1137,'Base bordo CD'!L$2:L$875,"PARADA POR CONDICOES CLIMATICAS"),0)+IFERROR(SUMIFS('Base bordo CD'!M$2:M$875,'Base bordo CD'!D$2:D$875,A1137,'Base bordo CD'!A$2:A$875,B1137,'Base bordo CD'!L$2:L$875,"TEMPO INDETERMINADO"),0)</f>
        <v>0</v>
      </c>
      <c r="J1137" s="10">
        <f>IFERROR(SUMIFS('Base bordo CD'!M$2:M$875,'Base bordo CD'!D$2:D$875,A1137,'Base bordo CD'!A$2:A$875,B1137,'Base bordo CD'!L$2:L$875,"LIMITAÇÃO INDÚSTRIA"),0)</f>
        <v>0</v>
      </c>
      <c r="K1137" s="10">
        <f>IFERROR(SUMIFS('Base bordo CD'!M$2:M$875,'Base bordo CD'!D$2:D$875,A1137,'Base bordo CD'!A$2:A$875,B1137,'Base bordo CD'!L$2:L$875,"MAN CORRETIVA*"),0)+IFERROR(SUMIFS('Base bordo CD'!M$2:M$875,'Base bordo CD'!D$2:D$875,A1137,'Base bordo CD'!A$2:A$875,B1137,'Base bordo CD'!L$2:L$875,"AGUARDANDO MANUTENCAO*"),0)+IFERROR(SUMIFS('Base bordo CD'!M$2:M$875,'Base bordo CD'!D$2:D$875,A1137,'Base bordo CD'!A$2:A$875,B1137,'Base bordo CD'!L$2:L$875,"TROCA DE FAQUINHA"),0)+IFERROR(SUMIFS('Base bordo CD'!M$2:M$875,'Base bordo CD'!D$2:D$875,A1137,'Base bordo CD'!A$2:A$875,B1137,'Base bordo CD'!L$2:L$875,"LIMPEZA*"),0)</f>
        <v>0</v>
      </c>
      <c r="L1137" s="10">
        <f>IFERROR(SUMIFS('Base bordo CD'!M$2:M$875,'Base bordo CD'!D$2:D$875,A1137,'Base bordo CD'!A$2:A$875,B1137,'Base bordo CD'!L$2:L$875,"PATIO - RESERVA"),0)</f>
        <v>0</v>
      </c>
      <c r="M1137" s="10">
        <f>IFERROR(SUMIFS('Base bordo CD'!M$2:M$875,'Base bordo CD'!D$2:D$875,A1137,'Base bordo CD'!A$2:A$875,B1137,'Base bordo CD'!L$2:L$875,"SEM APONTAMENTO"),0)</f>
        <v>0</v>
      </c>
      <c r="N1137" s="10">
        <f>IFERROR(SUMIFS('Base bordo CD'!M$2:M$875,'Base bordo CD'!D$2:D$875,A1137,'Base bordo CD'!A$2:A$875,B1137,'Base bordo CD'!L$2:L$875,"FALTA DE CAMINHÃO"),0)+IFERROR(SUMIFS('Base bordo CD'!M$2:M$875,'Base bordo CD'!D$2:D$875,A1137,'Base bordo CD'!A$2:A$875,B1137,'Base bordo CD'!L$2:L$875,"FALTA DE COMBUSTIVEL"),0)+IFERROR(SUMIFS('Base bordo CD'!M$2:M$875,'Base bordo CD'!D$2:D$875,A1137,'Base bordo CD'!A$2:A$875,B1137,'Base bordo CD'!L$2:L$875,"FALTA DE MOTORIST*"),0)</f>
        <v>0</v>
      </c>
      <c r="O1137" s="10">
        <f t="shared" si="90"/>
        <v>0</v>
      </c>
      <c r="P1137" s="10">
        <f>IFERROR(SUMIFS('Base bordo CD'!M$2:M$875,'Base bordo CD'!D$2:D$875,A1137,'Base bordo CD'!A$2:A$875,B1137),0)</f>
        <v>0</v>
      </c>
      <c r="Q1137" s="10">
        <f>IFERROR(SUMIFS('Base bordo CD'!O$2:O$875,'Base bordo CD'!D$2:D$875,A1137,'Base bordo CD'!A$2:A$875,B1137,'Base bordo CD'!L$2:L$875,"CORTE DE CANA MECANIZADO"),0)</f>
        <v>0</v>
      </c>
      <c r="R1137" s="10">
        <f>IFERROR(SUMIFS('Base bordo CD'!Q$2:Q$875,'Base bordo CD'!D$2:D$875,A1137,'Base bordo CD'!A$2:A$875,B1137,'Base bordo CD'!L$2:L$875,"CORTE DE CANA MECANIZADO"),0)</f>
        <v>0</v>
      </c>
      <c r="S1137" s="30" t="str">
        <f t="shared" si="91"/>
        <v/>
      </c>
      <c r="T1137" s="9">
        <f t="shared" si="92"/>
        <v>0</v>
      </c>
      <c r="U1137" s="9">
        <f t="shared" si="93"/>
        <v>0</v>
      </c>
      <c r="V1137" s="9">
        <f t="shared" si="94"/>
        <v>0</v>
      </c>
    </row>
    <row r="1138" spans="1:22" hidden="1" x14ac:dyDescent="0.35">
      <c r="A1138" s="52">
        <v>49592</v>
      </c>
      <c r="B1138" s="31">
        <v>46117</v>
      </c>
      <c r="C1138" s="7" t="s">
        <v>364</v>
      </c>
      <c r="D1138" s="7">
        <v>352</v>
      </c>
      <c r="E1138" s="10">
        <f>IFERROR(SUMIFS('Base bordo CD'!M$2:M$875,'Base bordo CD'!D$2:D$875,A1138,'Base bordo CD'!A$2:A$875,B1138,'Base bordo CD'!L$2:L$875,"CORTE DE CANA MECANIZADO"),0)</f>
        <v>0</v>
      </c>
      <c r="F1138" s="10">
        <f>IFERROR(SUMIFS('Base bordo CD'!M$2:M$875,'Base bordo CD'!D$2:D$875,A1138,'Base bordo CD'!A$2:A$875,B1138,'Base bordo CD'!L$2:L$875,"MANOBRA"),0)</f>
        <v>0</v>
      </c>
      <c r="G1138" s="10">
        <f>IFERROR(SUMIFS('Base bordo CD'!M$2:M$875,'Base bordo CD'!D$2:D$875,A1138,'Base bordo CD'!A$2:A$875,B1138,'Base bordo CD'!L$2:L$875,"DESLOCAMENTO"),0)</f>
        <v>0</v>
      </c>
      <c r="H1138" s="10">
        <f>IFERROR(SUMIFS('Base bordo CD'!M$2:M$875,'Base bordo CD'!D$2:D$875,A1138,'Base bordo CD'!A$2:A$875,B1138,'Base bordo CD'!L$2:L$875,"AGUARDANDO MANOBRA DE TRANSBORDO"),0)+IFERROR(SUMIFS('Base bordo CD'!M$2:M$875,'Base bordo CD'!D$2:D$875,A1138,'Base bordo CD'!A$2:A$875,B1138,'Base bordo CD'!L$2:L$875,"FALTA DE TRANSBORDO"),0)</f>
        <v>0</v>
      </c>
      <c r="I1138" s="10">
        <f>IFERROR(SUMIFS('Base bordo CD'!M$2:M$875,'Base bordo CD'!D$2:D$875,A1138,'Base bordo CD'!A$2:A$875,B1138,'Base bordo CD'!L$2:L$875,"PARADA POR CONDICOES CLIMATICAS"),0)+IFERROR(SUMIFS('Base bordo CD'!M$2:M$875,'Base bordo CD'!D$2:D$875,A1138,'Base bordo CD'!A$2:A$875,B1138,'Base bordo CD'!L$2:L$875,"TEMPO INDETERMINADO"),0)</f>
        <v>0</v>
      </c>
      <c r="J1138" s="10">
        <f>IFERROR(SUMIFS('Base bordo CD'!M$2:M$875,'Base bordo CD'!D$2:D$875,A1138,'Base bordo CD'!A$2:A$875,B1138,'Base bordo CD'!L$2:L$875,"LIMITAÇÃO INDÚSTRIA"),0)</f>
        <v>0</v>
      </c>
      <c r="K1138" s="10">
        <f>IFERROR(SUMIFS('Base bordo CD'!M$2:M$875,'Base bordo CD'!D$2:D$875,A1138,'Base bordo CD'!A$2:A$875,B1138,'Base bordo CD'!L$2:L$875,"MAN CORRETIVA*"),0)+IFERROR(SUMIFS('Base bordo CD'!M$2:M$875,'Base bordo CD'!D$2:D$875,A1138,'Base bordo CD'!A$2:A$875,B1138,'Base bordo CD'!L$2:L$875,"AGUARDANDO MANUTENCAO*"),0)+IFERROR(SUMIFS('Base bordo CD'!M$2:M$875,'Base bordo CD'!D$2:D$875,A1138,'Base bordo CD'!A$2:A$875,B1138,'Base bordo CD'!L$2:L$875,"TROCA DE FAQUINHA"),0)+IFERROR(SUMIFS('Base bordo CD'!M$2:M$875,'Base bordo CD'!D$2:D$875,A1138,'Base bordo CD'!A$2:A$875,B1138,'Base bordo CD'!L$2:L$875,"LIMPEZA*"),0)</f>
        <v>0</v>
      </c>
      <c r="L1138" s="10">
        <f>IFERROR(SUMIFS('Base bordo CD'!M$2:M$875,'Base bordo CD'!D$2:D$875,A1138,'Base bordo CD'!A$2:A$875,B1138,'Base bordo CD'!L$2:L$875,"PATIO - RESERVA"),0)</f>
        <v>0</v>
      </c>
      <c r="M1138" s="10">
        <f>IFERROR(SUMIFS('Base bordo CD'!M$2:M$875,'Base bordo CD'!D$2:D$875,A1138,'Base bordo CD'!A$2:A$875,B1138,'Base bordo CD'!L$2:L$875,"SEM APONTAMENTO"),0)</f>
        <v>0</v>
      </c>
      <c r="N1138" s="10">
        <f>IFERROR(SUMIFS('Base bordo CD'!M$2:M$875,'Base bordo CD'!D$2:D$875,A1138,'Base bordo CD'!A$2:A$875,B1138,'Base bordo CD'!L$2:L$875,"FALTA DE CAMINHÃO"),0)+IFERROR(SUMIFS('Base bordo CD'!M$2:M$875,'Base bordo CD'!D$2:D$875,A1138,'Base bordo CD'!A$2:A$875,B1138,'Base bordo CD'!L$2:L$875,"FALTA DE COMBUSTIVEL"),0)+IFERROR(SUMIFS('Base bordo CD'!M$2:M$875,'Base bordo CD'!D$2:D$875,A1138,'Base bordo CD'!A$2:A$875,B1138,'Base bordo CD'!L$2:L$875,"FALTA DE MOTORIST*"),0)</f>
        <v>0</v>
      </c>
      <c r="O1138" s="10">
        <f t="shared" si="90"/>
        <v>0</v>
      </c>
      <c r="P1138" s="10">
        <f>IFERROR(SUMIFS('Base bordo CD'!M$2:M$875,'Base bordo CD'!D$2:D$875,A1138,'Base bordo CD'!A$2:A$875,B1138),0)</f>
        <v>0</v>
      </c>
      <c r="Q1138" s="10">
        <f>IFERROR(SUMIFS('Base bordo CD'!O$2:O$875,'Base bordo CD'!D$2:D$875,A1138,'Base bordo CD'!A$2:A$875,B1138,'Base bordo CD'!L$2:L$875,"CORTE DE CANA MECANIZADO"),0)</f>
        <v>0</v>
      </c>
      <c r="R1138" s="10">
        <f>IFERROR(SUMIFS('Base bordo CD'!Q$2:Q$875,'Base bordo CD'!D$2:D$875,A1138,'Base bordo CD'!A$2:A$875,B1138,'Base bordo CD'!L$2:L$875,"CORTE DE CANA MECANIZADO"),0)</f>
        <v>0</v>
      </c>
      <c r="S1138" s="30" t="str">
        <f t="shared" si="91"/>
        <v/>
      </c>
      <c r="T1138" s="9">
        <f t="shared" si="92"/>
        <v>0</v>
      </c>
      <c r="U1138" s="9">
        <f t="shared" si="93"/>
        <v>0</v>
      </c>
      <c r="V1138" s="9">
        <f t="shared" si="94"/>
        <v>0</v>
      </c>
    </row>
    <row r="1139" spans="1:22" hidden="1" x14ac:dyDescent="0.35">
      <c r="A1139" s="52">
        <v>49592</v>
      </c>
      <c r="B1139" s="31">
        <v>46117</v>
      </c>
      <c r="C1139" s="7" t="s">
        <v>364</v>
      </c>
      <c r="D1139" s="7">
        <v>352</v>
      </c>
      <c r="E1139" s="10">
        <f>IFERROR(SUMIFS('Base bordo CD'!M$2:M$875,'Base bordo CD'!D$2:D$875,A1139,'Base bordo CD'!A$2:A$875,B1139,'Base bordo CD'!L$2:L$875,"CORTE DE CANA MECANIZADO"),0)</f>
        <v>0</v>
      </c>
      <c r="F1139" s="10">
        <f>IFERROR(SUMIFS('Base bordo CD'!M$2:M$875,'Base bordo CD'!D$2:D$875,A1139,'Base bordo CD'!A$2:A$875,B1139,'Base bordo CD'!L$2:L$875,"MANOBRA"),0)</f>
        <v>0</v>
      </c>
      <c r="G1139" s="10">
        <f>IFERROR(SUMIFS('Base bordo CD'!M$2:M$875,'Base bordo CD'!D$2:D$875,A1139,'Base bordo CD'!A$2:A$875,B1139,'Base bordo CD'!L$2:L$875,"DESLOCAMENTO"),0)</f>
        <v>0</v>
      </c>
      <c r="H1139" s="10">
        <f>IFERROR(SUMIFS('Base bordo CD'!M$2:M$875,'Base bordo CD'!D$2:D$875,A1139,'Base bordo CD'!A$2:A$875,B1139,'Base bordo CD'!L$2:L$875,"AGUARDANDO MANOBRA DE TRANSBORDO"),0)+IFERROR(SUMIFS('Base bordo CD'!M$2:M$875,'Base bordo CD'!D$2:D$875,A1139,'Base bordo CD'!A$2:A$875,B1139,'Base bordo CD'!L$2:L$875,"FALTA DE TRANSBORDO"),0)</f>
        <v>0</v>
      </c>
      <c r="I1139" s="10">
        <f>IFERROR(SUMIFS('Base bordo CD'!M$2:M$875,'Base bordo CD'!D$2:D$875,A1139,'Base bordo CD'!A$2:A$875,B1139,'Base bordo CD'!L$2:L$875,"PARADA POR CONDICOES CLIMATICAS"),0)+IFERROR(SUMIFS('Base bordo CD'!M$2:M$875,'Base bordo CD'!D$2:D$875,A1139,'Base bordo CD'!A$2:A$875,B1139,'Base bordo CD'!L$2:L$875,"TEMPO INDETERMINADO"),0)</f>
        <v>0</v>
      </c>
      <c r="J1139" s="10">
        <f>IFERROR(SUMIFS('Base bordo CD'!M$2:M$875,'Base bordo CD'!D$2:D$875,A1139,'Base bordo CD'!A$2:A$875,B1139,'Base bordo CD'!L$2:L$875,"LIMITAÇÃO INDÚSTRIA"),0)</f>
        <v>0</v>
      </c>
      <c r="K1139" s="10">
        <f>IFERROR(SUMIFS('Base bordo CD'!M$2:M$875,'Base bordo CD'!D$2:D$875,A1139,'Base bordo CD'!A$2:A$875,B1139,'Base bordo CD'!L$2:L$875,"MAN CORRETIVA*"),0)+IFERROR(SUMIFS('Base bordo CD'!M$2:M$875,'Base bordo CD'!D$2:D$875,A1139,'Base bordo CD'!A$2:A$875,B1139,'Base bordo CD'!L$2:L$875,"AGUARDANDO MANUTENCAO*"),0)+IFERROR(SUMIFS('Base bordo CD'!M$2:M$875,'Base bordo CD'!D$2:D$875,A1139,'Base bordo CD'!A$2:A$875,B1139,'Base bordo CD'!L$2:L$875,"TROCA DE FAQUINHA"),0)+IFERROR(SUMIFS('Base bordo CD'!M$2:M$875,'Base bordo CD'!D$2:D$875,A1139,'Base bordo CD'!A$2:A$875,B1139,'Base bordo CD'!L$2:L$875,"LIMPEZA*"),0)</f>
        <v>0</v>
      </c>
      <c r="L1139" s="10">
        <f>IFERROR(SUMIFS('Base bordo CD'!M$2:M$875,'Base bordo CD'!D$2:D$875,A1139,'Base bordo CD'!A$2:A$875,B1139,'Base bordo CD'!L$2:L$875,"PATIO - RESERVA"),0)</f>
        <v>0</v>
      </c>
      <c r="M1139" s="10">
        <f>IFERROR(SUMIFS('Base bordo CD'!M$2:M$875,'Base bordo CD'!D$2:D$875,A1139,'Base bordo CD'!A$2:A$875,B1139,'Base bordo CD'!L$2:L$875,"SEM APONTAMENTO"),0)</f>
        <v>0</v>
      </c>
      <c r="N1139" s="10">
        <f>IFERROR(SUMIFS('Base bordo CD'!M$2:M$875,'Base bordo CD'!D$2:D$875,A1139,'Base bordo CD'!A$2:A$875,B1139,'Base bordo CD'!L$2:L$875,"FALTA DE CAMINHÃO"),0)+IFERROR(SUMIFS('Base bordo CD'!M$2:M$875,'Base bordo CD'!D$2:D$875,A1139,'Base bordo CD'!A$2:A$875,B1139,'Base bordo CD'!L$2:L$875,"FALTA DE COMBUSTIVEL"),0)+IFERROR(SUMIFS('Base bordo CD'!M$2:M$875,'Base bordo CD'!D$2:D$875,A1139,'Base bordo CD'!A$2:A$875,B1139,'Base bordo CD'!L$2:L$875,"FALTA DE MOTORIST*"),0)</f>
        <v>0</v>
      </c>
      <c r="O1139" s="10">
        <f t="shared" si="90"/>
        <v>0</v>
      </c>
      <c r="P1139" s="10">
        <f>IFERROR(SUMIFS('Base bordo CD'!M$2:M$875,'Base bordo CD'!D$2:D$875,A1139,'Base bordo CD'!A$2:A$875,B1139),0)</f>
        <v>0</v>
      </c>
      <c r="Q1139" s="10">
        <f>IFERROR(SUMIFS('Base bordo CD'!O$2:O$875,'Base bordo CD'!D$2:D$875,A1139,'Base bordo CD'!A$2:A$875,B1139,'Base bordo CD'!L$2:L$875,"CORTE DE CANA MECANIZADO"),0)</f>
        <v>0</v>
      </c>
      <c r="R1139" s="10">
        <f>IFERROR(SUMIFS('Base bordo CD'!Q$2:Q$875,'Base bordo CD'!D$2:D$875,A1139,'Base bordo CD'!A$2:A$875,B1139,'Base bordo CD'!L$2:L$875,"CORTE DE CANA MECANIZADO"),0)</f>
        <v>0</v>
      </c>
      <c r="S1139" s="30" t="str">
        <f t="shared" si="91"/>
        <v/>
      </c>
      <c r="T1139" s="9">
        <f t="shared" si="92"/>
        <v>0</v>
      </c>
      <c r="U1139" s="9">
        <f t="shared" si="93"/>
        <v>0</v>
      </c>
      <c r="V1139" s="9">
        <f t="shared" si="94"/>
        <v>0</v>
      </c>
    </row>
    <row r="1140" spans="1:22" hidden="1" x14ac:dyDescent="0.35">
      <c r="A1140" s="52">
        <v>49592</v>
      </c>
      <c r="B1140" s="31">
        <v>46117</v>
      </c>
      <c r="C1140" s="7" t="s">
        <v>364</v>
      </c>
      <c r="D1140" s="7">
        <v>352</v>
      </c>
      <c r="E1140" s="10">
        <f>IFERROR(SUMIFS('Base bordo CD'!M$2:M$875,'Base bordo CD'!D$2:D$875,A1140,'Base bordo CD'!A$2:A$875,B1140,'Base bordo CD'!L$2:L$875,"CORTE DE CANA MECANIZADO"),0)</f>
        <v>0</v>
      </c>
      <c r="F1140" s="10">
        <f>IFERROR(SUMIFS('Base bordo CD'!M$2:M$875,'Base bordo CD'!D$2:D$875,A1140,'Base bordo CD'!A$2:A$875,B1140,'Base bordo CD'!L$2:L$875,"MANOBRA"),0)</f>
        <v>0</v>
      </c>
      <c r="G1140" s="10">
        <f>IFERROR(SUMIFS('Base bordo CD'!M$2:M$875,'Base bordo CD'!D$2:D$875,A1140,'Base bordo CD'!A$2:A$875,B1140,'Base bordo CD'!L$2:L$875,"DESLOCAMENTO"),0)</f>
        <v>0</v>
      </c>
      <c r="H1140" s="10">
        <f>IFERROR(SUMIFS('Base bordo CD'!M$2:M$875,'Base bordo CD'!D$2:D$875,A1140,'Base bordo CD'!A$2:A$875,B1140,'Base bordo CD'!L$2:L$875,"AGUARDANDO MANOBRA DE TRANSBORDO"),0)+IFERROR(SUMIFS('Base bordo CD'!M$2:M$875,'Base bordo CD'!D$2:D$875,A1140,'Base bordo CD'!A$2:A$875,B1140,'Base bordo CD'!L$2:L$875,"FALTA DE TRANSBORDO"),0)</f>
        <v>0</v>
      </c>
      <c r="I1140" s="10">
        <f>IFERROR(SUMIFS('Base bordo CD'!M$2:M$875,'Base bordo CD'!D$2:D$875,A1140,'Base bordo CD'!A$2:A$875,B1140,'Base bordo CD'!L$2:L$875,"PARADA POR CONDICOES CLIMATICAS"),0)+IFERROR(SUMIFS('Base bordo CD'!M$2:M$875,'Base bordo CD'!D$2:D$875,A1140,'Base bordo CD'!A$2:A$875,B1140,'Base bordo CD'!L$2:L$875,"TEMPO INDETERMINADO"),0)</f>
        <v>0</v>
      </c>
      <c r="J1140" s="10">
        <f>IFERROR(SUMIFS('Base bordo CD'!M$2:M$875,'Base bordo CD'!D$2:D$875,A1140,'Base bordo CD'!A$2:A$875,B1140,'Base bordo CD'!L$2:L$875,"LIMITAÇÃO INDÚSTRIA"),0)</f>
        <v>0</v>
      </c>
      <c r="K1140" s="10">
        <f>IFERROR(SUMIFS('Base bordo CD'!M$2:M$875,'Base bordo CD'!D$2:D$875,A1140,'Base bordo CD'!A$2:A$875,B1140,'Base bordo CD'!L$2:L$875,"MAN CORRETIVA*"),0)+IFERROR(SUMIFS('Base bordo CD'!M$2:M$875,'Base bordo CD'!D$2:D$875,A1140,'Base bordo CD'!A$2:A$875,B1140,'Base bordo CD'!L$2:L$875,"AGUARDANDO MANUTENCAO*"),0)+IFERROR(SUMIFS('Base bordo CD'!M$2:M$875,'Base bordo CD'!D$2:D$875,A1140,'Base bordo CD'!A$2:A$875,B1140,'Base bordo CD'!L$2:L$875,"TROCA DE FAQUINHA"),0)+IFERROR(SUMIFS('Base bordo CD'!M$2:M$875,'Base bordo CD'!D$2:D$875,A1140,'Base bordo CD'!A$2:A$875,B1140,'Base bordo CD'!L$2:L$875,"LIMPEZA*"),0)</f>
        <v>0</v>
      </c>
      <c r="L1140" s="10">
        <f>IFERROR(SUMIFS('Base bordo CD'!M$2:M$875,'Base bordo CD'!D$2:D$875,A1140,'Base bordo CD'!A$2:A$875,B1140,'Base bordo CD'!L$2:L$875,"PATIO - RESERVA"),0)</f>
        <v>0</v>
      </c>
      <c r="M1140" s="10">
        <f>IFERROR(SUMIFS('Base bordo CD'!M$2:M$875,'Base bordo CD'!D$2:D$875,A1140,'Base bordo CD'!A$2:A$875,B1140,'Base bordo CD'!L$2:L$875,"SEM APONTAMENTO"),0)</f>
        <v>0</v>
      </c>
      <c r="N1140" s="10">
        <f>IFERROR(SUMIFS('Base bordo CD'!M$2:M$875,'Base bordo CD'!D$2:D$875,A1140,'Base bordo CD'!A$2:A$875,B1140,'Base bordo CD'!L$2:L$875,"FALTA DE CAMINHÃO"),0)+IFERROR(SUMIFS('Base bordo CD'!M$2:M$875,'Base bordo CD'!D$2:D$875,A1140,'Base bordo CD'!A$2:A$875,B1140,'Base bordo CD'!L$2:L$875,"FALTA DE COMBUSTIVEL"),0)+IFERROR(SUMIFS('Base bordo CD'!M$2:M$875,'Base bordo CD'!D$2:D$875,A1140,'Base bordo CD'!A$2:A$875,B1140,'Base bordo CD'!L$2:L$875,"FALTA DE MOTORIST*"),0)</f>
        <v>0</v>
      </c>
      <c r="O1140" s="10">
        <f t="shared" si="90"/>
        <v>0</v>
      </c>
      <c r="P1140" s="10">
        <f>IFERROR(SUMIFS('Base bordo CD'!M$2:M$875,'Base bordo CD'!D$2:D$875,A1140,'Base bordo CD'!A$2:A$875,B1140),0)</f>
        <v>0</v>
      </c>
      <c r="Q1140" s="10">
        <f>IFERROR(SUMIFS('Base bordo CD'!O$2:O$875,'Base bordo CD'!D$2:D$875,A1140,'Base bordo CD'!A$2:A$875,B1140,'Base bordo CD'!L$2:L$875,"CORTE DE CANA MECANIZADO"),0)</f>
        <v>0</v>
      </c>
      <c r="R1140" s="10">
        <f>IFERROR(SUMIFS('Base bordo CD'!Q$2:Q$875,'Base bordo CD'!D$2:D$875,A1140,'Base bordo CD'!A$2:A$875,B1140,'Base bordo CD'!L$2:L$875,"CORTE DE CANA MECANIZADO"),0)</f>
        <v>0</v>
      </c>
      <c r="S1140" s="30" t="str">
        <f t="shared" si="91"/>
        <v/>
      </c>
      <c r="T1140" s="9">
        <f t="shared" si="92"/>
        <v>0</v>
      </c>
      <c r="U1140" s="9">
        <f t="shared" si="93"/>
        <v>0</v>
      </c>
      <c r="V1140" s="9">
        <f t="shared" si="94"/>
        <v>0</v>
      </c>
    </row>
    <row r="1141" spans="1:22" hidden="1" x14ac:dyDescent="0.35">
      <c r="A1141" s="52">
        <v>49592</v>
      </c>
      <c r="B1141" s="31">
        <v>46117</v>
      </c>
      <c r="C1141" s="7" t="s">
        <v>364</v>
      </c>
      <c r="D1141" s="7">
        <v>352</v>
      </c>
      <c r="E1141" s="10">
        <f>IFERROR(SUMIFS('Base bordo CD'!M$2:M$875,'Base bordo CD'!D$2:D$875,A1141,'Base bordo CD'!A$2:A$875,B1141,'Base bordo CD'!L$2:L$875,"CORTE DE CANA MECANIZADO"),0)</f>
        <v>0</v>
      </c>
      <c r="F1141" s="10">
        <f>IFERROR(SUMIFS('Base bordo CD'!M$2:M$875,'Base bordo CD'!D$2:D$875,A1141,'Base bordo CD'!A$2:A$875,B1141,'Base bordo CD'!L$2:L$875,"MANOBRA"),0)</f>
        <v>0</v>
      </c>
      <c r="G1141" s="10">
        <f>IFERROR(SUMIFS('Base bordo CD'!M$2:M$875,'Base bordo CD'!D$2:D$875,A1141,'Base bordo CD'!A$2:A$875,B1141,'Base bordo CD'!L$2:L$875,"DESLOCAMENTO"),0)</f>
        <v>0</v>
      </c>
      <c r="H1141" s="10">
        <f>IFERROR(SUMIFS('Base bordo CD'!M$2:M$875,'Base bordo CD'!D$2:D$875,A1141,'Base bordo CD'!A$2:A$875,B1141,'Base bordo CD'!L$2:L$875,"AGUARDANDO MANOBRA DE TRANSBORDO"),0)+IFERROR(SUMIFS('Base bordo CD'!M$2:M$875,'Base bordo CD'!D$2:D$875,A1141,'Base bordo CD'!A$2:A$875,B1141,'Base bordo CD'!L$2:L$875,"FALTA DE TRANSBORDO"),0)</f>
        <v>0</v>
      </c>
      <c r="I1141" s="10">
        <f>IFERROR(SUMIFS('Base bordo CD'!M$2:M$875,'Base bordo CD'!D$2:D$875,A1141,'Base bordo CD'!A$2:A$875,B1141,'Base bordo CD'!L$2:L$875,"PARADA POR CONDICOES CLIMATICAS"),0)+IFERROR(SUMIFS('Base bordo CD'!M$2:M$875,'Base bordo CD'!D$2:D$875,A1141,'Base bordo CD'!A$2:A$875,B1141,'Base bordo CD'!L$2:L$875,"TEMPO INDETERMINADO"),0)</f>
        <v>0</v>
      </c>
      <c r="J1141" s="10">
        <f>IFERROR(SUMIFS('Base bordo CD'!M$2:M$875,'Base bordo CD'!D$2:D$875,A1141,'Base bordo CD'!A$2:A$875,B1141,'Base bordo CD'!L$2:L$875,"LIMITAÇÃO INDÚSTRIA"),0)</f>
        <v>0</v>
      </c>
      <c r="K1141" s="10">
        <f>IFERROR(SUMIFS('Base bordo CD'!M$2:M$875,'Base bordo CD'!D$2:D$875,A1141,'Base bordo CD'!A$2:A$875,B1141,'Base bordo CD'!L$2:L$875,"MAN CORRETIVA*"),0)+IFERROR(SUMIFS('Base bordo CD'!M$2:M$875,'Base bordo CD'!D$2:D$875,A1141,'Base bordo CD'!A$2:A$875,B1141,'Base bordo CD'!L$2:L$875,"AGUARDANDO MANUTENCAO*"),0)+IFERROR(SUMIFS('Base bordo CD'!M$2:M$875,'Base bordo CD'!D$2:D$875,A1141,'Base bordo CD'!A$2:A$875,B1141,'Base bordo CD'!L$2:L$875,"TROCA DE FAQUINHA"),0)+IFERROR(SUMIFS('Base bordo CD'!M$2:M$875,'Base bordo CD'!D$2:D$875,A1141,'Base bordo CD'!A$2:A$875,B1141,'Base bordo CD'!L$2:L$875,"LIMPEZA*"),0)</f>
        <v>0</v>
      </c>
      <c r="L1141" s="10">
        <f>IFERROR(SUMIFS('Base bordo CD'!M$2:M$875,'Base bordo CD'!D$2:D$875,A1141,'Base bordo CD'!A$2:A$875,B1141,'Base bordo CD'!L$2:L$875,"PATIO - RESERVA"),0)</f>
        <v>0</v>
      </c>
      <c r="M1141" s="10">
        <f>IFERROR(SUMIFS('Base bordo CD'!M$2:M$875,'Base bordo CD'!D$2:D$875,A1141,'Base bordo CD'!A$2:A$875,B1141,'Base bordo CD'!L$2:L$875,"SEM APONTAMENTO"),0)</f>
        <v>0</v>
      </c>
      <c r="N1141" s="10">
        <f>IFERROR(SUMIFS('Base bordo CD'!M$2:M$875,'Base bordo CD'!D$2:D$875,A1141,'Base bordo CD'!A$2:A$875,B1141,'Base bordo CD'!L$2:L$875,"FALTA DE CAMINHÃO"),0)+IFERROR(SUMIFS('Base bordo CD'!M$2:M$875,'Base bordo CD'!D$2:D$875,A1141,'Base bordo CD'!A$2:A$875,B1141,'Base bordo CD'!L$2:L$875,"FALTA DE COMBUSTIVEL"),0)+IFERROR(SUMIFS('Base bordo CD'!M$2:M$875,'Base bordo CD'!D$2:D$875,A1141,'Base bordo CD'!A$2:A$875,B1141,'Base bordo CD'!L$2:L$875,"FALTA DE MOTORIST*"),0)</f>
        <v>0</v>
      </c>
      <c r="O1141" s="10">
        <f t="shared" si="90"/>
        <v>0</v>
      </c>
      <c r="P1141" s="10">
        <f>IFERROR(SUMIFS('Base bordo CD'!M$2:M$875,'Base bordo CD'!D$2:D$875,A1141,'Base bordo CD'!A$2:A$875,B1141),0)</f>
        <v>0</v>
      </c>
      <c r="Q1141" s="10">
        <f>IFERROR(SUMIFS('Base bordo CD'!O$2:O$875,'Base bordo CD'!D$2:D$875,A1141,'Base bordo CD'!A$2:A$875,B1141,'Base bordo CD'!L$2:L$875,"CORTE DE CANA MECANIZADO"),0)</f>
        <v>0</v>
      </c>
      <c r="R1141" s="10">
        <f>IFERROR(SUMIFS('Base bordo CD'!Q$2:Q$875,'Base bordo CD'!D$2:D$875,A1141,'Base bordo CD'!A$2:A$875,B1141,'Base bordo CD'!L$2:L$875,"CORTE DE CANA MECANIZADO"),0)</f>
        <v>0</v>
      </c>
      <c r="S1141" s="30" t="str">
        <f t="shared" si="91"/>
        <v/>
      </c>
      <c r="T1141" s="9">
        <f t="shared" si="92"/>
        <v>0</v>
      </c>
      <c r="U1141" s="9">
        <f t="shared" si="93"/>
        <v>0</v>
      </c>
      <c r="V1141" s="9">
        <f t="shared" si="94"/>
        <v>0</v>
      </c>
    </row>
    <row r="1142" spans="1:22" hidden="1" x14ac:dyDescent="0.35">
      <c r="A1142" s="52">
        <v>49592</v>
      </c>
      <c r="B1142" s="31">
        <v>46117</v>
      </c>
      <c r="C1142" s="7" t="s">
        <v>364</v>
      </c>
      <c r="D1142" s="7">
        <v>352</v>
      </c>
      <c r="E1142" s="10">
        <f>IFERROR(SUMIFS('Base bordo CD'!M$2:M$875,'Base bordo CD'!D$2:D$875,A1142,'Base bordo CD'!A$2:A$875,B1142,'Base bordo CD'!L$2:L$875,"CORTE DE CANA MECANIZADO"),0)</f>
        <v>0</v>
      </c>
      <c r="F1142" s="10">
        <f>IFERROR(SUMIFS('Base bordo CD'!M$2:M$875,'Base bordo CD'!D$2:D$875,A1142,'Base bordo CD'!A$2:A$875,B1142,'Base bordo CD'!L$2:L$875,"MANOBRA"),0)</f>
        <v>0</v>
      </c>
      <c r="G1142" s="10">
        <f>IFERROR(SUMIFS('Base bordo CD'!M$2:M$875,'Base bordo CD'!D$2:D$875,A1142,'Base bordo CD'!A$2:A$875,B1142,'Base bordo CD'!L$2:L$875,"DESLOCAMENTO"),0)</f>
        <v>0</v>
      </c>
      <c r="H1142" s="10">
        <f>IFERROR(SUMIFS('Base bordo CD'!M$2:M$875,'Base bordo CD'!D$2:D$875,A1142,'Base bordo CD'!A$2:A$875,B1142,'Base bordo CD'!L$2:L$875,"AGUARDANDO MANOBRA DE TRANSBORDO"),0)+IFERROR(SUMIFS('Base bordo CD'!M$2:M$875,'Base bordo CD'!D$2:D$875,A1142,'Base bordo CD'!A$2:A$875,B1142,'Base bordo CD'!L$2:L$875,"FALTA DE TRANSBORDO"),0)</f>
        <v>0</v>
      </c>
      <c r="I1142" s="10">
        <f>IFERROR(SUMIFS('Base bordo CD'!M$2:M$875,'Base bordo CD'!D$2:D$875,A1142,'Base bordo CD'!A$2:A$875,B1142,'Base bordo CD'!L$2:L$875,"PARADA POR CONDICOES CLIMATICAS"),0)+IFERROR(SUMIFS('Base bordo CD'!M$2:M$875,'Base bordo CD'!D$2:D$875,A1142,'Base bordo CD'!A$2:A$875,B1142,'Base bordo CD'!L$2:L$875,"TEMPO INDETERMINADO"),0)</f>
        <v>0</v>
      </c>
      <c r="J1142" s="10">
        <f>IFERROR(SUMIFS('Base bordo CD'!M$2:M$875,'Base bordo CD'!D$2:D$875,A1142,'Base bordo CD'!A$2:A$875,B1142,'Base bordo CD'!L$2:L$875,"LIMITAÇÃO INDÚSTRIA"),0)</f>
        <v>0</v>
      </c>
      <c r="K1142" s="10">
        <f>IFERROR(SUMIFS('Base bordo CD'!M$2:M$875,'Base bordo CD'!D$2:D$875,A1142,'Base bordo CD'!A$2:A$875,B1142,'Base bordo CD'!L$2:L$875,"MAN CORRETIVA*"),0)+IFERROR(SUMIFS('Base bordo CD'!M$2:M$875,'Base bordo CD'!D$2:D$875,A1142,'Base bordo CD'!A$2:A$875,B1142,'Base bordo CD'!L$2:L$875,"AGUARDANDO MANUTENCAO*"),0)+IFERROR(SUMIFS('Base bordo CD'!M$2:M$875,'Base bordo CD'!D$2:D$875,A1142,'Base bordo CD'!A$2:A$875,B1142,'Base bordo CD'!L$2:L$875,"TROCA DE FAQUINHA"),0)+IFERROR(SUMIFS('Base bordo CD'!M$2:M$875,'Base bordo CD'!D$2:D$875,A1142,'Base bordo CD'!A$2:A$875,B1142,'Base bordo CD'!L$2:L$875,"LIMPEZA*"),0)</f>
        <v>0</v>
      </c>
      <c r="L1142" s="10">
        <f>IFERROR(SUMIFS('Base bordo CD'!M$2:M$875,'Base bordo CD'!D$2:D$875,A1142,'Base bordo CD'!A$2:A$875,B1142,'Base bordo CD'!L$2:L$875,"PATIO - RESERVA"),0)</f>
        <v>0</v>
      </c>
      <c r="M1142" s="10">
        <f>IFERROR(SUMIFS('Base bordo CD'!M$2:M$875,'Base bordo CD'!D$2:D$875,A1142,'Base bordo CD'!A$2:A$875,B1142,'Base bordo CD'!L$2:L$875,"SEM APONTAMENTO"),0)</f>
        <v>0</v>
      </c>
      <c r="N1142" s="10">
        <f>IFERROR(SUMIFS('Base bordo CD'!M$2:M$875,'Base bordo CD'!D$2:D$875,A1142,'Base bordo CD'!A$2:A$875,B1142,'Base bordo CD'!L$2:L$875,"FALTA DE CAMINHÃO"),0)+IFERROR(SUMIFS('Base bordo CD'!M$2:M$875,'Base bordo CD'!D$2:D$875,A1142,'Base bordo CD'!A$2:A$875,B1142,'Base bordo CD'!L$2:L$875,"FALTA DE COMBUSTIVEL"),0)+IFERROR(SUMIFS('Base bordo CD'!M$2:M$875,'Base bordo CD'!D$2:D$875,A1142,'Base bordo CD'!A$2:A$875,B1142,'Base bordo CD'!L$2:L$875,"FALTA DE MOTORIST*"),0)</f>
        <v>0</v>
      </c>
      <c r="O1142" s="10">
        <f t="shared" si="90"/>
        <v>0</v>
      </c>
      <c r="P1142" s="10">
        <f>IFERROR(SUMIFS('Base bordo CD'!M$2:M$875,'Base bordo CD'!D$2:D$875,A1142,'Base bordo CD'!A$2:A$875,B1142),0)</f>
        <v>0</v>
      </c>
      <c r="Q1142" s="10">
        <f>IFERROR(SUMIFS('Base bordo CD'!O$2:O$875,'Base bordo CD'!D$2:D$875,A1142,'Base bordo CD'!A$2:A$875,B1142,'Base bordo CD'!L$2:L$875,"CORTE DE CANA MECANIZADO"),0)</f>
        <v>0</v>
      </c>
      <c r="R1142" s="10">
        <f>IFERROR(SUMIFS('Base bordo CD'!Q$2:Q$875,'Base bordo CD'!D$2:D$875,A1142,'Base bordo CD'!A$2:A$875,B1142,'Base bordo CD'!L$2:L$875,"CORTE DE CANA MECANIZADO"),0)</f>
        <v>0</v>
      </c>
      <c r="S1142" s="30" t="str">
        <f t="shared" si="91"/>
        <v/>
      </c>
      <c r="T1142" s="9">
        <f t="shared" si="92"/>
        <v>0</v>
      </c>
      <c r="U1142" s="9">
        <f t="shared" si="93"/>
        <v>0</v>
      </c>
      <c r="V1142" s="9">
        <f t="shared" si="94"/>
        <v>0</v>
      </c>
    </row>
    <row r="1143" spans="1:22" hidden="1" x14ac:dyDescent="0.35">
      <c r="A1143" s="52">
        <v>49592</v>
      </c>
      <c r="B1143" s="31">
        <v>46117</v>
      </c>
      <c r="C1143" s="7" t="s">
        <v>364</v>
      </c>
      <c r="D1143" s="7">
        <v>352</v>
      </c>
      <c r="E1143" s="10">
        <f>IFERROR(SUMIFS('Base bordo CD'!M$2:M$875,'Base bordo CD'!D$2:D$875,A1143,'Base bordo CD'!A$2:A$875,B1143,'Base bordo CD'!L$2:L$875,"CORTE DE CANA MECANIZADO"),0)</f>
        <v>0</v>
      </c>
      <c r="F1143" s="10">
        <f>IFERROR(SUMIFS('Base bordo CD'!M$2:M$875,'Base bordo CD'!D$2:D$875,A1143,'Base bordo CD'!A$2:A$875,B1143,'Base bordo CD'!L$2:L$875,"MANOBRA"),0)</f>
        <v>0</v>
      </c>
      <c r="G1143" s="10">
        <f>IFERROR(SUMIFS('Base bordo CD'!M$2:M$875,'Base bordo CD'!D$2:D$875,A1143,'Base bordo CD'!A$2:A$875,B1143,'Base bordo CD'!L$2:L$875,"DESLOCAMENTO"),0)</f>
        <v>0</v>
      </c>
      <c r="H1143" s="10">
        <f>IFERROR(SUMIFS('Base bordo CD'!M$2:M$875,'Base bordo CD'!D$2:D$875,A1143,'Base bordo CD'!A$2:A$875,B1143,'Base bordo CD'!L$2:L$875,"AGUARDANDO MANOBRA DE TRANSBORDO"),0)+IFERROR(SUMIFS('Base bordo CD'!M$2:M$875,'Base bordo CD'!D$2:D$875,A1143,'Base bordo CD'!A$2:A$875,B1143,'Base bordo CD'!L$2:L$875,"FALTA DE TRANSBORDO"),0)</f>
        <v>0</v>
      </c>
      <c r="I1143" s="10">
        <f>IFERROR(SUMIFS('Base bordo CD'!M$2:M$875,'Base bordo CD'!D$2:D$875,A1143,'Base bordo CD'!A$2:A$875,B1143,'Base bordo CD'!L$2:L$875,"PARADA POR CONDICOES CLIMATICAS"),0)+IFERROR(SUMIFS('Base bordo CD'!M$2:M$875,'Base bordo CD'!D$2:D$875,A1143,'Base bordo CD'!A$2:A$875,B1143,'Base bordo CD'!L$2:L$875,"TEMPO INDETERMINADO"),0)</f>
        <v>0</v>
      </c>
      <c r="J1143" s="10">
        <f>IFERROR(SUMIFS('Base bordo CD'!M$2:M$875,'Base bordo CD'!D$2:D$875,A1143,'Base bordo CD'!A$2:A$875,B1143,'Base bordo CD'!L$2:L$875,"LIMITAÇÃO INDÚSTRIA"),0)</f>
        <v>0</v>
      </c>
      <c r="K1143" s="10">
        <f>IFERROR(SUMIFS('Base bordo CD'!M$2:M$875,'Base bordo CD'!D$2:D$875,A1143,'Base bordo CD'!A$2:A$875,B1143,'Base bordo CD'!L$2:L$875,"MAN CORRETIVA*"),0)+IFERROR(SUMIFS('Base bordo CD'!M$2:M$875,'Base bordo CD'!D$2:D$875,A1143,'Base bordo CD'!A$2:A$875,B1143,'Base bordo CD'!L$2:L$875,"AGUARDANDO MANUTENCAO*"),0)+IFERROR(SUMIFS('Base bordo CD'!M$2:M$875,'Base bordo CD'!D$2:D$875,A1143,'Base bordo CD'!A$2:A$875,B1143,'Base bordo CD'!L$2:L$875,"TROCA DE FAQUINHA"),0)+IFERROR(SUMIFS('Base bordo CD'!M$2:M$875,'Base bordo CD'!D$2:D$875,A1143,'Base bordo CD'!A$2:A$875,B1143,'Base bordo CD'!L$2:L$875,"LIMPEZA*"),0)</f>
        <v>0</v>
      </c>
      <c r="L1143" s="10">
        <f>IFERROR(SUMIFS('Base bordo CD'!M$2:M$875,'Base bordo CD'!D$2:D$875,A1143,'Base bordo CD'!A$2:A$875,B1143,'Base bordo CD'!L$2:L$875,"PATIO - RESERVA"),0)</f>
        <v>0</v>
      </c>
      <c r="M1143" s="10">
        <f>IFERROR(SUMIFS('Base bordo CD'!M$2:M$875,'Base bordo CD'!D$2:D$875,A1143,'Base bordo CD'!A$2:A$875,B1143,'Base bordo CD'!L$2:L$875,"SEM APONTAMENTO"),0)</f>
        <v>0</v>
      </c>
      <c r="N1143" s="10">
        <f>IFERROR(SUMIFS('Base bordo CD'!M$2:M$875,'Base bordo CD'!D$2:D$875,A1143,'Base bordo CD'!A$2:A$875,B1143,'Base bordo CD'!L$2:L$875,"FALTA DE CAMINHÃO"),0)+IFERROR(SUMIFS('Base bordo CD'!M$2:M$875,'Base bordo CD'!D$2:D$875,A1143,'Base bordo CD'!A$2:A$875,B1143,'Base bordo CD'!L$2:L$875,"FALTA DE COMBUSTIVEL"),0)+IFERROR(SUMIFS('Base bordo CD'!M$2:M$875,'Base bordo CD'!D$2:D$875,A1143,'Base bordo CD'!A$2:A$875,B1143,'Base bordo CD'!L$2:L$875,"FALTA DE MOTORIST*"),0)</f>
        <v>0</v>
      </c>
      <c r="O1143" s="10">
        <f t="shared" si="90"/>
        <v>0</v>
      </c>
      <c r="P1143" s="10">
        <f>IFERROR(SUMIFS('Base bordo CD'!M$2:M$875,'Base bordo CD'!D$2:D$875,A1143,'Base bordo CD'!A$2:A$875,B1143),0)</f>
        <v>0</v>
      </c>
      <c r="Q1143" s="10">
        <f>IFERROR(SUMIFS('Base bordo CD'!O$2:O$875,'Base bordo CD'!D$2:D$875,A1143,'Base bordo CD'!A$2:A$875,B1143,'Base bordo CD'!L$2:L$875,"CORTE DE CANA MECANIZADO"),0)</f>
        <v>0</v>
      </c>
      <c r="R1143" s="10">
        <f>IFERROR(SUMIFS('Base bordo CD'!Q$2:Q$875,'Base bordo CD'!D$2:D$875,A1143,'Base bordo CD'!A$2:A$875,B1143,'Base bordo CD'!L$2:L$875,"CORTE DE CANA MECANIZADO"),0)</f>
        <v>0</v>
      </c>
      <c r="S1143" s="30" t="str">
        <f t="shared" si="91"/>
        <v/>
      </c>
      <c r="T1143" s="9">
        <f t="shared" si="92"/>
        <v>0</v>
      </c>
      <c r="U1143" s="9">
        <f t="shared" si="93"/>
        <v>0</v>
      </c>
      <c r="V1143" s="9">
        <f t="shared" si="94"/>
        <v>0</v>
      </c>
    </row>
    <row r="1144" spans="1:22" hidden="1" x14ac:dyDescent="0.35">
      <c r="A1144" s="52">
        <v>49592</v>
      </c>
      <c r="B1144" s="31">
        <v>46117</v>
      </c>
      <c r="C1144" s="7" t="s">
        <v>364</v>
      </c>
      <c r="D1144" s="7">
        <v>352</v>
      </c>
      <c r="E1144" s="10">
        <f>IFERROR(SUMIFS('Base bordo CD'!M$2:M$875,'Base bordo CD'!D$2:D$875,A1144,'Base bordo CD'!A$2:A$875,B1144,'Base bordo CD'!L$2:L$875,"CORTE DE CANA MECANIZADO"),0)</f>
        <v>0</v>
      </c>
      <c r="F1144" s="10">
        <f>IFERROR(SUMIFS('Base bordo CD'!M$2:M$875,'Base bordo CD'!D$2:D$875,A1144,'Base bordo CD'!A$2:A$875,B1144,'Base bordo CD'!L$2:L$875,"MANOBRA"),0)</f>
        <v>0</v>
      </c>
      <c r="G1144" s="10">
        <f>IFERROR(SUMIFS('Base bordo CD'!M$2:M$875,'Base bordo CD'!D$2:D$875,A1144,'Base bordo CD'!A$2:A$875,B1144,'Base bordo CD'!L$2:L$875,"DESLOCAMENTO"),0)</f>
        <v>0</v>
      </c>
      <c r="H1144" s="10">
        <f>IFERROR(SUMIFS('Base bordo CD'!M$2:M$875,'Base bordo CD'!D$2:D$875,A1144,'Base bordo CD'!A$2:A$875,B1144,'Base bordo CD'!L$2:L$875,"AGUARDANDO MANOBRA DE TRANSBORDO"),0)+IFERROR(SUMIFS('Base bordo CD'!M$2:M$875,'Base bordo CD'!D$2:D$875,A1144,'Base bordo CD'!A$2:A$875,B1144,'Base bordo CD'!L$2:L$875,"FALTA DE TRANSBORDO"),0)</f>
        <v>0</v>
      </c>
      <c r="I1144" s="10">
        <f>IFERROR(SUMIFS('Base bordo CD'!M$2:M$875,'Base bordo CD'!D$2:D$875,A1144,'Base bordo CD'!A$2:A$875,B1144,'Base bordo CD'!L$2:L$875,"PARADA POR CONDICOES CLIMATICAS"),0)+IFERROR(SUMIFS('Base bordo CD'!M$2:M$875,'Base bordo CD'!D$2:D$875,A1144,'Base bordo CD'!A$2:A$875,B1144,'Base bordo CD'!L$2:L$875,"TEMPO INDETERMINADO"),0)</f>
        <v>0</v>
      </c>
      <c r="J1144" s="10">
        <f>IFERROR(SUMIFS('Base bordo CD'!M$2:M$875,'Base bordo CD'!D$2:D$875,A1144,'Base bordo CD'!A$2:A$875,B1144,'Base bordo CD'!L$2:L$875,"LIMITAÇÃO INDÚSTRIA"),0)</f>
        <v>0</v>
      </c>
      <c r="K1144" s="10">
        <f>IFERROR(SUMIFS('Base bordo CD'!M$2:M$875,'Base bordo CD'!D$2:D$875,A1144,'Base bordo CD'!A$2:A$875,B1144,'Base bordo CD'!L$2:L$875,"MAN CORRETIVA*"),0)+IFERROR(SUMIFS('Base bordo CD'!M$2:M$875,'Base bordo CD'!D$2:D$875,A1144,'Base bordo CD'!A$2:A$875,B1144,'Base bordo CD'!L$2:L$875,"AGUARDANDO MANUTENCAO*"),0)+IFERROR(SUMIFS('Base bordo CD'!M$2:M$875,'Base bordo CD'!D$2:D$875,A1144,'Base bordo CD'!A$2:A$875,B1144,'Base bordo CD'!L$2:L$875,"TROCA DE FAQUINHA"),0)+IFERROR(SUMIFS('Base bordo CD'!M$2:M$875,'Base bordo CD'!D$2:D$875,A1144,'Base bordo CD'!A$2:A$875,B1144,'Base bordo CD'!L$2:L$875,"LIMPEZA*"),0)</f>
        <v>0</v>
      </c>
      <c r="L1144" s="10">
        <f>IFERROR(SUMIFS('Base bordo CD'!M$2:M$875,'Base bordo CD'!D$2:D$875,A1144,'Base bordo CD'!A$2:A$875,B1144,'Base bordo CD'!L$2:L$875,"PATIO - RESERVA"),0)</f>
        <v>0</v>
      </c>
      <c r="M1144" s="10">
        <f>IFERROR(SUMIFS('Base bordo CD'!M$2:M$875,'Base bordo CD'!D$2:D$875,A1144,'Base bordo CD'!A$2:A$875,B1144,'Base bordo CD'!L$2:L$875,"SEM APONTAMENTO"),0)</f>
        <v>0</v>
      </c>
      <c r="N1144" s="10">
        <f>IFERROR(SUMIFS('Base bordo CD'!M$2:M$875,'Base bordo CD'!D$2:D$875,A1144,'Base bordo CD'!A$2:A$875,B1144,'Base bordo CD'!L$2:L$875,"FALTA DE CAMINHÃO"),0)+IFERROR(SUMIFS('Base bordo CD'!M$2:M$875,'Base bordo CD'!D$2:D$875,A1144,'Base bordo CD'!A$2:A$875,B1144,'Base bordo CD'!L$2:L$875,"FALTA DE COMBUSTIVEL"),0)+IFERROR(SUMIFS('Base bordo CD'!M$2:M$875,'Base bordo CD'!D$2:D$875,A1144,'Base bordo CD'!A$2:A$875,B1144,'Base bordo CD'!L$2:L$875,"FALTA DE MOTORIST*"),0)</f>
        <v>0</v>
      </c>
      <c r="O1144" s="10">
        <f t="shared" si="90"/>
        <v>0</v>
      </c>
      <c r="P1144" s="10">
        <f>IFERROR(SUMIFS('Base bordo CD'!M$2:M$875,'Base bordo CD'!D$2:D$875,A1144,'Base bordo CD'!A$2:A$875,B1144),0)</f>
        <v>0</v>
      </c>
      <c r="Q1144" s="10">
        <f>IFERROR(SUMIFS('Base bordo CD'!O$2:O$875,'Base bordo CD'!D$2:D$875,A1144,'Base bordo CD'!A$2:A$875,B1144,'Base bordo CD'!L$2:L$875,"CORTE DE CANA MECANIZADO"),0)</f>
        <v>0</v>
      </c>
      <c r="R1144" s="10">
        <f>IFERROR(SUMIFS('Base bordo CD'!Q$2:Q$875,'Base bordo CD'!D$2:D$875,A1144,'Base bordo CD'!A$2:A$875,B1144,'Base bordo CD'!L$2:L$875,"CORTE DE CANA MECANIZADO"),0)</f>
        <v>0</v>
      </c>
      <c r="S1144" s="30" t="str">
        <f t="shared" si="91"/>
        <v/>
      </c>
      <c r="T1144" s="9">
        <f t="shared" si="92"/>
        <v>0</v>
      </c>
      <c r="U1144" s="9">
        <f t="shared" si="93"/>
        <v>0</v>
      </c>
      <c r="V1144" s="9">
        <f t="shared" si="94"/>
        <v>0</v>
      </c>
    </row>
    <row r="1145" spans="1:22" hidden="1" x14ac:dyDescent="0.35">
      <c r="A1145" s="52">
        <v>49592</v>
      </c>
      <c r="B1145" s="31">
        <v>46117</v>
      </c>
      <c r="C1145" s="7" t="s">
        <v>364</v>
      </c>
      <c r="D1145" s="7">
        <v>352</v>
      </c>
      <c r="E1145" s="10">
        <f>IFERROR(SUMIFS('Base bordo CD'!M$2:M$875,'Base bordo CD'!D$2:D$875,A1145,'Base bordo CD'!A$2:A$875,B1145,'Base bordo CD'!L$2:L$875,"CORTE DE CANA MECANIZADO"),0)</f>
        <v>0</v>
      </c>
      <c r="F1145" s="10">
        <f>IFERROR(SUMIFS('Base bordo CD'!M$2:M$875,'Base bordo CD'!D$2:D$875,A1145,'Base bordo CD'!A$2:A$875,B1145,'Base bordo CD'!L$2:L$875,"MANOBRA"),0)</f>
        <v>0</v>
      </c>
      <c r="G1145" s="10">
        <f>IFERROR(SUMIFS('Base bordo CD'!M$2:M$875,'Base bordo CD'!D$2:D$875,A1145,'Base bordo CD'!A$2:A$875,B1145,'Base bordo CD'!L$2:L$875,"DESLOCAMENTO"),0)</f>
        <v>0</v>
      </c>
      <c r="H1145" s="10">
        <f>IFERROR(SUMIFS('Base bordo CD'!M$2:M$875,'Base bordo CD'!D$2:D$875,A1145,'Base bordo CD'!A$2:A$875,B1145,'Base bordo CD'!L$2:L$875,"AGUARDANDO MANOBRA DE TRANSBORDO"),0)+IFERROR(SUMIFS('Base bordo CD'!M$2:M$875,'Base bordo CD'!D$2:D$875,A1145,'Base bordo CD'!A$2:A$875,B1145,'Base bordo CD'!L$2:L$875,"FALTA DE TRANSBORDO"),0)</f>
        <v>0</v>
      </c>
      <c r="I1145" s="10">
        <f>IFERROR(SUMIFS('Base bordo CD'!M$2:M$875,'Base bordo CD'!D$2:D$875,A1145,'Base bordo CD'!A$2:A$875,B1145,'Base bordo CD'!L$2:L$875,"PARADA POR CONDICOES CLIMATICAS"),0)+IFERROR(SUMIFS('Base bordo CD'!M$2:M$875,'Base bordo CD'!D$2:D$875,A1145,'Base bordo CD'!A$2:A$875,B1145,'Base bordo CD'!L$2:L$875,"TEMPO INDETERMINADO"),0)</f>
        <v>0</v>
      </c>
      <c r="J1145" s="10">
        <f>IFERROR(SUMIFS('Base bordo CD'!M$2:M$875,'Base bordo CD'!D$2:D$875,A1145,'Base bordo CD'!A$2:A$875,B1145,'Base bordo CD'!L$2:L$875,"LIMITAÇÃO INDÚSTRIA"),0)</f>
        <v>0</v>
      </c>
      <c r="K1145" s="10">
        <f>IFERROR(SUMIFS('Base bordo CD'!M$2:M$875,'Base bordo CD'!D$2:D$875,A1145,'Base bordo CD'!A$2:A$875,B1145,'Base bordo CD'!L$2:L$875,"MAN CORRETIVA*"),0)+IFERROR(SUMIFS('Base bordo CD'!M$2:M$875,'Base bordo CD'!D$2:D$875,A1145,'Base bordo CD'!A$2:A$875,B1145,'Base bordo CD'!L$2:L$875,"AGUARDANDO MANUTENCAO*"),0)+IFERROR(SUMIFS('Base bordo CD'!M$2:M$875,'Base bordo CD'!D$2:D$875,A1145,'Base bordo CD'!A$2:A$875,B1145,'Base bordo CD'!L$2:L$875,"TROCA DE FAQUINHA"),0)+IFERROR(SUMIFS('Base bordo CD'!M$2:M$875,'Base bordo CD'!D$2:D$875,A1145,'Base bordo CD'!A$2:A$875,B1145,'Base bordo CD'!L$2:L$875,"LIMPEZA*"),0)</f>
        <v>0</v>
      </c>
      <c r="L1145" s="10">
        <f>IFERROR(SUMIFS('Base bordo CD'!M$2:M$875,'Base bordo CD'!D$2:D$875,A1145,'Base bordo CD'!A$2:A$875,B1145,'Base bordo CD'!L$2:L$875,"PATIO - RESERVA"),0)</f>
        <v>0</v>
      </c>
      <c r="M1145" s="10">
        <f>IFERROR(SUMIFS('Base bordo CD'!M$2:M$875,'Base bordo CD'!D$2:D$875,A1145,'Base bordo CD'!A$2:A$875,B1145,'Base bordo CD'!L$2:L$875,"SEM APONTAMENTO"),0)</f>
        <v>0</v>
      </c>
      <c r="N1145" s="10">
        <f>IFERROR(SUMIFS('Base bordo CD'!M$2:M$875,'Base bordo CD'!D$2:D$875,A1145,'Base bordo CD'!A$2:A$875,B1145,'Base bordo CD'!L$2:L$875,"FALTA DE CAMINHÃO"),0)+IFERROR(SUMIFS('Base bordo CD'!M$2:M$875,'Base bordo CD'!D$2:D$875,A1145,'Base bordo CD'!A$2:A$875,B1145,'Base bordo CD'!L$2:L$875,"FALTA DE COMBUSTIVEL"),0)+IFERROR(SUMIFS('Base bordo CD'!M$2:M$875,'Base bordo CD'!D$2:D$875,A1145,'Base bordo CD'!A$2:A$875,B1145,'Base bordo CD'!L$2:L$875,"FALTA DE MOTORIST*"),0)</f>
        <v>0</v>
      </c>
      <c r="O1145" s="10">
        <f t="shared" si="90"/>
        <v>0</v>
      </c>
      <c r="P1145" s="10">
        <f>IFERROR(SUMIFS('Base bordo CD'!M$2:M$875,'Base bordo CD'!D$2:D$875,A1145,'Base bordo CD'!A$2:A$875,B1145),0)</f>
        <v>0</v>
      </c>
      <c r="Q1145" s="10">
        <f>IFERROR(SUMIFS('Base bordo CD'!O$2:O$875,'Base bordo CD'!D$2:D$875,A1145,'Base bordo CD'!A$2:A$875,B1145,'Base bordo CD'!L$2:L$875,"CORTE DE CANA MECANIZADO"),0)</f>
        <v>0</v>
      </c>
      <c r="R1145" s="10">
        <f>IFERROR(SUMIFS('Base bordo CD'!Q$2:Q$875,'Base bordo CD'!D$2:D$875,A1145,'Base bordo CD'!A$2:A$875,B1145,'Base bordo CD'!L$2:L$875,"CORTE DE CANA MECANIZADO"),0)</f>
        <v>0</v>
      </c>
      <c r="S1145" s="30" t="str">
        <f t="shared" si="91"/>
        <v/>
      </c>
      <c r="T1145" s="9">
        <f t="shared" si="92"/>
        <v>0</v>
      </c>
      <c r="U1145" s="9">
        <f t="shared" si="93"/>
        <v>0</v>
      </c>
      <c r="V1145" s="9">
        <f t="shared" si="94"/>
        <v>0</v>
      </c>
    </row>
    <row r="1146" spans="1:22" hidden="1" x14ac:dyDescent="0.35">
      <c r="A1146" s="52">
        <v>49592</v>
      </c>
      <c r="B1146" s="31">
        <v>46117</v>
      </c>
      <c r="C1146" s="7" t="s">
        <v>364</v>
      </c>
      <c r="D1146" s="7">
        <v>352</v>
      </c>
      <c r="E1146" s="10">
        <f>IFERROR(SUMIFS('Base bordo CD'!M$2:M$875,'Base bordo CD'!D$2:D$875,A1146,'Base bordo CD'!A$2:A$875,B1146,'Base bordo CD'!L$2:L$875,"CORTE DE CANA MECANIZADO"),0)</f>
        <v>0</v>
      </c>
      <c r="F1146" s="10">
        <f>IFERROR(SUMIFS('Base bordo CD'!M$2:M$875,'Base bordo CD'!D$2:D$875,A1146,'Base bordo CD'!A$2:A$875,B1146,'Base bordo CD'!L$2:L$875,"MANOBRA"),0)</f>
        <v>0</v>
      </c>
      <c r="G1146" s="10">
        <f>IFERROR(SUMIFS('Base bordo CD'!M$2:M$875,'Base bordo CD'!D$2:D$875,A1146,'Base bordo CD'!A$2:A$875,B1146,'Base bordo CD'!L$2:L$875,"DESLOCAMENTO"),0)</f>
        <v>0</v>
      </c>
      <c r="H1146" s="10">
        <f>IFERROR(SUMIFS('Base bordo CD'!M$2:M$875,'Base bordo CD'!D$2:D$875,A1146,'Base bordo CD'!A$2:A$875,B1146,'Base bordo CD'!L$2:L$875,"AGUARDANDO MANOBRA DE TRANSBORDO"),0)+IFERROR(SUMIFS('Base bordo CD'!M$2:M$875,'Base bordo CD'!D$2:D$875,A1146,'Base bordo CD'!A$2:A$875,B1146,'Base bordo CD'!L$2:L$875,"FALTA DE TRANSBORDO"),0)</f>
        <v>0</v>
      </c>
      <c r="I1146" s="10">
        <f>IFERROR(SUMIFS('Base bordo CD'!M$2:M$875,'Base bordo CD'!D$2:D$875,A1146,'Base bordo CD'!A$2:A$875,B1146,'Base bordo CD'!L$2:L$875,"PARADA POR CONDICOES CLIMATICAS"),0)+IFERROR(SUMIFS('Base bordo CD'!M$2:M$875,'Base bordo CD'!D$2:D$875,A1146,'Base bordo CD'!A$2:A$875,B1146,'Base bordo CD'!L$2:L$875,"TEMPO INDETERMINADO"),0)</f>
        <v>0</v>
      </c>
      <c r="J1146" s="10">
        <f>IFERROR(SUMIFS('Base bordo CD'!M$2:M$875,'Base bordo CD'!D$2:D$875,A1146,'Base bordo CD'!A$2:A$875,B1146,'Base bordo CD'!L$2:L$875,"LIMITAÇÃO INDÚSTRIA"),0)</f>
        <v>0</v>
      </c>
      <c r="K1146" s="10">
        <f>IFERROR(SUMIFS('Base bordo CD'!M$2:M$875,'Base bordo CD'!D$2:D$875,A1146,'Base bordo CD'!A$2:A$875,B1146,'Base bordo CD'!L$2:L$875,"MAN CORRETIVA*"),0)+IFERROR(SUMIFS('Base bordo CD'!M$2:M$875,'Base bordo CD'!D$2:D$875,A1146,'Base bordo CD'!A$2:A$875,B1146,'Base bordo CD'!L$2:L$875,"AGUARDANDO MANUTENCAO*"),0)+IFERROR(SUMIFS('Base bordo CD'!M$2:M$875,'Base bordo CD'!D$2:D$875,A1146,'Base bordo CD'!A$2:A$875,B1146,'Base bordo CD'!L$2:L$875,"TROCA DE FAQUINHA"),0)+IFERROR(SUMIFS('Base bordo CD'!M$2:M$875,'Base bordo CD'!D$2:D$875,A1146,'Base bordo CD'!A$2:A$875,B1146,'Base bordo CD'!L$2:L$875,"LIMPEZA*"),0)</f>
        <v>0</v>
      </c>
      <c r="L1146" s="10">
        <f>IFERROR(SUMIFS('Base bordo CD'!M$2:M$875,'Base bordo CD'!D$2:D$875,A1146,'Base bordo CD'!A$2:A$875,B1146,'Base bordo CD'!L$2:L$875,"PATIO - RESERVA"),0)</f>
        <v>0</v>
      </c>
      <c r="M1146" s="10">
        <f>IFERROR(SUMIFS('Base bordo CD'!M$2:M$875,'Base bordo CD'!D$2:D$875,A1146,'Base bordo CD'!A$2:A$875,B1146,'Base bordo CD'!L$2:L$875,"SEM APONTAMENTO"),0)</f>
        <v>0</v>
      </c>
      <c r="N1146" s="10">
        <f>IFERROR(SUMIFS('Base bordo CD'!M$2:M$875,'Base bordo CD'!D$2:D$875,A1146,'Base bordo CD'!A$2:A$875,B1146,'Base bordo CD'!L$2:L$875,"FALTA DE CAMINHÃO"),0)+IFERROR(SUMIFS('Base bordo CD'!M$2:M$875,'Base bordo CD'!D$2:D$875,A1146,'Base bordo CD'!A$2:A$875,B1146,'Base bordo CD'!L$2:L$875,"FALTA DE COMBUSTIVEL"),0)+IFERROR(SUMIFS('Base bordo CD'!M$2:M$875,'Base bordo CD'!D$2:D$875,A1146,'Base bordo CD'!A$2:A$875,B1146,'Base bordo CD'!L$2:L$875,"FALTA DE MOTORIST*"),0)</f>
        <v>0</v>
      </c>
      <c r="O1146" s="10">
        <f t="shared" si="90"/>
        <v>0</v>
      </c>
      <c r="P1146" s="10">
        <f>IFERROR(SUMIFS('Base bordo CD'!M$2:M$875,'Base bordo CD'!D$2:D$875,A1146,'Base bordo CD'!A$2:A$875,B1146),0)</f>
        <v>0</v>
      </c>
      <c r="Q1146" s="10">
        <f>IFERROR(SUMIFS('Base bordo CD'!O$2:O$875,'Base bordo CD'!D$2:D$875,A1146,'Base bordo CD'!A$2:A$875,B1146,'Base bordo CD'!L$2:L$875,"CORTE DE CANA MECANIZADO"),0)</f>
        <v>0</v>
      </c>
      <c r="R1146" s="10">
        <f>IFERROR(SUMIFS('Base bordo CD'!Q$2:Q$875,'Base bordo CD'!D$2:D$875,A1146,'Base bordo CD'!A$2:A$875,B1146,'Base bordo CD'!L$2:L$875,"CORTE DE CANA MECANIZADO"),0)</f>
        <v>0</v>
      </c>
      <c r="S1146" s="30" t="str">
        <f t="shared" si="91"/>
        <v/>
      </c>
      <c r="T1146" s="9">
        <f t="shared" si="92"/>
        <v>0</v>
      </c>
      <c r="U1146" s="9">
        <f t="shared" si="93"/>
        <v>0</v>
      </c>
      <c r="V1146" s="9">
        <f t="shared" si="94"/>
        <v>0</v>
      </c>
    </row>
    <row r="1147" spans="1:22" hidden="1" x14ac:dyDescent="0.35">
      <c r="A1147" s="52">
        <v>49592</v>
      </c>
      <c r="B1147" s="31">
        <v>46117</v>
      </c>
      <c r="C1147" s="7" t="s">
        <v>364</v>
      </c>
      <c r="D1147" s="7">
        <v>352</v>
      </c>
      <c r="E1147" s="10">
        <f>IFERROR(SUMIFS('Base bordo CD'!M$2:M$875,'Base bordo CD'!D$2:D$875,A1147,'Base bordo CD'!A$2:A$875,B1147,'Base bordo CD'!L$2:L$875,"CORTE DE CANA MECANIZADO"),0)</f>
        <v>0</v>
      </c>
      <c r="F1147" s="10">
        <f>IFERROR(SUMIFS('Base bordo CD'!M$2:M$875,'Base bordo CD'!D$2:D$875,A1147,'Base bordo CD'!A$2:A$875,B1147,'Base bordo CD'!L$2:L$875,"MANOBRA"),0)</f>
        <v>0</v>
      </c>
      <c r="G1147" s="10">
        <f>IFERROR(SUMIFS('Base bordo CD'!M$2:M$875,'Base bordo CD'!D$2:D$875,A1147,'Base bordo CD'!A$2:A$875,B1147,'Base bordo CD'!L$2:L$875,"DESLOCAMENTO"),0)</f>
        <v>0</v>
      </c>
      <c r="H1147" s="10">
        <f>IFERROR(SUMIFS('Base bordo CD'!M$2:M$875,'Base bordo CD'!D$2:D$875,A1147,'Base bordo CD'!A$2:A$875,B1147,'Base bordo CD'!L$2:L$875,"AGUARDANDO MANOBRA DE TRANSBORDO"),0)+IFERROR(SUMIFS('Base bordo CD'!M$2:M$875,'Base bordo CD'!D$2:D$875,A1147,'Base bordo CD'!A$2:A$875,B1147,'Base bordo CD'!L$2:L$875,"FALTA DE TRANSBORDO"),0)</f>
        <v>0</v>
      </c>
      <c r="I1147" s="10">
        <f>IFERROR(SUMIFS('Base bordo CD'!M$2:M$875,'Base bordo CD'!D$2:D$875,A1147,'Base bordo CD'!A$2:A$875,B1147,'Base bordo CD'!L$2:L$875,"PARADA POR CONDICOES CLIMATICAS"),0)+IFERROR(SUMIFS('Base bordo CD'!M$2:M$875,'Base bordo CD'!D$2:D$875,A1147,'Base bordo CD'!A$2:A$875,B1147,'Base bordo CD'!L$2:L$875,"TEMPO INDETERMINADO"),0)</f>
        <v>0</v>
      </c>
      <c r="J1147" s="10">
        <f>IFERROR(SUMIFS('Base bordo CD'!M$2:M$875,'Base bordo CD'!D$2:D$875,A1147,'Base bordo CD'!A$2:A$875,B1147,'Base bordo CD'!L$2:L$875,"LIMITAÇÃO INDÚSTRIA"),0)</f>
        <v>0</v>
      </c>
      <c r="K1147" s="10">
        <f>IFERROR(SUMIFS('Base bordo CD'!M$2:M$875,'Base bordo CD'!D$2:D$875,A1147,'Base bordo CD'!A$2:A$875,B1147,'Base bordo CD'!L$2:L$875,"MAN CORRETIVA*"),0)+IFERROR(SUMIFS('Base bordo CD'!M$2:M$875,'Base bordo CD'!D$2:D$875,A1147,'Base bordo CD'!A$2:A$875,B1147,'Base bordo CD'!L$2:L$875,"AGUARDANDO MANUTENCAO*"),0)+IFERROR(SUMIFS('Base bordo CD'!M$2:M$875,'Base bordo CD'!D$2:D$875,A1147,'Base bordo CD'!A$2:A$875,B1147,'Base bordo CD'!L$2:L$875,"TROCA DE FAQUINHA"),0)+IFERROR(SUMIFS('Base bordo CD'!M$2:M$875,'Base bordo CD'!D$2:D$875,A1147,'Base bordo CD'!A$2:A$875,B1147,'Base bordo CD'!L$2:L$875,"LIMPEZA*"),0)</f>
        <v>0</v>
      </c>
      <c r="L1147" s="10">
        <f>IFERROR(SUMIFS('Base bordo CD'!M$2:M$875,'Base bordo CD'!D$2:D$875,A1147,'Base bordo CD'!A$2:A$875,B1147,'Base bordo CD'!L$2:L$875,"PATIO - RESERVA"),0)</f>
        <v>0</v>
      </c>
      <c r="M1147" s="10">
        <f>IFERROR(SUMIFS('Base bordo CD'!M$2:M$875,'Base bordo CD'!D$2:D$875,A1147,'Base bordo CD'!A$2:A$875,B1147,'Base bordo CD'!L$2:L$875,"SEM APONTAMENTO"),0)</f>
        <v>0</v>
      </c>
      <c r="N1147" s="10">
        <f>IFERROR(SUMIFS('Base bordo CD'!M$2:M$875,'Base bordo CD'!D$2:D$875,A1147,'Base bordo CD'!A$2:A$875,B1147,'Base bordo CD'!L$2:L$875,"FALTA DE CAMINHÃO"),0)+IFERROR(SUMIFS('Base bordo CD'!M$2:M$875,'Base bordo CD'!D$2:D$875,A1147,'Base bordo CD'!A$2:A$875,B1147,'Base bordo CD'!L$2:L$875,"FALTA DE COMBUSTIVEL"),0)+IFERROR(SUMIFS('Base bordo CD'!M$2:M$875,'Base bordo CD'!D$2:D$875,A1147,'Base bordo CD'!A$2:A$875,B1147,'Base bordo CD'!L$2:L$875,"FALTA DE MOTORIST*"),0)</f>
        <v>0</v>
      </c>
      <c r="O1147" s="10">
        <f t="shared" si="90"/>
        <v>0</v>
      </c>
      <c r="P1147" s="10">
        <f>IFERROR(SUMIFS('Base bordo CD'!M$2:M$875,'Base bordo CD'!D$2:D$875,A1147,'Base bordo CD'!A$2:A$875,B1147),0)</f>
        <v>0</v>
      </c>
      <c r="Q1147" s="10">
        <f>IFERROR(SUMIFS('Base bordo CD'!O$2:O$875,'Base bordo CD'!D$2:D$875,A1147,'Base bordo CD'!A$2:A$875,B1147,'Base bordo CD'!L$2:L$875,"CORTE DE CANA MECANIZADO"),0)</f>
        <v>0</v>
      </c>
      <c r="R1147" s="10">
        <f>IFERROR(SUMIFS('Base bordo CD'!Q$2:Q$875,'Base bordo CD'!D$2:D$875,A1147,'Base bordo CD'!A$2:A$875,B1147,'Base bordo CD'!L$2:L$875,"CORTE DE CANA MECANIZADO"),0)</f>
        <v>0</v>
      </c>
      <c r="S1147" s="30" t="str">
        <f t="shared" si="91"/>
        <v/>
      </c>
      <c r="T1147" s="9">
        <f t="shared" si="92"/>
        <v>0</v>
      </c>
      <c r="U1147" s="9">
        <f t="shared" si="93"/>
        <v>0</v>
      </c>
      <c r="V1147" s="9">
        <f t="shared" si="94"/>
        <v>0</v>
      </c>
    </row>
    <row r="1148" spans="1:22" hidden="1" x14ac:dyDescent="0.35">
      <c r="A1148" s="52">
        <v>49592</v>
      </c>
      <c r="B1148" s="31">
        <v>46117</v>
      </c>
      <c r="C1148" s="7" t="s">
        <v>364</v>
      </c>
      <c r="D1148" s="7">
        <v>352</v>
      </c>
      <c r="E1148" s="10">
        <f>IFERROR(SUMIFS('Base bordo CD'!M$2:M$875,'Base bordo CD'!D$2:D$875,A1148,'Base bordo CD'!A$2:A$875,B1148,'Base bordo CD'!L$2:L$875,"CORTE DE CANA MECANIZADO"),0)</f>
        <v>0</v>
      </c>
      <c r="F1148" s="10">
        <f>IFERROR(SUMIFS('Base bordo CD'!M$2:M$875,'Base bordo CD'!D$2:D$875,A1148,'Base bordo CD'!A$2:A$875,B1148,'Base bordo CD'!L$2:L$875,"MANOBRA"),0)</f>
        <v>0</v>
      </c>
      <c r="G1148" s="10">
        <f>IFERROR(SUMIFS('Base bordo CD'!M$2:M$875,'Base bordo CD'!D$2:D$875,A1148,'Base bordo CD'!A$2:A$875,B1148,'Base bordo CD'!L$2:L$875,"DESLOCAMENTO"),0)</f>
        <v>0</v>
      </c>
      <c r="H1148" s="10">
        <f>IFERROR(SUMIFS('Base bordo CD'!M$2:M$875,'Base bordo CD'!D$2:D$875,A1148,'Base bordo CD'!A$2:A$875,B1148,'Base bordo CD'!L$2:L$875,"AGUARDANDO MANOBRA DE TRANSBORDO"),0)+IFERROR(SUMIFS('Base bordo CD'!M$2:M$875,'Base bordo CD'!D$2:D$875,A1148,'Base bordo CD'!A$2:A$875,B1148,'Base bordo CD'!L$2:L$875,"FALTA DE TRANSBORDO"),0)</f>
        <v>0</v>
      </c>
      <c r="I1148" s="10">
        <f>IFERROR(SUMIFS('Base bordo CD'!M$2:M$875,'Base bordo CD'!D$2:D$875,A1148,'Base bordo CD'!A$2:A$875,B1148,'Base bordo CD'!L$2:L$875,"PARADA POR CONDICOES CLIMATICAS"),0)+IFERROR(SUMIFS('Base bordo CD'!M$2:M$875,'Base bordo CD'!D$2:D$875,A1148,'Base bordo CD'!A$2:A$875,B1148,'Base bordo CD'!L$2:L$875,"TEMPO INDETERMINADO"),0)</f>
        <v>0</v>
      </c>
      <c r="J1148" s="10">
        <f>IFERROR(SUMIFS('Base bordo CD'!M$2:M$875,'Base bordo CD'!D$2:D$875,A1148,'Base bordo CD'!A$2:A$875,B1148,'Base bordo CD'!L$2:L$875,"LIMITAÇÃO INDÚSTRIA"),0)</f>
        <v>0</v>
      </c>
      <c r="K1148" s="10">
        <f>IFERROR(SUMIFS('Base bordo CD'!M$2:M$875,'Base bordo CD'!D$2:D$875,A1148,'Base bordo CD'!A$2:A$875,B1148,'Base bordo CD'!L$2:L$875,"MAN CORRETIVA*"),0)+IFERROR(SUMIFS('Base bordo CD'!M$2:M$875,'Base bordo CD'!D$2:D$875,A1148,'Base bordo CD'!A$2:A$875,B1148,'Base bordo CD'!L$2:L$875,"AGUARDANDO MANUTENCAO*"),0)+IFERROR(SUMIFS('Base bordo CD'!M$2:M$875,'Base bordo CD'!D$2:D$875,A1148,'Base bordo CD'!A$2:A$875,B1148,'Base bordo CD'!L$2:L$875,"TROCA DE FAQUINHA"),0)+IFERROR(SUMIFS('Base bordo CD'!M$2:M$875,'Base bordo CD'!D$2:D$875,A1148,'Base bordo CD'!A$2:A$875,B1148,'Base bordo CD'!L$2:L$875,"LIMPEZA*"),0)</f>
        <v>0</v>
      </c>
      <c r="L1148" s="10">
        <f>IFERROR(SUMIFS('Base bordo CD'!M$2:M$875,'Base bordo CD'!D$2:D$875,A1148,'Base bordo CD'!A$2:A$875,B1148,'Base bordo CD'!L$2:L$875,"PATIO - RESERVA"),0)</f>
        <v>0</v>
      </c>
      <c r="M1148" s="10">
        <f>IFERROR(SUMIFS('Base bordo CD'!M$2:M$875,'Base bordo CD'!D$2:D$875,A1148,'Base bordo CD'!A$2:A$875,B1148,'Base bordo CD'!L$2:L$875,"SEM APONTAMENTO"),0)</f>
        <v>0</v>
      </c>
      <c r="N1148" s="10">
        <f>IFERROR(SUMIFS('Base bordo CD'!M$2:M$875,'Base bordo CD'!D$2:D$875,A1148,'Base bordo CD'!A$2:A$875,B1148,'Base bordo CD'!L$2:L$875,"FALTA DE CAMINHÃO"),0)+IFERROR(SUMIFS('Base bordo CD'!M$2:M$875,'Base bordo CD'!D$2:D$875,A1148,'Base bordo CD'!A$2:A$875,B1148,'Base bordo CD'!L$2:L$875,"FALTA DE COMBUSTIVEL"),0)+IFERROR(SUMIFS('Base bordo CD'!M$2:M$875,'Base bordo CD'!D$2:D$875,A1148,'Base bordo CD'!A$2:A$875,B1148,'Base bordo CD'!L$2:L$875,"FALTA DE MOTORIST*"),0)</f>
        <v>0</v>
      </c>
      <c r="O1148" s="10">
        <f t="shared" si="90"/>
        <v>0</v>
      </c>
      <c r="P1148" s="10">
        <f>IFERROR(SUMIFS('Base bordo CD'!M$2:M$875,'Base bordo CD'!D$2:D$875,A1148,'Base bordo CD'!A$2:A$875,B1148),0)</f>
        <v>0</v>
      </c>
      <c r="Q1148" s="10">
        <f>IFERROR(SUMIFS('Base bordo CD'!O$2:O$875,'Base bordo CD'!D$2:D$875,A1148,'Base bordo CD'!A$2:A$875,B1148,'Base bordo CD'!L$2:L$875,"CORTE DE CANA MECANIZADO"),0)</f>
        <v>0</v>
      </c>
      <c r="R1148" s="10">
        <f>IFERROR(SUMIFS('Base bordo CD'!Q$2:Q$875,'Base bordo CD'!D$2:D$875,A1148,'Base bordo CD'!A$2:A$875,B1148,'Base bordo CD'!L$2:L$875,"CORTE DE CANA MECANIZADO"),0)</f>
        <v>0</v>
      </c>
      <c r="S1148" s="30" t="str">
        <f t="shared" si="91"/>
        <v/>
      </c>
      <c r="T1148" s="9">
        <f t="shared" si="92"/>
        <v>0</v>
      </c>
      <c r="U1148" s="9">
        <f t="shared" si="93"/>
        <v>0</v>
      </c>
      <c r="V1148" s="9">
        <f t="shared" si="94"/>
        <v>0</v>
      </c>
    </row>
    <row r="1149" spans="1:22" hidden="1" x14ac:dyDescent="0.35">
      <c r="A1149" s="52">
        <v>49592</v>
      </c>
      <c r="B1149" s="31">
        <v>46117</v>
      </c>
      <c r="C1149" s="7" t="s">
        <v>364</v>
      </c>
      <c r="D1149" s="7">
        <v>352</v>
      </c>
      <c r="E1149" s="10">
        <f>IFERROR(SUMIFS('Base bordo CD'!M$2:M$875,'Base bordo CD'!D$2:D$875,A1149,'Base bordo CD'!A$2:A$875,B1149,'Base bordo CD'!L$2:L$875,"CORTE DE CANA MECANIZADO"),0)</f>
        <v>0</v>
      </c>
      <c r="F1149" s="10">
        <f>IFERROR(SUMIFS('Base bordo CD'!M$2:M$875,'Base bordo CD'!D$2:D$875,A1149,'Base bordo CD'!A$2:A$875,B1149,'Base bordo CD'!L$2:L$875,"MANOBRA"),0)</f>
        <v>0</v>
      </c>
      <c r="G1149" s="10">
        <f>IFERROR(SUMIFS('Base bordo CD'!M$2:M$875,'Base bordo CD'!D$2:D$875,A1149,'Base bordo CD'!A$2:A$875,B1149,'Base bordo CD'!L$2:L$875,"DESLOCAMENTO"),0)</f>
        <v>0</v>
      </c>
      <c r="H1149" s="10">
        <f>IFERROR(SUMIFS('Base bordo CD'!M$2:M$875,'Base bordo CD'!D$2:D$875,A1149,'Base bordo CD'!A$2:A$875,B1149,'Base bordo CD'!L$2:L$875,"AGUARDANDO MANOBRA DE TRANSBORDO"),0)+IFERROR(SUMIFS('Base bordo CD'!M$2:M$875,'Base bordo CD'!D$2:D$875,A1149,'Base bordo CD'!A$2:A$875,B1149,'Base bordo CD'!L$2:L$875,"FALTA DE TRANSBORDO"),0)</f>
        <v>0</v>
      </c>
      <c r="I1149" s="10">
        <f>IFERROR(SUMIFS('Base bordo CD'!M$2:M$875,'Base bordo CD'!D$2:D$875,A1149,'Base bordo CD'!A$2:A$875,B1149,'Base bordo CD'!L$2:L$875,"PARADA POR CONDICOES CLIMATICAS"),0)+IFERROR(SUMIFS('Base bordo CD'!M$2:M$875,'Base bordo CD'!D$2:D$875,A1149,'Base bordo CD'!A$2:A$875,B1149,'Base bordo CD'!L$2:L$875,"TEMPO INDETERMINADO"),0)</f>
        <v>0</v>
      </c>
      <c r="J1149" s="10">
        <f>IFERROR(SUMIFS('Base bordo CD'!M$2:M$875,'Base bordo CD'!D$2:D$875,A1149,'Base bordo CD'!A$2:A$875,B1149,'Base bordo CD'!L$2:L$875,"LIMITAÇÃO INDÚSTRIA"),0)</f>
        <v>0</v>
      </c>
      <c r="K1149" s="10">
        <f>IFERROR(SUMIFS('Base bordo CD'!M$2:M$875,'Base bordo CD'!D$2:D$875,A1149,'Base bordo CD'!A$2:A$875,B1149,'Base bordo CD'!L$2:L$875,"MAN CORRETIVA*"),0)+IFERROR(SUMIFS('Base bordo CD'!M$2:M$875,'Base bordo CD'!D$2:D$875,A1149,'Base bordo CD'!A$2:A$875,B1149,'Base bordo CD'!L$2:L$875,"AGUARDANDO MANUTENCAO*"),0)+IFERROR(SUMIFS('Base bordo CD'!M$2:M$875,'Base bordo CD'!D$2:D$875,A1149,'Base bordo CD'!A$2:A$875,B1149,'Base bordo CD'!L$2:L$875,"TROCA DE FAQUINHA"),0)+IFERROR(SUMIFS('Base bordo CD'!M$2:M$875,'Base bordo CD'!D$2:D$875,A1149,'Base bordo CD'!A$2:A$875,B1149,'Base bordo CD'!L$2:L$875,"LIMPEZA*"),0)</f>
        <v>0</v>
      </c>
      <c r="L1149" s="10">
        <f>IFERROR(SUMIFS('Base bordo CD'!M$2:M$875,'Base bordo CD'!D$2:D$875,A1149,'Base bordo CD'!A$2:A$875,B1149,'Base bordo CD'!L$2:L$875,"PATIO - RESERVA"),0)</f>
        <v>0</v>
      </c>
      <c r="M1149" s="10">
        <f>IFERROR(SUMIFS('Base bordo CD'!M$2:M$875,'Base bordo CD'!D$2:D$875,A1149,'Base bordo CD'!A$2:A$875,B1149,'Base bordo CD'!L$2:L$875,"SEM APONTAMENTO"),0)</f>
        <v>0</v>
      </c>
      <c r="N1149" s="10">
        <f>IFERROR(SUMIFS('Base bordo CD'!M$2:M$875,'Base bordo CD'!D$2:D$875,A1149,'Base bordo CD'!A$2:A$875,B1149,'Base bordo CD'!L$2:L$875,"FALTA DE CAMINHÃO"),0)+IFERROR(SUMIFS('Base bordo CD'!M$2:M$875,'Base bordo CD'!D$2:D$875,A1149,'Base bordo CD'!A$2:A$875,B1149,'Base bordo CD'!L$2:L$875,"FALTA DE COMBUSTIVEL"),0)+IFERROR(SUMIFS('Base bordo CD'!M$2:M$875,'Base bordo CD'!D$2:D$875,A1149,'Base bordo CD'!A$2:A$875,B1149,'Base bordo CD'!L$2:L$875,"FALTA DE MOTORIST*"),0)</f>
        <v>0</v>
      </c>
      <c r="O1149" s="10">
        <f t="shared" si="90"/>
        <v>0</v>
      </c>
      <c r="P1149" s="10">
        <f>IFERROR(SUMIFS('Base bordo CD'!M$2:M$875,'Base bordo CD'!D$2:D$875,A1149,'Base bordo CD'!A$2:A$875,B1149),0)</f>
        <v>0</v>
      </c>
      <c r="Q1149" s="10">
        <f>IFERROR(SUMIFS('Base bordo CD'!O$2:O$875,'Base bordo CD'!D$2:D$875,A1149,'Base bordo CD'!A$2:A$875,B1149,'Base bordo CD'!L$2:L$875,"CORTE DE CANA MECANIZADO"),0)</f>
        <v>0</v>
      </c>
      <c r="R1149" s="10">
        <f>IFERROR(SUMIFS('Base bordo CD'!Q$2:Q$875,'Base bordo CD'!D$2:D$875,A1149,'Base bordo CD'!A$2:A$875,B1149,'Base bordo CD'!L$2:L$875,"CORTE DE CANA MECANIZADO"),0)</f>
        <v>0</v>
      </c>
      <c r="S1149" s="30" t="str">
        <f t="shared" si="91"/>
        <v/>
      </c>
      <c r="T1149" s="9">
        <f t="shared" si="92"/>
        <v>0</v>
      </c>
      <c r="U1149" s="9">
        <f t="shared" si="93"/>
        <v>0</v>
      </c>
      <c r="V1149" s="9">
        <f t="shared" si="94"/>
        <v>0</v>
      </c>
    </row>
    <row r="1150" spans="1:22" hidden="1" x14ac:dyDescent="0.35">
      <c r="A1150" s="52">
        <v>49592</v>
      </c>
      <c r="B1150" s="31">
        <v>46117</v>
      </c>
      <c r="C1150" s="7" t="s">
        <v>364</v>
      </c>
      <c r="D1150" s="7">
        <v>352</v>
      </c>
      <c r="E1150" s="10">
        <f>IFERROR(SUMIFS('Base bordo CD'!M$2:M$875,'Base bordo CD'!D$2:D$875,A1150,'Base bordo CD'!A$2:A$875,B1150,'Base bordo CD'!L$2:L$875,"CORTE DE CANA MECANIZADO"),0)</f>
        <v>0</v>
      </c>
      <c r="F1150" s="10">
        <f>IFERROR(SUMIFS('Base bordo CD'!M$2:M$875,'Base bordo CD'!D$2:D$875,A1150,'Base bordo CD'!A$2:A$875,B1150,'Base bordo CD'!L$2:L$875,"MANOBRA"),0)</f>
        <v>0</v>
      </c>
      <c r="G1150" s="10">
        <f>IFERROR(SUMIFS('Base bordo CD'!M$2:M$875,'Base bordo CD'!D$2:D$875,A1150,'Base bordo CD'!A$2:A$875,B1150,'Base bordo CD'!L$2:L$875,"DESLOCAMENTO"),0)</f>
        <v>0</v>
      </c>
      <c r="H1150" s="10">
        <f>IFERROR(SUMIFS('Base bordo CD'!M$2:M$875,'Base bordo CD'!D$2:D$875,A1150,'Base bordo CD'!A$2:A$875,B1150,'Base bordo CD'!L$2:L$875,"AGUARDANDO MANOBRA DE TRANSBORDO"),0)+IFERROR(SUMIFS('Base bordo CD'!M$2:M$875,'Base bordo CD'!D$2:D$875,A1150,'Base bordo CD'!A$2:A$875,B1150,'Base bordo CD'!L$2:L$875,"FALTA DE TRANSBORDO"),0)</f>
        <v>0</v>
      </c>
      <c r="I1150" s="10">
        <f>IFERROR(SUMIFS('Base bordo CD'!M$2:M$875,'Base bordo CD'!D$2:D$875,A1150,'Base bordo CD'!A$2:A$875,B1150,'Base bordo CD'!L$2:L$875,"PARADA POR CONDICOES CLIMATICAS"),0)+IFERROR(SUMIFS('Base bordo CD'!M$2:M$875,'Base bordo CD'!D$2:D$875,A1150,'Base bordo CD'!A$2:A$875,B1150,'Base bordo CD'!L$2:L$875,"TEMPO INDETERMINADO"),0)</f>
        <v>0</v>
      </c>
      <c r="J1150" s="10">
        <f>IFERROR(SUMIFS('Base bordo CD'!M$2:M$875,'Base bordo CD'!D$2:D$875,A1150,'Base bordo CD'!A$2:A$875,B1150,'Base bordo CD'!L$2:L$875,"LIMITAÇÃO INDÚSTRIA"),0)</f>
        <v>0</v>
      </c>
      <c r="K1150" s="10">
        <f>IFERROR(SUMIFS('Base bordo CD'!M$2:M$875,'Base bordo CD'!D$2:D$875,A1150,'Base bordo CD'!A$2:A$875,B1150,'Base bordo CD'!L$2:L$875,"MAN CORRETIVA*"),0)+IFERROR(SUMIFS('Base bordo CD'!M$2:M$875,'Base bordo CD'!D$2:D$875,A1150,'Base bordo CD'!A$2:A$875,B1150,'Base bordo CD'!L$2:L$875,"AGUARDANDO MANUTENCAO*"),0)+IFERROR(SUMIFS('Base bordo CD'!M$2:M$875,'Base bordo CD'!D$2:D$875,A1150,'Base bordo CD'!A$2:A$875,B1150,'Base bordo CD'!L$2:L$875,"TROCA DE FAQUINHA"),0)+IFERROR(SUMIFS('Base bordo CD'!M$2:M$875,'Base bordo CD'!D$2:D$875,A1150,'Base bordo CD'!A$2:A$875,B1150,'Base bordo CD'!L$2:L$875,"LIMPEZA*"),0)</f>
        <v>0</v>
      </c>
      <c r="L1150" s="10">
        <f>IFERROR(SUMIFS('Base bordo CD'!M$2:M$875,'Base bordo CD'!D$2:D$875,A1150,'Base bordo CD'!A$2:A$875,B1150,'Base bordo CD'!L$2:L$875,"PATIO - RESERVA"),0)</f>
        <v>0</v>
      </c>
      <c r="M1150" s="10">
        <f>IFERROR(SUMIFS('Base bordo CD'!M$2:M$875,'Base bordo CD'!D$2:D$875,A1150,'Base bordo CD'!A$2:A$875,B1150,'Base bordo CD'!L$2:L$875,"SEM APONTAMENTO"),0)</f>
        <v>0</v>
      </c>
      <c r="N1150" s="10">
        <f>IFERROR(SUMIFS('Base bordo CD'!M$2:M$875,'Base bordo CD'!D$2:D$875,A1150,'Base bordo CD'!A$2:A$875,B1150,'Base bordo CD'!L$2:L$875,"FALTA DE CAMINHÃO"),0)+IFERROR(SUMIFS('Base bordo CD'!M$2:M$875,'Base bordo CD'!D$2:D$875,A1150,'Base bordo CD'!A$2:A$875,B1150,'Base bordo CD'!L$2:L$875,"FALTA DE COMBUSTIVEL"),0)+IFERROR(SUMIFS('Base bordo CD'!M$2:M$875,'Base bordo CD'!D$2:D$875,A1150,'Base bordo CD'!A$2:A$875,B1150,'Base bordo CD'!L$2:L$875,"FALTA DE MOTORIST*"),0)</f>
        <v>0</v>
      </c>
      <c r="O1150" s="10">
        <f t="shared" ref="O1150:O1213" si="95">IFERROR(P1150-SUM(E1150:N1150),0)</f>
        <v>0</v>
      </c>
      <c r="P1150" s="10">
        <f>IFERROR(SUMIFS('Base bordo CD'!M$2:M$875,'Base bordo CD'!D$2:D$875,A1150,'Base bordo CD'!A$2:A$875,B1150),0)</f>
        <v>0</v>
      </c>
      <c r="Q1150" s="10">
        <f>IFERROR(SUMIFS('Base bordo CD'!O$2:O$875,'Base bordo CD'!D$2:D$875,A1150,'Base bordo CD'!A$2:A$875,B1150,'Base bordo CD'!L$2:L$875,"CORTE DE CANA MECANIZADO"),0)</f>
        <v>0</v>
      </c>
      <c r="R1150" s="10">
        <f>IFERROR(SUMIFS('Base bordo CD'!Q$2:Q$875,'Base bordo CD'!D$2:D$875,A1150,'Base bordo CD'!A$2:A$875,B1150,'Base bordo CD'!L$2:L$875,"CORTE DE CANA MECANIZADO"),0)</f>
        <v>0</v>
      </c>
      <c r="S1150" s="30" t="str">
        <f t="shared" ref="S1150:S1213" si="96">IFERROR(Q1150/R1150,"")</f>
        <v/>
      </c>
      <c r="T1150" s="9">
        <f t="shared" ref="T1150:T1213" si="97">IFERROR(E1150/P1150,0)</f>
        <v>0</v>
      </c>
      <c r="U1150" s="9">
        <f t="shared" ref="U1150:U1213" si="98">IFERROR(F1150/P1150,0)</f>
        <v>0</v>
      </c>
      <c r="V1150" s="9">
        <f t="shared" ref="V1150:V1213" si="99">IFERROR(1-(E1150+G1150)/P1150,0)</f>
        <v>0</v>
      </c>
    </row>
    <row r="1151" spans="1:22" hidden="1" x14ac:dyDescent="0.35">
      <c r="A1151" s="52">
        <v>49592</v>
      </c>
      <c r="B1151" s="31">
        <v>46117</v>
      </c>
      <c r="C1151" s="7" t="s">
        <v>364</v>
      </c>
      <c r="D1151" s="7">
        <v>352</v>
      </c>
      <c r="E1151" s="10">
        <f>IFERROR(SUMIFS('Base bordo CD'!M$2:M$875,'Base bordo CD'!D$2:D$875,A1151,'Base bordo CD'!A$2:A$875,B1151,'Base bordo CD'!L$2:L$875,"CORTE DE CANA MECANIZADO"),0)</f>
        <v>0</v>
      </c>
      <c r="F1151" s="10">
        <f>IFERROR(SUMIFS('Base bordo CD'!M$2:M$875,'Base bordo CD'!D$2:D$875,A1151,'Base bordo CD'!A$2:A$875,B1151,'Base bordo CD'!L$2:L$875,"MANOBRA"),0)</f>
        <v>0</v>
      </c>
      <c r="G1151" s="10">
        <f>IFERROR(SUMIFS('Base bordo CD'!M$2:M$875,'Base bordo CD'!D$2:D$875,A1151,'Base bordo CD'!A$2:A$875,B1151,'Base bordo CD'!L$2:L$875,"DESLOCAMENTO"),0)</f>
        <v>0</v>
      </c>
      <c r="H1151" s="10">
        <f>IFERROR(SUMIFS('Base bordo CD'!M$2:M$875,'Base bordo CD'!D$2:D$875,A1151,'Base bordo CD'!A$2:A$875,B1151,'Base bordo CD'!L$2:L$875,"AGUARDANDO MANOBRA DE TRANSBORDO"),0)+IFERROR(SUMIFS('Base bordo CD'!M$2:M$875,'Base bordo CD'!D$2:D$875,A1151,'Base bordo CD'!A$2:A$875,B1151,'Base bordo CD'!L$2:L$875,"FALTA DE TRANSBORDO"),0)</f>
        <v>0</v>
      </c>
      <c r="I1151" s="10">
        <f>IFERROR(SUMIFS('Base bordo CD'!M$2:M$875,'Base bordo CD'!D$2:D$875,A1151,'Base bordo CD'!A$2:A$875,B1151,'Base bordo CD'!L$2:L$875,"PARADA POR CONDICOES CLIMATICAS"),0)+IFERROR(SUMIFS('Base bordo CD'!M$2:M$875,'Base bordo CD'!D$2:D$875,A1151,'Base bordo CD'!A$2:A$875,B1151,'Base bordo CD'!L$2:L$875,"TEMPO INDETERMINADO"),0)</f>
        <v>0</v>
      </c>
      <c r="J1151" s="10">
        <f>IFERROR(SUMIFS('Base bordo CD'!M$2:M$875,'Base bordo CD'!D$2:D$875,A1151,'Base bordo CD'!A$2:A$875,B1151,'Base bordo CD'!L$2:L$875,"LIMITAÇÃO INDÚSTRIA"),0)</f>
        <v>0</v>
      </c>
      <c r="K1151" s="10">
        <f>IFERROR(SUMIFS('Base bordo CD'!M$2:M$875,'Base bordo CD'!D$2:D$875,A1151,'Base bordo CD'!A$2:A$875,B1151,'Base bordo CD'!L$2:L$875,"MAN CORRETIVA*"),0)+IFERROR(SUMIFS('Base bordo CD'!M$2:M$875,'Base bordo CD'!D$2:D$875,A1151,'Base bordo CD'!A$2:A$875,B1151,'Base bordo CD'!L$2:L$875,"AGUARDANDO MANUTENCAO*"),0)+IFERROR(SUMIFS('Base bordo CD'!M$2:M$875,'Base bordo CD'!D$2:D$875,A1151,'Base bordo CD'!A$2:A$875,B1151,'Base bordo CD'!L$2:L$875,"TROCA DE FAQUINHA"),0)+IFERROR(SUMIFS('Base bordo CD'!M$2:M$875,'Base bordo CD'!D$2:D$875,A1151,'Base bordo CD'!A$2:A$875,B1151,'Base bordo CD'!L$2:L$875,"LIMPEZA*"),0)</f>
        <v>0</v>
      </c>
      <c r="L1151" s="10">
        <f>IFERROR(SUMIFS('Base bordo CD'!M$2:M$875,'Base bordo CD'!D$2:D$875,A1151,'Base bordo CD'!A$2:A$875,B1151,'Base bordo CD'!L$2:L$875,"PATIO - RESERVA"),0)</f>
        <v>0</v>
      </c>
      <c r="M1151" s="10">
        <f>IFERROR(SUMIFS('Base bordo CD'!M$2:M$875,'Base bordo CD'!D$2:D$875,A1151,'Base bordo CD'!A$2:A$875,B1151,'Base bordo CD'!L$2:L$875,"SEM APONTAMENTO"),0)</f>
        <v>0</v>
      </c>
      <c r="N1151" s="10">
        <f>IFERROR(SUMIFS('Base bordo CD'!M$2:M$875,'Base bordo CD'!D$2:D$875,A1151,'Base bordo CD'!A$2:A$875,B1151,'Base bordo CD'!L$2:L$875,"FALTA DE CAMINHÃO"),0)+IFERROR(SUMIFS('Base bordo CD'!M$2:M$875,'Base bordo CD'!D$2:D$875,A1151,'Base bordo CD'!A$2:A$875,B1151,'Base bordo CD'!L$2:L$875,"FALTA DE COMBUSTIVEL"),0)+IFERROR(SUMIFS('Base bordo CD'!M$2:M$875,'Base bordo CD'!D$2:D$875,A1151,'Base bordo CD'!A$2:A$875,B1151,'Base bordo CD'!L$2:L$875,"FALTA DE MOTORIST*"),0)</f>
        <v>0</v>
      </c>
      <c r="O1151" s="10">
        <f t="shared" si="95"/>
        <v>0</v>
      </c>
      <c r="P1151" s="10">
        <f>IFERROR(SUMIFS('Base bordo CD'!M$2:M$875,'Base bordo CD'!D$2:D$875,A1151,'Base bordo CD'!A$2:A$875,B1151),0)</f>
        <v>0</v>
      </c>
      <c r="Q1151" s="10">
        <f>IFERROR(SUMIFS('Base bordo CD'!O$2:O$875,'Base bordo CD'!D$2:D$875,A1151,'Base bordo CD'!A$2:A$875,B1151,'Base bordo CD'!L$2:L$875,"CORTE DE CANA MECANIZADO"),0)</f>
        <v>0</v>
      </c>
      <c r="R1151" s="10">
        <f>IFERROR(SUMIFS('Base bordo CD'!Q$2:Q$875,'Base bordo CD'!D$2:D$875,A1151,'Base bordo CD'!A$2:A$875,B1151,'Base bordo CD'!L$2:L$875,"CORTE DE CANA MECANIZADO"),0)</f>
        <v>0</v>
      </c>
      <c r="S1151" s="30" t="str">
        <f t="shared" si="96"/>
        <v/>
      </c>
      <c r="T1151" s="9">
        <f t="shared" si="97"/>
        <v>0</v>
      </c>
      <c r="U1151" s="9">
        <f t="shared" si="98"/>
        <v>0</v>
      </c>
      <c r="V1151" s="9">
        <f t="shared" si="99"/>
        <v>0</v>
      </c>
    </row>
    <row r="1152" spans="1:22" hidden="1" x14ac:dyDescent="0.35">
      <c r="A1152" s="52">
        <v>49592</v>
      </c>
      <c r="B1152" s="31">
        <v>46117</v>
      </c>
      <c r="C1152" s="7" t="s">
        <v>364</v>
      </c>
      <c r="D1152" s="7">
        <v>352</v>
      </c>
      <c r="E1152" s="10">
        <f>IFERROR(SUMIFS('Base bordo CD'!M$2:M$875,'Base bordo CD'!D$2:D$875,A1152,'Base bordo CD'!A$2:A$875,B1152,'Base bordo CD'!L$2:L$875,"CORTE DE CANA MECANIZADO"),0)</f>
        <v>0</v>
      </c>
      <c r="F1152" s="10">
        <f>IFERROR(SUMIFS('Base bordo CD'!M$2:M$875,'Base bordo CD'!D$2:D$875,A1152,'Base bordo CD'!A$2:A$875,B1152,'Base bordo CD'!L$2:L$875,"MANOBRA"),0)</f>
        <v>0</v>
      </c>
      <c r="G1152" s="10">
        <f>IFERROR(SUMIFS('Base bordo CD'!M$2:M$875,'Base bordo CD'!D$2:D$875,A1152,'Base bordo CD'!A$2:A$875,B1152,'Base bordo CD'!L$2:L$875,"DESLOCAMENTO"),0)</f>
        <v>0</v>
      </c>
      <c r="H1152" s="10">
        <f>IFERROR(SUMIFS('Base bordo CD'!M$2:M$875,'Base bordo CD'!D$2:D$875,A1152,'Base bordo CD'!A$2:A$875,B1152,'Base bordo CD'!L$2:L$875,"AGUARDANDO MANOBRA DE TRANSBORDO"),0)+IFERROR(SUMIFS('Base bordo CD'!M$2:M$875,'Base bordo CD'!D$2:D$875,A1152,'Base bordo CD'!A$2:A$875,B1152,'Base bordo CD'!L$2:L$875,"FALTA DE TRANSBORDO"),0)</f>
        <v>0</v>
      </c>
      <c r="I1152" s="10">
        <f>IFERROR(SUMIFS('Base bordo CD'!M$2:M$875,'Base bordo CD'!D$2:D$875,A1152,'Base bordo CD'!A$2:A$875,B1152,'Base bordo CD'!L$2:L$875,"PARADA POR CONDICOES CLIMATICAS"),0)+IFERROR(SUMIFS('Base bordo CD'!M$2:M$875,'Base bordo CD'!D$2:D$875,A1152,'Base bordo CD'!A$2:A$875,B1152,'Base bordo CD'!L$2:L$875,"TEMPO INDETERMINADO"),0)</f>
        <v>0</v>
      </c>
      <c r="J1152" s="10">
        <f>IFERROR(SUMIFS('Base bordo CD'!M$2:M$875,'Base bordo CD'!D$2:D$875,A1152,'Base bordo CD'!A$2:A$875,B1152,'Base bordo CD'!L$2:L$875,"LIMITAÇÃO INDÚSTRIA"),0)</f>
        <v>0</v>
      </c>
      <c r="K1152" s="10">
        <f>IFERROR(SUMIFS('Base bordo CD'!M$2:M$875,'Base bordo CD'!D$2:D$875,A1152,'Base bordo CD'!A$2:A$875,B1152,'Base bordo CD'!L$2:L$875,"MAN CORRETIVA*"),0)+IFERROR(SUMIFS('Base bordo CD'!M$2:M$875,'Base bordo CD'!D$2:D$875,A1152,'Base bordo CD'!A$2:A$875,B1152,'Base bordo CD'!L$2:L$875,"AGUARDANDO MANUTENCAO*"),0)+IFERROR(SUMIFS('Base bordo CD'!M$2:M$875,'Base bordo CD'!D$2:D$875,A1152,'Base bordo CD'!A$2:A$875,B1152,'Base bordo CD'!L$2:L$875,"TROCA DE FAQUINHA"),0)+IFERROR(SUMIFS('Base bordo CD'!M$2:M$875,'Base bordo CD'!D$2:D$875,A1152,'Base bordo CD'!A$2:A$875,B1152,'Base bordo CD'!L$2:L$875,"LIMPEZA*"),0)</f>
        <v>0</v>
      </c>
      <c r="L1152" s="10">
        <f>IFERROR(SUMIFS('Base bordo CD'!M$2:M$875,'Base bordo CD'!D$2:D$875,A1152,'Base bordo CD'!A$2:A$875,B1152,'Base bordo CD'!L$2:L$875,"PATIO - RESERVA"),0)</f>
        <v>0</v>
      </c>
      <c r="M1152" s="10">
        <f>IFERROR(SUMIFS('Base bordo CD'!M$2:M$875,'Base bordo CD'!D$2:D$875,A1152,'Base bordo CD'!A$2:A$875,B1152,'Base bordo CD'!L$2:L$875,"SEM APONTAMENTO"),0)</f>
        <v>0</v>
      </c>
      <c r="N1152" s="10">
        <f>IFERROR(SUMIFS('Base bordo CD'!M$2:M$875,'Base bordo CD'!D$2:D$875,A1152,'Base bordo CD'!A$2:A$875,B1152,'Base bordo CD'!L$2:L$875,"FALTA DE CAMINHÃO"),0)+IFERROR(SUMIFS('Base bordo CD'!M$2:M$875,'Base bordo CD'!D$2:D$875,A1152,'Base bordo CD'!A$2:A$875,B1152,'Base bordo CD'!L$2:L$875,"FALTA DE COMBUSTIVEL"),0)+IFERROR(SUMIFS('Base bordo CD'!M$2:M$875,'Base bordo CD'!D$2:D$875,A1152,'Base bordo CD'!A$2:A$875,B1152,'Base bordo CD'!L$2:L$875,"FALTA DE MOTORIST*"),0)</f>
        <v>0</v>
      </c>
      <c r="O1152" s="10">
        <f t="shared" si="95"/>
        <v>0</v>
      </c>
      <c r="P1152" s="10">
        <f>IFERROR(SUMIFS('Base bordo CD'!M$2:M$875,'Base bordo CD'!D$2:D$875,A1152,'Base bordo CD'!A$2:A$875,B1152),0)</f>
        <v>0</v>
      </c>
      <c r="Q1152" s="10">
        <f>IFERROR(SUMIFS('Base bordo CD'!O$2:O$875,'Base bordo CD'!D$2:D$875,A1152,'Base bordo CD'!A$2:A$875,B1152,'Base bordo CD'!L$2:L$875,"CORTE DE CANA MECANIZADO"),0)</f>
        <v>0</v>
      </c>
      <c r="R1152" s="10">
        <f>IFERROR(SUMIFS('Base bordo CD'!Q$2:Q$875,'Base bordo CD'!D$2:D$875,A1152,'Base bordo CD'!A$2:A$875,B1152,'Base bordo CD'!L$2:L$875,"CORTE DE CANA MECANIZADO"),0)</f>
        <v>0</v>
      </c>
      <c r="S1152" s="30" t="str">
        <f t="shared" si="96"/>
        <v/>
      </c>
      <c r="T1152" s="9">
        <f t="shared" si="97"/>
        <v>0</v>
      </c>
      <c r="U1152" s="9">
        <f t="shared" si="98"/>
        <v>0</v>
      </c>
      <c r="V1152" s="9">
        <f t="shared" si="99"/>
        <v>0</v>
      </c>
    </row>
    <row r="1153" spans="1:22" hidden="1" x14ac:dyDescent="0.35">
      <c r="A1153" s="52">
        <v>49592</v>
      </c>
      <c r="B1153" s="31">
        <v>46117</v>
      </c>
      <c r="C1153" s="7" t="s">
        <v>364</v>
      </c>
      <c r="D1153" s="7">
        <v>352</v>
      </c>
      <c r="E1153" s="10">
        <f>IFERROR(SUMIFS('Base bordo CD'!M$2:M$875,'Base bordo CD'!D$2:D$875,A1153,'Base bordo CD'!A$2:A$875,B1153,'Base bordo CD'!L$2:L$875,"CORTE DE CANA MECANIZADO"),0)</f>
        <v>0</v>
      </c>
      <c r="F1153" s="10">
        <f>IFERROR(SUMIFS('Base bordo CD'!M$2:M$875,'Base bordo CD'!D$2:D$875,A1153,'Base bordo CD'!A$2:A$875,B1153,'Base bordo CD'!L$2:L$875,"MANOBRA"),0)</f>
        <v>0</v>
      </c>
      <c r="G1153" s="10">
        <f>IFERROR(SUMIFS('Base bordo CD'!M$2:M$875,'Base bordo CD'!D$2:D$875,A1153,'Base bordo CD'!A$2:A$875,B1153,'Base bordo CD'!L$2:L$875,"DESLOCAMENTO"),0)</f>
        <v>0</v>
      </c>
      <c r="H1153" s="10">
        <f>IFERROR(SUMIFS('Base bordo CD'!M$2:M$875,'Base bordo CD'!D$2:D$875,A1153,'Base bordo CD'!A$2:A$875,B1153,'Base bordo CD'!L$2:L$875,"AGUARDANDO MANOBRA DE TRANSBORDO"),0)+IFERROR(SUMIFS('Base bordo CD'!M$2:M$875,'Base bordo CD'!D$2:D$875,A1153,'Base bordo CD'!A$2:A$875,B1153,'Base bordo CD'!L$2:L$875,"FALTA DE TRANSBORDO"),0)</f>
        <v>0</v>
      </c>
      <c r="I1153" s="10">
        <f>IFERROR(SUMIFS('Base bordo CD'!M$2:M$875,'Base bordo CD'!D$2:D$875,A1153,'Base bordo CD'!A$2:A$875,B1153,'Base bordo CD'!L$2:L$875,"PARADA POR CONDICOES CLIMATICAS"),0)+IFERROR(SUMIFS('Base bordo CD'!M$2:M$875,'Base bordo CD'!D$2:D$875,A1153,'Base bordo CD'!A$2:A$875,B1153,'Base bordo CD'!L$2:L$875,"TEMPO INDETERMINADO"),0)</f>
        <v>0</v>
      </c>
      <c r="J1153" s="10">
        <f>IFERROR(SUMIFS('Base bordo CD'!M$2:M$875,'Base bordo CD'!D$2:D$875,A1153,'Base bordo CD'!A$2:A$875,B1153,'Base bordo CD'!L$2:L$875,"LIMITAÇÃO INDÚSTRIA"),0)</f>
        <v>0</v>
      </c>
      <c r="K1153" s="10">
        <f>IFERROR(SUMIFS('Base bordo CD'!M$2:M$875,'Base bordo CD'!D$2:D$875,A1153,'Base bordo CD'!A$2:A$875,B1153,'Base bordo CD'!L$2:L$875,"MAN CORRETIVA*"),0)+IFERROR(SUMIFS('Base bordo CD'!M$2:M$875,'Base bordo CD'!D$2:D$875,A1153,'Base bordo CD'!A$2:A$875,B1153,'Base bordo CD'!L$2:L$875,"AGUARDANDO MANUTENCAO*"),0)+IFERROR(SUMIFS('Base bordo CD'!M$2:M$875,'Base bordo CD'!D$2:D$875,A1153,'Base bordo CD'!A$2:A$875,B1153,'Base bordo CD'!L$2:L$875,"TROCA DE FAQUINHA"),0)+IFERROR(SUMIFS('Base bordo CD'!M$2:M$875,'Base bordo CD'!D$2:D$875,A1153,'Base bordo CD'!A$2:A$875,B1153,'Base bordo CD'!L$2:L$875,"LIMPEZA*"),0)</f>
        <v>0</v>
      </c>
      <c r="L1153" s="10">
        <f>IFERROR(SUMIFS('Base bordo CD'!M$2:M$875,'Base bordo CD'!D$2:D$875,A1153,'Base bordo CD'!A$2:A$875,B1153,'Base bordo CD'!L$2:L$875,"PATIO - RESERVA"),0)</f>
        <v>0</v>
      </c>
      <c r="M1153" s="10">
        <f>IFERROR(SUMIFS('Base bordo CD'!M$2:M$875,'Base bordo CD'!D$2:D$875,A1153,'Base bordo CD'!A$2:A$875,B1153,'Base bordo CD'!L$2:L$875,"SEM APONTAMENTO"),0)</f>
        <v>0</v>
      </c>
      <c r="N1153" s="10">
        <f>IFERROR(SUMIFS('Base bordo CD'!M$2:M$875,'Base bordo CD'!D$2:D$875,A1153,'Base bordo CD'!A$2:A$875,B1153,'Base bordo CD'!L$2:L$875,"FALTA DE CAMINHÃO"),0)+IFERROR(SUMIFS('Base bordo CD'!M$2:M$875,'Base bordo CD'!D$2:D$875,A1153,'Base bordo CD'!A$2:A$875,B1153,'Base bordo CD'!L$2:L$875,"FALTA DE COMBUSTIVEL"),0)+IFERROR(SUMIFS('Base bordo CD'!M$2:M$875,'Base bordo CD'!D$2:D$875,A1153,'Base bordo CD'!A$2:A$875,B1153,'Base bordo CD'!L$2:L$875,"FALTA DE MOTORIST*"),0)</f>
        <v>0</v>
      </c>
      <c r="O1153" s="10">
        <f t="shared" si="95"/>
        <v>0</v>
      </c>
      <c r="P1153" s="10">
        <f>IFERROR(SUMIFS('Base bordo CD'!M$2:M$875,'Base bordo CD'!D$2:D$875,A1153,'Base bordo CD'!A$2:A$875,B1153),0)</f>
        <v>0</v>
      </c>
      <c r="Q1153" s="10">
        <f>IFERROR(SUMIFS('Base bordo CD'!O$2:O$875,'Base bordo CD'!D$2:D$875,A1153,'Base bordo CD'!A$2:A$875,B1153,'Base bordo CD'!L$2:L$875,"CORTE DE CANA MECANIZADO"),0)</f>
        <v>0</v>
      </c>
      <c r="R1153" s="10">
        <f>IFERROR(SUMIFS('Base bordo CD'!Q$2:Q$875,'Base bordo CD'!D$2:D$875,A1153,'Base bordo CD'!A$2:A$875,B1153,'Base bordo CD'!L$2:L$875,"CORTE DE CANA MECANIZADO"),0)</f>
        <v>0</v>
      </c>
      <c r="S1153" s="30" t="str">
        <f t="shared" si="96"/>
        <v/>
      </c>
      <c r="T1153" s="9">
        <f t="shared" si="97"/>
        <v>0</v>
      </c>
      <c r="U1153" s="9">
        <f t="shared" si="98"/>
        <v>0</v>
      </c>
      <c r="V1153" s="9">
        <f t="shared" si="99"/>
        <v>0</v>
      </c>
    </row>
    <row r="1154" spans="1:22" hidden="1" x14ac:dyDescent="0.35">
      <c r="A1154" s="52">
        <v>49592</v>
      </c>
      <c r="B1154" s="31">
        <v>46117</v>
      </c>
      <c r="C1154" s="7" t="s">
        <v>364</v>
      </c>
      <c r="D1154" s="7">
        <v>352</v>
      </c>
      <c r="E1154" s="10">
        <f>IFERROR(SUMIFS('Base bordo CD'!M$2:M$875,'Base bordo CD'!D$2:D$875,A1154,'Base bordo CD'!A$2:A$875,B1154,'Base bordo CD'!L$2:L$875,"CORTE DE CANA MECANIZADO"),0)</f>
        <v>0</v>
      </c>
      <c r="F1154" s="10">
        <f>IFERROR(SUMIFS('Base bordo CD'!M$2:M$875,'Base bordo CD'!D$2:D$875,A1154,'Base bordo CD'!A$2:A$875,B1154,'Base bordo CD'!L$2:L$875,"MANOBRA"),0)</f>
        <v>0</v>
      </c>
      <c r="G1154" s="10">
        <f>IFERROR(SUMIFS('Base bordo CD'!M$2:M$875,'Base bordo CD'!D$2:D$875,A1154,'Base bordo CD'!A$2:A$875,B1154,'Base bordo CD'!L$2:L$875,"DESLOCAMENTO"),0)</f>
        <v>0</v>
      </c>
      <c r="H1154" s="10">
        <f>IFERROR(SUMIFS('Base bordo CD'!M$2:M$875,'Base bordo CD'!D$2:D$875,A1154,'Base bordo CD'!A$2:A$875,B1154,'Base bordo CD'!L$2:L$875,"AGUARDANDO MANOBRA DE TRANSBORDO"),0)+IFERROR(SUMIFS('Base bordo CD'!M$2:M$875,'Base bordo CD'!D$2:D$875,A1154,'Base bordo CD'!A$2:A$875,B1154,'Base bordo CD'!L$2:L$875,"FALTA DE TRANSBORDO"),0)</f>
        <v>0</v>
      </c>
      <c r="I1154" s="10">
        <f>IFERROR(SUMIFS('Base bordo CD'!M$2:M$875,'Base bordo CD'!D$2:D$875,A1154,'Base bordo CD'!A$2:A$875,B1154,'Base bordo CD'!L$2:L$875,"PARADA POR CONDICOES CLIMATICAS"),0)+IFERROR(SUMIFS('Base bordo CD'!M$2:M$875,'Base bordo CD'!D$2:D$875,A1154,'Base bordo CD'!A$2:A$875,B1154,'Base bordo CD'!L$2:L$875,"TEMPO INDETERMINADO"),0)</f>
        <v>0</v>
      </c>
      <c r="J1154" s="10">
        <f>IFERROR(SUMIFS('Base bordo CD'!M$2:M$875,'Base bordo CD'!D$2:D$875,A1154,'Base bordo CD'!A$2:A$875,B1154,'Base bordo CD'!L$2:L$875,"LIMITAÇÃO INDÚSTRIA"),0)</f>
        <v>0</v>
      </c>
      <c r="K1154" s="10">
        <f>IFERROR(SUMIFS('Base bordo CD'!M$2:M$875,'Base bordo CD'!D$2:D$875,A1154,'Base bordo CD'!A$2:A$875,B1154,'Base bordo CD'!L$2:L$875,"MAN CORRETIVA*"),0)+IFERROR(SUMIFS('Base bordo CD'!M$2:M$875,'Base bordo CD'!D$2:D$875,A1154,'Base bordo CD'!A$2:A$875,B1154,'Base bordo CD'!L$2:L$875,"AGUARDANDO MANUTENCAO*"),0)+IFERROR(SUMIFS('Base bordo CD'!M$2:M$875,'Base bordo CD'!D$2:D$875,A1154,'Base bordo CD'!A$2:A$875,B1154,'Base bordo CD'!L$2:L$875,"TROCA DE FAQUINHA"),0)+IFERROR(SUMIFS('Base bordo CD'!M$2:M$875,'Base bordo CD'!D$2:D$875,A1154,'Base bordo CD'!A$2:A$875,B1154,'Base bordo CD'!L$2:L$875,"LIMPEZA*"),0)</f>
        <v>0</v>
      </c>
      <c r="L1154" s="10">
        <f>IFERROR(SUMIFS('Base bordo CD'!M$2:M$875,'Base bordo CD'!D$2:D$875,A1154,'Base bordo CD'!A$2:A$875,B1154,'Base bordo CD'!L$2:L$875,"PATIO - RESERVA"),0)</f>
        <v>0</v>
      </c>
      <c r="M1154" s="10">
        <f>IFERROR(SUMIFS('Base bordo CD'!M$2:M$875,'Base bordo CD'!D$2:D$875,A1154,'Base bordo CD'!A$2:A$875,B1154,'Base bordo CD'!L$2:L$875,"SEM APONTAMENTO"),0)</f>
        <v>0</v>
      </c>
      <c r="N1154" s="10">
        <f>IFERROR(SUMIFS('Base bordo CD'!M$2:M$875,'Base bordo CD'!D$2:D$875,A1154,'Base bordo CD'!A$2:A$875,B1154,'Base bordo CD'!L$2:L$875,"FALTA DE CAMINHÃO"),0)+IFERROR(SUMIFS('Base bordo CD'!M$2:M$875,'Base bordo CD'!D$2:D$875,A1154,'Base bordo CD'!A$2:A$875,B1154,'Base bordo CD'!L$2:L$875,"FALTA DE COMBUSTIVEL"),0)+IFERROR(SUMIFS('Base bordo CD'!M$2:M$875,'Base bordo CD'!D$2:D$875,A1154,'Base bordo CD'!A$2:A$875,B1154,'Base bordo CD'!L$2:L$875,"FALTA DE MOTORIST*"),0)</f>
        <v>0</v>
      </c>
      <c r="O1154" s="10">
        <f t="shared" si="95"/>
        <v>0</v>
      </c>
      <c r="P1154" s="10">
        <f>IFERROR(SUMIFS('Base bordo CD'!M$2:M$875,'Base bordo CD'!D$2:D$875,A1154,'Base bordo CD'!A$2:A$875,B1154),0)</f>
        <v>0</v>
      </c>
      <c r="Q1154" s="10">
        <f>IFERROR(SUMIFS('Base bordo CD'!O$2:O$875,'Base bordo CD'!D$2:D$875,A1154,'Base bordo CD'!A$2:A$875,B1154,'Base bordo CD'!L$2:L$875,"CORTE DE CANA MECANIZADO"),0)</f>
        <v>0</v>
      </c>
      <c r="R1154" s="10">
        <f>IFERROR(SUMIFS('Base bordo CD'!Q$2:Q$875,'Base bordo CD'!D$2:D$875,A1154,'Base bordo CD'!A$2:A$875,B1154,'Base bordo CD'!L$2:L$875,"CORTE DE CANA MECANIZADO"),0)</f>
        <v>0</v>
      </c>
      <c r="S1154" s="30" t="str">
        <f t="shared" si="96"/>
        <v/>
      </c>
      <c r="T1154" s="9">
        <f t="shared" si="97"/>
        <v>0</v>
      </c>
      <c r="U1154" s="9">
        <f t="shared" si="98"/>
        <v>0</v>
      </c>
      <c r="V1154" s="9">
        <f t="shared" si="99"/>
        <v>0</v>
      </c>
    </row>
    <row r="1155" spans="1:22" hidden="1" x14ac:dyDescent="0.35">
      <c r="A1155" s="52">
        <v>49592</v>
      </c>
      <c r="B1155" s="31">
        <v>46117</v>
      </c>
      <c r="C1155" s="7" t="s">
        <v>364</v>
      </c>
      <c r="D1155" s="7">
        <v>352</v>
      </c>
      <c r="E1155" s="10">
        <f>IFERROR(SUMIFS('Base bordo CD'!M$2:M$875,'Base bordo CD'!D$2:D$875,A1155,'Base bordo CD'!A$2:A$875,B1155,'Base bordo CD'!L$2:L$875,"CORTE DE CANA MECANIZADO"),0)</f>
        <v>0</v>
      </c>
      <c r="F1155" s="10">
        <f>IFERROR(SUMIFS('Base bordo CD'!M$2:M$875,'Base bordo CD'!D$2:D$875,A1155,'Base bordo CD'!A$2:A$875,B1155,'Base bordo CD'!L$2:L$875,"MANOBRA"),0)</f>
        <v>0</v>
      </c>
      <c r="G1155" s="10">
        <f>IFERROR(SUMIFS('Base bordo CD'!M$2:M$875,'Base bordo CD'!D$2:D$875,A1155,'Base bordo CD'!A$2:A$875,B1155,'Base bordo CD'!L$2:L$875,"DESLOCAMENTO"),0)</f>
        <v>0</v>
      </c>
      <c r="H1155" s="10">
        <f>IFERROR(SUMIFS('Base bordo CD'!M$2:M$875,'Base bordo CD'!D$2:D$875,A1155,'Base bordo CD'!A$2:A$875,B1155,'Base bordo CD'!L$2:L$875,"AGUARDANDO MANOBRA DE TRANSBORDO"),0)+IFERROR(SUMIFS('Base bordo CD'!M$2:M$875,'Base bordo CD'!D$2:D$875,A1155,'Base bordo CD'!A$2:A$875,B1155,'Base bordo CD'!L$2:L$875,"FALTA DE TRANSBORDO"),0)</f>
        <v>0</v>
      </c>
      <c r="I1155" s="10">
        <f>IFERROR(SUMIFS('Base bordo CD'!M$2:M$875,'Base bordo CD'!D$2:D$875,A1155,'Base bordo CD'!A$2:A$875,B1155,'Base bordo CD'!L$2:L$875,"PARADA POR CONDICOES CLIMATICAS"),0)+IFERROR(SUMIFS('Base bordo CD'!M$2:M$875,'Base bordo CD'!D$2:D$875,A1155,'Base bordo CD'!A$2:A$875,B1155,'Base bordo CD'!L$2:L$875,"TEMPO INDETERMINADO"),0)</f>
        <v>0</v>
      </c>
      <c r="J1155" s="10">
        <f>IFERROR(SUMIFS('Base bordo CD'!M$2:M$875,'Base bordo CD'!D$2:D$875,A1155,'Base bordo CD'!A$2:A$875,B1155,'Base bordo CD'!L$2:L$875,"LIMITAÇÃO INDÚSTRIA"),0)</f>
        <v>0</v>
      </c>
      <c r="K1155" s="10">
        <f>IFERROR(SUMIFS('Base bordo CD'!M$2:M$875,'Base bordo CD'!D$2:D$875,A1155,'Base bordo CD'!A$2:A$875,B1155,'Base bordo CD'!L$2:L$875,"MAN CORRETIVA*"),0)+IFERROR(SUMIFS('Base bordo CD'!M$2:M$875,'Base bordo CD'!D$2:D$875,A1155,'Base bordo CD'!A$2:A$875,B1155,'Base bordo CD'!L$2:L$875,"AGUARDANDO MANUTENCAO*"),0)+IFERROR(SUMIFS('Base bordo CD'!M$2:M$875,'Base bordo CD'!D$2:D$875,A1155,'Base bordo CD'!A$2:A$875,B1155,'Base bordo CD'!L$2:L$875,"TROCA DE FAQUINHA"),0)+IFERROR(SUMIFS('Base bordo CD'!M$2:M$875,'Base bordo CD'!D$2:D$875,A1155,'Base bordo CD'!A$2:A$875,B1155,'Base bordo CD'!L$2:L$875,"LIMPEZA*"),0)</f>
        <v>0</v>
      </c>
      <c r="L1155" s="10">
        <f>IFERROR(SUMIFS('Base bordo CD'!M$2:M$875,'Base bordo CD'!D$2:D$875,A1155,'Base bordo CD'!A$2:A$875,B1155,'Base bordo CD'!L$2:L$875,"PATIO - RESERVA"),0)</f>
        <v>0</v>
      </c>
      <c r="M1155" s="10">
        <f>IFERROR(SUMIFS('Base bordo CD'!M$2:M$875,'Base bordo CD'!D$2:D$875,A1155,'Base bordo CD'!A$2:A$875,B1155,'Base bordo CD'!L$2:L$875,"SEM APONTAMENTO"),0)</f>
        <v>0</v>
      </c>
      <c r="N1155" s="10">
        <f>IFERROR(SUMIFS('Base bordo CD'!M$2:M$875,'Base bordo CD'!D$2:D$875,A1155,'Base bordo CD'!A$2:A$875,B1155,'Base bordo CD'!L$2:L$875,"FALTA DE CAMINHÃO"),0)+IFERROR(SUMIFS('Base bordo CD'!M$2:M$875,'Base bordo CD'!D$2:D$875,A1155,'Base bordo CD'!A$2:A$875,B1155,'Base bordo CD'!L$2:L$875,"FALTA DE COMBUSTIVEL"),0)+IFERROR(SUMIFS('Base bordo CD'!M$2:M$875,'Base bordo CD'!D$2:D$875,A1155,'Base bordo CD'!A$2:A$875,B1155,'Base bordo CD'!L$2:L$875,"FALTA DE MOTORIST*"),0)</f>
        <v>0</v>
      </c>
      <c r="O1155" s="10">
        <f t="shared" si="95"/>
        <v>0</v>
      </c>
      <c r="P1155" s="10">
        <f>IFERROR(SUMIFS('Base bordo CD'!M$2:M$875,'Base bordo CD'!D$2:D$875,A1155,'Base bordo CD'!A$2:A$875,B1155),0)</f>
        <v>0</v>
      </c>
      <c r="Q1155" s="10">
        <f>IFERROR(SUMIFS('Base bordo CD'!O$2:O$875,'Base bordo CD'!D$2:D$875,A1155,'Base bordo CD'!A$2:A$875,B1155,'Base bordo CD'!L$2:L$875,"CORTE DE CANA MECANIZADO"),0)</f>
        <v>0</v>
      </c>
      <c r="R1155" s="10">
        <f>IFERROR(SUMIFS('Base bordo CD'!Q$2:Q$875,'Base bordo CD'!D$2:D$875,A1155,'Base bordo CD'!A$2:A$875,B1155,'Base bordo CD'!L$2:L$875,"CORTE DE CANA MECANIZADO"),0)</f>
        <v>0</v>
      </c>
      <c r="S1155" s="30" t="str">
        <f t="shared" si="96"/>
        <v/>
      </c>
      <c r="T1155" s="9">
        <f t="shared" si="97"/>
        <v>0</v>
      </c>
      <c r="U1155" s="9">
        <f t="shared" si="98"/>
        <v>0</v>
      </c>
      <c r="V1155" s="9">
        <f t="shared" si="99"/>
        <v>0</v>
      </c>
    </row>
    <row r="1156" spans="1:22" hidden="1" x14ac:dyDescent="0.35">
      <c r="A1156" s="52">
        <v>49592</v>
      </c>
      <c r="B1156" s="31">
        <v>46117</v>
      </c>
      <c r="C1156" s="7" t="s">
        <v>364</v>
      </c>
      <c r="D1156" s="7">
        <v>352</v>
      </c>
      <c r="E1156" s="10">
        <f>IFERROR(SUMIFS('Base bordo CD'!M$2:M$875,'Base bordo CD'!D$2:D$875,A1156,'Base bordo CD'!A$2:A$875,B1156,'Base bordo CD'!L$2:L$875,"CORTE DE CANA MECANIZADO"),0)</f>
        <v>0</v>
      </c>
      <c r="F1156" s="10">
        <f>IFERROR(SUMIFS('Base bordo CD'!M$2:M$875,'Base bordo CD'!D$2:D$875,A1156,'Base bordo CD'!A$2:A$875,B1156,'Base bordo CD'!L$2:L$875,"MANOBRA"),0)</f>
        <v>0</v>
      </c>
      <c r="G1156" s="10">
        <f>IFERROR(SUMIFS('Base bordo CD'!M$2:M$875,'Base bordo CD'!D$2:D$875,A1156,'Base bordo CD'!A$2:A$875,B1156,'Base bordo CD'!L$2:L$875,"DESLOCAMENTO"),0)</f>
        <v>0</v>
      </c>
      <c r="H1156" s="10">
        <f>IFERROR(SUMIFS('Base bordo CD'!M$2:M$875,'Base bordo CD'!D$2:D$875,A1156,'Base bordo CD'!A$2:A$875,B1156,'Base bordo CD'!L$2:L$875,"AGUARDANDO MANOBRA DE TRANSBORDO"),0)+IFERROR(SUMIFS('Base bordo CD'!M$2:M$875,'Base bordo CD'!D$2:D$875,A1156,'Base bordo CD'!A$2:A$875,B1156,'Base bordo CD'!L$2:L$875,"FALTA DE TRANSBORDO"),0)</f>
        <v>0</v>
      </c>
      <c r="I1156" s="10">
        <f>IFERROR(SUMIFS('Base bordo CD'!M$2:M$875,'Base bordo CD'!D$2:D$875,A1156,'Base bordo CD'!A$2:A$875,B1156,'Base bordo CD'!L$2:L$875,"PARADA POR CONDICOES CLIMATICAS"),0)+IFERROR(SUMIFS('Base bordo CD'!M$2:M$875,'Base bordo CD'!D$2:D$875,A1156,'Base bordo CD'!A$2:A$875,B1156,'Base bordo CD'!L$2:L$875,"TEMPO INDETERMINADO"),0)</f>
        <v>0</v>
      </c>
      <c r="J1156" s="10">
        <f>IFERROR(SUMIFS('Base bordo CD'!M$2:M$875,'Base bordo CD'!D$2:D$875,A1156,'Base bordo CD'!A$2:A$875,B1156,'Base bordo CD'!L$2:L$875,"LIMITAÇÃO INDÚSTRIA"),0)</f>
        <v>0</v>
      </c>
      <c r="K1156" s="10">
        <f>IFERROR(SUMIFS('Base bordo CD'!M$2:M$875,'Base bordo CD'!D$2:D$875,A1156,'Base bordo CD'!A$2:A$875,B1156,'Base bordo CD'!L$2:L$875,"MAN CORRETIVA*"),0)+IFERROR(SUMIFS('Base bordo CD'!M$2:M$875,'Base bordo CD'!D$2:D$875,A1156,'Base bordo CD'!A$2:A$875,B1156,'Base bordo CD'!L$2:L$875,"AGUARDANDO MANUTENCAO*"),0)+IFERROR(SUMIFS('Base bordo CD'!M$2:M$875,'Base bordo CD'!D$2:D$875,A1156,'Base bordo CD'!A$2:A$875,B1156,'Base bordo CD'!L$2:L$875,"TROCA DE FAQUINHA"),0)+IFERROR(SUMIFS('Base bordo CD'!M$2:M$875,'Base bordo CD'!D$2:D$875,A1156,'Base bordo CD'!A$2:A$875,B1156,'Base bordo CD'!L$2:L$875,"LIMPEZA*"),0)</f>
        <v>0</v>
      </c>
      <c r="L1156" s="10">
        <f>IFERROR(SUMIFS('Base bordo CD'!M$2:M$875,'Base bordo CD'!D$2:D$875,A1156,'Base bordo CD'!A$2:A$875,B1156,'Base bordo CD'!L$2:L$875,"PATIO - RESERVA"),0)</f>
        <v>0</v>
      </c>
      <c r="M1156" s="10">
        <f>IFERROR(SUMIFS('Base bordo CD'!M$2:M$875,'Base bordo CD'!D$2:D$875,A1156,'Base bordo CD'!A$2:A$875,B1156,'Base bordo CD'!L$2:L$875,"SEM APONTAMENTO"),0)</f>
        <v>0</v>
      </c>
      <c r="N1156" s="10">
        <f>IFERROR(SUMIFS('Base bordo CD'!M$2:M$875,'Base bordo CD'!D$2:D$875,A1156,'Base bordo CD'!A$2:A$875,B1156,'Base bordo CD'!L$2:L$875,"FALTA DE CAMINHÃO"),0)+IFERROR(SUMIFS('Base bordo CD'!M$2:M$875,'Base bordo CD'!D$2:D$875,A1156,'Base bordo CD'!A$2:A$875,B1156,'Base bordo CD'!L$2:L$875,"FALTA DE COMBUSTIVEL"),0)+IFERROR(SUMIFS('Base bordo CD'!M$2:M$875,'Base bordo CD'!D$2:D$875,A1156,'Base bordo CD'!A$2:A$875,B1156,'Base bordo CD'!L$2:L$875,"FALTA DE MOTORIST*"),0)</f>
        <v>0</v>
      </c>
      <c r="O1156" s="10">
        <f t="shared" si="95"/>
        <v>0</v>
      </c>
      <c r="P1156" s="10">
        <f>IFERROR(SUMIFS('Base bordo CD'!M$2:M$875,'Base bordo CD'!D$2:D$875,A1156,'Base bordo CD'!A$2:A$875,B1156),0)</f>
        <v>0</v>
      </c>
      <c r="Q1156" s="10">
        <f>IFERROR(SUMIFS('Base bordo CD'!O$2:O$875,'Base bordo CD'!D$2:D$875,A1156,'Base bordo CD'!A$2:A$875,B1156,'Base bordo CD'!L$2:L$875,"CORTE DE CANA MECANIZADO"),0)</f>
        <v>0</v>
      </c>
      <c r="R1156" s="10">
        <f>IFERROR(SUMIFS('Base bordo CD'!Q$2:Q$875,'Base bordo CD'!D$2:D$875,A1156,'Base bordo CD'!A$2:A$875,B1156,'Base bordo CD'!L$2:L$875,"CORTE DE CANA MECANIZADO"),0)</f>
        <v>0</v>
      </c>
      <c r="S1156" s="30" t="str">
        <f t="shared" si="96"/>
        <v/>
      </c>
      <c r="T1156" s="9">
        <f t="shared" si="97"/>
        <v>0</v>
      </c>
      <c r="U1156" s="9">
        <f t="shared" si="98"/>
        <v>0</v>
      </c>
      <c r="V1156" s="9">
        <f t="shared" si="99"/>
        <v>0</v>
      </c>
    </row>
    <row r="1157" spans="1:22" hidden="1" x14ac:dyDescent="0.35">
      <c r="A1157" s="52">
        <v>49592</v>
      </c>
      <c r="B1157" s="31">
        <v>46117</v>
      </c>
      <c r="C1157" s="7" t="s">
        <v>364</v>
      </c>
      <c r="D1157" s="7">
        <v>352</v>
      </c>
      <c r="E1157" s="10">
        <f>IFERROR(SUMIFS('Base bordo CD'!M$2:M$875,'Base bordo CD'!D$2:D$875,A1157,'Base bordo CD'!A$2:A$875,B1157,'Base bordo CD'!L$2:L$875,"CORTE DE CANA MECANIZADO"),0)</f>
        <v>0</v>
      </c>
      <c r="F1157" s="10">
        <f>IFERROR(SUMIFS('Base bordo CD'!M$2:M$875,'Base bordo CD'!D$2:D$875,A1157,'Base bordo CD'!A$2:A$875,B1157,'Base bordo CD'!L$2:L$875,"MANOBRA"),0)</f>
        <v>0</v>
      </c>
      <c r="G1157" s="10">
        <f>IFERROR(SUMIFS('Base bordo CD'!M$2:M$875,'Base bordo CD'!D$2:D$875,A1157,'Base bordo CD'!A$2:A$875,B1157,'Base bordo CD'!L$2:L$875,"DESLOCAMENTO"),0)</f>
        <v>0</v>
      </c>
      <c r="H1157" s="10">
        <f>IFERROR(SUMIFS('Base bordo CD'!M$2:M$875,'Base bordo CD'!D$2:D$875,A1157,'Base bordo CD'!A$2:A$875,B1157,'Base bordo CD'!L$2:L$875,"AGUARDANDO MANOBRA DE TRANSBORDO"),0)+IFERROR(SUMIFS('Base bordo CD'!M$2:M$875,'Base bordo CD'!D$2:D$875,A1157,'Base bordo CD'!A$2:A$875,B1157,'Base bordo CD'!L$2:L$875,"FALTA DE TRANSBORDO"),0)</f>
        <v>0</v>
      </c>
      <c r="I1157" s="10">
        <f>IFERROR(SUMIFS('Base bordo CD'!M$2:M$875,'Base bordo CD'!D$2:D$875,A1157,'Base bordo CD'!A$2:A$875,B1157,'Base bordo CD'!L$2:L$875,"PARADA POR CONDICOES CLIMATICAS"),0)+IFERROR(SUMIFS('Base bordo CD'!M$2:M$875,'Base bordo CD'!D$2:D$875,A1157,'Base bordo CD'!A$2:A$875,B1157,'Base bordo CD'!L$2:L$875,"TEMPO INDETERMINADO"),0)</f>
        <v>0</v>
      </c>
      <c r="J1157" s="10">
        <f>IFERROR(SUMIFS('Base bordo CD'!M$2:M$875,'Base bordo CD'!D$2:D$875,A1157,'Base bordo CD'!A$2:A$875,B1157,'Base bordo CD'!L$2:L$875,"LIMITAÇÃO INDÚSTRIA"),0)</f>
        <v>0</v>
      </c>
      <c r="K1157" s="10">
        <f>IFERROR(SUMIFS('Base bordo CD'!M$2:M$875,'Base bordo CD'!D$2:D$875,A1157,'Base bordo CD'!A$2:A$875,B1157,'Base bordo CD'!L$2:L$875,"MAN CORRETIVA*"),0)+IFERROR(SUMIFS('Base bordo CD'!M$2:M$875,'Base bordo CD'!D$2:D$875,A1157,'Base bordo CD'!A$2:A$875,B1157,'Base bordo CD'!L$2:L$875,"AGUARDANDO MANUTENCAO*"),0)+IFERROR(SUMIFS('Base bordo CD'!M$2:M$875,'Base bordo CD'!D$2:D$875,A1157,'Base bordo CD'!A$2:A$875,B1157,'Base bordo CD'!L$2:L$875,"TROCA DE FAQUINHA"),0)+IFERROR(SUMIFS('Base bordo CD'!M$2:M$875,'Base bordo CD'!D$2:D$875,A1157,'Base bordo CD'!A$2:A$875,B1157,'Base bordo CD'!L$2:L$875,"LIMPEZA*"),0)</f>
        <v>0</v>
      </c>
      <c r="L1157" s="10">
        <f>IFERROR(SUMIFS('Base bordo CD'!M$2:M$875,'Base bordo CD'!D$2:D$875,A1157,'Base bordo CD'!A$2:A$875,B1157,'Base bordo CD'!L$2:L$875,"PATIO - RESERVA"),0)</f>
        <v>0</v>
      </c>
      <c r="M1157" s="10">
        <f>IFERROR(SUMIFS('Base bordo CD'!M$2:M$875,'Base bordo CD'!D$2:D$875,A1157,'Base bordo CD'!A$2:A$875,B1157,'Base bordo CD'!L$2:L$875,"SEM APONTAMENTO"),0)</f>
        <v>0</v>
      </c>
      <c r="N1157" s="10">
        <f>IFERROR(SUMIFS('Base bordo CD'!M$2:M$875,'Base bordo CD'!D$2:D$875,A1157,'Base bordo CD'!A$2:A$875,B1157,'Base bordo CD'!L$2:L$875,"FALTA DE CAMINHÃO"),0)+IFERROR(SUMIFS('Base bordo CD'!M$2:M$875,'Base bordo CD'!D$2:D$875,A1157,'Base bordo CD'!A$2:A$875,B1157,'Base bordo CD'!L$2:L$875,"FALTA DE COMBUSTIVEL"),0)+IFERROR(SUMIFS('Base bordo CD'!M$2:M$875,'Base bordo CD'!D$2:D$875,A1157,'Base bordo CD'!A$2:A$875,B1157,'Base bordo CD'!L$2:L$875,"FALTA DE MOTORIST*"),0)</f>
        <v>0</v>
      </c>
      <c r="O1157" s="10">
        <f t="shared" si="95"/>
        <v>0</v>
      </c>
      <c r="P1157" s="10">
        <f>IFERROR(SUMIFS('Base bordo CD'!M$2:M$875,'Base bordo CD'!D$2:D$875,A1157,'Base bordo CD'!A$2:A$875,B1157),0)</f>
        <v>0</v>
      </c>
      <c r="Q1157" s="10">
        <f>IFERROR(SUMIFS('Base bordo CD'!O$2:O$875,'Base bordo CD'!D$2:D$875,A1157,'Base bordo CD'!A$2:A$875,B1157,'Base bordo CD'!L$2:L$875,"CORTE DE CANA MECANIZADO"),0)</f>
        <v>0</v>
      </c>
      <c r="R1157" s="10">
        <f>IFERROR(SUMIFS('Base bordo CD'!Q$2:Q$875,'Base bordo CD'!D$2:D$875,A1157,'Base bordo CD'!A$2:A$875,B1157,'Base bordo CD'!L$2:L$875,"CORTE DE CANA MECANIZADO"),0)</f>
        <v>0</v>
      </c>
      <c r="S1157" s="30" t="str">
        <f t="shared" si="96"/>
        <v/>
      </c>
      <c r="T1157" s="9">
        <f t="shared" si="97"/>
        <v>0</v>
      </c>
      <c r="U1157" s="9">
        <f t="shared" si="98"/>
        <v>0</v>
      </c>
      <c r="V1157" s="9">
        <f t="shared" si="99"/>
        <v>0</v>
      </c>
    </row>
    <row r="1158" spans="1:22" hidden="1" x14ac:dyDescent="0.35">
      <c r="A1158" s="52">
        <v>49593</v>
      </c>
      <c r="B1158" s="31">
        <v>46117</v>
      </c>
      <c r="C1158" s="7" t="s">
        <v>321</v>
      </c>
      <c r="D1158" s="7">
        <v>351</v>
      </c>
      <c r="E1158" s="10">
        <f>IFERROR(SUMIFS('Base bordo CD'!M$2:M$875,'Base bordo CD'!D$2:D$875,A1158,'Base bordo CD'!A$2:A$875,B1158,'Base bordo CD'!L$2:L$875,"CORTE DE CANA MECANIZADO"),0)</f>
        <v>0</v>
      </c>
      <c r="F1158" s="10">
        <f>IFERROR(SUMIFS('Base bordo CD'!M$2:M$875,'Base bordo CD'!D$2:D$875,A1158,'Base bordo CD'!A$2:A$875,B1158,'Base bordo CD'!L$2:L$875,"MANOBRA"),0)</f>
        <v>0</v>
      </c>
      <c r="G1158" s="10">
        <f>IFERROR(SUMIFS('Base bordo CD'!M$2:M$875,'Base bordo CD'!D$2:D$875,A1158,'Base bordo CD'!A$2:A$875,B1158,'Base bordo CD'!L$2:L$875,"DESLOCAMENTO"),0)</f>
        <v>0</v>
      </c>
      <c r="H1158" s="10">
        <f>IFERROR(SUMIFS('Base bordo CD'!M$2:M$875,'Base bordo CD'!D$2:D$875,A1158,'Base bordo CD'!A$2:A$875,B1158,'Base bordo CD'!L$2:L$875,"AGUARDANDO MANOBRA DE TRANSBORDO"),0)+IFERROR(SUMIFS('Base bordo CD'!M$2:M$875,'Base bordo CD'!D$2:D$875,A1158,'Base bordo CD'!A$2:A$875,B1158,'Base bordo CD'!L$2:L$875,"FALTA DE TRANSBORDO"),0)</f>
        <v>0</v>
      </c>
      <c r="I1158" s="10">
        <f>IFERROR(SUMIFS('Base bordo CD'!M$2:M$875,'Base bordo CD'!D$2:D$875,A1158,'Base bordo CD'!A$2:A$875,B1158,'Base bordo CD'!L$2:L$875,"PARADA POR CONDICOES CLIMATICAS"),0)+IFERROR(SUMIFS('Base bordo CD'!M$2:M$875,'Base bordo CD'!D$2:D$875,A1158,'Base bordo CD'!A$2:A$875,B1158,'Base bordo CD'!L$2:L$875,"TEMPO INDETERMINADO"),0)</f>
        <v>0</v>
      </c>
      <c r="J1158" s="10">
        <f>IFERROR(SUMIFS('Base bordo CD'!M$2:M$875,'Base bordo CD'!D$2:D$875,A1158,'Base bordo CD'!A$2:A$875,B1158,'Base bordo CD'!L$2:L$875,"LIMITAÇÃO INDÚSTRIA"),0)</f>
        <v>0</v>
      </c>
      <c r="K1158" s="10">
        <f>IFERROR(SUMIFS('Base bordo CD'!M$2:M$875,'Base bordo CD'!D$2:D$875,A1158,'Base bordo CD'!A$2:A$875,B1158,'Base bordo CD'!L$2:L$875,"MAN CORRETIVA*"),0)+IFERROR(SUMIFS('Base bordo CD'!M$2:M$875,'Base bordo CD'!D$2:D$875,A1158,'Base bordo CD'!A$2:A$875,B1158,'Base bordo CD'!L$2:L$875,"AGUARDANDO MANUTENCAO*"),0)+IFERROR(SUMIFS('Base bordo CD'!M$2:M$875,'Base bordo CD'!D$2:D$875,A1158,'Base bordo CD'!A$2:A$875,B1158,'Base bordo CD'!L$2:L$875,"TROCA DE FAQUINHA"),0)+IFERROR(SUMIFS('Base bordo CD'!M$2:M$875,'Base bordo CD'!D$2:D$875,A1158,'Base bordo CD'!A$2:A$875,B1158,'Base bordo CD'!L$2:L$875,"LIMPEZA*"),0)</f>
        <v>0</v>
      </c>
      <c r="L1158" s="10">
        <f>IFERROR(SUMIFS('Base bordo CD'!M$2:M$875,'Base bordo CD'!D$2:D$875,A1158,'Base bordo CD'!A$2:A$875,B1158,'Base bordo CD'!L$2:L$875,"PATIO - RESERVA"),0)</f>
        <v>0</v>
      </c>
      <c r="M1158" s="10">
        <f>IFERROR(SUMIFS('Base bordo CD'!M$2:M$875,'Base bordo CD'!D$2:D$875,A1158,'Base bordo CD'!A$2:A$875,B1158,'Base bordo CD'!L$2:L$875,"SEM APONTAMENTO"),0)</f>
        <v>0</v>
      </c>
      <c r="N1158" s="10">
        <f>IFERROR(SUMIFS('Base bordo CD'!M$2:M$875,'Base bordo CD'!D$2:D$875,A1158,'Base bordo CD'!A$2:A$875,B1158,'Base bordo CD'!L$2:L$875,"FALTA DE CAMINHÃO"),0)+IFERROR(SUMIFS('Base bordo CD'!M$2:M$875,'Base bordo CD'!D$2:D$875,A1158,'Base bordo CD'!A$2:A$875,B1158,'Base bordo CD'!L$2:L$875,"FALTA DE COMBUSTIVEL"),0)+IFERROR(SUMIFS('Base bordo CD'!M$2:M$875,'Base bordo CD'!D$2:D$875,A1158,'Base bordo CD'!A$2:A$875,B1158,'Base bordo CD'!L$2:L$875,"FALTA DE MOTORIST*"),0)</f>
        <v>0</v>
      </c>
      <c r="O1158" s="10">
        <f t="shared" si="95"/>
        <v>0</v>
      </c>
      <c r="P1158" s="10">
        <f>IFERROR(SUMIFS('Base bordo CD'!M$2:M$875,'Base bordo CD'!D$2:D$875,A1158,'Base bordo CD'!A$2:A$875,B1158),0)</f>
        <v>0</v>
      </c>
      <c r="Q1158" s="10">
        <f>IFERROR(SUMIFS('Base bordo CD'!O$2:O$875,'Base bordo CD'!D$2:D$875,A1158,'Base bordo CD'!A$2:A$875,B1158,'Base bordo CD'!L$2:L$875,"CORTE DE CANA MECANIZADO"),0)</f>
        <v>0</v>
      </c>
      <c r="R1158" s="10">
        <f>IFERROR(SUMIFS('Base bordo CD'!Q$2:Q$875,'Base bordo CD'!D$2:D$875,A1158,'Base bordo CD'!A$2:A$875,B1158,'Base bordo CD'!L$2:L$875,"CORTE DE CANA MECANIZADO"),0)</f>
        <v>0</v>
      </c>
      <c r="S1158" s="30" t="str">
        <f t="shared" si="96"/>
        <v/>
      </c>
      <c r="T1158" s="9">
        <f t="shared" si="97"/>
        <v>0</v>
      </c>
      <c r="U1158" s="9">
        <f t="shared" si="98"/>
        <v>0</v>
      </c>
      <c r="V1158" s="9">
        <f t="shared" si="99"/>
        <v>0</v>
      </c>
    </row>
    <row r="1159" spans="1:22" hidden="1" x14ac:dyDescent="0.35">
      <c r="A1159" s="52">
        <v>49593</v>
      </c>
      <c r="B1159" s="31">
        <v>46117</v>
      </c>
      <c r="C1159" s="7" t="s">
        <v>321</v>
      </c>
      <c r="D1159" s="7">
        <v>351</v>
      </c>
      <c r="E1159" s="10">
        <f>IFERROR(SUMIFS('Base bordo CD'!M$2:M$875,'Base bordo CD'!D$2:D$875,A1159,'Base bordo CD'!A$2:A$875,B1159,'Base bordo CD'!L$2:L$875,"CORTE DE CANA MECANIZADO"),0)</f>
        <v>0</v>
      </c>
      <c r="F1159" s="10">
        <f>IFERROR(SUMIFS('Base bordo CD'!M$2:M$875,'Base bordo CD'!D$2:D$875,A1159,'Base bordo CD'!A$2:A$875,B1159,'Base bordo CD'!L$2:L$875,"MANOBRA"),0)</f>
        <v>0</v>
      </c>
      <c r="G1159" s="10">
        <f>IFERROR(SUMIFS('Base bordo CD'!M$2:M$875,'Base bordo CD'!D$2:D$875,A1159,'Base bordo CD'!A$2:A$875,B1159,'Base bordo CD'!L$2:L$875,"DESLOCAMENTO"),0)</f>
        <v>0</v>
      </c>
      <c r="H1159" s="10">
        <f>IFERROR(SUMIFS('Base bordo CD'!M$2:M$875,'Base bordo CD'!D$2:D$875,A1159,'Base bordo CD'!A$2:A$875,B1159,'Base bordo CD'!L$2:L$875,"AGUARDANDO MANOBRA DE TRANSBORDO"),0)+IFERROR(SUMIFS('Base bordo CD'!M$2:M$875,'Base bordo CD'!D$2:D$875,A1159,'Base bordo CD'!A$2:A$875,B1159,'Base bordo CD'!L$2:L$875,"FALTA DE TRANSBORDO"),0)</f>
        <v>0</v>
      </c>
      <c r="I1159" s="10">
        <f>IFERROR(SUMIFS('Base bordo CD'!M$2:M$875,'Base bordo CD'!D$2:D$875,A1159,'Base bordo CD'!A$2:A$875,B1159,'Base bordo CD'!L$2:L$875,"PARADA POR CONDICOES CLIMATICAS"),0)+IFERROR(SUMIFS('Base bordo CD'!M$2:M$875,'Base bordo CD'!D$2:D$875,A1159,'Base bordo CD'!A$2:A$875,B1159,'Base bordo CD'!L$2:L$875,"TEMPO INDETERMINADO"),0)</f>
        <v>0</v>
      </c>
      <c r="J1159" s="10">
        <f>IFERROR(SUMIFS('Base bordo CD'!M$2:M$875,'Base bordo CD'!D$2:D$875,A1159,'Base bordo CD'!A$2:A$875,B1159,'Base bordo CD'!L$2:L$875,"LIMITAÇÃO INDÚSTRIA"),0)</f>
        <v>0</v>
      </c>
      <c r="K1159" s="10">
        <f>IFERROR(SUMIFS('Base bordo CD'!M$2:M$875,'Base bordo CD'!D$2:D$875,A1159,'Base bordo CD'!A$2:A$875,B1159,'Base bordo CD'!L$2:L$875,"MAN CORRETIVA*"),0)+IFERROR(SUMIFS('Base bordo CD'!M$2:M$875,'Base bordo CD'!D$2:D$875,A1159,'Base bordo CD'!A$2:A$875,B1159,'Base bordo CD'!L$2:L$875,"AGUARDANDO MANUTENCAO*"),0)+IFERROR(SUMIFS('Base bordo CD'!M$2:M$875,'Base bordo CD'!D$2:D$875,A1159,'Base bordo CD'!A$2:A$875,B1159,'Base bordo CD'!L$2:L$875,"TROCA DE FAQUINHA"),0)+IFERROR(SUMIFS('Base bordo CD'!M$2:M$875,'Base bordo CD'!D$2:D$875,A1159,'Base bordo CD'!A$2:A$875,B1159,'Base bordo CD'!L$2:L$875,"LIMPEZA*"),0)</f>
        <v>0</v>
      </c>
      <c r="L1159" s="10">
        <f>IFERROR(SUMIFS('Base bordo CD'!M$2:M$875,'Base bordo CD'!D$2:D$875,A1159,'Base bordo CD'!A$2:A$875,B1159,'Base bordo CD'!L$2:L$875,"PATIO - RESERVA"),0)</f>
        <v>0</v>
      </c>
      <c r="M1159" s="10">
        <f>IFERROR(SUMIFS('Base bordo CD'!M$2:M$875,'Base bordo CD'!D$2:D$875,A1159,'Base bordo CD'!A$2:A$875,B1159,'Base bordo CD'!L$2:L$875,"SEM APONTAMENTO"),0)</f>
        <v>0</v>
      </c>
      <c r="N1159" s="10">
        <f>IFERROR(SUMIFS('Base bordo CD'!M$2:M$875,'Base bordo CD'!D$2:D$875,A1159,'Base bordo CD'!A$2:A$875,B1159,'Base bordo CD'!L$2:L$875,"FALTA DE CAMINHÃO"),0)+IFERROR(SUMIFS('Base bordo CD'!M$2:M$875,'Base bordo CD'!D$2:D$875,A1159,'Base bordo CD'!A$2:A$875,B1159,'Base bordo CD'!L$2:L$875,"FALTA DE COMBUSTIVEL"),0)+IFERROR(SUMIFS('Base bordo CD'!M$2:M$875,'Base bordo CD'!D$2:D$875,A1159,'Base bordo CD'!A$2:A$875,B1159,'Base bordo CD'!L$2:L$875,"FALTA DE MOTORIST*"),0)</f>
        <v>0</v>
      </c>
      <c r="O1159" s="10">
        <f t="shared" si="95"/>
        <v>0</v>
      </c>
      <c r="P1159" s="10">
        <f>IFERROR(SUMIFS('Base bordo CD'!M$2:M$875,'Base bordo CD'!D$2:D$875,A1159,'Base bordo CD'!A$2:A$875,B1159),0)</f>
        <v>0</v>
      </c>
      <c r="Q1159" s="10">
        <f>IFERROR(SUMIFS('Base bordo CD'!O$2:O$875,'Base bordo CD'!D$2:D$875,A1159,'Base bordo CD'!A$2:A$875,B1159,'Base bordo CD'!L$2:L$875,"CORTE DE CANA MECANIZADO"),0)</f>
        <v>0</v>
      </c>
      <c r="R1159" s="10">
        <f>IFERROR(SUMIFS('Base bordo CD'!Q$2:Q$875,'Base bordo CD'!D$2:D$875,A1159,'Base bordo CD'!A$2:A$875,B1159,'Base bordo CD'!L$2:L$875,"CORTE DE CANA MECANIZADO"),0)</f>
        <v>0</v>
      </c>
      <c r="S1159" s="30" t="str">
        <f t="shared" si="96"/>
        <v/>
      </c>
      <c r="T1159" s="9">
        <f t="shared" si="97"/>
        <v>0</v>
      </c>
      <c r="U1159" s="9">
        <f t="shared" si="98"/>
        <v>0</v>
      </c>
      <c r="V1159" s="9">
        <f t="shared" si="99"/>
        <v>0</v>
      </c>
    </row>
    <row r="1160" spans="1:22" hidden="1" x14ac:dyDescent="0.35">
      <c r="A1160" s="52">
        <v>49593</v>
      </c>
      <c r="B1160" s="31">
        <v>46117</v>
      </c>
      <c r="C1160" s="7" t="s">
        <v>321</v>
      </c>
      <c r="D1160" s="7">
        <v>351</v>
      </c>
      <c r="E1160" s="10">
        <f>IFERROR(SUMIFS('Base bordo CD'!M$2:M$875,'Base bordo CD'!D$2:D$875,A1160,'Base bordo CD'!A$2:A$875,B1160,'Base bordo CD'!L$2:L$875,"CORTE DE CANA MECANIZADO"),0)</f>
        <v>0</v>
      </c>
      <c r="F1160" s="10">
        <f>IFERROR(SUMIFS('Base bordo CD'!M$2:M$875,'Base bordo CD'!D$2:D$875,A1160,'Base bordo CD'!A$2:A$875,B1160,'Base bordo CD'!L$2:L$875,"MANOBRA"),0)</f>
        <v>0</v>
      </c>
      <c r="G1160" s="10">
        <f>IFERROR(SUMIFS('Base bordo CD'!M$2:M$875,'Base bordo CD'!D$2:D$875,A1160,'Base bordo CD'!A$2:A$875,B1160,'Base bordo CD'!L$2:L$875,"DESLOCAMENTO"),0)</f>
        <v>0</v>
      </c>
      <c r="H1160" s="10">
        <f>IFERROR(SUMIFS('Base bordo CD'!M$2:M$875,'Base bordo CD'!D$2:D$875,A1160,'Base bordo CD'!A$2:A$875,B1160,'Base bordo CD'!L$2:L$875,"AGUARDANDO MANOBRA DE TRANSBORDO"),0)+IFERROR(SUMIFS('Base bordo CD'!M$2:M$875,'Base bordo CD'!D$2:D$875,A1160,'Base bordo CD'!A$2:A$875,B1160,'Base bordo CD'!L$2:L$875,"FALTA DE TRANSBORDO"),0)</f>
        <v>0</v>
      </c>
      <c r="I1160" s="10">
        <f>IFERROR(SUMIFS('Base bordo CD'!M$2:M$875,'Base bordo CD'!D$2:D$875,A1160,'Base bordo CD'!A$2:A$875,B1160,'Base bordo CD'!L$2:L$875,"PARADA POR CONDICOES CLIMATICAS"),0)+IFERROR(SUMIFS('Base bordo CD'!M$2:M$875,'Base bordo CD'!D$2:D$875,A1160,'Base bordo CD'!A$2:A$875,B1160,'Base bordo CD'!L$2:L$875,"TEMPO INDETERMINADO"),0)</f>
        <v>0</v>
      </c>
      <c r="J1160" s="10">
        <f>IFERROR(SUMIFS('Base bordo CD'!M$2:M$875,'Base bordo CD'!D$2:D$875,A1160,'Base bordo CD'!A$2:A$875,B1160,'Base bordo CD'!L$2:L$875,"LIMITAÇÃO INDÚSTRIA"),0)</f>
        <v>0</v>
      </c>
      <c r="K1160" s="10">
        <f>IFERROR(SUMIFS('Base bordo CD'!M$2:M$875,'Base bordo CD'!D$2:D$875,A1160,'Base bordo CD'!A$2:A$875,B1160,'Base bordo CD'!L$2:L$875,"MAN CORRETIVA*"),0)+IFERROR(SUMIFS('Base bordo CD'!M$2:M$875,'Base bordo CD'!D$2:D$875,A1160,'Base bordo CD'!A$2:A$875,B1160,'Base bordo CD'!L$2:L$875,"AGUARDANDO MANUTENCAO*"),0)+IFERROR(SUMIFS('Base bordo CD'!M$2:M$875,'Base bordo CD'!D$2:D$875,A1160,'Base bordo CD'!A$2:A$875,B1160,'Base bordo CD'!L$2:L$875,"TROCA DE FAQUINHA"),0)+IFERROR(SUMIFS('Base bordo CD'!M$2:M$875,'Base bordo CD'!D$2:D$875,A1160,'Base bordo CD'!A$2:A$875,B1160,'Base bordo CD'!L$2:L$875,"LIMPEZA*"),0)</f>
        <v>0</v>
      </c>
      <c r="L1160" s="10">
        <f>IFERROR(SUMIFS('Base bordo CD'!M$2:M$875,'Base bordo CD'!D$2:D$875,A1160,'Base bordo CD'!A$2:A$875,B1160,'Base bordo CD'!L$2:L$875,"PATIO - RESERVA"),0)</f>
        <v>0</v>
      </c>
      <c r="M1160" s="10">
        <f>IFERROR(SUMIFS('Base bordo CD'!M$2:M$875,'Base bordo CD'!D$2:D$875,A1160,'Base bordo CD'!A$2:A$875,B1160,'Base bordo CD'!L$2:L$875,"SEM APONTAMENTO"),0)</f>
        <v>0</v>
      </c>
      <c r="N1160" s="10">
        <f>IFERROR(SUMIFS('Base bordo CD'!M$2:M$875,'Base bordo CD'!D$2:D$875,A1160,'Base bordo CD'!A$2:A$875,B1160,'Base bordo CD'!L$2:L$875,"FALTA DE CAMINHÃO"),0)+IFERROR(SUMIFS('Base bordo CD'!M$2:M$875,'Base bordo CD'!D$2:D$875,A1160,'Base bordo CD'!A$2:A$875,B1160,'Base bordo CD'!L$2:L$875,"FALTA DE COMBUSTIVEL"),0)+IFERROR(SUMIFS('Base bordo CD'!M$2:M$875,'Base bordo CD'!D$2:D$875,A1160,'Base bordo CD'!A$2:A$875,B1160,'Base bordo CD'!L$2:L$875,"FALTA DE MOTORIST*"),0)</f>
        <v>0</v>
      </c>
      <c r="O1160" s="10">
        <f t="shared" si="95"/>
        <v>0</v>
      </c>
      <c r="P1160" s="10">
        <f>IFERROR(SUMIFS('Base bordo CD'!M$2:M$875,'Base bordo CD'!D$2:D$875,A1160,'Base bordo CD'!A$2:A$875,B1160),0)</f>
        <v>0</v>
      </c>
      <c r="Q1160" s="10">
        <f>IFERROR(SUMIFS('Base bordo CD'!O$2:O$875,'Base bordo CD'!D$2:D$875,A1160,'Base bordo CD'!A$2:A$875,B1160,'Base bordo CD'!L$2:L$875,"CORTE DE CANA MECANIZADO"),0)</f>
        <v>0</v>
      </c>
      <c r="R1160" s="10">
        <f>IFERROR(SUMIFS('Base bordo CD'!Q$2:Q$875,'Base bordo CD'!D$2:D$875,A1160,'Base bordo CD'!A$2:A$875,B1160,'Base bordo CD'!L$2:L$875,"CORTE DE CANA MECANIZADO"),0)</f>
        <v>0</v>
      </c>
      <c r="S1160" s="30" t="str">
        <f t="shared" si="96"/>
        <v/>
      </c>
      <c r="T1160" s="9">
        <f t="shared" si="97"/>
        <v>0</v>
      </c>
      <c r="U1160" s="9">
        <f t="shared" si="98"/>
        <v>0</v>
      </c>
      <c r="V1160" s="9">
        <f t="shared" si="99"/>
        <v>0</v>
      </c>
    </row>
    <row r="1161" spans="1:22" hidden="1" x14ac:dyDescent="0.35">
      <c r="A1161" s="52">
        <v>49593</v>
      </c>
      <c r="B1161" s="31">
        <v>46117</v>
      </c>
      <c r="C1161" s="7" t="s">
        <v>321</v>
      </c>
      <c r="D1161" s="7">
        <v>351</v>
      </c>
      <c r="E1161" s="10">
        <f>IFERROR(SUMIFS('Base bordo CD'!M$2:M$875,'Base bordo CD'!D$2:D$875,A1161,'Base bordo CD'!A$2:A$875,B1161,'Base bordo CD'!L$2:L$875,"CORTE DE CANA MECANIZADO"),0)</f>
        <v>0</v>
      </c>
      <c r="F1161" s="10">
        <f>IFERROR(SUMIFS('Base bordo CD'!M$2:M$875,'Base bordo CD'!D$2:D$875,A1161,'Base bordo CD'!A$2:A$875,B1161,'Base bordo CD'!L$2:L$875,"MANOBRA"),0)</f>
        <v>0</v>
      </c>
      <c r="G1161" s="10">
        <f>IFERROR(SUMIFS('Base bordo CD'!M$2:M$875,'Base bordo CD'!D$2:D$875,A1161,'Base bordo CD'!A$2:A$875,B1161,'Base bordo CD'!L$2:L$875,"DESLOCAMENTO"),0)</f>
        <v>0</v>
      </c>
      <c r="H1161" s="10">
        <f>IFERROR(SUMIFS('Base bordo CD'!M$2:M$875,'Base bordo CD'!D$2:D$875,A1161,'Base bordo CD'!A$2:A$875,B1161,'Base bordo CD'!L$2:L$875,"AGUARDANDO MANOBRA DE TRANSBORDO"),0)+IFERROR(SUMIFS('Base bordo CD'!M$2:M$875,'Base bordo CD'!D$2:D$875,A1161,'Base bordo CD'!A$2:A$875,B1161,'Base bordo CD'!L$2:L$875,"FALTA DE TRANSBORDO"),0)</f>
        <v>0</v>
      </c>
      <c r="I1161" s="10">
        <f>IFERROR(SUMIFS('Base bordo CD'!M$2:M$875,'Base bordo CD'!D$2:D$875,A1161,'Base bordo CD'!A$2:A$875,B1161,'Base bordo CD'!L$2:L$875,"PARADA POR CONDICOES CLIMATICAS"),0)+IFERROR(SUMIFS('Base bordo CD'!M$2:M$875,'Base bordo CD'!D$2:D$875,A1161,'Base bordo CD'!A$2:A$875,B1161,'Base bordo CD'!L$2:L$875,"TEMPO INDETERMINADO"),0)</f>
        <v>0</v>
      </c>
      <c r="J1161" s="10">
        <f>IFERROR(SUMIFS('Base bordo CD'!M$2:M$875,'Base bordo CD'!D$2:D$875,A1161,'Base bordo CD'!A$2:A$875,B1161,'Base bordo CD'!L$2:L$875,"LIMITAÇÃO INDÚSTRIA"),0)</f>
        <v>0</v>
      </c>
      <c r="K1161" s="10">
        <f>IFERROR(SUMIFS('Base bordo CD'!M$2:M$875,'Base bordo CD'!D$2:D$875,A1161,'Base bordo CD'!A$2:A$875,B1161,'Base bordo CD'!L$2:L$875,"MAN CORRETIVA*"),0)+IFERROR(SUMIFS('Base bordo CD'!M$2:M$875,'Base bordo CD'!D$2:D$875,A1161,'Base bordo CD'!A$2:A$875,B1161,'Base bordo CD'!L$2:L$875,"AGUARDANDO MANUTENCAO*"),0)+IFERROR(SUMIFS('Base bordo CD'!M$2:M$875,'Base bordo CD'!D$2:D$875,A1161,'Base bordo CD'!A$2:A$875,B1161,'Base bordo CD'!L$2:L$875,"TROCA DE FAQUINHA"),0)+IFERROR(SUMIFS('Base bordo CD'!M$2:M$875,'Base bordo CD'!D$2:D$875,A1161,'Base bordo CD'!A$2:A$875,B1161,'Base bordo CD'!L$2:L$875,"LIMPEZA*"),0)</f>
        <v>0</v>
      </c>
      <c r="L1161" s="10">
        <f>IFERROR(SUMIFS('Base bordo CD'!M$2:M$875,'Base bordo CD'!D$2:D$875,A1161,'Base bordo CD'!A$2:A$875,B1161,'Base bordo CD'!L$2:L$875,"PATIO - RESERVA"),0)</f>
        <v>0</v>
      </c>
      <c r="M1161" s="10">
        <f>IFERROR(SUMIFS('Base bordo CD'!M$2:M$875,'Base bordo CD'!D$2:D$875,A1161,'Base bordo CD'!A$2:A$875,B1161,'Base bordo CD'!L$2:L$875,"SEM APONTAMENTO"),0)</f>
        <v>0</v>
      </c>
      <c r="N1161" s="10">
        <f>IFERROR(SUMIFS('Base bordo CD'!M$2:M$875,'Base bordo CD'!D$2:D$875,A1161,'Base bordo CD'!A$2:A$875,B1161,'Base bordo CD'!L$2:L$875,"FALTA DE CAMINHÃO"),0)+IFERROR(SUMIFS('Base bordo CD'!M$2:M$875,'Base bordo CD'!D$2:D$875,A1161,'Base bordo CD'!A$2:A$875,B1161,'Base bordo CD'!L$2:L$875,"FALTA DE COMBUSTIVEL"),0)+IFERROR(SUMIFS('Base bordo CD'!M$2:M$875,'Base bordo CD'!D$2:D$875,A1161,'Base bordo CD'!A$2:A$875,B1161,'Base bordo CD'!L$2:L$875,"FALTA DE MOTORIST*"),0)</f>
        <v>0</v>
      </c>
      <c r="O1161" s="10">
        <f t="shared" si="95"/>
        <v>0</v>
      </c>
      <c r="P1161" s="10">
        <f>IFERROR(SUMIFS('Base bordo CD'!M$2:M$875,'Base bordo CD'!D$2:D$875,A1161,'Base bordo CD'!A$2:A$875,B1161),0)</f>
        <v>0</v>
      </c>
      <c r="Q1161" s="10">
        <f>IFERROR(SUMIFS('Base bordo CD'!O$2:O$875,'Base bordo CD'!D$2:D$875,A1161,'Base bordo CD'!A$2:A$875,B1161,'Base bordo CD'!L$2:L$875,"CORTE DE CANA MECANIZADO"),0)</f>
        <v>0</v>
      </c>
      <c r="R1161" s="10">
        <f>IFERROR(SUMIFS('Base bordo CD'!Q$2:Q$875,'Base bordo CD'!D$2:D$875,A1161,'Base bordo CD'!A$2:A$875,B1161,'Base bordo CD'!L$2:L$875,"CORTE DE CANA MECANIZADO"),0)</f>
        <v>0</v>
      </c>
      <c r="S1161" s="30" t="str">
        <f t="shared" si="96"/>
        <v/>
      </c>
      <c r="T1161" s="9">
        <f t="shared" si="97"/>
        <v>0</v>
      </c>
      <c r="U1161" s="9">
        <f t="shared" si="98"/>
        <v>0</v>
      </c>
      <c r="V1161" s="9">
        <f t="shared" si="99"/>
        <v>0</v>
      </c>
    </row>
    <row r="1162" spans="1:22" hidden="1" x14ac:dyDescent="0.35">
      <c r="A1162" s="52">
        <v>49593</v>
      </c>
      <c r="B1162" s="31">
        <v>46117</v>
      </c>
      <c r="C1162" s="7" t="s">
        <v>321</v>
      </c>
      <c r="D1162" s="7">
        <v>351</v>
      </c>
      <c r="E1162" s="10">
        <f>IFERROR(SUMIFS('Base bordo CD'!M$2:M$875,'Base bordo CD'!D$2:D$875,A1162,'Base bordo CD'!A$2:A$875,B1162,'Base bordo CD'!L$2:L$875,"CORTE DE CANA MECANIZADO"),0)</f>
        <v>0</v>
      </c>
      <c r="F1162" s="10">
        <f>IFERROR(SUMIFS('Base bordo CD'!M$2:M$875,'Base bordo CD'!D$2:D$875,A1162,'Base bordo CD'!A$2:A$875,B1162,'Base bordo CD'!L$2:L$875,"MANOBRA"),0)</f>
        <v>0</v>
      </c>
      <c r="G1162" s="10">
        <f>IFERROR(SUMIFS('Base bordo CD'!M$2:M$875,'Base bordo CD'!D$2:D$875,A1162,'Base bordo CD'!A$2:A$875,B1162,'Base bordo CD'!L$2:L$875,"DESLOCAMENTO"),0)</f>
        <v>0</v>
      </c>
      <c r="H1162" s="10">
        <f>IFERROR(SUMIFS('Base bordo CD'!M$2:M$875,'Base bordo CD'!D$2:D$875,A1162,'Base bordo CD'!A$2:A$875,B1162,'Base bordo CD'!L$2:L$875,"AGUARDANDO MANOBRA DE TRANSBORDO"),0)+IFERROR(SUMIFS('Base bordo CD'!M$2:M$875,'Base bordo CD'!D$2:D$875,A1162,'Base bordo CD'!A$2:A$875,B1162,'Base bordo CD'!L$2:L$875,"FALTA DE TRANSBORDO"),0)</f>
        <v>0</v>
      </c>
      <c r="I1162" s="10">
        <f>IFERROR(SUMIFS('Base bordo CD'!M$2:M$875,'Base bordo CD'!D$2:D$875,A1162,'Base bordo CD'!A$2:A$875,B1162,'Base bordo CD'!L$2:L$875,"PARADA POR CONDICOES CLIMATICAS"),0)+IFERROR(SUMIFS('Base bordo CD'!M$2:M$875,'Base bordo CD'!D$2:D$875,A1162,'Base bordo CD'!A$2:A$875,B1162,'Base bordo CD'!L$2:L$875,"TEMPO INDETERMINADO"),0)</f>
        <v>0</v>
      </c>
      <c r="J1162" s="10">
        <f>IFERROR(SUMIFS('Base bordo CD'!M$2:M$875,'Base bordo CD'!D$2:D$875,A1162,'Base bordo CD'!A$2:A$875,B1162,'Base bordo CD'!L$2:L$875,"LIMITAÇÃO INDÚSTRIA"),0)</f>
        <v>0</v>
      </c>
      <c r="K1162" s="10">
        <f>IFERROR(SUMIFS('Base bordo CD'!M$2:M$875,'Base bordo CD'!D$2:D$875,A1162,'Base bordo CD'!A$2:A$875,B1162,'Base bordo CD'!L$2:L$875,"MAN CORRETIVA*"),0)+IFERROR(SUMIFS('Base bordo CD'!M$2:M$875,'Base bordo CD'!D$2:D$875,A1162,'Base bordo CD'!A$2:A$875,B1162,'Base bordo CD'!L$2:L$875,"AGUARDANDO MANUTENCAO*"),0)+IFERROR(SUMIFS('Base bordo CD'!M$2:M$875,'Base bordo CD'!D$2:D$875,A1162,'Base bordo CD'!A$2:A$875,B1162,'Base bordo CD'!L$2:L$875,"TROCA DE FAQUINHA"),0)+IFERROR(SUMIFS('Base bordo CD'!M$2:M$875,'Base bordo CD'!D$2:D$875,A1162,'Base bordo CD'!A$2:A$875,B1162,'Base bordo CD'!L$2:L$875,"LIMPEZA*"),0)</f>
        <v>0</v>
      </c>
      <c r="L1162" s="10">
        <f>IFERROR(SUMIFS('Base bordo CD'!M$2:M$875,'Base bordo CD'!D$2:D$875,A1162,'Base bordo CD'!A$2:A$875,B1162,'Base bordo CD'!L$2:L$875,"PATIO - RESERVA"),0)</f>
        <v>0</v>
      </c>
      <c r="M1162" s="10">
        <f>IFERROR(SUMIFS('Base bordo CD'!M$2:M$875,'Base bordo CD'!D$2:D$875,A1162,'Base bordo CD'!A$2:A$875,B1162,'Base bordo CD'!L$2:L$875,"SEM APONTAMENTO"),0)</f>
        <v>0</v>
      </c>
      <c r="N1162" s="10">
        <f>IFERROR(SUMIFS('Base bordo CD'!M$2:M$875,'Base bordo CD'!D$2:D$875,A1162,'Base bordo CD'!A$2:A$875,B1162,'Base bordo CD'!L$2:L$875,"FALTA DE CAMINHÃO"),0)+IFERROR(SUMIFS('Base bordo CD'!M$2:M$875,'Base bordo CD'!D$2:D$875,A1162,'Base bordo CD'!A$2:A$875,B1162,'Base bordo CD'!L$2:L$875,"FALTA DE COMBUSTIVEL"),0)+IFERROR(SUMIFS('Base bordo CD'!M$2:M$875,'Base bordo CD'!D$2:D$875,A1162,'Base bordo CD'!A$2:A$875,B1162,'Base bordo CD'!L$2:L$875,"FALTA DE MOTORIST*"),0)</f>
        <v>0</v>
      </c>
      <c r="O1162" s="10">
        <f t="shared" si="95"/>
        <v>0</v>
      </c>
      <c r="P1162" s="10">
        <f>IFERROR(SUMIFS('Base bordo CD'!M$2:M$875,'Base bordo CD'!D$2:D$875,A1162,'Base bordo CD'!A$2:A$875,B1162),0)</f>
        <v>0</v>
      </c>
      <c r="Q1162" s="10">
        <f>IFERROR(SUMIFS('Base bordo CD'!O$2:O$875,'Base bordo CD'!D$2:D$875,A1162,'Base bordo CD'!A$2:A$875,B1162,'Base bordo CD'!L$2:L$875,"CORTE DE CANA MECANIZADO"),0)</f>
        <v>0</v>
      </c>
      <c r="R1162" s="10">
        <f>IFERROR(SUMIFS('Base bordo CD'!Q$2:Q$875,'Base bordo CD'!D$2:D$875,A1162,'Base bordo CD'!A$2:A$875,B1162,'Base bordo CD'!L$2:L$875,"CORTE DE CANA MECANIZADO"),0)</f>
        <v>0</v>
      </c>
      <c r="S1162" s="30" t="str">
        <f t="shared" si="96"/>
        <v/>
      </c>
      <c r="T1162" s="9">
        <f t="shared" si="97"/>
        <v>0</v>
      </c>
      <c r="U1162" s="9">
        <f t="shared" si="98"/>
        <v>0</v>
      </c>
      <c r="V1162" s="9">
        <f t="shared" si="99"/>
        <v>0</v>
      </c>
    </row>
    <row r="1163" spans="1:22" hidden="1" x14ac:dyDescent="0.35">
      <c r="A1163" s="52">
        <v>49593</v>
      </c>
      <c r="B1163" s="31">
        <v>46117</v>
      </c>
      <c r="C1163" s="7" t="s">
        <v>321</v>
      </c>
      <c r="D1163" s="7">
        <v>351</v>
      </c>
      <c r="E1163" s="10">
        <f>IFERROR(SUMIFS('Base bordo CD'!M$2:M$875,'Base bordo CD'!D$2:D$875,A1163,'Base bordo CD'!A$2:A$875,B1163,'Base bordo CD'!L$2:L$875,"CORTE DE CANA MECANIZADO"),0)</f>
        <v>0</v>
      </c>
      <c r="F1163" s="10">
        <f>IFERROR(SUMIFS('Base bordo CD'!M$2:M$875,'Base bordo CD'!D$2:D$875,A1163,'Base bordo CD'!A$2:A$875,B1163,'Base bordo CD'!L$2:L$875,"MANOBRA"),0)</f>
        <v>0</v>
      </c>
      <c r="G1163" s="10">
        <f>IFERROR(SUMIFS('Base bordo CD'!M$2:M$875,'Base bordo CD'!D$2:D$875,A1163,'Base bordo CD'!A$2:A$875,B1163,'Base bordo CD'!L$2:L$875,"DESLOCAMENTO"),0)</f>
        <v>0</v>
      </c>
      <c r="H1163" s="10">
        <f>IFERROR(SUMIFS('Base bordo CD'!M$2:M$875,'Base bordo CD'!D$2:D$875,A1163,'Base bordo CD'!A$2:A$875,B1163,'Base bordo CD'!L$2:L$875,"AGUARDANDO MANOBRA DE TRANSBORDO"),0)+IFERROR(SUMIFS('Base bordo CD'!M$2:M$875,'Base bordo CD'!D$2:D$875,A1163,'Base bordo CD'!A$2:A$875,B1163,'Base bordo CD'!L$2:L$875,"FALTA DE TRANSBORDO"),0)</f>
        <v>0</v>
      </c>
      <c r="I1163" s="10">
        <f>IFERROR(SUMIFS('Base bordo CD'!M$2:M$875,'Base bordo CD'!D$2:D$875,A1163,'Base bordo CD'!A$2:A$875,B1163,'Base bordo CD'!L$2:L$875,"PARADA POR CONDICOES CLIMATICAS"),0)+IFERROR(SUMIFS('Base bordo CD'!M$2:M$875,'Base bordo CD'!D$2:D$875,A1163,'Base bordo CD'!A$2:A$875,B1163,'Base bordo CD'!L$2:L$875,"TEMPO INDETERMINADO"),0)</f>
        <v>0</v>
      </c>
      <c r="J1163" s="10">
        <f>IFERROR(SUMIFS('Base bordo CD'!M$2:M$875,'Base bordo CD'!D$2:D$875,A1163,'Base bordo CD'!A$2:A$875,B1163,'Base bordo CD'!L$2:L$875,"LIMITAÇÃO INDÚSTRIA"),0)</f>
        <v>0</v>
      </c>
      <c r="K1163" s="10">
        <f>IFERROR(SUMIFS('Base bordo CD'!M$2:M$875,'Base bordo CD'!D$2:D$875,A1163,'Base bordo CD'!A$2:A$875,B1163,'Base bordo CD'!L$2:L$875,"MAN CORRETIVA*"),0)+IFERROR(SUMIFS('Base bordo CD'!M$2:M$875,'Base bordo CD'!D$2:D$875,A1163,'Base bordo CD'!A$2:A$875,B1163,'Base bordo CD'!L$2:L$875,"AGUARDANDO MANUTENCAO*"),0)+IFERROR(SUMIFS('Base bordo CD'!M$2:M$875,'Base bordo CD'!D$2:D$875,A1163,'Base bordo CD'!A$2:A$875,B1163,'Base bordo CD'!L$2:L$875,"TROCA DE FAQUINHA"),0)+IFERROR(SUMIFS('Base bordo CD'!M$2:M$875,'Base bordo CD'!D$2:D$875,A1163,'Base bordo CD'!A$2:A$875,B1163,'Base bordo CD'!L$2:L$875,"LIMPEZA*"),0)</f>
        <v>0</v>
      </c>
      <c r="L1163" s="10">
        <f>IFERROR(SUMIFS('Base bordo CD'!M$2:M$875,'Base bordo CD'!D$2:D$875,A1163,'Base bordo CD'!A$2:A$875,B1163,'Base bordo CD'!L$2:L$875,"PATIO - RESERVA"),0)</f>
        <v>0</v>
      </c>
      <c r="M1163" s="10">
        <f>IFERROR(SUMIFS('Base bordo CD'!M$2:M$875,'Base bordo CD'!D$2:D$875,A1163,'Base bordo CD'!A$2:A$875,B1163,'Base bordo CD'!L$2:L$875,"SEM APONTAMENTO"),0)</f>
        <v>0</v>
      </c>
      <c r="N1163" s="10">
        <f>IFERROR(SUMIFS('Base bordo CD'!M$2:M$875,'Base bordo CD'!D$2:D$875,A1163,'Base bordo CD'!A$2:A$875,B1163,'Base bordo CD'!L$2:L$875,"FALTA DE CAMINHÃO"),0)+IFERROR(SUMIFS('Base bordo CD'!M$2:M$875,'Base bordo CD'!D$2:D$875,A1163,'Base bordo CD'!A$2:A$875,B1163,'Base bordo CD'!L$2:L$875,"FALTA DE COMBUSTIVEL"),0)+IFERROR(SUMIFS('Base bordo CD'!M$2:M$875,'Base bordo CD'!D$2:D$875,A1163,'Base bordo CD'!A$2:A$875,B1163,'Base bordo CD'!L$2:L$875,"FALTA DE MOTORIST*"),0)</f>
        <v>0</v>
      </c>
      <c r="O1163" s="10">
        <f t="shared" si="95"/>
        <v>0</v>
      </c>
      <c r="P1163" s="10">
        <f>IFERROR(SUMIFS('Base bordo CD'!M$2:M$875,'Base bordo CD'!D$2:D$875,A1163,'Base bordo CD'!A$2:A$875,B1163),0)</f>
        <v>0</v>
      </c>
      <c r="Q1163" s="10">
        <f>IFERROR(SUMIFS('Base bordo CD'!O$2:O$875,'Base bordo CD'!D$2:D$875,A1163,'Base bordo CD'!A$2:A$875,B1163,'Base bordo CD'!L$2:L$875,"CORTE DE CANA MECANIZADO"),0)</f>
        <v>0</v>
      </c>
      <c r="R1163" s="10">
        <f>IFERROR(SUMIFS('Base bordo CD'!Q$2:Q$875,'Base bordo CD'!D$2:D$875,A1163,'Base bordo CD'!A$2:A$875,B1163,'Base bordo CD'!L$2:L$875,"CORTE DE CANA MECANIZADO"),0)</f>
        <v>0</v>
      </c>
      <c r="S1163" s="30" t="str">
        <f t="shared" si="96"/>
        <v/>
      </c>
      <c r="T1163" s="9">
        <f t="shared" si="97"/>
        <v>0</v>
      </c>
      <c r="U1163" s="9">
        <f t="shared" si="98"/>
        <v>0</v>
      </c>
      <c r="V1163" s="9">
        <f t="shared" si="99"/>
        <v>0</v>
      </c>
    </row>
    <row r="1164" spans="1:22" hidden="1" x14ac:dyDescent="0.35">
      <c r="A1164" s="52">
        <v>49593</v>
      </c>
      <c r="B1164" s="31">
        <v>46117</v>
      </c>
      <c r="C1164" s="7" t="s">
        <v>321</v>
      </c>
      <c r="D1164" s="7">
        <v>351</v>
      </c>
      <c r="E1164" s="10">
        <f>IFERROR(SUMIFS('Base bordo CD'!M$2:M$875,'Base bordo CD'!D$2:D$875,A1164,'Base bordo CD'!A$2:A$875,B1164,'Base bordo CD'!L$2:L$875,"CORTE DE CANA MECANIZADO"),0)</f>
        <v>0</v>
      </c>
      <c r="F1164" s="10">
        <f>IFERROR(SUMIFS('Base bordo CD'!M$2:M$875,'Base bordo CD'!D$2:D$875,A1164,'Base bordo CD'!A$2:A$875,B1164,'Base bordo CD'!L$2:L$875,"MANOBRA"),0)</f>
        <v>0</v>
      </c>
      <c r="G1164" s="10">
        <f>IFERROR(SUMIFS('Base bordo CD'!M$2:M$875,'Base bordo CD'!D$2:D$875,A1164,'Base bordo CD'!A$2:A$875,B1164,'Base bordo CD'!L$2:L$875,"DESLOCAMENTO"),0)</f>
        <v>0</v>
      </c>
      <c r="H1164" s="10">
        <f>IFERROR(SUMIFS('Base bordo CD'!M$2:M$875,'Base bordo CD'!D$2:D$875,A1164,'Base bordo CD'!A$2:A$875,B1164,'Base bordo CD'!L$2:L$875,"AGUARDANDO MANOBRA DE TRANSBORDO"),0)+IFERROR(SUMIFS('Base bordo CD'!M$2:M$875,'Base bordo CD'!D$2:D$875,A1164,'Base bordo CD'!A$2:A$875,B1164,'Base bordo CD'!L$2:L$875,"FALTA DE TRANSBORDO"),0)</f>
        <v>0</v>
      </c>
      <c r="I1164" s="10">
        <f>IFERROR(SUMIFS('Base bordo CD'!M$2:M$875,'Base bordo CD'!D$2:D$875,A1164,'Base bordo CD'!A$2:A$875,B1164,'Base bordo CD'!L$2:L$875,"PARADA POR CONDICOES CLIMATICAS"),0)+IFERROR(SUMIFS('Base bordo CD'!M$2:M$875,'Base bordo CD'!D$2:D$875,A1164,'Base bordo CD'!A$2:A$875,B1164,'Base bordo CD'!L$2:L$875,"TEMPO INDETERMINADO"),0)</f>
        <v>0</v>
      </c>
      <c r="J1164" s="10">
        <f>IFERROR(SUMIFS('Base bordo CD'!M$2:M$875,'Base bordo CD'!D$2:D$875,A1164,'Base bordo CD'!A$2:A$875,B1164,'Base bordo CD'!L$2:L$875,"LIMITAÇÃO INDÚSTRIA"),0)</f>
        <v>0</v>
      </c>
      <c r="K1164" s="10">
        <f>IFERROR(SUMIFS('Base bordo CD'!M$2:M$875,'Base bordo CD'!D$2:D$875,A1164,'Base bordo CD'!A$2:A$875,B1164,'Base bordo CD'!L$2:L$875,"MAN CORRETIVA*"),0)+IFERROR(SUMIFS('Base bordo CD'!M$2:M$875,'Base bordo CD'!D$2:D$875,A1164,'Base bordo CD'!A$2:A$875,B1164,'Base bordo CD'!L$2:L$875,"AGUARDANDO MANUTENCAO*"),0)+IFERROR(SUMIFS('Base bordo CD'!M$2:M$875,'Base bordo CD'!D$2:D$875,A1164,'Base bordo CD'!A$2:A$875,B1164,'Base bordo CD'!L$2:L$875,"TROCA DE FAQUINHA"),0)+IFERROR(SUMIFS('Base bordo CD'!M$2:M$875,'Base bordo CD'!D$2:D$875,A1164,'Base bordo CD'!A$2:A$875,B1164,'Base bordo CD'!L$2:L$875,"LIMPEZA*"),0)</f>
        <v>0</v>
      </c>
      <c r="L1164" s="10">
        <f>IFERROR(SUMIFS('Base bordo CD'!M$2:M$875,'Base bordo CD'!D$2:D$875,A1164,'Base bordo CD'!A$2:A$875,B1164,'Base bordo CD'!L$2:L$875,"PATIO - RESERVA"),0)</f>
        <v>0</v>
      </c>
      <c r="M1164" s="10">
        <f>IFERROR(SUMIFS('Base bordo CD'!M$2:M$875,'Base bordo CD'!D$2:D$875,A1164,'Base bordo CD'!A$2:A$875,B1164,'Base bordo CD'!L$2:L$875,"SEM APONTAMENTO"),0)</f>
        <v>0</v>
      </c>
      <c r="N1164" s="10">
        <f>IFERROR(SUMIFS('Base bordo CD'!M$2:M$875,'Base bordo CD'!D$2:D$875,A1164,'Base bordo CD'!A$2:A$875,B1164,'Base bordo CD'!L$2:L$875,"FALTA DE CAMINHÃO"),0)+IFERROR(SUMIFS('Base bordo CD'!M$2:M$875,'Base bordo CD'!D$2:D$875,A1164,'Base bordo CD'!A$2:A$875,B1164,'Base bordo CD'!L$2:L$875,"FALTA DE COMBUSTIVEL"),0)+IFERROR(SUMIFS('Base bordo CD'!M$2:M$875,'Base bordo CD'!D$2:D$875,A1164,'Base bordo CD'!A$2:A$875,B1164,'Base bordo CD'!L$2:L$875,"FALTA DE MOTORIST*"),0)</f>
        <v>0</v>
      </c>
      <c r="O1164" s="10">
        <f t="shared" si="95"/>
        <v>0</v>
      </c>
      <c r="P1164" s="10">
        <f>IFERROR(SUMIFS('Base bordo CD'!M$2:M$875,'Base bordo CD'!D$2:D$875,A1164,'Base bordo CD'!A$2:A$875,B1164),0)</f>
        <v>0</v>
      </c>
      <c r="Q1164" s="10">
        <f>IFERROR(SUMIFS('Base bordo CD'!O$2:O$875,'Base bordo CD'!D$2:D$875,A1164,'Base bordo CD'!A$2:A$875,B1164,'Base bordo CD'!L$2:L$875,"CORTE DE CANA MECANIZADO"),0)</f>
        <v>0</v>
      </c>
      <c r="R1164" s="10">
        <f>IFERROR(SUMIFS('Base bordo CD'!Q$2:Q$875,'Base bordo CD'!D$2:D$875,A1164,'Base bordo CD'!A$2:A$875,B1164,'Base bordo CD'!L$2:L$875,"CORTE DE CANA MECANIZADO"),0)</f>
        <v>0</v>
      </c>
      <c r="S1164" s="30" t="str">
        <f t="shared" si="96"/>
        <v/>
      </c>
      <c r="T1164" s="9">
        <f t="shared" si="97"/>
        <v>0</v>
      </c>
      <c r="U1164" s="9">
        <f t="shared" si="98"/>
        <v>0</v>
      </c>
      <c r="V1164" s="9">
        <f t="shared" si="99"/>
        <v>0</v>
      </c>
    </row>
    <row r="1165" spans="1:22" hidden="1" x14ac:dyDescent="0.35">
      <c r="A1165" s="52">
        <v>49593</v>
      </c>
      <c r="B1165" s="31">
        <v>46117</v>
      </c>
      <c r="C1165" s="7" t="s">
        <v>321</v>
      </c>
      <c r="D1165" s="7">
        <v>351</v>
      </c>
      <c r="E1165" s="10">
        <f>IFERROR(SUMIFS('Base bordo CD'!M$2:M$875,'Base bordo CD'!D$2:D$875,A1165,'Base bordo CD'!A$2:A$875,B1165,'Base bordo CD'!L$2:L$875,"CORTE DE CANA MECANIZADO"),0)</f>
        <v>0</v>
      </c>
      <c r="F1165" s="10">
        <f>IFERROR(SUMIFS('Base bordo CD'!M$2:M$875,'Base bordo CD'!D$2:D$875,A1165,'Base bordo CD'!A$2:A$875,B1165,'Base bordo CD'!L$2:L$875,"MANOBRA"),0)</f>
        <v>0</v>
      </c>
      <c r="G1165" s="10">
        <f>IFERROR(SUMIFS('Base bordo CD'!M$2:M$875,'Base bordo CD'!D$2:D$875,A1165,'Base bordo CD'!A$2:A$875,B1165,'Base bordo CD'!L$2:L$875,"DESLOCAMENTO"),0)</f>
        <v>0</v>
      </c>
      <c r="H1165" s="10">
        <f>IFERROR(SUMIFS('Base bordo CD'!M$2:M$875,'Base bordo CD'!D$2:D$875,A1165,'Base bordo CD'!A$2:A$875,B1165,'Base bordo CD'!L$2:L$875,"AGUARDANDO MANOBRA DE TRANSBORDO"),0)+IFERROR(SUMIFS('Base bordo CD'!M$2:M$875,'Base bordo CD'!D$2:D$875,A1165,'Base bordo CD'!A$2:A$875,B1165,'Base bordo CD'!L$2:L$875,"FALTA DE TRANSBORDO"),0)</f>
        <v>0</v>
      </c>
      <c r="I1165" s="10">
        <f>IFERROR(SUMIFS('Base bordo CD'!M$2:M$875,'Base bordo CD'!D$2:D$875,A1165,'Base bordo CD'!A$2:A$875,B1165,'Base bordo CD'!L$2:L$875,"PARADA POR CONDICOES CLIMATICAS"),0)+IFERROR(SUMIFS('Base bordo CD'!M$2:M$875,'Base bordo CD'!D$2:D$875,A1165,'Base bordo CD'!A$2:A$875,B1165,'Base bordo CD'!L$2:L$875,"TEMPO INDETERMINADO"),0)</f>
        <v>0</v>
      </c>
      <c r="J1165" s="10">
        <f>IFERROR(SUMIFS('Base bordo CD'!M$2:M$875,'Base bordo CD'!D$2:D$875,A1165,'Base bordo CD'!A$2:A$875,B1165,'Base bordo CD'!L$2:L$875,"LIMITAÇÃO INDÚSTRIA"),0)</f>
        <v>0</v>
      </c>
      <c r="K1165" s="10">
        <f>IFERROR(SUMIFS('Base bordo CD'!M$2:M$875,'Base bordo CD'!D$2:D$875,A1165,'Base bordo CD'!A$2:A$875,B1165,'Base bordo CD'!L$2:L$875,"MAN CORRETIVA*"),0)+IFERROR(SUMIFS('Base bordo CD'!M$2:M$875,'Base bordo CD'!D$2:D$875,A1165,'Base bordo CD'!A$2:A$875,B1165,'Base bordo CD'!L$2:L$875,"AGUARDANDO MANUTENCAO*"),0)+IFERROR(SUMIFS('Base bordo CD'!M$2:M$875,'Base bordo CD'!D$2:D$875,A1165,'Base bordo CD'!A$2:A$875,B1165,'Base bordo CD'!L$2:L$875,"TROCA DE FAQUINHA"),0)+IFERROR(SUMIFS('Base bordo CD'!M$2:M$875,'Base bordo CD'!D$2:D$875,A1165,'Base bordo CD'!A$2:A$875,B1165,'Base bordo CD'!L$2:L$875,"LIMPEZA*"),0)</f>
        <v>0</v>
      </c>
      <c r="L1165" s="10">
        <f>IFERROR(SUMIFS('Base bordo CD'!M$2:M$875,'Base bordo CD'!D$2:D$875,A1165,'Base bordo CD'!A$2:A$875,B1165,'Base bordo CD'!L$2:L$875,"PATIO - RESERVA"),0)</f>
        <v>0</v>
      </c>
      <c r="M1165" s="10">
        <f>IFERROR(SUMIFS('Base bordo CD'!M$2:M$875,'Base bordo CD'!D$2:D$875,A1165,'Base bordo CD'!A$2:A$875,B1165,'Base bordo CD'!L$2:L$875,"SEM APONTAMENTO"),0)</f>
        <v>0</v>
      </c>
      <c r="N1165" s="10">
        <f>IFERROR(SUMIFS('Base bordo CD'!M$2:M$875,'Base bordo CD'!D$2:D$875,A1165,'Base bordo CD'!A$2:A$875,B1165,'Base bordo CD'!L$2:L$875,"FALTA DE CAMINHÃO"),0)+IFERROR(SUMIFS('Base bordo CD'!M$2:M$875,'Base bordo CD'!D$2:D$875,A1165,'Base bordo CD'!A$2:A$875,B1165,'Base bordo CD'!L$2:L$875,"FALTA DE COMBUSTIVEL"),0)+IFERROR(SUMIFS('Base bordo CD'!M$2:M$875,'Base bordo CD'!D$2:D$875,A1165,'Base bordo CD'!A$2:A$875,B1165,'Base bordo CD'!L$2:L$875,"FALTA DE MOTORIST*"),0)</f>
        <v>0</v>
      </c>
      <c r="O1165" s="10">
        <f t="shared" si="95"/>
        <v>0</v>
      </c>
      <c r="P1165" s="10">
        <f>IFERROR(SUMIFS('Base bordo CD'!M$2:M$875,'Base bordo CD'!D$2:D$875,A1165,'Base bordo CD'!A$2:A$875,B1165),0)</f>
        <v>0</v>
      </c>
      <c r="Q1165" s="10">
        <f>IFERROR(SUMIFS('Base bordo CD'!O$2:O$875,'Base bordo CD'!D$2:D$875,A1165,'Base bordo CD'!A$2:A$875,B1165,'Base bordo CD'!L$2:L$875,"CORTE DE CANA MECANIZADO"),0)</f>
        <v>0</v>
      </c>
      <c r="R1165" s="10">
        <f>IFERROR(SUMIFS('Base bordo CD'!Q$2:Q$875,'Base bordo CD'!D$2:D$875,A1165,'Base bordo CD'!A$2:A$875,B1165,'Base bordo CD'!L$2:L$875,"CORTE DE CANA MECANIZADO"),0)</f>
        <v>0</v>
      </c>
      <c r="S1165" s="30" t="str">
        <f t="shared" si="96"/>
        <v/>
      </c>
      <c r="T1165" s="9">
        <f t="shared" si="97"/>
        <v>0</v>
      </c>
      <c r="U1165" s="9">
        <f t="shared" si="98"/>
        <v>0</v>
      </c>
      <c r="V1165" s="9">
        <f t="shared" si="99"/>
        <v>0</v>
      </c>
    </row>
    <row r="1166" spans="1:22" hidden="1" x14ac:dyDescent="0.35">
      <c r="A1166" s="52">
        <v>49593</v>
      </c>
      <c r="B1166" s="31">
        <v>46117</v>
      </c>
      <c r="C1166" s="7" t="s">
        <v>321</v>
      </c>
      <c r="D1166" s="7">
        <v>351</v>
      </c>
      <c r="E1166" s="10">
        <f>IFERROR(SUMIFS('Base bordo CD'!M$2:M$875,'Base bordo CD'!D$2:D$875,A1166,'Base bordo CD'!A$2:A$875,B1166,'Base bordo CD'!L$2:L$875,"CORTE DE CANA MECANIZADO"),0)</f>
        <v>0</v>
      </c>
      <c r="F1166" s="10">
        <f>IFERROR(SUMIFS('Base bordo CD'!M$2:M$875,'Base bordo CD'!D$2:D$875,A1166,'Base bordo CD'!A$2:A$875,B1166,'Base bordo CD'!L$2:L$875,"MANOBRA"),0)</f>
        <v>0</v>
      </c>
      <c r="G1166" s="10">
        <f>IFERROR(SUMIFS('Base bordo CD'!M$2:M$875,'Base bordo CD'!D$2:D$875,A1166,'Base bordo CD'!A$2:A$875,B1166,'Base bordo CD'!L$2:L$875,"DESLOCAMENTO"),0)</f>
        <v>0</v>
      </c>
      <c r="H1166" s="10">
        <f>IFERROR(SUMIFS('Base bordo CD'!M$2:M$875,'Base bordo CD'!D$2:D$875,A1166,'Base bordo CD'!A$2:A$875,B1166,'Base bordo CD'!L$2:L$875,"AGUARDANDO MANOBRA DE TRANSBORDO"),0)+IFERROR(SUMIFS('Base bordo CD'!M$2:M$875,'Base bordo CD'!D$2:D$875,A1166,'Base bordo CD'!A$2:A$875,B1166,'Base bordo CD'!L$2:L$875,"FALTA DE TRANSBORDO"),0)</f>
        <v>0</v>
      </c>
      <c r="I1166" s="10">
        <f>IFERROR(SUMIFS('Base bordo CD'!M$2:M$875,'Base bordo CD'!D$2:D$875,A1166,'Base bordo CD'!A$2:A$875,B1166,'Base bordo CD'!L$2:L$875,"PARADA POR CONDICOES CLIMATICAS"),0)+IFERROR(SUMIFS('Base bordo CD'!M$2:M$875,'Base bordo CD'!D$2:D$875,A1166,'Base bordo CD'!A$2:A$875,B1166,'Base bordo CD'!L$2:L$875,"TEMPO INDETERMINADO"),0)</f>
        <v>0</v>
      </c>
      <c r="J1166" s="10">
        <f>IFERROR(SUMIFS('Base bordo CD'!M$2:M$875,'Base bordo CD'!D$2:D$875,A1166,'Base bordo CD'!A$2:A$875,B1166,'Base bordo CD'!L$2:L$875,"LIMITAÇÃO INDÚSTRIA"),0)</f>
        <v>0</v>
      </c>
      <c r="K1166" s="10">
        <f>IFERROR(SUMIFS('Base bordo CD'!M$2:M$875,'Base bordo CD'!D$2:D$875,A1166,'Base bordo CD'!A$2:A$875,B1166,'Base bordo CD'!L$2:L$875,"MAN CORRETIVA*"),0)+IFERROR(SUMIFS('Base bordo CD'!M$2:M$875,'Base bordo CD'!D$2:D$875,A1166,'Base bordo CD'!A$2:A$875,B1166,'Base bordo CD'!L$2:L$875,"AGUARDANDO MANUTENCAO*"),0)+IFERROR(SUMIFS('Base bordo CD'!M$2:M$875,'Base bordo CD'!D$2:D$875,A1166,'Base bordo CD'!A$2:A$875,B1166,'Base bordo CD'!L$2:L$875,"TROCA DE FAQUINHA"),0)+IFERROR(SUMIFS('Base bordo CD'!M$2:M$875,'Base bordo CD'!D$2:D$875,A1166,'Base bordo CD'!A$2:A$875,B1166,'Base bordo CD'!L$2:L$875,"LIMPEZA*"),0)</f>
        <v>0</v>
      </c>
      <c r="L1166" s="10">
        <f>IFERROR(SUMIFS('Base bordo CD'!M$2:M$875,'Base bordo CD'!D$2:D$875,A1166,'Base bordo CD'!A$2:A$875,B1166,'Base bordo CD'!L$2:L$875,"PATIO - RESERVA"),0)</f>
        <v>0</v>
      </c>
      <c r="M1166" s="10">
        <f>IFERROR(SUMIFS('Base bordo CD'!M$2:M$875,'Base bordo CD'!D$2:D$875,A1166,'Base bordo CD'!A$2:A$875,B1166,'Base bordo CD'!L$2:L$875,"SEM APONTAMENTO"),0)</f>
        <v>0</v>
      </c>
      <c r="N1166" s="10">
        <f>IFERROR(SUMIFS('Base bordo CD'!M$2:M$875,'Base bordo CD'!D$2:D$875,A1166,'Base bordo CD'!A$2:A$875,B1166,'Base bordo CD'!L$2:L$875,"FALTA DE CAMINHÃO"),0)+IFERROR(SUMIFS('Base bordo CD'!M$2:M$875,'Base bordo CD'!D$2:D$875,A1166,'Base bordo CD'!A$2:A$875,B1166,'Base bordo CD'!L$2:L$875,"FALTA DE COMBUSTIVEL"),0)+IFERROR(SUMIFS('Base bordo CD'!M$2:M$875,'Base bordo CD'!D$2:D$875,A1166,'Base bordo CD'!A$2:A$875,B1166,'Base bordo CD'!L$2:L$875,"FALTA DE MOTORIST*"),0)</f>
        <v>0</v>
      </c>
      <c r="O1166" s="10">
        <f t="shared" si="95"/>
        <v>0</v>
      </c>
      <c r="P1166" s="10">
        <f>IFERROR(SUMIFS('Base bordo CD'!M$2:M$875,'Base bordo CD'!D$2:D$875,A1166,'Base bordo CD'!A$2:A$875,B1166),0)</f>
        <v>0</v>
      </c>
      <c r="Q1166" s="10">
        <f>IFERROR(SUMIFS('Base bordo CD'!O$2:O$875,'Base bordo CD'!D$2:D$875,A1166,'Base bordo CD'!A$2:A$875,B1166,'Base bordo CD'!L$2:L$875,"CORTE DE CANA MECANIZADO"),0)</f>
        <v>0</v>
      </c>
      <c r="R1166" s="10">
        <f>IFERROR(SUMIFS('Base bordo CD'!Q$2:Q$875,'Base bordo CD'!D$2:D$875,A1166,'Base bordo CD'!A$2:A$875,B1166,'Base bordo CD'!L$2:L$875,"CORTE DE CANA MECANIZADO"),0)</f>
        <v>0</v>
      </c>
      <c r="S1166" s="30" t="str">
        <f t="shared" si="96"/>
        <v/>
      </c>
      <c r="T1166" s="9">
        <f t="shared" si="97"/>
        <v>0</v>
      </c>
      <c r="U1166" s="9">
        <f t="shared" si="98"/>
        <v>0</v>
      </c>
      <c r="V1166" s="9">
        <f t="shared" si="99"/>
        <v>0</v>
      </c>
    </row>
    <row r="1167" spans="1:22" x14ac:dyDescent="0.35">
      <c r="A1167" s="52">
        <v>49595</v>
      </c>
      <c r="B1167" s="31">
        <v>46117</v>
      </c>
      <c r="C1167" s="7" t="s">
        <v>337</v>
      </c>
      <c r="D1167" s="7">
        <v>353</v>
      </c>
      <c r="E1167" s="10">
        <f>IFERROR(SUMIFS('Base bordo CD'!M$2:M$875,'Base bordo CD'!D$2:D$875,A1167,'Base bordo CD'!A$2:A$875,B1167,'Base bordo CD'!L$2:L$875,"CORTE DE CANA MECANIZADO"),0)</f>
        <v>0</v>
      </c>
      <c r="F1167" s="10">
        <f>IFERROR(SUMIFS('Base bordo CD'!M$2:M$875,'Base bordo CD'!D$2:D$875,A1167,'Base bordo CD'!A$2:A$875,B1167,'Base bordo CD'!L$2:L$875,"MANOBRA"),0)</f>
        <v>0</v>
      </c>
      <c r="G1167" s="10">
        <f>IFERROR(SUMIFS('Base bordo CD'!M$2:M$875,'Base bordo CD'!D$2:D$875,A1167,'Base bordo CD'!A$2:A$875,B1167,'Base bordo CD'!L$2:L$875,"DESLOCAMENTO"),0)</f>
        <v>0</v>
      </c>
      <c r="H1167" s="10">
        <f>IFERROR(SUMIFS('Base bordo CD'!M$2:M$875,'Base bordo CD'!D$2:D$875,A1167,'Base bordo CD'!A$2:A$875,B1167,'Base bordo CD'!L$2:L$875,"AGUARDANDO MANOBRA DE TRANSBORDO"),0)+IFERROR(SUMIFS('Base bordo CD'!M$2:M$875,'Base bordo CD'!D$2:D$875,A1167,'Base bordo CD'!A$2:A$875,B1167,'Base bordo CD'!L$2:L$875,"FALTA DE TRANSBORDO"),0)</f>
        <v>0</v>
      </c>
      <c r="I1167" s="10">
        <f>IFERROR(SUMIFS('Base bordo CD'!M$2:M$875,'Base bordo CD'!D$2:D$875,A1167,'Base bordo CD'!A$2:A$875,B1167,'Base bordo CD'!L$2:L$875,"PARADA POR CONDICOES CLIMATICAS"),0)+IFERROR(SUMIFS('Base bordo CD'!M$2:M$875,'Base bordo CD'!D$2:D$875,A1167,'Base bordo CD'!A$2:A$875,B1167,'Base bordo CD'!L$2:L$875,"TEMPO INDETERMINADO"),0)</f>
        <v>0</v>
      </c>
      <c r="J1167" s="10">
        <f>IFERROR(SUMIFS('Base bordo CD'!M$2:M$875,'Base bordo CD'!D$2:D$875,A1167,'Base bordo CD'!A$2:A$875,B1167,'Base bordo CD'!L$2:L$875,"LIMITAÇÃO INDÚSTRIA"),0)</f>
        <v>0</v>
      </c>
      <c r="K1167" s="10">
        <f>IFERROR(SUMIFS('Base bordo CD'!M$2:M$875,'Base bordo CD'!D$2:D$875,A1167,'Base bordo CD'!A$2:A$875,B1167,'Base bordo CD'!L$2:L$875,"MAN CORRETIVA*"),0)+IFERROR(SUMIFS('Base bordo CD'!M$2:M$875,'Base bordo CD'!D$2:D$875,A1167,'Base bordo CD'!A$2:A$875,B1167,'Base bordo CD'!L$2:L$875,"AGUARDANDO MANUTENCAO*"),0)+IFERROR(SUMIFS('Base bordo CD'!M$2:M$875,'Base bordo CD'!D$2:D$875,A1167,'Base bordo CD'!A$2:A$875,B1167,'Base bordo CD'!L$2:L$875,"TROCA DE FAQUINHA"),0)+IFERROR(SUMIFS('Base bordo CD'!M$2:M$875,'Base bordo CD'!D$2:D$875,A1167,'Base bordo CD'!A$2:A$875,B1167,'Base bordo CD'!L$2:L$875,"LIMPEZA*"),0)</f>
        <v>0</v>
      </c>
      <c r="L1167" s="10">
        <f>IFERROR(SUMIFS('Base bordo CD'!M$2:M$875,'Base bordo CD'!D$2:D$875,A1167,'Base bordo CD'!A$2:A$875,B1167,'Base bordo CD'!L$2:L$875,"PATIO - RESERVA"),0)</f>
        <v>0</v>
      </c>
      <c r="M1167" s="10">
        <f>IFERROR(SUMIFS('Base bordo CD'!M$2:M$875,'Base bordo CD'!D$2:D$875,A1167,'Base bordo CD'!A$2:A$875,B1167,'Base bordo CD'!L$2:L$875,"SEM APONTAMENTO"),0)</f>
        <v>0</v>
      </c>
      <c r="N1167" s="10">
        <f>IFERROR(SUMIFS('Base bordo CD'!M$2:M$875,'Base bordo CD'!D$2:D$875,A1167,'Base bordo CD'!A$2:A$875,B1167,'Base bordo CD'!L$2:L$875,"FALTA DE CAMINHÃO"),0)+IFERROR(SUMIFS('Base bordo CD'!M$2:M$875,'Base bordo CD'!D$2:D$875,A1167,'Base bordo CD'!A$2:A$875,B1167,'Base bordo CD'!L$2:L$875,"FALTA DE COMBUSTIVEL"),0)+IFERROR(SUMIFS('Base bordo CD'!M$2:M$875,'Base bordo CD'!D$2:D$875,A1167,'Base bordo CD'!A$2:A$875,B1167,'Base bordo CD'!L$2:L$875,"FALTA DE MOTORIST*"),0)</f>
        <v>0</v>
      </c>
      <c r="O1167" s="10">
        <f t="shared" si="95"/>
        <v>0</v>
      </c>
      <c r="P1167" s="10">
        <f>IFERROR(SUMIFS('Base bordo CD'!M$2:M$875,'Base bordo CD'!D$2:D$875,A1167,'Base bordo CD'!A$2:A$875,B1167),0)</f>
        <v>0</v>
      </c>
      <c r="Q1167" s="10">
        <f>IFERROR(SUMIFS('Base bordo CD'!O$2:O$875,'Base bordo CD'!D$2:D$875,A1167,'Base bordo CD'!A$2:A$875,B1167,'Base bordo CD'!L$2:L$875,"CORTE DE CANA MECANIZADO"),0)</f>
        <v>0</v>
      </c>
      <c r="R1167" s="10">
        <f>IFERROR(SUMIFS('Base bordo CD'!Q$2:Q$875,'Base bordo CD'!D$2:D$875,A1167,'Base bordo CD'!A$2:A$875,B1167,'Base bordo CD'!L$2:L$875,"CORTE DE CANA MECANIZADO"),0)</f>
        <v>0</v>
      </c>
      <c r="S1167" s="30" t="str">
        <f t="shared" si="96"/>
        <v/>
      </c>
      <c r="T1167" s="9">
        <f t="shared" si="97"/>
        <v>0</v>
      </c>
      <c r="U1167" s="9">
        <f t="shared" si="98"/>
        <v>0</v>
      </c>
      <c r="V1167" s="9">
        <f t="shared" si="99"/>
        <v>0</v>
      </c>
    </row>
    <row r="1168" spans="1:22" x14ac:dyDescent="0.35">
      <c r="A1168" s="52">
        <v>49595</v>
      </c>
      <c r="B1168" s="31">
        <v>46117</v>
      </c>
      <c r="C1168" s="7" t="s">
        <v>337</v>
      </c>
      <c r="D1168" s="7">
        <v>353</v>
      </c>
      <c r="E1168" s="10">
        <f>IFERROR(SUMIFS('Base bordo CD'!M$2:M$875,'Base bordo CD'!D$2:D$875,A1168,'Base bordo CD'!A$2:A$875,B1168,'Base bordo CD'!L$2:L$875,"CORTE DE CANA MECANIZADO"),0)</f>
        <v>0</v>
      </c>
      <c r="F1168" s="10">
        <f>IFERROR(SUMIFS('Base bordo CD'!M$2:M$875,'Base bordo CD'!D$2:D$875,A1168,'Base bordo CD'!A$2:A$875,B1168,'Base bordo CD'!L$2:L$875,"MANOBRA"),0)</f>
        <v>0</v>
      </c>
      <c r="G1168" s="10">
        <f>IFERROR(SUMIFS('Base bordo CD'!M$2:M$875,'Base bordo CD'!D$2:D$875,A1168,'Base bordo CD'!A$2:A$875,B1168,'Base bordo CD'!L$2:L$875,"DESLOCAMENTO"),0)</f>
        <v>0</v>
      </c>
      <c r="H1168" s="10">
        <f>IFERROR(SUMIFS('Base bordo CD'!M$2:M$875,'Base bordo CD'!D$2:D$875,A1168,'Base bordo CD'!A$2:A$875,B1168,'Base bordo CD'!L$2:L$875,"AGUARDANDO MANOBRA DE TRANSBORDO"),0)+IFERROR(SUMIFS('Base bordo CD'!M$2:M$875,'Base bordo CD'!D$2:D$875,A1168,'Base bordo CD'!A$2:A$875,B1168,'Base bordo CD'!L$2:L$875,"FALTA DE TRANSBORDO"),0)</f>
        <v>0</v>
      </c>
      <c r="I1168" s="10">
        <f>IFERROR(SUMIFS('Base bordo CD'!M$2:M$875,'Base bordo CD'!D$2:D$875,A1168,'Base bordo CD'!A$2:A$875,B1168,'Base bordo CD'!L$2:L$875,"PARADA POR CONDICOES CLIMATICAS"),0)+IFERROR(SUMIFS('Base bordo CD'!M$2:M$875,'Base bordo CD'!D$2:D$875,A1168,'Base bordo CD'!A$2:A$875,B1168,'Base bordo CD'!L$2:L$875,"TEMPO INDETERMINADO"),0)</f>
        <v>0</v>
      </c>
      <c r="J1168" s="10">
        <f>IFERROR(SUMIFS('Base bordo CD'!M$2:M$875,'Base bordo CD'!D$2:D$875,A1168,'Base bordo CD'!A$2:A$875,B1168,'Base bordo CD'!L$2:L$875,"LIMITAÇÃO INDÚSTRIA"),0)</f>
        <v>0</v>
      </c>
      <c r="K1168" s="10">
        <f>IFERROR(SUMIFS('Base bordo CD'!M$2:M$875,'Base bordo CD'!D$2:D$875,A1168,'Base bordo CD'!A$2:A$875,B1168,'Base bordo CD'!L$2:L$875,"MAN CORRETIVA*"),0)+IFERROR(SUMIFS('Base bordo CD'!M$2:M$875,'Base bordo CD'!D$2:D$875,A1168,'Base bordo CD'!A$2:A$875,B1168,'Base bordo CD'!L$2:L$875,"AGUARDANDO MANUTENCAO*"),0)+IFERROR(SUMIFS('Base bordo CD'!M$2:M$875,'Base bordo CD'!D$2:D$875,A1168,'Base bordo CD'!A$2:A$875,B1168,'Base bordo CD'!L$2:L$875,"TROCA DE FAQUINHA"),0)+IFERROR(SUMIFS('Base bordo CD'!M$2:M$875,'Base bordo CD'!D$2:D$875,A1168,'Base bordo CD'!A$2:A$875,B1168,'Base bordo CD'!L$2:L$875,"LIMPEZA*"),0)</f>
        <v>0</v>
      </c>
      <c r="L1168" s="10">
        <f>IFERROR(SUMIFS('Base bordo CD'!M$2:M$875,'Base bordo CD'!D$2:D$875,A1168,'Base bordo CD'!A$2:A$875,B1168,'Base bordo CD'!L$2:L$875,"PATIO - RESERVA"),0)</f>
        <v>0</v>
      </c>
      <c r="M1168" s="10">
        <f>IFERROR(SUMIFS('Base bordo CD'!M$2:M$875,'Base bordo CD'!D$2:D$875,A1168,'Base bordo CD'!A$2:A$875,B1168,'Base bordo CD'!L$2:L$875,"SEM APONTAMENTO"),0)</f>
        <v>0</v>
      </c>
      <c r="N1168" s="10">
        <f>IFERROR(SUMIFS('Base bordo CD'!M$2:M$875,'Base bordo CD'!D$2:D$875,A1168,'Base bordo CD'!A$2:A$875,B1168,'Base bordo CD'!L$2:L$875,"FALTA DE CAMINHÃO"),0)+IFERROR(SUMIFS('Base bordo CD'!M$2:M$875,'Base bordo CD'!D$2:D$875,A1168,'Base bordo CD'!A$2:A$875,B1168,'Base bordo CD'!L$2:L$875,"FALTA DE COMBUSTIVEL"),0)+IFERROR(SUMIFS('Base bordo CD'!M$2:M$875,'Base bordo CD'!D$2:D$875,A1168,'Base bordo CD'!A$2:A$875,B1168,'Base bordo CD'!L$2:L$875,"FALTA DE MOTORIST*"),0)</f>
        <v>0</v>
      </c>
      <c r="O1168" s="10">
        <f t="shared" si="95"/>
        <v>0</v>
      </c>
      <c r="P1168" s="10">
        <f>IFERROR(SUMIFS('Base bordo CD'!M$2:M$875,'Base bordo CD'!D$2:D$875,A1168,'Base bordo CD'!A$2:A$875,B1168),0)</f>
        <v>0</v>
      </c>
      <c r="Q1168" s="10">
        <f>IFERROR(SUMIFS('Base bordo CD'!O$2:O$875,'Base bordo CD'!D$2:D$875,A1168,'Base bordo CD'!A$2:A$875,B1168,'Base bordo CD'!L$2:L$875,"CORTE DE CANA MECANIZADO"),0)</f>
        <v>0</v>
      </c>
      <c r="R1168" s="10">
        <f>IFERROR(SUMIFS('Base bordo CD'!Q$2:Q$875,'Base bordo CD'!D$2:D$875,A1168,'Base bordo CD'!A$2:A$875,B1168,'Base bordo CD'!L$2:L$875,"CORTE DE CANA MECANIZADO"),0)</f>
        <v>0</v>
      </c>
      <c r="S1168" s="30" t="str">
        <f t="shared" si="96"/>
        <v/>
      </c>
      <c r="T1168" s="9">
        <f t="shared" si="97"/>
        <v>0</v>
      </c>
      <c r="U1168" s="9">
        <f t="shared" si="98"/>
        <v>0</v>
      </c>
      <c r="V1168" s="9">
        <f t="shared" si="99"/>
        <v>0</v>
      </c>
    </row>
    <row r="1169" spans="1:22" x14ac:dyDescent="0.35">
      <c r="A1169" s="52">
        <v>49595</v>
      </c>
      <c r="B1169" s="31">
        <v>46117</v>
      </c>
      <c r="C1169" s="7" t="s">
        <v>337</v>
      </c>
      <c r="D1169" s="7">
        <v>353</v>
      </c>
      <c r="E1169" s="10">
        <f>IFERROR(SUMIFS('Base bordo CD'!M$2:M$875,'Base bordo CD'!D$2:D$875,A1169,'Base bordo CD'!A$2:A$875,B1169,'Base bordo CD'!L$2:L$875,"CORTE DE CANA MECANIZADO"),0)</f>
        <v>0</v>
      </c>
      <c r="F1169" s="10">
        <f>IFERROR(SUMIFS('Base bordo CD'!M$2:M$875,'Base bordo CD'!D$2:D$875,A1169,'Base bordo CD'!A$2:A$875,B1169,'Base bordo CD'!L$2:L$875,"MANOBRA"),0)</f>
        <v>0</v>
      </c>
      <c r="G1169" s="10">
        <f>IFERROR(SUMIFS('Base bordo CD'!M$2:M$875,'Base bordo CD'!D$2:D$875,A1169,'Base bordo CD'!A$2:A$875,B1169,'Base bordo CD'!L$2:L$875,"DESLOCAMENTO"),0)</f>
        <v>0</v>
      </c>
      <c r="H1169" s="10">
        <f>IFERROR(SUMIFS('Base bordo CD'!M$2:M$875,'Base bordo CD'!D$2:D$875,A1169,'Base bordo CD'!A$2:A$875,B1169,'Base bordo CD'!L$2:L$875,"AGUARDANDO MANOBRA DE TRANSBORDO"),0)+IFERROR(SUMIFS('Base bordo CD'!M$2:M$875,'Base bordo CD'!D$2:D$875,A1169,'Base bordo CD'!A$2:A$875,B1169,'Base bordo CD'!L$2:L$875,"FALTA DE TRANSBORDO"),0)</f>
        <v>0</v>
      </c>
      <c r="I1169" s="10">
        <f>IFERROR(SUMIFS('Base bordo CD'!M$2:M$875,'Base bordo CD'!D$2:D$875,A1169,'Base bordo CD'!A$2:A$875,B1169,'Base bordo CD'!L$2:L$875,"PARADA POR CONDICOES CLIMATICAS"),0)+IFERROR(SUMIFS('Base bordo CD'!M$2:M$875,'Base bordo CD'!D$2:D$875,A1169,'Base bordo CD'!A$2:A$875,B1169,'Base bordo CD'!L$2:L$875,"TEMPO INDETERMINADO"),0)</f>
        <v>0</v>
      </c>
      <c r="J1169" s="10">
        <f>IFERROR(SUMIFS('Base bordo CD'!M$2:M$875,'Base bordo CD'!D$2:D$875,A1169,'Base bordo CD'!A$2:A$875,B1169,'Base bordo CD'!L$2:L$875,"LIMITAÇÃO INDÚSTRIA"),0)</f>
        <v>0</v>
      </c>
      <c r="K1169" s="10">
        <f>IFERROR(SUMIFS('Base bordo CD'!M$2:M$875,'Base bordo CD'!D$2:D$875,A1169,'Base bordo CD'!A$2:A$875,B1169,'Base bordo CD'!L$2:L$875,"MAN CORRETIVA*"),0)+IFERROR(SUMIFS('Base bordo CD'!M$2:M$875,'Base bordo CD'!D$2:D$875,A1169,'Base bordo CD'!A$2:A$875,B1169,'Base bordo CD'!L$2:L$875,"AGUARDANDO MANUTENCAO*"),0)+IFERROR(SUMIFS('Base bordo CD'!M$2:M$875,'Base bordo CD'!D$2:D$875,A1169,'Base bordo CD'!A$2:A$875,B1169,'Base bordo CD'!L$2:L$875,"TROCA DE FAQUINHA"),0)+IFERROR(SUMIFS('Base bordo CD'!M$2:M$875,'Base bordo CD'!D$2:D$875,A1169,'Base bordo CD'!A$2:A$875,B1169,'Base bordo CD'!L$2:L$875,"LIMPEZA*"),0)</f>
        <v>0</v>
      </c>
      <c r="L1169" s="10">
        <f>IFERROR(SUMIFS('Base bordo CD'!M$2:M$875,'Base bordo CD'!D$2:D$875,A1169,'Base bordo CD'!A$2:A$875,B1169,'Base bordo CD'!L$2:L$875,"PATIO - RESERVA"),0)</f>
        <v>0</v>
      </c>
      <c r="M1169" s="10">
        <f>IFERROR(SUMIFS('Base bordo CD'!M$2:M$875,'Base bordo CD'!D$2:D$875,A1169,'Base bordo CD'!A$2:A$875,B1169,'Base bordo CD'!L$2:L$875,"SEM APONTAMENTO"),0)</f>
        <v>0</v>
      </c>
      <c r="N1169" s="10">
        <f>IFERROR(SUMIFS('Base bordo CD'!M$2:M$875,'Base bordo CD'!D$2:D$875,A1169,'Base bordo CD'!A$2:A$875,B1169,'Base bordo CD'!L$2:L$875,"FALTA DE CAMINHÃO"),0)+IFERROR(SUMIFS('Base bordo CD'!M$2:M$875,'Base bordo CD'!D$2:D$875,A1169,'Base bordo CD'!A$2:A$875,B1169,'Base bordo CD'!L$2:L$875,"FALTA DE COMBUSTIVEL"),0)+IFERROR(SUMIFS('Base bordo CD'!M$2:M$875,'Base bordo CD'!D$2:D$875,A1169,'Base bordo CD'!A$2:A$875,B1169,'Base bordo CD'!L$2:L$875,"FALTA DE MOTORIST*"),0)</f>
        <v>0</v>
      </c>
      <c r="O1169" s="10">
        <f t="shared" si="95"/>
        <v>0</v>
      </c>
      <c r="P1169" s="10">
        <f>IFERROR(SUMIFS('Base bordo CD'!M$2:M$875,'Base bordo CD'!D$2:D$875,A1169,'Base bordo CD'!A$2:A$875,B1169),0)</f>
        <v>0</v>
      </c>
      <c r="Q1169" s="10">
        <f>IFERROR(SUMIFS('Base bordo CD'!O$2:O$875,'Base bordo CD'!D$2:D$875,A1169,'Base bordo CD'!A$2:A$875,B1169,'Base bordo CD'!L$2:L$875,"CORTE DE CANA MECANIZADO"),0)</f>
        <v>0</v>
      </c>
      <c r="R1169" s="10">
        <f>IFERROR(SUMIFS('Base bordo CD'!Q$2:Q$875,'Base bordo CD'!D$2:D$875,A1169,'Base bordo CD'!A$2:A$875,B1169,'Base bordo CD'!L$2:L$875,"CORTE DE CANA MECANIZADO"),0)</f>
        <v>0</v>
      </c>
      <c r="S1169" s="30" t="str">
        <f t="shared" si="96"/>
        <v/>
      </c>
      <c r="T1169" s="9">
        <f t="shared" si="97"/>
        <v>0</v>
      </c>
      <c r="U1169" s="9">
        <f t="shared" si="98"/>
        <v>0</v>
      </c>
      <c r="V1169" s="9">
        <f t="shared" si="99"/>
        <v>0</v>
      </c>
    </row>
    <row r="1170" spans="1:22" x14ac:dyDescent="0.35">
      <c r="A1170" s="52">
        <v>49595</v>
      </c>
      <c r="B1170" s="31">
        <v>46117</v>
      </c>
      <c r="C1170" s="7" t="s">
        <v>337</v>
      </c>
      <c r="D1170" s="7">
        <v>353</v>
      </c>
      <c r="E1170" s="10">
        <f>IFERROR(SUMIFS('Base bordo CD'!M$2:M$875,'Base bordo CD'!D$2:D$875,A1170,'Base bordo CD'!A$2:A$875,B1170,'Base bordo CD'!L$2:L$875,"CORTE DE CANA MECANIZADO"),0)</f>
        <v>0</v>
      </c>
      <c r="F1170" s="10">
        <f>IFERROR(SUMIFS('Base bordo CD'!M$2:M$875,'Base bordo CD'!D$2:D$875,A1170,'Base bordo CD'!A$2:A$875,B1170,'Base bordo CD'!L$2:L$875,"MANOBRA"),0)</f>
        <v>0</v>
      </c>
      <c r="G1170" s="10">
        <f>IFERROR(SUMIFS('Base bordo CD'!M$2:M$875,'Base bordo CD'!D$2:D$875,A1170,'Base bordo CD'!A$2:A$875,B1170,'Base bordo CD'!L$2:L$875,"DESLOCAMENTO"),0)</f>
        <v>0</v>
      </c>
      <c r="H1170" s="10">
        <f>IFERROR(SUMIFS('Base bordo CD'!M$2:M$875,'Base bordo CD'!D$2:D$875,A1170,'Base bordo CD'!A$2:A$875,B1170,'Base bordo CD'!L$2:L$875,"AGUARDANDO MANOBRA DE TRANSBORDO"),0)+IFERROR(SUMIFS('Base bordo CD'!M$2:M$875,'Base bordo CD'!D$2:D$875,A1170,'Base bordo CD'!A$2:A$875,B1170,'Base bordo CD'!L$2:L$875,"FALTA DE TRANSBORDO"),0)</f>
        <v>0</v>
      </c>
      <c r="I1170" s="10">
        <f>IFERROR(SUMIFS('Base bordo CD'!M$2:M$875,'Base bordo CD'!D$2:D$875,A1170,'Base bordo CD'!A$2:A$875,B1170,'Base bordo CD'!L$2:L$875,"PARADA POR CONDICOES CLIMATICAS"),0)+IFERROR(SUMIFS('Base bordo CD'!M$2:M$875,'Base bordo CD'!D$2:D$875,A1170,'Base bordo CD'!A$2:A$875,B1170,'Base bordo CD'!L$2:L$875,"TEMPO INDETERMINADO"),0)</f>
        <v>0</v>
      </c>
      <c r="J1170" s="10">
        <f>IFERROR(SUMIFS('Base bordo CD'!M$2:M$875,'Base bordo CD'!D$2:D$875,A1170,'Base bordo CD'!A$2:A$875,B1170,'Base bordo CD'!L$2:L$875,"LIMITAÇÃO INDÚSTRIA"),0)</f>
        <v>0</v>
      </c>
      <c r="K1170" s="10">
        <f>IFERROR(SUMIFS('Base bordo CD'!M$2:M$875,'Base bordo CD'!D$2:D$875,A1170,'Base bordo CD'!A$2:A$875,B1170,'Base bordo CD'!L$2:L$875,"MAN CORRETIVA*"),0)+IFERROR(SUMIFS('Base bordo CD'!M$2:M$875,'Base bordo CD'!D$2:D$875,A1170,'Base bordo CD'!A$2:A$875,B1170,'Base bordo CD'!L$2:L$875,"AGUARDANDO MANUTENCAO*"),0)+IFERROR(SUMIFS('Base bordo CD'!M$2:M$875,'Base bordo CD'!D$2:D$875,A1170,'Base bordo CD'!A$2:A$875,B1170,'Base bordo CD'!L$2:L$875,"TROCA DE FAQUINHA"),0)+IFERROR(SUMIFS('Base bordo CD'!M$2:M$875,'Base bordo CD'!D$2:D$875,A1170,'Base bordo CD'!A$2:A$875,B1170,'Base bordo CD'!L$2:L$875,"LIMPEZA*"),0)</f>
        <v>0</v>
      </c>
      <c r="L1170" s="10">
        <f>IFERROR(SUMIFS('Base bordo CD'!M$2:M$875,'Base bordo CD'!D$2:D$875,A1170,'Base bordo CD'!A$2:A$875,B1170,'Base bordo CD'!L$2:L$875,"PATIO - RESERVA"),0)</f>
        <v>0</v>
      </c>
      <c r="M1170" s="10">
        <f>IFERROR(SUMIFS('Base bordo CD'!M$2:M$875,'Base bordo CD'!D$2:D$875,A1170,'Base bordo CD'!A$2:A$875,B1170,'Base bordo CD'!L$2:L$875,"SEM APONTAMENTO"),0)</f>
        <v>0</v>
      </c>
      <c r="N1170" s="10">
        <f>IFERROR(SUMIFS('Base bordo CD'!M$2:M$875,'Base bordo CD'!D$2:D$875,A1170,'Base bordo CD'!A$2:A$875,B1170,'Base bordo CD'!L$2:L$875,"FALTA DE CAMINHÃO"),0)+IFERROR(SUMIFS('Base bordo CD'!M$2:M$875,'Base bordo CD'!D$2:D$875,A1170,'Base bordo CD'!A$2:A$875,B1170,'Base bordo CD'!L$2:L$875,"FALTA DE COMBUSTIVEL"),0)+IFERROR(SUMIFS('Base bordo CD'!M$2:M$875,'Base bordo CD'!D$2:D$875,A1170,'Base bordo CD'!A$2:A$875,B1170,'Base bordo CD'!L$2:L$875,"FALTA DE MOTORIST*"),0)</f>
        <v>0</v>
      </c>
      <c r="O1170" s="10">
        <f t="shared" si="95"/>
        <v>0</v>
      </c>
      <c r="P1170" s="10">
        <f>IFERROR(SUMIFS('Base bordo CD'!M$2:M$875,'Base bordo CD'!D$2:D$875,A1170,'Base bordo CD'!A$2:A$875,B1170),0)</f>
        <v>0</v>
      </c>
      <c r="Q1170" s="10">
        <f>IFERROR(SUMIFS('Base bordo CD'!O$2:O$875,'Base bordo CD'!D$2:D$875,A1170,'Base bordo CD'!A$2:A$875,B1170,'Base bordo CD'!L$2:L$875,"CORTE DE CANA MECANIZADO"),0)</f>
        <v>0</v>
      </c>
      <c r="R1170" s="10">
        <f>IFERROR(SUMIFS('Base bordo CD'!Q$2:Q$875,'Base bordo CD'!D$2:D$875,A1170,'Base bordo CD'!A$2:A$875,B1170,'Base bordo CD'!L$2:L$875,"CORTE DE CANA MECANIZADO"),0)</f>
        <v>0</v>
      </c>
      <c r="S1170" s="30" t="str">
        <f t="shared" si="96"/>
        <v/>
      </c>
      <c r="T1170" s="9">
        <f t="shared" si="97"/>
        <v>0</v>
      </c>
      <c r="U1170" s="9">
        <f t="shared" si="98"/>
        <v>0</v>
      </c>
      <c r="V1170" s="9">
        <f t="shared" si="99"/>
        <v>0</v>
      </c>
    </row>
    <row r="1171" spans="1:22" x14ac:dyDescent="0.35">
      <c r="A1171" s="52">
        <v>49595</v>
      </c>
      <c r="B1171" s="31">
        <v>46117</v>
      </c>
      <c r="C1171" s="7" t="s">
        <v>337</v>
      </c>
      <c r="D1171" s="7">
        <v>353</v>
      </c>
      <c r="E1171" s="10">
        <f>IFERROR(SUMIFS('Base bordo CD'!M$2:M$875,'Base bordo CD'!D$2:D$875,A1171,'Base bordo CD'!A$2:A$875,B1171,'Base bordo CD'!L$2:L$875,"CORTE DE CANA MECANIZADO"),0)</f>
        <v>0</v>
      </c>
      <c r="F1171" s="10">
        <f>IFERROR(SUMIFS('Base bordo CD'!M$2:M$875,'Base bordo CD'!D$2:D$875,A1171,'Base bordo CD'!A$2:A$875,B1171,'Base bordo CD'!L$2:L$875,"MANOBRA"),0)</f>
        <v>0</v>
      </c>
      <c r="G1171" s="10">
        <f>IFERROR(SUMIFS('Base bordo CD'!M$2:M$875,'Base bordo CD'!D$2:D$875,A1171,'Base bordo CD'!A$2:A$875,B1171,'Base bordo CD'!L$2:L$875,"DESLOCAMENTO"),0)</f>
        <v>0</v>
      </c>
      <c r="H1171" s="10">
        <f>IFERROR(SUMIFS('Base bordo CD'!M$2:M$875,'Base bordo CD'!D$2:D$875,A1171,'Base bordo CD'!A$2:A$875,B1171,'Base bordo CD'!L$2:L$875,"AGUARDANDO MANOBRA DE TRANSBORDO"),0)+IFERROR(SUMIFS('Base bordo CD'!M$2:M$875,'Base bordo CD'!D$2:D$875,A1171,'Base bordo CD'!A$2:A$875,B1171,'Base bordo CD'!L$2:L$875,"FALTA DE TRANSBORDO"),0)</f>
        <v>0</v>
      </c>
      <c r="I1171" s="10">
        <f>IFERROR(SUMIFS('Base bordo CD'!M$2:M$875,'Base bordo CD'!D$2:D$875,A1171,'Base bordo CD'!A$2:A$875,B1171,'Base bordo CD'!L$2:L$875,"PARADA POR CONDICOES CLIMATICAS"),0)+IFERROR(SUMIFS('Base bordo CD'!M$2:M$875,'Base bordo CD'!D$2:D$875,A1171,'Base bordo CD'!A$2:A$875,B1171,'Base bordo CD'!L$2:L$875,"TEMPO INDETERMINADO"),0)</f>
        <v>0</v>
      </c>
      <c r="J1171" s="10">
        <f>IFERROR(SUMIFS('Base bordo CD'!M$2:M$875,'Base bordo CD'!D$2:D$875,A1171,'Base bordo CD'!A$2:A$875,B1171,'Base bordo CD'!L$2:L$875,"LIMITAÇÃO INDÚSTRIA"),0)</f>
        <v>0</v>
      </c>
      <c r="K1171" s="10">
        <f>IFERROR(SUMIFS('Base bordo CD'!M$2:M$875,'Base bordo CD'!D$2:D$875,A1171,'Base bordo CD'!A$2:A$875,B1171,'Base bordo CD'!L$2:L$875,"MAN CORRETIVA*"),0)+IFERROR(SUMIFS('Base bordo CD'!M$2:M$875,'Base bordo CD'!D$2:D$875,A1171,'Base bordo CD'!A$2:A$875,B1171,'Base bordo CD'!L$2:L$875,"AGUARDANDO MANUTENCAO*"),0)+IFERROR(SUMIFS('Base bordo CD'!M$2:M$875,'Base bordo CD'!D$2:D$875,A1171,'Base bordo CD'!A$2:A$875,B1171,'Base bordo CD'!L$2:L$875,"TROCA DE FAQUINHA"),0)+IFERROR(SUMIFS('Base bordo CD'!M$2:M$875,'Base bordo CD'!D$2:D$875,A1171,'Base bordo CD'!A$2:A$875,B1171,'Base bordo CD'!L$2:L$875,"LIMPEZA*"),0)</f>
        <v>0</v>
      </c>
      <c r="L1171" s="10">
        <f>IFERROR(SUMIFS('Base bordo CD'!M$2:M$875,'Base bordo CD'!D$2:D$875,A1171,'Base bordo CD'!A$2:A$875,B1171,'Base bordo CD'!L$2:L$875,"PATIO - RESERVA"),0)</f>
        <v>0</v>
      </c>
      <c r="M1171" s="10">
        <f>IFERROR(SUMIFS('Base bordo CD'!M$2:M$875,'Base bordo CD'!D$2:D$875,A1171,'Base bordo CD'!A$2:A$875,B1171,'Base bordo CD'!L$2:L$875,"SEM APONTAMENTO"),0)</f>
        <v>0</v>
      </c>
      <c r="N1171" s="10">
        <f>IFERROR(SUMIFS('Base bordo CD'!M$2:M$875,'Base bordo CD'!D$2:D$875,A1171,'Base bordo CD'!A$2:A$875,B1171,'Base bordo CD'!L$2:L$875,"FALTA DE CAMINHÃO"),0)+IFERROR(SUMIFS('Base bordo CD'!M$2:M$875,'Base bordo CD'!D$2:D$875,A1171,'Base bordo CD'!A$2:A$875,B1171,'Base bordo CD'!L$2:L$875,"FALTA DE COMBUSTIVEL"),0)+IFERROR(SUMIFS('Base bordo CD'!M$2:M$875,'Base bordo CD'!D$2:D$875,A1171,'Base bordo CD'!A$2:A$875,B1171,'Base bordo CD'!L$2:L$875,"FALTA DE MOTORIST*"),0)</f>
        <v>0</v>
      </c>
      <c r="O1171" s="10">
        <f t="shared" si="95"/>
        <v>0</v>
      </c>
      <c r="P1171" s="10">
        <f>IFERROR(SUMIFS('Base bordo CD'!M$2:M$875,'Base bordo CD'!D$2:D$875,A1171,'Base bordo CD'!A$2:A$875,B1171),0)</f>
        <v>0</v>
      </c>
      <c r="Q1171" s="10">
        <f>IFERROR(SUMIFS('Base bordo CD'!O$2:O$875,'Base bordo CD'!D$2:D$875,A1171,'Base bordo CD'!A$2:A$875,B1171,'Base bordo CD'!L$2:L$875,"CORTE DE CANA MECANIZADO"),0)</f>
        <v>0</v>
      </c>
      <c r="R1171" s="10">
        <f>IFERROR(SUMIFS('Base bordo CD'!Q$2:Q$875,'Base bordo CD'!D$2:D$875,A1171,'Base bordo CD'!A$2:A$875,B1171,'Base bordo CD'!L$2:L$875,"CORTE DE CANA MECANIZADO"),0)</f>
        <v>0</v>
      </c>
      <c r="S1171" s="30" t="str">
        <f t="shared" si="96"/>
        <v/>
      </c>
      <c r="T1171" s="9">
        <f t="shared" si="97"/>
        <v>0</v>
      </c>
      <c r="U1171" s="9">
        <f t="shared" si="98"/>
        <v>0</v>
      </c>
      <c r="V1171" s="9">
        <f t="shared" si="99"/>
        <v>0</v>
      </c>
    </row>
    <row r="1172" spans="1:22" x14ac:dyDescent="0.35">
      <c r="A1172" s="52">
        <v>49595</v>
      </c>
      <c r="B1172" s="31">
        <v>46117</v>
      </c>
      <c r="C1172" s="7" t="s">
        <v>337</v>
      </c>
      <c r="D1172" s="7">
        <v>353</v>
      </c>
      <c r="E1172" s="10">
        <f>IFERROR(SUMIFS('Base bordo CD'!M$2:M$875,'Base bordo CD'!D$2:D$875,A1172,'Base bordo CD'!A$2:A$875,B1172,'Base bordo CD'!L$2:L$875,"CORTE DE CANA MECANIZADO"),0)</f>
        <v>0</v>
      </c>
      <c r="F1172" s="10">
        <f>IFERROR(SUMIFS('Base bordo CD'!M$2:M$875,'Base bordo CD'!D$2:D$875,A1172,'Base bordo CD'!A$2:A$875,B1172,'Base bordo CD'!L$2:L$875,"MANOBRA"),0)</f>
        <v>0</v>
      </c>
      <c r="G1172" s="10">
        <f>IFERROR(SUMIFS('Base bordo CD'!M$2:M$875,'Base bordo CD'!D$2:D$875,A1172,'Base bordo CD'!A$2:A$875,B1172,'Base bordo CD'!L$2:L$875,"DESLOCAMENTO"),0)</f>
        <v>0</v>
      </c>
      <c r="H1172" s="10">
        <f>IFERROR(SUMIFS('Base bordo CD'!M$2:M$875,'Base bordo CD'!D$2:D$875,A1172,'Base bordo CD'!A$2:A$875,B1172,'Base bordo CD'!L$2:L$875,"AGUARDANDO MANOBRA DE TRANSBORDO"),0)+IFERROR(SUMIFS('Base bordo CD'!M$2:M$875,'Base bordo CD'!D$2:D$875,A1172,'Base bordo CD'!A$2:A$875,B1172,'Base bordo CD'!L$2:L$875,"FALTA DE TRANSBORDO"),0)</f>
        <v>0</v>
      </c>
      <c r="I1172" s="10">
        <f>IFERROR(SUMIFS('Base bordo CD'!M$2:M$875,'Base bordo CD'!D$2:D$875,A1172,'Base bordo CD'!A$2:A$875,B1172,'Base bordo CD'!L$2:L$875,"PARADA POR CONDICOES CLIMATICAS"),0)+IFERROR(SUMIFS('Base bordo CD'!M$2:M$875,'Base bordo CD'!D$2:D$875,A1172,'Base bordo CD'!A$2:A$875,B1172,'Base bordo CD'!L$2:L$875,"TEMPO INDETERMINADO"),0)</f>
        <v>0</v>
      </c>
      <c r="J1172" s="10">
        <f>IFERROR(SUMIFS('Base bordo CD'!M$2:M$875,'Base bordo CD'!D$2:D$875,A1172,'Base bordo CD'!A$2:A$875,B1172,'Base bordo CD'!L$2:L$875,"LIMITAÇÃO INDÚSTRIA"),0)</f>
        <v>0</v>
      </c>
      <c r="K1172" s="10">
        <f>IFERROR(SUMIFS('Base bordo CD'!M$2:M$875,'Base bordo CD'!D$2:D$875,A1172,'Base bordo CD'!A$2:A$875,B1172,'Base bordo CD'!L$2:L$875,"MAN CORRETIVA*"),0)+IFERROR(SUMIFS('Base bordo CD'!M$2:M$875,'Base bordo CD'!D$2:D$875,A1172,'Base bordo CD'!A$2:A$875,B1172,'Base bordo CD'!L$2:L$875,"AGUARDANDO MANUTENCAO*"),0)+IFERROR(SUMIFS('Base bordo CD'!M$2:M$875,'Base bordo CD'!D$2:D$875,A1172,'Base bordo CD'!A$2:A$875,B1172,'Base bordo CD'!L$2:L$875,"TROCA DE FAQUINHA"),0)+IFERROR(SUMIFS('Base bordo CD'!M$2:M$875,'Base bordo CD'!D$2:D$875,A1172,'Base bordo CD'!A$2:A$875,B1172,'Base bordo CD'!L$2:L$875,"LIMPEZA*"),0)</f>
        <v>0</v>
      </c>
      <c r="L1172" s="10">
        <f>IFERROR(SUMIFS('Base bordo CD'!M$2:M$875,'Base bordo CD'!D$2:D$875,A1172,'Base bordo CD'!A$2:A$875,B1172,'Base bordo CD'!L$2:L$875,"PATIO - RESERVA"),0)</f>
        <v>0</v>
      </c>
      <c r="M1172" s="10">
        <f>IFERROR(SUMIFS('Base bordo CD'!M$2:M$875,'Base bordo CD'!D$2:D$875,A1172,'Base bordo CD'!A$2:A$875,B1172,'Base bordo CD'!L$2:L$875,"SEM APONTAMENTO"),0)</f>
        <v>0</v>
      </c>
      <c r="N1172" s="10">
        <f>IFERROR(SUMIFS('Base bordo CD'!M$2:M$875,'Base bordo CD'!D$2:D$875,A1172,'Base bordo CD'!A$2:A$875,B1172,'Base bordo CD'!L$2:L$875,"FALTA DE CAMINHÃO"),0)+IFERROR(SUMIFS('Base bordo CD'!M$2:M$875,'Base bordo CD'!D$2:D$875,A1172,'Base bordo CD'!A$2:A$875,B1172,'Base bordo CD'!L$2:L$875,"FALTA DE COMBUSTIVEL"),0)+IFERROR(SUMIFS('Base bordo CD'!M$2:M$875,'Base bordo CD'!D$2:D$875,A1172,'Base bordo CD'!A$2:A$875,B1172,'Base bordo CD'!L$2:L$875,"FALTA DE MOTORIST*"),0)</f>
        <v>0</v>
      </c>
      <c r="O1172" s="10">
        <f t="shared" si="95"/>
        <v>0</v>
      </c>
      <c r="P1172" s="10">
        <f>IFERROR(SUMIFS('Base bordo CD'!M$2:M$875,'Base bordo CD'!D$2:D$875,A1172,'Base bordo CD'!A$2:A$875,B1172),0)</f>
        <v>0</v>
      </c>
      <c r="Q1172" s="10">
        <f>IFERROR(SUMIFS('Base bordo CD'!O$2:O$875,'Base bordo CD'!D$2:D$875,A1172,'Base bordo CD'!A$2:A$875,B1172,'Base bordo CD'!L$2:L$875,"CORTE DE CANA MECANIZADO"),0)</f>
        <v>0</v>
      </c>
      <c r="R1172" s="10">
        <f>IFERROR(SUMIFS('Base bordo CD'!Q$2:Q$875,'Base bordo CD'!D$2:D$875,A1172,'Base bordo CD'!A$2:A$875,B1172,'Base bordo CD'!L$2:L$875,"CORTE DE CANA MECANIZADO"),0)</f>
        <v>0</v>
      </c>
      <c r="S1172" s="30" t="str">
        <f t="shared" si="96"/>
        <v/>
      </c>
      <c r="T1172" s="9">
        <f t="shared" si="97"/>
        <v>0</v>
      </c>
      <c r="U1172" s="9">
        <f t="shared" si="98"/>
        <v>0</v>
      </c>
      <c r="V1172" s="9">
        <f t="shared" si="99"/>
        <v>0</v>
      </c>
    </row>
    <row r="1173" spans="1:22" x14ac:dyDescent="0.35">
      <c r="A1173" s="52">
        <v>49595</v>
      </c>
      <c r="B1173" s="31">
        <v>46117</v>
      </c>
      <c r="C1173" s="7" t="s">
        <v>337</v>
      </c>
      <c r="D1173" s="7">
        <v>353</v>
      </c>
      <c r="E1173" s="10">
        <f>IFERROR(SUMIFS('Base bordo CD'!M$2:M$875,'Base bordo CD'!D$2:D$875,A1173,'Base bordo CD'!A$2:A$875,B1173,'Base bordo CD'!L$2:L$875,"CORTE DE CANA MECANIZADO"),0)</f>
        <v>0</v>
      </c>
      <c r="F1173" s="10">
        <f>IFERROR(SUMIFS('Base bordo CD'!M$2:M$875,'Base bordo CD'!D$2:D$875,A1173,'Base bordo CD'!A$2:A$875,B1173,'Base bordo CD'!L$2:L$875,"MANOBRA"),0)</f>
        <v>0</v>
      </c>
      <c r="G1173" s="10">
        <f>IFERROR(SUMIFS('Base bordo CD'!M$2:M$875,'Base bordo CD'!D$2:D$875,A1173,'Base bordo CD'!A$2:A$875,B1173,'Base bordo CD'!L$2:L$875,"DESLOCAMENTO"),0)</f>
        <v>0</v>
      </c>
      <c r="H1173" s="10">
        <f>IFERROR(SUMIFS('Base bordo CD'!M$2:M$875,'Base bordo CD'!D$2:D$875,A1173,'Base bordo CD'!A$2:A$875,B1173,'Base bordo CD'!L$2:L$875,"AGUARDANDO MANOBRA DE TRANSBORDO"),0)+IFERROR(SUMIFS('Base bordo CD'!M$2:M$875,'Base bordo CD'!D$2:D$875,A1173,'Base bordo CD'!A$2:A$875,B1173,'Base bordo CD'!L$2:L$875,"FALTA DE TRANSBORDO"),0)</f>
        <v>0</v>
      </c>
      <c r="I1173" s="10">
        <f>IFERROR(SUMIFS('Base bordo CD'!M$2:M$875,'Base bordo CD'!D$2:D$875,A1173,'Base bordo CD'!A$2:A$875,B1173,'Base bordo CD'!L$2:L$875,"PARADA POR CONDICOES CLIMATICAS"),0)+IFERROR(SUMIFS('Base bordo CD'!M$2:M$875,'Base bordo CD'!D$2:D$875,A1173,'Base bordo CD'!A$2:A$875,B1173,'Base bordo CD'!L$2:L$875,"TEMPO INDETERMINADO"),0)</f>
        <v>0</v>
      </c>
      <c r="J1173" s="10">
        <f>IFERROR(SUMIFS('Base bordo CD'!M$2:M$875,'Base bordo CD'!D$2:D$875,A1173,'Base bordo CD'!A$2:A$875,B1173,'Base bordo CD'!L$2:L$875,"LIMITAÇÃO INDÚSTRIA"),0)</f>
        <v>0</v>
      </c>
      <c r="K1173" s="10">
        <f>IFERROR(SUMIFS('Base bordo CD'!M$2:M$875,'Base bordo CD'!D$2:D$875,A1173,'Base bordo CD'!A$2:A$875,B1173,'Base bordo CD'!L$2:L$875,"MAN CORRETIVA*"),0)+IFERROR(SUMIFS('Base bordo CD'!M$2:M$875,'Base bordo CD'!D$2:D$875,A1173,'Base bordo CD'!A$2:A$875,B1173,'Base bordo CD'!L$2:L$875,"AGUARDANDO MANUTENCAO*"),0)+IFERROR(SUMIFS('Base bordo CD'!M$2:M$875,'Base bordo CD'!D$2:D$875,A1173,'Base bordo CD'!A$2:A$875,B1173,'Base bordo CD'!L$2:L$875,"TROCA DE FAQUINHA"),0)+IFERROR(SUMIFS('Base bordo CD'!M$2:M$875,'Base bordo CD'!D$2:D$875,A1173,'Base bordo CD'!A$2:A$875,B1173,'Base bordo CD'!L$2:L$875,"LIMPEZA*"),0)</f>
        <v>0</v>
      </c>
      <c r="L1173" s="10">
        <f>IFERROR(SUMIFS('Base bordo CD'!M$2:M$875,'Base bordo CD'!D$2:D$875,A1173,'Base bordo CD'!A$2:A$875,B1173,'Base bordo CD'!L$2:L$875,"PATIO - RESERVA"),0)</f>
        <v>0</v>
      </c>
      <c r="M1173" s="10">
        <f>IFERROR(SUMIFS('Base bordo CD'!M$2:M$875,'Base bordo CD'!D$2:D$875,A1173,'Base bordo CD'!A$2:A$875,B1173,'Base bordo CD'!L$2:L$875,"SEM APONTAMENTO"),0)</f>
        <v>0</v>
      </c>
      <c r="N1173" s="10">
        <f>IFERROR(SUMIFS('Base bordo CD'!M$2:M$875,'Base bordo CD'!D$2:D$875,A1173,'Base bordo CD'!A$2:A$875,B1173,'Base bordo CD'!L$2:L$875,"FALTA DE CAMINHÃO"),0)+IFERROR(SUMIFS('Base bordo CD'!M$2:M$875,'Base bordo CD'!D$2:D$875,A1173,'Base bordo CD'!A$2:A$875,B1173,'Base bordo CD'!L$2:L$875,"FALTA DE COMBUSTIVEL"),0)+IFERROR(SUMIFS('Base bordo CD'!M$2:M$875,'Base bordo CD'!D$2:D$875,A1173,'Base bordo CD'!A$2:A$875,B1173,'Base bordo CD'!L$2:L$875,"FALTA DE MOTORIST*"),0)</f>
        <v>0</v>
      </c>
      <c r="O1173" s="10">
        <f t="shared" si="95"/>
        <v>0</v>
      </c>
      <c r="P1173" s="10">
        <f>IFERROR(SUMIFS('Base bordo CD'!M$2:M$875,'Base bordo CD'!D$2:D$875,A1173,'Base bordo CD'!A$2:A$875,B1173),0)</f>
        <v>0</v>
      </c>
      <c r="Q1173" s="10">
        <f>IFERROR(SUMIFS('Base bordo CD'!O$2:O$875,'Base bordo CD'!D$2:D$875,A1173,'Base bordo CD'!A$2:A$875,B1173,'Base bordo CD'!L$2:L$875,"CORTE DE CANA MECANIZADO"),0)</f>
        <v>0</v>
      </c>
      <c r="R1173" s="10">
        <f>IFERROR(SUMIFS('Base bordo CD'!Q$2:Q$875,'Base bordo CD'!D$2:D$875,A1173,'Base bordo CD'!A$2:A$875,B1173,'Base bordo CD'!L$2:L$875,"CORTE DE CANA MECANIZADO"),0)</f>
        <v>0</v>
      </c>
      <c r="S1173" s="30" t="str">
        <f t="shared" si="96"/>
        <v/>
      </c>
      <c r="T1173" s="9">
        <f t="shared" si="97"/>
        <v>0</v>
      </c>
      <c r="U1173" s="9">
        <f t="shared" si="98"/>
        <v>0</v>
      </c>
      <c r="V1173" s="9">
        <f t="shared" si="99"/>
        <v>0</v>
      </c>
    </row>
    <row r="1174" spans="1:22" x14ac:dyDescent="0.35">
      <c r="A1174" s="52">
        <v>49595</v>
      </c>
      <c r="B1174" s="31">
        <v>46117</v>
      </c>
      <c r="C1174" s="7" t="s">
        <v>337</v>
      </c>
      <c r="D1174" s="7">
        <v>353</v>
      </c>
      <c r="E1174" s="10">
        <f>IFERROR(SUMIFS('Base bordo CD'!M$2:M$875,'Base bordo CD'!D$2:D$875,A1174,'Base bordo CD'!A$2:A$875,B1174,'Base bordo CD'!L$2:L$875,"CORTE DE CANA MECANIZADO"),0)</f>
        <v>0</v>
      </c>
      <c r="F1174" s="10">
        <f>IFERROR(SUMIFS('Base bordo CD'!M$2:M$875,'Base bordo CD'!D$2:D$875,A1174,'Base bordo CD'!A$2:A$875,B1174,'Base bordo CD'!L$2:L$875,"MANOBRA"),0)</f>
        <v>0</v>
      </c>
      <c r="G1174" s="10">
        <f>IFERROR(SUMIFS('Base bordo CD'!M$2:M$875,'Base bordo CD'!D$2:D$875,A1174,'Base bordo CD'!A$2:A$875,B1174,'Base bordo CD'!L$2:L$875,"DESLOCAMENTO"),0)</f>
        <v>0</v>
      </c>
      <c r="H1174" s="10">
        <f>IFERROR(SUMIFS('Base bordo CD'!M$2:M$875,'Base bordo CD'!D$2:D$875,A1174,'Base bordo CD'!A$2:A$875,B1174,'Base bordo CD'!L$2:L$875,"AGUARDANDO MANOBRA DE TRANSBORDO"),0)+IFERROR(SUMIFS('Base bordo CD'!M$2:M$875,'Base bordo CD'!D$2:D$875,A1174,'Base bordo CD'!A$2:A$875,B1174,'Base bordo CD'!L$2:L$875,"FALTA DE TRANSBORDO"),0)</f>
        <v>0</v>
      </c>
      <c r="I1174" s="10">
        <f>IFERROR(SUMIFS('Base bordo CD'!M$2:M$875,'Base bordo CD'!D$2:D$875,A1174,'Base bordo CD'!A$2:A$875,B1174,'Base bordo CD'!L$2:L$875,"PARADA POR CONDICOES CLIMATICAS"),0)+IFERROR(SUMIFS('Base bordo CD'!M$2:M$875,'Base bordo CD'!D$2:D$875,A1174,'Base bordo CD'!A$2:A$875,B1174,'Base bordo CD'!L$2:L$875,"TEMPO INDETERMINADO"),0)</f>
        <v>0</v>
      </c>
      <c r="J1174" s="10">
        <f>IFERROR(SUMIFS('Base bordo CD'!M$2:M$875,'Base bordo CD'!D$2:D$875,A1174,'Base bordo CD'!A$2:A$875,B1174,'Base bordo CD'!L$2:L$875,"LIMITAÇÃO INDÚSTRIA"),0)</f>
        <v>0</v>
      </c>
      <c r="K1174" s="10">
        <f>IFERROR(SUMIFS('Base bordo CD'!M$2:M$875,'Base bordo CD'!D$2:D$875,A1174,'Base bordo CD'!A$2:A$875,B1174,'Base bordo CD'!L$2:L$875,"MAN CORRETIVA*"),0)+IFERROR(SUMIFS('Base bordo CD'!M$2:M$875,'Base bordo CD'!D$2:D$875,A1174,'Base bordo CD'!A$2:A$875,B1174,'Base bordo CD'!L$2:L$875,"AGUARDANDO MANUTENCAO*"),0)+IFERROR(SUMIFS('Base bordo CD'!M$2:M$875,'Base bordo CD'!D$2:D$875,A1174,'Base bordo CD'!A$2:A$875,B1174,'Base bordo CD'!L$2:L$875,"TROCA DE FAQUINHA"),0)+IFERROR(SUMIFS('Base bordo CD'!M$2:M$875,'Base bordo CD'!D$2:D$875,A1174,'Base bordo CD'!A$2:A$875,B1174,'Base bordo CD'!L$2:L$875,"LIMPEZA*"),0)</f>
        <v>0</v>
      </c>
      <c r="L1174" s="10">
        <f>IFERROR(SUMIFS('Base bordo CD'!M$2:M$875,'Base bordo CD'!D$2:D$875,A1174,'Base bordo CD'!A$2:A$875,B1174,'Base bordo CD'!L$2:L$875,"PATIO - RESERVA"),0)</f>
        <v>0</v>
      </c>
      <c r="M1174" s="10">
        <f>IFERROR(SUMIFS('Base bordo CD'!M$2:M$875,'Base bordo CD'!D$2:D$875,A1174,'Base bordo CD'!A$2:A$875,B1174,'Base bordo CD'!L$2:L$875,"SEM APONTAMENTO"),0)</f>
        <v>0</v>
      </c>
      <c r="N1174" s="10">
        <f>IFERROR(SUMIFS('Base bordo CD'!M$2:M$875,'Base bordo CD'!D$2:D$875,A1174,'Base bordo CD'!A$2:A$875,B1174,'Base bordo CD'!L$2:L$875,"FALTA DE CAMINHÃO"),0)+IFERROR(SUMIFS('Base bordo CD'!M$2:M$875,'Base bordo CD'!D$2:D$875,A1174,'Base bordo CD'!A$2:A$875,B1174,'Base bordo CD'!L$2:L$875,"FALTA DE COMBUSTIVEL"),0)+IFERROR(SUMIFS('Base bordo CD'!M$2:M$875,'Base bordo CD'!D$2:D$875,A1174,'Base bordo CD'!A$2:A$875,B1174,'Base bordo CD'!L$2:L$875,"FALTA DE MOTORIST*"),0)</f>
        <v>0</v>
      </c>
      <c r="O1174" s="10">
        <f t="shared" si="95"/>
        <v>0</v>
      </c>
      <c r="P1174" s="10">
        <f>IFERROR(SUMIFS('Base bordo CD'!M$2:M$875,'Base bordo CD'!D$2:D$875,A1174,'Base bordo CD'!A$2:A$875,B1174),0)</f>
        <v>0</v>
      </c>
      <c r="Q1174" s="10">
        <f>IFERROR(SUMIFS('Base bordo CD'!O$2:O$875,'Base bordo CD'!D$2:D$875,A1174,'Base bordo CD'!A$2:A$875,B1174,'Base bordo CD'!L$2:L$875,"CORTE DE CANA MECANIZADO"),0)</f>
        <v>0</v>
      </c>
      <c r="R1174" s="10">
        <f>IFERROR(SUMIFS('Base bordo CD'!Q$2:Q$875,'Base bordo CD'!D$2:D$875,A1174,'Base bordo CD'!A$2:A$875,B1174,'Base bordo CD'!L$2:L$875,"CORTE DE CANA MECANIZADO"),0)</f>
        <v>0</v>
      </c>
      <c r="S1174" s="30" t="str">
        <f t="shared" si="96"/>
        <v/>
      </c>
      <c r="T1174" s="9">
        <f t="shared" si="97"/>
        <v>0</v>
      </c>
      <c r="U1174" s="9">
        <f t="shared" si="98"/>
        <v>0</v>
      </c>
      <c r="V1174" s="9">
        <f t="shared" si="99"/>
        <v>0</v>
      </c>
    </row>
    <row r="1175" spans="1:22" x14ac:dyDescent="0.35">
      <c r="A1175" s="52">
        <v>49595</v>
      </c>
      <c r="B1175" s="31">
        <v>46117</v>
      </c>
      <c r="C1175" s="7" t="s">
        <v>337</v>
      </c>
      <c r="D1175" s="7">
        <v>353</v>
      </c>
      <c r="E1175" s="10">
        <f>IFERROR(SUMIFS('Base bordo CD'!M$2:M$875,'Base bordo CD'!D$2:D$875,A1175,'Base bordo CD'!A$2:A$875,B1175,'Base bordo CD'!L$2:L$875,"CORTE DE CANA MECANIZADO"),0)</f>
        <v>0</v>
      </c>
      <c r="F1175" s="10">
        <f>IFERROR(SUMIFS('Base bordo CD'!M$2:M$875,'Base bordo CD'!D$2:D$875,A1175,'Base bordo CD'!A$2:A$875,B1175,'Base bordo CD'!L$2:L$875,"MANOBRA"),0)</f>
        <v>0</v>
      </c>
      <c r="G1175" s="10">
        <f>IFERROR(SUMIFS('Base bordo CD'!M$2:M$875,'Base bordo CD'!D$2:D$875,A1175,'Base bordo CD'!A$2:A$875,B1175,'Base bordo CD'!L$2:L$875,"DESLOCAMENTO"),0)</f>
        <v>0</v>
      </c>
      <c r="H1175" s="10">
        <f>IFERROR(SUMIFS('Base bordo CD'!M$2:M$875,'Base bordo CD'!D$2:D$875,A1175,'Base bordo CD'!A$2:A$875,B1175,'Base bordo CD'!L$2:L$875,"AGUARDANDO MANOBRA DE TRANSBORDO"),0)+IFERROR(SUMIFS('Base bordo CD'!M$2:M$875,'Base bordo CD'!D$2:D$875,A1175,'Base bordo CD'!A$2:A$875,B1175,'Base bordo CD'!L$2:L$875,"FALTA DE TRANSBORDO"),0)</f>
        <v>0</v>
      </c>
      <c r="I1175" s="10">
        <f>IFERROR(SUMIFS('Base bordo CD'!M$2:M$875,'Base bordo CD'!D$2:D$875,A1175,'Base bordo CD'!A$2:A$875,B1175,'Base bordo CD'!L$2:L$875,"PARADA POR CONDICOES CLIMATICAS"),0)+IFERROR(SUMIFS('Base bordo CD'!M$2:M$875,'Base bordo CD'!D$2:D$875,A1175,'Base bordo CD'!A$2:A$875,B1175,'Base bordo CD'!L$2:L$875,"TEMPO INDETERMINADO"),0)</f>
        <v>0</v>
      </c>
      <c r="J1175" s="10">
        <f>IFERROR(SUMIFS('Base bordo CD'!M$2:M$875,'Base bordo CD'!D$2:D$875,A1175,'Base bordo CD'!A$2:A$875,B1175,'Base bordo CD'!L$2:L$875,"LIMITAÇÃO INDÚSTRIA"),0)</f>
        <v>0</v>
      </c>
      <c r="K1175" s="10">
        <f>IFERROR(SUMIFS('Base bordo CD'!M$2:M$875,'Base bordo CD'!D$2:D$875,A1175,'Base bordo CD'!A$2:A$875,B1175,'Base bordo CD'!L$2:L$875,"MAN CORRETIVA*"),0)+IFERROR(SUMIFS('Base bordo CD'!M$2:M$875,'Base bordo CD'!D$2:D$875,A1175,'Base bordo CD'!A$2:A$875,B1175,'Base bordo CD'!L$2:L$875,"AGUARDANDO MANUTENCAO*"),0)+IFERROR(SUMIFS('Base bordo CD'!M$2:M$875,'Base bordo CD'!D$2:D$875,A1175,'Base bordo CD'!A$2:A$875,B1175,'Base bordo CD'!L$2:L$875,"TROCA DE FAQUINHA"),0)+IFERROR(SUMIFS('Base bordo CD'!M$2:M$875,'Base bordo CD'!D$2:D$875,A1175,'Base bordo CD'!A$2:A$875,B1175,'Base bordo CD'!L$2:L$875,"LIMPEZA*"),0)</f>
        <v>0</v>
      </c>
      <c r="L1175" s="10">
        <f>IFERROR(SUMIFS('Base bordo CD'!M$2:M$875,'Base bordo CD'!D$2:D$875,A1175,'Base bordo CD'!A$2:A$875,B1175,'Base bordo CD'!L$2:L$875,"PATIO - RESERVA"),0)</f>
        <v>0</v>
      </c>
      <c r="M1175" s="10">
        <f>IFERROR(SUMIFS('Base bordo CD'!M$2:M$875,'Base bordo CD'!D$2:D$875,A1175,'Base bordo CD'!A$2:A$875,B1175,'Base bordo CD'!L$2:L$875,"SEM APONTAMENTO"),0)</f>
        <v>0</v>
      </c>
      <c r="N1175" s="10">
        <f>IFERROR(SUMIFS('Base bordo CD'!M$2:M$875,'Base bordo CD'!D$2:D$875,A1175,'Base bordo CD'!A$2:A$875,B1175,'Base bordo CD'!L$2:L$875,"FALTA DE CAMINHÃO"),0)+IFERROR(SUMIFS('Base bordo CD'!M$2:M$875,'Base bordo CD'!D$2:D$875,A1175,'Base bordo CD'!A$2:A$875,B1175,'Base bordo CD'!L$2:L$875,"FALTA DE COMBUSTIVEL"),0)+IFERROR(SUMIFS('Base bordo CD'!M$2:M$875,'Base bordo CD'!D$2:D$875,A1175,'Base bordo CD'!A$2:A$875,B1175,'Base bordo CD'!L$2:L$875,"FALTA DE MOTORIST*"),0)</f>
        <v>0</v>
      </c>
      <c r="O1175" s="10">
        <f t="shared" si="95"/>
        <v>0</v>
      </c>
      <c r="P1175" s="10">
        <f>IFERROR(SUMIFS('Base bordo CD'!M$2:M$875,'Base bordo CD'!D$2:D$875,A1175,'Base bordo CD'!A$2:A$875,B1175),0)</f>
        <v>0</v>
      </c>
      <c r="Q1175" s="10">
        <f>IFERROR(SUMIFS('Base bordo CD'!O$2:O$875,'Base bordo CD'!D$2:D$875,A1175,'Base bordo CD'!A$2:A$875,B1175,'Base bordo CD'!L$2:L$875,"CORTE DE CANA MECANIZADO"),0)</f>
        <v>0</v>
      </c>
      <c r="R1175" s="10">
        <f>IFERROR(SUMIFS('Base bordo CD'!Q$2:Q$875,'Base bordo CD'!D$2:D$875,A1175,'Base bordo CD'!A$2:A$875,B1175,'Base bordo CD'!L$2:L$875,"CORTE DE CANA MECANIZADO"),0)</f>
        <v>0</v>
      </c>
      <c r="S1175" s="30" t="str">
        <f t="shared" si="96"/>
        <v/>
      </c>
      <c r="T1175" s="9">
        <f t="shared" si="97"/>
        <v>0</v>
      </c>
      <c r="U1175" s="9">
        <f t="shared" si="98"/>
        <v>0</v>
      </c>
      <c r="V1175" s="9">
        <f t="shared" si="99"/>
        <v>0</v>
      </c>
    </row>
    <row r="1176" spans="1:22" x14ac:dyDescent="0.35">
      <c r="A1176" s="52">
        <v>49595</v>
      </c>
      <c r="B1176" s="31">
        <v>46117</v>
      </c>
      <c r="C1176" s="7" t="s">
        <v>337</v>
      </c>
      <c r="D1176" s="7">
        <v>353</v>
      </c>
      <c r="E1176" s="10">
        <f>IFERROR(SUMIFS('Base bordo CD'!M$2:M$875,'Base bordo CD'!D$2:D$875,A1176,'Base bordo CD'!A$2:A$875,B1176,'Base bordo CD'!L$2:L$875,"CORTE DE CANA MECANIZADO"),0)</f>
        <v>0</v>
      </c>
      <c r="F1176" s="10">
        <f>IFERROR(SUMIFS('Base bordo CD'!M$2:M$875,'Base bordo CD'!D$2:D$875,A1176,'Base bordo CD'!A$2:A$875,B1176,'Base bordo CD'!L$2:L$875,"MANOBRA"),0)</f>
        <v>0</v>
      </c>
      <c r="G1176" s="10">
        <f>IFERROR(SUMIFS('Base bordo CD'!M$2:M$875,'Base bordo CD'!D$2:D$875,A1176,'Base bordo CD'!A$2:A$875,B1176,'Base bordo CD'!L$2:L$875,"DESLOCAMENTO"),0)</f>
        <v>0</v>
      </c>
      <c r="H1176" s="10">
        <f>IFERROR(SUMIFS('Base bordo CD'!M$2:M$875,'Base bordo CD'!D$2:D$875,A1176,'Base bordo CD'!A$2:A$875,B1176,'Base bordo CD'!L$2:L$875,"AGUARDANDO MANOBRA DE TRANSBORDO"),0)+IFERROR(SUMIFS('Base bordo CD'!M$2:M$875,'Base bordo CD'!D$2:D$875,A1176,'Base bordo CD'!A$2:A$875,B1176,'Base bordo CD'!L$2:L$875,"FALTA DE TRANSBORDO"),0)</f>
        <v>0</v>
      </c>
      <c r="I1176" s="10">
        <f>IFERROR(SUMIFS('Base bordo CD'!M$2:M$875,'Base bordo CD'!D$2:D$875,A1176,'Base bordo CD'!A$2:A$875,B1176,'Base bordo CD'!L$2:L$875,"PARADA POR CONDICOES CLIMATICAS"),0)+IFERROR(SUMIFS('Base bordo CD'!M$2:M$875,'Base bordo CD'!D$2:D$875,A1176,'Base bordo CD'!A$2:A$875,B1176,'Base bordo CD'!L$2:L$875,"TEMPO INDETERMINADO"),0)</f>
        <v>0</v>
      </c>
      <c r="J1176" s="10">
        <f>IFERROR(SUMIFS('Base bordo CD'!M$2:M$875,'Base bordo CD'!D$2:D$875,A1176,'Base bordo CD'!A$2:A$875,B1176,'Base bordo CD'!L$2:L$875,"LIMITAÇÃO INDÚSTRIA"),0)</f>
        <v>0</v>
      </c>
      <c r="K1176" s="10">
        <f>IFERROR(SUMIFS('Base bordo CD'!M$2:M$875,'Base bordo CD'!D$2:D$875,A1176,'Base bordo CD'!A$2:A$875,B1176,'Base bordo CD'!L$2:L$875,"MAN CORRETIVA*"),0)+IFERROR(SUMIFS('Base bordo CD'!M$2:M$875,'Base bordo CD'!D$2:D$875,A1176,'Base bordo CD'!A$2:A$875,B1176,'Base bordo CD'!L$2:L$875,"AGUARDANDO MANUTENCAO*"),0)+IFERROR(SUMIFS('Base bordo CD'!M$2:M$875,'Base bordo CD'!D$2:D$875,A1176,'Base bordo CD'!A$2:A$875,B1176,'Base bordo CD'!L$2:L$875,"TROCA DE FAQUINHA"),0)+IFERROR(SUMIFS('Base bordo CD'!M$2:M$875,'Base bordo CD'!D$2:D$875,A1176,'Base bordo CD'!A$2:A$875,B1176,'Base bordo CD'!L$2:L$875,"LIMPEZA*"),0)</f>
        <v>0</v>
      </c>
      <c r="L1176" s="10">
        <f>IFERROR(SUMIFS('Base bordo CD'!M$2:M$875,'Base bordo CD'!D$2:D$875,A1176,'Base bordo CD'!A$2:A$875,B1176,'Base bordo CD'!L$2:L$875,"PATIO - RESERVA"),0)</f>
        <v>0</v>
      </c>
      <c r="M1176" s="10">
        <f>IFERROR(SUMIFS('Base bordo CD'!M$2:M$875,'Base bordo CD'!D$2:D$875,A1176,'Base bordo CD'!A$2:A$875,B1176,'Base bordo CD'!L$2:L$875,"SEM APONTAMENTO"),0)</f>
        <v>0</v>
      </c>
      <c r="N1176" s="10">
        <f>IFERROR(SUMIFS('Base bordo CD'!M$2:M$875,'Base bordo CD'!D$2:D$875,A1176,'Base bordo CD'!A$2:A$875,B1176,'Base bordo CD'!L$2:L$875,"FALTA DE CAMINHÃO"),0)+IFERROR(SUMIFS('Base bordo CD'!M$2:M$875,'Base bordo CD'!D$2:D$875,A1176,'Base bordo CD'!A$2:A$875,B1176,'Base bordo CD'!L$2:L$875,"FALTA DE COMBUSTIVEL"),0)+IFERROR(SUMIFS('Base bordo CD'!M$2:M$875,'Base bordo CD'!D$2:D$875,A1176,'Base bordo CD'!A$2:A$875,B1176,'Base bordo CD'!L$2:L$875,"FALTA DE MOTORIST*"),0)</f>
        <v>0</v>
      </c>
      <c r="O1176" s="10">
        <f t="shared" si="95"/>
        <v>0</v>
      </c>
      <c r="P1176" s="10">
        <f>IFERROR(SUMIFS('Base bordo CD'!M$2:M$875,'Base bordo CD'!D$2:D$875,A1176,'Base bordo CD'!A$2:A$875,B1176),0)</f>
        <v>0</v>
      </c>
      <c r="Q1176" s="10">
        <f>IFERROR(SUMIFS('Base bordo CD'!O$2:O$875,'Base bordo CD'!D$2:D$875,A1176,'Base bordo CD'!A$2:A$875,B1176,'Base bordo CD'!L$2:L$875,"CORTE DE CANA MECANIZADO"),0)</f>
        <v>0</v>
      </c>
      <c r="R1176" s="10">
        <f>IFERROR(SUMIFS('Base bordo CD'!Q$2:Q$875,'Base bordo CD'!D$2:D$875,A1176,'Base bordo CD'!A$2:A$875,B1176,'Base bordo CD'!L$2:L$875,"CORTE DE CANA MECANIZADO"),0)</f>
        <v>0</v>
      </c>
      <c r="S1176" s="30" t="str">
        <f t="shared" si="96"/>
        <v/>
      </c>
      <c r="T1176" s="9">
        <f t="shared" si="97"/>
        <v>0</v>
      </c>
      <c r="U1176" s="9">
        <f t="shared" si="98"/>
        <v>0</v>
      </c>
      <c r="V1176" s="9">
        <f t="shared" si="99"/>
        <v>0</v>
      </c>
    </row>
    <row r="1177" spans="1:22" x14ac:dyDescent="0.35">
      <c r="A1177" s="52">
        <v>49595</v>
      </c>
      <c r="B1177" s="31">
        <v>46117</v>
      </c>
      <c r="C1177" s="7" t="s">
        <v>337</v>
      </c>
      <c r="D1177" s="7">
        <v>353</v>
      </c>
      <c r="E1177" s="10">
        <f>IFERROR(SUMIFS('Base bordo CD'!M$2:M$875,'Base bordo CD'!D$2:D$875,A1177,'Base bordo CD'!A$2:A$875,B1177,'Base bordo CD'!L$2:L$875,"CORTE DE CANA MECANIZADO"),0)</f>
        <v>0</v>
      </c>
      <c r="F1177" s="10">
        <f>IFERROR(SUMIFS('Base bordo CD'!M$2:M$875,'Base bordo CD'!D$2:D$875,A1177,'Base bordo CD'!A$2:A$875,B1177,'Base bordo CD'!L$2:L$875,"MANOBRA"),0)</f>
        <v>0</v>
      </c>
      <c r="G1177" s="10">
        <f>IFERROR(SUMIFS('Base bordo CD'!M$2:M$875,'Base bordo CD'!D$2:D$875,A1177,'Base bordo CD'!A$2:A$875,B1177,'Base bordo CD'!L$2:L$875,"DESLOCAMENTO"),0)</f>
        <v>0</v>
      </c>
      <c r="H1177" s="10">
        <f>IFERROR(SUMIFS('Base bordo CD'!M$2:M$875,'Base bordo CD'!D$2:D$875,A1177,'Base bordo CD'!A$2:A$875,B1177,'Base bordo CD'!L$2:L$875,"AGUARDANDO MANOBRA DE TRANSBORDO"),0)+IFERROR(SUMIFS('Base bordo CD'!M$2:M$875,'Base bordo CD'!D$2:D$875,A1177,'Base bordo CD'!A$2:A$875,B1177,'Base bordo CD'!L$2:L$875,"FALTA DE TRANSBORDO"),0)</f>
        <v>0</v>
      </c>
      <c r="I1177" s="10">
        <f>IFERROR(SUMIFS('Base bordo CD'!M$2:M$875,'Base bordo CD'!D$2:D$875,A1177,'Base bordo CD'!A$2:A$875,B1177,'Base bordo CD'!L$2:L$875,"PARADA POR CONDICOES CLIMATICAS"),0)+IFERROR(SUMIFS('Base bordo CD'!M$2:M$875,'Base bordo CD'!D$2:D$875,A1177,'Base bordo CD'!A$2:A$875,B1177,'Base bordo CD'!L$2:L$875,"TEMPO INDETERMINADO"),0)</f>
        <v>0</v>
      </c>
      <c r="J1177" s="10">
        <f>IFERROR(SUMIFS('Base bordo CD'!M$2:M$875,'Base bordo CD'!D$2:D$875,A1177,'Base bordo CD'!A$2:A$875,B1177,'Base bordo CD'!L$2:L$875,"LIMITAÇÃO INDÚSTRIA"),0)</f>
        <v>0</v>
      </c>
      <c r="K1177" s="10">
        <f>IFERROR(SUMIFS('Base bordo CD'!M$2:M$875,'Base bordo CD'!D$2:D$875,A1177,'Base bordo CD'!A$2:A$875,B1177,'Base bordo CD'!L$2:L$875,"MAN CORRETIVA*"),0)+IFERROR(SUMIFS('Base bordo CD'!M$2:M$875,'Base bordo CD'!D$2:D$875,A1177,'Base bordo CD'!A$2:A$875,B1177,'Base bordo CD'!L$2:L$875,"AGUARDANDO MANUTENCAO*"),0)+IFERROR(SUMIFS('Base bordo CD'!M$2:M$875,'Base bordo CD'!D$2:D$875,A1177,'Base bordo CD'!A$2:A$875,B1177,'Base bordo CD'!L$2:L$875,"TROCA DE FAQUINHA"),0)+IFERROR(SUMIFS('Base bordo CD'!M$2:M$875,'Base bordo CD'!D$2:D$875,A1177,'Base bordo CD'!A$2:A$875,B1177,'Base bordo CD'!L$2:L$875,"LIMPEZA*"),0)</f>
        <v>0</v>
      </c>
      <c r="L1177" s="10">
        <f>IFERROR(SUMIFS('Base bordo CD'!M$2:M$875,'Base bordo CD'!D$2:D$875,A1177,'Base bordo CD'!A$2:A$875,B1177,'Base bordo CD'!L$2:L$875,"PATIO - RESERVA"),0)</f>
        <v>0</v>
      </c>
      <c r="M1177" s="10">
        <f>IFERROR(SUMIFS('Base bordo CD'!M$2:M$875,'Base bordo CD'!D$2:D$875,A1177,'Base bordo CD'!A$2:A$875,B1177,'Base bordo CD'!L$2:L$875,"SEM APONTAMENTO"),0)</f>
        <v>0</v>
      </c>
      <c r="N1177" s="10">
        <f>IFERROR(SUMIFS('Base bordo CD'!M$2:M$875,'Base bordo CD'!D$2:D$875,A1177,'Base bordo CD'!A$2:A$875,B1177,'Base bordo CD'!L$2:L$875,"FALTA DE CAMINHÃO"),0)+IFERROR(SUMIFS('Base bordo CD'!M$2:M$875,'Base bordo CD'!D$2:D$875,A1177,'Base bordo CD'!A$2:A$875,B1177,'Base bordo CD'!L$2:L$875,"FALTA DE COMBUSTIVEL"),0)+IFERROR(SUMIFS('Base bordo CD'!M$2:M$875,'Base bordo CD'!D$2:D$875,A1177,'Base bordo CD'!A$2:A$875,B1177,'Base bordo CD'!L$2:L$875,"FALTA DE MOTORIST*"),0)</f>
        <v>0</v>
      </c>
      <c r="O1177" s="10">
        <f t="shared" si="95"/>
        <v>0</v>
      </c>
      <c r="P1177" s="10">
        <f>IFERROR(SUMIFS('Base bordo CD'!M$2:M$875,'Base bordo CD'!D$2:D$875,A1177,'Base bordo CD'!A$2:A$875,B1177),0)</f>
        <v>0</v>
      </c>
      <c r="Q1177" s="10">
        <f>IFERROR(SUMIFS('Base bordo CD'!O$2:O$875,'Base bordo CD'!D$2:D$875,A1177,'Base bordo CD'!A$2:A$875,B1177,'Base bordo CD'!L$2:L$875,"CORTE DE CANA MECANIZADO"),0)</f>
        <v>0</v>
      </c>
      <c r="R1177" s="10">
        <f>IFERROR(SUMIFS('Base bordo CD'!Q$2:Q$875,'Base bordo CD'!D$2:D$875,A1177,'Base bordo CD'!A$2:A$875,B1177,'Base bordo CD'!L$2:L$875,"CORTE DE CANA MECANIZADO"),0)</f>
        <v>0</v>
      </c>
      <c r="S1177" s="30" t="str">
        <f t="shared" si="96"/>
        <v/>
      </c>
      <c r="T1177" s="9">
        <f t="shared" si="97"/>
        <v>0</v>
      </c>
      <c r="U1177" s="9">
        <f t="shared" si="98"/>
        <v>0</v>
      </c>
      <c r="V1177" s="9">
        <f t="shared" si="99"/>
        <v>0</v>
      </c>
    </row>
    <row r="1178" spans="1:22" x14ac:dyDescent="0.35">
      <c r="A1178" s="52">
        <v>49595</v>
      </c>
      <c r="B1178" s="31">
        <v>46117</v>
      </c>
      <c r="C1178" s="7" t="s">
        <v>337</v>
      </c>
      <c r="D1178" s="7">
        <v>353</v>
      </c>
      <c r="E1178" s="10">
        <f>IFERROR(SUMIFS('Base bordo CD'!M$2:M$875,'Base bordo CD'!D$2:D$875,A1178,'Base bordo CD'!A$2:A$875,B1178,'Base bordo CD'!L$2:L$875,"CORTE DE CANA MECANIZADO"),0)</f>
        <v>0</v>
      </c>
      <c r="F1178" s="10">
        <f>IFERROR(SUMIFS('Base bordo CD'!M$2:M$875,'Base bordo CD'!D$2:D$875,A1178,'Base bordo CD'!A$2:A$875,B1178,'Base bordo CD'!L$2:L$875,"MANOBRA"),0)</f>
        <v>0</v>
      </c>
      <c r="G1178" s="10">
        <f>IFERROR(SUMIFS('Base bordo CD'!M$2:M$875,'Base bordo CD'!D$2:D$875,A1178,'Base bordo CD'!A$2:A$875,B1178,'Base bordo CD'!L$2:L$875,"DESLOCAMENTO"),0)</f>
        <v>0</v>
      </c>
      <c r="H1178" s="10">
        <f>IFERROR(SUMIFS('Base bordo CD'!M$2:M$875,'Base bordo CD'!D$2:D$875,A1178,'Base bordo CD'!A$2:A$875,B1178,'Base bordo CD'!L$2:L$875,"AGUARDANDO MANOBRA DE TRANSBORDO"),0)+IFERROR(SUMIFS('Base bordo CD'!M$2:M$875,'Base bordo CD'!D$2:D$875,A1178,'Base bordo CD'!A$2:A$875,B1178,'Base bordo CD'!L$2:L$875,"FALTA DE TRANSBORDO"),0)</f>
        <v>0</v>
      </c>
      <c r="I1178" s="10">
        <f>IFERROR(SUMIFS('Base bordo CD'!M$2:M$875,'Base bordo CD'!D$2:D$875,A1178,'Base bordo CD'!A$2:A$875,B1178,'Base bordo CD'!L$2:L$875,"PARADA POR CONDICOES CLIMATICAS"),0)+IFERROR(SUMIFS('Base bordo CD'!M$2:M$875,'Base bordo CD'!D$2:D$875,A1178,'Base bordo CD'!A$2:A$875,B1178,'Base bordo CD'!L$2:L$875,"TEMPO INDETERMINADO"),0)</f>
        <v>0</v>
      </c>
      <c r="J1178" s="10">
        <f>IFERROR(SUMIFS('Base bordo CD'!M$2:M$875,'Base bordo CD'!D$2:D$875,A1178,'Base bordo CD'!A$2:A$875,B1178,'Base bordo CD'!L$2:L$875,"LIMITAÇÃO INDÚSTRIA"),0)</f>
        <v>0</v>
      </c>
      <c r="K1178" s="10">
        <f>IFERROR(SUMIFS('Base bordo CD'!M$2:M$875,'Base bordo CD'!D$2:D$875,A1178,'Base bordo CD'!A$2:A$875,B1178,'Base bordo CD'!L$2:L$875,"MAN CORRETIVA*"),0)+IFERROR(SUMIFS('Base bordo CD'!M$2:M$875,'Base bordo CD'!D$2:D$875,A1178,'Base bordo CD'!A$2:A$875,B1178,'Base bordo CD'!L$2:L$875,"AGUARDANDO MANUTENCAO*"),0)+IFERROR(SUMIFS('Base bordo CD'!M$2:M$875,'Base bordo CD'!D$2:D$875,A1178,'Base bordo CD'!A$2:A$875,B1178,'Base bordo CD'!L$2:L$875,"TROCA DE FAQUINHA"),0)+IFERROR(SUMIFS('Base bordo CD'!M$2:M$875,'Base bordo CD'!D$2:D$875,A1178,'Base bordo CD'!A$2:A$875,B1178,'Base bordo CD'!L$2:L$875,"LIMPEZA*"),0)</f>
        <v>0</v>
      </c>
      <c r="L1178" s="10">
        <f>IFERROR(SUMIFS('Base bordo CD'!M$2:M$875,'Base bordo CD'!D$2:D$875,A1178,'Base bordo CD'!A$2:A$875,B1178,'Base bordo CD'!L$2:L$875,"PATIO - RESERVA"),0)</f>
        <v>0</v>
      </c>
      <c r="M1178" s="10">
        <f>IFERROR(SUMIFS('Base bordo CD'!M$2:M$875,'Base bordo CD'!D$2:D$875,A1178,'Base bordo CD'!A$2:A$875,B1178,'Base bordo CD'!L$2:L$875,"SEM APONTAMENTO"),0)</f>
        <v>0</v>
      </c>
      <c r="N1178" s="10">
        <f>IFERROR(SUMIFS('Base bordo CD'!M$2:M$875,'Base bordo CD'!D$2:D$875,A1178,'Base bordo CD'!A$2:A$875,B1178,'Base bordo CD'!L$2:L$875,"FALTA DE CAMINHÃO"),0)+IFERROR(SUMIFS('Base bordo CD'!M$2:M$875,'Base bordo CD'!D$2:D$875,A1178,'Base bordo CD'!A$2:A$875,B1178,'Base bordo CD'!L$2:L$875,"FALTA DE COMBUSTIVEL"),0)+IFERROR(SUMIFS('Base bordo CD'!M$2:M$875,'Base bordo CD'!D$2:D$875,A1178,'Base bordo CD'!A$2:A$875,B1178,'Base bordo CD'!L$2:L$875,"FALTA DE MOTORIST*"),0)</f>
        <v>0</v>
      </c>
      <c r="O1178" s="10">
        <f t="shared" si="95"/>
        <v>0</v>
      </c>
      <c r="P1178" s="10">
        <f>IFERROR(SUMIFS('Base bordo CD'!M$2:M$875,'Base bordo CD'!D$2:D$875,A1178,'Base bordo CD'!A$2:A$875,B1178),0)</f>
        <v>0</v>
      </c>
      <c r="Q1178" s="10">
        <f>IFERROR(SUMIFS('Base bordo CD'!O$2:O$875,'Base bordo CD'!D$2:D$875,A1178,'Base bordo CD'!A$2:A$875,B1178,'Base bordo CD'!L$2:L$875,"CORTE DE CANA MECANIZADO"),0)</f>
        <v>0</v>
      </c>
      <c r="R1178" s="10">
        <f>IFERROR(SUMIFS('Base bordo CD'!Q$2:Q$875,'Base bordo CD'!D$2:D$875,A1178,'Base bordo CD'!A$2:A$875,B1178,'Base bordo CD'!L$2:L$875,"CORTE DE CANA MECANIZADO"),0)</f>
        <v>0</v>
      </c>
      <c r="S1178" s="30" t="str">
        <f t="shared" si="96"/>
        <v/>
      </c>
      <c r="T1178" s="9">
        <f t="shared" si="97"/>
        <v>0</v>
      </c>
      <c r="U1178" s="9">
        <f t="shared" si="98"/>
        <v>0</v>
      </c>
      <c r="V1178" s="9">
        <f t="shared" si="99"/>
        <v>0</v>
      </c>
    </row>
    <row r="1179" spans="1:22" x14ac:dyDescent="0.35">
      <c r="A1179" s="52">
        <v>49595</v>
      </c>
      <c r="B1179" s="31">
        <v>46117</v>
      </c>
      <c r="C1179" s="7" t="s">
        <v>337</v>
      </c>
      <c r="D1179" s="7">
        <v>353</v>
      </c>
      <c r="E1179" s="10">
        <f>IFERROR(SUMIFS('Base bordo CD'!M$2:M$875,'Base bordo CD'!D$2:D$875,A1179,'Base bordo CD'!A$2:A$875,B1179,'Base bordo CD'!L$2:L$875,"CORTE DE CANA MECANIZADO"),0)</f>
        <v>0</v>
      </c>
      <c r="F1179" s="10">
        <f>IFERROR(SUMIFS('Base bordo CD'!M$2:M$875,'Base bordo CD'!D$2:D$875,A1179,'Base bordo CD'!A$2:A$875,B1179,'Base bordo CD'!L$2:L$875,"MANOBRA"),0)</f>
        <v>0</v>
      </c>
      <c r="G1179" s="10">
        <f>IFERROR(SUMIFS('Base bordo CD'!M$2:M$875,'Base bordo CD'!D$2:D$875,A1179,'Base bordo CD'!A$2:A$875,B1179,'Base bordo CD'!L$2:L$875,"DESLOCAMENTO"),0)</f>
        <v>0</v>
      </c>
      <c r="H1179" s="10">
        <f>IFERROR(SUMIFS('Base bordo CD'!M$2:M$875,'Base bordo CD'!D$2:D$875,A1179,'Base bordo CD'!A$2:A$875,B1179,'Base bordo CD'!L$2:L$875,"AGUARDANDO MANOBRA DE TRANSBORDO"),0)+IFERROR(SUMIFS('Base bordo CD'!M$2:M$875,'Base bordo CD'!D$2:D$875,A1179,'Base bordo CD'!A$2:A$875,B1179,'Base bordo CD'!L$2:L$875,"FALTA DE TRANSBORDO"),0)</f>
        <v>0</v>
      </c>
      <c r="I1179" s="10">
        <f>IFERROR(SUMIFS('Base bordo CD'!M$2:M$875,'Base bordo CD'!D$2:D$875,A1179,'Base bordo CD'!A$2:A$875,B1179,'Base bordo CD'!L$2:L$875,"PARADA POR CONDICOES CLIMATICAS"),0)+IFERROR(SUMIFS('Base bordo CD'!M$2:M$875,'Base bordo CD'!D$2:D$875,A1179,'Base bordo CD'!A$2:A$875,B1179,'Base bordo CD'!L$2:L$875,"TEMPO INDETERMINADO"),0)</f>
        <v>0</v>
      </c>
      <c r="J1179" s="10">
        <f>IFERROR(SUMIFS('Base bordo CD'!M$2:M$875,'Base bordo CD'!D$2:D$875,A1179,'Base bordo CD'!A$2:A$875,B1179,'Base bordo CD'!L$2:L$875,"LIMITAÇÃO INDÚSTRIA"),0)</f>
        <v>0</v>
      </c>
      <c r="K1179" s="10">
        <f>IFERROR(SUMIFS('Base bordo CD'!M$2:M$875,'Base bordo CD'!D$2:D$875,A1179,'Base bordo CD'!A$2:A$875,B1179,'Base bordo CD'!L$2:L$875,"MAN CORRETIVA*"),0)+IFERROR(SUMIFS('Base bordo CD'!M$2:M$875,'Base bordo CD'!D$2:D$875,A1179,'Base bordo CD'!A$2:A$875,B1179,'Base bordo CD'!L$2:L$875,"AGUARDANDO MANUTENCAO*"),0)+IFERROR(SUMIFS('Base bordo CD'!M$2:M$875,'Base bordo CD'!D$2:D$875,A1179,'Base bordo CD'!A$2:A$875,B1179,'Base bordo CD'!L$2:L$875,"TROCA DE FAQUINHA"),0)+IFERROR(SUMIFS('Base bordo CD'!M$2:M$875,'Base bordo CD'!D$2:D$875,A1179,'Base bordo CD'!A$2:A$875,B1179,'Base bordo CD'!L$2:L$875,"LIMPEZA*"),0)</f>
        <v>0</v>
      </c>
      <c r="L1179" s="10">
        <f>IFERROR(SUMIFS('Base bordo CD'!M$2:M$875,'Base bordo CD'!D$2:D$875,A1179,'Base bordo CD'!A$2:A$875,B1179,'Base bordo CD'!L$2:L$875,"PATIO - RESERVA"),0)</f>
        <v>0</v>
      </c>
      <c r="M1179" s="10">
        <f>IFERROR(SUMIFS('Base bordo CD'!M$2:M$875,'Base bordo CD'!D$2:D$875,A1179,'Base bordo CD'!A$2:A$875,B1179,'Base bordo CD'!L$2:L$875,"SEM APONTAMENTO"),0)</f>
        <v>0</v>
      </c>
      <c r="N1179" s="10">
        <f>IFERROR(SUMIFS('Base bordo CD'!M$2:M$875,'Base bordo CD'!D$2:D$875,A1179,'Base bordo CD'!A$2:A$875,B1179,'Base bordo CD'!L$2:L$875,"FALTA DE CAMINHÃO"),0)+IFERROR(SUMIFS('Base bordo CD'!M$2:M$875,'Base bordo CD'!D$2:D$875,A1179,'Base bordo CD'!A$2:A$875,B1179,'Base bordo CD'!L$2:L$875,"FALTA DE COMBUSTIVEL"),0)+IFERROR(SUMIFS('Base bordo CD'!M$2:M$875,'Base bordo CD'!D$2:D$875,A1179,'Base bordo CD'!A$2:A$875,B1179,'Base bordo CD'!L$2:L$875,"FALTA DE MOTORIST*"),0)</f>
        <v>0</v>
      </c>
      <c r="O1179" s="10">
        <f t="shared" si="95"/>
        <v>0</v>
      </c>
      <c r="P1179" s="10">
        <f>IFERROR(SUMIFS('Base bordo CD'!M$2:M$875,'Base bordo CD'!D$2:D$875,A1179,'Base bordo CD'!A$2:A$875,B1179),0)</f>
        <v>0</v>
      </c>
      <c r="Q1179" s="10">
        <f>IFERROR(SUMIFS('Base bordo CD'!O$2:O$875,'Base bordo CD'!D$2:D$875,A1179,'Base bordo CD'!A$2:A$875,B1179,'Base bordo CD'!L$2:L$875,"CORTE DE CANA MECANIZADO"),0)</f>
        <v>0</v>
      </c>
      <c r="R1179" s="10">
        <f>IFERROR(SUMIFS('Base bordo CD'!Q$2:Q$875,'Base bordo CD'!D$2:D$875,A1179,'Base bordo CD'!A$2:A$875,B1179,'Base bordo CD'!L$2:L$875,"CORTE DE CANA MECANIZADO"),0)</f>
        <v>0</v>
      </c>
      <c r="S1179" s="30" t="str">
        <f t="shared" si="96"/>
        <v/>
      </c>
      <c r="T1179" s="9">
        <f t="shared" si="97"/>
        <v>0</v>
      </c>
      <c r="U1179" s="9">
        <f t="shared" si="98"/>
        <v>0</v>
      </c>
      <c r="V1179" s="9">
        <f t="shared" si="99"/>
        <v>0</v>
      </c>
    </row>
    <row r="1180" spans="1:22" x14ac:dyDescent="0.35">
      <c r="A1180" s="52">
        <v>49595</v>
      </c>
      <c r="B1180" s="31">
        <v>46117</v>
      </c>
      <c r="C1180" s="7" t="s">
        <v>337</v>
      </c>
      <c r="D1180" s="7">
        <v>353</v>
      </c>
      <c r="E1180" s="10">
        <f>IFERROR(SUMIFS('Base bordo CD'!M$2:M$875,'Base bordo CD'!D$2:D$875,A1180,'Base bordo CD'!A$2:A$875,B1180,'Base bordo CD'!L$2:L$875,"CORTE DE CANA MECANIZADO"),0)</f>
        <v>0</v>
      </c>
      <c r="F1180" s="10">
        <f>IFERROR(SUMIFS('Base bordo CD'!M$2:M$875,'Base bordo CD'!D$2:D$875,A1180,'Base bordo CD'!A$2:A$875,B1180,'Base bordo CD'!L$2:L$875,"MANOBRA"),0)</f>
        <v>0</v>
      </c>
      <c r="G1180" s="10">
        <f>IFERROR(SUMIFS('Base bordo CD'!M$2:M$875,'Base bordo CD'!D$2:D$875,A1180,'Base bordo CD'!A$2:A$875,B1180,'Base bordo CD'!L$2:L$875,"DESLOCAMENTO"),0)</f>
        <v>0</v>
      </c>
      <c r="H1180" s="10">
        <f>IFERROR(SUMIFS('Base bordo CD'!M$2:M$875,'Base bordo CD'!D$2:D$875,A1180,'Base bordo CD'!A$2:A$875,B1180,'Base bordo CD'!L$2:L$875,"AGUARDANDO MANOBRA DE TRANSBORDO"),0)+IFERROR(SUMIFS('Base bordo CD'!M$2:M$875,'Base bordo CD'!D$2:D$875,A1180,'Base bordo CD'!A$2:A$875,B1180,'Base bordo CD'!L$2:L$875,"FALTA DE TRANSBORDO"),0)</f>
        <v>0</v>
      </c>
      <c r="I1180" s="10">
        <f>IFERROR(SUMIFS('Base bordo CD'!M$2:M$875,'Base bordo CD'!D$2:D$875,A1180,'Base bordo CD'!A$2:A$875,B1180,'Base bordo CD'!L$2:L$875,"PARADA POR CONDICOES CLIMATICAS"),0)+IFERROR(SUMIFS('Base bordo CD'!M$2:M$875,'Base bordo CD'!D$2:D$875,A1180,'Base bordo CD'!A$2:A$875,B1180,'Base bordo CD'!L$2:L$875,"TEMPO INDETERMINADO"),0)</f>
        <v>0</v>
      </c>
      <c r="J1180" s="10">
        <f>IFERROR(SUMIFS('Base bordo CD'!M$2:M$875,'Base bordo CD'!D$2:D$875,A1180,'Base bordo CD'!A$2:A$875,B1180,'Base bordo CD'!L$2:L$875,"LIMITAÇÃO INDÚSTRIA"),0)</f>
        <v>0</v>
      </c>
      <c r="K1180" s="10">
        <f>IFERROR(SUMIFS('Base bordo CD'!M$2:M$875,'Base bordo CD'!D$2:D$875,A1180,'Base bordo CD'!A$2:A$875,B1180,'Base bordo CD'!L$2:L$875,"MAN CORRETIVA*"),0)+IFERROR(SUMIFS('Base bordo CD'!M$2:M$875,'Base bordo CD'!D$2:D$875,A1180,'Base bordo CD'!A$2:A$875,B1180,'Base bordo CD'!L$2:L$875,"AGUARDANDO MANUTENCAO*"),0)+IFERROR(SUMIFS('Base bordo CD'!M$2:M$875,'Base bordo CD'!D$2:D$875,A1180,'Base bordo CD'!A$2:A$875,B1180,'Base bordo CD'!L$2:L$875,"TROCA DE FAQUINHA"),0)+IFERROR(SUMIFS('Base bordo CD'!M$2:M$875,'Base bordo CD'!D$2:D$875,A1180,'Base bordo CD'!A$2:A$875,B1180,'Base bordo CD'!L$2:L$875,"LIMPEZA*"),0)</f>
        <v>0</v>
      </c>
      <c r="L1180" s="10">
        <f>IFERROR(SUMIFS('Base bordo CD'!M$2:M$875,'Base bordo CD'!D$2:D$875,A1180,'Base bordo CD'!A$2:A$875,B1180,'Base bordo CD'!L$2:L$875,"PATIO - RESERVA"),0)</f>
        <v>0</v>
      </c>
      <c r="M1180" s="10">
        <f>IFERROR(SUMIFS('Base bordo CD'!M$2:M$875,'Base bordo CD'!D$2:D$875,A1180,'Base bordo CD'!A$2:A$875,B1180,'Base bordo CD'!L$2:L$875,"SEM APONTAMENTO"),0)</f>
        <v>0</v>
      </c>
      <c r="N1180" s="10">
        <f>IFERROR(SUMIFS('Base bordo CD'!M$2:M$875,'Base bordo CD'!D$2:D$875,A1180,'Base bordo CD'!A$2:A$875,B1180,'Base bordo CD'!L$2:L$875,"FALTA DE CAMINHÃO"),0)+IFERROR(SUMIFS('Base bordo CD'!M$2:M$875,'Base bordo CD'!D$2:D$875,A1180,'Base bordo CD'!A$2:A$875,B1180,'Base bordo CD'!L$2:L$875,"FALTA DE COMBUSTIVEL"),0)+IFERROR(SUMIFS('Base bordo CD'!M$2:M$875,'Base bordo CD'!D$2:D$875,A1180,'Base bordo CD'!A$2:A$875,B1180,'Base bordo CD'!L$2:L$875,"FALTA DE MOTORIST*"),0)</f>
        <v>0</v>
      </c>
      <c r="O1180" s="10">
        <f t="shared" si="95"/>
        <v>0</v>
      </c>
      <c r="P1180" s="10">
        <f>IFERROR(SUMIFS('Base bordo CD'!M$2:M$875,'Base bordo CD'!D$2:D$875,A1180,'Base bordo CD'!A$2:A$875,B1180),0)</f>
        <v>0</v>
      </c>
      <c r="Q1180" s="10">
        <f>IFERROR(SUMIFS('Base bordo CD'!O$2:O$875,'Base bordo CD'!D$2:D$875,A1180,'Base bordo CD'!A$2:A$875,B1180,'Base bordo CD'!L$2:L$875,"CORTE DE CANA MECANIZADO"),0)</f>
        <v>0</v>
      </c>
      <c r="R1180" s="10">
        <f>IFERROR(SUMIFS('Base bordo CD'!Q$2:Q$875,'Base bordo CD'!D$2:D$875,A1180,'Base bordo CD'!A$2:A$875,B1180,'Base bordo CD'!L$2:L$875,"CORTE DE CANA MECANIZADO"),0)</f>
        <v>0</v>
      </c>
      <c r="S1180" s="30" t="str">
        <f t="shared" si="96"/>
        <v/>
      </c>
      <c r="T1180" s="9">
        <f t="shared" si="97"/>
        <v>0</v>
      </c>
      <c r="U1180" s="9">
        <f t="shared" si="98"/>
        <v>0</v>
      </c>
      <c r="V1180" s="9">
        <f t="shared" si="99"/>
        <v>0</v>
      </c>
    </row>
    <row r="1181" spans="1:22" x14ac:dyDescent="0.35">
      <c r="A1181" s="52">
        <v>49595</v>
      </c>
      <c r="B1181" s="31">
        <v>46117</v>
      </c>
      <c r="C1181" s="7" t="s">
        <v>337</v>
      </c>
      <c r="D1181" s="7">
        <v>353</v>
      </c>
      <c r="E1181" s="10">
        <f>IFERROR(SUMIFS('Base bordo CD'!M$2:M$875,'Base bordo CD'!D$2:D$875,A1181,'Base bordo CD'!A$2:A$875,B1181,'Base bordo CD'!L$2:L$875,"CORTE DE CANA MECANIZADO"),0)</f>
        <v>0</v>
      </c>
      <c r="F1181" s="10">
        <f>IFERROR(SUMIFS('Base bordo CD'!M$2:M$875,'Base bordo CD'!D$2:D$875,A1181,'Base bordo CD'!A$2:A$875,B1181,'Base bordo CD'!L$2:L$875,"MANOBRA"),0)</f>
        <v>0</v>
      </c>
      <c r="G1181" s="10">
        <f>IFERROR(SUMIFS('Base bordo CD'!M$2:M$875,'Base bordo CD'!D$2:D$875,A1181,'Base bordo CD'!A$2:A$875,B1181,'Base bordo CD'!L$2:L$875,"DESLOCAMENTO"),0)</f>
        <v>0</v>
      </c>
      <c r="H1181" s="10">
        <f>IFERROR(SUMIFS('Base bordo CD'!M$2:M$875,'Base bordo CD'!D$2:D$875,A1181,'Base bordo CD'!A$2:A$875,B1181,'Base bordo CD'!L$2:L$875,"AGUARDANDO MANOBRA DE TRANSBORDO"),0)+IFERROR(SUMIFS('Base bordo CD'!M$2:M$875,'Base bordo CD'!D$2:D$875,A1181,'Base bordo CD'!A$2:A$875,B1181,'Base bordo CD'!L$2:L$875,"FALTA DE TRANSBORDO"),0)</f>
        <v>0</v>
      </c>
      <c r="I1181" s="10">
        <f>IFERROR(SUMIFS('Base bordo CD'!M$2:M$875,'Base bordo CD'!D$2:D$875,A1181,'Base bordo CD'!A$2:A$875,B1181,'Base bordo CD'!L$2:L$875,"PARADA POR CONDICOES CLIMATICAS"),0)+IFERROR(SUMIFS('Base bordo CD'!M$2:M$875,'Base bordo CD'!D$2:D$875,A1181,'Base bordo CD'!A$2:A$875,B1181,'Base bordo CD'!L$2:L$875,"TEMPO INDETERMINADO"),0)</f>
        <v>0</v>
      </c>
      <c r="J1181" s="10">
        <f>IFERROR(SUMIFS('Base bordo CD'!M$2:M$875,'Base bordo CD'!D$2:D$875,A1181,'Base bordo CD'!A$2:A$875,B1181,'Base bordo CD'!L$2:L$875,"LIMITAÇÃO INDÚSTRIA"),0)</f>
        <v>0</v>
      </c>
      <c r="K1181" s="10">
        <f>IFERROR(SUMIFS('Base bordo CD'!M$2:M$875,'Base bordo CD'!D$2:D$875,A1181,'Base bordo CD'!A$2:A$875,B1181,'Base bordo CD'!L$2:L$875,"MAN CORRETIVA*"),0)+IFERROR(SUMIFS('Base bordo CD'!M$2:M$875,'Base bordo CD'!D$2:D$875,A1181,'Base bordo CD'!A$2:A$875,B1181,'Base bordo CD'!L$2:L$875,"AGUARDANDO MANUTENCAO*"),0)+IFERROR(SUMIFS('Base bordo CD'!M$2:M$875,'Base bordo CD'!D$2:D$875,A1181,'Base bordo CD'!A$2:A$875,B1181,'Base bordo CD'!L$2:L$875,"TROCA DE FAQUINHA"),0)+IFERROR(SUMIFS('Base bordo CD'!M$2:M$875,'Base bordo CD'!D$2:D$875,A1181,'Base bordo CD'!A$2:A$875,B1181,'Base bordo CD'!L$2:L$875,"LIMPEZA*"),0)</f>
        <v>0</v>
      </c>
      <c r="L1181" s="10">
        <f>IFERROR(SUMIFS('Base bordo CD'!M$2:M$875,'Base bordo CD'!D$2:D$875,A1181,'Base bordo CD'!A$2:A$875,B1181,'Base bordo CD'!L$2:L$875,"PATIO - RESERVA"),0)</f>
        <v>0</v>
      </c>
      <c r="M1181" s="10">
        <f>IFERROR(SUMIFS('Base bordo CD'!M$2:M$875,'Base bordo CD'!D$2:D$875,A1181,'Base bordo CD'!A$2:A$875,B1181,'Base bordo CD'!L$2:L$875,"SEM APONTAMENTO"),0)</f>
        <v>0</v>
      </c>
      <c r="N1181" s="10">
        <f>IFERROR(SUMIFS('Base bordo CD'!M$2:M$875,'Base bordo CD'!D$2:D$875,A1181,'Base bordo CD'!A$2:A$875,B1181,'Base bordo CD'!L$2:L$875,"FALTA DE CAMINHÃO"),0)+IFERROR(SUMIFS('Base bordo CD'!M$2:M$875,'Base bordo CD'!D$2:D$875,A1181,'Base bordo CD'!A$2:A$875,B1181,'Base bordo CD'!L$2:L$875,"FALTA DE COMBUSTIVEL"),0)+IFERROR(SUMIFS('Base bordo CD'!M$2:M$875,'Base bordo CD'!D$2:D$875,A1181,'Base bordo CD'!A$2:A$875,B1181,'Base bordo CD'!L$2:L$875,"FALTA DE MOTORIST*"),0)</f>
        <v>0</v>
      </c>
      <c r="O1181" s="10">
        <f t="shared" si="95"/>
        <v>0</v>
      </c>
      <c r="P1181" s="10">
        <f>IFERROR(SUMIFS('Base bordo CD'!M$2:M$875,'Base bordo CD'!D$2:D$875,A1181,'Base bordo CD'!A$2:A$875,B1181),0)</f>
        <v>0</v>
      </c>
      <c r="Q1181" s="10">
        <f>IFERROR(SUMIFS('Base bordo CD'!O$2:O$875,'Base bordo CD'!D$2:D$875,A1181,'Base bordo CD'!A$2:A$875,B1181,'Base bordo CD'!L$2:L$875,"CORTE DE CANA MECANIZADO"),0)</f>
        <v>0</v>
      </c>
      <c r="R1181" s="10">
        <f>IFERROR(SUMIFS('Base bordo CD'!Q$2:Q$875,'Base bordo CD'!D$2:D$875,A1181,'Base bordo CD'!A$2:A$875,B1181,'Base bordo CD'!L$2:L$875,"CORTE DE CANA MECANIZADO"),0)</f>
        <v>0</v>
      </c>
      <c r="S1181" s="30" t="str">
        <f t="shared" si="96"/>
        <v/>
      </c>
      <c r="T1181" s="9">
        <f t="shared" si="97"/>
        <v>0</v>
      </c>
      <c r="U1181" s="9">
        <f t="shared" si="98"/>
        <v>0</v>
      </c>
      <c r="V1181" s="9">
        <f t="shared" si="99"/>
        <v>0</v>
      </c>
    </row>
    <row r="1182" spans="1:22" x14ac:dyDescent="0.35">
      <c r="A1182" s="52">
        <v>49595</v>
      </c>
      <c r="B1182" s="31">
        <v>46117</v>
      </c>
      <c r="C1182" s="7" t="s">
        <v>337</v>
      </c>
      <c r="D1182" s="7">
        <v>353</v>
      </c>
      <c r="E1182" s="10">
        <f>IFERROR(SUMIFS('Base bordo CD'!M$2:M$875,'Base bordo CD'!D$2:D$875,A1182,'Base bordo CD'!A$2:A$875,B1182,'Base bordo CD'!L$2:L$875,"CORTE DE CANA MECANIZADO"),0)</f>
        <v>0</v>
      </c>
      <c r="F1182" s="10">
        <f>IFERROR(SUMIFS('Base bordo CD'!M$2:M$875,'Base bordo CD'!D$2:D$875,A1182,'Base bordo CD'!A$2:A$875,B1182,'Base bordo CD'!L$2:L$875,"MANOBRA"),0)</f>
        <v>0</v>
      </c>
      <c r="G1182" s="10">
        <f>IFERROR(SUMIFS('Base bordo CD'!M$2:M$875,'Base bordo CD'!D$2:D$875,A1182,'Base bordo CD'!A$2:A$875,B1182,'Base bordo CD'!L$2:L$875,"DESLOCAMENTO"),0)</f>
        <v>0</v>
      </c>
      <c r="H1182" s="10">
        <f>IFERROR(SUMIFS('Base bordo CD'!M$2:M$875,'Base bordo CD'!D$2:D$875,A1182,'Base bordo CD'!A$2:A$875,B1182,'Base bordo CD'!L$2:L$875,"AGUARDANDO MANOBRA DE TRANSBORDO"),0)+IFERROR(SUMIFS('Base bordo CD'!M$2:M$875,'Base bordo CD'!D$2:D$875,A1182,'Base bordo CD'!A$2:A$875,B1182,'Base bordo CD'!L$2:L$875,"FALTA DE TRANSBORDO"),0)</f>
        <v>0</v>
      </c>
      <c r="I1182" s="10">
        <f>IFERROR(SUMIFS('Base bordo CD'!M$2:M$875,'Base bordo CD'!D$2:D$875,A1182,'Base bordo CD'!A$2:A$875,B1182,'Base bordo CD'!L$2:L$875,"PARADA POR CONDICOES CLIMATICAS"),0)+IFERROR(SUMIFS('Base bordo CD'!M$2:M$875,'Base bordo CD'!D$2:D$875,A1182,'Base bordo CD'!A$2:A$875,B1182,'Base bordo CD'!L$2:L$875,"TEMPO INDETERMINADO"),0)</f>
        <v>0</v>
      </c>
      <c r="J1182" s="10">
        <f>IFERROR(SUMIFS('Base bordo CD'!M$2:M$875,'Base bordo CD'!D$2:D$875,A1182,'Base bordo CD'!A$2:A$875,B1182,'Base bordo CD'!L$2:L$875,"LIMITAÇÃO INDÚSTRIA"),0)</f>
        <v>0</v>
      </c>
      <c r="K1182" s="10">
        <f>IFERROR(SUMIFS('Base bordo CD'!M$2:M$875,'Base bordo CD'!D$2:D$875,A1182,'Base bordo CD'!A$2:A$875,B1182,'Base bordo CD'!L$2:L$875,"MAN CORRETIVA*"),0)+IFERROR(SUMIFS('Base bordo CD'!M$2:M$875,'Base bordo CD'!D$2:D$875,A1182,'Base bordo CD'!A$2:A$875,B1182,'Base bordo CD'!L$2:L$875,"AGUARDANDO MANUTENCAO*"),0)+IFERROR(SUMIFS('Base bordo CD'!M$2:M$875,'Base bordo CD'!D$2:D$875,A1182,'Base bordo CD'!A$2:A$875,B1182,'Base bordo CD'!L$2:L$875,"TROCA DE FAQUINHA"),0)+IFERROR(SUMIFS('Base bordo CD'!M$2:M$875,'Base bordo CD'!D$2:D$875,A1182,'Base bordo CD'!A$2:A$875,B1182,'Base bordo CD'!L$2:L$875,"LIMPEZA*"),0)</f>
        <v>0</v>
      </c>
      <c r="L1182" s="10">
        <f>IFERROR(SUMIFS('Base bordo CD'!M$2:M$875,'Base bordo CD'!D$2:D$875,A1182,'Base bordo CD'!A$2:A$875,B1182,'Base bordo CD'!L$2:L$875,"PATIO - RESERVA"),0)</f>
        <v>0</v>
      </c>
      <c r="M1182" s="10">
        <f>IFERROR(SUMIFS('Base bordo CD'!M$2:M$875,'Base bordo CD'!D$2:D$875,A1182,'Base bordo CD'!A$2:A$875,B1182,'Base bordo CD'!L$2:L$875,"SEM APONTAMENTO"),0)</f>
        <v>0</v>
      </c>
      <c r="N1182" s="10">
        <f>IFERROR(SUMIFS('Base bordo CD'!M$2:M$875,'Base bordo CD'!D$2:D$875,A1182,'Base bordo CD'!A$2:A$875,B1182,'Base bordo CD'!L$2:L$875,"FALTA DE CAMINHÃO"),0)+IFERROR(SUMIFS('Base bordo CD'!M$2:M$875,'Base bordo CD'!D$2:D$875,A1182,'Base bordo CD'!A$2:A$875,B1182,'Base bordo CD'!L$2:L$875,"FALTA DE COMBUSTIVEL"),0)+IFERROR(SUMIFS('Base bordo CD'!M$2:M$875,'Base bordo CD'!D$2:D$875,A1182,'Base bordo CD'!A$2:A$875,B1182,'Base bordo CD'!L$2:L$875,"FALTA DE MOTORIST*"),0)</f>
        <v>0</v>
      </c>
      <c r="O1182" s="10">
        <f t="shared" si="95"/>
        <v>0</v>
      </c>
      <c r="P1182" s="10">
        <f>IFERROR(SUMIFS('Base bordo CD'!M$2:M$875,'Base bordo CD'!D$2:D$875,A1182,'Base bordo CD'!A$2:A$875,B1182),0)</f>
        <v>0</v>
      </c>
      <c r="Q1182" s="10">
        <f>IFERROR(SUMIFS('Base bordo CD'!O$2:O$875,'Base bordo CD'!D$2:D$875,A1182,'Base bordo CD'!A$2:A$875,B1182,'Base bordo CD'!L$2:L$875,"CORTE DE CANA MECANIZADO"),0)</f>
        <v>0</v>
      </c>
      <c r="R1182" s="10">
        <f>IFERROR(SUMIFS('Base bordo CD'!Q$2:Q$875,'Base bordo CD'!D$2:D$875,A1182,'Base bordo CD'!A$2:A$875,B1182,'Base bordo CD'!L$2:L$875,"CORTE DE CANA MECANIZADO"),0)</f>
        <v>0</v>
      </c>
      <c r="S1182" s="30" t="str">
        <f t="shared" si="96"/>
        <v/>
      </c>
      <c r="T1182" s="9">
        <f t="shared" si="97"/>
        <v>0</v>
      </c>
      <c r="U1182" s="9">
        <f t="shared" si="98"/>
        <v>0</v>
      </c>
      <c r="V1182" s="9">
        <f t="shared" si="99"/>
        <v>0</v>
      </c>
    </row>
    <row r="1183" spans="1:22" x14ac:dyDescent="0.35">
      <c r="A1183" s="52">
        <v>49595</v>
      </c>
      <c r="B1183" s="31">
        <v>46117</v>
      </c>
      <c r="C1183" s="7" t="s">
        <v>337</v>
      </c>
      <c r="D1183" s="7">
        <v>353</v>
      </c>
      <c r="E1183" s="10">
        <f>IFERROR(SUMIFS('Base bordo CD'!M$2:M$875,'Base bordo CD'!D$2:D$875,A1183,'Base bordo CD'!A$2:A$875,B1183,'Base bordo CD'!L$2:L$875,"CORTE DE CANA MECANIZADO"),0)</f>
        <v>0</v>
      </c>
      <c r="F1183" s="10">
        <f>IFERROR(SUMIFS('Base bordo CD'!M$2:M$875,'Base bordo CD'!D$2:D$875,A1183,'Base bordo CD'!A$2:A$875,B1183,'Base bordo CD'!L$2:L$875,"MANOBRA"),0)</f>
        <v>0</v>
      </c>
      <c r="G1183" s="10">
        <f>IFERROR(SUMIFS('Base bordo CD'!M$2:M$875,'Base bordo CD'!D$2:D$875,A1183,'Base bordo CD'!A$2:A$875,B1183,'Base bordo CD'!L$2:L$875,"DESLOCAMENTO"),0)</f>
        <v>0</v>
      </c>
      <c r="H1183" s="10">
        <f>IFERROR(SUMIFS('Base bordo CD'!M$2:M$875,'Base bordo CD'!D$2:D$875,A1183,'Base bordo CD'!A$2:A$875,B1183,'Base bordo CD'!L$2:L$875,"AGUARDANDO MANOBRA DE TRANSBORDO"),0)+IFERROR(SUMIFS('Base bordo CD'!M$2:M$875,'Base bordo CD'!D$2:D$875,A1183,'Base bordo CD'!A$2:A$875,B1183,'Base bordo CD'!L$2:L$875,"FALTA DE TRANSBORDO"),0)</f>
        <v>0</v>
      </c>
      <c r="I1183" s="10">
        <f>IFERROR(SUMIFS('Base bordo CD'!M$2:M$875,'Base bordo CD'!D$2:D$875,A1183,'Base bordo CD'!A$2:A$875,B1183,'Base bordo CD'!L$2:L$875,"PARADA POR CONDICOES CLIMATICAS"),0)+IFERROR(SUMIFS('Base bordo CD'!M$2:M$875,'Base bordo CD'!D$2:D$875,A1183,'Base bordo CD'!A$2:A$875,B1183,'Base bordo CD'!L$2:L$875,"TEMPO INDETERMINADO"),0)</f>
        <v>0</v>
      </c>
      <c r="J1183" s="10">
        <f>IFERROR(SUMIFS('Base bordo CD'!M$2:M$875,'Base bordo CD'!D$2:D$875,A1183,'Base bordo CD'!A$2:A$875,B1183,'Base bordo CD'!L$2:L$875,"LIMITAÇÃO INDÚSTRIA"),0)</f>
        <v>0</v>
      </c>
      <c r="K1183" s="10">
        <f>IFERROR(SUMIFS('Base bordo CD'!M$2:M$875,'Base bordo CD'!D$2:D$875,A1183,'Base bordo CD'!A$2:A$875,B1183,'Base bordo CD'!L$2:L$875,"MAN CORRETIVA*"),0)+IFERROR(SUMIFS('Base bordo CD'!M$2:M$875,'Base bordo CD'!D$2:D$875,A1183,'Base bordo CD'!A$2:A$875,B1183,'Base bordo CD'!L$2:L$875,"AGUARDANDO MANUTENCAO*"),0)+IFERROR(SUMIFS('Base bordo CD'!M$2:M$875,'Base bordo CD'!D$2:D$875,A1183,'Base bordo CD'!A$2:A$875,B1183,'Base bordo CD'!L$2:L$875,"TROCA DE FAQUINHA"),0)+IFERROR(SUMIFS('Base bordo CD'!M$2:M$875,'Base bordo CD'!D$2:D$875,A1183,'Base bordo CD'!A$2:A$875,B1183,'Base bordo CD'!L$2:L$875,"LIMPEZA*"),0)</f>
        <v>0</v>
      </c>
      <c r="L1183" s="10">
        <f>IFERROR(SUMIFS('Base bordo CD'!M$2:M$875,'Base bordo CD'!D$2:D$875,A1183,'Base bordo CD'!A$2:A$875,B1183,'Base bordo CD'!L$2:L$875,"PATIO - RESERVA"),0)</f>
        <v>0</v>
      </c>
      <c r="M1183" s="10">
        <f>IFERROR(SUMIFS('Base bordo CD'!M$2:M$875,'Base bordo CD'!D$2:D$875,A1183,'Base bordo CD'!A$2:A$875,B1183,'Base bordo CD'!L$2:L$875,"SEM APONTAMENTO"),0)</f>
        <v>0</v>
      </c>
      <c r="N1183" s="10">
        <f>IFERROR(SUMIFS('Base bordo CD'!M$2:M$875,'Base bordo CD'!D$2:D$875,A1183,'Base bordo CD'!A$2:A$875,B1183,'Base bordo CD'!L$2:L$875,"FALTA DE CAMINHÃO"),0)+IFERROR(SUMIFS('Base bordo CD'!M$2:M$875,'Base bordo CD'!D$2:D$875,A1183,'Base bordo CD'!A$2:A$875,B1183,'Base bordo CD'!L$2:L$875,"FALTA DE COMBUSTIVEL"),0)+IFERROR(SUMIFS('Base bordo CD'!M$2:M$875,'Base bordo CD'!D$2:D$875,A1183,'Base bordo CD'!A$2:A$875,B1183,'Base bordo CD'!L$2:L$875,"FALTA DE MOTORIST*"),0)</f>
        <v>0</v>
      </c>
      <c r="O1183" s="10">
        <f t="shared" si="95"/>
        <v>0</v>
      </c>
      <c r="P1183" s="10">
        <f>IFERROR(SUMIFS('Base bordo CD'!M$2:M$875,'Base bordo CD'!D$2:D$875,A1183,'Base bordo CD'!A$2:A$875,B1183),0)</f>
        <v>0</v>
      </c>
      <c r="Q1183" s="10">
        <f>IFERROR(SUMIFS('Base bordo CD'!O$2:O$875,'Base bordo CD'!D$2:D$875,A1183,'Base bordo CD'!A$2:A$875,B1183,'Base bordo CD'!L$2:L$875,"CORTE DE CANA MECANIZADO"),0)</f>
        <v>0</v>
      </c>
      <c r="R1183" s="10">
        <f>IFERROR(SUMIFS('Base bordo CD'!Q$2:Q$875,'Base bordo CD'!D$2:D$875,A1183,'Base bordo CD'!A$2:A$875,B1183,'Base bordo CD'!L$2:L$875,"CORTE DE CANA MECANIZADO"),0)</f>
        <v>0</v>
      </c>
      <c r="S1183" s="30" t="str">
        <f t="shared" si="96"/>
        <v/>
      </c>
      <c r="T1183" s="9">
        <f t="shared" si="97"/>
        <v>0</v>
      </c>
      <c r="U1183" s="9">
        <f t="shared" si="98"/>
        <v>0</v>
      </c>
      <c r="V1183" s="9">
        <f t="shared" si="99"/>
        <v>0</v>
      </c>
    </row>
    <row r="1184" spans="1:22" x14ac:dyDescent="0.35">
      <c r="A1184" s="52">
        <v>49595</v>
      </c>
      <c r="B1184" s="31">
        <v>46117</v>
      </c>
      <c r="C1184" s="7" t="s">
        <v>337</v>
      </c>
      <c r="D1184" s="7">
        <v>353</v>
      </c>
      <c r="E1184" s="10">
        <f>IFERROR(SUMIFS('Base bordo CD'!M$2:M$875,'Base bordo CD'!D$2:D$875,A1184,'Base bordo CD'!A$2:A$875,B1184,'Base bordo CD'!L$2:L$875,"CORTE DE CANA MECANIZADO"),0)</f>
        <v>0</v>
      </c>
      <c r="F1184" s="10">
        <f>IFERROR(SUMIFS('Base bordo CD'!M$2:M$875,'Base bordo CD'!D$2:D$875,A1184,'Base bordo CD'!A$2:A$875,B1184,'Base bordo CD'!L$2:L$875,"MANOBRA"),0)</f>
        <v>0</v>
      </c>
      <c r="G1184" s="10">
        <f>IFERROR(SUMIFS('Base bordo CD'!M$2:M$875,'Base bordo CD'!D$2:D$875,A1184,'Base bordo CD'!A$2:A$875,B1184,'Base bordo CD'!L$2:L$875,"DESLOCAMENTO"),0)</f>
        <v>0</v>
      </c>
      <c r="H1184" s="10">
        <f>IFERROR(SUMIFS('Base bordo CD'!M$2:M$875,'Base bordo CD'!D$2:D$875,A1184,'Base bordo CD'!A$2:A$875,B1184,'Base bordo CD'!L$2:L$875,"AGUARDANDO MANOBRA DE TRANSBORDO"),0)+IFERROR(SUMIFS('Base bordo CD'!M$2:M$875,'Base bordo CD'!D$2:D$875,A1184,'Base bordo CD'!A$2:A$875,B1184,'Base bordo CD'!L$2:L$875,"FALTA DE TRANSBORDO"),0)</f>
        <v>0</v>
      </c>
      <c r="I1184" s="10">
        <f>IFERROR(SUMIFS('Base bordo CD'!M$2:M$875,'Base bordo CD'!D$2:D$875,A1184,'Base bordo CD'!A$2:A$875,B1184,'Base bordo CD'!L$2:L$875,"PARADA POR CONDICOES CLIMATICAS"),0)+IFERROR(SUMIFS('Base bordo CD'!M$2:M$875,'Base bordo CD'!D$2:D$875,A1184,'Base bordo CD'!A$2:A$875,B1184,'Base bordo CD'!L$2:L$875,"TEMPO INDETERMINADO"),0)</f>
        <v>0</v>
      </c>
      <c r="J1184" s="10">
        <f>IFERROR(SUMIFS('Base bordo CD'!M$2:M$875,'Base bordo CD'!D$2:D$875,A1184,'Base bordo CD'!A$2:A$875,B1184,'Base bordo CD'!L$2:L$875,"LIMITAÇÃO INDÚSTRIA"),0)</f>
        <v>0</v>
      </c>
      <c r="K1184" s="10">
        <f>IFERROR(SUMIFS('Base bordo CD'!M$2:M$875,'Base bordo CD'!D$2:D$875,A1184,'Base bordo CD'!A$2:A$875,B1184,'Base bordo CD'!L$2:L$875,"MAN CORRETIVA*"),0)+IFERROR(SUMIFS('Base bordo CD'!M$2:M$875,'Base bordo CD'!D$2:D$875,A1184,'Base bordo CD'!A$2:A$875,B1184,'Base bordo CD'!L$2:L$875,"AGUARDANDO MANUTENCAO*"),0)+IFERROR(SUMIFS('Base bordo CD'!M$2:M$875,'Base bordo CD'!D$2:D$875,A1184,'Base bordo CD'!A$2:A$875,B1184,'Base bordo CD'!L$2:L$875,"TROCA DE FAQUINHA"),0)+IFERROR(SUMIFS('Base bordo CD'!M$2:M$875,'Base bordo CD'!D$2:D$875,A1184,'Base bordo CD'!A$2:A$875,B1184,'Base bordo CD'!L$2:L$875,"LIMPEZA*"),0)</f>
        <v>0</v>
      </c>
      <c r="L1184" s="10">
        <f>IFERROR(SUMIFS('Base bordo CD'!M$2:M$875,'Base bordo CD'!D$2:D$875,A1184,'Base bordo CD'!A$2:A$875,B1184,'Base bordo CD'!L$2:L$875,"PATIO - RESERVA"),0)</f>
        <v>0</v>
      </c>
      <c r="M1184" s="10">
        <f>IFERROR(SUMIFS('Base bordo CD'!M$2:M$875,'Base bordo CD'!D$2:D$875,A1184,'Base bordo CD'!A$2:A$875,B1184,'Base bordo CD'!L$2:L$875,"SEM APONTAMENTO"),0)</f>
        <v>0</v>
      </c>
      <c r="N1184" s="10">
        <f>IFERROR(SUMIFS('Base bordo CD'!M$2:M$875,'Base bordo CD'!D$2:D$875,A1184,'Base bordo CD'!A$2:A$875,B1184,'Base bordo CD'!L$2:L$875,"FALTA DE CAMINHÃO"),0)+IFERROR(SUMIFS('Base bordo CD'!M$2:M$875,'Base bordo CD'!D$2:D$875,A1184,'Base bordo CD'!A$2:A$875,B1184,'Base bordo CD'!L$2:L$875,"FALTA DE COMBUSTIVEL"),0)+IFERROR(SUMIFS('Base bordo CD'!M$2:M$875,'Base bordo CD'!D$2:D$875,A1184,'Base bordo CD'!A$2:A$875,B1184,'Base bordo CD'!L$2:L$875,"FALTA DE MOTORIST*"),0)</f>
        <v>0</v>
      </c>
      <c r="O1184" s="10">
        <f t="shared" si="95"/>
        <v>0</v>
      </c>
      <c r="P1184" s="10">
        <f>IFERROR(SUMIFS('Base bordo CD'!M$2:M$875,'Base bordo CD'!D$2:D$875,A1184,'Base bordo CD'!A$2:A$875,B1184),0)</f>
        <v>0</v>
      </c>
      <c r="Q1184" s="10">
        <f>IFERROR(SUMIFS('Base bordo CD'!O$2:O$875,'Base bordo CD'!D$2:D$875,A1184,'Base bordo CD'!A$2:A$875,B1184,'Base bordo CD'!L$2:L$875,"CORTE DE CANA MECANIZADO"),0)</f>
        <v>0</v>
      </c>
      <c r="R1184" s="10">
        <f>IFERROR(SUMIFS('Base bordo CD'!Q$2:Q$875,'Base bordo CD'!D$2:D$875,A1184,'Base bordo CD'!A$2:A$875,B1184,'Base bordo CD'!L$2:L$875,"CORTE DE CANA MECANIZADO"),0)</f>
        <v>0</v>
      </c>
      <c r="S1184" s="30" t="str">
        <f t="shared" si="96"/>
        <v/>
      </c>
      <c r="T1184" s="9">
        <f t="shared" si="97"/>
        <v>0</v>
      </c>
      <c r="U1184" s="9">
        <f t="shared" si="98"/>
        <v>0</v>
      </c>
      <c r="V1184" s="9">
        <f t="shared" si="99"/>
        <v>0</v>
      </c>
    </row>
    <row r="1185" spans="1:22" x14ac:dyDescent="0.35">
      <c r="A1185" s="52">
        <v>49595</v>
      </c>
      <c r="B1185" s="31">
        <v>46117</v>
      </c>
      <c r="C1185" s="7" t="s">
        <v>337</v>
      </c>
      <c r="D1185" s="7">
        <v>353</v>
      </c>
      <c r="E1185" s="10">
        <f>IFERROR(SUMIFS('Base bordo CD'!M$2:M$875,'Base bordo CD'!D$2:D$875,A1185,'Base bordo CD'!A$2:A$875,B1185,'Base bordo CD'!L$2:L$875,"CORTE DE CANA MECANIZADO"),0)</f>
        <v>0</v>
      </c>
      <c r="F1185" s="10">
        <f>IFERROR(SUMIFS('Base bordo CD'!M$2:M$875,'Base bordo CD'!D$2:D$875,A1185,'Base bordo CD'!A$2:A$875,B1185,'Base bordo CD'!L$2:L$875,"MANOBRA"),0)</f>
        <v>0</v>
      </c>
      <c r="G1185" s="10">
        <f>IFERROR(SUMIFS('Base bordo CD'!M$2:M$875,'Base bordo CD'!D$2:D$875,A1185,'Base bordo CD'!A$2:A$875,B1185,'Base bordo CD'!L$2:L$875,"DESLOCAMENTO"),0)</f>
        <v>0</v>
      </c>
      <c r="H1185" s="10">
        <f>IFERROR(SUMIFS('Base bordo CD'!M$2:M$875,'Base bordo CD'!D$2:D$875,A1185,'Base bordo CD'!A$2:A$875,B1185,'Base bordo CD'!L$2:L$875,"AGUARDANDO MANOBRA DE TRANSBORDO"),0)+IFERROR(SUMIFS('Base bordo CD'!M$2:M$875,'Base bordo CD'!D$2:D$875,A1185,'Base bordo CD'!A$2:A$875,B1185,'Base bordo CD'!L$2:L$875,"FALTA DE TRANSBORDO"),0)</f>
        <v>0</v>
      </c>
      <c r="I1185" s="10">
        <f>IFERROR(SUMIFS('Base bordo CD'!M$2:M$875,'Base bordo CD'!D$2:D$875,A1185,'Base bordo CD'!A$2:A$875,B1185,'Base bordo CD'!L$2:L$875,"PARADA POR CONDICOES CLIMATICAS"),0)+IFERROR(SUMIFS('Base bordo CD'!M$2:M$875,'Base bordo CD'!D$2:D$875,A1185,'Base bordo CD'!A$2:A$875,B1185,'Base bordo CD'!L$2:L$875,"TEMPO INDETERMINADO"),0)</f>
        <v>0</v>
      </c>
      <c r="J1185" s="10">
        <f>IFERROR(SUMIFS('Base bordo CD'!M$2:M$875,'Base bordo CD'!D$2:D$875,A1185,'Base bordo CD'!A$2:A$875,B1185,'Base bordo CD'!L$2:L$875,"LIMITAÇÃO INDÚSTRIA"),0)</f>
        <v>0</v>
      </c>
      <c r="K1185" s="10">
        <f>IFERROR(SUMIFS('Base bordo CD'!M$2:M$875,'Base bordo CD'!D$2:D$875,A1185,'Base bordo CD'!A$2:A$875,B1185,'Base bordo CD'!L$2:L$875,"MAN CORRETIVA*"),0)+IFERROR(SUMIFS('Base bordo CD'!M$2:M$875,'Base bordo CD'!D$2:D$875,A1185,'Base bordo CD'!A$2:A$875,B1185,'Base bordo CD'!L$2:L$875,"AGUARDANDO MANUTENCAO*"),0)+IFERROR(SUMIFS('Base bordo CD'!M$2:M$875,'Base bordo CD'!D$2:D$875,A1185,'Base bordo CD'!A$2:A$875,B1185,'Base bordo CD'!L$2:L$875,"TROCA DE FAQUINHA"),0)+IFERROR(SUMIFS('Base bordo CD'!M$2:M$875,'Base bordo CD'!D$2:D$875,A1185,'Base bordo CD'!A$2:A$875,B1185,'Base bordo CD'!L$2:L$875,"LIMPEZA*"),0)</f>
        <v>0</v>
      </c>
      <c r="L1185" s="10">
        <f>IFERROR(SUMIFS('Base bordo CD'!M$2:M$875,'Base bordo CD'!D$2:D$875,A1185,'Base bordo CD'!A$2:A$875,B1185,'Base bordo CD'!L$2:L$875,"PATIO - RESERVA"),0)</f>
        <v>0</v>
      </c>
      <c r="M1185" s="10">
        <f>IFERROR(SUMIFS('Base bordo CD'!M$2:M$875,'Base bordo CD'!D$2:D$875,A1185,'Base bordo CD'!A$2:A$875,B1185,'Base bordo CD'!L$2:L$875,"SEM APONTAMENTO"),0)</f>
        <v>0</v>
      </c>
      <c r="N1185" s="10">
        <f>IFERROR(SUMIFS('Base bordo CD'!M$2:M$875,'Base bordo CD'!D$2:D$875,A1185,'Base bordo CD'!A$2:A$875,B1185,'Base bordo CD'!L$2:L$875,"FALTA DE CAMINHÃO"),0)+IFERROR(SUMIFS('Base bordo CD'!M$2:M$875,'Base bordo CD'!D$2:D$875,A1185,'Base bordo CD'!A$2:A$875,B1185,'Base bordo CD'!L$2:L$875,"FALTA DE COMBUSTIVEL"),0)+IFERROR(SUMIFS('Base bordo CD'!M$2:M$875,'Base bordo CD'!D$2:D$875,A1185,'Base bordo CD'!A$2:A$875,B1185,'Base bordo CD'!L$2:L$875,"FALTA DE MOTORIST*"),0)</f>
        <v>0</v>
      </c>
      <c r="O1185" s="10">
        <f t="shared" si="95"/>
        <v>0</v>
      </c>
      <c r="P1185" s="10">
        <f>IFERROR(SUMIFS('Base bordo CD'!M$2:M$875,'Base bordo CD'!D$2:D$875,A1185,'Base bordo CD'!A$2:A$875,B1185),0)</f>
        <v>0</v>
      </c>
      <c r="Q1185" s="10">
        <f>IFERROR(SUMIFS('Base bordo CD'!O$2:O$875,'Base bordo CD'!D$2:D$875,A1185,'Base bordo CD'!A$2:A$875,B1185,'Base bordo CD'!L$2:L$875,"CORTE DE CANA MECANIZADO"),0)</f>
        <v>0</v>
      </c>
      <c r="R1185" s="10">
        <f>IFERROR(SUMIFS('Base bordo CD'!Q$2:Q$875,'Base bordo CD'!D$2:D$875,A1185,'Base bordo CD'!A$2:A$875,B1185,'Base bordo CD'!L$2:L$875,"CORTE DE CANA MECANIZADO"),0)</f>
        <v>0</v>
      </c>
      <c r="S1185" s="30" t="str">
        <f t="shared" si="96"/>
        <v/>
      </c>
      <c r="T1185" s="9">
        <f t="shared" si="97"/>
        <v>0</v>
      </c>
      <c r="U1185" s="9">
        <f t="shared" si="98"/>
        <v>0</v>
      </c>
      <c r="V1185" s="9">
        <f t="shared" si="99"/>
        <v>0</v>
      </c>
    </row>
    <row r="1186" spans="1:22" x14ac:dyDescent="0.35">
      <c r="A1186" s="52">
        <v>49595</v>
      </c>
      <c r="B1186" s="31">
        <v>46117</v>
      </c>
      <c r="C1186" s="7" t="s">
        <v>337</v>
      </c>
      <c r="D1186" s="7">
        <v>353</v>
      </c>
      <c r="E1186" s="10">
        <f>IFERROR(SUMIFS('Base bordo CD'!M$2:M$875,'Base bordo CD'!D$2:D$875,A1186,'Base bordo CD'!A$2:A$875,B1186,'Base bordo CD'!L$2:L$875,"CORTE DE CANA MECANIZADO"),0)</f>
        <v>0</v>
      </c>
      <c r="F1186" s="10">
        <f>IFERROR(SUMIFS('Base bordo CD'!M$2:M$875,'Base bordo CD'!D$2:D$875,A1186,'Base bordo CD'!A$2:A$875,B1186,'Base bordo CD'!L$2:L$875,"MANOBRA"),0)</f>
        <v>0</v>
      </c>
      <c r="G1186" s="10">
        <f>IFERROR(SUMIFS('Base bordo CD'!M$2:M$875,'Base bordo CD'!D$2:D$875,A1186,'Base bordo CD'!A$2:A$875,B1186,'Base bordo CD'!L$2:L$875,"DESLOCAMENTO"),0)</f>
        <v>0</v>
      </c>
      <c r="H1186" s="10">
        <f>IFERROR(SUMIFS('Base bordo CD'!M$2:M$875,'Base bordo CD'!D$2:D$875,A1186,'Base bordo CD'!A$2:A$875,B1186,'Base bordo CD'!L$2:L$875,"AGUARDANDO MANOBRA DE TRANSBORDO"),0)+IFERROR(SUMIFS('Base bordo CD'!M$2:M$875,'Base bordo CD'!D$2:D$875,A1186,'Base bordo CD'!A$2:A$875,B1186,'Base bordo CD'!L$2:L$875,"FALTA DE TRANSBORDO"),0)</f>
        <v>0</v>
      </c>
      <c r="I1186" s="10">
        <f>IFERROR(SUMIFS('Base bordo CD'!M$2:M$875,'Base bordo CD'!D$2:D$875,A1186,'Base bordo CD'!A$2:A$875,B1186,'Base bordo CD'!L$2:L$875,"PARADA POR CONDICOES CLIMATICAS"),0)+IFERROR(SUMIFS('Base bordo CD'!M$2:M$875,'Base bordo CD'!D$2:D$875,A1186,'Base bordo CD'!A$2:A$875,B1186,'Base bordo CD'!L$2:L$875,"TEMPO INDETERMINADO"),0)</f>
        <v>0</v>
      </c>
      <c r="J1186" s="10">
        <f>IFERROR(SUMIFS('Base bordo CD'!M$2:M$875,'Base bordo CD'!D$2:D$875,A1186,'Base bordo CD'!A$2:A$875,B1186,'Base bordo CD'!L$2:L$875,"LIMITAÇÃO INDÚSTRIA"),0)</f>
        <v>0</v>
      </c>
      <c r="K1186" s="10">
        <f>IFERROR(SUMIFS('Base bordo CD'!M$2:M$875,'Base bordo CD'!D$2:D$875,A1186,'Base bordo CD'!A$2:A$875,B1186,'Base bordo CD'!L$2:L$875,"MAN CORRETIVA*"),0)+IFERROR(SUMIFS('Base bordo CD'!M$2:M$875,'Base bordo CD'!D$2:D$875,A1186,'Base bordo CD'!A$2:A$875,B1186,'Base bordo CD'!L$2:L$875,"AGUARDANDO MANUTENCAO*"),0)+IFERROR(SUMIFS('Base bordo CD'!M$2:M$875,'Base bordo CD'!D$2:D$875,A1186,'Base bordo CD'!A$2:A$875,B1186,'Base bordo CD'!L$2:L$875,"TROCA DE FAQUINHA"),0)+IFERROR(SUMIFS('Base bordo CD'!M$2:M$875,'Base bordo CD'!D$2:D$875,A1186,'Base bordo CD'!A$2:A$875,B1186,'Base bordo CD'!L$2:L$875,"LIMPEZA*"),0)</f>
        <v>0</v>
      </c>
      <c r="L1186" s="10">
        <f>IFERROR(SUMIFS('Base bordo CD'!M$2:M$875,'Base bordo CD'!D$2:D$875,A1186,'Base bordo CD'!A$2:A$875,B1186,'Base bordo CD'!L$2:L$875,"PATIO - RESERVA"),0)</f>
        <v>0</v>
      </c>
      <c r="M1186" s="10">
        <f>IFERROR(SUMIFS('Base bordo CD'!M$2:M$875,'Base bordo CD'!D$2:D$875,A1186,'Base bordo CD'!A$2:A$875,B1186,'Base bordo CD'!L$2:L$875,"SEM APONTAMENTO"),0)</f>
        <v>0</v>
      </c>
      <c r="N1186" s="10">
        <f>IFERROR(SUMIFS('Base bordo CD'!M$2:M$875,'Base bordo CD'!D$2:D$875,A1186,'Base bordo CD'!A$2:A$875,B1186,'Base bordo CD'!L$2:L$875,"FALTA DE CAMINHÃO"),0)+IFERROR(SUMIFS('Base bordo CD'!M$2:M$875,'Base bordo CD'!D$2:D$875,A1186,'Base bordo CD'!A$2:A$875,B1186,'Base bordo CD'!L$2:L$875,"FALTA DE COMBUSTIVEL"),0)+IFERROR(SUMIFS('Base bordo CD'!M$2:M$875,'Base bordo CD'!D$2:D$875,A1186,'Base bordo CD'!A$2:A$875,B1186,'Base bordo CD'!L$2:L$875,"FALTA DE MOTORIST*"),0)</f>
        <v>0</v>
      </c>
      <c r="O1186" s="10">
        <f t="shared" si="95"/>
        <v>0</v>
      </c>
      <c r="P1186" s="10">
        <f>IFERROR(SUMIFS('Base bordo CD'!M$2:M$875,'Base bordo CD'!D$2:D$875,A1186,'Base bordo CD'!A$2:A$875,B1186),0)</f>
        <v>0</v>
      </c>
      <c r="Q1186" s="10">
        <f>IFERROR(SUMIFS('Base bordo CD'!O$2:O$875,'Base bordo CD'!D$2:D$875,A1186,'Base bordo CD'!A$2:A$875,B1186,'Base bordo CD'!L$2:L$875,"CORTE DE CANA MECANIZADO"),0)</f>
        <v>0</v>
      </c>
      <c r="R1186" s="10">
        <f>IFERROR(SUMIFS('Base bordo CD'!Q$2:Q$875,'Base bordo CD'!D$2:D$875,A1186,'Base bordo CD'!A$2:A$875,B1186,'Base bordo CD'!L$2:L$875,"CORTE DE CANA MECANIZADO"),0)</f>
        <v>0</v>
      </c>
      <c r="S1186" s="30" t="str">
        <f t="shared" si="96"/>
        <v/>
      </c>
      <c r="T1186" s="9">
        <f t="shared" si="97"/>
        <v>0</v>
      </c>
      <c r="U1186" s="9">
        <f t="shared" si="98"/>
        <v>0</v>
      </c>
      <c r="V1186" s="9">
        <f t="shared" si="99"/>
        <v>0</v>
      </c>
    </row>
    <row r="1187" spans="1:22" x14ac:dyDescent="0.35">
      <c r="A1187" s="52">
        <v>49596</v>
      </c>
      <c r="B1187" s="31">
        <v>46117</v>
      </c>
      <c r="C1187" s="7" t="s">
        <v>337</v>
      </c>
      <c r="D1187" s="7">
        <v>353</v>
      </c>
      <c r="E1187" s="10">
        <f>IFERROR(SUMIFS('Base bordo CD'!M$2:M$875,'Base bordo CD'!D$2:D$875,A1187,'Base bordo CD'!A$2:A$875,B1187,'Base bordo CD'!L$2:L$875,"CORTE DE CANA MECANIZADO"),0)</f>
        <v>0</v>
      </c>
      <c r="F1187" s="10">
        <f>IFERROR(SUMIFS('Base bordo CD'!M$2:M$875,'Base bordo CD'!D$2:D$875,A1187,'Base bordo CD'!A$2:A$875,B1187,'Base bordo CD'!L$2:L$875,"MANOBRA"),0)</f>
        <v>0</v>
      </c>
      <c r="G1187" s="10">
        <f>IFERROR(SUMIFS('Base bordo CD'!M$2:M$875,'Base bordo CD'!D$2:D$875,A1187,'Base bordo CD'!A$2:A$875,B1187,'Base bordo CD'!L$2:L$875,"DESLOCAMENTO"),0)</f>
        <v>0</v>
      </c>
      <c r="H1187" s="10">
        <f>IFERROR(SUMIFS('Base bordo CD'!M$2:M$875,'Base bordo CD'!D$2:D$875,A1187,'Base bordo CD'!A$2:A$875,B1187,'Base bordo CD'!L$2:L$875,"AGUARDANDO MANOBRA DE TRANSBORDO"),0)+IFERROR(SUMIFS('Base bordo CD'!M$2:M$875,'Base bordo CD'!D$2:D$875,A1187,'Base bordo CD'!A$2:A$875,B1187,'Base bordo CD'!L$2:L$875,"FALTA DE TRANSBORDO"),0)</f>
        <v>0</v>
      </c>
      <c r="I1187" s="10">
        <f>IFERROR(SUMIFS('Base bordo CD'!M$2:M$875,'Base bordo CD'!D$2:D$875,A1187,'Base bordo CD'!A$2:A$875,B1187,'Base bordo CD'!L$2:L$875,"PARADA POR CONDICOES CLIMATICAS"),0)+IFERROR(SUMIFS('Base bordo CD'!M$2:M$875,'Base bordo CD'!D$2:D$875,A1187,'Base bordo CD'!A$2:A$875,B1187,'Base bordo CD'!L$2:L$875,"TEMPO INDETERMINADO"),0)</f>
        <v>0</v>
      </c>
      <c r="J1187" s="10">
        <f>IFERROR(SUMIFS('Base bordo CD'!M$2:M$875,'Base bordo CD'!D$2:D$875,A1187,'Base bordo CD'!A$2:A$875,B1187,'Base bordo CD'!L$2:L$875,"LIMITAÇÃO INDÚSTRIA"),0)</f>
        <v>0</v>
      </c>
      <c r="K1187" s="10">
        <f>IFERROR(SUMIFS('Base bordo CD'!M$2:M$875,'Base bordo CD'!D$2:D$875,A1187,'Base bordo CD'!A$2:A$875,B1187,'Base bordo CD'!L$2:L$875,"MAN CORRETIVA*"),0)+IFERROR(SUMIFS('Base bordo CD'!M$2:M$875,'Base bordo CD'!D$2:D$875,A1187,'Base bordo CD'!A$2:A$875,B1187,'Base bordo CD'!L$2:L$875,"AGUARDANDO MANUTENCAO*"),0)+IFERROR(SUMIFS('Base bordo CD'!M$2:M$875,'Base bordo CD'!D$2:D$875,A1187,'Base bordo CD'!A$2:A$875,B1187,'Base bordo CD'!L$2:L$875,"TROCA DE FAQUINHA"),0)+IFERROR(SUMIFS('Base bordo CD'!M$2:M$875,'Base bordo CD'!D$2:D$875,A1187,'Base bordo CD'!A$2:A$875,B1187,'Base bordo CD'!L$2:L$875,"LIMPEZA*"),0)</f>
        <v>0</v>
      </c>
      <c r="L1187" s="10">
        <f>IFERROR(SUMIFS('Base bordo CD'!M$2:M$875,'Base bordo CD'!D$2:D$875,A1187,'Base bordo CD'!A$2:A$875,B1187,'Base bordo CD'!L$2:L$875,"PATIO - RESERVA"),0)</f>
        <v>0</v>
      </c>
      <c r="M1187" s="10">
        <f>IFERROR(SUMIFS('Base bordo CD'!M$2:M$875,'Base bordo CD'!D$2:D$875,A1187,'Base bordo CD'!A$2:A$875,B1187,'Base bordo CD'!L$2:L$875,"SEM APONTAMENTO"),0)</f>
        <v>0</v>
      </c>
      <c r="N1187" s="10">
        <f>IFERROR(SUMIFS('Base bordo CD'!M$2:M$875,'Base bordo CD'!D$2:D$875,A1187,'Base bordo CD'!A$2:A$875,B1187,'Base bordo CD'!L$2:L$875,"FALTA DE CAMINHÃO"),0)+IFERROR(SUMIFS('Base bordo CD'!M$2:M$875,'Base bordo CD'!D$2:D$875,A1187,'Base bordo CD'!A$2:A$875,B1187,'Base bordo CD'!L$2:L$875,"FALTA DE COMBUSTIVEL"),0)+IFERROR(SUMIFS('Base bordo CD'!M$2:M$875,'Base bordo CD'!D$2:D$875,A1187,'Base bordo CD'!A$2:A$875,B1187,'Base bordo CD'!L$2:L$875,"FALTA DE MOTORIST*"),0)</f>
        <v>0</v>
      </c>
      <c r="O1187" s="10">
        <f t="shared" si="95"/>
        <v>0</v>
      </c>
      <c r="P1187" s="10">
        <f>IFERROR(SUMIFS('Base bordo CD'!M$2:M$875,'Base bordo CD'!D$2:D$875,A1187,'Base bordo CD'!A$2:A$875,B1187),0)</f>
        <v>0</v>
      </c>
      <c r="Q1187" s="10">
        <f>IFERROR(SUMIFS('Base bordo CD'!O$2:O$875,'Base bordo CD'!D$2:D$875,A1187,'Base bordo CD'!A$2:A$875,B1187,'Base bordo CD'!L$2:L$875,"CORTE DE CANA MECANIZADO"),0)</f>
        <v>0</v>
      </c>
      <c r="R1187" s="10">
        <f>IFERROR(SUMIFS('Base bordo CD'!Q$2:Q$875,'Base bordo CD'!D$2:D$875,A1187,'Base bordo CD'!A$2:A$875,B1187,'Base bordo CD'!L$2:L$875,"CORTE DE CANA MECANIZADO"),0)</f>
        <v>0</v>
      </c>
      <c r="S1187" s="30" t="str">
        <f t="shared" si="96"/>
        <v/>
      </c>
      <c r="T1187" s="9">
        <f t="shared" si="97"/>
        <v>0</v>
      </c>
      <c r="U1187" s="9">
        <f t="shared" si="98"/>
        <v>0</v>
      </c>
      <c r="V1187" s="9">
        <f t="shared" si="99"/>
        <v>0</v>
      </c>
    </row>
    <row r="1188" spans="1:22" x14ac:dyDescent="0.35">
      <c r="A1188" s="52">
        <v>49596</v>
      </c>
      <c r="B1188" s="31">
        <v>46117</v>
      </c>
      <c r="C1188" s="7" t="s">
        <v>337</v>
      </c>
      <c r="D1188" s="7">
        <v>353</v>
      </c>
      <c r="E1188" s="10">
        <f>IFERROR(SUMIFS('Base bordo CD'!M$2:M$875,'Base bordo CD'!D$2:D$875,A1188,'Base bordo CD'!A$2:A$875,B1188,'Base bordo CD'!L$2:L$875,"CORTE DE CANA MECANIZADO"),0)</f>
        <v>0</v>
      </c>
      <c r="F1188" s="10">
        <f>IFERROR(SUMIFS('Base bordo CD'!M$2:M$875,'Base bordo CD'!D$2:D$875,A1188,'Base bordo CD'!A$2:A$875,B1188,'Base bordo CD'!L$2:L$875,"MANOBRA"),0)</f>
        <v>0</v>
      </c>
      <c r="G1188" s="10">
        <f>IFERROR(SUMIFS('Base bordo CD'!M$2:M$875,'Base bordo CD'!D$2:D$875,A1188,'Base bordo CD'!A$2:A$875,B1188,'Base bordo CD'!L$2:L$875,"DESLOCAMENTO"),0)</f>
        <v>0</v>
      </c>
      <c r="H1188" s="10">
        <f>IFERROR(SUMIFS('Base bordo CD'!M$2:M$875,'Base bordo CD'!D$2:D$875,A1188,'Base bordo CD'!A$2:A$875,B1188,'Base bordo CD'!L$2:L$875,"AGUARDANDO MANOBRA DE TRANSBORDO"),0)+IFERROR(SUMIFS('Base bordo CD'!M$2:M$875,'Base bordo CD'!D$2:D$875,A1188,'Base bordo CD'!A$2:A$875,B1188,'Base bordo CD'!L$2:L$875,"FALTA DE TRANSBORDO"),0)</f>
        <v>0</v>
      </c>
      <c r="I1188" s="10">
        <f>IFERROR(SUMIFS('Base bordo CD'!M$2:M$875,'Base bordo CD'!D$2:D$875,A1188,'Base bordo CD'!A$2:A$875,B1188,'Base bordo CD'!L$2:L$875,"PARADA POR CONDICOES CLIMATICAS"),0)+IFERROR(SUMIFS('Base bordo CD'!M$2:M$875,'Base bordo CD'!D$2:D$875,A1188,'Base bordo CD'!A$2:A$875,B1188,'Base bordo CD'!L$2:L$875,"TEMPO INDETERMINADO"),0)</f>
        <v>0</v>
      </c>
      <c r="J1188" s="10">
        <f>IFERROR(SUMIFS('Base bordo CD'!M$2:M$875,'Base bordo CD'!D$2:D$875,A1188,'Base bordo CD'!A$2:A$875,B1188,'Base bordo CD'!L$2:L$875,"LIMITAÇÃO INDÚSTRIA"),0)</f>
        <v>0</v>
      </c>
      <c r="K1188" s="10">
        <f>IFERROR(SUMIFS('Base bordo CD'!M$2:M$875,'Base bordo CD'!D$2:D$875,A1188,'Base bordo CD'!A$2:A$875,B1188,'Base bordo CD'!L$2:L$875,"MAN CORRETIVA*"),0)+IFERROR(SUMIFS('Base bordo CD'!M$2:M$875,'Base bordo CD'!D$2:D$875,A1188,'Base bordo CD'!A$2:A$875,B1188,'Base bordo CD'!L$2:L$875,"AGUARDANDO MANUTENCAO*"),0)+IFERROR(SUMIFS('Base bordo CD'!M$2:M$875,'Base bordo CD'!D$2:D$875,A1188,'Base bordo CD'!A$2:A$875,B1188,'Base bordo CD'!L$2:L$875,"TROCA DE FAQUINHA"),0)+IFERROR(SUMIFS('Base bordo CD'!M$2:M$875,'Base bordo CD'!D$2:D$875,A1188,'Base bordo CD'!A$2:A$875,B1188,'Base bordo CD'!L$2:L$875,"LIMPEZA*"),0)</f>
        <v>0</v>
      </c>
      <c r="L1188" s="10">
        <f>IFERROR(SUMIFS('Base bordo CD'!M$2:M$875,'Base bordo CD'!D$2:D$875,A1188,'Base bordo CD'!A$2:A$875,B1188,'Base bordo CD'!L$2:L$875,"PATIO - RESERVA"),0)</f>
        <v>0</v>
      </c>
      <c r="M1188" s="10">
        <f>IFERROR(SUMIFS('Base bordo CD'!M$2:M$875,'Base bordo CD'!D$2:D$875,A1188,'Base bordo CD'!A$2:A$875,B1188,'Base bordo CD'!L$2:L$875,"SEM APONTAMENTO"),0)</f>
        <v>0</v>
      </c>
      <c r="N1188" s="10">
        <f>IFERROR(SUMIFS('Base bordo CD'!M$2:M$875,'Base bordo CD'!D$2:D$875,A1188,'Base bordo CD'!A$2:A$875,B1188,'Base bordo CD'!L$2:L$875,"FALTA DE CAMINHÃO"),0)+IFERROR(SUMIFS('Base bordo CD'!M$2:M$875,'Base bordo CD'!D$2:D$875,A1188,'Base bordo CD'!A$2:A$875,B1188,'Base bordo CD'!L$2:L$875,"FALTA DE COMBUSTIVEL"),0)+IFERROR(SUMIFS('Base bordo CD'!M$2:M$875,'Base bordo CD'!D$2:D$875,A1188,'Base bordo CD'!A$2:A$875,B1188,'Base bordo CD'!L$2:L$875,"FALTA DE MOTORIST*"),0)</f>
        <v>0</v>
      </c>
      <c r="O1188" s="10">
        <f t="shared" si="95"/>
        <v>0</v>
      </c>
      <c r="P1188" s="10">
        <f>IFERROR(SUMIFS('Base bordo CD'!M$2:M$875,'Base bordo CD'!D$2:D$875,A1188,'Base bordo CD'!A$2:A$875,B1188),0)</f>
        <v>0</v>
      </c>
      <c r="Q1188" s="10">
        <f>IFERROR(SUMIFS('Base bordo CD'!O$2:O$875,'Base bordo CD'!D$2:D$875,A1188,'Base bordo CD'!A$2:A$875,B1188,'Base bordo CD'!L$2:L$875,"CORTE DE CANA MECANIZADO"),0)</f>
        <v>0</v>
      </c>
      <c r="R1188" s="10">
        <f>IFERROR(SUMIFS('Base bordo CD'!Q$2:Q$875,'Base bordo CD'!D$2:D$875,A1188,'Base bordo CD'!A$2:A$875,B1188,'Base bordo CD'!L$2:L$875,"CORTE DE CANA MECANIZADO"),0)</f>
        <v>0</v>
      </c>
      <c r="S1188" s="30" t="str">
        <f t="shared" si="96"/>
        <v/>
      </c>
      <c r="T1188" s="9">
        <f t="shared" si="97"/>
        <v>0</v>
      </c>
      <c r="U1188" s="9">
        <f t="shared" si="98"/>
        <v>0</v>
      </c>
      <c r="V1188" s="9">
        <f t="shared" si="99"/>
        <v>0</v>
      </c>
    </row>
    <row r="1189" spans="1:22" x14ac:dyDescent="0.35">
      <c r="A1189" s="52">
        <v>49596</v>
      </c>
      <c r="B1189" s="31">
        <v>46117</v>
      </c>
      <c r="C1189" s="7" t="s">
        <v>337</v>
      </c>
      <c r="D1189" s="7">
        <v>353</v>
      </c>
      <c r="E1189" s="10">
        <f>IFERROR(SUMIFS('Base bordo CD'!M$2:M$875,'Base bordo CD'!D$2:D$875,A1189,'Base bordo CD'!A$2:A$875,B1189,'Base bordo CD'!L$2:L$875,"CORTE DE CANA MECANIZADO"),0)</f>
        <v>0</v>
      </c>
      <c r="F1189" s="10">
        <f>IFERROR(SUMIFS('Base bordo CD'!M$2:M$875,'Base bordo CD'!D$2:D$875,A1189,'Base bordo CD'!A$2:A$875,B1189,'Base bordo CD'!L$2:L$875,"MANOBRA"),0)</f>
        <v>0</v>
      </c>
      <c r="G1189" s="10">
        <f>IFERROR(SUMIFS('Base bordo CD'!M$2:M$875,'Base bordo CD'!D$2:D$875,A1189,'Base bordo CD'!A$2:A$875,B1189,'Base bordo CD'!L$2:L$875,"DESLOCAMENTO"),0)</f>
        <v>0</v>
      </c>
      <c r="H1189" s="10">
        <f>IFERROR(SUMIFS('Base bordo CD'!M$2:M$875,'Base bordo CD'!D$2:D$875,A1189,'Base bordo CD'!A$2:A$875,B1189,'Base bordo CD'!L$2:L$875,"AGUARDANDO MANOBRA DE TRANSBORDO"),0)+IFERROR(SUMIFS('Base bordo CD'!M$2:M$875,'Base bordo CD'!D$2:D$875,A1189,'Base bordo CD'!A$2:A$875,B1189,'Base bordo CD'!L$2:L$875,"FALTA DE TRANSBORDO"),0)</f>
        <v>0</v>
      </c>
      <c r="I1189" s="10">
        <f>IFERROR(SUMIFS('Base bordo CD'!M$2:M$875,'Base bordo CD'!D$2:D$875,A1189,'Base bordo CD'!A$2:A$875,B1189,'Base bordo CD'!L$2:L$875,"PARADA POR CONDICOES CLIMATICAS"),0)+IFERROR(SUMIFS('Base bordo CD'!M$2:M$875,'Base bordo CD'!D$2:D$875,A1189,'Base bordo CD'!A$2:A$875,B1189,'Base bordo CD'!L$2:L$875,"TEMPO INDETERMINADO"),0)</f>
        <v>0</v>
      </c>
      <c r="J1189" s="10">
        <f>IFERROR(SUMIFS('Base bordo CD'!M$2:M$875,'Base bordo CD'!D$2:D$875,A1189,'Base bordo CD'!A$2:A$875,B1189,'Base bordo CD'!L$2:L$875,"LIMITAÇÃO INDÚSTRIA"),0)</f>
        <v>0</v>
      </c>
      <c r="K1189" s="10">
        <f>IFERROR(SUMIFS('Base bordo CD'!M$2:M$875,'Base bordo CD'!D$2:D$875,A1189,'Base bordo CD'!A$2:A$875,B1189,'Base bordo CD'!L$2:L$875,"MAN CORRETIVA*"),0)+IFERROR(SUMIFS('Base bordo CD'!M$2:M$875,'Base bordo CD'!D$2:D$875,A1189,'Base bordo CD'!A$2:A$875,B1189,'Base bordo CD'!L$2:L$875,"AGUARDANDO MANUTENCAO*"),0)+IFERROR(SUMIFS('Base bordo CD'!M$2:M$875,'Base bordo CD'!D$2:D$875,A1189,'Base bordo CD'!A$2:A$875,B1189,'Base bordo CD'!L$2:L$875,"TROCA DE FAQUINHA"),0)+IFERROR(SUMIFS('Base bordo CD'!M$2:M$875,'Base bordo CD'!D$2:D$875,A1189,'Base bordo CD'!A$2:A$875,B1189,'Base bordo CD'!L$2:L$875,"LIMPEZA*"),0)</f>
        <v>0</v>
      </c>
      <c r="L1189" s="10">
        <f>IFERROR(SUMIFS('Base bordo CD'!M$2:M$875,'Base bordo CD'!D$2:D$875,A1189,'Base bordo CD'!A$2:A$875,B1189,'Base bordo CD'!L$2:L$875,"PATIO - RESERVA"),0)</f>
        <v>0</v>
      </c>
      <c r="M1189" s="10">
        <f>IFERROR(SUMIFS('Base bordo CD'!M$2:M$875,'Base bordo CD'!D$2:D$875,A1189,'Base bordo CD'!A$2:A$875,B1189,'Base bordo CD'!L$2:L$875,"SEM APONTAMENTO"),0)</f>
        <v>0</v>
      </c>
      <c r="N1189" s="10">
        <f>IFERROR(SUMIFS('Base bordo CD'!M$2:M$875,'Base bordo CD'!D$2:D$875,A1189,'Base bordo CD'!A$2:A$875,B1189,'Base bordo CD'!L$2:L$875,"FALTA DE CAMINHÃO"),0)+IFERROR(SUMIFS('Base bordo CD'!M$2:M$875,'Base bordo CD'!D$2:D$875,A1189,'Base bordo CD'!A$2:A$875,B1189,'Base bordo CD'!L$2:L$875,"FALTA DE COMBUSTIVEL"),0)+IFERROR(SUMIFS('Base bordo CD'!M$2:M$875,'Base bordo CD'!D$2:D$875,A1189,'Base bordo CD'!A$2:A$875,B1189,'Base bordo CD'!L$2:L$875,"FALTA DE MOTORIST*"),0)</f>
        <v>0</v>
      </c>
      <c r="O1189" s="10">
        <f t="shared" si="95"/>
        <v>0</v>
      </c>
      <c r="P1189" s="10">
        <f>IFERROR(SUMIFS('Base bordo CD'!M$2:M$875,'Base bordo CD'!D$2:D$875,A1189,'Base bordo CD'!A$2:A$875,B1189),0)</f>
        <v>0</v>
      </c>
      <c r="Q1189" s="10">
        <f>IFERROR(SUMIFS('Base bordo CD'!O$2:O$875,'Base bordo CD'!D$2:D$875,A1189,'Base bordo CD'!A$2:A$875,B1189,'Base bordo CD'!L$2:L$875,"CORTE DE CANA MECANIZADO"),0)</f>
        <v>0</v>
      </c>
      <c r="R1189" s="10">
        <f>IFERROR(SUMIFS('Base bordo CD'!Q$2:Q$875,'Base bordo CD'!D$2:D$875,A1189,'Base bordo CD'!A$2:A$875,B1189,'Base bordo CD'!L$2:L$875,"CORTE DE CANA MECANIZADO"),0)</f>
        <v>0</v>
      </c>
      <c r="S1189" s="30" t="str">
        <f t="shared" si="96"/>
        <v/>
      </c>
      <c r="T1189" s="9">
        <f t="shared" si="97"/>
        <v>0</v>
      </c>
      <c r="U1189" s="9">
        <f t="shared" si="98"/>
        <v>0</v>
      </c>
      <c r="V1189" s="9">
        <f t="shared" si="99"/>
        <v>0</v>
      </c>
    </row>
    <row r="1190" spans="1:22" x14ac:dyDescent="0.35">
      <c r="A1190" s="52">
        <v>49596</v>
      </c>
      <c r="B1190" s="31">
        <v>46117</v>
      </c>
      <c r="C1190" s="7" t="s">
        <v>337</v>
      </c>
      <c r="D1190" s="7">
        <v>353</v>
      </c>
      <c r="E1190" s="10">
        <f>IFERROR(SUMIFS('Base bordo CD'!M$2:M$875,'Base bordo CD'!D$2:D$875,A1190,'Base bordo CD'!A$2:A$875,B1190,'Base bordo CD'!L$2:L$875,"CORTE DE CANA MECANIZADO"),0)</f>
        <v>0</v>
      </c>
      <c r="F1190" s="10">
        <f>IFERROR(SUMIFS('Base bordo CD'!M$2:M$875,'Base bordo CD'!D$2:D$875,A1190,'Base bordo CD'!A$2:A$875,B1190,'Base bordo CD'!L$2:L$875,"MANOBRA"),0)</f>
        <v>0</v>
      </c>
      <c r="G1190" s="10">
        <f>IFERROR(SUMIFS('Base bordo CD'!M$2:M$875,'Base bordo CD'!D$2:D$875,A1190,'Base bordo CD'!A$2:A$875,B1190,'Base bordo CD'!L$2:L$875,"DESLOCAMENTO"),0)</f>
        <v>0</v>
      </c>
      <c r="H1190" s="10">
        <f>IFERROR(SUMIFS('Base bordo CD'!M$2:M$875,'Base bordo CD'!D$2:D$875,A1190,'Base bordo CD'!A$2:A$875,B1190,'Base bordo CD'!L$2:L$875,"AGUARDANDO MANOBRA DE TRANSBORDO"),0)+IFERROR(SUMIFS('Base bordo CD'!M$2:M$875,'Base bordo CD'!D$2:D$875,A1190,'Base bordo CD'!A$2:A$875,B1190,'Base bordo CD'!L$2:L$875,"FALTA DE TRANSBORDO"),0)</f>
        <v>0</v>
      </c>
      <c r="I1190" s="10">
        <f>IFERROR(SUMIFS('Base bordo CD'!M$2:M$875,'Base bordo CD'!D$2:D$875,A1190,'Base bordo CD'!A$2:A$875,B1190,'Base bordo CD'!L$2:L$875,"PARADA POR CONDICOES CLIMATICAS"),0)+IFERROR(SUMIFS('Base bordo CD'!M$2:M$875,'Base bordo CD'!D$2:D$875,A1190,'Base bordo CD'!A$2:A$875,B1190,'Base bordo CD'!L$2:L$875,"TEMPO INDETERMINADO"),0)</f>
        <v>0</v>
      </c>
      <c r="J1190" s="10">
        <f>IFERROR(SUMIFS('Base bordo CD'!M$2:M$875,'Base bordo CD'!D$2:D$875,A1190,'Base bordo CD'!A$2:A$875,B1190,'Base bordo CD'!L$2:L$875,"LIMITAÇÃO INDÚSTRIA"),0)</f>
        <v>0</v>
      </c>
      <c r="K1190" s="10">
        <f>IFERROR(SUMIFS('Base bordo CD'!M$2:M$875,'Base bordo CD'!D$2:D$875,A1190,'Base bordo CD'!A$2:A$875,B1190,'Base bordo CD'!L$2:L$875,"MAN CORRETIVA*"),0)+IFERROR(SUMIFS('Base bordo CD'!M$2:M$875,'Base bordo CD'!D$2:D$875,A1190,'Base bordo CD'!A$2:A$875,B1190,'Base bordo CD'!L$2:L$875,"AGUARDANDO MANUTENCAO*"),0)+IFERROR(SUMIFS('Base bordo CD'!M$2:M$875,'Base bordo CD'!D$2:D$875,A1190,'Base bordo CD'!A$2:A$875,B1190,'Base bordo CD'!L$2:L$875,"TROCA DE FAQUINHA"),0)+IFERROR(SUMIFS('Base bordo CD'!M$2:M$875,'Base bordo CD'!D$2:D$875,A1190,'Base bordo CD'!A$2:A$875,B1190,'Base bordo CD'!L$2:L$875,"LIMPEZA*"),0)</f>
        <v>0</v>
      </c>
      <c r="L1190" s="10">
        <f>IFERROR(SUMIFS('Base bordo CD'!M$2:M$875,'Base bordo CD'!D$2:D$875,A1190,'Base bordo CD'!A$2:A$875,B1190,'Base bordo CD'!L$2:L$875,"PATIO - RESERVA"),0)</f>
        <v>0</v>
      </c>
      <c r="M1190" s="10">
        <f>IFERROR(SUMIFS('Base bordo CD'!M$2:M$875,'Base bordo CD'!D$2:D$875,A1190,'Base bordo CD'!A$2:A$875,B1190,'Base bordo CD'!L$2:L$875,"SEM APONTAMENTO"),0)</f>
        <v>0</v>
      </c>
      <c r="N1190" s="10">
        <f>IFERROR(SUMIFS('Base bordo CD'!M$2:M$875,'Base bordo CD'!D$2:D$875,A1190,'Base bordo CD'!A$2:A$875,B1190,'Base bordo CD'!L$2:L$875,"FALTA DE CAMINHÃO"),0)+IFERROR(SUMIFS('Base bordo CD'!M$2:M$875,'Base bordo CD'!D$2:D$875,A1190,'Base bordo CD'!A$2:A$875,B1190,'Base bordo CD'!L$2:L$875,"FALTA DE COMBUSTIVEL"),0)+IFERROR(SUMIFS('Base bordo CD'!M$2:M$875,'Base bordo CD'!D$2:D$875,A1190,'Base bordo CD'!A$2:A$875,B1190,'Base bordo CD'!L$2:L$875,"FALTA DE MOTORIST*"),0)</f>
        <v>0</v>
      </c>
      <c r="O1190" s="10">
        <f t="shared" si="95"/>
        <v>0</v>
      </c>
      <c r="P1190" s="10">
        <f>IFERROR(SUMIFS('Base bordo CD'!M$2:M$875,'Base bordo CD'!D$2:D$875,A1190,'Base bordo CD'!A$2:A$875,B1190),0)</f>
        <v>0</v>
      </c>
      <c r="Q1190" s="10">
        <f>IFERROR(SUMIFS('Base bordo CD'!O$2:O$875,'Base bordo CD'!D$2:D$875,A1190,'Base bordo CD'!A$2:A$875,B1190,'Base bordo CD'!L$2:L$875,"CORTE DE CANA MECANIZADO"),0)</f>
        <v>0</v>
      </c>
      <c r="R1190" s="10">
        <f>IFERROR(SUMIFS('Base bordo CD'!Q$2:Q$875,'Base bordo CD'!D$2:D$875,A1190,'Base bordo CD'!A$2:A$875,B1190,'Base bordo CD'!L$2:L$875,"CORTE DE CANA MECANIZADO"),0)</f>
        <v>0</v>
      </c>
      <c r="S1190" s="30" t="str">
        <f t="shared" si="96"/>
        <v/>
      </c>
      <c r="T1190" s="9">
        <f t="shared" si="97"/>
        <v>0</v>
      </c>
      <c r="U1190" s="9">
        <f t="shared" si="98"/>
        <v>0</v>
      </c>
      <c r="V1190" s="9">
        <f t="shared" si="99"/>
        <v>0</v>
      </c>
    </row>
    <row r="1191" spans="1:22" x14ac:dyDescent="0.35">
      <c r="A1191" s="52">
        <v>49596</v>
      </c>
      <c r="B1191" s="31">
        <v>46117</v>
      </c>
      <c r="C1191" s="7" t="s">
        <v>337</v>
      </c>
      <c r="D1191" s="7">
        <v>353</v>
      </c>
      <c r="E1191" s="10">
        <f>IFERROR(SUMIFS('Base bordo CD'!M$2:M$875,'Base bordo CD'!D$2:D$875,A1191,'Base bordo CD'!A$2:A$875,B1191,'Base bordo CD'!L$2:L$875,"CORTE DE CANA MECANIZADO"),0)</f>
        <v>0</v>
      </c>
      <c r="F1191" s="10">
        <f>IFERROR(SUMIFS('Base bordo CD'!M$2:M$875,'Base bordo CD'!D$2:D$875,A1191,'Base bordo CD'!A$2:A$875,B1191,'Base bordo CD'!L$2:L$875,"MANOBRA"),0)</f>
        <v>0</v>
      </c>
      <c r="G1191" s="10">
        <f>IFERROR(SUMIFS('Base bordo CD'!M$2:M$875,'Base bordo CD'!D$2:D$875,A1191,'Base bordo CD'!A$2:A$875,B1191,'Base bordo CD'!L$2:L$875,"DESLOCAMENTO"),0)</f>
        <v>0</v>
      </c>
      <c r="H1191" s="10">
        <f>IFERROR(SUMIFS('Base bordo CD'!M$2:M$875,'Base bordo CD'!D$2:D$875,A1191,'Base bordo CD'!A$2:A$875,B1191,'Base bordo CD'!L$2:L$875,"AGUARDANDO MANOBRA DE TRANSBORDO"),0)+IFERROR(SUMIFS('Base bordo CD'!M$2:M$875,'Base bordo CD'!D$2:D$875,A1191,'Base bordo CD'!A$2:A$875,B1191,'Base bordo CD'!L$2:L$875,"FALTA DE TRANSBORDO"),0)</f>
        <v>0</v>
      </c>
      <c r="I1191" s="10">
        <f>IFERROR(SUMIFS('Base bordo CD'!M$2:M$875,'Base bordo CD'!D$2:D$875,A1191,'Base bordo CD'!A$2:A$875,B1191,'Base bordo CD'!L$2:L$875,"PARADA POR CONDICOES CLIMATICAS"),0)+IFERROR(SUMIFS('Base bordo CD'!M$2:M$875,'Base bordo CD'!D$2:D$875,A1191,'Base bordo CD'!A$2:A$875,B1191,'Base bordo CD'!L$2:L$875,"TEMPO INDETERMINADO"),0)</f>
        <v>0</v>
      </c>
      <c r="J1191" s="10">
        <f>IFERROR(SUMIFS('Base bordo CD'!M$2:M$875,'Base bordo CD'!D$2:D$875,A1191,'Base bordo CD'!A$2:A$875,B1191,'Base bordo CD'!L$2:L$875,"LIMITAÇÃO INDÚSTRIA"),0)</f>
        <v>0</v>
      </c>
      <c r="K1191" s="10">
        <f>IFERROR(SUMIFS('Base bordo CD'!M$2:M$875,'Base bordo CD'!D$2:D$875,A1191,'Base bordo CD'!A$2:A$875,B1191,'Base bordo CD'!L$2:L$875,"MAN CORRETIVA*"),0)+IFERROR(SUMIFS('Base bordo CD'!M$2:M$875,'Base bordo CD'!D$2:D$875,A1191,'Base bordo CD'!A$2:A$875,B1191,'Base bordo CD'!L$2:L$875,"AGUARDANDO MANUTENCAO*"),0)+IFERROR(SUMIFS('Base bordo CD'!M$2:M$875,'Base bordo CD'!D$2:D$875,A1191,'Base bordo CD'!A$2:A$875,B1191,'Base bordo CD'!L$2:L$875,"TROCA DE FAQUINHA"),0)+IFERROR(SUMIFS('Base bordo CD'!M$2:M$875,'Base bordo CD'!D$2:D$875,A1191,'Base bordo CD'!A$2:A$875,B1191,'Base bordo CD'!L$2:L$875,"LIMPEZA*"),0)</f>
        <v>0</v>
      </c>
      <c r="L1191" s="10">
        <f>IFERROR(SUMIFS('Base bordo CD'!M$2:M$875,'Base bordo CD'!D$2:D$875,A1191,'Base bordo CD'!A$2:A$875,B1191,'Base bordo CD'!L$2:L$875,"PATIO - RESERVA"),0)</f>
        <v>0</v>
      </c>
      <c r="M1191" s="10">
        <f>IFERROR(SUMIFS('Base bordo CD'!M$2:M$875,'Base bordo CD'!D$2:D$875,A1191,'Base bordo CD'!A$2:A$875,B1191,'Base bordo CD'!L$2:L$875,"SEM APONTAMENTO"),0)</f>
        <v>0</v>
      </c>
      <c r="N1191" s="10">
        <f>IFERROR(SUMIFS('Base bordo CD'!M$2:M$875,'Base bordo CD'!D$2:D$875,A1191,'Base bordo CD'!A$2:A$875,B1191,'Base bordo CD'!L$2:L$875,"FALTA DE CAMINHÃO"),0)+IFERROR(SUMIFS('Base bordo CD'!M$2:M$875,'Base bordo CD'!D$2:D$875,A1191,'Base bordo CD'!A$2:A$875,B1191,'Base bordo CD'!L$2:L$875,"FALTA DE COMBUSTIVEL"),0)+IFERROR(SUMIFS('Base bordo CD'!M$2:M$875,'Base bordo CD'!D$2:D$875,A1191,'Base bordo CD'!A$2:A$875,B1191,'Base bordo CD'!L$2:L$875,"FALTA DE MOTORIST*"),0)</f>
        <v>0</v>
      </c>
      <c r="O1191" s="10">
        <f t="shared" si="95"/>
        <v>0</v>
      </c>
      <c r="P1191" s="10">
        <f>IFERROR(SUMIFS('Base bordo CD'!M$2:M$875,'Base bordo CD'!D$2:D$875,A1191,'Base bordo CD'!A$2:A$875,B1191),0)</f>
        <v>0</v>
      </c>
      <c r="Q1191" s="10">
        <f>IFERROR(SUMIFS('Base bordo CD'!O$2:O$875,'Base bordo CD'!D$2:D$875,A1191,'Base bordo CD'!A$2:A$875,B1191,'Base bordo CD'!L$2:L$875,"CORTE DE CANA MECANIZADO"),0)</f>
        <v>0</v>
      </c>
      <c r="R1191" s="10">
        <f>IFERROR(SUMIFS('Base bordo CD'!Q$2:Q$875,'Base bordo CD'!D$2:D$875,A1191,'Base bordo CD'!A$2:A$875,B1191,'Base bordo CD'!L$2:L$875,"CORTE DE CANA MECANIZADO"),0)</f>
        <v>0</v>
      </c>
      <c r="S1191" s="30" t="str">
        <f t="shared" si="96"/>
        <v/>
      </c>
      <c r="T1191" s="9">
        <f t="shared" si="97"/>
        <v>0</v>
      </c>
      <c r="U1191" s="9">
        <f t="shared" si="98"/>
        <v>0</v>
      </c>
      <c r="V1191" s="9">
        <f t="shared" si="99"/>
        <v>0</v>
      </c>
    </row>
    <row r="1192" spans="1:22" x14ac:dyDescent="0.35">
      <c r="A1192" s="52">
        <v>49596</v>
      </c>
      <c r="B1192" s="31">
        <v>46117</v>
      </c>
      <c r="C1192" s="7" t="s">
        <v>337</v>
      </c>
      <c r="D1192" s="7">
        <v>353</v>
      </c>
      <c r="E1192" s="10">
        <f>IFERROR(SUMIFS('Base bordo CD'!M$2:M$875,'Base bordo CD'!D$2:D$875,A1192,'Base bordo CD'!A$2:A$875,B1192,'Base bordo CD'!L$2:L$875,"CORTE DE CANA MECANIZADO"),0)</f>
        <v>0</v>
      </c>
      <c r="F1192" s="10">
        <f>IFERROR(SUMIFS('Base bordo CD'!M$2:M$875,'Base bordo CD'!D$2:D$875,A1192,'Base bordo CD'!A$2:A$875,B1192,'Base bordo CD'!L$2:L$875,"MANOBRA"),0)</f>
        <v>0</v>
      </c>
      <c r="G1192" s="10">
        <f>IFERROR(SUMIFS('Base bordo CD'!M$2:M$875,'Base bordo CD'!D$2:D$875,A1192,'Base bordo CD'!A$2:A$875,B1192,'Base bordo CD'!L$2:L$875,"DESLOCAMENTO"),0)</f>
        <v>0</v>
      </c>
      <c r="H1192" s="10">
        <f>IFERROR(SUMIFS('Base bordo CD'!M$2:M$875,'Base bordo CD'!D$2:D$875,A1192,'Base bordo CD'!A$2:A$875,B1192,'Base bordo CD'!L$2:L$875,"AGUARDANDO MANOBRA DE TRANSBORDO"),0)+IFERROR(SUMIFS('Base bordo CD'!M$2:M$875,'Base bordo CD'!D$2:D$875,A1192,'Base bordo CD'!A$2:A$875,B1192,'Base bordo CD'!L$2:L$875,"FALTA DE TRANSBORDO"),0)</f>
        <v>0</v>
      </c>
      <c r="I1192" s="10">
        <f>IFERROR(SUMIFS('Base bordo CD'!M$2:M$875,'Base bordo CD'!D$2:D$875,A1192,'Base bordo CD'!A$2:A$875,B1192,'Base bordo CD'!L$2:L$875,"PARADA POR CONDICOES CLIMATICAS"),0)+IFERROR(SUMIFS('Base bordo CD'!M$2:M$875,'Base bordo CD'!D$2:D$875,A1192,'Base bordo CD'!A$2:A$875,B1192,'Base bordo CD'!L$2:L$875,"TEMPO INDETERMINADO"),0)</f>
        <v>0</v>
      </c>
      <c r="J1192" s="10">
        <f>IFERROR(SUMIFS('Base bordo CD'!M$2:M$875,'Base bordo CD'!D$2:D$875,A1192,'Base bordo CD'!A$2:A$875,B1192,'Base bordo CD'!L$2:L$875,"LIMITAÇÃO INDÚSTRIA"),0)</f>
        <v>0</v>
      </c>
      <c r="K1192" s="10">
        <f>IFERROR(SUMIFS('Base bordo CD'!M$2:M$875,'Base bordo CD'!D$2:D$875,A1192,'Base bordo CD'!A$2:A$875,B1192,'Base bordo CD'!L$2:L$875,"MAN CORRETIVA*"),0)+IFERROR(SUMIFS('Base bordo CD'!M$2:M$875,'Base bordo CD'!D$2:D$875,A1192,'Base bordo CD'!A$2:A$875,B1192,'Base bordo CD'!L$2:L$875,"AGUARDANDO MANUTENCAO*"),0)+IFERROR(SUMIFS('Base bordo CD'!M$2:M$875,'Base bordo CD'!D$2:D$875,A1192,'Base bordo CD'!A$2:A$875,B1192,'Base bordo CD'!L$2:L$875,"TROCA DE FAQUINHA"),0)+IFERROR(SUMIFS('Base bordo CD'!M$2:M$875,'Base bordo CD'!D$2:D$875,A1192,'Base bordo CD'!A$2:A$875,B1192,'Base bordo CD'!L$2:L$875,"LIMPEZA*"),0)</f>
        <v>0</v>
      </c>
      <c r="L1192" s="10">
        <f>IFERROR(SUMIFS('Base bordo CD'!M$2:M$875,'Base bordo CD'!D$2:D$875,A1192,'Base bordo CD'!A$2:A$875,B1192,'Base bordo CD'!L$2:L$875,"PATIO - RESERVA"),0)</f>
        <v>0</v>
      </c>
      <c r="M1192" s="10">
        <f>IFERROR(SUMIFS('Base bordo CD'!M$2:M$875,'Base bordo CD'!D$2:D$875,A1192,'Base bordo CD'!A$2:A$875,B1192,'Base bordo CD'!L$2:L$875,"SEM APONTAMENTO"),0)</f>
        <v>0</v>
      </c>
      <c r="N1192" s="10">
        <f>IFERROR(SUMIFS('Base bordo CD'!M$2:M$875,'Base bordo CD'!D$2:D$875,A1192,'Base bordo CD'!A$2:A$875,B1192,'Base bordo CD'!L$2:L$875,"FALTA DE CAMINHÃO"),0)+IFERROR(SUMIFS('Base bordo CD'!M$2:M$875,'Base bordo CD'!D$2:D$875,A1192,'Base bordo CD'!A$2:A$875,B1192,'Base bordo CD'!L$2:L$875,"FALTA DE COMBUSTIVEL"),0)+IFERROR(SUMIFS('Base bordo CD'!M$2:M$875,'Base bordo CD'!D$2:D$875,A1192,'Base bordo CD'!A$2:A$875,B1192,'Base bordo CD'!L$2:L$875,"FALTA DE MOTORIST*"),0)</f>
        <v>0</v>
      </c>
      <c r="O1192" s="10">
        <f t="shared" si="95"/>
        <v>0</v>
      </c>
      <c r="P1192" s="10">
        <f>IFERROR(SUMIFS('Base bordo CD'!M$2:M$875,'Base bordo CD'!D$2:D$875,A1192,'Base bordo CD'!A$2:A$875,B1192),0)</f>
        <v>0</v>
      </c>
      <c r="Q1192" s="10">
        <f>IFERROR(SUMIFS('Base bordo CD'!O$2:O$875,'Base bordo CD'!D$2:D$875,A1192,'Base bordo CD'!A$2:A$875,B1192,'Base bordo CD'!L$2:L$875,"CORTE DE CANA MECANIZADO"),0)</f>
        <v>0</v>
      </c>
      <c r="R1192" s="10">
        <f>IFERROR(SUMIFS('Base bordo CD'!Q$2:Q$875,'Base bordo CD'!D$2:D$875,A1192,'Base bordo CD'!A$2:A$875,B1192,'Base bordo CD'!L$2:L$875,"CORTE DE CANA MECANIZADO"),0)</f>
        <v>0</v>
      </c>
      <c r="S1192" s="30" t="str">
        <f t="shared" si="96"/>
        <v/>
      </c>
      <c r="T1192" s="9">
        <f t="shared" si="97"/>
        <v>0</v>
      </c>
      <c r="U1192" s="9">
        <f t="shared" si="98"/>
        <v>0</v>
      </c>
      <c r="V1192" s="9">
        <f t="shared" si="99"/>
        <v>0</v>
      </c>
    </row>
    <row r="1193" spans="1:22" x14ac:dyDescent="0.35">
      <c r="A1193" s="52">
        <v>49596</v>
      </c>
      <c r="B1193" s="31">
        <v>46117</v>
      </c>
      <c r="C1193" s="7" t="s">
        <v>337</v>
      </c>
      <c r="D1193" s="7">
        <v>353</v>
      </c>
      <c r="E1193" s="10">
        <f>IFERROR(SUMIFS('Base bordo CD'!M$2:M$875,'Base bordo CD'!D$2:D$875,A1193,'Base bordo CD'!A$2:A$875,B1193,'Base bordo CD'!L$2:L$875,"CORTE DE CANA MECANIZADO"),0)</f>
        <v>0</v>
      </c>
      <c r="F1193" s="10">
        <f>IFERROR(SUMIFS('Base bordo CD'!M$2:M$875,'Base bordo CD'!D$2:D$875,A1193,'Base bordo CD'!A$2:A$875,B1193,'Base bordo CD'!L$2:L$875,"MANOBRA"),0)</f>
        <v>0</v>
      </c>
      <c r="G1193" s="10">
        <f>IFERROR(SUMIFS('Base bordo CD'!M$2:M$875,'Base bordo CD'!D$2:D$875,A1193,'Base bordo CD'!A$2:A$875,B1193,'Base bordo CD'!L$2:L$875,"DESLOCAMENTO"),0)</f>
        <v>0</v>
      </c>
      <c r="H1193" s="10">
        <f>IFERROR(SUMIFS('Base bordo CD'!M$2:M$875,'Base bordo CD'!D$2:D$875,A1193,'Base bordo CD'!A$2:A$875,B1193,'Base bordo CD'!L$2:L$875,"AGUARDANDO MANOBRA DE TRANSBORDO"),0)+IFERROR(SUMIFS('Base bordo CD'!M$2:M$875,'Base bordo CD'!D$2:D$875,A1193,'Base bordo CD'!A$2:A$875,B1193,'Base bordo CD'!L$2:L$875,"FALTA DE TRANSBORDO"),0)</f>
        <v>0</v>
      </c>
      <c r="I1193" s="10">
        <f>IFERROR(SUMIFS('Base bordo CD'!M$2:M$875,'Base bordo CD'!D$2:D$875,A1193,'Base bordo CD'!A$2:A$875,B1193,'Base bordo CD'!L$2:L$875,"PARADA POR CONDICOES CLIMATICAS"),0)+IFERROR(SUMIFS('Base bordo CD'!M$2:M$875,'Base bordo CD'!D$2:D$875,A1193,'Base bordo CD'!A$2:A$875,B1193,'Base bordo CD'!L$2:L$875,"TEMPO INDETERMINADO"),0)</f>
        <v>0</v>
      </c>
      <c r="J1193" s="10">
        <f>IFERROR(SUMIFS('Base bordo CD'!M$2:M$875,'Base bordo CD'!D$2:D$875,A1193,'Base bordo CD'!A$2:A$875,B1193,'Base bordo CD'!L$2:L$875,"LIMITAÇÃO INDÚSTRIA"),0)</f>
        <v>0</v>
      </c>
      <c r="K1193" s="10">
        <f>IFERROR(SUMIFS('Base bordo CD'!M$2:M$875,'Base bordo CD'!D$2:D$875,A1193,'Base bordo CD'!A$2:A$875,B1193,'Base bordo CD'!L$2:L$875,"MAN CORRETIVA*"),0)+IFERROR(SUMIFS('Base bordo CD'!M$2:M$875,'Base bordo CD'!D$2:D$875,A1193,'Base bordo CD'!A$2:A$875,B1193,'Base bordo CD'!L$2:L$875,"AGUARDANDO MANUTENCAO*"),0)+IFERROR(SUMIFS('Base bordo CD'!M$2:M$875,'Base bordo CD'!D$2:D$875,A1193,'Base bordo CD'!A$2:A$875,B1193,'Base bordo CD'!L$2:L$875,"TROCA DE FAQUINHA"),0)+IFERROR(SUMIFS('Base bordo CD'!M$2:M$875,'Base bordo CD'!D$2:D$875,A1193,'Base bordo CD'!A$2:A$875,B1193,'Base bordo CD'!L$2:L$875,"LIMPEZA*"),0)</f>
        <v>0</v>
      </c>
      <c r="L1193" s="10">
        <f>IFERROR(SUMIFS('Base bordo CD'!M$2:M$875,'Base bordo CD'!D$2:D$875,A1193,'Base bordo CD'!A$2:A$875,B1193,'Base bordo CD'!L$2:L$875,"PATIO - RESERVA"),0)</f>
        <v>0</v>
      </c>
      <c r="M1193" s="10">
        <f>IFERROR(SUMIFS('Base bordo CD'!M$2:M$875,'Base bordo CD'!D$2:D$875,A1193,'Base bordo CD'!A$2:A$875,B1193,'Base bordo CD'!L$2:L$875,"SEM APONTAMENTO"),0)</f>
        <v>0</v>
      </c>
      <c r="N1193" s="10">
        <f>IFERROR(SUMIFS('Base bordo CD'!M$2:M$875,'Base bordo CD'!D$2:D$875,A1193,'Base bordo CD'!A$2:A$875,B1193,'Base bordo CD'!L$2:L$875,"FALTA DE CAMINHÃO"),0)+IFERROR(SUMIFS('Base bordo CD'!M$2:M$875,'Base bordo CD'!D$2:D$875,A1193,'Base bordo CD'!A$2:A$875,B1193,'Base bordo CD'!L$2:L$875,"FALTA DE COMBUSTIVEL"),0)+IFERROR(SUMIFS('Base bordo CD'!M$2:M$875,'Base bordo CD'!D$2:D$875,A1193,'Base bordo CD'!A$2:A$875,B1193,'Base bordo CD'!L$2:L$875,"FALTA DE MOTORIST*"),0)</f>
        <v>0</v>
      </c>
      <c r="O1193" s="10">
        <f t="shared" si="95"/>
        <v>0</v>
      </c>
      <c r="P1193" s="10">
        <f>IFERROR(SUMIFS('Base bordo CD'!M$2:M$875,'Base bordo CD'!D$2:D$875,A1193,'Base bordo CD'!A$2:A$875,B1193),0)</f>
        <v>0</v>
      </c>
      <c r="Q1193" s="10">
        <f>IFERROR(SUMIFS('Base bordo CD'!O$2:O$875,'Base bordo CD'!D$2:D$875,A1193,'Base bordo CD'!A$2:A$875,B1193,'Base bordo CD'!L$2:L$875,"CORTE DE CANA MECANIZADO"),0)</f>
        <v>0</v>
      </c>
      <c r="R1193" s="10">
        <f>IFERROR(SUMIFS('Base bordo CD'!Q$2:Q$875,'Base bordo CD'!D$2:D$875,A1193,'Base bordo CD'!A$2:A$875,B1193,'Base bordo CD'!L$2:L$875,"CORTE DE CANA MECANIZADO"),0)</f>
        <v>0</v>
      </c>
      <c r="S1193" s="30" t="str">
        <f t="shared" si="96"/>
        <v/>
      </c>
      <c r="T1193" s="9">
        <f t="shared" si="97"/>
        <v>0</v>
      </c>
      <c r="U1193" s="9">
        <f t="shared" si="98"/>
        <v>0</v>
      </c>
      <c r="V1193" s="9">
        <f t="shared" si="99"/>
        <v>0</v>
      </c>
    </row>
    <row r="1194" spans="1:22" x14ac:dyDescent="0.35">
      <c r="A1194" s="52">
        <v>49596</v>
      </c>
      <c r="B1194" s="31">
        <v>46117</v>
      </c>
      <c r="C1194" s="7" t="s">
        <v>337</v>
      </c>
      <c r="D1194" s="7">
        <v>353</v>
      </c>
      <c r="E1194" s="10">
        <f>IFERROR(SUMIFS('Base bordo CD'!M$2:M$875,'Base bordo CD'!D$2:D$875,A1194,'Base bordo CD'!A$2:A$875,B1194,'Base bordo CD'!L$2:L$875,"CORTE DE CANA MECANIZADO"),0)</f>
        <v>0</v>
      </c>
      <c r="F1194" s="10">
        <f>IFERROR(SUMIFS('Base bordo CD'!M$2:M$875,'Base bordo CD'!D$2:D$875,A1194,'Base bordo CD'!A$2:A$875,B1194,'Base bordo CD'!L$2:L$875,"MANOBRA"),0)</f>
        <v>0</v>
      </c>
      <c r="G1194" s="10">
        <f>IFERROR(SUMIFS('Base bordo CD'!M$2:M$875,'Base bordo CD'!D$2:D$875,A1194,'Base bordo CD'!A$2:A$875,B1194,'Base bordo CD'!L$2:L$875,"DESLOCAMENTO"),0)</f>
        <v>0</v>
      </c>
      <c r="H1194" s="10">
        <f>IFERROR(SUMIFS('Base bordo CD'!M$2:M$875,'Base bordo CD'!D$2:D$875,A1194,'Base bordo CD'!A$2:A$875,B1194,'Base bordo CD'!L$2:L$875,"AGUARDANDO MANOBRA DE TRANSBORDO"),0)+IFERROR(SUMIFS('Base bordo CD'!M$2:M$875,'Base bordo CD'!D$2:D$875,A1194,'Base bordo CD'!A$2:A$875,B1194,'Base bordo CD'!L$2:L$875,"FALTA DE TRANSBORDO"),0)</f>
        <v>0</v>
      </c>
      <c r="I1194" s="10">
        <f>IFERROR(SUMIFS('Base bordo CD'!M$2:M$875,'Base bordo CD'!D$2:D$875,A1194,'Base bordo CD'!A$2:A$875,B1194,'Base bordo CD'!L$2:L$875,"PARADA POR CONDICOES CLIMATICAS"),0)+IFERROR(SUMIFS('Base bordo CD'!M$2:M$875,'Base bordo CD'!D$2:D$875,A1194,'Base bordo CD'!A$2:A$875,B1194,'Base bordo CD'!L$2:L$875,"TEMPO INDETERMINADO"),0)</f>
        <v>0</v>
      </c>
      <c r="J1194" s="10">
        <f>IFERROR(SUMIFS('Base bordo CD'!M$2:M$875,'Base bordo CD'!D$2:D$875,A1194,'Base bordo CD'!A$2:A$875,B1194,'Base bordo CD'!L$2:L$875,"LIMITAÇÃO INDÚSTRIA"),0)</f>
        <v>0</v>
      </c>
      <c r="K1194" s="10">
        <f>IFERROR(SUMIFS('Base bordo CD'!M$2:M$875,'Base bordo CD'!D$2:D$875,A1194,'Base bordo CD'!A$2:A$875,B1194,'Base bordo CD'!L$2:L$875,"MAN CORRETIVA*"),0)+IFERROR(SUMIFS('Base bordo CD'!M$2:M$875,'Base bordo CD'!D$2:D$875,A1194,'Base bordo CD'!A$2:A$875,B1194,'Base bordo CD'!L$2:L$875,"AGUARDANDO MANUTENCAO*"),0)+IFERROR(SUMIFS('Base bordo CD'!M$2:M$875,'Base bordo CD'!D$2:D$875,A1194,'Base bordo CD'!A$2:A$875,B1194,'Base bordo CD'!L$2:L$875,"TROCA DE FAQUINHA"),0)+IFERROR(SUMIFS('Base bordo CD'!M$2:M$875,'Base bordo CD'!D$2:D$875,A1194,'Base bordo CD'!A$2:A$875,B1194,'Base bordo CD'!L$2:L$875,"LIMPEZA*"),0)</f>
        <v>0</v>
      </c>
      <c r="L1194" s="10">
        <f>IFERROR(SUMIFS('Base bordo CD'!M$2:M$875,'Base bordo CD'!D$2:D$875,A1194,'Base bordo CD'!A$2:A$875,B1194,'Base bordo CD'!L$2:L$875,"PATIO - RESERVA"),0)</f>
        <v>0</v>
      </c>
      <c r="M1194" s="10">
        <f>IFERROR(SUMIFS('Base bordo CD'!M$2:M$875,'Base bordo CD'!D$2:D$875,A1194,'Base bordo CD'!A$2:A$875,B1194,'Base bordo CD'!L$2:L$875,"SEM APONTAMENTO"),0)</f>
        <v>0</v>
      </c>
      <c r="N1194" s="10">
        <f>IFERROR(SUMIFS('Base bordo CD'!M$2:M$875,'Base bordo CD'!D$2:D$875,A1194,'Base bordo CD'!A$2:A$875,B1194,'Base bordo CD'!L$2:L$875,"FALTA DE CAMINHÃO"),0)+IFERROR(SUMIFS('Base bordo CD'!M$2:M$875,'Base bordo CD'!D$2:D$875,A1194,'Base bordo CD'!A$2:A$875,B1194,'Base bordo CD'!L$2:L$875,"FALTA DE COMBUSTIVEL"),0)+IFERROR(SUMIFS('Base bordo CD'!M$2:M$875,'Base bordo CD'!D$2:D$875,A1194,'Base bordo CD'!A$2:A$875,B1194,'Base bordo CD'!L$2:L$875,"FALTA DE MOTORIST*"),0)</f>
        <v>0</v>
      </c>
      <c r="O1194" s="10">
        <f t="shared" si="95"/>
        <v>0</v>
      </c>
      <c r="P1194" s="10">
        <f>IFERROR(SUMIFS('Base bordo CD'!M$2:M$875,'Base bordo CD'!D$2:D$875,A1194,'Base bordo CD'!A$2:A$875,B1194),0)</f>
        <v>0</v>
      </c>
      <c r="Q1194" s="10">
        <f>IFERROR(SUMIFS('Base bordo CD'!O$2:O$875,'Base bordo CD'!D$2:D$875,A1194,'Base bordo CD'!A$2:A$875,B1194,'Base bordo CD'!L$2:L$875,"CORTE DE CANA MECANIZADO"),0)</f>
        <v>0</v>
      </c>
      <c r="R1194" s="10">
        <f>IFERROR(SUMIFS('Base bordo CD'!Q$2:Q$875,'Base bordo CD'!D$2:D$875,A1194,'Base bordo CD'!A$2:A$875,B1194,'Base bordo CD'!L$2:L$875,"CORTE DE CANA MECANIZADO"),0)</f>
        <v>0</v>
      </c>
      <c r="S1194" s="30" t="str">
        <f t="shared" si="96"/>
        <v/>
      </c>
      <c r="T1194" s="9">
        <f t="shared" si="97"/>
        <v>0</v>
      </c>
      <c r="U1194" s="9">
        <f t="shared" si="98"/>
        <v>0</v>
      </c>
      <c r="V1194" s="9">
        <f t="shared" si="99"/>
        <v>0</v>
      </c>
    </row>
    <row r="1195" spans="1:22" x14ac:dyDescent="0.35">
      <c r="A1195" s="52">
        <v>49596</v>
      </c>
      <c r="B1195" s="31">
        <v>46117</v>
      </c>
      <c r="C1195" s="7" t="s">
        <v>337</v>
      </c>
      <c r="D1195" s="7">
        <v>353</v>
      </c>
      <c r="E1195" s="10">
        <f>IFERROR(SUMIFS('Base bordo CD'!M$2:M$875,'Base bordo CD'!D$2:D$875,A1195,'Base bordo CD'!A$2:A$875,B1195,'Base bordo CD'!L$2:L$875,"CORTE DE CANA MECANIZADO"),0)</f>
        <v>0</v>
      </c>
      <c r="F1195" s="10">
        <f>IFERROR(SUMIFS('Base bordo CD'!M$2:M$875,'Base bordo CD'!D$2:D$875,A1195,'Base bordo CD'!A$2:A$875,B1195,'Base bordo CD'!L$2:L$875,"MANOBRA"),0)</f>
        <v>0</v>
      </c>
      <c r="G1195" s="10">
        <f>IFERROR(SUMIFS('Base bordo CD'!M$2:M$875,'Base bordo CD'!D$2:D$875,A1195,'Base bordo CD'!A$2:A$875,B1195,'Base bordo CD'!L$2:L$875,"DESLOCAMENTO"),0)</f>
        <v>0</v>
      </c>
      <c r="H1195" s="10">
        <f>IFERROR(SUMIFS('Base bordo CD'!M$2:M$875,'Base bordo CD'!D$2:D$875,A1195,'Base bordo CD'!A$2:A$875,B1195,'Base bordo CD'!L$2:L$875,"AGUARDANDO MANOBRA DE TRANSBORDO"),0)+IFERROR(SUMIFS('Base bordo CD'!M$2:M$875,'Base bordo CD'!D$2:D$875,A1195,'Base bordo CD'!A$2:A$875,B1195,'Base bordo CD'!L$2:L$875,"FALTA DE TRANSBORDO"),0)</f>
        <v>0</v>
      </c>
      <c r="I1195" s="10">
        <f>IFERROR(SUMIFS('Base bordo CD'!M$2:M$875,'Base bordo CD'!D$2:D$875,A1195,'Base bordo CD'!A$2:A$875,B1195,'Base bordo CD'!L$2:L$875,"PARADA POR CONDICOES CLIMATICAS"),0)+IFERROR(SUMIFS('Base bordo CD'!M$2:M$875,'Base bordo CD'!D$2:D$875,A1195,'Base bordo CD'!A$2:A$875,B1195,'Base bordo CD'!L$2:L$875,"TEMPO INDETERMINADO"),0)</f>
        <v>0</v>
      </c>
      <c r="J1195" s="10">
        <f>IFERROR(SUMIFS('Base bordo CD'!M$2:M$875,'Base bordo CD'!D$2:D$875,A1195,'Base bordo CD'!A$2:A$875,B1195,'Base bordo CD'!L$2:L$875,"LIMITAÇÃO INDÚSTRIA"),0)</f>
        <v>0</v>
      </c>
      <c r="K1195" s="10">
        <f>IFERROR(SUMIFS('Base bordo CD'!M$2:M$875,'Base bordo CD'!D$2:D$875,A1195,'Base bordo CD'!A$2:A$875,B1195,'Base bordo CD'!L$2:L$875,"MAN CORRETIVA*"),0)+IFERROR(SUMIFS('Base bordo CD'!M$2:M$875,'Base bordo CD'!D$2:D$875,A1195,'Base bordo CD'!A$2:A$875,B1195,'Base bordo CD'!L$2:L$875,"AGUARDANDO MANUTENCAO*"),0)+IFERROR(SUMIFS('Base bordo CD'!M$2:M$875,'Base bordo CD'!D$2:D$875,A1195,'Base bordo CD'!A$2:A$875,B1195,'Base bordo CD'!L$2:L$875,"TROCA DE FAQUINHA"),0)+IFERROR(SUMIFS('Base bordo CD'!M$2:M$875,'Base bordo CD'!D$2:D$875,A1195,'Base bordo CD'!A$2:A$875,B1195,'Base bordo CD'!L$2:L$875,"LIMPEZA*"),0)</f>
        <v>0</v>
      </c>
      <c r="L1195" s="10">
        <f>IFERROR(SUMIFS('Base bordo CD'!M$2:M$875,'Base bordo CD'!D$2:D$875,A1195,'Base bordo CD'!A$2:A$875,B1195,'Base bordo CD'!L$2:L$875,"PATIO - RESERVA"),0)</f>
        <v>0</v>
      </c>
      <c r="M1195" s="10">
        <f>IFERROR(SUMIFS('Base bordo CD'!M$2:M$875,'Base bordo CD'!D$2:D$875,A1195,'Base bordo CD'!A$2:A$875,B1195,'Base bordo CD'!L$2:L$875,"SEM APONTAMENTO"),0)</f>
        <v>0</v>
      </c>
      <c r="N1195" s="10">
        <f>IFERROR(SUMIFS('Base bordo CD'!M$2:M$875,'Base bordo CD'!D$2:D$875,A1195,'Base bordo CD'!A$2:A$875,B1195,'Base bordo CD'!L$2:L$875,"FALTA DE CAMINHÃO"),0)+IFERROR(SUMIFS('Base bordo CD'!M$2:M$875,'Base bordo CD'!D$2:D$875,A1195,'Base bordo CD'!A$2:A$875,B1195,'Base bordo CD'!L$2:L$875,"FALTA DE COMBUSTIVEL"),0)+IFERROR(SUMIFS('Base bordo CD'!M$2:M$875,'Base bordo CD'!D$2:D$875,A1195,'Base bordo CD'!A$2:A$875,B1195,'Base bordo CD'!L$2:L$875,"FALTA DE MOTORIST*"),0)</f>
        <v>0</v>
      </c>
      <c r="O1195" s="10">
        <f t="shared" si="95"/>
        <v>0</v>
      </c>
      <c r="P1195" s="10">
        <f>IFERROR(SUMIFS('Base bordo CD'!M$2:M$875,'Base bordo CD'!D$2:D$875,A1195,'Base bordo CD'!A$2:A$875,B1195),0)</f>
        <v>0</v>
      </c>
      <c r="Q1195" s="10">
        <f>IFERROR(SUMIFS('Base bordo CD'!O$2:O$875,'Base bordo CD'!D$2:D$875,A1195,'Base bordo CD'!A$2:A$875,B1195,'Base bordo CD'!L$2:L$875,"CORTE DE CANA MECANIZADO"),0)</f>
        <v>0</v>
      </c>
      <c r="R1195" s="10">
        <f>IFERROR(SUMIFS('Base bordo CD'!Q$2:Q$875,'Base bordo CD'!D$2:D$875,A1195,'Base bordo CD'!A$2:A$875,B1195,'Base bordo CD'!L$2:L$875,"CORTE DE CANA MECANIZADO"),0)</f>
        <v>0</v>
      </c>
      <c r="S1195" s="30" t="str">
        <f t="shared" si="96"/>
        <v/>
      </c>
      <c r="T1195" s="9">
        <f t="shared" si="97"/>
        <v>0</v>
      </c>
      <c r="U1195" s="9">
        <f t="shared" si="98"/>
        <v>0</v>
      </c>
      <c r="V1195" s="9">
        <f t="shared" si="99"/>
        <v>0</v>
      </c>
    </row>
    <row r="1196" spans="1:22" x14ac:dyDescent="0.35">
      <c r="A1196" s="52">
        <v>49596</v>
      </c>
      <c r="B1196" s="31">
        <v>46117</v>
      </c>
      <c r="C1196" s="7" t="s">
        <v>337</v>
      </c>
      <c r="D1196" s="7">
        <v>353</v>
      </c>
      <c r="E1196" s="10">
        <f>IFERROR(SUMIFS('Base bordo CD'!M$2:M$875,'Base bordo CD'!D$2:D$875,A1196,'Base bordo CD'!A$2:A$875,B1196,'Base bordo CD'!L$2:L$875,"CORTE DE CANA MECANIZADO"),0)</f>
        <v>0</v>
      </c>
      <c r="F1196" s="10">
        <f>IFERROR(SUMIFS('Base bordo CD'!M$2:M$875,'Base bordo CD'!D$2:D$875,A1196,'Base bordo CD'!A$2:A$875,B1196,'Base bordo CD'!L$2:L$875,"MANOBRA"),0)</f>
        <v>0</v>
      </c>
      <c r="G1196" s="10">
        <f>IFERROR(SUMIFS('Base bordo CD'!M$2:M$875,'Base bordo CD'!D$2:D$875,A1196,'Base bordo CD'!A$2:A$875,B1196,'Base bordo CD'!L$2:L$875,"DESLOCAMENTO"),0)</f>
        <v>0</v>
      </c>
      <c r="H1196" s="10">
        <f>IFERROR(SUMIFS('Base bordo CD'!M$2:M$875,'Base bordo CD'!D$2:D$875,A1196,'Base bordo CD'!A$2:A$875,B1196,'Base bordo CD'!L$2:L$875,"AGUARDANDO MANOBRA DE TRANSBORDO"),0)+IFERROR(SUMIFS('Base bordo CD'!M$2:M$875,'Base bordo CD'!D$2:D$875,A1196,'Base bordo CD'!A$2:A$875,B1196,'Base bordo CD'!L$2:L$875,"FALTA DE TRANSBORDO"),0)</f>
        <v>0</v>
      </c>
      <c r="I1196" s="10">
        <f>IFERROR(SUMIFS('Base bordo CD'!M$2:M$875,'Base bordo CD'!D$2:D$875,A1196,'Base bordo CD'!A$2:A$875,B1196,'Base bordo CD'!L$2:L$875,"PARADA POR CONDICOES CLIMATICAS"),0)+IFERROR(SUMIFS('Base bordo CD'!M$2:M$875,'Base bordo CD'!D$2:D$875,A1196,'Base bordo CD'!A$2:A$875,B1196,'Base bordo CD'!L$2:L$875,"TEMPO INDETERMINADO"),0)</f>
        <v>0</v>
      </c>
      <c r="J1196" s="10">
        <f>IFERROR(SUMIFS('Base bordo CD'!M$2:M$875,'Base bordo CD'!D$2:D$875,A1196,'Base bordo CD'!A$2:A$875,B1196,'Base bordo CD'!L$2:L$875,"LIMITAÇÃO INDÚSTRIA"),0)</f>
        <v>0</v>
      </c>
      <c r="K1196" s="10">
        <f>IFERROR(SUMIFS('Base bordo CD'!M$2:M$875,'Base bordo CD'!D$2:D$875,A1196,'Base bordo CD'!A$2:A$875,B1196,'Base bordo CD'!L$2:L$875,"MAN CORRETIVA*"),0)+IFERROR(SUMIFS('Base bordo CD'!M$2:M$875,'Base bordo CD'!D$2:D$875,A1196,'Base bordo CD'!A$2:A$875,B1196,'Base bordo CD'!L$2:L$875,"AGUARDANDO MANUTENCAO*"),0)+IFERROR(SUMIFS('Base bordo CD'!M$2:M$875,'Base bordo CD'!D$2:D$875,A1196,'Base bordo CD'!A$2:A$875,B1196,'Base bordo CD'!L$2:L$875,"TROCA DE FAQUINHA"),0)+IFERROR(SUMIFS('Base bordo CD'!M$2:M$875,'Base bordo CD'!D$2:D$875,A1196,'Base bordo CD'!A$2:A$875,B1196,'Base bordo CD'!L$2:L$875,"LIMPEZA*"),0)</f>
        <v>0</v>
      </c>
      <c r="L1196" s="10">
        <f>IFERROR(SUMIFS('Base bordo CD'!M$2:M$875,'Base bordo CD'!D$2:D$875,A1196,'Base bordo CD'!A$2:A$875,B1196,'Base bordo CD'!L$2:L$875,"PATIO - RESERVA"),0)</f>
        <v>0</v>
      </c>
      <c r="M1196" s="10">
        <f>IFERROR(SUMIFS('Base bordo CD'!M$2:M$875,'Base bordo CD'!D$2:D$875,A1196,'Base bordo CD'!A$2:A$875,B1196,'Base bordo CD'!L$2:L$875,"SEM APONTAMENTO"),0)</f>
        <v>0</v>
      </c>
      <c r="N1196" s="10">
        <f>IFERROR(SUMIFS('Base bordo CD'!M$2:M$875,'Base bordo CD'!D$2:D$875,A1196,'Base bordo CD'!A$2:A$875,B1196,'Base bordo CD'!L$2:L$875,"FALTA DE CAMINHÃO"),0)+IFERROR(SUMIFS('Base bordo CD'!M$2:M$875,'Base bordo CD'!D$2:D$875,A1196,'Base bordo CD'!A$2:A$875,B1196,'Base bordo CD'!L$2:L$875,"FALTA DE COMBUSTIVEL"),0)+IFERROR(SUMIFS('Base bordo CD'!M$2:M$875,'Base bordo CD'!D$2:D$875,A1196,'Base bordo CD'!A$2:A$875,B1196,'Base bordo CD'!L$2:L$875,"FALTA DE MOTORIST*"),0)</f>
        <v>0</v>
      </c>
      <c r="O1196" s="10">
        <f t="shared" si="95"/>
        <v>0</v>
      </c>
      <c r="P1196" s="10">
        <f>IFERROR(SUMIFS('Base bordo CD'!M$2:M$875,'Base bordo CD'!D$2:D$875,A1196,'Base bordo CD'!A$2:A$875,B1196),0)</f>
        <v>0</v>
      </c>
      <c r="Q1196" s="10">
        <f>IFERROR(SUMIFS('Base bordo CD'!O$2:O$875,'Base bordo CD'!D$2:D$875,A1196,'Base bordo CD'!A$2:A$875,B1196,'Base bordo CD'!L$2:L$875,"CORTE DE CANA MECANIZADO"),0)</f>
        <v>0</v>
      </c>
      <c r="R1196" s="10">
        <f>IFERROR(SUMIFS('Base bordo CD'!Q$2:Q$875,'Base bordo CD'!D$2:D$875,A1196,'Base bordo CD'!A$2:A$875,B1196,'Base bordo CD'!L$2:L$875,"CORTE DE CANA MECANIZADO"),0)</f>
        <v>0</v>
      </c>
      <c r="S1196" s="30" t="str">
        <f t="shared" si="96"/>
        <v/>
      </c>
      <c r="T1196" s="9">
        <f t="shared" si="97"/>
        <v>0</v>
      </c>
      <c r="U1196" s="9">
        <f t="shared" si="98"/>
        <v>0</v>
      </c>
      <c r="V1196" s="9">
        <f t="shared" si="99"/>
        <v>0</v>
      </c>
    </row>
    <row r="1197" spans="1:22" x14ac:dyDescent="0.35">
      <c r="A1197" s="52">
        <v>49596</v>
      </c>
      <c r="B1197" s="31">
        <v>46117</v>
      </c>
      <c r="C1197" s="7" t="s">
        <v>337</v>
      </c>
      <c r="D1197" s="7">
        <v>353</v>
      </c>
      <c r="E1197" s="10">
        <f>IFERROR(SUMIFS('Base bordo CD'!M$2:M$875,'Base bordo CD'!D$2:D$875,A1197,'Base bordo CD'!A$2:A$875,B1197,'Base bordo CD'!L$2:L$875,"CORTE DE CANA MECANIZADO"),0)</f>
        <v>0</v>
      </c>
      <c r="F1197" s="10">
        <f>IFERROR(SUMIFS('Base bordo CD'!M$2:M$875,'Base bordo CD'!D$2:D$875,A1197,'Base bordo CD'!A$2:A$875,B1197,'Base bordo CD'!L$2:L$875,"MANOBRA"),0)</f>
        <v>0</v>
      </c>
      <c r="G1197" s="10">
        <f>IFERROR(SUMIFS('Base bordo CD'!M$2:M$875,'Base bordo CD'!D$2:D$875,A1197,'Base bordo CD'!A$2:A$875,B1197,'Base bordo CD'!L$2:L$875,"DESLOCAMENTO"),0)</f>
        <v>0</v>
      </c>
      <c r="H1197" s="10">
        <f>IFERROR(SUMIFS('Base bordo CD'!M$2:M$875,'Base bordo CD'!D$2:D$875,A1197,'Base bordo CD'!A$2:A$875,B1197,'Base bordo CD'!L$2:L$875,"AGUARDANDO MANOBRA DE TRANSBORDO"),0)+IFERROR(SUMIFS('Base bordo CD'!M$2:M$875,'Base bordo CD'!D$2:D$875,A1197,'Base bordo CD'!A$2:A$875,B1197,'Base bordo CD'!L$2:L$875,"FALTA DE TRANSBORDO"),0)</f>
        <v>0</v>
      </c>
      <c r="I1197" s="10">
        <f>IFERROR(SUMIFS('Base bordo CD'!M$2:M$875,'Base bordo CD'!D$2:D$875,A1197,'Base bordo CD'!A$2:A$875,B1197,'Base bordo CD'!L$2:L$875,"PARADA POR CONDICOES CLIMATICAS"),0)+IFERROR(SUMIFS('Base bordo CD'!M$2:M$875,'Base bordo CD'!D$2:D$875,A1197,'Base bordo CD'!A$2:A$875,B1197,'Base bordo CD'!L$2:L$875,"TEMPO INDETERMINADO"),0)</f>
        <v>0</v>
      </c>
      <c r="J1197" s="10">
        <f>IFERROR(SUMIFS('Base bordo CD'!M$2:M$875,'Base bordo CD'!D$2:D$875,A1197,'Base bordo CD'!A$2:A$875,B1197,'Base bordo CD'!L$2:L$875,"LIMITAÇÃO INDÚSTRIA"),0)</f>
        <v>0</v>
      </c>
      <c r="K1197" s="10">
        <f>IFERROR(SUMIFS('Base bordo CD'!M$2:M$875,'Base bordo CD'!D$2:D$875,A1197,'Base bordo CD'!A$2:A$875,B1197,'Base bordo CD'!L$2:L$875,"MAN CORRETIVA*"),0)+IFERROR(SUMIFS('Base bordo CD'!M$2:M$875,'Base bordo CD'!D$2:D$875,A1197,'Base bordo CD'!A$2:A$875,B1197,'Base bordo CD'!L$2:L$875,"AGUARDANDO MANUTENCAO*"),0)+IFERROR(SUMIFS('Base bordo CD'!M$2:M$875,'Base bordo CD'!D$2:D$875,A1197,'Base bordo CD'!A$2:A$875,B1197,'Base bordo CD'!L$2:L$875,"TROCA DE FAQUINHA"),0)+IFERROR(SUMIFS('Base bordo CD'!M$2:M$875,'Base bordo CD'!D$2:D$875,A1197,'Base bordo CD'!A$2:A$875,B1197,'Base bordo CD'!L$2:L$875,"LIMPEZA*"),0)</f>
        <v>0</v>
      </c>
      <c r="L1197" s="10">
        <f>IFERROR(SUMIFS('Base bordo CD'!M$2:M$875,'Base bordo CD'!D$2:D$875,A1197,'Base bordo CD'!A$2:A$875,B1197,'Base bordo CD'!L$2:L$875,"PATIO - RESERVA"),0)</f>
        <v>0</v>
      </c>
      <c r="M1197" s="10">
        <f>IFERROR(SUMIFS('Base bordo CD'!M$2:M$875,'Base bordo CD'!D$2:D$875,A1197,'Base bordo CD'!A$2:A$875,B1197,'Base bordo CD'!L$2:L$875,"SEM APONTAMENTO"),0)</f>
        <v>0</v>
      </c>
      <c r="N1197" s="10">
        <f>IFERROR(SUMIFS('Base bordo CD'!M$2:M$875,'Base bordo CD'!D$2:D$875,A1197,'Base bordo CD'!A$2:A$875,B1197,'Base bordo CD'!L$2:L$875,"FALTA DE CAMINHÃO"),0)+IFERROR(SUMIFS('Base bordo CD'!M$2:M$875,'Base bordo CD'!D$2:D$875,A1197,'Base bordo CD'!A$2:A$875,B1197,'Base bordo CD'!L$2:L$875,"FALTA DE COMBUSTIVEL"),0)+IFERROR(SUMIFS('Base bordo CD'!M$2:M$875,'Base bordo CD'!D$2:D$875,A1197,'Base bordo CD'!A$2:A$875,B1197,'Base bordo CD'!L$2:L$875,"FALTA DE MOTORIST*"),0)</f>
        <v>0</v>
      </c>
      <c r="O1197" s="10">
        <f t="shared" si="95"/>
        <v>0</v>
      </c>
      <c r="P1197" s="10">
        <f>IFERROR(SUMIFS('Base bordo CD'!M$2:M$875,'Base bordo CD'!D$2:D$875,A1197,'Base bordo CD'!A$2:A$875,B1197),0)</f>
        <v>0</v>
      </c>
      <c r="Q1197" s="10">
        <f>IFERROR(SUMIFS('Base bordo CD'!O$2:O$875,'Base bordo CD'!D$2:D$875,A1197,'Base bordo CD'!A$2:A$875,B1197,'Base bordo CD'!L$2:L$875,"CORTE DE CANA MECANIZADO"),0)</f>
        <v>0</v>
      </c>
      <c r="R1197" s="10">
        <f>IFERROR(SUMIFS('Base bordo CD'!Q$2:Q$875,'Base bordo CD'!D$2:D$875,A1197,'Base bordo CD'!A$2:A$875,B1197,'Base bordo CD'!L$2:L$875,"CORTE DE CANA MECANIZADO"),0)</f>
        <v>0</v>
      </c>
      <c r="S1197" s="30" t="str">
        <f t="shared" si="96"/>
        <v/>
      </c>
      <c r="T1197" s="9">
        <f t="shared" si="97"/>
        <v>0</v>
      </c>
      <c r="U1197" s="9">
        <f t="shared" si="98"/>
        <v>0</v>
      </c>
      <c r="V1197" s="9">
        <f t="shared" si="99"/>
        <v>0</v>
      </c>
    </row>
    <row r="1198" spans="1:22" x14ac:dyDescent="0.35">
      <c r="A1198" s="52">
        <v>49596</v>
      </c>
      <c r="B1198" s="31">
        <v>46117</v>
      </c>
      <c r="C1198" s="7" t="s">
        <v>337</v>
      </c>
      <c r="D1198" s="7">
        <v>353</v>
      </c>
      <c r="E1198" s="10">
        <f>IFERROR(SUMIFS('Base bordo CD'!M$2:M$875,'Base bordo CD'!D$2:D$875,A1198,'Base bordo CD'!A$2:A$875,B1198,'Base bordo CD'!L$2:L$875,"CORTE DE CANA MECANIZADO"),0)</f>
        <v>0</v>
      </c>
      <c r="F1198" s="10">
        <f>IFERROR(SUMIFS('Base bordo CD'!M$2:M$875,'Base bordo CD'!D$2:D$875,A1198,'Base bordo CD'!A$2:A$875,B1198,'Base bordo CD'!L$2:L$875,"MANOBRA"),0)</f>
        <v>0</v>
      </c>
      <c r="G1198" s="10">
        <f>IFERROR(SUMIFS('Base bordo CD'!M$2:M$875,'Base bordo CD'!D$2:D$875,A1198,'Base bordo CD'!A$2:A$875,B1198,'Base bordo CD'!L$2:L$875,"DESLOCAMENTO"),0)</f>
        <v>0</v>
      </c>
      <c r="H1198" s="10">
        <f>IFERROR(SUMIFS('Base bordo CD'!M$2:M$875,'Base bordo CD'!D$2:D$875,A1198,'Base bordo CD'!A$2:A$875,B1198,'Base bordo CD'!L$2:L$875,"AGUARDANDO MANOBRA DE TRANSBORDO"),0)+IFERROR(SUMIFS('Base bordo CD'!M$2:M$875,'Base bordo CD'!D$2:D$875,A1198,'Base bordo CD'!A$2:A$875,B1198,'Base bordo CD'!L$2:L$875,"FALTA DE TRANSBORDO"),0)</f>
        <v>0</v>
      </c>
      <c r="I1198" s="10">
        <f>IFERROR(SUMIFS('Base bordo CD'!M$2:M$875,'Base bordo CD'!D$2:D$875,A1198,'Base bordo CD'!A$2:A$875,B1198,'Base bordo CD'!L$2:L$875,"PARADA POR CONDICOES CLIMATICAS"),0)+IFERROR(SUMIFS('Base bordo CD'!M$2:M$875,'Base bordo CD'!D$2:D$875,A1198,'Base bordo CD'!A$2:A$875,B1198,'Base bordo CD'!L$2:L$875,"TEMPO INDETERMINADO"),0)</f>
        <v>0</v>
      </c>
      <c r="J1198" s="10">
        <f>IFERROR(SUMIFS('Base bordo CD'!M$2:M$875,'Base bordo CD'!D$2:D$875,A1198,'Base bordo CD'!A$2:A$875,B1198,'Base bordo CD'!L$2:L$875,"LIMITAÇÃO INDÚSTRIA"),0)</f>
        <v>0</v>
      </c>
      <c r="K1198" s="10">
        <f>IFERROR(SUMIFS('Base bordo CD'!M$2:M$875,'Base bordo CD'!D$2:D$875,A1198,'Base bordo CD'!A$2:A$875,B1198,'Base bordo CD'!L$2:L$875,"MAN CORRETIVA*"),0)+IFERROR(SUMIFS('Base bordo CD'!M$2:M$875,'Base bordo CD'!D$2:D$875,A1198,'Base bordo CD'!A$2:A$875,B1198,'Base bordo CD'!L$2:L$875,"AGUARDANDO MANUTENCAO*"),0)+IFERROR(SUMIFS('Base bordo CD'!M$2:M$875,'Base bordo CD'!D$2:D$875,A1198,'Base bordo CD'!A$2:A$875,B1198,'Base bordo CD'!L$2:L$875,"TROCA DE FAQUINHA"),0)+IFERROR(SUMIFS('Base bordo CD'!M$2:M$875,'Base bordo CD'!D$2:D$875,A1198,'Base bordo CD'!A$2:A$875,B1198,'Base bordo CD'!L$2:L$875,"LIMPEZA*"),0)</f>
        <v>0</v>
      </c>
      <c r="L1198" s="10">
        <f>IFERROR(SUMIFS('Base bordo CD'!M$2:M$875,'Base bordo CD'!D$2:D$875,A1198,'Base bordo CD'!A$2:A$875,B1198,'Base bordo CD'!L$2:L$875,"PATIO - RESERVA"),0)</f>
        <v>0</v>
      </c>
      <c r="M1198" s="10">
        <f>IFERROR(SUMIFS('Base bordo CD'!M$2:M$875,'Base bordo CD'!D$2:D$875,A1198,'Base bordo CD'!A$2:A$875,B1198,'Base bordo CD'!L$2:L$875,"SEM APONTAMENTO"),0)</f>
        <v>0</v>
      </c>
      <c r="N1198" s="10">
        <f>IFERROR(SUMIFS('Base bordo CD'!M$2:M$875,'Base bordo CD'!D$2:D$875,A1198,'Base bordo CD'!A$2:A$875,B1198,'Base bordo CD'!L$2:L$875,"FALTA DE CAMINHÃO"),0)+IFERROR(SUMIFS('Base bordo CD'!M$2:M$875,'Base bordo CD'!D$2:D$875,A1198,'Base bordo CD'!A$2:A$875,B1198,'Base bordo CD'!L$2:L$875,"FALTA DE COMBUSTIVEL"),0)+IFERROR(SUMIFS('Base bordo CD'!M$2:M$875,'Base bordo CD'!D$2:D$875,A1198,'Base bordo CD'!A$2:A$875,B1198,'Base bordo CD'!L$2:L$875,"FALTA DE MOTORIST*"),0)</f>
        <v>0</v>
      </c>
      <c r="O1198" s="10">
        <f t="shared" si="95"/>
        <v>0</v>
      </c>
      <c r="P1198" s="10">
        <f>IFERROR(SUMIFS('Base bordo CD'!M$2:M$875,'Base bordo CD'!D$2:D$875,A1198,'Base bordo CD'!A$2:A$875,B1198),0)</f>
        <v>0</v>
      </c>
      <c r="Q1198" s="10">
        <f>IFERROR(SUMIFS('Base bordo CD'!O$2:O$875,'Base bordo CD'!D$2:D$875,A1198,'Base bordo CD'!A$2:A$875,B1198,'Base bordo CD'!L$2:L$875,"CORTE DE CANA MECANIZADO"),0)</f>
        <v>0</v>
      </c>
      <c r="R1198" s="10">
        <f>IFERROR(SUMIFS('Base bordo CD'!Q$2:Q$875,'Base bordo CD'!D$2:D$875,A1198,'Base bordo CD'!A$2:A$875,B1198,'Base bordo CD'!L$2:L$875,"CORTE DE CANA MECANIZADO"),0)</f>
        <v>0</v>
      </c>
      <c r="S1198" s="30" t="str">
        <f t="shared" si="96"/>
        <v/>
      </c>
      <c r="T1198" s="9">
        <f t="shared" si="97"/>
        <v>0</v>
      </c>
      <c r="U1198" s="9">
        <f t="shared" si="98"/>
        <v>0</v>
      </c>
      <c r="V1198" s="9">
        <f t="shared" si="99"/>
        <v>0</v>
      </c>
    </row>
    <row r="1199" spans="1:22" x14ac:dyDescent="0.35">
      <c r="A1199" s="52">
        <v>49596</v>
      </c>
      <c r="B1199" s="31">
        <v>46117</v>
      </c>
      <c r="C1199" s="7" t="s">
        <v>337</v>
      </c>
      <c r="D1199" s="7">
        <v>353</v>
      </c>
      <c r="E1199" s="10">
        <f>IFERROR(SUMIFS('Base bordo CD'!M$2:M$875,'Base bordo CD'!D$2:D$875,A1199,'Base bordo CD'!A$2:A$875,B1199,'Base bordo CD'!L$2:L$875,"CORTE DE CANA MECANIZADO"),0)</f>
        <v>0</v>
      </c>
      <c r="F1199" s="10">
        <f>IFERROR(SUMIFS('Base bordo CD'!M$2:M$875,'Base bordo CD'!D$2:D$875,A1199,'Base bordo CD'!A$2:A$875,B1199,'Base bordo CD'!L$2:L$875,"MANOBRA"),0)</f>
        <v>0</v>
      </c>
      <c r="G1199" s="10">
        <f>IFERROR(SUMIFS('Base bordo CD'!M$2:M$875,'Base bordo CD'!D$2:D$875,A1199,'Base bordo CD'!A$2:A$875,B1199,'Base bordo CD'!L$2:L$875,"DESLOCAMENTO"),0)</f>
        <v>0</v>
      </c>
      <c r="H1199" s="10">
        <f>IFERROR(SUMIFS('Base bordo CD'!M$2:M$875,'Base bordo CD'!D$2:D$875,A1199,'Base bordo CD'!A$2:A$875,B1199,'Base bordo CD'!L$2:L$875,"AGUARDANDO MANOBRA DE TRANSBORDO"),0)+IFERROR(SUMIFS('Base bordo CD'!M$2:M$875,'Base bordo CD'!D$2:D$875,A1199,'Base bordo CD'!A$2:A$875,B1199,'Base bordo CD'!L$2:L$875,"FALTA DE TRANSBORDO"),0)</f>
        <v>0</v>
      </c>
      <c r="I1199" s="10">
        <f>IFERROR(SUMIFS('Base bordo CD'!M$2:M$875,'Base bordo CD'!D$2:D$875,A1199,'Base bordo CD'!A$2:A$875,B1199,'Base bordo CD'!L$2:L$875,"PARADA POR CONDICOES CLIMATICAS"),0)+IFERROR(SUMIFS('Base bordo CD'!M$2:M$875,'Base bordo CD'!D$2:D$875,A1199,'Base bordo CD'!A$2:A$875,B1199,'Base bordo CD'!L$2:L$875,"TEMPO INDETERMINADO"),0)</f>
        <v>0</v>
      </c>
      <c r="J1199" s="10">
        <f>IFERROR(SUMIFS('Base bordo CD'!M$2:M$875,'Base bordo CD'!D$2:D$875,A1199,'Base bordo CD'!A$2:A$875,B1199,'Base bordo CD'!L$2:L$875,"LIMITAÇÃO INDÚSTRIA"),0)</f>
        <v>0</v>
      </c>
      <c r="K1199" s="10">
        <f>IFERROR(SUMIFS('Base bordo CD'!M$2:M$875,'Base bordo CD'!D$2:D$875,A1199,'Base bordo CD'!A$2:A$875,B1199,'Base bordo CD'!L$2:L$875,"MAN CORRETIVA*"),0)+IFERROR(SUMIFS('Base bordo CD'!M$2:M$875,'Base bordo CD'!D$2:D$875,A1199,'Base bordo CD'!A$2:A$875,B1199,'Base bordo CD'!L$2:L$875,"AGUARDANDO MANUTENCAO*"),0)+IFERROR(SUMIFS('Base bordo CD'!M$2:M$875,'Base bordo CD'!D$2:D$875,A1199,'Base bordo CD'!A$2:A$875,B1199,'Base bordo CD'!L$2:L$875,"TROCA DE FAQUINHA"),0)+IFERROR(SUMIFS('Base bordo CD'!M$2:M$875,'Base bordo CD'!D$2:D$875,A1199,'Base bordo CD'!A$2:A$875,B1199,'Base bordo CD'!L$2:L$875,"LIMPEZA*"),0)</f>
        <v>0</v>
      </c>
      <c r="L1199" s="10">
        <f>IFERROR(SUMIFS('Base bordo CD'!M$2:M$875,'Base bordo CD'!D$2:D$875,A1199,'Base bordo CD'!A$2:A$875,B1199,'Base bordo CD'!L$2:L$875,"PATIO - RESERVA"),0)</f>
        <v>0</v>
      </c>
      <c r="M1199" s="10">
        <f>IFERROR(SUMIFS('Base bordo CD'!M$2:M$875,'Base bordo CD'!D$2:D$875,A1199,'Base bordo CD'!A$2:A$875,B1199,'Base bordo CD'!L$2:L$875,"SEM APONTAMENTO"),0)</f>
        <v>0</v>
      </c>
      <c r="N1199" s="10">
        <f>IFERROR(SUMIFS('Base bordo CD'!M$2:M$875,'Base bordo CD'!D$2:D$875,A1199,'Base bordo CD'!A$2:A$875,B1199,'Base bordo CD'!L$2:L$875,"FALTA DE CAMINHÃO"),0)+IFERROR(SUMIFS('Base bordo CD'!M$2:M$875,'Base bordo CD'!D$2:D$875,A1199,'Base bordo CD'!A$2:A$875,B1199,'Base bordo CD'!L$2:L$875,"FALTA DE COMBUSTIVEL"),0)+IFERROR(SUMIFS('Base bordo CD'!M$2:M$875,'Base bordo CD'!D$2:D$875,A1199,'Base bordo CD'!A$2:A$875,B1199,'Base bordo CD'!L$2:L$875,"FALTA DE MOTORIST*"),0)</f>
        <v>0</v>
      </c>
      <c r="O1199" s="10">
        <f t="shared" si="95"/>
        <v>0</v>
      </c>
      <c r="P1199" s="10">
        <f>IFERROR(SUMIFS('Base bordo CD'!M$2:M$875,'Base bordo CD'!D$2:D$875,A1199,'Base bordo CD'!A$2:A$875,B1199),0)</f>
        <v>0</v>
      </c>
      <c r="Q1199" s="10">
        <f>IFERROR(SUMIFS('Base bordo CD'!O$2:O$875,'Base bordo CD'!D$2:D$875,A1199,'Base bordo CD'!A$2:A$875,B1199,'Base bordo CD'!L$2:L$875,"CORTE DE CANA MECANIZADO"),0)</f>
        <v>0</v>
      </c>
      <c r="R1199" s="10">
        <f>IFERROR(SUMIFS('Base bordo CD'!Q$2:Q$875,'Base bordo CD'!D$2:D$875,A1199,'Base bordo CD'!A$2:A$875,B1199,'Base bordo CD'!L$2:L$875,"CORTE DE CANA MECANIZADO"),0)</f>
        <v>0</v>
      </c>
      <c r="S1199" s="30" t="str">
        <f t="shared" si="96"/>
        <v/>
      </c>
      <c r="T1199" s="9">
        <f t="shared" si="97"/>
        <v>0</v>
      </c>
      <c r="U1199" s="9">
        <f t="shared" si="98"/>
        <v>0</v>
      </c>
      <c r="V1199" s="9">
        <f t="shared" si="99"/>
        <v>0</v>
      </c>
    </row>
    <row r="1200" spans="1:22" x14ac:dyDescent="0.35">
      <c r="A1200" s="52">
        <v>49596</v>
      </c>
      <c r="B1200" s="31">
        <v>46117</v>
      </c>
      <c r="C1200" s="7" t="s">
        <v>337</v>
      </c>
      <c r="D1200" s="7">
        <v>353</v>
      </c>
      <c r="E1200" s="10">
        <f>IFERROR(SUMIFS('Base bordo CD'!M$2:M$875,'Base bordo CD'!D$2:D$875,A1200,'Base bordo CD'!A$2:A$875,B1200,'Base bordo CD'!L$2:L$875,"CORTE DE CANA MECANIZADO"),0)</f>
        <v>0</v>
      </c>
      <c r="F1200" s="10">
        <f>IFERROR(SUMIFS('Base bordo CD'!M$2:M$875,'Base bordo CD'!D$2:D$875,A1200,'Base bordo CD'!A$2:A$875,B1200,'Base bordo CD'!L$2:L$875,"MANOBRA"),0)</f>
        <v>0</v>
      </c>
      <c r="G1200" s="10">
        <f>IFERROR(SUMIFS('Base bordo CD'!M$2:M$875,'Base bordo CD'!D$2:D$875,A1200,'Base bordo CD'!A$2:A$875,B1200,'Base bordo CD'!L$2:L$875,"DESLOCAMENTO"),0)</f>
        <v>0</v>
      </c>
      <c r="H1200" s="10">
        <f>IFERROR(SUMIFS('Base bordo CD'!M$2:M$875,'Base bordo CD'!D$2:D$875,A1200,'Base bordo CD'!A$2:A$875,B1200,'Base bordo CD'!L$2:L$875,"AGUARDANDO MANOBRA DE TRANSBORDO"),0)+IFERROR(SUMIFS('Base bordo CD'!M$2:M$875,'Base bordo CD'!D$2:D$875,A1200,'Base bordo CD'!A$2:A$875,B1200,'Base bordo CD'!L$2:L$875,"FALTA DE TRANSBORDO"),0)</f>
        <v>0</v>
      </c>
      <c r="I1200" s="10">
        <f>IFERROR(SUMIFS('Base bordo CD'!M$2:M$875,'Base bordo CD'!D$2:D$875,A1200,'Base bordo CD'!A$2:A$875,B1200,'Base bordo CD'!L$2:L$875,"PARADA POR CONDICOES CLIMATICAS"),0)+IFERROR(SUMIFS('Base bordo CD'!M$2:M$875,'Base bordo CD'!D$2:D$875,A1200,'Base bordo CD'!A$2:A$875,B1200,'Base bordo CD'!L$2:L$875,"TEMPO INDETERMINADO"),0)</f>
        <v>0</v>
      </c>
      <c r="J1200" s="10">
        <f>IFERROR(SUMIFS('Base bordo CD'!M$2:M$875,'Base bordo CD'!D$2:D$875,A1200,'Base bordo CD'!A$2:A$875,B1200,'Base bordo CD'!L$2:L$875,"LIMITAÇÃO INDÚSTRIA"),0)</f>
        <v>0</v>
      </c>
      <c r="K1200" s="10">
        <f>IFERROR(SUMIFS('Base bordo CD'!M$2:M$875,'Base bordo CD'!D$2:D$875,A1200,'Base bordo CD'!A$2:A$875,B1200,'Base bordo CD'!L$2:L$875,"MAN CORRETIVA*"),0)+IFERROR(SUMIFS('Base bordo CD'!M$2:M$875,'Base bordo CD'!D$2:D$875,A1200,'Base bordo CD'!A$2:A$875,B1200,'Base bordo CD'!L$2:L$875,"AGUARDANDO MANUTENCAO*"),0)+IFERROR(SUMIFS('Base bordo CD'!M$2:M$875,'Base bordo CD'!D$2:D$875,A1200,'Base bordo CD'!A$2:A$875,B1200,'Base bordo CD'!L$2:L$875,"TROCA DE FAQUINHA"),0)+IFERROR(SUMIFS('Base bordo CD'!M$2:M$875,'Base bordo CD'!D$2:D$875,A1200,'Base bordo CD'!A$2:A$875,B1200,'Base bordo CD'!L$2:L$875,"LIMPEZA*"),0)</f>
        <v>0</v>
      </c>
      <c r="L1200" s="10">
        <f>IFERROR(SUMIFS('Base bordo CD'!M$2:M$875,'Base bordo CD'!D$2:D$875,A1200,'Base bordo CD'!A$2:A$875,B1200,'Base bordo CD'!L$2:L$875,"PATIO - RESERVA"),0)</f>
        <v>0</v>
      </c>
      <c r="M1200" s="10">
        <f>IFERROR(SUMIFS('Base bordo CD'!M$2:M$875,'Base bordo CD'!D$2:D$875,A1200,'Base bordo CD'!A$2:A$875,B1200,'Base bordo CD'!L$2:L$875,"SEM APONTAMENTO"),0)</f>
        <v>0</v>
      </c>
      <c r="N1200" s="10">
        <f>IFERROR(SUMIFS('Base bordo CD'!M$2:M$875,'Base bordo CD'!D$2:D$875,A1200,'Base bordo CD'!A$2:A$875,B1200,'Base bordo CD'!L$2:L$875,"FALTA DE CAMINHÃO"),0)+IFERROR(SUMIFS('Base bordo CD'!M$2:M$875,'Base bordo CD'!D$2:D$875,A1200,'Base bordo CD'!A$2:A$875,B1200,'Base bordo CD'!L$2:L$875,"FALTA DE COMBUSTIVEL"),0)+IFERROR(SUMIFS('Base bordo CD'!M$2:M$875,'Base bordo CD'!D$2:D$875,A1200,'Base bordo CD'!A$2:A$875,B1200,'Base bordo CD'!L$2:L$875,"FALTA DE MOTORIST*"),0)</f>
        <v>0</v>
      </c>
      <c r="O1200" s="10">
        <f t="shared" si="95"/>
        <v>0</v>
      </c>
      <c r="P1200" s="10">
        <f>IFERROR(SUMIFS('Base bordo CD'!M$2:M$875,'Base bordo CD'!D$2:D$875,A1200,'Base bordo CD'!A$2:A$875,B1200),0)</f>
        <v>0</v>
      </c>
      <c r="Q1200" s="10">
        <f>IFERROR(SUMIFS('Base bordo CD'!O$2:O$875,'Base bordo CD'!D$2:D$875,A1200,'Base bordo CD'!A$2:A$875,B1200,'Base bordo CD'!L$2:L$875,"CORTE DE CANA MECANIZADO"),0)</f>
        <v>0</v>
      </c>
      <c r="R1200" s="10">
        <f>IFERROR(SUMIFS('Base bordo CD'!Q$2:Q$875,'Base bordo CD'!D$2:D$875,A1200,'Base bordo CD'!A$2:A$875,B1200,'Base bordo CD'!L$2:L$875,"CORTE DE CANA MECANIZADO"),0)</f>
        <v>0</v>
      </c>
      <c r="S1200" s="30" t="str">
        <f t="shared" si="96"/>
        <v/>
      </c>
      <c r="T1200" s="9">
        <f t="shared" si="97"/>
        <v>0</v>
      </c>
      <c r="U1200" s="9">
        <f t="shared" si="98"/>
        <v>0</v>
      </c>
      <c r="V1200" s="9">
        <f t="shared" si="99"/>
        <v>0</v>
      </c>
    </row>
    <row r="1201" spans="1:22" x14ac:dyDescent="0.35">
      <c r="A1201" s="52">
        <v>49596</v>
      </c>
      <c r="B1201" s="31">
        <v>46117</v>
      </c>
      <c r="C1201" s="7" t="s">
        <v>337</v>
      </c>
      <c r="D1201" s="7">
        <v>353</v>
      </c>
      <c r="E1201" s="10">
        <f>IFERROR(SUMIFS('Base bordo CD'!M$2:M$875,'Base bordo CD'!D$2:D$875,A1201,'Base bordo CD'!A$2:A$875,B1201,'Base bordo CD'!L$2:L$875,"CORTE DE CANA MECANIZADO"),0)</f>
        <v>0</v>
      </c>
      <c r="F1201" s="10">
        <f>IFERROR(SUMIFS('Base bordo CD'!M$2:M$875,'Base bordo CD'!D$2:D$875,A1201,'Base bordo CD'!A$2:A$875,B1201,'Base bordo CD'!L$2:L$875,"MANOBRA"),0)</f>
        <v>0</v>
      </c>
      <c r="G1201" s="10">
        <f>IFERROR(SUMIFS('Base bordo CD'!M$2:M$875,'Base bordo CD'!D$2:D$875,A1201,'Base bordo CD'!A$2:A$875,B1201,'Base bordo CD'!L$2:L$875,"DESLOCAMENTO"),0)</f>
        <v>0</v>
      </c>
      <c r="H1201" s="10">
        <f>IFERROR(SUMIFS('Base bordo CD'!M$2:M$875,'Base bordo CD'!D$2:D$875,A1201,'Base bordo CD'!A$2:A$875,B1201,'Base bordo CD'!L$2:L$875,"AGUARDANDO MANOBRA DE TRANSBORDO"),0)+IFERROR(SUMIFS('Base bordo CD'!M$2:M$875,'Base bordo CD'!D$2:D$875,A1201,'Base bordo CD'!A$2:A$875,B1201,'Base bordo CD'!L$2:L$875,"FALTA DE TRANSBORDO"),0)</f>
        <v>0</v>
      </c>
      <c r="I1201" s="10">
        <f>IFERROR(SUMIFS('Base bordo CD'!M$2:M$875,'Base bordo CD'!D$2:D$875,A1201,'Base bordo CD'!A$2:A$875,B1201,'Base bordo CD'!L$2:L$875,"PARADA POR CONDICOES CLIMATICAS"),0)+IFERROR(SUMIFS('Base bordo CD'!M$2:M$875,'Base bordo CD'!D$2:D$875,A1201,'Base bordo CD'!A$2:A$875,B1201,'Base bordo CD'!L$2:L$875,"TEMPO INDETERMINADO"),0)</f>
        <v>0</v>
      </c>
      <c r="J1201" s="10">
        <f>IFERROR(SUMIFS('Base bordo CD'!M$2:M$875,'Base bordo CD'!D$2:D$875,A1201,'Base bordo CD'!A$2:A$875,B1201,'Base bordo CD'!L$2:L$875,"LIMITAÇÃO INDÚSTRIA"),0)</f>
        <v>0</v>
      </c>
      <c r="K1201" s="10">
        <f>IFERROR(SUMIFS('Base bordo CD'!M$2:M$875,'Base bordo CD'!D$2:D$875,A1201,'Base bordo CD'!A$2:A$875,B1201,'Base bordo CD'!L$2:L$875,"MAN CORRETIVA*"),0)+IFERROR(SUMIFS('Base bordo CD'!M$2:M$875,'Base bordo CD'!D$2:D$875,A1201,'Base bordo CD'!A$2:A$875,B1201,'Base bordo CD'!L$2:L$875,"AGUARDANDO MANUTENCAO*"),0)+IFERROR(SUMIFS('Base bordo CD'!M$2:M$875,'Base bordo CD'!D$2:D$875,A1201,'Base bordo CD'!A$2:A$875,B1201,'Base bordo CD'!L$2:L$875,"TROCA DE FAQUINHA"),0)+IFERROR(SUMIFS('Base bordo CD'!M$2:M$875,'Base bordo CD'!D$2:D$875,A1201,'Base bordo CD'!A$2:A$875,B1201,'Base bordo CD'!L$2:L$875,"LIMPEZA*"),0)</f>
        <v>0</v>
      </c>
      <c r="L1201" s="10">
        <f>IFERROR(SUMIFS('Base bordo CD'!M$2:M$875,'Base bordo CD'!D$2:D$875,A1201,'Base bordo CD'!A$2:A$875,B1201,'Base bordo CD'!L$2:L$875,"PATIO - RESERVA"),0)</f>
        <v>0</v>
      </c>
      <c r="M1201" s="10">
        <f>IFERROR(SUMIFS('Base bordo CD'!M$2:M$875,'Base bordo CD'!D$2:D$875,A1201,'Base bordo CD'!A$2:A$875,B1201,'Base bordo CD'!L$2:L$875,"SEM APONTAMENTO"),0)</f>
        <v>0</v>
      </c>
      <c r="N1201" s="10">
        <f>IFERROR(SUMIFS('Base bordo CD'!M$2:M$875,'Base bordo CD'!D$2:D$875,A1201,'Base bordo CD'!A$2:A$875,B1201,'Base bordo CD'!L$2:L$875,"FALTA DE CAMINHÃO"),0)+IFERROR(SUMIFS('Base bordo CD'!M$2:M$875,'Base bordo CD'!D$2:D$875,A1201,'Base bordo CD'!A$2:A$875,B1201,'Base bordo CD'!L$2:L$875,"FALTA DE COMBUSTIVEL"),0)+IFERROR(SUMIFS('Base bordo CD'!M$2:M$875,'Base bordo CD'!D$2:D$875,A1201,'Base bordo CD'!A$2:A$875,B1201,'Base bordo CD'!L$2:L$875,"FALTA DE MOTORIST*"),0)</f>
        <v>0</v>
      </c>
      <c r="O1201" s="10">
        <f t="shared" si="95"/>
        <v>0</v>
      </c>
      <c r="P1201" s="10">
        <f>IFERROR(SUMIFS('Base bordo CD'!M$2:M$875,'Base bordo CD'!D$2:D$875,A1201,'Base bordo CD'!A$2:A$875,B1201),0)</f>
        <v>0</v>
      </c>
      <c r="Q1201" s="10">
        <f>IFERROR(SUMIFS('Base bordo CD'!O$2:O$875,'Base bordo CD'!D$2:D$875,A1201,'Base bordo CD'!A$2:A$875,B1201,'Base bordo CD'!L$2:L$875,"CORTE DE CANA MECANIZADO"),0)</f>
        <v>0</v>
      </c>
      <c r="R1201" s="10">
        <f>IFERROR(SUMIFS('Base bordo CD'!Q$2:Q$875,'Base bordo CD'!D$2:D$875,A1201,'Base bordo CD'!A$2:A$875,B1201,'Base bordo CD'!L$2:L$875,"CORTE DE CANA MECANIZADO"),0)</f>
        <v>0</v>
      </c>
      <c r="S1201" s="30" t="str">
        <f t="shared" si="96"/>
        <v/>
      </c>
      <c r="T1201" s="9">
        <f t="shared" si="97"/>
        <v>0</v>
      </c>
      <c r="U1201" s="9">
        <f t="shared" si="98"/>
        <v>0</v>
      </c>
      <c r="V1201" s="9">
        <f t="shared" si="99"/>
        <v>0</v>
      </c>
    </row>
    <row r="1202" spans="1:22" x14ac:dyDescent="0.35">
      <c r="A1202" s="52">
        <v>49596</v>
      </c>
      <c r="B1202" s="31">
        <v>46117</v>
      </c>
      <c r="C1202" s="7" t="s">
        <v>337</v>
      </c>
      <c r="D1202" s="7">
        <v>353</v>
      </c>
      <c r="E1202" s="10">
        <f>IFERROR(SUMIFS('Base bordo CD'!M$2:M$875,'Base bordo CD'!D$2:D$875,A1202,'Base bordo CD'!A$2:A$875,B1202,'Base bordo CD'!L$2:L$875,"CORTE DE CANA MECANIZADO"),0)</f>
        <v>0</v>
      </c>
      <c r="F1202" s="10">
        <f>IFERROR(SUMIFS('Base bordo CD'!M$2:M$875,'Base bordo CD'!D$2:D$875,A1202,'Base bordo CD'!A$2:A$875,B1202,'Base bordo CD'!L$2:L$875,"MANOBRA"),0)</f>
        <v>0</v>
      </c>
      <c r="G1202" s="10">
        <f>IFERROR(SUMIFS('Base bordo CD'!M$2:M$875,'Base bordo CD'!D$2:D$875,A1202,'Base bordo CD'!A$2:A$875,B1202,'Base bordo CD'!L$2:L$875,"DESLOCAMENTO"),0)</f>
        <v>0</v>
      </c>
      <c r="H1202" s="10">
        <f>IFERROR(SUMIFS('Base bordo CD'!M$2:M$875,'Base bordo CD'!D$2:D$875,A1202,'Base bordo CD'!A$2:A$875,B1202,'Base bordo CD'!L$2:L$875,"AGUARDANDO MANOBRA DE TRANSBORDO"),0)+IFERROR(SUMIFS('Base bordo CD'!M$2:M$875,'Base bordo CD'!D$2:D$875,A1202,'Base bordo CD'!A$2:A$875,B1202,'Base bordo CD'!L$2:L$875,"FALTA DE TRANSBORDO"),0)</f>
        <v>0</v>
      </c>
      <c r="I1202" s="10">
        <f>IFERROR(SUMIFS('Base bordo CD'!M$2:M$875,'Base bordo CD'!D$2:D$875,A1202,'Base bordo CD'!A$2:A$875,B1202,'Base bordo CD'!L$2:L$875,"PARADA POR CONDICOES CLIMATICAS"),0)+IFERROR(SUMIFS('Base bordo CD'!M$2:M$875,'Base bordo CD'!D$2:D$875,A1202,'Base bordo CD'!A$2:A$875,B1202,'Base bordo CD'!L$2:L$875,"TEMPO INDETERMINADO"),0)</f>
        <v>0</v>
      </c>
      <c r="J1202" s="10">
        <f>IFERROR(SUMIFS('Base bordo CD'!M$2:M$875,'Base bordo CD'!D$2:D$875,A1202,'Base bordo CD'!A$2:A$875,B1202,'Base bordo CD'!L$2:L$875,"LIMITAÇÃO INDÚSTRIA"),0)</f>
        <v>0</v>
      </c>
      <c r="K1202" s="10">
        <f>IFERROR(SUMIFS('Base bordo CD'!M$2:M$875,'Base bordo CD'!D$2:D$875,A1202,'Base bordo CD'!A$2:A$875,B1202,'Base bordo CD'!L$2:L$875,"MAN CORRETIVA*"),0)+IFERROR(SUMIFS('Base bordo CD'!M$2:M$875,'Base bordo CD'!D$2:D$875,A1202,'Base bordo CD'!A$2:A$875,B1202,'Base bordo CD'!L$2:L$875,"AGUARDANDO MANUTENCAO*"),0)+IFERROR(SUMIFS('Base bordo CD'!M$2:M$875,'Base bordo CD'!D$2:D$875,A1202,'Base bordo CD'!A$2:A$875,B1202,'Base bordo CD'!L$2:L$875,"TROCA DE FAQUINHA"),0)+IFERROR(SUMIFS('Base bordo CD'!M$2:M$875,'Base bordo CD'!D$2:D$875,A1202,'Base bordo CD'!A$2:A$875,B1202,'Base bordo CD'!L$2:L$875,"LIMPEZA*"),0)</f>
        <v>0</v>
      </c>
      <c r="L1202" s="10">
        <f>IFERROR(SUMIFS('Base bordo CD'!M$2:M$875,'Base bordo CD'!D$2:D$875,A1202,'Base bordo CD'!A$2:A$875,B1202,'Base bordo CD'!L$2:L$875,"PATIO - RESERVA"),0)</f>
        <v>0</v>
      </c>
      <c r="M1202" s="10">
        <f>IFERROR(SUMIFS('Base bordo CD'!M$2:M$875,'Base bordo CD'!D$2:D$875,A1202,'Base bordo CD'!A$2:A$875,B1202,'Base bordo CD'!L$2:L$875,"SEM APONTAMENTO"),0)</f>
        <v>0</v>
      </c>
      <c r="N1202" s="10">
        <f>IFERROR(SUMIFS('Base bordo CD'!M$2:M$875,'Base bordo CD'!D$2:D$875,A1202,'Base bordo CD'!A$2:A$875,B1202,'Base bordo CD'!L$2:L$875,"FALTA DE CAMINHÃO"),0)+IFERROR(SUMIFS('Base bordo CD'!M$2:M$875,'Base bordo CD'!D$2:D$875,A1202,'Base bordo CD'!A$2:A$875,B1202,'Base bordo CD'!L$2:L$875,"FALTA DE COMBUSTIVEL"),0)+IFERROR(SUMIFS('Base bordo CD'!M$2:M$875,'Base bordo CD'!D$2:D$875,A1202,'Base bordo CD'!A$2:A$875,B1202,'Base bordo CD'!L$2:L$875,"FALTA DE MOTORIST*"),0)</f>
        <v>0</v>
      </c>
      <c r="O1202" s="10">
        <f t="shared" si="95"/>
        <v>0</v>
      </c>
      <c r="P1202" s="10">
        <f>IFERROR(SUMIFS('Base bordo CD'!M$2:M$875,'Base bordo CD'!D$2:D$875,A1202,'Base bordo CD'!A$2:A$875,B1202),0)</f>
        <v>0</v>
      </c>
      <c r="Q1202" s="10">
        <f>IFERROR(SUMIFS('Base bordo CD'!O$2:O$875,'Base bordo CD'!D$2:D$875,A1202,'Base bordo CD'!A$2:A$875,B1202,'Base bordo CD'!L$2:L$875,"CORTE DE CANA MECANIZADO"),0)</f>
        <v>0</v>
      </c>
      <c r="R1202" s="10">
        <f>IFERROR(SUMIFS('Base bordo CD'!Q$2:Q$875,'Base bordo CD'!D$2:D$875,A1202,'Base bordo CD'!A$2:A$875,B1202,'Base bordo CD'!L$2:L$875,"CORTE DE CANA MECANIZADO"),0)</f>
        <v>0</v>
      </c>
      <c r="S1202" s="30" t="str">
        <f t="shared" si="96"/>
        <v/>
      </c>
      <c r="T1202" s="9">
        <f t="shared" si="97"/>
        <v>0</v>
      </c>
      <c r="U1202" s="9">
        <f t="shared" si="98"/>
        <v>0</v>
      </c>
      <c r="V1202" s="9">
        <f t="shared" si="99"/>
        <v>0</v>
      </c>
    </row>
    <row r="1203" spans="1:22" x14ac:dyDescent="0.35">
      <c r="A1203" s="52">
        <v>49596</v>
      </c>
      <c r="B1203" s="31">
        <v>46117</v>
      </c>
      <c r="C1203" s="7" t="s">
        <v>337</v>
      </c>
      <c r="D1203" s="7">
        <v>353</v>
      </c>
      <c r="E1203" s="10">
        <f>IFERROR(SUMIFS('Base bordo CD'!M$2:M$875,'Base bordo CD'!D$2:D$875,A1203,'Base bordo CD'!A$2:A$875,B1203,'Base bordo CD'!L$2:L$875,"CORTE DE CANA MECANIZADO"),0)</f>
        <v>0</v>
      </c>
      <c r="F1203" s="10">
        <f>IFERROR(SUMIFS('Base bordo CD'!M$2:M$875,'Base bordo CD'!D$2:D$875,A1203,'Base bordo CD'!A$2:A$875,B1203,'Base bordo CD'!L$2:L$875,"MANOBRA"),0)</f>
        <v>0</v>
      </c>
      <c r="G1203" s="10">
        <f>IFERROR(SUMIFS('Base bordo CD'!M$2:M$875,'Base bordo CD'!D$2:D$875,A1203,'Base bordo CD'!A$2:A$875,B1203,'Base bordo CD'!L$2:L$875,"DESLOCAMENTO"),0)</f>
        <v>0</v>
      </c>
      <c r="H1203" s="10">
        <f>IFERROR(SUMIFS('Base bordo CD'!M$2:M$875,'Base bordo CD'!D$2:D$875,A1203,'Base bordo CD'!A$2:A$875,B1203,'Base bordo CD'!L$2:L$875,"AGUARDANDO MANOBRA DE TRANSBORDO"),0)+IFERROR(SUMIFS('Base bordo CD'!M$2:M$875,'Base bordo CD'!D$2:D$875,A1203,'Base bordo CD'!A$2:A$875,B1203,'Base bordo CD'!L$2:L$875,"FALTA DE TRANSBORDO"),0)</f>
        <v>0</v>
      </c>
      <c r="I1203" s="10">
        <f>IFERROR(SUMIFS('Base bordo CD'!M$2:M$875,'Base bordo CD'!D$2:D$875,A1203,'Base bordo CD'!A$2:A$875,B1203,'Base bordo CD'!L$2:L$875,"PARADA POR CONDICOES CLIMATICAS"),0)+IFERROR(SUMIFS('Base bordo CD'!M$2:M$875,'Base bordo CD'!D$2:D$875,A1203,'Base bordo CD'!A$2:A$875,B1203,'Base bordo CD'!L$2:L$875,"TEMPO INDETERMINADO"),0)</f>
        <v>0</v>
      </c>
      <c r="J1203" s="10">
        <f>IFERROR(SUMIFS('Base bordo CD'!M$2:M$875,'Base bordo CD'!D$2:D$875,A1203,'Base bordo CD'!A$2:A$875,B1203,'Base bordo CD'!L$2:L$875,"LIMITAÇÃO INDÚSTRIA"),0)</f>
        <v>0</v>
      </c>
      <c r="K1203" s="10">
        <f>IFERROR(SUMIFS('Base bordo CD'!M$2:M$875,'Base bordo CD'!D$2:D$875,A1203,'Base bordo CD'!A$2:A$875,B1203,'Base bordo CD'!L$2:L$875,"MAN CORRETIVA*"),0)+IFERROR(SUMIFS('Base bordo CD'!M$2:M$875,'Base bordo CD'!D$2:D$875,A1203,'Base bordo CD'!A$2:A$875,B1203,'Base bordo CD'!L$2:L$875,"AGUARDANDO MANUTENCAO*"),0)+IFERROR(SUMIFS('Base bordo CD'!M$2:M$875,'Base bordo CD'!D$2:D$875,A1203,'Base bordo CD'!A$2:A$875,B1203,'Base bordo CD'!L$2:L$875,"TROCA DE FAQUINHA"),0)+IFERROR(SUMIFS('Base bordo CD'!M$2:M$875,'Base bordo CD'!D$2:D$875,A1203,'Base bordo CD'!A$2:A$875,B1203,'Base bordo CD'!L$2:L$875,"LIMPEZA*"),0)</f>
        <v>0</v>
      </c>
      <c r="L1203" s="10">
        <f>IFERROR(SUMIFS('Base bordo CD'!M$2:M$875,'Base bordo CD'!D$2:D$875,A1203,'Base bordo CD'!A$2:A$875,B1203,'Base bordo CD'!L$2:L$875,"PATIO - RESERVA"),0)</f>
        <v>0</v>
      </c>
      <c r="M1203" s="10">
        <f>IFERROR(SUMIFS('Base bordo CD'!M$2:M$875,'Base bordo CD'!D$2:D$875,A1203,'Base bordo CD'!A$2:A$875,B1203,'Base bordo CD'!L$2:L$875,"SEM APONTAMENTO"),0)</f>
        <v>0</v>
      </c>
      <c r="N1203" s="10">
        <f>IFERROR(SUMIFS('Base bordo CD'!M$2:M$875,'Base bordo CD'!D$2:D$875,A1203,'Base bordo CD'!A$2:A$875,B1203,'Base bordo CD'!L$2:L$875,"FALTA DE CAMINHÃO"),0)+IFERROR(SUMIFS('Base bordo CD'!M$2:M$875,'Base bordo CD'!D$2:D$875,A1203,'Base bordo CD'!A$2:A$875,B1203,'Base bordo CD'!L$2:L$875,"FALTA DE COMBUSTIVEL"),0)+IFERROR(SUMIFS('Base bordo CD'!M$2:M$875,'Base bordo CD'!D$2:D$875,A1203,'Base bordo CD'!A$2:A$875,B1203,'Base bordo CD'!L$2:L$875,"FALTA DE MOTORIST*"),0)</f>
        <v>0</v>
      </c>
      <c r="O1203" s="10">
        <f t="shared" si="95"/>
        <v>0</v>
      </c>
      <c r="P1203" s="10">
        <f>IFERROR(SUMIFS('Base bordo CD'!M$2:M$875,'Base bordo CD'!D$2:D$875,A1203,'Base bordo CD'!A$2:A$875,B1203),0)</f>
        <v>0</v>
      </c>
      <c r="Q1203" s="10">
        <f>IFERROR(SUMIFS('Base bordo CD'!O$2:O$875,'Base bordo CD'!D$2:D$875,A1203,'Base bordo CD'!A$2:A$875,B1203,'Base bordo CD'!L$2:L$875,"CORTE DE CANA MECANIZADO"),0)</f>
        <v>0</v>
      </c>
      <c r="R1203" s="10">
        <f>IFERROR(SUMIFS('Base bordo CD'!Q$2:Q$875,'Base bordo CD'!D$2:D$875,A1203,'Base bordo CD'!A$2:A$875,B1203,'Base bordo CD'!L$2:L$875,"CORTE DE CANA MECANIZADO"),0)</f>
        <v>0</v>
      </c>
      <c r="S1203" s="30" t="str">
        <f t="shared" si="96"/>
        <v/>
      </c>
      <c r="T1203" s="9">
        <f t="shared" si="97"/>
        <v>0</v>
      </c>
      <c r="U1203" s="9">
        <f t="shared" si="98"/>
        <v>0</v>
      </c>
      <c r="V1203" s="9">
        <f t="shared" si="99"/>
        <v>0</v>
      </c>
    </row>
    <row r="1204" spans="1:22" x14ac:dyDescent="0.35">
      <c r="A1204" s="52">
        <v>49596</v>
      </c>
      <c r="B1204" s="31">
        <v>46117</v>
      </c>
      <c r="C1204" s="7" t="s">
        <v>337</v>
      </c>
      <c r="D1204" s="7">
        <v>353</v>
      </c>
      <c r="E1204" s="10">
        <f>IFERROR(SUMIFS('Base bordo CD'!M$2:M$875,'Base bordo CD'!D$2:D$875,A1204,'Base bordo CD'!A$2:A$875,B1204,'Base bordo CD'!L$2:L$875,"CORTE DE CANA MECANIZADO"),0)</f>
        <v>0</v>
      </c>
      <c r="F1204" s="10">
        <f>IFERROR(SUMIFS('Base bordo CD'!M$2:M$875,'Base bordo CD'!D$2:D$875,A1204,'Base bordo CD'!A$2:A$875,B1204,'Base bordo CD'!L$2:L$875,"MANOBRA"),0)</f>
        <v>0</v>
      </c>
      <c r="G1204" s="10">
        <f>IFERROR(SUMIFS('Base bordo CD'!M$2:M$875,'Base bordo CD'!D$2:D$875,A1204,'Base bordo CD'!A$2:A$875,B1204,'Base bordo CD'!L$2:L$875,"DESLOCAMENTO"),0)</f>
        <v>0</v>
      </c>
      <c r="H1204" s="10">
        <f>IFERROR(SUMIFS('Base bordo CD'!M$2:M$875,'Base bordo CD'!D$2:D$875,A1204,'Base bordo CD'!A$2:A$875,B1204,'Base bordo CD'!L$2:L$875,"AGUARDANDO MANOBRA DE TRANSBORDO"),0)+IFERROR(SUMIFS('Base bordo CD'!M$2:M$875,'Base bordo CD'!D$2:D$875,A1204,'Base bordo CD'!A$2:A$875,B1204,'Base bordo CD'!L$2:L$875,"FALTA DE TRANSBORDO"),0)</f>
        <v>0</v>
      </c>
      <c r="I1204" s="10">
        <f>IFERROR(SUMIFS('Base bordo CD'!M$2:M$875,'Base bordo CD'!D$2:D$875,A1204,'Base bordo CD'!A$2:A$875,B1204,'Base bordo CD'!L$2:L$875,"PARADA POR CONDICOES CLIMATICAS"),0)+IFERROR(SUMIFS('Base bordo CD'!M$2:M$875,'Base bordo CD'!D$2:D$875,A1204,'Base bordo CD'!A$2:A$875,B1204,'Base bordo CD'!L$2:L$875,"TEMPO INDETERMINADO"),0)</f>
        <v>0</v>
      </c>
      <c r="J1204" s="10">
        <f>IFERROR(SUMIFS('Base bordo CD'!M$2:M$875,'Base bordo CD'!D$2:D$875,A1204,'Base bordo CD'!A$2:A$875,B1204,'Base bordo CD'!L$2:L$875,"LIMITAÇÃO INDÚSTRIA"),0)</f>
        <v>0</v>
      </c>
      <c r="K1204" s="10">
        <f>IFERROR(SUMIFS('Base bordo CD'!M$2:M$875,'Base bordo CD'!D$2:D$875,A1204,'Base bordo CD'!A$2:A$875,B1204,'Base bordo CD'!L$2:L$875,"MAN CORRETIVA*"),0)+IFERROR(SUMIFS('Base bordo CD'!M$2:M$875,'Base bordo CD'!D$2:D$875,A1204,'Base bordo CD'!A$2:A$875,B1204,'Base bordo CD'!L$2:L$875,"AGUARDANDO MANUTENCAO*"),0)+IFERROR(SUMIFS('Base bordo CD'!M$2:M$875,'Base bordo CD'!D$2:D$875,A1204,'Base bordo CD'!A$2:A$875,B1204,'Base bordo CD'!L$2:L$875,"TROCA DE FAQUINHA"),0)+IFERROR(SUMIFS('Base bordo CD'!M$2:M$875,'Base bordo CD'!D$2:D$875,A1204,'Base bordo CD'!A$2:A$875,B1204,'Base bordo CD'!L$2:L$875,"LIMPEZA*"),0)</f>
        <v>0</v>
      </c>
      <c r="L1204" s="10">
        <f>IFERROR(SUMIFS('Base bordo CD'!M$2:M$875,'Base bordo CD'!D$2:D$875,A1204,'Base bordo CD'!A$2:A$875,B1204,'Base bordo CD'!L$2:L$875,"PATIO - RESERVA"),0)</f>
        <v>0</v>
      </c>
      <c r="M1204" s="10">
        <f>IFERROR(SUMIFS('Base bordo CD'!M$2:M$875,'Base bordo CD'!D$2:D$875,A1204,'Base bordo CD'!A$2:A$875,B1204,'Base bordo CD'!L$2:L$875,"SEM APONTAMENTO"),0)</f>
        <v>0</v>
      </c>
      <c r="N1204" s="10">
        <f>IFERROR(SUMIFS('Base bordo CD'!M$2:M$875,'Base bordo CD'!D$2:D$875,A1204,'Base bordo CD'!A$2:A$875,B1204,'Base bordo CD'!L$2:L$875,"FALTA DE CAMINHÃO"),0)+IFERROR(SUMIFS('Base bordo CD'!M$2:M$875,'Base bordo CD'!D$2:D$875,A1204,'Base bordo CD'!A$2:A$875,B1204,'Base bordo CD'!L$2:L$875,"FALTA DE COMBUSTIVEL"),0)+IFERROR(SUMIFS('Base bordo CD'!M$2:M$875,'Base bordo CD'!D$2:D$875,A1204,'Base bordo CD'!A$2:A$875,B1204,'Base bordo CD'!L$2:L$875,"FALTA DE MOTORIST*"),0)</f>
        <v>0</v>
      </c>
      <c r="O1204" s="10">
        <f t="shared" si="95"/>
        <v>0</v>
      </c>
      <c r="P1204" s="10">
        <f>IFERROR(SUMIFS('Base bordo CD'!M$2:M$875,'Base bordo CD'!D$2:D$875,A1204,'Base bordo CD'!A$2:A$875,B1204),0)</f>
        <v>0</v>
      </c>
      <c r="Q1204" s="10">
        <f>IFERROR(SUMIFS('Base bordo CD'!O$2:O$875,'Base bordo CD'!D$2:D$875,A1204,'Base bordo CD'!A$2:A$875,B1204,'Base bordo CD'!L$2:L$875,"CORTE DE CANA MECANIZADO"),0)</f>
        <v>0</v>
      </c>
      <c r="R1204" s="10">
        <f>IFERROR(SUMIFS('Base bordo CD'!Q$2:Q$875,'Base bordo CD'!D$2:D$875,A1204,'Base bordo CD'!A$2:A$875,B1204,'Base bordo CD'!L$2:L$875,"CORTE DE CANA MECANIZADO"),0)</f>
        <v>0</v>
      </c>
      <c r="S1204" s="30" t="str">
        <f t="shared" si="96"/>
        <v/>
      </c>
      <c r="T1204" s="9">
        <f t="shared" si="97"/>
        <v>0</v>
      </c>
      <c r="U1204" s="9">
        <f t="shared" si="98"/>
        <v>0</v>
      </c>
      <c r="V1204" s="9">
        <f t="shared" si="99"/>
        <v>0</v>
      </c>
    </row>
    <row r="1205" spans="1:22" x14ac:dyDescent="0.35">
      <c r="A1205" s="52">
        <v>49596</v>
      </c>
      <c r="B1205" s="31">
        <v>46117</v>
      </c>
      <c r="C1205" s="7" t="s">
        <v>337</v>
      </c>
      <c r="D1205" s="7">
        <v>353</v>
      </c>
      <c r="E1205" s="10">
        <f>IFERROR(SUMIFS('Base bordo CD'!M$2:M$875,'Base bordo CD'!D$2:D$875,A1205,'Base bordo CD'!A$2:A$875,B1205,'Base bordo CD'!L$2:L$875,"CORTE DE CANA MECANIZADO"),0)</f>
        <v>0</v>
      </c>
      <c r="F1205" s="10">
        <f>IFERROR(SUMIFS('Base bordo CD'!M$2:M$875,'Base bordo CD'!D$2:D$875,A1205,'Base bordo CD'!A$2:A$875,B1205,'Base bordo CD'!L$2:L$875,"MANOBRA"),0)</f>
        <v>0</v>
      </c>
      <c r="G1205" s="10">
        <f>IFERROR(SUMIFS('Base bordo CD'!M$2:M$875,'Base bordo CD'!D$2:D$875,A1205,'Base bordo CD'!A$2:A$875,B1205,'Base bordo CD'!L$2:L$875,"DESLOCAMENTO"),0)</f>
        <v>0</v>
      </c>
      <c r="H1205" s="10">
        <f>IFERROR(SUMIFS('Base bordo CD'!M$2:M$875,'Base bordo CD'!D$2:D$875,A1205,'Base bordo CD'!A$2:A$875,B1205,'Base bordo CD'!L$2:L$875,"AGUARDANDO MANOBRA DE TRANSBORDO"),0)+IFERROR(SUMIFS('Base bordo CD'!M$2:M$875,'Base bordo CD'!D$2:D$875,A1205,'Base bordo CD'!A$2:A$875,B1205,'Base bordo CD'!L$2:L$875,"FALTA DE TRANSBORDO"),0)</f>
        <v>0</v>
      </c>
      <c r="I1205" s="10">
        <f>IFERROR(SUMIFS('Base bordo CD'!M$2:M$875,'Base bordo CD'!D$2:D$875,A1205,'Base bordo CD'!A$2:A$875,B1205,'Base bordo CD'!L$2:L$875,"PARADA POR CONDICOES CLIMATICAS"),0)+IFERROR(SUMIFS('Base bordo CD'!M$2:M$875,'Base bordo CD'!D$2:D$875,A1205,'Base bordo CD'!A$2:A$875,B1205,'Base bordo CD'!L$2:L$875,"TEMPO INDETERMINADO"),0)</f>
        <v>0</v>
      </c>
      <c r="J1205" s="10">
        <f>IFERROR(SUMIFS('Base bordo CD'!M$2:M$875,'Base bordo CD'!D$2:D$875,A1205,'Base bordo CD'!A$2:A$875,B1205,'Base bordo CD'!L$2:L$875,"LIMITAÇÃO INDÚSTRIA"),0)</f>
        <v>0</v>
      </c>
      <c r="K1205" s="10">
        <f>IFERROR(SUMIFS('Base bordo CD'!M$2:M$875,'Base bordo CD'!D$2:D$875,A1205,'Base bordo CD'!A$2:A$875,B1205,'Base bordo CD'!L$2:L$875,"MAN CORRETIVA*"),0)+IFERROR(SUMIFS('Base bordo CD'!M$2:M$875,'Base bordo CD'!D$2:D$875,A1205,'Base bordo CD'!A$2:A$875,B1205,'Base bordo CD'!L$2:L$875,"AGUARDANDO MANUTENCAO*"),0)+IFERROR(SUMIFS('Base bordo CD'!M$2:M$875,'Base bordo CD'!D$2:D$875,A1205,'Base bordo CD'!A$2:A$875,B1205,'Base bordo CD'!L$2:L$875,"TROCA DE FAQUINHA"),0)+IFERROR(SUMIFS('Base bordo CD'!M$2:M$875,'Base bordo CD'!D$2:D$875,A1205,'Base bordo CD'!A$2:A$875,B1205,'Base bordo CD'!L$2:L$875,"LIMPEZA*"),0)</f>
        <v>0</v>
      </c>
      <c r="L1205" s="10">
        <f>IFERROR(SUMIFS('Base bordo CD'!M$2:M$875,'Base bordo CD'!D$2:D$875,A1205,'Base bordo CD'!A$2:A$875,B1205,'Base bordo CD'!L$2:L$875,"PATIO - RESERVA"),0)</f>
        <v>0</v>
      </c>
      <c r="M1205" s="10">
        <f>IFERROR(SUMIFS('Base bordo CD'!M$2:M$875,'Base bordo CD'!D$2:D$875,A1205,'Base bordo CD'!A$2:A$875,B1205,'Base bordo CD'!L$2:L$875,"SEM APONTAMENTO"),0)</f>
        <v>0</v>
      </c>
      <c r="N1205" s="10">
        <f>IFERROR(SUMIFS('Base bordo CD'!M$2:M$875,'Base bordo CD'!D$2:D$875,A1205,'Base bordo CD'!A$2:A$875,B1205,'Base bordo CD'!L$2:L$875,"FALTA DE CAMINHÃO"),0)+IFERROR(SUMIFS('Base bordo CD'!M$2:M$875,'Base bordo CD'!D$2:D$875,A1205,'Base bordo CD'!A$2:A$875,B1205,'Base bordo CD'!L$2:L$875,"FALTA DE COMBUSTIVEL"),0)+IFERROR(SUMIFS('Base bordo CD'!M$2:M$875,'Base bordo CD'!D$2:D$875,A1205,'Base bordo CD'!A$2:A$875,B1205,'Base bordo CD'!L$2:L$875,"FALTA DE MOTORIST*"),0)</f>
        <v>0</v>
      </c>
      <c r="O1205" s="10">
        <f t="shared" si="95"/>
        <v>0</v>
      </c>
      <c r="P1205" s="10">
        <f>IFERROR(SUMIFS('Base bordo CD'!M$2:M$875,'Base bordo CD'!D$2:D$875,A1205,'Base bordo CD'!A$2:A$875,B1205),0)</f>
        <v>0</v>
      </c>
      <c r="Q1205" s="10">
        <f>IFERROR(SUMIFS('Base bordo CD'!O$2:O$875,'Base bordo CD'!D$2:D$875,A1205,'Base bordo CD'!A$2:A$875,B1205,'Base bordo CD'!L$2:L$875,"CORTE DE CANA MECANIZADO"),0)</f>
        <v>0</v>
      </c>
      <c r="R1205" s="10">
        <f>IFERROR(SUMIFS('Base bordo CD'!Q$2:Q$875,'Base bordo CD'!D$2:D$875,A1205,'Base bordo CD'!A$2:A$875,B1205,'Base bordo CD'!L$2:L$875,"CORTE DE CANA MECANIZADO"),0)</f>
        <v>0</v>
      </c>
      <c r="S1205" s="30" t="str">
        <f t="shared" si="96"/>
        <v/>
      </c>
      <c r="T1205" s="9">
        <f t="shared" si="97"/>
        <v>0</v>
      </c>
      <c r="U1205" s="9">
        <f t="shared" si="98"/>
        <v>0</v>
      </c>
      <c r="V1205" s="9">
        <f t="shared" si="99"/>
        <v>0</v>
      </c>
    </row>
    <row r="1206" spans="1:22" x14ac:dyDescent="0.35">
      <c r="A1206" s="52">
        <v>49596</v>
      </c>
      <c r="B1206" s="31">
        <v>46117</v>
      </c>
      <c r="C1206" s="7" t="s">
        <v>337</v>
      </c>
      <c r="D1206" s="7">
        <v>353</v>
      </c>
      <c r="E1206" s="10">
        <f>IFERROR(SUMIFS('Base bordo CD'!M$2:M$875,'Base bordo CD'!D$2:D$875,A1206,'Base bordo CD'!A$2:A$875,B1206,'Base bordo CD'!L$2:L$875,"CORTE DE CANA MECANIZADO"),0)</f>
        <v>0</v>
      </c>
      <c r="F1206" s="10">
        <f>IFERROR(SUMIFS('Base bordo CD'!M$2:M$875,'Base bordo CD'!D$2:D$875,A1206,'Base bordo CD'!A$2:A$875,B1206,'Base bordo CD'!L$2:L$875,"MANOBRA"),0)</f>
        <v>0</v>
      </c>
      <c r="G1206" s="10">
        <f>IFERROR(SUMIFS('Base bordo CD'!M$2:M$875,'Base bordo CD'!D$2:D$875,A1206,'Base bordo CD'!A$2:A$875,B1206,'Base bordo CD'!L$2:L$875,"DESLOCAMENTO"),0)</f>
        <v>0</v>
      </c>
      <c r="H1206" s="10">
        <f>IFERROR(SUMIFS('Base bordo CD'!M$2:M$875,'Base bordo CD'!D$2:D$875,A1206,'Base bordo CD'!A$2:A$875,B1206,'Base bordo CD'!L$2:L$875,"AGUARDANDO MANOBRA DE TRANSBORDO"),0)+IFERROR(SUMIFS('Base bordo CD'!M$2:M$875,'Base bordo CD'!D$2:D$875,A1206,'Base bordo CD'!A$2:A$875,B1206,'Base bordo CD'!L$2:L$875,"FALTA DE TRANSBORDO"),0)</f>
        <v>0</v>
      </c>
      <c r="I1206" s="10">
        <f>IFERROR(SUMIFS('Base bordo CD'!M$2:M$875,'Base bordo CD'!D$2:D$875,A1206,'Base bordo CD'!A$2:A$875,B1206,'Base bordo CD'!L$2:L$875,"PARADA POR CONDICOES CLIMATICAS"),0)+IFERROR(SUMIFS('Base bordo CD'!M$2:M$875,'Base bordo CD'!D$2:D$875,A1206,'Base bordo CD'!A$2:A$875,B1206,'Base bordo CD'!L$2:L$875,"TEMPO INDETERMINADO"),0)</f>
        <v>0</v>
      </c>
      <c r="J1206" s="10">
        <f>IFERROR(SUMIFS('Base bordo CD'!M$2:M$875,'Base bordo CD'!D$2:D$875,A1206,'Base bordo CD'!A$2:A$875,B1206,'Base bordo CD'!L$2:L$875,"LIMITAÇÃO INDÚSTRIA"),0)</f>
        <v>0</v>
      </c>
      <c r="K1206" s="10">
        <f>IFERROR(SUMIFS('Base bordo CD'!M$2:M$875,'Base bordo CD'!D$2:D$875,A1206,'Base bordo CD'!A$2:A$875,B1206,'Base bordo CD'!L$2:L$875,"MAN CORRETIVA*"),0)+IFERROR(SUMIFS('Base bordo CD'!M$2:M$875,'Base bordo CD'!D$2:D$875,A1206,'Base bordo CD'!A$2:A$875,B1206,'Base bordo CD'!L$2:L$875,"AGUARDANDO MANUTENCAO*"),0)+IFERROR(SUMIFS('Base bordo CD'!M$2:M$875,'Base bordo CD'!D$2:D$875,A1206,'Base bordo CD'!A$2:A$875,B1206,'Base bordo CD'!L$2:L$875,"TROCA DE FAQUINHA"),0)+IFERROR(SUMIFS('Base bordo CD'!M$2:M$875,'Base bordo CD'!D$2:D$875,A1206,'Base bordo CD'!A$2:A$875,B1206,'Base bordo CD'!L$2:L$875,"LIMPEZA*"),0)</f>
        <v>0</v>
      </c>
      <c r="L1206" s="10">
        <f>IFERROR(SUMIFS('Base bordo CD'!M$2:M$875,'Base bordo CD'!D$2:D$875,A1206,'Base bordo CD'!A$2:A$875,B1206,'Base bordo CD'!L$2:L$875,"PATIO - RESERVA"),0)</f>
        <v>0</v>
      </c>
      <c r="M1206" s="10">
        <f>IFERROR(SUMIFS('Base bordo CD'!M$2:M$875,'Base bordo CD'!D$2:D$875,A1206,'Base bordo CD'!A$2:A$875,B1206,'Base bordo CD'!L$2:L$875,"SEM APONTAMENTO"),0)</f>
        <v>0</v>
      </c>
      <c r="N1206" s="10">
        <f>IFERROR(SUMIFS('Base bordo CD'!M$2:M$875,'Base bordo CD'!D$2:D$875,A1206,'Base bordo CD'!A$2:A$875,B1206,'Base bordo CD'!L$2:L$875,"FALTA DE CAMINHÃO"),0)+IFERROR(SUMIFS('Base bordo CD'!M$2:M$875,'Base bordo CD'!D$2:D$875,A1206,'Base bordo CD'!A$2:A$875,B1206,'Base bordo CD'!L$2:L$875,"FALTA DE COMBUSTIVEL"),0)+IFERROR(SUMIFS('Base bordo CD'!M$2:M$875,'Base bordo CD'!D$2:D$875,A1206,'Base bordo CD'!A$2:A$875,B1206,'Base bordo CD'!L$2:L$875,"FALTA DE MOTORIST*"),0)</f>
        <v>0</v>
      </c>
      <c r="O1206" s="10">
        <f t="shared" si="95"/>
        <v>0</v>
      </c>
      <c r="P1206" s="10">
        <f>IFERROR(SUMIFS('Base bordo CD'!M$2:M$875,'Base bordo CD'!D$2:D$875,A1206,'Base bordo CD'!A$2:A$875,B1206),0)</f>
        <v>0</v>
      </c>
      <c r="Q1206" s="10">
        <f>IFERROR(SUMIFS('Base bordo CD'!O$2:O$875,'Base bordo CD'!D$2:D$875,A1206,'Base bordo CD'!A$2:A$875,B1206,'Base bordo CD'!L$2:L$875,"CORTE DE CANA MECANIZADO"),0)</f>
        <v>0</v>
      </c>
      <c r="R1206" s="10">
        <f>IFERROR(SUMIFS('Base bordo CD'!Q$2:Q$875,'Base bordo CD'!D$2:D$875,A1206,'Base bordo CD'!A$2:A$875,B1206,'Base bordo CD'!L$2:L$875,"CORTE DE CANA MECANIZADO"),0)</f>
        <v>0</v>
      </c>
      <c r="S1206" s="30" t="str">
        <f t="shared" si="96"/>
        <v/>
      </c>
      <c r="T1206" s="9">
        <f t="shared" si="97"/>
        <v>0</v>
      </c>
      <c r="U1206" s="9">
        <f t="shared" si="98"/>
        <v>0</v>
      </c>
      <c r="V1206" s="9">
        <f t="shared" si="99"/>
        <v>0</v>
      </c>
    </row>
    <row r="1207" spans="1:22" x14ac:dyDescent="0.35">
      <c r="A1207" s="52">
        <v>49596</v>
      </c>
      <c r="B1207" s="31">
        <v>46117</v>
      </c>
      <c r="C1207" s="7" t="s">
        <v>337</v>
      </c>
      <c r="D1207" s="7">
        <v>353</v>
      </c>
      <c r="E1207" s="10">
        <f>IFERROR(SUMIFS('Base bordo CD'!M$2:M$875,'Base bordo CD'!D$2:D$875,A1207,'Base bordo CD'!A$2:A$875,B1207,'Base bordo CD'!L$2:L$875,"CORTE DE CANA MECANIZADO"),0)</f>
        <v>0</v>
      </c>
      <c r="F1207" s="10">
        <f>IFERROR(SUMIFS('Base bordo CD'!M$2:M$875,'Base bordo CD'!D$2:D$875,A1207,'Base bordo CD'!A$2:A$875,B1207,'Base bordo CD'!L$2:L$875,"MANOBRA"),0)</f>
        <v>0</v>
      </c>
      <c r="G1207" s="10">
        <f>IFERROR(SUMIFS('Base bordo CD'!M$2:M$875,'Base bordo CD'!D$2:D$875,A1207,'Base bordo CD'!A$2:A$875,B1207,'Base bordo CD'!L$2:L$875,"DESLOCAMENTO"),0)</f>
        <v>0</v>
      </c>
      <c r="H1207" s="10">
        <f>IFERROR(SUMIFS('Base bordo CD'!M$2:M$875,'Base bordo CD'!D$2:D$875,A1207,'Base bordo CD'!A$2:A$875,B1207,'Base bordo CD'!L$2:L$875,"AGUARDANDO MANOBRA DE TRANSBORDO"),0)+IFERROR(SUMIFS('Base bordo CD'!M$2:M$875,'Base bordo CD'!D$2:D$875,A1207,'Base bordo CD'!A$2:A$875,B1207,'Base bordo CD'!L$2:L$875,"FALTA DE TRANSBORDO"),0)</f>
        <v>0</v>
      </c>
      <c r="I1207" s="10">
        <f>IFERROR(SUMIFS('Base bordo CD'!M$2:M$875,'Base bordo CD'!D$2:D$875,A1207,'Base bordo CD'!A$2:A$875,B1207,'Base bordo CD'!L$2:L$875,"PARADA POR CONDICOES CLIMATICAS"),0)+IFERROR(SUMIFS('Base bordo CD'!M$2:M$875,'Base bordo CD'!D$2:D$875,A1207,'Base bordo CD'!A$2:A$875,B1207,'Base bordo CD'!L$2:L$875,"TEMPO INDETERMINADO"),0)</f>
        <v>0</v>
      </c>
      <c r="J1207" s="10">
        <f>IFERROR(SUMIFS('Base bordo CD'!M$2:M$875,'Base bordo CD'!D$2:D$875,A1207,'Base bordo CD'!A$2:A$875,B1207,'Base bordo CD'!L$2:L$875,"LIMITAÇÃO INDÚSTRIA"),0)</f>
        <v>0</v>
      </c>
      <c r="K1207" s="10">
        <f>IFERROR(SUMIFS('Base bordo CD'!M$2:M$875,'Base bordo CD'!D$2:D$875,A1207,'Base bordo CD'!A$2:A$875,B1207,'Base bordo CD'!L$2:L$875,"MAN CORRETIVA*"),0)+IFERROR(SUMIFS('Base bordo CD'!M$2:M$875,'Base bordo CD'!D$2:D$875,A1207,'Base bordo CD'!A$2:A$875,B1207,'Base bordo CD'!L$2:L$875,"AGUARDANDO MANUTENCAO*"),0)+IFERROR(SUMIFS('Base bordo CD'!M$2:M$875,'Base bordo CD'!D$2:D$875,A1207,'Base bordo CD'!A$2:A$875,B1207,'Base bordo CD'!L$2:L$875,"TROCA DE FAQUINHA"),0)+IFERROR(SUMIFS('Base bordo CD'!M$2:M$875,'Base bordo CD'!D$2:D$875,A1207,'Base bordo CD'!A$2:A$875,B1207,'Base bordo CD'!L$2:L$875,"LIMPEZA*"),0)</f>
        <v>0</v>
      </c>
      <c r="L1207" s="10">
        <f>IFERROR(SUMIFS('Base bordo CD'!M$2:M$875,'Base bordo CD'!D$2:D$875,A1207,'Base bordo CD'!A$2:A$875,B1207,'Base bordo CD'!L$2:L$875,"PATIO - RESERVA"),0)</f>
        <v>0</v>
      </c>
      <c r="M1207" s="10">
        <f>IFERROR(SUMIFS('Base bordo CD'!M$2:M$875,'Base bordo CD'!D$2:D$875,A1207,'Base bordo CD'!A$2:A$875,B1207,'Base bordo CD'!L$2:L$875,"SEM APONTAMENTO"),0)</f>
        <v>0</v>
      </c>
      <c r="N1207" s="10">
        <f>IFERROR(SUMIFS('Base bordo CD'!M$2:M$875,'Base bordo CD'!D$2:D$875,A1207,'Base bordo CD'!A$2:A$875,B1207,'Base bordo CD'!L$2:L$875,"FALTA DE CAMINHÃO"),0)+IFERROR(SUMIFS('Base bordo CD'!M$2:M$875,'Base bordo CD'!D$2:D$875,A1207,'Base bordo CD'!A$2:A$875,B1207,'Base bordo CD'!L$2:L$875,"FALTA DE COMBUSTIVEL"),0)+IFERROR(SUMIFS('Base bordo CD'!M$2:M$875,'Base bordo CD'!D$2:D$875,A1207,'Base bordo CD'!A$2:A$875,B1207,'Base bordo CD'!L$2:L$875,"FALTA DE MOTORIST*"),0)</f>
        <v>0</v>
      </c>
      <c r="O1207" s="10">
        <f t="shared" si="95"/>
        <v>0</v>
      </c>
      <c r="P1207" s="10">
        <f>IFERROR(SUMIFS('Base bordo CD'!M$2:M$875,'Base bordo CD'!D$2:D$875,A1207,'Base bordo CD'!A$2:A$875,B1207),0)</f>
        <v>0</v>
      </c>
      <c r="Q1207" s="10">
        <f>IFERROR(SUMIFS('Base bordo CD'!O$2:O$875,'Base bordo CD'!D$2:D$875,A1207,'Base bordo CD'!A$2:A$875,B1207,'Base bordo CD'!L$2:L$875,"CORTE DE CANA MECANIZADO"),0)</f>
        <v>0</v>
      </c>
      <c r="R1207" s="10">
        <f>IFERROR(SUMIFS('Base bordo CD'!Q$2:Q$875,'Base bordo CD'!D$2:D$875,A1207,'Base bordo CD'!A$2:A$875,B1207,'Base bordo CD'!L$2:L$875,"CORTE DE CANA MECANIZADO"),0)</f>
        <v>0</v>
      </c>
      <c r="S1207" s="30" t="str">
        <f t="shared" si="96"/>
        <v/>
      </c>
      <c r="T1207" s="9">
        <f t="shared" si="97"/>
        <v>0</v>
      </c>
      <c r="U1207" s="9">
        <f t="shared" si="98"/>
        <v>0</v>
      </c>
      <c r="V1207" s="9">
        <f t="shared" si="99"/>
        <v>0</v>
      </c>
    </row>
    <row r="1208" spans="1:22" x14ac:dyDescent="0.35">
      <c r="A1208" s="52">
        <v>49596</v>
      </c>
      <c r="B1208" s="31">
        <v>46117</v>
      </c>
      <c r="C1208" s="7" t="s">
        <v>337</v>
      </c>
      <c r="D1208" s="7">
        <v>353</v>
      </c>
      <c r="E1208" s="10">
        <f>IFERROR(SUMIFS('Base bordo CD'!M$2:M$875,'Base bordo CD'!D$2:D$875,A1208,'Base bordo CD'!A$2:A$875,B1208,'Base bordo CD'!L$2:L$875,"CORTE DE CANA MECANIZADO"),0)</f>
        <v>0</v>
      </c>
      <c r="F1208" s="10">
        <f>IFERROR(SUMIFS('Base bordo CD'!M$2:M$875,'Base bordo CD'!D$2:D$875,A1208,'Base bordo CD'!A$2:A$875,B1208,'Base bordo CD'!L$2:L$875,"MANOBRA"),0)</f>
        <v>0</v>
      </c>
      <c r="G1208" s="10">
        <f>IFERROR(SUMIFS('Base bordo CD'!M$2:M$875,'Base bordo CD'!D$2:D$875,A1208,'Base bordo CD'!A$2:A$875,B1208,'Base bordo CD'!L$2:L$875,"DESLOCAMENTO"),0)</f>
        <v>0</v>
      </c>
      <c r="H1208" s="10">
        <f>IFERROR(SUMIFS('Base bordo CD'!M$2:M$875,'Base bordo CD'!D$2:D$875,A1208,'Base bordo CD'!A$2:A$875,B1208,'Base bordo CD'!L$2:L$875,"AGUARDANDO MANOBRA DE TRANSBORDO"),0)+IFERROR(SUMIFS('Base bordo CD'!M$2:M$875,'Base bordo CD'!D$2:D$875,A1208,'Base bordo CD'!A$2:A$875,B1208,'Base bordo CD'!L$2:L$875,"FALTA DE TRANSBORDO"),0)</f>
        <v>0</v>
      </c>
      <c r="I1208" s="10">
        <f>IFERROR(SUMIFS('Base bordo CD'!M$2:M$875,'Base bordo CD'!D$2:D$875,A1208,'Base bordo CD'!A$2:A$875,B1208,'Base bordo CD'!L$2:L$875,"PARADA POR CONDICOES CLIMATICAS"),0)+IFERROR(SUMIFS('Base bordo CD'!M$2:M$875,'Base bordo CD'!D$2:D$875,A1208,'Base bordo CD'!A$2:A$875,B1208,'Base bordo CD'!L$2:L$875,"TEMPO INDETERMINADO"),0)</f>
        <v>0</v>
      </c>
      <c r="J1208" s="10">
        <f>IFERROR(SUMIFS('Base bordo CD'!M$2:M$875,'Base bordo CD'!D$2:D$875,A1208,'Base bordo CD'!A$2:A$875,B1208,'Base bordo CD'!L$2:L$875,"LIMITAÇÃO INDÚSTRIA"),0)</f>
        <v>0</v>
      </c>
      <c r="K1208" s="10">
        <f>IFERROR(SUMIFS('Base bordo CD'!M$2:M$875,'Base bordo CD'!D$2:D$875,A1208,'Base bordo CD'!A$2:A$875,B1208,'Base bordo CD'!L$2:L$875,"MAN CORRETIVA*"),0)+IFERROR(SUMIFS('Base bordo CD'!M$2:M$875,'Base bordo CD'!D$2:D$875,A1208,'Base bordo CD'!A$2:A$875,B1208,'Base bordo CD'!L$2:L$875,"AGUARDANDO MANUTENCAO*"),0)+IFERROR(SUMIFS('Base bordo CD'!M$2:M$875,'Base bordo CD'!D$2:D$875,A1208,'Base bordo CD'!A$2:A$875,B1208,'Base bordo CD'!L$2:L$875,"TROCA DE FAQUINHA"),0)+IFERROR(SUMIFS('Base bordo CD'!M$2:M$875,'Base bordo CD'!D$2:D$875,A1208,'Base bordo CD'!A$2:A$875,B1208,'Base bordo CD'!L$2:L$875,"LIMPEZA*"),0)</f>
        <v>0</v>
      </c>
      <c r="L1208" s="10">
        <f>IFERROR(SUMIFS('Base bordo CD'!M$2:M$875,'Base bordo CD'!D$2:D$875,A1208,'Base bordo CD'!A$2:A$875,B1208,'Base bordo CD'!L$2:L$875,"PATIO - RESERVA"),0)</f>
        <v>0</v>
      </c>
      <c r="M1208" s="10">
        <f>IFERROR(SUMIFS('Base bordo CD'!M$2:M$875,'Base bordo CD'!D$2:D$875,A1208,'Base bordo CD'!A$2:A$875,B1208,'Base bordo CD'!L$2:L$875,"SEM APONTAMENTO"),0)</f>
        <v>0</v>
      </c>
      <c r="N1208" s="10">
        <f>IFERROR(SUMIFS('Base bordo CD'!M$2:M$875,'Base bordo CD'!D$2:D$875,A1208,'Base bordo CD'!A$2:A$875,B1208,'Base bordo CD'!L$2:L$875,"FALTA DE CAMINHÃO"),0)+IFERROR(SUMIFS('Base bordo CD'!M$2:M$875,'Base bordo CD'!D$2:D$875,A1208,'Base bordo CD'!A$2:A$875,B1208,'Base bordo CD'!L$2:L$875,"FALTA DE COMBUSTIVEL"),0)+IFERROR(SUMIFS('Base bordo CD'!M$2:M$875,'Base bordo CD'!D$2:D$875,A1208,'Base bordo CD'!A$2:A$875,B1208,'Base bordo CD'!L$2:L$875,"FALTA DE MOTORIST*"),0)</f>
        <v>0</v>
      </c>
      <c r="O1208" s="10">
        <f t="shared" si="95"/>
        <v>0</v>
      </c>
      <c r="P1208" s="10">
        <f>IFERROR(SUMIFS('Base bordo CD'!M$2:M$875,'Base bordo CD'!D$2:D$875,A1208,'Base bordo CD'!A$2:A$875,B1208),0)</f>
        <v>0</v>
      </c>
      <c r="Q1208" s="10">
        <f>IFERROR(SUMIFS('Base bordo CD'!O$2:O$875,'Base bordo CD'!D$2:D$875,A1208,'Base bordo CD'!A$2:A$875,B1208,'Base bordo CD'!L$2:L$875,"CORTE DE CANA MECANIZADO"),0)</f>
        <v>0</v>
      </c>
      <c r="R1208" s="10">
        <f>IFERROR(SUMIFS('Base bordo CD'!Q$2:Q$875,'Base bordo CD'!D$2:D$875,A1208,'Base bordo CD'!A$2:A$875,B1208,'Base bordo CD'!L$2:L$875,"CORTE DE CANA MECANIZADO"),0)</f>
        <v>0</v>
      </c>
      <c r="S1208" s="30" t="str">
        <f t="shared" si="96"/>
        <v/>
      </c>
      <c r="T1208" s="9">
        <f t="shared" si="97"/>
        <v>0</v>
      </c>
      <c r="U1208" s="9">
        <f t="shared" si="98"/>
        <v>0</v>
      </c>
      <c r="V1208" s="9">
        <f t="shared" si="99"/>
        <v>0</v>
      </c>
    </row>
    <row r="1209" spans="1:22" hidden="1" x14ac:dyDescent="0.35">
      <c r="A1209" s="52">
        <v>49584</v>
      </c>
      <c r="B1209" s="31">
        <v>46116</v>
      </c>
      <c r="C1209" s="7" t="s">
        <v>321</v>
      </c>
      <c r="D1209" s="7">
        <v>351</v>
      </c>
      <c r="E1209" s="10">
        <f>IFERROR(SUMIFS('Base bordo CD'!M$2:M$875,'Base bordo CD'!D$2:D$875,A1209,'Base bordo CD'!A$2:A$875,B1209,'Base bordo CD'!L$2:L$875,"CORTE DE CANA MECANIZADO"),0)</f>
        <v>0</v>
      </c>
      <c r="F1209" s="10">
        <f>IFERROR(SUMIFS('Base bordo CD'!M$2:M$875,'Base bordo CD'!D$2:D$875,A1209,'Base bordo CD'!A$2:A$875,B1209,'Base bordo CD'!L$2:L$875,"MANOBRA"),0)</f>
        <v>0</v>
      </c>
      <c r="G1209" s="10">
        <f>IFERROR(SUMIFS('Base bordo CD'!M$2:M$875,'Base bordo CD'!D$2:D$875,A1209,'Base bordo CD'!A$2:A$875,B1209,'Base bordo CD'!L$2:L$875,"DESLOCAMENTO"),0)</f>
        <v>0</v>
      </c>
      <c r="H1209" s="10">
        <f>IFERROR(SUMIFS('Base bordo CD'!M$2:M$875,'Base bordo CD'!D$2:D$875,A1209,'Base bordo CD'!A$2:A$875,B1209,'Base bordo CD'!L$2:L$875,"AGUARDANDO MANOBRA DE TRANSBORDO"),0)+IFERROR(SUMIFS('Base bordo CD'!M$2:M$875,'Base bordo CD'!D$2:D$875,A1209,'Base bordo CD'!A$2:A$875,B1209,'Base bordo CD'!L$2:L$875,"FALTA DE TRANSBORDO"),0)</f>
        <v>0</v>
      </c>
      <c r="I1209" s="10">
        <f>IFERROR(SUMIFS('Base bordo CD'!M$2:M$875,'Base bordo CD'!D$2:D$875,A1209,'Base bordo CD'!A$2:A$875,B1209,'Base bordo CD'!L$2:L$875,"PARADA POR CONDICOES CLIMATICAS"),0)+IFERROR(SUMIFS('Base bordo CD'!M$2:M$875,'Base bordo CD'!D$2:D$875,A1209,'Base bordo CD'!A$2:A$875,B1209,'Base bordo CD'!L$2:L$875,"TEMPO INDETERMINADO"),0)</f>
        <v>0</v>
      </c>
      <c r="J1209" s="10">
        <f>IFERROR(SUMIFS('Base bordo CD'!M$2:M$875,'Base bordo CD'!D$2:D$875,A1209,'Base bordo CD'!A$2:A$875,B1209,'Base bordo CD'!L$2:L$875,"LIMITAÇÃO INDÚSTRIA"),0)</f>
        <v>0</v>
      </c>
      <c r="K1209" s="10">
        <f>IFERROR(SUMIFS('Base bordo CD'!M$2:M$875,'Base bordo CD'!D$2:D$875,A1209,'Base bordo CD'!A$2:A$875,B1209,'Base bordo CD'!L$2:L$875,"MAN CORRETIVA*"),0)+IFERROR(SUMIFS('Base bordo CD'!M$2:M$875,'Base bordo CD'!D$2:D$875,A1209,'Base bordo CD'!A$2:A$875,B1209,'Base bordo CD'!L$2:L$875,"AGUARDANDO MANUTENCAO*"),0)+IFERROR(SUMIFS('Base bordo CD'!M$2:M$875,'Base bordo CD'!D$2:D$875,A1209,'Base bordo CD'!A$2:A$875,B1209,'Base bordo CD'!L$2:L$875,"TROCA DE FAQUINHA"),0)+IFERROR(SUMIFS('Base bordo CD'!M$2:M$875,'Base bordo CD'!D$2:D$875,A1209,'Base bordo CD'!A$2:A$875,B1209,'Base bordo CD'!L$2:L$875,"LIMPEZA*"),0)</f>
        <v>0</v>
      </c>
      <c r="L1209" s="10">
        <f>IFERROR(SUMIFS('Base bordo CD'!M$2:M$875,'Base bordo CD'!D$2:D$875,A1209,'Base bordo CD'!A$2:A$875,B1209,'Base bordo CD'!L$2:L$875,"PATIO - RESERVA"),0)</f>
        <v>0</v>
      </c>
      <c r="M1209" s="10">
        <f>IFERROR(SUMIFS('Base bordo CD'!M$2:M$875,'Base bordo CD'!D$2:D$875,A1209,'Base bordo CD'!A$2:A$875,B1209,'Base bordo CD'!L$2:L$875,"SEM APONTAMENTO"),0)</f>
        <v>0</v>
      </c>
      <c r="N1209" s="10">
        <f>IFERROR(SUMIFS('Base bordo CD'!M$2:M$875,'Base bordo CD'!D$2:D$875,A1209,'Base bordo CD'!A$2:A$875,B1209,'Base bordo CD'!L$2:L$875,"FALTA DE CAMINHÃO"),0)+IFERROR(SUMIFS('Base bordo CD'!M$2:M$875,'Base bordo CD'!D$2:D$875,A1209,'Base bordo CD'!A$2:A$875,B1209,'Base bordo CD'!L$2:L$875,"FALTA DE COMBUSTIVEL"),0)+IFERROR(SUMIFS('Base bordo CD'!M$2:M$875,'Base bordo CD'!D$2:D$875,A1209,'Base bordo CD'!A$2:A$875,B1209,'Base bordo CD'!L$2:L$875,"FALTA DE MOTORIST*"),0)</f>
        <v>0</v>
      </c>
      <c r="O1209" s="10">
        <f t="shared" si="95"/>
        <v>0</v>
      </c>
      <c r="P1209" s="10">
        <f>IFERROR(SUMIFS('Base bordo CD'!M$2:M$875,'Base bordo CD'!D$2:D$875,A1209,'Base bordo CD'!A$2:A$875,B1209),0)</f>
        <v>0</v>
      </c>
      <c r="Q1209" s="10">
        <f>IFERROR(SUMIFS('Base bordo CD'!O$2:O$875,'Base bordo CD'!D$2:D$875,A1209,'Base bordo CD'!A$2:A$875,B1209,'Base bordo CD'!L$2:L$875,"CORTE DE CANA MECANIZADO"),0)</f>
        <v>0</v>
      </c>
      <c r="R1209" s="10">
        <f>IFERROR(SUMIFS('Base bordo CD'!Q$2:Q$875,'Base bordo CD'!D$2:D$875,A1209,'Base bordo CD'!A$2:A$875,B1209,'Base bordo CD'!L$2:L$875,"CORTE DE CANA MECANIZADO"),0)</f>
        <v>0</v>
      </c>
      <c r="S1209" s="30" t="str">
        <f t="shared" si="96"/>
        <v/>
      </c>
      <c r="T1209" s="9">
        <f t="shared" si="97"/>
        <v>0</v>
      </c>
      <c r="U1209" s="9">
        <f t="shared" si="98"/>
        <v>0</v>
      </c>
      <c r="V1209" s="9">
        <f t="shared" si="99"/>
        <v>0</v>
      </c>
    </row>
    <row r="1210" spans="1:22" x14ac:dyDescent="0.35">
      <c r="A1210" s="52">
        <v>49587</v>
      </c>
      <c r="B1210" s="31">
        <v>46116</v>
      </c>
      <c r="C1210" s="7" t="s">
        <v>337</v>
      </c>
      <c r="D1210" s="7">
        <v>353</v>
      </c>
      <c r="E1210" s="10">
        <f>IFERROR(SUMIFS('Base bordo CD'!M$2:M$875,'Base bordo CD'!D$2:D$875,A1210,'Base bordo CD'!A$2:A$875,B1210,'Base bordo CD'!L$2:L$875,"CORTE DE CANA MECANIZADO"),0)</f>
        <v>0</v>
      </c>
      <c r="F1210" s="10">
        <f>IFERROR(SUMIFS('Base bordo CD'!M$2:M$875,'Base bordo CD'!D$2:D$875,A1210,'Base bordo CD'!A$2:A$875,B1210,'Base bordo CD'!L$2:L$875,"MANOBRA"),0)</f>
        <v>0</v>
      </c>
      <c r="G1210" s="10">
        <f>IFERROR(SUMIFS('Base bordo CD'!M$2:M$875,'Base bordo CD'!D$2:D$875,A1210,'Base bordo CD'!A$2:A$875,B1210,'Base bordo CD'!L$2:L$875,"DESLOCAMENTO"),0)</f>
        <v>0</v>
      </c>
      <c r="H1210" s="10">
        <f>IFERROR(SUMIFS('Base bordo CD'!M$2:M$875,'Base bordo CD'!D$2:D$875,A1210,'Base bordo CD'!A$2:A$875,B1210,'Base bordo CD'!L$2:L$875,"AGUARDANDO MANOBRA DE TRANSBORDO"),0)+IFERROR(SUMIFS('Base bordo CD'!M$2:M$875,'Base bordo CD'!D$2:D$875,A1210,'Base bordo CD'!A$2:A$875,B1210,'Base bordo CD'!L$2:L$875,"FALTA DE TRANSBORDO"),0)</f>
        <v>0</v>
      </c>
      <c r="I1210" s="10">
        <f>IFERROR(SUMIFS('Base bordo CD'!M$2:M$875,'Base bordo CD'!D$2:D$875,A1210,'Base bordo CD'!A$2:A$875,B1210,'Base bordo CD'!L$2:L$875,"PARADA POR CONDICOES CLIMATICAS"),0)+IFERROR(SUMIFS('Base bordo CD'!M$2:M$875,'Base bordo CD'!D$2:D$875,A1210,'Base bordo CD'!A$2:A$875,B1210,'Base bordo CD'!L$2:L$875,"TEMPO INDETERMINADO"),0)</f>
        <v>0</v>
      </c>
      <c r="J1210" s="10">
        <f>IFERROR(SUMIFS('Base bordo CD'!M$2:M$875,'Base bordo CD'!D$2:D$875,A1210,'Base bordo CD'!A$2:A$875,B1210,'Base bordo CD'!L$2:L$875,"LIMITAÇÃO INDÚSTRIA"),0)</f>
        <v>0</v>
      </c>
      <c r="K1210" s="10">
        <f>IFERROR(SUMIFS('Base bordo CD'!M$2:M$875,'Base bordo CD'!D$2:D$875,A1210,'Base bordo CD'!A$2:A$875,B1210,'Base bordo CD'!L$2:L$875,"MAN CORRETIVA*"),0)+IFERROR(SUMIFS('Base bordo CD'!M$2:M$875,'Base bordo CD'!D$2:D$875,A1210,'Base bordo CD'!A$2:A$875,B1210,'Base bordo CD'!L$2:L$875,"AGUARDANDO MANUTENCAO*"),0)+IFERROR(SUMIFS('Base bordo CD'!M$2:M$875,'Base bordo CD'!D$2:D$875,A1210,'Base bordo CD'!A$2:A$875,B1210,'Base bordo CD'!L$2:L$875,"TROCA DE FAQUINHA"),0)+IFERROR(SUMIFS('Base bordo CD'!M$2:M$875,'Base bordo CD'!D$2:D$875,A1210,'Base bordo CD'!A$2:A$875,B1210,'Base bordo CD'!L$2:L$875,"LIMPEZA*"),0)</f>
        <v>0</v>
      </c>
      <c r="L1210" s="10">
        <f>IFERROR(SUMIFS('Base bordo CD'!M$2:M$875,'Base bordo CD'!D$2:D$875,A1210,'Base bordo CD'!A$2:A$875,B1210,'Base bordo CD'!L$2:L$875,"PATIO - RESERVA"),0)</f>
        <v>0</v>
      </c>
      <c r="M1210" s="10">
        <f>IFERROR(SUMIFS('Base bordo CD'!M$2:M$875,'Base bordo CD'!D$2:D$875,A1210,'Base bordo CD'!A$2:A$875,B1210,'Base bordo CD'!L$2:L$875,"SEM APONTAMENTO"),0)</f>
        <v>0</v>
      </c>
      <c r="N1210" s="10">
        <f>IFERROR(SUMIFS('Base bordo CD'!M$2:M$875,'Base bordo CD'!D$2:D$875,A1210,'Base bordo CD'!A$2:A$875,B1210,'Base bordo CD'!L$2:L$875,"FALTA DE CAMINHÃO"),0)+IFERROR(SUMIFS('Base bordo CD'!M$2:M$875,'Base bordo CD'!D$2:D$875,A1210,'Base bordo CD'!A$2:A$875,B1210,'Base bordo CD'!L$2:L$875,"FALTA DE COMBUSTIVEL"),0)+IFERROR(SUMIFS('Base bordo CD'!M$2:M$875,'Base bordo CD'!D$2:D$875,A1210,'Base bordo CD'!A$2:A$875,B1210,'Base bordo CD'!L$2:L$875,"FALTA DE MOTORIST*"),0)</f>
        <v>0</v>
      </c>
      <c r="O1210" s="10">
        <f t="shared" si="95"/>
        <v>0</v>
      </c>
      <c r="P1210" s="10">
        <f>IFERROR(SUMIFS('Base bordo CD'!M$2:M$875,'Base bordo CD'!D$2:D$875,A1210,'Base bordo CD'!A$2:A$875,B1210),0)</f>
        <v>0</v>
      </c>
      <c r="Q1210" s="10">
        <f>IFERROR(SUMIFS('Base bordo CD'!O$2:O$875,'Base bordo CD'!D$2:D$875,A1210,'Base bordo CD'!A$2:A$875,B1210,'Base bordo CD'!L$2:L$875,"CORTE DE CANA MECANIZADO"),0)</f>
        <v>0</v>
      </c>
      <c r="R1210" s="10">
        <f>IFERROR(SUMIFS('Base bordo CD'!Q$2:Q$875,'Base bordo CD'!D$2:D$875,A1210,'Base bordo CD'!A$2:A$875,B1210,'Base bordo CD'!L$2:L$875,"CORTE DE CANA MECANIZADO"),0)</f>
        <v>0</v>
      </c>
      <c r="S1210" s="30" t="str">
        <f t="shared" si="96"/>
        <v/>
      </c>
      <c r="T1210" s="9">
        <f t="shared" si="97"/>
        <v>0</v>
      </c>
      <c r="U1210" s="9">
        <f t="shared" si="98"/>
        <v>0</v>
      </c>
      <c r="V1210" s="9">
        <f t="shared" si="99"/>
        <v>0</v>
      </c>
    </row>
    <row r="1211" spans="1:22" x14ac:dyDescent="0.35">
      <c r="A1211" s="52">
        <v>49587</v>
      </c>
      <c r="B1211" s="31">
        <v>46116</v>
      </c>
      <c r="C1211" s="7" t="s">
        <v>337</v>
      </c>
      <c r="D1211" s="7">
        <v>353</v>
      </c>
      <c r="E1211" s="10">
        <f>IFERROR(SUMIFS('Base bordo CD'!M$2:M$875,'Base bordo CD'!D$2:D$875,A1211,'Base bordo CD'!A$2:A$875,B1211,'Base bordo CD'!L$2:L$875,"CORTE DE CANA MECANIZADO"),0)</f>
        <v>0</v>
      </c>
      <c r="F1211" s="10">
        <f>IFERROR(SUMIFS('Base bordo CD'!M$2:M$875,'Base bordo CD'!D$2:D$875,A1211,'Base bordo CD'!A$2:A$875,B1211,'Base bordo CD'!L$2:L$875,"MANOBRA"),0)</f>
        <v>0</v>
      </c>
      <c r="G1211" s="10">
        <f>IFERROR(SUMIFS('Base bordo CD'!M$2:M$875,'Base bordo CD'!D$2:D$875,A1211,'Base bordo CD'!A$2:A$875,B1211,'Base bordo CD'!L$2:L$875,"DESLOCAMENTO"),0)</f>
        <v>0</v>
      </c>
      <c r="H1211" s="10">
        <f>IFERROR(SUMIFS('Base bordo CD'!M$2:M$875,'Base bordo CD'!D$2:D$875,A1211,'Base bordo CD'!A$2:A$875,B1211,'Base bordo CD'!L$2:L$875,"AGUARDANDO MANOBRA DE TRANSBORDO"),0)+IFERROR(SUMIFS('Base bordo CD'!M$2:M$875,'Base bordo CD'!D$2:D$875,A1211,'Base bordo CD'!A$2:A$875,B1211,'Base bordo CD'!L$2:L$875,"FALTA DE TRANSBORDO"),0)</f>
        <v>0</v>
      </c>
      <c r="I1211" s="10">
        <f>IFERROR(SUMIFS('Base bordo CD'!M$2:M$875,'Base bordo CD'!D$2:D$875,A1211,'Base bordo CD'!A$2:A$875,B1211,'Base bordo CD'!L$2:L$875,"PARADA POR CONDICOES CLIMATICAS"),0)+IFERROR(SUMIFS('Base bordo CD'!M$2:M$875,'Base bordo CD'!D$2:D$875,A1211,'Base bordo CD'!A$2:A$875,B1211,'Base bordo CD'!L$2:L$875,"TEMPO INDETERMINADO"),0)</f>
        <v>0</v>
      </c>
      <c r="J1211" s="10">
        <f>IFERROR(SUMIFS('Base bordo CD'!M$2:M$875,'Base bordo CD'!D$2:D$875,A1211,'Base bordo CD'!A$2:A$875,B1211,'Base bordo CD'!L$2:L$875,"LIMITAÇÃO INDÚSTRIA"),0)</f>
        <v>0</v>
      </c>
      <c r="K1211" s="10">
        <f>IFERROR(SUMIFS('Base bordo CD'!M$2:M$875,'Base bordo CD'!D$2:D$875,A1211,'Base bordo CD'!A$2:A$875,B1211,'Base bordo CD'!L$2:L$875,"MAN CORRETIVA*"),0)+IFERROR(SUMIFS('Base bordo CD'!M$2:M$875,'Base bordo CD'!D$2:D$875,A1211,'Base bordo CD'!A$2:A$875,B1211,'Base bordo CD'!L$2:L$875,"AGUARDANDO MANUTENCAO*"),0)+IFERROR(SUMIFS('Base bordo CD'!M$2:M$875,'Base bordo CD'!D$2:D$875,A1211,'Base bordo CD'!A$2:A$875,B1211,'Base bordo CD'!L$2:L$875,"TROCA DE FAQUINHA"),0)+IFERROR(SUMIFS('Base bordo CD'!M$2:M$875,'Base bordo CD'!D$2:D$875,A1211,'Base bordo CD'!A$2:A$875,B1211,'Base bordo CD'!L$2:L$875,"LIMPEZA*"),0)</f>
        <v>0</v>
      </c>
      <c r="L1211" s="10">
        <f>IFERROR(SUMIFS('Base bordo CD'!M$2:M$875,'Base bordo CD'!D$2:D$875,A1211,'Base bordo CD'!A$2:A$875,B1211,'Base bordo CD'!L$2:L$875,"PATIO - RESERVA"),0)</f>
        <v>0</v>
      </c>
      <c r="M1211" s="10">
        <f>IFERROR(SUMIFS('Base bordo CD'!M$2:M$875,'Base bordo CD'!D$2:D$875,A1211,'Base bordo CD'!A$2:A$875,B1211,'Base bordo CD'!L$2:L$875,"SEM APONTAMENTO"),0)</f>
        <v>0</v>
      </c>
      <c r="N1211" s="10">
        <f>IFERROR(SUMIFS('Base bordo CD'!M$2:M$875,'Base bordo CD'!D$2:D$875,A1211,'Base bordo CD'!A$2:A$875,B1211,'Base bordo CD'!L$2:L$875,"FALTA DE CAMINHÃO"),0)+IFERROR(SUMIFS('Base bordo CD'!M$2:M$875,'Base bordo CD'!D$2:D$875,A1211,'Base bordo CD'!A$2:A$875,B1211,'Base bordo CD'!L$2:L$875,"FALTA DE COMBUSTIVEL"),0)+IFERROR(SUMIFS('Base bordo CD'!M$2:M$875,'Base bordo CD'!D$2:D$875,A1211,'Base bordo CD'!A$2:A$875,B1211,'Base bordo CD'!L$2:L$875,"FALTA DE MOTORIST*"),0)</f>
        <v>0</v>
      </c>
      <c r="O1211" s="10">
        <f t="shared" si="95"/>
        <v>0</v>
      </c>
      <c r="P1211" s="10">
        <f>IFERROR(SUMIFS('Base bordo CD'!M$2:M$875,'Base bordo CD'!D$2:D$875,A1211,'Base bordo CD'!A$2:A$875,B1211),0)</f>
        <v>0</v>
      </c>
      <c r="Q1211" s="10">
        <f>IFERROR(SUMIFS('Base bordo CD'!O$2:O$875,'Base bordo CD'!D$2:D$875,A1211,'Base bordo CD'!A$2:A$875,B1211,'Base bordo CD'!L$2:L$875,"CORTE DE CANA MECANIZADO"),0)</f>
        <v>0</v>
      </c>
      <c r="R1211" s="10">
        <f>IFERROR(SUMIFS('Base bordo CD'!Q$2:Q$875,'Base bordo CD'!D$2:D$875,A1211,'Base bordo CD'!A$2:A$875,B1211,'Base bordo CD'!L$2:L$875,"CORTE DE CANA MECANIZADO"),0)</f>
        <v>0</v>
      </c>
      <c r="S1211" s="30" t="str">
        <f t="shared" si="96"/>
        <v/>
      </c>
      <c r="T1211" s="9">
        <f t="shared" si="97"/>
        <v>0</v>
      </c>
      <c r="U1211" s="9">
        <f t="shared" si="98"/>
        <v>0</v>
      </c>
      <c r="V1211" s="9">
        <f t="shared" si="99"/>
        <v>0</v>
      </c>
    </row>
    <row r="1212" spans="1:22" x14ac:dyDescent="0.35">
      <c r="A1212" s="52">
        <v>49587</v>
      </c>
      <c r="B1212" s="31">
        <v>46116</v>
      </c>
      <c r="C1212" s="7" t="s">
        <v>337</v>
      </c>
      <c r="D1212" s="7">
        <v>353</v>
      </c>
      <c r="E1212" s="10">
        <f>IFERROR(SUMIFS('Base bordo CD'!M$2:M$875,'Base bordo CD'!D$2:D$875,A1212,'Base bordo CD'!A$2:A$875,B1212,'Base bordo CD'!L$2:L$875,"CORTE DE CANA MECANIZADO"),0)</f>
        <v>0</v>
      </c>
      <c r="F1212" s="10">
        <f>IFERROR(SUMIFS('Base bordo CD'!M$2:M$875,'Base bordo CD'!D$2:D$875,A1212,'Base bordo CD'!A$2:A$875,B1212,'Base bordo CD'!L$2:L$875,"MANOBRA"),0)</f>
        <v>0</v>
      </c>
      <c r="G1212" s="10">
        <f>IFERROR(SUMIFS('Base bordo CD'!M$2:M$875,'Base bordo CD'!D$2:D$875,A1212,'Base bordo CD'!A$2:A$875,B1212,'Base bordo CD'!L$2:L$875,"DESLOCAMENTO"),0)</f>
        <v>0</v>
      </c>
      <c r="H1212" s="10">
        <f>IFERROR(SUMIFS('Base bordo CD'!M$2:M$875,'Base bordo CD'!D$2:D$875,A1212,'Base bordo CD'!A$2:A$875,B1212,'Base bordo CD'!L$2:L$875,"AGUARDANDO MANOBRA DE TRANSBORDO"),0)+IFERROR(SUMIFS('Base bordo CD'!M$2:M$875,'Base bordo CD'!D$2:D$875,A1212,'Base bordo CD'!A$2:A$875,B1212,'Base bordo CD'!L$2:L$875,"FALTA DE TRANSBORDO"),0)</f>
        <v>0</v>
      </c>
      <c r="I1212" s="10">
        <f>IFERROR(SUMIFS('Base bordo CD'!M$2:M$875,'Base bordo CD'!D$2:D$875,A1212,'Base bordo CD'!A$2:A$875,B1212,'Base bordo CD'!L$2:L$875,"PARADA POR CONDICOES CLIMATICAS"),0)+IFERROR(SUMIFS('Base bordo CD'!M$2:M$875,'Base bordo CD'!D$2:D$875,A1212,'Base bordo CD'!A$2:A$875,B1212,'Base bordo CD'!L$2:L$875,"TEMPO INDETERMINADO"),0)</f>
        <v>0</v>
      </c>
      <c r="J1212" s="10">
        <f>IFERROR(SUMIFS('Base bordo CD'!M$2:M$875,'Base bordo CD'!D$2:D$875,A1212,'Base bordo CD'!A$2:A$875,B1212,'Base bordo CD'!L$2:L$875,"LIMITAÇÃO INDÚSTRIA"),0)</f>
        <v>0</v>
      </c>
      <c r="K1212" s="10">
        <f>IFERROR(SUMIFS('Base bordo CD'!M$2:M$875,'Base bordo CD'!D$2:D$875,A1212,'Base bordo CD'!A$2:A$875,B1212,'Base bordo CD'!L$2:L$875,"MAN CORRETIVA*"),0)+IFERROR(SUMIFS('Base bordo CD'!M$2:M$875,'Base bordo CD'!D$2:D$875,A1212,'Base bordo CD'!A$2:A$875,B1212,'Base bordo CD'!L$2:L$875,"AGUARDANDO MANUTENCAO*"),0)+IFERROR(SUMIFS('Base bordo CD'!M$2:M$875,'Base bordo CD'!D$2:D$875,A1212,'Base bordo CD'!A$2:A$875,B1212,'Base bordo CD'!L$2:L$875,"TROCA DE FAQUINHA"),0)+IFERROR(SUMIFS('Base bordo CD'!M$2:M$875,'Base bordo CD'!D$2:D$875,A1212,'Base bordo CD'!A$2:A$875,B1212,'Base bordo CD'!L$2:L$875,"LIMPEZA*"),0)</f>
        <v>0</v>
      </c>
      <c r="L1212" s="10">
        <f>IFERROR(SUMIFS('Base bordo CD'!M$2:M$875,'Base bordo CD'!D$2:D$875,A1212,'Base bordo CD'!A$2:A$875,B1212,'Base bordo CD'!L$2:L$875,"PATIO - RESERVA"),0)</f>
        <v>0</v>
      </c>
      <c r="M1212" s="10">
        <f>IFERROR(SUMIFS('Base bordo CD'!M$2:M$875,'Base bordo CD'!D$2:D$875,A1212,'Base bordo CD'!A$2:A$875,B1212,'Base bordo CD'!L$2:L$875,"SEM APONTAMENTO"),0)</f>
        <v>0</v>
      </c>
      <c r="N1212" s="10">
        <f>IFERROR(SUMIFS('Base bordo CD'!M$2:M$875,'Base bordo CD'!D$2:D$875,A1212,'Base bordo CD'!A$2:A$875,B1212,'Base bordo CD'!L$2:L$875,"FALTA DE CAMINHÃO"),0)+IFERROR(SUMIFS('Base bordo CD'!M$2:M$875,'Base bordo CD'!D$2:D$875,A1212,'Base bordo CD'!A$2:A$875,B1212,'Base bordo CD'!L$2:L$875,"FALTA DE COMBUSTIVEL"),0)+IFERROR(SUMIFS('Base bordo CD'!M$2:M$875,'Base bordo CD'!D$2:D$875,A1212,'Base bordo CD'!A$2:A$875,B1212,'Base bordo CD'!L$2:L$875,"FALTA DE MOTORIST*"),0)</f>
        <v>0</v>
      </c>
      <c r="O1212" s="10">
        <f t="shared" si="95"/>
        <v>0</v>
      </c>
      <c r="P1212" s="10">
        <f>IFERROR(SUMIFS('Base bordo CD'!M$2:M$875,'Base bordo CD'!D$2:D$875,A1212,'Base bordo CD'!A$2:A$875,B1212),0)</f>
        <v>0</v>
      </c>
      <c r="Q1212" s="10">
        <f>IFERROR(SUMIFS('Base bordo CD'!O$2:O$875,'Base bordo CD'!D$2:D$875,A1212,'Base bordo CD'!A$2:A$875,B1212,'Base bordo CD'!L$2:L$875,"CORTE DE CANA MECANIZADO"),0)</f>
        <v>0</v>
      </c>
      <c r="R1212" s="10">
        <f>IFERROR(SUMIFS('Base bordo CD'!Q$2:Q$875,'Base bordo CD'!D$2:D$875,A1212,'Base bordo CD'!A$2:A$875,B1212,'Base bordo CD'!L$2:L$875,"CORTE DE CANA MECANIZADO"),0)</f>
        <v>0</v>
      </c>
      <c r="S1212" s="30" t="str">
        <f t="shared" si="96"/>
        <v/>
      </c>
      <c r="T1212" s="9">
        <f t="shared" si="97"/>
        <v>0</v>
      </c>
      <c r="U1212" s="9">
        <f t="shared" si="98"/>
        <v>0</v>
      </c>
      <c r="V1212" s="9">
        <f t="shared" si="99"/>
        <v>0</v>
      </c>
    </row>
    <row r="1213" spans="1:22" hidden="1" x14ac:dyDescent="0.35">
      <c r="A1213" s="52">
        <v>49588</v>
      </c>
      <c r="B1213" s="31">
        <v>46116</v>
      </c>
      <c r="C1213" s="7" t="s">
        <v>364</v>
      </c>
      <c r="D1213" s="7">
        <v>352</v>
      </c>
      <c r="E1213" s="10">
        <f>IFERROR(SUMIFS('Base bordo CD'!M$2:M$875,'Base bordo CD'!D$2:D$875,A1213,'Base bordo CD'!A$2:A$875,B1213,'Base bordo CD'!L$2:L$875,"CORTE DE CANA MECANIZADO"),0)</f>
        <v>0</v>
      </c>
      <c r="F1213" s="10">
        <f>IFERROR(SUMIFS('Base bordo CD'!M$2:M$875,'Base bordo CD'!D$2:D$875,A1213,'Base bordo CD'!A$2:A$875,B1213,'Base bordo CD'!L$2:L$875,"MANOBRA"),0)</f>
        <v>0</v>
      </c>
      <c r="G1213" s="10">
        <f>IFERROR(SUMIFS('Base bordo CD'!M$2:M$875,'Base bordo CD'!D$2:D$875,A1213,'Base bordo CD'!A$2:A$875,B1213,'Base bordo CD'!L$2:L$875,"DESLOCAMENTO"),0)</f>
        <v>0</v>
      </c>
      <c r="H1213" s="10">
        <f>IFERROR(SUMIFS('Base bordo CD'!M$2:M$875,'Base bordo CD'!D$2:D$875,A1213,'Base bordo CD'!A$2:A$875,B1213,'Base bordo CD'!L$2:L$875,"AGUARDANDO MANOBRA DE TRANSBORDO"),0)+IFERROR(SUMIFS('Base bordo CD'!M$2:M$875,'Base bordo CD'!D$2:D$875,A1213,'Base bordo CD'!A$2:A$875,B1213,'Base bordo CD'!L$2:L$875,"FALTA DE TRANSBORDO"),0)</f>
        <v>0</v>
      </c>
      <c r="I1213" s="10">
        <f>IFERROR(SUMIFS('Base bordo CD'!M$2:M$875,'Base bordo CD'!D$2:D$875,A1213,'Base bordo CD'!A$2:A$875,B1213,'Base bordo CD'!L$2:L$875,"PARADA POR CONDICOES CLIMATICAS"),0)+IFERROR(SUMIFS('Base bordo CD'!M$2:M$875,'Base bordo CD'!D$2:D$875,A1213,'Base bordo CD'!A$2:A$875,B1213,'Base bordo CD'!L$2:L$875,"TEMPO INDETERMINADO"),0)</f>
        <v>0</v>
      </c>
      <c r="J1213" s="10">
        <f>IFERROR(SUMIFS('Base bordo CD'!M$2:M$875,'Base bordo CD'!D$2:D$875,A1213,'Base bordo CD'!A$2:A$875,B1213,'Base bordo CD'!L$2:L$875,"LIMITAÇÃO INDÚSTRIA"),0)</f>
        <v>0</v>
      </c>
      <c r="K1213" s="10">
        <f>IFERROR(SUMIFS('Base bordo CD'!M$2:M$875,'Base bordo CD'!D$2:D$875,A1213,'Base bordo CD'!A$2:A$875,B1213,'Base bordo CD'!L$2:L$875,"MAN CORRETIVA*"),0)+IFERROR(SUMIFS('Base bordo CD'!M$2:M$875,'Base bordo CD'!D$2:D$875,A1213,'Base bordo CD'!A$2:A$875,B1213,'Base bordo CD'!L$2:L$875,"AGUARDANDO MANUTENCAO*"),0)+IFERROR(SUMIFS('Base bordo CD'!M$2:M$875,'Base bordo CD'!D$2:D$875,A1213,'Base bordo CD'!A$2:A$875,B1213,'Base bordo CD'!L$2:L$875,"TROCA DE FAQUINHA"),0)+IFERROR(SUMIFS('Base bordo CD'!M$2:M$875,'Base bordo CD'!D$2:D$875,A1213,'Base bordo CD'!A$2:A$875,B1213,'Base bordo CD'!L$2:L$875,"LIMPEZA*"),0)</f>
        <v>0</v>
      </c>
      <c r="L1213" s="10">
        <f>IFERROR(SUMIFS('Base bordo CD'!M$2:M$875,'Base bordo CD'!D$2:D$875,A1213,'Base bordo CD'!A$2:A$875,B1213,'Base bordo CD'!L$2:L$875,"PATIO - RESERVA"),0)</f>
        <v>0</v>
      </c>
      <c r="M1213" s="10">
        <f>IFERROR(SUMIFS('Base bordo CD'!M$2:M$875,'Base bordo CD'!D$2:D$875,A1213,'Base bordo CD'!A$2:A$875,B1213,'Base bordo CD'!L$2:L$875,"SEM APONTAMENTO"),0)</f>
        <v>0</v>
      </c>
      <c r="N1213" s="10">
        <f>IFERROR(SUMIFS('Base bordo CD'!M$2:M$875,'Base bordo CD'!D$2:D$875,A1213,'Base bordo CD'!A$2:A$875,B1213,'Base bordo CD'!L$2:L$875,"FALTA DE CAMINHÃO"),0)+IFERROR(SUMIFS('Base bordo CD'!M$2:M$875,'Base bordo CD'!D$2:D$875,A1213,'Base bordo CD'!A$2:A$875,B1213,'Base bordo CD'!L$2:L$875,"FALTA DE COMBUSTIVEL"),0)+IFERROR(SUMIFS('Base bordo CD'!M$2:M$875,'Base bordo CD'!D$2:D$875,A1213,'Base bordo CD'!A$2:A$875,B1213,'Base bordo CD'!L$2:L$875,"FALTA DE MOTORIST*"),0)</f>
        <v>0</v>
      </c>
      <c r="O1213" s="10">
        <f t="shared" si="95"/>
        <v>0</v>
      </c>
      <c r="P1213" s="10">
        <f>IFERROR(SUMIFS('Base bordo CD'!M$2:M$875,'Base bordo CD'!D$2:D$875,A1213,'Base bordo CD'!A$2:A$875,B1213),0)</f>
        <v>0</v>
      </c>
      <c r="Q1213" s="10">
        <f>IFERROR(SUMIFS('Base bordo CD'!O$2:O$875,'Base bordo CD'!D$2:D$875,A1213,'Base bordo CD'!A$2:A$875,B1213,'Base bordo CD'!L$2:L$875,"CORTE DE CANA MECANIZADO"),0)</f>
        <v>0</v>
      </c>
      <c r="R1213" s="10">
        <f>IFERROR(SUMIFS('Base bordo CD'!Q$2:Q$875,'Base bordo CD'!D$2:D$875,A1213,'Base bordo CD'!A$2:A$875,B1213,'Base bordo CD'!L$2:L$875,"CORTE DE CANA MECANIZADO"),0)</f>
        <v>0</v>
      </c>
      <c r="S1213" s="30" t="str">
        <f t="shared" si="96"/>
        <v/>
      </c>
      <c r="T1213" s="9">
        <f t="shared" si="97"/>
        <v>0</v>
      </c>
      <c r="U1213" s="9">
        <f t="shared" si="98"/>
        <v>0</v>
      </c>
      <c r="V1213" s="9">
        <f t="shared" si="99"/>
        <v>0</v>
      </c>
    </row>
    <row r="1214" spans="1:22" hidden="1" x14ac:dyDescent="0.35">
      <c r="A1214" s="52">
        <v>49588</v>
      </c>
      <c r="B1214" s="31">
        <v>46116</v>
      </c>
      <c r="C1214" s="7" t="s">
        <v>364</v>
      </c>
      <c r="D1214" s="7">
        <v>352</v>
      </c>
      <c r="E1214" s="10">
        <f>IFERROR(SUMIFS('Base bordo CD'!M$2:M$875,'Base bordo CD'!D$2:D$875,A1214,'Base bordo CD'!A$2:A$875,B1214,'Base bordo CD'!L$2:L$875,"CORTE DE CANA MECANIZADO"),0)</f>
        <v>0</v>
      </c>
      <c r="F1214" s="10">
        <f>IFERROR(SUMIFS('Base bordo CD'!M$2:M$875,'Base bordo CD'!D$2:D$875,A1214,'Base bordo CD'!A$2:A$875,B1214,'Base bordo CD'!L$2:L$875,"MANOBRA"),0)</f>
        <v>0</v>
      </c>
      <c r="G1214" s="10">
        <f>IFERROR(SUMIFS('Base bordo CD'!M$2:M$875,'Base bordo CD'!D$2:D$875,A1214,'Base bordo CD'!A$2:A$875,B1214,'Base bordo CD'!L$2:L$875,"DESLOCAMENTO"),0)</f>
        <v>0</v>
      </c>
      <c r="H1214" s="10">
        <f>IFERROR(SUMIFS('Base bordo CD'!M$2:M$875,'Base bordo CD'!D$2:D$875,A1214,'Base bordo CD'!A$2:A$875,B1214,'Base bordo CD'!L$2:L$875,"AGUARDANDO MANOBRA DE TRANSBORDO"),0)+IFERROR(SUMIFS('Base bordo CD'!M$2:M$875,'Base bordo CD'!D$2:D$875,A1214,'Base bordo CD'!A$2:A$875,B1214,'Base bordo CD'!L$2:L$875,"FALTA DE TRANSBORDO"),0)</f>
        <v>0</v>
      </c>
      <c r="I1214" s="10">
        <f>IFERROR(SUMIFS('Base bordo CD'!M$2:M$875,'Base bordo CD'!D$2:D$875,A1214,'Base bordo CD'!A$2:A$875,B1214,'Base bordo CD'!L$2:L$875,"PARADA POR CONDICOES CLIMATICAS"),0)+IFERROR(SUMIFS('Base bordo CD'!M$2:M$875,'Base bordo CD'!D$2:D$875,A1214,'Base bordo CD'!A$2:A$875,B1214,'Base bordo CD'!L$2:L$875,"TEMPO INDETERMINADO"),0)</f>
        <v>0</v>
      </c>
      <c r="J1214" s="10">
        <f>IFERROR(SUMIFS('Base bordo CD'!M$2:M$875,'Base bordo CD'!D$2:D$875,A1214,'Base bordo CD'!A$2:A$875,B1214,'Base bordo CD'!L$2:L$875,"LIMITAÇÃO INDÚSTRIA"),0)</f>
        <v>0</v>
      </c>
      <c r="K1214" s="10">
        <f>IFERROR(SUMIFS('Base bordo CD'!M$2:M$875,'Base bordo CD'!D$2:D$875,A1214,'Base bordo CD'!A$2:A$875,B1214,'Base bordo CD'!L$2:L$875,"MAN CORRETIVA*"),0)+IFERROR(SUMIFS('Base bordo CD'!M$2:M$875,'Base bordo CD'!D$2:D$875,A1214,'Base bordo CD'!A$2:A$875,B1214,'Base bordo CD'!L$2:L$875,"AGUARDANDO MANUTENCAO*"),0)+IFERROR(SUMIFS('Base bordo CD'!M$2:M$875,'Base bordo CD'!D$2:D$875,A1214,'Base bordo CD'!A$2:A$875,B1214,'Base bordo CD'!L$2:L$875,"TROCA DE FAQUINHA"),0)+IFERROR(SUMIFS('Base bordo CD'!M$2:M$875,'Base bordo CD'!D$2:D$875,A1214,'Base bordo CD'!A$2:A$875,B1214,'Base bordo CD'!L$2:L$875,"LIMPEZA*"),0)</f>
        <v>0</v>
      </c>
      <c r="L1214" s="10">
        <f>IFERROR(SUMIFS('Base bordo CD'!M$2:M$875,'Base bordo CD'!D$2:D$875,A1214,'Base bordo CD'!A$2:A$875,B1214,'Base bordo CD'!L$2:L$875,"PATIO - RESERVA"),0)</f>
        <v>0</v>
      </c>
      <c r="M1214" s="10">
        <f>IFERROR(SUMIFS('Base bordo CD'!M$2:M$875,'Base bordo CD'!D$2:D$875,A1214,'Base bordo CD'!A$2:A$875,B1214,'Base bordo CD'!L$2:L$875,"SEM APONTAMENTO"),0)</f>
        <v>0</v>
      </c>
      <c r="N1214" s="10">
        <f>IFERROR(SUMIFS('Base bordo CD'!M$2:M$875,'Base bordo CD'!D$2:D$875,A1214,'Base bordo CD'!A$2:A$875,B1214,'Base bordo CD'!L$2:L$875,"FALTA DE CAMINHÃO"),0)+IFERROR(SUMIFS('Base bordo CD'!M$2:M$875,'Base bordo CD'!D$2:D$875,A1214,'Base bordo CD'!A$2:A$875,B1214,'Base bordo CD'!L$2:L$875,"FALTA DE COMBUSTIVEL"),0)+IFERROR(SUMIFS('Base bordo CD'!M$2:M$875,'Base bordo CD'!D$2:D$875,A1214,'Base bordo CD'!A$2:A$875,B1214,'Base bordo CD'!L$2:L$875,"FALTA DE MOTORIST*"),0)</f>
        <v>0</v>
      </c>
      <c r="O1214" s="10">
        <f t="shared" ref="O1214:O1231" si="100">IFERROR(P1214-SUM(E1214:N1214),0)</f>
        <v>0</v>
      </c>
      <c r="P1214" s="10">
        <f>IFERROR(SUMIFS('Base bordo CD'!M$2:M$875,'Base bordo CD'!D$2:D$875,A1214,'Base bordo CD'!A$2:A$875,B1214),0)</f>
        <v>0</v>
      </c>
      <c r="Q1214" s="10">
        <f>IFERROR(SUMIFS('Base bordo CD'!O$2:O$875,'Base bordo CD'!D$2:D$875,A1214,'Base bordo CD'!A$2:A$875,B1214,'Base bordo CD'!L$2:L$875,"CORTE DE CANA MECANIZADO"),0)</f>
        <v>0</v>
      </c>
      <c r="R1214" s="10">
        <f>IFERROR(SUMIFS('Base bordo CD'!Q$2:Q$875,'Base bordo CD'!D$2:D$875,A1214,'Base bordo CD'!A$2:A$875,B1214,'Base bordo CD'!L$2:L$875,"CORTE DE CANA MECANIZADO"),0)</f>
        <v>0</v>
      </c>
      <c r="S1214" s="30" t="str">
        <f t="shared" ref="S1214:S1231" si="101">IFERROR(Q1214/R1214,"")</f>
        <v/>
      </c>
      <c r="T1214" s="9">
        <f t="shared" ref="T1214:T1231" si="102">IFERROR(E1214/P1214,0)</f>
        <v>0</v>
      </c>
      <c r="U1214" s="9">
        <f t="shared" ref="U1214:U1231" si="103">IFERROR(F1214/P1214,0)</f>
        <v>0</v>
      </c>
      <c r="V1214" s="9">
        <f t="shared" ref="V1214:V1231" si="104">IFERROR(1-(E1214+G1214)/P1214,0)</f>
        <v>0</v>
      </c>
    </row>
    <row r="1215" spans="1:22" hidden="1" x14ac:dyDescent="0.35">
      <c r="A1215" s="52">
        <v>49589</v>
      </c>
      <c r="B1215" s="31">
        <v>46116</v>
      </c>
      <c r="C1215" s="7" t="s">
        <v>321</v>
      </c>
      <c r="D1215" s="7">
        <v>351</v>
      </c>
      <c r="E1215" s="10">
        <f>IFERROR(SUMIFS('Base bordo CD'!M$2:M$875,'Base bordo CD'!D$2:D$875,A1215,'Base bordo CD'!A$2:A$875,B1215,'Base bordo CD'!L$2:L$875,"CORTE DE CANA MECANIZADO"),0)</f>
        <v>0</v>
      </c>
      <c r="F1215" s="10">
        <f>IFERROR(SUMIFS('Base bordo CD'!M$2:M$875,'Base bordo CD'!D$2:D$875,A1215,'Base bordo CD'!A$2:A$875,B1215,'Base bordo CD'!L$2:L$875,"MANOBRA"),0)</f>
        <v>0</v>
      </c>
      <c r="G1215" s="10">
        <f>IFERROR(SUMIFS('Base bordo CD'!M$2:M$875,'Base bordo CD'!D$2:D$875,A1215,'Base bordo CD'!A$2:A$875,B1215,'Base bordo CD'!L$2:L$875,"DESLOCAMENTO"),0)</f>
        <v>0</v>
      </c>
      <c r="H1215" s="10">
        <f>IFERROR(SUMIFS('Base bordo CD'!M$2:M$875,'Base bordo CD'!D$2:D$875,A1215,'Base bordo CD'!A$2:A$875,B1215,'Base bordo CD'!L$2:L$875,"AGUARDANDO MANOBRA DE TRANSBORDO"),0)+IFERROR(SUMIFS('Base bordo CD'!M$2:M$875,'Base bordo CD'!D$2:D$875,A1215,'Base bordo CD'!A$2:A$875,B1215,'Base bordo CD'!L$2:L$875,"FALTA DE TRANSBORDO"),0)</f>
        <v>0</v>
      </c>
      <c r="I1215" s="10">
        <f>IFERROR(SUMIFS('Base bordo CD'!M$2:M$875,'Base bordo CD'!D$2:D$875,A1215,'Base bordo CD'!A$2:A$875,B1215,'Base bordo CD'!L$2:L$875,"PARADA POR CONDICOES CLIMATICAS"),0)+IFERROR(SUMIFS('Base bordo CD'!M$2:M$875,'Base bordo CD'!D$2:D$875,A1215,'Base bordo CD'!A$2:A$875,B1215,'Base bordo CD'!L$2:L$875,"TEMPO INDETERMINADO"),0)</f>
        <v>0</v>
      </c>
      <c r="J1215" s="10">
        <f>IFERROR(SUMIFS('Base bordo CD'!M$2:M$875,'Base bordo CD'!D$2:D$875,A1215,'Base bordo CD'!A$2:A$875,B1215,'Base bordo CD'!L$2:L$875,"LIMITAÇÃO INDÚSTRIA"),0)</f>
        <v>0</v>
      </c>
      <c r="K1215" s="10">
        <f>IFERROR(SUMIFS('Base bordo CD'!M$2:M$875,'Base bordo CD'!D$2:D$875,A1215,'Base bordo CD'!A$2:A$875,B1215,'Base bordo CD'!L$2:L$875,"MAN CORRETIVA*"),0)+IFERROR(SUMIFS('Base bordo CD'!M$2:M$875,'Base bordo CD'!D$2:D$875,A1215,'Base bordo CD'!A$2:A$875,B1215,'Base bordo CD'!L$2:L$875,"AGUARDANDO MANUTENCAO*"),0)+IFERROR(SUMIFS('Base bordo CD'!M$2:M$875,'Base bordo CD'!D$2:D$875,A1215,'Base bordo CD'!A$2:A$875,B1215,'Base bordo CD'!L$2:L$875,"TROCA DE FAQUINHA"),0)+IFERROR(SUMIFS('Base bordo CD'!M$2:M$875,'Base bordo CD'!D$2:D$875,A1215,'Base bordo CD'!A$2:A$875,B1215,'Base bordo CD'!L$2:L$875,"LIMPEZA*"),0)</f>
        <v>0</v>
      </c>
      <c r="L1215" s="10">
        <f>IFERROR(SUMIFS('Base bordo CD'!M$2:M$875,'Base bordo CD'!D$2:D$875,A1215,'Base bordo CD'!A$2:A$875,B1215,'Base bordo CD'!L$2:L$875,"PATIO - RESERVA"),0)</f>
        <v>0</v>
      </c>
      <c r="M1215" s="10">
        <f>IFERROR(SUMIFS('Base bordo CD'!M$2:M$875,'Base bordo CD'!D$2:D$875,A1215,'Base bordo CD'!A$2:A$875,B1215,'Base bordo CD'!L$2:L$875,"SEM APONTAMENTO"),0)</f>
        <v>0</v>
      </c>
      <c r="N1215" s="10">
        <f>IFERROR(SUMIFS('Base bordo CD'!M$2:M$875,'Base bordo CD'!D$2:D$875,A1215,'Base bordo CD'!A$2:A$875,B1215,'Base bordo CD'!L$2:L$875,"FALTA DE CAMINHÃO"),0)+IFERROR(SUMIFS('Base bordo CD'!M$2:M$875,'Base bordo CD'!D$2:D$875,A1215,'Base bordo CD'!A$2:A$875,B1215,'Base bordo CD'!L$2:L$875,"FALTA DE COMBUSTIVEL"),0)+IFERROR(SUMIFS('Base bordo CD'!M$2:M$875,'Base bordo CD'!D$2:D$875,A1215,'Base bordo CD'!A$2:A$875,B1215,'Base bordo CD'!L$2:L$875,"FALTA DE MOTORIST*"),0)</f>
        <v>0</v>
      </c>
      <c r="O1215" s="10">
        <f t="shared" si="100"/>
        <v>0</v>
      </c>
      <c r="P1215" s="10">
        <f>IFERROR(SUMIFS('Base bordo CD'!M$2:M$875,'Base bordo CD'!D$2:D$875,A1215,'Base bordo CD'!A$2:A$875,B1215),0)</f>
        <v>0</v>
      </c>
      <c r="Q1215" s="10">
        <f>IFERROR(SUMIFS('Base bordo CD'!O$2:O$875,'Base bordo CD'!D$2:D$875,A1215,'Base bordo CD'!A$2:A$875,B1215,'Base bordo CD'!L$2:L$875,"CORTE DE CANA MECANIZADO"),0)</f>
        <v>0</v>
      </c>
      <c r="R1215" s="10">
        <f>IFERROR(SUMIFS('Base bordo CD'!Q$2:Q$875,'Base bordo CD'!D$2:D$875,A1215,'Base bordo CD'!A$2:A$875,B1215,'Base bordo CD'!L$2:L$875,"CORTE DE CANA MECANIZADO"),0)</f>
        <v>0</v>
      </c>
      <c r="S1215" s="30" t="str">
        <f t="shared" si="101"/>
        <v/>
      </c>
      <c r="T1215" s="9">
        <f t="shared" si="102"/>
        <v>0</v>
      </c>
      <c r="U1215" s="9">
        <f t="shared" si="103"/>
        <v>0</v>
      </c>
      <c r="V1215" s="9">
        <f t="shared" si="104"/>
        <v>0</v>
      </c>
    </row>
    <row r="1216" spans="1:22" hidden="1" x14ac:dyDescent="0.35">
      <c r="A1216" s="52">
        <v>49589</v>
      </c>
      <c r="B1216" s="31">
        <v>46116</v>
      </c>
      <c r="C1216" s="7" t="s">
        <v>321</v>
      </c>
      <c r="D1216" s="7">
        <v>351</v>
      </c>
      <c r="E1216" s="10">
        <f>IFERROR(SUMIFS('Base bordo CD'!M$2:M$875,'Base bordo CD'!D$2:D$875,A1216,'Base bordo CD'!A$2:A$875,B1216,'Base bordo CD'!L$2:L$875,"CORTE DE CANA MECANIZADO"),0)</f>
        <v>0</v>
      </c>
      <c r="F1216" s="10">
        <f>IFERROR(SUMIFS('Base bordo CD'!M$2:M$875,'Base bordo CD'!D$2:D$875,A1216,'Base bordo CD'!A$2:A$875,B1216,'Base bordo CD'!L$2:L$875,"MANOBRA"),0)</f>
        <v>0</v>
      </c>
      <c r="G1216" s="10">
        <f>IFERROR(SUMIFS('Base bordo CD'!M$2:M$875,'Base bordo CD'!D$2:D$875,A1216,'Base bordo CD'!A$2:A$875,B1216,'Base bordo CD'!L$2:L$875,"DESLOCAMENTO"),0)</f>
        <v>0</v>
      </c>
      <c r="H1216" s="10">
        <f>IFERROR(SUMIFS('Base bordo CD'!M$2:M$875,'Base bordo CD'!D$2:D$875,A1216,'Base bordo CD'!A$2:A$875,B1216,'Base bordo CD'!L$2:L$875,"AGUARDANDO MANOBRA DE TRANSBORDO"),0)+IFERROR(SUMIFS('Base bordo CD'!M$2:M$875,'Base bordo CD'!D$2:D$875,A1216,'Base bordo CD'!A$2:A$875,B1216,'Base bordo CD'!L$2:L$875,"FALTA DE TRANSBORDO"),0)</f>
        <v>0</v>
      </c>
      <c r="I1216" s="10">
        <f>IFERROR(SUMIFS('Base bordo CD'!M$2:M$875,'Base bordo CD'!D$2:D$875,A1216,'Base bordo CD'!A$2:A$875,B1216,'Base bordo CD'!L$2:L$875,"PARADA POR CONDICOES CLIMATICAS"),0)+IFERROR(SUMIFS('Base bordo CD'!M$2:M$875,'Base bordo CD'!D$2:D$875,A1216,'Base bordo CD'!A$2:A$875,B1216,'Base bordo CD'!L$2:L$875,"TEMPO INDETERMINADO"),0)</f>
        <v>0</v>
      </c>
      <c r="J1216" s="10">
        <f>IFERROR(SUMIFS('Base bordo CD'!M$2:M$875,'Base bordo CD'!D$2:D$875,A1216,'Base bordo CD'!A$2:A$875,B1216,'Base bordo CD'!L$2:L$875,"LIMITAÇÃO INDÚSTRIA"),0)</f>
        <v>0</v>
      </c>
      <c r="K1216" s="10">
        <f>IFERROR(SUMIFS('Base bordo CD'!M$2:M$875,'Base bordo CD'!D$2:D$875,A1216,'Base bordo CD'!A$2:A$875,B1216,'Base bordo CD'!L$2:L$875,"MAN CORRETIVA*"),0)+IFERROR(SUMIFS('Base bordo CD'!M$2:M$875,'Base bordo CD'!D$2:D$875,A1216,'Base bordo CD'!A$2:A$875,B1216,'Base bordo CD'!L$2:L$875,"AGUARDANDO MANUTENCAO*"),0)+IFERROR(SUMIFS('Base bordo CD'!M$2:M$875,'Base bordo CD'!D$2:D$875,A1216,'Base bordo CD'!A$2:A$875,B1216,'Base bordo CD'!L$2:L$875,"TROCA DE FAQUINHA"),0)+IFERROR(SUMIFS('Base bordo CD'!M$2:M$875,'Base bordo CD'!D$2:D$875,A1216,'Base bordo CD'!A$2:A$875,B1216,'Base bordo CD'!L$2:L$875,"LIMPEZA*"),0)</f>
        <v>0</v>
      </c>
      <c r="L1216" s="10">
        <f>IFERROR(SUMIFS('Base bordo CD'!M$2:M$875,'Base bordo CD'!D$2:D$875,A1216,'Base bordo CD'!A$2:A$875,B1216,'Base bordo CD'!L$2:L$875,"PATIO - RESERVA"),0)</f>
        <v>0</v>
      </c>
      <c r="M1216" s="10">
        <f>IFERROR(SUMIFS('Base bordo CD'!M$2:M$875,'Base bordo CD'!D$2:D$875,A1216,'Base bordo CD'!A$2:A$875,B1216,'Base bordo CD'!L$2:L$875,"SEM APONTAMENTO"),0)</f>
        <v>0</v>
      </c>
      <c r="N1216" s="10">
        <f>IFERROR(SUMIFS('Base bordo CD'!M$2:M$875,'Base bordo CD'!D$2:D$875,A1216,'Base bordo CD'!A$2:A$875,B1216,'Base bordo CD'!L$2:L$875,"FALTA DE CAMINHÃO"),0)+IFERROR(SUMIFS('Base bordo CD'!M$2:M$875,'Base bordo CD'!D$2:D$875,A1216,'Base bordo CD'!A$2:A$875,B1216,'Base bordo CD'!L$2:L$875,"FALTA DE COMBUSTIVEL"),0)+IFERROR(SUMIFS('Base bordo CD'!M$2:M$875,'Base bordo CD'!D$2:D$875,A1216,'Base bordo CD'!A$2:A$875,B1216,'Base bordo CD'!L$2:L$875,"FALTA DE MOTORIST*"),0)</f>
        <v>0</v>
      </c>
      <c r="O1216" s="10">
        <f t="shared" si="100"/>
        <v>0</v>
      </c>
      <c r="P1216" s="10">
        <f>IFERROR(SUMIFS('Base bordo CD'!M$2:M$875,'Base bordo CD'!D$2:D$875,A1216,'Base bordo CD'!A$2:A$875,B1216),0)</f>
        <v>0</v>
      </c>
      <c r="Q1216" s="10">
        <f>IFERROR(SUMIFS('Base bordo CD'!O$2:O$875,'Base bordo CD'!D$2:D$875,A1216,'Base bordo CD'!A$2:A$875,B1216,'Base bordo CD'!L$2:L$875,"CORTE DE CANA MECANIZADO"),0)</f>
        <v>0</v>
      </c>
      <c r="R1216" s="10">
        <f>IFERROR(SUMIFS('Base bordo CD'!Q$2:Q$875,'Base bordo CD'!D$2:D$875,A1216,'Base bordo CD'!A$2:A$875,B1216,'Base bordo CD'!L$2:L$875,"CORTE DE CANA MECANIZADO"),0)</f>
        <v>0</v>
      </c>
      <c r="S1216" s="30" t="str">
        <f t="shared" si="101"/>
        <v/>
      </c>
      <c r="T1216" s="9">
        <f t="shared" si="102"/>
        <v>0</v>
      </c>
      <c r="U1216" s="9">
        <f t="shared" si="103"/>
        <v>0</v>
      </c>
      <c r="V1216" s="9">
        <f t="shared" si="104"/>
        <v>0</v>
      </c>
    </row>
    <row r="1217" spans="1:22" hidden="1" x14ac:dyDescent="0.35">
      <c r="A1217" s="52">
        <v>49589</v>
      </c>
      <c r="B1217" s="31">
        <v>46116</v>
      </c>
      <c r="C1217" s="7" t="s">
        <v>321</v>
      </c>
      <c r="D1217" s="7">
        <v>351</v>
      </c>
      <c r="E1217" s="10">
        <f>IFERROR(SUMIFS('Base bordo CD'!M$2:M$875,'Base bordo CD'!D$2:D$875,A1217,'Base bordo CD'!A$2:A$875,B1217,'Base bordo CD'!L$2:L$875,"CORTE DE CANA MECANIZADO"),0)</f>
        <v>0</v>
      </c>
      <c r="F1217" s="10">
        <f>IFERROR(SUMIFS('Base bordo CD'!M$2:M$875,'Base bordo CD'!D$2:D$875,A1217,'Base bordo CD'!A$2:A$875,B1217,'Base bordo CD'!L$2:L$875,"MANOBRA"),0)</f>
        <v>0</v>
      </c>
      <c r="G1217" s="10">
        <f>IFERROR(SUMIFS('Base bordo CD'!M$2:M$875,'Base bordo CD'!D$2:D$875,A1217,'Base bordo CD'!A$2:A$875,B1217,'Base bordo CD'!L$2:L$875,"DESLOCAMENTO"),0)</f>
        <v>0</v>
      </c>
      <c r="H1217" s="10">
        <f>IFERROR(SUMIFS('Base bordo CD'!M$2:M$875,'Base bordo CD'!D$2:D$875,A1217,'Base bordo CD'!A$2:A$875,B1217,'Base bordo CD'!L$2:L$875,"AGUARDANDO MANOBRA DE TRANSBORDO"),0)+IFERROR(SUMIFS('Base bordo CD'!M$2:M$875,'Base bordo CD'!D$2:D$875,A1217,'Base bordo CD'!A$2:A$875,B1217,'Base bordo CD'!L$2:L$875,"FALTA DE TRANSBORDO"),0)</f>
        <v>0</v>
      </c>
      <c r="I1217" s="10">
        <f>IFERROR(SUMIFS('Base bordo CD'!M$2:M$875,'Base bordo CD'!D$2:D$875,A1217,'Base bordo CD'!A$2:A$875,B1217,'Base bordo CD'!L$2:L$875,"PARADA POR CONDICOES CLIMATICAS"),0)+IFERROR(SUMIFS('Base bordo CD'!M$2:M$875,'Base bordo CD'!D$2:D$875,A1217,'Base bordo CD'!A$2:A$875,B1217,'Base bordo CD'!L$2:L$875,"TEMPO INDETERMINADO"),0)</f>
        <v>0</v>
      </c>
      <c r="J1217" s="10">
        <f>IFERROR(SUMIFS('Base bordo CD'!M$2:M$875,'Base bordo CD'!D$2:D$875,A1217,'Base bordo CD'!A$2:A$875,B1217,'Base bordo CD'!L$2:L$875,"LIMITAÇÃO INDÚSTRIA"),0)</f>
        <v>0</v>
      </c>
      <c r="K1217" s="10">
        <f>IFERROR(SUMIFS('Base bordo CD'!M$2:M$875,'Base bordo CD'!D$2:D$875,A1217,'Base bordo CD'!A$2:A$875,B1217,'Base bordo CD'!L$2:L$875,"MAN CORRETIVA*"),0)+IFERROR(SUMIFS('Base bordo CD'!M$2:M$875,'Base bordo CD'!D$2:D$875,A1217,'Base bordo CD'!A$2:A$875,B1217,'Base bordo CD'!L$2:L$875,"AGUARDANDO MANUTENCAO*"),0)+IFERROR(SUMIFS('Base bordo CD'!M$2:M$875,'Base bordo CD'!D$2:D$875,A1217,'Base bordo CD'!A$2:A$875,B1217,'Base bordo CD'!L$2:L$875,"TROCA DE FAQUINHA"),0)+IFERROR(SUMIFS('Base bordo CD'!M$2:M$875,'Base bordo CD'!D$2:D$875,A1217,'Base bordo CD'!A$2:A$875,B1217,'Base bordo CD'!L$2:L$875,"LIMPEZA*"),0)</f>
        <v>0</v>
      </c>
      <c r="L1217" s="10">
        <f>IFERROR(SUMIFS('Base bordo CD'!M$2:M$875,'Base bordo CD'!D$2:D$875,A1217,'Base bordo CD'!A$2:A$875,B1217,'Base bordo CD'!L$2:L$875,"PATIO - RESERVA"),0)</f>
        <v>0</v>
      </c>
      <c r="M1217" s="10">
        <f>IFERROR(SUMIFS('Base bordo CD'!M$2:M$875,'Base bordo CD'!D$2:D$875,A1217,'Base bordo CD'!A$2:A$875,B1217,'Base bordo CD'!L$2:L$875,"SEM APONTAMENTO"),0)</f>
        <v>0</v>
      </c>
      <c r="N1217" s="10">
        <f>IFERROR(SUMIFS('Base bordo CD'!M$2:M$875,'Base bordo CD'!D$2:D$875,A1217,'Base bordo CD'!A$2:A$875,B1217,'Base bordo CD'!L$2:L$875,"FALTA DE CAMINHÃO"),0)+IFERROR(SUMIFS('Base bordo CD'!M$2:M$875,'Base bordo CD'!D$2:D$875,A1217,'Base bordo CD'!A$2:A$875,B1217,'Base bordo CD'!L$2:L$875,"FALTA DE COMBUSTIVEL"),0)+IFERROR(SUMIFS('Base bordo CD'!M$2:M$875,'Base bordo CD'!D$2:D$875,A1217,'Base bordo CD'!A$2:A$875,B1217,'Base bordo CD'!L$2:L$875,"FALTA DE MOTORIST*"),0)</f>
        <v>0</v>
      </c>
      <c r="O1217" s="10">
        <f t="shared" si="100"/>
        <v>0</v>
      </c>
      <c r="P1217" s="10">
        <f>IFERROR(SUMIFS('Base bordo CD'!M$2:M$875,'Base bordo CD'!D$2:D$875,A1217,'Base bordo CD'!A$2:A$875,B1217),0)</f>
        <v>0</v>
      </c>
      <c r="Q1217" s="10">
        <f>IFERROR(SUMIFS('Base bordo CD'!O$2:O$875,'Base bordo CD'!D$2:D$875,A1217,'Base bordo CD'!A$2:A$875,B1217,'Base bordo CD'!L$2:L$875,"CORTE DE CANA MECANIZADO"),0)</f>
        <v>0</v>
      </c>
      <c r="R1217" s="10">
        <f>IFERROR(SUMIFS('Base bordo CD'!Q$2:Q$875,'Base bordo CD'!D$2:D$875,A1217,'Base bordo CD'!A$2:A$875,B1217,'Base bordo CD'!L$2:L$875,"CORTE DE CANA MECANIZADO"),0)</f>
        <v>0</v>
      </c>
      <c r="S1217" s="30" t="str">
        <f t="shared" si="101"/>
        <v/>
      </c>
      <c r="T1217" s="9">
        <f t="shared" si="102"/>
        <v>0</v>
      </c>
      <c r="U1217" s="9">
        <f t="shared" si="103"/>
        <v>0</v>
      </c>
      <c r="V1217" s="9">
        <f t="shared" si="104"/>
        <v>0</v>
      </c>
    </row>
    <row r="1218" spans="1:22" hidden="1" x14ac:dyDescent="0.35">
      <c r="A1218" s="52">
        <v>49590</v>
      </c>
      <c r="B1218" s="31">
        <v>46116</v>
      </c>
      <c r="C1218" s="7" t="s">
        <v>321</v>
      </c>
      <c r="D1218" s="7">
        <v>351</v>
      </c>
      <c r="E1218" s="10">
        <f>IFERROR(SUMIFS('Base bordo CD'!M$2:M$875,'Base bordo CD'!D$2:D$875,A1218,'Base bordo CD'!A$2:A$875,B1218,'Base bordo CD'!L$2:L$875,"CORTE DE CANA MECANIZADO"),0)</f>
        <v>0</v>
      </c>
      <c r="F1218" s="10">
        <f>IFERROR(SUMIFS('Base bordo CD'!M$2:M$875,'Base bordo CD'!D$2:D$875,A1218,'Base bordo CD'!A$2:A$875,B1218,'Base bordo CD'!L$2:L$875,"MANOBRA"),0)</f>
        <v>0</v>
      </c>
      <c r="G1218" s="10">
        <f>IFERROR(SUMIFS('Base bordo CD'!M$2:M$875,'Base bordo CD'!D$2:D$875,A1218,'Base bordo CD'!A$2:A$875,B1218,'Base bordo CD'!L$2:L$875,"DESLOCAMENTO"),0)</f>
        <v>0</v>
      </c>
      <c r="H1218" s="10">
        <f>IFERROR(SUMIFS('Base bordo CD'!M$2:M$875,'Base bordo CD'!D$2:D$875,A1218,'Base bordo CD'!A$2:A$875,B1218,'Base bordo CD'!L$2:L$875,"AGUARDANDO MANOBRA DE TRANSBORDO"),0)+IFERROR(SUMIFS('Base bordo CD'!M$2:M$875,'Base bordo CD'!D$2:D$875,A1218,'Base bordo CD'!A$2:A$875,B1218,'Base bordo CD'!L$2:L$875,"FALTA DE TRANSBORDO"),0)</f>
        <v>0</v>
      </c>
      <c r="I1218" s="10">
        <f>IFERROR(SUMIFS('Base bordo CD'!M$2:M$875,'Base bordo CD'!D$2:D$875,A1218,'Base bordo CD'!A$2:A$875,B1218,'Base bordo CD'!L$2:L$875,"PARADA POR CONDICOES CLIMATICAS"),0)+IFERROR(SUMIFS('Base bordo CD'!M$2:M$875,'Base bordo CD'!D$2:D$875,A1218,'Base bordo CD'!A$2:A$875,B1218,'Base bordo CD'!L$2:L$875,"TEMPO INDETERMINADO"),0)</f>
        <v>0</v>
      </c>
      <c r="J1218" s="10">
        <f>IFERROR(SUMIFS('Base bordo CD'!M$2:M$875,'Base bordo CD'!D$2:D$875,A1218,'Base bordo CD'!A$2:A$875,B1218,'Base bordo CD'!L$2:L$875,"LIMITAÇÃO INDÚSTRIA"),0)</f>
        <v>0</v>
      </c>
      <c r="K1218" s="10">
        <f>IFERROR(SUMIFS('Base bordo CD'!M$2:M$875,'Base bordo CD'!D$2:D$875,A1218,'Base bordo CD'!A$2:A$875,B1218,'Base bordo CD'!L$2:L$875,"MAN CORRETIVA*"),0)+IFERROR(SUMIFS('Base bordo CD'!M$2:M$875,'Base bordo CD'!D$2:D$875,A1218,'Base bordo CD'!A$2:A$875,B1218,'Base bordo CD'!L$2:L$875,"AGUARDANDO MANUTENCAO*"),0)+IFERROR(SUMIFS('Base bordo CD'!M$2:M$875,'Base bordo CD'!D$2:D$875,A1218,'Base bordo CD'!A$2:A$875,B1218,'Base bordo CD'!L$2:L$875,"TROCA DE FAQUINHA"),0)+IFERROR(SUMIFS('Base bordo CD'!M$2:M$875,'Base bordo CD'!D$2:D$875,A1218,'Base bordo CD'!A$2:A$875,B1218,'Base bordo CD'!L$2:L$875,"LIMPEZA*"),0)</f>
        <v>0</v>
      </c>
      <c r="L1218" s="10">
        <f>IFERROR(SUMIFS('Base bordo CD'!M$2:M$875,'Base bordo CD'!D$2:D$875,A1218,'Base bordo CD'!A$2:A$875,B1218,'Base bordo CD'!L$2:L$875,"PATIO - RESERVA"),0)</f>
        <v>0</v>
      </c>
      <c r="M1218" s="10">
        <f>IFERROR(SUMIFS('Base bordo CD'!M$2:M$875,'Base bordo CD'!D$2:D$875,A1218,'Base bordo CD'!A$2:A$875,B1218,'Base bordo CD'!L$2:L$875,"SEM APONTAMENTO"),0)</f>
        <v>0</v>
      </c>
      <c r="N1218" s="10">
        <f>IFERROR(SUMIFS('Base bordo CD'!M$2:M$875,'Base bordo CD'!D$2:D$875,A1218,'Base bordo CD'!A$2:A$875,B1218,'Base bordo CD'!L$2:L$875,"FALTA DE CAMINHÃO"),0)+IFERROR(SUMIFS('Base bordo CD'!M$2:M$875,'Base bordo CD'!D$2:D$875,A1218,'Base bordo CD'!A$2:A$875,B1218,'Base bordo CD'!L$2:L$875,"FALTA DE COMBUSTIVEL"),0)+IFERROR(SUMIFS('Base bordo CD'!M$2:M$875,'Base bordo CD'!D$2:D$875,A1218,'Base bordo CD'!A$2:A$875,B1218,'Base bordo CD'!L$2:L$875,"FALTA DE MOTORIST*"),0)</f>
        <v>0</v>
      </c>
      <c r="O1218" s="10">
        <f t="shared" si="100"/>
        <v>0</v>
      </c>
      <c r="P1218" s="10">
        <f>IFERROR(SUMIFS('Base bordo CD'!M$2:M$875,'Base bordo CD'!D$2:D$875,A1218,'Base bordo CD'!A$2:A$875,B1218),0)</f>
        <v>0</v>
      </c>
      <c r="Q1218" s="10">
        <f>IFERROR(SUMIFS('Base bordo CD'!O$2:O$875,'Base bordo CD'!D$2:D$875,A1218,'Base bordo CD'!A$2:A$875,B1218,'Base bordo CD'!L$2:L$875,"CORTE DE CANA MECANIZADO"),0)</f>
        <v>0</v>
      </c>
      <c r="R1218" s="10">
        <f>IFERROR(SUMIFS('Base bordo CD'!Q$2:Q$875,'Base bordo CD'!D$2:D$875,A1218,'Base bordo CD'!A$2:A$875,B1218,'Base bordo CD'!L$2:L$875,"CORTE DE CANA MECANIZADO"),0)</f>
        <v>0</v>
      </c>
      <c r="S1218" s="30" t="str">
        <f t="shared" si="101"/>
        <v/>
      </c>
      <c r="T1218" s="9">
        <f t="shared" si="102"/>
        <v>0</v>
      </c>
      <c r="U1218" s="9">
        <f t="shared" si="103"/>
        <v>0</v>
      </c>
      <c r="V1218" s="9">
        <f t="shared" si="104"/>
        <v>0</v>
      </c>
    </row>
    <row r="1219" spans="1:22" hidden="1" x14ac:dyDescent="0.35">
      <c r="A1219" s="52">
        <v>49590</v>
      </c>
      <c r="B1219" s="31">
        <v>46116</v>
      </c>
      <c r="C1219" s="7" t="s">
        <v>321</v>
      </c>
      <c r="D1219" s="7">
        <v>351</v>
      </c>
      <c r="E1219" s="10">
        <f>IFERROR(SUMIFS('Base bordo CD'!M$2:M$875,'Base bordo CD'!D$2:D$875,A1219,'Base bordo CD'!A$2:A$875,B1219,'Base bordo CD'!L$2:L$875,"CORTE DE CANA MECANIZADO"),0)</f>
        <v>0</v>
      </c>
      <c r="F1219" s="10">
        <f>IFERROR(SUMIFS('Base bordo CD'!M$2:M$875,'Base bordo CD'!D$2:D$875,A1219,'Base bordo CD'!A$2:A$875,B1219,'Base bordo CD'!L$2:L$875,"MANOBRA"),0)</f>
        <v>0</v>
      </c>
      <c r="G1219" s="10">
        <f>IFERROR(SUMIFS('Base bordo CD'!M$2:M$875,'Base bordo CD'!D$2:D$875,A1219,'Base bordo CD'!A$2:A$875,B1219,'Base bordo CD'!L$2:L$875,"DESLOCAMENTO"),0)</f>
        <v>0</v>
      </c>
      <c r="H1219" s="10">
        <f>IFERROR(SUMIFS('Base bordo CD'!M$2:M$875,'Base bordo CD'!D$2:D$875,A1219,'Base bordo CD'!A$2:A$875,B1219,'Base bordo CD'!L$2:L$875,"AGUARDANDO MANOBRA DE TRANSBORDO"),0)+IFERROR(SUMIFS('Base bordo CD'!M$2:M$875,'Base bordo CD'!D$2:D$875,A1219,'Base bordo CD'!A$2:A$875,B1219,'Base bordo CD'!L$2:L$875,"FALTA DE TRANSBORDO"),0)</f>
        <v>0</v>
      </c>
      <c r="I1219" s="10">
        <f>IFERROR(SUMIFS('Base bordo CD'!M$2:M$875,'Base bordo CD'!D$2:D$875,A1219,'Base bordo CD'!A$2:A$875,B1219,'Base bordo CD'!L$2:L$875,"PARADA POR CONDICOES CLIMATICAS"),0)+IFERROR(SUMIFS('Base bordo CD'!M$2:M$875,'Base bordo CD'!D$2:D$875,A1219,'Base bordo CD'!A$2:A$875,B1219,'Base bordo CD'!L$2:L$875,"TEMPO INDETERMINADO"),0)</f>
        <v>0</v>
      </c>
      <c r="J1219" s="10">
        <f>IFERROR(SUMIFS('Base bordo CD'!M$2:M$875,'Base bordo CD'!D$2:D$875,A1219,'Base bordo CD'!A$2:A$875,B1219,'Base bordo CD'!L$2:L$875,"LIMITAÇÃO INDÚSTRIA"),0)</f>
        <v>0</v>
      </c>
      <c r="K1219" s="10">
        <f>IFERROR(SUMIFS('Base bordo CD'!M$2:M$875,'Base bordo CD'!D$2:D$875,A1219,'Base bordo CD'!A$2:A$875,B1219,'Base bordo CD'!L$2:L$875,"MAN CORRETIVA*"),0)+IFERROR(SUMIFS('Base bordo CD'!M$2:M$875,'Base bordo CD'!D$2:D$875,A1219,'Base bordo CD'!A$2:A$875,B1219,'Base bordo CD'!L$2:L$875,"AGUARDANDO MANUTENCAO*"),0)+IFERROR(SUMIFS('Base bordo CD'!M$2:M$875,'Base bordo CD'!D$2:D$875,A1219,'Base bordo CD'!A$2:A$875,B1219,'Base bordo CD'!L$2:L$875,"TROCA DE FAQUINHA"),0)+IFERROR(SUMIFS('Base bordo CD'!M$2:M$875,'Base bordo CD'!D$2:D$875,A1219,'Base bordo CD'!A$2:A$875,B1219,'Base bordo CD'!L$2:L$875,"LIMPEZA*"),0)</f>
        <v>0</v>
      </c>
      <c r="L1219" s="10">
        <f>IFERROR(SUMIFS('Base bordo CD'!M$2:M$875,'Base bordo CD'!D$2:D$875,A1219,'Base bordo CD'!A$2:A$875,B1219,'Base bordo CD'!L$2:L$875,"PATIO - RESERVA"),0)</f>
        <v>0</v>
      </c>
      <c r="M1219" s="10">
        <f>IFERROR(SUMIFS('Base bordo CD'!M$2:M$875,'Base bordo CD'!D$2:D$875,A1219,'Base bordo CD'!A$2:A$875,B1219,'Base bordo CD'!L$2:L$875,"SEM APONTAMENTO"),0)</f>
        <v>0</v>
      </c>
      <c r="N1219" s="10">
        <f>IFERROR(SUMIFS('Base bordo CD'!M$2:M$875,'Base bordo CD'!D$2:D$875,A1219,'Base bordo CD'!A$2:A$875,B1219,'Base bordo CD'!L$2:L$875,"FALTA DE CAMINHÃO"),0)+IFERROR(SUMIFS('Base bordo CD'!M$2:M$875,'Base bordo CD'!D$2:D$875,A1219,'Base bordo CD'!A$2:A$875,B1219,'Base bordo CD'!L$2:L$875,"FALTA DE COMBUSTIVEL"),0)+IFERROR(SUMIFS('Base bordo CD'!M$2:M$875,'Base bordo CD'!D$2:D$875,A1219,'Base bordo CD'!A$2:A$875,B1219,'Base bordo CD'!L$2:L$875,"FALTA DE MOTORIST*"),0)</f>
        <v>0</v>
      </c>
      <c r="O1219" s="10">
        <f t="shared" si="100"/>
        <v>0</v>
      </c>
      <c r="P1219" s="10">
        <f>IFERROR(SUMIFS('Base bordo CD'!M$2:M$875,'Base bordo CD'!D$2:D$875,A1219,'Base bordo CD'!A$2:A$875,B1219),0)</f>
        <v>0</v>
      </c>
      <c r="Q1219" s="10">
        <f>IFERROR(SUMIFS('Base bordo CD'!O$2:O$875,'Base bordo CD'!D$2:D$875,A1219,'Base bordo CD'!A$2:A$875,B1219,'Base bordo CD'!L$2:L$875,"CORTE DE CANA MECANIZADO"),0)</f>
        <v>0</v>
      </c>
      <c r="R1219" s="10">
        <f>IFERROR(SUMIFS('Base bordo CD'!Q$2:Q$875,'Base bordo CD'!D$2:D$875,A1219,'Base bordo CD'!A$2:A$875,B1219,'Base bordo CD'!L$2:L$875,"CORTE DE CANA MECANIZADO"),0)</f>
        <v>0</v>
      </c>
      <c r="S1219" s="30" t="str">
        <f t="shared" si="101"/>
        <v/>
      </c>
      <c r="T1219" s="9">
        <f t="shared" si="102"/>
        <v>0</v>
      </c>
      <c r="U1219" s="9">
        <f t="shared" si="103"/>
        <v>0</v>
      </c>
      <c r="V1219" s="9">
        <f t="shared" si="104"/>
        <v>0</v>
      </c>
    </row>
    <row r="1220" spans="1:22" hidden="1" x14ac:dyDescent="0.35">
      <c r="A1220" s="52">
        <v>49590</v>
      </c>
      <c r="B1220" s="31">
        <v>46116</v>
      </c>
      <c r="C1220" s="7" t="s">
        <v>321</v>
      </c>
      <c r="D1220" s="7">
        <v>351</v>
      </c>
      <c r="E1220" s="10">
        <f>IFERROR(SUMIFS('Base bordo CD'!M$2:M$875,'Base bordo CD'!D$2:D$875,A1220,'Base bordo CD'!A$2:A$875,B1220,'Base bordo CD'!L$2:L$875,"CORTE DE CANA MECANIZADO"),0)</f>
        <v>0</v>
      </c>
      <c r="F1220" s="10">
        <f>IFERROR(SUMIFS('Base bordo CD'!M$2:M$875,'Base bordo CD'!D$2:D$875,A1220,'Base bordo CD'!A$2:A$875,B1220,'Base bordo CD'!L$2:L$875,"MANOBRA"),0)</f>
        <v>0</v>
      </c>
      <c r="G1220" s="10">
        <f>IFERROR(SUMIFS('Base bordo CD'!M$2:M$875,'Base bordo CD'!D$2:D$875,A1220,'Base bordo CD'!A$2:A$875,B1220,'Base bordo CD'!L$2:L$875,"DESLOCAMENTO"),0)</f>
        <v>0</v>
      </c>
      <c r="H1220" s="10">
        <f>IFERROR(SUMIFS('Base bordo CD'!M$2:M$875,'Base bordo CD'!D$2:D$875,A1220,'Base bordo CD'!A$2:A$875,B1220,'Base bordo CD'!L$2:L$875,"AGUARDANDO MANOBRA DE TRANSBORDO"),0)+IFERROR(SUMIFS('Base bordo CD'!M$2:M$875,'Base bordo CD'!D$2:D$875,A1220,'Base bordo CD'!A$2:A$875,B1220,'Base bordo CD'!L$2:L$875,"FALTA DE TRANSBORDO"),0)</f>
        <v>0</v>
      </c>
      <c r="I1220" s="10">
        <f>IFERROR(SUMIFS('Base bordo CD'!M$2:M$875,'Base bordo CD'!D$2:D$875,A1220,'Base bordo CD'!A$2:A$875,B1220,'Base bordo CD'!L$2:L$875,"PARADA POR CONDICOES CLIMATICAS"),0)+IFERROR(SUMIFS('Base bordo CD'!M$2:M$875,'Base bordo CD'!D$2:D$875,A1220,'Base bordo CD'!A$2:A$875,B1220,'Base bordo CD'!L$2:L$875,"TEMPO INDETERMINADO"),0)</f>
        <v>0</v>
      </c>
      <c r="J1220" s="10">
        <f>IFERROR(SUMIFS('Base bordo CD'!M$2:M$875,'Base bordo CD'!D$2:D$875,A1220,'Base bordo CD'!A$2:A$875,B1220,'Base bordo CD'!L$2:L$875,"LIMITAÇÃO INDÚSTRIA"),0)</f>
        <v>0</v>
      </c>
      <c r="K1220" s="10">
        <f>IFERROR(SUMIFS('Base bordo CD'!M$2:M$875,'Base bordo CD'!D$2:D$875,A1220,'Base bordo CD'!A$2:A$875,B1220,'Base bordo CD'!L$2:L$875,"MAN CORRETIVA*"),0)+IFERROR(SUMIFS('Base bordo CD'!M$2:M$875,'Base bordo CD'!D$2:D$875,A1220,'Base bordo CD'!A$2:A$875,B1220,'Base bordo CD'!L$2:L$875,"AGUARDANDO MANUTENCAO*"),0)+IFERROR(SUMIFS('Base bordo CD'!M$2:M$875,'Base bordo CD'!D$2:D$875,A1220,'Base bordo CD'!A$2:A$875,B1220,'Base bordo CD'!L$2:L$875,"TROCA DE FAQUINHA"),0)+IFERROR(SUMIFS('Base bordo CD'!M$2:M$875,'Base bordo CD'!D$2:D$875,A1220,'Base bordo CD'!A$2:A$875,B1220,'Base bordo CD'!L$2:L$875,"LIMPEZA*"),0)</f>
        <v>0</v>
      </c>
      <c r="L1220" s="10">
        <f>IFERROR(SUMIFS('Base bordo CD'!M$2:M$875,'Base bordo CD'!D$2:D$875,A1220,'Base bordo CD'!A$2:A$875,B1220,'Base bordo CD'!L$2:L$875,"PATIO - RESERVA"),0)</f>
        <v>0</v>
      </c>
      <c r="M1220" s="10">
        <f>IFERROR(SUMIFS('Base bordo CD'!M$2:M$875,'Base bordo CD'!D$2:D$875,A1220,'Base bordo CD'!A$2:A$875,B1220,'Base bordo CD'!L$2:L$875,"SEM APONTAMENTO"),0)</f>
        <v>0</v>
      </c>
      <c r="N1220" s="10">
        <f>IFERROR(SUMIFS('Base bordo CD'!M$2:M$875,'Base bordo CD'!D$2:D$875,A1220,'Base bordo CD'!A$2:A$875,B1220,'Base bordo CD'!L$2:L$875,"FALTA DE CAMINHÃO"),0)+IFERROR(SUMIFS('Base bordo CD'!M$2:M$875,'Base bordo CD'!D$2:D$875,A1220,'Base bordo CD'!A$2:A$875,B1220,'Base bordo CD'!L$2:L$875,"FALTA DE COMBUSTIVEL"),0)+IFERROR(SUMIFS('Base bordo CD'!M$2:M$875,'Base bordo CD'!D$2:D$875,A1220,'Base bordo CD'!A$2:A$875,B1220,'Base bordo CD'!L$2:L$875,"FALTA DE MOTORIST*"),0)</f>
        <v>0</v>
      </c>
      <c r="O1220" s="10">
        <f t="shared" si="100"/>
        <v>0</v>
      </c>
      <c r="P1220" s="10">
        <f>IFERROR(SUMIFS('Base bordo CD'!M$2:M$875,'Base bordo CD'!D$2:D$875,A1220,'Base bordo CD'!A$2:A$875,B1220),0)</f>
        <v>0</v>
      </c>
      <c r="Q1220" s="10">
        <f>IFERROR(SUMIFS('Base bordo CD'!O$2:O$875,'Base bordo CD'!D$2:D$875,A1220,'Base bordo CD'!A$2:A$875,B1220,'Base bordo CD'!L$2:L$875,"CORTE DE CANA MECANIZADO"),0)</f>
        <v>0</v>
      </c>
      <c r="R1220" s="10">
        <f>IFERROR(SUMIFS('Base bordo CD'!Q$2:Q$875,'Base bordo CD'!D$2:D$875,A1220,'Base bordo CD'!A$2:A$875,B1220,'Base bordo CD'!L$2:L$875,"CORTE DE CANA MECANIZADO"),0)</f>
        <v>0</v>
      </c>
      <c r="S1220" s="30" t="str">
        <f t="shared" si="101"/>
        <v/>
      </c>
      <c r="T1220" s="9">
        <f t="shared" si="102"/>
        <v>0</v>
      </c>
      <c r="U1220" s="9">
        <f t="shared" si="103"/>
        <v>0</v>
      </c>
      <c r="V1220" s="9">
        <f t="shared" si="104"/>
        <v>0</v>
      </c>
    </row>
    <row r="1221" spans="1:22" hidden="1" x14ac:dyDescent="0.35">
      <c r="A1221" s="52">
        <v>49590</v>
      </c>
      <c r="B1221" s="31">
        <v>46116</v>
      </c>
      <c r="C1221" s="7" t="s">
        <v>321</v>
      </c>
      <c r="D1221" s="7">
        <v>351</v>
      </c>
      <c r="E1221" s="10">
        <f>IFERROR(SUMIFS('Base bordo CD'!M$2:M$875,'Base bordo CD'!D$2:D$875,A1221,'Base bordo CD'!A$2:A$875,B1221,'Base bordo CD'!L$2:L$875,"CORTE DE CANA MECANIZADO"),0)</f>
        <v>0</v>
      </c>
      <c r="F1221" s="10">
        <f>IFERROR(SUMIFS('Base bordo CD'!M$2:M$875,'Base bordo CD'!D$2:D$875,A1221,'Base bordo CD'!A$2:A$875,B1221,'Base bordo CD'!L$2:L$875,"MANOBRA"),0)</f>
        <v>0</v>
      </c>
      <c r="G1221" s="10">
        <f>IFERROR(SUMIFS('Base bordo CD'!M$2:M$875,'Base bordo CD'!D$2:D$875,A1221,'Base bordo CD'!A$2:A$875,B1221,'Base bordo CD'!L$2:L$875,"DESLOCAMENTO"),0)</f>
        <v>0</v>
      </c>
      <c r="H1221" s="10">
        <f>IFERROR(SUMIFS('Base bordo CD'!M$2:M$875,'Base bordo CD'!D$2:D$875,A1221,'Base bordo CD'!A$2:A$875,B1221,'Base bordo CD'!L$2:L$875,"AGUARDANDO MANOBRA DE TRANSBORDO"),0)+IFERROR(SUMIFS('Base bordo CD'!M$2:M$875,'Base bordo CD'!D$2:D$875,A1221,'Base bordo CD'!A$2:A$875,B1221,'Base bordo CD'!L$2:L$875,"FALTA DE TRANSBORDO"),0)</f>
        <v>0</v>
      </c>
      <c r="I1221" s="10">
        <f>IFERROR(SUMIFS('Base bordo CD'!M$2:M$875,'Base bordo CD'!D$2:D$875,A1221,'Base bordo CD'!A$2:A$875,B1221,'Base bordo CD'!L$2:L$875,"PARADA POR CONDICOES CLIMATICAS"),0)+IFERROR(SUMIFS('Base bordo CD'!M$2:M$875,'Base bordo CD'!D$2:D$875,A1221,'Base bordo CD'!A$2:A$875,B1221,'Base bordo CD'!L$2:L$875,"TEMPO INDETERMINADO"),0)</f>
        <v>0</v>
      </c>
      <c r="J1221" s="10">
        <f>IFERROR(SUMIFS('Base bordo CD'!M$2:M$875,'Base bordo CD'!D$2:D$875,A1221,'Base bordo CD'!A$2:A$875,B1221,'Base bordo CD'!L$2:L$875,"LIMITAÇÃO INDÚSTRIA"),0)</f>
        <v>0</v>
      </c>
      <c r="K1221" s="10">
        <f>IFERROR(SUMIFS('Base bordo CD'!M$2:M$875,'Base bordo CD'!D$2:D$875,A1221,'Base bordo CD'!A$2:A$875,B1221,'Base bordo CD'!L$2:L$875,"MAN CORRETIVA*"),0)+IFERROR(SUMIFS('Base bordo CD'!M$2:M$875,'Base bordo CD'!D$2:D$875,A1221,'Base bordo CD'!A$2:A$875,B1221,'Base bordo CD'!L$2:L$875,"AGUARDANDO MANUTENCAO*"),0)+IFERROR(SUMIFS('Base bordo CD'!M$2:M$875,'Base bordo CD'!D$2:D$875,A1221,'Base bordo CD'!A$2:A$875,B1221,'Base bordo CD'!L$2:L$875,"TROCA DE FAQUINHA"),0)+IFERROR(SUMIFS('Base bordo CD'!M$2:M$875,'Base bordo CD'!D$2:D$875,A1221,'Base bordo CD'!A$2:A$875,B1221,'Base bordo CD'!L$2:L$875,"LIMPEZA*"),0)</f>
        <v>0</v>
      </c>
      <c r="L1221" s="10">
        <f>IFERROR(SUMIFS('Base bordo CD'!M$2:M$875,'Base bordo CD'!D$2:D$875,A1221,'Base bordo CD'!A$2:A$875,B1221,'Base bordo CD'!L$2:L$875,"PATIO - RESERVA"),0)</f>
        <v>0</v>
      </c>
      <c r="M1221" s="10">
        <f>IFERROR(SUMIFS('Base bordo CD'!M$2:M$875,'Base bordo CD'!D$2:D$875,A1221,'Base bordo CD'!A$2:A$875,B1221,'Base bordo CD'!L$2:L$875,"SEM APONTAMENTO"),0)</f>
        <v>0</v>
      </c>
      <c r="N1221" s="10">
        <f>IFERROR(SUMIFS('Base bordo CD'!M$2:M$875,'Base bordo CD'!D$2:D$875,A1221,'Base bordo CD'!A$2:A$875,B1221,'Base bordo CD'!L$2:L$875,"FALTA DE CAMINHÃO"),0)+IFERROR(SUMIFS('Base bordo CD'!M$2:M$875,'Base bordo CD'!D$2:D$875,A1221,'Base bordo CD'!A$2:A$875,B1221,'Base bordo CD'!L$2:L$875,"FALTA DE COMBUSTIVEL"),0)+IFERROR(SUMIFS('Base bordo CD'!M$2:M$875,'Base bordo CD'!D$2:D$875,A1221,'Base bordo CD'!A$2:A$875,B1221,'Base bordo CD'!L$2:L$875,"FALTA DE MOTORIST*"),0)</f>
        <v>0</v>
      </c>
      <c r="O1221" s="10">
        <f t="shared" si="100"/>
        <v>0</v>
      </c>
      <c r="P1221" s="10">
        <f>IFERROR(SUMIFS('Base bordo CD'!M$2:M$875,'Base bordo CD'!D$2:D$875,A1221,'Base bordo CD'!A$2:A$875,B1221),0)</f>
        <v>0</v>
      </c>
      <c r="Q1221" s="10">
        <f>IFERROR(SUMIFS('Base bordo CD'!O$2:O$875,'Base bordo CD'!D$2:D$875,A1221,'Base bordo CD'!A$2:A$875,B1221,'Base bordo CD'!L$2:L$875,"CORTE DE CANA MECANIZADO"),0)</f>
        <v>0</v>
      </c>
      <c r="R1221" s="10">
        <f>IFERROR(SUMIFS('Base bordo CD'!Q$2:Q$875,'Base bordo CD'!D$2:D$875,A1221,'Base bordo CD'!A$2:A$875,B1221,'Base bordo CD'!L$2:L$875,"CORTE DE CANA MECANIZADO"),0)</f>
        <v>0</v>
      </c>
      <c r="S1221" s="30" t="str">
        <f t="shared" si="101"/>
        <v/>
      </c>
      <c r="T1221" s="9">
        <f t="shared" si="102"/>
        <v>0</v>
      </c>
      <c r="U1221" s="9">
        <f t="shared" si="103"/>
        <v>0</v>
      </c>
      <c r="V1221" s="9">
        <f t="shared" si="104"/>
        <v>0</v>
      </c>
    </row>
    <row r="1222" spans="1:22" hidden="1" x14ac:dyDescent="0.35">
      <c r="A1222" s="52">
        <v>49591</v>
      </c>
      <c r="B1222" s="31">
        <v>46116</v>
      </c>
      <c r="C1222" s="7" t="s">
        <v>364</v>
      </c>
      <c r="D1222" s="7">
        <v>352</v>
      </c>
      <c r="E1222" s="10">
        <f>IFERROR(SUMIFS('Base bordo CD'!M$2:M$875,'Base bordo CD'!D$2:D$875,A1222,'Base bordo CD'!A$2:A$875,B1222,'Base bordo CD'!L$2:L$875,"CORTE DE CANA MECANIZADO"),0)</f>
        <v>0</v>
      </c>
      <c r="F1222" s="10">
        <f>IFERROR(SUMIFS('Base bordo CD'!M$2:M$875,'Base bordo CD'!D$2:D$875,A1222,'Base bordo CD'!A$2:A$875,B1222,'Base bordo CD'!L$2:L$875,"MANOBRA"),0)</f>
        <v>0</v>
      </c>
      <c r="G1222" s="10">
        <f>IFERROR(SUMIFS('Base bordo CD'!M$2:M$875,'Base bordo CD'!D$2:D$875,A1222,'Base bordo CD'!A$2:A$875,B1222,'Base bordo CD'!L$2:L$875,"DESLOCAMENTO"),0)</f>
        <v>0</v>
      </c>
      <c r="H1222" s="10">
        <f>IFERROR(SUMIFS('Base bordo CD'!M$2:M$875,'Base bordo CD'!D$2:D$875,A1222,'Base bordo CD'!A$2:A$875,B1222,'Base bordo CD'!L$2:L$875,"AGUARDANDO MANOBRA DE TRANSBORDO"),0)+IFERROR(SUMIFS('Base bordo CD'!M$2:M$875,'Base bordo CD'!D$2:D$875,A1222,'Base bordo CD'!A$2:A$875,B1222,'Base bordo CD'!L$2:L$875,"FALTA DE TRANSBORDO"),0)</f>
        <v>0</v>
      </c>
      <c r="I1222" s="10">
        <f>IFERROR(SUMIFS('Base bordo CD'!M$2:M$875,'Base bordo CD'!D$2:D$875,A1222,'Base bordo CD'!A$2:A$875,B1222,'Base bordo CD'!L$2:L$875,"PARADA POR CONDICOES CLIMATICAS"),0)+IFERROR(SUMIFS('Base bordo CD'!M$2:M$875,'Base bordo CD'!D$2:D$875,A1222,'Base bordo CD'!A$2:A$875,B1222,'Base bordo CD'!L$2:L$875,"TEMPO INDETERMINADO"),0)</f>
        <v>0</v>
      </c>
      <c r="J1222" s="10">
        <f>IFERROR(SUMIFS('Base bordo CD'!M$2:M$875,'Base bordo CD'!D$2:D$875,A1222,'Base bordo CD'!A$2:A$875,B1222,'Base bordo CD'!L$2:L$875,"LIMITAÇÃO INDÚSTRIA"),0)</f>
        <v>0</v>
      </c>
      <c r="K1222" s="10">
        <f>IFERROR(SUMIFS('Base bordo CD'!M$2:M$875,'Base bordo CD'!D$2:D$875,A1222,'Base bordo CD'!A$2:A$875,B1222,'Base bordo CD'!L$2:L$875,"MAN CORRETIVA*"),0)+IFERROR(SUMIFS('Base bordo CD'!M$2:M$875,'Base bordo CD'!D$2:D$875,A1222,'Base bordo CD'!A$2:A$875,B1222,'Base bordo CD'!L$2:L$875,"AGUARDANDO MANUTENCAO*"),0)+IFERROR(SUMIFS('Base bordo CD'!M$2:M$875,'Base bordo CD'!D$2:D$875,A1222,'Base bordo CD'!A$2:A$875,B1222,'Base bordo CD'!L$2:L$875,"TROCA DE FAQUINHA"),0)+IFERROR(SUMIFS('Base bordo CD'!M$2:M$875,'Base bordo CD'!D$2:D$875,A1222,'Base bordo CD'!A$2:A$875,B1222,'Base bordo CD'!L$2:L$875,"LIMPEZA*"),0)</f>
        <v>0</v>
      </c>
      <c r="L1222" s="10">
        <f>IFERROR(SUMIFS('Base bordo CD'!M$2:M$875,'Base bordo CD'!D$2:D$875,A1222,'Base bordo CD'!A$2:A$875,B1222,'Base bordo CD'!L$2:L$875,"PATIO - RESERVA"),0)</f>
        <v>0</v>
      </c>
      <c r="M1222" s="10">
        <f>IFERROR(SUMIFS('Base bordo CD'!M$2:M$875,'Base bordo CD'!D$2:D$875,A1222,'Base bordo CD'!A$2:A$875,B1222,'Base bordo CD'!L$2:L$875,"SEM APONTAMENTO"),0)</f>
        <v>0</v>
      </c>
      <c r="N1222" s="10">
        <f>IFERROR(SUMIFS('Base bordo CD'!M$2:M$875,'Base bordo CD'!D$2:D$875,A1222,'Base bordo CD'!A$2:A$875,B1222,'Base bordo CD'!L$2:L$875,"FALTA DE CAMINHÃO"),0)+IFERROR(SUMIFS('Base bordo CD'!M$2:M$875,'Base bordo CD'!D$2:D$875,A1222,'Base bordo CD'!A$2:A$875,B1222,'Base bordo CD'!L$2:L$875,"FALTA DE COMBUSTIVEL"),0)+IFERROR(SUMIFS('Base bordo CD'!M$2:M$875,'Base bordo CD'!D$2:D$875,A1222,'Base bordo CD'!A$2:A$875,B1222,'Base bordo CD'!L$2:L$875,"FALTA DE MOTORIST*"),0)</f>
        <v>0</v>
      </c>
      <c r="O1222" s="10">
        <f t="shared" si="100"/>
        <v>0</v>
      </c>
      <c r="P1222" s="10">
        <f>IFERROR(SUMIFS('Base bordo CD'!M$2:M$875,'Base bordo CD'!D$2:D$875,A1222,'Base bordo CD'!A$2:A$875,B1222),0)</f>
        <v>0</v>
      </c>
      <c r="Q1222" s="10">
        <f>IFERROR(SUMIFS('Base bordo CD'!O$2:O$875,'Base bordo CD'!D$2:D$875,A1222,'Base bordo CD'!A$2:A$875,B1222,'Base bordo CD'!L$2:L$875,"CORTE DE CANA MECANIZADO"),0)</f>
        <v>0</v>
      </c>
      <c r="R1222" s="10">
        <f>IFERROR(SUMIFS('Base bordo CD'!Q$2:Q$875,'Base bordo CD'!D$2:D$875,A1222,'Base bordo CD'!A$2:A$875,B1222,'Base bordo CD'!L$2:L$875,"CORTE DE CANA MECANIZADO"),0)</f>
        <v>0</v>
      </c>
      <c r="S1222" s="30" t="str">
        <f t="shared" si="101"/>
        <v/>
      </c>
      <c r="T1222" s="9">
        <f t="shared" si="102"/>
        <v>0</v>
      </c>
      <c r="U1222" s="9">
        <f t="shared" si="103"/>
        <v>0</v>
      </c>
      <c r="V1222" s="9">
        <f t="shared" si="104"/>
        <v>0</v>
      </c>
    </row>
    <row r="1223" spans="1:22" hidden="1" x14ac:dyDescent="0.35">
      <c r="A1223" s="52">
        <v>49591</v>
      </c>
      <c r="B1223" s="31">
        <v>46116</v>
      </c>
      <c r="C1223" s="7" t="s">
        <v>364</v>
      </c>
      <c r="D1223" s="7">
        <v>352</v>
      </c>
      <c r="E1223" s="10">
        <f>IFERROR(SUMIFS('Base bordo CD'!M$2:M$875,'Base bordo CD'!D$2:D$875,A1223,'Base bordo CD'!A$2:A$875,B1223,'Base bordo CD'!L$2:L$875,"CORTE DE CANA MECANIZADO"),0)</f>
        <v>0</v>
      </c>
      <c r="F1223" s="10">
        <f>IFERROR(SUMIFS('Base bordo CD'!M$2:M$875,'Base bordo CD'!D$2:D$875,A1223,'Base bordo CD'!A$2:A$875,B1223,'Base bordo CD'!L$2:L$875,"MANOBRA"),0)</f>
        <v>0</v>
      </c>
      <c r="G1223" s="10">
        <f>IFERROR(SUMIFS('Base bordo CD'!M$2:M$875,'Base bordo CD'!D$2:D$875,A1223,'Base bordo CD'!A$2:A$875,B1223,'Base bordo CD'!L$2:L$875,"DESLOCAMENTO"),0)</f>
        <v>0</v>
      </c>
      <c r="H1223" s="10">
        <f>IFERROR(SUMIFS('Base bordo CD'!M$2:M$875,'Base bordo CD'!D$2:D$875,A1223,'Base bordo CD'!A$2:A$875,B1223,'Base bordo CD'!L$2:L$875,"AGUARDANDO MANOBRA DE TRANSBORDO"),0)+IFERROR(SUMIFS('Base bordo CD'!M$2:M$875,'Base bordo CD'!D$2:D$875,A1223,'Base bordo CD'!A$2:A$875,B1223,'Base bordo CD'!L$2:L$875,"FALTA DE TRANSBORDO"),0)</f>
        <v>0</v>
      </c>
      <c r="I1223" s="10">
        <f>IFERROR(SUMIFS('Base bordo CD'!M$2:M$875,'Base bordo CD'!D$2:D$875,A1223,'Base bordo CD'!A$2:A$875,B1223,'Base bordo CD'!L$2:L$875,"PARADA POR CONDICOES CLIMATICAS"),0)+IFERROR(SUMIFS('Base bordo CD'!M$2:M$875,'Base bordo CD'!D$2:D$875,A1223,'Base bordo CD'!A$2:A$875,B1223,'Base bordo CD'!L$2:L$875,"TEMPO INDETERMINADO"),0)</f>
        <v>0</v>
      </c>
      <c r="J1223" s="10">
        <f>IFERROR(SUMIFS('Base bordo CD'!M$2:M$875,'Base bordo CD'!D$2:D$875,A1223,'Base bordo CD'!A$2:A$875,B1223,'Base bordo CD'!L$2:L$875,"LIMITAÇÃO INDÚSTRIA"),0)</f>
        <v>0</v>
      </c>
      <c r="K1223" s="10">
        <f>IFERROR(SUMIFS('Base bordo CD'!M$2:M$875,'Base bordo CD'!D$2:D$875,A1223,'Base bordo CD'!A$2:A$875,B1223,'Base bordo CD'!L$2:L$875,"MAN CORRETIVA*"),0)+IFERROR(SUMIFS('Base bordo CD'!M$2:M$875,'Base bordo CD'!D$2:D$875,A1223,'Base bordo CD'!A$2:A$875,B1223,'Base bordo CD'!L$2:L$875,"AGUARDANDO MANUTENCAO*"),0)+IFERROR(SUMIFS('Base bordo CD'!M$2:M$875,'Base bordo CD'!D$2:D$875,A1223,'Base bordo CD'!A$2:A$875,B1223,'Base bordo CD'!L$2:L$875,"TROCA DE FAQUINHA"),0)+IFERROR(SUMIFS('Base bordo CD'!M$2:M$875,'Base bordo CD'!D$2:D$875,A1223,'Base bordo CD'!A$2:A$875,B1223,'Base bordo CD'!L$2:L$875,"LIMPEZA*"),0)</f>
        <v>0</v>
      </c>
      <c r="L1223" s="10">
        <f>IFERROR(SUMIFS('Base bordo CD'!M$2:M$875,'Base bordo CD'!D$2:D$875,A1223,'Base bordo CD'!A$2:A$875,B1223,'Base bordo CD'!L$2:L$875,"PATIO - RESERVA"),0)</f>
        <v>0</v>
      </c>
      <c r="M1223" s="10">
        <f>IFERROR(SUMIFS('Base bordo CD'!M$2:M$875,'Base bordo CD'!D$2:D$875,A1223,'Base bordo CD'!A$2:A$875,B1223,'Base bordo CD'!L$2:L$875,"SEM APONTAMENTO"),0)</f>
        <v>0</v>
      </c>
      <c r="N1223" s="10">
        <f>IFERROR(SUMIFS('Base bordo CD'!M$2:M$875,'Base bordo CD'!D$2:D$875,A1223,'Base bordo CD'!A$2:A$875,B1223,'Base bordo CD'!L$2:L$875,"FALTA DE CAMINHÃO"),0)+IFERROR(SUMIFS('Base bordo CD'!M$2:M$875,'Base bordo CD'!D$2:D$875,A1223,'Base bordo CD'!A$2:A$875,B1223,'Base bordo CD'!L$2:L$875,"FALTA DE COMBUSTIVEL"),0)+IFERROR(SUMIFS('Base bordo CD'!M$2:M$875,'Base bordo CD'!D$2:D$875,A1223,'Base bordo CD'!A$2:A$875,B1223,'Base bordo CD'!L$2:L$875,"FALTA DE MOTORIST*"),0)</f>
        <v>0</v>
      </c>
      <c r="O1223" s="10">
        <f t="shared" si="100"/>
        <v>0</v>
      </c>
      <c r="P1223" s="10">
        <f>IFERROR(SUMIFS('Base bordo CD'!M$2:M$875,'Base bordo CD'!D$2:D$875,A1223,'Base bordo CD'!A$2:A$875,B1223),0)</f>
        <v>0</v>
      </c>
      <c r="Q1223" s="10">
        <f>IFERROR(SUMIFS('Base bordo CD'!O$2:O$875,'Base bordo CD'!D$2:D$875,A1223,'Base bordo CD'!A$2:A$875,B1223,'Base bordo CD'!L$2:L$875,"CORTE DE CANA MECANIZADO"),0)</f>
        <v>0</v>
      </c>
      <c r="R1223" s="10">
        <f>IFERROR(SUMIFS('Base bordo CD'!Q$2:Q$875,'Base bordo CD'!D$2:D$875,A1223,'Base bordo CD'!A$2:A$875,B1223,'Base bordo CD'!L$2:L$875,"CORTE DE CANA MECANIZADO"),0)</f>
        <v>0</v>
      </c>
      <c r="S1223" s="30" t="str">
        <f t="shared" si="101"/>
        <v/>
      </c>
      <c r="T1223" s="9">
        <f t="shared" si="102"/>
        <v>0</v>
      </c>
      <c r="U1223" s="9">
        <f t="shared" si="103"/>
        <v>0</v>
      </c>
      <c r="V1223" s="9">
        <f t="shared" si="104"/>
        <v>0</v>
      </c>
    </row>
    <row r="1224" spans="1:22" hidden="1" x14ac:dyDescent="0.35">
      <c r="A1224" s="52">
        <v>49592</v>
      </c>
      <c r="B1224" s="31">
        <v>46116</v>
      </c>
      <c r="C1224" s="7" t="s">
        <v>364</v>
      </c>
      <c r="D1224" s="7">
        <v>352</v>
      </c>
      <c r="E1224" s="10">
        <f>IFERROR(SUMIFS('Base bordo CD'!M$2:M$875,'Base bordo CD'!D$2:D$875,A1224,'Base bordo CD'!A$2:A$875,B1224,'Base bordo CD'!L$2:L$875,"CORTE DE CANA MECANIZADO"),0)</f>
        <v>0</v>
      </c>
      <c r="F1224" s="10">
        <f>IFERROR(SUMIFS('Base bordo CD'!M$2:M$875,'Base bordo CD'!D$2:D$875,A1224,'Base bordo CD'!A$2:A$875,B1224,'Base bordo CD'!L$2:L$875,"MANOBRA"),0)</f>
        <v>0</v>
      </c>
      <c r="G1224" s="10">
        <f>IFERROR(SUMIFS('Base bordo CD'!M$2:M$875,'Base bordo CD'!D$2:D$875,A1224,'Base bordo CD'!A$2:A$875,B1224,'Base bordo CD'!L$2:L$875,"DESLOCAMENTO"),0)</f>
        <v>0</v>
      </c>
      <c r="H1224" s="10">
        <f>IFERROR(SUMIFS('Base bordo CD'!M$2:M$875,'Base bordo CD'!D$2:D$875,A1224,'Base bordo CD'!A$2:A$875,B1224,'Base bordo CD'!L$2:L$875,"AGUARDANDO MANOBRA DE TRANSBORDO"),0)+IFERROR(SUMIFS('Base bordo CD'!M$2:M$875,'Base bordo CD'!D$2:D$875,A1224,'Base bordo CD'!A$2:A$875,B1224,'Base bordo CD'!L$2:L$875,"FALTA DE TRANSBORDO"),0)</f>
        <v>0</v>
      </c>
      <c r="I1224" s="10">
        <f>IFERROR(SUMIFS('Base bordo CD'!M$2:M$875,'Base bordo CD'!D$2:D$875,A1224,'Base bordo CD'!A$2:A$875,B1224,'Base bordo CD'!L$2:L$875,"PARADA POR CONDICOES CLIMATICAS"),0)+IFERROR(SUMIFS('Base bordo CD'!M$2:M$875,'Base bordo CD'!D$2:D$875,A1224,'Base bordo CD'!A$2:A$875,B1224,'Base bordo CD'!L$2:L$875,"TEMPO INDETERMINADO"),0)</f>
        <v>0</v>
      </c>
      <c r="J1224" s="10">
        <f>IFERROR(SUMIFS('Base bordo CD'!M$2:M$875,'Base bordo CD'!D$2:D$875,A1224,'Base bordo CD'!A$2:A$875,B1224,'Base bordo CD'!L$2:L$875,"LIMITAÇÃO INDÚSTRIA"),0)</f>
        <v>0</v>
      </c>
      <c r="K1224" s="10">
        <f>IFERROR(SUMIFS('Base bordo CD'!M$2:M$875,'Base bordo CD'!D$2:D$875,A1224,'Base bordo CD'!A$2:A$875,B1224,'Base bordo CD'!L$2:L$875,"MAN CORRETIVA*"),0)+IFERROR(SUMIFS('Base bordo CD'!M$2:M$875,'Base bordo CD'!D$2:D$875,A1224,'Base bordo CD'!A$2:A$875,B1224,'Base bordo CD'!L$2:L$875,"AGUARDANDO MANUTENCAO*"),0)+IFERROR(SUMIFS('Base bordo CD'!M$2:M$875,'Base bordo CD'!D$2:D$875,A1224,'Base bordo CD'!A$2:A$875,B1224,'Base bordo CD'!L$2:L$875,"TROCA DE FAQUINHA"),0)+IFERROR(SUMIFS('Base bordo CD'!M$2:M$875,'Base bordo CD'!D$2:D$875,A1224,'Base bordo CD'!A$2:A$875,B1224,'Base bordo CD'!L$2:L$875,"LIMPEZA*"),0)</f>
        <v>0</v>
      </c>
      <c r="L1224" s="10">
        <f>IFERROR(SUMIFS('Base bordo CD'!M$2:M$875,'Base bordo CD'!D$2:D$875,A1224,'Base bordo CD'!A$2:A$875,B1224,'Base bordo CD'!L$2:L$875,"PATIO - RESERVA"),0)</f>
        <v>0</v>
      </c>
      <c r="M1224" s="10">
        <f>IFERROR(SUMIFS('Base bordo CD'!M$2:M$875,'Base bordo CD'!D$2:D$875,A1224,'Base bordo CD'!A$2:A$875,B1224,'Base bordo CD'!L$2:L$875,"SEM APONTAMENTO"),0)</f>
        <v>0</v>
      </c>
      <c r="N1224" s="10">
        <f>IFERROR(SUMIFS('Base bordo CD'!M$2:M$875,'Base bordo CD'!D$2:D$875,A1224,'Base bordo CD'!A$2:A$875,B1224,'Base bordo CD'!L$2:L$875,"FALTA DE CAMINHÃO"),0)+IFERROR(SUMIFS('Base bordo CD'!M$2:M$875,'Base bordo CD'!D$2:D$875,A1224,'Base bordo CD'!A$2:A$875,B1224,'Base bordo CD'!L$2:L$875,"FALTA DE COMBUSTIVEL"),0)+IFERROR(SUMIFS('Base bordo CD'!M$2:M$875,'Base bordo CD'!D$2:D$875,A1224,'Base bordo CD'!A$2:A$875,B1224,'Base bordo CD'!L$2:L$875,"FALTA DE MOTORIST*"),0)</f>
        <v>0</v>
      </c>
      <c r="O1224" s="10">
        <f t="shared" si="100"/>
        <v>0</v>
      </c>
      <c r="P1224" s="10">
        <f>IFERROR(SUMIFS('Base bordo CD'!M$2:M$875,'Base bordo CD'!D$2:D$875,A1224,'Base bordo CD'!A$2:A$875,B1224),0)</f>
        <v>0</v>
      </c>
      <c r="Q1224" s="10">
        <f>IFERROR(SUMIFS('Base bordo CD'!O$2:O$875,'Base bordo CD'!D$2:D$875,A1224,'Base bordo CD'!A$2:A$875,B1224,'Base bordo CD'!L$2:L$875,"CORTE DE CANA MECANIZADO"),0)</f>
        <v>0</v>
      </c>
      <c r="R1224" s="10">
        <f>IFERROR(SUMIFS('Base bordo CD'!Q$2:Q$875,'Base bordo CD'!D$2:D$875,A1224,'Base bordo CD'!A$2:A$875,B1224,'Base bordo CD'!L$2:L$875,"CORTE DE CANA MECANIZADO"),0)</f>
        <v>0</v>
      </c>
      <c r="S1224" s="30" t="str">
        <f t="shared" si="101"/>
        <v/>
      </c>
      <c r="T1224" s="9">
        <f t="shared" si="102"/>
        <v>0</v>
      </c>
      <c r="U1224" s="9">
        <f t="shared" si="103"/>
        <v>0</v>
      </c>
      <c r="V1224" s="9">
        <f t="shared" si="104"/>
        <v>0</v>
      </c>
    </row>
    <row r="1225" spans="1:22" hidden="1" x14ac:dyDescent="0.35">
      <c r="A1225" s="52">
        <v>49592</v>
      </c>
      <c r="B1225" s="31">
        <v>46116</v>
      </c>
      <c r="C1225" s="7" t="s">
        <v>364</v>
      </c>
      <c r="D1225" s="7">
        <v>352</v>
      </c>
      <c r="E1225" s="10">
        <f>IFERROR(SUMIFS('Base bordo CD'!M$2:M$875,'Base bordo CD'!D$2:D$875,A1225,'Base bordo CD'!A$2:A$875,B1225,'Base bordo CD'!L$2:L$875,"CORTE DE CANA MECANIZADO"),0)</f>
        <v>0</v>
      </c>
      <c r="F1225" s="10">
        <f>IFERROR(SUMIFS('Base bordo CD'!M$2:M$875,'Base bordo CD'!D$2:D$875,A1225,'Base bordo CD'!A$2:A$875,B1225,'Base bordo CD'!L$2:L$875,"MANOBRA"),0)</f>
        <v>0</v>
      </c>
      <c r="G1225" s="10">
        <f>IFERROR(SUMIFS('Base bordo CD'!M$2:M$875,'Base bordo CD'!D$2:D$875,A1225,'Base bordo CD'!A$2:A$875,B1225,'Base bordo CD'!L$2:L$875,"DESLOCAMENTO"),0)</f>
        <v>0</v>
      </c>
      <c r="H1225" s="10">
        <f>IFERROR(SUMIFS('Base bordo CD'!M$2:M$875,'Base bordo CD'!D$2:D$875,A1225,'Base bordo CD'!A$2:A$875,B1225,'Base bordo CD'!L$2:L$875,"AGUARDANDO MANOBRA DE TRANSBORDO"),0)+IFERROR(SUMIFS('Base bordo CD'!M$2:M$875,'Base bordo CD'!D$2:D$875,A1225,'Base bordo CD'!A$2:A$875,B1225,'Base bordo CD'!L$2:L$875,"FALTA DE TRANSBORDO"),0)</f>
        <v>0</v>
      </c>
      <c r="I1225" s="10">
        <f>IFERROR(SUMIFS('Base bordo CD'!M$2:M$875,'Base bordo CD'!D$2:D$875,A1225,'Base bordo CD'!A$2:A$875,B1225,'Base bordo CD'!L$2:L$875,"PARADA POR CONDICOES CLIMATICAS"),0)+IFERROR(SUMIFS('Base bordo CD'!M$2:M$875,'Base bordo CD'!D$2:D$875,A1225,'Base bordo CD'!A$2:A$875,B1225,'Base bordo CD'!L$2:L$875,"TEMPO INDETERMINADO"),0)</f>
        <v>0</v>
      </c>
      <c r="J1225" s="10">
        <f>IFERROR(SUMIFS('Base bordo CD'!M$2:M$875,'Base bordo CD'!D$2:D$875,A1225,'Base bordo CD'!A$2:A$875,B1225,'Base bordo CD'!L$2:L$875,"LIMITAÇÃO INDÚSTRIA"),0)</f>
        <v>0</v>
      </c>
      <c r="K1225" s="10">
        <f>IFERROR(SUMIFS('Base bordo CD'!M$2:M$875,'Base bordo CD'!D$2:D$875,A1225,'Base bordo CD'!A$2:A$875,B1225,'Base bordo CD'!L$2:L$875,"MAN CORRETIVA*"),0)+IFERROR(SUMIFS('Base bordo CD'!M$2:M$875,'Base bordo CD'!D$2:D$875,A1225,'Base bordo CD'!A$2:A$875,B1225,'Base bordo CD'!L$2:L$875,"AGUARDANDO MANUTENCAO*"),0)+IFERROR(SUMIFS('Base bordo CD'!M$2:M$875,'Base bordo CD'!D$2:D$875,A1225,'Base bordo CD'!A$2:A$875,B1225,'Base bordo CD'!L$2:L$875,"TROCA DE FAQUINHA"),0)+IFERROR(SUMIFS('Base bordo CD'!M$2:M$875,'Base bordo CD'!D$2:D$875,A1225,'Base bordo CD'!A$2:A$875,B1225,'Base bordo CD'!L$2:L$875,"LIMPEZA*"),0)</f>
        <v>0</v>
      </c>
      <c r="L1225" s="10">
        <f>IFERROR(SUMIFS('Base bordo CD'!M$2:M$875,'Base bordo CD'!D$2:D$875,A1225,'Base bordo CD'!A$2:A$875,B1225,'Base bordo CD'!L$2:L$875,"PATIO - RESERVA"),0)</f>
        <v>0</v>
      </c>
      <c r="M1225" s="10">
        <f>IFERROR(SUMIFS('Base bordo CD'!M$2:M$875,'Base bordo CD'!D$2:D$875,A1225,'Base bordo CD'!A$2:A$875,B1225,'Base bordo CD'!L$2:L$875,"SEM APONTAMENTO"),0)</f>
        <v>0</v>
      </c>
      <c r="N1225" s="10">
        <f>IFERROR(SUMIFS('Base bordo CD'!M$2:M$875,'Base bordo CD'!D$2:D$875,A1225,'Base bordo CD'!A$2:A$875,B1225,'Base bordo CD'!L$2:L$875,"FALTA DE CAMINHÃO"),0)+IFERROR(SUMIFS('Base bordo CD'!M$2:M$875,'Base bordo CD'!D$2:D$875,A1225,'Base bordo CD'!A$2:A$875,B1225,'Base bordo CD'!L$2:L$875,"FALTA DE COMBUSTIVEL"),0)+IFERROR(SUMIFS('Base bordo CD'!M$2:M$875,'Base bordo CD'!D$2:D$875,A1225,'Base bordo CD'!A$2:A$875,B1225,'Base bordo CD'!L$2:L$875,"FALTA DE MOTORIST*"),0)</f>
        <v>0</v>
      </c>
      <c r="O1225" s="10">
        <f t="shared" si="100"/>
        <v>0</v>
      </c>
      <c r="P1225" s="10">
        <f>IFERROR(SUMIFS('Base bordo CD'!M$2:M$875,'Base bordo CD'!D$2:D$875,A1225,'Base bordo CD'!A$2:A$875,B1225),0)</f>
        <v>0</v>
      </c>
      <c r="Q1225" s="10">
        <f>IFERROR(SUMIFS('Base bordo CD'!O$2:O$875,'Base bordo CD'!D$2:D$875,A1225,'Base bordo CD'!A$2:A$875,B1225,'Base bordo CD'!L$2:L$875,"CORTE DE CANA MECANIZADO"),0)</f>
        <v>0</v>
      </c>
      <c r="R1225" s="10">
        <f>IFERROR(SUMIFS('Base bordo CD'!Q$2:Q$875,'Base bordo CD'!D$2:D$875,A1225,'Base bordo CD'!A$2:A$875,B1225,'Base bordo CD'!L$2:L$875,"CORTE DE CANA MECANIZADO"),0)</f>
        <v>0</v>
      </c>
      <c r="S1225" s="30" t="str">
        <f t="shared" si="101"/>
        <v/>
      </c>
      <c r="T1225" s="9">
        <f t="shared" si="102"/>
        <v>0</v>
      </c>
      <c r="U1225" s="9">
        <f t="shared" si="103"/>
        <v>0</v>
      </c>
      <c r="V1225" s="9">
        <f t="shared" si="104"/>
        <v>0</v>
      </c>
    </row>
    <row r="1226" spans="1:22" hidden="1" x14ac:dyDescent="0.35">
      <c r="A1226" s="52">
        <v>49593</v>
      </c>
      <c r="B1226" s="31">
        <v>46116</v>
      </c>
      <c r="C1226" s="7" t="s">
        <v>321</v>
      </c>
      <c r="D1226" s="7">
        <v>351</v>
      </c>
      <c r="E1226" s="10">
        <f>IFERROR(SUMIFS('Base bordo CD'!M$2:M$875,'Base bordo CD'!D$2:D$875,A1226,'Base bordo CD'!A$2:A$875,B1226,'Base bordo CD'!L$2:L$875,"CORTE DE CANA MECANIZADO"),0)</f>
        <v>0</v>
      </c>
      <c r="F1226" s="10">
        <f>IFERROR(SUMIFS('Base bordo CD'!M$2:M$875,'Base bordo CD'!D$2:D$875,A1226,'Base bordo CD'!A$2:A$875,B1226,'Base bordo CD'!L$2:L$875,"MANOBRA"),0)</f>
        <v>0</v>
      </c>
      <c r="G1226" s="10">
        <f>IFERROR(SUMIFS('Base bordo CD'!M$2:M$875,'Base bordo CD'!D$2:D$875,A1226,'Base bordo CD'!A$2:A$875,B1226,'Base bordo CD'!L$2:L$875,"DESLOCAMENTO"),0)</f>
        <v>0</v>
      </c>
      <c r="H1226" s="10">
        <f>IFERROR(SUMIFS('Base bordo CD'!M$2:M$875,'Base bordo CD'!D$2:D$875,A1226,'Base bordo CD'!A$2:A$875,B1226,'Base bordo CD'!L$2:L$875,"AGUARDANDO MANOBRA DE TRANSBORDO"),0)+IFERROR(SUMIFS('Base bordo CD'!M$2:M$875,'Base bordo CD'!D$2:D$875,A1226,'Base bordo CD'!A$2:A$875,B1226,'Base bordo CD'!L$2:L$875,"FALTA DE TRANSBORDO"),0)</f>
        <v>0</v>
      </c>
      <c r="I1226" s="10">
        <f>IFERROR(SUMIFS('Base bordo CD'!M$2:M$875,'Base bordo CD'!D$2:D$875,A1226,'Base bordo CD'!A$2:A$875,B1226,'Base bordo CD'!L$2:L$875,"PARADA POR CONDICOES CLIMATICAS"),0)+IFERROR(SUMIFS('Base bordo CD'!M$2:M$875,'Base bordo CD'!D$2:D$875,A1226,'Base bordo CD'!A$2:A$875,B1226,'Base bordo CD'!L$2:L$875,"TEMPO INDETERMINADO"),0)</f>
        <v>0</v>
      </c>
      <c r="J1226" s="10">
        <f>IFERROR(SUMIFS('Base bordo CD'!M$2:M$875,'Base bordo CD'!D$2:D$875,A1226,'Base bordo CD'!A$2:A$875,B1226,'Base bordo CD'!L$2:L$875,"LIMITAÇÃO INDÚSTRIA"),0)</f>
        <v>0</v>
      </c>
      <c r="K1226" s="10">
        <f>IFERROR(SUMIFS('Base bordo CD'!M$2:M$875,'Base bordo CD'!D$2:D$875,A1226,'Base bordo CD'!A$2:A$875,B1226,'Base bordo CD'!L$2:L$875,"MAN CORRETIVA*"),0)+IFERROR(SUMIFS('Base bordo CD'!M$2:M$875,'Base bordo CD'!D$2:D$875,A1226,'Base bordo CD'!A$2:A$875,B1226,'Base bordo CD'!L$2:L$875,"AGUARDANDO MANUTENCAO*"),0)+IFERROR(SUMIFS('Base bordo CD'!M$2:M$875,'Base bordo CD'!D$2:D$875,A1226,'Base bordo CD'!A$2:A$875,B1226,'Base bordo CD'!L$2:L$875,"TROCA DE FAQUINHA"),0)+IFERROR(SUMIFS('Base bordo CD'!M$2:M$875,'Base bordo CD'!D$2:D$875,A1226,'Base bordo CD'!A$2:A$875,B1226,'Base bordo CD'!L$2:L$875,"LIMPEZA*"),0)</f>
        <v>0</v>
      </c>
      <c r="L1226" s="10">
        <f>IFERROR(SUMIFS('Base bordo CD'!M$2:M$875,'Base bordo CD'!D$2:D$875,A1226,'Base bordo CD'!A$2:A$875,B1226,'Base bordo CD'!L$2:L$875,"PATIO - RESERVA"),0)</f>
        <v>0</v>
      </c>
      <c r="M1226" s="10">
        <f>IFERROR(SUMIFS('Base bordo CD'!M$2:M$875,'Base bordo CD'!D$2:D$875,A1226,'Base bordo CD'!A$2:A$875,B1226,'Base bordo CD'!L$2:L$875,"SEM APONTAMENTO"),0)</f>
        <v>0</v>
      </c>
      <c r="N1226" s="10">
        <f>IFERROR(SUMIFS('Base bordo CD'!M$2:M$875,'Base bordo CD'!D$2:D$875,A1226,'Base bordo CD'!A$2:A$875,B1226,'Base bordo CD'!L$2:L$875,"FALTA DE CAMINHÃO"),0)+IFERROR(SUMIFS('Base bordo CD'!M$2:M$875,'Base bordo CD'!D$2:D$875,A1226,'Base bordo CD'!A$2:A$875,B1226,'Base bordo CD'!L$2:L$875,"FALTA DE COMBUSTIVEL"),0)+IFERROR(SUMIFS('Base bordo CD'!M$2:M$875,'Base bordo CD'!D$2:D$875,A1226,'Base bordo CD'!A$2:A$875,B1226,'Base bordo CD'!L$2:L$875,"FALTA DE MOTORIST*"),0)</f>
        <v>0</v>
      </c>
      <c r="O1226" s="10">
        <f t="shared" si="100"/>
        <v>0</v>
      </c>
      <c r="P1226" s="10">
        <f>IFERROR(SUMIFS('Base bordo CD'!M$2:M$875,'Base bordo CD'!D$2:D$875,A1226,'Base bordo CD'!A$2:A$875,B1226),0)</f>
        <v>0</v>
      </c>
      <c r="Q1226" s="10">
        <f>IFERROR(SUMIFS('Base bordo CD'!O$2:O$875,'Base bordo CD'!D$2:D$875,A1226,'Base bordo CD'!A$2:A$875,B1226,'Base bordo CD'!L$2:L$875,"CORTE DE CANA MECANIZADO"),0)</f>
        <v>0</v>
      </c>
      <c r="R1226" s="10">
        <f>IFERROR(SUMIFS('Base bordo CD'!Q$2:Q$875,'Base bordo CD'!D$2:D$875,A1226,'Base bordo CD'!A$2:A$875,B1226,'Base bordo CD'!L$2:L$875,"CORTE DE CANA MECANIZADO"),0)</f>
        <v>0</v>
      </c>
      <c r="S1226" s="30" t="str">
        <f t="shared" si="101"/>
        <v/>
      </c>
      <c r="T1226" s="9">
        <f t="shared" si="102"/>
        <v>0</v>
      </c>
      <c r="U1226" s="9">
        <f t="shared" si="103"/>
        <v>0</v>
      </c>
      <c r="V1226" s="9">
        <f t="shared" si="104"/>
        <v>0</v>
      </c>
    </row>
    <row r="1227" spans="1:22" x14ac:dyDescent="0.35">
      <c r="A1227" s="52">
        <v>49595</v>
      </c>
      <c r="B1227" s="31">
        <v>46116</v>
      </c>
      <c r="C1227" s="7" t="s">
        <v>337</v>
      </c>
      <c r="D1227" s="7">
        <v>353</v>
      </c>
      <c r="E1227" s="10">
        <f>IFERROR(SUMIFS('Base bordo CD'!M$2:M$875,'Base bordo CD'!D$2:D$875,A1227,'Base bordo CD'!A$2:A$875,B1227,'Base bordo CD'!L$2:L$875,"CORTE DE CANA MECANIZADO"),0)</f>
        <v>0</v>
      </c>
      <c r="F1227" s="10">
        <f>IFERROR(SUMIFS('Base bordo CD'!M$2:M$875,'Base bordo CD'!D$2:D$875,A1227,'Base bordo CD'!A$2:A$875,B1227,'Base bordo CD'!L$2:L$875,"MANOBRA"),0)</f>
        <v>0</v>
      </c>
      <c r="G1227" s="10">
        <f>IFERROR(SUMIFS('Base bordo CD'!M$2:M$875,'Base bordo CD'!D$2:D$875,A1227,'Base bordo CD'!A$2:A$875,B1227,'Base bordo CD'!L$2:L$875,"DESLOCAMENTO"),0)</f>
        <v>0</v>
      </c>
      <c r="H1227" s="10">
        <f>IFERROR(SUMIFS('Base bordo CD'!M$2:M$875,'Base bordo CD'!D$2:D$875,A1227,'Base bordo CD'!A$2:A$875,B1227,'Base bordo CD'!L$2:L$875,"AGUARDANDO MANOBRA DE TRANSBORDO"),0)+IFERROR(SUMIFS('Base bordo CD'!M$2:M$875,'Base bordo CD'!D$2:D$875,A1227,'Base bordo CD'!A$2:A$875,B1227,'Base bordo CD'!L$2:L$875,"FALTA DE TRANSBORDO"),0)</f>
        <v>0</v>
      </c>
      <c r="I1227" s="10">
        <f>IFERROR(SUMIFS('Base bordo CD'!M$2:M$875,'Base bordo CD'!D$2:D$875,A1227,'Base bordo CD'!A$2:A$875,B1227,'Base bordo CD'!L$2:L$875,"PARADA POR CONDICOES CLIMATICAS"),0)+IFERROR(SUMIFS('Base bordo CD'!M$2:M$875,'Base bordo CD'!D$2:D$875,A1227,'Base bordo CD'!A$2:A$875,B1227,'Base bordo CD'!L$2:L$875,"TEMPO INDETERMINADO"),0)</f>
        <v>0</v>
      </c>
      <c r="J1227" s="10">
        <f>IFERROR(SUMIFS('Base bordo CD'!M$2:M$875,'Base bordo CD'!D$2:D$875,A1227,'Base bordo CD'!A$2:A$875,B1227,'Base bordo CD'!L$2:L$875,"LIMITAÇÃO INDÚSTRIA"),0)</f>
        <v>0</v>
      </c>
      <c r="K1227" s="10">
        <f>IFERROR(SUMIFS('Base bordo CD'!M$2:M$875,'Base bordo CD'!D$2:D$875,A1227,'Base bordo CD'!A$2:A$875,B1227,'Base bordo CD'!L$2:L$875,"MAN CORRETIVA*"),0)+IFERROR(SUMIFS('Base bordo CD'!M$2:M$875,'Base bordo CD'!D$2:D$875,A1227,'Base bordo CD'!A$2:A$875,B1227,'Base bordo CD'!L$2:L$875,"AGUARDANDO MANUTENCAO*"),0)+IFERROR(SUMIFS('Base bordo CD'!M$2:M$875,'Base bordo CD'!D$2:D$875,A1227,'Base bordo CD'!A$2:A$875,B1227,'Base bordo CD'!L$2:L$875,"TROCA DE FAQUINHA"),0)+IFERROR(SUMIFS('Base bordo CD'!M$2:M$875,'Base bordo CD'!D$2:D$875,A1227,'Base bordo CD'!A$2:A$875,B1227,'Base bordo CD'!L$2:L$875,"LIMPEZA*"),0)</f>
        <v>0</v>
      </c>
      <c r="L1227" s="10">
        <f>IFERROR(SUMIFS('Base bordo CD'!M$2:M$875,'Base bordo CD'!D$2:D$875,A1227,'Base bordo CD'!A$2:A$875,B1227,'Base bordo CD'!L$2:L$875,"PATIO - RESERVA"),0)</f>
        <v>0</v>
      </c>
      <c r="M1227" s="10">
        <f>IFERROR(SUMIFS('Base bordo CD'!M$2:M$875,'Base bordo CD'!D$2:D$875,A1227,'Base bordo CD'!A$2:A$875,B1227,'Base bordo CD'!L$2:L$875,"SEM APONTAMENTO"),0)</f>
        <v>0</v>
      </c>
      <c r="N1227" s="10">
        <f>IFERROR(SUMIFS('Base bordo CD'!M$2:M$875,'Base bordo CD'!D$2:D$875,A1227,'Base bordo CD'!A$2:A$875,B1227,'Base bordo CD'!L$2:L$875,"FALTA DE CAMINHÃO"),0)+IFERROR(SUMIFS('Base bordo CD'!M$2:M$875,'Base bordo CD'!D$2:D$875,A1227,'Base bordo CD'!A$2:A$875,B1227,'Base bordo CD'!L$2:L$875,"FALTA DE COMBUSTIVEL"),0)+IFERROR(SUMIFS('Base bordo CD'!M$2:M$875,'Base bordo CD'!D$2:D$875,A1227,'Base bordo CD'!A$2:A$875,B1227,'Base bordo CD'!L$2:L$875,"FALTA DE MOTORIST*"),0)</f>
        <v>0</v>
      </c>
      <c r="O1227" s="10">
        <f t="shared" si="100"/>
        <v>0</v>
      </c>
      <c r="P1227" s="10">
        <f>IFERROR(SUMIFS('Base bordo CD'!M$2:M$875,'Base bordo CD'!D$2:D$875,A1227,'Base bordo CD'!A$2:A$875,B1227),0)</f>
        <v>0</v>
      </c>
      <c r="Q1227" s="10">
        <f>IFERROR(SUMIFS('Base bordo CD'!O$2:O$875,'Base bordo CD'!D$2:D$875,A1227,'Base bordo CD'!A$2:A$875,B1227,'Base bordo CD'!L$2:L$875,"CORTE DE CANA MECANIZADO"),0)</f>
        <v>0</v>
      </c>
      <c r="R1227" s="10">
        <f>IFERROR(SUMIFS('Base bordo CD'!Q$2:Q$875,'Base bordo CD'!D$2:D$875,A1227,'Base bordo CD'!A$2:A$875,B1227,'Base bordo CD'!L$2:L$875,"CORTE DE CANA MECANIZADO"),0)</f>
        <v>0</v>
      </c>
      <c r="S1227" s="30" t="str">
        <f t="shared" si="101"/>
        <v/>
      </c>
      <c r="T1227" s="9">
        <f t="shared" si="102"/>
        <v>0</v>
      </c>
      <c r="U1227" s="9">
        <f t="shared" si="103"/>
        <v>0</v>
      </c>
      <c r="V1227" s="9">
        <f t="shared" si="104"/>
        <v>0</v>
      </c>
    </row>
    <row r="1228" spans="1:22" x14ac:dyDescent="0.35">
      <c r="A1228" s="52">
        <v>49596</v>
      </c>
      <c r="B1228" s="31">
        <v>46116</v>
      </c>
      <c r="C1228" s="7" t="s">
        <v>337</v>
      </c>
      <c r="D1228" s="7">
        <v>353</v>
      </c>
      <c r="E1228" s="10">
        <f>IFERROR(SUMIFS('Base bordo CD'!M$2:M$875,'Base bordo CD'!D$2:D$875,A1228,'Base bordo CD'!A$2:A$875,B1228,'Base bordo CD'!L$2:L$875,"CORTE DE CANA MECANIZADO"),0)</f>
        <v>0</v>
      </c>
      <c r="F1228" s="10">
        <f>IFERROR(SUMIFS('Base bordo CD'!M$2:M$875,'Base bordo CD'!D$2:D$875,A1228,'Base bordo CD'!A$2:A$875,B1228,'Base bordo CD'!L$2:L$875,"MANOBRA"),0)</f>
        <v>0</v>
      </c>
      <c r="G1228" s="10">
        <f>IFERROR(SUMIFS('Base bordo CD'!M$2:M$875,'Base bordo CD'!D$2:D$875,A1228,'Base bordo CD'!A$2:A$875,B1228,'Base bordo CD'!L$2:L$875,"DESLOCAMENTO"),0)</f>
        <v>0</v>
      </c>
      <c r="H1228" s="10">
        <f>IFERROR(SUMIFS('Base bordo CD'!M$2:M$875,'Base bordo CD'!D$2:D$875,A1228,'Base bordo CD'!A$2:A$875,B1228,'Base bordo CD'!L$2:L$875,"AGUARDANDO MANOBRA DE TRANSBORDO"),0)+IFERROR(SUMIFS('Base bordo CD'!M$2:M$875,'Base bordo CD'!D$2:D$875,A1228,'Base bordo CD'!A$2:A$875,B1228,'Base bordo CD'!L$2:L$875,"FALTA DE TRANSBORDO"),0)</f>
        <v>0</v>
      </c>
      <c r="I1228" s="10">
        <f>IFERROR(SUMIFS('Base bordo CD'!M$2:M$875,'Base bordo CD'!D$2:D$875,A1228,'Base bordo CD'!A$2:A$875,B1228,'Base bordo CD'!L$2:L$875,"PARADA POR CONDICOES CLIMATICAS"),0)+IFERROR(SUMIFS('Base bordo CD'!M$2:M$875,'Base bordo CD'!D$2:D$875,A1228,'Base bordo CD'!A$2:A$875,B1228,'Base bordo CD'!L$2:L$875,"TEMPO INDETERMINADO"),0)</f>
        <v>0</v>
      </c>
      <c r="J1228" s="10">
        <f>IFERROR(SUMIFS('Base bordo CD'!M$2:M$875,'Base bordo CD'!D$2:D$875,A1228,'Base bordo CD'!A$2:A$875,B1228,'Base bordo CD'!L$2:L$875,"LIMITAÇÃO INDÚSTRIA"),0)</f>
        <v>0</v>
      </c>
      <c r="K1228" s="10">
        <f>IFERROR(SUMIFS('Base bordo CD'!M$2:M$875,'Base bordo CD'!D$2:D$875,A1228,'Base bordo CD'!A$2:A$875,B1228,'Base bordo CD'!L$2:L$875,"MAN CORRETIVA*"),0)+IFERROR(SUMIFS('Base bordo CD'!M$2:M$875,'Base bordo CD'!D$2:D$875,A1228,'Base bordo CD'!A$2:A$875,B1228,'Base bordo CD'!L$2:L$875,"AGUARDANDO MANUTENCAO*"),0)+IFERROR(SUMIFS('Base bordo CD'!M$2:M$875,'Base bordo CD'!D$2:D$875,A1228,'Base bordo CD'!A$2:A$875,B1228,'Base bordo CD'!L$2:L$875,"TROCA DE FAQUINHA"),0)+IFERROR(SUMIFS('Base bordo CD'!M$2:M$875,'Base bordo CD'!D$2:D$875,A1228,'Base bordo CD'!A$2:A$875,B1228,'Base bordo CD'!L$2:L$875,"LIMPEZA*"),0)</f>
        <v>0</v>
      </c>
      <c r="L1228" s="10">
        <f>IFERROR(SUMIFS('Base bordo CD'!M$2:M$875,'Base bordo CD'!D$2:D$875,A1228,'Base bordo CD'!A$2:A$875,B1228,'Base bordo CD'!L$2:L$875,"PATIO - RESERVA"),0)</f>
        <v>0</v>
      </c>
      <c r="M1228" s="10">
        <f>IFERROR(SUMIFS('Base bordo CD'!M$2:M$875,'Base bordo CD'!D$2:D$875,A1228,'Base bordo CD'!A$2:A$875,B1228,'Base bordo CD'!L$2:L$875,"SEM APONTAMENTO"),0)</f>
        <v>0</v>
      </c>
      <c r="N1228" s="10">
        <f>IFERROR(SUMIFS('Base bordo CD'!M$2:M$875,'Base bordo CD'!D$2:D$875,A1228,'Base bordo CD'!A$2:A$875,B1228,'Base bordo CD'!L$2:L$875,"FALTA DE CAMINHÃO"),0)+IFERROR(SUMIFS('Base bordo CD'!M$2:M$875,'Base bordo CD'!D$2:D$875,A1228,'Base bordo CD'!A$2:A$875,B1228,'Base bordo CD'!L$2:L$875,"FALTA DE COMBUSTIVEL"),0)+IFERROR(SUMIFS('Base bordo CD'!M$2:M$875,'Base bordo CD'!D$2:D$875,A1228,'Base bordo CD'!A$2:A$875,B1228,'Base bordo CD'!L$2:L$875,"FALTA DE MOTORIST*"),0)</f>
        <v>0</v>
      </c>
      <c r="O1228" s="10">
        <f t="shared" si="100"/>
        <v>0</v>
      </c>
      <c r="P1228" s="10">
        <f>IFERROR(SUMIFS('Base bordo CD'!M$2:M$875,'Base bordo CD'!D$2:D$875,A1228,'Base bordo CD'!A$2:A$875,B1228),0)</f>
        <v>0</v>
      </c>
      <c r="Q1228" s="10">
        <f>IFERROR(SUMIFS('Base bordo CD'!O$2:O$875,'Base bordo CD'!D$2:D$875,A1228,'Base bordo CD'!A$2:A$875,B1228,'Base bordo CD'!L$2:L$875,"CORTE DE CANA MECANIZADO"),0)</f>
        <v>0</v>
      </c>
      <c r="R1228" s="10">
        <f>IFERROR(SUMIFS('Base bordo CD'!Q$2:Q$875,'Base bordo CD'!D$2:D$875,A1228,'Base bordo CD'!A$2:A$875,B1228,'Base bordo CD'!L$2:L$875,"CORTE DE CANA MECANIZADO"),0)</f>
        <v>0</v>
      </c>
      <c r="S1228" s="30" t="str">
        <f t="shared" si="101"/>
        <v/>
      </c>
      <c r="T1228" s="9">
        <f t="shared" si="102"/>
        <v>0</v>
      </c>
      <c r="U1228" s="9">
        <f t="shared" si="103"/>
        <v>0</v>
      </c>
      <c r="V1228" s="9">
        <f t="shared" si="104"/>
        <v>0</v>
      </c>
    </row>
    <row r="1229" spans="1:22" x14ac:dyDescent="0.35">
      <c r="A1229" s="52">
        <v>49596</v>
      </c>
      <c r="B1229" s="31">
        <v>46116</v>
      </c>
      <c r="C1229" s="7" t="s">
        <v>337</v>
      </c>
      <c r="D1229" s="7">
        <v>353</v>
      </c>
      <c r="E1229" s="10">
        <f>IFERROR(SUMIFS('Base bordo CD'!M$2:M$875,'Base bordo CD'!D$2:D$875,A1229,'Base bordo CD'!A$2:A$875,B1229,'Base bordo CD'!L$2:L$875,"CORTE DE CANA MECANIZADO"),0)</f>
        <v>0</v>
      </c>
      <c r="F1229" s="10">
        <f>IFERROR(SUMIFS('Base bordo CD'!M$2:M$875,'Base bordo CD'!D$2:D$875,A1229,'Base bordo CD'!A$2:A$875,B1229,'Base bordo CD'!L$2:L$875,"MANOBRA"),0)</f>
        <v>0</v>
      </c>
      <c r="G1229" s="10">
        <f>IFERROR(SUMIFS('Base bordo CD'!M$2:M$875,'Base bordo CD'!D$2:D$875,A1229,'Base bordo CD'!A$2:A$875,B1229,'Base bordo CD'!L$2:L$875,"DESLOCAMENTO"),0)</f>
        <v>0</v>
      </c>
      <c r="H1229" s="10">
        <f>IFERROR(SUMIFS('Base bordo CD'!M$2:M$875,'Base bordo CD'!D$2:D$875,A1229,'Base bordo CD'!A$2:A$875,B1229,'Base bordo CD'!L$2:L$875,"AGUARDANDO MANOBRA DE TRANSBORDO"),0)+IFERROR(SUMIFS('Base bordo CD'!M$2:M$875,'Base bordo CD'!D$2:D$875,A1229,'Base bordo CD'!A$2:A$875,B1229,'Base bordo CD'!L$2:L$875,"FALTA DE TRANSBORDO"),0)</f>
        <v>0</v>
      </c>
      <c r="I1229" s="10">
        <f>IFERROR(SUMIFS('Base bordo CD'!M$2:M$875,'Base bordo CD'!D$2:D$875,A1229,'Base bordo CD'!A$2:A$875,B1229,'Base bordo CD'!L$2:L$875,"PARADA POR CONDICOES CLIMATICAS"),0)+IFERROR(SUMIFS('Base bordo CD'!M$2:M$875,'Base bordo CD'!D$2:D$875,A1229,'Base bordo CD'!A$2:A$875,B1229,'Base bordo CD'!L$2:L$875,"TEMPO INDETERMINADO"),0)</f>
        <v>0</v>
      </c>
      <c r="J1229" s="10">
        <f>IFERROR(SUMIFS('Base bordo CD'!M$2:M$875,'Base bordo CD'!D$2:D$875,A1229,'Base bordo CD'!A$2:A$875,B1229,'Base bordo CD'!L$2:L$875,"LIMITAÇÃO INDÚSTRIA"),0)</f>
        <v>0</v>
      </c>
      <c r="K1229" s="10">
        <f>IFERROR(SUMIFS('Base bordo CD'!M$2:M$875,'Base bordo CD'!D$2:D$875,A1229,'Base bordo CD'!A$2:A$875,B1229,'Base bordo CD'!L$2:L$875,"MAN CORRETIVA*"),0)+IFERROR(SUMIFS('Base bordo CD'!M$2:M$875,'Base bordo CD'!D$2:D$875,A1229,'Base bordo CD'!A$2:A$875,B1229,'Base bordo CD'!L$2:L$875,"AGUARDANDO MANUTENCAO*"),0)+IFERROR(SUMIFS('Base bordo CD'!M$2:M$875,'Base bordo CD'!D$2:D$875,A1229,'Base bordo CD'!A$2:A$875,B1229,'Base bordo CD'!L$2:L$875,"TROCA DE FAQUINHA"),0)+IFERROR(SUMIFS('Base bordo CD'!M$2:M$875,'Base bordo CD'!D$2:D$875,A1229,'Base bordo CD'!A$2:A$875,B1229,'Base bordo CD'!L$2:L$875,"LIMPEZA*"),0)</f>
        <v>0</v>
      </c>
      <c r="L1229" s="10">
        <f>IFERROR(SUMIFS('Base bordo CD'!M$2:M$875,'Base bordo CD'!D$2:D$875,A1229,'Base bordo CD'!A$2:A$875,B1229,'Base bordo CD'!L$2:L$875,"PATIO - RESERVA"),0)</f>
        <v>0</v>
      </c>
      <c r="M1229" s="10">
        <f>IFERROR(SUMIFS('Base bordo CD'!M$2:M$875,'Base bordo CD'!D$2:D$875,A1229,'Base bordo CD'!A$2:A$875,B1229,'Base bordo CD'!L$2:L$875,"SEM APONTAMENTO"),0)</f>
        <v>0</v>
      </c>
      <c r="N1229" s="10">
        <f>IFERROR(SUMIFS('Base bordo CD'!M$2:M$875,'Base bordo CD'!D$2:D$875,A1229,'Base bordo CD'!A$2:A$875,B1229,'Base bordo CD'!L$2:L$875,"FALTA DE CAMINHÃO"),0)+IFERROR(SUMIFS('Base bordo CD'!M$2:M$875,'Base bordo CD'!D$2:D$875,A1229,'Base bordo CD'!A$2:A$875,B1229,'Base bordo CD'!L$2:L$875,"FALTA DE COMBUSTIVEL"),0)+IFERROR(SUMIFS('Base bordo CD'!M$2:M$875,'Base bordo CD'!D$2:D$875,A1229,'Base bordo CD'!A$2:A$875,B1229,'Base bordo CD'!L$2:L$875,"FALTA DE MOTORIST*"),0)</f>
        <v>0</v>
      </c>
      <c r="O1229" s="10">
        <f t="shared" si="100"/>
        <v>0</v>
      </c>
      <c r="P1229" s="10">
        <f>IFERROR(SUMIFS('Base bordo CD'!M$2:M$875,'Base bordo CD'!D$2:D$875,A1229,'Base bordo CD'!A$2:A$875,B1229),0)</f>
        <v>0</v>
      </c>
      <c r="Q1229" s="10">
        <f>IFERROR(SUMIFS('Base bordo CD'!O$2:O$875,'Base bordo CD'!D$2:D$875,A1229,'Base bordo CD'!A$2:A$875,B1229,'Base bordo CD'!L$2:L$875,"CORTE DE CANA MECANIZADO"),0)</f>
        <v>0</v>
      </c>
      <c r="R1229" s="10">
        <f>IFERROR(SUMIFS('Base bordo CD'!Q$2:Q$875,'Base bordo CD'!D$2:D$875,A1229,'Base bordo CD'!A$2:A$875,B1229,'Base bordo CD'!L$2:L$875,"CORTE DE CANA MECANIZADO"),0)</f>
        <v>0</v>
      </c>
      <c r="S1229" s="30" t="str">
        <f t="shared" si="101"/>
        <v/>
      </c>
      <c r="T1229" s="9">
        <f t="shared" si="102"/>
        <v>0</v>
      </c>
      <c r="U1229" s="9">
        <f t="shared" si="103"/>
        <v>0</v>
      </c>
      <c r="V1229" s="9">
        <f t="shared" si="104"/>
        <v>0</v>
      </c>
    </row>
    <row r="1230" spans="1:22" x14ac:dyDescent="0.35">
      <c r="A1230" s="52">
        <v>49596</v>
      </c>
      <c r="B1230" s="31">
        <v>46116</v>
      </c>
      <c r="C1230" s="7" t="s">
        <v>337</v>
      </c>
      <c r="D1230" s="7">
        <v>353</v>
      </c>
      <c r="E1230" s="10">
        <f>IFERROR(SUMIFS('Base bordo CD'!M$2:M$875,'Base bordo CD'!D$2:D$875,A1230,'Base bordo CD'!A$2:A$875,B1230,'Base bordo CD'!L$2:L$875,"CORTE DE CANA MECANIZADO"),0)</f>
        <v>0</v>
      </c>
      <c r="F1230" s="10">
        <f>IFERROR(SUMIFS('Base bordo CD'!M$2:M$875,'Base bordo CD'!D$2:D$875,A1230,'Base bordo CD'!A$2:A$875,B1230,'Base bordo CD'!L$2:L$875,"MANOBRA"),0)</f>
        <v>0</v>
      </c>
      <c r="G1230" s="10">
        <f>IFERROR(SUMIFS('Base bordo CD'!M$2:M$875,'Base bordo CD'!D$2:D$875,A1230,'Base bordo CD'!A$2:A$875,B1230,'Base bordo CD'!L$2:L$875,"DESLOCAMENTO"),0)</f>
        <v>0</v>
      </c>
      <c r="H1230" s="10">
        <f>IFERROR(SUMIFS('Base bordo CD'!M$2:M$875,'Base bordo CD'!D$2:D$875,A1230,'Base bordo CD'!A$2:A$875,B1230,'Base bordo CD'!L$2:L$875,"AGUARDANDO MANOBRA DE TRANSBORDO"),0)+IFERROR(SUMIFS('Base bordo CD'!M$2:M$875,'Base bordo CD'!D$2:D$875,A1230,'Base bordo CD'!A$2:A$875,B1230,'Base bordo CD'!L$2:L$875,"FALTA DE TRANSBORDO"),0)</f>
        <v>0</v>
      </c>
      <c r="I1230" s="10">
        <f>IFERROR(SUMIFS('Base bordo CD'!M$2:M$875,'Base bordo CD'!D$2:D$875,A1230,'Base bordo CD'!A$2:A$875,B1230,'Base bordo CD'!L$2:L$875,"PARADA POR CONDICOES CLIMATICAS"),0)+IFERROR(SUMIFS('Base bordo CD'!M$2:M$875,'Base bordo CD'!D$2:D$875,A1230,'Base bordo CD'!A$2:A$875,B1230,'Base bordo CD'!L$2:L$875,"TEMPO INDETERMINADO"),0)</f>
        <v>0</v>
      </c>
      <c r="J1230" s="10">
        <f>IFERROR(SUMIFS('Base bordo CD'!M$2:M$875,'Base bordo CD'!D$2:D$875,A1230,'Base bordo CD'!A$2:A$875,B1230,'Base bordo CD'!L$2:L$875,"LIMITAÇÃO INDÚSTRIA"),0)</f>
        <v>0</v>
      </c>
      <c r="K1230" s="10">
        <f>IFERROR(SUMIFS('Base bordo CD'!M$2:M$875,'Base bordo CD'!D$2:D$875,A1230,'Base bordo CD'!A$2:A$875,B1230,'Base bordo CD'!L$2:L$875,"MAN CORRETIVA*"),0)+IFERROR(SUMIFS('Base bordo CD'!M$2:M$875,'Base bordo CD'!D$2:D$875,A1230,'Base bordo CD'!A$2:A$875,B1230,'Base bordo CD'!L$2:L$875,"AGUARDANDO MANUTENCAO*"),0)+IFERROR(SUMIFS('Base bordo CD'!M$2:M$875,'Base bordo CD'!D$2:D$875,A1230,'Base bordo CD'!A$2:A$875,B1230,'Base bordo CD'!L$2:L$875,"TROCA DE FAQUINHA"),0)+IFERROR(SUMIFS('Base bordo CD'!M$2:M$875,'Base bordo CD'!D$2:D$875,A1230,'Base bordo CD'!A$2:A$875,B1230,'Base bordo CD'!L$2:L$875,"LIMPEZA*"),0)</f>
        <v>0</v>
      </c>
      <c r="L1230" s="10">
        <f>IFERROR(SUMIFS('Base bordo CD'!M$2:M$875,'Base bordo CD'!D$2:D$875,A1230,'Base bordo CD'!A$2:A$875,B1230,'Base bordo CD'!L$2:L$875,"PATIO - RESERVA"),0)</f>
        <v>0</v>
      </c>
      <c r="M1230" s="10">
        <f>IFERROR(SUMIFS('Base bordo CD'!M$2:M$875,'Base bordo CD'!D$2:D$875,A1230,'Base bordo CD'!A$2:A$875,B1230,'Base bordo CD'!L$2:L$875,"SEM APONTAMENTO"),0)</f>
        <v>0</v>
      </c>
      <c r="N1230" s="10">
        <f>IFERROR(SUMIFS('Base bordo CD'!M$2:M$875,'Base bordo CD'!D$2:D$875,A1230,'Base bordo CD'!A$2:A$875,B1230,'Base bordo CD'!L$2:L$875,"FALTA DE CAMINHÃO"),0)+IFERROR(SUMIFS('Base bordo CD'!M$2:M$875,'Base bordo CD'!D$2:D$875,A1230,'Base bordo CD'!A$2:A$875,B1230,'Base bordo CD'!L$2:L$875,"FALTA DE COMBUSTIVEL"),0)+IFERROR(SUMIFS('Base bordo CD'!M$2:M$875,'Base bordo CD'!D$2:D$875,A1230,'Base bordo CD'!A$2:A$875,B1230,'Base bordo CD'!L$2:L$875,"FALTA DE MOTORIST*"),0)</f>
        <v>0</v>
      </c>
      <c r="O1230" s="10">
        <f t="shared" si="100"/>
        <v>0</v>
      </c>
      <c r="P1230" s="10">
        <f>IFERROR(SUMIFS('Base bordo CD'!M$2:M$875,'Base bordo CD'!D$2:D$875,A1230,'Base bordo CD'!A$2:A$875,B1230),0)</f>
        <v>0</v>
      </c>
      <c r="Q1230" s="10">
        <f>IFERROR(SUMIFS('Base bordo CD'!O$2:O$875,'Base bordo CD'!D$2:D$875,A1230,'Base bordo CD'!A$2:A$875,B1230,'Base bordo CD'!L$2:L$875,"CORTE DE CANA MECANIZADO"),0)</f>
        <v>0</v>
      </c>
      <c r="R1230" s="10">
        <f>IFERROR(SUMIFS('Base bordo CD'!Q$2:Q$875,'Base bordo CD'!D$2:D$875,A1230,'Base bordo CD'!A$2:A$875,B1230,'Base bordo CD'!L$2:L$875,"CORTE DE CANA MECANIZADO"),0)</f>
        <v>0</v>
      </c>
      <c r="S1230" s="30" t="str">
        <f t="shared" si="101"/>
        <v/>
      </c>
      <c r="T1230" s="9">
        <f t="shared" si="102"/>
        <v>0</v>
      </c>
      <c r="U1230" s="9">
        <f t="shared" si="103"/>
        <v>0</v>
      </c>
      <c r="V1230" s="9">
        <f t="shared" si="104"/>
        <v>0</v>
      </c>
    </row>
    <row r="1231" spans="1:22" x14ac:dyDescent="0.35">
      <c r="A1231" s="52">
        <v>49596</v>
      </c>
      <c r="B1231" s="31">
        <v>46116</v>
      </c>
      <c r="C1231" s="7" t="s">
        <v>337</v>
      </c>
      <c r="D1231" s="7">
        <v>353</v>
      </c>
      <c r="E1231" s="10">
        <f>IFERROR(SUMIFS('Base bordo CD'!M$2:M$875,'Base bordo CD'!D$2:D$875,A1231,'Base bordo CD'!A$2:A$875,B1231,'Base bordo CD'!L$2:L$875,"CORTE DE CANA MECANIZADO"),0)</f>
        <v>0</v>
      </c>
      <c r="F1231" s="10">
        <f>IFERROR(SUMIFS('Base bordo CD'!M$2:M$875,'Base bordo CD'!D$2:D$875,A1231,'Base bordo CD'!A$2:A$875,B1231,'Base bordo CD'!L$2:L$875,"MANOBRA"),0)</f>
        <v>0</v>
      </c>
      <c r="G1231" s="10">
        <f>IFERROR(SUMIFS('Base bordo CD'!M$2:M$875,'Base bordo CD'!D$2:D$875,A1231,'Base bordo CD'!A$2:A$875,B1231,'Base bordo CD'!L$2:L$875,"DESLOCAMENTO"),0)</f>
        <v>0</v>
      </c>
      <c r="H1231" s="10">
        <f>IFERROR(SUMIFS('Base bordo CD'!M$2:M$875,'Base bordo CD'!D$2:D$875,A1231,'Base bordo CD'!A$2:A$875,B1231,'Base bordo CD'!L$2:L$875,"AGUARDANDO MANOBRA DE TRANSBORDO"),0)+IFERROR(SUMIFS('Base bordo CD'!M$2:M$875,'Base bordo CD'!D$2:D$875,A1231,'Base bordo CD'!A$2:A$875,B1231,'Base bordo CD'!L$2:L$875,"FALTA DE TRANSBORDO"),0)</f>
        <v>0</v>
      </c>
      <c r="I1231" s="10">
        <f>IFERROR(SUMIFS('Base bordo CD'!M$2:M$875,'Base bordo CD'!D$2:D$875,A1231,'Base bordo CD'!A$2:A$875,B1231,'Base bordo CD'!L$2:L$875,"PARADA POR CONDICOES CLIMATICAS"),0)+IFERROR(SUMIFS('Base bordo CD'!M$2:M$875,'Base bordo CD'!D$2:D$875,A1231,'Base bordo CD'!A$2:A$875,B1231,'Base bordo CD'!L$2:L$875,"TEMPO INDETERMINADO"),0)</f>
        <v>0</v>
      </c>
      <c r="J1231" s="10">
        <f>IFERROR(SUMIFS('Base bordo CD'!M$2:M$875,'Base bordo CD'!D$2:D$875,A1231,'Base bordo CD'!A$2:A$875,B1231,'Base bordo CD'!L$2:L$875,"LIMITAÇÃO INDÚSTRIA"),0)</f>
        <v>0</v>
      </c>
      <c r="K1231" s="10">
        <f>IFERROR(SUMIFS('Base bordo CD'!M$2:M$875,'Base bordo CD'!D$2:D$875,A1231,'Base bordo CD'!A$2:A$875,B1231,'Base bordo CD'!L$2:L$875,"MAN CORRETIVA*"),0)+IFERROR(SUMIFS('Base bordo CD'!M$2:M$875,'Base bordo CD'!D$2:D$875,A1231,'Base bordo CD'!A$2:A$875,B1231,'Base bordo CD'!L$2:L$875,"AGUARDANDO MANUTENCAO*"),0)+IFERROR(SUMIFS('Base bordo CD'!M$2:M$875,'Base bordo CD'!D$2:D$875,A1231,'Base bordo CD'!A$2:A$875,B1231,'Base bordo CD'!L$2:L$875,"TROCA DE FAQUINHA"),0)+IFERROR(SUMIFS('Base bordo CD'!M$2:M$875,'Base bordo CD'!D$2:D$875,A1231,'Base bordo CD'!A$2:A$875,B1231,'Base bordo CD'!L$2:L$875,"LIMPEZA*"),0)</f>
        <v>0</v>
      </c>
      <c r="L1231" s="10">
        <f>IFERROR(SUMIFS('Base bordo CD'!M$2:M$875,'Base bordo CD'!D$2:D$875,A1231,'Base bordo CD'!A$2:A$875,B1231,'Base bordo CD'!L$2:L$875,"PATIO - RESERVA"),0)</f>
        <v>0</v>
      </c>
      <c r="M1231" s="10">
        <f>IFERROR(SUMIFS('Base bordo CD'!M$2:M$875,'Base bordo CD'!D$2:D$875,A1231,'Base bordo CD'!A$2:A$875,B1231,'Base bordo CD'!L$2:L$875,"SEM APONTAMENTO"),0)</f>
        <v>0</v>
      </c>
      <c r="N1231" s="10">
        <f>IFERROR(SUMIFS('Base bordo CD'!M$2:M$875,'Base bordo CD'!D$2:D$875,A1231,'Base bordo CD'!A$2:A$875,B1231,'Base bordo CD'!L$2:L$875,"FALTA DE CAMINHÃO"),0)+IFERROR(SUMIFS('Base bordo CD'!M$2:M$875,'Base bordo CD'!D$2:D$875,A1231,'Base bordo CD'!A$2:A$875,B1231,'Base bordo CD'!L$2:L$875,"FALTA DE COMBUSTIVEL"),0)+IFERROR(SUMIFS('Base bordo CD'!M$2:M$875,'Base bordo CD'!D$2:D$875,A1231,'Base bordo CD'!A$2:A$875,B1231,'Base bordo CD'!L$2:L$875,"FALTA DE MOTORIST*"),0)</f>
        <v>0</v>
      </c>
      <c r="O1231" s="10">
        <f t="shared" si="100"/>
        <v>0</v>
      </c>
      <c r="P1231" s="10">
        <f>IFERROR(SUMIFS('Base bordo CD'!M$2:M$875,'Base bordo CD'!D$2:D$875,A1231,'Base bordo CD'!A$2:A$875,B1231),0)</f>
        <v>0</v>
      </c>
      <c r="Q1231" s="10">
        <f>IFERROR(SUMIFS('Base bordo CD'!O$2:O$875,'Base bordo CD'!D$2:D$875,A1231,'Base bordo CD'!A$2:A$875,B1231,'Base bordo CD'!L$2:L$875,"CORTE DE CANA MECANIZADO"),0)</f>
        <v>0</v>
      </c>
      <c r="R1231" s="10">
        <f>IFERROR(SUMIFS('Base bordo CD'!Q$2:Q$875,'Base bordo CD'!D$2:D$875,A1231,'Base bordo CD'!A$2:A$875,B1231,'Base bordo CD'!L$2:L$875,"CORTE DE CANA MECANIZADO"),0)</f>
        <v>0</v>
      </c>
      <c r="S1231" s="30" t="str">
        <f t="shared" si="101"/>
        <v/>
      </c>
      <c r="T1231" s="9">
        <f t="shared" si="102"/>
        <v>0</v>
      </c>
      <c r="U1231" s="9">
        <f t="shared" si="103"/>
        <v>0</v>
      </c>
      <c r="V1231" s="9">
        <f t="shared" si="104"/>
        <v>0</v>
      </c>
    </row>
  </sheetData>
  <autoFilter ref="A1:V1231" xr:uid="{00000000-0001-0000-0D00-000000000000}">
    <filterColumn colId="3">
      <filters>
        <filter val="353"/>
      </filters>
    </filterColumn>
  </autoFilter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Interno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4"/>
  <sheetViews>
    <sheetView tabSelected="1" zoomScaleNormal="100" workbookViewId="0">
      <selection activeCell="F10" sqref="F10"/>
    </sheetView>
  </sheetViews>
  <sheetFormatPr defaultColWidth="8.54296875" defaultRowHeight="14.5" x14ac:dyDescent="0.35"/>
  <cols>
    <col min="1" max="21" width="18" customWidth="1"/>
  </cols>
  <sheetData>
    <row r="1" spans="1:21" ht="26.5" x14ac:dyDescent="0.35">
      <c r="A1" s="23" t="s">
        <v>64</v>
      </c>
      <c r="B1" s="23" t="s">
        <v>429</v>
      </c>
      <c r="C1" s="23" t="s">
        <v>430</v>
      </c>
      <c r="D1" s="23" t="s">
        <v>431</v>
      </c>
      <c r="E1" s="23" t="s">
        <v>432</v>
      </c>
      <c r="F1" s="23" t="s">
        <v>433</v>
      </c>
      <c r="G1" s="23" t="s">
        <v>434</v>
      </c>
      <c r="H1" s="23" t="s">
        <v>257</v>
      </c>
      <c r="I1" s="23" t="s">
        <v>260</v>
      </c>
      <c r="J1" s="23" t="s">
        <v>435</v>
      </c>
      <c r="K1" s="23" t="s">
        <v>240</v>
      </c>
      <c r="L1" s="23" t="s">
        <v>426</v>
      </c>
      <c r="M1" s="23" t="s">
        <v>427</v>
      </c>
      <c r="N1" s="23" t="s">
        <v>428</v>
      </c>
      <c r="O1" s="23" t="s">
        <v>249</v>
      </c>
      <c r="P1" s="23" t="s">
        <v>436</v>
      </c>
      <c r="Q1" s="23" t="s">
        <v>437</v>
      </c>
      <c r="R1" s="23" t="s">
        <v>438</v>
      </c>
      <c r="S1" s="23" t="s">
        <v>439</v>
      </c>
      <c r="T1" s="23" t="s">
        <v>440</v>
      </c>
      <c r="U1" s="23" t="s">
        <v>441</v>
      </c>
    </row>
    <row r="2" spans="1:21" x14ac:dyDescent="0.35">
      <c r="A2" s="52">
        <v>351</v>
      </c>
      <c r="B2" s="54" cm="1">
        <f t="array" ref="B2">SUMPRODUCT(IFERROR((Apoio_Bordo_CD!A$2:A$6100&lt;&gt;"")*(Apoio_Bordo_CD!D$2:D$6100=A2)/COUNTIFS(Apoio_Bordo_CD!A$2:A$6100, Apoio_Bordo_CD!A$2:A$6100, Apoio_Bordo_CD!D$2:D$6100, A2), 0))</f>
        <v>4.0000000000000231</v>
      </c>
      <c r="C2" s="30">
        <f>SUMIFS(Apoio_Bordo_CD!E$2:E$6100,Apoio_Bordo_CD!D$2:D$6100,A2)</f>
        <v>933.24888888888768</v>
      </c>
      <c r="D2" s="30">
        <f>SUMIFS(Apoio_Bordo_CD!F$2:F$6100,Apoio_Bordo_CD!D$2:D$6100,A2)</f>
        <v>312.9280555555552</v>
      </c>
      <c r="E2" s="30">
        <f>SUMIFS(Apoio_Bordo_CD!G$2:G$6100,Apoio_Bordo_CD!D$2:D$6100,A2)</f>
        <v>78.635833333333551</v>
      </c>
      <c r="F2" s="30">
        <f>SUMIFS(Apoio_Bordo_CD!I$2:I$6100,Apoio_Bordo_CD!D$2:D$6100,A2)</f>
        <v>3653.3166666666657</v>
      </c>
      <c r="G2" s="30">
        <f>SUMIFS(Apoio_Bordo_CD!J$2:J$6100,Apoio_Bordo_CD!D$2:D$6100,A2)</f>
        <v>697.81222222222129</v>
      </c>
      <c r="H2" s="30">
        <f>SUMIFS(Apoio_Bordo_CD!K$2:K$6100,Apoio_Bordo_CD!D$2:D$6100,A2)</f>
        <v>92.866944444444499</v>
      </c>
      <c r="I2" s="30">
        <f>SUMIFS(Apoio_Bordo_CD!L$2:L$6100,Apoio_Bordo_CD!D$2:D$6100,A2)</f>
        <v>157.83222222222221</v>
      </c>
      <c r="J2" s="30">
        <f>SUMIFS(Apoio_Bordo_CD!M$2:M$6100,Apoio_Bordo_CD!D$2:D$6100,A2)</f>
        <v>64.517500000000084</v>
      </c>
      <c r="K2" s="30">
        <f>SUMIFS(Apoio_Bordo_CD!P$2:P$6100,Apoio_Bordo_CD!D$2:D$6100,A2)</f>
        <v>6720</v>
      </c>
      <c r="L2" s="30">
        <f>IFERROR(SUMIFS(Apoio_Bordo_CD!Q$2:Q$6100,Apoio_Bordo_CD!D$2:D$6100,A2)/SUMIFS(Apoio_Bordo_CD!R$2:R$6100,Apoio_Bordo_CD!D$2:D$6100,A2),"")</f>
        <v>4.2844248110543335</v>
      </c>
      <c r="M2" s="9">
        <f>IFERROR(C2/K2,0)</f>
        <v>0.13887632275132258</v>
      </c>
      <c r="N2" s="9">
        <f>IFERROR(D2/K2,0)</f>
        <v>4.6566674933862379E-2</v>
      </c>
      <c r="O2" s="9">
        <f>IFERROR(1-(C2+E2)/K2,0)</f>
        <v>0.84942191633597897</v>
      </c>
      <c r="P2" s="45">
        <f>'KPI por frente'!B9</f>
        <v>14.03808504162053</v>
      </c>
      <c r="Q2" s="45">
        <f>'KPI por frente'!C9</f>
        <v>14.760780358017549</v>
      </c>
      <c r="R2" s="45">
        <f>'KPI por frente'!C27</f>
        <v>11.67</v>
      </c>
      <c r="S2" s="45">
        <f>'KPI por frente'!C15</f>
        <v>0.40298768744272817</v>
      </c>
      <c r="T2" s="33">
        <f>'KPI por frente'!B12</f>
        <v>16.735340899092034</v>
      </c>
      <c r="U2" s="33">
        <f>'KPI por frente'!C12</f>
        <v>20.078521115884033</v>
      </c>
    </row>
    <row r="3" spans="1:21" x14ac:dyDescent="0.35">
      <c r="A3" s="52">
        <v>352</v>
      </c>
      <c r="B3" s="54" cm="1">
        <f t="array" ref="B3">SUMPRODUCT(IFERROR((Apoio_Bordo_CD!A$2:A$6100&lt;&gt;"")*(Apoio_Bordo_CD!D$2:D$6100=A3)/COUNTIFS(Apoio_Bordo_CD!A$2:A$6100, Apoio_Bordo_CD!A$2:A$6100, Apoio_Bordo_CD!D$2:D$6100, A3), 0))</f>
        <v>3.0000000000000062</v>
      </c>
      <c r="C3" s="30">
        <f>SUMIFS(Apoio_Bordo_CD!E$2:E$6100,Apoio_Bordo_CD!D$2:D$6100,A3)</f>
        <v>982.07694444444701</v>
      </c>
      <c r="D3" s="30">
        <f>SUMIFS(Apoio_Bordo_CD!F$2:F$6100,Apoio_Bordo_CD!D$2:D$6100,A3)</f>
        <v>376.68499999999983</v>
      </c>
      <c r="E3" s="30">
        <f>SUMIFS(Apoio_Bordo_CD!G$2:G$6100,Apoio_Bordo_CD!D$2:D$6100,A3)</f>
        <v>89.296666666666866</v>
      </c>
      <c r="F3" s="30">
        <f>SUMIFS(Apoio_Bordo_CD!I$2:I$6100,Apoio_Bordo_CD!D$2:D$6100,A3)</f>
        <v>2950.2269444444505</v>
      </c>
      <c r="G3" s="30">
        <f>SUMIFS(Apoio_Bordo_CD!J$2:J$6100,Apoio_Bordo_CD!D$2:D$6100,A3)</f>
        <v>182.81999999999994</v>
      </c>
      <c r="H3" s="30">
        <f>SUMIFS(Apoio_Bordo_CD!K$2:K$6100,Apoio_Bordo_CD!D$2:D$6100,A3)</f>
        <v>274.31555555555519</v>
      </c>
      <c r="I3" s="30">
        <f>SUMIFS(Apoio_Bordo_CD!L$2:L$6100,Apoio_Bordo_CD!D$2:D$6100,A3)</f>
        <v>119.64333333333333</v>
      </c>
      <c r="J3" s="30">
        <f>SUMIFS(Apoio_Bordo_CD!M$2:M$6100,Apoio_Bordo_CD!D$2:D$6100,A3)</f>
        <v>97.782500000000312</v>
      </c>
      <c r="K3" s="30">
        <f>SUMIFS(Apoio_Bordo_CD!P$2:P$6100,Apoio_Bordo_CD!D$2:D$6100,A3)</f>
        <v>5208</v>
      </c>
      <c r="L3" s="30">
        <f>IFERROR(SUMIFS(Apoio_Bordo_CD!Q$2:Q$6100,Apoio_Bordo_CD!D$2:D$6100,A3)/SUMIFS(Apoio_Bordo_CD!R$2:R$6100,Apoio_Bordo_CD!D$2:D$6100,A3),"")</f>
        <v>4.0896634575268731</v>
      </c>
      <c r="M3" s="9">
        <f>IFERROR(C3/K3,0)</f>
        <v>0.18857084186721332</v>
      </c>
      <c r="N3" s="9">
        <f>IFERROR(D3/K3,0)</f>
        <v>7.2328149001536071E-2</v>
      </c>
      <c r="O3" s="9">
        <f>IFERROR(1-(C3+E3)/K3,0)</f>
        <v>0.79428310078511632</v>
      </c>
      <c r="P3" s="45">
        <f>'KPI por frente'!D9</f>
        <v>16.654491424560547</v>
      </c>
      <c r="Q3" s="45">
        <f>'KPI por frente'!E9</f>
        <v>8.1100528305823438</v>
      </c>
      <c r="R3" s="45">
        <f>'KPI por frente'!E27</f>
        <v>0</v>
      </c>
      <c r="S3" s="45">
        <f>'KPI por frente'!E15</f>
        <v>3.0794444444444444</v>
      </c>
      <c r="T3" s="33">
        <f>'KPI por frente'!D12</f>
        <v>16.735340899092037</v>
      </c>
      <c r="U3" s="33">
        <f>'KPI por frente'!E12</f>
        <v>30.348902264143963</v>
      </c>
    </row>
    <row r="4" spans="1:21" x14ac:dyDescent="0.35">
      <c r="A4" s="52">
        <v>353</v>
      </c>
      <c r="B4" s="54" cm="1">
        <f t="array" ref="B4">SUMPRODUCT(IFERROR((Apoio_Bordo_CD!A$2:A$6100&lt;&gt;"")*(Apoio_Bordo_CD!D$2:D$6100=A4)/COUNTIFS(Apoio_Bordo_CD!A$2:A$6100, Apoio_Bordo_CD!A$2:A$6100, Apoio_Bordo_CD!D$2:D$6100, A4), 0))</f>
        <v>2.9999999999999933</v>
      </c>
      <c r="C4" s="30">
        <f>SUMIFS(Apoio_Bordo_CD!E$2:E$6100,Apoio_Bordo_CD!D$2:D$6100,A4)</f>
        <v>1584.9891666666715</v>
      </c>
      <c r="D4" s="30">
        <f>SUMIFS(Apoio_Bordo_CD!F$2:F$6100,Apoio_Bordo_CD!D$2:D$6100,A4)</f>
        <v>393.51250000000152</v>
      </c>
      <c r="E4" s="30">
        <f>SUMIFS(Apoio_Bordo_CD!G$2:G$6100,Apoio_Bordo_CD!D$2:D$6100,A4)</f>
        <v>157.2266666666662</v>
      </c>
      <c r="F4" s="30">
        <f>SUMIFS(Apoio_Bordo_CD!I$2:I$6100,Apoio_Bordo_CD!D$2:D$6100,A4)</f>
        <v>5428.107500000011</v>
      </c>
      <c r="G4" s="30">
        <f>SUMIFS(Apoio_Bordo_CD!J$2:J$6100,Apoio_Bordo_CD!D$2:D$6100,A4)</f>
        <v>935.49333333333573</v>
      </c>
      <c r="H4" s="30">
        <f>SUMIFS(Apoio_Bordo_CD!K$2:K$6100,Apoio_Bordo_CD!D$2:D$6100,A4)</f>
        <v>366.17111111111154</v>
      </c>
      <c r="I4" s="30">
        <f>SUMIFS(Apoio_Bordo_CD!L$2:L$6100,Apoio_Bordo_CD!D$2:D$6100,A4)</f>
        <v>0</v>
      </c>
      <c r="J4" s="30">
        <f>SUMIFS(Apoio_Bordo_CD!M$2:M$6100,Apoio_Bordo_CD!D$2:D$6100,A4)</f>
        <v>10.503888888888868</v>
      </c>
      <c r="K4" s="30">
        <f>SUMIFS(Apoio_Bordo_CD!P$2:P$6100,Apoio_Bordo_CD!D$2:D$6100,A4)</f>
        <v>9050.0711111111086</v>
      </c>
      <c r="L4" s="30">
        <f>IFERROR(SUMIFS(Apoio_Bordo_CD!Q$2:Q$6100,Apoio_Bordo_CD!D$2:D$6100,A4)/SUMIFS(Apoio_Bordo_CD!R$2:R$6100,Apoio_Bordo_CD!D$2:D$6100,A4),"")</f>
        <v>3.800496554733837</v>
      </c>
      <c r="M4" s="9">
        <f>IFERROR(C4/K4,0)</f>
        <v>0.17513554835173853</v>
      </c>
      <c r="N4" s="9">
        <f>IFERROR(D4/K4,0)</f>
        <v>4.3481702537880793E-2</v>
      </c>
      <c r="O4" s="9">
        <f>IFERROR(1-(C4+E4)/K4,0)</f>
        <v>0.80749147581897396</v>
      </c>
      <c r="P4" s="45">
        <f>'KPI por frente'!F9</f>
        <v>16.654491424560547</v>
      </c>
      <c r="Q4" s="45">
        <f>'KPI por frente'!G9</f>
        <v>13.064074453294474</v>
      </c>
      <c r="R4" s="45">
        <f>'KPI por frente'!G27</f>
        <v>9.43</v>
      </c>
      <c r="S4" s="45">
        <f>'KPI por frente'!G15</f>
        <v>1.6489620626420822</v>
      </c>
      <c r="T4" s="33">
        <f>'KPI por frente'!F12</f>
        <v>16.735340899092034</v>
      </c>
      <c r="U4" s="33">
        <f>'KPI por frente'!G12</f>
        <v>16.978185800632879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Interno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zoomScaleNormal="100" workbookViewId="0">
      <selection activeCell="G10" sqref="G10"/>
    </sheetView>
  </sheetViews>
  <sheetFormatPr defaultColWidth="8.54296875" defaultRowHeight="14.5" x14ac:dyDescent="0.35"/>
  <cols>
    <col min="1" max="1" width="8.81640625" customWidth="1"/>
    <col min="2" max="2" width="14" customWidth="1"/>
    <col min="3" max="3" width="13.1796875" customWidth="1"/>
    <col min="4" max="4" width="14.81640625" customWidth="1"/>
    <col min="5" max="6" width="7.1796875" customWidth="1"/>
    <col min="7" max="7" width="17" customWidth="1"/>
  </cols>
  <sheetData>
    <row r="1" spans="1:7" ht="14.25" customHeight="1" x14ac:dyDescent="0.35">
      <c r="A1" s="41" t="s">
        <v>299</v>
      </c>
      <c r="B1" s="41" t="s">
        <v>300</v>
      </c>
      <c r="C1" s="41" t="s">
        <v>301</v>
      </c>
      <c r="D1" s="41" t="s">
        <v>302</v>
      </c>
      <c r="E1" s="41" t="s">
        <v>303</v>
      </c>
      <c r="F1" s="41" t="s">
        <v>304</v>
      </c>
      <c r="G1" s="41" t="s">
        <v>305</v>
      </c>
    </row>
    <row r="2" spans="1:7" ht="14.25" customHeight="1" x14ac:dyDescent="0.35">
      <c r="A2" s="42">
        <v>29.418586730956999</v>
      </c>
      <c r="B2" s="42">
        <v>33.5</v>
      </c>
      <c r="C2" s="42">
        <v>36.6</v>
      </c>
      <c r="D2" s="42">
        <v>27</v>
      </c>
      <c r="E2" s="43">
        <v>27</v>
      </c>
      <c r="F2" s="42">
        <v>69.2</v>
      </c>
      <c r="G2" s="44">
        <v>0.96</v>
      </c>
    </row>
  </sheetData>
  <pageMargins left="0.51180555555555596" right="0.51180555555555596" top="0.78749999999999998" bottom="0.78749999999999998" header="0.511811023622047" footer="0.51180555555555596"/>
  <pageSetup paperSize="9" orientation="portrait" horizontalDpi="300" verticalDpi="300"/>
  <headerFooter>
    <oddFooter>&amp;L&amp;"Aptos,Regular"&amp;10 _x005F_x000d_# Interno_x000D_&amp;1#&amp;"Aptos"&amp;10&amp;K000000 Interno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232"/>
  <sheetViews>
    <sheetView zoomScaleNormal="100" workbookViewId="0">
      <selection activeCell="E1" sqref="E1"/>
    </sheetView>
  </sheetViews>
  <sheetFormatPr defaultColWidth="8.54296875" defaultRowHeight="14.5" x14ac:dyDescent="0.35"/>
  <cols>
    <col min="1" max="1" width="10.08984375" customWidth="1"/>
    <col min="2" max="2" width="8" customWidth="1"/>
    <col min="3" max="3" width="13.6328125" customWidth="1"/>
    <col min="4" max="4" width="5.81640625" customWidth="1"/>
    <col min="5" max="5" width="10.54296875" customWidth="1"/>
    <col min="6" max="6" width="11.81640625" customWidth="1"/>
    <col min="7" max="7" width="8.81640625" customWidth="1"/>
    <col min="8" max="8" width="10.81640625" customWidth="1"/>
    <col min="9" max="9" width="19.1796875" customWidth="1"/>
    <col min="10" max="10" width="21.54296875" customWidth="1"/>
    <col min="11" max="11" width="13.08984375" customWidth="1"/>
    <col min="12" max="12" width="36.81640625" customWidth="1"/>
    <col min="13" max="13" width="11.81640625" customWidth="1"/>
    <col min="14" max="14" width="7.81640625" customWidth="1"/>
    <col min="15" max="15" width="9.6328125" customWidth="1"/>
    <col min="16" max="16" width="21.1796875" customWidth="1"/>
    <col min="17" max="17" width="20.54296875" customWidth="1"/>
  </cols>
  <sheetData>
    <row r="1" spans="1:17" x14ac:dyDescent="0.35">
      <c r="A1" s="15" t="s">
        <v>306</v>
      </c>
      <c r="B1" s="15" t="s">
        <v>307</v>
      </c>
      <c r="C1" s="15" t="s">
        <v>308</v>
      </c>
      <c r="D1" s="15" t="s">
        <v>309</v>
      </c>
      <c r="E1" s="15" t="s">
        <v>31</v>
      </c>
      <c r="F1" s="15" t="s">
        <v>310</v>
      </c>
      <c r="G1" s="15" t="s">
        <v>311</v>
      </c>
      <c r="H1" s="15" t="s">
        <v>312</v>
      </c>
      <c r="I1" s="15" t="s">
        <v>313</v>
      </c>
      <c r="J1" s="15" t="s">
        <v>314</v>
      </c>
      <c r="K1" s="15" t="s">
        <v>315</v>
      </c>
      <c r="L1" s="15" t="s">
        <v>130</v>
      </c>
      <c r="M1" s="15" t="s">
        <v>316</v>
      </c>
      <c r="N1" s="15" t="s">
        <v>317</v>
      </c>
      <c r="O1" s="15" t="s">
        <v>132</v>
      </c>
      <c r="P1" s="15" t="s">
        <v>318</v>
      </c>
      <c r="Q1" s="15" t="s">
        <v>133</v>
      </c>
    </row>
    <row r="2" spans="1:17" x14ac:dyDescent="0.35">
      <c r="A2" s="46">
        <v>46123</v>
      </c>
      <c r="B2" t="s">
        <v>136</v>
      </c>
      <c r="C2" t="s">
        <v>319</v>
      </c>
      <c r="D2" t="s">
        <v>320</v>
      </c>
      <c r="E2" t="s">
        <v>321</v>
      </c>
      <c r="F2" t="s">
        <v>322</v>
      </c>
      <c r="G2" t="s">
        <v>322</v>
      </c>
      <c r="H2" t="s">
        <v>322</v>
      </c>
      <c r="I2" t="s">
        <v>323</v>
      </c>
      <c r="J2" t="s">
        <v>324</v>
      </c>
      <c r="K2" t="s">
        <v>142</v>
      </c>
      <c r="L2" t="s">
        <v>143</v>
      </c>
      <c r="M2">
        <v>3.2222222222222222E-2</v>
      </c>
      <c r="N2">
        <v>116</v>
      </c>
      <c r="O2">
        <v>343.11</v>
      </c>
      <c r="P2">
        <v>2.9578448275862068</v>
      </c>
      <c r="Q2">
        <v>116</v>
      </c>
    </row>
    <row r="3" spans="1:17" x14ac:dyDescent="0.35">
      <c r="A3" s="46">
        <v>46123</v>
      </c>
      <c r="B3" t="s">
        <v>136</v>
      </c>
      <c r="C3" t="s">
        <v>319</v>
      </c>
      <c r="D3" t="s">
        <v>320</v>
      </c>
      <c r="E3" t="s">
        <v>321</v>
      </c>
      <c r="F3" t="s">
        <v>322</v>
      </c>
      <c r="G3" t="s">
        <v>322</v>
      </c>
      <c r="H3" t="s">
        <v>322</v>
      </c>
      <c r="I3" t="s">
        <v>323</v>
      </c>
      <c r="J3" t="s">
        <v>324</v>
      </c>
      <c r="K3" t="s">
        <v>383</v>
      </c>
      <c r="L3" t="s">
        <v>384</v>
      </c>
      <c r="M3">
        <v>1.2194444444444446</v>
      </c>
      <c r="N3">
        <v>4390</v>
      </c>
      <c r="O3">
        <v>0</v>
      </c>
    </row>
    <row r="4" spans="1:17" x14ac:dyDescent="0.35">
      <c r="A4" s="46">
        <v>46123</v>
      </c>
      <c r="B4" t="s">
        <v>136</v>
      </c>
      <c r="C4" t="s">
        <v>319</v>
      </c>
      <c r="D4" t="s">
        <v>320</v>
      </c>
      <c r="E4" t="s">
        <v>321</v>
      </c>
      <c r="F4" t="s">
        <v>92</v>
      </c>
      <c r="G4" t="s">
        <v>325</v>
      </c>
      <c r="H4" t="s">
        <v>334</v>
      </c>
      <c r="I4" t="s">
        <v>323</v>
      </c>
      <c r="J4" t="s">
        <v>324</v>
      </c>
      <c r="K4" t="s">
        <v>383</v>
      </c>
      <c r="L4" t="s">
        <v>384</v>
      </c>
      <c r="M4">
        <v>0.69694444444444448</v>
      </c>
      <c r="N4">
        <v>2509</v>
      </c>
      <c r="O4">
        <v>0</v>
      </c>
    </row>
    <row r="5" spans="1:17" x14ac:dyDescent="0.35">
      <c r="A5" s="46">
        <v>46123</v>
      </c>
      <c r="B5" t="s">
        <v>136</v>
      </c>
      <c r="C5" t="s">
        <v>319</v>
      </c>
      <c r="D5" t="s">
        <v>320</v>
      </c>
      <c r="E5" t="s">
        <v>321</v>
      </c>
      <c r="F5" t="s">
        <v>322</v>
      </c>
      <c r="G5" t="s">
        <v>322</v>
      </c>
      <c r="H5" t="s">
        <v>322</v>
      </c>
      <c r="I5" t="s">
        <v>323</v>
      </c>
      <c r="J5" t="s">
        <v>324</v>
      </c>
      <c r="K5" t="s">
        <v>170</v>
      </c>
      <c r="L5" t="s">
        <v>171</v>
      </c>
      <c r="M5">
        <v>5.3441666666666663</v>
      </c>
      <c r="N5">
        <v>19239</v>
      </c>
      <c r="O5">
        <v>0</v>
      </c>
    </row>
    <row r="6" spans="1:17" x14ac:dyDescent="0.35">
      <c r="A6" s="46">
        <v>46123</v>
      </c>
      <c r="B6" t="s">
        <v>136</v>
      </c>
      <c r="C6" t="s">
        <v>319</v>
      </c>
      <c r="D6" t="s">
        <v>320</v>
      </c>
      <c r="E6" t="s">
        <v>321</v>
      </c>
      <c r="F6" t="s">
        <v>332</v>
      </c>
      <c r="G6" t="s">
        <v>333</v>
      </c>
      <c r="H6" t="s">
        <v>334</v>
      </c>
      <c r="I6" t="s">
        <v>323</v>
      </c>
      <c r="J6" t="s">
        <v>324</v>
      </c>
      <c r="K6" t="s">
        <v>170</v>
      </c>
      <c r="L6" t="s">
        <v>171</v>
      </c>
      <c r="M6">
        <v>2.0627777777777778</v>
      </c>
      <c r="N6">
        <v>7426</v>
      </c>
      <c r="O6">
        <v>0</v>
      </c>
    </row>
    <row r="7" spans="1:17" x14ac:dyDescent="0.35">
      <c r="A7" s="46">
        <v>46123</v>
      </c>
      <c r="B7" t="s">
        <v>136</v>
      </c>
      <c r="C7" t="s">
        <v>319</v>
      </c>
      <c r="D7" t="s">
        <v>320</v>
      </c>
      <c r="E7" t="s">
        <v>321</v>
      </c>
      <c r="F7" t="s">
        <v>443</v>
      </c>
      <c r="G7" t="s">
        <v>444</v>
      </c>
      <c r="H7" t="s">
        <v>330</v>
      </c>
      <c r="I7" t="s">
        <v>323</v>
      </c>
      <c r="J7" t="s">
        <v>324</v>
      </c>
      <c r="K7" t="s">
        <v>170</v>
      </c>
      <c r="L7" t="s">
        <v>171</v>
      </c>
      <c r="M7">
        <v>3.2972222222222221</v>
      </c>
      <c r="N7">
        <v>11870</v>
      </c>
      <c r="O7">
        <v>0</v>
      </c>
    </row>
    <row r="8" spans="1:17" x14ac:dyDescent="0.35">
      <c r="A8" s="46">
        <v>46123</v>
      </c>
      <c r="B8" t="s">
        <v>136</v>
      </c>
      <c r="C8" t="s">
        <v>319</v>
      </c>
      <c r="D8" t="s">
        <v>320</v>
      </c>
      <c r="E8" t="s">
        <v>321</v>
      </c>
      <c r="F8" t="s">
        <v>328</v>
      </c>
      <c r="G8" t="s">
        <v>329</v>
      </c>
      <c r="H8" t="s">
        <v>327</v>
      </c>
      <c r="I8" t="s">
        <v>323</v>
      </c>
      <c r="J8" t="s">
        <v>324</v>
      </c>
      <c r="K8" t="s">
        <v>170</v>
      </c>
      <c r="L8" t="s">
        <v>171</v>
      </c>
      <c r="M8">
        <v>11.347222222222221</v>
      </c>
      <c r="N8">
        <v>40850</v>
      </c>
      <c r="O8">
        <v>0</v>
      </c>
    </row>
    <row r="9" spans="1:17" x14ac:dyDescent="0.35">
      <c r="A9" s="46">
        <v>46123</v>
      </c>
      <c r="B9" t="s">
        <v>136</v>
      </c>
      <c r="C9" t="s">
        <v>335</v>
      </c>
      <c r="D9" t="s">
        <v>336</v>
      </c>
      <c r="E9" t="s">
        <v>337</v>
      </c>
      <c r="F9" t="s">
        <v>87</v>
      </c>
      <c r="G9" t="s">
        <v>356</v>
      </c>
      <c r="H9" t="s">
        <v>343</v>
      </c>
      <c r="I9" t="s">
        <v>323</v>
      </c>
      <c r="J9" t="s">
        <v>324</v>
      </c>
      <c r="K9" t="s">
        <v>345</v>
      </c>
      <c r="L9" t="s">
        <v>346</v>
      </c>
      <c r="M9">
        <v>1.9444444444444444E-3</v>
      </c>
      <c r="N9">
        <v>7</v>
      </c>
      <c r="O9">
        <v>0</v>
      </c>
    </row>
    <row r="10" spans="1:17" x14ac:dyDescent="0.35">
      <c r="A10" s="46">
        <v>46123</v>
      </c>
      <c r="B10" t="s">
        <v>136</v>
      </c>
      <c r="C10" t="s">
        <v>335</v>
      </c>
      <c r="D10" t="s">
        <v>336</v>
      </c>
      <c r="E10" t="s">
        <v>337</v>
      </c>
      <c r="F10" t="s">
        <v>322</v>
      </c>
      <c r="G10" t="s">
        <v>322</v>
      </c>
      <c r="H10" t="s">
        <v>322</v>
      </c>
      <c r="I10" t="s">
        <v>323</v>
      </c>
      <c r="J10" t="s">
        <v>324</v>
      </c>
      <c r="K10" t="s">
        <v>345</v>
      </c>
      <c r="L10" t="s">
        <v>346</v>
      </c>
      <c r="M10">
        <v>1.6666666666666668E-3</v>
      </c>
      <c r="N10">
        <v>6</v>
      </c>
      <c r="O10">
        <v>12.18</v>
      </c>
      <c r="P10">
        <v>2.0299999999999998</v>
      </c>
      <c r="Q10">
        <v>6</v>
      </c>
    </row>
    <row r="11" spans="1:17" x14ac:dyDescent="0.35">
      <c r="A11" s="46">
        <v>46123</v>
      </c>
      <c r="B11" t="s">
        <v>136</v>
      </c>
      <c r="C11" t="s">
        <v>344</v>
      </c>
      <c r="D11" t="s">
        <v>336</v>
      </c>
      <c r="E11" t="s">
        <v>337</v>
      </c>
      <c r="F11" t="s">
        <v>322</v>
      </c>
      <c r="G11" t="s">
        <v>322</v>
      </c>
      <c r="H11" t="s">
        <v>322</v>
      </c>
      <c r="I11" t="s">
        <v>323</v>
      </c>
      <c r="J11" t="s">
        <v>324</v>
      </c>
      <c r="K11" t="s">
        <v>345</v>
      </c>
      <c r="L11" t="s">
        <v>346</v>
      </c>
      <c r="M11">
        <v>1.4722222222222222E-2</v>
      </c>
      <c r="N11">
        <v>53</v>
      </c>
      <c r="O11">
        <v>127.12</v>
      </c>
      <c r="P11">
        <v>2.398490566037736</v>
      </c>
      <c r="Q11">
        <v>53</v>
      </c>
    </row>
    <row r="12" spans="1:17" x14ac:dyDescent="0.35">
      <c r="A12" s="46">
        <v>46123</v>
      </c>
      <c r="B12" t="s">
        <v>136</v>
      </c>
      <c r="C12" t="s">
        <v>335</v>
      </c>
      <c r="D12" t="s">
        <v>336</v>
      </c>
      <c r="E12" t="s">
        <v>337</v>
      </c>
      <c r="F12" t="s">
        <v>87</v>
      </c>
      <c r="G12" t="s">
        <v>340</v>
      </c>
      <c r="H12" t="s">
        <v>331</v>
      </c>
      <c r="I12" t="s">
        <v>323</v>
      </c>
      <c r="J12" t="s">
        <v>324</v>
      </c>
      <c r="K12" t="s">
        <v>345</v>
      </c>
      <c r="L12" t="s">
        <v>346</v>
      </c>
      <c r="M12">
        <v>2.9444444444444443E-2</v>
      </c>
      <c r="N12">
        <v>106</v>
      </c>
      <c r="O12">
        <v>559.68000000000006</v>
      </c>
      <c r="P12">
        <v>5.28</v>
      </c>
      <c r="Q12">
        <v>106</v>
      </c>
    </row>
    <row r="13" spans="1:17" x14ac:dyDescent="0.35">
      <c r="A13" s="46">
        <v>46123</v>
      </c>
      <c r="B13" t="s">
        <v>136</v>
      </c>
      <c r="C13" t="s">
        <v>344</v>
      </c>
      <c r="D13" t="s">
        <v>336</v>
      </c>
      <c r="E13" t="s">
        <v>337</v>
      </c>
      <c r="F13" t="s">
        <v>87</v>
      </c>
      <c r="G13" t="s">
        <v>340</v>
      </c>
      <c r="H13" t="s">
        <v>327</v>
      </c>
      <c r="I13" t="s">
        <v>323</v>
      </c>
      <c r="J13" t="s">
        <v>324</v>
      </c>
      <c r="K13" t="s">
        <v>345</v>
      </c>
      <c r="L13" t="s">
        <v>346</v>
      </c>
      <c r="M13">
        <v>9.9444444444444446E-2</v>
      </c>
      <c r="N13">
        <v>358</v>
      </c>
      <c r="O13">
        <v>1166.45</v>
      </c>
      <c r="P13">
        <v>3.2582402234636874</v>
      </c>
      <c r="Q13">
        <v>358</v>
      </c>
    </row>
    <row r="14" spans="1:17" x14ac:dyDescent="0.35">
      <c r="A14" s="46">
        <v>46123</v>
      </c>
      <c r="B14" t="s">
        <v>136</v>
      </c>
      <c r="C14" t="s">
        <v>353</v>
      </c>
      <c r="D14" t="s">
        <v>336</v>
      </c>
      <c r="E14" t="s">
        <v>337</v>
      </c>
      <c r="F14" t="s">
        <v>87</v>
      </c>
      <c r="G14" t="s">
        <v>356</v>
      </c>
      <c r="H14" t="s">
        <v>361</v>
      </c>
      <c r="I14" t="s">
        <v>323</v>
      </c>
      <c r="J14" t="s">
        <v>324</v>
      </c>
      <c r="K14" t="s">
        <v>345</v>
      </c>
      <c r="L14" t="s">
        <v>346</v>
      </c>
      <c r="M14">
        <v>0.12277777777777778</v>
      </c>
      <c r="N14">
        <v>442</v>
      </c>
      <c r="O14">
        <v>1798.94</v>
      </c>
      <c r="P14">
        <v>4.07</v>
      </c>
      <c r="Q14">
        <v>442</v>
      </c>
    </row>
    <row r="15" spans="1:17" x14ac:dyDescent="0.35">
      <c r="A15" s="46">
        <v>46123</v>
      </c>
      <c r="B15" t="s">
        <v>136</v>
      </c>
      <c r="C15" t="s">
        <v>344</v>
      </c>
      <c r="D15" t="s">
        <v>336</v>
      </c>
      <c r="E15" t="s">
        <v>337</v>
      </c>
      <c r="F15" t="s">
        <v>87</v>
      </c>
      <c r="G15" t="s">
        <v>356</v>
      </c>
      <c r="H15" t="s">
        <v>361</v>
      </c>
      <c r="I15" t="s">
        <v>323</v>
      </c>
      <c r="J15" t="s">
        <v>324</v>
      </c>
      <c r="K15" t="s">
        <v>345</v>
      </c>
      <c r="L15" t="s">
        <v>346</v>
      </c>
      <c r="M15">
        <v>0.39861111111111114</v>
      </c>
      <c r="N15">
        <v>1435</v>
      </c>
      <c r="O15">
        <v>5753.79</v>
      </c>
      <c r="P15">
        <v>4.0096097560975608</v>
      </c>
      <c r="Q15">
        <v>1435</v>
      </c>
    </row>
    <row r="16" spans="1:17" x14ac:dyDescent="0.35">
      <c r="A16" s="46">
        <v>46123</v>
      </c>
      <c r="B16" t="s">
        <v>136</v>
      </c>
      <c r="C16" t="s">
        <v>344</v>
      </c>
      <c r="D16" t="s">
        <v>336</v>
      </c>
      <c r="E16" t="s">
        <v>337</v>
      </c>
      <c r="F16" t="s">
        <v>87</v>
      </c>
      <c r="G16" t="s">
        <v>356</v>
      </c>
      <c r="H16" t="s">
        <v>343</v>
      </c>
      <c r="I16" t="s">
        <v>323</v>
      </c>
      <c r="J16" t="s">
        <v>324</v>
      </c>
      <c r="K16" t="s">
        <v>345</v>
      </c>
      <c r="L16" t="s">
        <v>346</v>
      </c>
      <c r="M16">
        <v>0.76</v>
      </c>
      <c r="N16">
        <v>2736</v>
      </c>
      <c r="O16">
        <v>12202.560000000001</v>
      </c>
      <c r="P16">
        <v>4.4600000000000009</v>
      </c>
      <c r="Q16">
        <v>2736</v>
      </c>
    </row>
    <row r="17" spans="1:17" x14ac:dyDescent="0.35">
      <c r="A17" s="46">
        <v>46123</v>
      </c>
      <c r="B17" t="s">
        <v>136</v>
      </c>
      <c r="C17" t="s">
        <v>344</v>
      </c>
      <c r="D17" t="s">
        <v>336</v>
      </c>
      <c r="E17" t="s">
        <v>337</v>
      </c>
      <c r="F17" t="s">
        <v>87</v>
      </c>
      <c r="G17" t="s">
        <v>356</v>
      </c>
      <c r="H17" t="s">
        <v>330</v>
      </c>
      <c r="I17" t="s">
        <v>323</v>
      </c>
      <c r="J17" t="s">
        <v>324</v>
      </c>
      <c r="K17" t="s">
        <v>345</v>
      </c>
      <c r="L17" t="s">
        <v>346</v>
      </c>
      <c r="M17">
        <v>2.5375000000000001</v>
      </c>
      <c r="N17">
        <v>9135</v>
      </c>
      <c r="O17">
        <v>37184.12999999999</v>
      </c>
      <c r="P17">
        <v>4.0705123152709346</v>
      </c>
      <c r="Q17">
        <v>9135</v>
      </c>
    </row>
    <row r="18" spans="1:17" x14ac:dyDescent="0.35">
      <c r="A18" s="46">
        <v>46123</v>
      </c>
      <c r="B18" t="s">
        <v>136</v>
      </c>
      <c r="C18" t="s">
        <v>335</v>
      </c>
      <c r="D18" t="s">
        <v>336</v>
      </c>
      <c r="E18" t="s">
        <v>337</v>
      </c>
      <c r="F18" t="s">
        <v>87</v>
      </c>
      <c r="G18" t="s">
        <v>340</v>
      </c>
      <c r="H18" t="s">
        <v>331</v>
      </c>
      <c r="I18" t="s">
        <v>323</v>
      </c>
      <c r="J18" t="s">
        <v>324</v>
      </c>
      <c r="K18" t="s">
        <v>142</v>
      </c>
      <c r="L18" t="s">
        <v>143</v>
      </c>
      <c r="M18">
        <v>1.3888888888888888E-2</v>
      </c>
      <c r="N18">
        <v>50</v>
      </c>
      <c r="O18">
        <v>179.5</v>
      </c>
      <c r="P18">
        <v>3.59</v>
      </c>
      <c r="Q18">
        <v>50</v>
      </c>
    </row>
    <row r="19" spans="1:17" x14ac:dyDescent="0.35">
      <c r="A19" s="46">
        <v>46123</v>
      </c>
      <c r="B19" t="s">
        <v>136</v>
      </c>
      <c r="C19" t="s">
        <v>344</v>
      </c>
      <c r="D19" t="s">
        <v>336</v>
      </c>
      <c r="E19" t="s">
        <v>337</v>
      </c>
      <c r="F19" t="s">
        <v>87</v>
      </c>
      <c r="G19" t="s">
        <v>356</v>
      </c>
      <c r="H19" t="s">
        <v>361</v>
      </c>
      <c r="I19" t="s">
        <v>323</v>
      </c>
      <c r="J19" t="s">
        <v>324</v>
      </c>
      <c r="K19" t="s">
        <v>142</v>
      </c>
      <c r="L19" t="s">
        <v>143</v>
      </c>
      <c r="M19">
        <v>4.3888888888888887E-2</v>
      </c>
      <c r="N19">
        <v>158</v>
      </c>
      <c r="O19">
        <v>545.1</v>
      </c>
      <c r="P19">
        <v>3.45</v>
      </c>
      <c r="Q19">
        <v>158</v>
      </c>
    </row>
    <row r="20" spans="1:17" x14ac:dyDescent="0.35">
      <c r="A20" s="46">
        <v>46123</v>
      </c>
      <c r="B20" t="s">
        <v>136</v>
      </c>
      <c r="C20" t="s">
        <v>344</v>
      </c>
      <c r="D20" t="s">
        <v>336</v>
      </c>
      <c r="E20" t="s">
        <v>337</v>
      </c>
      <c r="F20" t="s">
        <v>87</v>
      </c>
      <c r="G20" t="s">
        <v>340</v>
      </c>
      <c r="H20" t="s">
        <v>327</v>
      </c>
      <c r="I20" t="s">
        <v>323</v>
      </c>
      <c r="J20" t="s">
        <v>324</v>
      </c>
      <c r="K20" t="s">
        <v>142</v>
      </c>
      <c r="L20" t="s">
        <v>143</v>
      </c>
      <c r="M20">
        <v>4.4166666666666667E-2</v>
      </c>
      <c r="N20">
        <v>159</v>
      </c>
      <c r="O20">
        <v>683.28</v>
      </c>
      <c r="P20">
        <v>4.2973584905660376</v>
      </c>
      <c r="Q20">
        <v>159</v>
      </c>
    </row>
    <row r="21" spans="1:17" x14ac:dyDescent="0.35">
      <c r="A21" s="46">
        <v>46123</v>
      </c>
      <c r="B21" t="s">
        <v>136</v>
      </c>
      <c r="C21" t="s">
        <v>344</v>
      </c>
      <c r="D21" t="s">
        <v>336</v>
      </c>
      <c r="E21" t="s">
        <v>337</v>
      </c>
      <c r="F21" t="s">
        <v>87</v>
      </c>
      <c r="G21" t="s">
        <v>356</v>
      </c>
      <c r="H21" t="s">
        <v>330</v>
      </c>
      <c r="I21" t="s">
        <v>323</v>
      </c>
      <c r="J21" t="s">
        <v>324</v>
      </c>
      <c r="K21" t="s">
        <v>142</v>
      </c>
      <c r="L21" t="s">
        <v>143</v>
      </c>
      <c r="M21">
        <v>7.2777777777777775E-2</v>
      </c>
      <c r="N21">
        <v>262</v>
      </c>
      <c r="O21">
        <v>1202.9000000000001</v>
      </c>
      <c r="P21">
        <v>4.5912213740458014</v>
      </c>
      <c r="Q21">
        <v>262</v>
      </c>
    </row>
    <row r="22" spans="1:17" x14ac:dyDescent="0.35">
      <c r="A22" s="46">
        <v>46123</v>
      </c>
      <c r="B22" t="s">
        <v>136</v>
      </c>
      <c r="C22" t="s">
        <v>335</v>
      </c>
      <c r="D22" t="s">
        <v>336</v>
      </c>
      <c r="E22" t="s">
        <v>337</v>
      </c>
      <c r="F22" t="s">
        <v>322</v>
      </c>
      <c r="G22" t="s">
        <v>322</v>
      </c>
      <c r="H22" t="s">
        <v>322</v>
      </c>
      <c r="I22" t="s">
        <v>323</v>
      </c>
      <c r="J22" t="s">
        <v>324</v>
      </c>
      <c r="K22" t="s">
        <v>142</v>
      </c>
      <c r="L22" t="s">
        <v>143</v>
      </c>
      <c r="M22">
        <v>9.2499999999999999E-2</v>
      </c>
      <c r="N22">
        <v>333</v>
      </c>
      <c r="O22">
        <v>1568.43</v>
      </c>
      <c r="P22">
        <v>4.71</v>
      </c>
      <c r="Q22">
        <v>333</v>
      </c>
    </row>
    <row r="23" spans="1:17" x14ac:dyDescent="0.35">
      <c r="A23" s="46">
        <v>46123</v>
      </c>
      <c r="B23" t="s">
        <v>136</v>
      </c>
      <c r="C23" t="s">
        <v>335</v>
      </c>
      <c r="D23" t="s">
        <v>336</v>
      </c>
      <c r="E23" t="s">
        <v>337</v>
      </c>
      <c r="F23" t="s">
        <v>87</v>
      </c>
      <c r="G23" t="s">
        <v>356</v>
      </c>
      <c r="H23" t="s">
        <v>343</v>
      </c>
      <c r="I23" t="s">
        <v>323</v>
      </c>
      <c r="J23" t="s">
        <v>324</v>
      </c>
      <c r="K23" t="s">
        <v>350</v>
      </c>
      <c r="L23" t="s">
        <v>351</v>
      </c>
      <c r="M23">
        <v>6.1111111111111114E-3</v>
      </c>
      <c r="N23">
        <v>22</v>
      </c>
      <c r="O23">
        <v>0</v>
      </c>
    </row>
    <row r="24" spans="1:17" x14ac:dyDescent="0.35">
      <c r="A24" s="46">
        <v>46123</v>
      </c>
      <c r="B24" t="s">
        <v>136</v>
      </c>
      <c r="C24" t="s">
        <v>353</v>
      </c>
      <c r="D24" t="s">
        <v>336</v>
      </c>
      <c r="E24" t="s">
        <v>337</v>
      </c>
      <c r="F24" t="s">
        <v>87</v>
      </c>
      <c r="G24" t="s">
        <v>356</v>
      </c>
      <c r="H24" t="s">
        <v>330</v>
      </c>
      <c r="I24" t="s">
        <v>323</v>
      </c>
      <c r="J24" t="s">
        <v>324</v>
      </c>
      <c r="K24" t="s">
        <v>350</v>
      </c>
      <c r="L24" t="s">
        <v>351</v>
      </c>
      <c r="M24">
        <v>7.4999999999999997E-3</v>
      </c>
      <c r="N24">
        <v>27</v>
      </c>
      <c r="O24">
        <v>74.25</v>
      </c>
      <c r="P24">
        <v>2.75</v>
      </c>
      <c r="Q24">
        <v>27</v>
      </c>
    </row>
    <row r="25" spans="1:17" x14ac:dyDescent="0.35">
      <c r="A25" s="46">
        <v>46123</v>
      </c>
      <c r="B25" t="s">
        <v>136</v>
      </c>
      <c r="C25" t="s">
        <v>344</v>
      </c>
      <c r="D25" t="s">
        <v>336</v>
      </c>
      <c r="E25" t="s">
        <v>337</v>
      </c>
      <c r="F25" t="s">
        <v>322</v>
      </c>
      <c r="G25" t="s">
        <v>322</v>
      </c>
      <c r="H25" t="s">
        <v>322</v>
      </c>
      <c r="I25" t="s">
        <v>323</v>
      </c>
      <c r="J25" t="s">
        <v>324</v>
      </c>
      <c r="K25" t="s">
        <v>350</v>
      </c>
      <c r="L25" t="s">
        <v>351</v>
      </c>
      <c r="M25">
        <v>3.6944444444444446E-2</v>
      </c>
      <c r="N25">
        <v>133</v>
      </c>
      <c r="O25">
        <v>266.05</v>
      </c>
      <c r="P25">
        <v>2.0003759398496244</v>
      </c>
      <c r="Q25">
        <v>133</v>
      </c>
    </row>
    <row r="26" spans="1:17" x14ac:dyDescent="0.35">
      <c r="A26" s="46">
        <v>46123</v>
      </c>
      <c r="B26" t="s">
        <v>136</v>
      </c>
      <c r="C26" t="s">
        <v>344</v>
      </c>
      <c r="D26" t="s">
        <v>336</v>
      </c>
      <c r="E26" t="s">
        <v>337</v>
      </c>
      <c r="F26" t="s">
        <v>87</v>
      </c>
      <c r="G26" t="s">
        <v>356</v>
      </c>
      <c r="H26" t="s">
        <v>343</v>
      </c>
      <c r="I26" t="s">
        <v>323</v>
      </c>
      <c r="J26" t="s">
        <v>324</v>
      </c>
      <c r="K26" t="s">
        <v>350</v>
      </c>
      <c r="L26" t="s">
        <v>351</v>
      </c>
      <c r="M26">
        <v>0.20527777777777778</v>
      </c>
      <c r="N26">
        <v>739</v>
      </c>
      <c r="O26">
        <v>1298.47</v>
      </c>
      <c r="P26">
        <v>1.757063599458728</v>
      </c>
      <c r="Q26">
        <v>739</v>
      </c>
    </row>
    <row r="27" spans="1:17" x14ac:dyDescent="0.35">
      <c r="A27" s="46">
        <v>46123</v>
      </c>
      <c r="B27" t="s">
        <v>136</v>
      </c>
      <c r="C27" t="s">
        <v>344</v>
      </c>
      <c r="D27" t="s">
        <v>336</v>
      </c>
      <c r="E27" t="s">
        <v>337</v>
      </c>
      <c r="F27" t="s">
        <v>87</v>
      </c>
      <c r="G27" t="s">
        <v>340</v>
      </c>
      <c r="H27" t="s">
        <v>327</v>
      </c>
      <c r="I27" t="s">
        <v>323</v>
      </c>
      <c r="J27" t="s">
        <v>324</v>
      </c>
      <c r="K27" t="s">
        <v>350</v>
      </c>
      <c r="L27" t="s">
        <v>351</v>
      </c>
      <c r="M27">
        <v>0.14805555555555555</v>
      </c>
      <c r="N27">
        <v>533</v>
      </c>
      <c r="O27">
        <v>1585.8899999999999</v>
      </c>
      <c r="P27">
        <v>2.9754033771106938</v>
      </c>
      <c r="Q27">
        <v>533</v>
      </c>
    </row>
    <row r="28" spans="1:17" x14ac:dyDescent="0.35">
      <c r="A28" s="46">
        <v>46123</v>
      </c>
      <c r="B28" t="s">
        <v>136</v>
      </c>
      <c r="C28" t="s">
        <v>344</v>
      </c>
      <c r="D28" t="s">
        <v>336</v>
      </c>
      <c r="E28" t="s">
        <v>337</v>
      </c>
      <c r="F28" t="s">
        <v>87</v>
      </c>
      <c r="G28" t="s">
        <v>356</v>
      </c>
      <c r="H28" t="s">
        <v>361</v>
      </c>
      <c r="I28" t="s">
        <v>323</v>
      </c>
      <c r="J28" t="s">
        <v>324</v>
      </c>
      <c r="K28" t="s">
        <v>350</v>
      </c>
      <c r="L28" t="s">
        <v>351</v>
      </c>
      <c r="M28">
        <v>0.19833333333333333</v>
      </c>
      <c r="N28">
        <v>714</v>
      </c>
      <c r="O28">
        <v>1768.02</v>
      </c>
      <c r="P28">
        <v>2.476218487394958</v>
      </c>
      <c r="Q28">
        <v>714</v>
      </c>
    </row>
    <row r="29" spans="1:17" x14ac:dyDescent="0.35">
      <c r="A29" s="46">
        <v>46123</v>
      </c>
      <c r="B29" t="s">
        <v>136</v>
      </c>
      <c r="C29" t="s">
        <v>344</v>
      </c>
      <c r="D29" t="s">
        <v>336</v>
      </c>
      <c r="E29" t="s">
        <v>337</v>
      </c>
      <c r="F29" t="s">
        <v>87</v>
      </c>
      <c r="G29" t="s">
        <v>356</v>
      </c>
      <c r="H29" t="s">
        <v>330</v>
      </c>
      <c r="I29" t="s">
        <v>323</v>
      </c>
      <c r="J29" t="s">
        <v>324</v>
      </c>
      <c r="K29" t="s">
        <v>350</v>
      </c>
      <c r="L29" t="s">
        <v>351</v>
      </c>
      <c r="M29">
        <v>1.3058333333333334</v>
      </c>
      <c r="N29">
        <v>4701</v>
      </c>
      <c r="O29">
        <v>11634.769999999999</v>
      </c>
      <c r="P29">
        <v>2.4749563922569662</v>
      </c>
      <c r="Q29">
        <v>4701</v>
      </c>
    </row>
    <row r="30" spans="1:17" x14ac:dyDescent="0.35">
      <c r="A30" s="46">
        <v>46123</v>
      </c>
      <c r="B30" t="s">
        <v>136</v>
      </c>
      <c r="C30" t="s">
        <v>335</v>
      </c>
      <c r="D30" t="s">
        <v>336</v>
      </c>
      <c r="E30" t="s">
        <v>337</v>
      </c>
      <c r="F30" t="s">
        <v>322</v>
      </c>
      <c r="G30" t="s">
        <v>322</v>
      </c>
      <c r="H30" t="s">
        <v>322</v>
      </c>
      <c r="I30" t="s">
        <v>323</v>
      </c>
      <c r="J30" t="s">
        <v>324</v>
      </c>
      <c r="K30" t="s">
        <v>170</v>
      </c>
      <c r="L30" t="s">
        <v>171</v>
      </c>
      <c r="M30">
        <v>0.22805555555555557</v>
      </c>
      <c r="N30">
        <v>821</v>
      </c>
      <c r="O30">
        <v>0</v>
      </c>
    </row>
    <row r="31" spans="1:17" x14ac:dyDescent="0.35">
      <c r="A31" s="46">
        <v>46123</v>
      </c>
      <c r="B31" t="s">
        <v>136</v>
      </c>
      <c r="C31" t="s">
        <v>353</v>
      </c>
      <c r="D31" t="s">
        <v>336</v>
      </c>
      <c r="E31" t="s">
        <v>337</v>
      </c>
      <c r="F31" t="s">
        <v>87</v>
      </c>
      <c r="G31" t="s">
        <v>356</v>
      </c>
      <c r="H31" t="s">
        <v>330</v>
      </c>
      <c r="I31" t="s">
        <v>323</v>
      </c>
      <c r="J31" t="s">
        <v>324</v>
      </c>
      <c r="K31" t="s">
        <v>170</v>
      </c>
      <c r="L31" t="s">
        <v>171</v>
      </c>
      <c r="M31">
        <v>4.1111111111111112E-2</v>
      </c>
      <c r="N31">
        <v>148</v>
      </c>
      <c r="O31">
        <v>0</v>
      </c>
    </row>
    <row r="32" spans="1:17" x14ac:dyDescent="0.35">
      <c r="A32" s="46">
        <v>46123</v>
      </c>
      <c r="B32" t="s">
        <v>136</v>
      </c>
      <c r="C32" t="s">
        <v>344</v>
      </c>
      <c r="D32" t="s">
        <v>336</v>
      </c>
      <c r="E32" t="s">
        <v>337</v>
      </c>
      <c r="F32" t="s">
        <v>87</v>
      </c>
      <c r="G32" t="s">
        <v>356</v>
      </c>
      <c r="H32" t="s">
        <v>330</v>
      </c>
      <c r="I32" t="s">
        <v>323</v>
      </c>
      <c r="J32" t="s">
        <v>324</v>
      </c>
      <c r="K32" t="s">
        <v>170</v>
      </c>
      <c r="L32" t="s">
        <v>171</v>
      </c>
      <c r="M32">
        <v>1.6691666666666667</v>
      </c>
      <c r="N32">
        <v>6009</v>
      </c>
      <c r="O32">
        <v>0</v>
      </c>
    </row>
    <row r="33" spans="1:17" x14ac:dyDescent="0.35">
      <c r="A33" s="46">
        <v>46123</v>
      </c>
      <c r="B33" t="s">
        <v>136</v>
      </c>
      <c r="C33" t="s">
        <v>344</v>
      </c>
      <c r="D33" t="s">
        <v>336</v>
      </c>
      <c r="E33" t="s">
        <v>337</v>
      </c>
      <c r="F33" t="s">
        <v>87</v>
      </c>
      <c r="G33" t="s">
        <v>340</v>
      </c>
      <c r="H33" t="s">
        <v>327</v>
      </c>
      <c r="I33" t="s">
        <v>323</v>
      </c>
      <c r="J33" t="s">
        <v>324</v>
      </c>
      <c r="K33" t="s">
        <v>170</v>
      </c>
      <c r="L33" t="s">
        <v>171</v>
      </c>
      <c r="M33">
        <v>2.75E-2</v>
      </c>
      <c r="N33">
        <v>99</v>
      </c>
      <c r="O33">
        <v>0</v>
      </c>
    </row>
    <row r="34" spans="1:17" x14ac:dyDescent="0.35">
      <c r="A34" s="46">
        <v>46123</v>
      </c>
      <c r="B34" t="s">
        <v>136</v>
      </c>
      <c r="C34" t="s">
        <v>335</v>
      </c>
      <c r="D34" t="s">
        <v>336</v>
      </c>
      <c r="E34" t="s">
        <v>337</v>
      </c>
      <c r="F34" t="s">
        <v>87</v>
      </c>
      <c r="G34" t="s">
        <v>340</v>
      </c>
      <c r="H34" t="s">
        <v>331</v>
      </c>
      <c r="I34" t="s">
        <v>323</v>
      </c>
      <c r="J34" t="s">
        <v>324</v>
      </c>
      <c r="K34" t="s">
        <v>170</v>
      </c>
      <c r="L34" t="s">
        <v>171</v>
      </c>
      <c r="M34">
        <v>8.2152777777777786</v>
      </c>
      <c r="N34">
        <v>29575</v>
      </c>
      <c r="O34">
        <v>0</v>
      </c>
    </row>
    <row r="35" spans="1:17" x14ac:dyDescent="0.35">
      <c r="A35" s="46">
        <v>46123</v>
      </c>
      <c r="B35" t="s">
        <v>136</v>
      </c>
      <c r="C35" t="s">
        <v>344</v>
      </c>
      <c r="D35" t="s">
        <v>336</v>
      </c>
      <c r="E35" t="s">
        <v>337</v>
      </c>
      <c r="F35" t="s">
        <v>87</v>
      </c>
      <c r="G35" t="s">
        <v>356</v>
      </c>
      <c r="H35" t="s">
        <v>361</v>
      </c>
      <c r="I35" t="s">
        <v>323</v>
      </c>
      <c r="J35" t="s">
        <v>324</v>
      </c>
      <c r="K35" t="s">
        <v>170</v>
      </c>
      <c r="L35" t="s">
        <v>171</v>
      </c>
      <c r="M35">
        <v>3.6944444444444446E-2</v>
      </c>
      <c r="N35">
        <v>133</v>
      </c>
      <c r="O35">
        <v>0</v>
      </c>
    </row>
    <row r="36" spans="1:17" x14ac:dyDescent="0.35">
      <c r="A36" s="46">
        <v>46123</v>
      </c>
      <c r="B36" t="s">
        <v>136</v>
      </c>
      <c r="C36" t="s">
        <v>344</v>
      </c>
      <c r="D36" t="s">
        <v>336</v>
      </c>
      <c r="E36" t="s">
        <v>337</v>
      </c>
      <c r="F36" t="s">
        <v>87</v>
      </c>
      <c r="G36" t="s">
        <v>356</v>
      </c>
      <c r="H36" t="s">
        <v>343</v>
      </c>
      <c r="I36" t="s">
        <v>323</v>
      </c>
      <c r="J36" t="s">
        <v>324</v>
      </c>
      <c r="K36" t="s">
        <v>170</v>
      </c>
      <c r="L36" t="s">
        <v>171</v>
      </c>
      <c r="M36">
        <v>4.777777777777778E-2</v>
      </c>
      <c r="N36">
        <v>172</v>
      </c>
      <c r="O36">
        <v>0</v>
      </c>
    </row>
    <row r="37" spans="1:17" x14ac:dyDescent="0.35">
      <c r="A37" s="46">
        <v>46123</v>
      </c>
      <c r="B37" t="s">
        <v>136</v>
      </c>
      <c r="C37" t="s">
        <v>335</v>
      </c>
      <c r="D37" t="s">
        <v>336</v>
      </c>
      <c r="E37" t="s">
        <v>337</v>
      </c>
      <c r="F37" t="s">
        <v>87</v>
      </c>
      <c r="G37" t="s">
        <v>356</v>
      </c>
      <c r="H37" t="s">
        <v>343</v>
      </c>
      <c r="I37" t="s">
        <v>323</v>
      </c>
      <c r="J37" t="s">
        <v>324</v>
      </c>
      <c r="K37" t="s">
        <v>170</v>
      </c>
      <c r="L37" t="s">
        <v>171</v>
      </c>
      <c r="M37">
        <v>7.4138888888888888</v>
      </c>
      <c r="N37">
        <v>26690</v>
      </c>
      <c r="O37">
        <v>0</v>
      </c>
    </row>
    <row r="38" spans="1:17" x14ac:dyDescent="0.35">
      <c r="A38" s="46">
        <v>46123</v>
      </c>
      <c r="B38" t="s">
        <v>136</v>
      </c>
      <c r="C38" t="s">
        <v>344</v>
      </c>
      <c r="D38" t="s">
        <v>336</v>
      </c>
      <c r="E38" t="s">
        <v>337</v>
      </c>
      <c r="F38" t="s">
        <v>322</v>
      </c>
      <c r="G38" t="s">
        <v>322</v>
      </c>
      <c r="H38" t="s">
        <v>322</v>
      </c>
      <c r="I38" t="s">
        <v>323</v>
      </c>
      <c r="J38" t="s">
        <v>324</v>
      </c>
      <c r="K38" t="s">
        <v>178</v>
      </c>
      <c r="L38" t="s">
        <v>179</v>
      </c>
      <c r="M38">
        <v>3.6388888888888887E-2</v>
      </c>
      <c r="N38">
        <v>131</v>
      </c>
      <c r="O38">
        <v>0</v>
      </c>
    </row>
    <row r="39" spans="1:17" x14ac:dyDescent="0.35">
      <c r="A39" s="46">
        <v>46123</v>
      </c>
      <c r="B39" t="s">
        <v>136</v>
      </c>
      <c r="C39" t="s">
        <v>335</v>
      </c>
      <c r="D39" t="s">
        <v>336</v>
      </c>
      <c r="E39" t="s">
        <v>337</v>
      </c>
      <c r="F39" t="s">
        <v>322</v>
      </c>
      <c r="G39" t="s">
        <v>322</v>
      </c>
      <c r="H39" t="s">
        <v>322</v>
      </c>
      <c r="I39" t="s">
        <v>323</v>
      </c>
      <c r="J39" t="s">
        <v>324</v>
      </c>
      <c r="K39" t="s">
        <v>178</v>
      </c>
      <c r="L39" t="s">
        <v>179</v>
      </c>
      <c r="M39">
        <v>7.3055555555555554E-2</v>
      </c>
      <c r="N39">
        <v>263</v>
      </c>
      <c r="O39">
        <v>0</v>
      </c>
    </row>
    <row r="40" spans="1:17" x14ac:dyDescent="0.35">
      <c r="A40" s="46">
        <v>46123</v>
      </c>
      <c r="B40" t="s">
        <v>136</v>
      </c>
      <c r="C40" t="s">
        <v>344</v>
      </c>
      <c r="D40" t="s">
        <v>336</v>
      </c>
      <c r="E40" t="s">
        <v>337</v>
      </c>
      <c r="F40" t="s">
        <v>87</v>
      </c>
      <c r="G40" t="s">
        <v>356</v>
      </c>
      <c r="H40" t="s">
        <v>330</v>
      </c>
      <c r="I40" t="s">
        <v>323</v>
      </c>
      <c r="J40" t="s">
        <v>324</v>
      </c>
      <c r="K40" t="s">
        <v>178</v>
      </c>
      <c r="L40" t="s">
        <v>179</v>
      </c>
      <c r="M40">
        <v>1.4999999999999999E-2</v>
      </c>
      <c r="N40">
        <v>54</v>
      </c>
      <c r="O40">
        <v>0</v>
      </c>
    </row>
    <row r="41" spans="1:17" x14ac:dyDescent="0.35">
      <c r="A41" s="46">
        <v>46123</v>
      </c>
      <c r="B41" t="s">
        <v>136</v>
      </c>
      <c r="C41" t="s">
        <v>335</v>
      </c>
      <c r="D41" t="s">
        <v>336</v>
      </c>
      <c r="E41" t="s">
        <v>337</v>
      </c>
      <c r="F41" t="s">
        <v>87</v>
      </c>
      <c r="G41" t="s">
        <v>356</v>
      </c>
      <c r="H41" t="s">
        <v>343</v>
      </c>
      <c r="I41" t="s">
        <v>323</v>
      </c>
      <c r="J41" t="s">
        <v>324</v>
      </c>
      <c r="K41" t="s">
        <v>178</v>
      </c>
      <c r="L41" t="s">
        <v>179</v>
      </c>
      <c r="M41">
        <v>5.4444444444444441E-2</v>
      </c>
      <c r="N41">
        <v>196</v>
      </c>
      <c r="O41">
        <v>0</v>
      </c>
    </row>
    <row r="42" spans="1:17" x14ac:dyDescent="0.35">
      <c r="A42" s="46">
        <v>46123</v>
      </c>
      <c r="B42" t="s">
        <v>136</v>
      </c>
      <c r="C42" t="s">
        <v>367</v>
      </c>
      <c r="D42" t="s">
        <v>363</v>
      </c>
      <c r="E42" t="s">
        <v>364</v>
      </c>
      <c r="F42" t="s">
        <v>82</v>
      </c>
      <c r="G42" t="s">
        <v>368</v>
      </c>
      <c r="H42" t="s">
        <v>371</v>
      </c>
      <c r="I42" t="s">
        <v>323</v>
      </c>
      <c r="J42" t="s">
        <v>324</v>
      </c>
      <c r="K42" t="s">
        <v>341</v>
      </c>
      <c r="L42" t="s">
        <v>342</v>
      </c>
      <c r="M42">
        <v>4.6388888888888889E-2</v>
      </c>
      <c r="N42">
        <v>167</v>
      </c>
      <c r="O42">
        <v>0</v>
      </c>
    </row>
    <row r="43" spans="1:17" x14ac:dyDescent="0.35">
      <c r="A43" s="46">
        <v>46123</v>
      </c>
      <c r="B43" t="s">
        <v>136</v>
      </c>
      <c r="C43" t="s">
        <v>372</v>
      </c>
      <c r="D43" t="s">
        <v>363</v>
      </c>
      <c r="E43" t="s">
        <v>364</v>
      </c>
      <c r="F43" t="s">
        <v>322</v>
      </c>
      <c r="G43" t="s">
        <v>322</v>
      </c>
      <c r="H43" t="s">
        <v>322</v>
      </c>
      <c r="I43" t="s">
        <v>323</v>
      </c>
      <c r="J43" t="s">
        <v>324</v>
      </c>
      <c r="K43" t="s">
        <v>345</v>
      </c>
      <c r="L43" t="s">
        <v>346</v>
      </c>
      <c r="M43">
        <v>0.01</v>
      </c>
      <c r="N43">
        <v>36</v>
      </c>
      <c r="O43">
        <v>146.66999999999999</v>
      </c>
      <c r="P43">
        <v>4.0741666666666667</v>
      </c>
      <c r="Q43">
        <v>36</v>
      </c>
    </row>
    <row r="44" spans="1:17" x14ac:dyDescent="0.35">
      <c r="A44" s="46">
        <v>46123</v>
      </c>
      <c r="B44" t="s">
        <v>136</v>
      </c>
      <c r="C44" t="s">
        <v>367</v>
      </c>
      <c r="D44" t="s">
        <v>363</v>
      </c>
      <c r="E44" t="s">
        <v>364</v>
      </c>
      <c r="F44" t="s">
        <v>322</v>
      </c>
      <c r="G44" t="s">
        <v>322</v>
      </c>
      <c r="H44" t="s">
        <v>322</v>
      </c>
      <c r="I44" t="s">
        <v>323</v>
      </c>
      <c r="J44" t="s">
        <v>324</v>
      </c>
      <c r="K44" t="s">
        <v>345</v>
      </c>
      <c r="L44" t="s">
        <v>346</v>
      </c>
      <c r="M44">
        <v>4.4722222222222219E-2</v>
      </c>
      <c r="N44">
        <v>161</v>
      </c>
      <c r="O44">
        <v>635.95000000000005</v>
      </c>
      <c r="P44">
        <v>3.95</v>
      </c>
      <c r="Q44">
        <v>161</v>
      </c>
    </row>
    <row r="45" spans="1:17" x14ac:dyDescent="0.35">
      <c r="A45" s="46">
        <v>46123</v>
      </c>
      <c r="B45" t="s">
        <v>136</v>
      </c>
      <c r="C45" t="s">
        <v>367</v>
      </c>
      <c r="D45" t="s">
        <v>363</v>
      </c>
      <c r="E45" t="s">
        <v>364</v>
      </c>
      <c r="F45" t="s">
        <v>82</v>
      </c>
      <c r="G45" t="s">
        <v>368</v>
      </c>
      <c r="H45" t="s">
        <v>323</v>
      </c>
      <c r="I45" t="s">
        <v>323</v>
      </c>
      <c r="J45" t="s">
        <v>324</v>
      </c>
      <c r="K45" t="s">
        <v>345</v>
      </c>
      <c r="L45" t="s">
        <v>346</v>
      </c>
      <c r="M45">
        <v>0.17527777777777778</v>
      </c>
      <c r="N45">
        <v>631</v>
      </c>
      <c r="O45">
        <v>2332.33</v>
      </c>
      <c r="P45">
        <v>3.6962440570522976</v>
      </c>
      <c r="Q45">
        <v>631</v>
      </c>
    </row>
    <row r="46" spans="1:17" x14ac:dyDescent="0.35">
      <c r="A46" s="46">
        <v>46123</v>
      </c>
      <c r="B46" t="s">
        <v>136</v>
      </c>
      <c r="C46" t="s">
        <v>367</v>
      </c>
      <c r="D46" t="s">
        <v>363</v>
      </c>
      <c r="E46" t="s">
        <v>364</v>
      </c>
      <c r="F46" t="s">
        <v>82</v>
      </c>
      <c r="G46" t="s">
        <v>368</v>
      </c>
      <c r="H46" t="s">
        <v>371</v>
      </c>
      <c r="I46" t="s">
        <v>323</v>
      </c>
      <c r="J46" t="s">
        <v>324</v>
      </c>
      <c r="K46" t="s">
        <v>345</v>
      </c>
      <c r="L46" t="s">
        <v>346</v>
      </c>
      <c r="M46">
        <v>0.52249999999999996</v>
      </c>
      <c r="N46">
        <v>1881</v>
      </c>
      <c r="O46">
        <v>6955.4400000000005</v>
      </c>
      <c r="P46">
        <v>3.6977352472089318</v>
      </c>
      <c r="Q46">
        <v>1881</v>
      </c>
    </row>
    <row r="47" spans="1:17" x14ac:dyDescent="0.35">
      <c r="A47" s="46">
        <v>46123</v>
      </c>
      <c r="B47" t="s">
        <v>136</v>
      </c>
      <c r="C47" t="s">
        <v>372</v>
      </c>
      <c r="D47" t="s">
        <v>363</v>
      </c>
      <c r="E47" t="s">
        <v>364</v>
      </c>
      <c r="F47" t="s">
        <v>82</v>
      </c>
      <c r="G47" t="s">
        <v>368</v>
      </c>
      <c r="H47" t="s">
        <v>323</v>
      </c>
      <c r="I47" t="s">
        <v>323</v>
      </c>
      <c r="J47" t="s">
        <v>324</v>
      </c>
      <c r="K47" t="s">
        <v>345</v>
      </c>
      <c r="L47" t="s">
        <v>346</v>
      </c>
      <c r="M47">
        <v>0.54</v>
      </c>
      <c r="N47">
        <v>1944</v>
      </c>
      <c r="O47">
        <v>8441.48</v>
      </c>
      <c r="P47">
        <v>4.3423251028806584</v>
      </c>
      <c r="Q47">
        <v>1944</v>
      </c>
    </row>
    <row r="48" spans="1:17" x14ac:dyDescent="0.35">
      <c r="A48" s="46">
        <v>46123</v>
      </c>
      <c r="B48" t="s">
        <v>136</v>
      </c>
      <c r="C48" t="s">
        <v>372</v>
      </c>
      <c r="D48" t="s">
        <v>363</v>
      </c>
      <c r="E48" t="s">
        <v>364</v>
      </c>
      <c r="F48" t="s">
        <v>82</v>
      </c>
      <c r="G48" t="s">
        <v>368</v>
      </c>
      <c r="H48" t="s">
        <v>371</v>
      </c>
      <c r="I48" t="s">
        <v>323</v>
      </c>
      <c r="J48" t="s">
        <v>324</v>
      </c>
      <c r="K48" t="s">
        <v>345</v>
      </c>
      <c r="L48" t="s">
        <v>346</v>
      </c>
      <c r="M48">
        <v>2.4408333333333334</v>
      </c>
      <c r="N48">
        <v>8787</v>
      </c>
      <c r="O48">
        <v>41850.210000000006</v>
      </c>
      <c r="P48">
        <v>4.7627415500170711</v>
      </c>
      <c r="Q48">
        <v>8787</v>
      </c>
    </row>
    <row r="49" spans="1:17" x14ac:dyDescent="0.35">
      <c r="A49" s="46">
        <v>46123</v>
      </c>
      <c r="B49" t="s">
        <v>136</v>
      </c>
      <c r="C49" t="s">
        <v>372</v>
      </c>
      <c r="D49" t="s">
        <v>363</v>
      </c>
      <c r="E49" t="s">
        <v>364</v>
      </c>
      <c r="F49" t="s">
        <v>82</v>
      </c>
      <c r="G49" t="s">
        <v>368</v>
      </c>
      <c r="H49" t="s">
        <v>323</v>
      </c>
      <c r="I49" t="s">
        <v>323</v>
      </c>
      <c r="J49" t="s">
        <v>324</v>
      </c>
      <c r="K49" t="s">
        <v>142</v>
      </c>
      <c r="L49" t="s">
        <v>143</v>
      </c>
      <c r="M49">
        <v>3.7499999999999999E-2</v>
      </c>
      <c r="N49">
        <v>135</v>
      </c>
      <c r="O49">
        <v>614.25</v>
      </c>
      <c r="P49">
        <v>4.55</v>
      </c>
      <c r="Q49">
        <v>135</v>
      </c>
    </row>
    <row r="50" spans="1:17" x14ac:dyDescent="0.35">
      <c r="A50" s="46">
        <v>46123</v>
      </c>
      <c r="B50" t="s">
        <v>136</v>
      </c>
      <c r="C50" t="s">
        <v>367</v>
      </c>
      <c r="D50" t="s">
        <v>363</v>
      </c>
      <c r="E50" t="s">
        <v>364</v>
      </c>
      <c r="F50" t="s">
        <v>82</v>
      </c>
      <c r="G50" t="s">
        <v>368</v>
      </c>
      <c r="H50" t="s">
        <v>366</v>
      </c>
      <c r="I50" t="s">
        <v>323</v>
      </c>
      <c r="J50" t="s">
        <v>324</v>
      </c>
      <c r="K50" t="s">
        <v>142</v>
      </c>
      <c r="L50" t="s">
        <v>143</v>
      </c>
      <c r="M50">
        <v>4.5277777777777778E-2</v>
      </c>
      <c r="N50">
        <v>163</v>
      </c>
      <c r="O50">
        <v>629.17999999999995</v>
      </c>
      <c r="P50">
        <v>3.86</v>
      </c>
      <c r="Q50">
        <v>163</v>
      </c>
    </row>
    <row r="51" spans="1:17" x14ac:dyDescent="0.35">
      <c r="A51" s="46">
        <v>46123</v>
      </c>
      <c r="B51" t="s">
        <v>136</v>
      </c>
      <c r="C51" t="s">
        <v>372</v>
      </c>
      <c r="D51" t="s">
        <v>363</v>
      </c>
      <c r="E51" t="s">
        <v>364</v>
      </c>
      <c r="F51" t="s">
        <v>82</v>
      </c>
      <c r="G51" t="s">
        <v>368</v>
      </c>
      <c r="H51" t="s">
        <v>371</v>
      </c>
      <c r="I51" t="s">
        <v>323</v>
      </c>
      <c r="J51" t="s">
        <v>324</v>
      </c>
      <c r="K51" t="s">
        <v>142</v>
      </c>
      <c r="L51" t="s">
        <v>143</v>
      </c>
      <c r="M51">
        <v>0.16888888888888889</v>
      </c>
      <c r="N51">
        <v>608</v>
      </c>
      <c r="O51">
        <v>2357.52</v>
      </c>
      <c r="P51">
        <v>3.8774999999999999</v>
      </c>
      <c r="Q51">
        <v>608</v>
      </c>
    </row>
    <row r="52" spans="1:17" x14ac:dyDescent="0.35">
      <c r="A52" s="46">
        <v>46123</v>
      </c>
      <c r="B52" t="s">
        <v>136</v>
      </c>
      <c r="C52" t="s">
        <v>372</v>
      </c>
      <c r="D52" t="s">
        <v>363</v>
      </c>
      <c r="E52" t="s">
        <v>364</v>
      </c>
      <c r="F52" t="s">
        <v>322</v>
      </c>
      <c r="G52" t="s">
        <v>322</v>
      </c>
      <c r="H52" t="s">
        <v>322</v>
      </c>
      <c r="I52" t="s">
        <v>323</v>
      </c>
      <c r="J52" t="s">
        <v>324</v>
      </c>
      <c r="K52" t="s">
        <v>142</v>
      </c>
      <c r="L52" t="s">
        <v>143</v>
      </c>
      <c r="M52">
        <v>0.13055555555555556</v>
      </c>
      <c r="N52">
        <v>470</v>
      </c>
      <c r="O52">
        <v>2622.6</v>
      </c>
      <c r="P52">
        <v>5.58</v>
      </c>
      <c r="Q52">
        <v>470</v>
      </c>
    </row>
    <row r="53" spans="1:17" x14ac:dyDescent="0.35">
      <c r="A53" s="46">
        <v>46123</v>
      </c>
      <c r="B53" t="s">
        <v>136</v>
      </c>
      <c r="C53" t="s">
        <v>367</v>
      </c>
      <c r="D53" t="s">
        <v>363</v>
      </c>
      <c r="E53" t="s">
        <v>364</v>
      </c>
      <c r="F53" t="s">
        <v>82</v>
      </c>
      <c r="G53" t="s">
        <v>368</v>
      </c>
      <c r="H53" t="s">
        <v>371</v>
      </c>
      <c r="I53" t="s">
        <v>323</v>
      </c>
      <c r="J53" t="s">
        <v>324</v>
      </c>
      <c r="K53" t="s">
        <v>142</v>
      </c>
      <c r="L53" t="s">
        <v>143</v>
      </c>
      <c r="M53">
        <v>0.20083333333333334</v>
      </c>
      <c r="N53">
        <v>723</v>
      </c>
      <c r="O53">
        <v>3303.73</v>
      </c>
      <c r="P53">
        <v>4.5694744121715081</v>
      </c>
      <c r="Q53">
        <v>723</v>
      </c>
    </row>
    <row r="54" spans="1:17" x14ac:dyDescent="0.35">
      <c r="A54" s="46">
        <v>46123</v>
      </c>
      <c r="B54" t="s">
        <v>136</v>
      </c>
      <c r="C54" t="s">
        <v>367</v>
      </c>
      <c r="D54" t="s">
        <v>363</v>
      </c>
      <c r="E54" t="s">
        <v>364</v>
      </c>
      <c r="F54" t="s">
        <v>82</v>
      </c>
      <c r="G54" t="s">
        <v>368</v>
      </c>
      <c r="H54" t="s">
        <v>371</v>
      </c>
      <c r="I54" t="s">
        <v>323</v>
      </c>
      <c r="J54" t="s">
        <v>324</v>
      </c>
      <c r="K54" t="s">
        <v>348</v>
      </c>
      <c r="L54" t="s">
        <v>349</v>
      </c>
      <c r="M54">
        <v>0.11861111111111111</v>
      </c>
      <c r="N54">
        <v>427</v>
      </c>
      <c r="O54">
        <v>0</v>
      </c>
    </row>
    <row r="55" spans="1:17" x14ac:dyDescent="0.35">
      <c r="A55" s="46">
        <v>46123</v>
      </c>
      <c r="B55" t="s">
        <v>136</v>
      </c>
      <c r="C55" t="s">
        <v>367</v>
      </c>
      <c r="D55" t="s">
        <v>363</v>
      </c>
      <c r="E55" t="s">
        <v>364</v>
      </c>
      <c r="F55" t="s">
        <v>322</v>
      </c>
      <c r="G55" t="s">
        <v>322</v>
      </c>
      <c r="H55" t="s">
        <v>322</v>
      </c>
      <c r="I55" t="s">
        <v>323</v>
      </c>
      <c r="J55" t="s">
        <v>324</v>
      </c>
      <c r="K55" t="s">
        <v>350</v>
      </c>
      <c r="L55" t="s">
        <v>351</v>
      </c>
      <c r="M55">
        <v>2.8888888888888888E-2</v>
      </c>
      <c r="N55">
        <v>104</v>
      </c>
      <c r="O55">
        <v>265.2</v>
      </c>
      <c r="P55">
        <v>2.5499999999999998</v>
      </c>
      <c r="Q55">
        <v>104</v>
      </c>
    </row>
    <row r="56" spans="1:17" x14ac:dyDescent="0.35">
      <c r="A56" s="46">
        <v>46123</v>
      </c>
      <c r="B56" t="s">
        <v>136</v>
      </c>
      <c r="C56" t="s">
        <v>372</v>
      </c>
      <c r="D56" t="s">
        <v>363</v>
      </c>
      <c r="E56" t="s">
        <v>364</v>
      </c>
      <c r="F56" t="s">
        <v>322</v>
      </c>
      <c r="G56" t="s">
        <v>322</v>
      </c>
      <c r="H56" t="s">
        <v>322</v>
      </c>
      <c r="I56" t="s">
        <v>323</v>
      </c>
      <c r="J56" t="s">
        <v>324</v>
      </c>
      <c r="K56" t="s">
        <v>350</v>
      </c>
      <c r="L56" t="s">
        <v>351</v>
      </c>
      <c r="M56">
        <v>2.5833333333333333E-2</v>
      </c>
      <c r="N56">
        <v>93</v>
      </c>
      <c r="O56">
        <v>347.88</v>
      </c>
      <c r="P56">
        <v>3.7406451612903227</v>
      </c>
      <c r="Q56">
        <v>93</v>
      </c>
    </row>
    <row r="57" spans="1:17" x14ac:dyDescent="0.35">
      <c r="A57" s="46">
        <v>46123</v>
      </c>
      <c r="B57" t="s">
        <v>136</v>
      </c>
      <c r="C57" t="s">
        <v>367</v>
      </c>
      <c r="D57" t="s">
        <v>363</v>
      </c>
      <c r="E57" t="s">
        <v>364</v>
      </c>
      <c r="F57" t="s">
        <v>82</v>
      </c>
      <c r="G57" t="s">
        <v>368</v>
      </c>
      <c r="H57" t="s">
        <v>323</v>
      </c>
      <c r="I57" t="s">
        <v>323</v>
      </c>
      <c r="J57" t="s">
        <v>324</v>
      </c>
      <c r="K57" t="s">
        <v>350</v>
      </c>
      <c r="L57" t="s">
        <v>351</v>
      </c>
      <c r="M57">
        <v>8.6944444444444449E-2</v>
      </c>
      <c r="N57">
        <v>313</v>
      </c>
      <c r="O57">
        <v>1014.1200000000001</v>
      </c>
      <c r="P57">
        <v>3.24</v>
      </c>
      <c r="Q57">
        <v>313</v>
      </c>
    </row>
    <row r="58" spans="1:17" x14ac:dyDescent="0.35">
      <c r="A58" s="46">
        <v>46123</v>
      </c>
      <c r="B58" t="s">
        <v>136</v>
      </c>
      <c r="C58" t="s">
        <v>367</v>
      </c>
      <c r="D58" t="s">
        <v>363</v>
      </c>
      <c r="E58" t="s">
        <v>364</v>
      </c>
      <c r="F58" t="s">
        <v>82</v>
      </c>
      <c r="G58" t="s">
        <v>368</v>
      </c>
      <c r="H58" t="s">
        <v>371</v>
      </c>
      <c r="I58" t="s">
        <v>323</v>
      </c>
      <c r="J58" t="s">
        <v>324</v>
      </c>
      <c r="K58" t="s">
        <v>350</v>
      </c>
      <c r="L58" t="s">
        <v>351</v>
      </c>
      <c r="M58">
        <v>0.18388888888888888</v>
      </c>
      <c r="N58">
        <v>662</v>
      </c>
      <c r="O58">
        <v>2664.92</v>
      </c>
      <c r="P58">
        <v>4.0255589123867068</v>
      </c>
      <c r="Q58">
        <v>662</v>
      </c>
    </row>
    <row r="59" spans="1:17" x14ac:dyDescent="0.35">
      <c r="A59" s="46">
        <v>46123</v>
      </c>
      <c r="B59" t="s">
        <v>136</v>
      </c>
      <c r="C59" t="s">
        <v>372</v>
      </c>
      <c r="D59" t="s">
        <v>363</v>
      </c>
      <c r="E59" t="s">
        <v>364</v>
      </c>
      <c r="F59" t="s">
        <v>82</v>
      </c>
      <c r="G59" t="s">
        <v>368</v>
      </c>
      <c r="H59" t="s">
        <v>323</v>
      </c>
      <c r="I59" t="s">
        <v>323</v>
      </c>
      <c r="J59" t="s">
        <v>324</v>
      </c>
      <c r="K59" t="s">
        <v>350</v>
      </c>
      <c r="L59" t="s">
        <v>351</v>
      </c>
      <c r="M59">
        <v>0.3338888888888889</v>
      </c>
      <c r="N59">
        <v>1202</v>
      </c>
      <c r="O59">
        <v>3600.73</v>
      </c>
      <c r="P59">
        <v>2.9956156405990018</v>
      </c>
      <c r="Q59">
        <v>1202</v>
      </c>
    </row>
    <row r="60" spans="1:17" x14ac:dyDescent="0.35">
      <c r="A60" s="46">
        <v>46123</v>
      </c>
      <c r="B60" t="s">
        <v>136</v>
      </c>
      <c r="C60" t="s">
        <v>372</v>
      </c>
      <c r="D60" t="s">
        <v>363</v>
      </c>
      <c r="E60" t="s">
        <v>364</v>
      </c>
      <c r="F60" t="s">
        <v>82</v>
      </c>
      <c r="G60" t="s">
        <v>368</v>
      </c>
      <c r="H60" t="s">
        <v>371</v>
      </c>
      <c r="I60" t="s">
        <v>323</v>
      </c>
      <c r="J60" t="s">
        <v>324</v>
      </c>
      <c r="K60" t="s">
        <v>350</v>
      </c>
      <c r="L60" t="s">
        <v>351</v>
      </c>
      <c r="M60">
        <v>0.81277777777777782</v>
      </c>
      <c r="N60">
        <v>2926</v>
      </c>
      <c r="O60">
        <v>9609.99</v>
      </c>
      <c r="P60">
        <v>3.284343814080656</v>
      </c>
      <c r="Q60">
        <v>2926</v>
      </c>
    </row>
    <row r="61" spans="1:17" x14ac:dyDescent="0.35">
      <c r="A61" s="46">
        <v>46123</v>
      </c>
      <c r="B61" t="s">
        <v>136</v>
      </c>
      <c r="C61" t="s">
        <v>372</v>
      </c>
      <c r="D61" t="s">
        <v>363</v>
      </c>
      <c r="E61" t="s">
        <v>364</v>
      </c>
      <c r="F61" t="s">
        <v>322</v>
      </c>
      <c r="G61" t="s">
        <v>322</v>
      </c>
      <c r="H61" t="s">
        <v>322</v>
      </c>
      <c r="I61" t="s">
        <v>323</v>
      </c>
      <c r="J61" t="s">
        <v>324</v>
      </c>
      <c r="K61" t="s">
        <v>170</v>
      </c>
      <c r="L61" t="s">
        <v>171</v>
      </c>
      <c r="M61">
        <v>0.10555555555555556</v>
      </c>
      <c r="N61">
        <v>380</v>
      </c>
      <c r="O61">
        <v>0</v>
      </c>
    </row>
    <row r="62" spans="1:17" x14ac:dyDescent="0.35">
      <c r="A62" s="46">
        <v>46123</v>
      </c>
      <c r="B62" t="s">
        <v>136</v>
      </c>
      <c r="C62" t="s">
        <v>370</v>
      </c>
      <c r="D62" t="s">
        <v>363</v>
      </c>
      <c r="E62" t="s">
        <v>364</v>
      </c>
      <c r="F62" t="s">
        <v>322</v>
      </c>
      <c r="G62" t="s">
        <v>322</v>
      </c>
      <c r="H62" t="s">
        <v>322</v>
      </c>
      <c r="I62" t="s">
        <v>323</v>
      </c>
      <c r="J62" t="s">
        <v>324</v>
      </c>
      <c r="K62" t="s">
        <v>170</v>
      </c>
      <c r="L62" t="s">
        <v>171</v>
      </c>
      <c r="M62">
        <v>3.6005555555555557</v>
      </c>
      <c r="N62">
        <v>12962</v>
      </c>
      <c r="O62">
        <v>0</v>
      </c>
    </row>
    <row r="63" spans="1:17" x14ac:dyDescent="0.35">
      <c r="A63" s="46">
        <v>46123</v>
      </c>
      <c r="B63" t="s">
        <v>136</v>
      </c>
      <c r="C63" t="s">
        <v>367</v>
      </c>
      <c r="D63" t="s">
        <v>363</v>
      </c>
      <c r="E63" t="s">
        <v>364</v>
      </c>
      <c r="F63" t="s">
        <v>322</v>
      </c>
      <c r="G63" t="s">
        <v>322</v>
      </c>
      <c r="H63" t="s">
        <v>322</v>
      </c>
      <c r="I63" t="s">
        <v>323</v>
      </c>
      <c r="J63" t="s">
        <v>324</v>
      </c>
      <c r="K63" t="s">
        <v>170</v>
      </c>
      <c r="L63" t="s">
        <v>171</v>
      </c>
      <c r="M63">
        <v>2.3333333333333334E-2</v>
      </c>
      <c r="N63">
        <v>84</v>
      </c>
      <c r="O63">
        <v>0</v>
      </c>
    </row>
    <row r="64" spans="1:17" x14ac:dyDescent="0.35">
      <c r="A64" s="46">
        <v>46123</v>
      </c>
      <c r="B64" t="s">
        <v>136</v>
      </c>
      <c r="C64" t="s">
        <v>335</v>
      </c>
      <c r="D64" t="s">
        <v>363</v>
      </c>
      <c r="E64" t="s">
        <v>364</v>
      </c>
      <c r="F64" t="s">
        <v>322</v>
      </c>
      <c r="G64" t="s">
        <v>322</v>
      </c>
      <c r="H64" t="s">
        <v>322</v>
      </c>
      <c r="I64" t="s">
        <v>323</v>
      </c>
      <c r="J64" t="s">
        <v>324</v>
      </c>
      <c r="K64" t="s">
        <v>170</v>
      </c>
      <c r="L64" t="s">
        <v>171</v>
      </c>
      <c r="M64">
        <v>3.0927777777777776</v>
      </c>
      <c r="N64">
        <v>11134</v>
      </c>
      <c r="O64">
        <v>0</v>
      </c>
    </row>
    <row r="65" spans="1:17" x14ac:dyDescent="0.35">
      <c r="A65" s="46">
        <v>46123</v>
      </c>
      <c r="B65" t="s">
        <v>136</v>
      </c>
      <c r="C65" t="s">
        <v>372</v>
      </c>
      <c r="D65" t="s">
        <v>363</v>
      </c>
      <c r="E65" t="s">
        <v>364</v>
      </c>
      <c r="F65" t="s">
        <v>82</v>
      </c>
      <c r="G65" t="s">
        <v>368</v>
      </c>
      <c r="H65" t="s">
        <v>323</v>
      </c>
      <c r="I65" t="s">
        <v>323</v>
      </c>
      <c r="J65" t="s">
        <v>324</v>
      </c>
      <c r="K65" t="s">
        <v>170</v>
      </c>
      <c r="L65" t="s">
        <v>171</v>
      </c>
      <c r="M65">
        <v>0.71722222222222221</v>
      </c>
      <c r="N65">
        <v>2582</v>
      </c>
      <c r="O65">
        <v>0</v>
      </c>
    </row>
    <row r="66" spans="1:17" x14ac:dyDescent="0.35">
      <c r="A66" s="46">
        <v>46123</v>
      </c>
      <c r="B66" t="s">
        <v>136</v>
      </c>
      <c r="C66" t="s">
        <v>372</v>
      </c>
      <c r="D66" t="s">
        <v>363</v>
      </c>
      <c r="E66" t="s">
        <v>364</v>
      </c>
      <c r="F66" t="s">
        <v>82</v>
      </c>
      <c r="G66" t="s">
        <v>368</v>
      </c>
      <c r="H66" t="s">
        <v>371</v>
      </c>
      <c r="I66" t="s">
        <v>323</v>
      </c>
      <c r="J66" t="s">
        <v>324</v>
      </c>
      <c r="K66" t="s">
        <v>170</v>
      </c>
      <c r="L66" t="s">
        <v>171</v>
      </c>
      <c r="M66">
        <v>1.8752777777777778</v>
      </c>
      <c r="N66">
        <v>6751</v>
      </c>
      <c r="O66">
        <v>0</v>
      </c>
    </row>
    <row r="67" spans="1:17" x14ac:dyDescent="0.35">
      <c r="A67" s="46">
        <v>46123</v>
      </c>
      <c r="B67" t="s">
        <v>136</v>
      </c>
      <c r="C67" t="s">
        <v>367</v>
      </c>
      <c r="D67" t="s">
        <v>363</v>
      </c>
      <c r="E67" t="s">
        <v>364</v>
      </c>
      <c r="F67" t="s">
        <v>82</v>
      </c>
      <c r="G67" t="s">
        <v>368</v>
      </c>
      <c r="H67" t="s">
        <v>371</v>
      </c>
      <c r="I67" t="s">
        <v>323</v>
      </c>
      <c r="J67" t="s">
        <v>324</v>
      </c>
      <c r="K67" t="s">
        <v>170</v>
      </c>
      <c r="L67" t="s">
        <v>171</v>
      </c>
      <c r="M67">
        <v>1.361111111111111E-2</v>
      </c>
      <c r="N67">
        <v>49</v>
      </c>
      <c r="O67">
        <v>0</v>
      </c>
    </row>
    <row r="68" spans="1:17" x14ac:dyDescent="0.35">
      <c r="A68" s="46">
        <v>46123</v>
      </c>
      <c r="B68" t="s">
        <v>136</v>
      </c>
      <c r="C68" t="s">
        <v>335</v>
      </c>
      <c r="D68" t="s">
        <v>363</v>
      </c>
      <c r="E68" t="s">
        <v>364</v>
      </c>
      <c r="F68" t="s">
        <v>82</v>
      </c>
      <c r="G68" t="s">
        <v>368</v>
      </c>
      <c r="H68" t="s">
        <v>366</v>
      </c>
      <c r="I68" t="s">
        <v>323</v>
      </c>
      <c r="J68" t="s">
        <v>324</v>
      </c>
      <c r="K68" t="s">
        <v>170</v>
      </c>
      <c r="L68" t="s">
        <v>171</v>
      </c>
      <c r="M68">
        <v>4.4325000000000001</v>
      </c>
      <c r="N68">
        <v>15957</v>
      </c>
      <c r="O68">
        <v>0</v>
      </c>
    </row>
    <row r="69" spans="1:17" x14ac:dyDescent="0.35">
      <c r="A69" s="46">
        <v>46123</v>
      </c>
      <c r="B69" t="s">
        <v>136</v>
      </c>
      <c r="C69" t="s">
        <v>370</v>
      </c>
      <c r="D69" t="s">
        <v>363</v>
      </c>
      <c r="E69" t="s">
        <v>364</v>
      </c>
      <c r="F69" t="s">
        <v>82</v>
      </c>
      <c r="G69" t="s">
        <v>368</v>
      </c>
      <c r="H69" t="s">
        <v>331</v>
      </c>
      <c r="I69" t="s">
        <v>323</v>
      </c>
      <c r="J69" t="s">
        <v>324</v>
      </c>
      <c r="K69" t="s">
        <v>170</v>
      </c>
      <c r="L69" t="s">
        <v>171</v>
      </c>
      <c r="M69">
        <v>2.7941666666666665</v>
      </c>
      <c r="N69">
        <v>10059</v>
      </c>
      <c r="O69">
        <v>0</v>
      </c>
    </row>
    <row r="70" spans="1:17" x14ac:dyDescent="0.35">
      <c r="A70" s="46">
        <v>46123</v>
      </c>
      <c r="B70" t="s">
        <v>136</v>
      </c>
      <c r="C70" t="s">
        <v>335</v>
      </c>
      <c r="D70" t="s">
        <v>363</v>
      </c>
      <c r="E70" t="s">
        <v>364</v>
      </c>
      <c r="F70" t="s">
        <v>82</v>
      </c>
      <c r="G70" t="s">
        <v>368</v>
      </c>
      <c r="H70" t="s">
        <v>331</v>
      </c>
      <c r="I70" t="s">
        <v>323</v>
      </c>
      <c r="J70" t="s">
        <v>324</v>
      </c>
      <c r="K70" t="s">
        <v>170</v>
      </c>
      <c r="L70" t="s">
        <v>171</v>
      </c>
      <c r="M70">
        <v>1.3336111111111111</v>
      </c>
      <c r="N70">
        <v>4801</v>
      </c>
      <c r="O70">
        <v>0</v>
      </c>
    </row>
    <row r="71" spans="1:17" x14ac:dyDescent="0.35">
      <c r="A71" s="46">
        <v>46123</v>
      </c>
      <c r="B71" t="s">
        <v>136</v>
      </c>
      <c r="C71" t="s">
        <v>372</v>
      </c>
      <c r="D71" t="s">
        <v>363</v>
      </c>
      <c r="E71" t="s">
        <v>364</v>
      </c>
      <c r="F71" t="s">
        <v>82</v>
      </c>
      <c r="G71" t="s">
        <v>368</v>
      </c>
      <c r="H71" t="s">
        <v>323</v>
      </c>
      <c r="I71" t="s">
        <v>323</v>
      </c>
      <c r="J71" t="s">
        <v>324</v>
      </c>
      <c r="K71" t="s">
        <v>178</v>
      </c>
      <c r="L71" t="s">
        <v>179</v>
      </c>
      <c r="M71">
        <v>4.5555555555555557E-2</v>
      </c>
      <c r="N71">
        <v>164</v>
      </c>
      <c r="O71">
        <v>0</v>
      </c>
    </row>
    <row r="72" spans="1:17" x14ac:dyDescent="0.35">
      <c r="A72" s="46">
        <v>46123</v>
      </c>
      <c r="B72" t="s">
        <v>136</v>
      </c>
      <c r="C72" t="s">
        <v>372</v>
      </c>
      <c r="D72" t="s">
        <v>363</v>
      </c>
      <c r="E72" t="s">
        <v>364</v>
      </c>
      <c r="F72" t="s">
        <v>82</v>
      </c>
      <c r="G72" t="s">
        <v>368</v>
      </c>
      <c r="H72" t="s">
        <v>371</v>
      </c>
      <c r="I72" t="s">
        <v>323</v>
      </c>
      <c r="J72" t="s">
        <v>324</v>
      </c>
      <c r="K72" t="s">
        <v>178</v>
      </c>
      <c r="L72" t="s">
        <v>179</v>
      </c>
      <c r="M72">
        <v>1.2222222222222223E-2</v>
      </c>
      <c r="N72">
        <v>44</v>
      </c>
      <c r="O72">
        <v>0</v>
      </c>
    </row>
    <row r="73" spans="1:17" x14ac:dyDescent="0.35">
      <c r="A73" s="46">
        <v>46123</v>
      </c>
      <c r="B73" t="s">
        <v>136</v>
      </c>
      <c r="C73" t="s">
        <v>379</v>
      </c>
      <c r="D73" t="s">
        <v>378</v>
      </c>
      <c r="E73" t="s">
        <v>321</v>
      </c>
      <c r="F73" t="s">
        <v>443</v>
      </c>
      <c r="G73" t="s">
        <v>445</v>
      </c>
      <c r="H73" t="s">
        <v>331</v>
      </c>
      <c r="I73" t="s">
        <v>323</v>
      </c>
      <c r="J73" t="s">
        <v>324</v>
      </c>
      <c r="K73" t="s">
        <v>341</v>
      </c>
      <c r="L73" t="s">
        <v>342</v>
      </c>
      <c r="M73">
        <v>7.7499999999999999E-2</v>
      </c>
      <c r="N73">
        <v>279</v>
      </c>
      <c r="O73">
        <v>0</v>
      </c>
    </row>
    <row r="74" spans="1:17" x14ac:dyDescent="0.35">
      <c r="A74" s="46">
        <v>46123</v>
      </c>
      <c r="B74" t="s">
        <v>136</v>
      </c>
      <c r="C74" t="s">
        <v>379</v>
      </c>
      <c r="D74" t="s">
        <v>378</v>
      </c>
      <c r="E74" t="s">
        <v>321</v>
      </c>
      <c r="F74" t="s">
        <v>443</v>
      </c>
      <c r="G74" t="s">
        <v>445</v>
      </c>
      <c r="H74" t="s">
        <v>361</v>
      </c>
      <c r="I74" t="s">
        <v>323</v>
      </c>
      <c r="J74" t="s">
        <v>324</v>
      </c>
      <c r="K74" t="s">
        <v>341</v>
      </c>
      <c r="L74" t="s">
        <v>342</v>
      </c>
      <c r="M74">
        <v>3.3611111111111112E-2</v>
      </c>
      <c r="N74">
        <v>121</v>
      </c>
      <c r="O74">
        <v>0</v>
      </c>
    </row>
    <row r="75" spans="1:17" x14ac:dyDescent="0.35">
      <c r="A75" s="46">
        <v>46123</v>
      </c>
      <c r="B75" t="s">
        <v>136</v>
      </c>
      <c r="C75" t="s">
        <v>379</v>
      </c>
      <c r="D75" t="s">
        <v>378</v>
      </c>
      <c r="E75" t="s">
        <v>321</v>
      </c>
      <c r="F75" t="s">
        <v>443</v>
      </c>
      <c r="G75" t="s">
        <v>445</v>
      </c>
      <c r="H75" t="s">
        <v>361</v>
      </c>
      <c r="I75" t="s">
        <v>323</v>
      </c>
      <c r="J75" t="s">
        <v>324</v>
      </c>
      <c r="K75" t="s">
        <v>345</v>
      </c>
      <c r="L75" t="s">
        <v>346</v>
      </c>
      <c r="M75">
        <v>0.2036111111111111</v>
      </c>
      <c r="N75">
        <v>733</v>
      </c>
      <c r="O75">
        <v>3012.63</v>
      </c>
      <c r="P75">
        <v>4.1100000000000003</v>
      </c>
      <c r="Q75">
        <v>733</v>
      </c>
    </row>
    <row r="76" spans="1:17" x14ac:dyDescent="0.35">
      <c r="A76" s="46">
        <v>46123</v>
      </c>
      <c r="B76" t="s">
        <v>136</v>
      </c>
      <c r="C76" t="s">
        <v>335</v>
      </c>
      <c r="D76" t="s">
        <v>378</v>
      </c>
      <c r="E76" t="s">
        <v>321</v>
      </c>
      <c r="F76" t="s">
        <v>332</v>
      </c>
      <c r="G76" t="s">
        <v>333</v>
      </c>
      <c r="H76" t="s">
        <v>334</v>
      </c>
      <c r="I76" t="s">
        <v>323</v>
      </c>
      <c r="J76" t="s">
        <v>324</v>
      </c>
      <c r="K76" t="s">
        <v>345</v>
      </c>
      <c r="L76" t="s">
        <v>346</v>
      </c>
      <c r="M76">
        <v>0.16805555555555557</v>
      </c>
      <c r="N76">
        <v>605</v>
      </c>
      <c r="O76">
        <v>3124.8199999999997</v>
      </c>
      <c r="P76">
        <v>5.1649917355371899</v>
      </c>
      <c r="Q76">
        <v>605</v>
      </c>
    </row>
    <row r="77" spans="1:17" x14ac:dyDescent="0.35">
      <c r="A77" s="46">
        <v>46123</v>
      </c>
      <c r="B77" t="s">
        <v>136</v>
      </c>
      <c r="C77" t="s">
        <v>381</v>
      </c>
      <c r="D77" t="s">
        <v>378</v>
      </c>
      <c r="E77" t="s">
        <v>321</v>
      </c>
      <c r="F77" t="s">
        <v>332</v>
      </c>
      <c r="G77" t="s">
        <v>333</v>
      </c>
      <c r="H77" t="s">
        <v>334</v>
      </c>
      <c r="I77" t="s">
        <v>323</v>
      </c>
      <c r="J77" t="s">
        <v>324</v>
      </c>
      <c r="K77" t="s">
        <v>345</v>
      </c>
      <c r="L77" t="s">
        <v>346</v>
      </c>
      <c r="M77">
        <v>0.25416666666666665</v>
      </c>
      <c r="N77">
        <v>915</v>
      </c>
      <c r="O77">
        <v>4172.3999999999996</v>
      </c>
      <c r="P77">
        <v>4.5599999999999996</v>
      </c>
      <c r="Q77">
        <v>915</v>
      </c>
    </row>
    <row r="78" spans="1:17" x14ac:dyDescent="0.35">
      <c r="A78" s="46">
        <v>46123</v>
      </c>
      <c r="B78" t="s">
        <v>136</v>
      </c>
      <c r="C78" t="s">
        <v>379</v>
      </c>
      <c r="D78" t="s">
        <v>378</v>
      </c>
      <c r="E78" t="s">
        <v>321</v>
      </c>
      <c r="F78" t="s">
        <v>443</v>
      </c>
      <c r="G78" t="s">
        <v>445</v>
      </c>
      <c r="H78" t="s">
        <v>331</v>
      </c>
      <c r="I78" t="s">
        <v>323</v>
      </c>
      <c r="J78" t="s">
        <v>324</v>
      </c>
      <c r="K78" t="s">
        <v>345</v>
      </c>
      <c r="L78" t="s">
        <v>346</v>
      </c>
      <c r="M78">
        <v>3.7522222222222221</v>
      </c>
      <c r="N78">
        <v>13508</v>
      </c>
      <c r="O78">
        <v>54798.54</v>
      </c>
      <c r="P78">
        <v>4.0567471128220314</v>
      </c>
      <c r="Q78">
        <v>13508</v>
      </c>
    </row>
    <row r="79" spans="1:17" x14ac:dyDescent="0.35">
      <c r="A79" s="46">
        <v>46123</v>
      </c>
      <c r="B79" t="s">
        <v>136</v>
      </c>
      <c r="C79" t="s">
        <v>335</v>
      </c>
      <c r="D79" t="s">
        <v>378</v>
      </c>
      <c r="E79" t="s">
        <v>321</v>
      </c>
      <c r="F79" t="s">
        <v>332</v>
      </c>
      <c r="G79" t="s">
        <v>333</v>
      </c>
      <c r="H79" t="s">
        <v>334</v>
      </c>
      <c r="I79" t="s">
        <v>323</v>
      </c>
      <c r="J79" t="s">
        <v>324</v>
      </c>
      <c r="K79" t="s">
        <v>142</v>
      </c>
      <c r="L79" t="s">
        <v>143</v>
      </c>
      <c r="M79">
        <v>2.7777777777777778E-4</v>
      </c>
      <c r="N79">
        <v>1</v>
      </c>
      <c r="O79">
        <v>0</v>
      </c>
    </row>
    <row r="80" spans="1:17" x14ac:dyDescent="0.35">
      <c r="A80" s="46">
        <v>46123</v>
      </c>
      <c r="B80" t="s">
        <v>136</v>
      </c>
      <c r="C80" t="s">
        <v>379</v>
      </c>
      <c r="D80" t="s">
        <v>378</v>
      </c>
      <c r="E80" t="s">
        <v>321</v>
      </c>
      <c r="F80" t="s">
        <v>322</v>
      </c>
      <c r="G80" t="s">
        <v>322</v>
      </c>
      <c r="H80" t="s">
        <v>322</v>
      </c>
      <c r="I80" t="s">
        <v>323</v>
      </c>
      <c r="J80" t="s">
        <v>324</v>
      </c>
      <c r="K80" t="s">
        <v>142</v>
      </c>
      <c r="L80" t="s">
        <v>143</v>
      </c>
      <c r="M80">
        <v>5.5555555555555556E-4</v>
      </c>
      <c r="N80">
        <v>2</v>
      </c>
      <c r="O80">
        <v>4.3600000000000003</v>
      </c>
      <c r="P80">
        <v>2.1800000000000002</v>
      </c>
      <c r="Q80">
        <v>2</v>
      </c>
    </row>
    <row r="81" spans="1:17" x14ac:dyDescent="0.35">
      <c r="A81" s="46">
        <v>46123</v>
      </c>
      <c r="B81" t="s">
        <v>136</v>
      </c>
      <c r="C81" t="s">
        <v>381</v>
      </c>
      <c r="D81" t="s">
        <v>378</v>
      </c>
      <c r="E81" t="s">
        <v>321</v>
      </c>
      <c r="F81" t="s">
        <v>328</v>
      </c>
      <c r="G81" t="s">
        <v>329</v>
      </c>
      <c r="H81" t="s">
        <v>327</v>
      </c>
      <c r="I81" t="s">
        <v>323</v>
      </c>
      <c r="J81" t="s">
        <v>324</v>
      </c>
      <c r="K81" t="s">
        <v>142</v>
      </c>
      <c r="L81" t="s">
        <v>143</v>
      </c>
      <c r="M81">
        <v>3.8888888888888888E-3</v>
      </c>
      <c r="N81">
        <v>14</v>
      </c>
      <c r="O81">
        <v>57.540000000000006</v>
      </c>
      <c r="P81">
        <v>4.1100000000000003</v>
      </c>
      <c r="Q81">
        <v>14</v>
      </c>
    </row>
    <row r="82" spans="1:17" x14ac:dyDescent="0.35">
      <c r="A82" s="46">
        <v>46123</v>
      </c>
      <c r="B82" t="s">
        <v>136</v>
      </c>
      <c r="C82" t="s">
        <v>381</v>
      </c>
      <c r="D82" t="s">
        <v>378</v>
      </c>
      <c r="E82" t="s">
        <v>321</v>
      </c>
      <c r="F82" t="s">
        <v>322</v>
      </c>
      <c r="G82" t="s">
        <v>322</v>
      </c>
      <c r="H82" t="s">
        <v>322</v>
      </c>
      <c r="I82" t="s">
        <v>323</v>
      </c>
      <c r="J82" t="s">
        <v>324</v>
      </c>
      <c r="K82" t="s">
        <v>142</v>
      </c>
      <c r="L82" t="s">
        <v>143</v>
      </c>
      <c r="M82">
        <v>0.01</v>
      </c>
      <c r="N82">
        <v>36</v>
      </c>
      <c r="O82">
        <v>117.35999999999999</v>
      </c>
      <c r="P82">
        <v>3.26</v>
      </c>
      <c r="Q82">
        <v>36</v>
      </c>
    </row>
    <row r="83" spans="1:17" x14ac:dyDescent="0.35">
      <c r="A83" s="46">
        <v>46123</v>
      </c>
      <c r="B83" t="s">
        <v>136</v>
      </c>
      <c r="C83" t="s">
        <v>379</v>
      </c>
      <c r="D83" t="s">
        <v>378</v>
      </c>
      <c r="E83" t="s">
        <v>321</v>
      </c>
      <c r="F83" t="s">
        <v>443</v>
      </c>
      <c r="G83" t="s">
        <v>444</v>
      </c>
      <c r="H83" t="s">
        <v>326</v>
      </c>
      <c r="I83" t="s">
        <v>323</v>
      </c>
      <c r="J83" t="s">
        <v>324</v>
      </c>
      <c r="K83" t="s">
        <v>142</v>
      </c>
      <c r="L83" t="s">
        <v>143</v>
      </c>
      <c r="M83">
        <v>3.4166666666666665E-2</v>
      </c>
      <c r="N83">
        <v>123</v>
      </c>
      <c r="O83">
        <v>508.57999999999993</v>
      </c>
      <c r="P83">
        <v>4.3099999999999996</v>
      </c>
      <c r="Q83">
        <v>118</v>
      </c>
    </row>
    <row r="84" spans="1:17" x14ac:dyDescent="0.35">
      <c r="A84" s="46">
        <v>46123</v>
      </c>
      <c r="B84" t="s">
        <v>136</v>
      </c>
      <c r="C84" t="s">
        <v>381</v>
      </c>
      <c r="D84" t="s">
        <v>378</v>
      </c>
      <c r="E84" t="s">
        <v>321</v>
      </c>
      <c r="F84" t="s">
        <v>332</v>
      </c>
      <c r="G84" t="s">
        <v>333</v>
      </c>
      <c r="H84" t="s">
        <v>366</v>
      </c>
      <c r="I84" t="s">
        <v>323</v>
      </c>
      <c r="J84" t="s">
        <v>324</v>
      </c>
      <c r="K84" t="s">
        <v>142</v>
      </c>
      <c r="L84" t="s">
        <v>143</v>
      </c>
      <c r="M84">
        <v>3.6388888888888887E-2</v>
      </c>
      <c r="N84">
        <v>131</v>
      </c>
      <c r="O84">
        <v>803.03</v>
      </c>
      <c r="P84">
        <v>6.13</v>
      </c>
      <c r="Q84">
        <v>131</v>
      </c>
    </row>
    <row r="85" spans="1:17" x14ac:dyDescent="0.35">
      <c r="A85" s="46">
        <v>46123</v>
      </c>
      <c r="B85" t="s">
        <v>136</v>
      </c>
      <c r="C85" t="s">
        <v>379</v>
      </c>
      <c r="D85" t="s">
        <v>378</v>
      </c>
      <c r="E85" t="s">
        <v>321</v>
      </c>
      <c r="F85" t="s">
        <v>443</v>
      </c>
      <c r="G85" t="s">
        <v>445</v>
      </c>
      <c r="H85" t="s">
        <v>331</v>
      </c>
      <c r="I85" t="s">
        <v>323</v>
      </c>
      <c r="J85" t="s">
        <v>324</v>
      </c>
      <c r="K85" t="s">
        <v>142</v>
      </c>
      <c r="L85" t="s">
        <v>143</v>
      </c>
      <c r="M85">
        <v>9.6111111111111105E-2</v>
      </c>
      <c r="N85">
        <v>346</v>
      </c>
      <c r="O85">
        <v>874.06000000000006</v>
      </c>
      <c r="P85">
        <v>2.526184971098266</v>
      </c>
      <c r="Q85">
        <v>346</v>
      </c>
    </row>
    <row r="86" spans="1:17" x14ac:dyDescent="0.35">
      <c r="A86" s="46">
        <v>46123</v>
      </c>
      <c r="B86" t="s">
        <v>136</v>
      </c>
      <c r="C86" t="s">
        <v>379</v>
      </c>
      <c r="D86" t="s">
        <v>378</v>
      </c>
      <c r="E86" t="s">
        <v>321</v>
      </c>
      <c r="F86" t="s">
        <v>443</v>
      </c>
      <c r="G86" t="s">
        <v>445</v>
      </c>
      <c r="H86" t="s">
        <v>334</v>
      </c>
      <c r="I86" t="s">
        <v>323</v>
      </c>
      <c r="J86" t="s">
        <v>324</v>
      </c>
      <c r="K86" t="s">
        <v>142</v>
      </c>
      <c r="L86" t="s">
        <v>143</v>
      </c>
      <c r="M86">
        <v>9.4166666666666662E-2</v>
      </c>
      <c r="N86">
        <v>339</v>
      </c>
      <c r="O86">
        <v>2054.91</v>
      </c>
      <c r="P86">
        <v>6.0796153846153844</v>
      </c>
      <c r="Q86">
        <v>338</v>
      </c>
    </row>
    <row r="87" spans="1:17" x14ac:dyDescent="0.35">
      <c r="A87" s="46">
        <v>46123</v>
      </c>
      <c r="B87" t="s">
        <v>136</v>
      </c>
      <c r="C87" t="s">
        <v>379</v>
      </c>
      <c r="D87" t="s">
        <v>378</v>
      </c>
      <c r="E87" t="s">
        <v>321</v>
      </c>
      <c r="F87" t="s">
        <v>322</v>
      </c>
      <c r="G87" t="s">
        <v>322</v>
      </c>
      <c r="H87" t="s">
        <v>322</v>
      </c>
      <c r="I87" t="s">
        <v>323</v>
      </c>
      <c r="J87" t="s">
        <v>324</v>
      </c>
      <c r="K87" t="s">
        <v>348</v>
      </c>
      <c r="L87" t="s">
        <v>349</v>
      </c>
      <c r="M87">
        <v>1.3888888888888888E-2</v>
      </c>
      <c r="N87">
        <v>50</v>
      </c>
      <c r="O87">
        <v>0</v>
      </c>
    </row>
    <row r="88" spans="1:17" x14ac:dyDescent="0.35">
      <c r="A88" s="46">
        <v>46123</v>
      </c>
      <c r="B88" t="s">
        <v>136</v>
      </c>
      <c r="C88" t="s">
        <v>379</v>
      </c>
      <c r="D88" t="s">
        <v>378</v>
      </c>
      <c r="E88" t="s">
        <v>321</v>
      </c>
      <c r="F88" t="s">
        <v>443</v>
      </c>
      <c r="G88" t="s">
        <v>444</v>
      </c>
      <c r="H88" t="s">
        <v>446</v>
      </c>
      <c r="I88" t="s">
        <v>323</v>
      </c>
      <c r="J88" t="s">
        <v>324</v>
      </c>
      <c r="K88" t="s">
        <v>348</v>
      </c>
      <c r="L88" t="s">
        <v>349</v>
      </c>
      <c r="M88">
        <v>1.0747222222222221</v>
      </c>
      <c r="N88">
        <v>3869</v>
      </c>
      <c r="O88">
        <v>0</v>
      </c>
    </row>
    <row r="89" spans="1:17" x14ac:dyDescent="0.35">
      <c r="A89" s="46">
        <v>46123</v>
      </c>
      <c r="B89" t="s">
        <v>136</v>
      </c>
      <c r="C89" t="s">
        <v>379</v>
      </c>
      <c r="D89" t="s">
        <v>378</v>
      </c>
      <c r="E89" t="s">
        <v>321</v>
      </c>
      <c r="F89" t="s">
        <v>443</v>
      </c>
      <c r="G89" t="s">
        <v>445</v>
      </c>
      <c r="H89" t="s">
        <v>331</v>
      </c>
      <c r="I89" t="s">
        <v>323</v>
      </c>
      <c r="J89" t="s">
        <v>324</v>
      </c>
      <c r="K89" t="s">
        <v>348</v>
      </c>
      <c r="L89" t="s">
        <v>349</v>
      </c>
      <c r="M89">
        <v>0.71416666666666662</v>
      </c>
      <c r="N89">
        <v>2571</v>
      </c>
      <c r="O89">
        <v>0</v>
      </c>
    </row>
    <row r="90" spans="1:17" x14ac:dyDescent="0.35">
      <c r="A90" s="46">
        <v>46123</v>
      </c>
      <c r="B90" t="s">
        <v>136</v>
      </c>
      <c r="C90" t="s">
        <v>335</v>
      </c>
      <c r="D90" t="s">
        <v>378</v>
      </c>
      <c r="E90" t="s">
        <v>321</v>
      </c>
      <c r="F90" t="s">
        <v>332</v>
      </c>
      <c r="G90" t="s">
        <v>333</v>
      </c>
      <c r="H90" t="s">
        <v>334</v>
      </c>
      <c r="I90" t="s">
        <v>323</v>
      </c>
      <c r="J90" t="s">
        <v>324</v>
      </c>
      <c r="K90" t="s">
        <v>350</v>
      </c>
      <c r="L90" t="s">
        <v>351</v>
      </c>
      <c r="M90">
        <v>3.111111111111111E-2</v>
      </c>
      <c r="N90">
        <v>112</v>
      </c>
      <c r="O90">
        <v>173.6</v>
      </c>
      <c r="P90">
        <v>1.55</v>
      </c>
      <c r="Q90">
        <v>112</v>
      </c>
    </row>
    <row r="91" spans="1:17" x14ac:dyDescent="0.35">
      <c r="A91" s="46">
        <v>46123</v>
      </c>
      <c r="B91" t="s">
        <v>136</v>
      </c>
      <c r="C91" t="s">
        <v>381</v>
      </c>
      <c r="D91" t="s">
        <v>378</v>
      </c>
      <c r="E91" t="s">
        <v>321</v>
      </c>
      <c r="F91" t="s">
        <v>332</v>
      </c>
      <c r="G91" t="s">
        <v>333</v>
      </c>
      <c r="H91" t="s">
        <v>334</v>
      </c>
      <c r="I91" t="s">
        <v>323</v>
      </c>
      <c r="J91" t="s">
        <v>324</v>
      </c>
      <c r="K91" t="s">
        <v>350</v>
      </c>
      <c r="L91" t="s">
        <v>351</v>
      </c>
      <c r="M91">
        <v>3.9166666666666669E-2</v>
      </c>
      <c r="N91">
        <v>141</v>
      </c>
      <c r="O91">
        <v>336.99</v>
      </c>
      <c r="P91">
        <v>2.39</v>
      </c>
      <c r="Q91">
        <v>141</v>
      </c>
    </row>
    <row r="92" spans="1:17" x14ac:dyDescent="0.35">
      <c r="A92" s="46">
        <v>46123</v>
      </c>
      <c r="B92" t="s">
        <v>136</v>
      </c>
      <c r="C92" t="s">
        <v>379</v>
      </c>
      <c r="D92" t="s">
        <v>378</v>
      </c>
      <c r="E92" t="s">
        <v>321</v>
      </c>
      <c r="F92" t="s">
        <v>322</v>
      </c>
      <c r="G92" t="s">
        <v>322</v>
      </c>
      <c r="H92" t="s">
        <v>322</v>
      </c>
      <c r="I92" t="s">
        <v>323</v>
      </c>
      <c r="J92" t="s">
        <v>324</v>
      </c>
      <c r="K92" t="s">
        <v>350</v>
      </c>
      <c r="L92" t="s">
        <v>351</v>
      </c>
      <c r="M92">
        <v>2.7777777777777776E-2</v>
      </c>
      <c r="N92">
        <v>100</v>
      </c>
      <c r="O92">
        <v>461.21999999999997</v>
      </c>
      <c r="P92">
        <v>4.6121999999999996</v>
      </c>
      <c r="Q92">
        <v>100</v>
      </c>
    </row>
    <row r="93" spans="1:17" x14ac:dyDescent="0.35">
      <c r="A93" s="46">
        <v>46123</v>
      </c>
      <c r="B93" t="s">
        <v>136</v>
      </c>
      <c r="C93" t="s">
        <v>379</v>
      </c>
      <c r="D93" t="s">
        <v>378</v>
      </c>
      <c r="E93" t="s">
        <v>321</v>
      </c>
      <c r="F93" t="s">
        <v>443</v>
      </c>
      <c r="G93" t="s">
        <v>445</v>
      </c>
      <c r="H93" t="s">
        <v>361</v>
      </c>
      <c r="I93" t="s">
        <v>323</v>
      </c>
      <c r="J93" t="s">
        <v>324</v>
      </c>
      <c r="K93" t="s">
        <v>350</v>
      </c>
      <c r="L93" t="s">
        <v>351</v>
      </c>
      <c r="M93">
        <v>6.5833333333333327E-2</v>
      </c>
      <c r="N93">
        <v>237</v>
      </c>
      <c r="O93">
        <v>471.63</v>
      </c>
      <c r="P93">
        <v>1.99</v>
      </c>
      <c r="Q93">
        <v>237</v>
      </c>
    </row>
    <row r="94" spans="1:17" x14ac:dyDescent="0.35">
      <c r="A94" s="46">
        <v>46123</v>
      </c>
      <c r="B94" t="s">
        <v>136</v>
      </c>
      <c r="C94" t="s">
        <v>379</v>
      </c>
      <c r="D94" t="s">
        <v>378</v>
      </c>
      <c r="E94" t="s">
        <v>321</v>
      </c>
      <c r="F94" t="s">
        <v>443</v>
      </c>
      <c r="G94" t="s">
        <v>445</v>
      </c>
      <c r="H94" t="s">
        <v>331</v>
      </c>
      <c r="I94" t="s">
        <v>323</v>
      </c>
      <c r="J94" t="s">
        <v>324</v>
      </c>
      <c r="K94" t="s">
        <v>350</v>
      </c>
      <c r="L94" t="s">
        <v>351</v>
      </c>
      <c r="M94">
        <v>0.6413888888888889</v>
      </c>
      <c r="N94">
        <v>2309</v>
      </c>
      <c r="O94">
        <v>6422.92</v>
      </c>
      <c r="P94">
        <v>2.781689042875704</v>
      </c>
      <c r="Q94">
        <v>2309</v>
      </c>
    </row>
    <row r="95" spans="1:17" x14ac:dyDescent="0.35">
      <c r="A95" s="46">
        <v>46123</v>
      </c>
      <c r="B95" t="s">
        <v>136</v>
      </c>
      <c r="C95" t="s">
        <v>381</v>
      </c>
      <c r="D95" t="s">
        <v>378</v>
      </c>
      <c r="E95" t="s">
        <v>321</v>
      </c>
      <c r="F95" t="s">
        <v>328</v>
      </c>
      <c r="G95" t="s">
        <v>329</v>
      </c>
      <c r="H95" t="s">
        <v>327</v>
      </c>
      <c r="I95" t="s">
        <v>323</v>
      </c>
      <c r="J95" t="s">
        <v>324</v>
      </c>
      <c r="K95" t="s">
        <v>383</v>
      </c>
      <c r="L95" t="s">
        <v>384</v>
      </c>
      <c r="M95">
        <v>0.47333333333333333</v>
      </c>
      <c r="N95">
        <v>1704</v>
      </c>
    </row>
    <row r="96" spans="1:17" x14ac:dyDescent="0.35">
      <c r="A96" s="46">
        <v>46123</v>
      </c>
      <c r="B96" t="s">
        <v>136</v>
      </c>
      <c r="C96" t="s">
        <v>379</v>
      </c>
      <c r="D96" t="s">
        <v>378</v>
      </c>
      <c r="E96" t="s">
        <v>321</v>
      </c>
      <c r="F96" t="s">
        <v>322</v>
      </c>
      <c r="G96" t="s">
        <v>322</v>
      </c>
      <c r="H96" t="s">
        <v>322</v>
      </c>
      <c r="I96" t="s">
        <v>323</v>
      </c>
      <c r="J96" t="s">
        <v>324</v>
      </c>
      <c r="K96" t="s">
        <v>383</v>
      </c>
      <c r="L96" t="s">
        <v>384</v>
      </c>
      <c r="M96">
        <v>2.7777777777777778E-4</v>
      </c>
      <c r="N96">
        <v>1</v>
      </c>
      <c r="O96">
        <v>0</v>
      </c>
    </row>
    <row r="97" spans="1:17" x14ac:dyDescent="0.35">
      <c r="A97" s="46">
        <v>46123</v>
      </c>
      <c r="B97" t="s">
        <v>136</v>
      </c>
      <c r="C97" t="s">
        <v>381</v>
      </c>
      <c r="D97" t="s">
        <v>378</v>
      </c>
      <c r="E97" t="s">
        <v>321</v>
      </c>
      <c r="F97" t="s">
        <v>322</v>
      </c>
      <c r="G97" t="s">
        <v>322</v>
      </c>
      <c r="H97" t="s">
        <v>322</v>
      </c>
      <c r="I97" t="s">
        <v>323</v>
      </c>
      <c r="J97" t="s">
        <v>324</v>
      </c>
      <c r="K97" t="s">
        <v>383</v>
      </c>
      <c r="L97" t="s">
        <v>384</v>
      </c>
      <c r="M97">
        <v>5.6666666666666664E-2</v>
      </c>
      <c r="N97">
        <v>204</v>
      </c>
      <c r="O97">
        <v>0</v>
      </c>
    </row>
    <row r="98" spans="1:17" x14ac:dyDescent="0.35">
      <c r="A98" s="46">
        <v>46123</v>
      </c>
      <c r="B98" t="s">
        <v>136</v>
      </c>
      <c r="C98" t="s">
        <v>381</v>
      </c>
      <c r="D98" t="s">
        <v>378</v>
      </c>
      <c r="E98" t="s">
        <v>321</v>
      </c>
      <c r="F98" t="s">
        <v>443</v>
      </c>
      <c r="G98" t="s">
        <v>444</v>
      </c>
      <c r="H98" t="s">
        <v>330</v>
      </c>
      <c r="I98" t="s">
        <v>323</v>
      </c>
      <c r="J98" t="s">
        <v>324</v>
      </c>
      <c r="K98" t="s">
        <v>383</v>
      </c>
      <c r="L98" t="s">
        <v>384</v>
      </c>
      <c r="M98">
        <v>1.0005555555555556</v>
      </c>
      <c r="N98">
        <v>3602</v>
      </c>
      <c r="O98">
        <v>0</v>
      </c>
    </row>
    <row r="99" spans="1:17" x14ac:dyDescent="0.35">
      <c r="A99" s="46">
        <v>46123</v>
      </c>
      <c r="B99" t="s">
        <v>136</v>
      </c>
      <c r="C99" t="s">
        <v>381</v>
      </c>
      <c r="D99" t="s">
        <v>378</v>
      </c>
      <c r="E99" t="s">
        <v>321</v>
      </c>
      <c r="F99" t="s">
        <v>443</v>
      </c>
      <c r="G99" t="s">
        <v>444</v>
      </c>
      <c r="H99" t="s">
        <v>326</v>
      </c>
      <c r="I99" t="s">
        <v>323</v>
      </c>
      <c r="J99" t="s">
        <v>324</v>
      </c>
      <c r="K99" t="s">
        <v>383</v>
      </c>
      <c r="L99" t="s">
        <v>384</v>
      </c>
      <c r="M99">
        <v>5.6388888888888891E-2</v>
      </c>
      <c r="N99">
        <v>203</v>
      </c>
      <c r="O99">
        <v>0</v>
      </c>
    </row>
    <row r="100" spans="1:17" x14ac:dyDescent="0.35">
      <c r="A100" s="46">
        <v>46123</v>
      </c>
      <c r="B100" t="s">
        <v>136</v>
      </c>
      <c r="C100" t="s">
        <v>381</v>
      </c>
      <c r="D100" t="s">
        <v>378</v>
      </c>
      <c r="E100" t="s">
        <v>321</v>
      </c>
      <c r="F100" t="s">
        <v>447</v>
      </c>
      <c r="G100" t="s">
        <v>448</v>
      </c>
      <c r="H100" t="s">
        <v>334</v>
      </c>
      <c r="I100" t="s">
        <v>323</v>
      </c>
      <c r="J100" t="s">
        <v>324</v>
      </c>
      <c r="K100" t="s">
        <v>383</v>
      </c>
      <c r="L100" t="s">
        <v>384</v>
      </c>
      <c r="M100">
        <v>0.97472222222222227</v>
      </c>
      <c r="N100">
        <v>3509</v>
      </c>
      <c r="O100">
        <v>0</v>
      </c>
    </row>
    <row r="101" spans="1:17" x14ac:dyDescent="0.35">
      <c r="A101" s="46">
        <v>46123</v>
      </c>
      <c r="B101" t="s">
        <v>136</v>
      </c>
      <c r="C101" t="s">
        <v>379</v>
      </c>
      <c r="D101" t="s">
        <v>378</v>
      </c>
      <c r="E101" t="s">
        <v>321</v>
      </c>
      <c r="F101" t="s">
        <v>322</v>
      </c>
      <c r="G101" t="s">
        <v>322</v>
      </c>
      <c r="H101" t="s">
        <v>322</v>
      </c>
      <c r="I101" t="s">
        <v>323</v>
      </c>
      <c r="J101" t="s">
        <v>324</v>
      </c>
      <c r="K101" t="s">
        <v>170</v>
      </c>
      <c r="L101" t="s">
        <v>171</v>
      </c>
      <c r="M101">
        <v>0.43583333333333335</v>
      </c>
      <c r="N101">
        <v>1569</v>
      </c>
      <c r="O101">
        <v>0</v>
      </c>
    </row>
    <row r="102" spans="1:17" x14ac:dyDescent="0.35">
      <c r="A102" s="46">
        <v>46123</v>
      </c>
      <c r="B102" t="s">
        <v>136</v>
      </c>
      <c r="C102" t="s">
        <v>381</v>
      </c>
      <c r="D102" t="s">
        <v>378</v>
      </c>
      <c r="E102" t="s">
        <v>321</v>
      </c>
      <c r="F102" t="s">
        <v>332</v>
      </c>
      <c r="G102" t="s">
        <v>333</v>
      </c>
      <c r="H102" t="s">
        <v>334</v>
      </c>
      <c r="I102" t="s">
        <v>323</v>
      </c>
      <c r="J102" t="s">
        <v>324</v>
      </c>
      <c r="K102" t="s">
        <v>170</v>
      </c>
      <c r="L102" t="s">
        <v>171</v>
      </c>
      <c r="M102">
        <v>2.7777777777777778E-4</v>
      </c>
      <c r="N102">
        <v>1</v>
      </c>
      <c r="O102">
        <v>0</v>
      </c>
    </row>
    <row r="103" spans="1:17" x14ac:dyDescent="0.35">
      <c r="A103" s="46">
        <v>46123</v>
      </c>
      <c r="B103" t="s">
        <v>136</v>
      </c>
      <c r="C103" t="s">
        <v>335</v>
      </c>
      <c r="D103" t="s">
        <v>378</v>
      </c>
      <c r="E103" t="s">
        <v>321</v>
      </c>
      <c r="F103" t="s">
        <v>332</v>
      </c>
      <c r="G103" t="s">
        <v>333</v>
      </c>
      <c r="H103" t="s">
        <v>334</v>
      </c>
      <c r="I103" t="s">
        <v>323</v>
      </c>
      <c r="J103" t="s">
        <v>324</v>
      </c>
      <c r="K103" t="s">
        <v>170</v>
      </c>
      <c r="L103" t="s">
        <v>171</v>
      </c>
      <c r="M103">
        <v>11.816111111111111</v>
      </c>
      <c r="N103">
        <v>42538</v>
      </c>
      <c r="O103">
        <v>0</v>
      </c>
    </row>
    <row r="104" spans="1:17" x14ac:dyDescent="0.35">
      <c r="A104" s="46">
        <v>46123</v>
      </c>
      <c r="B104" t="s">
        <v>136</v>
      </c>
      <c r="C104" t="s">
        <v>379</v>
      </c>
      <c r="D104" t="s">
        <v>378</v>
      </c>
      <c r="E104" t="s">
        <v>321</v>
      </c>
      <c r="F104" t="s">
        <v>443</v>
      </c>
      <c r="G104" t="s">
        <v>445</v>
      </c>
      <c r="H104" t="s">
        <v>334</v>
      </c>
      <c r="I104" t="s">
        <v>323</v>
      </c>
      <c r="J104" t="s">
        <v>324</v>
      </c>
      <c r="K104" t="s">
        <v>170</v>
      </c>
      <c r="L104" t="s">
        <v>171</v>
      </c>
      <c r="M104">
        <v>0.10527777777777778</v>
      </c>
      <c r="N104">
        <v>379</v>
      </c>
      <c r="O104">
        <v>0</v>
      </c>
    </row>
    <row r="105" spans="1:17" x14ac:dyDescent="0.35">
      <c r="A105" s="46">
        <v>46123</v>
      </c>
      <c r="B105" t="s">
        <v>136</v>
      </c>
      <c r="C105" t="s">
        <v>379</v>
      </c>
      <c r="D105" t="s">
        <v>378</v>
      </c>
      <c r="E105" t="s">
        <v>321</v>
      </c>
      <c r="F105" t="s">
        <v>443</v>
      </c>
      <c r="G105" t="s">
        <v>445</v>
      </c>
      <c r="H105" t="s">
        <v>331</v>
      </c>
      <c r="I105" t="s">
        <v>323</v>
      </c>
      <c r="J105" t="s">
        <v>324</v>
      </c>
      <c r="K105" t="s">
        <v>170</v>
      </c>
      <c r="L105" t="s">
        <v>171</v>
      </c>
      <c r="M105">
        <v>1.0127777777777778</v>
      </c>
      <c r="N105">
        <v>3646</v>
      </c>
      <c r="O105">
        <v>0</v>
      </c>
    </row>
    <row r="106" spans="1:17" x14ac:dyDescent="0.35">
      <c r="A106" s="46">
        <v>46123</v>
      </c>
      <c r="B106" t="s">
        <v>136</v>
      </c>
      <c r="C106" t="s">
        <v>381</v>
      </c>
      <c r="D106" t="s">
        <v>378</v>
      </c>
      <c r="E106" t="s">
        <v>321</v>
      </c>
      <c r="F106" t="s">
        <v>328</v>
      </c>
      <c r="G106" t="s">
        <v>329</v>
      </c>
      <c r="H106" t="s">
        <v>327</v>
      </c>
      <c r="I106" t="s">
        <v>323</v>
      </c>
      <c r="J106" t="s">
        <v>324</v>
      </c>
      <c r="K106" t="s">
        <v>170</v>
      </c>
      <c r="L106" t="s">
        <v>171</v>
      </c>
      <c r="M106">
        <v>0.61</v>
      </c>
      <c r="N106">
        <v>2196</v>
      </c>
      <c r="O106">
        <v>0</v>
      </c>
    </row>
    <row r="107" spans="1:17" x14ac:dyDescent="0.35">
      <c r="A107" s="46">
        <v>46123</v>
      </c>
      <c r="B107" t="s">
        <v>136</v>
      </c>
      <c r="C107" t="s">
        <v>379</v>
      </c>
      <c r="D107" t="s">
        <v>378</v>
      </c>
      <c r="E107" t="s">
        <v>321</v>
      </c>
      <c r="F107" t="s">
        <v>322</v>
      </c>
      <c r="G107" t="s">
        <v>322</v>
      </c>
      <c r="H107" t="s">
        <v>322</v>
      </c>
      <c r="I107" t="s">
        <v>323</v>
      </c>
      <c r="J107" t="s">
        <v>324</v>
      </c>
      <c r="K107" t="s">
        <v>178</v>
      </c>
      <c r="L107" t="s">
        <v>179</v>
      </c>
      <c r="M107">
        <v>2.7777777777777778E-4</v>
      </c>
      <c r="N107">
        <v>1</v>
      </c>
      <c r="O107">
        <v>0</v>
      </c>
    </row>
    <row r="108" spans="1:17" x14ac:dyDescent="0.35">
      <c r="A108" s="46">
        <v>46123</v>
      </c>
      <c r="B108" t="s">
        <v>136</v>
      </c>
      <c r="C108" t="s">
        <v>379</v>
      </c>
      <c r="D108" t="s">
        <v>378</v>
      </c>
      <c r="E108" t="s">
        <v>321</v>
      </c>
      <c r="F108" t="s">
        <v>443</v>
      </c>
      <c r="G108" t="s">
        <v>445</v>
      </c>
      <c r="H108" t="s">
        <v>331</v>
      </c>
      <c r="I108" t="s">
        <v>323</v>
      </c>
      <c r="J108" t="s">
        <v>324</v>
      </c>
      <c r="K108" t="s">
        <v>178</v>
      </c>
      <c r="L108" t="s">
        <v>179</v>
      </c>
      <c r="M108">
        <v>6.6666666666666671E-3</v>
      </c>
      <c r="N108">
        <v>24</v>
      </c>
      <c r="O108">
        <v>0</v>
      </c>
    </row>
    <row r="109" spans="1:17" x14ac:dyDescent="0.35">
      <c r="A109" s="46">
        <v>46123</v>
      </c>
      <c r="B109" t="s">
        <v>136</v>
      </c>
      <c r="C109" t="s">
        <v>379</v>
      </c>
      <c r="D109" t="s">
        <v>378</v>
      </c>
      <c r="E109" t="s">
        <v>321</v>
      </c>
      <c r="F109" t="s">
        <v>443</v>
      </c>
      <c r="G109" t="s">
        <v>445</v>
      </c>
      <c r="H109" t="s">
        <v>361</v>
      </c>
      <c r="I109" t="s">
        <v>323</v>
      </c>
      <c r="J109" t="s">
        <v>324</v>
      </c>
      <c r="K109" t="s">
        <v>178</v>
      </c>
      <c r="L109" t="s">
        <v>179</v>
      </c>
      <c r="M109">
        <v>7.8055555555555559E-2</v>
      </c>
      <c r="N109">
        <v>281</v>
      </c>
      <c r="O109">
        <v>0</v>
      </c>
    </row>
    <row r="110" spans="1:17" x14ac:dyDescent="0.35">
      <c r="A110" s="46">
        <v>46123</v>
      </c>
      <c r="B110" t="s">
        <v>136</v>
      </c>
      <c r="C110" t="s">
        <v>449</v>
      </c>
      <c r="D110" t="s">
        <v>385</v>
      </c>
      <c r="E110" t="s">
        <v>321</v>
      </c>
      <c r="F110" t="s">
        <v>443</v>
      </c>
      <c r="G110" t="s">
        <v>445</v>
      </c>
      <c r="H110" t="s">
        <v>334</v>
      </c>
      <c r="I110" t="s">
        <v>323</v>
      </c>
      <c r="J110" t="s">
        <v>324</v>
      </c>
      <c r="K110" t="s">
        <v>341</v>
      </c>
      <c r="L110" t="s">
        <v>342</v>
      </c>
      <c r="M110">
        <v>6.8888888888888888E-2</v>
      </c>
      <c r="N110">
        <v>248</v>
      </c>
      <c r="O110">
        <v>0</v>
      </c>
    </row>
    <row r="111" spans="1:17" x14ac:dyDescent="0.35">
      <c r="A111" s="46">
        <v>46123</v>
      </c>
      <c r="B111" t="s">
        <v>136</v>
      </c>
      <c r="C111" t="s">
        <v>449</v>
      </c>
      <c r="D111" t="s">
        <v>385</v>
      </c>
      <c r="E111" t="s">
        <v>321</v>
      </c>
      <c r="F111" t="s">
        <v>443</v>
      </c>
      <c r="G111" t="s">
        <v>445</v>
      </c>
      <c r="H111" t="s">
        <v>343</v>
      </c>
      <c r="I111" t="s">
        <v>323</v>
      </c>
      <c r="J111" t="s">
        <v>324</v>
      </c>
      <c r="K111" t="s">
        <v>341</v>
      </c>
      <c r="L111" t="s">
        <v>342</v>
      </c>
      <c r="M111">
        <v>4.8055555555555553E-2</v>
      </c>
      <c r="N111">
        <v>173</v>
      </c>
      <c r="O111">
        <v>0</v>
      </c>
    </row>
    <row r="112" spans="1:17" x14ac:dyDescent="0.35">
      <c r="A112" s="46">
        <v>46123</v>
      </c>
      <c r="B112" t="s">
        <v>136</v>
      </c>
      <c r="C112" t="s">
        <v>449</v>
      </c>
      <c r="D112" t="s">
        <v>385</v>
      </c>
      <c r="E112" t="s">
        <v>321</v>
      </c>
      <c r="F112" t="s">
        <v>322</v>
      </c>
      <c r="G112" t="s">
        <v>322</v>
      </c>
      <c r="H112" t="s">
        <v>322</v>
      </c>
      <c r="I112" t="s">
        <v>323</v>
      </c>
      <c r="J112" t="s">
        <v>324</v>
      </c>
      <c r="K112" t="s">
        <v>345</v>
      </c>
      <c r="L112" t="s">
        <v>346</v>
      </c>
      <c r="M112">
        <v>5.0000000000000001E-3</v>
      </c>
      <c r="N112">
        <v>18</v>
      </c>
      <c r="O112">
        <v>50.76</v>
      </c>
      <c r="P112">
        <v>2.82</v>
      </c>
      <c r="Q112">
        <v>18</v>
      </c>
    </row>
    <row r="113" spans="1:17" x14ac:dyDescent="0.35">
      <c r="A113" s="46">
        <v>46123</v>
      </c>
      <c r="B113" t="s">
        <v>136</v>
      </c>
      <c r="C113" t="s">
        <v>335</v>
      </c>
      <c r="D113" t="s">
        <v>385</v>
      </c>
      <c r="E113" t="s">
        <v>321</v>
      </c>
      <c r="F113" t="s">
        <v>443</v>
      </c>
      <c r="G113" t="s">
        <v>445</v>
      </c>
      <c r="H113" t="s">
        <v>331</v>
      </c>
      <c r="I113" t="s">
        <v>323</v>
      </c>
      <c r="J113" t="s">
        <v>324</v>
      </c>
      <c r="K113" t="s">
        <v>345</v>
      </c>
      <c r="L113" t="s">
        <v>346</v>
      </c>
      <c r="M113">
        <v>7.5555555555555556E-2</v>
      </c>
      <c r="N113">
        <v>272</v>
      </c>
      <c r="O113">
        <v>1229.4399999999998</v>
      </c>
      <c r="P113">
        <v>4.5199999999999996</v>
      </c>
      <c r="Q113">
        <v>272</v>
      </c>
    </row>
    <row r="114" spans="1:17" x14ac:dyDescent="0.35">
      <c r="A114" s="46">
        <v>46123</v>
      </c>
      <c r="B114" t="s">
        <v>136</v>
      </c>
      <c r="C114" t="s">
        <v>335</v>
      </c>
      <c r="D114" t="s">
        <v>385</v>
      </c>
      <c r="E114" t="s">
        <v>321</v>
      </c>
      <c r="F114" t="s">
        <v>443</v>
      </c>
      <c r="G114" t="s">
        <v>445</v>
      </c>
      <c r="H114" t="s">
        <v>343</v>
      </c>
      <c r="I114" t="s">
        <v>323</v>
      </c>
      <c r="J114" t="s">
        <v>324</v>
      </c>
      <c r="K114" t="s">
        <v>345</v>
      </c>
      <c r="L114" t="s">
        <v>346</v>
      </c>
      <c r="M114">
        <v>9.8333333333333328E-2</v>
      </c>
      <c r="N114">
        <v>354</v>
      </c>
      <c r="O114">
        <v>1908.06</v>
      </c>
      <c r="P114">
        <v>5.39</v>
      </c>
      <c r="Q114">
        <v>354</v>
      </c>
    </row>
    <row r="115" spans="1:17" x14ac:dyDescent="0.35">
      <c r="A115" s="46">
        <v>46123</v>
      </c>
      <c r="B115" t="s">
        <v>136</v>
      </c>
      <c r="C115" t="s">
        <v>335</v>
      </c>
      <c r="D115" t="s">
        <v>385</v>
      </c>
      <c r="E115" t="s">
        <v>321</v>
      </c>
      <c r="F115" t="s">
        <v>443</v>
      </c>
      <c r="G115" t="s">
        <v>445</v>
      </c>
      <c r="H115" t="s">
        <v>361</v>
      </c>
      <c r="I115" t="s">
        <v>323</v>
      </c>
      <c r="J115" t="s">
        <v>324</v>
      </c>
      <c r="K115" t="s">
        <v>345</v>
      </c>
      <c r="L115" t="s">
        <v>346</v>
      </c>
      <c r="M115">
        <v>0.11055555555555556</v>
      </c>
      <c r="N115">
        <v>398</v>
      </c>
      <c r="O115">
        <v>2244.7199999999998</v>
      </c>
      <c r="P115">
        <v>5.64</v>
      </c>
      <c r="Q115">
        <v>398</v>
      </c>
    </row>
    <row r="116" spans="1:17" x14ac:dyDescent="0.35">
      <c r="A116" s="46">
        <v>46123</v>
      </c>
      <c r="B116" t="s">
        <v>136</v>
      </c>
      <c r="C116" t="s">
        <v>449</v>
      </c>
      <c r="D116" t="s">
        <v>385</v>
      </c>
      <c r="E116" t="s">
        <v>321</v>
      </c>
      <c r="F116" t="s">
        <v>443</v>
      </c>
      <c r="G116" t="s">
        <v>445</v>
      </c>
      <c r="H116" t="s">
        <v>343</v>
      </c>
      <c r="I116" t="s">
        <v>323</v>
      </c>
      <c r="J116" t="s">
        <v>324</v>
      </c>
      <c r="K116" t="s">
        <v>345</v>
      </c>
      <c r="L116" t="s">
        <v>346</v>
      </c>
      <c r="M116">
        <v>0.36222222222222222</v>
      </c>
      <c r="N116">
        <v>1304</v>
      </c>
      <c r="O116">
        <v>5002.5599999999995</v>
      </c>
      <c r="P116">
        <v>3.8363190184049074</v>
      </c>
      <c r="Q116">
        <v>1304</v>
      </c>
    </row>
    <row r="117" spans="1:17" x14ac:dyDescent="0.35">
      <c r="A117" s="46">
        <v>46123</v>
      </c>
      <c r="B117" t="s">
        <v>136</v>
      </c>
      <c r="C117" t="s">
        <v>449</v>
      </c>
      <c r="D117" t="s">
        <v>385</v>
      </c>
      <c r="E117" t="s">
        <v>321</v>
      </c>
      <c r="F117" t="s">
        <v>443</v>
      </c>
      <c r="G117" t="s">
        <v>445</v>
      </c>
      <c r="H117" t="s">
        <v>366</v>
      </c>
      <c r="I117" t="s">
        <v>323</v>
      </c>
      <c r="J117" t="s">
        <v>324</v>
      </c>
      <c r="K117" t="s">
        <v>345</v>
      </c>
      <c r="L117" t="s">
        <v>346</v>
      </c>
      <c r="M117">
        <v>0.34</v>
      </c>
      <c r="N117">
        <v>1224</v>
      </c>
      <c r="O117">
        <v>5435.7300000000005</v>
      </c>
      <c r="P117">
        <v>4.4409558823529416</v>
      </c>
      <c r="Q117">
        <v>1224</v>
      </c>
    </row>
    <row r="118" spans="1:17" x14ac:dyDescent="0.35">
      <c r="A118" s="46">
        <v>46123</v>
      </c>
      <c r="B118" t="s">
        <v>136</v>
      </c>
      <c r="C118" t="s">
        <v>449</v>
      </c>
      <c r="D118" t="s">
        <v>385</v>
      </c>
      <c r="E118" t="s">
        <v>321</v>
      </c>
      <c r="F118" t="s">
        <v>443</v>
      </c>
      <c r="G118" t="s">
        <v>445</v>
      </c>
      <c r="H118" t="s">
        <v>334</v>
      </c>
      <c r="I118" t="s">
        <v>323</v>
      </c>
      <c r="J118" t="s">
        <v>324</v>
      </c>
      <c r="K118" t="s">
        <v>345</v>
      </c>
      <c r="L118" t="s">
        <v>346</v>
      </c>
      <c r="M118">
        <v>0.57638888888888884</v>
      </c>
      <c r="N118">
        <v>2075</v>
      </c>
      <c r="O118">
        <v>8429.85</v>
      </c>
      <c r="P118">
        <v>4.0625783132530122</v>
      </c>
      <c r="Q118">
        <v>2075</v>
      </c>
    </row>
    <row r="119" spans="1:17" x14ac:dyDescent="0.35">
      <c r="A119" s="46">
        <v>46123</v>
      </c>
      <c r="B119" t="s">
        <v>136</v>
      </c>
      <c r="C119" t="s">
        <v>449</v>
      </c>
      <c r="D119" t="s">
        <v>385</v>
      </c>
      <c r="E119" t="s">
        <v>321</v>
      </c>
      <c r="F119" t="s">
        <v>443</v>
      </c>
      <c r="G119" t="s">
        <v>445</v>
      </c>
      <c r="H119" t="s">
        <v>361</v>
      </c>
      <c r="I119" t="s">
        <v>323</v>
      </c>
      <c r="J119" t="s">
        <v>324</v>
      </c>
      <c r="K119" t="s">
        <v>345</v>
      </c>
      <c r="L119" t="s">
        <v>346</v>
      </c>
      <c r="M119">
        <v>0.54749999999999999</v>
      </c>
      <c r="N119">
        <v>1971</v>
      </c>
      <c r="O119">
        <v>9567.7200000000012</v>
      </c>
      <c r="P119">
        <v>4.854246575342466</v>
      </c>
      <c r="Q119">
        <v>1971</v>
      </c>
    </row>
    <row r="120" spans="1:17" x14ac:dyDescent="0.35">
      <c r="A120" s="46">
        <v>46123</v>
      </c>
      <c r="B120" t="s">
        <v>136</v>
      </c>
      <c r="C120" t="s">
        <v>449</v>
      </c>
      <c r="D120" t="s">
        <v>385</v>
      </c>
      <c r="E120" t="s">
        <v>321</v>
      </c>
      <c r="F120" t="s">
        <v>443</v>
      </c>
      <c r="G120" t="s">
        <v>445</v>
      </c>
      <c r="H120" t="s">
        <v>331</v>
      </c>
      <c r="I120" t="s">
        <v>323</v>
      </c>
      <c r="J120" t="s">
        <v>324</v>
      </c>
      <c r="K120" t="s">
        <v>345</v>
      </c>
      <c r="L120" t="s">
        <v>346</v>
      </c>
      <c r="M120">
        <v>0.6497222222222222</v>
      </c>
      <c r="N120">
        <v>2339</v>
      </c>
      <c r="O120">
        <v>9879.0499999999993</v>
      </c>
      <c r="P120">
        <v>4.223621205643437</v>
      </c>
      <c r="Q120">
        <v>2339</v>
      </c>
    </row>
    <row r="121" spans="1:17" x14ac:dyDescent="0.35">
      <c r="A121" s="46">
        <v>46123</v>
      </c>
      <c r="B121" t="s">
        <v>136</v>
      </c>
      <c r="C121" t="s">
        <v>335</v>
      </c>
      <c r="D121" t="s">
        <v>385</v>
      </c>
      <c r="E121" t="s">
        <v>321</v>
      </c>
      <c r="F121" t="s">
        <v>322</v>
      </c>
      <c r="G121" t="s">
        <v>322</v>
      </c>
      <c r="H121" t="s">
        <v>322</v>
      </c>
      <c r="I121" t="s">
        <v>323</v>
      </c>
      <c r="J121" t="s">
        <v>324</v>
      </c>
      <c r="K121" t="s">
        <v>142</v>
      </c>
      <c r="L121" t="s">
        <v>143</v>
      </c>
      <c r="M121">
        <v>1.4166666666666666E-2</v>
      </c>
      <c r="N121">
        <v>51</v>
      </c>
      <c r="O121">
        <v>202.47</v>
      </c>
      <c r="P121">
        <v>3.97</v>
      </c>
      <c r="Q121">
        <v>51</v>
      </c>
    </row>
    <row r="122" spans="1:17" x14ac:dyDescent="0.35">
      <c r="A122" s="46">
        <v>46123</v>
      </c>
      <c r="B122" t="s">
        <v>136</v>
      </c>
      <c r="C122" t="s">
        <v>449</v>
      </c>
      <c r="D122" t="s">
        <v>385</v>
      </c>
      <c r="E122" t="s">
        <v>321</v>
      </c>
      <c r="F122" t="s">
        <v>443</v>
      </c>
      <c r="G122" t="s">
        <v>445</v>
      </c>
      <c r="H122" t="s">
        <v>361</v>
      </c>
      <c r="I122" t="s">
        <v>323</v>
      </c>
      <c r="J122" t="s">
        <v>324</v>
      </c>
      <c r="K122" t="s">
        <v>142</v>
      </c>
      <c r="L122" t="s">
        <v>143</v>
      </c>
      <c r="M122">
        <v>2.1111111111111112E-2</v>
      </c>
      <c r="N122">
        <v>76</v>
      </c>
      <c r="O122">
        <v>298.92</v>
      </c>
      <c r="P122">
        <v>3.9331578947368424</v>
      </c>
      <c r="Q122">
        <v>76</v>
      </c>
    </row>
    <row r="123" spans="1:17" x14ac:dyDescent="0.35">
      <c r="A123" s="46">
        <v>46123</v>
      </c>
      <c r="B123" t="s">
        <v>136</v>
      </c>
      <c r="C123" t="s">
        <v>449</v>
      </c>
      <c r="D123" t="s">
        <v>385</v>
      </c>
      <c r="E123" t="s">
        <v>321</v>
      </c>
      <c r="F123" t="s">
        <v>322</v>
      </c>
      <c r="G123" t="s">
        <v>322</v>
      </c>
      <c r="H123" t="s">
        <v>322</v>
      </c>
      <c r="I123" t="s">
        <v>323</v>
      </c>
      <c r="J123" t="s">
        <v>324</v>
      </c>
      <c r="K123" t="s">
        <v>142</v>
      </c>
      <c r="L123" t="s">
        <v>143</v>
      </c>
      <c r="M123">
        <v>2.5555555555555557E-2</v>
      </c>
      <c r="N123">
        <v>92</v>
      </c>
      <c r="O123">
        <v>300.83999999999997</v>
      </c>
      <c r="P123">
        <v>3.2699999999999996</v>
      </c>
      <c r="Q123">
        <v>92</v>
      </c>
    </row>
    <row r="124" spans="1:17" x14ac:dyDescent="0.35">
      <c r="A124" s="46">
        <v>46123</v>
      </c>
      <c r="B124" t="s">
        <v>136</v>
      </c>
      <c r="C124" t="s">
        <v>335</v>
      </c>
      <c r="D124" t="s">
        <v>385</v>
      </c>
      <c r="E124" t="s">
        <v>321</v>
      </c>
      <c r="F124" t="s">
        <v>332</v>
      </c>
      <c r="G124" t="s">
        <v>333</v>
      </c>
      <c r="H124" t="s">
        <v>334</v>
      </c>
      <c r="I124" t="s">
        <v>323</v>
      </c>
      <c r="J124" t="s">
        <v>324</v>
      </c>
      <c r="K124" t="s">
        <v>142</v>
      </c>
      <c r="L124" t="s">
        <v>143</v>
      </c>
      <c r="M124">
        <v>2.6666666666666668E-2</v>
      </c>
      <c r="N124">
        <v>96</v>
      </c>
      <c r="O124">
        <v>346.56</v>
      </c>
      <c r="P124">
        <v>3.61</v>
      </c>
      <c r="Q124">
        <v>96</v>
      </c>
    </row>
    <row r="125" spans="1:17" x14ac:dyDescent="0.35">
      <c r="A125" s="46">
        <v>46123</v>
      </c>
      <c r="B125" t="s">
        <v>136</v>
      </c>
      <c r="C125" t="s">
        <v>335</v>
      </c>
      <c r="D125" t="s">
        <v>385</v>
      </c>
      <c r="E125" t="s">
        <v>321</v>
      </c>
      <c r="F125" t="s">
        <v>443</v>
      </c>
      <c r="G125" t="s">
        <v>445</v>
      </c>
      <c r="H125" t="s">
        <v>331</v>
      </c>
      <c r="I125" t="s">
        <v>323</v>
      </c>
      <c r="J125" t="s">
        <v>324</v>
      </c>
      <c r="K125" t="s">
        <v>142</v>
      </c>
      <c r="L125" t="s">
        <v>143</v>
      </c>
      <c r="M125">
        <v>2.4722222222222222E-2</v>
      </c>
      <c r="N125">
        <v>89</v>
      </c>
      <c r="O125">
        <v>364.9</v>
      </c>
      <c r="P125">
        <v>4.0999999999999996</v>
      </c>
      <c r="Q125">
        <v>89</v>
      </c>
    </row>
    <row r="126" spans="1:17" x14ac:dyDescent="0.35">
      <c r="A126" s="46">
        <v>46123</v>
      </c>
      <c r="B126" t="s">
        <v>136</v>
      </c>
      <c r="C126" t="s">
        <v>449</v>
      </c>
      <c r="D126" t="s">
        <v>385</v>
      </c>
      <c r="E126" t="s">
        <v>321</v>
      </c>
      <c r="F126" t="s">
        <v>443</v>
      </c>
      <c r="G126" t="s">
        <v>445</v>
      </c>
      <c r="H126" t="s">
        <v>366</v>
      </c>
      <c r="I126" t="s">
        <v>323</v>
      </c>
      <c r="J126" t="s">
        <v>324</v>
      </c>
      <c r="K126" t="s">
        <v>142</v>
      </c>
      <c r="L126" t="s">
        <v>143</v>
      </c>
      <c r="M126">
        <v>3.6388888888888887E-2</v>
      </c>
      <c r="N126">
        <v>131</v>
      </c>
      <c r="O126">
        <v>651.06999999999994</v>
      </c>
      <c r="P126">
        <v>4.97</v>
      </c>
      <c r="Q126">
        <v>131</v>
      </c>
    </row>
    <row r="127" spans="1:17" x14ac:dyDescent="0.35">
      <c r="A127" s="46">
        <v>46123</v>
      </c>
      <c r="B127" t="s">
        <v>136</v>
      </c>
      <c r="C127" t="s">
        <v>335</v>
      </c>
      <c r="D127" t="s">
        <v>385</v>
      </c>
      <c r="E127" t="s">
        <v>321</v>
      </c>
      <c r="F127" t="s">
        <v>443</v>
      </c>
      <c r="G127" t="s">
        <v>444</v>
      </c>
      <c r="H127" t="s">
        <v>326</v>
      </c>
      <c r="I127" t="s">
        <v>323</v>
      </c>
      <c r="J127" t="s">
        <v>324</v>
      </c>
      <c r="K127" t="s">
        <v>142</v>
      </c>
      <c r="L127" t="s">
        <v>143</v>
      </c>
      <c r="M127">
        <v>0.05</v>
      </c>
      <c r="N127">
        <v>180</v>
      </c>
      <c r="O127">
        <v>914.4</v>
      </c>
      <c r="P127">
        <v>5.08</v>
      </c>
      <c r="Q127">
        <v>180</v>
      </c>
    </row>
    <row r="128" spans="1:17" x14ac:dyDescent="0.35">
      <c r="A128" s="46">
        <v>46123</v>
      </c>
      <c r="B128" t="s">
        <v>136</v>
      </c>
      <c r="C128" t="s">
        <v>449</v>
      </c>
      <c r="D128" t="s">
        <v>385</v>
      </c>
      <c r="E128" t="s">
        <v>321</v>
      </c>
      <c r="F128" t="s">
        <v>443</v>
      </c>
      <c r="G128" t="s">
        <v>445</v>
      </c>
      <c r="H128" t="s">
        <v>331</v>
      </c>
      <c r="I128" t="s">
        <v>323</v>
      </c>
      <c r="J128" t="s">
        <v>324</v>
      </c>
      <c r="K128" t="s">
        <v>142</v>
      </c>
      <c r="L128" t="s">
        <v>143</v>
      </c>
      <c r="M128">
        <v>6.7222222222222225E-2</v>
      </c>
      <c r="N128">
        <v>242</v>
      </c>
      <c r="O128">
        <v>1059.96</v>
      </c>
      <c r="P128">
        <v>4.38</v>
      </c>
      <c r="Q128">
        <v>242</v>
      </c>
    </row>
    <row r="129" spans="1:17" x14ac:dyDescent="0.35">
      <c r="A129" s="46">
        <v>46123</v>
      </c>
      <c r="B129" t="s">
        <v>136</v>
      </c>
      <c r="C129" t="s">
        <v>335</v>
      </c>
      <c r="D129" t="s">
        <v>385</v>
      </c>
      <c r="E129" t="s">
        <v>321</v>
      </c>
      <c r="F129" t="s">
        <v>443</v>
      </c>
      <c r="G129" t="s">
        <v>445</v>
      </c>
      <c r="H129" t="s">
        <v>331</v>
      </c>
      <c r="I129" t="s">
        <v>323</v>
      </c>
      <c r="J129" t="s">
        <v>324</v>
      </c>
      <c r="K129" t="s">
        <v>350</v>
      </c>
      <c r="L129" t="s">
        <v>351</v>
      </c>
      <c r="M129">
        <v>3.0555555555555555E-2</v>
      </c>
      <c r="N129">
        <v>110</v>
      </c>
      <c r="O129">
        <v>236.5</v>
      </c>
      <c r="P129">
        <v>2.15</v>
      </c>
      <c r="Q129">
        <v>110</v>
      </c>
    </row>
    <row r="130" spans="1:17" x14ac:dyDescent="0.35">
      <c r="A130" s="46">
        <v>46123</v>
      </c>
      <c r="B130" t="s">
        <v>136</v>
      </c>
      <c r="C130" t="s">
        <v>335</v>
      </c>
      <c r="D130" t="s">
        <v>385</v>
      </c>
      <c r="E130" t="s">
        <v>321</v>
      </c>
      <c r="F130" t="s">
        <v>443</v>
      </c>
      <c r="G130" t="s">
        <v>445</v>
      </c>
      <c r="H130" t="s">
        <v>361</v>
      </c>
      <c r="I130" t="s">
        <v>323</v>
      </c>
      <c r="J130" t="s">
        <v>324</v>
      </c>
      <c r="K130" t="s">
        <v>350</v>
      </c>
      <c r="L130" t="s">
        <v>351</v>
      </c>
      <c r="M130">
        <v>3.3888888888888892E-2</v>
      </c>
      <c r="N130">
        <v>122</v>
      </c>
      <c r="O130">
        <v>387.96000000000004</v>
      </c>
      <c r="P130">
        <v>3.18</v>
      </c>
      <c r="Q130">
        <v>122</v>
      </c>
    </row>
    <row r="131" spans="1:17" x14ac:dyDescent="0.35">
      <c r="A131" s="46">
        <v>46123</v>
      </c>
      <c r="B131" t="s">
        <v>136</v>
      </c>
      <c r="C131" t="s">
        <v>449</v>
      </c>
      <c r="D131" t="s">
        <v>385</v>
      </c>
      <c r="E131" t="s">
        <v>321</v>
      </c>
      <c r="F131" t="s">
        <v>322</v>
      </c>
      <c r="G131" t="s">
        <v>322</v>
      </c>
      <c r="H131" t="s">
        <v>322</v>
      </c>
      <c r="I131" t="s">
        <v>323</v>
      </c>
      <c r="J131" t="s">
        <v>324</v>
      </c>
      <c r="K131" t="s">
        <v>350</v>
      </c>
      <c r="L131" t="s">
        <v>351</v>
      </c>
      <c r="M131">
        <v>3.1944444444444442E-2</v>
      </c>
      <c r="N131">
        <v>115</v>
      </c>
      <c r="O131">
        <v>449.65000000000003</v>
      </c>
      <c r="P131">
        <v>3.91</v>
      </c>
      <c r="Q131">
        <v>115</v>
      </c>
    </row>
    <row r="132" spans="1:17" x14ac:dyDescent="0.35">
      <c r="A132" s="46">
        <v>46123</v>
      </c>
      <c r="B132" t="s">
        <v>136</v>
      </c>
      <c r="C132" t="s">
        <v>335</v>
      </c>
      <c r="D132" t="s">
        <v>385</v>
      </c>
      <c r="E132" t="s">
        <v>321</v>
      </c>
      <c r="F132" t="s">
        <v>443</v>
      </c>
      <c r="G132" t="s">
        <v>445</v>
      </c>
      <c r="H132" t="s">
        <v>343</v>
      </c>
      <c r="I132" t="s">
        <v>323</v>
      </c>
      <c r="J132" t="s">
        <v>324</v>
      </c>
      <c r="K132" t="s">
        <v>350</v>
      </c>
      <c r="L132" t="s">
        <v>351</v>
      </c>
      <c r="M132">
        <v>4.027777777777778E-2</v>
      </c>
      <c r="N132">
        <v>145</v>
      </c>
      <c r="O132">
        <v>479.95</v>
      </c>
      <c r="P132">
        <v>3.31</v>
      </c>
      <c r="Q132">
        <v>145</v>
      </c>
    </row>
    <row r="133" spans="1:17" x14ac:dyDescent="0.35">
      <c r="A133" s="46">
        <v>46123</v>
      </c>
      <c r="B133" t="s">
        <v>136</v>
      </c>
      <c r="C133" t="s">
        <v>449</v>
      </c>
      <c r="D133" t="s">
        <v>385</v>
      </c>
      <c r="E133" t="s">
        <v>321</v>
      </c>
      <c r="F133" t="s">
        <v>443</v>
      </c>
      <c r="G133" t="s">
        <v>445</v>
      </c>
      <c r="H133" t="s">
        <v>361</v>
      </c>
      <c r="I133" t="s">
        <v>323</v>
      </c>
      <c r="J133" t="s">
        <v>324</v>
      </c>
      <c r="K133" t="s">
        <v>350</v>
      </c>
      <c r="L133" t="s">
        <v>351</v>
      </c>
      <c r="M133">
        <v>0.08</v>
      </c>
      <c r="N133">
        <v>288</v>
      </c>
      <c r="O133">
        <v>493.35</v>
      </c>
      <c r="P133">
        <v>1.7130208333333334</v>
      </c>
      <c r="Q133">
        <v>288</v>
      </c>
    </row>
    <row r="134" spans="1:17" x14ac:dyDescent="0.35">
      <c r="A134" s="46">
        <v>46123</v>
      </c>
      <c r="B134" t="s">
        <v>136</v>
      </c>
      <c r="C134" t="s">
        <v>449</v>
      </c>
      <c r="D134" t="s">
        <v>385</v>
      </c>
      <c r="E134" t="s">
        <v>321</v>
      </c>
      <c r="F134" t="s">
        <v>443</v>
      </c>
      <c r="G134" t="s">
        <v>445</v>
      </c>
      <c r="H134" t="s">
        <v>343</v>
      </c>
      <c r="I134" t="s">
        <v>323</v>
      </c>
      <c r="J134" t="s">
        <v>324</v>
      </c>
      <c r="K134" t="s">
        <v>350</v>
      </c>
      <c r="L134" t="s">
        <v>351</v>
      </c>
      <c r="M134">
        <v>4.8333333333333332E-2</v>
      </c>
      <c r="N134">
        <v>174</v>
      </c>
      <c r="O134">
        <v>586.21</v>
      </c>
      <c r="P134">
        <v>3.3690229885057472</v>
      </c>
      <c r="Q134">
        <v>174</v>
      </c>
    </row>
    <row r="135" spans="1:17" x14ac:dyDescent="0.35">
      <c r="A135" s="46">
        <v>46123</v>
      </c>
      <c r="B135" t="s">
        <v>136</v>
      </c>
      <c r="C135" t="s">
        <v>449</v>
      </c>
      <c r="D135" t="s">
        <v>385</v>
      </c>
      <c r="E135" t="s">
        <v>321</v>
      </c>
      <c r="F135" t="s">
        <v>443</v>
      </c>
      <c r="G135" t="s">
        <v>445</v>
      </c>
      <c r="H135" t="s">
        <v>366</v>
      </c>
      <c r="I135" t="s">
        <v>323</v>
      </c>
      <c r="J135" t="s">
        <v>324</v>
      </c>
      <c r="K135" t="s">
        <v>350</v>
      </c>
      <c r="L135" t="s">
        <v>351</v>
      </c>
      <c r="M135">
        <v>0.1413888888888889</v>
      </c>
      <c r="N135">
        <v>509</v>
      </c>
      <c r="O135">
        <v>1552.4499999999998</v>
      </c>
      <c r="P135">
        <v>3.05</v>
      </c>
      <c r="Q135">
        <v>509</v>
      </c>
    </row>
    <row r="136" spans="1:17" x14ac:dyDescent="0.35">
      <c r="A136" s="46">
        <v>46123</v>
      </c>
      <c r="B136" t="s">
        <v>136</v>
      </c>
      <c r="C136" t="s">
        <v>449</v>
      </c>
      <c r="D136" t="s">
        <v>385</v>
      </c>
      <c r="E136" t="s">
        <v>321</v>
      </c>
      <c r="F136" t="s">
        <v>443</v>
      </c>
      <c r="G136" t="s">
        <v>445</v>
      </c>
      <c r="H136" t="s">
        <v>331</v>
      </c>
      <c r="I136" t="s">
        <v>323</v>
      </c>
      <c r="J136" t="s">
        <v>324</v>
      </c>
      <c r="K136" t="s">
        <v>350</v>
      </c>
      <c r="L136" t="s">
        <v>351</v>
      </c>
      <c r="M136">
        <v>0.18333333333333332</v>
      </c>
      <c r="N136">
        <v>660</v>
      </c>
      <c r="O136">
        <v>2112.7600000000002</v>
      </c>
      <c r="P136">
        <v>3.2011515151515155</v>
      </c>
      <c r="Q136">
        <v>660</v>
      </c>
    </row>
    <row r="137" spans="1:17" x14ac:dyDescent="0.35">
      <c r="A137" s="46">
        <v>46123</v>
      </c>
      <c r="B137" t="s">
        <v>136</v>
      </c>
      <c r="C137" t="s">
        <v>449</v>
      </c>
      <c r="D137" t="s">
        <v>385</v>
      </c>
      <c r="E137" t="s">
        <v>321</v>
      </c>
      <c r="F137" t="s">
        <v>443</v>
      </c>
      <c r="G137" t="s">
        <v>445</v>
      </c>
      <c r="H137" t="s">
        <v>334</v>
      </c>
      <c r="I137" t="s">
        <v>323</v>
      </c>
      <c r="J137" t="s">
        <v>324</v>
      </c>
      <c r="K137" t="s">
        <v>350</v>
      </c>
      <c r="L137" t="s">
        <v>351</v>
      </c>
      <c r="M137">
        <v>0.33055555555555555</v>
      </c>
      <c r="N137">
        <v>1190</v>
      </c>
      <c r="O137">
        <v>3970.26</v>
      </c>
      <c r="P137">
        <v>3.3363529411764707</v>
      </c>
      <c r="Q137">
        <v>1190</v>
      </c>
    </row>
    <row r="138" spans="1:17" x14ac:dyDescent="0.35">
      <c r="A138" s="46">
        <v>46123</v>
      </c>
      <c r="B138" t="s">
        <v>136</v>
      </c>
      <c r="C138" t="s">
        <v>335</v>
      </c>
      <c r="D138" t="s">
        <v>385</v>
      </c>
      <c r="E138" t="s">
        <v>321</v>
      </c>
      <c r="F138" t="s">
        <v>332</v>
      </c>
      <c r="G138" t="s">
        <v>333</v>
      </c>
      <c r="H138" t="s">
        <v>334</v>
      </c>
      <c r="I138" t="s">
        <v>323</v>
      </c>
      <c r="J138" t="s">
        <v>324</v>
      </c>
      <c r="K138" t="s">
        <v>383</v>
      </c>
      <c r="L138" t="s">
        <v>384</v>
      </c>
      <c r="M138">
        <v>0.83833333333333337</v>
      </c>
      <c r="N138">
        <v>3018</v>
      </c>
    </row>
    <row r="139" spans="1:17" x14ac:dyDescent="0.35">
      <c r="A139" s="46">
        <v>46123</v>
      </c>
      <c r="B139" t="s">
        <v>136</v>
      </c>
      <c r="C139" t="s">
        <v>335</v>
      </c>
      <c r="D139" t="s">
        <v>385</v>
      </c>
      <c r="E139" t="s">
        <v>321</v>
      </c>
      <c r="F139" t="s">
        <v>322</v>
      </c>
      <c r="G139" t="s">
        <v>322</v>
      </c>
      <c r="H139" t="s">
        <v>322</v>
      </c>
      <c r="I139" t="s">
        <v>323</v>
      </c>
      <c r="J139" t="s">
        <v>324</v>
      </c>
      <c r="K139" t="s">
        <v>383</v>
      </c>
      <c r="L139" t="s">
        <v>384</v>
      </c>
      <c r="M139">
        <v>1.7663888888888888</v>
      </c>
      <c r="N139">
        <v>6359</v>
      </c>
      <c r="O139">
        <v>0</v>
      </c>
    </row>
    <row r="140" spans="1:17" x14ac:dyDescent="0.35">
      <c r="A140" s="46">
        <v>46123</v>
      </c>
      <c r="B140" t="s">
        <v>136</v>
      </c>
      <c r="C140" t="s">
        <v>335</v>
      </c>
      <c r="D140" t="s">
        <v>385</v>
      </c>
      <c r="E140" t="s">
        <v>321</v>
      </c>
      <c r="F140" t="s">
        <v>443</v>
      </c>
      <c r="G140" t="s">
        <v>445</v>
      </c>
      <c r="H140" t="s">
        <v>331</v>
      </c>
      <c r="I140" t="s">
        <v>323</v>
      </c>
      <c r="J140" t="s">
        <v>324</v>
      </c>
      <c r="K140" t="s">
        <v>383</v>
      </c>
      <c r="L140" t="s">
        <v>384</v>
      </c>
      <c r="M140">
        <v>0.63388888888888884</v>
      </c>
      <c r="N140">
        <v>2282</v>
      </c>
      <c r="O140">
        <v>0</v>
      </c>
    </row>
    <row r="141" spans="1:17" x14ac:dyDescent="0.35">
      <c r="A141" s="46">
        <v>46123</v>
      </c>
      <c r="B141" t="s">
        <v>136</v>
      </c>
      <c r="C141" t="s">
        <v>335</v>
      </c>
      <c r="D141" t="s">
        <v>385</v>
      </c>
      <c r="E141" t="s">
        <v>321</v>
      </c>
      <c r="F141" t="s">
        <v>443</v>
      </c>
      <c r="G141" t="s">
        <v>444</v>
      </c>
      <c r="H141" t="s">
        <v>343</v>
      </c>
      <c r="I141" t="s">
        <v>323</v>
      </c>
      <c r="J141" t="s">
        <v>324</v>
      </c>
      <c r="K141" t="s">
        <v>383</v>
      </c>
      <c r="L141" t="s">
        <v>384</v>
      </c>
      <c r="M141">
        <v>0.92027777777777775</v>
      </c>
      <c r="N141">
        <v>3313</v>
      </c>
      <c r="O141">
        <v>0</v>
      </c>
    </row>
    <row r="142" spans="1:17" x14ac:dyDescent="0.35">
      <c r="A142" s="46">
        <v>46123</v>
      </c>
      <c r="B142" t="s">
        <v>136</v>
      </c>
      <c r="C142" t="s">
        <v>335</v>
      </c>
      <c r="D142" t="s">
        <v>385</v>
      </c>
      <c r="E142" t="s">
        <v>321</v>
      </c>
      <c r="F142" t="s">
        <v>332</v>
      </c>
      <c r="G142" t="s">
        <v>333</v>
      </c>
      <c r="H142" t="s">
        <v>334</v>
      </c>
      <c r="I142" t="s">
        <v>323</v>
      </c>
      <c r="J142" t="s">
        <v>324</v>
      </c>
      <c r="K142" t="s">
        <v>170</v>
      </c>
      <c r="L142" t="s">
        <v>171</v>
      </c>
      <c r="M142">
        <v>12.826388888888889</v>
      </c>
      <c r="N142">
        <v>46175</v>
      </c>
    </row>
    <row r="143" spans="1:17" x14ac:dyDescent="0.35">
      <c r="A143" s="46">
        <v>46123</v>
      </c>
      <c r="B143" t="s">
        <v>136</v>
      </c>
      <c r="C143" t="s">
        <v>335</v>
      </c>
      <c r="D143" t="s">
        <v>385</v>
      </c>
      <c r="E143" t="s">
        <v>321</v>
      </c>
      <c r="F143" t="s">
        <v>443</v>
      </c>
      <c r="G143" t="s">
        <v>445</v>
      </c>
      <c r="H143" t="s">
        <v>331</v>
      </c>
      <c r="I143" t="s">
        <v>323</v>
      </c>
      <c r="J143" t="s">
        <v>324</v>
      </c>
      <c r="K143" t="s">
        <v>170</v>
      </c>
      <c r="L143" t="s">
        <v>171</v>
      </c>
      <c r="M143">
        <v>9.2499999999999999E-2</v>
      </c>
      <c r="N143">
        <v>333</v>
      </c>
    </row>
    <row r="144" spans="1:17" x14ac:dyDescent="0.35">
      <c r="A144" s="46">
        <v>46123</v>
      </c>
      <c r="B144" t="s">
        <v>136</v>
      </c>
      <c r="C144" t="s">
        <v>449</v>
      </c>
      <c r="D144" t="s">
        <v>385</v>
      </c>
      <c r="E144" t="s">
        <v>321</v>
      </c>
      <c r="F144" t="s">
        <v>322</v>
      </c>
      <c r="G144" t="s">
        <v>322</v>
      </c>
      <c r="H144" t="s">
        <v>322</v>
      </c>
      <c r="I144" t="s">
        <v>323</v>
      </c>
      <c r="J144" t="s">
        <v>324</v>
      </c>
      <c r="K144" t="s">
        <v>170</v>
      </c>
      <c r="L144" t="s">
        <v>171</v>
      </c>
      <c r="M144">
        <v>9.2777777777777778E-2</v>
      </c>
      <c r="N144">
        <v>334</v>
      </c>
      <c r="O144">
        <v>0</v>
      </c>
    </row>
    <row r="145" spans="1:17" x14ac:dyDescent="0.35">
      <c r="A145" s="46">
        <v>46123</v>
      </c>
      <c r="B145" t="s">
        <v>136</v>
      </c>
      <c r="C145" t="s">
        <v>335</v>
      </c>
      <c r="D145" t="s">
        <v>385</v>
      </c>
      <c r="E145" t="s">
        <v>321</v>
      </c>
      <c r="F145" t="s">
        <v>322</v>
      </c>
      <c r="G145" t="s">
        <v>322</v>
      </c>
      <c r="H145" t="s">
        <v>322</v>
      </c>
      <c r="I145" t="s">
        <v>323</v>
      </c>
      <c r="J145" t="s">
        <v>324</v>
      </c>
      <c r="K145" t="s">
        <v>170</v>
      </c>
      <c r="L145" t="s">
        <v>171</v>
      </c>
      <c r="M145">
        <v>2.0452777777777778</v>
      </c>
      <c r="N145">
        <v>7363</v>
      </c>
      <c r="O145">
        <v>0</v>
      </c>
    </row>
    <row r="146" spans="1:17" x14ac:dyDescent="0.35">
      <c r="A146" s="46">
        <v>46123</v>
      </c>
      <c r="B146" t="s">
        <v>136</v>
      </c>
      <c r="C146" t="s">
        <v>449</v>
      </c>
      <c r="D146" t="s">
        <v>385</v>
      </c>
      <c r="E146" t="s">
        <v>321</v>
      </c>
      <c r="F146" t="s">
        <v>443</v>
      </c>
      <c r="G146" t="s">
        <v>445</v>
      </c>
      <c r="H146" t="s">
        <v>334</v>
      </c>
      <c r="I146" t="s">
        <v>323</v>
      </c>
      <c r="J146" t="s">
        <v>324</v>
      </c>
      <c r="K146" t="s">
        <v>170</v>
      </c>
      <c r="L146" t="s">
        <v>171</v>
      </c>
      <c r="M146">
        <v>9.8888888888888887E-2</v>
      </c>
      <c r="N146">
        <v>356</v>
      </c>
      <c r="O146">
        <v>0</v>
      </c>
    </row>
    <row r="147" spans="1:17" x14ac:dyDescent="0.35">
      <c r="A147" s="46">
        <v>46123</v>
      </c>
      <c r="B147" t="s">
        <v>136</v>
      </c>
      <c r="C147" t="s">
        <v>449</v>
      </c>
      <c r="D147" t="s">
        <v>385</v>
      </c>
      <c r="E147" t="s">
        <v>321</v>
      </c>
      <c r="F147" t="s">
        <v>443</v>
      </c>
      <c r="G147" t="s">
        <v>445</v>
      </c>
      <c r="H147" t="s">
        <v>331</v>
      </c>
      <c r="I147" t="s">
        <v>323</v>
      </c>
      <c r="J147" t="s">
        <v>324</v>
      </c>
      <c r="K147" t="s">
        <v>170</v>
      </c>
      <c r="L147" t="s">
        <v>171</v>
      </c>
      <c r="M147">
        <v>0.38777777777777778</v>
      </c>
      <c r="N147">
        <v>1396</v>
      </c>
      <c r="O147">
        <v>0</v>
      </c>
    </row>
    <row r="148" spans="1:17" x14ac:dyDescent="0.35">
      <c r="A148" s="46">
        <v>46123</v>
      </c>
      <c r="B148" t="s">
        <v>136</v>
      </c>
      <c r="C148" t="s">
        <v>449</v>
      </c>
      <c r="D148" t="s">
        <v>385</v>
      </c>
      <c r="E148" t="s">
        <v>321</v>
      </c>
      <c r="F148" t="s">
        <v>443</v>
      </c>
      <c r="G148" t="s">
        <v>445</v>
      </c>
      <c r="H148" t="s">
        <v>361</v>
      </c>
      <c r="I148" t="s">
        <v>323</v>
      </c>
      <c r="J148" t="s">
        <v>324</v>
      </c>
      <c r="K148" t="s">
        <v>170</v>
      </c>
      <c r="L148" t="s">
        <v>171</v>
      </c>
      <c r="M148">
        <v>7.2777777777777775E-2</v>
      </c>
      <c r="N148">
        <v>262</v>
      </c>
      <c r="O148">
        <v>0</v>
      </c>
    </row>
    <row r="149" spans="1:17" x14ac:dyDescent="0.35">
      <c r="A149" s="46">
        <v>46123</v>
      </c>
      <c r="B149" t="s">
        <v>136</v>
      </c>
      <c r="C149" t="s">
        <v>335</v>
      </c>
      <c r="D149" t="s">
        <v>385</v>
      </c>
      <c r="E149" t="s">
        <v>321</v>
      </c>
      <c r="F149" t="s">
        <v>443</v>
      </c>
      <c r="G149" t="s">
        <v>445</v>
      </c>
      <c r="H149" t="s">
        <v>361</v>
      </c>
      <c r="I149" t="s">
        <v>323</v>
      </c>
      <c r="J149" t="s">
        <v>324</v>
      </c>
      <c r="K149" t="s">
        <v>170</v>
      </c>
      <c r="L149" t="s">
        <v>171</v>
      </c>
      <c r="M149">
        <v>3.6111111111111108E-2</v>
      </c>
      <c r="N149">
        <v>130</v>
      </c>
      <c r="O149">
        <v>0</v>
      </c>
    </row>
    <row r="150" spans="1:17" x14ac:dyDescent="0.35">
      <c r="A150" s="46">
        <v>46123</v>
      </c>
      <c r="B150" t="s">
        <v>136</v>
      </c>
      <c r="C150" t="s">
        <v>335</v>
      </c>
      <c r="D150" t="s">
        <v>385</v>
      </c>
      <c r="E150" t="s">
        <v>321</v>
      </c>
      <c r="F150" t="s">
        <v>328</v>
      </c>
      <c r="G150" t="s">
        <v>329</v>
      </c>
      <c r="H150" t="s">
        <v>327</v>
      </c>
      <c r="I150" t="s">
        <v>323</v>
      </c>
      <c r="J150" t="s">
        <v>324</v>
      </c>
      <c r="K150" t="s">
        <v>170</v>
      </c>
      <c r="L150" t="s">
        <v>171</v>
      </c>
      <c r="M150">
        <v>0.01</v>
      </c>
      <c r="N150">
        <v>36</v>
      </c>
      <c r="O150">
        <v>0</v>
      </c>
    </row>
    <row r="151" spans="1:17" x14ac:dyDescent="0.35">
      <c r="A151" s="46">
        <v>46123</v>
      </c>
      <c r="B151" t="s">
        <v>136</v>
      </c>
      <c r="C151" t="s">
        <v>449</v>
      </c>
      <c r="D151" t="s">
        <v>385</v>
      </c>
      <c r="E151" t="s">
        <v>321</v>
      </c>
      <c r="F151" t="s">
        <v>443</v>
      </c>
      <c r="G151" t="s">
        <v>445</v>
      </c>
      <c r="H151" t="s">
        <v>334</v>
      </c>
      <c r="I151" t="s">
        <v>323</v>
      </c>
      <c r="J151" t="s">
        <v>324</v>
      </c>
      <c r="K151" t="s">
        <v>178</v>
      </c>
      <c r="L151" t="s">
        <v>179</v>
      </c>
      <c r="M151">
        <v>2.8611111111111111E-2</v>
      </c>
      <c r="N151">
        <v>103</v>
      </c>
      <c r="O151">
        <v>0</v>
      </c>
    </row>
    <row r="152" spans="1:17" x14ac:dyDescent="0.35">
      <c r="A152" s="46">
        <v>46123</v>
      </c>
      <c r="B152" t="s">
        <v>136</v>
      </c>
      <c r="C152" t="s">
        <v>449</v>
      </c>
      <c r="D152" t="s">
        <v>385</v>
      </c>
      <c r="E152" t="s">
        <v>321</v>
      </c>
      <c r="F152" t="s">
        <v>443</v>
      </c>
      <c r="G152" t="s">
        <v>445</v>
      </c>
      <c r="H152" t="s">
        <v>366</v>
      </c>
      <c r="I152" t="s">
        <v>323</v>
      </c>
      <c r="J152" t="s">
        <v>324</v>
      </c>
      <c r="K152" t="s">
        <v>178</v>
      </c>
      <c r="L152" t="s">
        <v>179</v>
      </c>
      <c r="M152">
        <v>3.9166666666666669E-2</v>
      </c>
      <c r="N152">
        <v>141</v>
      </c>
      <c r="O152">
        <v>0</v>
      </c>
    </row>
    <row r="153" spans="1:17" x14ac:dyDescent="0.35">
      <c r="A153" s="46">
        <v>46123</v>
      </c>
      <c r="B153" t="s">
        <v>136</v>
      </c>
      <c r="C153" t="s">
        <v>449</v>
      </c>
      <c r="D153" t="s">
        <v>385</v>
      </c>
      <c r="E153" t="s">
        <v>321</v>
      </c>
      <c r="F153" t="s">
        <v>443</v>
      </c>
      <c r="G153" t="s">
        <v>445</v>
      </c>
      <c r="H153" t="s">
        <v>331</v>
      </c>
      <c r="I153" t="s">
        <v>323</v>
      </c>
      <c r="J153" t="s">
        <v>324</v>
      </c>
      <c r="K153" t="s">
        <v>178</v>
      </c>
      <c r="L153" t="s">
        <v>179</v>
      </c>
      <c r="M153">
        <v>3.0833333333333334E-2</v>
      </c>
      <c r="N153">
        <v>111</v>
      </c>
      <c r="O153">
        <v>0</v>
      </c>
    </row>
    <row r="154" spans="1:17" x14ac:dyDescent="0.35">
      <c r="A154" s="46">
        <v>46123</v>
      </c>
      <c r="B154" t="s">
        <v>136</v>
      </c>
      <c r="C154" t="s">
        <v>335</v>
      </c>
      <c r="D154" t="s">
        <v>385</v>
      </c>
      <c r="E154" t="s">
        <v>321</v>
      </c>
      <c r="F154" t="s">
        <v>443</v>
      </c>
      <c r="G154" t="s">
        <v>445</v>
      </c>
      <c r="H154" t="s">
        <v>331</v>
      </c>
      <c r="I154" t="s">
        <v>323</v>
      </c>
      <c r="J154" t="s">
        <v>324</v>
      </c>
      <c r="K154" t="s">
        <v>178</v>
      </c>
      <c r="L154" t="s">
        <v>179</v>
      </c>
      <c r="M154">
        <v>1.1666666666666667E-2</v>
      </c>
      <c r="N154">
        <v>42</v>
      </c>
      <c r="O154">
        <v>0</v>
      </c>
    </row>
    <row r="155" spans="1:17" x14ac:dyDescent="0.35">
      <c r="A155" s="46">
        <v>46123</v>
      </c>
      <c r="B155" t="s">
        <v>136</v>
      </c>
      <c r="C155" t="s">
        <v>319</v>
      </c>
      <c r="D155" t="s">
        <v>391</v>
      </c>
      <c r="E155" t="s">
        <v>364</v>
      </c>
      <c r="F155" t="s">
        <v>82</v>
      </c>
      <c r="G155" t="s">
        <v>368</v>
      </c>
      <c r="H155" t="s">
        <v>327</v>
      </c>
      <c r="I155" t="s">
        <v>323</v>
      </c>
      <c r="J155" t="s">
        <v>324</v>
      </c>
      <c r="K155" t="s">
        <v>188</v>
      </c>
      <c r="L155" t="s">
        <v>189</v>
      </c>
      <c r="M155">
        <v>3.9444444444444442E-2</v>
      </c>
      <c r="N155">
        <v>142</v>
      </c>
    </row>
    <row r="156" spans="1:17" x14ac:dyDescent="0.35">
      <c r="A156" s="46">
        <v>46123</v>
      </c>
      <c r="B156" t="s">
        <v>136</v>
      </c>
      <c r="C156" t="s">
        <v>319</v>
      </c>
      <c r="D156" t="s">
        <v>391</v>
      </c>
      <c r="E156" t="s">
        <v>364</v>
      </c>
      <c r="F156" t="s">
        <v>322</v>
      </c>
      <c r="G156" t="s">
        <v>322</v>
      </c>
      <c r="H156" t="s">
        <v>322</v>
      </c>
      <c r="I156" t="s">
        <v>323</v>
      </c>
      <c r="J156" t="s">
        <v>324</v>
      </c>
      <c r="K156" t="s">
        <v>188</v>
      </c>
      <c r="L156" t="s">
        <v>189</v>
      </c>
      <c r="M156">
        <v>6.1388888888888889E-2</v>
      </c>
      <c r="N156">
        <v>221</v>
      </c>
      <c r="O156">
        <v>0</v>
      </c>
    </row>
    <row r="157" spans="1:17" x14ac:dyDescent="0.35">
      <c r="A157" s="46">
        <v>46123</v>
      </c>
      <c r="B157" t="s">
        <v>136</v>
      </c>
      <c r="C157" t="s">
        <v>319</v>
      </c>
      <c r="D157" t="s">
        <v>391</v>
      </c>
      <c r="E157" t="s">
        <v>364</v>
      </c>
      <c r="F157" t="s">
        <v>82</v>
      </c>
      <c r="G157" t="s">
        <v>368</v>
      </c>
      <c r="H157" t="s">
        <v>331</v>
      </c>
      <c r="I157" t="s">
        <v>323</v>
      </c>
      <c r="J157" t="s">
        <v>324</v>
      </c>
      <c r="K157" t="s">
        <v>188</v>
      </c>
      <c r="L157" t="s">
        <v>189</v>
      </c>
      <c r="M157">
        <v>2.507222222222222</v>
      </c>
      <c r="N157">
        <v>9026</v>
      </c>
      <c r="O157">
        <v>0</v>
      </c>
    </row>
    <row r="158" spans="1:17" x14ac:dyDescent="0.35">
      <c r="A158" s="46">
        <v>46123</v>
      </c>
      <c r="B158" t="s">
        <v>136</v>
      </c>
      <c r="C158" t="s">
        <v>319</v>
      </c>
      <c r="D158" t="s">
        <v>391</v>
      </c>
      <c r="E158" t="s">
        <v>364</v>
      </c>
      <c r="F158" t="s">
        <v>322</v>
      </c>
      <c r="G158" t="s">
        <v>322</v>
      </c>
      <c r="H158" t="s">
        <v>322</v>
      </c>
      <c r="I158" t="s">
        <v>323</v>
      </c>
      <c r="J158" t="s">
        <v>324</v>
      </c>
      <c r="K158" t="s">
        <v>345</v>
      </c>
      <c r="L158" t="s">
        <v>346</v>
      </c>
      <c r="M158">
        <v>0.02</v>
      </c>
      <c r="N158">
        <v>72</v>
      </c>
      <c r="O158">
        <v>233.86</v>
      </c>
      <c r="P158">
        <v>3.2480555555555557</v>
      </c>
      <c r="Q158">
        <v>72</v>
      </c>
    </row>
    <row r="159" spans="1:17" x14ac:dyDescent="0.35">
      <c r="A159" s="46">
        <v>46123</v>
      </c>
      <c r="B159" t="s">
        <v>136</v>
      </c>
      <c r="C159" t="s">
        <v>319</v>
      </c>
      <c r="D159" t="s">
        <v>391</v>
      </c>
      <c r="E159" t="s">
        <v>364</v>
      </c>
      <c r="F159" t="s">
        <v>82</v>
      </c>
      <c r="G159" t="s">
        <v>368</v>
      </c>
      <c r="H159" t="s">
        <v>327</v>
      </c>
      <c r="I159" t="s">
        <v>323</v>
      </c>
      <c r="J159" t="s">
        <v>324</v>
      </c>
      <c r="K159" t="s">
        <v>345</v>
      </c>
      <c r="L159" t="s">
        <v>346</v>
      </c>
      <c r="M159">
        <v>0.22888888888888889</v>
      </c>
      <c r="N159">
        <v>824</v>
      </c>
      <c r="O159">
        <v>2928.85</v>
      </c>
      <c r="P159">
        <v>3.5544296116504852</v>
      </c>
      <c r="Q159">
        <v>824</v>
      </c>
    </row>
    <row r="160" spans="1:17" x14ac:dyDescent="0.35">
      <c r="A160" s="46">
        <v>46123</v>
      </c>
      <c r="B160" t="s">
        <v>136</v>
      </c>
      <c r="C160" t="s">
        <v>319</v>
      </c>
      <c r="D160" t="s">
        <v>391</v>
      </c>
      <c r="E160" t="s">
        <v>364</v>
      </c>
      <c r="F160" t="s">
        <v>82</v>
      </c>
      <c r="G160" t="s">
        <v>368</v>
      </c>
      <c r="H160" t="s">
        <v>369</v>
      </c>
      <c r="I160" t="s">
        <v>323</v>
      </c>
      <c r="J160" t="s">
        <v>324</v>
      </c>
      <c r="K160" t="s">
        <v>345</v>
      </c>
      <c r="L160" t="s">
        <v>346</v>
      </c>
      <c r="M160">
        <v>0.46305555555555555</v>
      </c>
      <c r="N160">
        <v>1667</v>
      </c>
      <c r="O160">
        <v>6015.9</v>
      </c>
      <c r="P160">
        <v>3.6088182363527292</v>
      </c>
      <c r="Q160">
        <v>1667</v>
      </c>
    </row>
    <row r="161" spans="1:17" x14ac:dyDescent="0.35">
      <c r="A161" s="46">
        <v>46123</v>
      </c>
      <c r="B161" t="s">
        <v>136</v>
      </c>
      <c r="C161" t="s">
        <v>319</v>
      </c>
      <c r="D161" t="s">
        <v>391</v>
      </c>
      <c r="E161" t="s">
        <v>364</v>
      </c>
      <c r="F161" t="s">
        <v>82</v>
      </c>
      <c r="G161" t="s">
        <v>368</v>
      </c>
      <c r="H161" t="s">
        <v>371</v>
      </c>
      <c r="I161" t="s">
        <v>323</v>
      </c>
      <c r="J161" t="s">
        <v>324</v>
      </c>
      <c r="K161" t="s">
        <v>142</v>
      </c>
      <c r="L161" t="s">
        <v>143</v>
      </c>
      <c r="M161">
        <v>8.8888888888888889E-3</v>
      </c>
      <c r="N161">
        <v>32</v>
      </c>
      <c r="O161">
        <v>112</v>
      </c>
      <c r="P161">
        <v>3.5</v>
      </c>
      <c r="Q161">
        <v>32</v>
      </c>
    </row>
    <row r="162" spans="1:17" x14ac:dyDescent="0.35">
      <c r="A162" s="46">
        <v>46123</v>
      </c>
      <c r="B162" t="s">
        <v>136</v>
      </c>
      <c r="C162" t="s">
        <v>319</v>
      </c>
      <c r="D162" t="s">
        <v>391</v>
      </c>
      <c r="E162" t="s">
        <v>364</v>
      </c>
      <c r="F162" t="s">
        <v>82</v>
      </c>
      <c r="G162" t="s">
        <v>368</v>
      </c>
      <c r="H162" t="s">
        <v>331</v>
      </c>
      <c r="I162" t="s">
        <v>323</v>
      </c>
      <c r="J162" t="s">
        <v>324</v>
      </c>
      <c r="K162" t="s">
        <v>142</v>
      </c>
      <c r="L162" t="s">
        <v>143</v>
      </c>
      <c r="M162">
        <v>2.8055555555555556E-2</v>
      </c>
      <c r="N162">
        <v>101</v>
      </c>
      <c r="O162">
        <v>434.29999999999995</v>
      </c>
      <c r="P162">
        <v>4.3</v>
      </c>
      <c r="Q162">
        <v>101</v>
      </c>
    </row>
    <row r="163" spans="1:17" x14ac:dyDescent="0.35">
      <c r="A163" s="46">
        <v>46123</v>
      </c>
      <c r="B163" t="s">
        <v>136</v>
      </c>
      <c r="C163" t="s">
        <v>319</v>
      </c>
      <c r="D163" t="s">
        <v>391</v>
      </c>
      <c r="E163" t="s">
        <v>364</v>
      </c>
      <c r="F163" t="s">
        <v>82</v>
      </c>
      <c r="G163" t="s">
        <v>368</v>
      </c>
      <c r="H163" t="s">
        <v>327</v>
      </c>
      <c r="I163" t="s">
        <v>323</v>
      </c>
      <c r="J163" t="s">
        <v>324</v>
      </c>
      <c r="K163" t="s">
        <v>142</v>
      </c>
      <c r="L163" t="s">
        <v>143</v>
      </c>
      <c r="M163">
        <v>7.0833333333333331E-2</v>
      </c>
      <c r="N163">
        <v>255</v>
      </c>
      <c r="O163">
        <v>849.15</v>
      </c>
      <c r="P163">
        <v>3.33</v>
      </c>
      <c r="Q163">
        <v>255</v>
      </c>
    </row>
    <row r="164" spans="1:17" x14ac:dyDescent="0.35">
      <c r="A164" s="46">
        <v>46123</v>
      </c>
      <c r="B164" t="s">
        <v>136</v>
      </c>
      <c r="C164" t="s">
        <v>319</v>
      </c>
      <c r="D164" t="s">
        <v>391</v>
      </c>
      <c r="E164" t="s">
        <v>364</v>
      </c>
      <c r="F164" t="s">
        <v>82</v>
      </c>
      <c r="G164" t="s">
        <v>368</v>
      </c>
      <c r="H164" t="s">
        <v>369</v>
      </c>
      <c r="I164" t="s">
        <v>323</v>
      </c>
      <c r="J164" t="s">
        <v>324</v>
      </c>
      <c r="K164" t="s">
        <v>142</v>
      </c>
      <c r="L164" t="s">
        <v>143</v>
      </c>
      <c r="M164">
        <v>0.14472222222222222</v>
      </c>
      <c r="N164">
        <v>521</v>
      </c>
      <c r="O164">
        <v>2438.04</v>
      </c>
      <c r="P164">
        <v>4.6795393474088289</v>
      </c>
      <c r="Q164">
        <v>521</v>
      </c>
    </row>
    <row r="165" spans="1:17" x14ac:dyDescent="0.35">
      <c r="A165" s="46">
        <v>46123</v>
      </c>
      <c r="B165" t="s">
        <v>136</v>
      </c>
      <c r="C165" t="s">
        <v>319</v>
      </c>
      <c r="D165" t="s">
        <v>391</v>
      </c>
      <c r="E165" t="s">
        <v>364</v>
      </c>
      <c r="F165" t="s">
        <v>322</v>
      </c>
      <c r="G165" t="s">
        <v>322</v>
      </c>
      <c r="H165" t="s">
        <v>322</v>
      </c>
      <c r="I165" t="s">
        <v>323</v>
      </c>
      <c r="J165" t="s">
        <v>324</v>
      </c>
      <c r="K165" t="s">
        <v>142</v>
      </c>
      <c r="L165" t="s">
        <v>143</v>
      </c>
      <c r="M165">
        <v>0.23138888888888889</v>
      </c>
      <c r="N165">
        <v>833</v>
      </c>
      <c r="O165">
        <v>3673.3</v>
      </c>
      <c r="P165">
        <v>4.4097238895558224</v>
      </c>
      <c r="Q165">
        <v>833</v>
      </c>
    </row>
    <row r="166" spans="1:17" x14ac:dyDescent="0.35">
      <c r="A166" s="46">
        <v>46123</v>
      </c>
      <c r="B166" t="s">
        <v>136</v>
      </c>
      <c r="C166" t="s">
        <v>319</v>
      </c>
      <c r="D166" t="s">
        <v>391</v>
      </c>
      <c r="E166" t="s">
        <v>364</v>
      </c>
      <c r="F166" t="s">
        <v>82</v>
      </c>
      <c r="G166" t="s">
        <v>368</v>
      </c>
      <c r="H166" t="s">
        <v>366</v>
      </c>
      <c r="I166" t="s">
        <v>323</v>
      </c>
      <c r="J166" t="s">
        <v>324</v>
      </c>
      <c r="K166" t="s">
        <v>142</v>
      </c>
      <c r="L166" t="s">
        <v>143</v>
      </c>
      <c r="M166">
        <v>0.26333333333333331</v>
      </c>
      <c r="N166">
        <v>948</v>
      </c>
      <c r="O166">
        <v>5080.7000000000007</v>
      </c>
      <c r="P166">
        <v>5.3593881856540095</v>
      </c>
      <c r="Q166">
        <v>948</v>
      </c>
    </row>
    <row r="167" spans="1:17" x14ac:dyDescent="0.35">
      <c r="A167" s="46">
        <v>46123</v>
      </c>
      <c r="B167" t="s">
        <v>136</v>
      </c>
      <c r="C167" t="s">
        <v>319</v>
      </c>
      <c r="D167" t="s">
        <v>391</v>
      </c>
      <c r="E167" t="s">
        <v>364</v>
      </c>
      <c r="F167" t="s">
        <v>82</v>
      </c>
      <c r="G167" t="s">
        <v>368</v>
      </c>
      <c r="H167" t="s">
        <v>371</v>
      </c>
      <c r="I167" t="s">
        <v>323</v>
      </c>
      <c r="J167" t="s">
        <v>324</v>
      </c>
      <c r="K167" t="s">
        <v>348</v>
      </c>
      <c r="L167" t="s">
        <v>349</v>
      </c>
      <c r="M167">
        <v>6.5555555555555561E-2</v>
      </c>
      <c r="N167">
        <v>236</v>
      </c>
    </row>
    <row r="168" spans="1:17" x14ac:dyDescent="0.35">
      <c r="A168" s="46">
        <v>46123</v>
      </c>
      <c r="B168" t="s">
        <v>136</v>
      </c>
      <c r="C168" t="s">
        <v>319</v>
      </c>
      <c r="D168" t="s">
        <v>391</v>
      </c>
      <c r="E168" t="s">
        <v>364</v>
      </c>
      <c r="F168" t="s">
        <v>322</v>
      </c>
      <c r="G168" t="s">
        <v>322</v>
      </c>
      <c r="H168" t="s">
        <v>322</v>
      </c>
      <c r="I168" t="s">
        <v>323</v>
      </c>
      <c r="J168" t="s">
        <v>324</v>
      </c>
      <c r="K168" t="s">
        <v>348</v>
      </c>
      <c r="L168" t="s">
        <v>349</v>
      </c>
      <c r="M168">
        <v>0.42444444444444446</v>
      </c>
      <c r="N168">
        <v>1528</v>
      </c>
      <c r="O168">
        <v>0</v>
      </c>
    </row>
    <row r="169" spans="1:17" x14ac:dyDescent="0.35">
      <c r="A169" s="46">
        <v>46123</v>
      </c>
      <c r="B169" t="s">
        <v>136</v>
      </c>
      <c r="C169" t="s">
        <v>319</v>
      </c>
      <c r="D169" t="s">
        <v>391</v>
      </c>
      <c r="E169" t="s">
        <v>364</v>
      </c>
      <c r="F169" t="s">
        <v>82</v>
      </c>
      <c r="G169" t="s">
        <v>368</v>
      </c>
      <c r="H169" t="s">
        <v>327</v>
      </c>
      <c r="I169" t="s">
        <v>323</v>
      </c>
      <c r="J169" t="s">
        <v>324</v>
      </c>
      <c r="K169" t="s">
        <v>348</v>
      </c>
      <c r="L169" t="s">
        <v>349</v>
      </c>
      <c r="M169">
        <v>0.25527777777777777</v>
      </c>
      <c r="N169">
        <v>919</v>
      </c>
      <c r="O169">
        <v>0</v>
      </c>
    </row>
    <row r="170" spans="1:17" x14ac:dyDescent="0.35">
      <c r="A170" s="46">
        <v>46123</v>
      </c>
      <c r="B170" t="s">
        <v>136</v>
      </c>
      <c r="C170" t="s">
        <v>319</v>
      </c>
      <c r="D170" t="s">
        <v>391</v>
      </c>
      <c r="E170" t="s">
        <v>364</v>
      </c>
      <c r="F170" t="s">
        <v>82</v>
      </c>
      <c r="G170" t="s">
        <v>368</v>
      </c>
      <c r="H170" t="s">
        <v>369</v>
      </c>
      <c r="I170" t="s">
        <v>323</v>
      </c>
      <c r="J170" t="s">
        <v>324</v>
      </c>
      <c r="K170" t="s">
        <v>348</v>
      </c>
      <c r="L170" t="s">
        <v>349</v>
      </c>
      <c r="M170">
        <v>0.48805555555555558</v>
      </c>
      <c r="N170">
        <v>1757</v>
      </c>
      <c r="O170">
        <v>0</v>
      </c>
    </row>
    <row r="171" spans="1:17" x14ac:dyDescent="0.35">
      <c r="A171" s="46">
        <v>46123</v>
      </c>
      <c r="B171" t="s">
        <v>136</v>
      </c>
      <c r="C171" t="s">
        <v>319</v>
      </c>
      <c r="D171" t="s">
        <v>391</v>
      </c>
      <c r="E171" t="s">
        <v>364</v>
      </c>
      <c r="F171" t="s">
        <v>322</v>
      </c>
      <c r="G171" t="s">
        <v>322</v>
      </c>
      <c r="H171" t="s">
        <v>322</v>
      </c>
      <c r="I171" t="s">
        <v>323</v>
      </c>
      <c r="J171" t="s">
        <v>324</v>
      </c>
      <c r="K171" t="s">
        <v>350</v>
      </c>
      <c r="L171" t="s">
        <v>351</v>
      </c>
      <c r="M171">
        <v>3.0277777777777778E-2</v>
      </c>
      <c r="N171">
        <v>109</v>
      </c>
      <c r="O171">
        <v>398.16999999999996</v>
      </c>
      <c r="P171">
        <v>3.6529357798165134</v>
      </c>
      <c r="Q171">
        <v>109</v>
      </c>
    </row>
    <row r="172" spans="1:17" x14ac:dyDescent="0.35">
      <c r="A172" s="46">
        <v>46123</v>
      </c>
      <c r="B172" t="s">
        <v>136</v>
      </c>
      <c r="C172" t="s">
        <v>319</v>
      </c>
      <c r="D172" t="s">
        <v>391</v>
      </c>
      <c r="E172" t="s">
        <v>364</v>
      </c>
      <c r="F172" t="s">
        <v>82</v>
      </c>
      <c r="G172" t="s">
        <v>368</v>
      </c>
      <c r="H172" t="s">
        <v>327</v>
      </c>
      <c r="I172" t="s">
        <v>323</v>
      </c>
      <c r="J172" t="s">
        <v>324</v>
      </c>
      <c r="K172" t="s">
        <v>350</v>
      </c>
      <c r="L172" t="s">
        <v>351</v>
      </c>
      <c r="M172">
        <v>7.0277777777777772E-2</v>
      </c>
      <c r="N172">
        <v>253</v>
      </c>
      <c r="O172">
        <v>821.72</v>
      </c>
      <c r="P172">
        <v>3.2479051383399211</v>
      </c>
      <c r="Q172">
        <v>253</v>
      </c>
    </row>
    <row r="173" spans="1:17" x14ac:dyDescent="0.35">
      <c r="A173" s="46">
        <v>46123</v>
      </c>
      <c r="B173" t="s">
        <v>136</v>
      </c>
      <c r="C173" t="s">
        <v>319</v>
      </c>
      <c r="D173" t="s">
        <v>391</v>
      </c>
      <c r="E173" t="s">
        <v>364</v>
      </c>
      <c r="F173" t="s">
        <v>82</v>
      </c>
      <c r="G173" t="s">
        <v>368</v>
      </c>
      <c r="H173" t="s">
        <v>369</v>
      </c>
      <c r="I173" t="s">
        <v>323</v>
      </c>
      <c r="J173" t="s">
        <v>324</v>
      </c>
      <c r="K173" t="s">
        <v>350</v>
      </c>
      <c r="L173" t="s">
        <v>351</v>
      </c>
      <c r="M173">
        <v>0.21611111111111111</v>
      </c>
      <c r="N173">
        <v>778</v>
      </c>
      <c r="O173">
        <v>1536.75</v>
      </c>
      <c r="P173">
        <v>1.9752570694087404</v>
      </c>
      <c r="Q173">
        <v>778</v>
      </c>
    </row>
    <row r="174" spans="1:17" x14ac:dyDescent="0.35">
      <c r="A174" s="46">
        <v>46123</v>
      </c>
      <c r="B174" t="s">
        <v>136</v>
      </c>
      <c r="C174" t="s">
        <v>319</v>
      </c>
      <c r="D174" t="s">
        <v>391</v>
      </c>
      <c r="E174" t="s">
        <v>364</v>
      </c>
      <c r="F174" t="s">
        <v>322</v>
      </c>
      <c r="G174" t="s">
        <v>322</v>
      </c>
      <c r="H174" t="s">
        <v>322</v>
      </c>
      <c r="I174" t="s">
        <v>323</v>
      </c>
      <c r="J174" t="s">
        <v>324</v>
      </c>
      <c r="K174" t="s">
        <v>170</v>
      </c>
      <c r="L174" t="s">
        <v>171</v>
      </c>
      <c r="M174">
        <v>6.0530555555555559</v>
      </c>
      <c r="N174">
        <v>21791</v>
      </c>
      <c r="O174">
        <v>0</v>
      </c>
    </row>
    <row r="175" spans="1:17" x14ac:dyDescent="0.35">
      <c r="A175" s="46">
        <v>46123</v>
      </c>
      <c r="B175" t="s">
        <v>136</v>
      </c>
      <c r="C175" t="s">
        <v>319</v>
      </c>
      <c r="D175" t="s">
        <v>391</v>
      </c>
      <c r="E175" t="s">
        <v>364</v>
      </c>
      <c r="F175" t="s">
        <v>82</v>
      </c>
      <c r="G175" t="s">
        <v>368</v>
      </c>
      <c r="H175" t="s">
        <v>371</v>
      </c>
      <c r="I175" t="s">
        <v>323</v>
      </c>
      <c r="J175" t="s">
        <v>324</v>
      </c>
      <c r="K175" t="s">
        <v>170</v>
      </c>
      <c r="L175" t="s">
        <v>171</v>
      </c>
      <c r="M175">
        <v>0.255</v>
      </c>
      <c r="N175">
        <v>918</v>
      </c>
      <c r="O175">
        <v>0</v>
      </c>
    </row>
    <row r="176" spans="1:17" x14ac:dyDescent="0.35">
      <c r="A176" s="46">
        <v>46123</v>
      </c>
      <c r="B176" t="s">
        <v>136</v>
      </c>
      <c r="C176" t="s">
        <v>319</v>
      </c>
      <c r="D176" t="s">
        <v>391</v>
      </c>
      <c r="E176" t="s">
        <v>364</v>
      </c>
      <c r="F176" t="s">
        <v>82</v>
      </c>
      <c r="G176" t="s">
        <v>368</v>
      </c>
      <c r="H176" t="s">
        <v>331</v>
      </c>
      <c r="I176" t="s">
        <v>323</v>
      </c>
      <c r="J176" t="s">
        <v>324</v>
      </c>
      <c r="K176" t="s">
        <v>170</v>
      </c>
      <c r="L176" t="s">
        <v>171</v>
      </c>
      <c r="M176">
        <v>12.0025</v>
      </c>
      <c r="N176">
        <v>43209</v>
      </c>
      <c r="O176">
        <v>0</v>
      </c>
    </row>
    <row r="177" spans="1:17" x14ac:dyDescent="0.35">
      <c r="A177" s="46">
        <v>46123</v>
      </c>
      <c r="B177" t="s">
        <v>136</v>
      </c>
      <c r="C177" t="s">
        <v>319</v>
      </c>
      <c r="D177" t="s">
        <v>391</v>
      </c>
      <c r="E177" t="s">
        <v>364</v>
      </c>
      <c r="F177" t="s">
        <v>82</v>
      </c>
      <c r="G177" t="s">
        <v>368</v>
      </c>
      <c r="H177" t="s">
        <v>327</v>
      </c>
      <c r="I177" t="s">
        <v>323</v>
      </c>
      <c r="J177" t="s">
        <v>324</v>
      </c>
      <c r="K177" t="s">
        <v>178</v>
      </c>
      <c r="L177" t="s">
        <v>179</v>
      </c>
      <c r="M177">
        <v>7.2222222222222215E-2</v>
      </c>
      <c r="N177">
        <v>260</v>
      </c>
      <c r="O177">
        <v>0</v>
      </c>
    </row>
    <row r="178" spans="1:17" x14ac:dyDescent="0.35">
      <c r="A178" s="46">
        <v>46123</v>
      </c>
      <c r="B178" t="s">
        <v>136</v>
      </c>
      <c r="C178" t="s">
        <v>450</v>
      </c>
      <c r="D178" t="s">
        <v>396</v>
      </c>
      <c r="E178" t="s">
        <v>364</v>
      </c>
      <c r="F178" t="s">
        <v>82</v>
      </c>
      <c r="G178" t="s">
        <v>368</v>
      </c>
      <c r="H178" t="s">
        <v>371</v>
      </c>
      <c r="I178" t="s">
        <v>323</v>
      </c>
      <c r="J178" t="s">
        <v>324</v>
      </c>
      <c r="K178" t="s">
        <v>168</v>
      </c>
      <c r="L178" t="s">
        <v>169</v>
      </c>
      <c r="M178">
        <v>0.27583333333333332</v>
      </c>
      <c r="N178">
        <v>993</v>
      </c>
      <c r="O178">
        <v>0</v>
      </c>
    </row>
    <row r="179" spans="1:17" x14ac:dyDescent="0.35">
      <c r="A179" s="46">
        <v>46123</v>
      </c>
      <c r="B179" t="s">
        <v>136</v>
      </c>
      <c r="C179" t="s">
        <v>319</v>
      </c>
      <c r="D179" t="s">
        <v>396</v>
      </c>
      <c r="E179" t="s">
        <v>364</v>
      </c>
      <c r="F179" t="s">
        <v>82</v>
      </c>
      <c r="G179" t="s">
        <v>368</v>
      </c>
      <c r="H179" t="s">
        <v>366</v>
      </c>
      <c r="I179" t="s">
        <v>323</v>
      </c>
      <c r="J179" t="s">
        <v>324</v>
      </c>
      <c r="K179" t="s">
        <v>345</v>
      </c>
      <c r="L179" t="s">
        <v>346</v>
      </c>
      <c r="M179">
        <v>4.4444444444444444E-3</v>
      </c>
      <c r="N179">
        <v>16</v>
      </c>
      <c r="O179">
        <v>38.72</v>
      </c>
      <c r="P179">
        <v>2.42</v>
      </c>
      <c r="Q179">
        <v>16</v>
      </c>
    </row>
    <row r="180" spans="1:17" x14ac:dyDescent="0.35">
      <c r="A180" s="46">
        <v>46123</v>
      </c>
      <c r="B180" t="s">
        <v>136</v>
      </c>
      <c r="C180" t="s">
        <v>319</v>
      </c>
      <c r="D180" t="s">
        <v>396</v>
      </c>
      <c r="E180" t="s">
        <v>364</v>
      </c>
      <c r="F180" t="s">
        <v>82</v>
      </c>
      <c r="G180" t="s">
        <v>368</v>
      </c>
      <c r="H180" t="s">
        <v>323</v>
      </c>
      <c r="I180" t="s">
        <v>323</v>
      </c>
      <c r="J180" t="s">
        <v>324</v>
      </c>
      <c r="K180" t="s">
        <v>345</v>
      </c>
      <c r="L180" t="s">
        <v>346</v>
      </c>
      <c r="M180">
        <v>0.01</v>
      </c>
      <c r="N180">
        <v>36</v>
      </c>
      <c r="O180">
        <v>114.48</v>
      </c>
      <c r="P180">
        <v>3.18</v>
      </c>
      <c r="Q180">
        <v>36</v>
      </c>
    </row>
    <row r="181" spans="1:17" x14ac:dyDescent="0.35">
      <c r="A181" s="46">
        <v>46123</v>
      </c>
      <c r="B181" t="s">
        <v>136</v>
      </c>
      <c r="C181" t="s">
        <v>451</v>
      </c>
      <c r="D181" t="s">
        <v>396</v>
      </c>
      <c r="E181" t="s">
        <v>364</v>
      </c>
      <c r="F181" t="s">
        <v>82</v>
      </c>
      <c r="G181" t="s">
        <v>368</v>
      </c>
      <c r="H181" t="s">
        <v>327</v>
      </c>
      <c r="I181" t="s">
        <v>323</v>
      </c>
      <c r="J181" t="s">
        <v>324</v>
      </c>
      <c r="K181" t="s">
        <v>345</v>
      </c>
      <c r="L181" t="s">
        <v>346</v>
      </c>
      <c r="M181">
        <v>5.4444444444444441E-2</v>
      </c>
      <c r="N181">
        <v>196</v>
      </c>
      <c r="O181">
        <v>627.20000000000005</v>
      </c>
      <c r="P181">
        <v>3.2</v>
      </c>
      <c r="Q181">
        <v>196</v>
      </c>
    </row>
    <row r="182" spans="1:17" x14ac:dyDescent="0.35">
      <c r="A182" s="46">
        <v>46123</v>
      </c>
      <c r="B182" t="s">
        <v>136</v>
      </c>
      <c r="C182" t="s">
        <v>450</v>
      </c>
      <c r="D182" t="s">
        <v>396</v>
      </c>
      <c r="E182" t="s">
        <v>364</v>
      </c>
      <c r="F182" t="s">
        <v>322</v>
      </c>
      <c r="G182" t="s">
        <v>322</v>
      </c>
      <c r="H182" t="s">
        <v>322</v>
      </c>
      <c r="I182" t="s">
        <v>323</v>
      </c>
      <c r="J182" t="s">
        <v>324</v>
      </c>
      <c r="K182" t="s">
        <v>345</v>
      </c>
      <c r="L182" t="s">
        <v>346</v>
      </c>
      <c r="M182">
        <v>0.12472222222222222</v>
      </c>
      <c r="N182">
        <v>449</v>
      </c>
      <c r="O182">
        <v>1805.02</v>
      </c>
      <c r="P182">
        <v>4.0200890868596879</v>
      </c>
      <c r="Q182">
        <v>449</v>
      </c>
    </row>
    <row r="183" spans="1:17" x14ac:dyDescent="0.35">
      <c r="A183" s="46">
        <v>46123</v>
      </c>
      <c r="B183" t="s">
        <v>136</v>
      </c>
      <c r="C183" t="s">
        <v>450</v>
      </c>
      <c r="D183" t="s">
        <v>396</v>
      </c>
      <c r="E183" t="s">
        <v>364</v>
      </c>
      <c r="F183" t="s">
        <v>82</v>
      </c>
      <c r="G183" t="s">
        <v>368</v>
      </c>
      <c r="H183" t="s">
        <v>327</v>
      </c>
      <c r="I183" t="s">
        <v>323</v>
      </c>
      <c r="J183" t="s">
        <v>324</v>
      </c>
      <c r="K183" t="s">
        <v>345</v>
      </c>
      <c r="L183" t="s">
        <v>346</v>
      </c>
      <c r="M183">
        <v>0.24694444444444444</v>
      </c>
      <c r="N183">
        <v>889</v>
      </c>
      <c r="O183">
        <v>3646.2200000000003</v>
      </c>
      <c r="P183">
        <v>4.1014848143982006</v>
      </c>
      <c r="Q183">
        <v>889</v>
      </c>
    </row>
    <row r="184" spans="1:17" x14ac:dyDescent="0.35">
      <c r="A184" s="46">
        <v>46123</v>
      </c>
      <c r="B184" t="s">
        <v>136</v>
      </c>
      <c r="C184" t="s">
        <v>319</v>
      </c>
      <c r="D184" t="s">
        <v>396</v>
      </c>
      <c r="E184" t="s">
        <v>364</v>
      </c>
      <c r="F184" t="s">
        <v>322</v>
      </c>
      <c r="G184" t="s">
        <v>322</v>
      </c>
      <c r="H184" t="s">
        <v>322</v>
      </c>
      <c r="I184" t="s">
        <v>323</v>
      </c>
      <c r="J184" t="s">
        <v>324</v>
      </c>
      <c r="K184" t="s">
        <v>345</v>
      </c>
      <c r="L184" t="s">
        <v>346</v>
      </c>
      <c r="M184">
        <v>0.29055555555555557</v>
      </c>
      <c r="N184">
        <v>1046</v>
      </c>
      <c r="O184">
        <v>5161.43</v>
      </c>
      <c r="P184">
        <v>4.9344455066921613</v>
      </c>
      <c r="Q184">
        <v>1046</v>
      </c>
    </row>
    <row r="185" spans="1:17" x14ac:dyDescent="0.35">
      <c r="A185" s="46">
        <v>46123</v>
      </c>
      <c r="B185" t="s">
        <v>136</v>
      </c>
      <c r="C185" t="s">
        <v>450</v>
      </c>
      <c r="D185" t="s">
        <v>396</v>
      </c>
      <c r="E185" t="s">
        <v>364</v>
      </c>
      <c r="F185" t="s">
        <v>82</v>
      </c>
      <c r="G185" t="s">
        <v>368</v>
      </c>
      <c r="H185" t="s">
        <v>369</v>
      </c>
      <c r="I185" t="s">
        <v>323</v>
      </c>
      <c r="J185" t="s">
        <v>324</v>
      </c>
      <c r="K185" t="s">
        <v>345</v>
      </c>
      <c r="L185" t="s">
        <v>346</v>
      </c>
      <c r="M185">
        <v>0.86611111111111116</v>
      </c>
      <c r="N185">
        <v>3118</v>
      </c>
      <c r="O185">
        <v>12114.08</v>
      </c>
      <c r="P185">
        <v>3.8852084669660036</v>
      </c>
      <c r="Q185">
        <v>3118</v>
      </c>
    </row>
    <row r="186" spans="1:17" x14ac:dyDescent="0.35">
      <c r="A186" s="46">
        <v>46123</v>
      </c>
      <c r="B186" t="s">
        <v>136</v>
      </c>
      <c r="C186" t="s">
        <v>450</v>
      </c>
      <c r="D186" t="s">
        <v>396</v>
      </c>
      <c r="E186" t="s">
        <v>364</v>
      </c>
      <c r="F186" t="s">
        <v>82</v>
      </c>
      <c r="G186" t="s">
        <v>368</v>
      </c>
      <c r="H186" t="s">
        <v>323</v>
      </c>
      <c r="I186" t="s">
        <v>323</v>
      </c>
      <c r="J186" t="s">
        <v>324</v>
      </c>
      <c r="K186" t="s">
        <v>345</v>
      </c>
      <c r="L186" t="s">
        <v>346</v>
      </c>
      <c r="M186">
        <v>1.0694444444444444</v>
      </c>
      <c r="N186">
        <v>3850</v>
      </c>
      <c r="O186">
        <v>16129.68</v>
      </c>
      <c r="P186">
        <v>4.1895272727272728</v>
      </c>
      <c r="Q186">
        <v>3850</v>
      </c>
    </row>
    <row r="187" spans="1:17" x14ac:dyDescent="0.35">
      <c r="A187" s="46">
        <v>46123</v>
      </c>
      <c r="B187" t="s">
        <v>136</v>
      </c>
      <c r="C187" t="s">
        <v>450</v>
      </c>
      <c r="D187" t="s">
        <v>396</v>
      </c>
      <c r="E187" t="s">
        <v>364</v>
      </c>
      <c r="F187" t="s">
        <v>82</v>
      </c>
      <c r="G187" t="s">
        <v>368</v>
      </c>
      <c r="H187" t="s">
        <v>371</v>
      </c>
      <c r="I187" t="s">
        <v>323</v>
      </c>
      <c r="J187" t="s">
        <v>324</v>
      </c>
      <c r="K187" t="s">
        <v>345</v>
      </c>
      <c r="L187" t="s">
        <v>346</v>
      </c>
      <c r="M187">
        <v>2.992777777777778</v>
      </c>
      <c r="N187">
        <v>10774</v>
      </c>
      <c r="O187">
        <v>44646.329999999994</v>
      </c>
      <c r="P187">
        <v>4.1438954891405233</v>
      </c>
      <c r="Q187">
        <v>10774</v>
      </c>
    </row>
    <row r="188" spans="1:17" x14ac:dyDescent="0.35">
      <c r="A188" s="46">
        <v>46123</v>
      </c>
      <c r="B188" t="s">
        <v>136</v>
      </c>
      <c r="C188" t="s">
        <v>319</v>
      </c>
      <c r="D188" t="s">
        <v>396</v>
      </c>
      <c r="E188" t="s">
        <v>364</v>
      </c>
      <c r="F188" t="s">
        <v>82</v>
      </c>
      <c r="G188" t="s">
        <v>368</v>
      </c>
      <c r="H188" t="s">
        <v>371</v>
      </c>
      <c r="I188" t="s">
        <v>323</v>
      </c>
      <c r="J188" t="s">
        <v>324</v>
      </c>
      <c r="K188" t="s">
        <v>345</v>
      </c>
      <c r="L188" t="s">
        <v>346</v>
      </c>
      <c r="M188">
        <v>4.3513888888888888</v>
      </c>
      <c r="N188">
        <v>15665</v>
      </c>
      <c r="O188">
        <v>67512.539999999994</v>
      </c>
      <c r="P188">
        <v>4.3097695499521222</v>
      </c>
      <c r="Q188">
        <v>15665</v>
      </c>
    </row>
    <row r="189" spans="1:17" x14ac:dyDescent="0.35">
      <c r="A189" s="46">
        <v>46123</v>
      </c>
      <c r="B189" t="s">
        <v>136</v>
      </c>
      <c r="C189" t="s">
        <v>450</v>
      </c>
      <c r="D189" t="s">
        <v>396</v>
      </c>
      <c r="E189" t="s">
        <v>364</v>
      </c>
      <c r="F189" t="s">
        <v>82</v>
      </c>
      <c r="G189" t="s">
        <v>368</v>
      </c>
      <c r="H189" t="s">
        <v>327</v>
      </c>
      <c r="I189" t="s">
        <v>323</v>
      </c>
      <c r="J189" t="s">
        <v>324</v>
      </c>
      <c r="K189" t="s">
        <v>142</v>
      </c>
      <c r="L189" t="s">
        <v>143</v>
      </c>
      <c r="M189">
        <v>1.1944444444444445E-2</v>
      </c>
      <c r="N189">
        <v>43</v>
      </c>
      <c r="O189">
        <v>0</v>
      </c>
    </row>
    <row r="190" spans="1:17" x14ac:dyDescent="0.35">
      <c r="A190" s="46">
        <v>46123</v>
      </c>
      <c r="B190" t="s">
        <v>136</v>
      </c>
      <c r="C190" t="s">
        <v>319</v>
      </c>
      <c r="D190" t="s">
        <v>396</v>
      </c>
      <c r="E190" t="s">
        <v>364</v>
      </c>
      <c r="F190" t="s">
        <v>82</v>
      </c>
      <c r="G190" t="s">
        <v>368</v>
      </c>
      <c r="H190" t="s">
        <v>371</v>
      </c>
      <c r="I190" t="s">
        <v>323</v>
      </c>
      <c r="J190" t="s">
        <v>324</v>
      </c>
      <c r="K190" t="s">
        <v>142</v>
      </c>
      <c r="L190" t="s">
        <v>143</v>
      </c>
      <c r="M190">
        <v>2.5833333333333333E-2</v>
      </c>
      <c r="N190">
        <v>93</v>
      </c>
      <c r="O190">
        <v>295.98</v>
      </c>
      <c r="P190">
        <v>3.1825806451612904</v>
      </c>
      <c r="Q190">
        <v>93</v>
      </c>
    </row>
    <row r="191" spans="1:17" x14ac:dyDescent="0.35">
      <c r="A191" s="46">
        <v>46123</v>
      </c>
      <c r="B191" t="s">
        <v>136</v>
      </c>
      <c r="C191" t="s">
        <v>450</v>
      </c>
      <c r="D191" t="s">
        <v>396</v>
      </c>
      <c r="E191" t="s">
        <v>364</v>
      </c>
      <c r="F191" t="s">
        <v>82</v>
      </c>
      <c r="G191" t="s">
        <v>368</v>
      </c>
      <c r="H191" t="s">
        <v>323</v>
      </c>
      <c r="I191" t="s">
        <v>323</v>
      </c>
      <c r="J191" t="s">
        <v>324</v>
      </c>
      <c r="K191" t="s">
        <v>142</v>
      </c>
      <c r="L191" t="s">
        <v>143</v>
      </c>
      <c r="M191">
        <v>3.6388888888888887E-2</v>
      </c>
      <c r="N191">
        <v>131</v>
      </c>
      <c r="O191">
        <v>748.01</v>
      </c>
      <c r="P191">
        <v>5.71</v>
      </c>
      <c r="Q191">
        <v>131</v>
      </c>
    </row>
    <row r="192" spans="1:17" x14ac:dyDescent="0.35">
      <c r="A192" s="46">
        <v>46123</v>
      </c>
      <c r="B192" t="s">
        <v>136</v>
      </c>
      <c r="C192" t="s">
        <v>450</v>
      </c>
      <c r="D192" t="s">
        <v>396</v>
      </c>
      <c r="E192" t="s">
        <v>364</v>
      </c>
      <c r="F192" t="s">
        <v>322</v>
      </c>
      <c r="G192" t="s">
        <v>322</v>
      </c>
      <c r="H192" t="s">
        <v>322</v>
      </c>
      <c r="I192" t="s">
        <v>323</v>
      </c>
      <c r="J192" t="s">
        <v>324</v>
      </c>
      <c r="K192" t="s">
        <v>142</v>
      </c>
      <c r="L192" t="s">
        <v>143</v>
      </c>
      <c r="M192">
        <v>0.12916666666666668</v>
      </c>
      <c r="N192">
        <v>465</v>
      </c>
      <c r="O192">
        <v>2580.9</v>
      </c>
      <c r="P192">
        <v>5.5503225806451617</v>
      </c>
      <c r="Q192">
        <v>465</v>
      </c>
    </row>
    <row r="193" spans="1:17" x14ac:dyDescent="0.35">
      <c r="A193" s="46">
        <v>46123</v>
      </c>
      <c r="B193" t="s">
        <v>136</v>
      </c>
      <c r="C193" t="s">
        <v>450</v>
      </c>
      <c r="D193" t="s">
        <v>396</v>
      </c>
      <c r="E193" t="s">
        <v>364</v>
      </c>
      <c r="F193" t="s">
        <v>82</v>
      </c>
      <c r="G193" t="s">
        <v>368</v>
      </c>
      <c r="H193" t="s">
        <v>371</v>
      </c>
      <c r="I193" t="s">
        <v>323</v>
      </c>
      <c r="J193" t="s">
        <v>324</v>
      </c>
      <c r="K193" t="s">
        <v>142</v>
      </c>
      <c r="L193" t="s">
        <v>143</v>
      </c>
      <c r="M193">
        <v>0.13250000000000001</v>
      </c>
      <c r="N193">
        <v>477</v>
      </c>
      <c r="O193">
        <v>2949.43</v>
      </c>
      <c r="P193">
        <v>6.1832914046121594</v>
      </c>
      <c r="Q193">
        <v>477</v>
      </c>
    </row>
    <row r="194" spans="1:17" x14ac:dyDescent="0.35">
      <c r="A194" s="46">
        <v>46123</v>
      </c>
      <c r="B194" t="s">
        <v>136</v>
      </c>
      <c r="C194" t="s">
        <v>450</v>
      </c>
      <c r="D194" t="s">
        <v>396</v>
      </c>
      <c r="E194" t="s">
        <v>364</v>
      </c>
      <c r="F194" t="s">
        <v>322</v>
      </c>
      <c r="G194" t="s">
        <v>322</v>
      </c>
      <c r="H194" t="s">
        <v>322</v>
      </c>
      <c r="I194" t="s">
        <v>323</v>
      </c>
      <c r="J194" t="s">
        <v>324</v>
      </c>
      <c r="K194" t="s">
        <v>348</v>
      </c>
      <c r="L194" t="s">
        <v>349</v>
      </c>
      <c r="M194">
        <v>1.1111111111111111E-3</v>
      </c>
      <c r="N194">
        <v>4</v>
      </c>
      <c r="O194">
        <v>0</v>
      </c>
    </row>
    <row r="195" spans="1:17" x14ac:dyDescent="0.35">
      <c r="A195" s="46">
        <v>46123</v>
      </c>
      <c r="B195" t="s">
        <v>136</v>
      </c>
      <c r="C195" t="s">
        <v>450</v>
      </c>
      <c r="D195" t="s">
        <v>396</v>
      </c>
      <c r="E195" t="s">
        <v>364</v>
      </c>
      <c r="F195" t="s">
        <v>82</v>
      </c>
      <c r="G195" t="s">
        <v>368</v>
      </c>
      <c r="H195" t="s">
        <v>369</v>
      </c>
      <c r="I195" t="s">
        <v>323</v>
      </c>
      <c r="J195" t="s">
        <v>324</v>
      </c>
      <c r="K195" t="s">
        <v>348</v>
      </c>
      <c r="L195" t="s">
        <v>349</v>
      </c>
      <c r="M195">
        <v>0.10083333333333333</v>
      </c>
      <c r="N195">
        <v>363</v>
      </c>
      <c r="O195">
        <v>0</v>
      </c>
    </row>
    <row r="196" spans="1:17" x14ac:dyDescent="0.35">
      <c r="A196" s="46">
        <v>46123</v>
      </c>
      <c r="B196" t="s">
        <v>136</v>
      </c>
      <c r="C196" t="s">
        <v>319</v>
      </c>
      <c r="D196" t="s">
        <v>396</v>
      </c>
      <c r="E196" t="s">
        <v>364</v>
      </c>
      <c r="F196" t="s">
        <v>82</v>
      </c>
      <c r="G196" t="s">
        <v>368</v>
      </c>
      <c r="H196" t="s">
        <v>323</v>
      </c>
      <c r="I196" t="s">
        <v>323</v>
      </c>
      <c r="J196" t="s">
        <v>324</v>
      </c>
      <c r="K196" t="s">
        <v>350</v>
      </c>
      <c r="L196" t="s">
        <v>351</v>
      </c>
      <c r="M196">
        <v>4.7222222222222223E-3</v>
      </c>
      <c r="N196">
        <v>17</v>
      </c>
      <c r="O196">
        <v>28.049999999999997</v>
      </c>
      <c r="P196">
        <v>1.65</v>
      </c>
      <c r="Q196">
        <v>17</v>
      </c>
    </row>
    <row r="197" spans="1:17" x14ac:dyDescent="0.35">
      <c r="A197" s="46">
        <v>46123</v>
      </c>
      <c r="B197" t="s">
        <v>136</v>
      </c>
      <c r="C197" t="s">
        <v>319</v>
      </c>
      <c r="D197" t="s">
        <v>396</v>
      </c>
      <c r="E197" t="s">
        <v>364</v>
      </c>
      <c r="F197" t="s">
        <v>322</v>
      </c>
      <c r="G197" t="s">
        <v>322</v>
      </c>
      <c r="H197" t="s">
        <v>322</v>
      </c>
      <c r="I197" t="s">
        <v>323</v>
      </c>
      <c r="J197" t="s">
        <v>324</v>
      </c>
      <c r="K197" t="s">
        <v>350</v>
      </c>
      <c r="L197" t="s">
        <v>351</v>
      </c>
      <c r="M197">
        <v>1.861111111111111E-2</v>
      </c>
      <c r="N197">
        <v>67</v>
      </c>
      <c r="O197">
        <v>126.80000000000001</v>
      </c>
      <c r="P197">
        <v>1.892537313432836</v>
      </c>
      <c r="Q197">
        <v>67</v>
      </c>
    </row>
    <row r="198" spans="1:17" x14ac:dyDescent="0.35">
      <c r="A198" s="46">
        <v>46123</v>
      </c>
      <c r="B198" t="s">
        <v>136</v>
      </c>
      <c r="C198" t="s">
        <v>451</v>
      </c>
      <c r="D198" t="s">
        <v>396</v>
      </c>
      <c r="E198" t="s">
        <v>364</v>
      </c>
      <c r="F198" t="s">
        <v>82</v>
      </c>
      <c r="G198" t="s">
        <v>368</v>
      </c>
      <c r="H198" t="s">
        <v>327</v>
      </c>
      <c r="I198" t="s">
        <v>323</v>
      </c>
      <c r="J198" t="s">
        <v>324</v>
      </c>
      <c r="K198" t="s">
        <v>350</v>
      </c>
      <c r="L198" t="s">
        <v>351</v>
      </c>
      <c r="M198">
        <v>2.388888888888889E-2</v>
      </c>
      <c r="N198">
        <v>86</v>
      </c>
      <c r="O198">
        <v>136.74</v>
      </c>
      <c r="P198">
        <v>1.59</v>
      </c>
      <c r="Q198">
        <v>86</v>
      </c>
    </row>
    <row r="199" spans="1:17" x14ac:dyDescent="0.35">
      <c r="A199" s="46">
        <v>46123</v>
      </c>
      <c r="B199" t="s">
        <v>136</v>
      </c>
      <c r="C199" t="s">
        <v>450</v>
      </c>
      <c r="D199" t="s">
        <v>396</v>
      </c>
      <c r="E199" t="s">
        <v>364</v>
      </c>
      <c r="F199" t="s">
        <v>82</v>
      </c>
      <c r="G199" t="s">
        <v>368</v>
      </c>
      <c r="H199" t="s">
        <v>323</v>
      </c>
      <c r="I199" t="s">
        <v>323</v>
      </c>
      <c r="J199" t="s">
        <v>324</v>
      </c>
      <c r="K199" t="s">
        <v>350</v>
      </c>
      <c r="L199" t="s">
        <v>351</v>
      </c>
      <c r="M199">
        <v>0.16555555555555557</v>
      </c>
      <c r="N199">
        <v>596</v>
      </c>
      <c r="O199">
        <v>1042.8</v>
      </c>
      <c r="P199">
        <v>1.7496644295302013</v>
      </c>
      <c r="Q199">
        <v>596</v>
      </c>
    </row>
    <row r="200" spans="1:17" x14ac:dyDescent="0.35">
      <c r="A200" s="46">
        <v>46123</v>
      </c>
      <c r="B200" t="s">
        <v>136</v>
      </c>
      <c r="C200" t="s">
        <v>450</v>
      </c>
      <c r="D200" t="s">
        <v>396</v>
      </c>
      <c r="E200" t="s">
        <v>364</v>
      </c>
      <c r="F200" t="s">
        <v>82</v>
      </c>
      <c r="G200" t="s">
        <v>368</v>
      </c>
      <c r="H200" t="s">
        <v>327</v>
      </c>
      <c r="I200" t="s">
        <v>323</v>
      </c>
      <c r="J200" t="s">
        <v>324</v>
      </c>
      <c r="K200" t="s">
        <v>350</v>
      </c>
      <c r="L200" t="s">
        <v>351</v>
      </c>
      <c r="M200">
        <v>0.21611111111111111</v>
      </c>
      <c r="N200">
        <v>778</v>
      </c>
      <c r="O200">
        <v>1215.94</v>
      </c>
      <c r="P200">
        <v>1.5629048843187661</v>
      </c>
      <c r="Q200">
        <v>778</v>
      </c>
    </row>
    <row r="201" spans="1:17" x14ac:dyDescent="0.35">
      <c r="A201" s="46">
        <v>46123</v>
      </c>
      <c r="B201" t="s">
        <v>136</v>
      </c>
      <c r="C201" t="s">
        <v>450</v>
      </c>
      <c r="D201" t="s">
        <v>396</v>
      </c>
      <c r="E201" t="s">
        <v>364</v>
      </c>
      <c r="F201" t="s">
        <v>82</v>
      </c>
      <c r="G201" t="s">
        <v>368</v>
      </c>
      <c r="H201" t="s">
        <v>369</v>
      </c>
      <c r="I201" t="s">
        <v>323</v>
      </c>
      <c r="J201" t="s">
        <v>324</v>
      </c>
      <c r="K201" t="s">
        <v>350</v>
      </c>
      <c r="L201" t="s">
        <v>351</v>
      </c>
      <c r="M201">
        <v>0.26861111111111113</v>
      </c>
      <c r="N201">
        <v>967</v>
      </c>
      <c r="O201">
        <v>2059.0700000000002</v>
      </c>
      <c r="P201">
        <v>2.1293381592554295</v>
      </c>
      <c r="Q201">
        <v>967</v>
      </c>
    </row>
    <row r="202" spans="1:17" x14ac:dyDescent="0.35">
      <c r="A202" s="46">
        <v>46123</v>
      </c>
      <c r="B202" t="s">
        <v>136</v>
      </c>
      <c r="C202" t="s">
        <v>450</v>
      </c>
      <c r="D202" t="s">
        <v>396</v>
      </c>
      <c r="E202" t="s">
        <v>364</v>
      </c>
      <c r="F202" t="s">
        <v>322</v>
      </c>
      <c r="G202" t="s">
        <v>322</v>
      </c>
      <c r="H202" t="s">
        <v>322</v>
      </c>
      <c r="I202" t="s">
        <v>323</v>
      </c>
      <c r="J202" t="s">
        <v>324</v>
      </c>
      <c r="K202" t="s">
        <v>350</v>
      </c>
      <c r="L202" t="s">
        <v>351</v>
      </c>
      <c r="M202">
        <v>0.22027777777777777</v>
      </c>
      <c r="N202">
        <v>793</v>
      </c>
      <c r="O202">
        <v>2917.56</v>
      </c>
      <c r="P202">
        <v>3.6791424968474149</v>
      </c>
      <c r="Q202">
        <v>793</v>
      </c>
    </row>
    <row r="203" spans="1:17" x14ac:dyDescent="0.35">
      <c r="A203" s="46">
        <v>46123</v>
      </c>
      <c r="B203" t="s">
        <v>136</v>
      </c>
      <c r="C203" t="s">
        <v>450</v>
      </c>
      <c r="D203" t="s">
        <v>396</v>
      </c>
      <c r="E203" t="s">
        <v>364</v>
      </c>
      <c r="F203" t="s">
        <v>82</v>
      </c>
      <c r="G203" t="s">
        <v>368</v>
      </c>
      <c r="H203" t="s">
        <v>371</v>
      </c>
      <c r="I203" t="s">
        <v>323</v>
      </c>
      <c r="J203" t="s">
        <v>324</v>
      </c>
      <c r="K203" t="s">
        <v>350</v>
      </c>
      <c r="L203" t="s">
        <v>351</v>
      </c>
      <c r="M203">
        <v>0.45805555555555555</v>
      </c>
      <c r="N203">
        <v>1649</v>
      </c>
      <c r="O203">
        <v>5254.4900000000007</v>
      </c>
      <c r="P203">
        <v>3.1864705882352946</v>
      </c>
      <c r="Q203">
        <v>1649</v>
      </c>
    </row>
    <row r="204" spans="1:17" x14ac:dyDescent="0.35">
      <c r="A204" s="46">
        <v>46123</v>
      </c>
      <c r="B204" t="s">
        <v>136</v>
      </c>
      <c r="C204" t="s">
        <v>319</v>
      </c>
      <c r="D204" t="s">
        <v>396</v>
      </c>
      <c r="E204" t="s">
        <v>364</v>
      </c>
      <c r="F204" t="s">
        <v>82</v>
      </c>
      <c r="G204" t="s">
        <v>368</v>
      </c>
      <c r="H204" t="s">
        <v>371</v>
      </c>
      <c r="I204" t="s">
        <v>323</v>
      </c>
      <c r="J204" t="s">
        <v>324</v>
      </c>
      <c r="K204" t="s">
        <v>350</v>
      </c>
      <c r="L204" t="s">
        <v>351</v>
      </c>
      <c r="M204">
        <v>0.68166666666666664</v>
      </c>
      <c r="N204">
        <v>2454</v>
      </c>
      <c r="O204">
        <v>7011.3600000000006</v>
      </c>
      <c r="P204">
        <v>2.857114914425428</v>
      </c>
      <c r="Q204">
        <v>2454</v>
      </c>
    </row>
    <row r="205" spans="1:17" x14ac:dyDescent="0.35">
      <c r="A205" s="46">
        <v>46123</v>
      </c>
      <c r="B205" t="s">
        <v>136</v>
      </c>
      <c r="C205" t="s">
        <v>319</v>
      </c>
      <c r="D205" t="s">
        <v>396</v>
      </c>
      <c r="E205" t="s">
        <v>364</v>
      </c>
      <c r="F205" t="s">
        <v>322</v>
      </c>
      <c r="G205" t="s">
        <v>322</v>
      </c>
      <c r="H205" t="s">
        <v>322</v>
      </c>
      <c r="I205" t="s">
        <v>323</v>
      </c>
      <c r="J205" t="s">
        <v>324</v>
      </c>
      <c r="K205" t="s">
        <v>170</v>
      </c>
      <c r="L205" t="s">
        <v>171</v>
      </c>
      <c r="M205">
        <v>5.354166666666667</v>
      </c>
      <c r="N205">
        <v>19275</v>
      </c>
      <c r="O205">
        <v>0</v>
      </c>
    </row>
    <row r="206" spans="1:17" x14ac:dyDescent="0.35">
      <c r="A206" s="46">
        <v>46123</v>
      </c>
      <c r="B206" t="s">
        <v>136</v>
      </c>
      <c r="C206" t="s">
        <v>319</v>
      </c>
      <c r="D206" t="s">
        <v>396</v>
      </c>
      <c r="E206" t="s">
        <v>364</v>
      </c>
      <c r="F206" t="s">
        <v>82</v>
      </c>
      <c r="G206" t="s">
        <v>368</v>
      </c>
      <c r="H206" t="s">
        <v>371</v>
      </c>
      <c r="I206" t="s">
        <v>323</v>
      </c>
      <c r="J206" t="s">
        <v>324</v>
      </c>
      <c r="K206" t="s">
        <v>170</v>
      </c>
      <c r="L206" t="s">
        <v>171</v>
      </c>
      <c r="M206">
        <v>2.5222222222222221</v>
      </c>
      <c r="N206">
        <v>9080</v>
      </c>
      <c r="O206">
        <v>0</v>
      </c>
    </row>
    <row r="207" spans="1:17" x14ac:dyDescent="0.35">
      <c r="A207" s="46">
        <v>46123</v>
      </c>
      <c r="B207" t="s">
        <v>136</v>
      </c>
      <c r="C207" t="s">
        <v>319</v>
      </c>
      <c r="D207" t="s">
        <v>396</v>
      </c>
      <c r="E207" t="s">
        <v>364</v>
      </c>
      <c r="F207" t="s">
        <v>82</v>
      </c>
      <c r="G207" t="s">
        <v>368</v>
      </c>
      <c r="H207" t="s">
        <v>366</v>
      </c>
      <c r="I207" t="s">
        <v>323</v>
      </c>
      <c r="J207" t="s">
        <v>324</v>
      </c>
      <c r="K207" t="s">
        <v>170</v>
      </c>
      <c r="L207" t="s">
        <v>171</v>
      </c>
      <c r="M207">
        <v>3.2747222222222221</v>
      </c>
      <c r="N207">
        <v>11789</v>
      </c>
      <c r="O207">
        <v>0</v>
      </c>
    </row>
    <row r="208" spans="1:17" x14ac:dyDescent="0.35">
      <c r="A208" s="46">
        <v>46123</v>
      </c>
      <c r="B208" t="s">
        <v>136</v>
      </c>
      <c r="C208" t="s">
        <v>319</v>
      </c>
      <c r="D208" t="s">
        <v>396</v>
      </c>
      <c r="E208" t="s">
        <v>364</v>
      </c>
      <c r="F208" t="s">
        <v>82</v>
      </c>
      <c r="G208" t="s">
        <v>368</v>
      </c>
      <c r="H208" t="s">
        <v>371</v>
      </c>
      <c r="I208" t="s">
        <v>323</v>
      </c>
      <c r="J208" t="s">
        <v>324</v>
      </c>
      <c r="K208" t="s">
        <v>178</v>
      </c>
      <c r="L208" t="s">
        <v>179</v>
      </c>
      <c r="M208">
        <v>4.1666666666666666E-3</v>
      </c>
      <c r="N208">
        <v>15</v>
      </c>
      <c r="O208">
        <v>0</v>
      </c>
    </row>
    <row r="209" spans="1:17" x14ac:dyDescent="0.35">
      <c r="A209" s="46">
        <v>46123</v>
      </c>
      <c r="B209" t="s">
        <v>136</v>
      </c>
      <c r="C209" t="s">
        <v>450</v>
      </c>
      <c r="D209" t="s">
        <v>396</v>
      </c>
      <c r="E209" t="s">
        <v>364</v>
      </c>
      <c r="F209" t="s">
        <v>82</v>
      </c>
      <c r="G209" t="s">
        <v>368</v>
      </c>
      <c r="H209" t="s">
        <v>327</v>
      </c>
      <c r="I209" t="s">
        <v>323</v>
      </c>
      <c r="J209" t="s">
        <v>324</v>
      </c>
      <c r="K209" t="s">
        <v>178</v>
      </c>
      <c r="L209" t="s">
        <v>179</v>
      </c>
      <c r="M209">
        <v>1.9444444444444444E-3</v>
      </c>
      <c r="N209">
        <v>7</v>
      </c>
      <c r="O209">
        <v>0</v>
      </c>
    </row>
    <row r="210" spans="1:17" x14ac:dyDescent="0.35">
      <c r="A210" s="46">
        <v>46123</v>
      </c>
      <c r="B210" t="s">
        <v>136</v>
      </c>
      <c r="C210" t="s">
        <v>450</v>
      </c>
      <c r="D210" t="s">
        <v>396</v>
      </c>
      <c r="E210" t="s">
        <v>364</v>
      </c>
      <c r="F210" t="s">
        <v>82</v>
      </c>
      <c r="G210" t="s">
        <v>368</v>
      </c>
      <c r="H210" t="s">
        <v>369</v>
      </c>
      <c r="I210" t="s">
        <v>323</v>
      </c>
      <c r="J210" t="s">
        <v>324</v>
      </c>
      <c r="K210" t="s">
        <v>178</v>
      </c>
      <c r="L210" t="s">
        <v>179</v>
      </c>
      <c r="M210">
        <v>1.9444444444444445E-2</v>
      </c>
      <c r="N210">
        <v>70</v>
      </c>
      <c r="O210">
        <v>0</v>
      </c>
    </row>
    <row r="211" spans="1:17" x14ac:dyDescent="0.35">
      <c r="A211" s="46">
        <v>46123</v>
      </c>
      <c r="B211" t="s">
        <v>136</v>
      </c>
      <c r="C211" t="s">
        <v>450</v>
      </c>
      <c r="D211" t="s">
        <v>396</v>
      </c>
      <c r="E211" t="s">
        <v>364</v>
      </c>
      <c r="F211" t="s">
        <v>82</v>
      </c>
      <c r="G211" t="s">
        <v>368</v>
      </c>
      <c r="H211" t="s">
        <v>327</v>
      </c>
      <c r="I211" t="s">
        <v>323</v>
      </c>
      <c r="J211" t="s">
        <v>324</v>
      </c>
      <c r="K211" t="s">
        <v>212</v>
      </c>
      <c r="L211" t="s">
        <v>213</v>
      </c>
      <c r="M211">
        <v>4.1388888888888892E-2</v>
      </c>
      <c r="N211">
        <v>149</v>
      </c>
    </row>
    <row r="212" spans="1:17" x14ac:dyDescent="0.35">
      <c r="A212" s="46">
        <v>46123</v>
      </c>
      <c r="B212" t="s">
        <v>136</v>
      </c>
      <c r="C212" t="s">
        <v>386</v>
      </c>
      <c r="D212" t="s">
        <v>399</v>
      </c>
      <c r="E212" t="s">
        <v>321</v>
      </c>
      <c r="F212" t="s">
        <v>443</v>
      </c>
      <c r="G212" t="s">
        <v>445</v>
      </c>
      <c r="H212" t="s">
        <v>331</v>
      </c>
      <c r="I212" t="s">
        <v>323</v>
      </c>
      <c r="J212" t="s">
        <v>324</v>
      </c>
      <c r="K212" t="s">
        <v>341</v>
      </c>
      <c r="L212" t="s">
        <v>342</v>
      </c>
      <c r="M212">
        <v>7.9444444444444443E-2</v>
      </c>
      <c r="N212">
        <v>286</v>
      </c>
      <c r="O212">
        <v>0</v>
      </c>
    </row>
    <row r="213" spans="1:17" x14ac:dyDescent="0.35">
      <c r="A213" s="46">
        <v>46123</v>
      </c>
      <c r="B213" t="s">
        <v>136</v>
      </c>
      <c r="C213" t="s">
        <v>335</v>
      </c>
      <c r="D213" t="s">
        <v>399</v>
      </c>
      <c r="E213" t="s">
        <v>321</v>
      </c>
      <c r="F213" t="s">
        <v>443</v>
      </c>
      <c r="G213" t="s">
        <v>445</v>
      </c>
      <c r="H213" t="s">
        <v>361</v>
      </c>
      <c r="I213" t="s">
        <v>323</v>
      </c>
      <c r="J213" t="s">
        <v>324</v>
      </c>
      <c r="K213" t="s">
        <v>341</v>
      </c>
      <c r="L213" t="s">
        <v>342</v>
      </c>
      <c r="M213">
        <v>7.4999999999999997E-3</v>
      </c>
      <c r="N213">
        <v>27</v>
      </c>
      <c r="O213">
        <v>0</v>
      </c>
    </row>
    <row r="214" spans="1:17" x14ac:dyDescent="0.35">
      <c r="A214" s="46">
        <v>46123</v>
      </c>
      <c r="B214" t="s">
        <v>136</v>
      </c>
      <c r="C214" t="s">
        <v>452</v>
      </c>
      <c r="D214" t="s">
        <v>399</v>
      </c>
      <c r="E214" t="s">
        <v>321</v>
      </c>
      <c r="F214" t="s">
        <v>443</v>
      </c>
      <c r="G214" t="s">
        <v>445</v>
      </c>
      <c r="H214" t="s">
        <v>343</v>
      </c>
      <c r="I214" t="s">
        <v>323</v>
      </c>
      <c r="J214" t="s">
        <v>324</v>
      </c>
      <c r="K214" t="s">
        <v>345</v>
      </c>
      <c r="L214" t="s">
        <v>346</v>
      </c>
      <c r="M214">
        <v>2.7777777777777779E-3</v>
      </c>
      <c r="N214">
        <v>10</v>
      </c>
      <c r="O214">
        <v>40.4</v>
      </c>
      <c r="P214">
        <v>4.04</v>
      </c>
      <c r="Q214">
        <v>10</v>
      </c>
    </row>
    <row r="215" spans="1:17" x14ac:dyDescent="0.35">
      <c r="A215" s="46">
        <v>46123</v>
      </c>
      <c r="B215" t="s">
        <v>136</v>
      </c>
      <c r="C215" t="s">
        <v>386</v>
      </c>
      <c r="D215" t="s">
        <v>399</v>
      </c>
      <c r="E215" t="s">
        <v>321</v>
      </c>
      <c r="F215" t="s">
        <v>322</v>
      </c>
      <c r="G215" t="s">
        <v>322</v>
      </c>
      <c r="H215" t="s">
        <v>322</v>
      </c>
      <c r="I215" t="s">
        <v>323</v>
      </c>
      <c r="J215" t="s">
        <v>324</v>
      </c>
      <c r="K215" t="s">
        <v>345</v>
      </c>
      <c r="L215" t="s">
        <v>346</v>
      </c>
      <c r="M215">
        <v>6.6666666666666671E-3</v>
      </c>
      <c r="N215">
        <v>24</v>
      </c>
      <c r="O215">
        <v>77.28</v>
      </c>
      <c r="P215">
        <v>3.22</v>
      </c>
      <c r="Q215">
        <v>24</v>
      </c>
    </row>
    <row r="216" spans="1:17" x14ac:dyDescent="0.35">
      <c r="A216" s="46">
        <v>46123</v>
      </c>
      <c r="B216" t="s">
        <v>136</v>
      </c>
      <c r="C216" t="s">
        <v>335</v>
      </c>
      <c r="D216" t="s">
        <v>399</v>
      </c>
      <c r="E216" t="s">
        <v>321</v>
      </c>
      <c r="F216" t="s">
        <v>443</v>
      </c>
      <c r="G216" t="s">
        <v>445</v>
      </c>
      <c r="H216" t="s">
        <v>343</v>
      </c>
      <c r="I216" t="s">
        <v>323</v>
      </c>
      <c r="J216" t="s">
        <v>324</v>
      </c>
      <c r="K216" t="s">
        <v>345</v>
      </c>
      <c r="L216" t="s">
        <v>346</v>
      </c>
      <c r="M216">
        <v>5.1388888888888887E-2</v>
      </c>
      <c r="N216">
        <v>185</v>
      </c>
      <c r="O216">
        <v>771.44999999999993</v>
      </c>
      <c r="P216">
        <v>4.17</v>
      </c>
      <c r="Q216">
        <v>185</v>
      </c>
    </row>
    <row r="217" spans="1:17" x14ac:dyDescent="0.35">
      <c r="A217" s="46">
        <v>46123</v>
      </c>
      <c r="B217" t="s">
        <v>136</v>
      </c>
      <c r="C217" t="s">
        <v>335</v>
      </c>
      <c r="D217" t="s">
        <v>399</v>
      </c>
      <c r="E217" t="s">
        <v>321</v>
      </c>
      <c r="F217" t="s">
        <v>443</v>
      </c>
      <c r="G217" t="s">
        <v>445</v>
      </c>
      <c r="H217" t="s">
        <v>361</v>
      </c>
      <c r="I217" t="s">
        <v>323</v>
      </c>
      <c r="J217" t="s">
        <v>324</v>
      </c>
      <c r="K217" t="s">
        <v>345</v>
      </c>
      <c r="L217" t="s">
        <v>346</v>
      </c>
      <c r="M217">
        <v>7.5277777777777777E-2</v>
      </c>
      <c r="N217">
        <v>271</v>
      </c>
      <c r="O217">
        <v>1051.48</v>
      </c>
      <c r="P217">
        <v>3.88</v>
      </c>
      <c r="Q217">
        <v>271</v>
      </c>
    </row>
    <row r="218" spans="1:17" x14ac:dyDescent="0.35">
      <c r="A218" s="46">
        <v>46123</v>
      </c>
      <c r="B218" t="s">
        <v>136</v>
      </c>
      <c r="C218" t="s">
        <v>335</v>
      </c>
      <c r="D218" t="s">
        <v>399</v>
      </c>
      <c r="E218" t="s">
        <v>321</v>
      </c>
      <c r="F218" t="s">
        <v>443</v>
      </c>
      <c r="G218" t="s">
        <v>445</v>
      </c>
      <c r="H218" t="s">
        <v>331</v>
      </c>
      <c r="I218" t="s">
        <v>323</v>
      </c>
      <c r="J218" t="s">
        <v>324</v>
      </c>
      <c r="K218" t="s">
        <v>345</v>
      </c>
      <c r="L218" t="s">
        <v>346</v>
      </c>
      <c r="M218">
        <v>0.11138888888888888</v>
      </c>
      <c r="N218">
        <v>401</v>
      </c>
      <c r="O218">
        <v>1074.68</v>
      </c>
      <c r="P218">
        <v>2.68</v>
      </c>
      <c r="Q218">
        <v>401</v>
      </c>
    </row>
    <row r="219" spans="1:17" x14ac:dyDescent="0.35">
      <c r="A219" s="46">
        <v>46123</v>
      </c>
      <c r="B219" t="s">
        <v>136</v>
      </c>
      <c r="C219" t="s">
        <v>452</v>
      </c>
      <c r="D219" t="s">
        <v>399</v>
      </c>
      <c r="E219" t="s">
        <v>321</v>
      </c>
      <c r="F219" t="s">
        <v>443</v>
      </c>
      <c r="G219" t="s">
        <v>445</v>
      </c>
      <c r="H219" t="s">
        <v>361</v>
      </c>
      <c r="I219" t="s">
        <v>323</v>
      </c>
      <c r="J219" t="s">
        <v>324</v>
      </c>
      <c r="K219" t="s">
        <v>345</v>
      </c>
      <c r="L219" t="s">
        <v>346</v>
      </c>
      <c r="M219">
        <v>9.0833333333333335E-2</v>
      </c>
      <c r="N219">
        <v>327</v>
      </c>
      <c r="O219">
        <v>1654.62</v>
      </c>
      <c r="P219">
        <v>5.0599999999999996</v>
      </c>
      <c r="Q219">
        <v>327</v>
      </c>
    </row>
    <row r="220" spans="1:17" x14ac:dyDescent="0.35">
      <c r="A220" s="46">
        <v>46123</v>
      </c>
      <c r="B220" t="s">
        <v>136</v>
      </c>
      <c r="C220" t="s">
        <v>452</v>
      </c>
      <c r="D220" t="s">
        <v>399</v>
      </c>
      <c r="E220" t="s">
        <v>321</v>
      </c>
      <c r="F220" t="s">
        <v>443</v>
      </c>
      <c r="G220" t="s">
        <v>445</v>
      </c>
      <c r="H220" t="s">
        <v>331</v>
      </c>
      <c r="I220" t="s">
        <v>323</v>
      </c>
      <c r="J220" t="s">
        <v>324</v>
      </c>
      <c r="K220" t="s">
        <v>345</v>
      </c>
      <c r="L220" t="s">
        <v>346</v>
      </c>
      <c r="M220">
        <v>0.14666666666666667</v>
      </c>
      <c r="N220">
        <v>528</v>
      </c>
      <c r="O220">
        <v>2766.7200000000003</v>
      </c>
      <c r="P220">
        <v>5.24</v>
      </c>
      <c r="Q220">
        <v>528</v>
      </c>
    </row>
    <row r="221" spans="1:17" x14ac:dyDescent="0.35">
      <c r="A221" s="46">
        <v>46123</v>
      </c>
      <c r="B221" t="s">
        <v>136</v>
      </c>
      <c r="C221" t="s">
        <v>335</v>
      </c>
      <c r="D221" t="s">
        <v>399</v>
      </c>
      <c r="E221" t="s">
        <v>321</v>
      </c>
      <c r="F221" t="s">
        <v>332</v>
      </c>
      <c r="G221" t="s">
        <v>333</v>
      </c>
      <c r="H221" t="s">
        <v>366</v>
      </c>
      <c r="I221" t="s">
        <v>323</v>
      </c>
      <c r="J221" t="s">
        <v>324</v>
      </c>
      <c r="K221" t="s">
        <v>345</v>
      </c>
      <c r="L221" t="s">
        <v>346</v>
      </c>
      <c r="M221">
        <v>0.55166666666666664</v>
      </c>
      <c r="N221">
        <v>1986</v>
      </c>
      <c r="O221">
        <v>8004.12</v>
      </c>
      <c r="P221">
        <v>4.0302719033232624</v>
      </c>
      <c r="Q221">
        <v>1986</v>
      </c>
    </row>
    <row r="222" spans="1:17" x14ac:dyDescent="0.35">
      <c r="A222" s="46">
        <v>46123</v>
      </c>
      <c r="B222" t="s">
        <v>136</v>
      </c>
      <c r="C222" t="s">
        <v>386</v>
      </c>
      <c r="D222" t="s">
        <v>399</v>
      </c>
      <c r="E222" t="s">
        <v>321</v>
      </c>
      <c r="F222" t="s">
        <v>443</v>
      </c>
      <c r="G222" t="s">
        <v>445</v>
      </c>
      <c r="H222" t="s">
        <v>343</v>
      </c>
      <c r="I222" t="s">
        <v>323</v>
      </c>
      <c r="J222" t="s">
        <v>324</v>
      </c>
      <c r="K222" t="s">
        <v>345</v>
      </c>
      <c r="L222" t="s">
        <v>346</v>
      </c>
      <c r="M222">
        <v>0.68694444444444447</v>
      </c>
      <c r="N222">
        <v>2473</v>
      </c>
      <c r="O222">
        <v>10839.189999999999</v>
      </c>
      <c r="P222">
        <v>4.3830125353821261</v>
      </c>
      <c r="Q222">
        <v>2473</v>
      </c>
    </row>
    <row r="223" spans="1:17" x14ac:dyDescent="0.35">
      <c r="A223" s="46">
        <v>46123</v>
      </c>
      <c r="B223" t="s">
        <v>136</v>
      </c>
      <c r="C223" t="s">
        <v>386</v>
      </c>
      <c r="D223" t="s">
        <v>399</v>
      </c>
      <c r="E223" t="s">
        <v>321</v>
      </c>
      <c r="F223" t="s">
        <v>443</v>
      </c>
      <c r="G223" t="s">
        <v>445</v>
      </c>
      <c r="H223" t="s">
        <v>361</v>
      </c>
      <c r="I223" t="s">
        <v>323</v>
      </c>
      <c r="J223" t="s">
        <v>324</v>
      </c>
      <c r="K223" t="s">
        <v>345</v>
      </c>
      <c r="L223" t="s">
        <v>346</v>
      </c>
      <c r="M223">
        <v>1.6008333333333333</v>
      </c>
      <c r="N223">
        <v>5763</v>
      </c>
      <c r="O223">
        <v>26341.630000000005</v>
      </c>
      <c r="P223">
        <v>4.5708190178726369</v>
      </c>
      <c r="Q223">
        <v>5763</v>
      </c>
    </row>
    <row r="224" spans="1:17" x14ac:dyDescent="0.35">
      <c r="A224" s="46">
        <v>46123</v>
      </c>
      <c r="B224" t="s">
        <v>136</v>
      </c>
      <c r="C224" t="s">
        <v>386</v>
      </c>
      <c r="D224" t="s">
        <v>399</v>
      </c>
      <c r="E224" t="s">
        <v>321</v>
      </c>
      <c r="F224" t="s">
        <v>443</v>
      </c>
      <c r="G224" t="s">
        <v>445</v>
      </c>
      <c r="H224" t="s">
        <v>331</v>
      </c>
      <c r="I224" t="s">
        <v>323</v>
      </c>
      <c r="J224" t="s">
        <v>324</v>
      </c>
      <c r="K224" t="s">
        <v>345</v>
      </c>
      <c r="L224" t="s">
        <v>346</v>
      </c>
      <c r="M224">
        <v>1.6983333333333333</v>
      </c>
      <c r="N224">
        <v>6114</v>
      </c>
      <c r="O224">
        <v>26356.15</v>
      </c>
      <c r="P224">
        <v>4.3107867190055611</v>
      </c>
      <c r="Q224">
        <v>6114</v>
      </c>
    </row>
    <row r="225" spans="1:17" x14ac:dyDescent="0.35">
      <c r="A225" s="46">
        <v>46123</v>
      </c>
      <c r="B225" t="s">
        <v>136</v>
      </c>
      <c r="C225" t="s">
        <v>335</v>
      </c>
      <c r="D225" t="s">
        <v>399</v>
      </c>
      <c r="E225" t="s">
        <v>321</v>
      </c>
      <c r="F225" t="s">
        <v>92</v>
      </c>
      <c r="G225" t="s">
        <v>325</v>
      </c>
      <c r="H225" t="s">
        <v>366</v>
      </c>
      <c r="I225" t="s">
        <v>323</v>
      </c>
      <c r="J225" t="s">
        <v>324</v>
      </c>
      <c r="K225" t="s">
        <v>142</v>
      </c>
      <c r="L225" t="s">
        <v>143</v>
      </c>
      <c r="M225">
        <v>1.1111111111111112E-2</v>
      </c>
      <c r="N225">
        <v>40</v>
      </c>
      <c r="O225">
        <v>233.6</v>
      </c>
      <c r="P225">
        <v>5.84</v>
      </c>
      <c r="Q225">
        <v>40</v>
      </c>
    </row>
    <row r="226" spans="1:17" x14ac:dyDescent="0.35">
      <c r="A226" s="46">
        <v>46123</v>
      </c>
      <c r="B226" t="s">
        <v>136</v>
      </c>
      <c r="C226" t="s">
        <v>335</v>
      </c>
      <c r="D226" t="s">
        <v>399</v>
      </c>
      <c r="E226" t="s">
        <v>321</v>
      </c>
      <c r="F226" t="s">
        <v>332</v>
      </c>
      <c r="G226" t="s">
        <v>333</v>
      </c>
      <c r="H226" t="s">
        <v>366</v>
      </c>
      <c r="I226" t="s">
        <v>323</v>
      </c>
      <c r="J226" t="s">
        <v>324</v>
      </c>
      <c r="K226" t="s">
        <v>142</v>
      </c>
      <c r="L226" t="s">
        <v>143</v>
      </c>
      <c r="M226">
        <v>3.5555555555555556E-2</v>
      </c>
      <c r="N226">
        <v>128</v>
      </c>
      <c r="O226">
        <v>586.24</v>
      </c>
      <c r="P226">
        <v>4.58</v>
      </c>
      <c r="Q226">
        <v>128</v>
      </c>
    </row>
    <row r="227" spans="1:17" x14ac:dyDescent="0.35">
      <c r="A227" s="46">
        <v>46123</v>
      </c>
      <c r="B227" t="s">
        <v>136</v>
      </c>
      <c r="C227" t="s">
        <v>335</v>
      </c>
      <c r="D227" t="s">
        <v>399</v>
      </c>
      <c r="E227" t="s">
        <v>321</v>
      </c>
      <c r="F227" t="s">
        <v>322</v>
      </c>
      <c r="G227" t="s">
        <v>322</v>
      </c>
      <c r="H227" t="s">
        <v>322</v>
      </c>
      <c r="I227" t="s">
        <v>323</v>
      </c>
      <c r="J227" t="s">
        <v>324</v>
      </c>
      <c r="K227" t="s">
        <v>142</v>
      </c>
      <c r="L227" t="s">
        <v>143</v>
      </c>
      <c r="M227">
        <v>0.11138888888888888</v>
      </c>
      <c r="N227">
        <v>401</v>
      </c>
      <c r="O227">
        <v>1191.83</v>
      </c>
      <c r="P227">
        <v>2.9721446384039898</v>
      </c>
      <c r="Q227">
        <v>401</v>
      </c>
    </row>
    <row r="228" spans="1:17" x14ac:dyDescent="0.35">
      <c r="A228" s="46">
        <v>46123</v>
      </c>
      <c r="B228" t="s">
        <v>136</v>
      </c>
      <c r="C228" t="s">
        <v>335</v>
      </c>
      <c r="D228" t="s">
        <v>399</v>
      </c>
      <c r="E228" t="s">
        <v>321</v>
      </c>
      <c r="F228" t="s">
        <v>328</v>
      </c>
      <c r="G228" t="s">
        <v>329</v>
      </c>
      <c r="H228" t="s">
        <v>369</v>
      </c>
      <c r="I228" t="s">
        <v>323</v>
      </c>
      <c r="J228" t="s">
        <v>324</v>
      </c>
      <c r="K228" t="s">
        <v>142</v>
      </c>
      <c r="L228" t="s">
        <v>143</v>
      </c>
      <c r="M228">
        <v>8.3888888888888888E-2</v>
      </c>
      <c r="N228">
        <v>302</v>
      </c>
      <c r="O228">
        <v>1241.22</v>
      </c>
      <c r="P228">
        <v>4.1100000000000003</v>
      </c>
      <c r="Q228">
        <v>302</v>
      </c>
    </row>
    <row r="229" spans="1:17" x14ac:dyDescent="0.35">
      <c r="A229" s="46">
        <v>46123</v>
      </c>
      <c r="B229" t="s">
        <v>136</v>
      </c>
      <c r="C229" t="s">
        <v>335</v>
      </c>
      <c r="D229" t="s">
        <v>399</v>
      </c>
      <c r="E229" t="s">
        <v>321</v>
      </c>
      <c r="F229" t="s">
        <v>443</v>
      </c>
      <c r="G229" t="s">
        <v>445</v>
      </c>
      <c r="H229" t="s">
        <v>331</v>
      </c>
      <c r="I229" t="s">
        <v>323</v>
      </c>
      <c r="J229" t="s">
        <v>324</v>
      </c>
      <c r="K229" t="s">
        <v>348</v>
      </c>
      <c r="L229" t="s">
        <v>349</v>
      </c>
      <c r="M229">
        <v>0.42805555555555558</v>
      </c>
      <c r="N229">
        <v>1541</v>
      </c>
      <c r="O229">
        <v>0</v>
      </c>
    </row>
    <row r="230" spans="1:17" x14ac:dyDescent="0.35">
      <c r="A230" s="46">
        <v>46123</v>
      </c>
      <c r="B230" t="s">
        <v>136</v>
      </c>
      <c r="C230" t="s">
        <v>452</v>
      </c>
      <c r="D230" t="s">
        <v>399</v>
      </c>
      <c r="E230" t="s">
        <v>321</v>
      </c>
      <c r="F230" t="s">
        <v>443</v>
      </c>
      <c r="G230" t="s">
        <v>445</v>
      </c>
      <c r="H230" t="s">
        <v>361</v>
      </c>
      <c r="I230" t="s">
        <v>323</v>
      </c>
      <c r="J230" t="s">
        <v>324</v>
      </c>
      <c r="K230" t="s">
        <v>350</v>
      </c>
      <c r="L230" t="s">
        <v>351</v>
      </c>
      <c r="M230">
        <v>4.7222222222222223E-3</v>
      </c>
      <c r="N230">
        <v>17</v>
      </c>
      <c r="O230">
        <v>51.169999999999995</v>
      </c>
      <c r="P230">
        <v>3.01</v>
      </c>
      <c r="Q230">
        <v>17</v>
      </c>
    </row>
    <row r="231" spans="1:17" x14ac:dyDescent="0.35">
      <c r="A231" s="46">
        <v>46123</v>
      </c>
      <c r="B231" t="s">
        <v>136</v>
      </c>
      <c r="C231" t="s">
        <v>335</v>
      </c>
      <c r="D231" t="s">
        <v>399</v>
      </c>
      <c r="E231" t="s">
        <v>321</v>
      </c>
      <c r="F231" t="s">
        <v>443</v>
      </c>
      <c r="G231" t="s">
        <v>445</v>
      </c>
      <c r="H231" t="s">
        <v>343</v>
      </c>
      <c r="I231" t="s">
        <v>323</v>
      </c>
      <c r="J231" t="s">
        <v>324</v>
      </c>
      <c r="K231" t="s">
        <v>350</v>
      </c>
      <c r="L231" t="s">
        <v>351</v>
      </c>
      <c r="M231">
        <v>1.3333333333333334E-2</v>
      </c>
      <c r="N231">
        <v>48</v>
      </c>
      <c r="O231">
        <v>161.28</v>
      </c>
      <c r="P231">
        <v>3.36</v>
      </c>
      <c r="Q231">
        <v>48</v>
      </c>
    </row>
    <row r="232" spans="1:17" x14ac:dyDescent="0.35">
      <c r="A232" s="46">
        <v>46123</v>
      </c>
      <c r="B232" t="s">
        <v>136</v>
      </c>
      <c r="C232" t="s">
        <v>452</v>
      </c>
      <c r="D232" t="s">
        <v>399</v>
      </c>
      <c r="E232" t="s">
        <v>321</v>
      </c>
      <c r="F232" t="s">
        <v>443</v>
      </c>
      <c r="G232" t="s">
        <v>445</v>
      </c>
      <c r="H232" t="s">
        <v>343</v>
      </c>
      <c r="I232" t="s">
        <v>323</v>
      </c>
      <c r="J232" t="s">
        <v>324</v>
      </c>
      <c r="K232" t="s">
        <v>350</v>
      </c>
      <c r="L232" t="s">
        <v>351</v>
      </c>
      <c r="M232">
        <v>0.02</v>
      </c>
      <c r="N232">
        <v>72</v>
      </c>
      <c r="O232">
        <v>210.96</v>
      </c>
      <c r="P232">
        <v>2.93</v>
      </c>
      <c r="Q232">
        <v>72</v>
      </c>
    </row>
    <row r="233" spans="1:17" x14ac:dyDescent="0.35">
      <c r="A233" s="46">
        <v>46123</v>
      </c>
      <c r="B233" t="s">
        <v>136</v>
      </c>
      <c r="C233" t="s">
        <v>386</v>
      </c>
      <c r="D233" t="s">
        <v>399</v>
      </c>
      <c r="E233" t="s">
        <v>321</v>
      </c>
      <c r="F233" t="s">
        <v>322</v>
      </c>
      <c r="G233" t="s">
        <v>322</v>
      </c>
      <c r="H233" t="s">
        <v>322</v>
      </c>
      <c r="I233" t="s">
        <v>323</v>
      </c>
      <c r="J233" t="s">
        <v>324</v>
      </c>
      <c r="K233" t="s">
        <v>350</v>
      </c>
      <c r="L233" t="s">
        <v>351</v>
      </c>
      <c r="M233">
        <v>3.7499999999999999E-2</v>
      </c>
      <c r="N233">
        <v>135</v>
      </c>
      <c r="O233">
        <v>443.94000000000005</v>
      </c>
      <c r="P233">
        <v>3.2884444444444449</v>
      </c>
      <c r="Q233">
        <v>135</v>
      </c>
    </row>
    <row r="234" spans="1:17" x14ac:dyDescent="0.35">
      <c r="A234" s="46">
        <v>46123</v>
      </c>
      <c r="B234" t="s">
        <v>136</v>
      </c>
      <c r="C234" t="s">
        <v>335</v>
      </c>
      <c r="D234" t="s">
        <v>399</v>
      </c>
      <c r="E234" t="s">
        <v>321</v>
      </c>
      <c r="F234" t="s">
        <v>443</v>
      </c>
      <c r="G234" t="s">
        <v>445</v>
      </c>
      <c r="H234" t="s">
        <v>331</v>
      </c>
      <c r="I234" t="s">
        <v>323</v>
      </c>
      <c r="J234" t="s">
        <v>324</v>
      </c>
      <c r="K234" t="s">
        <v>350</v>
      </c>
      <c r="L234" t="s">
        <v>351</v>
      </c>
      <c r="M234">
        <v>6.6944444444444445E-2</v>
      </c>
      <c r="N234">
        <v>241</v>
      </c>
      <c r="O234">
        <v>792.89</v>
      </c>
      <c r="P234">
        <v>3.29</v>
      </c>
      <c r="Q234">
        <v>241</v>
      </c>
    </row>
    <row r="235" spans="1:17" x14ac:dyDescent="0.35">
      <c r="A235" s="46">
        <v>46123</v>
      </c>
      <c r="B235" t="s">
        <v>136</v>
      </c>
      <c r="C235" t="s">
        <v>386</v>
      </c>
      <c r="D235" t="s">
        <v>399</v>
      </c>
      <c r="E235" t="s">
        <v>321</v>
      </c>
      <c r="F235" t="s">
        <v>443</v>
      </c>
      <c r="G235" t="s">
        <v>445</v>
      </c>
      <c r="H235" t="s">
        <v>361</v>
      </c>
      <c r="I235" t="s">
        <v>323</v>
      </c>
      <c r="J235" t="s">
        <v>324</v>
      </c>
      <c r="K235" t="s">
        <v>350</v>
      </c>
      <c r="L235" t="s">
        <v>351</v>
      </c>
      <c r="M235">
        <v>0.12111111111111111</v>
      </c>
      <c r="N235">
        <v>436</v>
      </c>
      <c r="O235">
        <v>1189.4100000000001</v>
      </c>
      <c r="P235">
        <v>2.7280045871559633</v>
      </c>
      <c r="Q235">
        <v>436</v>
      </c>
    </row>
    <row r="236" spans="1:17" x14ac:dyDescent="0.35">
      <c r="A236" s="46">
        <v>46123</v>
      </c>
      <c r="B236" t="s">
        <v>136</v>
      </c>
      <c r="C236" t="s">
        <v>386</v>
      </c>
      <c r="D236" t="s">
        <v>399</v>
      </c>
      <c r="E236" t="s">
        <v>321</v>
      </c>
      <c r="F236" t="s">
        <v>443</v>
      </c>
      <c r="G236" t="s">
        <v>445</v>
      </c>
      <c r="H236" t="s">
        <v>343</v>
      </c>
      <c r="I236" t="s">
        <v>323</v>
      </c>
      <c r="J236" t="s">
        <v>324</v>
      </c>
      <c r="K236" t="s">
        <v>350</v>
      </c>
      <c r="L236" t="s">
        <v>351</v>
      </c>
      <c r="M236">
        <v>0.16888888888888889</v>
      </c>
      <c r="N236">
        <v>608</v>
      </c>
      <c r="O236">
        <v>1820.1399999999999</v>
      </c>
      <c r="P236">
        <v>2.9936513157894735</v>
      </c>
      <c r="Q236">
        <v>608</v>
      </c>
    </row>
    <row r="237" spans="1:17" x14ac:dyDescent="0.35">
      <c r="A237" s="46">
        <v>46123</v>
      </c>
      <c r="B237" t="s">
        <v>136</v>
      </c>
      <c r="C237" t="s">
        <v>335</v>
      </c>
      <c r="D237" t="s">
        <v>399</v>
      </c>
      <c r="E237" t="s">
        <v>321</v>
      </c>
      <c r="F237" t="s">
        <v>332</v>
      </c>
      <c r="G237" t="s">
        <v>333</v>
      </c>
      <c r="H237" t="s">
        <v>366</v>
      </c>
      <c r="I237" t="s">
        <v>323</v>
      </c>
      <c r="J237" t="s">
        <v>324</v>
      </c>
      <c r="K237" t="s">
        <v>350</v>
      </c>
      <c r="L237" t="s">
        <v>351</v>
      </c>
      <c r="M237">
        <v>0.22416666666666665</v>
      </c>
      <c r="N237">
        <v>807</v>
      </c>
      <c r="O237">
        <v>2551.7999999999997</v>
      </c>
      <c r="P237">
        <v>3.1620817843866167</v>
      </c>
      <c r="Q237">
        <v>807</v>
      </c>
    </row>
    <row r="238" spans="1:17" x14ac:dyDescent="0.35">
      <c r="A238" s="46">
        <v>46123</v>
      </c>
      <c r="B238" t="s">
        <v>136</v>
      </c>
      <c r="C238" t="s">
        <v>386</v>
      </c>
      <c r="D238" t="s">
        <v>399</v>
      </c>
      <c r="E238" t="s">
        <v>321</v>
      </c>
      <c r="F238" t="s">
        <v>443</v>
      </c>
      <c r="G238" t="s">
        <v>445</v>
      </c>
      <c r="H238" t="s">
        <v>331</v>
      </c>
      <c r="I238" t="s">
        <v>323</v>
      </c>
      <c r="J238" t="s">
        <v>324</v>
      </c>
      <c r="K238" t="s">
        <v>350</v>
      </c>
      <c r="L238" t="s">
        <v>351</v>
      </c>
      <c r="M238">
        <v>0.28694444444444445</v>
      </c>
      <c r="N238">
        <v>1033</v>
      </c>
      <c r="O238">
        <v>3004.1800000000003</v>
      </c>
      <c r="P238">
        <v>2.908209099709584</v>
      </c>
      <c r="Q238">
        <v>1033</v>
      </c>
    </row>
    <row r="239" spans="1:17" x14ac:dyDescent="0.35">
      <c r="A239" s="46">
        <v>46123</v>
      </c>
      <c r="B239" t="s">
        <v>136</v>
      </c>
      <c r="C239" t="s">
        <v>335</v>
      </c>
      <c r="D239" t="s">
        <v>399</v>
      </c>
      <c r="E239" t="s">
        <v>321</v>
      </c>
      <c r="F239" t="s">
        <v>322</v>
      </c>
      <c r="G239" t="s">
        <v>322</v>
      </c>
      <c r="H239" t="s">
        <v>322</v>
      </c>
      <c r="I239" t="s">
        <v>323</v>
      </c>
      <c r="J239" t="s">
        <v>324</v>
      </c>
      <c r="K239" t="s">
        <v>383</v>
      </c>
      <c r="L239" t="s">
        <v>384</v>
      </c>
      <c r="M239">
        <v>0.50111111111111106</v>
      </c>
      <c r="N239">
        <v>1804</v>
      </c>
      <c r="O239">
        <v>0</v>
      </c>
    </row>
    <row r="240" spans="1:17" x14ac:dyDescent="0.35">
      <c r="A240" s="46">
        <v>46123</v>
      </c>
      <c r="B240" t="s">
        <v>136</v>
      </c>
      <c r="C240" t="s">
        <v>335</v>
      </c>
      <c r="D240" t="s">
        <v>399</v>
      </c>
      <c r="E240" t="s">
        <v>321</v>
      </c>
      <c r="F240" t="s">
        <v>92</v>
      </c>
      <c r="G240" t="s">
        <v>325</v>
      </c>
      <c r="H240" t="s">
        <v>334</v>
      </c>
      <c r="I240" t="s">
        <v>323</v>
      </c>
      <c r="J240" t="s">
        <v>324</v>
      </c>
      <c r="K240" t="s">
        <v>383</v>
      </c>
      <c r="L240" t="s">
        <v>384</v>
      </c>
      <c r="M240">
        <v>0.51222222222222225</v>
      </c>
      <c r="N240">
        <v>1844</v>
      </c>
      <c r="O240">
        <v>0</v>
      </c>
    </row>
    <row r="241" spans="1:17" x14ac:dyDescent="0.35">
      <c r="A241" s="46">
        <v>46123</v>
      </c>
      <c r="B241" t="s">
        <v>136</v>
      </c>
      <c r="C241" t="s">
        <v>335</v>
      </c>
      <c r="D241" t="s">
        <v>399</v>
      </c>
      <c r="E241" t="s">
        <v>321</v>
      </c>
      <c r="F241" t="s">
        <v>443</v>
      </c>
      <c r="G241" t="s">
        <v>444</v>
      </c>
      <c r="H241" t="s">
        <v>330</v>
      </c>
      <c r="I241" t="s">
        <v>323</v>
      </c>
      <c r="J241" t="s">
        <v>324</v>
      </c>
      <c r="K241" t="s">
        <v>383</v>
      </c>
      <c r="L241" t="s">
        <v>384</v>
      </c>
      <c r="M241">
        <v>0.50083333333333335</v>
      </c>
      <c r="N241">
        <v>1803</v>
      </c>
      <c r="O241">
        <v>0</v>
      </c>
    </row>
    <row r="242" spans="1:17" x14ac:dyDescent="0.35">
      <c r="A242" s="46">
        <v>46123</v>
      </c>
      <c r="B242" t="s">
        <v>136</v>
      </c>
      <c r="C242" t="s">
        <v>335</v>
      </c>
      <c r="D242" t="s">
        <v>399</v>
      </c>
      <c r="E242" t="s">
        <v>321</v>
      </c>
      <c r="F242" t="s">
        <v>443</v>
      </c>
      <c r="G242" t="s">
        <v>445</v>
      </c>
      <c r="H242" t="s">
        <v>361</v>
      </c>
      <c r="I242" t="s">
        <v>323</v>
      </c>
      <c r="J242" t="s">
        <v>324</v>
      </c>
      <c r="K242" t="s">
        <v>383</v>
      </c>
      <c r="L242" t="s">
        <v>384</v>
      </c>
      <c r="M242">
        <v>0.22361111111111112</v>
      </c>
      <c r="N242">
        <v>805</v>
      </c>
      <c r="O242">
        <v>0</v>
      </c>
    </row>
    <row r="243" spans="1:17" x14ac:dyDescent="0.35">
      <c r="A243" s="46">
        <v>46123</v>
      </c>
      <c r="B243" t="s">
        <v>136</v>
      </c>
      <c r="C243" t="s">
        <v>335</v>
      </c>
      <c r="D243" t="s">
        <v>399</v>
      </c>
      <c r="E243" t="s">
        <v>321</v>
      </c>
      <c r="F243" t="s">
        <v>322</v>
      </c>
      <c r="G243" t="s">
        <v>322</v>
      </c>
      <c r="H243" t="s">
        <v>322</v>
      </c>
      <c r="I243" t="s">
        <v>323</v>
      </c>
      <c r="J243" t="s">
        <v>324</v>
      </c>
      <c r="K243" t="s">
        <v>170</v>
      </c>
      <c r="L243" t="s">
        <v>171</v>
      </c>
      <c r="M243">
        <v>7.0824999999999996</v>
      </c>
      <c r="N243">
        <v>25497</v>
      </c>
      <c r="O243">
        <v>0</v>
      </c>
    </row>
    <row r="244" spans="1:17" x14ac:dyDescent="0.35">
      <c r="A244" s="46">
        <v>46123</v>
      </c>
      <c r="B244" t="s">
        <v>136</v>
      </c>
      <c r="C244" t="s">
        <v>335</v>
      </c>
      <c r="D244" t="s">
        <v>399</v>
      </c>
      <c r="E244" t="s">
        <v>321</v>
      </c>
      <c r="F244" t="s">
        <v>332</v>
      </c>
      <c r="G244" t="s">
        <v>333</v>
      </c>
      <c r="H244" t="s">
        <v>327</v>
      </c>
      <c r="I244" t="s">
        <v>323</v>
      </c>
      <c r="J244" t="s">
        <v>324</v>
      </c>
      <c r="K244" t="s">
        <v>170</v>
      </c>
      <c r="L244" t="s">
        <v>171</v>
      </c>
      <c r="M244">
        <v>0.69166666666666665</v>
      </c>
      <c r="N244">
        <v>2490</v>
      </c>
      <c r="O244">
        <v>0</v>
      </c>
    </row>
    <row r="245" spans="1:17" x14ac:dyDescent="0.35">
      <c r="A245" s="46">
        <v>46123</v>
      </c>
      <c r="B245" t="s">
        <v>136</v>
      </c>
      <c r="C245" t="s">
        <v>335</v>
      </c>
      <c r="D245" t="s">
        <v>399</v>
      </c>
      <c r="E245" t="s">
        <v>321</v>
      </c>
      <c r="F245" t="s">
        <v>92</v>
      </c>
      <c r="G245" t="s">
        <v>325</v>
      </c>
      <c r="H245" t="s">
        <v>366</v>
      </c>
      <c r="I245" t="s">
        <v>323</v>
      </c>
      <c r="J245" t="s">
        <v>324</v>
      </c>
      <c r="K245" t="s">
        <v>170</v>
      </c>
      <c r="L245" t="s">
        <v>171</v>
      </c>
      <c r="M245">
        <v>1.1611111111111112</v>
      </c>
      <c r="N245">
        <v>4180</v>
      </c>
      <c r="O245">
        <v>0</v>
      </c>
    </row>
    <row r="246" spans="1:17" x14ac:dyDescent="0.35">
      <c r="A246" s="46">
        <v>46123</v>
      </c>
      <c r="B246" t="s">
        <v>136</v>
      </c>
      <c r="C246" t="s">
        <v>386</v>
      </c>
      <c r="D246" t="s">
        <v>399</v>
      </c>
      <c r="E246" t="s">
        <v>321</v>
      </c>
      <c r="F246" t="s">
        <v>443</v>
      </c>
      <c r="G246" t="s">
        <v>445</v>
      </c>
      <c r="H246" t="s">
        <v>331</v>
      </c>
      <c r="I246" t="s">
        <v>323</v>
      </c>
      <c r="J246" t="s">
        <v>324</v>
      </c>
      <c r="K246" t="s">
        <v>170</v>
      </c>
      <c r="L246" t="s">
        <v>171</v>
      </c>
      <c r="M246">
        <v>0.36916666666666664</v>
      </c>
      <c r="N246">
        <v>1329</v>
      </c>
      <c r="O246">
        <v>0</v>
      </c>
    </row>
    <row r="247" spans="1:17" x14ac:dyDescent="0.35">
      <c r="A247" s="46">
        <v>46123</v>
      </c>
      <c r="B247" t="s">
        <v>136</v>
      </c>
      <c r="C247" t="s">
        <v>452</v>
      </c>
      <c r="D247" t="s">
        <v>399</v>
      </c>
      <c r="E247" t="s">
        <v>321</v>
      </c>
      <c r="F247" t="s">
        <v>443</v>
      </c>
      <c r="G247" t="s">
        <v>445</v>
      </c>
      <c r="H247" t="s">
        <v>331</v>
      </c>
      <c r="I247" t="s">
        <v>323</v>
      </c>
      <c r="J247" t="s">
        <v>324</v>
      </c>
      <c r="K247" t="s">
        <v>170</v>
      </c>
      <c r="L247" t="s">
        <v>171</v>
      </c>
      <c r="M247">
        <v>9.1666666666666667E-3</v>
      </c>
      <c r="N247">
        <v>33</v>
      </c>
      <c r="O247">
        <v>0</v>
      </c>
    </row>
    <row r="248" spans="1:17" x14ac:dyDescent="0.35">
      <c r="A248" s="46">
        <v>46123</v>
      </c>
      <c r="B248" t="s">
        <v>136</v>
      </c>
      <c r="C248" t="s">
        <v>335</v>
      </c>
      <c r="D248" t="s">
        <v>399</v>
      </c>
      <c r="E248" t="s">
        <v>321</v>
      </c>
      <c r="F248" t="s">
        <v>443</v>
      </c>
      <c r="G248" t="s">
        <v>445</v>
      </c>
      <c r="H248" t="s">
        <v>331</v>
      </c>
      <c r="I248" t="s">
        <v>323</v>
      </c>
      <c r="J248" t="s">
        <v>324</v>
      </c>
      <c r="K248" t="s">
        <v>170</v>
      </c>
      <c r="L248" t="s">
        <v>171</v>
      </c>
      <c r="M248">
        <v>9.8888888888888887E-2</v>
      </c>
      <c r="N248">
        <v>356</v>
      </c>
      <c r="O248">
        <v>0</v>
      </c>
    </row>
    <row r="249" spans="1:17" x14ac:dyDescent="0.35">
      <c r="A249" s="46">
        <v>46123</v>
      </c>
      <c r="B249" t="s">
        <v>136</v>
      </c>
      <c r="C249" t="s">
        <v>386</v>
      </c>
      <c r="D249" t="s">
        <v>399</v>
      </c>
      <c r="E249" t="s">
        <v>321</v>
      </c>
      <c r="F249" t="s">
        <v>443</v>
      </c>
      <c r="G249" t="s">
        <v>445</v>
      </c>
      <c r="H249" t="s">
        <v>361</v>
      </c>
      <c r="I249" t="s">
        <v>323</v>
      </c>
      <c r="J249" t="s">
        <v>324</v>
      </c>
      <c r="K249" t="s">
        <v>170</v>
      </c>
      <c r="L249" t="s">
        <v>171</v>
      </c>
      <c r="M249">
        <v>0.41666666666666669</v>
      </c>
      <c r="N249">
        <v>1500</v>
      </c>
      <c r="O249">
        <v>0</v>
      </c>
    </row>
    <row r="250" spans="1:17" x14ac:dyDescent="0.35">
      <c r="A250" s="46">
        <v>46123</v>
      </c>
      <c r="B250" t="s">
        <v>136</v>
      </c>
      <c r="C250" t="s">
        <v>386</v>
      </c>
      <c r="D250" t="s">
        <v>399</v>
      </c>
      <c r="E250" t="s">
        <v>321</v>
      </c>
      <c r="F250" t="s">
        <v>443</v>
      </c>
      <c r="G250" t="s">
        <v>445</v>
      </c>
      <c r="H250" t="s">
        <v>343</v>
      </c>
      <c r="I250" t="s">
        <v>323</v>
      </c>
      <c r="J250" t="s">
        <v>324</v>
      </c>
      <c r="K250" t="s">
        <v>170</v>
      </c>
      <c r="L250" t="s">
        <v>171</v>
      </c>
      <c r="M250">
        <v>0.7533333333333333</v>
      </c>
      <c r="N250">
        <v>2712</v>
      </c>
      <c r="O250">
        <v>0</v>
      </c>
    </row>
    <row r="251" spans="1:17" x14ac:dyDescent="0.35">
      <c r="A251" s="46">
        <v>46123</v>
      </c>
      <c r="B251" t="s">
        <v>136</v>
      </c>
      <c r="C251" t="s">
        <v>335</v>
      </c>
      <c r="D251" t="s">
        <v>399</v>
      </c>
      <c r="E251" t="s">
        <v>321</v>
      </c>
      <c r="F251" t="s">
        <v>328</v>
      </c>
      <c r="G251" t="s">
        <v>329</v>
      </c>
      <c r="H251" t="s">
        <v>327</v>
      </c>
      <c r="I251" t="s">
        <v>323</v>
      </c>
      <c r="J251" t="s">
        <v>324</v>
      </c>
      <c r="K251" t="s">
        <v>170</v>
      </c>
      <c r="L251" t="s">
        <v>171</v>
      </c>
      <c r="M251">
        <v>4.8816666666666668</v>
      </c>
      <c r="N251">
        <v>17574</v>
      </c>
      <c r="O251">
        <v>0</v>
      </c>
    </row>
    <row r="252" spans="1:17" x14ac:dyDescent="0.35">
      <c r="A252" s="46">
        <v>46123</v>
      </c>
      <c r="B252" t="s">
        <v>136</v>
      </c>
      <c r="C252" t="s">
        <v>335</v>
      </c>
      <c r="D252" t="s">
        <v>399</v>
      </c>
      <c r="E252" t="s">
        <v>321</v>
      </c>
      <c r="F252" t="s">
        <v>332</v>
      </c>
      <c r="G252" t="s">
        <v>333</v>
      </c>
      <c r="H252" t="s">
        <v>366</v>
      </c>
      <c r="I252" t="s">
        <v>323</v>
      </c>
      <c r="J252" t="s">
        <v>324</v>
      </c>
      <c r="K252" t="s">
        <v>178</v>
      </c>
      <c r="L252" t="s">
        <v>179</v>
      </c>
      <c r="M252">
        <v>1.1666666666666667E-2</v>
      </c>
      <c r="N252">
        <v>42</v>
      </c>
      <c r="O252">
        <v>0</v>
      </c>
    </row>
    <row r="253" spans="1:17" x14ac:dyDescent="0.35">
      <c r="A253" s="46">
        <v>46123</v>
      </c>
      <c r="B253" t="s">
        <v>136</v>
      </c>
      <c r="C253" t="s">
        <v>335</v>
      </c>
      <c r="D253" t="s">
        <v>399</v>
      </c>
      <c r="E253" t="s">
        <v>321</v>
      </c>
      <c r="F253" t="s">
        <v>443</v>
      </c>
      <c r="G253" t="s">
        <v>445</v>
      </c>
      <c r="H253" t="s">
        <v>343</v>
      </c>
      <c r="I253" t="s">
        <v>323</v>
      </c>
      <c r="J253" t="s">
        <v>324</v>
      </c>
      <c r="K253" t="s">
        <v>178</v>
      </c>
      <c r="L253" t="s">
        <v>179</v>
      </c>
      <c r="M253">
        <v>6.3055555555555559E-2</v>
      </c>
      <c r="N253">
        <v>227</v>
      </c>
      <c r="O253">
        <v>0</v>
      </c>
    </row>
    <row r="254" spans="1:17" x14ac:dyDescent="0.35">
      <c r="A254" s="46">
        <v>46123</v>
      </c>
      <c r="B254" t="s">
        <v>136</v>
      </c>
      <c r="C254" t="s">
        <v>390</v>
      </c>
      <c r="D254" t="s">
        <v>400</v>
      </c>
      <c r="E254" t="s">
        <v>337</v>
      </c>
      <c r="F254" t="s">
        <v>87</v>
      </c>
      <c r="G254" t="s">
        <v>356</v>
      </c>
      <c r="H254" t="s">
        <v>330</v>
      </c>
      <c r="I254" t="s">
        <v>323</v>
      </c>
      <c r="J254" t="s">
        <v>324</v>
      </c>
      <c r="K254" t="s">
        <v>168</v>
      </c>
      <c r="L254" t="s">
        <v>169</v>
      </c>
      <c r="M254">
        <v>0.16638888888888889</v>
      </c>
      <c r="N254">
        <v>599</v>
      </c>
      <c r="O254">
        <v>0</v>
      </c>
    </row>
    <row r="255" spans="1:17" x14ac:dyDescent="0.35">
      <c r="A255" s="46">
        <v>46123</v>
      </c>
      <c r="B255" t="s">
        <v>136</v>
      </c>
      <c r="C255" t="s">
        <v>390</v>
      </c>
      <c r="D255" t="s">
        <v>400</v>
      </c>
      <c r="E255" t="s">
        <v>337</v>
      </c>
      <c r="F255" t="s">
        <v>87</v>
      </c>
      <c r="G255" t="s">
        <v>356</v>
      </c>
      <c r="H255" t="s">
        <v>361</v>
      </c>
      <c r="I255" t="s">
        <v>323</v>
      </c>
      <c r="J255" t="s">
        <v>324</v>
      </c>
      <c r="K255" t="s">
        <v>168</v>
      </c>
      <c r="L255" t="s">
        <v>169</v>
      </c>
      <c r="M255">
        <v>2.5000000000000001E-2</v>
      </c>
      <c r="N255">
        <v>90</v>
      </c>
      <c r="O255">
        <v>0</v>
      </c>
    </row>
    <row r="256" spans="1:17" x14ac:dyDescent="0.35">
      <c r="A256" s="46">
        <v>46123</v>
      </c>
      <c r="B256" t="s">
        <v>136</v>
      </c>
      <c r="C256" t="s">
        <v>390</v>
      </c>
      <c r="D256" t="s">
        <v>400</v>
      </c>
      <c r="E256" t="s">
        <v>337</v>
      </c>
      <c r="F256" t="s">
        <v>87</v>
      </c>
      <c r="G256" t="s">
        <v>340</v>
      </c>
      <c r="H256" t="s">
        <v>327</v>
      </c>
      <c r="I256" t="s">
        <v>323</v>
      </c>
      <c r="J256" t="s">
        <v>324</v>
      </c>
      <c r="K256" t="s">
        <v>345</v>
      </c>
      <c r="L256" t="s">
        <v>346</v>
      </c>
      <c r="M256">
        <v>5.0000000000000001E-3</v>
      </c>
      <c r="N256">
        <v>18</v>
      </c>
      <c r="O256">
        <v>31.68</v>
      </c>
      <c r="P256">
        <v>1.76</v>
      </c>
      <c r="Q256">
        <v>18</v>
      </c>
    </row>
    <row r="257" spans="1:17" x14ac:dyDescent="0.35">
      <c r="A257" s="46">
        <v>46123</v>
      </c>
      <c r="B257" t="s">
        <v>136</v>
      </c>
      <c r="C257" t="s">
        <v>335</v>
      </c>
      <c r="D257" t="s">
        <v>400</v>
      </c>
      <c r="E257" t="s">
        <v>337</v>
      </c>
      <c r="F257" t="s">
        <v>87</v>
      </c>
      <c r="G257" t="s">
        <v>356</v>
      </c>
      <c r="H257" t="s">
        <v>330</v>
      </c>
      <c r="I257" t="s">
        <v>323</v>
      </c>
      <c r="J257" t="s">
        <v>324</v>
      </c>
      <c r="K257" t="s">
        <v>345</v>
      </c>
      <c r="L257" t="s">
        <v>346</v>
      </c>
      <c r="M257">
        <v>2.9166666666666667E-2</v>
      </c>
      <c r="N257">
        <v>105</v>
      </c>
      <c r="O257">
        <v>498.75</v>
      </c>
      <c r="P257">
        <v>4.75</v>
      </c>
      <c r="Q257">
        <v>105</v>
      </c>
    </row>
    <row r="258" spans="1:17" x14ac:dyDescent="0.35">
      <c r="A258" s="46">
        <v>46123</v>
      </c>
      <c r="B258" t="s">
        <v>136</v>
      </c>
      <c r="C258" t="s">
        <v>401</v>
      </c>
      <c r="D258" t="s">
        <v>400</v>
      </c>
      <c r="E258" t="s">
        <v>337</v>
      </c>
      <c r="F258" t="s">
        <v>87</v>
      </c>
      <c r="G258" t="s">
        <v>356</v>
      </c>
      <c r="H258" t="s">
        <v>330</v>
      </c>
      <c r="I258" t="s">
        <v>323</v>
      </c>
      <c r="J258" t="s">
        <v>324</v>
      </c>
      <c r="K258" t="s">
        <v>345</v>
      </c>
      <c r="L258" t="s">
        <v>346</v>
      </c>
      <c r="M258">
        <v>7.2777777777777775E-2</v>
      </c>
      <c r="N258">
        <v>262</v>
      </c>
      <c r="O258">
        <v>1202.58</v>
      </c>
      <c r="P258">
        <v>4.59</v>
      </c>
      <c r="Q258">
        <v>262</v>
      </c>
    </row>
    <row r="259" spans="1:17" x14ac:dyDescent="0.35">
      <c r="A259" s="46">
        <v>46123</v>
      </c>
      <c r="B259" t="s">
        <v>136</v>
      </c>
      <c r="C259" t="s">
        <v>335</v>
      </c>
      <c r="D259" t="s">
        <v>400</v>
      </c>
      <c r="E259" t="s">
        <v>337</v>
      </c>
      <c r="F259" t="s">
        <v>87</v>
      </c>
      <c r="G259" t="s">
        <v>356</v>
      </c>
      <c r="H259" t="s">
        <v>343</v>
      </c>
      <c r="I259" t="s">
        <v>323</v>
      </c>
      <c r="J259" t="s">
        <v>324</v>
      </c>
      <c r="K259" t="s">
        <v>345</v>
      </c>
      <c r="L259" t="s">
        <v>346</v>
      </c>
      <c r="M259">
        <v>0.31638888888888889</v>
      </c>
      <c r="N259">
        <v>1139</v>
      </c>
      <c r="O259">
        <v>4433.6499999999996</v>
      </c>
      <c r="P259">
        <v>3.8925812115891127</v>
      </c>
      <c r="Q259">
        <v>1139</v>
      </c>
    </row>
    <row r="260" spans="1:17" x14ac:dyDescent="0.35">
      <c r="A260" s="46">
        <v>46123</v>
      </c>
      <c r="B260" t="s">
        <v>136</v>
      </c>
      <c r="C260" t="s">
        <v>453</v>
      </c>
      <c r="D260" t="s">
        <v>400</v>
      </c>
      <c r="E260" t="s">
        <v>337</v>
      </c>
      <c r="F260" t="s">
        <v>87</v>
      </c>
      <c r="G260" t="s">
        <v>356</v>
      </c>
      <c r="H260" t="s">
        <v>361</v>
      </c>
      <c r="I260" t="s">
        <v>323</v>
      </c>
      <c r="J260" t="s">
        <v>324</v>
      </c>
      <c r="K260" t="s">
        <v>345</v>
      </c>
      <c r="L260" t="s">
        <v>346</v>
      </c>
      <c r="M260">
        <v>0.89416666666666667</v>
      </c>
      <c r="N260">
        <v>3219</v>
      </c>
      <c r="O260">
        <v>10775.58</v>
      </c>
      <c r="P260">
        <v>3.3474930102516307</v>
      </c>
      <c r="Q260">
        <v>3219</v>
      </c>
    </row>
    <row r="261" spans="1:17" x14ac:dyDescent="0.35">
      <c r="A261" s="46">
        <v>46123</v>
      </c>
      <c r="B261" t="s">
        <v>136</v>
      </c>
      <c r="C261" t="s">
        <v>390</v>
      </c>
      <c r="D261" t="s">
        <v>400</v>
      </c>
      <c r="E261" t="s">
        <v>337</v>
      </c>
      <c r="F261" t="s">
        <v>87</v>
      </c>
      <c r="G261" t="s">
        <v>356</v>
      </c>
      <c r="H261" t="s">
        <v>361</v>
      </c>
      <c r="I261" t="s">
        <v>323</v>
      </c>
      <c r="J261" t="s">
        <v>324</v>
      </c>
      <c r="K261" t="s">
        <v>345</v>
      </c>
      <c r="L261" t="s">
        <v>346</v>
      </c>
      <c r="M261">
        <v>0.9555555555555556</v>
      </c>
      <c r="N261">
        <v>3440</v>
      </c>
      <c r="O261">
        <v>11840.5</v>
      </c>
      <c r="P261">
        <v>3.4420058139534886</v>
      </c>
      <c r="Q261">
        <v>3440</v>
      </c>
    </row>
    <row r="262" spans="1:17" x14ac:dyDescent="0.35">
      <c r="A262" s="46">
        <v>46123</v>
      </c>
      <c r="B262" t="s">
        <v>136</v>
      </c>
      <c r="C262" t="s">
        <v>453</v>
      </c>
      <c r="D262" t="s">
        <v>400</v>
      </c>
      <c r="E262" t="s">
        <v>337</v>
      </c>
      <c r="F262" t="s">
        <v>87</v>
      </c>
      <c r="G262" t="s">
        <v>356</v>
      </c>
      <c r="H262" t="s">
        <v>330</v>
      </c>
      <c r="I262" t="s">
        <v>323</v>
      </c>
      <c r="J262" t="s">
        <v>324</v>
      </c>
      <c r="K262" t="s">
        <v>345</v>
      </c>
      <c r="L262" t="s">
        <v>346</v>
      </c>
      <c r="M262">
        <v>0.94527777777777777</v>
      </c>
      <c r="N262">
        <v>3403</v>
      </c>
      <c r="O262">
        <v>12879.45</v>
      </c>
      <c r="P262">
        <v>3.7847340581839557</v>
      </c>
      <c r="Q262">
        <v>3403</v>
      </c>
    </row>
    <row r="263" spans="1:17" x14ac:dyDescent="0.35">
      <c r="A263" s="46">
        <v>46123</v>
      </c>
      <c r="B263" t="s">
        <v>136</v>
      </c>
      <c r="C263" t="s">
        <v>453</v>
      </c>
      <c r="D263" t="s">
        <v>400</v>
      </c>
      <c r="E263" t="s">
        <v>337</v>
      </c>
      <c r="F263" t="s">
        <v>87</v>
      </c>
      <c r="G263" t="s">
        <v>356</v>
      </c>
      <c r="H263" t="s">
        <v>343</v>
      </c>
      <c r="I263" t="s">
        <v>323</v>
      </c>
      <c r="J263" t="s">
        <v>324</v>
      </c>
      <c r="K263" t="s">
        <v>345</v>
      </c>
      <c r="L263" t="s">
        <v>346</v>
      </c>
      <c r="M263">
        <v>1.1477777777777778</v>
      </c>
      <c r="N263">
        <v>4132</v>
      </c>
      <c r="O263">
        <v>16028.57</v>
      </c>
      <c r="P263">
        <v>3.8791311713455952</v>
      </c>
      <c r="Q263">
        <v>4132</v>
      </c>
    </row>
    <row r="264" spans="1:17" x14ac:dyDescent="0.35">
      <c r="A264" s="46">
        <v>46123</v>
      </c>
      <c r="B264" t="s">
        <v>136</v>
      </c>
      <c r="C264" t="s">
        <v>390</v>
      </c>
      <c r="D264" t="s">
        <v>400</v>
      </c>
      <c r="E264" t="s">
        <v>337</v>
      </c>
      <c r="F264" t="s">
        <v>87</v>
      </c>
      <c r="G264" t="s">
        <v>356</v>
      </c>
      <c r="H264" t="s">
        <v>330</v>
      </c>
      <c r="I264" t="s">
        <v>323</v>
      </c>
      <c r="J264" t="s">
        <v>324</v>
      </c>
      <c r="K264" t="s">
        <v>345</v>
      </c>
      <c r="L264" t="s">
        <v>346</v>
      </c>
      <c r="M264">
        <v>2.9097222222222223</v>
      </c>
      <c r="N264">
        <v>10475</v>
      </c>
      <c r="O264">
        <v>45172.01</v>
      </c>
      <c r="P264">
        <v>4.3123637231503578</v>
      </c>
      <c r="Q264">
        <v>10475</v>
      </c>
    </row>
    <row r="265" spans="1:17" x14ac:dyDescent="0.35">
      <c r="A265" s="46">
        <v>46123</v>
      </c>
      <c r="B265" t="s">
        <v>136</v>
      </c>
      <c r="C265" t="s">
        <v>453</v>
      </c>
      <c r="D265" t="s">
        <v>400</v>
      </c>
      <c r="E265" t="s">
        <v>337</v>
      </c>
      <c r="F265" t="s">
        <v>322</v>
      </c>
      <c r="G265" t="s">
        <v>322</v>
      </c>
      <c r="H265" t="s">
        <v>322</v>
      </c>
      <c r="I265" t="s">
        <v>323</v>
      </c>
      <c r="J265" t="s">
        <v>324</v>
      </c>
      <c r="K265" t="s">
        <v>142</v>
      </c>
      <c r="L265" t="s">
        <v>143</v>
      </c>
      <c r="M265">
        <v>2.0555555555555556E-2</v>
      </c>
      <c r="N265">
        <v>74</v>
      </c>
      <c r="O265">
        <v>281.94</v>
      </c>
      <c r="P265">
        <v>3.81</v>
      </c>
      <c r="Q265">
        <v>74</v>
      </c>
    </row>
    <row r="266" spans="1:17" x14ac:dyDescent="0.35">
      <c r="A266" s="46">
        <v>46123</v>
      </c>
      <c r="B266" t="s">
        <v>136</v>
      </c>
      <c r="C266" t="s">
        <v>335</v>
      </c>
      <c r="D266" t="s">
        <v>400</v>
      </c>
      <c r="E266" t="s">
        <v>337</v>
      </c>
      <c r="F266" t="s">
        <v>87</v>
      </c>
      <c r="G266" t="s">
        <v>340</v>
      </c>
      <c r="H266" t="s">
        <v>331</v>
      </c>
      <c r="I266" t="s">
        <v>323</v>
      </c>
      <c r="J266" t="s">
        <v>324</v>
      </c>
      <c r="K266" t="s">
        <v>142</v>
      </c>
      <c r="L266" t="s">
        <v>143</v>
      </c>
      <c r="M266">
        <v>6.0833333333333336E-2</v>
      </c>
      <c r="N266">
        <v>219</v>
      </c>
      <c r="O266">
        <v>512.45999999999992</v>
      </c>
      <c r="P266">
        <v>2.34</v>
      </c>
      <c r="Q266">
        <v>219</v>
      </c>
    </row>
    <row r="267" spans="1:17" x14ac:dyDescent="0.35">
      <c r="A267" s="46">
        <v>46123</v>
      </c>
      <c r="B267" t="s">
        <v>136</v>
      </c>
      <c r="C267" t="s">
        <v>453</v>
      </c>
      <c r="D267" t="s">
        <v>400</v>
      </c>
      <c r="E267" t="s">
        <v>337</v>
      </c>
      <c r="F267" t="s">
        <v>87</v>
      </c>
      <c r="G267" t="s">
        <v>356</v>
      </c>
      <c r="H267" t="s">
        <v>343</v>
      </c>
      <c r="I267" t="s">
        <v>323</v>
      </c>
      <c r="J267" t="s">
        <v>324</v>
      </c>
      <c r="K267" t="s">
        <v>142</v>
      </c>
      <c r="L267" t="s">
        <v>143</v>
      </c>
      <c r="M267">
        <v>3.4444444444444444E-2</v>
      </c>
      <c r="N267">
        <v>124</v>
      </c>
      <c r="O267">
        <v>549.31999999999994</v>
      </c>
      <c r="P267">
        <v>4.43</v>
      </c>
      <c r="Q267">
        <v>124</v>
      </c>
    </row>
    <row r="268" spans="1:17" x14ac:dyDescent="0.35">
      <c r="A268" s="46">
        <v>46123</v>
      </c>
      <c r="B268" t="s">
        <v>136</v>
      </c>
      <c r="C268" t="s">
        <v>390</v>
      </c>
      <c r="D268" t="s">
        <v>400</v>
      </c>
      <c r="E268" t="s">
        <v>337</v>
      </c>
      <c r="F268" t="s">
        <v>87</v>
      </c>
      <c r="G268" t="s">
        <v>356</v>
      </c>
      <c r="H268" t="s">
        <v>330</v>
      </c>
      <c r="I268" t="s">
        <v>323</v>
      </c>
      <c r="J268" t="s">
        <v>324</v>
      </c>
      <c r="K268" t="s">
        <v>142</v>
      </c>
      <c r="L268" t="s">
        <v>143</v>
      </c>
      <c r="M268">
        <v>5.3888888888888889E-2</v>
      </c>
      <c r="N268">
        <v>194</v>
      </c>
      <c r="O268">
        <v>740.56000000000006</v>
      </c>
      <c r="P268">
        <v>3.8173195876288664</v>
      </c>
      <c r="Q268">
        <v>194</v>
      </c>
    </row>
    <row r="269" spans="1:17" x14ac:dyDescent="0.35">
      <c r="A269" s="46">
        <v>46123</v>
      </c>
      <c r="B269" t="s">
        <v>136</v>
      </c>
      <c r="C269" t="s">
        <v>335</v>
      </c>
      <c r="D269" t="s">
        <v>400</v>
      </c>
      <c r="E269" t="s">
        <v>337</v>
      </c>
      <c r="F269" t="s">
        <v>87</v>
      </c>
      <c r="G269" t="s">
        <v>356</v>
      </c>
      <c r="H269" t="s">
        <v>330</v>
      </c>
      <c r="I269" t="s">
        <v>323</v>
      </c>
      <c r="J269" t="s">
        <v>324</v>
      </c>
      <c r="K269" t="s">
        <v>142</v>
      </c>
      <c r="L269" t="s">
        <v>143</v>
      </c>
      <c r="M269">
        <v>0.04</v>
      </c>
      <c r="N269">
        <v>144</v>
      </c>
      <c r="O269">
        <v>921.6</v>
      </c>
      <c r="P269">
        <v>6.4</v>
      </c>
      <c r="Q269">
        <v>144</v>
      </c>
    </row>
    <row r="270" spans="1:17" x14ac:dyDescent="0.35">
      <c r="A270" s="46">
        <v>46123</v>
      </c>
      <c r="B270" t="s">
        <v>136</v>
      </c>
      <c r="C270" t="s">
        <v>401</v>
      </c>
      <c r="D270" t="s">
        <v>400</v>
      </c>
      <c r="E270" t="s">
        <v>337</v>
      </c>
      <c r="F270" t="s">
        <v>87</v>
      </c>
      <c r="G270" t="s">
        <v>356</v>
      </c>
      <c r="H270" t="s">
        <v>330</v>
      </c>
      <c r="I270" t="s">
        <v>323</v>
      </c>
      <c r="J270" t="s">
        <v>324</v>
      </c>
      <c r="K270" t="s">
        <v>350</v>
      </c>
      <c r="L270" t="s">
        <v>351</v>
      </c>
      <c r="M270">
        <v>4.3055555555555555E-2</v>
      </c>
      <c r="N270">
        <v>155</v>
      </c>
      <c r="O270">
        <v>69.75</v>
      </c>
      <c r="P270">
        <v>0.45</v>
      </c>
      <c r="Q270">
        <v>155</v>
      </c>
    </row>
    <row r="271" spans="1:17" x14ac:dyDescent="0.35">
      <c r="A271" s="46">
        <v>46123</v>
      </c>
      <c r="B271" t="s">
        <v>136</v>
      </c>
      <c r="C271" t="s">
        <v>390</v>
      </c>
      <c r="D271" t="s">
        <v>400</v>
      </c>
      <c r="E271" t="s">
        <v>337</v>
      </c>
      <c r="F271" t="s">
        <v>322</v>
      </c>
      <c r="G271" t="s">
        <v>322</v>
      </c>
      <c r="H271" t="s">
        <v>322</v>
      </c>
      <c r="I271" t="s">
        <v>323</v>
      </c>
      <c r="J271" t="s">
        <v>324</v>
      </c>
      <c r="K271" t="s">
        <v>350</v>
      </c>
      <c r="L271" t="s">
        <v>351</v>
      </c>
      <c r="M271">
        <v>2.3333333333333334E-2</v>
      </c>
      <c r="N271">
        <v>84</v>
      </c>
      <c r="O271">
        <v>296.52</v>
      </c>
      <c r="P271">
        <v>3.53</v>
      </c>
      <c r="Q271">
        <v>84</v>
      </c>
    </row>
    <row r="272" spans="1:17" x14ac:dyDescent="0.35">
      <c r="A272" s="46">
        <v>46123</v>
      </c>
      <c r="B272" t="s">
        <v>136</v>
      </c>
      <c r="C272" t="s">
        <v>453</v>
      </c>
      <c r="D272" t="s">
        <v>400</v>
      </c>
      <c r="E272" t="s">
        <v>337</v>
      </c>
      <c r="F272" t="s">
        <v>87</v>
      </c>
      <c r="G272" t="s">
        <v>340</v>
      </c>
      <c r="H272" t="s">
        <v>327</v>
      </c>
      <c r="I272" t="s">
        <v>323</v>
      </c>
      <c r="J272" t="s">
        <v>324</v>
      </c>
      <c r="K272" t="s">
        <v>350</v>
      </c>
      <c r="L272" t="s">
        <v>351</v>
      </c>
      <c r="M272">
        <v>2.9444444444444443E-2</v>
      </c>
      <c r="N272">
        <v>106</v>
      </c>
      <c r="O272">
        <v>457.92</v>
      </c>
      <c r="P272">
        <v>4.32</v>
      </c>
      <c r="Q272">
        <v>106</v>
      </c>
    </row>
    <row r="273" spans="1:17" x14ac:dyDescent="0.35">
      <c r="A273" s="46">
        <v>46123</v>
      </c>
      <c r="B273" t="s">
        <v>136</v>
      </c>
      <c r="C273" t="s">
        <v>390</v>
      </c>
      <c r="D273" t="s">
        <v>400</v>
      </c>
      <c r="E273" t="s">
        <v>337</v>
      </c>
      <c r="F273" t="s">
        <v>87</v>
      </c>
      <c r="G273" t="s">
        <v>356</v>
      </c>
      <c r="H273" t="s">
        <v>361</v>
      </c>
      <c r="I273" t="s">
        <v>323</v>
      </c>
      <c r="J273" t="s">
        <v>324</v>
      </c>
      <c r="K273" t="s">
        <v>350</v>
      </c>
      <c r="L273" t="s">
        <v>351</v>
      </c>
      <c r="M273">
        <v>0.11277777777777778</v>
      </c>
      <c r="N273">
        <v>406</v>
      </c>
      <c r="O273">
        <v>621.26</v>
      </c>
      <c r="P273">
        <v>2.1571527777777777</v>
      </c>
      <c r="Q273">
        <v>288</v>
      </c>
    </row>
    <row r="274" spans="1:17" x14ac:dyDescent="0.35">
      <c r="A274" s="46">
        <v>46123</v>
      </c>
      <c r="B274" t="s">
        <v>136</v>
      </c>
      <c r="C274" t="s">
        <v>453</v>
      </c>
      <c r="D274" t="s">
        <v>400</v>
      </c>
      <c r="E274" t="s">
        <v>337</v>
      </c>
      <c r="F274" t="s">
        <v>87</v>
      </c>
      <c r="G274" t="s">
        <v>356</v>
      </c>
      <c r="H274" t="s">
        <v>330</v>
      </c>
      <c r="I274" t="s">
        <v>323</v>
      </c>
      <c r="J274" t="s">
        <v>324</v>
      </c>
      <c r="K274" t="s">
        <v>350</v>
      </c>
      <c r="L274" t="s">
        <v>351</v>
      </c>
      <c r="M274">
        <v>8.1388888888888886E-2</v>
      </c>
      <c r="N274">
        <v>293</v>
      </c>
      <c r="O274">
        <v>643.19999999999993</v>
      </c>
      <c r="P274">
        <v>2.6799999999999997</v>
      </c>
      <c r="Q274">
        <v>240</v>
      </c>
    </row>
    <row r="275" spans="1:17" x14ac:dyDescent="0.35">
      <c r="A275" s="46">
        <v>46123</v>
      </c>
      <c r="B275" t="s">
        <v>136</v>
      </c>
      <c r="C275" t="s">
        <v>335</v>
      </c>
      <c r="D275" t="s">
        <v>400</v>
      </c>
      <c r="E275" t="s">
        <v>337</v>
      </c>
      <c r="F275" t="s">
        <v>87</v>
      </c>
      <c r="G275" t="s">
        <v>356</v>
      </c>
      <c r="H275" t="s">
        <v>343</v>
      </c>
      <c r="I275" t="s">
        <v>323</v>
      </c>
      <c r="J275" t="s">
        <v>324</v>
      </c>
      <c r="K275" t="s">
        <v>350</v>
      </c>
      <c r="L275" t="s">
        <v>351</v>
      </c>
      <c r="M275">
        <v>9.7222222222222224E-2</v>
      </c>
      <c r="N275">
        <v>350</v>
      </c>
      <c r="O275">
        <v>886.61999999999989</v>
      </c>
      <c r="P275">
        <v>2.5331999999999999</v>
      </c>
      <c r="Q275">
        <v>350</v>
      </c>
    </row>
    <row r="276" spans="1:17" x14ac:dyDescent="0.35">
      <c r="A276" s="46">
        <v>46123</v>
      </c>
      <c r="B276" t="s">
        <v>136</v>
      </c>
      <c r="C276" t="s">
        <v>453</v>
      </c>
      <c r="D276" t="s">
        <v>400</v>
      </c>
      <c r="E276" t="s">
        <v>337</v>
      </c>
      <c r="F276" t="s">
        <v>87</v>
      </c>
      <c r="G276" t="s">
        <v>356</v>
      </c>
      <c r="H276" t="s">
        <v>361</v>
      </c>
      <c r="I276" t="s">
        <v>323</v>
      </c>
      <c r="J276" t="s">
        <v>324</v>
      </c>
      <c r="K276" t="s">
        <v>350</v>
      </c>
      <c r="L276" t="s">
        <v>351</v>
      </c>
      <c r="M276">
        <v>0.11694444444444445</v>
      </c>
      <c r="N276">
        <v>421</v>
      </c>
      <c r="O276">
        <v>1122.25</v>
      </c>
      <c r="P276">
        <v>2.6656769596199523</v>
      </c>
      <c r="Q276">
        <v>421</v>
      </c>
    </row>
    <row r="277" spans="1:17" x14ac:dyDescent="0.35">
      <c r="A277" s="46">
        <v>46123</v>
      </c>
      <c r="B277" t="s">
        <v>136</v>
      </c>
      <c r="C277" t="s">
        <v>453</v>
      </c>
      <c r="D277" t="s">
        <v>400</v>
      </c>
      <c r="E277" t="s">
        <v>337</v>
      </c>
      <c r="F277" t="s">
        <v>87</v>
      </c>
      <c r="G277" t="s">
        <v>356</v>
      </c>
      <c r="H277" t="s">
        <v>343</v>
      </c>
      <c r="I277" t="s">
        <v>323</v>
      </c>
      <c r="J277" t="s">
        <v>324</v>
      </c>
      <c r="K277" t="s">
        <v>350</v>
      </c>
      <c r="L277" t="s">
        <v>351</v>
      </c>
      <c r="M277">
        <v>0.30472222222222223</v>
      </c>
      <c r="N277">
        <v>1097</v>
      </c>
      <c r="O277">
        <v>3786.17</v>
      </c>
      <c r="P277">
        <v>3.4513855970829534</v>
      </c>
      <c r="Q277">
        <v>1097</v>
      </c>
    </row>
    <row r="278" spans="1:17" x14ac:dyDescent="0.35">
      <c r="A278" s="46">
        <v>46123</v>
      </c>
      <c r="B278" t="s">
        <v>136</v>
      </c>
      <c r="C278" t="s">
        <v>390</v>
      </c>
      <c r="D278" t="s">
        <v>400</v>
      </c>
      <c r="E278" t="s">
        <v>337</v>
      </c>
      <c r="F278" t="s">
        <v>87</v>
      </c>
      <c r="G278" t="s">
        <v>356</v>
      </c>
      <c r="H278" t="s">
        <v>330</v>
      </c>
      <c r="I278" t="s">
        <v>323</v>
      </c>
      <c r="J278" t="s">
        <v>324</v>
      </c>
      <c r="K278" t="s">
        <v>350</v>
      </c>
      <c r="L278" t="s">
        <v>351</v>
      </c>
      <c r="M278">
        <v>0.79555555555555557</v>
      </c>
      <c r="N278">
        <v>2864</v>
      </c>
      <c r="O278">
        <v>7214.68</v>
      </c>
      <c r="P278">
        <v>2.5190921787709497</v>
      </c>
      <c r="Q278">
        <v>2864</v>
      </c>
    </row>
    <row r="279" spans="1:17" x14ac:dyDescent="0.35">
      <c r="A279" s="46">
        <v>46123</v>
      </c>
      <c r="B279" t="s">
        <v>136</v>
      </c>
      <c r="C279" t="s">
        <v>335</v>
      </c>
      <c r="D279" t="s">
        <v>400</v>
      </c>
      <c r="E279" t="s">
        <v>337</v>
      </c>
      <c r="F279" t="s">
        <v>322</v>
      </c>
      <c r="G279" t="s">
        <v>322</v>
      </c>
      <c r="H279" t="s">
        <v>322</v>
      </c>
      <c r="I279" t="s">
        <v>323</v>
      </c>
      <c r="J279" t="s">
        <v>324</v>
      </c>
      <c r="K279" t="s">
        <v>170</v>
      </c>
      <c r="L279" t="s">
        <v>171</v>
      </c>
      <c r="M279">
        <v>3.8327777777777778</v>
      </c>
      <c r="N279">
        <v>13798</v>
      </c>
      <c r="O279">
        <v>0</v>
      </c>
    </row>
    <row r="280" spans="1:17" x14ac:dyDescent="0.35">
      <c r="A280" s="46">
        <v>46123</v>
      </c>
      <c r="B280" t="s">
        <v>136</v>
      </c>
      <c r="C280" t="s">
        <v>390</v>
      </c>
      <c r="D280" t="s">
        <v>400</v>
      </c>
      <c r="E280" t="s">
        <v>337</v>
      </c>
      <c r="F280" t="s">
        <v>87</v>
      </c>
      <c r="G280" t="s">
        <v>356</v>
      </c>
      <c r="H280" t="s">
        <v>330</v>
      </c>
      <c r="I280" t="s">
        <v>323</v>
      </c>
      <c r="J280" t="s">
        <v>324</v>
      </c>
      <c r="K280" t="s">
        <v>170</v>
      </c>
      <c r="L280" t="s">
        <v>171</v>
      </c>
      <c r="M280">
        <v>2.3586111111111112</v>
      </c>
      <c r="N280">
        <v>8491</v>
      </c>
      <c r="O280">
        <v>0</v>
      </c>
    </row>
    <row r="281" spans="1:17" x14ac:dyDescent="0.35">
      <c r="A281" s="46">
        <v>46123</v>
      </c>
      <c r="B281" t="s">
        <v>136</v>
      </c>
      <c r="C281" t="s">
        <v>453</v>
      </c>
      <c r="D281" t="s">
        <v>400</v>
      </c>
      <c r="E281" t="s">
        <v>337</v>
      </c>
      <c r="F281" t="s">
        <v>87</v>
      </c>
      <c r="G281" t="s">
        <v>356</v>
      </c>
      <c r="H281" t="s">
        <v>330</v>
      </c>
      <c r="I281" t="s">
        <v>323</v>
      </c>
      <c r="J281" t="s">
        <v>324</v>
      </c>
      <c r="K281" t="s">
        <v>170</v>
      </c>
      <c r="L281" t="s">
        <v>171</v>
      </c>
      <c r="M281">
        <v>0.53388888888888886</v>
      </c>
      <c r="N281">
        <v>1922</v>
      </c>
      <c r="O281">
        <v>0</v>
      </c>
    </row>
    <row r="282" spans="1:17" x14ac:dyDescent="0.35">
      <c r="A282" s="46">
        <v>46123</v>
      </c>
      <c r="B282" t="s">
        <v>136</v>
      </c>
      <c r="C282" t="s">
        <v>401</v>
      </c>
      <c r="D282" t="s">
        <v>400</v>
      </c>
      <c r="E282" t="s">
        <v>337</v>
      </c>
      <c r="F282" t="s">
        <v>87</v>
      </c>
      <c r="G282" t="s">
        <v>356</v>
      </c>
      <c r="H282" t="s">
        <v>330</v>
      </c>
      <c r="I282" t="s">
        <v>323</v>
      </c>
      <c r="J282" t="s">
        <v>324</v>
      </c>
      <c r="K282" t="s">
        <v>170</v>
      </c>
      <c r="L282" t="s">
        <v>171</v>
      </c>
      <c r="M282">
        <v>6.8888888888888888E-2</v>
      </c>
      <c r="N282">
        <v>248</v>
      </c>
      <c r="O282">
        <v>0</v>
      </c>
    </row>
    <row r="283" spans="1:17" x14ac:dyDescent="0.35">
      <c r="A283" s="46">
        <v>46123</v>
      </c>
      <c r="B283" t="s">
        <v>136</v>
      </c>
      <c r="C283" t="s">
        <v>335</v>
      </c>
      <c r="D283" t="s">
        <v>400</v>
      </c>
      <c r="E283" t="s">
        <v>337</v>
      </c>
      <c r="F283" t="s">
        <v>87</v>
      </c>
      <c r="G283" t="s">
        <v>356</v>
      </c>
      <c r="H283" t="s">
        <v>330</v>
      </c>
      <c r="I283" t="s">
        <v>323</v>
      </c>
      <c r="J283" t="s">
        <v>324</v>
      </c>
      <c r="K283" t="s">
        <v>170</v>
      </c>
      <c r="L283" t="s">
        <v>171</v>
      </c>
      <c r="M283">
        <v>0.10416666666666667</v>
      </c>
      <c r="N283">
        <v>375</v>
      </c>
      <c r="O283">
        <v>0</v>
      </c>
    </row>
    <row r="284" spans="1:17" x14ac:dyDescent="0.35">
      <c r="A284" s="46">
        <v>46123</v>
      </c>
      <c r="B284" t="s">
        <v>136</v>
      </c>
      <c r="C284" t="s">
        <v>335</v>
      </c>
      <c r="D284" t="s">
        <v>400</v>
      </c>
      <c r="E284" t="s">
        <v>337</v>
      </c>
      <c r="F284" t="s">
        <v>87</v>
      </c>
      <c r="G284" t="s">
        <v>340</v>
      </c>
      <c r="H284" t="s">
        <v>331</v>
      </c>
      <c r="I284" t="s">
        <v>323</v>
      </c>
      <c r="J284" t="s">
        <v>324</v>
      </c>
      <c r="K284" t="s">
        <v>170</v>
      </c>
      <c r="L284" t="s">
        <v>171</v>
      </c>
      <c r="M284">
        <v>0.59527777777777779</v>
      </c>
      <c r="N284">
        <v>2143</v>
      </c>
      <c r="O284">
        <v>0</v>
      </c>
    </row>
    <row r="285" spans="1:17" x14ac:dyDescent="0.35">
      <c r="A285" s="46">
        <v>46123</v>
      </c>
      <c r="B285" t="s">
        <v>136</v>
      </c>
      <c r="C285" t="s">
        <v>390</v>
      </c>
      <c r="D285" t="s">
        <v>400</v>
      </c>
      <c r="E285" t="s">
        <v>337</v>
      </c>
      <c r="F285" t="s">
        <v>87</v>
      </c>
      <c r="G285" t="s">
        <v>356</v>
      </c>
      <c r="H285" t="s">
        <v>361</v>
      </c>
      <c r="I285" t="s">
        <v>323</v>
      </c>
      <c r="J285" t="s">
        <v>324</v>
      </c>
      <c r="K285" t="s">
        <v>170</v>
      </c>
      <c r="L285" t="s">
        <v>171</v>
      </c>
      <c r="M285">
        <v>0.13333333333333333</v>
      </c>
      <c r="N285">
        <v>480</v>
      </c>
      <c r="O285">
        <v>0</v>
      </c>
    </row>
    <row r="286" spans="1:17" x14ac:dyDescent="0.35">
      <c r="A286" s="46">
        <v>46123</v>
      </c>
      <c r="B286" t="s">
        <v>136</v>
      </c>
      <c r="C286" t="s">
        <v>453</v>
      </c>
      <c r="D286" t="s">
        <v>400</v>
      </c>
      <c r="E286" t="s">
        <v>337</v>
      </c>
      <c r="F286" t="s">
        <v>87</v>
      </c>
      <c r="G286" t="s">
        <v>356</v>
      </c>
      <c r="H286" t="s">
        <v>361</v>
      </c>
      <c r="I286" t="s">
        <v>323</v>
      </c>
      <c r="J286" t="s">
        <v>324</v>
      </c>
      <c r="K286" t="s">
        <v>170</v>
      </c>
      <c r="L286" t="s">
        <v>171</v>
      </c>
      <c r="M286">
        <v>0.20166666666666666</v>
      </c>
      <c r="N286">
        <v>726</v>
      </c>
      <c r="O286">
        <v>0</v>
      </c>
    </row>
    <row r="287" spans="1:17" x14ac:dyDescent="0.35">
      <c r="A287" s="46">
        <v>46123</v>
      </c>
      <c r="B287" t="s">
        <v>136</v>
      </c>
      <c r="C287" t="s">
        <v>453</v>
      </c>
      <c r="D287" t="s">
        <v>400</v>
      </c>
      <c r="E287" t="s">
        <v>337</v>
      </c>
      <c r="F287" t="s">
        <v>87</v>
      </c>
      <c r="G287" t="s">
        <v>356</v>
      </c>
      <c r="H287" t="s">
        <v>343</v>
      </c>
      <c r="I287" t="s">
        <v>323</v>
      </c>
      <c r="J287" t="s">
        <v>324</v>
      </c>
      <c r="K287" t="s">
        <v>170</v>
      </c>
      <c r="L287" t="s">
        <v>171</v>
      </c>
      <c r="M287">
        <v>0.29583333333333334</v>
      </c>
      <c r="N287">
        <v>1065</v>
      </c>
      <c r="O287">
        <v>0</v>
      </c>
    </row>
    <row r="288" spans="1:17" x14ac:dyDescent="0.35">
      <c r="A288" s="46">
        <v>46123</v>
      </c>
      <c r="B288" t="s">
        <v>136</v>
      </c>
      <c r="C288" t="s">
        <v>335</v>
      </c>
      <c r="D288" t="s">
        <v>400</v>
      </c>
      <c r="E288" t="s">
        <v>337</v>
      </c>
      <c r="F288" t="s">
        <v>87</v>
      </c>
      <c r="G288" t="s">
        <v>356</v>
      </c>
      <c r="H288" t="s">
        <v>343</v>
      </c>
      <c r="I288" t="s">
        <v>323</v>
      </c>
      <c r="J288" t="s">
        <v>324</v>
      </c>
      <c r="K288" t="s">
        <v>170</v>
      </c>
      <c r="L288" t="s">
        <v>171</v>
      </c>
      <c r="M288">
        <v>6.5813888888888892</v>
      </c>
      <c r="N288">
        <v>23693</v>
      </c>
      <c r="O288">
        <v>0</v>
      </c>
    </row>
    <row r="289" spans="1:17" x14ac:dyDescent="0.35">
      <c r="A289" s="46">
        <v>46123</v>
      </c>
      <c r="B289" t="s">
        <v>136</v>
      </c>
      <c r="C289" t="s">
        <v>335</v>
      </c>
      <c r="D289" t="s">
        <v>400</v>
      </c>
      <c r="E289" t="s">
        <v>337</v>
      </c>
      <c r="F289" t="s">
        <v>322</v>
      </c>
      <c r="G289" t="s">
        <v>322</v>
      </c>
      <c r="H289" t="s">
        <v>322</v>
      </c>
      <c r="I289" t="s">
        <v>323</v>
      </c>
      <c r="J289" t="s">
        <v>324</v>
      </c>
      <c r="K289" t="s">
        <v>178</v>
      </c>
      <c r="L289" t="s">
        <v>179</v>
      </c>
      <c r="M289">
        <v>1.2777777777777779E-2</v>
      </c>
      <c r="N289">
        <v>46</v>
      </c>
      <c r="O289">
        <v>0</v>
      </c>
    </row>
    <row r="290" spans="1:17" x14ac:dyDescent="0.35">
      <c r="A290" s="46">
        <v>46123</v>
      </c>
      <c r="B290" t="s">
        <v>136</v>
      </c>
      <c r="C290" t="s">
        <v>408</v>
      </c>
      <c r="D290" t="s">
        <v>406</v>
      </c>
      <c r="E290" t="s">
        <v>337</v>
      </c>
      <c r="F290" t="s">
        <v>322</v>
      </c>
      <c r="G290" t="s">
        <v>322</v>
      </c>
      <c r="H290" t="s">
        <v>322</v>
      </c>
      <c r="I290" t="s">
        <v>323</v>
      </c>
      <c r="J290" t="s">
        <v>324</v>
      </c>
      <c r="K290" t="s">
        <v>341</v>
      </c>
      <c r="L290" t="s">
        <v>342</v>
      </c>
      <c r="M290">
        <v>3.5277777777777776E-2</v>
      </c>
      <c r="N290">
        <v>127</v>
      </c>
      <c r="O290">
        <v>0</v>
      </c>
    </row>
    <row r="291" spans="1:17" x14ac:dyDescent="0.35">
      <c r="A291" s="46">
        <v>46123</v>
      </c>
      <c r="B291" t="s">
        <v>136</v>
      </c>
      <c r="C291" t="s">
        <v>402</v>
      </c>
      <c r="D291" t="s">
        <v>406</v>
      </c>
      <c r="E291" t="s">
        <v>337</v>
      </c>
      <c r="F291" t="s">
        <v>87</v>
      </c>
      <c r="G291" t="s">
        <v>356</v>
      </c>
      <c r="H291" t="s">
        <v>330</v>
      </c>
      <c r="I291" t="s">
        <v>323</v>
      </c>
      <c r="J291" t="s">
        <v>324</v>
      </c>
      <c r="K291" t="s">
        <v>341</v>
      </c>
      <c r="L291" t="s">
        <v>342</v>
      </c>
      <c r="M291">
        <v>6.0833333333333336E-2</v>
      </c>
      <c r="N291">
        <v>219</v>
      </c>
      <c r="O291">
        <v>0</v>
      </c>
    </row>
    <row r="292" spans="1:17" x14ac:dyDescent="0.35">
      <c r="A292" s="46">
        <v>46123</v>
      </c>
      <c r="B292" t="s">
        <v>136</v>
      </c>
      <c r="C292" t="s">
        <v>408</v>
      </c>
      <c r="D292" t="s">
        <v>406</v>
      </c>
      <c r="E292" t="s">
        <v>337</v>
      </c>
      <c r="F292" t="s">
        <v>87</v>
      </c>
      <c r="G292" t="s">
        <v>356</v>
      </c>
      <c r="H292" t="s">
        <v>361</v>
      </c>
      <c r="I292" t="s">
        <v>323</v>
      </c>
      <c r="J292" t="s">
        <v>324</v>
      </c>
      <c r="K292" t="s">
        <v>341</v>
      </c>
      <c r="L292" t="s">
        <v>342</v>
      </c>
      <c r="M292">
        <v>0.23472222222222222</v>
      </c>
      <c r="N292">
        <v>845</v>
      </c>
      <c r="O292">
        <v>0</v>
      </c>
    </row>
    <row r="293" spans="1:17" x14ac:dyDescent="0.35">
      <c r="A293" s="46">
        <v>46123</v>
      </c>
      <c r="B293" t="s">
        <v>136</v>
      </c>
      <c r="C293" t="s">
        <v>402</v>
      </c>
      <c r="D293" t="s">
        <v>406</v>
      </c>
      <c r="E293" t="s">
        <v>337</v>
      </c>
      <c r="F293" t="s">
        <v>87</v>
      </c>
      <c r="G293" t="s">
        <v>356</v>
      </c>
      <c r="H293" t="s">
        <v>361</v>
      </c>
      <c r="I293" t="s">
        <v>323</v>
      </c>
      <c r="J293" t="s">
        <v>324</v>
      </c>
      <c r="K293" t="s">
        <v>341</v>
      </c>
      <c r="L293" t="s">
        <v>342</v>
      </c>
      <c r="M293">
        <v>0.15972222222222221</v>
      </c>
      <c r="N293">
        <v>575</v>
      </c>
      <c r="O293">
        <v>0</v>
      </c>
    </row>
    <row r="294" spans="1:17" x14ac:dyDescent="0.35">
      <c r="A294" s="46">
        <v>46123</v>
      </c>
      <c r="B294" t="s">
        <v>136</v>
      </c>
      <c r="C294" t="s">
        <v>408</v>
      </c>
      <c r="D294" t="s">
        <v>406</v>
      </c>
      <c r="E294" t="s">
        <v>337</v>
      </c>
      <c r="F294" t="s">
        <v>87</v>
      </c>
      <c r="G294" t="s">
        <v>356</v>
      </c>
      <c r="H294" t="s">
        <v>343</v>
      </c>
      <c r="I294" t="s">
        <v>323</v>
      </c>
      <c r="J294" t="s">
        <v>324</v>
      </c>
      <c r="K294" t="s">
        <v>341</v>
      </c>
      <c r="L294" t="s">
        <v>342</v>
      </c>
      <c r="M294">
        <v>7.3888888888888893E-2</v>
      </c>
      <c r="N294">
        <v>266</v>
      </c>
      <c r="O294">
        <v>0</v>
      </c>
    </row>
    <row r="295" spans="1:17" x14ac:dyDescent="0.35">
      <c r="A295" s="46">
        <v>46123</v>
      </c>
      <c r="B295" t="s">
        <v>136</v>
      </c>
      <c r="C295" t="s">
        <v>402</v>
      </c>
      <c r="D295" t="s">
        <v>406</v>
      </c>
      <c r="E295" t="s">
        <v>337</v>
      </c>
      <c r="F295" t="s">
        <v>87</v>
      </c>
      <c r="G295" t="s">
        <v>356</v>
      </c>
      <c r="H295" t="s">
        <v>343</v>
      </c>
      <c r="I295" t="s">
        <v>323</v>
      </c>
      <c r="J295" t="s">
        <v>324</v>
      </c>
      <c r="K295" t="s">
        <v>341</v>
      </c>
      <c r="L295" t="s">
        <v>342</v>
      </c>
      <c r="M295">
        <v>5.9166666666666666E-2</v>
      </c>
      <c r="N295">
        <v>213</v>
      </c>
      <c r="O295">
        <v>0</v>
      </c>
    </row>
    <row r="296" spans="1:17" x14ac:dyDescent="0.35">
      <c r="A296" s="46">
        <v>46123</v>
      </c>
      <c r="B296" t="s">
        <v>136</v>
      </c>
      <c r="C296" t="s">
        <v>402</v>
      </c>
      <c r="D296" t="s">
        <v>406</v>
      </c>
      <c r="E296" t="s">
        <v>337</v>
      </c>
      <c r="F296" t="s">
        <v>87</v>
      </c>
      <c r="G296" t="s">
        <v>340</v>
      </c>
      <c r="H296" t="s">
        <v>327</v>
      </c>
      <c r="I296" t="s">
        <v>323</v>
      </c>
      <c r="J296" t="s">
        <v>324</v>
      </c>
      <c r="K296" t="s">
        <v>345</v>
      </c>
      <c r="L296" t="s">
        <v>346</v>
      </c>
      <c r="M296">
        <v>5.5555555555555558E-3</v>
      </c>
      <c r="N296">
        <v>20</v>
      </c>
      <c r="O296">
        <v>59.800000000000004</v>
      </c>
      <c r="P296">
        <v>2.99</v>
      </c>
      <c r="Q296">
        <v>20</v>
      </c>
    </row>
    <row r="297" spans="1:17" x14ac:dyDescent="0.35">
      <c r="A297" s="46">
        <v>46123</v>
      </c>
      <c r="B297" t="s">
        <v>136</v>
      </c>
      <c r="C297" t="s">
        <v>402</v>
      </c>
      <c r="D297" t="s">
        <v>406</v>
      </c>
      <c r="E297" t="s">
        <v>337</v>
      </c>
      <c r="F297" t="s">
        <v>322</v>
      </c>
      <c r="G297" t="s">
        <v>322</v>
      </c>
      <c r="H297" t="s">
        <v>322</v>
      </c>
      <c r="I297" t="s">
        <v>323</v>
      </c>
      <c r="J297" t="s">
        <v>324</v>
      </c>
      <c r="K297" t="s">
        <v>345</v>
      </c>
      <c r="L297" t="s">
        <v>346</v>
      </c>
      <c r="M297">
        <v>1.9722222222222221E-2</v>
      </c>
      <c r="N297">
        <v>71</v>
      </c>
      <c r="O297">
        <v>217.66</v>
      </c>
      <c r="P297">
        <v>3.0656338028169015</v>
      </c>
      <c r="Q297">
        <v>71</v>
      </c>
    </row>
    <row r="298" spans="1:17" x14ac:dyDescent="0.35">
      <c r="A298" s="46">
        <v>46123</v>
      </c>
      <c r="B298" t="s">
        <v>136</v>
      </c>
      <c r="C298" t="s">
        <v>408</v>
      </c>
      <c r="D298" t="s">
        <v>406</v>
      </c>
      <c r="E298" t="s">
        <v>337</v>
      </c>
      <c r="F298" t="s">
        <v>87</v>
      </c>
      <c r="G298" t="s">
        <v>356</v>
      </c>
      <c r="H298" t="s">
        <v>361</v>
      </c>
      <c r="I298" t="s">
        <v>323</v>
      </c>
      <c r="J298" t="s">
        <v>324</v>
      </c>
      <c r="K298" t="s">
        <v>345</v>
      </c>
      <c r="L298" t="s">
        <v>346</v>
      </c>
      <c r="M298">
        <v>0.63138888888888889</v>
      </c>
      <c r="N298">
        <v>2273</v>
      </c>
      <c r="O298">
        <v>10560.21</v>
      </c>
      <c r="P298">
        <v>4.6459348878134623</v>
      </c>
      <c r="Q298">
        <v>2273</v>
      </c>
    </row>
    <row r="299" spans="1:17" x14ac:dyDescent="0.35">
      <c r="A299" s="46">
        <v>46123</v>
      </c>
      <c r="B299" t="s">
        <v>136</v>
      </c>
      <c r="C299" t="s">
        <v>402</v>
      </c>
      <c r="D299" t="s">
        <v>406</v>
      </c>
      <c r="E299" t="s">
        <v>337</v>
      </c>
      <c r="F299" t="s">
        <v>87</v>
      </c>
      <c r="G299" t="s">
        <v>356</v>
      </c>
      <c r="H299" t="s">
        <v>330</v>
      </c>
      <c r="I299" t="s">
        <v>323</v>
      </c>
      <c r="J299" t="s">
        <v>324</v>
      </c>
      <c r="K299" t="s">
        <v>345</v>
      </c>
      <c r="L299" t="s">
        <v>346</v>
      </c>
      <c r="M299">
        <v>0.85166666666666668</v>
      </c>
      <c r="N299">
        <v>3066</v>
      </c>
      <c r="O299">
        <v>12068.869999999999</v>
      </c>
      <c r="P299">
        <v>3.9363568166992819</v>
      </c>
      <c r="Q299">
        <v>3066</v>
      </c>
    </row>
    <row r="300" spans="1:17" x14ac:dyDescent="0.35">
      <c r="A300" s="46">
        <v>46123</v>
      </c>
      <c r="B300" t="s">
        <v>136</v>
      </c>
      <c r="C300" t="s">
        <v>402</v>
      </c>
      <c r="D300" t="s">
        <v>406</v>
      </c>
      <c r="E300" t="s">
        <v>337</v>
      </c>
      <c r="F300" t="s">
        <v>87</v>
      </c>
      <c r="G300" t="s">
        <v>356</v>
      </c>
      <c r="H300" t="s">
        <v>343</v>
      </c>
      <c r="I300" t="s">
        <v>323</v>
      </c>
      <c r="J300" t="s">
        <v>324</v>
      </c>
      <c r="K300" t="s">
        <v>345</v>
      </c>
      <c r="L300" t="s">
        <v>346</v>
      </c>
      <c r="M300">
        <v>1.1541666666666666</v>
      </c>
      <c r="N300">
        <v>4155</v>
      </c>
      <c r="O300">
        <v>17455.150000000001</v>
      </c>
      <c r="P300">
        <v>4.2009987966305662</v>
      </c>
      <c r="Q300">
        <v>4155</v>
      </c>
    </row>
    <row r="301" spans="1:17" x14ac:dyDescent="0.35">
      <c r="A301" s="46">
        <v>46123</v>
      </c>
      <c r="B301" t="s">
        <v>136</v>
      </c>
      <c r="C301" t="s">
        <v>402</v>
      </c>
      <c r="D301" t="s">
        <v>406</v>
      </c>
      <c r="E301" t="s">
        <v>337</v>
      </c>
      <c r="F301" t="s">
        <v>87</v>
      </c>
      <c r="G301" t="s">
        <v>356</v>
      </c>
      <c r="H301" t="s">
        <v>361</v>
      </c>
      <c r="I301" t="s">
        <v>323</v>
      </c>
      <c r="J301" t="s">
        <v>324</v>
      </c>
      <c r="K301" t="s">
        <v>345</v>
      </c>
      <c r="L301" t="s">
        <v>346</v>
      </c>
      <c r="M301">
        <v>2.2894444444444444</v>
      </c>
      <c r="N301">
        <v>8242</v>
      </c>
      <c r="O301">
        <v>37591.599999999999</v>
      </c>
      <c r="P301">
        <v>4.5609803445765591</v>
      </c>
      <c r="Q301">
        <v>8242</v>
      </c>
    </row>
    <row r="302" spans="1:17" x14ac:dyDescent="0.35">
      <c r="A302" s="46">
        <v>46123</v>
      </c>
      <c r="B302" t="s">
        <v>136</v>
      </c>
      <c r="C302" t="s">
        <v>408</v>
      </c>
      <c r="D302" t="s">
        <v>406</v>
      </c>
      <c r="E302" t="s">
        <v>337</v>
      </c>
      <c r="F302" t="s">
        <v>87</v>
      </c>
      <c r="G302" t="s">
        <v>356</v>
      </c>
      <c r="H302" t="s">
        <v>343</v>
      </c>
      <c r="I302" t="s">
        <v>323</v>
      </c>
      <c r="J302" t="s">
        <v>324</v>
      </c>
      <c r="K302" t="s">
        <v>345</v>
      </c>
      <c r="L302" t="s">
        <v>346</v>
      </c>
      <c r="M302">
        <v>2.4858333333333333</v>
      </c>
      <c r="N302">
        <v>8949</v>
      </c>
      <c r="O302">
        <v>40471.160000000003</v>
      </c>
      <c r="P302">
        <v>4.5224226170521851</v>
      </c>
      <c r="Q302">
        <v>8949</v>
      </c>
    </row>
    <row r="303" spans="1:17" x14ac:dyDescent="0.35">
      <c r="A303" s="46">
        <v>46123</v>
      </c>
      <c r="B303" t="s">
        <v>136</v>
      </c>
      <c r="C303" t="s">
        <v>402</v>
      </c>
      <c r="D303" t="s">
        <v>406</v>
      </c>
      <c r="E303" t="s">
        <v>337</v>
      </c>
      <c r="F303" t="s">
        <v>322</v>
      </c>
      <c r="G303" t="s">
        <v>322</v>
      </c>
      <c r="H303" t="s">
        <v>322</v>
      </c>
      <c r="I303" t="s">
        <v>323</v>
      </c>
      <c r="J303" t="s">
        <v>324</v>
      </c>
      <c r="K303" t="s">
        <v>142</v>
      </c>
      <c r="L303" t="s">
        <v>143</v>
      </c>
      <c r="M303">
        <v>2.4722222222222222E-2</v>
      </c>
      <c r="N303">
        <v>89</v>
      </c>
      <c r="O303">
        <v>365.79</v>
      </c>
      <c r="P303">
        <v>4.1100000000000003</v>
      </c>
      <c r="Q303">
        <v>89</v>
      </c>
    </row>
    <row r="304" spans="1:17" x14ac:dyDescent="0.35">
      <c r="A304" s="46">
        <v>46123</v>
      </c>
      <c r="B304" t="s">
        <v>136</v>
      </c>
      <c r="C304" t="s">
        <v>408</v>
      </c>
      <c r="D304" t="s">
        <v>406</v>
      </c>
      <c r="E304" t="s">
        <v>337</v>
      </c>
      <c r="F304" t="s">
        <v>322</v>
      </c>
      <c r="G304" t="s">
        <v>322</v>
      </c>
      <c r="H304" t="s">
        <v>322</v>
      </c>
      <c r="I304" t="s">
        <v>323</v>
      </c>
      <c r="J304" t="s">
        <v>324</v>
      </c>
      <c r="K304" t="s">
        <v>142</v>
      </c>
      <c r="L304" t="s">
        <v>143</v>
      </c>
      <c r="M304">
        <v>3.7222222222222219E-2</v>
      </c>
      <c r="N304">
        <v>134</v>
      </c>
      <c r="O304">
        <v>577.54</v>
      </c>
      <c r="P304">
        <v>4.3099999999999996</v>
      </c>
      <c r="Q304">
        <v>134</v>
      </c>
    </row>
    <row r="305" spans="1:17" x14ac:dyDescent="0.35">
      <c r="A305" s="46">
        <v>46123</v>
      </c>
      <c r="B305" t="s">
        <v>136</v>
      </c>
      <c r="C305" t="s">
        <v>402</v>
      </c>
      <c r="D305" t="s">
        <v>406</v>
      </c>
      <c r="E305" t="s">
        <v>337</v>
      </c>
      <c r="F305" t="s">
        <v>87</v>
      </c>
      <c r="G305" t="s">
        <v>356</v>
      </c>
      <c r="H305" t="s">
        <v>361</v>
      </c>
      <c r="I305" t="s">
        <v>323</v>
      </c>
      <c r="J305" t="s">
        <v>324</v>
      </c>
      <c r="K305" t="s">
        <v>142</v>
      </c>
      <c r="L305" t="s">
        <v>143</v>
      </c>
      <c r="M305">
        <v>6.0833333333333336E-2</v>
      </c>
      <c r="N305">
        <v>219</v>
      </c>
      <c r="O305">
        <v>686.59999999999991</v>
      </c>
      <c r="P305">
        <v>3.1351598173515978</v>
      </c>
      <c r="Q305">
        <v>219</v>
      </c>
    </row>
    <row r="306" spans="1:17" x14ac:dyDescent="0.35">
      <c r="A306" s="46">
        <v>46123</v>
      </c>
      <c r="B306" t="s">
        <v>136</v>
      </c>
      <c r="C306" t="s">
        <v>402</v>
      </c>
      <c r="D306" t="s">
        <v>406</v>
      </c>
      <c r="E306" t="s">
        <v>337</v>
      </c>
      <c r="F306" t="s">
        <v>87</v>
      </c>
      <c r="G306" t="s">
        <v>356</v>
      </c>
      <c r="H306" t="s">
        <v>343</v>
      </c>
      <c r="I306" t="s">
        <v>323</v>
      </c>
      <c r="J306" t="s">
        <v>324</v>
      </c>
      <c r="K306" t="s">
        <v>142</v>
      </c>
      <c r="L306" t="s">
        <v>143</v>
      </c>
      <c r="M306">
        <v>3.6388888888888887E-2</v>
      </c>
      <c r="N306">
        <v>131</v>
      </c>
      <c r="O306">
        <v>898.66000000000008</v>
      </c>
      <c r="P306">
        <v>6.86</v>
      </c>
      <c r="Q306">
        <v>131</v>
      </c>
    </row>
    <row r="307" spans="1:17" x14ac:dyDescent="0.35">
      <c r="A307" s="46">
        <v>46123</v>
      </c>
      <c r="B307" t="s">
        <v>136</v>
      </c>
      <c r="C307" t="s">
        <v>335</v>
      </c>
      <c r="D307" t="s">
        <v>406</v>
      </c>
      <c r="E307" t="s">
        <v>337</v>
      </c>
      <c r="F307" t="s">
        <v>322</v>
      </c>
      <c r="G307" t="s">
        <v>322</v>
      </c>
      <c r="H307" t="s">
        <v>322</v>
      </c>
      <c r="I307" t="s">
        <v>323</v>
      </c>
      <c r="J307" t="s">
        <v>324</v>
      </c>
      <c r="K307" t="s">
        <v>142</v>
      </c>
      <c r="L307" t="s">
        <v>143</v>
      </c>
      <c r="M307">
        <v>5.9722222222222225E-2</v>
      </c>
      <c r="N307">
        <v>215</v>
      </c>
      <c r="O307">
        <v>1029.8499999999999</v>
      </c>
      <c r="P307">
        <v>4.7899999999999991</v>
      </c>
      <c r="Q307">
        <v>215</v>
      </c>
    </row>
    <row r="308" spans="1:17" x14ac:dyDescent="0.35">
      <c r="A308" s="46">
        <v>46123</v>
      </c>
      <c r="B308" t="s">
        <v>136</v>
      </c>
      <c r="C308" t="s">
        <v>408</v>
      </c>
      <c r="D308" t="s">
        <v>406</v>
      </c>
      <c r="E308" t="s">
        <v>337</v>
      </c>
      <c r="F308" t="s">
        <v>87</v>
      </c>
      <c r="G308" t="s">
        <v>356</v>
      </c>
      <c r="H308" t="s">
        <v>361</v>
      </c>
      <c r="I308" t="s">
        <v>323</v>
      </c>
      <c r="J308" t="s">
        <v>324</v>
      </c>
      <c r="K308" t="s">
        <v>142</v>
      </c>
      <c r="L308" t="s">
        <v>143</v>
      </c>
      <c r="M308">
        <v>7.194444444444445E-2</v>
      </c>
      <c r="N308">
        <v>259</v>
      </c>
      <c r="O308">
        <v>1593.23</v>
      </c>
      <c r="P308">
        <v>6.151467181467182</v>
      </c>
      <c r="Q308">
        <v>259</v>
      </c>
    </row>
    <row r="309" spans="1:17" x14ac:dyDescent="0.35">
      <c r="A309" s="46">
        <v>46123</v>
      </c>
      <c r="B309" t="s">
        <v>136</v>
      </c>
      <c r="C309" t="s">
        <v>408</v>
      </c>
      <c r="D309" t="s">
        <v>406</v>
      </c>
      <c r="E309" t="s">
        <v>337</v>
      </c>
      <c r="F309" t="s">
        <v>87</v>
      </c>
      <c r="G309" t="s">
        <v>356</v>
      </c>
      <c r="H309" t="s">
        <v>343</v>
      </c>
      <c r="I309" t="s">
        <v>323</v>
      </c>
      <c r="J309" t="s">
        <v>324</v>
      </c>
      <c r="K309" t="s">
        <v>142</v>
      </c>
      <c r="L309" t="s">
        <v>143</v>
      </c>
      <c r="M309">
        <v>0.16083333333333333</v>
      </c>
      <c r="N309">
        <v>579</v>
      </c>
      <c r="O309">
        <v>3290.7900000000004</v>
      </c>
      <c r="P309">
        <v>5.6835751295336792</v>
      </c>
      <c r="Q309">
        <v>579</v>
      </c>
    </row>
    <row r="310" spans="1:17" x14ac:dyDescent="0.35">
      <c r="A310" s="46">
        <v>46123</v>
      </c>
      <c r="B310" t="s">
        <v>136</v>
      </c>
      <c r="C310" t="s">
        <v>402</v>
      </c>
      <c r="D310" t="s">
        <v>406</v>
      </c>
      <c r="E310" t="s">
        <v>337</v>
      </c>
      <c r="F310" t="s">
        <v>87</v>
      </c>
      <c r="G310" t="s">
        <v>340</v>
      </c>
      <c r="H310" t="s">
        <v>327</v>
      </c>
      <c r="I310" t="s">
        <v>323</v>
      </c>
      <c r="J310" t="s">
        <v>324</v>
      </c>
      <c r="K310" t="s">
        <v>350</v>
      </c>
      <c r="L310" t="s">
        <v>351</v>
      </c>
      <c r="M310">
        <v>1.4166666666666666E-2</v>
      </c>
      <c r="N310">
        <v>51</v>
      </c>
      <c r="O310">
        <v>203.49</v>
      </c>
      <c r="P310">
        <v>3.99</v>
      </c>
      <c r="Q310">
        <v>51</v>
      </c>
    </row>
    <row r="311" spans="1:17" x14ac:dyDescent="0.35">
      <c r="A311" s="46">
        <v>46123</v>
      </c>
      <c r="B311" t="s">
        <v>136</v>
      </c>
      <c r="C311" t="s">
        <v>402</v>
      </c>
      <c r="D311" t="s">
        <v>406</v>
      </c>
      <c r="E311" t="s">
        <v>337</v>
      </c>
      <c r="F311" t="s">
        <v>87</v>
      </c>
      <c r="G311" t="s">
        <v>356</v>
      </c>
      <c r="H311" t="s">
        <v>330</v>
      </c>
      <c r="I311" t="s">
        <v>323</v>
      </c>
      <c r="J311" t="s">
        <v>324</v>
      </c>
      <c r="K311" t="s">
        <v>350</v>
      </c>
      <c r="L311" t="s">
        <v>351</v>
      </c>
      <c r="M311">
        <v>7.0555555555555552E-2</v>
      </c>
      <c r="N311">
        <v>254</v>
      </c>
      <c r="O311">
        <v>805.56</v>
      </c>
      <c r="P311">
        <v>3.1714960629921256</v>
      </c>
      <c r="Q311">
        <v>254</v>
      </c>
    </row>
    <row r="312" spans="1:17" x14ac:dyDescent="0.35">
      <c r="A312" s="46">
        <v>46123</v>
      </c>
      <c r="B312" t="s">
        <v>136</v>
      </c>
      <c r="C312" t="s">
        <v>402</v>
      </c>
      <c r="D312" t="s">
        <v>406</v>
      </c>
      <c r="E312" t="s">
        <v>337</v>
      </c>
      <c r="F312" t="s">
        <v>322</v>
      </c>
      <c r="G312" t="s">
        <v>322</v>
      </c>
      <c r="H312" t="s">
        <v>322</v>
      </c>
      <c r="I312" t="s">
        <v>323</v>
      </c>
      <c r="J312" t="s">
        <v>324</v>
      </c>
      <c r="K312" t="s">
        <v>350</v>
      </c>
      <c r="L312" t="s">
        <v>351</v>
      </c>
      <c r="M312">
        <v>8.3888888888888888E-2</v>
      </c>
      <c r="N312">
        <v>302</v>
      </c>
      <c r="O312">
        <v>967.29000000000008</v>
      </c>
      <c r="P312">
        <v>3.2029470198675498</v>
      </c>
      <c r="Q312">
        <v>302</v>
      </c>
    </row>
    <row r="313" spans="1:17" x14ac:dyDescent="0.35">
      <c r="A313" s="46">
        <v>46123</v>
      </c>
      <c r="B313" t="s">
        <v>136</v>
      </c>
      <c r="C313" t="s">
        <v>408</v>
      </c>
      <c r="D313" t="s">
        <v>406</v>
      </c>
      <c r="E313" t="s">
        <v>337</v>
      </c>
      <c r="F313" t="s">
        <v>87</v>
      </c>
      <c r="G313" t="s">
        <v>356</v>
      </c>
      <c r="H313" t="s">
        <v>361</v>
      </c>
      <c r="I313" t="s">
        <v>323</v>
      </c>
      <c r="J313" t="s">
        <v>324</v>
      </c>
      <c r="K313" t="s">
        <v>350</v>
      </c>
      <c r="L313" t="s">
        <v>351</v>
      </c>
      <c r="M313">
        <v>0.1438888888888889</v>
      </c>
      <c r="N313">
        <v>518</v>
      </c>
      <c r="O313">
        <v>1048.19</v>
      </c>
      <c r="P313">
        <v>2.0235328185328187</v>
      </c>
      <c r="Q313">
        <v>518</v>
      </c>
    </row>
    <row r="314" spans="1:17" x14ac:dyDescent="0.35">
      <c r="A314" s="46">
        <v>46123</v>
      </c>
      <c r="B314" t="s">
        <v>136</v>
      </c>
      <c r="C314" t="s">
        <v>408</v>
      </c>
      <c r="D314" t="s">
        <v>406</v>
      </c>
      <c r="E314" t="s">
        <v>337</v>
      </c>
      <c r="F314" t="s">
        <v>322</v>
      </c>
      <c r="G314" t="s">
        <v>322</v>
      </c>
      <c r="H314" t="s">
        <v>322</v>
      </c>
      <c r="I314" t="s">
        <v>323</v>
      </c>
      <c r="J314" t="s">
        <v>324</v>
      </c>
      <c r="K314" t="s">
        <v>350</v>
      </c>
      <c r="L314" t="s">
        <v>351</v>
      </c>
      <c r="M314">
        <v>7.4999999999999997E-2</v>
      </c>
      <c r="N314">
        <v>270</v>
      </c>
      <c r="O314">
        <v>1084.74</v>
      </c>
      <c r="P314">
        <v>4.017555555555556</v>
      </c>
      <c r="Q314">
        <v>270</v>
      </c>
    </row>
    <row r="315" spans="1:17" x14ac:dyDescent="0.35">
      <c r="A315" s="46">
        <v>46123</v>
      </c>
      <c r="B315" t="s">
        <v>136</v>
      </c>
      <c r="C315" t="s">
        <v>402</v>
      </c>
      <c r="D315" t="s">
        <v>406</v>
      </c>
      <c r="E315" t="s">
        <v>337</v>
      </c>
      <c r="F315" t="s">
        <v>87</v>
      </c>
      <c r="G315" t="s">
        <v>356</v>
      </c>
      <c r="H315" t="s">
        <v>343</v>
      </c>
      <c r="I315" t="s">
        <v>323</v>
      </c>
      <c r="J315" t="s">
        <v>324</v>
      </c>
      <c r="K315" t="s">
        <v>350</v>
      </c>
      <c r="L315" t="s">
        <v>351</v>
      </c>
      <c r="M315">
        <v>0.21972222222222224</v>
      </c>
      <c r="N315">
        <v>791</v>
      </c>
      <c r="O315">
        <v>1830.7800000000002</v>
      </c>
      <c r="P315">
        <v>2.3145132743362833</v>
      </c>
      <c r="Q315">
        <v>791</v>
      </c>
    </row>
    <row r="316" spans="1:17" x14ac:dyDescent="0.35">
      <c r="A316" s="46">
        <v>46123</v>
      </c>
      <c r="B316" t="s">
        <v>136</v>
      </c>
      <c r="C316" t="s">
        <v>402</v>
      </c>
      <c r="D316" t="s">
        <v>406</v>
      </c>
      <c r="E316" t="s">
        <v>337</v>
      </c>
      <c r="F316" t="s">
        <v>87</v>
      </c>
      <c r="G316" t="s">
        <v>356</v>
      </c>
      <c r="H316" t="s">
        <v>361</v>
      </c>
      <c r="I316" t="s">
        <v>323</v>
      </c>
      <c r="J316" t="s">
        <v>324</v>
      </c>
      <c r="K316" t="s">
        <v>350</v>
      </c>
      <c r="L316" t="s">
        <v>351</v>
      </c>
      <c r="M316">
        <v>0.38472222222222224</v>
      </c>
      <c r="N316">
        <v>1385</v>
      </c>
      <c r="O316">
        <v>4617.6600000000008</v>
      </c>
      <c r="P316">
        <v>3.334050541516246</v>
      </c>
      <c r="Q316">
        <v>1385</v>
      </c>
    </row>
    <row r="317" spans="1:17" x14ac:dyDescent="0.35">
      <c r="A317" s="46">
        <v>46123</v>
      </c>
      <c r="B317" t="s">
        <v>136</v>
      </c>
      <c r="C317" t="s">
        <v>408</v>
      </c>
      <c r="D317" t="s">
        <v>406</v>
      </c>
      <c r="E317" t="s">
        <v>337</v>
      </c>
      <c r="F317" t="s">
        <v>87</v>
      </c>
      <c r="G317" t="s">
        <v>356</v>
      </c>
      <c r="H317" t="s">
        <v>343</v>
      </c>
      <c r="I317" t="s">
        <v>323</v>
      </c>
      <c r="J317" t="s">
        <v>324</v>
      </c>
      <c r="K317" t="s">
        <v>350</v>
      </c>
      <c r="L317" t="s">
        <v>351</v>
      </c>
      <c r="M317">
        <v>0.39333333333333331</v>
      </c>
      <c r="N317">
        <v>1416</v>
      </c>
      <c r="O317">
        <v>5465.4800000000005</v>
      </c>
      <c r="P317">
        <v>3.8598022598870059</v>
      </c>
      <c r="Q317">
        <v>1416</v>
      </c>
    </row>
    <row r="318" spans="1:17" x14ac:dyDescent="0.35">
      <c r="A318" s="46">
        <v>46123</v>
      </c>
      <c r="B318" t="s">
        <v>136</v>
      </c>
      <c r="C318" t="s">
        <v>408</v>
      </c>
      <c r="D318" t="s">
        <v>406</v>
      </c>
      <c r="E318" t="s">
        <v>337</v>
      </c>
      <c r="F318" t="s">
        <v>322</v>
      </c>
      <c r="G318" t="s">
        <v>322</v>
      </c>
      <c r="H318" t="s">
        <v>322</v>
      </c>
      <c r="I318" t="s">
        <v>323</v>
      </c>
      <c r="J318" t="s">
        <v>324</v>
      </c>
      <c r="K318" t="s">
        <v>170</v>
      </c>
      <c r="L318" t="s">
        <v>171</v>
      </c>
      <c r="M318">
        <v>2.388888888888889E-2</v>
      </c>
      <c r="N318">
        <v>86</v>
      </c>
      <c r="O318">
        <v>0</v>
      </c>
    </row>
    <row r="319" spans="1:17" x14ac:dyDescent="0.35">
      <c r="A319" s="46">
        <v>46123</v>
      </c>
      <c r="B319" t="s">
        <v>136</v>
      </c>
      <c r="C319" t="s">
        <v>335</v>
      </c>
      <c r="D319" t="s">
        <v>406</v>
      </c>
      <c r="E319" t="s">
        <v>337</v>
      </c>
      <c r="F319" t="s">
        <v>322</v>
      </c>
      <c r="G319" t="s">
        <v>322</v>
      </c>
      <c r="H319" t="s">
        <v>322</v>
      </c>
      <c r="I319" t="s">
        <v>323</v>
      </c>
      <c r="J319" t="s">
        <v>324</v>
      </c>
      <c r="K319" t="s">
        <v>170</v>
      </c>
      <c r="L319" t="s">
        <v>171</v>
      </c>
      <c r="M319">
        <v>0.88111111111111107</v>
      </c>
      <c r="N319">
        <v>3172</v>
      </c>
      <c r="O319">
        <v>0</v>
      </c>
    </row>
    <row r="320" spans="1:17" x14ac:dyDescent="0.35">
      <c r="A320" s="46">
        <v>46123</v>
      </c>
      <c r="B320" t="s">
        <v>136</v>
      </c>
      <c r="C320" t="s">
        <v>335</v>
      </c>
      <c r="D320" t="s">
        <v>406</v>
      </c>
      <c r="E320" t="s">
        <v>337</v>
      </c>
      <c r="F320" t="s">
        <v>87</v>
      </c>
      <c r="G320" t="s">
        <v>356</v>
      </c>
      <c r="H320" t="s">
        <v>330</v>
      </c>
      <c r="I320" t="s">
        <v>323</v>
      </c>
      <c r="J320" t="s">
        <v>324</v>
      </c>
      <c r="K320" t="s">
        <v>170</v>
      </c>
      <c r="L320" t="s">
        <v>171</v>
      </c>
      <c r="M320">
        <v>10.024722222222222</v>
      </c>
      <c r="N320">
        <v>36089</v>
      </c>
      <c r="O320">
        <v>0</v>
      </c>
    </row>
    <row r="321" spans="1:17" x14ac:dyDescent="0.35">
      <c r="A321" s="46">
        <v>46123</v>
      </c>
      <c r="B321" t="s">
        <v>136</v>
      </c>
      <c r="C321" t="s">
        <v>408</v>
      </c>
      <c r="D321" t="s">
        <v>406</v>
      </c>
      <c r="E321" t="s">
        <v>337</v>
      </c>
      <c r="F321" t="s">
        <v>87</v>
      </c>
      <c r="G321" t="s">
        <v>340</v>
      </c>
      <c r="H321" t="s">
        <v>331</v>
      </c>
      <c r="I321" t="s">
        <v>323</v>
      </c>
      <c r="J321" t="s">
        <v>324</v>
      </c>
      <c r="K321" t="s">
        <v>170</v>
      </c>
      <c r="L321" t="s">
        <v>171</v>
      </c>
      <c r="M321">
        <v>9.7222222222222224E-3</v>
      </c>
      <c r="N321">
        <v>35</v>
      </c>
      <c r="O321">
        <v>0</v>
      </c>
    </row>
    <row r="322" spans="1:17" x14ac:dyDescent="0.35">
      <c r="A322" s="46">
        <v>46123</v>
      </c>
      <c r="B322" t="s">
        <v>136</v>
      </c>
      <c r="C322" t="s">
        <v>402</v>
      </c>
      <c r="D322" t="s">
        <v>406</v>
      </c>
      <c r="E322" t="s">
        <v>337</v>
      </c>
      <c r="F322" t="s">
        <v>87</v>
      </c>
      <c r="G322" t="s">
        <v>356</v>
      </c>
      <c r="H322" t="s">
        <v>361</v>
      </c>
      <c r="I322" t="s">
        <v>323</v>
      </c>
      <c r="J322" t="s">
        <v>324</v>
      </c>
      <c r="K322" t="s">
        <v>170</v>
      </c>
      <c r="L322" t="s">
        <v>171</v>
      </c>
      <c r="M322">
        <v>1.2375</v>
      </c>
      <c r="N322">
        <v>4455</v>
      </c>
      <c r="O322">
        <v>0</v>
      </c>
    </row>
    <row r="323" spans="1:17" x14ac:dyDescent="0.35">
      <c r="A323" s="46">
        <v>46123</v>
      </c>
      <c r="B323" t="s">
        <v>136</v>
      </c>
      <c r="C323" t="s">
        <v>335</v>
      </c>
      <c r="D323" t="s">
        <v>406</v>
      </c>
      <c r="E323" t="s">
        <v>337</v>
      </c>
      <c r="F323" t="s">
        <v>87</v>
      </c>
      <c r="G323" t="s">
        <v>356</v>
      </c>
      <c r="H323" t="s">
        <v>361</v>
      </c>
      <c r="I323" t="s">
        <v>323</v>
      </c>
      <c r="J323" t="s">
        <v>324</v>
      </c>
      <c r="K323" t="s">
        <v>170</v>
      </c>
      <c r="L323" t="s">
        <v>171</v>
      </c>
      <c r="M323">
        <v>0.19750000000000001</v>
      </c>
      <c r="N323">
        <v>711</v>
      </c>
      <c r="O323">
        <v>0</v>
      </c>
    </row>
    <row r="324" spans="1:17" x14ac:dyDescent="0.35">
      <c r="A324" s="46">
        <v>46123</v>
      </c>
      <c r="B324" t="s">
        <v>136</v>
      </c>
      <c r="C324" t="s">
        <v>408</v>
      </c>
      <c r="D324" t="s">
        <v>406</v>
      </c>
      <c r="E324" t="s">
        <v>337</v>
      </c>
      <c r="F324" t="s">
        <v>87</v>
      </c>
      <c r="G324" t="s">
        <v>356</v>
      </c>
      <c r="H324" t="s">
        <v>343</v>
      </c>
      <c r="I324" t="s">
        <v>323</v>
      </c>
      <c r="J324" t="s">
        <v>324</v>
      </c>
      <c r="K324" t="s">
        <v>170</v>
      </c>
      <c r="L324" t="s">
        <v>171</v>
      </c>
      <c r="M324">
        <v>0.71083333333333332</v>
      </c>
      <c r="N324">
        <v>2559</v>
      </c>
      <c r="O324">
        <v>0</v>
      </c>
    </row>
    <row r="325" spans="1:17" x14ac:dyDescent="0.35">
      <c r="A325" s="46">
        <v>46123</v>
      </c>
      <c r="B325" t="s">
        <v>136</v>
      </c>
      <c r="C325" t="s">
        <v>402</v>
      </c>
      <c r="D325" t="s">
        <v>406</v>
      </c>
      <c r="E325" t="s">
        <v>337</v>
      </c>
      <c r="F325" t="s">
        <v>87</v>
      </c>
      <c r="G325" t="s">
        <v>356</v>
      </c>
      <c r="H325" t="s">
        <v>343</v>
      </c>
      <c r="I325" t="s">
        <v>323</v>
      </c>
      <c r="J325" t="s">
        <v>324</v>
      </c>
      <c r="K325" t="s">
        <v>170</v>
      </c>
      <c r="L325" t="s">
        <v>171</v>
      </c>
      <c r="M325">
        <v>0.94861111111111107</v>
      </c>
      <c r="N325">
        <v>3415</v>
      </c>
      <c r="O325">
        <v>0</v>
      </c>
    </row>
    <row r="326" spans="1:17" x14ac:dyDescent="0.35">
      <c r="A326" s="46">
        <v>46123</v>
      </c>
      <c r="B326" t="s">
        <v>136</v>
      </c>
      <c r="C326" t="s">
        <v>335</v>
      </c>
      <c r="D326" t="s">
        <v>406</v>
      </c>
      <c r="E326" t="s">
        <v>337</v>
      </c>
      <c r="F326" t="s">
        <v>87</v>
      </c>
      <c r="G326" t="s">
        <v>356</v>
      </c>
      <c r="H326" t="s">
        <v>343</v>
      </c>
      <c r="I326" t="s">
        <v>323</v>
      </c>
      <c r="J326" t="s">
        <v>324</v>
      </c>
      <c r="K326" t="s">
        <v>170</v>
      </c>
      <c r="L326" t="s">
        <v>171</v>
      </c>
      <c r="M326">
        <v>1.9722222222222221E-2</v>
      </c>
      <c r="N326">
        <v>71</v>
      </c>
      <c r="O326">
        <v>0</v>
      </c>
    </row>
    <row r="327" spans="1:17" x14ac:dyDescent="0.35">
      <c r="A327" s="46">
        <v>46123</v>
      </c>
      <c r="B327" t="s">
        <v>136</v>
      </c>
      <c r="C327" t="s">
        <v>335</v>
      </c>
      <c r="D327" t="s">
        <v>406</v>
      </c>
      <c r="E327" t="s">
        <v>337</v>
      </c>
      <c r="F327" t="s">
        <v>87</v>
      </c>
      <c r="G327" t="s">
        <v>356</v>
      </c>
      <c r="H327" t="s">
        <v>361</v>
      </c>
      <c r="I327" t="s">
        <v>323</v>
      </c>
      <c r="J327" t="s">
        <v>324</v>
      </c>
      <c r="K327" t="s">
        <v>182</v>
      </c>
      <c r="L327" t="s">
        <v>183</v>
      </c>
      <c r="M327">
        <v>1.6666666666666668E-3</v>
      </c>
      <c r="N327">
        <v>6</v>
      </c>
    </row>
    <row r="328" spans="1:17" x14ac:dyDescent="0.35">
      <c r="A328" s="46">
        <v>46123</v>
      </c>
      <c r="B328" t="s">
        <v>136</v>
      </c>
      <c r="C328" t="s">
        <v>402</v>
      </c>
      <c r="D328" t="s">
        <v>406</v>
      </c>
      <c r="E328" t="s">
        <v>337</v>
      </c>
      <c r="F328" t="s">
        <v>87</v>
      </c>
      <c r="G328" t="s">
        <v>356</v>
      </c>
      <c r="H328" t="s">
        <v>361</v>
      </c>
      <c r="I328" t="s">
        <v>323</v>
      </c>
      <c r="J328" t="s">
        <v>324</v>
      </c>
      <c r="K328" t="s">
        <v>182</v>
      </c>
      <c r="L328" t="s">
        <v>183</v>
      </c>
      <c r="M328">
        <v>4.6388888888888889E-2</v>
      </c>
      <c r="N328">
        <v>167</v>
      </c>
      <c r="O328">
        <v>0</v>
      </c>
    </row>
    <row r="329" spans="1:17" x14ac:dyDescent="0.35">
      <c r="A329" s="46">
        <v>46122</v>
      </c>
      <c r="B329" t="s">
        <v>136</v>
      </c>
      <c r="C329" t="s">
        <v>319</v>
      </c>
      <c r="D329" t="s">
        <v>320</v>
      </c>
      <c r="E329" t="s">
        <v>321</v>
      </c>
      <c r="F329" t="s">
        <v>332</v>
      </c>
      <c r="G329" t="s">
        <v>333</v>
      </c>
      <c r="H329" t="s">
        <v>334</v>
      </c>
      <c r="I329" t="s">
        <v>323</v>
      </c>
      <c r="J329" t="s">
        <v>324</v>
      </c>
      <c r="K329" t="s">
        <v>142</v>
      </c>
      <c r="L329" t="s">
        <v>143</v>
      </c>
      <c r="M329">
        <v>2.0277777777777777E-2</v>
      </c>
      <c r="N329">
        <v>73</v>
      </c>
      <c r="O329">
        <v>181.04</v>
      </c>
      <c r="P329">
        <v>2.48</v>
      </c>
      <c r="Q329">
        <v>73</v>
      </c>
    </row>
    <row r="330" spans="1:17" x14ac:dyDescent="0.35">
      <c r="A330" s="46">
        <v>46122</v>
      </c>
      <c r="B330" t="s">
        <v>136</v>
      </c>
      <c r="C330" t="s">
        <v>319</v>
      </c>
      <c r="D330" t="s">
        <v>320</v>
      </c>
      <c r="E330" t="s">
        <v>321</v>
      </c>
      <c r="F330" t="s">
        <v>322</v>
      </c>
      <c r="G330" t="s">
        <v>322</v>
      </c>
      <c r="H330" t="s">
        <v>322</v>
      </c>
      <c r="I330" t="s">
        <v>323</v>
      </c>
      <c r="J330" t="s">
        <v>324</v>
      </c>
      <c r="K330" t="s">
        <v>170</v>
      </c>
      <c r="L330" t="s">
        <v>171</v>
      </c>
      <c r="M330">
        <v>0.50055555555555553</v>
      </c>
      <c r="N330">
        <v>1802</v>
      </c>
      <c r="O330">
        <v>0</v>
      </c>
    </row>
    <row r="331" spans="1:17" x14ac:dyDescent="0.35">
      <c r="A331" s="46">
        <v>46122</v>
      </c>
      <c r="B331" t="s">
        <v>136</v>
      </c>
      <c r="C331" t="s">
        <v>319</v>
      </c>
      <c r="D331" t="s">
        <v>320</v>
      </c>
      <c r="E331" t="s">
        <v>321</v>
      </c>
      <c r="F331" t="s">
        <v>332</v>
      </c>
      <c r="G331" t="s">
        <v>333</v>
      </c>
      <c r="H331" t="s">
        <v>334</v>
      </c>
      <c r="I331" t="s">
        <v>323</v>
      </c>
      <c r="J331" t="s">
        <v>324</v>
      </c>
      <c r="K331" t="s">
        <v>170</v>
      </c>
      <c r="L331" t="s">
        <v>171</v>
      </c>
      <c r="M331">
        <v>6.9091666666666667</v>
      </c>
      <c r="N331">
        <v>24873</v>
      </c>
      <c r="O331">
        <v>0</v>
      </c>
    </row>
    <row r="332" spans="1:17" x14ac:dyDescent="0.35">
      <c r="A332" s="46">
        <v>46122</v>
      </c>
      <c r="B332" t="s">
        <v>136</v>
      </c>
      <c r="C332" t="s">
        <v>319</v>
      </c>
      <c r="D332" t="s">
        <v>320</v>
      </c>
      <c r="E332" t="s">
        <v>321</v>
      </c>
      <c r="F332" t="s">
        <v>328</v>
      </c>
      <c r="G332" t="s">
        <v>329</v>
      </c>
      <c r="H332" t="s">
        <v>327</v>
      </c>
      <c r="I332" t="s">
        <v>323</v>
      </c>
      <c r="J332" t="s">
        <v>324</v>
      </c>
      <c r="K332" t="s">
        <v>170</v>
      </c>
      <c r="L332" t="s">
        <v>171</v>
      </c>
      <c r="M332">
        <v>16.57</v>
      </c>
      <c r="N332">
        <v>59652</v>
      </c>
      <c r="O332">
        <v>0</v>
      </c>
    </row>
    <row r="333" spans="1:17" x14ac:dyDescent="0.35">
      <c r="A333" s="46">
        <v>46122</v>
      </c>
      <c r="B333" t="s">
        <v>136</v>
      </c>
      <c r="C333" t="s">
        <v>360</v>
      </c>
      <c r="D333" t="s">
        <v>336</v>
      </c>
      <c r="E333" t="s">
        <v>337</v>
      </c>
      <c r="F333" t="s">
        <v>322</v>
      </c>
      <c r="G333" t="s">
        <v>322</v>
      </c>
      <c r="H333" t="s">
        <v>322</v>
      </c>
      <c r="I333" t="s">
        <v>323</v>
      </c>
      <c r="J333" t="s">
        <v>324</v>
      </c>
      <c r="K333" t="s">
        <v>170</v>
      </c>
      <c r="L333" t="s">
        <v>171</v>
      </c>
      <c r="M333">
        <v>0.64027777777777772</v>
      </c>
      <c r="N333">
        <v>2305</v>
      </c>
      <c r="O333">
        <v>0</v>
      </c>
    </row>
    <row r="334" spans="1:17" x14ac:dyDescent="0.35">
      <c r="A334" s="46">
        <v>46122</v>
      </c>
      <c r="B334" t="s">
        <v>136</v>
      </c>
      <c r="C334" t="s">
        <v>360</v>
      </c>
      <c r="D334" t="s">
        <v>336</v>
      </c>
      <c r="E334" t="s">
        <v>337</v>
      </c>
      <c r="F334" t="s">
        <v>87</v>
      </c>
      <c r="G334" t="s">
        <v>340</v>
      </c>
      <c r="H334" t="s">
        <v>331</v>
      </c>
      <c r="I334" t="s">
        <v>323</v>
      </c>
      <c r="J334" t="s">
        <v>324</v>
      </c>
      <c r="K334" t="s">
        <v>170</v>
      </c>
      <c r="L334" t="s">
        <v>171</v>
      </c>
      <c r="M334">
        <v>6.2024999999999997</v>
      </c>
      <c r="N334">
        <v>22329</v>
      </c>
      <c r="O334">
        <v>0</v>
      </c>
    </row>
    <row r="335" spans="1:17" x14ac:dyDescent="0.35">
      <c r="A335" s="46">
        <v>46122</v>
      </c>
      <c r="B335" t="s">
        <v>136</v>
      </c>
      <c r="C335" t="s">
        <v>335</v>
      </c>
      <c r="D335" t="s">
        <v>336</v>
      </c>
      <c r="E335" t="s">
        <v>337</v>
      </c>
      <c r="F335" t="s">
        <v>87</v>
      </c>
      <c r="G335" t="s">
        <v>340</v>
      </c>
      <c r="H335" t="s">
        <v>331</v>
      </c>
      <c r="I335" t="s">
        <v>323</v>
      </c>
      <c r="J335" t="s">
        <v>324</v>
      </c>
      <c r="K335" t="s">
        <v>170</v>
      </c>
      <c r="L335" t="s">
        <v>171</v>
      </c>
      <c r="M335">
        <v>9.7074999999999996</v>
      </c>
      <c r="N335">
        <v>34947</v>
      </c>
      <c r="O335">
        <v>0</v>
      </c>
    </row>
    <row r="336" spans="1:17" x14ac:dyDescent="0.35">
      <c r="A336" s="46">
        <v>46122</v>
      </c>
      <c r="B336" t="s">
        <v>136</v>
      </c>
      <c r="C336" t="s">
        <v>360</v>
      </c>
      <c r="D336" t="s">
        <v>336</v>
      </c>
      <c r="E336" t="s">
        <v>337</v>
      </c>
      <c r="F336" t="s">
        <v>87</v>
      </c>
      <c r="G336" t="s">
        <v>356</v>
      </c>
      <c r="H336" t="s">
        <v>343</v>
      </c>
      <c r="I336" t="s">
        <v>323</v>
      </c>
      <c r="J336" t="s">
        <v>324</v>
      </c>
      <c r="K336" t="s">
        <v>170</v>
      </c>
      <c r="L336" t="s">
        <v>171</v>
      </c>
      <c r="M336">
        <v>7.4497222222222224</v>
      </c>
      <c r="N336">
        <v>26819</v>
      </c>
      <c r="O336">
        <v>0</v>
      </c>
    </row>
    <row r="337" spans="1:17" x14ac:dyDescent="0.35">
      <c r="A337" s="46">
        <v>46122</v>
      </c>
      <c r="B337" t="s">
        <v>136</v>
      </c>
      <c r="C337" t="s">
        <v>370</v>
      </c>
      <c r="D337" t="s">
        <v>363</v>
      </c>
      <c r="E337" t="s">
        <v>364</v>
      </c>
      <c r="F337" t="s">
        <v>322</v>
      </c>
      <c r="G337" t="s">
        <v>322</v>
      </c>
      <c r="H337" t="s">
        <v>322</v>
      </c>
      <c r="I337" t="s">
        <v>323</v>
      </c>
      <c r="J337" t="s">
        <v>324</v>
      </c>
      <c r="K337" t="s">
        <v>170</v>
      </c>
      <c r="L337" t="s">
        <v>171</v>
      </c>
      <c r="M337">
        <v>10.891944444444444</v>
      </c>
      <c r="N337">
        <v>39211</v>
      </c>
      <c r="O337">
        <v>0</v>
      </c>
    </row>
    <row r="338" spans="1:17" x14ac:dyDescent="0.35">
      <c r="A338" s="46">
        <v>46122</v>
      </c>
      <c r="B338" t="s">
        <v>136</v>
      </c>
      <c r="C338" t="s">
        <v>370</v>
      </c>
      <c r="D338" t="s">
        <v>363</v>
      </c>
      <c r="E338" t="s">
        <v>364</v>
      </c>
      <c r="F338" t="s">
        <v>82</v>
      </c>
      <c r="G338" t="s">
        <v>368</v>
      </c>
      <c r="H338" t="s">
        <v>331</v>
      </c>
      <c r="I338" t="s">
        <v>323</v>
      </c>
      <c r="J338" t="s">
        <v>324</v>
      </c>
      <c r="K338" t="s">
        <v>170</v>
      </c>
      <c r="L338" t="s">
        <v>171</v>
      </c>
      <c r="M338">
        <v>13.108055555555556</v>
      </c>
      <c r="N338">
        <v>47189</v>
      </c>
      <c r="O338">
        <v>0</v>
      </c>
    </row>
    <row r="339" spans="1:17" x14ac:dyDescent="0.35">
      <c r="A339" s="46">
        <v>46122</v>
      </c>
      <c r="B339" t="s">
        <v>136</v>
      </c>
      <c r="C339" t="s">
        <v>335</v>
      </c>
      <c r="D339" t="s">
        <v>378</v>
      </c>
      <c r="E339" t="s">
        <v>321</v>
      </c>
      <c r="F339" t="s">
        <v>332</v>
      </c>
      <c r="G339" t="s">
        <v>333</v>
      </c>
      <c r="H339" t="s">
        <v>334</v>
      </c>
      <c r="I339" t="s">
        <v>323</v>
      </c>
      <c r="J339" t="s">
        <v>324</v>
      </c>
      <c r="K339" t="s">
        <v>170</v>
      </c>
      <c r="L339" t="s">
        <v>171</v>
      </c>
      <c r="M339">
        <v>24</v>
      </c>
      <c r="N339">
        <v>86400</v>
      </c>
      <c r="O339">
        <v>0</v>
      </c>
    </row>
    <row r="340" spans="1:17" x14ac:dyDescent="0.35">
      <c r="A340" s="46">
        <v>46122</v>
      </c>
      <c r="B340" t="s">
        <v>136</v>
      </c>
      <c r="C340" t="s">
        <v>335</v>
      </c>
      <c r="D340" t="s">
        <v>385</v>
      </c>
      <c r="E340" t="s">
        <v>321</v>
      </c>
      <c r="F340" t="s">
        <v>332</v>
      </c>
      <c r="G340" t="s">
        <v>333</v>
      </c>
      <c r="H340" t="s">
        <v>334</v>
      </c>
      <c r="I340" t="s">
        <v>323</v>
      </c>
      <c r="J340" t="s">
        <v>324</v>
      </c>
      <c r="K340" t="s">
        <v>170</v>
      </c>
      <c r="L340" t="s">
        <v>171</v>
      </c>
      <c r="M340">
        <v>3.6924999999999999</v>
      </c>
      <c r="N340">
        <v>13293</v>
      </c>
      <c r="O340">
        <v>0</v>
      </c>
    </row>
    <row r="341" spans="1:17" x14ac:dyDescent="0.35">
      <c r="A341" s="46">
        <v>46122</v>
      </c>
      <c r="B341" t="s">
        <v>136</v>
      </c>
      <c r="C341" t="s">
        <v>335</v>
      </c>
      <c r="D341" t="s">
        <v>385</v>
      </c>
      <c r="E341" t="s">
        <v>321</v>
      </c>
      <c r="F341" t="s">
        <v>328</v>
      </c>
      <c r="G341" t="s">
        <v>329</v>
      </c>
      <c r="H341" t="s">
        <v>327</v>
      </c>
      <c r="I341" t="s">
        <v>323</v>
      </c>
      <c r="J341" t="s">
        <v>324</v>
      </c>
      <c r="K341" t="s">
        <v>170</v>
      </c>
      <c r="L341" t="s">
        <v>171</v>
      </c>
      <c r="M341">
        <v>20.307500000000001</v>
      </c>
      <c r="N341">
        <v>73107</v>
      </c>
      <c r="O341">
        <v>0</v>
      </c>
    </row>
    <row r="342" spans="1:17" x14ac:dyDescent="0.35">
      <c r="A342" s="46">
        <v>46122</v>
      </c>
      <c r="B342" t="s">
        <v>136</v>
      </c>
      <c r="C342" t="s">
        <v>319</v>
      </c>
      <c r="D342" t="s">
        <v>391</v>
      </c>
      <c r="E342" t="s">
        <v>364</v>
      </c>
      <c r="F342" t="s">
        <v>322</v>
      </c>
      <c r="G342" t="s">
        <v>322</v>
      </c>
      <c r="H342" t="s">
        <v>322</v>
      </c>
      <c r="I342" t="s">
        <v>323</v>
      </c>
      <c r="J342" t="s">
        <v>324</v>
      </c>
      <c r="K342" t="s">
        <v>170</v>
      </c>
      <c r="L342" t="s">
        <v>171</v>
      </c>
      <c r="M342">
        <v>20.163055555555555</v>
      </c>
      <c r="N342">
        <v>72587</v>
      </c>
      <c r="O342">
        <v>0</v>
      </c>
    </row>
    <row r="343" spans="1:17" x14ac:dyDescent="0.35">
      <c r="A343" s="46">
        <v>46122</v>
      </c>
      <c r="B343" t="s">
        <v>136</v>
      </c>
      <c r="C343" t="s">
        <v>319</v>
      </c>
      <c r="D343" t="s">
        <v>391</v>
      </c>
      <c r="E343" t="s">
        <v>364</v>
      </c>
      <c r="F343" t="s">
        <v>82</v>
      </c>
      <c r="G343" t="s">
        <v>368</v>
      </c>
      <c r="H343" t="s">
        <v>331</v>
      </c>
      <c r="I343" t="s">
        <v>323</v>
      </c>
      <c r="J343" t="s">
        <v>324</v>
      </c>
      <c r="K343" t="s">
        <v>170</v>
      </c>
      <c r="L343" t="s">
        <v>171</v>
      </c>
      <c r="M343">
        <v>3.8369444444444443</v>
      </c>
      <c r="N343">
        <v>13813</v>
      </c>
      <c r="O343">
        <v>0</v>
      </c>
    </row>
    <row r="344" spans="1:17" x14ac:dyDescent="0.35">
      <c r="A344" s="46">
        <v>46122</v>
      </c>
      <c r="B344" t="s">
        <v>136</v>
      </c>
      <c r="C344" t="s">
        <v>319</v>
      </c>
      <c r="D344" t="s">
        <v>396</v>
      </c>
      <c r="E344" t="s">
        <v>364</v>
      </c>
      <c r="F344" t="s">
        <v>322</v>
      </c>
      <c r="G344" t="s">
        <v>322</v>
      </c>
      <c r="H344" t="s">
        <v>322</v>
      </c>
      <c r="I344" t="s">
        <v>323</v>
      </c>
      <c r="J344" t="s">
        <v>324</v>
      </c>
      <c r="K344" t="s">
        <v>142</v>
      </c>
      <c r="L344" t="s">
        <v>143</v>
      </c>
      <c r="M344">
        <v>5.527777777777778E-2</v>
      </c>
      <c r="N344">
        <v>199</v>
      </c>
      <c r="O344">
        <v>581.08000000000004</v>
      </c>
      <c r="P344">
        <v>2.9200000000000004</v>
      </c>
      <c r="Q344">
        <v>199</v>
      </c>
    </row>
    <row r="345" spans="1:17" x14ac:dyDescent="0.35">
      <c r="A345" s="46">
        <v>46122</v>
      </c>
      <c r="B345" t="s">
        <v>136</v>
      </c>
      <c r="C345" t="s">
        <v>319</v>
      </c>
      <c r="D345" t="s">
        <v>396</v>
      </c>
      <c r="E345" t="s">
        <v>364</v>
      </c>
      <c r="F345" t="s">
        <v>82</v>
      </c>
      <c r="G345" t="s">
        <v>368</v>
      </c>
      <c r="H345" t="s">
        <v>331</v>
      </c>
      <c r="I345" t="s">
        <v>323</v>
      </c>
      <c r="J345" t="s">
        <v>324</v>
      </c>
      <c r="K345" t="s">
        <v>170</v>
      </c>
      <c r="L345" t="s">
        <v>171</v>
      </c>
      <c r="M345">
        <v>3.3438888888888889</v>
      </c>
      <c r="N345">
        <v>12038</v>
      </c>
    </row>
    <row r="346" spans="1:17" x14ac:dyDescent="0.35">
      <c r="A346" s="46">
        <v>46122</v>
      </c>
      <c r="B346" t="s">
        <v>136</v>
      </c>
      <c r="C346" t="s">
        <v>319</v>
      </c>
      <c r="D346" t="s">
        <v>396</v>
      </c>
      <c r="E346" t="s">
        <v>364</v>
      </c>
      <c r="F346" t="s">
        <v>322</v>
      </c>
      <c r="G346" t="s">
        <v>322</v>
      </c>
      <c r="H346" t="s">
        <v>322</v>
      </c>
      <c r="I346" t="s">
        <v>323</v>
      </c>
      <c r="J346" t="s">
        <v>324</v>
      </c>
      <c r="K346" t="s">
        <v>170</v>
      </c>
      <c r="L346" t="s">
        <v>171</v>
      </c>
      <c r="M346">
        <v>19.531388888888888</v>
      </c>
      <c r="N346">
        <v>70313</v>
      </c>
      <c r="O346">
        <v>0</v>
      </c>
    </row>
    <row r="347" spans="1:17" x14ac:dyDescent="0.35">
      <c r="A347" s="46">
        <v>46122</v>
      </c>
      <c r="B347" t="s">
        <v>136</v>
      </c>
      <c r="C347" t="s">
        <v>319</v>
      </c>
      <c r="D347" t="s">
        <v>396</v>
      </c>
      <c r="E347" t="s">
        <v>364</v>
      </c>
      <c r="F347" t="s">
        <v>82</v>
      </c>
      <c r="G347" t="s">
        <v>368</v>
      </c>
      <c r="H347" t="s">
        <v>366</v>
      </c>
      <c r="I347" t="s">
        <v>323</v>
      </c>
      <c r="J347" t="s">
        <v>324</v>
      </c>
      <c r="K347" t="s">
        <v>170</v>
      </c>
      <c r="L347" t="s">
        <v>171</v>
      </c>
      <c r="M347">
        <v>1.0694444444444444</v>
      </c>
      <c r="N347">
        <v>3850</v>
      </c>
      <c r="O347">
        <v>0</v>
      </c>
    </row>
    <row r="348" spans="1:17" x14ac:dyDescent="0.35">
      <c r="A348" s="46">
        <v>46122</v>
      </c>
      <c r="B348" t="s">
        <v>136</v>
      </c>
      <c r="C348" t="s">
        <v>335</v>
      </c>
      <c r="D348" t="s">
        <v>399</v>
      </c>
      <c r="E348" t="s">
        <v>321</v>
      </c>
      <c r="F348" t="s">
        <v>322</v>
      </c>
      <c r="G348" t="s">
        <v>322</v>
      </c>
      <c r="H348" t="s">
        <v>322</v>
      </c>
      <c r="I348" t="s">
        <v>323</v>
      </c>
      <c r="J348" t="s">
        <v>324</v>
      </c>
      <c r="K348" t="s">
        <v>170</v>
      </c>
      <c r="L348" t="s">
        <v>171</v>
      </c>
      <c r="M348">
        <v>9.7238888888888884</v>
      </c>
      <c r="N348">
        <v>35006</v>
      </c>
      <c r="O348">
        <v>0</v>
      </c>
    </row>
    <row r="349" spans="1:17" x14ac:dyDescent="0.35">
      <c r="A349" s="46">
        <v>46122</v>
      </c>
      <c r="B349" t="s">
        <v>136</v>
      </c>
      <c r="C349" t="s">
        <v>335</v>
      </c>
      <c r="D349" t="s">
        <v>399</v>
      </c>
      <c r="E349" t="s">
        <v>321</v>
      </c>
      <c r="F349" t="s">
        <v>332</v>
      </c>
      <c r="G349" t="s">
        <v>333</v>
      </c>
      <c r="H349" t="s">
        <v>334</v>
      </c>
      <c r="I349" t="s">
        <v>323</v>
      </c>
      <c r="J349" t="s">
        <v>324</v>
      </c>
      <c r="K349" t="s">
        <v>170</v>
      </c>
      <c r="L349" t="s">
        <v>171</v>
      </c>
      <c r="M349">
        <v>2.1697222222222221</v>
      </c>
      <c r="N349">
        <v>7811</v>
      </c>
      <c r="O349">
        <v>0</v>
      </c>
    </row>
    <row r="350" spans="1:17" x14ac:dyDescent="0.35">
      <c r="A350" s="46">
        <v>46122</v>
      </c>
      <c r="B350" t="s">
        <v>136</v>
      </c>
      <c r="C350" t="s">
        <v>335</v>
      </c>
      <c r="D350" t="s">
        <v>399</v>
      </c>
      <c r="E350" t="s">
        <v>321</v>
      </c>
      <c r="F350" t="s">
        <v>328</v>
      </c>
      <c r="G350" t="s">
        <v>329</v>
      </c>
      <c r="H350" t="s">
        <v>327</v>
      </c>
      <c r="I350" t="s">
        <v>323</v>
      </c>
      <c r="J350" t="s">
        <v>324</v>
      </c>
      <c r="K350" t="s">
        <v>170</v>
      </c>
      <c r="L350" t="s">
        <v>171</v>
      </c>
      <c r="M350">
        <v>12.106388888888889</v>
      </c>
      <c r="N350">
        <v>43583</v>
      </c>
      <c r="O350">
        <v>0</v>
      </c>
    </row>
    <row r="351" spans="1:17" x14ac:dyDescent="0.35">
      <c r="A351" s="46">
        <v>46122</v>
      </c>
      <c r="B351" t="s">
        <v>136</v>
      </c>
      <c r="C351" t="s">
        <v>335</v>
      </c>
      <c r="D351" t="s">
        <v>400</v>
      </c>
      <c r="E351" t="s">
        <v>337</v>
      </c>
      <c r="F351" t="s">
        <v>322</v>
      </c>
      <c r="G351" t="s">
        <v>322</v>
      </c>
      <c r="H351" t="s">
        <v>322</v>
      </c>
      <c r="I351" t="s">
        <v>323</v>
      </c>
      <c r="J351" t="s">
        <v>324</v>
      </c>
      <c r="K351" t="s">
        <v>170</v>
      </c>
      <c r="L351" t="s">
        <v>171</v>
      </c>
      <c r="M351">
        <v>6.6502777777777782</v>
      </c>
      <c r="N351">
        <v>23941</v>
      </c>
      <c r="O351">
        <v>0</v>
      </c>
    </row>
    <row r="352" spans="1:17" x14ac:dyDescent="0.35">
      <c r="A352" s="46">
        <v>46122</v>
      </c>
      <c r="B352" t="s">
        <v>136</v>
      </c>
      <c r="C352" t="s">
        <v>335</v>
      </c>
      <c r="D352" t="s">
        <v>400</v>
      </c>
      <c r="E352" t="s">
        <v>337</v>
      </c>
      <c r="F352" t="s">
        <v>87</v>
      </c>
      <c r="G352" t="s">
        <v>340</v>
      </c>
      <c r="H352" t="s">
        <v>331</v>
      </c>
      <c r="I352" t="s">
        <v>323</v>
      </c>
      <c r="J352" t="s">
        <v>324</v>
      </c>
      <c r="K352" t="s">
        <v>170</v>
      </c>
      <c r="L352" t="s">
        <v>171</v>
      </c>
      <c r="M352">
        <v>14.904999999999999</v>
      </c>
      <c r="N352">
        <v>53658</v>
      </c>
      <c r="O352">
        <v>0</v>
      </c>
    </row>
    <row r="353" spans="1:15" x14ac:dyDescent="0.35">
      <c r="A353" s="46">
        <v>46122</v>
      </c>
      <c r="B353" t="s">
        <v>136</v>
      </c>
      <c r="C353" t="s">
        <v>335</v>
      </c>
      <c r="D353" t="s">
        <v>400</v>
      </c>
      <c r="E353" t="s">
        <v>337</v>
      </c>
      <c r="F353" t="s">
        <v>87</v>
      </c>
      <c r="G353" t="s">
        <v>356</v>
      </c>
      <c r="H353" t="s">
        <v>343</v>
      </c>
      <c r="I353" t="s">
        <v>323</v>
      </c>
      <c r="J353" t="s">
        <v>324</v>
      </c>
      <c r="K353" t="s">
        <v>170</v>
      </c>
      <c r="L353" t="s">
        <v>171</v>
      </c>
      <c r="M353">
        <v>2.444722222222222</v>
      </c>
      <c r="N353">
        <v>8801</v>
      </c>
      <c r="O353">
        <v>0</v>
      </c>
    </row>
    <row r="354" spans="1:15" x14ac:dyDescent="0.35">
      <c r="A354" s="46">
        <v>46122</v>
      </c>
      <c r="B354" t="s">
        <v>136</v>
      </c>
      <c r="C354" t="s">
        <v>335</v>
      </c>
      <c r="D354" t="s">
        <v>406</v>
      </c>
      <c r="E354" t="s">
        <v>337</v>
      </c>
      <c r="F354" t="s">
        <v>322</v>
      </c>
      <c r="G354" t="s">
        <v>322</v>
      </c>
      <c r="H354" t="s">
        <v>322</v>
      </c>
      <c r="I354" t="s">
        <v>323</v>
      </c>
      <c r="J354" t="s">
        <v>324</v>
      </c>
      <c r="K354" t="s">
        <v>170</v>
      </c>
      <c r="L354" t="s">
        <v>171</v>
      </c>
      <c r="M354">
        <v>0.34250000000000003</v>
      </c>
      <c r="N354">
        <v>1233</v>
      </c>
      <c r="O354">
        <v>0</v>
      </c>
    </row>
    <row r="355" spans="1:15" x14ac:dyDescent="0.35">
      <c r="A355" s="46">
        <v>46122</v>
      </c>
      <c r="B355" t="s">
        <v>136</v>
      </c>
      <c r="C355" t="s">
        <v>335</v>
      </c>
      <c r="D355" t="s">
        <v>406</v>
      </c>
      <c r="E355" t="s">
        <v>337</v>
      </c>
      <c r="F355" t="s">
        <v>87</v>
      </c>
      <c r="G355" t="s">
        <v>356</v>
      </c>
      <c r="H355" t="s">
        <v>330</v>
      </c>
      <c r="I355" t="s">
        <v>323</v>
      </c>
      <c r="J355" t="s">
        <v>324</v>
      </c>
      <c r="K355" t="s">
        <v>170</v>
      </c>
      <c r="L355" t="s">
        <v>171</v>
      </c>
      <c r="M355">
        <v>23.657499999999999</v>
      </c>
      <c r="N355">
        <v>85167</v>
      </c>
      <c r="O355">
        <v>0</v>
      </c>
    </row>
    <row r="356" spans="1:15" x14ac:dyDescent="0.35">
      <c r="A356" s="46">
        <v>46121</v>
      </c>
      <c r="B356" t="s">
        <v>136</v>
      </c>
      <c r="C356" t="s">
        <v>319</v>
      </c>
      <c r="D356" t="s">
        <v>320</v>
      </c>
      <c r="E356" t="s">
        <v>321</v>
      </c>
      <c r="F356" t="s">
        <v>332</v>
      </c>
      <c r="G356" t="s">
        <v>333</v>
      </c>
      <c r="H356" t="s">
        <v>334</v>
      </c>
      <c r="I356" t="s">
        <v>323</v>
      </c>
      <c r="J356" t="s">
        <v>324</v>
      </c>
      <c r="K356" t="s">
        <v>170</v>
      </c>
      <c r="L356" t="s">
        <v>171</v>
      </c>
      <c r="M356">
        <v>4.4866666666666664</v>
      </c>
      <c r="N356">
        <v>16152</v>
      </c>
      <c r="O356">
        <v>0</v>
      </c>
    </row>
    <row r="357" spans="1:15" x14ac:dyDescent="0.35">
      <c r="A357" s="46">
        <v>46121</v>
      </c>
      <c r="B357" t="s">
        <v>136</v>
      </c>
      <c r="C357" t="s">
        <v>319</v>
      </c>
      <c r="D357" t="s">
        <v>320</v>
      </c>
      <c r="E357" t="s">
        <v>321</v>
      </c>
      <c r="F357" t="s">
        <v>328</v>
      </c>
      <c r="G357" t="s">
        <v>329</v>
      </c>
      <c r="H357" t="s">
        <v>327</v>
      </c>
      <c r="I357" t="s">
        <v>323</v>
      </c>
      <c r="J357" t="s">
        <v>324</v>
      </c>
      <c r="K357" t="s">
        <v>170</v>
      </c>
      <c r="L357" t="s">
        <v>171</v>
      </c>
      <c r="M357">
        <v>19.513333333333332</v>
      </c>
      <c r="N357">
        <v>70248</v>
      </c>
      <c r="O357">
        <v>0</v>
      </c>
    </row>
    <row r="358" spans="1:15" x14ac:dyDescent="0.35">
      <c r="A358" s="46">
        <v>46121</v>
      </c>
      <c r="B358" t="s">
        <v>136</v>
      </c>
      <c r="C358" t="s">
        <v>360</v>
      </c>
      <c r="D358" t="s">
        <v>336</v>
      </c>
      <c r="E358" t="s">
        <v>337</v>
      </c>
      <c r="F358" t="s">
        <v>87</v>
      </c>
      <c r="G358" t="s">
        <v>356</v>
      </c>
      <c r="H358" t="s">
        <v>361</v>
      </c>
      <c r="I358" t="s">
        <v>323</v>
      </c>
      <c r="J358" t="s">
        <v>324</v>
      </c>
      <c r="K358" t="s">
        <v>170</v>
      </c>
      <c r="L358" t="s">
        <v>171</v>
      </c>
      <c r="M358">
        <v>1.0316666666666667</v>
      </c>
      <c r="N358">
        <v>3714</v>
      </c>
    </row>
    <row r="359" spans="1:15" x14ac:dyDescent="0.35">
      <c r="A359" s="46">
        <v>46121</v>
      </c>
      <c r="B359" t="s">
        <v>136</v>
      </c>
      <c r="C359" t="s">
        <v>360</v>
      </c>
      <c r="D359" t="s">
        <v>336</v>
      </c>
      <c r="E359" t="s">
        <v>337</v>
      </c>
      <c r="F359" t="s">
        <v>322</v>
      </c>
      <c r="G359" t="s">
        <v>322</v>
      </c>
      <c r="H359" t="s">
        <v>322</v>
      </c>
      <c r="I359" t="s">
        <v>323</v>
      </c>
      <c r="J359" t="s">
        <v>324</v>
      </c>
      <c r="K359" t="s">
        <v>170</v>
      </c>
      <c r="L359" t="s">
        <v>171</v>
      </c>
      <c r="M359">
        <v>4.8213888888888885</v>
      </c>
      <c r="N359">
        <v>17357</v>
      </c>
      <c r="O359">
        <v>0</v>
      </c>
    </row>
    <row r="360" spans="1:15" x14ac:dyDescent="0.35">
      <c r="A360" s="46">
        <v>46121</v>
      </c>
      <c r="B360" t="s">
        <v>136</v>
      </c>
      <c r="C360" t="s">
        <v>360</v>
      </c>
      <c r="D360" t="s">
        <v>336</v>
      </c>
      <c r="E360" t="s">
        <v>337</v>
      </c>
      <c r="F360" t="s">
        <v>87</v>
      </c>
      <c r="G360" t="s">
        <v>340</v>
      </c>
      <c r="H360" t="s">
        <v>331</v>
      </c>
      <c r="I360" t="s">
        <v>323</v>
      </c>
      <c r="J360" t="s">
        <v>324</v>
      </c>
      <c r="K360" t="s">
        <v>170</v>
      </c>
      <c r="L360" t="s">
        <v>171</v>
      </c>
      <c r="M360">
        <v>14.543055555555556</v>
      </c>
      <c r="N360">
        <v>52355</v>
      </c>
      <c r="O360">
        <v>0</v>
      </c>
    </row>
    <row r="361" spans="1:15" x14ac:dyDescent="0.35">
      <c r="A361" s="46">
        <v>46121</v>
      </c>
      <c r="B361" t="s">
        <v>136</v>
      </c>
      <c r="C361" t="s">
        <v>360</v>
      </c>
      <c r="D361" t="s">
        <v>336</v>
      </c>
      <c r="E361" t="s">
        <v>337</v>
      </c>
      <c r="F361" t="s">
        <v>87</v>
      </c>
      <c r="G361" t="s">
        <v>356</v>
      </c>
      <c r="H361" t="s">
        <v>343</v>
      </c>
      <c r="I361" t="s">
        <v>323</v>
      </c>
      <c r="J361" t="s">
        <v>324</v>
      </c>
      <c r="K361" t="s">
        <v>170</v>
      </c>
      <c r="L361" t="s">
        <v>171</v>
      </c>
      <c r="M361">
        <v>3.6038888888888887</v>
      </c>
      <c r="N361">
        <v>12974</v>
      </c>
      <c r="O361">
        <v>0</v>
      </c>
    </row>
    <row r="362" spans="1:15" x14ac:dyDescent="0.35">
      <c r="A362" s="46">
        <v>46121</v>
      </c>
      <c r="B362" t="s">
        <v>136</v>
      </c>
      <c r="C362" t="s">
        <v>370</v>
      </c>
      <c r="D362" t="s">
        <v>363</v>
      </c>
      <c r="E362" t="s">
        <v>364</v>
      </c>
      <c r="F362" t="s">
        <v>82</v>
      </c>
      <c r="G362" t="s">
        <v>368</v>
      </c>
      <c r="H362" t="s">
        <v>331</v>
      </c>
      <c r="I362" t="s">
        <v>323</v>
      </c>
      <c r="J362" t="s">
        <v>324</v>
      </c>
      <c r="K362" t="s">
        <v>170</v>
      </c>
      <c r="L362" t="s">
        <v>171</v>
      </c>
      <c r="M362">
        <v>2.2777777777777779E-2</v>
      </c>
      <c r="N362">
        <v>82</v>
      </c>
    </row>
    <row r="363" spans="1:15" x14ac:dyDescent="0.35">
      <c r="A363" s="46">
        <v>46121</v>
      </c>
      <c r="B363" t="s">
        <v>136</v>
      </c>
      <c r="C363" t="s">
        <v>370</v>
      </c>
      <c r="D363" t="s">
        <v>363</v>
      </c>
      <c r="E363" t="s">
        <v>364</v>
      </c>
      <c r="F363" t="s">
        <v>322</v>
      </c>
      <c r="G363" t="s">
        <v>322</v>
      </c>
      <c r="H363" t="s">
        <v>322</v>
      </c>
      <c r="I363" t="s">
        <v>323</v>
      </c>
      <c r="J363" t="s">
        <v>324</v>
      </c>
      <c r="K363" t="s">
        <v>170</v>
      </c>
      <c r="L363" t="s">
        <v>171</v>
      </c>
      <c r="M363">
        <v>5.5555555555555552E-2</v>
      </c>
      <c r="N363">
        <v>200</v>
      </c>
      <c r="O363">
        <v>0</v>
      </c>
    </row>
    <row r="364" spans="1:15" x14ac:dyDescent="0.35">
      <c r="A364" s="46">
        <v>46121</v>
      </c>
      <c r="B364" t="s">
        <v>136</v>
      </c>
      <c r="C364" t="s">
        <v>319</v>
      </c>
      <c r="D364" t="s">
        <v>363</v>
      </c>
      <c r="E364" t="s">
        <v>364</v>
      </c>
      <c r="F364" t="s">
        <v>322</v>
      </c>
      <c r="G364" t="s">
        <v>322</v>
      </c>
      <c r="H364" t="s">
        <v>322</v>
      </c>
      <c r="I364" t="s">
        <v>323</v>
      </c>
      <c r="J364" t="s">
        <v>324</v>
      </c>
      <c r="K364" t="s">
        <v>170</v>
      </c>
      <c r="L364" t="s">
        <v>171</v>
      </c>
      <c r="M364">
        <v>0.97472222222222227</v>
      </c>
      <c r="N364">
        <v>3509</v>
      </c>
      <c r="O364">
        <v>0</v>
      </c>
    </row>
    <row r="365" spans="1:15" x14ac:dyDescent="0.35">
      <c r="A365" s="46">
        <v>46121</v>
      </c>
      <c r="B365" t="s">
        <v>136</v>
      </c>
      <c r="C365" t="s">
        <v>319</v>
      </c>
      <c r="D365" t="s">
        <v>363</v>
      </c>
      <c r="E365" t="s">
        <v>364</v>
      </c>
      <c r="F365" t="s">
        <v>82</v>
      </c>
      <c r="G365" t="s">
        <v>368</v>
      </c>
      <c r="H365" t="s">
        <v>331</v>
      </c>
      <c r="I365" t="s">
        <v>323</v>
      </c>
      <c r="J365" t="s">
        <v>324</v>
      </c>
      <c r="K365" t="s">
        <v>170</v>
      </c>
      <c r="L365" t="s">
        <v>171</v>
      </c>
      <c r="M365">
        <v>22.946944444444444</v>
      </c>
      <c r="N365">
        <v>82609</v>
      </c>
      <c r="O365">
        <v>0</v>
      </c>
    </row>
    <row r="366" spans="1:15" x14ac:dyDescent="0.35">
      <c r="A366" s="46">
        <v>46121</v>
      </c>
      <c r="B366" t="s">
        <v>136</v>
      </c>
      <c r="C366" t="s">
        <v>335</v>
      </c>
      <c r="D366" t="s">
        <v>378</v>
      </c>
      <c r="E366" t="s">
        <v>321</v>
      </c>
      <c r="F366" t="s">
        <v>332</v>
      </c>
      <c r="G366" t="s">
        <v>333</v>
      </c>
      <c r="H366" t="s">
        <v>334</v>
      </c>
      <c r="I366" t="s">
        <v>323</v>
      </c>
      <c r="J366" t="s">
        <v>324</v>
      </c>
      <c r="K366" t="s">
        <v>170</v>
      </c>
      <c r="L366" t="s">
        <v>171</v>
      </c>
      <c r="M366">
        <v>24</v>
      </c>
      <c r="N366">
        <v>86400</v>
      </c>
      <c r="O366">
        <v>0</v>
      </c>
    </row>
    <row r="367" spans="1:15" x14ac:dyDescent="0.35">
      <c r="A367" s="46">
        <v>46121</v>
      </c>
      <c r="B367" t="s">
        <v>136</v>
      </c>
      <c r="C367" t="s">
        <v>335</v>
      </c>
      <c r="D367" t="s">
        <v>385</v>
      </c>
      <c r="E367" t="s">
        <v>321</v>
      </c>
      <c r="F367" t="s">
        <v>332</v>
      </c>
      <c r="G367" t="s">
        <v>333</v>
      </c>
      <c r="H367" t="s">
        <v>334</v>
      </c>
      <c r="I367" t="s">
        <v>323</v>
      </c>
      <c r="J367" t="s">
        <v>324</v>
      </c>
      <c r="K367" t="s">
        <v>170</v>
      </c>
      <c r="L367" t="s">
        <v>171</v>
      </c>
      <c r="M367">
        <v>8.4894444444444446</v>
      </c>
      <c r="N367">
        <v>30562</v>
      </c>
      <c r="O367">
        <v>0</v>
      </c>
    </row>
    <row r="368" spans="1:15" x14ac:dyDescent="0.35">
      <c r="A368" s="46">
        <v>46121</v>
      </c>
      <c r="B368" t="s">
        <v>136</v>
      </c>
      <c r="C368" t="s">
        <v>335</v>
      </c>
      <c r="D368" t="s">
        <v>385</v>
      </c>
      <c r="E368" t="s">
        <v>321</v>
      </c>
      <c r="F368" t="s">
        <v>328</v>
      </c>
      <c r="G368" t="s">
        <v>329</v>
      </c>
      <c r="H368" t="s">
        <v>327</v>
      </c>
      <c r="I368" t="s">
        <v>323</v>
      </c>
      <c r="J368" t="s">
        <v>324</v>
      </c>
      <c r="K368" t="s">
        <v>170</v>
      </c>
      <c r="L368" t="s">
        <v>171</v>
      </c>
      <c r="M368">
        <v>15.510555555555555</v>
      </c>
      <c r="N368">
        <v>55838</v>
      </c>
      <c r="O368">
        <v>0</v>
      </c>
    </row>
    <row r="369" spans="1:17" x14ac:dyDescent="0.35">
      <c r="A369" s="46">
        <v>46121</v>
      </c>
      <c r="B369" t="s">
        <v>136</v>
      </c>
      <c r="C369" t="s">
        <v>319</v>
      </c>
      <c r="D369" t="s">
        <v>391</v>
      </c>
      <c r="E369" t="s">
        <v>364</v>
      </c>
      <c r="F369" t="s">
        <v>82</v>
      </c>
      <c r="G369" t="s">
        <v>368</v>
      </c>
      <c r="H369" t="s">
        <v>331</v>
      </c>
      <c r="I369" t="s">
        <v>323</v>
      </c>
      <c r="J369" t="s">
        <v>324</v>
      </c>
      <c r="K369" t="s">
        <v>170</v>
      </c>
      <c r="L369" t="s">
        <v>171</v>
      </c>
      <c r="M369">
        <v>23.41611111111111</v>
      </c>
      <c r="N369">
        <v>84298</v>
      </c>
    </row>
    <row r="370" spans="1:17" x14ac:dyDescent="0.35">
      <c r="A370" s="46">
        <v>46121</v>
      </c>
      <c r="B370" t="s">
        <v>136</v>
      </c>
      <c r="C370" t="s">
        <v>319</v>
      </c>
      <c r="D370" t="s">
        <v>391</v>
      </c>
      <c r="E370" t="s">
        <v>364</v>
      </c>
      <c r="F370" t="s">
        <v>322</v>
      </c>
      <c r="G370" t="s">
        <v>322</v>
      </c>
      <c r="H370" t="s">
        <v>322</v>
      </c>
      <c r="I370" t="s">
        <v>323</v>
      </c>
      <c r="J370" t="s">
        <v>324</v>
      </c>
      <c r="K370" t="s">
        <v>170</v>
      </c>
      <c r="L370" t="s">
        <v>171</v>
      </c>
      <c r="M370">
        <v>0.5838888888888889</v>
      </c>
      <c r="N370">
        <v>2102</v>
      </c>
      <c r="O370">
        <v>0</v>
      </c>
    </row>
    <row r="371" spans="1:17" x14ac:dyDescent="0.35">
      <c r="A371" s="46">
        <v>46121</v>
      </c>
      <c r="B371" t="s">
        <v>136</v>
      </c>
      <c r="C371" t="s">
        <v>319</v>
      </c>
      <c r="D371" t="s">
        <v>396</v>
      </c>
      <c r="E371" t="s">
        <v>364</v>
      </c>
      <c r="F371" t="s">
        <v>82</v>
      </c>
      <c r="G371" t="s">
        <v>368</v>
      </c>
      <c r="H371" t="s">
        <v>331</v>
      </c>
      <c r="I371" t="s">
        <v>323</v>
      </c>
      <c r="J371" t="s">
        <v>324</v>
      </c>
      <c r="K371" t="s">
        <v>345</v>
      </c>
      <c r="L371" t="s">
        <v>346</v>
      </c>
      <c r="M371">
        <v>1.638888888888889E-2</v>
      </c>
      <c r="N371">
        <v>59</v>
      </c>
      <c r="O371">
        <v>189.98000000000002</v>
      </c>
      <c r="P371">
        <v>3.22</v>
      </c>
      <c r="Q371">
        <v>59</v>
      </c>
    </row>
    <row r="372" spans="1:17" x14ac:dyDescent="0.35">
      <c r="A372" s="46">
        <v>46121</v>
      </c>
      <c r="B372" t="s">
        <v>136</v>
      </c>
      <c r="C372" t="s">
        <v>319</v>
      </c>
      <c r="D372" t="s">
        <v>396</v>
      </c>
      <c r="E372" t="s">
        <v>364</v>
      </c>
      <c r="F372" t="s">
        <v>322</v>
      </c>
      <c r="G372" t="s">
        <v>322</v>
      </c>
      <c r="H372" t="s">
        <v>322</v>
      </c>
      <c r="I372" t="s">
        <v>323</v>
      </c>
      <c r="J372" t="s">
        <v>324</v>
      </c>
      <c r="K372" t="s">
        <v>345</v>
      </c>
      <c r="L372" t="s">
        <v>346</v>
      </c>
      <c r="M372">
        <v>2.5555555555555557E-2</v>
      </c>
      <c r="N372">
        <v>92</v>
      </c>
      <c r="O372">
        <v>280.5</v>
      </c>
      <c r="P372">
        <v>3.0489130434782608</v>
      </c>
      <c r="Q372">
        <v>92</v>
      </c>
    </row>
    <row r="373" spans="1:17" x14ac:dyDescent="0.35">
      <c r="A373" s="46">
        <v>46121</v>
      </c>
      <c r="B373" t="s">
        <v>136</v>
      </c>
      <c r="C373" t="s">
        <v>319</v>
      </c>
      <c r="D373" t="s">
        <v>396</v>
      </c>
      <c r="E373" t="s">
        <v>364</v>
      </c>
      <c r="F373" t="s">
        <v>82</v>
      </c>
      <c r="G373" t="s">
        <v>368</v>
      </c>
      <c r="H373" t="s">
        <v>331</v>
      </c>
      <c r="I373" t="s">
        <v>323</v>
      </c>
      <c r="J373" t="s">
        <v>324</v>
      </c>
      <c r="K373" t="s">
        <v>142</v>
      </c>
      <c r="L373" t="s">
        <v>143</v>
      </c>
      <c r="M373">
        <v>5.8333333333333336E-3</v>
      </c>
      <c r="N373">
        <v>21</v>
      </c>
      <c r="O373">
        <v>0</v>
      </c>
    </row>
    <row r="374" spans="1:17" x14ac:dyDescent="0.35">
      <c r="A374" s="46">
        <v>46121</v>
      </c>
      <c r="B374" t="s">
        <v>136</v>
      </c>
      <c r="C374" t="s">
        <v>319</v>
      </c>
      <c r="D374" t="s">
        <v>396</v>
      </c>
      <c r="E374" t="s">
        <v>364</v>
      </c>
      <c r="F374" t="s">
        <v>322</v>
      </c>
      <c r="G374" t="s">
        <v>322</v>
      </c>
      <c r="H374" t="s">
        <v>322</v>
      </c>
      <c r="I374" t="s">
        <v>323</v>
      </c>
      <c r="J374" t="s">
        <v>324</v>
      </c>
      <c r="K374" t="s">
        <v>142</v>
      </c>
      <c r="L374" t="s">
        <v>143</v>
      </c>
      <c r="M374">
        <v>0.13250000000000001</v>
      </c>
      <c r="N374">
        <v>477</v>
      </c>
      <c r="O374">
        <v>1431</v>
      </c>
      <c r="P374">
        <v>3</v>
      </c>
      <c r="Q374">
        <v>477</v>
      </c>
    </row>
    <row r="375" spans="1:17" x14ac:dyDescent="0.35">
      <c r="A375" s="46">
        <v>46121</v>
      </c>
      <c r="B375" t="s">
        <v>136</v>
      </c>
      <c r="C375" t="s">
        <v>319</v>
      </c>
      <c r="D375" t="s">
        <v>396</v>
      </c>
      <c r="E375" t="s">
        <v>364</v>
      </c>
      <c r="F375" t="s">
        <v>322</v>
      </c>
      <c r="G375" t="s">
        <v>322</v>
      </c>
      <c r="H375" t="s">
        <v>322</v>
      </c>
      <c r="I375" t="s">
        <v>323</v>
      </c>
      <c r="J375" t="s">
        <v>324</v>
      </c>
      <c r="K375" t="s">
        <v>350</v>
      </c>
      <c r="L375" t="s">
        <v>351</v>
      </c>
      <c r="M375">
        <v>7.2222222222222219E-3</v>
      </c>
      <c r="N375">
        <v>26</v>
      </c>
      <c r="O375">
        <v>0</v>
      </c>
    </row>
    <row r="376" spans="1:17" x14ac:dyDescent="0.35">
      <c r="A376" s="46">
        <v>46121</v>
      </c>
      <c r="B376" t="s">
        <v>136</v>
      </c>
      <c r="C376" t="s">
        <v>319</v>
      </c>
      <c r="D376" t="s">
        <v>396</v>
      </c>
      <c r="E376" t="s">
        <v>364</v>
      </c>
      <c r="F376" t="s">
        <v>82</v>
      </c>
      <c r="G376" t="s">
        <v>368</v>
      </c>
      <c r="H376" t="s">
        <v>331</v>
      </c>
      <c r="I376" t="s">
        <v>323</v>
      </c>
      <c r="J376" t="s">
        <v>324</v>
      </c>
      <c r="K376" t="s">
        <v>350</v>
      </c>
      <c r="L376" t="s">
        <v>351</v>
      </c>
      <c r="M376">
        <v>7.2222222222222219E-3</v>
      </c>
      <c r="N376">
        <v>26</v>
      </c>
      <c r="O376">
        <v>29.639999999999997</v>
      </c>
      <c r="P376">
        <v>1.1399999999999999</v>
      </c>
      <c r="Q376">
        <v>26</v>
      </c>
    </row>
    <row r="377" spans="1:17" x14ac:dyDescent="0.35">
      <c r="A377" s="46">
        <v>46121</v>
      </c>
      <c r="B377" t="s">
        <v>136</v>
      </c>
      <c r="C377" t="s">
        <v>319</v>
      </c>
      <c r="D377" t="s">
        <v>396</v>
      </c>
      <c r="E377" t="s">
        <v>364</v>
      </c>
      <c r="F377" t="s">
        <v>82</v>
      </c>
      <c r="G377" t="s">
        <v>368</v>
      </c>
      <c r="H377" t="s">
        <v>331</v>
      </c>
      <c r="I377" t="s">
        <v>323</v>
      </c>
      <c r="J377" t="s">
        <v>324</v>
      </c>
      <c r="K377" t="s">
        <v>170</v>
      </c>
      <c r="L377" t="s">
        <v>171</v>
      </c>
      <c r="M377">
        <v>3.0455555555555556</v>
      </c>
      <c r="N377">
        <v>10964</v>
      </c>
    </row>
    <row r="378" spans="1:17" x14ac:dyDescent="0.35">
      <c r="A378" s="46">
        <v>46121</v>
      </c>
      <c r="B378" t="s">
        <v>136</v>
      </c>
      <c r="C378" t="s">
        <v>319</v>
      </c>
      <c r="D378" t="s">
        <v>396</v>
      </c>
      <c r="E378" t="s">
        <v>364</v>
      </c>
      <c r="F378" t="s">
        <v>322</v>
      </c>
      <c r="G378" t="s">
        <v>322</v>
      </c>
      <c r="H378" t="s">
        <v>322</v>
      </c>
      <c r="I378" t="s">
        <v>323</v>
      </c>
      <c r="J378" t="s">
        <v>324</v>
      </c>
      <c r="K378" t="s">
        <v>170</v>
      </c>
      <c r="L378" t="s">
        <v>171</v>
      </c>
      <c r="M378">
        <v>20.759722222222223</v>
      </c>
      <c r="N378">
        <v>74735</v>
      </c>
      <c r="O378">
        <v>0</v>
      </c>
    </row>
    <row r="379" spans="1:17" x14ac:dyDescent="0.35">
      <c r="A379" s="46">
        <v>46121</v>
      </c>
      <c r="B379" t="s">
        <v>136</v>
      </c>
      <c r="C379" t="s">
        <v>335</v>
      </c>
      <c r="D379" t="s">
        <v>399</v>
      </c>
      <c r="E379" t="s">
        <v>321</v>
      </c>
      <c r="F379" t="s">
        <v>322</v>
      </c>
      <c r="G379" t="s">
        <v>322</v>
      </c>
      <c r="H379" t="s">
        <v>322</v>
      </c>
      <c r="I379" t="s">
        <v>323</v>
      </c>
      <c r="J379" t="s">
        <v>324</v>
      </c>
      <c r="K379" t="s">
        <v>170</v>
      </c>
      <c r="L379" t="s">
        <v>171</v>
      </c>
      <c r="M379">
        <v>6.0838888888888887</v>
      </c>
      <c r="N379">
        <v>21902</v>
      </c>
      <c r="O379">
        <v>0</v>
      </c>
    </row>
    <row r="380" spans="1:17" x14ac:dyDescent="0.35">
      <c r="A380" s="46">
        <v>46121</v>
      </c>
      <c r="B380" t="s">
        <v>136</v>
      </c>
      <c r="C380" t="s">
        <v>335</v>
      </c>
      <c r="D380" t="s">
        <v>399</v>
      </c>
      <c r="E380" t="s">
        <v>321</v>
      </c>
      <c r="F380" t="s">
        <v>332</v>
      </c>
      <c r="G380" t="s">
        <v>333</v>
      </c>
      <c r="H380" t="s">
        <v>334</v>
      </c>
      <c r="I380" t="s">
        <v>323</v>
      </c>
      <c r="J380" t="s">
        <v>324</v>
      </c>
      <c r="K380" t="s">
        <v>170</v>
      </c>
      <c r="L380" t="s">
        <v>171</v>
      </c>
      <c r="M380">
        <v>4.4030555555555555</v>
      </c>
      <c r="N380">
        <v>15851</v>
      </c>
      <c r="O380">
        <v>0</v>
      </c>
    </row>
    <row r="381" spans="1:17" x14ac:dyDescent="0.35">
      <c r="A381" s="46">
        <v>46121</v>
      </c>
      <c r="B381" t="s">
        <v>136</v>
      </c>
      <c r="C381" t="s">
        <v>335</v>
      </c>
      <c r="D381" t="s">
        <v>399</v>
      </c>
      <c r="E381" t="s">
        <v>321</v>
      </c>
      <c r="F381" t="s">
        <v>328</v>
      </c>
      <c r="G381" t="s">
        <v>329</v>
      </c>
      <c r="H381" t="s">
        <v>327</v>
      </c>
      <c r="I381" t="s">
        <v>323</v>
      </c>
      <c r="J381" t="s">
        <v>324</v>
      </c>
      <c r="K381" t="s">
        <v>170</v>
      </c>
      <c r="L381" t="s">
        <v>171</v>
      </c>
      <c r="M381">
        <v>13.513055555555555</v>
      </c>
      <c r="N381">
        <v>48647</v>
      </c>
      <c r="O381">
        <v>0</v>
      </c>
    </row>
    <row r="382" spans="1:17" x14ac:dyDescent="0.35">
      <c r="A382" s="46">
        <v>46121</v>
      </c>
      <c r="B382" t="s">
        <v>136</v>
      </c>
      <c r="C382" t="s">
        <v>335</v>
      </c>
      <c r="D382" t="s">
        <v>400</v>
      </c>
      <c r="E382" t="s">
        <v>337</v>
      </c>
      <c r="F382" t="s">
        <v>322</v>
      </c>
      <c r="G382" t="s">
        <v>322</v>
      </c>
      <c r="H382" t="s">
        <v>322</v>
      </c>
      <c r="I382" t="s">
        <v>323</v>
      </c>
      <c r="J382" t="s">
        <v>324</v>
      </c>
      <c r="K382" t="s">
        <v>170</v>
      </c>
      <c r="L382" t="s">
        <v>171</v>
      </c>
      <c r="M382">
        <v>5.5133333333333336</v>
      </c>
      <c r="N382">
        <v>19848</v>
      </c>
      <c r="O382">
        <v>0</v>
      </c>
    </row>
    <row r="383" spans="1:17" x14ac:dyDescent="0.35">
      <c r="A383" s="46">
        <v>46121</v>
      </c>
      <c r="B383" t="s">
        <v>136</v>
      </c>
      <c r="C383" t="s">
        <v>335</v>
      </c>
      <c r="D383" t="s">
        <v>400</v>
      </c>
      <c r="E383" t="s">
        <v>337</v>
      </c>
      <c r="F383" t="s">
        <v>87</v>
      </c>
      <c r="G383" t="s">
        <v>340</v>
      </c>
      <c r="H383" t="s">
        <v>331</v>
      </c>
      <c r="I383" t="s">
        <v>323</v>
      </c>
      <c r="J383" t="s">
        <v>324</v>
      </c>
      <c r="K383" t="s">
        <v>170</v>
      </c>
      <c r="L383" t="s">
        <v>171</v>
      </c>
      <c r="M383">
        <v>3.3108333333333335</v>
      </c>
      <c r="N383">
        <v>11919</v>
      </c>
      <c r="O383">
        <v>0</v>
      </c>
    </row>
    <row r="384" spans="1:17" x14ac:dyDescent="0.35">
      <c r="A384" s="46">
        <v>46121</v>
      </c>
      <c r="B384" t="s">
        <v>136</v>
      </c>
      <c r="C384" t="s">
        <v>335</v>
      </c>
      <c r="D384" t="s">
        <v>400</v>
      </c>
      <c r="E384" t="s">
        <v>337</v>
      </c>
      <c r="F384" t="s">
        <v>87</v>
      </c>
      <c r="G384" t="s">
        <v>356</v>
      </c>
      <c r="H384" t="s">
        <v>343</v>
      </c>
      <c r="I384" t="s">
        <v>323</v>
      </c>
      <c r="J384" t="s">
        <v>324</v>
      </c>
      <c r="K384" t="s">
        <v>170</v>
      </c>
      <c r="L384" t="s">
        <v>171</v>
      </c>
      <c r="M384">
        <v>15.175833333333333</v>
      </c>
      <c r="N384">
        <v>54633</v>
      </c>
      <c r="O384">
        <v>0</v>
      </c>
    </row>
    <row r="385" spans="1:17" x14ac:dyDescent="0.35">
      <c r="A385" s="46">
        <v>46121</v>
      </c>
      <c r="B385" t="s">
        <v>136</v>
      </c>
      <c r="C385" t="s">
        <v>335</v>
      </c>
      <c r="D385" t="s">
        <v>406</v>
      </c>
      <c r="E385" t="s">
        <v>337</v>
      </c>
      <c r="F385" t="s">
        <v>322</v>
      </c>
      <c r="G385" t="s">
        <v>322</v>
      </c>
      <c r="H385" t="s">
        <v>322</v>
      </c>
      <c r="I385" t="s">
        <v>323</v>
      </c>
      <c r="J385" t="s">
        <v>324</v>
      </c>
      <c r="K385" t="s">
        <v>170</v>
      </c>
      <c r="L385" t="s">
        <v>171</v>
      </c>
      <c r="M385">
        <v>2.3408333333333333</v>
      </c>
      <c r="N385">
        <v>8427</v>
      </c>
      <c r="O385">
        <v>0</v>
      </c>
    </row>
    <row r="386" spans="1:17" x14ac:dyDescent="0.35">
      <c r="A386" s="46">
        <v>46121</v>
      </c>
      <c r="B386" t="s">
        <v>136</v>
      </c>
      <c r="C386" t="s">
        <v>335</v>
      </c>
      <c r="D386" t="s">
        <v>406</v>
      </c>
      <c r="E386" t="s">
        <v>337</v>
      </c>
      <c r="F386" t="s">
        <v>87</v>
      </c>
      <c r="G386" t="s">
        <v>356</v>
      </c>
      <c r="H386" t="s">
        <v>330</v>
      </c>
      <c r="I386" t="s">
        <v>323</v>
      </c>
      <c r="J386" t="s">
        <v>324</v>
      </c>
      <c r="K386" t="s">
        <v>170</v>
      </c>
      <c r="L386" t="s">
        <v>171</v>
      </c>
      <c r="M386">
        <v>21.659166666666668</v>
      </c>
      <c r="N386">
        <v>77973</v>
      </c>
      <c r="O386">
        <v>0</v>
      </c>
    </row>
    <row r="387" spans="1:17" x14ac:dyDescent="0.35">
      <c r="A387" s="46">
        <v>46120</v>
      </c>
      <c r="B387" t="s">
        <v>136</v>
      </c>
      <c r="C387" t="s">
        <v>319</v>
      </c>
      <c r="D387" t="s">
        <v>320</v>
      </c>
      <c r="E387" t="s">
        <v>321</v>
      </c>
      <c r="F387" t="s">
        <v>332</v>
      </c>
      <c r="G387" t="s">
        <v>333</v>
      </c>
      <c r="H387" t="s">
        <v>334</v>
      </c>
      <c r="I387" t="s">
        <v>323</v>
      </c>
      <c r="J387" t="s">
        <v>324</v>
      </c>
      <c r="K387" t="s">
        <v>170</v>
      </c>
      <c r="L387" t="s">
        <v>171</v>
      </c>
      <c r="M387">
        <v>9.9147222222222222</v>
      </c>
      <c r="N387">
        <v>35693</v>
      </c>
      <c r="O387">
        <v>0</v>
      </c>
    </row>
    <row r="388" spans="1:17" x14ac:dyDescent="0.35">
      <c r="A388" s="46">
        <v>46120</v>
      </c>
      <c r="B388" t="s">
        <v>136</v>
      </c>
      <c r="C388" t="s">
        <v>319</v>
      </c>
      <c r="D388" t="s">
        <v>320</v>
      </c>
      <c r="E388" t="s">
        <v>321</v>
      </c>
      <c r="F388" t="s">
        <v>328</v>
      </c>
      <c r="G388" t="s">
        <v>329</v>
      </c>
      <c r="H388" t="s">
        <v>327</v>
      </c>
      <c r="I388" t="s">
        <v>323</v>
      </c>
      <c r="J388" t="s">
        <v>324</v>
      </c>
      <c r="K388" t="s">
        <v>170</v>
      </c>
      <c r="L388" t="s">
        <v>171</v>
      </c>
      <c r="M388">
        <v>14.085277777777778</v>
      </c>
      <c r="N388">
        <v>50707</v>
      </c>
      <c r="O388">
        <v>0</v>
      </c>
    </row>
    <row r="389" spans="1:17" x14ac:dyDescent="0.35">
      <c r="A389" s="46">
        <v>46120</v>
      </c>
      <c r="B389" t="s">
        <v>136</v>
      </c>
      <c r="C389" t="s">
        <v>353</v>
      </c>
      <c r="D389" t="s">
        <v>336</v>
      </c>
      <c r="E389" t="s">
        <v>337</v>
      </c>
      <c r="F389" t="s">
        <v>87</v>
      </c>
      <c r="G389" t="s">
        <v>356</v>
      </c>
      <c r="H389" t="s">
        <v>343</v>
      </c>
      <c r="I389" t="s">
        <v>323</v>
      </c>
      <c r="J389" t="s">
        <v>324</v>
      </c>
      <c r="K389" t="s">
        <v>341</v>
      </c>
      <c r="L389" t="s">
        <v>342</v>
      </c>
      <c r="M389">
        <v>1.3055555555555556E-2</v>
      </c>
      <c r="N389">
        <v>47</v>
      </c>
      <c r="O389">
        <v>0</v>
      </c>
    </row>
    <row r="390" spans="1:17" x14ac:dyDescent="0.35">
      <c r="A390" s="46">
        <v>46120</v>
      </c>
      <c r="B390" t="s">
        <v>136</v>
      </c>
      <c r="C390" t="s">
        <v>353</v>
      </c>
      <c r="D390" t="s">
        <v>336</v>
      </c>
      <c r="E390" t="s">
        <v>337</v>
      </c>
      <c r="F390" t="s">
        <v>322</v>
      </c>
      <c r="G390" t="s">
        <v>322</v>
      </c>
      <c r="H390" t="s">
        <v>322</v>
      </c>
      <c r="I390" t="s">
        <v>323</v>
      </c>
      <c r="J390" t="s">
        <v>324</v>
      </c>
      <c r="K390" t="s">
        <v>345</v>
      </c>
      <c r="L390" t="s">
        <v>346</v>
      </c>
      <c r="M390">
        <v>5.8333333333333336E-3</v>
      </c>
      <c r="N390">
        <v>21</v>
      </c>
      <c r="O390">
        <v>78.75</v>
      </c>
      <c r="P390">
        <v>3.75</v>
      </c>
      <c r="Q390">
        <v>21</v>
      </c>
    </row>
    <row r="391" spans="1:17" x14ac:dyDescent="0.35">
      <c r="A391" s="46">
        <v>46120</v>
      </c>
      <c r="B391" t="s">
        <v>136</v>
      </c>
      <c r="C391" t="s">
        <v>353</v>
      </c>
      <c r="D391" t="s">
        <v>336</v>
      </c>
      <c r="E391" t="s">
        <v>337</v>
      </c>
      <c r="F391" t="s">
        <v>87</v>
      </c>
      <c r="G391" t="s">
        <v>356</v>
      </c>
      <c r="H391" t="s">
        <v>343</v>
      </c>
      <c r="I391" t="s">
        <v>323</v>
      </c>
      <c r="J391" t="s">
        <v>324</v>
      </c>
      <c r="K391" t="s">
        <v>345</v>
      </c>
      <c r="L391" t="s">
        <v>346</v>
      </c>
      <c r="M391">
        <v>0.27833333333333332</v>
      </c>
      <c r="N391">
        <v>1002</v>
      </c>
      <c r="O391">
        <v>4953.7899999999991</v>
      </c>
      <c r="P391">
        <v>4.9439021956087812</v>
      </c>
      <c r="Q391">
        <v>1002</v>
      </c>
    </row>
    <row r="392" spans="1:17" x14ac:dyDescent="0.35">
      <c r="A392" s="46">
        <v>46120</v>
      </c>
      <c r="B392" t="s">
        <v>136</v>
      </c>
      <c r="C392" t="s">
        <v>353</v>
      </c>
      <c r="D392" t="s">
        <v>336</v>
      </c>
      <c r="E392" t="s">
        <v>337</v>
      </c>
      <c r="F392" t="s">
        <v>322</v>
      </c>
      <c r="G392" t="s">
        <v>322</v>
      </c>
      <c r="H392" t="s">
        <v>322</v>
      </c>
      <c r="I392" t="s">
        <v>323</v>
      </c>
      <c r="J392" t="s">
        <v>324</v>
      </c>
      <c r="K392" t="s">
        <v>142</v>
      </c>
      <c r="L392" t="s">
        <v>143</v>
      </c>
      <c r="M392">
        <v>3.5833333333333335E-2</v>
      </c>
      <c r="N392">
        <v>129</v>
      </c>
      <c r="O392">
        <v>592.11</v>
      </c>
      <c r="P392">
        <v>4.59</v>
      </c>
      <c r="Q392">
        <v>129</v>
      </c>
    </row>
    <row r="393" spans="1:17" x14ac:dyDescent="0.35">
      <c r="A393" s="46">
        <v>46120</v>
      </c>
      <c r="B393" t="s">
        <v>136</v>
      </c>
      <c r="C393" t="s">
        <v>360</v>
      </c>
      <c r="D393" t="s">
        <v>336</v>
      </c>
      <c r="E393" t="s">
        <v>337</v>
      </c>
      <c r="F393" t="s">
        <v>87</v>
      </c>
      <c r="G393" t="s">
        <v>340</v>
      </c>
      <c r="H393" t="s">
        <v>331</v>
      </c>
      <c r="I393" t="s">
        <v>323</v>
      </c>
      <c r="J393" t="s">
        <v>324</v>
      </c>
      <c r="K393" t="s">
        <v>142</v>
      </c>
      <c r="L393" t="s">
        <v>143</v>
      </c>
      <c r="M393">
        <v>4.2222222222222223E-2</v>
      </c>
      <c r="N393">
        <v>152</v>
      </c>
      <c r="O393">
        <v>781.28</v>
      </c>
      <c r="P393">
        <v>5.14</v>
      </c>
      <c r="Q393">
        <v>152</v>
      </c>
    </row>
    <row r="394" spans="1:17" x14ac:dyDescent="0.35">
      <c r="A394" s="46">
        <v>46120</v>
      </c>
      <c r="B394" t="s">
        <v>136</v>
      </c>
      <c r="C394" t="s">
        <v>360</v>
      </c>
      <c r="D394" t="s">
        <v>336</v>
      </c>
      <c r="E394" t="s">
        <v>337</v>
      </c>
      <c r="F394" t="s">
        <v>322</v>
      </c>
      <c r="G394" t="s">
        <v>322</v>
      </c>
      <c r="H394" t="s">
        <v>322</v>
      </c>
      <c r="I394" t="s">
        <v>323</v>
      </c>
      <c r="J394" t="s">
        <v>324</v>
      </c>
      <c r="K394" t="s">
        <v>142</v>
      </c>
      <c r="L394" t="s">
        <v>143</v>
      </c>
      <c r="M394">
        <v>0.46333333333333332</v>
      </c>
      <c r="N394">
        <v>1668</v>
      </c>
      <c r="O394">
        <v>8990.5399999999991</v>
      </c>
      <c r="P394">
        <v>5.3900119904076735</v>
      </c>
      <c r="Q394">
        <v>1668</v>
      </c>
    </row>
    <row r="395" spans="1:17" x14ac:dyDescent="0.35">
      <c r="A395" s="46">
        <v>46120</v>
      </c>
      <c r="B395" t="s">
        <v>136</v>
      </c>
      <c r="C395" t="s">
        <v>344</v>
      </c>
      <c r="D395" t="s">
        <v>336</v>
      </c>
      <c r="E395" t="s">
        <v>337</v>
      </c>
      <c r="F395" t="s">
        <v>87</v>
      </c>
      <c r="G395" t="s">
        <v>340</v>
      </c>
      <c r="H395" t="s">
        <v>361</v>
      </c>
      <c r="I395" t="s">
        <v>323</v>
      </c>
      <c r="J395" t="s">
        <v>324</v>
      </c>
      <c r="K395" t="s">
        <v>202</v>
      </c>
      <c r="L395" t="s">
        <v>203</v>
      </c>
      <c r="M395">
        <v>0.25916666666666666</v>
      </c>
      <c r="N395">
        <v>933</v>
      </c>
    </row>
    <row r="396" spans="1:17" x14ac:dyDescent="0.35">
      <c r="A396" s="46">
        <v>46120</v>
      </c>
      <c r="B396" t="s">
        <v>136</v>
      </c>
      <c r="C396" t="s">
        <v>344</v>
      </c>
      <c r="D396" t="s">
        <v>336</v>
      </c>
      <c r="E396" t="s">
        <v>337</v>
      </c>
      <c r="F396" t="s">
        <v>87</v>
      </c>
      <c r="G396" t="s">
        <v>340</v>
      </c>
      <c r="H396" t="s">
        <v>331</v>
      </c>
      <c r="I396" t="s">
        <v>323</v>
      </c>
      <c r="J396" t="s">
        <v>324</v>
      </c>
      <c r="K396" t="s">
        <v>202</v>
      </c>
      <c r="L396" t="s">
        <v>203</v>
      </c>
      <c r="M396">
        <v>0.51249999999999996</v>
      </c>
      <c r="N396">
        <v>1845</v>
      </c>
      <c r="O396">
        <v>0</v>
      </c>
    </row>
    <row r="397" spans="1:17" x14ac:dyDescent="0.35">
      <c r="A397" s="46">
        <v>46120</v>
      </c>
      <c r="B397" t="s">
        <v>136</v>
      </c>
      <c r="C397" t="s">
        <v>344</v>
      </c>
      <c r="D397" t="s">
        <v>336</v>
      </c>
      <c r="E397" t="s">
        <v>337</v>
      </c>
      <c r="F397" t="s">
        <v>87</v>
      </c>
      <c r="G397" t="s">
        <v>356</v>
      </c>
      <c r="H397" t="s">
        <v>343</v>
      </c>
      <c r="I397" t="s">
        <v>323</v>
      </c>
      <c r="J397" t="s">
        <v>324</v>
      </c>
      <c r="K397" t="s">
        <v>202</v>
      </c>
      <c r="L397" t="s">
        <v>203</v>
      </c>
      <c r="M397">
        <v>3.5555555555555556E-2</v>
      </c>
      <c r="N397">
        <v>128</v>
      </c>
      <c r="O397">
        <v>0</v>
      </c>
    </row>
    <row r="398" spans="1:17" x14ac:dyDescent="0.35">
      <c r="A398" s="46">
        <v>46120</v>
      </c>
      <c r="B398" t="s">
        <v>136</v>
      </c>
      <c r="C398" t="s">
        <v>362</v>
      </c>
      <c r="D398" t="s">
        <v>336</v>
      </c>
      <c r="E398" t="s">
        <v>337</v>
      </c>
      <c r="F398" t="s">
        <v>87</v>
      </c>
      <c r="G398" t="s">
        <v>356</v>
      </c>
      <c r="H398" t="s">
        <v>343</v>
      </c>
      <c r="I398" t="s">
        <v>323</v>
      </c>
      <c r="J398" t="s">
        <v>324</v>
      </c>
      <c r="K398" t="s">
        <v>202</v>
      </c>
      <c r="L398" t="s">
        <v>203</v>
      </c>
      <c r="M398">
        <v>9.0277777777777776E-2</v>
      </c>
      <c r="N398">
        <v>325</v>
      </c>
      <c r="O398">
        <v>97.5</v>
      </c>
      <c r="P398">
        <v>0.3</v>
      </c>
      <c r="Q398">
        <v>325</v>
      </c>
    </row>
    <row r="399" spans="1:17" x14ac:dyDescent="0.35">
      <c r="A399" s="46">
        <v>46120</v>
      </c>
      <c r="B399" t="s">
        <v>136</v>
      </c>
      <c r="C399" t="s">
        <v>362</v>
      </c>
      <c r="D399" t="s">
        <v>336</v>
      </c>
      <c r="E399" t="s">
        <v>337</v>
      </c>
      <c r="F399" t="s">
        <v>322</v>
      </c>
      <c r="G399" t="s">
        <v>322</v>
      </c>
      <c r="H399" t="s">
        <v>322</v>
      </c>
      <c r="I399" t="s">
        <v>323</v>
      </c>
      <c r="J399" t="s">
        <v>324</v>
      </c>
      <c r="K399" t="s">
        <v>202</v>
      </c>
      <c r="L399" t="s">
        <v>203</v>
      </c>
      <c r="M399">
        <v>3.9722222222222221E-2</v>
      </c>
      <c r="N399">
        <v>143</v>
      </c>
      <c r="O399">
        <v>407.55</v>
      </c>
      <c r="P399">
        <v>2.85</v>
      </c>
      <c r="Q399">
        <v>143</v>
      </c>
    </row>
    <row r="400" spans="1:17" x14ac:dyDescent="0.35">
      <c r="A400" s="46">
        <v>46120</v>
      </c>
      <c r="B400" t="s">
        <v>136</v>
      </c>
      <c r="C400" t="s">
        <v>353</v>
      </c>
      <c r="D400" t="s">
        <v>336</v>
      </c>
      <c r="E400" t="s">
        <v>337</v>
      </c>
      <c r="F400" t="s">
        <v>87</v>
      </c>
      <c r="G400" t="s">
        <v>356</v>
      </c>
      <c r="H400" t="s">
        <v>343</v>
      </c>
      <c r="I400" t="s">
        <v>323</v>
      </c>
      <c r="J400" t="s">
        <v>324</v>
      </c>
      <c r="K400" t="s">
        <v>350</v>
      </c>
      <c r="L400" t="s">
        <v>351</v>
      </c>
      <c r="M400">
        <v>7.2222222222222219E-3</v>
      </c>
      <c r="N400">
        <v>26</v>
      </c>
      <c r="O400">
        <v>65.78</v>
      </c>
      <c r="P400">
        <v>2.5300000000000002</v>
      </c>
      <c r="Q400">
        <v>26</v>
      </c>
    </row>
    <row r="401" spans="1:17" x14ac:dyDescent="0.35">
      <c r="A401" s="46">
        <v>46120</v>
      </c>
      <c r="B401" t="s">
        <v>136</v>
      </c>
      <c r="C401" t="s">
        <v>353</v>
      </c>
      <c r="D401" t="s">
        <v>336</v>
      </c>
      <c r="E401" t="s">
        <v>337</v>
      </c>
      <c r="F401" t="s">
        <v>322</v>
      </c>
      <c r="G401" t="s">
        <v>322</v>
      </c>
      <c r="H401" t="s">
        <v>322</v>
      </c>
      <c r="I401" t="s">
        <v>323</v>
      </c>
      <c r="J401" t="s">
        <v>324</v>
      </c>
      <c r="K401" t="s">
        <v>350</v>
      </c>
      <c r="L401" t="s">
        <v>351</v>
      </c>
      <c r="M401">
        <v>1.6111111111111111E-2</v>
      </c>
      <c r="N401">
        <v>58</v>
      </c>
      <c r="O401">
        <v>251.72</v>
      </c>
      <c r="P401">
        <v>4.34</v>
      </c>
      <c r="Q401">
        <v>58</v>
      </c>
    </row>
    <row r="402" spans="1:17" x14ac:dyDescent="0.35">
      <c r="A402" s="46">
        <v>46120</v>
      </c>
      <c r="B402" t="s">
        <v>136</v>
      </c>
      <c r="C402" t="s">
        <v>353</v>
      </c>
      <c r="D402" t="s">
        <v>336</v>
      </c>
      <c r="E402" t="s">
        <v>337</v>
      </c>
      <c r="F402" t="s">
        <v>322</v>
      </c>
      <c r="G402" t="s">
        <v>322</v>
      </c>
      <c r="H402" t="s">
        <v>322</v>
      </c>
      <c r="I402" t="s">
        <v>323</v>
      </c>
      <c r="J402" t="s">
        <v>324</v>
      </c>
      <c r="K402" t="s">
        <v>170</v>
      </c>
      <c r="L402" t="s">
        <v>171</v>
      </c>
      <c r="M402">
        <v>2.4494444444444445</v>
      </c>
      <c r="N402">
        <v>8818</v>
      </c>
      <c r="O402">
        <v>0</v>
      </c>
    </row>
    <row r="403" spans="1:17" x14ac:dyDescent="0.35">
      <c r="A403" s="46">
        <v>46120</v>
      </c>
      <c r="B403" t="s">
        <v>136</v>
      </c>
      <c r="C403" t="s">
        <v>360</v>
      </c>
      <c r="D403" t="s">
        <v>336</v>
      </c>
      <c r="E403" t="s">
        <v>337</v>
      </c>
      <c r="F403" t="s">
        <v>322</v>
      </c>
      <c r="G403" t="s">
        <v>322</v>
      </c>
      <c r="H403" t="s">
        <v>322</v>
      </c>
      <c r="I403" t="s">
        <v>323</v>
      </c>
      <c r="J403" t="s">
        <v>324</v>
      </c>
      <c r="K403" t="s">
        <v>170</v>
      </c>
      <c r="L403" t="s">
        <v>171</v>
      </c>
      <c r="M403">
        <v>2.7838888888888889</v>
      </c>
      <c r="N403">
        <v>10022</v>
      </c>
      <c r="O403">
        <v>0</v>
      </c>
    </row>
    <row r="404" spans="1:17" x14ac:dyDescent="0.35">
      <c r="A404" s="46">
        <v>46120</v>
      </c>
      <c r="B404" t="s">
        <v>136</v>
      </c>
      <c r="C404" t="s">
        <v>353</v>
      </c>
      <c r="D404" t="s">
        <v>336</v>
      </c>
      <c r="E404" t="s">
        <v>337</v>
      </c>
      <c r="F404" t="s">
        <v>87</v>
      </c>
      <c r="G404" t="s">
        <v>340</v>
      </c>
      <c r="H404" t="s">
        <v>331</v>
      </c>
      <c r="I404" t="s">
        <v>323</v>
      </c>
      <c r="J404" t="s">
        <v>324</v>
      </c>
      <c r="K404" t="s">
        <v>170</v>
      </c>
      <c r="L404" t="s">
        <v>171</v>
      </c>
      <c r="M404">
        <v>3.0572222222222223</v>
      </c>
      <c r="N404">
        <v>11006</v>
      </c>
      <c r="O404">
        <v>0</v>
      </c>
    </row>
    <row r="405" spans="1:17" x14ac:dyDescent="0.35">
      <c r="A405" s="46">
        <v>46120</v>
      </c>
      <c r="B405" t="s">
        <v>136</v>
      </c>
      <c r="C405" t="s">
        <v>360</v>
      </c>
      <c r="D405" t="s">
        <v>336</v>
      </c>
      <c r="E405" t="s">
        <v>337</v>
      </c>
      <c r="F405" t="s">
        <v>87</v>
      </c>
      <c r="G405" t="s">
        <v>340</v>
      </c>
      <c r="H405" t="s">
        <v>331</v>
      </c>
      <c r="I405" t="s">
        <v>323</v>
      </c>
      <c r="J405" t="s">
        <v>324</v>
      </c>
      <c r="K405" t="s">
        <v>170</v>
      </c>
      <c r="L405" t="s">
        <v>171</v>
      </c>
      <c r="M405">
        <v>8.2763888888888886</v>
      </c>
      <c r="N405">
        <v>29795</v>
      </c>
      <c r="O405">
        <v>0</v>
      </c>
    </row>
    <row r="406" spans="1:17" x14ac:dyDescent="0.35">
      <c r="A406" s="46">
        <v>46120</v>
      </c>
      <c r="B406" t="s">
        <v>136</v>
      </c>
      <c r="C406" t="s">
        <v>360</v>
      </c>
      <c r="D406" t="s">
        <v>336</v>
      </c>
      <c r="E406" t="s">
        <v>337</v>
      </c>
      <c r="F406" t="s">
        <v>87</v>
      </c>
      <c r="G406" t="s">
        <v>356</v>
      </c>
      <c r="H406" t="s">
        <v>361</v>
      </c>
      <c r="I406" t="s">
        <v>323</v>
      </c>
      <c r="J406" t="s">
        <v>324</v>
      </c>
      <c r="K406" t="s">
        <v>170</v>
      </c>
      <c r="L406" t="s">
        <v>171</v>
      </c>
      <c r="M406">
        <v>6.9722222222222227E-2</v>
      </c>
      <c r="N406">
        <v>251</v>
      </c>
      <c r="O406">
        <v>0</v>
      </c>
    </row>
    <row r="407" spans="1:17" x14ac:dyDescent="0.35">
      <c r="A407" s="46">
        <v>46120</v>
      </c>
      <c r="B407" t="s">
        <v>136</v>
      </c>
      <c r="C407" t="s">
        <v>353</v>
      </c>
      <c r="D407" t="s">
        <v>336</v>
      </c>
      <c r="E407" t="s">
        <v>337</v>
      </c>
      <c r="F407" t="s">
        <v>87</v>
      </c>
      <c r="G407" t="s">
        <v>356</v>
      </c>
      <c r="H407" t="s">
        <v>343</v>
      </c>
      <c r="I407" t="s">
        <v>323</v>
      </c>
      <c r="J407" t="s">
        <v>324</v>
      </c>
      <c r="K407" t="s">
        <v>170</v>
      </c>
      <c r="L407" t="s">
        <v>171</v>
      </c>
      <c r="M407">
        <v>2.118611111111111</v>
      </c>
      <c r="N407">
        <v>7627</v>
      </c>
      <c r="O407">
        <v>0</v>
      </c>
    </row>
    <row r="408" spans="1:17" x14ac:dyDescent="0.35">
      <c r="A408" s="46">
        <v>46120</v>
      </c>
      <c r="B408" t="s">
        <v>136</v>
      </c>
      <c r="C408" t="s">
        <v>360</v>
      </c>
      <c r="D408" t="s">
        <v>336</v>
      </c>
      <c r="E408" t="s">
        <v>337</v>
      </c>
      <c r="F408" t="s">
        <v>87</v>
      </c>
      <c r="G408" t="s">
        <v>356</v>
      </c>
      <c r="H408" t="s">
        <v>343</v>
      </c>
      <c r="I408" t="s">
        <v>323</v>
      </c>
      <c r="J408" t="s">
        <v>324</v>
      </c>
      <c r="K408" t="s">
        <v>170</v>
      </c>
      <c r="L408" t="s">
        <v>171</v>
      </c>
      <c r="M408">
        <v>3.4119444444444444</v>
      </c>
      <c r="N408">
        <v>12283</v>
      </c>
      <c r="O408">
        <v>0</v>
      </c>
    </row>
    <row r="409" spans="1:17" x14ac:dyDescent="0.35">
      <c r="A409" s="46">
        <v>46120</v>
      </c>
      <c r="B409" t="s">
        <v>136</v>
      </c>
      <c r="C409" t="s">
        <v>360</v>
      </c>
      <c r="D409" t="s">
        <v>336</v>
      </c>
      <c r="E409" t="s">
        <v>337</v>
      </c>
      <c r="F409" t="s">
        <v>322</v>
      </c>
      <c r="G409" t="s">
        <v>322</v>
      </c>
      <c r="H409" t="s">
        <v>322</v>
      </c>
      <c r="I409" t="s">
        <v>323</v>
      </c>
      <c r="J409" t="s">
        <v>324</v>
      </c>
      <c r="K409" t="s">
        <v>178</v>
      </c>
      <c r="L409" t="s">
        <v>179</v>
      </c>
      <c r="M409">
        <v>3.3611111111111112E-2</v>
      </c>
      <c r="N409">
        <v>121</v>
      </c>
      <c r="O409">
        <v>0</v>
      </c>
    </row>
    <row r="410" spans="1:17" x14ac:dyDescent="0.35">
      <c r="A410" s="46">
        <v>46120</v>
      </c>
      <c r="B410" t="s">
        <v>136</v>
      </c>
      <c r="C410" t="s">
        <v>319</v>
      </c>
      <c r="D410" t="s">
        <v>363</v>
      </c>
      <c r="E410" t="s">
        <v>364</v>
      </c>
      <c r="F410" t="s">
        <v>322</v>
      </c>
      <c r="G410" t="s">
        <v>322</v>
      </c>
      <c r="H410" t="s">
        <v>322</v>
      </c>
      <c r="I410" t="s">
        <v>323</v>
      </c>
      <c r="J410" t="s">
        <v>324</v>
      </c>
      <c r="K410" t="s">
        <v>142</v>
      </c>
      <c r="L410" t="s">
        <v>143</v>
      </c>
      <c r="M410">
        <v>1.6111111111111111E-2</v>
      </c>
      <c r="N410">
        <v>58</v>
      </c>
      <c r="O410">
        <v>135.68</v>
      </c>
      <c r="P410">
        <v>2.3393103448275863</v>
      </c>
      <c r="Q410">
        <v>58</v>
      </c>
    </row>
    <row r="411" spans="1:17" x14ac:dyDescent="0.35">
      <c r="A411" s="46">
        <v>46120</v>
      </c>
      <c r="B411" t="s">
        <v>136</v>
      </c>
      <c r="C411" t="s">
        <v>319</v>
      </c>
      <c r="D411" t="s">
        <v>363</v>
      </c>
      <c r="E411" t="s">
        <v>364</v>
      </c>
      <c r="F411" t="s">
        <v>322</v>
      </c>
      <c r="G411" t="s">
        <v>322</v>
      </c>
      <c r="H411" t="s">
        <v>322</v>
      </c>
      <c r="I411" t="s">
        <v>323</v>
      </c>
      <c r="J411" t="s">
        <v>324</v>
      </c>
      <c r="K411" t="s">
        <v>170</v>
      </c>
      <c r="L411" t="s">
        <v>171</v>
      </c>
      <c r="M411">
        <v>2.4097222222222223</v>
      </c>
      <c r="N411">
        <v>8675</v>
      </c>
      <c r="O411">
        <v>0</v>
      </c>
    </row>
    <row r="412" spans="1:17" x14ac:dyDescent="0.35">
      <c r="A412" s="46">
        <v>46120</v>
      </c>
      <c r="B412" t="s">
        <v>136</v>
      </c>
      <c r="C412" t="s">
        <v>319</v>
      </c>
      <c r="D412" t="s">
        <v>363</v>
      </c>
      <c r="E412" t="s">
        <v>364</v>
      </c>
      <c r="F412" t="s">
        <v>82</v>
      </c>
      <c r="G412" t="s">
        <v>368</v>
      </c>
      <c r="H412" t="s">
        <v>331</v>
      </c>
      <c r="I412" t="s">
        <v>323</v>
      </c>
      <c r="J412" t="s">
        <v>324</v>
      </c>
      <c r="K412" t="s">
        <v>170</v>
      </c>
      <c r="L412" t="s">
        <v>171</v>
      </c>
      <c r="M412">
        <v>21.574166666666667</v>
      </c>
      <c r="N412">
        <v>77667</v>
      </c>
      <c r="O412">
        <v>0</v>
      </c>
    </row>
    <row r="413" spans="1:17" x14ac:dyDescent="0.35">
      <c r="A413" s="46">
        <v>46120</v>
      </c>
      <c r="B413" t="s">
        <v>136</v>
      </c>
      <c r="C413" t="s">
        <v>335</v>
      </c>
      <c r="D413" t="s">
        <v>378</v>
      </c>
      <c r="E413" t="s">
        <v>321</v>
      </c>
      <c r="F413" t="s">
        <v>322</v>
      </c>
      <c r="G413" t="s">
        <v>322</v>
      </c>
      <c r="H413" t="s">
        <v>322</v>
      </c>
      <c r="I413" t="s">
        <v>323</v>
      </c>
      <c r="J413" t="s">
        <v>324</v>
      </c>
      <c r="K413" t="s">
        <v>170</v>
      </c>
      <c r="L413" t="s">
        <v>171</v>
      </c>
      <c r="M413">
        <v>0.47138888888888891</v>
      </c>
      <c r="N413">
        <v>1697</v>
      </c>
      <c r="O413">
        <v>0</v>
      </c>
    </row>
    <row r="414" spans="1:17" x14ac:dyDescent="0.35">
      <c r="A414" s="46">
        <v>46120</v>
      </c>
      <c r="B414" t="s">
        <v>136</v>
      </c>
      <c r="C414" t="s">
        <v>335</v>
      </c>
      <c r="D414" t="s">
        <v>378</v>
      </c>
      <c r="E414" t="s">
        <v>321</v>
      </c>
      <c r="F414" t="s">
        <v>332</v>
      </c>
      <c r="G414" t="s">
        <v>333</v>
      </c>
      <c r="H414" t="s">
        <v>334</v>
      </c>
      <c r="I414" t="s">
        <v>323</v>
      </c>
      <c r="J414" t="s">
        <v>324</v>
      </c>
      <c r="K414" t="s">
        <v>170</v>
      </c>
      <c r="L414" t="s">
        <v>171</v>
      </c>
      <c r="M414">
        <v>23.528611111111111</v>
      </c>
      <c r="N414">
        <v>84703</v>
      </c>
      <c r="O414">
        <v>0</v>
      </c>
    </row>
    <row r="415" spans="1:17" x14ac:dyDescent="0.35">
      <c r="A415" s="46">
        <v>46120</v>
      </c>
      <c r="B415" t="s">
        <v>136</v>
      </c>
      <c r="C415" t="s">
        <v>335</v>
      </c>
      <c r="D415" t="s">
        <v>385</v>
      </c>
      <c r="E415" t="s">
        <v>321</v>
      </c>
      <c r="F415" t="s">
        <v>332</v>
      </c>
      <c r="G415" t="s">
        <v>333</v>
      </c>
      <c r="H415" t="s">
        <v>334</v>
      </c>
      <c r="I415" t="s">
        <v>323</v>
      </c>
      <c r="J415" t="s">
        <v>324</v>
      </c>
      <c r="K415" t="s">
        <v>170</v>
      </c>
      <c r="L415" t="s">
        <v>171</v>
      </c>
      <c r="M415">
        <v>11.749722222222223</v>
      </c>
      <c r="N415">
        <v>42299</v>
      </c>
      <c r="O415">
        <v>0</v>
      </c>
    </row>
    <row r="416" spans="1:17" x14ac:dyDescent="0.35">
      <c r="A416" s="46">
        <v>46120</v>
      </c>
      <c r="B416" t="s">
        <v>136</v>
      </c>
      <c r="C416" t="s">
        <v>335</v>
      </c>
      <c r="D416" t="s">
        <v>385</v>
      </c>
      <c r="E416" t="s">
        <v>321</v>
      </c>
      <c r="F416" t="s">
        <v>328</v>
      </c>
      <c r="G416" t="s">
        <v>329</v>
      </c>
      <c r="H416" t="s">
        <v>327</v>
      </c>
      <c r="I416" t="s">
        <v>323</v>
      </c>
      <c r="J416" t="s">
        <v>324</v>
      </c>
      <c r="K416" t="s">
        <v>170</v>
      </c>
      <c r="L416" t="s">
        <v>171</v>
      </c>
      <c r="M416">
        <v>12.250277777777777</v>
      </c>
      <c r="N416">
        <v>44101</v>
      </c>
      <c r="O416">
        <v>0</v>
      </c>
    </row>
    <row r="417" spans="1:17" x14ac:dyDescent="0.35">
      <c r="A417" s="46">
        <v>46120</v>
      </c>
      <c r="B417" t="s">
        <v>136</v>
      </c>
      <c r="C417" t="s">
        <v>319</v>
      </c>
      <c r="D417" t="s">
        <v>391</v>
      </c>
      <c r="E417" t="s">
        <v>364</v>
      </c>
      <c r="F417" t="s">
        <v>322</v>
      </c>
      <c r="G417" t="s">
        <v>322</v>
      </c>
      <c r="H417" t="s">
        <v>322</v>
      </c>
      <c r="I417" t="s">
        <v>323</v>
      </c>
      <c r="J417" t="s">
        <v>324</v>
      </c>
      <c r="K417" t="s">
        <v>170</v>
      </c>
      <c r="L417" t="s">
        <v>171</v>
      </c>
      <c r="M417">
        <v>4.7500000000000001E-2</v>
      </c>
      <c r="N417">
        <v>171</v>
      </c>
      <c r="O417">
        <v>0</v>
      </c>
    </row>
    <row r="418" spans="1:17" x14ac:dyDescent="0.35">
      <c r="A418" s="46">
        <v>46120</v>
      </c>
      <c r="B418" t="s">
        <v>136</v>
      </c>
      <c r="C418" t="s">
        <v>319</v>
      </c>
      <c r="D418" t="s">
        <v>391</v>
      </c>
      <c r="E418" t="s">
        <v>364</v>
      </c>
      <c r="F418" t="s">
        <v>82</v>
      </c>
      <c r="G418" t="s">
        <v>368</v>
      </c>
      <c r="H418" t="s">
        <v>331</v>
      </c>
      <c r="I418" t="s">
        <v>323</v>
      </c>
      <c r="J418" t="s">
        <v>324</v>
      </c>
      <c r="K418" t="s">
        <v>170</v>
      </c>
      <c r="L418" t="s">
        <v>171</v>
      </c>
      <c r="M418">
        <v>23.952500000000001</v>
      </c>
      <c r="N418">
        <v>86229</v>
      </c>
      <c r="O418">
        <v>0</v>
      </c>
    </row>
    <row r="419" spans="1:17" x14ac:dyDescent="0.35">
      <c r="A419" s="46">
        <v>46120</v>
      </c>
      <c r="B419" t="s">
        <v>136</v>
      </c>
      <c r="C419" t="s">
        <v>319</v>
      </c>
      <c r="D419" t="s">
        <v>396</v>
      </c>
      <c r="E419" t="s">
        <v>364</v>
      </c>
      <c r="F419" t="s">
        <v>322</v>
      </c>
      <c r="G419" t="s">
        <v>322</v>
      </c>
      <c r="H419" t="s">
        <v>322</v>
      </c>
      <c r="I419" t="s">
        <v>323</v>
      </c>
      <c r="J419" t="s">
        <v>324</v>
      </c>
      <c r="K419" t="s">
        <v>142</v>
      </c>
      <c r="L419" t="s">
        <v>143</v>
      </c>
      <c r="M419">
        <v>1.8055555555555554E-2</v>
      </c>
      <c r="N419">
        <v>65</v>
      </c>
      <c r="O419">
        <v>205</v>
      </c>
      <c r="P419">
        <v>3.1538461538461537</v>
      </c>
      <c r="Q419">
        <v>65</v>
      </c>
    </row>
    <row r="420" spans="1:17" x14ac:dyDescent="0.35">
      <c r="A420" s="46">
        <v>46120</v>
      </c>
      <c r="B420" t="s">
        <v>136</v>
      </c>
      <c r="C420" t="s">
        <v>319</v>
      </c>
      <c r="D420" t="s">
        <v>396</v>
      </c>
      <c r="E420" t="s">
        <v>364</v>
      </c>
      <c r="F420" t="s">
        <v>322</v>
      </c>
      <c r="G420" t="s">
        <v>322</v>
      </c>
      <c r="H420" t="s">
        <v>322</v>
      </c>
      <c r="I420" t="s">
        <v>323</v>
      </c>
      <c r="J420" t="s">
        <v>324</v>
      </c>
      <c r="K420" t="s">
        <v>170</v>
      </c>
      <c r="L420" t="s">
        <v>171</v>
      </c>
      <c r="M420">
        <v>23.981944444444444</v>
      </c>
      <c r="N420">
        <v>86335</v>
      </c>
      <c r="O420">
        <v>0</v>
      </c>
    </row>
    <row r="421" spans="1:17" x14ac:dyDescent="0.35">
      <c r="A421" s="46">
        <v>46120</v>
      </c>
      <c r="B421" t="s">
        <v>136</v>
      </c>
      <c r="C421" t="s">
        <v>335</v>
      </c>
      <c r="D421" t="s">
        <v>399</v>
      </c>
      <c r="E421" t="s">
        <v>321</v>
      </c>
      <c r="F421" t="s">
        <v>322</v>
      </c>
      <c r="G421" t="s">
        <v>322</v>
      </c>
      <c r="H421" t="s">
        <v>322</v>
      </c>
      <c r="I421" t="s">
        <v>323</v>
      </c>
      <c r="J421" t="s">
        <v>324</v>
      </c>
      <c r="K421" t="s">
        <v>170</v>
      </c>
      <c r="L421" t="s">
        <v>171</v>
      </c>
      <c r="M421">
        <v>2.2875000000000001</v>
      </c>
      <c r="N421">
        <v>8235</v>
      </c>
      <c r="O421">
        <v>0</v>
      </c>
    </row>
    <row r="422" spans="1:17" x14ac:dyDescent="0.35">
      <c r="A422" s="46">
        <v>46120</v>
      </c>
      <c r="B422" t="s">
        <v>136</v>
      </c>
      <c r="C422" t="s">
        <v>335</v>
      </c>
      <c r="D422" t="s">
        <v>399</v>
      </c>
      <c r="E422" t="s">
        <v>321</v>
      </c>
      <c r="F422" t="s">
        <v>332</v>
      </c>
      <c r="G422" t="s">
        <v>333</v>
      </c>
      <c r="H422" t="s">
        <v>334</v>
      </c>
      <c r="I422" t="s">
        <v>323</v>
      </c>
      <c r="J422" t="s">
        <v>324</v>
      </c>
      <c r="K422" t="s">
        <v>170</v>
      </c>
      <c r="L422" t="s">
        <v>171</v>
      </c>
      <c r="M422">
        <v>10.233333333333333</v>
      </c>
      <c r="N422">
        <v>36840</v>
      </c>
      <c r="O422">
        <v>0</v>
      </c>
    </row>
    <row r="423" spans="1:17" x14ac:dyDescent="0.35">
      <c r="A423" s="46">
        <v>46120</v>
      </c>
      <c r="B423" t="s">
        <v>136</v>
      </c>
      <c r="C423" t="s">
        <v>335</v>
      </c>
      <c r="D423" t="s">
        <v>399</v>
      </c>
      <c r="E423" t="s">
        <v>321</v>
      </c>
      <c r="F423" t="s">
        <v>328</v>
      </c>
      <c r="G423" t="s">
        <v>329</v>
      </c>
      <c r="H423" t="s">
        <v>327</v>
      </c>
      <c r="I423" t="s">
        <v>323</v>
      </c>
      <c r="J423" t="s">
        <v>324</v>
      </c>
      <c r="K423" t="s">
        <v>170</v>
      </c>
      <c r="L423" t="s">
        <v>171</v>
      </c>
      <c r="M423">
        <v>11.479166666666666</v>
      </c>
      <c r="N423">
        <v>41325</v>
      </c>
      <c r="O423">
        <v>0</v>
      </c>
    </row>
    <row r="424" spans="1:17" x14ac:dyDescent="0.35">
      <c r="A424" s="46">
        <v>46120</v>
      </c>
      <c r="B424" t="s">
        <v>136</v>
      </c>
      <c r="C424" t="s">
        <v>367</v>
      </c>
      <c r="D424" t="s">
        <v>400</v>
      </c>
      <c r="E424" t="s">
        <v>337</v>
      </c>
      <c r="F424" t="s">
        <v>87</v>
      </c>
      <c r="G424" t="s">
        <v>356</v>
      </c>
      <c r="H424" t="s">
        <v>361</v>
      </c>
      <c r="I424" t="s">
        <v>323</v>
      </c>
      <c r="J424" t="s">
        <v>324</v>
      </c>
      <c r="K424" t="s">
        <v>341</v>
      </c>
      <c r="L424" t="s">
        <v>342</v>
      </c>
      <c r="M424">
        <v>2.4444444444444446E-2</v>
      </c>
      <c r="N424">
        <v>88</v>
      </c>
      <c r="O424">
        <v>0</v>
      </c>
    </row>
    <row r="425" spans="1:17" x14ac:dyDescent="0.35">
      <c r="A425" s="46">
        <v>46120</v>
      </c>
      <c r="B425" t="s">
        <v>136</v>
      </c>
      <c r="C425" t="s">
        <v>367</v>
      </c>
      <c r="D425" t="s">
        <v>400</v>
      </c>
      <c r="E425" t="s">
        <v>337</v>
      </c>
      <c r="F425" t="s">
        <v>87</v>
      </c>
      <c r="G425" t="s">
        <v>356</v>
      </c>
      <c r="H425" t="s">
        <v>343</v>
      </c>
      <c r="I425" t="s">
        <v>323</v>
      </c>
      <c r="J425" t="s">
        <v>324</v>
      </c>
      <c r="K425" t="s">
        <v>341</v>
      </c>
      <c r="L425" t="s">
        <v>342</v>
      </c>
      <c r="M425">
        <v>0.12916666666666668</v>
      </c>
      <c r="N425">
        <v>465</v>
      </c>
      <c r="O425">
        <v>0</v>
      </c>
    </row>
    <row r="426" spans="1:17" x14ac:dyDescent="0.35">
      <c r="A426" s="46">
        <v>46120</v>
      </c>
      <c r="B426" t="s">
        <v>136</v>
      </c>
      <c r="C426" t="s">
        <v>370</v>
      </c>
      <c r="D426" t="s">
        <v>400</v>
      </c>
      <c r="E426" t="s">
        <v>337</v>
      </c>
      <c r="F426" t="s">
        <v>87</v>
      </c>
      <c r="G426" t="s">
        <v>356</v>
      </c>
      <c r="H426" t="s">
        <v>361</v>
      </c>
      <c r="I426" t="s">
        <v>323</v>
      </c>
      <c r="J426" t="s">
        <v>324</v>
      </c>
      <c r="K426" t="s">
        <v>345</v>
      </c>
      <c r="L426" t="s">
        <v>346</v>
      </c>
      <c r="M426">
        <v>1.4722222222222222E-2</v>
      </c>
      <c r="N426">
        <v>53</v>
      </c>
      <c r="O426">
        <v>181.26</v>
      </c>
      <c r="P426">
        <v>3.42</v>
      </c>
      <c r="Q426">
        <v>53</v>
      </c>
    </row>
    <row r="427" spans="1:17" x14ac:dyDescent="0.35">
      <c r="A427" s="46">
        <v>46120</v>
      </c>
      <c r="B427" t="s">
        <v>136</v>
      </c>
      <c r="C427" t="s">
        <v>367</v>
      </c>
      <c r="D427" t="s">
        <v>400</v>
      </c>
      <c r="E427" t="s">
        <v>337</v>
      </c>
      <c r="F427" t="s">
        <v>87</v>
      </c>
      <c r="G427" t="s">
        <v>356</v>
      </c>
      <c r="H427" t="s">
        <v>343</v>
      </c>
      <c r="I427" t="s">
        <v>323</v>
      </c>
      <c r="J427" t="s">
        <v>324</v>
      </c>
      <c r="K427" t="s">
        <v>345</v>
      </c>
      <c r="L427" t="s">
        <v>346</v>
      </c>
      <c r="M427">
        <v>2.8888888888888888E-2</v>
      </c>
      <c r="N427">
        <v>104</v>
      </c>
      <c r="O427">
        <v>291.2</v>
      </c>
      <c r="P427">
        <v>2.8</v>
      </c>
      <c r="Q427">
        <v>104</v>
      </c>
    </row>
    <row r="428" spans="1:17" x14ac:dyDescent="0.35">
      <c r="A428" s="46">
        <v>46120</v>
      </c>
      <c r="B428" t="s">
        <v>136</v>
      </c>
      <c r="C428" t="s">
        <v>370</v>
      </c>
      <c r="D428" t="s">
        <v>400</v>
      </c>
      <c r="E428" t="s">
        <v>337</v>
      </c>
      <c r="F428" t="s">
        <v>87</v>
      </c>
      <c r="G428" t="s">
        <v>356</v>
      </c>
      <c r="H428" t="s">
        <v>343</v>
      </c>
      <c r="I428" t="s">
        <v>323</v>
      </c>
      <c r="J428" t="s">
        <v>324</v>
      </c>
      <c r="K428" t="s">
        <v>345</v>
      </c>
      <c r="L428" t="s">
        <v>346</v>
      </c>
      <c r="M428">
        <v>0.50694444444444442</v>
      </c>
      <c r="N428">
        <v>1825</v>
      </c>
      <c r="O428">
        <v>8514.6999999999989</v>
      </c>
      <c r="P428">
        <v>4.66558904109589</v>
      </c>
      <c r="Q428">
        <v>1825</v>
      </c>
    </row>
    <row r="429" spans="1:17" x14ac:dyDescent="0.35">
      <c r="A429" s="46">
        <v>46120</v>
      </c>
      <c r="B429" t="s">
        <v>136</v>
      </c>
      <c r="C429" t="s">
        <v>370</v>
      </c>
      <c r="D429" t="s">
        <v>400</v>
      </c>
      <c r="E429" t="s">
        <v>337</v>
      </c>
      <c r="F429" t="s">
        <v>87</v>
      </c>
      <c r="G429" t="s">
        <v>356</v>
      </c>
      <c r="H429" t="s">
        <v>361</v>
      </c>
      <c r="I429" t="s">
        <v>323</v>
      </c>
      <c r="J429" t="s">
        <v>324</v>
      </c>
      <c r="K429" t="s">
        <v>142</v>
      </c>
      <c r="L429" t="s">
        <v>143</v>
      </c>
      <c r="M429">
        <v>5.5555555555555558E-3</v>
      </c>
      <c r="N429">
        <v>20</v>
      </c>
      <c r="O429">
        <v>45</v>
      </c>
      <c r="P429">
        <v>2.25</v>
      </c>
      <c r="Q429">
        <v>20</v>
      </c>
    </row>
    <row r="430" spans="1:17" x14ac:dyDescent="0.35">
      <c r="A430" s="46">
        <v>46120</v>
      </c>
      <c r="B430" t="s">
        <v>136</v>
      </c>
      <c r="C430" t="s">
        <v>335</v>
      </c>
      <c r="D430" t="s">
        <v>400</v>
      </c>
      <c r="E430" t="s">
        <v>337</v>
      </c>
      <c r="F430" t="s">
        <v>322</v>
      </c>
      <c r="G430" t="s">
        <v>322</v>
      </c>
      <c r="H430" t="s">
        <v>322</v>
      </c>
      <c r="I430" t="s">
        <v>323</v>
      </c>
      <c r="J430" t="s">
        <v>324</v>
      </c>
      <c r="K430" t="s">
        <v>142</v>
      </c>
      <c r="L430" t="s">
        <v>143</v>
      </c>
      <c r="M430">
        <v>2.3333333333333334E-2</v>
      </c>
      <c r="N430">
        <v>84</v>
      </c>
      <c r="O430">
        <v>195.72</v>
      </c>
      <c r="P430">
        <v>2.33</v>
      </c>
      <c r="Q430">
        <v>84</v>
      </c>
    </row>
    <row r="431" spans="1:17" x14ac:dyDescent="0.35">
      <c r="A431" s="46">
        <v>46120</v>
      </c>
      <c r="B431" t="s">
        <v>136</v>
      </c>
      <c r="C431" t="s">
        <v>367</v>
      </c>
      <c r="D431" t="s">
        <v>400</v>
      </c>
      <c r="E431" t="s">
        <v>337</v>
      </c>
      <c r="F431" t="s">
        <v>87</v>
      </c>
      <c r="G431" t="s">
        <v>356</v>
      </c>
      <c r="H431" t="s">
        <v>361</v>
      </c>
      <c r="I431" t="s">
        <v>323</v>
      </c>
      <c r="J431" t="s">
        <v>324</v>
      </c>
      <c r="K431" t="s">
        <v>142</v>
      </c>
      <c r="L431" t="s">
        <v>143</v>
      </c>
      <c r="M431">
        <v>1.9722222222222221E-2</v>
      </c>
      <c r="N431">
        <v>71</v>
      </c>
      <c r="O431">
        <v>195.95999999999998</v>
      </c>
      <c r="P431">
        <v>2.76</v>
      </c>
      <c r="Q431">
        <v>71</v>
      </c>
    </row>
    <row r="432" spans="1:17" x14ac:dyDescent="0.35">
      <c r="A432" s="46">
        <v>46120</v>
      </c>
      <c r="B432" t="s">
        <v>136</v>
      </c>
      <c r="C432" t="s">
        <v>335</v>
      </c>
      <c r="D432" t="s">
        <v>400</v>
      </c>
      <c r="E432" t="s">
        <v>337</v>
      </c>
      <c r="F432" t="s">
        <v>87</v>
      </c>
      <c r="G432" t="s">
        <v>340</v>
      </c>
      <c r="H432" t="s">
        <v>331</v>
      </c>
      <c r="I432" t="s">
        <v>323</v>
      </c>
      <c r="J432" t="s">
        <v>324</v>
      </c>
      <c r="K432" t="s">
        <v>142</v>
      </c>
      <c r="L432" t="s">
        <v>143</v>
      </c>
      <c r="M432">
        <v>2.3333333333333334E-2</v>
      </c>
      <c r="N432">
        <v>84</v>
      </c>
      <c r="O432">
        <v>235.2</v>
      </c>
      <c r="P432">
        <v>2.8</v>
      </c>
      <c r="Q432">
        <v>84</v>
      </c>
    </row>
    <row r="433" spans="1:17" x14ac:dyDescent="0.35">
      <c r="A433" s="46">
        <v>46120</v>
      </c>
      <c r="B433" t="s">
        <v>136</v>
      </c>
      <c r="C433" t="s">
        <v>370</v>
      </c>
      <c r="D433" t="s">
        <v>400</v>
      </c>
      <c r="E433" t="s">
        <v>337</v>
      </c>
      <c r="F433" t="s">
        <v>322</v>
      </c>
      <c r="G433" t="s">
        <v>322</v>
      </c>
      <c r="H433" t="s">
        <v>322</v>
      </c>
      <c r="I433" t="s">
        <v>323</v>
      </c>
      <c r="J433" t="s">
        <v>324</v>
      </c>
      <c r="K433" t="s">
        <v>142</v>
      </c>
      <c r="L433" t="s">
        <v>143</v>
      </c>
      <c r="M433">
        <v>5.8055555555555555E-2</v>
      </c>
      <c r="N433">
        <v>209</v>
      </c>
      <c r="O433">
        <v>827.64</v>
      </c>
      <c r="P433">
        <v>3.96</v>
      </c>
      <c r="Q433">
        <v>209</v>
      </c>
    </row>
    <row r="434" spans="1:17" x14ac:dyDescent="0.35">
      <c r="A434" s="46">
        <v>46120</v>
      </c>
      <c r="B434" t="s">
        <v>136</v>
      </c>
      <c r="C434" t="s">
        <v>367</v>
      </c>
      <c r="D434" t="s">
        <v>400</v>
      </c>
      <c r="E434" t="s">
        <v>337</v>
      </c>
      <c r="F434" t="s">
        <v>87</v>
      </c>
      <c r="G434" t="s">
        <v>356</v>
      </c>
      <c r="H434" t="s">
        <v>343</v>
      </c>
      <c r="I434" t="s">
        <v>323</v>
      </c>
      <c r="J434" t="s">
        <v>324</v>
      </c>
      <c r="K434" t="s">
        <v>375</v>
      </c>
      <c r="L434" t="s">
        <v>376</v>
      </c>
      <c r="M434">
        <v>8.5833333333333331E-2</v>
      </c>
      <c r="N434">
        <v>309</v>
      </c>
      <c r="O434">
        <v>0</v>
      </c>
    </row>
    <row r="435" spans="1:17" x14ac:dyDescent="0.35">
      <c r="A435" s="46">
        <v>46120</v>
      </c>
      <c r="B435" t="s">
        <v>136</v>
      </c>
      <c r="C435" t="s">
        <v>370</v>
      </c>
      <c r="D435" t="s">
        <v>400</v>
      </c>
      <c r="E435" t="s">
        <v>337</v>
      </c>
      <c r="F435" t="s">
        <v>87</v>
      </c>
      <c r="G435" t="s">
        <v>356</v>
      </c>
      <c r="H435" t="s">
        <v>361</v>
      </c>
      <c r="I435" t="s">
        <v>323</v>
      </c>
      <c r="J435" t="s">
        <v>324</v>
      </c>
      <c r="K435" t="s">
        <v>350</v>
      </c>
      <c r="L435" t="s">
        <v>351</v>
      </c>
      <c r="M435">
        <v>8.3888888888888888E-2</v>
      </c>
      <c r="N435">
        <v>302</v>
      </c>
      <c r="O435">
        <v>528.5</v>
      </c>
      <c r="P435">
        <v>1.75</v>
      </c>
      <c r="Q435">
        <v>302</v>
      </c>
    </row>
    <row r="436" spans="1:17" x14ac:dyDescent="0.35">
      <c r="A436" s="46">
        <v>46120</v>
      </c>
      <c r="B436" t="s">
        <v>136</v>
      </c>
      <c r="C436" t="s">
        <v>370</v>
      </c>
      <c r="D436" t="s">
        <v>400</v>
      </c>
      <c r="E436" t="s">
        <v>337</v>
      </c>
      <c r="F436" t="s">
        <v>87</v>
      </c>
      <c r="G436" t="s">
        <v>356</v>
      </c>
      <c r="H436" t="s">
        <v>343</v>
      </c>
      <c r="I436" t="s">
        <v>323</v>
      </c>
      <c r="J436" t="s">
        <v>324</v>
      </c>
      <c r="K436" t="s">
        <v>350</v>
      </c>
      <c r="L436" t="s">
        <v>351</v>
      </c>
      <c r="M436">
        <v>8.1666666666666665E-2</v>
      </c>
      <c r="N436">
        <v>294</v>
      </c>
      <c r="O436">
        <v>1220.1000000000001</v>
      </c>
      <c r="P436">
        <v>4.1500000000000004</v>
      </c>
      <c r="Q436">
        <v>294</v>
      </c>
    </row>
    <row r="437" spans="1:17" x14ac:dyDescent="0.35">
      <c r="A437" s="46">
        <v>46120</v>
      </c>
      <c r="B437" t="s">
        <v>136</v>
      </c>
      <c r="C437" t="s">
        <v>370</v>
      </c>
      <c r="D437" t="s">
        <v>400</v>
      </c>
      <c r="E437" t="s">
        <v>337</v>
      </c>
      <c r="F437" t="s">
        <v>322</v>
      </c>
      <c r="G437" t="s">
        <v>322</v>
      </c>
      <c r="H437" t="s">
        <v>322</v>
      </c>
      <c r="I437" t="s">
        <v>323</v>
      </c>
      <c r="J437" t="s">
        <v>324</v>
      </c>
      <c r="K437" t="s">
        <v>170</v>
      </c>
      <c r="L437" t="s">
        <v>171</v>
      </c>
      <c r="M437">
        <v>2.5091666666666668</v>
      </c>
      <c r="N437">
        <v>9033</v>
      </c>
      <c r="O437">
        <v>0</v>
      </c>
    </row>
    <row r="438" spans="1:17" x14ac:dyDescent="0.35">
      <c r="A438" s="46">
        <v>46120</v>
      </c>
      <c r="B438" t="s">
        <v>136</v>
      </c>
      <c r="C438" t="s">
        <v>335</v>
      </c>
      <c r="D438" t="s">
        <v>400</v>
      </c>
      <c r="E438" t="s">
        <v>337</v>
      </c>
      <c r="F438" t="s">
        <v>322</v>
      </c>
      <c r="G438" t="s">
        <v>322</v>
      </c>
      <c r="H438" t="s">
        <v>322</v>
      </c>
      <c r="I438" t="s">
        <v>323</v>
      </c>
      <c r="J438" t="s">
        <v>324</v>
      </c>
      <c r="K438" t="s">
        <v>170</v>
      </c>
      <c r="L438" t="s">
        <v>171</v>
      </c>
      <c r="M438">
        <v>5.5758333333333336</v>
      </c>
      <c r="N438">
        <v>20073</v>
      </c>
      <c r="O438">
        <v>0</v>
      </c>
    </row>
    <row r="439" spans="1:17" x14ac:dyDescent="0.35">
      <c r="A439" s="46">
        <v>46120</v>
      </c>
      <c r="B439" t="s">
        <v>136</v>
      </c>
      <c r="C439" t="s">
        <v>335</v>
      </c>
      <c r="D439" t="s">
        <v>400</v>
      </c>
      <c r="E439" t="s">
        <v>337</v>
      </c>
      <c r="F439" t="s">
        <v>87</v>
      </c>
      <c r="G439" t="s">
        <v>340</v>
      </c>
      <c r="H439" t="s">
        <v>331</v>
      </c>
      <c r="I439" t="s">
        <v>323</v>
      </c>
      <c r="J439" t="s">
        <v>324</v>
      </c>
      <c r="K439" t="s">
        <v>170</v>
      </c>
      <c r="L439" t="s">
        <v>171</v>
      </c>
      <c r="M439">
        <v>8.301111111111112</v>
      </c>
      <c r="N439">
        <v>29884</v>
      </c>
      <c r="O439">
        <v>0</v>
      </c>
    </row>
    <row r="440" spans="1:17" x14ac:dyDescent="0.35">
      <c r="A440" s="46">
        <v>46120</v>
      </c>
      <c r="B440" t="s">
        <v>136</v>
      </c>
      <c r="C440" t="s">
        <v>370</v>
      </c>
      <c r="D440" t="s">
        <v>400</v>
      </c>
      <c r="E440" t="s">
        <v>337</v>
      </c>
      <c r="F440" t="s">
        <v>87</v>
      </c>
      <c r="G440" t="s">
        <v>356</v>
      </c>
      <c r="H440" t="s">
        <v>343</v>
      </c>
      <c r="I440" t="s">
        <v>323</v>
      </c>
      <c r="J440" t="s">
        <v>324</v>
      </c>
      <c r="K440" t="s">
        <v>170</v>
      </c>
      <c r="L440" t="s">
        <v>171</v>
      </c>
      <c r="M440">
        <v>3.8702777777777779</v>
      </c>
      <c r="N440">
        <v>13933</v>
      </c>
      <c r="O440">
        <v>0</v>
      </c>
    </row>
    <row r="441" spans="1:17" x14ac:dyDescent="0.35">
      <c r="A441" s="46">
        <v>46120</v>
      </c>
      <c r="B441" t="s">
        <v>136</v>
      </c>
      <c r="C441" t="s">
        <v>335</v>
      </c>
      <c r="D441" t="s">
        <v>400</v>
      </c>
      <c r="E441" t="s">
        <v>337</v>
      </c>
      <c r="F441" t="s">
        <v>87</v>
      </c>
      <c r="G441" t="s">
        <v>356</v>
      </c>
      <c r="H441" t="s">
        <v>343</v>
      </c>
      <c r="I441" t="s">
        <v>323</v>
      </c>
      <c r="J441" t="s">
        <v>324</v>
      </c>
      <c r="K441" t="s">
        <v>170</v>
      </c>
      <c r="L441" t="s">
        <v>171</v>
      </c>
      <c r="M441">
        <v>2.5280555555555555</v>
      </c>
      <c r="N441">
        <v>9101</v>
      </c>
      <c r="O441">
        <v>0</v>
      </c>
    </row>
    <row r="442" spans="1:17" x14ac:dyDescent="0.35">
      <c r="A442" s="46">
        <v>46120</v>
      </c>
      <c r="B442" t="s">
        <v>136</v>
      </c>
      <c r="C442" t="s">
        <v>370</v>
      </c>
      <c r="D442" t="s">
        <v>400</v>
      </c>
      <c r="E442" t="s">
        <v>337</v>
      </c>
      <c r="F442" t="s">
        <v>87</v>
      </c>
      <c r="G442" t="s">
        <v>356</v>
      </c>
      <c r="H442" t="s">
        <v>343</v>
      </c>
      <c r="I442" t="s">
        <v>323</v>
      </c>
      <c r="J442" t="s">
        <v>324</v>
      </c>
      <c r="K442" t="s">
        <v>178</v>
      </c>
      <c r="L442" t="s">
        <v>179</v>
      </c>
      <c r="M442">
        <v>1.1111111111111111E-3</v>
      </c>
      <c r="N442">
        <v>4</v>
      </c>
      <c r="O442">
        <v>0</v>
      </c>
    </row>
    <row r="443" spans="1:17" x14ac:dyDescent="0.35">
      <c r="A443" s="46">
        <v>46120</v>
      </c>
      <c r="B443" t="s">
        <v>136</v>
      </c>
      <c r="C443" t="s">
        <v>370</v>
      </c>
      <c r="D443" t="s">
        <v>400</v>
      </c>
      <c r="E443" t="s">
        <v>337</v>
      </c>
      <c r="F443" t="s">
        <v>87</v>
      </c>
      <c r="G443" t="s">
        <v>356</v>
      </c>
      <c r="H443" t="s">
        <v>361</v>
      </c>
      <c r="I443" t="s">
        <v>323</v>
      </c>
      <c r="J443" t="s">
        <v>324</v>
      </c>
      <c r="K443" t="s">
        <v>182</v>
      </c>
      <c r="L443" t="s">
        <v>183</v>
      </c>
      <c r="M443">
        <v>1.7500000000000002E-2</v>
      </c>
      <c r="N443">
        <v>63</v>
      </c>
      <c r="O443">
        <v>0</v>
      </c>
    </row>
    <row r="444" spans="1:17" x14ac:dyDescent="0.35">
      <c r="A444" s="46">
        <v>46120</v>
      </c>
      <c r="B444" t="s">
        <v>136</v>
      </c>
      <c r="C444" t="s">
        <v>367</v>
      </c>
      <c r="D444" t="s">
        <v>400</v>
      </c>
      <c r="E444" t="s">
        <v>337</v>
      </c>
      <c r="F444" t="s">
        <v>87</v>
      </c>
      <c r="G444" t="s">
        <v>356</v>
      </c>
      <c r="H444" t="s">
        <v>361</v>
      </c>
      <c r="I444" t="s">
        <v>323</v>
      </c>
      <c r="J444" t="s">
        <v>324</v>
      </c>
      <c r="K444" t="s">
        <v>182</v>
      </c>
      <c r="L444" t="s">
        <v>183</v>
      </c>
      <c r="M444">
        <v>0.11138888888888888</v>
      </c>
      <c r="N444">
        <v>401</v>
      </c>
      <c r="O444">
        <v>0</v>
      </c>
    </row>
    <row r="445" spans="1:17" x14ac:dyDescent="0.35">
      <c r="A445" s="46">
        <v>46120</v>
      </c>
      <c r="B445" t="s">
        <v>136</v>
      </c>
      <c r="C445" t="s">
        <v>354</v>
      </c>
      <c r="D445" t="s">
        <v>406</v>
      </c>
      <c r="E445" t="s">
        <v>337</v>
      </c>
      <c r="F445" t="s">
        <v>87</v>
      </c>
      <c r="G445" t="s">
        <v>356</v>
      </c>
      <c r="H445" t="s">
        <v>343</v>
      </c>
      <c r="I445" t="s">
        <v>323</v>
      </c>
      <c r="J445" t="s">
        <v>324</v>
      </c>
      <c r="K445" t="s">
        <v>168</v>
      </c>
      <c r="L445" t="s">
        <v>169</v>
      </c>
      <c r="M445">
        <v>4.4444444444444446E-2</v>
      </c>
      <c r="N445">
        <v>160</v>
      </c>
    </row>
    <row r="446" spans="1:17" x14ac:dyDescent="0.35">
      <c r="A446" s="46">
        <v>46120</v>
      </c>
      <c r="B446" t="s">
        <v>136</v>
      </c>
      <c r="C446" t="s">
        <v>354</v>
      </c>
      <c r="D446" t="s">
        <v>406</v>
      </c>
      <c r="E446" t="s">
        <v>337</v>
      </c>
      <c r="F446" t="s">
        <v>322</v>
      </c>
      <c r="G446" t="s">
        <v>322</v>
      </c>
      <c r="H446" t="s">
        <v>322</v>
      </c>
      <c r="I446" t="s">
        <v>323</v>
      </c>
      <c r="J446" t="s">
        <v>324</v>
      </c>
      <c r="K446" t="s">
        <v>168</v>
      </c>
      <c r="L446" t="s">
        <v>169</v>
      </c>
      <c r="M446">
        <v>0.68194444444444446</v>
      </c>
      <c r="N446">
        <v>2455</v>
      </c>
      <c r="O446">
        <v>0</v>
      </c>
    </row>
    <row r="447" spans="1:17" x14ac:dyDescent="0.35">
      <c r="A447" s="46">
        <v>46120</v>
      </c>
      <c r="B447" t="s">
        <v>136</v>
      </c>
      <c r="C447" t="s">
        <v>354</v>
      </c>
      <c r="D447" t="s">
        <v>406</v>
      </c>
      <c r="E447" t="s">
        <v>337</v>
      </c>
      <c r="F447" t="s">
        <v>87</v>
      </c>
      <c r="G447" t="s">
        <v>356</v>
      </c>
      <c r="H447" t="s">
        <v>343</v>
      </c>
      <c r="I447" t="s">
        <v>323</v>
      </c>
      <c r="J447" t="s">
        <v>324</v>
      </c>
      <c r="K447" t="s">
        <v>341</v>
      </c>
      <c r="L447" t="s">
        <v>342</v>
      </c>
      <c r="M447">
        <v>0.1661111111111111</v>
      </c>
      <c r="N447">
        <v>598</v>
      </c>
      <c r="O447">
        <v>0</v>
      </c>
    </row>
    <row r="448" spans="1:17" x14ac:dyDescent="0.35">
      <c r="A448" s="46">
        <v>46120</v>
      </c>
      <c r="B448" t="s">
        <v>136</v>
      </c>
      <c r="C448" t="s">
        <v>354</v>
      </c>
      <c r="D448" t="s">
        <v>406</v>
      </c>
      <c r="E448" t="s">
        <v>337</v>
      </c>
      <c r="F448" t="s">
        <v>322</v>
      </c>
      <c r="G448" t="s">
        <v>322</v>
      </c>
      <c r="H448" t="s">
        <v>322</v>
      </c>
      <c r="I448" t="s">
        <v>323</v>
      </c>
      <c r="J448" t="s">
        <v>324</v>
      </c>
      <c r="K448" t="s">
        <v>345</v>
      </c>
      <c r="L448" t="s">
        <v>346</v>
      </c>
      <c r="M448">
        <v>6.9444444444444441E-3</v>
      </c>
      <c r="N448">
        <v>25</v>
      </c>
      <c r="O448">
        <v>55.25</v>
      </c>
      <c r="P448">
        <v>2.21</v>
      </c>
      <c r="Q448">
        <v>25</v>
      </c>
    </row>
    <row r="449" spans="1:17" x14ac:dyDescent="0.35">
      <c r="A449" s="46">
        <v>46120</v>
      </c>
      <c r="B449" t="s">
        <v>136</v>
      </c>
      <c r="C449" t="s">
        <v>354</v>
      </c>
      <c r="D449" t="s">
        <v>406</v>
      </c>
      <c r="E449" t="s">
        <v>337</v>
      </c>
      <c r="F449" t="s">
        <v>87</v>
      </c>
      <c r="G449" t="s">
        <v>356</v>
      </c>
      <c r="H449" t="s">
        <v>343</v>
      </c>
      <c r="I449" t="s">
        <v>323</v>
      </c>
      <c r="J449" t="s">
        <v>324</v>
      </c>
      <c r="K449" t="s">
        <v>345</v>
      </c>
      <c r="L449" t="s">
        <v>346</v>
      </c>
      <c r="M449">
        <v>0.51527777777777772</v>
      </c>
      <c r="N449">
        <v>1855</v>
      </c>
      <c r="O449">
        <v>7546.15</v>
      </c>
      <c r="P449">
        <v>4.0680053908355793</v>
      </c>
      <c r="Q449">
        <v>1855</v>
      </c>
    </row>
    <row r="450" spans="1:17" x14ac:dyDescent="0.35">
      <c r="A450" s="46">
        <v>46120</v>
      </c>
      <c r="B450" t="s">
        <v>136</v>
      </c>
      <c r="C450" t="s">
        <v>354</v>
      </c>
      <c r="D450" t="s">
        <v>406</v>
      </c>
      <c r="E450" t="s">
        <v>337</v>
      </c>
      <c r="F450" t="s">
        <v>87</v>
      </c>
      <c r="G450" t="s">
        <v>340</v>
      </c>
      <c r="H450" t="s">
        <v>331</v>
      </c>
      <c r="I450" t="s">
        <v>323</v>
      </c>
      <c r="J450" t="s">
        <v>324</v>
      </c>
      <c r="K450" t="s">
        <v>142</v>
      </c>
      <c r="L450" t="s">
        <v>143</v>
      </c>
      <c r="M450">
        <v>1.5277777777777777E-2</v>
      </c>
      <c r="N450">
        <v>55</v>
      </c>
      <c r="O450">
        <v>161.69999999999999</v>
      </c>
      <c r="P450">
        <v>2.94</v>
      </c>
      <c r="Q450">
        <v>55</v>
      </c>
    </row>
    <row r="451" spans="1:17" x14ac:dyDescent="0.35">
      <c r="A451" s="46">
        <v>46120</v>
      </c>
      <c r="B451" t="s">
        <v>136</v>
      </c>
      <c r="C451" t="s">
        <v>354</v>
      </c>
      <c r="D451" t="s">
        <v>406</v>
      </c>
      <c r="E451" t="s">
        <v>337</v>
      </c>
      <c r="F451" t="s">
        <v>87</v>
      </c>
      <c r="G451" t="s">
        <v>356</v>
      </c>
      <c r="H451" t="s">
        <v>330</v>
      </c>
      <c r="I451" t="s">
        <v>323</v>
      </c>
      <c r="J451" t="s">
        <v>324</v>
      </c>
      <c r="K451" t="s">
        <v>142</v>
      </c>
      <c r="L451" t="s">
        <v>143</v>
      </c>
      <c r="M451">
        <v>3.6666666666666667E-2</v>
      </c>
      <c r="N451">
        <v>132</v>
      </c>
      <c r="O451">
        <v>285.12</v>
      </c>
      <c r="P451">
        <v>2.16</v>
      </c>
      <c r="Q451">
        <v>132</v>
      </c>
    </row>
    <row r="452" spans="1:17" x14ac:dyDescent="0.35">
      <c r="A452" s="46">
        <v>46120</v>
      </c>
      <c r="B452" t="s">
        <v>136</v>
      </c>
      <c r="C452" t="s">
        <v>335</v>
      </c>
      <c r="D452" t="s">
        <v>406</v>
      </c>
      <c r="E452" t="s">
        <v>337</v>
      </c>
      <c r="F452" t="s">
        <v>322</v>
      </c>
      <c r="G452" t="s">
        <v>322</v>
      </c>
      <c r="H452" t="s">
        <v>322</v>
      </c>
      <c r="I452" t="s">
        <v>323</v>
      </c>
      <c r="J452" t="s">
        <v>324</v>
      </c>
      <c r="K452" t="s">
        <v>142</v>
      </c>
      <c r="L452" t="s">
        <v>143</v>
      </c>
      <c r="M452">
        <v>3.8055555555555558E-2</v>
      </c>
      <c r="N452">
        <v>137</v>
      </c>
      <c r="O452">
        <v>342.5</v>
      </c>
      <c r="P452">
        <v>2.5</v>
      </c>
      <c r="Q452">
        <v>137</v>
      </c>
    </row>
    <row r="453" spans="1:17" x14ac:dyDescent="0.35">
      <c r="A453" s="46">
        <v>46120</v>
      </c>
      <c r="B453" t="s">
        <v>136</v>
      </c>
      <c r="C453" t="s">
        <v>354</v>
      </c>
      <c r="D453" t="s">
        <v>406</v>
      </c>
      <c r="E453" t="s">
        <v>337</v>
      </c>
      <c r="F453" t="s">
        <v>87</v>
      </c>
      <c r="G453" t="s">
        <v>356</v>
      </c>
      <c r="H453" t="s">
        <v>343</v>
      </c>
      <c r="I453" t="s">
        <v>323</v>
      </c>
      <c r="J453" t="s">
        <v>324</v>
      </c>
      <c r="K453" t="s">
        <v>142</v>
      </c>
      <c r="L453" t="s">
        <v>143</v>
      </c>
      <c r="M453">
        <v>0.19277777777777777</v>
      </c>
      <c r="N453">
        <v>694</v>
      </c>
      <c r="O453">
        <v>3226.4400000000005</v>
      </c>
      <c r="P453">
        <v>4.6490489913544675</v>
      </c>
      <c r="Q453">
        <v>694</v>
      </c>
    </row>
    <row r="454" spans="1:17" x14ac:dyDescent="0.35">
      <c r="A454" s="46">
        <v>46120</v>
      </c>
      <c r="B454" t="s">
        <v>136</v>
      </c>
      <c r="C454" t="s">
        <v>335</v>
      </c>
      <c r="D454" t="s">
        <v>406</v>
      </c>
      <c r="E454" t="s">
        <v>337</v>
      </c>
      <c r="F454" t="s">
        <v>87</v>
      </c>
      <c r="G454" t="s">
        <v>356</v>
      </c>
      <c r="H454" t="s">
        <v>331</v>
      </c>
      <c r="I454" t="s">
        <v>323</v>
      </c>
      <c r="J454" t="s">
        <v>324</v>
      </c>
      <c r="K454" t="s">
        <v>142</v>
      </c>
      <c r="L454" t="s">
        <v>143</v>
      </c>
      <c r="M454">
        <v>0.13027777777777777</v>
      </c>
      <c r="N454">
        <v>469</v>
      </c>
      <c r="O454">
        <v>3667.58</v>
      </c>
      <c r="P454">
        <v>7.82</v>
      </c>
      <c r="Q454">
        <v>469</v>
      </c>
    </row>
    <row r="455" spans="1:17" x14ac:dyDescent="0.35">
      <c r="A455" s="46">
        <v>46120</v>
      </c>
      <c r="B455" t="s">
        <v>136</v>
      </c>
      <c r="C455" t="s">
        <v>354</v>
      </c>
      <c r="D455" t="s">
        <v>406</v>
      </c>
      <c r="E455" t="s">
        <v>337</v>
      </c>
      <c r="F455" t="s">
        <v>322</v>
      </c>
      <c r="G455" t="s">
        <v>322</v>
      </c>
      <c r="H455" t="s">
        <v>322</v>
      </c>
      <c r="I455" t="s">
        <v>323</v>
      </c>
      <c r="J455" t="s">
        <v>324</v>
      </c>
      <c r="K455" t="s">
        <v>142</v>
      </c>
      <c r="L455" t="s">
        <v>143</v>
      </c>
      <c r="M455">
        <v>0.29444444444444445</v>
      </c>
      <c r="N455">
        <v>1060</v>
      </c>
      <c r="O455">
        <v>5610.1</v>
      </c>
      <c r="P455">
        <v>5.2925471698113213</v>
      </c>
      <c r="Q455">
        <v>1060</v>
      </c>
    </row>
    <row r="456" spans="1:17" x14ac:dyDescent="0.35">
      <c r="A456" s="46">
        <v>46120</v>
      </c>
      <c r="B456" t="s">
        <v>136</v>
      </c>
      <c r="C456" t="s">
        <v>354</v>
      </c>
      <c r="D456" t="s">
        <v>406</v>
      </c>
      <c r="E456" t="s">
        <v>337</v>
      </c>
      <c r="F456" t="s">
        <v>322</v>
      </c>
      <c r="G456" t="s">
        <v>322</v>
      </c>
      <c r="H456" t="s">
        <v>322</v>
      </c>
      <c r="I456" t="s">
        <v>323</v>
      </c>
      <c r="J456" t="s">
        <v>324</v>
      </c>
      <c r="K456" t="s">
        <v>348</v>
      </c>
      <c r="L456" t="s">
        <v>349</v>
      </c>
      <c r="M456">
        <v>1.4444444444444444E-2</v>
      </c>
      <c r="N456">
        <v>52</v>
      </c>
      <c r="O456">
        <v>0</v>
      </c>
    </row>
    <row r="457" spans="1:17" x14ac:dyDescent="0.35">
      <c r="A457" s="46">
        <v>46120</v>
      </c>
      <c r="B457" t="s">
        <v>136</v>
      </c>
      <c r="C457" t="s">
        <v>354</v>
      </c>
      <c r="D457" t="s">
        <v>406</v>
      </c>
      <c r="E457" t="s">
        <v>337</v>
      </c>
      <c r="F457" t="s">
        <v>322</v>
      </c>
      <c r="G457" t="s">
        <v>322</v>
      </c>
      <c r="H457" t="s">
        <v>322</v>
      </c>
      <c r="I457" t="s">
        <v>323</v>
      </c>
      <c r="J457" t="s">
        <v>324</v>
      </c>
      <c r="K457" t="s">
        <v>350</v>
      </c>
      <c r="L457" t="s">
        <v>351</v>
      </c>
      <c r="M457">
        <v>8.611111111111111E-3</v>
      </c>
      <c r="N457">
        <v>31</v>
      </c>
      <c r="O457">
        <v>74.710000000000008</v>
      </c>
      <c r="P457">
        <v>2.41</v>
      </c>
      <c r="Q457">
        <v>31</v>
      </c>
    </row>
    <row r="458" spans="1:17" x14ac:dyDescent="0.35">
      <c r="A458" s="46">
        <v>46120</v>
      </c>
      <c r="B458" t="s">
        <v>136</v>
      </c>
      <c r="C458" t="s">
        <v>354</v>
      </c>
      <c r="D458" t="s">
        <v>406</v>
      </c>
      <c r="E458" t="s">
        <v>337</v>
      </c>
      <c r="F458" t="s">
        <v>87</v>
      </c>
      <c r="G458" t="s">
        <v>356</v>
      </c>
      <c r="H458" t="s">
        <v>343</v>
      </c>
      <c r="I458" t="s">
        <v>323</v>
      </c>
      <c r="J458" t="s">
        <v>324</v>
      </c>
      <c r="K458" t="s">
        <v>350</v>
      </c>
      <c r="L458" t="s">
        <v>351</v>
      </c>
      <c r="M458">
        <v>0.2713888888888889</v>
      </c>
      <c r="N458">
        <v>977</v>
      </c>
      <c r="O458">
        <v>3248.39</v>
      </c>
      <c r="P458">
        <v>3.3248618219037871</v>
      </c>
      <c r="Q458">
        <v>977</v>
      </c>
    </row>
    <row r="459" spans="1:17" x14ac:dyDescent="0.35">
      <c r="A459" s="46">
        <v>46120</v>
      </c>
      <c r="B459" t="s">
        <v>136</v>
      </c>
      <c r="C459" t="s">
        <v>354</v>
      </c>
      <c r="D459" t="s">
        <v>406</v>
      </c>
      <c r="E459" t="s">
        <v>337</v>
      </c>
      <c r="F459" t="s">
        <v>322</v>
      </c>
      <c r="G459" t="s">
        <v>322</v>
      </c>
      <c r="H459" t="s">
        <v>322</v>
      </c>
      <c r="I459" t="s">
        <v>323</v>
      </c>
      <c r="J459" t="s">
        <v>324</v>
      </c>
      <c r="K459" t="s">
        <v>170</v>
      </c>
      <c r="L459" t="s">
        <v>171</v>
      </c>
      <c r="M459">
        <v>6.4191666666666665</v>
      </c>
      <c r="N459">
        <v>23109</v>
      </c>
      <c r="O459">
        <v>0</v>
      </c>
    </row>
    <row r="460" spans="1:17" x14ac:dyDescent="0.35">
      <c r="A460" s="46">
        <v>46120</v>
      </c>
      <c r="B460" t="s">
        <v>136</v>
      </c>
      <c r="C460" t="s">
        <v>335</v>
      </c>
      <c r="D460" t="s">
        <v>406</v>
      </c>
      <c r="E460" t="s">
        <v>337</v>
      </c>
      <c r="F460" t="s">
        <v>322</v>
      </c>
      <c r="G460" t="s">
        <v>322</v>
      </c>
      <c r="H460" t="s">
        <v>322</v>
      </c>
      <c r="I460" t="s">
        <v>323</v>
      </c>
      <c r="J460" t="s">
        <v>324</v>
      </c>
      <c r="K460" t="s">
        <v>170</v>
      </c>
      <c r="L460" t="s">
        <v>171</v>
      </c>
      <c r="M460">
        <v>0.97027777777777779</v>
      </c>
      <c r="N460">
        <v>3493</v>
      </c>
      <c r="O460">
        <v>0</v>
      </c>
    </row>
    <row r="461" spans="1:17" x14ac:dyDescent="0.35">
      <c r="A461" s="46">
        <v>46120</v>
      </c>
      <c r="B461" t="s">
        <v>136</v>
      </c>
      <c r="C461" t="s">
        <v>335</v>
      </c>
      <c r="D461" t="s">
        <v>406</v>
      </c>
      <c r="E461" t="s">
        <v>337</v>
      </c>
      <c r="F461" t="s">
        <v>87</v>
      </c>
      <c r="G461" t="s">
        <v>356</v>
      </c>
      <c r="H461" t="s">
        <v>330</v>
      </c>
      <c r="I461" t="s">
        <v>323</v>
      </c>
      <c r="J461" t="s">
        <v>324</v>
      </c>
      <c r="K461" t="s">
        <v>170</v>
      </c>
      <c r="L461" t="s">
        <v>171</v>
      </c>
      <c r="M461">
        <v>5.8669444444444441</v>
      </c>
      <c r="N461">
        <v>21121</v>
      </c>
      <c r="O461">
        <v>0</v>
      </c>
    </row>
    <row r="462" spans="1:17" x14ac:dyDescent="0.35">
      <c r="A462" s="46">
        <v>46120</v>
      </c>
      <c r="B462" t="s">
        <v>136</v>
      </c>
      <c r="C462" t="s">
        <v>354</v>
      </c>
      <c r="D462" t="s">
        <v>406</v>
      </c>
      <c r="E462" t="s">
        <v>337</v>
      </c>
      <c r="F462" t="s">
        <v>87</v>
      </c>
      <c r="G462" t="s">
        <v>356</v>
      </c>
      <c r="H462" t="s">
        <v>331</v>
      </c>
      <c r="I462" t="s">
        <v>323</v>
      </c>
      <c r="J462" t="s">
        <v>324</v>
      </c>
      <c r="K462" t="s">
        <v>170</v>
      </c>
      <c r="L462" t="s">
        <v>171</v>
      </c>
      <c r="M462">
        <v>1.0005555555555556</v>
      </c>
      <c r="N462">
        <v>3602</v>
      </c>
      <c r="O462">
        <v>0</v>
      </c>
    </row>
    <row r="463" spans="1:17" x14ac:dyDescent="0.35">
      <c r="A463" s="46">
        <v>46120</v>
      </c>
      <c r="B463" t="s">
        <v>136</v>
      </c>
      <c r="C463" t="s">
        <v>335</v>
      </c>
      <c r="D463" t="s">
        <v>406</v>
      </c>
      <c r="E463" t="s">
        <v>337</v>
      </c>
      <c r="F463" t="s">
        <v>87</v>
      </c>
      <c r="G463" t="s">
        <v>356</v>
      </c>
      <c r="H463" t="s">
        <v>331</v>
      </c>
      <c r="I463" t="s">
        <v>323</v>
      </c>
      <c r="J463" t="s">
        <v>324</v>
      </c>
      <c r="K463" t="s">
        <v>170</v>
      </c>
      <c r="L463" t="s">
        <v>171</v>
      </c>
      <c r="M463">
        <v>1.7966666666666666</v>
      </c>
      <c r="N463">
        <v>6468</v>
      </c>
      <c r="O463">
        <v>0</v>
      </c>
    </row>
    <row r="464" spans="1:17" x14ac:dyDescent="0.35">
      <c r="A464" s="46">
        <v>46120</v>
      </c>
      <c r="B464" t="s">
        <v>136</v>
      </c>
      <c r="C464" t="s">
        <v>354</v>
      </c>
      <c r="D464" t="s">
        <v>406</v>
      </c>
      <c r="E464" t="s">
        <v>337</v>
      </c>
      <c r="F464" t="s">
        <v>87</v>
      </c>
      <c r="G464" t="s">
        <v>340</v>
      </c>
      <c r="H464" t="s">
        <v>331</v>
      </c>
      <c r="I464" t="s">
        <v>323</v>
      </c>
      <c r="J464" t="s">
        <v>324</v>
      </c>
      <c r="K464" t="s">
        <v>170</v>
      </c>
      <c r="L464" t="s">
        <v>171</v>
      </c>
      <c r="M464">
        <v>5.3250000000000002</v>
      </c>
      <c r="N464">
        <v>19170</v>
      </c>
      <c r="O464">
        <v>0</v>
      </c>
    </row>
    <row r="465" spans="1:17" x14ac:dyDescent="0.35">
      <c r="A465" s="46">
        <v>46120</v>
      </c>
      <c r="B465" t="s">
        <v>136</v>
      </c>
      <c r="C465" t="s">
        <v>354</v>
      </c>
      <c r="D465" t="s">
        <v>406</v>
      </c>
      <c r="E465" t="s">
        <v>337</v>
      </c>
      <c r="F465" t="s">
        <v>87</v>
      </c>
      <c r="G465" t="s">
        <v>356</v>
      </c>
      <c r="H465" t="s">
        <v>343</v>
      </c>
      <c r="I465" t="s">
        <v>323</v>
      </c>
      <c r="J465" t="s">
        <v>324</v>
      </c>
      <c r="K465" t="s">
        <v>170</v>
      </c>
      <c r="L465" t="s">
        <v>171</v>
      </c>
      <c r="M465">
        <v>0.17222222222222222</v>
      </c>
      <c r="N465">
        <v>620</v>
      </c>
      <c r="O465">
        <v>0</v>
      </c>
    </row>
    <row r="466" spans="1:17" x14ac:dyDescent="0.35">
      <c r="A466" s="46">
        <v>46120</v>
      </c>
      <c r="B466" t="s">
        <v>136</v>
      </c>
      <c r="C466" t="s">
        <v>354</v>
      </c>
      <c r="D466" t="s">
        <v>406</v>
      </c>
      <c r="E466" t="s">
        <v>337</v>
      </c>
      <c r="F466" t="s">
        <v>87</v>
      </c>
      <c r="G466" t="s">
        <v>356</v>
      </c>
      <c r="H466" t="s">
        <v>343</v>
      </c>
      <c r="I466" t="s">
        <v>323</v>
      </c>
      <c r="J466" t="s">
        <v>324</v>
      </c>
      <c r="K466" t="s">
        <v>182</v>
      </c>
      <c r="L466" t="s">
        <v>183</v>
      </c>
      <c r="M466">
        <v>3.2500000000000001E-2</v>
      </c>
      <c r="N466">
        <v>117</v>
      </c>
    </row>
    <row r="467" spans="1:17" x14ac:dyDescent="0.35">
      <c r="A467" s="46">
        <v>46119</v>
      </c>
      <c r="B467" t="s">
        <v>136</v>
      </c>
      <c r="C467" t="s">
        <v>319</v>
      </c>
      <c r="D467" t="s">
        <v>320</v>
      </c>
      <c r="E467" t="s">
        <v>321</v>
      </c>
      <c r="F467" t="s">
        <v>332</v>
      </c>
      <c r="G467" t="s">
        <v>333</v>
      </c>
      <c r="H467" t="s">
        <v>334</v>
      </c>
      <c r="I467" t="s">
        <v>323</v>
      </c>
      <c r="J467" t="s">
        <v>324</v>
      </c>
      <c r="K467" t="s">
        <v>142</v>
      </c>
      <c r="L467" t="s">
        <v>143</v>
      </c>
      <c r="M467">
        <v>1.4999999999999999E-2</v>
      </c>
      <c r="N467">
        <v>54</v>
      </c>
      <c r="O467">
        <v>233.28000000000003</v>
      </c>
      <c r="P467">
        <v>4.32</v>
      </c>
      <c r="Q467">
        <v>54</v>
      </c>
    </row>
    <row r="468" spans="1:17" x14ac:dyDescent="0.35">
      <c r="A468" s="46">
        <v>46119</v>
      </c>
      <c r="B468" t="s">
        <v>136</v>
      </c>
      <c r="C468" t="s">
        <v>319</v>
      </c>
      <c r="D468" t="s">
        <v>320</v>
      </c>
      <c r="E468" t="s">
        <v>321</v>
      </c>
      <c r="F468" t="s">
        <v>332</v>
      </c>
      <c r="G468" t="s">
        <v>333</v>
      </c>
      <c r="H468" t="s">
        <v>334</v>
      </c>
      <c r="I468" t="s">
        <v>323</v>
      </c>
      <c r="J468" t="s">
        <v>324</v>
      </c>
      <c r="K468" t="s">
        <v>170</v>
      </c>
      <c r="L468" t="s">
        <v>171</v>
      </c>
      <c r="M468">
        <v>11.978333333333333</v>
      </c>
      <c r="N468">
        <v>43122</v>
      </c>
      <c r="O468">
        <v>0</v>
      </c>
    </row>
    <row r="469" spans="1:17" x14ac:dyDescent="0.35">
      <c r="A469" s="46">
        <v>46119</v>
      </c>
      <c r="B469" t="s">
        <v>136</v>
      </c>
      <c r="C469" t="s">
        <v>319</v>
      </c>
      <c r="D469" t="s">
        <v>320</v>
      </c>
      <c r="E469" t="s">
        <v>321</v>
      </c>
      <c r="F469" t="s">
        <v>328</v>
      </c>
      <c r="G469" t="s">
        <v>329</v>
      </c>
      <c r="H469" t="s">
        <v>327</v>
      </c>
      <c r="I469" t="s">
        <v>323</v>
      </c>
      <c r="J469" t="s">
        <v>324</v>
      </c>
      <c r="K469" t="s">
        <v>170</v>
      </c>
      <c r="L469" t="s">
        <v>171</v>
      </c>
      <c r="M469">
        <v>12.006666666666666</v>
      </c>
      <c r="N469">
        <v>43224</v>
      </c>
      <c r="O469">
        <v>0</v>
      </c>
    </row>
    <row r="470" spans="1:17" x14ac:dyDescent="0.35">
      <c r="A470" s="46">
        <v>46119</v>
      </c>
      <c r="B470" t="s">
        <v>136</v>
      </c>
      <c r="C470" t="s">
        <v>344</v>
      </c>
      <c r="D470" t="s">
        <v>336</v>
      </c>
      <c r="E470" t="s">
        <v>337</v>
      </c>
      <c r="F470" t="s">
        <v>87</v>
      </c>
      <c r="G470" t="s">
        <v>356</v>
      </c>
      <c r="H470" t="s">
        <v>343</v>
      </c>
      <c r="I470" t="s">
        <v>323</v>
      </c>
      <c r="J470" t="s">
        <v>324</v>
      </c>
      <c r="K470" t="s">
        <v>188</v>
      </c>
      <c r="L470" t="s">
        <v>189</v>
      </c>
      <c r="M470">
        <v>0.18944444444444444</v>
      </c>
      <c r="N470">
        <v>682</v>
      </c>
      <c r="O470">
        <v>0</v>
      </c>
    </row>
    <row r="471" spans="1:17" x14ac:dyDescent="0.35">
      <c r="A471" s="46">
        <v>46119</v>
      </c>
      <c r="B471" t="s">
        <v>136</v>
      </c>
      <c r="C471" t="s">
        <v>344</v>
      </c>
      <c r="D471" t="s">
        <v>336</v>
      </c>
      <c r="E471" t="s">
        <v>337</v>
      </c>
      <c r="F471" t="s">
        <v>87</v>
      </c>
      <c r="G471" t="s">
        <v>356</v>
      </c>
      <c r="H471" t="s">
        <v>343</v>
      </c>
      <c r="I471" t="s">
        <v>323</v>
      </c>
      <c r="J471" t="s">
        <v>324</v>
      </c>
      <c r="K471" t="s">
        <v>357</v>
      </c>
      <c r="L471" t="s">
        <v>358</v>
      </c>
      <c r="M471">
        <v>1.0694444444444444</v>
      </c>
      <c r="N471">
        <v>3850</v>
      </c>
      <c r="O471">
        <v>0</v>
      </c>
    </row>
    <row r="472" spans="1:17" x14ac:dyDescent="0.35">
      <c r="A472" s="46">
        <v>46119</v>
      </c>
      <c r="B472" t="s">
        <v>136</v>
      </c>
      <c r="C472" t="s">
        <v>359</v>
      </c>
      <c r="D472" t="s">
        <v>336</v>
      </c>
      <c r="E472" t="s">
        <v>337</v>
      </c>
      <c r="F472" t="s">
        <v>87</v>
      </c>
      <c r="G472" t="s">
        <v>356</v>
      </c>
      <c r="H472" t="s">
        <v>343</v>
      </c>
      <c r="I472" t="s">
        <v>323</v>
      </c>
      <c r="J472" t="s">
        <v>324</v>
      </c>
      <c r="K472" t="s">
        <v>357</v>
      </c>
      <c r="L472" t="s">
        <v>358</v>
      </c>
      <c r="M472">
        <v>0.27277777777777779</v>
      </c>
      <c r="N472">
        <v>982</v>
      </c>
      <c r="O472">
        <v>0</v>
      </c>
    </row>
    <row r="473" spans="1:17" x14ac:dyDescent="0.35">
      <c r="A473" s="46">
        <v>46119</v>
      </c>
      <c r="B473" t="s">
        <v>136</v>
      </c>
      <c r="C473" t="s">
        <v>360</v>
      </c>
      <c r="D473" t="s">
        <v>336</v>
      </c>
      <c r="E473" t="s">
        <v>337</v>
      </c>
      <c r="F473" t="s">
        <v>87</v>
      </c>
      <c r="G473" t="s">
        <v>340</v>
      </c>
      <c r="H473" t="s">
        <v>343</v>
      </c>
      <c r="I473" t="s">
        <v>323</v>
      </c>
      <c r="J473" t="s">
        <v>324</v>
      </c>
      <c r="K473" t="s">
        <v>345</v>
      </c>
      <c r="L473" t="s">
        <v>346</v>
      </c>
      <c r="M473">
        <v>8.3333333333333339E-4</v>
      </c>
      <c r="N473">
        <v>3</v>
      </c>
      <c r="O473">
        <v>16.350000000000001</v>
      </c>
      <c r="P473">
        <v>5.45</v>
      </c>
      <c r="Q473">
        <v>3</v>
      </c>
    </row>
    <row r="474" spans="1:17" x14ac:dyDescent="0.35">
      <c r="A474" s="46">
        <v>46119</v>
      </c>
      <c r="B474" t="s">
        <v>136</v>
      </c>
      <c r="C474" t="s">
        <v>360</v>
      </c>
      <c r="D474" t="s">
        <v>336</v>
      </c>
      <c r="E474" t="s">
        <v>337</v>
      </c>
      <c r="F474" t="s">
        <v>322</v>
      </c>
      <c r="G474" t="s">
        <v>322</v>
      </c>
      <c r="H474" t="s">
        <v>322</v>
      </c>
      <c r="I474" t="s">
        <v>323</v>
      </c>
      <c r="J474" t="s">
        <v>324</v>
      </c>
      <c r="K474" t="s">
        <v>345</v>
      </c>
      <c r="L474" t="s">
        <v>346</v>
      </c>
      <c r="M474">
        <v>2.6944444444444444E-2</v>
      </c>
      <c r="N474">
        <v>97</v>
      </c>
      <c r="O474">
        <v>380.24</v>
      </c>
      <c r="P474">
        <v>3.92</v>
      </c>
      <c r="Q474">
        <v>97</v>
      </c>
    </row>
    <row r="475" spans="1:17" x14ac:dyDescent="0.35">
      <c r="A475" s="46">
        <v>46119</v>
      </c>
      <c r="B475" t="s">
        <v>136</v>
      </c>
      <c r="C475" t="s">
        <v>344</v>
      </c>
      <c r="D475" t="s">
        <v>336</v>
      </c>
      <c r="E475" t="s">
        <v>337</v>
      </c>
      <c r="F475" t="s">
        <v>87</v>
      </c>
      <c r="G475" t="s">
        <v>356</v>
      </c>
      <c r="H475" t="s">
        <v>361</v>
      </c>
      <c r="I475" t="s">
        <v>323</v>
      </c>
      <c r="J475" t="s">
        <v>324</v>
      </c>
      <c r="K475" t="s">
        <v>345</v>
      </c>
      <c r="L475" t="s">
        <v>346</v>
      </c>
      <c r="M475">
        <v>0.41388888888888886</v>
      </c>
      <c r="N475">
        <v>1490</v>
      </c>
      <c r="O475">
        <v>5457.6</v>
      </c>
      <c r="P475">
        <v>3.6628187919463091</v>
      </c>
      <c r="Q475">
        <v>1490</v>
      </c>
    </row>
    <row r="476" spans="1:17" x14ac:dyDescent="0.35">
      <c r="A476" s="46">
        <v>46119</v>
      </c>
      <c r="B476" t="s">
        <v>136</v>
      </c>
      <c r="C476" t="s">
        <v>344</v>
      </c>
      <c r="D476" t="s">
        <v>336</v>
      </c>
      <c r="E476" t="s">
        <v>337</v>
      </c>
      <c r="F476" t="s">
        <v>87</v>
      </c>
      <c r="G476" t="s">
        <v>356</v>
      </c>
      <c r="H476" t="s">
        <v>343</v>
      </c>
      <c r="I476" t="s">
        <v>323</v>
      </c>
      <c r="J476" t="s">
        <v>324</v>
      </c>
      <c r="K476" t="s">
        <v>345</v>
      </c>
      <c r="L476" t="s">
        <v>346</v>
      </c>
      <c r="M476">
        <v>0.74527777777777782</v>
      </c>
      <c r="N476">
        <v>2683</v>
      </c>
      <c r="O476">
        <v>7650.1100000000006</v>
      </c>
      <c r="P476">
        <v>2.8513268729034666</v>
      </c>
      <c r="Q476">
        <v>2683</v>
      </c>
    </row>
    <row r="477" spans="1:17" x14ac:dyDescent="0.35">
      <c r="A477" s="46">
        <v>46119</v>
      </c>
      <c r="B477" t="s">
        <v>136</v>
      </c>
      <c r="C477" t="s">
        <v>360</v>
      </c>
      <c r="D477" t="s">
        <v>336</v>
      </c>
      <c r="E477" t="s">
        <v>337</v>
      </c>
      <c r="F477" t="s">
        <v>87</v>
      </c>
      <c r="G477" t="s">
        <v>356</v>
      </c>
      <c r="H477" t="s">
        <v>361</v>
      </c>
      <c r="I477" t="s">
        <v>323</v>
      </c>
      <c r="J477" t="s">
        <v>324</v>
      </c>
      <c r="K477" t="s">
        <v>345</v>
      </c>
      <c r="L477" t="s">
        <v>346</v>
      </c>
      <c r="M477">
        <v>0.78972222222222221</v>
      </c>
      <c r="N477">
        <v>2843</v>
      </c>
      <c r="O477">
        <v>14002.71</v>
      </c>
      <c r="P477">
        <v>4.925328877945832</v>
      </c>
      <c r="Q477">
        <v>2843</v>
      </c>
    </row>
    <row r="478" spans="1:17" x14ac:dyDescent="0.35">
      <c r="A478" s="46">
        <v>46119</v>
      </c>
      <c r="B478" t="s">
        <v>136</v>
      </c>
      <c r="C478" t="s">
        <v>319</v>
      </c>
      <c r="D478" t="s">
        <v>336</v>
      </c>
      <c r="E478" t="s">
        <v>337</v>
      </c>
      <c r="F478" t="s">
        <v>322</v>
      </c>
      <c r="G478" t="s">
        <v>322</v>
      </c>
      <c r="H478" t="s">
        <v>322</v>
      </c>
      <c r="I478" t="s">
        <v>323</v>
      </c>
      <c r="J478" t="s">
        <v>324</v>
      </c>
      <c r="K478" t="s">
        <v>142</v>
      </c>
      <c r="L478" t="s">
        <v>143</v>
      </c>
      <c r="M478">
        <v>3.138888888888889E-2</v>
      </c>
      <c r="N478">
        <v>113</v>
      </c>
      <c r="O478">
        <v>270.07</v>
      </c>
      <c r="P478">
        <v>2.39</v>
      </c>
      <c r="Q478">
        <v>113</v>
      </c>
    </row>
    <row r="479" spans="1:17" x14ac:dyDescent="0.35">
      <c r="A479" s="46">
        <v>46119</v>
      </c>
      <c r="B479" t="s">
        <v>136</v>
      </c>
      <c r="C479" t="s">
        <v>344</v>
      </c>
      <c r="D479" t="s">
        <v>336</v>
      </c>
      <c r="E479" t="s">
        <v>337</v>
      </c>
      <c r="F479" t="s">
        <v>87</v>
      </c>
      <c r="G479" t="s">
        <v>356</v>
      </c>
      <c r="H479" t="s">
        <v>343</v>
      </c>
      <c r="I479" t="s">
        <v>323</v>
      </c>
      <c r="J479" t="s">
        <v>324</v>
      </c>
      <c r="K479" t="s">
        <v>142</v>
      </c>
      <c r="L479" t="s">
        <v>143</v>
      </c>
      <c r="M479">
        <v>4.4444444444444446E-2</v>
      </c>
      <c r="N479">
        <v>160</v>
      </c>
      <c r="O479">
        <v>435.20000000000005</v>
      </c>
      <c r="P479">
        <v>2.72</v>
      </c>
      <c r="Q479">
        <v>160</v>
      </c>
    </row>
    <row r="480" spans="1:17" x14ac:dyDescent="0.35">
      <c r="A480" s="46">
        <v>46119</v>
      </c>
      <c r="B480" t="s">
        <v>136</v>
      </c>
      <c r="C480" t="s">
        <v>344</v>
      </c>
      <c r="D480" t="s">
        <v>336</v>
      </c>
      <c r="E480" t="s">
        <v>337</v>
      </c>
      <c r="F480" t="s">
        <v>87</v>
      </c>
      <c r="G480" t="s">
        <v>340</v>
      </c>
      <c r="H480" t="s">
        <v>331</v>
      </c>
      <c r="I480" t="s">
        <v>323</v>
      </c>
      <c r="J480" t="s">
        <v>324</v>
      </c>
      <c r="K480" t="s">
        <v>142</v>
      </c>
      <c r="L480" t="s">
        <v>143</v>
      </c>
      <c r="M480">
        <v>2.5277777777777777E-2</v>
      </c>
      <c r="N480">
        <v>91</v>
      </c>
      <c r="O480">
        <v>442.26000000000005</v>
      </c>
      <c r="P480">
        <v>4.8600000000000003</v>
      </c>
      <c r="Q480">
        <v>91</v>
      </c>
    </row>
    <row r="481" spans="1:17" x14ac:dyDescent="0.35">
      <c r="A481" s="46">
        <v>46119</v>
      </c>
      <c r="B481" t="s">
        <v>136</v>
      </c>
      <c r="C481" t="s">
        <v>360</v>
      </c>
      <c r="D481" t="s">
        <v>336</v>
      </c>
      <c r="E481" t="s">
        <v>337</v>
      </c>
      <c r="F481" t="s">
        <v>322</v>
      </c>
      <c r="G481" t="s">
        <v>322</v>
      </c>
      <c r="H481" t="s">
        <v>322</v>
      </c>
      <c r="I481" t="s">
        <v>323</v>
      </c>
      <c r="J481" t="s">
        <v>324</v>
      </c>
      <c r="K481" t="s">
        <v>142</v>
      </c>
      <c r="L481" t="s">
        <v>143</v>
      </c>
      <c r="M481">
        <v>9.0555555555555556E-2</v>
      </c>
      <c r="N481">
        <v>326</v>
      </c>
      <c r="O481">
        <v>1304</v>
      </c>
      <c r="P481">
        <v>4</v>
      </c>
      <c r="Q481">
        <v>326</v>
      </c>
    </row>
    <row r="482" spans="1:17" x14ac:dyDescent="0.35">
      <c r="A482" s="46">
        <v>46119</v>
      </c>
      <c r="B482" t="s">
        <v>136</v>
      </c>
      <c r="C482" t="s">
        <v>360</v>
      </c>
      <c r="D482" t="s">
        <v>336</v>
      </c>
      <c r="E482" t="s">
        <v>337</v>
      </c>
      <c r="F482" t="s">
        <v>87</v>
      </c>
      <c r="G482" t="s">
        <v>356</v>
      </c>
      <c r="H482" t="s">
        <v>361</v>
      </c>
      <c r="I482" t="s">
        <v>323</v>
      </c>
      <c r="J482" t="s">
        <v>324</v>
      </c>
      <c r="K482" t="s">
        <v>142</v>
      </c>
      <c r="L482" t="s">
        <v>143</v>
      </c>
      <c r="M482">
        <v>0.1</v>
      </c>
      <c r="N482">
        <v>360</v>
      </c>
      <c r="O482">
        <v>1602</v>
      </c>
      <c r="P482">
        <v>4.45</v>
      </c>
      <c r="Q482">
        <v>360</v>
      </c>
    </row>
    <row r="483" spans="1:17" x14ac:dyDescent="0.35">
      <c r="A483" s="46">
        <v>46119</v>
      </c>
      <c r="B483" t="s">
        <v>136</v>
      </c>
      <c r="C483" t="s">
        <v>360</v>
      </c>
      <c r="D483" t="s">
        <v>336</v>
      </c>
      <c r="E483" t="s">
        <v>337</v>
      </c>
      <c r="F483" t="s">
        <v>87</v>
      </c>
      <c r="G483" t="s">
        <v>340</v>
      </c>
      <c r="H483" t="s">
        <v>343</v>
      </c>
      <c r="I483" t="s">
        <v>323</v>
      </c>
      <c r="J483" t="s">
        <v>324</v>
      </c>
      <c r="K483" t="s">
        <v>142</v>
      </c>
      <c r="L483" t="s">
        <v>143</v>
      </c>
      <c r="M483">
        <v>0.10555555555555556</v>
      </c>
      <c r="N483">
        <v>380</v>
      </c>
      <c r="O483">
        <v>1960.8</v>
      </c>
      <c r="P483">
        <v>5.16</v>
      </c>
      <c r="Q483">
        <v>380</v>
      </c>
    </row>
    <row r="484" spans="1:17" x14ac:dyDescent="0.35">
      <c r="A484" s="46">
        <v>46119</v>
      </c>
      <c r="B484" t="s">
        <v>136</v>
      </c>
      <c r="C484" t="s">
        <v>344</v>
      </c>
      <c r="D484" t="s">
        <v>336</v>
      </c>
      <c r="E484" t="s">
        <v>337</v>
      </c>
      <c r="F484" t="s">
        <v>322</v>
      </c>
      <c r="G484" t="s">
        <v>322</v>
      </c>
      <c r="H484" t="s">
        <v>322</v>
      </c>
      <c r="I484" t="s">
        <v>323</v>
      </c>
      <c r="J484" t="s">
        <v>324</v>
      </c>
      <c r="K484" t="s">
        <v>202</v>
      </c>
      <c r="L484" t="s">
        <v>203</v>
      </c>
      <c r="M484">
        <v>0.49944444444444447</v>
      </c>
      <c r="N484">
        <v>1798</v>
      </c>
      <c r="O484">
        <v>0</v>
      </c>
    </row>
    <row r="485" spans="1:17" x14ac:dyDescent="0.35">
      <c r="A485" s="46">
        <v>46119</v>
      </c>
      <c r="B485" t="s">
        <v>136</v>
      </c>
      <c r="C485" t="s">
        <v>344</v>
      </c>
      <c r="D485" t="s">
        <v>336</v>
      </c>
      <c r="E485" t="s">
        <v>337</v>
      </c>
      <c r="F485" t="s">
        <v>87</v>
      </c>
      <c r="G485" t="s">
        <v>340</v>
      </c>
      <c r="H485" t="s">
        <v>331</v>
      </c>
      <c r="I485" t="s">
        <v>323</v>
      </c>
      <c r="J485" t="s">
        <v>324</v>
      </c>
      <c r="K485" t="s">
        <v>202</v>
      </c>
      <c r="L485" t="s">
        <v>203</v>
      </c>
      <c r="M485">
        <v>0.69833333333333336</v>
      </c>
      <c r="N485">
        <v>2514</v>
      </c>
      <c r="O485">
        <v>0</v>
      </c>
    </row>
    <row r="486" spans="1:17" x14ac:dyDescent="0.35">
      <c r="A486" s="46">
        <v>46119</v>
      </c>
      <c r="B486" t="s">
        <v>136</v>
      </c>
      <c r="C486" t="s">
        <v>344</v>
      </c>
      <c r="D486" t="s">
        <v>336</v>
      </c>
      <c r="E486" t="s">
        <v>337</v>
      </c>
      <c r="F486" t="s">
        <v>87</v>
      </c>
      <c r="G486" t="s">
        <v>340</v>
      </c>
      <c r="H486" t="s">
        <v>361</v>
      </c>
      <c r="I486" t="s">
        <v>323</v>
      </c>
      <c r="J486" t="s">
        <v>324</v>
      </c>
      <c r="K486" t="s">
        <v>202</v>
      </c>
      <c r="L486" t="s">
        <v>203</v>
      </c>
      <c r="M486">
        <v>0.24111111111111111</v>
      </c>
      <c r="N486">
        <v>868</v>
      </c>
      <c r="O486">
        <v>0</v>
      </c>
    </row>
    <row r="487" spans="1:17" x14ac:dyDescent="0.35">
      <c r="A487" s="46">
        <v>46119</v>
      </c>
      <c r="B487" t="s">
        <v>136</v>
      </c>
      <c r="C487" t="s">
        <v>355</v>
      </c>
      <c r="D487" t="s">
        <v>336</v>
      </c>
      <c r="E487" t="s">
        <v>337</v>
      </c>
      <c r="F487" t="s">
        <v>87</v>
      </c>
      <c r="G487" t="s">
        <v>356</v>
      </c>
      <c r="H487" t="s">
        <v>343</v>
      </c>
      <c r="I487" t="s">
        <v>323</v>
      </c>
      <c r="J487" t="s">
        <v>324</v>
      </c>
      <c r="K487" t="s">
        <v>202</v>
      </c>
      <c r="L487" t="s">
        <v>203</v>
      </c>
      <c r="M487">
        <v>5.8333333333333336E-3</v>
      </c>
      <c r="N487">
        <v>21</v>
      </c>
      <c r="O487">
        <v>0</v>
      </c>
    </row>
    <row r="488" spans="1:17" x14ac:dyDescent="0.35">
      <c r="A488" s="46">
        <v>46119</v>
      </c>
      <c r="B488" t="s">
        <v>136</v>
      </c>
      <c r="C488" t="s">
        <v>359</v>
      </c>
      <c r="D488" t="s">
        <v>336</v>
      </c>
      <c r="E488" t="s">
        <v>337</v>
      </c>
      <c r="F488" t="s">
        <v>87</v>
      </c>
      <c r="G488" t="s">
        <v>356</v>
      </c>
      <c r="H488" t="s">
        <v>343</v>
      </c>
      <c r="I488" t="s">
        <v>323</v>
      </c>
      <c r="J488" t="s">
        <v>324</v>
      </c>
      <c r="K488" t="s">
        <v>202</v>
      </c>
      <c r="L488" t="s">
        <v>203</v>
      </c>
      <c r="M488">
        <v>2.2222222222222222E-3</v>
      </c>
      <c r="N488">
        <v>8</v>
      </c>
      <c r="O488">
        <v>0</v>
      </c>
    </row>
    <row r="489" spans="1:17" x14ac:dyDescent="0.35">
      <c r="A489" s="46">
        <v>46119</v>
      </c>
      <c r="B489" t="s">
        <v>136</v>
      </c>
      <c r="C489" t="s">
        <v>362</v>
      </c>
      <c r="D489" t="s">
        <v>336</v>
      </c>
      <c r="E489" t="s">
        <v>337</v>
      </c>
      <c r="F489" t="s">
        <v>87</v>
      </c>
      <c r="G489" t="s">
        <v>340</v>
      </c>
      <c r="H489" t="s">
        <v>331</v>
      </c>
      <c r="I489" t="s">
        <v>323</v>
      </c>
      <c r="J489" t="s">
        <v>324</v>
      </c>
      <c r="K489" t="s">
        <v>202</v>
      </c>
      <c r="L489" t="s">
        <v>203</v>
      </c>
      <c r="M489">
        <v>1.2500000000000001E-2</v>
      </c>
      <c r="N489">
        <v>45</v>
      </c>
      <c r="O489">
        <v>70.650000000000006</v>
      </c>
      <c r="P489">
        <v>1.57</v>
      </c>
      <c r="Q489">
        <v>45</v>
      </c>
    </row>
    <row r="490" spans="1:17" x14ac:dyDescent="0.35">
      <c r="A490" s="46">
        <v>46119</v>
      </c>
      <c r="B490" t="s">
        <v>136</v>
      </c>
      <c r="C490" t="s">
        <v>362</v>
      </c>
      <c r="D490" t="s">
        <v>336</v>
      </c>
      <c r="E490" t="s">
        <v>337</v>
      </c>
      <c r="F490" t="s">
        <v>87</v>
      </c>
      <c r="G490" t="s">
        <v>356</v>
      </c>
      <c r="H490" t="s">
        <v>343</v>
      </c>
      <c r="I490" t="s">
        <v>323</v>
      </c>
      <c r="J490" t="s">
        <v>324</v>
      </c>
      <c r="K490" t="s">
        <v>202</v>
      </c>
      <c r="L490" t="s">
        <v>203</v>
      </c>
      <c r="M490">
        <v>0.44055555555555553</v>
      </c>
      <c r="N490">
        <v>1586</v>
      </c>
      <c r="O490">
        <v>2315.56</v>
      </c>
      <c r="P490">
        <v>1.46</v>
      </c>
      <c r="Q490">
        <v>1586</v>
      </c>
    </row>
    <row r="491" spans="1:17" x14ac:dyDescent="0.35">
      <c r="A491" s="46">
        <v>46119</v>
      </c>
      <c r="B491" t="s">
        <v>136</v>
      </c>
      <c r="C491" t="s">
        <v>344</v>
      </c>
      <c r="D491" t="s">
        <v>336</v>
      </c>
      <c r="E491" t="s">
        <v>337</v>
      </c>
      <c r="F491" t="s">
        <v>87</v>
      </c>
      <c r="G491" t="s">
        <v>356</v>
      </c>
      <c r="H491" t="s">
        <v>343</v>
      </c>
      <c r="I491" t="s">
        <v>323</v>
      </c>
      <c r="J491" t="s">
        <v>324</v>
      </c>
      <c r="K491" t="s">
        <v>350</v>
      </c>
      <c r="L491" t="s">
        <v>351</v>
      </c>
      <c r="M491">
        <v>0.10194444444444445</v>
      </c>
      <c r="N491">
        <v>367</v>
      </c>
      <c r="O491">
        <v>1052.43</v>
      </c>
      <c r="P491">
        <v>2.8676566757493189</v>
      </c>
      <c r="Q491">
        <v>367</v>
      </c>
    </row>
    <row r="492" spans="1:17" x14ac:dyDescent="0.35">
      <c r="A492" s="46">
        <v>46119</v>
      </c>
      <c r="B492" t="s">
        <v>136</v>
      </c>
      <c r="C492" t="s">
        <v>344</v>
      </c>
      <c r="D492" t="s">
        <v>336</v>
      </c>
      <c r="E492" t="s">
        <v>337</v>
      </c>
      <c r="F492" t="s">
        <v>87</v>
      </c>
      <c r="G492" t="s">
        <v>356</v>
      </c>
      <c r="H492" t="s">
        <v>361</v>
      </c>
      <c r="I492" t="s">
        <v>323</v>
      </c>
      <c r="J492" t="s">
        <v>324</v>
      </c>
      <c r="K492" t="s">
        <v>350</v>
      </c>
      <c r="L492" t="s">
        <v>351</v>
      </c>
      <c r="M492">
        <v>0.17861111111111111</v>
      </c>
      <c r="N492">
        <v>643</v>
      </c>
      <c r="O492">
        <v>1470.94</v>
      </c>
      <c r="P492">
        <v>2.2876205287713844</v>
      </c>
      <c r="Q492">
        <v>643</v>
      </c>
    </row>
    <row r="493" spans="1:17" x14ac:dyDescent="0.35">
      <c r="A493" s="46">
        <v>46119</v>
      </c>
      <c r="B493" t="s">
        <v>136</v>
      </c>
      <c r="C493" t="s">
        <v>360</v>
      </c>
      <c r="D493" t="s">
        <v>336</v>
      </c>
      <c r="E493" t="s">
        <v>337</v>
      </c>
      <c r="F493" t="s">
        <v>87</v>
      </c>
      <c r="G493" t="s">
        <v>356</v>
      </c>
      <c r="H493" t="s">
        <v>361</v>
      </c>
      <c r="I493" t="s">
        <v>323</v>
      </c>
      <c r="J493" t="s">
        <v>324</v>
      </c>
      <c r="K493" t="s">
        <v>350</v>
      </c>
      <c r="L493" t="s">
        <v>351</v>
      </c>
      <c r="M493">
        <v>0.36333333333333334</v>
      </c>
      <c r="N493">
        <v>1308</v>
      </c>
      <c r="O493">
        <v>3259.04</v>
      </c>
      <c r="P493">
        <v>2.4916207951070337</v>
      </c>
      <c r="Q493">
        <v>1308</v>
      </c>
    </row>
    <row r="494" spans="1:17" x14ac:dyDescent="0.35">
      <c r="A494" s="46">
        <v>46119</v>
      </c>
      <c r="B494" t="s">
        <v>136</v>
      </c>
      <c r="C494" t="s">
        <v>319</v>
      </c>
      <c r="D494" t="s">
        <v>336</v>
      </c>
      <c r="E494" t="s">
        <v>337</v>
      </c>
      <c r="F494" t="s">
        <v>87</v>
      </c>
      <c r="G494" t="s">
        <v>340</v>
      </c>
      <c r="H494" t="s">
        <v>343</v>
      </c>
      <c r="I494" t="s">
        <v>323</v>
      </c>
      <c r="J494" t="s">
        <v>324</v>
      </c>
      <c r="K494" t="s">
        <v>170</v>
      </c>
      <c r="L494" t="s">
        <v>171</v>
      </c>
      <c r="M494">
        <v>0.98833333333333329</v>
      </c>
      <c r="N494">
        <v>3558</v>
      </c>
    </row>
    <row r="495" spans="1:17" x14ac:dyDescent="0.35">
      <c r="A495" s="46">
        <v>46119</v>
      </c>
      <c r="B495" t="s">
        <v>136</v>
      </c>
      <c r="C495" t="s">
        <v>360</v>
      </c>
      <c r="D495" t="s">
        <v>336</v>
      </c>
      <c r="E495" t="s">
        <v>337</v>
      </c>
      <c r="F495" t="s">
        <v>322</v>
      </c>
      <c r="G495" t="s">
        <v>322</v>
      </c>
      <c r="H495" t="s">
        <v>322</v>
      </c>
      <c r="I495" t="s">
        <v>323</v>
      </c>
      <c r="J495" t="s">
        <v>324</v>
      </c>
      <c r="K495" t="s">
        <v>170</v>
      </c>
      <c r="L495" t="s">
        <v>171</v>
      </c>
      <c r="M495">
        <v>4.8055555555555553E-2</v>
      </c>
      <c r="N495">
        <v>173</v>
      </c>
      <c r="O495">
        <v>0</v>
      </c>
    </row>
    <row r="496" spans="1:17" x14ac:dyDescent="0.35">
      <c r="A496" s="46">
        <v>46119</v>
      </c>
      <c r="B496" t="s">
        <v>136</v>
      </c>
      <c r="C496" t="s">
        <v>319</v>
      </c>
      <c r="D496" t="s">
        <v>336</v>
      </c>
      <c r="E496" t="s">
        <v>337</v>
      </c>
      <c r="F496" t="s">
        <v>322</v>
      </c>
      <c r="G496" t="s">
        <v>322</v>
      </c>
      <c r="H496" t="s">
        <v>322</v>
      </c>
      <c r="I496" t="s">
        <v>323</v>
      </c>
      <c r="J496" t="s">
        <v>324</v>
      </c>
      <c r="K496" t="s">
        <v>170</v>
      </c>
      <c r="L496" t="s">
        <v>171</v>
      </c>
      <c r="M496">
        <v>11.216666666666667</v>
      </c>
      <c r="N496">
        <v>40380</v>
      </c>
      <c r="O496">
        <v>0</v>
      </c>
    </row>
    <row r="497" spans="1:17" x14ac:dyDescent="0.35">
      <c r="A497" s="46">
        <v>46119</v>
      </c>
      <c r="B497" t="s">
        <v>136</v>
      </c>
      <c r="C497" t="s">
        <v>344</v>
      </c>
      <c r="D497" t="s">
        <v>336</v>
      </c>
      <c r="E497" t="s">
        <v>337</v>
      </c>
      <c r="F497" t="s">
        <v>87</v>
      </c>
      <c r="G497" t="s">
        <v>356</v>
      </c>
      <c r="H497" t="s">
        <v>361</v>
      </c>
      <c r="I497" t="s">
        <v>323</v>
      </c>
      <c r="J497" t="s">
        <v>324</v>
      </c>
      <c r="K497" t="s">
        <v>170</v>
      </c>
      <c r="L497" t="s">
        <v>171</v>
      </c>
      <c r="M497">
        <v>0.27555555555555555</v>
      </c>
      <c r="N497">
        <v>992</v>
      </c>
      <c r="O497">
        <v>0</v>
      </c>
    </row>
    <row r="498" spans="1:17" x14ac:dyDescent="0.35">
      <c r="A498" s="46">
        <v>46119</v>
      </c>
      <c r="B498" t="s">
        <v>136</v>
      </c>
      <c r="C498" t="s">
        <v>360</v>
      </c>
      <c r="D498" t="s">
        <v>336</v>
      </c>
      <c r="E498" t="s">
        <v>337</v>
      </c>
      <c r="F498" t="s">
        <v>87</v>
      </c>
      <c r="G498" t="s">
        <v>356</v>
      </c>
      <c r="H498" t="s">
        <v>361</v>
      </c>
      <c r="I498" t="s">
        <v>323</v>
      </c>
      <c r="J498" t="s">
        <v>324</v>
      </c>
      <c r="K498" t="s">
        <v>170</v>
      </c>
      <c r="L498" t="s">
        <v>171</v>
      </c>
      <c r="M498">
        <v>2.6724999999999999</v>
      </c>
      <c r="N498">
        <v>9621</v>
      </c>
      <c r="O498">
        <v>0</v>
      </c>
    </row>
    <row r="499" spans="1:17" x14ac:dyDescent="0.35">
      <c r="A499" s="46">
        <v>46119</v>
      </c>
      <c r="B499" t="s">
        <v>136</v>
      </c>
      <c r="C499" t="s">
        <v>344</v>
      </c>
      <c r="D499" t="s">
        <v>336</v>
      </c>
      <c r="E499" t="s">
        <v>337</v>
      </c>
      <c r="F499" t="s">
        <v>87</v>
      </c>
      <c r="G499" t="s">
        <v>356</v>
      </c>
      <c r="H499" t="s">
        <v>343</v>
      </c>
      <c r="I499" t="s">
        <v>323</v>
      </c>
      <c r="J499" t="s">
        <v>324</v>
      </c>
      <c r="K499" t="s">
        <v>170</v>
      </c>
      <c r="L499" t="s">
        <v>171</v>
      </c>
      <c r="M499">
        <v>2.3475000000000001</v>
      </c>
      <c r="N499">
        <v>8451</v>
      </c>
      <c r="O499">
        <v>0</v>
      </c>
    </row>
    <row r="500" spans="1:17" x14ac:dyDescent="0.35">
      <c r="A500" s="46">
        <v>46119</v>
      </c>
      <c r="B500" t="s">
        <v>136</v>
      </c>
      <c r="C500" t="s">
        <v>344</v>
      </c>
      <c r="D500" t="s">
        <v>336</v>
      </c>
      <c r="E500" t="s">
        <v>337</v>
      </c>
      <c r="F500" t="s">
        <v>87</v>
      </c>
      <c r="G500" t="s">
        <v>356</v>
      </c>
      <c r="H500" t="s">
        <v>343</v>
      </c>
      <c r="I500" t="s">
        <v>323</v>
      </c>
      <c r="J500" t="s">
        <v>324</v>
      </c>
      <c r="K500" t="s">
        <v>178</v>
      </c>
      <c r="L500" t="s">
        <v>179</v>
      </c>
      <c r="M500">
        <v>1.9444444444444444E-3</v>
      </c>
      <c r="N500">
        <v>7</v>
      </c>
      <c r="O500">
        <v>0</v>
      </c>
    </row>
    <row r="501" spans="1:17" x14ac:dyDescent="0.35">
      <c r="A501" s="46">
        <v>46119</v>
      </c>
      <c r="B501" t="s">
        <v>136</v>
      </c>
      <c r="C501" t="s">
        <v>319</v>
      </c>
      <c r="D501" t="s">
        <v>363</v>
      </c>
      <c r="E501" t="s">
        <v>364</v>
      </c>
      <c r="F501" t="s">
        <v>322</v>
      </c>
      <c r="G501" t="s">
        <v>322</v>
      </c>
      <c r="H501" t="s">
        <v>322</v>
      </c>
      <c r="I501" t="s">
        <v>323</v>
      </c>
      <c r="J501" t="s">
        <v>324</v>
      </c>
      <c r="K501" t="s">
        <v>142</v>
      </c>
      <c r="L501" t="s">
        <v>143</v>
      </c>
      <c r="M501">
        <v>4.4444444444444444E-3</v>
      </c>
      <c r="N501">
        <v>16</v>
      </c>
      <c r="O501">
        <v>47.2</v>
      </c>
      <c r="P501">
        <v>2.95</v>
      </c>
      <c r="Q501">
        <v>16</v>
      </c>
    </row>
    <row r="502" spans="1:17" x14ac:dyDescent="0.35">
      <c r="A502" s="46">
        <v>46119</v>
      </c>
      <c r="B502" t="s">
        <v>136</v>
      </c>
      <c r="C502" t="s">
        <v>319</v>
      </c>
      <c r="D502" t="s">
        <v>363</v>
      </c>
      <c r="E502" t="s">
        <v>364</v>
      </c>
      <c r="F502" t="s">
        <v>82</v>
      </c>
      <c r="G502" t="s">
        <v>368</v>
      </c>
      <c r="H502" t="s">
        <v>327</v>
      </c>
      <c r="I502" t="s">
        <v>323</v>
      </c>
      <c r="J502" t="s">
        <v>324</v>
      </c>
      <c r="K502" t="s">
        <v>142</v>
      </c>
      <c r="L502" t="s">
        <v>143</v>
      </c>
      <c r="M502">
        <v>7.3055555555555554E-2</v>
      </c>
      <c r="N502">
        <v>263</v>
      </c>
      <c r="O502">
        <v>1470.17</v>
      </c>
      <c r="P502">
        <v>5.59</v>
      </c>
      <c r="Q502">
        <v>263</v>
      </c>
    </row>
    <row r="503" spans="1:17" x14ac:dyDescent="0.35">
      <c r="A503" s="46">
        <v>46119</v>
      </c>
      <c r="B503" t="s">
        <v>136</v>
      </c>
      <c r="C503" t="s">
        <v>319</v>
      </c>
      <c r="D503" t="s">
        <v>363</v>
      </c>
      <c r="E503" t="s">
        <v>364</v>
      </c>
      <c r="F503" t="s">
        <v>322</v>
      </c>
      <c r="G503" t="s">
        <v>322</v>
      </c>
      <c r="H503" t="s">
        <v>322</v>
      </c>
      <c r="I503" t="s">
        <v>323</v>
      </c>
      <c r="J503" t="s">
        <v>324</v>
      </c>
      <c r="K503" t="s">
        <v>170</v>
      </c>
      <c r="L503" t="s">
        <v>171</v>
      </c>
      <c r="M503">
        <v>4.3902777777777775</v>
      </c>
      <c r="N503">
        <v>15805</v>
      </c>
      <c r="O503">
        <v>0</v>
      </c>
    </row>
    <row r="504" spans="1:17" x14ac:dyDescent="0.35">
      <c r="A504" s="46">
        <v>46119</v>
      </c>
      <c r="B504" t="s">
        <v>136</v>
      </c>
      <c r="C504" t="s">
        <v>319</v>
      </c>
      <c r="D504" t="s">
        <v>363</v>
      </c>
      <c r="E504" t="s">
        <v>364</v>
      </c>
      <c r="F504" t="s">
        <v>82</v>
      </c>
      <c r="G504" t="s">
        <v>368</v>
      </c>
      <c r="H504" t="s">
        <v>327</v>
      </c>
      <c r="I504" t="s">
        <v>323</v>
      </c>
      <c r="J504" t="s">
        <v>324</v>
      </c>
      <c r="K504" t="s">
        <v>170</v>
      </c>
      <c r="L504" t="s">
        <v>171</v>
      </c>
      <c r="M504">
        <v>5.2175000000000002</v>
      </c>
      <c r="N504">
        <v>18783</v>
      </c>
      <c r="O504">
        <v>0</v>
      </c>
    </row>
    <row r="505" spans="1:17" x14ac:dyDescent="0.35">
      <c r="A505" s="46">
        <v>46119</v>
      </c>
      <c r="B505" t="s">
        <v>136</v>
      </c>
      <c r="C505" t="s">
        <v>319</v>
      </c>
      <c r="D505" t="s">
        <v>363</v>
      </c>
      <c r="E505" t="s">
        <v>364</v>
      </c>
      <c r="F505" t="s">
        <v>82</v>
      </c>
      <c r="G505" t="s">
        <v>368</v>
      </c>
      <c r="H505" t="s">
        <v>331</v>
      </c>
      <c r="I505" t="s">
        <v>323</v>
      </c>
      <c r="J505" t="s">
        <v>324</v>
      </c>
      <c r="K505" t="s">
        <v>170</v>
      </c>
      <c r="L505" t="s">
        <v>171</v>
      </c>
      <c r="M505">
        <v>1.135</v>
      </c>
      <c r="N505">
        <v>4086</v>
      </c>
      <c r="O505">
        <v>0</v>
      </c>
    </row>
    <row r="506" spans="1:17" x14ac:dyDescent="0.35">
      <c r="A506" s="46">
        <v>46119</v>
      </c>
      <c r="B506" t="s">
        <v>136</v>
      </c>
      <c r="C506" t="s">
        <v>319</v>
      </c>
      <c r="D506" t="s">
        <v>363</v>
      </c>
      <c r="E506" t="s">
        <v>364</v>
      </c>
      <c r="F506" t="s">
        <v>82</v>
      </c>
      <c r="G506" t="s">
        <v>368</v>
      </c>
      <c r="H506" t="s">
        <v>331</v>
      </c>
      <c r="I506" t="s">
        <v>323</v>
      </c>
      <c r="J506" t="s">
        <v>324</v>
      </c>
      <c r="K506" t="s">
        <v>178</v>
      </c>
      <c r="L506" t="s">
        <v>179</v>
      </c>
      <c r="M506">
        <v>13.179722222222223</v>
      </c>
      <c r="N506">
        <v>47447</v>
      </c>
      <c r="O506">
        <v>0</v>
      </c>
    </row>
    <row r="507" spans="1:17" x14ac:dyDescent="0.35">
      <c r="A507" s="46">
        <v>46119</v>
      </c>
      <c r="B507" t="s">
        <v>136</v>
      </c>
      <c r="C507" t="s">
        <v>335</v>
      </c>
      <c r="D507" t="s">
        <v>378</v>
      </c>
      <c r="E507" t="s">
        <v>321</v>
      </c>
      <c r="F507" t="s">
        <v>332</v>
      </c>
      <c r="G507" t="s">
        <v>333</v>
      </c>
      <c r="H507" t="s">
        <v>327</v>
      </c>
      <c r="I507" t="s">
        <v>323</v>
      </c>
      <c r="J507" t="s">
        <v>324</v>
      </c>
      <c r="K507" t="s">
        <v>142</v>
      </c>
      <c r="L507" t="s">
        <v>143</v>
      </c>
      <c r="M507">
        <v>3.2777777777777781E-2</v>
      </c>
      <c r="N507">
        <v>118</v>
      </c>
      <c r="O507">
        <v>121.54</v>
      </c>
      <c r="P507">
        <v>1.03</v>
      </c>
      <c r="Q507">
        <v>118</v>
      </c>
    </row>
    <row r="508" spans="1:17" x14ac:dyDescent="0.35">
      <c r="A508" s="46">
        <v>46119</v>
      </c>
      <c r="B508" t="s">
        <v>136</v>
      </c>
      <c r="C508" t="s">
        <v>335</v>
      </c>
      <c r="D508" t="s">
        <v>378</v>
      </c>
      <c r="E508" t="s">
        <v>321</v>
      </c>
      <c r="F508" t="s">
        <v>332</v>
      </c>
      <c r="G508" t="s">
        <v>333</v>
      </c>
      <c r="H508" t="s">
        <v>334</v>
      </c>
      <c r="I508" t="s">
        <v>323</v>
      </c>
      <c r="J508" t="s">
        <v>324</v>
      </c>
      <c r="K508" t="s">
        <v>142</v>
      </c>
      <c r="L508" t="s">
        <v>143</v>
      </c>
      <c r="M508">
        <v>2.5000000000000001E-2</v>
      </c>
      <c r="N508">
        <v>90</v>
      </c>
      <c r="O508">
        <v>338.4</v>
      </c>
      <c r="P508">
        <v>3.76</v>
      </c>
      <c r="Q508">
        <v>90</v>
      </c>
    </row>
    <row r="509" spans="1:17" x14ac:dyDescent="0.35">
      <c r="A509" s="46">
        <v>46119</v>
      </c>
      <c r="B509" t="s">
        <v>136</v>
      </c>
      <c r="C509" t="s">
        <v>335</v>
      </c>
      <c r="D509" t="s">
        <v>378</v>
      </c>
      <c r="E509" t="s">
        <v>321</v>
      </c>
      <c r="F509" t="s">
        <v>332</v>
      </c>
      <c r="G509" t="s">
        <v>333</v>
      </c>
      <c r="H509" t="s">
        <v>327</v>
      </c>
      <c r="I509" t="s">
        <v>323</v>
      </c>
      <c r="J509" t="s">
        <v>324</v>
      </c>
      <c r="K509" t="s">
        <v>170</v>
      </c>
      <c r="L509" t="s">
        <v>171</v>
      </c>
      <c r="M509">
        <v>0.50055555555555553</v>
      </c>
      <c r="N509">
        <v>1802</v>
      </c>
      <c r="O509">
        <v>0</v>
      </c>
    </row>
    <row r="510" spans="1:17" x14ac:dyDescent="0.35">
      <c r="A510" s="46">
        <v>46119</v>
      </c>
      <c r="B510" t="s">
        <v>136</v>
      </c>
      <c r="C510" t="s">
        <v>335</v>
      </c>
      <c r="D510" t="s">
        <v>378</v>
      </c>
      <c r="E510" t="s">
        <v>321</v>
      </c>
      <c r="F510" t="s">
        <v>332</v>
      </c>
      <c r="G510" t="s">
        <v>333</v>
      </c>
      <c r="H510" t="s">
        <v>334</v>
      </c>
      <c r="I510" t="s">
        <v>323</v>
      </c>
      <c r="J510" t="s">
        <v>324</v>
      </c>
      <c r="K510" t="s">
        <v>170</v>
      </c>
      <c r="L510" t="s">
        <v>171</v>
      </c>
      <c r="M510">
        <v>11.431111111111111</v>
      </c>
      <c r="N510">
        <v>41152</v>
      </c>
      <c r="O510">
        <v>0</v>
      </c>
    </row>
    <row r="511" spans="1:17" x14ac:dyDescent="0.35">
      <c r="A511" s="46">
        <v>46119</v>
      </c>
      <c r="B511" t="s">
        <v>136</v>
      </c>
      <c r="C511" t="s">
        <v>335</v>
      </c>
      <c r="D511" t="s">
        <v>378</v>
      </c>
      <c r="E511" t="s">
        <v>321</v>
      </c>
      <c r="F511" t="s">
        <v>328</v>
      </c>
      <c r="G511" t="s">
        <v>329</v>
      </c>
      <c r="H511" t="s">
        <v>327</v>
      </c>
      <c r="I511" t="s">
        <v>323</v>
      </c>
      <c r="J511" t="s">
        <v>324</v>
      </c>
      <c r="K511" t="s">
        <v>170</v>
      </c>
      <c r="L511" t="s">
        <v>171</v>
      </c>
      <c r="M511">
        <v>12.010555555555555</v>
      </c>
      <c r="N511">
        <v>43238</v>
      </c>
      <c r="O511">
        <v>0</v>
      </c>
    </row>
    <row r="512" spans="1:17" x14ac:dyDescent="0.35">
      <c r="A512" s="46">
        <v>46119</v>
      </c>
      <c r="B512" t="s">
        <v>136</v>
      </c>
      <c r="C512" t="s">
        <v>335</v>
      </c>
      <c r="D512" t="s">
        <v>385</v>
      </c>
      <c r="E512" t="s">
        <v>321</v>
      </c>
      <c r="F512" t="s">
        <v>332</v>
      </c>
      <c r="G512" t="s">
        <v>333</v>
      </c>
      <c r="H512" t="s">
        <v>334</v>
      </c>
      <c r="I512" t="s">
        <v>323</v>
      </c>
      <c r="J512" t="s">
        <v>324</v>
      </c>
      <c r="K512" t="s">
        <v>170</v>
      </c>
      <c r="L512" t="s">
        <v>171</v>
      </c>
      <c r="M512">
        <v>14.489722222222222</v>
      </c>
      <c r="N512">
        <v>52163</v>
      </c>
      <c r="O512">
        <v>0</v>
      </c>
    </row>
    <row r="513" spans="1:17" x14ac:dyDescent="0.35">
      <c r="A513" s="46">
        <v>46119</v>
      </c>
      <c r="B513" t="s">
        <v>136</v>
      </c>
      <c r="C513" t="s">
        <v>335</v>
      </c>
      <c r="D513" t="s">
        <v>385</v>
      </c>
      <c r="E513" t="s">
        <v>321</v>
      </c>
      <c r="F513" t="s">
        <v>328</v>
      </c>
      <c r="G513" t="s">
        <v>329</v>
      </c>
      <c r="H513" t="s">
        <v>327</v>
      </c>
      <c r="I513" t="s">
        <v>323</v>
      </c>
      <c r="J513" t="s">
        <v>324</v>
      </c>
      <c r="K513" t="s">
        <v>170</v>
      </c>
      <c r="L513" t="s">
        <v>171</v>
      </c>
      <c r="M513">
        <v>9.5102777777777785</v>
      </c>
      <c r="N513">
        <v>34237</v>
      </c>
      <c r="O513">
        <v>0</v>
      </c>
    </row>
    <row r="514" spans="1:17" x14ac:dyDescent="0.35">
      <c r="A514" s="46">
        <v>46119</v>
      </c>
      <c r="B514" t="s">
        <v>136</v>
      </c>
      <c r="C514" t="s">
        <v>319</v>
      </c>
      <c r="D514" t="s">
        <v>391</v>
      </c>
      <c r="E514" t="s">
        <v>364</v>
      </c>
      <c r="F514" t="s">
        <v>82</v>
      </c>
      <c r="G514" t="s">
        <v>368</v>
      </c>
      <c r="H514" t="s">
        <v>371</v>
      </c>
      <c r="I514" t="s">
        <v>323</v>
      </c>
      <c r="J514" t="s">
        <v>324</v>
      </c>
      <c r="K514" t="s">
        <v>142</v>
      </c>
      <c r="L514" t="s">
        <v>143</v>
      </c>
      <c r="M514">
        <v>7.4166666666666672E-2</v>
      </c>
      <c r="N514">
        <v>267</v>
      </c>
      <c r="O514">
        <v>1465.8300000000002</v>
      </c>
      <c r="P514">
        <v>5.49</v>
      </c>
      <c r="Q514">
        <v>267</v>
      </c>
    </row>
    <row r="515" spans="1:17" x14ac:dyDescent="0.35">
      <c r="A515" s="46">
        <v>46119</v>
      </c>
      <c r="B515" t="s">
        <v>136</v>
      </c>
      <c r="C515" t="s">
        <v>319</v>
      </c>
      <c r="D515" t="s">
        <v>391</v>
      </c>
      <c r="E515" t="s">
        <v>364</v>
      </c>
      <c r="F515" t="s">
        <v>322</v>
      </c>
      <c r="G515" t="s">
        <v>322</v>
      </c>
      <c r="H515" t="s">
        <v>322</v>
      </c>
      <c r="I515" t="s">
        <v>323</v>
      </c>
      <c r="J515" t="s">
        <v>324</v>
      </c>
      <c r="K515" t="s">
        <v>170</v>
      </c>
      <c r="L515" t="s">
        <v>171</v>
      </c>
      <c r="M515">
        <v>5.549722222222222</v>
      </c>
      <c r="N515">
        <v>19979</v>
      </c>
      <c r="O515">
        <v>0</v>
      </c>
    </row>
    <row r="516" spans="1:17" x14ac:dyDescent="0.35">
      <c r="A516" s="46">
        <v>46119</v>
      </c>
      <c r="B516" t="s">
        <v>136</v>
      </c>
      <c r="C516" t="s">
        <v>319</v>
      </c>
      <c r="D516" t="s">
        <v>391</v>
      </c>
      <c r="E516" t="s">
        <v>364</v>
      </c>
      <c r="F516" t="s">
        <v>82</v>
      </c>
      <c r="G516" t="s">
        <v>368</v>
      </c>
      <c r="H516" t="s">
        <v>371</v>
      </c>
      <c r="I516" t="s">
        <v>323</v>
      </c>
      <c r="J516" t="s">
        <v>324</v>
      </c>
      <c r="K516" t="s">
        <v>170</v>
      </c>
      <c r="L516" t="s">
        <v>171</v>
      </c>
      <c r="M516">
        <v>6.9169444444444448</v>
      </c>
      <c r="N516">
        <v>24901</v>
      </c>
      <c r="O516">
        <v>0</v>
      </c>
    </row>
    <row r="517" spans="1:17" x14ac:dyDescent="0.35">
      <c r="A517" s="46">
        <v>46119</v>
      </c>
      <c r="B517" t="s">
        <v>136</v>
      </c>
      <c r="C517" t="s">
        <v>319</v>
      </c>
      <c r="D517" t="s">
        <v>391</v>
      </c>
      <c r="E517" t="s">
        <v>364</v>
      </c>
      <c r="F517" t="s">
        <v>82</v>
      </c>
      <c r="G517" t="s">
        <v>368</v>
      </c>
      <c r="H517" t="s">
        <v>331</v>
      </c>
      <c r="I517" t="s">
        <v>323</v>
      </c>
      <c r="J517" t="s">
        <v>324</v>
      </c>
      <c r="K517" t="s">
        <v>170</v>
      </c>
      <c r="L517" t="s">
        <v>171</v>
      </c>
      <c r="M517">
        <v>10.513888888888889</v>
      </c>
      <c r="N517">
        <v>37850</v>
      </c>
      <c r="O517">
        <v>0</v>
      </c>
    </row>
    <row r="518" spans="1:17" x14ac:dyDescent="0.35">
      <c r="A518" s="46">
        <v>46119</v>
      </c>
      <c r="B518" t="s">
        <v>136</v>
      </c>
      <c r="C518" t="s">
        <v>319</v>
      </c>
      <c r="D518" t="s">
        <v>391</v>
      </c>
      <c r="E518" t="s">
        <v>364</v>
      </c>
      <c r="F518" t="s">
        <v>82</v>
      </c>
      <c r="G518" t="s">
        <v>368</v>
      </c>
      <c r="H518" t="s">
        <v>331</v>
      </c>
      <c r="I518" t="s">
        <v>323</v>
      </c>
      <c r="J518" t="s">
        <v>324</v>
      </c>
      <c r="K518" t="s">
        <v>178</v>
      </c>
      <c r="L518" t="s">
        <v>179</v>
      </c>
      <c r="M518">
        <v>0.94527777777777777</v>
      </c>
      <c r="N518">
        <v>3403</v>
      </c>
    </row>
    <row r="519" spans="1:17" x14ac:dyDescent="0.35">
      <c r="A519" s="46">
        <v>46119</v>
      </c>
      <c r="B519" t="s">
        <v>136</v>
      </c>
      <c r="C519" t="s">
        <v>398</v>
      </c>
      <c r="D519" t="s">
        <v>396</v>
      </c>
      <c r="E519" t="s">
        <v>364</v>
      </c>
      <c r="F519" t="s">
        <v>82</v>
      </c>
      <c r="G519" t="s">
        <v>368</v>
      </c>
      <c r="H519" t="s">
        <v>327</v>
      </c>
      <c r="I519" t="s">
        <v>323</v>
      </c>
      <c r="J519" t="s">
        <v>324</v>
      </c>
      <c r="K519" t="s">
        <v>142</v>
      </c>
      <c r="L519" t="s">
        <v>143</v>
      </c>
      <c r="M519">
        <v>1.3055555555555556E-2</v>
      </c>
      <c r="N519">
        <v>47</v>
      </c>
      <c r="O519">
        <v>176.72</v>
      </c>
      <c r="P519">
        <v>3.76</v>
      </c>
      <c r="Q519">
        <v>47</v>
      </c>
    </row>
    <row r="520" spans="1:17" x14ac:dyDescent="0.35">
      <c r="A520" s="46">
        <v>46119</v>
      </c>
      <c r="B520" t="s">
        <v>136</v>
      </c>
      <c r="C520" t="s">
        <v>319</v>
      </c>
      <c r="D520" t="s">
        <v>396</v>
      </c>
      <c r="E520" t="s">
        <v>364</v>
      </c>
      <c r="F520" t="s">
        <v>322</v>
      </c>
      <c r="G520" t="s">
        <v>322</v>
      </c>
      <c r="H520" t="s">
        <v>322</v>
      </c>
      <c r="I520" t="s">
        <v>323</v>
      </c>
      <c r="J520" t="s">
        <v>324</v>
      </c>
      <c r="K520" t="s">
        <v>142</v>
      </c>
      <c r="L520" t="s">
        <v>143</v>
      </c>
      <c r="M520">
        <v>0.10027777777777777</v>
      </c>
      <c r="N520">
        <v>361</v>
      </c>
      <c r="O520">
        <v>1593.2</v>
      </c>
      <c r="P520">
        <v>4.4132963988919665</v>
      </c>
      <c r="Q520">
        <v>361</v>
      </c>
    </row>
    <row r="521" spans="1:17" x14ac:dyDescent="0.35">
      <c r="A521" s="46">
        <v>46119</v>
      </c>
      <c r="B521" t="s">
        <v>136</v>
      </c>
      <c r="C521" t="s">
        <v>319</v>
      </c>
      <c r="D521" t="s">
        <v>396</v>
      </c>
      <c r="E521" t="s">
        <v>364</v>
      </c>
      <c r="F521" t="s">
        <v>82</v>
      </c>
      <c r="G521" t="s">
        <v>368</v>
      </c>
      <c r="H521" t="s">
        <v>327</v>
      </c>
      <c r="I521" t="s">
        <v>323</v>
      </c>
      <c r="J521" t="s">
        <v>324</v>
      </c>
      <c r="K521" t="s">
        <v>170</v>
      </c>
      <c r="L521" t="s">
        <v>171</v>
      </c>
      <c r="M521">
        <v>6.6613888888888892</v>
      </c>
      <c r="N521">
        <v>23981</v>
      </c>
    </row>
    <row r="522" spans="1:17" x14ac:dyDescent="0.35">
      <c r="A522" s="46">
        <v>46119</v>
      </c>
      <c r="B522" t="s">
        <v>136</v>
      </c>
      <c r="C522" t="s">
        <v>398</v>
      </c>
      <c r="D522" t="s">
        <v>396</v>
      </c>
      <c r="E522" t="s">
        <v>364</v>
      </c>
      <c r="F522" t="s">
        <v>322</v>
      </c>
      <c r="G522" t="s">
        <v>322</v>
      </c>
      <c r="H522" t="s">
        <v>322</v>
      </c>
      <c r="I522" t="s">
        <v>323</v>
      </c>
      <c r="J522" t="s">
        <v>324</v>
      </c>
      <c r="K522" t="s">
        <v>170</v>
      </c>
      <c r="L522" t="s">
        <v>171</v>
      </c>
      <c r="M522">
        <v>0.17611111111111111</v>
      </c>
      <c r="N522">
        <v>634</v>
      </c>
      <c r="O522">
        <v>0</v>
      </c>
    </row>
    <row r="523" spans="1:17" x14ac:dyDescent="0.35">
      <c r="A523" s="46">
        <v>46119</v>
      </c>
      <c r="B523" t="s">
        <v>136</v>
      </c>
      <c r="C523" t="s">
        <v>319</v>
      </c>
      <c r="D523" t="s">
        <v>396</v>
      </c>
      <c r="E523" t="s">
        <v>364</v>
      </c>
      <c r="F523" t="s">
        <v>322</v>
      </c>
      <c r="G523" t="s">
        <v>322</v>
      </c>
      <c r="H523" t="s">
        <v>322</v>
      </c>
      <c r="I523" t="s">
        <v>323</v>
      </c>
      <c r="J523" t="s">
        <v>324</v>
      </c>
      <c r="K523" t="s">
        <v>170</v>
      </c>
      <c r="L523" t="s">
        <v>171</v>
      </c>
      <c r="M523">
        <v>4.2794444444444446</v>
      </c>
      <c r="N523">
        <v>15406</v>
      </c>
      <c r="O523">
        <v>0</v>
      </c>
    </row>
    <row r="524" spans="1:17" x14ac:dyDescent="0.35">
      <c r="A524" s="46">
        <v>46119</v>
      </c>
      <c r="B524" t="s">
        <v>136</v>
      </c>
      <c r="C524" t="s">
        <v>398</v>
      </c>
      <c r="D524" t="s">
        <v>396</v>
      </c>
      <c r="E524" t="s">
        <v>364</v>
      </c>
      <c r="F524" t="s">
        <v>82</v>
      </c>
      <c r="G524" t="s">
        <v>368</v>
      </c>
      <c r="H524" t="s">
        <v>371</v>
      </c>
      <c r="I524" t="s">
        <v>323</v>
      </c>
      <c r="J524" t="s">
        <v>324</v>
      </c>
      <c r="K524" t="s">
        <v>170</v>
      </c>
      <c r="L524" t="s">
        <v>171</v>
      </c>
      <c r="M524">
        <v>9.3219444444444441</v>
      </c>
      <c r="N524">
        <v>33559</v>
      </c>
      <c r="O524">
        <v>0</v>
      </c>
    </row>
    <row r="525" spans="1:17" x14ac:dyDescent="0.35">
      <c r="A525" s="46">
        <v>46119</v>
      </c>
      <c r="B525" t="s">
        <v>136</v>
      </c>
      <c r="C525" t="s">
        <v>319</v>
      </c>
      <c r="D525" t="s">
        <v>396</v>
      </c>
      <c r="E525" t="s">
        <v>364</v>
      </c>
      <c r="F525" t="s">
        <v>82</v>
      </c>
      <c r="G525" t="s">
        <v>368</v>
      </c>
      <c r="H525" t="s">
        <v>331</v>
      </c>
      <c r="I525" t="s">
        <v>323</v>
      </c>
      <c r="J525" t="s">
        <v>324</v>
      </c>
      <c r="K525" t="s">
        <v>170</v>
      </c>
      <c r="L525" t="s">
        <v>171</v>
      </c>
      <c r="M525">
        <v>3.4477777777777776</v>
      </c>
      <c r="N525">
        <v>12412</v>
      </c>
      <c r="O525">
        <v>0</v>
      </c>
    </row>
    <row r="526" spans="1:17" x14ac:dyDescent="0.35">
      <c r="A526" s="46">
        <v>46119</v>
      </c>
      <c r="B526" t="s">
        <v>136</v>
      </c>
      <c r="C526" t="s">
        <v>335</v>
      </c>
      <c r="D526" t="s">
        <v>399</v>
      </c>
      <c r="E526" t="s">
        <v>321</v>
      </c>
      <c r="F526" t="s">
        <v>322</v>
      </c>
      <c r="G526" t="s">
        <v>322</v>
      </c>
      <c r="H526" t="s">
        <v>322</v>
      </c>
      <c r="I526" t="s">
        <v>323</v>
      </c>
      <c r="J526" t="s">
        <v>324</v>
      </c>
      <c r="K526" t="s">
        <v>142</v>
      </c>
      <c r="L526" t="s">
        <v>143</v>
      </c>
      <c r="M526">
        <v>3.138888888888889E-2</v>
      </c>
      <c r="N526">
        <v>113</v>
      </c>
      <c r="O526">
        <v>305.10000000000002</v>
      </c>
      <c r="P526">
        <v>2.7</v>
      </c>
      <c r="Q526">
        <v>113</v>
      </c>
    </row>
    <row r="527" spans="1:17" x14ac:dyDescent="0.35">
      <c r="A527" s="46">
        <v>46119</v>
      </c>
      <c r="B527" t="s">
        <v>136</v>
      </c>
      <c r="C527" t="s">
        <v>335</v>
      </c>
      <c r="D527" t="s">
        <v>399</v>
      </c>
      <c r="E527" t="s">
        <v>321</v>
      </c>
      <c r="F527" t="s">
        <v>92</v>
      </c>
      <c r="G527" t="s">
        <v>325</v>
      </c>
      <c r="H527" t="s">
        <v>366</v>
      </c>
      <c r="I527" t="s">
        <v>323</v>
      </c>
      <c r="J527" t="s">
        <v>324</v>
      </c>
      <c r="K527" t="s">
        <v>142</v>
      </c>
      <c r="L527" t="s">
        <v>143</v>
      </c>
      <c r="M527">
        <v>0.15777777777777777</v>
      </c>
      <c r="N527">
        <v>568</v>
      </c>
      <c r="O527">
        <v>2095.92</v>
      </c>
      <c r="P527">
        <v>3.69</v>
      </c>
      <c r="Q527">
        <v>568</v>
      </c>
    </row>
    <row r="528" spans="1:17" x14ac:dyDescent="0.35">
      <c r="A528" s="46">
        <v>46119</v>
      </c>
      <c r="B528" t="s">
        <v>136</v>
      </c>
      <c r="C528" t="s">
        <v>335</v>
      </c>
      <c r="D528" t="s">
        <v>399</v>
      </c>
      <c r="E528" t="s">
        <v>321</v>
      </c>
      <c r="F528" t="s">
        <v>322</v>
      </c>
      <c r="G528" t="s">
        <v>322</v>
      </c>
      <c r="H528" t="s">
        <v>322</v>
      </c>
      <c r="I528" t="s">
        <v>323</v>
      </c>
      <c r="J528" t="s">
        <v>324</v>
      </c>
      <c r="K528" t="s">
        <v>170</v>
      </c>
      <c r="L528" t="s">
        <v>171</v>
      </c>
      <c r="M528">
        <v>4.1697222222222221</v>
      </c>
      <c r="N528">
        <v>15011</v>
      </c>
      <c r="O528">
        <v>0</v>
      </c>
    </row>
    <row r="529" spans="1:17" x14ac:dyDescent="0.35">
      <c r="A529" s="46">
        <v>46119</v>
      </c>
      <c r="B529" t="s">
        <v>136</v>
      </c>
      <c r="C529" t="s">
        <v>335</v>
      </c>
      <c r="D529" t="s">
        <v>399</v>
      </c>
      <c r="E529" t="s">
        <v>321</v>
      </c>
      <c r="F529" t="s">
        <v>332</v>
      </c>
      <c r="G529" t="s">
        <v>333</v>
      </c>
      <c r="H529" t="s">
        <v>334</v>
      </c>
      <c r="I529" t="s">
        <v>323</v>
      </c>
      <c r="J529" t="s">
        <v>324</v>
      </c>
      <c r="K529" t="s">
        <v>170</v>
      </c>
      <c r="L529" t="s">
        <v>171</v>
      </c>
      <c r="M529">
        <v>10.554166666666667</v>
      </c>
      <c r="N529">
        <v>37995</v>
      </c>
      <c r="O529">
        <v>0</v>
      </c>
    </row>
    <row r="530" spans="1:17" x14ac:dyDescent="0.35">
      <c r="A530" s="46">
        <v>46119</v>
      </c>
      <c r="B530" t="s">
        <v>136</v>
      </c>
      <c r="C530" t="s">
        <v>335</v>
      </c>
      <c r="D530" t="s">
        <v>399</v>
      </c>
      <c r="E530" t="s">
        <v>321</v>
      </c>
      <c r="F530" t="s">
        <v>92</v>
      </c>
      <c r="G530" t="s">
        <v>325</v>
      </c>
      <c r="H530" t="s">
        <v>366</v>
      </c>
      <c r="I530" t="s">
        <v>323</v>
      </c>
      <c r="J530" t="s">
        <v>324</v>
      </c>
      <c r="K530" t="s">
        <v>170</v>
      </c>
      <c r="L530" t="s">
        <v>171</v>
      </c>
      <c r="M530">
        <v>0.24333333333333335</v>
      </c>
      <c r="N530">
        <v>876</v>
      </c>
      <c r="O530">
        <v>0</v>
      </c>
    </row>
    <row r="531" spans="1:17" x14ac:dyDescent="0.35">
      <c r="A531" s="46">
        <v>46119</v>
      </c>
      <c r="B531" t="s">
        <v>136</v>
      </c>
      <c r="C531" t="s">
        <v>335</v>
      </c>
      <c r="D531" t="s">
        <v>399</v>
      </c>
      <c r="E531" t="s">
        <v>321</v>
      </c>
      <c r="F531" t="s">
        <v>328</v>
      </c>
      <c r="G531" t="s">
        <v>329</v>
      </c>
      <c r="H531" t="s">
        <v>327</v>
      </c>
      <c r="I531" t="s">
        <v>323</v>
      </c>
      <c r="J531" t="s">
        <v>324</v>
      </c>
      <c r="K531" t="s">
        <v>170</v>
      </c>
      <c r="L531" t="s">
        <v>171</v>
      </c>
      <c r="M531">
        <v>8.8436111111111106</v>
      </c>
      <c r="N531">
        <v>31837</v>
      </c>
      <c r="O531">
        <v>0</v>
      </c>
    </row>
    <row r="532" spans="1:17" x14ac:dyDescent="0.35">
      <c r="A532" s="46">
        <v>46119</v>
      </c>
      <c r="B532" t="s">
        <v>136</v>
      </c>
      <c r="C532" t="s">
        <v>367</v>
      </c>
      <c r="D532" t="s">
        <v>400</v>
      </c>
      <c r="E532" t="s">
        <v>337</v>
      </c>
      <c r="F532" t="s">
        <v>87</v>
      </c>
      <c r="G532" t="s">
        <v>356</v>
      </c>
      <c r="H532" t="s">
        <v>330</v>
      </c>
      <c r="I532" t="s">
        <v>323</v>
      </c>
      <c r="J532" t="s">
        <v>324</v>
      </c>
      <c r="K532" t="s">
        <v>341</v>
      </c>
      <c r="L532" t="s">
        <v>342</v>
      </c>
      <c r="M532">
        <v>7.3333333333333334E-2</v>
      </c>
      <c r="N532">
        <v>264</v>
      </c>
      <c r="O532">
        <v>0</v>
      </c>
    </row>
    <row r="533" spans="1:17" x14ac:dyDescent="0.35">
      <c r="A533" s="46">
        <v>46119</v>
      </c>
      <c r="B533" t="s">
        <v>136</v>
      </c>
      <c r="C533" t="s">
        <v>367</v>
      </c>
      <c r="D533" t="s">
        <v>400</v>
      </c>
      <c r="E533" t="s">
        <v>337</v>
      </c>
      <c r="F533" t="s">
        <v>87</v>
      </c>
      <c r="G533" t="s">
        <v>356</v>
      </c>
      <c r="H533" t="s">
        <v>361</v>
      </c>
      <c r="I533" t="s">
        <v>323</v>
      </c>
      <c r="J533" t="s">
        <v>324</v>
      </c>
      <c r="K533" t="s">
        <v>341</v>
      </c>
      <c r="L533" t="s">
        <v>342</v>
      </c>
      <c r="M533">
        <v>0.22555555555555556</v>
      </c>
      <c r="N533">
        <v>812</v>
      </c>
      <c r="O533">
        <v>0</v>
      </c>
    </row>
    <row r="534" spans="1:17" x14ac:dyDescent="0.35">
      <c r="A534" s="46">
        <v>46119</v>
      </c>
      <c r="B534" t="s">
        <v>136</v>
      </c>
      <c r="C534" t="s">
        <v>319</v>
      </c>
      <c r="D534" t="s">
        <v>400</v>
      </c>
      <c r="E534" t="s">
        <v>337</v>
      </c>
      <c r="F534" t="s">
        <v>87</v>
      </c>
      <c r="G534" t="s">
        <v>356</v>
      </c>
      <c r="H534" t="s">
        <v>361</v>
      </c>
      <c r="I534" t="s">
        <v>323</v>
      </c>
      <c r="J534" t="s">
        <v>324</v>
      </c>
      <c r="K534" t="s">
        <v>341</v>
      </c>
      <c r="L534" t="s">
        <v>342</v>
      </c>
      <c r="M534">
        <v>7.194444444444445E-2</v>
      </c>
      <c r="N534">
        <v>259</v>
      </c>
      <c r="O534">
        <v>0</v>
      </c>
    </row>
    <row r="535" spans="1:17" x14ac:dyDescent="0.35">
      <c r="A535" s="46">
        <v>46119</v>
      </c>
      <c r="B535" t="s">
        <v>136</v>
      </c>
      <c r="C535" t="s">
        <v>367</v>
      </c>
      <c r="D535" t="s">
        <v>400</v>
      </c>
      <c r="E535" t="s">
        <v>337</v>
      </c>
      <c r="F535" t="s">
        <v>87</v>
      </c>
      <c r="G535" t="s">
        <v>356</v>
      </c>
      <c r="H535" t="s">
        <v>343</v>
      </c>
      <c r="I535" t="s">
        <v>323</v>
      </c>
      <c r="J535" t="s">
        <v>324</v>
      </c>
      <c r="K535" t="s">
        <v>341</v>
      </c>
      <c r="L535" t="s">
        <v>342</v>
      </c>
      <c r="M535">
        <v>0.19388888888888889</v>
      </c>
      <c r="N535">
        <v>698</v>
      </c>
      <c r="O535">
        <v>0</v>
      </c>
    </row>
    <row r="536" spans="1:17" x14ac:dyDescent="0.35">
      <c r="A536" s="46">
        <v>46119</v>
      </c>
      <c r="B536" t="s">
        <v>136</v>
      </c>
      <c r="C536" t="s">
        <v>403</v>
      </c>
      <c r="D536" t="s">
        <v>400</v>
      </c>
      <c r="E536" t="s">
        <v>337</v>
      </c>
      <c r="F536" t="s">
        <v>322</v>
      </c>
      <c r="G536" t="s">
        <v>322</v>
      </c>
      <c r="H536" t="s">
        <v>322</v>
      </c>
      <c r="I536" t="s">
        <v>323</v>
      </c>
      <c r="J536" t="s">
        <v>324</v>
      </c>
      <c r="K536" t="s">
        <v>345</v>
      </c>
      <c r="L536" t="s">
        <v>346</v>
      </c>
      <c r="M536">
        <v>5.2777777777777779E-3</v>
      </c>
      <c r="N536">
        <v>19</v>
      </c>
      <c r="O536">
        <v>43.319999999999993</v>
      </c>
      <c r="P536">
        <v>2.2799999999999998</v>
      </c>
      <c r="Q536">
        <v>19</v>
      </c>
    </row>
    <row r="537" spans="1:17" x14ac:dyDescent="0.35">
      <c r="A537" s="46">
        <v>46119</v>
      </c>
      <c r="B537" t="s">
        <v>136</v>
      </c>
      <c r="C537" t="s">
        <v>367</v>
      </c>
      <c r="D537" t="s">
        <v>400</v>
      </c>
      <c r="E537" t="s">
        <v>337</v>
      </c>
      <c r="F537" t="s">
        <v>87</v>
      </c>
      <c r="G537" t="s">
        <v>340</v>
      </c>
      <c r="H537" t="s">
        <v>327</v>
      </c>
      <c r="I537" t="s">
        <v>323</v>
      </c>
      <c r="J537" t="s">
        <v>324</v>
      </c>
      <c r="K537" t="s">
        <v>345</v>
      </c>
      <c r="L537" t="s">
        <v>346</v>
      </c>
      <c r="M537">
        <v>1.0277777777777778E-2</v>
      </c>
      <c r="N537">
        <v>37</v>
      </c>
      <c r="O537">
        <v>100.66</v>
      </c>
      <c r="P537">
        <v>2.7205405405405405</v>
      </c>
      <c r="Q537">
        <v>37</v>
      </c>
    </row>
    <row r="538" spans="1:17" x14ac:dyDescent="0.35">
      <c r="A538" s="46">
        <v>46119</v>
      </c>
      <c r="B538" t="s">
        <v>136</v>
      </c>
      <c r="C538" t="s">
        <v>319</v>
      </c>
      <c r="D538" t="s">
        <v>400</v>
      </c>
      <c r="E538" t="s">
        <v>337</v>
      </c>
      <c r="F538" t="s">
        <v>87</v>
      </c>
      <c r="G538" t="s">
        <v>356</v>
      </c>
      <c r="H538" t="s">
        <v>361</v>
      </c>
      <c r="I538" t="s">
        <v>323</v>
      </c>
      <c r="J538" t="s">
        <v>324</v>
      </c>
      <c r="K538" t="s">
        <v>345</v>
      </c>
      <c r="L538" t="s">
        <v>346</v>
      </c>
      <c r="M538">
        <v>7.8055555555555559E-2</v>
      </c>
      <c r="N538">
        <v>281</v>
      </c>
      <c r="O538">
        <v>946.97</v>
      </c>
      <c r="P538">
        <v>3.37</v>
      </c>
      <c r="Q538">
        <v>281</v>
      </c>
    </row>
    <row r="539" spans="1:17" x14ac:dyDescent="0.35">
      <c r="A539" s="46">
        <v>46119</v>
      </c>
      <c r="B539" t="s">
        <v>136</v>
      </c>
      <c r="C539" t="s">
        <v>319</v>
      </c>
      <c r="D539" t="s">
        <v>400</v>
      </c>
      <c r="E539" t="s">
        <v>337</v>
      </c>
      <c r="F539" t="s">
        <v>87</v>
      </c>
      <c r="G539" t="s">
        <v>356</v>
      </c>
      <c r="H539" t="s">
        <v>343</v>
      </c>
      <c r="I539" t="s">
        <v>323</v>
      </c>
      <c r="J539" t="s">
        <v>324</v>
      </c>
      <c r="K539" t="s">
        <v>345</v>
      </c>
      <c r="L539" t="s">
        <v>346</v>
      </c>
      <c r="M539">
        <v>0.13444444444444445</v>
      </c>
      <c r="N539">
        <v>484</v>
      </c>
      <c r="O539">
        <v>2207.04</v>
      </c>
      <c r="P539">
        <v>4.5599999999999996</v>
      </c>
      <c r="Q539">
        <v>484</v>
      </c>
    </row>
    <row r="540" spans="1:17" x14ac:dyDescent="0.35">
      <c r="A540" s="46">
        <v>46119</v>
      </c>
      <c r="B540" t="s">
        <v>136</v>
      </c>
      <c r="C540" t="s">
        <v>403</v>
      </c>
      <c r="D540" t="s">
        <v>400</v>
      </c>
      <c r="E540" t="s">
        <v>337</v>
      </c>
      <c r="F540" t="s">
        <v>87</v>
      </c>
      <c r="G540" t="s">
        <v>356</v>
      </c>
      <c r="H540" t="s">
        <v>361</v>
      </c>
      <c r="I540" t="s">
        <v>323</v>
      </c>
      <c r="J540" t="s">
        <v>324</v>
      </c>
      <c r="K540" t="s">
        <v>345</v>
      </c>
      <c r="L540" t="s">
        <v>346</v>
      </c>
      <c r="M540">
        <v>0.48638888888888887</v>
      </c>
      <c r="N540">
        <v>1751</v>
      </c>
      <c r="O540">
        <v>7355.99</v>
      </c>
      <c r="P540">
        <v>4.2010222729868643</v>
      </c>
      <c r="Q540">
        <v>1751</v>
      </c>
    </row>
    <row r="541" spans="1:17" x14ac:dyDescent="0.35">
      <c r="A541" s="46">
        <v>46119</v>
      </c>
      <c r="B541" t="s">
        <v>136</v>
      </c>
      <c r="C541" t="s">
        <v>367</v>
      </c>
      <c r="D541" t="s">
        <v>400</v>
      </c>
      <c r="E541" t="s">
        <v>337</v>
      </c>
      <c r="F541" t="s">
        <v>87</v>
      </c>
      <c r="G541" t="s">
        <v>356</v>
      </c>
      <c r="H541" t="s">
        <v>330</v>
      </c>
      <c r="I541" t="s">
        <v>323</v>
      </c>
      <c r="J541" t="s">
        <v>324</v>
      </c>
      <c r="K541" t="s">
        <v>345</v>
      </c>
      <c r="L541" t="s">
        <v>346</v>
      </c>
      <c r="M541">
        <v>0.80555555555555558</v>
      </c>
      <c r="N541">
        <v>2900</v>
      </c>
      <c r="O541">
        <v>9278.64</v>
      </c>
      <c r="P541">
        <v>3.1995310344827583</v>
      </c>
      <c r="Q541">
        <v>2900</v>
      </c>
    </row>
    <row r="542" spans="1:17" x14ac:dyDescent="0.35">
      <c r="A542" s="46">
        <v>46119</v>
      </c>
      <c r="B542" t="s">
        <v>136</v>
      </c>
      <c r="C542" t="s">
        <v>403</v>
      </c>
      <c r="D542" t="s">
        <v>400</v>
      </c>
      <c r="E542" t="s">
        <v>337</v>
      </c>
      <c r="F542" t="s">
        <v>87</v>
      </c>
      <c r="G542" t="s">
        <v>356</v>
      </c>
      <c r="H542" t="s">
        <v>343</v>
      </c>
      <c r="I542" t="s">
        <v>323</v>
      </c>
      <c r="J542" t="s">
        <v>324</v>
      </c>
      <c r="K542" t="s">
        <v>345</v>
      </c>
      <c r="L542" t="s">
        <v>346</v>
      </c>
      <c r="M542">
        <v>1.1580555555555556</v>
      </c>
      <c r="N542">
        <v>4169</v>
      </c>
      <c r="O542">
        <v>17174.599999999999</v>
      </c>
      <c r="P542">
        <v>4.1195970256656267</v>
      </c>
      <c r="Q542">
        <v>4169</v>
      </c>
    </row>
    <row r="543" spans="1:17" x14ac:dyDescent="0.35">
      <c r="A543" s="46">
        <v>46119</v>
      </c>
      <c r="B543" t="s">
        <v>136</v>
      </c>
      <c r="C543" t="s">
        <v>367</v>
      </c>
      <c r="D543" t="s">
        <v>400</v>
      </c>
      <c r="E543" t="s">
        <v>337</v>
      </c>
      <c r="F543" t="s">
        <v>87</v>
      </c>
      <c r="G543" t="s">
        <v>356</v>
      </c>
      <c r="H543" t="s">
        <v>361</v>
      </c>
      <c r="I543" t="s">
        <v>323</v>
      </c>
      <c r="J543" t="s">
        <v>324</v>
      </c>
      <c r="K543" t="s">
        <v>345</v>
      </c>
      <c r="L543" t="s">
        <v>346</v>
      </c>
      <c r="M543">
        <v>1.6336111111111111</v>
      </c>
      <c r="N543">
        <v>5881</v>
      </c>
      <c r="O543">
        <v>22017.279999999999</v>
      </c>
      <c r="P543">
        <v>3.7437986736949496</v>
      </c>
      <c r="Q543">
        <v>5881</v>
      </c>
    </row>
    <row r="544" spans="1:17" x14ac:dyDescent="0.35">
      <c r="A544" s="46">
        <v>46119</v>
      </c>
      <c r="B544" t="s">
        <v>136</v>
      </c>
      <c r="C544" t="s">
        <v>367</v>
      </c>
      <c r="D544" t="s">
        <v>400</v>
      </c>
      <c r="E544" t="s">
        <v>337</v>
      </c>
      <c r="F544" t="s">
        <v>87</v>
      </c>
      <c r="G544" t="s">
        <v>356</v>
      </c>
      <c r="H544" t="s">
        <v>343</v>
      </c>
      <c r="I544" t="s">
        <v>323</v>
      </c>
      <c r="J544" t="s">
        <v>324</v>
      </c>
      <c r="K544" t="s">
        <v>345</v>
      </c>
      <c r="L544" t="s">
        <v>346</v>
      </c>
      <c r="M544">
        <v>2.451111111111111</v>
      </c>
      <c r="N544">
        <v>8824</v>
      </c>
      <c r="O544">
        <v>34385.56</v>
      </c>
      <c r="P544">
        <v>3.8968223028105164</v>
      </c>
      <c r="Q544">
        <v>8824</v>
      </c>
    </row>
    <row r="545" spans="1:17" x14ac:dyDescent="0.35">
      <c r="A545" s="46">
        <v>46119</v>
      </c>
      <c r="B545" t="s">
        <v>136</v>
      </c>
      <c r="C545" t="s">
        <v>367</v>
      </c>
      <c r="D545" t="s">
        <v>400</v>
      </c>
      <c r="E545" t="s">
        <v>337</v>
      </c>
      <c r="F545" t="s">
        <v>87</v>
      </c>
      <c r="G545" t="s">
        <v>356</v>
      </c>
      <c r="H545" t="s">
        <v>361</v>
      </c>
      <c r="I545" t="s">
        <v>323</v>
      </c>
      <c r="J545" t="s">
        <v>324</v>
      </c>
      <c r="K545" t="s">
        <v>142</v>
      </c>
      <c r="L545" t="s">
        <v>143</v>
      </c>
      <c r="M545">
        <v>2.1388888888888888E-2</v>
      </c>
      <c r="N545">
        <v>77</v>
      </c>
      <c r="O545">
        <v>160.92999999999998</v>
      </c>
      <c r="P545">
        <v>2.09</v>
      </c>
      <c r="Q545">
        <v>77</v>
      </c>
    </row>
    <row r="546" spans="1:17" x14ac:dyDescent="0.35">
      <c r="A546" s="46">
        <v>46119</v>
      </c>
      <c r="B546" t="s">
        <v>136</v>
      </c>
      <c r="C546" t="s">
        <v>319</v>
      </c>
      <c r="D546" t="s">
        <v>400</v>
      </c>
      <c r="E546" t="s">
        <v>337</v>
      </c>
      <c r="F546" t="s">
        <v>87</v>
      </c>
      <c r="G546" t="s">
        <v>356</v>
      </c>
      <c r="H546" t="s">
        <v>361</v>
      </c>
      <c r="I546" t="s">
        <v>323</v>
      </c>
      <c r="J546" t="s">
        <v>324</v>
      </c>
      <c r="K546" t="s">
        <v>142</v>
      </c>
      <c r="L546" t="s">
        <v>143</v>
      </c>
      <c r="M546">
        <v>2.1111111111111112E-2</v>
      </c>
      <c r="N546">
        <v>76</v>
      </c>
      <c r="O546">
        <v>202.92</v>
      </c>
      <c r="P546">
        <v>2.67</v>
      </c>
      <c r="Q546">
        <v>76</v>
      </c>
    </row>
    <row r="547" spans="1:17" x14ac:dyDescent="0.35">
      <c r="A547" s="46">
        <v>46119</v>
      </c>
      <c r="B547" t="s">
        <v>136</v>
      </c>
      <c r="C547" t="s">
        <v>367</v>
      </c>
      <c r="D547" t="s">
        <v>400</v>
      </c>
      <c r="E547" t="s">
        <v>337</v>
      </c>
      <c r="F547" t="s">
        <v>87</v>
      </c>
      <c r="G547" t="s">
        <v>340</v>
      </c>
      <c r="H547" t="s">
        <v>331</v>
      </c>
      <c r="I547" t="s">
        <v>323</v>
      </c>
      <c r="J547" t="s">
        <v>324</v>
      </c>
      <c r="K547" t="s">
        <v>142</v>
      </c>
      <c r="L547" t="s">
        <v>143</v>
      </c>
      <c r="M547">
        <v>2.6388888888888889E-2</v>
      </c>
      <c r="N547">
        <v>95</v>
      </c>
      <c r="O547">
        <v>479.75</v>
      </c>
      <c r="P547">
        <v>5.05</v>
      </c>
      <c r="Q547">
        <v>95</v>
      </c>
    </row>
    <row r="548" spans="1:17" x14ac:dyDescent="0.35">
      <c r="A548" s="46">
        <v>46119</v>
      </c>
      <c r="B548" t="s">
        <v>136</v>
      </c>
      <c r="C548" t="s">
        <v>367</v>
      </c>
      <c r="D548" t="s">
        <v>400</v>
      </c>
      <c r="E548" t="s">
        <v>337</v>
      </c>
      <c r="F548" t="s">
        <v>87</v>
      </c>
      <c r="G548" t="s">
        <v>340</v>
      </c>
      <c r="H548" t="s">
        <v>327</v>
      </c>
      <c r="I548" t="s">
        <v>323</v>
      </c>
      <c r="J548" t="s">
        <v>324</v>
      </c>
      <c r="K548" t="s">
        <v>142</v>
      </c>
      <c r="L548" t="s">
        <v>143</v>
      </c>
      <c r="M548">
        <v>4.1944444444444444E-2</v>
      </c>
      <c r="N548">
        <v>151</v>
      </c>
      <c r="O548">
        <v>522.46</v>
      </c>
      <c r="P548">
        <v>3.4600000000000004</v>
      </c>
      <c r="Q548">
        <v>151</v>
      </c>
    </row>
    <row r="549" spans="1:17" x14ac:dyDescent="0.35">
      <c r="A549" s="46">
        <v>46119</v>
      </c>
      <c r="B549" t="s">
        <v>136</v>
      </c>
      <c r="C549" t="s">
        <v>367</v>
      </c>
      <c r="D549" t="s">
        <v>400</v>
      </c>
      <c r="E549" t="s">
        <v>337</v>
      </c>
      <c r="F549" t="s">
        <v>87</v>
      </c>
      <c r="G549" t="s">
        <v>356</v>
      </c>
      <c r="H549" t="s">
        <v>330</v>
      </c>
      <c r="I549" t="s">
        <v>323</v>
      </c>
      <c r="J549" t="s">
        <v>324</v>
      </c>
      <c r="K549" t="s">
        <v>142</v>
      </c>
      <c r="L549" t="s">
        <v>143</v>
      </c>
      <c r="M549">
        <v>3.5833333333333335E-2</v>
      </c>
      <c r="N549">
        <v>129</v>
      </c>
      <c r="O549">
        <v>719.82</v>
      </c>
      <c r="P549">
        <v>5.58</v>
      </c>
      <c r="Q549">
        <v>129</v>
      </c>
    </row>
    <row r="550" spans="1:17" x14ac:dyDescent="0.35">
      <c r="A550" s="46">
        <v>46119</v>
      </c>
      <c r="B550" t="s">
        <v>136</v>
      </c>
      <c r="C550" t="s">
        <v>319</v>
      </c>
      <c r="D550" t="s">
        <v>400</v>
      </c>
      <c r="E550" t="s">
        <v>337</v>
      </c>
      <c r="F550" t="s">
        <v>87</v>
      </c>
      <c r="G550" t="s">
        <v>340</v>
      </c>
      <c r="H550" t="s">
        <v>343</v>
      </c>
      <c r="I550" t="s">
        <v>323</v>
      </c>
      <c r="J550" t="s">
        <v>324</v>
      </c>
      <c r="K550" t="s">
        <v>142</v>
      </c>
      <c r="L550" t="s">
        <v>143</v>
      </c>
      <c r="M550">
        <v>6.1944444444444448E-2</v>
      </c>
      <c r="N550">
        <v>223</v>
      </c>
      <c r="O550">
        <v>1117.23</v>
      </c>
      <c r="P550">
        <v>5.01</v>
      </c>
      <c r="Q550">
        <v>223</v>
      </c>
    </row>
    <row r="551" spans="1:17" x14ac:dyDescent="0.35">
      <c r="A551" s="46">
        <v>46119</v>
      </c>
      <c r="B551" t="s">
        <v>136</v>
      </c>
      <c r="C551" t="s">
        <v>367</v>
      </c>
      <c r="D551" t="s">
        <v>400</v>
      </c>
      <c r="E551" t="s">
        <v>337</v>
      </c>
      <c r="F551" t="s">
        <v>322</v>
      </c>
      <c r="G551" t="s">
        <v>322</v>
      </c>
      <c r="H551" t="s">
        <v>322</v>
      </c>
      <c r="I551" t="s">
        <v>323</v>
      </c>
      <c r="J551" t="s">
        <v>324</v>
      </c>
      <c r="K551" t="s">
        <v>142</v>
      </c>
      <c r="L551" t="s">
        <v>143</v>
      </c>
      <c r="M551">
        <v>6.9722222222222227E-2</v>
      </c>
      <c r="N551">
        <v>251</v>
      </c>
      <c r="O551">
        <v>1311.2</v>
      </c>
      <c r="P551">
        <v>5.2239043824701197</v>
      </c>
      <c r="Q551">
        <v>251</v>
      </c>
    </row>
    <row r="552" spans="1:17" x14ac:dyDescent="0.35">
      <c r="A552" s="46">
        <v>46119</v>
      </c>
      <c r="B552" t="s">
        <v>136</v>
      </c>
      <c r="C552" t="s">
        <v>367</v>
      </c>
      <c r="D552" t="s">
        <v>400</v>
      </c>
      <c r="E552" t="s">
        <v>337</v>
      </c>
      <c r="F552" t="s">
        <v>87</v>
      </c>
      <c r="G552" t="s">
        <v>356</v>
      </c>
      <c r="H552" t="s">
        <v>343</v>
      </c>
      <c r="I552" t="s">
        <v>323</v>
      </c>
      <c r="J552" t="s">
        <v>324</v>
      </c>
      <c r="K552" t="s">
        <v>142</v>
      </c>
      <c r="L552" t="s">
        <v>143</v>
      </c>
      <c r="M552">
        <v>0.10333333333333333</v>
      </c>
      <c r="N552">
        <v>372</v>
      </c>
      <c r="O552">
        <v>1697.49</v>
      </c>
      <c r="P552">
        <v>4.5754447439353099</v>
      </c>
      <c r="Q552">
        <v>371</v>
      </c>
    </row>
    <row r="553" spans="1:17" x14ac:dyDescent="0.35">
      <c r="A553" s="46">
        <v>46119</v>
      </c>
      <c r="B553" t="s">
        <v>136</v>
      </c>
      <c r="C553" t="s">
        <v>319</v>
      </c>
      <c r="D553" t="s">
        <v>400</v>
      </c>
      <c r="E553" t="s">
        <v>337</v>
      </c>
      <c r="F553" t="s">
        <v>322</v>
      </c>
      <c r="G553" t="s">
        <v>322</v>
      </c>
      <c r="H553" t="s">
        <v>322</v>
      </c>
      <c r="I553" t="s">
        <v>323</v>
      </c>
      <c r="J553" t="s">
        <v>324</v>
      </c>
      <c r="K553" t="s">
        <v>142</v>
      </c>
      <c r="L553" t="s">
        <v>143</v>
      </c>
      <c r="M553">
        <v>0.23527777777777778</v>
      </c>
      <c r="N553">
        <v>847</v>
      </c>
      <c r="O553">
        <v>4120.63</v>
      </c>
      <c r="P553">
        <v>4.8649704840613932</v>
      </c>
      <c r="Q553">
        <v>847</v>
      </c>
    </row>
    <row r="554" spans="1:17" x14ac:dyDescent="0.35">
      <c r="A554" s="46">
        <v>46119</v>
      </c>
      <c r="B554" t="s">
        <v>136</v>
      </c>
      <c r="C554" t="s">
        <v>367</v>
      </c>
      <c r="D554" t="s">
        <v>400</v>
      </c>
      <c r="E554" t="s">
        <v>337</v>
      </c>
      <c r="F554" t="s">
        <v>322</v>
      </c>
      <c r="G554" t="s">
        <v>322</v>
      </c>
      <c r="H554" t="s">
        <v>322</v>
      </c>
      <c r="I554" t="s">
        <v>323</v>
      </c>
      <c r="J554" t="s">
        <v>324</v>
      </c>
      <c r="K554" t="s">
        <v>350</v>
      </c>
      <c r="L554" t="s">
        <v>351</v>
      </c>
      <c r="M554">
        <v>1.5277777777777777E-2</v>
      </c>
      <c r="N554">
        <v>55</v>
      </c>
      <c r="O554">
        <v>175.45</v>
      </c>
      <c r="P554">
        <v>3.19</v>
      </c>
      <c r="Q554">
        <v>55</v>
      </c>
    </row>
    <row r="555" spans="1:17" x14ac:dyDescent="0.35">
      <c r="A555" s="46">
        <v>46119</v>
      </c>
      <c r="B555" t="s">
        <v>136</v>
      </c>
      <c r="C555" t="s">
        <v>319</v>
      </c>
      <c r="D555" t="s">
        <v>400</v>
      </c>
      <c r="E555" t="s">
        <v>337</v>
      </c>
      <c r="F555" t="s">
        <v>87</v>
      </c>
      <c r="G555" t="s">
        <v>356</v>
      </c>
      <c r="H555" t="s">
        <v>361</v>
      </c>
      <c r="I555" t="s">
        <v>323</v>
      </c>
      <c r="J555" t="s">
        <v>324</v>
      </c>
      <c r="K555" t="s">
        <v>350</v>
      </c>
      <c r="L555" t="s">
        <v>351</v>
      </c>
      <c r="M555">
        <v>2.2222222222222223E-2</v>
      </c>
      <c r="N555">
        <v>80</v>
      </c>
      <c r="O555">
        <v>183.2</v>
      </c>
      <c r="P555">
        <v>2.29</v>
      </c>
      <c r="Q555">
        <v>80</v>
      </c>
    </row>
    <row r="556" spans="1:17" x14ac:dyDescent="0.35">
      <c r="A556" s="46">
        <v>46119</v>
      </c>
      <c r="B556" t="s">
        <v>136</v>
      </c>
      <c r="C556" t="s">
        <v>367</v>
      </c>
      <c r="D556" t="s">
        <v>400</v>
      </c>
      <c r="E556" t="s">
        <v>337</v>
      </c>
      <c r="F556" t="s">
        <v>87</v>
      </c>
      <c r="G556" t="s">
        <v>340</v>
      </c>
      <c r="H556" t="s">
        <v>327</v>
      </c>
      <c r="I556" t="s">
        <v>323</v>
      </c>
      <c r="J556" t="s">
        <v>324</v>
      </c>
      <c r="K556" t="s">
        <v>350</v>
      </c>
      <c r="L556" t="s">
        <v>351</v>
      </c>
      <c r="M556">
        <v>2.1388888888888888E-2</v>
      </c>
      <c r="N556">
        <v>77</v>
      </c>
      <c r="O556">
        <v>381.15000000000003</v>
      </c>
      <c r="P556">
        <v>4.95</v>
      </c>
      <c r="Q556">
        <v>77</v>
      </c>
    </row>
    <row r="557" spans="1:17" x14ac:dyDescent="0.35">
      <c r="A557" s="46">
        <v>46119</v>
      </c>
      <c r="B557" t="s">
        <v>136</v>
      </c>
      <c r="C557" t="s">
        <v>367</v>
      </c>
      <c r="D557" t="s">
        <v>400</v>
      </c>
      <c r="E557" t="s">
        <v>337</v>
      </c>
      <c r="F557" t="s">
        <v>87</v>
      </c>
      <c r="G557" t="s">
        <v>356</v>
      </c>
      <c r="H557" t="s">
        <v>330</v>
      </c>
      <c r="I557" t="s">
        <v>323</v>
      </c>
      <c r="J557" t="s">
        <v>324</v>
      </c>
      <c r="K557" t="s">
        <v>350</v>
      </c>
      <c r="L557" t="s">
        <v>351</v>
      </c>
      <c r="M557">
        <v>5.3611111111111109E-2</v>
      </c>
      <c r="N557">
        <v>193</v>
      </c>
      <c r="O557">
        <v>456.62</v>
      </c>
      <c r="P557">
        <v>2.3659067357512953</v>
      </c>
      <c r="Q557">
        <v>193</v>
      </c>
    </row>
    <row r="558" spans="1:17" x14ac:dyDescent="0.35">
      <c r="A558" s="46">
        <v>46119</v>
      </c>
      <c r="B558" t="s">
        <v>136</v>
      </c>
      <c r="C558" t="s">
        <v>319</v>
      </c>
      <c r="D558" t="s">
        <v>400</v>
      </c>
      <c r="E558" t="s">
        <v>337</v>
      </c>
      <c r="F558" t="s">
        <v>87</v>
      </c>
      <c r="G558" t="s">
        <v>356</v>
      </c>
      <c r="H558" t="s">
        <v>343</v>
      </c>
      <c r="I558" t="s">
        <v>323</v>
      </c>
      <c r="J558" t="s">
        <v>324</v>
      </c>
      <c r="K558" t="s">
        <v>350</v>
      </c>
      <c r="L558" t="s">
        <v>351</v>
      </c>
      <c r="M558">
        <v>3.4444444444444444E-2</v>
      </c>
      <c r="N558">
        <v>124</v>
      </c>
      <c r="O558">
        <v>536.91999999999996</v>
      </c>
      <c r="P558">
        <v>4.33</v>
      </c>
      <c r="Q558">
        <v>124</v>
      </c>
    </row>
    <row r="559" spans="1:17" x14ac:dyDescent="0.35">
      <c r="A559" s="46">
        <v>46119</v>
      </c>
      <c r="B559" t="s">
        <v>136</v>
      </c>
      <c r="C559" t="s">
        <v>403</v>
      </c>
      <c r="D559" t="s">
        <v>400</v>
      </c>
      <c r="E559" t="s">
        <v>337</v>
      </c>
      <c r="F559" t="s">
        <v>87</v>
      </c>
      <c r="G559" t="s">
        <v>356</v>
      </c>
      <c r="H559" t="s">
        <v>343</v>
      </c>
      <c r="I559" t="s">
        <v>323</v>
      </c>
      <c r="J559" t="s">
        <v>324</v>
      </c>
      <c r="K559" t="s">
        <v>350</v>
      </c>
      <c r="L559" t="s">
        <v>351</v>
      </c>
      <c r="M559">
        <v>6.9722222222222227E-2</v>
      </c>
      <c r="N559">
        <v>251</v>
      </c>
      <c r="O559">
        <v>971.62</v>
      </c>
      <c r="P559">
        <v>3.9336842105263159</v>
      </c>
      <c r="Q559">
        <v>247</v>
      </c>
    </row>
    <row r="560" spans="1:17" x14ac:dyDescent="0.35">
      <c r="A560" s="46">
        <v>46119</v>
      </c>
      <c r="B560" t="s">
        <v>136</v>
      </c>
      <c r="C560" t="s">
        <v>403</v>
      </c>
      <c r="D560" t="s">
        <v>400</v>
      </c>
      <c r="E560" t="s">
        <v>337</v>
      </c>
      <c r="F560" t="s">
        <v>87</v>
      </c>
      <c r="G560" t="s">
        <v>356</v>
      </c>
      <c r="H560" t="s">
        <v>361</v>
      </c>
      <c r="I560" t="s">
        <v>323</v>
      </c>
      <c r="J560" t="s">
        <v>324</v>
      </c>
      <c r="K560" t="s">
        <v>350</v>
      </c>
      <c r="L560" t="s">
        <v>351</v>
      </c>
      <c r="M560">
        <v>0.11638888888888889</v>
      </c>
      <c r="N560">
        <v>419</v>
      </c>
      <c r="O560">
        <v>1275.51</v>
      </c>
      <c r="P560">
        <v>3.0441766109785204</v>
      </c>
      <c r="Q560">
        <v>419</v>
      </c>
    </row>
    <row r="561" spans="1:17" x14ac:dyDescent="0.35">
      <c r="A561" s="46">
        <v>46119</v>
      </c>
      <c r="B561" t="s">
        <v>136</v>
      </c>
      <c r="C561" t="s">
        <v>367</v>
      </c>
      <c r="D561" t="s">
        <v>400</v>
      </c>
      <c r="E561" t="s">
        <v>337</v>
      </c>
      <c r="F561" t="s">
        <v>87</v>
      </c>
      <c r="G561" t="s">
        <v>356</v>
      </c>
      <c r="H561" t="s">
        <v>361</v>
      </c>
      <c r="I561" t="s">
        <v>323</v>
      </c>
      <c r="J561" t="s">
        <v>324</v>
      </c>
      <c r="K561" t="s">
        <v>350</v>
      </c>
      <c r="L561" t="s">
        <v>351</v>
      </c>
      <c r="M561">
        <v>0.19166666666666668</v>
      </c>
      <c r="N561">
        <v>690</v>
      </c>
      <c r="O561">
        <v>2078.31</v>
      </c>
      <c r="P561">
        <v>3.0120434782608694</v>
      </c>
      <c r="Q561">
        <v>690</v>
      </c>
    </row>
    <row r="562" spans="1:17" x14ac:dyDescent="0.35">
      <c r="A562" s="46">
        <v>46119</v>
      </c>
      <c r="B562" t="s">
        <v>136</v>
      </c>
      <c r="C562" t="s">
        <v>367</v>
      </c>
      <c r="D562" t="s">
        <v>400</v>
      </c>
      <c r="E562" t="s">
        <v>337</v>
      </c>
      <c r="F562" t="s">
        <v>87</v>
      </c>
      <c r="G562" t="s">
        <v>356</v>
      </c>
      <c r="H562" t="s">
        <v>343</v>
      </c>
      <c r="I562" t="s">
        <v>323</v>
      </c>
      <c r="J562" t="s">
        <v>324</v>
      </c>
      <c r="K562" t="s">
        <v>350</v>
      </c>
      <c r="L562" t="s">
        <v>351</v>
      </c>
      <c r="M562">
        <v>0.31666666666666665</v>
      </c>
      <c r="N562">
        <v>1140</v>
      </c>
      <c r="O562">
        <v>2862.48</v>
      </c>
      <c r="P562">
        <v>2.5109473684210526</v>
      </c>
      <c r="Q562">
        <v>1140</v>
      </c>
    </row>
    <row r="563" spans="1:17" x14ac:dyDescent="0.35">
      <c r="A563" s="46">
        <v>46119</v>
      </c>
      <c r="B563" t="s">
        <v>136</v>
      </c>
      <c r="C563" t="s">
        <v>319</v>
      </c>
      <c r="D563" t="s">
        <v>400</v>
      </c>
      <c r="E563" t="s">
        <v>337</v>
      </c>
      <c r="F563" t="s">
        <v>87</v>
      </c>
      <c r="G563" t="s">
        <v>340</v>
      </c>
      <c r="H563" t="s">
        <v>343</v>
      </c>
      <c r="I563" t="s">
        <v>323</v>
      </c>
      <c r="J563" t="s">
        <v>324</v>
      </c>
      <c r="K563" t="s">
        <v>170</v>
      </c>
      <c r="L563" t="s">
        <v>171</v>
      </c>
      <c r="M563">
        <v>4.684166666666667</v>
      </c>
      <c r="N563">
        <v>16863</v>
      </c>
    </row>
    <row r="564" spans="1:17" x14ac:dyDescent="0.35">
      <c r="A564" s="46">
        <v>46119</v>
      </c>
      <c r="B564" t="s">
        <v>136</v>
      </c>
      <c r="C564" t="s">
        <v>319</v>
      </c>
      <c r="D564" t="s">
        <v>400</v>
      </c>
      <c r="E564" t="s">
        <v>337</v>
      </c>
      <c r="F564" t="s">
        <v>322</v>
      </c>
      <c r="G564" t="s">
        <v>322</v>
      </c>
      <c r="H564" t="s">
        <v>322</v>
      </c>
      <c r="I564" t="s">
        <v>323</v>
      </c>
      <c r="J564" t="s">
        <v>324</v>
      </c>
      <c r="K564" t="s">
        <v>170</v>
      </c>
      <c r="L564" t="s">
        <v>171</v>
      </c>
      <c r="M564">
        <v>6.8591666666666669</v>
      </c>
      <c r="N564">
        <v>24693</v>
      </c>
      <c r="O564">
        <v>0</v>
      </c>
    </row>
    <row r="565" spans="1:17" x14ac:dyDescent="0.35">
      <c r="A565" s="46">
        <v>46119</v>
      </c>
      <c r="B565" t="s">
        <v>136</v>
      </c>
      <c r="C565" t="s">
        <v>367</v>
      </c>
      <c r="D565" t="s">
        <v>400</v>
      </c>
      <c r="E565" t="s">
        <v>337</v>
      </c>
      <c r="F565" t="s">
        <v>87</v>
      </c>
      <c r="G565" t="s">
        <v>356</v>
      </c>
      <c r="H565" t="s">
        <v>330</v>
      </c>
      <c r="I565" t="s">
        <v>323</v>
      </c>
      <c r="J565" t="s">
        <v>324</v>
      </c>
      <c r="K565" t="s">
        <v>170</v>
      </c>
      <c r="L565" t="s">
        <v>171</v>
      </c>
      <c r="M565">
        <v>0.66361111111111115</v>
      </c>
      <c r="N565">
        <v>2389</v>
      </c>
      <c r="O565">
        <v>0</v>
      </c>
    </row>
    <row r="566" spans="1:17" x14ac:dyDescent="0.35">
      <c r="A566" s="46">
        <v>46119</v>
      </c>
      <c r="B566" t="s">
        <v>136</v>
      </c>
      <c r="C566" t="s">
        <v>319</v>
      </c>
      <c r="D566" t="s">
        <v>400</v>
      </c>
      <c r="E566" t="s">
        <v>337</v>
      </c>
      <c r="F566" t="s">
        <v>87</v>
      </c>
      <c r="G566" t="s">
        <v>340</v>
      </c>
      <c r="H566" t="s">
        <v>330</v>
      </c>
      <c r="I566" t="s">
        <v>323</v>
      </c>
      <c r="J566" t="s">
        <v>324</v>
      </c>
      <c r="K566" t="s">
        <v>170</v>
      </c>
      <c r="L566" t="s">
        <v>171</v>
      </c>
      <c r="M566">
        <v>0.75527777777777783</v>
      </c>
      <c r="N566">
        <v>2719</v>
      </c>
      <c r="O566">
        <v>0</v>
      </c>
    </row>
    <row r="567" spans="1:17" x14ac:dyDescent="0.35">
      <c r="A567" s="46">
        <v>46119</v>
      </c>
      <c r="B567" t="s">
        <v>136</v>
      </c>
      <c r="C567" t="s">
        <v>403</v>
      </c>
      <c r="D567" t="s">
        <v>400</v>
      </c>
      <c r="E567" t="s">
        <v>337</v>
      </c>
      <c r="F567" t="s">
        <v>87</v>
      </c>
      <c r="G567" t="s">
        <v>340</v>
      </c>
      <c r="H567" t="s">
        <v>331</v>
      </c>
      <c r="I567" t="s">
        <v>323</v>
      </c>
      <c r="J567" t="s">
        <v>324</v>
      </c>
      <c r="K567" t="s">
        <v>170</v>
      </c>
      <c r="L567" t="s">
        <v>171</v>
      </c>
      <c r="M567">
        <v>0.8716666666666667</v>
      </c>
      <c r="N567">
        <v>3138</v>
      </c>
      <c r="O567">
        <v>0</v>
      </c>
    </row>
    <row r="568" spans="1:17" x14ac:dyDescent="0.35">
      <c r="A568" s="46">
        <v>46119</v>
      </c>
      <c r="B568" t="s">
        <v>136</v>
      </c>
      <c r="C568" t="s">
        <v>367</v>
      </c>
      <c r="D568" t="s">
        <v>400</v>
      </c>
      <c r="E568" t="s">
        <v>337</v>
      </c>
      <c r="F568" t="s">
        <v>87</v>
      </c>
      <c r="G568" t="s">
        <v>340</v>
      </c>
      <c r="H568" t="s">
        <v>331</v>
      </c>
      <c r="I568" t="s">
        <v>323</v>
      </c>
      <c r="J568" t="s">
        <v>324</v>
      </c>
      <c r="K568" t="s">
        <v>170</v>
      </c>
      <c r="L568" t="s">
        <v>171</v>
      </c>
      <c r="M568">
        <v>3.3333333333333333E-2</v>
      </c>
      <c r="N568">
        <v>120</v>
      </c>
      <c r="O568">
        <v>0</v>
      </c>
    </row>
    <row r="569" spans="1:17" x14ac:dyDescent="0.35">
      <c r="A569" s="46">
        <v>46119</v>
      </c>
      <c r="B569" t="s">
        <v>136</v>
      </c>
      <c r="C569" t="s">
        <v>335</v>
      </c>
      <c r="D569" t="s">
        <v>400</v>
      </c>
      <c r="E569" t="s">
        <v>337</v>
      </c>
      <c r="F569" t="s">
        <v>87</v>
      </c>
      <c r="G569" t="s">
        <v>340</v>
      </c>
      <c r="H569" t="s">
        <v>331</v>
      </c>
      <c r="I569" t="s">
        <v>323</v>
      </c>
      <c r="J569" t="s">
        <v>324</v>
      </c>
      <c r="K569" t="s">
        <v>170</v>
      </c>
      <c r="L569" t="s">
        <v>171</v>
      </c>
      <c r="M569">
        <v>0.26111111111111113</v>
      </c>
      <c r="N569">
        <v>940</v>
      </c>
      <c r="O569">
        <v>0</v>
      </c>
    </row>
    <row r="570" spans="1:17" x14ac:dyDescent="0.35">
      <c r="A570" s="46">
        <v>46119</v>
      </c>
      <c r="B570" t="s">
        <v>136</v>
      </c>
      <c r="C570" t="s">
        <v>367</v>
      </c>
      <c r="D570" t="s">
        <v>400</v>
      </c>
      <c r="E570" t="s">
        <v>337</v>
      </c>
      <c r="F570" t="s">
        <v>87</v>
      </c>
      <c r="G570" t="s">
        <v>356</v>
      </c>
      <c r="H570" t="s">
        <v>361</v>
      </c>
      <c r="I570" t="s">
        <v>323</v>
      </c>
      <c r="J570" t="s">
        <v>324</v>
      </c>
      <c r="K570" t="s">
        <v>170</v>
      </c>
      <c r="L570" t="s">
        <v>171</v>
      </c>
      <c r="M570">
        <v>0.26222222222222225</v>
      </c>
      <c r="N570">
        <v>944</v>
      </c>
      <c r="O570">
        <v>0</v>
      </c>
    </row>
    <row r="571" spans="1:17" x14ac:dyDescent="0.35">
      <c r="A571" s="46">
        <v>46119</v>
      </c>
      <c r="B571" t="s">
        <v>136</v>
      </c>
      <c r="C571" t="s">
        <v>403</v>
      </c>
      <c r="D571" t="s">
        <v>400</v>
      </c>
      <c r="E571" t="s">
        <v>337</v>
      </c>
      <c r="F571" t="s">
        <v>87</v>
      </c>
      <c r="G571" t="s">
        <v>356</v>
      </c>
      <c r="H571" t="s">
        <v>343</v>
      </c>
      <c r="I571" t="s">
        <v>323</v>
      </c>
      <c r="J571" t="s">
        <v>324</v>
      </c>
      <c r="K571" t="s">
        <v>170</v>
      </c>
      <c r="L571" t="s">
        <v>171</v>
      </c>
      <c r="M571">
        <v>0.26500000000000001</v>
      </c>
      <c r="N571">
        <v>954</v>
      </c>
      <c r="O571">
        <v>0</v>
      </c>
    </row>
    <row r="572" spans="1:17" x14ac:dyDescent="0.35">
      <c r="A572" s="46">
        <v>46119</v>
      </c>
      <c r="B572" t="s">
        <v>136</v>
      </c>
      <c r="C572" t="s">
        <v>367</v>
      </c>
      <c r="D572" t="s">
        <v>400</v>
      </c>
      <c r="E572" t="s">
        <v>337</v>
      </c>
      <c r="F572" t="s">
        <v>87</v>
      </c>
      <c r="G572" t="s">
        <v>356</v>
      </c>
      <c r="H572" t="s">
        <v>343</v>
      </c>
      <c r="I572" t="s">
        <v>323</v>
      </c>
      <c r="J572" t="s">
        <v>324</v>
      </c>
      <c r="K572" t="s">
        <v>170</v>
      </c>
      <c r="L572" t="s">
        <v>171</v>
      </c>
      <c r="M572">
        <v>7.166666666666667E-2</v>
      </c>
      <c r="N572">
        <v>258</v>
      </c>
      <c r="O572">
        <v>0</v>
      </c>
    </row>
    <row r="573" spans="1:17" x14ac:dyDescent="0.35">
      <c r="A573" s="46">
        <v>46119</v>
      </c>
      <c r="B573" t="s">
        <v>136</v>
      </c>
      <c r="C573" t="s">
        <v>367</v>
      </c>
      <c r="D573" t="s">
        <v>400</v>
      </c>
      <c r="E573" t="s">
        <v>337</v>
      </c>
      <c r="F573" t="s">
        <v>87</v>
      </c>
      <c r="G573" t="s">
        <v>356</v>
      </c>
      <c r="H573" t="s">
        <v>343</v>
      </c>
      <c r="I573" t="s">
        <v>323</v>
      </c>
      <c r="J573" t="s">
        <v>324</v>
      </c>
      <c r="K573" t="s">
        <v>178</v>
      </c>
      <c r="L573" t="s">
        <v>179</v>
      </c>
      <c r="M573">
        <v>3.3333333333333335E-3</v>
      </c>
      <c r="N573">
        <v>12</v>
      </c>
      <c r="O573">
        <v>0</v>
      </c>
    </row>
    <row r="574" spans="1:17" x14ac:dyDescent="0.35">
      <c r="A574" s="46">
        <v>46119</v>
      </c>
      <c r="B574" t="s">
        <v>136</v>
      </c>
      <c r="C574" t="s">
        <v>367</v>
      </c>
      <c r="D574" t="s">
        <v>400</v>
      </c>
      <c r="E574" t="s">
        <v>337</v>
      </c>
      <c r="F574" t="s">
        <v>322</v>
      </c>
      <c r="G574" t="s">
        <v>322</v>
      </c>
      <c r="H574" t="s">
        <v>322</v>
      </c>
      <c r="I574" t="s">
        <v>323</v>
      </c>
      <c r="J574" t="s">
        <v>324</v>
      </c>
      <c r="K574" t="s">
        <v>404</v>
      </c>
      <c r="L574" t="s">
        <v>405</v>
      </c>
      <c r="M574">
        <v>0.11527777777777778</v>
      </c>
      <c r="N574">
        <v>415</v>
      </c>
      <c r="O574">
        <v>0</v>
      </c>
    </row>
    <row r="575" spans="1:17" x14ac:dyDescent="0.35">
      <c r="A575" s="46">
        <v>46119</v>
      </c>
      <c r="B575" t="s">
        <v>136</v>
      </c>
      <c r="C575" t="s">
        <v>367</v>
      </c>
      <c r="D575" t="s">
        <v>400</v>
      </c>
      <c r="E575" t="s">
        <v>337</v>
      </c>
      <c r="F575" t="s">
        <v>87</v>
      </c>
      <c r="G575" t="s">
        <v>356</v>
      </c>
      <c r="H575" t="s">
        <v>343</v>
      </c>
      <c r="I575" t="s">
        <v>323</v>
      </c>
      <c r="J575" t="s">
        <v>324</v>
      </c>
      <c r="K575" t="s">
        <v>404</v>
      </c>
      <c r="L575" t="s">
        <v>405</v>
      </c>
      <c r="M575">
        <v>0.36833333333333335</v>
      </c>
      <c r="N575">
        <v>1326</v>
      </c>
      <c r="O575">
        <v>0</v>
      </c>
    </row>
    <row r="576" spans="1:17" x14ac:dyDescent="0.35">
      <c r="A576" s="46">
        <v>46119</v>
      </c>
      <c r="B576" t="s">
        <v>136</v>
      </c>
      <c r="C576" t="s">
        <v>407</v>
      </c>
      <c r="D576" t="s">
        <v>406</v>
      </c>
      <c r="E576" t="s">
        <v>337</v>
      </c>
      <c r="F576" t="s">
        <v>87</v>
      </c>
      <c r="G576" t="s">
        <v>356</v>
      </c>
      <c r="H576" t="s">
        <v>343</v>
      </c>
      <c r="I576" t="s">
        <v>323</v>
      </c>
      <c r="J576" t="s">
        <v>324</v>
      </c>
      <c r="K576" t="s">
        <v>341</v>
      </c>
      <c r="L576" t="s">
        <v>342</v>
      </c>
      <c r="M576">
        <v>0.24083333333333334</v>
      </c>
      <c r="N576">
        <v>867</v>
      </c>
      <c r="O576">
        <v>0</v>
      </c>
    </row>
    <row r="577" spans="1:17" x14ac:dyDescent="0.35">
      <c r="A577" s="46">
        <v>46119</v>
      </c>
      <c r="B577" t="s">
        <v>136</v>
      </c>
      <c r="C577" t="s">
        <v>408</v>
      </c>
      <c r="D577" t="s">
        <v>406</v>
      </c>
      <c r="E577" t="s">
        <v>337</v>
      </c>
      <c r="F577" t="s">
        <v>87</v>
      </c>
      <c r="G577" t="s">
        <v>356</v>
      </c>
      <c r="H577" t="s">
        <v>343</v>
      </c>
      <c r="I577" t="s">
        <v>323</v>
      </c>
      <c r="J577" t="s">
        <v>324</v>
      </c>
      <c r="K577" t="s">
        <v>341</v>
      </c>
      <c r="L577" t="s">
        <v>342</v>
      </c>
      <c r="M577">
        <v>0.15027777777777779</v>
      </c>
      <c r="N577">
        <v>541</v>
      </c>
      <c r="O577">
        <v>0</v>
      </c>
    </row>
    <row r="578" spans="1:17" x14ac:dyDescent="0.35">
      <c r="A578" s="46">
        <v>46119</v>
      </c>
      <c r="B578" t="s">
        <v>136</v>
      </c>
      <c r="C578" t="s">
        <v>402</v>
      </c>
      <c r="D578" t="s">
        <v>406</v>
      </c>
      <c r="E578" t="s">
        <v>337</v>
      </c>
      <c r="F578" t="s">
        <v>87</v>
      </c>
      <c r="G578" t="s">
        <v>340</v>
      </c>
      <c r="H578" t="s">
        <v>331</v>
      </c>
      <c r="I578" t="s">
        <v>323</v>
      </c>
      <c r="J578" t="s">
        <v>324</v>
      </c>
      <c r="K578" t="s">
        <v>188</v>
      </c>
      <c r="L578" t="s">
        <v>189</v>
      </c>
      <c r="M578">
        <v>9.1666666666666667E-3</v>
      </c>
      <c r="N578">
        <v>33</v>
      </c>
      <c r="O578">
        <v>0</v>
      </c>
    </row>
    <row r="579" spans="1:17" x14ac:dyDescent="0.35">
      <c r="A579" s="46">
        <v>46119</v>
      </c>
      <c r="B579" t="s">
        <v>136</v>
      </c>
      <c r="C579" t="s">
        <v>347</v>
      </c>
      <c r="D579" t="s">
        <v>406</v>
      </c>
      <c r="E579" t="s">
        <v>337</v>
      </c>
      <c r="F579" t="s">
        <v>87</v>
      </c>
      <c r="G579" t="s">
        <v>340</v>
      </c>
      <c r="H579" t="s">
        <v>331</v>
      </c>
      <c r="I579" t="s">
        <v>323</v>
      </c>
      <c r="J579" t="s">
        <v>324</v>
      </c>
      <c r="K579" t="s">
        <v>188</v>
      </c>
      <c r="L579" t="s">
        <v>189</v>
      </c>
      <c r="M579">
        <v>1.4166666666666666E-2</v>
      </c>
      <c r="N579">
        <v>51</v>
      </c>
      <c r="O579">
        <v>0</v>
      </c>
    </row>
    <row r="580" spans="1:17" x14ac:dyDescent="0.35">
      <c r="A580" s="46">
        <v>46119</v>
      </c>
      <c r="B580" t="s">
        <v>136</v>
      </c>
      <c r="C580" t="s">
        <v>407</v>
      </c>
      <c r="D580" t="s">
        <v>406</v>
      </c>
      <c r="E580" t="s">
        <v>337</v>
      </c>
      <c r="F580" t="s">
        <v>322</v>
      </c>
      <c r="G580" t="s">
        <v>322</v>
      </c>
      <c r="H580" t="s">
        <v>322</v>
      </c>
      <c r="I580" t="s">
        <v>323</v>
      </c>
      <c r="J580" t="s">
        <v>324</v>
      </c>
      <c r="K580" t="s">
        <v>345</v>
      </c>
      <c r="L580" t="s">
        <v>346</v>
      </c>
      <c r="M580">
        <v>2.7777777777777778E-4</v>
      </c>
      <c r="N580">
        <v>1</v>
      </c>
      <c r="O580">
        <v>0</v>
      </c>
    </row>
    <row r="581" spans="1:17" x14ac:dyDescent="0.35">
      <c r="A581" s="46">
        <v>46119</v>
      </c>
      <c r="B581" t="s">
        <v>136</v>
      </c>
      <c r="C581" t="s">
        <v>408</v>
      </c>
      <c r="D581" t="s">
        <v>406</v>
      </c>
      <c r="E581" t="s">
        <v>337</v>
      </c>
      <c r="F581" t="s">
        <v>322</v>
      </c>
      <c r="G581" t="s">
        <v>322</v>
      </c>
      <c r="H581" t="s">
        <v>322</v>
      </c>
      <c r="I581" t="s">
        <v>323</v>
      </c>
      <c r="J581" t="s">
        <v>324</v>
      </c>
      <c r="K581" t="s">
        <v>345</v>
      </c>
      <c r="L581" t="s">
        <v>346</v>
      </c>
      <c r="M581">
        <v>2.2222222222222222E-3</v>
      </c>
      <c r="N581">
        <v>8</v>
      </c>
      <c r="O581">
        <v>20.8</v>
      </c>
      <c r="P581">
        <v>2.6</v>
      </c>
      <c r="Q581">
        <v>8</v>
      </c>
    </row>
    <row r="582" spans="1:17" x14ac:dyDescent="0.35">
      <c r="A582" s="46">
        <v>46119</v>
      </c>
      <c r="B582" t="s">
        <v>136</v>
      </c>
      <c r="C582" t="s">
        <v>408</v>
      </c>
      <c r="D582" t="s">
        <v>406</v>
      </c>
      <c r="E582" t="s">
        <v>337</v>
      </c>
      <c r="F582" t="s">
        <v>87</v>
      </c>
      <c r="G582" t="s">
        <v>356</v>
      </c>
      <c r="H582" t="s">
        <v>361</v>
      </c>
      <c r="I582" t="s">
        <v>323</v>
      </c>
      <c r="J582" t="s">
        <v>324</v>
      </c>
      <c r="K582" t="s">
        <v>345</v>
      </c>
      <c r="L582" t="s">
        <v>346</v>
      </c>
      <c r="M582">
        <v>2.7777777777777779E-3</v>
      </c>
      <c r="N582">
        <v>10</v>
      </c>
      <c r="O582">
        <v>30.8</v>
      </c>
      <c r="P582">
        <v>3.08</v>
      </c>
      <c r="Q582">
        <v>10</v>
      </c>
    </row>
    <row r="583" spans="1:17" x14ac:dyDescent="0.35">
      <c r="A583" s="46">
        <v>46119</v>
      </c>
      <c r="B583" t="s">
        <v>136</v>
      </c>
      <c r="C583" t="s">
        <v>402</v>
      </c>
      <c r="D583" t="s">
        <v>406</v>
      </c>
      <c r="E583" t="s">
        <v>337</v>
      </c>
      <c r="F583" t="s">
        <v>87</v>
      </c>
      <c r="G583" t="s">
        <v>356</v>
      </c>
      <c r="H583" t="s">
        <v>361</v>
      </c>
      <c r="I583" t="s">
        <v>323</v>
      </c>
      <c r="J583" t="s">
        <v>324</v>
      </c>
      <c r="K583" t="s">
        <v>345</v>
      </c>
      <c r="L583" t="s">
        <v>346</v>
      </c>
      <c r="M583">
        <v>1.1388888888888889E-2</v>
      </c>
      <c r="N583">
        <v>41</v>
      </c>
      <c r="O583">
        <v>93.47999999999999</v>
      </c>
      <c r="P583">
        <v>2.2799999999999998</v>
      </c>
      <c r="Q583">
        <v>41</v>
      </c>
    </row>
    <row r="584" spans="1:17" x14ac:dyDescent="0.35">
      <c r="A584" s="46">
        <v>46119</v>
      </c>
      <c r="B584" t="s">
        <v>136</v>
      </c>
      <c r="C584" t="s">
        <v>402</v>
      </c>
      <c r="D584" t="s">
        <v>406</v>
      </c>
      <c r="E584" t="s">
        <v>337</v>
      </c>
      <c r="F584" t="s">
        <v>87</v>
      </c>
      <c r="G584" t="s">
        <v>356</v>
      </c>
      <c r="H584" t="s">
        <v>343</v>
      </c>
      <c r="I584" t="s">
        <v>323</v>
      </c>
      <c r="J584" t="s">
        <v>324</v>
      </c>
      <c r="K584" t="s">
        <v>345</v>
      </c>
      <c r="L584" t="s">
        <v>346</v>
      </c>
      <c r="M584">
        <v>1.5127777777777778</v>
      </c>
      <c r="N584">
        <v>5446</v>
      </c>
      <c r="O584">
        <v>13648.29</v>
      </c>
      <c r="P584">
        <v>2.5061127432978334</v>
      </c>
      <c r="Q584">
        <v>5446</v>
      </c>
    </row>
    <row r="585" spans="1:17" x14ac:dyDescent="0.35">
      <c r="A585" s="46">
        <v>46119</v>
      </c>
      <c r="B585" t="s">
        <v>136</v>
      </c>
      <c r="C585" t="s">
        <v>408</v>
      </c>
      <c r="D585" t="s">
        <v>406</v>
      </c>
      <c r="E585" t="s">
        <v>337</v>
      </c>
      <c r="F585" t="s">
        <v>87</v>
      </c>
      <c r="G585" t="s">
        <v>356</v>
      </c>
      <c r="H585" t="s">
        <v>343</v>
      </c>
      <c r="I585" t="s">
        <v>323</v>
      </c>
      <c r="J585" t="s">
        <v>324</v>
      </c>
      <c r="K585" t="s">
        <v>345</v>
      </c>
      <c r="L585" t="s">
        <v>346</v>
      </c>
      <c r="M585">
        <v>1.2308333333333332</v>
      </c>
      <c r="N585">
        <v>4431</v>
      </c>
      <c r="O585">
        <v>19702.47</v>
      </c>
      <c r="P585">
        <v>4.4465064319566689</v>
      </c>
      <c r="Q585">
        <v>4431</v>
      </c>
    </row>
    <row r="586" spans="1:17" x14ac:dyDescent="0.35">
      <c r="A586" s="46">
        <v>46119</v>
      </c>
      <c r="B586" t="s">
        <v>136</v>
      </c>
      <c r="C586" t="s">
        <v>407</v>
      </c>
      <c r="D586" t="s">
        <v>406</v>
      </c>
      <c r="E586" t="s">
        <v>337</v>
      </c>
      <c r="F586" t="s">
        <v>87</v>
      </c>
      <c r="G586" t="s">
        <v>356</v>
      </c>
      <c r="H586" t="s">
        <v>343</v>
      </c>
      <c r="I586" t="s">
        <v>323</v>
      </c>
      <c r="J586" t="s">
        <v>324</v>
      </c>
      <c r="K586" t="s">
        <v>345</v>
      </c>
      <c r="L586" t="s">
        <v>346</v>
      </c>
      <c r="M586">
        <v>1.3491666666666666</v>
      </c>
      <c r="N586">
        <v>4857</v>
      </c>
      <c r="O586">
        <v>21793.88</v>
      </c>
      <c r="P586">
        <v>4.4871072678608197</v>
      </c>
      <c r="Q586">
        <v>4857</v>
      </c>
    </row>
    <row r="587" spans="1:17" x14ac:dyDescent="0.35">
      <c r="A587" s="46">
        <v>46119</v>
      </c>
      <c r="B587" t="s">
        <v>136</v>
      </c>
      <c r="C587" t="s">
        <v>407</v>
      </c>
      <c r="D587" t="s">
        <v>406</v>
      </c>
      <c r="E587" t="s">
        <v>337</v>
      </c>
      <c r="F587" t="s">
        <v>87</v>
      </c>
      <c r="G587" t="s">
        <v>340</v>
      </c>
      <c r="H587" t="s">
        <v>331</v>
      </c>
      <c r="I587" t="s">
        <v>323</v>
      </c>
      <c r="J587" t="s">
        <v>324</v>
      </c>
      <c r="K587" t="s">
        <v>142</v>
      </c>
      <c r="L587" t="s">
        <v>143</v>
      </c>
      <c r="M587">
        <v>5.5555555555555558E-3</v>
      </c>
      <c r="N587">
        <v>20</v>
      </c>
      <c r="O587">
        <v>97.8</v>
      </c>
      <c r="P587">
        <v>4.8899999999999997</v>
      </c>
      <c r="Q587">
        <v>20</v>
      </c>
    </row>
    <row r="588" spans="1:17" x14ac:dyDescent="0.35">
      <c r="A588" s="46">
        <v>46119</v>
      </c>
      <c r="B588" t="s">
        <v>136</v>
      </c>
      <c r="C588" t="s">
        <v>408</v>
      </c>
      <c r="D588" t="s">
        <v>406</v>
      </c>
      <c r="E588" t="s">
        <v>337</v>
      </c>
      <c r="F588" t="s">
        <v>87</v>
      </c>
      <c r="G588" t="s">
        <v>356</v>
      </c>
      <c r="H588" t="s">
        <v>361</v>
      </c>
      <c r="I588" t="s">
        <v>323</v>
      </c>
      <c r="J588" t="s">
        <v>324</v>
      </c>
      <c r="K588" t="s">
        <v>142</v>
      </c>
      <c r="L588" t="s">
        <v>143</v>
      </c>
      <c r="M588">
        <v>1.4722222222222222E-2</v>
      </c>
      <c r="N588">
        <v>53</v>
      </c>
      <c r="O588">
        <v>123.49000000000001</v>
      </c>
      <c r="P588">
        <v>2.33</v>
      </c>
      <c r="Q588">
        <v>53</v>
      </c>
    </row>
    <row r="589" spans="1:17" x14ac:dyDescent="0.35">
      <c r="A589" s="46">
        <v>46119</v>
      </c>
      <c r="B589" t="s">
        <v>136</v>
      </c>
      <c r="C589" t="s">
        <v>408</v>
      </c>
      <c r="D589" t="s">
        <v>406</v>
      </c>
      <c r="E589" t="s">
        <v>337</v>
      </c>
      <c r="F589" t="s">
        <v>87</v>
      </c>
      <c r="G589" t="s">
        <v>340</v>
      </c>
      <c r="H589" t="s">
        <v>331</v>
      </c>
      <c r="I589" t="s">
        <v>323</v>
      </c>
      <c r="J589" t="s">
        <v>324</v>
      </c>
      <c r="K589" t="s">
        <v>142</v>
      </c>
      <c r="L589" t="s">
        <v>143</v>
      </c>
      <c r="M589">
        <v>0.03</v>
      </c>
      <c r="N589">
        <v>108</v>
      </c>
      <c r="O589">
        <v>517.68000000000006</v>
      </c>
      <c r="P589">
        <v>4.7933333333333339</v>
      </c>
      <c r="Q589">
        <v>108</v>
      </c>
    </row>
    <row r="590" spans="1:17" x14ac:dyDescent="0.35">
      <c r="A590" s="46">
        <v>46119</v>
      </c>
      <c r="B590" t="s">
        <v>136</v>
      </c>
      <c r="C590" t="s">
        <v>402</v>
      </c>
      <c r="D590" t="s">
        <v>406</v>
      </c>
      <c r="E590" t="s">
        <v>337</v>
      </c>
      <c r="F590" t="s">
        <v>322</v>
      </c>
      <c r="G590" t="s">
        <v>322</v>
      </c>
      <c r="H590" t="s">
        <v>322</v>
      </c>
      <c r="I590" t="s">
        <v>323</v>
      </c>
      <c r="J590" t="s">
        <v>324</v>
      </c>
      <c r="K590" t="s">
        <v>142</v>
      </c>
      <c r="L590" t="s">
        <v>143</v>
      </c>
      <c r="M590">
        <v>2.7777777777777776E-2</v>
      </c>
      <c r="N590">
        <v>100</v>
      </c>
      <c r="O590">
        <v>667</v>
      </c>
      <c r="P590">
        <v>6.67</v>
      </c>
      <c r="Q590">
        <v>100</v>
      </c>
    </row>
    <row r="591" spans="1:17" x14ac:dyDescent="0.35">
      <c r="A591" s="46">
        <v>46119</v>
      </c>
      <c r="B591" t="s">
        <v>136</v>
      </c>
      <c r="C591" t="s">
        <v>402</v>
      </c>
      <c r="D591" t="s">
        <v>406</v>
      </c>
      <c r="E591" t="s">
        <v>337</v>
      </c>
      <c r="F591" t="s">
        <v>87</v>
      </c>
      <c r="G591" t="s">
        <v>356</v>
      </c>
      <c r="H591" t="s">
        <v>343</v>
      </c>
      <c r="I591" t="s">
        <v>323</v>
      </c>
      <c r="J591" t="s">
        <v>324</v>
      </c>
      <c r="K591" t="s">
        <v>142</v>
      </c>
      <c r="L591" t="s">
        <v>143</v>
      </c>
      <c r="M591">
        <v>7.9722222222222222E-2</v>
      </c>
      <c r="N591">
        <v>287</v>
      </c>
      <c r="O591">
        <v>1148.1200000000001</v>
      </c>
      <c r="P591">
        <v>4.0004181184668992</v>
      </c>
      <c r="Q591">
        <v>287</v>
      </c>
    </row>
    <row r="592" spans="1:17" x14ac:dyDescent="0.35">
      <c r="A592" s="46">
        <v>46119</v>
      </c>
      <c r="B592" t="s">
        <v>136</v>
      </c>
      <c r="C592" t="s">
        <v>407</v>
      </c>
      <c r="D592" t="s">
        <v>406</v>
      </c>
      <c r="E592" t="s">
        <v>337</v>
      </c>
      <c r="F592" t="s">
        <v>87</v>
      </c>
      <c r="G592" t="s">
        <v>356</v>
      </c>
      <c r="H592" t="s">
        <v>343</v>
      </c>
      <c r="I592" t="s">
        <v>323</v>
      </c>
      <c r="J592" t="s">
        <v>324</v>
      </c>
      <c r="K592" t="s">
        <v>142</v>
      </c>
      <c r="L592" t="s">
        <v>143</v>
      </c>
      <c r="M592">
        <v>0.14777777777777779</v>
      </c>
      <c r="N592">
        <v>532</v>
      </c>
      <c r="O592">
        <v>2621.33</v>
      </c>
      <c r="P592">
        <v>4.9273120300751883</v>
      </c>
      <c r="Q592">
        <v>532</v>
      </c>
    </row>
    <row r="593" spans="1:17" x14ac:dyDescent="0.35">
      <c r="A593" s="46">
        <v>46119</v>
      </c>
      <c r="B593" t="s">
        <v>136</v>
      </c>
      <c r="C593" t="s">
        <v>407</v>
      </c>
      <c r="D593" t="s">
        <v>406</v>
      </c>
      <c r="E593" t="s">
        <v>337</v>
      </c>
      <c r="F593" t="s">
        <v>322</v>
      </c>
      <c r="G593" t="s">
        <v>322</v>
      </c>
      <c r="H593" t="s">
        <v>322</v>
      </c>
      <c r="I593" t="s">
        <v>323</v>
      </c>
      <c r="J593" t="s">
        <v>324</v>
      </c>
      <c r="K593" t="s">
        <v>142</v>
      </c>
      <c r="L593" t="s">
        <v>143</v>
      </c>
      <c r="M593">
        <v>0.20027777777777778</v>
      </c>
      <c r="N593">
        <v>721</v>
      </c>
      <c r="O593">
        <v>4650.45</v>
      </c>
      <c r="P593">
        <v>6.45</v>
      </c>
      <c r="Q593">
        <v>721</v>
      </c>
    </row>
    <row r="594" spans="1:17" x14ac:dyDescent="0.35">
      <c r="A594" s="46">
        <v>46119</v>
      </c>
      <c r="B594" t="s">
        <v>136</v>
      </c>
      <c r="C594" t="s">
        <v>407</v>
      </c>
      <c r="D594" t="s">
        <v>406</v>
      </c>
      <c r="E594" t="s">
        <v>337</v>
      </c>
      <c r="F594" t="s">
        <v>87</v>
      </c>
      <c r="G594" t="s">
        <v>340</v>
      </c>
      <c r="H594" t="s">
        <v>331</v>
      </c>
      <c r="I594" t="s">
        <v>323</v>
      </c>
      <c r="J594" t="s">
        <v>324</v>
      </c>
      <c r="K594" t="s">
        <v>375</v>
      </c>
      <c r="L594" t="s">
        <v>376</v>
      </c>
      <c r="M594">
        <v>9.4444444444444442E-2</v>
      </c>
      <c r="N594">
        <v>340</v>
      </c>
      <c r="O594">
        <v>0</v>
      </c>
    </row>
    <row r="595" spans="1:17" x14ac:dyDescent="0.35">
      <c r="A595" s="46">
        <v>46119</v>
      </c>
      <c r="B595" t="s">
        <v>136</v>
      </c>
      <c r="C595" t="s">
        <v>407</v>
      </c>
      <c r="D595" t="s">
        <v>406</v>
      </c>
      <c r="E595" t="s">
        <v>337</v>
      </c>
      <c r="F595" t="s">
        <v>87</v>
      </c>
      <c r="G595" t="s">
        <v>356</v>
      </c>
      <c r="H595" t="s">
        <v>343</v>
      </c>
      <c r="I595" t="s">
        <v>323</v>
      </c>
      <c r="J595" t="s">
        <v>324</v>
      </c>
      <c r="K595" t="s">
        <v>348</v>
      </c>
      <c r="L595" t="s">
        <v>349</v>
      </c>
      <c r="M595">
        <v>0.12416666666666666</v>
      </c>
      <c r="N595">
        <v>447</v>
      </c>
      <c r="O595">
        <v>0</v>
      </c>
    </row>
    <row r="596" spans="1:17" x14ac:dyDescent="0.35">
      <c r="A596" s="46">
        <v>46119</v>
      </c>
      <c r="B596" t="s">
        <v>136</v>
      </c>
      <c r="C596" t="s">
        <v>407</v>
      </c>
      <c r="D596" t="s">
        <v>406</v>
      </c>
      <c r="E596" t="s">
        <v>337</v>
      </c>
      <c r="F596" t="s">
        <v>87</v>
      </c>
      <c r="G596" t="s">
        <v>340</v>
      </c>
      <c r="H596" t="s">
        <v>331</v>
      </c>
      <c r="I596" t="s">
        <v>323</v>
      </c>
      <c r="J596" t="s">
        <v>324</v>
      </c>
      <c r="K596" t="s">
        <v>202</v>
      </c>
      <c r="L596" t="s">
        <v>203</v>
      </c>
      <c r="M596">
        <v>2.7777777777777778E-4</v>
      </c>
      <c r="N596">
        <v>1</v>
      </c>
      <c r="O596">
        <v>0</v>
      </c>
    </row>
    <row r="597" spans="1:17" x14ac:dyDescent="0.35">
      <c r="A597" s="46">
        <v>46119</v>
      </c>
      <c r="B597" t="s">
        <v>136</v>
      </c>
      <c r="C597" t="s">
        <v>402</v>
      </c>
      <c r="D597" t="s">
        <v>406</v>
      </c>
      <c r="E597" t="s">
        <v>337</v>
      </c>
      <c r="F597" t="s">
        <v>87</v>
      </c>
      <c r="G597" t="s">
        <v>340</v>
      </c>
      <c r="H597" t="s">
        <v>331</v>
      </c>
      <c r="I597" t="s">
        <v>323</v>
      </c>
      <c r="J597" t="s">
        <v>324</v>
      </c>
      <c r="K597" t="s">
        <v>202</v>
      </c>
      <c r="L597" t="s">
        <v>203</v>
      </c>
      <c r="M597">
        <v>1.5175000000000001</v>
      </c>
      <c r="N597">
        <v>5463</v>
      </c>
      <c r="O597">
        <v>0</v>
      </c>
    </row>
    <row r="598" spans="1:17" x14ac:dyDescent="0.35">
      <c r="A598" s="46">
        <v>46119</v>
      </c>
      <c r="B598" t="s">
        <v>136</v>
      </c>
      <c r="C598" t="s">
        <v>347</v>
      </c>
      <c r="D598" t="s">
        <v>406</v>
      </c>
      <c r="E598" t="s">
        <v>337</v>
      </c>
      <c r="F598" t="s">
        <v>87</v>
      </c>
      <c r="G598" t="s">
        <v>340</v>
      </c>
      <c r="H598" t="s">
        <v>331</v>
      </c>
      <c r="I598" t="s">
        <v>323</v>
      </c>
      <c r="J598" t="s">
        <v>324</v>
      </c>
      <c r="K598" t="s">
        <v>202</v>
      </c>
      <c r="L598" t="s">
        <v>203</v>
      </c>
      <c r="M598">
        <v>2.7777777777777779E-3</v>
      </c>
      <c r="N598">
        <v>10</v>
      </c>
      <c r="O598">
        <v>0</v>
      </c>
    </row>
    <row r="599" spans="1:17" x14ac:dyDescent="0.35">
      <c r="A599" s="46">
        <v>46119</v>
      </c>
      <c r="B599" t="s">
        <v>136</v>
      </c>
      <c r="C599" t="s">
        <v>362</v>
      </c>
      <c r="D599" t="s">
        <v>406</v>
      </c>
      <c r="E599" t="s">
        <v>337</v>
      </c>
      <c r="F599" t="s">
        <v>87</v>
      </c>
      <c r="G599" t="s">
        <v>340</v>
      </c>
      <c r="H599" t="s">
        <v>331</v>
      </c>
      <c r="I599" t="s">
        <v>323</v>
      </c>
      <c r="J599" t="s">
        <v>324</v>
      </c>
      <c r="K599" t="s">
        <v>202</v>
      </c>
      <c r="L599" t="s">
        <v>203</v>
      </c>
      <c r="M599">
        <v>0.35194444444444445</v>
      </c>
      <c r="N599">
        <v>1267</v>
      </c>
      <c r="O599">
        <v>177.38000000000002</v>
      </c>
      <c r="P599">
        <v>0.14000000000000001</v>
      </c>
      <c r="Q599">
        <v>1267</v>
      </c>
    </row>
    <row r="600" spans="1:17" x14ac:dyDescent="0.35">
      <c r="A600" s="46">
        <v>46119</v>
      </c>
      <c r="B600" t="s">
        <v>136</v>
      </c>
      <c r="C600" t="s">
        <v>408</v>
      </c>
      <c r="D600" t="s">
        <v>406</v>
      </c>
      <c r="E600" t="s">
        <v>337</v>
      </c>
      <c r="F600" t="s">
        <v>322</v>
      </c>
      <c r="G600" t="s">
        <v>322</v>
      </c>
      <c r="H600" t="s">
        <v>322</v>
      </c>
      <c r="I600" t="s">
        <v>323</v>
      </c>
      <c r="J600" t="s">
        <v>324</v>
      </c>
      <c r="K600" t="s">
        <v>350</v>
      </c>
      <c r="L600" t="s">
        <v>351</v>
      </c>
      <c r="M600">
        <v>3.1944444444444442E-2</v>
      </c>
      <c r="N600">
        <v>115</v>
      </c>
      <c r="O600">
        <v>396.75</v>
      </c>
      <c r="P600">
        <v>3.45</v>
      </c>
      <c r="Q600">
        <v>115</v>
      </c>
    </row>
    <row r="601" spans="1:17" x14ac:dyDescent="0.35">
      <c r="A601" s="46">
        <v>46119</v>
      </c>
      <c r="B601" t="s">
        <v>136</v>
      </c>
      <c r="C601" t="s">
        <v>402</v>
      </c>
      <c r="D601" t="s">
        <v>406</v>
      </c>
      <c r="E601" t="s">
        <v>337</v>
      </c>
      <c r="F601" t="s">
        <v>87</v>
      </c>
      <c r="G601" t="s">
        <v>356</v>
      </c>
      <c r="H601" t="s">
        <v>361</v>
      </c>
      <c r="I601" t="s">
        <v>323</v>
      </c>
      <c r="J601" t="s">
        <v>324</v>
      </c>
      <c r="K601" t="s">
        <v>350</v>
      </c>
      <c r="L601" t="s">
        <v>351</v>
      </c>
      <c r="M601">
        <v>2.75E-2</v>
      </c>
      <c r="N601">
        <v>99</v>
      </c>
      <c r="O601">
        <v>561.33000000000004</v>
      </c>
      <c r="P601">
        <v>5.6700000000000008</v>
      </c>
      <c r="Q601">
        <v>99</v>
      </c>
    </row>
    <row r="602" spans="1:17" x14ac:dyDescent="0.35">
      <c r="A602" s="46">
        <v>46119</v>
      </c>
      <c r="B602" t="s">
        <v>136</v>
      </c>
      <c r="C602" t="s">
        <v>408</v>
      </c>
      <c r="D602" t="s">
        <v>406</v>
      </c>
      <c r="E602" t="s">
        <v>337</v>
      </c>
      <c r="F602" t="s">
        <v>87</v>
      </c>
      <c r="G602" t="s">
        <v>356</v>
      </c>
      <c r="H602" t="s">
        <v>361</v>
      </c>
      <c r="I602" t="s">
        <v>323</v>
      </c>
      <c r="J602" t="s">
        <v>324</v>
      </c>
      <c r="K602" t="s">
        <v>350</v>
      </c>
      <c r="L602" t="s">
        <v>351</v>
      </c>
      <c r="M602">
        <v>7.8611111111111118E-2</v>
      </c>
      <c r="N602">
        <v>283</v>
      </c>
      <c r="O602">
        <v>839.37</v>
      </c>
      <c r="P602">
        <v>2.9659717314487635</v>
      </c>
      <c r="Q602">
        <v>283</v>
      </c>
    </row>
    <row r="603" spans="1:17" x14ac:dyDescent="0.35">
      <c r="A603" s="46">
        <v>46119</v>
      </c>
      <c r="B603" t="s">
        <v>136</v>
      </c>
      <c r="C603" t="s">
        <v>407</v>
      </c>
      <c r="D603" t="s">
        <v>406</v>
      </c>
      <c r="E603" t="s">
        <v>337</v>
      </c>
      <c r="F603" t="s">
        <v>322</v>
      </c>
      <c r="G603" t="s">
        <v>322</v>
      </c>
      <c r="H603" t="s">
        <v>322</v>
      </c>
      <c r="I603" t="s">
        <v>323</v>
      </c>
      <c r="J603" t="s">
        <v>324</v>
      </c>
      <c r="K603" t="s">
        <v>350</v>
      </c>
      <c r="L603" t="s">
        <v>351</v>
      </c>
      <c r="M603">
        <v>7.9722222222222222E-2</v>
      </c>
      <c r="N603">
        <v>287</v>
      </c>
      <c r="O603">
        <v>1173.83</v>
      </c>
      <c r="P603">
        <v>4.09</v>
      </c>
      <c r="Q603">
        <v>287</v>
      </c>
    </row>
    <row r="604" spans="1:17" x14ac:dyDescent="0.35">
      <c r="A604" s="46">
        <v>46119</v>
      </c>
      <c r="B604" t="s">
        <v>136</v>
      </c>
      <c r="C604" t="s">
        <v>402</v>
      </c>
      <c r="D604" t="s">
        <v>406</v>
      </c>
      <c r="E604" t="s">
        <v>337</v>
      </c>
      <c r="F604" t="s">
        <v>87</v>
      </c>
      <c r="G604" t="s">
        <v>356</v>
      </c>
      <c r="H604" t="s">
        <v>343</v>
      </c>
      <c r="I604" t="s">
        <v>323</v>
      </c>
      <c r="J604" t="s">
        <v>324</v>
      </c>
      <c r="K604" t="s">
        <v>350</v>
      </c>
      <c r="L604" t="s">
        <v>351</v>
      </c>
      <c r="M604">
        <v>0.3527777777777778</v>
      </c>
      <c r="N604">
        <v>1270</v>
      </c>
      <c r="O604">
        <v>3267.05</v>
      </c>
      <c r="P604">
        <v>2.5724803149606301</v>
      </c>
      <c r="Q604">
        <v>1270</v>
      </c>
    </row>
    <row r="605" spans="1:17" x14ac:dyDescent="0.35">
      <c r="A605" s="46">
        <v>46119</v>
      </c>
      <c r="B605" t="s">
        <v>136</v>
      </c>
      <c r="C605" t="s">
        <v>408</v>
      </c>
      <c r="D605" t="s">
        <v>406</v>
      </c>
      <c r="E605" t="s">
        <v>337</v>
      </c>
      <c r="F605" t="s">
        <v>87</v>
      </c>
      <c r="G605" t="s">
        <v>356</v>
      </c>
      <c r="H605" t="s">
        <v>343</v>
      </c>
      <c r="I605" t="s">
        <v>323</v>
      </c>
      <c r="J605" t="s">
        <v>324</v>
      </c>
      <c r="K605" t="s">
        <v>350</v>
      </c>
      <c r="L605" t="s">
        <v>351</v>
      </c>
      <c r="M605">
        <v>0.54916666666666669</v>
      </c>
      <c r="N605">
        <v>1977</v>
      </c>
      <c r="O605">
        <v>5454.3799999999992</v>
      </c>
      <c r="P605">
        <v>3.2917199758599875</v>
      </c>
      <c r="Q605">
        <v>1657</v>
      </c>
    </row>
    <row r="606" spans="1:17" x14ac:dyDescent="0.35">
      <c r="A606" s="46">
        <v>46119</v>
      </c>
      <c r="B606" t="s">
        <v>136</v>
      </c>
      <c r="C606" t="s">
        <v>407</v>
      </c>
      <c r="D606" t="s">
        <v>406</v>
      </c>
      <c r="E606" t="s">
        <v>337</v>
      </c>
      <c r="F606" t="s">
        <v>87</v>
      </c>
      <c r="G606" t="s">
        <v>356</v>
      </c>
      <c r="H606" t="s">
        <v>343</v>
      </c>
      <c r="I606" t="s">
        <v>323</v>
      </c>
      <c r="J606" t="s">
        <v>324</v>
      </c>
      <c r="K606" t="s">
        <v>350</v>
      </c>
      <c r="L606" t="s">
        <v>351</v>
      </c>
      <c r="M606">
        <v>0.59666666666666668</v>
      </c>
      <c r="N606">
        <v>2148</v>
      </c>
      <c r="O606">
        <v>6598.97</v>
      </c>
      <c r="P606">
        <v>3.0721461824953447</v>
      </c>
      <c r="Q606">
        <v>2148</v>
      </c>
    </row>
    <row r="607" spans="1:17" x14ac:dyDescent="0.35">
      <c r="A607" s="46">
        <v>46119</v>
      </c>
      <c r="B607" t="s">
        <v>136</v>
      </c>
      <c r="C607" t="s">
        <v>407</v>
      </c>
      <c r="D607" t="s">
        <v>406</v>
      </c>
      <c r="E607" t="s">
        <v>337</v>
      </c>
      <c r="F607" t="s">
        <v>322</v>
      </c>
      <c r="G607" t="s">
        <v>322</v>
      </c>
      <c r="H607" t="s">
        <v>322</v>
      </c>
      <c r="I607" t="s">
        <v>323</v>
      </c>
      <c r="J607" t="s">
        <v>324</v>
      </c>
      <c r="K607" t="s">
        <v>170</v>
      </c>
      <c r="L607" t="s">
        <v>171</v>
      </c>
      <c r="M607">
        <v>2.6505555555555556</v>
      </c>
      <c r="N607">
        <v>9542</v>
      </c>
      <c r="O607">
        <v>0</v>
      </c>
    </row>
    <row r="608" spans="1:17" x14ac:dyDescent="0.35">
      <c r="A608" s="46">
        <v>46119</v>
      </c>
      <c r="B608" t="s">
        <v>136</v>
      </c>
      <c r="C608" t="s">
        <v>408</v>
      </c>
      <c r="D608" t="s">
        <v>406</v>
      </c>
      <c r="E608" t="s">
        <v>337</v>
      </c>
      <c r="F608" t="s">
        <v>322</v>
      </c>
      <c r="G608" t="s">
        <v>322</v>
      </c>
      <c r="H608" t="s">
        <v>322</v>
      </c>
      <c r="I608" t="s">
        <v>323</v>
      </c>
      <c r="J608" t="s">
        <v>324</v>
      </c>
      <c r="K608" t="s">
        <v>170</v>
      </c>
      <c r="L608" t="s">
        <v>171</v>
      </c>
      <c r="M608">
        <v>1.4722222222222222E-2</v>
      </c>
      <c r="N608">
        <v>53</v>
      </c>
      <c r="O608">
        <v>0</v>
      </c>
    </row>
    <row r="609" spans="1:17" x14ac:dyDescent="0.35">
      <c r="A609" s="46">
        <v>46119</v>
      </c>
      <c r="B609" t="s">
        <v>136</v>
      </c>
      <c r="C609" t="s">
        <v>407</v>
      </c>
      <c r="D609" t="s">
        <v>406</v>
      </c>
      <c r="E609" t="s">
        <v>337</v>
      </c>
      <c r="F609" t="s">
        <v>87</v>
      </c>
      <c r="G609" t="s">
        <v>340</v>
      </c>
      <c r="H609" t="s">
        <v>330</v>
      </c>
      <c r="I609" t="s">
        <v>323</v>
      </c>
      <c r="J609" t="s">
        <v>324</v>
      </c>
      <c r="K609" t="s">
        <v>170</v>
      </c>
      <c r="L609" t="s">
        <v>171</v>
      </c>
      <c r="M609">
        <v>9.7344444444444438</v>
      </c>
      <c r="N609">
        <v>35044</v>
      </c>
      <c r="O609">
        <v>0</v>
      </c>
    </row>
    <row r="610" spans="1:17" x14ac:dyDescent="0.35">
      <c r="A610" s="46">
        <v>46119</v>
      </c>
      <c r="B610" t="s">
        <v>136</v>
      </c>
      <c r="C610" t="s">
        <v>402</v>
      </c>
      <c r="D610" t="s">
        <v>406</v>
      </c>
      <c r="E610" t="s">
        <v>337</v>
      </c>
      <c r="F610" t="s">
        <v>87</v>
      </c>
      <c r="G610" t="s">
        <v>356</v>
      </c>
      <c r="H610" t="s">
        <v>361</v>
      </c>
      <c r="I610" t="s">
        <v>323</v>
      </c>
      <c r="J610" t="s">
        <v>324</v>
      </c>
      <c r="K610" t="s">
        <v>170</v>
      </c>
      <c r="L610" t="s">
        <v>171</v>
      </c>
      <c r="M610">
        <v>5.0000000000000001E-3</v>
      </c>
      <c r="N610">
        <v>18</v>
      </c>
      <c r="O610">
        <v>0</v>
      </c>
    </row>
    <row r="611" spans="1:17" x14ac:dyDescent="0.35">
      <c r="A611" s="46">
        <v>46119</v>
      </c>
      <c r="B611" t="s">
        <v>136</v>
      </c>
      <c r="C611" t="s">
        <v>407</v>
      </c>
      <c r="D611" t="s">
        <v>406</v>
      </c>
      <c r="E611" t="s">
        <v>337</v>
      </c>
      <c r="F611" t="s">
        <v>87</v>
      </c>
      <c r="G611" t="s">
        <v>356</v>
      </c>
      <c r="H611" t="s">
        <v>343</v>
      </c>
      <c r="I611" t="s">
        <v>323</v>
      </c>
      <c r="J611" t="s">
        <v>324</v>
      </c>
      <c r="K611" t="s">
        <v>170</v>
      </c>
      <c r="L611" t="s">
        <v>171</v>
      </c>
      <c r="M611">
        <v>0.13166666666666665</v>
      </c>
      <c r="N611">
        <v>474</v>
      </c>
      <c r="O611">
        <v>0</v>
      </c>
    </row>
    <row r="612" spans="1:17" x14ac:dyDescent="0.35">
      <c r="A612" s="46">
        <v>46119</v>
      </c>
      <c r="B612" t="s">
        <v>136</v>
      </c>
      <c r="C612" t="s">
        <v>408</v>
      </c>
      <c r="D612" t="s">
        <v>406</v>
      </c>
      <c r="E612" t="s">
        <v>337</v>
      </c>
      <c r="F612" t="s">
        <v>87</v>
      </c>
      <c r="G612" t="s">
        <v>356</v>
      </c>
      <c r="H612" t="s">
        <v>343</v>
      </c>
      <c r="I612" t="s">
        <v>323</v>
      </c>
      <c r="J612" t="s">
        <v>324</v>
      </c>
      <c r="K612" t="s">
        <v>170</v>
      </c>
      <c r="L612" t="s">
        <v>171</v>
      </c>
      <c r="M612">
        <v>0.70527777777777778</v>
      </c>
      <c r="N612">
        <v>2539</v>
      </c>
      <c r="O612">
        <v>0</v>
      </c>
    </row>
    <row r="613" spans="1:17" x14ac:dyDescent="0.35">
      <c r="A613" s="46">
        <v>46119</v>
      </c>
      <c r="B613" t="s">
        <v>136</v>
      </c>
      <c r="C613" t="s">
        <v>402</v>
      </c>
      <c r="D613" t="s">
        <v>406</v>
      </c>
      <c r="E613" t="s">
        <v>337</v>
      </c>
      <c r="F613" t="s">
        <v>87</v>
      </c>
      <c r="G613" t="s">
        <v>356</v>
      </c>
      <c r="H613" t="s">
        <v>343</v>
      </c>
      <c r="I613" t="s">
        <v>323</v>
      </c>
      <c r="J613" t="s">
        <v>324</v>
      </c>
      <c r="K613" t="s">
        <v>170</v>
      </c>
      <c r="L613" t="s">
        <v>171</v>
      </c>
      <c r="M613">
        <v>1.788888888888889</v>
      </c>
      <c r="N613">
        <v>6440</v>
      </c>
      <c r="O613">
        <v>0</v>
      </c>
    </row>
    <row r="614" spans="1:17" x14ac:dyDescent="0.35">
      <c r="A614" s="46">
        <v>46119</v>
      </c>
      <c r="B614" t="s">
        <v>136</v>
      </c>
      <c r="C614" t="s">
        <v>407</v>
      </c>
      <c r="D614" t="s">
        <v>406</v>
      </c>
      <c r="E614" t="s">
        <v>337</v>
      </c>
      <c r="F614" t="s">
        <v>87</v>
      </c>
      <c r="G614" t="s">
        <v>340</v>
      </c>
      <c r="H614" t="s">
        <v>331</v>
      </c>
      <c r="I614" t="s">
        <v>323</v>
      </c>
      <c r="J614" t="s">
        <v>324</v>
      </c>
      <c r="K614" t="s">
        <v>409</v>
      </c>
      <c r="L614" t="s">
        <v>410</v>
      </c>
      <c r="M614">
        <v>7.7777777777777776E-3</v>
      </c>
      <c r="N614">
        <v>28</v>
      </c>
      <c r="O614">
        <v>0</v>
      </c>
    </row>
    <row r="615" spans="1:17" x14ac:dyDescent="0.35">
      <c r="A615" s="46">
        <v>46119</v>
      </c>
      <c r="B615" t="s">
        <v>136</v>
      </c>
      <c r="C615" t="s">
        <v>408</v>
      </c>
      <c r="D615" t="s">
        <v>406</v>
      </c>
      <c r="E615" t="s">
        <v>337</v>
      </c>
      <c r="F615" t="s">
        <v>322</v>
      </c>
      <c r="G615" t="s">
        <v>322</v>
      </c>
      <c r="H615" t="s">
        <v>322</v>
      </c>
      <c r="I615" t="s">
        <v>323</v>
      </c>
      <c r="J615" t="s">
        <v>324</v>
      </c>
      <c r="K615" t="s">
        <v>178</v>
      </c>
      <c r="L615" t="s">
        <v>179</v>
      </c>
      <c r="M615">
        <v>4.4444444444444444E-3</v>
      </c>
      <c r="N615">
        <v>16</v>
      </c>
      <c r="O615">
        <v>0</v>
      </c>
    </row>
    <row r="616" spans="1:17" x14ac:dyDescent="0.35">
      <c r="A616" s="46">
        <v>46119</v>
      </c>
      <c r="B616" t="s">
        <v>136</v>
      </c>
      <c r="C616" t="s">
        <v>408</v>
      </c>
      <c r="D616" t="s">
        <v>406</v>
      </c>
      <c r="E616" t="s">
        <v>337</v>
      </c>
      <c r="F616" t="s">
        <v>87</v>
      </c>
      <c r="G616" t="s">
        <v>356</v>
      </c>
      <c r="H616" t="s">
        <v>343</v>
      </c>
      <c r="I616" t="s">
        <v>323</v>
      </c>
      <c r="J616" t="s">
        <v>324</v>
      </c>
      <c r="K616" t="s">
        <v>212</v>
      </c>
      <c r="L616" t="s">
        <v>213</v>
      </c>
      <c r="M616">
        <v>2.1666666666666667E-2</v>
      </c>
      <c r="N616">
        <v>78</v>
      </c>
    </row>
    <row r="617" spans="1:17" x14ac:dyDescent="0.35">
      <c r="A617" s="46">
        <v>46119</v>
      </c>
      <c r="B617" t="s">
        <v>136</v>
      </c>
      <c r="C617" t="s">
        <v>407</v>
      </c>
      <c r="D617" t="s">
        <v>406</v>
      </c>
      <c r="E617" t="s">
        <v>337</v>
      </c>
      <c r="F617" t="s">
        <v>87</v>
      </c>
      <c r="G617" t="s">
        <v>356</v>
      </c>
      <c r="H617" t="s">
        <v>343</v>
      </c>
      <c r="I617" t="s">
        <v>323</v>
      </c>
      <c r="J617" t="s">
        <v>324</v>
      </c>
      <c r="K617" t="s">
        <v>182</v>
      </c>
      <c r="L617" t="s">
        <v>183</v>
      </c>
      <c r="M617">
        <v>9.1388888888888895E-2</v>
      </c>
      <c r="N617">
        <v>329</v>
      </c>
      <c r="O617">
        <v>0</v>
      </c>
    </row>
    <row r="618" spans="1:17" x14ac:dyDescent="0.35">
      <c r="A618" s="46">
        <v>46119</v>
      </c>
      <c r="B618" t="s">
        <v>136</v>
      </c>
      <c r="C618" t="s">
        <v>354</v>
      </c>
      <c r="D618" t="s">
        <v>406</v>
      </c>
      <c r="E618" t="s">
        <v>337</v>
      </c>
      <c r="F618" t="s">
        <v>87</v>
      </c>
      <c r="G618" t="s">
        <v>356</v>
      </c>
      <c r="H618" t="s">
        <v>343</v>
      </c>
      <c r="I618" t="s">
        <v>323</v>
      </c>
      <c r="J618" t="s">
        <v>324</v>
      </c>
      <c r="K618" t="s">
        <v>182</v>
      </c>
      <c r="L618" t="s">
        <v>183</v>
      </c>
      <c r="M618">
        <v>6.9444444444444441E-3</v>
      </c>
      <c r="N618">
        <v>25</v>
      </c>
      <c r="O618">
        <v>0</v>
      </c>
    </row>
    <row r="619" spans="1:17" x14ac:dyDescent="0.35">
      <c r="A619" s="46">
        <v>46118</v>
      </c>
      <c r="B619" t="s">
        <v>136</v>
      </c>
      <c r="C619" t="s">
        <v>319</v>
      </c>
      <c r="D619" t="s">
        <v>320</v>
      </c>
      <c r="E619" t="s">
        <v>321</v>
      </c>
      <c r="F619" t="s">
        <v>328</v>
      </c>
      <c r="G619" t="s">
        <v>329</v>
      </c>
      <c r="H619" t="s">
        <v>331</v>
      </c>
      <c r="I619" t="s">
        <v>323</v>
      </c>
      <c r="J619" t="s">
        <v>324</v>
      </c>
      <c r="K619" t="s">
        <v>142</v>
      </c>
      <c r="L619" t="s">
        <v>143</v>
      </c>
      <c r="M619">
        <v>5.8333333333333336E-3</v>
      </c>
      <c r="N619">
        <v>21</v>
      </c>
      <c r="O619">
        <v>89.04</v>
      </c>
      <c r="P619">
        <v>4.24</v>
      </c>
      <c r="Q619">
        <v>21</v>
      </c>
    </row>
    <row r="620" spans="1:17" x14ac:dyDescent="0.35">
      <c r="A620" s="46">
        <v>46118</v>
      </c>
      <c r="B620" t="s">
        <v>136</v>
      </c>
      <c r="C620" t="s">
        <v>319</v>
      </c>
      <c r="D620" t="s">
        <v>320</v>
      </c>
      <c r="E620" t="s">
        <v>321</v>
      </c>
      <c r="F620" t="s">
        <v>328</v>
      </c>
      <c r="G620" t="s">
        <v>329</v>
      </c>
      <c r="H620" t="s">
        <v>330</v>
      </c>
      <c r="I620" t="s">
        <v>323</v>
      </c>
      <c r="J620" t="s">
        <v>324</v>
      </c>
      <c r="K620" t="s">
        <v>142</v>
      </c>
      <c r="L620" t="s">
        <v>143</v>
      </c>
      <c r="M620">
        <v>0.21027777777777779</v>
      </c>
      <c r="N620">
        <v>757</v>
      </c>
      <c r="O620">
        <v>4799.38</v>
      </c>
      <c r="P620">
        <v>6.34</v>
      </c>
      <c r="Q620">
        <v>757</v>
      </c>
    </row>
    <row r="621" spans="1:17" x14ac:dyDescent="0.35">
      <c r="A621" s="46">
        <v>46118</v>
      </c>
      <c r="B621" t="s">
        <v>136</v>
      </c>
      <c r="C621" t="s">
        <v>319</v>
      </c>
      <c r="D621" t="s">
        <v>320</v>
      </c>
      <c r="E621" t="s">
        <v>321</v>
      </c>
      <c r="F621" t="s">
        <v>322</v>
      </c>
      <c r="G621" t="s">
        <v>322</v>
      </c>
      <c r="H621" t="s">
        <v>322</v>
      </c>
      <c r="I621" t="s">
        <v>323</v>
      </c>
      <c r="J621" t="s">
        <v>324</v>
      </c>
      <c r="K621" t="s">
        <v>200</v>
      </c>
      <c r="L621" t="s">
        <v>201</v>
      </c>
      <c r="M621">
        <v>0.96750000000000003</v>
      </c>
      <c r="N621">
        <v>3483</v>
      </c>
      <c r="O621">
        <v>0</v>
      </c>
    </row>
    <row r="622" spans="1:17" x14ac:dyDescent="0.35">
      <c r="A622" s="46">
        <v>46118</v>
      </c>
      <c r="B622" t="s">
        <v>136</v>
      </c>
      <c r="C622" t="s">
        <v>319</v>
      </c>
      <c r="D622" t="s">
        <v>320</v>
      </c>
      <c r="E622" t="s">
        <v>321</v>
      </c>
      <c r="F622" t="s">
        <v>328</v>
      </c>
      <c r="G622" t="s">
        <v>329</v>
      </c>
      <c r="H622" t="s">
        <v>331</v>
      </c>
      <c r="I622" t="s">
        <v>323</v>
      </c>
      <c r="J622" t="s">
        <v>324</v>
      </c>
      <c r="K622" t="s">
        <v>200</v>
      </c>
      <c r="L622" t="s">
        <v>201</v>
      </c>
      <c r="M622">
        <v>8.2100000000000009</v>
      </c>
      <c r="N622">
        <v>29556</v>
      </c>
      <c r="O622">
        <v>0</v>
      </c>
    </row>
    <row r="623" spans="1:17" x14ac:dyDescent="0.35">
      <c r="A623" s="46">
        <v>46118</v>
      </c>
      <c r="B623" t="s">
        <v>136</v>
      </c>
      <c r="C623" t="s">
        <v>319</v>
      </c>
      <c r="D623" t="s">
        <v>320</v>
      </c>
      <c r="E623" t="s">
        <v>321</v>
      </c>
      <c r="F623" t="s">
        <v>328</v>
      </c>
      <c r="G623" t="s">
        <v>329</v>
      </c>
      <c r="H623" t="s">
        <v>331</v>
      </c>
      <c r="I623" t="s">
        <v>323</v>
      </c>
      <c r="J623" t="s">
        <v>324</v>
      </c>
      <c r="K623" t="s">
        <v>174</v>
      </c>
      <c r="L623" t="s">
        <v>175</v>
      </c>
      <c r="M623">
        <v>2.8152777777777778</v>
      </c>
      <c r="N623">
        <v>10135</v>
      </c>
      <c r="O623">
        <v>0</v>
      </c>
    </row>
    <row r="624" spans="1:17" x14ac:dyDescent="0.35">
      <c r="A624" s="46">
        <v>46118</v>
      </c>
      <c r="B624" t="s">
        <v>136</v>
      </c>
      <c r="C624" t="s">
        <v>319</v>
      </c>
      <c r="D624" t="s">
        <v>320</v>
      </c>
      <c r="E624" t="s">
        <v>321</v>
      </c>
      <c r="F624" t="s">
        <v>332</v>
      </c>
      <c r="G624" t="s">
        <v>333</v>
      </c>
      <c r="H624" t="s">
        <v>334</v>
      </c>
      <c r="I624" t="s">
        <v>323</v>
      </c>
      <c r="J624" t="s">
        <v>324</v>
      </c>
      <c r="K624" t="s">
        <v>170</v>
      </c>
      <c r="L624" t="s">
        <v>171</v>
      </c>
      <c r="M624">
        <v>5.0802777777777779</v>
      </c>
      <c r="N624">
        <v>18289</v>
      </c>
      <c r="O624">
        <v>0</v>
      </c>
    </row>
    <row r="625" spans="1:17" x14ac:dyDescent="0.35">
      <c r="A625" s="46">
        <v>46118</v>
      </c>
      <c r="B625" t="s">
        <v>136</v>
      </c>
      <c r="C625" t="s">
        <v>319</v>
      </c>
      <c r="D625" t="s">
        <v>320</v>
      </c>
      <c r="E625" t="s">
        <v>321</v>
      </c>
      <c r="F625" t="s">
        <v>328</v>
      </c>
      <c r="G625" t="s">
        <v>329</v>
      </c>
      <c r="H625" t="s">
        <v>330</v>
      </c>
      <c r="I625" t="s">
        <v>323</v>
      </c>
      <c r="J625" t="s">
        <v>324</v>
      </c>
      <c r="K625" t="s">
        <v>170</v>
      </c>
      <c r="L625" t="s">
        <v>171</v>
      </c>
      <c r="M625">
        <v>0.55722222222222217</v>
      </c>
      <c r="N625">
        <v>2006</v>
      </c>
      <c r="O625">
        <v>0</v>
      </c>
    </row>
    <row r="626" spans="1:17" x14ac:dyDescent="0.35">
      <c r="A626" s="46">
        <v>46118</v>
      </c>
      <c r="B626" t="s">
        <v>136</v>
      </c>
      <c r="C626" t="s">
        <v>319</v>
      </c>
      <c r="D626" t="s">
        <v>320</v>
      </c>
      <c r="E626" t="s">
        <v>321</v>
      </c>
      <c r="F626" t="s">
        <v>328</v>
      </c>
      <c r="G626" t="s">
        <v>329</v>
      </c>
      <c r="H626" t="s">
        <v>330</v>
      </c>
      <c r="I626" t="s">
        <v>323</v>
      </c>
      <c r="J626" t="s">
        <v>324</v>
      </c>
      <c r="K626" t="s">
        <v>184</v>
      </c>
      <c r="L626" t="s">
        <v>185</v>
      </c>
      <c r="M626">
        <v>2.0244444444444443</v>
      </c>
      <c r="N626">
        <v>7288</v>
      </c>
    </row>
    <row r="627" spans="1:17" x14ac:dyDescent="0.35">
      <c r="A627" s="46">
        <v>46118</v>
      </c>
      <c r="B627" t="s">
        <v>136</v>
      </c>
      <c r="C627" t="s">
        <v>319</v>
      </c>
      <c r="D627" t="s">
        <v>320</v>
      </c>
      <c r="E627" t="s">
        <v>321</v>
      </c>
      <c r="F627" t="s">
        <v>322</v>
      </c>
      <c r="G627" t="s">
        <v>322</v>
      </c>
      <c r="H627" t="s">
        <v>322</v>
      </c>
      <c r="I627" t="s">
        <v>323</v>
      </c>
      <c r="J627" t="s">
        <v>324</v>
      </c>
      <c r="K627" t="s">
        <v>184</v>
      </c>
      <c r="L627" t="s">
        <v>185</v>
      </c>
      <c r="M627">
        <v>7.4999999999999997E-3</v>
      </c>
      <c r="N627">
        <v>27</v>
      </c>
      <c r="O627">
        <v>0</v>
      </c>
    </row>
    <row r="628" spans="1:17" x14ac:dyDescent="0.35">
      <c r="A628" s="46">
        <v>46118</v>
      </c>
      <c r="B628" t="s">
        <v>136</v>
      </c>
      <c r="C628" t="s">
        <v>319</v>
      </c>
      <c r="D628" t="s">
        <v>320</v>
      </c>
      <c r="E628" t="s">
        <v>321</v>
      </c>
      <c r="F628" t="s">
        <v>322</v>
      </c>
      <c r="G628" t="s">
        <v>322</v>
      </c>
      <c r="H628" t="s">
        <v>322</v>
      </c>
      <c r="I628" t="s">
        <v>323</v>
      </c>
      <c r="J628" t="s">
        <v>324</v>
      </c>
      <c r="K628" t="s">
        <v>178</v>
      </c>
      <c r="L628" t="s">
        <v>179</v>
      </c>
      <c r="M628">
        <v>0.96361111111111108</v>
      </c>
      <c r="N628">
        <v>3469</v>
      </c>
      <c r="O628">
        <v>0</v>
      </c>
    </row>
    <row r="629" spans="1:17" x14ac:dyDescent="0.35">
      <c r="A629" s="46">
        <v>46118</v>
      </c>
      <c r="B629" t="s">
        <v>136</v>
      </c>
      <c r="C629" t="s">
        <v>319</v>
      </c>
      <c r="D629" t="s">
        <v>320</v>
      </c>
      <c r="E629" t="s">
        <v>321</v>
      </c>
      <c r="F629" t="s">
        <v>328</v>
      </c>
      <c r="G629" t="s">
        <v>329</v>
      </c>
      <c r="H629" t="s">
        <v>330</v>
      </c>
      <c r="I629" t="s">
        <v>323</v>
      </c>
      <c r="J629" t="s">
        <v>324</v>
      </c>
      <c r="K629" t="s">
        <v>178</v>
      </c>
      <c r="L629" t="s">
        <v>179</v>
      </c>
      <c r="M629">
        <v>2.1152777777777776</v>
      </c>
      <c r="N629">
        <v>7615</v>
      </c>
      <c r="O629">
        <v>0</v>
      </c>
    </row>
    <row r="630" spans="1:17" x14ac:dyDescent="0.35">
      <c r="A630" s="46">
        <v>46118</v>
      </c>
      <c r="B630" t="s">
        <v>136</v>
      </c>
      <c r="C630" t="s">
        <v>319</v>
      </c>
      <c r="D630" t="s">
        <v>320</v>
      </c>
      <c r="E630" t="s">
        <v>321</v>
      </c>
      <c r="F630" t="s">
        <v>328</v>
      </c>
      <c r="G630" t="s">
        <v>329</v>
      </c>
      <c r="H630" t="s">
        <v>331</v>
      </c>
      <c r="I630" t="s">
        <v>323</v>
      </c>
      <c r="J630" t="s">
        <v>324</v>
      </c>
      <c r="K630" t="s">
        <v>178</v>
      </c>
      <c r="L630" t="s">
        <v>179</v>
      </c>
      <c r="M630">
        <v>1.0427777777777778</v>
      </c>
      <c r="N630">
        <v>3754</v>
      </c>
      <c r="O630">
        <v>0</v>
      </c>
    </row>
    <row r="631" spans="1:17" x14ac:dyDescent="0.35">
      <c r="A631" s="46">
        <v>46118</v>
      </c>
      <c r="B631" t="s">
        <v>136</v>
      </c>
      <c r="C631" t="s">
        <v>352</v>
      </c>
      <c r="D631" t="s">
        <v>336</v>
      </c>
      <c r="E631" t="s">
        <v>337</v>
      </c>
      <c r="F631" t="s">
        <v>87</v>
      </c>
      <c r="G631" t="s">
        <v>340</v>
      </c>
      <c r="H631" t="s">
        <v>330</v>
      </c>
      <c r="I631" t="s">
        <v>323</v>
      </c>
      <c r="J631" t="s">
        <v>324</v>
      </c>
      <c r="K631" t="s">
        <v>188</v>
      </c>
      <c r="L631" t="s">
        <v>189</v>
      </c>
      <c r="M631">
        <v>0.25138888888888888</v>
      </c>
      <c r="N631">
        <v>905</v>
      </c>
    </row>
    <row r="632" spans="1:17" x14ac:dyDescent="0.35">
      <c r="A632" s="46">
        <v>46118</v>
      </c>
      <c r="B632" t="s">
        <v>136</v>
      </c>
      <c r="C632" t="s">
        <v>353</v>
      </c>
      <c r="D632" t="s">
        <v>336</v>
      </c>
      <c r="E632" t="s">
        <v>337</v>
      </c>
      <c r="F632" t="s">
        <v>322</v>
      </c>
      <c r="G632" t="s">
        <v>322</v>
      </c>
      <c r="H632" t="s">
        <v>322</v>
      </c>
      <c r="I632" t="s">
        <v>323</v>
      </c>
      <c r="J632" t="s">
        <v>324</v>
      </c>
      <c r="K632" t="s">
        <v>345</v>
      </c>
      <c r="L632" t="s">
        <v>346</v>
      </c>
      <c r="M632">
        <v>2.7777777777777778E-4</v>
      </c>
      <c r="N632">
        <v>1</v>
      </c>
      <c r="O632">
        <v>0</v>
      </c>
    </row>
    <row r="633" spans="1:17" x14ac:dyDescent="0.35">
      <c r="A633" s="46">
        <v>46118</v>
      </c>
      <c r="B633" t="s">
        <v>136</v>
      </c>
      <c r="C633" t="s">
        <v>354</v>
      </c>
      <c r="D633" t="s">
        <v>336</v>
      </c>
      <c r="E633" t="s">
        <v>337</v>
      </c>
      <c r="F633" t="s">
        <v>322</v>
      </c>
      <c r="G633" t="s">
        <v>322</v>
      </c>
      <c r="H633" t="s">
        <v>322</v>
      </c>
      <c r="I633" t="s">
        <v>323</v>
      </c>
      <c r="J633" t="s">
        <v>324</v>
      </c>
      <c r="K633" t="s">
        <v>345</v>
      </c>
      <c r="L633" t="s">
        <v>346</v>
      </c>
      <c r="M633">
        <v>7.7777777777777776E-3</v>
      </c>
      <c r="N633">
        <v>28</v>
      </c>
      <c r="O633">
        <v>62.44</v>
      </c>
      <c r="P633">
        <v>2.23</v>
      </c>
      <c r="Q633">
        <v>28</v>
      </c>
    </row>
    <row r="634" spans="1:17" x14ac:dyDescent="0.35">
      <c r="A634" s="46">
        <v>46118</v>
      </c>
      <c r="B634" t="s">
        <v>136</v>
      </c>
      <c r="C634" t="s">
        <v>354</v>
      </c>
      <c r="D634" t="s">
        <v>336</v>
      </c>
      <c r="E634" t="s">
        <v>337</v>
      </c>
      <c r="F634" t="s">
        <v>87</v>
      </c>
      <c r="G634" t="s">
        <v>340</v>
      </c>
      <c r="H634" t="s">
        <v>343</v>
      </c>
      <c r="I634" t="s">
        <v>323</v>
      </c>
      <c r="J634" t="s">
        <v>324</v>
      </c>
      <c r="K634" t="s">
        <v>345</v>
      </c>
      <c r="L634" t="s">
        <v>346</v>
      </c>
      <c r="M634">
        <v>2.8055555555555556E-2</v>
      </c>
      <c r="N634">
        <v>101</v>
      </c>
      <c r="O634">
        <v>315.12</v>
      </c>
      <c r="P634">
        <v>3.12</v>
      </c>
      <c r="Q634">
        <v>101</v>
      </c>
    </row>
    <row r="635" spans="1:17" x14ac:dyDescent="0.35">
      <c r="A635" s="46">
        <v>46118</v>
      </c>
      <c r="B635" t="s">
        <v>136</v>
      </c>
      <c r="C635" t="s">
        <v>354</v>
      </c>
      <c r="D635" t="s">
        <v>336</v>
      </c>
      <c r="E635" t="s">
        <v>337</v>
      </c>
      <c r="F635" t="s">
        <v>87</v>
      </c>
      <c r="G635" t="s">
        <v>340</v>
      </c>
      <c r="H635" t="s">
        <v>330</v>
      </c>
      <c r="I635" t="s">
        <v>323</v>
      </c>
      <c r="J635" t="s">
        <v>324</v>
      </c>
      <c r="K635" t="s">
        <v>345</v>
      </c>
      <c r="L635" t="s">
        <v>346</v>
      </c>
      <c r="M635">
        <v>0.14222222222222222</v>
      </c>
      <c r="N635">
        <v>512</v>
      </c>
      <c r="O635">
        <v>2007.04</v>
      </c>
      <c r="P635">
        <v>3.92</v>
      </c>
      <c r="Q635">
        <v>512</v>
      </c>
    </row>
    <row r="636" spans="1:17" x14ac:dyDescent="0.35">
      <c r="A636" s="46">
        <v>46118</v>
      </c>
      <c r="B636" t="s">
        <v>136</v>
      </c>
      <c r="C636" t="s">
        <v>353</v>
      </c>
      <c r="D636" t="s">
        <v>336</v>
      </c>
      <c r="E636" t="s">
        <v>337</v>
      </c>
      <c r="F636" t="s">
        <v>87</v>
      </c>
      <c r="G636" t="s">
        <v>340</v>
      </c>
      <c r="H636" t="s">
        <v>343</v>
      </c>
      <c r="I636" t="s">
        <v>323</v>
      </c>
      <c r="J636" t="s">
        <v>324</v>
      </c>
      <c r="K636" t="s">
        <v>345</v>
      </c>
      <c r="L636" t="s">
        <v>346</v>
      </c>
      <c r="M636">
        <v>0.59166666666666667</v>
      </c>
      <c r="N636">
        <v>2130</v>
      </c>
      <c r="O636">
        <v>7675.4599999999991</v>
      </c>
      <c r="P636">
        <v>3.60350234741784</v>
      </c>
      <c r="Q636">
        <v>2130</v>
      </c>
    </row>
    <row r="637" spans="1:17" x14ac:dyDescent="0.35">
      <c r="A637" s="46">
        <v>46118</v>
      </c>
      <c r="B637" t="s">
        <v>136</v>
      </c>
      <c r="C637" t="s">
        <v>353</v>
      </c>
      <c r="D637" t="s">
        <v>336</v>
      </c>
      <c r="E637" t="s">
        <v>337</v>
      </c>
      <c r="F637" t="s">
        <v>87</v>
      </c>
      <c r="G637" t="s">
        <v>340</v>
      </c>
      <c r="H637" t="s">
        <v>330</v>
      </c>
      <c r="I637" t="s">
        <v>323</v>
      </c>
      <c r="J637" t="s">
        <v>324</v>
      </c>
      <c r="K637" t="s">
        <v>345</v>
      </c>
      <c r="L637" t="s">
        <v>346</v>
      </c>
      <c r="M637">
        <v>1.1122222222222222</v>
      </c>
      <c r="N637">
        <v>4004</v>
      </c>
      <c r="O637">
        <v>14298.68</v>
      </c>
      <c r="P637">
        <v>3.5710989010989014</v>
      </c>
      <c r="Q637">
        <v>4004</v>
      </c>
    </row>
    <row r="638" spans="1:17" x14ac:dyDescent="0.35">
      <c r="A638" s="46">
        <v>46118</v>
      </c>
      <c r="B638" t="s">
        <v>136</v>
      </c>
      <c r="C638" t="s">
        <v>353</v>
      </c>
      <c r="D638" t="s">
        <v>336</v>
      </c>
      <c r="E638" t="s">
        <v>337</v>
      </c>
      <c r="F638" t="s">
        <v>87</v>
      </c>
      <c r="G638" t="s">
        <v>340</v>
      </c>
      <c r="H638" t="s">
        <v>330</v>
      </c>
      <c r="I638" t="s">
        <v>323</v>
      </c>
      <c r="J638" t="s">
        <v>324</v>
      </c>
      <c r="K638" t="s">
        <v>142</v>
      </c>
      <c r="L638" t="s">
        <v>143</v>
      </c>
      <c r="M638">
        <v>1.7777777777777778E-2</v>
      </c>
      <c r="N638">
        <v>64</v>
      </c>
      <c r="O638">
        <v>181.12</v>
      </c>
      <c r="P638">
        <v>2.83</v>
      </c>
      <c r="Q638">
        <v>64</v>
      </c>
    </row>
    <row r="639" spans="1:17" x14ac:dyDescent="0.35">
      <c r="A639" s="46">
        <v>46118</v>
      </c>
      <c r="B639" t="s">
        <v>136</v>
      </c>
      <c r="C639" t="s">
        <v>335</v>
      </c>
      <c r="D639" t="s">
        <v>336</v>
      </c>
      <c r="E639" t="s">
        <v>337</v>
      </c>
      <c r="F639" t="s">
        <v>87</v>
      </c>
      <c r="G639" t="s">
        <v>340</v>
      </c>
      <c r="H639" t="s">
        <v>343</v>
      </c>
      <c r="I639" t="s">
        <v>323</v>
      </c>
      <c r="J639" t="s">
        <v>324</v>
      </c>
      <c r="K639" t="s">
        <v>142</v>
      </c>
      <c r="L639" t="s">
        <v>143</v>
      </c>
      <c r="M639">
        <v>1.0833333333333334E-2</v>
      </c>
      <c r="N639">
        <v>39</v>
      </c>
      <c r="O639">
        <v>228.54000000000002</v>
      </c>
      <c r="P639">
        <v>5.86</v>
      </c>
      <c r="Q639">
        <v>39</v>
      </c>
    </row>
    <row r="640" spans="1:17" x14ac:dyDescent="0.35">
      <c r="A640" s="46">
        <v>46118</v>
      </c>
      <c r="B640" t="s">
        <v>136</v>
      </c>
      <c r="C640" t="s">
        <v>319</v>
      </c>
      <c r="D640" t="s">
        <v>336</v>
      </c>
      <c r="E640" t="s">
        <v>337</v>
      </c>
      <c r="F640" t="s">
        <v>322</v>
      </c>
      <c r="G640" t="s">
        <v>322</v>
      </c>
      <c r="H640" t="s">
        <v>322</v>
      </c>
      <c r="I640" t="s">
        <v>323</v>
      </c>
      <c r="J640" t="s">
        <v>324</v>
      </c>
      <c r="K640" t="s">
        <v>142</v>
      </c>
      <c r="L640" t="s">
        <v>143</v>
      </c>
      <c r="M640">
        <v>3.111111111111111E-2</v>
      </c>
      <c r="N640">
        <v>112</v>
      </c>
      <c r="O640">
        <v>437.62</v>
      </c>
      <c r="P640">
        <v>3.9073214285714286</v>
      </c>
      <c r="Q640">
        <v>112</v>
      </c>
    </row>
    <row r="641" spans="1:17" x14ac:dyDescent="0.35">
      <c r="A641" s="46">
        <v>46118</v>
      </c>
      <c r="B641" t="s">
        <v>136</v>
      </c>
      <c r="C641" t="s">
        <v>353</v>
      </c>
      <c r="D641" t="s">
        <v>336</v>
      </c>
      <c r="E641" t="s">
        <v>337</v>
      </c>
      <c r="F641" t="s">
        <v>87</v>
      </c>
      <c r="G641" t="s">
        <v>340</v>
      </c>
      <c r="H641" t="s">
        <v>343</v>
      </c>
      <c r="I641" t="s">
        <v>323</v>
      </c>
      <c r="J641" t="s">
        <v>324</v>
      </c>
      <c r="K641" t="s">
        <v>142</v>
      </c>
      <c r="L641" t="s">
        <v>143</v>
      </c>
      <c r="M641">
        <v>3.0555555555555555E-2</v>
      </c>
      <c r="N641">
        <v>110</v>
      </c>
      <c r="O641">
        <v>512.5</v>
      </c>
      <c r="P641">
        <v>4.6590909090909092</v>
      </c>
      <c r="Q641">
        <v>110</v>
      </c>
    </row>
    <row r="642" spans="1:17" x14ac:dyDescent="0.35">
      <c r="A642" s="46">
        <v>46118</v>
      </c>
      <c r="B642" t="s">
        <v>136</v>
      </c>
      <c r="C642" t="s">
        <v>354</v>
      </c>
      <c r="D642" t="s">
        <v>336</v>
      </c>
      <c r="E642" t="s">
        <v>337</v>
      </c>
      <c r="F642" t="s">
        <v>87</v>
      </c>
      <c r="G642" t="s">
        <v>340</v>
      </c>
      <c r="H642" t="s">
        <v>343</v>
      </c>
      <c r="I642" t="s">
        <v>323</v>
      </c>
      <c r="J642" t="s">
        <v>324</v>
      </c>
      <c r="K642" t="s">
        <v>142</v>
      </c>
      <c r="L642" t="s">
        <v>143</v>
      </c>
      <c r="M642">
        <v>3.3611111111111112E-2</v>
      </c>
      <c r="N642">
        <v>121</v>
      </c>
      <c r="O642">
        <v>607.41999999999996</v>
      </c>
      <c r="P642">
        <v>5.0199999999999996</v>
      </c>
      <c r="Q642">
        <v>121</v>
      </c>
    </row>
    <row r="643" spans="1:17" x14ac:dyDescent="0.35">
      <c r="A643" s="46">
        <v>46118</v>
      </c>
      <c r="B643" t="s">
        <v>136</v>
      </c>
      <c r="C643" t="s">
        <v>353</v>
      </c>
      <c r="D643" t="s">
        <v>336</v>
      </c>
      <c r="E643" t="s">
        <v>337</v>
      </c>
      <c r="F643" t="s">
        <v>322</v>
      </c>
      <c r="G643" t="s">
        <v>322</v>
      </c>
      <c r="H643" t="s">
        <v>322</v>
      </c>
      <c r="I643" t="s">
        <v>323</v>
      </c>
      <c r="J643" t="s">
        <v>324</v>
      </c>
      <c r="K643" t="s">
        <v>200</v>
      </c>
      <c r="L643" t="s">
        <v>201</v>
      </c>
      <c r="M643">
        <v>0.68166666666666664</v>
      </c>
      <c r="N643">
        <v>2454</v>
      </c>
      <c r="O643">
        <v>0</v>
      </c>
    </row>
    <row r="644" spans="1:17" x14ac:dyDescent="0.35">
      <c r="A644" s="46">
        <v>46118</v>
      </c>
      <c r="B644" t="s">
        <v>136</v>
      </c>
      <c r="C644" t="s">
        <v>319</v>
      </c>
      <c r="D644" t="s">
        <v>336</v>
      </c>
      <c r="E644" t="s">
        <v>337</v>
      </c>
      <c r="F644" t="s">
        <v>322</v>
      </c>
      <c r="G644" t="s">
        <v>322</v>
      </c>
      <c r="H644" t="s">
        <v>322</v>
      </c>
      <c r="I644" t="s">
        <v>323</v>
      </c>
      <c r="J644" t="s">
        <v>324</v>
      </c>
      <c r="K644" t="s">
        <v>200</v>
      </c>
      <c r="L644" t="s">
        <v>201</v>
      </c>
      <c r="M644">
        <v>10.044166666666667</v>
      </c>
      <c r="N644">
        <v>36159</v>
      </c>
      <c r="O644">
        <v>0</v>
      </c>
    </row>
    <row r="645" spans="1:17" x14ac:dyDescent="0.35">
      <c r="A645" s="46">
        <v>46118</v>
      </c>
      <c r="B645" t="s">
        <v>136</v>
      </c>
      <c r="C645" t="s">
        <v>353</v>
      </c>
      <c r="D645" t="s">
        <v>336</v>
      </c>
      <c r="E645" t="s">
        <v>337</v>
      </c>
      <c r="F645" t="s">
        <v>87</v>
      </c>
      <c r="G645" t="s">
        <v>340</v>
      </c>
      <c r="H645" t="s">
        <v>330</v>
      </c>
      <c r="I645" t="s">
        <v>323</v>
      </c>
      <c r="J645" t="s">
        <v>324</v>
      </c>
      <c r="K645" t="s">
        <v>200</v>
      </c>
      <c r="L645" t="s">
        <v>201</v>
      </c>
      <c r="M645">
        <v>0.84861111111111109</v>
      </c>
      <c r="N645">
        <v>3055</v>
      </c>
      <c r="O645">
        <v>0</v>
      </c>
    </row>
    <row r="646" spans="1:17" x14ac:dyDescent="0.35">
      <c r="A646" s="46">
        <v>46118</v>
      </c>
      <c r="B646" t="s">
        <v>136</v>
      </c>
      <c r="C646" t="s">
        <v>353</v>
      </c>
      <c r="D646" t="s">
        <v>336</v>
      </c>
      <c r="E646" t="s">
        <v>337</v>
      </c>
      <c r="F646" t="s">
        <v>87</v>
      </c>
      <c r="G646" t="s">
        <v>340</v>
      </c>
      <c r="H646" t="s">
        <v>343</v>
      </c>
      <c r="I646" t="s">
        <v>323</v>
      </c>
      <c r="J646" t="s">
        <v>324</v>
      </c>
      <c r="K646" t="s">
        <v>200</v>
      </c>
      <c r="L646" t="s">
        <v>201</v>
      </c>
      <c r="M646">
        <v>0.95638888888888884</v>
      </c>
      <c r="N646">
        <v>3443</v>
      </c>
      <c r="O646">
        <v>0</v>
      </c>
    </row>
    <row r="647" spans="1:17" x14ac:dyDescent="0.35">
      <c r="A647" s="46">
        <v>46118</v>
      </c>
      <c r="B647" t="s">
        <v>136</v>
      </c>
      <c r="C647" t="s">
        <v>319</v>
      </c>
      <c r="D647" t="s">
        <v>336</v>
      </c>
      <c r="E647" t="s">
        <v>337</v>
      </c>
      <c r="F647" t="s">
        <v>87</v>
      </c>
      <c r="G647" t="s">
        <v>340</v>
      </c>
      <c r="H647" t="s">
        <v>343</v>
      </c>
      <c r="I647" t="s">
        <v>323</v>
      </c>
      <c r="J647" t="s">
        <v>324</v>
      </c>
      <c r="K647" t="s">
        <v>200</v>
      </c>
      <c r="L647" t="s">
        <v>201</v>
      </c>
      <c r="M647">
        <v>3.2008333333333332</v>
      </c>
      <c r="N647">
        <v>11523</v>
      </c>
      <c r="O647">
        <v>0</v>
      </c>
    </row>
    <row r="648" spans="1:17" x14ac:dyDescent="0.35">
      <c r="A648" s="46">
        <v>46118</v>
      </c>
      <c r="B648" t="s">
        <v>136</v>
      </c>
      <c r="C648" t="s">
        <v>353</v>
      </c>
      <c r="D648" t="s">
        <v>336</v>
      </c>
      <c r="E648" t="s">
        <v>337</v>
      </c>
      <c r="F648" t="s">
        <v>87</v>
      </c>
      <c r="G648" t="s">
        <v>340</v>
      </c>
      <c r="H648" t="s">
        <v>343</v>
      </c>
      <c r="I648" t="s">
        <v>323</v>
      </c>
      <c r="J648" t="s">
        <v>324</v>
      </c>
      <c r="K648" t="s">
        <v>348</v>
      </c>
      <c r="L648" t="s">
        <v>349</v>
      </c>
      <c r="M648">
        <v>7.4999999999999997E-3</v>
      </c>
      <c r="N648">
        <v>27</v>
      </c>
      <c r="O648">
        <v>0</v>
      </c>
    </row>
    <row r="649" spans="1:17" x14ac:dyDescent="0.35">
      <c r="A649" s="46">
        <v>46118</v>
      </c>
      <c r="B649" t="s">
        <v>136</v>
      </c>
      <c r="C649" t="s">
        <v>354</v>
      </c>
      <c r="D649" t="s">
        <v>336</v>
      </c>
      <c r="E649" t="s">
        <v>337</v>
      </c>
      <c r="F649" t="s">
        <v>87</v>
      </c>
      <c r="G649" t="s">
        <v>340</v>
      </c>
      <c r="H649" t="s">
        <v>343</v>
      </c>
      <c r="I649" t="s">
        <v>323</v>
      </c>
      <c r="J649" t="s">
        <v>324</v>
      </c>
      <c r="K649" t="s">
        <v>348</v>
      </c>
      <c r="L649" t="s">
        <v>349</v>
      </c>
      <c r="M649">
        <v>8.2777777777777783E-2</v>
      </c>
      <c r="N649">
        <v>298</v>
      </c>
      <c r="O649">
        <v>0</v>
      </c>
    </row>
    <row r="650" spans="1:17" x14ac:dyDescent="0.35">
      <c r="A650" s="46">
        <v>46118</v>
      </c>
      <c r="B650" t="s">
        <v>136</v>
      </c>
      <c r="C650" t="s">
        <v>335</v>
      </c>
      <c r="D650" t="s">
        <v>336</v>
      </c>
      <c r="E650" t="s">
        <v>337</v>
      </c>
      <c r="F650" t="s">
        <v>87</v>
      </c>
      <c r="G650" t="s">
        <v>340</v>
      </c>
      <c r="H650" t="s">
        <v>330</v>
      </c>
      <c r="I650" t="s">
        <v>323</v>
      </c>
      <c r="J650" t="s">
        <v>324</v>
      </c>
      <c r="K650" t="s">
        <v>202</v>
      </c>
      <c r="L650" t="s">
        <v>203</v>
      </c>
      <c r="M650">
        <v>2.3561111111111113</v>
      </c>
      <c r="N650">
        <v>8482</v>
      </c>
      <c r="O650">
        <v>0</v>
      </c>
    </row>
    <row r="651" spans="1:17" x14ac:dyDescent="0.35">
      <c r="A651" s="46">
        <v>46118</v>
      </c>
      <c r="B651" t="s">
        <v>136</v>
      </c>
      <c r="C651" t="s">
        <v>352</v>
      </c>
      <c r="D651" t="s">
        <v>336</v>
      </c>
      <c r="E651" t="s">
        <v>337</v>
      </c>
      <c r="F651" t="s">
        <v>87</v>
      </c>
      <c r="G651" t="s">
        <v>340</v>
      </c>
      <c r="H651" t="s">
        <v>330</v>
      </c>
      <c r="I651" t="s">
        <v>323</v>
      </c>
      <c r="J651" t="s">
        <v>324</v>
      </c>
      <c r="K651" t="s">
        <v>202</v>
      </c>
      <c r="L651" t="s">
        <v>203</v>
      </c>
      <c r="M651">
        <v>5.0000000000000001E-3</v>
      </c>
      <c r="N651">
        <v>18</v>
      </c>
      <c r="O651">
        <v>0</v>
      </c>
    </row>
    <row r="652" spans="1:17" x14ac:dyDescent="0.35">
      <c r="A652" s="46">
        <v>46118</v>
      </c>
      <c r="B652" t="s">
        <v>136</v>
      </c>
      <c r="C652" t="s">
        <v>355</v>
      </c>
      <c r="D652" t="s">
        <v>336</v>
      </c>
      <c r="E652" t="s">
        <v>337</v>
      </c>
      <c r="F652" t="s">
        <v>87</v>
      </c>
      <c r="G652" t="s">
        <v>340</v>
      </c>
      <c r="H652" t="s">
        <v>343</v>
      </c>
      <c r="I652" t="s">
        <v>323</v>
      </c>
      <c r="J652" t="s">
        <v>324</v>
      </c>
      <c r="K652" t="s">
        <v>202</v>
      </c>
      <c r="L652" t="s">
        <v>203</v>
      </c>
      <c r="M652">
        <v>6.25E-2</v>
      </c>
      <c r="N652">
        <v>225</v>
      </c>
      <c r="O652">
        <v>0</v>
      </c>
    </row>
    <row r="653" spans="1:17" x14ac:dyDescent="0.35">
      <c r="A653" s="46">
        <v>46118</v>
      </c>
      <c r="B653" t="s">
        <v>136</v>
      </c>
      <c r="C653" t="s">
        <v>355</v>
      </c>
      <c r="D653" t="s">
        <v>336</v>
      </c>
      <c r="E653" t="s">
        <v>337</v>
      </c>
      <c r="F653" t="s">
        <v>87</v>
      </c>
      <c r="G653" t="s">
        <v>340</v>
      </c>
      <c r="H653" t="s">
        <v>330</v>
      </c>
      <c r="I653" t="s">
        <v>323</v>
      </c>
      <c r="J653" t="s">
        <v>324</v>
      </c>
      <c r="K653" t="s">
        <v>202</v>
      </c>
      <c r="L653" t="s">
        <v>203</v>
      </c>
      <c r="M653">
        <v>9.7222222222222224E-3</v>
      </c>
      <c r="N653">
        <v>35</v>
      </c>
      <c r="O653">
        <v>88.2</v>
      </c>
      <c r="P653">
        <v>2.52</v>
      </c>
      <c r="Q653">
        <v>35</v>
      </c>
    </row>
    <row r="654" spans="1:17" x14ac:dyDescent="0.35">
      <c r="A654" s="46">
        <v>46118</v>
      </c>
      <c r="B654" t="s">
        <v>136</v>
      </c>
      <c r="C654" t="s">
        <v>353</v>
      </c>
      <c r="D654" t="s">
        <v>336</v>
      </c>
      <c r="E654" t="s">
        <v>337</v>
      </c>
      <c r="F654" t="s">
        <v>322</v>
      </c>
      <c r="G654" t="s">
        <v>322</v>
      </c>
      <c r="H654" t="s">
        <v>322</v>
      </c>
      <c r="I654" t="s">
        <v>323</v>
      </c>
      <c r="J654" t="s">
        <v>324</v>
      </c>
      <c r="K654" t="s">
        <v>350</v>
      </c>
      <c r="L654" t="s">
        <v>351</v>
      </c>
      <c r="M654">
        <v>4.7222222222222223E-3</v>
      </c>
      <c r="N654">
        <v>17</v>
      </c>
      <c r="O654">
        <v>85.68</v>
      </c>
      <c r="P654">
        <v>5.04</v>
      </c>
      <c r="Q654">
        <v>17</v>
      </c>
    </row>
    <row r="655" spans="1:17" x14ac:dyDescent="0.35">
      <c r="A655" s="46">
        <v>46118</v>
      </c>
      <c r="B655" t="s">
        <v>136</v>
      </c>
      <c r="C655" t="s">
        <v>354</v>
      </c>
      <c r="D655" t="s">
        <v>336</v>
      </c>
      <c r="E655" t="s">
        <v>337</v>
      </c>
      <c r="F655" t="s">
        <v>87</v>
      </c>
      <c r="G655" t="s">
        <v>340</v>
      </c>
      <c r="H655" t="s">
        <v>343</v>
      </c>
      <c r="I655" t="s">
        <v>323</v>
      </c>
      <c r="J655" t="s">
        <v>324</v>
      </c>
      <c r="K655" t="s">
        <v>350</v>
      </c>
      <c r="L655" t="s">
        <v>351</v>
      </c>
      <c r="M655">
        <v>2.3333333333333334E-2</v>
      </c>
      <c r="N655">
        <v>84</v>
      </c>
      <c r="O655">
        <v>224.28</v>
      </c>
      <c r="P655">
        <v>2.67</v>
      </c>
      <c r="Q655">
        <v>84</v>
      </c>
    </row>
    <row r="656" spans="1:17" x14ac:dyDescent="0.35">
      <c r="A656" s="46">
        <v>46118</v>
      </c>
      <c r="B656" t="s">
        <v>136</v>
      </c>
      <c r="C656" t="s">
        <v>354</v>
      </c>
      <c r="D656" t="s">
        <v>336</v>
      </c>
      <c r="E656" t="s">
        <v>337</v>
      </c>
      <c r="F656" t="s">
        <v>87</v>
      </c>
      <c r="G656" t="s">
        <v>340</v>
      </c>
      <c r="H656" t="s">
        <v>330</v>
      </c>
      <c r="I656" t="s">
        <v>323</v>
      </c>
      <c r="J656" t="s">
        <v>324</v>
      </c>
      <c r="K656" t="s">
        <v>350</v>
      </c>
      <c r="L656" t="s">
        <v>351</v>
      </c>
      <c r="M656">
        <v>5.7500000000000002E-2</v>
      </c>
      <c r="N656">
        <v>207</v>
      </c>
      <c r="O656">
        <v>583.74</v>
      </c>
      <c r="P656">
        <v>2.82</v>
      </c>
      <c r="Q656">
        <v>207</v>
      </c>
    </row>
    <row r="657" spans="1:17" x14ac:dyDescent="0.35">
      <c r="A657" s="46">
        <v>46118</v>
      </c>
      <c r="B657" t="s">
        <v>136</v>
      </c>
      <c r="C657" t="s">
        <v>353</v>
      </c>
      <c r="D657" t="s">
        <v>336</v>
      </c>
      <c r="E657" t="s">
        <v>337</v>
      </c>
      <c r="F657" t="s">
        <v>87</v>
      </c>
      <c r="G657" t="s">
        <v>340</v>
      </c>
      <c r="H657" t="s">
        <v>343</v>
      </c>
      <c r="I657" t="s">
        <v>323</v>
      </c>
      <c r="J657" t="s">
        <v>324</v>
      </c>
      <c r="K657" t="s">
        <v>350</v>
      </c>
      <c r="L657" t="s">
        <v>351</v>
      </c>
      <c r="M657">
        <v>0.40333333333333332</v>
      </c>
      <c r="N657">
        <v>1452</v>
      </c>
      <c r="O657">
        <v>3084.51</v>
      </c>
      <c r="P657">
        <v>2.124318181818182</v>
      </c>
      <c r="Q657">
        <v>1452</v>
      </c>
    </row>
    <row r="658" spans="1:17" x14ac:dyDescent="0.35">
      <c r="A658" s="46">
        <v>46118</v>
      </c>
      <c r="B658" t="s">
        <v>136</v>
      </c>
      <c r="C658" t="s">
        <v>353</v>
      </c>
      <c r="D658" t="s">
        <v>336</v>
      </c>
      <c r="E658" t="s">
        <v>337</v>
      </c>
      <c r="F658" t="s">
        <v>87</v>
      </c>
      <c r="G658" t="s">
        <v>340</v>
      </c>
      <c r="H658" t="s">
        <v>330</v>
      </c>
      <c r="I658" t="s">
        <v>323</v>
      </c>
      <c r="J658" t="s">
        <v>324</v>
      </c>
      <c r="K658" t="s">
        <v>350</v>
      </c>
      <c r="L658" t="s">
        <v>351</v>
      </c>
      <c r="M658">
        <v>0.47222222222222221</v>
      </c>
      <c r="N658">
        <v>1700</v>
      </c>
      <c r="O658">
        <v>3671.6099999999997</v>
      </c>
      <c r="P658">
        <v>2.1597705882352938</v>
      </c>
      <c r="Q658">
        <v>1700</v>
      </c>
    </row>
    <row r="659" spans="1:17" x14ac:dyDescent="0.35">
      <c r="A659" s="46">
        <v>46118</v>
      </c>
      <c r="B659" t="s">
        <v>136</v>
      </c>
      <c r="C659" t="s">
        <v>319</v>
      </c>
      <c r="D659" t="s">
        <v>336</v>
      </c>
      <c r="E659" t="s">
        <v>337</v>
      </c>
      <c r="F659" t="s">
        <v>87</v>
      </c>
      <c r="G659" t="s">
        <v>340</v>
      </c>
      <c r="H659" t="s">
        <v>343</v>
      </c>
      <c r="I659" t="s">
        <v>323</v>
      </c>
      <c r="J659" t="s">
        <v>324</v>
      </c>
      <c r="K659" t="s">
        <v>170</v>
      </c>
      <c r="L659" t="s">
        <v>171</v>
      </c>
      <c r="M659">
        <v>0.13777777777777778</v>
      </c>
      <c r="N659">
        <v>496</v>
      </c>
    </row>
    <row r="660" spans="1:17" x14ac:dyDescent="0.35">
      <c r="A660" s="46">
        <v>46118</v>
      </c>
      <c r="B660" t="s">
        <v>136</v>
      </c>
      <c r="C660" t="s">
        <v>319</v>
      </c>
      <c r="D660" t="s">
        <v>336</v>
      </c>
      <c r="E660" t="s">
        <v>337</v>
      </c>
      <c r="F660" t="s">
        <v>322</v>
      </c>
      <c r="G660" t="s">
        <v>322</v>
      </c>
      <c r="H660" t="s">
        <v>322</v>
      </c>
      <c r="I660" t="s">
        <v>323</v>
      </c>
      <c r="J660" t="s">
        <v>324</v>
      </c>
      <c r="K660" t="s">
        <v>170</v>
      </c>
      <c r="L660" t="s">
        <v>171</v>
      </c>
      <c r="M660">
        <v>2.2941666666666665</v>
      </c>
      <c r="N660">
        <v>8259</v>
      </c>
      <c r="O660">
        <v>0</v>
      </c>
    </row>
    <row r="661" spans="1:17" x14ac:dyDescent="0.35">
      <c r="A661" s="46">
        <v>46118</v>
      </c>
      <c r="B661" t="s">
        <v>136</v>
      </c>
      <c r="C661" t="s">
        <v>353</v>
      </c>
      <c r="D661" t="s">
        <v>336</v>
      </c>
      <c r="E661" t="s">
        <v>337</v>
      </c>
      <c r="F661" t="s">
        <v>322</v>
      </c>
      <c r="G661" t="s">
        <v>322</v>
      </c>
      <c r="H661" t="s">
        <v>322</v>
      </c>
      <c r="I661" t="s">
        <v>323</v>
      </c>
      <c r="J661" t="s">
        <v>324</v>
      </c>
      <c r="K661" t="s">
        <v>178</v>
      </c>
      <c r="L661" t="s">
        <v>179</v>
      </c>
      <c r="M661">
        <v>6.1111111111111114E-3</v>
      </c>
      <c r="N661">
        <v>22</v>
      </c>
      <c r="O661">
        <v>0</v>
      </c>
    </row>
    <row r="662" spans="1:17" x14ac:dyDescent="0.35">
      <c r="A662" s="46">
        <v>46118</v>
      </c>
      <c r="B662" t="s">
        <v>136</v>
      </c>
      <c r="C662" t="s">
        <v>353</v>
      </c>
      <c r="D662" t="s">
        <v>336</v>
      </c>
      <c r="E662" t="s">
        <v>337</v>
      </c>
      <c r="F662" t="s">
        <v>87</v>
      </c>
      <c r="G662" t="s">
        <v>340</v>
      </c>
      <c r="H662" t="s">
        <v>330</v>
      </c>
      <c r="I662" t="s">
        <v>323</v>
      </c>
      <c r="J662" t="s">
        <v>324</v>
      </c>
      <c r="K662" t="s">
        <v>178</v>
      </c>
      <c r="L662" t="s">
        <v>179</v>
      </c>
      <c r="M662">
        <v>8.8055555555555554E-2</v>
      </c>
      <c r="N662">
        <v>317</v>
      </c>
      <c r="O662">
        <v>0</v>
      </c>
    </row>
    <row r="663" spans="1:17" x14ac:dyDescent="0.35">
      <c r="A663" s="46">
        <v>46118</v>
      </c>
      <c r="B663" t="s">
        <v>136</v>
      </c>
      <c r="C663" t="s">
        <v>372</v>
      </c>
      <c r="D663" t="s">
        <v>363</v>
      </c>
      <c r="E663" t="s">
        <v>364</v>
      </c>
      <c r="F663" t="s">
        <v>82</v>
      </c>
      <c r="G663" t="s">
        <v>368</v>
      </c>
      <c r="H663" t="s">
        <v>371</v>
      </c>
      <c r="I663" t="s">
        <v>323</v>
      </c>
      <c r="J663" t="s">
        <v>324</v>
      </c>
      <c r="K663" t="s">
        <v>168</v>
      </c>
      <c r="L663" t="s">
        <v>169</v>
      </c>
      <c r="M663">
        <v>5.6111111111111112E-2</v>
      </c>
      <c r="N663">
        <v>202</v>
      </c>
    </row>
    <row r="664" spans="1:17" x14ac:dyDescent="0.35">
      <c r="A664" s="46">
        <v>46118</v>
      </c>
      <c r="B664" t="s">
        <v>136</v>
      </c>
      <c r="C664" t="s">
        <v>372</v>
      </c>
      <c r="D664" t="s">
        <v>363</v>
      </c>
      <c r="E664" t="s">
        <v>364</v>
      </c>
      <c r="F664" t="s">
        <v>322</v>
      </c>
      <c r="G664" t="s">
        <v>322</v>
      </c>
      <c r="H664" t="s">
        <v>322</v>
      </c>
      <c r="I664" t="s">
        <v>323</v>
      </c>
      <c r="J664" t="s">
        <v>324</v>
      </c>
      <c r="K664" t="s">
        <v>168</v>
      </c>
      <c r="L664" t="s">
        <v>169</v>
      </c>
      <c r="M664">
        <v>0.15527777777777776</v>
      </c>
      <c r="N664">
        <v>559</v>
      </c>
      <c r="O664">
        <v>0</v>
      </c>
    </row>
    <row r="665" spans="1:17" x14ac:dyDescent="0.35">
      <c r="A665" s="46">
        <v>46118</v>
      </c>
      <c r="B665" t="s">
        <v>136</v>
      </c>
      <c r="C665" t="s">
        <v>370</v>
      </c>
      <c r="D665" t="s">
        <v>363</v>
      </c>
      <c r="E665" t="s">
        <v>364</v>
      </c>
      <c r="F665" t="s">
        <v>82</v>
      </c>
      <c r="G665" t="s">
        <v>368</v>
      </c>
      <c r="H665" t="s">
        <v>369</v>
      </c>
      <c r="I665" t="s">
        <v>323</v>
      </c>
      <c r="J665" t="s">
        <v>324</v>
      </c>
      <c r="K665" t="s">
        <v>188</v>
      </c>
      <c r="L665" t="s">
        <v>189</v>
      </c>
      <c r="M665">
        <v>0.73055555555555551</v>
      </c>
      <c r="N665">
        <v>2630</v>
      </c>
      <c r="O665">
        <v>0</v>
      </c>
    </row>
    <row r="666" spans="1:17" x14ac:dyDescent="0.35">
      <c r="A666" s="46">
        <v>46118</v>
      </c>
      <c r="B666" t="s">
        <v>136</v>
      </c>
      <c r="C666" t="s">
        <v>347</v>
      </c>
      <c r="D666" t="s">
        <v>363</v>
      </c>
      <c r="E666" t="s">
        <v>364</v>
      </c>
      <c r="F666" t="s">
        <v>82</v>
      </c>
      <c r="G666" t="s">
        <v>368</v>
      </c>
      <c r="H666" t="s">
        <v>369</v>
      </c>
      <c r="I666" t="s">
        <v>323</v>
      </c>
      <c r="J666" t="s">
        <v>324</v>
      </c>
      <c r="K666" t="s">
        <v>188</v>
      </c>
      <c r="L666" t="s">
        <v>189</v>
      </c>
      <c r="M666">
        <v>0.18777777777777777</v>
      </c>
      <c r="N666">
        <v>676</v>
      </c>
      <c r="O666">
        <v>0</v>
      </c>
    </row>
    <row r="667" spans="1:17" x14ac:dyDescent="0.35">
      <c r="A667" s="46">
        <v>46118</v>
      </c>
      <c r="B667" t="s">
        <v>136</v>
      </c>
      <c r="C667" t="s">
        <v>372</v>
      </c>
      <c r="D667" t="s">
        <v>363</v>
      </c>
      <c r="E667" t="s">
        <v>364</v>
      </c>
      <c r="F667" t="s">
        <v>322</v>
      </c>
      <c r="G667" t="s">
        <v>322</v>
      </c>
      <c r="H667" t="s">
        <v>322</v>
      </c>
      <c r="I667" t="s">
        <v>323</v>
      </c>
      <c r="J667" t="s">
        <v>324</v>
      </c>
      <c r="K667" t="s">
        <v>345</v>
      </c>
      <c r="L667" t="s">
        <v>346</v>
      </c>
      <c r="M667">
        <v>8.3333333333333332E-3</v>
      </c>
      <c r="N667">
        <v>30</v>
      </c>
      <c r="O667">
        <v>102.9</v>
      </c>
      <c r="P667">
        <v>3.43</v>
      </c>
      <c r="Q667">
        <v>30</v>
      </c>
    </row>
    <row r="668" spans="1:17" x14ac:dyDescent="0.35">
      <c r="A668" s="46">
        <v>46118</v>
      </c>
      <c r="B668" t="s">
        <v>136</v>
      </c>
      <c r="C668" t="s">
        <v>370</v>
      </c>
      <c r="D668" t="s">
        <v>363</v>
      </c>
      <c r="E668" t="s">
        <v>364</v>
      </c>
      <c r="F668" t="s">
        <v>322</v>
      </c>
      <c r="G668" t="s">
        <v>322</v>
      </c>
      <c r="H668" t="s">
        <v>322</v>
      </c>
      <c r="I668" t="s">
        <v>323</v>
      </c>
      <c r="J668" t="s">
        <v>324</v>
      </c>
      <c r="K668" t="s">
        <v>345</v>
      </c>
      <c r="L668" t="s">
        <v>346</v>
      </c>
      <c r="M668">
        <v>3.7499999999999999E-2</v>
      </c>
      <c r="N668">
        <v>135</v>
      </c>
      <c r="O668">
        <v>521.32999999999993</v>
      </c>
      <c r="P668">
        <v>3.8617037037037032</v>
      </c>
      <c r="Q668">
        <v>135</v>
      </c>
    </row>
    <row r="669" spans="1:17" x14ac:dyDescent="0.35">
      <c r="A669" s="46">
        <v>46118</v>
      </c>
      <c r="B669" t="s">
        <v>136</v>
      </c>
      <c r="C669" t="s">
        <v>319</v>
      </c>
      <c r="D669" t="s">
        <v>363</v>
      </c>
      <c r="E669" t="s">
        <v>364</v>
      </c>
      <c r="F669" t="s">
        <v>82</v>
      </c>
      <c r="G669" t="s">
        <v>368</v>
      </c>
      <c r="H669" t="s">
        <v>327</v>
      </c>
      <c r="I669" t="s">
        <v>323</v>
      </c>
      <c r="J669" t="s">
        <v>324</v>
      </c>
      <c r="K669" t="s">
        <v>345</v>
      </c>
      <c r="L669" t="s">
        <v>346</v>
      </c>
      <c r="M669">
        <v>6.4444444444444443E-2</v>
      </c>
      <c r="N669">
        <v>232</v>
      </c>
      <c r="O669">
        <v>870</v>
      </c>
      <c r="P669">
        <v>3.75</v>
      </c>
      <c r="Q669">
        <v>232</v>
      </c>
    </row>
    <row r="670" spans="1:17" x14ac:dyDescent="0.35">
      <c r="A670" s="46">
        <v>46118</v>
      </c>
      <c r="B670" t="s">
        <v>136</v>
      </c>
      <c r="C670" t="s">
        <v>319</v>
      </c>
      <c r="D670" t="s">
        <v>363</v>
      </c>
      <c r="E670" t="s">
        <v>364</v>
      </c>
      <c r="F670" t="s">
        <v>82</v>
      </c>
      <c r="G670" t="s">
        <v>368</v>
      </c>
      <c r="H670" t="s">
        <v>369</v>
      </c>
      <c r="I670" t="s">
        <v>323</v>
      </c>
      <c r="J670" t="s">
        <v>324</v>
      </c>
      <c r="K670" t="s">
        <v>345</v>
      </c>
      <c r="L670" t="s">
        <v>346</v>
      </c>
      <c r="M670">
        <v>0.1986111111111111</v>
      </c>
      <c r="N670">
        <v>715</v>
      </c>
      <c r="O670">
        <v>2218.21</v>
      </c>
      <c r="P670">
        <v>3.1023916083916085</v>
      </c>
      <c r="Q670">
        <v>715</v>
      </c>
    </row>
    <row r="671" spans="1:17" x14ac:dyDescent="0.35">
      <c r="A671" s="46">
        <v>46118</v>
      </c>
      <c r="B671" t="s">
        <v>136</v>
      </c>
      <c r="C671" t="s">
        <v>372</v>
      </c>
      <c r="D671" t="s">
        <v>363</v>
      </c>
      <c r="E671" t="s">
        <v>364</v>
      </c>
      <c r="F671" t="s">
        <v>82</v>
      </c>
      <c r="G671" t="s">
        <v>368</v>
      </c>
      <c r="H671" t="s">
        <v>327</v>
      </c>
      <c r="I671" t="s">
        <v>323</v>
      </c>
      <c r="J671" t="s">
        <v>324</v>
      </c>
      <c r="K671" t="s">
        <v>345</v>
      </c>
      <c r="L671" t="s">
        <v>346</v>
      </c>
      <c r="M671">
        <v>0.84166666666666667</v>
      </c>
      <c r="N671">
        <v>3030</v>
      </c>
      <c r="O671">
        <v>12780.13</v>
      </c>
      <c r="P671">
        <v>4.2178646864686469</v>
      </c>
      <c r="Q671">
        <v>3030</v>
      </c>
    </row>
    <row r="672" spans="1:17" x14ac:dyDescent="0.35">
      <c r="A672" s="46">
        <v>46118</v>
      </c>
      <c r="B672" t="s">
        <v>136</v>
      </c>
      <c r="C672" t="s">
        <v>370</v>
      </c>
      <c r="D672" t="s">
        <v>363</v>
      </c>
      <c r="E672" t="s">
        <v>364</v>
      </c>
      <c r="F672" t="s">
        <v>82</v>
      </c>
      <c r="G672" t="s">
        <v>368</v>
      </c>
      <c r="H672" t="s">
        <v>327</v>
      </c>
      <c r="I672" t="s">
        <v>323</v>
      </c>
      <c r="J672" t="s">
        <v>324</v>
      </c>
      <c r="K672" t="s">
        <v>345</v>
      </c>
      <c r="L672" t="s">
        <v>346</v>
      </c>
      <c r="M672">
        <v>1.1469444444444445</v>
      </c>
      <c r="N672">
        <v>4129</v>
      </c>
      <c r="O672">
        <v>15639.020000000002</v>
      </c>
      <c r="P672">
        <v>3.7876047469120859</v>
      </c>
      <c r="Q672">
        <v>4129</v>
      </c>
    </row>
    <row r="673" spans="1:17" x14ac:dyDescent="0.35">
      <c r="A673" s="46">
        <v>46118</v>
      </c>
      <c r="B673" t="s">
        <v>136</v>
      </c>
      <c r="C673" t="s">
        <v>372</v>
      </c>
      <c r="D673" t="s">
        <v>363</v>
      </c>
      <c r="E673" t="s">
        <v>364</v>
      </c>
      <c r="F673" t="s">
        <v>82</v>
      </c>
      <c r="G673" t="s">
        <v>368</v>
      </c>
      <c r="H673" t="s">
        <v>369</v>
      </c>
      <c r="I673" t="s">
        <v>323</v>
      </c>
      <c r="J673" t="s">
        <v>324</v>
      </c>
      <c r="K673" t="s">
        <v>345</v>
      </c>
      <c r="L673" t="s">
        <v>346</v>
      </c>
      <c r="M673">
        <v>1.8372222222222223</v>
      </c>
      <c r="N673">
        <v>6614</v>
      </c>
      <c r="O673">
        <v>28927.91</v>
      </c>
      <c r="P673">
        <v>4.3737390384033867</v>
      </c>
      <c r="Q673">
        <v>6614</v>
      </c>
    </row>
    <row r="674" spans="1:17" x14ac:dyDescent="0.35">
      <c r="A674" s="46">
        <v>46118</v>
      </c>
      <c r="B674" t="s">
        <v>136</v>
      </c>
      <c r="C674" t="s">
        <v>370</v>
      </c>
      <c r="D674" t="s">
        <v>363</v>
      </c>
      <c r="E674" t="s">
        <v>364</v>
      </c>
      <c r="F674" t="s">
        <v>82</v>
      </c>
      <c r="G674" t="s">
        <v>368</v>
      </c>
      <c r="H674" t="s">
        <v>369</v>
      </c>
      <c r="I674" t="s">
        <v>323</v>
      </c>
      <c r="J674" t="s">
        <v>324</v>
      </c>
      <c r="K674" t="s">
        <v>345</v>
      </c>
      <c r="L674" t="s">
        <v>346</v>
      </c>
      <c r="M674">
        <v>2.4269444444444446</v>
      </c>
      <c r="N674">
        <v>8737</v>
      </c>
      <c r="O674">
        <v>36082</v>
      </c>
      <c r="P674">
        <v>4.1302655677655675</v>
      </c>
      <c r="Q674">
        <v>8736</v>
      </c>
    </row>
    <row r="675" spans="1:17" x14ac:dyDescent="0.35">
      <c r="A675" s="46">
        <v>46118</v>
      </c>
      <c r="B675" t="s">
        <v>136</v>
      </c>
      <c r="C675" t="s">
        <v>370</v>
      </c>
      <c r="D675" t="s">
        <v>363</v>
      </c>
      <c r="E675" t="s">
        <v>364</v>
      </c>
      <c r="F675" t="s">
        <v>82</v>
      </c>
      <c r="G675" t="s">
        <v>368</v>
      </c>
      <c r="H675" t="s">
        <v>327</v>
      </c>
      <c r="I675" t="s">
        <v>323</v>
      </c>
      <c r="J675" t="s">
        <v>324</v>
      </c>
      <c r="K675" t="s">
        <v>142</v>
      </c>
      <c r="L675" t="s">
        <v>143</v>
      </c>
      <c r="M675">
        <v>6.1666666666666668E-2</v>
      </c>
      <c r="N675">
        <v>222</v>
      </c>
      <c r="O675">
        <v>649.94000000000005</v>
      </c>
      <c r="P675">
        <v>2.9276576576576581</v>
      </c>
      <c r="Q675">
        <v>222</v>
      </c>
    </row>
    <row r="676" spans="1:17" x14ac:dyDescent="0.35">
      <c r="A676" s="46">
        <v>46118</v>
      </c>
      <c r="B676" t="s">
        <v>136</v>
      </c>
      <c r="C676" t="s">
        <v>372</v>
      </c>
      <c r="D676" t="s">
        <v>363</v>
      </c>
      <c r="E676" t="s">
        <v>364</v>
      </c>
      <c r="F676" t="s">
        <v>322</v>
      </c>
      <c r="G676" t="s">
        <v>322</v>
      </c>
      <c r="H676" t="s">
        <v>322</v>
      </c>
      <c r="I676" t="s">
        <v>323</v>
      </c>
      <c r="J676" t="s">
        <v>324</v>
      </c>
      <c r="K676" t="s">
        <v>142</v>
      </c>
      <c r="L676" t="s">
        <v>143</v>
      </c>
      <c r="M676">
        <v>4.2777777777777776E-2</v>
      </c>
      <c r="N676">
        <v>154</v>
      </c>
      <c r="O676">
        <v>757.1</v>
      </c>
      <c r="P676">
        <v>4.9162337662337663</v>
      </c>
      <c r="Q676">
        <v>154</v>
      </c>
    </row>
    <row r="677" spans="1:17" x14ac:dyDescent="0.35">
      <c r="A677" s="46">
        <v>46118</v>
      </c>
      <c r="B677" t="s">
        <v>136</v>
      </c>
      <c r="C677" t="s">
        <v>372</v>
      </c>
      <c r="D677" t="s">
        <v>363</v>
      </c>
      <c r="E677" t="s">
        <v>364</v>
      </c>
      <c r="F677" t="s">
        <v>82</v>
      </c>
      <c r="G677" t="s">
        <v>368</v>
      </c>
      <c r="H677" t="s">
        <v>369</v>
      </c>
      <c r="I677" t="s">
        <v>323</v>
      </c>
      <c r="J677" t="s">
        <v>324</v>
      </c>
      <c r="K677" t="s">
        <v>142</v>
      </c>
      <c r="L677" t="s">
        <v>143</v>
      </c>
      <c r="M677">
        <v>6.3055555555555559E-2</v>
      </c>
      <c r="N677">
        <v>227</v>
      </c>
      <c r="O677">
        <v>943.73</v>
      </c>
      <c r="P677">
        <v>4.1574008810572689</v>
      </c>
      <c r="Q677">
        <v>227</v>
      </c>
    </row>
    <row r="678" spans="1:17" x14ac:dyDescent="0.35">
      <c r="A678" s="46">
        <v>46118</v>
      </c>
      <c r="B678" t="s">
        <v>136</v>
      </c>
      <c r="C678" t="s">
        <v>319</v>
      </c>
      <c r="D678" t="s">
        <v>363</v>
      </c>
      <c r="E678" t="s">
        <v>364</v>
      </c>
      <c r="F678" t="s">
        <v>82</v>
      </c>
      <c r="G678" t="s">
        <v>368</v>
      </c>
      <c r="H678" t="s">
        <v>327</v>
      </c>
      <c r="I678" t="s">
        <v>323</v>
      </c>
      <c r="J678" t="s">
        <v>324</v>
      </c>
      <c r="K678" t="s">
        <v>142</v>
      </c>
      <c r="L678" t="s">
        <v>143</v>
      </c>
      <c r="M678">
        <v>0.105</v>
      </c>
      <c r="N678">
        <v>378</v>
      </c>
      <c r="O678">
        <v>1685.8799999999999</v>
      </c>
      <c r="P678">
        <v>4.46</v>
      </c>
      <c r="Q678">
        <v>378</v>
      </c>
    </row>
    <row r="679" spans="1:17" x14ac:dyDescent="0.35">
      <c r="A679" s="46">
        <v>46118</v>
      </c>
      <c r="B679" t="s">
        <v>136</v>
      </c>
      <c r="C679" t="s">
        <v>370</v>
      </c>
      <c r="D679" t="s">
        <v>363</v>
      </c>
      <c r="E679" t="s">
        <v>364</v>
      </c>
      <c r="F679" t="s">
        <v>82</v>
      </c>
      <c r="G679" t="s">
        <v>368</v>
      </c>
      <c r="H679" t="s">
        <v>369</v>
      </c>
      <c r="I679" t="s">
        <v>323</v>
      </c>
      <c r="J679" t="s">
        <v>324</v>
      </c>
      <c r="K679" t="s">
        <v>142</v>
      </c>
      <c r="L679" t="s">
        <v>143</v>
      </c>
      <c r="M679">
        <v>0.13750000000000001</v>
      </c>
      <c r="N679">
        <v>495</v>
      </c>
      <c r="O679">
        <v>1794.58</v>
      </c>
      <c r="P679">
        <v>3.6327530364372467</v>
      </c>
      <c r="Q679">
        <v>494</v>
      </c>
    </row>
    <row r="680" spans="1:17" x14ac:dyDescent="0.35">
      <c r="A680" s="46">
        <v>46118</v>
      </c>
      <c r="B680" t="s">
        <v>136</v>
      </c>
      <c r="C680" t="s">
        <v>372</v>
      </c>
      <c r="D680" t="s">
        <v>363</v>
      </c>
      <c r="E680" t="s">
        <v>364</v>
      </c>
      <c r="F680" t="s">
        <v>82</v>
      </c>
      <c r="G680" t="s">
        <v>368</v>
      </c>
      <c r="H680" t="s">
        <v>327</v>
      </c>
      <c r="I680" t="s">
        <v>323</v>
      </c>
      <c r="J680" t="s">
        <v>324</v>
      </c>
      <c r="K680" t="s">
        <v>142</v>
      </c>
      <c r="L680" t="s">
        <v>143</v>
      </c>
      <c r="M680">
        <v>0.17194444444444446</v>
      </c>
      <c r="N680">
        <v>619</v>
      </c>
      <c r="O680">
        <v>2905.3</v>
      </c>
      <c r="P680">
        <v>4.6935379644588044</v>
      </c>
      <c r="Q680">
        <v>619</v>
      </c>
    </row>
    <row r="681" spans="1:17" x14ac:dyDescent="0.35">
      <c r="A681" s="46">
        <v>46118</v>
      </c>
      <c r="B681" t="s">
        <v>136</v>
      </c>
      <c r="C681" t="s">
        <v>372</v>
      </c>
      <c r="D681" t="s">
        <v>363</v>
      </c>
      <c r="E681" t="s">
        <v>364</v>
      </c>
      <c r="F681" t="s">
        <v>322</v>
      </c>
      <c r="G681" t="s">
        <v>322</v>
      </c>
      <c r="H681" t="s">
        <v>322</v>
      </c>
      <c r="I681" t="s">
        <v>323</v>
      </c>
      <c r="J681" t="s">
        <v>324</v>
      </c>
      <c r="K681" t="s">
        <v>210</v>
      </c>
      <c r="L681" t="s">
        <v>211</v>
      </c>
      <c r="M681">
        <v>0.23472222222222222</v>
      </c>
      <c r="N681">
        <v>845</v>
      </c>
      <c r="O681">
        <v>0</v>
      </c>
    </row>
    <row r="682" spans="1:17" x14ac:dyDescent="0.35">
      <c r="A682" s="46">
        <v>46118</v>
      </c>
      <c r="B682" t="s">
        <v>136</v>
      </c>
      <c r="C682" t="s">
        <v>372</v>
      </c>
      <c r="D682" t="s">
        <v>363</v>
      </c>
      <c r="E682" t="s">
        <v>364</v>
      </c>
      <c r="F682" t="s">
        <v>82</v>
      </c>
      <c r="G682" t="s">
        <v>368</v>
      </c>
      <c r="H682" t="s">
        <v>371</v>
      </c>
      <c r="I682" t="s">
        <v>323</v>
      </c>
      <c r="J682" t="s">
        <v>324</v>
      </c>
      <c r="K682" t="s">
        <v>210</v>
      </c>
      <c r="L682" t="s">
        <v>211</v>
      </c>
      <c r="M682">
        <v>0.78583333333333338</v>
      </c>
      <c r="N682">
        <v>2829</v>
      </c>
      <c r="O682">
        <v>0</v>
      </c>
    </row>
    <row r="683" spans="1:17" x14ac:dyDescent="0.35">
      <c r="A683" s="46">
        <v>46118</v>
      </c>
      <c r="B683" t="s">
        <v>136</v>
      </c>
      <c r="C683" t="s">
        <v>335</v>
      </c>
      <c r="D683" t="s">
        <v>363</v>
      </c>
      <c r="E683" t="s">
        <v>364</v>
      </c>
      <c r="F683" t="s">
        <v>82</v>
      </c>
      <c r="G683" t="s">
        <v>368</v>
      </c>
      <c r="H683" t="s">
        <v>371</v>
      </c>
      <c r="I683" t="s">
        <v>323</v>
      </c>
      <c r="J683" t="s">
        <v>324</v>
      </c>
      <c r="K683" t="s">
        <v>210</v>
      </c>
      <c r="L683" t="s">
        <v>211</v>
      </c>
      <c r="M683">
        <v>0.42888888888888888</v>
      </c>
      <c r="N683">
        <v>1544</v>
      </c>
      <c r="O683">
        <v>0</v>
      </c>
    </row>
    <row r="684" spans="1:17" x14ac:dyDescent="0.35">
      <c r="A684" s="46">
        <v>46118</v>
      </c>
      <c r="B684" t="s">
        <v>136</v>
      </c>
      <c r="C684" t="s">
        <v>372</v>
      </c>
      <c r="D684" t="s">
        <v>363</v>
      </c>
      <c r="E684" t="s">
        <v>364</v>
      </c>
      <c r="F684" t="s">
        <v>82</v>
      </c>
      <c r="G684" t="s">
        <v>368</v>
      </c>
      <c r="H684" t="s">
        <v>327</v>
      </c>
      <c r="I684" t="s">
        <v>323</v>
      </c>
      <c r="J684" t="s">
        <v>324</v>
      </c>
      <c r="K684" t="s">
        <v>210</v>
      </c>
      <c r="L684" t="s">
        <v>211</v>
      </c>
      <c r="M684">
        <v>6.5555555555555561E-2</v>
      </c>
      <c r="N684">
        <v>236</v>
      </c>
      <c r="O684">
        <v>0</v>
      </c>
    </row>
    <row r="685" spans="1:17" x14ac:dyDescent="0.35">
      <c r="A685" s="46">
        <v>46118</v>
      </c>
      <c r="B685" t="s">
        <v>136</v>
      </c>
      <c r="C685" t="s">
        <v>372</v>
      </c>
      <c r="D685" t="s">
        <v>363</v>
      </c>
      <c r="E685" t="s">
        <v>364</v>
      </c>
      <c r="F685" t="s">
        <v>82</v>
      </c>
      <c r="G685" t="s">
        <v>368</v>
      </c>
      <c r="H685" t="s">
        <v>369</v>
      </c>
      <c r="I685" t="s">
        <v>323</v>
      </c>
      <c r="J685" t="s">
        <v>324</v>
      </c>
      <c r="K685" t="s">
        <v>375</v>
      </c>
      <c r="L685" t="s">
        <v>376</v>
      </c>
      <c r="M685">
        <v>0.11</v>
      </c>
      <c r="N685">
        <v>396</v>
      </c>
      <c r="O685">
        <v>0</v>
      </c>
    </row>
    <row r="686" spans="1:17" x14ac:dyDescent="0.35">
      <c r="A686" s="46">
        <v>46118</v>
      </c>
      <c r="B686" t="s">
        <v>136</v>
      </c>
      <c r="C686" t="s">
        <v>370</v>
      </c>
      <c r="D686" t="s">
        <v>363</v>
      </c>
      <c r="E686" t="s">
        <v>364</v>
      </c>
      <c r="F686" t="s">
        <v>322</v>
      </c>
      <c r="G686" t="s">
        <v>322</v>
      </c>
      <c r="H686" t="s">
        <v>322</v>
      </c>
      <c r="I686" t="s">
        <v>323</v>
      </c>
      <c r="J686" t="s">
        <v>324</v>
      </c>
      <c r="K686" t="s">
        <v>200</v>
      </c>
      <c r="L686" t="s">
        <v>201</v>
      </c>
      <c r="M686">
        <v>0.17083333333333334</v>
      </c>
      <c r="N686">
        <v>615</v>
      </c>
      <c r="O686">
        <v>0</v>
      </c>
    </row>
    <row r="687" spans="1:17" x14ac:dyDescent="0.35">
      <c r="A687" s="46">
        <v>46118</v>
      </c>
      <c r="B687" t="s">
        <v>136</v>
      </c>
      <c r="C687" t="s">
        <v>372</v>
      </c>
      <c r="D687" t="s">
        <v>363</v>
      </c>
      <c r="E687" t="s">
        <v>364</v>
      </c>
      <c r="F687" t="s">
        <v>82</v>
      </c>
      <c r="G687" t="s">
        <v>368</v>
      </c>
      <c r="H687" t="s">
        <v>327</v>
      </c>
      <c r="I687" t="s">
        <v>323</v>
      </c>
      <c r="J687" t="s">
        <v>324</v>
      </c>
      <c r="K687" t="s">
        <v>200</v>
      </c>
      <c r="L687" t="s">
        <v>201</v>
      </c>
      <c r="M687">
        <v>0.10194444444444445</v>
      </c>
      <c r="N687">
        <v>367</v>
      </c>
      <c r="O687">
        <v>0</v>
      </c>
    </row>
    <row r="688" spans="1:17" x14ac:dyDescent="0.35">
      <c r="A688" s="46">
        <v>46118</v>
      </c>
      <c r="B688" t="s">
        <v>136</v>
      </c>
      <c r="C688" t="s">
        <v>370</v>
      </c>
      <c r="D688" t="s">
        <v>363</v>
      </c>
      <c r="E688" t="s">
        <v>364</v>
      </c>
      <c r="F688" t="s">
        <v>82</v>
      </c>
      <c r="G688" t="s">
        <v>368</v>
      </c>
      <c r="H688" t="s">
        <v>327</v>
      </c>
      <c r="I688" t="s">
        <v>323</v>
      </c>
      <c r="J688" t="s">
        <v>324</v>
      </c>
      <c r="K688" t="s">
        <v>200</v>
      </c>
      <c r="L688" t="s">
        <v>201</v>
      </c>
      <c r="M688">
        <v>0.38055555555555554</v>
      </c>
      <c r="N688">
        <v>1370</v>
      </c>
      <c r="O688">
        <v>0</v>
      </c>
    </row>
    <row r="689" spans="1:17" x14ac:dyDescent="0.35">
      <c r="A689" s="46">
        <v>46118</v>
      </c>
      <c r="B689" t="s">
        <v>136</v>
      </c>
      <c r="C689" t="s">
        <v>372</v>
      </c>
      <c r="D689" t="s">
        <v>363</v>
      </c>
      <c r="E689" t="s">
        <v>364</v>
      </c>
      <c r="F689" t="s">
        <v>82</v>
      </c>
      <c r="G689" t="s">
        <v>368</v>
      </c>
      <c r="H689" t="s">
        <v>369</v>
      </c>
      <c r="I689" t="s">
        <v>323</v>
      </c>
      <c r="J689" t="s">
        <v>324</v>
      </c>
      <c r="K689" t="s">
        <v>200</v>
      </c>
      <c r="L689" t="s">
        <v>201</v>
      </c>
      <c r="M689">
        <v>0.7219444444444445</v>
      </c>
      <c r="N689">
        <v>2599</v>
      </c>
      <c r="O689">
        <v>0</v>
      </c>
    </row>
    <row r="690" spans="1:17" x14ac:dyDescent="0.35">
      <c r="A690" s="46">
        <v>46118</v>
      </c>
      <c r="B690" t="s">
        <v>136</v>
      </c>
      <c r="C690" t="s">
        <v>370</v>
      </c>
      <c r="D690" t="s">
        <v>363</v>
      </c>
      <c r="E690" t="s">
        <v>364</v>
      </c>
      <c r="F690" t="s">
        <v>82</v>
      </c>
      <c r="G690" t="s">
        <v>368</v>
      </c>
      <c r="H690" t="s">
        <v>369</v>
      </c>
      <c r="I690" t="s">
        <v>323</v>
      </c>
      <c r="J690" t="s">
        <v>324</v>
      </c>
      <c r="K690" t="s">
        <v>200</v>
      </c>
      <c r="L690" t="s">
        <v>201</v>
      </c>
      <c r="M690">
        <v>0.54888888888888887</v>
      </c>
      <c r="N690">
        <v>1976</v>
      </c>
      <c r="O690">
        <v>0</v>
      </c>
    </row>
    <row r="691" spans="1:17" x14ac:dyDescent="0.35">
      <c r="A691" s="46">
        <v>46118</v>
      </c>
      <c r="B691" t="s">
        <v>136</v>
      </c>
      <c r="C691" t="s">
        <v>319</v>
      </c>
      <c r="D691" t="s">
        <v>363</v>
      </c>
      <c r="E691" t="s">
        <v>364</v>
      </c>
      <c r="F691" t="s">
        <v>82</v>
      </c>
      <c r="G691" t="s">
        <v>368</v>
      </c>
      <c r="H691" t="s">
        <v>369</v>
      </c>
      <c r="I691" t="s">
        <v>323</v>
      </c>
      <c r="J691" t="s">
        <v>324</v>
      </c>
      <c r="K691" t="s">
        <v>200</v>
      </c>
      <c r="L691" t="s">
        <v>201</v>
      </c>
      <c r="M691">
        <v>0.35222222222222221</v>
      </c>
      <c r="N691">
        <v>1268</v>
      </c>
      <c r="O691">
        <v>0</v>
      </c>
    </row>
    <row r="692" spans="1:17" x14ac:dyDescent="0.35">
      <c r="A692" s="46">
        <v>46118</v>
      </c>
      <c r="B692" t="s">
        <v>136</v>
      </c>
      <c r="C692" t="s">
        <v>370</v>
      </c>
      <c r="D692" t="s">
        <v>363</v>
      </c>
      <c r="E692" t="s">
        <v>364</v>
      </c>
      <c r="F692" t="s">
        <v>82</v>
      </c>
      <c r="G692" t="s">
        <v>368</v>
      </c>
      <c r="H692" t="s">
        <v>327</v>
      </c>
      <c r="I692" t="s">
        <v>323</v>
      </c>
      <c r="J692" t="s">
        <v>324</v>
      </c>
      <c r="K692" t="s">
        <v>348</v>
      </c>
      <c r="L692" t="s">
        <v>349</v>
      </c>
      <c r="M692">
        <v>0.10777777777777778</v>
      </c>
      <c r="N692">
        <v>388</v>
      </c>
      <c r="O692">
        <v>0</v>
      </c>
    </row>
    <row r="693" spans="1:17" x14ac:dyDescent="0.35">
      <c r="A693" s="46">
        <v>46118</v>
      </c>
      <c r="B693" t="s">
        <v>136</v>
      </c>
      <c r="C693" t="s">
        <v>377</v>
      </c>
      <c r="D693" t="s">
        <v>363</v>
      </c>
      <c r="E693" t="s">
        <v>364</v>
      </c>
      <c r="F693" t="s">
        <v>82</v>
      </c>
      <c r="G693" t="s">
        <v>368</v>
      </c>
      <c r="H693" t="s">
        <v>369</v>
      </c>
      <c r="I693" t="s">
        <v>323</v>
      </c>
      <c r="J693" t="s">
        <v>324</v>
      </c>
      <c r="K693" t="s">
        <v>348</v>
      </c>
      <c r="L693" t="s">
        <v>349</v>
      </c>
      <c r="M693">
        <v>5.9444444444444446E-2</v>
      </c>
      <c r="N693">
        <v>214</v>
      </c>
      <c r="O693">
        <v>0</v>
      </c>
    </row>
    <row r="694" spans="1:17" x14ac:dyDescent="0.35">
      <c r="A694" s="46">
        <v>46118</v>
      </c>
      <c r="B694" t="s">
        <v>136</v>
      </c>
      <c r="C694" t="s">
        <v>372</v>
      </c>
      <c r="D694" t="s">
        <v>363</v>
      </c>
      <c r="E694" t="s">
        <v>364</v>
      </c>
      <c r="F694" t="s">
        <v>82</v>
      </c>
      <c r="G694" t="s">
        <v>368</v>
      </c>
      <c r="H694" t="s">
        <v>369</v>
      </c>
      <c r="I694" t="s">
        <v>323</v>
      </c>
      <c r="J694" t="s">
        <v>324</v>
      </c>
      <c r="K694" t="s">
        <v>348</v>
      </c>
      <c r="L694" t="s">
        <v>349</v>
      </c>
      <c r="M694">
        <v>1.5555555555555555E-2</v>
      </c>
      <c r="N694">
        <v>56</v>
      </c>
      <c r="O694">
        <v>0</v>
      </c>
    </row>
    <row r="695" spans="1:17" x14ac:dyDescent="0.35">
      <c r="A695" s="46">
        <v>46118</v>
      </c>
      <c r="B695" t="s">
        <v>136</v>
      </c>
      <c r="C695" t="s">
        <v>370</v>
      </c>
      <c r="D695" t="s">
        <v>363</v>
      </c>
      <c r="E695" t="s">
        <v>364</v>
      </c>
      <c r="F695" t="s">
        <v>82</v>
      </c>
      <c r="G695" t="s">
        <v>368</v>
      </c>
      <c r="H695" t="s">
        <v>369</v>
      </c>
      <c r="I695" t="s">
        <v>323</v>
      </c>
      <c r="J695" t="s">
        <v>324</v>
      </c>
      <c r="K695" t="s">
        <v>348</v>
      </c>
      <c r="L695" t="s">
        <v>349</v>
      </c>
      <c r="M695">
        <v>0.12638888888888888</v>
      </c>
      <c r="N695">
        <v>455</v>
      </c>
      <c r="O695">
        <v>0</v>
      </c>
    </row>
    <row r="696" spans="1:17" x14ac:dyDescent="0.35">
      <c r="A696" s="46">
        <v>46118</v>
      </c>
      <c r="B696" t="s">
        <v>136</v>
      </c>
      <c r="C696" t="s">
        <v>319</v>
      </c>
      <c r="D696" t="s">
        <v>363</v>
      </c>
      <c r="E696" t="s">
        <v>364</v>
      </c>
      <c r="F696" t="s">
        <v>82</v>
      </c>
      <c r="G696" t="s">
        <v>368</v>
      </c>
      <c r="H696" t="s">
        <v>369</v>
      </c>
      <c r="I696" t="s">
        <v>323</v>
      </c>
      <c r="J696" t="s">
        <v>324</v>
      </c>
      <c r="K696" t="s">
        <v>348</v>
      </c>
      <c r="L696" t="s">
        <v>349</v>
      </c>
      <c r="M696">
        <v>0.2697222222222222</v>
      </c>
      <c r="N696">
        <v>971</v>
      </c>
      <c r="O696">
        <v>0</v>
      </c>
    </row>
    <row r="697" spans="1:17" x14ac:dyDescent="0.35">
      <c r="A697" s="46">
        <v>46118</v>
      </c>
      <c r="B697" t="s">
        <v>136</v>
      </c>
      <c r="C697" t="s">
        <v>377</v>
      </c>
      <c r="D697" t="s">
        <v>363</v>
      </c>
      <c r="E697" t="s">
        <v>364</v>
      </c>
      <c r="F697" t="s">
        <v>322</v>
      </c>
      <c r="G697" t="s">
        <v>322</v>
      </c>
      <c r="H697" t="s">
        <v>322</v>
      </c>
      <c r="I697" t="s">
        <v>323</v>
      </c>
      <c r="J697" t="s">
        <v>324</v>
      </c>
      <c r="K697" t="s">
        <v>202</v>
      </c>
      <c r="L697" t="s">
        <v>203</v>
      </c>
      <c r="M697">
        <v>0.12027777777777778</v>
      </c>
      <c r="N697">
        <v>433</v>
      </c>
      <c r="O697">
        <v>0</v>
      </c>
    </row>
    <row r="698" spans="1:17" x14ac:dyDescent="0.35">
      <c r="A698" s="46">
        <v>46118</v>
      </c>
      <c r="B698" t="s">
        <v>136</v>
      </c>
      <c r="C698" t="s">
        <v>370</v>
      </c>
      <c r="D698" t="s">
        <v>363</v>
      </c>
      <c r="E698" t="s">
        <v>364</v>
      </c>
      <c r="F698" t="s">
        <v>82</v>
      </c>
      <c r="G698" t="s">
        <v>368</v>
      </c>
      <c r="H698" t="s">
        <v>369</v>
      </c>
      <c r="I698" t="s">
        <v>323</v>
      </c>
      <c r="J698" t="s">
        <v>324</v>
      </c>
      <c r="K698" t="s">
        <v>202</v>
      </c>
      <c r="L698" t="s">
        <v>203</v>
      </c>
      <c r="M698">
        <v>8.611111111111111E-3</v>
      </c>
      <c r="N698">
        <v>31</v>
      </c>
      <c r="O698">
        <v>0</v>
      </c>
    </row>
    <row r="699" spans="1:17" x14ac:dyDescent="0.35">
      <c r="A699" s="46">
        <v>46118</v>
      </c>
      <c r="B699" t="s">
        <v>136</v>
      </c>
      <c r="C699" t="s">
        <v>347</v>
      </c>
      <c r="D699" t="s">
        <v>363</v>
      </c>
      <c r="E699" t="s">
        <v>364</v>
      </c>
      <c r="F699" t="s">
        <v>82</v>
      </c>
      <c r="G699" t="s">
        <v>368</v>
      </c>
      <c r="H699" t="s">
        <v>369</v>
      </c>
      <c r="I699" t="s">
        <v>323</v>
      </c>
      <c r="J699" t="s">
        <v>324</v>
      </c>
      <c r="K699" t="s">
        <v>202</v>
      </c>
      <c r="L699" t="s">
        <v>203</v>
      </c>
      <c r="M699">
        <v>1.9444444444444444E-3</v>
      </c>
      <c r="N699">
        <v>7</v>
      </c>
      <c r="O699">
        <v>0</v>
      </c>
    </row>
    <row r="700" spans="1:17" x14ac:dyDescent="0.35">
      <c r="A700" s="46">
        <v>46118</v>
      </c>
      <c r="B700" t="s">
        <v>136</v>
      </c>
      <c r="C700" t="s">
        <v>377</v>
      </c>
      <c r="D700" t="s">
        <v>363</v>
      </c>
      <c r="E700" t="s">
        <v>364</v>
      </c>
      <c r="F700" t="s">
        <v>82</v>
      </c>
      <c r="G700" t="s">
        <v>368</v>
      </c>
      <c r="H700" t="s">
        <v>369</v>
      </c>
      <c r="I700" t="s">
        <v>323</v>
      </c>
      <c r="J700" t="s">
        <v>324</v>
      </c>
      <c r="K700" t="s">
        <v>202</v>
      </c>
      <c r="L700" t="s">
        <v>203</v>
      </c>
      <c r="M700">
        <v>0.25694444444444442</v>
      </c>
      <c r="N700">
        <v>925</v>
      </c>
      <c r="O700">
        <v>2330.6099999999997</v>
      </c>
      <c r="P700">
        <v>2.5195783783783781</v>
      </c>
      <c r="Q700">
        <v>925</v>
      </c>
    </row>
    <row r="701" spans="1:17" x14ac:dyDescent="0.35">
      <c r="A701" s="46">
        <v>46118</v>
      </c>
      <c r="B701" t="s">
        <v>136</v>
      </c>
      <c r="C701" t="s">
        <v>319</v>
      </c>
      <c r="D701" t="s">
        <v>363</v>
      </c>
      <c r="E701" t="s">
        <v>364</v>
      </c>
      <c r="F701" t="s">
        <v>82</v>
      </c>
      <c r="G701" t="s">
        <v>368</v>
      </c>
      <c r="H701" t="s">
        <v>327</v>
      </c>
      <c r="I701" t="s">
        <v>323</v>
      </c>
      <c r="J701" t="s">
        <v>324</v>
      </c>
      <c r="K701" t="s">
        <v>350</v>
      </c>
      <c r="L701" t="s">
        <v>351</v>
      </c>
      <c r="M701">
        <v>1.9166666666666665E-2</v>
      </c>
      <c r="N701">
        <v>69</v>
      </c>
      <c r="O701">
        <v>220.8</v>
      </c>
      <c r="P701">
        <v>3.2</v>
      </c>
      <c r="Q701">
        <v>69</v>
      </c>
    </row>
    <row r="702" spans="1:17" x14ac:dyDescent="0.35">
      <c r="A702" s="46">
        <v>46118</v>
      </c>
      <c r="B702" t="s">
        <v>136</v>
      </c>
      <c r="C702" t="s">
        <v>319</v>
      </c>
      <c r="D702" t="s">
        <v>363</v>
      </c>
      <c r="E702" t="s">
        <v>364</v>
      </c>
      <c r="F702" t="s">
        <v>322</v>
      </c>
      <c r="G702" t="s">
        <v>322</v>
      </c>
      <c r="H702" t="s">
        <v>322</v>
      </c>
      <c r="I702" t="s">
        <v>323</v>
      </c>
      <c r="J702" t="s">
        <v>324</v>
      </c>
      <c r="K702" t="s">
        <v>350</v>
      </c>
      <c r="L702" t="s">
        <v>351</v>
      </c>
      <c r="M702">
        <v>2.1944444444444444E-2</v>
      </c>
      <c r="N702">
        <v>79</v>
      </c>
      <c r="O702">
        <v>293.88</v>
      </c>
      <c r="P702">
        <v>3.7199999999999998</v>
      </c>
      <c r="Q702">
        <v>79</v>
      </c>
    </row>
    <row r="703" spans="1:17" x14ac:dyDescent="0.35">
      <c r="A703" s="46">
        <v>46118</v>
      </c>
      <c r="B703" t="s">
        <v>136</v>
      </c>
      <c r="C703" t="s">
        <v>370</v>
      </c>
      <c r="D703" t="s">
        <v>363</v>
      </c>
      <c r="E703" t="s">
        <v>364</v>
      </c>
      <c r="F703" t="s">
        <v>322</v>
      </c>
      <c r="G703" t="s">
        <v>322</v>
      </c>
      <c r="H703" t="s">
        <v>322</v>
      </c>
      <c r="I703" t="s">
        <v>323</v>
      </c>
      <c r="J703" t="s">
        <v>324</v>
      </c>
      <c r="K703" t="s">
        <v>350</v>
      </c>
      <c r="L703" t="s">
        <v>351</v>
      </c>
      <c r="M703">
        <v>6.0555555555555557E-2</v>
      </c>
      <c r="N703">
        <v>218</v>
      </c>
      <c r="O703">
        <v>652.45999999999992</v>
      </c>
      <c r="P703">
        <v>2.9929357798165133</v>
      </c>
      <c r="Q703">
        <v>218</v>
      </c>
    </row>
    <row r="704" spans="1:17" x14ac:dyDescent="0.35">
      <c r="A704" s="46">
        <v>46118</v>
      </c>
      <c r="B704" t="s">
        <v>136</v>
      </c>
      <c r="C704" t="s">
        <v>319</v>
      </c>
      <c r="D704" t="s">
        <v>363</v>
      </c>
      <c r="E704" t="s">
        <v>364</v>
      </c>
      <c r="F704" t="s">
        <v>82</v>
      </c>
      <c r="G704" t="s">
        <v>368</v>
      </c>
      <c r="H704" t="s">
        <v>369</v>
      </c>
      <c r="I704" t="s">
        <v>323</v>
      </c>
      <c r="J704" t="s">
        <v>324</v>
      </c>
      <c r="K704" t="s">
        <v>350</v>
      </c>
      <c r="L704" t="s">
        <v>351</v>
      </c>
      <c r="M704">
        <v>0.15805555555555556</v>
      </c>
      <c r="N704">
        <v>569</v>
      </c>
      <c r="O704">
        <v>1425.9500000000003</v>
      </c>
      <c r="P704">
        <v>2.5060632688927948</v>
      </c>
      <c r="Q704">
        <v>569</v>
      </c>
    </row>
    <row r="705" spans="1:17" x14ac:dyDescent="0.35">
      <c r="A705" s="46">
        <v>46118</v>
      </c>
      <c r="B705" t="s">
        <v>136</v>
      </c>
      <c r="C705" t="s">
        <v>372</v>
      </c>
      <c r="D705" t="s">
        <v>363</v>
      </c>
      <c r="E705" t="s">
        <v>364</v>
      </c>
      <c r="F705" t="s">
        <v>82</v>
      </c>
      <c r="G705" t="s">
        <v>368</v>
      </c>
      <c r="H705" t="s">
        <v>369</v>
      </c>
      <c r="I705" t="s">
        <v>323</v>
      </c>
      <c r="J705" t="s">
        <v>324</v>
      </c>
      <c r="K705" t="s">
        <v>350</v>
      </c>
      <c r="L705" t="s">
        <v>351</v>
      </c>
      <c r="M705">
        <v>0.61944444444444446</v>
      </c>
      <c r="N705">
        <v>2230</v>
      </c>
      <c r="O705">
        <v>7592.5599999999995</v>
      </c>
      <c r="P705">
        <v>3.4047354260089682</v>
      </c>
      <c r="Q705">
        <v>2230</v>
      </c>
    </row>
    <row r="706" spans="1:17" x14ac:dyDescent="0.35">
      <c r="A706" s="46">
        <v>46118</v>
      </c>
      <c r="B706" t="s">
        <v>136</v>
      </c>
      <c r="C706" t="s">
        <v>370</v>
      </c>
      <c r="D706" t="s">
        <v>363</v>
      </c>
      <c r="E706" t="s">
        <v>364</v>
      </c>
      <c r="F706" t="s">
        <v>82</v>
      </c>
      <c r="G706" t="s">
        <v>368</v>
      </c>
      <c r="H706" t="s">
        <v>327</v>
      </c>
      <c r="I706" t="s">
        <v>323</v>
      </c>
      <c r="J706" t="s">
        <v>324</v>
      </c>
      <c r="K706" t="s">
        <v>350</v>
      </c>
      <c r="L706" t="s">
        <v>351</v>
      </c>
      <c r="M706">
        <v>0.74083333333333334</v>
      </c>
      <c r="N706">
        <v>2667</v>
      </c>
      <c r="O706">
        <v>7752.3600000000006</v>
      </c>
      <c r="P706">
        <v>2.9067716535433075</v>
      </c>
      <c r="Q706">
        <v>2667</v>
      </c>
    </row>
    <row r="707" spans="1:17" x14ac:dyDescent="0.35">
      <c r="A707" s="46">
        <v>46118</v>
      </c>
      <c r="B707" t="s">
        <v>136</v>
      </c>
      <c r="C707" t="s">
        <v>370</v>
      </c>
      <c r="D707" t="s">
        <v>363</v>
      </c>
      <c r="E707" t="s">
        <v>364</v>
      </c>
      <c r="F707" t="s">
        <v>82</v>
      </c>
      <c r="G707" t="s">
        <v>368</v>
      </c>
      <c r="H707" t="s">
        <v>369</v>
      </c>
      <c r="I707" t="s">
        <v>323</v>
      </c>
      <c r="J707" t="s">
        <v>324</v>
      </c>
      <c r="K707" t="s">
        <v>350</v>
      </c>
      <c r="L707" t="s">
        <v>351</v>
      </c>
      <c r="M707">
        <v>0.7533333333333333</v>
      </c>
      <c r="N707">
        <v>2712</v>
      </c>
      <c r="O707">
        <v>8323.5</v>
      </c>
      <c r="P707">
        <v>3.0691371681415931</v>
      </c>
      <c r="Q707">
        <v>2712</v>
      </c>
    </row>
    <row r="708" spans="1:17" x14ac:dyDescent="0.35">
      <c r="A708" s="46">
        <v>46118</v>
      </c>
      <c r="B708" t="s">
        <v>136</v>
      </c>
      <c r="C708" t="s">
        <v>372</v>
      </c>
      <c r="D708" t="s">
        <v>363</v>
      </c>
      <c r="E708" t="s">
        <v>364</v>
      </c>
      <c r="F708" t="s">
        <v>82</v>
      </c>
      <c r="G708" t="s">
        <v>368</v>
      </c>
      <c r="H708" t="s">
        <v>327</v>
      </c>
      <c r="I708" t="s">
        <v>323</v>
      </c>
      <c r="J708" t="s">
        <v>324</v>
      </c>
      <c r="K708" t="s">
        <v>350</v>
      </c>
      <c r="L708" t="s">
        <v>351</v>
      </c>
      <c r="M708">
        <v>1.2275</v>
      </c>
      <c r="N708">
        <v>4419</v>
      </c>
      <c r="O708">
        <v>16929.86</v>
      </c>
      <c r="P708">
        <v>3.8311518443086672</v>
      </c>
      <c r="Q708">
        <v>4419</v>
      </c>
    </row>
    <row r="709" spans="1:17" x14ac:dyDescent="0.35">
      <c r="A709" s="46">
        <v>46118</v>
      </c>
      <c r="B709" t="s">
        <v>136</v>
      </c>
      <c r="C709" t="s">
        <v>319</v>
      </c>
      <c r="D709" t="s">
        <v>363</v>
      </c>
      <c r="E709" t="s">
        <v>364</v>
      </c>
      <c r="F709" t="s">
        <v>82</v>
      </c>
      <c r="G709" t="s">
        <v>368</v>
      </c>
      <c r="H709" t="s">
        <v>327</v>
      </c>
      <c r="I709" t="s">
        <v>323</v>
      </c>
      <c r="J709" t="s">
        <v>324</v>
      </c>
      <c r="K709" t="s">
        <v>170</v>
      </c>
      <c r="L709" t="s">
        <v>171</v>
      </c>
      <c r="M709">
        <v>1.9180555555555556</v>
      </c>
      <c r="N709">
        <v>6905</v>
      </c>
    </row>
    <row r="710" spans="1:17" x14ac:dyDescent="0.35">
      <c r="A710" s="46">
        <v>46118</v>
      </c>
      <c r="B710" t="s">
        <v>136</v>
      </c>
      <c r="C710" t="s">
        <v>319</v>
      </c>
      <c r="D710" t="s">
        <v>363</v>
      </c>
      <c r="E710" t="s">
        <v>364</v>
      </c>
      <c r="F710" t="s">
        <v>322</v>
      </c>
      <c r="G710" t="s">
        <v>322</v>
      </c>
      <c r="H710" t="s">
        <v>322</v>
      </c>
      <c r="I710" t="s">
        <v>323</v>
      </c>
      <c r="J710" t="s">
        <v>324</v>
      </c>
      <c r="K710" t="s">
        <v>170</v>
      </c>
      <c r="L710" t="s">
        <v>171</v>
      </c>
      <c r="M710">
        <v>4.7877777777777775</v>
      </c>
      <c r="N710">
        <v>17236</v>
      </c>
      <c r="O710">
        <v>0</v>
      </c>
    </row>
    <row r="711" spans="1:17" x14ac:dyDescent="0.35">
      <c r="A711" s="46">
        <v>46118</v>
      </c>
      <c r="B711" t="s">
        <v>136</v>
      </c>
      <c r="C711" t="s">
        <v>372</v>
      </c>
      <c r="D711" t="s">
        <v>363</v>
      </c>
      <c r="E711" t="s">
        <v>364</v>
      </c>
      <c r="F711" t="s">
        <v>82</v>
      </c>
      <c r="G711" t="s">
        <v>368</v>
      </c>
      <c r="H711" t="s">
        <v>327</v>
      </c>
      <c r="I711" t="s">
        <v>323</v>
      </c>
      <c r="J711" t="s">
        <v>324</v>
      </c>
      <c r="K711" t="s">
        <v>184</v>
      </c>
      <c r="L711" t="s">
        <v>185</v>
      </c>
      <c r="M711">
        <v>0.31472222222222224</v>
      </c>
      <c r="N711">
        <v>1133</v>
      </c>
      <c r="O711">
        <v>0</v>
      </c>
    </row>
    <row r="712" spans="1:17" x14ac:dyDescent="0.35">
      <c r="A712" s="46">
        <v>46118</v>
      </c>
      <c r="B712" t="s">
        <v>136</v>
      </c>
      <c r="C712" t="s">
        <v>370</v>
      </c>
      <c r="D712" t="s">
        <v>363</v>
      </c>
      <c r="E712" t="s">
        <v>364</v>
      </c>
      <c r="F712" t="s">
        <v>82</v>
      </c>
      <c r="G712" t="s">
        <v>368</v>
      </c>
      <c r="H712" t="s">
        <v>327</v>
      </c>
      <c r="I712" t="s">
        <v>323</v>
      </c>
      <c r="J712" t="s">
        <v>324</v>
      </c>
      <c r="K712" t="s">
        <v>178</v>
      </c>
      <c r="L712" t="s">
        <v>179</v>
      </c>
      <c r="M712">
        <v>1.0277777777777778E-2</v>
      </c>
      <c r="N712">
        <v>37</v>
      </c>
      <c r="O712">
        <v>0</v>
      </c>
    </row>
    <row r="713" spans="1:17" x14ac:dyDescent="0.35">
      <c r="A713" s="46">
        <v>46118</v>
      </c>
      <c r="B713" t="s">
        <v>136</v>
      </c>
      <c r="C713" t="s">
        <v>372</v>
      </c>
      <c r="D713" t="s">
        <v>363</v>
      </c>
      <c r="E713" t="s">
        <v>364</v>
      </c>
      <c r="F713" t="s">
        <v>82</v>
      </c>
      <c r="G713" t="s">
        <v>368</v>
      </c>
      <c r="H713" t="s">
        <v>369</v>
      </c>
      <c r="I713" t="s">
        <v>323</v>
      </c>
      <c r="J713" t="s">
        <v>324</v>
      </c>
      <c r="K713" t="s">
        <v>178</v>
      </c>
      <c r="L713" t="s">
        <v>179</v>
      </c>
      <c r="M713">
        <v>4.4444444444444444E-3</v>
      </c>
      <c r="N713">
        <v>16</v>
      </c>
      <c r="O713">
        <v>0</v>
      </c>
    </row>
    <row r="714" spans="1:17" x14ac:dyDescent="0.35">
      <c r="A714" s="46">
        <v>46118</v>
      </c>
      <c r="B714" t="s">
        <v>136</v>
      </c>
      <c r="C714" t="s">
        <v>370</v>
      </c>
      <c r="D714" t="s">
        <v>363</v>
      </c>
      <c r="E714" t="s">
        <v>364</v>
      </c>
      <c r="F714" t="s">
        <v>82</v>
      </c>
      <c r="G714" t="s">
        <v>368</v>
      </c>
      <c r="H714" t="s">
        <v>369</v>
      </c>
      <c r="I714" t="s">
        <v>323</v>
      </c>
      <c r="J714" t="s">
        <v>324</v>
      </c>
      <c r="K714" t="s">
        <v>178</v>
      </c>
      <c r="L714" t="s">
        <v>179</v>
      </c>
      <c r="M714">
        <v>0.11861111111111111</v>
      </c>
      <c r="N714">
        <v>427</v>
      </c>
      <c r="O714">
        <v>0</v>
      </c>
    </row>
    <row r="715" spans="1:17" x14ac:dyDescent="0.35">
      <c r="A715" s="46">
        <v>46118</v>
      </c>
      <c r="B715" t="s">
        <v>136</v>
      </c>
      <c r="C715" t="s">
        <v>372</v>
      </c>
      <c r="D715" t="s">
        <v>363</v>
      </c>
      <c r="E715" t="s">
        <v>364</v>
      </c>
      <c r="F715" t="s">
        <v>82</v>
      </c>
      <c r="G715" t="s">
        <v>368</v>
      </c>
      <c r="H715" t="s">
        <v>327</v>
      </c>
      <c r="I715" t="s">
        <v>323</v>
      </c>
      <c r="J715" t="s">
        <v>324</v>
      </c>
      <c r="K715" t="s">
        <v>182</v>
      </c>
      <c r="L715" t="s">
        <v>183</v>
      </c>
      <c r="M715">
        <v>2.2499999999999999E-2</v>
      </c>
      <c r="N715">
        <v>81</v>
      </c>
      <c r="O715">
        <v>0</v>
      </c>
    </row>
    <row r="716" spans="1:17" x14ac:dyDescent="0.35">
      <c r="A716" s="46">
        <v>46118</v>
      </c>
      <c r="B716" t="s">
        <v>136</v>
      </c>
      <c r="C716" t="s">
        <v>370</v>
      </c>
      <c r="D716" t="s">
        <v>363</v>
      </c>
      <c r="E716" t="s">
        <v>364</v>
      </c>
      <c r="F716" t="s">
        <v>82</v>
      </c>
      <c r="G716" t="s">
        <v>368</v>
      </c>
      <c r="H716" t="s">
        <v>327</v>
      </c>
      <c r="I716" t="s">
        <v>323</v>
      </c>
      <c r="J716" t="s">
        <v>324</v>
      </c>
      <c r="K716" t="s">
        <v>182</v>
      </c>
      <c r="L716" t="s">
        <v>183</v>
      </c>
      <c r="M716">
        <v>8.1388888888888886E-2</v>
      </c>
      <c r="N716">
        <v>293</v>
      </c>
      <c r="O716">
        <v>0</v>
      </c>
    </row>
    <row r="717" spans="1:17" x14ac:dyDescent="0.35">
      <c r="A717" s="46">
        <v>46118</v>
      </c>
      <c r="B717" t="s">
        <v>136</v>
      </c>
      <c r="C717" t="s">
        <v>381</v>
      </c>
      <c r="D717" t="s">
        <v>378</v>
      </c>
      <c r="E717" t="s">
        <v>321</v>
      </c>
      <c r="F717" t="s">
        <v>322</v>
      </c>
      <c r="G717" t="s">
        <v>322</v>
      </c>
      <c r="H717" t="s">
        <v>322</v>
      </c>
      <c r="I717" t="s">
        <v>323</v>
      </c>
      <c r="J717" t="s">
        <v>324</v>
      </c>
      <c r="K717" t="s">
        <v>345</v>
      </c>
      <c r="L717" t="s">
        <v>346</v>
      </c>
      <c r="M717">
        <v>3.833333333333333E-2</v>
      </c>
      <c r="N717">
        <v>138</v>
      </c>
      <c r="O717">
        <v>477.05</v>
      </c>
      <c r="P717">
        <v>3.4568840579710147</v>
      </c>
      <c r="Q717">
        <v>138</v>
      </c>
    </row>
    <row r="718" spans="1:17" x14ac:dyDescent="0.35">
      <c r="A718" s="46">
        <v>46118</v>
      </c>
      <c r="B718" t="s">
        <v>136</v>
      </c>
      <c r="C718" t="s">
        <v>379</v>
      </c>
      <c r="D718" t="s">
        <v>378</v>
      </c>
      <c r="E718" t="s">
        <v>321</v>
      </c>
      <c r="F718" t="s">
        <v>108</v>
      </c>
      <c r="G718" t="s">
        <v>380</v>
      </c>
      <c r="H718" t="s">
        <v>323</v>
      </c>
      <c r="I718" t="s">
        <v>323</v>
      </c>
      <c r="J718" t="s">
        <v>324</v>
      </c>
      <c r="K718" t="s">
        <v>345</v>
      </c>
      <c r="L718" t="s">
        <v>346</v>
      </c>
      <c r="M718">
        <v>0.13055555555555556</v>
      </c>
      <c r="N718">
        <v>470</v>
      </c>
      <c r="O718">
        <v>1555.7</v>
      </c>
      <c r="P718">
        <v>3.31</v>
      </c>
      <c r="Q718">
        <v>470</v>
      </c>
    </row>
    <row r="719" spans="1:17" x14ac:dyDescent="0.35">
      <c r="A719" s="46">
        <v>46118</v>
      </c>
      <c r="B719" t="s">
        <v>136</v>
      </c>
      <c r="C719" t="s">
        <v>379</v>
      </c>
      <c r="D719" t="s">
        <v>378</v>
      </c>
      <c r="E719" t="s">
        <v>321</v>
      </c>
      <c r="F719" t="s">
        <v>322</v>
      </c>
      <c r="G719" t="s">
        <v>322</v>
      </c>
      <c r="H719" t="s">
        <v>322</v>
      </c>
      <c r="I719" t="s">
        <v>323</v>
      </c>
      <c r="J719" t="s">
        <v>324</v>
      </c>
      <c r="K719" t="s">
        <v>345</v>
      </c>
      <c r="L719" t="s">
        <v>346</v>
      </c>
      <c r="M719">
        <v>0.15277777777777779</v>
      </c>
      <c r="N719">
        <v>550</v>
      </c>
      <c r="O719">
        <v>1606.4900000000002</v>
      </c>
      <c r="P719">
        <v>2.9208909090909096</v>
      </c>
      <c r="Q719">
        <v>550</v>
      </c>
    </row>
    <row r="720" spans="1:17" x14ac:dyDescent="0.35">
      <c r="A720" s="46">
        <v>46118</v>
      </c>
      <c r="B720" t="s">
        <v>136</v>
      </c>
      <c r="C720" t="s">
        <v>379</v>
      </c>
      <c r="D720" t="s">
        <v>378</v>
      </c>
      <c r="E720" t="s">
        <v>321</v>
      </c>
      <c r="F720" t="s">
        <v>108</v>
      </c>
      <c r="G720" t="s">
        <v>380</v>
      </c>
      <c r="H720" t="s">
        <v>371</v>
      </c>
      <c r="I720" t="s">
        <v>323</v>
      </c>
      <c r="J720" t="s">
        <v>324</v>
      </c>
      <c r="K720" t="s">
        <v>345</v>
      </c>
      <c r="L720" t="s">
        <v>346</v>
      </c>
      <c r="M720">
        <v>0.58444444444444443</v>
      </c>
      <c r="N720">
        <v>2104</v>
      </c>
      <c r="O720">
        <v>7490.82</v>
      </c>
      <c r="P720">
        <v>3.5602756653992396</v>
      </c>
      <c r="Q720">
        <v>2104</v>
      </c>
    </row>
    <row r="721" spans="1:17" x14ac:dyDescent="0.35">
      <c r="A721" s="46">
        <v>46118</v>
      </c>
      <c r="B721" t="s">
        <v>136</v>
      </c>
      <c r="C721" t="s">
        <v>381</v>
      </c>
      <c r="D721" t="s">
        <v>378</v>
      </c>
      <c r="E721" t="s">
        <v>321</v>
      </c>
      <c r="F721" t="s">
        <v>108</v>
      </c>
      <c r="G721" t="s">
        <v>380</v>
      </c>
      <c r="H721" t="s">
        <v>371</v>
      </c>
      <c r="I721" t="s">
        <v>323</v>
      </c>
      <c r="J721" t="s">
        <v>324</v>
      </c>
      <c r="K721" t="s">
        <v>345</v>
      </c>
      <c r="L721" t="s">
        <v>346</v>
      </c>
      <c r="M721">
        <v>1.278888888888889</v>
      </c>
      <c r="N721">
        <v>4604</v>
      </c>
      <c r="O721">
        <v>21343.09</v>
      </c>
      <c r="P721">
        <v>4.635771068635969</v>
      </c>
      <c r="Q721">
        <v>4604</v>
      </c>
    </row>
    <row r="722" spans="1:17" x14ac:dyDescent="0.35">
      <c r="A722" s="46">
        <v>46118</v>
      </c>
      <c r="B722" t="s">
        <v>136</v>
      </c>
      <c r="C722" t="s">
        <v>381</v>
      </c>
      <c r="D722" t="s">
        <v>378</v>
      </c>
      <c r="E722" t="s">
        <v>321</v>
      </c>
      <c r="F722" t="s">
        <v>108</v>
      </c>
      <c r="G722" t="s">
        <v>380</v>
      </c>
      <c r="H722" t="s">
        <v>323</v>
      </c>
      <c r="I722" t="s">
        <v>323</v>
      </c>
      <c r="J722" t="s">
        <v>324</v>
      </c>
      <c r="K722" t="s">
        <v>345</v>
      </c>
      <c r="L722" t="s">
        <v>346</v>
      </c>
      <c r="M722">
        <v>1.86</v>
      </c>
      <c r="N722">
        <v>6696</v>
      </c>
      <c r="O722">
        <v>32229.56</v>
      </c>
      <c r="P722">
        <v>4.8132556750298692</v>
      </c>
      <c r="Q722">
        <v>6696</v>
      </c>
    </row>
    <row r="723" spans="1:17" x14ac:dyDescent="0.35">
      <c r="A723" s="46">
        <v>46118</v>
      </c>
      <c r="B723" t="s">
        <v>136</v>
      </c>
      <c r="C723" t="s">
        <v>379</v>
      </c>
      <c r="D723" t="s">
        <v>378</v>
      </c>
      <c r="E723" t="s">
        <v>321</v>
      </c>
      <c r="F723" t="s">
        <v>322</v>
      </c>
      <c r="G723" t="s">
        <v>322</v>
      </c>
      <c r="H723" t="s">
        <v>322</v>
      </c>
      <c r="I723" t="s">
        <v>323</v>
      </c>
      <c r="J723" t="s">
        <v>324</v>
      </c>
      <c r="K723" t="s">
        <v>142</v>
      </c>
      <c r="L723" t="s">
        <v>143</v>
      </c>
      <c r="M723">
        <v>1.9166666666666665E-2</v>
      </c>
      <c r="N723">
        <v>69</v>
      </c>
      <c r="O723">
        <v>249.02999999999997</v>
      </c>
      <c r="P723">
        <v>3.6091304347826081</v>
      </c>
      <c r="Q723">
        <v>69</v>
      </c>
    </row>
    <row r="724" spans="1:17" x14ac:dyDescent="0.35">
      <c r="A724" s="46">
        <v>46118</v>
      </c>
      <c r="B724" t="s">
        <v>136</v>
      </c>
      <c r="C724" t="s">
        <v>381</v>
      </c>
      <c r="D724" t="s">
        <v>378</v>
      </c>
      <c r="E724" t="s">
        <v>321</v>
      </c>
      <c r="F724" t="s">
        <v>108</v>
      </c>
      <c r="G724" t="s">
        <v>380</v>
      </c>
      <c r="H724" t="s">
        <v>323</v>
      </c>
      <c r="I724" t="s">
        <v>323</v>
      </c>
      <c r="J724" t="s">
        <v>324</v>
      </c>
      <c r="K724" t="s">
        <v>142</v>
      </c>
      <c r="L724" t="s">
        <v>143</v>
      </c>
      <c r="M724">
        <v>6.9444444444444448E-2</v>
      </c>
      <c r="N724">
        <v>250</v>
      </c>
      <c r="O724">
        <v>550.67999999999995</v>
      </c>
      <c r="P724">
        <v>3.53</v>
      </c>
      <c r="Q724">
        <v>156</v>
      </c>
    </row>
    <row r="725" spans="1:17" x14ac:dyDescent="0.35">
      <c r="A725" s="46">
        <v>46118</v>
      </c>
      <c r="B725" t="s">
        <v>136</v>
      </c>
      <c r="C725" t="s">
        <v>381</v>
      </c>
      <c r="D725" t="s">
        <v>378</v>
      </c>
      <c r="E725" t="s">
        <v>321</v>
      </c>
      <c r="F725" t="s">
        <v>322</v>
      </c>
      <c r="G725" t="s">
        <v>322</v>
      </c>
      <c r="H725" t="s">
        <v>322</v>
      </c>
      <c r="I725" t="s">
        <v>323</v>
      </c>
      <c r="J725" t="s">
        <v>324</v>
      </c>
      <c r="K725" t="s">
        <v>142</v>
      </c>
      <c r="L725" t="s">
        <v>143</v>
      </c>
      <c r="M725">
        <v>3.3055555555555553E-2</v>
      </c>
      <c r="N725">
        <v>119</v>
      </c>
      <c r="O725">
        <v>728.28</v>
      </c>
      <c r="P725">
        <v>6.12</v>
      </c>
      <c r="Q725">
        <v>119</v>
      </c>
    </row>
    <row r="726" spans="1:17" x14ac:dyDescent="0.35">
      <c r="A726" s="46">
        <v>46118</v>
      </c>
      <c r="B726" t="s">
        <v>136</v>
      </c>
      <c r="C726" t="s">
        <v>379</v>
      </c>
      <c r="D726" t="s">
        <v>378</v>
      </c>
      <c r="E726" t="s">
        <v>321</v>
      </c>
      <c r="F726" t="s">
        <v>108</v>
      </c>
      <c r="G726" t="s">
        <v>380</v>
      </c>
      <c r="H726" t="s">
        <v>371</v>
      </c>
      <c r="I726" t="s">
        <v>323</v>
      </c>
      <c r="J726" t="s">
        <v>324</v>
      </c>
      <c r="K726" t="s">
        <v>142</v>
      </c>
      <c r="L726" t="s">
        <v>143</v>
      </c>
      <c r="M726">
        <v>9.555555555555556E-2</v>
      </c>
      <c r="N726">
        <v>344</v>
      </c>
      <c r="O726">
        <v>1598.8000000000002</v>
      </c>
      <c r="P726">
        <v>4.6476744186046517</v>
      </c>
      <c r="Q726">
        <v>344</v>
      </c>
    </row>
    <row r="727" spans="1:17" x14ac:dyDescent="0.35">
      <c r="A727" s="46">
        <v>46118</v>
      </c>
      <c r="B727" t="s">
        <v>136</v>
      </c>
      <c r="C727" t="s">
        <v>379</v>
      </c>
      <c r="D727" t="s">
        <v>378</v>
      </c>
      <c r="E727" t="s">
        <v>321</v>
      </c>
      <c r="F727" t="s">
        <v>108</v>
      </c>
      <c r="G727" t="s">
        <v>380</v>
      </c>
      <c r="H727" t="s">
        <v>323</v>
      </c>
      <c r="I727" t="s">
        <v>323</v>
      </c>
      <c r="J727" t="s">
        <v>324</v>
      </c>
      <c r="K727" t="s">
        <v>142</v>
      </c>
      <c r="L727" t="s">
        <v>143</v>
      </c>
      <c r="M727">
        <v>8.2500000000000004E-2</v>
      </c>
      <c r="N727">
        <v>297</v>
      </c>
      <c r="O727">
        <v>1707.75</v>
      </c>
      <c r="P727">
        <v>5.75</v>
      </c>
      <c r="Q727">
        <v>297</v>
      </c>
    </row>
    <row r="728" spans="1:17" x14ac:dyDescent="0.35">
      <c r="A728" s="46">
        <v>46118</v>
      </c>
      <c r="B728" t="s">
        <v>136</v>
      </c>
      <c r="C728" t="s">
        <v>379</v>
      </c>
      <c r="D728" t="s">
        <v>378</v>
      </c>
      <c r="E728" t="s">
        <v>321</v>
      </c>
      <c r="F728" t="s">
        <v>322</v>
      </c>
      <c r="G728" t="s">
        <v>322</v>
      </c>
      <c r="H728" t="s">
        <v>322</v>
      </c>
      <c r="I728" t="s">
        <v>323</v>
      </c>
      <c r="J728" t="s">
        <v>324</v>
      </c>
      <c r="K728" t="s">
        <v>200</v>
      </c>
      <c r="L728" t="s">
        <v>201</v>
      </c>
      <c r="M728">
        <v>2.7777777777777778E-4</v>
      </c>
      <c r="N728">
        <v>1</v>
      </c>
      <c r="O728">
        <v>0</v>
      </c>
    </row>
    <row r="729" spans="1:17" x14ac:dyDescent="0.35">
      <c r="A729" s="46">
        <v>46118</v>
      </c>
      <c r="B729" t="s">
        <v>136</v>
      </c>
      <c r="C729" t="s">
        <v>381</v>
      </c>
      <c r="D729" t="s">
        <v>378</v>
      </c>
      <c r="E729" t="s">
        <v>321</v>
      </c>
      <c r="F729" t="s">
        <v>322</v>
      </c>
      <c r="G729" t="s">
        <v>322</v>
      </c>
      <c r="H729" t="s">
        <v>322</v>
      </c>
      <c r="I729" t="s">
        <v>323</v>
      </c>
      <c r="J729" t="s">
        <v>324</v>
      </c>
      <c r="K729" t="s">
        <v>200</v>
      </c>
      <c r="L729" t="s">
        <v>201</v>
      </c>
      <c r="M729">
        <v>3.0833333333333334E-2</v>
      </c>
      <c r="N729">
        <v>111</v>
      </c>
      <c r="O729">
        <v>0</v>
      </c>
    </row>
    <row r="730" spans="1:17" x14ac:dyDescent="0.35">
      <c r="A730" s="46">
        <v>46118</v>
      </c>
      <c r="B730" t="s">
        <v>136</v>
      </c>
      <c r="C730" t="s">
        <v>379</v>
      </c>
      <c r="D730" t="s">
        <v>378</v>
      </c>
      <c r="E730" t="s">
        <v>321</v>
      </c>
      <c r="F730" t="s">
        <v>108</v>
      </c>
      <c r="G730" t="s">
        <v>380</v>
      </c>
      <c r="H730" t="s">
        <v>323</v>
      </c>
      <c r="I730" t="s">
        <v>323</v>
      </c>
      <c r="J730" t="s">
        <v>324</v>
      </c>
      <c r="K730" t="s">
        <v>200</v>
      </c>
      <c r="L730" t="s">
        <v>201</v>
      </c>
      <c r="M730">
        <v>0.14888888888888888</v>
      </c>
      <c r="N730">
        <v>536</v>
      </c>
      <c r="O730">
        <v>0</v>
      </c>
    </row>
    <row r="731" spans="1:17" x14ac:dyDescent="0.35">
      <c r="A731" s="46">
        <v>46118</v>
      </c>
      <c r="B731" t="s">
        <v>136</v>
      </c>
      <c r="C731" t="s">
        <v>382</v>
      </c>
      <c r="D731" t="s">
        <v>378</v>
      </c>
      <c r="E731" t="s">
        <v>321</v>
      </c>
      <c r="F731" t="s">
        <v>108</v>
      </c>
      <c r="G731" t="s">
        <v>380</v>
      </c>
      <c r="H731" t="s">
        <v>323</v>
      </c>
      <c r="I731" t="s">
        <v>323</v>
      </c>
      <c r="J731" t="s">
        <v>324</v>
      </c>
      <c r="K731" t="s">
        <v>200</v>
      </c>
      <c r="L731" t="s">
        <v>201</v>
      </c>
      <c r="M731">
        <v>2.7875000000000001</v>
      </c>
      <c r="N731">
        <v>10035</v>
      </c>
      <c r="O731">
        <v>0</v>
      </c>
    </row>
    <row r="732" spans="1:17" x14ac:dyDescent="0.35">
      <c r="A732" s="46">
        <v>46118</v>
      </c>
      <c r="B732" t="s">
        <v>136</v>
      </c>
      <c r="C732" t="s">
        <v>379</v>
      </c>
      <c r="D732" t="s">
        <v>378</v>
      </c>
      <c r="E732" t="s">
        <v>321</v>
      </c>
      <c r="F732" t="s">
        <v>108</v>
      </c>
      <c r="G732" t="s">
        <v>380</v>
      </c>
      <c r="H732" t="s">
        <v>371</v>
      </c>
      <c r="I732" t="s">
        <v>323</v>
      </c>
      <c r="J732" t="s">
        <v>324</v>
      </c>
      <c r="K732" t="s">
        <v>200</v>
      </c>
      <c r="L732" t="s">
        <v>201</v>
      </c>
      <c r="M732">
        <v>0.20305555555555554</v>
      </c>
      <c r="N732">
        <v>731</v>
      </c>
      <c r="O732">
        <v>0</v>
      </c>
    </row>
    <row r="733" spans="1:17" x14ac:dyDescent="0.35">
      <c r="A733" s="46">
        <v>46118</v>
      </c>
      <c r="B733" t="s">
        <v>136</v>
      </c>
      <c r="C733" t="s">
        <v>381</v>
      </c>
      <c r="D733" t="s">
        <v>378</v>
      </c>
      <c r="E733" t="s">
        <v>321</v>
      </c>
      <c r="F733" t="s">
        <v>108</v>
      </c>
      <c r="G733" t="s">
        <v>380</v>
      </c>
      <c r="H733" t="s">
        <v>371</v>
      </c>
      <c r="I733" t="s">
        <v>323</v>
      </c>
      <c r="J733" t="s">
        <v>324</v>
      </c>
      <c r="K733" t="s">
        <v>200</v>
      </c>
      <c r="L733" t="s">
        <v>201</v>
      </c>
      <c r="M733">
        <v>1.6966666666666668</v>
      </c>
      <c r="N733">
        <v>6108</v>
      </c>
      <c r="O733">
        <v>0</v>
      </c>
    </row>
    <row r="734" spans="1:17" x14ac:dyDescent="0.35">
      <c r="A734" s="46">
        <v>46118</v>
      </c>
      <c r="B734" t="s">
        <v>136</v>
      </c>
      <c r="C734" t="s">
        <v>379</v>
      </c>
      <c r="D734" t="s">
        <v>378</v>
      </c>
      <c r="E734" t="s">
        <v>321</v>
      </c>
      <c r="F734" t="s">
        <v>108</v>
      </c>
      <c r="G734" t="s">
        <v>380</v>
      </c>
      <c r="H734" t="s">
        <v>323</v>
      </c>
      <c r="I734" t="s">
        <v>323</v>
      </c>
      <c r="J734" t="s">
        <v>324</v>
      </c>
      <c r="K734" t="s">
        <v>350</v>
      </c>
      <c r="L734" t="s">
        <v>351</v>
      </c>
      <c r="M734">
        <v>5.5E-2</v>
      </c>
      <c r="N734">
        <v>198</v>
      </c>
      <c r="O734">
        <v>427.68</v>
      </c>
      <c r="P734">
        <v>2.16</v>
      </c>
      <c r="Q734">
        <v>198</v>
      </c>
    </row>
    <row r="735" spans="1:17" x14ac:dyDescent="0.35">
      <c r="A735" s="46">
        <v>46118</v>
      </c>
      <c r="B735" t="s">
        <v>136</v>
      </c>
      <c r="C735" t="s">
        <v>379</v>
      </c>
      <c r="D735" t="s">
        <v>378</v>
      </c>
      <c r="E735" t="s">
        <v>321</v>
      </c>
      <c r="F735" t="s">
        <v>322</v>
      </c>
      <c r="G735" t="s">
        <v>322</v>
      </c>
      <c r="H735" t="s">
        <v>322</v>
      </c>
      <c r="I735" t="s">
        <v>323</v>
      </c>
      <c r="J735" t="s">
        <v>324</v>
      </c>
      <c r="K735" t="s">
        <v>350</v>
      </c>
      <c r="L735" t="s">
        <v>351</v>
      </c>
      <c r="M735">
        <v>0.13388888888888889</v>
      </c>
      <c r="N735">
        <v>482</v>
      </c>
      <c r="O735">
        <v>1428.76</v>
      </c>
      <c r="P735">
        <v>2.9642323651452283</v>
      </c>
      <c r="Q735">
        <v>482</v>
      </c>
    </row>
    <row r="736" spans="1:17" x14ac:dyDescent="0.35">
      <c r="A736" s="46">
        <v>46118</v>
      </c>
      <c r="B736" t="s">
        <v>136</v>
      </c>
      <c r="C736" t="s">
        <v>381</v>
      </c>
      <c r="D736" t="s">
        <v>378</v>
      </c>
      <c r="E736" t="s">
        <v>321</v>
      </c>
      <c r="F736" t="s">
        <v>322</v>
      </c>
      <c r="G736" t="s">
        <v>322</v>
      </c>
      <c r="H736" t="s">
        <v>322</v>
      </c>
      <c r="I736" t="s">
        <v>323</v>
      </c>
      <c r="J736" t="s">
        <v>324</v>
      </c>
      <c r="K736" t="s">
        <v>350</v>
      </c>
      <c r="L736" t="s">
        <v>351</v>
      </c>
      <c r="M736">
        <v>0.27694444444444444</v>
      </c>
      <c r="N736">
        <v>997</v>
      </c>
      <c r="O736">
        <v>4095.04</v>
      </c>
      <c r="P736">
        <v>4.1197585513078474</v>
      </c>
      <c r="Q736">
        <v>994</v>
      </c>
    </row>
    <row r="737" spans="1:17" x14ac:dyDescent="0.35">
      <c r="A737" s="46">
        <v>46118</v>
      </c>
      <c r="B737" t="s">
        <v>136</v>
      </c>
      <c r="C737" t="s">
        <v>379</v>
      </c>
      <c r="D737" t="s">
        <v>378</v>
      </c>
      <c r="E737" t="s">
        <v>321</v>
      </c>
      <c r="F737" t="s">
        <v>108</v>
      </c>
      <c r="G737" t="s">
        <v>380</v>
      </c>
      <c r="H737" t="s">
        <v>371</v>
      </c>
      <c r="I737" t="s">
        <v>323</v>
      </c>
      <c r="J737" t="s">
        <v>324</v>
      </c>
      <c r="K737" t="s">
        <v>350</v>
      </c>
      <c r="L737" t="s">
        <v>351</v>
      </c>
      <c r="M737">
        <v>0.6166666666666667</v>
      </c>
      <c r="N737">
        <v>2220</v>
      </c>
      <c r="O737">
        <v>6619.47</v>
      </c>
      <c r="P737">
        <v>2.9817432432432436</v>
      </c>
      <c r="Q737">
        <v>2220</v>
      </c>
    </row>
    <row r="738" spans="1:17" x14ac:dyDescent="0.35">
      <c r="A738" s="46">
        <v>46118</v>
      </c>
      <c r="B738" t="s">
        <v>136</v>
      </c>
      <c r="C738" t="s">
        <v>381</v>
      </c>
      <c r="D738" t="s">
        <v>378</v>
      </c>
      <c r="E738" t="s">
        <v>321</v>
      </c>
      <c r="F738" t="s">
        <v>108</v>
      </c>
      <c r="G738" t="s">
        <v>380</v>
      </c>
      <c r="H738" t="s">
        <v>371</v>
      </c>
      <c r="I738" t="s">
        <v>323</v>
      </c>
      <c r="J738" t="s">
        <v>324</v>
      </c>
      <c r="K738" t="s">
        <v>350</v>
      </c>
      <c r="L738" t="s">
        <v>351</v>
      </c>
      <c r="M738">
        <v>0.7911111111111111</v>
      </c>
      <c r="N738">
        <v>2848</v>
      </c>
      <c r="O738">
        <v>10056.130000000001</v>
      </c>
      <c r="P738">
        <v>3.5521476510067118</v>
      </c>
      <c r="Q738">
        <v>2831</v>
      </c>
    </row>
    <row r="739" spans="1:17" x14ac:dyDescent="0.35">
      <c r="A739" s="46">
        <v>46118</v>
      </c>
      <c r="B739" t="s">
        <v>136</v>
      </c>
      <c r="C739" t="s">
        <v>381</v>
      </c>
      <c r="D739" t="s">
        <v>378</v>
      </c>
      <c r="E739" t="s">
        <v>321</v>
      </c>
      <c r="F739" t="s">
        <v>108</v>
      </c>
      <c r="G739" t="s">
        <v>380</v>
      </c>
      <c r="H739" t="s">
        <v>323</v>
      </c>
      <c r="I739" t="s">
        <v>323</v>
      </c>
      <c r="J739" t="s">
        <v>324</v>
      </c>
      <c r="K739" t="s">
        <v>350</v>
      </c>
      <c r="L739" t="s">
        <v>351</v>
      </c>
      <c r="M739">
        <v>1.0680555555555555</v>
      </c>
      <c r="N739">
        <v>3845</v>
      </c>
      <c r="O739">
        <v>13402.19</v>
      </c>
      <c r="P739">
        <v>3.485615084525358</v>
      </c>
      <c r="Q739">
        <v>3845</v>
      </c>
    </row>
    <row r="740" spans="1:17" x14ac:dyDescent="0.35">
      <c r="A740" s="46">
        <v>46118</v>
      </c>
      <c r="B740" t="s">
        <v>136</v>
      </c>
      <c r="C740" t="s">
        <v>379</v>
      </c>
      <c r="D740" t="s">
        <v>378</v>
      </c>
      <c r="E740" t="s">
        <v>321</v>
      </c>
      <c r="F740" t="s">
        <v>108</v>
      </c>
      <c r="G740" t="s">
        <v>380</v>
      </c>
      <c r="H740" t="s">
        <v>323</v>
      </c>
      <c r="I740" t="s">
        <v>323</v>
      </c>
      <c r="J740" t="s">
        <v>324</v>
      </c>
      <c r="K740" t="s">
        <v>383</v>
      </c>
      <c r="L740" t="s">
        <v>384</v>
      </c>
      <c r="M740">
        <v>0.22527777777777777</v>
      </c>
      <c r="N740">
        <v>811</v>
      </c>
    </row>
    <row r="741" spans="1:17" x14ac:dyDescent="0.35">
      <c r="A741" s="46">
        <v>46118</v>
      </c>
      <c r="B741" t="s">
        <v>136</v>
      </c>
      <c r="C741" t="s">
        <v>379</v>
      </c>
      <c r="D741" t="s">
        <v>378</v>
      </c>
      <c r="E741" t="s">
        <v>321</v>
      </c>
      <c r="F741" t="s">
        <v>322</v>
      </c>
      <c r="G741" t="s">
        <v>322</v>
      </c>
      <c r="H741" t="s">
        <v>322</v>
      </c>
      <c r="I741" t="s">
        <v>323</v>
      </c>
      <c r="J741" t="s">
        <v>324</v>
      </c>
      <c r="K741" t="s">
        <v>383</v>
      </c>
      <c r="L741" t="s">
        <v>384</v>
      </c>
      <c r="M741">
        <v>7.4444444444444438E-2</v>
      </c>
      <c r="N741">
        <v>268</v>
      </c>
      <c r="O741">
        <v>0</v>
      </c>
    </row>
    <row r="742" spans="1:17" x14ac:dyDescent="0.35">
      <c r="A742" s="46">
        <v>46118</v>
      </c>
      <c r="B742" t="s">
        <v>136</v>
      </c>
      <c r="C742" t="s">
        <v>379</v>
      </c>
      <c r="D742" t="s">
        <v>378</v>
      </c>
      <c r="E742" t="s">
        <v>321</v>
      </c>
      <c r="F742" t="s">
        <v>332</v>
      </c>
      <c r="G742" t="s">
        <v>333</v>
      </c>
      <c r="H742" t="s">
        <v>334</v>
      </c>
      <c r="I742" t="s">
        <v>323</v>
      </c>
      <c r="J742" t="s">
        <v>324</v>
      </c>
      <c r="K742" t="s">
        <v>383</v>
      </c>
      <c r="L742" t="s">
        <v>384</v>
      </c>
      <c r="M742">
        <v>0.43888888888888888</v>
      </c>
      <c r="N742">
        <v>1580</v>
      </c>
      <c r="O742">
        <v>0</v>
      </c>
    </row>
    <row r="743" spans="1:17" x14ac:dyDescent="0.35">
      <c r="A743" s="46">
        <v>46118</v>
      </c>
      <c r="B743" t="s">
        <v>136</v>
      </c>
      <c r="C743" t="s">
        <v>382</v>
      </c>
      <c r="D743" t="s">
        <v>378</v>
      </c>
      <c r="E743" t="s">
        <v>321</v>
      </c>
      <c r="F743" t="s">
        <v>108</v>
      </c>
      <c r="G743" t="s">
        <v>380</v>
      </c>
      <c r="H743" t="s">
        <v>323</v>
      </c>
      <c r="I743" t="s">
        <v>323</v>
      </c>
      <c r="J743" t="s">
        <v>324</v>
      </c>
      <c r="K743" t="s">
        <v>174</v>
      </c>
      <c r="L743" t="s">
        <v>175</v>
      </c>
      <c r="M743">
        <v>2.6986111111111111</v>
      </c>
      <c r="N743">
        <v>9715</v>
      </c>
      <c r="O743">
        <v>0</v>
      </c>
    </row>
    <row r="744" spans="1:17" x14ac:dyDescent="0.35">
      <c r="A744" s="46">
        <v>46118</v>
      </c>
      <c r="B744" t="s">
        <v>136</v>
      </c>
      <c r="C744" t="s">
        <v>379</v>
      </c>
      <c r="D744" t="s">
        <v>378</v>
      </c>
      <c r="E744" t="s">
        <v>321</v>
      </c>
      <c r="F744" t="s">
        <v>332</v>
      </c>
      <c r="G744" t="s">
        <v>333</v>
      </c>
      <c r="H744" t="s">
        <v>334</v>
      </c>
      <c r="I744" t="s">
        <v>323</v>
      </c>
      <c r="J744" t="s">
        <v>324</v>
      </c>
      <c r="K744" t="s">
        <v>170</v>
      </c>
      <c r="L744" t="s">
        <v>171</v>
      </c>
      <c r="M744">
        <v>2.5258333333333334</v>
      </c>
      <c r="N744">
        <v>9093</v>
      </c>
      <c r="O744">
        <v>0</v>
      </c>
    </row>
    <row r="745" spans="1:17" x14ac:dyDescent="0.35">
      <c r="A745" s="46">
        <v>46118</v>
      </c>
      <c r="B745" t="s">
        <v>136</v>
      </c>
      <c r="C745" t="s">
        <v>335</v>
      </c>
      <c r="D745" t="s">
        <v>378</v>
      </c>
      <c r="E745" t="s">
        <v>321</v>
      </c>
      <c r="F745" t="s">
        <v>332</v>
      </c>
      <c r="G745" t="s">
        <v>333</v>
      </c>
      <c r="H745" t="s">
        <v>334</v>
      </c>
      <c r="I745" t="s">
        <v>323</v>
      </c>
      <c r="J745" t="s">
        <v>324</v>
      </c>
      <c r="K745" t="s">
        <v>170</v>
      </c>
      <c r="L745" t="s">
        <v>171</v>
      </c>
      <c r="M745">
        <v>2.81</v>
      </c>
      <c r="N745">
        <v>10116</v>
      </c>
      <c r="O745">
        <v>0</v>
      </c>
    </row>
    <row r="746" spans="1:17" x14ac:dyDescent="0.35">
      <c r="A746" s="46">
        <v>46118</v>
      </c>
      <c r="B746" t="s">
        <v>136</v>
      </c>
      <c r="C746" t="s">
        <v>381</v>
      </c>
      <c r="D746" t="s">
        <v>378</v>
      </c>
      <c r="E746" t="s">
        <v>321</v>
      </c>
      <c r="F746" t="s">
        <v>322</v>
      </c>
      <c r="G746" t="s">
        <v>322</v>
      </c>
      <c r="H746" t="s">
        <v>322</v>
      </c>
      <c r="I746" t="s">
        <v>323</v>
      </c>
      <c r="J746" t="s">
        <v>324</v>
      </c>
      <c r="K746" t="s">
        <v>184</v>
      </c>
      <c r="L746" t="s">
        <v>185</v>
      </c>
      <c r="M746">
        <v>0.55888888888888888</v>
      </c>
      <c r="N746">
        <v>2012</v>
      </c>
      <c r="O746">
        <v>0</v>
      </c>
    </row>
    <row r="747" spans="1:17" x14ac:dyDescent="0.35">
      <c r="A747" s="46">
        <v>46118</v>
      </c>
      <c r="B747" t="s">
        <v>136</v>
      </c>
      <c r="C747" t="s">
        <v>379</v>
      </c>
      <c r="D747" t="s">
        <v>378</v>
      </c>
      <c r="E747" t="s">
        <v>321</v>
      </c>
      <c r="F747" t="s">
        <v>108</v>
      </c>
      <c r="G747" t="s">
        <v>380</v>
      </c>
      <c r="H747" t="s">
        <v>323</v>
      </c>
      <c r="I747" t="s">
        <v>323</v>
      </c>
      <c r="J747" t="s">
        <v>324</v>
      </c>
      <c r="K747" t="s">
        <v>184</v>
      </c>
      <c r="L747" t="s">
        <v>185</v>
      </c>
      <c r="M747">
        <v>1.9350000000000001</v>
      </c>
      <c r="N747">
        <v>6966</v>
      </c>
      <c r="O747">
        <v>0</v>
      </c>
    </row>
    <row r="748" spans="1:17" x14ac:dyDescent="0.35">
      <c r="A748" s="46">
        <v>46118</v>
      </c>
      <c r="B748" t="s">
        <v>136</v>
      </c>
      <c r="C748" t="s">
        <v>381</v>
      </c>
      <c r="D748" t="s">
        <v>378</v>
      </c>
      <c r="E748" t="s">
        <v>321</v>
      </c>
      <c r="F748" t="s">
        <v>108</v>
      </c>
      <c r="G748" t="s">
        <v>380</v>
      </c>
      <c r="H748" t="s">
        <v>323</v>
      </c>
      <c r="I748" t="s">
        <v>323</v>
      </c>
      <c r="J748" t="s">
        <v>324</v>
      </c>
      <c r="K748" t="s">
        <v>184</v>
      </c>
      <c r="L748" t="s">
        <v>185</v>
      </c>
      <c r="M748">
        <v>0.18111111111111111</v>
      </c>
      <c r="N748">
        <v>652</v>
      </c>
      <c r="O748">
        <v>0</v>
      </c>
    </row>
    <row r="749" spans="1:17" x14ac:dyDescent="0.35">
      <c r="A749" s="46">
        <v>46118</v>
      </c>
      <c r="B749" t="s">
        <v>136</v>
      </c>
      <c r="C749" t="s">
        <v>382</v>
      </c>
      <c r="D749" t="s">
        <v>378</v>
      </c>
      <c r="E749" t="s">
        <v>321</v>
      </c>
      <c r="F749" t="s">
        <v>108</v>
      </c>
      <c r="G749" t="s">
        <v>380</v>
      </c>
      <c r="H749" t="s">
        <v>323</v>
      </c>
      <c r="I749" t="s">
        <v>323</v>
      </c>
      <c r="J749" t="s">
        <v>324</v>
      </c>
      <c r="K749" t="s">
        <v>184</v>
      </c>
      <c r="L749" t="s">
        <v>185</v>
      </c>
      <c r="M749">
        <v>6.25E-2</v>
      </c>
      <c r="N749">
        <v>225</v>
      </c>
      <c r="O749">
        <v>0</v>
      </c>
    </row>
    <row r="750" spans="1:17" x14ac:dyDescent="0.35">
      <c r="A750" s="46">
        <v>46118</v>
      </c>
      <c r="B750" t="s">
        <v>136</v>
      </c>
      <c r="C750" t="s">
        <v>381</v>
      </c>
      <c r="D750" t="s">
        <v>378</v>
      </c>
      <c r="E750" t="s">
        <v>321</v>
      </c>
      <c r="F750" t="s">
        <v>108</v>
      </c>
      <c r="G750" t="s">
        <v>380</v>
      </c>
      <c r="H750" t="s">
        <v>371</v>
      </c>
      <c r="I750" t="s">
        <v>323</v>
      </c>
      <c r="J750" t="s">
        <v>324</v>
      </c>
      <c r="K750" t="s">
        <v>184</v>
      </c>
      <c r="L750" t="s">
        <v>185</v>
      </c>
      <c r="M750">
        <v>0.29444444444444445</v>
      </c>
      <c r="N750">
        <v>1060</v>
      </c>
      <c r="O750">
        <v>0</v>
      </c>
    </row>
    <row r="751" spans="1:17" x14ac:dyDescent="0.35">
      <c r="A751" s="46">
        <v>46118</v>
      </c>
      <c r="B751" t="s">
        <v>136</v>
      </c>
      <c r="C751" t="s">
        <v>381</v>
      </c>
      <c r="D751" t="s">
        <v>378</v>
      </c>
      <c r="E751" t="s">
        <v>321</v>
      </c>
      <c r="F751" t="s">
        <v>108</v>
      </c>
      <c r="G751" t="s">
        <v>380</v>
      </c>
      <c r="H751" t="s">
        <v>323</v>
      </c>
      <c r="I751" t="s">
        <v>323</v>
      </c>
      <c r="J751" t="s">
        <v>324</v>
      </c>
      <c r="K751" t="s">
        <v>178</v>
      </c>
      <c r="L751" t="s">
        <v>179</v>
      </c>
      <c r="M751">
        <v>2.2777777777777779E-2</v>
      </c>
      <c r="N751">
        <v>82</v>
      </c>
      <c r="O751">
        <v>0</v>
      </c>
    </row>
    <row r="752" spans="1:17" x14ac:dyDescent="0.35">
      <c r="A752" s="46">
        <v>46118</v>
      </c>
      <c r="B752" t="s">
        <v>136</v>
      </c>
      <c r="C752" t="s">
        <v>379</v>
      </c>
      <c r="D752" t="s">
        <v>378</v>
      </c>
      <c r="E752" t="s">
        <v>321</v>
      </c>
      <c r="F752" t="s">
        <v>108</v>
      </c>
      <c r="G752" t="s">
        <v>380</v>
      </c>
      <c r="H752" t="s">
        <v>371</v>
      </c>
      <c r="I752" t="s">
        <v>323</v>
      </c>
      <c r="J752" t="s">
        <v>324</v>
      </c>
      <c r="K752" t="s">
        <v>178</v>
      </c>
      <c r="L752" t="s">
        <v>179</v>
      </c>
      <c r="M752">
        <v>1.9444444444444444E-3</v>
      </c>
      <c r="N752">
        <v>7</v>
      </c>
      <c r="O752">
        <v>0</v>
      </c>
    </row>
    <row r="753" spans="1:17" x14ac:dyDescent="0.35">
      <c r="A753" s="46">
        <v>46118</v>
      </c>
      <c r="B753" t="s">
        <v>136</v>
      </c>
      <c r="C753" t="s">
        <v>382</v>
      </c>
      <c r="D753" t="s">
        <v>378</v>
      </c>
      <c r="E753" t="s">
        <v>321</v>
      </c>
      <c r="F753" t="s">
        <v>108</v>
      </c>
      <c r="G753" t="s">
        <v>380</v>
      </c>
      <c r="H753" t="s">
        <v>323</v>
      </c>
      <c r="I753" t="s">
        <v>323</v>
      </c>
      <c r="J753" t="s">
        <v>324</v>
      </c>
      <c r="K753" t="s">
        <v>182</v>
      </c>
      <c r="L753" t="s">
        <v>183</v>
      </c>
      <c r="M753">
        <v>1.9444444444444444E-3</v>
      </c>
      <c r="N753">
        <v>7</v>
      </c>
    </row>
    <row r="754" spans="1:17" x14ac:dyDescent="0.35">
      <c r="A754" s="46">
        <v>46118</v>
      </c>
      <c r="B754" t="s">
        <v>136</v>
      </c>
      <c r="C754" t="s">
        <v>381</v>
      </c>
      <c r="D754" t="s">
        <v>378</v>
      </c>
      <c r="E754" t="s">
        <v>321</v>
      </c>
      <c r="F754" t="s">
        <v>108</v>
      </c>
      <c r="G754" t="s">
        <v>380</v>
      </c>
      <c r="H754" t="s">
        <v>323</v>
      </c>
      <c r="I754" t="s">
        <v>323</v>
      </c>
      <c r="J754" t="s">
        <v>324</v>
      </c>
      <c r="K754" t="s">
        <v>182</v>
      </c>
      <c r="L754" t="s">
        <v>183</v>
      </c>
      <c r="M754">
        <v>1.4722222222222222E-2</v>
      </c>
      <c r="N754">
        <v>53</v>
      </c>
      <c r="O754">
        <v>0</v>
      </c>
    </row>
    <row r="755" spans="1:17" x14ac:dyDescent="0.35">
      <c r="A755" s="46">
        <v>46118</v>
      </c>
      <c r="B755" t="s">
        <v>136</v>
      </c>
      <c r="C755" t="s">
        <v>388</v>
      </c>
      <c r="D755" t="s">
        <v>385</v>
      </c>
      <c r="E755" t="s">
        <v>321</v>
      </c>
      <c r="F755" t="s">
        <v>94</v>
      </c>
      <c r="G755" t="s">
        <v>91</v>
      </c>
      <c r="H755" t="s">
        <v>369</v>
      </c>
      <c r="I755" t="s">
        <v>323</v>
      </c>
      <c r="J755" t="s">
        <v>324</v>
      </c>
      <c r="K755" t="s">
        <v>341</v>
      </c>
      <c r="L755" t="s">
        <v>342</v>
      </c>
      <c r="M755">
        <v>0.12805555555555556</v>
      </c>
      <c r="N755">
        <v>461</v>
      </c>
      <c r="O755">
        <v>0</v>
      </c>
    </row>
    <row r="756" spans="1:17" x14ac:dyDescent="0.35">
      <c r="A756" s="46">
        <v>46118</v>
      </c>
      <c r="B756" t="s">
        <v>136</v>
      </c>
      <c r="C756" t="s">
        <v>389</v>
      </c>
      <c r="D756" t="s">
        <v>385</v>
      </c>
      <c r="E756" t="s">
        <v>321</v>
      </c>
      <c r="F756" t="s">
        <v>108</v>
      </c>
      <c r="G756" t="s">
        <v>380</v>
      </c>
      <c r="H756" t="s">
        <v>323</v>
      </c>
      <c r="I756" t="s">
        <v>323</v>
      </c>
      <c r="J756" t="s">
        <v>324</v>
      </c>
      <c r="K756" t="s">
        <v>345</v>
      </c>
      <c r="L756" t="s">
        <v>346</v>
      </c>
      <c r="M756">
        <v>9.7222222222222224E-3</v>
      </c>
      <c r="N756">
        <v>35</v>
      </c>
      <c r="O756">
        <v>97.3</v>
      </c>
      <c r="P756">
        <v>2.78</v>
      </c>
      <c r="Q756">
        <v>35</v>
      </c>
    </row>
    <row r="757" spans="1:17" x14ac:dyDescent="0.35">
      <c r="A757" s="46">
        <v>46118</v>
      </c>
      <c r="B757" t="s">
        <v>136</v>
      </c>
      <c r="C757" t="s">
        <v>388</v>
      </c>
      <c r="D757" t="s">
        <v>385</v>
      </c>
      <c r="E757" t="s">
        <v>321</v>
      </c>
      <c r="F757" t="s">
        <v>322</v>
      </c>
      <c r="G757" t="s">
        <v>322</v>
      </c>
      <c r="H757" t="s">
        <v>322</v>
      </c>
      <c r="I757" t="s">
        <v>323</v>
      </c>
      <c r="J757" t="s">
        <v>324</v>
      </c>
      <c r="K757" t="s">
        <v>345</v>
      </c>
      <c r="L757" t="s">
        <v>346</v>
      </c>
      <c r="M757">
        <v>2.7222222222222221E-2</v>
      </c>
      <c r="N757">
        <v>98</v>
      </c>
      <c r="O757">
        <v>249.14</v>
      </c>
      <c r="P757">
        <v>2.5422448979591836</v>
      </c>
      <c r="Q757">
        <v>98</v>
      </c>
    </row>
    <row r="758" spans="1:17" x14ac:dyDescent="0.35">
      <c r="A758" s="46">
        <v>46118</v>
      </c>
      <c r="B758" t="s">
        <v>136</v>
      </c>
      <c r="C758" t="s">
        <v>390</v>
      </c>
      <c r="D758" t="s">
        <v>385</v>
      </c>
      <c r="E758" t="s">
        <v>321</v>
      </c>
      <c r="F758" t="s">
        <v>322</v>
      </c>
      <c r="G758" t="s">
        <v>322</v>
      </c>
      <c r="H758" t="s">
        <v>322</v>
      </c>
      <c r="I758" t="s">
        <v>323</v>
      </c>
      <c r="J758" t="s">
        <v>324</v>
      </c>
      <c r="K758" t="s">
        <v>345</v>
      </c>
      <c r="L758" t="s">
        <v>346</v>
      </c>
      <c r="M758">
        <v>8.3611111111111108E-2</v>
      </c>
      <c r="N758">
        <v>301</v>
      </c>
      <c r="O758">
        <v>1098.6499999999999</v>
      </c>
      <c r="P758">
        <v>3.6499999999999995</v>
      </c>
      <c r="Q758">
        <v>301</v>
      </c>
    </row>
    <row r="759" spans="1:17" x14ac:dyDescent="0.35">
      <c r="A759" s="46">
        <v>46118</v>
      </c>
      <c r="B759" t="s">
        <v>136</v>
      </c>
      <c r="C759" t="s">
        <v>390</v>
      </c>
      <c r="D759" t="s">
        <v>385</v>
      </c>
      <c r="E759" t="s">
        <v>321</v>
      </c>
      <c r="F759" t="s">
        <v>108</v>
      </c>
      <c r="G759" t="s">
        <v>380</v>
      </c>
      <c r="H759" t="s">
        <v>371</v>
      </c>
      <c r="I759" t="s">
        <v>323</v>
      </c>
      <c r="J759" t="s">
        <v>324</v>
      </c>
      <c r="K759" t="s">
        <v>345</v>
      </c>
      <c r="L759" t="s">
        <v>346</v>
      </c>
      <c r="M759">
        <v>0.17805555555555555</v>
      </c>
      <c r="N759">
        <v>641</v>
      </c>
      <c r="O759">
        <v>2166.58</v>
      </c>
      <c r="P759">
        <v>3.38</v>
      </c>
      <c r="Q759">
        <v>641</v>
      </c>
    </row>
    <row r="760" spans="1:17" x14ac:dyDescent="0.35">
      <c r="A760" s="46">
        <v>46118</v>
      </c>
      <c r="B760" t="s">
        <v>136</v>
      </c>
      <c r="C760" t="s">
        <v>390</v>
      </c>
      <c r="D760" t="s">
        <v>385</v>
      </c>
      <c r="E760" t="s">
        <v>321</v>
      </c>
      <c r="F760" t="s">
        <v>108</v>
      </c>
      <c r="G760" t="s">
        <v>380</v>
      </c>
      <c r="H760" t="s">
        <v>323</v>
      </c>
      <c r="I760" t="s">
        <v>323</v>
      </c>
      <c r="J760" t="s">
        <v>324</v>
      </c>
      <c r="K760" t="s">
        <v>345</v>
      </c>
      <c r="L760" t="s">
        <v>346</v>
      </c>
      <c r="M760">
        <v>0.26500000000000001</v>
      </c>
      <c r="N760">
        <v>954</v>
      </c>
      <c r="O760">
        <v>3661.7</v>
      </c>
      <c r="P760">
        <v>3.8382599580712786</v>
      </c>
      <c r="Q760">
        <v>954</v>
      </c>
    </row>
    <row r="761" spans="1:17" x14ac:dyDescent="0.35">
      <c r="A761" s="46">
        <v>46118</v>
      </c>
      <c r="B761" t="s">
        <v>136</v>
      </c>
      <c r="C761" t="s">
        <v>389</v>
      </c>
      <c r="D761" t="s">
        <v>385</v>
      </c>
      <c r="E761" t="s">
        <v>321</v>
      </c>
      <c r="F761" t="s">
        <v>94</v>
      </c>
      <c r="G761" t="s">
        <v>91</v>
      </c>
      <c r="H761" t="s">
        <v>343</v>
      </c>
      <c r="I761" t="s">
        <v>323</v>
      </c>
      <c r="J761" t="s">
        <v>324</v>
      </c>
      <c r="K761" t="s">
        <v>345</v>
      </c>
      <c r="L761" t="s">
        <v>346</v>
      </c>
      <c r="M761">
        <v>0.55527777777777776</v>
      </c>
      <c r="N761">
        <v>1999</v>
      </c>
      <c r="O761">
        <v>6627.2999999999993</v>
      </c>
      <c r="P761">
        <v>3.3153076538269133</v>
      </c>
      <c r="Q761">
        <v>1999</v>
      </c>
    </row>
    <row r="762" spans="1:17" x14ac:dyDescent="0.35">
      <c r="A762" s="46">
        <v>46118</v>
      </c>
      <c r="B762" t="s">
        <v>136</v>
      </c>
      <c r="C762" t="s">
        <v>389</v>
      </c>
      <c r="D762" t="s">
        <v>385</v>
      </c>
      <c r="E762" t="s">
        <v>321</v>
      </c>
      <c r="F762" t="s">
        <v>94</v>
      </c>
      <c r="G762" t="s">
        <v>91</v>
      </c>
      <c r="H762" t="s">
        <v>369</v>
      </c>
      <c r="I762" t="s">
        <v>323</v>
      </c>
      <c r="J762" t="s">
        <v>324</v>
      </c>
      <c r="K762" t="s">
        <v>345</v>
      </c>
      <c r="L762" t="s">
        <v>346</v>
      </c>
      <c r="M762">
        <v>1.1630555555555555</v>
      </c>
      <c r="N762">
        <v>4187</v>
      </c>
      <c r="O762">
        <v>12617.41</v>
      </c>
      <c r="P762">
        <v>3.0134726534511582</v>
      </c>
      <c r="Q762">
        <v>4187</v>
      </c>
    </row>
    <row r="763" spans="1:17" x14ac:dyDescent="0.35">
      <c r="A763" s="46">
        <v>46118</v>
      </c>
      <c r="B763" t="s">
        <v>136</v>
      </c>
      <c r="C763" t="s">
        <v>388</v>
      </c>
      <c r="D763" t="s">
        <v>385</v>
      </c>
      <c r="E763" t="s">
        <v>321</v>
      </c>
      <c r="F763" t="s">
        <v>94</v>
      </c>
      <c r="G763" t="s">
        <v>91</v>
      </c>
      <c r="H763" t="s">
        <v>369</v>
      </c>
      <c r="I763" t="s">
        <v>323</v>
      </c>
      <c r="J763" t="s">
        <v>324</v>
      </c>
      <c r="K763" t="s">
        <v>345</v>
      </c>
      <c r="L763" t="s">
        <v>346</v>
      </c>
      <c r="M763">
        <v>3.7213888888888889</v>
      </c>
      <c r="N763">
        <v>13397</v>
      </c>
      <c r="O763">
        <v>63714.520000000004</v>
      </c>
      <c r="P763">
        <v>4.7558796745540048</v>
      </c>
      <c r="Q763">
        <v>13397</v>
      </c>
    </row>
    <row r="764" spans="1:17" x14ac:dyDescent="0.35">
      <c r="A764" s="46">
        <v>46118</v>
      </c>
      <c r="B764" t="s">
        <v>136</v>
      </c>
      <c r="C764" t="s">
        <v>335</v>
      </c>
      <c r="D764" t="s">
        <v>385</v>
      </c>
      <c r="E764" t="s">
        <v>321</v>
      </c>
      <c r="F764" t="s">
        <v>332</v>
      </c>
      <c r="G764" t="s">
        <v>333</v>
      </c>
      <c r="H764" t="s">
        <v>334</v>
      </c>
      <c r="I764" t="s">
        <v>323</v>
      </c>
      <c r="J764" t="s">
        <v>324</v>
      </c>
      <c r="K764" t="s">
        <v>142</v>
      </c>
      <c r="L764" t="s">
        <v>143</v>
      </c>
      <c r="M764">
        <v>1.0555555555555556E-2</v>
      </c>
      <c r="N764">
        <v>38</v>
      </c>
      <c r="O764">
        <v>147.44</v>
      </c>
      <c r="P764">
        <v>3.88</v>
      </c>
      <c r="Q764">
        <v>38</v>
      </c>
    </row>
    <row r="765" spans="1:17" x14ac:dyDescent="0.35">
      <c r="A765" s="46">
        <v>46118</v>
      </c>
      <c r="B765" t="s">
        <v>136</v>
      </c>
      <c r="C765" t="s">
        <v>389</v>
      </c>
      <c r="D765" t="s">
        <v>385</v>
      </c>
      <c r="E765" t="s">
        <v>321</v>
      </c>
      <c r="F765" t="s">
        <v>322</v>
      </c>
      <c r="G765" t="s">
        <v>322</v>
      </c>
      <c r="H765" t="s">
        <v>322</v>
      </c>
      <c r="I765" t="s">
        <v>323</v>
      </c>
      <c r="J765" t="s">
        <v>324</v>
      </c>
      <c r="K765" t="s">
        <v>142</v>
      </c>
      <c r="L765" t="s">
        <v>143</v>
      </c>
      <c r="M765">
        <v>1.1388888888888889E-2</v>
      </c>
      <c r="N765">
        <v>41</v>
      </c>
      <c r="O765">
        <v>199.26000000000002</v>
      </c>
      <c r="P765">
        <v>4.8600000000000003</v>
      </c>
      <c r="Q765">
        <v>41</v>
      </c>
    </row>
    <row r="766" spans="1:17" x14ac:dyDescent="0.35">
      <c r="A766" s="46">
        <v>46118</v>
      </c>
      <c r="B766" t="s">
        <v>136</v>
      </c>
      <c r="C766" t="s">
        <v>390</v>
      </c>
      <c r="D766" t="s">
        <v>385</v>
      </c>
      <c r="E766" t="s">
        <v>321</v>
      </c>
      <c r="F766" t="s">
        <v>322</v>
      </c>
      <c r="G766" t="s">
        <v>322</v>
      </c>
      <c r="H766" t="s">
        <v>322</v>
      </c>
      <c r="I766" t="s">
        <v>323</v>
      </c>
      <c r="J766" t="s">
        <v>324</v>
      </c>
      <c r="K766" t="s">
        <v>142</v>
      </c>
      <c r="L766" t="s">
        <v>143</v>
      </c>
      <c r="M766">
        <v>4.7500000000000001E-2</v>
      </c>
      <c r="N766">
        <v>171</v>
      </c>
      <c r="O766">
        <v>632.70000000000005</v>
      </c>
      <c r="P766">
        <v>3.7</v>
      </c>
      <c r="Q766">
        <v>171</v>
      </c>
    </row>
    <row r="767" spans="1:17" x14ac:dyDescent="0.35">
      <c r="A767" s="46">
        <v>46118</v>
      </c>
      <c r="B767" t="s">
        <v>136</v>
      </c>
      <c r="C767" t="s">
        <v>390</v>
      </c>
      <c r="D767" t="s">
        <v>385</v>
      </c>
      <c r="E767" t="s">
        <v>321</v>
      </c>
      <c r="F767" t="s">
        <v>108</v>
      </c>
      <c r="G767" t="s">
        <v>380</v>
      </c>
      <c r="H767" t="s">
        <v>371</v>
      </c>
      <c r="I767" t="s">
        <v>323</v>
      </c>
      <c r="J767" t="s">
        <v>324</v>
      </c>
      <c r="K767" t="s">
        <v>142</v>
      </c>
      <c r="L767" t="s">
        <v>143</v>
      </c>
      <c r="M767">
        <v>6.8888888888888888E-2</v>
      </c>
      <c r="N767">
        <v>248</v>
      </c>
      <c r="O767">
        <v>734.08</v>
      </c>
      <c r="P767">
        <v>2.96</v>
      </c>
      <c r="Q767">
        <v>248</v>
      </c>
    </row>
    <row r="768" spans="1:17" x14ac:dyDescent="0.35">
      <c r="A768" s="46">
        <v>46118</v>
      </c>
      <c r="B768" t="s">
        <v>136</v>
      </c>
      <c r="C768" t="s">
        <v>389</v>
      </c>
      <c r="D768" t="s">
        <v>385</v>
      </c>
      <c r="E768" t="s">
        <v>321</v>
      </c>
      <c r="F768" t="s">
        <v>94</v>
      </c>
      <c r="G768" t="s">
        <v>91</v>
      </c>
      <c r="H768" t="s">
        <v>369</v>
      </c>
      <c r="I768" t="s">
        <v>323</v>
      </c>
      <c r="J768" t="s">
        <v>324</v>
      </c>
      <c r="K768" t="s">
        <v>142</v>
      </c>
      <c r="L768" t="s">
        <v>143</v>
      </c>
      <c r="M768">
        <v>3.6388888888888887E-2</v>
      </c>
      <c r="N768">
        <v>131</v>
      </c>
      <c r="O768">
        <v>863.29</v>
      </c>
      <c r="P768">
        <v>6.59</v>
      </c>
      <c r="Q768">
        <v>131</v>
      </c>
    </row>
    <row r="769" spans="1:17" x14ac:dyDescent="0.35">
      <c r="A769" s="46">
        <v>46118</v>
      </c>
      <c r="B769" t="s">
        <v>136</v>
      </c>
      <c r="C769" t="s">
        <v>335</v>
      </c>
      <c r="D769" t="s">
        <v>385</v>
      </c>
      <c r="E769" t="s">
        <v>321</v>
      </c>
      <c r="F769" t="s">
        <v>108</v>
      </c>
      <c r="G769" t="s">
        <v>380</v>
      </c>
      <c r="H769" t="s">
        <v>323</v>
      </c>
      <c r="I769" t="s">
        <v>323</v>
      </c>
      <c r="J769" t="s">
        <v>324</v>
      </c>
      <c r="K769" t="s">
        <v>142</v>
      </c>
      <c r="L769" t="s">
        <v>143</v>
      </c>
      <c r="M769">
        <v>6.6666666666666666E-2</v>
      </c>
      <c r="N769">
        <v>240</v>
      </c>
      <c r="O769">
        <v>1308</v>
      </c>
      <c r="P769">
        <v>5.45</v>
      </c>
      <c r="Q769">
        <v>240</v>
      </c>
    </row>
    <row r="770" spans="1:17" x14ac:dyDescent="0.35">
      <c r="A770" s="46">
        <v>46118</v>
      </c>
      <c r="B770" t="s">
        <v>136</v>
      </c>
      <c r="C770" t="s">
        <v>390</v>
      </c>
      <c r="D770" t="s">
        <v>385</v>
      </c>
      <c r="E770" t="s">
        <v>321</v>
      </c>
      <c r="F770" t="s">
        <v>108</v>
      </c>
      <c r="G770" t="s">
        <v>380</v>
      </c>
      <c r="H770" t="s">
        <v>323</v>
      </c>
      <c r="I770" t="s">
        <v>323</v>
      </c>
      <c r="J770" t="s">
        <v>324</v>
      </c>
      <c r="K770" t="s">
        <v>142</v>
      </c>
      <c r="L770" t="s">
        <v>143</v>
      </c>
      <c r="M770">
        <v>8.638888888888889E-2</v>
      </c>
      <c r="N770">
        <v>311</v>
      </c>
      <c r="O770">
        <v>1632.0700000000002</v>
      </c>
      <c r="P770">
        <v>5.247813504823152</v>
      </c>
      <c r="Q770">
        <v>311</v>
      </c>
    </row>
    <row r="771" spans="1:17" x14ac:dyDescent="0.35">
      <c r="A771" s="46">
        <v>46118</v>
      </c>
      <c r="B771" t="s">
        <v>136</v>
      </c>
      <c r="C771" t="s">
        <v>335</v>
      </c>
      <c r="D771" t="s">
        <v>385</v>
      </c>
      <c r="E771" t="s">
        <v>321</v>
      </c>
      <c r="F771" t="s">
        <v>328</v>
      </c>
      <c r="G771" t="s">
        <v>329</v>
      </c>
      <c r="H771" t="s">
        <v>326</v>
      </c>
      <c r="I771" t="s">
        <v>323</v>
      </c>
      <c r="J771" t="s">
        <v>324</v>
      </c>
      <c r="K771" t="s">
        <v>142</v>
      </c>
      <c r="L771" t="s">
        <v>143</v>
      </c>
      <c r="M771">
        <v>8.5277777777777772E-2</v>
      </c>
      <c r="N771">
        <v>307</v>
      </c>
      <c r="O771">
        <v>1756.38</v>
      </c>
      <c r="P771">
        <v>5.721107491856678</v>
      </c>
      <c r="Q771">
        <v>307</v>
      </c>
    </row>
    <row r="772" spans="1:17" x14ac:dyDescent="0.35">
      <c r="A772" s="46">
        <v>46118</v>
      </c>
      <c r="B772" t="s">
        <v>136</v>
      </c>
      <c r="C772" t="s">
        <v>335</v>
      </c>
      <c r="D772" t="s">
        <v>385</v>
      </c>
      <c r="E772" t="s">
        <v>321</v>
      </c>
      <c r="F772" t="s">
        <v>322</v>
      </c>
      <c r="G772" t="s">
        <v>322</v>
      </c>
      <c r="H772" t="s">
        <v>322</v>
      </c>
      <c r="I772" t="s">
        <v>323</v>
      </c>
      <c r="J772" t="s">
        <v>324</v>
      </c>
      <c r="K772" t="s">
        <v>142</v>
      </c>
      <c r="L772" t="s">
        <v>143</v>
      </c>
      <c r="M772">
        <v>9.6944444444444444E-2</v>
      </c>
      <c r="N772">
        <v>349</v>
      </c>
      <c r="O772">
        <v>1996.28</v>
      </c>
      <c r="P772">
        <v>5.72</v>
      </c>
      <c r="Q772">
        <v>349</v>
      </c>
    </row>
    <row r="773" spans="1:17" x14ac:dyDescent="0.35">
      <c r="A773" s="46">
        <v>46118</v>
      </c>
      <c r="B773" t="s">
        <v>136</v>
      </c>
      <c r="C773" t="s">
        <v>389</v>
      </c>
      <c r="D773" t="s">
        <v>385</v>
      </c>
      <c r="E773" t="s">
        <v>321</v>
      </c>
      <c r="F773" t="s">
        <v>94</v>
      </c>
      <c r="G773" t="s">
        <v>91</v>
      </c>
      <c r="H773" t="s">
        <v>343</v>
      </c>
      <c r="I773" t="s">
        <v>323</v>
      </c>
      <c r="J773" t="s">
        <v>324</v>
      </c>
      <c r="K773" t="s">
        <v>142</v>
      </c>
      <c r="L773" t="s">
        <v>143</v>
      </c>
      <c r="M773">
        <v>9.1388888888888895E-2</v>
      </c>
      <c r="N773">
        <v>329</v>
      </c>
      <c r="O773">
        <v>2135.1099999999997</v>
      </c>
      <c r="P773">
        <v>6.4896960486322177</v>
      </c>
      <c r="Q773">
        <v>329</v>
      </c>
    </row>
    <row r="774" spans="1:17" x14ac:dyDescent="0.35">
      <c r="A774" s="46">
        <v>46118</v>
      </c>
      <c r="B774" t="s">
        <v>136</v>
      </c>
      <c r="C774" t="s">
        <v>388</v>
      </c>
      <c r="D774" t="s">
        <v>385</v>
      </c>
      <c r="E774" t="s">
        <v>321</v>
      </c>
      <c r="F774" t="s">
        <v>94</v>
      </c>
      <c r="G774" t="s">
        <v>91</v>
      </c>
      <c r="H774" t="s">
        <v>369</v>
      </c>
      <c r="I774" t="s">
        <v>323</v>
      </c>
      <c r="J774" t="s">
        <v>324</v>
      </c>
      <c r="K774" t="s">
        <v>375</v>
      </c>
      <c r="L774" t="s">
        <v>376</v>
      </c>
      <c r="M774">
        <v>1.0525</v>
      </c>
      <c r="N774">
        <v>3789</v>
      </c>
      <c r="O774">
        <v>0</v>
      </c>
    </row>
    <row r="775" spans="1:17" x14ac:dyDescent="0.35">
      <c r="A775" s="46">
        <v>46118</v>
      </c>
      <c r="B775" t="s">
        <v>136</v>
      </c>
      <c r="C775" t="s">
        <v>389</v>
      </c>
      <c r="D775" t="s">
        <v>385</v>
      </c>
      <c r="E775" t="s">
        <v>321</v>
      </c>
      <c r="F775" t="s">
        <v>94</v>
      </c>
      <c r="G775" t="s">
        <v>91</v>
      </c>
      <c r="H775" t="s">
        <v>343</v>
      </c>
      <c r="I775" t="s">
        <v>323</v>
      </c>
      <c r="J775" t="s">
        <v>324</v>
      </c>
      <c r="K775" t="s">
        <v>200</v>
      </c>
      <c r="L775" t="s">
        <v>201</v>
      </c>
      <c r="M775">
        <v>3.8888888888888888E-3</v>
      </c>
      <c r="N775">
        <v>14</v>
      </c>
    </row>
    <row r="776" spans="1:17" x14ac:dyDescent="0.35">
      <c r="A776" s="46">
        <v>46118</v>
      </c>
      <c r="B776" t="s">
        <v>136</v>
      </c>
      <c r="C776" t="s">
        <v>390</v>
      </c>
      <c r="D776" t="s">
        <v>385</v>
      </c>
      <c r="E776" t="s">
        <v>321</v>
      </c>
      <c r="F776" t="s">
        <v>322</v>
      </c>
      <c r="G776" t="s">
        <v>322</v>
      </c>
      <c r="H776" t="s">
        <v>322</v>
      </c>
      <c r="I776" t="s">
        <v>323</v>
      </c>
      <c r="J776" t="s">
        <v>324</v>
      </c>
      <c r="K776" t="s">
        <v>200</v>
      </c>
      <c r="L776" t="s">
        <v>201</v>
      </c>
      <c r="M776">
        <v>3.9166666666666669E-2</v>
      </c>
      <c r="N776">
        <v>141</v>
      </c>
      <c r="O776">
        <v>0</v>
      </c>
    </row>
    <row r="777" spans="1:17" x14ac:dyDescent="0.35">
      <c r="A777" s="46">
        <v>46118</v>
      </c>
      <c r="B777" t="s">
        <v>136</v>
      </c>
      <c r="C777" t="s">
        <v>389</v>
      </c>
      <c r="D777" t="s">
        <v>385</v>
      </c>
      <c r="E777" t="s">
        <v>321</v>
      </c>
      <c r="F777" t="s">
        <v>322</v>
      </c>
      <c r="G777" t="s">
        <v>322</v>
      </c>
      <c r="H777" t="s">
        <v>322</v>
      </c>
      <c r="I777" t="s">
        <v>323</v>
      </c>
      <c r="J777" t="s">
        <v>324</v>
      </c>
      <c r="K777" t="s">
        <v>200</v>
      </c>
      <c r="L777" t="s">
        <v>201</v>
      </c>
      <c r="M777">
        <v>0.16361111111111112</v>
      </c>
      <c r="N777">
        <v>589</v>
      </c>
      <c r="O777">
        <v>0</v>
      </c>
    </row>
    <row r="778" spans="1:17" x14ac:dyDescent="0.35">
      <c r="A778" s="46">
        <v>46118</v>
      </c>
      <c r="B778" t="s">
        <v>136</v>
      </c>
      <c r="C778" t="s">
        <v>335</v>
      </c>
      <c r="D778" t="s">
        <v>385</v>
      </c>
      <c r="E778" t="s">
        <v>321</v>
      </c>
      <c r="F778" t="s">
        <v>322</v>
      </c>
      <c r="G778" t="s">
        <v>322</v>
      </c>
      <c r="H778" t="s">
        <v>322</v>
      </c>
      <c r="I778" t="s">
        <v>323</v>
      </c>
      <c r="J778" t="s">
        <v>324</v>
      </c>
      <c r="K778" t="s">
        <v>200</v>
      </c>
      <c r="L778" t="s">
        <v>201</v>
      </c>
      <c r="M778">
        <v>5.3611111111111109E-2</v>
      </c>
      <c r="N778">
        <v>193</v>
      </c>
      <c r="O778">
        <v>0</v>
      </c>
    </row>
    <row r="779" spans="1:17" x14ac:dyDescent="0.35">
      <c r="A779" s="46">
        <v>46118</v>
      </c>
      <c r="B779" t="s">
        <v>136</v>
      </c>
      <c r="C779" t="s">
        <v>389</v>
      </c>
      <c r="D779" t="s">
        <v>385</v>
      </c>
      <c r="E779" t="s">
        <v>321</v>
      </c>
      <c r="F779" t="s">
        <v>94</v>
      </c>
      <c r="G779" t="s">
        <v>91</v>
      </c>
      <c r="H779" t="s">
        <v>369</v>
      </c>
      <c r="I779" t="s">
        <v>323</v>
      </c>
      <c r="J779" t="s">
        <v>324</v>
      </c>
      <c r="K779" t="s">
        <v>200</v>
      </c>
      <c r="L779" t="s">
        <v>201</v>
      </c>
      <c r="M779">
        <v>1.9822222222222223</v>
      </c>
      <c r="N779">
        <v>7136</v>
      </c>
      <c r="O779">
        <v>0</v>
      </c>
    </row>
    <row r="780" spans="1:17" x14ac:dyDescent="0.35">
      <c r="A780" s="46">
        <v>46118</v>
      </c>
      <c r="B780" t="s">
        <v>136</v>
      </c>
      <c r="C780" t="s">
        <v>388</v>
      </c>
      <c r="D780" t="s">
        <v>385</v>
      </c>
      <c r="E780" t="s">
        <v>321</v>
      </c>
      <c r="F780" t="s">
        <v>94</v>
      </c>
      <c r="G780" t="s">
        <v>91</v>
      </c>
      <c r="H780" t="s">
        <v>369</v>
      </c>
      <c r="I780" t="s">
        <v>323</v>
      </c>
      <c r="J780" t="s">
        <v>324</v>
      </c>
      <c r="K780" t="s">
        <v>200</v>
      </c>
      <c r="L780" t="s">
        <v>201</v>
      </c>
      <c r="M780">
        <v>1.3647222222222222</v>
      </c>
      <c r="N780">
        <v>4913</v>
      </c>
      <c r="O780">
        <v>0</v>
      </c>
    </row>
    <row r="781" spans="1:17" x14ac:dyDescent="0.35">
      <c r="A781" s="46">
        <v>46118</v>
      </c>
      <c r="B781" t="s">
        <v>136</v>
      </c>
      <c r="C781" t="s">
        <v>335</v>
      </c>
      <c r="D781" t="s">
        <v>385</v>
      </c>
      <c r="E781" t="s">
        <v>321</v>
      </c>
      <c r="F781" t="s">
        <v>332</v>
      </c>
      <c r="G781" t="s">
        <v>333</v>
      </c>
      <c r="H781" t="s">
        <v>334</v>
      </c>
      <c r="I781" t="s">
        <v>323</v>
      </c>
      <c r="J781" t="s">
        <v>324</v>
      </c>
      <c r="K781" t="s">
        <v>200</v>
      </c>
      <c r="L781" t="s">
        <v>201</v>
      </c>
      <c r="M781">
        <v>8.666666666666667E-2</v>
      </c>
      <c r="N781">
        <v>312</v>
      </c>
      <c r="O781">
        <v>0</v>
      </c>
    </row>
    <row r="782" spans="1:17" x14ac:dyDescent="0.35">
      <c r="A782" s="46">
        <v>46118</v>
      </c>
      <c r="B782" t="s">
        <v>136</v>
      </c>
      <c r="C782" t="s">
        <v>390</v>
      </c>
      <c r="D782" t="s">
        <v>385</v>
      </c>
      <c r="E782" t="s">
        <v>321</v>
      </c>
      <c r="F782" t="s">
        <v>108</v>
      </c>
      <c r="G782" t="s">
        <v>380</v>
      </c>
      <c r="H782" t="s">
        <v>323</v>
      </c>
      <c r="I782" t="s">
        <v>323</v>
      </c>
      <c r="J782" t="s">
        <v>324</v>
      </c>
      <c r="K782" t="s">
        <v>200</v>
      </c>
      <c r="L782" t="s">
        <v>201</v>
      </c>
      <c r="M782">
        <v>0.44666666666666666</v>
      </c>
      <c r="N782">
        <v>1608</v>
      </c>
      <c r="O782">
        <v>0</v>
      </c>
    </row>
    <row r="783" spans="1:17" x14ac:dyDescent="0.35">
      <c r="A783" s="46">
        <v>46118</v>
      </c>
      <c r="B783" t="s">
        <v>136</v>
      </c>
      <c r="C783" t="s">
        <v>389</v>
      </c>
      <c r="D783" t="s">
        <v>385</v>
      </c>
      <c r="E783" t="s">
        <v>321</v>
      </c>
      <c r="F783" t="s">
        <v>108</v>
      </c>
      <c r="G783" t="s">
        <v>380</v>
      </c>
      <c r="H783" t="s">
        <v>323</v>
      </c>
      <c r="I783" t="s">
        <v>323</v>
      </c>
      <c r="J783" t="s">
        <v>324</v>
      </c>
      <c r="K783" t="s">
        <v>200</v>
      </c>
      <c r="L783" t="s">
        <v>201</v>
      </c>
      <c r="M783">
        <v>1.5633333333333332</v>
      </c>
      <c r="N783">
        <v>5628</v>
      </c>
      <c r="O783">
        <v>0</v>
      </c>
    </row>
    <row r="784" spans="1:17" x14ac:dyDescent="0.35">
      <c r="A784" s="46">
        <v>46118</v>
      </c>
      <c r="B784" t="s">
        <v>136</v>
      </c>
      <c r="C784" t="s">
        <v>335</v>
      </c>
      <c r="D784" t="s">
        <v>385</v>
      </c>
      <c r="E784" t="s">
        <v>321</v>
      </c>
      <c r="F784" t="s">
        <v>328</v>
      </c>
      <c r="G784" t="s">
        <v>329</v>
      </c>
      <c r="H784" t="s">
        <v>326</v>
      </c>
      <c r="I784" t="s">
        <v>323</v>
      </c>
      <c r="J784" t="s">
        <v>324</v>
      </c>
      <c r="K784" t="s">
        <v>200</v>
      </c>
      <c r="L784" t="s">
        <v>201</v>
      </c>
      <c r="M784">
        <v>0.34</v>
      </c>
      <c r="N784">
        <v>1224</v>
      </c>
      <c r="O784">
        <v>0</v>
      </c>
    </row>
    <row r="785" spans="1:17" x14ac:dyDescent="0.35">
      <c r="A785" s="46">
        <v>46118</v>
      </c>
      <c r="B785" t="s">
        <v>136</v>
      </c>
      <c r="C785" t="s">
        <v>388</v>
      </c>
      <c r="D785" t="s">
        <v>385</v>
      </c>
      <c r="E785" t="s">
        <v>321</v>
      </c>
      <c r="F785" t="s">
        <v>94</v>
      </c>
      <c r="G785" t="s">
        <v>91</v>
      </c>
      <c r="H785" t="s">
        <v>369</v>
      </c>
      <c r="I785" t="s">
        <v>323</v>
      </c>
      <c r="J785" t="s">
        <v>324</v>
      </c>
      <c r="K785" t="s">
        <v>348</v>
      </c>
      <c r="L785" t="s">
        <v>349</v>
      </c>
      <c r="M785">
        <v>0.17416666666666666</v>
      </c>
      <c r="N785">
        <v>627</v>
      </c>
      <c r="O785">
        <v>0</v>
      </c>
    </row>
    <row r="786" spans="1:17" x14ac:dyDescent="0.35">
      <c r="A786" s="46">
        <v>46118</v>
      </c>
      <c r="B786" t="s">
        <v>136</v>
      </c>
      <c r="C786" t="s">
        <v>389</v>
      </c>
      <c r="D786" t="s">
        <v>385</v>
      </c>
      <c r="E786" t="s">
        <v>321</v>
      </c>
      <c r="F786" t="s">
        <v>322</v>
      </c>
      <c r="G786" t="s">
        <v>322</v>
      </c>
      <c r="H786" t="s">
        <v>322</v>
      </c>
      <c r="I786" t="s">
        <v>323</v>
      </c>
      <c r="J786" t="s">
        <v>324</v>
      </c>
      <c r="K786" t="s">
        <v>350</v>
      </c>
      <c r="L786" t="s">
        <v>351</v>
      </c>
      <c r="M786">
        <v>2.6111111111111113E-2</v>
      </c>
      <c r="N786">
        <v>94</v>
      </c>
      <c r="O786">
        <v>195.52</v>
      </c>
      <c r="P786">
        <v>2.08</v>
      </c>
      <c r="Q786">
        <v>94</v>
      </c>
    </row>
    <row r="787" spans="1:17" x14ac:dyDescent="0.35">
      <c r="A787" s="46">
        <v>46118</v>
      </c>
      <c r="B787" t="s">
        <v>136</v>
      </c>
      <c r="C787" t="s">
        <v>389</v>
      </c>
      <c r="D787" t="s">
        <v>385</v>
      </c>
      <c r="E787" t="s">
        <v>321</v>
      </c>
      <c r="F787" t="s">
        <v>108</v>
      </c>
      <c r="G787" t="s">
        <v>380</v>
      </c>
      <c r="H787" t="s">
        <v>323</v>
      </c>
      <c r="I787" t="s">
        <v>323</v>
      </c>
      <c r="J787" t="s">
        <v>324</v>
      </c>
      <c r="K787" t="s">
        <v>350</v>
      </c>
      <c r="L787" t="s">
        <v>351</v>
      </c>
      <c r="M787">
        <v>2.6111111111111113E-2</v>
      </c>
      <c r="N787">
        <v>94</v>
      </c>
      <c r="O787">
        <v>268.83999999999997</v>
      </c>
      <c r="P787">
        <v>2.86</v>
      </c>
      <c r="Q787">
        <v>94</v>
      </c>
    </row>
    <row r="788" spans="1:17" x14ac:dyDescent="0.35">
      <c r="A788" s="46">
        <v>46118</v>
      </c>
      <c r="B788" t="s">
        <v>136</v>
      </c>
      <c r="C788" t="s">
        <v>390</v>
      </c>
      <c r="D788" t="s">
        <v>385</v>
      </c>
      <c r="E788" t="s">
        <v>321</v>
      </c>
      <c r="F788" t="s">
        <v>322</v>
      </c>
      <c r="G788" t="s">
        <v>322</v>
      </c>
      <c r="H788" t="s">
        <v>322</v>
      </c>
      <c r="I788" t="s">
        <v>323</v>
      </c>
      <c r="J788" t="s">
        <v>324</v>
      </c>
      <c r="K788" t="s">
        <v>350</v>
      </c>
      <c r="L788" t="s">
        <v>351</v>
      </c>
      <c r="M788">
        <v>0.10138888888888889</v>
      </c>
      <c r="N788">
        <v>365</v>
      </c>
      <c r="O788">
        <v>813.95</v>
      </c>
      <c r="P788">
        <v>2.23</v>
      </c>
      <c r="Q788">
        <v>365</v>
      </c>
    </row>
    <row r="789" spans="1:17" x14ac:dyDescent="0.35">
      <c r="A789" s="46">
        <v>46118</v>
      </c>
      <c r="B789" t="s">
        <v>136</v>
      </c>
      <c r="C789" t="s">
        <v>389</v>
      </c>
      <c r="D789" t="s">
        <v>385</v>
      </c>
      <c r="E789" t="s">
        <v>321</v>
      </c>
      <c r="F789" t="s">
        <v>94</v>
      </c>
      <c r="G789" t="s">
        <v>91</v>
      </c>
      <c r="H789" t="s">
        <v>343</v>
      </c>
      <c r="I789" t="s">
        <v>323</v>
      </c>
      <c r="J789" t="s">
        <v>324</v>
      </c>
      <c r="K789" t="s">
        <v>350</v>
      </c>
      <c r="L789" t="s">
        <v>351</v>
      </c>
      <c r="M789">
        <v>0.28361111111111109</v>
      </c>
      <c r="N789">
        <v>1021</v>
      </c>
      <c r="O789">
        <v>2061.2800000000002</v>
      </c>
      <c r="P789">
        <v>2.08</v>
      </c>
      <c r="Q789">
        <v>991</v>
      </c>
    </row>
    <row r="790" spans="1:17" x14ac:dyDescent="0.35">
      <c r="A790" s="46">
        <v>46118</v>
      </c>
      <c r="B790" t="s">
        <v>136</v>
      </c>
      <c r="C790" t="s">
        <v>390</v>
      </c>
      <c r="D790" t="s">
        <v>385</v>
      </c>
      <c r="E790" t="s">
        <v>321</v>
      </c>
      <c r="F790" t="s">
        <v>108</v>
      </c>
      <c r="G790" t="s">
        <v>380</v>
      </c>
      <c r="H790" t="s">
        <v>371</v>
      </c>
      <c r="I790" t="s">
        <v>323</v>
      </c>
      <c r="J790" t="s">
        <v>324</v>
      </c>
      <c r="K790" t="s">
        <v>350</v>
      </c>
      <c r="L790" t="s">
        <v>351</v>
      </c>
      <c r="M790">
        <v>0.26472222222222225</v>
      </c>
      <c r="N790">
        <v>953</v>
      </c>
      <c r="O790">
        <v>2163.31</v>
      </c>
      <c r="P790">
        <v>2.27</v>
      </c>
      <c r="Q790">
        <v>953</v>
      </c>
    </row>
    <row r="791" spans="1:17" x14ac:dyDescent="0.35">
      <c r="A791" s="46">
        <v>46118</v>
      </c>
      <c r="B791" t="s">
        <v>136</v>
      </c>
      <c r="C791" t="s">
        <v>390</v>
      </c>
      <c r="D791" t="s">
        <v>385</v>
      </c>
      <c r="E791" t="s">
        <v>321</v>
      </c>
      <c r="F791" t="s">
        <v>108</v>
      </c>
      <c r="G791" t="s">
        <v>380</v>
      </c>
      <c r="H791" t="s">
        <v>323</v>
      </c>
      <c r="I791" t="s">
        <v>323</v>
      </c>
      <c r="J791" t="s">
        <v>324</v>
      </c>
      <c r="K791" t="s">
        <v>350</v>
      </c>
      <c r="L791" t="s">
        <v>351</v>
      </c>
      <c r="M791">
        <v>0.2663888888888889</v>
      </c>
      <c r="N791">
        <v>959</v>
      </c>
      <c r="O791">
        <v>2281.21</v>
      </c>
      <c r="P791">
        <v>2.3787382690302397</v>
      </c>
      <c r="Q791">
        <v>959</v>
      </c>
    </row>
    <row r="792" spans="1:17" x14ac:dyDescent="0.35">
      <c r="A792" s="46">
        <v>46118</v>
      </c>
      <c r="B792" t="s">
        <v>136</v>
      </c>
      <c r="C792" t="s">
        <v>389</v>
      </c>
      <c r="D792" t="s">
        <v>385</v>
      </c>
      <c r="E792" t="s">
        <v>321</v>
      </c>
      <c r="F792" t="s">
        <v>94</v>
      </c>
      <c r="G792" t="s">
        <v>91</v>
      </c>
      <c r="H792" t="s">
        <v>369</v>
      </c>
      <c r="I792" t="s">
        <v>323</v>
      </c>
      <c r="J792" t="s">
        <v>324</v>
      </c>
      <c r="K792" t="s">
        <v>350</v>
      </c>
      <c r="L792" t="s">
        <v>351</v>
      </c>
      <c r="M792">
        <v>0.24277777777777779</v>
      </c>
      <c r="N792">
        <v>874</v>
      </c>
      <c r="O792">
        <v>2305.29</v>
      </c>
      <c r="P792">
        <v>2.6376315789473685</v>
      </c>
      <c r="Q792">
        <v>874</v>
      </c>
    </row>
    <row r="793" spans="1:17" x14ac:dyDescent="0.35">
      <c r="A793" s="46">
        <v>46118</v>
      </c>
      <c r="B793" t="s">
        <v>136</v>
      </c>
      <c r="C793" t="s">
        <v>388</v>
      </c>
      <c r="D793" t="s">
        <v>385</v>
      </c>
      <c r="E793" t="s">
        <v>321</v>
      </c>
      <c r="F793" t="s">
        <v>94</v>
      </c>
      <c r="G793" t="s">
        <v>91</v>
      </c>
      <c r="H793" t="s">
        <v>369</v>
      </c>
      <c r="I793" t="s">
        <v>323</v>
      </c>
      <c r="J793" t="s">
        <v>324</v>
      </c>
      <c r="K793" t="s">
        <v>350</v>
      </c>
      <c r="L793" t="s">
        <v>351</v>
      </c>
      <c r="M793">
        <v>0.71027777777777779</v>
      </c>
      <c r="N793">
        <v>2557</v>
      </c>
      <c r="O793">
        <v>5438.29</v>
      </c>
      <c r="P793">
        <v>2.1268244035979662</v>
      </c>
      <c r="Q793">
        <v>2557</v>
      </c>
    </row>
    <row r="794" spans="1:17" x14ac:dyDescent="0.35">
      <c r="A794" s="46">
        <v>46118</v>
      </c>
      <c r="B794" t="s">
        <v>136</v>
      </c>
      <c r="C794" t="s">
        <v>389</v>
      </c>
      <c r="D794" t="s">
        <v>385</v>
      </c>
      <c r="E794" t="s">
        <v>321</v>
      </c>
      <c r="F794" t="s">
        <v>94</v>
      </c>
      <c r="G794" t="s">
        <v>91</v>
      </c>
      <c r="H794" t="s">
        <v>343</v>
      </c>
      <c r="I794" t="s">
        <v>323</v>
      </c>
      <c r="J794" t="s">
        <v>324</v>
      </c>
      <c r="K794" t="s">
        <v>383</v>
      </c>
      <c r="L794" t="s">
        <v>384</v>
      </c>
      <c r="M794">
        <v>3.3333333333333333E-2</v>
      </c>
      <c r="N794">
        <v>120</v>
      </c>
    </row>
    <row r="795" spans="1:17" x14ac:dyDescent="0.35">
      <c r="A795" s="46">
        <v>46118</v>
      </c>
      <c r="B795" t="s">
        <v>136</v>
      </c>
      <c r="C795" t="s">
        <v>389</v>
      </c>
      <c r="D795" t="s">
        <v>385</v>
      </c>
      <c r="E795" t="s">
        <v>321</v>
      </c>
      <c r="F795" t="s">
        <v>322</v>
      </c>
      <c r="G795" t="s">
        <v>322</v>
      </c>
      <c r="H795" t="s">
        <v>322</v>
      </c>
      <c r="I795" t="s">
        <v>323</v>
      </c>
      <c r="J795" t="s">
        <v>324</v>
      </c>
      <c r="K795" t="s">
        <v>383</v>
      </c>
      <c r="L795" t="s">
        <v>384</v>
      </c>
      <c r="M795">
        <v>1.1947222222222222</v>
      </c>
      <c r="N795">
        <v>4301</v>
      </c>
      <c r="O795">
        <v>0</v>
      </c>
    </row>
    <row r="796" spans="1:17" x14ac:dyDescent="0.35">
      <c r="A796" s="46">
        <v>46118</v>
      </c>
      <c r="B796" t="s">
        <v>136</v>
      </c>
      <c r="C796" t="s">
        <v>389</v>
      </c>
      <c r="D796" t="s">
        <v>385</v>
      </c>
      <c r="E796" t="s">
        <v>321</v>
      </c>
      <c r="F796" t="s">
        <v>332</v>
      </c>
      <c r="G796" t="s">
        <v>333</v>
      </c>
      <c r="H796" t="s">
        <v>327</v>
      </c>
      <c r="I796" t="s">
        <v>323</v>
      </c>
      <c r="J796" t="s">
        <v>324</v>
      </c>
      <c r="K796" t="s">
        <v>383</v>
      </c>
      <c r="L796" t="s">
        <v>384</v>
      </c>
      <c r="M796">
        <v>0.5</v>
      </c>
      <c r="N796">
        <v>1800</v>
      </c>
      <c r="O796">
        <v>0</v>
      </c>
    </row>
    <row r="797" spans="1:17" x14ac:dyDescent="0.35">
      <c r="A797" s="46">
        <v>46118</v>
      </c>
      <c r="B797" t="s">
        <v>136</v>
      </c>
      <c r="C797" t="s">
        <v>389</v>
      </c>
      <c r="D797" t="s">
        <v>385</v>
      </c>
      <c r="E797" t="s">
        <v>321</v>
      </c>
      <c r="F797" t="s">
        <v>92</v>
      </c>
      <c r="G797" t="s">
        <v>325</v>
      </c>
      <c r="H797" t="s">
        <v>334</v>
      </c>
      <c r="I797" t="s">
        <v>323</v>
      </c>
      <c r="J797" t="s">
        <v>324</v>
      </c>
      <c r="K797" t="s">
        <v>383</v>
      </c>
      <c r="L797" t="s">
        <v>384</v>
      </c>
      <c r="M797">
        <v>0.24249999999999999</v>
      </c>
      <c r="N797">
        <v>873</v>
      </c>
      <c r="O797">
        <v>0</v>
      </c>
    </row>
    <row r="798" spans="1:17" x14ac:dyDescent="0.35">
      <c r="A798" s="46">
        <v>46118</v>
      </c>
      <c r="B798" t="s">
        <v>136</v>
      </c>
      <c r="C798" t="s">
        <v>388</v>
      </c>
      <c r="D798" t="s">
        <v>385</v>
      </c>
      <c r="E798" t="s">
        <v>321</v>
      </c>
      <c r="F798" t="s">
        <v>94</v>
      </c>
      <c r="G798" t="s">
        <v>91</v>
      </c>
      <c r="H798" t="s">
        <v>369</v>
      </c>
      <c r="I798" t="s">
        <v>323</v>
      </c>
      <c r="J798" t="s">
        <v>324</v>
      </c>
      <c r="K798" t="s">
        <v>174</v>
      </c>
      <c r="L798" t="s">
        <v>175</v>
      </c>
      <c r="M798">
        <v>0.21611111111111111</v>
      </c>
      <c r="N798">
        <v>778</v>
      </c>
      <c r="O798">
        <v>0</v>
      </c>
    </row>
    <row r="799" spans="1:17" x14ac:dyDescent="0.35">
      <c r="A799" s="46">
        <v>46118</v>
      </c>
      <c r="B799" t="s">
        <v>136</v>
      </c>
      <c r="C799" t="s">
        <v>335</v>
      </c>
      <c r="D799" t="s">
        <v>385</v>
      </c>
      <c r="E799" t="s">
        <v>321</v>
      </c>
      <c r="F799" t="s">
        <v>332</v>
      </c>
      <c r="G799" t="s">
        <v>333</v>
      </c>
      <c r="H799" t="s">
        <v>334</v>
      </c>
      <c r="I799" t="s">
        <v>323</v>
      </c>
      <c r="J799" t="s">
        <v>324</v>
      </c>
      <c r="K799" t="s">
        <v>170</v>
      </c>
      <c r="L799" t="s">
        <v>171</v>
      </c>
      <c r="M799">
        <v>5.8274999999999997</v>
      </c>
      <c r="N799">
        <v>20979</v>
      </c>
      <c r="O799">
        <v>0</v>
      </c>
    </row>
    <row r="800" spans="1:17" x14ac:dyDescent="0.35">
      <c r="A800" s="46">
        <v>46118</v>
      </c>
      <c r="B800" t="s">
        <v>136</v>
      </c>
      <c r="C800" t="s">
        <v>389</v>
      </c>
      <c r="D800" t="s">
        <v>385</v>
      </c>
      <c r="E800" t="s">
        <v>321</v>
      </c>
      <c r="F800" t="s">
        <v>94</v>
      </c>
      <c r="G800" t="s">
        <v>91</v>
      </c>
      <c r="H800" t="s">
        <v>369</v>
      </c>
      <c r="I800" t="s">
        <v>323</v>
      </c>
      <c r="J800" t="s">
        <v>324</v>
      </c>
      <c r="K800" t="s">
        <v>178</v>
      </c>
      <c r="L800" t="s">
        <v>179</v>
      </c>
      <c r="M800">
        <v>4.777777777777778E-2</v>
      </c>
      <c r="N800">
        <v>172</v>
      </c>
      <c r="O800">
        <v>0</v>
      </c>
    </row>
    <row r="801" spans="1:17" x14ac:dyDescent="0.35">
      <c r="A801" s="46">
        <v>46118</v>
      </c>
      <c r="B801" t="s">
        <v>136</v>
      </c>
      <c r="C801" t="s">
        <v>389</v>
      </c>
      <c r="D801" t="s">
        <v>385</v>
      </c>
      <c r="E801" t="s">
        <v>321</v>
      </c>
      <c r="F801" t="s">
        <v>94</v>
      </c>
      <c r="G801" t="s">
        <v>91</v>
      </c>
      <c r="H801" t="s">
        <v>343</v>
      </c>
      <c r="I801" t="s">
        <v>323</v>
      </c>
      <c r="J801" t="s">
        <v>324</v>
      </c>
      <c r="K801" t="s">
        <v>178</v>
      </c>
      <c r="L801" t="s">
        <v>179</v>
      </c>
      <c r="M801">
        <v>1.3333333333333334E-2</v>
      </c>
      <c r="N801">
        <v>48</v>
      </c>
      <c r="O801">
        <v>0</v>
      </c>
    </row>
    <row r="802" spans="1:17" x14ac:dyDescent="0.35">
      <c r="A802" s="46">
        <v>46118</v>
      </c>
      <c r="B802" t="s">
        <v>136</v>
      </c>
      <c r="C802" t="s">
        <v>319</v>
      </c>
      <c r="D802" t="s">
        <v>391</v>
      </c>
      <c r="E802" t="s">
        <v>364</v>
      </c>
      <c r="F802" t="s">
        <v>82</v>
      </c>
      <c r="G802" t="s">
        <v>368</v>
      </c>
      <c r="H802" t="s">
        <v>371</v>
      </c>
      <c r="I802" t="s">
        <v>323</v>
      </c>
      <c r="J802" t="s">
        <v>324</v>
      </c>
      <c r="K802" t="s">
        <v>142</v>
      </c>
      <c r="L802" t="s">
        <v>143</v>
      </c>
      <c r="M802">
        <v>2.4444444444444446E-2</v>
      </c>
      <c r="N802">
        <v>88</v>
      </c>
      <c r="O802">
        <v>0</v>
      </c>
    </row>
    <row r="803" spans="1:17" x14ac:dyDescent="0.35">
      <c r="A803" s="46">
        <v>46118</v>
      </c>
      <c r="B803" t="s">
        <v>136</v>
      </c>
      <c r="C803" t="s">
        <v>319</v>
      </c>
      <c r="D803" t="s">
        <v>391</v>
      </c>
      <c r="E803" t="s">
        <v>364</v>
      </c>
      <c r="F803" t="s">
        <v>322</v>
      </c>
      <c r="G803" t="s">
        <v>322</v>
      </c>
      <c r="H803" t="s">
        <v>322</v>
      </c>
      <c r="I803" t="s">
        <v>323</v>
      </c>
      <c r="J803" t="s">
        <v>324</v>
      </c>
      <c r="K803" t="s">
        <v>142</v>
      </c>
      <c r="L803" t="s">
        <v>143</v>
      </c>
      <c r="M803">
        <v>7.4166666666666672E-2</v>
      </c>
      <c r="N803">
        <v>267</v>
      </c>
      <c r="O803">
        <v>990.56999999999994</v>
      </c>
      <c r="P803">
        <v>3.71</v>
      </c>
      <c r="Q803">
        <v>267</v>
      </c>
    </row>
    <row r="804" spans="1:17" x14ac:dyDescent="0.35">
      <c r="A804" s="46">
        <v>46118</v>
      </c>
      <c r="B804" t="s">
        <v>136</v>
      </c>
      <c r="C804" t="s">
        <v>319</v>
      </c>
      <c r="D804" t="s">
        <v>391</v>
      </c>
      <c r="E804" t="s">
        <v>364</v>
      </c>
      <c r="F804" t="s">
        <v>322</v>
      </c>
      <c r="G804" t="s">
        <v>322</v>
      </c>
      <c r="H804" t="s">
        <v>322</v>
      </c>
      <c r="I804" t="s">
        <v>323</v>
      </c>
      <c r="J804" t="s">
        <v>324</v>
      </c>
      <c r="K804" t="s">
        <v>170</v>
      </c>
      <c r="L804" t="s">
        <v>171</v>
      </c>
      <c r="M804">
        <v>5.0780555555555553</v>
      </c>
      <c r="N804">
        <v>18281</v>
      </c>
      <c r="O804">
        <v>0</v>
      </c>
    </row>
    <row r="805" spans="1:17" x14ac:dyDescent="0.35">
      <c r="A805" s="46">
        <v>46118</v>
      </c>
      <c r="B805" t="s">
        <v>136</v>
      </c>
      <c r="C805" t="s">
        <v>319</v>
      </c>
      <c r="D805" t="s">
        <v>391</v>
      </c>
      <c r="E805" t="s">
        <v>364</v>
      </c>
      <c r="F805" t="s">
        <v>82</v>
      </c>
      <c r="G805" t="s">
        <v>368</v>
      </c>
      <c r="H805" t="s">
        <v>371</v>
      </c>
      <c r="I805" t="s">
        <v>323</v>
      </c>
      <c r="J805" t="s">
        <v>324</v>
      </c>
      <c r="K805" t="s">
        <v>170</v>
      </c>
      <c r="L805" t="s">
        <v>171</v>
      </c>
      <c r="M805">
        <v>1.7152777777777777</v>
      </c>
      <c r="N805">
        <v>6175</v>
      </c>
      <c r="O805">
        <v>0</v>
      </c>
    </row>
    <row r="806" spans="1:17" x14ac:dyDescent="0.35">
      <c r="A806" s="46">
        <v>46118</v>
      </c>
      <c r="B806" t="s">
        <v>136</v>
      </c>
      <c r="C806" t="s">
        <v>319</v>
      </c>
      <c r="D806" t="s">
        <v>391</v>
      </c>
      <c r="E806" t="s">
        <v>364</v>
      </c>
      <c r="F806" t="s">
        <v>322</v>
      </c>
      <c r="G806" t="s">
        <v>322</v>
      </c>
      <c r="H806" t="s">
        <v>322</v>
      </c>
      <c r="I806" t="s">
        <v>323</v>
      </c>
      <c r="J806" t="s">
        <v>324</v>
      </c>
      <c r="K806" t="s">
        <v>184</v>
      </c>
      <c r="L806" t="s">
        <v>185</v>
      </c>
      <c r="M806">
        <v>11.971388888888889</v>
      </c>
      <c r="N806">
        <v>43097</v>
      </c>
      <c r="O806">
        <v>0</v>
      </c>
    </row>
    <row r="807" spans="1:17" x14ac:dyDescent="0.35">
      <c r="A807" s="46">
        <v>46118</v>
      </c>
      <c r="B807" t="s">
        <v>136</v>
      </c>
      <c r="C807" t="s">
        <v>319</v>
      </c>
      <c r="D807" t="s">
        <v>391</v>
      </c>
      <c r="E807" t="s">
        <v>364</v>
      </c>
      <c r="F807" t="s">
        <v>82</v>
      </c>
      <c r="G807" t="s">
        <v>368</v>
      </c>
      <c r="H807" t="s">
        <v>366</v>
      </c>
      <c r="I807" t="s">
        <v>323</v>
      </c>
      <c r="J807" t="s">
        <v>324</v>
      </c>
      <c r="K807" t="s">
        <v>184</v>
      </c>
      <c r="L807" t="s">
        <v>185</v>
      </c>
      <c r="M807">
        <v>5.1366666666666667</v>
      </c>
      <c r="N807">
        <v>18492</v>
      </c>
      <c r="O807">
        <v>0</v>
      </c>
    </row>
    <row r="808" spans="1:17" x14ac:dyDescent="0.35">
      <c r="A808" s="46">
        <v>46118</v>
      </c>
      <c r="B808" t="s">
        <v>136</v>
      </c>
      <c r="C808" t="s">
        <v>397</v>
      </c>
      <c r="D808" t="s">
        <v>396</v>
      </c>
      <c r="E808" t="s">
        <v>364</v>
      </c>
      <c r="F808" t="s">
        <v>82</v>
      </c>
      <c r="G808" t="s">
        <v>368</v>
      </c>
      <c r="H808" t="s">
        <v>371</v>
      </c>
      <c r="I808" t="s">
        <v>323</v>
      </c>
      <c r="J808" t="s">
        <v>324</v>
      </c>
      <c r="K808" t="s">
        <v>341</v>
      </c>
      <c r="L808" t="s">
        <v>342</v>
      </c>
      <c r="M808">
        <v>0.17194444444444446</v>
      </c>
      <c r="N808">
        <v>619</v>
      </c>
      <c r="O808">
        <v>0</v>
      </c>
    </row>
    <row r="809" spans="1:17" x14ac:dyDescent="0.35">
      <c r="A809" s="46">
        <v>46118</v>
      </c>
      <c r="B809" t="s">
        <v>136</v>
      </c>
      <c r="C809" t="s">
        <v>397</v>
      </c>
      <c r="D809" t="s">
        <v>396</v>
      </c>
      <c r="E809" t="s">
        <v>364</v>
      </c>
      <c r="F809" t="s">
        <v>322</v>
      </c>
      <c r="G809" t="s">
        <v>322</v>
      </c>
      <c r="H809" t="s">
        <v>322</v>
      </c>
      <c r="I809" t="s">
        <v>323</v>
      </c>
      <c r="J809" t="s">
        <v>324</v>
      </c>
      <c r="K809" t="s">
        <v>345</v>
      </c>
      <c r="L809" t="s">
        <v>346</v>
      </c>
      <c r="M809">
        <v>3.6111111111111109E-3</v>
      </c>
      <c r="N809">
        <v>13</v>
      </c>
      <c r="O809">
        <v>28.340000000000003</v>
      </c>
      <c r="P809">
        <v>2.1800000000000002</v>
      </c>
      <c r="Q809">
        <v>13</v>
      </c>
    </row>
    <row r="810" spans="1:17" x14ac:dyDescent="0.35">
      <c r="A810" s="46">
        <v>46118</v>
      </c>
      <c r="B810" t="s">
        <v>136</v>
      </c>
      <c r="C810" t="s">
        <v>398</v>
      </c>
      <c r="D810" t="s">
        <v>396</v>
      </c>
      <c r="E810" t="s">
        <v>364</v>
      </c>
      <c r="F810" t="s">
        <v>322</v>
      </c>
      <c r="G810" t="s">
        <v>322</v>
      </c>
      <c r="H810" t="s">
        <v>322</v>
      </c>
      <c r="I810" t="s">
        <v>323</v>
      </c>
      <c r="J810" t="s">
        <v>324</v>
      </c>
      <c r="K810" t="s">
        <v>345</v>
      </c>
      <c r="L810" t="s">
        <v>346</v>
      </c>
      <c r="M810">
        <v>1.3055555555555556E-2</v>
      </c>
      <c r="N810">
        <v>47</v>
      </c>
      <c r="O810">
        <v>177.11999999999998</v>
      </c>
      <c r="P810">
        <v>3.7685106382978719</v>
      </c>
      <c r="Q810">
        <v>47</v>
      </c>
    </row>
    <row r="811" spans="1:17" x14ac:dyDescent="0.35">
      <c r="A811" s="46">
        <v>46118</v>
      </c>
      <c r="B811" t="s">
        <v>136</v>
      </c>
      <c r="C811" t="s">
        <v>397</v>
      </c>
      <c r="D811" t="s">
        <v>396</v>
      </c>
      <c r="E811" t="s">
        <v>364</v>
      </c>
      <c r="F811" t="s">
        <v>82</v>
      </c>
      <c r="G811" t="s">
        <v>368</v>
      </c>
      <c r="H811" t="s">
        <v>371</v>
      </c>
      <c r="I811" t="s">
        <v>323</v>
      </c>
      <c r="J811" t="s">
        <v>324</v>
      </c>
      <c r="K811" t="s">
        <v>345</v>
      </c>
      <c r="L811" t="s">
        <v>346</v>
      </c>
      <c r="M811">
        <v>2.9094444444444445</v>
      </c>
      <c r="N811">
        <v>10474</v>
      </c>
      <c r="O811">
        <v>36856.670000000006</v>
      </c>
      <c r="P811">
        <v>3.5188724460569034</v>
      </c>
      <c r="Q811">
        <v>10474</v>
      </c>
    </row>
    <row r="812" spans="1:17" x14ac:dyDescent="0.35">
      <c r="A812" s="46">
        <v>46118</v>
      </c>
      <c r="B812" t="s">
        <v>136</v>
      </c>
      <c r="C812" t="s">
        <v>398</v>
      </c>
      <c r="D812" t="s">
        <v>396</v>
      </c>
      <c r="E812" t="s">
        <v>364</v>
      </c>
      <c r="F812" t="s">
        <v>82</v>
      </c>
      <c r="G812" t="s">
        <v>368</v>
      </c>
      <c r="H812" t="s">
        <v>371</v>
      </c>
      <c r="I812" t="s">
        <v>323</v>
      </c>
      <c r="J812" t="s">
        <v>324</v>
      </c>
      <c r="K812" t="s">
        <v>345</v>
      </c>
      <c r="L812" t="s">
        <v>346</v>
      </c>
      <c r="M812">
        <v>4.1163888888888893</v>
      </c>
      <c r="N812">
        <v>14819</v>
      </c>
      <c r="O812">
        <v>52296.92</v>
      </c>
      <c r="P812">
        <v>3.5290451447466089</v>
      </c>
      <c r="Q812">
        <v>14819</v>
      </c>
    </row>
    <row r="813" spans="1:17" x14ac:dyDescent="0.35">
      <c r="A813" s="46">
        <v>46118</v>
      </c>
      <c r="B813" t="s">
        <v>136</v>
      </c>
      <c r="C813" t="s">
        <v>397</v>
      </c>
      <c r="D813" t="s">
        <v>396</v>
      </c>
      <c r="E813" t="s">
        <v>364</v>
      </c>
      <c r="F813" t="s">
        <v>322</v>
      </c>
      <c r="G813" t="s">
        <v>322</v>
      </c>
      <c r="H813" t="s">
        <v>322</v>
      </c>
      <c r="I813" t="s">
        <v>323</v>
      </c>
      <c r="J813" t="s">
        <v>324</v>
      </c>
      <c r="K813" t="s">
        <v>142</v>
      </c>
      <c r="L813" t="s">
        <v>143</v>
      </c>
      <c r="M813">
        <v>3.8888888888888888E-3</v>
      </c>
      <c r="N813">
        <v>14</v>
      </c>
      <c r="O813">
        <v>34.580000000000005</v>
      </c>
      <c r="P813">
        <v>2.4700000000000002</v>
      </c>
      <c r="Q813">
        <v>14</v>
      </c>
    </row>
    <row r="814" spans="1:17" x14ac:dyDescent="0.35">
      <c r="A814" s="46">
        <v>46118</v>
      </c>
      <c r="B814" t="s">
        <v>136</v>
      </c>
      <c r="C814" t="s">
        <v>398</v>
      </c>
      <c r="D814" t="s">
        <v>396</v>
      </c>
      <c r="E814" t="s">
        <v>364</v>
      </c>
      <c r="F814" t="s">
        <v>322</v>
      </c>
      <c r="G814" t="s">
        <v>322</v>
      </c>
      <c r="H814" t="s">
        <v>322</v>
      </c>
      <c r="I814" t="s">
        <v>323</v>
      </c>
      <c r="J814" t="s">
        <v>324</v>
      </c>
      <c r="K814" t="s">
        <v>142</v>
      </c>
      <c r="L814" t="s">
        <v>143</v>
      </c>
      <c r="M814">
        <v>2.5833333333333333E-2</v>
      </c>
      <c r="N814">
        <v>93</v>
      </c>
      <c r="O814">
        <v>336.66</v>
      </c>
      <c r="P814">
        <v>3.62</v>
      </c>
      <c r="Q814">
        <v>93</v>
      </c>
    </row>
    <row r="815" spans="1:17" x14ac:dyDescent="0.35">
      <c r="A815" s="46">
        <v>46118</v>
      </c>
      <c r="B815" t="s">
        <v>136</v>
      </c>
      <c r="C815" t="s">
        <v>397</v>
      </c>
      <c r="D815" t="s">
        <v>396</v>
      </c>
      <c r="E815" t="s">
        <v>364</v>
      </c>
      <c r="F815" t="s">
        <v>82</v>
      </c>
      <c r="G815" t="s">
        <v>368</v>
      </c>
      <c r="H815" t="s">
        <v>371</v>
      </c>
      <c r="I815" t="s">
        <v>323</v>
      </c>
      <c r="J815" t="s">
        <v>324</v>
      </c>
      <c r="K815" t="s">
        <v>142</v>
      </c>
      <c r="L815" t="s">
        <v>143</v>
      </c>
      <c r="M815">
        <v>0.10277777777777777</v>
      </c>
      <c r="N815">
        <v>370</v>
      </c>
      <c r="O815">
        <v>1648.32</v>
      </c>
      <c r="P815">
        <v>4.4549189189189189</v>
      </c>
      <c r="Q815">
        <v>370</v>
      </c>
    </row>
    <row r="816" spans="1:17" x14ac:dyDescent="0.35">
      <c r="A816" s="46">
        <v>46118</v>
      </c>
      <c r="B816" t="s">
        <v>136</v>
      </c>
      <c r="C816" t="s">
        <v>398</v>
      </c>
      <c r="D816" t="s">
        <v>396</v>
      </c>
      <c r="E816" t="s">
        <v>364</v>
      </c>
      <c r="F816" t="s">
        <v>82</v>
      </c>
      <c r="G816" t="s">
        <v>368</v>
      </c>
      <c r="H816" t="s">
        <v>371</v>
      </c>
      <c r="I816" t="s">
        <v>323</v>
      </c>
      <c r="J816" t="s">
        <v>324</v>
      </c>
      <c r="K816" t="s">
        <v>142</v>
      </c>
      <c r="L816" t="s">
        <v>143</v>
      </c>
      <c r="M816">
        <v>0.21111111111111111</v>
      </c>
      <c r="N816">
        <v>760</v>
      </c>
      <c r="O816">
        <v>2855.13</v>
      </c>
      <c r="P816">
        <v>3.7567500000000003</v>
      </c>
      <c r="Q816">
        <v>760</v>
      </c>
    </row>
    <row r="817" spans="1:17" x14ac:dyDescent="0.35">
      <c r="A817" s="46">
        <v>46118</v>
      </c>
      <c r="B817" t="s">
        <v>136</v>
      </c>
      <c r="C817" t="s">
        <v>398</v>
      </c>
      <c r="D817" t="s">
        <v>396</v>
      </c>
      <c r="E817" t="s">
        <v>364</v>
      </c>
      <c r="F817" t="s">
        <v>82</v>
      </c>
      <c r="G817" t="s">
        <v>368</v>
      </c>
      <c r="H817" t="s">
        <v>371</v>
      </c>
      <c r="I817" t="s">
        <v>323</v>
      </c>
      <c r="J817" t="s">
        <v>324</v>
      </c>
      <c r="K817" t="s">
        <v>210</v>
      </c>
      <c r="L817" t="s">
        <v>211</v>
      </c>
      <c r="M817">
        <v>0.57388888888888889</v>
      </c>
      <c r="N817">
        <v>2066</v>
      </c>
      <c r="O817">
        <v>0</v>
      </c>
    </row>
    <row r="818" spans="1:17" x14ac:dyDescent="0.35">
      <c r="A818" s="46">
        <v>46118</v>
      </c>
      <c r="B818" t="s">
        <v>136</v>
      </c>
      <c r="C818" t="s">
        <v>397</v>
      </c>
      <c r="D818" t="s">
        <v>396</v>
      </c>
      <c r="E818" t="s">
        <v>364</v>
      </c>
      <c r="F818" t="s">
        <v>322</v>
      </c>
      <c r="G818" t="s">
        <v>322</v>
      </c>
      <c r="H818" t="s">
        <v>322</v>
      </c>
      <c r="I818" t="s">
        <v>323</v>
      </c>
      <c r="J818" t="s">
        <v>324</v>
      </c>
      <c r="K818" t="s">
        <v>200</v>
      </c>
      <c r="L818" t="s">
        <v>201</v>
      </c>
      <c r="M818">
        <v>2.7777777777777778E-4</v>
      </c>
      <c r="N818">
        <v>1</v>
      </c>
      <c r="O818">
        <v>0</v>
      </c>
    </row>
    <row r="819" spans="1:17" x14ac:dyDescent="0.35">
      <c r="A819" s="46">
        <v>46118</v>
      </c>
      <c r="B819" t="s">
        <v>136</v>
      </c>
      <c r="C819" t="s">
        <v>398</v>
      </c>
      <c r="D819" t="s">
        <v>396</v>
      </c>
      <c r="E819" t="s">
        <v>364</v>
      </c>
      <c r="F819" t="s">
        <v>82</v>
      </c>
      <c r="G819" t="s">
        <v>368</v>
      </c>
      <c r="H819" t="s">
        <v>371</v>
      </c>
      <c r="I819" t="s">
        <v>323</v>
      </c>
      <c r="J819" t="s">
        <v>324</v>
      </c>
      <c r="K819" t="s">
        <v>200</v>
      </c>
      <c r="L819" t="s">
        <v>201</v>
      </c>
      <c r="M819">
        <v>2.4752777777777779</v>
      </c>
      <c r="N819">
        <v>8911</v>
      </c>
      <c r="O819">
        <v>0</v>
      </c>
    </row>
    <row r="820" spans="1:17" x14ac:dyDescent="0.35">
      <c r="A820" s="46">
        <v>46118</v>
      </c>
      <c r="B820" t="s">
        <v>136</v>
      </c>
      <c r="C820" t="s">
        <v>397</v>
      </c>
      <c r="D820" t="s">
        <v>396</v>
      </c>
      <c r="E820" t="s">
        <v>364</v>
      </c>
      <c r="F820" t="s">
        <v>82</v>
      </c>
      <c r="G820" t="s">
        <v>368</v>
      </c>
      <c r="H820" t="s">
        <v>371</v>
      </c>
      <c r="I820" t="s">
        <v>323</v>
      </c>
      <c r="J820" t="s">
        <v>324</v>
      </c>
      <c r="K820" t="s">
        <v>200</v>
      </c>
      <c r="L820" t="s">
        <v>201</v>
      </c>
      <c r="M820">
        <v>0.24694444444444444</v>
      </c>
      <c r="N820">
        <v>889</v>
      </c>
      <c r="O820">
        <v>0</v>
      </c>
    </row>
    <row r="821" spans="1:17" x14ac:dyDescent="0.35">
      <c r="A821" s="46">
        <v>46118</v>
      </c>
      <c r="B821" t="s">
        <v>136</v>
      </c>
      <c r="C821" t="s">
        <v>397</v>
      </c>
      <c r="D821" t="s">
        <v>396</v>
      </c>
      <c r="E821" t="s">
        <v>364</v>
      </c>
      <c r="F821" t="s">
        <v>82</v>
      </c>
      <c r="G821" t="s">
        <v>368</v>
      </c>
      <c r="H821" t="s">
        <v>371</v>
      </c>
      <c r="I821" t="s">
        <v>323</v>
      </c>
      <c r="J821" t="s">
        <v>324</v>
      </c>
      <c r="K821" t="s">
        <v>348</v>
      </c>
      <c r="L821" t="s">
        <v>349</v>
      </c>
      <c r="M821">
        <v>3.5013888888888891</v>
      </c>
      <c r="N821">
        <v>12605</v>
      </c>
      <c r="O821">
        <v>0</v>
      </c>
    </row>
    <row r="822" spans="1:17" x14ac:dyDescent="0.35">
      <c r="A822" s="46">
        <v>46118</v>
      </c>
      <c r="B822" t="s">
        <v>136</v>
      </c>
      <c r="C822" t="s">
        <v>398</v>
      </c>
      <c r="D822" t="s">
        <v>396</v>
      </c>
      <c r="E822" t="s">
        <v>364</v>
      </c>
      <c r="F822" t="s">
        <v>322</v>
      </c>
      <c r="G822" t="s">
        <v>322</v>
      </c>
      <c r="H822" t="s">
        <v>322</v>
      </c>
      <c r="I822" t="s">
        <v>323</v>
      </c>
      <c r="J822" t="s">
        <v>324</v>
      </c>
      <c r="K822" t="s">
        <v>350</v>
      </c>
      <c r="L822" t="s">
        <v>351</v>
      </c>
      <c r="M822">
        <v>6.1944444444444448E-2</v>
      </c>
      <c r="N822">
        <v>223</v>
      </c>
      <c r="O822">
        <v>1141.3499999999999</v>
      </c>
      <c r="P822">
        <v>5.1181614349775781</v>
      </c>
      <c r="Q822">
        <v>223</v>
      </c>
    </row>
    <row r="823" spans="1:17" x14ac:dyDescent="0.35">
      <c r="A823" s="46">
        <v>46118</v>
      </c>
      <c r="B823" t="s">
        <v>136</v>
      </c>
      <c r="C823" t="s">
        <v>397</v>
      </c>
      <c r="D823" t="s">
        <v>396</v>
      </c>
      <c r="E823" t="s">
        <v>364</v>
      </c>
      <c r="F823" t="s">
        <v>82</v>
      </c>
      <c r="G823" t="s">
        <v>368</v>
      </c>
      <c r="H823" t="s">
        <v>371</v>
      </c>
      <c r="I823" t="s">
        <v>323</v>
      </c>
      <c r="J823" t="s">
        <v>324</v>
      </c>
      <c r="K823" t="s">
        <v>350</v>
      </c>
      <c r="L823" t="s">
        <v>351</v>
      </c>
      <c r="M823">
        <v>1.0627777777777778</v>
      </c>
      <c r="N823">
        <v>3826</v>
      </c>
      <c r="O823">
        <v>11037.19</v>
      </c>
      <c r="P823">
        <v>2.8847856769472036</v>
      </c>
      <c r="Q823">
        <v>3826</v>
      </c>
    </row>
    <row r="824" spans="1:17" x14ac:dyDescent="0.35">
      <c r="A824" s="46">
        <v>46118</v>
      </c>
      <c r="B824" t="s">
        <v>136</v>
      </c>
      <c r="C824" t="s">
        <v>398</v>
      </c>
      <c r="D824" t="s">
        <v>396</v>
      </c>
      <c r="E824" t="s">
        <v>364</v>
      </c>
      <c r="F824" t="s">
        <v>82</v>
      </c>
      <c r="G824" t="s">
        <v>368</v>
      </c>
      <c r="H824" t="s">
        <v>371</v>
      </c>
      <c r="I824" t="s">
        <v>323</v>
      </c>
      <c r="J824" t="s">
        <v>324</v>
      </c>
      <c r="K824" t="s">
        <v>350</v>
      </c>
      <c r="L824" t="s">
        <v>351</v>
      </c>
      <c r="M824">
        <v>1.5683333333333334</v>
      </c>
      <c r="N824">
        <v>5646</v>
      </c>
      <c r="O824">
        <v>18862.410000000003</v>
      </c>
      <c r="P824">
        <v>3.3408448459086086</v>
      </c>
      <c r="Q824">
        <v>5646</v>
      </c>
    </row>
    <row r="825" spans="1:17" x14ac:dyDescent="0.35">
      <c r="A825" s="46">
        <v>46118</v>
      </c>
      <c r="B825" t="s">
        <v>136</v>
      </c>
      <c r="C825" t="s">
        <v>398</v>
      </c>
      <c r="D825" t="s">
        <v>396</v>
      </c>
      <c r="E825" t="s">
        <v>364</v>
      </c>
      <c r="F825" t="s">
        <v>82</v>
      </c>
      <c r="G825" t="s">
        <v>368</v>
      </c>
      <c r="H825" t="s">
        <v>371</v>
      </c>
      <c r="I825" t="s">
        <v>323</v>
      </c>
      <c r="J825" t="s">
        <v>324</v>
      </c>
      <c r="K825" t="s">
        <v>170</v>
      </c>
      <c r="L825" t="s">
        <v>171</v>
      </c>
      <c r="M825">
        <v>6.6961111111111107</v>
      </c>
      <c r="N825">
        <v>24106</v>
      </c>
      <c r="O825">
        <v>0</v>
      </c>
    </row>
    <row r="826" spans="1:17" x14ac:dyDescent="0.35">
      <c r="A826" s="46">
        <v>46118</v>
      </c>
      <c r="B826" t="s">
        <v>136</v>
      </c>
      <c r="C826" t="s">
        <v>398</v>
      </c>
      <c r="D826" t="s">
        <v>396</v>
      </c>
      <c r="E826" t="s">
        <v>364</v>
      </c>
      <c r="F826" t="s">
        <v>82</v>
      </c>
      <c r="G826" t="s">
        <v>368</v>
      </c>
      <c r="H826" t="s">
        <v>371</v>
      </c>
      <c r="I826" t="s">
        <v>323</v>
      </c>
      <c r="J826" t="s">
        <v>324</v>
      </c>
      <c r="K826" t="s">
        <v>178</v>
      </c>
      <c r="L826" t="s">
        <v>179</v>
      </c>
      <c r="M826">
        <v>6.3888888888888884E-2</v>
      </c>
      <c r="N826">
        <v>230</v>
      </c>
      <c r="O826">
        <v>0</v>
      </c>
    </row>
    <row r="827" spans="1:17" x14ac:dyDescent="0.35">
      <c r="A827" s="46">
        <v>46118</v>
      </c>
      <c r="B827" t="s">
        <v>136</v>
      </c>
      <c r="C827" t="s">
        <v>397</v>
      </c>
      <c r="D827" t="s">
        <v>396</v>
      </c>
      <c r="E827" t="s">
        <v>364</v>
      </c>
      <c r="F827" t="s">
        <v>82</v>
      </c>
      <c r="G827" t="s">
        <v>368</v>
      </c>
      <c r="H827" t="s">
        <v>371</v>
      </c>
      <c r="I827" t="s">
        <v>323</v>
      </c>
      <c r="J827" t="s">
        <v>324</v>
      </c>
      <c r="K827" t="s">
        <v>178</v>
      </c>
      <c r="L827" t="s">
        <v>179</v>
      </c>
      <c r="M827">
        <v>4.777777777777778E-2</v>
      </c>
      <c r="N827">
        <v>172</v>
      </c>
      <c r="O827">
        <v>0</v>
      </c>
    </row>
    <row r="828" spans="1:17" x14ac:dyDescent="0.35">
      <c r="A828" s="46">
        <v>46118</v>
      </c>
      <c r="B828" t="s">
        <v>136</v>
      </c>
      <c r="C828" t="s">
        <v>398</v>
      </c>
      <c r="D828" t="s">
        <v>396</v>
      </c>
      <c r="E828" t="s">
        <v>364</v>
      </c>
      <c r="F828" t="s">
        <v>82</v>
      </c>
      <c r="G828" t="s">
        <v>368</v>
      </c>
      <c r="H828" t="s">
        <v>371</v>
      </c>
      <c r="I828" t="s">
        <v>323</v>
      </c>
      <c r="J828" t="s">
        <v>324</v>
      </c>
      <c r="K828" t="s">
        <v>182</v>
      </c>
      <c r="L828" t="s">
        <v>183</v>
      </c>
      <c r="M828">
        <v>3.7499999999999999E-2</v>
      </c>
      <c r="N828">
        <v>135</v>
      </c>
      <c r="O828">
        <v>0</v>
      </c>
    </row>
    <row r="829" spans="1:17" x14ac:dyDescent="0.35">
      <c r="A829" s="46">
        <v>46118</v>
      </c>
      <c r="B829" t="s">
        <v>136</v>
      </c>
      <c r="C829" t="s">
        <v>397</v>
      </c>
      <c r="D829" t="s">
        <v>396</v>
      </c>
      <c r="E829" t="s">
        <v>364</v>
      </c>
      <c r="F829" t="s">
        <v>82</v>
      </c>
      <c r="G829" t="s">
        <v>368</v>
      </c>
      <c r="H829" t="s">
        <v>371</v>
      </c>
      <c r="I829" t="s">
        <v>323</v>
      </c>
      <c r="J829" t="s">
        <v>324</v>
      </c>
      <c r="K829" t="s">
        <v>182</v>
      </c>
      <c r="L829" t="s">
        <v>183</v>
      </c>
      <c r="M829">
        <v>0.10583333333333333</v>
      </c>
      <c r="N829">
        <v>381</v>
      </c>
      <c r="O829">
        <v>0</v>
      </c>
    </row>
    <row r="830" spans="1:17" x14ac:dyDescent="0.35">
      <c r="A830" s="46">
        <v>46118</v>
      </c>
      <c r="B830" t="s">
        <v>136</v>
      </c>
      <c r="C830" t="s">
        <v>335</v>
      </c>
      <c r="D830" t="s">
        <v>399</v>
      </c>
      <c r="E830" t="s">
        <v>321</v>
      </c>
      <c r="F830" t="s">
        <v>328</v>
      </c>
      <c r="G830" t="s">
        <v>329</v>
      </c>
      <c r="H830" t="s">
        <v>326</v>
      </c>
      <c r="I830" t="s">
        <v>323</v>
      </c>
      <c r="J830" t="s">
        <v>324</v>
      </c>
      <c r="K830" t="s">
        <v>142</v>
      </c>
      <c r="L830" t="s">
        <v>143</v>
      </c>
      <c r="M830">
        <v>7.9722222222222222E-2</v>
      </c>
      <c r="N830">
        <v>287</v>
      </c>
      <c r="O830">
        <v>1799.4899999999998</v>
      </c>
      <c r="P830">
        <v>6.27</v>
      </c>
      <c r="Q830">
        <v>287</v>
      </c>
    </row>
    <row r="831" spans="1:17" x14ac:dyDescent="0.35">
      <c r="A831" s="46">
        <v>46118</v>
      </c>
      <c r="B831" t="s">
        <v>136</v>
      </c>
      <c r="C831" t="s">
        <v>335</v>
      </c>
      <c r="D831" t="s">
        <v>399</v>
      </c>
      <c r="E831" t="s">
        <v>321</v>
      </c>
      <c r="F831" t="s">
        <v>322</v>
      </c>
      <c r="G831" t="s">
        <v>322</v>
      </c>
      <c r="H831" t="s">
        <v>322</v>
      </c>
      <c r="I831" t="s">
        <v>323</v>
      </c>
      <c r="J831" t="s">
        <v>324</v>
      </c>
      <c r="K831" t="s">
        <v>142</v>
      </c>
      <c r="L831" t="s">
        <v>143</v>
      </c>
      <c r="M831">
        <v>0.17499999999999999</v>
      </c>
      <c r="N831">
        <v>630</v>
      </c>
      <c r="O831">
        <v>3698.1</v>
      </c>
      <c r="P831">
        <v>5.87</v>
      </c>
      <c r="Q831">
        <v>630</v>
      </c>
    </row>
    <row r="832" spans="1:17" x14ac:dyDescent="0.35">
      <c r="A832" s="46">
        <v>46118</v>
      </c>
      <c r="B832" t="s">
        <v>136</v>
      </c>
      <c r="C832" t="s">
        <v>335</v>
      </c>
      <c r="D832" t="s">
        <v>399</v>
      </c>
      <c r="E832" t="s">
        <v>321</v>
      </c>
      <c r="F832" t="s">
        <v>322</v>
      </c>
      <c r="G832" t="s">
        <v>322</v>
      </c>
      <c r="H832" t="s">
        <v>322</v>
      </c>
      <c r="I832" t="s">
        <v>323</v>
      </c>
      <c r="J832" t="s">
        <v>324</v>
      </c>
      <c r="K832" t="s">
        <v>200</v>
      </c>
      <c r="L832" t="s">
        <v>201</v>
      </c>
      <c r="M832">
        <v>1.0713888888888889</v>
      </c>
      <c r="N832">
        <v>3857</v>
      </c>
      <c r="O832">
        <v>0</v>
      </c>
    </row>
    <row r="833" spans="1:17" x14ac:dyDescent="0.35">
      <c r="A833" s="46">
        <v>46118</v>
      </c>
      <c r="B833" t="s">
        <v>136</v>
      </c>
      <c r="C833" t="s">
        <v>335</v>
      </c>
      <c r="D833" t="s">
        <v>399</v>
      </c>
      <c r="E833" t="s">
        <v>321</v>
      </c>
      <c r="F833" t="s">
        <v>332</v>
      </c>
      <c r="G833" t="s">
        <v>333</v>
      </c>
      <c r="H833" t="s">
        <v>334</v>
      </c>
      <c r="I833" t="s">
        <v>323</v>
      </c>
      <c r="J833" t="s">
        <v>324</v>
      </c>
      <c r="K833" t="s">
        <v>200</v>
      </c>
      <c r="L833" t="s">
        <v>201</v>
      </c>
      <c r="M833">
        <v>7.3055555555555554E-2</v>
      </c>
      <c r="N833">
        <v>263</v>
      </c>
      <c r="O833">
        <v>0</v>
      </c>
    </row>
    <row r="834" spans="1:17" x14ac:dyDescent="0.35">
      <c r="A834" s="46">
        <v>46118</v>
      </c>
      <c r="B834" t="s">
        <v>136</v>
      </c>
      <c r="C834" t="s">
        <v>335</v>
      </c>
      <c r="D834" t="s">
        <v>399</v>
      </c>
      <c r="E834" t="s">
        <v>321</v>
      </c>
      <c r="F834" t="s">
        <v>108</v>
      </c>
      <c r="G834" t="s">
        <v>380</v>
      </c>
      <c r="H834" t="s">
        <v>323</v>
      </c>
      <c r="I834" t="s">
        <v>323</v>
      </c>
      <c r="J834" t="s">
        <v>324</v>
      </c>
      <c r="K834" t="s">
        <v>200</v>
      </c>
      <c r="L834" t="s">
        <v>201</v>
      </c>
      <c r="M834">
        <v>11.554444444444444</v>
      </c>
      <c r="N834">
        <v>41596</v>
      </c>
      <c r="O834">
        <v>0</v>
      </c>
    </row>
    <row r="835" spans="1:17" x14ac:dyDescent="0.35">
      <c r="A835" s="46">
        <v>46118</v>
      </c>
      <c r="B835" t="s">
        <v>136</v>
      </c>
      <c r="C835" t="s">
        <v>335</v>
      </c>
      <c r="D835" t="s">
        <v>399</v>
      </c>
      <c r="E835" t="s">
        <v>321</v>
      </c>
      <c r="F835" t="s">
        <v>328</v>
      </c>
      <c r="G835" t="s">
        <v>329</v>
      </c>
      <c r="H835" t="s">
        <v>326</v>
      </c>
      <c r="I835" t="s">
        <v>323</v>
      </c>
      <c r="J835" t="s">
        <v>324</v>
      </c>
      <c r="K835" t="s">
        <v>200</v>
      </c>
      <c r="L835" t="s">
        <v>201</v>
      </c>
      <c r="M835">
        <v>0.4861111111111111</v>
      </c>
      <c r="N835">
        <v>1750</v>
      </c>
      <c r="O835">
        <v>0</v>
      </c>
    </row>
    <row r="836" spans="1:17" x14ac:dyDescent="0.35">
      <c r="A836" s="46">
        <v>46118</v>
      </c>
      <c r="B836" t="s">
        <v>136</v>
      </c>
      <c r="C836" t="s">
        <v>335</v>
      </c>
      <c r="D836" t="s">
        <v>399</v>
      </c>
      <c r="E836" t="s">
        <v>321</v>
      </c>
      <c r="F836" t="s">
        <v>108</v>
      </c>
      <c r="G836" t="s">
        <v>380</v>
      </c>
      <c r="H836" t="s">
        <v>323</v>
      </c>
      <c r="I836" t="s">
        <v>323</v>
      </c>
      <c r="J836" t="s">
        <v>324</v>
      </c>
      <c r="K836" t="s">
        <v>174</v>
      </c>
      <c r="L836" t="s">
        <v>175</v>
      </c>
      <c r="M836">
        <v>2.6869444444444444</v>
      </c>
      <c r="N836">
        <v>9673</v>
      </c>
      <c r="O836">
        <v>0</v>
      </c>
    </row>
    <row r="837" spans="1:17" x14ac:dyDescent="0.35">
      <c r="A837" s="46">
        <v>46118</v>
      </c>
      <c r="B837" t="s">
        <v>136</v>
      </c>
      <c r="C837" t="s">
        <v>335</v>
      </c>
      <c r="D837" t="s">
        <v>399</v>
      </c>
      <c r="E837" t="s">
        <v>321</v>
      </c>
      <c r="F837" t="s">
        <v>332</v>
      </c>
      <c r="G837" t="s">
        <v>333</v>
      </c>
      <c r="H837" t="s">
        <v>334</v>
      </c>
      <c r="I837" t="s">
        <v>323</v>
      </c>
      <c r="J837" t="s">
        <v>324</v>
      </c>
      <c r="K837" t="s">
        <v>170</v>
      </c>
      <c r="L837" t="s">
        <v>171</v>
      </c>
      <c r="M837">
        <v>5.8472222222222223</v>
      </c>
      <c r="N837">
        <v>21050</v>
      </c>
      <c r="O837">
        <v>0</v>
      </c>
    </row>
    <row r="838" spans="1:17" x14ac:dyDescent="0.35">
      <c r="A838" s="46">
        <v>46118</v>
      </c>
      <c r="B838" t="s">
        <v>136</v>
      </c>
      <c r="C838" t="s">
        <v>335</v>
      </c>
      <c r="D838" t="s">
        <v>399</v>
      </c>
      <c r="E838" t="s">
        <v>321</v>
      </c>
      <c r="F838" t="s">
        <v>108</v>
      </c>
      <c r="G838" t="s">
        <v>380</v>
      </c>
      <c r="H838" t="s">
        <v>323</v>
      </c>
      <c r="I838" t="s">
        <v>323</v>
      </c>
      <c r="J838" t="s">
        <v>324</v>
      </c>
      <c r="K838" t="s">
        <v>184</v>
      </c>
      <c r="L838" t="s">
        <v>185</v>
      </c>
      <c r="M838">
        <v>2.0261111111111112</v>
      </c>
      <c r="N838">
        <v>7294</v>
      </c>
      <c r="O838">
        <v>0</v>
      </c>
    </row>
    <row r="839" spans="1:17" x14ac:dyDescent="0.35">
      <c r="A839" s="46">
        <v>46118</v>
      </c>
      <c r="B839" t="s">
        <v>136</v>
      </c>
      <c r="C839" t="s">
        <v>401</v>
      </c>
      <c r="D839" t="s">
        <v>400</v>
      </c>
      <c r="E839" t="s">
        <v>337</v>
      </c>
      <c r="F839" t="s">
        <v>322</v>
      </c>
      <c r="G839" t="s">
        <v>322</v>
      </c>
      <c r="H839" t="s">
        <v>322</v>
      </c>
      <c r="I839" t="s">
        <v>323</v>
      </c>
      <c r="J839" t="s">
        <v>324</v>
      </c>
      <c r="K839" t="s">
        <v>168</v>
      </c>
      <c r="L839" t="s">
        <v>169</v>
      </c>
      <c r="M839">
        <v>1.7222222222222222E-2</v>
      </c>
      <c r="N839">
        <v>62</v>
      </c>
      <c r="O839">
        <v>0</v>
      </c>
    </row>
    <row r="840" spans="1:17" x14ac:dyDescent="0.35">
      <c r="A840" s="46">
        <v>46118</v>
      </c>
      <c r="B840" t="s">
        <v>136</v>
      </c>
      <c r="C840" t="s">
        <v>402</v>
      </c>
      <c r="D840" t="s">
        <v>400</v>
      </c>
      <c r="E840" t="s">
        <v>337</v>
      </c>
      <c r="F840" t="s">
        <v>87</v>
      </c>
      <c r="G840" t="s">
        <v>340</v>
      </c>
      <c r="H840" t="s">
        <v>330</v>
      </c>
      <c r="I840" t="s">
        <v>323</v>
      </c>
      <c r="J840" t="s">
        <v>324</v>
      </c>
      <c r="K840" t="s">
        <v>168</v>
      </c>
      <c r="L840" t="s">
        <v>169</v>
      </c>
      <c r="M840">
        <v>4.1111111111111112E-2</v>
      </c>
      <c r="N840">
        <v>148</v>
      </c>
      <c r="O840">
        <v>0</v>
      </c>
    </row>
    <row r="841" spans="1:17" x14ac:dyDescent="0.35">
      <c r="A841" s="46">
        <v>46118</v>
      </c>
      <c r="B841" t="s">
        <v>136</v>
      </c>
      <c r="C841" t="s">
        <v>402</v>
      </c>
      <c r="D841" t="s">
        <v>400</v>
      </c>
      <c r="E841" t="s">
        <v>337</v>
      </c>
      <c r="F841" t="s">
        <v>87</v>
      </c>
      <c r="G841" t="s">
        <v>340</v>
      </c>
      <c r="H841" t="s">
        <v>343</v>
      </c>
      <c r="I841" t="s">
        <v>323</v>
      </c>
      <c r="J841" t="s">
        <v>324</v>
      </c>
      <c r="K841" t="s">
        <v>168</v>
      </c>
      <c r="L841" t="s">
        <v>169</v>
      </c>
      <c r="M841">
        <v>0.20250000000000001</v>
      </c>
      <c r="N841">
        <v>729</v>
      </c>
      <c r="O841">
        <v>0</v>
      </c>
    </row>
    <row r="842" spans="1:17" x14ac:dyDescent="0.35">
      <c r="A842" s="46">
        <v>46118</v>
      </c>
      <c r="B842" t="s">
        <v>136</v>
      </c>
      <c r="C842" t="s">
        <v>401</v>
      </c>
      <c r="D842" t="s">
        <v>400</v>
      </c>
      <c r="E842" t="s">
        <v>337</v>
      </c>
      <c r="F842" t="s">
        <v>87</v>
      </c>
      <c r="G842" t="s">
        <v>340</v>
      </c>
      <c r="H842" t="s">
        <v>343</v>
      </c>
      <c r="I842" t="s">
        <v>323</v>
      </c>
      <c r="J842" t="s">
        <v>324</v>
      </c>
      <c r="K842" t="s">
        <v>168</v>
      </c>
      <c r="L842" t="s">
        <v>169</v>
      </c>
      <c r="M842">
        <v>0.31277777777777777</v>
      </c>
      <c r="N842">
        <v>1126</v>
      </c>
      <c r="O842">
        <v>0</v>
      </c>
    </row>
    <row r="843" spans="1:17" x14ac:dyDescent="0.35">
      <c r="A843" s="46">
        <v>46118</v>
      </c>
      <c r="B843" t="s">
        <v>136</v>
      </c>
      <c r="C843" t="s">
        <v>401</v>
      </c>
      <c r="D843" t="s">
        <v>400</v>
      </c>
      <c r="E843" t="s">
        <v>337</v>
      </c>
      <c r="F843" t="s">
        <v>87</v>
      </c>
      <c r="G843" t="s">
        <v>340</v>
      </c>
      <c r="H843" t="s">
        <v>343</v>
      </c>
      <c r="I843" t="s">
        <v>323</v>
      </c>
      <c r="J843" t="s">
        <v>324</v>
      </c>
      <c r="K843" t="s">
        <v>341</v>
      </c>
      <c r="L843" t="s">
        <v>342</v>
      </c>
      <c r="M843">
        <v>5.1111111111111114E-2</v>
      </c>
      <c r="N843">
        <v>184</v>
      </c>
      <c r="O843">
        <v>0</v>
      </c>
    </row>
    <row r="844" spans="1:17" x14ac:dyDescent="0.35">
      <c r="A844" s="46">
        <v>46118</v>
      </c>
      <c r="B844" t="s">
        <v>136</v>
      </c>
      <c r="C844" t="s">
        <v>402</v>
      </c>
      <c r="D844" t="s">
        <v>400</v>
      </c>
      <c r="E844" t="s">
        <v>337</v>
      </c>
      <c r="F844" t="s">
        <v>87</v>
      </c>
      <c r="G844" t="s">
        <v>340</v>
      </c>
      <c r="H844" t="s">
        <v>343</v>
      </c>
      <c r="I844" t="s">
        <v>323</v>
      </c>
      <c r="J844" t="s">
        <v>324</v>
      </c>
      <c r="K844" t="s">
        <v>345</v>
      </c>
      <c r="L844" t="s">
        <v>346</v>
      </c>
      <c r="M844">
        <v>3.3333333333333335E-3</v>
      </c>
      <c r="N844">
        <v>12</v>
      </c>
      <c r="O844">
        <v>20.52</v>
      </c>
      <c r="P844">
        <v>1.71</v>
      </c>
      <c r="Q844">
        <v>12</v>
      </c>
    </row>
    <row r="845" spans="1:17" x14ac:dyDescent="0.35">
      <c r="A845" s="46">
        <v>46118</v>
      </c>
      <c r="B845" t="s">
        <v>136</v>
      </c>
      <c r="C845" t="s">
        <v>402</v>
      </c>
      <c r="D845" t="s">
        <v>400</v>
      </c>
      <c r="E845" t="s">
        <v>337</v>
      </c>
      <c r="F845" t="s">
        <v>322</v>
      </c>
      <c r="G845" t="s">
        <v>322</v>
      </c>
      <c r="H845" t="s">
        <v>322</v>
      </c>
      <c r="I845" t="s">
        <v>323</v>
      </c>
      <c r="J845" t="s">
        <v>324</v>
      </c>
      <c r="K845" t="s">
        <v>345</v>
      </c>
      <c r="L845" t="s">
        <v>346</v>
      </c>
      <c r="M845">
        <v>8.8888888888888889E-3</v>
      </c>
      <c r="N845">
        <v>32</v>
      </c>
      <c r="O845">
        <v>77.41</v>
      </c>
      <c r="P845">
        <v>2.4190624999999999</v>
      </c>
      <c r="Q845">
        <v>32</v>
      </c>
    </row>
    <row r="846" spans="1:17" x14ac:dyDescent="0.35">
      <c r="A846" s="46">
        <v>46118</v>
      </c>
      <c r="B846" t="s">
        <v>136</v>
      </c>
      <c r="C846" t="s">
        <v>403</v>
      </c>
      <c r="D846" t="s">
        <v>400</v>
      </c>
      <c r="E846" t="s">
        <v>337</v>
      </c>
      <c r="F846" t="s">
        <v>322</v>
      </c>
      <c r="G846" t="s">
        <v>322</v>
      </c>
      <c r="H846" t="s">
        <v>322</v>
      </c>
      <c r="I846" t="s">
        <v>323</v>
      </c>
      <c r="J846" t="s">
        <v>324</v>
      </c>
      <c r="K846" t="s">
        <v>345</v>
      </c>
      <c r="L846" t="s">
        <v>346</v>
      </c>
      <c r="M846">
        <v>4.1388888888888892E-2</v>
      </c>
      <c r="N846">
        <v>149</v>
      </c>
      <c r="O846">
        <v>309.20999999999998</v>
      </c>
      <c r="P846">
        <v>2.075234899328859</v>
      </c>
      <c r="Q846">
        <v>149</v>
      </c>
    </row>
    <row r="847" spans="1:17" x14ac:dyDescent="0.35">
      <c r="A847" s="46">
        <v>46118</v>
      </c>
      <c r="B847" t="s">
        <v>136</v>
      </c>
      <c r="C847" t="s">
        <v>401</v>
      </c>
      <c r="D847" t="s">
        <v>400</v>
      </c>
      <c r="E847" t="s">
        <v>337</v>
      </c>
      <c r="F847" t="s">
        <v>322</v>
      </c>
      <c r="G847" t="s">
        <v>322</v>
      </c>
      <c r="H847" t="s">
        <v>322</v>
      </c>
      <c r="I847" t="s">
        <v>323</v>
      </c>
      <c r="J847" t="s">
        <v>324</v>
      </c>
      <c r="K847" t="s">
        <v>345</v>
      </c>
      <c r="L847" t="s">
        <v>346</v>
      </c>
      <c r="M847">
        <v>2.8888888888888888E-2</v>
      </c>
      <c r="N847">
        <v>104</v>
      </c>
      <c r="O847">
        <v>505.89</v>
      </c>
      <c r="P847">
        <v>4.8643269230769226</v>
      </c>
      <c r="Q847">
        <v>104</v>
      </c>
    </row>
    <row r="848" spans="1:17" x14ac:dyDescent="0.35">
      <c r="A848" s="46">
        <v>46118</v>
      </c>
      <c r="B848" t="s">
        <v>136</v>
      </c>
      <c r="C848" t="s">
        <v>401</v>
      </c>
      <c r="D848" t="s">
        <v>400</v>
      </c>
      <c r="E848" t="s">
        <v>337</v>
      </c>
      <c r="F848" t="s">
        <v>87</v>
      </c>
      <c r="G848" t="s">
        <v>340</v>
      </c>
      <c r="H848" t="s">
        <v>330</v>
      </c>
      <c r="I848" t="s">
        <v>323</v>
      </c>
      <c r="J848" t="s">
        <v>324</v>
      </c>
      <c r="K848" t="s">
        <v>345</v>
      </c>
      <c r="L848" t="s">
        <v>346</v>
      </c>
      <c r="M848">
        <v>0.95611111111111113</v>
      </c>
      <c r="N848">
        <v>3442</v>
      </c>
      <c r="O848">
        <v>9966.06</v>
      </c>
      <c r="P848">
        <v>2.8954270772806505</v>
      </c>
      <c r="Q848">
        <v>3442</v>
      </c>
    </row>
    <row r="849" spans="1:17" x14ac:dyDescent="0.35">
      <c r="A849" s="46">
        <v>46118</v>
      </c>
      <c r="B849" t="s">
        <v>136</v>
      </c>
      <c r="C849" t="s">
        <v>402</v>
      </c>
      <c r="D849" t="s">
        <v>400</v>
      </c>
      <c r="E849" t="s">
        <v>337</v>
      </c>
      <c r="F849" t="s">
        <v>87</v>
      </c>
      <c r="G849" t="s">
        <v>340</v>
      </c>
      <c r="H849" t="s">
        <v>330</v>
      </c>
      <c r="I849" t="s">
        <v>323</v>
      </c>
      <c r="J849" t="s">
        <v>324</v>
      </c>
      <c r="K849" t="s">
        <v>345</v>
      </c>
      <c r="L849" t="s">
        <v>346</v>
      </c>
      <c r="M849">
        <v>1.5716666666666668</v>
      </c>
      <c r="N849">
        <v>5658</v>
      </c>
      <c r="O849">
        <v>13748.46</v>
      </c>
      <c r="P849">
        <v>2.4299151643690347</v>
      </c>
      <c r="Q849">
        <v>5658</v>
      </c>
    </row>
    <row r="850" spans="1:17" x14ac:dyDescent="0.35">
      <c r="A850" s="46">
        <v>46118</v>
      </c>
      <c r="B850" t="s">
        <v>136</v>
      </c>
      <c r="C850" t="s">
        <v>403</v>
      </c>
      <c r="D850" t="s">
        <v>400</v>
      </c>
      <c r="E850" t="s">
        <v>337</v>
      </c>
      <c r="F850" t="s">
        <v>87</v>
      </c>
      <c r="G850" t="s">
        <v>340</v>
      </c>
      <c r="H850" t="s">
        <v>330</v>
      </c>
      <c r="I850" t="s">
        <v>323</v>
      </c>
      <c r="J850" t="s">
        <v>324</v>
      </c>
      <c r="K850" t="s">
        <v>345</v>
      </c>
      <c r="L850" t="s">
        <v>346</v>
      </c>
      <c r="M850">
        <v>1.5380555555555555</v>
      </c>
      <c r="N850">
        <v>5537</v>
      </c>
      <c r="O850">
        <v>16905.310000000001</v>
      </c>
      <c r="P850">
        <v>3.0531533321293121</v>
      </c>
      <c r="Q850">
        <v>5537</v>
      </c>
    </row>
    <row r="851" spans="1:17" x14ac:dyDescent="0.35">
      <c r="A851" s="46">
        <v>46118</v>
      </c>
      <c r="B851" t="s">
        <v>136</v>
      </c>
      <c r="C851" t="s">
        <v>401</v>
      </c>
      <c r="D851" t="s">
        <v>400</v>
      </c>
      <c r="E851" t="s">
        <v>337</v>
      </c>
      <c r="F851" t="s">
        <v>87</v>
      </c>
      <c r="G851" t="s">
        <v>340</v>
      </c>
      <c r="H851" t="s">
        <v>343</v>
      </c>
      <c r="I851" t="s">
        <v>323</v>
      </c>
      <c r="J851" t="s">
        <v>324</v>
      </c>
      <c r="K851" t="s">
        <v>345</v>
      </c>
      <c r="L851" t="s">
        <v>346</v>
      </c>
      <c r="M851">
        <v>2.1541666666666668</v>
      </c>
      <c r="N851">
        <v>7755</v>
      </c>
      <c r="O851">
        <v>22930.93</v>
      </c>
      <c r="P851">
        <v>2.9569219858156028</v>
      </c>
      <c r="Q851">
        <v>7755</v>
      </c>
    </row>
    <row r="852" spans="1:17" x14ac:dyDescent="0.35">
      <c r="A852" s="46">
        <v>46118</v>
      </c>
      <c r="B852" t="s">
        <v>136</v>
      </c>
      <c r="C852" t="s">
        <v>403</v>
      </c>
      <c r="D852" t="s">
        <v>400</v>
      </c>
      <c r="E852" t="s">
        <v>337</v>
      </c>
      <c r="F852" t="s">
        <v>87</v>
      </c>
      <c r="G852" t="s">
        <v>340</v>
      </c>
      <c r="H852" t="s">
        <v>330</v>
      </c>
      <c r="I852" t="s">
        <v>323</v>
      </c>
      <c r="J852" t="s">
        <v>324</v>
      </c>
      <c r="K852" t="s">
        <v>142</v>
      </c>
      <c r="L852" t="s">
        <v>143</v>
      </c>
      <c r="M852">
        <v>1.0555555555555556E-2</v>
      </c>
      <c r="N852">
        <v>38</v>
      </c>
      <c r="O852">
        <v>99.179999999999993</v>
      </c>
      <c r="P852">
        <v>2.61</v>
      </c>
      <c r="Q852">
        <v>38</v>
      </c>
    </row>
    <row r="853" spans="1:17" x14ac:dyDescent="0.35">
      <c r="A853" s="46">
        <v>46118</v>
      </c>
      <c r="B853" t="s">
        <v>136</v>
      </c>
      <c r="C853" t="s">
        <v>335</v>
      </c>
      <c r="D853" t="s">
        <v>400</v>
      </c>
      <c r="E853" t="s">
        <v>337</v>
      </c>
      <c r="F853" t="s">
        <v>87</v>
      </c>
      <c r="G853" t="s">
        <v>340</v>
      </c>
      <c r="H853" t="s">
        <v>343</v>
      </c>
      <c r="I853" t="s">
        <v>323</v>
      </c>
      <c r="J853" t="s">
        <v>324</v>
      </c>
      <c r="K853" t="s">
        <v>142</v>
      </c>
      <c r="L853" t="s">
        <v>143</v>
      </c>
      <c r="M853">
        <v>3.8055555555555558E-2</v>
      </c>
      <c r="N853">
        <v>137</v>
      </c>
      <c r="O853">
        <v>442.51</v>
      </c>
      <c r="P853">
        <v>3.23</v>
      </c>
      <c r="Q853">
        <v>137</v>
      </c>
    </row>
    <row r="854" spans="1:17" x14ac:dyDescent="0.35">
      <c r="A854" s="46">
        <v>46118</v>
      </c>
      <c r="B854" t="s">
        <v>136</v>
      </c>
      <c r="C854" t="s">
        <v>402</v>
      </c>
      <c r="D854" t="s">
        <v>400</v>
      </c>
      <c r="E854" t="s">
        <v>337</v>
      </c>
      <c r="F854" t="s">
        <v>87</v>
      </c>
      <c r="G854" t="s">
        <v>340</v>
      </c>
      <c r="H854" t="s">
        <v>343</v>
      </c>
      <c r="I854" t="s">
        <v>323</v>
      </c>
      <c r="J854" t="s">
        <v>324</v>
      </c>
      <c r="K854" t="s">
        <v>142</v>
      </c>
      <c r="L854" t="s">
        <v>143</v>
      </c>
      <c r="M854">
        <v>6.4444444444444443E-2</v>
      </c>
      <c r="N854">
        <v>232</v>
      </c>
      <c r="O854">
        <v>715.31999999999994</v>
      </c>
      <c r="P854">
        <v>3.0832758620689651</v>
      </c>
      <c r="Q854">
        <v>232</v>
      </c>
    </row>
    <row r="855" spans="1:17" x14ac:dyDescent="0.35">
      <c r="A855" s="46">
        <v>46118</v>
      </c>
      <c r="B855" t="s">
        <v>136</v>
      </c>
      <c r="C855" t="s">
        <v>402</v>
      </c>
      <c r="D855" t="s">
        <v>400</v>
      </c>
      <c r="E855" t="s">
        <v>337</v>
      </c>
      <c r="F855" t="s">
        <v>87</v>
      </c>
      <c r="G855" t="s">
        <v>340</v>
      </c>
      <c r="H855" t="s">
        <v>330</v>
      </c>
      <c r="I855" t="s">
        <v>323</v>
      </c>
      <c r="J855" t="s">
        <v>324</v>
      </c>
      <c r="K855" t="s">
        <v>142</v>
      </c>
      <c r="L855" t="s">
        <v>143</v>
      </c>
      <c r="M855">
        <v>8.5000000000000006E-2</v>
      </c>
      <c r="N855">
        <v>306</v>
      </c>
      <c r="O855">
        <v>1561.12</v>
      </c>
      <c r="P855">
        <v>5.101699346405228</v>
      </c>
      <c r="Q855">
        <v>306</v>
      </c>
    </row>
    <row r="856" spans="1:17" x14ac:dyDescent="0.35">
      <c r="A856" s="46">
        <v>46118</v>
      </c>
      <c r="B856" t="s">
        <v>136</v>
      </c>
      <c r="C856" t="s">
        <v>401</v>
      </c>
      <c r="D856" t="s">
        <v>400</v>
      </c>
      <c r="E856" t="s">
        <v>337</v>
      </c>
      <c r="F856" t="s">
        <v>87</v>
      </c>
      <c r="G856" t="s">
        <v>340</v>
      </c>
      <c r="H856" t="s">
        <v>330</v>
      </c>
      <c r="I856" t="s">
        <v>323</v>
      </c>
      <c r="J856" t="s">
        <v>324</v>
      </c>
      <c r="K856" t="s">
        <v>142</v>
      </c>
      <c r="L856" t="s">
        <v>143</v>
      </c>
      <c r="M856">
        <v>9.0833333333333335E-2</v>
      </c>
      <c r="N856">
        <v>327</v>
      </c>
      <c r="O856">
        <v>1719.04</v>
      </c>
      <c r="P856">
        <v>5.2570030581039751</v>
      </c>
      <c r="Q856">
        <v>327</v>
      </c>
    </row>
    <row r="857" spans="1:17" x14ac:dyDescent="0.35">
      <c r="A857" s="46">
        <v>46118</v>
      </c>
      <c r="B857" t="s">
        <v>136</v>
      </c>
      <c r="C857" t="s">
        <v>401</v>
      </c>
      <c r="D857" t="s">
        <v>400</v>
      </c>
      <c r="E857" t="s">
        <v>337</v>
      </c>
      <c r="F857" t="s">
        <v>322</v>
      </c>
      <c r="G857" t="s">
        <v>322</v>
      </c>
      <c r="H857" t="s">
        <v>322</v>
      </c>
      <c r="I857" t="s">
        <v>323</v>
      </c>
      <c r="J857" t="s">
        <v>324</v>
      </c>
      <c r="K857" t="s">
        <v>142</v>
      </c>
      <c r="L857" t="s">
        <v>143</v>
      </c>
      <c r="M857">
        <v>0.10194444444444445</v>
      </c>
      <c r="N857">
        <v>367</v>
      </c>
      <c r="O857">
        <v>2045.78</v>
      </c>
      <c r="P857">
        <v>5.5743324250681194</v>
      </c>
      <c r="Q857">
        <v>367</v>
      </c>
    </row>
    <row r="858" spans="1:17" x14ac:dyDescent="0.35">
      <c r="A858" s="46">
        <v>46118</v>
      </c>
      <c r="B858" t="s">
        <v>136</v>
      </c>
      <c r="C858" t="s">
        <v>401</v>
      </c>
      <c r="D858" t="s">
        <v>400</v>
      </c>
      <c r="E858" t="s">
        <v>337</v>
      </c>
      <c r="F858" t="s">
        <v>87</v>
      </c>
      <c r="G858" t="s">
        <v>340</v>
      </c>
      <c r="H858" t="s">
        <v>343</v>
      </c>
      <c r="I858" t="s">
        <v>323</v>
      </c>
      <c r="J858" t="s">
        <v>324</v>
      </c>
      <c r="K858" t="s">
        <v>142</v>
      </c>
      <c r="L858" t="s">
        <v>143</v>
      </c>
      <c r="M858">
        <v>0.25472222222222224</v>
      </c>
      <c r="N858">
        <v>917</v>
      </c>
      <c r="O858">
        <v>5284.96</v>
      </c>
      <c r="P858">
        <v>5.7633151581243185</v>
      </c>
      <c r="Q858">
        <v>917</v>
      </c>
    </row>
    <row r="859" spans="1:17" x14ac:dyDescent="0.35">
      <c r="A859" s="46">
        <v>46118</v>
      </c>
      <c r="B859" t="s">
        <v>136</v>
      </c>
      <c r="C859" t="s">
        <v>401</v>
      </c>
      <c r="D859" t="s">
        <v>400</v>
      </c>
      <c r="E859" t="s">
        <v>337</v>
      </c>
      <c r="F859" t="s">
        <v>87</v>
      </c>
      <c r="G859" t="s">
        <v>340</v>
      </c>
      <c r="H859" t="s">
        <v>343</v>
      </c>
      <c r="I859" t="s">
        <v>323</v>
      </c>
      <c r="J859" t="s">
        <v>324</v>
      </c>
      <c r="K859" t="s">
        <v>375</v>
      </c>
      <c r="L859" t="s">
        <v>376</v>
      </c>
      <c r="M859">
        <v>0.79194444444444445</v>
      </c>
      <c r="N859">
        <v>2851</v>
      </c>
      <c r="O859">
        <v>0</v>
      </c>
    </row>
    <row r="860" spans="1:17" x14ac:dyDescent="0.35">
      <c r="A860" s="46">
        <v>46118</v>
      </c>
      <c r="B860" t="s">
        <v>136</v>
      </c>
      <c r="C860" t="s">
        <v>403</v>
      </c>
      <c r="D860" t="s">
        <v>400</v>
      </c>
      <c r="E860" t="s">
        <v>337</v>
      </c>
      <c r="F860" t="s">
        <v>322</v>
      </c>
      <c r="G860" t="s">
        <v>322</v>
      </c>
      <c r="H860" t="s">
        <v>322</v>
      </c>
      <c r="I860" t="s">
        <v>323</v>
      </c>
      <c r="J860" t="s">
        <v>324</v>
      </c>
      <c r="K860" t="s">
        <v>200</v>
      </c>
      <c r="L860" t="s">
        <v>201</v>
      </c>
      <c r="M860">
        <v>0.15833333333333333</v>
      </c>
      <c r="N860">
        <v>570</v>
      </c>
      <c r="O860">
        <v>0</v>
      </c>
    </row>
    <row r="861" spans="1:17" x14ac:dyDescent="0.35">
      <c r="A861" s="46">
        <v>46118</v>
      </c>
      <c r="B861" t="s">
        <v>136</v>
      </c>
      <c r="C861" t="s">
        <v>401</v>
      </c>
      <c r="D861" t="s">
        <v>400</v>
      </c>
      <c r="E861" t="s">
        <v>337</v>
      </c>
      <c r="F861" t="s">
        <v>322</v>
      </c>
      <c r="G861" t="s">
        <v>322</v>
      </c>
      <c r="H861" t="s">
        <v>322</v>
      </c>
      <c r="I861" t="s">
        <v>323</v>
      </c>
      <c r="J861" t="s">
        <v>324</v>
      </c>
      <c r="K861" t="s">
        <v>200</v>
      </c>
      <c r="L861" t="s">
        <v>201</v>
      </c>
      <c r="M861">
        <v>2.3030555555555554</v>
      </c>
      <c r="N861">
        <v>8291</v>
      </c>
      <c r="O861">
        <v>0</v>
      </c>
    </row>
    <row r="862" spans="1:17" x14ac:dyDescent="0.35">
      <c r="A862" s="46">
        <v>46118</v>
      </c>
      <c r="B862" t="s">
        <v>136</v>
      </c>
      <c r="C862" t="s">
        <v>403</v>
      </c>
      <c r="D862" t="s">
        <v>400</v>
      </c>
      <c r="E862" t="s">
        <v>337</v>
      </c>
      <c r="F862" t="s">
        <v>87</v>
      </c>
      <c r="G862" t="s">
        <v>340</v>
      </c>
      <c r="H862" t="s">
        <v>330</v>
      </c>
      <c r="I862" t="s">
        <v>323</v>
      </c>
      <c r="J862" t="s">
        <v>324</v>
      </c>
      <c r="K862" t="s">
        <v>200</v>
      </c>
      <c r="L862" t="s">
        <v>201</v>
      </c>
      <c r="M862">
        <v>4.6711111111111112</v>
      </c>
      <c r="N862">
        <v>16816</v>
      </c>
      <c r="O862">
        <v>0</v>
      </c>
    </row>
    <row r="863" spans="1:17" x14ac:dyDescent="0.35">
      <c r="A863" s="46">
        <v>46118</v>
      </c>
      <c r="B863" t="s">
        <v>136</v>
      </c>
      <c r="C863" t="s">
        <v>402</v>
      </c>
      <c r="D863" t="s">
        <v>400</v>
      </c>
      <c r="E863" t="s">
        <v>337</v>
      </c>
      <c r="F863" t="s">
        <v>87</v>
      </c>
      <c r="G863" t="s">
        <v>340</v>
      </c>
      <c r="H863" t="s">
        <v>330</v>
      </c>
      <c r="I863" t="s">
        <v>323</v>
      </c>
      <c r="J863" t="s">
        <v>324</v>
      </c>
      <c r="K863" t="s">
        <v>200</v>
      </c>
      <c r="L863" t="s">
        <v>201</v>
      </c>
      <c r="M863">
        <v>1.3305555555555555</v>
      </c>
      <c r="N863">
        <v>4790</v>
      </c>
      <c r="O863">
        <v>0</v>
      </c>
    </row>
    <row r="864" spans="1:17" x14ac:dyDescent="0.35">
      <c r="A864" s="46">
        <v>46118</v>
      </c>
      <c r="B864" t="s">
        <v>136</v>
      </c>
      <c r="C864" t="s">
        <v>401</v>
      </c>
      <c r="D864" t="s">
        <v>400</v>
      </c>
      <c r="E864" t="s">
        <v>337</v>
      </c>
      <c r="F864" t="s">
        <v>87</v>
      </c>
      <c r="G864" t="s">
        <v>340</v>
      </c>
      <c r="H864" t="s">
        <v>330</v>
      </c>
      <c r="I864" t="s">
        <v>323</v>
      </c>
      <c r="J864" t="s">
        <v>324</v>
      </c>
      <c r="K864" t="s">
        <v>200</v>
      </c>
      <c r="L864" t="s">
        <v>201</v>
      </c>
      <c r="M864">
        <v>0.34083333333333332</v>
      </c>
      <c r="N864">
        <v>1227</v>
      </c>
      <c r="O864">
        <v>0</v>
      </c>
    </row>
    <row r="865" spans="1:17" x14ac:dyDescent="0.35">
      <c r="A865" s="46">
        <v>46118</v>
      </c>
      <c r="B865" t="s">
        <v>136</v>
      </c>
      <c r="C865" t="s">
        <v>401</v>
      </c>
      <c r="D865" t="s">
        <v>400</v>
      </c>
      <c r="E865" t="s">
        <v>337</v>
      </c>
      <c r="F865" t="s">
        <v>87</v>
      </c>
      <c r="G865" t="s">
        <v>340</v>
      </c>
      <c r="H865" t="s">
        <v>343</v>
      </c>
      <c r="I865" t="s">
        <v>323</v>
      </c>
      <c r="J865" t="s">
        <v>324</v>
      </c>
      <c r="K865" t="s">
        <v>200</v>
      </c>
      <c r="L865" t="s">
        <v>201</v>
      </c>
      <c r="M865">
        <v>0.88749999999999996</v>
      </c>
      <c r="N865">
        <v>3195</v>
      </c>
      <c r="O865">
        <v>0</v>
      </c>
    </row>
    <row r="866" spans="1:17" x14ac:dyDescent="0.35">
      <c r="A866" s="46">
        <v>46118</v>
      </c>
      <c r="B866" t="s">
        <v>136</v>
      </c>
      <c r="C866" t="s">
        <v>335</v>
      </c>
      <c r="D866" t="s">
        <v>400</v>
      </c>
      <c r="E866" t="s">
        <v>337</v>
      </c>
      <c r="F866" t="s">
        <v>87</v>
      </c>
      <c r="G866" t="s">
        <v>340</v>
      </c>
      <c r="H866" t="s">
        <v>343</v>
      </c>
      <c r="I866" t="s">
        <v>323</v>
      </c>
      <c r="J866" t="s">
        <v>324</v>
      </c>
      <c r="K866" t="s">
        <v>200</v>
      </c>
      <c r="L866" t="s">
        <v>201</v>
      </c>
      <c r="M866">
        <v>0.12861111111111112</v>
      </c>
      <c r="N866">
        <v>463</v>
      </c>
      <c r="O866">
        <v>0</v>
      </c>
    </row>
    <row r="867" spans="1:17" x14ac:dyDescent="0.35">
      <c r="A867" s="46">
        <v>46118</v>
      </c>
      <c r="B867" t="s">
        <v>136</v>
      </c>
      <c r="C867" t="s">
        <v>403</v>
      </c>
      <c r="D867" t="s">
        <v>400</v>
      </c>
      <c r="E867" t="s">
        <v>337</v>
      </c>
      <c r="F867" t="s">
        <v>87</v>
      </c>
      <c r="G867" t="s">
        <v>340</v>
      </c>
      <c r="H867" t="s">
        <v>330</v>
      </c>
      <c r="I867" t="s">
        <v>323</v>
      </c>
      <c r="J867" t="s">
        <v>324</v>
      </c>
      <c r="K867" t="s">
        <v>348</v>
      </c>
      <c r="L867" t="s">
        <v>349</v>
      </c>
      <c r="M867">
        <v>9.1666666666666667E-3</v>
      </c>
      <c r="N867">
        <v>33</v>
      </c>
      <c r="O867">
        <v>0</v>
      </c>
    </row>
    <row r="868" spans="1:17" x14ac:dyDescent="0.35">
      <c r="A868" s="46">
        <v>46118</v>
      </c>
      <c r="B868" t="s">
        <v>136</v>
      </c>
      <c r="C868" t="s">
        <v>401</v>
      </c>
      <c r="D868" t="s">
        <v>400</v>
      </c>
      <c r="E868" t="s">
        <v>337</v>
      </c>
      <c r="F868" t="s">
        <v>87</v>
      </c>
      <c r="G868" t="s">
        <v>340</v>
      </c>
      <c r="H868" t="s">
        <v>330</v>
      </c>
      <c r="I868" t="s">
        <v>323</v>
      </c>
      <c r="J868" t="s">
        <v>324</v>
      </c>
      <c r="K868" t="s">
        <v>348</v>
      </c>
      <c r="L868" t="s">
        <v>349</v>
      </c>
      <c r="M868">
        <v>0.25305555555555553</v>
      </c>
      <c r="N868">
        <v>911</v>
      </c>
      <c r="O868">
        <v>0</v>
      </c>
    </row>
    <row r="869" spans="1:17" x14ac:dyDescent="0.35">
      <c r="A869" s="46">
        <v>46118</v>
      </c>
      <c r="B869" t="s">
        <v>136</v>
      </c>
      <c r="C869" t="s">
        <v>401</v>
      </c>
      <c r="D869" t="s">
        <v>400</v>
      </c>
      <c r="E869" t="s">
        <v>337</v>
      </c>
      <c r="F869" t="s">
        <v>87</v>
      </c>
      <c r="G869" t="s">
        <v>340</v>
      </c>
      <c r="H869" t="s">
        <v>343</v>
      </c>
      <c r="I869" t="s">
        <v>323</v>
      </c>
      <c r="J869" t="s">
        <v>324</v>
      </c>
      <c r="K869" t="s">
        <v>348</v>
      </c>
      <c r="L869" t="s">
        <v>349</v>
      </c>
      <c r="M869">
        <v>0.71166666666666667</v>
      </c>
      <c r="N869">
        <v>2562</v>
      </c>
      <c r="O869">
        <v>0</v>
      </c>
    </row>
    <row r="870" spans="1:17" x14ac:dyDescent="0.35">
      <c r="A870" s="46">
        <v>46118</v>
      </c>
      <c r="B870" t="s">
        <v>136</v>
      </c>
      <c r="C870" t="s">
        <v>403</v>
      </c>
      <c r="D870" t="s">
        <v>400</v>
      </c>
      <c r="E870" t="s">
        <v>337</v>
      </c>
      <c r="F870" t="s">
        <v>322</v>
      </c>
      <c r="G870" t="s">
        <v>322</v>
      </c>
      <c r="H870" t="s">
        <v>322</v>
      </c>
      <c r="I870" t="s">
        <v>323</v>
      </c>
      <c r="J870" t="s">
        <v>324</v>
      </c>
      <c r="K870" t="s">
        <v>350</v>
      </c>
      <c r="L870" t="s">
        <v>351</v>
      </c>
      <c r="M870">
        <v>9.4444444444444445E-3</v>
      </c>
      <c r="N870">
        <v>34</v>
      </c>
      <c r="O870">
        <v>98.35</v>
      </c>
      <c r="P870">
        <v>2.8926470588235293</v>
      </c>
      <c r="Q870">
        <v>34</v>
      </c>
    </row>
    <row r="871" spans="1:17" x14ac:dyDescent="0.35">
      <c r="A871" s="46">
        <v>46118</v>
      </c>
      <c r="B871" t="s">
        <v>136</v>
      </c>
      <c r="C871" t="s">
        <v>402</v>
      </c>
      <c r="D871" t="s">
        <v>400</v>
      </c>
      <c r="E871" t="s">
        <v>337</v>
      </c>
      <c r="F871" t="s">
        <v>87</v>
      </c>
      <c r="G871" t="s">
        <v>340</v>
      </c>
      <c r="H871" t="s">
        <v>343</v>
      </c>
      <c r="I871" t="s">
        <v>323</v>
      </c>
      <c r="J871" t="s">
        <v>324</v>
      </c>
      <c r="K871" t="s">
        <v>350</v>
      </c>
      <c r="L871" t="s">
        <v>351</v>
      </c>
      <c r="M871">
        <v>9.1666666666666667E-3</v>
      </c>
      <c r="N871">
        <v>33</v>
      </c>
      <c r="O871">
        <v>125.07000000000001</v>
      </c>
      <c r="P871">
        <v>3.79</v>
      </c>
      <c r="Q871">
        <v>33</v>
      </c>
    </row>
    <row r="872" spans="1:17" x14ac:dyDescent="0.35">
      <c r="A872" s="46">
        <v>46118</v>
      </c>
      <c r="B872" t="s">
        <v>136</v>
      </c>
      <c r="C872" t="s">
        <v>402</v>
      </c>
      <c r="D872" t="s">
        <v>400</v>
      </c>
      <c r="E872" t="s">
        <v>337</v>
      </c>
      <c r="F872" t="s">
        <v>322</v>
      </c>
      <c r="G872" t="s">
        <v>322</v>
      </c>
      <c r="H872" t="s">
        <v>322</v>
      </c>
      <c r="I872" t="s">
        <v>323</v>
      </c>
      <c r="J872" t="s">
        <v>324</v>
      </c>
      <c r="K872" t="s">
        <v>350</v>
      </c>
      <c r="L872" t="s">
        <v>351</v>
      </c>
      <c r="M872">
        <v>2.6388888888888889E-2</v>
      </c>
      <c r="N872">
        <v>95</v>
      </c>
      <c r="O872">
        <v>271.13</v>
      </c>
      <c r="P872">
        <v>2.8540000000000001</v>
      </c>
      <c r="Q872">
        <v>95</v>
      </c>
    </row>
    <row r="873" spans="1:17" x14ac:dyDescent="0.35">
      <c r="A873" s="46">
        <v>46118</v>
      </c>
      <c r="B873" t="s">
        <v>136</v>
      </c>
      <c r="C873" t="s">
        <v>403</v>
      </c>
      <c r="D873" t="s">
        <v>400</v>
      </c>
      <c r="E873" t="s">
        <v>337</v>
      </c>
      <c r="F873" t="s">
        <v>87</v>
      </c>
      <c r="G873" t="s">
        <v>340</v>
      </c>
      <c r="H873" t="s">
        <v>330</v>
      </c>
      <c r="I873" t="s">
        <v>323</v>
      </c>
      <c r="J873" t="s">
        <v>324</v>
      </c>
      <c r="K873" t="s">
        <v>350</v>
      </c>
      <c r="L873" t="s">
        <v>351</v>
      </c>
      <c r="M873">
        <v>0.34138888888888891</v>
      </c>
      <c r="N873">
        <v>1229</v>
      </c>
      <c r="O873">
        <v>2719.4900000000002</v>
      </c>
      <c r="P873">
        <v>2.2127664768104154</v>
      </c>
      <c r="Q873">
        <v>1229</v>
      </c>
    </row>
    <row r="874" spans="1:17" x14ac:dyDescent="0.35">
      <c r="A874" s="46">
        <v>46118</v>
      </c>
      <c r="B874" t="s">
        <v>136</v>
      </c>
      <c r="C874" t="s">
        <v>402</v>
      </c>
      <c r="D874" t="s">
        <v>400</v>
      </c>
      <c r="E874" t="s">
        <v>337</v>
      </c>
      <c r="F874" t="s">
        <v>87</v>
      </c>
      <c r="G874" t="s">
        <v>340</v>
      </c>
      <c r="H874" t="s">
        <v>330</v>
      </c>
      <c r="I874" t="s">
        <v>323</v>
      </c>
      <c r="J874" t="s">
        <v>324</v>
      </c>
      <c r="K874" t="s">
        <v>350</v>
      </c>
      <c r="L874" t="s">
        <v>351</v>
      </c>
      <c r="M874">
        <v>0.41888888888888887</v>
      </c>
      <c r="N874">
        <v>1508</v>
      </c>
      <c r="O874">
        <v>2935.29</v>
      </c>
      <c r="P874">
        <v>1.9464787798408487</v>
      </c>
      <c r="Q874">
        <v>1508</v>
      </c>
    </row>
    <row r="875" spans="1:17" x14ac:dyDescent="0.35">
      <c r="A875" s="46">
        <v>46118</v>
      </c>
      <c r="B875" t="s">
        <v>136</v>
      </c>
      <c r="C875" t="s">
        <v>401</v>
      </c>
      <c r="D875" t="s">
        <v>400</v>
      </c>
      <c r="E875" t="s">
        <v>337</v>
      </c>
      <c r="F875" t="s">
        <v>87</v>
      </c>
      <c r="G875" t="s">
        <v>340</v>
      </c>
      <c r="H875" t="s">
        <v>330</v>
      </c>
      <c r="I875" t="s">
        <v>323</v>
      </c>
      <c r="J875" t="s">
        <v>324</v>
      </c>
      <c r="K875" t="s">
        <v>350</v>
      </c>
      <c r="L875" t="s">
        <v>351</v>
      </c>
      <c r="M875">
        <v>0.26500000000000001</v>
      </c>
      <c r="N875">
        <v>954</v>
      </c>
      <c r="O875">
        <v>3472.41</v>
      </c>
      <c r="P875">
        <v>3.6398427672955975</v>
      </c>
      <c r="Q875">
        <v>954</v>
      </c>
    </row>
    <row r="876" spans="1:17" x14ac:dyDescent="0.35">
      <c r="A876" s="46">
        <v>46118</v>
      </c>
      <c r="B876" t="s">
        <v>136</v>
      </c>
      <c r="C876" t="s">
        <v>401</v>
      </c>
      <c r="D876" t="s">
        <v>400</v>
      </c>
      <c r="E876" t="s">
        <v>337</v>
      </c>
      <c r="F876" t="s">
        <v>87</v>
      </c>
      <c r="G876" t="s">
        <v>340</v>
      </c>
      <c r="H876" t="s">
        <v>343</v>
      </c>
      <c r="I876" t="s">
        <v>323</v>
      </c>
      <c r="J876" t="s">
        <v>324</v>
      </c>
      <c r="K876" t="s">
        <v>350</v>
      </c>
      <c r="L876" t="s">
        <v>351</v>
      </c>
      <c r="M876">
        <v>0.57694444444444448</v>
      </c>
      <c r="N876">
        <v>2077</v>
      </c>
      <c r="O876">
        <v>7094.12</v>
      </c>
      <c r="P876">
        <v>3.4155609051516609</v>
      </c>
      <c r="Q876">
        <v>2077</v>
      </c>
    </row>
    <row r="877" spans="1:17" x14ac:dyDescent="0.35">
      <c r="A877" s="46">
        <v>46118</v>
      </c>
      <c r="B877" t="s">
        <v>136</v>
      </c>
      <c r="C877" t="s">
        <v>402</v>
      </c>
      <c r="D877" t="s">
        <v>400</v>
      </c>
      <c r="E877" t="s">
        <v>337</v>
      </c>
      <c r="F877" t="s">
        <v>87</v>
      </c>
      <c r="G877" t="s">
        <v>340</v>
      </c>
      <c r="H877" t="s">
        <v>330</v>
      </c>
      <c r="I877" t="s">
        <v>323</v>
      </c>
      <c r="J877" t="s">
        <v>324</v>
      </c>
      <c r="K877" t="s">
        <v>170</v>
      </c>
      <c r="L877" t="s">
        <v>171</v>
      </c>
      <c r="M877">
        <v>2.8794444444444443</v>
      </c>
      <c r="N877">
        <v>10366</v>
      </c>
      <c r="O877">
        <v>0</v>
      </c>
    </row>
    <row r="878" spans="1:17" x14ac:dyDescent="0.35">
      <c r="A878" s="46">
        <v>46118</v>
      </c>
      <c r="B878" t="s">
        <v>136</v>
      </c>
      <c r="C878" t="s">
        <v>319</v>
      </c>
      <c r="D878" t="s">
        <v>400</v>
      </c>
      <c r="E878" t="s">
        <v>337</v>
      </c>
      <c r="F878" t="s">
        <v>87</v>
      </c>
      <c r="G878" t="s">
        <v>340</v>
      </c>
      <c r="H878" t="s">
        <v>330</v>
      </c>
      <c r="I878" t="s">
        <v>323</v>
      </c>
      <c r="J878" t="s">
        <v>324</v>
      </c>
      <c r="K878" t="s">
        <v>170</v>
      </c>
      <c r="L878" t="s">
        <v>171</v>
      </c>
      <c r="M878">
        <v>0.27305555555555555</v>
      </c>
      <c r="N878">
        <v>983</v>
      </c>
      <c r="O878">
        <v>0</v>
      </c>
    </row>
    <row r="879" spans="1:17" x14ac:dyDescent="0.35">
      <c r="A879" s="46">
        <v>46118</v>
      </c>
      <c r="B879" t="s">
        <v>136</v>
      </c>
      <c r="C879" t="s">
        <v>402</v>
      </c>
      <c r="D879" t="s">
        <v>400</v>
      </c>
      <c r="E879" t="s">
        <v>337</v>
      </c>
      <c r="F879" t="s">
        <v>87</v>
      </c>
      <c r="G879" t="s">
        <v>340</v>
      </c>
      <c r="H879" t="s">
        <v>343</v>
      </c>
      <c r="I879" t="s">
        <v>323</v>
      </c>
      <c r="J879" t="s">
        <v>324</v>
      </c>
      <c r="K879" t="s">
        <v>170</v>
      </c>
      <c r="L879" t="s">
        <v>171</v>
      </c>
      <c r="M879">
        <v>1.7777777777777778E-2</v>
      </c>
      <c r="N879">
        <v>64</v>
      </c>
      <c r="O879">
        <v>0</v>
      </c>
    </row>
    <row r="880" spans="1:17" x14ac:dyDescent="0.35">
      <c r="A880" s="46">
        <v>46118</v>
      </c>
      <c r="B880" t="s">
        <v>136</v>
      </c>
      <c r="C880" t="s">
        <v>401</v>
      </c>
      <c r="D880" t="s">
        <v>400</v>
      </c>
      <c r="E880" t="s">
        <v>337</v>
      </c>
      <c r="F880" t="s">
        <v>87</v>
      </c>
      <c r="G880" t="s">
        <v>340</v>
      </c>
      <c r="H880" t="s">
        <v>343</v>
      </c>
      <c r="I880" t="s">
        <v>323</v>
      </c>
      <c r="J880" t="s">
        <v>324</v>
      </c>
      <c r="K880" t="s">
        <v>178</v>
      </c>
      <c r="L880" t="s">
        <v>179</v>
      </c>
      <c r="M880">
        <v>1.3888888888888889E-3</v>
      </c>
      <c r="N880">
        <v>5</v>
      </c>
      <c r="O880">
        <v>0</v>
      </c>
    </row>
    <row r="881" spans="1:17" x14ac:dyDescent="0.35">
      <c r="A881" s="46">
        <v>46118</v>
      </c>
      <c r="B881" t="s">
        <v>136</v>
      </c>
      <c r="C881" t="s">
        <v>403</v>
      </c>
      <c r="D881" t="s">
        <v>400</v>
      </c>
      <c r="E881" t="s">
        <v>337</v>
      </c>
      <c r="F881" t="s">
        <v>87</v>
      </c>
      <c r="G881" t="s">
        <v>340</v>
      </c>
      <c r="H881" t="s">
        <v>343</v>
      </c>
      <c r="I881" t="s">
        <v>323</v>
      </c>
      <c r="J881" t="s">
        <v>324</v>
      </c>
      <c r="K881" t="s">
        <v>182</v>
      </c>
      <c r="L881" t="s">
        <v>183</v>
      </c>
      <c r="M881">
        <v>1.9722222222222221E-2</v>
      </c>
      <c r="N881">
        <v>71</v>
      </c>
      <c r="O881">
        <v>0</v>
      </c>
    </row>
    <row r="882" spans="1:17" x14ac:dyDescent="0.35">
      <c r="A882" s="46">
        <v>46118</v>
      </c>
      <c r="B882" t="s">
        <v>136</v>
      </c>
      <c r="C882" t="s">
        <v>401</v>
      </c>
      <c r="D882" t="s">
        <v>400</v>
      </c>
      <c r="E882" t="s">
        <v>337</v>
      </c>
      <c r="F882" t="s">
        <v>87</v>
      </c>
      <c r="G882" t="s">
        <v>340</v>
      </c>
      <c r="H882" t="s">
        <v>343</v>
      </c>
      <c r="I882" t="s">
        <v>323</v>
      </c>
      <c r="J882" t="s">
        <v>324</v>
      </c>
      <c r="K882" t="s">
        <v>182</v>
      </c>
      <c r="L882" t="s">
        <v>183</v>
      </c>
      <c r="M882">
        <v>2.7777777777777779E-3</v>
      </c>
      <c r="N882">
        <v>10</v>
      </c>
      <c r="O882">
        <v>0</v>
      </c>
    </row>
    <row r="883" spans="1:17" x14ac:dyDescent="0.35">
      <c r="A883" s="46">
        <v>46118</v>
      </c>
      <c r="B883" t="s">
        <v>136</v>
      </c>
      <c r="C883" t="s">
        <v>353</v>
      </c>
      <c r="D883" t="s">
        <v>406</v>
      </c>
      <c r="E883" t="s">
        <v>337</v>
      </c>
      <c r="F883" t="s">
        <v>87</v>
      </c>
      <c r="G883" t="s">
        <v>340</v>
      </c>
      <c r="H883" t="s">
        <v>330</v>
      </c>
      <c r="I883" t="s">
        <v>323</v>
      </c>
      <c r="J883" t="s">
        <v>324</v>
      </c>
      <c r="K883" t="s">
        <v>168</v>
      </c>
      <c r="L883" t="s">
        <v>169</v>
      </c>
      <c r="M883">
        <v>2.7222222222222221E-2</v>
      </c>
      <c r="N883">
        <v>98</v>
      </c>
      <c r="O883">
        <v>0</v>
      </c>
    </row>
    <row r="884" spans="1:17" x14ac:dyDescent="0.35">
      <c r="A884" s="46">
        <v>46118</v>
      </c>
      <c r="B884" t="s">
        <v>136</v>
      </c>
      <c r="C884" t="s">
        <v>354</v>
      </c>
      <c r="D884" t="s">
        <v>406</v>
      </c>
      <c r="E884" t="s">
        <v>337</v>
      </c>
      <c r="F884" t="s">
        <v>87</v>
      </c>
      <c r="G884" t="s">
        <v>340</v>
      </c>
      <c r="H884" t="s">
        <v>330</v>
      </c>
      <c r="I884" t="s">
        <v>323</v>
      </c>
      <c r="J884" t="s">
        <v>324</v>
      </c>
      <c r="K884" t="s">
        <v>168</v>
      </c>
      <c r="L884" t="s">
        <v>169</v>
      </c>
      <c r="M884">
        <v>0.24111111111111111</v>
      </c>
      <c r="N884">
        <v>868</v>
      </c>
      <c r="O884">
        <v>0</v>
      </c>
    </row>
    <row r="885" spans="1:17" x14ac:dyDescent="0.35">
      <c r="A885" s="46">
        <v>46118</v>
      </c>
      <c r="B885" t="s">
        <v>136</v>
      </c>
      <c r="C885" t="s">
        <v>354</v>
      </c>
      <c r="D885" t="s">
        <v>406</v>
      </c>
      <c r="E885" t="s">
        <v>337</v>
      </c>
      <c r="F885" t="s">
        <v>87</v>
      </c>
      <c r="G885" t="s">
        <v>340</v>
      </c>
      <c r="H885" t="s">
        <v>343</v>
      </c>
      <c r="I885" t="s">
        <v>323</v>
      </c>
      <c r="J885" t="s">
        <v>324</v>
      </c>
      <c r="K885" t="s">
        <v>168</v>
      </c>
      <c r="L885" t="s">
        <v>169</v>
      </c>
      <c r="M885">
        <v>1.6944444444444446E-2</v>
      </c>
      <c r="N885">
        <v>61</v>
      </c>
      <c r="O885">
        <v>0</v>
      </c>
    </row>
    <row r="886" spans="1:17" x14ac:dyDescent="0.35">
      <c r="A886" s="46">
        <v>46118</v>
      </c>
      <c r="B886" t="s">
        <v>136</v>
      </c>
      <c r="C886" t="s">
        <v>407</v>
      </c>
      <c r="D886" t="s">
        <v>406</v>
      </c>
      <c r="E886" t="s">
        <v>337</v>
      </c>
      <c r="F886" t="s">
        <v>322</v>
      </c>
      <c r="G886" t="s">
        <v>322</v>
      </c>
      <c r="H886" t="s">
        <v>322</v>
      </c>
      <c r="I886" t="s">
        <v>323</v>
      </c>
      <c r="J886" t="s">
        <v>324</v>
      </c>
      <c r="K886" t="s">
        <v>341</v>
      </c>
      <c r="L886" t="s">
        <v>342</v>
      </c>
      <c r="M886">
        <v>0.19388888888888889</v>
      </c>
      <c r="N886">
        <v>698</v>
      </c>
      <c r="O886">
        <v>0</v>
      </c>
    </row>
    <row r="887" spans="1:17" x14ac:dyDescent="0.35">
      <c r="A887" s="46">
        <v>46118</v>
      </c>
      <c r="B887" t="s">
        <v>136</v>
      </c>
      <c r="C887" t="s">
        <v>408</v>
      </c>
      <c r="D887" t="s">
        <v>406</v>
      </c>
      <c r="E887" t="s">
        <v>337</v>
      </c>
      <c r="F887" t="s">
        <v>87</v>
      </c>
      <c r="G887" t="s">
        <v>340</v>
      </c>
      <c r="H887" t="s">
        <v>330</v>
      </c>
      <c r="I887" t="s">
        <v>323</v>
      </c>
      <c r="J887" t="s">
        <v>324</v>
      </c>
      <c r="K887" t="s">
        <v>341</v>
      </c>
      <c r="L887" t="s">
        <v>342</v>
      </c>
      <c r="M887">
        <v>1.7222222222222222E-2</v>
      </c>
      <c r="N887">
        <v>62</v>
      </c>
      <c r="O887">
        <v>0</v>
      </c>
    </row>
    <row r="888" spans="1:17" x14ac:dyDescent="0.35">
      <c r="A888" s="46">
        <v>46118</v>
      </c>
      <c r="B888" t="s">
        <v>136</v>
      </c>
      <c r="C888" t="s">
        <v>408</v>
      </c>
      <c r="D888" t="s">
        <v>406</v>
      </c>
      <c r="E888" t="s">
        <v>337</v>
      </c>
      <c r="F888" t="s">
        <v>87</v>
      </c>
      <c r="G888" t="s">
        <v>340</v>
      </c>
      <c r="H888" t="s">
        <v>343</v>
      </c>
      <c r="I888" t="s">
        <v>323</v>
      </c>
      <c r="J888" t="s">
        <v>324</v>
      </c>
      <c r="K888" t="s">
        <v>341</v>
      </c>
      <c r="L888" t="s">
        <v>342</v>
      </c>
      <c r="M888">
        <v>3.6388888888888887E-2</v>
      </c>
      <c r="N888">
        <v>131</v>
      </c>
      <c r="O888">
        <v>0</v>
      </c>
    </row>
    <row r="889" spans="1:17" x14ac:dyDescent="0.35">
      <c r="A889" s="46">
        <v>46118</v>
      </c>
      <c r="B889" t="s">
        <v>136</v>
      </c>
      <c r="C889" t="s">
        <v>353</v>
      </c>
      <c r="D889" t="s">
        <v>406</v>
      </c>
      <c r="E889" t="s">
        <v>337</v>
      </c>
      <c r="F889" t="s">
        <v>87</v>
      </c>
      <c r="G889" t="s">
        <v>340</v>
      </c>
      <c r="H889" t="s">
        <v>343</v>
      </c>
      <c r="I889" t="s">
        <v>323</v>
      </c>
      <c r="J889" t="s">
        <v>324</v>
      </c>
      <c r="K889" t="s">
        <v>188</v>
      </c>
      <c r="L889" t="s">
        <v>189</v>
      </c>
      <c r="M889">
        <v>0.43277777777777776</v>
      </c>
      <c r="N889">
        <v>1558</v>
      </c>
      <c r="O889">
        <v>0</v>
      </c>
    </row>
    <row r="890" spans="1:17" x14ac:dyDescent="0.35">
      <c r="A890" s="46">
        <v>46118</v>
      </c>
      <c r="B890" t="s">
        <v>136</v>
      </c>
      <c r="C890" t="s">
        <v>353</v>
      </c>
      <c r="D890" t="s">
        <v>406</v>
      </c>
      <c r="E890" t="s">
        <v>337</v>
      </c>
      <c r="F890" t="s">
        <v>87</v>
      </c>
      <c r="G890" t="s">
        <v>340</v>
      </c>
      <c r="H890" t="s">
        <v>343</v>
      </c>
      <c r="I890" t="s">
        <v>323</v>
      </c>
      <c r="J890" t="s">
        <v>324</v>
      </c>
      <c r="K890" t="s">
        <v>345</v>
      </c>
      <c r="L890" t="s">
        <v>346</v>
      </c>
      <c r="M890">
        <v>2.7777777777777776E-2</v>
      </c>
      <c r="N890">
        <v>100</v>
      </c>
      <c r="O890">
        <v>311</v>
      </c>
      <c r="P890">
        <v>3.11</v>
      </c>
      <c r="Q890">
        <v>100</v>
      </c>
    </row>
    <row r="891" spans="1:17" x14ac:dyDescent="0.35">
      <c r="A891" s="46">
        <v>46118</v>
      </c>
      <c r="B891" t="s">
        <v>136</v>
      </c>
      <c r="C891" t="s">
        <v>402</v>
      </c>
      <c r="D891" t="s">
        <v>406</v>
      </c>
      <c r="E891" t="s">
        <v>337</v>
      </c>
      <c r="F891" t="s">
        <v>87</v>
      </c>
      <c r="G891" t="s">
        <v>340</v>
      </c>
      <c r="H891" t="s">
        <v>343</v>
      </c>
      <c r="I891" t="s">
        <v>323</v>
      </c>
      <c r="J891" t="s">
        <v>324</v>
      </c>
      <c r="K891" t="s">
        <v>345</v>
      </c>
      <c r="L891" t="s">
        <v>346</v>
      </c>
      <c r="M891">
        <v>8.4722222222222227E-2</v>
      </c>
      <c r="N891">
        <v>305</v>
      </c>
      <c r="O891">
        <v>875.35</v>
      </c>
      <c r="P891">
        <v>2.87</v>
      </c>
      <c r="Q891">
        <v>305</v>
      </c>
    </row>
    <row r="892" spans="1:17" x14ac:dyDescent="0.35">
      <c r="A892" s="46">
        <v>46118</v>
      </c>
      <c r="B892" t="s">
        <v>136</v>
      </c>
      <c r="C892" t="s">
        <v>402</v>
      </c>
      <c r="D892" t="s">
        <v>406</v>
      </c>
      <c r="E892" t="s">
        <v>337</v>
      </c>
      <c r="F892" t="s">
        <v>87</v>
      </c>
      <c r="G892" t="s">
        <v>340</v>
      </c>
      <c r="H892" t="s">
        <v>330</v>
      </c>
      <c r="I892" t="s">
        <v>323</v>
      </c>
      <c r="J892" t="s">
        <v>324</v>
      </c>
      <c r="K892" t="s">
        <v>345</v>
      </c>
      <c r="L892" t="s">
        <v>346</v>
      </c>
      <c r="M892">
        <v>0.15972222222222221</v>
      </c>
      <c r="N892">
        <v>575</v>
      </c>
      <c r="O892">
        <v>1569.75</v>
      </c>
      <c r="P892">
        <v>2.73</v>
      </c>
      <c r="Q892">
        <v>575</v>
      </c>
    </row>
    <row r="893" spans="1:17" x14ac:dyDescent="0.35">
      <c r="A893" s="46">
        <v>46118</v>
      </c>
      <c r="B893" t="s">
        <v>136</v>
      </c>
      <c r="C893" t="s">
        <v>353</v>
      </c>
      <c r="D893" t="s">
        <v>406</v>
      </c>
      <c r="E893" t="s">
        <v>337</v>
      </c>
      <c r="F893" t="s">
        <v>87</v>
      </c>
      <c r="G893" t="s">
        <v>340</v>
      </c>
      <c r="H893" t="s">
        <v>330</v>
      </c>
      <c r="I893" t="s">
        <v>323</v>
      </c>
      <c r="J893" t="s">
        <v>324</v>
      </c>
      <c r="K893" t="s">
        <v>345</v>
      </c>
      <c r="L893" t="s">
        <v>346</v>
      </c>
      <c r="M893">
        <v>0.13500000000000001</v>
      </c>
      <c r="N893">
        <v>486</v>
      </c>
      <c r="O893">
        <v>1681.56</v>
      </c>
      <c r="P893">
        <v>3.46</v>
      </c>
      <c r="Q893">
        <v>486</v>
      </c>
    </row>
    <row r="894" spans="1:17" x14ac:dyDescent="0.35">
      <c r="A894" s="46">
        <v>46118</v>
      </c>
      <c r="B894" t="s">
        <v>136</v>
      </c>
      <c r="C894" t="s">
        <v>407</v>
      </c>
      <c r="D894" t="s">
        <v>406</v>
      </c>
      <c r="E894" t="s">
        <v>337</v>
      </c>
      <c r="F894" t="s">
        <v>322</v>
      </c>
      <c r="G894" t="s">
        <v>322</v>
      </c>
      <c r="H894" t="s">
        <v>322</v>
      </c>
      <c r="I894" t="s">
        <v>323</v>
      </c>
      <c r="J894" t="s">
        <v>324</v>
      </c>
      <c r="K894" t="s">
        <v>345</v>
      </c>
      <c r="L894" t="s">
        <v>346</v>
      </c>
      <c r="M894">
        <v>0.18222222222222223</v>
      </c>
      <c r="N894">
        <v>656</v>
      </c>
      <c r="O894">
        <v>2060.16</v>
      </c>
      <c r="P894">
        <v>3.1404878048780485</v>
      </c>
      <c r="Q894">
        <v>656</v>
      </c>
    </row>
    <row r="895" spans="1:17" x14ac:dyDescent="0.35">
      <c r="A895" s="46">
        <v>46118</v>
      </c>
      <c r="B895" t="s">
        <v>136</v>
      </c>
      <c r="C895" t="s">
        <v>354</v>
      </c>
      <c r="D895" t="s">
        <v>406</v>
      </c>
      <c r="E895" t="s">
        <v>337</v>
      </c>
      <c r="F895" t="s">
        <v>87</v>
      </c>
      <c r="G895" t="s">
        <v>340</v>
      </c>
      <c r="H895" t="s">
        <v>343</v>
      </c>
      <c r="I895" t="s">
        <v>323</v>
      </c>
      <c r="J895" t="s">
        <v>324</v>
      </c>
      <c r="K895" t="s">
        <v>345</v>
      </c>
      <c r="L895" t="s">
        <v>346</v>
      </c>
      <c r="M895">
        <v>0.23444444444444446</v>
      </c>
      <c r="N895">
        <v>844</v>
      </c>
      <c r="O895">
        <v>2690.94</v>
      </c>
      <c r="P895">
        <v>3.188317535545024</v>
      </c>
      <c r="Q895">
        <v>844</v>
      </c>
    </row>
    <row r="896" spans="1:17" x14ac:dyDescent="0.35">
      <c r="A896" s="46">
        <v>46118</v>
      </c>
      <c r="B896" t="s">
        <v>136</v>
      </c>
      <c r="C896" t="s">
        <v>408</v>
      </c>
      <c r="D896" t="s">
        <v>406</v>
      </c>
      <c r="E896" t="s">
        <v>337</v>
      </c>
      <c r="F896" t="s">
        <v>87</v>
      </c>
      <c r="G896" t="s">
        <v>340</v>
      </c>
      <c r="H896" t="s">
        <v>343</v>
      </c>
      <c r="I896" t="s">
        <v>323</v>
      </c>
      <c r="J896" t="s">
        <v>324</v>
      </c>
      <c r="K896" t="s">
        <v>345</v>
      </c>
      <c r="L896" t="s">
        <v>346</v>
      </c>
      <c r="M896">
        <v>0.32500000000000001</v>
      </c>
      <c r="N896">
        <v>1170</v>
      </c>
      <c r="O896">
        <v>4214.8500000000004</v>
      </c>
      <c r="P896">
        <v>3.6024358974358979</v>
      </c>
      <c r="Q896">
        <v>1170</v>
      </c>
    </row>
    <row r="897" spans="1:17" x14ac:dyDescent="0.35">
      <c r="A897" s="46">
        <v>46118</v>
      </c>
      <c r="B897" t="s">
        <v>136</v>
      </c>
      <c r="C897" t="s">
        <v>407</v>
      </c>
      <c r="D897" t="s">
        <v>406</v>
      </c>
      <c r="E897" t="s">
        <v>337</v>
      </c>
      <c r="F897" t="s">
        <v>87</v>
      </c>
      <c r="G897" t="s">
        <v>340</v>
      </c>
      <c r="H897" t="s">
        <v>343</v>
      </c>
      <c r="I897" t="s">
        <v>323</v>
      </c>
      <c r="J897" t="s">
        <v>324</v>
      </c>
      <c r="K897" t="s">
        <v>345</v>
      </c>
      <c r="L897" t="s">
        <v>346</v>
      </c>
      <c r="M897">
        <v>0.40611111111111109</v>
      </c>
      <c r="N897">
        <v>1462</v>
      </c>
      <c r="O897">
        <v>4800.3899999999994</v>
      </c>
      <c r="P897">
        <v>3.2834404924760596</v>
      </c>
      <c r="Q897">
        <v>1462</v>
      </c>
    </row>
    <row r="898" spans="1:17" x14ac:dyDescent="0.35">
      <c r="A898" s="46">
        <v>46118</v>
      </c>
      <c r="B898" t="s">
        <v>136</v>
      </c>
      <c r="C898" t="s">
        <v>407</v>
      </c>
      <c r="D898" t="s">
        <v>406</v>
      </c>
      <c r="E898" t="s">
        <v>337</v>
      </c>
      <c r="F898" t="s">
        <v>87</v>
      </c>
      <c r="G898" t="s">
        <v>340</v>
      </c>
      <c r="H898" t="s">
        <v>330</v>
      </c>
      <c r="I898" t="s">
        <v>323</v>
      </c>
      <c r="J898" t="s">
        <v>324</v>
      </c>
      <c r="K898" t="s">
        <v>345</v>
      </c>
      <c r="L898" t="s">
        <v>346</v>
      </c>
      <c r="M898">
        <v>0.42666666666666669</v>
      </c>
      <c r="N898">
        <v>1536</v>
      </c>
      <c r="O898">
        <v>5002.8499999999995</v>
      </c>
      <c r="P898">
        <v>3.2570638020833331</v>
      </c>
      <c r="Q898">
        <v>1536</v>
      </c>
    </row>
    <row r="899" spans="1:17" x14ac:dyDescent="0.35">
      <c r="A899" s="46">
        <v>46118</v>
      </c>
      <c r="B899" t="s">
        <v>136</v>
      </c>
      <c r="C899" t="s">
        <v>354</v>
      </c>
      <c r="D899" t="s">
        <v>406</v>
      </c>
      <c r="E899" t="s">
        <v>337</v>
      </c>
      <c r="F899" t="s">
        <v>87</v>
      </c>
      <c r="G899" t="s">
        <v>340</v>
      </c>
      <c r="H899" t="s">
        <v>330</v>
      </c>
      <c r="I899" t="s">
        <v>323</v>
      </c>
      <c r="J899" t="s">
        <v>324</v>
      </c>
      <c r="K899" t="s">
        <v>345</v>
      </c>
      <c r="L899" t="s">
        <v>346</v>
      </c>
      <c r="M899">
        <v>0.42555555555555558</v>
      </c>
      <c r="N899">
        <v>1532</v>
      </c>
      <c r="O899">
        <v>5159.18</v>
      </c>
      <c r="P899">
        <v>3.3676109660574416</v>
      </c>
      <c r="Q899">
        <v>1532</v>
      </c>
    </row>
    <row r="900" spans="1:17" x14ac:dyDescent="0.35">
      <c r="A900" s="46">
        <v>46118</v>
      </c>
      <c r="B900" t="s">
        <v>136</v>
      </c>
      <c r="C900" t="s">
        <v>408</v>
      </c>
      <c r="D900" t="s">
        <v>406</v>
      </c>
      <c r="E900" t="s">
        <v>337</v>
      </c>
      <c r="F900" t="s">
        <v>87</v>
      </c>
      <c r="G900" t="s">
        <v>340</v>
      </c>
      <c r="H900" t="s">
        <v>330</v>
      </c>
      <c r="I900" t="s">
        <v>323</v>
      </c>
      <c r="J900" t="s">
        <v>324</v>
      </c>
      <c r="K900" t="s">
        <v>345</v>
      </c>
      <c r="L900" t="s">
        <v>346</v>
      </c>
      <c r="M900">
        <v>0.92888888888888888</v>
      </c>
      <c r="N900">
        <v>3344</v>
      </c>
      <c r="O900">
        <v>10957.86</v>
      </c>
      <c r="P900">
        <v>3.2768720095693782</v>
      </c>
      <c r="Q900">
        <v>3344</v>
      </c>
    </row>
    <row r="901" spans="1:17" x14ac:dyDescent="0.35">
      <c r="A901" s="46">
        <v>46118</v>
      </c>
      <c r="B901" t="s">
        <v>136</v>
      </c>
      <c r="C901" t="s">
        <v>407</v>
      </c>
      <c r="D901" t="s">
        <v>406</v>
      </c>
      <c r="E901" t="s">
        <v>337</v>
      </c>
      <c r="F901" t="s">
        <v>322</v>
      </c>
      <c r="G901" t="s">
        <v>322</v>
      </c>
      <c r="H901" t="s">
        <v>322</v>
      </c>
      <c r="I901" t="s">
        <v>323</v>
      </c>
      <c r="J901" t="s">
        <v>324</v>
      </c>
      <c r="K901" t="s">
        <v>142</v>
      </c>
      <c r="L901" t="s">
        <v>143</v>
      </c>
      <c r="M901">
        <v>8.0555555555555554E-3</v>
      </c>
      <c r="N901">
        <v>29</v>
      </c>
      <c r="O901">
        <v>71.63000000000001</v>
      </c>
      <c r="P901">
        <v>2.4700000000000002</v>
      </c>
      <c r="Q901">
        <v>29</v>
      </c>
    </row>
    <row r="902" spans="1:17" x14ac:dyDescent="0.35">
      <c r="A902" s="46">
        <v>46118</v>
      </c>
      <c r="B902" t="s">
        <v>136</v>
      </c>
      <c r="C902" t="s">
        <v>353</v>
      </c>
      <c r="D902" t="s">
        <v>406</v>
      </c>
      <c r="E902" t="s">
        <v>337</v>
      </c>
      <c r="F902" t="s">
        <v>322</v>
      </c>
      <c r="G902" t="s">
        <v>322</v>
      </c>
      <c r="H902" t="s">
        <v>322</v>
      </c>
      <c r="I902" t="s">
        <v>323</v>
      </c>
      <c r="J902" t="s">
        <v>324</v>
      </c>
      <c r="K902" t="s">
        <v>142</v>
      </c>
      <c r="L902" t="s">
        <v>143</v>
      </c>
      <c r="M902">
        <v>3.3055555555555553E-2</v>
      </c>
      <c r="N902">
        <v>119</v>
      </c>
      <c r="O902">
        <v>248.70999999999998</v>
      </c>
      <c r="P902">
        <v>2.09</v>
      </c>
      <c r="Q902">
        <v>119</v>
      </c>
    </row>
    <row r="903" spans="1:17" x14ac:dyDescent="0.35">
      <c r="A903" s="46">
        <v>46118</v>
      </c>
      <c r="B903" t="s">
        <v>136</v>
      </c>
      <c r="C903" t="s">
        <v>408</v>
      </c>
      <c r="D903" t="s">
        <v>406</v>
      </c>
      <c r="E903" t="s">
        <v>337</v>
      </c>
      <c r="F903" t="s">
        <v>322</v>
      </c>
      <c r="G903" t="s">
        <v>322</v>
      </c>
      <c r="H903" t="s">
        <v>322</v>
      </c>
      <c r="I903" t="s">
        <v>323</v>
      </c>
      <c r="J903" t="s">
        <v>324</v>
      </c>
      <c r="K903" t="s">
        <v>142</v>
      </c>
      <c r="L903" t="s">
        <v>143</v>
      </c>
      <c r="M903">
        <v>2.4722222222222222E-2</v>
      </c>
      <c r="N903">
        <v>89</v>
      </c>
      <c r="O903">
        <v>315.06</v>
      </c>
      <c r="P903">
        <v>3.54</v>
      </c>
      <c r="Q903">
        <v>89</v>
      </c>
    </row>
    <row r="904" spans="1:17" x14ac:dyDescent="0.35">
      <c r="A904" s="46">
        <v>46118</v>
      </c>
      <c r="B904" t="s">
        <v>136</v>
      </c>
      <c r="C904" t="s">
        <v>408</v>
      </c>
      <c r="D904" t="s">
        <v>406</v>
      </c>
      <c r="E904" t="s">
        <v>337</v>
      </c>
      <c r="F904" t="s">
        <v>87</v>
      </c>
      <c r="G904" t="s">
        <v>340</v>
      </c>
      <c r="H904" t="s">
        <v>330</v>
      </c>
      <c r="I904" t="s">
        <v>323</v>
      </c>
      <c r="J904" t="s">
        <v>324</v>
      </c>
      <c r="K904" t="s">
        <v>142</v>
      </c>
      <c r="L904" t="s">
        <v>143</v>
      </c>
      <c r="M904">
        <v>7.0000000000000007E-2</v>
      </c>
      <c r="N904">
        <v>252</v>
      </c>
      <c r="O904">
        <v>1083.5999999999999</v>
      </c>
      <c r="P904">
        <v>4.3</v>
      </c>
      <c r="Q904">
        <v>252</v>
      </c>
    </row>
    <row r="905" spans="1:17" x14ac:dyDescent="0.35">
      <c r="A905" s="46">
        <v>46118</v>
      </c>
      <c r="B905" t="s">
        <v>136</v>
      </c>
      <c r="C905" t="s">
        <v>408</v>
      </c>
      <c r="D905" t="s">
        <v>406</v>
      </c>
      <c r="E905" t="s">
        <v>337</v>
      </c>
      <c r="F905" t="s">
        <v>87</v>
      </c>
      <c r="G905" t="s">
        <v>340</v>
      </c>
      <c r="H905" t="s">
        <v>343</v>
      </c>
      <c r="I905" t="s">
        <v>323</v>
      </c>
      <c r="J905" t="s">
        <v>324</v>
      </c>
      <c r="K905" t="s">
        <v>142</v>
      </c>
      <c r="L905" t="s">
        <v>143</v>
      </c>
      <c r="M905">
        <v>8.1666666666666665E-2</v>
      </c>
      <c r="N905">
        <v>294</v>
      </c>
      <c r="O905">
        <v>1317.19</v>
      </c>
      <c r="P905">
        <v>4.4802380952380956</v>
      </c>
      <c r="Q905">
        <v>294</v>
      </c>
    </row>
    <row r="906" spans="1:17" x14ac:dyDescent="0.35">
      <c r="A906" s="46">
        <v>46118</v>
      </c>
      <c r="B906" t="s">
        <v>136</v>
      </c>
      <c r="C906" t="s">
        <v>407</v>
      </c>
      <c r="D906" t="s">
        <v>406</v>
      </c>
      <c r="E906" t="s">
        <v>337</v>
      </c>
      <c r="F906" t="s">
        <v>87</v>
      </c>
      <c r="G906" t="s">
        <v>340</v>
      </c>
      <c r="H906" t="s">
        <v>343</v>
      </c>
      <c r="I906" t="s">
        <v>323</v>
      </c>
      <c r="J906" t="s">
        <v>324</v>
      </c>
      <c r="K906" t="s">
        <v>142</v>
      </c>
      <c r="L906" t="s">
        <v>143</v>
      </c>
      <c r="M906">
        <v>9.4166666666666662E-2</v>
      </c>
      <c r="N906">
        <v>339</v>
      </c>
      <c r="O906">
        <v>1990.15</v>
      </c>
      <c r="P906">
        <v>5.8706489675516229</v>
      </c>
      <c r="Q906">
        <v>339</v>
      </c>
    </row>
    <row r="907" spans="1:17" x14ac:dyDescent="0.35">
      <c r="A907" s="46">
        <v>46118</v>
      </c>
      <c r="B907" t="s">
        <v>136</v>
      </c>
      <c r="C907" t="s">
        <v>353</v>
      </c>
      <c r="D907" t="s">
        <v>406</v>
      </c>
      <c r="E907" t="s">
        <v>337</v>
      </c>
      <c r="F907" t="s">
        <v>87</v>
      </c>
      <c r="G907" t="s">
        <v>340</v>
      </c>
      <c r="H907" t="s">
        <v>343</v>
      </c>
      <c r="I907" t="s">
        <v>323</v>
      </c>
      <c r="J907" t="s">
        <v>324</v>
      </c>
      <c r="K907" t="s">
        <v>142</v>
      </c>
      <c r="L907" t="s">
        <v>143</v>
      </c>
      <c r="M907">
        <v>0.19944444444444445</v>
      </c>
      <c r="N907">
        <v>718</v>
      </c>
      <c r="O907">
        <v>2561.1099999999997</v>
      </c>
      <c r="P907">
        <v>3.6483048433048428</v>
      </c>
      <c r="Q907">
        <v>702</v>
      </c>
    </row>
    <row r="908" spans="1:17" x14ac:dyDescent="0.35">
      <c r="A908" s="46">
        <v>46118</v>
      </c>
      <c r="B908" t="s">
        <v>136</v>
      </c>
      <c r="C908" t="s">
        <v>353</v>
      </c>
      <c r="D908" t="s">
        <v>406</v>
      </c>
      <c r="E908" t="s">
        <v>337</v>
      </c>
      <c r="F908" t="s">
        <v>87</v>
      </c>
      <c r="G908" t="s">
        <v>340</v>
      </c>
      <c r="H908" t="s">
        <v>330</v>
      </c>
      <c r="I908" t="s">
        <v>323</v>
      </c>
      <c r="J908" t="s">
        <v>324</v>
      </c>
      <c r="K908" t="s">
        <v>190</v>
      </c>
      <c r="L908" t="s">
        <v>191</v>
      </c>
      <c r="M908">
        <v>3.5472222222222221</v>
      </c>
      <c r="N908">
        <v>12770</v>
      </c>
      <c r="O908">
        <v>0</v>
      </c>
    </row>
    <row r="909" spans="1:17" x14ac:dyDescent="0.35">
      <c r="A909" s="46">
        <v>46118</v>
      </c>
      <c r="B909" t="s">
        <v>136</v>
      </c>
      <c r="C909" t="s">
        <v>407</v>
      </c>
      <c r="D909" t="s">
        <v>406</v>
      </c>
      <c r="E909" t="s">
        <v>337</v>
      </c>
      <c r="F909" t="s">
        <v>322</v>
      </c>
      <c r="G909" t="s">
        <v>322</v>
      </c>
      <c r="H909" t="s">
        <v>322</v>
      </c>
      <c r="I909" t="s">
        <v>323</v>
      </c>
      <c r="J909" t="s">
        <v>324</v>
      </c>
      <c r="K909" t="s">
        <v>200</v>
      </c>
      <c r="L909" t="s">
        <v>201</v>
      </c>
      <c r="M909">
        <v>1.0972222222222223</v>
      </c>
      <c r="N909">
        <v>3950</v>
      </c>
      <c r="O909">
        <v>0</v>
      </c>
    </row>
    <row r="910" spans="1:17" x14ac:dyDescent="0.35">
      <c r="A910" s="46">
        <v>46118</v>
      </c>
      <c r="B910" t="s">
        <v>136</v>
      </c>
      <c r="C910" t="s">
        <v>353</v>
      </c>
      <c r="D910" t="s">
        <v>406</v>
      </c>
      <c r="E910" t="s">
        <v>337</v>
      </c>
      <c r="F910" t="s">
        <v>322</v>
      </c>
      <c r="G910" t="s">
        <v>322</v>
      </c>
      <c r="H910" t="s">
        <v>322</v>
      </c>
      <c r="I910" t="s">
        <v>323</v>
      </c>
      <c r="J910" t="s">
        <v>324</v>
      </c>
      <c r="K910" t="s">
        <v>200</v>
      </c>
      <c r="L910" t="s">
        <v>201</v>
      </c>
      <c r="M910">
        <v>1.0416666666666667</v>
      </c>
      <c r="N910">
        <v>3750</v>
      </c>
      <c r="O910">
        <v>0</v>
      </c>
    </row>
    <row r="911" spans="1:17" x14ac:dyDescent="0.35">
      <c r="A911" s="46">
        <v>46118</v>
      </c>
      <c r="B911" t="s">
        <v>136</v>
      </c>
      <c r="C911" t="s">
        <v>408</v>
      </c>
      <c r="D911" t="s">
        <v>406</v>
      </c>
      <c r="E911" t="s">
        <v>337</v>
      </c>
      <c r="F911" t="s">
        <v>322</v>
      </c>
      <c r="G911" t="s">
        <v>322</v>
      </c>
      <c r="H911" t="s">
        <v>322</v>
      </c>
      <c r="I911" t="s">
        <v>323</v>
      </c>
      <c r="J911" t="s">
        <v>324</v>
      </c>
      <c r="K911" t="s">
        <v>200</v>
      </c>
      <c r="L911" t="s">
        <v>201</v>
      </c>
      <c r="M911">
        <v>5.5E-2</v>
      </c>
      <c r="N911">
        <v>198</v>
      </c>
      <c r="O911">
        <v>0</v>
      </c>
    </row>
    <row r="912" spans="1:17" x14ac:dyDescent="0.35">
      <c r="A912" s="46">
        <v>46118</v>
      </c>
      <c r="B912" t="s">
        <v>136</v>
      </c>
      <c r="C912" t="s">
        <v>407</v>
      </c>
      <c r="D912" t="s">
        <v>406</v>
      </c>
      <c r="E912" t="s">
        <v>337</v>
      </c>
      <c r="F912" t="s">
        <v>87</v>
      </c>
      <c r="G912" t="s">
        <v>340</v>
      </c>
      <c r="H912" t="s">
        <v>330</v>
      </c>
      <c r="I912" t="s">
        <v>323</v>
      </c>
      <c r="J912" t="s">
        <v>324</v>
      </c>
      <c r="K912" t="s">
        <v>200</v>
      </c>
      <c r="L912" t="s">
        <v>201</v>
      </c>
      <c r="M912">
        <v>0.15388888888888888</v>
      </c>
      <c r="N912">
        <v>554</v>
      </c>
      <c r="O912">
        <v>0</v>
      </c>
    </row>
    <row r="913" spans="1:17" x14ac:dyDescent="0.35">
      <c r="A913" s="46">
        <v>46118</v>
      </c>
      <c r="B913" t="s">
        <v>136</v>
      </c>
      <c r="C913" t="s">
        <v>408</v>
      </c>
      <c r="D913" t="s">
        <v>406</v>
      </c>
      <c r="E913" t="s">
        <v>337</v>
      </c>
      <c r="F913" t="s">
        <v>87</v>
      </c>
      <c r="G913" t="s">
        <v>340</v>
      </c>
      <c r="H913" t="s">
        <v>330</v>
      </c>
      <c r="I913" t="s">
        <v>323</v>
      </c>
      <c r="J913" t="s">
        <v>324</v>
      </c>
      <c r="K913" t="s">
        <v>200</v>
      </c>
      <c r="L913" t="s">
        <v>201</v>
      </c>
      <c r="M913">
        <v>1.2280555555555555</v>
      </c>
      <c r="N913">
        <v>4421</v>
      </c>
      <c r="O913">
        <v>0</v>
      </c>
    </row>
    <row r="914" spans="1:17" x14ac:dyDescent="0.35">
      <c r="A914" s="46">
        <v>46118</v>
      </c>
      <c r="B914" t="s">
        <v>136</v>
      </c>
      <c r="C914" t="s">
        <v>407</v>
      </c>
      <c r="D914" t="s">
        <v>406</v>
      </c>
      <c r="E914" t="s">
        <v>337</v>
      </c>
      <c r="F914" t="s">
        <v>87</v>
      </c>
      <c r="G914" t="s">
        <v>340</v>
      </c>
      <c r="H914" t="s">
        <v>343</v>
      </c>
      <c r="I914" t="s">
        <v>323</v>
      </c>
      <c r="J914" t="s">
        <v>324</v>
      </c>
      <c r="K914" t="s">
        <v>200</v>
      </c>
      <c r="L914" t="s">
        <v>201</v>
      </c>
      <c r="M914">
        <v>0.33305555555555555</v>
      </c>
      <c r="N914">
        <v>1199</v>
      </c>
      <c r="O914">
        <v>0</v>
      </c>
    </row>
    <row r="915" spans="1:17" x14ac:dyDescent="0.35">
      <c r="A915" s="46">
        <v>46118</v>
      </c>
      <c r="B915" t="s">
        <v>136</v>
      </c>
      <c r="C915" t="s">
        <v>353</v>
      </c>
      <c r="D915" t="s">
        <v>406</v>
      </c>
      <c r="E915" t="s">
        <v>337</v>
      </c>
      <c r="F915" t="s">
        <v>87</v>
      </c>
      <c r="G915" t="s">
        <v>340</v>
      </c>
      <c r="H915" t="s">
        <v>343</v>
      </c>
      <c r="I915" t="s">
        <v>323</v>
      </c>
      <c r="J915" t="s">
        <v>324</v>
      </c>
      <c r="K915" t="s">
        <v>200</v>
      </c>
      <c r="L915" t="s">
        <v>201</v>
      </c>
      <c r="M915">
        <v>2.2166666666666668</v>
      </c>
      <c r="N915">
        <v>7980</v>
      </c>
      <c r="O915">
        <v>0</v>
      </c>
    </row>
    <row r="916" spans="1:17" x14ac:dyDescent="0.35">
      <c r="A916" s="46">
        <v>46118</v>
      </c>
      <c r="B916" t="s">
        <v>136</v>
      </c>
      <c r="C916" t="s">
        <v>408</v>
      </c>
      <c r="D916" t="s">
        <v>406</v>
      </c>
      <c r="E916" t="s">
        <v>337</v>
      </c>
      <c r="F916" t="s">
        <v>87</v>
      </c>
      <c r="G916" t="s">
        <v>340</v>
      </c>
      <c r="H916" t="s">
        <v>343</v>
      </c>
      <c r="I916" t="s">
        <v>323</v>
      </c>
      <c r="J916" t="s">
        <v>324</v>
      </c>
      <c r="K916" t="s">
        <v>200</v>
      </c>
      <c r="L916" t="s">
        <v>201</v>
      </c>
      <c r="M916">
        <v>4.4513888888888893</v>
      </c>
      <c r="N916">
        <v>16025</v>
      </c>
      <c r="O916">
        <v>0</v>
      </c>
    </row>
    <row r="917" spans="1:17" x14ac:dyDescent="0.35">
      <c r="A917" s="46">
        <v>46118</v>
      </c>
      <c r="B917" t="s">
        <v>136</v>
      </c>
      <c r="C917" t="s">
        <v>402</v>
      </c>
      <c r="D917" t="s">
        <v>406</v>
      </c>
      <c r="E917" t="s">
        <v>337</v>
      </c>
      <c r="F917" t="s">
        <v>87</v>
      </c>
      <c r="G917" t="s">
        <v>340</v>
      </c>
      <c r="H917" t="s">
        <v>330</v>
      </c>
      <c r="I917" t="s">
        <v>323</v>
      </c>
      <c r="J917" t="s">
        <v>324</v>
      </c>
      <c r="K917" t="s">
        <v>348</v>
      </c>
      <c r="L917" t="s">
        <v>349</v>
      </c>
      <c r="M917">
        <v>0.23749999999999999</v>
      </c>
      <c r="N917">
        <v>855</v>
      </c>
      <c r="O917">
        <v>0</v>
      </c>
    </row>
    <row r="918" spans="1:17" x14ac:dyDescent="0.35">
      <c r="A918" s="46">
        <v>46118</v>
      </c>
      <c r="B918" t="s">
        <v>136</v>
      </c>
      <c r="C918" t="s">
        <v>353</v>
      </c>
      <c r="D918" t="s">
        <v>406</v>
      </c>
      <c r="E918" t="s">
        <v>337</v>
      </c>
      <c r="F918" t="s">
        <v>87</v>
      </c>
      <c r="G918" t="s">
        <v>340</v>
      </c>
      <c r="H918" t="s">
        <v>330</v>
      </c>
      <c r="I918" t="s">
        <v>323</v>
      </c>
      <c r="J918" t="s">
        <v>324</v>
      </c>
      <c r="K918" t="s">
        <v>350</v>
      </c>
      <c r="L918" t="s">
        <v>351</v>
      </c>
      <c r="M918">
        <v>2.4444444444444446E-2</v>
      </c>
      <c r="N918">
        <v>88</v>
      </c>
      <c r="O918">
        <v>167.2</v>
      </c>
      <c r="P918">
        <v>1.9</v>
      </c>
      <c r="Q918">
        <v>88</v>
      </c>
    </row>
    <row r="919" spans="1:17" x14ac:dyDescent="0.35">
      <c r="A919" s="46">
        <v>46118</v>
      </c>
      <c r="B919" t="s">
        <v>136</v>
      </c>
      <c r="C919" t="s">
        <v>408</v>
      </c>
      <c r="D919" t="s">
        <v>406</v>
      </c>
      <c r="E919" t="s">
        <v>337</v>
      </c>
      <c r="F919" t="s">
        <v>322</v>
      </c>
      <c r="G919" t="s">
        <v>322</v>
      </c>
      <c r="H919" t="s">
        <v>322</v>
      </c>
      <c r="I919" t="s">
        <v>323</v>
      </c>
      <c r="J919" t="s">
        <v>324</v>
      </c>
      <c r="K919" t="s">
        <v>350</v>
      </c>
      <c r="L919" t="s">
        <v>351</v>
      </c>
      <c r="M919">
        <v>2.2777777777777779E-2</v>
      </c>
      <c r="N919">
        <v>82</v>
      </c>
      <c r="O919">
        <v>215.66</v>
      </c>
      <c r="P919">
        <v>2.63</v>
      </c>
      <c r="Q919">
        <v>82</v>
      </c>
    </row>
    <row r="920" spans="1:17" x14ac:dyDescent="0.35">
      <c r="A920" s="46">
        <v>46118</v>
      </c>
      <c r="B920" t="s">
        <v>136</v>
      </c>
      <c r="C920" t="s">
        <v>402</v>
      </c>
      <c r="D920" t="s">
        <v>406</v>
      </c>
      <c r="E920" t="s">
        <v>337</v>
      </c>
      <c r="F920" t="s">
        <v>87</v>
      </c>
      <c r="G920" t="s">
        <v>340</v>
      </c>
      <c r="H920" t="s">
        <v>330</v>
      </c>
      <c r="I920" t="s">
        <v>323</v>
      </c>
      <c r="J920" t="s">
        <v>324</v>
      </c>
      <c r="K920" t="s">
        <v>350</v>
      </c>
      <c r="L920" t="s">
        <v>351</v>
      </c>
      <c r="M920">
        <v>3.0555555555555555E-2</v>
      </c>
      <c r="N920">
        <v>110</v>
      </c>
      <c r="O920">
        <v>252.99999999999997</v>
      </c>
      <c r="P920">
        <v>2.2999999999999998</v>
      </c>
      <c r="Q920">
        <v>110</v>
      </c>
    </row>
    <row r="921" spans="1:17" x14ac:dyDescent="0.35">
      <c r="A921" s="46">
        <v>46118</v>
      </c>
      <c r="B921" t="s">
        <v>136</v>
      </c>
      <c r="C921" t="s">
        <v>402</v>
      </c>
      <c r="D921" t="s">
        <v>406</v>
      </c>
      <c r="E921" t="s">
        <v>337</v>
      </c>
      <c r="F921" t="s">
        <v>322</v>
      </c>
      <c r="G921" t="s">
        <v>322</v>
      </c>
      <c r="H921" t="s">
        <v>322</v>
      </c>
      <c r="I921" t="s">
        <v>323</v>
      </c>
      <c r="J921" t="s">
        <v>324</v>
      </c>
      <c r="K921" t="s">
        <v>350</v>
      </c>
      <c r="L921" t="s">
        <v>351</v>
      </c>
      <c r="M921">
        <v>2.2499999999999999E-2</v>
      </c>
      <c r="N921">
        <v>81</v>
      </c>
      <c r="O921">
        <v>283.5</v>
      </c>
      <c r="P921">
        <v>3.5</v>
      </c>
      <c r="Q921">
        <v>81</v>
      </c>
    </row>
    <row r="922" spans="1:17" x14ac:dyDescent="0.35">
      <c r="A922" s="46">
        <v>46118</v>
      </c>
      <c r="B922" t="s">
        <v>136</v>
      </c>
      <c r="C922" t="s">
        <v>402</v>
      </c>
      <c r="D922" t="s">
        <v>406</v>
      </c>
      <c r="E922" t="s">
        <v>337</v>
      </c>
      <c r="F922" t="s">
        <v>87</v>
      </c>
      <c r="G922" t="s">
        <v>340</v>
      </c>
      <c r="H922" t="s">
        <v>343</v>
      </c>
      <c r="I922" t="s">
        <v>323</v>
      </c>
      <c r="J922" t="s">
        <v>324</v>
      </c>
      <c r="K922" t="s">
        <v>350</v>
      </c>
      <c r="L922" t="s">
        <v>351</v>
      </c>
      <c r="M922">
        <v>4.583333333333333E-2</v>
      </c>
      <c r="N922">
        <v>165</v>
      </c>
      <c r="O922">
        <v>358.05</v>
      </c>
      <c r="P922">
        <v>2.17</v>
      </c>
      <c r="Q922">
        <v>165</v>
      </c>
    </row>
    <row r="923" spans="1:17" x14ac:dyDescent="0.35">
      <c r="A923" s="46">
        <v>46118</v>
      </c>
      <c r="B923" t="s">
        <v>136</v>
      </c>
      <c r="C923" t="s">
        <v>353</v>
      </c>
      <c r="D923" t="s">
        <v>406</v>
      </c>
      <c r="E923" t="s">
        <v>337</v>
      </c>
      <c r="F923" t="s">
        <v>87</v>
      </c>
      <c r="G923" t="s">
        <v>340</v>
      </c>
      <c r="H923" t="s">
        <v>343</v>
      </c>
      <c r="I923" t="s">
        <v>323</v>
      </c>
      <c r="J923" t="s">
        <v>324</v>
      </c>
      <c r="K923" t="s">
        <v>350</v>
      </c>
      <c r="L923" t="s">
        <v>351</v>
      </c>
      <c r="M923">
        <v>7.1388888888888891E-2</v>
      </c>
      <c r="N923">
        <v>257</v>
      </c>
      <c r="O923">
        <v>406.06</v>
      </c>
      <c r="P923">
        <v>1.58</v>
      </c>
      <c r="Q923">
        <v>257</v>
      </c>
    </row>
    <row r="924" spans="1:17" x14ac:dyDescent="0.35">
      <c r="A924" s="46">
        <v>46118</v>
      </c>
      <c r="B924" t="s">
        <v>136</v>
      </c>
      <c r="C924" t="s">
        <v>407</v>
      </c>
      <c r="D924" t="s">
        <v>406</v>
      </c>
      <c r="E924" t="s">
        <v>337</v>
      </c>
      <c r="F924" t="s">
        <v>322</v>
      </c>
      <c r="G924" t="s">
        <v>322</v>
      </c>
      <c r="H924" t="s">
        <v>322</v>
      </c>
      <c r="I924" t="s">
        <v>323</v>
      </c>
      <c r="J924" t="s">
        <v>324</v>
      </c>
      <c r="K924" t="s">
        <v>350</v>
      </c>
      <c r="L924" t="s">
        <v>351</v>
      </c>
      <c r="M924">
        <v>5.0555555555555555E-2</v>
      </c>
      <c r="N924">
        <v>182</v>
      </c>
      <c r="O924">
        <v>712.35000000000014</v>
      </c>
      <c r="P924">
        <v>3.9140109890109898</v>
      </c>
      <c r="Q924">
        <v>182</v>
      </c>
    </row>
    <row r="925" spans="1:17" x14ac:dyDescent="0.35">
      <c r="A925" s="46">
        <v>46118</v>
      </c>
      <c r="B925" t="s">
        <v>136</v>
      </c>
      <c r="C925" t="s">
        <v>408</v>
      </c>
      <c r="D925" t="s">
        <v>406</v>
      </c>
      <c r="E925" t="s">
        <v>337</v>
      </c>
      <c r="F925" t="s">
        <v>87</v>
      </c>
      <c r="G925" t="s">
        <v>340</v>
      </c>
      <c r="H925" t="s">
        <v>330</v>
      </c>
      <c r="I925" t="s">
        <v>323</v>
      </c>
      <c r="J925" t="s">
        <v>324</v>
      </c>
      <c r="K925" t="s">
        <v>350</v>
      </c>
      <c r="L925" t="s">
        <v>351</v>
      </c>
      <c r="M925">
        <v>0.16416666666666666</v>
      </c>
      <c r="N925">
        <v>591</v>
      </c>
      <c r="O925">
        <v>1407.22</v>
      </c>
      <c r="P925">
        <v>2.381082910321489</v>
      </c>
      <c r="Q925">
        <v>591</v>
      </c>
    </row>
    <row r="926" spans="1:17" x14ac:dyDescent="0.35">
      <c r="A926" s="46">
        <v>46118</v>
      </c>
      <c r="B926" t="s">
        <v>136</v>
      </c>
      <c r="C926" t="s">
        <v>407</v>
      </c>
      <c r="D926" t="s">
        <v>406</v>
      </c>
      <c r="E926" t="s">
        <v>337</v>
      </c>
      <c r="F926" t="s">
        <v>87</v>
      </c>
      <c r="G926" t="s">
        <v>340</v>
      </c>
      <c r="H926" t="s">
        <v>343</v>
      </c>
      <c r="I926" t="s">
        <v>323</v>
      </c>
      <c r="J926" t="s">
        <v>324</v>
      </c>
      <c r="K926" t="s">
        <v>350</v>
      </c>
      <c r="L926" t="s">
        <v>351</v>
      </c>
      <c r="M926">
        <v>0.1411111111111111</v>
      </c>
      <c r="N926">
        <v>508</v>
      </c>
      <c r="O926">
        <v>1638.08</v>
      </c>
      <c r="P926">
        <v>3.2245669291338581</v>
      </c>
      <c r="Q926">
        <v>508</v>
      </c>
    </row>
    <row r="927" spans="1:17" x14ac:dyDescent="0.35">
      <c r="A927" s="46">
        <v>46118</v>
      </c>
      <c r="B927" t="s">
        <v>136</v>
      </c>
      <c r="C927" t="s">
        <v>354</v>
      </c>
      <c r="D927" t="s">
        <v>406</v>
      </c>
      <c r="E927" t="s">
        <v>337</v>
      </c>
      <c r="F927" t="s">
        <v>87</v>
      </c>
      <c r="G927" t="s">
        <v>340</v>
      </c>
      <c r="H927" t="s">
        <v>343</v>
      </c>
      <c r="I927" t="s">
        <v>323</v>
      </c>
      <c r="J927" t="s">
        <v>324</v>
      </c>
      <c r="K927" t="s">
        <v>350</v>
      </c>
      <c r="L927" t="s">
        <v>351</v>
      </c>
      <c r="M927">
        <v>0.21</v>
      </c>
      <c r="N927">
        <v>756</v>
      </c>
      <c r="O927">
        <v>1786.7800000000002</v>
      </c>
      <c r="P927">
        <v>2.3634656084656087</v>
      </c>
      <c r="Q927">
        <v>756</v>
      </c>
    </row>
    <row r="928" spans="1:17" x14ac:dyDescent="0.35">
      <c r="A928" s="46">
        <v>46118</v>
      </c>
      <c r="B928" t="s">
        <v>136</v>
      </c>
      <c r="C928" t="s">
        <v>408</v>
      </c>
      <c r="D928" t="s">
        <v>406</v>
      </c>
      <c r="E928" t="s">
        <v>337</v>
      </c>
      <c r="F928" t="s">
        <v>87</v>
      </c>
      <c r="G928" t="s">
        <v>340</v>
      </c>
      <c r="H928" t="s">
        <v>343</v>
      </c>
      <c r="I928" t="s">
        <v>323</v>
      </c>
      <c r="J928" t="s">
        <v>324</v>
      </c>
      <c r="K928" t="s">
        <v>350</v>
      </c>
      <c r="L928" t="s">
        <v>351</v>
      </c>
      <c r="M928">
        <v>0.18083333333333335</v>
      </c>
      <c r="N928">
        <v>651</v>
      </c>
      <c r="O928">
        <v>1893.3599999999997</v>
      </c>
      <c r="P928">
        <v>3.3216842105263154</v>
      </c>
      <c r="Q928">
        <v>570</v>
      </c>
    </row>
    <row r="929" spans="1:17" x14ac:dyDescent="0.35">
      <c r="A929" s="46">
        <v>46118</v>
      </c>
      <c r="B929" t="s">
        <v>136</v>
      </c>
      <c r="C929" t="s">
        <v>407</v>
      </c>
      <c r="D929" t="s">
        <v>406</v>
      </c>
      <c r="E929" t="s">
        <v>337</v>
      </c>
      <c r="F929" t="s">
        <v>87</v>
      </c>
      <c r="G929" t="s">
        <v>340</v>
      </c>
      <c r="H929" t="s">
        <v>330</v>
      </c>
      <c r="I929" t="s">
        <v>323</v>
      </c>
      <c r="J929" t="s">
        <v>324</v>
      </c>
      <c r="K929" t="s">
        <v>350</v>
      </c>
      <c r="L929" t="s">
        <v>351</v>
      </c>
      <c r="M929">
        <v>0.1713888888888889</v>
      </c>
      <c r="N929">
        <v>617</v>
      </c>
      <c r="O929">
        <v>2083.54</v>
      </c>
      <c r="P929">
        <v>3.3768881685575365</v>
      </c>
      <c r="Q929">
        <v>617</v>
      </c>
    </row>
    <row r="930" spans="1:17" x14ac:dyDescent="0.35">
      <c r="A930" s="46">
        <v>46118</v>
      </c>
      <c r="B930" t="s">
        <v>136</v>
      </c>
      <c r="C930" t="s">
        <v>354</v>
      </c>
      <c r="D930" t="s">
        <v>406</v>
      </c>
      <c r="E930" t="s">
        <v>337</v>
      </c>
      <c r="F930" t="s">
        <v>87</v>
      </c>
      <c r="G930" t="s">
        <v>340</v>
      </c>
      <c r="H930" t="s">
        <v>330</v>
      </c>
      <c r="I930" t="s">
        <v>323</v>
      </c>
      <c r="J930" t="s">
        <v>324</v>
      </c>
      <c r="K930" t="s">
        <v>350</v>
      </c>
      <c r="L930" t="s">
        <v>351</v>
      </c>
      <c r="M930">
        <v>0.16805555555555557</v>
      </c>
      <c r="N930">
        <v>605</v>
      </c>
      <c r="O930">
        <v>2129.75</v>
      </c>
      <c r="P930">
        <v>3.5202479338842974</v>
      </c>
      <c r="Q930">
        <v>605</v>
      </c>
    </row>
    <row r="931" spans="1:17" x14ac:dyDescent="0.35">
      <c r="A931" s="46">
        <v>46118</v>
      </c>
      <c r="B931" t="s">
        <v>136</v>
      </c>
      <c r="C931" t="s">
        <v>353</v>
      </c>
      <c r="D931" t="s">
        <v>406</v>
      </c>
      <c r="E931" t="s">
        <v>337</v>
      </c>
      <c r="F931" t="s">
        <v>87</v>
      </c>
      <c r="G931" t="s">
        <v>340</v>
      </c>
      <c r="H931" t="s">
        <v>343</v>
      </c>
      <c r="I931" t="s">
        <v>323</v>
      </c>
      <c r="J931" t="s">
        <v>324</v>
      </c>
      <c r="K931" t="s">
        <v>174</v>
      </c>
      <c r="L931" t="s">
        <v>175</v>
      </c>
      <c r="M931">
        <v>0.13166666666666665</v>
      </c>
      <c r="N931">
        <v>474</v>
      </c>
      <c r="O931">
        <v>0</v>
      </c>
    </row>
    <row r="932" spans="1:17" x14ac:dyDescent="0.35">
      <c r="A932" s="46">
        <v>46118</v>
      </c>
      <c r="B932" t="s">
        <v>136</v>
      </c>
      <c r="C932" t="s">
        <v>407</v>
      </c>
      <c r="D932" t="s">
        <v>406</v>
      </c>
      <c r="E932" t="s">
        <v>337</v>
      </c>
      <c r="F932" t="s">
        <v>322</v>
      </c>
      <c r="G932" t="s">
        <v>322</v>
      </c>
      <c r="H932" t="s">
        <v>322</v>
      </c>
      <c r="I932" t="s">
        <v>323</v>
      </c>
      <c r="J932" t="s">
        <v>324</v>
      </c>
      <c r="K932" t="s">
        <v>170</v>
      </c>
      <c r="L932" t="s">
        <v>171</v>
      </c>
      <c r="M932">
        <v>1.2683333333333333</v>
      </c>
      <c r="N932">
        <v>4566</v>
      </c>
      <c r="O932">
        <v>0</v>
      </c>
    </row>
    <row r="933" spans="1:17" x14ac:dyDescent="0.35">
      <c r="A933" s="46">
        <v>46118</v>
      </c>
      <c r="B933" t="s">
        <v>136</v>
      </c>
      <c r="C933" t="s">
        <v>407</v>
      </c>
      <c r="D933" t="s">
        <v>406</v>
      </c>
      <c r="E933" t="s">
        <v>337</v>
      </c>
      <c r="F933" t="s">
        <v>87</v>
      </c>
      <c r="G933" t="s">
        <v>340</v>
      </c>
      <c r="H933" t="s">
        <v>330</v>
      </c>
      <c r="I933" t="s">
        <v>323</v>
      </c>
      <c r="J933" t="s">
        <v>324</v>
      </c>
      <c r="K933" t="s">
        <v>170</v>
      </c>
      <c r="L933" t="s">
        <v>171</v>
      </c>
      <c r="M933">
        <v>0.65277777777777779</v>
      </c>
      <c r="N933">
        <v>2350</v>
      </c>
      <c r="O933">
        <v>0</v>
      </c>
    </row>
    <row r="934" spans="1:17" x14ac:dyDescent="0.35">
      <c r="A934" s="46">
        <v>46118</v>
      </c>
      <c r="B934" t="s">
        <v>136</v>
      </c>
      <c r="C934" t="s">
        <v>407</v>
      </c>
      <c r="D934" t="s">
        <v>406</v>
      </c>
      <c r="E934" t="s">
        <v>337</v>
      </c>
      <c r="F934" t="s">
        <v>87</v>
      </c>
      <c r="G934" t="s">
        <v>340</v>
      </c>
      <c r="H934" t="s">
        <v>343</v>
      </c>
      <c r="I934" t="s">
        <v>323</v>
      </c>
      <c r="J934" t="s">
        <v>324</v>
      </c>
      <c r="K934" t="s">
        <v>170</v>
      </c>
      <c r="L934" t="s">
        <v>171</v>
      </c>
      <c r="M934">
        <v>1.1341666666666668</v>
      </c>
      <c r="N934">
        <v>4083</v>
      </c>
      <c r="O934">
        <v>0</v>
      </c>
    </row>
    <row r="935" spans="1:17" x14ac:dyDescent="0.35">
      <c r="A935" s="46">
        <v>46118</v>
      </c>
      <c r="B935" t="s">
        <v>136</v>
      </c>
      <c r="C935" t="s">
        <v>402</v>
      </c>
      <c r="D935" t="s">
        <v>406</v>
      </c>
      <c r="E935" t="s">
        <v>337</v>
      </c>
      <c r="F935" t="s">
        <v>87</v>
      </c>
      <c r="G935" t="s">
        <v>340</v>
      </c>
      <c r="H935" t="s">
        <v>330</v>
      </c>
      <c r="I935" t="s">
        <v>323</v>
      </c>
      <c r="J935" t="s">
        <v>324</v>
      </c>
      <c r="K935" t="s">
        <v>178</v>
      </c>
      <c r="L935" t="s">
        <v>179</v>
      </c>
      <c r="M935">
        <v>4.3333333333333335E-2</v>
      </c>
      <c r="N935">
        <v>156</v>
      </c>
      <c r="O935">
        <v>0</v>
      </c>
    </row>
    <row r="936" spans="1:17" x14ac:dyDescent="0.35">
      <c r="A936" s="46">
        <v>46118</v>
      </c>
      <c r="B936" t="s">
        <v>136</v>
      </c>
      <c r="C936" t="s">
        <v>353</v>
      </c>
      <c r="D936" t="s">
        <v>406</v>
      </c>
      <c r="E936" t="s">
        <v>337</v>
      </c>
      <c r="F936" t="s">
        <v>87</v>
      </c>
      <c r="G936" t="s">
        <v>340</v>
      </c>
      <c r="H936" t="s">
        <v>343</v>
      </c>
      <c r="I936" t="s">
        <v>323</v>
      </c>
      <c r="J936" t="s">
        <v>324</v>
      </c>
      <c r="K936" t="s">
        <v>178</v>
      </c>
      <c r="L936" t="s">
        <v>179</v>
      </c>
      <c r="M936">
        <v>3.9722222222222221E-2</v>
      </c>
      <c r="N936">
        <v>143</v>
      </c>
      <c r="O936">
        <v>0</v>
      </c>
    </row>
    <row r="937" spans="1:17" x14ac:dyDescent="0.35">
      <c r="A937" s="46">
        <v>46118</v>
      </c>
      <c r="B937" t="s">
        <v>136</v>
      </c>
      <c r="C937" t="s">
        <v>354</v>
      </c>
      <c r="D937" t="s">
        <v>406</v>
      </c>
      <c r="E937" t="s">
        <v>337</v>
      </c>
      <c r="F937" t="s">
        <v>87</v>
      </c>
      <c r="G937" t="s">
        <v>340</v>
      </c>
      <c r="H937" t="s">
        <v>343</v>
      </c>
      <c r="I937" t="s">
        <v>323</v>
      </c>
      <c r="J937" t="s">
        <v>324</v>
      </c>
      <c r="K937" t="s">
        <v>178</v>
      </c>
      <c r="L937" t="s">
        <v>179</v>
      </c>
      <c r="M937">
        <v>4.9444444444444444E-2</v>
      </c>
      <c r="N937">
        <v>178</v>
      </c>
      <c r="O937">
        <v>0</v>
      </c>
    </row>
    <row r="938" spans="1:17" x14ac:dyDescent="0.35">
      <c r="A938" s="46">
        <v>46118</v>
      </c>
      <c r="B938" t="s">
        <v>136</v>
      </c>
      <c r="C938" t="s">
        <v>353</v>
      </c>
      <c r="D938" t="s">
        <v>406</v>
      </c>
      <c r="E938" t="s">
        <v>337</v>
      </c>
      <c r="F938" t="s">
        <v>87</v>
      </c>
      <c r="G938" t="s">
        <v>340</v>
      </c>
      <c r="H938" t="s">
        <v>330</v>
      </c>
      <c r="I938" t="s">
        <v>323</v>
      </c>
      <c r="J938" t="s">
        <v>324</v>
      </c>
      <c r="K938" t="s">
        <v>404</v>
      </c>
      <c r="L938" t="s">
        <v>405</v>
      </c>
      <c r="M938">
        <v>0.20250000000000001</v>
      </c>
      <c r="N938">
        <v>729</v>
      </c>
      <c r="O938">
        <v>0</v>
      </c>
    </row>
    <row r="939" spans="1:17" x14ac:dyDescent="0.35">
      <c r="A939" s="46">
        <v>46117</v>
      </c>
      <c r="B939" t="s">
        <v>136</v>
      </c>
      <c r="C939" t="s">
        <v>319</v>
      </c>
      <c r="D939" t="s">
        <v>320</v>
      </c>
      <c r="E939" t="s">
        <v>321</v>
      </c>
      <c r="F939" t="s">
        <v>322</v>
      </c>
      <c r="G939" t="s">
        <v>322</v>
      </c>
      <c r="H939" t="s">
        <v>322</v>
      </c>
      <c r="I939" t="s">
        <v>323</v>
      </c>
      <c r="J939" t="s">
        <v>324</v>
      </c>
      <c r="K939" t="s">
        <v>142</v>
      </c>
      <c r="L939" t="s">
        <v>143</v>
      </c>
      <c r="M939">
        <v>3.833333333333333E-2</v>
      </c>
      <c r="N939">
        <v>138</v>
      </c>
      <c r="O939">
        <v>573.08000000000004</v>
      </c>
      <c r="P939">
        <v>4.1527536231884064</v>
      </c>
      <c r="Q939">
        <v>138</v>
      </c>
    </row>
    <row r="940" spans="1:17" x14ac:dyDescent="0.35">
      <c r="A940" s="46">
        <v>46117</v>
      </c>
      <c r="B940" t="s">
        <v>136</v>
      </c>
      <c r="C940" t="s">
        <v>319</v>
      </c>
      <c r="D940" t="s">
        <v>320</v>
      </c>
      <c r="E940" t="s">
        <v>321</v>
      </c>
      <c r="F940" t="s">
        <v>92</v>
      </c>
      <c r="G940" t="s">
        <v>325</v>
      </c>
      <c r="H940" t="s">
        <v>326</v>
      </c>
      <c r="I940" t="s">
        <v>323</v>
      </c>
      <c r="J940" t="s">
        <v>324</v>
      </c>
      <c r="K940" t="s">
        <v>142</v>
      </c>
      <c r="L940" t="s">
        <v>143</v>
      </c>
      <c r="M940">
        <v>0.2363888888888889</v>
      </c>
      <c r="N940">
        <v>851</v>
      </c>
      <c r="O940">
        <v>5982.5300000000007</v>
      </c>
      <c r="P940">
        <v>7.0300000000000011</v>
      </c>
      <c r="Q940">
        <v>851</v>
      </c>
    </row>
    <row r="941" spans="1:17" x14ac:dyDescent="0.35">
      <c r="A941" s="46">
        <v>46117</v>
      </c>
      <c r="B941" t="s">
        <v>136</v>
      </c>
      <c r="C941" t="s">
        <v>319</v>
      </c>
      <c r="D941" t="s">
        <v>320</v>
      </c>
      <c r="E941" t="s">
        <v>321</v>
      </c>
      <c r="F941" t="s">
        <v>322</v>
      </c>
      <c r="G941" t="s">
        <v>322</v>
      </c>
      <c r="H941" t="s">
        <v>322</v>
      </c>
      <c r="I941" t="s">
        <v>323</v>
      </c>
      <c r="J941" t="s">
        <v>324</v>
      </c>
      <c r="K941" t="s">
        <v>184</v>
      </c>
      <c r="L941" t="s">
        <v>185</v>
      </c>
      <c r="M941">
        <v>8.4752777777777784</v>
      </c>
      <c r="N941">
        <v>30511</v>
      </c>
      <c r="O941">
        <v>0</v>
      </c>
    </row>
    <row r="942" spans="1:17" x14ac:dyDescent="0.35">
      <c r="A942" s="46">
        <v>46117</v>
      </c>
      <c r="B942" t="s">
        <v>136</v>
      </c>
      <c r="C942" t="s">
        <v>319</v>
      </c>
      <c r="D942" t="s">
        <v>320</v>
      </c>
      <c r="E942" t="s">
        <v>321</v>
      </c>
      <c r="F942" t="s">
        <v>92</v>
      </c>
      <c r="G942" t="s">
        <v>325</v>
      </c>
      <c r="H942" t="s">
        <v>327</v>
      </c>
      <c r="I942" t="s">
        <v>323</v>
      </c>
      <c r="J942" t="s">
        <v>324</v>
      </c>
      <c r="K942" t="s">
        <v>184</v>
      </c>
      <c r="L942" t="s">
        <v>185</v>
      </c>
      <c r="M942">
        <v>2.0330555555555554</v>
      </c>
      <c r="N942">
        <v>7319</v>
      </c>
      <c r="O942">
        <v>0</v>
      </c>
    </row>
    <row r="943" spans="1:17" x14ac:dyDescent="0.35">
      <c r="A943" s="46">
        <v>46117</v>
      </c>
      <c r="B943" t="s">
        <v>136</v>
      </c>
      <c r="C943" t="s">
        <v>319</v>
      </c>
      <c r="D943" t="s">
        <v>320</v>
      </c>
      <c r="E943" t="s">
        <v>321</v>
      </c>
      <c r="F943" t="s">
        <v>328</v>
      </c>
      <c r="G943" t="s">
        <v>329</v>
      </c>
      <c r="H943" t="s">
        <v>330</v>
      </c>
      <c r="I943" t="s">
        <v>323</v>
      </c>
      <c r="J943" t="s">
        <v>324</v>
      </c>
      <c r="K943" t="s">
        <v>184</v>
      </c>
      <c r="L943" t="s">
        <v>185</v>
      </c>
      <c r="M943">
        <v>2.3136111111111113</v>
      </c>
      <c r="N943">
        <v>8329</v>
      </c>
      <c r="O943">
        <v>0</v>
      </c>
    </row>
    <row r="944" spans="1:17" x14ac:dyDescent="0.35">
      <c r="A944" s="46">
        <v>46117</v>
      </c>
      <c r="B944" t="s">
        <v>136</v>
      </c>
      <c r="C944" t="s">
        <v>319</v>
      </c>
      <c r="D944" t="s">
        <v>320</v>
      </c>
      <c r="E944" t="s">
        <v>321</v>
      </c>
      <c r="F944" t="s">
        <v>322</v>
      </c>
      <c r="G944" t="s">
        <v>322</v>
      </c>
      <c r="H944" t="s">
        <v>322</v>
      </c>
      <c r="I944" t="s">
        <v>323</v>
      </c>
      <c r="J944" t="s">
        <v>324</v>
      </c>
      <c r="K944" t="s">
        <v>178</v>
      </c>
      <c r="L944" t="s">
        <v>179</v>
      </c>
      <c r="M944">
        <v>10.903333333333334</v>
      </c>
      <c r="N944">
        <v>39252</v>
      </c>
      <c r="O944">
        <v>0</v>
      </c>
    </row>
    <row r="945" spans="1:17" x14ac:dyDescent="0.35">
      <c r="A945" s="46">
        <v>46117</v>
      </c>
      <c r="B945" t="s">
        <v>136</v>
      </c>
      <c r="C945" t="s">
        <v>335</v>
      </c>
      <c r="D945" t="s">
        <v>336</v>
      </c>
      <c r="E945" t="s">
        <v>337</v>
      </c>
      <c r="F945" t="s">
        <v>87</v>
      </c>
      <c r="G945" t="s">
        <v>340</v>
      </c>
      <c r="H945" t="s">
        <v>330</v>
      </c>
      <c r="I945" t="s">
        <v>323</v>
      </c>
      <c r="J945" t="s">
        <v>324</v>
      </c>
      <c r="K945" t="s">
        <v>341</v>
      </c>
      <c r="L945" t="s">
        <v>342</v>
      </c>
      <c r="M945">
        <v>0.17194444444444446</v>
      </c>
      <c r="N945">
        <v>619</v>
      </c>
      <c r="O945">
        <v>0</v>
      </c>
    </row>
    <row r="946" spans="1:17" x14ac:dyDescent="0.35">
      <c r="A946" s="46">
        <v>46117</v>
      </c>
      <c r="B946" t="s">
        <v>136</v>
      </c>
      <c r="C946" t="s">
        <v>335</v>
      </c>
      <c r="D946" t="s">
        <v>336</v>
      </c>
      <c r="E946" t="s">
        <v>337</v>
      </c>
      <c r="F946" t="s">
        <v>87</v>
      </c>
      <c r="G946" t="s">
        <v>340</v>
      </c>
      <c r="H946" t="s">
        <v>343</v>
      </c>
      <c r="I946" t="s">
        <v>323</v>
      </c>
      <c r="J946" t="s">
        <v>324</v>
      </c>
      <c r="K946" t="s">
        <v>341</v>
      </c>
      <c r="L946" t="s">
        <v>342</v>
      </c>
      <c r="M946">
        <v>0.10555555555555556</v>
      </c>
      <c r="N946">
        <v>380</v>
      </c>
      <c r="O946">
        <v>0</v>
      </c>
    </row>
    <row r="947" spans="1:17" x14ac:dyDescent="0.35">
      <c r="A947" s="46">
        <v>46117</v>
      </c>
      <c r="B947" t="s">
        <v>136</v>
      </c>
      <c r="C947" t="s">
        <v>335</v>
      </c>
      <c r="D947" t="s">
        <v>336</v>
      </c>
      <c r="E947" t="s">
        <v>337</v>
      </c>
      <c r="F947" t="s">
        <v>87</v>
      </c>
      <c r="G947" t="s">
        <v>340</v>
      </c>
      <c r="H947" t="s">
        <v>330</v>
      </c>
      <c r="I947" t="s">
        <v>323</v>
      </c>
      <c r="J947" t="s">
        <v>324</v>
      </c>
      <c r="K947" t="s">
        <v>188</v>
      </c>
      <c r="L947" t="s">
        <v>189</v>
      </c>
      <c r="M947">
        <v>1.0449999999999999</v>
      </c>
      <c r="N947">
        <v>3762</v>
      </c>
      <c r="O947">
        <v>0</v>
      </c>
    </row>
    <row r="948" spans="1:17" x14ac:dyDescent="0.35">
      <c r="A948" s="46">
        <v>46117</v>
      </c>
      <c r="B948" t="s">
        <v>136</v>
      </c>
      <c r="C948" t="s">
        <v>335</v>
      </c>
      <c r="D948" t="s">
        <v>336</v>
      </c>
      <c r="E948" t="s">
        <v>337</v>
      </c>
      <c r="F948" t="s">
        <v>87</v>
      </c>
      <c r="G948" t="s">
        <v>340</v>
      </c>
      <c r="H948" t="s">
        <v>343</v>
      </c>
      <c r="I948" t="s">
        <v>323</v>
      </c>
      <c r="J948" t="s">
        <v>324</v>
      </c>
      <c r="K948" t="s">
        <v>188</v>
      </c>
      <c r="L948" t="s">
        <v>189</v>
      </c>
      <c r="M948">
        <v>0.56222222222222218</v>
      </c>
      <c r="N948">
        <v>2024</v>
      </c>
      <c r="O948">
        <v>0</v>
      </c>
    </row>
    <row r="949" spans="1:17" x14ac:dyDescent="0.35">
      <c r="A949" s="46">
        <v>46117</v>
      </c>
      <c r="B949" t="s">
        <v>136</v>
      </c>
      <c r="C949" t="s">
        <v>344</v>
      </c>
      <c r="D949" t="s">
        <v>336</v>
      </c>
      <c r="E949" t="s">
        <v>337</v>
      </c>
      <c r="F949" t="s">
        <v>322</v>
      </c>
      <c r="G949" t="s">
        <v>322</v>
      </c>
      <c r="H949" t="s">
        <v>322</v>
      </c>
      <c r="I949" t="s">
        <v>323</v>
      </c>
      <c r="J949" t="s">
        <v>324</v>
      </c>
      <c r="K949" t="s">
        <v>345</v>
      </c>
      <c r="L949" t="s">
        <v>346</v>
      </c>
      <c r="M949">
        <v>0.11805555555555555</v>
      </c>
      <c r="N949">
        <v>425</v>
      </c>
      <c r="O949">
        <v>1055.28</v>
      </c>
      <c r="P949">
        <v>2.4830117647058825</v>
      </c>
      <c r="Q949">
        <v>425</v>
      </c>
    </row>
    <row r="950" spans="1:17" x14ac:dyDescent="0.35">
      <c r="A950" s="46">
        <v>46117</v>
      </c>
      <c r="B950" t="s">
        <v>136</v>
      </c>
      <c r="C950" t="s">
        <v>335</v>
      </c>
      <c r="D950" t="s">
        <v>336</v>
      </c>
      <c r="E950" t="s">
        <v>337</v>
      </c>
      <c r="F950" t="s">
        <v>322</v>
      </c>
      <c r="G950" t="s">
        <v>322</v>
      </c>
      <c r="H950" t="s">
        <v>322</v>
      </c>
      <c r="I950" t="s">
        <v>323</v>
      </c>
      <c r="J950" t="s">
        <v>324</v>
      </c>
      <c r="K950" t="s">
        <v>345</v>
      </c>
      <c r="L950" t="s">
        <v>346</v>
      </c>
      <c r="M950">
        <v>0.21111111111111111</v>
      </c>
      <c r="N950">
        <v>760</v>
      </c>
      <c r="O950">
        <v>1737.48</v>
      </c>
      <c r="P950">
        <v>2.2861578947368422</v>
      </c>
      <c r="Q950">
        <v>760</v>
      </c>
    </row>
    <row r="951" spans="1:17" x14ac:dyDescent="0.35">
      <c r="A951" s="46">
        <v>46117</v>
      </c>
      <c r="B951" t="s">
        <v>136</v>
      </c>
      <c r="C951" t="s">
        <v>344</v>
      </c>
      <c r="D951" t="s">
        <v>336</v>
      </c>
      <c r="E951" t="s">
        <v>337</v>
      </c>
      <c r="F951" t="s">
        <v>87</v>
      </c>
      <c r="G951" t="s">
        <v>340</v>
      </c>
      <c r="H951" t="s">
        <v>330</v>
      </c>
      <c r="I951" t="s">
        <v>323</v>
      </c>
      <c r="J951" t="s">
        <v>324</v>
      </c>
      <c r="K951" t="s">
        <v>345</v>
      </c>
      <c r="L951" t="s">
        <v>346</v>
      </c>
      <c r="M951">
        <v>0.24861111111111112</v>
      </c>
      <c r="N951">
        <v>895</v>
      </c>
      <c r="O951">
        <v>2291.2000000000003</v>
      </c>
      <c r="P951">
        <v>2.5600000000000005</v>
      </c>
      <c r="Q951">
        <v>895</v>
      </c>
    </row>
    <row r="952" spans="1:17" x14ac:dyDescent="0.35">
      <c r="A952" s="46">
        <v>46117</v>
      </c>
      <c r="B952" t="s">
        <v>136</v>
      </c>
      <c r="C952" t="s">
        <v>335</v>
      </c>
      <c r="D952" t="s">
        <v>336</v>
      </c>
      <c r="E952" t="s">
        <v>337</v>
      </c>
      <c r="F952" t="s">
        <v>87</v>
      </c>
      <c r="G952" t="s">
        <v>340</v>
      </c>
      <c r="H952" t="s">
        <v>330</v>
      </c>
      <c r="I952" t="s">
        <v>323</v>
      </c>
      <c r="J952" t="s">
        <v>324</v>
      </c>
      <c r="K952" t="s">
        <v>345</v>
      </c>
      <c r="L952" t="s">
        <v>346</v>
      </c>
      <c r="M952">
        <v>0.29249999999999998</v>
      </c>
      <c r="N952">
        <v>1053</v>
      </c>
      <c r="O952">
        <v>3395.62</v>
      </c>
      <c r="P952">
        <v>3.2247103513770181</v>
      </c>
      <c r="Q952">
        <v>1053</v>
      </c>
    </row>
    <row r="953" spans="1:17" x14ac:dyDescent="0.35">
      <c r="A953" s="46">
        <v>46117</v>
      </c>
      <c r="B953" t="s">
        <v>136</v>
      </c>
      <c r="C953" t="s">
        <v>344</v>
      </c>
      <c r="D953" t="s">
        <v>336</v>
      </c>
      <c r="E953" t="s">
        <v>337</v>
      </c>
      <c r="F953" t="s">
        <v>87</v>
      </c>
      <c r="G953" t="s">
        <v>340</v>
      </c>
      <c r="H953" t="s">
        <v>343</v>
      </c>
      <c r="I953" t="s">
        <v>323</v>
      </c>
      <c r="J953" t="s">
        <v>324</v>
      </c>
      <c r="K953" t="s">
        <v>345</v>
      </c>
      <c r="L953" t="s">
        <v>346</v>
      </c>
      <c r="M953">
        <v>1.5994444444444444</v>
      </c>
      <c r="N953">
        <v>5758</v>
      </c>
      <c r="O953">
        <v>14217.220000000001</v>
      </c>
      <c r="P953">
        <v>2.4691246960750264</v>
      </c>
      <c r="Q953">
        <v>5758</v>
      </c>
    </row>
    <row r="954" spans="1:17" x14ac:dyDescent="0.35">
      <c r="A954" s="46">
        <v>46117</v>
      </c>
      <c r="B954" t="s">
        <v>136</v>
      </c>
      <c r="C954" t="s">
        <v>335</v>
      </c>
      <c r="D954" t="s">
        <v>336</v>
      </c>
      <c r="E954" t="s">
        <v>337</v>
      </c>
      <c r="F954" t="s">
        <v>87</v>
      </c>
      <c r="G954" t="s">
        <v>340</v>
      </c>
      <c r="H954" t="s">
        <v>343</v>
      </c>
      <c r="I954" t="s">
        <v>323</v>
      </c>
      <c r="J954" t="s">
        <v>324</v>
      </c>
      <c r="K954" t="s">
        <v>345</v>
      </c>
      <c r="L954" t="s">
        <v>346</v>
      </c>
      <c r="M954">
        <v>1.2627777777777778</v>
      </c>
      <c r="N954">
        <v>4546</v>
      </c>
      <c r="O954">
        <v>14237.99</v>
      </c>
      <c r="P954">
        <v>3.1319819621645402</v>
      </c>
      <c r="Q954">
        <v>4546</v>
      </c>
    </row>
    <row r="955" spans="1:17" x14ac:dyDescent="0.35">
      <c r="A955" s="46">
        <v>46117</v>
      </c>
      <c r="B955" t="s">
        <v>136</v>
      </c>
      <c r="C955" t="s">
        <v>335</v>
      </c>
      <c r="D955" t="s">
        <v>336</v>
      </c>
      <c r="E955" t="s">
        <v>337</v>
      </c>
      <c r="F955" t="s">
        <v>87</v>
      </c>
      <c r="G955" t="s">
        <v>340</v>
      </c>
      <c r="H955" t="s">
        <v>330</v>
      </c>
      <c r="I955" t="s">
        <v>323</v>
      </c>
      <c r="J955" t="s">
        <v>324</v>
      </c>
      <c r="K955" t="s">
        <v>142</v>
      </c>
      <c r="L955" t="s">
        <v>143</v>
      </c>
      <c r="M955">
        <v>3.5277777777777776E-2</v>
      </c>
      <c r="N955">
        <v>127</v>
      </c>
      <c r="O955">
        <v>767.42000000000007</v>
      </c>
      <c r="P955">
        <v>6.0426771653543314</v>
      </c>
      <c r="Q955">
        <v>127</v>
      </c>
    </row>
    <row r="956" spans="1:17" x14ac:dyDescent="0.35">
      <c r="A956" s="46">
        <v>46117</v>
      </c>
      <c r="B956" t="s">
        <v>136</v>
      </c>
      <c r="C956" t="s">
        <v>344</v>
      </c>
      <c r="D956" t="s">
        <v>336</v>
      </c>
      <c r="E956" t="s">
        <v>337</v>
      </c>
      <c r="F956" t="s">
        <v>87</v>
      </c>
      <c r="G956" t="s">
        <v>340</v>
      </c>
      <c r="H956" t="s">
        <v>330</v>
      </c>
      <c r="I956" t="s">
        <v>323</v>
      </c>
      <c r="J956" t="s">
        <v>324</v>
      </c>
      <c r="K956" t="s">
        <v>142</v>
      </c>
      <c r="L956" t="s">
        <v>143</v>
      </c>
      <c r="M956">
        <v>5.2499999999999998E-2</v>
      </c>
      <c r="N956">
        <v>189</v>
      </c>
      <c r="O956">
        <v>897.75</v>
      </c>
      <c r="P956">
        <v>4.75</v>
      </c>
      <c r="Q956">
        <v>189</v>
      </c>
    </row>
    <row r="957" spans="1:17" x14ac:dyDescent="0.35">
      <c r="A957" s="46">
        <v>46117</v>
      </c>
      <c r="B957" t="s">
        <v>136</v>
      </c>
      <c r="C957" t="s">
        <v>344</v>
      </c>
      <c r="D957" t="s">
        <v>336</v>
      </c>
      <c r="E957" t="s">
        <v>337</v>
      </c>
      <c r="F957" t="s">
        <v>87</v>
      </c>
      <c r="G957" t="s">
        <v>340</v>
      </c>
      <c r="H957" t="s">
        <v>343</v>
      </c>
      <c r="I957" t="s">
        <v>323</v>
      </c>
      <c r="J957" t="s">
        <v>324</v>
      </c>
      <c r="K957" t="s">
        <v>142</v>
      </c>
      <c r="L957" t="s">
        <v>143</v>
      </c>
      <c r="M957">
        <v>0.105</v>
      </c>
      <c r="N957">
        <v>378</v>
      </c>
      <c r="O957">
        <v>1220.2199999999998</v>
      </c>
      <c r="P957">
        <v>3.2280952380952375</v>
      </c>
      <c r="Q957">
        <v>378</v>
      </c>
    </row>
    <row r="958" spans="1:17" x14ac:dyDescent="0.35">
      <c r="A958" s="46">
        <v>46117</v>
      </c>
      <c r="B958" t="s">
        <v>136</v>
      </c>
      <c r="C958" t="s">
        <v>335</v>
      </c>
      <c r="D958" t="s">
        <v>336</v>
      </c>
      <c r="E958" t="s">
        <v>337</v>
      </c>
      <c r="F958" t="s">
        <v>322</v>
      </c>
      <c r="G958" t="s">
        <v>322</v>
      </c>
      <c r="H958" t="s">
        <v>322</v>
      </c>
      <c r="I958" t="s">
        <v>323</v>
      </c>
      <c r="J958" t="s">
        <v>324</v>
      </c>
      <c r="K958" t="s">
        <v>142</v>
      </c>
      <c r="L958" t="s">
        <v>143</v>
      </c>
      <c r="M958">
        <v>0.19972222222222222</v>
      </c>
      <c r="N958">
        <v>719</v>
      </c>
      <c r="O958">
        <v>3131.51</v>
      </c>
      <c r="P958">
        <v>4.3553685674547991</v>
      </c>
      <c r="Q958">
        <v>719</v>
      </c>
    </row>
    <row r="959" spans="1:17" x14ac:dyDescent="0.35">
      <c r="A959" s="46">
        <v>46117</v>
      </c>
      <c r="B959" t="s">
        <v>136</v>
      </c>
      <c r="C959" t="s">
        <v>335</v>
      </c>
      <c r="D959" t="s">
        <v>336</v>
      </c>
      <c r="E959" t="s">
        <v>337</v>
      </c>
      <c r="F959" t="s">
        <v>87</v>
      </c>
      <c r="G959" t="s">
        <v>340</v>
      </c>
      <c r="H959" t="s">
        <v>343</v>
      </c>
      <c r="I959" t="s">
        <v>323</v>
      </c>
      <c r="J959" t="s">
        <v>324</v>
      </c>
      <c r="K959" t="s">
        <v>142</v>
      </c>
      <c r="L959" t="s">
        <v>143</v>
      </c>
      <c r="M959">
        <v>0.35055555555555556</v>
      </c>
      <c r="N959">
        <v>1262</v>
      </c>
      <c r="O959">
        <v>4840.1100000000006</v>
      </c>
      <c r="P959">
        <v>3.8352694136291605</v>
      </c>
      <c r="Q959">
        <v>1262</v>
      </c>
    </row>
    <row r="960" spans="1:17" x14ac:dyDescent="0.35">
      <c r="A960" s="46">
        <v>46117</v>
      </c>
      <c r="B960" t="s">
        <v>136</v>
      </c>
      <c r="C960" t="s">
        <v>344</v>
      </c>
      <c r="D960" t="s">
        <v>336</v>
      </c>
      <c r="E960" t="s">
        <v>337</v>
      </c>
      <c r="F960" t="s">
        <v>87</v>
      </c>
      <c r="G960" t="s">
        <v>340</v>
      </c>
      <c r="H960" t="s">
        <v>330</v>
      </c>
      <c r="I960" t="s">
        <v>323</v>
      </c>
      <c r="J960" t="s">
        <v>324</v>
      </c>
      <c r="K960" t="s">
        <v>190</v>
      </c>
      <c r="L960" t="s">
        <v>191</v>
      </c>
      <c r="M960">
        <v>2.2222222222222223E-2</v>
      </c>
      <c r="N960">
        <v>80</v>
      </c>
      <c r="O960">
        <v>0</v>
      </c>
    </row>
    <row r="961" spans="1:17" x14ac:dyDescent="0.35">
      <c r="A961" s="46">
        <v>46117</v>
      </c>
      <c r="B961" t="s">
        <v>136</v>
      </c>
      <c r="C961" t="s">
        <v>344</v>
      </c>
      <c r="D961" t="s">
        <v>336</v>
      </c>
      <c r="E961" t="s">
        <v>337</v>
      </c>
      <c r="F961" t="s">
        <v>322</v>
      </c>
      <c r="G961" t="s">
        <v>322</v>
      </c>
      <c r="H961" t="s">
        <v>322</v>
      </c>
      <c r="I961" t="s">
        <v>323</v>
      </c>
      <c r="J961" t="s">
        <v>324</v>
      </c>
      <c r="K961" t="s">
        <v>200</v>
      </c>
      <c r="L961" t="s">
        <v>201</v>
      </c>
      <c r="M961">
        <v>8.4166666666666667E-2</v>
      </c>
      <c r="N961">
        <v>303</v>
      </c>
      <c r="O961">
        <v>0</v>
      </c>
    </row>
    <row r="962" spans="1:17" x14ac:dyDescent="0.35">
      <c r="A962" s="46">
        <v>46117</v>
      </c>
      <c r="B962" t="s">
        <v>136</v>
      </c>
      <c r="C962" t="s">
        <v>344</v>
      </c>
      <c r="D962" t="s">
        <v>336</v>
      </c>
      <c r="E962" t="s">
        <v>337</v>
      </c>
      <c r="F962" t="s">
        <v>87</v>
      </c>
      <c r="G962" t="s">
        <v>340</v>
      </c>
      <c r="H962" t="s">
        <v>330</v>
      </c>
      <c r="I962" t="s">
        <v>323</v>
      </c>
      <c r="J962" t="s">
        <v>324</v>
      </c>
      <c r="K962" t="s">
        <v>200</v>
      </c>
      <c r="L962" t="s">
        <v>201</v>
      </c>
      <c r="M962">
        <v>0.65972222222222221</v>
      </c>
      <c r="N962">
        <v>2375</v>
      </c>
      <c r="O962">
        <v>0</v>
      </c>
    </row>
    <row r="963" spans="1:17" x14ac:dyDescent="0.35">
      <c r="A963" s="46">
        <v>46117</v>
      </c>
      <c r="B963" t="s">
        <v>136</v>
      </c>
      <c r="C963" t="s">
        <v>335</v>
      </c>
      <c r="D963" t="s">
        <v>336</v>
      </c>
      <c r="E963" t="s">
        <v>337</v>
      </c>
      <c r="F963" t="s">
        <v>87</v>
      </c>
      <c r="G963" t="s">
        <v>340</v>
      </c>
      <c r="H963" t="s">
        <v>330</v>
      </c>
      <c r="I963" t="s">
        <v>323</v>
      </c>
      <c r="J963" t="s">
        <v>324</v>
      </c>
      <c r="K963" t="s">
        <v>200</v>
      </c>
      <c r="L963" t="s">
        <v>201</v>
      </c>
      <c r="M963">
        <v>0.14555555555555555</v>
      </c>
      <c r="N963">
        <v>524</v>
      </c>
      <c r="O963">
        <v>0</v>
      </c>
    </row>
    <row r="964" spans="1:17" x14ac:dyDescent="0.35">
      <c r="A964" s="46">
        <v>46117</v>
      </c>
      <c r="B964" t="s">
        <v>136</v>
      </c>
      <c r="C964" t="s">
        <v>344</v>
      </c>
      <c r="D964" t="s">
        <v>336</v>
      </c>
      <c r="E964" t="s">
        <v>337</v>
      </c>
      <c r="F964" t="s">
        <v>87</v>
      </c>
      <c r="G964" t="s">
        <v>340</v>
      </c>
      <c r="H964" t="s">
        <v>343</v>
      </c>
      <c r="I964" t="s">
        <v>323</v>
      </c>
      <c r="J964" t="s">
        <v>324</v>
      </c>
      <c r="K964" t="s">
        <v>200</v>
      </c>
      <c r="L964" t="s">
        <v>201</v>
      </c>
      <c r="M964">
        <v>0.18194444444444444</v>
      </c>
      <c r="N964">
        <v>655</v>
      </c>
      <c r="O964">
        <v>0</v>
      </c>
    </row>
    <row r="965" spans="1:17" x14ac:dyDescent="0.35">
      <c r="A965" s="46">
        <v>46117</v>
      </c>
      <c r="B965" t="s">
        <v>136</v>
      </c>
      <c r="C965" t="s">
        <v>335</v>
      </c>
      <c r="D965" t="s">
        <v>336</v>
      </c>
      <c r="E965" t="s">
        <v>337</v>
      </c>
      <c r="F965" t="s">
        <v>87</v>
      </c>
      <c r="G965" t="s">
        <v>340</v>
      </c>
      <c r="H965" t="s">
        <v>343</v>
      </c>
      <c r="I965" t="s">
        <v>323</v>
      </c>
      <c r="J965" t="s">
        <v>324</v>
      </c>
      <c r="K965" t="s">
        <v>200</v>
      </c>
      <c r="L965" t="s">
        <v>201</v>
      </c>
      <c r="M965">
        <v>0.35055555555555556</v>
      </c>
      <c r="N965">
        <v>1262</v>
      </c>
      <c r="O965">
        <v>0</v>
      </c>
    </row>
    <row r="966" spans="1:17" x14ac:dyDescent="0.35">
      <c r="A966" s="46">
        <v>46117</v>
      </c>
      <c r="B966" t="s">
        <v>136</v>
      </c>
      <c r="C966" t="s">
        <v>347</v>
      </c>
      <c r="D966" t="s">
        <v>336</v>
      </c>
      <c r="E966" t="s">
        <v>337</v>
      </c>
      <c r="F966" t="s">
        <v>87</v>
      </c>
      <c r="G966" t="s">
        <v>340</v>
      </c>
      <c r="H966" t="s">
        <v>343</v>
      </c>
      <c r="I966" t="s">
        <v>323</v>
      </c>
      <c r="J966" t="s">
        <v>324</v>
      </c>
      <c r="K966" t="s">
        <v>200</v>
      </c>
      <c r="L966" t="s">
        <v>201</v>
      </c>
      <c r="M966">
        <v>4.8055555555555553E-2</v>
      </c>
      <c r="N966">
        <v>173</v>
      </c>
      <c r="O966">
        <v>0</v>
      </c>
    </row>
    <row r="967" spans="1:17" x14ac:dyDescent="0.35">
      <c r="A967" s="46">
        <v>46117</v>
      </c>
      <c r="B967" t="s">
        <v>136</v>
      </c>
      <c r="C967" t="s">
        <v>344</v>
      </c>
      <c r="D967" t="s">
        <v>336</v>
      </c>
      <c r="E967" t="s">
        <v>337</v>
      </c>
      <c r="F967" t="s">
        <v>87</v>
      </c>
      <c r="G967" t="s">
        <v>340</v>
      </c>
      <c r="H967" t="s">
        <v>330</v>
      </c>
      <c r="I967" t="s">
        <v>323</v>
      </c>
      <c r="J967" t="s">
        <v>324</v>
      </c>
      <c r="K967" t="s">
        <v>348</v>
      </c>
      <c r="L967" t="s">
        <v>349</v>
      </c>
      <c r="M967">
        <v>0.38611111111111113</v>
      </c>
      <c r="N967">
        <v>1390</v>
      </c>
      <c r="O967">
        <v>0</v>
      </c>
    </row>
    <row r="968" spans="1:17" x14ac:dyDescent="0.35">
      <c r="A968" s="46">
        <v>46117</v>
      </c>
      <c r="B968" t="s">
        <v>136</v>
      </c>
      <c r="C968" t="s">
        <v>344</v>
      </c>
      <c r="D968" t="s">
        <v>336</v>
      </c>
      <c r="E968" t="s">
        <v>337</v>
      </c>
      <c r="F968" t="s">
        <v>87</v>
      </c>
      <c r="G968" t="s">
        <v>340</v>
      </c>
      <c r="H968" t="s">
        <v>343</v>
      </c>
      <c r="I968" t="s">
        <v>323</v>
      </c>
      <c r="J968" t="s">
        <v>324</v>
      </c>
      <c r="K968" t="s">
        <v>202</v>
      </c>
      <c r="L968" t="s">
        <v>203</v>
      </c>
      <c r="M968">
        <v>0.68444444444444441</v>
      </c>
      <c r="N968">
        <v>2464</v>
      </c>
      <c r="O968">
        <v>0</v>
      </c>
    </row>
    <row r="969" spans="1:17" x14ac:dyDescent="0.35">
      <c r="A969" s="46">
        <v>46117</v>
      </c>
      <c r="B969" t="s">
        <v>136</v>
      </c>
      <c r="C969" t="s">
        <v>335</v>
      </c>
      <c r="D969" t="s">
        <v>336</v>
      </c>
      <c r="E969" t="s">
        <v>337</v>
      </c>
      <c r="F969" t="s">
        <v>87</v>
      </c>
      <c r="G969" t="s">
        <v>340</v>
      </c>
      <c r="H969" t="s">
        <v>343</v>
      </c>
      <c r="I969" t="s">
        <v>323</v>
      </c>
      <c r="J969" t="s">
        <v>324</v>
      </c>
      <c r="K969" t="s">
        <v>202</v>
      </c>
      <c r="L969" t="s">
        <v>203</v>
      </c>
      <c r="M969">
        <v>5.8333333333333336E-3</v>
      </c>
      <c r="N969">
        <v>21</v>
      </c>
      <c r="O969">
        <v>0</v>
      </c>
    </row>
    <row r="970" spans="1:17" x14ac:dyDescent="0.35">
      <c r="A970" s="46">
        <v>46117</v>
      </c>
      <c r="B970" t="s">
        <v>136</v>
      </c>
      <c r="C970" t="s">
        <v>347</v>
      </c>
      <c r="D970" t="s">
        <v>336</v>
      </c>
      <c r="E970" t="s">
        <v>337</v>
      </c>
      <c r="F970" t="s">
        <v>87</v>
      </c>
      <c r="G970" t="s">
        <v>340</v>
      </c>
      <c r="H970" t="s">
        <v>343</v>
      </c>
      <c r="I970" t="s">
        <v>323</v>
      </c>
      <c r="J970" t="s">
        <v>324</v>
      </c>
      <c r="K970" t="s">
        <v>202</v>
      </c>
      <c r="L970" t="s">
        <v>203</v>
      </c>
      <c r="M970">
        <v>1.9444444444444444E-3</v>
      </c>
      <c r="N970">
        <v>7</v>
      </c>
      <c r="O970">
        <v>0</v>
      </c>
    </row>
    <row r="971" spans="1:17" x14ac:dyDescent="0.35">
      <c r="A971" s="46">
        <v>46117</v>
      </c>
      <c r="B971" t="s">
        <v>136</v>
      </c>
      <c r="C971" t="s">
        <v>335</v>
      </c>
      <c r="D971" t="s">
        <v>336</v>
      </c>
      <c r="E971" t="s">
        <v>337</v>
      </c>
      <c r="F971" t="s">
        <v>322</v>
      </c>
      <c r="G971" t="s">
        <v>322</v>
      </c>
      <c r="H971" t="s">
        <v>322</v>
      </c>
      <c r="I971" t="s">
        <v>323</v>
      </c>
      <c r="J971" t="s">
        <v>324</v>
      </c>
      <c r="K971" t="s">
        <v>350</v>
      </c>
      <c r="L971" t="s">
        <v>351</v>
      </c>
      <c r="M971">
        <v>6.4444444444444443E-2</v>
      </c>
      <c r="N971">
        <v>232</v>
      </c>
      <c r="O971">
        <v>457.29</v>
      </c>
      <c r="P971">
        <v>2.2638118811881189</v>
      </c>
      <c r="Q971">
        <v>202</v>
      </c>
    </row>
    <row r="972" spans="1:17" x14ac:dyDescent="0.35">
      <c r="A972" s="46">
        <v>46117</v>
      </c>
      <c r="B972" t="s">
        <v>136</v>
      </c>
      <c r="C972" t="s">
        <v>344</v>
      </c>
      <c r="D972" t="s">
        <v>336</v>
      </c>
      <c r="E972" t="s">
        <v>337</v>
      </c>
      <c r="F972" t="s">
        <v>87</v>
      </c>
      <c r="G972" t="s">
        <v>340</v>
      </c>
      <c r="H972" t="s">
        <v>330</v>
      </c>
      <c r="I972" t="s">
        <v>323</v>
      </c>
      <c r="J972" t="s">
        <v>324</v>
      </c>
      <c r="K972" t="s">
        <v>350</v>
      </c>
      <c r="L972" t="s">
        <v>351</v>
      </c>
      <c r="M972">
        <v>6.277777777777778E-2</v>
      </c>
      <c r="N972">
        <v>226</v>
      </c>
      <c r="O972">
        <v>501.72</v>
      </c>
      <c r="P972">
        <v>2.2200000000000002</v>
      </c>
      <c r="Q972">
        <v>226</v>
      </c>
    </row>
    <row r="973" spans="1:17" x14ac:dyDescent="0.35">
      <c r="A973" s="46">
        <v>46117</v>
      </c>
      <c r="B973" t="s">
        <v>136</v>
      </c>
      <c r="C973" t="s">
        <v>335</v>
      </c>
      <c r="D973" t="s">
        <v>336</v>
      </c>
      <c r="E973" t="s">
        <v>337</v>
      </c>
      <c r="F973" t="s">
        <v>87</v>
      </c>
      <c r="G973" t="s">
        <v>340</v>
      </c>
      <c r="H973" t="s">
        <v>330</v>
      </c>
      <c r="I973" t="s">
        <v>323</v>
      </c>
      <c r="J973" t="s">
        <v>324</v>
      </c>
      <c r="K973" t="s">
        <v>350</v>
      </c>
      <c r="L973" t="s">
        <v>351</v>
      </c>
      <c r="M973">
        <v>4.4166666666666667E-2</v>
      </c>
      <c r="N973">
        <v>159</v>
      </c>
      <c r="O973">
        <v>526.29</v>
      </c>
      <c r="P973">
        <v>3.3099999999999996</v>
      </c>
      <c r="Q973">
        <v>159</v>
      </c>
    </row>
    <row r="974" spans="1:17" x14ac:dyDescent="0.35">
      <c r="A974" s="46">
        <v>46117</v>
      </c>
      <c r="B974" t="s">
        <v>136</v>
      </c>
      <c r="C974" t="s">
        <v>344</v>
      </c>
      <c r="D974" t="s">
        <v>336</v>
      </c>
      <c r="E974" t="s">
        <v>337</v>
      </c>
      <c r="F974" t="s">
        <v>322</v>
      </c>
      <c r="G974" t="s">
        <v>322</v>
      </c>
      <c r="H974" t="s">
        <v>322</v>
      </c>
      <c r="I974" t="s">
        <v>323</v>
      </c>
      <c r="J974" t="s">
        <v>324</v>
      </c>
      <c r="K974" t="s">
        <v>350</v>
      </c>
      <c r="L974" t="s">
        <v>351</v>
      </c>
      <c r="M974">
        <v>8.1944444444444445E-2</v>
      </c>
      <c r="N974">
        <v>295</v>
      </c>
      <c r="O974">
        <v>669.04</v>
      </c>
      <c r="P974">
        <v>2.3724822695035459</v>
      </c>
      <c r="Q974">
        <v>282</v>
      </c>
    </row>
    <row r="975" spans="1:17" x14ac:dyDescent="0.35">
      <c r="A975" s="46">
        <v>46117</v>
      </c>
      <c r="B975" t="s">
        <v>136</v>
      </c>
      <c r="C975" t="s">
        <v>344</v>
      </c>
      <c r="D975" t="s">
        <v>336</v>
      </c>
      <c r="E975" t="s">
        <v>337</v>
      </c>
      <c r="F975" t="s">
        <v>87</v>
      </c>
      <c r="G975" t="s">
        <v>340</v>
      </c>
      <c r="H975" t="s">
        <v>343</v>
      </c>
      <c r="I975" t="s">
        <v>323</v>
      </c>
      <c r="J975" t="s">
        <v>324</v>
      </c>
      <c r="K975" t="s">
        <v>350</v>
      </c>
      <c r="L975" t="s">
        <v>351</v>
      </c>
      <c r="M975">
        <v>0.18333333333333332</v>
      </c>
      <c r="N975">
        <v>660</v>
      </c>
      <c r="O975">
        <v>1184.74</v>
      </c>
      <c r="P975">
        <v>1.795060606060606</v>
      </c>
      <c r="Q975">
        <v>660</v>
      </c>
    </row>
    <row r="976" spans="1:17" x14ac:dyDescent="0.35">
      <c r="A976" s="46">
        <v>46117</v>
      </c>
      <c r="B976" t="s">
        <v>136</v>
      </c>
      <c r="C976" t="s">
        <v>335</v>
      </c>
      <c r="D976" t="s">
        <v>336</v>
      </c>
      <c r="E976" t="s">
        <v>337</v>
      </c>
      <c r="F976" t="s">
        <v>87</v>
      </c>
      <c r="G976" t="s">
        <v>340</v>
      </c>
      <c r="H976" t="s">
        <v>343</v>
      </c>
      <c r="I976" t="s">
        <v>323</v>
      </c>
      <c r="J976" t="s">
        <v>324</v>
      </c>
      <c r="K976" t="s">
        <v>350</v>
      </c>
      <c r="L976" t="s">
        <v>351</v>
      </c>
      <c r="M976">
        <v>0.75111111111111106</v>
      </c>
      <c r="N976">
        <v>2704</v>
      </c>
      <c r="O976">
        <v>6570.07</v>
      </c>
      <c r="P976">
        <v>2.4886628787878786</v>
      </c>
      <c r="Q976">
        <v>2640</v>
      </c>
    </row>
    <row r="977" spans="1:17" x14ac:dyDescent="0.35">
      <c r="A977" s="46">
        <v>46117</v>
      </c>
      <c r="B977" t="s">
        <v>136</v>
      </c>
      <c r="C977" t="s">
        <v>335</v>
      </c>
      <c r="D977" t="s">
        <v>336</v>
      </c>
      <c r="E977" t="s">
        <v>337</v>
      </c>
      <c r="F977" t="s">
        <v>322</v>
      </c>
      <c r="G977" t="s">
        <v>322</v>
      </c>
      <c r="H977" t="s">
        <v>322</v>
      </c>
      <c r="I977" t="s">
        <v>323</v>
      </c>
      <c r="J977" t="s">
        <v>324</v>
      </c>
      <c r="K977" t="s">
        <v>184</v>
      </c>
      <c r="L977" t="s">
        <v>185</v>
      </c>
      <c r="M977">
        <v>11.630277777777778</v>
      </c>
      <c r="N977">
        <v>41869</v>
      </c>
      <c r="O977">
        <v>0</v>
      </c>
    </row>
    <row r="978" spans="1:17" x14ac:dyDescent="0.35">
      <c r="A978" s="46">
        <v>46117</v>
      </c>
      <c r="B978" t="s">
        <v>136</v>
      </c>
      <c r="C978" t="s">
        <v>344</v>
      </c>
      <c r="D978" t="s">
        <v>336</v>
      </c>
      <c r="E978" t="s">
        <v>337</v>
      </c>
      <c r="F978" t="s">
        <v>87</v>
      </c>
      <c r="G978" t="s">
        <v>340</v>
      </c>
      <c r="H978" t="s">
        <v>330</v>
      </c>
      <c r="I978" t="s">
        <v>323</v>
      </c>
      <c r="J978" t="s">
        <v>324</v>
      </c>
      <c r="K978" t="s">
        <v>184</v>
      </c>
      <c r="L978" t="s">
        <v>185</v>
      </c>
      <c r="M978">
        <v>0.22555555555555556</v>
      </c>
      <c r="N978">
        <v>812</v>
      </c>
      <c r="O978">
        <v>0</v>
      </c>
    </row>
    <row r="979" spans="1:17" x14ac:dyDescent="0.35">
      <c r="A979" s="46">
        <v>46117</v>
      </c>
      <c r="B979" t="s">
        <v>136</v>
      </c>
      <c r="C979" t="s">
        <v>335</v>
      </c>
      <c r="D979" t="s">
        <v>336</v>
      </c>
      <c r="E979" t="s">
        <v>337</v>
      </c>
      <c r="F979" t="s">
        <v>87</v>
      </c>
      <c r="G979" t="s">
        <v>340</v>
      </c>
      <c r="H979" t="s">
        <v>330</v>
      </c>
      <c r="I979" t="s">
        <v>323</v>
      </c>
      <c r="J979" t="s">
        <v>324</v>
      </c>
      <c r="K979" t="s">
        <v>184</v>
      </c>
      <c r="L979" t="s">
        <v>185</v>
      </c>
      <c r="M979">
        <v>0.10472222222222222</v>
      </c>
      <c r="N979">
        <v>377</v>
      </c>
      <c r="O979">
        <v>0</v>
      </c>
    </row>
    <row r="980" spans="1:17" x14ac:dyDescent="0.35">
      <c r="A980" s="46">
        <v>46117</v>
      </c>
      <c r="B980" t="s">
        <v>136</v>
      </c>
      <c r="C980" t="s">
        <v>344</v>
      </c>
      <c r="D980" t="s">
        <v>336</v>
      </c>
      <c r="E980" t="s">
        <v>337</v>
      </c>
      <c r="F980" t="s">
        <v>87</v>
      </c>
      <c r="G980" t="s">
        <v>340</v>
      </c>
      <c r="H980" t="s">
        <v>343</v>
      </c>
      <c r="I980" t="s">
        <v>323</v>
      </c>
      <c r="J980" t="s">
        <v>324</v>
      </c>
      <c r="K980" t="s">
        <v>184</v>
      </c>
      <c r="L980" t="s">
        <v>185</v>
      </c>
      <c r="M980">
        <v>0.18083333333333335</v>
      </c>
      <c r="N980">
        <v>651</v>
      </c>
      <c r="O980">
        <v>0</v>
      </c>
    </row>
    <row r="981" spans="1:17" x14ac:dyDescent="0.35">
      <c r="A981" s="46">
        <v>46117</v>
      </c>
      <c r="B981" t="s">
        <v>136</v>
      </c>
      <c r="C981" t="s">
        <v>335</v>
      </c>
      <c r="D981" t="s">
        <v>336</v>
      </c>
      <c r="E981" t="s">
        <v>337</v>
      </c>
      <c r="F981" t="s">
        <v>87</v>
      </c>
      <c r="G981" t="s">
        <v>340</v>
      </c>
      <c r="H981" t="s">
        <v>343</v>
      </c>
      <c r="I981" t="s">
        <v>323</v>
      </c>
      <c r="J981" t="s">
        <v>324</v>
      </c>
      <c r="K981" t="s">
        <v>184</v>
      </c>
      <c r="L981" t="s">
        <v>185</v>
      </c>
      <c r="M981">
        <v>1.71</v>
      </c>
      <c r="N981">
        <v>6156</v>
      </c>
      <c r="O981">
        <v>0</v>
      </c>
    </row>
    <row r="982" spans="1:17" x14ac:dyDescent="0.35">
      <c r="A982" s="46">
        <v>46117</v>
      </c>
      <c r="B982" t="s">
        <v>136</v>
      </c>
      <c r="C982" t="s">
        <v>344</v>
      </c>
      <c r="D982" t="s">
        <v>336</v>
      </c>
      <c r="E982" t="s">
        <v>337</v>
      </c>
      <c r="F982" t="s">
        <v>87</v>
      </c>
      <c r="G982" t="s">
        <v>340</v>
      </c>
      <c r="H982" t="s">
        <v>343</v>
      </c>
      <c r="I982" t="s">
        <v>323</v>
      </c>
      <c r="J982" t="s">
        <v>324</v>
      </c>
      <c r="K982" t="s">
        <v>178</v>
      </c>
      <c r="L982" t="s">
        <v>179</v>
      </c>
      <c r="M982">
        <v>0.03</v>
      </c>
      <c r="N982">
        <v>108</v>
      </c>
      <c r="O982">
        <v>0</v>
      </c>
    </row>
    <row r="983" spans="1:17" x14ac:dyDescent="0.35">
      <c r="A983" s="46">
        <v>46117</v>
      </c>
      <c r="B983" t="s">
        <v>136</v>
      </c>
      <c r="C983" t="s">
        <v>367</v>
      </c>
      <c r="D983" t="s">
        <v>363</v>
      </c>
      <c r="E983" t="s">
        <v>364</v>
      </c>
      <c r="F983" t="s">
        <v>82</v>
      </c>
      <c r="G983" t="s">
        <v>368</v>
      </c>
      <c r="H983" t="s">
        <v>369</v>
      </c>
      <c r="I983" t="s">
        <v>323</v>
      </c>
      <c r="J983" t="s">
        <v>324</v>
      </c>
      <c r="K983" t="s">
        <v>168</v>
      </c>
      <c r="L983" t="s">
        <v>169</v>
      </c>
      <c r="M983">
        <v>0.16583333333333333</v>
      </c>
      <c r="N983">
        <v>597</v>
      </c>
      <c r="O983">
        <v>0</v>
      </c>
    </row>
    <row r="984" spans="1:17" x14ac:dyDescent="0.35">
      <c r="A984" s="46">
        <v>46117</v>
      </c>
      <c r="B984" t="s">
        <v>136</v>
      </c>
      <c r="C984" t="s">
        <v>367</v>
      </c>
      <c r="D984" t="s">
        <v>363</v>
      </c>
      <c r="E984" t="s">
        <v>364</v>
      </c>
      <c r="F984" t="s">
        <v>82</v>
      </c>
      <c r="G984" t="s">
        <v>368</v>
      </c>
      <c r="H984" t="s">
        <v>334</v>
      </c>
      <c r="I984" t="s">
        <v>323</v>
      </c>
      <c r="J984" t="s">
        <v>324</v>
      </c>
      <c r="K984" t="s">
        <v>345</v>
      </c>
      <c r="L984" t="s">
        <v>346</v>
      </c>
      <c r="M984">
        <v>2.3055555555555555E-2</v>
      </c>
      <c r="N984">
        <v>83</v>
      </c>
      <c r="O984">
        <v>269.75</v>
      </c>
      <c r="P984">
        <v>3.25</v>
      </c>
      <c r="Q984">
        <v>83</v>
      </c>
    </row>
    <row r="985" spans="1:17" x14ac:dyDescent="0.35">
      <c r="A985" s="46">
        <v>46117</v>
      </c>
      <c r="B985" t="s">
        <v>136</v>
      </c>
      <c r="C985" t="s">
        <v>370</v>
      </c>
      <c r="D985" t="s">
        <v>363</v>
      </c>
      <c r="E985" t="s">
        <v>364</v>
      </c>
      <c r="F985" t="s">
        <v>82</v>
      </c>
      <c r="G985" t="s">
        <v>368</v>
      </c>
      <c r="H985" t="s">
        <v>369</v>
      </c>
      <c r="I985" t="s">
        <v>323</v>
      </c>
      <c r="J985" t="s">
        <v>324</v>
      </c>
      <c r="K985" t="s">
        <v>345</v>
      </c>
      <c r="L985" t="s">
        <v>346</v>
      </c>
      <c r="M985">
        <v>2.0555555555555556E-2</v>
      </c>
      <c r="N985">
        <v>74</v>
      </c>
      <c r="O985">
        <v>324.12</v>
      </c>
      <c r="P985">
        <v>4.38</v>
      </c>
      <c r="Q985">
        <v>74</v>
      </c>
    </row>
    <row r="986" spans="1:17" x14ac:dyDescent="0.35">
      <c r="A986" s="46">
        <v>46117</v>
      </c>
      <c r="B986" t="s">
        <v>136</v>
      </c>
      <c r="C986" t="s">
        <v>319</v>
      </c>
      <c r="D986" t="s">
        <v>363</v>
      </c>
      <c r="E986" t="s">
        <v>364</v>
      </c>
      <c r="F986" t="s">
        <v>82</v>
      </c>
      <c r="G986" t="s">
        <v>365</v>
      </c>
      <c r="H986" t="s">
        <v>371</v>
      </c>
      <c r="I986" t="s">
        <v>323</v>
      </c>
      <c r="J986" t="s">
        <v>324</v>
      </c>
      <c r="K986" t="s">
        <v>345</v>
      </c>
      <c r="L986" t="s">
        <v>346</v>
      </c>
      <c r="M986">
        <v>4.3611111111111114E-2</v>
      </c>
      <c r="N986">
        <v>157</v>
      </c>
      <c r="O986">
        <v>430.18</v>
      </c>
      <c r="P986">
        <v>2.74</v>
      </c>
      <c r="Q986">
        <v>157</v>
      </c>
    </row>
    <row r="987" spans="1:17" x14ac:dyDescent="0.35">
      <c r="A987" s="46">
        <v>46117</v>
      </c>
      <c r="B987" t="s">
        <v>136</v>
      </c>
      <c r="C987" t="s">
        <v>367</v>
      </c>
      <c r="D987" t="s">
        <v>363</v>
      </c>
      <c r="E987" t="s">
        <v>364</v>
      </c>
      <c r="F987" t="s">
        <v>322</v>
      </c>
      <c r="G987" t="s">
        <v>322</v>
      </c>
      <c r="H987" t="s">
        <v>322</v>
      </c>
      <c r="I987" t="s">
        <v>323</v>
      </c>
      <c r="J987" t="s">
        <v>324</v>
      </c>
      <c r="K987" t="s">
        <v>345</v>
      </c>
      <c r="L987" t="s">
        <v>346</v>
      </c>
      <c r="M987">
        <v>4.3333333333333335E-2</v>
      </c>
      <c r="N987">
        <v>156</v>
      </c>
      <c r="O987">
        <v>503.85</v>
      </c>
      <c r="P987">
        <v>3.2298076923076926</v>
      </c>
      <c r="Q987">
        <v>156</v>
      </c>
    </row>
    <row r="988" spans="1:17" x14ac:dyDescent="0.35">
      <c r="A988" s="46">
        <v>46117</v>
      </c>
      <c r="B988" t="s">
        <v>136</v>
      </c>
      <c r="C988" t="s">
        <v>335</v>
      </c>
      <c r="D988" t="s">
        <v>363</v>
      </c>
      <c r="E988" t="s">
        <v>364</v>
      </c>
      <c r="F988" t="s">
        <v>322</v>
      </c>
      <c r="G988" t="s">
        <v>322</v>
      </c>
      <c r="H988" t="s">
        <v>322</v>
      </c>
      <c r="I988" t="s">
        <v>323</v>
      </c>
      <c r="J988" t="s">
        <v>324</v>
      </c>
      <c r="K988" t="s">
        <v>345</v>
      </c>
      <c r="L988" t="s">
        <v>346</v>
      </c>
      <c r="M988">
        <v>2.5555555555555557E-2</v>
      </c>
      <c r="N988">
        <v>92</v>
      </c>
      <c r="O988">
        <v>506.1</v>
      </c>
      <c r="P988">
        <v>5.5010869565217391</v>
      </c>
      <c r="Q988">
        <v>92</v>
      </c>
    </row>
    <row r="989" spans="1:17" x14ac:dyDescent="0.35">
      <c r="A989" s="46">
        <v>46117</v>
      </c>
      <c r="B989" t="s">
        <v>136</v>
      </c>
      <c r="C989" t="s">
        <v>370</v>
      </c>
      <c r="D989" t="s">
        <v>363</v>
      </c>
      <c r="E989" t="s">
        <v>364</v>
      </c>
      <c r="F989" t="s">
        <v>82</v>
      </c>
      <c r="G989" t="s">
        <v>368</v>
      </c>
      <c r="H989" t="s">
        <v>327</v>
      </c>
      <c r="I989" t="s">
        <v>323</v>
      </c>
      <c r="J989" t="s">
        <v>324</v>
      </c>
      <c r="K989" t="s">
        <v>345</v>
      </c>
      <c r="L989" t="s">
        <v>346</v>
      </c>
      <c r="M989">
        <v>6.5277777777777782E-2</v>
      </c>
      <c r="N989">
        <v>235</v>
      </c>
      <c r="O989">
        <v>921.19999999999993</v>
      </c>
      <c r="P989">
        <v>3.92</v>
      </c>
      <c r="Q989">
        <v>235</v>
      </c>
    </row>
    <row r="990" spans="1:17" x14ac:dyDescent="0.35">
      <c r="A990" s="46">
        <v>46117</v>
      </c>
      <c r="B990" t="s">
        <v>136</v>
      </c>
      <c r="C990" t="s">
        <v>367</v>
      </c>
      <c r="D990" t="s">
        <v>363</v>
      </c>
      <c r="E990" t="s">
        <v>364</v>
      </c>
      <c r="F990" t="s">
        <v>82</v>
      </c>
      <c r="G990" t="s">
        <v>368</v>
      </c>
      <c r="H990" t="s">
        <v>327</v>
      </c>
      <c r="I990" t="s">
        <v>323</v>
      </c>
      <c r="J990" t="s">
        <v>324</v>
      </c>
      <c r="K990" t="s">
        <v>345</v>
      </c>
      <c r="L990" t="s">
        <v>346</v>
      </c>
      <c r="M990">
        <v>0.30888888888888888</v>
      </c>
      <c r="N990">
        <v>1112</v>
      </c>
      <c r="O990">
        <v>3794.51</v>
      </c>
      <c r="P990">
        <v>3.4123291366906479</v>
      </c>
      <c r="Q990">
        <v>1112</v>
      </c>
    </row>
    <row r="991" spans="1:17" x14ac:dyDescent="0.35">
      <c r="A991" s="46">
        <v>46117</v>
      </c>
      <c r="B991" t="s">
        <v>136</v>
      </c>
      <c r="C991" t="s">
        <v>335</v>
      </c>
      <c r="D991" t="s">
        <v>363</v>
      </c>
      <c r="E991" t="s">
        <v>364</v>
      </c>
      <c r="F991" t="s">
        <v>82</v>
      </c>
      <c r="G991" t="s">
        <v>368</v>
      </c>
      <c r="H991" t="s">
        <v>369</v>
      </c>
      <c r="I991" t="s">
        <v>323</v>
      </c>
      <c r="J991" t="s">
        <v>324</v>
      </c>
      <c r="K991" t="s">
        <v>345</v>
      </c>
      <c r="L991" t="s">
        <v>346</v>
      </c>
      <c r="M991">
        <v>0.99277777777777776</v>
      </c>
      <c r="N991">
        <v>3574</v>
      </c>
      <c r="O991">
        <v>15944.119999999999</v>
      </c>
      <c r="P991">
        <v>4.4611415780637937</v>
      </c>
      <c r="Q991">
        <v>3574</v>
      </c>
    </row>
    <row r="992" spans="1:17" x14ac:dyDescent="0.35">
      <c r="A992" s="46">
        <v>46117</v>
      </c>
      <c r="B992" t="s">
        <v>136</v>
      </c>
      <c r="C992" t="s">
        <v>372</v>
      </c>
      <c r="D992" t="s">
        <v>363</v>
      </c>
      <c r="E992" t="s">
        <v>364</v>
      </c>
      <c r="F992" t="s">
        <v>82</v>
      </c>
      <c r="G992" t="s">
        <v>368</v>
      </c>
      <c r="H992" t="s">
        <v>369</v>
      </c>
      <c r="I992" t="s">
        <v>323</v>
      </c>
      <c r="J992" t="s">
        <v>324</v>
      </c>
      <c r="K992" t="s">
        <v>345</v>
      </c>
      <c r="L992" t="s">
        <v>346</v>
      </c>
      <c r="M992">
        <v>1.3763888888888889</v>
      </c>
      <c r="N992">
        <v>4955</v>
      </c>
      <c r="O992">
        <v>20075.95</v>
      </c>
      <c r="P992">
        <v>4.0516548940464183</v>
      </c>
      <c r="Q992">
        <v>4955</v>
      </c>
    </row>
    <row r="993" spans="1:17" x14ac:dyDescent="0.35">
      <c r="A993" s="46">
        <v>46117</v>
      </c>
      <c r="B993" t="s">
        <v>136</v>
      </c>
      <c r="C993" t="s">
        <v>367</v>
      </c>
      <c r="D993" t="s">
        <v>363</v>
      </c>
      <c r="E993" t="s">
        <v>364</v>
      </c>
      <c r="F993" t="s">
        <v>82</v>
      </c>
      <c r="G993" t="s">
        <v>368</v>
      </c>
      <c r="H993" t="s">
        <v>369</v>
      </c>
      <c r="I993" t="s">
        <v>323</v>
      </c>
      <c r="J993" t="s">
        <v>324</v>
      </c>
      <c r="K993" t="s">
        <v>345</v>
      </c>
      <c r="L993" t="s">
        <v>346</v>
      </c>
      <c r="M993">
        <v>2.6672222222222222</v>
      </c>
      <c r="N993">
        <v>9602</v>
      </c>
      <c r="O993">
        <v>34079.56</v>
      </c>
      <c r="P993">
        <v>3.5492147469277233</v>
      </c>
      <c r="Q993">
        <v>9602</v>
      </c>
    </row>
    <row r="994" spans="1:17" x14ac:dyDescent="0.35">
      <c r="A994" s="46">
        <v>46117</v>
      </c>
      <c r="B994" t="s">
        <v>136</v>
      </c>
      <c r="C994" t="s">
        <v>319</v>
      </c>
      <c r="D994" t="s">
        <v>363</v>
      </c>
      <c r="E994" t="s">
        <v>364</v>
      </c>
      <c r="F994" t="s">
        <v>82</v>
      </c>
      <c r="G994" t="s">
        <v>365</v>
      </c>
      <c r="H994" t="s">
        <v>371</v>
      </c>
      <c r="I994" t="s">
        <v>323</v>
      </c>
      <c r="J994" t="s">
        <v>324</v>
      </c>
      <c r="K994" t="s">
        <v>142</v>
      </c>
      <c r="L994" t="s">
        <v>143</v>
      </c>
      <c r="M994">
        <v>5.0000000000000001E-3</v>
      </c>
      <c r="N994">
        <v>18</v>
      </c>
      <c r="O994">
        <v>28.62</v>
      </c>
      <c r="P994">
        <v>1.59</v>
      </c>
      <c r="Q994">
        <v>18</v>
      </c>
    </row>
    <row r="995" spans="1:17" x14ac:dyDescent="0.35">
      <c r="A995" s="46">
        <v>46117</v>
      </c>
      <c r="B995" t="s">
        <v>136</v>
      </c>
      <c r="C995" t="s">
        <v>319</v>
      </c>
      <c r="D995" t="s">
        <v>363</v>
      </c>
      <c r="E995" t="s">
        <v>364</v>
      </c>
      <c r="F995" t="s">
        <v>82</v>
      </c>
      <c r="G995" t="s">
        <v>368</v>
      </c>
      <c r="H995" t="s">
        <v>371</v>
      </c>
      <c r="I995" t="s">
        <v>323</v>
      </c>
      <c r="J995" t="s">
        <v>324</v>
      </c>
      <c r="K995" t="s">
        <v>142</v>
      </c>
      <c r="L995" t="s">
        <v>143</v>
      </c>
      <c r="M995">
        <v>4.4444444444444444E-3</v>
      </c>
      <c r="N995">
        <v>16</v>
      </c>
      <c r="O995">
        <v>36.479999999999997</v>
      </c>
      <c r="P995">
        <v>2.2799999999999998</v>
      </c>
      <c r="Q995">
        <v>16</v>
      </c>
    </row>
    <row r="996" spans="1:17" x14ac:dyDescent="0.35">
      <c r="A996" s="46">
        <v>46117</v>
      </c>
      <c r="B996" t="s">
        <v>136</v>
      </c>
      <c r="C996" t="s">
        <v>335</v>
      </c>
      <c r="D996" t="s">
        <v>363</v>
      </c>
      <c r="E996" t="s">
        <v>364</v>
      </c>
      <c r="F996" t="s">
        <v>82</v>
      </c>
      <c r="G996" t="s">
        <v>368</v>
      </c>
      <c r="H996" t="s">
        <v>369</v>
      </c>
      <c r="I996" t="s">
        <v>323</v>
      </c>
      <c r="J996" t="s">
        <v>324</v>
      </c>
      <c r="K996" t="s">
        <v>142</v>
      </c>
      <c r="L996" t="s">
        <v>143</v>
      </c>
      <c r="M996">
        <v>5.2777777777777779E-3</v>
      </c>
      <c r="N996">
        <v>19</v>
      </c>
      <c r="O996">
        <v>39.33</v>
      </c>
      <c r="P996">
        <v>2.0699999999999998</v>
      </c>
      <c r="Q996">
        <v>19</v>
      </c>
    </row>
    <row r="997" spans="1:17" x14ac:dyDescent="0.35">
      <c r="A997" s="46">
        <v>46117</v>
      </c>
      <c r="B997" t="s">
        <v>136</v>
      </c>
      <c r="C997" t="s">
        <v>372</v>
      </c>
      <c r="D997" t="s">
        <v>363</v>
      </c>
      <c r="E997" t="s">
        <v>364</v>
      </c>
      <c r="F997" t="s">
        <v>82</v>
      </c>
      <c r="G997" t="s">
        <v>368</v>
      </c>
      <c r="H997" t="s">
        <v>369</v>
      </c>
      <c r="I997" t="s">
        <v>323</v>
      </c>
      <c r="J997" t="s">
        <v>324</v>
      </c>
      <c r="K997" t="s">
        <v>142</v>
      </c>
      <c r="L997" t="s">
        <v>143</v>
      </c>
      <c r="M997">
        <v>1.2222222222222223E-2</v>
      </c>
      <c r="N997">
        <v>44</v>
      </c>
      <c r="O997">
        <v>142.56</v>
      </c>
      <c r="P997">
        <v>3.24</v>
      </c>
      <c r="Q997">
        <v>44</v>
      </c>
    </row>
    <row r="998" spans="1:17" x14ac:dyDescent="0.35">
      <c r="A998" s="46">
        <v>46117</v>
      </c>
      <c r="B998" t="s">
        <v>136</v>
      </c>
      <c r="C998" t="s">
        <v>367</v>
      </c>
      <c r="D998" t="s">
        <v>363</v>
      </c>
      <c r="E998" t="s">
        <v>364</v>
      </c>
      <c r="F998" t="s">
        <v>82</v>
      </c>
      <c r="G998" t="s">
        <v>368</v>
      </c>
      <c r="H998" t="s">
        <v>371</v>
      </c>
      <c r="I998" t="s">
        <v>323</v>
      </c>
      <c r="J998" t="s">
        <v>324</v>
      </c>
      <c r="K998" t="s">
        <v>142</v>
      </c>
      <c r="L998" t="s">
        <v>143</v>
      </c>
      <c r="M998">
        <v>3.2222222222222222E-2</v>
      </c>
      <c r="N998">
        <v>116</v>
      </c>
      <c r="O998">
        <v>437.32</v>
      </c>
      <c r="P998">
        <v>3.77</v>
      </c>
      <c r="Q998">
        <v>116</v>
      </c>
    </row>
    <row r="999" spans="1:17" x14ac:dyDescent="0.35">
      <c r="A999" s="46">
        <v>46117</v>
      </c>
      <c r="B999" t="s">
        <v>136</v>
      </c>
      <c r="C999" t="s">
        <v>319</v>
      </c>
      <c r="D999" t="s">
        <v>363</v>
      </c>
      <c r="E999" t="s">
        <v>364</v>
      </c>
      <c r="F999" t="s">
        <v>322</v>
      </c>
      <c r="G999" t="s">
        <v>322</v>
      </c>
      <c r="H999" t="s">
        <v>322</v>
      </c>
      <c r="I999" t="s">
        <v>323</v>
      </c>
      <c r="J999" t="s">
        <v>324</v>
      </c>
      <c r="K999" t="s">
        <v>142</v>
      </c>
      <c r="L999" t="s">
        <v>143</v>
      </c>
      <c r="M999">
        <v>0.12333333333333334</v>
      </c>
      <c r="N999">
        <v>444</v>
      </c>
      <c r="O999">
        <v>1080.5999999999999</v>
      </c>
      <c r="P999">
        <v>2.4337837837837837</v>
      </c>
      <c r="Q999">
        <v>444</v>
      </c>
    </row>
    <row r="1000" spans="1:17" x14ac:dyDescent="0.35">
      <c r="A1000" s="46">
        <v>46117</v>
      </c>
      <c r="B1000" t="s">
        <v>136</v>
      </c>
      <c r="C1000" t="s">
        <v>367</v>
      </c>
      <c r="D1000" t="s">
        <v>363</v>
      </c>
      <c r="E1000" t="s">
        <v>364</v>
      </c>
      <c r="F1000" t="s">
        <v>82</v>
      </c>
      <c r="G1000" t="s">
        <v>368</v>
      </c>
      <c r="H1000" t="s">
        <v>334</v>
      </c>
      <c r="I1000" t="s">
        <v>323</v>
      </c>
      <c r="J1000" t="s">
        <v>324</v>
      </c>
      <c r="K1000" t="s">
        <v>142</v>
      </c>
      <c r="L1000" t="s">
        <v>143</v>
      </c>
      <c r="M1000">
        <v>0.10833333333333334</v>
      </c>
      <c r="N1000">
        <v>390</v>
      </c>
      <c r="O1000">
        <v>2070.8999999999996</v>
      </c>
      <c r="P1000">
        <v>5.3099999999999987</v>
      </c>
      <c r="Q1000">
        <v>390</v>
      </c>
    </row>
    <row r="1001" spans="1:17" x14ac:dyDescent="0.35">
      <c r="A1001" s="46">
        <v>46117</v>
      </c>
      <c r="B1001" t="s">
        <v>136</v>
      </c>
      <c r="C1001" t="s">
        <v>319</v>
      </c>
      <c r="D1001" t="s">
        <v>363</v>
      </c>
      <c r="E1001" t="s">
        <v>364</v>
      </c>
      <c r="F1001" t="s">
        <v>82</v>
      </c>
      <c r="G1001" t="s">
        <v>365</v>
      </c>
      <c r="H1001" t="s">
        <v>334</v>
      </c>
      <c r="I1001" t="s">
        <v>323</v>
      </c>
      <c r="J1001" t="s">
        <v>324</v>
      </c>
      <c r="K1001" t="s">
        <v>142</v>
      </c>
      <c r="L1001" t="s">
        <v>143</v>
      </c>
      <c r="M1001">
        <v>0.13722222222222222</v>
      </c>
      <c r="N1001">
        <v>494</v>
      </c>
      <c r="O1001">
        <v>2267.46</v>
      </c>
      <c r="P1001">
        <v>4.59</v>
      </c>
      <c r="Q1001">
        <v>494</v>
      </c>
    </row>
    <row r="1002" spans="1:17" x14ac:dyDescent="0.35">
      <c r="A1002" s="46">
        <v>46117</v>
      </c>
      <c r="B1002" t="s">
        <v>136</v>
      </c>
      <c r="C1002" t="s">
        <v>367</v>
      </c>
      <c r="D1002" t="s">
        <v>363</v>
      </c>
      <c r="E1002" t="s">
        <v>364</v>
      </c>
      <c r="F1002" t="s">
        <v>82</v>
      </c>
      <c r="G1002" t="s">
        <v>368</v>
      </c>
      <c r="H1002" t="s">
        <v>369</v>
      </c>
      <c r="I1002" t="s">
        <v>323</v>
      </c>
      <c r="J1002" t="s">
        <v>324</v>
      </c>
      <c r="K1002" t="s">
        <v>142</v>
      </c>
      <c r="L1002" t="s">
        <v>143</v>
      </c>
      <c r="M1002">
        <v>0.27250000000000002</v>
      </c>
      <c r="N1002">
        <v>981</v>
      </c>
      <c r="O1002">
        <v>3695.06</v>
      </c>
      <c r="P1002">
        <v>3.7666258919469926</v>
      </c>
      <c r="Q1002">
        <v>981</v>
      </c>
    </row>
    <row r="1003" spans="1:17" x14ac:dyDescent="0.35">
      <c r="A1003" s="46">
        <v>46117</v>
      </c>
      <c r="B1003" t="s">
        <v>136</v>
      </c>
      <c r="C1003" t="s">
        <v>372</v>
      </c>
      <c r="D1003" t="s">
        <v>363</v>
      </c>
      <c r="E1003" t="s">
        <v>364</v>
      </c>
      <c r="F1003" t="s">
        <v>322</v>
      </c>
      <c r="G1003" t="s">
        <v>322</v>
      </c>
      <c r="H1003" t="s">
        <v>322</v>
      </c>
      <c r="I1003" t="s">
        <v>323</v>
      </c>
      <c r="J1003" t="s">
        <v>324</v>
      </c>
      <c r="K1003" t="s">
        <v>142</v>
      </c>
      <c r="L1003" t="s">
        <v>143</v>
      </c>
      <c r="M1003">
        <v>0.16944444444444445</v>
      </c>
      <c r="N1003">
        <v>610</v>
      </c>
      <c r="O1003">
        <v>4074.84</v>
      </c>
      <c r="P1003">
        <v>6.86</v>
      </c>
      <c r="Q1003">
        <v>594</v>
      </c>
    </row>
    <row r="1004" spans="1:17" x14ac:dyDescent="0.35">
      <c r="A1004" s="46">
        <v>46117</v>
      </c>
      <c r="B1004" t="s">
        <v>136</v>
      </c>
      <c r="C1004" t="s">
        <v>372</v>
      </c>
      <c r="D1004" t="s">
        <v>363</v>
      </c>
      <c r="E1004" t="s">
        <v>364</v>
      </c>
      <c r="F1004" t="s">
        <v>82</v>
      </c>
      <c r="G1004" t="s">
        <v>365</v>
      </c>
      <c r="H1004" t="s">
        <v>323</v>
      </c>
      <c r="I1004" t="s">
        <v>323</v>
      </c>
      <c r="J1004" t="s">
        <v>324</v>
      </c>
      <c r="K1004" t="s">
        <v>142</v>
      </c>
      <c r="L1004" t="s">
        <v>143</v>
      </c>
      <c r="M1004">
        <v>0.66222222222222227</v>
      </c>
      <c r="N1004">
        <v>2384</v>
      </c>
      <c r="O1004">
        <v>16058.4</v>
      </c>
      <c r="P1004">
        <v>6.7359060402684561</v>
      </c>
      <c r="Q1004">
        <v>2384</v>
      </c>
    </row>
    <row r="1005" spans="1:17" x14ac:dyDescent="0.35">
      <c r="A1005" s="46">
        <v>46117</v>
      </c>
      <c r="B1005" t="s">
        <v>136</v>
      </c>
      <c r="C1005" t="s">
        <v>367</v>
      </c>
      <c r="D1005" t="s">
        <v>363</v>
      </c>
      <c r="E1005" t="s">
        <v>364</v>
      </c>
      <c r="F1005" t="s">
        <v>82</v>
      </c>
      <c r="G1005" t="s">
        <v>368</v>
      </c>
      <c r="H1005" t="s">
        <v>327</v>
      </c>
      <c r="I1005" t="s">
        <v>323</v>
      </c>
      <c r="J1005" t="s">
        <v>324</v>
      </c>
      <c r="K1005" t="s">
        <v>373</v>
      </c>
      <c r="L1005" t="s">
        <v>374</v>
      </c>
      <c r="M1005">
        <v>9.3611111111111117E-2</v>
      </c>
      <c r="N1005">
        <v>337</v>
      </c>
      <c r="O1005">
        <v>0</v>
      </c>
    </row>
    <row r="1006" spans="1:17" x14ac:dyDescent="0.35">
      <c r="A1006" s="46">
        <v>46117</v>
      </c>
      <c r="B1006" t="s">
        <v>136</v>
      </c>
      <c r="C1006" t="s">
        <v>367</v>
      </c>
      <c r="D1006" t="s">
        <v>363</v>
      </c>
      <c r="E1006" t="s">
        <v>364</v>
      </c>
      <c r="F1006" t="s">
        <v>322</v>
      </c>
      <c r="G1006" t="s">
        <v>322</v>
      </c>
      <c r="H1006" t="s">
        <v>322</v>
      </c>
      <c r="I1006" t="s">
        <v>323</v>
      </c>
      <c r="J1006" t="s">
        <v>324</v>
      </c>
      <c r="K1006" t="s">
        <v>200</v>
      </c>
      <c r="L1006" t="s">
        <v>201</v>
      </c>
      <c r="M1006">
        <v>1.638888888888889E-2</v>
      </c>
      <c r="N1006">
        <v>59</v>
      </c>
      <c r="O1006">
        <v>0</v>
      </c>
    </row>
    <row r="1007" spans="1:17" x14ac:dyDescent="0.35">
      <c r="A1007" s="46">
        <v>46117</v>
      </c>
      <c r="B1007" t="s">
        <v>136</v>
      </c>
      <c r="C1007" t="s">
        <v>319</v>
      </c>
      <c r="D1007" t="s">
        <v>363</v>
      </c>
      <c r="E1007" t="s">
        <v>364</v>
      </c>
      <c r="F1007" t="s">
        <v>82</v>
      </c>
      <c r="G1007" t="s">
        <v>368</v>
      </c>
      <c r="H1007" t="s">
        <v>371</v>
      </c>
      <c r="I1007" t="s">
        <v>323</v>
      </c>
      <c r="J1007" t="s">
        <v>324</v>
      </c>
      <c r="K1007" t="s">
        <v>200</v>
      </c>
      <c r="L1007" t="s">
        <v>201</v>
      </c>
      <c r="M1007">
        <v>0.44138888888888889</v>
      </c>
      <c r="N1007">
        <v>1589</v>
      </c>
      <c r="O1007">
        <v>0</v>
      </c>
    </row>
    <row r="1008" spans="1:17" x14ac:dyDescent="0.35">
      <c r="A1008" s="46">
        <v>46117</v>
      </c>
      <c r="B1008" t="s">
        <v>136</v>
      </c>
      <c r="C1008" t="s">
        <v>370</v>
      </c>
      <c r="D1008" t="s">
        <v>363</v>
      </c>
      <c r="E1008" t="s">
        <v>364</v>
      </c>
      <c r="F1008" t="s">
        <v>82</v>
      </c>
      <c r="G1008" t="s">
        <v>368</v>
      </c>
      <c r="H1008" t="s">
        <v>327</v>
      </c>
      <c r="I1008" t="s">
        <v>323</v>
      </c>
      <c r="J1008" t="s">
        <v>324</v>
      </c>
      <c r="K1008" t="s">
        <v>200</v>
      </c>
      <c r="L1008" t="s">
        <v>201</v>
      </c>
      <c r="M1008">
        <v>2.2499999999999999E-2</v>
      </c>
      <c r="N1008">
        <v>81</v>
      </c>
      <c r="O1008">
        <v>0</v>
      </c>
    </row>
    <row r="1009" spans="1:17" x14ac:dyDescent="0.35">
      <c r="A1009" s="46">
        <v>46117</v>
      </c>
      <c r="B1009" t="s">
        <v>136</v>
      </c>
      <c r="C1009" t="s">
        <v>367</v>
      </c>
      <c r="D1009" t="s">
        <v>363</v>
      </c>
      <c r="E1009" t="s">
        <v>364</v>
      </c>
      <c r="F1009" t="s">
        <v>82</v>
      </c>
      <c r="G1009" t="s">
        <v>368</v>
      </c>
      <c r="H1009" t="s">
        <v>327</v>
      </c>
      <c r="I1009" t="s">
        <v>323</v>
      </c>
      <c r="J1009" t="s">
        <v>324</v>
      </c>
      <c r="K1009" t="s">
        <v>200</v>
      </c>
      <c r="L1009" t="s">
        <v>201</v>
      </c>
      <c r="M1009">
        <v>6.6666666666666671E-3</v>
      </c>
      <c r="N1009">
        <v>24</v>
      </c>
      <c r="O1009">
        <v>0</v>
      </c>
    </row>
    <row r="1010" spans="1:17" x14ac:dyDescent="0.35">
      <c r="A1010" s="46">
        <v>46117</v>
      </c>
      <c r="B1010" t="s">
        <v>136</v>
      </c>
      <c r="C1010" t="s">
        <v>319</v>
      </c>
      <c r="D1010" t="s">
        <v>363</v>
      </c>
      <c r="E1010" t="s">
        <v>364</v>
      </c>
      <c r="F1010" t="s">
        <v>82</v>
      </c>
      <c r="G1010" t="s">
        <v>368</v>
      </c>
      <c r="H1010" t="s">
        <v>327</v>
      </c>
      <c r="I1010" t="s">
        <v>323</v>
      </c>
      <c r="J1010" t="s">
        <v>324</v>
      </c>
      <c r="K1010" t="s">
        <v>200</v>
      </c>
      <c r="L1010" t="s">
        <v>201</v>
      </c>
      <c r="M1010">
        <v>8.638888888888889E-2</v>
      </c>
      <c r="N1010">
        <v>311</v>
      </c>
      <c r="O1010">
        <v>0</v>
      </c>
    </row>
    <row r="1011" spans="1:17" x14ac:dyDescent="0.35">
      <c r="A1011" s="46">
        <v>46117</v>
      </c>
      <c r="B1011" t="s">
        <v>136</v>
      </c>
      <c r="C1011" t="s">
        <v>367</v>
      </c>
      <c r="D1011" t="s">
        <v>363</v>
      </c>
      <c r="E1011" t="s">
        <v>364</v>
      </c>
      <c r="F1011" t="s">
        <v>82</v>
      </c>
      <c r="G1011" t="s">
        <v>368</v>
      </c>
      <c r="H1011" t="s">
        <v>369</v>
      </c>
      <c r="I1011" t="s">
        <v>323</v>
      </c>
      <c r="J1011" t="s">
        <v>324</v>
      </c>
      <c r="K1011" t="s">
        <v>200</v>
      </c>
      <c r="L1011" t="s">
        <v>201</v>
      </c>
      <c r="M1011">
        <v>0.17444444444444446</v>
      </c>
      <c r="N1011">
        <v>628</v>
      </c>
      <c r="O1011">
        <v>0</v>
      </c>
    </row>
    <row r="1012" spans="1:17" x14ac:dyDescent="0.35">
      <c r="A1012" s="46">
        <v>46117</v>
      </c>
      <c r="B1012" t="s">
        <v>136</v>
      </c>
      <c r="C1012" t="s">
        <v>367</v>
      </c>
      <c r="D1012" t="s">
        <v>363</v>
      </c>
      <c r="E1012" t="s">
        <v>364</v>
      </c>
      <c r="F1012" t="s">
        <v>322</v>
      </c>
      <c r="G1012" t="s">
        <v>322</v>
      </c>
      <c r="H1012" t="s">
        <v>322</v>
      </c>
      <c r="I1012" t="s">
        <v>323</v>
      </c>
      <c r="J1012" t="s">
        <v>324</v>
      </c>
      <c r="K1012" t="s">
        <v>348</v>
      </c>
      <c r="L1012" t="s">
        <v>349</v>
      </c>
      <c r="M1012">
        <v>6.3055555555555559E-2</v>
      </c>
      <c r="N1012">
        <v>227</v>
      </c>
      <c r="O1012">
        <v>0</v>
      </c>
    </row>
    <row r="1013" spans="1:17" x14ac:dyDescent="0.35">
      <c r="A1013" s="46">
        <v>46117</v>
      </c>
      <c r="B1013" t="s">
        <v>136</v>
      </c>
      <c r="C1013" t="s">
        <v>367</v>
      </c>
      <c r="D1013" t="s">
        <v>363</v>
      </c>
      <c r="E1013" t="s">
        <v>364</v>
      </c>
      <c r="F1013" t="s">
        <v>82</v>
      </c>
      <c r="G1013" t="s">
        <v>368</v>
      </c>
      <c r="H1013" t="s">
        <v>371</v>
      </c>
      <c r="I1013" t="s">
        <v>323</v>
      </c>
      <c r="J1013" t="s">
        <v>324</v>
      </c>
      <c r="K1013" t="s">
        <v>348</v>
      </c>
      <c r="L1013" t="s">
        <v>349</v>
      </c>
      <c r="M1013">
        <v>2.9444444444444443E-2</v>
      </c>
      <c r="N1013">
        <v>106</v>
      </c>
      <c r="O1013">
        <v>0</v>
      </c>
    </row>
    <row r="1014" spans="1:17" x14ac:dyDescent="0.35">
      <c r="A1014" s="46">
        <v>46117</v>
      </c>
      <c r="B1014" t="s">
        <v>136</v>
      </c>
      <c r="C1014" t="s">
        <v>319</v>
      </c>
      <c r="D1014" t="s">
        <v>363</v>
      </c>
      <c r="E1014" t="s">
        <v>364</v>
      </c>
      <c r="F1014" t="s">
        <v>82</v>
      </c>
      <c r="G1014" t="s">
        <v>368</v>
      </c>
      <c r="H1014" t="s">
        <v>371</v>
      </c>
      <c r="I1014" t="s">
        <v>323</v>
      </c>
      <c r="J1014" t="s">
        <v>324</v>
      </c>
      <c r="K1014" t="s">
        <v>348</v>
      </c>
      <c r="L1014" t="s">
        <v>349</v>
      </c>
      <c r="M1014">
        <v>1.0102777777777778</v>
      </c>
      <c r="N1014">
        <v>3637</v>
      </c>
      <c r="O1014">
        <v>0</v>
      </c>
    </row>
    <row r="1015" spans="1:17" x14ac:dyDescent="0.35">
      <c r="A1015" s="46">
        <v>46117</v>
      </c>
      <c r="B1015" t="s">
        <v>136</v>
      </c>
      <c r="C1015" t="s">
        <v>367</v>
      </c>
      <c r="D1015" t="s">
        <v>363</v>
      </c>
      <c r="E1015" t="s">
        <v>364</v>
      </c>
      <c r="F1015" t="s">
        <v>82</v>
      </c>
      <c r="G1015" t="s">
        <v>368</v>
      </c>
      <c r="H1015" t="s">
        <v>369</v>
      </c>
      <c r="I1015" t="s">
        <v>323</v>
      </c>
      <c r="J1015" t="s">
        <v>324</v>
      </c>
      <c r="K1015" t="s">
        <v>348</v>
      </c>
      <c r="L1015" t="s">
        <v>349</v>
      </c>
      <c r="M1015">
        <v>0.21194444444444444</v>
      </c>
      <c r="N1015">
        <v>763</v>
      </c>
      <c r="O1015">
        <v>0</v>
      </c>
    </row>
    <row r="1016" spans="1:17" x14ac:dyDescent="0.35">
      <c r="A1016" s="46">
        <v>46117</v>
      </c>
      <c r="B1016" t="s">
        <v>136</v>
      </c>
      <c r="C1016" t="s">
        <v>319</v>
      </c>
      <c r="D1016" t="s">
        <v>363</v>
      </c>
      <c r="E1016" t="s">
        <v>364</v>
      </c>
      <c r="F1016" t="s">
        <v>82</v>
      </c>
      <c r="G1016" t="s">
        <v>365</v>
      </c>
      <c r="H1016" t="s">
        <v>371</v>
      </c>
      <c r="I1016" t="s">
        <v>323</v>
      </c>
      <c r="J1016" t="s">
        <v>324</v>
      </c>
      <c r="K1016" t="s">
        <v>350</v>
      </c>
      <c r="L1016" t="s">
        <v>351</v>
      </c>
      <c r="M1016">
        <v>3.7499999999999999E-2</v>
      </c>
      <c r="N1016">
        <v>135</v>
      </c>
      <c r="O1016">
        <v>133.65</v>
      </c>
      <c r="P1016">
        <v>0.99</v>
      </c>
      <c r="Q1016">
        <v>135</v>
      </c>
    </row>
    <row r="1017" spans="1:17" x14ac:dyDescent="0.35">
      <c r="A1017" s="46">
        <v>46117</v>
      </c>
      <c r="B1017" t="s">
        <v>136</v>
      </c>
      <c r="C1017" t="s">
        <v>372</v>
      </c>
      <c r="D1017" t="s">
        <v>363</v>
      </c>
      <c r="E1017" t="s">
        <v>364</v>
      </c>
      <c r="F1017" t="s">
        <v>322</v>
      </c>
      <c r="G1017" t="s">
        <v>322</v>
      </c>
      <c r="H1017" t="s">
        <v>322</v>
      </c>
      <c r="I1017" t="s">
        <v>323</v>
      </c>
      <c r="J1017" t="s">
        <v>324</v>
      </c>
      <c r="K1017" t="s">
        <v>350</v>
      </c>
      <c r="L1017" t="s">
        <v>351</v>
      </c>
      <c r="M1017">
        <v>5.8333333333333336E-3</v>
      </c>
      <c r="N1017">
        <v>21</v>
      </c>
      <c r="O1017">
        <v>151.85</v>
      </c>
      <c r="P1017">
        <v>7.230952380952381</v>
      </c>
      <c r="Q1017">
        <v>21</v>
      </c>
    </row>
    <row r="1018" spans="1:17" x14ac:dyDescent="0.35">
      <c r="A1018" s="46">
        <v>46117</v>
      </c>
      <c r="B1018" t="s">
        <v>136</v>
      </c>
      <c r="C1018" t="s">
        <v>372</v>
      </c>
      <c r="D1018" t="s">
        <v>363</v>
      </c>
      <c r="E1018" t="s">
        <v>364</v>
      </c>
      <c r="F1018" t="s">
        <v>82</v>
      </c>
      <c r="G1018" t="s">
        <v>368</v>
      </c>
      <c r="H1018" t="s">
        <v>334</v>
      </c>
      <c r="I1018" t="s">
        <v>323</v>
      </c>
      <c r="J1018" t="s">
        <v>324</v>
      </c>
      <c r="K1018" t="s">
        <v>350</v>
      </c>
      <c r="L1018" t="s">
        <v>351</v>
      </c>
      <c r="M1018">
        <v>7.2222222222222219E-3</v>
      </c>
      <c r="N1018">
        <v>26</v>
      </c>
      <c r="O1018">
        <v>183.29999999999998</v>
      </c>
      <c r="P1018">
        <v>7.0499999999999989</v>
      </c>
      <c r="Q1018">
        <v>26</v>
      </c>
    </row>
    <row r="1019" spans="1:17" x14ac:dyDescent="0.35">
      <c r="A1019" s="46">
        <v>46117</v>
      </c>
      <c r="B1019" t="s">
        <v>136</v>
      </c>
      <c r="C1019" t="s">
        <v>370</v>
      </c>
      <c r="D1019" t="s">
        <v>363</v>
      </c>
      <c r="E1019" t="s">
        <v>364</v>
      </c>
      <c r="F1019" t="s">
        <v>82</v>
      </c>
      <c r="G1019" t="s">
        <v>368</v>
      </c>
      <c r="H1019" t="s">
        <v>369</v>
      </c>
      <c r="I1019" t="s">
        <v>323</v>
      </c>
      <c r="J1019" t="s">
        <v>324</v>
      </c>
      <c r="K1019" t="s">
        <v>350</v>
      </c>
      <c r="L1019" t="s">
        <v>351</v>
      </c>
      <c r="M1019">
        <v>2.2499999999999999E-2</v>
      </c>
      <c r="N1019">
        <v>81</v>
      </c>
      <c r="O1019">
        <v>251.91</v>
      </c>
      <c r="P1019">
        <v>3.11</v>
      </c>
      <c r="Q1019">
        <v>81</v>
      </c>
    </row>
    <row r="1020" spans="1:17" x14ac:dyDescent="0.35">
      <c r="A1020" s="46">
        <v>46117</v>
      </c>
      <c r="B1020" t="s">
        <v>136</v>
      </c>
      <c r="C1020" t="s">
        <v>370</v>
      </c>
      <c r="D1020" t="s">
        <v>363</v>
      </c>
      <c r="E1020" t="s">
        <v>364</v>
      </c>
      <c r="F1020" t="s">
        <v>82</v>
      </c>
      <c r="G1020" t="s">
        <v>368</v>
      </c>
      <c r="H1020" t="s">
        <v>327</v>
      </c>
      <c r="I1020" t="s">
        <v>323</v>
      </c>
      <c r="J1020" t="s">
        <v>324</v>
      </c>
      <c r="K1020" t="s">
        <v>350</v>
      </c>
      <c r="L1020" t="s">
        <v>351</v>
      </c>
      <c r="M1020">
        <v>4.5277777777777778E-2</v>
      </c>
      <c r="N1020">
        <v>163</v>
      </c>
      <c r="O1020">
        <v>324.37</v>
      </c>
      <c r="P1020">
        <v>1.99</v>
      </c>
      <c r="Q1020">
        <v>163</v>
      </c>
    </row>
    <row r="1021" spans="1:17" x14ac:dyDescent="0.35">
      <c r="A1021" s="46">
        <v>46117</v>
      </c>
      <c r="B1021" t="s">
        <v>136</v>
      </c>
      <c r="C1021" t="s">
        <v>367</v>
      </c>
      <c r="D1021" t="s">
        <v>363</v>
      </c>
      <c r="E1021" t="s">
        <v>364</v>
      </c>
      <c r="F1021" t="s">
        <v>82</v>
      </c>
      <c r="G1021" t="s">
        <v>368</v>
      </c>
      <c r="H1021" t="s">
        <v>334</v>
      </c>
      <c r="I1021" t="s">
        <v>323</v>
      </c>
      <c r="J1021" t="s">
        <v>324</v>
      </c>
      <c r="K1021" t="s">
        <v>350</v>
      </c>
      <c r="L1021" t="s">
        <v>351</v>
      </c>
      <c r="M1021">
        <v>6.8611111111111109E-2</v>
      </c>
      <c r="N1021">
        <v>247</v>
      </c>
      <c r="O1021">
        <v>780.52</v>
      </c>
      <c r="P1021">
        <v>3.16</v>
      </c>
      <c r="Q1021">
        <v>247</v>
      </c>
    </row>
    <row r="1022" spans="1:17" x14ac:dyDescent="0.35">
      <c r="A1022" s="46">
        <v>46117</v>
      </c>
      <c r="B1022" t="s">
        <v>136</v>
      </c>
      <c r="C1022" t="s">
        <v>367</v>
      </c>
      <c r="D1022" t="s">
        <v>363</v>
      </c>
      <c r="E1022" t="s">
        <v>364</v>
      </c>
      <c r="F1022" t="s">
        <v>82</v>
      </c>
      <c r="G1022" t="s">
        <v>368</v>
      </c>
      <c r="H1022" t="s">
        <v>327</v>
      </c>
      <c r="I1022" t="s">
        <v>323</v>
      </c>
      <c r="J1022" t="s">
        <v>324</v>
      </c>
      <c r="K1022" t="s">
        <v>350</v>
      </c>
      <c r="L1022" t="s">
        <v>351</v>
      </c>
      <c r="M1022">
        <v>0.26305555555555554</v>
      </c>
      <c r="N1022">
        <v>947</v>
      </c>
      <c r="O1022">
        <v>2281.23</v>
      </c>
      <c r="P1022">
        <v>2.4089017951425555</v>
      </c>
      <c r="Q1022">
        <v>947</v>
      </c>
    </row>
    <row r="1023" spans="1:17" x14ac:dyDescent="0.35">
      <c r="A1023" s="46">
        <v>46117</v>
      </c>
      <c r="B1023" t="s">
        <v>136</v>
      </c>
      <c r="C1023" t="s">
        <v>367</v>
      </c>
      <c r="D1023" t="s">
        <v>363</v>
      </c>
      <c r="E1023" t="s">
        <v>364</v>
      </c>
      <c r="F1023" t="s">
        <v>322</v>
      </c>
      <c r="G1023" t="s">
        <v>322</v>
      </c>
      <c r="H1023" t="s">
        <v>322</v>
      </c>
      <c r="I1023" t="s">
        <v>323</v>
      </c>
      <c r="J1023" t="s">
        <v>324</v>
      </c>
      <c r="K1023" t="s">
        <v>350</v>
      </c>
      <c r="L1023" t="s">
        <v>351</v>
      </c>
      <c r="M1023">
        <v>0.25333333333333335</v>
      </c>
      <c r="N1023">
        <v>912</v>
      </c>
      <c r="O1023">
        <v>2718.7</v>
      </c>
      <c r="P1023">
        <v>3.2637454981992793</v>
      </c>
      <c r="Q1023">
        <v>833</v>
      </c>
    </row>
    <row r="1024" spans="1:17" x14ac:dyDescent="0.35">
      <c r="A1024" s="46">
        <v>46117</v>
      </c>
      <c r="B1024" t="s">
        <v>136</v>
      </c>
      <c r="C1024" t="s">
        <v>372</v>
      </c>
      <c r="D1024" t="s">
        <v>363</v>
      </c>
      <c r="E1024" t="s">
        <v>364</v>
      </c>
      <c r="F1024" t="s">
        <v>82</v>
      </c>
      <c r="G1024" t="s">
        <v>368</v>
      </c>
      <c r="H1024" t="s">
        <v>369</v>
      </c>
      <c r="I1024" t="s">
        <v>323</v>
      </c>
      <c r="J1024" t="s">
        <v>324</v>
      </c>
      <c r="K1024" t="s">
        <v>350</v>
      </c>
      <c r="L1024" t="s">
        <v>351</v>
      </c>
      <c r="M1024">
        <v>0.44333333333333336</v>
      </c>
      <c r="N1024">
        <v>1596</v>
      </c>
      <c r="O1024">
        <v>5510.7199999999993</v>
      </c>
      <c r="P1024">
        <v>3.4528320802005008</v>
      </c>
      <c r="Q1024">
        <v>1596</v>
      </c>
    </row>
    <row r="1025" spans="1:17" x14ac:dyDescent="0.35">
      <c r="A1025" s="46">
        <v>46117</v>
      </c>
      <c r="B1025" t="s">
        <v>136</v>
      </c>
      <c r="C1025" t="s">
        <v>335</v>
      </c>
      <c r="D1025" t="s">
        <v>363</v>
      </c>
      <c r="E1025" t="s">
        <v>364</v>
      </c>
      <c r="F1025" t="s">
        <v>82</v>
      </c>
      <c r="G1025" t="s">
        <v>368</v>
      </c>
      <c r="H1025" t="s">
        <v>369</v>
      </c>
      <c r="I1025" t="s">
        <v>323</v>
      </c>
      <c r="J1025" t="s">
        <v>324</v>
      </c>
      <c r="K1025" t="s">
        <v>350</v>
      </c>
      <c r="L1025" t="s">
        <v>351</v>
      </c>
      <c r="M1025">
        <v>0.42444444444444446</v>
      </c>
      <c r="N1025">
        <v>1528</v>
      </c>
      <c r="O1025">
        <v>5555.12</v>
      </c>
      <c r="P1025">
        <v>3.6355497382198951</v>
      </c>
      <c r="Q1025">
        <v>1528</v>
      </c>
    </row>
    <row r="1026" spans="1:17" x14ac:dyDescent="0.35">
      <c r="A1026" s="46">
        <v>46117</v>
      </c>
      <c r="B1026" t="s">
        <v>136</v>
      </c>
      <c r="C1026" t="s">
        <v>367</v>
      </c>
      <c r="D1026" t="s">
        <v>363</v>
      </c>
      <c r="E1026" t="s">
        <v>364</v>
      </c>
      <c r="F1026" t="s">
        <v>82</v>
      </c>
      <c r="G1026" t="s">
        <v>368</v>
      </c>
      <c r="H1026" t="s">
        <v>369</v>
      </c>
      <c r="I1026" t="s">
        <v>323</v>
      </c>
      <c r="J1026" t="s">
        <v>324</v>
      </c>
      <c r="K1026" t="s">
        <v>350</v>
      </c>
      <c r="L1026" t="s">
        <v>351</v>
      </c>
      <c r="M1026">
        <v>1.2802777777777778</v>
      </c>
      <c r="N1026">
        <v>4609</v>
      </c>
      <c r="O1026">
        <v>13010.82</v>
      </c>
      <c r="P1026">
        <v>2.8229160338468215</v>
      </c>
      <c r="Q1026">
        <v>4609</v>
      </c>
    </row>
    <row r="1027" spans="1:17" x14ac:dyDescent="0.35">
      <c r="A1027" s="46">
        <v>46117</v>
      </c>
      <c r="B1027" t="s">
        <v>136</v>
      </c>
      <c r="C1027" t="s">
        <v>319</v>
      </c>
      <c r="D1027" t="s">
        <v>363</v>
      </c>
      <c r="E1027" t="s">
        <v>364</v>
      </c>
      <c r="F1027" t="s">
        <v>322</v>
      </c>
      <c r="G1027" t="s">
        <v>322</v>
      </c>
      <c r="H1027" t="s">
        <v>322</v>
      </c>
      <c r="I1027" t="s">
        <v>323</v>
      </c>
      <c r="J1027" t="s">
        <v>324</v>
      </c>
      <c r="K1027" t="s">
        <v>184</v>
      </c>
      <c r="L1027" t="s">
        <v>185</v>
      </c>
      <c r="M1027">
        <v>2.2061111111111109</v>
      </c>
      <c r="N1027">
        <v>7942</v>
      </c>
      <c r="O1027">
        <v>0</v>
      </c>
    </row>
    <row r="1028" spans="1:17" x14ac:dyDescent="0.35">
      <c r="A1028" s="46">
        <v>46117</v>
      </c>
      <c r="B1028" t="s">
        <v>136</v>
      </c>
      <c r="C1028" t="s">
        <v>372</v>
      </c>
      <c r="D1028" t="s">
        <v>363</v>
      </c>
      <c r="E1028" t="s">
        <v>364</v>
      </c>
      <c r="F1028" t="s">
        <v>82</v>
      </c>
      <c r="G1028" t="s">
        <v>365</v>
      </c>
      <c r="H1028" t="s">
        <v>371</v>
      </c>
      <c r="I1028" t="s">
        <v>323</v>
      </c>
      <c r="J1028" t="s">
        <v>324</v>
      </c>
      <c r="K1028" t="s">
        <v>184</v>
      </c>
      <c r="L1028" t="s">
        <v>185</v>
      </c>
      <c r="M1028">
        <v>6.0277777777777777E-2</v>
      </c>
      <c r="N1028">
        <v>217</v>
      </c>
      <c r="O1028">
        <v>0</v>
      </c>
    </row>
    <row r="1029" spans="1:17" x14ac:dyDescent="0.35">
      <c r="A1029" s="46">
        <v>46117</v>
      </c>
      <c r="B1029" t="s">
        <v>136</v>
      </c>
      <c r="C1029" t="s">
        <v>319</v>
      </c>
      <c r="D1029" t="s">
        <v>363</v>
      </c>
      <c r="E1029" t="s">
        <v>364</v>
      </c>
      <c r="F1029" t="s">
        <v>82</v>
      </c>
      <c r="G1029" t="s">
        <v>365</v>
      </c>
      <c r="H1029" t="s">
        <v>371</v>
      </c>
      <c r="I1029" t="s">
        <v>323</v>
      </c>
      <c r="J1029" t="s">
        <v>324</v>
      </c>
      <c r="K1029" t="s">
        <v>184</v>
      </c>
      <c r="L1029" t="s">
        <v>185</v>
      </c>
      <c r="M1029">
        <v>1.6727777777777777</v>
      </c>
      <c r="N1029">
        <v>6022</v>
      </c>
      <c r="O1029">
        <v>0</v>
      </c>
    </row>
    <row r="1030" spans="1:17" x14ac:dyDescent="0.35">
      <c r="A1030" s="46">
        <v>46117</v>
      </c>
      <c r="B1030" t="s">
        <v>136</v>
      </c>
      <c r="C1030" t="s">
        <v>372</v>
      </c>
      <c r="D1030" t="s">
        <v>363</v>
      </c>
      <c r="E1030" t="s">
        <v>364</v>
      </c>
      <c r="F1030" t="s">
        <v>82</v>
      </c>
      <c r="G1030" t="s">
        <v>368</v>
      </c>
      <c r="H1030" t="s">
        <v>369</v>
      </c>
      <c r="I1030" t="s">
        <v>323</v>
      </c>
      <c r="J1030" t="s">
        <v>324</v>
      </c>
      <c r="K1030" t="s">
        <v>184</v>
      </c>
      <c r="L1030" t="s">
        <v>185</v>
      </c>
      <c r="M1030">
        <v>1.231111111111111</v>
      </c>
      <c r="N1030">
        <v>4432</v>
      </c>
      <c r="O1030">
        <v>0</v>
      </c>
    </row>
    <row r="1031" spans="1:17" x14ac:dyDescent="0.35">
      <c r="A1031" s="46">
        <v>46117</v>
      </c>
      <c r="B1031" t="s">
        <v>136</v>
      </c>
      <c r="C1031" t="s">
        <v>367</v>
      </c>
      <c r="D1031" t="s">
        <v>363</v>
      </c>
      <c r="E1031" t="s">
        <v>364</v>
      </c>
      <c r="F1031" t="s">
        <v>82</v>
      </c>
      <c r="G1031" t="s">
        <v>368</v>
      </c>
      <c r="H1031" t="s">
        <v>369</v>
      </c>
      <c r="I1031" t="s">
        <v>323</v>
      </c>
      <c r="J1031" t="s">
        <v>324</v>
      </c>
      <c r="K1031" t="s">
        <v>184</v>
      </c>
      <c r="L1031" t="s">
        <v>185</v>
      </c>
      <c r="M1031">
        <v>7.0277777777777772E-2</v>
      </c>
      <c r="N1031">
        <v>253</v>
      </c>
      <c r="O1031">
        <v>0</v>
      </c>
    </row>
    <row r="1032" spans="1:17" x14ac:dyDescent="0.35">
      <c r="A1032" s="46">
        <v>46117</v>
      </c>
      <c r="B1032" t="s">
        <v>136</v>
      </c>
      <c r="C1032" t="s">
        <v>335</v>
      </c>
      <c r="D1032" t="s">
        <v>363</v>
      </c>
      <c r="E1032" t="s">
        <v>364</v>
      </c>
      <c r="F1032" t="s">
        <v>82</v>
      </c>
      <c r="G1032" t="s">
        <v>368</v>
      </c>
      <c r="H1032" t="s">
        <v>369</v>
      </c>
      <c r="I1032" t="s">
        <v>323</v>
      </c>
      <c r="J1032" t="s">
        <v>324</v>
      </c>
      <c r="K1032" t="s">
        <v>184</v>
      </c>
      <c r="L1032" t="s">
        <v>185</v>
      </c>
      <c r="M1032">
        <v>2.3441666666666667</v>
      </c>
      <c r="N1032">
        <v>8439</v>
      </c>
      <c r="O1032">
        <v>0</v>
      </c>
    </row>
    <row r="1033" spans="1:17" x14ac:dyDescent="0.35">
      <c r="A1033" s="46">
        <v>46117</v>
      </c>
      <c r="B1033" t="s">
        <v>136</v>
      </c>
      <c r="C1033" t="s">
        <v>319</v>
      </c>
      <c r="D1033" t="s">
        <v>363</v>
      </c>
      <c r="E1033" t="s">
        <v>364</v>
      </c>
      <c r="F1033" t="s">
        <v>82</v>
      </c>
      <c r="G1033" t="s">
        <v>365</v>
      </c>
      <c r="H1033" t="s">
        <v>334</v>
      </c>
      <c r="I1033" t="s">
        <v>323</v>
      </c>
      <c r="J1033" t="s">
        <v>324</v>
      </c>
      <c r="K1033" t="s">
        <v>184</v>
      </c>
      <c r="L1033" t="s">
        <v>185</v>
      </c>
      <c r="M1033">
        <v>0.19166666666666668</v>
      </c>
      <c r="N1033">
        <v>690</v>
      </c>
      <c r="O1033">
        <v>0</v>
      </c>
    </row>
    <row r="1034" spans="1:17" x14ac:dyDescent="0.35">
      <c r="A1034" s="46">
        <v>46117</v>
      </c>
      <c r="B1034" t="s">
        <v>136</v>
      </c>
      <c r="C1034" t="s">
        <v>319</v>
      </c>
      <c r="D1034" t="s">
        <v>363</v>
      </c>
      <c r="E1034" t="s">
        <v>364</v>
      </c>
      <c r="F1034" t="s">
        <v>82</v>
      </c>
      <c r="G1034" t="s">
        <v>365</v>
      </c>
      <c r="H1034" t="s">
        <v>366</v>
      </c>
      <c r="I1034" t="s">
        <v>323</v>
      </c>
      <c r="J1034" t="s">
        <v>324</v>
      </c>
      <c r="K1034" t="s">
        <v>184</v>
      </c>
      <c r="L1034" t="s">
        <v>185</v>
      </c>
      <c r="M1034">
        <v>1.4972222222222222</v>
      </c>
      <c r="N1034">
        <v>5390</v>
      </c>
      <c r="O1034">
        <v>0</v>
      </c>
    </row>
    <row r="1035" spans="1:17" x14ac:dyDescent="0.35">
      <c r="A1035" s="46">
        <v>46117</v>
      </c>
      <c r="B1035" t="s">
        <v>136</v>
      </c>
      <c r="C1035" t="s">
        <v>372</v>
      </c>
      <c r="D1035" t="s">
        <v>363</v>
      </c>
      <c r="E1035" t="s">
        <v>364</v>
      </c>
      <c r="F1035" t="s">
        <v>322</v>
      </c>
      <c r="G1035" t="s">
        <v>322</v>
      </c>
      <c r="H1035" t="s">
        <v>322</v>
      </c>
      <c r="I1035" t="s">
        <v>323</v>
      </c>
      <c r="J1035" t="s">
        <v>324</v>
      </c>
      <c r="K1035" t="s">
        <v>178</v>
      </c>
      <c r="L1035" t="s">
        <v>179</v>
      </c>
      <c r="M1035">
        <v>5.8888888888888886E-2</v>
      </c>
      <c r="N1035">
        <v>212</v>
      </c>
      <c r="O1035">
        <v>0</v>
      </c>
    </row>
    <row r="1036" spans="1:17" x14ac:dyDescent="0.35">
      <c r="A1036" s="46">
        <v>46117</v>
      </c>
      <c r="B1036" t="s">
        <v>136</v>
      </c>
      <c r="C1036" t="s">
        <v>319</v>
      </c>
      <c r="D1036" t="s">
        <v>363</v>
      </c>
      <c r="E1036" t="s">
        <v>364</v>
      </c>
      <c r="F1036" t="s">
        <v>322</v>
      </c>
      <c r="G1036" t="s">
        <v>322</v>
      </c>
      <c r="H1036" t="s">
        <v>322</v>
      </c>
      <c r="I1036" t="s">
        <v>323</v>
      </c>
      <c r="J1036" t="s">
        <v>324</v>
      </c>
      <c r="K1036" t="s">
        <v>178</v>
      </c>
      <c r="L1036" t="s">
        <v>179</v>
      </c>
      <c r="M1036">
        <v>1.1958333333333333</v>
      </c>
      <c r="N1036">
        <v>4305</v>
      </c>
      <c r="O1036">
        <v>0</v>
      </c>
    </row>
    <row r="1037" spans="1:17" x14ac:dyDescent="0.35">
      <c r="A1037" s="46">
        <v>46117</v>
      </c>
      <c r="B1037" t="s">
        <v>136</v>
      </c>
      <c r="C1037" t="s">
        <v>319</v>
      </c>
      <c r="D1037" t="s">
        <v>363</v>
      </c>
      <c r="E1037" t="s">
        <v>364</v>
      </c>
      <c r="F1037" t="s">
        <v>82</v>
      </c>
      <c r="G1037" t="s">
        <v>365</v>
      </c>
      <c r="H1037" t="s">
        <v>371</v>
      </c>
      <c r="I1037" t="s">
        <v>323</v>
      </c>
      <c r="J1037" t="s">
        <v>324</v>
      </c>
      <c r="K1037" t="s">
        <v>178</v>
      </c>
      <c r="L1037" t="s">
        <v>179</v>
      </c>
      <c r="M1037">
        <v>0.16388888888888889</v>
      </c>
      <c r="N1037">
        <v>590</v>
      </c>
      <c r="O1037">
        <v>0</v>
      </c>
    </row>
    <row r="1038" spans="1:17" x14ac:dyDescent="0.35">
      <c r="A1038" s="46">
        <v>46117</v>
      </c>
      <c r="B1038" t="s">
        <v>136</v>
      </c>
      <c r="C1038" t="s">
        <v>367</v>
      </c>
      <c r="D1038" t="s">
        <v>363</v>
      </c>
      <c r="E1038" t="s">
        <v>364</v>
      </c>
      <c r="F1038" t="s">
        <v>82</v>
      </c>
      <c r="G1038" t="s">
        <v>368</v>
      </c>
      <c r="H1038" t="s">
        <v>327</v>
      </c>
      <c r="I1038" t="s">
        <v>323</v>
      </c>
      <c r="J1038" t="s">
        <v>324</v>
      </c>
      <c r="K1038" t="s">
        <v>178</v>
      </c>
      <c r="L1038" t="s">
        <v>179</v>
      </c>
      <c r="M1038">
        <v>1.9722222222222221E-2</v>
      </c>
      <c r="N1038">
        <v>71</v>
      </c>
      <c r="O1038">
        <v>0</v>
      </c>
    </row>
    <row r="1039" spans="1:17" x14ac:dyDescent="0.35">
      <c r="A1039" s="46">
        <v>46117</v>
      </c>
      <c r="B1039" t="s">
        <v>136</v>
      </c>
      <c r="C1039" t="s">
        <v>372</v>
      </c>
      <c r="D1039" t="s">
        <v>363</v>
      </c>
      <c r="E1039" t="s">
        <v>364</v>
      </c>
      <c r="F1039" t="s">
        <v>82</v>
      </c>
      <c r="G1039" t="s">
        <v>368</v>
      </c>
      <c r="H1039" t="s">
        <v>369</v>
      </c>
      <c r="I1039" t="s">
        <v>323</v>
      </c>
      <c r="J1039" t="s">
        <v>324</v>
      </c>
      <c r="K1039" t="s">
        <v>178</v>
      </c>
      <c r="L1039" t="s">
        <v>179</v>
      </c>
      <c r="M1039">
        <v>2.7777777777777778E-4</v>
      </c>
      <c r="N1039">
        <v>1</v>
      </c>
      <c r="O1039">
        <v>0</v>
      </c>
    </row>
    <row r="1040" spans="1:17" x14ac:dyDescent="0.35">
      <c r="A1040" s="46">
        <v>46117</v>
      </c>
      <c r="B1040" t="s">
        <v>136</v>
      </c>
      <c r="C1040" t="s">
        <v>319</v>
      </c>
      <c r="D1040" t="s">
        <v>363</v>
      </c>
      <c r="E1040" t="s">
        <v>364</v>
      </c>
      <c r="F1040" t="s">
        <v>82</v>
      </c>
      <c r="G1040" t="s">
        <v>365</v>
      </c>
      <c r="H1040" t="s">
        <v>366</v>
      </c>
      <c r="I1040" t="s">
        <v>323</v>
      </c>
      <c r="J1040" t="s">
        <v>324</v>
      </c>
      <c r="K1040" t="s">
        <v>178</v>
      </c>
      <c r="L1040" t="s">
        <v>179</v>
      </c>
      <c r="M1040">
        <v>1.0155555555555555</v>
      </c>
      <c r="N1040">
        <v>3656</v>
      </c>
      <c r="O1040">
        <v>0</v>
      </c>
    </row>
    <row r="1041" spans="1:17" x14ac:dyDescent="0.35">
      <c r="A1041" s="46">
        <v>46117</v>
      </c>
      <c r="B1041" t="s">
        <v>136</v>
      </c>
      <c r="C1041" t="s">
        <v>379</v>
      </c>
      <c r="D1041" t="s">
        <v>378</v>
      </c>
      <c r="E1041" t="s">
        <v>321</v>
      </c>
      <c r="F1041" t="s">
        <v>108</v>
      </c>
      <c r="G1041" t="s">
        <v>380</v>
      </c>
      <c r="H1041" t="s">
        <v>323</v>
      </c>
      <c r="I1041" t="s">
        <v>323</v>
      </c>
      <c r="J1041" t="s">
        <v>324</v>
      </c>
      <c r="K1041" t="s">
        <v>341</v>
      </c>
      <c r="L1041" t="s">
        <v>342</v>
      </c>
      <c r="M1041">
        <v>0.17444444444444446</v>
      </c>
      <c r="N1041">
        <v>628</v>
      </c>
      <c r="O1041">
        <v>0</v>
      </c>
    </row>
    <row r="1042" spans="1:17" x14ac:dyDescent="0.35">
      <c r="A1042" s="46">
        <v>46117</v>
      </c>
      <c r="B1042" t="s">
        <v>136</v>
      </c>
      <c r="C1042" t="s">
        <v>335</v>
      </c>
      <c r="D1042" t="s">
        <v>378</v>
      </c>
      <c r="E1042" t="s">
        <v>321</v>
      </c>
      <c r="F1042" t="s">
        <v>322</v>
      </c>
      <c r="G1042" t="s">
        <v>322</v>
      </c>
      <c r="H1042" t="s">
        <v>322</v>
      </c>
      <c r="I1042" t="s">
        <v>323</v>
      </c>
      <c r="J1042" t="s">
        <v>324</v>
      </c>
      <c r="K1042" t="s">
        <v>345</v>
      </c>
      <c r="L1042" t="s">
        <v>346</v>
      </c>
      <c r="M1042">
        <v>7.7777777777777776E-3</v>
      </c>
      <c r="N1042">
        <v>28</v>
      </c>
      <c r="O1042">
        <v>58.519999999999996</v>
      </c>
      <c r="P1042">
        <v>2.09</v>
      </c>
      <c r="Q1042">
        <v>28</v>
      </c>
    </row>
    <row r="1043" spans="1:17" x14ac:dyDescent="0.35">
      <c r="A1043" s="46">
        <v>46117</v>
      </c>
      <c r="B1043" t="s">
        <v>136</v>
      </c>
      <c r="C1043" t="s">
        <v>335</v>
      </c>
      <c r="D1043" t="s">
        <v>378</v>
      </c>
      <c r="E1043" t="s">
        <v>321</v>
      </c>
      <c r="F1043" t="s">
        <v>108</v>
      </c>
      <c r="G1043" t="s">
        <v>380</v>
      </c>
      <c r="H1043" t="s">
        <v>323</v>
      </c>
      <c r="I1043" t="s">
        <v>323</v>
      </c>
      <c r="J1043" t="s">
        <v>324</v>
      </c>
      <c r="K1043" t="s">
        <v>345</v>
      </c>
      <c r="L1043" t="s">
        <v>346</v>
      </c>
      <c r="M1043">
        <v>9.7222222222222224E-2</v>
      </c>
      <c r="N1043">
        <v>350</v>
      </c>
      <c r="O1043">
        <v>1004.5</v>
      </c>
      <c r="P1043">
        <v>2.87</v>
      </c>
      <c r="Q1043">
        <v>350</v>
      </c>
    </row>
    <row r="1044" spans="1:17" x14ac:dyDescent="0.35">
      <c r="A1044" s="46">
        <v>46117</v>
      </c>
      <c r="B1044" t="s">
        <v>136</v>
      </c>
      <c r="C1044" t="s">
        <v>379</v>
      </c>
      <c r="D1044" t="s">
        <v>378</v>
      </c>
      <c r="E1044" t="s">
        <v>321</v>
      </c>
      <c r="F1044" t="s">
        <v>322</v>
      </c>
      <c r="G1044" t="s">
        <v>322</v>
      </c>
      <c r="H1044" t="s">
        <v>322</v>
      </c>
      <c r="I1044" t="s">
        <v>323</v>
      </c>
      <c r="J1044" t="s">
        <v>324</v>
      </c>
      <c r="K1044" t="s">
        <v>345</v>
      </c>
      <c r="L1044" t="s">
        <v>346</v>
      </c>
      <c r="M1044">
        <v>0.12972222222222221</v>
      </c>
      <c r="N1044">
        <v>467</v>
      </c>
      <c r="O1044">
        <v>1439.2399999999998</v>
      </c>
      <c r="P1044">
        <v>3.0818843683083506</v>
      </c>
      <c r="Q1044">
        <v>467</v>
      </c>
    </row>
    <row r="1045" spans="1:17" x14ac:dyDescent="0.35">
      <c r="A1045" s="46">
        <v>46117</v>
      </c>
      <c r="B1045" t="s">
        <v>136</v>
      </c>
      <c r="C1045" t="s">
        <v>379</v>
      </c>
      <c r="D1045" t="s">
        <v>378</v>
      </c>
      <c r="E1045" t="s">
        <v>321</v>
      </c>
      <c r="F1045" t="s">
        <v>108</v>
      </c>
      <c r="G1045" t="s">
        <v>380</v>
      </c>
      <c r="H1045" t="s">
        <v>323</v>
      </c>
      <c r="I1045" t="s">
        <v>323</v>
      </c>
      <c r="J1045" t="s">
        <v>324</v>
      </c>
      <c r="K1045" t="s">
        <v>345</v>
      </c>
      <c r="L1045" t="s">
        <v>346</v>
      </c>
      <c r="M1045">
        <v>2.0988888888888888</v>
      </c>
      <c r="N1045">
        <v>7556</v>
      </c>
      <c r="O1045">
        <v>31841.300000000003</v>
      </c>
      <c r="P1045">
        <v>4.2140418210693493</v>
      </c>
      <c r="Q1045">
        <v>7556</v>
      </c>
    </row>
    <row r="1046" spans="1:17" x14ac:dyDescent="0.35">
      <c r="A1046" s="46">
        <v>46117</v>
      </c>
      <c r="B1046" t="s">
        <v>136</v>
      </c>
      <c r="C1046" t="s">
        <v>335</v>
      </c>
      <c r="D1046" t="s">
        <v>378</v>
      </c>
      <c r="E1046" t="s">
        <v>321</v>
      </c>
      <c r="F1046" t="s">
        <v>92</v>
      </c>
      <c r="G1046" t="s">
        <v>325</v>
      </c>
      <c r="H1046" t="s">
        <v>334</v>
      </c>
      <c r="I1046" t="s">
        <v>323</v>
      </c>
      <c r="J1046" t="s">
        <v>324</v>
      </c>
      <c r="K1046" t="s">
        <v>142</v>
      </c>
      <c r="L1046" t="s">
        <v>143</v>
      </c>
      <c r="M1046">
        <v>1.8055555555555554E-2</v>
      </c>
      <c r="N1046">
        <v>65</v>
      </c>
      <c r="O1046">
        <v>471.25</v>
      </c>
      <c r="P1046">
        <v>7.25</v>
      </c>
      <c r="Q1046">
        <v>65</v>
      </c>
    </row>
    <row r="1047" spans="1:17" x14ac:dyDescent="0.35">
      <c r="A1047" s="46">
        <v>46117</v>
      </c>
      <c r="B1047" t="s">
        <v>136</v>
      </c>
      <c r="C1047" t="s">
        <v>379</v>
      </c>
      <c r="D1047" t="s">
        <v>378</v>
      </c>
      <c r="E1047" t="s">
        <v>321</v>
      </c>
      <c r="F1047" t="s">
        <v>108</v>
      </c>
      <c r="G1047" t="s">
        <v>380</v>
      </c>
      <c r="H1047" t="s">
        <v>323</v>
      </c>
      <c r="I1047" t="s">
        <v>323</v>
      </c>
      <c r="J1047" t="s">
        <v>324</v>
      </c>
      <c r="K1047" t="s">
        <v>142</v>
      </c>
      <c r="L1047" t="s">
        <v>143</v>
      </c>
      <c r="M1047">
        <v>7.5277777777777777E-2</v>
      </c>
      <c r="N1047">
        <v>271</v>
      </c>
      <c r="O1047">
        <v>1165.51</v>
      </c>
      <c r="P1047">
        <v>4.3007749077490773</v>
      </c>
      <c r="Q1047">
        <v>271</v>
      </c>
    </row>
    <row r="1048" spans="1:17" x14ac:dyDescent="0.35">
      <c r="A1048" s="46">
        <v>46117</v>
      </c>
      <c r="B1048" t="s">
        <v>136</v>
      </c>
      <c r="C1048" t="s">
        <v>335</v>
      </c>
      <c r="D1048" t="s">
        <v>378</v>
      </c>
      <c r="E1048" t="s">
        <v>321</v>
      </c>
      <c r="F1048" t="s">
        <v>322</v>
      </c>
      <c r="G1048" t="s">
        <v>322</v>
      </c>
      <c r="H1048" t="s">
        <v>322</v>
      </c>
      <c r="I1048" t="s">
        <v>323</v>
      </c>
      <c r="J1048" t="s">
        <v>324</v>
      </c>
      <c r="K1048" t="s">
        <v>142</v>
      </c>
      <c r="L1048" t="s">
        <v>143</v>
      </c>
      <c r="M1048">
        <v>0.30611111111111111</v>
      </c>
      <c r="N1048">
        <v>1102</v>
      </c>
      <c r="O1048">
        <v>6943.28</v>
      </c>
      <c r="P1048">
        <v>6.3006170598911071</v>
      </c>
      <c r="Q1048">
        <v>1102</v>
      </c>
    </row>
    <row r="1049" spans="1:17" x14ac:dyDescent="0.35">
      <c r="A1049" s="46">
        <v>46117</v>
      </c>
      <c r="B1049" t="s">
        <v>136</v>
      </c>
      <c r="C1049" t="s">
        <v>335</v>
      </c>
      <c r="D1049" t="s">
        <v>378</v>
      </c>
      <c r="E1049" t="s">
        <v>321</v>
      </c>
      <c r="F1049" t="s">
        <v>108</v>
      </c>
      <c r="G1049" t="s">
        <v>380</v>
      </c>
      <c r="H1049" t="s">
        <v>323</v>
      </c>
      <c r="I1049" t="s">
        <v>323</v>
      </c>
      <c r="J1049" t="s">
        <v>324</v>
      </c>
      <c r="K1049" t="s">
        <v>350</v>
      </c>
      <c r="L1049" t="s">
        <v>351</v>
      </c>
      <c r="M1049">
        <v>4.9444444444444444E-2</v>
      </c>
      <c r="N1049">
        <v>178</v>
      </c>
      <c r="O1049">
        <v>169.1</v>
      </c>
      <c r="P1049">
        <v>0.95</v>
      </c>
      <c r="Q1049">
        <v>178</v>
      </c>
    </row>
    <row r="1050" spans="1:17" x14ac:dyDescent="0.35">
      <c r="A1050" s="46">
        <v>46117</v>
      </c>
      <c r="B1050" t="s">
        <v>136</v>
      </c>
      <c r="C1050" t="s">
        <v>379</v>
      </c>
      <c r="D1050" t="s">
        <v>378</v>
      </c>
      <c r="E1050" t="s">
        <v>321</v>
      </c>
      <c r="F1050" t="s">
        <v>322</v>
      </c>
      <c r="G1050" t="s">
        <v>322</v>
      </c>
      <c r="H1050" t="s">
        <v>322</v>
      </c>
      <c r="I1050" t="s">
        <v>323</v>
      </c>
      <c r="J1050" t="s">
        <v>324</v>
      </c>
      <c r="K1050" t="s">
        <v>350</v>
      </c>
      <c r="L1050" t="s">
        <v>351</v>
      </c>
      <c r="M1050">
        <v>0.30638888888888888</v>
      </c>
      <c r="N1050">
        <v>1103</v>
      </c>
      <c r="O1050">
        <v>2537.6800000000003</v>
      </c>
      <c r="P1050">
        <v>2.3111839708561024</v>
      </c>
      <c r="Q1050">
        <v>1098</v>
      </c>
    </row>
    <row r="1051" spans="1:17" x14ac:dyDescent="0.35">
      <c r="A1051" s="46">
        <v>46117</v>
      </c>
      <c r="B1051" t="s">
        <v>136</v>
      </c>
      <c r="C1051" t="s">
        <v>379</v>
      </c>
      <c r="D1051" t="s">
        <v>378</v>
      </c>
      <c r="E1051" t="s">
        <v>321</v>
      </c>
      <c r="F1051" t="s">
        <v>108</v>
      </c>
      <c r="G1051" t="s">
        <v>380</v>
      </c>
      <c r="H1051" t="s">
        <v>323</v>
      </c>
      <c r="I1051" t="s">
        <v>323</v>
      </c>
      <c r="J1051" t="s">
        <v>324</v>
      </c>
      <c r="K1051" t="s">
        <v>350</v>
      </c>
      <c r="L1051" t="s">
        <v>351</v>
      </c>
      <c r="M1051">
        <v>1.1447222222222222</v>
      </c>
      <c r="N1051">
        <v>4121</v>
      </c>
      <c r="O1051">
        <v>9031.27</v>
      </c>
      <c r="P1051">
        <v>2.1915239019655424</v>
      </c>
      <c r="Q1051">
        <v>4121</v>
      </c>
    </row>
    <row r="1052" spans="1:17" x14ac:dyDescent="0.35">
      <c r="A1052" s="46">
        <v>46117</v>
      </c>
      <c r="B1052" t="s">
        <v>136</v>
      </c>
      <c r="C1052" t="s">
        <v>335</v>
      </c>
      <c r="D1052" t="s">
        <v>378</v>
      </c>
      <c r="E1052" t="s">
        <v>321</v>
      </c>
      <c r="F1052" t="s">
        <v>322</v>
      </c>
      <c r="G1052" t="s">
        <v>322</v>
      </c>
      <c r="H1052" t="s">
        <v>322</v>
      </c>
      <c r="I1052" t="s">
        <v>323</v>
      </c>
      <c r="J1052" t="s">
        <v>324</v>
      </c>
      <c r="K1052" t="s">
        <v>184</v>
      </c>
      <c r="L1052" t="s">
        <v>185</v>
      </c>
      <c r="M1052">
        <v>5.6477777777777778</v>
      </c>
      <c r="N1052">
        <v>20332</v>
      </c>
      <c r="O1052">
        <v>0</v>
      </c>
    </row>
    <row r="1053" spans="1:17" x14ac:dyDescent="0.35">
      <c r="A1053" s="46">
        <v>46117</v>
      </c>
      <c r="B1053" t="s">
        <v>136</v>
      </c>
      <c r="C1053" t="s">
        <v>335</v>
      </c>
      <c r="D1053" t="s">
        <v>378</v>
      </c>
      <c r="E1053" t="s">
        <v>321</v>
      </c>
      <c r="F1053" t="s">
        <v>92</v>
      </c>
      <c r="G1053" t="s">
        <v>325</v>
      </c>
      <c r="H1053" t="s">
        <v>334</v>
      </c>
      <c r="I1053" t="s">
        <v>323</v>
      </c>
      <c r="J1053" t="s">
        <v>324</v>
      </c>
      <c r="K1053" t="s">
        <v>184</v>
      </c>
      <c r="L1053" t="s">
        <v>185</v>
      </c>
      <c r="M1053">
        <v>9.9277777777777771</v>
      </c>
      <c r="N1053">
        <v>35740</v>
      </c>
      <c r="O1053">
        <v>0</v>
      </c>
    </row>
    <row r="1054" spans="1:17" x14ac:dyDescent="0.35">
      <c r="A1054" s="46">
        <v>46117</v>
      </c>
      <c r="B1054" t="s">
        <v>136</v>
      </c>
      <c r="C1054" t="s">
        <v>379</v>
      </c>
      <c r="D1054" t="s">
        <v>378</v>
      </c>
      <c r="E1054" t="s">
        <v>321</v>
      </c>
      <c r="F1054" t="s">
        <v>108</v>
      </c>
      <c r="G1054" t="s">
        <v>380</v>
      </c>
      <c r="H1054" t="s">
        <v>323</v>
      </c>
      <c r="I1054" t="s">
        <v>323</v>
      </c>
      <c r="J1054" t="s">
        <v>324</v>
      </c>
      <c r="K1054" t="s">
        <v>184</v>
      </c>
      <c r="L1054" t="s">
        <v>185</v>
      </c>
      <c r="M1054">
        <v>3.2166666666666668</v>
      </c>
      <c r="N1054">
        <v>11580</v>
      </c>
      <c r="O1054">
        <v>0</v>
      </c>
    </row>
    <row r="1055" spans="1:17" x14ac:dyDescent="0.35">
      <c r="A1055" s="46">
        <v>46117</v>
      </c>
      <c r="B1055" t="s">
        <v>136</v>
      </c>
      <c r="C1055" t="s">
        <v>335</v>
      </c>
      <c r="D1055" t="s">
        <v>378</v>
      </c>
      <c r="E1055" t="s">
        <v>321</v>
      </c>
      <c r="F1055" t="s">
        <v>108</v>
      </c>
      <c r="G1055" t="s">
        <v>380</v>
      </c>
      <c r="H1055" t="s">
        <v>323</v>
      </c>
      <c r="I1055" t="s">
        <v>323</v>
      </c>
      <c r="J1055" t="s">
        <v>324</v>
      </c>
      <c r="K1055" t="s">
        <v>184</v>
      </c>
      <c r="L1055" t="s">
        <v>185</v>
      </c>
      <c r="M1055">
        <v>0.52027777777777773</v>
      </c>
      <c r="N1055">
        <v>1873</v>
      </c>
      <c r="O1055">
        <v>0</v>
      </c>
    </row>
    <row r="1056" spans="1:17" x14ac:dyDescent="0.35">
      <c r="A1056" s="46">
        <v>46117</v>
      </c>
      <c r="B1056" t="s">
        <v>136</v>
      </c>
      <c r="C1056" t="s">
        <v>335</v>
      </c>
      <c r="D1056" t="s">
        <v>378</v>
      </c>
      <c r="E1056" t="s">
        <v>321</v>
      </c>
      <c r="F1056" t="s">
        <v>322</v>
      </c>
      <c r="G1056" t="s">
        <v>322</v>
      </c>
      <c r="H1056" t="s">
        <v>322</v>
      </c>
      <c r="I1056" t="s">
        <v>323</v>
      </c>
      <c r="J1056" t="s">
        <v>324</v>
      </c>
      <c r="K1056" t="s">
        <v>178</v>
      </c>
      <c r="L1056" t="s">
        <v>179</v>
      </c>
      <c r="M1056">
        <v>0.12111111111111111</v>
      </c>
      <c r="N1056">
        <v>436</v>
      </c>
      <c r="O1056">
        <v>0</v>
      </c>
    </row>
    <row r="1057" spans="1:17" x14ac:dyDescent="0.35">
      <c r="A1057" s="46">
        <v>46117</v>
      </c>
      <c r="B1057" t="s">
        <v>136</v>
      </c>
      <c r="C1057" t="s">
        <v>379</v>
      </c>
      <c r="D1057" t="s">
        <v>378</v>
      </c>
      <c r="E1057" t="s">
        <v>321</v>
      </c>
      <c r="F1057" t="s">
        <v>108</v>
      </c>
      <c r="G1057" t="s">
        <v>380</v>
      </c>
      <c r="H1057" t="s">
        <v>323</v>
      </c>
      <c r="I1057" t="s">
        <v>323</v>
      </c>
      <c r="J1057" t="s">
        <v>324</v>
      </c>
      <c r="K1057" t="s">
        <v>178</v>
      </c>
      <c r="L1057" t="s">
        <v>179</v>
      </c>
      <c r="M1057">
        <v>0.10277777777777777</v>
      </c>
      <c r="N1057">
        <v>370</v>
      </c>
      <c r="O1057">
        <v>0</v>
      </c>
    </row>
    <row r="1058" spans="1:17" x14ac:dyDescent="0.35">
      <c r="A1058" s="46">
        <v>46117</v>
      </c>
      <c r="B1058" t="s">
        <v>136</v>
      </c>
      <c r="C1058" t="s">
        <v>379</v>
      </c>
      <c r="D1058" t="s">
        <v>378</v>
      </c>
      <c r="E1058" t="s">
        <v>321</v>
      </c>
      <c r="F1058" t="s">
        <v>108</v>
      </c>
      <c r="G1058" t="s">
        <v>380</v>
      </c>
      <c r="H1058" t="s">
        <v>323</v>
      </c>
      <c r="I1058" t="s">
        <v>323</v>
      </c>
      <c r="J1058" t="s">
        <v>324</v>
      </c>
      <c r="K1058" t="s">
        <v>182</v>
      </c>
      <c r="L1058" t="s">
        <v>183</v>
      </c>
      <c r="M1058">
        <v>9.4444444444444445E-3</v>
      </c>
      <c r="N1058">
        <v>34</v>
      </c>
      <c r="O1058">
        <v>0</v>
      </c>
    </row>
    <row r="1059" spans="1:17" x14ac:dyDescent="0.35">
      <c r="A1059" s="46">
        <v>46117</v>
      </c>
      <c r="B1059" t="s">
        <v>136</v>
      </c>
      <c r="C1059" t="s">
        <v>335</v>
      </c>
      <c r="D1059" t="s">
        <v>378</v>
      </c>
      <c r="E1059" t="s">
        <v>321</v>
      </c>
      <c r="F1059" t="s">
        <v>108</v>
      </c>
      <c r="G1059" t="s">
        <v>380</v>
      </c>
      <c r="H1059" t="s">
        <v>323</v>
      </c>
      <c r="I1059" t="s">
        <v>323</v>
      </c>
      <c r="J1059" t="s">
        <v>324</v>
      </c>
      <c r="K1059" t="s">
        <v>182</v>
      </c>
      <c r="L1059" t="s">
        <v>183</v>
      </c>
      <c r="M1059">
        <v>4.611111111111111E-2</v>
      </c>
      <c r="N1059">
        <v>166</v>
      </c>
      <c r="O1059">
        <v>0</v>
      </c>
    </row>
    <row r="1060" spans="1:17" x14ac:dyDescent="0.35">
      <c r="A1060" s="46">
        <v>46117</v>
      </c>
      <c r="B1060" t="s">
        <v>136</v>
      </c>
      <c r="C1060" t="s">
        <v>386</v>
      </c>
      <c r="D1060" t="s">
        <v>385</v>
      </c>
      <c r="E1060" t="s">
        <v>321</v>
      </c>
      <c r="F1060" t="s">
        <v>322</v>
      </c>
      <c r="G1060" t="s">
        <v>322</v>
      </c>
      <c r="H1060" t="s">
        <v>322</v>
      </c>
      <c r="I1060" t="s">
        <v>323</v>
      </c>
      <c r="J1060" t="s">
        <v>324</v>
      </c>
      <c r="K1060" t="s">
        <v>168</v>
      </c>
      <c r="L1060" t="s">
        <v>169</v>
      </c>
      <c r="M1060">
        <v>2.9444444444444443E-2</v>
      </c>
      <c r="N1060">
        <v>106</v>
      </c>
      <c r="O1060">
        <v>0</v>
      </c>
    </row>
    <row r="1061" spans="1:17" x14ac:dyDescent="0.35">
      <c r="A1061" s="46">
        <v>46117</v>
      </c>
      <c r="B1061" t="s">
        <v>136</v>
      </c>
      <c r="C1061" t="s">
        <v>386</v>
      </c>
      <c r="D1061" t="s">
        <v>385</v>
      </c>
      <c r="E1061" t="s">
        <v>321</v>
      </c>
      <c r="F1061" t="s">
        <v>94</v>
      </c>
      <c r="G1061" t="s">
        <v>91</v>
      </c>
      <c r="H1061" t="s">
        <v>334</v>
      </c>
      <c r="I1061" t="s">
        <v>323</v>
      </c>
      <c r="J1061" t="s">
        <v>324</v>
      </c>
      <c r="K1061" t="s">
        <v>168</v>
      </c>
      <c r="L1061" t="s">
        <v>169</v>
      </c>
      <c r="M1061">
        <v>0.18222222222222223</v>
      </c>
      <c r="N1061">
        <v>656</v>
      </c>
      <c r="O1061">
        <v>0</v>
      </c>
    </row>
    <row r="1062" spans="1:17" x14ac:dyDescent="0.35">
      <c r="A1062" s="46">
        <v>46117</v>
      </c>
      <c r="B1062" t="s">
        <v>136</v>
      </c>
      <c r="C1062" t="s">
        <v>386</v>
      </c>
      <c r="D1062" t="s">
        <v>385</v>
      </c>
      <c r="E1062" t="s">
        <v>321</v>
      </c>
      <c r="F1062" t="s">
        <v>94</v>
      </c>
      <c r="G1062" t="s">
        <v>91</v>
      </c>
      <c r="H1062" t="s">
        <v>369</v>
      </c>
      <c r="I1062" t="s">
        <v>323</v>
      </c>
      <c r="J1062" t="s">
        <v>324</v>
      </c>
      <c r="K1062" t="s">
        <v>341</v>
      </c>
      <c r="L1062" t="s">
        <v>342</v>
      </c>
      <c r="M1062">
        <v>0.22944444444444445</v>
      </c>
      <c r="N1062">
        <v>826</v>
      </c>
      <c r="O1062">
        <v>0</v>
      </c>
    </row>
    <row r="1063" spans="1:17" x14ac:dyDescent="0.35">
      <c r="A1063" s="46">
        <v>46117</v>
      </c>
      <c r="B1063" t="s">
        <v>136</v>
      </c>
      <c r="C1063" t="s">
        <v>386</v>
      </c>
      <c r="D1063" t="s">
        <v>385</v>
      </c>
      <c r="E1063" t="s">
        <v>321</v>
      </c>
      <c r="F1063" t="s">
        <v>94</v>
      </c>
      <c r="G1063" t="s">
        <v>91</v>
      </c>
      <c r="H1063" t="s">
        <v>334</v>
      </c>
      <c r="I1063" t="s">
        <v>323</v>
      </c>
      <c r="J1063" t="s">
        <v>324</v>
      </c>
      <c r="K1063" t="s">
        <v>341</v>
      </c>
      <c r="L1063" t="s">
        <v>342</v>
      </c>
      <c r="M1063">
        <v>8.0277777777777781E-2</v>
      </c>
      <c r="N1063">
        <v>289</v>
      </c>
      <c r="O1063">
        <v>0</v>
      </c>
    </row>
    <row r="1064" spans="1:17" x14ac:dyDescent="0.35">
      <c r="A1064" s="46">
        <v>46117</v>
      </c>
      <c r="B1064" t="s">
        <v>136</v>
      </c>
      <c r="C1064" t="s">
        <v>319</v>
      </c>
      <c r="D1064" t="s">
        <v>385</v>
      </c>
      <c r="E1064" t="s">
        <v>321</v>
      </c>
      <c r="F1064" t="s">
        <v>94</v>
      </c>
      <c r="G1064" t="s">
        <v>91</v>
      </c>
      <c r="H1064" t="s">
        <v>343</v>
      </c>
      <c r="I1064" t="s">
        <v>323</v>
      </c>
      <c r="J1064" t="s">
        <v>324</v>
      </c>
      <c r="K1064" t="s">
        <v>341</v>
      </c>
      <c r="L1064" t="s">
        <v>342</v>
      </c>
      <c r="M1064">
        <v>6.3333333333333339E-2</v>
      </c>
      <c r="N1064">
        <v>228</v>
      </c>
      <c r="O1064">
        <v>0</v>
      </c>
    </row>
    <row r="1065" spans="1:17" x14ac:dyDescent="0.35">
      <c r="A1065" s="46">
        <v>46117</v>
      </c>
      <c r="B1065" t="s">
        <v>136</v>
      </c>
      <c r="C1065" t="s">
        <v>386</v>
      </c>
      <c r="D1065" t="s">
        <v>385</v>
      </c>
      <c r="E1065" t="s">
        <v>321</v>
      </c>
      <c r="F1065" t="s">
        <v>94</v>
      </c>
      <c r="G1065" t="s">
        <v>91</v>
      </c>
      <c r="H1065" t="s">
        <v>327</v>
      </c>
      <c r="I1065" t="s">
        <v>323</v>
      </c>
      <c r="J1065" t="s">
        <v>324</v>
      </c>
      <c r="K1065" t="s">
        <v>345</v>
      </c>
      <c r="L1065" t="s">
        <v>346</v>
      </c>
      <c r="M1065">
        <v>4.7222222222222223E-3</v>
      </c>
      <c r="N1065">
        <v>17</v>
      </c>
      <c r="O1065">
        <v>43.01</v>
      </c>
      <c r="P1065">
        <v>2.5299999999999998</v>
      </c>
      <c r="Q1065">
        <v>17</v>
      </c>
    </row>
    <row r="1066" spans="1:17" x14ac:dyDescent="0.35">
      <c r="A1066" s="46">
        <v>46117</v>
      </c>
      <c r="B1066" t="s">
        <v>136</v>
      </c>
      <c r="C1066" t="s">
        <v>386</v>
      </c>
      <c r="D1066" t="s">
        <v>385</v>
      </c>
      <c r="E1066" t="s">
        <v>321</v>
      </c>
      <c r="F1066" t="s">
        <v>322</v>
      </c>
      <c r="G1066" t="s">
        <v>322</v>
      </c>
      <c r="H1066" t="s">
        <v>322</v>
      </c>
      <c r="I1066" t="s">
        <v>323</v>
      </c>
      <c r="J1066" t="s">
        <v>324</v>
      </c>
      <c r="K1066" t="s">
        <v>345</v>
      </c>
      <c r="L1066" t="s">
        <v>346</v>
      </c>
      <c r="M1066">
        <v>1.6111111111111111E-2</v>
      </c>
      <c r="N1066">
        <v>58</v>
      </c>
      <c r="O1066">
        <v>124.68</v>
      </c>
      <c r="P1066">
        <v>2.1496551724137931</v>
      </c>
      <c r="Q1066">
        <v>58</v>
      </c>
    </row>
    <row r="1067" spans="1:17" x14ac:dyDescent="0.35">
      <c r="A1067" s="46">
        <v>46117</v>
      </c>
      <c r="B1067" t="s">
        <v>136</v>
      </c>
      <c r="C1067" t="s">
        <v>387</v>
      </c>
      <c r="D1067" t="s">
        <v>385</v>
      </c>
      <c r="E1067" t="s">
        <v>321</v>
      </c>
      <c r="F1067" t="s">
        <v>94</v>
      </c>
      <c r="G1067" t="s">
        <v>91</v>
      </c>
      <c r="H1067" t="s">
        <v>334</v>
      </c>
      <c r="I1067" t="s">
        <v>323</v>
      </c>
      <c r="J1067" t="s">
        <v>324</v>
      </c>
      <c r="K1067" t="s">
        <v>345</v>
      </c>
      <c r="L1067" t="s">
        <v>346</v>
      </c>
      <c r="M1067">
        <v>1.2777777777777779E-2</v>
      </c>
      <c r="N1067">
        <v>46</v>
      </c>
      <c r="O1067">
        <v>185.84</v>
      </c>
      <c r="P1067">
        <v>4.04</v>
      </c>
      <c r="Q1067">
        <v>46</v>
      </c>
    </row>
    <row r="1068" spans="1:17" x14ac:dyDescent="0.35">
      <c r="A1068" s="46">
        <v>46117</v>
      </c>
      <c r="B1068" t="s">
        <v>136</v>
      </c>
      <c r="C1068" t="s">
        <v>388</v>
      </c>
      <c r="D1068" t="s">
        <v>385</v>
      </c>
      <c r="E1068" t="s">
        <v>321</v>
      </c>
      <c r="F1068" t="s">
        <v>94</v>
      </c>
      <c r="G1068" t="s">
        <v>91</v>
      </c>
      <c r="H1068" t="s">
        <v>369</v>
      </c>
      <c r="I1068" t="s">
        <v>323</v>
      </c>
      <c r="J1068" t="s">
        <v>324</v>
      </c>
      <c r="K1068" t="s">
        <v>345</v>
      </c>
      <c r="L1068" t="s">
        <v>346</v>
      </c>
      <c r="M1068">
        <v>0.1238888888888889</v>
      </c>
      <c r="N1068">
        <v>446</v>
      </c>
      <c r="O1068">
        <v>1980.2400000000002</v>
      </c>
      <c r="P1068">
        <v>4.4400000000000004</v>
      </c>
      <c r="Q1068">
        <v>446</v>
      </c>
    </row>
    <row r="1069" spans="1:17" x14ac:dyDescent="0.35">
      <c r="A1069" s="46">
        <v>46117</v>
      </c>
      <c r="B1069" t="s">
        <v>136</v>
      </c>
      <c r="C1069" t="s">
        <v>388</v>
      </c>
      <c r="D1069" t="s">
        <v>385</v>
      </c>
      <c r="E1069" t="s">
        <v>321</v>
      </c>
      <c r="F1069" t="s">
        <v>94</v>
      </c>
      <c r="G1069" t="s">
        <v>91</v>
      </c>
      <c r="H1069" t="s">
        <v>334</v>
      </c>
      <c r="I1069" t="s">
        <v>323</v>
      </c>
      <c r="J1069" t="s">
        <v>324</v>
      </c>
      <c r="K1069" t="s">
        <v>345</v>
      </c>
      <c r="L1069" t="s">
        <v>346</v>
      </c>
      <c r="M1069">
        <v>0.14416666666666667</v>
      </c>
      <c r="N1069">
        <v>519</v>
      </c>
      <c r="O1069">
        <v>2460.06</v>
      </c>
      <c r="P1069">
        <v>4.74</v>
      </c>
      <c r="Q1069">
        <v>519</v>
      </c>
    </row>
    <row r="1070" spans="1:17" x14ac:dyDescent="0.35">
      <c r="A1070" s="46">
        <v>46117</v>
      </c>
      <c r="B1070" t="s">
        <v>136</v>
      </c>
      <c r="C1070" t="s">
        <v>387</v>
      </c>
      <c r="D1070" t="s">
        <v>385</v>
      </c>
      <c r="E1070" t="s">
        <v>321</v>
      </c>
      <c r="F1070" t="s">
        <v>94</v>
      </c>
      <c r="G1070" t="s">
        <v>91</v>
      </c>
      <c r="H1070" t="s">
        <v>343</v>
      </c>
      <c r="I1070" t="s">
        <v>323</v>
      </c>
      <c r="J1070" t="s">
        <v>324</v>
      </c>
      <c r="K1070" t="s">
        <v>345</v>
      </c>
      <c r="L1070" t="s">
        <v>346</v>
      </c>
      <c r="M1070">
        <v>0.29333333333333333</v>
      </c>
      <c r="N1070">
        <v>1056</v>
      </c>
      <c r="O1070">
        <v>3968.5199999999995</v>
      </c>
      <c r="P1070">
        <v>3.7580681818181816</v>
      </c>
      <c r="Q1070">
        <v>1056</v>
      </c>
    </row>
    <row r="1071" spans="1:17" x14ac:dyDescent="0.35">
      <c r="A1071" s="46">
        <v>46117</v>
      </c>
      <c r="B1071" t="s">
        <v>136</v>
      </c>
      <c r="C1071" t="s">
        <v>386</v>
      </c>
      <c r="D1071" t="s">
        <v>385</v>
      </c>
      <c r="E1071" t="s">
        <v>321</v>
      </c>
      <c r="F1071" t="s">
        <v>94</v>
      </c>
      <c r="G1071" t="s">
        <v>91</v>
      </c>
      <c r="H1071" t="s">
        <v>334</v>
      </c>
      <c r="I1071" t="s">
        <v>323</v>
      </c>
      <c r="J1071" t="s">
        <v>324</v>
      </c>
      <c r="K1071" t="s">
        <v>345</v>
      </c>
      <c r="L1071" t="s">
        <v>346</v>
      </c>
      <c r="M1071">
        <v>0.57138888888888884</v>
      </c>
      <c r="N1071">
        <v>2057</v>
      </c>
      <c r="O1071">
        <v>9176.25</v>
      </c>
      <c r="P1071">
        <v>4.4609868740884782</v>
      </c>
      <c r="Q1071">
        <v>2057</v>
      </c>
    </row>
    <row r="1072" spans="1:17" x14ac:dyDescent="0.35">
      <c r="A1072" s="46">
        <v>46117</v>
      </c>
      <c r="B1072" t="s">
        <v>136</v>
      </c>
      <c r="C1072" t="s">
        <v>387</v>
      </c>
      <c r="D1072" t="s">
        <v>385</v>
      </c>
      <c r="E1072" t="s">
        <v>321</v>
      </c>
      <c r="F1072" t="s">
        <v>94</v>
      </c>
      <c r="G1072" t="s">
        <v>91</v>
      </c>
      <c r="H1072" t="s">
        <v>369</v>
      </c>
      <c r="I1072" t="s">
        <v>323</v>
      </c>
      <c r="J1072" t="s">
        <v>324</v>
      </c>
      <c r="K1072" t="s">
        <v>345</v>
      </c>
      <c r="L1072" t="s">
        <v>346</v>
      </c>
      <c r="M1072">
        <v>0.69555555555555559</v>
      </c>
      <c r="N1072">
        <v>2504</v>
      </c>
      <c r="O1072">
        <v>9922.59</v>
      </c>
      <c r="P1072">
        <v>3.9626956869009584</v>
      </c>
      <c r="Q1072">
        <v>2504</v>
      </c>
    </row>
    <row r="1073" spans="1:17" x14ac:dyDescent="0.35">
      <c r="A1073" s="46">
        <v>46117</v>
      </c>
      <c r="B1073" t="s">
        <v>136</v>
      </c>
      <c r="C1073" t="s">
        <v>319</v>
      </c>
      <c r="D1073" t="s">
        <v>385</v>
      </c>
      <c r="E1073" t="s">
        <v>321</v>
      </c>
      <c r="F1073" t="s">
        <v>94</v>
      </c>
      <c r="G1073" t="s">
        <v>91</v>
      </c>
      <c r="H1073" t="s">
        <v>343</v>
      </c>
      <c r="I1073" t="s">
        <v>323</v>
      </c>
      <c r="J1073" t="s">
        <v>324</v>
      </c>
      <c r="K1073" t="s">
        <v>345</v>
      </c>
      <c r="L1073" t="s">
        <v>346</v>
      </c>
      <c r="M1073">
        <v>1.9280555555555556</v>
      </c>
      <c r="N1073">
        <v>6941</v>
      </c>
      <c r="O1073">
        <v>25607.03</v>
      </c>
      <c r="P1073">
        <v>3.6892421841233252</v>
      </c>
      <c r="Q1073">
        <v>6941</v>
      </c>
    </row>
    <row r="1074" spans="1:17" x14ac:dyDescent="0.35">
      <c r="A1074" s="46">
        <v>46117</v>
      </c>
      <c r="B1074" t="s">
        <v>136</v>
      </c>
      <c r="C1074" t="s">
        <v>386</v>
      </c>
      <c r="D1074" t="s">
        <v>385</v>
      </c>
      <c r="E1074" t="s">
        <v>321</v>
      </c>
      <c r="F1074" t="s">
        <v>94</v>
      </c>
      <c r="G1074" t="s">
        <v>91</v>
      </c>
      <c r="H1074" t="s">
        <v>369</v>
      </c>
      <c r="I1074" t="s">
        <v>323</v>
      </c>
      <c r="J1074" t="s">
        <v>324</v>
      </c>
      <c r="K1074" t="s">
        <v>345</v>
      </c>
      <c r="L1074" t="s">
        <v>346</v>
      </c>
      <c r="M1074">
        <v>2.0011111111111113</v>
      </c>
      <c r="N1074">
        <v>7204</v>
      </c>
      <c r="O1074">
        <v>34889.550000000003</v>
      </c>
      <c r="P1074">
        <v>4.8430802332037759</v>
      </c>
      <c r="Q1074">
        <v>7204</v>
      </c>
    </row>
    <row r="1075" spans="1:17" x14ac:dyDescent="0.35">
      <c r="A1075" s="46">
        <v>46117</v>
      </c>
      <c r="B1075" t="s">
        <v>136</v>
      </c>
      <c r="C1075" t="s">
        <v>386</v>
      </c>
      <c r="D1075" t="s">
        <v>385</v>
      </c>
      <c r="E1075" t="s">
        <v>321</v>
      </c>
      <c r="F1075" t="s">
        <v>94</v>
      </c>
      <c r="G1075" t="s">
        <v>91</v>
      </c>
      <c r="H1075" t="s">
        <v>327</v>
      </c>
      <c r="I1075" t="s">
        <v>323</v>
      </c>
      <c r="J1075" t="s">
        <v>324</v>
      </c>
      <c r="K1075" t="s">
        <v>142</v>
      </c>
      <c r="L1075" t="s">
        <v>143</v>
      </c>
      <c r="M1075">
        <v>1.9444444444444444E-3</v>
      </c>
      <c r="N1075">
        <v>7</v>
      </c>
      <c r="O1075">
        <v>14.42</v>
      </c>
      <c r="P1075">
        <v>2.06</v>
      </c>
      <c r="Q1075">
        <v>7</v>
      </c>
    </row>
    <row r="1076" spans="1:17" x14ac:dyDescent="0.35">
      <c r="A1076" s="46">
        <v>46117</v>
      </c>
      <c r="B1076" t="s">
        <v>136</v>
      </c>
      <c r="C1076" t="s">
        <v>387</v>
      </c>
      <c r="D1076" t="s">
        <v>385</v>
      </c>
      <c r="E1076" t="s">
        <v>321</v>
      </c>
      <c r="F1076" t="s">
        <v>94</v>
      </c>
      <c r="G1076" t="s">
        <v>91</v>
      </c>
      <c r="H1076" t="s">
        <v>343</v>
      </c>
      <c r="I1076" t="s">
        <v>323</v>
      </c>
      <c r="J1076" t="s">
        <v>324</v>
      </c>
      <c r="K1076" t="s">
        <v>142</v>
      </c>
      <c r="L1076" t="s">
        <v>143</v>
      </c>
      <c r="M1076">
        <v>2.0555555555555556E-2</v>
      </c>
      <c r="N1076">
        <v>74</v>
      </c>
      <c r="O1076">
        <v>307.10000000000002</v>
      </c>
      <c r="P1076">
        <v>4.1500000000000004</v>
      </c>
      <c r="Q1076">
        <v>74</v>
      </c>
    </row>
    <row r="1077" spans="1:17" x14ac:dyDescent="0.35">
      <c r="A1077" s="46">
        <v>46117</v>
      </c>
      <c r="B1077" t="s">
        <v>136</v>
      </c>
      <c r="C1077" t="s">
        <v>387</v>
      </c>
      <c r="D1077" t="s">
        <v>385</v>
      </c>
      <c r="E1077" t="s">
        <v>321</v>
      </c>
      <c r="F1077" t="s">
        <v>94</v>
      </c>
      <c r="G1077" t="s">
        <v>91</v>
      </c>
      <c r="H1077" t="s">
        <v>369</v>
      </c>
      <c r="I1077" t="s">
        <v>323</v>
      </c>
      <c r="J1077" t="s">
        <v>324</v>
      </c>
      <c r="K1077" t="s">
        <v>142</v>
      </c>
      <c r="L1077" t="s">
        <v>143</v>
      </c>
      <c r="M1077">
        <v>2.75E-2</v>
      </c>
      <c r="N1077">
        <v>99</v>
      </c>
      <c r="O1077">
        <v>354.42</v>
      </c>
      <c r="P1077">
        <v>3.58</v>
      </c>
      <c r="Q1077">
        <v>99</v>
      </c>
    </row>
    <row r="1078" spans="1:17" x14ac:dyDescent="0.35">
      <c r="A1078" s="46">
        <v>46117</v>
      </c>
      <c r="B1078" t="s">
        <v>136</v>
      </c>
      <c r="C1078" t="s">
        <v>386</v>
      </c>
      <c r="D1078" t="s">
        <v>385</v>
      </c>
      <c r="E1078" t="s">
        <v>321</v>
      </c>
      <c r="F1078" t="s">
        <v>94</v>
      </c>
      <c r="G1078" t="s">
        <v>91</v>
      </c>
      <c r="H1078" t="s">
        <v>369</v>
      </c>
      <c r="I1078" t="s">
        <v>323</v>
      </c>
      <c r="J1078" t="s">
        <v>324</v>
      </c>
      <c r="K1078" t="s">
        <v>142</v>
      </c>
      <c r="L1078" t="s">
        <v>143</v>
      </c>
      <c r="M1078">
        <v>6.3333333333333339E-2</v>
      </c>
      <c r="N1078">
        <v>228</v>
      </c>
      <c r="O1078">
        <v>695.1</v>
      </c>
      <c r="P1078">
        <v>3.0486842105263161</v>
      </c>
      <c r="Q1078">
        <v>228</v>
      </c>
    </row>
    <row r="1079" spans="1:17" x14ac:dyDescent="0.35">
      <c r="A1079" s="46">
        <v>46117</v>
      </c>
      <c r="B1079" t="s">
        <v>136</v>
      </c>
      <c r="C1079" t="s">
        <v>319</v>
      </c>
      <c r="D1079" t="s">
        <v>385</v>
      </c>
      <c r="E1079" t="s">
        <v>321</v>
      </c>
      <c r="F1079" t="s">
        <v>322</v>
      </c>
      <c r="G1079" t="s">
        <v>322</v>
      </c>
      <c r="H1079" t="s">
        <v>322</v>
      </c>
      <c r="I1079" t="s">
        <v>323</v>
      </c>
      <c r="J1079" t="s">
        <v>324</v>
      </c>
      <c r="K1079" t="s">
        <v>142</v>
      </c>
      <c r="L1079" t="s">
        <v>143</v>
      </c>
      <c r="M1079">
        <v>0.13472222222222222</v>
      </c>
      <c r="N1079">
        <v>485</v>
      </c>
      <c r="O1079">
        <v>1886.65</v>
      </c>
      <c r="P1079">
        <v>3.89</v>
      </c>
      <c r="Q1079">
        <v>485</v>
      </c>
    </row>
    <row r="1080" spans="1:17" x14ac:dyDescent="0.35">
      <c r="A1080" s="46">
        <v>46117</v>
      </c>
      <c r="B1080" t="s">
        <v>136</v>
      </c>
      <c r="C1080" t="s">
        <v>319</v>
      </c>
      <c r="D1080" t="s">
        <v>385</v>
      </c>
      <c r="E1080" t="s">
        <v>321</v>
      </c>
      <c r="F1080" t="s">
        <v>94</v>
      </c>
      <c r="G1080" t="s">
        <v>91</v>
      </c>
      <c r="H1080" t="s">
        <v>343</v>
      </c>
      <c r="I1080" t="s">
        <v>323</v>
      </c>
      <c r="J1080" t="s">
        <v>324</v>
      </c>
      <c r="K1080" t="s">
        <v>375</v>
      </c>
      <c r="L1080" t="s">
        <v>376</v>
      </c>
      <c r="M1080">
        <v>2.7777777777777778E-4</v>
      </c>
      <c r="N1080">
        <v>1</v>
      </c>
      <c r="O1080">
        <v>0</v>
      </c>
    </row>
    <row r="1081" spans="1:17" x14ac:dyDescent="0.35">
      <c r="A1081" s="46">
        <v>46117</v>
      </c>
      <c r="B1081" t="s">
        <v>136</v>
      </c>
      <c r="C1081" t="s">
        <v>386</v>
      </c>
      <c r="D1081" t="s">
        <v>385</v>
      </c>
      <c r="E1081" t="s">
        <v>321</v>
      </c>
      <c r="F1081" t="s">
        <v>94</v>
      </c>
      <c r="G1081" t="s">
        <v>91</v>
      </c>
      <c r="H1081" t="s">
        <v>327</v>
      </c>
      <c r="I1081" t="s">
        <v>323</v>
      </c>
      <c r="J1081" t="s">
        <v>324</v>
      </c>
      <c r="K1081" t="s">
        <v>200</v>
      </c>
      <c r="L1081" t="s">
        <v>201</v>
      </c>
      <c r="M1081">
        <v>0.51055555555555554</v>
      </c>
      <c r="N1081">
        <v>1838</v>
      </c>
      <c r="O1081">
        <v>0</v>
      </c>
    </row>
    <row r="1082" spans="1:17" x14ac:dyDescent="0.35">
      <c r="A1082" s="46">
        <v>46117</v>
      </c>
      <c r="B1082" t="s">
        <v>136</v>
      </c>
      <c r="C1082" t="s">
        <v>388</v>
      </c>
      <c r="D1082" t="s">
        <v>385</v>
      </c>
      <c r="E1082" t="s">
        <v>321</v>
      </c>
      <c r="F1082" t="s">
        <v>94</v>
      </c>
      <c r="G1082" t="s">
        <v>91</v>
      </c>
      <c r="H1082" t="s">
        <v>369</v>
      </c>
      <c r="I1082" t="s">
        <v>323</v>
      </c>
      <c r="J1082" t="s">
        <v>324</v>
      </c>
      <c r="K1082" t="s">
        <v>200</v>
      </c>
      <c r="L1082" t="s">
        <v>201</v>
      </c>
      <c r="M1082">
        <v>0.04</v>
      </c>
      <c r="N1082">
        <v>144</v>
      </c>
      <c r="O1082">
        <v>0</v>
      </c>
    </row>
    <row r="1083" spans="1:17" x14ac:dyDescent="0.35">
      <c r="A1083" s="46">
        <v>46117</v>
      </c>
      <c r="B1083" t="s">
        <v>136</v>
      </c>
      <c r="C1083" t="s">
        <v>386</v>
      </c>
      <c r="D1083" t="s">
        <v>385</v>
      </c>
      <c r="E1083" t="s">
        <v>321</v>
      </c>
      <c r="F1083" t="s">
        <v>94</v>
      </c>
      <c r="G1083" t="s">
        <v>91</v>
      </c>
      <c r="H1083" t="s">
        <v>369</v>
      </c>
      <c r="I1083" t="s">
        <v>323</v>
      </c>
      <c r="J1083" t="s">
        <v>324</v>
      </c>
      <c r="K1083" t="s">
        <v>200</v>
      </c>
      <c r="L1083" t="s">
        <v>201</v>
      </c>
      <c r="M1083">
        <v>1.4508333333333334</v>
      </c>
      <c r="N1083">
        <v>5223</v>
      </c>
      <c r="O1083">
        <v>0</v>
      </c>
    </row>
    <row r="1084" spans="1:17" x14ac:dyDescent="0.35">
      <c r="A1084" s="46">
        <v>46117</v>
      </c>
      <c r="B1084" t="s">
        <v>136</v>
      </c>
      <c r="C1084" t="s">
        <v>386</v>
      </c>
      <c r="D1084" t="s">
        <v>385</v>
      </c>
      <c r="E1084" t="s">
        <v>321</v>
      </c>
      <c r="F1084" t="s">
        <v>94</v>
      </c>
      <c r="G1084" t="s">
        <v>91</v>
      </c>
      <c r="H1084" t="s">
        <v>334</v>
      </c>
      <c r="I1084" t="s">
        <v>323</v>
      </c>
      <c r="J1084" t="s">
        <v>324</v>
      </c>
      <c r="K1084" t="s">
        <v>200</v>
      </c>
      <c r="L1084" t="s">
        <v>201</v>
      </c>
      <c r="M1084">
        <v>0.61805555555555558</v>
      </c>
      <c r="N1084">
        <v>2225</v>
      </c>
      <c r="O1084">
        <v>0</v>
      </c>
    </row>
    <row r="1085" spans="1:17" x14ac:dyDescent="0.35">
      <c r="A1085" s="46">
        <v>46117</v>
      </c>
      <c r="B1085" t="s">
        <v>136</v>
      </c>
      <c r="C1085" t="s">
        <v>388</v>
      </c>
      <c r="D1085" t="s">
        <v>385</v>
      </c>
      <c r="E1085" t="s">
        <v>321</v>
      </c>
      <c r="F1085" t="s">
        <v>94</v>
      </c>
      <c r="G1085" t="s">
        <v>91</v>
      </c>
      <c r="H1085" t="s">
        <v>334</v>
      </c>
      <c r="I1085" t="s">
        <v>323</v>
      </c>
      <c r="J1085" t="s">
        <v>324</v>
      </c>
      <c r="K1085" t="s">
        <v>350</v>
      </c>
      <c r="L1085" t="s">
        <v>351</v>
      </c>
      <c r="M1085">
        <v>2.9166666666666667E-2</v>
      </c>
      <c r="N1085">
        <v>105</v>
      </c>
      <c r="O1085">
        <v>0</v>
      </c>
    </row>
    <row r="1086" spans="1:17" x14ac:dyDescent="0.35">
      <c r="A1086" s="46">
        <v>46117</v>
      </c>
      <c r="B1086" t="s">
        <v>136</v>
      </c>
      <c r="C1086" t="s">
        <v>386</v>
      </c>
      <c r="D1086" t="s">
        <v>385</v>
      </c>
      <c r="E1086" t="s">
        <v>321</v>
      </c>
      <c r="F1086" t="s">
        <v>94</v>
      </c>
      <c r="G1086" t="s">
        <v>91</v>
      </c>
      <c r="H1086" t="s">
        <v>327</v>
      </c>
      <c r="I1086" t="s">
        <v>323</v>
      </c>
      <c r="J1086" t="s">
        <v>324</v>
      </c>
      <c r="K1086" t="s">
        <v>350</v>
      </c>
      <c r="L1086" t="s">
        <v>351</v>
      </c>
      <c r="M1086">
        <v>4.4444444444444444E-3</v>
      </c>
      <c r="N1086">
        <v>16</v>
      </c>
      <c r="O1086">
        <v>29.28</v>
      </c>
      <c r="P1086">
        <v>1.83</v>
      </c>
      <c r="Q1086">
        <v>16</v>
      </c>
    </row>
    <row r="1087" spans="1:17" x14ac:dyDescent="0.35">
      <c r="A1087" s="46">
        <v>46117</v>
      </c>
      <c r="B1087" t="s">
        <v>136</v>
      </c>
      <c r="C1087" t="s">
        <v>387</v>
      </c>
      <c r="D1087" t="s">
        <v>385</v>
      </c>
      <c r="E1087" t="s">
        <v>321</v>
      </c>
      <c r="F1087" t="s">
        <v>322</v>
      </c>
      <c r="G1087" t="s">
        <v>322</v>
      </c>
      <c r="H1087" t="s">
        <v>322</v>
      </c>
      <c r="I1087" t="s">
        <v>323</v>
      </c>
      <c r="J1087" t="s">
        <v>324</v>
      </c>
      <c r="K1087" t="s">
        <v>350</v>
      </c>
      <c r="L1087" t="s">
        <v>351</v>
      </c>
      <c r="M1087">
        <v>1.861111111111111E-2</v>
      </c>
      <c r="N1087">
        <v>67</v>
      </c>
      <c r="O1087">
        <v>229.81</v>
      </c>
      <c r="P1087">
        <v>3.43</v>
      </c>
      <c r="Q1087">
        <v>67</v>
      </c>
    </row>
    <row r="1088" spans="1:17" x14ac:dyDescent="0.35">
      <c r="A1088" s="46">
        <v>46117</v>
      </c>
      <c r="B1088" t="s">
        <v>136</v>
      </c>
      <c r="C1088" t="s">
        <v>386</v>
      </c>
      <c r="D1088" t="s">
        <v>385</v>
      </c>
      <c r="E1088" t="s">
        <v>321</v>
      </c>
      <c r="F1088" t="s">
        <v>322</v>
      </c>
      <c r="G1088" t="s">
        <v>322</v>
      </c>
      <c r="H1088" t="s">
        <v>322</v>
      </c>
      <c r="I1088" t="s">
        <v>323</v>
      </c>
      <c r="J1088" t="s">
        <v>324</v>
      </c>
      <c r="K1088" t="s">
        <v>350</v>
      </c>
      <c r="L1088" t="s">
        <v>351</v>
      </c>
      <c r="M1088">
        <v>5.2499999999999998E-2</v>
      </c>
      <c r="N1088">
        <v>189</v>
      </c>
      <c r="O1088">
        <v>583.02</v>
      </c>
      <c r="P1088">
        <v>3.0847619047619048</v>
      </c>
      <c r="Q1088">
        <v>189</v>
      </c>
    </row>
    <row r="1089" spans="1:17" x14ac:dyDescent="0.35">
      <c r="A1089" s="46">
        <v>46117</v>
      </c>
      <c r="B1089" t="s">
        <v>136</v>
      </c>
      <c r="C1089" t="s">
        <v>319</v>
      </c>
      <c r="D1089" t="s">
        <v>385</v>
      </c>
      <c r="E1089" t="s">
        <v>321</v>
      </c>
      <c r="F1089" t="s">
        <v>322</v>
      </c>
      <c r="G1089" t="s">
        <v>322</v>
      </c>
      <c r="H1089" t="s">
        <v>322</v>
      </c>
      <c r="I1089" t="s">
        <v>323</v>
      </c>
      <c r="J1089" t="s">
        <v>324</v>
      </c>
      <c r="K1089" t="s">
        <v>350</v>
      </c>
      <c r="L1089" t="s">
        <v>351</v>
      </c>
      <c r="M1089">
        <v>6.5833333333333327E-2</v>
      </c>
      <c r="N1089">
        <v>237</v>
      </c>
      <c r="O1089">
        <v>844.45</v>
      </c>
      <c r="P1089">
        <v>3.5630801687763713</v>
      </c>
      <c r="Q1089">
        <v>237</v>
      </c>
    </row>
    <row r="1090" spans="1:17" x14ac:dyDescent="0.35">
      <c r="A1090" s="46">
        <v>46117</v>
      </c>
      <c r="B1090" t="s">
        <v>136</v>
      </c>
      <c r="C1090" t="s">
        <v>388</v>
      </c>
      <c r="D1090" t="s">
        <v>385</v>
      </c>
      <c r="E1090" t="s">
        <v>321</v>
      </c>
      <c r="F1090" t="s">
        <v>94</v>
      </c>
      <c r="G1090" t="s">
        <v>91</v>
      </c>
      <c r="H1090" t="s">
        <v>369</v>
      </c>
      <c r="I1090" t="s">
        <v>323</v>
      </c>
      <c r="J1090" t="s">
        <v>324</v>
      </c>
      <c r="K1090" t="s">
        <v>350</v>
      </c>
      <c r="L1090" t="s">
        <v>351</v>
      </c>
      <c r="M1090">
        <v>7.3055555555555554E-2</v>
      </c>
      <c r="N1090">
        <v>263</v>
      </c>
      <c r="O1090">
        <v>1036.22</v>
      </c>
      <c r="P1090">
        <v>3.94</v>
      </c>
      <c r="Q1090">
        <v>263</v>
      </c>
    </row>
    <row r="1091" spans="1:17" x14ac:dyDescent="0.35">
      <c r="A1091" s="46">
        <v>46117</v>
      </c>
      <c r="B1091" t="s">
        <v>136</v>
      </c>
      <c r="C1091" t="s">
        <v>386</v>
      </c>
      <c r="D1091" t="s">
        <v>385</v>
      </c>
      <c r="E1091" t="s">
        <v>321</v>
      </c>
      <c r="F1091" t="s">
        <v>94</v>
      </c>
      <c r="G1091" t="s">
        <v>91</v>
      </c>
      <c r="H1091" t="s">
        <v>334</v>
      </c>
      <c r="I1091" t="s">
        <v>323</v>
      </c>
      <c r="J1091" t="s">
        <v>324</v>
      </c>
      <c r="K1091" t="s">
        <v>350</v>
      </c>
      <c r="L1091" t="s">
        <v>351</v>
      </c>
      <c r="M1091">
        <v>0.19722222222222222</v>
      </c>
      <c r="N1091">
        <v>710</v>
      </c>
      <c r="O1091">
        <v>2241.44</v>
      </c>
      <c r="P1091">
        <v>3.2721751824817518</v>
      </c>
      <c r="Q1091">
        <v>685</v>
      </c>
    </row>
    <row r="1092" spans="1:17" x14ac:dyDescent="0.35">
      <c r="A1092" s="46">
        <v>46117</v>
      </c>
      <c r="B1092" t="s">
        <v>136</v>
      </c>
      <c r="C1092" t="s">
        <v>387</v>
      </c>
      <c r="D1092" t="s">
        <v>385</v>
      </c>
      <c r="E1092" t="s">
        <v>321</v>
      </c>
      <c r="F1092" t="s">
        <v>94</v>
      </c>
      <c r="G1092" t="s">
        <v>91</v>
      </c>
      <c r="H1092" t="s">
        <v>369</v>
      </c>
      <c r="I1092" t="s">
        <v>323</v>
      </c>
      <c r="J1092" t="s">
        <v>324</v>
      </c>
      <c r="K1092" t="s">
        <v>350</v>
      </c>
      <c r="L1092" t="s">
        <v>351</v>
      </c>
      <c r="M1092">
        <v>0.24555555555555555</v>
      </c>
      <c r="N1092">
        <v>884</v>
      </c>
      <c r="O1092">
        <v>3588.42</v>
      </c>
      <c r="P1092">
        <v>4.0592986425339364</v>
      </c>
      <c r="Q1092">
        <v>884</v>
      </c>
    </row>
    <row r="1093" spans="1:17" x14ac:dyDescent="0.35">
      <c r="A1093" s="46">
        <v>46117</v>
      </c>
      <c r="B1093" t="s">
        <v>136</v>
      </c>
      <c r="C1093" t="s">
        <v>387</v>
      </c>
      <c r="D1093" t="s">
        <v>385</v>
      </c>
      <c r="E1093" t="s">
        <v>321</v>
      </c>
      <c r="F1093" t="s">
        <v>94</v>
      </c>
      <c r="G1093" t="s">
        <v>91</v>
      </c>
      <c r="H1093" t="s">
        <v>343</v>
      </c>
      <c r="I1093" t="s">
        <v>323</v>
      </c>
      <c r="J1093" t="s">
        <v>324</v>
      </c>
      <c r="K1093" t="s">
        <v>350</v>
      </c>
      <c r="L1093" t="s">
        <v>351</v>
      </c>
      <c r="M1093">
        <v>0.33</v>
      </c>
      <c r="N1093">
        <v>1188</v>
      </c>
      <c r="O1093">
        <v>4195.5599999999995</v>
      </c>
      <c r="P1093">
        <v>3.531616161616161</v>
      </c>
      <c r="Q1093">
        <v>1188</v>
      </c>
    </row>
    <row r="1094" spans="1:17" x14ac:dyDescent="0.35">
      <c r="A1094" s="46">
        <v>46117</v>
      </c>
      <c r="B1094" t="s">
        <v>136</v>
      </c>
      <c r="C1094" t="s">
        <v>386</v>
      </c>
      <c r="D1094" t="s">
        <v>385</v>
      </c>
      <c r="E1094" t="s">
        <v>321</v>
      </c>
      <c r="F1094" t="s">
        <v>94</v>
      </c>
      <c r="G1094" t="s">
        <v>91</v>
      </c>
      <c r="H1094" t="s">
        <v>369</v>
      </c>
      <c r="I1094" t="s">
        <v>323</v>
      </c>
      <c r="J1094" t="s">
        <v>324</v>
      </c>
      <c r="K1094" t="s">
        <v>350</v>
      </c>
      <c r="L1094" t="s">
        <v>351</v>
      </c>
      <c r="M1094">
        <v>0.65222222222222226</v>
      </c>
      <c r="N1094">
        <v>2348</v>
      </c>
      <c r="O1094">
        <v>7339.49</v>
      </c>
      <c r="P1094">
        <v>3.1258475298126065</v>
      </c>
      <c r="Q1094">
        <v>2348</v>
      </c>
    </row>
    <row r="1095" spans="1:17" x14ac:dyDescent="0.35">
      <c r="A1095" s="46">
        <v>46117</v>
      </c>
      <c r="B1095" t="s">
        <v>136</v>
      </c>
      <c r="C1095" t="s">
        <v>319</v>
      </c>
      <c r="D1095" t="s">
        <v>385</v>
      </c>
      <c r="E1095" t="s">
        <v>321</v>
      </c>
      <c r="F1095" t="s">
        <v>94</v>
      </c>
      <c r="G1095" t="s">
        <v>91</v>
      </c>
      <c r="H1095" t="s">
        <v>343</v>
      </c>
      <c r="I1095" t="s">
        <v>323</v>
      </c>
      <c r="J1095" t="s">
        <v>324</v>
      </c>
      <c r="K1095" t="s">
        <v>350</v>
      </c>
      <c r="L1095" t="s">
        <v>351</v>
      </c>
      <c r="M1095">
        <v>1.1355555555555557</v>
      </c>
      <c r="N1095">
        <v>4088</v>
      </c>
      <c r="O1095">
        <v>12414.51</v>
      </c>
      <c r="P1095">
        <v>3.0368175146771037</v>
      </c>
      <c r="Q1095">
        <v>4088</v>
      </c>
    </row>
    <row r="1096" spans="1:17" x14ac:dyDescent="0.35">
      <c r="A1096" s="46">
        <v>46117</v>
      </c>
      <c r="B1096" t="s">
        <v>136</v>
      </c>
      <c r="C1096" t="s">
        <v>319</v>
      </c>
      <c r="D1096" t="s">
        <v>385</v>
      </c>
      <c r="E1096" t="s">
        <v>321</v>
      </c>
      <c r="F1096" t="s">
        <v>322</v>
      </c>
      <c r="G1096" t="s">
        <v>322</v>
      </c>
      <c r="H1096" t="s">
        <v>322</v>
      </c>
      <c r="I1096" t="s">
        <v>323</v>
      </c>
      <c r="J1096" t="s">
        <v>324</v>
      </c>
      <c r="K1096" t="s">
        <v>184</v>
      </c>
      <c r="L1096" t="s">
        <v>185</v>
      </c>
      <c r="M1096">
        <v>8.5775000000000006</v>
      </c>
      <c r="N1096">
        <v>30879</v>
      </c>
      <c r="O1096">
        <v>0</v>
      </c>
    </row>
    <row r="1097" spans="1:17" x14ac:dyDescent="0.35">
      <c r="A1097" s="46">
        <v>46117</v>
      </c>
      <c r="B1097" t="s">
        <v>136</v>
      </c>
      <c r="C1097" t="s">
        <v>386</v>
      </c>
      <c r="D1097" t="s">
        <v>385</v>
      </c>
      <c r="E1097" t="s">
        <v>321</v>
      </c>
      <c r="F1097" t="s">
        <v>94</v>
      </c>
      <c r="G1097" t="s">
        <v>91</v>
      </c>
      <c r="H1097" t="s">
        <v>369</v>
      </c>
      <c r="I1097" t="s">
        <v>323</v>
      </c>
      <c r="J1097" t="s">
        <v>324</v>
      </c>
      <c r="K1097" t="s">
        <v>184</v>
      </c>
      <c r="L1097" t="s">
        <v>185</v>
      </c>
      <c r="M1097">
        <v>0.80777777777777782</v>
      </c>
      <c r="N1097">
        <v>2908</v>
      </c>
      <c r="O1097">
        <v>0</v>
      </c>
    </row>
    <row r="1098" spans="1:17" x14ac:dyDescent="0.35">
      <c r="A1098" s="46">
        <v>46117</v>
      </c>
      <c r="B1098" t="s">
        <v>136</v>
      </c>
      <c r="C1098" t="s">
        <v>386</v>
      </c>
      <c r="D1098" t="s">
        <v>385</v>
      </c>
      <c r="E1098" t="s">
        <v>321</v>
      </c>
      <c r="F1098" t="s">
        <v>94</v>
      </c>
      <c r="G1098" t="s">
        <v>91</v>
      </c>
      <c r="H1098" t="s">
        <v>334</v>
      </c>
      <c r="I1098" t="s">
        <v>323</v>
      </c>
      <c r="J1098" t="s">
        <v>324</v>
      </c>
      <c r="K1098" t="s">
        <v>184</v>
      </c>
      <c r="L1098" t="s">
        <v>185</v>
      </c>
      <c r="M1098">
        <v>0.23916666666666667</v>
      </c>
      <c r="N1098">
        <v>861</v>
      </c>
      <c r="O1098">
        <v>0</v>
      </c>
    </row>
    <row r="1099" spans="1:17" x14ac:dyDescent="0.35">
      <c r="A1099" s="46">
        <v>46117</v>
      </c>
      <c r="B1099" t="s">
        <v>136</v>
      </c>
      <c r="C1099" t="s">
        <v>387</v>
      </c>
      <c r="D1099" t="s">
        <v>385</v>
      </c>
      <c r="E1099" t="s">
        <v>321</v>
      </c>
      <c r="F1099" t="s">
        <v>94</v>
      </c>
      <c r="G1099" t="s">
        <v>91</v>
      </c>
      <c r="H1099" t="s">
        <v>343</v>
      </c>
      <c r="I1099" t="s">
        <v>323</v>
      </c>
      <c r="J1099" t="s">
        <v>324</v>
      </c>
      <c r="K1099" t="s">
        <v>184</v>
      </c>
      <c r="L1099" t="s">
        <v>185</v>
      </c>
      <c r="M1099">
        <v>0.10361111111111111</v>
      </c>
      <c r="N1099">
        <v>373</v>
      </c>
      <c r="O1099">
        <v>0</v>
      </c>
    </row>
    <row r="1100" spans="1:17" x14ac:dyDescent="0.35">
      <c r="A1100" s="46">
        <v>46117</v>
      </c>
      <c r="B1100" t="s">
        <v>136</v>
      </c>
      <c r="C1100" t="s">
        <v>319</v>
      </c>
      <c r="D1100" t="s">
        <v>385</v>
      </c>
      <c r="E1100" t="s">
        <v>321</v>
      </c>
      <c r="F1100" t="s">
        <v>94</v>
      </c>
      <c r="G1100" t="s">
        <v>91</v>
      </c>
      <c r="H1100" t="s">
        <v>343</v>
      </c>
      <c r="I1100" t="s">
        <v>323</v>
      </c>
      <c r="J1100" t="s">
        <v>324</v>
      </c>
      <c r="K1100" t="s">
        <v>184</v>
      </c>
      <c r="L1100" t="s">
        <v>185</v>
      </c>
      <c r="M1100">
        <v>1.4683333333333333</v>
      </c>
      <c r="N1100">
        <v>5286</v>
      </c>
      <c r="O1100">
        <v>0</v>
      </c>
    </row>
    <row r="1101" spans="1:17" x14ac:dyDescent="0.35">
      <c r="A1101" s="46">
        <v>46117</v>
      </c>
      <c r="B1101" t="s">
        <v>136</v>
      </c>
      <c r="C1101" t="s">
        <v>387</v>
      </c>
      <c r="D1101" t="s">
        <v>385</v>
      </c>
      <c r="E1101" t="s">
        <v>321</v>
      </c>
      <c r="F1101" t="s">
        <v>322</v>
      </c>
      <c r="G1101" t="s">
        <v>322</v>
      </c>
      <c r="H1101" t="s">
        <v>322</v>
      </c>
      <c r="I1101" t="s">
        <v>323</v>
      </c>
      <c r="J1101" t="s">
        <v>324</v>
      </c>
      <c r="K1101" t="s">
        <v>178</v>
      </c>
      <c r="L1101" t="s">
        <v>179</v>
      </c>
      <c r="M1101">
        <v>5.8333333333333336E-3</v>
      </c>
      <c r="N1101">
        <v>21</v>
      </c>
      <c r="O1101">
        <v>0</v>
      </c>
    </row>
    <row r="1102" spans="1:17" x14ac:dyDescent="0.35">
      <c r="A1102" s="46">
        <v>46117</v>
      </c>
      <c r="B1102" t="s">
        <v>136</v>
      </c>
      <c r="C1102" t="s">
        <v>319</v>
      </c>
      <c r="D1102" t="s">
        <v>385</v>
      </c>
      <c r="E1102" t="s">
        <v>321</v>
      </c>
      <c r="F1102" t="s">
        <v>322</v>
      </c>
      <c r="G1102" t="s">
        <v>322</v>
      </c>
      <c r="H1102" t="s">
        <v>322</v>
      </c>
      <c r="I1102" t="s">
        <v>323</v>
      </c>
      <c r="J1102" t="s">
        <v>324</v>
      </c>
      <c r="K1102" t="s">
        <v>178</v>
      </c>
      <c r="L1102" t="s">
        <v>179</v>
      </c>
      <c r="M1102">
        <v>2.8611111111111111E-2</v>
      </c>
      <c r="N1102">
        <v>103</v>
      </c>
      <c r="O1102">
        <v>0</v>
      </c>
    </row>
    <row r="1103" spans="1:17" x14ac:dyDescent="0.35">
      <c r="A1103" s="46">
        <v>46117</v>
      </c>
      <c r="B1103" t="s">
        <v>136</v>
      </c>
      <c r="C1103" t="s">
        <v>387</v>
      </c>
      <c r="D1103" t="s">
        <v>385</v>
      </c>
      <c r="E1103" t="s">
        <v>321</v>
      </c>
      <c r="F1103" t="s">
        <v>94</v>
      </c>
      <c r="G1103" t="s">
        <v>91</v>
      </c>
      <c r="H1103" t="s">
        <v>369</v>
      </c>
      <c r="I1103" t="s">
        <v>323</v>
      </c>
      <c r="J1103" t="s">
        <v>324</v>
      </c>
      <c r="K1103" t="s">
        <v>178</v>
      </c>
      <c r="L1103" t="s">
        <v>179</v>
      </c>
      <c r="M1103">
        <v>0.25972222222222224</v>
      </c>
      <c r="N1103">
        <v>935</v>
      </c>
      <c r="O1103">
        <v>0</v>
      </c>
    </row>
    <row r="1104" spans="1:17" x14ac:dyDescent="0.35">
      <c r="A1104" s="46">
        <v>46117</v>
      </c>
      <c r="B1104" t="s">
        <v>136</v>
      </c>
      <c r="C1104" t="s">
        <v>386</v>
      </c>
      <c r="D1104" t="s">
        <v>385</v>
      </c>
      <c r="E1104" t="s">
        <v>321</v>
      </c>
      <c r="F1104" t="s">
        <v>94</v>
      </c>
      <c r="G1104" t="s">
        <v>91</v>
      </c>
      <c r="H1104" t="s">
        <v>369</v>
      </c>
      <c r="I1104" t="s">
        <v>323</v>
      </c>
      <c r="J1104" t="s">
        <v>324</v>
      </c>
      <c r="K1104" t="s">
        <v>178</v>
      </c>
      <c r="L1104" t="s">
        <v>179</v>
      </c>
      <c r="M1104">
        <v>9.7777777777777783E-2</v>
      </c>
      <c r="N1104">
        <v>352</v>
      </c>
      <c r="O1104">
        <v>0</v>
      </c>
    </row>
    <row r="1105" spans="1:17" x14ac:dyDescent="0.35">
      <c r="A1105" s="46">
        <v>46117</v>
      </c>
      <c r="B1105" t="s">
        <v>136</v>
      </c>
      <c r="C1105" t="s">
        <v>386</v>
      </c>
      <c r="D1105" t="s">
        <v>385</v>
      </c>
      <c r="E1105" t="s">
        <v>321</v>
      </c>
      <c r="F1105" t="s">
        <v>94</v>
      </c>
      <c r="G1105" t="s">
        <v>91</v>
      </c>
      <c r="H1105" t="s">
        <v>334</v>
      </c>
      <c r="I1105" t="s">
        <v>323</v>
      </c>
      <c r="J1105" t="s">
        <v>324</v>
      </c>
      <c r="K1105" t="s">
        <v>178</v>
      </c>
      <c r="L1105" t="s">
        <v>179</v>
      </c>
      <c r="M1105">
        <v>0.11138888888888888</v>
      </c>
      <c r="N1105">
        <v>401</v>
      </c>
      <c r="O1105">
        <v>0</v>
      </c>
    </row>
    <row r="1106" spans="1:17" x14ac:dyDescent="0.35">
      <c r="A1106" s="46">
        <v>46117</v>
      </c>
      <c r="B1106" t="s">
        <v>136</v>
      </c>
      <c r="C1106" t="s">
        <v>387</v>
      </c>
      <c r="D1106" t="s">
        <v>385</v>
      </c>
      <c r="E1106" t="s">
        <v>321</v>
      </c>
      <c r="F1106" t="s">
        <v>94</v>
      </c>
      <c r="G1106" t="s">
        <v>91</v>
      </c>
      <c r="H1106" t="s">
        <v>343</v>
      </c>
      <c r="I1106" t="s">
        <v>323</v>
      </c>
      <c r="J1106" t="s">
        <v>324</v>
      </c>
      <c r="K1106" t="s">
        <v>178</v>
      </c>
      <c r="L1106" t="s">
        <v>179</v>
      </c>
      <c r="M1106">
        <v>4.8055555555555553E-2</v>
      </c>
      <c r="N1106">
        <v>173</v>
      </c>
      <c r="O1106">
        <v>0</v>
      </c>
    </row>
    <row r="1107" spans="1:17" x14ac:dyDescent="0.35">
      <c r="A1107" s="46">
        <v>46117</v>
      </c>
      <c r="B1107" t="s">
        <v>136</v>
      </c>
      <c r="C1107" t="s">
        <v>319</v>
      </c>
      <c r="D1107" t="s">
        <v>385</v>
      </c>
      <c r="E1107" t="s">
        <v>321</v>
      </c>
      <c r="F1107" t="s">
        <v>94</v>
      </c>
      <c r="G1107" t="s">
        <v>91</v>
      </c>
      <c r="H1107" t="s">
        <v>343</v>
      </c>
      <c r="I1107" t="s">
        <v>323</v>
      </c>
      <c r="J1107" t="s">
        <v>324</v>
      </c>
      <c r="K1107" t="s">
        <v>178</v>
      </c>
      <c r="L1107" t="s">
        <v>179</v>
      </c>
      <c r="M1107">
        <v>0.20444444444444446</v>
      </c>
      <c r="N1107">
        <v>736</v>
      </c>
      <c r="O1107">
        <v>0</v>
      </c>
    </row>
    <row r="1108" spans="1:17" x14ac:dyDescent="0.35">
      <c r="A1108" s="46">
        <v>46117</v>
      </c>
      <c r="B1108" t="s">
        <v>136</v>
      </c>
      <c r="C1108" t="s">
        <v>319</v>
      </c>
      <c r="D1108" t="s">
        <v>391</v>
      </c>
      <c r="E1108" t="s">
        <v>364</v>
      </c>
      <c r="F1108" t="s">
        <v>322</v>
      </c>
      <c r="G1108" t="s">
        <v>322</v>
      </c>
      <c r="H1108" t="s">
        <v>322</v>
      </c>
      <c r="I1108" t="s">
        <v>323</v>
      </c>
      <c r="J1108" t="s">
        <v>324</v>
      </c>
      <c r="K1108" t="s">
        <v>142</v>
      </c>
      <c r="L1108" t="s">
        <v>143</v>
      </c>
      <c r="M1108">
        <v>0.34833333333333333</v>
      </c>
      <c r="N1108">
        <v>1254</v>
      </c>
      <c r="O1108">
        <v>6862.6500000000005</v>
      </c>
      <c r="P1108">
        <v>5.4726076555023928</v>
      </c>
      <c r="Q1108">
        <v>1254</v>
      </c>
    </row>
    <row r="1109" spans="1:17" x14ac:dyDescent="0.35">
      <c r="A1109" s="46">
        <v>46117</v>
      </c>
      <c r="B1109" t="s">
        <v>136</v>
      </c>
      <c r="C1109" t="s">
        <v>319</v>
      </c>
      <c r="D1109" t="s">
        <v>391</v>
      </c>
      <c r="E1109" t="s">
        <v>364</v>
      </c>
      <c r="F1109" t="s">
        <v>82</v>
      </c>
      <c r="G1109" t="s">
        <v>365</v>
      </c>
      <c r="H1109" t="s">
        <v>392</v>
      </c>
      <c r="I1109" t="s">
        <v>323</v>
      </c>
      <c r="J1109" t="s">
        <v>324</v>
      </c>
      <c r="K1109" t="s">
        <v>142</v>
      </c>
      <c r="L1109" t="s">
        <v>143</v>
      </c>
      <c r="M1109">
        <v>0.51055555555555554</v>
      </c>
      <c r="N1109">
        <v>1838</v>
      </c>
      <c r="O1109">
        <v>10752.3</v>
      </c>
      <c r="P1109">
        <v>5.85</v>
      </c>
      <c r="Q1109">
        <v>1838</v>
      </c>
    </row>
    <row r="1110" spans="1:17" x14ac:dyDescent="0.35">
      <c r="A1110" s="46">
        <v>46117</v>
      </c>
      <c r="B1110" t="s">
        <v>136</v>
      </c>
      <c r="C1110" t="s">
        <v>319</v>
      </c>
      <c r="D1110" t="s">
        <v>391</v>
      </c>
      <c r="E1110" t="s">
        <v>364</v>
      </c>
      <c r="F1110" t="s">
        <v>82</v>
      </c>
      <c r="G1110" t="s">
        <v>393</v>
      </c>
      <c r="H1110" t="s">
        <v>394</v>
      </c>
      <c r="I1110" t="s">
        <v>323</v>
      </c>
      <c r="J1110" t="s">
        <v>324</v>
      </c>
      <c r="K1110" t="s">
        <v>142</v>
      </c>
      <c r="L1110" t="s">
        <v>143</v>
      </c>
      <c r="M1110">
        <v>0.51555555555555554</v>
      </c>
      <c r="N1110">
        <v>1856</v>
      </c>
      <c r="O1110">
        <v>11507.2</v>
      </c>
      <c r="P1110">
        <v>6.2</v>
      </c>
      <c r="Q1110">
        <v>1856</v>
      </c>
    </row>
    <row r="1111" spans="1:17" x14ac:dyDescent="0.35">
      <c r="A1111" s="46">
        <v>46117</v>
      </c>
      <c r="B1111" t="s">
        <v>136</v>
      </c>
      <c r="C1111" t="s">
        <v>319</v>
      </c>
      <c r="D1111" t="s">
        <v>391</v>
      </c>
      <c r="E1111" t="s">
        <v>364</v>
      </c>
      <c r="F1111" t="s">
        <v>82</v>
      </c>
      <c r="G1111" t="s">
        <v>395</v>
      </c>
      <c r="H1111" t="s">
        <v>327</v>
      </c>
      <c r="I1111" t="s">
        <v>323</v>
      </c>
      <c r="J1111" t="s">
        <v>324</v>
      </c>
      <c r="K1111" t="s">
        <v>142</v>
      </c>
      <c r="L1111" t="s">
        <v>143</v>
      </c>
      <c r="M1111">
        <v>0.64</v>
      </c>
      <c r="N1111">
        <v>2304</v>
      </c>
      <c r="O1111">
        <v>13878.300000000001</v>
      </c>
      <c r="P1111">
        <v>6.0235677083333341</v>
      </c>
      <c r="Q1111">
        <v>2304</v>
      </c>
    </row>
    <row r="1112" spans="1:17" x14ac:dyDescent="0.35">
      <c r="A1112" s="46">
        <v>46117</v>
      </c>
      <c r="B1112" t="s">
        <v>136</v>
      </c>
      <c r="C1112" t="s">
        <v>319</v>
      </c>
      <c r="D1112" t="s">
        <v>391</v>
      </c>
      <c r="E1112" t="s">
        <v>364</v>
      </c>
      <c r="F1112" t="s">
        <v>82</v>
      </c>
      <c r="G1112" t="s">
        <v>368</v>
      </c>
      <c r="H1112" t="s">
        <v>366</v>
      </c>
      <c r="I1112" t="s">
        <v>323</v>
      </c>
      <c r="J1112" t="s">
        <v>324</v>
      </c>
      <c r="K1112" t="s">
        <v>184</v>
      </c>
      <c r="L1112" t="s">
        <v>185</v>
      </c>
      <c r="M1112">
        <v>2.6697222222222221</v>
      </c>
      <c r="N1112">
        <v>9611</v>
      </c>
    </row>
    <row r="1113" spans="1:17" x14ac:dyDescent="0.35">
      <c r="A1113" s="46">
        <v>46117</v>
      </c>
      <c r="B1113" t="s">
        <v>136</v>
      </c>
      <c r="C1113" t="s">
        <v>319</v>
      </c>
      <c r="D1113" t="s">
        <v>391</v>
      </c>
      <c r="E1113" t="s">
        <v>364</v>
      </c>
      <c r="F1113" t="s">
        <v>322</v>
      </c>
      <c r="G1113" t="s">
        <v>322</v>
      </c>
      <c r="H1113" t="s">
        <v>322</v>
      </c>
      <c r="I1113" t="s">
        <v>323</v>
      </c>
      <c r="J1113" t="s">
        <v>324</v>
      </c>
      <c r="K1113" t="s">
        <v>184</v>
      </c>
      <c r="L1113" t="s">
        <v>185</v>
      </c>
      <c r="M1113">
        <v>7.003333333333333</v>
      </c>
      <c r="N1113">
        <v>25212</v>
      </c>
      <c r="O1113">
        <v>0</v>
      </c>
    </row>
    <row r="1114" spans="1:17" x14ac:dyDescent="0.35">
      <c r="A1114" s="46">
        <v>46117</v>
      </c>
      <c r="B1114" t="s">
        <v>136</v>
      </c>
      <c r="C1114" t="s">
        <v>319</v>
      </c>
      <c r="D1114" t="s">
        <v>391</v>
      </c>
      <c r="E1114" t="s">
        <v>364</v>
      </c>
      <c r="F1114" t="s">
        <v>322</v>
      </c>
      <c r="G1114" t="s">
        <v>322</v>
      </c>
      <c r="H1114" t="s">
        <v>322</v>
      </c>
      <c r="I1114" t="s">
        <v>323</v>
      </c>
      <c r="J1114" t="s">
        <v>324</v>
      </c>
      <c r="K1114" t="s">
        <v>178</v>
      </c>
      <c r="L1114" t="s">
        <v>179</v>
      </c>
      <c r="M1114">
        <v>4.7336111111111112</v>
      </c>
      <c r="N1114">
        <v>17041</v>
      </c>
      <c r="O1114">
        <v>0</v>
      </c>
    </row>
    <row r="1115" spans="1:17" x14ac:dyDescent="0.35">
      <c r="A1115" s="46">
        <v>46117</v>
      </c>
      <c r="B1115" t="s">
        <v>136</v>
      </c>
      <c r="C1115" t="s">
        <v>319</v>
      </c>
      <c r="D1115" t="s">
        <v>391</v>
      </c>
      <c r="E1115" t="s">
        <v>364</v>
      </c>
      <c r="F1115" t="s">
        <v>82</v>
      </c>
      <c r="G1115" t="s">
        <v>365</v>
      </c>
      <c r="H1115" t="s">
        <v>334</v>
      </c>
      <c r="I1115" t="s">
        <v>323</v>
      </c>
      <c r="J1115" t="s">
        <v>324</v>
      </c>
      <c r="K1115" t="s">
        <v>178</v>
      </c>
      <c r="L1115" t="s">
        <v>179</v>
      </c>
      <c r="M1115">
        <v>0.17805555555555555</v>
      </c>
      <c r="N1115">
        <v>641</v>
      </c>
      <c r="O1115">
        <v>0</v>
      </c>
    </row>
    <row r="1116" spans="1:17" x14ac:dyDescent="0.35">
      <c r="A1116" s="46">
        <v>46117</v>
      </c>
      <c r="B1116" t="s">
        <v>136</v>
      </c>
      <c r="C1116" t="s">
        <v>319</v>
      </c>
      <c r="D1116" t="s">
        <v>391</v>
      </c>
      <c r="E1116" t="s">
        <v>364</v>
      </c>
      <c r="F1116" t="s">
        <v>82</v>
      </c>
      <c r="G1116" t="s">
        <v>368</v>
      </c>
      <c r="H1116" t="s">
        <v>366</v>
      </c>
      <c r="I1116" t="s">
        <v>323</v>
      </c>
      <c r="J1116" t="s">
        <v>324</v>
      </c>
      <c r="K1116" t="s">
        <v>178</v>
      </c>
      <c r="L1116" t="s">
        <v>179</v>
      </c>
      <c r="M1116">
        <v>3.5386111111111109</v>
      </c>
      <c r="N1116">
        <v>12739</v>
      </c>
      <c r="O1116">
        <v>0</v>
      </c>
    </row>
    <row r="1117" spans="1:17" x14ac:dyDescent="0.35">
      <c r="A1117" s="46">
        <v>46117</v>
      </c>
      <c r="B1117" t="s">
        <v>136</v>
      </c>
      <c r="C1117" t="s">
        <v>319</v>
      </c>
      <c r="D1117" t="s">
        <v>391</v>
      </c>
      <c r="E1117" t="s">
        <v>364</v>
      </c>
      <c r="F1117" t="s">
        <v>82</v>
      </c>
      <c r="G1117" t="s">
        <v>365</v>
      </c>
      <c r="H1117" t="s">
        <v>366</v>
      </c>
      <c r="I1117" t="s">
        <v>323</v>
      </c>
      <c r="J1117" t="s">
        <v>324</v>
      </c>
      <c r="K1117" t="s">
        <v>178</v>
      </c>
      <c r="L1117" t="s">
        <v>179</v>
      </c>
      <c r="M1117">
        <v>3.862222222222222</v>
      </c>
      <c r="N1117">
        <v>13904</v>
      </c>
      <c r="O1117">
        <v>0</v>
      </c>
    </row>
    <row r="1118" spans="1:17" x14ac:dyDescent="0.35">
      <c r="A1118" s="46">
        <v>46117</v>
      </c>
      <c r="B1118" t="s">
        <v>136</v>
      </c>
      <c r="C1118" t="s">
        <v>319</v>
      </c>
      <c r="D1118" t="s">
        <v>396</v>
      </c>
      <c r="E1118" t="s">
        <v>364</v>
      </c>
      <c r="F1118" t="s">
        <v>82</v>
      </c>
      <c r="G1118" t="s">
        <v>368</v>
      </c>
      <c r="H1118" t="s">
        <v>371</v>
      </c>
      <c r="I1118" t="s">
        <v>323</v>
      </c>
      <c r="J1118" t="s">
        <v>324</v>
      </c>
      <c r="K1118" t="s">
        <v>168</v>
      </c>
      <c r="L1118" t="s">
        <v>169</v>
      </c>
      <c r="M1118">
        <v>0.26500000000000001</v>
      </c>
      <c r="N1118">
        <v>954</v>
      </c>
      <c r="O1118">
        <v>0</v>
      </c>
    </row>
    <row r="1119" spans="1:17" x14ac:dyDescent="0.35">
      <c r="A1119" s="46">
        <v>46117</v>
      </c>
      <c r="B1119" t="s">
        <v>136</v>
      </c>
      <c r="C1119" t="s">
        <v>390</v>
      </c>
      <c r="D1119" t="s">
        <v>396</v>
      </c>
      <c r="E1119" t="s">
        <v>364</v>
      </c>
      <c r="F1119" t="s">
        <v>82</v>
      </c>
      <c r="G1119" t="s">
        <v>368</v>
      </c>
      <c r="H1119" t="s">
        <v>371</v>
      </c>
      <c r="I1119" t="s">
        <v>323</v>
      </c>
      <c r="J1119" t="s">
        <v>324</v>
      </c>
      <c r="K1119" t="s">
        <v>341</v>
      </c>
      <c r="L1119" t="s">
        <v>342</v>
      </c>
      <c r="M1119">
        <v>0.1525</v>
      </c>
      <c r="N1119">
        <v>549</v>
      </c>
      <c r="O1119">
        <v>0</v>
      </c>
    </row>
    <row r="1120" spans="1:17" x14ac:dyDescent="0.35">
      <c r="A1120" s="46">
        <v>46117</v>
      </c>
      <c r="B1120" t="s">
        <v>136</v>
      </c>
      <c r="C1120" t="s">
        <v>360</v>
      </c>
      <c r="D1120" t="s">
        <v>396</v>
      </c>
      <c r="E1120" t="s">
        <v>364</v>
      </c>
      <c r="F1120" t="s">
        <v>82</v>
      </c>
      <c r="G1120" t="s">
        <v>368</v>
      </c>
      <c r="H1120" t="s">
        <v>371</v>
      </c>
      <c r="I1120" t="s">
        <v>323</v>
      </c>
      <c r="J1120" t="s">
        <v>324</v>
      </c>
      <c r="K1120" t="s">
        <v>341</v>
      </c>
      <c r="L1120" t="s">
        <v>342</v>
      </c>
      <c r="M1120">
        <v>2.7777777777777779E-3</v>
      </c>
      <c r="N1120">
        <v>10</v>
      </c>
      <c r="O1120">
        <v>0</v>
      </c>
    </row>
    <row r="1121" spans="1:17" x14ac:dyDescent="0.35">
      <c r="A1121" s="46">
        <v>46117</v>
      </c>
      <c r="B1121" t="s">
        <v>136</v>
      </c>
      <c r="C1121" t="s">
        <v>319</v>
      </c>
      <c r="D1121" t="s">
        <v>396</v>
      </c>
      <c r="E1121" t="s">
        <v>364</v>
      </c>
      <c r="F1121" t="s">
        <v>82</v>
      </c>
      <c r="G1121" t="s">
        <v>368</v>
      </c>
      <c r="H1121" t="s">
        <v>371</v>
      </c>
      <c r="I1121" t="s">
        <v>323</v>
      </c>
      <c r="J1121" t="s">
        <v>324</v>
      </c>
      <c r="K1121" t="s">
        <v>341</v>
      </c>
      <c r="L1121" t="s">
        <v>342</v>
      </c>
      <c r="M1121">
        <v>8.9722222222222217E-2</v>
      </c>
      <c r="N1121">
        <v>323</v>
      </c>
      <c r="O1121">
        <v>0</v>
      </c>
    </row>
    <row r="1122" spans="1:17" x14ac:dyDescent="0.35">
      <c r="A1122" s="46">
        <v>46117</v>
      </c>
      <c r="B1122" t="s">
        <v>136</v>
      </c>
      <c r="C1122" t="s">
        <v>360</v>
      </c>
      <c r="D1122" t="s">
        <v>396</v>
      </c>
      <c r="E1122" t="s">
        <v>364</v>
      </c>
      <c r="F1122" t="s">
        <v>322</v>
      </c>
      <c r="G1122" t="s">
        <v>322</v>
      </c>
      <c r="H1122" t="s">
        <v>322</v>
      </c>
      <c r="I1122" t="s">
        <v>323</v>
      </c>
      <c r="J1122" t="s">
        <v>324</v>
      </c>
      <c r="K1122" t="s">
        <v>345</v>
      </c>
      <c r="L1122" t="s">
        <v>346</v>
      </c>
      <c r="M1122">
        <v>4.1666666666666666E-3</v>
      </c>
      <c r="N1122">
        <v>15</v>
      </c>
      <c r="O1122">
        <v>47.25</v>
      </c>
      <c r="P1122">
        <v>3.15</v>
      </c>
      <c r="Q1122">
        <v>15</v>
      </c>
    </row>
    <row r="1123" spans="1:17" x14ac:dyDescent="0.35">
      <c r="A1123" s="46">
        <v>46117</v>
      </c>
      <c r="B1123" t="s">
        <v>136</v>
      </c>
      <c r="C1123" t="s">
        <v>397</v>
      </c>
      <c r="D1123" t="s">
        <v>396</v>
      </c>
      <c r="E1123" t="s">
        <v>364</v>
      </c>
      <c r="F1123" t="s">
        <v>322</v>
      </c>
      <c r="G1123" t="s">
        <v>322</v>
      </c>
      <c r="H1123" t="s">
        <v>322</v>
      </c>
      <c r="I1123" t="s">
        <v>323</v>
      </c>
      <c r="J1123" t="s">
        <v>324</v>
      </c>
      <c r="K1123" t="s">
        <v>345</v>
      </c>
      <c r="L1123" t="s">
        <v>346</v>
      </c>
      <c r="M1123">
        <v>1.0833333333333334E-2</v>
      </c>
      <c r="N1123">
        <v>39</v>
      </c>
      <c r="O1123">
        <v>80.34</v>
      </c>
      <c r="P1123">
        <v>2.06</v>
      </c>
      <c r="Q1123">
        <v>39</v>
      </c>
    </row>
    <row r="1124" spans="1:17" x14ac:dyDescent="0.35">
      <c r="A1124" s="46">
        <v>46117</v>
      </c>
      <c r="B1124" t="s">
        <v>136</v>
      </c>
      <c r="C1124" t="s">
        <v>397</v>
      </c>
      <c r="D1124" t="s">
        <v>396</v>
      </c>
      <c r="E1124" t="s">
        <v>364</v>
      </c>
      <c r="F1124" t="s">
        <v>82</v>
      </c>
      <c r="G1124" t="s">
        <v>368</v>
      </c>
      <c r="H1124" t="s">
        <v>371</v>
      </c>
      <c r="I1124" t="s">
        <v>323</v>
      </c>
      <c r="J1124" t="s">
        <v>324</v>
      </c>
      <c r="K1124" t="s">
        <v>345</v>
      </c>
      <c r="L1124" t="s">
        <v>346</v>
      </c>
      <c r="M1124">
        <v>2.4722222222222222E-2</v>
      </c>
      <c r="N1124">
        <v>89</v>
      </c>
      <c r="O1124">
        <v>431.65</v>
      </c>
      <c r="P1124">
        <v>4.8499999999999996</v>
      </c>
      <c r="Q1124">
        <v>89</v>
      </c>
    </row>
    <row r="1125" spans="1:17" x14ac:dyDescent="0.35">
      <c r="A1125" s="46">
        <v>46117</v>
      </c>
      <c r="B1125" t="s">
        <v>136</v>
      </c>
      <c r="C1125" t="s">
        <v>319</v>
      </c>
      <c r="D1125" t="s">
        <v>396</v>
      </c>
      <c r="E1125" t="s">
        <v>364</v>
      </c>
      <c r="F1125" t="s">
        <v>322</v>
      </c>
      <c r="G1125" t="s">
        <v>322</v>
      </c>
      <c r="H1125" t="s">
        <v>322</v>
      </c>
      <c r="I1125" t="s">
        <v>323</v>
      </c>
      <c r="J1125" t="s">
        <v>324</v>
      </c>
      <c r="K1125" t="s">
        <v>345</v>
      </c>
      <c r="L1125" t="s">
        <v>346</v>
      </c>
      <c r="M1125">
        <v>0.20472222222222222</v>
      </c>
      <c r="N1125">
        <v>737</v>
      </c>
      <c r="O1125">
        <v>2314.37</v>
      </c>
      <c r="P1125">
        <v>3.1402578018995926</v>
      </c>
      <c r="Q1125">
        <v>737</v>
      </c>
    </row>
    <row r="1126" spans="1:17" x14ac:dyDescent="0.35">
      <c r="A1126" s="46">
        <v>46117</v>
      </c>
      <c r="B1126" t="s">
        <v>136</v>
      </c>
      <c r="C1126" t="s">
        <v>360</v>
      </c>
      <c r="D1126" t="s">
        <v>396</v>
      </c>
      <c r="E1126" t="s">
        <v>364</v>
      </c>
      <c r="F1126" t="s">
        <v>82</v>
      </c>
      <c r="G1126" t="s">
        <v>368</v>
      </c>
      <c r="H1126" t="s">
        <v>371</v>
      </c>
      <c r="I1126" t="s">
        <v>323</v>
      </c>
      <c r="J1126" t="s">
        <v>324</v>
      </c>
      <c r="K1126" t="s">
        <v>345</v>
      </c>
      <c r="L1126" t="s">
        <v>346</v>
      </c>
      <c r="M1126">
        <v>0.38944444444444443</v>
      </c>
      <c r="N1126">
        <v>1402</v>
      </c>
      <c r="O1126">
        <v>5860.36</v>
      </c>
      <c r="P1126">
        <v>4.18</v>
      </c>
      <c r="Q1126">
        <v>1402</v>
      </c>
    </row>
    <row r="1127" spans="1:17" x14ac:dyDescent="0.35">
      <c r="A1127" s="46">
        <v>46117</v>
      </c>
      <c r="B1127" t="s">
        <v>136</v>
      </c>
      <c r="C1127" t="s">
        <v>390</v>
      </c>
      <c r="D1127" t="s">
        <v>396</v>
      </c>
      <c r="E1127" t="s">
        <v>364</v>
      </c>
      <c r="F1127" t="s">
        <v>82</v>
      </c>
      <c r="G1127" t="s">
        <v>368</v>
      </c>
      <c r="H1127" t="s">
        <v>371</v>
      </c>
      <c r="I1127" t="s">
        <v>323</v>
      </c>
      <c r="J1127" t="s">
        <v>324</v>
      </c>
      <c r="K1127" t="s">
        <v>345</v>
      </c>
      <c r="L1127" t="s">
        <v>346</v>
      </c>
      <c r="M1127">
        <v>0.71277777777777773</v>
      </c>
      <c r="N1127">
        <v>2566</v>
      </c>
      <c r="O1127">
        <v>8990.5399999999991</v>
      </c>
      <c r="P1127">
        <v>3.5037178487918936</v>
      </c>
      <c r="Q1127">
        <v>2566</v>
      </c>
    </row>
    <row r="1128" spans="1:17" x14ac:dyDescent="0.35">
      <c r="A1128" s="46">
        <v>46117</v>
      </c>
      <c r="B1128" t="s">
        <v>136</v>
      </c>
      <c r="C1128" t="s">
        <v>319</v>
      </c>
      <c r="D1128" t="s">
        <v>396</v>
      </c>
      <c r="E1128" t="s">
        <v>364</v>
      </c>
      <c r="F1128" t="s">
        <v>82</v>
      </c>
      <c r="G1128" t="s">
        <v>368</v>
      </c>
      <c r="H1128" t="s">
        <v>371</v>
      </c>
      <c r="I1128" t="s">
        <v>323</v>
      </c>
      <c r="J1128" t="s">
        <v>324</v>
      </c>
      <c r="K1128" t="s">
        <v>345</v>
      </c>
      <c r="L1128" t="s">
        <v>346</v>
      </c>
      <c r="M1128">
        <v>3.181111111111111</v>
      </c>
      <c r="N1128">
        <v>11452</v>
      </c>
      <c r="O1128">
        <v>40892.770000000004</v>
      </c>
      <c r="P1128">
        <v>3.5707972406566544</v>
      </c>
      <c r="Q1128">
        <v>11452</v>
      </c>
    </row>
    <row r="1129" spans="1:17" x14ac:dyDescent="0.35">
      <c r="A1129" s="46">
        <v>46117</v>
      </c>
      <c r="B1129" t="s">
        <v>136</v>
      </c>
      <c r="C1129" t="s">
        <v>319</v>
      </c>
      <c r="D1129" t="s">
        <v>396</v>
      </c>
      <c r="E1129" t="s">
        <v>364</v>
      </c>
      <c r="F1129" t="s">
        <v>82</v>
      </c>
      <c r="G1129" t="s">
        <v>368</v>
      </c>
      <c r="H1129" t="s">
        <v>327</v>
      </c>
      <c r="I1129" t="s">
        <v>323</v>
      </c>
      <c r="J1129" t="s">
        <v>324</v>
      </c>
      <c r="K1129" t="s">
        <v>142</v>
      </c>
      <c r="L1129" t="s">
        <v>143</v>
      </c>
      <c r="M1129">
        <v>4.4444444444444444E-3</v>
      </c>
      <c r="N1129">
        <v>16</v>
      </c>
      <c r="O1129">
        <v>0</v>
      </c>
    </row>
    <row r="1130" spans="1:17" x14ac:dyDescent="0.35">
      <c r="A1130" s="46">
        <v>46117</v>
      </c>
      <c r="B1130" t="s">
        <v>136</v>
      </c>
      <c r="C1130" t="s">
        <v>397</v>
      </c>
      <c r="D1130" t="s">
        <v>396</v>
      </c>
      <c r="E1130" t="s">
        <v>364</v>
      </c>
      <c r="F1130" t="s">
        <v>322</v>
      </c>
      <c r="G1130" t="s">
        <v>322</v>
      </c>
      <c r="H1130" t="s">
        <v>322</v>
      </c>
      <c r="I1130" t="s">
        <v>323</v>
      </c>
      <c r="J1130" t="s">
        <v>324</v>
      </c>
      <c r="K1130" t="s">
        <v>142</v>
      </c>
      <c r="L1130" t="s">
        <v>143</v>
      </c>
      <c r="M1130">
        <v>1.6666666666666668E-3</v>
      </c>
      <c r="N1130">
        <v>6</v>
      </c>
      <c r="O1130">
        <v>16.32</v>
      </c>
      <c r="P1130">
        <v>2.72</v>
      </c>
      <c r="Q1130">
        <v>6</v>
      </c>
    </row>
    <row r="1131" spans="1:17" x14ac:dyDescent="0.35">
      <c r="A1131" s="46">
        <v>46117</v>
      </c>
      <c r="B1131" t="s">
        <v>136</v>
      </c>
      <c r="C1131" t="s">
        <v>360</v>
      </c>
      <c r="D1131" t="s">
        <v>396</v>
      </c>
      <c r="E1131" t="s">
        <v>364</v>
      </c>
      <c r="F1131" t="s">
        <v>322</v>
      </c>
      <c r="G1131" t="s">
        <v>322</v>
      </c>
      <c r="H1131" t="s">
        <v>322</v>
      </c>
      <c r="I1131" t="s">
        <v>323</v>
      </c>
      <c r="J1131" t="s">
        <v>324</v>
      </c>
      <c r="K1131" t="s">
        <v>142</v>
      </c>
      <c r="L1131" t="s">
        <v>143</v>
      </c>
      <c r="M1131">
        <v>4.1666666666666664E-2</v>
      </c>
      <c r="N1131">
        <v>150</v>
      </c>
      <c r="O1131">
        <v>472.5</v>
      </c>
      <c r="P1131">
        <v>3.15</v>
      </c>
      <c r="Q1131">
        <v>150</v>
      </c>
    </row>
    <row r="1132" spans="1:17" x14ac:dyDescent="0.35">
      <c r="A1132" s="46">
        <v>46117</v>
      </c>
      <c r="B1132" t="s">
        <v>136</v>
      </c>
      <c r="C1132" t="s">
        <v>319</v>
      </c>
      <c r="D1132" t="s">
        <v>396</v>
      </c>
      <c r="E1132" t="s">
        <v>364</v>
      </c>
      <c r="F1132" t="s">
        <v>82</v>
      </c>
      <c r="G1132" t="s">
        <v>368</v>
      </c>
      <c r="H1132" t="s">
        <v>371</v>
      </c>
      <c r="I1132" t="s">
        <v>323</v>
      </c>
      <c r="J1132" t="s">
        <v>324</v>
      </c>
      <c r="K1132" t="s">
        <v>142</v>
      </c>
      <c r="L1132" t="s">
        <v>143</v>
      </c>
      <c r="M1132">
        <v>0.13972222222222222</v>
      </c>
      <c r="N1132">
        <v>503</v>
      </c>
      <c r="O1132">
        <v>1751.0100000000002</v>
      </c>
      <c r="P1132">
        <v>3.4811332007952291</v>
      </c>
      <c r="Q1132">
        <v>503</v>
      </c>
    </row>
    <row r="1133" spans="1:17" x14ac:dyDescent="0.35">
      <c r="A1133" s="46">
        <v>46117</v>
      </c>
      <c r="B1133" t="s">
        <v>136</v>
      </c>
      <c r="C1133" t="s">
        <v>319</v>
      </c>
      <c r="D1133" t="s">
        <v>396</v>
      </c>
      <c r="E1133" t="s">
        <v>364</v>
      </c>
      <c r="F1133" t="s">
        <v>82</v>
      </c>
      <c r="G1133" t="s">
        <v>365</v>
      </c>
      <c r="H1133" t="s">
        <v>331</v>
      </c>
      <c r="I1133" t="s">
        <v>323</v>
      </c>
      <c r="J1133" t="s">
        <v>324</v>
      </c>
      <c r="K1133" t="s">
        <v>142</v>
      </c>
      <c r="L1133" t="s">
        <v>143</v>
      </c>
      <c r="M1133">
        <v>0.41944444444444445</v>
      </c>
      <c r="N1133">
        <v>1510</v>
      </c>
      <c r="O1133">
        <v>9331.7999999999993</v>
      </c>
      <c r="P1133">
        <v>6.18</v>
      </c>
      <c r="Q1133">
        <v>1510</v>
      </c>
    </row>
    <row r="1134" spans="1:17" x14ac:dyDescent="0.35">
      <c r="A1134" s="46">
        <v>46117</v>
      </c>
      <c r="B1134" t="s">
        <v>136</v>
      </c>
      <c r="C1134" t="s">
        <v>319</v>
      </c>
      <c r="D1134" t="s">
        <v>396</v>
      </c>
      <c r="E1134" t="s">
        <v>364</v>
      </c>
      <c r="F1134" t="s">
        <v>322</v>
      </c>
      <c r="G1134" t="s">
        <v>322</v>
      </c>
      <c r="H1134" t="s">
        <v>322</v>
      </c>
      <c r="I1134" t="s">
        <v>323</v>
      </c>
      <c r="J1134" t="s">
        <v>324</v>
      </c>
      <c r="K1134" t="s">
        <v>142</v>
      </c>
      <c r="L1134" t="s">
        <v>143</v>
      </c>
      <c r="M1134">
        <v>0.59972222222222227</v>
      </c>
      <c r="N1134">
        <v>2159</v>
      </c>
      <c r="O1134">
        <v>13154.159999999998</v>
      </c>
      <c r="P1134">
        <v>6.0927095877721156</v>
      </c>
      <c r="Q1134">
        <v>2159</v>
      </c>
    </row>
    <row r="1135" spans="1:17" x14ac:dyDescent="0.35">
      <c r="A1135" s="46">
        <v>46117</v>
      </c>
      <c r="B1135" t="s">
        <v>136</v>
      </c>
      <c r="C1135" t="s">
        <v>319</v>
      </c>
      <c r="D1135" t="s">
        <v>396</v>
      </c>
      <c r="E1135" t="s">
        <v>364</v>
      </c>
      <c r="F1135" t="s">
        <v>82</v>
      </c>
      <c r="G1135" t="s">
        <v>368</v>
      </c>
      <c r="H1135" t="s">
        <v>371</v>
      </c>
      <c r="I1135" t="s">
        <v>323</v>
      </c>
      <c r="J1135" t="s">
        <v>324</v>
      </c>
      <c r="K1135" t="s">
        <v>373</v>
      </c>
      <c r="L1135" t="s">
        <v>374</v>
      </c>
      <c r="M1135">
        <v>0.17222222222222222</v>
      </c>
      <c r="N1135">
        <v>620</v>
      </c>
      <c r="O1135">
        <v>0</v>
      </c>
    </row>
    <row r="1136" spans="1:17" x14ac:dyDescent="0.35">
      <c r="A1136" s="46">
        <v>46117</v>
      </c>
      <c r="B1136" t="s">
        <v>136</v>
      </c>
      <c r="C1136" t="s">
        <v>319</v>
      </c>
      <c r="D1136" t="s">
        <v>396</v>
      </c>
      <c r="E1136" t="s">
        <v>364</v>
      </c>
      <c r="F1136" t="s">
        <v>82</v>
      </c>
      <c r="G1136" t="s">
        <v>368</v>
      </c>
      <c r="H1136" t="s">
        <v>371</v>
      </c>
      <c r="I1136" t="s">
        <v>323</v>
      </c>
      <c r="J1136" t="s">
        <v>324</v>
      </c>
      <c r="K1136" t="s">
        <v>375</v>
      </c>
      <c r="L1136" t="s">
        <v>376</v>
      </c>
      <c r="M1136">
        <v>0.16805555555555557</v>
      </c>
      <c r="N1136">
        <v>605</v>
      </c>
      <c r="O1136">
        <v>0</v>
      </c>
    </row>
    <row r="1137" spans="1:17" x14ac:dyDescent="0.35">
      <c r="A1137" s="46">
        <v>46117</v>
      </c>
      <c r="B1137" t="s">
        <v>136</v>
      </c>
      <c r="C1137" t="s">
        <v>319</v>
      </c>
      <c r="D1137" t="s">
        <v>396</v>
      </c>
      <c r="E1137" t="s">
        <v>364</v>
      </c>
      <c r="F1137" t="s">
        <v>82</v>
      </c>
      <c r="G1137" t="s">
        <v>368</v>
      </c>
      <c r="H1137" t="s">
        <v>371</v>
      </c>
      <c r="I1137" t="s">
        <v>323</v>
      </c>
      <c r="J1137" t="s">
        <v>324</v>
      </c>
      <c r="K1137" t="s">
        <v>200</v>
      </c>
      <c r="L1137" t="s">
        <v>201</v>
      </c>
      <c r="M1137">
        <v>0.245</v>
      </c>
      <c r="N1137">
        <v>882</v>
      </c>
      <c r="O1137">
        <v>0</v>
      </c>
    </row>
    <row r="1138" spans="1:17" x14ac:dyDescent="0.35">
      <c r="A1138" s="46">
        <v>46117</v>
      </c>
      <c r="B1138" t="s">
        <v>136</v>
      </c>
      <c r="C1138" t="s">
        <v>319</v>
      </c>
      <c r="D1138" t="s">
        <v>396</v>
      </c>
      <c r="E1138" t="s">
        <v>364</v>
      </c>
      <c r="F1138" t="s">
        <v>322</v>
      </c>
      <c r="G1138" t="s">
        <v>322</v>
      </c>
      <c r="H1138" t="s">
        <v>322</v>
      </c>
      <c r="I1138" t="s">
        <v>323</v>
      </c>
      <c r="J1138" t="s">
        <v>324</v>
      </c>
      <c r="K1138" t="s">
        <v>348</v>
      </c>
      <c r="L1138" t="s">
        <v>349</v>
      </c>
      <c r="M1138">
        <v>6.1111111111111114E-3</v>
      </c>
      <c r="N1138">
        <v>22</v>
      </c>
      <c r="O1138">
        <v>0</v>
      </c>
    </row>
    <row r="1139" spans="1:17" x14ac:dyDescent="0.35">
      <c r="A1139" s="46">
        <v>46117</v>
      </c>
      <c r="B1139" t="s">
        <v>136</v>
      </c>
      <c r="C1139" t="s">
        <v>390</v>
      </c>
      <c r="D1139" t="s">
        <v>396</v>
      </c>
      <c r="E1139" t="s">
        <v>364</v>
      </c>
      <c r="F1139" t="s">
        <v>82</v>
      </c>
      <c r="G1139" t="s">
        <v>368</v>
      </c>
      <c r="H1139" t="s">
        <v>371</v>
      </c>
      <c r="I1139" t="s">
        <v>323</v>
      </c>
      <c r="J1139" t="s">
        <v>324</v>
      </c>
      <c r="K1139" t="s">
        <v>348</v>
      </c>
      <c r="L1139" t="s">
        <v>349</v>
      </c>
      <c r="M1139">
        <v>3.3333333333333333E-2</v>
      </c>
      <c r="N1139">
        <v>120</v>
      </c>
      <c r="O1139">
        <v>0</v>
      </c>
    </row>
    <row r="1140" spans="1:17" x14ac:dyDescent="0.35">
      <c r="A1140" s="46">
        <v>46117</v>
      </c>
      <c r="B1140" t="s">
        <v>136</v>
      </c>
      <c r="C1140" t="s">
        <v>319</v>
      </c>
      <c r="D1140" t="s">
        <v>396</v>
      </c>
      <c r="E1140" t="s">
        <v>364</v>
      </c>
      <c r="F1140" t="s">
        <v>82</v>
      </c>
      <c r="G1140" t="s">
        <v>368</v>
      </c>
      <c r="H1140" t="s">
        <v>371</v>
      </c>
      <c r="I1140" t="s">
        <v>323</v>
      </c>
      <c r="J1140" t="s">
        <v>324</v>
      </c>
      <c r="K1140" t="s">
        <v>348</v>
      </c>
      <c r="L1140" t="s">
        <v>349</v>
      </c>
      <c r="M1140">
        <v>1.1336111111111111</v>
      </c>
      <c r="N1140">
        <v>4081</v>
      </c>
      <c r="O1140">
        <v>0</v>
      </c>
    </row>
    <row r="1141" spans="1:17" x14ac:dyDescent="0.35">
      <c r="A1141" s="46">
        <v>46117</v>
      </c>
      <c r="B1141" t="s">
        <v>136</v>
      </c>
      <c r="C1141" t="s">
        <v>397</v>
      </c>
      <c r="D1141" t="s">
        <v>396</v>
      </c>
      <c r="E1141" t="s">
        <v>364</v>
      </c>
      <c r="F1141" t="s">
        <v>82</v>
      </c>
      <c r="G1141" t="s">
        <v>368</v>
      </c>
      <c r="H1141" t="s">
        <v>371</v>
      </c>
      <c r="I1141" t="s">
        <v>323</v>
      </c>
      <c r="J1141" t="s">
        <v>324</v>
      </c>
      <c r="K1141" t="s">
        <v>350</v>
      </c>
      <c r="L1141" t="s">
        <v>351</v>
      </c>
      <c r="M1141">
        <v>1.1666666666666667E-2</v>
      </c>
      <c r="N1141">
        <v>42</v>
      </c>
      <c r="O1141">
        <v>0</v>
      </c>
    </row>
    <row r="1142" spans="1:17" x14ac:dyDescent="0.35">
      <c r="A1142" s="46">
        <v>46117</v>
      </c>
      <c r="B1142" t="s">
        <v>136</v>
      </c>
      <c r="C1142" t="s">
        <v>360</v>
      </c>
      <c r="D1142" t="s">
        <v>396</v>
      </c>
      <c r="E1142" t="s">
        <v>364</v>
      </c>
      <c r="F1142" t="s">
        <v>322</v>
      </c>
      <c r="G1142" t="s">
        <v>322</v>
      </c>
      <c r="H1142" t="s">
        <v>322</v>
      </c>
      <c r="I1142" t="s">
        <v>323</v>
      </c>
      <c r="J1142" t="s">
        <v>324</v>
      </c>
      <c r="K1142" t="s">
        <v>350</v>
      </c>
      <c r="L1142" t="s">
        <v>351</v>
      </c>
      <c r="M1142">
        <v>2.4166666666666666E-2</v>
      </c>
      <c r="N1142">
        <v>87</v>
      </c>
      <c r="O1142">
        <v>377.58</v>
      </c>
      <c r="P1142">
        <v>4.34</v>
      </c>
      <c r="Q1142">
        <v>87</v>
      </c>
    </row>
    <row r="1143" spans="1:17" x14ac:dyDescent="0.35">
      <c r="A1143" s="46">
        <v>46117</v>
      </c>
      <c r="B1143" t="s">
        <v>136</v>
      </c>
      <c r="C1143" t="s">
        <v>390</v>
      </c>
      <c r="D1143" t="s">
        <v>396</v>
      </c>
      <c r="E1143" t="s">
        <v>364</v>
      </c>
      <c r="F1143" t="s">
        <v>322</v>
      </c>
      <c r="G1143" t="s">
        <v>322</v>
      </c>
      <c r="H1143" t="s">
        <v>322</v>
      </c>
      <c r="I1143" t="s">
        <v>323</v>
      </c>
      <c r="J1143" t="s">
        <v>324</v>
      </c>
      <c r="K1143" t="s">
        <v>350</v>
      </c>
      <c r="L1143" t="s">
        <v>351</v>
      </c>
      <c r="M1143">
        <v>0.10249999999999999</v>
      </c>
      <c r="N1143">
        <v>369</v>
      </c>
      <c r="O1143">
        <v>1073.79</v>
      </c>
      <c r="P1143">
        <v>2.9099999999999997</v>
      </c>
      <c r="Q1143">
        <v>369</v>
      </c>
    </row>
    <row r="1144" spans="1:17" x14ac:dyDescent="0.35">
      <c r="A1144" s="46">
        <v>46117</v>
      </c>
      <c r="B1144" t="s">
        <v>136</v>
      </c>
      <c r="C1144" t="s">
        <v>319</v>
      </c>
      <c r="D1144" t="s">
        <v>396</v>
      </c>
      <c r="E1144" t="s">
        <v>364</v>
      </c>
      <c r="F1144" t="s">
        <v>322</v>
      </c>
      <c r="G1144" t="s">
        <v>322</v>
      </c>
      <c r="H1144" t="s">
        <v>322</v>
      </c>
      <c r="I1144" t="s">
        <v>323</v>
      </c>
      <c r="J1144" t="s">
        <v>324</v>
      </c>
      <c r="K1144" t="s">
        <v>350</v>
      </c>
      <c r="L1144" t="s">
        <v>351</v>
      </c>
      <c r="M1144">
        <v>0.12527777777777777</v>
      </c>
      <c r="N1144">
        <v>451</v>
      </c>
      <c r="O1144">
        <v>1384.8000000000002</v>
      </c>
      <c r="P1144">
        <v>3.0705099778270513</v>
      </c>
      <c r="Q1144">
        <v>451</v>
      </c>
    </row>
    <row r="1145" spans="1:17" x14ac:dyDescent="0.35">
      <c r="A1145" s="46">
        <v>46117</v>
      </c>
      <c r="B1145" t="s">
        <v>136</v>
      </c>
      <c r="C1145" t="s">
        <v>360</v>
      </c>
      <c r="D1145" t="s">
        <v>396</v>
      </c>
      <c r="E1145" t="s">
        <v>364</v>
      </c>
      <c r="F1145" t="s">
        <v>82</v>
      </c>
      <c r="G1145" t="s">
        <v>368</v>
      </c>
      <c r="H1145" t="s">
        <v>371</v>
      </c>
      <c r="I1145" t="s">
        <v>323</v>
      </c>
      <c r="J1145" t="s">
        <v>324</v>
      </c>
      <c r="K1145" t="s">
        <v>350</v>
      </c>
      <c r="L1145" t="s">
        <v>351</v>
      </c>
      <c r="M1145">
        <v>0.15527777777777776</v>
      </c>
      <c r="N1145">
        <v>559</v>
      </c>
      <c r="O1145">
        <v>1956.5</v>
      </c>
      <c r="P1145">
        <v>3.5</v>
      </c>
      <c r="Q1145">
        <v>559</v>
      </c>
    </row>
    <row r="1146" spans="1:17" x14ac:dyDescent="0.35">
      <c r="A1146" s="46">
        <v>46117</v>
      </c>
      <c r="B1146" t="s">
        <v>136</v>
      </c>
      <c r="C1146" t="s">
        <v>390</v>
      </c>
      <c r="D1146" t="s">
        <v>396</v>
      </c>
      <c r="E1146" t="s">
        <v>364</v>
      </c>
      <c r="F1146" t="s">
        <v>82</v>
      </c>
      <c r="G1146" t="s">
        <v>368</v>
      </c>
      <c r="H1146" t="s">
        <v>371</v>
      </c>
      <c r="I1146" t="s">
        <v>323</v>
      </c>
      <c r="J1146" t="s">
        <v>324</v>
      </c>
      <c r="K1146" t="s">
        <v>350</v>
      </c>
      <c r="L1146" t="s">
        <v>351</v>
      </c>
      <c r="M1146">
        <v>0.36138888888888887</v>
      </c>
      <c r="N1146">
        <v>1301</v>
      </c>
      <c r="O1146">
        <v>2717.7400000000002</v>
      </c>
      <c r="P1146">
        <v>2.2240098199672671</v>
      </c>
      <c r="Q1146">
        <v>1222</v>
      </c>
    </row>
    <row r="1147" spans="1:17" x14ac:dyDescent="0.35">
      <c r="A1147" s="46">
        <v>46117</v>
      </c>
      <c r="B1147" t="s">
        <v>136</v>
      </c>
      <c r="C1147" t="s">
        <v>319</v>
      </c>
      <c r="D1147" t="s">
        <v>396</v>
      </c>
      <c r="E1147" t="s">
        <v>364</v>
      </c>
      <c r="F1147" t="s">
        <v>82</v>
      </c>
      <c r="G1147" t="s">
        <v>368</v>
      </c>
      <c r="H1147" t="s">
        <v>371</v>
      </c>
      <c r="I1147" t="s">
        <v>323</v>
      </c>
      <c r="J1147" t="s">
        <v>324</v>
      </c>
      <c r="K1147" t="s">
        <v>350</v>
      </c>
      <c r="L1147" t="s">
        <v>351</v>
      </c>
      <c r="M1147">
        <v>1.2105555555555556</v>
      </c>
      <c r="N1147">
        <v>4358</v>
      </c>
      <c r="O1147">
        <v>10736.06</v>
      </c>
      <c r="P1147">
        <v>2.4669255514705881</v>
      </c>
      <c r="Q1147">
        <v>4352</v>
      </c>
    </row>
    <row r="1148" spans="1:17" x14ac:dyDescent="0.35">
      <c r="A1148" s="46">
        <v>46117</v>
      </c>
      <c r="B1148" t="s">
        <v>136</v>
      </c>
      <c r="C1148" t="s">
        <v>319</v>
      </c>
      <c r="D1148" t="s">
        <v>396</v>
      </c>
      <c r="E1148" t="s">
        <v>364</v>
      </c>
      <c r="F1148" t="s">
        <v>322</v>
      </c>
      <c r="G1148" t="s">
        <v>322</v>
      </c>
      <c r="H1148" t="s">
        <v>322</v>
      </c>
      <c r="I1148" t="s">
        <v>323</v>
      </c>
      <c r="J1148" t="s">
        <v>324</v>
      </c>
      <c r="K1148" t="s">
        <v>184</v>
      </c>
      <c r="L1148" t="s">
        <v>185</v>
      </c>
      <c r="M1148">
        <v>6.4091666666666667</v>
      </c>
      <c r="N1148">
        <v>23073</v>
      </c>
      <c r="O1148">
        <v>0</v>
      </c>
    </row>
    <row r="1149" spans="1:17" x14ac:dyDescent="0.35">
      <c r="A1149" s="46">
        <v>46117</v>
      </c>
      <c r="B1149" t="s">
        <v>136</v>
      </c>
      <c r="C1149" t="s">
        <v>319</v>
      </c>
      <c r="D1149" t="s">
        <v>396</v>
      </c>
      <c r="E1149" t="s">
        <v>364</v>
      </c>
      <c r="F1149" t="s">
        <v>82</v>
      </c>
      <c r="G1149" t="s">
        <v>365</v>
      </c>
      <c r="H1149" t="s">
        <v>331</v>
      </c>
      <c r="I1149" t="s">
        <v>323</v>
      </c>
      <c r="J1149" t="s">
        <v>324</v>
      </c>
      <c r="K1149" t="s">
        <v>184</v>
      </c>
      <c r="L1149" t="s">
        <v>185</v>
      </c>
      <c r="M1149">
        <v>6.9811111111111108</v>
      </c>
      <c r="N1149">
        <v>25132</v>
      </c>
      <c r="O1149">
        <v>0</v>
      </c>
    </row>
    <row r="1150" spans="1:17" x14ac:dyDescent="0.35">
      <c r="A1150" s="46">
        <v>46117</v>
      </c>
      <c r="B1150" t="s">
        <v>136</v>
      </c>
      <c r="C1150" t="s">
        <v>319</v>
      </c>
      <c r="D1150" t="s">
        <v>396</v>
      </c>
      <c r="E1150" t="s">
        <v>364</v>
      </c>
      <c r="F1150" t="s">
        <v>322</v>
      </c>
      <c r="G1150" t="s">
        <v>322</v>
      </c>
      <c r="H1150" t="s">
        <v>322</v>
      </c>
      <c r="I1150" t="s">
        <v>323</v>
      </c>
      <c r="J1150" t="s">
        <v>324</v>
      </c>
      <c r="K1150" t="s">
        <v>178</v>
      </c>
      <c r="L1150" t="s">
        <v>179</v>
      </c>
      <c r="M1150">
        <v>0.12055555555555555</v>
      </c>
      <c r="N1150">
        <v>434</v>
      </c>
      <c r="O1150">
        <v>0</v>
      </c>
    </row>
    <row r="1151" spans="1:17" x14ac:dyDescent="0.35">
      <c r="A1151" s="46">
        <v>46117</v>
      </c>
      <c r="B1151" t="s">
        <v>136</v>
      </c>
      <c r="C1151" t="s">
        <v>319</v>
      </c>
      <c r="D1151" t="s">
        <v>396</v>
      </c>
      <c r="E1151" t="s">
        <v>364</v>
      </c>
      <c r="F1151" t="s">
        <v>82</v>
      </c>
      <c r="G1151" t="s">
        <v>368</v>
      </c>
      <c r="H1151" t="s">
        <v>371</v>
      </c>
      <c r="I1151" t="s">
        <v>323</v>
      </c>
      <c r="J1151" t="s">
        <v>324</v>
      </c>
      <c r="K1151" t="s">
        <v>178</v>
      </c>
      <c r="L1151" t="s">
        <v>179</v>
      </c>
      <c r="M1151">
        <v>0.19555555555555557</v>
      </c>
      <c r="N1151">
        <v>704</v>
      </c>
      <c r="O1151">
        <v>0</v>
      </c>
    </row>
    <row r="1152" spans="1:17" x14ac:dyDescent="0.35">
      <c r="A1152" s="46">
        <v>46117</v>
      </c>
      <c r="B1152" t="s">
        <v>136</v>
      </c>
      <c r="C1152" t="s">
        <v>319</v>
      </c>
      <c r="D1152" t="s">
        <v>396</v>
      </c>
      <c r="E1152" t="s">
        <v>364</v>
      </c>
      <c r="F1152" t="s">
        <v>82</v>
      </c>
      <c r="G1152" t="s">
        <v>368</v>
      </c>
      <c r="H1152" t="s">
        <v>327</v>
      </c>
      <c r="I1152" t="s">
        <v>323</v>
      </c>
      <c r="J1152" t="s">
        <v>324</v>
      </c>
      <c r="K1152" t="s">
        <v>178</v>
      </c>
      <c r="L1152" t="s">
        <v>179</v>
      </c>
      <c r="M1152">
        <v>4.7500000000000001E-2</v>
      </c>
      <c r="N1152">
        <v>171</v>
      </c>
      <c r="O1152">
        <v>0</v>
      </c>
    </row>
    <row r="1153" spans="1:17" x14ac:dyDescent="0.35">
      <c r="A1153" s="46">
        <v>46117</v>
      </c>
      <c r="B1153" t="s">
        <v>136</v>
      </c>
      <c r="C1153" t="s">
        <v>319</v>
      </c>
      <c r="D1153" t="s">
        <v>396</v>
      </c>
      <c r="E1153" t="s">
        <v>364</v>
      </c>
      <c r="F1153" t="s">
        <v>322</v>
      </c>
      <c r="G1153" t="s">
        <v>322</v>
      </c>
      <c r="H1153" t="s">
        <v>322</v>
      </c>
      <c r="I1153" t="s">
        <v>323</v>
      </c>
      <c r="J1153" t="s">
        <v>324</v>
      </c>
      <c r="K1153" t="s">
        <v>182</v>
      </c>
      <c r="L1153" t="s">
        <v>183</v>
      </c>
      <c r="M1153">
        <v>7.2222222222222219E-3</v>
      </c>
      <c r="N1153">
        <v>26</v>
      </c>
      <c r="O1153">
        <v>0</v>
      </c>
    </row>
    <row r="1154" spans="1:17" x14ac:dyDescent="0.35">
      <c r="A1154" s="46">
        <v>46117</v>
      </c>
      <c r="B1154" t="s">
        <v>136</v>
      </c>
      <c r="C1154" t="s">
        <v>390</v>
      </c>
      <c r="D1154" t="s">
        <v>396</v>
      </c>
      <c r="E1154" t="s">
        <v>364</v>
      </c>
      <c r="F1154" t="s">
        <v>82</v>
      </c>
      <c r="G1154" t="s">
        <v>368</v>
      </c>
      <c r="H1154" t="s">
        <v>371</v>
      </c>
      <c r="I1154" t="s">
        <v>323</v>
      </c>
      <c r="J1154" t="s">
        <v>324</v>
      </c>
      <c r="K1154" t="s">
        <v>182</v>
      </c>
      <c r="L1154" t="s">
        <v>183</v>
      </c>
      <c r="M1154">
        <v>3.6944444444444446E-2</v>
      </c>
      <c r="N1154">
        <v>133</v>
      </c>
      <c r="O1154">
        <v>0</v>
      </c>
    </row>
    <row r="1155" spans="1:17" x14ac:dyDescent="0.35">
      <c r="A1155" s="46">
        <v>46117</v>
      </c>
      <c r="B1155" t="s">
        <v>136</v>
      </c>
      <c r="C1155" t="s">
        <v>397</v>
      </c>
      <c r="D1155" t="s">
        <v>396</v>
      </c>
      <c r="E1155" t="s">
        <v>364</v>
      </c>
      <c r="F1155" t="s">
        <v>82</v>
      </c>
      <c r="G1155" t="s">
        <v>368</v>
      </c>
      <c r="H1155" t="s">
        <v>371</v>
      </c>
      <c r="I1155" t="s">
        <v>323</v>
      </c>
      <c r="J1155" t="s">
        <v>324</v>
      </c>
      <c r="K1155" t="s">
        <v>182</v>
      </c>
      <c r="L1155" t="s">
        <v>183</v>
      </c>
      <c r="M1155">
        <v>3.7777777777777778E-2</v>
      </c>
      <c r="N1155">
        <v>136</v>
      </c>
      <c r="O1155">
        <v>0</v>
      </c>
    </row>
    <row r="1156" spans="1:17" x14ac:dyDescent="0.35">
      <c r="A1156" s="46">
        <v>46117</v>
      </c>
      <c r="B1156" t="s">
        <v>136</v>
      </c>
      <c r="C1156" t="s">
        <v>360</v>
      </c>
      <c r="D1156" t="s">
        <v>396</v>
      </c>
      <c r="E1156" t="s">
        <v>364</v>
      </c>
      <c r="F1156" t="s">
        <v>82</v>
      </c>
      <c r="G1156" t="s">
        <v>368</v>
      </c>
      <c r="H1156" t="s">
        <v>371</v>
      </c>
      <c r="I1156" t="s">
        <v>323</v>
      </c>
      <c r="J1156" t="s">
        <v>324</v>
      </c>
      <c r="K1156" t="s">
        <v>182</v>
      </c>
      <c r="L1156" t="s">
        <v>183</v>
      </c>
      <c r="M1156">
        <v>0.11027777777777778</v>
      </c>
      <c r="N1156">
        <v>397</v>
      </c>
      <c r="O1156">
        <v>0</v>
      </c>
    </row>
    <row r="1157" spans="1:17" x14ac:dyDescent="0.35">
      <c r="A1157" s="46">
        <v>46117</v>
      </c>
      <c r="B1157" t="s">
        <v>136</v>
      </c>
      <c r="C1157" t="s">
        <v>319</v>
      </c>
      <c r="D1157" t="s">
        <v>396</v>
      </c>
      <c r="E1157" t="s">
        <v>364</v>
      </c>
      <c r="F1157" t="s">
        <v>82</v>
      </c>
      <c r="G1157" t="s">
        <v>368</v>
      </c>
      <c r="H1157" t="s">
        <v>371</v>
      </c>
      <c r="I1157" t="s">
        <v>323</v>
      </c>
      <c r="J1157" t="s">
        <v>324</v>
      </c>
      <c r="K1157" t="s">
        <v>182</v>
      </c>
      <c r="L1157" t="s">
        <v>183</v>
      </c>
      <c r="M1157">
        <v>6.0277777777777777E-2</v>
      </c>
      <c r="N1157">
        <v>217</v>
      </c>
      <c r="O1157">
        <v>0</v>
      </c>
    </row>
    <row r="1158" spans="1:17" x14ac:dyDescent="0.35">
      <c r="A1158" s="46">
        <v>46117</v>
      </c>
      <c r="B1158" t="s">
        <v>136</v>
      </c>
      <c r="C1158" t="s">
        <v>335</v>
      </c>
      <c r="D1158" t="s">
        <v>399</v>
      </c>
      <c r="E1158" t="s">
        <v>321</v>
      </c>
      <c r="F1158" t="s">
        <v>328</v>
      </c>
      <c r="G1158" t="s">
        <v>329</v>
      </c>
      <c r="H1158" t="s">
        <v>326</v>
      </c>
      <c r="I1158" t="s">
        <v>323</v>
      </c>
      <c r="J1158" t="s">
        <v>324</v>
      </c>
      <c r="K1158" t="s">
        <v>142</v>
      </c>
      <c r="L1158" t="s">
        <v>143</v>
      </c>
      <c r="M1158">
        <v>7.6666666666666661E-2</v>
      </c>
      <c r="N1158">
        <v>276</v>
      </c>
      <c r="O1158">
        <v>1667.04</v>
      </c>
      <c r="P1158">
        <v>6.04</v>
      </c>
      <c r="Q1158">
        <v>276</v>
      </c>
    </row>
    <row r="1159" spans="1:17" x14ac:dyDescent="0.35">
      <c r="A1159" s="46">
        <v>46117</v>
      </c>
      <c r="B1159" t="s">
        <v>136</v>
      </c>
      <c r="C1159" t="s">
        <v>335</v>
      </c>
      <c r="D1159" t="s">
        <v>399</v>
      </c>
      <c r="E1159" t="s">
        <v>321</v>
      </c>
      <c r="F1159" t="s">
        <v>322</v>
      </c>
      <c r="G1159" t="s">
        <v>322</v>
      </c>
      <c r="H1159" t="s">
        <v>322</v>
      </c>
      <c r="I1159" t="s">
        <v>323</v>
      </c>
      <c r="J1159" t="s">
        <v>324</v>
      </c>
      <c r="K1159" t="s">
        <v>142</v>
      </c>
      <c r="L1159" t="s">
        <v>143</v>
      </c>
      <c r="M1159">
        <v>0.11138888888888888</v>
      </c>
      <c r="N1159">
        <v>401</v>
      </c>
      <c r="O1159">
        <v>2187.62</v>
      </c>
      <c r="P1159">
        <v>5.4554114713216952</v>
      </c>
      <c r="Q1159">
        <v>401</v>
      </c>
    </row>
    <row r="1160" spans="1:17" x14ac:dyDescent="0.35">
      <c r="A1160" s="46">
        <v>46117</v>
      </c>
      <c r="B1160" t="s">
        <v>136</v>
      </c>
      <c r="C1160" t="s">
        <v>335</v>
      </c>
      <c r="D1160" t="s">
        <v>399</v>
      </c>
      <c r="E1160" t="s">
        <v>321</v>
      </c>
      <c r="F1160" t="s">
        <v>92</v>
      </c>
      <c r="G1160" t="s">
        <v>325</v>
      </c>
      <c r="H1160" t="s">
        <v>334</v>
      </c>
      <c r="I1160" t="s">
        <v>323</v>
      </c>
      <c r="J1160" t="s">
        <v>324</v>
      </c>
      <c r="K1160" t="s">
        <v>142</v>
      </c>
      <c r="L1160" t="s">
        <v>143</v>
      </c>
      <c r="M1160">
        <v>0.17583333333333334</v>
      </c>
      <c r="N1160">
        <v>633</v>
      </c>
      <c r="O1160">
        <v>4000.5600000000004</v>
      </c>
      <c r="P1160">
        <v>6.32</v>
      </c>
      <c r="Q1160">
        <v>633</v>
      </c>
    </row>
    <row r="1161" spans="1:17" x14ac:dyDescent="0.35">
      <c r="A1161" s="46">
        <v>46117</v>
      </c>
      <c r="B1161" t="s">
        <v>136</v>
      </c>
      <c r="C1161" t="s">
        <v>335</v>
      </c>
      <c r="D1161" t="s">
        <v>399</v>
      </c>
      <c r="E1161" t="s">
        <v>321</v>
      </c>
      <c r="F1161" t="s">
        <v>328</v>
      </c>
      <c r="G1161" t="s">
        <v>329</v>
      </c>
      <c r="H1161" t="s">
        <v>326</v>
      </c>
      <c r="I1161" t="s">
        <v>323</v>
      </c>
      <c r="J1161" t="s">
        <v>324</v>
      </c>
      <c r="K1161" t="s">
        <v>190</v>
      </c>
      <c r="L1161" t="s">
        <v>191</v>
      </c>
      <c r="M1161">
        <v>8.3333333333333332E-3</v>
      </c>
      <c r="N1161">
        <v>30</v>
      </c>
      <c r="O1161">
        <v>0</v>
      </c>
    </row>
    <row r="1162" spans="1:17" x14ac:dyDescent="0.35">
      <c r="A1162" s="46">
        <v>46117</v>
      </c>
      <c r="B1162" t="s">
        <v>136</v>
      </c>
      <c r="C1162" t="s">
        <v>335</v>
      </c>
      <c r="D1162" t="s">
        <v>399</v>
      </c>
      <c r="E1162" t="s">
        <v>321</v>
      </c>
      <c r="F1162" t="s">
        <v>322</v>
      </c>
      <c r="G1162" t="s">
        <v>322</v>
      </c>
      <c r="H1162" t="s">
        <v>322</v>
      </c>
      <c r="I1162" t="s">
        <v>323</v>
      </c>
      <c r="J1162" t="s">
        <v>324</v>
      </c>
      <c r="K1162" t="s">
        <v>184</v>
      </c>
      <c r="L1162" t="s">
        <v>185</v>
      </c>
      <c r="M1162">
        <v>12.484166666666667</v>
      </c>
      <c r="N1162">
        <v>44943</v>
      </c>
      <c r="O1162">
        <v>0</v>
      </c>
    </row>
    <row r="1163" spans="1:17" x14ac:dyDescent="0.35">
      <c r="A1163" s="46">
        <v>46117</v>
      </c>
      <c r="B1163" t="s">
        <v>136</v>
      </c>
      <c r="C1163" t="s">
        <v>335</v>
      </c>
      <c r="D1163" t="s">
        <v>399</v>
      </c>
      <c r="E1163" t="s">
        <v>321</v>
      </c>
      <c r="F1163" t="s">
        <v>92</v>
      </c>
      <c r="G1163" t="s">
        <v>325</v>
      </c>
      <c r="H1163" t="s">
        <v>334</v>
      </c>
      <c r="I1163" t="s">
        <v>323</v>
      </c>
      <c r="J1163" t="s">
        <v>324</v>
      </c>
      <c r="K1163" t="s">
        <v>184</v>
      </c>
      <c r="L1163" t="s">
        <v>185</v>
      </c>
      <c r="M1163">
        <v>4.42</v>
      </c>
      <c r="N1163">
        <v>15912</v>
      </c>
      <c r="O1163">
        <v>0</v>
      </c>
    </row>
    <row r="1164" spans="1:17" x14ac:dyDescent="0.35">
      <c r="A1164" s="46">
        <v>46117</v>
      </c>
      <c r="B1164" t="s">
        <v>136</v>
      </c>
      <c r="C1164" t="s">
        <v>335</v>
      </c>
      <c r="D1164" t="s">
        <v>399</v>
      </c>
      <c r="E1164" t="s">
        <v>321</v>
      </c>
      <c r="F1164" t="s">
        <v>108</v>
      </c>
      <c r="G1164" t="s">
        <v>380</v>
      </c>
      <c r="H1164" t="s">
        <v>323</v>
      </c>
      <c r="I1164" t="s">
        <v>323</v>
      </c>
      <c r="J1164" t="s">
        <v>324</v>
      </c>
      <c r="K1164" t="s">
        <v>184</v>
      </c>
      <c r="L1164" t="s">
        <v>185</v>
      </c>
      <c r="M1164">
        <v>1.6388888888888888</v>
      </c>
      <c r="N1164">
        <v>5900</v>
      </c>
      <c r="O1164">
        <v>0</v>
      </c>
    </row>
    <row r="1165" spans="1:17" x14ac:dyDescent="0.35">
      <c r="A1165" s="46">
        <v>46117</v>
      </c>
      <c r="B1165" t="s">
        <v>136</v>
      </c>
      <c r="C1165" t="s">
        <v>335</v>
      </c>
      <c r="D1165" t="s">
        <v>399</v>
      </c>
      <c r="E1165" t="s">
        <v>321</v>
      </c>
      <c r="F1165" t="s">
        <v>328</v>
      </c>
      <c r="G1165" t="s">
        <v>329</v>
      </c>
      <c r="H1165" t="s">
        <v>326</v>
      </c>
      <c r="I1165" t="s">
        <v>323</v>
      </c>
      <c r="J1165" t="s">
        <v>324</v>
      </c>
      <c r="K1165" t="s">
        <v>184</v>
      </c>
      <c r="L1165" t="s">
        <v>185</v>
      </c>
      <c r="M1165">
        <v>0.10027777777777777</v>
      </c>
      <c r="N1165">
        <v>361</v>
      </c>
      <c r="O1165">
        <v>0</v>
      </c>
    </row>
    <row r="1166" spans="1:17" x14ac:dyDescent="0.35">
      <c r="A1166" s="46">
        <v>46117</v>
      </c>
      <c r="B1166" t="s">
        <v>136</v>
      </c>
      <c r="C1166" t="s">
        <v>335</v>
      </c>
      <c r="D1166" t="s">
        <v>399</v>
      </c>
      <c r="E1166" t="s">
        <v>321</v>
      </c>
      <c r="F1166" t="s">
        <v>322</v>
      </c>
      <c r="G1166" t="s">
        <v>322</v>
      </c>
      <c r="H1166" t="s">
        <v>322</v>
      </c>
      <c r="I1166" t="s">
        <v>323</v>
      </c>
      <c r="J1166" t="s">
        <v>324</v>
      </c>
      <c r="K1166" t="s">
        <v>178</v>
      </c>
      <c r="L1166" t="s">
        <v>179</v>
      </c>
      <c r="M1166">
        <v>4.9844444444444447</v>
      </c>
      <c r="N1166">
        <v>17944</v>
      </c>
      <c r="O1166">
        <v>0</v>
      </c>
    </row>
    <row r="1167" spans="1:17" x14ac:dyDescent="0.35">
      <c r="A1167" s="46">
        <v>46117</v>
      </c>
      <c r="B1167" t="s">
        <v>136</v>
      </c>
      <c r="C1167" t="s">
        <v>319</v>
      </c>
      <c r="D1167" t="s">
        <v>400</v>
      </c>
      <c r="E1167" t="s">
        <v>337</v>
      </c>
      <c r="F1167" t="s">
        <v>87</v>
      </c>
      <c r="G1167" t="s">
        <v>340</v>
      </c>
      <c r="H1167" t="s">
        <v>330</v>
      </c>
      <c r="I1167" t="s">
        <v>323</v>
      </c>
      <c r="J1167" t="s">
        <v>324</v>
      </c>
      <c r="K1167" t="s">
        <v>341</v>
      </c>
      <c r="L1167" t="s">
        <v>342</v>
      </c>
      <c r="M1167">
        <v>5.1944444444444446E-2</v>
      </c>
      <c r="N1167">
        <v>187</v>
      </c>
      <c r="O1167">
        <v>0</v>
      </c>
    </row>
    <row r="1168" spans="1:17" x14ac:dyDescent="0.35">
      <c r="A1168" s="46">
        <v>46117</v>
      </c>
      <c r="B1168" t="s">
        <v>136</v>
      </c>
      <c r="C1168" t="s">
        <v>390</v>
      </c>
      <c r="D1168" t="s">
        <v>400</v>
      </c>
      <c r="E1168" t="s">
        <v>337</v>
      </c>
      <c r="F1168" t="s">
        <v>322</v>
      </c>
      <c r="G1168" t="s">
        <v>322</v>
      </c>
      <c r="H1168" t="s">
        <v>322</v>
      </c>
      <c r="I1168" t="s">
        <v>323</v>
      </c>
      <c r="J1168" t="s">
        <v>324</v>
      </c>
      <c r="K1168" t="s">
        <v>345</v>
      </c>
      <c r="L1168" t="s">
        <v>346</v>
      </c>
      <c r="M1168">
        <v>6.9444444444444441E-3</v>
      </c>
      <c r="N1168">
        <v>25</v>
      </c>
      <c r="O1168">
        <v>34.5</v>
      </c>
      <c r="P1168">
        <v>1.38</v>
      </c>
      <c r="Q1168">
        <v>25</v>
      </c>
    </row>
    <row r="1169" spans="1:17" x14ac:dyDescent="0.35">
      <c r="A1169" s="46">
        <v>46117</v>
      </c>
      <c r="B1169" t="s">
        <v>136</v>
      </c>
      <c r="C1169" t="s">
        <v>319</v>
      </c>
      <c r="D1169" t="s">
        <v>400</v>
      </c>
      <c r="E1169" t="s">
        <v>337</v>
      </c>
      <c r="F1169" t="s">
        <v>87</v>
      </c>
      <c r="G1169" t="s">
        <v>340</v>
      </c>
      <c r="H1169" t="s">
        <v>330</v>
      </c>
      <c r="I1169" t="s">
        <v>323</v>
      </c>
      <c r="J1169" t="s">
        <v>324</v>
      </c>
      <c r="K1169" t="s">
        <v>345</v>
      </c>
      <c r="L1169" t="s">
        <v>346</v>
      </c>
      <c r="M1169">
        <v>0.18611111111111112</v>
      </c>
      <c r="N1169">
        <v>670</v>
      </c>
      <c r="O1169">
        <v>1725.87</v>
      </c>
      <c r="P1169">
        <v>2.5759253731343281</v>
      </c>
      <c r="Q1169">
        <v>670</v>
      </c>
    </row>
    <row r="1170" spans="1:17" x14ac:dyDescent="0.35">
      <c r="A1170" s="46">
        <v>46117</v>
      </c>
      <c r="B1170" t="s">
        <v>136</v>
      </c>
      <c r="C1170" t="s">
        <v>390</v>
      </c>
      <c r="D1170" t="s">
        <v>400</v>
      </c>
      <c r="E1170" t="s">
        <v>337</v>
      </c>
      <c r="F1170" t="s">
        <v>87</v>
      </c>
      <c r="G1170" t="s">
        <v>340</v>
      </c>
      <c r="H1170" t="s">
        <v>343</v>
      </c>
      <c r="I1170" t="s">
        <v>323</v>
      </c>
      <c r="J1170" t="s">
        <v>324</v>
      </c>
      <c r="K1170" t="s">
        <v>345</v>
      </c>
      <c r="L1170" t="s">
        <v>346</v>
      </c>
      <c r="M1170">
        <v>0.53583333333333338</v>
      </c>
      <c r="N1170">
        <v>1929</v>
      </c>
      <c r="O1170">
        <v>5184.9000000000005</v>
      </c>
      <c r="P1170">
        <v>2.6878693623639194</v>
      </c>
      <c r="Q1170">
        <v>1929</v>
      </c>
    </row>
    <row r="1171" spans="1:17" x14ac:dyDescent="0.35">
      <c r="A1171" s="46">
        <v>46117</v>
      </c>
      <c r="B1171" t="s">
        <v>136</v>
      </c>
      <c r="C1171" t="s">
        <v>390</v>
      </c>
      <c r="D1171" t="s">
        <v>400</v>
      </c>
      <c r="E1171" t="s">
        <v>337</v>
      </c>
      <c r="F1171" t="s">
        <v>87</v>
      </c>
      <c r="G1171" t="s">
        <v>340</v>
      </c>
      <c r="H1171" t="s">
        <v>330</v>
      </c>
      <c r="I1171" t="s">
        <v>323</v>
      </c>
      <c r="J1171" t="s">
        <v>324</v>
      </c>
      <c r="K1171" t="s">
        <v>345</v>
      </c>
      <c r="L1171" t="s">
        <v>346</v>
      </c>
      <c r="M1171">
        <v>0.86944444444444446</v>
      </c>
      <c r="N1171">
        <v>3130</v>
      </c>
      <c r="O1171">
        <v>8356.0400000000009</v>
      </c>
      <c r="P1171">
        <v>2.6696613418530353</v>
      </c>
      <c r="Q1171">
        <v>3130</v>
      </c>
    </row>
    <row r="1172" spans="1:17" x14ac:dyDescent="0.35">
      <c r="A1172" s="46">
        <v>46117</v>
      </c>
      <c r="B1172" t="s">
        <v>136</v>
      </c>
      <c r="C1172" t="s">
        <v>390</v>
      </c>
      <c r="D1172" t="s">
        <v>400</v>
      </c>
      <c r="E1172" t="s">
        <v>337</v>
      </c>
      <c r="F1172" t="s">
        <v>87</v>
      </c>
      <c r="G1172" t="s">
        <v>340</v>
      </c>
      <c r="H1172" t="s">
        <v>343</v>
      </c>
      <c r="I1172" t="s">
        <v>323</v>
      </c>
      <c r="J1172" t="s">
        <v>324</v>
      </c>
      <c r="K1172" t="s">
        <v>142</v>
      </c>
      <c r="L1172" t="s">
        <v>143</v>
      </c>
      <c r="M1172">
        <v>3.3611111111111112E-2</v>
      </c>
      <c r="N1172">
        <v>121</v>
      </c>
      <c r="O1172">
        <v>337.59000000000003</v>
      </c>
      <c r="P1172">
        <v>2.7900000000000005</v>
      </c>
      <c r="Q1172">
        <v>121</v>
      </c>
    </row>
    <row r="1173" spans="1:17" x14ac:dyDescent="0.35">
      <c r="A1173" s="46">
        <v>46117</v>
      </c>
      <c r="B1173" t="s">
        <v>136</v>
      </c>
      <c r="C1173" t="s">
        <v>319</v>
      </c>
      <c r="D1173" t="s">
        <v>400</v>
      </c>
      <c r="E1173" t="s">
        <v>337</v>
      </c>
      <c r="F1173" t="s">
        <v>322</v>
      </c>
      <c r="G1173" t="s">
        <v>322</v>
      </c>
      <c r="H1173" t="s">
        <v>322</v>
      </c>
      <c r="I1173" t="s">
        <v>323</v>
      </c>
      <c r="J1173" t="s">
        <v>324</v>
      </c>
      <c r="K1173" t="s">
        <v>142</v>
      </c>
      <c r="L1173" t="s">
        <v>143</v>
      </c>
      <c r="M1173">
        <v>0.1</v>
      </c>
      <c r="N1173">
        <v>360</v>
      </c>
      <c r="O1173">
        <v>1267.2</v>
      </c>
      <c r="P1173">
        <v>3.52</v>
      </c>
      <c r="Q1173">
        <v>360</v>
      </c>
    </row>
    <row r="1174" spans="1:17" x14ac:dyDescent="0.35">
      <c r="A1174" s="46">
        <v>46117</v>
      </c>
      <c r="B1174" t="s">
        <v>136</v>
      </c>
      <c r="C1174" t="s">
        <v>390</v>
      </c>
      <c r="D1174" t="s">
        <v>400</v>
      </c>
      <c r="E1174" t="s">
        <v>337</v>
      </c>
      <c r="F1174" t="s">
        <v>87</v>
      </c>
      <c r="G1174" t="s">
        <v>340</v>
      </c>
      <c r="H1174" t="s">
        <v>330</v>
      </c>
      <c r="I1174" t="s">
        <v>323</v>
      </c>
      <c r="J1174" t="s">
        <v>324</v>
      </c>
      <c r="K1174" t="s">
        <v>142</v>
      </c>
      <c r="L1174" t="s">
        <v>143</v>
      </c>
      <c r="M1174">
        <v>0.12055555555555555</v>
      </c>
      <c r="N1174">
        <v>434</v>
      </c>
      <c r="O1174">
        <v>1828.8799999999999</v>
      </c>
      <c r="P1174">
        <v>4.2140092165898615</v>
      </c>
      <c r="Q1174">
        <v>434</v>
      </c>
    </row>
    <row r="1175" spans="1:17" x14ac:dyDescent="0.35">
      <c r="A1175" s="46">
        <v>46117</v>
      </c>
      <c r="B1175" t="s">
        <v>136</v>
      </c>
      <c r="C1175" t="s">
        <v>319</v>
      </c>
      <c r="D1175" t="s">
        <v>400</v>
      </c>
      <c r="E1175" t="s">
        <v>337</v>
      </c>
      <c r="F1175" t="s">
        <v>87</v>
      </c>
      <c r="G1175" t="s">
        <v>340</v>
      </c>
      <c r="H1175" t="s">
        <v>330</v>
      </c>
      <c r="I1175" t="s">
        <v>323</v>
      </c>
      <c r="J1175" t="s">
        <v>324</v>
      </c>
      <c r="K1175" t="s">
        <v>142</v>
      </c>
      <c r="L1175" t="s">
        <v>143</v>
      </c>
      <c r="M1175">
        <v>0.24083333333333334</v>
      </c>
      <c r="N1175">
        <v>867</v>
      </c>
      <c r="O1175">
        <v>2429.19</v>
      </c>
      <c r="P1175">
        <v>2.8018339100346021</v>
      </c>
      <c r="Q1175">
        <v>867</v>
      </c>
    </row>
    <row r="1176" spans="1:17" x14ac:dyDescent="0.35">
      <c r="A1176" s="46">
        <v>46117</v>
      </c>
      <c r="B1176" t="s">
        <v>136</v>
      </c>
      <c r="C1176" t="s">
        <v>390</v>
      </c>
      <c r="D1176" t="s">
        <v>400</v>
      </c>
      <c r="E1176" t="s">
        <v>337</v>
      </c>
      <c r="F1176" t="s">
        <v>87</v>
      </c>
      <c r="G1176" t="s">
        <v>340</v>
      </c>
      <c r="H1176" t="s">
        <v>330</v>
      </c>
      <c r="I1176" t="s">
        <v>323</v>
      </c>
      <c r="J1176" t="s">
        <v>324</v>
      </c>
      <c r="K1176" t="s">
        <v>200</v>
      </c>
      <c r="L1176" t="s">
        <v>201</v>
      </c>
      <c r="M1176">
        <v>0.45055555555555554</v>
      </c>
      <c r="N1176">
        <v>1622</v>
      </c>
      <c r="O1176">
        <v>0</v>
      </c>
    </row>
    <row r="1177" spans="1:17" x14ac:dyDescent="0.35">
      <c r="A1177" s="46">
        <v>46117</v>
      </c>
      <c r="B1177" t="s">
        <v>136</v>
      </c>
      <c r="C1177" t="s">
        <v>319</v>
      </c>
      <c r="D1177" t="s">
        <v>400</v>
      </c>
      <c r="E1177" t="s">
        <v>337</v>
      </c>
      <c r="F1177" t="s">
        <v>87</v>
      </c>
      <c r="G1177" t="s">
        <v>340</v>
      </c>
      <c r="H1177" t="s">
        <v>330</v>
      </c>
      <c r="I1177" t="s">
        <v>323</v>
      </c>
      <c r="J1177" t="s">
        <v>324</v>
      </c>
      <c r="K1177" t="s">
        <v>200</v>
      </c>
      <c r="L1177" t="s">
        <v>201</v>
      </c>
      <c r="M1177">
        <v>0.98166666666666669</v>
      </c>
      <c r="N1177">
        <v>3534</v>
      </c>
      <c r="O1177">
        <v>0</v>
      </c>
    </row>
    <row r="1178" spans="1:17" x14ac:dyDescent="0.35">
      <c r="A1178" s="46">
        <v>46117</v>
      </c>
      <c r="B1178" t="s">
        <v>136</v>
      </c>
      <c r="C1178" t="s">
        <v>390</v>
      </c>
      <c r="D1178" t="s">
        <v>400</v>
      </c>
      <c r="E1178" t="s">
        <v>337</v>
      </c>
      <c r="F1178" t="s">
        <v>87</v>
      </c>
      <c r="G1178" t="s">
        <v>340</v>
      </c>
      <c r="H1178" t="s">
        <v>343</v>
      </c>
      <c r="I1178" t="s">
        <v>323</v>
      </c>
      <c r="J1178" t="s">
        <v>324</v>
      </c>
      <c r="K1178" t="s">
        <v>200</v>
      </c>
      <c r="L1178" t="s">
        <v>201</v>
      </c>
      <c r="M1178">
        <v>0.14722222222222223</v>
      </c>
      <c r="N1178">
        <v>530</v>
      </c>
      <c r="O1178">
        <v>0</v>
      </c>
    </row>
    <row r="1179" spans="1:17" x14ac:dyDescent="0.35">
      <c r="A1179" s="46">
        <v>46117</v>
      </c>
      <c r="B1179" t="s">
        <v>136</v>
      </c>
      <c r="C1179" t="s">
        <v>335</v>
      </c>
      <c r="D1179" t="s">
        <v>400</v>
      </c>
      <c r="E1179" t="s">
        <v>337</v>
      </c>
      <c r="F1179" t="s">
        <v>87</v>
      </c>
      <c r="G1179" t="s">
        <v>340</v>
      </c>
      <c r="H1179" t="s">
        <v>343</v>
      </c>
      <c r="I1179" t="s">
        <v>323</v>
      </c>
      <c r="J1179" t="s">
        <v>324</v>
      </c>
      <c r="K1179" t="s">
        <v>200</v>
      </c>
      <c r="L1179" t="s">
        <v>201</v>
      </c>
      <c r="M1179">
        <v>0.21333333333333335</v>
      </c>
      <c r="N1179">
        <v>768</v>
      </c>
      <c r="O1179">
        <v>0</v>
      </c>
    </row>
    <row r="1180" spans="1:17" x14ac:dyDescent="0.35">
      <c r="A1180" s="46">
        <v>46117</v>
      </c>
      <c r="B1180" t="s">
        <v>136</v>
      </c>
      <c r="C1180" t="s">
        <v>319</v>
      </c>
      <c r="D1180" t="s">
        <v>400</v>
      </c>
      <c r="E1180" t="s">
        <v>337</v>
      </c>
      <c r="F1180" t="s">
        <v>87</v>
      </c>
      <c r="G1180" t="s">
        <v>340</v>
      </c>
      <c r="H1180" t="s">
        <v>330</v>
      </c>
      <c r="I1180" t="s">
        <v>323</v>
      </c>
      <c r="J1180" t="s">
        <v>324</v>
      </c>
      <c r="K1180" t="s">
        <v>350</v>
      </c>
      <c r="L1180" t="s">
        <v>351</v>
      </c>
      <c r="M1180">
        <v>2.5277777777777777E-2</v>
      </c>
      <c r="N1180">
        <v>91</v>
      </c>
      <c r="O1180">
        <v>0</v>
      </c>
    </row>
    <row r="1181" spans="1:17" x14ac:dyDescent="0.35">
      <c r="A1181" s="46">
        <v>46117</v>
      </c>
      <c r="B1181" t="s">
        <v>136</v>
      </c>
      <c r="C1181" t="s">
        <v>390</v>
      </c>
      <c r="D1181" t="s">
        <v>400</v>
      </c>
      <c r="E1181" t="s">
        <v>337</v>
      </c>
      <c r="F1181" t="s">
        <v>322</v>
      </c>
      <c r="G1181" t="s">
        <v>322</v>
      </c>
      <c r="H1181" t="s">
        <v>322</v>
      </c>
      <c r="I1181" t="s">
        <v>323</v>
      </c>
      <c r="J1181" t="s">
        <v>324</v>
      </c>
      <c r="K1181" t="s">
        <v>350</v>
      </c>
      <c r="L1181" t="s">
        <v>351</v>
      </c>
      <c r="M1181">
        <v>2.8055555555555556E-2</v>
      </c>
      <c r="N1181">
        <v>101</v>
      </c>
      <c r="O1181">
        <v>235.33</v>
      </c>
      <c r="P1181">
        <v>2.33</v>
      </c>
      <c r="Q1181">
        <v>101</v>
      </c>
    </row>
    <row r="1182" spans="1:17" x14ac:dyDescent="0.35">
      <c r="A1182" s="46">
        <v>46117</v>
      </c>
      <c r="B1182" t="s">
        <v>136</v>
      </c>
      <c r="C1182" t="s">
        <v>390</v>
      </c>
      <c r="D1182" t="s">
        <v>400</v>
      </c>
      <c r="E1182" t="s">
        <v>337</v>
      </c>
      <c r="F1182" t="s">
        <v>87</v>
      </c>
      <c r="G1182" t="s">
        <v>340</v>
      </c>
      <c r="H1182" t="s">
        <v>343</v>
      </c>
      <c r="I1182" t="s">
        <v>323</v>
      </c>
      <c r="J1182" t="s">
        <v>324</v>
      </c>
      <c r="K1182" t="s">
        <v>350</v>
      </c>
      <c r="L1182" t="s">
        <v>351</v>
      </c>
      <c r="M1182">
        <v>0.24333333333333335</v>
      </c>
      <c r="N1182">
        <v>876</v>
      </c>
      <c r="O1182">
        <v>2018.08</v>
      </c>
      <c r="P1182">
        <v>2.3037442922374427</v>
      </c>
      <c r="Q1182">
        <v>876</v>
      </c>
    </row>
    <row r="1183" spans="1:17" x14ac:dyDescent="0.35">
      <c r="A1183" s="46">
        <v>46117</v>
      </c>
      <c r="B1183" t="s">
        <v>136</v>
      </c>
      <c r="C1183" t="s">
        <v>390</v>
      </c>
      <c r="D1183" t="s">
        <v>400</v>
      </c>
      <c r="E1183" t="s">
        <v>337</v>
      </c>
      <c r="F1183" t="s">
        <v>87</v>
      </c>
      <c r="G1183" t="s">
        <v>340</v>
      </c>
      <c r="H1183" t="s">
        <v>330</v>
      </c>
      <c r="I1183" t="s">
        <v>323</v>
      </c>
      <c r="J1183" t="s">
        <v>324</v>
      </c>
      <c r="K1183" t="s">
        <v>350</v>
      </c>
      <c r="L1183" t="s">
        <v>351</v>
      </c>
      <c r="M1183">
        <v>0.38388888888888889</v>
      </c>
      <c r="N1183">
        <v>1382</v>
      </c>
      <c r="O1183">
        <v>4217.68</v>
      </c>
      <c r="P1183">
        <v>3.0518668596237339</v>
      </c>
      <c r="Q1183">
        <v>1382</v>
      </c>
    </row>
    <row r="1184" spans="1:17" x14ac:dyDescent="0.35">
      <c r="A1184" s="46">
        <v>46117</v>
      </c>
      <c r="B1184" t="s">
        <v>136</v>
      </c>
      <c r="C1184" t="s">
        <v>319</v>
      </c>
      <c r="D1184" t="s">
        <v>400</v>
      </c>
      <c r="E1184" t="s">
        <v>337</v>
      </c>
      <c r="F1184" t="s">
        <v>322</v>
      </c>
      <c r="G1184" t="s">
        <v>322</v>
      </c>
      <c r="H1184" t="s">
        <v>322</v>
      </c>
      <c r="I1184" t="s">
        <v>323</v>
      </c>
      <c r="J1184" t="s">
        <v>324</v>
      </c>
      <c r="K1184" t="s">
        <v>184</v>
      </c>
      <c r="L1184" t="s">
        <v>185</v>
      </c>
      <c r="M1184">
        <v>19.313055555555554</v>
      </c>
      <c r="N1184">
        <v>69527</v>
      </c>
      <c r="O1184">
        <v>0</v>
      </c>
    </row>
    <row r="1185" spans="1:17" x14ac:dyDescent="0.35">
      <c r="A1185" s="46">
        <v>46117</v>
      </c>
      <c r="B1185" t="s">
        <v>136</v>
      </c>
      <c r="C1185" t="s">
        <v>390</v>
      </c>
      <c r="D1185" t="s">
        <v>400</v>
      </c>
      <c r="E1185" t="s">
        <v>337</v>
      </c>
      <c r="F1185" t="s">
        <v>87</v>
      </c>
      <c r="G1185" t="s">
        <v>340</v>
      </c>
      <c r="H1185" t="s">
        <v>330</v>
      </c>
      <c r="I1185" t="s">
        <v>323</v>
      </c>
      <c r="J1185" t="s">
        <v>324</v>
      </c>
      <c r="K1185" t="s">
        <v>178</v>
      </c>
      <c r="L1185" t="s">
        <v>179</v>
      </c>
      <c r="M1185">
        <v>1.6666666666666668E-3</v>
      </c>
      <c r="N1185">
        <v>6</v>
      </c>
      <c r="O1185">
        <v>0</v>
      </c>
    </row>
    <row r="1186" spans="1:17" x14ac:dyDescent="0.35">
      <c r="A1186" s="46">
        <v>46117</v>
      </c>
      <c r="B1186" t="s">
        <v>136</v>
      </c>
      <c r="C1186" t="s">
        <v>319</v>
      </c>
      <c r="D1186" t="s">
        <v>400</v>
      </c>
      <c r="E1186" t="s">
        <v>337</v>
      </c>
      <c r="F1186" t="s">
        <v>87</v>
      </c>
      <c r="G1186" t="s">
        <v>340</v>
      </c>
      <c r="H1186" t="s">
        <v>330</v>
      </c>
      <c r="I1186" t="s">
        <v>323</v>
      </c>
      <c r="J1186" t="s">
        <v>324</v>
      </c>
      <c r="K1186" t="s">
        <v>178</v>
      </c>
      <c r="L1186" t="s">
        <v>179</v>
      </c>
      <c r="M1186">
        <v>6.6666666666666666E-2</v>
      </c>
      <c r="N1186">
        <v>240</v>
      </c>
      <c r="O1186">
        <v>0</v>
      </c>
    </row>
    <row r="1187" spans="1:17" x14ac:dyDescent="0.35">
      <c r="A1187" s="46">
        <v>46117</v>
      </c>
      <c r="B1187" t="s">
        <v>136</v>
      </c>
      <c r="C1187" t="s">
        <v>319</v>
      </c>
      <c r="D1187" t="s">
        <v>406</v>
      </c>
      <c r="E1187" t="s">
        <v>337</v>
      </c>
      <c r="F1187" t="s">
        <v>87</v>
      </c>
      <c r="G1187" t="s">
        <v>340</v>
      </c>
      <c r="H1187" t="s">
        <v>330</v>
      </c>
      <c r="I1187" t="s">
        <v>323</v>
      </c>
      <c r="J1187" t="s">
        <v>324</v>
      </c>
      <c r="K1187" t="s">
        <v>188</v>
      </c>
      <c r="L1187" t="s">
        <v>189</v>
      </c>
      <c r="M1187">
        <v>0.50277777777777777</v>
      </c>
      <c r="N1187">
        <v>1810</v>
      </c>
      <c r="O1187">
        <v>0</v>
      </c>
    </row>
    <row r="1188" spans="1:17" x14ac:dyDescent="0.35">
      <c r="A1188" s="46">
        <v>46117</v>
      </c>
      <c r="B1188" t="s">
        <v>136</v>
      </c>
      <c r="C1188" t="s">
        <v>402</v>
      </c>
      <c r="D1188" t="s">
        <v>406</v>
      </c>
      <c r="E1188" t="s">
        <v>337</v>
      </c>
      <c r="F1188" t="s">
        <v>87</v>
      </c>
      <c r="G1188" t="s">
        <v>340</v>
      </c>
      <c r="H1188" t="s">
        <v>343</v>
      </c>
      <c r="I1188" t="s">
        <v>323</v>
      </c>
      <c r="J1188" t="s">
        <v>324</v>
      </c>
      <c r="K1188" t="s">
        <v>345</v>
      </c>
      <c r="L1188" t="s">
        <v>346</v>
      </c>
      <c r="M1188">
        <v>4.3333333333333335E-2</v>
      </c>
      <c r="N1188">
        <v>156</v>
      </c>
      <c r="O1188">
        <v>376.57</v>
      </c>
      <c r="P1188">
        <v>2.4139102564102566</v>
      </c>
      <c r="Q1188">
        <v>156</v>
      </c>
    </row>
    <row r="1189" spans="1:17" x14ac:dyDescent="0.35">
      <c r="A1189" s="46">
        <v>46117</v>
      </c>
      <c r="B1189" t="s">
        <v>136</v>
      </c>
      <c r="C1189" t="s">
        <v>319</v>
      </c>
      <c r="D1189" t="s">
        <v>406</v>
      </c>
      <c r="E1189" t="s">
        <v>337</v>
      </c>
      <c r="F1189" t="s">
        <v>322</v>
      </c>
      <c r="G1189" t="s">
        <v>322</v>
      </c>
      <c r="H1189" t="s">
        <v>322</v>
      </c>
      <c r="I1189" t="s">
        <v>323</v>
      </c>
      <c r="J1189" t="s">
        <v>324</v>
      </c>
      <c r="K1189" t="s">
        <v>345</v>
      </c>
      <c r="L1189" t="s">
        <v>346</v>
      </c>
      <c r="M1189">
        <v>9.0277777777777776E-2</v>
      </c>
      <c r="N1189">
        <v>325</v>
      </c>
      <c r="O1189">
        <v>549.5</v>
      </c>
      <c r="P1189">
        <v>1.6907692307692308</v>
      </c>
      <c r="Q1189">
        <v>325</v>
      </c>
    </row>
    <row r="1190" spans="1:17" x14ac:dyDescent="0.35">
      <c r="A1190" s="46">
        <v>46117</v>
      </c>
      <c r="B1190" t="s">
        <v>136</v>
      </c>
      <c r="C1190" t="s">
        <v>402</v>
      </c>
      <c r="D1190" t="s">
        <v>406</v>
      </c>
      <c r="E1190" t="s">
        <v>337</v>
      </c>
      <c r="F1190" t="s">
        <v>322</v>
      </c>
      <c r="G1190" t="s">
        <v>322</v>
      </c>
      <c r="H1190" t="s">
        <v>322</v>
      </c>
      <c r="I1190" t="s">
        <v>323</v>
      </c>
      <c r="J1190" t="s">
        <v>324</v>
      </c>
      <c r="K1190" t="s">
        <v>345</v>
      </c>
      <c r="L1190" t="s">
        <v>346</v>
      </c>
      <c r="M1190">
        <v>0.15027777777777779</v>
      </c>
      <c r="N1190">
        <v>541</v>
      </c>
      <c r="O1190">
        <v>1350.0300000000002</v>
      </c>
      <c r="P1190">
        <v>2.4954343807763406</v>
      </c>
      <c r="Q1190">
        <v>541</v>
      </c>
    </row>
    <row r="1191" spans="1:17" x14ac:dyDescent="0.35">
      <c r="A1191" s="46">
        <v>46117</v>
      </c>
      <c r="B1191" t="s">
        <v>136</v>
      </c>
      <c r="C1191" t="s">
        <v>319</v>
      </c>
      <c r="D1191" t="s">
        <v>406</v>
      </c>
      <c r="E1191" t="s">
        <v>337</v>
      </c>
      <c r="F1191" t="s">
        <v>87</v>
      </c>
      <c r="G1191" t="s">
        <v>340</v>
      </c>
      <c r="H1191" t="s">
        <v>330</v>
      </c>
      <c r="I1191" t="s">
        <v>323</v>
      </c>
      <c r="J1191" t="s">
        <v>324</v>
      </c>
      <c r="K1191" t="s">
        <v>345</v>
      </c>
      <c r="L1191" t="s">
        <v>346</v>
      </c>
      <c r="M1191">
        <v>1.0972222222222223</v>
      </c>
      <c r="N1191">
        <v>3950</v>
      </c>
      <c r="O1191">
        <v>8520.0399999999991</v>
      </c>
      <c r="P1191">
        <v>2.1569721518987341</v>
      </c>
      <c r="Q1191">
        <v>3950</v>
      </c>
    </row>
    <row r="1192" spans="1:17" x14ac:dyDescent="0.35">
      <c r="A1192" s="46">
        <v>46117</v>
      </c>
      <c r="B1192" t="s">
        <v>136</v>
      </c>
      <c r="C1192" t="s">
        <v>402</v>
      </c>
      <c r="D1192" t="s">
        <v>406</v>
      </c>
      <c r="E1192" t="s">
        <v>337</v>
      </c>
      <c r="F1192" t="s">
        <v>87</v>
      </c>
      <c r="G1192" t="s">
        <v>340</v>
      </c>
      <c r="H1192" t="s">
        <v>330</v>
      </c>
      <c r="I1192" t="s">
        <v>323</v>
      </c>
      <c r="J1192" t="s">
        <v>324</v>
      </c>
      <c r="K1192" t="s">
        <v>345</v>
      </c>
      <c r="L1192" t="s">
        <v>346</v>
      </c>
      <c r="M1192">
        <v>1.2669444444444444</v>
      </c>
      <c r="N1192">
        <v>4561</v>
      </c>
      <c r="O1192">
        <v>11748.46</v>
      </c>
      <c r="P1192">
        <v>2.57585178688884</v>
      </c>
      <c r="Q1192">
        <v>4561</v>
      </c>
    </row>
    <row r="1193" spans="1:17" x14ac:dyDescent="0.35">
      <c r="A1193" s="46">
        <v>46117</v>
      </c>
      <c r="B1193" t="s">
        <v>136</v>
      </c>
      <c r="C1193" t="s">
        <v>319</v>
      </c>
      <c r="D1193" t="s">
        <v>406</v>
      </c>
      <c r="E1193" t="s">
        <v>337</v>
      </c>
      <c r="F1193" t="s">
        <v>87</v>
      </c>
      <c r="G1193" t="s">
        <v>340</v>
      </c>
      <c r="H1193" t="s">
        <v>330</v>
      </c>
      <c r="I1193" t="s">
        <v>323</v>
      </c>
      <c r="J1193" t="s">
        <v>324</v>
      </c>
      <c r="K1193" t="s">
        <v>142</v>
      </c>
      <c r="L1193" t="s">
        <v>143</v>
      </c>
      <c r="M1193">
        <v>6.9722222222222227E-2</v>
      </c>
      <c r="N1193">
        <v>251</v>
      </c>
      <c r="O1193">
        <v>800.6</v>
      </c>
      <c r="P1193">
        <v>3.1896414342629482</v>
      </c>
      <c r="Q1193">
        <v>251</v>
      </c>
    </row>
    <row r="1194" spans="1:17" x14ac:dyDescent="0.35">
      <c r="A1194" s="46">
        <v>46117</v>
      </c>
      <c r="B1194" t="s">
        <v>136</v>
      </c>
      <c r="C1194" t="s">
        <v>319</v>
      </c>
      <c r="D1194" t="s">
        <v>406</v>
      </c>
      <c r="E1194" t="s">
        <v>337</v>
      </c>
      <c r="F1194" t="s">
        <v>322</v>
      </c>
      <c r="G1194" t="s">
        <v>322</v>
      </c>
      <c r="H1194" t="s">
        <v>322</v>
      </c>
      <c r="I1194" t="s">
        <v>323</v>
      </c>
      <c r="J1194" t="s">
        <v>324</v>
      </c>
      <c r="K1194" t="s">
        <v>142</v>
      </c>
      <c r="L1194" t="s">
        <v>143</v>
      </c>
      <c r="M1194">
        <v>6.1388888888888889E-2</v>
      </c>
      <c r="N1194">
        <v>221</v>
      </c>
      <c r="O1194">
        <v>1359.15</v>
      </c>
      <c r="P1194">
        <v>6.15</v>
      </c>
      <c r="Q1194">
        <v>221</v>
      </c>
    </row>
    <row r="1195" spans="1:17" x14ac:dyDescent="0.35">
      <c r="A1195" s="46">
        <v>46117</v>
      </c>
      <c r="B1195" t="s">
        <v>136</v>
      </c>
      <c r="C1195" t="s">
        <v>402</v>
      </c>
      <c r="D1195" t="s">
        <v>406</v>
      </c>
      <c r="E1195" t="s">
        <v>337</v>
      </c>
      <c r="F1195" t="s">
        <v>87</v>
      </c>
      <c r="G1195" t="s">
        <v>340</v>
      </c>
      <c r="H1195" t="s">
        <v>330</v>
      </c>
      <c r="I1195" t="s">
        <v>323</v>
      </c>
      <c r="J1195" t="s">
        <v>324</v>
      </c>
      <c r="K1195" t="s">
        <v>200</v>
      </c>
      <c r="L1195" t="s">
        <v>201</v>
      </c>
      <c r="M1195">
        <v>0.15138888888888888</v>
      </c>
      <c r="N1195">
        <v>545</v>
      </c>
      <c r="O1195">
        <v>0</v>
      </c>
    </row>
    <row r="1196" spans="1:17" x14ac:dyDescent="0.35">
      <c r="A1196" s="46">
        <v>46117</v>
      </c>
      <c r="B1196" t="s">
        <v>136</v>
      </c>
      <c r="C1196" t="s">
        <v>319</v>
      </c>
      <c r="D1196" t="s">
        <v>406</v>
      </c>
      <c r="E1196" t="s">
        <v>337</v>
      </c>
      <c r="F1196" t="s">
        <v>87</v>
      </c>
      <c r="G1196" t="s">
        <v>340</v>
      </c>
      <c r="H1196" t="s">
        <v>330</v>
      </c>
      <c r="I1196" t="s">
        <v>323</v>
      </c>
      <c r="J1196" t="s">
        <v>324</v>
      </c>
      <c r="K1196" t="s">
        <v>200</v>
      </c>
      <c r="L1196" t="s">
        <v>201</v>
      </c>
      <c r="M1196">
        <v>0.95527777777777778</v>
      </c>
      <c r="N1196">
        <v>3439</v>
      </c>
      <c r="O1196">
        <v>0</v>
      </c>
    </row>
    <row r="1197" spans="1:17" x14ac:dyDescent="0.35">
      <c r="A1197" s="46">
        <v>46117</v>
      </c>
      <c r="B1197" t="s">
        <v>136</v>
      </c>
      <c r="C1197" t="s">
        <v>402</v>
      </c>
      <c r="D1197" t="s">
        <v>406</v>
      </c>
      <c r="E1197" t="s">
        <v>337</v>
      </c>
      <c r="F1197" t="s">
        <v>87</v>
      </c>
      <c r="G1197" t="s">
        <v>340</v>
      </c>
      <c r="H1197" t="s">
        <v>343</v>
      </c>
      <c r="I1197" t="s">
        <v>323</v>
      </c>
      <c r="J1197" t="s">
        <v>324</v>
      </c>
      <c r="K1197" t="s">
        <v>200</v>
      </c>
      <c r="L1197" t="s">
        <v>201</v>
      </c>
      <c r="M1197">
        <v>3.3611111111111112E-2</v>
      </c>
      <c r="N1197">
        <v>121</v>
      </c>
      <c r="O1197">
        <v>0</v>
      </c>
    </row>
    <row r="1198" spans="1:17" x14ac:dyDescent="0.35">
      <c r="A1198" s="46">
        <v>46117</v>
      </c>
      <c r="B1198" t="s">
        <v>136</v>
      </c>
      <c r="C1198" t="s">
        <v>402</v>
      </c>
      <c r="D1198" t="s">
        <v>406</v>
      </c>
      <c r="E1198" t="s">
        <v>337</v>
      </c>
      <c r="F1198" t="s">
        <v>87</v>
      </c>
      <c r="G1198" t="s">
        <v>340</v>
      </c>
      <c r="H1198" t="s">
        <v>330</v>
      </c>
      <c r="I1198" t="s">
        <v>323</v>
      </c>
      <c r="J1198" t="s">
        <v>324</v>
      </c>
      <c r="K1198" t="s">
        <v>348</v>
      </c>
      <c r="L1198" t="s">
        <v>349</v>
      </c>
      <c r="M1198">
        <v>0.43805555555555553</v>
      </c>
      <c r="N1198">
        <v>1577</v>
      </c>
      <c r="O1198">
        <v>0</v>
      </c>
    </row>
    <row r="1199" spans="1:17" x14ac:dyDescent="0.35">
      <c r="A1199" s="46">
        <v>46117</v>
      </c>
      <c r="B1199" t="s">
        <v>136</v>
      </c>
      <c r="C1199" t="s">
        <v>319</v>
      </c>
      <c r="D1199" t="s">
        <v>406</v>
      </c>
      <c r="E1199" t="s">
        <v>337</v>
      </c>
      <c r="F1199" t="s">
        <v>87</v>
      </c>
      <c r="G1199" t="s">
        <v>340</v>
      </c>
      <c r="H1199" t="s">
        <v>330</v>
      </c>
      <c r="I1199" t="s">
        <v>323</v>
      </c>
      <c r="J1199" t="s">
        <v>324</v>
      </c>
      <c r="K1199" t="s">
        <v>348</v>
      </c>
      <c r="L1199" t="s">
        <v>349</v>
      </c>
      <c r="M1199">
        <v>0.42583333333333334</v>
      </c>
      <c r="N1199">
        <v>1533</v>
      </c>
      <c r="O1199">
        <v>0</v>
      </c>
    </row>
    <row r="1200" spans="1:17" x14ac:dyDescent="0.35">
      <c r="A1200" s="46">
        <v>46117</v>
      </c>
      <c r="B1200" t="s">
        <v>136</v>
      </c>
      <c r="C1200" t="s">
        <v>402</v>
      </c>
      <c r="D1200" t="s">
        <v>406</v>
      </c>
      <c r="E1200" t="s">
        <v>337</v>
      </c>
      <c r="F1200" t="s">
        <v>87</v>
      </c>
      <c r="G1200" t="s">
        <v>340</v>
      </c>
      <c r="H1200" t="s">
        <v>343</v>
      </c>
      <c r="I1200" t="s">
        <v>323</v>
      </c>
      <c r="J1200" t="s">
        <v>324</v>
      </c>
      <c r="K1200" t="s">
        <v>350</v>
      </c>
      <c r="L1200" t="s">
        <v>351</v>
      </c>
      <c r="M1200">
        <v>5.7222222222222223E-2</v>
      </c>
      <c r="N1200">
        <v>206</v>
      </c>
      <c r="O1200">
        <v>614.62</v>
      </c>
      <c r="P1200">
        <v>2.9835922330097087</v>
      </c>
      <c r="Q1200">
        <v>206</v>
      </c>
    </row>
    <row r="1201" spans="1:17" x14ac:dyDescent="0.35">
      <c r="A1201" s="46">
        <v>46117</v>
      </c>
      <c r="B1201" t="s">
        <v>136</v>
      </c>
      <c r="C1201" t="s">
        <v>402</v>
      </c>
      <c r="D1201" t="s">
        <v>406</v>
      </c>
      <c r="E1201" t="s">
        <v>337</v>
      </c>
      <c r="F1201" t="s">
        <v>322</v>
      </c>
      <c r="G1201" t="s">
        <v>322</v>
      </c>
      <c r="H1201" t="s">
        <v>322</v>
      </c>
      <c r="I1201" t="s">
        <v>323</v>
      </c>
      <c r="J1201" t="s">
        <v>324</v>
      </c>
      <c r="K1201" t="s">
        <v>350</v>
      </c>
      <c r="L1201" t="s">
        <v>351</v>
      </c>
      <c r="M1201">
        <v>0.11027777777777778</v>
      </c>
      <c r="N1201">
        <v>397</v>
      </c>
      <c r="O1201">
        <v>1151.7400000000002</v>
      </c>
      <c r="P1201">
        <v>2.9011083123425698</v>
      </c>
      <c r="Q1201">
        <v>397</v>
      </c>
    </row>
    <row r="1202" spans="1:17" x14ac:dyDescent="0.35">
      <c r="A1202" s="46">
        <v>46117</v>
      </c>
      <c r="B1202" t="s">
        <v>136</v>
      </c>
      <c r="C1202" t="s">
        <v>319</v>
      </c>
      <c r="D1202" t="s">
        <v>406</v>
      </c>
      <c r="E1202" t="s">
        <v>337</v>
      </c>
      <c r="F1202" t="s">
        <v>322</v>
      </c>
      <c r="G1202" t="s">
        <v>322</v>
      </c>
      <c r="H1202" t="s">
        <v>322</v>
      </c>
      <c r="I1202" t="s">
        <v>323</v>
      </c>
      <c r="J1202" t="s">
        <v>324</v>
      </c>
      <c r="K1202" t="s">
        <v>350</v>
      </c>
      <c r="L1202" t="s">
        <v>351</v>
      </c>
      <c r="M1202">
        <v>0.24333333333333335</v>
      </c>
      <c r="N1202">
        <v>876</v>
      </c>
      <c r="O1202">
        <v>2698.19</v>
      </c>
      <c r="P1202">
        <v>3.0801255707762558</v>
      </c>
      <c r="Q1202">
        <v>876</v>
      </c>
    </row>
    <row r="1203" spans="1:17" x14ac:dyDescent="0.35">
      <c r="A1203" s="46">
        <v>46117</v>
      </c>
      <c r="B1203" t="s">
        <v>136</v>
      </c>
      <c r="C1203" t="s">
        <v>402</v>
      </c>
      <c r="D1203" t="s">
        <v>406</v>
      </c>
      <c r="E1203" t="s">
        <v>337</v>
      </c>
      <c r="F1203" t="s">
        <v>87</v>
      </c>
      <c r="G1203" t="s">
        <v>340</v>
      </c>
      <c r="H1203" t="s">
        <v>330</v>
      </c>
      <c r="I1203" t="s">
        <v>323</v>
      </c>
      <c r="J1203" t="s">
        <v>324</v>
      </c>
      <c r="K1203" t="s">
        <v>350</v>
      </c>
      <c r="L1203" t="s">
        <v>351</v>
      </c>
      <c r="M1203">
        <v>0.51472222222222219</v>
      </c>
      <c r="N1203">
        <v>1853</v>
      </c>
      <c r="O1203">
        <v>4606.63</v>
      </c>
      <c r="P1203">
        <v>2.4860388559093365</v>
      </c>
      <c r="Q1203">
        <v>1853</v>
      </c>
    </row>
    <row r="1204" spans="1:17" x14ac:dyDescent="0.35">
      <c r="A1204" s="46">
        <v>46117</v>
      </c>
      <c r="B1204" t="s">
        <v>136</v>
      </c>
      <c r="C1204" t="s">
        <v>319</v>
      </c>
      <c r="D1204" t="s">
        <v>406</v>
      </c>
      <c r="E1204" t="s">
        <v>337</v>
      </c>
      <c r="F1204" t="s">
        <v>87</v>
      </c>
      <c r="G1204" t="s">
        <v>340</v>
      </c>
      <c r="H1204" t="s">
        <v>330</v>
      </c>
      <c r="I1204" t="s">
        <v>323</v>
      </c>
      <c r="J1204" t="s">
        <v>324</v>
      </c>
      <c r="K1204" t="s">
        <v>350</v>
      </c>
      <c r="L1204" t="s">
        <v>351</v>
      </c>
      <c r="M1204">
        <v>0.9375</v>
      </c>
      <c r="N1204">
        <v>3375</v>
      </c>
      <c r="O1204">
        <v>6406.58</v>
      </c>
      <c r="P1204">
        <v>1.8982459259259259</v>
      </c>
      <c r="Q1204">
        <v>3375</v>
      </c>
    </row>
    <row r="1205" spans="1:17" x14ac:dyDescent="0.35">
      <c r="A1205" s="46">
        <v>46117</v>
      </c>
      <c r="B1205" t="s">
        <v>136</v>
      </c>
      <c r="C1205" t="s">
        <v>319</v>
      </c>
      <c r="D1205" t="s">
        <v>406</v>
      </c>
      <c r="E1205" t="s">
        <v>337</v>
      </c>
      <c r="F1205" t="s">
        <v>322</v>
      </c>
      <c r="G1205" t="s">
        <v>322</v>
      </c>
      <c r="H1205" t="s">
        <v>322</v>
      </c>
      <c r="I1205" t="s">
        <v>323</v>
      </c>
      <c r="J1205" t="s">
        <v>324</v>
      </c>
      <c r="K1205" t="s">
        <v>184</v>
      </c>
      <c r="L1205" t="s">
        <v>185</v>
      </c>
      <c r="M1205">
        <v>16.104166666666668</v>
      </c>
      <c r="N1205">
        <v>57975</v>
      </c>
      <c r="O1205">
        <v>0</v>
      </c>
    </row>
    <row r="1206" spans="1:17" x14ac:dyDescent="0.35">
      <c r="A1206" s="46">
        <v>46117</v>
      </c>
      <c r="B1206" t="s">
        <v>136</v>
      </c>
      <c r="C1206" t="s">
        <v>319</v>
      </c>
      <c r="D1206" t="s">
        <v>406</v>
      </c>
      <c r="E1206" t="s">
        <v>337</v>
      </c>
      <c r="F1206" t="s">
        <v>87</v>
      </c>
      <c r="G1206" t="s">
        <v>340</v>
      </c>
      <c r="H1206" t="s">
        <v>330</v>
      </c>
      <c r="I1206" t="s">
        <v>323</v>
      </c>
      <c r="J1206" t="s">
        <v>324</v>
      </c>
      <c r="K1206" t="s">
        <v>184</v>
      </c>
      <c r="L1206" t="s">
        <v>185</v>
      </c>
      <c r="M1206">
        <v>0.6677777777777778</v>
      </c>
      <c r="N1206">
        <v>2404</v>
      </c>
      <c r="O1206">
        <v>0</v>
      </c>
    </row>
    <row r="1207" spans="1:17" x14ac:dyDescent="0.35">
      <c r="A1207" s="46">
        <v>46117</v>
      </c>
      <c r="B1207" t="s">
        <v>136</v>
      </c>
      <c r="C1207" t="s">
        <v>319</v>
      </c>
      <c r="D1207" t="s">
        <v>406</v>
      </c>
      <c r="E1207" t="s">
        <v>337</v>
      </c>
      <c r="F1207" t="s">
        <v>322</v>
      </c>
      <c r="G1207" t="s">
        <v>322</v>
      </c>
      <c r="H1207" t="s">
        <v>322</v>
      </c>
      <c r="I1207" t="s">
        <v>323</v>
      </c>
      <c r="J1207" t="s">
        <v>324</v>
      </c>
      <c r="K1207" t="s">
        <v>178</v>
      </c>
      <c r="L1207" t="s">
        <v>179</v>
      </c>
      <c r="M1207">
        <v>3.138888888888889E-2</v>
      </c>
      <c r="N1207">
        <v>113</v>
      </c>
      <c r="O1207">
        <v>0</v>
      </c>
    </row>
    <row r="1208" spans="1:17" x14ac:dyDescent="0.35">
      <c r="A1208" s="46">
        <v>46117</v>
      </c>
      <c r="B1208" t="s">
        <v>136</v>
      </c>
      <c r="C1208" t="s">
        <v>319</v>
      </c>
      <c r="D1208" t="s">
        <v>406</v>
      </c>
      <c r="E1208" t="s">
        <v>337</v>
      </c>
      <c r="F1208" t="s">
        <v>87</v>
      </c>
      <c r="G1208" t="s">
        <v>340</v>
      </c>
      <c r="H1208" t="s">
        <v>330</v>
      </c>
      <c r="I1208" t="s">
        <v>323</v>
      </c>
      <c r="J1208" t="s">
        <v>324</v>
      </c>
      <c r="K1208" t="s">
        <v>178</v>
      </c>
      <c r="L1208" t="s">
        <v>179</v>
      </c>
      <c r="M1208">
        <v>4.7500000000000001E-2</v>
      </c>
      <c r="N1208">
        <v>171</v>
      </c>
      <c r="O1208">
        <v>0</v>
      </c>
    </row>
    <row r="1209" spans="1:17" x14ac:dyDescent="0.35">
      <c r="A1209" s="46">
        <v>46116</v>
      </c>
      <c r="B1209" t="s">
        <v>136</v>
      </c>
      <c r="C1209" t="s">
        <v>319</v>
      </c>
      <c r="D1209" t="s">
        <v>320</v>
      </c>
      <c r="E1209" t="s">
        <v>321</v>
      </c>
      <c r="F1209" t="s">
        <v>322</v>
      </c>
      <c r="G1209" t="s">
        <v>322</v>
      </c>
      <c r="H1209" t="s">
        <v>322</v>
      </c>
      <c r="I1209" t="s">
        <v>323</v>
      </c>
      <c r="J1209" t="s">
        <v>324</v>
      </c>
      <c r="K1209" t="s">
        <v>212</v>
      </c>
      <c r="L1209" t="s">
        <v>213</v>
      </c>
      <c r="M1209">
        <v>12</v>
      </c>
      <c r="N1209">
        <v>43200</v>
      </c>
    </row>
    <row r="1210" spans="1:17" x14ac:dyDescent="0.35">
      <c r="A1210" s="46">
        <v>46116</v>
      </c>
      <c r="B1210" t="s">
        <v>136</v>
      </c>
      <c r="C1210" t="s">
        <v>335</v>
      </c>
      <c r="D1210" t="s">
        <v>336</v>
      </c>
      <c r="E1210" t="s">
        <v>337</v>
      </c>
      <c r="F1210" t="s">
        <v>322</v>
      </c>
      <c r="G1210" t="s">
        <v>322</v>
      </c>
      <c r="H1210" t="s">
        <v>322</v>
      </c>
      <c r="I1210" t="s">
        <v>323</v>
      </c>
      <c r="J1210" t="s">
        <v>324</v>
      </c>
      <c r="K1210" t="s">
        <v>142</v>
      </c>
      <c r="L1210" t="s">
        <v>143</v>
      </c>
      <c r="M1210">
        <v>5.1111111111111114E-2</v>
      </c>
      <c r="N1210">
        <v>184</v>
      </c>
      <c r="O1210">
        <v>374.87</v>
      </c>
      <c r="P1210">
        <v>2.037336956521739</v>
      </c>
      <c r="Q1210">
        <v>184</v>
      </c>
    </row>
    <row r="1211" spans="1:17" x14ac:dyDescent="0.35">
      <c r="A1211" s="46">
        <v>46116</v>
      </c>
      <c r="B1211" t="s">
        <v>136</v>
      </c>
      <c r="C1211" t="s">
        <v>335</v>
      </c>
      <c r="D1211" t="s">
        <v>336</v>
      </c>
      <c r="E1211" t="s">
        <v>337</v>
      </c>
      <c r="F1211" t="s">
        <v>322</v>
      </c>
      <c r="G1211" t="s">
        <v>322</v>
      </c>
      <c r="H1211" t="s">
        <v>322</v>
      </c>
      <c r="I1211" t="s">
        <v>323</v>
      </c>
      <c r="J1211" t="s">
        <v>324</v>
      </c>
      <c r="K1211" t="s">
        <v>184</v>
      </c>
      <c r="L1211" t="s">
        <v>185</v>
      </c>
      <c r="M1211">
        <v>10.064166666666667</v>
      </c>
      <c r="N1211">
        <v>36231</v>
      </c>
      <c r="O1211">
        <v>0</v>
      </c>
    </row>
    <row r="1212" spans="1:17" x14ac:dyDescent="0.35">
      <c r="A1212" s="46">
        <v>46116</v>
      </c>
      <c r="B1212" t="s">
        <v>136</v>
      </c>
      <c r="C1212" t="s">
        <v>335</v>
      </c>
      <c r="D1212" t="s">
        <v>336</v>
      </c>
      <c r="E1212" t="s">
        <v>337</v>
      </c>
      <c r="F1212" t="s">
        <v>338</v>
      </c>
      <c r="G1212" t="s">
        <v>339</v>
      </c>
      <c r="H1212" t="s">
        <v>331</v>
      </c>
      <c r="I1212" t="s">
        <v>323</v>
      </c>
      <c r="J1212" t="s">
        <v>324</v>
      </c>
      <c r="K1212" t="s">
        <v>184</v>
      </c>
      <c r="L1212" t="s">
        <v>185</v>
      </c>
      <c r="M1212">
        <v>1.8847222222222222</v>
      </c>
      <c r="N1212">
        <v>6785</v>
      </c>
      <c r="O1212">
        <v>0</v>
      </c>
    </row>
    <row r="1213" spans="1:17" x14ac:dyDescent="0.35">
      <c r="A1213" s="46">
        <v>46116</v>
      </c>
      <c r="B1213" t="s">
        <v>136</v>
      </c>
      <c r="C1213" t="s">
        <v>319</v>
      </c>
      <c r="D1213" t="s">
        <v>363</v>
      </c>
      <c r="E1213" t="s">
        <v>364</v>
      </c>
      <c r="F1213" t="s">
        <v>322</v>
      </c>
      <c r="G1213" t="s">
        <v>322</v>
      </c>
      <c r="H1213" t="s">
        <v>322</v>
      </c>
      <c r="I1213" t="s">
        <v>323</v>
      </c>
      <c r="J1213" t="s">
        <v>324</v>
      </c>
      <c r="K1213" t="s">
        <v>178</v>
      </c>
      <c r="L1213" t="s">
        <v>179</v>
      </c>
      <c r="M1213">
        <v>5.7169444444444446</v>
      </c>
      <c r="N1213">
        <v>20581</v>
      </c>
      <c r="O1213">
        <v>0</v>
      </c>
    </row>
    <row r="1214" spans="1:17" x14ac:dyDescent="0.35">
      <c r="A1214" s="46">
        <v>46116</v>
      </c>
      <c r="B1214" t="s">
        <v>136</v>
      </c>
      <c r="C1214" t="s">
        <v>319</v>
      </c>
      <c r="D1214" t="s">
        <v>363</v>
      </c>
      <c r="E1214" t="s">
        <v>364</v>
      </c>
      <c r="F1214" t="s">
        <v>82</v>
      </c>
      <c r="G1214" t="s">
        <v>365</v>
      </c>
      <c r="H1214" t="s">
        <v>366</v>
      </c>
      <c r="I1214" t="s">
        <v>323</v>
      </c>
      <c r="J1214" t="s">
        <v>324</v>
      </c>
      <c r="K1214" t="s">
        <v>178</v>
      </c>
      <c r="L1214" t="s">
        <v>179</v>
      </c>
      <c r="M1214">
        <v>6.3883333333333336</v>
      </c>
      <c r="N1214">
        <v>22998</v>
      </c>
      <c r="O1214">
        <v>0</v>
      </c>
    </row>
    <row r="1215" spans="1:17" x14ac:dyDescent="0.35">
      <c r="A1215" s="46">
        <v>46116</v>
      </c>
      <c r="B1215" t="s">
        <v>136</v>
      </c>
      <c r="C1215" t="s">
        <v>335</v>
      </c>
      <c r="D1215" t="s">
        <v>378</v>
      </c>
      <c r="E1215" t="s">
        <v>321</v>
      </c>
      <c r="F1215" t="s">
        <v>322</v>
      </c>
      <c r="G1215" t="s">
        <v>322</v>
      </c>
      <c r="H1215" t="s">
        <v>322</v>
      </c>
      <c r="I1215" t="s">
        <v>323</v>
      </c>
      <c r="J1215" t="s">
        <v>324</v>
      </c>
      <c r="K1215" t="s">
        <v>142</v>
      </c>
      <c r="L1215" t="s">
        <v>143</v>
      </c>
      <c r="M1215">
        <v>0.27527777777777779</v>
      </c>
      <c r="N1215">
        <v>991</v>
      </c>
      <c r="O1215">
        <v>4465.4000000000005</v>
      </c>
      <c r="P1215">
        <v>4.5059535822401617</v>
      </c>
      <c r="Q1215">
        <v>991</v>
      </c>
    </row>
    <row r="1216" spans="1:17" x14ac:dyDescent="0.35">
      <c r="A1216" s="46">
        <v>46116</v>
      </c>
      <c r="B1216" t="s">
        <v>136</v>
      </c>
      <c r="C1216" t="s">
        <v>335</v>
      </c>
      <c r="D1216" t="s">
        <v>378</v>
      </c>
      <c r="E1216" t="s">
        <v>321</v>
      </c>
      <c r="F1216" t="s">
        <v>322</v>
      </c>
      <c r="G1216" t="s">
        <v>322</v>
      </c>
      <c r="H1216" t="s">
        <v>322</v>
      </c>
      <c r="I1216" t="s">
        <v>323</v>
      </c>
      <c r="J1216" t="s">
        <v>324</v>
      </c>
      <c r="K1216" t="s">
        <v>184</v>
      </c>
      <c r="L1216" t="s">
        <v>185</v>
      </c>
      <c r="M1216">
        <v>8.8341666666666665</v>
      </c>
      <c r="N1216">
        <v>31803</v>
      </c>
      <c r="O1216">
        <v>0</v>
      </c>
    </row>
    <row r="1217" spans="1:17" x14ac:dyDescent="0.35">
      <c r="A1217" s="46">
        <v>46116</v>
      </c>
      <c r="B1217" t="s">
        <v>136</v>
      </c>
      <c r="C1217" t="s">
        <v>335</v>
      </c>
      <c r="D1217" t="s">
        <v>378</v>
      </c>
      <c r="E1217" t="s">
        <v>321</v>
      </c>
      <c r="F1217" t="s">
        <v>92</v>
      </c>
      <c r="G1217" t="s">
        <v>325</v>
      </c>
      <c r="H1217" t="s">
        <v>326</v>
      </c>
      <c r="I1217" t="s">
        <v>323</v>
      </c>
      <c r="J1217" t="s">
        <v>324</v>
      </c>
      <c r="K1217" t="s">
        <v>184</v>
      </c>
      <c r="L1217" t="s">
        <v>185</v>
      </c>
      <c r="M1217">
        <v>3.1469444444444443</v>
      </c>
      <c r="N1217">
        <v>11329</v>
      </c>
      <c r="O1217">
        <v>0</v>
      </c>
    </row>
    <row r="1218" spans="1:17" x14ac:dyDescent="0.35">
      <c r="A1218" s="46">
        <v>46116</v>
      </c>
      <c r="B1218" t="s">
        <v>136</v>
      </c>
      <c r="C1218" t="s">
        <v>319</v>
      </c>
      <c r="D1218" t="s">
        <v>385</v>
      </c>
      <c r="E1218" t="s">
        <v>321</v>
      </c>
      <c r="F1218" t="s">
        <v>322</v>
      </c>
      <c r="G1218" t="s">
        <v>322</v>
      </c>
      <c r="H1218" t="s">
        <v>322</v>
      </c>
      <c r="I1218" t="s">
        <v>323</v>
      </c>
      <c r="J1218" t="s">
        <v>324</v>
      </c>
      <c r="K1218" t="s">
        <v>142</v>
      </c>
      <c r="L1218" t="s">
        <v>143</v>
      </c>
      <c r="M1218">
        <v>6.25E-2</v>
      </c>
      <c r="N1218">
        <v>225</v>
      </c>
      <c r="O1218">
        <v>1083.3600000000001</v>
      </c>
      <c r="P1218">
        <v>4.8149333333333342</v>
      </c>
      <c r="Q1218">
        <v>225</v>
      </c>
    </row>
    <row r="1219" spans="1:17" x14ac:dyDescent="0.35">
      <c r="A1219" s="46">
        <v>46116</v>
      </c>
      <c r="B1219" t="s">
        <v>136</v>
      </c>
      <c r="C1219" t="s">
        <v>319</v>
      </c>
      <c r="D1219" t="s">
        <v>385</v>
      </c>
      <c r="E1219" t="s">
        <v>321</v>
      </c>
      <c r="F1219" t="s">
        <v>322</v>
      </c>
      <c r="G1219" t="s">
        <v>322</v>
      </c>
      <c r="H1219" t="s">
        <v>322</v>
      </c>
      <c r="I1219" t="s">
        <v>323</v>
      </c>
      <c r="J1219" t="s">
        <v>324</v>
      </c>
      <c r="K1219" t="s">
        <v>174</v>
      </c>
      <c r="L1219" t="s">
        <v>175</v>
      </c>
      <c r="M1219">
        <v>0.33250000000000002</v>
      </c>
      <c r="N1219">
        <v>1197</v>
      </c>
      <c r="O1219">
        <v>0</v>
      </c>
    </row>
    <row r="1220" spans="1:17" x14ac:dyDescent="0.35">
      <c r="A1220" s="46">
        <v>46116</v>
      </c>
      <c r="B1220" t="s">
        <v>136</v>
      </c>
      <c r="C1220" t="s">
        <v>319</v>
      </c>
      <c r="D1220" t="s">
        <v>385</v>
      </c>
      <c r="E1220" t="s">
        <v>321</v>
      </c>
      <c r="F1220" t="s">
        <v>322</v>
      </c>
      <c r="G1220" t="s">
        <v>322</v>
      </c>
      <c r="H1220" t="s">
        <v>322</v>
      </c>
      <c r="I1220" t="s">
        <v>323</v>
      </c>
      <c r="J1220" t="s">
        <v>324</v>
      </c>
      <c r="K1220" t="s">
        <v>184</v>
      </c>
      <c r="L1220" t="s">
        <v>185</v>
      </c>
      <c r="M1220">
        <v>10.398055555555555</v>
      </c>
      <c r="N1220">
        <v>37433</v>
      </c>
      <c r="O1220">
        <v>0</v>
      </c>
    </row>
    <row r="1221" spans="1:17" x14ac:dyDescent="0.35">
      <c r="A1221" s="46">
        <v>46116</v>
      </c>
      <c r="B1221" t="s">
        <v>136</v>
      </c>
      <c r="C1221" t="s">
        <v>319</v>
      </c>
      <c r="D1221" t="s">
        <v>385</v>
      </c>
      <c r="E1221" t="s">
        <v>321</v>
      </c>
      <c r="F1221" t="s">
        <v>94</v>
      </c>
      <c r="G1221" t="s">
        <v>91</v>
      </c>
      <c r="H1221" t="s">
        <v>361</v>
      </c>
      <c r="I1221" t="s">
        <v>323</v>
      </c>
      <c r="J1221" t="s">
        <v>324</v>
      </c>
      <c r="K1221" t="s">
        <v>184</v>
      </c>
      <c r="L1221" t="s">
        <v>185</v>
      </c>
      <c r="M1221">
        <v>1.6530555555555555</v>
      </c>
      <c r="N1221">
        <v>5951</v>
      </c>
      <c r="O1221">
        <v>0</v>
      </c>
    </row>
    <row r="1222" spans="1:17" x14ac:dyDescent="0.35">
      <c r="A1222" s="46">
        <v>46116</v>
      </c>
      <c r="B1222" t="s">
        <v>136</v>
      </c>
      <c r="C1222" t="s">
        <v>319</v>
      </c>
      <c r="D1222" t="s">
        <v>391</v>
      </c>
      <c r="E1222" t="s">
        <v>364</v>
      </c>
      <c r="F1222" t="s">
        <v>322</v>
      </c>
      <c r="G1222" t="s">
        <v>322</v>
      </c>
      <c r="H1222" t="s">
        <v>322</v>
      </c>
      <c r="I1222" t="s">
        <v>323</v>
      </c>
      <c r="J1222" t="s">
        <v>324</v>
      </c>
      <c r="K1222" t="s">
        <v>178</v>
      </c>
      <c r="L1222" t="s">
        <v>179</v>
      </c>
      <c r="M1222">
        <v>3.8497222222222223</v>
      </c>
      <c r="N1222">
        <v>13859</v>
      </c>
      <c r="O1222">
        <v>0</v>
      </c>
    </row>
    <row r="1223" spans="1:17" x14ac:dyDescent="0.35">
      <c r="A1223" s="46">
        <v>46116</v>
      </c>
      <c r="B1223" t="s">
        <v>136</v>
      </c>
      <c r="C1223" t="s">
        <v>319</v>
      </c>
      <c r="D1223" t="s">
        <v>391</v>
      </c>
      <c r="E1223" t="s">
        <v>364</v>
      </c>
      <c r="F1223" t="s">
        <v>82</v>
      </c>
      <c r="G1223" t="s">
        <v>365</v>
      </c>
      <c r="H1223" t="s">
        <v>366</v>
      </c>
      <c r="I1223" t="s">
        <v>323</v>
      </c>
      <c r="J1223" t="s">
        <v>324</v>
      </c>
      <c r="K1223" t="s">
        <v>178</v>
      </c>
      <c r="L1223" t="s">
        <v>179</v>
      </c>
      <c r="M1223">
        <v>8.6019444444444453</v>
      </c>
      <c r="N1223">
        <v>30967</v>
      </c>
      <c r="O1223">
        <v>0</v>
      </c>
    </row>
    <row r="1224" spans="1:17" x14ac:dyDescent="0.35">
      <c r="A1224" s="46">
        <v>46116</v>
      </c>
      <c r="B1224" t="s">
        <v>136</v>
      </c>
      <c r="C1224" t="s">
        <v>319</v>
      </c>
      <c r="D1224" t="s">
        <v>396</v>
      </c>
      <c r="E1224" t="s">
        <v>364</v>
      </c>
      <c r="F1224" t="s">
        <v>322</v>
      </c>
      <c r="G1224" t="s">
        <v>322</v>
      </c>
      <c r="H1224" t="s">
        <v>322</v>
      </c>
      <c r="I1224" t="s">
        <v>323</v>
      </c>
      <c r="J1224" t="s">
        <v>324</v>
      </c>
      <c r="K1224" t="s">
        <v>184</v>
      </c>
      <c r="L1224" t="s">
        <v>185</v>
      </c>
      <c r="M1224">
        <v>7.1594444444444445</v>
      </c>
      <c r="N1224">
        <v>25774</v>
      </c>
      <c r="O1224">
        <v>0</v>
      </c>
    </row>
    <row r="1225" spans="1:17" x14ac:dyDescent="0.35">
      <c r="A1225" s="46">
        <v>46116</v>
      </c>
      <c r="B1225" t="s">
        <v>136</v>
      </c>
      <c r="C1225" t="s">
        <v>319</v>
      </c>
      <c r="D1225" t="s">
        <v>396</v>
      </c>
      <c r="E1225" t="s">
        <v>364</v>
      </c>
      <c r="F1225" t="s">
        <v>82</v>
      </c>
      <c r="G1225" t="s">
        <v>365</v>
      </c>
      <c r="H1225" t="s">
        <v>331</v>
      </c>
      <c r="I1225" t="s">
        <v>323</v>
      </c>
      <c r="J1225" t="s">
        <v>324</v>
      </c>
      <c r="K1225" t="s">
        <v>184</v>
      </c>
      <c r="L1225" t="s">
        <v>185</v>
      </c>
      <c r="M1225">
        <v>5.2969444444444447</v>
      </c>
      <c r="N1225">
        <v>19069</v>
      </c>
      <c r="O1225">
        <v>0</v>
      </c>
    </row>
    <row r="1226" spans="1:17" x14ac:dyDescent="0.35">
      <c r="A1226" s="46">
        <v>46116</v>
      </c>
      <c r="B1226" t="s">
        <v>136</v>
      </c>
      <c r="C1226" t="s">
        <v>335</v>
      </c>
      <c r="D1226" t="s">
        <v>399</v>
      </c>
      <c r="E1226" t="s">
        <v>321</v>
      </c>
      <c r="F1226" t="s">
        <v>322</v>
      </c>
      <c r="G1226" t="s">
        <v>322</v>
      </c>
      <c r="H1226" t="s">
        <v>322</v>
      </c>
      <c r="I1226" t="s">
        <v>323</v>
      </c>
      <c r="J1226" t="s">
        <v>324</v>
      </c>
      <c r="K1226" t="s">
        <v>184</v>
      </c>
      <c r="L1226" t="s">
        <v>185</v>
      </c>
      <c r="M1226">
        <v>12</v>
      </c>
      <c r="N1226">
        <v>43200</v>
      </c>
    </row>
    <row r="1227" spans="1:17" x14ac:dyDescent="0.35">
      <c r="A1227" s="46">
        <v>46116</v>
      </c>
      <c r="B1227" t="s">
        <v>136</v>
      </c>
      <c r="C1227" t="s">
        <v>319</v>
      </c>
      <c r="D1227" t="s">
        <v>400</v>
      </c>
      <c r="E1227" t="s">
        <v>337</v>
      </c>
      <c r="F1227" t="s">
        <v>322</v>
      </c>
      <c r="G1227" t="s">
        <v>322</v>
      </c>
      <c r="H1227" t="s">
        <v>322</v>
      </c>
      <c r="I1227" t="s">
        <v>323</v>
      </c>
      <c r="J1227" t="s">
        <v>324</v>
      </c>
      <c r="K1227" t="s">
        <v>184</v>
      </c>
      <c r="L1227" t="s">
        <v>185</v>
      </c>
      <c r="M1227">
        <v>12.489722222222222</v>
      </c>
      <c r="N1227">
        <v>44963</v>
      </c>
      <c r="O1227">
        <v>0</v>
      </c>
    </row>
    <row r="1228" spans="1:17" x14ac:dyDescent="0.35">
      <c r="A1228" s="46">
        <v>46116</v>
      </c>
      <c r="B1228" t="s">
        <v>136</v>
      </c>
      <c r="C1228" t="s">
        <v>319</v>
      </c>
      <c r="D1228" t="s">
        <v>406</v>
      </c>
      <c r="E1228" t="s">
        <v>337</v>
      </c>
      <c r="F1228" t="s">
        <v>322</v>
      </c>
      <c r="G1228" t="s">
        <v>322</v>
      </c>
      <c r="H1228" t="s">
        <v>322</v>
      </c>
      <c r="I1228" t="s">
        <v>323</v>
      </c>
      <c r="J1228" t="s">
        <v>324</v>
      </c>
      <c r="K1228" t="s">
        <v>142</v>
      </c>
      <c r="L1228" t="s">
        <v>143</v>
      </c>
      <c r="M1228">
        <v>3.1944444444444442E-2</v>
      </c>
      <c r="N1228">
        <v>115</v>
      </c>
      <c r="O1228">
        <v>339.25</v>
      </c>
      <c r="P1228">
        <v>2.95</v>
      </c>
      <c r="Q1228">
        <v>115</v>
      </c>
    </row>
    <row r="1229" spans="1:17" x14ac:dyDescent="0.35">
      <c r="A1229" s="46">
        <v>46116</v>
      </c>
      <c r="B1229" t="s">
        <v>136</v>
      </c>
      <c r="C1229" t="s">
        <v>319</v>
      </c>
      <c r="D1229" t="s">
        <v>406</v>
      </c>
      <c r="E1229" t="s">
        <v>337</v>
      </c>
      <c r="F1229" t="s">
        <v>87</v>
      </c>
      <c r="G1229" t="s">
        <v>340</v>
      </c>
      <c r="H1229" t="s">
        <v>330</v>
      </c>
      <c r="I1229" t="s">
        <v>323</v>
      </c>
      <c r="J1229" t="s">
        <v>324</v>
      </c>
      <c r="K1229" t="s">
        <v>142</v>
      </c>
      <c r="L1229" t="s">
        <v>143</v>
      </c>
      <c r="M1229">
        <v>3.0277777777777778E-2</v>
      </c>
      <c r="N1229">
        <v>109</v>
      </c>
      <c r="O1229">
        <v>525.38</v>
      </c>
      <c r="P1229">
        <v>4.82</v>
      </c>
      <c r="Q1229">
        <v>109</v>
      </c>
    </row>
    <row r="1230" spans="1:17" x14ac:dyDescent="0.35">
      <c r="A1230" s="46">
        <v>46116</v>
      </c>
      <c r="B1230" t="s">
        <v>136</v>
      </c>
      <c r="C1230" t="s">
        <v>319</v>
      </c>
      <c r="D1230" t="s">
        <v>406</v>
      </c>
      <c r="E1230" t="s">
        <v>337</v>
      </c>
      <c r="F1230" t="s">
        <v>87</v>
      </c>
      <c r="G1230" t="s">
        <v>340</v>
      </c>
      <c r="H1230" t="s">
        <v>330</v>
      </c>
      <c r="I1230" t="s">
        <v>323</v>
      </c>
      <c r="J1230" t="s">
        <v>324</v>
      </c>
      <c r="K1230" t="s">
        <v>184</v>
      </c>
      <c r="L1230" t="s">
        <v>185</v>
      </c>
      <c r="M1230">
        <v>8.18</v>
      </c>
      <c r="N1230">
        <v>29448</v>
      </c>
    </row>
    <row r="1231" spans="1:17" x14ac:dyDescent="0.35">
      <c r="A1231" s="46">
        <v>46116</v>
      </c>
      <c r="B1231" t="s">
        <v>136</v>
      </c>
      <c r="C1231" t="s">
        <v>319</v>
      </c>
      <c r="D1231" t="s">
        <v>406</v>
      </c>
      <c r="E1231" t="s">
        <v>337</v>
      </c>
      <c r="F1231" t="s">
        <v>322</v>
      </c>
      <c r="G1231" t="s">
        <v>322</v>
      </c>
      <c r="H1231" t="s">
        <v>322</v>
      </c>
      <c r="I1231" t="s">
        <v>323</v>
      </c>
      <c r="J1231" t="s">
        <v>324</v>
      </c>
      <c r="K1231" t="s">
        <v>184</v>
      </c>
      <c r="L1231" t="s">
        <v>185</v>
      </c>
      <c r="M1231">
        <v>4.128333333333333</v>
      </c>
      <c r="N1231">
        <v>14862</v>
      </c>
      <c r="O1231">
        <v>0</v>
      </c>
    </row>
    <row r="1232" spans="1:17" x14ac:dyDescent="0.35">
      <c r="A1232" s="50" t="s">
        <v>34</v>
      </c>
      <c r="B1232" s="50"/>
      <c r="C1232" s="50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>
        <v>1802.5761111111115</v>
      </c>
      <c r="N1232" s="50">
        <v>6489274</v>
      </c>
      <c r="O1232" s="50"/>
      <c r="P1232" s="50"/>
      <c r="Q1232" s="50">
        <v>660114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headerFooter>
    <oddFooter>&amp;L_x000D_&amp;1#&amp;"Aptos"&amp;10&amp;K000000 Interno</oddFooter>
  </headerFooter>
</worksheet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Dashboard</vt:lpstr>
      <vt:lpstr>KPI por frente</vt:lpstr>
      <vt:lpstr>Base de tempo</vt:lpstr>
      <vt:lpstr>Base cargas</vt:lpstr>
      <vt:lpstr>Base bordo</vt:lpstr>
      <vt:lpstr>Apoio_Tempo_Cargas</vt:lpstr>
      <vt:lpstr>Apoio_Bordo</vt:lpstr>
      <vt:lpstr>Apoio_Frota_Detalhe</vt:lpstr>
      <vt:lpstr>Apoio_KPI_Frente</vt:lpstr>
      <vt:lpstr>Apoio_Ciclo_Logistico</vt:lpstr>
      <vt:lpstr>Apoio_Vel_Frente</vt:lpstr>
      <vt:lpstr>Apoio_Bordo_CD</vt:lpstr>
      <vt:lpstr>Apoio_Corte_Frente</vt:lpstr>
      <vt:lpstr>Apoio_Metas_Transporte</vt:lpstr>
      <vt:lpstr>Base bordo 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Dias Steinhardt</dc:creator>
  <dc:description/>
  <cp:lastModifiedBy>Guilherme Dias Steinhardt</cp:lastModifiedBy>
  <cp:revision>0</cp:revision>
  <dcterms:created xsi:type="dcterms:W3CDTF">2026-04-08T18:29:15Z</dcterms:created>
  <dcterms:modified xsi:type="dcterms:W3CDTF">2026-04-13T10:57:11Z</dcterms:modified>
  <dc:language>en-US</dc:language>
</cp:coreProperties>
</file>